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bryancasler/Desktop/"/>
    </mc:Choice>
  </mc:AlternateContent>
  <xr:revisionPtr revIDLastSave="0" documentId="8_{B99C8751-F2E0-964C-93AE-AD56F1A2B432}" xr6:coauthVersionLast="47" xr6:coauthVersionMax="47" xr10:uidLastSave="{00000000-0000-0000-0000-000000000000}"/>
  <bookViews>
    <workbookView xWindow="0" yWindow="500" windowWidth="30240" windowHeight="19080" activeTab="1" xr2:uid="{00000000-000D-0000-FFFF-FFFF00000000}"/>
  </bookViews>
  <sheets>
    <sheet name="report" sheetId="1" r:id="rId1"/>
    <sheet name="export" sheetId="2" r:id="rId2"/>
    <sheet name="processed-export" sheetId="3" state="hidden" r:id="rId3"/>
    <sheet name="by-name" sheetId="4" state="hidden" r:id="rId4"/>
    <sheet name="by-case-number" sheetId="5" state="hidden" r:id="rId5"/>
    <sheet name="by-country" sheetId="6" state="hidden" r:id="rId6"/>
    <sheet name="by-topic" sheetId="7" state="hidden" r:id="rId7"/>
    <sheet name="by-year" sheetId="8" state="hidden" r:id="rId8"/>
    <sheet name="by-type" sheetId="9" state="hidden" r:id="rId9"/>
    <sheet name="by-date" sheetId="10" state="hidden" r:id="rId10"/>
    <sheet name="by-supporter" sheetId="11" state="hidden" r:id="rId11"/>
  </sheets>
  <definedNames>
    <definedName name="_xlnm._FilterDatabase" localSheetId="4" hidden="1">'by-case-number'!$A$1:$B$1000</definedName>
    <definedName name="_xlnm._FilterDatabase" localSheetId="5" hidden="1">'by-country'!$A$1:$B$1000</definedName>
    <definedName name="_xlnm._FilterDatabase" localSheetId="9" hidden="1">'by-date'!$A$1:$B$1000</definedName>
    <definedName name="_xlnm._FilterDatabase" localSheetId="3" hidden="1">'by-name'!$A$1:$C$3049</definedName>
    <definedName name="_xlnm._FilterDatabase" localSheetId="10" hidden="1">'by-supporter'!$A$1:$C$754</definedName>
    <definedName name="_xlnm._FilterDatabase" localSheetId="6" hidden="1">'by-topic'!$A$1:$B$1000</definedName>
    <definedName name="_xlnm._FilterDatabase" localSheetId="8" hidden="1">'by-type'!$A$1:$B$1000</definedName>
    <definedName name="_xlnm._FilterDatabase" localSheetId="7" hidden="1">'by-year'!$A$1:$B$1000</definedName>
    <definedName name="_xlnm._FilterDatabase" localSheetId="1" hidden="1">export!$A$1:$MG$2751</definedName>
    <definedName name="_xlnm._FilterDatabase" localSheetId="2" hidden="1">'processed-export'!$A$1:$I$3249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249" i="3" l="1"/>
  <c r="D2749" i="3"/>
  <c r="C2749" i="3"/>
  <c r="B2749" i="3"/>
  <c r="A2749" i="3"/>
  <c r="D2748" i="3"/>
  <c r="C2748" i="3"/>
  <c r="B2748" i="3"/>
  <c r="A2748" i="3"/>
  <c r="D2747" i="3"/>
  <c r="C2747" i="3"/>
  <c r="B2747" i="3"/>
  <c r="A2747" i="3"/>
  <c r="D2746" i="3"/>
  <c r="C2746" i="3"/>
  <c r="B2746" i="3"/>
  <c r="A2746" i="3"/>
  <c r="D2745" i="3"/>
  <c r="C2745" i="3"/>
  <c r="B2745" i="3"/>
  <c r="A2745" i="3"/>
  <c r="D2744" i="3"/>
  <c r="C2744" i="3"/>
  <c r="B2744" i="3"/>
  <c r="A2744" i="3"/>
  <c r="D2743" i="3"/>
  <c r="C2743" i="3"/>
  <c r="B2743" i="3"/>
  <c r="A2743" i="3"/>
  <c r="D2742" i="3"/>
  <c r="C2742" i="3"/>
  <c r="B2742" i="3"/>
  <c r="A2742" i="3"/>
  <c r="D2741" i="3"/>
  <c r="C2741" i="3"/>
  <c r="B2741" i="3"/>
  <c r="A2741" i="3"/>
  <c r="D2740" i="3"/>
  <c r="C2740" i="3"/>
  <c r="B2740" i="3"/>
  <c r="A2740" i="3"/>
  <c r="D2739" i="3"/>
  <c r="C2739" i="3"/>
  <c r="B2739" i="3"/>
  <c r="A2739" i="3"/>
  <c r="D2738" i="3"/>
  <c r="C2738" i="3"/>
  <c r="B2738" i="3"/>
  <c r="A2738" i="3"/>
  <c r="D2737" i="3"/>
  <c r="C2737" i="3"/>
  <c r="B2737" i="3"/>
  <c r="A2737" i="3"/>
  <c r="D2736" i="3"/>
  <c r="C2736" i="3"/>
  <c r="B2736" i="3"/>
  <c r="A2736" i="3"/>
  <c r="D2735" i="3"/>
  <c r="C2735" i="3"/>
  <c r="B2735" i="3"/>
  <c r="A2735" i="3"/>
  <c r="D2734" i="3"/>
  <c r="C2734" i="3"/>
  <c r="B2734" i="3"/>
  <c r="A2734" i="3"/>
  <c r="D2733" i="3"/>
  <c r="C2733" i="3"/>
  <c r="B2733" i="3"/>
  <c r="A2733" i="3"/>
  <c r="D2732" i="3"/>
  <c r="C2732" i="3"/>
  <c r="B2732" i="3"/>
  <c r="A2732" i="3"/>
  <c r="D2731" i="3"/>
  <c r="C2731" i="3"/>
  <c r="B2731" i="3"/>
  <c r="A2731" i="3"/>
  <c r="D2730" i="3"/>
  <c r="C2730" i="3"/>
  <c r="B2730" i="3"/>
  <c r="A2730" i="3"/>
  <c r="D2729" i="3"/>
  <c r="C2729" i="3"/>
  <c r="B2729" i="3"/>
  <c r="A2729" i="3"/>
  <c r="D2728" i="3"/>
  <c r="C2728" i="3"/>
  <c r="B2728" i="3"/>
  <c r="A2728" i="3"/>
  <c r="D2727" i="3"/>
  <c r="C2727" i="3"/>
  <c r="B2727" i="3"/>
  <c r="A2727" i="3"/>
  <c r="D2726" i="3"/>
  <c r="C2726" i="3"/>
  <c r="B2726" i="3"/>
  <c r="A2726" i="3"/>
  <c r="D2725" i="3"/>
  <c r="C2725" i="3"/>
  <c r="B2725" i="3"/>
  <c r="A2725" i="3"/>
  <c r="D2724" i="3"/>
  <c r="C2724" i="3"/>
  <c r="B2724" i="3"/>
  <c r="A2724" i="3"/>
  <c r="D2723" i="3"/>
  <c r="C2723" i="3"/>
  <c r="B2723" i="3"/>
  <c r="A2723" i="3"/>
  <c r="D2722" i="3"/>
  <c r="C2722" i="3"/>
  <c r="B2722" i="3"/>
  <c r="A2722" i="3"/>
  <c r="D2721" i="3"/>
  <c r="C2721" i="3"/>
  <c r="B2721" i="3"/>
  <c r="A2721" i="3"/>
  <c r="D2720" i="3"/>
  <c r="C2720" i="3"/>
  <c r="B2720" i="3"/>
  <c r="A2720" i="3"/>
  <c r="D2719" i="3"/>
  <c r="C2719" i="3"/>
  <c r="B2719" i="3"/>
  <c r="A2719" i="3"/>
  <c r="D2718" i="3"/>
  <c r="C2718" i="3"/>
  <c r="B2718" i="3"/>
  <c r="A2718" i="3"/>
  <c r="D2717" i="3"/>
  <c r="C2717" i="3"/>
  <c r="B2717" i="3"/>
  <c r="A2717" i="3"/>
  <c r="D2716" i="3"/>
  <c r="C2716" i="3"/>
  <c r="B2716" i="3"/>
  <c r="A2716" i="3"/>
  <c r="D2715" i="3"/>
  <c r="C2715" i="3"/>
  <c r="B2715" i="3"/>
  <c r="A2715" i="3"/>
  <c r="D2714" i="3"/>
  <c r="C2714" i="3"/>
  <c r="B2714" i="3"/>
  <c r="A2714" i="3"/>
  <c r="D2713" i="3"/>
  <c r="C2713" i="3"/>
  <c r="B2713" i="3"/>
  <c r="A2713" i="3"/>
  <c r="D2712" i="3"/>
  <c r="C2712" i="3"/>
  <c r="B2712" i="3"/>
  <c r="A2712" i="3"/>
  <c r="D2711" i="3"/>
  <c r="C2711" i="3"/>
  <c r="B2711" i="3"/>
  <c r="A2711" i="3"/>
  <c r="D2710" i="3"/>
  <c r="C2710" i="3"/>
  <c r="B2710" i="3"/>
  <c r="A2710" i="3"/>
  <c r="D2709" i="3"/>
  <c r="C2709" i="3"/>
  <c r="B2709" i="3"/>
  <c r="A2709" i="3"/>
  <c r="D2708" i="3"/>
  <c r="C2708" i="3"/>
  <c r="B2708" i="3"/>
  <c r="A2708" i="3"/>
  <c r="D2707" i="3"/>
  <c r="C2707" i="3"/>
  <c r="B2707" i="3"/>
  <c r="A2707" i="3"/>
  <c r="D2706" i="3"/>
  <c r="C2706" i="3"/>
  <c r="B2706" i="3"/>
  <c r="A2706" i="3"/>
  <c r="D2705" i="3"/>
  <c r="C2705" i="3"/>
  <c r="B2705" i="3"/>
  <c r="A2705" i="3"/>
  <c r="D2704" i="3"/>
  <c r="C2704" i="3"/>
  <c r="B2704" i="3"/>
  <c r="A2704" i="3"/>
  <c r="D2703" i="3"/>
  <c r="C2703" i="3"/>
  <c r="B2703" i="3"/>
  <c r="A2703" i="3"/>
  <c r="D2702" i="3"/>
  <c r="C2702" i="3"/>
  <c r="B2702" i="3"/>
  <c r="A2702" i="3"/>
  <c r="D2701" i="3"/>
  <c r="C2701" i="3"/>
  <c r="B2701" i="3"/>
  <c r="A2701" i="3"/>
  <c r="D2700" i="3"/>
  <c r="C2700" i="3"/>
  <c r="B2700" i="3"/>
  <c r="A2700" i="3"/>
  <c r="D2699" i="3"/>
  <c r="C2699" i="3"/>
  <c r="B2699" i="3"/>
  <c r="A2699" i="3"/>
  <c r="D2698" i="3"/>
  <c r="C2698" i="3"/>
  <c r="B2698" i="3"/>
  <c r="A2698" i="3"/>
  <c r="D2697" i="3"/>
  <c r="C2697" i="3"/>
  <c r="B2697" i="3"/>
  <c r="A2697" i="3"/>
  <c r="D2696" i="3"/>
  <c r="C2696" i="3"/>
  <c r="B2696" i="3"/>
  <c r="A2696" i="3"/>
  <c r="D2695" i="3"/>
  <c r="C2695" i="3"/>
  <c r="B2695" i="3"/>
  <c r="A2695" i="3"/>
  <c r="D2694" i="3"/>
  <c r="C2694" i="3"/>
  <c r="B2694" i="3"/>
  <c r="A2694" i="3"/>
  <c r="D2693" i="3"/>
  <c r="C2693" i="3"/>
  <c r="B2693" i="3"/>
  <c r="A2693" i="3"/>
  <c r="D2692" i="3"/>
  <c r="C2692" i="3"/>
  <c r="B2692" i="3"/>
  <c r="A2692" i="3"/>
  <c r="D2691" i="3"/>
  <c r="C2691" i="3"/>
  <c r="B2691" i="3"/>
  <c r="A2691" i="3"/>
  <c r="D2690" i="3"/>
  <c r="C2690" i="3"/>
  <c r="B2690" i="3"/>
  <c r="A2690" i="3"/>
  <c r="D2689" i="3"/>
  <c r="C2689" i="3"/>
  <c r="B2689" i="3"/>
  <c r="A2689" i="3"/>
  <c r="D2688" i="3"/>
  <c r="C2688" i="3"/>
  <c r="B2688" i="3"/>
  <c r="A2688" i="3"/>
  <c r="D2687" i="3"/>
  <c r="C2687" i="3"/>
  <c r="B2687" i="3"/>
  <c r="A2687" i="3"/>
  <c r="D2686" i="3"/>
  <c r="C2686" i="3"/>
  <c r="B2686" i="3"/>
  <c r="A2686" i="3"/>
  <c r="D2685" i="3"/>
  <c r="C2685" i="3"/>
  <c r="B2685" i="3"/>
  <c r="A2685" i="3"/>
  <c r="D2684" i="3"/>
  <c r="C2684" i="3"/>
  <c r="B2684" i="3"/>
  <c r="A2684" i="3"/>
  <c r="D2683" i="3"/>
  <c r="C2683" i="3"/>
  <c r="B2683" i="3"/>
  <c r="A2683" i="3"/>
  <c r="D2682" i="3"/>
  <c r="C2682" i="3"/>
  <c r="B2682" i="3"/>
  <c r="A2682" i="3"/>
  <c r="D2681" i="3"/>
  <c r="C2681" i="3"/>
  <c r="B2681" i="3"/>
  <c r="A2681" i="3"/>
  <c r="D2680" i="3"/>
  <c r="C2680" i="3"/>
  <c r="B2680" i="3"/>
  <c r="A2680" i="3"/>
  <c r="D2679" i="3"/>
  <c r="C2679" i="3"/>
  <c r="B2679" i="3"/>
  <c r="A2679" i="3"/>
  <c r="D2678" i="3"/>
  <c r="C2678" i="3"/>
  <c r="B2678" i="3"/>
  <c r="A2678" i="3"/>
  <c r="D2677" i="3"/>
  <c r="C2677" i="3"/>
  <c r="B2677" i="3"/>
  <c r="A2677" i="3"/>
  <c r="D2676" i="3"/>
  <c r="C2676" i="3"/>
  <c r="B2676" i="3"/>
  <c r="A2676" i="3"/>
  <c r="D2675" i="3"/>
  <c r="C2675" i="3"/>
  <c r="B2675" i="3"/>
  <c r="A2675" i="3"/>
  <c r="D2674" i="3"/>
  <c r="C2674" i="3"/>
  <c r="B2674" i="3"/>
  <c r="A2674" i="3"/>
  <c r="D2673" i="3"/>
  <c r="C2673" i="3"/>
  <c r="B2673" i="3"/>
  <c r="A2673" i="3"/>
  <c r="D2672" i="3"/>
  <c r="C2672" i="3"/>
  <c r="B2672" i="3"/>
  <c r="A2672" i="3"/>
  <c r="D2671" i="3"/>
  <c r="C2671" i="3"/>
  <c r="B2671" i="3"/>
  <c r="A2671" i="3"/>
  <c r="D2670" i="3"/>
  <c r="C2670" i="3"/>
  <c r="B2670" i="3"/>
  <c r="A2670" i="3"/>
  <c r="D2669" i="3"/>
  <c r="C2669" i="3"/>
  <c r="B2669" i="3"/>
  <c r="A2669" i="3"/>
  <c r="D2668" i="3"/>
  <c r="C2668" i="3"/>
  <c r="B2668" i="3"/>
  <c r="A2668" i="3"/>
  <c r="D2667" i="3"/>
  <c r="C2667" i="3"/>
  <c r="B2667" i="3"/>
  <c r="A2667" i="3"/>
  <c r="D2666" i="3"/>
  <c r="C2666" i="3"/>
  <c r="B2666" i="3"/>
  <c r="A2666" i="3"/>
  <c r="D2665" i="3"/>
  <c r="C2665" i="3"/>
  <c r="B2665" i="3"/>
  <c r="A2665" i="3"/>
  <c r="D2664" i="3"/>
  <c r="C2664" i="3"/>
  <c r="B2664" i="3"/>
  <c r="A2664" i="3"/>
  <c r="D2663" i="3"/>
  <c r="C2663" i="3"/>
  <c r="B2663" i="3"/>
  <c r="A2663" i="3"/>
  <c r="D2662" i="3"/>
  <c r="C2662" i="3"/>
  <c r="B2662" i="3"/>
  <c r="A2662" i="3"/>
  <c r="D2661" i="3"/>
  <c r="C2661" i="3"/>
  <c r="B2661" i="3"/>
  <c r="A2661" i="3"/>
  <c r="D2660" i="3"/>
  <c r="C2660" i="3"/>
  <c r="B2660" i="3"/>
  <c r="A2660" i="3"/>
  <c r="D2659" i="3"/>
  <c r="C2659" i="3"/>
  <c r="B2659" i="3"/>
  <c r="A2659" i="3"/>
  <c r="D2658" i="3"/>
  <c r="C2658" i="3"/>
  <c r="B2658" i="3"/>
  <c r="A2658" i="3"/>
  <c r="D2657" i="3"/>
  <c r="C2657" i="3"/>
  <c r="B2657" i="3"/>
  <c r="A2657" i="3"/>
  <c r="D2656" i="3"/>
  <c r="C2656" i="3"/>
  <c r="B2656" i="3"/>
  <c r="A2656" i="3"/>
  <c r="D2655" i="3"/>
  <c r="C2655" i="3"/>
  <c r="B2655" i="3"/>
  <c r="A2655" i="3"/>
  <c r="D2654" i="3"/>
  <c r="C2654" i="3"/>
  <c r="B2654" i="3"/>
  <c r="A2654" i="3"/>
  <c r="D2653" i="3"/>
  <c r="C2653" i="3"/>
  <c r="B2653" i="3"/>
  <c r="A2653" i="3"/>
  <c r="D2652" i="3"/>
  <c r="C2652" i="3"/>
  <c r="B2652" i="3"/>
  <c r="A2652" i="3"/>
  <c r="D2651" i="3"/>
  <c r="C2651" i="3"/>
  <c r="B2651" i="3"/>
  <c r="A2651" i="3"/>
  <c r="D2650" i="3"/>
  <c r="C2650" i="3"/>
  <c r="B2650" i="3"/>
  <c r="A2650" i="3"/>
  <c r="D2649" i="3"/>
  <c r="C2649" i="3"/>
  <c r="B2649" i="3"/>
  <c r="A2649" i="3"/>
  <c r="D2648" i="3"/>
  <c r="C2648" i="3"/>
  <c r="B2648" i="3"/>
  <c r="A2648" i="3"/>
  <c r="D2647" i="3"/>
  <c r="C2647" i="3"/>
  <c r="B2647" i="3"/>
  <c r="A2647" i="3"/>
  <c r="D2646" i="3"/>
  <c r="C2646" i="3"/>
  <c r="B2646" i="3"/>
  <c r="A2646" i="3"/>
  <c r="D2645" i="3"/>
  <c r="C2645" i="3"/>
  <c r="B2645" i="3"/>
  <c r="A2645" i="3"/>
  <c r="D2644" i="3"/>
  <c r="C2644" i="3"/>
  <c r="B2644" i="3"/>
  <c r="A2644" i="3"/>
  <c r="D2643" i="3"/>
  <c r="C2643" i="3"/>
  <c r="B2643" i="3"/>
  <c r="A2643" i="3"/>
  <c r="D2642" i="3"/>
  <c r="C2642" i="3"/>
  <c r="B2642" i="3"/>
  <c r="A2642" i="3"/>
  <c r="D2641" i="3"/>
  <c r="C2641" i="3"/>
  <c r="B2641" i="3"/>
  <c r="A2641" i="3"/>
  <c r="D2640" i="3"/>
  <c r="C2640" i="3"/>
  <c r="B2640" i="3"/>
  <c r="A2640" i="3"/>
  <c r="D2639" i="3"/>
  <c r="C2639" i="3"/>
  <c r="B2639" i="3"/>
  <c r="A2639" i="3"/>
  <c r="D2638" i="3"/>
  <c r="C2638" i="3"/>
  <c r="B2638" i="3"/>
  <c r="A2638" i="3"/>
  <c r="D2637" i="3"/>
  <c r="C2637" i="3"/>
  <c r="B2637" i="3"/>
  <c r="A2637" i="3"/>
  <c r="D2636" i="3"/>
  <c r="C2636" i="3"/>
  <c r="B2636" i="3"/>
  <c r="A2636" i="3"/>
  <c r="D2635" i="3"/>
  <c r="C2635" i="3"/>
  <c r="B2635" i="3"/>
  <c r="A2635" i="3"/>
  <c r="D2634" i="3"/>
  <c r="C2634" i="3"/>
  <c r="B2634" i="3"/>
  <c r="A2634" i="3"/>
  <c r="D2633" i="3"/>
  <c r="C2633" i="3"/>
  <c r="B2633" i="3"/>
  <c r="A2633" i="3"/>
  <c r="D2632" i="3"/>
  <c r="C2632" i="3"/>
  <c r="B2632" i="3"/>
  <c r="A2632" i="3"/>
  <c r="D2631" i="3"/>
  <c r="C2631" i="3"/>
  <c r="B2631" i="3"/>
  <c r="A2631" i="3"/>
  <c r="D2630" i="3"/>
  <c r="C2630" i="3"/>
  <c r="B2630" i="3"/>
  <c r="A2630" i="3"/>
  <c r="D2629" i="3"/>
  <c r="C2629" i="3"/>
  <c r="B2629" i="3"/>
  <c r="A2629" i="3"/>
  <c r="D2628" i="3"/>
  <c r="C2628" i="3"/>
  <c r="B2628" i="3"/>
  <c r="A2628" i="3"/>
  <c r="D2627" i="3"/>
  <c r="C2627" i="3"/>
  <c r="B2627" i="3"/>
  <c r="A2627" i="3"/>
  <c r="D2626" i="3"/>
  <c r="C2626" i="3"/>
  <c r="B2626" i="3"/>
  <c r="A2626" i="3"/>
  <c r="D2625" i="3"/>
  <c r="C2625" i="3"/>
  <c r="B2625" i="3"/>
  <c r="A2625" i="3"/>
  <c r="D2624" i="3"/>
  <c r="C2624" i="3"/>
  <c r="B2624" i="3"/>
  <c r="A2624" i="3"/>
  <c r="D2623" i="3"/>
  <c r="C2623" i="3"/>
  <c r="B2623" i="3"/>
  <c r="A2623" i="3"/>
  <c r="D2622" i="3"/>
  <c r="C2622" i="3"/>
  <c r="B2622" i="3"/>
  <c r="A2622" i="3"/>
  <c r="D2621" i="3"/>
  <c r="C2621" i="3"/>
  <c r="B2621" i="3"/>
  <c r="A2621" i="3"/>
  <c r="D2620" i="3"/>
  <c r="C2620" i="3"/>
  <c r="B2620" i="3"/>
  <c r="A2620" i="3"/>
  <c r="D2619" i="3"/>
  <c r="C2619" i="3"/>
  <c r="B2619" i="3"/>
  <c r="A2619" i="3"/>
  <c r="D2618" i="3"/>
  <c r="C2618" i="3"/>
  <c r="B2618" i="3"/>
  <c r="A2618" i="3"/>
  <c r="D2617" i="3"/>
  <c r="C2617" i="3"/>
  <c r="B2617" i="3"/>
  <c r="A2617" i="3"/>
  <c r="D2616" i="3"/>
  <c r="C2616" i="3"/>
  <c r="B2616" i="3"/>
  <c r="A2616" i="3"/>
  <c r="D2615" i="3"/>
  <c r="C2615" i="3"/>
  <c r="B2615" i="3"/>
  <c r="A2615" i="3"/>
  <c r="D2614" i="3"/>
  <c r="C2614" i="3"/>
  <c r="B2614" i="3"/>
  <c r="A2614" i="3"/>
  <c r="D2613" i="3"/>
  <c r="C2613" i="3"/>
  <c r="B2613" i="3"/>
  <c r="A2613" i="3"/>
  <c r="D2612" i="3"/>
  <c r="C2612" i="3"/>
  <c r="B2612" i="3"/>
  <c r="A2612" i="3"/>
  <c r="D2611" i="3"/>
  <c r="C2611" i="3"/>
  <c r="B2611" i="3"/>
  <c r="A2611" i="3"/>
  <c r="D2610" i="3"/>
  <c r="C2610" i="3"/>
  <c r="B2610" i="3"/>
  <c r="A2610" i="3"/>
  <c r="D2609" i="3"/>
  <c r="C2609" i="3"/>
  <c r="B2609" i="3"/>
  <c r="A2609" i="3"/>
  <c r="D2608" i="3"/>
  <c r="C2608" i="3"/>
  <c r="B2608" i="3"/>
  <c r="A2608" i="3"/>
  <c r="D2607" i="3"/>
  <c r="C2607" i="3"/>
  <c r="B2607" i="3"/>
  <c r="A2607" i="3"/>
  <c r="D2606" i="3"/>
  <c r="C2606" i="3"/>
  <c r="B2606" i="3"/>
  <c r="A2606" i="3"/>
  <c r="D2605" i="3"/>
  <c r="C2605" i="3"/>
  <c r="B2605" i="3"/>
  <c r="A2605" i="3"/>
  <c r="D2604" i="3"/>
  <c r="C2604" i="3"/>
  <c r="B2604" i="3"/>
  <c r="A2604" i="3"/>
  <c r="D2603" i="3"/>
  <c r="C2603" i="3"/>
  <c r="B2603" i="3"/>
  <c r="A2603" i="3"/>
  <c r="D2602" i="3"/>
  <c r="C2602" i="3"/>
  <c r="B2602" i="3"/>
  <c r="A2602" i="3"/>
  <c r="D2601" i="3"/>
  <c r="C2601" i="3"/>
  <c r="B2601" i="3"/>
  <c r="A2601" i="3"/>
  <c r="D2600" i="3"/>
  <c r="C2600" i="3"/>
  <c r="B2600" i="3"/>
  <c r="A2600" i="3"/>
  <c r="D2599" i="3"/>
  <c r="C2599" i="3"/>
  <c r="B2599" i="3"/>
  <c r="A2599" i="3"/>
  <c r="D2598" i="3"/>
  <c r="C2598" i="3"/>
  <c r="B2598" i="3"/>
  <c r="A2598" i="3"/>
  <c r="D2597" i="3"/>
  <c r="C2597" i="3"/>
  <c r="B2597" i="3"/>
  <c r="A2597" i="3"/>
  <c r="D2596" i="3"/>
  <c r="C2596" i="3"/>
  <c r="B2596" i="3"/>
  <c r="A2596" i="3"/>
  <c r="D2595" i="3"/>
  <c r="C2595" i="3"/>
  <c r="B2595" i="3"/>
  <c r="A2595" i="3"/>
  <c r="D2594" i="3"/>
  <c r="C2594" i="3"/>
  <c r="B2594" i="3"/>
  <c r="A2594" i="3"/>
  <c r="D2593" i="3"/>
  <c r="C2593" i="3"/>
  <c r="B2593" i="3"/>
  <c r="A2593" i="3"/>
  <c r="D2592" i="3"/>
  <c r="C2592" i="3"/>
  <c r="B2592" i="3"/>
  <c r="A2592" i="3"/>
  <c r="D2591" i="3"/>
  <c r="C2591" i="3"/>
  <c r="B2591" i="3"/>
  <c r="A2591" i="3"/>
  <c r="D2590" i="3"/>
  <c r="C2590" i="3"/>
  <c r="B2590" i="3"/>
  <c r="A2590" i="3"/>
  <c r="D2589" i="3"/>
  <c r="C2589" i="3"/>
  <c r="B2589" i="3"/>
  <c r="A2589" i="3"/>
  <c r="D2588" i="3"/>
  <c r="C2588" i="3"/>
  <c r="B2588" i="3"/>
  <c r="A2588" i="3"/>
  <c r="D2587" i="3"/>
  <c r="C2587" i="3"/>
  <c r="B2587" i="3"/>
  <c r="A2587" i="3"/>
  <c r="D2586" i="3"/>
  <c r="C2586" i="3"/>
  <c r="B2586" i="3"/>
  <c r="A2586" i="3"/>
  <c r="D2585" i="3"/>
  <c r="C2585" i="3"/>
  <c r="B2585" i="3"/>
  <c r="A2585" i="3"/>
  <c r="D2584" i="3"/>
  <c r="C2584" i="3"/>
  <c r="B2584" i="3"/>
  <c r="A2584" i="3"/>
  <c r="D2583" i="3"/>
  <c r="C2583" i="3"/>
  <c r="B2583" i="3"/>
  <c r="A2583" i="3"/>
  <c r="D2582" i="3"/>
  <c r="C2582" i="3"/>
  <c r="B2582" i="3"/>
  <c r="A2582" i="3"/>
  <c r="D2581" i="3"/>
  <c r="C2581" i="3"/>
  <c r="B2581" i="3"/>
  <c r="A2581" i="3"/>
  <c r="D2580" i="3"/>
  <c r="C2580" i="3"/>
  <c r="B2580" i="3"/>
  <c r="A2580" i="3"/>
  <c r="D2579" i="3"/>
  <c r="C2579" i="3"/>
  <c r="B2579" i="3"/>
  <c r="A2579" i="3"/>
  <c r="D2578" i="3"/>
  <c r="C2578" i="3"/>
  <c r="B2578" i="3"/>
  <c r="A2578" i="3"/>
  <c r="D2577" i="3"/>
  <c r="C2577" i="3"/>
  <c r="B2577" i="3"/>
  <c r="A2577" i="3"/>
  <c r="D2576" i="3"/>
  <c r="C2576" i="3"/>
  <c r="B2576" i="3"/>
  <c r="A2576" i="3"/>
  <c r="D2575" i="3"/>
  <c r="C2575" i="3"/>
  <c r="B2575" i="3"/>
  <c r="A2575" i="3"/>
  <c r="D2574" i="3"/>
  <c r="C2574" i="3"/>
  <c r="B2574" i="3"/>
  <c r="A2574" i="3"/>
  <c r="D2573" i="3"/>
  <c r="C2573" i="3"/>
  <c r="B2573" i="3"/>
  <c r="A2573" i="3"/>
  <c r="D2572" i="3"/>
  <c r="C2572" i="3"/>
  <c r="B2572" i="3"/>
  <c r="A2572" i="3"/>
  <c r="D2571" i="3"/>
  <c r="C2571" i="3"/>
  <c r="B2571" i="3"/>
  <c r="A2571" i="3"/>
  <c r="D2570" i="3"/>
  <c r="C2570" i="3"/>
  <c r="B2570" i="3"/>
  <c r="A2570" i="3"/>
  <c r="D2569" i="3"/>
  <c r="C2569" i="3"/>
  <c r="B2569" i="3"/>
  <c r="A2569" i="3"/>
  <c r="D2568" i="3"/>
  <c r="C2568" i="3"/>
  <c r="B2568" i="3"/>
  <c r="A2568" i="3"/>
  <c r="D2567" i="3"/>
  <c r="C2567" i="3"/>
  <c r="B2567" i="3"/>
  <c r="A2567" i="3"/>
  <c r="D2566" i="3"/>
  <c r="C2566" i="3"/>
  <c r="B2566" i="3"/>
  <c r="A2566" i="3"/>
  <c r="D2565" i="3"/>
  <c r="C2565" i="3"/>
  <c r="B2565" i="3"/>
  <c r="A2565" i="3"/>
  <c r="D2564" i="3"/>
  <c r="C2564" i="3"/>
  <c r="B2564" i="3"/>
  <c r="A2564" i="3"/>
  <c r="D2563" i="3"/>
  <c r="C2563" i="3"/>
  <c r="B2563" i="3"/>
  <c r="A2563" i="3"/>
  <c r="D2562" i="3"/>
  <c r="C2562" i="3"/>
  <c r="B2562" i="3"/>
  <c r="A2562" i="3"/>
  <c r="D2561" i="3"/>
  <c r="C2561" i="3"/>
  <c r="B2561" i="3"/>
  <c r="A2561" i="3"/>
  <c r="D2560" i="3"/>
  <c r="C2560" i="3"/>
  <c r="B2560" i="3"/>
  <c r="A2560" i="3"/>
  <c r="D2559" i="3"/>
  <c r="C2559" i="3"/>
  <c r="B2559" i="3"/>
  <c r="A2559" i="3"/>
  <c r="D2558" i="3"/>
  <c r="C2558" i="3"/>
  <c r="B2558" i="3"/>
  <c r="A2558" i="3"/>
  <c r="D2557" i="3"/>
  <c r="C2557" i="3"/>
  <c r="B2557" i="3"/>
  <c r="A2557" i="3"/>
  <c r="D2556" i="3"/>
  <c r="C2556" i="3"/>
  <c r="B2556" i="3"/>
  <c r="A2556" i="3"/>
  <c r="D2555" i="3"/>
  <c r="C2555" i="3"/>
  <c r="B2555" i="3"/>
  <c r="A2555" i="3"/>
  <c r="D2554" i="3"/>
  <c r="C2554" i="3"/>
  <c r="B2554" i="3"/>
  <c r="A2554" i="3"/>
  <c r="D2553" i="3"/>
  <c r="C2553" i="3"/>
  <c r="B2553" i="3"/>
  <c r="A2553" i="3"/>
  <c r="D2552" i="3"/>
  <c r="C2552" i="3"/>
  <c r="B2552" i="3"/>
  <c r="A2552" i="3"/>
  <c r="D2551" i="3"/>
  <c r="C2551" i="3"/>
  <c r="B2551" i="3"/>
  <c r="A2551" i="3"/>
  <c r="D2550" i="3"/>
  <c r="C2550" i="3"/>
  <c r="B2550" i="3"/>
  <c r="A2550" i="3"/>
  <c r="D2549" i="3"/>
  <c r="C2549" i="3"/>
  <c r="B2549" i="3"/>
  <c r="A2549" i="3"/>
  <c r="D2548" i="3"/>
  <c r="C2548" i="3"/>
  <c r="B2548" i="3"/>
  <c r="A2548" i="3"/>
  <c r="D2547" i="3"/>
  <c r="C2547" i="3"/>
  <c r="B2547" i="3"/>
  <c r="A2547" i="3"/>
  <c r="D2546" i="3"/>
  <c r="C2546" i="3"/>
  <c r="B2546" i="3"/>
  <c r="A2546" i="3"/>
  <c r="D2545" i="3"/>
  <c r="C2545" i="3"/>
  <c r="B2545" i="3"/>
  <c r="A2545" i="3"/>
  <c r="D2544" i="3"/>
  <c r="C2544" i="3"/>
  <c r="B2544" i="3"/>
  <c r="A2544" i="3"/>
  <c r="D2543" i="3"/>
  <c r="C2543" i="3"/>
  <c r="B2543" i="3"/>
  <c r="A2543" i="3"/>
  <c r="D2542" i="3"/>
  <c r="C2542" i="3"/>
  <c r="B2542" i="3"/>
  <c r="A2542" i="3"/>
  <c r="D2541" i="3"/>
  <c r="C2541" i="3"/>
  <c r="B2541" i="3"/>
  <c r="A2541" i="3"/>
  <c r="D2540" i="3"/>
  <c r="C2540" i="3"/>
  <c r="B2540" i="3"/>
  <c r="A2540" i="3"/>
  <c r="D2539" i="3"/>
  <c r="C2539" i="3"/>
  <c r="B2539" i="3"/>
  <c r="A2539" i="3"/>
  <c r="D2538" i="3"/>
  <c r="C2538" i="3"/>
  <c r="B2538" i="3"/>
  <c r="A2538" i="3"/>
  <c r="D2537" i="3"/>
  <c r="C2537" i="3"/>
  <c r="B2537" i="3"/>
  <c r="A2537" i="3"/>
  <c r="D2536" i="3"/>
  <c r="C2536" i="3"/>
  <c r="B2536" i="3"/>
  <c r="A2536" i="3"/>
  <c r="D2535" i="3"/>
  <c r="C2535" i="3"/>
  <c r="B2535" i="3"/>
  <c r="A2535" i="3"/>
  <c r="D2534" i="3"/>
  <c r="C2534" i="3"/>
  <c r="B2534" i="3"/>
  <c r="A2534" i="3"/>
  <c r="D2533" i="3"/>
  <c r="C2533" i="3"/>
  <c r="B2533" i="3"/>
  <c r="A2533" i="3"/>
  <c r="D2532" i="3"/>
  <c r="C2532" i="3"/>
  <c r="B2532" i="3"/>
  <c r="A2532" i="3"/>
  <c r="D2531" i="3"/>
  <c r="C2531" i="3"/>
  <c r="B2531" i="3"/>
  <c r="A2531" i="3"/>
  <c r="D2530" i="3"/>
  <c r="C2530" i="3"/>
  <c r="B2530" i="3"/>
  <c r="A2530" i="3"/>
  <c r="D2529" i="3"/>
  <c r="C2529" i="3"/>
  <c r="B2529" i="3"/>
  <c r="A2529" i="3"/>
  <c r="D2528" i="3"/>
  <c r="C2528" i="3"/>
  <c r="B2528" i="3"/>
  <c r="A2528" i="3"/>
  <c r="D2527" i="3"/>
  <c r="C2527" i="3"/>
  <c r="B2527" i="3"/>
  <c r="A2527" i="3"/>
  <c r="D2526" i="3"/>
  <c r="C2526" i="3"/>
  <c r="B2526" i="3"/>
  <c r="A2526" i="3"/>
  <c r="D2525" i="3"/>
  <c r="C2525" i="3"/>
  <c r="B2525" i="3"/>
  <c r="A2525" i="3"/>
  <c r="D2524" i="3"/>
  <c r="C2524" i="3"/>
  <c r="B2524" i="3"/>
  <c r="A2524" i="3"/>
  <c r="D2523" i="3"/>
  <c r="C2523" i="3"/>
  <c r="B2523" i="3"/>
  <c r="A2523" i="3"/>
  <c r="D2522" i="3"/>
  <c r="C2522" i="3"/>
  <c r="B2522" i="3"/>
  <c r="A2522" i="3"/>
  <c r="D2521" i="3"/>
  <c r="C2521" i="3"/>
  <c r="B2521" i="3"/>
  <c r="A2521" i="3"/>
  <c r="D2520" i="3"/>
  <c r="C2520" i="3"/>
  <c r="B2520" i="3"/>
  <c r="A2520" i="3"/>
  <c r="D2519" i="3"/>
  <c r="C2519" i="3"/>
  <c r="B2519" i="3"/>
  <c r="A2519" i="3"/>
  <c r="D2518" i="3"/>
  <c r="C2518" i="3"/>
  <c r="B2518" i="3"/>
  <c r="A2518" i="3"/>
  <c r="D2517" i="3"/>
  <c r="C2517" i="3"/>
  <c r="B2517" i="3"/>
  <c r="A2517" i="3"/>
  <c r="D2516" i="3"/>
  <c r="C2516" i="3"/>
  <c r="B2516" i="3"/>
  <c r="A2516" i="3"/>
  <c r="D2515" i="3"/>
  <c r="C2515" i="3"/>
  <c r="B2515" i="3"/>
  <c r="A2515" i="3"/>
  <c r="D2514" i="3"/>
  <c r="C2514" i="3"/>
  <c r="B2514" i="3"/>
  <c r="A2514" i="3"/>
  <c r="D2513" i="3"/>
  <c r="C2513" i="3"/>
  <c r="B2513" i="3"/>
  <c r="A2513" i="3"/>
  <c r="D2512" i="3"/>
  <c r="C2512" i="3"/>
  <c r="B2512" i="3"/>
  <c r="A2512" i="3"/>
  <c r="D2511" i="3"/>
  <c r="C2511" i="3"/>
  <c r="B2511" i="3"/>
  <c r="A2511" i="3"/>
  <c r="D2510" i="3"/>
  <c r="C2510" i="3"/>
  <c r="B2510" i="3"/>
  <c r="A2510" i="3"/>
  <c r="D2509" i="3"/>
  <c r="C2509" i="3"/>
  <c r="B2509" i="3"/>
  <c r="A2509" i="3"/>
  <c r="D2508" i="3"/>
  <c r="C2508" i="3"/>
  <c r="B2508" i="3"/>
  <c r="A2508" i="3"/>
  <c r="D2507" i="3"/>
  <c r="C2507" i="3"/>
  <c r="B2507" i="3"/>
  <c r="A2507" i="3"/>
  <c r="D2506" i="3"/>
  <c r="C2506" i="3"/>
  <c r="B2506" i="3"/>
  <c r="A2506" i="3"/>
  <c r="D2505" i="3"/>
  <c r="C2505" i="3"/>
  <c r="B2505" i="3"/>
  <c r="A2505" i="3"/>
  <c r="D2504" i="3"/>
  <c r="C2504" i="3"/>
  <c r="B2504" i="3"/>
  <c r="A2504" i="3"/>
  <c r="D2503" i="3"/>
  <c r="C2503" i="3"/>
  <c r="B2503" i="3"/>
  <c r="A2503" i="3"/>
  <c r="D2502" i="3"/>
  <c r="C2502" i="3"/>
  <c r="B2502" i="3"/>
  <c r="A2502" i="3"/>
  <c r="D2501" i="3"/>
  <c r="C2501" i="3"/>
  <c r="B2501" i="3"/>
  <c r="A2501" i="3"/>
  <c r="D2500" i="3"/>
  <c r="C2500" i="3"/>
  <c r="B2500" i="3"/>
  <c r="A2500" i="3"/>
  <c r="D2499" i="3"/>
  <c r="C2499" i="3"/>
  <c r="B2499" i="3"/>
  <c r="A2499" i="3"/>
  <c r="D2498" i="3"/>
  <c r="C2498" i="3"/>
  <c r="B2498" i="3"/>
  <c r="A2498" i="3"/>
  <c r="D2497" i="3"/>
  <c r="C2497" i="3"/>
  <c r="B2497" i="3"/>
  <c r="A2497" i="3"/>
  <c r="D2496" i="3"/>
  <c r="C2496" i="3"/>
  <c r="B2496" i="3"/>
  <c r="A2496" i="3"/>
  <c r="D2495" i="3"/>
  <c r="C2495" i="3"/>
  <c r="B2495" i="3"/>
  <c r="A2495" i="3"/>
  <c r="D2494" i="3"/>
  <c r="C2494" i="3"/>
  <c r="B2494" i="3"/>
  <c r="A2494" i="3"/>
  <c r="D2493" i="3"/>
  <c r="C2493" i="3"/>
  <c r="B2493" i="3"/>
  <c r="A2493" i="3"/>
  <c r="D2492" i="3"/>
  <c r="C2492" i="3"/>
  <c r="B2492" i="3"/>
  <c r="A2492" i="3"/>
  <c r="D2491" i="3"/>
  <c r="C2491" i="3"/>
  <c r="B2491" i="3"/>
  <c r="A2491" i="3"/>
  <c r="D2490" i="3"/>
  <c r="C2490" i="3"/>
  <c r="B2490" i="3"/>
  <c r="A2490" i="3"/>
  <c r="D2489" i="3"/>
  <c r="C2489" i="3"/>
  <c r="B2489" i="3"/>
  <c r="A2489" i="3"/>
  <c r="D2488" i="3"/>
  <c r="C2488" i="3"/>
  <c r="B2488" i="3"/>
  <c r="A2488" i="3"/>
  <c r="D2487" i="3"/>
  <c r="C2487" i="3"/>
  <c r="B2487" i="3"/>
  <c r="A2487" i="3"/>
  <c r="D2486" i="3"/>
  <c r="C2486" i="3"/>
  <c r="B2486" i="3"/>
  <c r="A2486" i="3"/>
  <c r="D2485" i="3"/>
  <c r="C2485" i="3"/>
  <c r="B2485" i="3"/>
  <c r="A2485" i="3"/>
  <c r="D2484" i="3"/>
  <c r="C2484" i="3"/>
  <c r="B2484" i="3"/>
  <c r="A2484" i="3"/>
  <c r="D2483" i="3"/>
  <c r="C2483" i="3"/>
  <c r="B2483" i="3"/>
  <c r="A2483" i="3"/>
  <c r="D2482" i="3"/>
  <c r="C2482" i="3"/>
  <c r="B2482" i="3"/>
  <c r="A2482" i="3"/>
  <c r="D2481" i="3"/>
  <c r="C2481" i="3"/>
  <c r="B2481" i="3"/>
  <c r="A2481" i="3"/>
  <c r="D2480" i="3"/>
  <c r="C2480" i="3"/>
  <c r="B2480" i="3"/>
  <c r="A2480" i="3"/>
  <c r="D2479" i="3"/>
  <c r="C2479" i="3"/>
  <c r="B2479" i="3"/>
  <c r="A2479" i="3"/>
  <c r="D2478" i="3"/>
  <c r="C2478" i="3"/>
  <c r="B2478" i="3"/>
  <c r="A2478" i="3"/>
  <c r="D2477" i="3"/>
  <c r="C2477" i="3"/>
  <c r="B2477" i="3"/>
  <c r="A2477" i="3"/>
  <c r="D2476" i="3"/>
  <c r="C2476" i="3"/>
  <c r="B2476" i="3"/>
  <c r="A2476" i="3"/>
  <c r="D2475" i="3"/>
  <c r="C2475" i="3"/>
  <c r="B2475" i="3"/>
  <c r="A2475" i="3"/>
  <c r="D2474" i="3"/>
  <c r="C2474" i="3"/>
  <c r="B2474" i="3"/>
  <c r="A2474" i="3"/>
  <c r="D2473" i="3"/>
  <c r="C2473" i="3"/>
  <c r="B2473" i="3"/>
  <c r="A2473" i="3"/>
  <c r="D2472" i="3"/>
  <c r="C2472" i="3"/>
  <c r="B2472" i="3"/>
  <c r="A2472" i="3"/>
  <c r="D2471" i="3"/>
  <c r="C2471" i="3"/>
  <c r="B2471" i="3"/>
  <c r="A2471" i="3"/>
  <c r="D2470" i="3"/>
  <c r="C2470" i="3"/>
  <c r="B2470" i="3"/>
  <c r="A2470" i="3"/>
  <c r="D2469" i="3"/>
  <c r="C2469" i="3"/>
  <c r="B2469" i="3"/>
  <c r="A2469" i="3"/>
  <c r="D2468" i="3"/>
  <c r="C2468" i="3"/>
  <c r="B2468" i="3"/>
  <c r="A2468" i="3"/>
  <c r="D2467" i="3"/>
  <c r="C2467" i="3"/>
  <c r="B2467" i="3"/>
  <c r="A2467" i="3"/>
  <c r="D2466" i="3"/>
  <c r="C2466" i="3"/>
  <c r="B2466" i="3"/>
  <c r="A2466" i="3"/>
  <c r="D2465" i="3"/>
  <c r="C2465" i="3"/>
  <c r="B2465" i="3"/>
  <c r="A2465" i="3"/>
  <c r="D2464" i="3"/>
  <c r="C2464" i="3"/>
  <c r="B2464" i="3"/>
  <c r="A2464" i="3"/>
  <c r="D2463" i="3"/>
  <c r="C2463" i="3"/>
  <c r="B2463" i="3"/>
  <c r="A2463" i="3"/>
  <c r="D2462" i="3"/>
  <c r="C2462" i="3"/>
  <c r="B2462" i="3"/>
  <c r="A2462" i="3"/>
  <c r="D2461" i="3"/>
  <c r="C2461" i="3"/>
  <c r="B2461" i="3"/>
  <c r="A2461" i="3"/>
  <c r="D2460" i="3"/>
  <c r="C2460" i="3"/>
  <c r="B2460" i="3"/>
  <c r="A2460" i="3"/>
  <c r="D2459" i="3"/>
  <c r="C2459" i="3"/>
  <c r="B2459" i="3"/>
  <c r="A2459" i="3"/>
  <c r="D2458" i="3"/>
  <c r="C2458" i="3"/>
  <c r="B2458" i="3"/>
  <c r="A2458" i="3"/>
  <c r="D2457" i="3"/>
  <c r="C2457" i="3"/>
  <c r="B2457" i="3"/>
  <c r="A2457" i="3"/>
  <c r="D2456" i="3"/>
  <c r="C2456" i="3"/>
  <c r="B2456" i="3"/>
  <c r="A2456" i="3"/>
  <c r="D2455" i="3"/>
  <c r="C2455" i="3"/>
  <c r="B2455" i="3"/>
  <c r="A2455" i="3"/>
  <c r="D2454" i="3"/>
  <c r="C2454" i="3"/>
  <c r="B2454" i="3"/>
  <c r="A2454" i="3"/>
  <c r="D2453" i="3"/>
  <c r="C2453" i="3"/>
  <c r="B2453" i="3"/>
  <c r="A2453" i="3"/>
  <c r="D2452" i="3"/>
  <c r="C2452" i="3"/>
  <c r="B2452" i="3"/>
  <c r="A2452" i="3"/>
  <c r="D2451" i="3"/>
  <c r="C2451" i="3"/>
  <c r="B2451" i="3"/>
  <c r="A2451" i="3"/>
  <c r="D2450" i="3"/>
  <c r="C2450" i="3"/>
  <c r="B2450" i="3"/>
  <c r="A2450" i="3"/>
  <c r="D2449" i="3"/>
  <c r="C2449" i="3"/>
  <c r="B2449" i="3"/>
  <c r="A2449" i="3"/>
  <c r="D2448" i="3"/>
  <c r="C2448" i="3"/>
  <c r="B2448" i="3"/>
  <c r="A2448" i="3"/>
  <c r="D2447" i="3"/>
  <c r="C2447" i="3"/>
  <c r="B2447" i="3"/>
  <c r="A2447" i="3"/>
  <c r="D2446" i="3"/>
  <c r="C2446" i="3"/>
  <c r="B2446" i="3"/>
  <c r="A2446" i="3"/>
  <c r="D2445" i="3"/>
  <c r="C2445" i="3"/>
  <c r="B2445" i="3"/>
  <c r="A2445" i="3"/>
  <c r="D2444" i="3"/>
  <c r="C2444" i="3"/>
  <c r="B2444" i="3"/>
  <c r="A2444" i="3"/>
  <c r="D2443" i="3"/>
  <c r="C2443" i="3"/>
  <c r="B2443" i="3"/>
  <c r="A2443" i="3"/>
  <c r="D2442" i="3"/>
  <c r="C2442" i="3"/>
  <c r="B2442" i="3"/>
  <c r="A2442" i="3"/>
  <c r="D2441" i="3"/>
  <c r="C2441" i="3"/>
  <c r="B2441" i="3"/>
  <c r="A2441" i="3"/>
  <c r="D2440" i="3"/>
  <c r="C2440" i="3"/>
  <c r="B2440" i="3"/>
  <c r="A2440" i="3"/>
  <c r="D2439" i="3"/>
  <c r="C2439" i="3"/>
  <c r="B2439" i="3"/>
  <c r="A2439" i="3"/>
  <c r="D2438" i="3"/>
  <c r="C2438" i="3"/>
  <c r="B2438" i="3"/>
  <c r="A2438" i="3"/>
  <c r="D2437" i="3"/>
  <c r="C2437" i="3"/>
  <c r="B2437" i="3"/>
  <c r="A2437" i="3"/>
  <c r="D2436" i="3"/>
  <c r="C2436" i="3"/>
  <c r="B2436" i="3"/>
  <c r="A2436" i="3"/>
  <c r="D2435" i="3"/>
  <c r="C2435" i="3"/>
  <c r="B2435" i="3"/>
  <c r="A2435" i="3"/>
  <c r="D2434" i="3"/>
  <c r="C2434" i="3"/>
  <c r="B2434" i="3"/>
  <c r="A2434" i="3"/>
  <c r="D2433" i="3"/>
  <c r="C2433" i="3"/>
  <c r="B2433" i="3"/>
  <c r="A2433" i="3"/>
  <c r="D2432" i="3"/>
  <c r="C2432" i="3"/>
  <c r="B2432" i="3"/>
  <c r="A2432" i="3"/>
  <c r="D2431" i="3"/>
  <c r="C2431" i="3"/>
  <c r="B2431" i="3"/>
  <c r="A2431" i="3"/>
  <c r="D2430" i="3"/>
  <c r="C2430" i="3"/>
  <c r="B2430" i="3"/>
  <c r="A2430" i="3"/>
  <c r="D2429" i="3"/>
  <c r="C2429" i="3"/>
  <c r="B2429" i="3"/>
  <c r="A2429" i="3"/>
  <c r="D2428" i="3"/>
  <c r="C2428" i="3"/>
  <c r="B2428" i="3"/>
  <c r="A2428" i="3"/>
  <c r="D2427" i="3"/>
  <c r="C2427" i="3"/>
  <c r="B2427" i="3"/>
  <c r="A2427" i="3"/>
  <c r="D2426" i="3"/>
  <c r="C2426" i="3"/>
  <c r="B2426" i="3"/>
  <c r="A2426" i="3"/>
  <c r="D2425" i="3"/>
  <c r="C2425" i="3"/>
  <c r="B2425" i="3"/>
  <c r="A2425" i="3"/>
  <c r="D2424" i="3"/>
  <c r="C2424" i="3"/>
  <c r="B2424" i="3"/>
  <c r="A2424" i="3"/>
  <c r="D2423" i="3"/>
  <c r="C2423" i="3"/>
  <c r="B2423" i="3"/>
  <c r="A2423" i="3"/>
  <c r="D2422" i="3"/>
  <c r="C2422" i="3"/>
  <c r="B2422" i="3"/>
  <c r="A2422" i="3"/>
  <c r="D2421" i="3"/>
  <c r="C2421" i="3"/>
  <c r="B2421" i="3"/>
  <c r="A2421" i="3"/>
  <c r="D2420" i="3"/>
  <c r="C2420" i="3"/>
  <c r="B2420" i="3"/>
  <c r="A2420" i="3"/>
  <c r="D2419" i="3"/>
  <c r="C2419" i="3"/>
  <c r="B2419" i="3"/>
  <c r="A2419" i="3"/>
  <c r="D2418" i="3"/>
  <c r="C2418" i="3"/>
  <c r="B2418" i="3"/>
  <c r="A2418" i="3"/>
  <c r="D2417" i="3"/>
  <c r="C2417" i="3"/>
  <c r="B2417" i="3"/>
  <c r="A2417" i="3"/>
  <c r="D2416" i="3"/>
  <c r="C2416" i="3"/>
  <c r="B2416" i="3"/>
  <c r="A2416" i="3"/>
  <c r="D2415" i="3"/>
  <c r="C2415" i="3"/>
  <c r="B2415" i="3"/>
  <c r="A2415" i="3"/>
  <c r="D2414" i="3"/>
  <c r="C2414" i="3"/>
  <c r="B2414" i="3"/>
  <c r="A2414" i="3"/>
  <c r="D2413" i="3"/>
  <c r="C2413" i="3"/>
  <c r="B2413" i="3"/>
  <c r="A2413" i="3"/>
  <c r="D2412" i="3"/>
  <c r="C2412" i="3"/>
  <c r="B2412" i="3"/>
  <c r="A2412" i="3"/>
  <c r="D2411" i="3"/>
  <c r="C2411" i="3"/>
  <c r="B2411" i="3"/>
  <c r="A2411" i="3"/>
  <c r="D2410" i="3"/>
  <c r="C2410" i="3"/>
  <c r="B2410" i="3"/>
  <c r="A2410" i="3"/>
  <c r="D2409" i="3"/>
  <c r="C2409" i="3"/>
  <c r="B2409" i="3"/>
  <c r="A2409" i="3"/>
  <c r="D2408" i="3"/>
  <c r="C2408" i="3"/>
  <c r="B2408" i="3"/>
  <c r="A2408" i="3"/>
  <c r="D2407" i="3"/>
  <c r="C2407" i="3"/>
  <c r="B2407" i="3"/>
  <c r="A2407" i="3"/>
  <c r="E2406" i="3"/>
  <c r="D2406" i="3"/>
  <c r="C2406" i="3"/>
  <c r="B2406" i="3"/>
  <c r="A2406" i="3"/>
  <c r="I2405" i="3"/>
  <c r="H2405" i="3"/>
  <c r="G2405" i="3"/>
  <c r="F2405" i="3"/>
  <c r="E2405" i="3"/>
  <c r="D2405" i="3"/>
  <c r="C2405" i="3"/>
  <c r="B2405" i="3"/>
  <c r="A2405" i="3"/>
  <c r="I2404" i="3"/>
  <c r="H2404" i="3"/>
  <c r="G2404" i="3"/>
  <c r="F2404" i="3"/>
  <c r="E2404" i="3"/>
  <c r="D2404" i="3"/>
  <c r="C2404" i="3"/>
  <c r="B2404" i="3"/>
  <c r="A2404" i="3"/>
  <c r="I2403" i="3"/>
  <c r="H2403" i="3"/>
  <c r="G2403" i="3"/>
  <c r="F2403" i="3"/>
  <c r="E2403" i="3"/>
  <c r="D2403" i="3"/>
  <c r="C2403" i="3"/>
  <c r="B2403" i="3"/>
  <c r="A2403" i="3"/>
  <c r="I2402" i="3"/>
  <c r="H2402" i="3"/>
  <c r="G2402" i="3"/>
  <c r="F2402" i="3"/>
  <c r="E2402" i="3"/>
  <c r="D2402" i="3"/>
  <c r="C2402" i="3"/>
  <c r="B2402" i="3"/>
  <c r="A2402" i="3"/>
  <c r="I2401" i="3"/>
  <c r="H2401" i="3"/>
  <c r="G2401" i="3"/>
  <c r="F2401" i="3"/>
  <c r="E2401" i="3"/>
  <c r="D2401" i="3"/>
  <c r="C2401" i="3"/>
  <c r="B2401" i="3"/>
  <c r="A2401" i="3"/>
  <c r="I2400" i="3"/>
  <c r="H2400" i="3"/>
  <c r="G2400" i="3"/>
  <c r="F2400" i="3"/>
  <c r="E2400" i="3"/>
  <c r="D2400" i="3"/>
  <c r="C2400" i="3"/>
  <c r="B2400" i="3"/>
  <c r="A2400" i="3"/>
  <c r="I2399" i="3"/>
  <c r="H2399" i="3"/>
  <c r="G2399" i="3"/>
  <c r="F2399" i="3"/>
  <c r="E2399" i="3"/>
  <c r="D2399" i="3"/>
  <c r="C2399" i="3"/>
  <c r="B2399" i="3"/>
  <c r="A2399" i="3"/>
  <c r="I2398" i="3"/>
  <c r="H2398" i="3"/>
  <c r="G2398" i="3"/>
  <c r="F2398" i="3"/>
  <c r="E2398" i="3"/>
  <c r="D2398" i="3"/>
  <c r="C2398" i="3"/>
  <c r="B2398" i="3"/>
  <c r="A2398" i="3"/>
  <c r="I2397" i="3"/>
  <c r="H2397" i="3"/>
  <c r="G2397" i="3"/>
  <c r="F2397" i="3"/>
  <c r="E2397" i="3"/>
  <c r="D2397" i="3"/>
  <c r="C2397" i="3"/>
  <c r="B2397" i="3"/>
  <c r="A2397" i="3"/>
  <c r="I2396" i="3"/>
  <c r="H2396" i="3"/>
  <c r="G2396" i="3"/>
  <c r="F2396" i="3"/>
  <c r="E2396" i="3"/>
  <c r="D2396" i="3"/>
  <c r="C2396" i="3"/>
  <c r="B2396" i="3"/>
  <c r="A2396" i="3"/>
  <c r="I2395" i="3"/>
  <c r="H2395" i="3"/>
  <c r="G2395" i="3"/>
  <c r="F2395" i="3"/>
  <c r="E2395" i="3"/>
  <c r="D2395" i="3"/>
  <c r="C2395" i="3"/>
  <c r="B2395" i="3"/>
  <c r="A2395" i="3"/>
  <c r="I2394" i="3"/>
  <c r="H2394" i="3"/>
  <c r="G2394" i="3"/>
  <c r="F2394" i="3"/>
  <c r="E2394" i="3"/>
  <c r="D2394" i="3"/>
  <c r="C2394" i="3"/>
  <c r="B2394" i="3"/>
  <c r="A2394" i="3"/>
  <c r="I2393" i="3"/>
  <c r="H2393" i="3"/>
  <c r="G2393" i="3"/>
  <c r="F2393" i="3"/>
  <c r="E2393" i="3"/>
  <c r="D2393" i="3"/>
  <c r="C2393" i="3"/>
  <c r="B2393" i="3"/>
  <c r="A2393" i="3"/>
  <c r="I2392" i="3"/>
  <c r="H2392" i="3"/>
  <c r="G2392" i="3"/>
  <c r="F2392" i="3"/>
  <c r="E2392" i="3"/>
  <c r="D2392" i="3"/>
  <c r="C2392" i="3"/>
  <c r="B2392" i="3"/>
  <c r="A2392" i="3"/>
  <c r="I2391" i="3"/>
  <c r="H2391" i="3"/>
  <c r="G2391" i="3"/>
  <c r="F2391" i="3"/>
  <c r="E2391" i="3"/>
  <c r="D2391" i="3"/>
  <c r="C2391" i="3"/>
  <c r="B2391" i="3"/>
  <c r="A2391" i="3"/>
  <c r="I2390" i="3"/>
  <c r="H2390" i="3"/>
  <c r="G2390" i="3"/>
  <c r="F2390" i="3"/>
  <c r="E2390" i="3"/>
  <c r="D2390" i="3"/>
  <c r="C2390" i="3"/>
  <c r="B2390" i="3"/>
  <c r="A2390" i="3"/>
  <c r="I2389" i="3"/>
  <c r="H2389" i="3"/>
  <c r="G2389" i="3"/>
  <c r="F2389" i="3"/>
  <c r="E2389" i="3"/>
  <c r="D2389" i="3"/>
  <c r="C2389" i="3"/>
  <c r="B2389" i="3"/>
  <c r="A2389" i="3"/>
  <c r="I2388" i="3"/>
  <c r="H2388" i="3"/>
  <c r="G2388" i="3"/>
  <c r="F2388" i="3"/>
  <c r="E2388" i="3"/>
  <c r="D2388" i="3"/>
  <c r="C2388" i="3"/>
  <c r="B2388" i="3"/>
  <c r="A2388" i="3"/>
  <c r="I2387" i="3"/>
  <c r="H2387" i="3"/>
  <c r="G2387" i="3"/>
  <c r="F2387" i="3"/>
  <c r="E2387" i="3"/>
  <c r="D2387" i="3"/>
  <c r="C2387" i="3"/>
  <c r="B2387" i="3"/>
  <c r="A2387" i="3"/>
  <c r="I2386" i="3"/>
  <c r="H2386" i="3"/>
  <c r="G2386" i="3"/>
  <c r="F2386" i="3"/>
  <c r="E2386" i="3"/>
  <c r="D2386" i="3"/>
  <c r="C2386" i="3"/>
  <c r="B2386" i="3"/>
  <c r="A2386" i="3"/>
  <c r="I2385" i="3"/>
  <c r="H2385" i="3"/>
  <c r="G2385" i="3"/>
  <c r="F2385" i="3"/>
  <c r="E2385" i="3"/>
  <c r="D2385" i="3"/>
  <c r="C2385" i="3"/>
  <c r="B2385" i="3"/>
  <c r="A2385" i="3"/>
  <c r="I2384" i="3"/>
  <c r="H2384" i="3"/>
  <c r="G2384" i="3"/>
  <c r="F2384" i="3"/>
  <c r="E2384" i="3"/>
  <c r="D2384" i="3"/>
  <c r="C2384" i="3"/>
  <c r="B2384" i="3"/>
  <c r="A2384" i="3"/>
  <c r="I2383" i="3"/>
  <c r="H2383" i="3"/>
  <c r="G2383" i="3"/>
  <c r="F2383" i="3"/>
  <c r="E2383" i="3"/>
  <c r="D2383" i="3"/>
  <c r="C2383" i="3"/>
  <c r="B2383" i="3"/>
  <c r="A2383" i="3"/>
  <c r="I2382" i="3"/>
  <c r="H2382" i="3"/>
  <c r="G2382" i="3"/>
  <c r="F2382" i="3"/>
  <c r="E2382" i="3"/>
  <c r="D2382" i="3"/>
  <c r="C2382" i="3"/>
  <c r="B2382" i="3"/>
  <c r="A2382" i="3"/>
  <c r="I2381" i="3"/>
  <c r="H2381" i="3"/>
  <c r="G2381" i="3"/>
  <c r="F2381" i="3"/>
  <c r="E2381" i="3"/>
  <c r="D2381" i="3"/>
  <c r="C2381" i="3"/>
  <c r="B2381" i="3"/>
  <c r="A2381" i="3"/>
  <c r="I2380" i="3"/>
  <c r="H2380" i="3"/>
  <c r="G2380" i="3"/>
  <c r="F2380" i="3"/>
  <c r="E2380" i="3"/>
  <c r="D2380" i="3"/>
  <c r="C2380" i="3"/>
  <c r="B2380" i="3"/>
  <c r="A2380" i="3"/>
  <c r="I2379" i="3"/>
  <c r="H2379" i="3"/>
  <c r="G2379" i="3"/>
  <c r="F2379" i="3"/>
  <c r="E2379" i="3"/>
  <c r="D2379" i="3"/>
  <c r="C2379" i="3"/>
  <c r="B2379" i="3"/>
  <c r="A2379" i="3"/>
  <c r="I2378" i="3"/>
  <c r="H2378" i="3"/>
  <c r="G2378" i="3"/>
  <c r="F2378" i="3"/>
  <c r="E2378" i="3"/>
  <c r="D2378" i="3"/>
  <c r="C2378" i="3"/>
  <c r="B2378" i="3"/>
  <c r="A2378" i="3"/>
  <c r="I2377" i="3"/>
  <c r="H2377" i="3"/>
  <c r="G2377" i="3"/>
  <c r="F2377" i="3"/>
  <c r="E2377" i="3"/>
  <c r="D2377" i="3"/>
  <c r="C2377" i="3"/>
  <c r="B2377" i="3"/>
  <c r="A2377" i="3"/>
  <c r="I2376" i="3"/>
  <c r="H2376" i="3"/>
  <c r="G2376" i="3"/>
  <c r="F2376" i="3"/>
  <c r="E2376" i="3"/>
  <c r="D2376" i="3"/>
  <c r="C2376" i="3"/>
  <c r="B2376" i="3"/>
  <c r="A2376" i="3"/>
  <c r="I2375" i="3"/>
  <c r="H2375" i="3"/>
  <c r="G2375" i="3"/>
  <c r="F2375" i="3"/>
  <c r="E2375" i="3"/>
  <c r="D2375" i="3"/>
  <c r="C2375" i="3"/>
  <c r="B2375" i="3"/>
  <c r="A2375" i="3"/>
  <c r="I2374" i="3"/>
  <c r="H2374" i="3"/>
  <c r="G2374" i="3"/>
  <c r="F2374" i="3"/>
  <c r="E2374" i="3"/>
  <c r="D2374" i="3"/>
  <c r="C2374" i="3"/>
  <c r="B2374" i="3"/>
  <c r="A2374" i="3"/>
  <c r="I2373" i="3"/>
  <c r="H2373" i="3"/>
  <c r="G2373" i="3"/>
  <c r="F2373" i="3"/>
  <c r="E2373" i="3"/>
  <c r="D2373" i="3"/>
  <c r="C2373" i="3"/>
  <c r="B2373" i="3"/>
  <c r="A2373" i="3"/>
  <c r="I2372" i="3"/>
  <c r="H2372" i="3"/>
  <c r="G2372" i="3"/>
  <c r="F2372" i="3"/>
  <c r="E2372" i="3"/>
  <c r="D2372" i="3"/>
  <c r="C2372" i="3"/>
  <c r="B2372" i="3"/>
  <c r="A2372" i="3"/>
  <c r="I2371" i="3"/>
  <c r="H2371" i="3"/>
  <c r="G2371" i="3"/>
  <c r="F2371" i="3"/>
  <c r="E2371" i="3"/>
  <c r="D2371" i="3"/>
  <c r="C2371" i="3"/>
  <c r="B2371" i="3"/>
  <c r="A2371" i="3"/>
  <c r="I2370" i="3"/>
  <c r="H2370" i="3"/>
  <c r="G2370" i="3"/>
  <c r="F2370" i="3"/>
  <c r="E2370" i="3"/>
  <c r="D2370" i="3"/>
  <c r="C2370" i="3"/>
  <c r="B2370" i="3"/>
  <c r="A2370" i="3"/>
  <c r="I2369" i="3"/>
  <c r="H2369" i="3"/>
  <c r="G2369" i="3"/>
  <c r="F2369" i="3"/>
  <c r="E2369" i="3"/>
  <c r="D2369" i="3"/>
  <c r="C2369" i="3"/>
  <c r="B2369" i="3"/>
  <c r="A2369" i="3"/>
  <c r="I2368" i="3"/>
  <c r="H2368" i="3"/>
  <c r="G2368" i="3"/>
  <c r="F2368" i="3"/>
  <c r="E2368" i="3"/>
  <c r="D2368" i="3"/>
  <c r="C2368" i="3"/>
  <c r="B2368" i="3"/>
  <c r="A2368" i="3"/>
  <c r="I2367" i="3"/>
  <c r="H2367" i="3"/>
  <c r="G2367" i="3"/>
  <c r="F2367" i="3"/>
  <c r="E2367" i="3"/>
  <c r="D2367" i="3"/>
  <c r="C2367" i="3"/>
  <c r="B2367" i="3"/>
  <c r="A2367" i="3"/>
  <c r="I2366" i="3"/>
  <c r="H2366" i="3"/>
  <c r="G2366" i="3"/>
  <c r="F2366" i="3"/>
  <c r="E2366" i="3"/>
  <c r="D2366" i="3"/>
  <c r="C2366" i="3"/>
  <c r="B2366" i="3"/>
  <c r="A2366" i="3"/>
  <c r="I2365" i="3"/>
  <c r="H2365" i="3"/>
  <c r="G2365" i="3"/>
  <c r="F2365" i="3"/>
  <c r="E2365" i="3"/>
  <c r="D2365" i="3"/>
  <c r="C2365" i="3"/>
  <c r="B2365" i="3"/>
  <c r="A2365" i="3"/>
  <c r="I2364" i="3"/>
  <c r="H2364" i="3"/>
  <c r="G2364" i="3"/>
  <c r="F2364" i="3"/>
  <c r="E2364" i="3"/>
  <c r="D2364" i="3"/>
  <c r="C2364" i="3"/>
  <c r="B2364" i="3"/>
  <c r="A2364" i="3"/>
  <c r="I2363" i="3"/>
  <c r="H2363" i="3"/>
  <c r="G2363" i="3"/>
  <c r="F2363" i="3"/>
  <c r="E2363" i="3"/>
  <c r="D2363" i="3"/>
  <c r="C2363" i="3"/>
  <c r="B2363" i="3"/>
  <c r="A2363" i="3"/>
  <c r="I2362" i="3"/>
  <c r="H2362" i="3"/>
  <c r="G2362" i="3"/>
  <c r="F2362" i="3"/>
  <c r="E2362" i="3"/>
  <c r="D2362" i="3"/>
  <c r="C2362" i="3"/>
  <c r="B2362" i="3"/>
  <c r="A2362" i="3"/>
  <c r="I2361" i="3"/>
  <c r="H2361" i="3"/>
  <c r="G2361" i="3"/>
  <c r="F2361" i="3"/>
  <c r="E2361" i="3"/>
  <c r="D2361" i="3"/>
  <c r="C2361" i="3"/>
  <c r="B2361" i="3"/>
  <c r="A2361" i="3"/>
  <c r="I2360" i="3"/>
  <c r="H2360" i="3"/>
  <c r="G2360" i="3"/>
  <c r="F2360" i="3"/>
  <c r="E2360" i="3"/>
  <c r="D2360" i="3"/>
  <c r="C2360" i="3"/>
  <c r="B2360" i="3"/>
  <c r="A2360" i="3"/>
  <c r="I2359" i="3"/>
  <c r="H2359" i="3"/>
  <c r="G2359" i="3"/>
  <c r="F2359" i="3"/>
  <c r="E2359" i="3"/>
  <c r="D2359" i="3"/>
  <c r="C2359" i="3"/>
  <c r="B2359" i="3"/>
  <c r="A2359" i="3"/>
  <c r="I2358" i="3"/>
  <c r="H2358" i="3"/>
  <c r="G2358" i="3"/>
  <c r="F2358" i="3"/>
  <c r="E2358" i="3"/>
  <c r="D2358" i="3"/>
  <c r="C2358" i="3"/>
  <c r="B2358" i="3"/>
  <c r="A2358" i="3"/>
  <c r="I2357" i="3"/>
  <c r="H2357" i="3"/>
  <c r="G2357" i="3"/>
  <c r="F2357" i="3"/>
  <c r="E2357" i="3"/>
  <c r="D2357" i="3"/>
  <c r="C2357" i="3"/>
  <c r="B2357" i="3"/>
  <c r="A2357" i="3"/>
  <c r="I2356" i="3"/>
  <c r="H2356" i="3"/>
  <c r="G2356" i="3"/>
  <c r="F2356" i="3"/>
  <c r="E2356" i="3"/>
  <c r="D2356" i="3"/>
  <c r="C2356" i="3"/>
  <c r="B2356" i="3"/>
  <c r="A2356" i="3"/>
  <c r="I2355" i="3"/>
  <c r="H2355" i="3"/>
  <c r="G2355" i="3"/>
  <c r="F2355" i="3"/>
  <c r="E2355" i="3"/>
  <c r="D2355" i="3"/>
  <c r="C2355" i="3"/>
  <c r="B2355" i="3"/>
  <c r="A2355" i="3"/>
  <c r="I2354" i="3"/>
  <c r="H2354" i="3"/>
  <c r="G2354" i="3"/>
  <c r="F2354" i="3"/>
  <c r="E2354" i="3"/>
  <c r="D2354" i="3"/>
  <c r="C2354" i="3"/>
  <c r="B2354" i="3"/>
  <c r="A2354" i="3"/>
  <c r="I2353" i="3"/>
  <c r="H2353" i="3"/>
  <c r="G2353" i="3"/>
  <c r="F2353" i="3"/>
  <c r="E2353" i="3"/>
  <c r="D2353" i="3"/>
  <c r="C2353" i="3"/>
  <c r="B2353" i="3"/>
  <c r="A2353" i="3"/>
  <c r="I2352" i="3"/>
  <c r="H2352" i="3"/>
  <c r="G2352" i="3"/>
  <c r="F2352" i="3"/>
  <c r="E2352" i="3"/>
  <c r="D2352" i="3"/>
  <c r="C2352" i="3"/>
  <c r="B2352" i="3"/>
  <c r="A2352" i="3"/>
  <c r="I2351" i="3"/>
  <c r="H2351" i="3"/>
  <c r="G2351" i="3"/>
  <c r="F2351" i="3"/>
  <c r="E2351" i="3"/>
  <c r="D2351" i="3"/>
  <c r="C2351" i="3"/>
  <c r="B2351" i="3"/>
  <c r="A2351" i="3"/>
  <c r="I2350" i="3"/>
  <c r="H2350" i="3"/>
  <c r="G2350" i="3"/>
  <c r="F2350" i="3"/>
  <c r="E2350" i="3"/>
  <c r="D2350" i="3"/>
  <c r="C2350" i="3"/>
  <c r="B2350" i="3"/>
  <c r="A2350" i="3"/>
  <c r="I2349" i="3"/>
  <c r="H2349" i="3"/>
  <c r="G2349" i="3"/>
  <c r="F2349" i="3"/>
  <c r="E2349" i="3"/>
  <c r="D2349" i="3"/>
  <c r="C2349" i="3"/>
  <c r="B2349" i="3"/>
  <c r="A2349" i="3"/>
  <c r="I2348" i="3"/>
  <c r="H2348" i="3"/>
  <c r="G2348" i="3"/>
  <c r="F2348" i="3"/>
  <c r="E2348" i="3"/>
  <c r="D2348" i="3"/>
  <c r="C2348" i="3"/>
  <c r="B2348" i="3"/>
  <c r="A2348" i="3"/>
  <c r="I2347" i="3"/>
  <c r="H2347" i="3"/>
  <c r="G2347" i="3"/>
  <c r="F2347" i="3"/>
  <c r="E2347" i="3"/>
  <c r="D2347" i="3"/>
  <c r="C2347" i="3"/>
  <c r="B2347" i="3"/>
  <c r="A2347" i="3"/>
  <c r="I2346" i="3"/>
  <c r="H2346" i="3"/>
  <c r="G2346" i="3"/>
  <c r="F2346" i="3"/>
  <c r="E2346" i="3"/>
  <c r="D2346" i="3"/>
  <c r="C2346" i="3"/>
  <c r="B2346" i="3"/>
  <c r="A2346" i="3"/>
  <c r="I2345" i="3"/>
  <c r="H2345" i="3"/>
  <c r="G2345" i="3"/>
  <c r="F2345" i="3"/>
  <c r="E2345" i="3"/>
  <c r="D2345" i="3"/>
  <c r="C2345" i="3"/>
  <c r="B2345" i="3"/>
  <c r="A2345" i="3"/>
  <c r="I2344" i="3"/>
  <c r="H2344" i="3"/>
  <c r="G2344" i="3"/>
  <c r="F2344" i="3"/>
  <c r="E2344" i="3"/>
  <c r="D2344" i="3"/>
  <c r="C2344" i="3"/>
  <c r="B2344" i="3"/>
  <c r="A2344" i="3"/>
  <c r="I2343" i="3"/>
  <c r="H2343" i="3"/>
  <c r="G2343" i="3"/>
  <c r="F2343" i="3"/>
  <c r="E2343" i="3"/>
  <c r="D2343" i="3"/>
  <c r="C2343" i="3"/>
  <c r="B2343" i="3"/>
  <c r="A2343" i="3"/>
  <c r="I2342" i="3"/>
  <c r="H2342" i="3"/>
  <c r="G2342" i="3"/>
  <c r="F2342" i="3"/>
  <c r="E2342" i="3"/>
  <c r="D2342" i="3"/>
  <c r="C2342" i="3"/>
  <c r="B2342" i="3"/>
  <c r="A2342" i="3"/>
  <c r="I2341" i="3"/>
  <c r="H2341" i="3"/>
  <c r="G2341" i="3"/>
  <c r="F2341" i="3"/>
  <c r="E2341" i="3"/>
  <c r="D2341" i="3"/>
  <c r="C2341" i="3"/>
  <c r="B2341" i="3"/>
  <c r="A2341" i="3"/>
  <c r="I2340" i="3"/>
  <c r="H2340" i="3"/>
  <c r="G2340" i="3"/>
  <c r="F2340" i="3"/>
  <c r="E2340" i="3"/>
  <c r="D2340" i="3"/>
  <c r="C2340" i="3"/>
  <c r="B2340" i="3"/>
  <c r="A2340" i="3"/>
  <c r="I2339" i="3"/>
  <c r="H2339" i="3"/>
  <c r="G2339" i="3"/>
  <c r="F2339" i="3"/>
  <c r="E2339" i="3"/>
  <c r="D2339" i="3"/>
  <c r="C2339" i="3"/>
  <c r="B2339" i="3"/>
  <c r="A2339" i="3"/>
  <c r="I2338" i="3"/>
  <c r="H2338" i="3"/>
  <c r="G2338" i="3"/>
  <c r="F2338" i="3"/>
  <c r="E2338" i="3"/>
  <c r="D2338" i="3"/>
  <c r="C2338" i="3"/>
  <c r="B2338" i="3"/>
  <c r="A2338" i="3"/>
  <c r="I2337" i="3"/>
  <c r="H2337" i="3"/>
  <c r="G2337" i="3"/>
  <c r="F2337" i="3"/>
  <c r="E2337" i="3"/>
  <c r="D2337" i="3"/>
  <c r="C2337" i="3"/>
  <c r="B2337" i="3"/>
  <c r="A2337" i="3"/>
  <c r="I2336" i="3"/>
  <c r="H2336" i="3"/>
  <c r="G2336" i="3"/>
  <c r="F2336" i="3"/>
  <c r="E2336" i="3"/>
  <c r="D2336" i="3"/>
  <c r="C2336" i="3"/>
  <c r="B2336" i="3"/>
  <c r="A2336" i="3"/>
  <c r="I2335" i="3"/>
  <c r="H2335" i="3"/>
  <c r="G2335" i="3"/>
  <c r="F2335" i="3"/>
  <c r="E2335" i="3"/>
  <c r="D2335" i="3"/>
  <c r="C2335" i="3"/>
  <c r="B2335" i="3"/>
  <c r="A2335" i="3"/>
  <c r="I2334" i="3"/>
  <c r="H2334" i="3"/>
  <c r="G2334" i="3"/>
  <c r="F2334" i="3"/>
  <c r="E2334" i="3"/>
  <c r="D2334" i="3"/>
  <c r="C2334" i="3"/>
  <c r="B2334" i="3"/>
  <c r="A2334" i="3"/>
  <c r="I2333" i="3"/>
  <c r="H2333" i="3"/>
  <c r="G2333" i="3"/>
  <c r="F2333" i="3"/>
  <c r="E2333" i="3"/>
  <c r="D2333" i="3"/>
  <c r="C2333" i="3"/>
  <c r="B2333" i="3"/>
  <c r="A2333" i="3"/>
  <c r="I2332" i="3"/>
  <c r="H2332" i="3"/>
  <c r="G2332" i="3"/>
  <c r="F2332" i="3"/>
  <c r="E2332" i="3"/>
  <c r="D2332" i="3"/>
  <c r="C2332" i="3"/>
  <c r="B2332" i="3"/>
  <c r="A2332" i="3"/>
  <c r="I2331" i="3"/>
  <c r="H2331" i="3"/>
  <c r="G2331" i="3"/>
  <c r="F2331" i="3"/>
  <c r="E2331" i="3"/>
  <c r="D2331" i="3"/>
  <c r="C2331" i="3"/>
  <c r="B2331" i="3"/>
  <c r="A2331" i="3"/>
  <c r="I2330" i="3"/>
  <c r="H2330" i="3"/>
  <c r="G2330" i="3"/>
  <c r="F2330" i="3"/>
  <c r="E2330" i="3"/>
  <c r="D2330" i="3"/>
  <c r="C2330" i="3"/>
  <c r="B2330" i="3"/>
  <c r="A2330" i="3"/>
  <c r="I2329" i="3"/>
  <c r="H2329" i="3"/>
  <c r="G2329" i="3"/>
  <c r="F2329" i="3"/>
  <c r="E2329" i="3"/>
  <c r="D2329" i="3"/>
  <c r="C2329" i="3"/>
  <c r="B2329" i="3"/>
  <c r="A2329" i="3"/>
  <c r="I2328" i="3"/>
  <c r="H2328" i="3"/>
  <c r="G2328" i="3"/>
  <c r="F2328" i="3"/>
  <c r="E2328" i="3"/>
  <c r="D2328" i="3"/>
  <c r="C2328" i="3"/>
  <c r="B2328" i="3"/>
  <c r="A2328" i="3"/>
  <c r="I2327" i="3"/>
  <c r="H2327" i="3"/>
  <c r="G2327" i="3"/>
  <c r="F2327" i="3"/>
  <c r="E2327" i="3"/>
  <c r="D2327" i="3"/>
  <c r="C2327" i="3"/>
  <c r="B2327" i="3"/>
  <c r="A2327" i="3"/>
  <c r="I2326" i="3"/>
  <c r="H2326" i="3"/>
  <c r="G2326" i="3"/>
  <c r="F2326" i="3"/>
  <c r="E2326" i="3"/>
  <c r="D2326" i="3"/>
  <c r="C2326" i="3"/>
  <c r="B2326" i="3"/>
  <c r="A2326" i="3"/>
  <c r="I2325" i="3"/>
  <c r="H2325" i="3"/>
  <c r="G2325" i="3"/>
  <c r="F2325" i="3"/>
  <c r="E2325" i="3"/>
  <c r="D2325" i="3"/>
  <c r="C2325" i="3"/>
  <c r="B2325" i="3"/>
  <c r="A2325" i="3"/>
  <c r="I2324" i="3"/>
  <c r="H2324" i="3"/>
  <c r="G2324" i="3"/>
  <c r="F2324" i="3"/>
  <c r="E2324" i="3"/>
  <c r="D2324" i="3"/>
  <c r="C2324" i="3"/>
  <c r="B2324" i="3"/>
  <c r="A2324" i="3"/>
  <c r="I2323" i="3"/>
  <c r="H2323" i="3"/>
  <c r="G2323" i="3"/>
  <c r="F2323" i="3"/>
  <c r="E2323" i="3"/>
  <c r="D2323" i="3"/>
  <c r="C2323" i="3"/>
  <c r="B2323" i="3"/>
  <c r="A2323" i="3"/>
  <c r="I2322" i="3"/>
  <c r="H2322" i="3"/>
  <c r="G2322" i="3"/>
  <c r="F2322" i="3"/>
  <c r="E2322" i="3"/>
  <c r="D2322" i="3"/>
  <c r="C2322" i="3"/>
  <c r="B2322" i="3"/>
  <c r="A2322" i="3"/>
  <c r="I2321" i="3"/>
  <c r="H2321" i="3"/>
  <c r="G2321" i="3"/>
  <c r="F2321" i="3"/>
  <c r="E2321" i="3"/>
  <c r="D2321" i="3"/>
  <c r="C2321" i="3"/>
  <c r="B2321" i="3"/>
  <c r="A2321" i="3"/>
  <c r="I2320" i="3"/>
  <c r="H2320" i="3"/>
  <c r="G2320" i="3"/>
  <c r="F2320" i="3"/>
  <c r="E2320" i="3"/>
  <c r="D2320" i="3"/>
  <c r="C2320" i="3"/>
  <c r="B2320" i="3"/>
  <c r="A2320" i="3"/>
  <c r="I2319" i="3"/>
  <c r="H2319" i="3"/>
  <c r="G2319" i="3"/>
  <c r="F2319" i="3"/>
  <c r="E2319" i="3"/>
  <c r="D2319" i="3"/>
  <c r="C2319" i="3"/>
  <c r="B2319" i="3"/>
  <c r="A2319" i="3"/>
  <c r="I2318" i="3"/>
  <c r="H2318" i="3"/>
  <c r="G2318" i="3"/>
  <c r="F2318" i="3"/>
  <c r="E2318" i="3"/>
  <c r="D2318" i="3"/>
  <c r="C2318" i="3"/>
  <c r="B2318" i="3"/>
  <c r="A2318" i="3"/>
  <c r="I2317" i="3"/>
  <c r="H2317" i="3"/>
  <c r="G2317" i="3"/>
  <c r="F2317" i="3"/>
  <c r="E2317" i="3"/>
  <c r="D2317" i="3"/>
  <c r="C2317" i="3"/>
  <c r="B2317" i="3"/>
  <c r="A2317" i="3"/>
  <c r="I2316" i="3"/>
  <c r="H2316" i="3"/>
  <c r="G2316" i="3"/>
  <c r="F2316" i="3"/>
  <c r="E2316" i="3"/>
  <c r="D2316" i="3"/>
  <c r="C2316" i="3"/>
  <c r="B2316" i="3"/>
  <c r="A2316" i="3"/>
  <c r="I2315" i="3"/>
  <c r="H2315" i="3"/>
  <c r="G2315" i="3"/>
  <c r="F2315" i="3"/>
  <c r="E2315" i="3"/>
  <c r="D2315" i="3"/>
  <c r="C2315" i="3"/>
  <c r="B2315" i="3"/>
  <c r="A2315" i="3"/>
  <c r="I2314" i="3"/>
  <c r="H2314" i="3"/>
  <c r="G2314" i="3"/>
  <c r="F2314" i="3"/>
  <c r="E2314" i="3"/>
  <c r="D2314" i="3"/>
  <c r="C2314" i="3"/>
  <c r="B2314" i="3"/>
  <c r="A2314" i="3"/>
  <c r="I2313" i="3"/>
  <c r="H2313" i="3"/>
  <c r="G2313" i="3"/>
  <c r="F2313" i="3"/>
  <c r="E2313" i="3"/>
  <c r="D2313" i="3"/>
  <c r="C2313" i="3"/>
  <c r="B2313" i="3"/>
  <c r="A2313" i="3"/>
  <c r="I2312" i="3"/>
  <c r="H2312" i="3"/>
  <c r="G2312" i="3"/>
  <c r="F2312" i="3"/>
  <c r="E2312" i="3"/>
  <c r="D2312" i="3"/>
  <c r="C2312" i="3"/>
  <c r="B2312" i="3"/>
  <c r="A2312" i="3"/>
  <c r="I2311" i="3"/>
  <c r="H2311" i="3"/>
  <c r="G2311" i="3"/>
  <c r="F2311" i="3"/>
  <c r="E2311" i="3"/>
  <c r="D2311" i="3"/>
  <c r="C2311" i="3"/>
  <c r="B2311" i="3"/>
  <c r="A2311" i="3"/>
  <c r="I2310" i="3"/>
  <c r="H2310" i="3"/>
  <c r="G2310" i="3"/>
  <c r="F2310" i="3"/>
  <c r="E2310" i="3"/>
  <c r="D2310" i="3"/>
  <c r="C2310" i="3"/>
  <c r="B2310" i="3"/>
  <c r="A2310" i="3"/>
  <c r="I2309" i="3"/>
  <c r="H2309" i="3"/>
  <c r="G2309" i="3"/>
  <c r="F2309" i="3"/>
  <c r="E2309" i="3"/>
  <c r="D2309" i="3"/>
  <c r="C2309" i="3"/>
  <c r="B2309" i="3"/>
  <c r="A2309" i="3"/>
  <c r="I2308" i="3"/>
  <c r="H2308" i="3"/>
  <c r="G2308" i="3"/>
  <c r="F2308" i="3"/>
  <c r="E2308" i="3"/>
  <c r="D2308" i="3"/>
  <c r="C2308" i="3"/>
  <c r="B2308" i="3"/>
  <c r="A2308" i="3"/>
  <c r="I2307" i="3"/>
  <c r="H2307" i="3"/>
  <c r="G2307" i="3"/>
  <c r="F2307" i="3"/>
  <c r="E2307" i="3"/>
  <c r="D2307" i="3"/>
  <c r="C2307" i="3"/>
  <c r="B2307" i="3"/>
  <c r="A2307" i="3"/>
  <c r="I2306" i="3"/>
  <c r="H2306" i="3"/>
  <c r="G2306" i="3"/>
  <c r="F2306" i="3"/>
  <c r="E2306" i="3"/>
  <c r="D2306" i="3"/>
  <c r="C2306" i="3"/>
  <c r="B2306" i="3"/>
  <c r="A2306" i="3"/>
  <c r="I2305" i="3"/>
  <c r="H2305" i="3"/>
  <c r="G2305" i="3"/>
  <c r="F2305" i="3"/>
  <c r="E2305" i="3"/>
  <c r="D2305" i="3"/>
  <c r="C2305" i="3"/>
  <c r="B2305" i="3"/>
  <c r="A2305" i="3"/>
  <c r="I2304" i="3"/>
  <c r="H2304" i="3"/>
  <c r="G2304" i="3"/>
  <c r="F2304" i="3"/>
  <c r="E2304" i="3"/>
  <c r="D2304" i="3"/>
  <c r="C2304" i="3"/>
  <c r="B2304" i="3"/>
  <c r="A2304" i="3"/>
  <c r="I2303" i="3"/>
  <c r="H2303" i="3"/>
  <c r="G2303" i="3"/>
  <c r="F2303" i="3"/>
  <c r="E2303" i="3"/>
  <c r="D2303" i="3"/>
  <c r="C2303" i="3"/>
  <c r="B2303" i="3"/>
  <c r="A2303" i="3"/>
  <c r="I2302" i="3"/>
  <c r="H2302" i="3"/>
  <c r="G2302" i="3"/>
  <c r="F2302" i="3"/>
  <c r="E2302" i="3"/>
  <c r="D2302" i="3"/>
  <c r="C2302" i="3"/>
  <c r="B2302" i="3"/>
  <c r="A2302" i="3"/>
  <c r="I2301" i="3"/>
  <c r="H2301" i="3"/>
  <c r="G2301" i="3"/>
  <c r="F2301" i="3"/>
  <c r="E2301" i="3"/>
  <c r="D2301" i="3"/>
  <c r="C2301" i="3"/>
  <c r="B2301" i="3"/>
  <c r="A2301" i="3"/>
  <c r="I2300" i="3"/>
  <c r="H2300" i="3"/>
  <c r="G2300" i="3"/>
  <c r="F2300" i="3"/>
  <c r="E2300" i="3"/>
  <c r="D2300" i="3"/>
  <c r="C2300" i="3"/>
  <c r="B2300" i="3"/>
  <c r="A2300" i="3"/>
  <c r="I2299" i="3"/>
  <c r="H2299" i="3"/>
  <c r="G2299" i="3"/>
  <c r="F2299" i="3"/>
  <c r="E2299" i="3"/>
  <c r="D2299" i="3"/>
  <c r="C2299" i="3"/>
  <c r="B2299" i="3"/>
  <c r="A2299" i="3"/>
  <c r="I2298" i="3"/>
  <c r="H2298" i="3"/>
  <c r="G2298" i="3"/>
  <c r="F2298" i="3"/>
  <c r="E2298" i="3"/>
  <c r="D2298" i="3"/>
  <c r="C2298" i="3"/>
  <c r="B2298" i="3"/>
  <c r="A2298" i="3"/>
  <c r="I2297" i="3"/>
  <c r="H2297" i="3"/>
  <c r="G2297" i="3"/>
  <c r="F2297" i="3"/>
  <c r="E2297" i="3"/>
  <c r="D2297" i="3"/>
  <c r="C2297" i="3"/>
  <c r="B2297" i="3"/>
  <c r="A2297" i="3"/>
  <c r="I2296" i="3"/>
  <c r="H2296" i="3"/>
  <c r="G2296" i="3"/>
  <c r="F2296" i="3"/>
  <c r="E2296" i="3"/>
  <c r="D2296" i="3"/>
  <c r="C2296" i="3"/>
  <c r="B2296" i="3"/>
  <c r="A2296" i="3"/>
  <c r="I2295" i="3"/>
  <c r="H2295" i="3"/>
  <c r="G2295" i="3"/>
  <c r="F2295" i="3"/>
  <c r="E2295" i="3"/>
  <c r="D2295" i="3"/>
  <c r="C2295" i="3"/>
  <c r="B2295" i="3"/>
  <c r="A2295" i="3"/>
  <c r="I2294" i="3"/>
  <c r="H2294" i="3"/>
  <c r="G2294" i="3"/>
  <c r="F2294" i="3"/>
  <c r="E2294" i="3"/>
  <c r="D2294" i="3"/>
  <c r="C2294" i="3"/>
  <c r="B2294" i="3"/>
  <c r="A2294" i="3"/>
  <c r="I2293" i="3"/>
  <c r="H2293" i="3"/>
  <c r="G2293" i="3"/>
  <c r="F2293" i="3"/>
  <c r="E2293" i="3"/>
  <c r="D2293" i="3"/>
  <c r="C2293" i="3"/>
  <c r="B2293" i="3"/>
  <c r="A2293" i="3"/>
  <c r="I2292" i="3"/>
  <c r="H2292" i="3"/>
  <c r="G2292" i="3"/>
  <c r="F2292" i="3"/>
  <c r="E2292" i="3"/>
  <c r="D2292" i="3"/>
  <c r="C2292" i="3"/>
  <c r="B2292" i="3"/>
  <c r="A2292" i="3"/>
  <c r="I2291" i="3"/>
  <c r="H2291" i="3"/>
  <c r="G2291" i="3"/>
  <c r="F2291" i="3"/>
  <c r="E2291" i="3"/>
  <c r="D2291" i="3"/>
  <c r="C2291" i="3"/>
  <c r="B2291" i="3"/>
  <c r="A2291" i="3"/>
  <c r="I2290" i="3"/>
  <c r="H2290" i="3"/>
  <c r="G2290" i="3"/>
  <c r="F2290" i="3"/>
  <c r="E2290" i="3"/>
  <c r="D2290" i="3"/>
  <c r="C2290" i="3"/>
  <c r="B2290" i="3"/>
  <c r="A2290" i="3"/>
  <c r="I2289" i="3"/>
  <c r="H2289" i="3"/>
  <c r="G2289" i="3"/>
  <c r="F2289" i="3"/>
  <c r="E2289" i="3"/>
  <c r="D2289" i="3"/>
  <c r="C2289" i="3"/>
  <c r="B2289" i="3"/>
  <c r="A2289" i="3"/>
  <c r="I2288" i="3"/>
  <c r="H2288" i="3"/>
  <c r="G2288" i="3"/>
  <c r="F2288" i="3"/>
  <c r="E2288" i="3"/>
  <c r="D2288" i="3"/>
  <c r="C2288" i="3"/>
  <c r="B2288" i="3"/>
  <c r="A2288" i="3"/>
  <c r="I2287" i="3"/>
  <c r="H2287" i="3"/>
  <c r="G2287" i="3"/>
  <c r="F2287" i="3"/>
  <c r="E2287" i="3"/>
  <c r="D2287" i="3"/>
  <c r="C2287" i="3"/>
  <c r="B2287" i="3"/>
  <c r="A2287" i="3"/>
  <c r="I2286" i="3"/>
  <c r="H2286" i="3"/>
  <c r="G2286" i="3"/>
  <c r="F2286" i="3"/>
  <c r="E2286" i="3"/>
  <c r="D2286" i="3"/>
  <c r="C2286" i="3"/>
  <c r="B2286" i="3"/>
  <c r="A2286" i="3"/>
  <c r="I2285" i="3"/>
  <c r="H2285" i="3"/>
  <c r="G2285" i="3"/>
  <c r="F2285" i="3"/>
  <c r="E2285" i="3"/>
  <c r="D2285" i="3"/>
  <c r="C2285" i="3"/>
  <c r="B2285" i="3"/>
  <c r="A2285" i="3"/>
  <c r="I2284" i="3"/>
  <c r="H2284" i="3"/>
  <c r="G2284" i="3"/>
  <c r="F2284" i="3"/>
  <c r="E2284" i="3"/>
  <c r="D2284" i="3"/>
  <c r="C2284" i="3"/>
  <c r="B2284" i="3"/>
  <c r="A2284" i="3"/>
  <c r="I2283" i="3"/>
  <c r="H2283" i="3"/>
  <c r="G2283" i="3"/>
  <c r="F2283" i="3"/>
  <c r="E2283" i="3"/>
  <c r="D2283" i="3"/>
  <c r="C2283" i="3"/>
  <c r="B2283" i="3"/>
  <c r="A2283" i="3"/>
  <c r="I2282" i="3"/>
  <c r="H2282" i="3"/>
  <c r="G2282" i="3"/>
  <c r="F2282" i="3"/>
  <c r="E2282" i="3"/>
  <c r="D2282" i="3"/>
  <c r="C2282" i="3"/>
  <c r="B2282" i="3"/>
  <c r="A2282" i="3"/>
  <c r="I2281" i="3"/>
  <c r="H2281" i="3"/>
  <c r="G2281" i="3"/>
  <c r="F2281" i="3"/>
  <c r="E2281" i="3"/>
  <c r="D2281" i="3"/>
  <c r="C2281" i="3"/>
  <c r="B2281" i="3"/>
  <c r="A2281" i="3"/>
  <c r="I2280" i="3"/>
  <c r="H2280" i="3"/>
  <c r="G2280" i="3"/>
  <c r="F2280" i="3"/>
  <c r="E2280" i="3"/>
  <c r="D2280" i="3"/>
  <c r="C2280" i="3"/>
  <c r="B2280" i="3"/>
  <c r="A2280" i="3"/>
  <c r="I2279" i="3"/>
  <c r="H2279" i="3"/>
  <c r="G2279" i="3"/>
  <c r="F2279" i="3"/>
  <c r="E2279" i="3"/>
  <c r="D2279" i="3"/>
  <c r="C2279" i="3"/>
  <c r="B2279" i="3"/>
  <c r="A2279" i="3"/>
  <c r="I2278" i="3"/>
  <c r="H2278" i="3"/>
  <c r="G2278" i="3"/>
  <c r="F2278" i="3"/>
  <c r="E2278" i="3"/>
  <c r="D2278" i="3"/>
  <c r="C2278" i="3"/>
  <c r="B2278" i="3"/>
  <c r="A2278" i="3"/>
  <c r="I2277" i="3"/>
  <c r="H2277" i="3"/>
  <c r="G2277" i="3"/>
  <c r="F2277" i="3"/>
  <c r="E2277" i="3"/>
  <c r="D2277" i="3"/>
  <c r="C2277" i="3"/>
  <c r="B2277" i="3"/>
  <c r="A2277" i="3"/>
  <c r="I2276" i="3"/>
  <c r="H2276" i="3"/>
  <c r="G2276" i="3"/>
  <c r="F2276" i="3"/>
  <c r="E2276" i="3"/>
  <c r="D2276" i="3"/>
  <c r="C2276" i="3"/>
  <c r="B2276" i="3"/>
  <c r="A2276" i="3"/>
  <c r="I2275" i="3"/>
  <c r="H2275" i="3"/>
  <c r="G2275" i="3"/>
  <c r="F2275" i="3"/>
  <c r="E2275" i="3"/>
  <c r="D2275" i="3"/>
  <c r="C2275" i="3"/>
  <c r="B2275" i="3"/>
  <c r="A2275" i="3"/>
  <c r="I2274" i="3"/>
  <c r="H2274" i="3"/>
  <c r="G2274" i="3"/>
  <c r="F2274" i="3"/>
  <c r="E2274" i="3"/>
  <c r="D2274" i="3"/>
  <c r="C2274" i="3"/>
  <c r="B2274" i="3"/>
  <c r="A2274" i="3"/>
  <c r="I2273" i="3"/>
  <c r="H2273" i="3"/>
  <c r="G2273" i="3"/>
  <c r="F2273" i="3"/>
  <c r="E2273" i="3"/>
  <c r="D2273" i="3"/>
  <c r="C2273" i="3"/>
  <c r="B2273" i="3"/>
  <c r="A2273" i="3"/>
  <c r="I2272" i="3"/>
  <c r="H2272" i="3"/>
  <c r="G2272" i="3"/>
  <c r="F2272" i="3"/>
  <c r="E2272" i="3"/>
  <c r="D2272" i="3"/>
  <c r="C2272" i="3"/>
  <c r="B2272" i="3"/>
  <c r="A2272" i="3"/>
  <c r="I2271" i="3"/>
  <c r="H2271" i="3"/>
  <c r="G2271" i="3"/>
  <c r="F2271" i="3"/>
  <c r="E2271" i="3"/>
  <c r="D2271" i="3"/>
  <c r="C2271" i="3"/>
  <c r="B2271" i="3"/>
  <c r="A2271" i="3"/>
  <c r="I2270" i="3"/>
  <c r="H2270" i="3"/>
  <c r="G2270" i="3"/>
  <c r="F2270" i="3"/>
  <c r="E2270" i="3"/>
  <c r="D2270" i="3"/>
  <c r="C2270" i="3"/>
  <c r="B2270" i="3"/>
  <c r="A2270" i="3"/>
  <c r="I2269" i="3"/>
  <c r="H2269" i="3"/>
  <c r="G2269" i="3"/>
  <c r="F2269" i="3"/>
  <c r="E2269" i="3"/>
  <c r="D2269" i="3"/>
  <c r="C2269" i="3"/>
  <c r="B2269" i="3"/>
  <c r="A2269" i="3"/>
  <c r="I2268" i="3"/>
  <c r="H2268" i="3"/>
  <c r="G2268" i="3"/>
  <c r="F2268" i="3"/>
  <c r="E2268" i="3"/>
  <c r="D2268" i="3"/>
  <c r="C2268" i="3"/>
  <c r="B2268" i="3"/>
  <c r="A2268" i="3"/>
  <c r="I2267" i="3"/>
  <c r="H2267" i="3"/>
  <c r="G2267" i="3"/>
  <c r="F2267" i="3"/>
  <c r="E2267" i="3"/>
  <c r="D2267" i="3"/>
  <c r="C2267" i="3"/>
  <c r="B2267" i="3"/>
  <c r="A2267" i="3"/>
  <c r="I2266" i="3"/>
  <c r="H2266" i="3"/>
  <c r="G2266" i="3"/>
  <c r="F2266" i="3"/>
  <c r="E2266" i="3"/>
  <c r="D2266" i="3"/>
  <c r="C2266" i="3"/>
  <c r="B2266" i="3"/>
  <c r="A2266" i="3"/>
  <c r="I2265" i="3"/>
  <c r="H2265" i="3"/>
  <c r="G2265" i="3"/>
  <c r="F2265" i="3"/>
  <c r="E2265" i="3"/>
  <c r="D2265" i="3"/>
  <c r="C2265" i="3"/>
  <c r="B2265" i="3"/>
  <c r="A2265" i="3"/>
  <c r="I2264" i="3"/>
  <c r="H2264" i="3"/>
  <c r="G2264" i="3"/>
  <c r="F2264" i="3"/>
  <c r="E2264" i="3"/>
  <c r="D2264" i="3"/>
  <c r="C2264" i="3"/>
  <c r="B2264" i="3"/>
  <c r="A2264" i="3"/>
  <c r="I2263" i="3"/>
  <c r="H2263" i="3"/>
  <c r="G2263" i="3"/>
  <c r="F2263" i="3"/>
  <c r="E2263" i="3"/>
  <c r="D2263" i="3"/>
  <c r="C2263" i="3"/>
  <c r="B2263" i="3"/>
  <c r="A2263" i="3"/>
  <c r="I2262" i="3"/>
  <c r="H2262" i="3"/>
  <c r="G2262" i="3"/>
  <c r="F2262" i="3"/>
  <c r="E2262" i="3"/>
  <c r="D2262" i="3"/>
  <c r="C2262" i="3"/>
  <c r="B2262" i="3"/>
  <c r="A2262" i="3"/>
  <c r="I2261" i="3"/>
  <c r="H2261" i="3"/>
  <c r="G2261" i="3"/>
  <c r="F2261" i="3"/>
  <c r="E2261" i="3"/>
  <c r="D2261" i="3"/>
  <c r="C2261" i="3"/>
  <c r="B2261" i="3"/>
  <c r="A2261" i="3"/>
  <c r="I2260" i="3"/>
  <c r="H2260" i="3"/>
  <c r="G2260" i="3"/>
  <c r="F2260" i="3"/>
  <c r="E2260" i="3"/>
  <c r="D2260" i="3"/>
  <c r="C2260" i="3"/>
  <c r="B2260" i="3"/>
  <c r="A2260" i="3"/>
  <c r="I2259" i="3"/>
  <c r="H2259" i="3"/>
  <c r="G2259" i="3"/>
  <c r="F2259" i="3"/>
  <c r="E2259" i="3"/>
  <c r="D2259" i="3"/>
  <c r="C2259" i="3"/>
  <c r="B2259" i="3"/>
  <c r="A2259" i="3"/>
  <c r="I2258" i="3"/>
  <c r="H2258" i="3"/>
  <c r="G2258" i="3"/>
  <c r="F2258" i="3"/>
  <c r="E2258" i="3"/>
  <c r="D2258" i="3"/>
  <c r="C2258" i="3"/>
  <c r="B2258" i="3"/>
  <c r="A2258" i="3"/>
  <c r="I2257" i="3"/>
  <c r="H2257" i="3"/>
  <c r="G2257" i="3"/>
  <c r="F2257" i="3"/>
  <c r="E2257" i="3"/>
  <c r="D2257" i="3"/>
  <c r="C2257" i="3"/>
  <c r="B2257" i="3"/>
  <c r="A2257" i="3"/>
  <c r="I2256" i="3"/>
  <c r="H2256" i="3"/>
  <c r="G2256" i="3"/>
  <c r="F2256" i="3"/>
  <c r="E2256" i="3"/>
  <c r="D2256" i="3"/>
  <c r="C2256" i="3"/>
  <c r="B2256" i="3"/>
  <c r="A2256" i="3"/>
  <c r="I2255" i="3"/>
  <c r="H2255" i="3"/>
  <c r="G2255" i="3"/>
  <c r="F2255" i="3"/>
  <c r="E2255" i="3"/>
  <c r="D2255" i="3"/>
  <c r="C2255" i="3"/>
  <c r="B2255" i="3"/>
  <c r="A2255" i="3"/>
  <c r="I2254" i="3"/>
  <c r="H2254" i="3"/>
  <c r="G2254" i="3"/>
  <c r="F2254" i="3"/>
  <c r="E2254" i="3"/>
  <c r="D2254" i="3"/>
  <c r="C2254" i="3"/>
  <c r="B2254" i="3"/>
  <c r="A2254" i="3"/>
  <c r="I2253" i="3"/>
  <c r="H2253" i="3"/>
  <c r="G2253" i="3"/>
  <c r="F2253" i="3"/>
  <c r="E2253" i="3"/>
  <c r="D2253" i="3"/>
  <c r="C2253" i="3"/>
  <c r="B2253" i="3"/>
  <c r="A2253" i="3"/>
  <c r="I2252" i="3"/>
  <c r="H2252" i="3"/>
  <c r="G2252" i="3"/>
  <c r="F2252" i="3"/>
  <c r="E2252" i="3"/>
  <c r="D2252" i="3"/>
  <c r="C2252" i="3"/>
  <c r="B2252" i="3"/>
  <c r="A2252" i="3"/>
  <c r="I2251" i="3"/>
  <c r="H2251" i="3"/>
  <c r="G2251" i="3"/>
  <c r="F2251" i="3"/>
  <c r="E2251" i="3"/>
  <c r="D2251" i="3"/>
  <c r="C2251" i="3"/>
  <c r="B2251" i="3"/>
  <c r="A2251" i="3"/>
  <c r="I2250" i="3"/>
  <c r="H2250" i="3"/>
  <c r="G2250" i="3"/>
  <c r="F2250" i="3"/>
  <c r="E2250" i="3"/>
  <c r="D2250" i="3"/>
  <c r="C2250" i="3"/>
  <c r="B2250" i="3"/>
  <c r="A2250" i="3"/>
  <c r="I2249" i="3"/>
  <c r="H2249" i="3"/>
  <c r="G2249" i="3"/>
  <c r="F2249" i="3"/>
  <c r="E2249" i="3"/>
  <c r="D2249" i="3"/>
  <c r="C2249" i="3"/>
  <c r="B2249" i="3"/>
  <c r="A2249" i="3"/>
  <c r="I2248" i="3"/>
  <c r="H2248" i="3"/>
  <c r="G2248" i="3"/>
  <c r="F2248" i="3"/>
  <c r="E2248" i="3"/>
  <c r="D2248" i="3"/>
  <c r="C2248" i="3"/>
  <c r="B2248" i="3"/>
  <c r="A2248" i="3"/>
  <c r="I2247" i="3"/>
  <c r="H2247" i="3"/>
  <c r="G2247" i="3"/>
  <c r="F2247" i="3"/>
  <c r="E2247" i="3"/>
  <c r="D2247" i="3"/>
  <c r="C2247" i="3"/>
  <c r="B2247" i="3"/>
  <c r="A2247" i="3"/>
  <c r="I2246" i="3"/>
  <c r="H2246" i="3"/>
  <c r="G2246" i="3"/>
  <c r="F2246" i="3"/>
  <c r="E2246" i="3"/>
  <c r="D2246" i="3"/>
  <c r="C2246" i="3"/>
  <c r="B2246" i="3"/>
  <c r="A2246" i="3"/>
  <c r="I2245" i="3"/>
  <c r="H2245" i="3"/>
  <c r="G2245" i="3"/>
  <c r="F2245" i="3"/>
  <c r="E2245" i="3"/>
  <c r="D2245" i="3"/>
  <c r="C2245" i="3"/>
  <c r="B2245" i="3"/>
  <c r="A2245" i="3"/>
  <c r="I2244" i="3"/>
  <c r="H2244" i="3"/>
  <c r="G2244" i="3"/>
  <c r="F2244" i="3"/>
  <c r="E2244" i="3"/>
  <c r="D2244" i="3"/>
  <c r="C2244" i="3"/>
  <c r="B2244" i="3"/>
  <c r="A2244" i="3"/>
  <c r="I2243" i="3"/>
  <c r="H2243" i="3"/>
  <c r="G2243" i="3"/>
  <c r="F2243" i="3"/>
  <c r="E2243" i="3"/>
  <c r="D2243" i="3"/>
  <c r="C2243" i="3"/>
  <c r="B2243" i="3"/>
  <c r="A2243" i="3"/>
  <c r="I2242" i="3"/>
  <c r="H2242" i="3"/>
  <c r="G2242" i="3"/>
  <c r="F2242" i="3"/>
  <c r="E2242" i="3"/>
  <c r="D2242" i="3"/>
  <c r="C2242" i="3"/>
  <c r="B2242" i="3"/>
  <c r="A2242" i="3"/>
  <c r="I2241" i="3"/>
  <c r="H2241" i="3"/>
  <c r="G2241" i="3"/>
  <c r="F2241" i="3"/>
  <c r="E2241" i="3"/>
  <c r="D2241" i="3"/>
  <c r="C2241" i="3"/>
  <c r="B2241" i="3"/>
  <c r="A2241" i="3"/>
  <c r="I2240" i="3"/>
  <c r="H2240" i="3"/>
  <c r="G2240" i="3"/>
  <c r="F2240" i="3"/>
  <c r="E2240" i="3"/>
  <c r="D2240" i="3"/>
  <c r="C2240" i="3"/>
  <c r="B2240" i="3"/>
  <c r="A2240" i="3"/>
  <c r="I2239" i="3"/>
  <c r="H2239" i="3"/>
  <c r="G2239" i="3"/>
  <c r="F2239" i="3"/>
  <c r="E2239" i="3"/>
  <c r="D2239" i="3"/>
  <c r="C2239" i="3"/>
  <c r="B2239" i="3"/>
  <c r="A2239" i="3"/>
  <c r="I2238" i="3"/>
  <c r="H2238" i="3"/>
  <c r="G2238" i="3"/>
  <c r="F2238" i="3"/>
  <c r="E2238" i="3"/>
  <c r="D2238" i="3"/>
  <c r="C2238" i="3"/>
  <c r="B2238" i="3"/>
  <c r="A2238" i="3"/>
  <c r="I2237" i="3"/>
  <c r="H2237" i="3"/>
  <c r="G2237" i="3"/>
  <c r="F2237" i="3"/>
  <c r="E2237" i="3"/>
  <c r="D2237" i="3"/>
  <c r="C2237" i="3"/>
  <c r="B2237" i="3"/>
  <c r="A2237" i="3"/>
  <c r="I2236" i="3"/>
  <c r="H2236" i="3"/>
  <c r="G2236" i="3"/>
  <c r="F2236" i="3"/>
  <c r="E2236" i="3"/>
  <c r="D2236" i="3"/>
  <c r="C2236" i="3"/>
  <c r="B2236" i="3"/>
  <c r="A2236" i="3"/>
  <c r="I2235" i="3"/>
  <c r="H2235" i="3"/>
  <c r="G2235" i="3"/>
  <c r="F2235" i="3"/>
  <c r="E2235" i="3"/>
  <c r="D2235" i="3"/>
  <c r="C2235" i="3"/>
  <c r="B2235" i="3"/>
  <c r="A2235" i="3"/>
  <c r="I2234" i="3"/>
  <c r="H2234" i="3"/>
  <c r="G2234" i="3"/>
  <c r="F2234" i="3"/>
  <c r="E2234" i="3"/>
  <c r="D2234" i="3"/>
  <c r="C2234" i="3"/>
  <c r="B2234" i="3"/>
  <c r="A2234" i="3"/>
  <c r="I2233" i="3"/>
  <c r="H2233" i="3"/>
  <c r="G2233" i="3"/>
  <c r="F2233" i="3"/>
  <c r="E2233" i="3"/>
  <c r="D2233" i="3"/>
  <c r="C2233" i="3"/>
  <c r="B2233" i="3"/>
  <c r="A2233" i="3"/>
  <c r="I2232" i="3"/>
  <c r="H2232" i="3"/>
  <c r="G2232" i="3"/>
  <c r="F2232" i="3"/>
  <c r="E2232" i="3"/>
  <c r="D2232" i="3"/>
  <c r="C2232" i="3"/>
  <c r="B2232" i="3"/>
  <c r="A2232" i="3"/>
  <c r="I2231" i="3"/>
  <c r="H2231" i="3"/>
  <c r="G2231" i="3"/>
  <c r="F2231" i="3"/>
  <c r="E2231" i="3"/>
  <c r="D2231" i="3"/>
  <c r="C2231" i="3"/>
  <c r="B2231" i="3"/>
  <c r="A2231" i="3"/>
  <c r="I2230" i="3"/>
  <c r="H2230" i="3"/>
  <c r="G2230" i="3"/>
  <c r="F2230" i="3"/>
  <c r="E2230" i="3"/>
  <c r="D2230" i="3"/>
  <c r="C2230" i="3"/>
  <c r="B2230" i="3"/>
  <c r="A2230" i="3"/>
  <c r="I2229" i="3"/>
  <c r="H2229" i="3"/>
  <c r="G2229" i="3"/>
  <c r="F2229" i="3"/>
  <c r="E2229" i="3"/>
  <c r="D2229" i="3"/>
  <c r="C2229" i="3"/>
  <c r="B2229" i="3"/>
  <c r="A2229" i="3"/>
  <c r="I2228" i="3"/>
  <c r="H2228" i="3"/>
  <c r="G2228" i="3"/>
  <c r="F2228" i="3"/>
  <c r="E2228" i="3"/>
  <c r="D2228" i="3"/>
  <c r="C2228" i="3"/>
  <c r="B2228" i="3"/>
  <c r="A2228" i="3"/>
  <c r="I2227" i="3"/>
  <c r="H2227" i="3"/>
  <c r="G2227" i="3"/>
  <c r="F2227" i="3"/>
  <c r="E2227" i="3"/>
  <c r="D2227" i="3"/>
  <c r="C2227" i="3"/>
  <c r="B2227" i="3"/>
  <c r="A2227" i="3"/>
  <c r="I2226" i="3"/>
  <c r="H2226" i="3"/>
  <c r="G2226" i="3"/>
  <c r="F2226" i="3"/>
  <c r="E2226" i="3"/>
  <c r="D2226" i="3"/>
  <c r="C2226" i="3"/>
  <c r="B2226" i="3"/>
  <c r="A2226" i="3"/>
  <c r="I2225" i="3"/>
  <c r="H2225" i="3"/>
  <c r="G2225" i="3"/>
  <c r="F2225" i="3"/>
  <c r="E2225" i="3"/>
  <c r="D2225" i="3"/>
  <c r="C2225" i="3"/>
  <c r="B2225" i="3"/>
  <c r="A2225" i="3"/>
  <c r="I2224" i="3"/>
  <c r="H2224" i="3"/>
  <c r="G2224" i="3"/>
  <c r="F2224" i="3"/>
  <c r="E2224" i="3"/>
  <c r="D2224" i="3"/>
  <c r="C2224" i="3"/>
  <c r="B2224" i="3"/>
  <c r="A2224" i="3"/>
  <c r="I2223" i="3"/>
  <c r="H2223" i="3"/>
  <c r="G2223" i="3"/>
  <c r="F2223" i="3"/>
  <c r="E2223" i="3"/>
  <c r="D2223" i="3"/>
  <c r="C2223" i="3"/>
  <c r="B2223" i="3"/>
  <c r="A2223" i="3"/>
  <c r="I2222" i="3"/>
  <c r="H2222" i="3"/>
  <c r="G2222" i="3"/>
  <c r="F2222" i="3"/>
  <c r="E2222" i="3"/>
  <c r="D2222" i="3"/>
  <c r="C2222" i="3"/>
  <c r="B2222" i="3"/>
  <c r="A2222" i="3"/>
  <c r="I2221" i="3"/>
  <c r="H2221" i="3"/>
  <c r="G2221" i="3"/>
  <c r="F2221" i="3"/>
  <c r="E2221" i="3"/>
  <c r="D2221" i="3"/>
  <c r="C2221" i="3"/>
  <c r="B2221" i="3"/>
  <c r="A2221" i="3"/>
  <c r="I2220" i="3"/>
  <c r="H2220" i="3"/>
  <c r="G2220" i="3"/>
  <c r="F2220" i="3"/>
  <c r="E2220" i="3"/>
  <c r="D2220" i="3"/>
  <c r="C2220" i="3"/>
  <c r="B2220" i="3"/>
  <c r="A2220" i="3"/>
  <c r="I2219" i="3"/>
  <c r="H2219" i="3"/>
  <c r="G2219" i="3"/>
  <c r="F2219" i="3"/>
  <c r="E2219" i="3"/>
  <c r="D2219" i="3"/>
  <c r="C2219" i="3"/>
  <c r="B2219" i="3"/>
  <c r="A2219" i="3"/>
  <c r="I2218" i="3"/>
  <c r="H2218" i="3"/>
  <c r="G2218" i="3"/>
  <c r="F2218" i="3"/>
  <c r="E2218" i="3"/>
  <c r="D2218" i="3"/>
  <c r="C2218" i="3"/>
  <c r="B2218" i="3"/>
  <c r="A2218" i="3"/>
  <c r="I2217" i="3"/>
  <c r="H2217" i="3"/>
  <c r="G2217" i="3"/>
  <c r="F2217" i="3"/>
  <c r="E2217" i="3"/>
  <c r="D2217" i="3"/>
  <c r="C2217" i="3"/>
  <c r="B2217" i="3"/>
  <c r="A2217" i="3"/>
  <c r="I2216" i="3"/>
  <c r="H2216" i="3"/>
  <c r="G2216" i="3"/>
  <c r="F2216" i="3"/>
  <c r="E2216" i="3"/>
  <c r="D2216" i="3"/>
  <c r="C2216" i="3"/>
  <c r="B2216" i="3"/>
  <c r="A2216" i="3"/>
  <c r="I2215" i="3"/>
  <c r="H2215" i="3"/>
  <c r="G2215" i="3"/>
  <c r="F2215" i="3"/>
  <c r="E2215" i="3"/>
  <c r="D2215" i="3"/>
  <c r="C2215" i="3"/>
  <c r="B2215" i="3"/>
  <c r="A2215" i="3"/>
  <c r="I2214" i="3"/>
  <c r="H2214" i="3"/>
  <c r="G2214" i="3"/>
  <c r="F2214" i="3"/>
  <c r="E2214" i="3"/>
  <c r="D2214" i="3"/>
  <c r="C2214" i="3"/>
  <c r="B2214" i="3"/>
  <c r="A2214" i="3"/>
  <c r="I2213" i="3"/>
  <c r="H2213" i="3"/>
  <c r="G2213" i="3"/>
  <c r="F2213" i="3"/>
  <c r="E2213" i="3"/>
  <c r="D2213" i="3"/>
  <c r="C2213" i="3"/>
  <c r="B2213" i="3"/>
  <c r="A2213" i="3"/>
  <c r="I2212" i="3"/>
  <c r="H2212" i="3"/>
  <c r="G2212" i="3"/>
  <c r="F2212" i="3"/>
  <c r="E2212" i="3"/>
  <c r="D2212" i="3"/>
  <c r="C2212" i="3"/>
  <c r="B2212" i="3"/>
  <c r="A2212" i="3"/>
  <c r="I2211" i="3"/>
  <c r="H2211" i="3"/>
  <c r="G2211" i="3"/>
  <c r="F2211" i="3"/>
  <c r="E2211" i="3"/>
  <c r="D2211" i="3"/>
  <c r="C2211" i="3"/>
  <c r="B2211" i="3"/>
  <c r="A2211" i="3"/>
  <c r="I2210" i="3"/>
  <c r="H2210" i="3"/>
  <c r="G2210" i="3"/>
  <c r="F2210" i="3"/>
  <c r="E2210" i="3"/>
  <c r="D2210" i="3"/>
  <c r="C2210" i="3"/>
  <c r="B2210" i="3"/>
  <c r="A2210" i="3"/>
  <c r="I2209" i="3"/>
  <c r="H2209" i="3"/>
  <c r="G2209" i="3"/>
  <c r="F2209" i="3"/>
  <c r="E2209" i="3"/>
  <c r="D2209" i="3"/>
  <c r="C2209" i="3"/>
  <c r="B2209" i="3"/>
  <c r="A2209" i="3"/>
  <c r="I2208" i="3"/>
  <c r="H2208" i="3"/>
  <c r="G2208" i="3"/>
  <c r="F2208" i="3"/>
  <c r="E2208" i="3"/>
  <c r="D2208" i="3"/>
  <c r="C2208" i="3"/>
  <c r="B2208" i="3"/>
  <c r="A2208" i="3"/>
  <c r="I2207" i="3"/>
  <c r="H2207" i="3"/>
  <c r="G2207" i="3"/>
  <c r="F2207" i="3"/>
  <c r="E2207" i="3"/>
  <c r="D2207" i="3"/>
  <c r="C2207" i="3"/>
  <c r="B2207" i="3"/>
  <c r="A2207" i="3"/>
  <c r="I2206" i="3"/>
  <c r="H2206" i="3"/>
  <c r="G2206" i="3"/>
  <c r="F2206" i="3"/>
  <c r="E2206" i="3"/>
  <c r="D2206" i="3"/>
  <c r="C2206" i="3"/>
  <c r="B2206" i="3"/>
  <c r="A2206" i="3"/>
  <c r="I2205" i="3"/>
  <c r="H2205" i="3"/>
  <c r="G2205" i="3"/>
  <c r="F2205" i="3"/>
  <c r="E2205" i="3"/>
  <c r="D2205" i="3"/>
  <c r="C2205" i="3"/>
  <c r="B2205" i="3"/>
  <c r="A2205" i="3"/>
  <c r="I2204" i="3"/>
  <c r="H2204" i="3"/>
  <c r="G2204" i="3"/>
  <c r="F2204" i="3"/>
  <c r="E2204" i="3"/>
  <c r="D2204" i="3"/>
  <c r="C2204" i="3"/>
  <c r="B2204" i="3"/>
  <c r="A2204" i="3"/>
  <c r="I2203" i="3"/>
  <c r="H2203" i="3"/>
  <c r="G2203" i="3"/>
  <c r="F2203" i="3"/>
  <c r="E2203" i="3"/>
  <c r="D2203" i="3"/>
  <c r="C2203" i="3"/>
  <c r="B2203" i="3"/>
  <c r="A2203" i="3"/>
  <c r="I2202" i="3"/>
  <c r="H2202" i="3"/>
  <c r="G2202" i="3"/>
  <c r="F2202" i="3"/>
  <c r="E2202" i="3"/>
  <c r="D2202" i="3"/>
  <c r="C2202" i="3"/>
  <c r="B2202" i="3"/>
  <c r="A2202" i="3"/>
  <c r="I2201" i="3"/>
  <c r="H2201" i="3"/>
  <c r="G2201" i="3"/>
  <c r="F2201" i="3"/>
  <c r="E2201" i="3"/>
  <c r="D2201" i="3"/>
  <c r="C2201" i="3"/>
  <c r="B2201" i="3"/>
  <c r="A2201" i="3"/>
  <c r="I2200" i="3"/>
  <c r="H2200" i="3"/>
  <c r="G2200" i="3"/>
  <c r="F2200" i="3"/>
  <c r="E2200" i="3"/>
  <c r="D2200" i="3"/>
  <c r="C2200" i="3"/>
  <c r="B2200" i="3"/>
  <c r="A2200" i="3"/>
  <c r="I2199" i="3"/>
  <c r="H2199" i="3"/>
  <c r="G2199" i="3"/>
  <c r="F2199" i="3"/>
  <c r="E2199" i="3"/>
  <c r="D2199" i="3"/>
  <c r="C2199" i="3"/>
  <c r="B2199" i="3"/>
  <c r="A2199" i="3"/>
  <c r="I2198" i="3"/>
  <c r="H2198" i="3"/>
  <c r="G2198" i="3"/>
  <c r="F2198" i="3"/>
  <c r="E2198" i="3"/>
  <c r="D2198" i="3"/>
  <c r="C2198" i="3"/>
  <c r="B2198" i="3"/>
  <c r="A2198" i="3"/>
  <c r="I2197" i="3"/>
  <c r="H2197" i="3"/>
  <c r="G2197" i="3"/>
  <c r="F2197" i="3"/>
  <c r="E2197" i="3"/>
  <c r="D2197" i="3"/>
  <c r="C2197" i="3"/>
  <c r="B2197" i="3"/>
  <c r="A2197" i="3"/>
  <c r="I2196" i="3"/>
  <c r="H2196" i="3"/>
  <c r="G2196" i="3"/>
  <c r="F2196" i="3"/>
  <c r="E2196" i="3"/>
  <c r="D2196" i="3"/>
  <c r="C2196" i="3"/>
  <c r="B2196" i="3"/>
  <c r="A2196" i="3"/>
  <c r="I2195" i="3"/>
  <c r="H2195" i="3"/>
  <c r="G2195" i="3"/>
  <c r="F2195" i="3"/>
  <c r="E2195" i="3"/>
  <c r="D2195" i="3"/>
  <c r="C2195" i="3"/>
  <c r="B2195" i="3"/>
  <c r="A2195" i="3"/>
  <c r="I2194" i="3"/>
  <c r="H2194" i="3"/>
  <c r="G2194" i="3"/>
  <c r="F2194" i="3"/>
  <c r="E2194" i="3"/>
  <c r="D2194" i="3"/>
  <c r="C2194" i="3"/>
  <c r="B2194" i="3"/>
  <c r="A2194" i="3"/>
  <c r="I2193" i="3"/>
  <c r="H2193" i="3"/>
  <c r="G2193" i="3"/>
  <c r="F2193" i="3"/>
  <c r="E2193" i="3"/>
  <c r="D2193" i="3"/>
  <c r="C2193" i="3"/>
  <c r="B2193" i="3"/>
  <c r="A2193" i="3"/>
  <c r="I2192" i="3"/>
  <c r="H2192" i="3"/>
  <c r="G2192" i="3"/>
  <c r="F2192" i="3"/>
  <c r="E2192" i="3"/>
  <c r="D2192" i="3"/>
  <c r="C2192" i="3"/>
  <c r="B2192" i="3"/>
  <c r="A2192" i="3"/>
  <c r="I2191" i="3"/>
  <c r="H2191" i="3"/>
  <c r="G2191" i="3"/>
  <c r="F2191" i="3"/>
  <c r="E2191" i="3"/>
  <c r="D2191" i="3"/>
  <c r="C2191" i="3"/>
  <c r="B2191" i="3"/>
  <c r="A2191" i="3"/>
  <c r="I2190" i="3"/>
  <c r="H2190" i="3"/>
  <c r="G2190" i="3"/>
  <c r="F2190" i="3"/>
  <c r="E2190" i="3"/>
  <c r="D2190" i="3"/>
  <c r="C2190" i="3"/>
  <c r="B2190" i="3"/>
  <c r="A2190" i="3"/>
  <c r="I2189" i="3"/>
  <c r="H2189" i="3"/>
  <c r="G2189" i="3"/>
  <c r="F2189" i="3"/>
  <c r="E2189" i="3"/>
  <c r="D2189" i="3"/>
  <c r="C2189" i="3"/>
  <c r="B2189" i="3"/>
  <c r="A2189" i="3"/>
  <c r="I2188" i="3"/>
  <c r="H2188" i="3"/>
  <c r="G2188" i="3"/>
  <c r="F2188" i="3"/>
  <c r="E2188" i="3"/>
  <c r="D2188" i="3"/>
  <c r="C2188" i="3"/>
  <c r="B2188" i="3"/>
  <c r="A2188" i="3"/>
  <c r="I2187" i="3"/>
  <c r="H2187" i="3"/>
  <c r="G2187" i="3"/>
  <c r="F2187" i="3"/>
  <c r="E2187" i="3"/>
  <c r="D2187" i="3"/>
  <c r="C2187" i="3"/>
  <c r="B2187" i="3"/>
  <c r="A2187" i="3"/>
  <c r="I2186" i="3"/>
  <c r="H2186" i="3"/>
  <c r="G2186" i="3"/>
  <c r="F2186" i="3"/>
  <c r="E2186" i="3"/>
  <c r="D2186" i="3"/>
  <c r="C2186" i="3"/>
  <c r="B2186" i="3"/>
  <c r="A2186" i="3"/>
  <c r="I2185" i="3"/>
  <c r="H2185" i="3"/>
  <c r="G2185" i="3"/>
  <c r="F2185" i="3"/>
  <c r="E2185" i="3"/>
  <c r="D2185" i="3"/>
  <c r="C2185" i="3"/>
  <c r="B2185" i="3"/>
  <c r="A2185" i="3"/>
  <c r="I2184" i="3"/>
  <c r="H2184" i="3"/>
  <c r="G2184" i="3"/>
  <c r="F2184" i="3"/>
  <c r="E2184" i="3"/>
  <c r="D2184" i="3"/>
  <c r="C2184" i="3"/>
  <c r="B2184" i="3"/>
  <c r="A2184" i="3"/>
  <c r="I2183" i="3"/>
  <c r="H2183" i="3"/>
  <c r="G2183" i="3"/>
  <c r="F2183" i="3"/>
  <c r="E2183" i="3"/>
  <c r="D2183" i="3"/>
  <c r="C2183" i="3"/>
  <c r="B2183" i="3"/>
  <c r="A2183" i="3"/>
  <c r="I2182" i="3"/>
  <c r="H2182" i="3"/>
  <c r="G2182" i="3"/>
  <c r="F2182" i="3"/>
  <c r="E2182" i="3"/>
  <c r="D2182" i="3"/>
  <c r="C2182" i="3"/>
  <c r="B2182" i="3"/>
  <c r="A2182" i="3"/>
  <c r="I2181" i="3"/>
  <c r="H2181" i="3"/>
  <c r="G2181" i="3"/>
  <c r="F2181" i="3"/>
  <c r="E2181" i="3"/>
  <c r="D2181" i="3"/>
  <c r="C2181" i="3"/>
  <c r="B2181" i="3"/>
  <c r="A2181" i="3"/>
  <c r="I2180" i="3"/>
  <c r="H2180" i="3"/>
  <c r="G2180" i="3"/>
  <c r="F2180" i="3"/>
  <c r="E2180" i="3"/>
  <c r="D2180" i="3"/>
  <c r="C2180" i="3"/>
  <c r="B2180" i="3"/>
  <c r="A2180" i="3"/>
  <c r="I2179" i="3"/>
  <c r="H2179" i="3"/>
  <c r="G2179" i="3"/>
  <c r="F2179" i="3"/>
  <c r="E2179" i="3"/>
  <c r="D2179" i="3"/>
  <c r="C2179" i="3"/>
  <c r="B2179" i="3"/>
  <c r="A2179" i="3"/>
  <c r="I2178" i="3"/>
  <c r="H2178" i="3"/>
  <c r="G2178" i="3"/>
  <c r="F2178" i="3"/>
  <c r="E2178" i="3"/>
  <c r="D2178" i="3"/>
  <c r="C2178" i="3"/>
  <c r="B2178" i="3"/>
  <c r="A2178" i="3"/>
  <c r="I2177" i="3"/>
  <c r="H2177" i="3"/>
  <c r="G2177" i="3"/>
  <c r="F2177" i="3"/>
  <c r="E2177" i="3"/>
  <c r="D2177" i="3"/>
  <c r="C2177" i="3"/>
  <c r="B2177" i="3"/>
  <c r="A2177" i="3"/>
  <c r="I2176" i="3"/>
  <c r="H2176" i="3"/>
  <c r="G2176" i="3"/>
  <c r="F2176" i="3"/>
  <c r="E2176" i="3"/>
  <c r="D2176" i="3"/>
  <c r="C2176" i="3"/>
  <c r="B2176" i="3"/>
  <c r="A2176" i="3"/>
  <c r="I2175" i="3"/>
  <c r="H2175" i="3"/>
  <c r="G2175" i="3"/>
  <c r="F2175" i="3"/>
  <c r="E2175" i="3"/>
  <c r="D2175" i="3"/>
  <c r="C2175" i="3"/>
  <c r="B2175" i="3"/>
  <c r="A2175" i="3"/>
  <c r="I2174" i="3"/>
  <c r="H2174" i="3"/>
  <c r="G2174" i="3"/>
  <c r="F2174" i="3"/>
  <c r="E2174" i="3"/>
  <c r="D2174" i="3"/>
  <c r="C2174" i="3"/>
  <c r="B2174" i="3"/>
  <c r="A2174" i="3"/>
  <c r="I2173" i="3"/>
  <c r="H2173" i="3"/>
  <c r="G2173" i="3"/>
  <c r="F2173" i="3"/>
  <c r="E2173" i="3"/>
  <c r="D2173" i="3"/>
  <c r="C2173" i="3"/>
  <c r="B2173" i="3"/>
  <c r="A2173" i="3"/>
  <c r="I2172" i="3"/>
  <c r="H2172" i="3"/>
  <c r="G2172" i="3"/>
  <c r="F2172" i="3"/>
  <c r="E2172" i="3"/>
  <c r="D2172" i="3"/>
  <c r="C2172" i="3"/>
  <c r="B2172" i="3"/>
  <c r="A2172" i="3"/>
  <c r="I2171" i="3"/>
  <c r="H2171" i="3"/>
  <c r="G2171" i="3"/>
  <c r="F2171" i="3"/>
  <c r="E2171" i="3"/>
  <c r="D2171" i="3"/>
  <c r="C2171" i="3"/>
  <c r="B2171" i="3"/>
  <c r="A2171" i="3"/>
  <c r="I2170" i="3"/>
  <c r="H2170" i="3"/>
  <c r="G2170" i="3"/>
  <c r="F2170" i="3"/>
  <c r="E2170" i="3"/>
  <c r="D2170" i="3"/>
  <c r="C2170" i="3"/>
  <c r="B2170" i="3"/>
  <c r="A2170" i="3"/>
  <c r="I2169" i="3"/>
  <c r="H2169" i="3"/>
  <c r="G2169" i="3"/>
  <c r="F2169" i="3"/>
  <c r="E2169" i="3"/>
  <c r="D2169" i="3"/>
  <c r="C2169" i="3"/>
  <c r="B2169" i="3"/>
  <c r="A2169" i="3"/>
  <c r="I2168" i="3"/>
  <c r="H2168" i="3"/>
  <c r="G2168" i="3"/>
  <c r="F2168" i="3"/>
  <c r="E2168" i="3"/>
  <c r="D2168" i="3"/>
  <c r="C2168" i="3"/>
  <c r="B2168" i="3"/>
  <c r="A2168" i="3"/>
  <c r="I2167" i="3"/>
  <c r="H2167" i="3"/>
  <c r="G2167" i="3"/>
  <c r="F2167" i="3"/>
  <c r="E2167" i="3"/>
  <c r="D2167" i="3"/>
  <c r="C2167" i="3"/>
  <c r="B2167" i="3"/>
  <c r="A2167" i="3"/>
  <c r="I2166" i="3"/>
  <c r="H2166" i="3"/>
  <c r="G2166" i="3"/>
  <c r="F2166" i="3"/>
  <c r="E2166" i="3"/>
  <c r="D2166" i="3"/>
  <c r="C2166" i="3"/>
  <c r="B2166" i="3"/>
  <c r="A2166" i="3"/>
  <c r="I2165" i="3"/>
  <c r="H2165" i="3"/>
  <c r="G2165" i="3"/>
  <c r="F2165" i="3"/>
  <c r="E2165" i="3"/>
  <c r="D2165" i="3"/>
  <c r="C2165" i="3"/>
  <c r="B2165" i="3"/>
  <c r="A2165" i="3"/>
  <c r="I2164" i="3"/>
  <c r="H2164" i="3"/>
  <c r="G2164" i="3"/>
  <c r="F2164" i="3"/>
  <c r="E2164" i="3"/>
  <c r="D2164" i="3"/>
  <c r="C2164" i="3"/>
  <c r="B2164" i="3"/>
  <c r="A2164" i="3"/>
  <c r="I2163" i="3"/>
  <c r="H2163" i="3"/>
  <c r="G2163" i="3"/>
  <c r="F2163" i="3"/>
  <c r="E2163" i="3"/>
  <c r="D2163" i="3"/>
  <c r="C2163" i="3"/>
  <c r="B2163" i="3"/>
  <c r="A2163" i="3"/>
  <c r="I2162" i="3"/>
  <c r="H2162" i="3"/>
  <c r="G2162" i="3"/>
  <c r="F2162" i="3"/>
  <c r="E2162" i="3"/>
  <c r="D2162" i="3"/>
  <c r="C2162" i="3"/>
  <c r="B2162" i="3"/>
  <c r="A2162" i="3"/>
  <c r="I2161" i="3"/>
  <c r="H2161" i="3"/>
  <c r="G2161" i="3"/>
  <c r="F2161" i="3"/>
  <c r="E2161" i="3"/>
  <c r="D2161" i="3"/>
  <c r="C2161" i="3"/>
  <c r="B2161" i="3"/>
  <c r="A2161" i="3"/>
  <c r="I2160" i="3"/>
  <c r="H2160" i="3"/>
  <c r="G2160" i="3"/>
  <c r="F2160" i="3"/>
  <c r="E2160" i="3"/>
  <c r="D2160" i="3"/>
  <c r="C2160" i="3"/>
  <c r="B2160" i="3"/>
  <c r="A2160" i="3"/>
  <c r="I2159" i="3"/>
  <c r="H2159" i="3"/>
  <c r="G2159" i="3"/>
  <c r="F2159" i="3"/>
  <c r="E2159" i="3"/>
  <c r="D2159" i="3"/>
  <c r="C2159" i="3"/>
  <c r="B2159" i="3"/>
  <c r="A2159" i="3"/>
  <c r="I2158" i="3"/>
  <c r="H2158" i="3"/>
  <c r="G2158" i="3"/>
  <c r="F2158" i="3"/>
  <c r="E2158" i="3"/>
  <c r="D2158" i="3"/>
  <c r="C2158" i="3"/>
  <c r="B2158" i="3"/>
  <c r="A2158" i="3"/>
  <c r="I2157" i="3"/>
  <c r="H2157" i="3"/>
  <c r="G2157" i="3"/>
  <c r="F2157" i="3"/>
  <c r="E2157" i="3"/>
  <c r="D2157" i="3"/>
  <c r="C2157" i="3"/>
  <c r="B2157" i="3"/>
  <c r="A2157" i="3"/>
  <c r="I2156" i="3"/>
  <c r="H2156" i="3"/>
  <c r="G2156" i="3"/>
  <c r="F2156" i="3"/>
  <c r="E2156" i="3"/>
  <c r="D2156" i="3"/>
  <c r="C2156" i="3"/>
  <c r="B2156" i="3"/>
  <c r="A2156" i="3"/>
  <c r="I2155" i="3"/>
  <c r="H2155" i="3"/>
  <c r="G2155" i="3"/>
  <c r="F2155" i="3"/>
  <c r="E2155" i="3"/>
  <c r="D2155" i="3"/>
  <c r="C2155" i="3"/>
  <c r="B2155" i="3"/>
  <c r="A2155" i="3"/>
  <c r="I2154" i="3"/>
  <c r="H2154" i="3"/>
  <c r="G2154" i="3"/>
  <c r="F2154" i="3"/>
  <c r="E2154" i="3"/>
  <c r="D2154" i="3"/>
  <c r="C2154" i="3"/>
  <c r="B2154" i="3"/>
  <c r="A2154" i="3"/>
  <c r="I2153" i="3"/>
  <c r="H2153" i="3"/>
  <c r="G2153" i="3"/>
  <c r="F2153" i="3"/>
  <c r="E2153" i="3"/>
  <c r="D2153" i="3"/>
  <c r="C2153" i="3"/>
  <c r="B2153" i="3"/>
  <c r="A2153" i="3"/>
  <c r="I2152" i="3"/>
  <c r="H2152" i="3"/>
  <c r="G2152" i="3"/>
  <c r="F2152" i="3"/>
  <c r="E2152" i="3"/>
  <c r="D2152" i="3"/>
  <c r="C2152" i="3"/>
  <c r="B2152" i="3"/>
  <c r="A2152" i="3"/>
  <c r="I2151" i="3"/>
  <c r="H2151" i="3"/>
  <c r="G2151" i="3"/>
  <c r="F2151" i="3"/>
  <c r="E2151" i="3"/>
  <c r="D2151" i="3"/>
  <c r="C2151" i="3"/>
  <c r="B2151" i="3"/>
  <c r="A2151" i="3"/>
  <c r="I2150" i="3"/>
  <c r="H2150" i="3"/>
  <c r="G2150" i="3"/>
  <c r="F2150" i="3"/>
  <c r="E2150" i="3"/>
  <c r="D2150" i="3"/>
  <c r="C2150" i="3"/>
  <c r="B2150" i="3"/>
  <c r="A2150" i="3"/>
  <c r="I2149" i="3"/>
  <c r="H2149" i="3"/>
  <c r="G2149" i="3"/>
  <c r="F2149" i="3"/>
  <c r="E2149" i="3"/>
  <c r="D2149" i="3"/>
  <c r="C2149" i="3"/>
  <c r="B2149" i="3"/>
  <c r="A2149" i="3"/>
  <c r="I2148" i="3"/>
  <c r="H2148" i="3"/>
  <c r="G2148" i="3"/>
  <c r="F2148" i="3"/>
  <c r="E2148" i="3"/>
  <c r="D2148" i="3"/>
  <c r="C2148" i="3"/>
  <c r="B2148" i="3"/>
  <c r="A2148" i="3"/>
  <c r="I2147" i="3"/>
  <c r="H2147" i="3"/>
  <c r="G2147" i="3"/>
  <c r="F2147" i="3"/>
  <c r="E2147" i="3"/>
  <c r="D2147" i="3"/>
  <c r="C2147" i="3"/>
  <c r="B2147" i="3"/>
  <c r="A2147" i="3"/>
  <c r="I2146" i="3"/>
  <c r="H2146" i="3"/>
  <c r="G2146" i="3"/>
  <c r="F2146" i="3"/>
  <c r="E2146" i="3"/>
  <c r="D2146" i="3"/>
  <c r="C2146" i="3"/>
  <c r="B2146" i="3"/>
  <c r="A2146" i="3"/>
  <c r="I2145" i="3"/>
  <c r="H2145" i="3"/>
  <c r="G2145" i="3"/>
  <c r="F2145" i="3"/>
  <c r="E2145" i="3"/>
  <c r="D2145" i="3"/>
  <c r="C2145" i="3"/>
  <c r="B2145" i="3"/>
  <c r="A2145" i="3"/>
  <c r="I2144" i="3"/>
  <c r="H2144" i="3"/>
  <c r="G2144" i="3"/>
  <c r="F2144" i="3"/>
  <c r="E2144" i="3"/>
  <c r="D2144" i="3"/>
  <c r="C2144" i="3"/>
  <c r="B2144" i="3"/>
  <c r="A2144" i="3"/>
  <c r="I2143" i="3"/>
  <c r="H2143" i="3"/>
  <c r="G2143" i="3"/>
  <c r="F2143" i="3"/>
  <c r="E2143" i="3"/>
  <c r="D2143" i="3"/>
  <c r="C2143" i="3"/>
  <c r="B2143" i="3"/>
  <c r="A2143" i="3"/>
  <c r="I2142" i="3"/>
  <c r="H2142" i="3"/>
  <c r="G2142" i="3"/>
  <c r="F2142" i="3"/>
  <c r="E2142" i="3"/>
  <c r="D2142" i="3"/>
  <c r="C2142" i="3"/>
  <c r="B2142" i="3"/>
  <c r="A2142" i="3"/>
  <c r="I2141" i="3"/>
  <c r="H2141" i="3"/>
  <c r="G2141" i="3"/>
  <c r="F2141" i="3"/>
  <c r="E2141" i="3"/>
  <c r="D2141" i="3"/>
  <c r="C2141" i="3"/>
  <c r="B2141" i="3"/>
  <c r="A2141" i="3"/>
  <c r="I2140" i="3"/>
  <c r="H2140" i="3"/>
  <c r="G2140" i="3"/>
  <c r="F2140" i="3"/>
  <c r="E2140" i="3"/>
  <c r="D2140" i="3"/>
  <c r="C2140" i="3"/>
  <c r="B2140" i="3"/>
  <c r="A2140" i="3"/>
  <c r="I2139" i="3"/>
  <c r="H2139" i="3"/>
  <c r="G2139" i="3"/>
  <c r="F2139" i="3"/>
  <c r="E2139" i="3"/>
  <c r="D2139" i="3"/>
  <c r="C2139" i="3"/>
  <c r="B2139" i="3"/>
  <c r="A2139" i="3"/>
  <c r="I2138" i="3"/>
  <c r="H2138" i="3"/>
  <c r="G2138" i="3"/>
  <c r="F2138" i="3"/>
  <c r="E2138" i="3"/>
  <c r="D2138" i="3"/>
  <c r="C2138" i="3"/>
  <c r="B2138" i="3"/>
  <c r="A2138" i="3"/>
  <c r="I2137" i="3"/>
  <c r="H2137" i="3"/>
  <c r="G2137" i="3"/>
  <c r="F2137" i="3"/>
  <c r="E2137" i="3"/>
  <c r="D2137" i="3"/>
  <c r="C2137" i="3"/>
  <c r="B2137" i="3"/>
  <c r="A2137" i="3"/>
  <c r="I2136" i="3"/>
  <c r="H2136" i="3"/>
  <c r="G2136" i="3"/>
  <c r="F2136" i="3"/>
  <c r="E2136" i="3"/>
  <c r="D2136" i="3"/>
  <c r="C2136" i="3"/>
  <c r="B2136" i="3"/>
  <c r="A2136" i="3"/>
  <c r="I2135" i="3"/>
  <c r="H2135" i="3"/>
  <c r="G2135" i="3"/>
  <c r="F2135" i="3"/>
  <c r="E2135" i="3"/>
  <c r="D2135" i="3"/>
  <c r="C2135" i="3"/>
  <c r="B2135" i="3"/>
  <c r="A2135" i="3"/>
  <c r="I2134" i="3"/>
  <c r="H2134" i="3"/>
  <c r="G2134" i="3"/>
  <c r="F2134" i="3"/>
  <c r="E2134" i="3"/>
  <c r="D2134" i="3"/>
  <c r="C2134" i="3"/>
  <c r="B2134" i="3"/>
  <c r="A2134" i="3"/>
  <c r="I2133" i="3"/>
  <c r="H2133" i="3"/>
  <c r="G2133" i="3"/>
  <c r="F2133" i="3"/>
  <c r="E2133" i="3"/>
  <c r="D2133" i="3"/>
  <c r="C2133" i="3"/>
  <c r="B2133" i="3"/>
  <c r="A2133" i="3"/>
  <c r="I2132" i="3"/>
  <c r="H2132" i="3"/>
  <c r="G2132" i="3"/>
  <c r="F2132" i="3"/>
  <c r="E2132" i="3"/>
  <c r="D2132" i="3"/>
  <c r="C2132" i="3"/>
  <c r="B2132" i="3"/>
  <c r="A2132" i="3"/>
  <c r="I2131" i="3"/>
  <c r="H2131" i="3"/>
  <c r="G2131" i="3"/>
  <c r="F2131" i="3"/>
  <c r="E2131" i="3"/>
  <c r="D2131" i="3"/>
  <c r="C2131" i="3"/>
  <c r="B2131" i="3"/>
  <c r="A2131" i="3"/>
  <c r="I2130" i="3"/>
  <c r="H2130" i="3"/>
  <c r="G2130" i="3"/>
  <c r="F2130" i="3"/>
  <c r="E2130" i="3"/>
  <c r="D2130" i="3"/>
  <c r="C2130" i="3"/>
  <c r="B2130" i="3"/>
  <c r="A2130" i="3"/>
  <c r="I2129" i="3"/>
  <c r="H2129" i="3"/>
  <c r="G2129" i="3"/>
  <c r="F2129" i="3"/>
  <c r="E2129" i="3"/>
  <c r="D2129" i="3"/>
  <c r="C2129" i="3"/>
  <c r="B2129" i="3"/>
  <c r="A2129" i="3"/>
  <c r="I2128" i="3"/>
  <c r="H2128" i="3"/>
  <c r="G2128" i="3"/>
  <c r="F2128" i="3"/>
  <c r="E2128" i="3"/>
  <c r="D2128" i="3"/>
  <c r="C2128" i="3"/>
  <c r="B2128" i="3"/>
  <c r="A2128" i="3"/>
  <c r="I2127" i="3"/>
  <c r="H2127" i="3"/>
  <c r="G2127" i="3"/>
  <c r="F2127" i="3"/>
  <c r="E2127" i="3"/>
  <c r="D2127" i="3"/>
  <c r="C2127" i="3"/>
  <c r="B2127" i="3"/>
  <c r="A2127" i="3"/>
  <c r="I2126" i="3"/>
  <c r="H2126" i="3"/>
  <c r="G2126" i="3"/>
  <c r="F2126" i="3"/>
  <c r="E2126" i="3"/>
  <c r="D2126" i="3"/>
  <c r="C2126" i="3"/>
  <c r="B2126" i="3"/>
  <c r="A2126" i="3"/>
  <c r="I2125" i="3"/>
  <c r="H2125" i="3"/>
  <c r="G2125" i="3"/>
  <c r="F2125" i="3"/>
  <c r="E2125" i="3"/>
  <c r="D2125" i="3"/>
  <c r="C2125" i="3"/>
  <c r="B2125" i="3"/>
  <c r="A2125" i="3"/>
  <c r="I2124" i="3"/>
  <c r="H2124" i="3"/>
  <c r="G2124" i="3"/>
  <c r="F2124" i="3"/>
  <c r="E2124" i="3"/>
  <c r="D2124" i="3"/>
  <c r="C2124" i="3"/>
  <c r="B2124" i="3"/>
  <c r="A2124" i="3"/>
  <c r="I2123" i="3"/>
  <c r="H2123" i="3"/>
  <c r="G2123" i="3"/>
  <c r="F2123" i="3"/>
  <c r="E2123" i="3"/>
  <c r="D2123" i="3"/>
  <c r="C2123" i="3"/>
  <c r="B2123" i="3"/>
  <c r="A2123" i="3"/>
  <c r="I2122" i="3"/>
  <c r="H2122" i="3"/>
  <c r="G2122" i="3"/>
  <c r="F2122" i="3"/>
  <c r="E2122" i="3"/>
  <c r="D2122" i="3"/>
  <c r="C2122" i="3"/>
  <c r="B2122" i="3"/>
  <c r="A2122" i="3"/>
  <c r="I2121" i="3"/>
  <c r="H2121" i="3"/>
  <c r="G2121" i="3"/>
  <c r="F2121" i="3"/>
  <c r="E2121" i="3"/>
  <c r="D2121" i="3"/>
  <c r="C2121" i="3"/>
  <c r="B2121" i="3"/>
  <c r="A2121" i="3"/>
  <c r="I2120" i="3"/>
  <c r="H2120" i="3"/>
  <c r="G2120" i="3"/>
  <c r="F2120" i="3"/>
  <c r="E2120" i="3"/>
  <c r="D2120" i="3"/>
  <c r="C2120" i="3"/>
  <c r="B2120" i="3"/>
  <c r="A2120" i="3"/>
  <c r="I2119" i="3"/>
  <c r="H2119" i="3"/>
  <c r="G2119" i="3"/>
  <c r="F2119" i="3"/>
  <c r="E2119" i="3"/>
  <c r="D2119" i="3"/>
  <c r="C2119" i="3"/>
  <c r="B2119" i="3"/>
  <c r="A2119" i="3"/>
  <c r="I2118" i="3"/>
  <c r="H2118" i="3"/>
  <c r="G2118" i="3"/>
  <c r="F2118" i="3"/>
  <c r="E2118" i="3"/>
  <c r="D2118" i="3"/>
  <c r="C2118" i="3"/>
  <c r="B2118" i="3"/>
  <c r="A2118" i="3"/>
  <c r="I2117" i="3"/>
  <c r="H2117" i="3"/>
  <c r="G2117" i="3"/>
  <c r="F2117" i="3"/>
  <c r="E2117" i="3"/>
  <c r="D2117" i="3"/>
  <c r="C2117" i="3"/>
  <c r="B2117" i="3"/>
  <c r="A2117" i="3"/>
  <c r="I2116" i="3"/>
  <c r="H2116" i="3"/>
  <c r="G2116" i="3"/>
  <c r="F2116" i="3"/>
  <c r="E2116" i="3"/>
  <c r="D2116" i="3"/>
  <c r="C2116" i="3"/>
  <c r="B2116" i="3"/>
  <c r="A2116" i="3"/>
  <c r="I2115" i="3"/>
  <c r="H2115" i="3"/>
  <c r="G2115" i="3"/>
  <c r="F2115" i="3"/>
  <c r="E2115" i="3"/>
  <c r="D2115" i="3"/>
  <c r="C2115" i="3"/>
  <c r="B2115" i="3"/>
  <c r="A2115" i="3"/>
  <c r="I2114" i="3"/>
  <c r="H2114" i="3"/>
  <c r="G2114" i="3"/>
  <c r="F2114" i="3"/>
  <c r="E2114" i="3"/>
  <c r="D2114" i="3"/>
  <c r="C2114" i="3"/>
  <c r="B2114" i="3"/>
  <c r="A2114" i="3"/>
  <c r="I2113" i="3"/>
  <c r="H2113" i="3"/>
  <c r="G2113" i="3"/>
  <c r="F2113" i="3"/>
  <c r="E2113" i="3"/>
  <c r="D2113" i="3"/>
  <c r="C2113" i="3"/>
  <c r="B2113" i="3"/>
  <c r="A2113" i="3"/>
  <c r="I2112" i="3"/>
  <c r="H2112" i="3"/>
  <c r="G2112" i="3"/>
  <c r="F2112" i="3"/>
  <c r="E2112" i="3"/>
  <c r="D2112" i="3"/>
  <c r="C2112" i="3"/>
  <c r="B2112" i="3"/>
  <c r="A2112" i="3"/>
  <c r="I2111" i="3"/>
  <c r="H2111" i="3"/>
  <c r="G2111" i="3"/>
  <c r="F2111" i="3"/>
  <c r="E2111" i="3"/>
  <c r="D2111" i="3"/>
  <c r="C2111" i="3"/>
  <c r="B2111" i="3"/>
  <c r="A2111" i="3"/>
  <c r="I2110" i="3"/>
  <c r="H2110" i="3"/>
  <c r="G2110" i="3"/>
  <c r="F2110" i="3"/>
  <c r="E2110" i="3"/>
  <c r="D2110" i="3"/>
  <c r="C2110" i="3"/>
  <c r="B2110" i="3"/>
  <c r="A2110" i="3"/>
  <c r="I2109" i="3"/>
  <c r="H2109" i="3"/>
  <c r="G2109" i="3"/>
  <c r="F2109" i="3"/>
  <c r="E2109" i="3"/>
  <c r="D2109" i="3"/>
  <c r="C2109" i="3"/>
  <c r="B2109" i="3"/>
  <c r="A2109" i="3"/>
  <c r="I2108" i="3"/>
  <c r="H2108" i="3"/>
  <c r="G2108" i="3"/>
  <c r="F2108" i="3"/>
  <c r="E2108" i="3"/>
  <c r="D2108" i="3"/>
  <c r="C2108" i="3"/>
  <c r="B2108" i="3"/>
  <c r="A2108" i="3"/>
  <c r="I2107" i="3"/>
  <c r="H2107" i="3"/>
  <c r="G2107" i="3"/>
  <c r="F2107" i="3"/>
  <c r="E2107" i="3"/>
  <c r="D2107" i="3"/>
  <c r="C2107" i="3"/>
  <c r="B2107" i="3"/>
  <c r="A2107" i="3"/>
  <c r="I2106" i="3"/>
  <c r="H2106" i="3"/>
  <c r="G2106" i="3"/>
  <c r="F2106" i="3"/>
  <c r="E2106" i="3"/>
  <c r="D2106" i="3"/>
  <c r="C2106" i="3"/>
  <c r="B2106" i="3"/>
  <c r="A2106" i="3"/>
  <c r="I2105" i="3"/>
  <c r="H2105" i="3"/>
  <c r="G2105" i="3"/>
  <c r="F2105" i="3"/>
  <c r="E2105" i="3"/>
  <c r="D2105" i="3"/>
  <c r="C2105" i="3"/>
  <c r="B2105" i="3"/>
  <c r="A2105" i="3"/>
  <c r="I2104" i="3"/>
  <c r="H2104" i="3"/>
  <c r="G2104" i="3"/>
  <c r="F2104" i="3"/>
  <c r="E2104" i="3"/>
  <c r="D2104" i="3"/>
  <c r="C2104" i="3"/>
  <c r="B2104" i="3"/>
  <c r="A2104" i="3"/>
  <c r="I2103" i="3"/>
  <c r="H2103" i="3"/>
  <c r="G2103" i="3"/>
  <c r="F2103" i="3"/>
  <c r="E2103" i="3"/>
  <c r="D2103" i="3"/>
  <c r="C2103" i="3"/>
  <c r="B2103" i="3"/>
  <c r="A2103" i="3"/>
  <c r="I2102" i="3"/>
  <c r="H2102" i="3"/>
  <c r="G2102" i="3"/>
  <c r="F2102" i="3"/>
  <c r="E2102" i="3"/>
  <c r="D2102" i="3"/>
  <c r="C2102" i="3"/>
  <c r="B2102" i="3"/>
  <c r="A2102" i="3"/>
  <c r="I2101" i="3"/>
  <c r="H2101" i="3"/>
  <c r="G2101" i="3"/>
  <c r="F2101" i="3"/>
  <c r="E2101" i="3"/>
  <c r="D2101" i="3"/>
  <c r="C2101" i="3"/>
  <c r="B2101" i="3"/>
  <c r="A2101" i="3"/>
  <c r="I2100" i="3"/>
  <c r="H2100" i="3"/>
  <c r="G2100" i="3"/>
  <c r="F2100" i="3"/>
  <c r="E2100" i="3"/>
  <c r="D2100" i="3"/>
  <c r="C2100" i="3"/>
  <c r="B2100" i="3"/>
  <c r="A2100" i="3"/>
  <c r="I2099" i="3"/>
  <c r="H2099" i="3"/>
  <c r="G2099" i="3"/>
  <c r="F2099" i="3"/>
  <c r="E2099" i="3"/>
  <c r="D2099" i="3"/>
  <c r="C2099" i="3"/>
  <c r="B2099" i="3"/>
  <c r="A2099" i="3"/>
  <c r="I2098" i="3"/>
  <c r="H2098" i="3"/>
  <c r="G2098" i="3"/>
  <c r="F2098" i="3"/>
  <c r="E2098" i="3"/>
  <c r="D2098" i="3"/>
  <c r="C2098" i="3"/>
  <c r="B2098" i="3"/>
  <c r="A2098" i="3"/>
  <c r="I2097" i="3"/>
  <c r="H2097" i="3"/>
  <c r="G2097" i="3"/>
  <c r="F2097" i="3"/>
  <c r="E2097" i="3"/>
  <c r="D2097" i="3"/>
  <c r="C2097" i="3"/>
  <c r="B2097" i="3"/>
  <c r="A2097" i="3"/>
  <c r="I2096" i="3"/>
  <c r="H2096" i="3"/>
  <c r="G2096" i="3"/>
  <c r="F2096" i="3"/>
  <c r="E2096" i="3"/>
  <c r="D2096" i="3"/>
  <c r="C2096" i="3"/>
  <c r="B2096" i="3"/>
  <c r="A2096" i="3"/>
  <c r="I2095" i="3"/>
  <c r="H2095" i="3"/>
  <c r="G2095" i="3"/>
  <c r="F2095" i="3"/>
  <c r="E2095" i="3"/>
  <c r="D2095" i="3"/>
  <c r="C2095" i="3"/>
  <c r="B2095" i="3"/>
  <c r="A2095" i="3"/>
  <c r="I2094" i="3"/>
  <c r="H2094" i="3"/>
  <c r="G2094" i="3"/>
  <c r="F2094" i="3"/>
  <c r="E2094" i="3"/>
  <c r="D2094" i="3"/>
  <c r="C2094" i="3"/>
  <c r="B2094" i="3"/>
  <c r="A2094" i="3"/>
  <c r="I2093" i="3"/>
  <c r="H2093" i="3"/>
  <c r="G2093" i="3"/>
  <c r="F2093" i="3"/>
  <c r="E2093" i="3"/>
  <c r="D2093" i="3"/>
  <c r="C2093" i="3"/>
  <c r="B2093" i="3"/>
  <c r="A2093" i="3"/>
  <c r="I2092" i="3"/>
  <c r="H2092" i="3"/>
  <c r="G2092" i="3"/>
  <c r="F2092" i="3"/>
  <c r="E2092" i="3"/>
  <c r="D2092" i="3"/>
  <c r="C2092" i="3"/>
  <c r="B2092" i="3"/>
  <c r="A2092" i="3"/>
  <c r="I2091" i="3"/>
  <c r="H2091" i="3"/>
  <c r="G2091" i="3"/>
  <c r="F2091" i="3"/>
  <c r="E2091" i="3"/>
  <c r="D2091" i="3"/>
  <c r="C2091" i="3"/>
  <c r="B2091" i="3"/>
  <c r="A2091" i="3"/>
  <c r="I2090" i="3"/>
  <c r="H2090" i="3"/>
  <c r="G2090" i="3"/>
  <c r="F2090" i="3"/>
  <c r="E2090" i="3"/>
  <c r="D2090" i="3"/>
  <c r="C2090" i="3"/>
  <c r="B2090" i="3"/>
  <c r="A2090" i="3"/>
  <c r="I2089" i="3"/>
  <c r="H2089" i="3"/>
  <c r="G2089" i="3"/>
  <c r="F2089" i="3"/>
  <c r="E2089" i="3"/>
  <c r="D2089" i="3"/>
  <c r="C2089" i="3"/>
  <c r="B2089" i="3"/>
  <c r="A2089" i="3"/>
  <c r="I2088" i="3"/>
  <c r="H2088" i="3"/>
  <c r="G2088" i="3"/>
  <c r="F2088" i="3"/>
  <c r="E2088" i="3"/>
  <c r="D2088" i="3"/>
  <c r="C2088" i="3"/>
  <c r="B2088" i="3"/>
  <c r="A2088" i="3"/>
  <c r="I2087" i="3"/>
  <c r="H2087" i="3"/>
  <c r="G2087" i="3"/>
  <c r="F2087" i="3"/>
  <c r="E2087" i="3"/>
  <c r="D2087" i="3"/>
  <c r="C2087" i="3"/>
  <c r="B2087" i="3"/>
  <c r="A2087" i="3"/>
  <c r="I2086" i="3"/>
  <c r="H2086" i="3"/>
  <c r="G2086" i="3"/>
  <c r="F2086" i="3"/>
  <c r="E2086" i="3"/>
  <c r="D2086" i="3"/>
  <c r="C2086" i="3"/>
  <c r="B2086" i="3"/>
  <c r="A2086" i="3"/>
  <c r="I2085" i="3"/>
  <c r="H2085" i="3"/>
  <c r="G2085" i="3"/>
  <c r="F2085" i="3"/>
  <c r="E2085" i="3"/>
  <c r="D2085" i="3"/>
  <c r="C2085" i="3"/>
  <c r="B2085" i="3"/>
  <c r="A2085" i="3"/>
  <c r="I2084" i="3"/>
  <c r="H2084" i="3"/>
  <c r="G2084" i="3"/>
  <c r="F2084" i="3"/>
  <c r="E2084" i="3"/>
  <c r="D2084" i="3"/>
  <c r="C2084" i="3"/>
  <c r="B2084" i="3"/>
  <c r="A2084" i="3"/>
  <c r="I2083" i="3"/>
  <c r="H2083" i="3"/>
  <c r="G2083" i="3"/>
  <c r="F2083" i="3"/>
  <c r="E2083" i="3"/>
  <c r="D2083" i="3"/>
  <c r="C2083" i="3"/>
  <c r="B2083" i="3"/>
  <c r="A2083" i="3"/>
  <c r="I2082" i="3"/>
  <c r="H2082" i="3"/>
  <c r="G2082" i="3"/>
  <c r="F2082" i="3"/>
  <c r="E2082" i="3"/>
  <c r="D2082" i="3"/>
  <c r="C2082" i="3"/>
  <c r="B2082" i="3"/>
  <c r="A2082" i="3"/>
  <c r="I2081" i="3"/>
  <c r="H2081" i="3"/>
  <c r="G2081" i="3"/>
  <c r="F2081" i="3"/>
  <c r="E2081" i="3"/>
  <c r="D2081" i="3"/>
  <c r="C2081" i="3"/>
  <c r="B2081" i="3"/>
  <c r="A2081" i="3"/>
  <c r="I2080" i="3"/>
  <c r="H2080" i="3"/>
  <c r="G2080" i="3"/>
  <c r="F2080" i="3"/>
  <c r="E2080" i="3"/>
  <c r="D2080" i="3"/>
  <c r="C2080" i="3"/>
  <c r="B2080" i="3"/>
  <c r="A2080" i="3"/>
  <c r="I2079" i="3"/>
  <c r="H2079" i="3"/>
  <c r="G2079" i="3"/>
  <c r="F2079" i="3"/>
  <c r="E2079" i="3"/>
  <c r="D2079" i="3"/>
  <c r="C2079" i="3"/>
  <c r="B2079" i="3"/>
  <c r="A2079" i="3"/>
  <c r="I2078" i="3"/>
  <c r="H2078" i="3"/>
  <c r="G2078" i="3"/>
  <c r="F2078" i="3"/>
  <c r="E2078" i="3"/>
  <c r="D2078" i="3"/>
  <c r="C2078" i="3"/>
  <c r="B2078" i="3"/>
  <c r="A2078" i="3"/>
  <c r="I2077" i="3"/>
  <c r="H2077" i="3"/>
  <c r="G2077" i="3"/>
  <c r="F2077" i="3"/>
  <c r="E2077" i="3"/>
  <c r="D2077" i="3"/>
  <c r="C2077" i="3"/>
  <c r="B2077" i="3"/>
  <c r="A2077" i="3"/>
  <c r="I2076" i="3"/>
  <c r="H2076" i="3"/>
  <c r="G2076" i="3"/>
  <c r="F2076" i="3"/>
  <c r="E2076" i="3"/>
  <c r="D2076" i="3"/>
  <c r="C2076" i="3"/>
  <c r="B2076" i="3"/>
  <c r="A2076" i="3"/>
  <c r="I2075" i="3"/>
  <c r="H2075" i="3"/>
  <c r="G2075" i="3"/>
  <c r="F2075" i="3"/>
  <c r="E2075" i="3"/>
  <c r="D2075" i="3"/>
  <c r="C2075" i="3"/>
  <c r="B2075" i="3"/>
  <c r="A2075" i="3"/>
  <c r="I2074" i="3"/>
  <c r="H2074" i="3"/>
  <c r="G2074" i="3"/>
  <c r="F2074" i="3"/>
  <c r="E2074" i="3"/>
  <c r="D2074" i="3"/>
  <c r="C2074" i="3"/>
  <c r="B2074" i="3"/>
  <c r="A2074" i="3"/>
  <c r="I2073" i="3"/>
  <c r="H2073" i="3"/>
  <c r="G2073" i="3"/>
  <c r="F2073" i="3"/>
  <c r="E2073" i="3"/>
  <c r="D2073" i="3"/>
  <c r="C2073" i="3"/>
  <c r="B2073" i="3"/>
  <c r="A2073" i="3"/>
  <c r="I2072" i="3"/>
  <c r="H2072" i="3"/>
  <c r="G2072" i="3"/>
  <c r="F2072" i="3"/>
  <c r="E2072" i="3"/>
  <c r="D2072" i="3"/>
  <c r="C2072" i="3"/>
  <c r="B2072" i="3"/>
  <c r="A2072" i="3"/>
  <c r="I2071" i="3"/>
  <c r="H2071" i="3"/>
  <c r="G2071" i="3"/>
  <c r="F2071" i="3"/>
  <c r="E2071" i="3"/>
  <c r="D2071" i="3"/>
  <c r="C2071" i="3"/>
  <c r="B2071" i="3"/>
  <c r="A2071" i="3"/>
  <c r="I2070" i="3"/>
  <c r="H2070" i="3"/>
  <c r="G2070" i="3"/>
  <c r="F2070" i="3"/>
  <c r="E2070" i="3"/>
  <c r="D2070" i="3"/>
  <c r="C2070" i="3"/>
  <c r="B2070" i="3"/>
  <c r="A2070" i="3"/>
  <c r="I2069" i="3"/>
  <c r="H2069" i="3"/>
  <c r="G2069" i="3"/>
  <c r="F2069" i="3"/>
  <c r="E2069" i="3"/>
  <c r="D2069" i="3"/>
  <c r="C2069" i="3"/>
  <c r="B2069" i="3"/>
  <c r="A2069" i="3"/>
  <c r="I2068" i="3"/>
  <c r="H2068" i="3"/>
  <c r="G2068" i="3"/>
  <c r="F2068" i="3"/>
  <c r="E2068" i="3"/>
  <c r="D2068" i="3"/>
  <c r="C2068" i="3"/>
  <c r="B2068" i="3"/>
  <c r="A2068" i="3"/>
  <c r="I2067" i="3"/>
  <c r="H2067" i="3"/>
  <c r="G2067" i="3"/>
  <c r="F2067" i="3"/>
  <c r="E2067" i="3"/>
  <c r="D2067" i="3"/>
  <c r="C2067" i="3"/>
  <c r="B2067" i="3"/>
  <c r="A2067" i="3"/>
  <c r="I2066" i="3"/>
  <c r="H2066" i="3"/>
  <c r="G2066" i="3"/>
  <c r="F2066" i="3"/>
  <c r="E2066" i="3"/>
  <c r="D2066" i="3"/>
  <c r="C2066" i="3"/>
  <c r="B2066" i="3"/>
  <c r="A2066" i="3"/>
  <c r="I2065" i="3"/>
  <c r="H2065" i="3"/>
  <c r="G2065" i="3"/>
  <c r="F2065" i="3"/>
  <c r="E2065" i="3"/>
  <c r="D2065" i="3"/>
  <c r="C2065" i="3"/>
  <c r="B2065" i="3"/>
  <c r="A2065" i="3"/>
  <c r="I2064" i="3"/>
  <c r="H2064" i="3"/>
  <c r="G2064" i="3"/>
  <c r="F2064" i="3"/>
  <c r="E2064" i="3"/>
  <c r="D2064" i="3"/>
  <c r="C2064" i="3"/>
  <c r="B2064" i="3"/>
  <c r="A2064" i="3"/>
  <c r="I2063" i="3"/>
  <c r="H2063" i="3"/>
  <c r="G2063" i="3"/>
  <c r="F2063" i="3"/>
  <c r="E2063" i="3"/>
  <c r="D2063" i="3"/>
  <c r="C2063" i="3"/>
  <c r="B2063" i="3"/>
  <c r="A2063" i="3"/>
  <c r="I2062" i="3"/>
  <c r="H2062" i="3"/>
  <c r="G2062" i="3"/>
  <c r="F2062" i="3"/>
  <c r="E2062" i="3"/>
  <c r="D2062" i="3"/>
  <c r="C2062" i="3"/>
  <c r="B2062" i="3"/>
  <c r="A2062" i="3"/>
  <c r="I2061" i="3"/>
  <c r="H2061" i="3"/>
  <c r="G2061" i="3"/>
  <c r="F2061" i="3"/>
  <c r="E2061" i="3"/>
  <c r="D2061" i="3"/>
  <c r="C2061" i="3"/>
  <c r="B2061" i="3"/>
  <c r="A2061" i="3"/>
  <c r="I2060" i="3"/>
  <c r="H2060" i="3"/>
  <c r="G2060" i="3"/>
  <c r="F2060" i="3"/>
  <c r="E2060" i="3"/>
  <c r="D2060" i="3"/>
  <c r="C2060" i="3"/>
  <c r="B2060" i="3"/>
  <c r="A2060" i="3"/>
  <c r="I2059" i="3"/>
  <c r="H2059" i="3"/>
  <c r="G2059" i="3"/>
  <c r="F2059" i="3"/>
  <c r="E2059" i="3"/>
  <c r="D2059" i="3"/>
  <c r="C2059" i="3"/>
  <c r="B2059" i="3"/>
  <c r="A2059" i="3"/>
  <c r="I2058" i="3"/>
  <c r="H2058" i="3"/>
  <c r="G2058" i="3"/>
  <c r="F2058" i="3"/>
  <c r="E2058" i="3"/>
  <c r="D2058" i="3"/>
  <c r="C2058" i="3"/>
  <c r="B2058" i="3"/>
  <c r="A2058" i="3"/>
  <c r="I2057" i="3"/>
  <c r="H2057" i="3"/>
  <c r="G2057" i="3"/>
  <c r="F2057" i="3"/>
  <c r="E2057" i="3"/>
  <c r="D2057" i="3"/>
  <c r="C2057" i="3"/>
  <c r="B2057" i="3"/>
  <c r="A2057" i="3"/>
  <c r="I2056" i="3"/>
  <c r="H2056" i="3"/>
  <c r="G2056" i="3"/>
  <c r="F2056" i="3"/>
  <c r="E2056" i="3"/>
  <c r="D2056" i="3"/>
  <c r="C2056" i="3"/>
  <c r="B2056" i="3"/>
  <c r="A2056" i="3"/>
  <c r="I2055" i="3"/>
  <c r="H2055" i="3"/>
  <c r="G2055" i="3"/>
  <c r="F2055" i="3"/>
  <c r="E2055" i="3"/>
  <c r="D2055" i="3"/>
  <c r="C2055" i="3"/>
  <c r="B2055" i="3"/>
  <c r="A2055" i="3"/>
  <c r="I2054" i="3"/>
  <c r="H2054" i="3"/>
  <c r="G2054" i="3"/>
  <c r="F2054" i="3"/>
  <c r="E2054" i="3"/>
  <c r="D2054" i="3"/>
  <c r="C2054" i="3"/>
  <c r="B2054" i="3"/>
  <c r="A2054" i="3"/>
  <c r="I2053" i="3"/>
  <c r="H2053" i="3"/>
  <c r="G2053" i="3"/>
  <c r="F2053" i="3"/>
  <c r="E2053" i="3"/>
  <c r="D2053" i="3"/>
  <c r="C2053" i="3"/>
  <c r="B2053" i="3"/>
  <c r="A2053" i="3"/>
  <c r="I2052" i="3"/>
  <c r="H2052" i="3"/>
  <c r="G2052" i="3"/>
  <c r="F2052" i="3"/>
  <c r="E2052" i="3"/>
  <c r="D2052" i="3"/>
  <c r="C2052" i="3"/>
  <c r="B2052" i="3"/>
  <c r="A2052" i="3"/>
  <c r="I2051" i="3"/>
  <c r="H2051" i="3"/>
  <c r="G2051" i="3"/>
  <c r="F2051" i="3"/>
  <c r="E2051" i="3"/>
  <c r="D2051" i="3"/>
  <c r="C2051" i="3"/>
  <c r="B2051" i="3"/>
  <c r="A2051" i="3"/>
  <c r="I2050" i="3"/>
  <c r="H2050" i="3"/>
  <c r="G2050" i="3"/>
  <c r="F2050" i="3"/>
  <c r="E2050" i="3"/>
  <c r="D2050" i="3"/>
  <c r="C2050" i="3"/>
  <c r="B2050" i="3"/>
  <c r="A2050" i="3"/>
  <c r="I2049" i="3"/>
  <c r="H2049" i="3"/>
  <c r="G2049" i="3"/>
  <c r="F2049" i="3"/>
  <c r="E2049" i="3"/>
  <c r="D2049" i="3"/>
  <c r="C2049" i="3"/>
  <c r="B2049" i="3"/>
  <c r="A2049" i="3"/>
  <c r="I2048" i="3"/>
  <c r="H2048" i="3"/>
  <c r="G2048" i="3"/>
  <c r="F2048" i="3"/>
  <c r="E2048" i="3"/>
  <c r="D2048" i="3"/>
  <c r="C2048" i="3"/>
  <c r="B2048" i="3"/>
  <c r="A2048" i="3"/>
  <c r="I2047" i="3"/>
  <c r="H2047" i="3"/>
  <c r="G2047" i="3"/>
  <c r="F2047" i="3"/>
  <c r="E2047" i="3"/>
  <c r="D2047" i="3"/>
  <c r="C2047" i="3"/>
  <c r="B2047" i="3"/>
  <c r="A2047" i="3"/>
  <c r="I2046" i="3"/>
  <c r="H2046" i="3"/>
  <c r="G2046" i="3"/>
  <c r="F2046" i="3"/>
  <c r="E2046" i="3"/>
  <c r="D2046" i="3"/>
  <c r="C2046" i="3"/>
  <c r="B2046" i="3"/>
  <c r="A2046" i="3"/>
  <c r="I2045" i="3"/>
  <c r="H2045" i="3"/>
  <c r="G2045" i="3"/>
  <c r="F2045" i="3"/>
  <c r="E2045" i="3"/>
  <c r="D2045" i="3"/>
  <c r="C2045" i="3"/>
  <c r="B2045" i="3"/>
  <c r="A2045" i="3"/>
  <c r="I2044" i="3"/>
  <c r="H2044" i="3"/>
  <c r="G2044" i="3"/>
  <c r="F2044" i="3"/>
  <c r="E2044" i="3"/>
  <c r="D2044" i="3"/>
  <c r="C2044" i="3"/>
  <c r="B2044" i="3"/>
  <c r="A2044" i="3"/>
  <c r="I2043" i="3"/>
  <c r="H2043" i="3"/>
  <c r="G2043" i="3"/>
  <c r="F2043" i="3"/>
  <c r="E2043" i="3"/>
  <c r="D2043" i="3"/>
  <c r="C2043" i="3"/>
  <c r="B2043" i="3"/>
  <c r="A2043" i="3"/>
  <c r="I2042" i="3"/>
  <c r="H2042" i="3"/>
  <c r="G2042" i="3"/>
  <c r="F2042" i="3"/>
  <c r="E2042" i="3"/>
  <c r="D2042" i="3"/>
  <c r="C2042" i="3"/>
  <c r="B2042" i="3"/>
  <c r="A2042" i="3"/>
  <c r="I2041" i="3"/>
  <c r="H2041" i="3"/>
  <c r="G2041" i="3"/>
  <c r="F2041" i="3"/>
  <c r="E2041" i="3"/>
  <c r="D2041" i="3"/>
  <c r="C2041" i="3"/>
  <c r="B2041" i="3"/>
  <c r="A2041" i="3"/>
  <c r="I2040" i="3"/>
  <c r="H2040" i="3"/>
  <c r="G2040" i="3"/>
  <c r="F2040" i="3"/>
  <c r="E2040" i="3"/>
  <c r="D2040" i="3"/>
  <c r="C2040" i="3"/>
  <c r="B2040" i="3"/>
  <c r="A2040" i="3"/>
  <c r="I2039" i="3"/>
  <c r="H2039" i="3"/>
  <c r="G2039" i="3"/>
  <c r="F2039" i="3"/>
  <c r="E2039" i="3"/>
  <c r="D2039" i="3"/>
  <c r="C2039" i="3"/>
  <c r="B2039" i="3"/>
  <c r="A2039" i="3"/>
  <c r="I2038" i="3"/>
  <c r="H2038" i="3"/>
  <c r="G2038" i="3"/>
  <c r="F2038" i="3"/>
  <c r="E2038" i="3"/>
  <c r="D2038" i="3"/>
  <c r="C2038" i="3"/>
  <c r="B2038" i="3"/>
  <c r="A2038" i="3"/>
  <c r="I2037" i="3"/>
  <c r="H2037" i="3"/>
  <c r="G2037" i="3"/>
  <c r="F2037" i="3"/>
  <c r="E2037" i="3"/>
  <c r="D2037" i="3"/>
  <c r="C2037" i="3"/>
  <c r="B2037" i="3"/>
  <c r="A2037" i="3"/>
  <c r="I2036" i="3"/>
  <c r="H2036" i="3"/>
  <c r="G2036" i="3"/>
  <c r="F2036" i="3"/>
  <c r="E2036" i="3"/>
  <c r="D2036" i="3"/>
  <c r="C2036" i="3"/>
  <c r="B2036" i="3"/>
  <c r="A2036" i="3"/>
  <c r="I2035" i="3"/>
  <c r="H2035" i="3"/>
  <c r="G2035" i="3"/>
  <c r="F2035" i="3"/>
  <c r="E2035" i="3"/>
  <c r="D2035" i="3"/>
  <c r="C2035" i="3"/>
  <c r="B2035" i="3"/>
  <c r="A2035" i="3"/>
  <c r="I2034" i="3"/>
  <c r="H2034" i="3"/>
  <c r="G2034" i="3"/>
  <c r="F2034" i="3"/>
  <c r="E2034" i="3"/>
  <c r="D2034" i="3"/>
  <c r="C2034" i="3"/>
  <c r="B2034" i="3"/>
  <c r="A2034" i="3"/>
  <c r="I2033" i="3"/>
  <c r="H2033" i="3"/>
  <c r="G2033" i="3"/>
  <c r="F2033" i="3"/>
  <c r="E2033" i="3"/>
  <c r="D2033" i="3"/>
  <c r="C2033" i="3"/>
  <c r="B2033" i="3"/>
  <c r="A2033" i="3"/>
  <c r="I2032" i="3"/>
  <c r="H2032" i="3"/>
  <c r="G2032" i="3"/>
  <c r="F2032" i="3"/>
  <c r="E2032" i="3"/>
  <c r="D2032" i="3"/>
  <c r="C2032" i="3"/>
  <c r="B2032" i="3"/>
  <c r="A2032" i="3"/>
  <c r="I2031" i="3"/>
  <c r="H2031" i="3"/>
  <c r="G2031" i="3"/>
  <c r="F2031" i="3"/>
  <c r="E2031" i="3"/>
  <c r="D2031" i="3"/>
  <c r="C2031" i="3"/>
  <c r="B2031" i="3"/>
  <c r="A2031" i="3"/>
  <c r="I2030" i="3"/>
  <c r="H2030" i="3"/>
  <c r="G2030" i="3"/>
  <c r="F2030" i="3"/>
  <c r="E2030" i="3"/>
  <c r="D2030" i="3"/>
  <c r="C2030" i="3"/>
  <c r="B2030" i="3"/>
  <c r="A2030" i="3"/>
  <c r="I2029" i="3"/>
  <c r="H2029" i="3"/>
  <c r="G2029" i="3"/>
  <c r="F2029" i="3"/>
  <c r="E2029" i="3"/>
  <c r="D2029" i="3"/>
  <c r="C2029" i="3"/>
  <c r="B2029" i="3"/>
  <c r="A2029" i="3"/>
  <c r="I2028" i="3"/>
  <c r="H2028" i="3"/>
  <c r="G2028" i="3"/>
  <c r="F2028" i="3"/>
  <c r="E2028" i="3"/>
  <c r="D2028" i="3"/>
  <c r="C2028" i="3"/>
  <c r="B2028" i="3"/>
  <c r="A2028" i="3"/>
  <c r="I2027" i="3"/>
  <c r="H2027" i="3"/>
  <c r="G2027" i="3"/>
  <c r="F2027" i="3"/>
  <c r="E2027" i="3"/>
  <c r="D2027" i="3"/>
  <c r="C2027" i="3"/>
  <c r="B2027" i="3"/>
  <c r="A2027" i="3"/>
  <c r="I2026" i="3"/>
  <c r="H2026" i="3"/>
  <c r="G2026" i="3"/>
  <c r="F2026" i="3"/>
  <c r="E2026" i="3"/>
  <c r="D2026" i="3"/>
  <c r="C2026" i="3"/>
  <c r="B2026" i="3"/>
  <c r="A2026" i="3"/>
  <c r="I2025" i="3"/>
  <c r="H2025" i="3"/>
  <c r="G2025" i="3"/>
  <c r="F2025" i="3"/>
  <c r="E2025" i="3"/>
  <c r="D2025" i="3"/>
  <c r="C2025" i="3"/>
  <c r="B2025" i="3"/>
  <c r="A2025" i="3"/>
  <c r="I2024" i="3"/>
  <c r="H2024" i="3"/>
  <c r="G2024" i="3"/>
  <c r="F2024" i="3"/>
  <c r="E2024" i="3"/>
  <c r="D2024" i="3"/>
  <c r="C2024" i="3"/>
  <c r="B2024" i="3"/>
  <c r="A2024" i="3"/>
  <c r="I2023" i="3"/>
  <c r="H2023" i="3"/>
  <c r="G2023" i="3"/>
  <c r="F2023" i="3"/>
  <c r="E2023" i="3"/>
  <c r="D2023" i="3"/>
  <c r="C2023" i="3"/>
  <c r="B2023" i="3"/>
  <c r="A2023" i="3"/>
  <c r="I2022" i="3"/>
  <c r="H2022" i="3"/>
  <c r="G2022" i="3"/>
  <c r="F2022" i="3"/>
  <c r="E2022" i="3"/>
  <c r="D2022" i="3"/>
  <c r="C2022" i="3"/>
  <c r="B2022" i="3"/>
  <c r="A2022" i="3"/>
  <c r="I2021" i="3"/>
  <c r="H2021" i="3"/>
  <c r="G2021" i="3"/>
  <c r="F2021" i="3"/>
  <c r="E2021" i="3"/>
  <c r="D2021" i="3"/>
  <c r="C2021" i="3"/>
  <c r="B2021" i="3"/>
  <c r="A2021" i="3"/>
  <c r="I2020" i="3"/>
  <c r="H2020" i="3"/>
  <c r="G2020" i="3"/>
  <c r="F2020" i="3"/>
  <c r="E2020" i="3"/>
  <c r="D2020" i="3"/>
  <c r="C2020" i="3"/>
  <c r="B2020" i="3"/>
  <c r="A2020" i="3"/>
  <c r="I2019" i="3"/>
  <c r="H2019" i="3"/>
  <c r="G2019" i="3"/>
  <c r="F2019" i="3"/>
  <c r="E2019" i="3"/>
  <c r="D2019" i="3"/>
  <c r="C2019" i="3"/>
  <c r="B2019" i="3"/>
  <c r="A2019" i="3"/>
  <c r="I2018" i="3"/>
  <c r="H2018" i="3"/>
  <c r="G2018" i="3"/>
  <c r="F2018" i="3"/>
  <c r="E2018" i="3"/>
  <c r="D2018" i="3"/>
  <c r="C2018" i="3"/>
  <c r="B2018" i="3"/>
  <c r="A2018" i="3"/>
  <c r="I2017" i="3"/>
  <c r="H2017" i="3"/>
  <c r="G2017" i="3"/>
  <c r="F2017" i="3"/>
  <c r="E2017" i="3"/>
  <c r="D2017" i="3"/>
  <c r="C2017" i="3"/>
  <c r="B2017" i="3"/>
  <c r="A2017" i="3"/>
  <c r="I2016" i="3"/>
  <c r="H2016" i="3"/>
  <c r="G2016" i="3"/>
  <c r="F2016" i="3"/>
  <c r="E2016" i="3"/>
  <c r="D2016" i="3"/>
  <c r="C2016" i="3"/>
  <c r="B2016" i="3"/>
  <c r="A2016" i="3"/>
  <c r="I2015" i="3"/>
  <c r="H2015" i="3"/>
  <c r="G2015" i="3"/>
  <c r="F2015" i="3"/>
  <c r="E2015" i="3"/>
  <c r="D2015" i="3"/>
  <c r="C2015" i="3"/>
  <c r="B2015" i="3"/>
  <c r="A2015" i="3"/>
  <c r="I2014" i="3"/>
  <c r="H2014" i="3"/>
  <c r="G2014" i="3"/>
  <c r="F2014" i="3"/>
  <c r="E2014" i="3"/>
  <c r="D2014" i="3"/>
  <c r="C2014" i="3"/>
  <c r="B2014" i="3"/>
  <c r="A2014" i="3"/>
  <c r="I2013" i="3"/>
  <c r="H2013" i="3"/>
  <c r="G2013" i="3"/>
  <c r="F2013" i="3"/>
  <c r="E2013" i="3"/>
  <c r="D2013" i="3"/>
  <c r="C2013" i="3"/>
  <c r="B2013" i="3"/>
  <c r="A2013" i="3"/>
  <c r="I2012" i="3"/>
  <c r="H2012" i="3"/>
  <c r="G2012" i="3"/>
  <c r="F2012" i="3"/>
  <c r="E2012" i="3"/>
  <c r="D2012" i="3"/>
  <c r="C2012" i="3"/>
  <c r="B2012" i="3"/>
  <c r="A2012" i="3"/>
  <c r="I2011" i="3"/>
  <c r="H2011" i="3"/>
  <c r="G2011" i="3"/>
  <c r="F2011" i="3"/>
  <c r="E2011" i="3"/>
  <c r="D2011" i="3"/>
  <c r="C2011" i="3"/>
  <c r="B2011" i="3"/>
  <c r="A2011" i="3"/>
  <c r="I2010" i="3"/>
  <c r="H2010" i="3"/>
  <c r="G2010" i="3"/>
  <c r="F2010" i="3"/>
  <c r="E2010" i="3"/>
  <c r="D2010" i="3"/>
  <c r="C2010" i="3"/>
  <c r="B2010" i="3"/>
  <c r="A2010" i="3"/>
  <c r="I2009" i="3"/>
  <c r="H2009" i="3"/>
  <c r="G2009" i="3"/>
  <c r="F2009" i="3"/>
  <c r="E2009" i="3"/>
  <c r="D2009" i="3"/>
  <c r="C2009" i="3"/>
  <c r="B2009" i="3"/>
  <c r="A2009" i="3"/>
  <c r="I2008" i="3"/>
  <c r="H2008" i="3"/>
  <c r="G2008" i="3"/>
  <c r="F2008" i="3"/>
  <c r="E2008" i="3"/>
  <c r="D2008" i="3"/>
  <c r="C2008" i="3"/>
  <c r="B2008" i="3"/>
  <c r="A2008" i="3"/>
  <c r="I2007" i="3"/>
  <c r="H2007" i="3"/>
  <c r="G2007" i="3"/>
  <c r="F2007" i="3"/>
  <c r="E2007" i="3"/>
  <c r="D2007" i="3"/>
  <c r="C2007" i="3"/>
  <c r="B2007" i="3"/>
  <c r="A2007" i="3"/>
  <c r="I2006" i="3"/>
  <c r="H2006" i="3"/>
  <c r="G2006" i="3"/>
  <c r="F2006" i="3"/>
  <c r="E2006" i="3"/>
  <c r="D2006" i="3"/>
  <c r="C2006" i="3"/>
  <c r="B2006" i="3"/>
  <c r="A2006" i="3"/>
  <c r="I2005" i="3"/>
  <c r="H2005" i="3"/>
  <c r="G2005" i="3"/>
  <c r="F2005" i="3"/>
  <c r="E2005" i="3"/>
  <c r="D2005" i="3"/>
  <c r="C2005" i="3"/>
  <c r="B2005" i="3"/>
  <c r="A2005" i="3"/>
  <c r="I2004" i="3"/>
  <c r="H2004" i="3"/>
  <c r="G2004" i="3"/>
  <c r="F2004" i="3"/>
  <c r="E2004" i="3"/>
  <c r="D2004" i="3"/>
  <c r="C2004" i="3"/>
  <c r="B2004" i="3"/>
  <c r="A2004" i="3"/>
  <c r="I2003" i="3"/>
  <c r="H2003" i="3"/>
  <c r="G2003" i="3"/>
  <c r="F2003" i="3"/>
  <c r="E2003" i="3"/>
  <c r="D2003" i="3"/>
  <c r="C2003" i="3"/>
  <c r="B2003" i="3"/>
  <c r="A2003" i="3"/>
  <c r="I2002" i="3"/>
  <c r="H2002" i="3"/>
  <c r="G2002" i="3"/>
  <c r="F2002" i="3"/>
  <c r="E2002" i="3"/>
  <c r="D2002" i="3"/>
  <c r="C2002" i="3"/>
  <c r="B2002" i="3"/>
  <c r="A2002" i="3"/>
  <c r="I2001" i="3"/>
  <c r="H2001" i="3"/>
  <c r="G2001" i="3"/>
  <c r="F2001" i="3"/>
  <c r="E2001" i="3"/>
  <c r="D2001" i="3"/>
  <c r="C2001" i="3"/>
  <c r="B2001" i="3"/>
  <c r="A2001" i="3"/>
  <c r="I2000" i="3"/>
  <c r="H2000" i="3"/>
  <c r="G2000" i="3"/>
  <c r="F2000" i="3"/>
  <c r="E2000" i="3"/>
  <c r="D2000" i="3"/>
  <c r="C2000" i="3"/>
  <c r="B2000" i="3"/>
  <c r="A2000" i="3"/>
  <c r="I1999" i="3"/>
  <c r="H1999" i="3"/>
  <c r="G1999" i="3"/>
  <c r="F1999" i="3"/>
  <c r="E1999" i="3"/>
  <c r="D1999" i="3"/>
  <c r="C1999" i="3"/>
  <c r="B1999" i="3"/>
  <c r="A1999" i="3"/>
  <c r="I1998" i="3"/>
  <c r="H1998" i="3"/>
  <c r="G1998" i="3"/>
  <c r="F1998" i="3"/>
  <c r="E1998" i="3"/>
  <c r="D1998" i="3"/>
  <c r="C1998" i="3"/>
  <c r="B1998" i="3"/>
  <c r="A1998" i="3"/>
  <c r="I1997" i="3"/>
  <c r="H1997" i="3"/>
  <c r="G1997" i="3"/>
  <c r="F1997" i="3"/>
  <c r="E1997" i="3"/>
  <c r="D1997" i="3"/>
  <c r="C1997" i="3"/>
  <c r="B1997" i="3"/>
  <c r="A1997" i="3"/>
  <c r="I1996" i="3"/>
  <c r="H1996" i="3"/>
  <c r="G1996" i="3"/>
  <c r="F1996" i="3"/>
  <c r="E1996" i="3"/>
  <c r="D1996" i="3"/>
  <c r="C1996" i="3"/>
  <c r="B1996" i="3"/>
  <c r="A1996" i="3"/>
  <c r="I1995" i="3"/>
  <c r="H1995" i="3"/>
  <c r="G1995" i="3"/>
  <c r="F1995" i="3"/>
  <c r="E1995" i="3"/>
  <c r="D1995" i="3"/>
  <c r="C1995" i="3"/>
  <c r="B1995" i="3"/>
  <c r="A1995" i="3"/>
  <c r="I1994" i="3"/>
  <c r="H1994" i="3"/>
  <c r="G1994" i="3"/>
  <c r="F1994" i="3"/>
  <c r="E1994" i="3"/>
  <c r="D1994" i="3"/>
  <c r="C1994" i="3"/>
  <c r="B1994" i="3"/>
  <c r="A1994" i="3"/>
  <c r="I1993" i="3"/>
  <c r="H1993" i="3"/>
  <c r="G1993" i="3"/>
  <c r="F1993" i="3"/>
  <c r="E1993" i="3"/>
  <c r="D1993" i="3"/>
  <c r="C1993" i="3"/>
  <c r="B1993" i="3"/>
  <c r="A1993" i="3"/>
  <c r="I1992" i="3"/>
  <c r="H1992" i="3"/>
  <c r="G1992" i="3"/>
  <c r="F1992" i="3"/>
  <c r="E1992" i="3"/>
  <c r="D1992" i="3"/>
  <c r="C1992" i="3"/>
  <c r="B1992" i="3"/>
  <c r="A1992" i="3"/>
  <c r="I1991" i="3"/>
  <c r="H1991" i="3"/>
  <c r="G1991" i="3"/>
  <c r="F1991" i="3"/>
  <c r="E1991" i="3"/>
  <c r="D1991" i="3"/>
  <c r="C1991" i="3"/>
  <c r="B1991" i="3"/>
  <c r="A1991" i="3"/>
  <c r="I1990" i="3"/>
  <c r="H1990" i="3"/>
  <c r="G1990" i="3"/>
  <c r="F1990" i="3"/>
  <c r="E1990" i="3"/>
  <c r="D1990" i="3"/>
  <c r="C1990" i="3"/>
  <c r="B1990" i="3"/>
  <c r="A1990" i="3"/>
  <c r="I1989" i="3"/>
  <c r="H1989" i="3"/>
  <c r="G1989" i="3"/>
  <c r="F1989" i="3"/>
  <c r="E1989" i="3"/>
  <c r="D1989" i="3"/>
  <c r="C1989" i="3"/>
  <c r="B1989" i="3"/>
  <c r="A1989" i="3"/>
  <c r="I1988" i="3"/>
  <c r="H1988" i="3"/>
  <c r="G1988" i="3"/>
  <c r="F1988" i="3"/>
  <c r="E1988" i="3"/>
  <c r="D1988" i="3"/>
  <c r="C1988" i="3"/>
  <c r="B1988" i="3"/>
  <c r="A1988" i="3"/>
  <c r="I1987" i="3"/>
  <c r="H1987" i="3"/>
  <c r="G1987" i="3"/>
  <c r="F1987" i="3"/>
  <c r="E1987" i="3"/>
  <c r="D1987" i="3"/>
  <c r="C1987" i="3"/>
  <c r="B1987" i="3"/>
  <c r="A1987" i="3"/>
  <c r="I1986" i="3"/>
  <c r="H1986" i="3"/>
  <c r="G1986" i="3"/>
  <c r="F1986" i="3"/>
  <c r="E1986" i="3"/>
  <c r="D1986" i="3"/>
  <c r="C1986" i="3"/>
  <c r="B1986" i="3"/>
  <c r="A1986" i="3"/>
  <c r="I1985" i="3"/>
  <c r="H1985" i="3"/>
  <c r="G1985" i="3"/>
  <c r="F1985" i="3"/>
  <c r="E1985" i="3"/>
  <c r="D1985" i="3"/>
  <c r="C1985" i="3"/>
  <c r="B1985" i="3"/>
  <c r="A1985" i="3"/>
  <c r="I1984" i="3"/>
  <c r="H1984" i="3"/>
  <c r="G1984" i="3"/>
  <c r="F1984" i="3"/>
  <c r="E1984" i="3"/>
  <c r="D1984" i="3"/>
  <c r="C1984" i="3"/>
  <c r="B1984" i="3"/>
  <c r="A1984" i="3"/>
  <c r="I1983" i="3"/>
  <c r="H1983" i="3"/>
  <c r="G1983" i="3"/>
  <c r="F1983" i="3"/>
  <c r="E1983" i="3"/>
  <c r="D1983" i="3"/>
  <c r="C1983" i="3"/>
  <c r="B1983" i="3"/>
  <c r="A1983" i="3"/>
  <c r="I1982" i="3"/>
  <c r="H1982" i="3"/>
  <c r="G1982" i="3"/>
  <c r="F1982" i="3"/>
  <c r="E1982" i="3"/>
  <c r="D1982" i="3"/>
  <c r="C1982" i="3"/>
  <c r="B1982" i="3"/>
  <c r="A1982" i="3"/>
  <c r="I1981" i="3"/>
  <c r="H1981" i="3"/>
  <c r="G1981" i="3"/>
  <c r="F1981" i="3"/>
  <c r="E1981" i="3"/>
  <c r="D1981" i="3"/>
  <c r="C1981" i="3"/>
  <c r="B1981" i="3"/>
  <c r="A1981" i="3"/>
  <c r="I1980" i="3"/>
  <c r="H1980" i="3"/>
  <c r="G1980" i="3"/>
  <c r="F1980" i="3"/>
  <c r="E1980" i="3"/>
  <c r="D1980" i="3"/>
  <c r="C1980" i="3"/>
  <c r="B1980" i="3"/>
  <c r="A1980" i="3"/>
  <c r="I1979" i="3"/>
  <c r="H1979" i="3"/>
  <c r="G1979" i="3"/>
  <c r="F1979" i="3"/>
  <c r="E1979" i="3"/>
  <c r="D1979" i="3"/>
  <c r="C1979" i="3"/>
  <c r="B1979" i="3"/>
  <c r="A1979" i="3"/>
  <c r="I1978" i="3"/>
  <c r="H1978" i="3"/>
  <c r="G1978" i="3"/>
  <c r="F1978" i="3"/>
  <c r="E1978" i="3"/>
  <c r="D1978" i="3"/>
  <c r="C1978" i="3"/>
  <c r="B1978" i="3"/>
  <c r="A1978" i="3"/>
  <c r="I1977" i="3"/>
  <c r="H1977" i="3"/>
  <c r="G1977" i="3"/>
  <c r="F1977" i="3"/>
  <c r="E1977" i="3"/>
  <c r="D1977" i="3"/>
  <c r="C1977" i="3"/>
  <c r="B1977" i="3"/>
  <c r="A1977" i="3"/>
  <c r="I1976" i="3"/>
  <c r="H1976" i="3"/>
  <c r="G1976" i="3"/>
  <c r="F1976" i="3"/>
  <c r="E1976" i="3"/>
  <c r="D1976" i="3"/>
  <c r="C1976" i="3"/>
  <c r="B1976" i="3"/>
  <c r="A1976" i="3"/>
  <c r="I1975" i="3"/>
  <c r="H1975" i="3"/>
  <c r="G1975" i="3"/>
  <c r="F1975" i="3"/>
  <c r="E1975" i="3"/>
  <c r="D1975" i="3"/>
  <c r="C1975" i="3"/>
  <c r="B1975" i="3"/>
  <c r="A1975" i="3"/>
  <c r="I1974" i="3"/>
  <c r="H1974" i="3"/>
  <c r="G1974" i="3"/>
  <c r="F1974" i="3"/>
  <c r="E1974" i="3"/>
  <c r="D1974" i="3"/>
  <c r="C1974" i="3"/>
  <c r="B1974" i="3"/>
  <c r="A1974" i="3"/>
  <c r="I1973" i="3"/>
  <c r="H1973" i="3"/>
  <c r="G1973" i="3"/>
  <c r="F1973" i="3"/>
  <c r="E1973" i="3"/>
  <c r="D1973" i="3"/>
  <c r="C1973" i="3"/>
  <c r="B1973" i="3"/>
  <c r="A1973" i="3"/>
  <c r="I1972" i="3"/>
  <c r="H1972" i="3"/>
  <c r="G1972" i="3"/>
  <c r="F1972" i="3"/>
  <c r="E1972" i="3"/>
  <c r="D1972" i="3"/>
  <c r="C1972" i="3"/>
  <c r="B1972" i="3"/>
  <c r="A1972" i="3"/>
  <c r="I1971" i="3"/>
  <c r="H1971" i="3"/>
  <c r="G1971" i="3"/>
  <c r="F1971" i="3"/>
  <c r="E1971" i="3"/>
  <c r="D1971" i="3"/>
  <c r="C1971" i="3"/>
  <c r="B1971" i="3"/>
  <c r="A1971" i="3"/>
  <c r="I1970" i="3"/>
  <c r="H1970" i="3"/>
  <c r="G1970" i="3"/>
  <c r="F1970" i="3"/>
  <c r="E1970" i="3"/>
  <c r="D1970" i="3"/>
  <c r="C1970" i="3"/>
  <c r="B1970" i="3"/>
  <c r="A1970" i="3"/>
  <c r="I1969" i="3"/>
  <c r="H1969" i="3"/>
  <c r="G1969" i="3"/>
  <c r="F1969" i="3"/>
  <c r="E1969" i="3"/>
  <c r="D1969" i="3"/>
  <c r="C1969" i="3"/>
  <c r="B1969" i="3"/>
  <c r="A1969" i="3"/>
  <c r="I1968" i="3"/>
  <c r="H1968" i="3"/>
  <c r="G1968" i="3"/>
  <c r="F1968" i="3"/>
  <c r="E1968" i="3"/>
  <c r="D1968" i="3"/>
  <c r="C1968" i="3"/>
  <c r="B1968" i="3"/>
  <c r="A1968" i="3"/>
  <c r="I1967" i="3"/>
  <c r="H1967" i="3"/>
  <c r="G1967" i="3"/>
  <c r="F1967" i="3"/>
  <c r="E1967" i="3"/>
  <c r="D1967" i="3"/>
  <c r="C1967" i="3"/>
  <c r="B1967" i="3"/>
  <c r="A1967" i="3"/>
  <c r="I1966" i="3"/>
  <c r="H1966" i="3"/>
  <c r="G1966" i="3"/>
  <c r="F1966" i="3"/>
  <c r="E1966" i="3"/>
  <c r="D1966" i="3"/>
  <c r="C1966" i="3"/>
  <c r="B1966" i="3"/>
  <c r="A1966" i="3"/>
  <c r="I1965" i="3"/>
  <c r="H1965" i="3"/>
  <c r="G1965" i="3"/>
  <c r="F1965" i="3"/>
  <c r="E1965" i="3"/>
  <c r="D1965" i="3"/>
  <c r="C1965" i="3"/>
  <c r="B1965" i="3"/>
  <c r="A1965" i="3"/>
  <c r="I1964" i="3"/>
  <c r="H1964" i="3"/>
  <c r="G1964" i="3"/>
  <c r="F1964" i="3"/>
  <c r="E1964" i="3"/>
  <c r="D1964" i="3"/>
  <c r="C1964" i="3"/>
  <c r="B1964" i="3"/>
  <c r="A1964" i="3"/>
  <c r="I1963" i="3"/>
  <c r="H1963" i="3"/>
  <c r="G1963" i="3"/>
  <c r="F1963" i="3"/>
  <c r="E1963" i="3"/>
  <c r="D1963" i="3"/>
  <c r="C1963" i="3"/>
  <c r="B1963" i="3"/>
  <c r="A1963" i="3"/>
  <c r="I1962" i="3"/>
  <c r="H1962" i="3"/>
  <c r="G1962" i="3"/>
  <c r="F1962" i="3"/>
  <c r="E1962" i="3"/>
  <c r="D1962" i="3"/>
  <c r="C1962" i="3"/>
  <c r="B1962" i="3"/>
  <c r="A1962" i="3"/>
  <c r="I1961" i="3"/>
  <c r="H1961" i="3"/>
  <c r="G1961" i="3"/>
  <c r="F1961" i="3"/>
  <c r="E1961" i="3"/>
  <c r="D1961" i="3"/>
  <c r="C1961" i="3"/>
  <c r="B1961" i="3"/>
  <c r="A1961" i="3"/>
  <c r="I1960" i="3"/>
  <c r="H1960" i="3"/>
  <c r="G1960" i="3"/>
  <c r="F1960" i="3"/>
  <c r="E1960" i="3"/>
  <c r="D1960" i="3"/>
  <c r="C1960" i="3"/>
  <c r="B1960" i="3"/>
  <c r="A1960" i="3"/>
  <c r="I1959" i="3"/>
  <c r="H1959" i="3"/>
  <c r="G1959" i="3"/>
  <c r="F1959" i="3"/>
  <c r="E1959" i="3"/>
  <c r="D1959" i="3"/>
  <c r="C1959" i="3"/>
  <c r="B1959" i="3"/>
  <c r="A1959" i="3"/>
  <c r="I1958" i="3"/>
  <c r="H1958" i="3"/>
  <c r="G1958" i="3"/>
  <c r="F1958" i="3"/>
  <c r="E1958" i="3"/>
  <c r="D1958" i="3"/>
  <c r="C1958" i="3"/>
  <c r="B1958" i="3"/>
  <c r="A1958" i="3"/>
  <c r="I1957" i="3"/>
  <c r="H1957" i="3"/>
  <c r="G1957" i="3"/>
  <c r="F1957" i="3"/>
  <c r="E1957" i="3"/>
  <c r="D1957" i="3"/>
  <c r="C1957" i="3"/>
  <c r="B1957" i="3"/>
  <c r="A1957" i="3"/>
  <c r="I1956" i="3"/>
  <c r="H1956" i="3"/>
  <c r="G1956" i="3"/>
  <c r="F1956" i="3"/>
  <c r="E1956" i="3"/>
  <c r="D1956" i="3"/>
  <c r="C1956" i="3"/>
  <c r="B1956" i="3"/>
  <c r="A1956" i="3"/>
  <c r="I1955" i="3"/>
  <c r="H1955" i="3"/>
  <c r="G1955" i="3"/>
  <c r="F1955" i="3"/>
  <c r="E1955" i="3"/>
  <c r="D1955" i="3"/>
  <c r="C1955" i="3"/>
  <c r="B1955" i="3"/>
  <c r="A1955" i="3"/>
  <c r="I1954" i="3"/>
  <c r="H1954" i="3"/>
  <c r="G1954" i="3"/>
  <c r="F1954" i="3"/>
  <c r="E1954" i="3"/>
  <c r="D1954" i="3"/>
  <c r="C1954" i="3"/>
  <c r="B1954" i="3"/>
  <c r="A1954" i="3"/>
  <c r="I1953" i="3"/>
  <c r="H1953" i="3"/>
  <c r="G1953" i="3"/>
  <c r="F1953" i="3"/>
  <c r="E1953" i="3"/>
  <c r="D1953" i="3"/>
  <c r="C1953" i="3"/>
  <c r="B1953" i="3"/>
  <c r="A1953" i="3"/>
  <c r="I1952" i="3"/>
  <c r="H1952" i="3"/>
  <c r="G1952" i="3"/>
  <c r="F1952" i="3"/>
  <c r="E1952" i="3"/>
  <c r="D1952" i="3"/>
  <c r="C1952" i="3"/>
  <c r="B1952" i="3"/>
  <c r="A1952" i="3"/>
  <c r="I1951" i="3"/>
  <c r="H1951" i="3"/>
  <c r="G1951" i="3"/>
  <c r="F1951" i="3"/>
  <c r="E1951" i="3"/>
  <c r="D1951" i="3"/>
  <c r="C1951" i="3"/>
  <c r="B1951" i="3"/>
  <c r="A1951" i="3"/>
  <c r="I1950" i="3"/>
  <c r="H1950" i="3"/>
  <c r="G1950" i="3"/>
  <c r="F1950" i="3"/>
  <c r="E1950" i="3"/>
  <c r="D1950" i="3"/>
  <c r="C1950" i="3"/>
  <c r="B1950" i="3"/>
  <c r="A1950" i="3"/>
  <c r="I1949" i="3"/>
  <c r="H1949" i="3"/>
  <c r="G1949" i="3"/>
  <c r="F1949" i="3"/>
  <c r="E1949" i="3"/>
  <c r="D1949" i="3"/>
  <c r="C1949" i="3"/>
  <c r="B1949" i="3"/>
  <c r="A1949" i="3"/>
  <c r="I1948" i="3"/>
  <c r="H1948" i="3"/>
  <c r="G1948" i="3"/>
  <c r="F1948" i="3"/>
  <c r="E1948" i="3"/>
  <c r="D1948" i="3"/>
  <c r="C1948" i="3"/>
  <c r="B1948" i="3"/>
  <c r="A1948" i="3"/>
  <c r="I1947" i="3"/>
  <c r="H1947" i="3"/>
  <c r="G1947" i="3"/>
  <c r="F1947" i="3"/>
  <c r="E1947" i="3"/>
  <c r="D1947" i="3"/>
  <c r="C1947" i="3"/>
  <c r="B1947" i="3"/>
  <c r="A1947" i="3"/>
  <c r="I1946" i="3"/>
  <c r="H1946" i="3"/>
  <c r="G1946" i="3"/>
  <c r="F1946" i="3"/>
  <c r="E1946" i="3"/>
  <c r="D1946" i="3"/>
  <c r="C1946" i="3"/>
  <c r="B1946" i="3"/>
  <c r="A1946" i="3"/>
  <c r="I1945" i="3"/>
  <c r="H1945" i="3"/>
  <c r="G1945" i="3"/>
  <c r="F1945" i="3"/>
  <c r="E1945" i="3"/>
  <c r="D1945" i="3"/>
  <c r="C1945" i="3"/>
  <c r="B1945" i="3"/>
  <c r="A1945" i="3"/>
  <c r="I1944" i="3"/>
  <c r="H1944" i="3"/>
  <c r="G1944" i="3"/>
  <c r="F1944" i="3"/>
  <c r="E1944" i="3"/>
  <c r="D1944" i="3"/>
  <c r="C1944" i="3"/>
  <c r="B1944" i="3"/>
  <c r="A1944" i="3"/>
  <c r="I1943" i="3"/>
  <c r="H1943" i="3"/>
  <c r="G1943" i="3"/>
  <c r="F1943" i="3"/>
  <c r="E1943" i="3"/>
  <c r="D1943" i="3"/>
  <c r="C1943" i="3"/>
  <c r="B1943" i="3"/>
  <c r="A1943" i="3"/>
  <c r="I1942" i="3"/>
  <c r="H1942" i="3"/>
  <c r="G1942" i="3"/>
  <c r="F1942" i="3"/>
  <c r="E1942" i="3"/>
  <c r="D1942" i="3"/>
  <c r="C1942" i="3"/>
  <c r="B1942" i="3"/>
  <c r="A1942" i="3"/>
  <c r="I1941" i="3"/>
  <c r="H1941" i="3"/>
  <c r="G1941" i="3"/>
  <c r="F1941" i="3"/>
  <c r="E1941" i="3"/>
  <c r="D1941" i="3"/>
  <c r="C1941" i="3"/>
  <c r="B1941" i="3"/>
  <c r="A1941" i="3"/>
  <c r="I1940" i="3"/>
  <c r="H1940" i="3"/>
  <c r="G1940" i="3"/>
  <c r="F1940" i="3"/>
  <c r="E1940" i="3"/>
  <c r="D1940" i="3"/>
  <c r="C1940" i="3"/>
  <c r="B1940" i="3"/>
  <c r="A1940" i="3"/>
  <c r="I1939" i="3"/>
  <c r="H1939" i="3"/>
  <c r="G1939" i="3"/>
  <c r="F1939" i="3"/>
  <c r="E1939" i="3"/>
  <c r="D1939" i="3"/>
  <c r="C1939" i="3"/>
  <c r="B1939" i="3"/>
  <c r="A1939" i="3"/>
  <c r="I1938" i="3"/>
  <c r="H1938" i="3"/>
  <c r="G1938" i="3"/>
  <c r="F1938" i="3"/>
  <c r="E1938" i="3"/>
  <c r="D1938" i="3"/>
  <c r="C1938" i="3"/>
  <c r="B1938" i="3"/>
  <c r="A1938" i="3"/>
  <c r="I1937" i="3"/>
  <c r="H1937" i="3"/>
  <c r="G1937" i="3"/>
  <c r="F1937" i="3"/>
  <c r="E1937" i="3"/>
  <c r="D1937" i="3"/>
  <c r="C1937" i="3"/>
  <c r="B1937" i="3"/>
  <c r="A1937" i="3"/>
  <c r="I1936" i="3"/>
  <c r="H1936" i="3"/>
  <c r="G1936" i="3"/>
  <c r="F1936" i="3"/>
  <c r="E1936" i="3"/>
  <c r="D1936" i="3"/>
  <c r="C1936" i="3"/>
  <c r="B1936" i="3"/>
  <c r="A1936" i="3"/>
  <c r="I1935" i="3"/>
  <c r="H1935" i="3"/>
  <c r="G1935" i="3"/>
  <c r="F1935" i="3"/>
  <c r="E1935" i="3"/>
  <c r="D1935" i="3"/>
  <c r="C1935" i="3"/>
  <c r="B1935" i="3"/>
  <c r="A1935" i="3"/>
  <c r="I1934" i="3"/>
  <c r="H1934" i="3"/>
  <c r="G1934" i="3"/>
  <c r="F1934" i="3"/>
  <c r="E1934" i="3"/>
  <c r="D1934" i="3"/>
  <c r="C1934" i="3"/>
  <c r="B1934" i="3"/>
  <c r="A1934" i="3"/>
  <c r="I1933" i="3"/>
  <c r="H1933" i="3"/>
  <c r="G1933" i="3"/>
  <c r="F1933" i="3"/>
  <c r="E1933" i="3"/>
  <c r="D1933" i="3"/>
  <c r="C1933" i="3"/>
  <c r="B1933" i="3"/>
  <c r="A1933" i="3"/>
  <c r="I1932" i="3"/>
  <c r="H1932" i="3"/>
  <c r="G1932" i="3"/>
  <c r="F1932" i="3"/>
  <c r="E1932" i="3"/>
  <c r="D1932" i="3"/>
  <c r="C1932" i="3"/>
  <c r="B1932" i="3"/>
  <c r="A1932" i="3"/>
  <c r="I1931" i="3"/>
  <c r="H1931" i="3"/>
  <c r="G1931" i="3"/>
  <c r="F1931" i="3"/>
  <c r="E1931" i="3"/>
  <c r="D1931" i="3"/>
  <c r="C1931" i="3"/>
  <c r="B1931" i="3"/>
  <c r="A1931" i="3"/>
  <c r="I1930" i="3"/>
  <c r="H1930" i="3"/>
  <c r="G1930" i="3"/>
  <c r="F1930" i="3"/>
  <c r="E1930" i="3"/>
  <c r="D1930" i="3"/>
  <c r="C1930" i="3"/>
  <c r="B1930" i="3"/>
  <c r="A1930" i="3"/>
  <c r="I1929" i="3"/>
  <c r="H1929" i="3"/>
  <c r="G1929" i="3"/>
  <c r="F1929" i="3"/>
  <c r="E1929" i="3"/>
  <c r="D1929" i="3"/>
  <c r="C1929" i="3"/>
  <c r="B1929" i="3"/>
  <c r="A1929" i="3"/>
  <c r="I1928" i="3"/>
  <c r="H1928" i="3"/>
  <c r="G1928" i="3"/>
  <c r="F1928" i="3"/>
  <c r="E1928" i="3"/>
  <c r="D1928" i="3"/>
  <c r="C1928" i="3"/>
  <c r="B1928" i="3"/>
  <c r="A1928" i="3"/>
  <c r="I1927" i="3"/>
  <c r="H1927" i="3"/>
  <c r="G1927" i="3"/>
  <c r="F1927" i="3"/>
  <c r="E1927" i="3"/>
  <c r="D1927" i="3"/>
  <c r="C1927" i="3"/>
  <c r="B1927" i="3"/>
  <c r="A1927" i="3"/>
  <c r="I1926" i="3"/>
  <c r="H1926" i="3"/>
  <c r="G1926" i="3"/>
  <c r="F1926" i="3"/>
  <c r="E1926" i="3"/>
  <c r="D1926" i="3"/>
  <c r="C1926" i="3"/>
  <c r="B1926" i="3"/>
  <c r="A1926" i="3"/>
  <c r="I1925" i="3"/>
  <c r="H1925" i="3"/>
  <c r="G1925" i="3"/>
  <c r="F1925" i="3"/>
  <c r="E1925" i="3"/>
  <c r="D1925" i="3"/>
  <c r="C1925" i="3"/>
  <c r="B1925" i="3"/>
  <c r="A1925" i="3"/>
  <c r="I1924" i="3"/>
  <c r="H1924" i="3"/>
  <c r="G1924" i="3"/>
  <c r="F1924" i="3"/>
  <c r="E1924" i="3"/>
  <c r="D1924" i="3"/>
  <c r="C1924" i="3"/>
  <c r="B1924" i="3"/>
  <c r="A1924" i="3"/>
  <c r="I1923" i="3"/>
  <c r="H1923" i="3"/>
  <c r="G1923" i="3"/>
  <c r="F1923" i="3"/>
  <c r="E1923" i="3"/>
  <c r="D1923" i="3"/>
  <c r="C1923" i="3"/>
  <c r="B1923" i="3"/>
  <c r="A1923" i="3"/>
  <c r="I1922" i="3"/>
  <c r="H1922" i="3"/>
  <c r="G1922" i="3"/>
  <c r="F1922" i="3"/>
  <c r="E1922" i="3"/>
  <c r="D1922" i="3"/>
  <c r="C1922" i="3"/>
  <c r="B1922" i="3"/>
  <c r="A1922" i="3"/>
  <c r="I1921" i="3"/>
  <c r="H1921" i="3"/>
  <c r="G1921" i="3"/>
  <c r="F1921" i="3"/>
  <c r="E1921" i="3"/>
  <c r="D1921" i="3"/>
  <c r="C1921" i="3"/>
  <c r="B1921" i="3"/>
  <c r="A1921" i="3"/>
  <c r="I1920" i="3"/>
  <c r="H1920" i="3"/>
  <c r="G1920" i="3"/>
  <c r="F1920" i="3"/>
  <c r="E1920" i="3"/>
  <c r="D1920" i="3"/>
  <c r="C1920" i="3"/>
  <c r="B1920" i="3"/>
  <c r="A1920" i="3"/>
  <c r="I1919" i="3"/>
  <c r="H1919" i="3"/>
  <c r="G1919" i="3"/>
  <c r="F1919" i="3"/>
  <c r="E1919" i="3"/>
  <c r="D1919" i="3"/>
  <c r="C1919" i="3"/>
  <c r="B1919" i="3"/>
  <c r="A1919" i="3"/>
  <c r="I1918" i="3"/>
  <c r="H1918" i="3"/>
  <c r="G1918" i="3"/>
  <c r="F1918" i="3"/>
  <c r="E1918" i="3"/>
  <c r="D1918" i="3"/>
  <c r="C1918" i="3"/>
  <c r="B1918" i="3"/>
  <c r="A1918" i="3"/>
  <c r="I1917" i="3"/>
  <c r="H1917" i="3"/>
  <c r="G1917" i="3"/>
  <c r="F1917" i="3"/>
  <c r="E1917" i="3"/>
  <c r="D1917" i="3"/>
  <c r="C1917" i="3"/>
  <c r="B1917" i="3"/>
  <c r="A1917" i="3"/>
  <c r="I1916" i="3"/>
  <c r="H1916" i="3"/>
  <c r="G1916" i="3"/>
  <c r="F1916" i="3"/>
  <c r="E1916" i="3"/>
  <c r="D1916" i="3"/>
  <c r="C1916" i="3"/>
  <c r="B1916" i="3"/>
  <c r="A1916" i="3"/>
  <c r="I1915" i="3"/>
  <c r="H1915" i="3"/>
  <c r="G1915" i="3"/>
  <c r="F1915" i="3"/>
  <c r="E1915" i="3"/>
  <c r="D1915" i="3"/>
  <c r="C1915" i="3"/>
  <c r="B1915" i="3"/>
  <c r="A1915" i="3"/>
  <c r="I1914" i="3"/>
  <c r="H1914" i="3"/>
  <c r="G1914" i="3"/>
  <c r="F1914" i="3"/>
  <c r="E1914" i="3"/>
  <c r="D1914" i="3"/>
  <c r="C1914" i="3"/>
  <c r="B1914" i="3"/>
  <c r="A1914" i="3"/>
  <c r="I1913" i="3"/>
  <c r="H1913" i="3"/>
  <c r="G1913" i="3"/>
  <c r="F1913" i="3"/>
  <c r="E1913" i="3"/>
  <c r="D1913" i="3"/>
  <c r="C1913" i="3"/>
  <c r="B1913" i="3"/>
  <c r="A1913" i="3"/>
  <c r="I1912" i="3"/>
  <c r="H1912" i="3"/>
  <c r="G1912" i="3"/>
  <c r="F1912" i="3"/>
  <c r="E1912" i="3"/>
  <c r="D1912" i="3"/>
  <c r="C1912" i="3"/>
  <c r="B1912" i="3"/>
  <c r="A1912" i="3"/>
  <c r="I1911" i="3"/>
  <c r="H1911" i="3"/>
  <c r="G1911" i="3"/>
  <c r="F1911" i="3"/>
  <c r="E1911" i="3"/>
  <c r="D1911" i="3"/>
  <c r="C1911" i="3"/>
  <c r="B1911" i="3"/>
  <c r="A1911" i="3"/>
  <c r="I1910" i="3"/>
  <c r="H1910" i="3"/>
  <c r="G1910" i="3"/>
  <c r="F1910" i="3"/>
  <c r="E1910" i="3"/>
  <c r="D1910" i="3"/>
  <c r="C1910" i="3"/>
  <c r="B1910" i="3"/>
  <c r="A1910" i="3"/>
  <c r="I1909" i="3"/>
  <c r="H1909" i="3"/>
  <c r="G1909" i="3"/>
  <c r="F1909" i="3"/>
  <c r="E1909" i="3"/>
  <c r="D1909" i="3"/>
  <c r="C1909" i="3"/>
  <c r="B1909" i="3"/>
  <c r="A1909" i="3"/>
  <c r="I1908" i="3"/>
  <c r="H1908" i="3"/>
  <c r="G1908" i="3"/>
  <c r="F1908" i="3"/>
  <c r="E1908" i="3"/>
  <c r="D1908" i="3"/>
  <c r="C1908" i="3"/>
  <c r="B1908" i="3"/>
  <c r="A1908" i="3"/>
  <c r="I1907" i="3"/>
  <c r="H1907" i="3"/>
  <c r="G1907" i="3"/>
  <c r="F1907" i="3"/>
  <c r="E1907" i="3"/>
  <c r="D1907" i="3"/>
  <c r="C1907" i="3"/>
  <c r="B1907" i="3"/>
  <c r="A1907" i="3"/>
  <c r="I1906" i="3"/>
  <c r="H1906" i="3"/>
  <c r="G1906" i="3"/>
  <c r="F1906" i="3"/>
  <c r="E1906" i="3"/>
  <c r="D1906" i="3"/>
  <c r="C1906" i="3"/>
  <c r="B1906" i="3"/>
  <c r="A1906" i="3"/>
  <c r="I1905" i="3"/>
  <c r="H1905" i="3"/>
  <c r="G1905" i="3"/>
  <c r="F1905" i="3"/>
  <c r="E1905" i="3"/>
  <c r="D1905" i="3"/>
  <c r="C1905" i="3"/>
  <c r="B1905" i="3"/>
  <c r="A1905" i="3"/>
  <c r="I1904" i="3"/>
  <c r="H1904" i="3"/>
  <c r="G1904" i="3"/>
  <c r="F1904" i="3"/>
  <c r="E1904" i="3"/>
  <c r="D1904" i="3"/>
  <c r="C1904" i="3"/>
  <c r="B1904" i="3"/>
  <c r="A1904" i="3"/>
  <c r="I1903" i="3"/>
  <c r="H1903" i="3"/>
  <c r="G1903" i="3"/>
  <c r="F1903" i="3"/>
  <c r="E1903" i="3"/>
  <c r="D1903" i="3"/>
  <c r="C1903" i="3"/>
  <c r="B1903" i="3"/>
  <c r="A1903" i="3"/>
  <c r="I1902" i="3"/>
  <c r="H1902" i="3"/>
  <c r="G1902" i="3"/>
  <c r="F1902" i="3"/>
  <c r="E1902" i="3"/>
  <c r="D1902" i="3"/>
  <c r="C1902" i="3"/>
  <c r="B1902" i="3"/>
  <c r="A1902" i="3"/>
  <c r="I1901" i="3"/>
  <c r="H1901" i="3"/>
  <c r="G1901" i="3"/>
  <c r="F1901" i="3"/>
  <c r="E1901" i="3"/>
  <c r="D1901" i="3"/>
  <c r="C1901" i="3"/>
  <c r="B1901" i="3"/>
  <c r="A1901" i="3"/>
  <c r="I1900" i="3"/>
  <c r="H1900" i="3"/>
  <c r="G1900" i="3"/>
  <c r="F1900" i="3"/>
  <c r="E1900" i="3"/>
  <c r="D1900" i="3"/>
  <c r="C1900" i="3"/>
  <c r="B1900" i="3"/>
  <c r="A1900" i="3"/>
  <c r="I1899" i="3"/>
  <c r="H1899" i="3"/>
  <c r="G1899" i="3"/>
  <c r="F1899" i="3"/>
  <c r="E1899" i="3"/>
  <c r="D1899" i="3"/>
  <c r="C1899" i="3"/>
  <c r="B1899" i="3"/>
  <c r="A1899" i="3"/>
  <c r="I1898" i="3"/>
  <c r="H1898" i="3"/>
  <c r="G1898" i="3"/>
  <c r="F1898" i="3"/>
  <c r="E1898" i="3"/>
  <c r="D1898" i="3"/>
  <c r="C1898" i="3"/>
  <c r="B1898" i="3"/>
  <c r="A1898" i="3"/>
  <c r="I1897" i="3"/>
  <c r="H1897" i="3"/>
  <c r="G1897" i="3"/>
  <c r="F1897" i="3"/>
  <c r="E1897" i="3"/>
  <c r="D1897" i="3"/>
  <c r="C1897" i="3"/>
  <c r="B1897" i="3"/>
  <c r="A1897" i="3"/>
  <c r="I1896" i="3"/>
  <c r="H1896" i="3"/>
  <c r="G1896" i="3"/>
  <c r="F1896" i="3"/>
  <c r="E1896" i="3"/>
  <c r="D1896" i="3"/>
  <c r="C1896" i="3"/>
  <c r="B1896" i="3"/>
  <c r="A1896" i="3"/>
  <c r="I1895" i="3"/>
  <c r="H1895" i="3"/>
  <c r="G1895" i="3"/>
  <c r="F1895" i="3"/>
  <c r="E1895" i="3"/>
  <c r="D1895" i="3"/>
  <c r="C1895" i="3"/>
  <c r="B1895" i="3"/>
  <c r="A1895" i="3"/>
  <c r="I1894" i="3"/>
  <c r="H1894" i="3"/>
  <c r="G1894" i="3"/>
  <c r="F1894" i="3"/>
  <c r="E1894" i="3"/>
  <c r="D1894" i="3"/>
  <c r="C1894" i="3"/>
  <c r="B1894" i="3"/>
  <c r="A1894" i="3"/>
  <c r="I1893" i="3"/>
  <c r="H1893" i="3"/>
  <c r="G1893" i="3"/>
  <c r="F1893" i="3"/>
  <c r="E1893" i="3"/>
  <c r="D1893" i="3"/>
  <c r="C1893" i="3"/>
  <c r="B1893" i="3"/>
  <c r="A1893" i="3"/>
  <c r="I1892" i="3"/>
  <c r="H1892" i="3"/>
  <c r="G1892" i="3"/>
  <c r="F1892" i="3"/>
  <c r="E1892" i="3"/>
  <c r="D1892" i="3"/>
  <c r="C1892" i="3"/>
  <c r="B1892" i="3"/>
  <c r="A1892" i="3"/>
  <c r="I1891" i="3"/>
  <c r="H1891" i="3"/>
  <c r="G1891" i="3"/>
  <c r="F1891" i="3"/>
  <c r="E1891" i="3"/>
  <c r="D1891" i="3"/>
  <c r="C1891" i="3"/>
  <c r="B1891" i="3"/>
  <c r="A1891" i="3"/>
  <c r="I1890" i="3"/>
  <c r="H1890" i="3"/>
  <c r="G1890" i="3"/>
  <c r="F1890" i="3"/>
  <c r="E1890" i="3"/>
  <c r="D1890" i="3"/>
  <c r="C1890" i="3"/>
  <c r="B1890" i="3"/>
  <c r="A1890" i="3"/>
  <c r="I1889" i="3"/>
  <c r="H1889" i="3"/>
  <c r="G1889" i="3"/>
  <c r="F1889" i="3"/>
  <c r="E1889" i="3"/>
  <c r="D1889" i="3"/>
  <c r="C1889" i="3"/>
  <c r="B1889" i="3"/>
  <c r="A1889" i="3"/>
  <c r="I1888" i="3"/>
  <c r="H1888" i="3"/>
  <c r="G1888" i="3"/>
  <c r="F1888" i="3"/>
  <c r="E1888" i="3"/>
  <c r="D1888" i="3"/>
  <c r="C1888" i="3"/>
  <c r="B1888" i="3"/>
  <c r="A1888" i="3"/>
  <c r="I1887" i="3"/>
  <c r="H1887" i="3"/>
  <c r="G1887" i="3"/>
  <c r="F1887" i="3"/>
  <c r="E1887" i="3"/>
  <c r="D1887" i="3"/>
  <c r="C1887" i="3"/>
  <c r="B1887" i="3"/>
  <c r="A1887" i="3"/>
  <c r="I1886" i="3"/>
  <c r="H1886" i="3"/>
  <c r="G1886" i="3"/>
  <c r="F1886" i="3"/>
  <c r="E1886" i="3"/>
  <c r="D1886" i="3"/>
  <c r="C1886" i="3"/>
  <c r="B1886" i="3"/>
  <c r="A1886" i="3"/>
  <c r="I1885" i="3"/>
  <c r="H1885" i="3"/>
  <c r="G1885" i="3"/>
  <c r="F1885" i="3"/>
  <c r="E1885" i="3"/>
  <c r="D1885" i="3"/>
  <c r="C1885" i="3"/>
  <c r="B1885" i="3"/>
  <c r="A1885" i="3"/>
  <c r="I1884" i="3"/>
  <c r="H1884" i="3"/>
  <c r="G1884" i="3"/>
  <c r="F1884" i="3"/>
  <c r="E1884" i="3"/>
  <c r="D1884" i="3"/>
  <c r="C1884" i="3"/>
  <c r="B1884" i="3"/>
  <c r="A1884" i="3"/>
  <c r="I1883" i="3"/>
  <c r="H1883" i="3"/>
  <c r="G1883" i="3"/>
  <c r="F1883" i="3"/>
  <c r="E1883" i="3"/>
  <c r="D1883" i="3"/>
  <c r="C1883" i="3"/>
  <c r="B1883" i="3"/>
  <c r="A1883" i="3"/>
  <c r="I1882" i="3"/>
  <c r="H1882" i="3"/>
  <c r="G1882" i="3"/>
  <c r="F1882" i="3"/>
  <c r="E1882" i="3"/>
  <c r="D1882" i="3"/>
  <c r="C1882" i="3"/>
  <c r="B1882" i="3"/>
  <c r="A1882" i="3"/>
  <c r="I1881" i="3"/>
  <c r="H1881" i="3"/>
  <c r="G1881" i="3"/>
  <c r="F1881" i="3"/>
  <c r="E1881" i="3"/>
  <c r="D1881" i="3"/>
  <c r="C1881" i="3"/>
  <c r="B1881" i="3"/>
  <c r="A1881" i="3"/>
  <c r="I1880" i="3"/>
  <c r="H1880" i="3"/>
  <c r="G1880" i="3"/>
  <c r="F1880" i="3"/>
  <c r="E1880" i="3"/>
  <c r="D1880" i="3"/>
  <c r="C1880" i="3"/>
  <c r="B1880" i="3"/>
  <c r="A1880" i="3"/>
  <c r="I1879" i="3"/>
  <c r="H1879" i="3"/>
  <c r="G1879" i="3"/>
  <c r="F1879" i="3"/>
  <c r="E1879" i="3"/>
  <c r="D1879" i="3"/>
  <c r="C1879" i="3"/>
  <c r="B1879" i="3"/>
  <c r="A1879" i="3"/>
  <c r="I1878" i="3"/>
  <c r="H1878" i="3"/>
  <c r="G1878" i="3"/>
  <c r="F1878" i="3"/>
  <c r="E1878" i="3"/>
  <c r="D1878" i="3"/>
  <c r="C1878" i="3"/>
  <c r="B1878" i="3"/>
  <c r="A1878" i="3"/>
  <c r="I1877" i="3"/>
  <c r="H1877" i="3"/>
  <c r="G1877" i="3"/>
  <c r="F1877" i="3"/>
  <c r="E1877" i="3"/>
  <c r="D1877" i="3"/>
  <c r="C1877" i="3"/>
  <c r="B1877" i="3"/>
  <c r="A1877" i="3"/>
  <c r="I1876" i="3"/>
  <c r="H1876" i="3"/>
  <c r="G1876" i="3"/>
  <c r="F1876" i="3"/>
  <c r="E1876" i="3"/>
  <c r="D1876" i="3"/>
  <c r="C1876" i="3"/>
  <c r="B1876" i="3"/>
  <c r="A1876" i="3"/>
  <c r="I1875" i="3"/>
  <c r="H1875" i="3"/>
  <c r="G1875" i="3"/>
  <c r="F1875" i="3"/>
  <c r="E1875" i="3"/>
  <c r="D1875" i="3"/>
  <c r="C1875" i="3"/>
  <c r="B1875" i="3"/>
  <c r="A1875" i="3"/>
  <c r="I1874" i="3"/>
  <c r="H1874" i="3"/>
  <c r="G1874" i="3"/>
  <c r="F1874" i="3"/>
  <c r="E1874" i="3"/>
  <c r="D1874" i="3"/>
  <c r="C1874" i="3"/>
  <c r="B1874" i="3"/>
  <c r="A1874" i="3"/>
  <c r="I1873" i="3"/>
  <c r="H1873" i="3"/>
  <c r="G1873" i="3"/>
  <c r="F1873" i="3"/>
  <c r="E1873" i="3"/>
  <c r="D1873" i="3"/>
  <c r="C1873" i="3"/>
  <c r="B1873" i="3"/>
  <c r="A1873" i="3"/>
  <c r="I1872" i="3"/>
  <c r="H1872" i="3"/>
  <c r="G1872" i="3"/>
  <c r="F1872" i="3"/>
  <c r="E1872" i="3"/>
  <c r="D1872" i="3"/>
  <c r="C1872" i="3"/>
  <c r="B1872" i="3"/>
  <c r="A1872" i="3"/>
  <c r="I1871" i="3"/>
  <c r="H1871" i="3"/>
  <c r="G1871" i="3"/>
  <c r="F1871" i="3"/>
  <c r="E1871" i="3"/>
  <c r="D1871" i="3"/>
  <c r="C1871" i="3"/>
  <c r="B1871" i="3"/>
  <c r="A1871" i="3"/>
  <c r="I1870" i="3"/>
  <c r="H1870" i="3"/>
  <c r="G1870" i="3"/>
  <c r="F1870" i="3"/>
  <c r="E1870" i="3"/>
  <c r="D1870" i="3"/>
  <c r="C1870" i="3"/>
  <c r="B1870" i="3"/>
  <c r="A1870" i="3"/>
  <c r="I1869" i="3"/>
  <c r="H1869" i="3"/>
  <c r="G1869" i="3"/>
  <c r="F1869" i="3"/>
  <c r="E1869" i="3"/>
  <c r="D1869" i="3"/>
  <c r="C1869" i="3"/>
  <c r="B1869" i="3"/>
  <c r="A1869" i="3"/>
  <c r="I1868" i="3"/>
  <c r="H1868" i="3"/>
  <c r="G1868" i="3"/>
  <c r="F1868" i="3"/>
  <c r="E1868" i="3"/>
  <c r="D1868" i="3"/>
  <c r="C1868" i="3"/>
  <c r="B1868" i="3"/>
  <c r="A1868" i="3"/>
  <c r="I1867" i="3"/>
  <c r="H1867" i="3"/>
  <c r="G1867" i="3"/>
  <c r="F1867" i="3"/>
  <c r="E1867" i="3"/>
  <c r="D1867" i="3"/>
  <c r="C1867" i="3"/>
  <c r="B1867" i="3"/>
  <c r="A1867" i="3"/>
  <c r="I1866" i="3"/>
  <c r="H1866" i="3"/>
  <c r="G1866" i="3"/>
  <c r="F1866" i="3"/>
  <c r="E1866" i="3"/>
  <c r="D1866" i="3"/>
  <c r="C1866" i="3"/>
  <c r="B1866" i="3"/>
  <c r="A1866" i="3"/>
  <c r="I1865" i="3"/>
  <c r="H1865" i="3"/>
  <c r="G1865" i="3"/>
  <c r="F1865" i="3"/>
  <c r="E1865" i="3"/>
  <c r="D1865" i="3"/>
  <c r="C1865" i="3"/>
  <c r="B1865" i="3"/>
  <c r="A1865" i="3"/>
  <c r="I1864" i="3"/>
  <c r="H1864" i="3"/>
  <c r="G1864" i="3"/>
  <c r="F1864" i="3"/>
  <c r="E1864" i="3"/>
  <c r="D1864" i="3"/>
  <c r="C1864" i="3"/>
  <c r="B1864" i="3"/>
  <c r="A1864" i="3"/>
  <c r="I1863" i="3"/>
  <c r="H1863" i="3"/>
  <c r="G1863" i="3"/>
  <c r="F1863" i="3"/>
  <c r="E1863" i="3"/>
  <c r="D1863" i="3"/>
  <c r="C1863" i="3"/>
  <c r="B1863" i="3"/>
  <c r="A1863" i="3"/>
  <c r="I1862" i="3"/>
  <c r="H1862" i="3"/>
  <c r="G1862" i="3"/>
  <c r="F1862" i="3"/>
  <c r="E1862" i="3"/>
  <c r="D1862" i="3"/>
  <c r="C1862" i="3"/>
  <c r="B1862" i="3"/>
  <c r="A1862" i="3"/>
  <c r="I1861" i="3"/>
  <c r="H1861" i="3"/>
  <c r="G1861" i="3"/>
  <c r="F1861" i="3"/>
  <c r="E1861" i="3"/>
  <c r="D1861" i="3"/>
  <c r="C1861" i="3"/>
  <c r="B1861" i="3"/>
  <c r="A1861" i="3"/>
  <c r="I1860" i="3"/>
  <c r="H1860" i="3"/>
  <c r="G1860" i="3"/>
  <c r="F1860" i="3"/>
  <c r="E1860" i="3"/>
  <c r="D1860" i="3"/>
  <c r="C1860" i="3"/>
  <c r="B1860" i="3"/>
  <c r="A1860" i="3"/>
  <c r="I1859" i="3"/>
  <c r="H1859" i="3"/>
  <c r="G1859" i="3"/>
  <c r="F1859" i="3"/>
  <c r="E1859" i="3"/>
  <c r="D1859" i="3"/>
  <c r="C1859" i="3"/>
  <c r="B1859" i="3"/>
  <c r="A1859" i="3"/>
  <c r="I1858" i="3"/>
  <c r="H1858" i="3"/>
  <c r="G1858" i="3"/>
  <c r="F1858" i="3"/>
  <c r="E1858" i="3"/>
  <c r="D1858" i="3"/>
  <c r="C1858" i="3"/>
  <c r="B1858" i="3"/>
  <c r="A1858" i="3"/>
  <c r="I1857" i="3"/>
  <c r="H1857" i="3"/>
  <c r="G1857" i="3"/>
  <c r="F1857" i="3"/>
  <c r="E1857" i="3"/>
  <c r="D1857" i="3"/>
  <c r="C1857" i="3"/>
  <c r="B1857" i="3"/>
  <c r="A1857" i="3"/>
  <c r="I1856" i="3"/>
  <c r="H1856" i="3"/>
  <c r="G1856" i="3"/>
  <c r="F1856" i="3"/>
  <c r="E1856" i="3"/>
  <c r="D1856" i="3"/>
  <c r="C1856" i="3"/>
  <c r="B1856" i="3"/>
  <c r="A1856" i="3"/>
  <c r="I1855" i="3"/>
  <c r="H1855" i="3"/>
  <c r="G1855" i="3"/>
  <c r="F1855" i="3"/>
  <c r="E1855" i="3"/>
  <c r="D1855" i="3"/>
  <c r="C1855" i="3"/>
  <c r="B1855" i="3"/>
  <c r="A1855" i="3"/>
  <c r="I1854" i="3"/>
  <c r="H1854" i="3"/>
  <c r="G1854" i="3"/>
  <c r="F1854" i="3"/>
  <c r="E1854" i="3"/>
  <c r="D1854" i="3"/>
  <c r="C1854" i="3"/>
  <c r="B1854" i="3"/>
  <c r="A1854" i="3"/>
  <c r="I1853" i="3"/>
  <c r="H1853" i="3"/>
  <c r="G1853" i="3"/>
  <c r="F1853" i="3"/>
  <c r="E1853" i="3"/>
  <c r="D1853" i="3"/>
  <c r="C1853" i="3"/>
  <c r="B1853" i="3"/>
  <c r="A1853" i="3"/>
  <c r="I1852" i="3"/>
  <c r="H1852" i="3"/>
  <c r="G1852" i="3"/>
  <c r="F1852" i="3"/>
  <c r="E1852" i="3"/>
  <c r="D1852" i="3"/>
  <c r="C1852" i="3"/>
  <c r="B1852" i="3"/>
  <c r="A1852" i="3"/>
  <c r="I1851" i="3"/>
  <c r="H1851" i="3"/>
  <c r="G1851" i="3"/>
  <c r="F1851" i="3"/>
  <c r="E1851" i="3"/>
  <c r="D1851" i="3"/>
  <c r="C1851" i="3"/>
  <c r="B1851" i="3"/>
  <c r="A1851" i="3"/>
  <c r="I1850" i="3"/>
  <c r="H1850" i="3"/>
  <c r="G1850" i="3"/>
  <c r="F1850" i="3"/>
  <c r="E1850" i="3"/>
  <c r="D1850" i="3"/>
  <c r="C1850" i="3"/>
  <c r="B1850" i="3"/>
  <c r="A1850" i="3"/>
  <c r="I1849" i="3"/>
  <c r="H1849" i="3"/>
  <c r="G1849" i="3"/>
  <c r="F1849" i="3"/>
  <c r="E1849" i="3"/>
  <c r="D1849" i="3"/>
  <c r="C1849" i="3"/>
  <c r="B1849" i="3"/>
  <c r="A1849" i="3"/>
  <c r="I1848" i="3"/>
  <c r="H1848" i="3"/>
  <c r="G1848" i="3"/>
  <c r="F1848" i="3"/>
  <c r="E1848" i="3"/>
  <c r="D1848" i="3"/>
  <c r="C1848" i="3"/>
  <c r="B1848" i="3"/>
  <c r="A1848" i="3"/>
  <c r="I1847" i="3"/>
  <c r="H1847" i="3"/>
  <c r="G1847" i="3"/>
  <c r="F1847" i="3"/>
  <c r="E1847" i="3"/>
  <c r="D1847" i="3"/>
  <c r="C1847" i="3"/>
  <c r="B1847" i="3"/>
  <c r="A1847" i="3"/>
  <c r="I1846" i="3"/>
  <c r="H1846" i="3"/>
  <c r="G1846" i="3"/>
  <c r="F1846" i="3"/>
  <c r="E1846" i="3"/>
  <c r="D1846" i="3"/>
  <c r="C1846" i="3"/>
  <c r="B1846" i="3"/>
  <c r="A1846" i="3"/>
  <c r="I1845" i="3"/>
  <c r="H1845" i="3"/>
  <c r="G1845" i="3"/>
  <c r="F1845" i="3"/>
  <c r="E1845" i="3"/>
  <c r="D1845" i="3"/>
  <c r="C1845" i="3"/>
  <c r="B1845" i="3"/>
  <c r="A1845" i="3"/>
  <c r="I1844" i="3"/>
  <c r="H1844" i="3"/>
  <c r="G1844" i="3"/>
  <c r="F1844" i="3"/>
  <c r="E1844" i="3"/>
  <c r="D1844" i="3"/>
  <c r="C1844" i="3"/>
  <c r="B1844" i="3"/>
  <c r="A1844" i="3"/>
  <c r="I1843" i="3"/>
  <c r="H1843" i="3"/>
  <c r="G1843" i="3"/>
  <c r="F1843" i="3"/>
  <c r="E1843" i="3"/>
  <c r="D1843" i="3"/>
  <c r="C1843" i="3"/>
  <c r="B1843" i="3"/>
  <c r="A1843" i="3"/>
  <c r="I1842" i="3"/>
  <c r="H1842" i="3"/>
  <c r="G1842" i="3"/>
  <c r="F1842" i="3"/>
  <c r="E1842" i="3"/>
  <c r="D1842" i="3"/>
  <c r="C1842" i="3"/>
  <c r="B1842" i="3"/>
  <c r="A1842" i="3"/>
  <c r="I1841" i="3"/>
  <c r="H1841" i="3"/>
  <c r="G1841" i="3"/>
  <c r="F1841" i="3"/>
  <c r="E1841" i="3"/>
  <c r="D1841" i="3"/>
  <c r="C1841" i="3"/>
  <c r="B1841" i="3"/>
  <c r="A1841" i="3"/>
  <c r="I1840" i="3"/>
  <c r="H1840" i="3"/>
  <c r="G1840" i="3"/>
  <c r="F1840" i="3"/>
  <c r="E1840" i="3"/>
  <c r="D1840" i="3"/>
  <c r="C1840" i="3"/>
  <c r="B1840" i="3"/>
  <c r="A1840" i="3"/>
  <c r="I1839" i="3"/>
  <c r="H1839" i="3"/>
  <c r="G1839" i="3"/>
  <c r="F1839" i="3"/>
  <c r="E1839" i="3"/>
  <c r="D1839" i="3"/>
  <c r="C1839" i="3"/>
  <c r="B1839" i="3"/>
  <c r="A1839" i="3"/>
  <c r="I1838" i="3"/>
  <c r="H1838" i="3"/>
  <c r="G1838" i="3"/>
  <c r="F1838" i="3"/>
  <c r="E1838" i="3"/>
  <c r="D1838" i="3"/>
  <c r="C1838" i="3"/>
  <c r="B1838" i="3"/>
  <c r="A1838" i="3"/>
  <c r="I1837" i="3"/>
  <c r="H1837" i="3"/>
  <c r="G1837" i="3"/>
  <c r="F1837" i="3"/>
  <c r="E1837" i="3"/>
  <c r="D1837" i="3"/>
  <c r="C1837" i="3"/>
  <c r="B1837" i="3"/>
  <c r="A1837" i="3"/>
  <c r="I1836" i="3"/>
  <c r="H1836" i="3"/>
  <c r="G1836" i="3"/>
  <c r="F1836" i="3"/>
  <c r="E1836" i="3"/>
  <c r="D1836" i="3"/>
  <c r="C1836" i="3"/>
  <c r="B1836" i="3"/>
  <c r="A1836" i="3"/>
  <c r="I1835" i="3"/>
  <c r="H1835" i="3"/>
  <c r="G1835" i="3"/>
  <c r="F1835" i="3"/>
  <c r="E1835" i="3"/>
  <c r="D1835" i="3"/>
  <c r="C1835" i="3"/>
  <c r="B1835" i="3"/>
  <c r="A1835" i="3"/>
  <c r="I1834" i="3"/>
  <c r="H1834" i="3"/>
  <c r="G1834" i="3"/>
  <c r="F1834" i="3"/>
  <c r="E1834" i="3"/>
  <c r="D1834" i="3"/>
  <c r="C1834" i="3"/>
  <c r="B1834" i="3"/>
  <c r="A1834" i="3"/>
  <c r="I1833" i="3"/>
  <c r="H1833" i="3"/>
  <c r="G1833" i="3"/>
  <c r="F1833" i="3"/>
  <c r="E1833" i="3"/>
  <c r="D1833" i="3"/>
  <c r="C1833" i="3"/>
  <c r="B1833" i="3"/>
  <c r="A1833" i="3"/>
  <c r="I1832" i="3"/>
  <c r="H1832" i="3"/>
  <c r="G1832" i="3"/>
  <c r="F1832" i="3"/>
  <c r="E1832" i="3"/>
  <c r="D1832" i="3"/>
  <c r="C1832" i="3"/>
  <c r="B1832" i="3"/>
  <c r="A1832" i="3"/>
  <c r="I1831" i="3"/>
  <c r="H1831" i="3"/>
  <c r="G1831" i="3"/>
  <c r="F1831" i="3"/>
  <c r="E1831" i="3"/>
  <c r="D1831" i="3"/>
  <c r="C1831" i="3"/>
  <c r="B1831" i="3"/>
  <c r="A1831" i="3"/>
  <c r="I1830" i="3"/>
  <c r="H1830" i="3"/>
  <c r="G1830" i="3"/>
  <c r="F1830" i="3"/>
  <c r="E1830" i="3"/>
  <c r="D1830" i="3"/>
  <c r="C1830" i="3"/>
  <c r="B1830" i="3"/>
  <c r="A1830" i="3"/>
  <c r="I1829" i="3"/>
  <c r="H1829" i="3"/>
  <c r="G1829" i="3"/>
  <c r="F1829" i="3"/>
  <c r="E1829" i="3"/>
  <c r="D1829" i="3"/>
  <c r="C1829" i="3"/>
  <c r="B1829" i="3"/>
  <c r="A1829" i="3"/>
  <c r="I1828" i="3"/>
  <c r="H1828" i="3"/>
  <c r="G1828" i="3"/>
  <c r="F1828" i="3"/>
  <c r="E1828" i="3"/>
  <c r="D1828" i="3"/>
  <c r="C1828" i="3"/>
  <c r="B1828" i="3"/>
  <c r="A1828" i="3"/>
  <c r="I1827" i="3"/>
  <c r="H1827" i="3"/>
  <c r="G1827" i="3"/>
  <c r="F1827" i="3"/>
  <c r="E1827" i="3"/>
  <c r="D1827" i="3"/>
  <c r="C1827" i="3"/>
  <c r="B1827" i="3"/>
  <c r="A1827" i="3"/>
  <c r="I1826" i="3"/>
  <c r="H1826" i="3"/>
  <c r="G1826" i="3"/>
  <c r="F1826" i="3"/>
  <c r="E1826" i="3"/>
  <c r="D1826" i="3"/>
  <c r="C1826" i="3"/>
  <c r="B1826" i="3"/>
  <c r="A1826" i="3"/>
  <c r="I1825" i="3"/>
  <c r="H1825" i="3"/>
  <c r="G1825" i="3"/>
  <c r="F1825" i="3"/>
  <c r="E1825" i="3"/>
  <c r="D1825" i="3"/>
  <c r="C1825" i="3"/>
  <c r="B1825" i="3"/>
  <c r="A1825" i="3"/>
  <c r="I1824" i="3"/>
  <c r="H1824" i="3"/>
  <c r="G1824" i="3"/>
  <c r="F1824" i="3"/>
  <c r="E1824" i="3"/>
  <c r="D1824" i="3"/>
  <c r="C1824" i="3"/>
  <c r="B1824" i="3"/>
  <c r="A1824" i="3"/>
  <c r="I1823" i="3"/>
  <c r="H1823" i="3"/>
  <c r="G1823" i="3"/>
  <c r="F1823" i="3"/>
  <c r="E1823" i="3"/>
  <c r="D1823" i="3"/>
  <c r="C1823" i="3"/>
  <c r="B1823" i="3"/>
  <c r="A1823" i="3"/>
  <c r="I1822" i="3"/>
  <c r="H1822" i="3"/>
  <c r="G1822" i="3"/>
  <c r="F1822" i="3"/>
  <c r="E1822" i="3"/>
  <c r="D1822" i="3"/>
  <c r="C1822" i="3"/>
  <c r="B1822" i="3"/>
  <c r="A1822" i="3"/>
  <c r="I1821" i="3"/>
  <c r="H1821" i="3"/>
  <c r="G1821" i="3"/>
  <c r="F1821" i="3"/>
  <c r="E1821" i="3"/>
  <c r="D1821" i="3"/>
  <c r="C1821" i="3"/>
  <c r="B1821" i="3"/>
  <c r="A1821" i="3"/>
  <c r="I1820" i="3"/>
  <c r="H1820" i="3"/>
  <c r="G1820" i="3"/>
  <c r="F1820" i="3"/>
  <c r="E1820" i="3"/>
  <c r="D1820" i="3"/>
  <c r="C1820" i="3"/>
  <c r="B1820" i="3"/>
  <c r="A1820" i="3"/>
  <c r="I1819" i="3"/>
  <c r="H1819" i="3"/>
  <c r="G1819" i="3"/>
  <c r="F1819" i="3"/>
  <c r="E1819" i="3"/>
  <c r="D1819" i="3"/>
  <c r="C1819" i="3"/>
  <c r="B1819" i="3"/>
  <c r="A1819" i="3"/>
  <c r="I1818" i="3"/>
  <c r="H1818" i="3"/>
  <c r="G1818" i="3"/>
  <c r="F1818" i="3"/>
  <c r="E1818" i="3"/>
  <c r="D1818" i="3"/>
  <c r="C1818" i="3"/>
  <c r="B1818" i="3"/>
  <c r="A1818" i="3"/>
  <c r="I1817" i="3"/>
  <c r="H1817" i="3"/>
  <c r="G1817" i="3"/>
  <c r="F1817" i="3"/>
  <c r="E1817" i="3"/>
  <c r="D1817" i="3"/>
  <c r="C1817" i="3"/>
  <c r="B1817" i="3"/>
  <c r="A1817" i="3"/>
  <c r="I1816" i="3"/>
  <c r="H1816" i="3"/>
  <c r="G1816" i="3"/>
  <c r="F1816" i="3"/>
  <c r="E1816" i="3"/>
  <c r="D1816" i="3"/>
  <c r="C1816" i="3"/>
  <c r="B1816" i="3"/>
  <c r="A1816" i="3"/>
  <c r="I1815" i="3"/>
  <c r="H1815" i="3"/>
  <c r="G1815" i="3"/>
  <c r="F1815" i="3"/>
  <c r="E1815" i="3"/>
  <c r="D1815" i="3"/>
  <c r="C1815" i="3"/>
  <c r="B1815" i="3"/>
  <c r="A1815" i="3"/>
  <c r="I1814" i="3"/>
  <c r="H1814" i="3"/>
  <c r="G1814" i="3"/>
  <c r="F1814" i="3"/>
  <c r="E1814" i="3"/>
  <c r="D1814" i="3"/>
  <c r="C1814" i="3"/>
  <c r="B1814" i="3"/>
  <c r="A1814" i="3"/>
  <c r="I1813" i="3"/>
  <c r="H1813" i="3"/>
  <c r="G1813" i="3"/>
  <c r="F1813" i="3"/>
  <c r="E1813" i="3"/>
  <c r="D1813" i="3"/>
  <c r="C1813" i="3"/>
  <c r="B1813" i="3"/>
  <c r="A1813" i="3"/>
  <c r="I1812" i="3"/>
  <c r="H1812" i="3"/>
  <c r="G1812" i="3"/>
  <c r="F1812" i="3"/>
  <c r="E1812" i="3"/>
  <c r="D1812" i="3"/>
  <c r="C1812" i="3"/>
  <c r="B1812" i="3"/>
  <c r="A1812" i="3"/>
  <c r="I1811" i="3"/>
  <c r="H1811" i="3"/>
  <c r="G1811" i="3"/>
  <c r="F1811" i="3"/>
  <c r="E1811" i="3"/>
  <c r="D1811" i="3"/>
  <c r="C1811" i="3"/>
  <c r="B1811" i="3"/>
  <c r="A1811" i="3"/>
  <c r="I1810" i="3"/>
  <c r="H1810" i="3"/>
  <c r="G1810" i="3"/>
  <c r="F1810" i="3"/>
  <c r="E1810" i="3"/>
  <c r="D1810" i="3"/>
  <c r="C1810" i="3"/>
  <c r="B1810" i="3"/>
  <c r="A1810" i="3"/>
  <c r="I1809" i="3"/>
  <c r="H1809" i="3"/>
  <c r="G1809" i="3"/>
  <c r="F1809" i="3"/>
  <c r="E1809" i="3"/>
  <c r="D1809" i="3"/>
  <c r="C1809" i="3"/>
  <c r="B1809" i="3"/>
  <c r="A1809" i="3"/>
  <c r="I1808" i="3"/>
  <c r="H1808" i="3"/>
  <c r="G1808" i="3"/>
  <c r="F1808" i="3"/>
  <c r="E1808" i="3"/>
  <c r="D1808" i="3"/>
  <c r="C1808" i="3"/>
  <c r="B1808" i="3"/>
  <c r="A1808" i="3"/>
  <c r="I1807" i="3"/>
  <c r="H1807" i="3"/>
  <c r="G1807" i="3"/>
  <c r="F1807" i="3"/>
  <c r="E1807" i="3"/>
  <c r="D1807" i="3"/>
  <c r="C1807" i="3"/>
  <c r="B1807" i="3"/>
  <c r="A1807" i="3"/>
  <c r="I1806" i="3"/>
  <c r="H1806" i="3"/>
  <c r="G1806" i="3"/>
  <c r="F1806" i="3"/>
  <c r="E1806" i="3"/>
  <c r="D1806" i="3"/>
  <c r="C1806" i="3"/>
  <c r="B1806" i="3"/>
  <c r="A1806" i="3"/>
  <c r="I1805" i="3"/>
  <c r="H1805" i="3"/>
  <c r="G1805" i="3"/>
  <c r="F1805" i="3"/>
  <c r="E1805" i="3"/>
  <c r="D1805" i="3"/>
  <c r="C1805" i="3"/>
  <c r="B1805" i="3"/>
  <c r="A1805" i="3"/>
  <c r="I1804" i="3"/>
  <c r="H1804" i="3"/>
  <c r="G1804" i="3"/>
  <c r="F1804" i="3"/>
  <c r="E1804" i="3"/>
  <c r="D1804" i="3"/>
  <c r="C1804" i="3"/>
  <c r="B1804" i="3"/>
  <c r="A1804" i="3"/>
  <c r="I1803" i="3"/>
  <c r="H1803" i="3"/>
  <c r="G1803" i="3"/>
  <c r="F1803" i="3"/>
  <c r="E1803" i="3"/>
  <c r="D1803" i="3"/>
  <c r="C1803" i="3"/>
  <c r="B1803" i="3"/>
  <c r="A1803" i="3"/>
  <c r="I1802" i="3"/>
  <c r="H1802" i="3"/>
  <c r="G1802" i="3"/>
  <c r="F1802" i="3"/>
  <c r="E1802" i="3"/>
  <c r="D1802" i="3"/>
  <c r="C1802" i="3"/>
  <c r="B1802" i="3"/>
  <c r="A1802" i="3"/>
  <c r="I1801" i="3"/>
  <c r="H1801" i="3"/>
  <c r="G1801" i="3"/>
  <c r="F1801" i="3"/>
  <c r="E1801" i="3"/>
  <c r="D1801" i="3"/>
  <c r="C1801" i="3"/>
  <c r="B1801" i="3"/>
  <c r="A1801" i="3"/>
  <c r="I1800" i="3"/>
  <c r="H1800" i="3"/>
  <c r="G1800" i="3"/>
  <c r="F1800" i="3"/>
  <c r="E1800" i="3"/>
  <c r="D1800" i="3"/>
  <c r="C1800" i="3"/>
  <c r="B1800" i="3"/>
  <c r="A1800" i="3"/>
  <c r="I1799" i="3"/>
  <c r="H1799" i="3"/>
  <c r="G1799" i="3"/>
  <c r="F1799" i="3"/>
  <c r="E1799" i="3"/>
  <c r="D1799" i="3"/>
  <c r="C1799" i="3"/>
  <c r="B1799" i="3"/>
  <c r="A1799" i="3"/>
  <c r="I1798" i="3"/>
  <c r="H1798" i="3"/>
  <c r="G1798" i="3"/>
  <c r="F1798" i="3"/>
  <c r="E1798" i="3"/>
  <c r="D1798" i="3"/>
  <c r="C1798" i="3"/>
  <c r="B1798" i="3"/>
  <c r="A1798" i="3"/>
  <c r="I1797" i="3"/>
  <c r="H1797" i="3"/>
  <c r="G1797" i="3"/>
  <c r="F1797" i="3"/>
  <c r="E1797" i="3"/>
  <c r="D1797" i="3"/>
  <c r="C1797" i="3"/>
  <c r="B1797" i="3"/>
  <c r="A1797" i="3"/>
  <c r="I1796" i="3"/>
  <c r="H1796" i="3"/>
  <c r="G1796" i="3"/>
  <c r="F1796" i="3"/>
  <c r="E1796" i="3"/>
  <c r="D1796" i="3"/>
  <c r="C1796" i="3"/>
  <c r="B1796" i="3"/>
  <c r="A1796" i="3"/>
  <c r="I1795" i="3"/>
  <c r="H1795" i="3"/>
  <c r="G1795" i="3"/>
  <c r="F1795" i="3"/>
  <c r="E1795" i="3"/>
  <c r="D1795" i="3"/>
  <c r="C1795" i="3"/>
  <c r="B1795" i="3"/>
  <c r="A1795" i="3"/>
  <c r="I1794" i="3"/>
  <c r="H1794" i="3"/>
  <c r="G1794" i="3"/>
  <c r="F1794" i="3"/>
  <c r="E1794" i="3"/>
  <c r="D1794" i="3"/>
  <c r="C1794" i="3"/>
  <c r="B1794" i="3"/>
  <c r="A1794" i="3"/>
  <c r="I1793" i="3"/>
  <c r="H1793" i="3"/>
  <c r="G1793" i="3"/>
  <c r="F1793" i="3"/>
  <c r="E1793" i="3"/>
  <c r="D1793" i="3"/>
  <c r="C1793" i="3"/>
  <c r="B1793" i="3"/>
  <c r="A1793" i="3"/>
  <c r="I1792" i="3"/>
  <c r="H1792" i="3"/>
  <c r="G1792" i="3"/>
  <c r="F1792" i="3"/>
  <c r="E1792" i="3"/>
  <c r="D1792" i="3"/>
  <c r="C1792" i="3"/>
  <c r="B1792" i="3"/>
  <c r="A1792" i="3"/>
  <c r="I1791" i="3"/>
  <c r="H1791" i="3"/>
  <c r="G1791" i="3"/>
  <c r="F1791" i="3"/>
  <c r="E1791" i="3"/>
  <c r="D1791" i="3"/>
  <c r="C1791" i="3"/>
  <c r="B1791" i="3"/>
  <c r="A1791" i="3"/>
  <c r="I1790" i="3"/>
  <c r="H1790" i="3"/>
  <c r="G1790" i="3"/>
  <c r="F1790" i="3"/>
  <c r="E1790" i="3"/>
  <c r="D1790" i="3"/>
  <c r="C1790" i="3"/>
  <c r="B1790" i="3"/>
  <c r="A1790" i="3"/>
  <c r="I1789" i="3"/>
  <c r="H1789" i="3"/>
  <c r="G1789" i="3"/>
  <c r="F1789" i="3"/>
  <c r="E1789" i="3"/>
  <c r="D1789" i="3"/>
  <c r="C1789" i="3"/>
  <c r="B1789" i="3"/>
  <c r="A1789" i="3"/>
  <c r="I1788" i="3"/>
  <c r="H1788" i="3"/>
  <c r="G1788" i="3"/>
  <c r="F1788" i="3"/>
  <c r="E1788" i="3"/>
  <c r="D1788" i="3"/>
  <c r="C1788" i="3"/>
  <c r="B1788" i="3"/>
  <c r="A1788" i="3"/>
  <c r="I1787" i="3"/>
  <c r="H1787" i="3"/>
  <c r="G1787" i="3"/>
  <c r="F1787" i="3"/>
  <c r="E1787" i="3"/>
  <c r="D1787" i="3"/>
  <c r="C1787" i="3"/>
  <c r="B1787" i="3"/>
  <c r="A1787" i="3"/>
  <c r="I1786" i="3"/>
  <c r="H1786" i="3"/>
  <c r="G1786" i="3"/>
  <c r="F1786" i="3"/>
  <c r="E1786" i="3"/>
  <c r="D1786" i="3"/>
  <c r="C1786" i="3"/>
  <c r="B1786" i="3"/>
  <c r="A1786" i="3"/>
  <c r="I1785" i="3"/>
  <c r="H1785" i="3"/>
  <c r="G1785" i="3"/>
  <c r="F1785" i="3"/>
  <c r="E1785" i="3"/>
  <c r="D1785" i="3"/>
  <c r="C1785" i="3"/>
  <c r="B1785" i="3"/>
  <c r="A1785" i="3"/>
  <c r="I1784" i="3"/>
  <c r="H1784" i="3"/>
  <c r="G1784" i="3"/>
  <c r="F1784" i="3"/>
  <c r="E1784" i="3"/>
  <c r="D1784" i="3"/>
  <c r="C1784" i="3"/>
  <c r="B1784" i="3"/>
  <c r="A1784" i="3"/>
  <c r="I1783" i="3"/>
  <c r="H1783" i="3"/>
  <c r="G1783" i="3"/>
  <c r="F1783" i="3"/>
  <c r="E1783" i="3"/>
  <c r="D1783" i="3"/>
  <c r="C1783" i="3"/>
  <c r="B1783" i="3"/>
  <c r="A1783" i="3"/>
  <c r="I1782" i="3"/>
  <c r="H1782" i="3"/>
  <c r="G1782" i="3"/>
  <c r="F1782" i="3"/>
  <c r="E1782" i="3"/>
  <c r="D1782" i="3"/>
  <c r="C1782" i="3"/>
  <c r="B1782" i="3"/>
  <c r="A1782" i="3"/>
  <c r="I1781" i="3"/>
  <c r="H1781" i="3"/>
  <c r="G1781" i="3"/>
  <c r="F1781" i="3"/>
  <c r="E1781" i="3"/>
  <c r="D1781" i="3"/>
  <c r="C1781" i="3"/>
  <c r="B1781" i="3"/>
  <c r="A1781" i="3"/>
  <c r="I1780" i="3"/>
  <c r="H1780" i="3"/>
  <c r="G1780" i="3"/>
  <c r="F1780" i="3"/>
  <c r="E1780" i="3"/>
  <c r="D1780" i="3"/>
  <c r="C1780" i="3"/>
  <c r="B1780" i="3"/>
  <c r="A1780" i="3"/>
  <c r="I1779" i="3"/>
  <c r="H1779" i="3"/>
  <c r="G1779" i="3"/>
  <c r="F1779" i="3"/>
  <c r="E1779" i="3"/>
  <c r="D1779" i="3"/>
  <c r="C1779" i="3"/>
  <c r="B1779" i="3"/>
  <c r="A1779" i="3"/>
  <c r="I1778" i="3"/>
  <c r="H1778" i="3"/>
  <c r="G1778" i="3"/>
  <c r="F1778" i="3"/>
  <c r="E1778" i="3"/>
  <c r="D1778" i="3"/>
  <c r="C1778" i="3"/>
  <c r="B1778" i="3"/>
  <c r="A1778" i="3"/>
  <c r="I1777" i="3"/>
  <c r="H1777" i="3"/>
  <c r="G1777" i="3"/>
  <c r="F1777" i="3"/>
  <c r="E1777" i="3"/>
  <c r="D1777" i="3"/>
  <c r="C1777" i="3"/>
  <c r="B1777" i="3"/>
  <c r="A1777" i="3"/>
  <c r="I1776" i="3"/>
  <c r="H1776" i="3"/>
  <c r="G1776" i="3"/>
  <c r="F1776" i="3"/>
  <c r="E1776" i="3"/>
  <c r="D1776" i="3"/>
  <c r="C1776" i="3"/>
  <c r="B1776" i="3"/>
  <c r="A1776" i="3"/>
  <c r="I1775" i="3"/>
  <c r="H1775" i="3"/>
  <c r="G1775" i="3"/>
  <c r="F1775" i="3"/>
  <c r="E1775" i="3"/>
  <c r="D1775" i="3"/>
  <c r="C1775" i="3"/>
  <c r="B1775" i="3"/>
  <c r="A1775" i="3"/>
  <c r="I1774" i="3"/>
  <c r="H1774" i="3"/>
  <c r="G1774" i="3"/>
  <c r="F1774" i="3"/>
  <c r="E1774" i="3"/>
  <c r="D1774" i="3"/>
  <c r="C1774" i="3"/>
  <c r="B1774" i="3"/>
  <c r="A1774" i="3"/>
  <c r="I1773" i="3"/>
  <c r="H1773" i="3"/>
  <c r="G1773" i="3"/>
  <c r="F1773" i="3"/>
  <c r="E1773" i="3"/>
  <c r="D1773" i="3"/>
  <c r="C1773" i="3"/>
  <c r="B1773" i="3"/>
  <c r="A1773" i="3"/>
  <c r="I1772" i="3"/>
  <c r="H1772" i="3"/>
  <c r="G1772" i="3"/>
  <c r="F1772" i="3"/>
  <c r="E1772" i="3"/>
  <c r="D1772" i="3"/>
  <c r="C1772" i="3"/>
  <c r="B1772" i="3"/>
  <c r="A1772" i="3"/>
  <c r="I1771" i="3"/>
  <c r="H1771" i="3"/>
  <c r="G1771" i="3"/>
  <c r="F1771" i="3"/>
  <c r="E1771" i="3"/>
  <c r="D1771" i="3"/>
  <c r="C1771" i="3"/>
  <c r="B1771" i="3"/>
  <c r="A1771" i="3"/>
  <c r="I1770" i="3"/>
  <c r="H1770" i="3"/>
  <c r="G1770" i="3"/>
  <c r="F1770" i="3"/>
  <c r="E1770" i="3"/>
  <c r="D1770" i="3"/>
  <c r="C1770" i="3"/>
  <c r="B1770" i="3"/>
  <c r="A1770" i="3"/>
  <c r="I1769" i="3"/>
  <c r="H1769" i="3"/>
  <c r="G1769" i="3"/>
  <c r="F1769" i="3"/>
  <c r="E1769" i="3"/>
  <c r="D1769" i="3"/>
  <c r="C1769" i="3"/>
  <c r="B1769" i="3"/>
  <c r="A1769" i="3"/>
  <c r="I1768" i="3"/>
  <c r="H1768" i="3"/>
  <c r="G1768" i="3"/>
  <c r="F1768" i="3"/>
  <c r="E1768" i="3"/>
  <c r="D1768" i="3"/>
  <c r="C1768" i="3"/>
  <c r="B1768" i="3"/>
  <c r="A1768" i="3"/>
  <c r="I1767" i="3"/>
  <c r="H1767" i="3"/>
  <c r="G1767" i="3"/>
  <c r="F1767" i="3"/>
  <c r="E1767" i="3"/>
  <c r="D1767" i="3"/>
  <c r="C1767" i="3"/>
  <c r="B1767" i="3"/>
  <c r="A1767" i="3"/>
  <c r="I1766" i="3"/>
  <c r="H1766" i="3"/>
  <c r="G1766" i="3"/>
  <c r="F1766" i="3"/>
  <c r="E1766" i="3"/>
  <c r="D1766" i="3"/>
  <c r="C1766" i="3"/>
  <c r="B1766" i="3"/>
  <c r="A1766" i="3"/>
  <c r="I1765" i="3"/>
  <c r="H1765" i="3"/>
  <c r="G1765" i="3"/>
  <c r="F1765" i="3"/>
  <c r="E1765" i="3"/>
  <c r="D1765" i="3"/>
  <c r="C1765" i="3"/>
  <c r="B1765" i="3"/>
  <c r="A1765" i="3"/>
  <c r="I1764" i="3"/>
  <c r="H1764" i="3"/>
  <c r="G1764" i="3"/>
  <c r="F1764" i="3"/>
  <c r="E1764" i="3"/>
  <c r="D1764" i="3"/>
  <c r="C1764" i="3"/>
  <c r="B1764" i="3"/>
  <c r="A1764" i="3"/>
  <c r="I1763" i="3"/>
  <c r="H1763" i="3"/>
  <c r="G1763" i="3"/>
  <c r="F1763" i="3"/>
  <c r="E1763" i="3"/>
  <c r="D1763" i="3"/>
  <c r="C1763" i="3"/>
  <c r="B1763" i="3"/>
  <c r="A1763" i="3"/>
  <c r="I1762" i="3"/>
  <c r="H1762" i="3"/>
  <c r="G1762" i="3"/>
  <c r="F1762" i="3"/>
  <c r="E1762" i="3"/>
  <c r="D1762" i="3"/>
  <c r="C1762" i="3"/>
  <c r="B1762" i="3"/>
  <c r="A1762" i="3"/>
  <c r="I1761" i="3"/>
  <c r="H1761" i="3"/>
  <c r="G1761" i="3"/>
  <c r="F1761" i="3"/>
  <c r="E1761" i="3"/>
  <c r="D1761" i="3"/>
  <c r="C1761" i="3"/>
  <c r="B1761" i="3"/>
  <c r="A1761" i="3"/>
  <c r="I1760" i="3"/>
  <c r="H1760" i="3"/>
  <c r="G1760" i="3"/>
  <c r="F1760" i="3"/>
  <c r="E1760" i="3"/>
  <c r="D1760" i="3"/>
  <c r="C1760" i="3"/>
  <c r="B1760" i="3"/>
  <c r="A1760" i="3"/>
  <c r="I1759" i="3"/>
  <c r="H1759" i="3"/>
  <c r="G1759" i="3"/>
  <c r="F1759" i="3"/>
  <c r="E1759" i="3"/>
  <c r="D1759" i="3"/>
  <c r="C1759" i="3"/>
  <c r="B1759" i="3"/>
  <c r="A1759" i="3"/>
  <c r="I1758" i="3"/>
  <c r="H1758" i="3"/>
  <c r="G1758" i="3"/>
  <c r="F1758" i="3"/>
  <c r="E1758" i="3"/>
  <c r="D1758" i="3"/>
  <c r="C1758" i="3"/>
  <c r="B1758" i="3"/>
  <c r="A1758" i="3"/>
  <c r="I1757" i="3"/>
  <c r="H1757" i="3"/>
  <c r="G1757" i="3"/>
  <c r="F1757" i="3"/>
  <c r="E1757" i="3"/>
  <c r="D1757" i="3"/>
  <c r="C1757" i="3"/>
  <c r="B1757" i="3"/>
  <c r="A1757" i="3"/>
  <c r="I1756" i="3"/>
  <c r="H1756" i="3"/>
  <c r="G1756" i="3"/>
  <c r="F1756" i="3"/>
  <c r="E1756" i="3"/>
  <c r="D1756" i="3"/>
  <c r="C1756" i="3"/>
  <c r="B1756" i="3"/>
  <c r="A1756" i="3"/>
  <c r="I1755" i="3"/>
  <c r="H1755" i="3"/>
  <c r="G1755" i="3"/>
  <c r="F1755" i="3"/>
  <c r="E1755" i="3"/>
  <c r="D1755" i="3"/>
  <c r="C1755" i="3"/>
  <c r="B1755" i="3"/>
  <c r="A1755" i="3"/>
  <c r="I1754" i="3"/>
  <c r="H1754" i="3"/>
  <c r="G1754" i="3"/>
  <c r="F1754" i="3"/>
  <c r="E1754" i="3"/>
  <c r="D1754" i="3"/>
  <c r="C1754" i="3"/>
  <c r="B1754" i="3"/>
  <c r="A1754" i="3"/>
  <c r="I1753" i="3"/>
  <c r="H1753" i="3"/>
  <c r="G1753" i="3"/>
  <c r="F1753" i="3"/>
  <c r="E1753" i="3"/>
  <c r="D1753" i="3"/>
  <c r="C1753" i="3"/>
  <c r="B1753" i="3"/>
  <c r="A1753" i="3"/>
  <c r="I1752" i="3"/>
  <c r="H1752" i="3"/>
  <c r="G1752" i="3"/>
  <c r="F1752" i="3"/>
  <c r="E1752" i="3"/>
  <c r="D1752" i="3"/>
  <c r="C1752" i="3"/>
  <c r="B1752" i="3"/>
  <c r="A1752" i="3"/>
  <c r="I1751" i="3"/>
  <c r="H1751" i="3"/>
  <c r="G1751" i="3"/>
  <c r="F1751" i="3"/>
  <c r="E1751" i="3"/>
  <c r="D1751" i="3"/>
  <c r="C1751" i="3"/>
  <c r="B1751" i="3"/>
  <c r="A1751" i="3"/>
  <c r="I1750" i="3"/>
  <c r="H1750" i="3"/>
  <c r="G1750" i="3"/>
  <c r="F1750" i="3"/>
  <c r="E1750" i="3"/>
  <c r="D1750" i="3"/>
  <c r="C1750" i="3"/>
  <c r="B1750" i="3"/>
  <c r="A1750" i="3"/>
  <c r="I1749" i="3"/>
  <c r="H1749" i="3"/>
  <c r="G1749" i="3"/>
  <c r="F1749" i="3"/>
  <c r="E1749" i="3"/>
  <c r="D1749" i="3"/>
  <c r="C1749" i="3"/>
  <c r="B1749" i="3"/>
  <c r="A1749" i="3"/>
  <c r="I1748" i="3"/>
  <c r="H1748" i="3"/>
  <c r="G1748" i="3"/>
  <c r="F1748" i="3"/>
  <c r="E1748" i="3"/>
  <c r="D1748" i="3"/>
  <c r="C1748" i="3"/>
  <c r="B1748" i="3"/>
  <c r="A1748" i="3"/>
  <c r="I1747" i="3"/>
  <c r="H1747" i="3"/>
  <c r="G1747" i="3"/>
  <c r="F1747" i="3"/>
  <c r="E1747" i="3"/>
  <c r="D1747" i="3"/>
  <c r="C1747" i="3"/>
  <c r="B1747" i="3"/>
  <c r="A1747" i="3"/>
  <c r="I1746" i="3"/>
  <c r="H1746" i="3"/>
  <c r="G1746" i="3"/>
  <c r="F1746" i="3"/>
  <c r="E1746" i="3"/>
  <c r="D1746" i="3"/>
  <c r="C1746" i="3"/>
  <c r="B1746" i="3"/>
  <c r="A1746" i="3"/>
  <c r="I1745" i="3"/>
  <c r="H1745" i="3"/>
  <c r="G1745" i="3"/>
  <c r="F1745" i="3"/>
  <c r="E1745" i="3"/>
  <c r="D1745" i="3"/>
  <c r="C1745" i="3"/>
  <c r="B1745" i="3"/>
  <c r="A1745" i="3"/>
  <c r="I1744" i="3"/>
  <c r="H1744" i="3"/>
  <c r="G1744" i="3"/>
  <c r="F1744" i="3"/>
  <c r="E1744" i="3"/>
  <c r="D1744" i="3"/>
  <c r="C1744" i="3"/>
  <c r="B1744" i="3"/>
  <c r="A1744" i="3"/>
  <c r="I1743" i="3"/>
  <c r="H1743" i="3"/>
  <c r="G1743" i="3"/>
  <c r="F1743" i="3"/>
  <c r="E1743" i="3"/>
  <c r="D1743" i="3"/>
  <c r="C1743" i="3"/>
  <c r="B1743" i="3"/>
  <c r="A1743" i="3"/>
  <c r="I1742" i="3"/>
  <c r="H1742" i="3"/>
  <c r="G1742" i="3"/>
  <c r="F1742" i="3"/>
  <c r="E1742" i="3"/>
  <c r="D1742" i="3"/>
  <c r="C1742" i="3"/>
  <c r="B1742" i="3"/>
  <c r="A1742" i="3"/>
  <c r="I1741" i="3"/>
  <c r="H1741" i="3"/>
  <c r="G1741" i="3"/>
  <c r="F1741" i="3"/>
  <c r="E1741" i="3"/>
  <c r="D1741" i="3"/>
  <c r="C1741" i="3"/>
  <c r="B1741" i="3"/>
  <c r="A1741" i="3"/>
  <c r="I1740" i="3"/>
  <c r="H1740" i="3"/>
  <c r="G1740" i="3"/>
  <c r="F1740" i="3"/>
  <c r="E1740" i="3"/>
  <c r="D1740" i="3"/>
  <c r="C1740" i="3"/>
  <c r="B1740" i="3"/>
  <c r="A1740" i="3"/>
  <c r="I1739" i="3"/>
  <c r="H1739" i="3"/>
  <c r="G1739" i="3"/>
  <c r="F1739" i="3"/>
  <c r="E1739" i="3"/>
  <c r="D1739" i="3"/>
  <c r="C1739" i="3"/>
  <c r="B1739" i="3"/>
  <c r="A1739" i="3"/>
  <c r="I1738" i="3"/>
  <c r="H1738" i="3"/>
  <c r="G1738" i="3"/>
  <c r="F1738" i="3"/>
  <c r="E1738" i="3"/>
  <c r="D1738" i="3"/>
  <c r="C1738" i="3"/>
  <c r="B1738" i="3"/>
  <c r="A1738" i="3"/>
  <c r="I1737" i="3"/>
  <c r="H1737" i="3"/>
  <c r="G1737" i="3"/>
  <c r="F1737" i="3"/>
  <c r="E1737" i="3"/>
  <c r="D1737" i="3"/>
  <c r="C1737" i="3"/>
  <c r="B1737" i="3"/>
  <c r="A1737" i="3"/>
  <c r="I1736" i="3"/>
  <c r="H1736" i="3"/>
  <c r="G1736" i="3"/>
  <c r="F1736" i="3"/>
  <c r="E1736" i="3"/>
  <c r="D1736" i="3"/>
  <c r="C1736" i="3"/>
  <c r="B1736" i="3"/>
  <c r="A1736" i="3"/>
  <c r="I1735" i="3"/>
  <c r="H1735" i="3"/>
  <c r="G1735" i="3"/>
  <c r="F1735" i="3"/>
  <c r="E1735" i="3"/>
  <c r="D1735" i="3"/>
  <c r="C1735" i="3"/>
  <c r="B1735" i="3"/>
  <c r="A1735" i="3"/>
  <c r="I1734" i="3"/>
  <c r="H1734" i="3"/>
  <c r="G1734" i="3"/>
  <c r="F1734" i="3"/>
  <c r="E1734" i="3"/>
  <c r="D1734" i="3"/>
  <c r="C1734" i="3"/>
  <c r="B1734" i="3"/>
  <c r="A1734" i="3"/>
  <c r="I1733" i="3"/>
  <c r="H1733" i="3"/>
  <c r="G1733" i="3"/>
  <c r="F1733" i="3"/>
  <c r="E1733" i="3"/>
  <c r="D1733" i="3"/>
  <c r="C1733" i="3"/>
  <c r="B1733" i="3"/>
  <c r="A1733" i="3"/>
  <c r="I1732" i="3"/>
  <c r="H1732" i="3"/>
  <c r="G1732" i="3"/>
  <c r="F1732" i="3"/>
  <c r="E1732" i="3"/>
  <c r="D1732" i="3"/>
  <c r="C1732" i="3"/>
  <c r="B1732" i="3"/>
  <c r="A1732" i="3"/>
  <c r="I1731" i="3"/>
  <c r="H1731" i="3"/>
  <c r="G1731" i="3"/>
  <c r="F1731" i="3"/>
  <c r="E1731" i="3"/>
  <c r="D1731" i="3"/>
  <c r="C1731" i="3"/>
  <c r="B1731" i="3"/>
  <c r="A1731" i="3"/>
  <c r="I1730" i="3"/>
  <c r="H1730" i="3"/>
  <c r="G1730" i="3"/>
  <c r="F1730" i="3"/>
  <c r="E1730" i="3"/>
  <c r="D1730" i="3"/>
  <c r="C1730" i="3"/>
  <c r="B1730" i="3"/>
  <c r="A1730" i="3"/>
  <c r="I1729" i="3"/>
  <c r="H1729" i="3"/>
  <c r="G1729" i="3"/>
  <c r="F1729" i="3"/>
  <c r="E1729" i="3"/>
  <c r="D1729" i="3"/>
  <c r="C1729" i="3"/>
  <c r="B1729" i="3"/>
  <c r="A1729" i="3"/>
  <c r="I1728" i="3"/>
  <c r="H1728" i="3"/>
  <c r="G1728" i="3"/>
  <c r="F1728" i="3"/>
  <c r="E1728" i="3"/>
  <c r="D1728" i="3"/>
  <c r="C1728" i="3"/>
  <c r="B1728" i="3"/>
  <c r="A1728" i="3"/>
  <c r="I1727" i="3"/>
  <c r="H1727" i="3"/>
  <c r="G1727" i="3"/>
  <c r="F1727" i="3"/>
  <c r="E1727" i="3"/>
  <c r="D1727" i="3"/>
  <c r="C1727" i="3"/>
  <c r="B1727" i="3"/>
  <c r="A1727" i="3"/>
  <c r="I1726" i="3"/>
  <c r="H1726" i="3"/>
  <c r="G1726" i="3"/>
  <c r="F1726" i="3"/>
  <c r="E1726" i="3"/>
  <c r="D1726" i="3"/>
  <c r="C1726" i="3"/>
  <c r="B1726" i="3"/>
  <c r="A1726" i="3"/>
  <c r="I1725" i="3"/>
  <c r="H1725" i="3"/>
  <c r="G1725" i="3"/>
  <c r="F1725" i="3"/>
  <c r="E1725" i="3"/>
  <c r="D1725" i="3"/>
  <c r="C1725" i="3"/>
  <c r="B1725" i="3"/>
  <c r="A1725" i="3"/>
  <c r="I1724" i="3"/>
  <c r="H1724" i="3"/>
  <c r="G1724" i="3"/>
  <c r="F1724" i="3"/>
  <c r="E1724" i="3"/>
  <c r="D1724" i="3"/>
  <c r="C1724" i="3"/>
  <c r="B1724" i="3"/>
  <c r="A1724" i="3"/>
  <c r="I1723" i="3"/>
  <c r="H1723" i="3"/>
  <c r="G1723" i="3"/>
  <c r="F1723" i="3"/>
  <c r="E1723" i="3"/>
  <c r="D1723" i="3"/>
  <c r="C1723" i="3"/>
  <c r="B1723" i="3"/>
  <c r="A1723" i="3"/>
  <c r="I1722" i="3"/>
  <c r="H1722" i="3"/>
  <c r="G1722" i="3"/>
  <c r="F1722" i="3"/>
  <c r="E1722" i="3"/>
  <c r="D1722" i="3"/>
  <c r="C1722" i="3"/>
  <c r="B1722" i="3"/>
  <c r="A1722" i="3"/>
  <c r="I1721" i="3"/>
  <c r="H1721" i="3"/>
  <c r="G1721" i="3"/>
  <c r="F1721" i="3"/>
  <c r="E1721" i="3"/>
  <c r="D1721" i="3"/>
  <c r="C1721" i="3"/>
  <c r="B1721" i="3"/>
  <c r="A1721" i="3"/>
  <c r="I1720" i="3"/>
  <c r="H1720" i="3"/>
  <c r="G1720" i="3"/>
  <c r="F1720" i="3"/>
  <c r="E1720" i="3"/>
  <c r="D1720" i="3"/>
  <c r="C1720" i="3"/>
  <c r="B1720" i="3"/>
  <c r="A1720" i="3"/>
  <c r="I1719" i="3"/>
  <c r="H1719" i="3"/>
  <c r="G1719" i="3"/>
  <c r="F1719" i="3"/>
  <c r="E1719" i="3"/>
  <c r="D1719" i="3"/>
  <c r="C1719" i="3"/>
  <c r="B1719" i="3"/>
  <c r="A1719" i="3"/>
  <c r="I1718" i="3"/>
  <c r="H1718" i="3"/>
  <c r="G1718" i="3"/>
  <c r="F1718" i="3"/>
  <c r="E1718" i="3"/>
  <c r="D1718" i="3"/>
  <c r="C1718" i="3"/>
  <c r="B1718" i="3"/>
  <c r="A1718" i="3"/>
  <c r="I1717" i="3"/>
  <c r="H1717" i="3"/>
  <c r="G1717" i="3"/>
  <c r="F1717" i="3"/>
  <c r="E1717" i="3"/>
  <c r="D1717" i="3"/>
  <c r="C1717" i="3"/>
  <c r="B1717" i="3"/>
  <c r="A1717" i="3"/>
  <c r="I1716" i="3"/>
  <c r="H1716" i="3"/>
  <c r="G1716" i="3"/>
  <c r="F1716" i="3"/>
  <c r="E1716" i="3"/>
  <c r="D1716" i="3"/>
  <c r="C1716" i="3"/>
  <c r="B1716" i="3"/>
  <c r="A1716" i="3"/>
  <c r="I1715" i="3"/>
  <c r="H1715" i="3"/>
  <c r="G1715" i="3"/>
  <c r="F1715" i="3"/>
  <c r="E1715" i="3"/>
  <c r="D1715" i="3"/>
  <c r="C1715" i="3"/>
  <c r="B1715" i="3"/>
  <c r="A1715" i="3"/>
  <c r="I1714" i="3"/>
  <c r="H1714" i="3"/>
  <c r="G1714" i="3"/>
  <c r="F1714" i="3"/>
  <c r="E1714" i="3"/>
  <c r="D1714" i="3"/>
  <c r="C1714" i="3"/>
  <c r="B1714" i="3"/>
  <c r="A1714" i="3"/>
  <c r="I1713" i="3"/>
  <c r="H1713" i="3"/>
  <c r="G1713" i="3"/>
  <c r="F1713" i="3"/>
  <c r="E1713" i="3"/>
  <c r="D1713" i="3"/>
  <c r="C1713" i="3"/>
  <c r="B1713" i="3"/>
  <c r="A1713" i="3"/>
  <c r="I1712" i="3"/>
  <c r="H1712" i="3"/>
  <c r="G1712" i="3"/>
  <c r="F1712" i="3"/>
  <c r="E1712" i="3"/>
  <c r="D1712" i="3"/>
  <c r="C1712" i="3"/>
  <c r="B1712" i="3"/>
  <c r="A1712" i="3"/>
  <c r="I1711" i="3"/>
  <c r="H1711" i="3"/>
  <c r="G1711" i="3"/>
  <c r="F1711" i="3"/>
  <c r="E1711" i="3"/>
  <c r="D1711" i="3"/>
  <c r="C1711" i="3"/>
  <c r="B1711" i="3"/>
  <c r="A1711" i="3"/>
  <c r="I1710" i="3"/>
  <c r="H1710" i="3"/>
  <c r="G1710" i="3"/>
  <c r="F1710" i="3"/>
  <c r="E1710" i="3"/>
  <c r="D1710" i="3"/>
  <c r="C1710" i="3"/>
  <c r="B1710" i="3"/>
  <c r="A1710" i="3"/>
  <c r="I1709" i="3"/>
  <c r="H1709" i="3"/>
  <c r="G1709" i="3"/>
  <c r="F1709" i="3"/>
  <c r="E1709" i="3"/>
  <c r="D1709" i="3"/>
  <c r="C1709" i="3"/>
  <c r="B1709" i="3"/>
  <c r="A1709" i="3"/>
  <c r="I1708" i="3"/>
  <c r="H1708" i="3"/>
  <c r="G1708" i="3"/>
  <c r="F1708" i="3"/>
  <c r="E1708" i="3"/>
  <c r="D1708" i="3"/>
  <c r="C1708" i="3"/>
  <c r="B1708" i="3"/>
  <c r="A1708" i="3"/>
  <c r="I1707" i="3"/>
  <c r="H1707" i="3"/>
  <c r="G1707" i="3"/>
  <c r="F1707" i="3"/>
  <c r="E1707" i="3"/>
  <c r="D1707" i="3"/>
  <c r="C1707" i="3"/>
  <c r="B1707" i="3"/>
  <c r="A1707" i="3"/>
  <c r="I1706" i="3"/>
  <c r="H1706" i="3"/>
  <c r="G1706" i="3"/>
  <c r="F1706" i="3"/>
  <c r="E1706" i="3"/>
  <c r="D1706" i="3"/>
  <c r="C1706" i="3"/>
  <c r="B1706" i="3"/>
  <c r="A1706" i="3"/>
  <c r="I1705" i="3"/>
  <c r="H1705" i="3"/>
  <c r="G1705" i="3"/>
  <c r="F1705" i="3"/>
  <c r="E1705" i="3"/>
  <c r="D1705" i="3"/>
  <c r="C1705" i="3"/>
  <c r="B1705" i="3"/>
  <c r="A1705" i="3"/>
  <c r="I1704" i="3"/>
  <c r="H1704" i="3"/>
  <c r="G1704" i="3"/>
  <c r="F1704" i="3"/>
  <c r="E1704" i="3"/>
  <c r="D1704" i="3"/>
  <c r="C1704" i="3"/>
  <c r="B1704" i="3"/>
  <c r="A1704" i="3"/>
  <c r="I1703" i="3"/>
  <c r="H1703" i="3"/>
  <c r="G1703" i="3"/>
  <c r="F1703" i="3"/>
  <c r="E1703" i="3"/>
  <c r="D1703" i="3"/>
  <c r="C1703" i="3"/>
  <c r="B1703" i="3"/>
  <c r="A1703" i="3"/>
  <c r="I1702" i="3"/>
  <c r="H1702" i="3"/>
  <c r="G1702" i="3"/>
  <c r="F1702" i="3"/>
  <c r="E1702" i="3"/>
  <c r="D1702" i="3"/>
  <c r="C1702" i="3"/>
  <c r="B1702" i="3"/>
  <c r="A1702" i="3"/>
  <c r="I1701" i="3"/>
  <c r="H1701" i="3"/>
  <c r="G1701" i="3"/>
  <c r="F1701" i="3"/>
  <c r="E1701" i="3"/>
  <c r="D1701" i="3"/>
  <c r="C1701" i="3"/>
  <c r="B1701" i="3"/>
  <c r="A1701" i="3"/>
  <c r="I1700" i="3"/>
  <c r="H1700" i="3"/>
  <c r="G1700" i="3"/>
  <c r="F1700" i="3"/>
  <c r="E1700" i="3"/>
  <c r="D1700" i="3"/>
  <c r="C1700" i="3"/>
  <c r="B1700" i="3"/>
  <c r="A1700" i="3"/>
  <c r="I1699" i="3"/>
  <c r="H1699" i="3"/>
  <c r="G1699" i="3"/>
  <c r="F1699" i="3"/>
  <c r="E1699" i="3"/>
  <c r="D1699" i="3"/>
  <c r="C1699" i="3"/>
  <c r="B1699" i="3"/>
  <c r="A1699" i="3"/>
  <c r="I1698" i="3"/>
  <c r="H1698" i="3"/>
  <c r="G1698" i="3"/>
  <c r="F1698" i="3"/>
  <c r="E1698" i="3"/>
  <c r="D1698" i="3"/>
  <c r="C1698" i="3"/>
  <c r="B1698" i="3"/>
  <c r="A1698" i="3"/>
  <c r="I1697" i="3"/>
  <c r="H1697" i="3"/>
  <c r="G1697" i="3"/>
  <c r="F1697" i="3"/>
  <c r="E1697" i="3"/>
  <c r="D1697" i="3"/>
  <c r="C1697" i="3"/>
  <c r="B1697" i="3"/>
  <c r="A1697" i="3"/>
  <c r="I1696" i="3"/>
  <c r="H1696" i="3"/>
  <c r="G1696" i="3"/>
  <c r="F1696" i="3"/>
  <c r="E1696" i="3"/>
  <c r="D1696" i="3"/>
  <c r="C1696" i="3"/>
  <c r="B1696" i="3"/>
  <c r="A1696" i="3"/>
  <c r="I1695" i="3"/>
  <c r="H1695" i="3"/>
  <c r="G1695" i="3"/>
  <c r="F1695" i="3"/>
  <c r="E1695" i="3"/>
  <c r="D1695" i="3"/>
  <c r="C1695" i="3"/>
  <c r="B1695" i="3"/>
  <c r="A1695" i="3"/>
  <c r="I1694" i="3"/>
  <c r="H1694" i="3"/>
  <c r="G1694" i="3"/>
  <c r="F1694" i="3"/>
  <c r="E1694" i="3"/>
  <c r="D1694" i="3"/>
  <c r="C1694" i="3"/>
  <c r="B1694" i="3"/>
  <c r="A1694" i="3"/>
  <c r="I1693" i="3"/>
  <c r="H1693" i="3"/>
  <c r="G1693" i="3"/>
  <c r="F1693" i="3"/>
  <c r="E1693" i="3"/>
  <c r="D1693" i="3"/>
  <c r="C1693" i="3"/>
  <c r="B1693" i="3"/>
  <c r="A1693" i="3"/>
  <c r="I1692" i="3"/>
  <c r="H1692" i="3"/>
  <c r="G1692" i="3"/>
  <c r="F1692" i="3"/>
  <c r="E1692" i="3"/>
  <c r="D1692" i="3"/>
  <c r="C1692" i="3"/>
  <c r="B1692" i="3"/>
  <c r="A1692" i="3"/>
  <c r="I1691" i="3"/>
  <c r="H1691" i="3"/>
  <c r="G1691" i="3"/>
  <c r="F1691" i="3"/>
  <c r="E1691" i="3"/>
  <c r="D1691" i="3"/>
  <c r="C1691" i="3"/>
  <c r="B1691" i="3"/>
  <c r="A1691" i="3"/>
  <c r="I1690" i="3"/>
  <c r="H1690" i="3"/>
  <c r="G1690" i="3"/>
  <c r="F1690" i="3"/>
  <c r="E1690" i="3"/>
  <c r="D1690" i="3"/>
  <c r="C1690" i="3"/>
  <c r="B1690" i="3"/>
  <c r="A1690" i="3"/>
  <c r="I1689" i="3"/>
  <c r="H1689" i="3"/>
  <c r="G1689" i="3"/>
  <c r="F1689" i="3"/>
  <c r="E1689" i="3"/>
  <c r="D1689" i="3"/>
  <c r="C1689" i="3"/>
  <c r="B1689" i="3"/>
  <c r="A1689" i="3"/>
  <c r="I1688" i="3"/>
  <c r="H1688" i="3"/>
  <c r="G1688" i="3"/>
  <c r="F1688" i="3"/>
  <c r="E1688" i="3"/>
  <c r="D1688" i="3"/>
  <c r="C1688" i="3"/>
  <c r="B1688" i="3"/>
  <c r="A1688" i="3"/>
  <c r="I1687" i="3"/>
  <c r="H1687" i="3"/>
  <c r="G1687" i="3"/>
  <c r="F1687" i="3"/>
  <c r="E1687" i="3"/>
  <c r="D1687" i="3"/>
  <c r="C1687" i="3"/>
  <c r="B1687" i="3"/>
  <c r="A1687" i="3"/>
  <c r="I1686" i="3"/>
  <c r="H1686" i="3"/>
  <c r="G1686" i="3"/>
  <c r="F1686" i="3"/>
  <c r="E1686" i="3"/>
  <c r="D1686" i="3"/>
  <c r="C1686" i="3"/>
  <c r="B1686" i="3"/>
  <c r="A1686" i="3"/>
  <c r="I1685" i="3"/>
  <c r="H1685" i="3"/>
  <c r="G1685" i="3"/>
  <c r="F1685" i="3"/>
  <c r="E1685" i="3"/>
  <c r="D1685" i="3"/>
  <c r="C1685" i="3"/>
  <c r="B1685" i="3"/>
  <c r="A1685" i="3"/>
  <c r="I1684" i="3"/>
  <c r="H1684" i="3"/>
  <c r="G1684" i="3"/>
  <c r="F1684" i="3"/>
  <c r="E1684" i="3"/>
  <c r="D1684" i="3"/>
  <c r="C1684" i="3"/>
  <c r="B1684" i="3"/>
  <c r="A1684" i="3"/>
  <c r="I1683" i="3"/>
  <c r="H1683" i="3"/>
  <c r="G1683" i="3"/>
  <c r="F1683" i="3"/>
  <c r="E1683" i="3"/>
  <c r="D1683" i="3"/>
  <c r="C1683" i="3"/>
  <c r="B1683" i="3"/>
  <c r="A1683" i="3"/>
  <c r="I1682" i="3"/>
  <c r="H1682" i="3"/>
  <c r="G1682" i="3"/>
  <c r="F1682" i="3"/>
  <c r="E1682" i="3"/>
  <c r="D1682" i="3"/>
  <c r="C1682" i="3"/>
  <c r="B1682" i="3"/>
  <c r="A1682" i="3"/>
  <c r="I1681" i="3"/>
  <c r="H1681" i="3"/>
  <c r="G1681" i="3"/>
  <c r="F1681" i="3"/>
  <c r="E1681" i="3"/>
  <c r="D1681" i="3"/>
  <c r="C1681" i="3"/>
  <c r="B1681" i="3"/>
  <c r="A1681" i="3"/>
  <c r="I1680" i="3"/>
  <c r="H1680" i="3"/>
  <c r="G1680" i="3"/>
  <c r="F1680" i="3"/>
  <c r="E1680" i="3"/>
  <c r="D1680" i="3"/>
  <c r="C1680" i="3"/>
  <c r="B1680" i="3"/>
  <c r="A1680" i="3"/>
  <c r="I1679" i="3"/>
  <c r="H1679" i="3"/>
  <c r="G1679" i="3"/>
  <c r="F1679" i="3"/>
  <c r="E1679" i="3"/>
  <c r="D1679" i="3"/>
  <c r="C1679" i="3"/>
  <c r="B1679" i="3"/>
  <c r="A1679" i="3"/>
  <c r="I1678" i="3"/>
  <c r="H1678" i="3"/>
  <c r="G1678" i="3"/>
  <c r="F1678" i="3"/>
  <c r="E1678" i="3"/>
  <c r="D1678" i="3"/>
  <c r="C1678" i="3"/>
  <c r="B1678" i="3"/>
  <c r="A1678" i="3"/>
  <c r="I1677" i="3"/>
  <c r="H1677" i="3"/>
  <c r="G1677" i="3"/>
  <c r="F1677" i="3"/>
  <c r="E1677" i="3"/>
  <c r="D1677" i="3"/>
  <c r="C1677" i="3"/>
  <c r="B1677" i="3"/>
  <c r="A1677" i="3"/>
  <c r="I1676" i="3"/>
  <c r="H1676" i="3"/>
  <c r="G1676" i="3"/>
  <c r="F1676" i="3"/>
  <c r="E1676" i="3"/>
  <c r="D1676" i="3"/>
  <c r="C1676" i="3"/>
  <c r="B1676" i="3"/>
  <c r="A1676" i="3"/>
  <c r="I1675" i="3"/>
  <c r="H1675" i="3"/>
  <c r="G1675" i="3"/>
  <c r="F1675" i="3"/>
  <c r="E1675" i="3"/>
  <c r="D1675" i="3"/>
  <c r="C1675" i="3"/>
  <c r="B1675" i="3"/>
  <c r="A1675" i="3"/>
  <c r="I1674" i="3"/>
  <c r="H1674" i="3"/>
  <c r="G1674" i="3"/>
  <c r="F1674" i="3"/>
  <c r="E1674" i="3"/>
  <c r="D1674" i="3"/>
  <c r="C1674" i="3"/>
  <c r="B1674" i="3"/>
  <c r="A1674" i="3"/>
  <c r="I1673" i="3"/>
  <c r="H1673" i="3"/>
  <c r="G1673" i="3"/>
  <c r="F1673" i="3"/>
  <c r="E1673" i="3"/>
  <c r="D1673" i="3"/>
  <c r="C1673" i="3"/>
  <c r="B1673" i="3"/>
  <c r="A1673" i="3"/>
  <c r="I1672" i="3"/>
  <c r="H1672" i="3"/>
  <c r="G1672" i="3"/>
  <c r="F1672" i="3"/>
  <c r="E1672" i="3"/>
  <c r="D1672" i="3"/>
  <c r="C1672" i="3"/>
  <c r="B1672" i="3"/>
  <c r="A1672" i="3"/>
  <c r="I1671" i="3"/>
  <c r="H1671" i="3"/>
  <c r="G1671" i="3"/>
  <c r="F1671" i="3"/>
  <c r="E1671" i="3"/>
  <c r="D1671" i="3"/>
  <c r="C1671" i="3"/>
  <c r="B1671" i="3"/>
  <c r="A1671" i="3"/>
  <c r="I1670" i="3"/>
  <c r="H1670" i="3"/>
  <c r="G1670" i="3"/>
  <c r="F1670" i="3"/>
  <c r="E1670" i="3"/>
  <c r="D1670" i="3"/>
  <c r="C1670" i="3"/>
  <c r="B1670" i="3"/>
  <c r="A1670" i="3"/>
  <c r="I1669" i="3"/>
  <c r="H1669" i="3"/>
  <c r="G1669" i="3"/>
  <c r="F1669" i="3"/>
  <c r="E1669" i="3"/>
  <c r="D1669" i="3"/>
  <c r="C1669" i="3"/>
  <c r="B1669" i="3"/>
  <c r="A1669" i="3"/>
  <c r="I1668" i="3"/>
  <c r="H1668" i="3"/>
  <c r="G1668" i="3"/>
  <c r="F1668" i="3"/>
  <c r="E1668" i="3"/>
  <c r="D1668" i="3"/>
  <c r="C1668" i="3"/>
  <c r="B1668" i="3"/>
  <c r="A1668" i="3"/>
  <c r="I1667" i="3"/>
  <c r="H1667" i="3"/>
  <c r="G1667" i="3"/>
  <c r="F1667" i="3"/>
  <c r="E1667" i="3"/>
  <c r="D1667" i="3"/>
  <c r="C1667" i="3"/>
  <c r="B1667" i="3"/>
  <c r="A1667" i="3"/>
  <c r="I1666" i="3"/>
  <c r="H1666" i="3"/>
  <c r="G1666" i="3"/>
  <c r="F1666" i="3"/>
  <c r="E1666" i="3"/>
  <c r="D1666" i="3"/>
  <c r="C1666" i="3"/>
  <c r="B1666" i="3"/>
  <c r="A1666" i="3"/>
  <c r="I1665" i="3"/>
  <c r="H1665" i="3"/>
  <c r="G1665" i="3"/>
  <c r="F1665" i="3"/>
  <c r="E1665" i="3"/>
  <c r="D1665" i="3"/>
  <c r="C1665" i="3"/>
  <c r="B1665" i="3"/>
  <c r="A1665" i="3"/>
  <c r="I1664" i="3"/>
  <c r="H1664" i="3"/>
  <c r="G1664" i="3"/>
  <c r="F1664" i="3"/>
  <c r="E1664" i="3"/>
  <c r="D1664" i="3"/>
  <c r="C1664" i="3"/>
  <c r="B1664" i="3"/>
  <c r="A1664" i="3"/>
  <c r="I1663" i="3"/>
  <c r="H1663" i="3"/>
  <c r="G1663" i="3"/>
  <c r="F1663" i="3"/>
  <c r="E1663" i="3"/>
  <c r="D1663" i="3"/>
  <c r="C1663" i="3"/>
  <c r="B1663" i="3"/>
  <c r="A1663" i="3"/>
  <c r="I1662" i="3"/>
  <c r="H1662" i="3"/>
  <c r="G1662" i="3"/>
  <c r="F1662" i="3"/>
  <c r="E1662" i="3"/>
  <c r="D1662" i="3"/>
  <c r="C1662" i="3"/>
  <c r="B1662" i="3"/>
  <c r="A1662" i="3"/>
  <c r="I1661" i="3"/>
  <c r="H1661" i="3"/>
  <c r="G1661" i="3"/>
  <c r="F1661" i="3"/>
  <c r="E1661" i="3"/>
  <c r="D1661" i="3"/>
  <c r="C1661" i="3"/>
  <c r="B1661" i="3"/>
  <c r="A1661" i="3"/>
  <c r="I1660" i="3"/>
  <c r="H1660" i="3"/>
  <c r="G1660" i="3"/>
  <c r="F1660" i="3"/>
  <c r="E1660" i="3"/>
  <c r="D1660" i="3"/>
  <c r="C1660" i="3"/>
  <c r="B1660" i="3"/>
  <c r="A1660" i="3"/>
  <c r="I1659" i="3"/>
  <c r="H1659" i="3"/>
  <c r="G1659" i="3"/>
  <c r="F1659" i="3"/>
  <c r="E1659" i="3"/>
  <c r="D1659" i="3"/>
  <c r="C1659" i="3"/>
  <c r="B1659" i="3"/>
  <c r="A1659" i="3"/>
  <c r="I1658" i="3"/>
  <c r="H1658" i="3"/>
  <c r="G1658" i="3"/>
  <c r="F1658" i="3"/>
  <c r="E1658" i="3"/>
  <c r="D1658" i="3"/>
  <c r="C1658" i="3"/>
  <c r="B1658" i="3"/>
  <c r="A1658" i="3"/>
  <c r="I1657" i="3"/>
  <c r="H1657" i="3"/>
  <c r="G1657" i="3"/>
  <c r="F1657" i="3"/>
  <c r="E1657" i="3"/>
  <c r="D1657" i="3"/>
  <c r="C1657" i="3"/>
  <c r="B1657" i="3"/>
  <c r="A1657" i="3"/>
  <c r="I1656" i="3"/>
  <c r="H1656" i="3"/>
  <c r="G1656" i="3"/>
  <c r="F1656" i="3"/>
  <c r="E1656" i="3"/>
  <c r="D1656" i="3"/>
  <c r="C1656" i="3"/>
  <c r="B1656" i="3"/>
  <c r="A1656" i="3"/>
  <c r="I1655" i="3"/>
  <c r="H1655" i="3"/>
  <c r="G1655" i="3"/>
  <c r="F1655" i="3"/>
  <c r="E1655" i="3"/>
  <c r="D1655" i="3"/>
  <c r="C1655" i="3"/>
  <c r="B1655" i="3"/>
  <c r="A1655" i="3"/>
  <c r="I1654" i="3"/>
  <c r="H1654" i="3"/>
  <c r="G1654" i="3"/>
  <c r="F1654" i="3"/>
  <c r="E1654" i="3"/>
  <c r="D1654" i="3"/>
  <c r="C1654" i="3"/>
  <c r="B1654" i="3"/>
  <c r="A1654" i="3"/>
  <c r="I1653" i="3"/>
  <c r="H1653" i="3"/>
  <c r="G1653" i="3"/>
  <c r="F1653" i="3"/>
  <c r="E1653" i="3"/>
  <c r="D1653" i="3"/>
  <c r="C1653" i="3"/>
  <c r="B1653" i="3"/>
  <c r="A1653" i="3"/>
  <c r="I1652" i="3"/>
  <c r="H1652" i="3"/>
  <c r="G1652" i="3"/>
  <c r="F1652" i="3"/>
  <c r="E1652" i="3"/>
  <c r="D1652" i="3"/>
  <c r="C1652" i="3"/>
  <c r="B1652" i="3"/>
  <c r="A1652" i="3"/>
  <c r="I1651" i="3"/>
  <c r="H1651" i="3"/>
  <c r="G1651" i="3"/>
  <c r="F1651" i="3"/>
  <c r="E1651" i="3"/>
  <c r="D1651" i="3"/>
  <c r="C1651" i="3"/>
  <c r="B1651" i="3"/>
  <c r="A1651" i="3"/>
  <c r="I1650" i="3"/>
  <c r="H1650" i="3"/>
  <c r="G1650" i="3"/>
  <c r="F1650" i="3"/>
  <c r="E1650" i="3"/>
  <c r="D1650" i="3"/>
  <c r="C1650" i="3"/>
  <c r="B1650" i="3"/>
  <c r="A1650" i="3"/>
  <c r="I1649" i="3"/>
  <c r="H1649" i="3"/>
  <c r="G1649" i="3"/>
  <c r="F1649" i="3"/>
  <c r="E1649" i="3"/>
  <c r="D1649" i="3"/>
  <c r="C1649" i="3"/>
  <c r="B1649" i="3"/>
  <c r="A1649" i="3"/>
  <c r="I1648" i="3"/>
  <c r="H1648" i="3"/>
  <c r="G1648" i="3"/>
  <c r="F1648" i="3"/>
  <c r="E1648" i="3"/>
  <c r="D1648" i="3"/>
  <c r="C1648" i="3"/>
  <c r="B1648" i="3"/>
  <c r="A1648" i="3"/>
  <c r="I1647" i="3"/>
  <c r="H1647" i="3"/>
  <c r="G1647" i="3"/>
  <c r="F1647" i="3"/>
  <c r="E1647" i="3"/>
  <c r="D1647" i="3"/>
  <c r="C1647" i="3"/>
  <c r="B1647" i="3"/>
  <c r="A1647" i="3"/>
  <c r="I1646" i="3"/>
  <c r="H1646" i="3"/>
  <c r="G1646" i="3"/>
  <c r="F1646" i="3"/>
  <c r="E1646" i="3"/>
  <c r="D1646" i="3"/>
  <c r="C1646" i="3"/>
  <c r="B1646" i="3"/>
  <c r="A1646" i="3"/>
  <c r="I1645" i="3"/>
  <c r="H1645" i="3"/>
  <c r="G1645" i="3"/>
  <c r="F1645" i="3"/>
  <c r="E1645" i="3"/>
  <c r="D1645" i="3"/>
  <c r="C1645" i="3"/>
  <c r="B1645" i="3"/>
  <c r="A1645" i="3"/>
  <c r="I1644" i="3"/>
  <c r="H1644" i="3"/>
  <c r="G1644" i="3"/>
  <c r="F1644" i="3"/>
  <c r="E1644" i="3"/>
  <c r="D1644" i="3"/>
  <c r="C1644" i="3"/>
  <c r="B1644" i="3"/>
  <c r="A1644" i="3"/>
  <c r="I1643" i="3"/>
  <c r="H1643" i="3"/>
  <c r="G1643" i="3"/>
  <c r="F1643" i="3"/>
  <c r="E1643" i="3"/>
  <c r="D1643" i="3"/>
  <c r="C1643" i="3"/>
  <c r="B1643" i="3"/>
  <c r="A1643" i="3"/>
  <c r="I1642" i="3"/>
  <c r="H1642" i="3"/>
  <c r="G1642" i="3"/>
  <c r="F1642" i="3"/>
  <c r="E1642" i="3"/>
  <c r="D1642" i="3"/>
  <c r="C1642" i="3"/>
  <c r="B1642" i="3"/>
  <c r="A1642" i="3"/>
  <c r="I1641" i="3"/>
  <c r="H1641" i="3"/>
  <c r="G1641" i="3"/>
  <c r="F1641" i="3"/>
  <c r="E1641" i="3"/>
  <c r="D1641" i="3"/>
  <c r="C1641" i="3"/>
  <c r="B1641" i="3"/>
  <c r="A1641" i="3"/>
  <c r="I1640" i="3"/>
  <c r="H1640" i="3"/>
  <c r="G1640" i="3"/>
  <c r="F1640" i="3"/>
  <c r="E1640" i="3"/>
  <c r="D1640" i="3"/>
  <c r="C1640" i="3"/>
  <c r="B1640" i="3"/>
  <c r="A1640" i="3"/>
  <c r="I1639" i="3"/>
  <c r="H1639" i="3"/>
  <c r="G1639" i="3"/>
  <c r="F1639" i="3"/>
  <c r="E1639" i="3"/>
  <c r="D1639" i="3"/>
  <c r="C1639" i="3"/>
  <c r="B1639" i="3"/>
  <c r="A1639" i="3"/>
  <c r="I1638" i="3"/>
  <c r="H1638" i="3"/>
  <c r="G1638" i="3"/>
  <c r="F1638" i="3"/>
  <c r="E1638" i="3"/>
  <c r="D1638" i="3"/>
  <c r="C1638" i="3"/>
  <c r="B1638" i="3"/>
  <c r="A1638" i="3"/>
  <c r="I1637" i="3"/>
  <c r="H1637" i="3"/>
  <c r="G1637" i="3"/>
  <c r="F1637" i="3"/>
  <c r="E1637" i="3"/>
  <c r="D1637" i="3"/>
  <c r="C1637" i="3"/>
  <c r="B1637" i="3"/>
  <c r="A1637" i="3"/>
  <c r="I1636" i="3"/>
  <c r="H1636" i="3"/>
  <c r="G1636" i="3"/>
  <c r="F1636" i="3"/>
  <c r="E1636" i="3"/>
  <c r="D1636" i="3"/>
  <c r="C1636" i="3"/>
  <c r="B1636" i="3"/>
  <c r="A1636" i="3"/>
  <c r="I1635" i="3"/>
  <c r="H1635" i="3"/>
  <c r="G1635" i="3"/>
  <c r="F1635" i="3"/>
  <c r="E1635" i="3"/>
  <c r="D1635" i="3"/>
  <c r="C1635" i="3"/>
  <c r="B1635" i="3"/>
  <c r="A1635" i="3"/>
  <c r="I1634" i="3"/>
  <c r="H1634" i="3"/>
  <c r="G1634" i="3"/>
  <c r="F1634" i="3"/>
  <c r="E1634" i="3"/>
  <c r="D1634" i="3"/>
  <c r="C1634" i="3"/>
  <c r="B1634" i="3"/>
  <c r="A1634" i="3"/>
  <c r="I1633" i="3"/>
  <c r="H1633" i="3"/>
  <c r="G1633" i="3"/>
  <c r="F1633" i="3"/>
  <c r="E1633" i="3"/>
  <c r="D1633" i="3"/>
  <c r="C1633" i="3"/>
  <c r="B1633" i="3"/>
  <c r="A1633" i="3"/>
  <c r="I1632" i="3"/>
  <c r="H1632" i="3"/>
  <c r="G1632" i="3"/>
  <c r="F1632" i="3"/>
  <c r="E1632" i="3"/>
  <c r="D1632" i="3"/>
  <c r="C1632" i="3"/>
  <c r="B1632" i="3"/>
  <c r="A1632" i="3"/>
  <c r="I1631" i="3"/>
  <c r="H1631" i="3"/>
  <c r="G1631" i="3"/>
  <c r="F1631" i="3"/>
  <c r="E1631" i="3"/>
  <c r="D1631" i="3"/>
  <c r="C1631" i="3"/>
  <c r="B1631" i="3"/>
  <c r="A1631" i="3"/>
  <c r="I1630" i="3"/>
  <c r="H1630" i="3"/>
  <c r="G1630" i="3"/>
  <c r="F1630" i="3"/>
  <c r="E1630" i="3"/>
  <c r="D1630" i="3"/>
  <c r="C1630" i="3"/>
  <c r="B1630" i="3"/>
  <c r="A1630" i="3"/>
  <c r="I1629" i="3"/>
  <c r="H1629" i="3"/>
  <c r="G1629" i="3"/>
  <c r="F1629" i="3"/>
  <c r="E1629" i="3"/>
  <c r="D1629" i="3"/>
  <c r="C1629" i="3"/>
  <c r="B1629" i="3"/>
  <c r="A1629" i="3"/>
  <c r="I1628" i="3"/>
  <c r="H1628" i="3"/>
  <c r="G1628" i="3"/>
  <c r="F1628" i="3"/>
  <c r="E1628" i="3"/>
  <c r="D1628" i="3"/>
  <c r="C1628" i="3"/>
  <c r="B1628" i="3"/>
  <c r="A1628" i="3"/>
  <c r="I1627" i="3"/>
  <c r="H1627" i="3"/>
  <c r="G1627" i="3"/>
  <c r="F1627" i="3"/>
  <c r="E1627" i="3"/>
  <c r="D1627" i="3"/>
  <c r="C1627" i="3"/>
  <c r="B1627" i="3"/>
  <c r="A1627" i="3"/>
  <c r="I1626" i="3"/>
  <c r="H1626" i="3"/>
  <c r="G1626" i="3"/>
  <c r="F1626" i="3"/>
  <c r="E1626" i="3"/>
  <c r="D1626" i="3"/>
  <c r="C1626" i="3"/>
  <c r="B1626" i="3"/>
  <c r="A1626" i="3"/>
  <c r="I1625" i="3"/>
  <c r="H1625" i="3"/>
  <c r="G1625" i="3"/>
  <c r="F1625" i="3"/>
  <c r="E1625" i="3"/>
  <c r="D1625" i="3"/>
  <c r="C1625" i="3"/>
  <c r="B1625" i="3"/>
  <c r="A1625" i="3"/>
  <c r="I1624" i="3"/>
  <c r="H1624" i="3"/>
  <c r="G1624" i="3"/>
  <c r="F1624" i="3"/>
  <c r="E1624" i="3"/>
  <c r="D1624" i="3"/>
  <c r="C1624" i="3"/>
  <c r="B1624" i="3"/>
  <c r="A1624" i="3"/>
  <c r="I1623" i="3"/>
  <c r="H1623" i="3"/>
  <c r="G1623" i="3"/>
  <c r="F1623" i="3"/>
  <c r="E1623" i="3"/>
  <c r="D1623" i="3"/>
  <c r="C1623" i="3"/>
  <c r="B1623" i="3"/>
  <c r="A1623" i="3"/>
  <c r="I1622" i="3"/>
  <c r="H1622" i="3"/>
  <c r="G1622" i="3"/>
  <c r="F1622" i="3"/>
  <c r="E1622" i="3"/>
  <c r="D1622" i="3"/>
  <c r="C1622" i="3"/>
  <c r="B1622" i="3"/>
  <c r="A1622" i="3"/>
  <c r="I1621" i="3"/>
  <c r="H1621" i="3"/>
  <c r="G1621" i="3"/>
  <c r="F1621" i="3"/>
  <c r="E1621" i="3"/>
  <c r="D1621" i="3"/>
  <c r="C1621" i="3"/>
  <c r="B1621" i="3"/>
  <c r="A1621" i="3"/>
  <c r="I1620" i="3"/>
  <c r="H1620" i="3"/>
  <c r="G1620" i="3"/>
  <c r="F1620" i="3"/>
  <c r="E1620" i="3"/>
  <c r="D1620" i="3"/>
  <c r="C1620" i="3"/>
  <c r="B1620" i="3"/>
  <c r="A1620" i="3"/>
  <c r="I1619" i="3"/>
  <c r="H1619" i="3"/>
  <c r="G1619" i="3"/>
  <c r="F1619" i="3"/>
  <c r="E1619" i="3"/>
  <c r="D1619" i="3"/>
  <c r="C1619" i="3"/>
  <c r="B1619" i="3"/>
  <c r="A1619" i="3"/>
  <c r="I1618" i="3"/>
  <c r="H1618" i="3"/>
  <c r="G1618" i="3"/>
  <c r="F1618" i="3"/>
  <c r="E1618" i="3"/>
  <c r="D1618" i="3"/>
  <c r="C1618" i="3"/>
  <c r="B1618" i="3"/>
  <c r="A1618" i="3"/>
  <c r="I1617" i="3"/>
  <c r="H1617" i="3"/>
  <c r="G1617" i="3"/>
  <c r="F1617" i="3"/>
  <c r="E1617" i="3"/>
  <c r="D1617" i="3"/>
  <c r="C1617" i="3"/>
  <c r="B1617" i="3"/>
  <c r="A1617" i="3"/>
  <c r="I1616" i="3"/>
  <c r="H1616" i="3"/>
  <c r="G1616" i="3"/>
  <c r="F1616" i="3"/>
  <c r="E1616" i="3"/>
  <c r="D1616" i="3"/>
  <c r="C1616" i="3"/>
  <c r="B1616" i="3"/>
  <c r="A1616" i="3"/>
  <c r="I1615" i="3"/>
  <c r="H1615" i="3"/>
  <c r="G1615" i="3"/>
  <c r="F1615" i="3"/>
  <c r="E1615" i="3"/>
  <c r="D1615" i="3"/>
  <c r="C1615" i="3"/>
  <c r="B1615" i="3"/>
  <c r="A1615" i="3"/>
  <c r="I1614" i="3"/>
  <c r="H1614" i="3"/>
  <c r="G1614" i="3"/>
  <c r="F1614" i="3"/>
  <c r="E1614" i="3"/>
  <c r="D1614" i="3"/>
  <c r="C1614" i="3"/>
  <c r="B1614" i="3"/>
  <c r="A1614" i="3"/>
  <c r="I1613" i="3"/>
  <c r="H1613" i="3"/>
  <c r="G1613" i="3"/>
  <c r="F1613" i="3"/>
  <c r="E1613" i="3"/>
  <c r="D1613" i="3"/>
  <c r="C1613" i="3"/>
  <c r="B1613" i="3"/>
  <c r="A1613" i="3"/>
  <c r="I1612" i="3"/>
  <c r="H1612" i="3"/>
  <c r="G1612" i="3"/>
  <c r="F1612" i="3"/>
  <c r="E1612" i="3"/>
  <c r="D1612" i="3"/>
  <c r="C1612" i="3"/>
  <c r="B1612" i="3"/>
  <c r="A1612" i="3"/>
  <c r="I1611" i="3"/>
  <c r="H1611" i="3"/>
  <c r="G1611" i="3"/>
  <c r="F1611" i="3"/>
  <c r="E1611" i="3"/>
  <c r="D1611" i="3"/>
  <c r="C1611" i="3"/>
  <c r="B1611" i="3"/>
  <c r="A1611" i="3"/>
  <c r="I1610" i="3"/>
  <c r="H1610" i="3"/>
  <c r="G1610" i="3"/>
  <c r="F1610" i="3"/>
  <c r="E1610" i="3"/>
  <c r="D1610" i="3"/>
  <c r="C1610" i="3"/>
  <c r="B1610" i="3"/>
  <c r="A1610" i="3"/>
  <c r="I1609" i="3"/>
  <c r="H1609" i="3"/>
  <c r="G1609" i="3"/>
  <c r="F1609" i="3"/>
  <c r="E1609" i="3"/>
  <c r="D1609" i="3"/>
  <c r="C1609" i="3"/>
  <c r="B1609" i="3"/>
  <c r="A1609" i="3"/>
  <c r="I1608" i="3"/>
  <c r="H1608" i="3"/>
  <c r="G1608" i="3"/>
  <c r="F1608" i="3"/>
  <c r="E1608" i="3"/>
  <c r="D1608" i="3"/>
  <c r="C1608" i="3"/>
  <c r="B1608" i="3"/>
  <c r="A1608" i="3"/>
  <c r="I1607" i="3"/>
  <c r="H1607" i="3"/>
  <c r="G1607" i="3"/>
  <c r="F1607" i="3"/>
  <c r="E1607" i="3"/>
  <c r="D1607" i="3"/>
  <c r="C1607" i="3"/>
  <c r="B1607" i="3"/>
  <c r="A1607" i="3"/>
  <c r="I1606" i="3"/>
  <c r="H1606" i="3"/>
  <c r="G1606" i="3"/>
  <c r="F1606" i="3"/>
  <c r="E1606" i="3"/>
  <c r="D1606" i="3"/>
  <c r="C1606" i="3"/>
  <c r="B1606" i="3"/>
  <c r="A1606" i="3"/>
  <c r="I1605" i="3"/>
  <c r="H1605" i="3"/>
  <c r="G1605" i="3"/>
  <c r="F1605" i="3"/>
  <c r="E1605" i="3"/>
  <c r="D1605" i="3"/>
  <c r="C1605" i="3"/>
  <c r="B1605" i="3"/>
  <c r="A1605" i="3"/>
  <c r="I1604" i="3"/>
  <c r="H1604" i="3"/>
  <c r="G1604" i="3"/>
  <c r="F1604" i="3"/>
  <c r="E1604" i="3"/>
  <c r="D1604" i="3"/>
  <c r="C1604" i="3"/>
  <c r="B1604" i="3"/>
  <c r="A1604" i="3"/>
  <c r="I1603" i="3"/>
  <c r="H1603" i="3"/>
  <c r="G1603" i="3"/>
  <c r="F1603" i="3"/>
  <c r="E1603" i="3"/>
  <c r="D1603" i="3"/>
  <c r="C1603" i="3"/>
  <c r="B1603" i="3"/>
  <c r="A1603" i="3"/>
  <c r="I1602" i="3"/>
  <c r="H1602" i="3"/>
  <c r="G1602" i="3"/>
  <c r="F1602" i="3"/>
  <c r="E1602" i="3"/>
  <c r="D1602" i="3"/>
  <c r="C1602" i="3"/>
  <c r="B1602" i="3"/>
  <c r="A1602" i="3"/>
  <c r="I1601" i="3"/>
  <c r="H1601" i="3"/>
  <c r="G1601" i="3"/>
  <c r="F1601" i="3"/>
  <c r="E1601" i="3"/>
  <c r="D1601" i="3"/>
  <c r="C1601" i="3"/>
  <c r="B1601" i="3"/>
  <c r="A1601" i="3"/>
  <c r="I1600" i="3"/>
  <c r="H1600" i="3"/>
  <c r="G1600" i="3"/>
  <c r="F1600" i="3"/>
  <c r="E1600" i="3"/>
  <c r="D1600" i="3"/>
  <c r="C1600" i="3"/>
  <c r="B1600" i="3"/>
  <c r="A1600" i="3"/>
  <c r="I1599" i="3"/>
  <c r="H1599" i="3"/>
  <c r="G1599" i="3"/>
  <c r="F1599" i="3"/>
  <c r="E1599" i="3"/>
  <c r="D1599" i="3"/>
  <c r="C1599" i="3"/>
  <c r="B1599" i="3"/>
  <c r="A1599" i="3"/>
  <c r="I1598" i="3"/>
  <c r="H1598" i="3"/>
  <c r="G1598" i="3"/>
  <c r="F1598" i="3"/>
  <c r="E1598" i="3"/>
  <c r="D1598" i="3"/>
  <c r="C1598" i="3"/>
  <c r="B1598" i="3"/>
  <c r="A1598" i="3"/>
  <c r="I1597" i="3"/>
  <c r="H1597" i="3"/>
  <c r="G1597" i="3"/>
  <c r="F1597" i="3"/>
  <c r="E1597" i="3"/>
  <c r="D1597" i="3"/>
  <c r="C1597" i="3"/>
  <c r="B1597" i="3"/>
  <c r="A1597" i="3"/>
  <c r="I1596" i="3"/>
  <c r="H1596" i="3"/>
  <c r="G1596" i="3"/>
  <c r="F1596" i="3"/>
  <c r="E1596" i="3"/>
  <c r="D1596" i="3"/>
  <c r="C1596" i="3"/>
  <c r="B1596" i="3"/>
  <c r="A1596" i="3"/>
  <c r="I1595" i="3"/>
  <c r="H1595" i="3"/>
  <c r="G1595" i="3"/>
  <c r="F1595" i="3"/>
  <c r="E1595" i="3"/>
  <c r="D1595" i="3"/>
  <c r="C1595" i="3"/>
  <c r="B1595" i="3"/>
  <c r="A1595" i="3"/>
  <c r="I1594" i="3"/>
  <c r="H1594" i="3"/>
  <c r="G1594" i="3"/>
  <c r="F1594" i="3"/>
  <c r="E1594" i="3"/>
  <c r="D1594" i="3"/>
  <c r="C1594" i="3"/>
  <c r="B1594" i="3"/>
  <c r="A1594" i="3"/>
  <c r="I1593" i="3"/>
  <c r="H1593" i="3"/>
  <c r="G1593" i="3"/>
  <c r="F1593" i="3"/>
  <c r="E1593" i="3"/>
  <c r="D1593" i="3"/>
  <c r="C1593" i="3"/>
  <c r="B1593" i="3"/>
  <c r="A1593" i="3"/>
  <c r="I1592" i="3"/>
  <c r="H1592" i="3"/>
  <c r="G1592" i="3"/>
  <c r="F1592" i="3"/>
  <c r="E1592" i="3"/>
  <c r="D1592" i="3"/>
  <c r="C1592" i="3"/>
  <c r="B1592" i="3"/>
  <c r="A1592" i="3"/>
  <c r="I1591" i="3"/>
  <c r="H1591" i="3"/>
  <c r="G1591" i="3"/>
  <c r="F1591" i="3"/>
  <c r="E1591" i="3"/>
  <c r="D1591" i="3"/>
  <c r="C1591" i="3"/>
  <c r="B1591" i="3"/>
  <c r="A1591" i="3"/>
  <c r="I1590" i="3"/>
  <c r="H1590" i="3"/>
  <c r="G1590" i="3"/>
  <c r="F1590" i="3"/>
  <c r="E1590" i="3"/>
  <c r="D1590" i="3"/>
  <c r="C1590" i="3"/>
  <c r="B1590" i="3"/>
  <c r="A1590" i="3"/>
  <c r="I1589" i="3"/>
  <c r="H1589" i="3"/>
  <c r="G1589" i="3"/>
  <c r="F1589" i="3"/>
  <c r="E1589" i="3"/>
  <c r="D1589" i="3"/>
  <c r="C1589" i="3"/>
  <c r="B1589" i="3"/>
  <c r="A1589" i="3"/>
  <c r="I1588" i="3"/>
  <c r="H1588" i="3"/>
  <c r="G1588" i="3"/>
  <c r="F1588" i="3"/>
  <c r="E1588" i="3"/>
  <c r="D1588" i="3"/>
  <c r="C1588" i="3"/>
  <c r="B1588" i="3"/>
  <c r="A1588" i="3"/>
  <c r="I1587" i="3"/>
  <c r="H1587" i="3"/>
  <c r="G1587" i="3"/>
  <c r="F1587" i="3"/>
  <c r="E1587" i="3"/>
  <c r="D1587" i="3"/>
  <c r="C1587" i="3"/>
  <c r="B1587" i="3"/>
  <c r="A1587" i="3"/>
  <c r="I1586" i="3"/>
  <c r="H1586" i="3"/>
  <c r="G1586" i="3"/>
  <c r="F1586" i="3"/>
  <c r="E1586" i="3"/>
  <c r="D1586" i="3"/>
  <c r="C1586" i="3"/>
  <c r="B1586" i="3"/>
  <c r="A1586" i="3"/>
  <c r="I1585" i="3"/>
  <c r="H1585" i="3"/>
  <c r="G1585" i="3"/>
  <c r="F1585" i="3"/>
  <c r="E1585" i="3"/>
  <c r="D1585" i="3"/>
  <c r="C1585" i="3"/>
  <c r="B1585" i="3"/>
  <c r="A1585" i="3"/>
  <c r="I1584" i="3"/>
  <c r="H1584" i="3"/>
  <c r="G1584" i="3"/>
  <c r="F1584" i="3"/>
  <c r="E1584" i="3"/>
  <c r="D1584" i="3"/>
  <c r="C1584" i="3"/>
  <c r="B1584" i="3"/>
  <c r="A1584" i="3"/>
  <c r="I1583" i="3"/>
  <c r="H1583" i="3"/>
  <c r="G1583" i="3"/>
  <c r="F1583" i="3"/>
  <c r="E1583" i="3"/>
  <c r="D1583" i="3"/>
  <c r="C1583" i="3"/>
  <c r="B1583" i="3"/>
  <c r="A1583" i="3"/>
  <c r="I1582" i="3"/>
  <c r="H1582" i="3"/>
  <c r="G1582" i="3"/>
  <c r="F1582" i="3"/>
  <c r="E1582" i="3"/>
  <c r="D1582" i="3"/>
  <c r="C1582" i="3"/>
  <c r="B1582" i="3"/>
  <c r="A1582" i="3"/>
  <c r="I1581" i="3"/>
  <c r="H1581" i="3"/>
  <c r="G1581" i="3"/>
  <c r="F1581" i="3"/>
  <c r="E1581" i="3"/>
  <c r="D1581" i="3"/>
  <c r="C1581" i="3"/>
  <c r="B1581" i="3"/>
  <c r="A1581" i="3"/>
  <c r="I1580" i="3"/>
  <c r="H1580" i="3"/>
  <c r="G1580" i="3"/>
  <c r="F1580" i="3"/>
  <c r="E1580" i="3"/>
  <c r="D1580" i="3"/>
  <c r="C1580" i="3"/>
  <c r="B1580" i="3"/>
  <c r="A1580" i="3"/>
  <c r="I1579" i="3"/>
  <c r="H1579" i="3"/>
  <c r="G1579" i="3"/>
  <c r="F1579" i="3"/>
  <c r="E1579" i="3"/>
  <c r="D1579" i="3"/>
  <c r="C1579" i="3"/>
  <c r="B1579" i="3"/>
  <c r="A1579" i="3"/>
  <c r="I1578" i="3"/>
  <c r="H1578" i="3"/>
  <c r="G1578" i="3"/>
  <c r="F1578" i="3"/>
  <c r="E1578" i="3"/>
  <c r="D1578" i="3"/>
  <c r="C1578" i="3"/>
  <c r="B1578" i="3"/>
  <c r="A1578" i="3"/>
  <c r="I1577" i="3"/>
  <c r="H1577" i="3"/>
  <c r="G1577" i="3"/>
  <c r="F1577" i="3"/>
  <c r="E1577" i="3"/>
  <c r="D1577" i="3"/>
  <c r="C1577" i="3"/>
  <c r="B1577" i="3"/>
  <c r="A1577" i="3"/>
  <c r="I1576" i="3"/>
  <c r="H1576" i="3"/>
  <c r="G1576" i="3"/>
  <c r="F1576" i="3"/>
  <c r="E1576" i="3"/>
  <c r="D1576" i="3"/>
  <c r="C1576" i="3"/>
  <c r="B1576" i="3"/>
  <c r="A1576" i="3"/>
  <c r="I1575" i="3"/>
  <c r="H1575" i="3"/>
  <c r="G1575" i="3"/>
  <c r="F1575" i="3"/>
  <c r="E1575" i="3"/>
  <c r="D1575" i="3"/>
  <c r="C1575" i="3"/>
  <c r="B1575" i="3"/>
  <c r="A1575" i="3"/>
  <c r="I1574" i="3"/>
  <c r="H1574" i="3"/>
  <c r="G1574" i="3"/>
  <c r="F1574" i="3"/>
  <c r="E1574" i="3"/>
  <c r="D1574" i="3"/>
  <c r="C1574" i="3"/>
  <c r="B1574" i="3"/>
  <c r="A1574" i="3"/>
  <c r="I1573" i="3"/>
  <c r="H1573" i="3"/>
  <c r="G1573" i="3"/>
  <c r="F1573" i="3"/>
  <c r="E1573" i="3"/>
  <c r="D1573" i="3"/>
  <c r="C1573" i="3"/>
  <c r="B1573" i="3"/>
  <c r="A1573" i="3"/>
  <c r="I1572" i="3"/>
  <c r="H1572" i="3"/>
  <c r="G1572" i="3"/>
  <c r="F1572" i="3"/>
  <c r="E1572" i="3"/>
  <c r="D1572" i="3"/>
  <c r="C1572" i="3"/>
  <c r="B1572" i="3"/>
  <c r="A1572" i="3"/>
  <c r="I1571" i="3"/>
  <c r="H1571" i="3"/>
  <c r="G1571" i="3"/>
  <c r="F1571" i="3"/>
  <c r="E1571" i="3"/>
  <c r="D1571" i="3"/>
  <c r="C1571" i="3"/>
  <c r="B1571" i="3"/>
  <c r="A1571" i="3"/>
  <c r="I1570" i="3"/>
  <c r="H1570" i="3"/>
  <c r="G1570" i="3"/>
  <c r="F1570" i="3"/>
  <c r="E1570" i="3"/>
  <c r="D1570" i="3"/>
  <c r="C1570" i="3"/>
  <c r="B1570" i="3"/>
  <c r="A1570" i="3"/>
  <c r="I1569" i="3"/>
  <c r="H1569" i="3"/>
  <c r="G1569" i="3"/>
  <c r="F1569" i="3"/>
  <c r="E1569" i="3"/>
  <c r="D1569" i="3"/>
  <c r="C1569" i="3"/>
  <c r="B1569" i="3"/>
  <c r="A1569" i="3"/>
  <c r="I1568" i="3"/>
  <c r="H1568" i="3"/>
  <c r="G1568" i="3"/>
  <c r="F1568" i="3"/>
  <c r="E1568" i="3"/>
  <c r="D1568" i="3"/>
  <c r="C1568" i="3"/>
  <c r="B1568" i="3"/>
  <c r="A1568" i="3"/>
  <c r="I1567" i="3"/>
  <c r="H1567" i="3"/>
  <c r="G1567" i="3"/>
  <c r="F1567" i="3"/>
  <c r="E1567" i="3"/>
  <c r="D1567" i="3"/>
  <c r="C1567" i="3"/>
  <c r="B1567" i="3"/>
  <c r="A1567" i="3"/>
  <c r="I1566" i="3"/>
  <c r="H1566" i="3"/>
  <c r="G1566" i="3"/>
  <c r="F1566" i="3"/>
  <c r="E1566" i="3"/>
  <c r="D1566" i="3"/>
  <c r="C1566" i="3"/>
  <c r="B1566" i="3"/>
  <c r="A1566" i="3"/>
  <c r="I1565" i="3"/>
  <c r="H1565" i="3"/>
  <c r="G1565" i="3"/>
  <c r="F1565" i="3"/>
  <c r="E1565" i="3"/>
  <c r="D1565" i="3"/>
  <c r="C1565" i="3"/>
  <c r="B1565" i="3"/>
  <c r="A1565" i="3"/>
  <c r="I1564" i="3"/>
  <c r="H1564" i="3"/>
  <c r="G1564" i="3"/>
  <c r="F1564" i="3"/>
  <c r="E1564" i="3"/>
  <c r="D1564" i="3"/>
  <c r="C1564" i="3"/>
  <c r="B1564" i="3"/>
  <c r="A1564" i="3"/>
  <c r="I1563" i="3"/>
  <c r="H1563" i="3"/>
  <c r="G1563" i="3"/>
  <c r="F1563" i="3"/>
  <c r="E1563" i="3"/>
  <c r="D1563" i="3"/>
  <c r="C1563" i="3"/>
  <c r="B1563" i="3"/>
  <c r="A1563" i="3"/>
  <c r="I1562" i="3"/>
  <c r="H1562" i="3"/>
  <c r="G1562" i="3"/>
  <c r="F1562" i="3"/>
  <c r="E1562" i="3"/>
  <c r="D1562" i="3"/>
  <c r="C1562" i="3"/>
  <c r="B1562" i="3"/>
  <c r="A1562" i="3"/>
  <c r="I1561" i="3"/>
  <c r="H1561" i="3"/>
  <c r="G1561" i="3"/>
  <c r="F1561" i="3"/>
  <c r="E1561" i="3"/>
  <c r="D1561" i="3"/>
  <c r="C1561" i="3"/>
  <c r="B1561" i="3"/>
  <c r="A1561" i="3"/>
  <c r="I1560" i="3"/>
  <c r="H1560" i="3"/>
  <c r="G1560" i="3"/>
  <c r="F1560" i="3"/>
  <c r="E1560" i="3"/>
  <c r="D1560" i="3"/>
  <c r="C1560" i="3"/>
  <c r="B1560" i="3"/>
  <c r="A1560" i="3"/>
  <c r="I1559" i="3"/>
  <c r="H1559" i="3"/>
  <c r="G1559" i="3"/>
  <c r="F1559" i="3"/>
  <c r="E1559" i="3"/>
  <c r="D1559" i="3"/>
  <c r="C1559" i="3"/>
  <c r="B1559" i="3"/>
  <c r="A1559" i="3"/>
  <c r="I1558" i="3"/>
  <c r="H1558" i="3"/>
  <c r="G1558" i="3"/>
  <c r="F1558" i="3"/>
  <c r="E1558" i="3"/>
  <c r="D1558" i="3"/>
  <c r="C1558" i="3"/>
  <c r="B1558" i="3"/>
  <c r="A1558" i="3"/>
  <c r="I1557" i="3"/>
  <c r="H1557" i="3"/>
  <c r="G1557" i="3"/>
  <c r="F1557" i="3"/>
  <c r="E1557" i="3"/>
  <c r="D1557" i="3"/>
  <c r="C1557" i="3"/>
  <c r="B1557" i="3"/>
  <c r="A1557" i="3"/>
  <c r="I1556" i="3"/>
  <c r="H1556" i="3"/>
  <c r="G1556" i="3"/>
  <c r="F1556" i="3"/>
  <c r="E1556" i="3"/>
  <c r="D1556" i="3"/>
  <c r="C1556" i="3"/>
  <c r="B1556" i="3"/>
  <c r="A1556" i="3"/>
  <c r="I1555" i="3"/>
  <c r="H1555" i="3"/>
  <c r="G1555" i="3"/>
  <c r="F1555" i="3"/>
  <c r="E1555" i="3"/>
  <c r="D1555" i="3"/>
  <c r="C1555" i="3"/>
  <c r="B1555" i="3"/>
  <c r="A1555" i="3"/>
  <c r="I1554" i="3"/>
  <c r="H1554" i="3"/>
  <c r="G1554" i="3"/>
  <c r="F1554" i="3"/>
  <c r="E1554" i="3"/>
  <c r="D1554" i="3"/>
  <c r="C1554" i="3"/>
  <c r="B1554" i="3"/>
  <c r="A1554" i="3"/>
  <c r="I1553" i="3"/>
  <c r="H1553" i="3"/>
  <c r="G1553" i="3"/>
  <c r="F1553" i="3"/>
  <c r="E1553" i="3"/>
  <c r="D1553" i="3"/>
  <c r="C1553" i="3"/>
  <c r="B1553" i="3"/>
  <c r="A1553" i="3"/>
  <c r="I1552" i="3"/>
  <c r="H1552" i="3"/>
  <c r="G1552" i="3"/>
  <c r="F1552" i="3"/>
  <c r="E1552" i="3"/>
  <c r="D1552" i="3"/>
  <c r="C1552" i="3"/>
  <c r="B1552" i="3"/>
  <c r="A1552" i="3"/>
  <c r="I1551" i="3"/>
  <c r="H1551" i="3"/>
  <c r="G1551" i="3"/>
  <c r="F1551" i="3"/>
  <c r="E1551" i="3"/>
  <c r="D1551" i="3"/>
  <c r="C1551" i="3"/>
  <c r="B1551" i="3"/>
  <c r="A1551" i="3"/>
  <c r="I1550" i="3"/>
  <c r="H1550" i="3"/>
  <c r="G1550" i="3"/>
  <c r="F1550" i="3"/>
  <c r="E1550" i="3"/>
  <c r="D1550" i="3"/>
  <c r="C1550" i="3"/>
  <c r="B1550" i="3"/>
  <c r="A1550" i="3"/>
  <c r="I1549" i="3"/>
  <c r="H1549" i="3"/>
  <c r="G1549" i="3"/>
  <c r="F1549" i="3"/>
  <c r="E1549" i="3"/>
  <c r="D1549" i="3"/>
  <c r="C1549" i="3"/>
  <c r="B1549" i="3"/>
  <c r="A1549" i="3"/>
  <c r="I1548" i="3"/>
  <c r="H1548" i="3"/>
  <c r="G1548" i="3"/>
  <c r="F1548" i="3"/>
  <c r="E1548" i="3"/>
  <c r="D1548" i="3"/>
  <c r="C1548" i="3"/>
  <c r="B1548" i="3"/>
  <c r="A1548" i="3"/>
  <c r="I1547" i="3"/>
  <c r="H1547" i="3"/>
  <c r="G1547" i="3"/>
  <c r="F1547" i="3"/>
  <c r="E1547" i="3"/>
  <c r="D1547" i="3"/>
  <c r="C1547" i="3"/>
  <c r="B1547" i="3"/>
  <c r="A1547" i="3"/>
  <c r="I1546" i="3"/>
  <c r="H1546" i="3"/>
  <c r="G1546" i="3"/>
  <c r="F1546" i="3"/>
  <c r="E1546" i="3"/>
  <c r="D1546" i="3"/>
  <c r="C1546" i="3"/>
  <c r="B1546" i="3"/>
  <c r="A1546" i="3"/>
  <c r="I1545" i="3"/>
  <c r="H1545" i="3"/>
  <c r="G1545" i="3"/>
  <c r="F1545" i="3"/>
  <c r="E1545" i="3"/>
  <c r="D1545" i="3"/>
  <c r="C1545" i="3"/>
  <c r="B1545" i="3"/>
  <c r="A1545" i="3"/>
  <c r="I1544" i="3"/>
  <c r="H1544" i="3"/>
  <c r="G1544" i="3"/>
  <c r="F1544" i="3"/>
  <c r="E1544" i="3"/>
  <c r="D1544" i="3"/>
  <c r="C1544" i="3"/>
  <c r="B1544" i="3"/>
  <c r="A1544" i="3"/>
  <c r="I1543" i="3"/>
  <c r="H1543" i="3"/>
  <c r="G1543" i="3"/>
  <c r="F1543" i="3"/>
  <c r="E1543" i="3"/>
  <c r="D1543" i="3"/>
  <c r="C1543" i="3"/>
  <c r="B1543" i="3"/>
  <c r="A1543" i="3"/>
  <c r="I1542" i="3"/>
  <c r="H1542" i="3"/>
  <c r="G1542" i="3"/>
  <c r="F1542" i="3"/>
  <c r="E1542" i="3"/>
  <c r="D1542" i="3"/>
  <c r="C1542" i="3"/>
  <c r="B1542" i="3"/>
  <c r="A1542" i="3"/>
  <c r="I1541" i="3"/>
  <c r="H1541" i="3"/>
  <c r="G1541" i="3"/>
  <c r="F1541" i="3"/>
  <c r="E1541" i="3"/>
  <c r="D1541" i="3"/>
  <c r="C1541" i="3"/>
  <c r="B1541" i="3"/>
  <c r="A1541" i="3"/>
  <c r="I1540" i="3"/>
  <c r="H1540" i="3"/>
  <c r="G1540" i="3"/>
  <c r="F1540" i="3"/>
  <c r="E1540" i="3"/>
  <c r="D1540" i="3"/>
  <c r="C1540" i="3"/>
  <c r="B1540" i="3"/>
  <c r="A1540" i="3"/>
  <c r="I1539" i="3"/>
  <c r="H1539" i="3"/>
  <c r="G1539" i="3"/>
  <c r="F1539" i="3"/>
  <c r="E1539" i="3"/>
  <c r="D1539" i="3"/>
  <c r="C1539" i="3"/>
  <c r="B1539" i="3"/>
  <c r="A1539" i="3"/>
  <c r="I1538" i="3"/>
  <c r="H1538" i="3"/>
  <c r="G1538" i="3"/>
  <c r="F1538" i="3"/>
  <c r="E1538" i="3"/>
  <c r="D1538" i="3"/>
  <c r="C1538" i="3"/>
  <c r="B1538" i="3"/>
  <c r="A1538" i="3"/>
  <c r="I1537" i="3"/>
  <c r="H1537" i="3"/>
  <c r="G1537" i="3"/>
  <c r="F1537" i="3"/>
  <c r="E1537" i="3"/>
  <c r="D1537" i="3"/>
  <c r="C1537" i="3"/>
  <c r="B1537" i="3"/>
  <c r="A1537" i="3"/>
  <c r="I1536" i="3"/>
  <c r="H1536" i="3"/>
  <c r="G1536" i="3"/>
  <c r="F1536" i="3"/>
  <c r="E1536" i="3"/>
  <c r="D1536" i="3"/>
  <c r="C1536" i="3"/>
  <c r="B1536" i="3"/>
  <c r="A1536" i="3"/>
  <c r="I1535" i="3"/>
  <c r="H1535" i="3"/>
  <c r="G1535" i="3"/>
  <c r="F1535" i="3"/>
  <c r="E1535" i="3"/>
  <c r="D1535" i="3"/>
  <c r="C1535" i="3"/>
  <c r="B1535" i="3"/>
  <c r="A1535" i="3"/>
  <c r="I1534" i="3"/>
  <c r="H1534" i="3"/>
  <c r="G1534" i="3"/>
  <c r="F1534" i="3"/>
  <c r="E1534" i="3"/>
  <c r="D1534" i="3"/>
  <c r="C1534" i="3"/>
  <c r="B1534" i="3"/>
  <c r="A1534" i="3"/>
  <c r="I1533" i="3"/>
  <c r="H1533" i="3"/>
  <c r="G1533" i="3"/>
  <c r="F1533" i="3"/>
  <c r="E1533" i="3"/>
  <c r="D1533" i="3"/>
  <c r="C1533" i="3"/>
  <c r="B1533" i="3"/>
  <c r="A1533" i="3"/>
  <c r="I1532" i="3"/>
  <c r="H1532" i="3"/>
  <c r="G1532" i="3"/>
  <c r="F1532" i="3"/>
  <c r="E1532" i="3"/>
  <c r="D1532" i="3"/>
  <c r="C1532" i="3"/>
  <c r="B1532" i="3"/>
  <c r="A1532" i="3"/>
  <c r="I1531" i="3"/>
  <c r="H1531" i="3"/>
  <c r="G1531" i="3"/>
  <c r="F1531" i="3"/>
  <c r="E1531" i="3"/>
  <c r="D1531" i="3"/>
  <c r="C1531" i="3"/>
  <c r="B1531" i="3"/>
  <c r="A1531" i="3"/>
  <c r="I1530" i="3"/>
  <c r="H1530" i="3"/>
  <c r="G1530" i="3"/>
  <c r="F1530" i="3"/>
  <c r="E1530" i="3"/>
  <c r="D1530" i="3"/>
  <c r="C1530" i="3"/>
  <c r="B1530" i="3"/>
  <c r="A1530" i="3"/>
  <c r="I1529" i="3"/>
  <c r="H1529" i="3"/>
  <c r="G1529" i="3"/>
  <c r="F1529" i="3"/>
  <c r="E1529" i="3"/>
  <c r="D1529" i="3"/>
  <c r="C1529" i="3"/>
  <c r="B1529" i="3"/>
  <c r="A1529" i="3"/>
  <c r="I1528" i="3"/>
  <c r="H1528" i="3"/>
  <c r="G1528" i="3"/>
  <c r="F1528" i="3"/>
  <c r="E1528" i="3"/>
  <c r="D1528" i="3"/>
  <c r="C1528" i="3"/>
  <c r="B1528" i="3"/>
  <c r="A1528" i="3"/>
  <c r="I1527" i="3"/>
  <c r="H1527" i="3"/>
  <c r="G1527" i="3"/>
  <c r="F1527" i="3"/>
  <c r="E1527" i="3"/>
  <c r="D1527" i="3"/>
  <c r="C1527" i="3"/>
  <c r="B1527" i="3"/>
  <c r="A1527" i="3"/>
  <c r="I1526" i="3"/>
  <c r="H1526" i="3"/>
  <c r="G1526" i="3"/>
  <c r="F1526" i="3"/>
  <c r="E1526" i="3"/>
  <c r="D1526" i="3"/>
  <c r="C1526" i="3"/>
  <c r="B1526" i="3"/>
  <c r="A1526" i="3"/>
  <c r="I1525" i="3"/>
  <c r="H1525" i="3"/>
  <c r="G1525" i="3"/>
  <c r="F1525" i="3"/>
  <c r="E1525" i="3"/>
  <c r="D1525" i="3"/>
  <c r="C1525" i="3"/>
  <c r="B1525" i="3"/>
  <c r="A1525" i="3"/>
  <c r="I1524" i="3"/>
  <c r="H1524" i="3"/>
  <c r="G1524" i="3"/>
  <c r="F1524" i="3"/>
  <c r="E1524" i="3"/>
  <c r="D1524" i="3"/>
  <c r="C1524" i="3"/>
  <c r="B1524" i="3"/>
  <c r="A1524" i="3"/>
  <c r="I1523" i="3"/>
  <c r="H1523" i="3"/>
  <c r="G1523" i="3"/>
  <c r="F1523" i="3"/>
  <c r="E1523" i="3"/>
  <c r="D1523" i="3"/>
  <c r="C1523" i="3"/>
  <c r="B1523" i="3"/>
  <c r="A1523" i="3"/>
  <c r="I1522" i="3"/>
  <c r="H1522" i="3"/>
  <c r="G1522" i="3"/>
  <c r="F1522" i="3"/>
  <c r="E1522" i="3"/>
  <c r="D1522" i="3"/>
  <c r="C1522" i="3"/>
  <c r="B1522" i="3"/>
  <c r="A1522" i="3"/>
  <c r="I1521" i="3"/>
  <c r="H1521" i="3"/>
  <c r="G1521" i="3"/>
  <c r="F1521" i="3"/>
  <c r="E1521" i="3"/>
  <c r="D1521" i="3"/>
  <c r="C1521" i="3"/>
  <c r="B1521" i="3"/>
  <c r="A1521" i="3"/>
  <c r="I1520" i="3"/>
  <c r="H1520" i="3"/>
  <c r="G1520" i="3"/>
  <c r="F1520" i="3"/>
  <c r="E1520" i="3"/>
  <c r="D1520" i="3"/>
  <c r="C1520" i="3"/>
  <c r="B1520" i="3"/>
  <c r="A1520" i="3"/>
  <c r="I1519" i="3"/>
  <c r="H1519" i="3"/>
  <c r="G1519" i="3"/>
  <c r="F1519" i="3"/>
  <c r="E1519" i="3"/>
  <c r="D1519" i="3"/>
  <c r="C1519" i="3"/>
  <c r="B1519" i="3"/>
  <c r="A1519" i="3"/>
  <c r="I1518" i="3"/>
  <c r="H1518" i="3"/>
  <c r="G1518" i="3"/>
  <c r="F1518" i="3"/>
  <c r="E1518" i="3"/>
  <c r="D1518" i="3"/>
  <c r="C1518" i="3"/>
  <c r="B1518" i="3"/>
  <c r="A1518" i="3"/>
  <c r="I1517" i="3"/>
  <c r="H1517" i="3"/>
  <c r="G1517" i="3"/>
  <c r="F1517" i="3"/>
  <c r="E1517" i="3"/>
  <c r="D1517" i="3"/>
  <c r="C1517" i="3"/>
  <c r="B1517" i="3"/>
  <c r="A1517" i="3"/>
  <c r="I1516" i="3"/>
  <c r="H1516" i="3"/>
  <c r="G1516" i="3"/>
  <c r="F1516" i="3"/>
  <c r="E1516" i="3"/>
  <c r="D1516" i="3"/>
  <c r="C1516" i="3"/>
  <c r="B1516" i="3"/>
  <c r="A1516" i="3"/>
  <c r="I1515" i="3"/>
  <c r="H1515" i="3"/>
  <c r="G1515" i="3"/>
  <c r="F1515" i="3"/>
  <c r="E1515" i="3"/>
  <c r="D1515" i="3"/>
  <c r="C1515" i="3"/>
  <c r="B1515" i="3"/>
  <c r="A1515" i="3"/>
  <c r="I1514" i="3"/>
  <c r="H1514" i="3"/>
  <c r="G1514" i="3"/>
  <c r="F1514" i="3"/>
  <c r="E1514" i="3"/>
  <c r="D1514" i="3"/>
  <c r="C1514" i="3"/>
  <c r="B1514" i="3"/>
  <c r="A1514" i="3"/>
  <c r="I1513" i="3"/>
  <c r="H1513" i="3"/>
  <c r="G1513" i="3"/>
  <c r="F1513" i="3"/>
  <c r="E1513" i="3"/>
  <c r="D1513" i="3"/>
  <c r="C1513" i="3"/>
  <c r="B1513" i="3"/>
  <c r="A1513" i="3"/>
  <c r="I1512" i="3"/>
  <c r="H1512" i="3"/>
  <c r="G1512" i="3"/>
  <c r="F1512" i="3"/>
  <c r="E1512" i="3"/>
  <c r="D1512" i="3"/>
  <c r="C1512" i="3"/>
  <c r="B1512" i="3"/>
  <c r="A1512" i="3"/>
  <c r="I1511" i="3"/>
  <c r="H1511" i="3"/>
  <c r="G1511" i="3"/>
  <c r="F1511" i="3"/>
  <c r="E1511" i="3"/>
  <c r="D1511" i="3"/>
  <c r="C1511" i="3"/>
  <c r="B1511" i="3"/>
  <c r="A1511" i="3"/>
  <c r="I1510" i="3"/>
  <c r="H1510" i="3"/>
  <c r="G1510" i="3"/>
  <c r="F1510" i="3"/>
  <c r="E1510" i="3"/>
  <c r="D1510" i="3"/>
  <c r="C1510" i="3"/>
  <c r="B1510" i="3"/>
  <c r="A1510" i="3"/>
  <c r="I1509" i="3"/>
  <c r="H1509" i="3"/>
  <c r="G1509" i="3"/>
  <c r="F1509" i="3"/>
  <c r="E1509" i="3"/>
  <c r="D1509" i="3"/>
  <c r="C1509" i="3"/>
  <c r="B1509" i="3"/>
  <c r="A1509" i="3"/>
  <c r="I1508" i="3"/>
  <c r="H1508" i="3"/>
  <c r="G1508" i="3"/>
  <c r="F1508" i="3"/>
  <c r="E1508" i="3"/>
  <c r="D1508" i="3"/>
  <c r="C1508" i="3"/>
  <c r="B1508" i="3"/>
  <c r="A1508" i="3"/>
  <c r="I1507" i="3"/>
  <c r="H1507" i="3"/>
  <c r="G1507" i="3"/>
  <c r="F1507" i="3"/>
  <c r="E1507" i="3"/>
  <c r="D1507" i="3"/>
  <c r="C1507" i="3"/>
  <c r="B1507" i="3"/>
  <c r="A1507" i="3"/>
  <c r="I1506" i="3"/>
  <c r="H1506" i="3"/>
  <c r="G1506" i="3"/>
  <c r="F1506" i="3"/>
  <c r="E1506" i="3"/>
  <c r="D1506" i="3"/>
  <c r="C1506" i="3"/>
  <c r="B1506" i="3"/>
  <c r="A1506" i="3"/>
  <c r="I1505" i="3"/>
  <c r="H1505" i="3"/>
  <c r="G1505" i="3"/>
  <c r="F1505" i="3"/>
  <c r="E1505" i="3"/>
  <c r="D1505" i="3"/>
  <c r="C1505" i="3"/>
  <c r="B1505" i="3"/>
  <c r="A1505" i="3"/>
  <c r="I1504" i="3"/>
  <c r="H1504" i="3"/>
  <c r="G1504" i="3"/>
  <c r="F1504" i="3"/>
  <c r="E1504" i="3"/>
  <c r="D1504" i="3"/>
  <c r="C1504" i="3"/>
  <c r="B1504" i="3"/>
  <c r="A1504" i="3"/>
  <c r="I1503" i="3"/>
  <c r="H1503" i="3"/>
  <c r="G1503" i="3"/>
  <c r="F1503" i="3"/>
  <c r="E1503" i="3"/>
  <c r="D1503" i="3"/>
  <c r="C1503" i="3"/>
  <c r="B1503" i="3"/>
  <c r="A1503" i="3"/>
  <c r="I1502" i="3"/>
  <c r="H1502" i="3"/>
  <c r="G1502" i="3"/>
  <c r="F1502" i="3"/>
  <c r="E1502" i="3"/>
  <c r="D1502" i="3"/>
  <c r="C1502" i="3"/>
  <c r="B1502" i="3"/>
  <c r="A1502" i="3"/>
  <c r="I1501" i="3"/>
  <c r="H1501" i="3"/>
  <c r="G1501" i="3"/>
  <c r="F1501" i="3"/>
  <c r="E1501" i="3"/>
  <c r="D1501" i="3"/>
  <c r="C1501" i="3"/>
  <c r="B1501" i="3"/>
  <c r="A1501" i="3"/>
  <c r="I1500" i="3"/>
  <c r="H1500" i="3"/>
  <c r="G1500" i="3"/>
  <c r="F1500" i="3"/>
  <c r="E1500" i="3"/>
  <c r="D1500" i="3"/>
  <c r="C1500" i="3"/>
  <c r="B1500" i="3"/>
  <c r="A1500" i="3"/>
  <c r="I1499" i="3"/>
  <c r="H1499" i="3"/>
  <c r="G1499" i="3"/>
  <c r="F1499" i="3"/>
  <c r="E1499" i="3"/>
  <c r="D1499" i="3"/>
  <c r="C1499" i="3"/>
  <c r="B1499" i="3"/>
  <c r="A1499" i="3"/>
  <c r="I1498" i="3"/>
  <c r="H1498" i="3"/>
  <c r="G1498" i="3"/>
  <c r="F1498" i="3"/>
  <c r="E1498" i="3"/>
  <c r="D1498" i="3"/>
  <c r="C1498" i="3"/>
  <c r="B1498" i="3"/>
  <c r="A1498" i="3"/>
  <c r="I1497" i="3"/>
  <c r="H1497" i="3"/>
  <c r="G1497" i="3"/>
  <c r="F1497" i="3"/>
  <c r="E1497" i="3"/>
  <c r="D1497" i="3"/>
  <c r="C1497" i="3"/>
  <c r="B1497" i="3"/>
  <c r="A1497" i="3"/>
  <c r="I1496" i="3"/>
  <c r="H1496" i="3"/>
  <c r="G1496" i="3"/>
  <c r="F1496" i="3"/>
  <c r="E1496" i="3"/>
  <c r="D1496" i="3"/>
  <c r="C1496" i="3"/>
  <c r="B1496" i="3"/>
  <c r="A1496" i="3"/>
  <c r="I1495" i="3"/>
  <c r="H1495" i="3"/>
  <c r="G1495" i="3"/>
  <c r="F1495" i="3"/>
  <c r="E1495" i="3"/>
  <c r="D1495" i="3"/>
  <c r="C1495" i="3"/>
  <c r="B1495" i="3"/>
  <c r="A1495" i="3"/>
  <c r="I1494" i="3"/>
  <c r="H1494" i="3"/>
  <c r="G1494" i="3"/>
  <c r="F1494" i="3"/>
  <c r="E1494" i="3"/>
  <c r="D1494" i="3"/>
  <c r="C1494" i="3"/>
  <c r="B1494" i="3"/>
  <c r="A1494" i="3"/>
  <c r="I1493" i="3"/>
  <c r="H1493" i="3"/>
  <c r="G1493" i="3"/>
  <c r="F1493" i="3"/>
  <c r="E1493" i="3"/>
  <c r="D1493" i="3"/>
  <c r="C1493" i="3"/>
  <c r="B1493" i="3"/>
  <c r="A1493" i="3"/>
  <c r="I1492" i="3"/>
  <c r="H1492" i="3"/>
  <c r="G1492" i="3"/>
  <c r="F1492" i="3"/>
  <c r="E1492" i="3"/>
  <c r="D1492" i="3"/>
  <c r="C1492" i="3"/>
  <c r="B1492" i="3"/>
  <c r="A1492" i="3"/>
  <c r="I1491" i="3"/>
  <c r="H1491" i="3"/>
  <c r="G1491" i="3"/>
  <c r="F1491" i="3"/>
  <c r="E1491" i="3"/>
  <c r="D1491" i="3"/>
  <c r="C1491" i="3"/>
  <c r="B1491" i="3"/>
  <c r="A1491" i="3"/>
  <c r="I1490" i="3"/>
  <c r="H1490" i="3"/>
  <c r="G1490" i="3"/>
  <c r="F1490" i="3"/>
  <c r="E1490" i="3"/>
  <c r="D1490" i="3"/>
  <c r="C1490" i="3"/>
  <c r="B1490" i="3"/>
  <c r="A1490" i="3"/>
  <c r="I1489" i="3"/>
  <c r="H1489" i="3"/>
  <c r="G1489" i="3"/>
  <c r="F1489" i="3"/>
  <c r="E1489" i="3"/>
  <c r="D1489" i="3"/>
  <c r="C1489" i="3"/>
  <c r="B1489" i="3"/>
  <c r="A1489" i="3"/>
  <c r="I1488" i="3"/>
  <c r="H1488" i="3"/>
  <c r="G1488" i="3"/>
  <c r="F1488" i="3"/>
  <c r="E1488" i="3"/>
  <c r="D1488" i="3"/>
  <c r="C1488" i="3"/>
  <c r="B1488" i="3"/>
  <c r="A1488" i="3"/>
  <c r="I1487" i="3"/>
  <c r="H1487" i="3"/>
  <c r="G1487" i="3"/>
  <c r="F1487" i="3"/>
  <c r="E1487" i="3"/>
  <c r="D1487" i="3"/>
  <c r="C1487" i="3"/>
  <c r="B1487" i="3"/>
  <c r="A1487" i="3"/>
  <c r="I1486" i="3"/>
  <c r="H1486" i="3"/>
  <c r="G1486" i="3"/>
  <c r="F1486" i="3"/>
  <c r="E1486" i="3"/>
  <c r="D1486" i="3"/>
  <c r="C1486" i="3"/>
  <c r="B1486" i="3"/>
  <c r="A1486" i="3"/>
  <c r="I1485" i="3"/>
  <c r="H1485" i="3"/>
  <c r="G1485" i="3"/>
  <c r="F1485" i="3"/>
  <c r="E1485" i="3"/>
  <c r="D1485" i="3"/>
  <c r="C1485" i="3"/>
  <c r="B1485" i="3"/>
  <c r="A1485" i="3"/>
  <c r="I1484" i="3"/>
  <c r="H1484" i="3"/>
  <c r="G1484" i="3"/>
  <c r="F1484" i="3"/>
  <c r="E1484" i="3"/>
  <c r="D1484" i="3"/>
  <c r="C1484" i="3"/>
  <c r="B1484" i="3"/>
  <c r="A1484" i="3"/>
  <c r="I1483" i="3"/>
  <c r="H1483" i="3"/>
  <c r="G1483" i="3"/>
  <c r="F1483" i="3"/>
  <c r="E1483" i="3"/>
  <c r="D1483" i="3"/>
  <c r="C1483" i="3"/>
  <c r="B1483" i="3"/>
  <c r="A1483" i="3"/>
  <c r="I1482" i="3"/>
  <c r="H1482" i="3"/>
  <c r="G1482" i="3"/>
  <c r="F1482" i="3"/>
  <c r="E1482" i="3"/>
  <c r="D1482" i="3"/>
  <c r="C1482" i="3"/>
  <c r="B1482" i="3"/>
  <c r="A1482" i="3"/>
  <c r="I1481" i="3"/>
  <c r="H1481" i="3"/>
  <c r="G1481" i="3"/>
  <c r="F1481" i="3"/>
  <c r="E1481" i="3"/>
  <c r="D1481" i="3"/>
  <c r="C1481" i="3"/>
  <c r="B1481" i="3"/>
  <c r="A1481" i="3"/>
  <c r="I1480" i="3"/>
  <c r="H1480" i="3"/>
  <c r="G1480" i="3"/>
  <c r="F1480" i="3"/>
  <c r="E1480" i="3"/>
  <c r="D1480" i="3"/>
  <c r="C1480" i="3"/>
  <c r="B1480" i="3"/>
  <c r="A1480" i="3"/>
  <c r="I1479" i="3"/>
  <c r="H1479" i="3"/>
  <c r="G1479" i="3"/>
  <c r="F1479" i="3"/>
  <c r="E1479" i="3"/>
  <c r="D1479" i="3"/>
  <c r="C1479" i="3"/>
  <c r="B1479" i="3"/>
  <c r="A1479" i="3"/>
  <c r="I1478" i="3"/>
  <c r="H1478" i="3"/>
  <c r="G1478" i="3"/>
  <c r="F1478" i="3"/>
  <c r="E1478" i="3"/>
  <c r="D1478" i="3"/>
  <c r="C1478" i="3"/>
  <c r="B1478" i="3"/>
  <c r="A1478" i="3"/>
  <c r="I1477" i="3"/>
  <c r="H1477" i="3"/>
  <c r="G1477" i="3"/>
  <c r="F1477" i="3"/>
  <c r="E1477" i="3"/>
  <c r="D1477" i="3"/>
  <c r="C1477" i="3"/>
  <c r="B1477" i="3"/>
  <c r="A1477" i="3"/>
  <c r="I1476" i="3"/>
  <c r="H1476" i="3"/>
  <c r="G1476" i="3"/>
  <c r="F1476" i="3"/>
  <c r="E1476" i="3"/>
  <c r="D1476" i="3"/>
  <c r="C1476" i="3"/>
  <c r="B1476" i="3"/>
  <c r="A1476" i="3"/>
  <c r="I1475" i="3"/>
  <c r="H1475" i="3"/>
  <c r="G1475" i="3"/>
  <c r="F1475" i="3"/>
  <c r="E1475" i="3"/>
  <c r="D1475" i="3"/>
  <c r="C1475" i="3"/>
  <c r="B1475" i="3"/>
  <c r="A1475" i="3"/>
  <c r="I1474" i="3"/>
  <c r="H1474" i="3"/>
  <c r="G1474" i="3"/>
  <c r="F1474" i="3"/>
  <c r="E1474" i="3"/>
  <c r="D1474" i="3"/>
  <c r="C1474" i="3"/>
  <c r="B1474" i="3"/>
  <c r="A1474" i="3"/>
  <c r="I1473" i="3"/>
  <c r="H1473" i="3"/>
  <c r="G1473" i="3"/>
  <c r="F1473" i="3"/>
  <c r="E1473" i="3"/>
  <c r="D1473" i="3"/>
  <c r="C1473" i="3"/>
  <c r="B1473" i="3"/>
  <c r="A1473" i="3"/>
  <c r="I1472" i="3"/>
  <c r="H1472" i="3"/>
  <c r="G1472" i="3"/>
  <c r="F1472" i="3"/>
  <c r="E1472" i="3"/>
  <c r="D1472" i="3"/>
  <c r="C1472" i="3"/>
  <c r="B1472" i="3"/>
  <c r="A1472" i="3"/>
  <c r="I1471" i="3"/>
  <c r="H1471" i="3"/>
  <c r="G1471" i="3"/>
  <c r="F1471" i="3"/>
  <c r="E1471" i="3"/>
  <c r="D1471" i="3"/>
  <c r="C1471" i="3"/>
  <c r="B1471" i="3"/>
  <c r="A1471" i="3"/>
  <c r="I1470" i="3"/>
  <c r="H1470" i="3"/>
  <c r="G1470" i="3"/>
  <c r="F1470" i="3"/>
  <c r="E1470" i="3"/>
  <c r="D1470" i="3"/>
  <c r="C1470" i="3"/>
  <c r="B1470" i="3"/>
  <c r="A1470" i="3"/>
  <c r="I1469" i="3"/>
  <c r="H1469" i="3"/>
  <c r="G1469" i="3"/>
  <c r="F1469" i="3"/>
  <c r="E1469" i="3"/>
  <c r="D1469" i="3"/>
  <c r="C1469" i="3"/>
  <c r="B1469" i="3"/>
  <c r="A1469" i="3"/>
  <c r="I1468" i="3"/>
  <c r="H1468" i="3"/>
  <c r="G1468" i="3"/>
  <c r="F1468" i="3"/>
  <c r="E1468" i="3"/>
  <c r="D1468" i="3"/>
  <c r="C1468" i="3"/>
  <c r="B1468" i="3"/>
  <c r="A1468" i="3"/>
  <c r="I1467" i="3"/>
  <c r="H1467" i="3"/>
  <c r="G1467" i="3"/>
  <c r="F1467" i="3"/>
  <c r="E1467" i="3"/>
  <c r="D1467" i="3"/>
  <c r="C1467" i="3"/>
  <c r="B1467" i="3"/>
  <c r="A1467" i="3"/>
  <c r="I1466" i="3"/>
  <c r="H1466" i="3"/>
  <c r="G1466" i="3"/>
  <c r="F1466" i="3"/>
  <c r="E1466" i="3"/>
  <c r="D1466" i="3"/>
  <c r="C1466" i="3"/>
  <c r="B1466" i="3"/>
  <c r="A1466" i="3"/>
  <c r="I1465" i="3"/>
  <c r="H1465" i="3"/>
  <c r="G1465" i="3"/>
  <c r="F1465" i="3"/>
  <c r="E1465" i="3"/>
  <c r="D1465" i="3"/>
  <c r="C1465" i="3"/>
  <c r="B1465" i="3"/>
  <c r="A1465" i="3"/>
  <c r="I1464" i="3"/>
  <c r="H1464" i="3"/>
  <c r="G1464" i="3"/>
  <c r="F1464" i="3"/>
  <c r="E1464" i="3"/>
  <c r="D1464" i="3"/>
  <c r="C1464" i="3"/>
  <c r="B1464" i="3"/>
  <c r="A1464" i="3"/>
  <c r="I1463" i="3"/>
  <c r="H1463" i="3"/>
  <c r="G1463" i="3"/>
  <c r="F1463" i="3"/>
  <c r="E1463" i="3"/>
  <c r="D1463" i="3"/>
  <c r="C1463" i="3"/>
  <c r="B1463" i="3"/>
  <c r="A1463" i="3"/>
  <c r="I1462" i="3"/>
  <c r="H1462" i="3"/>
  <c r="G1462" i="3"/>
  <c r="F1462" i="3"/>
  <c r="E1462" i="3"/>
  <c r="D1462" i="3"/>
  <c r="C1462" i="3"/>
  <c r="B1462" i="3"/>
  <c r="A1462" i="3"/>
  <c r="I1461" i="3"/>
  <c r="H1461" i="3"/>
  <c r="G1461" i="3"/>
  <c r="F1461" i="3"/>
  <c r="E1461" i="3"/>
  <c r="D1461" i="3"/>
  <c r="C1461" i="3"/>
  <c r="B1461" i="3"/>
  <c r="A1461" i="3"/>
  <c r="I1460" i="3"/>
  <c r="H1460" i="3"/>
  <c r="G1460" i="3"/>
  <c r="F1460" i="3"/>
  <c r="E1460" i="3"/>
  <c r="D1460" i="3"/>
  <c r="C1460" i="3"/>
  <c r="B1460" i="3"/>
  <c r="A1460" i="3"/>
  <c r="I1459" i="3"/>
  <c r="H1459" i="3"/>
  <c r="G1459" i="3"/>
  <c r="F1459" i="3"/>
  <c r="E1459" i="3"/>
  <c r="D1459" i="3"/>
  <c r="C1459" i="3"/>
  <c r="B1459" i="3"/>
  <c r="A1459" i="3"/>
  <c r="I1458" i="3"/>
  <c r="H1458" i="3"/>
  <c r="G1458" i="3"/>
  <c r="F1458" i="3"/>
  <c r="E1458" i="3"/>
  <c r="D1458" i="3"/>
  <c r="C1458" i="3"/>
  <c r="B1458" i="3"/>
  <c r="A1458" i="3"/>
  <c r="I1457" i="3"/>
  <c r="H1457" i="3"/>
  <c r="G1457" i="3"/>
  <c r="F1457" i="3"/>
  <c r="E1457" i="3"/>
  <c r="D1457" i="3"/>
  <c r="C1457" i="3"/>
  <c r="B1457" i="3"/>
  <c r="A1457" i="3"/>
  <c r="I1456" i="3"/>
  <c r="H1456" i="3"/>
  <c r="G1456" i="3"/>
  <c r="F1456" i="3"/>
  <c r="E1456" i="3"/>
  <c r="D1456" i="3"/>
  <c r="C1456" i="3"/>
  <c r="B1456" i="3"/>
  <c r="A1456" i="3"/>
  <c r="I1455" i="3"/>
  <c r="H1455" i="3"/>
  <c r="G1455" i="3"/>
  <c r="F1455" i="3"/>
  <c r="E1455" i="3"/>
  <c r="D1455" i="3"/>
  <c r="C1455" i="3"/>
  <c r="B1455" i="3"/>
  <c r="A1455" i="3"/>
  <c r="I1454" i="3"/>
  <c r="H1454" i="3"/>
  <c r="G1454" i="3"/>
  <c r="F1454" i="3"/>
  <c r="E1454" i="3"/>
  <c r="D1454" i="3"/>
  <c r="C1454" i="3"/>
  <c r="B1454" i="3"/>
  <c r="A1454" i="3"/>
  <c r="I1453" i="3"/>
  <c r="H1453" i="3"/>
  <c r="G1453" i="3"/>
  <c r="F1453" i="3"/>
  <c r="E1453" i="3"/>
  <c r="D1453" i="3"/>
  <c r="C1453" i="3"/>
  <c r="B1453" i="3"/>
  <c r="A1453" i="3"/>
  <c r="I1452" i="3"/>
  <c r="H1452" i="3"/>
  <c r="G1452" i="3"/>
  <c r="F1452" i="3"/>
  <c r="E1452" i="3"/>
  <c r="D1452" i="3"/>
  <c r="C1452" i="3"/>
  <c r="B1452" i="3"/>
  <c r="A1452" i="3"/>
  <c r="I1451" i="3"/>
  <c r="H1451" i="3"/>
  <c r="G1451" i="3"/>
  <c r="F1451" i="3"/>
  <c r="E1451" i="3"/>
  <c r="D1451" i="3"/>
  <c r="C1451" i="3"/>
  <c r="B1451" i="3"/>
  <c r="A1451" i="3"/>
  <c r="I1450" i="3"/>
  <c r="H1450" i="3"/>
  <c r="G1450" i="3"/>
  <c r="F1450" i="3"/>
  <c r="E1450" i="3"/>
  <c r="D1450" i="3"/>
  <c r="C1450" i="3"/>
  <c r="B1450" i="3"/>
  <c r="A1450" i="3"/>
  <c r="I1449" i="3"/>
  <c r="H1449" i="3"/>
  <c r="G1449" i="3"/>
  <c r="F1449" i="3"/>
  <c r="E1449" i="3"/>
  <c r="D1449" i="3"/>
  <c r="C1449" i="3"/>
  <c r="B1449" i="3"/>
  <c r="A1449" i="3"/>
  <c r="I1448" i="3"/>
  <c r="H1448" i="3"/>
  <c r="G1448" i="3"/>
  <c r="F1448" i="3"/>
  <c r="E1448" i="3"/>
  <c r="D1448" i="3"/>
  <c r="C1448" i="3"/>
  <c r="B1448" i="3"/>
  <c r="A1448" i="3"/>
  <c r="I1447" i="3"/>
  <c r="H1447" i="3"/>
  <c r="G1447" i="3"/>
  <c r="F1447" i="3"/>
  <c r="E1447" i="3"/>
  <c r="D1447" i="3"/>
  <c r="C1447" i="3"/>
  <c r="B1447" i="3"/>
  <c r="A1447" i="3"/>
  <c r="I1446" i="3"/>
  <c r="H1446" i="3"/>
  <c r="G1446" i="3"/>
  <c r="F1446" i="3"/>
  <c r="E1446" i="3"/>
  <c r="D1446" i="3"/>
  <c r="C1446" i="3"/>
  <c r="B1446" i="3"/>
  <c r="A1446" i="3"/>
  <c r="I1445" i="3"/>
  <c r="H1445" i="3"/>
  <c r="G1445" i="3"/>
  <c r="F1445" i="3"/>
  <c r="E1445" i="3"/>
  <c r="D1445" i="3"/>
  <c r="C1445" i="3"/>
  <c r="B1445" i="3"/>
  <c r="A1445" i="3"/>
  <c r="I1444" i="3"/>
  <c r="H1444" i="3"/>
  <c r="G1444" i="3"/>
  <c r="F1444" i="3"/>
  <c r="E1444" i="3"/>
  <c r="D1444" i="3"/>
  <c r="C1444" i="3"/>
  <c r="B1444" i="3"/>
  <c r="A1444" i="3"/>
  <c r="I1443" i="3"/>
  <c r="H1443" i="3"/>
  <c r="G1443" i="3"/>
  <c r="F1443" i="3"/>
  <c r="E1443" i="3"/>
  <c r="D1443" i="3"/>
  <c r="C1443" i="3"/>
  <c r="B1443" i="3"/>
  <c r="A1443" i="3"/>
  <c r="I1442" i="3"/>
  <c r="H1442" i="3"/>
  <c r="G1442" i="3"/>
  <c r="F1442" i="3"/>
  <c r="E1442" i="3"/>
  <c r="D1442" i="3"/>
  <c r="C1442" i="3"/>
  <c r="B1442" i="3"/>
  <c r="A1442" i="3"/>
  <c r="I1441" i="3"/>
  <c r="H1441" i="3"/>
  <c r="G1441" i="3"/>
  <c r="F1441" i="3"/>
  <c r="E1441" i="3"/>
  <c r="D1441" i="3"/>
  <c r="C1441" i="3"/>
  <c r="B1441" i="3"/>
  <c r="A1441" i="3"/>
  <c r="I1440" i="3"/>
  <c r="H1440" i="3"/>
  <c r="G1440" i="3"/>
  <c r="F1440" i="3"/>
  <c r="E1440" i="3"/>
  <c r="D1440" i="3"/>
  <c r="C1440" i="3"/>
  <c r="B1440" i="3"/>
  <c r="A1440" i="3"/>
  <c r="I1439" i="3"/>
  <c r="H1439" i="3"/>
  <c r="G1439" i="3"/>
  <c r="F1439" i="3"/>
  <c r="E1439" i="3"/>
  <c r="D1439" i="3"/>
  <c r="C1439" i="3"/>
  <c r="B1439" i="3"/>
  <c r="A1439" i="3"/>
  <c r="I1438" i="3"/>
  <c r="H1438" i="3"/>
  <c r="G1438" i="3"/>
  <c r="F1438" i="3"/>
  <c r="E1438" i="3"/>
  <c r="D1438" i="3"/>
  <c r="C1438" i="3"/>
  <c r="B1438" i="3"/>
  <c r="A1438" i="3"/>
  <c r="I1437" i="3"/>
  <c r="H1437" i="3"/>
  <c r="G1437" i="3"/>
  <c r="F1437" i="3"/>
  <c r="E1437" i="3"/>
  <c r="D1437" i="3"/>
  <c r="C1437" i="3"/>
  <c r="B1437" i="3"/>
  <c r="A1437" i="3"/>
  <c r="I1436" i="3"/>
  <c r="H1436" i="3"/>
  <c r="G1436" i="3"/>
  <c r="F1436" i="3"/>
  <c r="E1436" i="3"/>
  <c r="D1436" i="3"/>
  <c r="C1436" i="3"/>
  <c r="B1436" i="3"/>
  <c r="A1436" i="3"/>
  <c r="I1435" i="3"/>
  <c r="H1435" i="3"/>
  <c r="G1435" i="3"/>
  <c r="F1435" i="3"/>
  <c r="E1435" i="3"/>
  <c r="D1435" i="3"/>
  <c r="C1435" i="3"/>
  <c r="B1435" i="3"/>
  <c r="A1435" i="3"/>
  <c r="I1434" i="3"/>
  <c r="H1434" i="3"/>
  <c r="G1434" i="3"/>
  <c r="F1434" i="3"/>
  <c r="E1434" i="3"/>
  <c r="D1434" i="3"/>
  <c r="C1434" i="3"/>
  <c r="B1434" i="3"/>
  <c r="A1434" i="3"/>
  <c r="I1433" i="3"/>
  <c r="H1433" i="3"/>
  <c r="G1433" i="3"/>
  <c r="F1433" i="3"/>
  <c r="E1433" i="3"/>
  <c r="D1433" i="3"/>
  <c r="C1433" i="3"/>
  <c r="B1433" i="3"/>
  <c r="A1433" i="3"/>
  <c r="I1432" i="3"/>
  <c r="H1432" i="3"/>
  <c r="G1432" i="3"/>
  <c r="F1432" i="3"/>
  <c r="E1432" i="3"/>
  <c r="D1432" i="3"/>
  <c r="C1432" i="3"/>
  <c r="B1432" i="3"/>
  <c r="A1432" i="3"/>
  <c r="I1431" i="3"/>
  <c r="H1431" i="3"/>
  <c r="G1431" i="3"/>
  <c r="F1431" i="3"/>
  <c r="E1431" i="3"/>
  <c r="D1431" i="3"/>
  <c r="C1431" i="3"/>
  <c r="B1431" i="3"/>
  <c r="A1431" i="3"/>
  <c r="I1430" i="3"/>
  <c r="H1430" i="3"/>
  <c r="G1430" i="3"/>
  <c r="F1430" i="3"/>
  <c r="E1430" i="3"/>
  <c r="D1430" i="3"/>
  <c r="C1430" i="3"/>
  <c r="B1430" i="3"/>
  <c r="A1430" i="3"/>
  <c r="I1429" i="3"/>
  <c r="H1429" i="3"/>
  <c r="G1429" i="3"/>
  <c r="F1429" i="3"/>
  <c r="E1429" i="3"/>
  <c r="D1429" i="3"/>
  <c r="C1429" i="3"/>
  <c r="B1429" i="3"/>
  <c r="A1429" i="3"/>
  <c r="I1428" i="3"/>
  <c r="H1428" i="3"/>
  <c r="G1428" i="3"/>
  <c r="F1428" i="3"/>
  <c r="E1428" i="3"/>
  <c r="D1428" i="3"/>
  <c r="C1428" i="3"/>
  <c r="B1428" i="3"/>
  <c r="A1428" i="3"/>
  <c r="I1427" i="3"/>
  <c r="H1427" i="3"/>
  <c r="G1427" i="3"/>
  <c r="F1427" i="3"/>
  <c r="E1427" i="3"/>
  <c r="D1427" i="3"/>
  <c r="C1427" i="3"/>
  <c r="B1427" i="3"/>
  <c r="A1427" i="3"/>
  <c r="I1426" i="3"/>
  <c r="H1426" i="3"/>
  <c r="G1426" i="3"/>
  <c r="F1426" i="3"/>
  <c r="E1426" i="3"/>
  <c r="D1426" i="3"/>
  <c r="C1426" i="3"/>
  <c r="B1426" i="3"/>
  <c r="A1426" i="3"/>
  <c r="I1425" i="3"/>
  <c r="H1425" i="3"/>
  <c r="G1425" i="3"/>
  <c r="F1425" i="3"/>
  <c r="E1425" i="3"/>
  <c r="D1425" i="3"/>
  <c r="C1425" i="3"/>
  <c r="B1425" i="3"/>
  <c r="A1425" i="3"/>
  <c r="I1424" i="3"/>
  <c r="H1424" i="3"/>
  <c r="G1424" i="3"/>
  <c r="F1424" i="3"/>
  <c r="E1424" i="3"/>
  <c r="D1424" i="3"/>
  <c r="C1424" i="3"/>
  <c r="B1424" i="3"/>
  <c r="A1424" i="3"/>
  <c r="I1423" i="3"/>
  <c r="H1423" i="3"/>
  <c r="G1423" i="3"/>
  <c r="F1423" i="3"/>
  <c r="E1423" i="3"/>
  <c r="D1423" i="3"/>
  <c r="C1423" i="3"/>
  <c r="B1423" i="3"/>
  <c r="A1423" i="3"/>
  <c r="I1422" i="3"/>
  <c r="H1422" i="3"/>
  <c r="G1422" i="3"/>
  <c r="F1422" i="3"/>
  <c r="E1422" i="3"/>
  <c r="D1422" i="3"/>
  <c r="C1422" i="3"/>
  <c r="B1422" i="3"/>
  <c r="A1422" i="3"/>
  <c r="I1421" i="3"/>
  <c r="H1421" i="3"/>
  <c r="G1421" i="3"/>
  <c r="F1421" i="3"/>
  <c r="E1421" i="3"/>
  <c r="D1421" i="3"/>
  <c r="C1421" i="3"/>
  <c r="B1421" i="3"/>
  <c r="A1421" i="3"/>
  <c r="I1420" i="3"/>
  <c r="H1420" i="3"/>
  <c r="G1420" i="3"/>
  <c r="F1420" i="3"/>
  <c r="E1420" i="3"/>
  <c r="D1420" i="3"/>
  <c r="C1420" i="3"/>
  <c r="B1420" i="3"/>
  <c r="A1420" i="3"/>
  <c r="I1419" i="3"/>
  <c r="H1419" i="3"/>
  <c r="G1419" i="3"/>
  <c r="F1419" i="3"/>
  <c r="E1419" i="3"/>
  <c r="D1419" i="3"/>
  <c r="C1419" i="3"/>
  <c r="B1419" i="3"/>
  <c r="A1419" i="3"/>
  <c r="I1418" i="3"/>
  <c r="H1418" i="3"/>
  <c r="G1418" i="3"/>
  <c r="F1418" i="3"/>
  <c r="E1418" i="3"/>
  <c r="D1418" i="3"/>
  <c r="C1418" i="3"/>
  <c r="B1418" i="3"/>
  <c r="A1418" i="3"/>
  <c r="I1417" i="3"/>
  <c r="H1417" i="3"/>
  <c r="G1417" i="3"/>
  <c r="F1417" i="3"/>
  <c r="E1417" i="3"/>
  <c r="D1417" i="3"/>
  <c r="C1417" i="3"/>
  <c r="B1417" i="3"/>
  <c r="A1417" i="3"/>
  <c r="I1416" i="3"/>
  <c r="H1416" i="3"/>
  <c r="G1416" i="3"/>
  <c r="F1416" i="3"/>
  <c r="E1416" i="3"/>
  <c r="D1416" i="3"/>
  <c r="C1416" i="3"/>
  <c r="B1416" i="3"/>
  <c r="A1416" i="3"/>
  <c r="I1415" i="3"/>
  <c r="H1415" i="3"/>
  <c r="G1415" i="3"/>
  <c r="F1415" i="3"/>
  <c r="E1415" i="3"/>
  <c r="D1415" i="3"/>
  <c r="C1415" i="3"/>
  <c r="B1415" i="3"/>
  <c r="A1415" i="3"/>
  <c r="I1414" i="3"/>
  <c r="H1414" i="3"/>
  <c r="G1414" i="3"/>
  <c r="F1414" i="3"/>
  <c r="E1414" i="3"/>
  <c r="D1414" i="3"/>
  <c r="C1414" i="3"/>
  <c r="B1414" i="3"/>
  <c r="A1414" i="3"/>
  <c r="I1413" i="3"/>
  <c r="H1413" i="3"/>
  <c r="G1413" i="3"/>
  <c r="F1413" i="3"/>
  <c r="E1413" i="3"/>
  <c r="D1413" i="3"/>
  <c r="C1413" i="3"/>
  <c r="B1413" i="3"/>
  <c r="A1413" i="3"/>
  <c r="I1412" i="3"/>
  <c r="H1412" i="3"/>
  <c r="G1412" i="3"/>
  <c r="F1412" i="3"/>
  <c r="E1412" i="3"/>
  <c r="D1412" i="3"/>
  <c r="C1412" i="3"/>
  <c r="B1412" i="3"/>
  <c r="A1412" i="3"/>
  <c r="I1411" i="3"/>
  <c r="H1411" i="3"/>
  <c r="G1411" i="3"/>
  <c r="F1411" i="3"/>
  <c r="E1411" i="3"/>
  <c r="D1411" i="3"/>
  <c r="C1411" i="3"/>
  <c r="B1411" i="3"/>
  <c r="A1411" i="3"/>
  <c r="I1410" i="3"/>
  <c r="H1410" i="3"/>
  <c r="G1410" i="3"/>
  <c r="F1410" i="3"/>
  <c r="E1410" i="3"/>
  <c r="D1410" i="3"/>
  <c r="C1410" i="3"/>
  <c r="B1410" i="3"/>
  <c r="A1410" i="3"/>
  <c r="I1409" i="3"/>
  <c r="H1409" i="3"/>
  <c r="G1409" i="3"/>
  <c r="F1409" i="3"/>
  <c r="E1409" i="3"/>
  <c r="D1409" i="3"/>
  <c r="C1409" i="3"/>
  <c r="B1409" i="3"/>
  <c r="A1409" i="3"/>
  <c r="I1408" i="3"/>
  <c r="H1408" i="3"/>
  <c r="G1408" i="3"/>
  <c r="F1408" i="3"/>
  <c r="E1408" i="3"/>
  <c r="D1408" i="3"/>
  <c r="C1408" i="3"/>
  <c r="B1408" i="3"/>
  <c r="A1408" i="3"/>
  <c r="I1407" i="3"/>
  <c r="H1407" i="3"/>
  <c r="G1407" i="3"/>
  <c r="F1407" i="3"/>
  <c r="E1407" i="3"/>
  <c r="D1407" i="3"/>
  <c r="C1407" i="3"/>
  <c r="B1407" i="3"/>
  <c r="A1407" i="3"/>
  <c r="I1406" i="3"/>
  <c r="H1406" i="3"/>
  <c r="G1406" i="3"/>
  <c r="F1406" i="3"/>
  <c r="E1406" i="3"/>
  <c r="D1406" i="3"/>
  <c r="C1406" i="3"/>
  <c r="B1406" i="3"/>
  <c r="A1406" i="3"/>
  <c r="I1405" i="3"/>
  <c r="H1405" i="3"/>
  <c r="G1405" i="3"/>
  <c r="F1405" i="3"/>
  <c r="E1405" i="3"/>
  <c r="D1405" i="3"/>
  <c r="C1405" i="3"/>
  <c r="B1405" i="3"/>
  <c r="A1405" i="3"/>
  <c r="I1404" i="3"/>
  <c r="H1404" i="3"/>
  <c r="G1404" i="3"/>
  <c r="F1404" i="3"/>
  <c r="E1404" i="3"/>
  <c r="D1404" i="3"/>
  <c r="C1404" i="3"/>
  <c r="B1404" i="3"/>
  <c r="A1404" i="3"/>
  <c r="I1403" i="3"/>
  <c r="H1403" i="3"/>
  <c r="G1403" i="3"/>
  <c r="F1403" i="3"/>
  <c r="E1403" i="3"/>
  <c r="D1403" i="3"/>
  <c r="C1403" i="3"/>
  <c r="B1403" i="3"/>
  <c r="A1403" i="3"/>
  <c r="I1402" i="3"/>
  <c r="H1402" i="3"/>
  <c r="G1402" i="3"/>
  <c r="F1402" i="3"/>
  <c r="E1402" i="3"/>
  <c r="D1402" i="3"/>
  <c r="C1402" i="3"/>
  <c r="B1402" i="3"/>
  <c r="A1402" i="3"/>
  <c r="I1401" i="3"/>
  <c r="H1401" i="3"/>
  <c r="G1401" i="3"/>
  <c r="F1401" i="3"/>
  <c r="E1401" i="3"/>
  <c r="D1401" i="3"/>
  <c r="C1401" i="3"/>
  <c r="B1401" i="3"/>
  <c r="A1401" i="3"/>
  <c r="I1400" i="3"/>
  <c r="H1400" i="3"/>
  <c r="G1400" i="3"/>
  <c r="F1400" i="3"/>
  <c r="E1400" i="3"/>
  <c r="D1400" i="3"/>
  <c r="C1400" i="3"/>
  <c r="B1400" i="3"/>
  <c r="A1400" i="3"/>
  <c r="I1399" i="3"/>
  <c r="H1399" i="3"/>
  <c r="G1399" i="3"/>
  <c r="F1399" i="3"/>
  <c r="E1399" i="3"/>
  <c r="D1399" i="3"/>
  <c r="C1399" i="3"/>
  <c r="B1399" i="3"/>
  <c r="A1399" i="3"/>
  <c r="I1398" i="3"/>
  <c r="H1398" i="3"/>
  <c r="G1398" i="3"/>
  <c r="F1398" i="3"/>
  <c r="E1398" i="3"/>
  <c r="D1398" i="3"/>
  <c r="C1398" i="3"/>
  <c r="B1398" i="3"/>
  <c r="A1398" i="3"/>
  <c r="I1397" i="3"/>
  <c r="H1397" i="3"/>
  <c r="G1397" i="3"/>
  <c r="F1397" i="3"/>
  <c r="E1397" i="3"/>
  <c r="D1397" i="3"/>
  <c r="C1397" i="3"/>
  <c r="B1397" i="3"/>
  <c r="A1397" i="3"/>
  <c r="I1396" i="3"/>
  <c r="H1396" i="3"/>
  <c r="G1396" i="3"/>
  <c r="F1396" i="3"/>
  <c r="E1396" i="3"/>
  <c r="D1396" i="3"/>
  <c r="C1396" i="3"/>
  <c r="B1396" i="3"/>
  <c r="A1396" i="3"/>
  <c r="I1395" i="3"/>
  <c r="H1395" i="3"/>
  <c r="G1395" i="3"/>
  <c r="F1395" i="3"/>
  <c r="E1395" i="3"/>
  <c r="D1395" i="3"/>
  <c r="C1395" i="3"/>
  <c r="B1395" i="3"/>
  <c r="A1395" i="3"/>
  <c r="I1394" i="3"/>
  <c r="H1394" i="3"/>
  <c r="G1394" i="3"/>
  <c r="F1394" i="3"/>
  <c r="E1394" i="3"/>
  <c r="D1394" i="3"/>
  <c r="C1394" i="3"/>
  <c r="B1394" i="3"/>
  <c r="A1394" i="3"/>
  <c r="I1393" i="3"/>
  <c r="H1393" i="3"/>
  <c r="G1393" i="3"/>
  <c r="F1393" i="3"/>
  <c r="E1393" i="3"/>
  <c r="D1393" i="3"/>
  <c r="C1393" i="3"/>
  <c r="B1393" i="3"/>
  <c r="A1393" i="3"/>
  <c r="I1392" i="3"/>
  <c r="H1392" i="3"/>
  <c r="G1392" i="3"/>
  <c r="F1392" i="3"/>
  <c r="E1392" i="3"/>
  <c r="D1392" i="3"/>
  <c r="C1392" i="3"/>
  <c r="B1392" i="3"/>
  <c r="A1392" i="3"/>
  <c r="I1391" i="3"/>
  <c r="H1391" i="3"/>
  <c r="G1391" i="3"/>
  <c r="F1391" i="3"/>
  <c r="E1391" i="3"/>
  <c r="D1391" i="3"/>
  <c r="C1391" i="3"/>
  <c r="B1391" i="3"/>
  <c r="A1391" i="3"/>
  <c r="I1390" i="3"/>
  <c r="H1390" i="3"/>
  <c r="G1390" i="3"/>
  <c r="F1390" i="3"/>
  <c r="E1390" i="3"/>
  <c r="D1390" i="3"/>
  <c r="C1390" i="3"/>
  <c r="B1390" i="3"/>
  <c r="A1390" i="3"/>
  <c r="I1389" i="3"/>
  <c r="H1389" i="3"/>
  <c r="G1389" i="3"/>
  <c r="F1389" i="3"/>
  <c r="E1389" i="3"/>
  <c r="D1389" i="3"/>
  <c r="C1389" i="3"/>
  <c r="B1389" i="3"/>
  <c r="A1389" i="3"/>
  <c r="I1388" i="3"/>
  <c r="H1388" i="3"/>
  <c r="G1388" i="3"/>
  <c r="F1388" i="3"/>
  <c r="E1388" i="3"/>
  <c r="D1388" i="3"/>
  <c r="C1388" i="3"/>
  <c r="B1388" i="3"/>
  <c r="A1388" i="3"/>
  <c r="I1387" i="3"/>
  <c r="H1387" i="3"/>
  <c r="G1387" i="3"/>
  <c r="F1387" i="3"/>
  <c r="E1387" i="3"/>
  <c r="D1387" i="3"/>
  <c r="C1387" i="3"/>
  <c r="B1387" i="3"/>
  <c r="A1387" i="3"/>
  <c r="I1386" i="3"/>
  <c r="H1386" i="3"/>
  <c r="G1386" i="3"/>
  <c r="F1386" i="3"/>
  <c r="E1386" i="3"/>
  <c r="D1386" i="3"/>
  <c r="C1386" i="3"/>
  <c r="B1386" i="3"/>
  <c r="A1386" i="3"/>
  <c r="I1385" i="3"/>
  <c r="H1385" i="3"/>
  <c r="G1385" i="3"/>
  <c r="F1385" i="3"/>
  <c r="E1385" i="3"/>
  <c r="D1385" i="3"/>
  <c r="C1385" i="3"/>
  <c r="B1385" i="3"/>
  <c r="A1385" i="3"/>
  <c r="I1384" i="3"/>
  <c r="H1384" i="3"/>
  <c r="G1384" i="3"/>
  <c r="F1384" i="3"/>
  <c r="E1384" i="3"/>
  <c r="D1384" i="3"/>
  <c r="C1384" i="3"/>
  <c r="B1384" i="3"/>
  <c r="A1384" i="3"/>
  <c r="I1383" i="3"/>
  <c r="H1383" i="3"/>
  <c r="G1383" i="3"/>
  <c r="F1383" i="3"/>
  <c r="E1383" i="3"/>
  <c r="D1383" i="3"/>
  <c r="C1383" i="3"/>
  <c r="B1383" i="3"/>
  <c r="A1383" i="3"/>
  <c r="I1382" i="3"/>
  <c r="H1382" i="3"/>
  <c r="G1382" i="3"/>
  <c r="F1382" i="3"/>
  <c r="E1382" i="3"/>
  <c r="D1382" i="3"/>
  <c r="C1382" i="3"/>
  <c r="B1382" i="3"/>
  <c r="A1382" i="3"/>
  <c r="I1381" i="3"/>
  <c r="H1381" i="3"/>
  <c r="G1381" i="3"/>
  <c r="F1381" i="3"/>
  <c r="E1381" i="3"/>
  <c r="D1381" i="3"/>
  <c r="C1381" i="3"/>
  <c r="B1381" i="3"/>
  <c r="A1381" i="3"/>
  <c r="I1380" i="3"/>
  <c r="H1380" i="3"/>
  <c r="G1380" i="3"/>
  <c r="F1380" i="3"/>
  <c r="E1380" i="3"/>
  <c r="D1380" i="3"/>
  <c r="C1380" i="3"/>
  <c r="B1380" i="3"/>
  <c r="A1380" i="3"/>
  <c r="I1379" i="3"/>
  <c r="H1379" i="3"/>
  <c r="G1379" i="3"/>
  <c r="F1379" i="3"/>
  <c r="E1379" i="3"/>
  <c r="D1379" i="3"/>
  <c r="C1379" i="3"/>
  <c r="B1379" i="3"/>
  <c r="A1379" i="3"/>
  <c r="I1378" i="3"/>
  <c r="H1378" i="3"/>
  <c r="G1378" i="3"/>
  <c r="F1378" i="3"/>
  <c r="E1378" i="3"/>
  <c r="D1378" i="3"/>
  <c r="C1378" i="3"/>
  <c r="B1378" i="3"/>
  <c r="A1378" i="3"/>
  <c r="I1377" i="3"/>
  <c r="H1377" i="3"/>
  <c r="G1377" i="3"/>
  <c r="F1377" i="3"/>
  <c r="E1377" i="3"/>
  <c r="D1377" i="3"/>
  <c r="C1377" i="3"/>
  <c r="B1377" i="3"/>
  <c r="A1377" i="3"/>
  <c r="I1376" i="3"/>
  <c r="H1376" i="3"/>
  <c r="G1376" i="3"/>
  <c r="F1376" i="3"/>
  <c r="E1376" i="3"/>
  <c r="D1376" i="3"/>
  <c r="C1376" i="3"/>
  <c r="B1376" i="3"/>
  <c r="A1376" i="3"/>
  <c r="I1375" i="3"/>
  <c r="H1375" i="3"/>
  <c r="G1375" i="3"/>
  <c r="F1375" i="3"/>
  <c r="E1375" i="3"/>
  <c r="D1375" i="3"/>
  <c r="C1375" i="3"/>
  <c r="B1375" i="3"/>
  <c r="A1375" i="3"/>
  <c r="I1374" i="3"/>
  <c r="H1374" i="3"/>
  <c r="G1374" i="3"/>
  <c r="F1374" i="3"/>
  <c r="E1374" i="3"/>
  <c r="D1374" i="3"/>
  <c r="C1374" i="3"/>
  <c r="B1374" i="3"/>
  <c r="A1374" i="3"/>
  <c r="I1373" i="3"/>
  <c r="H1373" i="3"/>
  <c r="G1373" i="3"/>
  <c r="F1373" i="3"/>
  <c r="E1373" i="3"/>
  <c r="D1373" i="3"/>
  <c r="C1373" i="3"/>
  <c r="B1373" i="3"/>
  <c r="A1373" i="3"/>
  <c r="I1372" i="3"/>
  <c r="H1372" i="3"/>
  <c r="G1372" i="3"/>
  <c r="F1372" i="3"/>
  <c r="E1372" i="3"/>
  <c r="D1372" i="3"/>
  <c r="C1372" i="3"/>
  <c r="B1372" i="3"/>
  <c r="A1372" i="3"/>
  <c r="I1371" i="3"/>
  <c r="H1371" i="3"/>
  <c r="G1371" i="3"/>
  <c r="F1371" i="3"/>
  <c r="E1371" i="3"/>
  <c r="D1371" i="3"/>
  <c r="C1371" i="3"/>
  <c r="B1371" i="3"/>
  <c r="A1371" i="3"/>
  <c r="I1370" i="3"/>
  <c r="H1370" i="3"/>
  <c r="G1370" i="3"/>
  <c r="F1370" i="3"/>
  <c r="E1370" i="3"/>
  <c r="D1370" i="3"/>
  <c r="C1370" i="3"/>
  <c r="B1370" i="3"/>
  <c r="A1370" i="3"/>
  <c r="I1369" i="3"/>
  <c r="H1369" i="3"/>
  <c r="G1369" i="3"/>
  <c r="F1369" i="3"/>
  <c r="E1369" i="3"/>
  <c r="D1369" i="3"/>
  <c r="C1369" i="3"/>
  <c r="B1369" i="3"/>
  <c r="A1369" i="3"/>
  <c r="I1368" i="3"/>
  <c r="H1368" i="3"/>
  <c r="G1368" i="3"/>
  <c r="F1368" i="3"/>
  <c r="E1368" i="3"/>
  <c r="D1368" i="3"/>
  <c r="C1368" i="3"/>
  <c r="B1368" i="3"/>
  <c r="A1368" i="3"/>
  <c r="I1367" i="3"/>
  <c r="H1367" i="3"/>
  <c r="G1367" i="3"/>
  <c r="F1367" i="3"/>
  <c r="E1367" i="3"/>
  <c r="D1367" i="3"/>
  <c r="C1367" i="3"/>
  <c r="B1367" i="3"/>
  <c r="A1367" i="3"/>
  <c r="I1366" i="3"/>
  <c r="H1366" i="3"/>
  <c r="G1366" i="3"/>
  <c r="F1366" i="3"/>
  <c r="E1366" i="3"/>
  <c r="D1366" i="3"/>
  <c r="C1366" i="3"/>
  <c r="B1366" i="3"/>
  <c r="A1366" i="3"/>
  <c r="I1365" i="3"/>
  <c r="H1365" i="3"/>
  <c r="G1365" i="3"/>
  <c r="F1365" i="3"/>
  <c r="E1365" i="3"/>
  <c r="D1365" i="3"/>
  <c r="C1365" i="3"/>
  <c r="B1365" i="3"/>
  <c r="A1365" i="3"/>
  <c r="I1364" i="3"/>
  <c r="H1364" i="3"/>
  <c r="G1364" i="3"/>
  <c r="F1364" i="3"/>
  <c r="E1364" i="3"/>
  <c r="D1364" i="3"/>
  <c r="C1364" i="3"/>
  <c r="B1364" i="3"/>
  <c r="A1364" i="3"/>
  <c r="I1363" i="3"/>
  <c r="H1363" i="3"/>
  <c r="G1363" i="3"/>
  <c r="F1363" i="3"/>
  <c r="E1363" i="3"/>
  <c r="D1363" i="3"/>
  <c r="C1363" i="3"/>
  <c r="B1363" i="3"/>
  <c r="A1363" i="3"/>
  <c r="I1362" i="3"/>
  <c r="H1362" i="3"/>
  <c r="G1362" i="3"/>
  <c r="F1362" i="3"/>
  <c r="E1362" i="3"/>
  <c r="D1362" i="3"/>
  <c r="C1362" i="3"/>
  <c r="B1362" i="3"/>
  <c r="A1362" i="3"/>
  <c r="I1361" i="3"/>
  <c r="H1361" i="3"/>
  <c r="G1361" i="3"/>
  <c r="F1361" i="3"/>
  <c r="E1361" i="3"/>
  <c r="D1361" i="3"/>
  <c r="C1361" i="3"/>
  <c r="B1361" i="3"/>
  <c r="A1361" i="3"/>
  <c r="I1360" i="3"/>
  <c r="H1360" i="3"/>
  <c r="G1360" i="3"/>
  <c r="F1360" i="3"/>
  <c r="E1360" i="3"/>
  <c r="D1360" i="3"/>
  <c r="C1360" i="3"/>
  <c r="B1360" i="3"/>
  <c r="A1360" i="3"/>
  <c r="I1359" i="3"/>
  <c r="H1359" i="3"/>
  <c r="G1359" i="3"/>
  <c r="F1359" i="3"/>
  <c r="E1359" i="3"/>
  <c r="D1359" i="3"/>
  <c r="C1359" i="3"/>
  <c r="B1359" i="3"/>
  <c r="A1359" i="3"/>
  <c r="I1358" i="3"/>
  <c r="H1358" i="3"/>
  <c r="G1358" i="3"/>
  <c r="F1358" i="3"/>
  <c r="E1358" i="3"/>
  <c r="D1358" i="3"/>
  <c r="C1358" i="3"/>
  <c r="B1358" i="3"/>
  <c r="A1358" i="3"/>
  <c r="I1357" i="3"/>
  <c r="H1357" i="3"/>
  <c r="G1357" i="3"/>
  <c r="F1357" i="3"/>
  <c r="E1357" i="3"/>
  <c r="D1357" i="3"/>
  <c r="C1357" i="3"/>
  <c r="B1357" i="3"/>
  <c r="A1357" i="3"/>
  <c r="I1356" i="3"/>
  <c r="H1356" i="3"/>
  <c r="G1356" i="3"/>
  <c r="F1356" i="3"/>
  <c r="E1356" i="3"/>
  <c r="D1356" i="3"/>
  <c r="C1356" i="3"/>
  <c r="B1356" i="3"/>
  <c r="A1356" i="3"/>
  <c r="I1355" i="3"/>
  <c r="H1355" i="3"/>
  <c r="G1355" i="3"/>
  <c r="F1355" i="3"/>
  <c r="E1355" i="3"/>
  <c r="D1355" i="3"/>
  <c r="C1355" i="3"/>
  <c r="B1355" i="3"/>
  <c r="A1355" i="3"/>
  <c r="I1354" i="3"/>
  <c r="H1354" i="3"/>
  <c r="G1354" i="3"/>
  <c r="F1354" i="3"/>
  <c r="E1354" i="3"/>
  <c r="D1354" i="3"/>
  <c r="C1354" i="3"/>
  <c r="B1354" i="3"/>
  <c r="A1354" i="3"/>
  <c r="I1353" i="3"/>
  <c r="H1353" i="3"/>
  <c r="G1353" i="3"/>
  <c r="F1353" i="3"/>
  <c r="E1353" i="3"/>
  <c r="D1353" i="3"/>
  <c r="C1353" i="3"/>
  <c r="B1353" i="3"/>
  <c r="A1353" i="3"/>
  <c r="I1352" i="3"/>
  <c r="H1352" i="3"/>
  <c r="G1352" i="3"/>
  <c r="F1352" i="3"/>
  <c r="E1352" i="3"/>
  <c r="D1352" i="3"/>
  <c r="C1352" i="3"/>
  <c r="B1352" i="3"/>
  <c r="A1352" i="3"/>
  <c r="I1351" i="3"/>
  <c r="H1351" i="3"/>
  <c r="G1351" i="3"/>
  <c r="F1351" i="3"/>
  <c r="E1351" i="3"/>
  <c r="D1351" i="3"/>
  <c r="C1351" i="3"/>
  <c r="B1351" i="3"/>
  <c r="A1351" i="3"/>
  <c r="I1350" i="3"/>
  <c r="H1350" i="3"/>
  <c r="G1350" i="3"/>
  <c r="F1350" i="3"/>
  <c r="E1350" i="3"/>
  <c r="D1350" i="3"/>
  <c r="C1350" i="3"/>
  <c r="B1350" i="3"/>
  <c r="A1350" i="3"/>
  <c r="I1349" i="3"/>
  <c r="H1349" i="3"/>
  <c r="G1349" i="3"/>
  <c r="F1349" i="3"/>
  <c r="E1349" i="3"/>
  <c r="D1349" i="3"/>
  <c r="C1349" i="3"/>
  <c r="B1349" i="3"/>
  <c r="A1349" i="3"/>
  <c r="I1348" i="3"/>
  <c r="H1348" i="3"/>
  <c r="G1348" i="3"/>
  <c r="F1348" i="3"/>
  <c r="E1348" i="3"/>
  <c r="D1348" i="3"/>
  <c r="C1348" i="3"/>
  <c r="B1348" i="3"/>
  <c r="A1348" i="3"/>
  <c r="I1347" i="3"/>
  <c r="H1347" i="3"/>
  <c r="G1347" i="3"/>
  <c r="F1347" i="3"/>
  <c r="E1347" i="3"/>
  <c r="D1347" i="3"/>
  <c r="C1347" i="3"/>
  <c r="B1347" i="3"/>
  <c r="A1347" i="3"/>
  <c r="I1346" i="3"/>
  <c r="H1346" i="3"/>
  <c r="G1346" i="3"/>
  <c r="F1346" i="3"/>
  <c r="E1346" i="3"/>
  <c r="D1346" i="3"/>
  <c r="C1346" i="3"/>
  <c r="B1346" i="3"/>
  <c r="A1346" i="3"/>
  <c r="I1345" i="3"/>
  <c r="H1345" i="3"/>
  <c r="G1345" i="3"/>
  <c r="F1345" i="3"/>
  <c r="E1345" i="3"/>
  <c r="D1345" i="3"/>
  <c r="C1345" i="3"/>
  <c r="B1345" i="3"/>
  <c r="A1345" i="3"/>
  <c r="I1344" i="3"/>
  <c r="H1344" i="3"/>
  <c r="G1344" i="3"/>
  <c r="F1344" i="3"/>
  <c r="E1344" i="3"/>
  <c r="D1344" i="3"/>
  <c r="C1344" i="3"/>
  <c r="B1344" i="3"/>
  <c r="A1344" i="3"/>
  <c r="I1343" i="3"/>
  <c r="H1343" i="3"/>
  <c r="G1343" i="3"/>
  <c r="F1343" i="3"/>
  <c r="E1343" i="3"/>
  <c r="D1343" i="3"/>
  <c r="C1343" i="3"/>
  <c r="B1343" i="3"/>
  <c r="A1343" i="3"/>
  <c r="I1342" i="3"/>
  <c r="H1342" i="3"/>
  <c r="G1342" i="3"/>
  <c r="F1342" i="3"/>
  <c r="E1342" i="3"/>
  <c r="D1342" i="3"/>
  <c r="C1342" i="3"/>
  <c r="B1342" i="3"/>
  <c r="A1342" i="3"/>
  <c r="I1341" i="3"/>
  <c r="H1341" i="3"/>
  <c r="G1341" i="3"/>
  <c r="F1341" i="3"/>
  <c r="E1341" i="3"/>
  <c r="D1341" i="3"/>
  <c r="C1341" i="3"/>
  <c r="B1341" i="3"/>
  <c r="A1341" i="3"/>
  <c r="I1340" i="3"/>
  <c r="H1340" i="3"/>
  <c r="G1340" i="3"/>
  <c r="F1340" i="3"/>
  <c r="E1340" i="3"/>
  <c r="D1340" i="3"/>
  <c r="C1340" i="3"/>
  <c r="B1340" i="3"/>
  <c r="A1340" i="3"/>
  <c r="I1339" i="3"/>
  <c r="H1339" i="3"/>
  <c r="G1339" i="3"/>
  <c r="F1339" i="3"/>
  <c r="E1339" i="3"/>
  <c r="D1339" i="3"/>
  <c r="C1339" i="3"/>
  <c r="B1339" i="3"/>
  <c r="A1339" i="3"/>
  <c r="I1338" i="3"/>
  <c r="H1338" i="3"/>
  <c r="G1338" i="3"/>
  <c r="F1338" i="3"/>
  <c r="E1338" i="3"/>
  <c r="D1338" i="3"/>
  <c r="C1338" i="3"/>
  <c r="B1338" i="3"/>
  <c r="A1338" i="3"/>
  <c r="I1337" i="3"/>
  <c r="H1337" i="3"/>
  <c r="G1337" i="3"/>
  <c r="F1337" i="3"/>
  <c r="E1337" i="3"/>
  <c r="D1337" i="3"/>
  <c r="C1337" i="3"/>
  <c r="B1337" i="3"/>
  <c r="A1337" i="3"/>
  <c r="I1336" i="3"/>
  <c r="H1336" i="3"/>
  <c r="G1336" i="3"/>
  <c r="F1336" i="3"/>
  <c r="E1336" i="3"/>
  <c r="D1336" i="3"/>
  <c r="C1336" i="3"/>
  <c r="B1336" i="3"/>
  <c r="A1336" i="3"/>
  <c r="I1335" i="3"/>
  <c r="H1335" i="3"/>
  <c r="G1335" i="3"/>
  <c r="F1335" i="3"/>
  <c r="E1335" i="3"/>
  <c r="D1335" i="3"/>
  <c r="C1335" i="3"/>
  <c r="B1335" i="3"/>
  <c r="A1335" i="3"/>
  <c r="I1334" i="3"/>
  <c r="H1334" i="3"/>
  <c r="G1334" i="3"/>
  <c r="F1334" i="3"/>
  <c r="E1334" i="3"/>
  <c r="D1334" i="3"/>
  <c r="C1334" i="3"/>
  <c r="B1334" i="3"/>
  <c r="A1334" i="3"/>
  <c r="I1333" i="3"/>
  <c r="H1333" i="3"/>
  <c r="G1333" i="3"/>
  <c r="F1333" i="3"/>
  <c r="E1333" i="3"/>
  <c r="D1333" i="3"/>
  <c r="C1333" i="3"/>
  <c r="B1333" i="3"/>
  <c r="A1333" i="3"/>
  <c r="I1332" i="3"/>
  <c r="H1332" i="3"/>
  <c r="G1332" i="3"/>
  <c r="F1332" i="3"/>
  <c r="E1332" i="3"/>
  <c r="D1332" i="3"/>
  <c r="C1332" i="3"/>
  <c r="B1332" i="3"/>
  <c r="A1332" i="3"/>
  <c r="I1331" i="3"/>
  <c r="H1331" i="3"/>
  <c r="G1331" i="3"/>
  <c r="F1331" i="3"/>
  <c r="E1331" i="3"/>
  <c r="D1331" i="3"/>
  <c r="C1331" i="3"/>
  <c r="B1331" i="3"/>
  <c r="A1331" i="3"/>
  <c r="I1330" i="3"/>
  <c r="H1330" i="3"/>
  <c r="G1330" i="3"/>
  <c r="F1330" i="3"/>
  <c r="E1330" i="3"/>
  <c r="D1330" i="3"/>
  <c r="C1330" i="3"/>
  <c r="B1330" i="3"/>
  <c r="A1330" i="3"/>
  <c r="I1329" i="3"/>
  <c r="H1329" i="3"/>
  <c r="G1329" i="3"/>
  <c r="F1329" i="3"/>
  <c r="E1329" i="3"/>
  <c r="D1329" i="3"/>
  <c r="C1329" i="3"/>
  <c r="B1329" i="3"/>
  <c r="A1329" i="3"/>
  <c r="I1328" i="3"/>
  <c r="H1328" i="3"/>
  <c r="G1328" i="3"/>
  <c r="F1328" i="3"/>
  <c r="E1328" i="3"/>
  <c r="D1328" i="3"/>
  <c r="C1328" i="3"/>
  <c r="B1328" i="3"/>
  <c r="A1328" i="3"/>
  <c r="I1327" i="3"/>
  <c r="H1327" i="3"/>
  <c r="G1327" i="3"/>
  <c r="F1327" i="3"/>
  <c r="E1327" i="3"/>
  <c r="D1327" i="3"/>
  <c r="C1327" i="3"/>
  <c r="B1327" i="3"/>
  <c r="A1327" i="3"/>
  <c r="I1326" i="3"/>
  <c r="H1326" i="3"/>
  <c r="G1326" i="3"/>
  <c r="F1326" i="3"/>
  <c r="E1326" i="3"/>
  <c r="D1326" i="3"/>
  <c r="C1326" i="3"/>
  <c r="B1326" i="3"/>
  <c r="A1326" i="3"/>
  <c r="I1325" i="3"/>
  <c r="H1325" i="3"/>
  <c r="G1325" i="3"/>
  <c r="F1325" i="3"/>
  <c r="E1325" i="3"/>
  <c r="D1325" i="3"/>
  <c r="C1325" i="3"/>
  <c r="B1325" i="3"/>
  <c r="A1325" i="3"/>
  <c r="I1324" i="3"/>
  <c r="H1324" i="3"/>
  <c r="G1324" i="3"/>
  <c r="F1324" i="3"/>
  <c r="E1324" i="3"/>
  <c r="D1324" i="3"/>
  <c r="C1324" i="3"/>
  <c r="B1324" i="3"/>
  <c r="A1324" i="3"/>
  <c r="I1323" i="3"/>
  <c r="H1323" i="3"/>
  <c r="G1323" i="3"/>
  <c r="F1323" i="3"/>
  <c r="E1323" i="3"/>
  <c r="D1323" i="3"/>
  <c r="C1323" i="3"/>
  <c r="B1323" i="3"/>
  <c r="A1323" i="3"/>
  <c r="I1322" i="3"/>
  <c r="H1322" i="3"/>
  <c r="G1322" i="3"/>
  <c r="F1322" i="3"/>
  <c r="E1322" i="3"/>
  <c r="D1322" i="3"/>
  <c r="C1322" i="3"/>
  <c r="B1322" i="3"/>
  <c r="A1322" i="3"/>
  <c r="I1321" i="3"/>
  <c r="H1321" i="3"/>
  <c r="G1321" i="3"/>
  <c r="F1321" i="3"/>
  <c r="E1321" i="3"/>
  <c r="D1321" i="3"/>
  <c r="C1321" i="3"/>
  <c r="B1321" i="3"/>
  <c r="A1321" i="3"/>
  <c r="I1320" i="3"/>
  <c r="H1320" i="3"/>
  <c r="G1320" i="3"/>
  <c r="F1320" i="3"/>
  <c r="E1320" i="3"/>
  <c r="D1320" i="3"/>
  <c r="C1320" i="3"/>
  <c r="B1320" i="3"/>
  <c r="A1320" i="3"/>
  <c r="I1319" i="3"/>
  <c r="H1319" i="3"/>
  <c r="G1319" i="3"/>
  <c r="F1319" i="3"/>
  <c r="E1319" i="3"/>
  <c r="D1319" i="3"/>
  <c r="C1319" i="3"/>
  <c r="B1319" i="3"/>
  <c r="A1319" i="3"/>
  <c r="I1318" i="3"/>
  <c r="H1318" i="3"/>
  <c r="G1318" i="3"/>
  <c r="F1318" i="3"/>
  <c r="E1318" i="3"/>
  <c r="D1318" i="3"/>
  <c r="C1318" i="3"/>
  <c r="B1318" i="3"/>
  <c r="A1318" i="3"/>
  <c r="I1317" i="3"/>
  <c r="H1317" i="3"/>
  <c r="G1317" i="3"/>
  <c r="F1317" i="3"/>
  <c r="E1317" i="3"/>
  <c r="D1317" i="3"/>
  <c r="C1317" i="3"/>
  <c r="B1317" i="3"/>
  <c r="A1317" i="3"/>
  <c r="I1316" i="3"/>
  <c r="H1316" i="3"/>
  <c r="G1316" i="3"/>
  <c r="F1316" i="3"/>
  <c r="E1316" i="3"/>
  <c r="D1316" i="3"/>
  <c r="C1316" i="3"/>
  <c r="B1316" i="3"/>
  <c r="A1316" i="3"/>
  <c r="I1315" i="3"/>
  <c r="H1315" i="3"/>
  <c r="G1315" i="3"/>
  <c r="F1315" i="3"/>
  <c r="E1315" i="3"/>
  <c r="D1315" i="3"/>
  <c r="C1315" i="3"/>
  <c r="B1315" i="3"/>
  <c r="A1315" i="3"/>
  <c r="I1314" i="3"/>
  <c r="H1314" i="3"/>
  <c r="G1314" i="3"/>
  <c r="F1314" i="3"/>
  <c r="E1314" i="3"/>
  <c r="D1314" i="3"/>
  <c r="C1314" i="3"/>
  <c r="B1314" i="3"/>
  <c r="A1314" i="3"/>
  <c r="I1313" i="3"/>
  <c r="H1313" i="3"/>
  <c r="G1313" i="3"/>
  <c r="F1313" i="3"/>
  <c r="E1313" i="3"/>
  <c r="D1313" i="3"/>
  <c r="C1313" i="3"/>
  <c r="B1313" i="3"/>
  <c r="A1313" i="3"/>
  <c r="I1312" i="3"/>
  <c r="H1312" i="3"/>
  <c r="G1312" i="3"/>
  <c r="F1312" i="3"/>
  <c r="E1312" i="3"/>
  <c r="D1312" i="3"/>
  <c r="C1312" i="3"/>
  <c r="B1312" i="3"/>
  <c r="A1312" i="3"/>
  <c r="I1311" i="3"/>
  <c r="H1311" i="3"/>
  <c r="G1311" i="3"/>
  <c r="F1311" i="3"/>
  <c r="E1311" i="3"/>
  <c r="D1311" i="3"/>
  <c r="C1311" i="3"/>
  <c r="B1311" i="3"/>
  <c r="A1311" i="3"/>
  <c r="I1310" i="3"/>
  <c r="H1310" i="3"/>
  <c r="G1310" i="3"/>
  <c r="F1310" i="3"/>
  <c r="E1310" i="3"/>
  <c r="D1310" i="3"/>
  <c r="C1310" i="3"/>
  <c r="B1310" i="3"/>
  <c r="A1310" i="3"/>
  <c r="I1309" i="3"/>
  <c r="H1309" i="3"/>
  <c r="G1309" i="3"/>
  <c r="F1309" i="3"/>
  <c r="E1309" i="3"/>
  <c r="D1309" i="3"/>
  <c r="C1309" i="3"/>
  <c r="B1309" i="3"/>
  <c r="A1309" i="3"/>
  <c r="I1308" i="3"/>
  <c r="H1308" i="3"/>
  <c r="G1308" i="3"/>
  <c r="F1308" i="3"/>
  <c r="E1308" i="3"/>
  <c r="D1308" i="3"/>
  <c r="C1308" i="3"/>
  <c r="B1308" i="3"/>
  <c r="A1308" i="3"/>
  <c r="I1307" i="3"/>
  <c r="H1307" i="3"/>
  <c r="G1307" i="3"/>
  <c r="F1307" i="3"/>
  <c r="E1307" i="3"/>
  <c r="D1307" i="3"/>
  <c r="C1307" i="3"/>
  <c r="B1307" i="3"/>
  <c r="A1307" i="3"/>
  <c r="I1306" i="3"/>
  <c r="H1306" i="3"/>
  <c r="G1306" i="3"/>
  <c r="F1306" i="3"/>
  <c r="E1306" i="3"/>
  <c r="D1306" i="3"/>
  <c r="C1306" i="3"/>
  <c r="B1306" i="3"/>
  <c r="A1306" i="3"/>
  <c r="I1305" i="3"/>
  <c r="H1305" i="3"/>
  <c r="G1305" i="3"/>
  <c r="F1305" i="3"/>
  <c r="E1305" i="3"/>
  <c r="D1305" i="3"/>
  <c r="C1305" i="3"/>
  <c r="B1305" i="3"/>
  <c r="A1305" i="3"/>
  <c r="I1304" i="3"/>
  <c r="H1304" i="3"/>
  <c r="G1304" i="3"/>
  <c r="F1304" i="3"/>
  <c r="E1304" i="3"/>
  <c r="D1304" i="3"/>
  <c r="C1304" i="3"/>
  <c r="B1304" i="3"/>
  <c r="A1304" i="3"/>
  <c r="I1303" i="3"/>
  <c r="H1303" i="3"/>
  <c r="G1303" i="3"/>
  <c r="F1303" i="3"/>
  <c r="E1303" i="3"/>
  <c r="D1303" i="3"/>
  <c r="C1303" i="3"/>
  <c r="B1303" i="3"/>
  <c r="A1303" i="3"/>
  <c r="I1302" i="3"/>
  <c r="H1302" i="3"/>
  <c r="G1302" i="3"/>
  <c r="F1302" i="3"/>
  <c r="E1302" i="3"/>
  <c r="D1302" i="3"/>
  <c r="C1302" i="3"/>
  <c r="B1302" i="3"/>
  <c r="A1302" i="3"/>
  <c r="I1301" i="3"/>
  <c r="H1301" i="3"/>
  <c r="G1301" i="3"/>
  <c r="F1301" i="3"/>
  <c r="E1301" i="3"/>
  <c r="D1301" i="3"/>
  <c r="C1301" i="3"/>
  <c r="B1301" i="3"/>
  <c r="A1301" i="3"/>
  <c r="I1300" i="3"/>
  <c r="H1300" i="3"/>
  <c r="G1300" i="3"/>
  <c r="F1300" i="3"/>
  <c r="E1300" i="3"/>
  <c r="D1300" i="3"/>
  <c r="C1300" i="3"/>
  <c r="B1300" i="3"/>
  <c r="A1300" i="3"/>
  <c r="I1299" i="3"/>
  <c r="H1299" i="3"/>
  <c r="G1299" i="3"/>
  <c r="F1299" i="3"/>
  <c r="E1299" i="3"/>
  <c r="D1299" i="3"/>
  <c r="C1299" i="3"/>
  <c r="B1299" i="3"/>
  <c r="A1299" i="3"/>
  <c r="I1298" i="3"/>
  <c r="H1298" i="3"/>
  <c r="G1298" i="3"/>
  <c r="F1298" i="3"/>
  <c r="E1298" i="3"/>
  <c r="D1298" i="3"/>
  <c r="C1298" i="3"/>
  <c r="B1298" i="3"/>
  <c r="A1298" i="3"/>
  <c r="I1297" i="3"/>
  <c r="H1297" i="3"/>
  <c r="G1297" i="3"/>
  <c r="F1297" i="3"/>
  <c r="E1297" i="3"/>
  <c r="D1297" i="3"/>
  <c r="C1297" i="3"/>
  <c r="B1297" i="3"/>
  <c r="A1297" i="3"/>
  <c r="I1296" i="3"/>
  <c r="H1296" i="3"/>
  <c r="G1296" i="3"/>
  <c r="F1296" i="3"/>
  <c r="E1296" i="3"/>
  <c r="D1296" i="3"/>
  <c r="C1296" i="3"/>
  <c r="B1296" i="3"/>
  <c r="A1296" i="3"/>
  <c r="I1295" i="3"/>
  <c r="H1295" i="3"/>
  <c r="G1295" i="3"/>
  <c r="F1295" i="3"/>
  <c r="E1295" i="3"/>
  <c r="D1295" i="3"/>
  <c r="C1295" i="3"/>
  <c r="B1295" i="3"/>
  <c r="A1295" i="3"/>
  <c r="I1294" i="3"/>
  <c r="H1294" i="3"/>
  <c r="G1294" i="3"/>
  <c r="F1294" i="3"/>
  <c r="E1294" i="3"/>
  <c r="D1294" i="3"/>
  <c r="C1294" i="3"/>
  <c r="B1294" i="3"/>
  <c r="A1294" i="3"/>
  <c r="I1293" i="3"/>
  <c r="H1293" i="3"/>
  <c r="G1293" i="3"/>
  <c r="F1293" i="3"/>
  <c r="E1293" i="3"/>
  <c r="D1293" i="3"/>
  <c r="C1293" i="3"/>
  <c r="B1293" i="3"/>
  <c r="A1293" i="3"/>
  <c r="I1292" i="3"/>
  <c r="H1292" i="3"/>
  <c r="G1292" i="3"/>
  <c r="F1292" i="3"/>
  <c r="E1292" i="3"/>
  <c r="D1292" i="3"/>
  <c r="C1292" i="3"/>
  <c r="B1292" i="3"/>
  <c r="A1292" i="3"/>
  <c r="I1291" i="3"/>
  <c r="H1291" i="3"/>
  <c r="G1291" i="3"/>
  <c r="F1291" i="3"/>
  <c r="E1291" i="3"/>
  <c r="D1291" i="3"/>
  <c r="C1291" i="3"/>
  <c r="B1291" i="3"/>
  <c r="A1291" i="3"/>
  <c r="I1290" i="3"/>
  <c r="H1290" i="3"/>
  <c r="G1290" i="3"/>
  <c r="F1290" i="3"/>
  <c r="E1290" i="3"/>
  <c r="D1290" i="3"/>
  <c r="C1290" i="3"/>
  <c r="B1290" i="3"/>
  <c r="A1290" i="3"/>
  <c r="I1289" i="3"/>
  <c r="H1289" i="3"/>
  <c r="G1289" i="3"/>
  <c r="F1289" i="3"/>
  <c r="E1289" i="3"/>
  <c r="D1289" i="3"/>
  <c r="C1289" i="3"/>
  <c r="B1289" i="3"/>
  <c r="A1289" i="3"/>
  <c r="I1288" i="3"/>
  <c r="H1288" i="3"/>
  <c r="G1288" i="3"/>
  <c r="F1288" i="3"/>
  <c r="E1288" i="3"/>
  <c r="D1288" i="3"/>
  <c r="C1288" i="3"/>
  <c r="B1288" i="3"/>
  <c r="A1288" i="3"/>
  <c r="I1287" i="3"/>
  <c r="H1287" i="3"/>
  <c r="G1287" i="3"/>
  <c r="F1287" i="3"/>
  <c r="E1287" i="3"/>
  <c r="D1287" i="3"/>
  <c r="C1287" i="3"/>
  <c r="B1287" i="3"/>
  <c r="A1287" i="3"/>
  <c r="I1286" i="3"/>
  <c r="H1286" i="3"/>
  <c r="G1286" i="3"/>
  <c r="F1286" i="3"/>
  <c r="E1286" i="3"/>
  <c r="D1286" i="3"/>
  <c r="C1286" i="3"/>
  <c r="B1286" i="3"/>
  <c r="A1286" i="3"/>
  <c r="I1285" i="3"/>
  <c r="H1285" i="3"/>
  <c r="G1285" i="3"/>
  <c r="F1285" i="3"/>
  <c r="E1285" i="3"/>
  <c r="D1285" i="3"/>
  <c r="C1285" i="3"/>
  <c r="B1285" i="3"/>
  <c r="A1285" i="3"/>
  <c r="I1284" i="3"/>
  <c r="H1284" i="3"/>
  <c r="G1284" i="3"/>
  <c r="F1284" i="3"/>
  <c r="E1284" i="3"/>
  <c r="D1284" i="3"/>
  <c r="C1284" i="3"/>
  <c r="B1284" i="3"/>
  <c r="A1284" i="3"/>
  <c r="I1283" i="3"/>
  <c r="H1283" i="3"/>
  <c r="G1283" i="3"/>
  <c r="F1283" i="3"/>
  <c r="E1283" i="3"/>
  <c r="D1283" i="3"/>
  <c r="C1283" i="3"/>
  <c r="B1283" i="3"/>
  <c r="A1283" i="3"/>
  <c r="I1282" i="3"/>
  <c r="H1282" i="3"/>
  <c r="G1282" i="3"/>
  <c r="F1282" i="3"/>
  <c r="E1282" i="3"/>
  <c r="D1282" i="3"/>
  <c r="C1282" i="3"/>
  <c r="B1282" i="3"/>
  <c r="A1282" i="3"/>
  <c r="I1281" i="3"/>
  <c r="H1281" i="3"/>
  <c r="G1281" i="3"/>
  <c r="F1281" i="3"/>
  <c r="E1281" i="3"/>
  <c r="D1281" i="3"/>
  <c r="C1281" i="3"/>
  <c r="B1281" i="3"/>
  <c r="A1281" i="3"/>
  <c r="I1280" i="3"/>
  <c r="H1280" i="3"/>
  <c r="G1280" i="3"/>
  <c r="F1280" i="3"/>
  <c r="E1280" i="3"/>
  <c r="D1280" i="3"/>
  <c r="C1280" i="3"/>
  <c r="B1280" i="3"/>
  <c r="A1280" i="3"/>
  <c r="I1279" i="3"/>
  <c r="H1279" i="3"/>
  <c r="G1279" i="3"/>
  <c r="F1279" i="3"/>
  <c r="E1279" i="3"/>
  <c r="D1279" i="3"/>
  <c r="C1279" i="3"/>
  <c r="B1279" i="3"/>
  <c r="A1279" i="3"/>
  <c r="I1278" i="3"/>
  <c r="H1278" i="3"/>
  <c r="G1278" i="3"/>
  <c r="F1278" i="3"/>
  <c r="E1278" i="3"/>
  <c r="D1278" i="3"/>
  <c r="C1278" i="3"/>
  <c r="B1278" i="3"/>
  <c r="A1278" i="3"/>
  <c r="I1277" i="3"/>
  <c r="H1277" i="3"/>
  <c r="G1277" i="3"/>
  <c r="F1277" i="3"/>
  <c r="E1277" i="3"/>
  <c r="D1277" i="3"/>
  <c r="C1277" i="3"/>
  <c r="B1277" i="3"/>
  <c r="A1277" i="3"/>
  <c r="I1276" i="3"/>
  <c r="H1276" i="3"/>
  <c r="G1276" i="3"/>
  <c r="F1276" i="3"/>
  <c r="E1276" i="3"/>
  <c r="D1276" i="3"/>
  <c r="C1276" i="3"/>
  <c r="B1276" i="3"/>
  <c r="A1276" i="3"/>
  <c r="I1275" i="3"/>
  <c r="H1275" i="3"/>
  <c r="G1275" i="3"/>
  <c r="F1275" i="3"/>
  <c r="E1275" i="3"/>
  <c r="D1275" i="3"/>
  <c r="C1275" i="3"/>
  <c r="B1275" i="3"/>
  <c r="A1275" i="3"/>
  <c r="I1274" i="3"/>
  <c r="H1274" i="3"/>
  <c r="G1274" i="3"/>
  <c r="F1274" i="3"/>
  <c r="E1274" i="3"/>
  <c r="D1274" i="3"/>
  <c r="C1274" i="3"/>
  <c r="B1274" i="3"/>
  <c r="A1274" i="3"/>
  <c r="I1273" i="3"/>
  <c r="H1273" i="3"/>
  <c r="G1273" i="3"/>
  <c r="F1273" i="3"/>
  <c r="E1273" i="3"/>
  <c r="D1273" i="3"/>
  <c r="C1273" i="3"/>
  <c r="B1273" i="3"/>
  <c r="A1273" i="3"/>
  <c r="I1272" i="3"/>
  <c r="H1272" i="3"/>
  <c r="G1272" i="3"/>
  <c r="F1272" i="3"/>
  <c r="E1272" i="3"/>
  <c r="D1272" i="3"/>
  <c r="C1272" i="3"/>
  <c r="B1272" i="3"/>
  <c r="A1272" i="3"/>
  <c r="I1271" i="3"/>
  <c r="H1271" i="3"/>
  <c r="G1271" i="3"/>
  <c r="F1271" i="3"/>
  <c r="E1271" i="3"/>
  <c r="D1271" i="3"/>
  <c r="C1271" i="3"/>
  <c r="B1271" i="3"/>
  <c r="A1271" i="3"/>
  <c r="I1270" i="3"/>
  <c r="H1270" i="3"/>
  <c r="G1270" i="3"/>
  <c r="F1270" i="3"/>
  <c r="E1270" i="3"/>
  <c r="D1270" i="3"/>
  <c r="C1270" i="3"/>
  <c r="B1270" i="3"/>
  <c r="A1270" i="3"/>
  <c r="I1269" i="3"/>
  <c r="H1269" i="3"/>
  <c r="G1269" i="3"/>
  <c r="F1269" i="3"/>
  <c r="E1269" i="3"/>
  <c r="D1269" i="3"/>
  <c r="C1269" i="3"/>
  <c r="B1269" i="3"/>
  <c r="A1269" i="3"/>
  <c r="I1268" i="3"/>
  <c r="H1268" i="3"/>
  <c r="G1268" i="3"/>
  <c r="F1268" i="3"/>
  <c r="E1268" i="3"/>
  <c r="D1268" i="3"/>
  <c r="C1268" i="3"/>
  <c r="B1268" i="3"/>
  <c r="A1268" i="3"/>
  <c r="I1267" i="3"/>
  <c r="H1267" i="3"/>
  <c r="G1267" i="3"/>
  <c r="F1267" i="3"/>
  <c r="E1267" i="3"/>
  <c r="D1267" i="3"/>
  <c r="C1267" i="3"/>
  <c r="B1267" i="3"/>
  <c r="A1267" i="3"/>
  <c r="I1266" i="3"/>
  <c r="H1266" i="3"/>
  <c r="G1266" i="3"/>
  <c r="F1266" i="3"/>
  <c r="E1266" i="3"/>
  <c r="D1266" i="3"/>
  <c r="C1266" i="3"/>
  <c r="B1266" i="3"/>
  <c r="A1266" i="3"/>
  <c r="I1265" i="3"/>
  <c r="H1265" i="3"/>
  <c r="G1265" i="3"/>
  <c r="F1265" i="3"/>
  <c r="E1265" i="3"/>
  <c r="D1265" i="3"/>
  <c r="C1265" i="3"/>
  <c r="B1265" i="3"/>
  <c r="A1265" i="3"/>
  <c r="I1264" i="3"/>
  <c r="H1264" i="3"/>
  <c r="G1264" i="3"/>
  <c r="F1264" i="3"/>
  <c r="E1264" i="3"/>
  <c r="D1264" i="3"/>
  <c r="C1264" i="3"/>
  <c r="B1264" i="3"/>
  <c r="A1264" i="3"/>
  <c r="I1263" i="3"/>
  <c r="H1263" i="3"/>
  <c r="G1263" i="3"/>
  <c r="F1263" i="3"/>
  <c r="E1263" i="3"/>
  <c r="D1263" i="3"/>
  <c r="C1263" i="3"/>
  <c r="B1263" i="3"/>
  <c r="A1263" i="3"/>
  <c r="I1262" i="3"/>
  <c r="H1262" i="3"/>
  <c r="G1262" i="3"/>
  <c r="F1262" i="3"/>
  <c r="E1262" i="3"/>
  <c r="D1262" i="3"/>
  <c r="C1262" i="3"/>
  <c r="B1262" i="3"/>
  <c r="A1262" i="3"/>
  <c r="I1261" i="3"/>
  <c r="H1261" i="3"/>
  <c r="G1261" i="3"/>
  <c r="F1261" i="3"/>
  <c r="E1261" i="3"/>
  <c r="D1261" i="3"/>
  <c r="C1261" i="3"/>
  <c r="B1261" i="3"/>
  <c r="A1261" i="3"/>
  <c r="I1260" i="3"/>
  <c r="H1260" i="3"/>
  <c r="G1260" i="3"/>
  <c r="F1260" i="3"/>
  <c r="E1260" i="3"/>
  <c r="D1260" i="3"/>
  <c r="C1260" i="3"/>
  <c r="B1260" i="3"/>
  <c r="A1260" i="3"/>
  <c r="I1259" i="3"/>
  <c r="H1259" i="3"/>
  <c r="G1259" i="3"/>
  <c r="F1259" i="3"/>
  <c r="E1259" i="3"/>
  <c r="D1259" i="3"/>
  <c r="C1259" i="3"/>
  <c r="B1259" i="3"/>
  <c r="A1259" i="3"/>
  <c r="I1258" i="3"/>
  <c r="H1258" i="3"/>
  <c r="G1258" i="3"/>
  <c r="F1258" i="3"/>
  <c r="E1258" i="3"/>
  <c r="D1258" i="3"/>
  <c r="C1258" i="3"/>
  <c r="B1258" i="3"/>
  <c r="A1258" i="3"/>
  <c r="I1257" i="3"/>
  <c r="H1257" i="3"/>
  <c r="G1257" i="3"/>
  <c r="F1257" i="3"/>
  <c r="E1257" i="3"/>
  <c r="D1257" i="3"/>
  <c r="C1257" i="3"/>
  <c r="B1257" i="3"/>
  <c r="A1257" i="3"/>
  <c r="I1256" i="3"/>
  <c r="H1256" i="3"/>
  <c r="G1256" i="3"/>
  <c r="F1256" i="3"/>
  <c r="E1256" i="3"/>
  <c r="D1256" i="3"/>
  <c r="C1256" i="3"/>
  <c r="B1256" i="3"/>
  <c r="A1256" i="3"/>
  <c r="I1255" i="3"/>
  <c r="H1255" i="3"/>
  <c r="G1255" i="3"/>
  <c r="F1255" i="3"/>
  <c r="E1255" i="3"/>
  <c r="D1255" i="3"/>
  <c r="C1255" i="3"/>
  <c r="B1255" i="3"/>
  <c r="A1255" i="3"/>
  <c r="I1254" i="3"/>
  <c r="H1254" i="3"/>
  <c r="G1254" i="3"/>
  <c r="F1254" i="3"/>
  <c r="E1254" i="3"/>
  <c r="D1254" i="3"/>
  <c r="C1254" i="3"/>
  <c r="B1254" i="3"/>
  <c r="A1254" i="3"/>
  <c r="I1253" i="3"/>
  <c r="H1253" i="3"/>
  <c r="G1253" i="3"/>
  <c r="F1253" i="3"/>
  <c r="E1253" i="3"/>
  <c r="D1253" i="3"/>
  <c r="C1253" i="3"/>
  <c r="B1253" i="3"/>
  <c r="A1253" i="3"/>
  <c r="I1252" i="3"/>
  <c r="H1252" i="3"/>
  <c r="G1252" i="3"/>
  <c r="F1252" i="3"/>
  <c r="E1252" i="3"/>
  <c r="D1252" i="3"/>
  <c r="C1252" i="3"/>
  <c r="B1252" i="3"/>
  <c r="A1252" i="3"/>
  <c r="I1251" i="3"/>
  <c r="H1251" i="3"/>
  <c r="G1251" i="3"/>
  <c r="F1251" i="3"/>
  <c r="E1251" i="3"/>
  <c r="D1251" i="3"/>
  <c r="C1251" i="3"/>
  <c r="B1251" i="3"/>
  <c r="A1251" i="3"/>
  <c r="I1250" i="3"/>
  <c r="H1250" i="3"/>
  <c r="G1250" i="3"/>
  <c r="F1250" i="3"/>
  <c r="E1250" i="3"/>
  <c r="D1250" i="3"/>
  <c r="C1250" i="3"/>
  <c r="B1250" i="3"/>
  <c r="A1250" i="3"/>
  <c r="I1249" i="3"/>
  <c r="H1249" i="3"/>
  <c r="G1249" i="3"/>
  <c r="F1249" i="3"/>
  <c r="E1249" i="3"/>
  <c r="D1249" i="3"/>
  <c r="C1249" i="3"/>
  <c r="B1249" i="3"/>
  <c r="A1249" i="3"/>
  <c r="I1248" i="3"/>
  <c r="H1248" i="3"/>
  <c r="G1248" i="3"/>
  <c r="F1248" i="3"/>
  <c r="E1248" i="3"/>
  <c r="D1248" i="3"/>
  <c r="C1248" i="3"/>
  <c r="B1248" i="3"/>
  <c r="A1248" i="3"/>
  <c r="I1247" i="3"/>
  <c r="H1247" i="3"/>
  <c r="G1247" i="3"/>
  <c r="F1247" i="3"/>
  <c r="E1247" i="3"/>
  <c r="D1247" i="3"/>
  <c r="C1247" i="3"/>
  <c r="B1247" i="3"/>
  <c r="A1247" i="3"/>
  <c r="I1246" i="3"/>
  <c r="H1246" i="3"/>
  <c r="G1246" i="3"/>
  <c r="F1246" i="3"/>
  <c r="E1246" i="3"/>
  <c r="D1246" i="3"/>
  <c r="C1246" i="3"/>
  <c r="B1246" i="3"/>
  <c r="A1246" i="3"/>
  <c r="I1245" i="3"/>
  <c r="H1245" i="3"/>
  <c r="G1245" i="3"/>
  <c r="F1245" i="3"/>
  <c r="E1245" i="3"/>
  <c r="D1245" i="3"/>
  <c r="C1245" i="3"/>
  <c r="B1245" i="3"/>
  <c r="A1245" i="3"/>
  <c r="I1244" i="3"/>
  <c r="H1244" i="3"/>
  <c r="G1244" i="3"/>
  <c r="F1244" i="3"/>
  <c r="E1244" i="3"/>
  <c r="D1244" i="3"/>
  <c r="C1244" i="3"/>
  <c r="B1244" i="3"/>
  <c r="A1244" i="3"/>
  <c r="I1243" i="3"/>
  <c r="H1243" i="3"/>
  <c r="G1243" i="3"/>
  <c r="F1243" i="3"/>
  <c r="E1243" i="3"/>
  <c r="D1243" i="3"/>
  <c r="C1243" i="3"/>
  <c r="B1243" i="3"/>
  <c r="A1243" i="3"/>
  <c r="I1242" i="3"/>
  <c r="H1242" i="3"/>
  <c r="G1242" i="3"/>
  <c r="F1242" i="3"/>
  <c r="E1242" i="3"/>
  <c r="D1242" i="3"/>
  <c r="C1242" i="3"/>
  <c r="B1242" i="3"/>
  <c r="A1242" i="3"/>
  <c r="I1241" i="3"/>
  <c r="H1241" i="3"/>
  <c r="G1241" i="3"/>
  <c r="F1241" i="3"/>
  <c r="E1241" i="3"/>
  <c r="D1241" i="3"/>
  <c r="C1241" i="3"/>
  <c r="B1241" i="3"/>
  <c r="A1241" i="3"/>
  <c r="I1240" i="3"/>
  <c r="H1240" i="3"/>
  <c r="G1240" i="3"/>
  <c r="F1240" i="3"/>
  <c r="E1240" i="3"/>
  <c r="D1240" i="3"/>
  <c r="C1240" i="3"/>
  <c r="B1240" i="3"/>
  <c r="A1240" i="3"/>
  <c r="I1239" i="3"/>
  <c r="H1239" i="3"/>
  <c r="G1239" i="3"/>
  <c r="F1239" i="3"/>
  <c r="E1239" i="3"/>
  <c r="D1239" i="3"/>
  <c r="C1239" i="3"/>
  <c r="B1239" i="3"/>
  <c r="A1239" i="3"/>
  <c r="I1238" i="3"/>
  <c r="H1238" i="3"/>
  <c r="G1238" i="3"/>
  <c r="F1238" i="3"/>
  <c r="E1238" i="3"/>
  <c r="D1238" i="3"/>
  <c r="C1238" i="3"/>
  <c r="B1238" i="3"/>
  <c r="A1238" i="3"/>
  <c r="I1237" i="3"/>
  <c r="H1237" i="3"/>
  <c r="G1237" i="3"/>
  <c r="F1237" i="3"/>
  <c r="E1237" i="3"/>
  <c r="D1237" i="3"/>
  <c r="C1237" i="3"/>
  <c r="B1237" i="3"/>
  <c r="A1237" i="3"/>
  <c r="I1236" i="3"/>
  <c r="H1236" i="3"/>
  <c r="G1236" i="3"/>
  <c r="F1236" i="3"/>
  <c r="E1236" i="3"/>
  <c r="D1236" i="3"/>
  <c r="C1236" i="3"/>
  <c r="B1236" i="3"/>
  <c r="A1236" i="3"/>
  <c r="I1235" i="3"/>
  <c r="H1235" i="3"/>
  <c r="G1235" i="3"/>
  <c r="F1235" i="3"/>
  <c r="E1235" i="3"/>
  <c r="D1235" i="3"/>
  <c r="C1235" i="3"/>
  <c r="B1235" i="3"/>
  <c r="A1235" i="3"/>
  <c r="I1234" i="3"/>
  <c r="H1234" i="3"/>
  <c r="G1234" i="3"/>
  <c r="F1234" i="3"/>
  <c r="E1234" i="3"/>
  <c r="D1234" i="3"/>
  <c r="C1234" i="3"/>
  <c r="B1234" i="3"/>
  <c r="A1234" i="3"/>
  <c r="I1233" i="3"/>
  <c r="H1233" i="3"/>
  <c r="G1233" i="3"/>
  <c r="F1233" i="3"/>
  <c r="E1233" i="3"/>
  <c r="D1233" i="3"/>
  <c r="C1233" i="3"/>
  <c r="B1233" i="3"/>
  <c r="A1233" i="3"/>
  <c r="I1232" i="3"/>
  <c r="H1232" i="3"/>
  <c r="G1232" i="3"/>
  <c r="F1232" i="3"/>
  <c r="E1232" i="3"/>
  <c r="D1232" i="3"/>
  <c r="C1232" i="3"/>
  <c r="B1232" i="3"/>
  <c r="A1232" i="3"/>
  <c r="I1231" i="3"/>
  <c r="H1231" i="3"/>
  <c r="G1231" i="3"/>
  <c r="F1231" i="3"/>
  <c r="E1231" i="3"/>
  <c r="D1231" i="3"/>
  <c r="C1231" i="3"/>
  <c r="B1231" i="3"/>
  <c r="A1231" i="3"/>
  <c r="I1230" i="3"/>
  <c r="H1230" i="3"/>
  <c r="G1230" i="3"/>
  <c r="F1230" i="3"/>
  <c r="E1230" i="3"/>
  <c r="D1230" i="3"/>
  <c r="C1230" i="3"/>
  <c r="B1230" i="3"/>
  <c r="A1230" i="3"/>
  <c r="I1229" i="3"/>
  <c r="H1229" i="3"/>
  <c r="G1229" i="3"/>
  <c r="F1229" i="3"/>
  <c r="E1229" i="3"/>
  <c r="D1229" i="3"/>
  <c r="C1229" i="3"/>
  <c r="B1229" i="3"/>
  <c r="A1229" i="3"/>
  <c r="I1228" i="3"/>
  <c r="H1228" i="3"/>
  <c r="G1228" i="3"/>
  <c r="F1228" i="3"/>
  <c r="E1228" i="3"/>
  <c r="D1228" i="3"/>
  <c r="C1228" i="3"/>
  <c r="B1228" i="3"/>
  <c r="A1228" i="3"/>
  <c r="I1227" i="3"/>
  <c r="H1227" i="3"/>
  <c r="G1227" i="3"/>
  <c r="F1227" i="3"/>
  <c r="E1227" i="3"/>
  <c r="D1227" i="3"/>
  <c r="C1227" i="3"/>
  <c r="B1227" i="3"/>
  <c r="A1227" i="3"/>
  <c r="I1226" i="3"/>
  <c r="H1226" i="3"/>
  <c r="G1226" i="3"/>
  <c r="F1226" i="3"/>
  <c r="E1226" i="3"/>
  <c r="D1226" i="3"/>
  <c r="C1226" i="3"/>
  <c r="B1226" i="3"/>
  <c r="A1226" i="3"/>
  <c r="I1225" i="3"/>
  <c r="H1225" i="3"/>
  <c r="G1225" i="3"/>
  <c r="F1225" i="3"/>
  <c r="E1225" i="3"/>
  <c r="D1225" i="3"/>
  <c r="C1225" i="3"/>
  <c r="B1225" i="3"/>
  <c r="A1225" i="3"/>
  <c r="I1224" i="3"/>
  <c r="H1224" i="3"/>
  <c r="G1224" i="3"/>
  <c r="F1224" i="3"/>
  <c r="E1224" i="3"/>
  <c r="D1224" i="3"/>
  <c r="C1224" i="3"/>
  <c r="B1224" i="3"/>
  <c r="A1224" i="3"/>
  <c r="I1223" i="3"/>
  <c r="H1223" i="3"/>
  <c r="G1223" i="3"/>
  <c r="F1223" i="3"/>
  <c r="E1223" i="3"/>
  <c r="D1223" i="3"/>
  <c r="C1223" i="3"/>
  <c r="B1223" i="3"/>
  <c r="A1223" i="3"/>
  <c r="I1222" i="3"/>
  <c r="H1222" i="3"/>
  <c r="G1222" i="3"/>
  <c r="F1222" i="3"/>
  <c r="E1222" i="3"/>
  <c r="D1222" i="3"/>
  <c r="C1222" i="3"/>
  <c r="B1222" i="3"/>
  <c r="A1222" i="3"/>
  <c r="I1221" i="3"/>
  <c r="H1221" i="3"/>
  <c r="G1221" i="3"/>
  <c r="F1221" i="3"/>
  <c r="E1221" i="3"/>
  <c r="D1221" i="3"/>
  <c r="C1221" i="3"/>
  <c r="B1221" i="3"/>
  <c r="A1221" i="3"/>
  <c r="I1220" i="3"/>
  <c r="H1220" i="3"/>
  <c r="G1220" i="3"/>
  <c r="F1220" i="3"/>
  <c r="E1220" i="3"/>
  <c r="D1220" i="3"/>
  <c r="C1220" i="3"/>
  <c r="B1220" i="3"/>
  <c r="A1220" i="3"/>
  <c r="I1219" i="3"/>
  <c r="H1219" i="3"/>
  <c r="G1219" i="3"/>
  <c r="F1219" i="3"/>
  <c r="E1219" i="3"/>
  <c r="D1219" i="3"/>
  <c r="C1219" i="3"/>
  <c r="B1219" i="3"/>
  <c r="A1219" i="3"/>
  <c r="I1218" i="3"/>
  <c r="H1218" i="3"/>
  <c r="G1218" i="3"/>
  <c r="F1218" i="3"/>
  <c r="E1218" i="3"/>
  <c r="D1218" i="3"/>
  <c r="C1218" i="3"/>
  <c r="B1218" i="3"/>
  <c r="A1218" i="3"/>
  <c r="I1217" i="3"/>
  <c r="H1217" i="3"/>
  <c r="G1217" i="3"/>
  <c r="F1217" i="3"/>
  <c r="E1217" i="3"/>
  <c r="D1217" i="3"/>
  <c r="C1217" i="3"/>
  <c r="B1217" i="3"/>
  <c r="A1217" i="3"/>
  <c r="I1216" i="3"/>
  <c r="H1216" i="3"/>
  <c r="G1216" i="3"/>
  <c r="F1216" i="3"/>
  <c r="E1216" i="3"/>
  <c r="D1216" i="3"/>
  <c r="C1216" i="3"/>
  <c r="B1216" i="3"/>
  <c r="A1216" i="3"/>
  <c r="I1215" i="3"/>
  <c r="H1215" i="3"/>
  <c r="G1215" i="3"/>
  <c r="F1215" i="3"/>
  <c r="E1215" i="3"/>
  <c r="D1215" i="3"/>
  <c r="C1215" i="3"/>
  <c r="B1215" i="3"/>
  <c r="A1215" i="3"/>
  <c r="I1214" i="3"/>
  <c r="H1214" i="3"/>
  <c r="G1214" i="3"/>
  <c r="F1214" i="3"/>
  <c r="E1214" i="3"/>
  <c r="D1214" i="3"/>
  <c r="C1214" i="3"/>
  <c r="B1214" i="3"/>
  <c r="A1214" i="3"/>
  <c r="I1213" i="3"/>
  <c r="H1213" i="3"/>
  <c r="G1213" i="3"/>
  <c r="F1213" i="3"/>
  <c r="E1213" i="3"/>
  <c r="D1213" i="3"/>
  <c r="C1213" i="3"/>
  <c r="B1213" i="3"/>
  <c r="A1213" i="3"/>
  <c r="I1212" i="3"/>
  <c r="H1212" i="3"/>
  <c r="G1212" i="3"/>
  <c r="F1212" i="3"/>
  <c r="E1212" i="3"/>
  <c r="D1212" i="3"/>
  <c r="C1212" i="3"/>
  <c r="B1212" i="3"/>
  <c r="A1212" i="3"/>
  <c r="I1211" i="3"/>
  <c r="H1211" i="3"/>
  <c r="G1211" i="3"/>
  <c r="F1211" i="3"/>
  <c r="E1211" i="3"/>
  <c r="D1211" i="3"/>
  <c r="C1211" i="3"/>
  <c r="B1211" i="3"/>
  <c r="A1211" i="3"/>
  <c r="I1210" i="3"/>
  <c r="H1210" i="3"/>
  <c r="G1210" i="3"/>
  <c r="F1210" i="3"/>
  <c r="E1210" i="3"/>
  <c r="D1210" i="3"/>
  <c r="C1210" i="3"/>
  <c r="B1210" i="3"/>
  <c r="A1210" i="3"/>
  <c r="I1209" i="3"/>
  <c r="H1209" i="3"/>
  <c r="G1209" i="3"/>
  <c r="F1209" i="3"/>
  <c r="E1209" i="3"/>
  <c r="D1209" i="3"/>
  <c r="C1209" i="3"/>
  <c r="B1209" i="3"/>
  <c r="A1209" i="3"/>
  <c r="I1208" i="3"/>
  <c r="H1208" i="3"/>
  <c r="G1208" i="3"/>
  <c r="F1208" i="3"/>
  <c r="E1208" i="3"/>
  <c r="D1208" i="3"/>
  <c r="C1208" i="3"/>
  <c r="B1208" i="3"/>
  <c r="A1208" i="3"/>
  <c r="I1207" i="3"/>
  <c r="H1207" i="3"/>
  <c r="G1207" i="3"/>
  <c r="F1207" i="3"/>
  <c r="E1207" i="3"/>
  <c r="D1207" i="3"/>
  <c r="C1207" i="3"/>
  <c r="B1207" i="3"/>
  <c r="A1207" i="3"/>
  <c r="I1206" i="3"/>
  <c r="H1206" i="3"/>
  <c r="G1206" i="3"/>
  <c r="F1206" i="3"/>
  <c r="E1206" i="3"/>
  <c r="D1206" i="3"/>
  <c r="C1206" i="3"/>
  <c r="B1206" i="3"/>
  <c r="A1206" i="3"/>
  <c r="I1205" i="3"/>
  <c r="H1205" i="3"/>
  <c r="G1205" i="3"/>
  <c r="F1205" i="3"/>
  <c r="E1205" i="3"/>
  <c r="D1205" i="3"/>
  <c r="C1205" i="3"/>
  <c r="B1205" i="3"/>
  <c r="A1205" i="3"/>
  <c r="I1204" i="3"/>
  <c r="H1204" i="3"/>
  <c r="G1204" i="3"/>
  <c r="F1204" i="3"/>
  <c r="E1204" i="3"/>
  <c r="D1204" i="3"/>
  <c r="C1204" i="3"/>
  <c r="B1204" i="3"/>
  <c r="A1204" i="3"/>
  <c r="I1203" i="3"/>
  <c r="H1203" i="3"/>
  <c r="G1203" i="3"/>
  <c r="F1203" i="3"/>
  <c r="E1203" i="3"/>
  <c r="D1203" i="3"/>
  <c r="C1203" i="3"/>
  <c r="B1203" i="3"/>
  <c r="A1203" i="3"/>
  <c r="I1202" i="3"/>
  <c r="H1202" i="3"/>
  <c r="G1202" i="3"/>
  <c r="F1202" i="3"/>
  <c r="E1202" i="3"/>
  <c r="D1202" i="3"/>
  <c r="C1202" i="3"/>
  <c r="B1202" i="3"/>
  <c r="A1202" i="3"/>
  <c r="I1201" i="3"/>
  <c r="H1201" i="3"/>
  <c r="G1201" i="3"/>
  <c r="F1201" i="3"/>
  <c r="E1201" i="3"/>
  <c r="D1201" i="3"/>
  <c r="C1201" i="3"/>
  <c r="B1201" i="3"/>
  <c r="A1201" i="3"/>
  <c r="I1200" i="3"/>
  <c r="H1200" i="3"/>
  <c r="G1200" i="3"/>
  <c r="F1200" i="3"/>
  <c r="E1200" i="3"/>
  <c r="D1200" i="3"/>
  <c r="C1200" i="3"/>
  <c r="B1200" i="3"/>
  <c r="A1200" i="3"/>
  <c r="I1199" i="3"/>
  <c r="H1199" i="3"/>
  <c r="G1199" i="3"/>
  <c r="F1199" i="3"/>
  <c r="E1199" i="3"/>
  <c r="D1199" i="3"/>
  <c r="C1199" i="3"/>
  <c r="B1199" i="3"/>
  <c r="A1199" i="3"/>
  <c r="I1198" i="3"/>
  <c r="H1198" i="3"/>
  <c r="G1198" i="3"/>
  <c r="F1198" i="3"/>
  <c r="E1198" i="3"/>
  <c r="D1198" i="3"/>
  <c r="C1198" i="3"/>
  <c r="B1198" i="3"/>
  <c r="A1198" i="3"/>
  <c r="I1197" i="3"/>
  <c r="H1197" i="3"/>
  <c r="G1197" i="3"/>
  <c r="F1197" i="3"/>
  <c r="E1197" i="3"/>
  <c r="D1197" i="3"/>
  <c r="C1197" i="3"/>
  <c r="B1197" i="3"/>
  <c r="A1197" i="3"/>
  <c r="I1196" i="3"/>
  <c r="H1196" i="3"/>
  <c r="G1196" i="3"/>
  <c r="F1196" i="3"/>
  <c r="E1196" i="3"/>
  <c r="D1196" i="3"/>
  <c r="C1196" i="3"/>
  <c r="B1196" i="3"/>
  <c r="A1196" i="3"/>
  <c r="I1195" i="3"/>
  <c r="H1195" i="3"/>
  <c r="G1195" i="3"/>
  <c r="F1195" i="3"/>
  <c r="E1195" i="3"/>
  <c r="D1195" i="3"/>
  <c r="C1195" i="3"/>
  <c r="B1195" i="3"/>
  <c r="A1195" i="3"/>
  <c r="I1194" i="3"/>
  <c r="H1194" i="3"/>
  <c r="G1194" i="3"/>
  <c r="F1194" i="3"/>
  <c r="E1194" i="3"/>
  <c r="D1194" i="3"/>
  <c r="C1194" i="3"/>
  <c r="B1194" i="3"/>
  <c r="A1194" i="3"/>
  <c r="I1193" i="3"/>
  <c r="H1193" i="3"/>
  <c r="G1193" i="3"/>
  <c r="F1193" i="3"/>
  <c r="E1193" i="3"/>
  <c r="D1193" i="3"/>
  <c r="C1193" i="3"/>
  <c r="B1193" i="3"/>
  <c r="A1193" i="3"/>
  <c r="I1192" i="3"/>
  <c r="H1192" i="3"/>
  <c r="G1192" i="3"/>
  <c r="F1192" i="3"/>
  <c r="E1192" i="3"/>
  <c r="D1192" i="3"/>
  <c r="C1192" i="3"/>
  <c r="B1192" i="3"/>
  <c r="A1192" i="3"/>
  <c r="I1191" i="3"/>
  <c r="H1191" i="3"/>
  <c r="G1191" i="3"/>
  <c r="F1191" i="3"/>
  <c r="E1191" i="3"/>
  <c r="D1191" i="3"/>
  <c r="C1191" i="3"/>
  <c r="B1191" i="3"/>
  <c r="A1191" i="3"/>
  <c r="I1190" i="3"/>
  <c r="H1190" i="3"/>
  <c r="G1190" i="3"/>
  <c r="F1190" i="3"/>
  <c r="E1190" i="3"/>
  <c r="D1190" i="3"/>
  <c r="C1190" i="3"/>
  <c r="B1190" i="3"/>
  <c r="A1190" i="3"/>
  <c r="I1189" i="3"/>
  <c r="H1189" i="3"/>
  <c r="G1189" i="3"/>
  <c r="F1189" i="3"/>
  <c r="E1189" i="3"/>
  <c r="D1189" i="3"/>
  <c r="C1189" i="3"/>
  <c r="B1189" i="3"/>
  <c r="A1189" i="3"/>
  <c r="I1188" i="3"/>
  <c r="H1188" i="3"/>
  <c r="G1188" i="3"/>
  <c r="F1188" i="3"/>
  <c r="E1188" i="3"/>
  <c r="D1188" i="3"/>
  <c r="C1188" i="3"/>
  <c r="B1188" i="3"/>
  <c r="A1188" i="3"/>
  <c r="I1187" i="3"/>
  <c r="H1187" i="3"/>
  <c r="G1187" i="3"/>
  <c r="F1187" i="3"/>
  <c r="E1187" i="3"/>
  <c r="D1187" i="3"/>
  <c r="C1187" i="3"/>
  <c r="B1187" i="3"/>
  <c r="A1187" i="3"/>
  <c r="I1186" i="3"/>
  <c r="H1186" i="3"/>
  <c r="G1186" i="3"/>
  <c r="F1186" i="3"/>
  <c r="E1186" i="3"/>
  <c r="D1186" i="3"/>
  <c r="C1186" i="3"/>
  <c r="B1186" i="3"/>
  <c r="A1186" i="3"/>
  <c r="I1185" i="3"/>
  <c r="H1185" i="3"/>
  <c r="G1185" i="3"/>
  <c r="F1185" i="3"/>
  <c r="E1185" i="3"/>
  <c r="D1185" i="3"/>
  <c r="C1185" i="3"/>
  <c r="B1185" i="3"/>
  <c r="A1185" i="3"/>
  <c r="I1184" i="3"/>
  <c r="H1184" i="3"/>
  <c r="G1184" i="3"/>
  <c r="F1184" i="3"/>
  <c r="E1184" i="3"/>
  <c r="D1184" i="3"/>
  <c r="C1184" i="3"/>
  <c r="B1184" i="3"/>
  <c r="A1184" i="3"/>
  <c r="I1183" i="3"/>
  <c r="H1183" i="3"/>
  <c r="G1183" i="3"/>
  <c r="F1183" i="3"/>
  <c r="E1183" i="3"/>
  <c r="D1183" i="3"/>
  <c r="C1183" i="3"/>
  <c r="B1183" i="3"/>
  <c r="A1183" i="3"/>
  <c r="I1182" i="3"/>
  <c r="H1182" i="3"/>
  <c r="G1182" i="3"/>
  <c r="F1182" i="3"/>
  <c r="E1182" i="3"/>
  <c r="D1182" i="3"/>
  <c r="C1182" i="3"/>
  <c r="B1182" i="3"/>
  <c r="A1182" i="3"/>
  <c r="I1181" i="3"/>
  <c r="H1181" i="3"/>
  <c r="G1181" i="3"/>
  <c r="F1181" i="3"/>
  <c r="E1181" i="3"/>
  <c r="D1181" i="3"/>
  <c r="C1181" i="3"/>
  <c r="B1181" i="3"/>
  <c r="A1181" i="3"/>
  <c r="I1180" i="3"/>
  <c r="H1180" i="3"/>
  <c r="G1180" i="3"/>
  <c r="F1180" i="3"/>
  <c r="E1180" i="3"/>
  <c r="D1180" i="3"/>
  <c r="C1180" i="3"/>
  <c r="B1180" i="3"/>
  <c r="A1180" i="3"/>
  <c r="I1179" i="3"/>
  <c r="H1179" i="3"/>
  <c r="G1179" i="3"/>
  <c r="F1179" i="3"/>
  <c r="E1179" i="3"/>
  <c r="D1179" i="3"/>
  <c r="C1179" i="3"/>
  <c r="B1179" i="3"/>
  <c r="A1179" i="3"/>
  <c r="I1178" i="3"/>
  <c r="H1178" i="3"/>
  <c r="G1178" i="3"/>
  <c r="F1178" i="3"/>
  <c r="E1178" i="3"/>
  <c r="D1178" i="3"/>
  <c r="C1178" i="3"/>
  <c r="B1178" i="3"/>
  <c r="A1178" i="3"/>
  <c r="I1177" i="3"/>
  <c r="H1177" i="3"/>
  <c r="G1177" i="3"/>
  <c r="F1177" i="3"/>
  <c r="E1177" i="3"/>
  <c r="D1177" i="3"/>
  <c r="C1177" i="3"/>
  <c r="B1177" i="3"/>
  <c r="A1177" i="3"/>
  <c r="I1176" i="3"/>
  <c r="H1176" i="3"/>
  <c r="G1176" i="3"/>
  <c r="F1176" i="3"/>
  <c r="E1176" i="3"/>
  <c r="D1176" i="3"/>
  <c r="C1176" i="3"/>
  <c r="B1176" i="3"/>
  <c r="A1176" i="3"/>
  <c r="I1175" i="3"/>
  <c r="H1175" i="3"/>
  <c r="G1175" i="3"/>
  <c r="F1175" i="3"/>
  <c r="E1175" i="3"/>
  <c r="D1175" i="3"/>
  <c r="C1175" i="3"/>
  <c r="B1175" i="3"/>
  <c r="A1175" i="3"/>
  <c r="I1174" i="3"/>
  <c r="H1174" i="3"/>
  <c r="G1174" i="3"/>
  <c r="F1174" i="3"/>
  <c r="E1174" i="3"/>
  <c r="D1174" i="3"/>
  <c r="C1174" i="3"/>
  <c r="B1174" i="3"/>
  <c r="A1174" i="3"/>
  <c r="I1173" i="3"/>
  <c r="H1173" i="3"/>
  <c r="G1173" i="3"/>
  <c r="F1173" i="3"/>
  <c r="E1173" i="3"/>
  <c r="D1173" i="3"/>
  <c r="C1173" i="3"/>
  <c r="B1173" i="3"/>
  <c r="A1173" i="3"/>
  <c r="I1172" i="3"/>
  <c r="H1172" i="3"/>
  <c r="G1172" i="3"/>
  <c r="F1172" i="3"/>
  <c r="E1172" i="3"/>
  <c r="D1172" i="3"/>
  <c r="C1172" i="3"/>
  <c r="B1172" i="3"/>
  <c r="A1172" i="3"/>
  <c r="I1171" i="3"/>
  <c r="H1171" i="3"/>
  <c r="G1171" i="3"/>
  <c r="F1171" i="3"/>
  <c r="E1171" i="3"/>
  <c r="D1171" i="3"/>
  <c r="C1171" i="3"/>
  <c r="B1171" i="3"/>
  <c r="A1171" i="3"/>
  <c r="I1170" i="3"/>
  <c r="H1170" i="3"/>
  <c r="G1170" i="3"/>
  <c r="F1170" i="3"/>
  <c r="E1170" i="3"/>
  <c r="D1170" i="3"/>
  <c r="C1170" i="3"/>
  <c r="B1170" i="3"/>
  <c r="A1170" i="3"/>
  <c r="I1169" i="3"/>
  <c r="H1169" i="3"/>
  <c r="G1169" i="3"/>
  <c r="F1169" i="3"/>
  <c r="E1169" i="3"/>
  <c r="D1169" i="3"/>
  <c r="C1169" i="3"/>
  <c r="B1169" i="3"/>
  <c r="A1169" i="3"/>
  <c r="I1168" i="3"/>
  <c r="H1168" i="3"/>
  <c r="G1168" i="3"/>
  <c r="F1168" i="3"/>
  <c r="E1168" i="3"/>
  <c r="D1168" i="3"/>
  <c r="C1168" i="3"/>
  <c r="B1168" i="3"/>
  <c r="A1168" i="3"/>
  <c r="I1167" i="3"/>
  <c r="H1167" i="3"/>
  <c r="G1167" i="3"/>
  <c r="F1167" i="3"/>
  <c r="E1167" i="3"/>
  <c r="D1167" i="3"/>
  <c r="C1167" i="3"/>
  <c r="B1167" i="3"/>
  <c r="A1167" i="3"/>
  <c r="I1166" i="3"/>
  <c r="H1166" i="3"/>
  <c r="G1166" i="3"/>
  <c r="F1166" i="3"/>
  <c r="E1166" i="3"/>
  <c r="D1166" i="3"/>
  <c r="C1166" i="3"/>
  <c r="B1166" i="3"/>
  <c r="A1166" i="3"/>
  <c r="I1165" i="3"/>
  <c r="H1165" i="3"/>
  <c r="G1165" i="3"/>
  <c r="F1165" i="3"/>
  <c r="E1165" i="3"/>
  <c r="D1165" i="3"/>
  <c r="C1165" i="3"/>
  <c r="B1165" i="3"/>
  <c r="A1165" i="3"/>
  <c r="I1164" i="3"/>
  <c r="H1164" i="3"/>
  <c r="G1164" i="3"/>
  <c r="F1164" i="3"/>
  <c r="E1164" i="3"/>
  <c r="D1164" i="3"/>
  <c r="C1164" i="3"/>
  <c r="B1164" i="3"/>
  <c r="A1164" i="3"/>
  <c r="I1163" i="3"/>
  <c r="H1163" i="3"/>
  <c r="G1163" i="3"/>
  <c r="F1163" i="3"/>
  <c r="E1163" i="3"/>
  <c r="D1163" i="3"/>
  <c r="C1163" i="3"/>
  <c r="B1163" i="3"/>
  <c r="A1163" i="3"/>
  <c r="I1162" i="3"/>
  <c r="H1162" i="3"/>
  <c r="G1162" i="3"/>
  <c r="F1162" i="3"/>
  <c r="E1162" i="3"/>
  <c r="D1162" i="3"/>
  <c r="C1162" i="3"/>
  <c r="B1162" i="3"/>
  <c r="A1162" i="3"/>
  <c r="I1161" i="3"/>
  <c r="H1161" i="3"/>
  <c r="G1161" i="3"/>
  <c r="F1161" i="3"/>
  <c r="E1161" i="3"/>
  <c r="D1161" i="3"/>
  <c r="C1161" i="3"/>
  <c r="B1161" i="3"/>
  <c r="A1161" i="3"/>
  <c r="I1160" i="3"/>
  <c r="H1160" i="3"/>
  <c r="G1160" i="3"/>
  <c r="F1160" i="3"/>
  <c r="E1160" i="3"/>
  <c r="D1160" i="3"/>
  <c r="C1160" i="3"/>
  <c r="B1160" i="3"/>
  <c r="A1160" i="3"/>
  <c r="I1159" i="3"/>
  <c r="H1159" i="3"/>
  <c r="G1159" i="3"/>
  <c r="F1159" i="3"/>
  <c r="E1159" i="3"/>
  <c r="D1159" i="3"/>
  <c r="C1159" i="3"/>
  <c r="B1159" i="3"/>
  <c r="A1159" i="3"/>
  <c r="I1158" i="3"/>
  <c r="H1158" i="3"/>
  <c r="G1158" i="3"/>
  <c r="F1158" i="3"/>
  <c r="E1158" i="3"/>
  <c r="D1158" i="3"/>
  <c r="C1158" i="3"/>
  <c r="B1158" i="3"/>
  <c r="A1158" i="3"/>
  <c r="I1157" i="3"/>
  <c r="H1157" i="3"/>
  <c r="G1157" i="3"/>
  <c r="F1157" i="3"/>
  <c r="E1157" i="3"/>
  <c r="D1157" i="3"/>
  <c r="C1157" i="3"/>
  <c r="B1157" i="3"/>
  <c r="A1157" i="3"/>
  <c r="I1156" i="3"/>
  <c r="H1156" i="3"/>
  <c r="G1156" i="3"/>
  <c r="F1156" i="3"/>
  <c r="E1156" i="3"/>
  <c r="D1156" i="3"/>
  <c r="C1156" i="3"/>
  <c r="B1156" i="3"/>
  <c r="A1156" i="3"/>
  <c r="I1155" i="3"/>
  <c r="H1155" i="3"/>
  <c r="G1155" i="3"/>
  <c r="F1155" i="3"/>
  <c r="E1155" i="3"/>
  <c r="D1155" i="3"/>
  <c r="C1155" i="3"/>
  <c r="B1155" i="3"/>
  <c r="A1155" i="3"/>
  <c r="I1154" i="3"/>
  <c r="H1154" i="3"/>
  <c r="G1154" i="3"/>
  <c r="F1154" i="3"/>
  <c r="E1154" i="3"/>
  <c r="D1154" i="3"/>
  <c r="C1154" i="3"/>
  <c r="B1154" i="3"/>
  <c r="A1154" i="3"/>
  <c r="I1153" i="3"/>
  <c r="H1153" i="3"/>
  <c r="G1153" i="3"/>
  <c r="F1153" i="3"/>
  <c r="E1153" i="3"/>
  <c r="D1153" i="3"/>
  <c r="C1153" i="3"/>
  <c r="B1153" i="3"/>
  <c r="A1153" i="3"/>
  <c r="I1152" i="3"/>
  <c r="H1152" i="3"/>
  <c r="G1152" i="3"/>
  <c r="F1152" i="3"/>
  <c r="E1152" i="3"/>
  <c r="D1152" i="3"/>
  <c r="C1152" i="3"/>
  <c r="B1152" i="3"/>
  <c r="A1152" i="3"/>
  <c r="I1151" i="3"/>
  <c r="H1151" i="3"/>
  <c r="G1151" i="3"/>
  <c r="F1151" i="3"/>
  <c r="E1151" i="3"/>
  <c r="D1151" i="3"/>
  <c r="C1151" i="3"/>
  <c r="B1151" i="3"/>
  <c r="A1151" i="3"/>
  <c r="I1150" i="3"/>
  <c r="H1150" i="3"/>
  <c r="G1150" i="3"/>
  <c r="F1150" i="3"/>
  <c r="E1150" i="3"/>
  <c r="D1150" i="3"/>
  <c r="C1150" i="3"/>
  <c r="B1150" i="3"/>
  <c r="A1150" i="3"/>
  <c r="I1149" i="3"/>
  <c r="H1149" i="3"/>
  <c r="G1149" i="3"/>
  <c r="F1149" i="3"/>
  <c r="E1149" i="3"/>
  <c r="D1149" i="3"/>
  <c r="C1149" i="3"/>
  <c r="B1149" i="3"/>
  <c r="A1149" i="3"/>
  <c r="I1148" i="3"/>
  <c r="H1148" i="3"/>
  <c r="G1148" i="3"/>
  <c r="F1148" i="3"/>
  <c r="E1148" i="3"/>
  <c r="D1148" i="3"/>
  <c r="C1148" i="3"/>
  <c r="B1148" i="3"/>
  <c r="A1148" i="3"/>
  <c r="I1147" i="3"/>
  <c r="H1147" i="3"/>
  <c r="G1147" i="3"/>
  <c r="F1147" i="3"/>
  <c r="E1147" i="3"/>
  <c r="D1147" i="3"/>
  <c r="C1147" i="3"/>
  <c r="B1147" i="3"/>
  <c r="A1147" i="3"/>
  <c r="I1146" i="3"/>
  <c r="H1146" i="3"/>
  <c r="G1146" i="3"/>
  <c r="F1146" i="3"/>
  <c r="E1146" i="3"/>
  <c r="D1146" i="3"/>
  <c r="C1146" i="3"/>
  <c r="B1146" i="3"/>
  <c r="A1146" i="3"/>
  <c r="I1145" i="3"/>
  <c r="H1145" i="3"/>
  <c r="G1145" i="3"/>
  <c r="F1145" i="3"/>
  <c r="E1145" i="3"/>
  <c r="D1145" i="3"/>
  <c r="C1145" i="3"/>
  <c r="B1145" i="3"/>
  <c r="A1145" i="3"/>
  <c r="I1144" i="3"/>
  <c r="H1144" i="3"/>
  <c r="G1144" i="3"/>
  <c r="F1144" i="3"/>
  <c r="E1144" i="3"/>
  <c r="D1144" i="3"/>
  <c r="C1144" i="3"/>
  <c r="B1144" i="3"/>
  <c r="A1144" i="3"/>
  <c r="I1143" i="3"/>
  <c r="H1143" i="3"/>
  <c r="G1143" i="3"/>
  <c r="F1143" i="3"/>
  <c r="E1143" i="3"/>
  <c r="D1143" i="3"/>
  <c r="C1143" i="3"/>
  <c r="B1143" i="3"/>
  <c r="A1143" i="3"/>
  <c r="I1142" i="3"/>
  <c r="H1142" i="3"/>
  <c r="G1142" i="3"/>
  <c r="F1142" i="3"/>
  <c r="E1142" i="3"/>
  <c r="D1142" i="3"/>
  <c r="C1142" i="3"/>
  <c r="B1142" i="3"/>
  <c r="A1142" i="3"/>
  <c r="I1141" i="3"/>
  <c r="H1141" i="3"/>
  <c r="G1141" i="3"/>
  <c r="F1141" i="3"/>
  <c r="E1141" i="3"/>
  <c r="D1141" i="3"/>
  <c r="C1141" i="3"/>
  <c r="B1141" i="3"/>
  <c r="A1141" i="3"/>
  <c r="I1140" i="3"/>
  <c r="H1140" i="3"/>
  <c r="G1140" i="3"/>
  <c r="F1140" i="3"/>
  <c r="E1140" i="3"/>
  <c r="D1140" i="3"/>
  <c r="C1140" i="3"/>
  <c r="B1140" i="3"/>
  <c r="A1140" i="3"/>
  <c r="I1139" i="3"/>
  <c r="H1139" i="3"/>
  <c r="G1139" i="3"/>
  <c r="F1139" i="3"/>
  <c r="E1139" i="3"/>
  <c r="D1139" i="3"/>
  <c r="C1139" i="3"/>
  <c r="B1139" i="3"/>
  <c r="A1139" i="3"/>
  <c r="I1138" i="3"/>
  <c r="H1138" i="3"/>
  <c r="G1138" i="3"/>
  <c r="F1138" i="3"/>
  <c r="E1138" i="3"/>
  <c r="D1138" i="3"/>
  <c r="C1138" i="3"/>
  <c r="B1138" i="3"/>
  <c r="A1138" i="3"/>
  <c r="I1137" i="3"/>
  <c r="H1137" i="3"/>
  <c r="G1137" i="3"/>
  <c r="F1137" i="3"/>
  <c r="E1137" i="3"/>
  <c r="D1137" i="3"/>
  <c r="C1137" i="3"/>
  <c r="B1137" i="3"/>
  <c r="A1137" i="3"/>
  <c r="I1136" i="3"/>
  <c r="H1136" i="3"/>
  <c r="G1136" i="3"/>
  <c r="F1136" i="3"/>
  <c r="E1136" i="3"/>
  <c r="D1136" i="3"/>
  <c r="C1136" i="3"/>
  <c r="B1136" i="3"/>
  <c r="A1136" i="3"/>
  <c r="I1135" i="3"/>
  <c r="H1135" i="3"/>
  <c r="G1135" i="3"/>
  <c r="F1135" i="3"/>
  <c r="E1135" i="3"/>
  <c r="D1135" i="3"/>
  <c r="C1135" i="3"/>
  <c r="B1135" i="3"/>
  <c r="A1135" i="3"/>
  <c r="I1134" i="3"/>
  <c r="H1134" i="3"/>
  <c r="G1134" i="3"/>
  <c r="F1134" i="3"/>
  <c r="E1134" i="3"/>
  <c r="D1134" i="3"/>
  <c r="C1134" i="3"/>
  <c r="B1134" i="3"/>
  <c r="A1134" i="3"/>
  <c r="I1133" i="3"/>
  <c r="H1133" i="3"/>
  <c r="G1133" i="3"/>
  <c r="F1133" i="3"/>
  <c r="E1133" i="3"/>
  <c r="D1133" i="3"/>
  <c r="C1133" i="3"/>
  <c r="B1133" i="3"/>
  <c r="A1133" i="3"/>
  <c r="I1132" i="3"/>
  <c r="H1132" i="3"/>
  <c r="G1132" i="3"/>
  <c r="F1132" i="3"/>
  <c r="E1132" i="3"/>
  <c r="D1132" i="3"/>
  <c r="C1132" i="3"/>
  <c r="B1132" i="3"/>
  <c r="A1132" i="3"/>
  <c r="I1131" i="3"/>
  <c r="H1131" i="3"/>
  <c r="G1131" i="3"/>
  <c r="F1131" i="3"/>
  <c r="E1131" i="3"/>
  <c r="D1131" i="3"/>
  <c r="C1131" i="3"/>
  <c r="B1131" i="3"/>
  <c r="A1131" i="3"/>
  <c r="I1130" i="3"/>
  <c r="H1130" i="3"/>
  <c r="G1130" i="3"/>
  <c r="F1130" i="3"/>
  <c r="E1130" i="3"/>
  <c r="D1130" i="3"/>
  <c r="C1130" i="3"/>
  <c r="B1130" i="3"/>
  <c r="A1130" i="3"/>
  <c r="I1129" i="3"/>
  <c r="H1129" i="3"/>
  <c r="G1129" i="3"/>
  <c r="F1129" i="3"/>
  <c r="E1129" i="3"/>
  <c r="D1129" i="3"/>
  <c r="C1129" i="3"/>
  <c r="B1129" i="3"/>
  <c r="A1129" i="3"/>
  <c r="I1128" i="3"/>
  <c r="H1128" i="3"/>
  <c r="G1128" i="3"/>
  <c r="F1128" i="3"/>
  <c r="E1128" i="3"/>
  <c r="D1128" i="3"/>
  <c r="C1128" i="3"/>
  <c r="B1128" i="3"/>
  <c r="A1128" i="3"/>
  <c r="I1127" i="3"/>
  <c r="H1127" i="3"/>
  <c r="G1127" i="3"/>
  <c r="F1127" i="3"/>
  <c r="E1127" i="3"/>
  <c r="D1127" i="3"/>
  <c r="C1127" i="3"/>
  <c r="B1127" i="3"/>
  <c r="A1127" i="3"/>
  <c r="I1126" i="3"/>
  <c r="H1126" i="3"/>
  <c r="G1126" i="3"/>
  <c r="F1126" i="3"/>
  <c r="E1126" i="3"/>
  <c r="D1126" i="3"/>
  <c r="C1126" i="3"/>
  <c r="B1126" i="3"/>
  <c r="A1126" i="3"/>
  <c r="I1125" i="3"/>
  <c r="H1125" i="3"/>
  <c r="G1125" i="3"/>
  <c r="F1125" i="3"/>
  <c r="E1125" i="3"/>
  <c r="D1125" i="3"/>
  <c r="C1125" i="3"/>
  <c r="B1125" i="3"/>
  <c r="A1125" i="3"/>
  <c r="I1124" i="3"/>
  <c r="H1124" i="3"/>
  <c r="G1124" i="3"/>
  <c r="F1124" i="3"/>
  <c r="E1124" i="3"/>
  <c r="D1124" i="3"/>
  <c r="C1124" i="3"/>
  <c r="B1124" i="3"/>
  <c r="A1124" i="3"/>
  <c r="I1123" i="3"/>
  <c r="H1123" i="3"/>
  <c r="G1123" i="3"/>
  <c r="F1123" i="3"/>
  <c r="E1123" i="3"/>
  <c r="D1123" i="3"/>
  <c r="C1123" i="3"/>
  <c r="B1123" i="3"/>
  <c r="A1123" i="3"/>
  <c r="I1122" i="3"/>
  <c r="H1122" i="3"/>
  <c r="G1122" i="3"/>
  <c r="F1122" i="3"/>
  <c r="E1122" i="3"/>
  <c r="D1122" i="3"/>
  <c r="C1122" i="3"/>
  <c r="B1122" i="3"/>
  <c r="A1122" i="3"/>
  <c r="I1121" i="3"/>
  <c r="H1121" i="3"/>
  <c r="G1121" i="3"/>
  <c r="F1121" i="3"/>
  <c r="E1121" i="3"/>
  <c r="D1121" i="3"/>
  <c r="C1121" i="3"/>
  <c r="B1121" i="3"/>
  <c r="A1121" i="3"/>
  <c r="I1120" i="3"/>
  <c r="H1120" i="3"/>
  <c r="G1120" i="3"/>
  <c r="F1120" i="3"/>
  <c r="E1120" i="3"/>
  <c r="D1120" i="3"/>
  <c r="C1120" i="3"/>
  <c r="B1120" i="3"/>
  <c r="A1120" i="3"/>
  <c r="I1119" i="3"/>
  <c r="H1119" i="3"/>
  <c r="G1119" i="3"/>
  <c r="F1119" i="3"/>
  <c r="E1119" i="3"/>
  <c r="D1119" i="3"/>
  <c r="C1119" i="3"/>
  <c r="B1119" i="3"/>
  <c r="A1119" i="3"/>
  <c r="I1118" i="3"/>
  <c r="H1118" i="3"/>
  <c r="G1118" i="3"/>
  <c r="F1118" i="3"/>
  <c r="E1118" i="3"/>
  <c r="D1118" i="3"/>
  <c r="C1118" i="3"/>
  <c r="B1118" i="3"/>
  <c r="A1118" i="3"/>
  <c r="I1117" i="3"/>
  <c r="H1117" i="3"/>
  <c r="G1117" i="3"/>
  <c r="F1117" i="3"/>
  <c r="E1117" i="3"/>
  <c r="D1117" i="3"/>
  <c r="C1117" i="3"/>
  <c r="B1117" i="3"/>
  <c r="A1117" i="3"/>
  <c r="I1116" i="3"/>
  <c r="H1116" i="3"/>
  <c r="G1116" i="3"/>
  <c r="F1116" i="3"/>
  <c r="E1116" i="3"/>
  <c r="D1116" i="3"/>
  <c r="C1116" i="3"/>
  <c r="B1116" i="3"/>
  <c r="A1116" i="3"/>
  <c r="I1115" i="3"/>
  <c r="H1115" i="3"/>
  <c r="G1115" i="3"/>
  <c r="F1115" i="3"/>
  <c r="E1115" i="3"/>
  <c r="D1115" i="3"/>
  <c r="C1115" i="3"/>
  <c r="B1115" i="3"/>
  <c r="A1115" i="3"/>
  <c r="I1114" i="3"/>
  <c r="H1114" i="3"/>
  <c r="G1114" i="3"/>
  <c r="F1114" i="3"/>
  <c r="E1114" i="3"/>
  <c r="D1114" i="3"/>
  <c r="C1114" i="3"/>
  <c r="B1114" i="3"/>
  <c r="A1114" i="3"/>
  <c r="I1113" i="3"/>
  <c r="H1113" i="3"/>
  <c r="G1113" i="3"/>
  <c r="F1113" i="3"/>
  <c r="E1113" i="3"/>
  <c r="D1113" i="3"/>
  <c r="C1113" i="3"/>
  <c r="B1113" i="3"/>
  <c r="A1113" i="3"/>
  <c r="I1112" i="3"/>
  <c r="H1112" i="3"/>
  <c r="G1112" i="3"/>
  <c r="F1112" i="3"/>
  <c r="E1112" i="3"/>
  <c r="D1112" i="3"/>
  <c r="C1112" i="3"/>
  <c r="B1112" i="3"/>
  <c r="A1112" i="3"/>
  <c r="I1111" i="3"/>
  <c r="H1111" i="3"/>
  <c r="G1111" i="3"/>
  <c r="F1111" i="3"/>
  <c r="E1111" i="3"/>
  <c r="D1111" i="3"/>
  <c r="C1111" i="3"/>
  <c r="B1111" i="3"/>
  <c r="A1111" i="3"/>
  <c r="I1110" i="3"/>
  <c r="H1110" i="3"/>
  <c r="G1110" i="3"/>
  <c r="F1110" i="3"/>
  <c r="E1110" i="3"/>
  <c r="D1110" i="3"/>
  <c r="C1110" i="3"/>
  <c r="B1110" i="3"/>
  <c r="A1110" i="3"/>
  <c r="I1109" i="3"/>
  <c r="H1109" i="3"/>
  <c r="G1109" i="3"/>
  <c r="F1109" i="3"/>
  <c r="E1109" i="3"/>
  <c r="D1109" i="3"/>
  <c r="C1109" i="3"/>
  <c r="B1109" i="3"/>
  <c r="A1109" i="3"/>
  <c r="I1108" i="3"/>
  <c r="H1108" i="3"/>
  <c r="G1108" i="3"/>
  <c r="F1108" i="3"/>
  <c r="E1108" i="3"/>
  <c r="D1108" i="3"/>
  <c r="C1108" i="3"/>
  <c r="B1108" i="3"/>
  <c r="A1108" i="3"/>
  <c r="I1107" i="3"/>
  <c r="H1107" i="3"/>
  <c r="G1107" i="3"/>
  <c r="F1107" i="3"/>
  <c r="E1107" i="3"/>
  <c r="D1107" i="3"/>
  <c r="C1107" i="3"/>
  <c r="B1107" i="3"/>
  <c r="A1107" i="3"/>
  <c r="I1106" i="3"/>
  <c r="H1106" i="3"/>
  <c r="G1106" i="3"/>
  <c r="F1106" i="3"/>
  <c r="E1106" i="3"/>
  <c r="D1106" i="3"/>
  <c r="C1106" i="3"/>
  <c r="B1106" i="3"/>
  <c r="A1106" i="3"/>
  <c r="I1105" i="3"/>
  <c r="H1105" i="3"/>
  <c r="G1105" i="3"/>
  <c r="F1105" i="3"/>
  <c r="E1105" i="3"/>
  <c r="D1105" i="3"/>
  <c r="C1105" i="3"/>
  <c r="B1105" i="3"/>
  <c r="A1105" i="3"/>
  <c r="I1104" i="3"/>
  <c r="H1104" i="3"/>
  <c r="G1104" i="3"/>
  <c r="F1104" i="3"/>
  <c r="E1104" i="3"/>
  <c r="D1104" i="3"/>
  <c r="C1104" i="3"/>
  <c r="B1104" i="3"/>
  <c r="A1104" i="3"/>
  <c r="I1103" i="3"/>
  <c r="H1103" i="3"/>
  <c r="G1103" i="3"/>
  <c r="F1103" i="3"/>
  <c r="E1103" i="3"/>
  <c r="D1103" i="3"/>
  <c r="C1103" i="3"/>
  <c r="B1103" i="3"/>
  <c r="A1103" i="3"/>
  <c r="I1102" i="3"/>
  <c r="H1102" i="3"/>
  <c r="G1102" i="3"/>
  <c r="F1102" i="3"/>
  <c r="E1102" i="3"/>
  <c r="D1102" i="3"/>
  <c r="C1102" i="3"/>
  <c r="B1102" i="3"/>
  <c r="A1102" i="3"/>
  <c r="I1101" i="3"/>
  <c r="H1101" i="3"/>
  <c r="G1101" i="3"/>
  <c r="F1101" i="3"/>
  <c r="E1101" i="3"/>
  <c r="D1101" i="3"/>
  <c r="C1101" i="3"/>
  <c r="B1101" i="3"/>
  <c r="A1101" i="3"/>
  <c r="I1100" i="3"/>
  <c r="H1100" i="3"/>
  <c r="G1100" i="3"/>
  <c r="F1100" i="3"/>
  <c r="E1100" i="3"/>
  <c r="D1100" i="3"/>
  <c r="C1100" i="3"/>
  <c r="B1100" i="3"/>
  <c r="A1100" i="3"/>
  <c r="I1099" i="3"/>
  <c r="H1099" i="3"/>
  <c r="G1099" i="3"/>
  <c r="F1099" i="3"/>
  <c r="E1099" i="3"/>
  <c r="D1099" i="3"/>
  <c r="C1099" i="3"/>
  <c r="B1099" i="3"/>
  <c r="A1099" i="3"/>
  <c r="I1098" i="3"/>
  <c r="H1098" i="3"/>
  <c r="G1098" i="3"/>
  <c r="F1098" i="3"/>
  <c r="E1098" i="3"/>
  <c r="D1098" i="3"/>
  <c r="C1098" i="3"/>
  <c r="B1098" i="3"/>
  <c r="A1098" i="3"/>
  <c r="I1097" i="3"/>
  <c r="H1097" i="3"/>
  <c r="G1097" i="3"/>
  <c r="F1097" i="3"/>
  <c r="E1097" i="3"/>
  <c r="D1097" i="3"/>
  <c r="C1097" i="3"/>
  <c r="B1097" i="3"/>
  <c r="A1097" i="3"/>
  <c r="I1096" i="3"/>
  <c r="H1096" i="3"/>
  <c r="G1096" i="3"/>
  <c r="F1096" i="3"/>
  <c r="E1096" i="3"/>
  <c r="D1096" i="3"/>
  <c r="C1096" i="3"/>
  <c r="B1096" i="3"/>
  <c r="A1096" i="3"/>
  <c r="I1095" i="3"/>
  <c r="H1095" i="3"/>
  <c r="G1095" i="3"/>
  <c r="F1095" i="3"/>
  <c r="E1095" i="3"/>
  <c r="D1095" i="3"/>
  <c r="C1095" i="3"/>
  <c r="B1095" i="3"/>
  <c r="A1095" i="3"/>
  <c r="I1094" i="3"/>
  <c r="H1094" i="3"/>
  <c r="G1094" i="3"/>
  <c r="F1094" i="3"/>
  <c r="E1094" i="3"/>
  <c r="D1094" i="3"/>
  <c r="C1094" i="3"/>
  <c r="B1094" i="3"/>
  <c r="A1094" i="3"/>
  <c r="I1093" i="3"/>
  <c r="H1093" i="3"/>
  <c r="G1093" i="3"/>
  <c r="F1093" i="3"/>
  <c r="E1093" i="3"/>
  <c r="D1093" i="3"/>
  <c r="C1093" i="3"/>
  <c r="B1093" i="3"/>
  <c r="A1093" i="3"/>
  <c r="I1092" i="3"/>
  <c r="H1092" i="3"/>
  <c r="G1092" i="3"/>
  <c r="F1092" i="3"/>
  <c r="E1092" i="3"/>
  <c r="D1092" i="3"/>
  <c r="C1092" i="3"/>
  <c r="B1092" i="3"/>
  <c r="A1092" i="3"/>
  <c r="I1091" i="3"/>
  <c r="H1091" i="3"/>
  <c r="G1091" i="3"/>
  <c r="F1091" i="3"/>
  <c r="E1091" i="3"/>
  <c r="D1091" i="3"/>
  <c r="C1091" i="3"/>
  <c r="B1091" i="3"/>
  <c r="A1091" i="3"/>
  <c r="I1090" i="3"/>
  <c r="H1090" i="3"/>
  <c r="G1090" i="3"/>
  <c r="F1090" i="3"/>
  <c r="E1090" i="3"/>
  <c r="D1090" i="3"/>
  <c r="C1090" i="3"/>
  <c r="B1090" i="3"/>
  <c r="A1090" i="3"/>
  <c r="I1089" i="3"/>
  <c r="H1089" i="3"/>
  <c r="G1089" i="3"/>
  <c r="F1089" i="3"/>
  <c r="E1089" i="3"/>
  <c r="D1089" i="3"/>
  <c r="C1089" i="3"/>
  <c r="B1089" i="3"/>
  <c r="A1089" i="3"/>
  <c r="I1088" i="3"/>
  <c r="H1088" i="3"/>
  <c r="G1088" i="3"/>
  <c r="F1088" i="3"/>
  <c r="E1088" i="3"/>
  <c r="D1088" i="3"/>
  <c r="C1088" i="3"/>
  <c r="B1088" i="3"/>
  <c r="A1088" i="3"/>
  <c r="I1087" i="3"/>
  <c r="H1087" i="3"/>
  <c r="G1087" i="3"/>
  <c r="F1087" i="3"/>
  <c r="E1087" i="3"/>
  <c r="D1087" i="3"/>
  <c r="C1087" i="3"/>
  <c r="B1087" i="3"/>
  <c r="A1087" i="3"/>
  <c r="I1086" i="3"/>
  <c r="H1086" i="3"/>
  <c r="G1086" i="3"/>
  <c r="F1086" i="3"/>
  <c r="E1086" i="3"/>
  <c r="D1086" i="3"/>
  <c r="C1086" i="3"/>
  <c r="B1086" i="3"/>
  <c r="A1086" i="3"/>
  <c r="I1085" i="3"/>
  <c r="H1085" i="3"/>
  <c r="G1085" i="3"/>
  <c r="F1085" i="3"/>
  <c r="E1085" i="3"/>
  <c r="D1085" i="3"/>
  <c r="C1085" i="3"/>
  <c r="B1085" i="3"/>
  <c r="A1085" i="3"/>
  <c r="I1084" i="3"/>
  <c r="H1084" i="3"/>
  <c r="G1084" i="3"/>
  <c r="F1084" i="3"/>
  <c r="E1084" i="3"/>
  <c r="D1084" i="3"/>
  <c r="C1084" i="3"/>
  <c r="B1084" i="3"/>
  <c r="A1084" i="3"/>
  <c r="I1083" i="3"/>
  <c r="H1083" i="3"/>
  <c r="G1083" i="3"/>
  <c r="F1083" i="3"/>
  <c r="E1083" i="3"/>
  <c r="D1083" i="3"/>
  <c r="C1083" i="3"/>
  <c r="B1083" i="3"/>
  <c r="A1083" i="3"/>
  <c r="I1082" i="3"/>
  <c r="H1082" i="3"/>
  <c r="G1082" i="3"/>
  <c r="F1082" i="3"/>
  <c r="E1082" i="3"/>
  <c r="D1082" i="3"/>
  <c r="C1082" i="3"/>
  <c r="B1082" i="3"/>
  <c r="A1082" i="3"/>
  <c r="I1081" i="3"/>
  <c r="H1081" i="3"/>
  <c r="G1081" i="3"/>
  <c r="F1081" i="3"/>
  <c r="E1081" i="3"/>
  <c r="D1081" i="3"/>
  <c r="C1081" i="3"/>
  <c r="B1081" i="3"/>
  <c r="A1081" i="3"/>
  <c r="I1080" i="3"/>
  <c r="H1080" i="3"/>
  <c r="G1080" i="3"/>
  <c r="F1080" i="3"/>
  <c r="E1080" i="3"/>
  <c r="D1080" i="3"/>
  <c r="C1080" i="3"/>
  <c r="B1080" i="3"/>
  <c r="A1080" i="3"/>
  <c r="I1079" i="3"/>
  <c r="H1079" i="3"/>
  <c r="G1079" i="3"/>
  <c r="F1079" i="3"/>
  <c r="E1079" i="3"/>
  <c r="D1079" i="3"/>
  <c r="C1079" i="3"/>
  <c r="B1079" i="3"/>
  <c r="A1079" i="3"/>
  <c r="I1078" i="3"/>
  <c r="H1078" i="3"/>
  <c r="G1078" i="3"/>
  <c r="F1078" i="3"/>
  <c r="E1078" i="3"/>
  <c r="D1078" i="3"/>
  <c r="C1078" i="3"/>
  <c r="B1078" i="3"/>
  <c r="A1078" i="3"/>
  <c r="I1077" i="3"/>
  <c r="H1077" i="3"/>
  <c r="G1077" i="3"/>
  <c r="F1077" i="3"/>
  <c r="E1077" i="3"/>
  <c r="D1077" i="3"/>
  <c r="C1077" i="3"/>
  <c r="B1077" i="3"/>
  <c r="A1077" i="3"/>
  <c r="I1076" i="3"/>
  <c r="H1076" i="3"/>
  <c r="G1076" i="3"/>
  <c r="F1076" i="3"/>
  <c r="E1076" i="3"/>
  <c r="D1076" i="3"/>
  <c r="C1076" i="3"/>
  <c r="B1076" i="3"/>
  <c r="A1076" i="3"/>
  <c r="I1075" i="3"/>
  <c r="H1075" i="3"/>
  <c r="G1075" i="3"/>
  <c r="F1075" i="3"/>
  <c r="E1075" i="3"/>
  <c r="D1075" i="3"/>
  <c r="C1075" i="3"/>
  <c r="B1075" i="3"/>
  <c r="A1075" i="3"/>
  <c r="I1074" i="3"/>
  <c r="H1074" i="3"/>
  <c r="G1074" i="3"/>
  <c r="F1074" i="3"/>
  <c r="E1074" i="3"/>
  <c r="D1074" i="3"/>
  <c r="C1074" i="3"/>
  <c r="B1074" i="3"/>
  <c r="A1074" i="3"/>
  <c r="I1073" i="3"/>
  <c r="H1073" i="3"/>
  <c r="G1073" i="3"/>
  <c r="F1073" i="3"/>
  <c r="E1073" i="3"/>
  <c r="D1073" i="3"/>
  <c r="C1073" i="3"/>
  <c r="B1073" i="3"/>
  <c r="A1073" i="3"/>
  <c r="I1072" i="3"/>
  <c r="H1072" i="3"/>
  <c r="G1072" i="3"/>
  <c r="F1072" i="3"/>
  <c r="E1072" i="3"/>
  <c r="D1072" i="3"/>
  <c r="C1072" i="3"/>
  <c r="B1072" i="3"/>
  <c r="A1072" i="3"/>
  <c r="I1071" i="3"/>
  <c r="H1071" i="3"/>
  <c r="G1071" i="3"/>
  <c r="F1071" i="3"/>
  <c r="E1071" i="3"/>
  <c r="D1071" i="3"/>
  <c r="C1071" i="3"/>
  <c r="B1071" i="3"/>
  <c r="A1071" i="3"/>
  <c r="I1070" i="3"/>
  <c r="H1070" i="3"/>
  <c r="G1070" i="3"/>
  <c r="F1070" i="3"/>
  <c r="E1070" i="3"/>
  <c r="D1070" i="3"/>
  <c r="C1070" i="3"/>
  <c r="B1070" i="3"/>
  <c r="A1070" i="3"/>
  <c r="I1069" i="3"/>
  <c r="H1069" i="3"/>
  <c r="G1069" i="3"/>
  <c r="F1069" i="3"/>
  <c r="E1069" i="3"/>
  <c r="D1069" i="3"/>
  <c r="C1069" i="3"/>
  <c r="B1069" i="3"/>
  <c r="A1069" i="3"/>
  <c r="I1068" i="3"/>
  <c r="H1068" i="3"/>
  <c r="G1068" i="3"/>
  <c r="F1068" i="3"/>
  <c r="E1068" i="3"/>
  <c r="D1068" i="3"/>
  <c r="C1068" i="3"/>
  <c r="B1068" i="3"/>
  <c r="A1068" i="3"/>
  <c r="I1067" i="3"/>
  <c r="H1067" i="3"/>
  <c r="G1067" i="3"/>
  <c r="F1067" i="3"/>
  <c r="E1067" i="3"/>
  <c r="D1067" i="3"/>
  <c r="C1067" i="3"/>
  <c r="B1067" i="3"/>
  <c r="A1067" i="3"/>
  <c r="I1066" i="3"/>
  <c r="H1066" i="3"/>
  <c r="G1066" i="3"/>
  <c r="F1066" i="3"/>
  <c r="E1066" i="3"/>
  <c r="D1066" i="3"/>
  <c r="C1066" i="3"/>
  <c r="B1066" i="3"/>
  <c r="A1066" i="3"/>
  <c r="I1065" i="3"/>
  <c r="H1065" i="3"/>
  <c r="G1065" i="3"/>
  <c r="F1065" i="3"/>
  <c r="E1065" i="3"/>
  <c r="D1065" i="3"/>
  <c r="C1065" i="3"/>
  <c r="B1065" i="3"/>
  <c r="A1065" i="3"/>
  <c r="I1064" i="3"/>
  <c r="H1064" i="3"/>
  <c r="G1064" i="3"/>
  <c r="F1064" i="3"/>
  <c r="E1064" i="3"/>
  <c r="D1064" i="3"/>
  <c r="C1064" i="3"/>
  <c r="B1064" i="3"/>
  <c r="A1064" i="3"/>
  <c r="I1063" i="3"/>
  <c r="H1063" i="3"/>
  <c r="G1063" i="3"/>
  <c r="F1063" i="3"/>
  <c r="E1063" i="3"/>
  <c r="D1063" i="3"/>
  <c r="C1063" i="3"/>
  <c r="B1063" i="3"/>
  <c r="A1063" i="3"/>
  <c r="I1062" i="3"/>
  <c r="H1062" i="3"/>
  <c r="G1062" i="3"/>
  <c r="F1062" i="3"/>
  <c r="E1062" i="3"/>
  <c r="D1062" i="3"/>
  <c r="C1062" i="3"/>
  <c r="B1062" i="3"/>
  <c r="A1062" i="3"/>
  <c r="I1061" i="3"/>
  <c r="H1061" i="3"/>
  <c r="G1061" i="3"/>
  <c r="F1061" i="3"/>
  <c r="E1061" i="3"/>
  <c r="D1061" i="3"/>
  <c r="C1061" i="3"/>
  <c r="B1061" i="3"/>
  <c r="A1061" i="3"/>
  <c r="I1060" i="3"/>
  <c r="H1060" i="3"/>
  <c r="G1060" i="3"/>
  <c r="F1060" i="3"/>
  <c r="E1060" i="3"/>
  <c r="D1060" i="3"/>
  <c r="C1060" i="3"/>
  <c r="B1060" i="3"/>
  <c r="A1060" i="3"/>
  <c r="I1059" i="3"/>
  <c r="H1059" i="3"/>
  <c r="G1059" i="3"/>
  <c r="F1059" i="3"/>
  <c r="E1059" i="3"/>
  <c r="D1059" i="3"/>
  <c r="C1059" i="3"/>
  <c r="B1059" i="3"/>
  <c r="A1059" i="3"/>
  <c r="I1058" i="3"/>
  <c r="H1058" i="3"/>
  <c r="G1058" i="3"/>
  <c r="F1058" i="3"/>
  <c r="E1058" i="3"/>
  <c r="D1058" i="3"/>
  <c r="C1058" i="3"/>
  <c r="B1058" i="3"/>
  <c r="A1058" i="3"/>
  <c r="I1057" i="3"/>
  <c r="H1057" i="3"/>
  <c r="G1057" i="3"/>
  <c r="F1057" i="3"/>
  <c r="E1057" i="3"/>
  <c r="D1057" i="3"/>
  <c r="C1057" i="3"/>
  <c r="B1057" i="3"/>
  <c r="A1057" i="3"/>
  <c r="I1056" i="3"/>
  <c r="H1056" i="3"/>
  <c r="G1056" i="3"/>
  <c r="F1056" i="3"/>
  <c r="E1056" i="3"/>
  <c r="D1056" i="3"/>
  <c r="C1056" i="3"/>
  <c r="B1056" i="3"/>
  <c r="A1056" i="3"/>
  <c r="I1055" i="3"/>
  <c r="H1055" i="3"/>
  <c r="G1055" i="3"/>
  <c r="F1055" i="3"/>
  <c r="E1055" i="3"/>
  <c r="D1055" i="3"/>
  <c r="C1055" i="3"/>
  <c r="B1055" i="3"/>
  <c r="A1055" i="3"/>
  <c r="I1054" i="3"/>
  <c r="H1054" i="3"/>
  <c r="G1054" i="3"/>
  <c r="F1054" i="3"/>
  <c r="E1054" i="3"/>
  <c r="D1054" i="3"/>
  <c r="C1054" i="3"/>
  <c r="B1054" i="3"/>
  <c r="A1054" i="3"/>
  <c r="I1053" i="3"/>
  <c r="H1053" i="3"/>
  <c r="G1053" i="3"/>
  <c r="F1053" i="3"/>
  <c r="E1053" i="3"/>
  <c r="D1053" i="3"/>
  <c r="C1053" i="3"/>
  <c r="B1053" i="3"/>
  <c r="A1053" i="3"/>
  <c r="I1052" i="3"/>
  <c r="H1052" i="3"/>
  <c r="G1052" i="3"/>
  <c r="F1052" i="3"/>
  <c r="E1052" i="3"/>
  <c r="D1052" i="3"/>
  <c r="C1052" i="3"/>
  <c r="B1052" i="3"/>
  <c r="A1052" i="3"/>
  <c r="I1051" i="3"/>
  <c r="H1051" i="3"/>
  <c r="G1051" i="3"/>
  <c r="F1051" i="3"/>
  <c r="E1051" i="3"/>
  <c r="D1051" i="3"/>
  <c r="C1051" i="3"/>
  <c r="B1051" i="3"/>
  <c r="A1051" i="3"/>
  <c r="I1050" i="3"/>
  <c r="H1050" i="3"/>
  <c r="G1050" i="3"/>
  <c r="F1050" i="3"/>
  <c r="E1050" i="3"/>
  <c r="D1050" i="3"/>
  <c r="C1050" i="3"/>
  <c r="B1050" i="3"/>
  <c r="A1050" i="3"/>
  <c r="I1049" i="3"/>
  <c r="H1049" i="3"/>
  <c r="G1049" i="3"/>
  <c r="F1049" i="3"/>
  <c r="E1049" i="3"/>
  <c r="D1049" i="3"/>
  <c r="C1049" i="3"/>
  <c r="B1049" i="3"/>
  <c r="A1049" i="3"/>
  <c r="I1048" i="3"/>
  <c r="H1048" i="3"/>
  <c r="G1048" i="3"/>
  <c r="F1048" i="3"/>
  <c r="E1048" i="3"/>
  <c r="D1048" i="3"/>
  <c r="C1048" i="3"/>
  <c r="B1048" i="3"/>
  <c r="A1048" i="3"/>
  <c r="I1047" i="3"/>
  <c r="H1047" i="3"/>
  <c r="G1047" i="3"/>
  <c r="F1047" i="3"/>
  <c r="E1047" i="3"/>
  <c r="D1047" i="3"/>
  <c r="C1047" i="3"/>
  <c r="B1047" i="3"/>
  <c r="A1047" i="3"/>
  <c r="I1046" i="3"/>
  <c r="H1046" i="3"/>
  <c r="G1046" i="3"/>
  <c r="F1046" i="3"/>
  <c r="E1046" i="3"/>
  <c r="D1046" i="3"/>
  <c r="C1046" i="3"/>
  <c r="B1046" i="3"/>
  <c r="A1046" i="3"/>
  <c r="I1045" i="3"/>
  <c r="H1045" i="3"/>
  <c r="G1045" i="3"/>
  <c r="F1045" i="3"/>
  <c r="E1045" i="3"/>
  <c r="D1045" i="3"/>
  <c r="C1045" i="3"/>
  <c r="B1045" i="3"/>
  <c r="A1045" i="3"/>
  <c r="I1044" i="3"/>
  <c r="H1044" i="3"/>
  <c r="G1044" i="3"/>
  <c r="F1044" i="3"/>
  <c r="E1044" i="3"/>
  <c r="D1044" i="3"/>
  <c r="C1044" i="3"/>
  <c r="B1044" i="3"/>
  <c r="A1044" i="3"/>
  <c r="I1043" i="3"/>
  <c r="H1043" i="3"/>
  <c r="G1043" i="3"/>
  <c r="F1043" i="3"/>
  <c r="E1043" i="3"/>
  <c r="D1043" i="3"/>
  <c r="C1043" i="3"/>
  <c r="B1043" i="3"/>
  <c r="A1043" i="3"/>
  <c r="I1042" i="3"/>
  <c r="H1042" i="3"/>
  <c r="G1042" i="3"/>
  <c r="F1042" i="3"/>
  <c r="E1042" i="3"/>
  <c r="D1042" i="3"/>
  <c r="C1042" i="3"/>
  <c r="B1042" i="3"/>
  <c r="A1042" i="3"/>
  <c r="I1041" i="3"/>
  <c r="H1041" i="3"/>
  <c r="G1041" i="3"/>
  <c r="F1041" i="3"/>
  <c r="E1041" i="3"/>
  <c r="D1041" i="3"/>
  <c r="C1041" i="3"/>
  <c r="B1041" i="3"/>
  <c r="A1041" i="3"/>
  <c r="I1040" i="3"/>
  <c r="H1040" i="3"/>
  <c r="G1040" i="3"/>
  <c r="F1040" i="3"/>
  <c r="E1040" i="3"/>
  <c r="D1040" i="3"/>
  <c r="C1040" i="3"/>
  <c r="B1040" i="3"/>
  <c r="A1040" i="3"/>
  <c r="I1039" i="3"/>
  <c r="H1039" i="3"/>
  <c r="G1039" i="3"/>
  <c r="F1039" i="3"/>
  <c r="E1039" i="3"/>
  <c r="D1039" i="3"/>
  <c r="C1039" i="3"/>
  <c r="B1039" i="3"/>
  <c r="A1039" i="3"/>
  <c r="I1038" i="3"/>
  <c r="H1038" i="3"/>
  <c r="G1038" i="3"/>
  <c r="F1038" i="3"/>
  <c r="E1038" i="3"/>
  <c r="D1038" i="3"/>
  <c r="C1038" i="3"/>
  <c r="B1038" i="3"/>
  <c r="A1038" i="3"/>
  <c r="I1037" i="3"/>
  <c r="H1037" i="3"/>
  <c r="G1037" i="3"/>
  <c r="F1037" i="3"/>
  <c r="E1037" i="3"/>
  <c r="D1037" i="3"/>
  <c r="C1037" i="3"/>
  <c r="B1037" i="3"/>
  <c r="A1037" i="3"/>
  <c r="I1036" i="3"/>
  <c r="H1036" i="3"/>
  <c r="G1036" i="3"/>
  <c r="F1036" i="3"/>
  <c r="E1036" i="3"/>
  <c r="D1036" i="3"/>
  <c r="C1036" i="3"/>
  <c r="B1036" i="3"/>
  <c r="A1036" i="3"/>
  <c r="I1035" i="3"/>
  <c r="H1035" i="3"/>
  <c r="G1035" i="3"/>
  <c r="F1035" i="3"/>
  <c r="E1035" i="3"/>
  <c r="D1035" i="3"/>
  <c r="C1035" i="3"/>
  <c r="B1035" i="3"/>
  <c r="A1035" i="3"/>
  <c r="I1034" i="3"/>
  <c r="H1034" i="3"/>
  <c r="G1034" i="3"/>
  <c r="F1034" i="3"/>
  <c r="E1034" i="3"/>
  <c r="D1034" i="3"/>
  <c r="C1034" i="3"/>
  <c r="B1034" i="3"/>
  <c r="A1034" i="3"/>
  <c r="I1033" i="3"/>
  <c r="H1033" i="3"/>
  <c r="G1033" i="3"/>
  <c r="F1033" i="3"/>
  <c r="E1033" i="3"/>
  <c r="D1033" i="3"/>
  <c r="C1033" i="3"/>
  <c r="B1033" i="3"/>
  <c r="A1033" i="3"/>
  <c r="I1032" i="3"/>
  <c r="H1032" i="3"/>
  <c r="G1032" i="3"/>
  <c r="F1032" i="3"/>
  <c r="E1032" i="3"/>
  <c r="D1032" i="3"/>
  <c r="C1032" i="3"/>
  <c r="B1032" i="3"/>
  <c r="A1032" i="3"/>
  <c r="I1031" i="3"/>
  <c r="H1031" i="3"/>
  <c r="G1031" i="3"/>
  <c r="F1031" i="3"/>
  <c r="E1031" i="3"/>
  <c r="D1031" i="3"/>
  <c r="C1031" i="3"/>
  <c r="B1031" i="3"/>
  <c r="A1031" i="3"/>
  <c r="I1030" i="3"/>
  <c r="H1030" i="3"/>
  <c r="G1030" i="3"/>
  <c r="F1030" i="3"/>
  <c r="E1030" i="3"/>
  <c r="D1030" i="3"/>
  <c r="C1030" i="3"/>
  <c r="B1030" i="3"/>
  <c r="A1030" i="3"/>
  <c r="I1029" i="3"/>
  <c r="H1029" i="3"/>
  <c r="G1029" i="3"/>
  <c r="F1029" i="3"/>
  <c r="E1029" i="3"/>
  <c r="D1029" i="3"/>
  <c r="C1029" i="3"/>
  <c r="B1029" i="3"/>
  <c r="A1029" i="3"/>
  <c r="I1028" i="3"/>
  <c r="H1028" i="3"/>
  <c r="G1028" i="3"/>
  <c r="F1028" i="3"/>
  <c r="E1028" i="3"/>
  <c r="D1028" i="3"/>
  <c r="C1028" i="3"/>
  <c r="B1028" i="3"/>
  <c r="A1028" i="3"/>
  <c r="I1027" i="3"/>
  <c r="H1027" i="3"/>
  <c r="G1027" i="3"/>
  <c r="F1027" i="3"/>
  <c r="E1027" i="3"/>
  <c r="D1027" i="3"/>
  <c r="C1027" i="3"/>
  <c r="B1027" i="3"/>
  <c r="A1027" i="3"/>
  <c r="I1026" i="3"/>
  <c r="H1026" i="3"/>
  <c r="G1026" i="3"/>
  <c r="F1026" i="3"/>
  <c r="E1026" i="3"/>
  <c r="D1026" i="3"/>
  <c r="C1026" i="3"/>
  <c r="B1026" i="3"/>
  <c r="A1026" i="3"/>
  <c r="I1025" i="3"/>
  <c r="H1025" i="3"/>
  <c r="G1025" i="3"/>
  <c r="F1025" i="3"/>
  <c r="E1025" i="3"/>
  <c r="D1025" i="3"/>
  <c r="C1025" i="3"/>
  <c r="B1025" i="3"/>
  <c r="A1025" i="3"/>
  <c r="I1024" i="3"/>
  <c r="H1024" i="3"/>
  <c r="G1024" i="3"/>
  <c r="F1024" i="3"/>
  <c r="E1024" i="3"/>
  <c r="D1024" i="3"/>
  <c r="C1024" i="3"/>
  <c r="B1024" i="3"/>
  <c r="A1024" i="3"/>
  <c r="I1023" i="3"/>
  <c r="H1023" i="3"/>
  <c r="G1023" i="3"/>
  <c r="F1023" i="3"/>
  <c r="E1023" i="3"/>
  <c r="D1023" i="3"/>
  <c r="C1023" i="3"/>
  <c r="B1023" i="3"/>
  <c r="A1023" i="3"/>
  <c r="I1022" i="3"/>
  <c r="H1022" i="3"/>
  <c r="G1022" i="3"/>
  <c r="F1022" i="3"/>
  <c r="E1022" i="3"/>
  <c r="D1022" i="3"/>
  <c r="C1022" i="3"/>
  <c r="B1022" i="3"/>
  <c r="A1022" i="3"/>
  <c r="I1021" i="3"/>
  <c r="H1021" i="3"/>
  <c r="G1021" i="3"/>
  <c r="F1021" i="3"/>
  <c r="E1021" i="3"/>
  <c r="D1021" i="3"/>
  <c r="C1021" i="3"/>
  <c r="B1021" i="3"/>
  <c r="A1021" i="3"/>
  <c r="I1020" i="3"/>
  <c r="H1020" i="3"/>
  <c r="G1020" i="3"/>
  <c r="F1020" i="3"/>
  <c r="E1020" i="3"/>
  <c r="D1020" i="3"/>
  <c r="C1020" i="3"/>
  <c r="B1020" i="3"/>
  <c r="A1020" i="3"/>
  <c r="I1019" i="3"/>
  <c r="H1019" i="3"/>
  <c r="G1019" i="3"/>
  <c r="F1019" i="3"/>
  <c r="E1019" i="3"/>
  <c r="D1019" i="3"/>
  <c r="C1019" i="3"/>
  <c r="B1019" i="3"/>
  <c r="A1019" i="3"/>
  <c r="I1018" i="3"/>
  <c r="H1018" i="3"/>
  <c r="G1018" i="3"/>
  <c r="F1018" i="3"/>
  <c r="E1018" i="3"/>
  <c r="D1018" i="3"/>
  <c r="C1018" i="3"/>
  <c r="B1018" i="3"/>
  <c r="A1018" i="3"/>
  <c r="I1017" i="3"/>
  <c r="H1017" i="3"/>
  <c r="G1017" i="3"/>
  <c r="F1017" i="3"/>
  <c r="E1017" i="3"/>
  <c r="D1017" i="3"/>
  <c r="C1017" i="3"/>
  <c r="B1017" i="3"/>
  <c r="A1017" i="3"/>
  <c r="I1016" i="3"/>
  <c r="H1016" i="3"/>
  <c r="G1016" i="3"/>
  <c r="F1016" i="3"/>
  <c r="E1016" i="3"/>
  <c r="D1016" i="3"/>
  <c r="C1016" i="3"/>
  <c r="B1016" i="3"/>
  <c r="A1016" i="3"/>
  <c r="I1015" i="3"/>
  <c r="H1015" i="3"/>
  <c r="G1015" i="3"/>
  <c r="F1015" i="3"/>
  <c r="E1015" i="3"/>
  <c r="D1015" i="3"/>
  <c r="C1015" i="3"/>
  <c r="B1015" i="3"/>
  <c r="A1015" i="3"/>
  <c r="I1014" i="3"/>
  <c r="H1014" i="3"/>
  <c r="G1014" i="3"/>
  <c r="F1014" i="3"/>
  <c r="E1014" i="3"/>
  <c r="D1014" i="3"/>
  <c r="C1014" i="3"/>
  <c r="B1014" i="3"/>
  <c r="A1014" i="3"/>
  <c r="I1013" i="3"/>
  <c r="H1013" i="3"/>
  <c r="G1013" i="3"/>
  <c r="F1013" i="3"/>
  <c r="E1013" i="3"/>
  <c r="D1013" i="3"/>
  <c r="C1013" i="3"/>
  <c r="B1013" i="3"/>
  <c r="A1013" i="3"/>
  <c r="I1012" i="3"/>
  <c r="H1012" i="3"/>
  <c r="G1012" i="3"/>
  <c r="F1012" i="3"/>
  <c r="E1012" i="3"/>
  <c r="D1012" i="3"/>
  <c r="C1012" i="3"/>
  <c r="B1012" i="3"/>
  <c r="A1012" i="3"/>
  <c r="I1011" i="3"/>
  <c r="H1011" i="3"/>
  <c r="G1011" i="3"/>
  <c r="F1011" i="3"/>
  <c r="E1011" i="3"/>
  <c r="D1011" i="3"/>
  <c r="C1011" i="3"/>
  <c r="B1011" i="3"/>
  <c r="A1011" i="3"/>
  <c r="I1010" i="3"/>
  <c r="H1010" i="3"/>
  <c r="G1010" i="3"/>
  <c r="F1010" i="3"/>
  <c r="E1010" i="3"/>
  <c r="D1010" i="3"/>
  <c r="C1010" i="3"/>
  <c r="B1010" i="3"/>
  <c r="A1010" i="3"/>
  <c r="I1009" i="3"/>
  <c r="H1009" i="3"/>
  <c r="G1009" i="3"/>
  <c r="F1009" i="3"/>
  <c r="E1009" i="3"/>
  <c r="D1009" i="3"/>
  <c r="C1009" i="3"/>
  <c r="B1009" i="3"/>
  <c r="A1009" i="3"/>
  <c r="I1008" i="3"/>
  <c r="H1008" i="3"/>
  <c r="G1008" i="3"/>
  <c r="F1008" i="3"/>
  <c r="E1008" i="3"/>
  <c r="D1008" i="3"/>
  <c r="C1008" i="3"/>
  <c r="B1008" i="3"/>
  <c r="A1008" i="3"/>
  <c r="I1007" i="3"/>
  <c r="H1007" i="3"/>
  <c r="G1007" i="3"/>
  <c r="F1007" i="3"/>
  <c r="E1007" i="3"/>
  <c r="D1007" i="3"/>
  <c r="C1007" i="3"/>
  <c r="B1007" i="3"/>
  <c r="A1007" i="3"/>
  <c r="I1006" i="3"/>
  <c r="H1006" i="3"/>
  <c r="G1006" i="3"/>
  <c r="F1006" i="3"/>
  <c r="E1006" i="3"/>
  <c r="D1006" i="3"/>
  <c r="C1006" i="3"/>
  <c r="B1006" i="3"/>
  <c r="A1006" i="3"/>
  <c r="I1005" i="3"/>
  <c r="H1005" i="3"/>
  <c r="G1005" i="3"/>
  <c r="F1005" i="3"/>
  <c r="E1005" i="3"/>
  <c r="D1005" i="3"/>
  <c r="C1005" i="3"/>
  <c r="B1005" i="3"/>
  <c r="A1005" i="3"/>
  <c r="I1004" i="3"/>
  <c r="H1004" i="3"/>
  <c r="G1004" i="3"/>
  <c r="F1004" i="3"/>
  <c r="E1004" i="3"/>
  <c r="D1004" i="3"/>
  <c r="C1004" i="3"/>
  <c r="B1004" i="3"/>
  <c r="A1004" i="3"/>
  <c r="I1003" i="3"/>
  <c r="H1003" i="3"/>
  <c r="G1003" i="3"/>
  <c r="F1003" i="3"/>
  <c r="E1003" i="3"/>
  <c r="D1003" i="3"/>
  <c r="C1003" i="3"/>
  <c r="B1003" i="3"/>
  <c r="A1003" i="3"/>
  <c r="I1002" i="3"/>
  <c r="H1002" i="3"/>
  <c r="G1002" i="3"/>
  <c r="F1002" i="3"/>
  <c r="E1002" i="3"/>
  <c r="D1002" i="3"/>
  <c r="C1002" i="3"/>
  <c r="B1002" i="3"/>
  <c r="A1002" i="3"/>
  <c r="I1001" i="3"/>
  <c r="H1001" i="3"/>
  <c r="G1001" i="3"/>
  <c r="F1001" i="3"/>
  <c r="E1001" i="3"/>
  <c r="D1001" i="3"/>
  <c r="C1001" i="3"/>
  <c r="B1001" i="3"/>
  <c r="A1001" i="3"/>
  <c r="I1000" i="3"/>
  <c r="H1000" i="3"/>
  <c r="G1000" i="3"/>
  <c r="F1000" i="3"/>
  <c r="E1000" i="3"/>
  <c r="D1000" i="3"/>
  <c r="C1000" i="3"/>
  <c r="B1000" i="3"/>
  <c r="A1000" i="3"/>
  <c r="I999" i="3"/>
  <c r="H999" i="3"/>
  <c r="G999" i="3"/>
  <c r="F999" i="3"/>
  <c r="E999" i="3"/>
  <c r="D999" i="3"/>
  <c r="C999" i="3"/>
  <c r="B999" i="3"/>
  <c r="A999" i="3"/>
  <c r="I998" i="3"/>
  <c r="H998" i="3"/>
  <c r="G998" i="3"/>
  <c r="F998" i="3"/>
  <c r="E998" i="3"/>
  <c r="D998" i="3"/>
  <c r="C998" i="3"/>
  <c r="B998" i="3"/>
  <c r="A998" i="3"/>
  <c r="I997" i="3"/>
  <c r="H997" i="3"/>
  <c r="G997" i="3"/>
  <c r="F997" i="3"/>
  <c r="E997" i="3"/>
  <c r="D997" i="3"/>
  <c r="C997" i="3"/>
  <c r="B997" i="3"/>
  <c r="A997" i="3"/>
  <c r="I996" i="3"/>
  <c r="H996" i="3"/>
  <c r="G996" i="3"/>
  <c r="F996" i="3"/>
  <c r="E996" i="3"/>
  <c r="D996" i="3"/>
  <c r="C996" i="3"/>
  <c r="B996" i="3"/>
  <c r="A996" i="3"/>
  <c r="I995" i="3"/>
  <c r="H995" i="3"/>
  <c r="G995" i="3"/>
  <c r="F995" i="3"/>
  <c r="E995" i="3"/>
  <c r="D995" i="3"/>
  <c r="C995" i="3"/>
  <c r="B995" i="3"/>
  <c r="A995" i="3"/>
  <c r="I994" i="3"/>
  <c r="H994" i="3"/>
  <c r="G994" i="3"/>
  <c r="F994" i="3"/>
  <c r="E994" i="3"/>
  <c r="D994" i="3"/>
  <c r="C994" i="3"/>
  <c r="B994" i="3"/>
  <c r="A994" i="3"/>
  <c r="I993" i="3"/>
  <c r="H993" i="3"/>
  <c r="G993" i="3"/>
  <c r="F993" i="3"/>
  <c r="E993" i="3"/>
  <c r="D993" i="3"/>
  <c r="C993" i="3"/>
  <c r="B993" i="3"/>
  <c r="A993" i="3"/>
  <c r="I992" i="3"/>
  <c r="H992" i="3"/>
  <c r="G992" i="3"/>
  <c r="F992" i="3"/>
  <c r="E992" i="3"/>
  <c r="D992" i="3"/>
  <c r="C992" i="3"/>
  <c r="B992" i="3"/>
  <c r="A992" i="3"/>
  <c r="I991" i="3"/>
  <c r="H991" i="3"/>
  <c r="G991" i="3"/>
  <c r="F991" i="3"/>
  <c r="E991" i="3"/>
  <c r="D991" i="3"/>
  <c r="C991" i="3"/>
  <c r="B991" i="3"/>
  <c r="A991" i="3"/>
  <c r="I990" i="3"/>
  <c r="H990" i="3"/>
  <c r="G990" i="3"/>
  <c r="F990" i="3"/>
  <c r="E990" i="3"/>
  <c r="D990" i="3"/>
  <c r="C990" i="3"/>
  <c r="B990" i="3"/>
  <c r="A990" i="3"/>
  <c r="I989" i="3"/>
  <c r="H989" i="3"/>
  <c r="G989" i="3"/>
  <c r="F989" i="3"/>
  <c r="E989" i="3"/>
  <c r="D989" i="3"/>
  <c r="C989" i="3"/>
  <c r="B989" i="3"/>
  <c r="A989" i="3"/>
  <c r="I988" i="3"/>
  <c r="H988" i="3"/>
  <c r="G988" i="3"/>
  <c r="F988" i="3"/>
  <c r="E988" i="3"/>
  <c r="D988" i="3"/>
  <c r="C988" i="3"/>
  <c r="B988" i="3"/>
  <c r="A988" i="3"/>
  <c r="I987" i="3"/>
  <c r="H987" i="3"/>
  <c r="G987" i="3"/>
  <c r="F987" i="3"/>
  <c r="E987" i="3"/>
  <c r="D987" i="3"/>
  <c r="C987" i="3"/>
  <c r="B987" i="3"/>
  <c r="A987" i="3"/>
  <c r="I986" i="3"/>
  <c r="H986" i="3"/>
  <c r="G986" i="3"/>
  <c r="F986" i="3"/>
  <c r="E986" i="3"/>
  <c r="D986" i="3"/>
  <c r="C986" i="3"/>
  <c r="B986" i="3"/>
  <c r="A986" i="3"/>
  <c r="I985" i="3"/>
  <c r="H985" i="3"/>
  <c r="G985" i="3"/>
  <c r="F985" i="3"/>
  <c r="E985" i="3"/>
  <c r="D985" i="3"/>
  <c r="C985" i="3"/>
  <c r="B985" i="3"/>
  <c r="A985" i="3"/>
  <c r="I984" i="3"/>
  <c r="H984" i="3"/>
  <c r="G984" i="3"/>
  <c r="F984" i="3"/>
  <c r="E984" i="3"/>
  <c r="D984" i="3"/>
  <c r="C984" i="3"/>
  <c r="B984" i="3"/>
  <c r="A984" i="3"/>
  <c r="I983" i="3"/>
  <c r="H983" i="3"/>
  <c r="G983" i="3"/>
  <c r="F983" i="3"/>
  <c r="E983" i="3"/>
  <c r="D983" i="3"/>
  <c r="C983" i="3"/>
  <c r="B983" i="3"/>
  <c r="A983" i="3"/>
  <c r="I982" i="3"/>
  <c r="H982" i="3"/>
  <c r="G982" i="3"/>
  <c r="F982" i="3"/>
  <c r="E982" i="3"/>
  <c r="D982" i="3"/>
  <c r="C982" i="3"/>
  <c r="B982" i="3"/>
  <c r="A982" i="3"/>
  <c r="I981" i="3"/>
  <c r="H981" i="3"/>
  <c r="G981" i="3"/>
  <c r="F981" i="3"/>
  <c r="E981" i="3"/>
  <c r="D981" i="3"/>
  <c r="C981" i="3"/>
  <c r="B981" i="3"/>
  <c r="A981" i="3"/>
  <c r="I980" i="3"/>
  <c r="H980" i="3"/>
  <c r="G980" i="3"/>
  <c r="F980" i="3"/>
  <c r="E980" i="3"/>
  <c r="D980" i="3"/>
  <c r="C980" i="3"/>
  <c r="B980" i="3"/>
  <c r="A980" i="3"/>
  <c r="I979" i="3"/>
  <c r="H979" i="3"/>
  <c r="G979" i="3"/>
  <c r="F979" i="3"/>
  <c r="E979" i="3"/>
  <c r="D979" i="3"/>
  <c r="C979" i="3"/>
  <c r="B979" i="3"/>
  <c r="A979" i="3"/>
  <c r="I978" i="3"/>
  <c r="H978" i="3"/>
  <c r="G978" i="3"/>
  <c r="F978" i="3"/>
  <c r="E978" i="3"/>
  <c r="D978" i="3"/>
  <c r="C978" i="3"/>
  <c r="B978" i="3"/>
  <c r="A978" i="3"/>
  <c r="I977" i="3"/>
  <c r="H977" i="3"/>
  <c r="G977" i="3"/>
  <c r="F977" i="3"/>
  <c r="E977" i="3"/>
  <c r="D977" i="3"/>
  <c r="C977" i="3"/>
  <c r="B977" i="3"/>
  <c r="A977" i="3"/>
  <c r="I976" i="3"/>
  <c r="H976" i="3"/>
  <c r="G976" i="3"/>
  <c r="F976" i="3"/>
  <c r="E976" i="3"/>
  <c r="D976" i="3"/>
  <c r="C976" i="3"/>
  <c r="B976" i="3"/>
  <c r="A976" i="3"/>
  <c r="I975" i="3"/>
  <c r="H975" i="3"/>
  <c r="G975" i="3"/>
  <c r="F975" i="3"/>
  <c r="E975" i="3"/>
  <c r="D975" i="3"/>
  <c r="C975" i="3"/>
  <c r="B975" i="3"/>
  <c r="A975" i="3"/>
  <c r="I974" i="3"/>
  <c r="H974" i="3"/>
  <c r="G974" i="3"/>
  <c r="F974" i="3"/>
  <c r="E974" i="3"/>
  <c r="D974" i="3"/>
  <c r="C974" i="3"/>
  <c r="B974" i="3"/>
  <c r="A974" i="3"/>
  <c r="I973" i="3"/>
  <c r="H973" i="3"/>
  <c r="G973" i="3"/>
  <c r="F973" i="3"/>
  <c r="E973" i="3"/>
  <c r="D973" i="3"/>
  <c r="C973" i="3"/>
  <c r="B973" i="3"/>
  <c r="A973" i="3"/>
  <c r="I972" i="3"/>
  <c r="H972" i="3"/>
  <c r="G972" i="3"/>
  <c r="F972" i="3"/>
  <c r="E972" i="3"/>
  <c r="D972" i="3"/>
  <c r="C972" i="3"/>
  <c r="B972" i="3"/>
  <c r="A972" i="3"/>
  <c r="I971" i="3"/>
  <c r="H971" i="3"/>
  <c r="G971" i="3"/>
  <c r="F971" i="3"/>
  <c r="E971" i="3"/>
  <c r="D971" i="3"/>
  <c r="C971" i="3"/>
  <c r="B971" i="3"/>
  <c r="A971" i="3"/>
  <c r="I970" i="3"/>
  <c r="H970" i="3"/>
  <c r="G970" i="3"/>
  <c r="F970" i="3"/>
  <c r="E970" i="3"/>
  <c r="D970" i="3"/>
  <c r="C970" i="3"/>
  <c r="B970" i="3"/>
  <c r="A970" i="3"/>
  <c r="I969" i="3"/>
  <c r="H969" i="3"/>
  <c r="G969" i="3"/>
  <c r="F969" i="3"/>
  <c r="E969" i="3"/>
  <c r="D969" i="3"/>
  <c r="C969" i="3"/>
  <c r="B969" i="3"/>
  <c r="A969" i="3"/>
  <c r="I968" i="3"/>
  <c r="H968" i="3"/>
  <c r="G968" i="3"/>
  <c r="F968" i="3"/>
  <c r="E968" i="3"/>
  <c r="D968" i="3"/>
  <c r="C968" i="3"/>
  <c r="B968" i="3"/>
  <c r="A968" i="3"/>
  <c r="I967" i="3"/>
  <c r="H967" i="3"/>
  <c r="G967" i="3"/>
  <c r="F967" i="3"/>
  <c r="E967" i="3"/>
  <c r="D967" i="3"/>
  <c r="C967" i="3"/>
  <c r="B967" i="3"/>
  <c r="A967" i="3"/>
  <c r="I966" i="3"/>
  <c r="H966" i="3"/>
  <c r="G966" i="3"/>
  <c r="F966" i="3"/>
  <c r="E966" i="3"/>
  <c r="D966" i="3"/>
  <c r="C966" i="3"/>
  <c r="B966" i="3"/>
  <c r="A966" i="3"/>
  <c r="I965" i="3"/>
  <c r="H965" i="3"/>
  <c r="G965" i="3"/>
  <c r="F965" i="3"/>
  <c r="E965" i="3"/>
  <c r="D965" i="3"/>
  <c r="C965" i="3"/>
  <c r="B965" i="3"/>
  <c r="A965" i="3"/>
  <c r="I964" i="3"/>
  <c r="H964" i="3"/>
  <c r="G964" i="3"/>
  <c r="F964" i="3"/>
  <c r="E964" i="3"/>
  <c r="D964" i="3"/>
  <c r="C964" i="3"/>
  <c r="B964" i="3"/>
  <c r="A964" i="3"/>
  <c r="I963" i="3"/>
  <c r="H963" i="3"/>
  <c r="G963" i="3"/>
  <c r="F963" i="3"/>
  <c r="E963" i="3"/>
  <c r="D963" i="3"/>
  <c r="C963" i="3"/>
  <c r="B963" i="3"/>
  <c r="A963" i="3"/>
  <c r="I962" i="3"/>
  <c r="H962" i="3"/>
  <c r="G962" i="3"/>
  <c r="F962" i="3"/>
  <c r="E962" i="3"/>
  <c r="D962" i="3"/>
  <c r="C962" i="3"/>
  <c r="B962" i="3"/>
  <c r="A962" i="3"/>
  <c r="I961" i="3"/>
  <c r="H961" i="3"/>
  <c r="G961" i="3"/>
  <c r="F961" i="3"/>
  <c r="E961" i="3"/>
  <c r="D961" i="3"/>
  <c r="C961" i="3"/>
  <c r="B961" i="3"/>
  <c r="A961" i="3"/>
  <c r="I960" i="3"/>
  <c r="H960" i="3"/>
  <c r="G960" i="3"/>
  <c r="F960" i="3"/>
  <c r="E960" i="3"/>
  <c r="D960" i="3"/>
  <c r="C960" i="3"/>
  <c r="B960" i="3"/>
  <c r="A960" i="3"/>
  <c r="I959" i="3"/>
  <c r="H959" i="3"/>
  <c r="G959" i="3"/>
  <c r="F959" i="3"/>
  <c r="E959" i="3"/>
  <c r="D959" i="3"/>
  <c r="C959" i="3"/>
  <c r="B959" i="3"/>
  <c r="A959" i="3"/>
  <c r="I958" i="3"/>
  <c r="H958" i="3"/>
  <c r="G958" i="3"/>
  <c r="F958" i="3"/>
  <c r="E958" i="3"/>
  <c r="D958" i="3"/>
  <c r="C958" i="3"/>
  <c r="B958" i="3"/>
  <c r="A958" i="3"/>
  <c r="I957" i="3"/>
  <c r="H957" i="3"/>
  <c r="G957" i="3"/>
  <c r="F957" i="3"/>
  <c r="E957" i="3"/>
  <c r="D957" i="3"/>
  <c r="C957" i="3"/>
  <c r="B957" i="3"/>
  <c r="A957" i="3"/>
  <c r="I956" i="3"/>
  <c r="H956" i="3"/>
  <c r="G956" i="3"/>
  <c r="F956" i="3"/>
  <c r="E956" i="3"/>
  <c r="D956" i="3"/>
  <c r="C956" i="3"/>
  <c r="B956" i="3"/>
  <c r="A956" i="3"/>
  <c r="I955" i="3"/>
  <c r="H955" i="3"/>
  <c r="G955" i="3"/>
  <c r="F955" i="3"/>
  <c r="E955" i="3"/>
  <c r="D955" i="3"/>
  <c r="C955" i="3"/>
  <c r="B955" i="3"/>
  <c r="A955" i="3"/>
  <c r="I954" i="3"/>
  <c r="H954" i="3"/>
  <c r="G954" i="3"/>
  <c r="F954" i="3"/>
  <c r="E954" i="3"/>
  <c r="D954" i="3"/>
  <c r="C954" i="3"/>
  <c r="B954" i="3"/>
  <c r="A954" i="3"/>
  <c r="I953" i="3"/>
  <c r="H953" i="3"/>
  <c r="G953" i="3"/>
  <c r="F953" i="3"/>
  <c r="E953" i="3"/>
  <c r="D953" i="3"/>
  <c r="C953" i="3"/>
  <c r="B953" i="3"/>
  <c r="A953" i="3"/>
  <c r="I952" i="3"/>
  <c r="H952" i="3"/>
  <c r="G952" i="3"/>
  <c r="F952" i="3"/>
  <c r="E952" i="3"/>
  <c r="D952" i="3"/>
  <c r="C952" i="3"/>
  <c r="B952" i="3"/>
  <c r="A952" i="3"/>
  <c r="I951" i="3"/>
  <c r="H951" i="3"/>
  <c r="G951" i="3"/>
  <c r="F951" i="3"/>
  <c r="E951" i="3"/>
  <c r="D951" i="3"/>
  <c r="C951" i="3"/>
  <c r="B951" i="3"/>
  <c r="A951" i="3"/>
  <c r="I950" i="3"/>
  <c r="H950" i="3"/>
  <c r="G950" i="3"/>
  <c r="F950" i="3"/>
  <c r="E950" i="3"/>
  <c r="D950" i="3"/>
  <c r="C950" i="3"/>
  <c r="B950" i="3"/>
  <c r="A950" i="3"/>
  <c r="I949" i="3"/>
  <c r="H949" i="3"/>
  <c r="G949" i="3"/>
  <c r="F949" i="3"/>
  <c r="E949" i="3"/>
  <c r="D949" i="3"/>
  <c r="C949" i="3"/>
  <c r="B949" i="3"/>
  <c r="A949" i="3"/>
  <c r="I948" i="3"/>
  <c r="H948" i="3"/>
  <c r="G948" i="3"/>
  <c r="F948" i="3"/>
  <c r="E948" i="3"/>
  <c r="D948" i="3"/>
  <c r="C948" i="3"/>
  <c r="B948" i="3"/>
  <c r="A948" i="3"/>
  <c r="I947" i="3"/>
  <c r="H947" i="3"/>
  <c r="G947" i="3"/>
  <c r="F947" i="3"/>
  <c r="E947" i="3"/>
  <c r="D947" i="3"/>
  <c r="C947" i="3"/>
  <c r="B947" i="3"/>
  <c r="A947" i="3"/>
  <c r="I946" i="3"/>
  <c r="H946" i="3"/>
  <c r="G946" i="3"/>
  <c r="F946" i="3"/>
  <c r="E946" i="3"/>
  <c r="D946" i="3"/>
  <c r="C946" i="3"/>
  <c r="B946" i="3"/>
  <c r="A946" i="3"/>
  <c r="I945" i="3"/>
  <c r="H945" i="3"/>
  <c r="G945" i="3"/>
  <c r="F945" i="3"/>
  <c r="E945" i="3"/>
  <c r="D945" i="3"/>
  <c r="C945" i="3"/>
  <c r="B945" i="3"/>
  <c r="A945" i="3"/>
  <c r="I944" i="3"/>
  <c r="H944" i="3"/>
  <c r="G944" i="3"/>
  <c r="F944" i="3"/>
  <c r="E944" i="3"/>
  <c r="D944" i="3"/>
  <c r="C944" i="3"/>
  <c r="B944" i="3"/>
  <c r="A944" i="3"/>
  <c r="I943" i="3"/>
  <c r="H943" i="3"/>
  <c r="G943" i="3"/>
  <c r="F943" i="3"/>
  <c r="E943" i="3"/>
  <c r="D943" i="3"/>
  <c r="C943" i="3"/>
  <c r="B943" i="3"/>
  <c r="A943" i="3"/>
  <c r="I942" i="3"/>
  <c r="H942" i="3"/>
  <c r="G942" i="3"/>
  <c r="F942" i="3"/>
  <c r="E942" i="3"/>
  <c r="D942" i="3"/>
  <c r="C942" i="3"/>
  <c r="B942" i="3"/>
  <c r="A942" i="3"/>
  <c r="I941" i="3"/>
  <c r="H941" i="3"/>
  <c r="G941" i="3"/>
  <c r="F941" i="3"/>
  <c r="E941" i="3"/>
  <c r="D941" i="3"/>
  <c r="C941" i="3"/>
  <c r="B941" i="3"/>
  <c r="A941" i="3"/>
  <c r="I940" i="3"/>
  <c r="H940" i="3"/>
  <c r="G940" i="3"/>
  <c r="F940" i="3"/>
  <c r="E940" i="3"/>
  <c r="D940" i="3"/>
  <c r="C940" i="3"/>
  <c r="B940" i="3"/>
  <c r="A940" i="3"/>
  <c r="I939" i="3"/>
  <c r="H939" i="3"/>
  <c r="G939" i="3"/>
  <c r="F939" i="3"/>
  <c r="E939" i="3"/>
  <c r="D939" i="3"/>
  <c r="C939" i="3"/>
  <c r="B939" i="3"/>
  <c r="A939" i="3"/>
  <c r="I938" i="3"/>
  <c r="H938" i="3"/>
  <c r="G938" i="3"/>
  <c r="F938" i="3"/>
  <c r="E938" i="3"/>
  <c r="D938" i="3"/>
  <c r="C938" i="3"/>
  <c r="B938" i="3"/>
  <c r="A938" i="3"/>
  <c r="I937" i="3"/>
  <c r="H937" i="3"/>
  <c r="G937" i="3"/>
  <c r="F937" i="3"/>
  <c r="E937" i="3"/>
  <c r="D937" i="3"/>
  <c r="C937" i="3"/>
  <c r="B937" i="3"/>
  <c r="A937" i="3"/>
  <c r="I936" i="3"/>
  <c r="H936" i="3"/>
  <c r="G936" i="3"/>
  <c r="F936" i="3"/>
  <c r="E936" i="3"/>
  <c r="D936" i="3"/>
  <c r="C936" i="3"/>
  <c r="B936" i="3"/>
  <c r="A936" i="3"/>
  <c r="I935" i="3"/>
  <c r="H935" i="3"/>
  <c r="G935" i="3"/>
  <c r="F935" i="3"/>
  <c r="E935" i="3"/>
  <c r="D935" i="3"/>
  <c r="C935" i="3"/>
  <c r="B935" i="3"/>
  <c r="A935" i="3"/>
  <c r="I934" i="3"/>
  <c r="H934" i="3"/>
  <c r="G934" i="3"/>
  <c r="F934" i="3"/>
  <c r="E934" i="3"/>
  <c r="D934" i="3"/>
  <c r="C934" i="3"/>
  <c r="B934" i="3"/>
  <c r="A934" i="3"/>
  <c r="I933" i="3"/>
  <c r="H933" i="3"/>
  <c r="G933" i="3"/>
  <c r="F933" i="3"/>
  <c r="E933" i="3"/>
  <c r="D933" i="3"/>
  <c r="C933" i="3"/>
  <c r="B933" i="3"/>
  <c r="A933" i="3"/>
  <c r="I932" i="3"/>
  <c r="H932" i="3"/>
  <c r="G932" i="3"/>
  <c r="F932" i="3"/>
  <c r="E932" i="3"/>
  <c r="D932" i="3"/>
  <c r="C932" i="3"/>
  <c r="B932" i="3"/>
  <c r="A932" i="3"/>
  <c r="I931" i="3"/>
  <c r="H931" i="3"/>
  <c r="G931" i="3"/>
  <c r="F931" i="3"/>
  <c r="E931" i="3"/>
  <c r="D931" i="3"/>
  <c r="C931" i="3"/>
  <c r="B931" i="3"/>
  <c r="A931" i="3"/>
  <c r="I930" i="3"/>
  <c r="H930" i="3"/>
  <c r="G930" i="3"/>
  <c r="F930" i="3"/>
  <c r="E930" i="3"/>
  <c r="D930" i="3"/>
  <c r="C930" i="3"/>
  <c r="B930" i="3"/>
  <c r="A930" i="3"/>
  <c r="I929" i="3"/>
  <c r="H929" i="3"/>
  <c r="G929" i="3"/>
  <c r="F929" i="3"/>
  <c r="E929" i="3"/>
  <c r="D929" i="3"/>
  <c r="C929" i="3"/>
  <c r="B929" i="3"/>
  <c r="A929" i="3"/>
  <c r="I928" i="3"/>
  <c r="H928" i="3"/>
  <c r="G928" i="3"/>
  <c r="F928" i="3"/>
  <c r="E928" i="3"/>
  <c r="D928" i="3"/>
  <c r="C928" i="3"/>
  <c r="B928" i="3"/>
  <c r="A928" i="3"/>
  <c r="I927" i="3"/>
  <c r="H927" i="3"/>
  <c r="G927" i="3"/>
  <c r="F927" i="3"/>
  <c r="E927" i="3"/>
  <c r="D927" i="3"/>
  <c r="C927" i="3"/>
  <c r="B927" i="3"/>
  <c r="A927" i="3"/>
  <c r="I926" i="3"/>
  <c r="H926" i="3"/>
  <c r="G926" i="3"/>
  <c r="F926" i="3"/>
  <c r="E926" i="3"/>
  <c r="D926" i="3"/>
  <c r="C926" i="3"/>
  <c r="B926" i="3"/>
  <c r="A926" i="3"/>
  <c r="I925" i="3"/>
  <c r="H925" i="3"/>
  <c r="G925" i="3"/>
  <c r="F925" i="3"/>
  <c r="E925" i="3"/>
  <c r="D925" i="3"/>
  <c r="C925" i="3"/>
  <c r="B925" i="3"/>
  <c r="A925" i="3"/>
  <c r="I924" i="3"/>
  <c r="H924" i="3"/>
  <c r="G924" i="3"/>
  <c r="F924" i="3"/>
  <c r="E924" i="3"/>
  <c r="D924" i="3"/>
  <c r="C924" i="3"/>
  <c r="B924" i="3"/>
  <c r="A924" i="3"/>
  <c r="I923" i="3"/>
  <c r="H923" i="3"/>
  <c r="G923" i="3"/>
  <c r="F923" i="3"/>
  <c r="E923" i="3"/>
  <c r="D923" i="3"/>
  <c r="C923" i="3"/>
  <c r="B923" i="3"/>
  <c r="A923" i="3"/>
  <c r="I922" i="3"/>
  <c r="H922" i="3"/>
  <c r="G922" i="3"/>
  <c r="F922" i="3"/>
  <c r="E922" i="3"/>
  <c r="D922" i="3"/>
  <c r="C922" i="3"/>
  <c r="B922" i="3"/>
  <c r="A922" i="3"/>
  <c r="I921" i="3"/>
  <c r="H921" i="3"/>
  <c r="G921" i="3"/>
  <c r="F921" i="3"/>
  <c r="E921" i="3"/>
  <c r="D921" i="3"/>
  <c r="C921" i="3"/>
  <c r="B921" i="3"/>
  <c r="A921" i="3"/>
  <c r="I920" i="3"/>
  <c r="H920" i="3"/>
  <c r="G920" i="3"/>
  <c r="F920" i="3"/>
  <c r="E920" i="3"/>
  <c r="D920" i="3"/>
  <c r="C920" i="3"/>
  <c r="B920" i="3"/>
  <c r="A920" i="3"/>
  <c r="I919" i="3"/>
  <c r="H919" i="3"/>
  <c r="G919" i="3"/>
  <c r="F919" i="3"/>
  <c r="E919" i="3"/>
  <c r="D919" i="3"/>
  <c r="C919" i="3"/>
  <c r="B919" i="3"/>
  <c r="A919" i="3"/>
  <c r="I918" i="3"/>
  <c r="H918" i="3"/>
  <c r="G918" i="3"/>
  <c r="F918" i="3"/>
  <c r="E918" i="3"/>
  <c r="D918" i="3"/>
  <c r="C918" i="3"/>
  <c r="B918" i="3"/>
  <c r="A918" i="3"/>
  <c r="I917" i="3"/>
  <c r="H917" i="3"/>
  <c r="G917" i="3"/>
  <c r="F917" i="3"/>
  <c r="E917" i="3"/>
  <c r="D917" i="3"/>
  <c r="C917" i="3"/>
  <c r="B917" i="3"/>
  <c r="A917" i="3"/>
  <c r="I916" i="3"/>
  <c r="H916" i="3"/>
  <c r="G916" i="3"/>
  <c r="F916" i="3"/>
  <c r="E916" i="3"/>
  <c r="D916" i="3"/>
  <c r="C916" i="3"/>
  <c r="B916" i="3"/>
  <c r="A916" i="3"/>
  <c r="I915" i="3"/>
  <c r="H915" i="3"/>
  <c r="G915" i="3"/>
  <c r="F915" i="3"/>
  <c r="E915" i="3"/>
  <c r="D915" i="3"/>
  <c r="C915" i="3"/>
  <c r="B915" i="3"/>
  <c r="A915" i="3"/>
  <c r="I914" i="3"/>
  <c r="H914" i="3"/>
  <c r="G914" i="3"/>
  <c r="F914" i="3"/>
  <c r="E914" i="3"/>
  <c r="D914" i="3"/>
  <c r="C914" i="3"/>
  <c r="B914" i="3"/>
  <c r="A914" i="3"/>
  <c r="I913" i="3"/>
  <c r="H913" i="3"/>
  <c r="G913" i="3"/>
  <c r="F913" i="3"/>
  <c r="E913" i="3"/>
  <c r="D913" i="3"/>
  <c r="C913" i="3"/>
  <c r="B913" i="3"/>
  <c r="A913" i="3"/>
  <c r="I912" i="3"/>
  <c r="H912" i="3"/>
  <c r="G912" i="3"/>
  <c r="F912" i="3"/>
  <c r="E912" i="3"/>
  <c r="D912" i="3"/>
  <c r="C912" i="3"/>
  <c r="B912" i="3"/>
  <c r="A912" i="3"/>
  <c r="I911" i="3"/>
  <c r="H911" i="3"/>
  <c r="G911" i="3"/>
  <c r="F911" i="3"/>
  <c r="E911" i="3"/>
  <c r="D911" i="3"/>
  <c r="C911" i="3"/>
  <c r="B911" i="3"/>
  <c r="A911" i="3"/>
  <c r="I910" i="3"/>
  <c r="H910" i="3"/>
  <c r="G910" i="3"/>
  <c r="F910" i="3"/>
  <c r="E910" i="3"/>
  <c r="D910" i="3"/>
  <c r="C910" i="3"/>
  <c r="B910" i="3"/>
  <c r="A910" i="3"/>
  <c r="I909" i="3"/>
  <c r="H909" i="3"/>
  <c r="G909" i="3"/>
  <c r="F909" i="3"/>
  <c r="E909" i="3"/>
  <c r="D909" i="3"/>
  <c r="C909" i="3"/>
  <c r="B909" i="3"/>
  <c r="A909" i="3"/>
  <c r="I908" i="3"/>
  <c r="H908" i="3"/>
  <c r="G908" i="3"/>
  <c r="F908" i="3"/>
  <c r="E908" i="3"/>
  <c r="D908" i="3"/>
  <c r="C908" i="3"/>
  <c r="B908" i="3"/>
  <c r="A908" i="3"/>
  <c r="I907" i="3"/>
  <c r="H907" i="3"/>
  <c r="G907" i="3"/>
  <c r="F907" i="3"/>
  <c r="E907" i="3"/>
  <c r="D907" i="3"/>
  <c r="C907" i="3"/>
  <c r="B907" i="3"/>
  <c r="A907" i="3"/>
  <c r="I906" i="3"/>
  <c r="H906" i="3"/>
  <c r="G906" i="3"/>
  <c r="F906" i="3"/>
  <c r="E906" i="3"/>
  <c r="D906" i="3"/>
  <c r="C906" i="3"/>
  <c r="B906" i="3"/>
  <c r="A906" i="3"/>
  <c r="I905" i="3"/>
  <c r="H905" i="3"/>
  <c r="G905" i="3"/>
  <c r="F905" i="3"/>
  <c r="E905" i="3"/>
  <c r="D905" i="3"/>
  <c r="C905" i="3"/>
  <c r="B905" i="3"/>
  <c r="A905" i="3"/>
  <c r="I904" i="3"/>
  <c r="H904" i="3"/>
  <c r="G904" i="3"/>
  <c r="F904" i="3"/>
  <c r="E904" i="3"/>
  <c r="D904" i="3"/>
  <c r="C904" i="3"/>
  <c r="B904" i="3"/>
  <c r="A904" i="3"/>
  <c r="I903" i="3"/>
  <c r="H903" i="3"/>
  <c r="G903" i="3"/>
  <c r="F903" i="3"/>
  <c r="E903" i="3"/>
  <c r="D903" i="3"/>
  <c r="C903" i="3"/>
  <c r="B903" i="3"/>
  <c r="A903" i="3"/>
  <c r="I902" i="3"/>
  <c r="H902" i="3"/>
  <c r="G902" i="3"/>
  <c r="F902" i="3"/>
  <c r="E902" i="3"/>
  <c r="D902" i="3"/>
  <c r="C902" i="3"/>
  <c r="B902" i="3"/>
  <c r="A902" i="3"/>
  <c r="I901" i="3"/>
  <c r="H901" i="3"/>
  <c r="G901" i="3"/>
  <c r="F901" i="3"/>
  <c r="E901" i="3"/>
  <c r="D901" i="3"/>
  <c r="C901" i="3"/>
  <c r="B901" i="3"/>
  <c r="A901" i="3"/>
  <c r="I900" i="3"/>
  <c r="H900" i="3"/>
  <c r="G900" i="3"/>
  <c r="F900" i="3"/>
  <c r="E900" i="3"/>
  <c r="D900" i="3"/>
  <c r="C900" i="3"/>
  <c r="B900" i="3"/>
  <c r="A900" i="3"/>
  <c r="I899" i="3"/>
  <c r="H899" i="3"/>
  <c r="G899" i="3"/>
  <c r="F899" i="3"/>
  <c r="E899" i="3"/>
  <c r="D899" i="3"/>
  <c r="C899" i="3"/>
  <c r="B899" i="3"/>
  <c r="A899" i="3"/>
  <c r="I898" i="3"/>
  <c r="H898" i="3"/>
  <c r="G898" i="3"/>
  <c r="F898" i="3"/>
  <c r="E898" i="3"/>
  <c r="D898" i="3"/>
  <c r="C898" i="3"/>
  <c r="B898" i="3"/>
  <c r="A898" i="3"/>
  <c r="I897" i="3"/>
  <c r="H897" i="3"/>
  <c r="G897" i="3"/>
  <c r="F897" i="3"/>
  <c r="E897" i="3"/>
  <c r="D897" i="3"/>
  <c r="C897" i="3"/>
  <c r="B897" i="3"/>
  <c r="A897" i="3"/>
  <c r="I896" i="3"/>
  <c r="H896" i="3"/>
  <c r="G896" i="3"/>
  <c r="F896" i="3"/>
  <c r="E896" i="3"/>
  <c r="D896" i="3"/>
  <c r="C896" i="3"/>
  <c r="B896" i="3"/>
  <c r="A896" i="3"/>
  <c r="I895" i="3"/>
  <c r="H895" i="3"/>
  <c r="G895" i="3"/>
  <c r="F895" i="3"/>
  <c r="E895" i="3"/>
  <c r="D895" i="3"/>
  <c r="C895" i="3"/>
  <c r="B895" i="3"/>
  <c r="A895" i="3"/>
  <c r="I894" i="3"/>
  <c r="H894" i="3"/>
  <c r="G894" i="3"/>
  <c r="F894" i="3"/>
  <c r="E894" i="3"/>
  <c r="D894" i="3"/>
  <c r="C894" i="3"/>
  <c r="B894" i="3"/>
  <c r="A894" i="3"/>
  <c r="I893" i="3"/>
  <c r="H893" i="3"/>
  <c r="G893" i="3"/>
  <c r="F893" i="3"/>
  <c r="E893" i="3"/>
  <c r="D893" i="3"/>
  <c r="C893" i="3"/>
  <c r="B893" i="3"/>
  <c r="A893" i="3"/>
  <c r="I892" i="3"/>
  <c r="H892" i="3"/>
  <c r="G892" i="3"/>
  <c r="F892" i="3"/>
  <c r="E892" i="3"/>
  <c r="D892" i="3"/>
  <c r="C892" i="3"/>
  <c r="B892" i="3"/>
  <c r="A892" i="3"/>
  <c r="I891" i="3"/>
  <c r="H891" i="3"/>
  <c r="G891" i="3"/>
  <c r="F891" i="3"/>
  <c r="E891" i="3"/>
  <c r="D891" i="3"/>
  <c r="C891" i="3"/>
  <c r="B891" i="3"/>
  <c r="A891" i="3"/>
  <c r="I890" i="3"/>
  <c r="H890" i="3"/>
  <c r="G890" i="3"/>
  <c r="F890" i="3"/>
  <c r="E890" i="3"/>
  <c r="D890" i="3"/>
  <c r="C890" i="3"/>
  <c r="B890" i="3"/>
  <c r="A890" i="3"/>
  <c r="I889" i="3"/>
  <c r="H889" i="3"/>
  <c r="G889" i="3"/>
  <c r="F889" i="3"/>
  <c r="E889" i="3"/>
  <c r="D889" i="3"/>
  <c r="C889" i="3"/>
  <c r="B889" i="3"/>
  <c r="A889" i="3"/>
  <c r="I888" i="3"/>
  <c r="H888" i="3"/>
  <c r="G888" i="3"/>
  <c r="F888" i="3"/>
  <c r="E888" i="3"/>
  <c r="D888" i="3"/>
  <c r="C888" i="3"/>
  <c r="B888" i="3"/>
  <c r="A888" i="3"/>
  <c r="I887" i="3"/>
  <c r="H887" i="3"/>
  <c r="G887" i="3"/>
  <c r="F887" i="3"/>
  <c r="E887" i="3"/>
  <c r="D887" i="3"/>
  <c r="C887" i="3"/>
  <c r="B887" i="3"/>
  <c r="A887" i="3"/>
  <c r="I886" i="3"/>
  <c r="H886" i="3"/>
  <c r="G886" i="3"/>
  <c r="F886" i="3"/>
  <c r="E886" i="3"/>
  <c r="D886" i="3"/>
  <c r="C886" i="3"/>
  <c r="B886" i="3"/>
  <c r="A886" i="3"/>
  <c r="I885" i="3"/>
  <c r="H885" i="3"/>
  <c r="G885" i="3"/>
  <c r="F885" i="3"/>
  <c r="E885" i="3"/>
  <c r="D885" i="3"/>
  <c r="C885" i="3"/>
  <c r="B885" i="3"/>
  <c r="A885" i="3"/>
  <c r="I884" i="3"/>
  <c r="H884" i="3"/>
  <c r="G884" i="3"/>
  <c r="F884" i="3"/>
  <c r="E884" i="3"/>
  <c r="D884" i="3"/>
  <c r="C884" i="3"/>
  <c r="B884" i="3"/>
  <c r="A884" i="3"/>
  <c r="I883" i="3"/>
  <c r="H883" i="3"/>
  <c r="G883" i="3"/>
  <c r="F883" i="3"/>
  <c r="E883" i="3"/>
  <c r="D883" i="3"/>
  <c r="C883" i="3"/>
  <c r="B883" i="3"/>
  <c r="A883" i="3"/>
  <c r="I882" i="3"/>
  <c r="H882" i="3"/>
  <c r="G882" i="3"/>
  <c r="F882" i="3"/>
  <c r="E882" i="3"/>
  <c r="D882" i="3"/>
  <c r="C882" i="3"/>
  <c r="B882" i="3"/>
  <c r="A882" i="3"/>
  <c r="I881" i="3"/>
  <c r="H881" i="3"/>
  <c r="G881" i="3"/>
  <c r="F881" i="3"/>
  <c r="E881" i="3"/>
  <c r="D881" i="3"/>
  <c r="C881" i="3"/>
  <c r="B881" i="3"/>
  <c r="A881" i="3"/>
  <c r="I880" i="3"/>
  <c r="H880" i="3"/>
  <c r="G880" i="3"/>
  <c r="F880" i="3"/>
  <c r="E880" i="3"/>
  <c r="D880" i="3"/>
  <c r="C880" i="3"/>
  <c r="B880" i="3"/>
  <c r="A880" i="3"/>
  <c r="I879" i="3"/>
  <c r="H879" i="3"/>
  <c r="G879" i="3"/>
  <c r="F879" i="3"/>
  <c r="E879" i="3"/>
  <c r="D879" i="3"/>
  <c r="C879" i="3"/>
  <c r="B879" i="3"/>
  <c r="A879" i="3"/>
  <c r="I878" i="3"/>
  <c r="H878" i="3"/>
  <c r="G878" i="3"/>
  <c r="F878" i="3"/>
  <c r="E878" i="3"/>
  <c r="D878" i="3"/>
  <c r="C878" i="3"/>
  <c r="B878" i="3"/>
  <c r="A878" i="3"/>
  <c r="I877" i="3"/>
  <c r="H877" i="3"/>
  <c r="G877" i="3"/>
  <c r="F877" i="3"/>
  <c r="E877" i="3"/>
  <c r="D877" i="3"/>
  <c r="C877" i="3"/>
  <c r="B877" i="3"/>
  <c r="A877" i="3"/>
  <c r="I876" i="3"/>
  <c r="H876" i="3"/>
  <c r="G876" i="3"/>
  <c r="F876" i="3"/>
  <c r="E876" i="3"/>
  <c r="D876" i="3"/>
  <c r="C876" i="3"/>
  <c r="B876" i="3"/>
  <c r="A876" i="3"/>
  <c r="I875" i="3"/>
  <c r="H875" i="3"/>
  <c r="G875" i="3"/>
  <c r="F875" i="3"/>
  <c r="E875" i="3"/>
  <c r="D875" i="3"/>
  <c r="C875" i="3"/>
  <c r="B875" i="3"/>
  <c r="A875" i="3"/>
  <c r="I874" i="3"/>
  <c r="H874" i="3"/>
  <c r="G874" i="3"/>
  <c r="F874" i="3"/>
  <c r="E874" i="3"/>
  <c r="D874" i="3"/>
  <c r="C874" i="3"/>
  <c r="B874" i="3"/>
  <c r="A874" i="3"/>
  <c r="I873" i="3"/>
  <c r="H873" i="3"/>
  <c r="G873" i="3"/>
  <c r="F873" i="3"/>
  <c r="E873" i="3"/>
  <c r="D873" i="3"/>
  <c r="C873" i="3"/>
  <c r="B873" i="3"/>
  <c r="A873" i="3"/>
  <c r="I872" i="3"/>
  <c r="H872" i="3"/>
  <c r="G872" i="3"/>
  <c r="F872" i="3"/>
  <c r="E872" i="3"/>
  <c r="D872" i="3"/>
  <c r="C872" i="3"/>
  <c r="B872" i="3"/>
  <c r="A872" i="3"/>
  <c r="I871" i="3"/>
  <c r="H871" i="3"/>
  <c r="G871" i="3"/>
  <c r="F871" i="3"/>
  <c r="E871" i="3"/>
  <c r="D871" i="3"/>
  <c r="C871" i="3"/>
  <c r="B871" i="3"/>
  <c r="A871" i="3"/>
  <c r="I870" i="3"/>
  <c r="H870" i="3"/>
  <c r="G870" i="3"/>
  <c r="F870" i="3"/>
  <c r="E870" i="3"/>
  <c r="D870" i="3"/>
  <c r="C870" i="3"/>
  <c r="B870" i="3"/>
  <c r="A870" i="3"/>
  <c r="I869" i="3"/>
  <c r="H869" i="3"/>
  <c r="G869" i="3"/>
  <c r="F869" i="3"/>
  <c r="E869" i="3"/>
  <c r="D869" i="3"/>
  <c r="C869" i="3"/>
  <c r="B869" i="3"/>
  <c r="A869" i="3"/>
  <c r="I868" i="3"/>
  <c r="H868" i="3"/>
  <c r="G868" i="3"/>
  <c r="F868" i="3"/>
  <c r="E868" i="3"/>
  <c r="D868" i="3"/>
  <c r="C868" i="3"/>
  <c r="B868" i="3"/>
  <c r="A868" i="3"/>
  <c r="I867" i="3"/>
  <c r="H867" i="3"/>
  <c r="G867" i="3"/>
  <c r="F867" i="3"/>
  <c r="E867" i="3"/>
  <c r="D867" i="3"/>
  <c r="C867" i="3"/>
  <c r="B867" i="3"/>
  <c r="A867" i="3"/>
  <c r="I866" i="3"/>
  <c r="H866" i="3"/>
  <c r="G866" i="3"/>
  <c r="F866" i="3"/>
  <c r="E866" i="3"/>
  <c r="D866" i="3"/>
  <c r="C866" i="3"/>
  <c r="B866" i="3"/>
  <c r="A866" i="3"/>
  <c r="I865" i="3"/>
  <c r="H865" i="3"/>
  <c r="G865" i="3"/>
  <c r="F865" i="3"/>
  <c r="E865" i="3"/>
  <c r="D865" i="3"/>
  <c r="C865" i="3"/>
  <c r="B865" i="3"/>
  <c r="A865" i="3"/>
  <c r="I864" i="3"/>
  <c r="H864" i="3"/>
  <c r="G864" i="3"/>
  <c r="F864" i="3"/>
  <c r="E864" i="3"/>
  <c r="D864" i="3"/>
  <c r="C864" i="3"/>
  <c r="B864" i="3"/>
  <c r="A864" i="3"/>
  <c r="I863" i="3"/>
  <c r="H863" i="3"/>
  <c r="G863" i="3"/>
  <c r="F863" i="3"/>
  <c r="E863" i="3"/>
  <c r="D863" i="3"/>
  <c r="C863" i="3"/>
  <c r="B863" i="3"/>
  <c r="A863" i="3"/>
  <c r="I862" i="3"/>
  <c r="H862" i="3"/>
  <c r="G862" i="3"/>
  <c r="F862" i="3"/>
  <c r="E862" i="3"/>
  <c r="D862" i="3"/>
  <c r="C862" i="3"/>
  <c r="B862" i="3"/>
  <c r="A862" i="3"/>
  <c r="I861" i="3"/>
  <c r="H861" i="3"/>
  <c r="G861" i="3"/>
  <c r="F861" i="3"/>
  <c r="E861" i="3"/>
  <c r="D861" i="3"/>
  <c r="C861" i="3"/>
  <c r="B861" i="3"/>
  <c r="A861" i="3"/>
  <c r="I860" i="3"/>
  <c r="H860" i="3"/>
  <c r="G860" i="3"/>
  <c r="F860" i="3"/>
  <c r="E860" i="3"/>
  <c r="D860" i="3"/>
  <c r="C860" i="3"/>
  <c r="B860" i="3"/>
  <c r="A860" i="3"/>
  <c r="I859" i="3"/>
  <c r="H859" i="3"/>
  <c r="G859" i="3"/>
  <c r="F859" i="3"/>
  <c r="E859" i="3"/>
  <c r="D859" i="3"/>
  <c r="C859" i="3"/>
  <c r="B859" i="3"/>
  <c r="A859" i="3"/>
  <c r="I858" i="3"/>
  <c r="H858" i="3"/>
  <c r="G858" i="3"/>
  <c r="F858" i="3"/>
  <c r="E858" i="3"/>
  <c r="D858" i="3"/>
  <c r="C858" i="3"/>
  <c r="B858" i="3"/>
  <c r="A858" i="3"/>
  <c r="I857" i="3"/>
  <c r="H857" i="3"/>
  <c r="G857" i="3"/>
  <c r="F857" i="3"/>
  <c r="E857" i="3"/>
  <c r="D857" i="3"/>
  <c r="C857" i="3"/>
  <c r="B857" i="3"/>
  <c r="A857" i="3"/>
  <c r="I856" i="3"/>
  <c r="H856" i="3"/>
  <c r="G856" i="3"/>
  <c r="F856" i="3"/>
  <c r="E856" i="3"/>
  <c r="D856" i="3"/>
  <c r="C856" i="3"/>
  <c r="B856" i="3"/>
  <c r="A856" i="3"/>
  <c r="I855" i="3"/>
  <c r="H855" i="3"/>
  <c r="G855" i="3"/>
  <c r="F855" i="3"/>
  <c r="E855" i="3"/>
  <c r="D855" i="3"/>
  <c r="C855" i="3"/>
  <c r="B855" i="3"/>
  <c r="A855" i="3"/>
  <c r="I854" i="3"/>
  <c r="H854" i="3"/>
  <c r="G854" i="3"/>
  <c r="F854" i="3"/>
  <c r="E854" i="3"/>
  <c r="D854" i="3"/>
  <c r="C854" i="3"/>
  <c r="B854" i="3"/>
  <c r="A854" i="3"/>
  <c r="I853" i="3"/>
  <c r="H853" i="3"/>
  <c r="G853" i="3"/>
  <c r="F853" i="3"/>
  <c r="E853" i="3"/>
  <c r="D853" i="3"/>
  <c r="C853" i="3"/>
  <c r="B853" i="3"/>
  <c r="A853" i="3"/>
  <c r="I852" i="3"/>
  <c r="H852" i="3"/>
  <c r="G852" i="3"/>
  <c r="F852" i="3"/>
  <c r="E852" i="3"/>
  <c r="D852" i="3"/>
  <c r="C852" i="3"/>
  <c r="B852" i="3"/>
  <c r="A852" i="3"/>
  <c r="I851" i="3"/>
  <c r="H851" i="3"/>
  <c r="G851" i="3"/>
  <c r="F851" i="3"/>
  <c r="E851" i="3"/>
  <c r="D851" i="3"/>
  <c r="C851" i="3"/>
  <c r="B851" i="3"/>
  <c r="A851" i="3"/>
  <c r="I850" i="3"/>
  <c r="H850" i="3"/>
  <c r="G850" i="3"/>
  <c r="F850" i="3"/>
  <c r="E850" i="3"/>
  <c r="D850" i="3"/>
  <c r="C850" i="3"/>
  <c r="B850" i="3"/>
  <c r="A850" i="3"/>
  <c r="I849" i="3"/>
  <c r="H849" i="3"/>
  <c r="G849" i="3"/>
  <c r="F849" i="3"/>
  <c r="E849" i="3"/>
  <c r="D849" i="3"/>
  <c r="C849" i="3"/>
  <c r="B849" i="3"/>
  <c r="A849" i="3"/>
  <c r="I848" i="3"/>
  <c r="H848" i="3"/>
  <c r="G848" i="3"/>
  <c r="F848" i="3"/>
  <c r="E848" i="3"/>
  <c r="D848" i="3"/>
  <c r="C848" i="3"/>
  <c r="B848" i="3"/>
  <c r="A848" i="3"/>
  <c r="I847" i="3"/>
  <c r="H847" i="3"/>
  <c r="G847" i="3"/>
  <c r="F847" i="3"/>
  <c r="E847" i="3"/>
  <c r="D847" i="3"/>
  <c r="C847" i="3"/>
  <c r="B847" i="3"/>
  <c r="A847" i="3"/>
  <c r="I846" i="3"/>
  <c r="H846" i="3"/>
  <c r="G846" i="3"/>
  <c r="F846" i="3"/>
  <c r="E846" i="3"/>
  <c r="D846" i="3"/>
  <c r="C846" i="3"/>
  <c r="B846" i="3"/>
  <c r="A846" i="3"/>
  <c r="I845" i="3"/>
  <c r="H845" i="3"/>
  <c r="G845" i="3"/>
  <c r="F845" i="3"/>
  <c r="E845" i="3"/>
  <c r="D845" i="3"/>
  <c r="C845" i="3"/>
  <c r="B845" i="3"/>
  <c r="A845" i="3"/>
  <c r="I844" i="3"/>
  <c r="H844" i="3"/>
  <c r="G844" i="3"/>
  <c r="F844" i="3"/>
  <c r="E844" i="3"/>
  <c r="D844" i="3"/>
  <c r="C844" i="3"/>
  <c r="B844" i="3"/>
  <c r="A844" i="3"/>
  <c r="I843" i="3"/>
  <c r="H843" i="3"/>
  <c r="G843" i="3"/>
  <c r="F843" i="3"/>
  <c r="E843" i="3"/>
  <c r="D843" i="3"/>
  <c r="C843" i="3"/>
  <c r="B843" i="3"/>
  <c r="A843" i="3"/>
  <c r="I842" i="3"/>
  <c r="H842" i="3"/>
  <c r="G842" i="3"/>
  <c r="F842" i="3"/>
  <c r="E842" i="3"/>
  <c r="D842" i="3"/>
  <c r="C842" i="3"/>
  <c r="B842" i="3"/>
  <c r="A842" i="3"/>
  <c r="I841" i="3"/>
  <c r="H841" i="3"/>
  <c r="G841" i="3"/>
  <c r="F841" i="3"/>
  <c r="E841" i="3"/>
  <c r="D841" i="3"/>
  <c r="C841" i="3"/>
  <c r="B841" i="3"/>
  <c r="A841" i="3"/>
  <c r="I840" i="3"/>
  <c r="H840" i="3"/>
  <c r="G840" i="3"/>
  <c r="F840" i="3"/>
  <c r="E840" i="3"/>
  <c r="D840" i="3"/>
  <c r="C840" i="3"/>
  <c r="B840" i="3"/>
  <c r="A840" i="3"/>
  <c r="I839" i="3"/>
  <c r="H839" i="3"/>
  <c r="G839" i="3"/>
  <c r="F839" i="3"/>
  <c r="E839" i="3"/>
  <c r="D839" i="3"/>
  <c r="C839" i="3"/>
  <c r="B839" i="3"/>
  <c r="A839" i="3"/>
  <c r="I838" i="3"/>
  <c r="H838" i="3"/>
  <c r="G838" i="3"/>
  <c r="F838" i="3"/>
  <c r="E838" i="3"/>
  <c r="D838" i="3"/>
  <c r="C838" i="3"/>
  <c r="B838" i="3"/>
  <c r="A838" i="3"/>
  <c r="I837" i="3"/>
  <c r="H837" i="3"/>
  <c r="G837" i="3"/>
  <c r="F837" i="3"/>
  <c r="E837" i="3"/>
  <c r="D837" i="3"/>
  <c r="C837" i="3"/>
  <c r="B837" i="3"/>
  <c r="A837" i="3"/>
  <c r="I836" i="3"/>
  <c r="H836" i="3"/>
  <c r="G836" i="3"/>
  <c r="F836" i="3"/>
  <c r="E836" i="3"/>
  <c r="D836" i="3"/>
  <c r="C836" i="3"/>
  <c r="B836" i="3"/>
  <c r="A836" i="3"/>
  <c r="I835" i="3"/>
  <c r="H835" i="3"/>
  <c r="G835" i="3"/>
  <c r="F835" i="3"/>
  <c r="E835" i="3"/>
  <c r="D835" i="3"/>
  <c r="C835" i="3"/>
  <c r="B835" i="3"/>
  <c r="A835" i="3"/>
  <c r="I834" i="3"/>
  <c r="H834" i="3"/>
  <c r="G834" i="3"/>
  <c r="F834" i="3"/>
  <c r="E834" i="3"/>
  <c r="D834" i="3"/>
  <c r="C834" i="3"/>
  <c r="B834" i="3"/>
  <c r="A834" i="3"/>
  <c r="I833" i="3"/>
  <c r="H833" i="3"/>
  <c r="G833" i="3"/>
  <c r="F833" i="3"/>
  <c r="E833" i="3"/>
  <c r="D833" i="3"/>
  <c r="C833" i="3"/>
  <c r="B833" i="3"/>
  <c r="A833" i="3"/>
  <c r="I832" i="3"/>
  <c r="H832" i="3"/>
  <c r="G832" i="3"/>
  <c r="F832" i="3"/>
  <c r="E832" i="3"/>
  <c r="D832" i="3"/>
  <c r="C832" i="3"/>
  <c r="B832" i="3"/>
  <c r="A832" i="3"/>
  <c r="I831" i="3"/>
  <c r="H831" i="3"/>
  <c r="G831" i="3"/>
  <c r="F831" i="3"/>
  <c r="E831" i="3"/>
  <c r="D831" i="3"/>
  <c r="C831" i="3"/>
  <c r="B831" i="3"/>
  <c r="A831" i="3"/>
  <c r="I830" i="3"/>
  <c r="H830" i="3"/>
  <c r="G830" i="3"/>
  <c r="F830" i="3"/>
  <c r="E830" i="3"/>
  <c r="D830" i="3"/>
  <c r="C830" i="3"/>
  <c r="B830" i="3"/>
  <c r="A830" i="3"/>
  <c r="I829" i="3"/>
  <c r="H829" i="3"/>
  <c r="G829" i="3"/>
  <c r="F829" i="3"/>
  <c r="E829" i="3"/>
  <c r="D829" i="3"/>
  <c r="C829" i="3"/>
  <c r="B829" i="3"/>
  <c r="A829" i="3"/>
  <c r="I828" i="3"/>
  <c r="H828" i="3"/>
  <c r="G828" i="3"/>
  <c r="F828" i="3"/>
  <c r="E828" i="3"/>
  <c r="D828" i="3"/>
  <c r="C828" i="3"/>
  <c r="B828" i="3"/>
  <c r="A828" i="3"/>
  <c r="I827" i="3"/>
  <c r="H827" i="3"/>
  <c r="G827" i="3"/>
  <c r="F827" i="3"/>
  <c r="E827" i="3"/>
  <c r="D827" i="3"/>
  <c r="C827" i="3"/>
  <c r="B827" i="3"/>
  <c r="A827" i="3"/>
  <c r="I826" i="3"/>
  <c r="H826" i="3"/>
  <c r="G826" i="3"/>
  <c r="F826" i="3"/>
  <c r="E826" i="3"/>
  <c r="D826" i="3"/>
  <c r="C826" i="3"/>
  <c r="B826" i="3"/>
  <c r="A826" i="3"/>
  <c r="I825" i="3"/>
  <c r="H825" i="3"/>
  <c r="G825" i="3"/>
  <c r="F825" i="3"/>
  <c r="E825" i="3"/>
  <c r="D825" i="3"/>
  <c r="C825" i="3"/>
  <c r="B825" i="3"/>
  <c r="A825" i="3"/>
  <c r="I824" i="3"/>
  <c r="H824" i="3"/>
  <c r="G824" i="3"/>
  <c r="F824" i="3"/>
  <c r="E824" i="3"/>
  <c r="D824" i="3"/>
  <c r="C824" i="3"/>
  <c r="B824" i="3"/>
  <c r="A824" i="3"/>
  <c r="I823" i="3"/>
  <c r="H823" i="3"/>
  <c r="G823" i="3"/>
  <c r="F823" i="3"/>
  <c r="E823" i="3"/>
  <c r="D823" i="3"/>
  <c r="C823" i="3"/>
  <c r="B823" i="3"/>
  <c r="A823" i="3"/>
  <c r="I822" i="3"/>
  <c r="H822" i="3"/>
  <c r="G822" i="3"/>
  <c r="F822" i="3"/>
  <c r="E822" i="3"/>
  <c r="D822" i="3"/>
  <c r="C822" i="3"/>
  <c r="B822" i="3"/>
  <c r="A822" i="3"/>
  <c r="I821" i="3"/>
  <c r="H821" i="3"/>
  <c r="G821" i="3"/>
  <c r="F821" i="3"/>
  <c r="E821" i="3"/>
  <c r="D821" i="3"/>
  <c r="C821" i="3"/>
  <c r="B821" i="3"/>
  <c r="A821" i="3"/>
  <c r="I820" i="3"/>
  <c r="H820" i="3"/>
  <c r="G820" i="3"/>
  <c r="F820" i="3"/>
  <c r="E820" i="3"/>
  <c r="D820" i="3"/>
  <c r="C820" i="3"/>
  <c r="B820" i="3"/>
  <c r="A820" i="3"/>
  <c r="I819" i="3"/>
  <c r="H819" i="3"/>
  <c r="G819" i="3"/>
  <c r="F819" i="3"/>
  <c r="E819" i="3"/>
  <c r="D819" i="3"/>
  <c r="C819" i="3"/>
  <c r="B819" i="3"/>
  <c r="A819" i="3"/>
  <c r="I818" i="3"/>
  <c r="H818" i="3"/>
  <c r="G818" i="3"/>
  <c r="F818" i="3"/>
  <c r="E818" i="3"/>
  <c r="D818" i="3"/>
  <c r="C818" i="3"/>
  <c r="B818" i="3"/>
  <c r="A818" i="3"/>
  <c r="I817" i="3"/>
  <c r="H817" i="3"/>
  <c r="G817" i="3"/>
  <c r="F817" i="3"/>
  <c r="E817" i="3"/>
  <c r="D817" i="3"/>
  <c r="C817" i="3"/>
  <c r="B817" i="3"/>
  <c r="A817" i="3"/>
  <c r="I816" i="3"/>
  <c r="H816" i="3"/>
  <c r="G816" i="3"/>
  <c r="F816" i="3"/>
  <c r="E816" i="3"/>
  <c r="D816" i="3"/>
  <c r="C816" i="3"/>
  <c r="B816" i="3"/>
  <c r="A816" i="3"/>
  <c r="I815" i="3"/>
  <c r="H815" i="3"/>
  <c r="G815" i="3"/>
  <c r="F815" i="3"/>
  <c r="E815" i="3"/>
  <c r="D815" i="3"/>
  <c r="C815" i="3"/>
  <c r="B815" i="3"/>
  <c r="A815" i="3"/>
  <c r="I814" i="3"/>
  <c r="H814" i="3"/>
  <c r="G814" i="3"/>
  <c r="F814" i="3"/>
  <c r="E814" i="3"/>
  <c r="D814" i="3"/>
  <c r="C814" i="3"/>
  <c r="B814" i="3"/>
  <c r="A814" i="3"/>
  <c r="I813" i="3"/>
  <c r="H813" i="3"/>
  <c r="G813" i="3"/>
  <c r="F813" i="3"/>
  <c r="E813" i="3"/>
  <c r="D813" i="3"/>
  <c r="C813" i="3"/>
  <c r="B813" i="3"/>
  <c r="A813" i="3"/>
  <c r="I812" i="3"/>
  <c r="H812" i="3"/>
  <c r="G812" i="3"/>
  <c r="F812" i="3"/>
  <c r="E812" i="3"/>
  <c r="D812" i="3"/>
  <c r="C812" i="3"/>
  <c r="B812" i="3"/>
  <c r="A812" i="3"/>
  <c r="I811" i="3"/>
  <c r="H811" i="3"/>
  <c r="G811" i="3"/>
  <c r="F811" i="3"/>
  <c r="E811" i="3"/>
  <c r="D811" i="3"/>
  <c r="C811" i="3"/>
  <c r="B811" i="3"/>
  <c r="A811" i="3"/>
  <c r="I810" i="3"/>
  <c r="H810" i="3"/>
  <c r="G810" i="3"/>
  <c r="F810" i="3"/>
  <c r="E810" i="3"/>
  <c r="D810" i="3"/>
  <c r="C810" i="3"/>
  <c r="B810" i="3"/>
  <c r="A810" i="3"/>
  <c r="I809" i="3"/>
  <c r="H809" i="3"/>
  <c r="G809" i="3"/>
  <c r="F809" i="3"/>
  <c r="E809" i="3"/>
  <c r="D809" i="3"/>
  <c r="C809" i="3"/>
  <c r="B809" i="3"/>
  <c r="A809" i="3"/>
  <c r="I808" i="3"/>
  <c r="H808" i="3"/>
  <c r="G808" i="3"/>
  <c r="F808" i="3"/>
  <c r="E808" i="3"/>
  <c r="D808" i="3"/>
  <c r="C808" i="3"/>
  <c r="B808" i="3"/>
  <c r="A808" i="3"/>
  <c r="I807" i="3"/>
  <c r="H807" i="3"/>
  <c r="G807" i="3"/>
  <c r="F807" i="3"/>
  <c r="E807" i="3"/>
  <c r="D807" i="3"/>
  <c r="C807" i="3"/>
  <c r="B807" i="3"/>
  <c r="A807" i="3"/>
  <c r="I806" i="3"/>
  <c r="H806" i="3"/>
  <c r="G806" i="3"/>
  <c r="F806" i="3"/>
  <c r="E806" i="3"/>
  <c r="D806" i="3"/>
  <c r="C806" i="3"/>
  <c r="B806" i="3"/>
  <c r="A806" i="3"/>
  <c r="I805" i="3"/>
  <c r="H805" i="3"/>
  <c r="G805" i="3"/>
  <c r="F805" i="3"/>
  <c r="E805" i="3"/>
  <c r="D805" i="3"/>
  <c r="C805" i="3"/>
  <c r="B805" i="3"/>
  <c r="A805" i="3"/>
  <c r="I804" i="3"/>
  <c r="H804" i="3"/>
  <c r="G804" i="3"/>
  <c r="F804" i="3"/>
  <c r="E804" i="3"/>
  <c r="D804" i="3"/>
  <c r="C804" i="3"/>
  <c r="B804" i="3"/>
  <c r="A804" i="3"/>
  <c r="I803" i="3"/>
  <c r="H803" i="3"/>
  <c r="G803" i="3"/>
  <c r="F803" i="3"/>
  <c r="E803" i="3"/>
  <c r="D803" i="3"/>
  <c r="C803" i="3"/>
  <c r="B803" i="3"/>
  <c r="A803" i="3"/>
  <c r="I802" i="3"/>
  <c r="H802" i="3"/>
  <c r="G802" i="3"/>
  <c r="F802" i="3"/>
  <c r="E802" i="3"/>
  <c r="D802" i="3"/>
  <c r="C802" i="3"/>
  <c r="B802" i="3"/>
  <c r="A802" i="3"/>
  <c r="I801" i="3"/>
  <c r="H801" i="3"/>
  <c r="G801" i="3"/>
  <c r="F801" i="3"/>
  <c r="E801" i="3"/>
  <c r="D801" i="3"/>
  <c r="C801" i="3"/>
  <c r="B801" i="3"/>
  <c r="A801" i="3"/>
  <c r="I800" i="3"/>
  <c r="H800" i="3"/>
  <c r="G800" i="3"/>
  <c r="F800" i="3"/>
  <c r="E800" i="3"/>
  <c r="D800" i="3"/>
  <c r="C800" i="3"/>
  <c r="B800" i="3"/>
  <c r="A800" i="3"/>
  <c r="I799" i="3"/>
  <c r="H799" i="3"/>
  <c r="G799" i="3"/>
  <c r="F799" i="3"/>
  <c r="E799" i="3"/>
  <c r="D799" i="3"/>
  <c r="C799" i="3"/>
  <c r="B799" i="3"/>
  <c r="A799" i="3"/>
  <c r="I798" i="3"/>
  <c r="H798" i="3"/>
  <c r="G798" i="3"/>
  <c r="F798" i="3"/>
  <c r="E798" i="3"/>
  <c r="D798" i="3"/>
  <c r="C798" i="3"/>
  <c r="B798" i="3"/>
  <c r="A798" i="3"/>
  <c r="I797" i="3"/>
  <c r="H797" i="3"/>
  <c r="G797" i="3"/>
  <c r="F797" i="3"/>
  <c r="E797" i="3"/>
  <c r="D797" i="3"/>
  <c r="C797" i="3"/>
  <c r="B797" i="3"/>
  <c r="A797" i="3"/>
  <c r="I796" i="3"/>
  <c r="H796" i="3"/>
  <c r="G796" i="3"/>
  <c r="F796" i="3"/>
  <c r="E796" i="3"/>
  <c r="D796" i="3"/>
  <c r="C796" i="3"/>
  <c r="B796" i="3"/>
  <c r="A796" i="3"/>
  <c r="I795" i="3"/>
  <c r="H795" i="3"/>
  <c r="G795" i="3"/>
  <c r="F795" i="3"/>
  <c r="E795" i="3"/>
  <c r="D795" i="3"/>
  <c r="C795" i="3"/>
  <c r="B795" i="3"/>
  <c r="A795" i="3"/>
  <c r="I794" i="3"/>
  <c r="H794" i="3"/>
  <c r="G794" i="3"/>
  <c r="F794" i="3"/>
  <c r="E794" i="3"/>
  <c r="D794" i="3"/>
  <c r="C794" i="3"/>
  <c r="B794" i="3"/>
  <c r="A794" i="3"/>
  <c r="I793" i="3"/>
  <c r="H793" i="3"/>
  <c r="G793" i="3"/>
  <c r="F793" i="3"/>
  <c r="E793" i="3"/>
  <c r="D793" i="3"/>
  <c r="C793" i="3"/>
  <c r="B793" i="3"/>
  <c r="A793" i="3"/>
  <c r="I792" i="3"/>
  <c r="H792" i="3"/>
  <c r="G792" i="3"/>
  <c r="F792" i="3"/>
  <c r="E792" i="3"/>
  <c r="D792" i="3"/>
  <c r="C792" i="3"/>
  <c r="B792" i="3"/>
  <c r="A792" i="3"/>
  <c r="I791" i="3"/>
  <c r="H791" i="3"/>
  <c r="G791" i="3"/>
  <c r="F791" i="3"/>
  <c r="E791" i="3"/>
  <c r="D791" i="3"/>
  <c r="C791" i="3"/>
  <c r="B791" i="3"/>
  <c r="A791" i="3"/>
  <c r="I790" i="3"/>
  <c r="H790" i="3"/>
  <c r="G790" i="3"/>
  <c r="F790" i="3"/>
  <c r="E790" i="3"/>
  <c r="D790" i="3"/>
  <c r="C790" i="3"/>
  <c r="B790" i="3"/>
  <c r="A790" i="3"/>
  <c r="I789" i="3"/>
  <c r="H789" i="3"/>
  <c r="G789" i="3"/>
  <c r="F789" i="3"/>
  <c r="E789" i="3"/>
  <c r="D789" i="3"/>
  <c r="C789" i="3"/>
  <c r="B789" i="3"/>
  <c r="A789" i="3"/>
  <c r="I788" i="3"/>
  <c r="H788" i="3"/>
  <c r="G788" i="3"/>
  <c r="F788" i="3"/>
  <c r="E788" i="3"/>
  <c r="D788" i="3"/>
  <c r="C788" i="3"/>
  <c r="B788" i="3"/>
  <c r="A788" i="3"/>
  <c r="I787" i="3"/>
  <c r="H787" i="3"/>
  <c r="G787" i="3"/>
  <c r="F787" i="3"/>
  <c r="E787" i="3"/>
  <c r="D787" i="3"/>
  <c r="C787" i="3"/>
  <c r="B787" i="3"/>
  <c r="A787" i="3"/>
  <c r="I786" i="3"/>
  <c r="H786" i="3"/>
  <c r="G786" i="3"/>
  <c r="F786" i="3"/>
  <c r="E786" i="3"/>
  <c r="D786" i="3"/>
  <c r="C786" i="3"/>
  <c r="B786" i="3"/>
  <c r="A786" i="3"/>
  <c r="I785" i="3"/>
  <c r="H785" i="3"/>
  <c r="G785" i="3"/>
  <c r="F785" i="3"/>
  <c r="E785" i="3"/>
  <c r="D785" i="3"/>
  <c r="C785" i="3"/>
  <c r="B785" i="3"/>
  <c r="A785" i="3"/>
  <c r="I784" i="3"/>
  <c r="H784" i="3"/>
  <c r="G784" i="3"/>
  <c r="F784" i="3"/>
  <c r="E784" i="3"/>
  <c r="D784" i="3"/>
  <c r="C784" i="3"/>
  <c r="B784" i="3"/>
  <c r="A784" i="3"/>
  <c r="I783" i="3"/>
  <c r="H783" i="3"/>
  <c r="G783" i="3"/>
  <c r="F783" i="3"/>
  <c r="E783" i="3"/>
  <c r="D783" i="3"/>
  <c r="C783" i="3"/>
  <c r="B783" i="3"/>
  <c r="A783" i="3"/>
  <c r="I782" i="3"/>
  <c r="H782" i="3"/>
  <c r="G782" i="3"/>
  <c r="F782" i="3"/>
  <c r="E782" i="3"/>
  <c r="D782" i="3"/>
  <c r="C782" i="3"/>
  <c r="B782" i="3"/>
  <c r="A782" i="3"/>
  <c r="I781" i="3"/>
  <c r="H781" i="3"/>
  <c r="G781" i="3"/>
  <c r="F781" i="3"/>
  <c r="E781" i="3"/>
  <c r="D781" i="3"/>
  <c r="C781" i="3"/>
  <c r="B781" i="3"/>
  <c r="A781" i="3"/>
  <c r="I780" i="3"/>
  <c r="H780" i="3"/>
  <c r="G780" i="3"/>
  <c r="F780" i="3"/>
  <c r="E780" i="3"/>
  <c r="D780" i="3"/>
  <c r="C780" i="3"/>
  <c r="B780" i="3"/>
  <c r="A780" i="3"/>
  <c r="I779" i="3"/>
  <c r="H779" i="3"/>
  <c r="G779" i="3"/>
  <c r="F779" i="3"/>
  <c r="E779" i="3"/>
  <c r="D779" i="3"/>
  <c r="C779" i="3"/>
  <c r="B779" i="3"/>
  <c r="A779" i="3"/>
  <c r="I778" i="3"/>
  <c r="H778" i="3"/>
  <c r="G778" i="3"/>
  <c r="F778" i="3"/>
  <c r="E778" i="3"/>
  <c r="D778" i="3"/>
  <c r="C778" i="3"/>
  <c r="B778" i="3"/>
  <c r="A778" i="3"/>
  <c r="I777" i="3"/>
  <c r="H777" i="3"/>
  <c r="G777" i="3"/>
  <c r="F777" i="3"/>
  <c r="E777" i="3"/>
  <c r="D777" i="3"/>
  <c r="C777" i="3"/>
  <c r="B777" i="3"/>
  <c r="A777" i="3"/>
  <c r="I776" i="3"/>
  <c r="H776" i="3"/>
  <c r="G776" i="3"/>
  <c r="F776" i="3"/>
  <c r="E776" i="3"/>
  <c r="D776" i="3"/>
  <c r="C776" i="3"/>
  <c r="B776" i="3"/>
  <c r="A776" i="3"/>
  <c r="I775" i="3"/>
  <c r="H775" i="3"/>
  <c r="G775" i="3"/>
  <c r="F775" i="3"/>
  <c r="E775" i="3"/>
  <c r="D775" i="3"/>
  <c r="C775" i="3"/>
  <c r="B775" i="3"/>
  <c r="A775" i="3"/>
  <c r="I774" i="3"/>
  <c r="H774" i="3"/>
  <c r="G774" i="3"/>
  <c r="F774" i="3"/>
  <c r="E774" i="3"/>
  <c r="D774" i="3"/>
  <c r="C774" i="3"/>
  <c r="B774" i="3"/>
  <c r="A774" i="3"/>
  <c r="I773" i="3"/>
  <c r="H773" i="3"/>
  <c r="G773" i="3"/>
  <c r="F773" i="3"/>
  <c r="E773" i="3"/>
  <c r="D773" i="3"/>
  <c r="C773" i="3"/>
  <c r="B773" i="3"/>
  <c r="A773" i="3"/>
  <c r="I772" i="3"/>
  <c r="H772" i="3"/>
  <c r="G772" i="3"/>
  <c r="F772" i="3"/>
  <c r="E772" i="3"/>
  <c r="D772" i="3"/>
  <c r="C772" i="3"/>
  <c r="B772" i="3"/>
  <c r="A772" i="3"/>
  <c r="I771" i="3"/>
  <c r="H771" i="3"/>
  <c r="G771" i="3"/>
  <c r="F771" i="3"/>
  <c r="E771" i="3"/>
  <c r="D771" i="3"/>
  <c r="C771" i="3"/>
  <c r="B771" i="3"/>
  <c r="A771" i="3"/>
  <c r="I770" i="3"/>
  <c r="H770" i="3"/>
  <c r="G770" i="3"/>
  <c r="F770" i="3"/>
  <c r="E770" i="3"/>
  <c r="D770" i="3"/>
  <c r="C770" i="3"/>
  <c r="B770" i="3"/>
  <c r="A770" i="3"/>
  <c r="I769" i="3"/>
  <c r="H769" i="3"/>
  <c r="G769" i="3"/>
  <c r="F769" i="3"/>
  <c r="E769" i="3"/>
  <c r="D769" i="3"/>
  <c r="C769" i="3"/>
  <c r="B769" i="3"/>
  <c r="A769" i="3"/>
  <c r="I768" i="3"/>
  <c r="H768" i="3"/>
  <c r="G768" i="3"/>
  <c r="F768" i="3"/>
  <c r="E768" i="3"/>
  <c r="D768" i="3"/>
  <c r="C768" i="3"/>
  <c r="B768" i="3"/>
  <c r="A768" i="3"/>
  <c r="I767" i="3"/>
  <c r="H767" i="3"/>
  <c r="G767" i="3"/>
  <c r="F767" i="3"/>
  <c r="E767" i="3"/>
  <c r="D767" i="3"/>
  <c r="C767" i="3"/>
  <c r="B767" i="3"/>
  <c r="A767" i="3"/>
  <c r="I766" i="3"/>
  <c r="H766" i="3"/>
  <c r="G766" i="3"/>
  <c r="F766" i="3"/>
  <c r="E766" i="3"/>
  <c r="D766" i="3"/>
  <c r="C766" i="3"/>
  <c r="B766" i="3"/>
  <c r="A766" i="3"/>
  <c r="I765" i="3"/>
  <c r="H765" i="3"/>
  <c r="G765" i="3"/>
  <c r="F765" i="3"/>
  <c r="E765" i="3"/>
  <c r="D765" i="3"/>
  <c r="C765" i="3"/>
  <c r="B765" i="3"/>
  <c r="A765" i="3"/>
  <c r="I764" i="3"/>
  <c r="H764" i="3"/>
  <c r="G764" i="3"/>
  <c r="F764" i="3"/>
  <c r="E764" i="3"/>
  <c r="D764" i="3"/>
  <c r="C764" i="3"/>
  <c r="B764" i="3"/>
  <c r="A764" i="3"/>
  <c r="I763" i="3"/>
  <c r="H763" i="3"/>
  <c r="G763" i="3"/>
  <c r="F763" i="3"/>
  <c r="E763" i="3"/>
  <c r="D763" i="3"/>
  <c r="C763" i="3"/>
  <c r="B763" i="3"/>
  <c r="A763" i="3"/>
  <c r="I762" i="3"/>
  <c r="H762" i="3"/>
  <c r="G762" i="3"/>
  <c r="F762" i="3"/>
  <c r="E762" i="3"/>
  <c r="D762" i="3"/>
  <c r="C762" i="3"/>
  <c r="B762" i="3"/>
  <c r="A762" i="3"/>
  <c r="I761" i="3"/>
  <c r="H761" i="3"/>
  <c r="G761" i="3"/>
  <c r="F761" i="3"/>
  <c r="E761" i="3"/>
  <c r="D761" i="3"/>
  <c r="C761" i="3"/>
  <c r="B761" i="3"/>
  <c r="A761" i="3"/>
  <c r="I760" i="3"/>
  <c r="H760" i="3"/>
  <c r="G760" i="3"/>
  <c r="F760" i="3"/>
  <c r="E760" i="3"/>
  <c r="D760" i="3"/>
  <c r="C760" i="3"/>
  <c r="B760" i="3"/>
  <c r="A760" i="3"/>
  <c r="I759" i="3"/>
  <c r="H759" i="3"/>
  <c r="G759" i="3"/>
  <c r="F759" i="3"/>
  <c r="E759" i="3"/>
  <c r="D759" i="3"/>
  <c r="C759" i="3"/>
  <c r="B759" i="3"/>
  <c r="A759" i="3"/>
  <c r="I758" i="3"/>
  <c r="H758" i="3"/>
  <c r="G758" i="3"/>
  <c r="F758" i="3"/>
  <c r="E758" i="3"/>
  <c r="D758" i="3"/>
  <c r="C758" i="3"/>
  <c r="B758" i="3"/>
  <c r="A758" i="3"/>
  <c r="I757" i="3"/>
  <c r="H757" i="3"/>
  <c r="G757" i="3"/>
  <c r="F757" i="3"/>
  <c r="E757" i="3"/>
  <c r="D757" i="3"/>
  <c r="C757" i="3"/>
  <c r="B757" i="3"/>
  <c r="A757" i="3"/>
  <c r="I756" i="3"/>
  <c r="H756" i="3"/>
  <c r="G756" i="3"/>
  <c r="F756" i="3"/>
  <c r="E756" i="3"/>
  <c r="D756" i="3"/>
  <c r="C756" i="3"/>
  <c r="B756" i="3"/>
  <c r="A756" i="3"/>
  <c r="I755" i="3"/>
  <c r="H755" i="3"/>
  <c r="G755" i="3"/>
  <c r="F755" i="3"/>
  <c r="E755" i="3"/>
  <c r="D755" i="3"/>
  <c r="C755" i="3"/>
  <c r="B755" i="3"/>
  <c r="A755" i="3"/>
  <c r="I754" i="3"/>
  <c r="H754" i="3"/>
  <c r="G754" i="3"/>
  <c r="F754" i="3"/>
  <c r="E754" i="3"/>
  <c r="D754" i="3"/>
  <c r="C754" i="3"/>
  <c r="B754" i="3"/>
  <c r="A754" i="3"/>
  <c r="I753" i="3"/>
  <c r="H753" i="3"/>
  <c r="G753" i="3"/>
  <c r="F753" i="3"/>
  <c r="E753" i="3"/>
  <c r="D753" i="3"/>
  <c r="C753" i="3"/>
  <c r="B753" i="3"/>
  <c r="A753" i="3"/>
  <c r="I752" i="3"/>
  <c r="H752" i="3"/>
  <c r="G752" i="3"/>
  <c r="F752" i="3"/>
  <c r="E752" i="3"/>
  <c r="D752" i="3"/>
  <c r="C752" i="3"/>
  <c r="B752" i="3"/>
  <c r="A752" i="3"/>
  <c r="I751" i="3"/>
  <c r="H751" i="3"/>
  <c r="G751" i="3"/>
  <c r="F751" i="3"/>
  <c r="E751" i="3"/>
  <c r="D751" i="3"/>
  <c r="C751" i="3"/>
  <c r="B751" i="3"/>
  <c r="A751" i="3"/>
  <c r="I750" i="3"/>
  <c r="H750" i="3"/>
  <c r="G750" i="3"/>
  <c r="F750" i="3"/>
  <c r="E750" i="3"/>
  <c r="D750" i="3"/>
  <c r="C750" i="3"/>
  <c r="B750" i="3"/>
  <c r="A750" i="3"/>
  <c r="I749" i="3"/>
  <c r="H749" i="3"/>
  <c r="G749" i="3"/>
  <c r="F749" i="3"/>
  <c r="E749" i="3"/>
  <c r="D749" i="3"/>
  <c r="C749" i="3"/>
  <c r="B749" i="3"/>
  <c r="A749" i="3"/>
  <c r="I748" i="3"/>
  <c r="H748" i="3"/>
  <c r="G748" i="3"/>
  <c r="F748" i="3"/>
  <c r="E748" i="3"/>
  <c r="D748" i="3"/>
  <c r="C748" i="3"/>
  <c r="B748" i="3"/>
  <c r="A748" i="3"/>
  <c r="I747" i="3"/>
  <c r="H747" i="3"/>
  <c r="G747" i="3"/>
  <c r="F747" i="3"/>
  <c r="E747" i="3"/>
  <c r="D747" i="3"/>
  <c r="C747" i="3"/>
  <c r="B747" i="3"/>
  <c r="A747" i="3"/>
  <c r="I746" i="3"/>
  <c r="H746" i="3"/>
  <c r="G746" i="3"/>
  <c r="F746" i="3"/>
  <c r="E746" i="3"/>
  <c r="D746" i="3"/>
  <c r="C746" i="3"/>
  <c r="B746" i="3"/>
  <c r="A746" i="3"/>
  <c r="I745" i="3"/>
  <c r="H745" i="3"/>
  <c r="G745" i="3"/>
  <c r="F745" i="3"/>
  <c r="E745" i="3"/>
  <c r="D745" i="3"/>
  <c r="C745" i="3"/>
  <c r="B745" i="3"/>
  <c r="A745" i="3"/>
  <c r="I744" i="3"/>
  <c r="H744" i="3"/>
  <c r="G744" i="3"/>
  <c r="F744" i="3"/>
  <c r="E744" i="3"/>
  <c r="D744" i="3"/>
  <c r="C744" i="3"/>
  <c r="B744" i="3"/>
  <c r="A744" i="3"/>
  <c r="I743" i="3"/>
  <c r="H743" i="3"/>
  <c r="G743" i="3"/>
  <c r="F743" i="3"/>
  <c r="E743" i="3"/>
  <c r="D743" i="3"/>
  <c r="C743" i="3"/>
  <c r="B743" i="3"/>
  <c r="A743" i="3"/>
  <c r="I742" i="3"/>
  <c r="H742" i="3"/>
  <c r="G742" i="3"/>
  <c r="F742" i="3"/>
  <c r="E742" i="3"/>
  <c r="D742" i="3"/>
  <c r="C742" i="3"/>
  <c r="B742" i="3"/>
  <c r="A742" i="3"/>
  <c r="I741" i="3"/>
  <c r="H741" i="3"/>
  <c r="G741" i="3"/>
  <c r="F741" i="3"/>
  <c r="E741" i="3"/>
  <c r="D741" i="3"/>
  <c r="C741" i="3"/>
  <c r="B741" i="3"/>
  <c r="A741" i="3"/>
  <c r="I740" i="3"/>
  <c r="H740" i="3"/>
  <c r="G740" i="3"/>
  <c r="F740" i="3"/>
  <c r="E740" i="3"/>
  <c r="D740" i="3"/>
  <c r="C740" i="3"/>
  <c r="B740" i="3"/>
  <c r="A740" i="3"/>
  <c r="I739" i="3"/>
  <c r="H739" i="3"/>
  <c r="G739" i="3"/>
  <c r="F739" i="3"/>
  <c r="E739" i="3"/>
  <c r="D739" i="3"/>
  <c r="C739" i="3"/>
  <c r="B739" i="3"/>
  <c r="A739" i="3"/>
  <c r="I738" i="3"/>
  <c r="H738" i="3"/>
  <c r="G738" i="3"/>
  <c r="F738" i="3"/>
  <c r="E738" i="3"/>
  <c r="D738" i="3"/>
  <c r="C738" i="3"/>
  <c r="B738" i="3"/>
  <c r="A738" i="3"/>
  <c r="I737" i="3"/>
  <c r="H737" i="3"/>
  <c r="G737" i="3"/>
  <c r="F737" i="3"/>
  <c r="E737" i="3"/>
  <c r="D737" i="3"/>
  <c r="C737" i="3"/>
  <c r="B737" i="3"/>
  <c r="A737" i="3"/>
  <c r="I736" i="3"/>
  <c r="H736" i="3"/>
  <c r="G736" i="3"/>
  <c r="F736" i="3"/>
  <c r="E736" i="3"/>
  <c r="D736" i="3"/>
  <c r="C736" i="3"/>
  <c r="B736" i="3"/>
  <c r="A736" i="3"/>
  <c r="I735" i="3"/>
  <c r="H735" i="3"/>
  <c r="G735" i="3"/>
  <c r="F735" i="3"/>
  <c r="E735" i="3"/>
  <c r="D735" i="3"/>
  <c r="C735" i="3"/>
  <c r="B735" i="3"/>
  <c r="A735" i="3"/>
  <c r="I734" i="3"/>
  <c r="H734" i="3"/>
  <c r="G734" i="3"/>
  <c r="F734" i="3"/>
  <c r="E734" i="3"/>
  <c r="D734" i="3"/>
  <c r="C734" i="3"/>
  <c r="B734" i="3"/>
  <c r="A734" i="3"/>
  <c r="I733" i="3"/>
  <c r="H733" i="3"/>
  <c r="G733" i="3"/>
  <c r="F733" i="3"/>
  <c r="E733" i="3"/>
  <c r="D733" i="3"/>
  <c r="C733" i="3"/>
  <c r="B733" i="3"/>
  <c r="A733" i="3"/>
  <c r="I732" i="3"/>
  <c r="H732" i="3"/>
  <c r="G732" i="3"/>
  <c r="F732" i="3"/>
  <c r="E732" i="3"/>
  <c r="D732" i="3"/>
  <c r="C732" i="3"/>
  <c r="B732" i="3"/>
  <c r="A732" i="3"/>
  <c r="I731" i="3"/>
  <c r="H731" i="3"/>
  <c r="G731" i="3"/>
  <c r="F731" i="3"/>
  <c r="E731" i="3"/>
  <c r="D731" i="3"/>
  <c r="C731" i="3"/>
  <c r="B731" i="3"/>
  <c r="A731" i="3"/>
  <c r="I730" i="3"/>
  <c r="H730" i="3"/>
  <c r="G730" i="3"/>
  <c r="F730" i="3"/>
  <c r="E730" i="3"/>
  <c r="D730" i="3"/>
  <c r="C730" i="3"/>
  <c r="B730" i="3"/>
  <c r="A730" i="3"/>
  <c r="I729" i="3"/>
  <c r="H729" i="3"/>
  <c r="G729" i="3"/>
  <c r="F729" i="3"/>
  <c r="E729" i="3"/>
  <c r="D729" i="3"/>
  <c r="C729" i="3"/>
  <c r="B729" i="3"/>
  <c r="A729" i="3"/>
  <c r="I728" i="3"/>
  <c r="H728" i="3"/>
  <c r="G728" i="3"/>
  <c r="F728" i="3"/>
  <c r="E728" i="3"/>
  <c r="D728" i="3"/>
  <c r="C728" i="3"/>
  <c r="B728" i="3"/>
  <c r="A728" i="3"/>
  <c r="I727" i="3"/>
  <c r="H727" i="3"/>
  <c r="G727" i="3"/>
  <c r="F727" i="3"/>
  <c r="E727" i="3"/>
  <c r="D727" i="3"/>
  <c r="C727" i="3"/>
  <c r="B727" i="3"/>
  <c r="A727" i="3"/>
  <c r="I726" i="3"/>
  <c r="H726" i="3"/>
  <c r="G726" i="3"/>
  <c r="F726" i="3"/>
  <c r="E726" i="3"/>
  <c r="D726" i="3"/>
  <c r="C726" i="3"/>
  <c r="B726" i="3"/>
  <c r="A726" i="3"/>
  <c r="I725" i="3"/>
  <c r="H725" i="3"/>
  <c r="G725" i="3"/>
  <c r="F725" i="3"/>
  <c r="E725" i="3"/>
  <c r="D725" i="3"/>
  <c r="C725" i="3"/>
  <c r="B725" i="3"/>
  <c r="A725" i="3"/>
  <c r="I724" i="3"/>
  <c r="H724" i="3"/>
  <c r="G724" i="3"/>
  <c r="F724" i="3"/>
  <c r="E724" i="3"/>
  <c r="D724" i="3"/>
  <c r="C724" i="3"/>
  <c r="B724" i="3"/>
  <c r="A724" i="3"/>
  <c r="I723" i="3"/>
  <c r="H723" i="3"/>
  <c r="G723" i="3"/>
  <c r="F723" i="3"/>
  <c r="E723" i="3"/>
  <c r="D723" i="3"/>
  <c r="C723" i="3"/>
  <c r="B723" i="3"/>
  <c r="A723" i="3"/>
  <c r="I722" i="3"/>
  <c r="H722" i="3"/>
  <c r="G722" i="3"/>
  <c r="F722" i="3"/>
  <c r="E722" i="3"/>
  <c r="D722" i="3"/>
  <c r="C722" i="3"/>
  <c r="B722" i="3"/>
  <c r="A722" i="3"/>
  <c r="I721" i="3"/>
  <c r="H721" i="3"/>
  <c r="G721" i="3"/>
  <c r="F721" i="3"/>
  <c r="E721" i="3"/>
  <c r="D721" i="3"/>
  <c r="C721" i="3"/>
  <c r="B721" i="3"/>
  <c r="A721" i="3"/>
  <c r="I720" i="3"/>
  <c r="H720" i="3"/>
  <c r="G720" i="3"/>
  <c r="F720" i="3"/>
  <c r="E720" i="3"/>
  <c r="D720" i="3"/>
  <c r="C720" i="3"/>
  <c r="B720" i="3"/>
  <c r="A720" i="3"/>
  <c r="I719" i="3"/>
  <c r="H719" i="3"/>
  <c r="G719" i="3"/>
  <c r="F719" i="3"/>
  <c r="E719" i="3"/>
  <c r="D719" i="3"/>
  <c r="C719" i="3"/>
  <c r="B719" i="3"/>
  <c r="A719" i="3"/>
  <c r="I718" i="3"/>
  <c r="H718" i="3"/>
  <c r="G718" i="3"/>
  <c r="F718" i="3"/>
  <c r="E718" i="3"/>
  <c r="D718" i="3"/>
  <c r="C718" i="3"/>
  <c r="B718" i="3"/>
  <c r="A718" i="3"/>
  <c r="I717" i="3"/>
  <c r="H717" i="3"/>
  <c r="G717" i="3"/>
  <c r="F717" i="3"/>
  <c r="E717" i="3"/>
  <c r="D717" i="3"/>
  <c r="C717" i="3"/>
  <c r="B717" i="3"/>
  <c r="A717" i="3"/>
  <c r="I716" i="3"/>
  <c r="H716" i="3"/>
  <c r="G716" i="3"/>
  <c r="F716" i="3"/>
  <c r="E716" i="3"/>
  <c r="D716" i="3"/>
  <c r="C716" i="3"/>
  <c r="B716" i="3"/>
  <c r="A716" i="3"/>
  <c r="I715" i="3"/>
  <c r="H715" i="3"/>
  <c r="G715" i="3"/>
  <c r="F715" i="3"/>
  <c r="E715" i="3"/>
  <c r="D715" i="3"/>
  <c r="C715" i="3"/>
  <c r="B715" i="3"/>
  <c r="A715" i="3"/>
  <c r="I714" i="3"/>
  <c r="H714" i="3"/>
  <c r="G714" i="3"/>
  <c r="F714" i="3"/>
  <c r="E714" i="3"/>
  <c r="D714" i="3"/>
  <c r="C714" i="3"/>
  <c r="B714" i="3"/>
  <c r="A714" i="3"/>
  <c r="I713" i="3"/>
  <c r="H713" i="3"/>
  <c r="G713" i="3"/>
  <c r="F713" i="3"/>
  <c r="E713" i="3"/>
  <c r="D713" i="3"/>
  <c r="C713" i="3"/>
  <c r="B713" i="3"/>
  <c r="A713" i="3"/>
  <c r="I712" i="3"/>
  <c r="H712" i="3"/>
  <c r="G712" i="3"/>
  <c r="F712" i="3"/>
  <c r="E712" i="3"/>
  <c r="D712" i="3"/>
  <c r="C712" i="3"/>
  <c r="B712" i="3"/>
  <c r="A712" i="3"/>
  <c r="I711" i="3"/>
  <c r="H711" i="3"/>
  <c r="G711" i="3"/>
  <c r="F711" i="3"/>
  <c r="E711" i="3"/>
  <c r="D711" i="3"/>
  <c r="C711" i="3"/>
  <c r="B711" i="3"/>
  <c r="A711" i="3"/>
  <c r="I710" i="3"/>
  <c r="H710" i="3"/>
  <c r="G710" i="3"/>
  <c r="F710" i="3"/>
  <c r="E710" i="3"/>
  <c r="D710" i="3"/>
  <c r="C710" i="3"/>
  <c r="B710" i="3"/>
  <c r="A710" i="3"/>
  <c r="I709" i="3"/>
  <c r="H709" i="3"/>
  <c r="G709" i="3"/>
  <c r="F709" i="3"/>
  <c r="E709" i="3"/>
  <c r="D709" i="3"/>
  <c r="C709" i="3"/>
  <c r="B709" i="3"/>
  <c r="A709" i="3"/>
  <c r="I708" i="3"/>
  <c r="H708" i="3"/>
  <c r="G708" i="3"/>
  <c r="F708" i="3"/>
  <c r="E708" i="3"/>
  <c r="D708" i="3"/>
  <c r="C708" i="3"/>
  <c r="B708" i="3"/>
  <c r="A708" i="3"/>
  <c r="I707" i="3"/>
  <c r="H707" i="3"/>
  <c r="G707" i="3"/>
  <c r="F707" i="3"/>
  <c r="E707" i="3"/>
  <c r="D707" i="3"/>
  <c r="C707" i="3"/>
  <c r="B707" i="3"/>
  <c r="A707" i="3"/>
  <c r="I706" i="3"/>
  <c r="H706" i="3"/>
  <c r="G706" i="3"/>
  <c r="F706" i="3"/>
  <c r="E706" i="3"/>
  <c r="D706" i="3"/>
  <c r="C706" i="3"/>
  <c r="B706" i="3"/>
  <c r="A706" i="3"/>
  <c r="I705" i="3"/>
  <c r="H705" i="3"/>
  <c r="G705" i="3"/>
  <c r="F705" i="3"/>
  <c r="E705" i="3"/>
  <c r="D705" i="3"/>
  <c r="C705" i="3"/>
  <c r="B705" i="3"/>
  <c r="A705" i="3"/>
  <c r="I704" i="3"/>
  <c r="H704" i="3"/>
  <c r="G704" i="3"/>
  <c r="F704" i="3"/>
  <c r="E704" i="3"/>
  <c r="D704" i="3"/>
  <c r="C704" i="3"/>
  <c r="B704" i="3"/>
  <c r="A704" i="3"/>
  <c r="I703" i="3"/>
  <c r="H703" i="3"/>
  <c r="G703" i="3"/>
  <c r="F703" i="3"/>
  <c r="E703" i="3"/>
  <c r="D703" i="3"/>
  <c r="C703" i="3"/>
  <c r="B703" i="3"/>
  <c r="A703" i="3"/>
  <c r="I702" i="3"/>
  <c r="H702" i="3"/>
  <c r="G702" i="3"/>
  <c r="F702" i="3"/>
  <c r="E702" i="3"/>
  <c r="D702" i="3"/>
  <c r="C702" i="3"/>
  <c r="B702" i="3"/>
  <c r="A702" i="3"/>
  <c r="I701" i="3"/>
  <c r="H701" i="3"/>
  <c r="G701" i="3"/>
  <c r="F701" i="3"/>
  <c r="E701" i="3"/>
  <c r="D701" i="3"/>
  <c r="C701" i="3"/>
  <c r="B701" i="3"/>
  <c r="A701" i="3"/>
  <c r="I700" i="3"/>
  <c r="H700" i="3"/>
  <c r="G700" i="3"/>
  <c r="F700" i="3"/>
  <c r="E700" i="3"/>
  <c r="D700" i="3"/>
  <c r="C700" i="3"/>
  <c r="B700" i="3"/>
  <c r="A700" i="3"/>
  <c r="I699" i="3"/>
  <c r="H699" i="3"/>
  <c r="G699" i="3"/>
  <c r="F699" i="3"/>
  <c r="E699" i="3"/>
  <c r="D699" i="3"/>
  <c r="C699" i="3"/>
  <c r="B699" i="3"/>
  <c r="A699" i="3"/>
  <c r="I698" i="3"/>
  <c r="H698" i="3"/>
  <c r="G698" i="3"/>
  <c r="F698" i="3"/>
  <c r="E698" i="3"/>
  <c r="D698" i="3"/>
  <c r="C698" i="3"/>
  <c r="B698" i="3"/>
  <c r="A698" i="3"/>
  <c r="I697" i="3"/>
  <c r="H697" i="3"/>
  <c r="G697" i="3"/>
  <c r="F697" i="3"/>
  <c r="E697" i="3"/>
  <c r="D697" i="3"/>
  <c r="C697" i="3"/>
  <c r="B697" i="3"/>
  <c r="A697" i="3"/>
  <c r="I696" i="3"/>
  <c r="H696" i="3"/>
  <c r="G696" i="3"/>
  <c r="F696" i="3"/>
  <c r="E696" i="3"/>
  <c r="D696" i="3"/>
  <c r="C696" i="3"/>
  <c r="B696" i="3"/>
  <c r="A696" i="3"/>
  <c r="I695" i="3"/>
  <c r="H695" i="3"/>
  <c r="G695" i="3"/>
  <c r="F695" i="3"/>
  <c r="E695" i="3"/>
  <c r="D695" i="3"/>
  <c r="C695" i="3"/>
  <c r="B695" i="3"/>
  <c r="A695" i="3"/>
  <c r="I694" i="3"/>
  <c r="H694" i="3"/>
  <c r="G694" i="3"/>
  <c r="F694" i="3"/>
  <c r="E694" i="3"/>
  <c r="D694" i="3"/>
  <c r="C694" i="3"/>
  <c r="B694" i="3"/>
  <c r="A694" i="3"/>
  <c r="I693" i="3"/>
  <c r="H693" i="3"/>
  <c r="G693" i="3"/>
  <c r="F693" i="3"/>
  <c r="E693" i="3"/>
  <c r="D693" i="3"/>
  <c r="C693" i="3"/>
  <c r="B693" i="3"/>
  <c r="A693" i="3"/>
  <c r="I692" i="3"/>
  <c r="H692" i="3"/>
  <c r="G692" i="3"/>
  <c r="F692" i="3"/>
  <c r="E692" i="3"/>
  <c r="D692" i="3"/>
  <c r="C692" i="3"/>
  <c r="B692" i="3"/>
  <c r="A692" i="3"/>
  <c r="I691" i="3"/>
  <c r="H691" i="3"/>
  <c r="G691" i="3"/>
  <c r="F691" i="3"/>
  <c r="E691" i="3"/>
  <c r="D691" i="3"/>
  <c r="C691" i="3"/>
  <c r="B691" i="3"/>
  <c r="A691" i="3"/>
  <c r="I690" i="3"/>
  <c r="H690" i="3"/>
  <c r="G690" i="3"/>
  <c r="F690" i="3"/>
  <c r="E690" i="3"/>
  <c r="D690" i="3"/>
  <c r="C690" i="3"/>
  <c r="B690" i="3"/>
  <c r="A690" i="3"/>
  <c r="I689" i="3"/>
  <c r="H689" i="3"/>
  <c r="G689" i="3"/>
  <c r="F689" i="3"/>
  <c r="E689" i="3"/>
  <c r="D689" i="3"/>
  <c r="C689" i="3"/>
  <c r="B689" i="3"/>
  <c r="A689" i="3"/>
  <c r="I688" i="3"/>
  <c r="H688" i="3"/>
  <c r="G688" i="3"/>
  <c r="F688" i="3"/>
  <c r="E688" i="3"/>
  <c r="D688" i="3"/>
  <c r="C688" i="3"/>
  <c r="B688" i="3"/>
  <c r="A688" i="3"/>
  <c r="I687" i="3"/>
  <c r="H687" i="3"/>
  <c r="G687" i="3"/>
  <c r="F687" i="3"/>
  <c r="E687" i="3"/>
  <c r="D687" i="3"/>
  <c r="C687" i="3"/>
  <c r="B687" i="3"/>
  <c r="A687" i="3"/>
  <c r="I686" i="3"/>
  <c r="H686" i="3"/>
  <c r="G686" i="3"/>
  <c r="F686" i="3"/>
  <c r="E686" i="3"/>
  <c r="D686" i="3"/>
  <c r="C686" i="3"/>
  <c r="B686" i="3"/>
  <c r="A686" i="3"/>
  <c r="I685" i="3"/>
  <c r="H685" i="3"/>
  <c r="G685" i="3"/>
  <c r="F685" i="3"/>
  <c r="E685" i="3"/>
  <c r="D685" i="3"/>
  <c r="C685" i="3"/>
  <c r="B685" i="3"/>
  <c r="A685" i="3"/>
  <c r="I684" i="3"/>
  <c r="H684" i="3"/>
  <c r="G684" i="3"/>
  <c r="F684" i="3"/>
  <c r="E684" i="3"/>
  <c r="D684" i="3"/>
  <c r="C684" i="3"/>
  <c r="B684" i="3"/>
  <c r="A684" i="3"/>
  <c r="I683" i="3"/>
  <c r="H683" i="3"/>
  <c r="G683" i="3"/>
  <c r="F683" i="3"/>
  <c r="E683" i="3"/>
  <c r="D683" i="3"/>
  <c r="C683" i="3"/>
  <c r="B683" i="3"/>
  <c r="A683" i="3"/>
  <c r="I682" i="3"/>
  <c r="H682" i="3"/>
  <c r="G682" i="3"/>
  <c r="F682" i="3"/>
  <c r="E682" i="3"/>
  <c r="D682" i="3"/>
  <c r="C682" i="3"/>
  <c r="B682" i="3"/>
  <c r="A682" i="3"/>
  <c r="I681" i="3"/>
  <c r="H681" i="3"/>
  <c r="G681" i="3"/>
  <c r="F681" i="3"/>
  <c r="E681" i="3"/>
  <c r="D681" i="3"/>
  <c r="C681" i="3"/>
  <c r="B681" i="3"/>
  <c r="A681" i="3"/>
  <c r="I680" i="3"/>
  <c r="H680" i="3"/>
  <c r="G680" i="3"/>
  <c r="F680" i="3"/>
  <c r="E680" i="3"/>
  <c r="D680" i="3"/>
  <c r="C680" i="3"/>
  <c r="B680" i="3"/>
  <c r="A680" i="3"/>
  <c r="I679" i="3"/>
  <c r="H679" i="3"/>
  <c r="G679" i="3"/>
  <c r="F679" i="3"/>
  <c r="E679" i="3"/>
  <c r="D679" i="3"/>
  <c r="C679" i="3"/>
  <c r="B679" i="3"/>
  <c r="A679" i="3"/>
  <c r="I678" i="3"/>
  <c r="H678" i="3"/>
  <c r="G678" i="3"/>
  <c r="F678" i="3"/>
  <c r="E678" i="3"/>
  <c r="D678" i="3"/>
  <c r="C678" i="3"/>
  <c r="B678" i="3"/>
  <c r="A678" i="3"/>
  <c r="I677" i="3"/>
  <c r="H677" i="3"/>
  <c r="G677" i="3"/>
  <c r="F677" i="3"/>
  <c r="E677" i="3"/>
  <c r="D677" i="3"/>
  <c r="C677" i="3"/>
  <c r="B677" i="3"/>
  <c r="A677" i="3"/>
  <c r="I676" i="3"/>
  <c r="H676" i="3"/>
  <c r="G676" i="3"/>
  <c r="F676" i="3"/>
  <c r="E676" i="3"/>
  <c r="D676" i="3"/>
  <c r="C676" i="3"/>
  <c r="B676" i="3"/>
  <c r="A676" i="3"/>
  <c r="I675" i="3"/>
  <c r="H675" i="3"/>
  <c r="G675" i="3"/>
  <c r="F675" i="3"/>
  <c r="E675" i="3"/>
  <c r="D675" i="3"/>
  <c r="C675" i="3"/>
  <c r="B675" i="3"/>
  <c r="A675" i="3"/>
  <c r="I674" i="3"/>
  <c r="H674" i="3"/>
  <c r="G674" i="3"/>
  <c r="F674" i="3"/>
  <c r="E674" i="3"/>
  <c r="D674" i="3"/>
  <c r="C674" i="3"/>
  <c r="B674" i="3"/>
  <c r="A674" i="3"/>
  <c r="I673" i="3"/>
  <c r="H673" i="3"/>
  <c r="G673" i="3"/>
  <c r="F673" i="3"/>
  <c r="E673" i="3"/>
  <c r="D673" i="3"/>
  <c r="C673" i="3"/>
  <c r="B673" i="3"/>
  <c r="A673" i="3"/>
  <c r="I672" i="3"/>
  <c r="H672" i="3"/>
  <c r="G672" i="3"/>
  <c r="F672" i="3"/>
  <c r="E672" i="3"/>
  <c r="D672" i="3"/>
  <c r="C672" i="3"/>
  <c r="B672" i="3"/>
  <c r="A672" i="3"/>
  <c r="I671" i="3"/>
  <c r="H671" i="3"/>
  <c r="G671" i="3"/>
  <c r="F671" i="3"/>
  <c r="E671" i="3"/>
  <c r="D671" i="3"/>
  <c r="C671" i="3"/>
  <c r="B671" i="3"/>
  <c r="A671" i="3"/>
  <c r="I670" i="3"/>
  <c r="H670" i="3"/>
  <c r="G670" i="3"/>
  <c r="F670" i="3"/>
  <c r="E670" i="3"/>
  <c r="D670" i="3"/>
  <c r="C670" i="3"/>
  <c r="B670" i="3"/>
  <c r="A670" i="3"/>
  <c r="I669" i="3"/>
  <c r="H669" i="3"/>
  <c r="G669" i="3"/>
  <c r="F669" i="3"/>
  <c r="E669" i="3"/>
  <c r="D669" i="3"/>
  <c r="C669" i="3"/>
  <c r="B669" i="3"/>
  <c r="A669" i="3"/>
  <c r="I668" i="3"/>
  <c r="H668" i="3"/>
  <c r="G668" i="3"/>
  <c r="F668" i="3"/>
  <c r="E668" i="3"/>
  <c r="D668" i="3"/>
  <c r="C668" i="3"/>
  <c r="B668" i="3"/>
  <c r="A668" i="3"/>
  <c r="I667" i="3"/>
  <c r="H667" i="3"/>
  <c r="G667" i="3"/>
  <c r="F667" i="3"/>
  <c r="E667" i="3"/>
  <c r="D667" i="3"/>
  <c r="C667" i="3"/>
  <c r="B667" i="3"/>
  <c r="A667" i="3"/>
  <c r="I666" i="3"/>
  <c r="H666" i="3"/>
  <c r="G666" i="3"/>
  <c r="F666" i="3"/>
  <c r="E666" i="3"/>
  <c r="D666" i="3"/>
  <c r="C666" i="3"/>
  <c r="B666" i="3"/>
  <c r="A666" i="3"/>
  <c r="I665" i="3"/>
  <c r="H665" i="3"/>
  <c r="G665" i="3"/>
  <c r="F665" i="3"/>
  <c r="E665" i="3"/>
  <c r="D665" i="3"/>
  <c r="C665" i="3"/>
  <c r="B665" i="3"/>
  <c r="A665" i="3"/>
  <c r="I664" i="3"/>
  <c r="H664" i="3"/>
  <c r="G664" i="3"/>
  <c r="F664" i="3"/>
  <c r="E664" i="3"/>
  <c r="D664" i="3"/>
  <c r="C664" i="3"/>
  <c r="B664" i="3"/>
  <c r="A664" i="3"/>
  <c r="I663" i="3"/>
  <c r="H663" i="3"/>
  <c r="G663" i="3"/>
  <c r="F663" i="3"/>
  <c r="E663" i="3"/>
  <c r="D663" i="3"/>
  <c r="C663" i="3"/>
  <c r="B663" i="3"/>
  <c r="A663" i="3"/>
  <c r="I662" i="3"/>
  <c r="H662" i="3"/>
  <c r="G662" i="3"/>
  <c r="F662" i="3"/>
  <c r="E662" i="3"/>
  <c r="D662" i="3"/>
  <c r="C662" i="3"/>
  <c r="B662" i="3"/>
  <c r="A662" i="3"/>
  <c r="I661" i="3"/>
  <c r="H661" i="3"/>
  <c r="G661" i="3"/>
  <c r="F661" i="3"/>
  <c r="E661" i="3"/>
  <c r="D661" i="3"/>
  <c r="C661" i="3"/>
  <c r="B661" i="3"/>
  <c r="A661" i="3"/>
  <c r="I660" i="3"/>
  <c r="H660" i="3"/>
  <c r="G660" i="3"/>
  <c r="F660" i="3"/>
  <c r="E660" i="3"/>
  <c r="D660" i="3"/>
  <c r="C660" i="3"/>
  <c r="B660" i="3"/>
  <c r="A660" i="3"/>
  <c r="I659" i="3"/>
  <c r="H659" i="3"/>
  <c r="G659" i="3"/>
  <c r="F659" i="3"/>
  <c r="E659" i="3"/>
  <c r="D659" i="3"/>
  <c r="C659" i="3"/>
  <c r="B659" i="3"/>
  <c r="A659" i="3"/>
  <c r="I658" i="3"/>
  <c r="H658" i="3"/>
  <c r="G658" i="3"/>
  <c r="F658" i="3"/>
  <c r="E658" i="3"/>
  <c r="D658" i="3"/>
  <c r="C658" i="3"/>
  <c r="B658" i="3"/>
  <c r="A658" i="3"/>
  <c r="I657" i="3"/>
  <c r="H657" i="3"/>
  <c r="G657" i="3"/>
  <c r="F657" i="3"/>
  <c r="E657" i="3"/>
  <c r="D657" i="3"/>
  <c r="C657" i="3"/>
  <c r="B657" i="3"/>
  <c r="A657" i="3"/>
  <c r="I656" i="3"/>
  <c r="H656" i="3"/>
  <c r="G656" i="3"/>
  <c r="F656" i="3"/>
  <c r="E656" i="3"/>
  <c r="D656" i="3"/>
  <c r="C656" i="3"/>
  <c r="B656" i="3"/>
  <c r="A656" i="3"/>
  <c r="I655" i="3"/>
  <c r="H655" i="3"/>
  <c r="G655" i="3"/>
  <c r="F655" i="3"/>
  <c r="E655" i="3"/>
  <c r="D655" i="3"/>
  <c r="C655" i="3"/>
  <c r="B655" i="3"/>
  <c r="A655" i="3"/>
  <c r="I654" i="3"/>
  <c r="H654" i="3"/>
  <c r="G654" i="3"/>
  <c r="F654" i="3"/>
  <c r="E654" i="3"/>
  <c r="D654" i="3"/>
  <c r="C654" i="3"/>
  <c r="B654" i="3"/>
  <c r="A654" i="3"/>
  <c r="I653" i="3"/>
  <c r="H653" i="3"/>
  <c r="G653" i="3"/>
  <c r="F653" i="3"/>
  <c r="E653" i="3"/>
  <c r="D653" i="3"/>
  <c r="C653" i="3"/>
  <c r="B653" i="3"/>
  <c r="A653" i="3"/>
  <c r="I652" i="3"/>
  <c r="H652" i="3"/>
  <c r="G652" i="3"/>
  <c r="F652" i="3"/>
  <c r="E652" i="3"/>
  <c r="D652" i="3"/>
  <c r="C652" i="3"/>
  <c r="B652" i="3"/>
  <c r="A652" i="3"/>
  <c r="I651" i="3"/>
  <c r="H651" i="3"/>
  <c r="G651" i="3"/>
  <c r="F651" i="3"/>
  <c r="E651" i="3"/>
  <c r="D651" i="3"/>
  <c r="C651" i="3"/>
  <c r="B651" i="3"/>
  <c r="A651" i="3"/>
  <c r="I650" i="3"/>
  <c r="H650" i="3"/>
  <c r="G650" i="3"/>
  <c r="F650" i="3"/>
  <c r="E650" i="3"/>
  <c r="D650" i="3"/>
  <c r="C650" i="3"/>
  <c r="B650" i="3"/>
  <c r="A650" i="3"/>
  <c r="I649" i="3"/>
  <c r="H649" i="3"/>
  <c r="G649" i="3"/>
  <c r="F649" i="3"/>
  <c r="E649" i="3"/>
  <c r="D649" i="3"/>
  <c r="C649" i="3"/>
  <c r="B649" i="3"/>
  <c r="A649" i="3"/>
  <c r="I648" i="3"/>
  <c r="H648" i="3"/>
  <c r="G648" i="3"/>
  <c r="F648" i="3"/>
  <c r="E648" i="3"/>
  <c r="D648" i="3"/>
  <c r="C648" i="3"/>
  <c r="B648" i="3"/>
  <c r="A648" i="3"/>
  <c r="I647" i="3"/>
  <c r="H647" i="3"/>
  <c r="G647" i="3"/>
  <c r="F647" i="3"/>
  <c r="E647" i="3"/>
  <c r="D647" i="3"/>
  <c r="C647" i="3"/>
  <c r="B647" i="3"/>
  <c r="A647" i="3"/>
  <c r="I646" i="3"/>
  <c r="H646" i="3"/>
  <c r="G646" i="3"/>
  <c r="F646" i="3"/>
  <c r="E646" i="3"/>
  <c r="D646" i="3"/>
  <c r="C646" i="3"/>
  <c r="B646" i="3"/>
  <c r="A646" i="3"/>
  <c r="I645" i="3"/>
  <c r="H645" i="3"/>
  <c r="G645" i="3"/>
  <c r="F645" i="3"/>
  <c r="E645" i="3"/>
  <c r="D645" i="3"/>
  <c r="C645" i="3"/>
  <c r="B645" i="3"/>
  <c r="A645" i="3"/>
  <c r="I644" i="3"/>
  <c r="H644" i="3"/>
  <c r="G644" i="3"/>
  <c r="F644" i="3"/>
  <c r="E644" i="3"/>
  <c r="D644" i="3"/>
  <c r="C644" i="3"/>
  <c r="B644" i="3"/>
  <c r="A644" i="3"/>
  <c r="I643" i="3"/>
  <c r="H643" i="3"/>
  <c r="G643" i="3"/>
  <c r="F643" i="3"/>
  <c r="E643" i="3"/>
  <c r="D643" i="3"/>
  <c r="C643" i="3"/>
  <c r="B643" i="3"/>
  <c r="A643" i="3"/>
  <c r="I642" i="3"/>
  <c r="H642" i="3"/>
  <c r="G642" i="3"/>
  <c r="F642" i="3"/>
  <c r="E642" i="3"/>
  <c r="D642" i="3"/>
  <c r="C642" i="3"/>
  <c r="B642" i="3"/>
  <c r="A642" i="3"/>
  <c r="I641" i="3"/>
  <c r="H641" i="3"/>
  <c r="G641" i="3"/>
  <c r="F641" i="3"/>
  <c r="E641" i="3"/>
  <c r="D641" i="3"/>
  <c r="C641" i="3"/>
  <c r="B641" i="3"/>
  <c r="A641" i="3"/>
  <c r="I640" i="3"/>
  <c r="H640" i="3"/>
  <c r="G640" i="3"/>
  <c r="F640" i="3"/>
  <c r="E640" i="3"/>
  <c r="D640" i="3"/>
  <c r="C640" i="3"/>
  <c r="B640" i="3"/>
  <c r="A640" i="3"/>
  <c r="I639" i="3"/>
  <c r="H639" i="3"/>
  <c r="G639" i="3"/>
  <c r="F639" i="3"/>
  <c r="E639" i="3"/>
  <c r="D639" i="3"/>
  <c r="C639" i="3"/>
  <c r="B639" i="3"/>
  <c r="A639" i="3"/>
  <c r="I638" i="3"/>
  <c r="H638" i="3"/>
  <c r="G638" i="3"/>
  <c r="F638" i="3"/>
  <c r="E638" i="3"/>
  <c r="D638" i="3"/>
  <c r="C638" i="3"/>
  <c r="B638" i="3"/>
  <c r="A638" i="3"/>
  <c r="I637" i="3"/>
  <c r="H637" i="3"/>
  <c r="G637" i="3"/>
  <c r="F637" i="3"/>
  <c r="E637" i="3"/>
  <c r="D637" i="3"/>
  <c r="C637" i="3"/>
  <c r="B637" i="3"/>
  <c r="A637" i="3"/>
  <c r="I636" i="3"/>
  <c r="H636" i="3"/>
  <c r="G636" i="3"/>
  <c r="F636" i="3"/>
  <c r="E636" i="3"/>
  <c r="D636" i="3"/>
  <c r="C636" i="3"/>
  <c r="B636" i="3"/>
  <c r="A636" i="3"/>
  <c r="I635" i="3"/>
  <c r="H635" i="3"/>
  <c r="G635" i="3"/>
  <c r="F635" i="3"/>
  <c r="E635" i="3"/>
  <c r="D635" i="3"/>
  <c r="C635" i="3"/>
  <c r="B635" i="3"/>
  <c r="A635" i="3"/>
  <c r="I634" i="3"/>
  <c r="H634" i="3"/>
  <c r="G634" i="3"/>
  <c r="F634" i="3"/>
  <c r="E634" i="3"/>
  <c r="D634" i="3"/>
  <c r="C634" i="3"/>
  <c r="B634" i="3"/>
  <c r="A634" i="3"/>
  <c r="I633" i="3"/>
  <c r="H633" i="3"/>
  <c r="G633" i="3"/>
  <c r="F633" i="3"/>
  <c r="E633" i="3"/>
  <c r="D633" i="3"/>
  <c r="C633" i="3"/>
  <c r="B633" i="3"/>
  <c r="A633" i="3"/>
  <c r="I632" i="3"/>
  <c r="H632" i="3"/>
  <c r="G632" i="3"/>
  <c r="F632" i="3"/>
  <c r="E632" i="3"/>
  <c r="D632" i="3"/>
  <c r="C632" i="3"/>
  <c r="B632" i="3"/>
  <c r="A632" i="3"/>
  <c r="I631" i="3"/>
  <c r="H631" i="3"/>
  <c r="G631" i="3"/>
  <c r="F631" i="3"/>
  <c r="E631" i="3"/>
  <c r="D631" i="3"/>
  <c r="C631" i="3"/>
  <c r="B631" i="3"/>
  <c r="A631" i="3"/>
  <c r="I630" i="3"/>
  <c r="H630" i="3"/>
  <c r="G630" i="3"/>
  <c r="F630" i="3"/>
  <c r="E630" i="3"/>
  <c r="D630" i="3"/>
  <c r="C630" i="3"/>
  <c r="B630" i="3"/>
  <c r="A630" i="3"/>
  <c r="I629" i="3"/>
  <c r="H629" i="3"/>
  <c r="G629" i="3"/>
  <c r="F629" i="3"/>
  <c r="E629" i="3"/>
  <c r="D629" i="3"/>
  <c r="C629" i="3"/>
  <c r="B629" i="3"/>
  <c r="A629" i="3"/>
  <c r="I628" i="3"/>
  <c r="H628" i="3"/>
  <c r="G628" i="3"/>
  <c r="F628" i="3"/>
  <c r="E628" i="3"/>
  <c r="D628" i="3"/>
  <c r="C628" i="3"/>
  <c r="B628" i="3"/>
  <c r="A628" i="3"/>
  <c r="I627" i="3"/>
  <c r="H627" i="3"/>
  <c r="G627" i="3"/>
  <c r="F627" i="3"/>
  <c r="E627" i="3"/>
  <c r="D627" i="3"/>
  <c r="C627" i="3"/>
  <c r="B627" i="3"/>
  <c r="A627" i="3"/>
  <c r="I626" i="3"/>
  <c r="H626" i="3"/>
  <c r="G626" i="3"/>
  <c r="F626" i="3"/>
  <c r="E626" i="3"/>
  <c r="D626" i="3"/>
  <c r="C626" i="3"/>
  <c r="B626" i="3"/>
  <c r="A626" i="3"/>
  <c r="I625" i="3"/>
  <c r="H625" i="3"/>
  <c r="G625" i="3"/>
  <c r="F625" i="3"/>
  <c r="E625" i="3"/>
  <c r="D625" i="3"/>
  <c r="C625" i="3"/>
  <c r="B625" i="3"/>
  <c r="A625" i="3"/>
  <c r="I624" i="3"/>
  <c r="H624" i="3"/>
  <c r="G624" i="3"/>
  <c r="F624" i="3"/>
  <c r="E624" i="3"/>
  <c r="D624" i="3"/>
  <c r="C624" i="3"/>
  <c r="B624" i="3"/>
  <c r="A624" i="3"/>
  <c r="I623" i="3"/>
  <c r="H623" i="3"/>
  <c r="G623" i="3"/>
  <c r="F623" i="3"/>
  <c r="E623" i="3"/>
  <c r="D623" i="3"/>
  <c r="C623" i="3"/>
  <c r="B623" i="3"/>
  <c r="A623" i="3"/>
  <c r="I622" i="3"/>
  <c r="H622" i="3"/>
  <c r="G622" i="3"/>
  <c r="F622" i="3"/>
  <c r="E622" i="3"/>
  <c r="D622" i="3"/>
  <c r="C622" i="3"/>
  <c r="B622" i="3"/>
  <c r="A622" i="3"/>
  <c r="I621" i="3"/>
  <c r="H621" i="3"/>
  <c r="G621" i="3"/>
  <c r="F621" i="3"/>
  <c r="E621" i="3"/>
  <c r="D621" i="3"/>
  <c r="C621" i="3"/>
  <c r="B621" i="3"/>
  <c r="A621" i="3"/>
  <c r="I620" i="3"/>
  <c r="H620" i="3"/>
  <c r="G620" i="3"/>
  <c r="F620" i="3"/>
  <c r="E620" i="3"/>
  <c r="D620" i="3"/>
  <c r="C620" i="3"/>
  <c r="B620" i="3"/>
  <c r="A620" i="3"/>
  <c r="I619" i="3"/>
  <c r="H619" i="3"/>
  <c r="G619" i="3"/>
  <c r="F619" i="3"/>
  <c r="E619" i="3"/>
  <c r="D619" i="3"/>
  <c r="C619" i="3"/>
  <c r="B619" i="3"/>
  <c r="A619" i="3"/>
  <c r="I618" i="3"/>
  <c r="H618" i="3"/>
  <c r="G618" i="3"/>
  <c r="F618" i="3"/>
  <c r="E618" i="3"/>
  <c r="D618" i="3"/>
  <c r="C618" i="3"/>
  <c r="B618" i="3"/>
  <c r="A618" i="3"/>
  <c r="I617" i="3"/>
  <c r="H617" i="3"/>
  <c r="G617" i="3"/>
  <c r="F617" i="3"/>
  <c r="E617" i="3"/>
  <c r="D617" i="3"/>
  <c r="C617" i="3"/>
  <c r="B617" i="3"/>
  <c r="A617" i="3"/>
  <c r="I616" i="3"/>
  <c r="H616" i="3"/>
  <c r="G616" i="3"/>
  <c r="F616" i="3"/>
  <c r="E616" i="3"/>
  <c r="D616" i="3"/>
  <c r="C616" i="3"/>
  <c r="B616" i="3"/>
  <c r="A616" i="3"/>
  <c r="I615" i="3"/>
  <c r="H615" i="3"/>
  <c r="G615" i="3"/>
  <c r="F615" i="3"/>
  <c r="E615" i="3"/>
  <c r="D615" i="3"/>
  <c r="C615" i="3"/>
  <c r="B615" i="3"/>
  <c r="A615" i="3"/>
  <c r="I614" i="3"/>
  <c r="H614" i="3"/>
  <c r="G614" i="3"/>
  <c r="F614" i="3"/>
  <c r="E614" i="3"/>
  <c r="D614" i="3"/>
  <c r="C614" i="3"/>
  <c r="B614" i="3"/>
  <c r="A614" i="3"/>
  <c r="I613" i="3"/>
  <c r="H613" i="3"/>
  <c r="G613" i="3"/>
  <c r="F613" i="3"/>
  <c r="E613" i="3"/>
  <c r="D613" i="3"/>
  <c r="C613" i="3"/>
  <c r="B613" i="3"/>
  <c r="A613" i="3"/>
  <c r="I612" i="3"/>
  <c r="H612" i="3"/>
  <c r="G612" i="3"/>
  <c r="F612" i="3"/>
  <c r="E612" i="3"/>
  <c r="D612" i="3"/>
  <c r="C612" i="3"/>
  <c r="B612" i="3"/>
  <c r="A612" i="3"/>
  <c r="I611" i="3"/>
  <c r="H611" i="3"/>
  <c r="G611" i="3"/>
  <c r="F611" i="3"/>
  <c r="E611" i="3"/>
  <c r="D611" i="3"/>
  <c r="C611" i="3"/>
  <c r="B611" i="3"/>
  <c r="A611" i="3"/>
  <c r="I610" i="3"/>
  <c r="H610" i="3"/>
  <c r="G610" i="3"/>
  <c r="F610" i="3"/>
  <c r="E610" i="3"/>
  <c r="D610" i="3"/>
  <c r="C610" i="3"/>
  <c r="B610" i="3"/>
  <c r="A610" i="3"/>
  <c r="I609" i="3"/>
  <c r="H609" i="3"/>
  <c r="G609" i="3"/>
  <c r="F609" i="3"/>
  <c r="E609" i="3"/>
  <c r="D609" i="3"/>
  <c r="C609" i="3"/>
  <c r="B609" i="3"/>
  <c r="A609" i="3"/>
  <c r="I608" i="3"/>
  <c r="H608" i="3"/>
  <c r="G608" i="3"/>
  <c r="F608" i="3"/>
  <c r="E608" i="3"/>
  <c r="D608" i="3"/>
  <c r="C608" i="3"/>
  <c r="B608" i="3"/>
  <c r="A608" i="3"/>
  <c r="I607" i="3"/>
  <c r="H607" i="3"/>
  <c r="G607" i="3"/>
  <c r="F607" i="3"/>
  <c r="E607" i="3"/>
  <c r="D607" i="3"/>
  <c r="C607" i="3"/>
  <c r="B607" i="3"/>
  <c r="A607" i="3"/>
  <c r="I606" i="3"/>
  <c r="H606" i="3"/>
  <c r="G606" i="3"/>
  <c r="F606" i="3"/>
  <c r="E606" i="3"/>
  <c r="D606" i="3"/>
  <c r="C606" i="3"/>
  <c r="B606" i="3"/>
  <c r="A606" i="3"/>
  <c r="I605" i="3"/>
  <c r="H605" i="3"/>
  <c r="G605" i="3"/>
  <c r="F605" i="3"/>
  <c r="E605" i="3"/>
  <c r="D605" i="3"/>
  <c r="C605" i="3"/>
  <c r="B605" i="3"/>
  <c r="A605" i="3"/>
  <c r="I604" i="3"/>
  <c r="H604" i="3"/>
  <c r="G604" i="3"/>
  <c r="F604" i="3"/>
  <c r="E604" i="3"/>
  <c r="D604" i="3"/>
  <c r="C604" i="3"/>
  <c r="B604" i="3"/>
  <c r="A604" i="3"/>
  <c r="I603" i="3"/>
  <c r="H603" i="3"/>
  <c r="G603" i="3"/>
  <c r="F603" i="3"/>
  <c r="E603" i="3"/>
  <c r="D603" i="3"/>
  <c r="C603" i="3"/>
  <c r="B603" i="3"/>
  <c r="A603" i="3"/>
  <c r="I602" i="3"/>
  <c r="H602" i="3"/>
  <c r="G602" i="3"/>
  <c r="F602" i="3"/>
  <c r="E602" i="3"/>
  <c r="D602" i="3"/>
  <c r="C602" i="3"/>
  <c r="B602" i="3"/>
  <c r="A602" i="3"/>
  <c r="I601" i="3"/>
  <c r="H601" i="3"/>
  <c r="G601" i="3"/>
  <c r="F601" i="3"/>
  <c r="E601" i="3"/>
  <c r="D601" i="3"/>
  <c r="C601" i="3"/>
  <c r="B601" i="3"/>
  <c r="A601" i="3"/>
  <c r="I600" i="3"/>
  <c r="H600" i="3"/>
  <c r="G600" i="3"/>
  <c r="F600" i="3"/>
  <c r="E600" i="3"/>
  <c r="D600" i="3"/>
  <c r="C600" i="3"/>
  <c r="B600" i="3"/>
  <c r="A600" i="3"/>
  <c r="I599" i="3"/>
  <c r="H599" i="3"/>
  <c r="G599" i="3"/>
  <c r="F599" i="3"/>
  <c r="E599" i="3"/>
  <c r="D599" i="3"/>
  <c r="C599" i="3"/>
  <c r="B599" i="3"/>
  <c r="A599" i="3"/>
  <c r="I598" i="3"/>
  <c r="H598" i="3"/>
  <c r="G598" i="3"/>
  <c r="F598" i="3"/>
  <c r="E598" i="3"/>
  <c r="D598" i="3"/>
  <c r="C598" i="3"/>
  <c r="B598" i="3"/>
  <c r="A598" i="3"/>
  <c r="I597" i="3"/>
  <c r="H597" i="3"/>
  <c r="G597" i="3"/>
  <c r="F597" i="3"/>
  <c r="E597" i="3"/>
  <c r="D597" i="3"/>
  <c r="C597" i="3"/>
  <c r="B597" i="3"/>
  <c r="A597" i="3"/>
  <c r="I596" i="3"/>
  <c r="H596" i="3"/>
  <c r="G596" i="3"/>
  <c r="F596" i="3"/>
  <c r="E596" i="3"/>
  <c r="D596" i="3"/>
  <c r="C596" i="3"/>
  <c r="B596" i="3"/>
  <c r="A596" i="3"/>
  <c r="I595" i="3"/>
  <c r="H595" i="3"/>
  <c r="G595" i="3"/>
  <c r="F595" i="3"/>
  <c r="E595" i="3"/>
  <c r="D595" i="3"/>
  <c r="C595" i="3"/>
  <c r="B595" i="3"/>
  <c r="A595" i="3"/>
  <c r="I594" i="3"/>
  <c r="H594" i="3"/>
  <c r="G594" i="3"/>
  <c r="F594" i="3"/>
  <c r="E594" i="3"/>
  <c r="D594" i="3"/>
  <c r="C594" i="3"/>
  <c r="B594" i="3"/>
  <c r="A594" i="3"/>
  <c r="I593" i="3"/>
  <c r="H593" i="3"/>
  <c r="G593" i="3"/>
  <c r="F593" i="3"/>
  <c r="E593" i="3"/>
  <c r="D593" i="3"/>
  <c r="C593" i="3"/>
  <c r="B593" i="3"/>
  <c r="A593" i="3"/>
  <c r="I592" i="3"/>
  <c r="H592" i="3"/>
  <c r="G592" i="3"/>
  <c r="F592" i="3"/>
  <c r="E592" i="3"/>
  <c r="D592" i="3"/>
  <c r="C592" i="3"/>
  <c r="B592" i="3"/>
  <c r="A592" i="3"/>
  <c r="I591" i="3"/>
  <c r="H591" i="3"/>
  <c r="G591" i="3"/>
  <c r="F591" i="3"/>
  <c r="E591" i="3"/>
  <c r="D591" i="3"/>
  <c r="C591" i="3"/>
  <c r="B591" i="3"/>
  <c r="A591" i="3"/>
  <c r="I590" i="3"/>
  <c r="H590" i="3"/>
  <c r="G590" i="3"/>
  <c r="F590" i="3"/>
  <c r="E590" i="3"/>
  <c r="D590" i="3"/>
  <c r="C590" i="3"/>
  <c r="B590" i="3"/>
  <c r="A590" i="3"/>
  <c r="I589" i="3"/>
  <c r="H589" i="3"/>
  <c r="G589" i="3"/>
  <c r="F589" i="3"/>
  <c r="E589" i="3"/>
  <c r="D589" i="3"/>
  <c r="C589" i="3"/>
  <c r="B589" i="3"/>
  <c r="A589" i="3"/>
  <c r="I588" i="3"/>
  <c r="H588" i="3"/>
  <c r="G588" i="3"/>
  <c r="F588" i="3"/>
  <c r="E588" i="3"/>
  <c r="D588" i="3"/>
  <c r="C588" i="3"/>
  <c r="B588" i="3"/>
  <c r="A588" i="3"/>
  <c r="I587" i="3"/>
  <c r="H587" i="3"/>
  <c r="G587" i="3"/>
  <c r="F587" i="3"/>
  <c r="E587" i="3"/>
  <c r="D587" i="3"/>
  <c r="C587" i="3"/>
  <c r="B587" i="3"/>
  <c r="A587" i="3"/>
  <c r="I586" i="3"/>
  <c r="H586" i="3"/>
  <c r="G586" i="3"/>
  <c r="F586" i="3"/>
  <c r="E586" i="3"/>
  <c r="D586" i="3"/>
  <c r="C586" i="3"/>
  <c r="B586" i="3"/>
  <c r="A586" i="3"/>
  <c r="I585" i="3"/>
  <c r="H585" i="3"/>
  <c r="G585" i="3"/>
  <c r="F585" i="3"/>
  <c r="E585" i="3"/>
  <c r="D585" i="3"/>
  <c r="C585" i="3"/>
  <c r="B585" i="3"/>
  <c r="A585" i="3"/>
  <c r="I584" i="3"/>
  <c r="H584" i="3"/>
  <c r="G584" i="3"/>
  <c r="F584" i="3"/>
  <c r="E584" i="3"/>
  <c r="D584" i="3"/>
  <c r="C584" i="3"/>
  <c r="B584" i="3"/>
  <c r="A584" i="3"/>
  <c r="I583" i="3"/>
  <c r="H583" i="3"/>
  <c r="G583" i="3"/>
  <c r="F583" i="3"/>
  <c r="E583" i="3"/>
  <c r="D583" i="3"/>
  <c r="C583" i="3"/>
  <c r="B583" i="3"/>
  <c r="A583" i="3"/>
  <c r="I582" i="3"/>
  <c r="H582" i="3"/>
  <c r="G582" i="3"/>
  <c r="F582" i="3"/>
  <c r="E582" i="3"/>
  <c r="D582" i="3"/>
  <c r="C582" i="3"/>
  <c r="B582" i="3"/>
  <c r="A582" i="3"/>
  <c r="I581" i="3"/>
  <c r="H581" i="3"/>
  <c r="G581" i="3"/>
  <c r="F581" i="3"/>
  <c r="E581" i="3"/>
  <c r="D581" i="3"/>
  <c r="C581" i="3"/>
  <c r="B581" i="3"/>
  <c r="A581" i="3"/>
  <c r="I580" i="3"/>
  <c r="H580" i="3"/>
  <c r="G580" i="3"/>
  <c r="F580" i="3"/>
  <c r="E580" i="3"/>
  <c r="D580" i="3"/>
  <c r="C580" i="3"/>
  <c r="B580" i="3"/>
  <c r="A580" i="3"/>
  <c r="I579" i="3"/>
  <c r="H579" i="3"/>
  <c r="G579" i="3"/>
  <c r="F579" i="3"/>
  <c r="E579" i="3"/>
  <c r="D579" i="3"/>
  <c r="C579" i="3"/>
  <c r="B579" i="3"/>
  <c r="A579" i="3"/>
  <c r="I578" i="3"/>
  <c r="H578" i="3"/>
  <c r="G578" i="3"/>
  <c r="F578" i="3"/>
  <c r="E578" i="3"/>
  <c r="D578" i="3"/>
  <c r="C578" i="3"/>
  <c r="B578" i="3"/>
  <c r="A578" i="3"/>
  <c r="I577" i="3"/>
  <c r="H577" i="3"/>
  <c r="G577" i="3"/>
  <c r="F577" i="3"/>
  <c r="E577" i="3"/>
  <c r="D577" i="3"/>
  <c r="C577" i="3"/>
  <c r="B577" i="3"/>
  <c r="A577" i="3"/>
  <c r="I576" i="3"/>
  <c r="H576" i="3"/>
  <c r="G576" i="3"/>
  <c r="F576" i="3"/>
  <c r="E576" i="3"/>
  <c r="D576" i="3"/>
  <c r="C576" i="3"/>
  <c r="B576" i="3"/>
  <c r="A576" i="3"/>
  <c r="I575" i="3"/>
  <c r="H575" i="3"/>
  <c r="G575" i="3"/>
  <c r="F575" i="3"/>
  <c r="E575" i="3"/>
  <c r="D575" i="3"/>
  <c r="C575" i="3"/>
  <c r="B575" i="3"/>
  <c r="A575" i="3"/>
  <c r="I574" i="3"/>
  <c r="H574" i="3"/>
  <c r="G574" i="3"/>
  <c r="F574" i="3"/>
  <c r="E574" i="3"/>
  <c r="D574" i="3"/>
  <c r="C574" i="3"/>
  <c r="B574" i="3"/>
  <c r="A574" i="3"/>
  <c r="I573" i="3"/>
  <c r="H573" i="3"/>
  <c r="G573" i="3"/>
  <c r="F573" i="3"/>
  <c r="E573" i="3"/>
  <c r="D573" i="3"/>
  <c r="C573" i="3"/>
  <c r="B573" i="3"/>
  <c r="A573" i="3"/>
  <c r="I572" i="3"/>
  <c r="H572" i="3"/>
  <c r="G572" i="3"/>
  <c r="F572" i="3"/>
  <c r="E572" i="3"/>
  <c r="D572" i="3"/>
  <c r="C572" i="3"/>
  <c r="B572" i="3"/>
  <c r="A572" i="3"/>
  <c r="I571" i="3"/>
  <c r="H571" i="3"/>
  <c r="G571" i="3"/>
  <c r="F571" i="3"/>
  <c r="E571" i="3"/>
  <c r="D571" i="3"/>
  <c r="C571" i="3"/>
  <c r="B571" i="3"/>
  <c r="A571" i="3"/>
  <c r="I570" i="3"/>
  <c r="H570" i="3"/>
  <c r="G570" i="3"/>
  <c r="F570" i="3"/>
  <c r="E570" i="3"/>
  <c r="D570" i="3"/>
  <c r="C570" i="3"/>
  <c r="B570" i="3"/>
  <c r="A570" i="3"/>
  <c r="I569" i="3"/>
  <c r="H569" i="3"/>
  <c r="G569" i="3"/>
  <c r="F569" i="3"/>
  <c r="E569" i="3"/>
  <c r="D569" i="3"/>
  <c r="C569" i="3"/>
  <c r="B569" i="3"/>
  <c r="A569" i="3"/>
  <c r="I568" i="3"/>
  <c r="H568" i="3"/>
  <c r="G568" i="3"/>
  <c r="F568" i="3"/>
  <c r="E568" i="3"/>
  <c r="D568" i="3"/>
  <c r="C568" i="3"/>
  <c r="B568" i="3"/>
  <c r="A568" i="3"/>
  <c r="I567" i="3"/>
  <c r="H567" i="3"/>
  <c r="G567" i="3"/>
  <c r="F567" i="3"/>
  <c r="E567" i="3"/>
  <c r="D567" i="3"/>
  <c r="C567" i="3"/>
  <c r="B567" i="3"/>
  <c r="A567" i="3"/>
  <c r="I566" i="3"/>
  <c r="H566" i="3"/>
  <c r="G566" i="3"/>
  <c r="F566" i="3"/>
  <c r="E566" i="3"/>
  <c r="D566" i="3"/>
  <c r="C566" i="3"/>
  <c r="B566" i="3"/>
  <c r="A566" i="3"/>
  <c r="I565" i="3"/>
  <c r="H565" i="3"/>
  <c r="G565" i="3"/>
  <c r="F565" i="3"/>
  <c r="E565" i="3"/>
  <c r="D565" i="3"/>
  <c r="C565" i="3"/>
  <c r="B565" i="3"/>
  <c r="A565" i="3"/>
  <c r="I564" i="3"/>
  <c r="H564" i="3"/>
  <c r="G564" i="3"/>
  <c r="F564" i="3"/>
  <c r="E564" i="3"/>
  <c r="D564" i="3"/>
  <c r="C564" i="3"/>
  <c r="B564" i="3"/>
  <c r="A564" i="3"/>
  <c r="I563" i="3"/>
  <c r="H563" i="3"/>
  <c r="G563" i="3"/>
  <c r="F563" i="3"/>
  <c r="E563" i="3"/>
  <c r="D563" i="3"/>
  <c r="C563" i="3"/>
  <c r="B563" i="3"/>
  <c r="A563" i="3"/>
  <c r="I562" i="3"/>
  <c r="H562" i="3"/>
  <c r="G562" i="3"/>
  <c r="F562" i="3"/>
  <c r="E562" i="3"/>
  <c r="D562" i="3"/>
  <c r="C562" i="3"/>
  <c r="B562" i="3"/>
  <c r="A562" i="3"/>
  <c r="I561" i="3"/>
  <c r="H561" i="3"/>
  <c r="G561" i="3"/>
  <c r="F561" i="3"/>
  <c r="E561" i="3"/>
  <c r="D561" i="3"/>
  <c r="C561" i="3"/>
  <c r="B561" i="3"/>
  <c r="A561" i="3"/>
  <c r="I560" i="3"/>
  <c r="H560" i="3"/>
  <c r="G560" i="3"/>
  <c r="F560" i="3"/>
  <c r="E560" i="3"/>
  <c r="D560" i="3"/>
  <c r="C560" i="3"/>
  <c r="B560" i="3"/>
  <c r="A560" i="3"/>
  <c r="I559" i="3"/>
  <c r="H559" i="3"/>
  <c r="G559" i="3"/>
  <c r="F559" i="3"/>
  <c r="E559" i="3"/>
  <c r="D559" i="3"/>
  <c r="C559" i="3"/>
  <c r="B559" i="3"/>
  <c r="A559" i="3"/>
  <c r="I558" i="3"/>
  <c r="H558" i="3"/>
  <c r="G558" i="3"/>
  <c r="F558" i="3"/>
  <c r="E558" i="3"/>
  <c r="D558" i="3"/>
  <c r="C558" i="3"/>
  <c r="B558" i="3"/>
  <c r="A558" i="3"/>
  <c r="I557" i="3"/>
  <c r="H557" i="3"/>
  <c r="G557" i="3"/>
  <c r="F557" i="3"/>
  <c r="E557" i="3"/>
  <c r="D557" i="3"/>
  <c r="C557" i="3"/>
  <c r="B557" i="3"/>
  <c r="A557" i="3"/>
  <c r="I556" i="3"/>
  <c r="H556" i="3"/>
  <c r="G556" i="3"/>
  <c r="F556" i="3"/>
  <c r="E556" i="3"/>
  <c r="D556" i="3"/>
  <c r="C556" i="3"/>
  <c r="B556" i="3"/>
  <c r="A556" i="3"/>
  <c r="I555" i="3"/>
  <c r="H555" i="3"/>
  <c r="G555" i="3"/>
  <c r="F555" i="3"/>
  <c r="E555" i="3"/>
  <c r="D555" i="3"/>
  <c r="C555" i="3"/>
  <c r="B555" i="3"/>
  <c r="A555" i="3"/>
  <c r="I554" i="3"/>
  <c r="H554" i="3"/>
  <c r="G554" i="3"/>
  <c r="F554" i="3"/>
  <c r="E554" i="3"/>
  <c r="D554" i="3"/>
  <c r="C554" i="3"/>
  <c r="B554" i="3"/>
  <c r="A554" i="3"/>
  <c r="I553" i="3"/>
  <c r="H553" i="3"/>
  <c r="G553" i="3"/>
  <c r="F553" i="3"/>
  <c r="E553" i="3"/>
  <c r="D553" i="3"/>
  <c r="C553" i="3"/>
  <c r="B553" i="3"/>
  <c r="A553" i="3"/>
  <c r="I552" i="3"/>
  <c r="H552" i="3"/>
  <c r="G552" i="3"/>
  <c r="F552" i="3"/>
  <c r="E552" i="3"/>
  <c r="D552" i="3"/>
  <c r="C552" i="3"/>
  <c r="B552" i="3"/>
  <c r="A552" i="3"/>
  <c r="I551" i="3"/>
  <c r="H551" i="3"/>
  <c r="G551" i="3"/>
  <c r="F551" i="3"/>
  <c r="E551" i="3"/>
  <c r="D551" i="3"/>
  <c r="C551" i="3"/>
  <c r="B551" i="3"/>
  <c r="A551" i="3"/>
  <c r="I550" i="3"/>
  <c r="H550" i="3"/>
  <c r="G550" i="3"/>
  <c r="F550" i="3"/>
  <c r="E550" i="3"/>
  <c r="D550" i="3"/>
  <c r="C550" i="3"/>
  <c r="B550" i="3"/>
  <c r="A550" i="3"/>
  <c r="I549" i="3"/>
  <c r="H549" i="3"/>
  <c r="G549" i="3"/>
  <c r="F549" i="3"/>
  <c r="E549" i="3"/>
  <c r="D549" i="3"/>
  <c r="C549" i="3"/>
  <c r="B549" i="3"/>
  <c r="A549" i="3"/>
  <c r="I548" i="3"/>
  <c r="H548" i="3"/>
  <c r="G548" i="3"/>
  <c r="F548" i="3"/>
  <c r="E548" i="3"/>
  <c r="D548" i="3"/>
  <c r="C548" i="3"/>
  <c r="B548" i="3"/>
  <c r="A548" i="3"/>
  <c r="I547" i="3"/>
  <c r="H547" i="3"/>
  <c r="G547" i="3"/>
  <c r="F547" i="3"/>
  <c r="E547" i="3"/>
  <c r="D547" i="3"/>
  <c r="C547" i="3"/>
  <c r="B547" i="3"/>
  <c r="A547" i="3"/>
  <c r="I546" i="3"/>
  <c r="H546" i="3"/>
  <c r="G546" i="3"/>
  <c r="F546" i="3"/>
  <c r="E546" i="3"/>
  <c r="D546" i="3"/>
  <c r="C546" i="3"/>
  <c r="B546" i="3"/>
  <c r="A546" i="3"/>
  <c r="I545" i="3"/>
  <c r="H545" i="3"/>
  <c r="G545" i="3"/>
  <c r="F545" i="3"/>
  <c r="E545" i="3"/>
  <c r="D545" i="3"/>
  <c r="C545" i="3"/>
  <c r="B545" i="3"/>
  <c r="A545" i="3"/>
  <c r="I544" i="3"/>
  <c r="H544" i="3"/>
  <c r="G544" i="3"/>
  <c r="F544" i="3"/>
  <c r="E544" i="3"/>
  <c r="D544" i="3"/>
  <c r="C544" i="3"/>
  <c r="B544" i="3"/>
  <c r="A544" i="3"/>
  <c r="I543" i="3"/>
  <c r="H543" i="3"/>
  <c r="G543" i="3"/>
  <c r="F543" i="3"/>
  <c r="E543" i="3"/>
  <c r="D543" i="3"/>
  <c r="C543" i="3"/>
  <c r="B543" i="3"/>
  <c r="A543" i="3"/>
  <c r="I542" i="3"/>
  <c r="H542" i="3"/>
  <c r="G542" i="3"/>
  <c r="F542" i="3"/>
  <c r="E542" i="3"/>
  <c r="D542" i="3"/>
  <c r="C542" i="3"/>
  <c r="B542" i="3"/>
  <c r="A542" i="3"/>
  <c r="I541" i="3"/>
  <c r="H541" i="3"/>
  <c r="G541" i="3"/>
  <c r="F541" i="3"/>
  <c r="E541" i="3"/>
  <c r="D541" i="3"/>
  <c r="C541" i="3"/>
  <c r="B541" i="3"/>
  <c r="A541" i="3"/>
  <c r="I540" i="3"/>
  <c r="H540" i="3"/>
  <c r="G540" i="3"/>
  <c r="F540" i="3"/>
  <c r="E540" i="3"/>
  <c r="D540" i="3"/>
  <c r="C540" i="3"/>
  <c r="B540" i="3"/>
  <c r="A540" i="3"/>
  <c r="I539" i="3"/>
  <c r="H539" i="3"/>
  <c r="G539" i="3"/>
  <c r="F539" i="3"/>
  <c r="E539" i="3"/>
  <c r="D539" i="3"/>
  <c r="C539" i="3"/>
  <c r="B539" i="3"/>
  <c r="A539" i="3"/>
  <c r="I538" i="3"/>
  <c r="H538" i="3"/>
  <c r="G538" i="3"/>
  <c r="F538" i="3"/>
  <c r="E538" i="3"/>
  <c r="D538" i="3"/>
  <c r="C538" i="3"/>
  <c r="B538" i="3"/>
  <c r="A538" i="3"/>
  <c r="I537" i="3"/>
  <c r="H537" i="3"/>
  <c r="G537" i="3"/>
  <c r="F537" i="3"/>
  <c r="E537" i="3"/>
  <c r="D537" i="3"/>
  <c r="C537" i="3"/>
  <c r="B537" i="3"/>
  <c r="A537" i="3"/>
  <c r="I536" i="3"/>
  <c r="H536" i="3"/>
  <c r="G536" i="3"/>
  <c r="F536" i="3"/>
  <c r="E536" i="3"/>
  <c r="D536" i="3"/>
  <c r="C536" i="3"/>
  <c r="B536" i="3"/>
  <c r="A536" i="3"/>
  <c r="I535" i="3"/>
  <c r="H535" i="3"/>
  <c r="G535" i="3"/>
  <c r="F535" i="3"/>
  <c r="E535" i="3"/>
  <c r="D535" i="3"/>
  <c r="C535" i="3"/>
  <c r="B535" i="3"/>
  <c r="A535" i="3"/>
  <c r="I534" i="3"/>
  <c r="H534" i="3"/>
  <c r="G534" i="3"/>
  <c r="F534" i="3"/>
  <c r="E534" i="3"/>
  <c r="D534" i="3"/>
  <c r="C534" i="3"/>
  <c r="B534" i="3"/>
  <c r="A534" i="3"/>
  <c r="I533" i="3"/>
  <c r="H533" i="3"/>
  <c r="G533" i="3"/>
  <c r="F533" i="3"/>
  <c r="E533" i="3"/>
  <c r="D533" i="3"/>
  <c r="C533" i="3"/>
  <c r="B533" i="3"/>
  <c r="A533" i="3"/>
  <c r="I532" i="3"/>
  <c r="H532" i="3"/>
  <c r="G532" i="3"/>
  <c r="F532" i="3"/>
  <c r="E532" i="3"/>
  <c r="D532" i="3"/>
  <c r="C532" i="3"/>
  <c r="B532" i="3"/>
  <c r="A532" i="3"/>
  <c r="I531" i="3"/>
  <c r="H531" i="3"/>
  <c r="G531" i="3"/>
  <c r="F531" i="3"/>
  <c r="E531" i="3"/>
  <c r="D531" i="3"/>
  <c r="C531" i="3"/>
  <c r="B531" i="3"/>
  <c r="A531" i="3"/>
  <c r="I530" i="3"/>
  <c r="H530" i="3"/>
  <c r="G530" i="3"/>
  <c r="F530" i="3"/>
  <c r="E530" i="3"/>
  <c r="D530" i="3"/>
  <c r="C530" i="3"/>
  <c r="B530" i="3"/>
  <c r="A530" i="3"/>
  <c r="I529" i="3"/>
  <c r="H529" i="3"/>
  <c r="G529" i="3"/>
  <c r="F529" i="3"/>
  <c r="E529" i="3"/>
  <c r="D529" i="3"/>
  <c r="C529" i="3"/>
  <c r="B529" i="3"/>
  <c r="A529" i="3"/>
  <c r="I528" i="3"/>
  <c r="H528" i="3"/>
  <c r="G528" i="3"/>
  <c r="F528" i="3"/>
  <c r="E528" i="3"/>
  <c r="D528" i="3"/>
  <c r="C528" i="3"/>
  <c r="B528" i="3"/>
  <c r="A528" i="3"/>
  <c r="I527" i="3"/>
  <c r="H527" i="3"/>
  <c r="G527" i="3"/>
  <c r="F527" i="3"/>
  <c r="E527" i="3"/>
  <c r="D527" i="3"/>
  <c r="C527" i="3"/>
  <c r="B527" i="3"/>
  <c r="A527" i="3"/>
  <c r="I526" i="3"/>
  <c r="H526" i="3"/>
  <c r="G526" i="3"/>
  <c r="F526" i="3"/>
  <c r="E526" i="3"/>
  <c r="D526" i="3"/>
  <c r="C526" i="3"/>
  <c r="B526" i="3"/>
  <c r="A526" i="3"/>
  <c r="I525" i="3"/>
  <c r="H525" i="3"/>
  <c r="G525" i="3"/>
  <c r="F525" i="3"/>
  <c r="E525" i="3"/>
  <c r="D525" i="3"/>
  <c r="C525" i="3"/>
  <c r="B525" i="3"/>
  <c r="A525" i="3"/>
  <c r="I524" i="3"/>
  <c r="H524" i="3"/>
  <c r="G524" i="3"/>
  <c r="F524" i="3"/>
  <c r="E524" i="3"/>
  <c r="D524" i="3"/>
  <c r="C524" i="3"/>
  <c r="B524" i="3"/>
  <c r="A524" i="3"/>
  <c r="I523" i="3"/>
  <c r="H523" i="3"/>
  <c r="G523" i="3"/>
  <c r="F523" i="3"/>
  <c r="E523" i="3"/>
  <c r="D523" i="3"/>
  <c r="C523" i="3"/>
  <c r="B523" i="3"/>
  <c r="A523" i="3"/>
  <c r="I522" i="3"/>
  <c r="H522" i="3"/>
  <c r="G522" i="3"/>
  <c r="F522" i="3"/>
  <c r="E522" i="3"/>
  <c r="D522" i="3"/>
  <c r="C522" i="3"/>
  <c r="B522" i="3"/>
  <c r="A522" i="3"/>
  <c r="I521" i="3"/>
  <c r="H521" i="3"/>
  <c r="G521" i="3"/>
  <c r="F521" i="3"/>
  <c r="E521" i="3"/>
  <c r="D521" i="3"/>
  <c r="C521" i="3"/>
  <c r="B521" i="3"/>
  <c r="A521" i="3"/>
  <c r="I520" i="3"/>
  <c r="H520" i="3"/>
  <c r="G520" i="3"/>
  <c r="F520" i="3"/>
  <c r="E520" i="3"/>
  <c r="D520" i="3"/>
  <c r="C520" i="3"/>
  <c r="B520" i="3"/>
  <c r="A520" i="3"/>
  <c r="I519" i="3"/>
  <c r="H519" i="3"/>
  <c r="G519" i="3"/>
  <c r="F519" i="3"/>
  <c r="E519" i="3"/>
  <c r="D519" i="3"/>
  <c r="C519" i="3"/>
  <c r="B519" i="3"/>
  <c r="A519" i="3"/>
  <c r="I518" i="3"/>
  <c r="H518" i="3"/>
  <c r="G518" i="3"/>
  <c r="F518" i="3"/>
  <c r="E518" i="3"/>
  <c r="D518" i="3"/>
  <c r="C518" i="3"/>
  <c r="B518" i="3"/>
  <c r="A518" i="3"/>
  <c r="I517" i="3"/>
  <c r="H517" i="3"/>
  <c r="G517" i="3"/>
  <c r="F517" i="3"/>
  <c r="E517" i="3"/>
  <c r="D517" i="3"/>
  <c r="C517" i="3"/>
  <c r="B517" i="3"/>
  <c r="A517" i="3"/>
  <c r="I516" i="3"/>
  <c r="H516" i="3"/>
  <c r="G516" i="3"/>
  <c r="F516" i="3"/>
  <c r="E516" i="3"/>
  <c r="D516" i="3"/>
  <c r="C516" i="3"/>
  <c r="B516" i="3"/>
  <c r="A516" i="3"/>
  <c r="I515" i="3"/>
  <c r="H515" i="3"/>
  <c r="G515" i="3"/>
  <c r="F515" i="3"/>
  <c r="E515" i="3"/>
  <c r="D515" i="3"/>
  <c r="C515" i="3"/>
  <c r="B515" i="3"/>
  <c r="A515" i="3"/>
  <c r="I514" i="3"/>
  <c r="H514" i="3"/>
  <c r="G514" i="3"/>
  <c r="F514" i="3"/>
  <c r="E514" i="3"/>
  <c r="D514" i="3"/>
  <c r="C514" i="3"/>
  <c r="B514" i="3"/>
  <c r="A514" i="3"/>
  <c r="I513" i="3"/>
  <c r="H513" i="3"/>
  <c r="G513" i="3"/>
  <c r="F513" i="3"/>
  <c r="E513" i="3"/>
  <c r="D513" i="3"/>
  <c r="C513" i="3"/>
  <c r="B513" i="3"/>
  <c r="A513" i="3"/>
  <c r="I512" i="3"/>
  <c r="H512" i="3"/>
  <c r="G512" i="3"/>
  <c r="F512" i="3"/>
  <c r="E512" i="3"/>
  <c r="D512" i="3"/>
  <c r="C512" i="3"/>
  <c r="B512" i="3"/>
  <c r="A512" i="3"/>
  <c r="I511" i="3"/>
  <c r="H511" i="3"/>
  <c r="G511" i="3"/>
  <c r="F511" i="3"/>
  <c r="E511" i="3"/>
  <c r="D511" i="3"/>
  <c r="C511" i="3"/>
  <c r="B511" i="3"/>
  <c r="A511" i="3"/>
  <c r="I510" i="3"/>
  <c r="H510" i="3"/>
  <c r="G510" i="3"/>
  <c r="F510" i="3"/>
  <c r="E510" i="3"/>
  <c r="D510" i="3"/>
  <c r="C510" i="3"/>
  <c r="B510" i="3"/>
  <c r="A510" i="3"/>
  <c r="I509" i="3"/>
  <c r="H509" i="3"/>
  <c r="G509" i="3"/>
  <c r="F509" i="3"/>
  <c r="E509" i="3"/>
  <c r="D509" i="3"/>
  <c r="C509" i="3"/>
  <c r="B509" i="3"/>
  <c r="A509" i="3"/>
  <c r="I508" i="3"/>
  <c r="H508" i="3"/>
  <c r="G508" i="3"/>
  <c r="F508" i="3"/>
  <c r="E508" i="3"/>
  <c r="D508" i="3"/>
  <c r="C508" i="3"/>
  <c r="B508" i="3"/>
  <c r="A508" i="3"/>
  <c r="I507" i="3"/>
  <c r="H507" i="3"/>
  <c r="G507" i="3"/>
  <c r="F507" i="3"/>
  <c r="E507" i="3"/>
  <c r="D507" i="3"/>
  <c r="C507" i="3"/>
  <c r="B507" i="3"/>
  <c r="A507" i="3"/>
  <c r="I506" i="3"/>
  <c r="H506" i="3"/>
  <c r="G506" i="3"/>
  <c r="F506" i="3"/>
  <c r="E506" i="3"/>
  <c r="D506" i="3"/>
  <c r="C506" i="3"/>
  <c r="B506" i="3"/>
  <c r="A506" i="3"/>
  <c r="I505" i="3"/>
  <c r="H505" i="3"/>
  <c r="G505" i="3"/>
  <c r="F505" i="3"/>
  <c r="E505" i="3"/>
  <c r="D505" i="3"/>
  <c r="C505" i="3"/>
  <c r="B505" i="3"/>
  <c r="A505" i="3"/>
  <c r="I504" i="3"/>
  <c r="H504" i="3"/>
  <c r="G504" i="3"/>
  <c r="F504" i="3"/>
  <c r="E504" i="3"/>
  <c r="D504" i="3"/>
  <c r="C504" i="3"/>
  <c r="B504" i="3"/>
  <c r="A504" i="3"/>
  <c r="I503" i="3"/>
  <c r="H503" i="3"/>
  <c r="G503" i="3"/>
  <c r="F503" i="3"/>
  <c r="E503" i="3"/>
  <c r="D503" i="3"/>
  <c r="C503" i="3"/>
  <c r="B503" i="3"/>
  <c r="A503" i="3"/>
  <c r="I502" i="3"/>
  <c r="H502" i="3"/>
  <c r="G502" i="3"/>
  <c r="F502" i="3"/>
  <c r="E502" i="3"/>
  <c r="D502" i="3"/>
  <c r="C502" i="3"/>
  <c r="B502" i="3"/>
  <c r="A502" i="3"/>
  <c r="I501" i="3"/>
  <c r="H501" i="3"/>
  <c r="G501" i="3"/>
  <c r="F501" i="3"/>
  <c r="E501" i="3"/>
  <c r="D501" i="3"/>
  <c r="C501" i="3"/>
  <c r="B501" i="3"/>
  <c r="A501" i="3"/>
  <c r="I500" i="3"/>
  <c r="H500" i="3"/>
  <c r="G500" i="3"/>
  <c r="F500" i="3"/>
  <c r="E500" i="3"/>
  <c r="D500" i="3"/>
  <c r="C500" i="3"/>
  <c r="B500" i="3"/>
  <c r="A500" i="3"/>
  <c r="I499" i="3"/>
  <c r="H499" i="3"/>
  <c r="G499" i="3"/>
  <c r="F499" i="3"/>
  <c r="E499" i="3"/>
  <c r="D499" i="3"/>
  <c r="C499" i="3"/>
  <c r="B499" i="3"/>
  <c r="A499" i="3"/>
  <c r="I498" i="3"/>
  <c r="H498" i="3"/>
  <c r="G498" i="3"/>
  <c r="F498" i="3"/>
  <c r="E498" i="3"/>
  <c r="D498" i="3"/>
  <c r="C498" i="3"/>
  <c r="B498" i="3"/>
  <c r="A498" i="3"/>
  <c r="I497" i="3"/>
  <c r="H497" i="3"/>
  <c r="G497" i="3"/>
  <c r="F497" i="3"/>
  <c r="E497" i="3"/>
  <c r="D497" i="3"/>
  <c r="C497" i="3"/>
  <c r="B497" i="3"/>
  <c r="A497" i="3"/>
  <c r="I496" i="3"/>
  <c r="H496" i="3"/>
  <c r="G496" i="3"/>
  <c r="F496" i="3"/>
  <c r="E496" i="3"/>
  <c r="D496" i="3"/>
  <c r="C496" i="3"/>
  <c r="B496" i="3"/>
  <c r="A496" i="3"/>
  <c r="I495" i="3"/>
  <c r="H495" i="3"/>
  <c r="G495" i="3"/>
  <c r="F495" i="3"/>
  <c r="E495" i="3"/>
  <c r="D495" i="3"/>
  <c r="C495" i="3"/>
  <c r="B495" i="3"/>
  <c r="A495" i="3"/>
  <c r="I494" i="3"/>
  <c r="H494" i="3"/>
  <c r="G494" i="3"/>
  <c r="F494" i="3"/>
  <c r="E494" i="3"/>
  <c r="D494" i="3"/>
  <c r="C494" i="3"/>
  <c r="B494" i="3"/>
  <c r="A494" i="3"/>
  <c r="I493" i="3"/>
  <c r="H493" i="3"/>
  <c r="G493" i="3"/>
  <c r="F493" i="3"/>
  <c r="E493" i="3"/>
  <c r="D493" i="3"/>
  <c r="C493" i="3"/>
  <c r="B493" i="3"/>
  <c r="A493" i="3"/>
  <c r="I492" i="3"/>
  <c r="H492" i="3"/>
  <c r="G492" i="3"/>
  <c r="F492" i="3"/>
  <c r="E492" i="3"/>
  <c r="D492" i="3"/>
  <c r="C492" i="3"/>
  <c r="B492" i="3"/>
  <c r="A492" i="3"/>
  <c r="I491" i="3"/>
  <c r="H491" i="3"/>
  <c r="G491" i="3"/>
  <c r="F491" i="3"/>
  <c r="E491" i="3"/>
  <c r="D491" i="3"/>
  <c r="C491" i="3"/>
  <c r="B491" i="3"/>
  <c r="A491" i="3"/>
  <c r="I490" i="3"/>
  <c r="H490" i="3"/>
  <c r="G490" i="3"/>
  <c r="F490" i="3"/>
  <c r="E490" i="3"/>
  <c r="D490" i="3"/>
  <c r="C490" i="3"/>
  <c r="B490" i="3"/>
  <c r="A490" i="3"/>
  <c r="I489" i="3"/>
  <c r="H489" i="3"/>
  <c r="G489" i="3"/>
  <c r="F489" i="3"/>
  <c r="E489" i="3"/>
  <c r="D489" i="3"/>
  <c r="C489" i="3"/>
  <c r="B489" i="3"/>
  <c r="A489" i="3"/>
  <c r="I488" i="3"/>
  <c r="H488" i="3"/>
  <c r="G488" i="3"/>
  <c r="F488" i="3"/>
  <c r="E488" i="3"/>
  <c r="D488" i="3"/>
  <c r="C488" i="3"/>
  <c r="B488" i="3"/>
  <c r="A488" i="3"/>
  <c r="I487" i="3"/>
  <c r="H487" i="3"/>
  <c r="G487" i="3"/>
  <c r="F487" i="3"/>
  <c r="E487" i="3"/>
  <c r="D487" i="3"/>
  <c r="C487" i="3"/>
  <c r="B487" i="3"/>
  <c r="A487" i="3"/>
  <c r="I486" i="3"/>
  <c r="H486" i="3"/>
  <c r="G486" i="3"/>
  <c r="F486" i="3"/>
  <c r="E486" i="3"/>
  <c r="D486" i="3"/>
  <c r="C486" i="3"/>
  <c r="B486" i="3"/>
  <c r="A486" i="3"/>
  <c r="I485" i="3"/>
  <c r="H485" i="3"/>
  <c r="G485" i="3"/>
  <c r="F485" i="3"/>
  <c r="E485" i="3"/>
  <c r="D485" i="3"/>
  <c r="C485" i="3"/>
  <c r="B485" i="3"/>
  <c r="A485" i="3"/>
  <c r="I484" i="3"/>
  <c r="H484" i="3"/>
  <c r="G484" i="3"/>
  <c r="F484" i="3"/>
  <c r="E484" i="3"/>
  <c r="D484" i="3"/>
  <c r="C484" i="3"/>
  <c r="B484" i="3"/>
  <c r="A484" i="3"/>
  <c r="I483" i="3"/>
  <c r="H483" i="3"/>
  <c r="G483" i="3"/>
  <c r="F483" i="3"/>
  <c r="E483" i="3"/>
  <c r="D483" i="3"/>
  <c r="C483" i="3"/>
  <c r="B483" i="3"/>
  <c r="A483" i="3"/>
  <c r="I482" i="3"/>
  <c r="H482" i="3"/>
  <c r="G482" i="3"/>
  <c r="F482" i="3"/>
  <c r="E482" i="3"/>
  <c r="D482" i="3"/>
  <c r="C482" i="3"/>
  <c r="B482" i="3"/>
  <c r="A482" i="3"/>
  <c r="I481" i="3"/>
  <c r="H481" i="3"/>
  <c r="G481" i="3"/>
  <c r="F481" i="3"/>
  <c r="E481" i="3"/>
  <c r="D481" i="3"/>
  <c r="C481" i="3"/>
  <c r="B481" i="3"/>
  <c r="A481" i="3"/>
  <c r="I480" i="3"/>
  <c r="H480" i="3"/>
  <c r="G480" i="3"/>
  <c r="F480" i="3"/>
  <c r="E480" i="3"/>
  <c r="D480" i="3"/>
  <c r="C480" i="3"/>
  <c r="B480" i="3"/>
  <c r="A480" i="3"/>
  <c r="I479" i="3"/>
  <c r="H479" i="3"/>
  <c r="G479" i="3"/>
  <c r="F479" i="3"/>
  <c r="E479" i="3"/>
  <c r="D479" i="3"/>
  <c r="C479" i="3"/>
  <c r="B479" i="3"/>
  <c r="A479" i="3"/>
  <c r="I478" i="3"/>
  <c r="H478" i="3"/>
  <c r="G478" i="3"/>
  <c r="F478" i="3"/>
  <c r="E478" i="3"/>
  <c r="D478" i="3"/>
  <c r="C478" i="3"/>
  <c r="B478" i="3"/>
  <c r="A478" i="3"/>
  <c r="I477" i="3"/>
  <c r="H477" i="3"/>
  <c r="G477" i="3"/>
  <c r="F477" i="3"/>
  <c r="E477" i="3"/>
  <c r="D477" i="3"/>
  <c r="C477" i="3"/>
  <c r="B477" i="3"/>
  <c r="A477" i="3"/>
  <c r="I476" i="3"/>
  <c r="H476" i="3"/>
  <c r="G476" i="3"/>
  <c r="F476" i="3"/>
  <c r="E476" i="3"/>
  <c r="D476" i="3"/>
  <c r="C476" i="3"/>
  <c r="B476" i="3"/>
  <c r="A476" i="3"/>
  <c r="I475" i="3"/>
  <c r="H475" i="3"/>
  <c r="G475" i="3"/>
  <c r="F475" i="3"/>
  <c r="E475" i="3"/>
  <c r="D475" i="3"/>
  <c r="C475" i="3"/>
  <c r="B475" i="3"/>
  <c r="A475" i="3"/>
  <c r="I474" i="3"/>
  <c r="H474" i="3"/>
  <c r="G474" i="3"/>
  <c r="F474" i="3"/>
  <c r="E474" i="3"/>
  <c r="D474" i="3"/>
  <c r="C474" i="3"/>
  <c r="B474" i="3"/>
  <c r="A474" i="3"/>
  <c r="I473" i="3"/>
  <c r="H473" i="3"/>
  <c r="G473" i="3"/>
  <c r="F473" i="3"/>
  <c r="E473" i="3"/>
  <c r="D473" i="3"/>
  <c r="C473" i="3"/>
  <c r="B473" i="3"/>
  <c r="A473" i="3"/>
  <c r="I472" i="3"/>
  <c r="H472" i="3"/>
  <c r="G472" i="3"/>
  <c r="F472" i="3"/>
  <c r="E472" i="3"/>
  <c r="D472" i="3"/>
  <c r="C472" i="3"/>
  <c r="B472" i="3"/>
  <c r="A472" i="3"/>
  <c r="I471" i="3"/>
  <c r="H471" i="3"/>
  <c r="G471" i="3"/>
  <c r="F471" i="3"/>
  <c r="E471" i="3"/>
  <c r="D471" i="3"/>
  <c r="C471" i="3"/>
  <c r="B471" i="3"/>
  <c r="A471" i="3"/>
  <c r="I470" i="3"/>
  <c r="H470" i="3"/>
  <c r="G470" i="3"/>
  <c r="F470" i="3"/>
  <c r="E470" i="3"/>
  <c r="D470" i="3"/>
  <c r="C470" i="3"/>
  <c r="B470" i="3"/>
  <c r="A470" i="3"/>
  <c r="I469" i="3"/>
  <c r="H469" i="3"/>
  <c r="G469" i="3"/>
  <c r="F469" i="3"/>
  <c r="E469" i="3"/>
  <c r="D469" i="3"/>
  <c r="C469" i="3"/>
  <c r="B469" i="3"/>
  <c r="A469" i="3"/>
  <c r="I468" i="3"/>
  <c r="H468" i="3"/>
  <c r="G468" i="3"/>
  <c r="F468" i="3"/>
  <c r="E468" i="3"/>
  <c r="D468" i="3"/>
  <c r="C468" i="3"/>
  <c r="B468" i="3"/>
  <c r="A468" i="3"/>
  <c r="I467" i="3"/>
  <c r="H467" i="3"/>
  <c r="G467" i="3"/>
  <c r="F467" i="3"/>
  <c r="E467" i="3"/>
  <c r="D467" i="3"/>
  <c r="C467" i="3"/>
  <c r="B467" i="3"/>
  <c r="A467" i="3"/>
  <c r="I466" i="3"/>
  <c r="H466" i="3"/>
  <c r="G466" i="3"/>
  <c r="F466" i="3"/>
  <c r="E466" i="3"/>
  <c r="D466" i="3"/>
  <c r="C466" i="3"/>
  <c r="B466" i="3"/>
  <c r="A466" i="3"/>
  <c r="I465" i="3"/>
  <c r="H465" i="3"/>
  <c r="G465" i="3"/>
  <c r="F465" i="3"/>
  <c r="E465" i="3"/>
  <c r="D465" i="3"/>
  <c r="C465" i="3"/>
  <c r="B465" i="3"/>
  <c r="A465" i="3"/>
  <c r="I464" i="3"/>
  <c r="H464" i="3"/>
  <c r="G464" i="3"/>
  <c r="F464" i="3"/>
  <c r="E464" i="3"/>
  <c r="D464" i="3"/>
  <c r="C464" i="3"/>
  <c r="B464" i="3"/>
  <c r="A464" i="3"/>
  <c r="I463" i="3"/>
  <c r="H463" i="3"/>
  <c r="G463" i="3"/>
  <c r="F463" i="3"/>
  <c r="E463" i="3"/>
  <c r="D463" i="3"/>
  <c r="C463" i="3"/>
  <c r="B463" i="3"/>
  <c r="A463" i="3"/>
  <c r="I462" i="3"/>
  <c r="H462" i="3"/>
  <c r="G462" i="3"/>
  <c r="F462" i="3"/>
  <c r="E462" i="3"/>
  <c r="D462" i="3"/>
  <c r="C462" i="3"/>
  <c r="B462" i="3"/>
  <c r="A462" i="3"/>
  <c r="I461" i="3"/>
  <c r="H461" i="3"/>
  <c r="G461" i="3"/>
  <c r="F461" i="3"/>
  <c r="E461" i="3"/>
  <c r="D461" i="3"/>
  <c r="C461" i="3"/>
  <c r="B461" i="3"/>
  <c r="A461" i="3"/>
  <c r="I460" i="3"/>
  <c r="H460" i="3"/>
  <c r="G460" i="3"/>
  <c r="F460" i="3"/>
  <c r="E460" i="3"/>
  <c r="D460" i="3"/>
  <c r="C460" i="3"/>
  <c r="B460" i="3"/>
  <c r="A460" i="3"/>
  <c r="I459" i="3"/>
  <c r="H459" i="3"/>
  <c r="G459" i="3"/>
  <c r="F459" i="3"/>
  <c r="E459" i="3"/>
  <c r="D459" i="3"/>
  <c r="C459" i="3"/>
  <c r="B459" i="3"/>
  <c r="A459" i="3"/>
  <c r="I458" i="3"/>
  <c r="H458" i="3"/>
  <c r="G458" i="3"/>
  <c r="F458" i="3"/>
  <c r="E458" i="3"/>
  <c r="D458" i="3"/>
  <c r="C458" i="3"/>
  <c r="B458" i="3"/>
  <c r="A458" i="3"/>
  <c r="I457" i="3"/>
  <c r="H457" i="3"/>
  <c r="G457" i="3"/>
  <c r="F457" i="3"/>
  <c r="E457" i="3"/>
  <c r="D457" i="3"/>
  <c r="C457" i="3"/>
  <c r="B457" i="3"/>
  <c r="A457" i="3"/>
  <c r="I456" i="3"/>
  <c r="H456" i="3"/>
  <c r="G456" i="3"/>
  <c r="F456" i="3"/>
  <c r="E456" i="3"/>
  <c r="D456" i="3"/>
  <c r="C456" i="3"/>
  <c r="B456" i="3"/>
  <c r="A456" i="3"/>
  <c r="I455" i="3"/>
  <c r="H455" i="3"/>
  <c r="G455" i="3"/>
  <c r="F455" i="3"/>
  <c r="E455" i="3"/>
  <c r="D455" i="3"/>
  <c r="C455" i="3"/>
  <c r="B455" i="3"/>
  <c r="A455" i="3"/>
  <c r="I454" i="3"/>
  <c r="H454" i="3"/>
  <c r="G454" i="3"/>
  <c r="F454" i="3"/>
  <c r="E454" i="3"/>
  <c r="D454" i="3"/>
  <c r="C454" i="3"/>
  <c r="B454" i="3"/>
  <c r="A454" i="3"/>
  <c r="I453" i="3"/>
  <c r="H453" i="3"/>
  <c r="G453" i="3"/>
  <c r="F453" i="3"/>
  <c r="E453" i="3"/>
  <c r="D453" i="3"/>
  <c r="C453" i="3"/>
  <c r="B453" i="3"/>
  <c r="A453" i="3"/>
  <c r="I452" i="3"/>
  <c r="H452" i="3"/>
  <c r="G452" i="3"/>
  <c r="F452" i="3"/>
  <c r="E452" i="3"/>
  <c r="D452" i="3"/>
  <c r="C452" i="3"/>
  <c r="B452" i="3"/>
  <c r="A452" i="3"/>
  <c r="I451" i="3"/>
  <c r="H451" i="3"/>
  <c r="G451" i="3"/>
  <c r="F451" i="3"/>
  <c r="E451" i="3"/>
  <c r="D451" i="3"/>
  <c r="C451" i="3"/>
  <c r="B451" i="3"/>
  <c r="A451" i="3"/>
  <c r="I450" i="3"/>
  <c r="H450" i="3"/>
  <c r="G450" i="3"/>
  <c r="F450" i="3"/>
  <c r="E450" i="3"/>
  <c r="D450" i="3"/>
  <c r="C450" i="3"/>
  <c r="B450" i="3"/>
  <c r="A450" i="3"/>
  <c r="I449" i="3"/>
  <c r="H449" i="3"/>
  <c r="G449" i="3"/>
  <c r="F449" i="3"/>
  <c r="E449" i="3"/>
  <c r="D449" i="3"/>
  <c r="C449" i="3"/>
  <c r="B449" i="3"/>
  <c r="A449" i="3"/>
  <c r="I448" i="3"/>
  <c r="H448" i="3"/>
  <c r="G448" i="3"/>
  <c r="F448" i="3"/>
  <c r="E448" i="3"/>
  <c r="D448" i="3"/>
  <c r="C448" i="3"/>
  <c r="B448" i="3"/>
  <c r="A448" i="3"/>
  <c r="I447" i="3"/>
  <c r="H447" i="3"/>
  <c r="G447" i="3"/>
  <c r="F447" i="3"/>
  <c r="E447" i="3"/>
  <c r="D447" i="3"/>
  <c r="C447" i="3"/>
  <c r="B447" i="3"/>
  <c r="A447" i="3"/>
  <c r="I446" i="3"/>
  <c r="H446" i="3"/>
  <c r="G446" i="3"/>
  <c r="F446" i="3"/>
  <c r="E446" i="3"/>
  <c r="D446" i="3"/>
  <c r="C446" i="3"/>
  <c r="B446" i="3"/>
  <c r="A446" i="3"/>
  <c r="I445" i="3"/>
  <c r="H445" i="3"/>
  <c r="G445" i="3"/>
  <c r="F445" i="3"/>
  <c r="E445" i="3"/>
  <c r="D445" i="3"/>
  <c r="C445" i="3"/>
  <c r="B445" i="3"/>
  <c r="A445" i="3"/>
  <c r="I444" i="3"/>
  <c r="H444" i="3"/>
  <c r="G444" i="3"/>
  <c r="F444" i="3"/>
  <c r="E444" i="3"/>
  <c r="D444" i="3"/>
  <c r="C444" i="3"/>
  <c r="B444" i="3"/>
  <c r="A444" i="3"/>
  <c r="I443" i="3"/>
  <c r="H443" i="3"/>
  <c r="G443" i="3"/>
  <c r="F443" i="3"/>
  <c r="E443" i="3"/>
  <c r="D443" i="3"/>
  <c r="C443" i="3"/>
  <c r="B443" i="3"/>
  <c r="A443" i="3"/>
  <c r="I442" i="3"/>
  <c r="H442" i="3"/>
  <c r="G442" i="3"/>
  <c r="F442" i="3"/>
  <c r="E442" i="3"/>
  <c r="D442" i="3"/>
  <c r="C442" i="3"/>
  <c r="B442" i="3"/>
  <c r="A442" i="3"/>
  <c r="I441" i="3"/>
  <c r="H441" i="3"/>
  <c r="G441" i="3"/>
  <c r="F441" i="3"/>
  <c r="E441" i="3"/>
  <c r="D441" i="3"/>
  <c r="C441" i="3"/>
  <c r="B441" i="3"/>
  <c r="A441" i="3"/>
  <c r="I440" i="3"/>
  <c r="H440" i="3"/>
  <c r="G440" i="3"/>
  <c r="F440" i="3"/>
  <c r="E440" i="3"/>
  <c r="D440" i="3"/>
  <c r="C440" i="3"/>
  <c r="B440" i="3"/>
  <c r="A440" i="3"/>
  <c r="I439" i="3"/>
  <c r="H439" i="3"/>
  <c r="G439" i="3"/>
  <c r="F439" i="3"/>
  <c r="E439" i="3"/>
  <c r="D439" i="3"/>
  <c r="C439" i="3"/>
  <c r="B439" i="3"/>
  <c r="A439" i="3"/>
  <c r="I438" i="3"/>
  <c r="H438" i="3"/>
  <c r="G438" i="3"/>
  <c r="F438" i="3"/>
  <c r="E438" i="3"/>
  <c r="D438" i="3"/>
  <c r="C438" i="3"/>
  <c r="B438" i="3"/>
  <c r="A438" i="3"/>
  <c r="I437" i="3"/>
  <c r="H437" i="3"/>
  <c r="G437" i="3"/>
  <c r="F437" i="3"/>
  <c r="E437" i="3"/>
  <c r="D437" i="3"/>
  <c r="C437" i="3"/>
  <c r="B437" i="3"/>
  <c r="A437" i="3"/>
  <c r="I436" i="3"/>
  <c r="H436" i="3"/>
  <c r="G436" i="3"/>
  <c r="F436" i="3"/>
  <c r="E436" i="3"/>
  <c r="D436" i="3"/>
  <c r="C436" i="3"/>
  <c r="B436" i="3"/>
  <c r="A436" i="3"/>
  <c r="I435" i="3"/>
  <c r="H435" i="3"/>
  <c r="G435" i="3"/>
  <c r="F435" i="3"/>
  <c r="E435" i="3"/>
  <c r="D435" i="3"/>
  <c r="C435" i="3"/>
  <c r="B435" i="3"/>
  <c r="A435" i="3"/>
  <c r="I434" i="3"/>
  <c r="H434" i="3"/>
  <c r="G434" i="3"/>
  <c r="F434" i="3"/>
  <c r="E434" i="3"/>
  <c r="D434" i="3"/>
  <c r="C434" i="3"/>
  <c r="B434" i="3"/>
  <c r="A434" i="3"/>
  <c r="I433" i="3"/>
  <c r="H433" i="3"/>
  <c r="G433" i="3"/>
  <c r="F433" i="3"/>
  <c r="E433" i="3"/>
  <c r="D433" i="3"/>
  <c r="C433" i="3"/>
  <c r="B433" i="3"/>
  <c r="A433" i="3"/>
  <c r="I432" i="3"/>
  <c r="H432" i="3"/>
  <c r="G432" i="3"/>
  <c r="F432" i="3"/>
  <c r="E432" i="3"/>
  <c r="D432" i="3"/>
  <c r="C432" i="3"/>
  <c r="B432" i="3"/>
  <c r="A432" i="3"/>
  <c r="I431" i="3"/>
  <c r="H431" i="3"/>
  <c r="G431" i="3"/>
  <c r="F431" i="3"/>
  <c r="E431" i="3"/>
  <c r="D431" i="3"/>
  <c r="C431" i="3"/>
  <c r="B431" i="3"/>
  <c r="A431" i="3"/>
  <c r="I430" i="3"/>
  <c r="H430" i="3"/>
  <c r="G430" i="3"/>
  <c r="F430" i="3"/>
  <c r="E430" i="3"/>
  <c r="D430" i="3"/>
  <c r="C430" i="3"/>
  <c r="B430" i="3"/>
  <c r="A430" i="3"/>
  <c r="I429" i="3"/>
  <c r="H429" i="3"/>
  <c r="G429" i="3"/>
  <c r="F429" i="3"/>
  <c r="E429" i="3"/>
  <c r="D429" i="3"/>
  <c r="C429" i="3"/>
  <c r="B429" i="3"/>
  <c r="A429" i="3"/>
  <c r="I428" i="3"/>
  <c r="H428" i="3"/>
  <c r="G428" i="3"/>
  <c r="F428" i="3"/>
  <c r="E428" i="3"/>
  <c r="D428" i="3"/>
  <c r="C428" i="3"/>
  <c r="B428" i="3"/>
  <c r="A428" i="3"/>
  <c r="I427" i="3"/>
  <c r="H427" i="3"/>
  <c r="G427" i="3"/>
  <c r="F427" i="3"/>
  <c r="E427" i="3"/>
  <c r="D427" i="3"/>
  <c r="C427" i="3"/>
  <c r="B427" i="3"/>
  <c r="A427" i="3"/>
  <c r="I426" i="3"/>
  <c r="H426" i="3"/>
  <c r="G426" i="3"/>
  <c r="F426" i="3"/>
  <c r="E426" i="3"/>
  <c r="D426" i="3"/>
  <c r="C426" i="3"/>
  <c r="B426" i="3"/>
  <c r="A426" i="3"/>
  <c r="I425" i="3"/>
  <c r="H425" i="3"/>
  <c r="G425" i="3"/>
  <c r="F425" i="3"/>
  <c r="E425" i="3"/>
  <c r="D425" i="3"/>
  <c r="C425" i="3"/>
  <c r="B425" i="3"/>
  <c r="A425" i="3"/>
  <c r="I424" i="3"/>
  <c r="H424" i="3"/>
  <c r="G424" i="3"/>
  <c r="F424" i="3"/>
  <c r="E424" i="3"/>
  <c r="D424" i="3"/>
  <c r="C424" i="3"/>
  <c r="B424" i="3"/>
  <c r="A424" i="3"/>
  <c r="I423" i="3"/>
  <c r="H423" i="3"/>
  <c r="G423" i="3"/>
  <c r="F423" i="3"/>
  <c r="E423" i="3"/>
  <c r="D423" i="3"/>
  <c r="C423" i="3"/>
  <c r="B423" i="3"/>
  <c r="A423" i="3"/>
  <c r="I422" i="3"/>
  <c r="H422" i="3"/>
  <c r="G422" i="3"/>
  <c r="F422" i="3"/>
  <c r="E422" i="3"/>
  <c r="D422" i="3"/>
  <c r="C422" i="3"/>
  <c r="B422" i="3"/>
  <c r="A422" i="3"/>
  <c r="I421" i="3"/>
  <c r="H421" i="3"/>
  <c r="G421" i="3"/>
  <c r="F421" i="3"/>
  <c r="E421" i="3"/>
  <c r="D421" i="3"/>
  <c r="C421" i="3"/>
  <c r="B421" i="3"/>
  <c r="A421" i="3"/>
  <c r="I420" i="3"/>
  <c r="H420" i="3"/>
  <c r="G420" i="3"/>
  <c r="F420" i="3"/>
  <c r="E420" i="3"/>
  <c r="D420" i="3"/>
  <c r="C420" i="3"/>
  <c r="B420" i="3"/>
  <c r="A420" i="3"/>
  <c r="I419" i="3"/>
  <c r="H419" i="3"/>
  <c r="G419" i="3"/>
  <c r="F419" i="3"/>
  <c r="E419" i="3"/>
  <c r="D419" i="3"/>
  <c r="C419" i="3"/>
  <c r="B419" i="3"/>
  <c r="A419" i="3"/>
  <c r="I418" i="3"/>
  <c r="H418" i="3"/>
  <c r="G418" i="3"/>
  <c r="F418" i="3"/>
  <c r="E418" i="3"/>
  <c r="D418" i="3"/>
  <c r="C418" i="3"/>
  <c r="B418" i="3"/>
  <c r="A418" i="3"/>
  <c r="I417" i="3"/>
  <c r="H417" i="3"/>
  <c r="G417" i="3"/>
  <c r="F417" i="3"/>
  <c r="E417" i="3"/>
  <c r="D417" i="3"/>
  <c r="C417" i="3"/>
  <c r="B417" i="3"/>
  <c r="A417" i="3"/>
  <c r="I416" i="3"/>
  <c r="H416" i="3"/>
  <c r="G416" i="3"/>
  <c r="F416" i="3"/>
  <c r="E416" i="3"/>
  <c r="D416" i="3"/>
  <c r="C416" i="3"/>
  <c r="B416" i="3"/>
  <c r="A416" i="3"/>
  <c r="I415" i="3"/>
  <c r="H415" i="3"/>
  <c r="G415" i="3"/>
  <c r="F415" i="3"/>
  <c r="E415" i="3"/>
  <c r="D415" i="3"/>
  <c r="C415" i="3"/>
  <c r="B415" i="3"/>
  <c r="A415" i="3"/>
  <c r="I414" i="3"/>
  <c r="H414" i="3"/>
  <c r="G414" i="3"/>
  <c r="F414" i="3"/>
  <c r="E414" i="3"/>
  <c r="D414" i="3"/>
  <c r="C414" i="3"/>
  <c r="B414" i="3"/>
  <c r="A414" i="3"/>
  <c r="I413" i="3"/>
  <c r="H413" i="3"/>
  <c r="G413" i="3"/>
  <c r="F413" i="3"/>
  <c r="E413" i="3"/>
  <c r="D413" i="3"/>
  <c r="C413" i="3"/>
  <c r="B413" i="3"/>
  <c r="A413" i="3"/>
  <c r="I412" i="3"/>
  <c r="H412" i="3"/>
  <c r="G412" i="3"/>
  <c r="F412" i="3"/>
  <c r="E412" i="3"/>
  <c r="D412" i="3"/>
  <c r="C412" i="3"/>
  <c r="B412" i="3"/>
  <c r="A412" i="3"/>
  <c r="I411" i="3"/>
  <c r="H411" i="3"/>
  <c r="G411" i="3"/>
  <c r="F411" i="3"/>
  <c r="E411" i="3"/>
  <c r="D411" i="3"/>
  <c r="C411" i="3"/>
  <c r="B411" i="3"/>
  <c r="A411" i="3"/>
  <c r="I410" i="3"/>
  <c r="H410" i="3"/>
  <c r="G410" i="3"/>
  <c r="F410" i="3"/>
  <c r="E410" i="3"/>
  <c r="D410" i="3"/>
  <c r="C410" i="3"/>
  <c r="B410" i="3"/>
  <c r="A410" i="3"/>
  <c r="I409" i="3"/>
  <c r="H409" i="3"/>
  <c r="G409" i="3"/>
  <c r="F409" i="3"/>
  <c r="E409" i="3"/>
  <c r="D409" i="3"/>
  <c r="C409" i="3"/>
  <c r="B409" i="3"/>
  <c r="A409" i="3"/>
  <c r="I408" i="3"/>
  <c r="H408" i="3"/>
  <c r="G408" i="3"/>
  <c r="F408" i="3"/>
  <c r="E408" i="3"/>
  <c r="D408" i="3"/>
  <c r="C408" i="3"/>
  <c r="B408" i="3"/>
  <c r="A408" i="3"/>
  <c r="I407" i="3"/>
  <c r="H407" i="3"/>
  <c r="G407" i="3"/>
  <c r="F407" i="3"/>
  <c r="E407" i="3"/>
  <c r="D407" i="3"/>
  <c r="C407" i="3"/>
  <c r="B407" i="3"/>
  <c r="A407" i="3"/>
  <c r="I406" i="3"/>
  <c r="H406" i="3"/>
  <c r="G406" i="3"/>
  <c r="F406" i="3"/>
  <c r="E406" i="3"/>
  <c r="D406" i="3"/>
  <c r="C406" i="3"/>
  <c r="B406" i="3"/>
  <c r="A406" i="3"/>
  <c r="I405" i="3"/>
  <c r="H405" i="3"/>
  <c r="G405" i="3"/>
  <c r="F405" i="3"/>
  <c r="E405" i="3"/>
  <c r="D405" i="3"/>
  <c r="C405" i="3"/>
  <c r="B405" i="3"/>
  <c r="A405" i="3"/>
  <c r="I404" i="3"/>
  <c r="H404" i="3"/>
  <c r="G404" i="3"/>
  <c r="F404" i="3"/>
  <c r="E404" i="3"/>
  <c r="D404" i="3"/>
  <c r="C404" i="3"/>
  <c r="B404" i="3"/>
  <c r="A404" i="3"/>
  <c r="I403" i="3"/>
  <c r="H403" i="3"/>
  <c r="G403" i="3"/>
  <c r="F403" i="3"/>
  <c r="E403" i="3"/>
  <c r="D403" i="3"/>
  <c r="C403" i="3"/>
  <c r="B403" i="3"/>
  <c r="A403" i="3"/>
  <c r="I402" i="3"/>
  <c r="H402" i="3"/>
  <c r="G402" i="3"/>
  <c r="F402" i="3"/>
  <c r="E402" i="3"/>
  <c r="D402" i="3"/>
  <c r="C402" i="3"/>
  <c r="B402" i="3"/>
  <c r="A402" i="3"/>
  <c r="I401" i="3"/>
  <c r="H401" i="3"/>
  <c r="G401" i="3"/>
  <c r="F401" i="3"/>
  <c r="E401" i="3"/>
  <c r="D401" i="3"/>
  <c r="C401" i="3"/>
  <c r="B401" i="3"/>
  <c r="A401" i="3"/>
  <c r="I400" i="3"/>
  <c r="H400" i="3"/>
  <c r="G400" i="3"/>
  <c r="F400" i="3"/>
  <c r="E400" i="3"/>
  <c r="D400" i="3"/>
  <c r="C400" i="3"/>
  <c r="B400" i="3"/>
  <c r="A400" i="3"/>
  <c r="I399" i="3"/>
  <c r="H399" i="3"/>
  <c r="G399" i="3"/>
  <c r="F399" i="3"/>
  <c r="E399" i="3"/>
  <c r="D399" i="3"/>
  <c r="C399" i="3"/>
  <c r="B399" i="3"/>
  <c r="A399" i="3"/>
  <c r="I398" i="3"/>
  <c r="H398" i="3"/>
  <c r="G398" i="3"/>
  <c r="F398" i="3"/>
  <c r="E398" i="3"/>
  <c r="D398" i="3"/>
  <c r="C398" i="3"/>
  <c r="B398" i="3"/>
  <c r="A398" i="3"/>
  <c r="I397" i="3"/>
  <c r="H397" i="3"/>
  <c r="G397" i="3"/>
  <c r="F397" i="3"/>
  <c r="E397" i="3"/>
  <c r="D397" i="3"/>
  <c r="C397" i="3"/>
  <c r="B397" i="3"/>
  <c r="A397" i="3"/>
  <c r="I396" i="3"/>
  <c r="H396" i="3"/>
  <c r="G396" i="3"/>
  <c r="F396" i="3"/>
  <c r="E396" i="3"/>
  <c r="D396" i="3"/>
  <c r="C396" i="3"/>
  <c r="B396" i="3"/>
  <c r="A396" i="3"/>
  <c r="I395" i="3"/>
  <c r="H395" i="3"/>
  <c r="G395" i="3"/>
  <c r="F395" i="3"/>
  <c r="E395" i="3"/>
  <c r="D395" i="3"/>
  <c r="C395" i="3"/>
  <c r="B395" i="3"/>
  <c r="A395" i="3"/>
  <c r="I394" i="3"/>
  <c r="H394" i="3"/>
  <c r="G394" i="3"/>
  <c r="F394" i="3"/>
  <c r="E394" i="3"/>
  <c r="D394" i="3"/>
  <c r="C394" i="3"/>
  <c r="B394" i="3"/>
  <c r="A394" i="3"/>
  <c r="I393" i="3"/>
  <c r="H393" i="3"/>
  <c r="G393" i="3"/>
  <c r="F393" i="3"/>
  <c r="E393" i="3"/>
  <c r="D393" i="3"/>
  <c r="C393" i="3"/>
  <c r="B393" i="3"/>
  <c r="A393" i="3"/>
  <c r="I392" i="3"/>
  <c r="H392" i="3"/>
  <c r="G392" i="3"/>
  <c r="F392" i="3"/>
  <c r="E392" i="3"/>
  <c r="D392" i="3"/>
  <c r="C392" i="3"/>
  <c r="B392" i="3"/>
  <c r="A392" i="3"/>
  <c r="I391" i="3"/>
  <c r="H391" i="3"/>
  <c r="G391" i="3"/>
  <c r="F391" i="3"/>
  <c r="E391" i="3"/>
  <c r="D391" i="3"/>
  <c r="C391" i="3"/>
  <c r="B391" i="3"/>
  <c r="A391" i="3"/>
  <c r="I390" i="3"/>
  <c r="H390" i="3"/>
  <c r="G390" i="3"/>
  <c r="F390" i="3"/>
  <c r="E390" i="3"/>
  <c r="D390" i="3"/>
  <c r="C390" i="3"/>
  <c r="B390" i="3"/>
  <c r="A390" i="3"/>
  <c r="I389" i="3"/>
  <c r="H389" i="3"/>
  <c r="G389" i="3"/>
  <c r="F389" i="3"/>
  <c r="E389" i="3"/>
  <c r="D389" i="3"/>
  <c r="C389" i="3"/>
  <c r="B389" i="3"/>
  <c r="A389" i="3"/>
  <c r="I388" i="3"/>
  <c r="H388" i="3"/>
  <c r="G388" i="3"/>
  <c r="F388" i="3"/>
  <c r="E388" i="3"/>
  <c r="D388" i="3"/>
  <c r="C388" i="3"/>
  <c r="B388" i="3"/>
  <c r="A388" i="3"/>
  <c r="I387" i="3"/>
  <c r="H387" i="3"/>
  <c r="G387" i="3"/>
  <c r="F387" i="3"/>
  <c r="E387" i="3"/>
  <c r="D387" i="3"/>
  <c r="C387" i="3"/>
  <c r="B387" i="3"/>
  <c r="A387" i="3"/>
  <c r="I386" i="3"/>
  <c r="H386" i="3"/>
  <c r="G386" i="3"/>
  <c r="F386" i="3"/>
  <c r="E386" i="3"/>
  <c r="D386" i="3"/>
  <c r="C386" i="3"/>
  <c r="B386" i="3"/>
  <c r="A386" i="3"/>
  <c r="I385" i="3"/>
  <c r="H385" i="3"/>
  <c r="G385" i="3"/>
  <c r="F385" i="3"/>
  <c r="E385" i="3"/>
  <c r="D385" i="3"/>
  <c r="C385" i="3"/>
  <c r="B385" i="3"/>
  <c r="A385" i="3"/>
  <c r="I384" i="3"/>
  <c r="H384" i="3"/>
  <c r="G384" i="3"/>
  <c r="F384" i="3"/>
  <c r="E384" i="3"/>
  <c r="D384" i="3"/>
  <c r="C384" i="3"/>
  <c r="B384" i="3"/>
  <c r="A384" i="3"/>
  <c r="I383" i="3"/>
  <c r="H383" i="3"/>
  <c r="G383" i="3"/>
  <c r="F383" i="3"/>
  <c r="E383" i="3"/>
  <c r="D383" i="3"/>
  <c r="C383" i="3"/>
  <c r="B383" i="3"/>
  <c r="A383" i="3"/>
  <c r="I382" i="3"/>
  <c r="H382" i="3"/>
  <c r="G382" i="3"/>
  <c r="F382" i="3"/>
  <c r="E382" i="3"/>
  <c r="D382" i="3"/>
  <c r="C382" i="3"/>
  <c r="B382" i="3"/>
  <c r="A382" i="3"/>
  <c r="I381" i="3"/>
  <c r="H381" i="3"/>
  <c r="G381" i="3"/>
  <c r="F381" i="3"/>
  <c r="E381" i="3"/>
  <c r="D381" i="3"/>
  <c r="C381" i="3"/>
  <c r="B381" i="3"/>
  <c r="A381" i="3"/>
  <c r="I380" i="3"/>
  <c r="H380" i="3"/>
  <c r="G380" i="3"/>
  <c r="F380" i="3"/>
  <c r="E380" i="3"/>
  <c r="D380" i="3"/>
  <c r="C380" i="3"/>
  <c r="B380" i="3"/>
  <c r="A380" i="3"/>
  <c r="I379" i="3"/>
  <c r="H379" i="3"/>
  <c r="G379" i="3"/>
  <c r="F379" i="3"/>
  <c r="E379" i="3"/>
  <c r="D379" i="3"/>
  <c r="C379" i="3"/>
  <c r="B379" i="3"/>
  <c r="A379" i="3"/>
  <c r="I378" i="3"/>
  <c r="H378" i="3"/>
  <c r="G378" i="3"/>
  <c r="F378" i="3"/>
  <c r="E378" i="3"/>
  <c r="D378" i="3"/>
  <c r="C378" i="3"/>
  <c r="B378" i="3"/>
  <c r="A378" i="3"/>
  <c r="I377" i="3"/>
  <c r="H377" i="3"/>
  <c r="G377" i="3"/>
  <c r="F377" i="3"/>
  <c r="E377" i="3"/>
  <c r="D377" i="3"/>
  <c r="C377" i="3"/>
  <c r="B377" i="3"/>
  <c r="A377" i="3"/>
  <c r="I376" i="3"/>
  <c r="H376" i="3"/>
  <c r="G376" i="3"/>
  <c r="F376" i="3"/>
  <c r="E376" i="3"/>
  <c r="D376" i="3"/>
  <c r="C376" i="3"/>
  <c r="B376" i="3"/>
  <c r="A376" i="3"/>
  <c r="I375" i="3"/>
  <c r="H375" i="3"/>
  <c r="G375" i="3"/>
  <c r="F375" i="3"/>
  <c r="E375" i="3"/>
  <c r="D375" i="3"/>
  <c r="C375" i="3"/>
  <c r="B375" i="3"/>
  <c r="A375" i="3"/>
  <c r="I374" i="3"/>
  <c r="H374" i="3"/>
  <c r="G374" i="3"/>
  <c r="F374" i="3"/>
  <c r="E374" i="3"/>
  <c r="D374" i="3"/>
  <c r="C374" i="3"/>
  <c r="B374" i="3"/>
  <c r="A374" i="3"/>
  <c r="I373" i="3"/>
  <c r="H373" i="3"/>
  <c r="G373" i="3"/>
  <c r="F373" i="3"/>
  <c r="E373" i="3"/>
  <c r="D373" i="3"/>
  <c r="C373" i="3"/>
  <c r="B373" i="3"/>
  <c r="A373" i="3"/>
  <c r="I372" i="3"/>
  <c r="H372" i="3"/>
  <c r="G372" i="3"/>
  <c r="F372" i="3"/>
  <c r="E372" i="3"/>
  <c r="D372" i="3"/>
  <c r="C372" i="3"/>
  <c r="B372" i="3"/>
  <c r="A372" i="3"/>
  <c r="I371" i="3"/>
  <c r="H371" i="3"/>
  <c r="G371" i="3"/>
  <c r="F371" i="3"/>
  <c r="E371" i="3"/>
  <c r="D371" i="3"/>
  <c r="C371" i="3"/>
  <c r="B371" i="3"/>
  <c r="A371" i="3"/>
  <c r="I370" i="3"/>
  <c r="H370" i="3"/>
  <c r="G370" i="3"/>
  <c r="F370" i="3"/>
  <c r="E370" i="3"/>
  <c r="D370" i="3"/>
  <c r="C370" i="3"/>
  <c r="B370" i="3"/>
  <c r="A370" i="3"/>
  <c r="I369" i="3"/>
  <c r="H369" i="3"/>
  <c r="G369" i="3"/>
  <c r="F369" i="3"/>
  <c r="E369" i="3"/>
  <c r="D369" i="3"/>
  <c r="C369" i="3"/>
  <c r="B369" i="3"/>
  <c r="A369" i="3"/>
  <c r="I368" i="3"/>
  <c r="H368" i="3"/>
  <c r="G368" i="3"/>
  <c r="F368" i="3"/>
  <c r="E368" i="3"/>
  <c r="D368" i="3"/>
  <c r="C368" i="3"/>
  <c r="B368" i="3"/>
  <c r="A368" i="3"/>
  <c r="I367" i="3"/>
  <c r="H367" i="3"/>
  <c r="G367" i="3"/>
  <c r="F367" i="3"/>
  <c r="E367" i="3"/>
  <c r="D367" i="3"/>
  <c r="C367" i="3"/>
  <c r="B367" i="3"/>
  <c r="A367" i="3"/>
  <c r="I366" i="3"/>
  <c r="H366" i="3"/>
  <c r="G366" i="3"/>
  <c r="F366" i="3"/>
  <c r="E366" i="3"/>
  <c r="D366" i="3"/>
  <c r="C366" i="3"/>
  <c r="B366" i="3"/>
  <c r="A366" i="3"/>
  <c r="I365" i="3"/>
  <c r="H365" i="3"/>
  <c r="G365" i="3"/>
  <c r="F365" i="3"/>
  <c r="E365" i="3"/>
  <c r="D365" i="3"/>
  <c r="C365" i="3"/>
  <c r="B365" i="3"/>
  <c r="A365" i="3"/>
  <c r="I364" i="3"/>
  <c r="H364" i="3"/>
  <c r="G364" i="3"/>
  <c r="F364" i="3"/>
  <c r="E364" i="3"/>
  <c r="D364" i="3"/>
  <c r="C364" i="3"/>
  <c r="B364" i="3"/>
  <c r="A364" i="3"/>
  <c r="I363" i="3"/>
  <c r="H363" i="3"/>
  <c r="G363" i="3"/>
  <c r="F363" i="3"/>
  <c r="E363" i="3"/>
  <c r="D363" i="3"/>
  <c r="C363" i="3"/>
  <c r="B363" i="3"/>
  <c r="A363" i="3"/>
  <c r="I362" i="3"/>
  <c r="H362" i="3"/>
  <c r="G362" i="3"/>
  <c r="F362" i="3"/>
  <c r="E362" i="3"/>
  <c r="D362" i="3"/>
  <c r="C362" i="3"/>
  <c r="B362" i="3"/>
  <c r="A362" i="3"/>
  <c r="I361" i="3"/>
  <c r="H361" i="3"/>
  <c r="G361" i="3"/>
  <c r="F361" i="3"/>
  <c r="E361" i="3"/>
  <c r="D361" i="3"/>
  <c r="C361" i="3"/>
  <c r="B361" i="3"/>
  <c r="A361" i="3"/>
  <c r="I360" i="3"/>
  <c r="H360" i="3"/>
  <c r="G360" i="3"/>
  <c r="F360" i="3"/>
  <c r="E360" i="3"/>
  <c r="D360" i="3"/>
  <c r="C360" i="3"/>
  <c r="B360" i="3"/>
  <c r="A360" i="3"/>
  <c r="I359" i="3"/>
  <c r="H359" i="3"/>
  <c r="G359" i="3"/>
  <c r="F359" i="3"/>
  <c r="E359" i="3"/>
  <c r="D359" i="3"/>
  <c r="C359" i="3"/>
  <c r="B359" i="3"/>
  <c r="A359" i="3"/>
  <c r="I358" i="3"/>
  <c r="H358" i="3"/>
  <c r="G358" i="3"/>
  <c r="F358" i="3"/>
  <c r="E358" i="3"/>
  <c r="D358" i="3"/>
  <c r="C358" i="3"/>
  <c r="B358" i="3"/>
  <c r="A358" i="3"/>
  <c r="I357" i="3"/>
  <c r="H357" i="3"/>
  <c r="G357" i="3"/>
  <c r="F357" i="3"/>
  <c r="E357" i="3"/>
  <c r="D357" i="3"/>
  <c r="C357" i="3"/>
  <c r="B357" i="3"/>
  <c r="A357" i="3"/>
  <c r="I356" i="3"/>
  <c r="H356" i="3"/>
  <c r="G356" i="3"/>
  <c r="F356" i="3"/>
  <c r="E356" i="3"/>
  <c r="D356" i="3"/>
  <c r="C356" i="3"/>
  <c r="B356" i="3"/>
  <c r="A356" i="3"/>
  <c r="I355" i="3"/>
  <c r="H355" i="3"/>
  <c r="G355" i="3"/>
  <c r="F355" i="3"/>
  <c r="E355" i="3"/>
  <c r="D355" i="3"/>
  <c r="C355" i="3"/>
  <c r="B355" i="3"/>
  <c r="A355" i="3"/>
  <c r="I354" i="3"/>
  <c r="H354" i="3"/>
  <c r="G354" i="3"/>
  <c r="F354" i="3"/>
  <c r="E354" i="3"/>
  <c r="D354" i="3"/>
  <c r="C354" i="3"/>
  <c r="B354" i="3"/>
  <c r="A354" i="3"/>
  <c r="I353" i="3"/>
  <c r="H353" i="3"/>
  <c r="G353" i="3"/>
  <c r="F353" i="3"/>
  <c r="E353" i="3"/>
  <c r="D353" i="3"/>
  <c r="C353" i="3"/>
  <c r="B353" i="3"/>
  <c r="A353" i="3"/>
  <c r="I352" i="3"/>
  <c r="H352" i="3"/>
  <c r="G352" i="3"/>
  <c r="F352" i="3"/>
  <c r="E352" i="3"/>
  <c r="D352" i="3"/>
  <c r="C352" i="3"/>
  <c r="B352" i="3"/>
  <c r="A352" i="3"/>
  <c r="I351" i="3"/>
  <c r="H351" i="3"/>
  <c r="G351" i="3"/>
  <c r="F351" i="3"/>
  <c r="E351" i="3"/>
  <c r="D351" i="3"/>
  <c r="C351" i="3"/>
  <c r="B351" i="3"/>
  <c r="A351" i="3"/>
  <c r="I350" i="3"/>
  <c r="H350" i="3"/>
  <c r="G350" i="3"/>
  <c r="F350" i="3"/>
  <c r="E350" i="3"/>
  <c r="D350" i="3"/>
  <c r="C350" i="3"/>
  <c r="B350" i="3"/>
  <c r="A350" i="3"/>
  <c r="I349" i="3"/>
  <c r="H349" i="3"/>
  <c r="G349" i="3"/>
  <c r="F349" i="3"/>
  <c r="E349" i="3"/>
  <c r="D349" i="3"/>
  <c r="C349" i="3"/>
  <c r="B349" i="3"/>
  <c r="A349" i="3"/>
  <c r="I348" i="3"/>
  <c r="H348" i="3"/>
  <c r="G348" i="3"/>
  <c r="F348" i="3"/>
  <c r="E348" i="3"/>
  <c r="D348" i="3"/>
  <c r="C348" i="3"/>
  <c r="B348" i="3"/>
  <c r="A348" i="3"/>
  <c r="I347" i="3"/>
  <c r="H347" i="3"/>
  <c r="G347" i="3"/>
  <c r="F347" i="3"/>
  <c r="E347" i="3"/>
  <c r="D347" i="3"/>
  <c r="C347" i="3"/>
  <c r="B347" i="3"/>
  <c r="A347" i="3"/>
  <c r="I346" i="3"/>
  <c r="H346" i="3"/>
  <c r="G346" i="3"/>
  <c r="F346" i="3"/>
  <c r="E346" i="3"/>
  <c r="D346" i="3"/>
  <c r="C346" i="3"/>
  <c r="B346" i="3"/>
  <c r="A346" i="3"/>
  <c r="I345" i="3"/>
  <c r="H345" i="3"/>
  <c r="G345" i="3"/>
  <c r="F345" i="3"/>
  <c r="E345" i="3"/>
  <c r="D345" i="3"/>
  <c r="C345" i="3"/>
  <c r="B345" i="3"/>
  <c r="A345" i="3"/>
  <c r="I344" i="3"/>
  <c r="H344" i="3"/>
  <c r="G344" i="3"/>
  <c r="F344" i="3"/>
  <c r="E344" i="3"/>
  <c r="D344" i="3"/>
  <c r="C344" i="3"/>
  <c r="B344" i="3"/>
  <c r="A344" i="3"/>
  <c r="I343" i="3"/>
  <c r="H343" i="3"/>
  <c r="G343" i="3"/>
  <c r="F343" i="3"/>
  <c r="E343" i="3"/>
  <c r="D343" i="3"/>
  <c r="C343" i="3"/>
  <c r="B343" i="3"/>
  <c r="A343" i="3"/>
  <c r="I342" i="3"/>
  <c r="H342" i="3"/>
  <c r="G342" i="3"/>
  <c r="F342" i="3"/>
  <c r="E342" i="3"/>
  <c r="D342" i="3"/>
  <c r="C342" i="3"/>
  <c r="B342" i="3"/>
  <c r="A342" i="3"/>
  <c r="I341" i="3"/>
  <c r="H341" i="3"/>
  <c r="G341" i="3"/>
  <c r="F341" i="3"/>
  <c r="E341" i="3"/>
  <c r="D341" i="3"/>
  <c r="C341" i="3"/>
  <c r="B341" i="3"/>
  <c r="A341" i="3"/>
  <c r="I340" i="3"/>
  <c r="H340" i="3"/>
  <c r="G340" i="3"/>
  <c r="F340" i="3"/>
  <c r="E340" i="3"/>
  <c r="D340" i="3"/>
  <c r="C340" i="3"/>
  <c r="B340" i="3"/>
  <c r="A340" i="3"/>
  <c r="I339" i="3"/>
  <c r="H339" i="3"/>
  <c r="G339" i="3"/>
  <c r="F339" i="3"/>
  <c r="E339" i="3"/>
  <c r="D339" i="3"/>
  <c r="C339" i="3"/>
  <c r="B339" i="3"/>
  <c r="A339" i="3"/>
  <c r="I338" i="3"/>
  <c r="H338" i="3"/>
  <c r="G338" i="3"/>
  <c r="F338" i="3"/>
  <c r="E338" i="3"/>
  <c r="D338" i="3"/>
  <c r="C338" i="3"/>
  <c r="B338" i="3"/>
  <c r="A338" i="3"/>
  <c r="I337" i="3"/>
  <c r="H337" i="3"/>
  <c r="G337" i="3"/>
  <c r="F337" i="3"/>
  <c r="E337" i="3"/>
  <c r="D337" i="3"/>
  <c r="C337" i="3"/>
  <c r="B337" i="3"/>
  <c r="A337" i="3"/>
  <c r="I336" i="3"/>
  <c r="H336" i="3"/>
  <c r="G336" i="3"/>
  <c r="F336" i="3"/>
  <c r="E336" i="3"/>
  <c r="D336" i="3"/>
  <c r="C336" i="3"/>
  <c r="B336" i="3"/>
  <c r="A336" i="3"/>
  <c r="I335" i="3"/>
  <c r="H335" i="3"/>
  <c r="G335" i="3"/>
  <c r="F335" i="3"/>
  <c r="E335" i="3"/>
  <c r="D335" i="3"/>
  <c r="C335" i="3"/>
  <c r="B335" i="3"/>
  <c r="A335" i="3"/>
  <c r="I334" i="3"/>
  <c r="H334" i="3"/>
  <c r="G334" i="3"/>
  <c r="F334" i="3"/>
  <c r="E334" i="3"/>
  <c r="D334" i="3"/>
  <c r="C334" i="3"/>
  <c r="B334" i="3"/>
  <c r="A334" i="3"/>
  <c r="I333" i="3"/>
  <c r="H333" i="3"/>
  <c r="G333" i="3"/>
  <c r="F333" i="3"/>
  <c r="E333" i="3"/>
  <c r="D333" i="3"/>
  <c r="C333" i="3"/>
  <c r="B333" i="3"/>
  <c r="A333" i="3"/>
  <c r="I332" i="3"/>
  <c r="H332" i="3"/>
  <c r="G332" i="3"/>
  <c r="F332" i="3"/>
  <c r="E332" i="3"/>
  <c r="D332" i="3"/>
  <c r="C332" i="3"/>
  <c r="B332" i="3"/>
  <c r="A332" i="3"/>
  <c r="I331" i="3"/>
  <c r="H331" i="3"/>
  <c r="G331" i="3"/>
  <c r="F331" i="3"/>
  <c r="E331" i="3"/>
  <c r="D331" i="3"/>
  <c r="C331" i="3"/>
  <c r="B331" i="3"/>
  <c r="A331" i="3"/>
  <c r="I330" i="3"/>
  <c r="H330" i="3"/>
  <c r="G330" i="3"/>
  <c r="F330" i="3"/>
  <c r="E330" i="3"/>
  <c r="D330" i="3"/>
  <c r="C330" i="3"/>
  <c r="B330" i="3"/>
  <c r="A330" i="3"/>
  <c r="I329" i="3"/>
  <c r="H329" i="3"/>
  <c r="G329" i="3"/>
  <c r="F329" i="3"/>
  <c r="E329" i="3"/>
  <c r="D329" i="3"/>
  <c r="C329" i="3"/>
  <c r="B329" i="3"/>
  <c r="A329" i="3"/>
  <c r="I328" i="3"/>
  <c r="H328" i="3"/>
  <c r="G328" i="3"/>
  <c r="F328" i="3"/>
  <c r="E328" i="3"/>
  <c r="D328" i="3"/>
  <c r="C328" i="3"/>
  <c r="B328" i="3"/>
  <c r="A328" i="3"/>
  <c r="I327" i="3"/>
  <c r="H327" i="3"/>
  <c r="G327" i="3"/>
  <c r="F327" i="3"/>
  <c r="E327" i="3"/>
  <c r="D327" i="3"/>
  <c r="C327" i="3"/>
  <c r="B327" i="3"/>
  <c r="A327" i="3"/>
  <c r="I326" i="3"/>
  <c r="H326" i="3"/>
  <c r="G326" i="3"/>
  <c r="F326" i="3"/>
  <c r="E326" i="3"/>
  <c r="D326" i="3"/>
  <c r="C326" i="3"/>
  <c r="B326" i="3"/>
  <c r="A326" i="3"/>
  <c r="I325" i="3"/>
  <c r="H325" i="3"/>
  <c r="G325" i="3"/>
  <c r="F325" i="3"/>
  <c r="E325" i="3"/>
  <c r="D325" i="3"/>
  <c r="C325" i="3"/>
  <c r="B325" i="3"/>
  <c r="A325" i="3"/>
  <c r="I324" i="3"/>
  <c r="H324" i="3"/>
  <c r="G324" i="3"/>
  <c r="F324" i="3"/>
  <c r="E324" i="3"/>
  <c r="D324" i="3"/>
  <c r="C324" i="3"/>
  <c r="B324" i="3"/>
  <c r="A324" i="3"/>
  <c r="I323" i="3"/>
  <c r="H323" i="3"/>
  <c r="G323" i="3"/>
  <c r="F323" i="3"/>
  <c r="E323" i="3"/>
  <c r="D323" i="3"/>
  <c r="C323" i="3"/>
  <c r="B323" i="3"/>
  <c r="A323" i="3"/>
  <c r="I322" i="3"/>
  <c r="H322" i="3"/>
  <c r="G322" i="3"/>
  <c r="F322" i="3"/>
  <c r="E322" i="3"/>
  <c r="D322" i="3"/>
  <c r="C322" i="3"/>
  <c r="B322" i="3"/>
  <c r="A322" i="3"/>
  <c r="I321" i="3"/>
  <c r="H321" i="3"/>
  <c r="G321" i="3"/>
  <c r="F321" i="3"/>
  <c r="E321" i="3"/>
  <c r="D321" i="3"/>
  <c r="C321" i="3"/>
  <c r="B321" i="3"/>
  <c r="A321" i="3"/>
  <c r="I320" i="3"/>
  <c r="H320" i="3"/>
  <c r="G320" i="3"/>
  <c r="F320" i="3"/>
  <c r="E320" i="3"/>
  <c r="D320" i="3"/>
  <c r="C320" i="3"/>
  <c r="B320" i="3"/>
  <c r="A320" i="3"/>
  <c r="I319" i="3"/>
  <c r="H319" i="3"/>
  <c r="G319" i="3"/>
  <c r="F319" i="3"/>
  <c r="E319" i="3"/>
  <c r="D319" i="3"/>
  <c r="C319" i="3"/>
  <c r="B319" i="3"/>
  <c r="A319" i="3"/>
  <c r="I318" i="3"/>
  <c r="H318" i="3"/>
  <c r="G318" i="3"/>
  <c r="F318" i="3"/>
  <c r="E318" i="3"/>
  <c r="D318" i="3"/>
  <c r="C318" i="3"/>
  <c r="B318" i="3"/>
  <c r="A318" i="3"/>
  <c r="I317" i="3"/>
  <c r="H317" i="3"/>
  <c r="G317" i="3"/>
  <c r="F317" i="3"/>
  <c r="E317" i="3"/>
  <c r="D317" i="3"/>
  <c r="C317" i="3"/>
  <c r="B317" i="3"/>
  <c r="A317" i="3"/>
  <c r="I316" i="3"/>
  <c r="H316" i="3"/>
  <c r="G316" i="3"/>
  <c r="F316" i="3"/>
  <c r="E316" i="3"/>
  <c r="D316" i="3"/>
  <c r="C316" i="3"/>
  <c r="B316" i="3"/>
  <c r="A316" i="3"/>
  <c r="I315" i="3"/>
  <c r="H315" i="3"/>
  <c r="G315" i="3"/>
  <c r="F315" i="3"/>
  <c r="E315" i="3"/>
  <c r="D315" i="3"/>
  <c r="C315" i="3"/>
  <c r="B315" i="3"/>
  <c r="A315" i="3"/>
  <c r="I314" i="3"/>
  <c r="H314" i="3"/>
  <c r="G314" i="3"/>
  <c r="F314" i="3"/>
  <c r="E314" i="3"/>
  <c r="D314" i="3"/>
  <c r="C314" i="3"/>
  <c r="B314" i="3"/>
  <c r="A314" i="3"/>
  <c r="I313" i="3"/>
  <c r="H313" i="3"/>
  <c r="G313" i="3"/>
  <c r="F313" i="3"/>
  <c r="E313" i="3"/>
  <c r="D313" i="3"/>
  <c r="C313" i="3"/>
  <c r="B313" i="3"/>
  <c r="A313" i="3"/>
  <c r="I312" i="3"/>
  <c r="H312" i="3"/>
  <c r="G312" i="3"/>
  <c r="F312" i="3"/>
  <c r="E312" i="3"/>
  <c r="D312" i="3"/>
  <c r="C312" i="3"/>
  <c r="B312" i="3"/>
  <c r="A312" i="3"/>
  <c r="I311" i="3"/>
  <c r="H311" i="3"/>
  <c r="G311" i="3"/>
  <c r="F311" i="3"/>
  <c r="E311" i="3"/>
  <c r="D311" i="3"/>
  <c r="C311" i="3"/>
  <c r="B311" i="3"/>
  <c r="A311" i="3"/>
  <c r="I310" i="3"/>
  <c r="H310" i="3"/>
  <c r="G310" i="3"/>
  <c r="F310" i="3"/>
  <c r="E310" i="3"/>
  <c r="D310" i="3"/>
  <c r="C310" i="3"/>
  <c r="B310" i="3"/>
  <c r="A310" i="3"/>
  <c r="I309" i="3"/>
  <c r="H309" i="3"/>
  <c r="G309" i="3"/>
  <c r="F309" i="3"/>
  <c r="E309" i="3"/>
  <c r="D309" i="3"/>
  <c r="C309" i="3"/>
  <c r="B309" i="3"/>
  <c r="A309" i="3"/>
  <c r="I308" i="3"/>
  <c r="H308" i="3"/>
  <c r="G308" i="3"/>
  <c r="F308" i="3"/>
  <c r="E308" i="3"/>
  <c r="D308" i="3"/>
  <c r="C308" i="3"/>
  <c r="B308" i="3"/>
  <c r="A308" i="3"/>
  <c r="I307" i="3"/>
  <c r="H307" i="3"/>
  <c r="G307" i="3"/>
  <c r="F307" i="3"/>
  <c r="E307" i="3"/>
  <c r="D307" i="3"/>
  <c r="C307" i="3"/>
  <c r="B307" i="3"/>
  <c r="A307" i="3"/>
  <c r="I306" i="3"/>
  <c r="H306" i="3"/>
  <c r="G306" i="3"/>
  <c r="F306" i="3"/>
  <c r="E306" i="3"/>
  <c r="D306" i="3"/>
  <c r="C306" i="3"/>
  <c r="B306" i="3"/>
  <c r="A306" i="3"/>
  <c r="I305" i="3"/>
  <c r="H305" i="3"/>
  <c r="G305" i="3"/>
  <c r="F305" i="3"/>
  <c r="E305" i="3"/>
  <c r="D305" i="3"/>
  <c r="C305" i="3"/>
  <c r="B305" i="3"/>
  <c r="A305" i="3"/>
  <c r="I304" i="3"/>
  <c r="H304" i="3"/>
  <c r="G304" i="3"/>
  <c r="F304" i="3"/>
  <c r="E304" i="3"/>
  <c r="D304" i="3"/>
  <c r="C304" i="3"/>
  <c r="B304" i="3"/>
  <c r="A304" i="3"/>
  <c r="I303" i="3"/>
  <c r="H303" i="3"/>
  <c r="G303" i="3"/>
  <c r="F303" i="3"/>
  <c r="E303" i="3"/>
  <c r="D303" i="3"/>
  <c r="C303" i="3"/>
  <c r="B303" i="3"/>
  <c r="A303" i="3"/>
  <c r="I302" i="3"/>
  <c r="H302" i="3"/>
  <c r="G302" i="3"/>
  <c r="F302" i="3"/>
  <c r="E302" i="3"/>
  <c r="D302" i="3"/>
  <c r="C302" i="3"/>
  <c r="B302" i="3"/>
  <c r="A302" i="3"/>
  <c r="I301" i="3"/>
  <c r="H301" i="3"/>
  <c r="G301" i="3"/>
  <c r="F301" i="3"/>
  <c r="E301" i="3"/>
  <c r="D301" i="3"/>
  <c r="C301" i="3"/>
  <c r="B301" i="3"/>
  <c r="A301" i="3"/>
  <c r="I300" i="3"/>
  <c r="H300" i="3"/>
  <c r="G300" i="3"/>
  <c r="F300" i="3"/>
  <c r="E300" i="3"/>
  <c r="D300" i="3"/>
  <c r="C300" i="3"/>
  <c r="B300" i="3"/>
  <c r="A300" i="3"/>
  <c r="I299" i="3"/>
  <c r="H299" i="3"/>
  <c r="G299" i="3"/>
  <c r="F299" i="3"/>
  <c r="E299" i="3"/>
  <c r="D299" i="3"/>
  <c r="C299" i="3"/>
  <c r="B299" i="3"/>
  <c r="A299" i="3"/>
  <c r="I298" i="3"/>
  <c r="H298" i="3"/>
  <c r="G298" i="3"/>
  <c r="F298" i="3"/>
  <c r="E298" i="3"/>
  <c r="D298" i="3"/>
  <c r="C298" i="3"/>
  <c r="B298" i="3"/>
  <c r="A298" i="3"/>
  <c r="I297" i="3"/>
  <c r="H297" i="3"/>
  <c r="G297" i="3"/>
  <c r="F297" i="3"/>
  <c r="E297" i="3"/>
  <c r="D297" i="3"/>
  <c r="C297" i="3"/>
  <c r="B297" i="3"/>
  <c r="A297" i="3"/>
  <c r="I296" i="3"/>
  <c r="H296" i="3"/>
  <c r="G296" i="3"/>
  <c r="F296" i="3"/>
  <c r="E296" i="3"/>
  <c r="D296" i="3"/>
  <c r="C296" i="3"/>
  <c r="B296" i="3"/>
  <c r="A296" i="3"/>
  <c r="I295" i="3"/>
  <c r="H295" i="3"/>
  <c r="G295" i="3"/>
  <c r="F295" i="3"/>
  <c r="E295" i="3"/>
  <c r="D295" i="3"/>
  <c r="C295" i="3"/>
  <c r="B295" i="3"/>
  <c r="A295" i="3"/>
  <c r="I294" i="3"/>
  <c r="H294" i="3"/>
  <c r="G294" i="3"/>
  <c r="F294" i="3"/>
  <c r="E294" i="3"/>
  <c r="D294" i="3"/>
  <c r="C294" i="3"/>
  <c r="B294" i="3"/>
  <c r="A294" i="3"/>
  <c r="I293" i="3"/>
  <c r="H293" i="3"/>
  <c r="G293" i="3"/>
  <c r="F293" i="3"/>
  <c r="E293" i="3"/>
  <c r="D293" i="3"/>
  <c r="C293" i="3"/>
  <c r="B293" i="3"/>
  <c r="A293" i="3"/>
  <c r="I292" i="3"/>
  <c r="H292" i="3"/>
  <c r="G292" i="3"/>
  <c r="F292" i="3"/>
  <c r="E292" i="3"/>
  <c r="D292" i="3"/>
  <c r="C292" i="3"/>
  <c r="B292" i="3"/>
  <c r="A292" i="3"/>
  <c r="I291" i="3"/>
  <c r="H291" i="3"/>
  <c r="G291" i="3"/>
  <c r="F291" i="3"/>
  <c r="E291" i="3"/>
  <c r="D291" i="3"/>
  <c r="C291" i="3"/>
  <c r="B291" i="3"/>
  <c r="A291" i="3"/>
  <c r="I290" i="3"/>
  <c r="H290" i="3"/>
  <c r="G290" i="3"/>
  <c r="F290" i="3"/>
  <c r="E290" i="3"/>
  <c r="D290" i="3"/>
  <c r="C290" i="3"/>
  <c r="B290" i="3"/>
  <c r="A290" i="3"/>
  <c r="I289" i="3"/>
  <c r="H289" i="3"/>
  <c r="G289" i="3"/>
  <c r="F289" i="3"/>
  <c r="E289" i="3"/>
  <c r="D289" i="3"/>
  <c r="C289" i="3"/>
  <c r="B289" i="3"/>
  <c r="A289" i="3"/>
  <c r="I288" i="3"/>
  <c r="H288" i="3"/>
  <c r="G288" i="3"/>
  <c r="F288" i="3"/>
  <c r="E288" i="3"/>
  <c r="D288" i="3"/>
  <c r="C288" i="3"/>
  <c r="B288" i="3"/>
  <c r="A288" i="3"/>
  <c r="I287" i="3"/>
  <c r="H287" i="3"/>
  <c r="G287" i="3"/>
  <c r="F287" i="3"/>
  <c r="E287" i="3"/>
  <c r="D287" i="3"/>
  <c r="C287" i="3"/>
  <c r="B287" i="3"/>
  <c r="A287" i="3"/>
  <c r="I286" i="3"/>
  <c r="H286" i="3"/>
  <c r="G286" i="3"/>
  <c r="F286" i="3"/>
  <c r="E286" i="3"/>
  <c r="D286" i="3"/>
  <c r="C286" i="3"/>
  <c r="B286" i="3"/>
  <c r="A286" i="3"/>
  <c r="I285" i="3"/>
  <c r="H285" i="3"/>
  <c r="G285" i="3"/>
  <c r="F285" i="3"/>
  <c r="E285" i="3"/>
  <c r="D285" i="3"/>
  <c r="C285" i="3"/>
  <c r="B285" i="3"/>
  <c r="A285" i="3"/>
  <c r="I284" i="3"/>
  <c r="H284" i="3"/>
  <c r="G284" i="3"/>
  <c r="F284" i="3"/>
  <c r="E284" i="3"/>
  <c r="D284" i="3"/>
  <c r="C284" i="3"/>
  <c r="B284" i="3"/>
  <c r="A284" i="3"/>
  <c r="I283" i="3"/>
  <c r="H283" i="3"/>
  <c r="G283" i="3"/>
  <c r="F283" i="3"/>
  <c r="E283" i="3"/>
  <c r="D283" i="3"/>
  <c r="C283" i="3"/>
  <c r="B283" i="3"/>
  <c r="A283" i="3"/>
  <c r="I282" i="3"/>
  <c r="H282" i="3"/>
  <c r="G282" i="3"/>
  <c r="F282" i="3"/>
  <c r="E282" i="3"/>
  <c r="D282" i="3"/>
  <c r="C282" i="3"/>
  <c r="B282" i="3"/>
  <c r="A282" i="3"/>
  <c r="I281" i="3"/>
  <c r="H281" i="3"/>
  <c r="G281" i="3"/>
  <c r="F281" i="3"/>
  <c r="E281" i="3"/>
  <c r="D281" i="3"/>
  <c r="C281" i="3"/>
  <c r="B281" i="3"/>
  <c r="A281" i="3"/>
  <c r="I280" i="3"/>
  <c r="H280" i="3"/>
  <c r="G280" i="3"/>
  <c r="F280" i="3"/>
  <c r="E280" i="3"/>
  <c r="D280" i="3"/>
  <c r="C280" i="3"/>
  <c r="B280" i="3"/>
  <c r="A280" i="3"/>
  <c r="I279" i="3"/>
  <c r="H279" i="3"/>
  <c r="G279" i="3"/>
  <c r="F279" i="3"/>
  <c r="E279" i="3"/>
  <c r="D279" i="3"/>
  <c r="C279" i="3"/>
  <c r="B279" i="3"/>
  <c r="A279" i="3"/>
  <c r="I278" i="3"/>
  <c r="H278" i="3"/>
  <c r="G278" i="3"/>
  <c r="F278" i="3"/>
  <c r="E278" i="3"/>
  <c r="D278" i="3"/>
  <c r="C278" i="3"/>
  <c r="B278" i="3"/>
  <c r="A278" i="3"/>
  <c r="I277" i="3"/>
  <c r="H277" i="3"/>
  <c r="G277" i="3"/>
  <c r="F277" i="3"/>
  <c r="E277" i="3"/>
  <c r="D277" i="3"/>
  <c r="C277" i="3"/>
  <c r="B277" i="3"/>
  <c r="A277" i="3"/>
  <c r="I276" i="3"/>
  <c r="H276" i="3"/>
  <c r="G276" i="3"/>
  <c r="F276" i="3"/>
  <c r="E276" i="3"/>
  <c r="D276" i="3"/>
  <c r="C276" i="3"/>
  <c r="B276" i="3"/>
  <c r="A276" i="3"/>
  <c r="I275" i="3"/>
  <c r="H275" i="3"/>
  <c r="G275" i="3"/>
  <c r="F275" i="3"/>
  <c r="E275" i="3"/>
  <c r="D275" i="3"/>
  <c r="C275" i="3"/>
  <c r="B275" i="3"/>
  <c r="A275" i="3"/>
  <c r="I274" i="3"/>
  <c r="H274" i="3"/>
  <c r="G274" i="3"/>
  <c r="F274" i="3"/>
  <c r="E274" i="3"/>
  <c r="D274" i="3"/>
  <c r="C274" i="3"/>
  <c r="B274" i="3"/>
  <c r="A274" i="3"/>
  <c r="I273" i="3"/>
  <c r="H273" i="3"/>
  <c r="G273" i="3"/>
  <c r="F273" i="3"/>
  <c r="E273" i="3"/>
  <c r="D273" i="3"/>
  <c r="C273" i="3"/>
  <c r="B273" i="3"/>
  <c r="A273" i="3"/>
  <c r="I272" i="3"/>
  <c r="H272" i="3"/>
  <c r="G272" i="3"/>
  <c r="F272" i="3"/>
  <c r="E272" i="3"/>
  <c r="D272" i="3"/>
  <c r="C272" i="3"/>
  <c r="B272" i="3"/>
  <c r="A272" i="3"/>
  <c r="I271" i="3"/>
  <c r="H271" i="3"/>
  <c r="G271" i="3"/>
  <c r="F271" i="3"/>
  <c r="E271" i="3"/>
  <c r="D271" i="3"/>
  <c r="C271" i="3"/>
  <c r="B271" i="3"/>
  <c r="A271" i="3"/>
  <c r="I270" i="3"/>
  <c r="H270" i="3"/>
  <c r="G270" i="3"/>
  <c r="F270" i="3"/>
  <c r="E270" i="3"/>
  <c r="D270" i="3"/>
  <c r="C270" i="3"/>
  <c r="B270" i="3"/>
  <c r="A270" i="3"/>
  <c r="I269" i="3"/>
  <c r="H269" i="3"/>
  <c r="G269" i="3"/>
  <c r="F269" i="3"/>
  <c r="E269" i="3"/>
  <c r="D269" i="3"/>
  <c r="C269" i="3"/>
  <c r="B269" i="3"/>
  <c r="A269" i="3"/>
  <c r="I268" i="3"/>
  <c r="H268" i="3"/>
  <c r="G268" i="3"/>
  <c r="F268" i="3"/>
  <c r="E268" i="3"/>
  <c r="D268" i="3"/>
  <c r="C268" i="3"/>
  <c r="B268" i="3"/>
  <c r="A268" i="3"/>
  <c r="I267" i="3"/>
  <c r="H267" i="3"/>
  <c r="G267" i="3"/>
  <c r="F267" i="3"/>
  <c r="E267" i="3"/>
  <c r="D267" i="3"/>
  <c r="C267" i="3"/>
  <c r="B267" i="3"/>
  <c r="A267" i="3"/>
  <c r="I266" i="3"/>
  <c r="H266" i="3"/>
  <c r="G266" i="3"/>
  <c r="F266" i="3"/>
  <c r="E266" i="3"/>
  <c r="D266" i="3"/>
  <c r="C266" i="3"/>
  <c r="B266" i="3"/>
  <c r="A266" i="3"/>
  <c r="I265" i="3"/>
  <c r="H265" i="3"/>
  <c r="G265" i="3"/>
  <c r="F265" i="3"/>
  <c r="E265" i="3"/>
  <c r="D265" i="3"/>
  <c r="C265" i="3"/>
  <c r="B265" i="3"/>
  <c r="A265" i="3"/>
  <c r="I264" i="3"/>
  <c r="H264" i="3"/>
  <c r="G264" i="3"/>
  <c r="F264" i="3"/>
  <c r="E264" i="3"/>
  <c r="D264" i="3"/>
  <c r="C264" i="3"/>
  <c r="B264" i="3"/>
  <c r="A264" i="3"/>
  <c r="I263" i="3"/>
  <c r="H263" i="3"/>
  <c r="G263" i="3"/>
  <c r="F263" i="3"/>
  <c r="E263" i="3"/>
  <c r="D263" i="3"/>
  <c r="C263" i="3"/>
  <c r="B263" i="3"/>
  <c r="A263" i="3"/>
  <c r="I262" i="3"/>
  <c r="H262" i="3"/>
  <c r="G262" i="3"/>
  <c r="F262" i="3"/>
  <c r="E262" i="3"/>
  <c r="D262" i="3"/>
  <c r="C262" i="3"/>
  <c r="B262" i="3"/>
  <c r="A262" i="3"/>
  <c r="I261" i="3"/>
  <c r="H261" i="3"/>
  <c r="G261" i="3"/>
  <c r="F261" i="3"/>
  <c r="E261" i="3"/>
  <c r="D261" i="3"/>
  <c r="C261" i="3"/>
  <c r="B261" i="3"/>
  <c r="A261" i="3"/>
  <c r="I260" i="3"/>
  <c r="H260" i="3"/>
  <c r="G260" i="3"/>
  <c r="F260" i="3"/>
  <c r="E260" i="3"/>
  <c r="D260" i="3"/>
  <c r="C260" i="3"/>
  <c r="B260" i="3"/>
  <c r="A260" i="3"/>
  <c r="I259" i="3"/>
  <c r="H259" i="3"/>
  <c r="G259" i="3"/>
  <c r="F259" i="3"/>
  <c r="E259" i="3"/>
  <c r="D259" i="3"/>
  <c r="C259" i="3"/>
  <c r="B259" i="3"/>
  <c r="A259" i="3"/>
  <c r="I258" i="3"/>
  <c r="H258" i="3"/>
  <c r="G258" i="3"/>
  <c r="F258" i="3"/>
  <c r="E258" i="3"/>
  <c r="D258" i="3"/>
  <c r="C258" i="3"/>
  <c r="B258" i="3"/>
  <c r="A258" i="3"/>
  <c r="I257" i="3"/>
  <c r="H257" i="3"/>
  <c r="G257" i="3"/>
  <c r="F257" i="3"/>
  <c r="E257" i="3"/>
  <c r="D257" i="3"/>
  <c r="C257" i="3"/>
  <c r="B257" i="3"/>
  <c r="A257" i="3"/>
  <c r="I256" i="3"/>
  <c r="H256" i="3"/>
  <c r="G256" i="3"/>
  <c r="F256" i="3"/>
  <c r="E256" i="3"/>
  <c r="D256" i="3"/>
  <c r="C256" i="3"/>
  <c r="B256" i="3"/>
  <c r="A256" i="3"/>
  <c r="I255" i="3"/>
  <c r="H255" i="3"/>
  <c r="G255" i="3"/>
  <c r="F255" i="3"/>
  <c r="E255" i="3"/>
  <c r="D255" i="3"/>
  <c r="C255" i="3"/>
  <c r="B255" i="3"/>
  <c r="A255" i="3"/>
  <c r="I254" i="3"/>
  <c r="H254" i="3"/>
  <c r="G254" i="3"/>
  <c r="F254" i="3"/>
  <c r="E254" i="3"/>
  <c r="D254" i="3"/>
  <c r="C254" i="3"/>
  <c r="B254" i="3"/>
  <c r="A254" i="3"/>
  <c r="I253" i="3"/>
  <c r="H253" i="3"/>
  <c r="G253" i="3"/>
  <c r="F253" i="3"/>
  <c r="E253" i="3"/>
  <c r="D253" i="3"/>
  <c r="C253" i="3"/>
  <c r="B253" i="3"/>
  <c r="A253" i="3"/>
  <c r="I252" i="3"/>
  <c r="H252" i="3"/>
  <c r="G252" i="3"/>
  <c r="F252" i="3"/>
  <c r="E252" i="3"/>
  <c r="D252" i="3"/>
  <c r="C252" i="3"/>
  <c r="B252" i="3"/>
  <c r="A252" i="3"/>
  <c r="I251" i="3"/>
  <c r="H251" i="3"/>
  <c r="G251" i="3"/>
  <c r="F251" i="3"/>
  <c r="E251" i="3"/>
  <c r="D251" i="3"/>
  <c r="C251" i="3"/>
  <c r="B251" i="3"/>
  <c r="A251" i="3"/>
  <c r="I250" i="3"/>
  <c r="H250" i="3"/>
  <c r="G250" i="3"/>
  <c r="F250" i="3"/>
  <c r="E250" i="3"/>
  <c r="D250" i="3"/>
  <c r="C250" i="3"/>
  <c r="B250" i="3"/>
  <c r="A250" i="3"/>
  <c r="I249" i="3"/>
  <c r="H249" i="3"/>
  <c r="G249" i="3"/>
  <c r="F249" i="3"/>
  <c r="E249" i="3"/>
  <c r="D249" i="3"/>
  <c r="C249" i="3"/>
  <c r="B249" i="3"/>
  <c r="A249" i="3"/>
  <c r="I248" i="3"/>
  <c r="H248" i="3"/>
  <c r="G248" i="3"/>
  <c r="F248" i="3"/>
  <c r="E248" i="3"/>
  <c r="D248" i="3"/>
  <c r="C248" i="3"/>
  <c r="B248" i="3"/>
  <c r="A248" i="3"/>
  <c r="I247" i="3"/>
  <c r="H247" i="3"/>
  <c r="G247" i="3"/>
  <c r="F247" i="3"/>
  <c r="E247" i="3"/>
  <c r="D247" i="3"/>
  <c r="C247" i="3"/>
  <c r="B247" i="3"/>
  <c r="A247" i="3"/>
  <c r="I246" i="3"/>
  <c r="H246" i="3"/>
  <c r="G246" i="3"/>
  <c r="F246" i="3"/>
  <c r="E246" i="3"/>
  <c r="D246" i="3"/>
  <c r="C246" i="3"/>
  <c r="B246" i="3"/>
  <c r="A246" i="3"/>
  <c r="I245" i="3"/>
  <c r="H245" i="3"/>
  <c r="G245" i="3"/>
  <c r="F245" i="3"/>
  <c r="E245" i="3"/>
  <c r="D245" i="3"/>
  <c r="C245" i="3"/>
  <c r="B245" i="3"/>
  <c r="A245" i="3"/>
  <c r="I244" i="3"/>
  <c r="H244" i="3"/>
  <c r="G244" i="3"/>
  <c r="F244" i="3"/>
  <c r="E244" i="3"/>
  <c r="D244" i="3"/>
  <c r="C244" i="3"/>
  <c r="B244" i="3"/>
  <c r="A244" i="3"/>
  <c r="I243" i="3"/>
  <c r="H243" i="3"/>
  <c r="G243" i="3"/>
  <c r="F243" i="3"/>
  <c r="E243" i="3"/>
  <c r="D243" i="3"/>
  <c r="C243" i="3"/>
  <c r="B243" i="3"/>
  <c r="A243" i="3"/>
  <c r="I242" i="3"/>
  <c r="H242" i="3"/>
  <c r="G242" i="3"/>
  <c r="F242" i="3"/>
  <c r="E242" i="3"/>
  <c r="D242" i="3"/>
  <c r="C242" i="3"/>
  <c r="B242" i="3"/>
  <c r="A242" i="3"/>
  <c r="I241" i="3"/>
  <c r="H241" i="3"/>
  <c r="G241" i="3"/>
  <c r="F241" i="3"/>
  <c r="E241" i="3"/>
  <c r="D241" i="3"/>
  <c r="C241" i="3"/>
  <c r="B241" i="3"/>
  <c r="A241" i="3"/>
  <c r="I240" i="3"/>
  <c r="H240" i="3"/>
  <c r="G240" i="3"/>
  <c r="F240" i="3"/>
  <c r="E240" i="3"/>
  <c r="D240" i="3"/>
  <c r="C240" i="3"/>
  <c r="B240" i="3"/>
  <c r="A240" i="3"/>
  <c r="I239" i="3"/>
  <c r="H239" i="3"/>
  <c r="G239" i="3"/>
  <c r="F239" i="3"/>
  <c r="E239" i="3"/>
  <c r="D239" i="3"/>
  <c r="C239" i="3"/>
  <c r="B239" i="3"/>
  <c r="A239" i="3"/>
  <c r="I238" i="3"/>
  <c r="H238" i="3"/>
  <c r="G238" i="3"/>
  <c r="F238" i="3"/>
  <c r="E238" i="3"/>
  <c r="D238" i="3"/>
  <c r="C238" i="3"/>
  <c r="B238" i="3"/>
  <c r="A238" i="3"/>
  <c r="I237" i="3"/>
  <c r="H237" i="3"/>
  <c r="G237" i="3"/>
  <c r="F237" i="3"/>
  <c r="E237" i="3"/>
  <c r="D237" i="3"/>
  <c r="C237" i="3"/>
  <c r="B237" i="3"/>
  <c r="A237" i="3"/>
  <c r="I236" i="3"/>
  <c r="H236" i="3"/>
  <c r="G236" i="3"/>
  <c r="F236" i="3"/>
  <c r="E236" i="3"/>
  <c r="D236" i="3"/>
  <c r="C236" i="3"/>
  <c r="B236" i="3"/>
  <c r="A236" i="3"/>
  <c r="I235" i="3"/>
  <c r="H235" i="3"/>
  <c r="G235" i="3"/>
  <c r="F235" i="3"/>
  <c r="E235" i="3"/>
  <c r="D235" i="3"/>
  <c r="C235" i="3"/>
  <c r="B235" i="3"/>
  <c r="A235" i="3"/>
  <c r="I234" i="3"/>
  <c r="H234" i="3"/>
  <c r="G234" i="3"/>
  <c r="F234" i="3"/>
  <c r="E234" i="3"/>
  <c r="D234" i="3"/>
  <c r="C234" i="3"/>
  <c r="B234" i="3"/>
  <c r="A234" i="3"/>
  <c r="I233" i="3"/>
  <c r="H233" i="3"/>
  <c r="G233" i="3"/>
  <c r="F233" i="3"/>
  <c r="E233" i="3"/>
  <c r="D233" i="3"/>
  <c r="C233" i="3"/>
  <c r="B233" i="3"/>
  <c r="A233" i="3"/>
  <c r="I232" i="3"/>
  <c r="H232" i="3"/>
  <c r="G232" i="3"/>
  <c r="F232" i="3"/>
  <c r="E232" i="3"/>
  <c r="D232" i="3"/>
  <c r="C232" i="3"/>
  <c r="B232" i="3"/>
  <c r="A232" i="3"/>
  <c r="I231" i="3"/>
  <c r="H231" i="3"/>
  <c r="G231" i="3"/>
  <c r="F231" i="3"/>
  <c r="E231" i="3"/>
  <c r="D231" i="3"/>
  <c r="C231" i="3"/>
  <c r="B231" i="3"/>
  <c r="A231" i="3"/>
  <c r="I230" i="3"/>
  <c r="H230" i="3"/>
  <c r="G230" i="3"/>
  <c r="F230" i="3"/>
  <c r="E230" i="3"/>
  <c r="D230" i="3"/>
  <c r="C230" i="3"/>
  <c r="B230" i="3"/>
  <c r="A230" i="3"/>
  <c r="I229" i="3"/>
  <c r="H229" i="3"/>
  <c r="G229" i="3"/>
  <c r="F229" i="3"/>
  <c r="E229" i="3"/>
  <c r="D229" i="3"/>
  <c r="C229" i="3"/>
  <c r="B229" i="3"/>
  <c r="A229" i="3"/>
  <c r="I228" i="3"/>
  <c r="H228" i="3"/>
  <c r="G228" i="3"/>
  <c r="F228" i="3"/>
  <c r="E228" i="3"/>
  <c r="D228" i="3"/>
  <c r="C228" i="3"/>
  <c r="B228" i="3"/>
  <c r="A228" i="3"/>
  <c r="I227" i="3"/>
  <c r="H227" i="3"/>
  <c r="G227" i="3"/>
  <c r="F227" i="3"/>
  <c r="E227" i="3"/>
  <c r="D227" i="3"/>
  <c r="C227" i="3"/>
  <c r="B227" i="3"/>
  <c r="A227" i="3"/>
  <c r="I226" i="3"/>
  <c r="H226" i="3"/>
  <c r="G226" i="3"/>
  <c r="F226" i="3"/>
  <c r="E226" i="3"/>
  <c r="D226" i="3"/>
  <c r="C226" i="3"/>
  <c r="B226" i="3"/>
  <c r="A226" i="3"/>
  <c r="I225" i="3"/>
  <c r="H225" i="3"/>
  <c r="G225" i="3"/>
  <c r="F225" i="3"/>
  <c r="E225" i="3"/>
  <c r="D225" i="3"/>
  <c r="C225" i="3"/>
  <c r="B225" i="3"/>
  <c r="A225" i="3"/>
  <c r="I224" i="3"/>
  <c r="H224" i="3"/>
  <c r="G224" i="3"/>
  <c r="F224" i="3"/>
  <c r="E224" i="3"/>
  <c r="D224" i="3"/>
  <c r="C224" i="3"/>
  <c r="B224" i="3"/>
  <c r="A224" i="3"/>
  <c r="I223" i="3"/>
  <c r="H223" i="3"/>
  <c r="G223" i="3"/>
  <c r="F223" i="3"/>
  <c r="E223" i="3"/>
  <c r="D223" i="3"/>
  <c r="C223" i="3"/>
  <c r="B223" i="3"/>
  <c r="A223" i="3"/>
  <c r="I222" i="3"/>
  <c r="H222" i="3"/>
  <c r="G222" i="3"/>
  <c r="F222" i="3"/>
  <c r="E222" i="3"/>
  <c r="D222" i="3"/>
  <c r="C222" i="3"/>
  <c r="B222" i="3"/>
  <c r="A222" i="3"/>
  <c r="I221" i="3"/>
  <c r="H221" i="3"/>
  <c r="G221" i="3"/>
  <c r="F221" i="3"/>
  <c r="E221" i="3"/>
  <c r="D221" i="3"/>
  <c r="C221" i="3"/>
  <c r="B221" i="3"/>
  <c r="A221" i="3"/>
  <c r="I220" i="3"/>
  <c r="H220" i="3"/>
  <c r="G220" i="3"/>
  <c r="F220" i="3"/>
  <c r="E220" i="3"/>
  <c r="D220" i="3"/>
  <c r="C220" i="3"/>
  <c r="B220" i="3"/>
  <c r="A220" i="3"/>
  <c r="I219" i="3"/>
  <c r="H219" i="3"/>
  <c r="G219" i="3"/>
  <c r="F219" i="3"/>
  <c r="E219" i="3"/>
  <c r="D219" i="3"/>
  <c r="C219" i="3"/>
  <c r="B219" i="3"/>
  <c r="A219" i="3"/>
  <c r="I218" i="3"/>
  <c r="H218" i="3"/>
  <c r="G218" i="3"/>
  <c r="F218" i="3"/>
  <c r="E218" i="3"/>
  <c r="D218" i="3"/>
  <c r="C218" i="3"/>
  <c r="B218" i="3"/>
  <c r="A218" i="3"/>
  <c r="I217" i="3"/>
  <c r="H217" i="3"/>
  <c r="G217" i="3"/>
  <c r="F217" i="3"/>
  <c r="E217" i="3"/>
  <c r="D217" i="3"/>
  <c r="C217" i="3"/>
  <c r="B217" i="3"/>
  <c r="A217" i="3"/>
  <c r="I216" i="3"/>
  <c r="H216" i="3"/>
  <c r="G216" i="3"/>
  <c r="F216" i="3"/>
  <c r="E216" i="3"/>
  <c r="D216" i="3"/>
  <c r="C216" i="3"/>
  <c r="B216" i="3"/>
  <c r="A216" i="3"/>
  <c r="I215" i="3"/>
  <c r="H215" i="3"/>
  <c r="G215" i="3"/>
  <c r="F215" i="3"/>
  <c r="E215" i="3"/>
  <c r="D215" i="3"/>
  <c r="C215" i="3"/>
  <c r="B215" i="3"/>
  <c r="A215" i="3"/>
  <c r="I214" i="3"/>
  <c r="H214" i="3"/>
  <c r="G214" i="3"/>
  <c r="F214" i="3"/>
  <c r="E214" i="3"/>
  <c r="D214" i="3"/>
  <c r="C214" i="3"/>
  <c r="B214" i="3"/>
  <c r="A214" i="3"/>
  <c r="I213" i="3"/>
  <c r="H213" i="3"/>
  <c r="G213" i="3"/>
  <c r="F213" i="3"/>
  <c r="E213" i="3"/>
  <c r="D213" i="3"/>
  <c r="C213" i="3"/>
  <c r="B213" i="3"/>
  <c r="A213" i="3"/>
  <c r="I212" i="3"/>
  <c r="H212" i="3"/>
  <c r="G212" i="3"/>
  <c r="F212" i="3"/>
  <c r="E212" i="3"/>
  <c r="D212" i="3"/>
  <c r="C212" i="3"/>
  <c r="B212" i="3"/>
  <c r="A212" i="3"/>
  <c r="I211" i="3"/>
  <c r="H211" i="3"/>
  <c r="G211" i="3"/>
  <c r="F211" i="3"/>
  <c r="E211" i="3"/>
  <c r="D211" i="3"/>
  <c r="C211" i="3"/>
  <c r="B211" i="3"/>
  <c r="A211" i="3"/>
  <c r="I210" i="3"/>
  <c r="H210" i="3"/>
  <c r="G210" i="3"/>
  <c r="F210" i="3"/>
  <c r="E210" i="3"/>
  <c r="D210" i="3"/>
  <c r="C210" i="3"/>
  <c r="B210" i="3"/>
  <c r="A210" i="3"/>
  <c r="I209" i="3"/>
  <c r="H209" i="3"/>
  <c r="G209" i="3"/>
  <c r="F209" i="3"/>
  <c r="E209" i="3"/>
  <c r="D209" i="3"/>
  <c r="C209" i="3"/>
  <c r="B209" i="3"/>
  <c r="A209" i="3"/>
  <c r="I208" i="3"/>
  <c r="H208" i="3"/>
  <c r="G208" i="3"/>
  <c r="F208" i="3"/>
  <c r="E208" i="3"/>
  <c r="D208" i="3"/>
  <c r="C208" i="3"/>
  <c r="B208" i="3"/>
  <c r="A208" i="3"/>
  <c r="I207" i="3"/>
  <c r="H207" i="3"/>
  <c r="G207" i="3"/>
  <c r="F207" i="3"/>
  <c r="E207" i="3"/>
  <c r="D207" i="3"/>
  <c r="C207" i="3"/>
  <c r="B207" i="3"/>
  <c r="A207" i="3"/>
  <c r="I206" i="3"/>
  <c r="H206" i="3"/>
  <c r="G206" i="3"/>
  <c r="F206" i="3"/>
  <c r="E206" i="3"/>
  <c r="D206" i="3"/>
  <c r="C206" i="3"/>
  <c r="B206" i="3"/>
  <c r="A206" i="3"/>
  <c r="I205" i="3"/>
  <c r="H205" i="3"/>
  <c r="G205" i="3"/>
  <c r="F205" i="3"/>
  <c r="E205" i="3"/>
  <c r="D205" i="3"/>
  <c r="C205" i="3"/>
  <c r="B205" i="3"/>
  <c r="A205" i="3"/>
  <c r="I204" i="3"/>
  <c r="H204" i="3"/>
  <c r="G204" i="3"/>
  <c r="F204" i="3"/>
  <c r="E204" i="3"/>
  <c r="D204" i="3"/>
  <c r="C204" i="3"/>
  <c r="B204" i="3"/>
  <c r="A204" i="3"/>
  <c r="I203" i="3"/>
  <c r="H203" i="3"/>
  <c r="G203" i="3"/>
  <c r="F203" i="3"/>
  <c r="E203" i="3"/>
  <c r="D203" i="3"/>
  <c r="C203" i="3"/>
  <c r="B203" i="3"/>
  <c r="A203" i="3"/>
  <c r="I202" i="3"/>
  <c r="H202" i="3"/>
  <c r="G202" i="3"/>
  <c r="F202" i="3"/>
  <c r="E202" i="3"/>
  <c r="D202" i="3"/>
  <c r="C202" i="3"/>
  <c r="B202" i="3"/>
  <c r="A202" i="3"/>
  <c r="I201" i="3"/>
  <c r="H201" i="3"/>
  <c r="G201" i="3"/>
  <c r="F201" i="3"/>
  <c r="E201" i="3"/>
  <c r="D201" i="3"/>
  <c r="C201" i="3"/>
  <c r="B201" i="3"/>
  <c r="A201" i="3"/>
  <c r="I200" i="3"/>
  <c r="H200" i="3"/>
  <c r="G200" i="3"/>
  <c r="F200" i="3"/>
  <c r="E200" i="3"/>
  <c r="D200" i="3"/>
  <c r="C200" i="3"/>
  <c r="B200" i="3"/>
  <c r="A200" i="3"/>
  <c r="I199" i="3"/>
  <c r="H199" i="3"/>
  <c r="G199" i="3"/>
  <c r="F199" i="3"/>
  <c r="E199" i="3"/>
  <c r="D199" i="3"/>
  <c r="C199" i="3"/>
  <c r="B199" i="3"/>
  <c r="A199" i="3"/>
  <c r="I198" i="3"/>
  <c r="H198" i="3"/>
  <c r="G198" i="3"/>
  <c r="F198" i="3"/>
  <c r="E198" i="3"/>
  <c r="D198" i="3"/>
  <c r="C198" i="3"/>
  <c r="B198" i="3"/>
  <c r="A198" i="3"/>
  <c r="I197" i="3"/>
  <c r="H197" i="3"/>
  <c r="G197" i="3"/>
  <c r="F197" i="3"/>
  <c r="E197" i="3"/>
  <c r="D197" i="3"/>
  <c r="C197" i="3"/>
  <c r="B197" i="3"/>
  <c r="A197" i="3"/>
  <c r="I196" i="3"/>
  <c r="H196" i="3"/>
  <c r="G196" i="3"/>
  <c r="F196" i="3"/>
  <c r="E196" i="3"/>
  <c r="D196" i="3"/>
  <c r="C196" i="3"/>
  <c r="B196" i="3"/>
  <c r="A196" i="3"/>
  <c r="I195" i="3"/>
  <c r="H195" i="3"/>
  <c r="G195" i="3"/>
  <c r="F195" i="3"/>
  <c r="E195" i="3"/>
  <c r="D195" i="3"/>
  <c r="C195" i="3"/>
  <c r="B195" i="3"/>
  <c r="A195" i="3"/>
  <c r="I194" i="3"/>
  <c r="H194" i="3"/>
  <c r="G194" i="3"/>
  <c r="F194" i="3"/>
  <c r="E194" i="3"/>
  <c r="D194" i="3"/>
  <c r="C194" i="3"/>
  <c r="B194" i="3"/>
  <c r="A194" i="3"/>
  <c r="I193" i="3"/>
  <c r="H193" i="3"/>
  <c r="G193" i="3"/>
  <c r="F193" i="3"/>
  <c r="E193" i="3"/>
  <c r="D193" i="3"/>
  <c r="C193" i="3"/>
  <c r="B193" i="3"/>
  <c r="A193" i="3"/>
  <c r="I192" i="3"/>
  <c r="H192" i="3"/>
  <c r="G192" i="3"/>
  <c r="F192" i="3"/>
  <c r="E192" i="3"/>
  <c r="D192" i="3"/>
  <c r="C192" i="3"/>
  <c r="B192" i="3"/>
  <c r="A192" i="3"/>
  <c r="I191" i="3"/>
  <c r="H191" i="3"/>
  <c r="G191" i="3"/>
  <c r="F191" i="3"/>
  <c r="E191" i="3"/>
  <c r="D191" i="3"/>
  <c r="C191" i="3"/>
  <c r="B191" i="3"/>
  <c r="A191" i="3"/>
  <c r="I190" i="3"/>
  <c r="H190" i="3"/>
  <c r="G190" i="3"/>
  <c r="F190" i="3"/>
  <c r="E190" i="3"/>
  <c r="D190" i="3"/>
  <c r="C190" i="3"/>
  <c r="B190" i="3"/>
  <c r="A190" i="3"/>
  <c r="I189" i="3"/>
  <c r="H189" i="3"/>
  <c r="G189" i="3"/>
  <c r="F189" i="3"/>
  <c r="E189" i="3"/>
  <c r="D189" i="3"/>
  <c r="C189" i="3"/>
  <c r="B189" i="3"/>
  <c r="A189" i="3"/>
  <c r="I188" i="3"/>
  <c r="H188" i="3"/>
  <c r="G188" i="3"/>
  <c r="F188" i="3"/>
  <c r="E188" i="3"/>
  <c r="D188" i="3"/>
  <c r="C188" i="3"/>
  <c r="B188" i="3"/>
  <c r="A188" i="3"/>
  <c r="I187" i="3"/>
  <c r="H187" i="3"/>
  <c r="G187" i="3"/>
  <c r="F187" i="3"/>
  <c r="E187" i="3"/>
  <c r="D187" i="3"/>
  <c r="C187" i="3"/>
  <c r="B187" i="3"/>
  <c r="A187" i="3"/>
  <c r="I186" i="3"/>
  <c r="H186" i="3"/>
  <c r="G186" i="3"/>
  <c r="F186" i="3"/>
  <c r="E186" i="3"/>
  <c r="D186" i="3"/>
  <c r="C186" i="3"/>
  <c r="B186" i="3"/>
  <c r="A186" i="3"/>
  <c r="I185" i="3"/>
  <c r="H185" i="3"/>
  <c r="G185" i="3"/>
  <c r="F185" i="3"/>
  <c r="E185" i="3"/>
  <c r="D185" i="3"/>
  <c r="C185" i="3"/>
  <c r="B185" i="3"/>
  <c r="A185" i="3"/>
  <c r="I184" i="3"/>
  <c r="H184" i="3"/>
  <c r="G184" i="3"/>
  <c r="F184" i="3"/>
  <c r="E184" i="3"/>
  <c r="D184" i="3"/>
  <c r="C184" i="3"/>
  <c r="B184" i="3"/>
  <c r="A184" i="3"/>
  <c r="I183" i="3"/>
  <c r="H183" i="3"/>
  <c r="G183" i="3"/>
  <c r="F183" i="3"/>
  <c r="E183" i="3"/>
  <c r="D183" i="3"/>
  <c r="C183" i="3"/>
  <c r="B183" i="3"/>
  <c r="A183" i="3"/>
  <c r="I182" i="3"/>
  <c r="H182" i="3"/>
  <c r="G182" i="3"/>
  <c r="F182" i="3"/>
  <c r="E182" i="3"/>
  <c r="D182" i="3"/>
  <c r="C182" i="3"/>
  <c r="B182" i="3"/>
  <c r="A182" i="3"/>
  <c r="I181" i="3"/>
  <c r="H181" i="3"/>
  <c r="G181" i="3"/>
  <c r="F181" i="3"/>
  <c r="E181" i="3"/>
  <c r="D181" i="3"/>
  <c r="C181" i="3"/>
  <c r="B181" i="3"/>
  <c r="A181" i="3"/>
  <c r="I180" i="3"/>
  <c r="H180" i="3"/>
  <c r="G180" i="3"/>
  <c r="F180" i="3"/>
  <c r="E180" i="3"/>
  <c r="D180" i="3"/>
  <c r="C180" i="3"/>
  <c r="B180" i="3"/>
  <c r="A180" i="3"/>
  <c r="I179" i="3"/>
  <c r="H179" i="3"/>
  <c r="G179" i="3"/>
  <c r="F179" i="3"/>
  <c r="E179" i="3"/>
  <c r="D179" i="3"/>
  <c r="C179" i="3"/>
  <c r="B179" i="3"/>
  <c r="A179" i="3"/>
  <c r="I178" i="3"/>
  <c r="H178" i="3"/>
  <c r="G178" i="3"/>
  <c r="F178" i="3"/>
  <c r="E178" i="3"/>
  <c r="D178" i="3"/>
  <c r="C178" i="3"/>
  <c r="B178" i="3"/>
  <c r="A178" i="3"/>
  <c r="I177" i="3"/>
  <c r="H177" i="3"/>
  <c r="G177" i="3"/>
  <c r="F177" i="3"/>
  <c r="E177" i="3"/>
  <c r="D177" i="3"/>
  <c r="C177" i="3"/>
  <c r="B177" i="3"/>
  <c r="A177" i="3"/>
  <c r="I176" i="3"/>
  <c r="H176" i="3"/>
  <c r="G176" i="3"/>
  <c r="F176" i="3"/>
  <c r="E176" i="3"/>
  <c r="D176" i="3"/>
  <c r="C176" i="3"/>
  <c r="B176" i="3"/>
  <c r="A176" i="3"/>
  <c r="I175" i="3"/>
  <c r="H175" i="3"/>
  <c r="G175" i="3"/>
  <c r="F175" i="3"/>
  <c r="E175" i="3"/>
  <c r="D175" i="3"/>
  <c r="C175" i="3"/>
  <c r="B175" i="3"/>
  <c r="A175" i="3"/>
  <c r="I174" i="3"/>
  <c r="H174" i="3"/>
  <c r="G174" i="3"/>
  <c r="F174" i="3"/>
  <c r="E174" i="3"/>
  <c r="D174" i="3"/>
  <c r="C174" i="3"/>
  <c r="B174" i="3"/>
  <c r="A174" i="3"/>
  <c r="I173" i="3"/>
  <c r="H173" i="3"/>
  <c r="G173" i="3"/>
  <c r="F173" i="3"/>
  <c r="E173" i="3"/>
  <c r="D173" i="3"/>
  <c r="C173" i="3"/>
  <c r="B173" i="3"/>
  <c r="A173" i="3"/>
  <c r="I172" i="3"/>
  <c r="H172" i="3"/>
  <c r="G172" i="3"/>
  <c r="F172" i="3"/>
  <c r="E172" i="3"/>
  <c r="D172" i="3"/>
  <c r="C172" i="3"/>
  <c r="B172" i="3"/>
  <c r="A172" i="3"/>
  <c r="I171" i="3"/>
  <c r="H171" i="3"/>
  <c r="G171" i="3"/>
  <c r="F171" i="3"/>
  <c r="E171" i="3"/>
  <c r="D171" i="3"/>
  <c r="C171" i="3"/>
  <c r="B171" i="3"/>
  <c r="A171" i="3"/>
  <c r="I170" i="3"/>
  <c r="H170" i="3"/>
  <c r="G170" i="3"/>
  <c r="F170" i="3"/>
  <c r="E170" i="3"/>
  <c r="D170" i="3"/>
  <c r="C170" i="3"/>
  <c r="B170" i="3"/>
  <c r="A170" i="3"/>
  <c r="I169" i="3"/>
  <c r="H169" i="3"/>
  <c r="G169" i="3"/>
  <c r="F169" i="3"/>
  <c r="E169" i="3"/>
  <c r="D169" i="3"/>
  <c r="C169" i="3"/>
  <c r="B169" i="3"/>
  <c r="A169" i="3"/>
  <c r="I168" i="3"/>
  <c r="H168" i="3"/>
  <c r="G168" i="3"/>
  <c r="F168" i="3"/>
  <c r="E168" i="3"/>
  <c r="D168" i="3"/>
  <c r="C168" i="3"/>
  <c r="B168" i="3"/>
  <c r="A168" i="3"/>
  <c r="I167" i="3"/>
  <c r="H167" i="3"/>
  <c r="G167" i="3"/>
  <c r="F167" i="3"/>
  <c r="E167" i="3"/>
  <c r="D167" i="3"/>
  <c r="C167" i="3"/>
  <c r="B167" i="3"/>
  <c r="A167" i="3"/>
  <c r="I166" i="3"/>
  <c r="H166" i="3"/>
  <c r="G166" i="3"/>
  <c r="F166" i="3"/>
  <c r="E166" i="3"/>
  <c r="D166" i="3"/>
  <c r="C166" i="3"/>
  <c r="B166" i="3"/>
  <c r="A166" i="3"/>
  <c r="I165" i="3"/>
  <c r="H165" i="3"/>
  <c r="G165" i="3"/>
  <c r="F165" i="3"/>
  <c r="E165" i="3"/>
  <c r="D165" i="3"/>
  <c r="C165" i="3"/>
  <c r="B165" i="3"/>
  <c r="A165" i="3"/>
  <c r="I164" i="3"/>
  <c r="H164" i="3"/>
  <c r="G164" i="3"/>
  <c r="F164" i="3"/>
  <c r="E164" i="3"/>
  <c r="D164" i="3"/>
  <c r="C164" i="3"/>
  <c r="B164" i="3"/>
  <c r="A164" i="3"/>
  <c r="I163" i="3"/>
  <c r="H163" i="3"/>
  <c r="G163" i="3"/>
  <c r="F163" i="3"/>
  <c r="E163" i="3"/>
  <c r="D163" i="3"/>
  <c r="C163" i="3"/>
  <c r="B163" i="3"/>
  <c r="A163" i="3"/>
  <c r="I162" i="3"/>
  <c r="H162" i="3"/>
  <c r="G162" i="3"/>
  <c r="F162" i="3"/>
  <c r="E162" i="3"/>
  <c r="D162" i="3"/>
  <c r="C162" i="3"/>
  <c r="B162" i="3"/>
  <c r="A162" i="3"/>
  <c r="I161" i="3"/>
  <c r="H161" i="3"/>
  <c r="G161" i="3"/>
  <c r="F161" i="3"/>
  <c r="E161" i="3"/>
  <c r="D161" i="3"/>
  <c r="C161" i="3"/>
  <c r="B161" i="3"/>
  <c r="A161" i="3"/>
  <c r="I160" i="3"/>
  <c r="H160" i="3"/>
  <c r="G160" i="3"/>
  <c r="F160" i="3"/>
  <c r="E160" i="3"/>
  <c r="D160" i="3"/>
  <c r="C160" i="3"/>
  <c r="B160" i="3"/>
  <c r="A160" i="3"/>
  <c r="I159" i="3"/>
  <c r="H159" i="3"/>
  <c r="G159" i="3"/>
  <c r="F159" i="3"/>
  <c r="E159" i="3"/>
  <c r="D159" i="3"/>
  <c r="C159" i="3"/>
  <c r="B159" i="3"/>
  <c r="A159" i="3"/>
  <c r="I158" i="3"/>
  <c r="H158" i="3"/>
  <c r="G158" i="3"/>
  <c r="F158" i="3"/>
  <c r="E158" i="3"/>
  <c r="D158" i="3"/>
  <c r="C158" i="3"/>
  <c r="B158" i="3"/>
  <c r="A158" i="3"/>
  <c r="I157" i="3"/>
  <c r="H157" i="3"/>
  <c r="G157" i="3"/>
  <c r="F157" i="3"/>
  <c r="E157" i="3"/>
  <c r="D157" i="3"/>
  <c r="C157" i="3"/>
  <c r="B157" i="3"/>
  <c r="A157" i="3"/>
  <c r="I156" i="3"/>
  <c r="H156" i="3"/>
  <c r="G156" i="3"/>
  <c r="F156" i="3"/>
  <c r="E156" i="3"/>
  <c r="D156" i="3"/>
  <c r="C156" i="3"/>
  <c r="B156" i="3"/>
  <c r="A156" i="3"/>
  <c r="I155" i="3"/>
  <c r="H155" i="3"/>
  <c r="G155" i="3"/>
  <c r="F155" i="3"/>
  <c r="E155" i="3"/>
  <c r="D155" i="3"/>
  <c r="C155" i="3"/>
  <c r="B155" i="3"/>
  <c r="A155" i="3"/>
  <c r="I154" i="3"/>
  <c r="H154" i="3"/>
  <c r="G154" i="3"/>
  <c r="F154" i="3"/>
  <c r="E154" i="3"/>
  <c r="D154" i="3"/>
  <c r="C154" i="3"/>
  <c r="B154" i="3"/>
  <c r="A154" i="3"/>
  <c r="I153" i="3"/>
  <c r="H153" i="3"/>
  <c r="G153" i="3"/>
  <c r="F153" i="3"/>
  <c r="E153" i="3"/>
  <c r="D153" i="3"/>
  <c r="C153" i="3"/>
  <c r="B153" i="3"/>
  <c r="A153" i="3"/>
  <c r="I152" i="3"/>
  <c r="H152" i="3"/>
  <c r="G152" i="3"/>
  <c r="F152" i="3"/>
  <c r="E152" i="3"/>
  <c r="D152" i="3"/>
  <c r="C152" i="3"/>
  <c r="B152" i="3"/>
  <c r="A152" i="3"/>
  <c r="I151" i="3"/>
  <c r="H151" i="3"/>
  <c r="G151" i="3"/>
  <c r="F151" i="3"/>
  <c r="E151" i="3"/>
  <c r="D151" i="3"/>
  <c r="C151" i="3"/>
  <c r="B151" i="3"/>
  <c r="A151" i="3"/>
  <c r="I150" i="3"/>
  <c r="H150" i="3"/>
  <c r="G150" i="3"/>
  <c r="F150" i="3"/>
  <c r="E150" i="3"/>
  <c r="D150" i="3"/>
  <c r="C150" i="3"/>
  <c r="B150" i="3"/>
  <c r="A150" i="3"/>
  <c r="I149" i="3"/>
  <c r="H149" i="3"/>
  <c r="G149" i="3"/>
  <c r="F149" i="3"/>
  <c r="E149" i="3"/>
  <c r="D149" i="3"/>
  <c r="C149" i="3"/>
  <c r="B149" i="3"/>
  <c r="A149" i="3"/>
  <c r="I148" i="3"/>
  <c r="H148" i="3"/>
  <c r="G148" i="3"/>
  <c r="F148" i="3"/>
  <c r="E148" i="3"/>
  <c r="D148" i="3"/>
  <c r="C148" i="3"/>
  <c r="B148" i="3"/>
  <c r="A148" i="3"/>
  <c r="I147" i="3"/>
  <c r="H147" i="3"/>
  <c r="G147" i="3"/>
  <c r="F147" i="3"/>
  <c r="E147" i="3"/>
  <c r="D147" i="3"/>
  <c r="C147" i="3"/>
  <c r="B147" i="3"/>
  <c r="A147" i="3"/>
  <c r="I146" i="3"/>
  <c r="H146" i="3"/>
  <c r="G146" i="3"/>
  <c r="F146" i="3"/>
  <c r="E146" i="3"/>
  <c r="D146" i="3"/>
  <c r="C146" i="3"/>
  <c r="B146" i="3"/>
  <c r="A146" i="3"/>
  <c r="I145" i="3"/>
  <c r="H145" i="3"/>
  <c r="G145" i="3"/>
  <c r="F145" i="3"/>
  <c r="E145" i="3"/>
  <c r="D145" i="3"/>
  <c r="C145" i="3"/>
  <c r="B145" i="3"/>
  <c r="A145" i="3"/>
  <c r="I144" i="3"/>
  <c r="H144" i="3"/>
  <c r="G144" i="3"/>
  <c r="F144" i="3"/>
  <c r="E144" i="3"/>
  <c r="D144" i="3"/>
  <c r="C144" i="3"/>
  <c r="B144" i="3"/>
  <c r="A144" i="3"/>
  <c r="I143" i="3"/>
  <c r="H143" i="3"/>
  <c r="G143" i="3"/>
  <c r="F143" i="3"/>
  <c r="E143" i="3"/>
  <c r="D143" i="3"/>
  <c r="C143" i="3"/>
  <c r="B143" i="3"/>
  <c r="A143" i="3"/>
  <c r="I142" i="3"/>
  <c r="H142" i="3"/>
  <c r="G142" i="3"/>
  <c r="F142" i="3"/>
  <c r="E142" i="3"/>
  <c r="D142" i="3"/>
  <c r="C142" i="3"/>
  <c r="B142" i="3"/>
  <c r="A142" i="3"/>
  <c r="I141" i="3"/>
  <c r="H141" i="3"/>
  <c r="G141" i="3"/>
  <c r="F141" i="3"/>
  <c r="E141" i="3"/>
  <c r="D141" i="3"/>
  <c r="C141" i="3"/>
  <c r="B141" i="3"/>
  <c r="A141" i="3"/>
  <c r="I140" i="3"/>
  <c r="H140" i="3"/>
  <c r="G140" i="3"/>
  <c r="F140" i="3"/>
  <c r="E140" i="3"/>
  <c r="D140" i="3"/>
  <c r="C140" i="3"/>
  <c r="B140" i="3"/>
  <c r="A140" i="3"/>
  <c r="I139" i="3"/>
  <c r="H139" i="3"/>
  <c r="G139" i="3"/>
  <c r="F139" i="3"/>
  <c r="E139" i="3"/>
  <c r="D139" i="3"/>
  <c r="C139" i="3"/>
  <c r="B139" i="3"/>
  <c r="A139" i="3"/>
  <c r="I138" i="3"/>
  <c r="H138" i="3"/>
  <c r="G138" i="3"/>
  <c r="F138" i="3"/>
  <c r="E138" i="3"/>
  <c r="D138" i="3"/>
  <c r="C138" i="3"/>
  <c r="B138" i="3"/>
  <c r="A138" i="3"/>
  <c r="I137" i="3"/>
  <c r="H137" i="3"/>
  <c r="G137" i="3"/>
  <c r="F137" i="3"/>
  <c r="E137" i="3"/>
  <c r="D137" i="3"/>
  <c r="C137" i="3"/>
  <c r="B137" i="3"/>
  <c r="A137" i="3"/>
  <c r="I136" i="3"/>
  <c r="H136" i="3"/>
  <c r="G136" i="3"/>
  <c r="F136" i="3"/>
  <c r="E136" i="3"/>
  <c r="D136" i="3"/>
  <c r="C136" i="3"/>
  <c r="B136" i="3"/>
  <c r="A136" i="3"/>
  <c r="I135" i="3"/>
  <c r="H135" i="3"/>
  <c r="G135" i="3"/>
  <c r="F135" i="3"/>
  <c r="E135" i="3"/>
  <c r="D135" i="3"/>
  <c r="C135" i="3"/>
  <c r="B135" i="3"/>
  <c r="A135" i="3"/>
  <c r="I134" i="3"/>
  <c r="H134" i="3"/>
  <c r="G134" i="3"/>
  <c r="F134" i="3"/>
  <c r="E134" i="3"/>
  <c r="D134" i="3"/>
  <c r="C134" i="3"/>
  <c r="B134" i="3"/>
  <c r="A134" i="3"/>
  <c r="I133" i="3"/>
  <c r="H133" i="3"/>
  <c r="G133" i="3"/>
  <c r="F133" i="3"/>
  <c r="E133" i="3"/>
  <c r="D133" i="3"/>
  <c r="C133" i="3"/>
  <c r="B133" i="3"/>
  <c r="A133" i="3"/>
  <c r="I132" i="3"/>
  <c r="H132" i="3"/>
  <c r="G132" i="3"/>
  <c r="F132" i="3"/>
  <c r="E132" i="3"/>
  <c r="D132" i="3"/>
  <c r="C132" i="3"/>
  <c r="B132" i="3"/>
  <c r="A132" i="3"/>
  <c r="I131" i="3"/>
  <c r="H131" i="3"/>
  <c r="G131" i="3"/>
  <c r="F131" i="3"/>
  <c r="E131" i="3"/>
  <c r="D131" i="3"/>
  <c r="C131" i="3"/>
  <c r="B131" i="3"/>
  <c r="A131" i="3"/>
  <c r="I130" i="3"/>
  <c r="H130" i="3"/>
  <c r="G130" i="3"/>
  <c r="F130" i="3"/>
  <c r="E130" i="3"/>
  <c r="D130" i="3"/>
  <c r="C130" i="3"/>
  <c r="B130" i="3"/>
  <c r="A130" i="3"/>
  <c r="I129" i="3"/>
  <c r="H129" i="3"/>
  <c r="G129" i="3"/>
  <c r="F129" i="3"/>
  <c r="E129" i="3"/>
  <c r="D129" i="3"/>
  <c r="C129" i="3"/>
  <c r="B129" i="3"/>
  <c r="A129" i="3"/>
  <c r="I128" i="3"/>
  <c r="H128" i="3"/>
  <c r="G128" i="3"/>
  <c r="F128" i="3"/>
  <c r="E128" i="3"/>
  <c r="D128" i="3"/>
  <c r="C128" i="3"/>
  <c r="B128" i="3"/>
  <c r="A128" i="3"/>
  <c r="I127" i="3"/>
  <c r="H127" i="3"/>
  <c r="G127" i="3"/>
  <c r="F127" i="3"/>
  <c r="E127" i="3"/>
  <c r="D127" i="3"/>
  <c r="C127" i="3"/>
  <c r="B127" i="3"/>
  <c r="A127" i="3"/>
  <c r="I126" i="3"/>
  <c r="H126" i="3"/>
  <c r="G126" i="3"/>
  <c r="F126" i="3"/>
  <c r="E126" i="3"/>
  <c r="D126" i="3"/>
  <c r="C126" i="3"/>
  <c r="B126" i="3"/>
  <c r="A126" i="3"/>
  <c r="I125" i="3"/>
  <c r="H125" i="3"/>
  <c r="G125" i="3"/>
  <c r="F125" i="3"/>
  <c r="E125" i="3"/>
  <c r="D125" i="3"/>
  <c r="C125" i="3"/>
  <c r="B125" i="3"/>
  <c r="A125" i="3"/>
  <c r="I124" i="3"/>
  <c r="H124" i="3"/>
  <c r="G124" i="3"/>
  <c r="F124" i="3"/>
  <c r="E124" i="3"/>
  <c r="D124" i="3"/>
  <c r="C124" i="3"/>
  <c r="B124" i="3"/>
  <c r="A124" i="3"/>
  <c r="I123" i="3"/>
  <c r="H123" i="3"/>
  <c r="G123" i="3"/>
  <c r="F123" i="3"/>
  <c r="E123" i="3"/>
  <c r="D123" i="3"/>
  <c r="C123" i="3"/>
  <c r="B123" i="3"/>
  <c r="A123" i="3"/>
  <c r="I122" i="3"/>
  <c r="H122" i="3"/>
  <c r="G122" i="3"/>
  <c r="F122" i="3"/>
  <c r="E122" i="3"/>
  <c r="D122" i="3"/>
  <c r="C122" i="3"/>
  <c r="B122" i="3"/>
  <c r="A122" i="3"/>
  <c r="I121" i="3"/>
  <c r="H121" i="3"/>
  <c r="G121" i="3"/>
  <c r="F121" i="3"/>
  <c r="E121" i="3"/>
  <c r="D121" i="3"/>
  <c r="C121" i="3"/>
  <c r="B121" i="3"/>
  <c r="A121" i="3"/>
  <c r="I120" i="3"/>
  <c r="H120" i="3"/>
  <c r="G120" i="3"/>
  <c r="F120" i="3"/>
  <c r="E120" i="3"/>
  <c r="D120" i="3"/>
  <c r="C120" i="3"/>
  <c r="B120" i="3"/>
  <c r="A120" i="3"/>
  <c r="I119" i="3"/>
  <c r="H119" i="3"/>
  <c r="G119" i="3"/>
  <c r="F119" i="3"/>
  <c r="E119" i="3"/>
  <c r="D119" i="3"/>
  <c r="C119" i="3"/>
  <c r="B119" i="3"/>
  <c r="A119" i="3"/>
  <c r="I118" i="3"/>
  <c r="H118" i="3"/>
  <c r="G118" i="3"/>
  <c r="F118" i="3"/>
  <c r="E118" i="3"/>
  <c r="D118" i="3"/>
  <c r="C118" i="3"/>
  <c r="B118" i="3"/>
  <c r="A118" i="3"/>
  <c r="I117" i="3"/>
  <c r="H117" i="3"/>
  <c r="G117" i="3"/>
  <c r="F117" i="3"/>
  <c r="E117" i="3"/>
  <c r="D117" i="3"/>
  <c r="C117" i="3"/>
  <c r="B117" i="3"/>
  <c r="A117" i="3"/>
  <c r="I116" i="3"/>
  <c r="H116" i="3"/>
  <c r="G116" i="3"/>
  <c r="F116" i="3"/>
  <c r="E116" i="3"/>
  <c r="D116" i="3"/>
  <c r="C116" i="3"/>
  <c r="B116" i="3"/>
  <c r="A116" i="3"/>
  <c r="I115" i="3"/>
  <c r="H115" i="3"/>
  <c r="G115" i="3"/>
  <c r="F115" i="3"/>
  <c r="E115" i="3"/>
  <c r="D115" i="3"/>
  <c r="C115" i="3"/>
  <c r="B115" i="3"/>
  <c r="A115" i="3"/>
  <c r="I114" i="3"/>
  <c r="H114" i="3"/>
  <c r="G114" i="3"/>
  <c r="F114" i="3"/>
  <c r="E114" i="3"/>
  <c r="D114" i="3"/>
  <c r="C114" i="3"/>
  <c r="B114" i="3"/>
  <c r="A114" i="3"/>
  <c r="I113" i="3"/>
  <c r="H113" i="3"/>
  <c r="G113" i="3"/>
  <c r="F113" i="3"/>
  <c r="E113" i="3"/>
  <c r="D113" i="3"/>
  <c r="C113" i="3"/>
  <c r="B113" i="3"/>
  <c r="A113" i="3"/>
  <c r="I112" i="3"/>
  <c r="H112" i="3"/>
  <c r="G112" i="3"/>
  <c r="F112" i="3"/>
  <c r="E112" i="3"/>
  <c r="D112" i="3"/>
  <c r="C112" i="3"/>
  <c r="B112" i="3"/>
  <c r="A112" i="3"/>
  <c r="I111" i="3"/>
  <c r="H111" i="3"/>
  <c r="G111" i="3"/>
  <c r="F111" i="3"/>
  <c r="E111" i="3"/>
  <c r="D111" i="3"/>
  <c r="C111" i="3"/>
  <c r="B111" i="3"/>
  <c r="A111" i="3"/>
  <c r="I110" i="3"/>
  <c r="H110" i="3"/>
  <c r="G110" i="3"/>
  <c r="F110" i="3"/>
  <c r="E110" i="3"/>
  <c r="D110" i="3"/>
  <c r="C110" i="3"/>
  <c r="B110" i="3"/>
  <c r="A110" i="3"/>
  <c r="I109" i="3"/>
  <c r="H109" i="3"/>
  <c r="G109" i="3"/>
  <c r="F109" i="3"/>
  <c r="E109" i="3"/>
  <c r="D109" i="3"/>
  <c r="C109" i="3"/>
  <c r="B109" i="3"/>
  <c r="A109" i="3"/>
  <c r="I108" i="3"/>
  <c r="H108" i="3"/>
  <c r="G108" i="3"/>
  <c r="F108" i="3"/>
  <c r="E108" i="3"/>
  <c r="D108" i="3"/>
  <c r="C108" i="3"/>
  <c r="B108" i="3"/>
  <c r="A108" i="3"/>
  <c r="I107" i="3"/>
  <c r="H107" i="3"/>
  <c r="G107" i="3"/>
  <c r="F107" i="3"/>
  <c r="E107" i="3"/>
  <c r="D107" i="3"/>
  <c r="C107" i="3"/>
  <c r="B107" i="3"/>
  <c r="A107" i="3"/>
  <c r="I106" i="3"/>
  <c r="H106" i="3"/>
  <c r="G106" i="3"/>
  <c r="F106" i="3"/>
  <c r="E106" i="3"/>
  <c r="D106" i="3"/>
  <c r="C106" i="3"/>
  <c r="B106" i="3"/>
  <c r="A106" i="3"/>
  <c r="I105" i="3"/>
  <c r="H105" i="3"/>
  <c r="G105" i="3"/>
  <c r="F105" i="3"/>
  <c r="E105" i="3"/>
  <c r="D105" i="3"/>
  <c r="C105" i="3"/>
  <c r="B105" i="3"/>
  <c r="A105" i="3"/>
  <c r="I104" i="3"/>
  <c r="H104" i="3"/>
  <c r="G104" i="3"/>
  <c r="F104" i="3"/>
  <c r="E104" i="3"/>
  <c r="D104" i="3"/>
  <c r="C104" i="3"/>
  <c r="B104" i="3"/>
  <c r="A104" i="3"/>
  <c r="I103" i="3"/>
  <c r="H103" i="3"/>
  <c r="G103" i="3"/>
  <c r="F103" i="3"/>
  <c r="E103" i="3"/>
  <c r="D103" i="3"/>
  <c r="C103" i="3"/>
  <c r="B103" i="3"/>
  <c r="A103" i="3"/>
  <c r="I102" i="3"/>
  <c r="H102" i="3"/>
  <c r="G102" i="3"/>
  <c r="F102" i="3"/>
  <c r="E102" i="3"/>
  <c r="D102" i="3"/>
  <c r="C102" i="3"/>
  <c r="B102" i="3"/>
  <c r="A102" i="3"/>
  <c r="I101" i="3"/>
  <c r="H101" i="3"/>
  <c r="G101" i="3"/>
  <c r="F101" i="3"/>
  <c r="E101" i="3"/>
  <c r="D101" i="3"/>
  <c r="C101" i="3"/>
  <c r="B101" i="3"/>
  <c r="A101" i="3"/>
  <c r="I100" i="3"/>
  <c r="H100" i="3"/>
  <c r="G100" i="3"/>
  <c r="F100" i="3"/>
  <c r="E100" i="3"/>
  <c r="D100" i="3"/>
  <c r="C100" i="3"/>
  <c r="B100" i="3"/>
  <c r="A100" i="3"/>
  <c r="I99" i="3"/>
  <c r="H99" i="3"/>
  <c r="G99" i="3"/>
  <c r="F99" i="3"/>
  <c r="E99" i="3"/>
  <c r="D99" i="3"/>
  <c r="C99" i="3"/>
  <c r="B99" i="3"/>
  <c r="A99" i="3"/>
  <c r="I98" i="3"/>
  <c r="H98" i="3"/>
  <c r="G98" i="3"/>
  <c r="F98" i="3"/>
  <c r="E98" i="3"/>
  <c r="D98" i="3"/>
  <c r="C98" i="3"/>
  <c r="B98" i="3"/>
  <c r="A98" i="3"/>
  <c r="I97" i="3"/>
  <c r="H97" i="3"/>
  <c r="G97" i="3"/>
  <c r="F97" i="3"/>
  <c r="E97" i="3"/>
  <c r="D97" i="3"/>
  <c r="C97" i="3"/>
  <c r="B97" i="3"/>
  <c r="A97" i="3"/>
  <c r="I96" i="3"/>
  <c r="H96" i="3"/>
  <c r="G96" i="3"/>
  <c r="F96" i="3"/>
  <c r="E96" i="3"/>
  <c r="D96" i="3"/>
  <c r="C96" i="3"/>
  <c r="B96" i="3"/>
  <c r="A96" i="3"/>
  <c r="I95" i="3"/>
  <c r="H95" i="3"/>
  <c r="G95" i="3"/>
  <c r="F95" i="3"/>
  <c r="E95" i="3"/>
  <c r="D95" i="3"/>
  <c r="C95" i="3"/>
  <c r="B95" i="3"/>
  <c r="A95" i="3"/>
  <c r="I94" i="3"/>
  <c r="H94" i="3"/>
  <c r="G94" i="3"/>
  <c r="F94" i="3"/>
  <c r="E94" i="3"/>
  <c r="D94" i="3"/>
  <c r="C94" i="3"/>
  <c r="B94" i="3"/>
  <c r="A94" i="3"/>
  <c r="I93" i="3"/>
  <c r="H93" i="3"/>
  <c r="G93" i="3"/>
  <c r="F93" i="3"/>
  <c r="E93" i="3"/>
  <c r="D93" i="3"/>
  <c r="C93" i="3"/>
  <c r="B93" i="3"/>
  <c r="A93" i="3"/>
  <c r="I92" i="3"/>
  <c r="H92" i="3"/>
  <c r="G92" i="3"/>
  <c r="F92" i="3"/>
  <c r="E92" i="3"/>
  <c r="D92" i="3"/>
  <c r="C92" i="3"/>
  <c r="B92" i="3"/>
  <c r="A92" i="3"/>
  <c r="I91" i="3"/>
  <c r="H91" i="3"/>
  <c r="G91" i="3"/>
  <c r="F91" i="3"/>
  <c r="E91" i="3"/>
  <c r="D91" i="3"/>
  <c r="C91" i="3"/>
  <c r="B91" i="3"/>
  <c r="A91" i="3"/>
  <c r="I90" i="3"/>
  <c r="H90" i="3"/>
  <c r="G90" i="3"/>
  <c r="F90" i="3"/>
  <c r="E90" i="3"/>
  <c r="D90" i="3"/>
  <c r="C90" i="3"/>
  <c r="B90" i="3"/>
  <c r="A90" i="3"/>
  <c r="I89" i="3"/>
  <c r="H89" i="3"/>
  <c r="G89" i="3"/>
  <c r="F89" i="3"/>
  <c r="E89" i="3"/>
  <c r="D89" i="3"/>
  <c r="C89" i="3"/>
  <c r="B89" i="3"/>
  <c r="A89" i="3"/>
  <c r="I88" i="3"/>
  <c r="H88" i="3"/>
  <c r="G88" i="3"/>
  <c r="F88" i="3"/>
  <c r="E88" i="3"/>
  <c r="D88" i="3"/>
  <c r="C88" i="3"/>
  <c r="B88" i="3"/>
  <c r="A88" i="3"/>
  <c r="I87" i="3"/>
  <c r="H87" i="3"/>
  <c r="G87" i="3"/>
  <c r="F87" i="3"/>
  <c r="E87" i="3"/>
  <c r="D87" i="3"/>
  <c r="C87" i="3"/>
  <c r="B87" i="3"/>
  <c r="A87" i="3"/>
  <c r="I86" i="3"/>
  <c r="H86" i="3"/>
  <c r="G86" i="3"/>
  <c r="F86" i="3"/>
  <c r="E86" i="3"/>
  <c r="D86" i="3"/>
  <c r="C86" i="3"/>
  <c r="B86" i="3"/>
  <c r="A86" i="3"/>
  <c r="I85" i="3"/>
  <c r="H85" i="3"/>
  <c r="G85" i="3"/>
  <c r="F85" i="3"/>
  <c r="E85" i="3"/>
  <c r="D85" i="3"/>
  <c r="C85" i="3"/>
  <c r="B85" i="3"/>
  <c r="A85" i="3"/>
  <c r="I84" i="3"/>
  <c r="H84" i="3"/>
  <c r="G84" i="3"/>
  <c r="F84" i="3"/>
  <c r="E84" i="3"/>
  <c r="D84" i="3"/>
  <c r="C84" i="3"/>
  <c r="B84" i="3"/>
  <c r="A84" i="3"/>
  <c r="I83" i="3"/>
  <c r="H83" i="3"/>
  <c r="G83" i="3"/>
  <c r="F83" i="3"/>
  <c r="E83" i="3"/>
  <c r="D83" i="3"/>
  <c r="C83" i="3"/>
  <c r="B83" i="3"/>
  <c r="A83" i="3"/>
  <c r="I82" i="3"/>
  <c r="H82" i="3"/>
  <c r="G82" i="3"/>
  <c r="F82" i="3"/>
  <c r="E82" i="3"/>
  <c r="D82" i="3"/>
  <c r="C82" i="3"/>
  <c r="B82" i="3"/>
  <c r="A82" i="3"/>
  <c r="I81" i="3"/>
  <c r="H81" i="3"/>
  <c r="G81" i="3"/>
  <c r="F81" i="3"/>
  <c r="E81" i="3"/>
  <c r="D81" i="3"/>
  <c r="C81" i="3"/>
  <c r="B81" i="3"/>
  <c r="A81" i="3"/>
  <c r="I80" i="3"/>
  <c r="H80" i="3"/>
  <c r="G80" i="3"/>
  <c r="F80" i="3"/>
  <c r="E80" i="3"/>
  <c r="D80" i="3"/>
  <c r="C80" i="3"/>
  <c r="B80" i="3"/>
  <c r="A80" i="3"/>
  <c r="I79" i="3"/>
  <c r="H79" i="3"/>
  <c r="G79" i="3"/>
  <c r="F79" i="3"/>
  <c r="E79" i="3"/>
  <c r="D79" i="3"/>
  <c r="C79" i="3"/>
  <c r="B79" i="3"/>
  <c r="A79" i="3"/>
  <c r="I78" i="3"/>
  <c r="H78" i="3"/>
  <c r="G78" i="3"/>
  <c r="F78" i="3"/>
  <c r="E78" i="3"/>
  <c r="D78" i="3"/>
  <c r="C78" i="3"/>
  <c r="B78" i="3"/>
  <c r="A78" i="3"/>
  <c r="I77" i="3"/>
  <c r="H77" i="3"/>
  <c r="G77" i="3"/>
  <c r="F77" i="3"/>
  <c r="E77" i="3"/>
  <c r="D77" i="3"/>
  <c r="C77" i="3"/>
  <c r="B77" i="3"/>
  <c r="A77" i="3"/>
  <c r="I76" i="3"/>
  <c r="H76" i="3"/>
  <c r="G76" i="3"/>
  <c r="F76" i="3"/>
  <c r="E76" i="3"/>
  <c r="D76" i="3"/>
  <c r="C76" i="3"/>
  <c r="B76" i="3"/>
  <c r="A76" i="3"/>
  <c r="I75" i="3"/>
  <c r="H75" i="3"/>
  <c r="G75" i="3"/>
  <c r="F75" i="3"/>
  <c r="E75" i="3"/>
  <c r="D75" i="3"/>
  <c r="C75" i="3"/>
  <c r="B75" i="3"/>
  <c r="A75" i="3"/>
  <c r="I74" i="3"/>
  <c r="H74" i="3"/>
  <c r="G74" i="3"/>
  <c r="F74" i="3"/>
  <c r="E74" i="3"/>
  <c r="D74" i="3"/>
  <c r="C74" i="3"/>
  <c r="B74" i="3"/>
  <c r="A74" i="3"/>
  <c r="I73" i="3"/>
  <c r="H73" i="3"/>
  <c r="G73" i="3"/>
  <c r="F73" i="3"/>
  <c r="E73" i="3"/>
  <c r="D73" i="3"/>
  <c r="C73" i="3"/>
  <c r="B73" i="3"/>
  <c r="A73" i="3"/>
  <c r="I72" i="3"/>
  <c r="H72" i="3"/>
  <c r="G72" i="3"/>
  <c r="F72" i="3"/>
  <c r="E72" i="3"/>
  <c r="D72" i="3"/>
  <c r="C72" i="3"/>
  <c r="B72" i="3"/>
  <c r="A72" i="3"/>
  <c r="I71" i="3"/>
  <c r="H71" i="3"/>
  <c r="G71" i="3"/>
  <c r="F71" i="3"/>
  <c r="E71" i="3"/>
  <c r="D71" i="3"/>
  <c r="C71" i="3"/>
  <c r="B71" i="3"/>
  <c r="A71" i="3"/>
  <c r="I70" i="3"/>
  <c r="H70" i="3"/>
  <c r="G70" i="3"/>
  <c r="F70" i="3"/>
  <c r="E70" i="3"/>
  <c r="D70" i="3"/>
  <c r="C70" i="3"/>
  <c r="B70" i="3"/>
  <c r="A70" i="3"/>
  <c r="I69" i="3"/>
  <c r="H69" i="3"/>
  <c r="G69" i="3"/>
  <c r="F69" i="3"/>
  <c r="E69" i="3"/>
  <c r="D69" i="3"/>
  <c r="C69" i="3"/>
  <c r="B69" i="3"/>
  <c r="A69" i="3"/>
  <c r="I68" i="3"/>
  <c r="H68" i="3"/>
  <c r="G68" i="3"/>
  <c r="F68" i="3"/>
  <c r="E68" i="3"/>
  <c r="D68" i="3"/>
  <c r="C68" i="3"/>
  <c r="B68" i="3"/>
  <c r="A68" i="3"/>
  <c r="I67" i="3"/>
  <c r="H67" i="3"/>
  <c r="G67" i="3"/>
  <c r="F67" i="3"/>
  <c r="E67" i="3"/>
  <c r="D67" i="3"/>
  <c r="C67" i="3"/>
  <c r="B67" i="3"/>
  <c r="A67" i="3"/>
  <c r="I66" i="3"/>
  <c r="H66" i="3"/>
  <c r="G66" i="3"/>
  <c r="F66" i="3"/>
  <c r="E66" i="3"/>
  <c r="D66" i="3"/>
  <c r="C66" i="3"/>
  <c r="B66" i="3"/>
  <c r="A66" i="3"/>
  <c r="I65" i="3"/>
  <c r="H65" i="3"/>
  <c r="G65" i="3"/>
  <c r="F65" i="3"/>
  <c r="E65" i="3"/>
  <c r="D65" i="3"/>
  <c r="C65" i="3"/>
  <c r="B65" i="3"/>
  <c r="A65" i="3"/>
  <c r="I64" i="3"/>
  <c r="H64" i="3"/>
  <c r="G64" i="3"/>
  <c r="F64" i="3"/>
  <c r="E64" i="3"/>
  <c r="D64" i="3"/>
  <c r="C64" i="3"/>
  <c r="B64" i="3"/>
  <c r="A64" i="3"/>
  <c r="I63" i="3"/>
  <c r="H63" i="3"/>
  <c r="G63" i="3"/>
  <c r="F63" i="3"/>
  <c r="E63" i="3"/>
  <c r="D63" i="3"/>
  <c r="C63" i="3"/>
  <c r="B63" i="3"/>
  <c r="A63" i="3"/>
  <c r="I62" i="3"/>
  <c r="H62" i="3"/>
  <c r="G62" i="3"/>
  <c r="F62" i="3"/>
  <c r="E62" i="3"/>
  <c r="D62" i="3"/>
  <c r="C62" i="3"/>
  <c r="B62" i="3"/>
  <c r="A62" i="3"/>
  <c r="I61" i="3"/>
  <c r="H61" i="3"/>
  <c r="G61" i="3"/>
  <c r="F61" i="3"/>
  <c r="E61" i="3"/>
  <c r="D61" i="3"/>
  <c r="C61" i="3"/>
  <c r="B61" i="3"/>
  <c r="A61" i="3"/>
  <c r="I60" i="3"/>
  <c r="H60" i="3"/>
  <c r="G60" i="3"/>
  <c r="F60" i="3"/>
  <c r="E60" i="3"/>
  <c r="D60" i="3"/>
  <c r="C60" i="3"/>
  <c r="B60" i="3"/>
  <c r="A60" i="3"/>
  <c r="I59" i="3"/>
  <c r="H59" i="3"/>
  <c r="G59" i="3"/>
  <c r="F59" i="3"/>
  <c r="E59" i="3"/>
  <c r="D59" i="3"/>
  <c r="C59" i="3"/>
  <c r="B59" i="3"/>
  <c r="A59" i="3"/>
  <c r="I58" i="3"/>
  <c r="H58" i="3"/>
  <c r="G58" i="3"/>
  <c r="F58" i="3"/>
  <c r="E58" i="3"/>
  <c r="D58" i="3"/>
  <c r="C58" i="3"/>
  <c r="B58" i="3"/>
  <c r="A58" i="3"/>
  <c r="I57" i="3"/>
  <c r="H57" i="3"/>
  <c r="G57" i="3"/>
  <c r="F57" i="3"/>
  <c r="E57" i="3"/>
  <c r="D57" i="3"/>
  <c r="C57" i="3"/>
  <c r="B57" i="3"/>
  <c r="A57" i="3"/>
  <c r="I56" i="3"/>
  <c r="H56" i="3"/>
  <c r="G56" i="3"/>
  <c r="F56" i="3"/>
  <c r="E56" i="3"/>
  <c r="D56" i="3"/>
  <c r="C56" i="3"/>
  <c r="B56" i="3"/>
  <c r="A56" i="3"/>
  <c r="I55" i="3"/>
  <c r="H55" i="3"/>
  <c r="G55" i="3"/>
  <c r="F55" i="3"/>
  <c r="E55" i="3"/>
  <c r="D55" i="3"/>
  <c r="C55" i="3"/>
  <c r="B55" i="3"/>
  <c r="A55" i="3"/>
  <c r="I54" i="3"/>
  <c r="H54" i="3"/>
  <c r="G54" i="3"/>
  <c r="F54" i="3"/>
  <c r="E54" i="3"/>
  <c r="D54" i="3"/>
  <c r="C54" i="3"/>
  <c r="B54" i="3"/>
  <c r="A54" i="3"/>
  <c r="I53" i="3"/>
  <c r="H53" i="3"/>
  <c r="G53" i="3"/>
  <c r="F53" i="3"/>
  <c r="E53" i="3"/>
  <c r="D53" i="3"/>
  <c r="C53" i="3"/>
  <c r="B53" i="3"/>
  <c r="A53" i="3"/>
  <c r="I52" i="3"/>
  <c r="H52" i="3"/>
  <c r="G52" i="3"/>
  <c r="F52" i="3"/>
  <c r="E52" i="3"/>
  <c r="D52" i="3"/>
  <c r="C52" i="3"/>
  <c r="B52" i="3"/>
  <c r="A52" i="3"/>
  <c r="I51" i="3"/>
  <c r="H51" i="3"/>
  <c r="G51" i="3"/>
  <c r="F51" i="3"/>
  <c r="E51" i="3"/>
  <c r="D51" i="3"/>
  <c r="C51" i="3"/>
  <c r="B51" i="3"/>
  <c r="A51" i="3"/>
  <c r="I50" i="3"/>
  <c r="H50" i="3"/>
  <c r="G50" i="3"/>
  <c r="F50" i="3"/>
  <c r="E50" i="3"/>
  <c r="D50" i="3"/>
  <c r="C50" i="3"/>
  <c r="B50" i="3"/>
  <c r="A50" i="3"/>
  <c r="I49" i="3"/>
  <c r="H49" i="3"/>
  <c r="G49" i="3"/>
  <c r="F49" i="3"/>
  <c r="E49" i="3"/>
  <c r="D49" i="3"/>
  <c r="C49" i="3"/>
  <c r="B49" i="3"/>
  <c r="A49" i="3"/>
  <c r="I48" i="3"/>
  <c r="H48" i="3"/>
  <c r="G48" i="3"/>
  <c r="F48" i="3"/>
  <c r="E48" i="3"/>
  <c r="D48" i="3"/>
  <c r="C48" i="3"/>
  <c r="B48" i="3"/>
  <c r="A48" i="3"/>
  <c r="I47" i="3"/>
  <c r="H47" i="3"/>
  <c r="G47" i="3"/>
  <c r="F47" i="3"/>
  <c r="E47" i="3"/>
  <c r="D47" i="3"/>
  <c r="C47" i="3"/>
  <c r="B47" i="3"/>
  <c r="A47" i="3"/>
  <c r="I46" i="3"/>
  <c r="H46" i="3"/>
  <c r="G46" i="3"/>
  <c r="F46" i="3"/>
  <c r="E46" i="3"/>
  <c r="D46" i="3"/>
  <c r="C46" i="3"/>
  <c r="B46" i="3"/>
  <c r="A46" i="3"/>
  <c r="I45" i="3"/>
  <c r="H45" i="3"/>
  <c r="G45" i="3"/>
  <c r="F45" i="3"/>
  <c r="E45" i="3"/>
  <c r="D45" i="3"/>
  <c r="C45" i="3"/>
  <c r="B45" i="3"/>
  <c r="A45" i="3"/>
  <c r="I44" i="3"/>
  <c r="H44" i="3"/>
  <c r="G44" i="3"/>
  <c r="F44" i="3"/>
  <c r="E44" i="3"/>
  <c r="D44" i="3"/>
  <c r="C44" i="3"/>
  <c r="B44" i="3"/>
  <c r="A44" i="3"/>
  <c r="I43" i="3"/>
  <c r="H43" i="3"/>
  <c r="G43" i="3"/>
  <c r="F43" i="3"/>
  <c r="E43" i="3"/>
  <c r="D43" i="3"/>
  <c r="C43" i="3"/>
  <c r="B43" i="3"/>
  <c r="A43" i="3"/>
  <c r="I42" i="3"/>
  <c r="H42" i="3"/>
  <c r="G42" i="3"/>
  <c r="F42" i="3"/>
  <c r="E42" i="3"/>
  <c r="D42" i="3"/>
  <c r="C42" i="3"/>
  <c r="B42" i="3"/>
  <c r="A42" i="3"/>
  <c r="I41" i="3"/>
  <c r="H41" i="3"/>
  <c r="G41" i="3"/>
  <c r="F41" i="3"/>
  <c r="E41" i="3"/>
  <c r="D41" i="3"/>
  <c r="C41" i="3"/>
  <c r="B41" i="3"/>
  <c r="A41" i="3"/>
  <c r="I40" i="3"/>
  <c r="H40" i="3"/>
  <c r="G40" i="3"/>
  <c r="F40" i="3"/>
  <c r="E40" i="3"/>
  <c r="D40" i="3"/>
  <c r="C40" i="3"/>
  <c r="B40" i="3"/>
  <c r="A40" i="3"/>
  <c r="I39" i="3"/>
  <c r="H39" i="3"/>
  <c r="G39" i="3"/>
  <c r="F39" i="3"/>
  <c r="E39" i="3"/>
  <c r="D39" i="3"/>
  <c r="C39" i="3"/>
  <c r="B39" i="3"/>
  <c r="A39" i="3"/>
  <c r="I38" i="3"/>
  <c r="H38" i="3"/>
  <c r="G38" i="3"/>
  <c r="F38" i="3"/>
  <c r="E38" i="3"/>
  <c r="D38" i="3"/>
  <c r="C38" i="3"/>
  <c r="B38" i="3"/>
  <c r="A38" i="3"/>
  <c r="I37" i="3"/>
  <c r="H37" i="3"/>
  <c r="G37" i="3"/>
  <c r="F37" i="3"/>
  <c r="E37" i="3"/>
  <c r="D37" i="3"/>
  <c r="C37" i="3"/>
  <c r="B37" i="3"/>
  <c r="A37" i="3"/>
  <c r="I36" i="3"/>
  <c r="H36" i="3"/>
  <c r="G36" i="3"/>
  <c r="F36" i="3"/>
  <c r="E36" i="3"/>
  <c r="D36" i="3"/>
  <c r="C36" i="3"/>
  <c r="B36" i="3"/>
  <c r="A36" i="3"/>
  <c r="I35" i="3"/>
  <c r="H35" i="3"/>
  <c r="G35" i="3"/>
  <c r="F35" i="3"/>
  <c r="E35" i="3"/>
  <c r="D35" i="3"/>
  <c r="C35" i="3"/>
  <c r="B35" i="3"/>
  <c r="A35" i="3"/>
  <c r="I34" i="3"/>
  <c r="H34" i="3"/>
  <c r="G34" i="3"/>
  <c r="F34" i="3"/>
  <c r="E34" i="3"/>
  <c r="D34" i="3"/>
  <c r="C34" i="3"/>
  <c r="B34" i="3"/>
  <c r="A34" i="3"/>
  <c r="I33" i="3"/>
  <c r="H33" i="3"/>
  <c r="G33" i="3"/>
  <c r="F33" i="3"/>
  <c r="E33" i="3"/>
  <c r="D33" i="3"/>
  <c r="C33" i="3"/>
  <c r="B33" i="3"/>
  <c r="A33" i="3"/>
  <c r="I32" i="3"/>
  <c r="H32" i="3"/>
  <c r="G32" i="3"/>
  <c r="F32" i="3"/>
  <c r="E32" i="3"/>
  <c r="D32" i="3"/>
  <c r="C32" i="3"/>
  <c r="B32" i="3"/>
  <c r="A32" i="3"/>
  <c r="I31" i="3"/>
  <c r="H31" i="3"/>
  <c r="G31" i="3"/>
  <c r="F31" i="3"/>
  <c r="E31" i="3"/>
  <c r="D31" i="3"/>
  <c r="C31" i="3"/>
  <c r="B31" i="3"/>
  <c r="A31" i="3"/>
  <c r="I30" i="3"/>
  <c r="H30" i="3"/>
  <c r="G30" i="3"/>
  <c r="F30" i="3"/>
  <c r="E30" i="3"/>
  <c r="D30" i="3"/>
  <c r="C30" i="3"/>
  <c r="B30" i="3"/>
  <c r="A30" i="3"/>
  <c r="I29" i="3"/>
  <c r="H29" i="3"/>
  <c r="G29" i="3"/>
  <c r="F29" i="3"/>
  <c r="E29" i="3"/>
  <c r="D29" i="3"/>
  <c r="C29" i="3"/>
  <c r="B29" i="3"/>
  <c r="A29" i="3"/>
  <c r="I28" i="3"/>
  <c r="H28" i="3"/>
  <c r="G28" i="3"/>
  <c r="F28" i="3"/>
  <c r="E28" i="3"/>
  <c r="D28" i="3"/>
  <c r="C28" i="3"/>
  <c r="B28" i="3"/>
  <c r="A28" i="3"/>
  <c r="I27" i="3"/>
  <c r="H27" i="3"/>
  <c r="G27" i="3"/>
  <c r="F27" i="3"/>
  <c r="E27" i="3"/>
  <c r="D27" i="3"/>
  <c r="C27" i="3"/>
  <c r="B27" i="3"/>
  <c r="A27" i="3"/>
  <c r="I26" i="3"/>
  <c r="H26" i="3"/>
  <c r="G26" i="3"/>
  <c r="F26" i="3"/>
  <c r="E26" i="3"/>
  <c r="D26" i="3"/>
  <c r="C26" i="3"/>
  <c r="B26" i="3"/>
  <c r="A26" i="3"/>
  <c r="I25" i="3"/>
  <c r="H25" i="3"/>
  <c r="G25" i="3"/>
  <c r="F25" i="3"/>
  <c r="E25" i="3"/>
  <c r="D25" i="3"/>
  <c r="C25" i="3"/>
  <c r="B25" i="3"/>
  <c r="A25" i="3"/>
  <c r="I24" i="3"/>
  <c r="H24" i="3"/>
  <c r="G24" i="3"/>
  <c r="F24" i="3"/>
  <c r="E24" i="3"/>
  <c r="D24" i="3"/>
  <c r="C24" i="3"/>
  <c r="B24" i="3"/>
  <c r="A24" i="3"/>
  <c r="I23" i="3"/>
  <c r="H23" i="3"/>
  <c r="G23" i="3"/>
  <c r="F23" i="3"/>
  <c r="E23" i="3"/>
  <c r="D23" i="3"/>
  <c r="C23" i="3"/>
  <c r="B23" i="3"/>
  <c r="A23" i="3"/>
  <c r="I22" i="3"/>
  <c r="H22" i="3"/>
  <c r="G22" i="3"/>
  <c r="F22" i="3"/>
  <c r="E22" i="3"/>
  <c r="D22" i="3"/>
  <c r="C22" i="3"/>
  <c r="B22" i="3"/>
  <c r="A22" i="3"/>
  <c r="I21" i="3"/>
  <c r="H21" i="3"/>
  <c r="G21" i="3"/>
  <c r="F21" i="3"/>
  <c r="E21" i="3"/>
  <c r="D21" i="3"/>
  <c r="C21" i="3"/>
  <c r="B21" i="3"/>
  <c r="A21" i="3"/>
  <c r="I20" i="3"/>
  <c r="H20" i="3"/>
  <c r="G20" i="3"/>
  <c r="F20" i="3"/>
  <c r="E20" i="3"/>
  <c r="D20" i="3"/>
  <c r="C20" i="3"/>
  <c r="B20" i="3"/>
  <c r="A20" i="3"/>
  <c r="I19" i="3"/>
  <c r="H19" i="3"/>
  <c r="G19" i="3"/>
  <c r="F19" i="3"/>
  <c r="E19" i="3"/>
  <c r="D19" i="3"/>
  <c r="C19" i="3"/>
  <c r="B19" i="3"/>
  <c r="A19" i="3"/>
  <c r="I18" i="3"/>
  <c r="H18" i="3"/>
  <c r="G18" i="3"/>
  <c r="F18" i="3"/>
  <c r="E18" i="3"/>
  <c r="D18" i="3"/>
  <c r="C18" i="3"/>
  <c r="B18" i="3"/>
  <c r="A18" i="3"/>
  <c r="I17" i="3"/>
  <c r="H17" i="3"/>
  <c r="G17" i="3"/>
  <c r="F17" i="3"/>
  <c r="E17" i="3"/>
  <c r="D17" i="3"/>
  <c r="C17" i="3"/>
  <c r="B17" i="3"/>
  <c r="A17" i="3"/>
  <c r="I16" i="3"/>
  <c r="H16" i="3"/>
  <c r="G16" i="3"/>
  <c r="F16" i="3"/>
  <c r="E16" i="3"/>
  <c r="D16" i="3"/>
  <c r="C16" i="3"/>
  <c r="B16" i="3"/>
  <c r="A16" i="3"/>
  <c r="I15" i="3"/>
  <c r="H15" i="3"/>
  <c r="G15" i="3"/>
  <c r="F15" i="3"/>
  <c r="E15" i="3"/>
  <c r="D15" i="3"/>
  <c r="C15" i="3"/>
  <c r="B15" i="3"/>
  <c r="A15" i="3"/>
  <c r="I14" i="3"/>
  <c r="H14" i="3"/>
  <c r="G14" i="3"/>
  <c r="F14" i="3"/>
  <c r="E14" i="3"/>
  <c r="D14" i="3"/>
  <c r="C14" i="3"/>
  <c r="B14" i="3"/>
  <c r="A14" i="3"/>
  <c r="I13" i="3"/>
  <c r="H13" i="3"/>
  <c r="G13" i="3"/>
  <c r="F13" i="3"/>
  <c r="E13" i="3"/>
  <c r="D13" i="3"/>
  <c r="C13" i="3"/>
  <c r="B13" i="3"/>
  <c r="A13" i="3"/>
  <c r="I12" i="3"/>
  <c r="H12" i="3"/>
  <c r="G12" i="3"/>
  <c r="F12" i="3"/>
  <c r="E12" i="3"/>
  <c r="D12" i="3"/>
  <c r="C12" i="3"/>
  <c r="B12" i="3"/>
  <c r="A12" i="3"/>
  <c r="I11" i="3"/>
  <c r="H11" i="3"/>
  <c r="G11" i="3"/>
  <c r="F11" i="3"/>
  <c r="E11" i="3"/>
  <c r="D11" i="3"/>
  <c r="C11" i="3"/>
  <c r="B11" i="3"/>
  <c r="A11" i="3"/>
  <c r="I10" i="3"/>
  <c r="H10" i="3"/>
  <c r="G10" i="3"/>
  <c r="F10" i="3"/>
  <c r="E10" i="3"/>
  <c r="D10" i="3"/>
  <c r="C10" i="3"/>
  <c r="B10" i="3"/>
  <c r="A10" i="3"/>
  <c r="I9" i="3"/>
  <c r="H9" i="3"/>
  <c r="G9" i="3"/>
  <c r="F9" i="3"/>
  <c r="E9" i="3"/>
  <c r="D9" i="3"/>
  <c r="C9" i="3"/>
  <c r="B9" i="3"/>
  <c r="A9" i="3"/>
  <c r="I8" i="3"/>
  <c r="H8" i="3"/>
  <c r="G8" i="3"/>
  <c r="F8" i="3"/>
  <c r="E8" i="3"/>
  <c r="D8" i="3"/>
  <c r="C8" i="3"/>
  <c r="B8" i="3"/>
  <c r="A8" i="3"/>
  <c r="I7" i="3"/>
  <c r="H7" i="3"/>
  <c r="G7" i="3"/>
  <c r="F7" i="3"/>
  <c r="E7" i="3"/>
  <c r="D7" i="3"/>
  <c r="C7" i="3"/>
  <c r="B7" i="3"/>
  <c r="A7" i="3"/>
  <c r="I6" i="3"/>
  <c r="H6" i="3"/>
  <c r="G6" i="3"/>
  <c r="F6" i="3"/>
  <c r="E6" i="3"/>
  <c r="D6" i="3"/>
  <c r="C6" i="3"/>
  <c r="B6" i="3"/>
  <c r="A6" i="3"/>
  <c r="I5" i="3"/>
  <c r="H5" i="3"/>
  <c r="G5" i="3"/>
  <c r="F5" i="3"/>
  <c r="E5" i="3"/>
  <c r="D5" i="3"/>
  <c r="C5" i="3"/>
  <c r="B5" i="3"/>
  <c r="A5" i="3"/>
  <c r="I4" i="3"/>
  <c r="H4" i="3"/>
  <c r="G4" i="3"/>
  <c r="F4" i="3"/>
  <c r="E4" i="3"/>
  <c r="D4" i="3"/>
  <c r="C4" i="3"/>
  <c r="B4" i="3"/>
  <c r="A4" i="3"/>
  <c r="I3" i="3"/>
  <c r="H3" i="3"/>
  <c r="G3" i="3"/>
  <c r="F3" i="3"/>
  <c r="E3" i="3"/>
  <c r="D3" i="3"/>
  <c r="C3" i="3"/>
  <c r="B3" i="3"/>
  <c r="A3" i="3"/>
  <c r="I2" i="3"/>
  <c r="H2" i="3"/>
  <c r="G2" i="3"/>
  <c r="F2" i="3"/>
  <c r="E2" i="3"/>
  <c r="D2" i="3"/>
  <c r="C2" i="3"/>
  <c r="B2" i="3"/>
  <c r="A2" i="3"/>
</calcChain>
</file>

<file path=xl/sharedStrings.xml><?xml version="1.0" encoding="utf-8"?>
<sst xmlns="http://schemas.openxmlformats.org/spreadsheetml/2006/main" count="940" uniqueCount="930">
  <si>
    <t>Supporter ID</t>
  </si>
  <si>
    <t>Supporter Email</t>
  </si>
  <si>
    <t>Campaign ID</t>
  </si>
  <si>
    <t>Campaign Date</t>
  </si>
  <si>
    <t>Country</t>
  </si>
  <si>
    <t>Death Penalty</t>
  </si>
  <si>
    <t>Human Rights Defenders</t>
  </si>
  <si>
    <t>Climate Justice</t>
  </si>
  <si>
    <t>lisafrucci@att.net</t>
  </si>
  <si>
    <t>EVERGREEN - UAN Gated Content - Embedded Petition</t>
  </si>
  <si>
    <t>nsosnove@nexusmarine.com</t>
  </si>
  <si>
    <t>lettiecatalfamo@gmail.com</t>
  </si>
  <si>
    <t>EVERGREEN - Website Email Capture Form - UAN Pre-Footer</t>
  </si>
  <si>
    <t>mssenn29@gmail.com</t>
  </si>
  <si>
    <t>patrizialopreno@bluewin.ch</t>
  </si>
  <si>
    <t>s_innes99@hotmail.com</t>
  </si>
  <si>
    <t>bongoboycd@sbcglobal.net</t>
  </si>
  <si>
    <t>davidbmitchell42@hotmail.com</t>
  </si>
  <si>
    <t>vickilkerr@gmail.com</t>
  </si>
  <si>
    <t>kpettitdc@yahoo.com</t>
  </si>
  <si>
    <t>tompyrek@hotmail.com</t>
  </si>
  <si>
    <t>alessandra@alessandracolfi.com</t>
  </si>
  <si>
    <t>marnah@mindspring.com</t>
  </si>
  <si>
    <t>almower@earthlink.net</t>
  </si>
  <si>
    <t>meliflaw@gmail.com</t>
  </si>
  <si>
    <t>llynchhome@gmail.com</t>
  </si>
  <si>
    <t>UAN mid-page Lightbox - Step 1 of 4 - Landing Page</t>
  </si>
  <si>
    <t>UAN mid-page Lightbox - Step 2 of 4 - More personal info fields</t>
  </si>
  <si>
    <t>UAN mid-page Lightbox - Step 3 of 4 - More opt-ins</t>
  </si>
  <si>
    <t>lizharrow@gmail.com</t>
  </si>
  <si>
    <t>cliqueofone@mac.com</t>
  </si>
  <si>
    <t>susan_huebert@yahoo.ca</t>
  </si>
  <si>
    <t>tena.hoke@gmail.com</t>
  </si>
  <si>
    <t>zorgon@frontiernet.net</t>
  </si>
  <si>
    <t>beirutmoores@gmail.com</t>
  </si>
  <si>
    <t>orion4643@hotmail.com</t>
  </si>
  <si>
    <t>krsnan11@yahoo.com</t>
  </si>
  <si>
    <t>den14smi@hotmail.com</t>
  </si>
  <si>
    <t>garagekey1947@yahoo.com</t>
  </si>
  <si>
    <t>nhenry72@gmail.com</t>
  </si>
  <si>
    <t>elisacovar@gmail.com</t>
  </si>
  <si>
    <t>kilianailik@gmail.com</t>
  </si>
  <si>
    <t>judibabcock@gmail.com</t>
  </si>
  <si>
    <t>cathy.nieman@gmail.com</t>
  </si>
  <si>
    <t>tjfitzgibbons@gmail.com</t>
  </si>
  <si>
    <t>rjbalzer.1@gmail.com</t>
  </si>
  <si>
    <t>sessions21@hotmail.com</t>
  </si>
  <si>
    <t>susanforste@gmail.com</t>
  </si>
  <si>
    <t>lwestkeyes@gmail.com</t>
  </si>
  <si>
    <t>joheb@aol.com</t>
  </si>
  <si>
    <t>marsha.brofkaberends@gmail.com</t>
  </si>
  <si>
    <t>stoneguard@sprynet.com</t>
  </si>
  <si>
    <t>magic@ecentral.com</t>
  </si>
  <si>
    <t>azadta@gmail.com</t>
  </si>
  <si>
    <t>csicher@msn.com</t>
  </si>
  <si>
    <t>priscillad@roadrunner.com</t>
  </si>
  <si>
    <t>sdawnpwood@yahoo.co.uk</t>
  </si>
  <si>
    <t>paulmarsh@comcast.net</t>
  </si>
  <si>
    <t>aiusa@aol.com</t>
  </si>
  <si>
    <t>angus@well.com</t>
  </si>
  <si>
    <t>clementi33@aol.com</t>
  </si>
  <si>
    <t>msand@isunet.net</t>
  </si>
  <si>
    <t>cgabriel@aiusa.org</t>
  </si>
  <si>
    <t>dowling_mike_j@yahoo.com</t>
  </si>
  <si>
    <t>caryn@lmi.net</t>
  </si>
  <si>
    <t>jmihevc@barrington220.org</t>
  </si>
  <si>
    <t>jgintzler@hotmail.com</t>
  </si>
  <si>
    <t>elfyalfreda803@gmail.com</t>
  </si>
  <si>
    <t>cadzubak@gmail.com</t>
  </si>
  <si>
    <t>ursulacohrs@gmail.com</t>
  </si>
  <si>
    <t>ffranck1@yahoo.com</t>
  </si>
  <si>
    <t>leahdgoldman@gmail.com</t>
  </si>
  <si>
    <t>socjusticeadvocate@verizon.net</t>
  </si>
  <si>
    <t>adbowesdmd@gmail.com</t>
  </si>
  <si>
    <t>earthangel@riousa.com</t>
  </si>
  <si>
    <t>tom_g_zeller@yahoo.com</t>
  </si>
  <si>
    <t>maryrich@isunet.net</t>
  </si>
  <si>
    <t>dankoz29@gmail.com</t>
  </si>
  <si>
    <t>ajanahadley@gmail.com</t>
  </si>
  <si>
    <t>g.holly.cq@gmail.com</t>
  </si>
  <si>
    <t>jessica629@hotmail.com</t>
  </si>
  <si>
    <t>matt@aps.org</t>
  </si>
  <si>
    <t>eeebbb@aol.com</t>
  </si>
  <si>
    <t>evil.sausage@gmail.com</t>
  </si>
  <si>
    <t>kuehlcarrie@gmail.com</t>
  </si>
  <si>
    <t>12newmoons@gmail.com</t>
  </si>
  <si>
    <t>robadams@compuserve.com</t>
  </si>
  <si>
    <t>cantormikezoos@gmail.com</t>
  </si>
  <si>
    <t>renee.lewis@outlook.com</t>
  </si>
  <si>
    <t>burgerlw@tds.net</t>
  </si>
  <si>
    <t>slongene@bridgewater.edu</t>
  </si>
  <si>
    <t>tung@kzoo.edu</t>
  </si>
  <si>
    <t>uchiyama@earthlink.net</t>
  </si>
  <si>
    <t>gino.morelli@gmail.com</t>
  </si>
  <si>
    <t>barbnjoe@sbcglobal.net</t>
  </si>
  <si>
    <t>shodo.spring@gmail.com</t>
  </si>
  <si>
    <t>sharareh.hashemy@gmail.com</t>
  </si>
  <si>
    <t>lauran68@gmail.com</t>
  </si>
  <si>
    <t>tvbasr@gmail.com</t>
  </si>
  <si>
    <t>egbakersmith@gmail.com</t>
  </si>
  <si>
    <t>lvschlumberger@gmail.com</t>
  </si>
  <si>
    <t>sarawolsey@yahoo.com</t>
  </si>
  <si>
    <t>pjl2094@gmail.com</t>
  </si>
  <si>
    <t>iwanttorun@gmail.com</t>
  </si>
  <si>
    <t>hardyzachary18@yahoo.com</t>
  </si>
  <si>
    <t>emjathome@yahoo.com</t>
  </si>
  <si>
    <t>astillness@yahoo.com</t>
  </si>
  <si>
    <t>brettbos@yahoo.com</t>
  </si>
  <si>
    <t>kdavos249@gmail.com</t>
  </si>
  <si>
    <t>sybil.sch@gmail.com</t>
  </si>
  <si>
    <t>peggy.lamb@sbcglobal.net</t>
  </si>
  <si>
    <t>rdwright67@gmail.com</t>
  </si>
  <si>
    <t>cmille640@gmail.com</t>
  </si>
  <si>
    <t>autumnrainbow@gmail.com</t>
  </si>
  <si>
    <t>chrisd285@gmail.com</t>
  </si>
  <si>
    <t>paul@themailpath.com</t>
  </si>
  <si>
    <t>lmehler444@gmail.com</t>
  </si>
  <si>
    <t>pplellis@yahoo.com</t>
  </si>
  <si>
    <t>prb@umn.edu</t>
  </si>
  <si>
    <t>mikerain@earthlink.net</t>
  </si>
  <si>
    <t>yvonne.kravitz@gmail.com</t>
  </si>
  <si>
    <t>claudiawornum@comcast.net</t>
  </si>
  <si>
    <t>bentehoegsberg@gmail.com</t>
  </si>
  <si>
    <t>lapollast@egcsd.org</t>
  </si>
  <si>
    <t>meb4116@gmail.com</t>
  </si>
  <si>
    <t>smeltbrooke@yahoo.com</t>
  </si>
  <si>
    <t>piersonjim@gmail.com</t>
  </si>
  <si>
    <t>sec1350@yahoo.com</t>
  </si>
  <si>
    <t>blueinmo@hotmail.com</t>
  </si>
  <si>
    <t>deanka_grisham@hotmail.com</t>
  </si>
  <si>
    <t>sarahfaitken@hotmail.com</t>
  </si>
  <si>
    <t>maryanna@foskettco.com</t>
  </si>
  <si>
    <t>phyllisaca@comcast.net</t>
  </si>
  <si>
    <t>debby@the4dgroup.com</t>
  </si>
  <si>
    <t>zappa2004@earthlink.net</t>
  </si>
  <si>
    <t>tombennerlaw@yahoo.com</t>
  </si>
  <si>
    <t>pdx.videozine@gmail.com</t>
  </si>
  <si>
    <t>anna_ungaro@fitnyc.edu</t>
  </si>
  <si>
    <t>ilecun@gmail.com</t>
  </si>
  <si>
    <t>davesanford@comcast.net</t>
  </si>
  <si>
    <t>probyngregory@gmail.com</t>
  </si>
  <si>
    <t>debbieculter@yahoo.com</t>
  </si>
  <si>
    <t>lehayes@alumni.princeton.edu</t>
  </si>
  <si>
    <t>wilbur@wilbur.us</t>
  </si>
  <si>
    <t>derrick.redhead@gmail.com</t>
  </si>
  <si>
    <t>jfriesem@gmail.com</t>
  </si>
  <si>
    <t>david.strozzi@gmail.com</t>
  </si>
  <si>
    <t>krigone@gmail.com</t>
  </si>
  <si>
    <t>bwrdtk1973@gmail.com</t>
  </si>
  <si>
    <t>donshawcats@mac.com</t>
  </si>
  <si>
    <t>murdock_ls@hotmail.com</t>
  </si>
  <si>
    <t>scottysusan@gmail.com</t>
  </si>
  <si>
    <t>mississippijen@gmail.com</t>
  </si>
  <si>
    <t>ground@hvc.rr.com</t>
  </si>
  <si>
    <t>mv9508@sbcglobal.net</t>
  </si>
  <si>
    <t>chucktaylor111@msn.com</t>
  </si>
  <si>
    <t>amjad.kayyal@gmail.com</t>
  </si>
  <si>
    <t>danjesposito@yahoo.com</t>
  </si>
  <si>
    <t>j65d65@gmail.com</t>
  </si>
  <si>
    <t>glennn.zen@verizon.net</t>
  </si>
  <si>
    <t>givory@nmsu.edu</t>
  </si>
  <si>
    <t>linda.graham@beehivebotanicals.com</t>
  </si>
  <si>
    <t>sstaples27@yahoo.com</t>
  </si>
  <si>
    <t>sjfenster@gmail.com</t>
  </si>
  <si>
    <t>marvel.maddox@gmail.com</t>
  </si>
  <si>
    <t>willie.leight@gmail.com</t>
  </si>
  <si>
    <t>cherez66@aol.com</t>
  </si>
  <si>
    <t>ksgolden56@gmail.com</t>
  </si>
  <si>
    <t>dgendvil@gmail.com</t>
  </si>
  <si>
    <t>kevinofthelake@yahoo.com</t>
  </si>
  <si>
    <t>joel@abrams.net</t>
  </si>
  <si>
    <t>klwhit19@gmail.com</t>
  </si>
  <si>
    <t>rakedon1@yahoo.com</t>
  </si>
  <si>
    <t>rredfern@charter.net</t>
  </si>
  <si>
    <t>17jordan@cox.net</t>
  </si>
  <si>
    <t>brucemagnuson@yahoo.com</t>
  </si>
  <si>
    <t>kbwordsworth@gmail.com</t>
  </si>
  <si>
    <t>hwhite321@yahoo.com</t>
  </si>
  <si>
    <t>punkin5170@gmail.com</t>
  </si>
  <si>
    <t>charles_budd@hotmail.com</t>
  </si>
  <si>
    <t>dvayo@iwu.edu</t>
  </si>
  <si>
    <t>brenskelle@aol.com</t>
  </si>
  <si>
    <t>jmullin422@hotmail.com</t>
  </si>
  <si>
    <t>afadel97@gmail.com</t>
  </si>
  <si>
    <t>jimimack23@yahoo.com</t>
  </si>
  <si>
    <t>lesleylaing1@gmail.com</t>
  </si>
  <si>
    <t>msmcin2@gmail.com</t>
  </si>
  <si>
    <t>hummelc2@gmail.com</t>
  </si>
  <si>
    <t>azanella@kecksci.claremont.edu</t>
  </si>
  <si>
    <t>lisa@affentranger.ch</t>
  </si>
  <si>
    <t>mariabauluz@gmail.com</t>
  </si>
  <si>
    <t>smwaters@uw.edu</t>
  </si>
  <si>
    <t>cowman2424@gmail.com</t>
  </si>
  <si>
    <t>wvandekamp@att.net</t>
  </si>
  <si>
    <t>mtglu2000@yahoo.com</t>
  </si>
  <si>
    <t>denicetraina@gmail.com</t>
  </si>
  <si>
    <t>kzickterman@gmail.com</t>
  </si>
  <si>
    <t>dtaylor@plenus.ca</t>
  </si>
  <si>
    <t>dorothyjeanrich@gmail.com</t>
  </si>
  <si>
    <t>lara3d@hotmail.com</t>
  </si>
  <si>
    <t>juli3@aol.com</t>
  </si>
  <si>
    <t>lisa.boeschenstein@bluewin.ch</t>
  </si>
  <si>
    <t>oceanminded09@gmail.com</t>
  </si>
  <si>
    <t>airwormdad@yahoo.com</t>
  </si>
  <si>
    <t>fogcitypete@hotmail.com</t>
  </si>
  <si>
    <t>howardmead@comcast.net</t>
  </si>
  <si>
    <t>srkepner@comcast.net</t>
  </si>
  <si>
    <t>lakepoet@pacbell.net</t>
  </si>
  <si>
    <t>gavrilah@sbcglobal.net</t>
  </si>
  <si>
    <t>contactlindanelson@gmail.com</t>
  </si>
  <si>
    <t>hgoldstein55@gmail.com</t>
  </si>
  <si>
    <t>sandywag@gmail.com</t>
  </si>
  <si>
    <t>kagetsu26@yahoo.com</t>
  </si>
  <si>
    <t>jwelan@gmail.com</t>
  </si>
  <si>
    <t>tierrabodhi@gmail.com</t>
  </si>
  <si>
    <t>citizenkahn@gmail.com</t>
  </si>
  <si>
    <t>masheahan@aol.com</t>
  </si>
  <si>
    <t>specialkvh@verizon.net</t>
  </si>
  <si>
    <t>ewb2@cornell.edu</t>
  </si>
  <si>
    <t>ceciliaburns001@hotmail.com</t>
  </si>
  <si>
    <t>ksinks@hotmail.com</t>
  </si>
  <si>
    <t>shanzboilini@yahoo.com</t>
  </si>
  <si>
    <t>shyviola@gmail.com</t>
  </si>
  <si>
    <t>meleib48@gmail.com</t>
  </si>
  <si>
    <t>marabraverman@gmail.com</t>
  </si>
  <si>
    <t>jimmycarl@hotmail.com</t>
  </si>
  <si>
    <t>fpbelcast@gmail.com</t>
  </si>
  <si>
    <t>jconsiglio@rocketmail.com</t>
  </si>
  <si>
    <t>victoria.brogdon@yahoo.com</t>
  </si>
  <si>
    <t>landers1961@yahoo.com</t>
  </si>
  <si>
    <t>pavadai.sarah@gmail.com</t>
  </si>
  <si>
    <t>azamnrad@gmail.com</t>
  </si>
  <si>
    <t>jquatrine@gmail.com</t>
  </si>
  <si>
    <t>kathsfort@yahoo.com</t>
  </si>
  <si>
    <t>occbass@hotmail.com</t>
  </si>
  <si>
    <t>bibliofool1@verizon.net</t>
  </si>
  <si>
    <t>na.overgard@gmail.com</t>
  </si>
  <si>
    <t>mrs.sapience@gmail.com</t>
  </si>
  <si>
    <t>sslyman@verizon.net</t>
  </si>
  <si>
    <t>tomrepko@gmail.com</t>
  </si>
  <si>
    <t>jerry.mcintire@gmail.com</t>
  </si>
  <si>
    <t>pfairbank@yahoo.com</t>
  </si>
  <si>
    <t>colleenhcurtis@hotmail.com</t>
  </si>
  <si>
    <t>beralmu@gmail.com</t>
  </si>
  <si>
    <t>threeoutside@gmail.com</t>
  </si>
  <si>
    <t>dfwiest@comcast.net</t>
  </si>
  <si>
    <t>craigcollinsyoung@gmail.com</t>
  </si>
  <si>
    <t>mgrant9850@gmail.com</t>
  </si>
  <si>
    <t>beralmu@hotmail.com</t>
  </si>
  <si>
    <t>lsdarman@gmail.com</t>
  </si>
  <si>
    <t>gkgrunow@grunows.net</t>
  </si>
  <si>
    <t>allisonmidorireilly@gmail.com</t>
  </si>
  <si>
    <t>sauerbac@mchsi.com</t>
  </si>
  <si>
    <t>bdmcgee@gmail.com</t>
  </si>
  <si>
    <t>jdunn936@yahoo.com</t>
  </si>
  <si>
    <t>jimloveland52@yahoo.com</t>
  </si>
  <si>
    <t>amy.sellars@gmail.com</t>
  </si>
  <si>
    <t>sogilvie@msn.com</t>
  </si>
  <si>
    <t>mkenosha@aol.com</t>
  </si>
  <si>
    <t>mechannon@yahoo.com</t>
  </si>
  <si>
    <t>bosolds@lisco.com</t>
  </si>
  <si>
    <t>peaceman@purecode.com</t>
  </si>
  <si>
    <t>pwtate12@yahoo.com</t>
  </si>
  <si>
    <t>palmer.r.violin@gmail.com</t>
  </si>
  <si>
    <t>mary@lindleyg.com</t>
  </si>
  <si>
    <t>chrisriff@aol.com</t>
  </si>
  <si>
    <t>dgkphildon@verizon.net</t>
  </si>
  <si>
    <t>taniahharrison@gmail.com</t>
  </si>
  <si>
    <t>willjudymack@gmail.com</t>
  </si>
  <si>
    <t>patricia.p0907@att.net</t>
  </si>
  <si>
    <t>jo.margaret.murphy@gmail.com</t>
  </si>
  <si>
    <t>ebertranou@csbsju.edu</t>
  </si>
  <si>
    <t>snaimon@yahoo.com</t>
  </si>
  <si>
    <t>lolo2636@verizon.net</t>
  </si>
  <si>
    <t>julie.ann.southwell@gmail.com</t>
  </si>
  <si>
    <t>maruortiz324@yahoo.com</t>
  </si>
  <si>
    <t>maggyjv27@gmail.com</t>
  </si>
  <si>
    <t>nannickers@gmail.com</t>
  </si>
  <si>
    <t>vincentamari1@gmail.com</t>
  </si>
  <si>
    <t>jameslinda81@gmail.com</t>
  </si>
  <si>
    <t>304pms@gmail.com</t>
  </si>
  <si>
    <t>reginaie@uol.com.br</t>
  </si>
  <si>
    <t>aahuddleson@yahoo.com</t>
  </si>
  <si>
    <t>bentelcri@gmail.com</t>
  </si>
  <si>
    <t>lrossthedens@gmail.com</t>
  </si>
  <si>
    <t>barbquin@gmail.com</t>
  </si>
  <si>
    <t>walshkevink@yahoo.com</t>
  </si>
  <si>
    <t>pmbrown1944@gmail.com</t>
  </si>
  <si>
    <t>gravjm55@gmail.com</t>
  </si>
  <si>
    <t>jgould1526@gmail.com</t>
  </si>
  <si>
    <t>8tinaann@gmail.com</t>
  </si>
  <si>
    <t>khborges@icloud.com</t>
  </si>
  <si>
    <t>conbro.32578@gmail.com</t>
  </si>
  <si>
    <t>citizenmonkey@gmail.com</t>
  </si>
  <si>
    <t>billwesq@mail.com</t>
  </si>
  <si>
    <t>rayeharper34@gmail.com</t>
  </si>
  <si>
    <t>sargani@comcast.net</t>
  </si>
  <si>
    <t>stephanielarro@gmail.com</t>
  </si>
  <si>
    <t>emilyblank@gmail.com</t>
  </si>
  <si>
    <t>rod.weaver23@yahoo.com</t>
  </si>
  <si>
    <t>georgeshermanjr@gmail.com</t>
  </si>
  <si>
    <t>rhenighan@igc.org</t>
  </si>
  <si>
    <t>mystenamarina@yahoo.com</t>
  </si>
  <si>
    <t>mbrothe71@gmail.com</t>
  </si>
  <si>
    <t>sebastien.vigneau@gmail.com</t>
  </si>
  <si>
    <t>joteed2000@yahoo.com</t>
  </si>
  <si>
    <t>jeanne184490@gmail.com</t>
  </si>
  <si>
    <t>lannyclawler@gmail.com</t>
  </si>
  <si>
    <t>keetcat@cjpsd.com</t>
  </si>
  <si>
    <t>marchoffman313@gmail.com</t>
  </si>
  <si>
    <t>krisheartstone@gmail.com</t>
  </si>
  <si>
    <t>chuckgyver@aceweb.com</t>
  </si>
  <si>
    <t>amnesty39@gmail.com</t>
  </si>
  <si>
    <t>nasreenm@hushmail.com</t>
  </si>
  <si>
    <t>rae33710@gmail.com</t>
  </si>
  <si>
    <t>jjsuhr621953@gmail.com</t>
  </si>
  <si>
    <t>svondehn@hotmail.com</t>
  </si>
  <si>
    <t>lccleary@gmail.com</t>
  </si>
  <si>
    <t>reidrussell24@gmail.com</t>
  </si>
  <si>
    <t>agoldberg16@nyc.rr.com</t>
  </si>
  <si>
    <t>adahle48@gmail.com</t>
  </si>
  <si>
    <t>sisterpamop@gmail.com</t>
  </si>
  <si>
    <t>mslattery0404@gmail.com</t>
  </si>
  <si>
    <t>gregfest@cltel.net</t>
  </si>
  <si>
    <t>stluc2.4@gmail.com</t>
  </si>
  <si>
    <t>rmarshall@fastmail.com</t>
  </si>
  <si>
    <t>luismesquitafonseca@hotmail.com</t>
  </si>
  <si>
    <t>jnkpauley@gmail.com</t>
  </si>
  <si>
    <t>cclaireham@gmail.com</t>
  </si>
  <si>
    <t>pbchmelik@icloud.com</t>
  </si>
  <si>
    <t>sfinlan@bu.edu</t>
  </si>
  <si>
    <t>blsbrown@yahoo.com</t>
  </si>
  <si>
    <t>mattrector26@gmail.com</t>
  </si>
  <si>
    <t>amnestykc@gmail.com</t>
  </si>
  <si>
    <t>eperryire@gmail.com</t>
  </si>
  <si>
    <t>denisemarlowe5729@gmail.com</t>
  </si>
  <si>
    <t>sashasampaio@gmail.com</t>
  </si>
  <si>
    <t>lorilstefano@gmail.com</t>
  </si>
  <si>
    <t>mstuhlreyer@ihmsisters.org</t>
  </si>
  <si>
    <t>yogablu@gmail.com</t>
  </si>
  <si>
    <t>hbrogers@yahoo.com</t>
  </si>
  <si>
    <t>alexeritrea1@yahoo.co.uk</t>
  </si>
  <si>
    <t>sdelturk@outlook.com</t>
  </si>
  <si>
    <t>gemmadee2003@gmail.com</t>
  </si>
  <si>
    <t>ddonahue60@gmail.com</t>
  </si>
  <si>
    <t>chip.lee54@yahoo.com</t>
  </si>
  <si>
    <t>ecollin7@gmail.com</t>
  </si>
  <si>
    <t>dasred@msn.com</t>
  </si>
  <si>
    <t>tmmacc15@aol.com</t>
  </si>
  <si>
    <t>mkboz1313@gmail.com</t>
  </si>
  <si>
    <t>stevepastis@yahoo.com</t>
  </si>
  <si>
    <t>jagsingh@comcast.net</t>
  </si>
  <si>
    <t>elagamytarek@yahoo.com</t>
  </si>
  <si>
    <t>jimcorriere@yahoo.com</t>
  </si>
  <si>
    <t>csimonian@fastmail.net</t>
  </si>
  <si>
    <t>kwandawn@gmail.com</t>
  </si>
  <si>
    <t>annemariesaxe@gmail.com</t>
  </si>
  <si>
    <t>patience.robbins@gmail.com</t>
  </si>
  <si>
    <t>conderc@me.com</t>
  </si>
  <si>
    <t>querido@queridomundo.com</t>
  </si>
  <si>
    <t>dianne.smith.rn@gmail.com</t>
  </si>
  <si>
    <t>navarrochristine@hotmail.com</t>
  </si>
  <si>
    <t>prolixities@yahoo.com</t>
  </si>
  <si>
    <t>frephill@icloud.com</t>
  </si>
  <si>
    <t>rebecca.saclolo@gmail.com</t>
  </si>
  <si>
    <t>shirley.vernick@gmail.com</t>
  </si>
  <si>
    <t>b_margay@yahoo.com</t>
  </si>
  <si>
    <t>debby20878@yahoo.com</t>
  </si>
  <si>
    <t>azanella@jsd.claremont.edu</t>
  </si>
  <si>
    <t>jilevy55@gmail.com</t>
  </si>
  <si>
    <t>mltessler88@gmail.com</t>
  </si>
  <si>
    <t>luckydog@tutamail.com</t>
  </si>
  <si>
    <t>sujamthe@gmail.com</t>
  </si>
  <si>
    <t>pheralicious@yahoo.com</t>
  </si>
  <si>
    <t>kii081682@gmail.com</t>
  </si>
  <si>
    <t>jpmasiello@aol.com</t>
  </si>
  <si>
    <t>swetstein21@gmail.com</t>
  </si>
  <si>
    <t>lwlmon@aol.com</t>
  </si>
  <si>
    <t>pepperlafreniere@gmail.com</t>
  </si>
  <si>
    <t>mandrpanes@gmail.com</t>
  </si>
  <si>
    <t>gemk65@mailbox.org</t>
  </si>
  <si>
    <t>a3sth3tic@hotmail.com</t>
  </si>
  <si>
    <t>georginashanley@gmail.com</t>
  </si>
  <si>
    <t>renee.enteen@gmail.com</t>
  </si>
  <si>
    <t>indiacruz65@gmail.com</t>
  </si>
  <si>
    <t>dstemarie39@gmail.com</t>
  </si>
  <si>
    <t>alexhowe333@gmail.com</t>
  </si>
  <si>
    <t>jackdavidm@gmail.com</t>
  </si>
  <si>
    <t>rreichmann76@gmail.com</t>
  </si>
  <si>
    <t>dmaclean2@macleanfogg.com</t>
  </si>
  <si>
    <t>mcrowden@aol.com</t>
  </si>
  <si>
    <t>julieellen56@gmail.com</t>
  </si>
  <si>
    <t>fatimachagani@gmail.com</t>
  </si>
  <si>
    <t>philad49@att.net</t>
  </si>
  <si>
    <t>maryl.ml570@gmail.com</t>
  </si>
  <si>
    <t>aprilarleneyahne@gmail.com</t>
  </si>
  <si>
    <t>ordersolnit@optonline.net</t>
  </si>
  <si>
    <t>amenoartemis@gmail.com</t>
  </si>
  <si>
    <t>annbromig@gmail.com</t>
  </si>
  <si>
    <t>rroebig119@gmail.com</t>
  </si>
  <si>
    <t>marklattman@gmail.com</t>
  </si>
  <si>
    <t>toucheboucher@gmail.com</t>
  </si>
  <si>
    <t>betzpi@aol.com</t>
  </si>
  <si>
    <t>wingscatchfire@gmail.com</t>
  </si>
  <si>
    <t>lizeth.gomez@gmail.com</t>
  </si>
  <si>
    <t>pmc.politics@outlook.com</t>
  </si>
  <si>
    <t>leighjcoffey@gmail.com</t>
  </si>
  <si>
    <t>dodge611@icloud.com</t>
  </si>
  <si>
    <t>rhlinsey@gmail.com</t>
  </si>
  <si>
    <t>gailhazengonsalves@gmail.com</t>
  </si>
  <si>
    <t>artsy.tayeh@gmail.com</t>
  </si>
  <si>
    <t>deanza222@gmail.com</t>
  </si>
  <si>
    <t>ssue1995@gmail.com</t>
  </si>
  <si>
    <t>kims.opin@gmail.com</t>
  </si>
  <si>
    <t>amy@wozabooks.com</t>
  </si>
  <si>
    <t>agoodwin@aiusa.org</t>
  </si>
  <si>
    <t>inkeepingnotsorestless@gmail.com</t>
  </si>
  <si>
    <t>marth0214@gmail.com</t>
  </si>
  <si>
    <t>coloraturacanary@gmail.com</t>
  </si>
  <si>
    <t>gmumma17@gmail.com</t>
  </si>
  <si>
    <t>wendy.manganiello@gmail.com</t>
  </si>
  <si>
    <t>jsgoodly@gmail.com</t>
  </si>
  <si>
    <t>djchit@yahoo.com</t>
  </si>
  <si>
    <t>wabaldwin@aol.com</t>
  </si>
  <si>
    <t>nanking1224@earthlink.net</t>
  </si>
  <si>
    <t>anthony.tuemler@yahoo.com</t>
  </si>
  <si>
    <t>marcarr9@comcast.net</t>
  </si>
  <si>
    <t>dragonfly6160@yahoo.com</t>
  </si>
  <si>
    <t>ax2tap@gmail.com</t>
  </si>
  <si>
    <t>maureens5656@aol.com</t>
  </si>
  <si>
    <t>janetlsmarr@gmail.com</t>
  </si>
  <si>
    <t>dmlongrie@gmail.com</t>
  </si>
  <si>
    <t>pinkypico@yahoo.com</t>
  </si>
  <si>
    <t>davidwolfson@sbcglobal.net</t>
  </si>
  <si>
    <t>bnewberg@kent.edu</t>
  </si>
  <si>
    <t>mejat3@gmail.com</t>
  </si>
  <si>
    <t>tommayhew@gmail.com</t>
  </si>
  <si>
    <t>rdibble265@gmail.com</t>
  </si>
  <si>
    <t>leslielethridge2658@comcast.net</t>
  </si>
  <si>
    <t>abeisiegelvt@gmail.com</t>
  </si>
  <si>
    <t>elkes.mw@gmail.com</t>
  </si>
  <si>
    <t>lambtrees@gmail.com</t>
  </si>
  <si>
    <t>tomcborkowski@yahoo.com</t>
  </si>
  <si>
    <t>keith@burmaoaks.com</t>
  </si>
  <si>
    <t>stacy.strobel@gordon.edu</t>
  </si>
  <si>
    <t>sdpabken@gmail.com</t>
  </si>
  <si>
    <t>mcraealexander@yahoo.com.au</t>
  </si>
  <si>
    <t>philbertr46@gmail.com</t>
  </si>
  <si>
    <t>psabol19@gmail.com</t>
  </si>
  <si>
    <t>cchambers06@icloud.com</t>
  </si>
  <si>
    <t>makerttula@comcast.net</t>
  </si>
  <si>
    <t>lrdeegan123@gmail.com</t>
  </si>
  <si>
    <t>sgreenough@charter.net</t>
  </si>
  <si>
    <t>beakylenore@gmail.com</t>
  </si>
  <si>
    <t>mallorybacon@protonmail.com</t>
  </si>
  <si>
    <t>judiokeefe@yahoo.com</t>
  </si>
  <si>
    <t>diane.rosenblum@gmail.com</t>
  </si>
  <si>
    <t>aclu@ricks-cafe.net</t>
  </si>
  <si>
    <t>catherine.clemo@gmail.com</t>
  </si>
  <si>
    <t>oldtimeradio@riseup.net</t>
  </si>
  <si>
    <t>world1livemtg@gmail.com</t>
  </si>
  <si>
    <t>mfookson@gmail.com</t>
  </si>
  <si>
    <t>rp4rp@verizon.net</t>
  </si>
  <si>
    <t>jillhamze@gmail.com</t>
  </si>
  <si>
    <t>n.hughey623@gmail.com</t>
  </si>
  <si>
    <t>smbitney@gmail.com</t>
  </si>
  <si>
    <t>pattianderson60@yahoo.com</t>
  </si>
  <si>
    <t>nancy.obyrne@currently.com</t>
  </si>
  <si>
    <t>mccpax@gmail.com</t>
  </si>
  <si>
    <t>mabbott14214@yahoo.com</t>
  </si>
  <si>
    <t>brooksrobinson335@yahoo.com</t>
  </si>
  <si>
    <t>margaretsheeran515@gmail.com</t>
  </si>
  <si>
    <t>josephzefran@gmail.com</t>
  </si>
  <si>
    <t>gramdot91@gmail.com</t>
  </si>
  <si>
    <t>clellyd@bigpond.com</t>
  </si>
  <si>
    <t>richalbert@comcast.net</t>
  </si>
  <si>
    <t>masood.ahmad.sheikh@gmail.com</t>
  </si>
  <si>
    <t>sherry_g_b@hotmail.com</t>
  </si>
  <si>
    <t>rebekahcolours@gmail.com</t>
  </si>
  <si>
    <t>kaylustig7@gmail.com</t>
  </si>
  <si>
    <t>alacossct@gmail.com</t>
  </si>
  <si>
    <t>sarahholehouse@gmail.com</t>
  </si>
  <si>
    <t>louisewhipple1@gmail.com</t>
  </si>
  <si>
    <t>fportesine@yahoo.it</t>
  </si>
  <si>
    <t>stemendell@gmail.com</t>
  </si>
  <si>
    <t>stephroz@gmail.com</t>
  </si>
  <si>
    <t>joe@thevaughnclarks.com</t>
  </si>
  <si>
    <t>bertbarryoakland@gmail.com</t>
  </si>
  <si>
    <t>hanna_bruns@hotmail.com</t>
  </si>
  <si>
    <t>mveve7@gmail.com</t>
  </si>
  <si>
    <t>soe705353@gmail.com</t>
  </si>
  <si>
    <t>lovis.teg@gmail.com</t>
  </si>
  <si>
    <t>emailyjohnson@gmail.com</t>
  </si>
  <si>
    <t>bjh55@sbcglobal.net</t>
  </si>
  <si>
    <t>shastalassen1@gmail.com</t>
  </si>
  <si>
    <t>jessntd@gmail.com</t>
  </si>
  <si>
    <t>kar.harris77@gmail.com</t>
  </si>
  <si>
    <t>djbaconbits@outlook.com</t>
  </si>
  <si>
    <t>whitefoxsocialmedia@gmail.com</t>
  </si>
  <si>
    <t>kmayers@aiusacs.org</t>
  </si>
  <si>
    <t>garberart@gmail.com</t>
  </si>
  <si>
    <t>setapartforservice@yahoo.com</t>
  </si>
  <si>
    <t>maria17katt@hotmail.com</t>
  </si>
  <si>
    <t>franjunejo@gmail.com</t>
  </si>
  <si>
    <t>dodimelnicoff@gmail.com</t>
  </si>
  <si>
    <t>bdomoff@gmail.com</t>
  </si>
  <si>
    <t>franceline.villasenor@gmail.com</t>
  </si>
  <si>
    <t>terri.falbo@gmail.com</t>
  </si>
  <si>
    <t>amanda.fanniff@gmail.com</t>
  </si>
  <si>
    <t>mario.alvarado@amnesty.org</t>
  </si>
  <si>
    <t>rklein1964@hotmail.com</t>
  </si>
  <si>
    <t>safetyisabasicneed@gmail.com</t>
  </si>
  <si>
    <t>bronwen.edw.kubiak@gmail.com</t>
  </si>
  <si>
    <t>qadrimohsin35@gmail.com</t>
  </si>
  <si>
    <t>heshaochun1989@gmail.com</t>
  </si>
  <si>
    <t>busraasici25@gmail.com</t>
  </si>
  <si>
    <t>26tegsum@student.mcpsmt.org</t>
  </si>
  <si>
    <t>annamakelapdx@gmail.com</t>
  </si>
  <si>
    <t>kimk554830@gmail.com</t>
  </si>
  <si>
    <t>jedbellzim@gmail.com</t>
  </si>
  <si>
    <t>bonniegorman1@gmail.com</t>
  </si>
  <si>
    <t>raffi.merino@gmail.com</t>
  </si>
  <si>
    <t>shirley@burmaoaks.com</t>
  </si>
  <si>
    <t>amylstromme@gmail.com</t>
  </si>
  <si>
    <t>abijlefeld@yahoo.com</t>
  </si>
  <si>
    <t>edkatz_adelphia1@comcast.net</t>
  </si>
  <si>
    <t>fishjoyner2@hotmail.com</t>
  </si>
  <si>
    <t>slbazarian@comcast.net</t>
  </si>
  <si>
    <t>brmarkwardt@dolgeville.org</t>
  </si>
  <si>
    <t>mrubin111@gmail.com</t>
  </si>
  <si>
    <t>debbieam@charter.net</t>
  </si>
  <si>
    <t>felixmosesmakola@gmail.com</t>
  </si>
  <si>
    <t>davidabrunetti1@gmail.com</t>
  </si>
  <si>
    <t>leesds1984@gmail.com</t>
  </si>
  <si>
    <t>annafrogacki@gmail.com</t>
  </si>
  <si>
    <t>karen@cielo-clan.com</t>
  </si>
  <si>
    <t>gwampfler2@earthlink.net</t>
  </si>
  <si>
    <t>mhardy@ara.com</t>
  </si>
  <si>
    <t>jkelsberg@gmail.com</t>
  </si>
  <si>
    <t>political.lsdp@gmail.com</t>
  </si>
  <si>
    <t>rosenberg.carl@yahoo.ca</t>
  </si>
  <si>
    <t>ppleuss@hotmail.com</t>
  </si>
  <si>
    <t>hurryback635@gmail.com</t>
  </si>
  <si>
    <t>mjlsr02@comcast.net</t>
  </si>
  <si>
    <t>jake.bill@hughes.net</t>
  </si>
  <si>
    <t>210296@students.avhsd.org</t>
  </si>
  <si>
    <t>mimunmos@gmail.com</t>
  </si>
  <si>
    <t>barcat609@gmail.com</t>
  </si>
  <si>
    <t>new1rachel@gmail.com</t>
  </si>
  <si>
    <t>parkers14454@gmail.com</t>
  </si>
  <si>
    <t>bigmoneyoutofpolitics@gmail.com</t>
  </si>
  <si>
    <t>saltzhealley@gmail.com</t>
  </si>
  <si>
    <t>rlema1284@gmail.com</t>
  </si>
  <si>
    <t>25shulla72@manheimcentral.org</t>
  </si>
  <si>
    <t>ekramer@aiusa.org</t>
  </si>
  <si>
    <t>jsperian01@bvsd.org</t>
  </si>
  <si>
    <t>amargalit01@bvsd.org</t>
  </si>
  <si>
    <t>cmuldowney@aiusa.org</t>
  </si>
  <si>
    <t>casselupe@gmail.com</t>
  </si>
  <si>
    <t>mdiaz@bluestate.co</t>
  </si>
  <si>
    <t>michaelhartt@hotmail.com</t>
  </si>
  <si>
    <t>eileen.ridge@gmail.com</t>
  </si>
  <si>
    <t>amnesty.6lmhe@passfwd.com</t>
  </si>
  <si>
    <t>bryan.casler@gmail.com</t>
  </si>
  <si>
    <t>amnestyinternational519@gmail.com</t>
  </si>
  <si>
    <t>w-schramm@chello.at</t>
  </si>
  <si>
    <t>neil.heyden@gmail.com</t>
  </si>
  <si>
    <t>emilypodwoiska27@gmail.com</t>
  </si>
  <si>
    <t>jgorton25@pacificridge.org</t>
  </si>
  <si>
    <t>ogriffis26@pacificridge.org</t>
  </si>
  <si>
    <t>samertallauze@yahoo.com</t>
  </si>
  <si>
    <t>mvheesewijk@icloud.com</t>
  </si>
  <si>
    <t>medonohue@outlook.com</t>
  </si>
  <si>
    <t>deirdreoreilly2005@yahoo.co.uk</t>
  </si>
  <si>
    <t>kaitlyncoppola@gmail.com</t>
  </si>
  <si>
    <t>omama.marzuq@gmail.com</t>
  </si>
  <si>
    <t>venla.annukka@gmail.com</t>
  </si>
  <si>
    <t>cassandratorrico@yahoo.com</t>
  </si>
  <si>
    <t>happpymomoften@gmail.com</t>
  </si>
  <si>
    <t>rzhang0326@berkeley.edu</t>
  </si>
  <si>
    <t>david92rm@gmail.com</t>
  </si>
  <si>
    <t>swambo6@gmail.com</t>
  </si>
  <si>
    <t>cheryl.greenberg@trincoll.edu</t>
  </si>
  <si>
    <t>mizdclark@gmail.com</t>
  </si>
  <si>
    <t>nbehizadeh@gmail.com</t>
  </si>
  <si>
    <t>beamralph3@gmail.com</t>
  </si>
  <si>
    <t>lvr1258@gmail.com</t>
  </si>
  <si>
    <t>dbktw2005@gmail.com</t>
  </si>
  <si>
    <t>naznin975@gmail.com</t>
  </si>
  <si>
    <t>catwhisker72@gmail.com</t>
  </si>
  <si>
    <t>jonathan.flerra@mail.com</t>
  </si>
  <si>
    <t>emeryflatt03@gmail.com</t>
  </si>
  <si>
    <t>harrieteliz@gmail.com</t>
  </si>
  <si>
    <t>robbie9576@gmail.com</t>
  </si>
  <si>
    <t>gab162@pitt.edu</t>
  </si>
  <si>
    <t>sharon458@hotmail.com</t>
  </si>
  <si>
    <t>bhuvana.betini@gmail.com</t>
  </si>
  <si>
    <t>dfhspam@gmail.com</t>
  </si>
  <si>
    <t>yckim2180@gmail.com</t>
  </si>
  <si>
    <t>estherlermanmft@gmail.com</t>
  </si>
  <si>
    <t>amkwdmll@aol.com</t>
  </si>
  <si>
    <t>annalisewood@cvsdvt.org</t>
  </si>
  <si>
    <t>maitri.dubey@yahoo.com</t>
  </si>
  <si>
    <t>64amberh@gmail.com</t>
  </si>
  <si>
    <t>mclaughlin.rochelle@gmail.com</t>
  </si>
  <si>
    <t>dances.w.words@gmail.com</t>
  </si>
  <si>
    <t>gormsby@ooip.net</t>
  </si>
  <si>
    <t>mggrunow@gmail.com</t>
  </si>
  <si>
    <t>hgarrett@nkc.org</t>
  </si>
  <si>
    <t>mpalowoda@yahoo.com</t>
  </si>
  <si>
    <t>jasirisjd@gmail.com</t>
  </si>
  <si>
    <t>elsavoelcker1@gmail.com</t>
  </si>
  <si>
    <t>tara.bott@gmail.com</t>
  </si>
  <si>
    <t>tcalina@aiusacs.org</t>
  </si>
  <si>
    <t>deettdbuttimer@gmail.com</t>
  </si>
  <si>
    <t>ahennessey010@gmail.com</t>
  </si>
  <si>
    <t>areilly@aiusa.org</t>
  </si>
  <si>
    <t>tasleyma@yahoo.com</t>
  </si>
  <si>
    <t>kkhb22@gmail.com</t>
  </si>
  <si>
    <t>h.masazumi7017@outlook.jp</t>
  </si>
  <si>
    <t>timothy.g.caron@gmail.com</t>
  </si>
  <si>
    <t>hollyknouff@gmail.com</t>
  </si>
  <si>
    <t>lju.doutreleau@gmail.com</t>
  </si>
  <si>
    <t>kenngabcar@icloud.com</t>
  </si>
  <si>
    <t>sahiba.lal@gmail.com</t>
  </si>
  <si>
    <t>67733@sunprairieschools.org</t>
  </si>
  <si>
    <t>stephintolove@gmail.com</t>
  </si>
  <si>
    <t>ebrahif@gmail.com</t>
  </si>
  <si>
    <t>26cootay@student.mcpsmt.org</t>
  </si>
  <si>
    <t>gonzalezalexistori33@gmail.com</t>
  </si>
  <si>
    <t>cchen26@episcopalhighschool.org</t>
  </si>
  <si>
    <t>v.mayan@amnistia.pt</t>
  </si>
  <si>
    <t>rossiannette@gmail.com</t>
  </si>
  <si>
    <t>aynz@yahoo.com</t>
  </si>
  <si>
    <t>sheilamusaji@aol.com</t>
  </si>
  <si>
    <t>alexmechanic@gmail.com</t>
  </si>
  <si>
    <t>veroviala@hotmail.com</t>
  </si>
  <si>
    <t>tozein@gmx.de</t>
  </si>
  <si>
    <t>aidanmck@yahoo.com</t>
  </si>
  <si>
    <t>oleyer@snet.net</t>
  </si>
  <si>
    <t>akshayam6762@gmail.com</t>
  </si>
  <si>
    <t>drsoadkh@yahoo.com</t>
  </si>
  <si>
    <t>withkathrynlee@gmail.com</t>
  </si>
  <si>
    <t>carolina@indietechsolutions.com</t>
  </si>
  <si>
    <t>caroline.mazurek25@montville.net</t>
  </si>
  <si>
    <t>jennifer.brody@gmail.com</t>
  </si>
  <si>
    <t>michael.espelin@gmail.com</t>
  </si>
  <si>
    <t>aina30119@gmail.com</t>
  </si>
  <si>
    <t>akshaya.mohan@duke.edu</t>
  </si>
  <si>
    <t>clairehelmsley@gmail.com</t>
  </si>
  <si>
    <t>pasisz@gmail.com</t>
  </si>
  <si>
    <t>dungnguyen15046@gmail.com</t>
  </si>
  <si>
    <t>katherynmselby@gmail.com</t>
  </si>
  <si>
    <t>loz_iswayout@hotmail.com</t>
  </si>
  <si>
    <t>robertkurnick@gmail.com</t>
  </si>
  <si>
    <t>ellinoora.riutta@outlook.com</t>
  </si>
  <si>
    <t>anam.shah2012@gmail.com</t>
  </si>
  <si>
    <t>al123477gonz@gmail.com</t>
  </si>
  <si>
    <t>nimairene@gmail.com</t>
  </si>
  <si>
    <t>kbokenkamp@aiusa.org</t>
  </si>
  <si>
    <t>maryfyeager@gmail.com</t>
  </si>
  <si>
    <t>tayaba.azher@gmail.com</t>
  </si>
  <si>
    <t>memcgilligan53@gmail.com</t>
  </si>
  <si>
    <t>jimnute69@gmail.com</t>
  </si>
  <si>
    <t>lazlkay69@gmail.com</t>
  </si>
  <si>
    <t>michelleamaris13@gmail.com</t>
  </si>
  <si>
    <t>ronaldowens8585@gmail.com</t>
  </si>
  <si>
    <t>jaznit28@yahoo.com</t>
  </si>
  <si>
    <t>nextlevel4blessing@mail.fresnostate.edu</t>
  </si>
  <si>
    <t>christismith56@global.net</t>
  </si>
  <si>
    <t>milpitasamnestu@gmail.com</t>
  </si>
  <si>
    <t>milpitasamnesty@gmail.com</t>
  </si>
  <si>
    <t>sisbo064@gmail.com</t>
  </si>
  <si>
    <t>pedroacastillo446@gmail.com</t>
  </si>
  <si>
    <t>yountandrea9@gmail.com</t>
  </si>
  <si>
    <t>veldkampleida@gmail.com</t>
  </si>
  <si>
    <t>burkesean53@gmail.com</t>
  </si>
  <si>
    <t>mandykabbey@gmail.com</t>
  </si>
  <si>
    <t>hades_jungle@yahoo.com</t>
  </si>
  <si>
    <t>geralyned@gmail.com</t>
  </si>
  <si>
    <t>nikaucafe@gmail.com</t>
  </si>
  <si>
    <t>annfarr46@gmail.com</t>
  </si>
  <si>
    <t>razia.haniff.rh@gmail.com</t>
  </si>
  <si>
    <t>keim.joe@gmail.com</t>
  </si>
  <si>
    <t>ellenbruijs@live.nl</t>
  </si>
  <si>
    <t>jeanferrol@hotmail.co.uk</t>
  </si>
  <si>
    <t>usamah82@gmail.com</t>
  </si>
  <si>
    <t>rm.minns@btinternet.com</t>
  </si>
  <si>
    <t>sync_raisin5f@icloud.com</t>
  </si>
  <si>
    <t>ri@adslhome.dk</t>
  </si>
  <si>
    <t>carolemarz@icloud.com</t>
  </si>
  <si>
    <t>raquel44raquel@gmail.com</t>
  </si>
  <si>
    <t>annekenealy2@icloud.com</t>
  </si>
  <si>
    <t>denisemacquire@phonecoop.coop</t>
  </si>
  <si>
    <t>dpaoletti@sympatico.ca</t>
  </si>
  <si>
    <t>idunha@gmail.com</t>
  </si>
  <si>
    <t>rayatkins@hotmail.co.uk</t>
  </si>
  <si>
    <t>qoe4baskets@gmail.com</t>
  </si>
  <si>
    <t>p.mercurio@outlook.com</t>
  </si>
  <si>
    <t>snonline@athayoga.info</t>
  </si>
  <si>
    <t>adriana_nedeva@yahoo.com</t>
  </si>
  <si>
    <t>mariamiguelr@gmail.com</t>
  </si>
  <si>
    <t>ulrichherbeck@gmx.net</t>
  </si>
  <si>
    <t>dsec@tutamail.com</t>
  </si>
  <si>
    <t>seczkowskidominik05@gmail.com</t>
  </si>
  <si>
    <t>rhodleri11@gmail.com</t>
  </si>
  <si>
    <t>dandypark5@hotmail.com</t>
  </si>
  <si>
    <t>johncheshire@btinternet.com</t>
  </si>
  <si>
    <t>tajsings4peace@gmail.com</t>
  </si>
  <si>
    <t>flealcott@yahoo.com</t>
  </si>
  <si>
    <t>suemcgavin.sm@gmail.com</t>
  </si>
  <si>
    <t>marthachristinemiller@gmail.com</t>
  </si>
  <si>
    <t>terisatu@uoguelph.ca</t>
  </si>
  <si>
    <t>melhagrassy.neuromod@gmail.com</t>
  </si>
  <si>
    <t>manateeeee@gmail.com</t>
  </si>
  <si>
    <t>hibachi-lode.8a@icloud.com</t>
  </si>
  <si>
    <t>jlgbsn@gmail.com</t>
  </si>
  <si>
    <t>lynstmail@gmail.com</t>
  </si>
  <si>
    <t>alexandra.ibrahim13@gmail.com</t>
  </si>
  <si>
    <t>kezialewins237@gmail.com</t>
  </si>
  <si>
    <t>jrgrant127@gmail.com</t>
  </si>
  <si>
    <t>gkitani@hotmail.com</t>
  </si>
  <si>
    <t>david.dennisnz@gmail.com</t>
  </si>
  <si>
    <t>kmfitani@hotmail.com</t>
  </si>
  <si>
    <t>lsimpson_5@hotmail.com</t>
  </si>
  <si>
    <t>saranialazar@gmail.com</t>
  </si>
  <si>
    <t>painbren@yahoo.com</t>
  </si>
  <si>
    <t>salzahed84@gmail.com</t>
  </si>
  <si>
    <t>mghalib@msn.com</t>
  </si>
  <si>
    <t>sebastiendodedjiadounsa@gmail.com</t>
  </si>
  <si>
    <t>sabah2002@gmail.com</t>
  </si>
  <si>
    <t>margaakerboom@gmail.com</t>
  </si>
  <si>
    <t>r_jose17@icloud.com</t>
  </si>
  <si>
    <t>zaha@elbosily.com</t>
  </si>
  <si>
    <t>carmen.depaz@gmail.com</t>
  </si>
  <si>
    <t>joyhofer@shaw.ca</t>
  </si>
  <si>
    <t>rght65@hotmail.com</t>
  </si>
  <si>
    <t>borbollaraquel85@gmail.com</t>
  </si>
  <si>
    <t>intofrench@frenchlink.com</t>
  </si>
  <si>
    <t>lailahigazi@hotmail.com</t>
  </si>
  <si>
    <t>goodalldaisy96@gmail.com</t>
  </si>
  <si>
    <t>melindiboschsnyman@gmail.com</t>
  </si>
  <si>
    <t>jonesbria97@gmail.com</t>
  </si>
  <si>
    <t>bignmoneyoutofpolitics@gmail.com</t>
  </si>
  <si>
    <t>cmlawrence@protonmail.com</t>
  </si>
  <si>
    <t>dunya@gmail.com</t>
  </si>
  <si>
    <t>snub.legatos-2d@icloud.com</t>
  </si>
  <si>
    <t>hspontak@yahoo.com</t>
  </si>
  <si>
    <t>kirymurray@gmail.com</t>
  </si>
  <si>
    <t>rinconmezangelica@gmail.com</t>
  </si>
  <si>
    <t>rafaelvolpi@gmail.com</t>
  </si>
  <si>
    <t>kfeifer@gmail.com</t>
  </si>
  <si>
    <t>laurenlkowalis@gmail.com</t>
  </si>
  <si>
    <t>amyenoyes@gmail.com</t>
  </si>
  <si>
    <t>aibannedbooksweekaction@gmail.com</t>
  </si>
  <si>
    <t>nswords1817@gmail.com</t>
  </si>
  <si>
    <t>whitefoxsociamedia@gmail.com</t>
  </si>
  <si>
    <t>valerieosagie92@gmail.com</t>
  </si>
  <si>
    <t>nidra.ellis@gmail.com</t>
  </si>
  <si>
    <t>klcolaric@gmail.com</t>
  </si>
  <si>
    <t>amandakatherine79@gmail.com</t>
  </si>
  <si>
    <t>kathleenboone21@gmail.com</t>
  </si>
  <si>
    <t>99058664@my.hartdistrict.org</t>
  </si>
  <si>
    <t>11@gmail.com</t>
  </si>
  <si>
    <t>btb.uk.president@gmail.com</t>
  </si>
  <si>
    <t>aduran01@yahoo.com</t>
  </si>
  <si>
    <t>chaos1sk@gmail.com</t>
  </si>
  <si>
    <t>bryan+20250128v1@4sitestudios.com</t>
  </si>
  <si>
    <t>sarah.ross425@gmail.com</t>
  </si>
  <si>
    <t>37.traps.chanter@icloud.com</t>
  </si>
  <si>
    <t>captbethe@gmail.com</t>
  </si>
  <si>
    <t>slayingmantis555@gmail.com</t>
  </si>
  <si>
    <t>flkells@gmail.com</t>
  </si>
  <si>
    <t>andrealcrowell@gmail.com</t>
  </si>
  <si>
    <t>americahope64@gmail.com</t>
  </si>
  <si>
    <t>25ciccaral1@egcsd.org</t>
  </si>
  <si>
    <t>jmdaubin@me.com</t>
  </si>
  <si>
    <t>ronaldham477@gmail.com</t>
  </si>
  <si>
    <t>lightning.blitz@hotmail.com</t>
  </si>
  <si>
    <t>edgarphotographz104@gmail.com</t>
  </si>
  <si>
    <t>greywolf14@duck.com</t>
  </si>
  <si>
    <t>pedroacastllo446@gmail.com</t>
  </si>
  <si>
    <t>russnriss@yahoo.com</t>
  </si>
  <si>
    <t>dolce.perez@yahoo.com</t>
  </si>
  <si>
    <t>carrie@lasmanis.com</t>
  </si>
  <si>
    <t>namishintl2@gmail.com</t>
  </si>
  <si>
    <t>pennyanddordy@gmail.com</t>
  </si>
  <si>
    <t>ktbigsky@yahoo.com</t>
  </si>
  <si>
    <t>clnnewton@hotmail.com</t>
  </si>
  <si>
    <t>karen.allred@gmail.com</t>
  </si>
  <si>
    <t>vdmayan@gmail.com</t>
  </si>
  <si>
    <t>alynn15@4j.lane.edu</t>
  </si>
  <si>
    <t>mzemper27@gmal.com</t>
  </si>
  <si>
    <t>heathermcveigh7@gmail.com</t>
  </si>
  <si>
    <t>kevinmac2@gmail.vom</t>
  </si>
  <si>
    <t>gvpachomes@gmail.com</t>
  </si>
  <si>
    <t>galethecook@gmail.com</t>
  </si>
  <si>
    <t>marsha@brofkaberends.com</t>
  </si>
  <si>
    <t>repairs.winder.9i@icloud.com</t>
  </si>
  <si>
    <t>adbowesxdmd@gmail.com</t>
  </si>
  <si>
    <t>stellasingsloud@gmail.com</t>
  </si>
  <si>
    <t>theresa.knopf.morgan@gmail.com</t>
  </si>
  <si>
    <t>socialjusticeadvocate@verizon.net</t>
  </si>
  <si>
    <t>daniellelanden@arizona.edu</t>
  </si>
  <si>
    <t>shastalassen@gmail.com</t>
  </si>
  <si>
    <t>rbraslau@chemistry.ucsc.edu</t>
  </si>
  <si>
    <t>edgren59@gmail.com</t>
  </si>
  <si>
    <t>koellhofferc@sistersofihm.org</t>
  </si>
  <si>
    <t>christina2108@yahoo.com</t>
  </si>
  <si>
    <t>victoriaroan+action@gmail.com</t>
  </si>
  <si>
    <t>ellingsenjasmine@gmail.com</t>
  </si>
  <si>
    <t>tanvi.kamana@gmail.com</t>
  </si>
  <si>
    <t>aneshah09@gmail.com</t>
  </si>
  <si>
    <t>asullivan01@student.dasd.org</t>
  </si>
  <si>
    <t>moonyabouraya@icloud.com</t>
  </si>
  <si>
    <t>anna7gremlin@gmail.com</t>
  </si>
  <si>
    <t>patariciakates@comcast.net</t>
  </si>
  <si>
    <t>gravjm55@gmaqil.com</t>
  </si>
  <si>
    <t>kloss_william@yahoo.com</t>
  </si>
  <si>
    <t>pokapoor@umich.edu</t>
  </si>
  <si>
    <t>dreamchaser1185@gmail.com</t>
  </si>
  <si>
    <t>mayragarcia100@icloud.com</t>
  </si>
  <si>
    <t>davidhbarry@me.com</t>
  </si>
  <si>
    <t>tewodrosemamo220@gmail.com</t>
  </si>
  <si>
    <t>chavezmaudicel@gmail.com</t>
  </si>
  <si>
    <t>becarre2@orange.fr</t>
  </si>
  <si>
    <t>cbzyk@yahoo.com</t>
  </si>
  <si>
    <t>lindsaypcoyle@gmail.com</t>
  </si>
  <si>
    <t>marisa.lucero64@gmail.com</t>
  </si>
  <si>
    <t>elizabethj2288@gmail.com</t>
  </si>
  <si>
    <t>davidwolfson@sbcglobl.net</t>
  </si>
  <si>
    <t>danzeh01@gmail.com</t>
  </si>
  <si>
    <t>anthony.tuem@yahoo.com</t>
  </si>
  <si>
    <t>aschimpf.aiib@gmail.com</t>
  </si>
  <si>
    <t>od.weaver23@yahoo.com</t>
  </si>
  <si>
    <t>evan.hadingham@icloud.com</t>
  </si>
  <si>
    <t>alyssa.k.howard@gmail.com</t>
  </si>
  <si>
    <t>scott.riotto@montville.net</t>
  </si>
  <si>
    <t>26tegsum@studebt.mcpsmt.org</t>
  </si>
  <si>
    <t>rheliza59@gmail.com</t>
  </si>
  <si>
    <t>mersingerkatie@gmail.com</t>
  </si>
  <si>
    <t>kifka@sdf.org</t>
  </si>
  <si>
    <t>maazshe2010@gmail.com</t>
  </si>
  <si>
    <t>srk.kaushik2010@gmail.com</t>
  </si>
  <si>
    <t>raaghavi.kalluri@icloud.com</t>
  </si>
  <si>
    <t>External Reference 6 (Country)</t>
  </si>
  <si>
    <t>External Reference 7 (Case Number)</t>
  </si>
  <si>
    <t>External Reference 8 (Topics)</t>
  </si>
  <si>
    <t>External Reference 10 (Year)</t>
  </si>
  <si>
    <t>External Reference 10 (Type)</t>
  </si>
  <si>
    <t>Count</t>
  </si>
  <si>
    <t>Unique Supporters</t>
  </si>
  <si>
    <t>Case Number</t>
  </si>
  <si>
    <t>100.24 Uganda</t>
  </si>
  <si>
    <t>101.24 Iran</t>
  </si>
  <si>
    <t>105.24 USA</t>
  </si>
  <si>
    <t>11.25 Afghanistan</t>
  </si>
  <si>
    <t>2.25 Azerbaijan</t>
  </si>
  <si>
    <t>3.25 IOPT</t>
  </si>
  <si>
    <t>4.25 USA</t>
  </si>
  <si>
    <t>Second 43.24 Tunisia</t>
  </si>
  <si>
    <t>Second 76.24 Tunisia</t>
  </si>
  <si>
    <t>Second 80.23 Egypt</t>
  </si>
  <si>
    <t>Afghanistan</t>
  </si>
  <si>
    <t>Azerbaijan</t>
  </si>
  <si>
    <t>Egypt</t>
  </si>
  <si>
    <t>Iran</t>
  </si>
  <si>
    <t>Israel and Occupied Palestinian Territories</t>
  </si>
  <si>
    <t>Tunisia</t>
  </si>
  <si>
    <t>Uganda</t>
  </si>
  <si>
    <t>USA</t>
  </si>
  <si>
    <t>Topic</t>
  </si>
  <si>
    <t>Freedom of Expression</t>
  </si>
  <si>
    <t>Health</t>
  </si>
  <si>
    <t>Individuals At Risk</t>
  </si>
  <si>
    <t>Refugee and Migrant Rights</t>
  </si>
  <si>
    <t>Right to Protest</t>
  </si>
  <si>
    <t>Year</t>
  </si>
  <si>
    <t>Type</t>
  </si>
  <si>
    <t>Email</t>
  </si>
  <si>
    <t>Letter</t>
  </si>
  <si>
    <t>Month</t>
  </si>
  <si>
    <t>Seventh 103.22 Iran</t>
  </si>
  <si>
    <t>103.24 Niger</t>
  </si>
  <si>
    <t>97.24 Venezuela</t>
  </si>
  <si>
    <t>Ninth 190.18 Egypt</t>
  </si>
  <si>
    <t>98.24 China</t>
  </si>
  <si>
    <t>8.25 Tunisia</t>
  </si>
  <si>
    <t>10.25 Iran</t>
  </si>
  <si>
    <t>1.25 Venezuela</t>
  </si>
  <si>
    <t>Third 73.23 Egypt</t>
  </si>
  <si>
    <t>109.24 Türkiye</t>
  </si>
  <si>
    <t>88.24 Dominican Republic</t>
  </si>
  <si>
    <t>6.25 Iran</t>
  </si>
  <si>
    <t>Third 12.24 Colombia</t>
  </si>
  <si>
    <t>12.25 Libya</t>
  </si>
  <si>
    <t>96.24 USA</t>
  </si>
  <si>
    <t>107.24 Singapore</t>
  </si>
  <si>
    <t>Second 109.24 Türkiye</t>
  </si>
  <si>
    <t>9.25 Uganda</t>
  </si>
  <si>
    <t>104.24 Saudi Arabia</t>
  </si>
  <si>
    <t>Second 85.23 Saudi Arabia</t>
  </si>
  <si>
    <t>Fourth 55.24 USA</t>
  </si>
  <si>
    <t>99.24 Canada</t>
  </si>
  <si>
    <t>102.24 Russia</t>
  </si>
  <si>
    <t>Fourth 29.23 Egypt</t>
  </si>
  <si>
    <t>106.24 China</t>
  </si>
  <si>
    <t>Fifth 257.12</t>
  </si>
  <si>
    <t>Second 23.24 Russia</t>
  </si>
  <si>
    <t>5.25 Colombia</t>
  </si>
  <si>
    <t>7.25 Afghanistan</t>
  </si>
  <si>
    <t>92.24 Mexico</t>
  </si>
  <si>
    <t>Second 85.24 Honduras</t>
  </si>
  <si>
    <t>Niger</t>
  </si>
  <si>
    <t>Venezuela</t>
  </si>
  <si>
    <t>China</t>
  </si>
  <si>
    <t>Turkiye</t>
  </si>
  <si>
    <t>Dominican Republic</t>
  </si>
  <si>
    <t>Colombia</t>
  </si>
  <si>
    <t>Libya</t>
  </si>
  <si>
    <t>Singapore</t>
  </si>
  <si>
    <t>Saudi Arabia</t>
  </si>
  <si>
    <t>Canada</t>
  </si>
  <si>
    <t>Russian Federation</t>
  </si>
  <si>
    <t>Mexico</t>
  </si>
  <si>
    <t>Honduras</t>
  </si>
  <si>
    <t>Indigenous Rights</t>
  </si>
  <si>
    <t>Women's Rights</t>
  </si>
  <si>
    <t>2025-02</t>
  </si>
  <si>
    <t>2025-01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</si>
</sst>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6" formatCode="yyyy\-mm\-dd"/>
    <numFmt numFmtId="167" formatCode="mm/dd/yyyy\ h:mm:ss"/>
    <numFmt numFmtId="168" formatCode="mm/dd/yyyy"/>
    <numFmt numFmtId="169" formatCode="m/d/yyyy\ h:mm:ss"/>
    <numFmt numFmtId="170" formatCode="&quot;$&quot;#,##0"/>
    <numFmt numFmtId="171" formatCode="m/d/yyyy"/>
  </numFmts>
  <fonts count="4" x14ac:knownFonts="1">
    <font>
      <sz val="10"/>
      <color rgb="FF000000"/>
      <name val="Arial"/>
      <scheme val="minor"/>
    </font>
    <font>
      <b/>
      <sz val="10"/>
      <color theme="1"/>
      <name val="Arial"/>
      <family val="2"/>
      <scheme val="minor"/>
    </font>
    <font>
      <sz val="10"/>
      <color theme="1"/>
      <name val="Arial"/>
      <family val="2"/>
      <scheme val="minor"/>
    </font>
    <font>
      <b/>
      <sz val="10"/>
      <color rgb="FF000000"/>
      <name val="Arial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2" fillId="0" borderId="0" xfId="0" applyFont="1"/>
    <xf numFmtId="167" fontId="2" fillId="0" borderId="0" xfId="0" applyNumberFormat="1" applyFont="1"/>
    <xf numFmtId="168" fontId="2" fillId="0" borderId="0" xfId="0" applyNumberFormat="1" applyFont="1"/>
    <xf numFmtId="169" fontId="2" fillId="0" borderId="0" xfId="0" applyNumberFormat="1" applyFont="1"/>
    <xf numFmtId="170" fontId="2" fillId="0" borderId="0" xfId="0" applyNumberFormat="1" applyFont="1"/>
    <xf numFmtId="171" fontId="2" fillId="0" borderId="0" xfId="0" applyNumberFormat="1" applyFont="1"/>
    <xf numFmtId="0" fontId="1" fillId="0" borderId="0" xfId="0" applyFont="1" applyAlignment="1">
      <alignment horizontal="left"/>
    </xf>
    <xf numFmtId="0" fontId="1" fillId="0" borderId="0" xfId="0" applyFont="1"/>
    <xf numFmtId="0" fontId="2" fillId="0" borderId="0" xfId="0" applyFont="1" applyAlignment="1">
      <alignment horizontal="left"/>
    </xf>
    <xf numFmtId="166" fontId="2" fillId="0" borderId="0" xfId="0" applyNumberFormat="1" applyFont="1" applyAlignment="1">
      <alignment horizontal="left"/>
    </xf>
    <xf numFmtId="0" fontId="3" fillId="0" borderId="0" xfId="0" applyFont="1"/>
    <xf numFmtId="14" fontId="0" fillId="0" borderId="0" xfId="0" applyNumberFormat="1"/>
    <xf numFmtId="21" fontId="0" fillId="0" borderId="0" xfId="0" applyNumberFormat="1"/>
  </cellXfs>
  <cellStyles count="1">
    <cellStyle name="Normal" xfId="0" builtinId="0"/>
  </cellStyles>
  <dxfs count="2">
    <dxf>
      <fill>
        <patternFill patternType="solid">
          <fgColor rgb="FFB7E1CD"/>
          <bgColor rgb="FFB7E1CD"/>
        </patternFill>
      </fill>
    </dxf>
    <dxf>
      <fill>
        <patternFill patternType="solid">
          <fgColor rgb="FFF4C7C3"/>
          <bgColor rgb="FFF4C7C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"/>
  <sheetViews>
    <sheetView showGridLines="0" workbookViewId="0">
      <pane ySplit="1" topLeftCell="A2" activePane="bottomLeft" state="frozen"/>
      <selection pane="bottomLeft"/>
    </sheetView>
  </sheetViews>
  <sheetFormatPr baseColWidth="10" defaultColWidth="12.6640625" defaultRowHeight="15.75" customHeight="1" x14ac:dyDescent="0.15"/>
  <sheetData/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D1:MD2839"/>
  <sheetViews>
    <sheetView tabSelected="1" workbookViewId="0">
      <selection activeCell="C25" sqref="C25"/>
    </sheetView>
  </sheetViews>
  <sheetFormatPr baseColWidth="10" defaultColWidth="12.6640625" defaultRowHeight="15.75" customHeight="1" x14ac:dyDescent="0.15"/>
  <cols>
    <col min="1" max="1" width="12.1640625" customWidth="1"/>
    <col min="2" max="2" width="13.5" bestFit="1" customWidth="1"/>
    <col min="3" max="3" width="33.33203125" bestFit="1" customWidth="1"/>
    <col min="4" max="4" width="14" bestFit="1" customWidth="1"/>
    <col min="5" max="5" width="14.33203125" customWidth="1"/>
    <col min="6" max="6" width="18" bestFit="1" customWidth="1"/>
    <col min="7" max="7" width="15.83203125" bestFit="1" customWidth="1"/>
    <col min="8" max="8" width="51.1640625" bestFit="1" customWidth="1"/>
    <col min="9" max="9" width="15.6640625" customWidth="1"/>
    <col min="10" max="10" width="15.6640625" bestFit="1" customWidth="1"/>
    <col min="11" max="11" width="17" bestFit="1" customWidth="1"/>
    <col min="12" max="20" width="17.1640625" bestFit="1" customWidth="1"/>
    <col min="21" max="42" width="18.1640625" bestFit="1" customWidth="1"/>
    <col min="43" max="43" width="69.5" bestFit="1" customWidth="1"/>
    <col min="44" max="44" width="255.83203125" bestFit="1" customWidth="1"/>
    <col min="45" max="46" width="18.1640625" bestFit="1" customWidth="1"/>
    <col min="47" max="51" width="20.1640625" bestFit="1" customWidth="1"/>
    <col min="52" max="52" width="41.5" bestFit="1" customWidth="1"/>
    <col min="53" max="53" width="34.33203125" bestFit="1" customWidth="1"/>
    <col min="54" max="54" width="65.83203125" bestFit="1" customWidth="1"/>
    <col min="55" max="55" width="20.1640625" bestFit="1" customWidth="1"/>
    <col min="56" max="56" width="21.1640625" bestFit="1" customWidth="1"/>
    <col min="57" max="57" width="33.33203125" bestFit="1" customWidth="1"/>
    <col min="58" max="58" width="10.83203125" customWidth="1"/>
    <col min="59" max="59" width="16.33203125" customWidth="1"/>
    <col min="60" max="60" width="18.83203125" customWidth="1"/>
    <col min="61" max="61" width="62.6640625" customWidth="1"/>
    <col min="62" max="62" width="43" customWidth="1"/>
    <col min="63" max="63" width="20.6640625" customWidth="1"/>
    <col min="64" max="64" width="17.83203125" customWidth="1"/>
    <col min="65" max="65" width="20.6640625" customWidth="1"/>
    <col min="66" max="66" width="9.83203125" customWidth="1"/>
    <col min="67" max="67" width="15.33203125" customWidth="1"/>
    <col min="68" max="68" width="17.1640625" customWidth="1"/>
    <col min="69" max="69" width="18.83203125" customWidth="1"/>
    <col min="70" max="70" width="28.1640625" customWidth="1"/>
    <col min="71" max="71" width="17.5" customWidth="1"/>
    <col min="72" max="72" width="14.6640625" customWidth="1"/>
    <col min="73" max="73" width="19.33203125" customWidth="1"/>
    <col min="74" max="74" width="21.1640625" customWidth="1"/>
    <col min="75" max="75" width="26.83203125" customWidth="1"/>
    <col min="76" max="76" width="23.33203125" customWidth="1"/>
    <col min="77" max="77" width="16.83203125" customWidth="1"/>
    <col min="78" max="78" width="9.33203125" customWidth="1"/>
    <col min="79" max="79" width="13.5" customWidth="1"/>
    <col min="80" max="80" width="13.33203125" customWidth="1"/>
    <col min="81" max="81" width="37.33203125" customWidth="1"/>
    <col min="82" max="82" width="16.33203125" customWidth="1"/>
    <col min="83" max="83" width="11" customWidth="1"/>
    <col min="84" max="84" width="6.6640625" customWidth="1"/>
    <col min="85" max="85" width="9.33203125" customWidth="1"/>
    <col min="86" max="86" width="11.6640625" customWidth="1"/>
    <col min="87" max="87" width="13.6640625" customWidth="1"/>
    <col min="88" max="88" width="16" customWidth="1"/>
    <col min="89" max="89" width="12.33203125" customWidth="1"/>
    <col min="90" max="90" width="15.83203125" customWidth="1"/>
    <col min="91" max="91" width="17.33203125" customWidth="1"/>
    <col min="92" max="92" width="15.83203125" customWidth="1"/>
    <col min="93" max="93" width="12.1640625" customWidth="1"/>
    <col min="94" max="94" width="10.83203125" customWidth="1"/>
    <col min="95" max="95" width="13.6640625" customWidth="1"/>
    <col min="96" max="96" width="15.83203125" customWidth="1"/>
    <col min="97" max="97" width="13.83203125" customWidth="1"/>
    <col min="98" max="98" width="14.6640625" customWidth="1"/>
    <col min="99" max="99" width="21.6640625" customWidth="1"/>
    <col min="100" max="100" width="18.6640625" customWidth="1"/>
    <col min="101" max="101" width="24.6640625" customWidth="1"/>
    <col min="102" max="102" width="11.5" customWidth="1"/>
    <col min="103" max="103" width="14.1640625" customWidth="1"/>
    <col min="104" max="104" width="18.5" customWidth="1"/>
    <col min="105" max="105" width="20.1640625" customWidth="1"/>
    <col min="106" max="106" width="11.83203125" customWidth="1"/>
    <col min="107" max="107" width="14.5" customWidth="1"/>
    <col min="108" max="108" width="18" customWidth="1"/>
    <col min="109" max="109" width="17.6640625" customWidth="1"/>
    <col min="110" max="110" width="20.1640625" customWidth="1"/>
    <col min="111" max="111" width="10.1640625" customWidth="1"/>
    <col min="112" max="112" width="12.6640625" customWidth="1"/>
    <col min="113" max="113" width="19.5" customWidth="1"/>
    <col min="114" max="114" width="20.1640625" customWidth="1"/>
    <col min="115" max="115" width="15.1640625" customWidth="1"/>
    <col min="116" max="116" width="12.83203125" customWidth="1"/>
    <col min="117" max="117" width="15.33203125" customWidth="1"/>
    <col min="118" max="118" width="16.6640625" customWidth="1"/>
    <col min="119" max="119" width="19.1640625" customWidth="1"/>
    <col min="120" max="120" width="22.6640625" customWidth="1"/>
    <col min="121" max="121" width="16.6640625" customWidth="1"/>
    <col min="122" max="122" width="19.33203125" customWidth="1"/>
    <col min="123" max="123" width="22.6640625" customWidth="1"/>
    <col min="124" max="124" width="19.33203125" customWidth="1"/>
    <col min="125" max="125" width="26.1640625" customWidth="1"/>
    <col min="126" max="126" width="32.1640625" customWidth="1"/>
    <col min="127" max="127" width="26.1640625" customWidth="1"/>
    <col min="128" max="128" width="23.33203125" customWidth="1"/>
    <col min="129" max="129" width="20.33203125" customWidth="1"/>
    <col min="130" max="130" width="26.1640625" customWidth="1"/>
    <col min="131" max="131" width="27.33203125" customWidth="1"/>
    <col min="132" max="132" width="23" customWidth="1"/>
    <col min="133" max="133" width="25.83203125" customWidth="1"/>
    <col min="134" max="134" width="21" customWidth="1"/>
    <col min="135" max="135" width="21.1640625" customWidth="1"/>
    <col min="136" max="136" width="23.33203125" customWidth="1"/>
    <col min="137" max="137" width="26.83203125" customWidth="1"/>
    <col min="138" max="138" width="23.83203125" customWidth="1"/>
    <col min="139" max="139" width="14.83203125" customWidth="1"/>
    <col min="140" max="140" width="18" customWidth="1"/>
    <col min="141" max="141" width="23.6640625" customWidth="1"/>
    <col min="142" max="142" width="11.5" customWidth="1"/>
    <col min="143" max="143" width="10.6640625" customWidth="1"/>
    <col min="144" max="144" width="13.6640625" customWidth="1"/>
    <col min="145" max="145" width="23.83203125" customWidth="1"/>
    <col min="146" max="146" width="23" customWidth="1"/>
    <col min="147" max="147" width="14.1640625" customWidth="1"/>
    <col min="148" max="148" width="14.6640625" customWidth="1"/>
    <col min="149" max="149" width="15.6640625" customWidth="1"/>
    <col min="150" max="150" width="13.33203125" customWidth="1"/>
    <col min="151" max="151" width="16.83203125" customWidth="1"/>
    <col min="152" max="152" width="13.6640625" customWidth="1"/>
    <col min="153" max="153" width="13.1640625" customWidth="1"/>
    <col min="154" max="154" width="16.6640625" customWidth="1"/>
    <col min="155" max="155" width="19.1640625" customWidth="1"/>
    <col min="156" max="156" width="22.1640625" customWidth="1"/>
    <col min="157" max="157" width="11.1640625" customWidth="1"/>
    <col min="158" max="159" width="19.6640625" customWidth="1"/>
    <col min="160" max="160" width="13.6640625" customWidth="1"/>
    <col min="161" max="161" width="44.33203125" customWidth="1"/>
    <col min="162" max="162" width="41.33203125" customWidth="1"/>
    <col min="163" max="163" width="41.5" customWidth="1"/>
    <col min="164" max="164" width="41.83203125" customWidth="1"/>
    <col min="165" max="165" width="33.1640625" customWidth="1"/>
    <col min="166" max="166" width="30.83203125" customWidth="1"/>
    <col min="167" max="167" width="40.83203125" customWidth="1"/>
    <col min="168" max="168" width="34.33203125" customWidth="1"/>
    <col min="169" max="169" width="36" customWidth="1"/>
    <col min="170" max="170" width="38.1640625" customWidth="1"/>
    <col min="171" max="171" width="46.83203125" customWidth="1"/>
    <col min="172" max="172" width="31.6640625" customWidth="1"/>
    <col min="173" max="173" width="32.33203125" customWidth="1"/>
    <col min="174" max="174" width="45.6640625" customWidth="1"/>
    <col min="175" max="175" width="32.1640625" customWidth="1"/>
    <col min="176" max="176" width="37.6640625" customWidth="1"/>
    <col min="177" max="177" width="42.33203125" customWidth="1"/>
    <col min="178" max="178" width="26" customWidth="1"/>
    <col min="179" max="179" width="30" customWidth="1"/>
    <col min="180" max="180" width="32.33203125" customWidth="1"/>
    <col min="181" max="181" width="56.5" customWidth="1"/>
    <col min="182" max="182" width="51.1640625" customWidth="1"/>
    <col min="183" max="183" width="24.6640625" customWidth="1"/>
    <col min="184" max="184" width="44.1640625" customWidth="1"/>
    <col min="185" max="185" width="10.33203125" customWidth="1"/>
    <col min="186" max="186" width="32" customWidth="1"/>
    <col min="187" max="188" width="32.1640625" customWidth="1"/>
    <col min="189" max="189" width="32.83203125" customWidth="1"/>
    <col min="190" max="190" width="33" customWidth="1"/>
    <col min="191" max="191" width="32.83203125" customWidth="1"/>
    <col min="192" max="192" width="31.6640625" customWidth="1"/>
    <col min="193" max="193" width="42" customWidth="1"/>
    <col min="194" max="194" width="42.1640625" customWidth="1"/>
    <col min="195" max="196" width="43.1640625" customWidth="1"/>
    <col min="197" max="197" width="18.83203125" customWidth="1"/>
    <col min="198" max="198" width="67.1640625" customWidth="1"/>
    <col min="199" max="199" width="28.33203125" customWidth="1"/>
    <col min="200" max="200" width="14.1640625" customWidth="1"/>
    <col min="201" max="201" width="18.83203125" customWidth="1"/>
    <col min="202" max="202" width="19.6640625" customWidth="1"/>
    <col min="203" max="203" width="23.6640625" customWidth="1"/>
    <col min="204" max="204" width="21.83203125" customWidth="1"/>
    <col min="205" max="205" width="25" customWidth="1"/>
    <col min="206" max="206" width="21" customWidth="1"/>
    <col min="207" max="207" width="31.33203125" customWidth="1"/>
    <col min="208" max="208" width="22.6640625" customWidth="1"/>
    <col min="209" max="209" width="29.5" customWidth="1"/>
    <col min="210" max="210" width="22.6640625" customWidth="1"/>
    <col min="211" max="211" width="20.6640625" customWidth="1"/>
    <col min="212" max="212" width="29" customWidth="1"/>
    <col min="213" max="214" width="23.33203125" customWidth="1"/>
    <col min="215" max="215" width="22.6640625" customWidth="1"/>
    <col min="216" max="216" width="23.5" customWidth="1"/>
    <col min="217" max="217" width="6.33203125" customWidth="1"/>
    <col min="218" max="218" width="8.33203125" customWidth="1"/>
    <col min="219" max="219" width="10.5" customWidth="1"/>
    <col min="220" max="220" width="15.5" customWidth="1"/>
    <col min="221" max="221" width="15" customWidth="1"/>
    <col min="222" max="222" width="21.6640625" customWidth="1"/>
    <col min="223" max="223" width="16.83203125" customWidth="1"/>
    <col min="224" max="225" width="19.33203125" customWidth="1"/>
    <col min="226" max="226" width="24.33203125" customWidth="1"/>
    <col min="227" max="227" width="28" customWidth="1"/>
    <col min="228" max="228" width="37.83203125" customWidth="1"/>
    <col min="229" max="229" width="21" customWidth="1"/>
    <col min="230" max="230" width="37.1640625" customWidth="1"/>
    <col min="231" max="231" width="17.6640625" customWidth="1"/>
    <col min="232" max="232" width="34.5" customWidth="1"/>
    <col min="233" max="233" width="21.1640625" customWidth="1"/>
    <col min="234" max="234" width="20.5" customWidth="1"/>
    <col min="235" max="235" width="25.33203125" customWidth="1"/>
    <col min="236" max="236" width="33.6640625" customWidth="1"/>
    <col min="237" max="237" width="20.83203125" customWidth="1"/>
    <col min="238" max="238" width="17.5" customWidth="1"/>
    <col min="239" max="239" width="17.6640625" customWidth="1"/>
    <col min="240" max="240" width="20.83203125" customWidth="1"/>
    <col min="241" max="241" width="22.1640625" customWidth="1"/>
    <col min="242" max="242" width="28.1640625" customWidth="1"/>
    <col min="243" max="243" width="20.33203125" customWidth="1"/>
    <col min="244" max="244" width="16.5" customWidth="1"/>
    <col min="245" max="245" width="21.33203125" customWidth="1"/>
    <col min="246" max="246" width="22.1640625" customWidth="1"/>
    <col min="247" max="247" width="18.6640625" customWidth="1"/>
    <col min="248" max="248" width="25.33203125" customWidth="1"/>
    <col min="249" max="249" width="11.1640625" customWidth="1"/>
    <col min="250" max="250" width="21.83203125" customWidth="1"/>
    <col min="251" max="251" width="22.6640625" customWidth="1"/>
    <col min="252" max="252" width="39.6640625" customWidth="1"/>
    <col min="253" max="253" width="14.1640625" customWidth="1"/>
    <col min="254" max="254" width="21.5" customWidth="1"/>
    <col min="255" max="255" width="92.1640625" customWidth="1"/>
    <col min="256" max="256" width="18.6640625" customWidth="1"/>
    <col min="257" max="257" width="24" customWidth="1"/>
    <col min="258" max="258" width="28.1640625" customWidth="1"/>
    <col min="259" max="259" width="14.1640625" customWidth="1"/>
    <col min="260" max="260" width="18.5" customWidth="1"/>
    <col min="261" max="261" width="21.1640625" customWidth="1"/>
    <col min="262" max="262" width="29.5" customWidth="1"/>
    <col min="263" max="263" width="26.1640625" customWidth="1"/>
    <col min="264" max="264" width="28.6640625" customWidth="1"/>
    <col min="265" max="265" width="38.83203125" customWidth="1"/>
    <col min="266" max="266" width="22.5" customWidth="1"/>
    <col min="267" max="267" width="28" customWidth="1"/>
    <col min="268" max="268" width="25.6640625" customWidth="1"/>
    <col min="269" max="269" width="13.1640625" customWidth="1"/>
    <col min="270" max="270" width="14.6640625" customWidth="1"/>
    <col min="271" max="271" width="17.1640625" customWidth="1"/>
    <col min="272" max="272" width="25.6640625" customWidth="1"/>
    <col min="273" max="273" width="20.1640625" customWidth="1"/>
    <col min="274" max="274" width="15.83203125" customWidth="1"/>
    <col min="275" max="275" width="16.5" customWidth="1"/>
    <col min="276" max="276" width="29.1640625" customWidth="1"/>
    <col min="277" max="277" width="18.83203125" customWidth="1"/>
    <col min="278" max="278" width="21.83203125" customWidth="1"/>
    <col min="279" max="279" width="28.5" customWidth="1"/>
    <col min="280" max="280" width="18.6640625" customWidth="1"/>
    <col min="281" max="281" width="23.1640625" customWidth="1"/>
    <col min="282" max="282" width="11.33203125" customWidth="1"/>
    <col min="283" max="283" width="25.33203125" customWidth="1"/>
    <col min="284" max="284" width="13.1640625" customWidth="1"/>
    <col min="285" max="285" width="22.6640625" customWidth="1"/>
    <col min="286" max="286" width="15" customWidth="1"/>
    <col min="287" max="287" width="16.33203125" customWidth="1"/>
    <col min="288" max="288" width="20.6640625" customWidth="1"/>
    <col min="289" max="289" width="16.83203125" customWidth="1"/>
    <col min="290" max="290" width="11.83203125" customWidth="1"/>
    <col min="291" max="291" width="16.83203125" customWidth="1"/>
    <col min="292" max="292" width="23" customWidth="1"/>
    <col min="293" max="293" width="21.1640625" customWidth="1"/>
    <col min="294" max="294" width="28.1640625" customWidth="1"/>
    <col min="295" max="295" width="26.33203125" customWidth="1"/>
    <col min="296" max="296" width="20.1640625" customWidth="1"/>
    <col min="297" max="297" width="22.33203125" customWidth="1"/>
    <col min="298" max="298" width="14.5" customWidth="1"/>
    <col min="299" max="299" width="32.1640625" customWidth="1"/>
    <col min="300" max="300" width="34.6640625" customWidth="1"/>
    <col min="301" max="301" width="23.33203125" customWidth="1"/>
    <col min="302" max="302" width="26.83203125" customWidth="1"/>
    <col min="303" max="303" width="15.6640625" customWidth="1"/>
    <col min="304" max="304" width="33" customWidth="1"/>
    <col min="305" max="305" width="17.33203125" customWidth="1"/>
    <col min="306" max="306" width="9.1640625" customWidth="1"/>
    <col min="307" max="307" width="13.33203125" customWidth="1"/>
    <col min="308" max="308" width="17.6640625" customWidth="1"/>
    <col min="309" max="309" width="14.6640625" customWidth="1"/>
    <col min="310" max="310" width="26" customWidth="1"/>
    <col min="311" max="311" width="32.33203125" customWidth="1"/>
    <col min="312" max="312" width="33.6640625" customWidth="1"/>
    <col min="313" max="313" width="42.6640625" customWidth="1"/>
    <col min="314" max="314" width="45.1640625" customWidth="1"/>
    <col min="315" max="315" width="17.6640625" customWidth="1"/>
    <col min="316" max="316" width="28" customWidth="1"/>
    <col min="317" max="317" width="17.6640625" customWidth="1"/>
    <col min="318" max="318" width="14.1640625" customWidth="1"/>
    <col min="319" max="320" width="26.1640625" customWidth="1"/>
    <col min="321" max="321" width="16.5" customWidth="1"/>
    <col min="322" max="322" width="22.6640625" customWidth="1"/>
    <col min="323" max="323" width="20" customWidth="1"/>
    <col min="324" max="324" width="22" customWidth="1"/>
    <col min="325" max="325" width="27.6640625" customWidth="1"/>
    <col min="326" max="326" width="20.33203125" customWidth="1"/>
    <col min="327" max="327" width="17.5" customWidth="1"/>
    <col min="328" max="328" width="27.6640625" customWidth="1"/>
    <col min="329" max="329" width="19.1640625" customWidth="1"/>
    <col min="330" max="330" width="17.6640625" customWidth="1"/>
    <col min="331" max="331" width="32.5" customWidth="1"/>
    <col min="332" max="332" width="27.5" customWidth="1"/>
    <col min="333" max="333" width="26.1640625" customWidth="1"/>
    <col min="334" max="334" width="23.33203125" customWidth="1"/>
    <col min="335" max="335" width="14.6640625" customWidth="1"/>
    <col min="336" max="336" width="17.5" customWidth="1"/>
    <col min="337" max="337" width="15.83203125" customWidth="1"/>
    <col min="338" max="338" width="34.5" customWidth="1"/>
    <col min="339" max="339" width="34.1640625" customWidth="1"/>
    <col min="340" max="340" width="21.6640625" customWidth="1"/>
    <col min="341" max="341" width="25.33203125" customWidth="1"/>
    <col min="342" max="342" width="14.5" customWidth="1"/>
  </cols>
  <sheetData>
    <row r="1" spans="4:342" ht="15.75" customHeight="1" x14ac:dyDescent="0.15"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  <c r="IV1" s="1"/>
      <c r="IW1" s="1"/>
      <c r="IX1" s="1"/>
      <c r="IY1" s="1"/>
      <c r="IZ1" s="1"/>
      <c r="JA1" s="1"/>
      <c r="JB1" s="1"/>
      <c r="JC1" s="1"/>
      <c r="JD1" s="1"/>
      <c r="JE1" s="1"/>
      <c r="JF1" s="1"/>
      <c r="JG1" s="1"/>
      <c r="JH1" s="1"/>
      <c r="JI1" s="1"/>
      <c r="JJ1" s="1"/>
      <c r="JK1" s="1"/>
      <c r="JL1" s="1"/>
      <c r="JM1" s="1"/>
      <c r="JN1" s="1"/>
      <c r="JO1" s="1"/>
      <c r="JP1" s="1"/>
      <c r="JQ1" s="1"/>
      <c r="JR1" s="1"/>
      <c r="JS1" s="1"/>
      <c r="JT1" s="1"/>
      <c r="JU1" s="1"/>
      <c r="JV1" s="1"/>
      <c r="JW1" s="1"/>
      <c r="JX1" s="1"/>
      <c r="JY1" s="1"/>
      <c r="JZ1" s="1"/>
      <c r="KA1" s="1"/>
      <c r="KB1" s="1"/>
      <c r="KC1" s="1"/>
      <c r="KD1" s="1"/>
      <c r="KE1" s="1"/>
      <c r="KF1" s="1"/>
      <c r="KG1" s="1"/>
      <c r="KH1" s="1"/>
      <c r="KI1" s="1"/>
      <c r="KJ1" s="1"/>
      <c r="KK1" s="1"/>
      <c r="KL1" s="1"/>
      <c r="KM1" s="1"/>
      <c r="KN1" s="1"/>
      <c r="KO1" s="1"/>
      <c r="KP1" s="1"/>
      <c r="KQ1" s="1"/>
      <c r="KR1" s="1"/>
      <c r="KS1" s="1"/>
      <c r="KT1" s="1"/>
      <c r="KU1" s="1"/>
      <c r="KV1" s="1"/>
      <c r="KW1" s="1"/>
      <c r="KX1" s="1"/>
      <c r="KY1" s="1"/>
      <c r="KZ1" s="1"/>
      <c r="LA1" s="1"/>
      <c r="LB1" s="1"/>
      <c r="LC1" s="1"/>
      <c r="LD1" s="1"/>
      <c r="LE1" s="1"/>
      <c r="LF1" s="1"/>
      <c r="LG1" s="1"/>
      <c r="LH1" s="1"/>
      <c r="LI1" s="1"/>
      <c r="LJ1" s="1"/>
      <c r="LK1" s="1"/>
      <c r="LL1" s="1"/>
      <c r="LM1" s="1"/>
      <c r="LN1" s="1"/>
      <c r="LO1" s="1"/>
      <c r="LP1" s="1"/>
      <c r="LQ1" s="1"/>
      <c r="LR1" s="1"/>
      <c r="LS1" s="1"/>
      <c r="LT1" s="1"/>
      <c r="LU1" s="1"/>
      <c r="LV1" s="1"/>
      <c r="LW1" s="1"/>
      <c r="LX1" s="1"/>
      <c r="LY1" s="1"/>
      <c r="LZ1" s="1"/>
      <c r="MA1" s="1"/>
      <c r="MB1" s="1"/>
      <c r="MC1" s="1"/>
      <c r="MD1" s="1"/>
    </row>
    <row r="2" spans="4:342" ht="15.75" customHeight="1" x14ac:dyDescent="0.15">
      <c r="D2" s="12"/>
      <c r="E2" s="12"/>
      <c r="I2" s="12"/>
      <c r="J2" s="13"/>
      <c r="BF2" s="1"/>
      <c r="BG2" s="1"/>
      <c r="BH2" s="1"/>
      <c r="BI2" s="1"/>
      <c r="BK2" s="1"/>
      <c r="BL2" s="1"/>
      <c r="BM2" s="1"/>
      <c r="BN2" s="1"/>
      <c r="BP2" s="1"/>
      <c r="BQ2" s="1"/>
      <c r="BR2" s="1"/>
      <c r="BX2" s="1"/>
      <c r="CD2" s="1"/>
      <c r="CE2" s="1"/>
      <c r="CF2" s="1"/>
      <c r="CG2" s="1"/>
      <c r="CH2" s="1"/>
      <c r="CI2" s="1"/>
      <c r="CM2" s="2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M2" s="1"/>
      <c r="DQ2" s="1"/>
      <c r="DR2" s="1"/>
      <c r="DY2" s="1"/>
      <c r="DZ2" s="1"/>
      <c r="ED2" s="1"/>
      <c r="EE2" s="1"/>
      <c r="EF2" s="1"/>
      <c r="EG2" s="1"/>
      <c r="EH2" s="1"/>
      <c r="EK2" s="1"/>
      <c r="EL2" s="1"/>
      <c r="EM2" s="1"/>
      <c r="EN2" s="1"/>
      <c r="EQ2" s="1"/>
      <c r="ER2" s="1"/>
      <c r="ES2" s="1"/>
      <c r="EV2" s="1"/>
      <c r="EW2" s="1"/>
      <c r="EY2" s="1"/>
      <c r="EZ2" s="1"/>
      <c r="FA2" s="1"/>
      <c r="FD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R2" s="1"/>
      <c r="GY2" s="1"/>
      <c r="HF2" s="1"/>
      <c r="HH2" s="1"/>
      <c r="HN2" s="1"/>
      <c r="HQ2" s="1"/>
      <c r="HR2" s="1"/>
      <c r="HS2" s="1"/>
      <c r="HT2" s="1"/>
      <c r="HY2" s="1"/>
      <c r="IA2" s="1"/>
      <c r="IE2" s="1"/>
      <c r="IG2" s="1"/>
      <c r="IJ2" s="1"/>
      <c r="IR2" s="1"/>
      <c r="IS2" s="1"/>
      <c r="IY2" s="1"/>
      <c r="IZ2" s="1"/>
      <c r="JC2" s="1"/>
      <c r="JF2" s="1"/>
      <c r="JG2" s="1"/>
      <c r="JH2" s="1"/>
      <c r="JI2" s="1"/>
      <c r="JJ2" s="1"/>
      <c r="JK2" s="1"/>
      <c r="JL2" s="3"/>
      <c r="JM2" s="1"/>
      <c r="JN2" s="1"/>
      <c r="JP2" s="1"/>
      <c r="JQ2" s="1"/>
      <c r="JR2" s="1"/>
      <c r="JT2" s="1"/>
      <c r="KV2" s="1"/>
      <c r="KW2" s="1"/>
      <c r="KY2" s="1"/>
      <c r="KZ2" s="1"/>
      <c r="LA2" s="1"/>
      <c r="LB2" s="1"/>
      <c r="LC2" s="1"/>
      <c r="LD2" s="1"/>
      <c r="LF2" s="1"/>
      <c r="LN2" s="1"/>
      <c r="LO2" s="1"/>
      <c r="LP2" s="1"/>
      <c r="LZ2" s="1"/>
      <c r="MA2" s="1"/>
    </row>
    <row r="3" spans="4:342" ht="15.75" customHeight="1" x14ac:dyDescent="0.15">
      <c r="D3" s="12"/>
      <c r="E3" s="12"/>
      <c r="I3" s="12"/>
      <c r="J3" s="13"/>
      <c r="BF3" s="1"/>
      <c r="BG3" s="1"/>
      <c r="BH3" s="1"/>
      <c r="BI3" s="1"/>
      <c r="BK3" s="1"/>
      <c r="BL3" s="1"/>
      <c r="BM3" s="1"/>
      <c r="BN3" s="1"/>
      <c r="BO3" s="1"/>
      <c r="BP3" s="1"/>
      <c r="BQ3" s="1"/>
      <c r="BR3" s="1"/>
      <c r="CD3" s="1"/>
      <c r="CE3" s="1"/>
      <c r="CF3" s="1"/>
      <c r="CG3" s="1"/>
      <c r="CH3" s="1"/>
      <c r="CI3" s="1"/>
      <c r="CM3" s="2"/>
      <c r="CN3" s="1"/>
      <c r="CO3" s="1"/>
      <c r="CP3" s="1"/>
      <c r="CQ3" s="1"/>
      <c r="CS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ED3" s="1"/>
      <c r="EK3" s="1"/>
      <c r="EL3" s="1"/>
      <c r="EM3" s="1"/>
      <c r="EN3" s="1"/>
      <c r="EQ3" s="1"/>
      <c r="ER3" s="1"/>
      <c r="ES3" s="1"/>
      <c r="EV3" s="1"/>
      <c r="EW3" s="1"/>
      <c r="EZ3" s="1"/>
      <c r="FA3" s="1"/>
      <c r="FD3" s="1"/>
      <c r="FG3" s="1"/>
      <c r="FH3" s="1"/>
      <c r="FJ3" s="1"/>
      <c r="FM3" s="1"/>
      <c r="FP3" s="1"/>
      <c r="FS3" s="1"/>
      <c r="FU3" s="1"/>
      <c r="FV3" s="1"/>
      <c r="FX3" s="1"/>
      <c r="GA3" s="1"/>
      <c r="GD3" s="1"/>
      <c r="GE3" s="1"/>
      <c r="GF3" s="1"/>
      <c r="GG3" s="1"/>
      <c r="GH3" s="1"/>
      <c r="GI3" s="1"/>
      <c r="GJ3" s="1"/>
      <c r="GL3" s="1"/>
      <c r="GM3" s="1"/>
      <c r="GN3" s="1"/>
      <c r="GP3" s="1"/>
      <c r="GV3" s="1"/>
      <c r="GY3" s="1"/>
      <c r="HE3" s="1"/>
      <c r="HF3" s="1"/>
      <c r="HH3" s="1"/>
      <c r="HN3" s="1"/>
      <c r="HT3" s="1"/>
      <c r="HY3" s="1"/>
      <c r="IE3" s="1"/>
      <c r="IR3" s="1"/>
      <c r="IS3" s="1"/>
      <c r="IZ3" s="1"/>
      <c r="JC3" s="1"/>
      <c r="JF3" s="1"/>
      <c r="JG3" s="1"/>
      <c r="JH3" s="1"/>
      <c r="JJ3" s="1"/>
      <c r="JN3" s="1"/>
      <c r="JP3" s="1"/>
      <c r="JQ3" s="1"/>
      <c r="JT3" s="1"/>
      <c r="KU3" s="1"/>
      <c r="KV3" s="1"/>
      <c r="KW3" s="1"/>
      <c r="KY3" s="1"/>
      <c r="KZ3" s="1"/>
      <c r="LA3" s="1"/>
      <c r="LB3" s="1"/>
      <c r="LC3" s="1"/>
      <c r="LD3" s="1"/>
      <c r="LF3" s="1"/>
      <c r="LN3" s="1"/>
      <c r="LO3" s="1"/>
      <c r="LP3" s="1"/>
      <c r="LZ3" s="1"/>
      <c r="MA3" s="1"/>
    </row>
    <row r="4" spans="4:342" ht="15.75" customHeight="1" x14ac:dyDescent="0.15">
      <c r="D4" s="12"/>
      <c r="E4" s="12"/>
      <c r="I4" s="12"/>
      <c r="J4" s="13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X4" s="1"/>
      <c r="CD4" s="1"/>
      <c r="CE4" s="1"/>
      <c r="CF4" s="1"/>
      <c r="CG4" s="1"/>
      <c r="CK4" s="1"/>
      <c r="CM4" s="2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M4" s="1"/>
      <c r="DQ4" s="1"/>
      <c r="DR4" s="1"/>
      <c r="DY4" s="1"/>
      <c r="DZ4" s="1"/>
      <c r="ED4" s="1"/>
      <c r="EK4" s="1"/>
      <c r="EL4" s="1"/>
      <c r="EM4" s="1"/>
      <c r="EN4" s="1"/>
      <c r="EQ4" s="1"/>
      <c r="ER4" s="1"/>
      <c r="ES4" s="1"/>
      <c r="EV4" s="1"/>
      <c r="EW4" s="1"/>
      <c r="EZ4" s="1"/>
      <c r="FF4" s="1"/>
      <c r="FS4" s="1"/>
      <c r="FX4" s="1"/>
      <c r="GO4" s="1"/>
      <c r="GP4" s="1"/>
      <c r="GV4" s="1"/>
      <c r="HF4" s="1"/>
      <c r="HH4" s="1"/>
      <c r="HN4" s="1"/>
      <c r="HQ4" s="1"/>
      <c r="HR4" s="1"/>
      <c r="HS4" s="1"/>
      <c r="HT4" s="1"/>
      <c r="HY4" s="1"/>
      <c r="ID4" s="1"/>
      <c r="IE4" s="1"/>
      <c r="IS4" s="1"/>
      <c r="IW4" s="1"/>
      <c r="IZ4" s="1"/>
      <c r="JA4" s="1"/>
      <c r="JC4" s="1"/>
      <c r="JF4" s="1"/>
      <c r="JG4" s="1"/>
      <c r="JH4" s="1"/>
      <c r="JI4" s="1"/>
      <c r="JJ4" s="1"/>
      <c r="JO4" s="1"/>
      <c r="JP4" s="1"/>
      <c r="JQ4" s="1"/>
      <c r="JT4" s="1"/>
      <c r="KY4" s="1"/>
      <c r="KZ4" s="1"/>
      <c r="LA4" s="1"/>
      <c r="LB4" s="1"/>
      <c r="LC4" s="1"/>
      <c r="LD4" s="1"/>
      <c r="LN4" s="1"/>
      <c r="LO4" s="1"/>
      <c r="LP4" s="1"/>
      <c r="LZ4" s="1"/>
      <c r="MA4" s="1"/>
    </row>
    <row r="5" spans="4:342" ht="15.75" customHeight="1" x14ac:dyDescent="0.15">
      <c r="D5" s="12"/>
      <c r="E5" s="12"/>
      <c r="I5" s="12"/>
      <c r="J5" s="13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X5" s="1"/>
      <c r="CD5" s="1"/>
      <c r="CE5" s="1"/>
      <c r="CF5" s="1"/>
      <c r="CG5" s="1"/>
      <c r="CK5" s="1"/>
      <c r="CM5" s="2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M5" s="1"/>
      <c r="DQ5" s="1"/>
      <c r="DR5" s="1"/>
      <c r="DY5" s="1"/>
      <c r="DZ5" s="1"/>
      <c r="ED5" s="1"/>
      <c r="EK5" s="1"/>
      <c r="EL5" s="1"/>
      <c r="EM5" s="1"/>
      <c r="EN5" s="1"/>
      <c r="EQ5" s="1"/>
      <c r="ER5" s="1"/>
      <c r="ES5" s="1"/>
      <c r="EV5" s="1"/>
      <c r="EW5" s="1"/>
      <c r="EZ5" s="1"/>
      <c r="FF5" s="1"/>
      <c r="FS5" s="1"/>
      <c r="FX5" s="1"/>
      <c r="GO5" s="1"/>
      <c r="GP5" s="1"/>
      <c r="GV5" s="1"/>
      <c r="HF5" s="1"/>
      <c r="HH5" s="1"/>
      <c r="HN5" s="1"/>
      <c r="HQ5" s="1"/>
      <c r="HR5" s="1"/>
      <c r="HS5" s="1"/>
      <c r="HT5" s="1"/>
      <c r="HY5" s="1"/>
      <c r="ID5" s="1"/>
      <c r="IE5" s="1"/>
      <c r="IS5" s="1"/>
      <c r="IW5" s="1"/>
      <c r="IZ5" s="1"/>
      <c r="JA5" s="1"/>
      <c r="JC5" s="1"/>
      <c r="JF5" s="1"/>
      <c r="JG5" s="1"/>
      <c r="JH5" s="1"/>
      <c r="JI5" s="1"/>
      <c r="JJ5" s="1"/>
      <c r="JO5" s="1"/>
      <c r="JP5" s="1"/>
      <c r="JQ5" s="1"/>
      <c r="JT5" s="1"/>
      <c r="KY5" s="1"/>
      <c r="KZ5" s="1"/>
      <c r="LA5" s="1"/>
      <c r="LB5" s="1"/>
      <c r="LC5" s="1"/>
      <c r="LD5" s="1"/>
      <c r="LN5" s="1"/>
      <c r="LO5" s="1"/>
      <c r="LP5" s="1"/>
      <c r="LZ5" s="1"/>
      <c r="MA5" s="1"/>
    </row>
    <row r="6" spans="4:342" ht="15.75" customHeight="1" x14ac:dyDescent="0.15">
      <c r="D6" s="12"/>
      <c r="E6" s="12"/>
      <c r="I6" s="12"/>
      <c r="J6" s="13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X6" s="1"/>
      <c r="CD6" s="1"/>
      <c r="CE6" s="1"/>
      <c r="CF6" s="1"/>
      <c r="CG6" s="1"/>
      <c r="CK6" s="1"/>
      <c r="CM6" s="2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M6" s="1"/>
      <c r="DQ6" s="1"/>
      <c r="DR6" s="1"/>
      <c r="DY6" s="1"/>
      <c r="DZ6" s="1"/>
      <c r="ED6" s="1"/>
      <c r="EK6" s="1"/>
      <c r="EL6" s="1"/>
      <c r="EM6" s="1"/>
      <c r="EN6" s="1"/>
      <c r="EQ6" s="1"/>
      <c r="ER6" s="1"/>
      <c r="ES6" s="1"/>
      <c r="EV6" s="1"/>
      <c r="EW6" s="1"/>
      <c r="EZ6" s="1"/>
      <c r="FF6" s="1"/>
      <c r="FS6" s="1"/>
      <c r="FX6" s="1"/>
      <c r="GO6" s="1"/>
      <c r="GP6" s="1"/>
      <c r="GV6" s="1"/>
      <c r="HF6" s="1"/>
      <c r="HH6" s="1"/>
      <c r="HN6" s="1"/>
      <c r="HQ6" s="1"/>
      <c r="HR6" s="1"/>
      <c r="HS6" s="1"/>
      <c r="HT6" s="1"/>
      <c r="HY6" s="1"/>
      <c r="ID6" s="1"/>
      <c r="IE6" s="1"/>
      <c r="IS6" s="1"/>
      <c r="IW6" s="1"/>
      <c r="IZ6" s="1"/>
      <c r="JA6" s="1"/>
      <c r="JC6" s="1"/>
      <c r="JF6" s="1"/>
      <c r="JG6" s="1"/>
      <c r="JH6" s="1"/>
      <c r="JI6" s="1"/>
      <c r="JJ6" s="1"/>
      <c r="JO6" s="1"/>
      <c r="JP6" s="1"/>
      <c r="JQ6" s="1"/>
      <c r="JT6" s="1"/>
      <c r="KY6" s="1"/>
      <c r="KZ6" s="1"/>
      <c r="LA6" s="1"/>
      <c r="LB6" s="1"/>
      <c r="LC6" s="1"/>
      <c r="LD6" s="1"/>
      <c r="LN6" s="1"/>
      <c r="LO6" s="1"/>
      <c r="LP6" s="1"/>
      <c r="LZ6" s="1"/>
      <c r="MA6" s="1"/>
    </row>
    <row r="7" spans="4:342" ht="15.75" customHeight="1" x14ac:dyDescent="0.15">
      <c r="D7" s="12"/>
      <c r="E7" s="12"/>
      <c r="I7" s="12"/>
      <c r="J7" s="13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X7" s="1"/>
      <c r="CD7" s="1"/>
      <c r="CE7" s="1"/>
      <c r="CF7" s="1"/>
      <c r="CG7" s="1"/>
      <c r="CK7" s="1"/>
      <c r="CM7" s="2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M7" s="1"/>
      <c r="DQ7" s="1"/>
      <c r="DR7" s="1"/>
      <c r="DY7" s="1"/>
      <c r="DZ7" s="1"/>
      <c r="ED7" s="1"/>
      <c r="EK7" s="1"/>
      <c r="EL7" s="1"/>
      <c r="EM7" s="1"/>
      <c r="EN7" s="1"/>
      <c r="EQ7" s="1"/>
      <c r="ER7" s="1"/>
      <c r="ES7" s="1"/>
      <c r="EV7" s="1"/>
      <c r="EW7" s="1"/>
      <c r="EZ7" s="1"/>
      <c r="FF7" s="1"/>
      <c r="FS7" s="1"/>
      <c r="FX7" s="1"/>
      <c r="GO7" s="1"/>
      <c r="GP7" s="1"/>
      <c r="GV7" s="1"/>
      <c r="HF7" s="1"/>
      <c r="HH7" s="1"/>
      <c r="HN7" s="1"/>
      <c r="HQ7" s="1"/>
      <c r="HR7" s="1"/>
      <c r="HS7" s="1"/>
      <c r="HT7" s="1"/>
      <c r="HY7" s="1"/>
      <c r="ID7" s="1"/>
      <c r="IE7" s="1"/>
      <c r="IS7" s="1"/>
      <c r="IW7" s="1"/>
      <c r="IZ7" s="1"/>
      <c r="JA7" s="1"/>
      <c r="JC7" s="1"/>
      <c r="JF7" s="1"/>
      <c r="JG7" s="1"/>
      <c r="JH7" s="1"/>
      <c r="JI7" s="1"/>
      <c r="JJ7" s="1"/>
      <c r="JO7" s="1"/>
      <c r="JP7" s="1"/>
      <c r="JQ7" s="1"/>
      <c r="JT7" s="1"/>
      <c r="KY7" s="1"/>
      <c r="KZ7" s="1"/>
      <c r="LA7" s="1"/>
      <c r="LB7" s="1"/>
      <c r="LC7" s="1"/>
      <c r="LD7" s="1"/>
      <c r="LN7" s="1"/>
      <c r="LO7" s="1"/>
      <c r="LP7" s="1"/>
      <c r="LZ7" s="1"/>
      <c r="MA7" s="1"/>
    </row>
    <row r="8" spans="4:342" ht="15.75" customHeight="1" x14ac:dyDescent="0.15">
      <c r="D8" s="12"/>
      <c r="E8" s="12"/>
      <c r="I8" s="12"/>
      <c r="J8" s="13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X8" s="1"/>
      <c r="CD8" s="1"/>
      <c r="CE8" s="1"/>
      <c r="CF8" s="1"/>
      <c r="CG8" s="1"/>
      <c r="CH8" s="1"/>
      <c r="CI8" s="1"/>
      <c r="CM8" s="2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M8" s="1"/>
      <c r="DR8" s="1"/>
      <c r="ED8" s="1"/>
      <c r="EE8" s="1"/>
      <c r="EF8" s="1"/>
      <c r="EG8" s="1"/>
      <c r="EH8" s="1"/>
      <c r="EK8" s="1"/>
      <c r="EL8" s="1"/>
      <c r="EM8" s="1"/>
      <c r="EN8" s="1"/>
      <c r="EQ8" s="1"/>
      <c r="ER8" s="1"/>
      <c r="ES8" s="1"/>
      <c r="EV8" s="1"/>
      <c r="EW8" s="1"/>
      <c r="EY8" s="1"/>
      <c r="EZ8" s="1"/>
      <c r="FA8" s="1"/>
      <c r="FD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R8" s="1"/>
      <c r="GY8" s="1"/>
      <c r="HF8" s="1"/>
      <c r="HH8" s="1"/>
      <c r="HN8" s="1"/>
      <c r="HT8" s="1"/>
      <c r="HY8" s="1"/>
      <c r="IE8" s="1"/>
      <c r="IG8" s="1"/>
      <c r="IJ8" s="1"/>
      <c r="IR8" s="1"/>
      <c r="IS8" s="1"/>
      <c r="IW8" s="1"/>
      <c r="IZ8" s="1"/>
      <c r="JC8" s="1"/>
      <c r="JF8" s="1"/>
      <c r="JG8" s="1"/>
      <c r="JH8" s="1"/>
      <c r="JI8" s="1"/>
      <c r="JJ8" s="1"/>
      <c r="JK8" s="1"/>
      <c r="JL8" s="3"/>
      <c r="JM8" s="1"/>
      <c r="JN8" s="1"/>
      <c r="JP8" s="1"/>
      <c r="JQ8" s="1"/>
      <c r="JR8" s="1"/>
      <c r="JT8" s="1"/>
      <c r="KV8" s="1"/>
      <c r="KY8" s="1"/>
      <c r="KZ8" s="1"/>
      <c r="LA8" s="1"/>
      <c r="LB8" s="1"/>
      <c r="LC8" s="1"/>
      <c r="LD8" s="1"/>
      <c r="LF8" s="1"/>
      <c r="LN8" s="1"/>
      <c r="LO8" s="1"/>
      <c r="LP8" s="1"/>
      <c r="LZ8" s="1"/>
      <c r="MA8" s="1"/>
    </row>
    <row r="9" spans="4:342" ht="15.75" customHeight="1" x14ac:dyDescent="0.15">
      <c r="D9" s="12"/>
      <c r="E9" s="12"/>
      <c r="I9" s="12"/>
      <c r="J9" s="13"/>
      <c r="BF9" s="1"/>
      <c r="BG9" s="1"/>
      <c r="BH9" s="1"/>
      <c r="BI9" s="1"/>
      <c r="BK9" s="1"/>
      <c r="BL9" s="1"/>
      <c r="BM9" s="1"/>
      <c r="BN9" s="1"/>
      <c r="BQ9" s="1"/>
      <c r="BR9" s="1"/>
      <c r="CD9" s="1"/>
      <c r="CE9" s="1"/>
      <c r="CF9" s="1"/>
      <c r="CH9" s="1"/>
      <c r="CI9" s="1"/>
      <c r="CM9" s="2"/>
      <c r="CN9" s="1"/>
      <c r="CO9" s="1"/>
      <c r="CQ9" s="1"/>
      <c r="CY9" s="1"/>
      <c r="DC9" s="1"/>
      <c r="DH9" s="1"/>
      <c r="DM9" s="1"/>
      <c r="DR9" s="1"/>
      <c r="ED9" s="1"/>
      <c r="EF9" s="1"/>
      <c r="EL9" s="1"/>
      <c r="EM9" s="1"/>
      <c r="EN9" s="1"/>
      <c r="EQ9" s="1"/>
      <c r="ER9" s="1"/>
      <c r="ES9" s="1"/>
      <c r="EV9" s="1"/>
      <c r="EW9" s="1"/>
      <c r="EZ9" s="1"/>
      <c r="FA9" s="1"/>
      <c r="FD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P9" s="1"/>
      <c r="GR9" s="1"/>
      <c r="GY9" s="1"/>
      <c r="HF9" s="1"/>
      <c r="HH9" s="1"/>
      <c r="HX9" s="1"/>
      <c r="IR9" s="1"/>
      <c r="IS9" s="1"/>
      <c r="IZ9" s="1"/>
      <c r="JF9" s="1"/>
      <c r="JG9" s="1"/>
      <c r="JJ9" s="1"/>
      <c r="JN9" s="1"/>
      <c r="JP9" s="1"/>
      <c r="JQ9" s="1"/>
      <c r="KZ9" s="1"/>
      <c r="LA9" s="1"/>
      <c r="LC9" s="1"/>
      <c r="LO9" s="1"/>
      <c r="LZ9" s="1"/>
      <c r="MA9" s="1"/>
    </row>
    <row r="10" spans="4:342" ht="15.75" customHeight="1" x14ac:dyDescent="0.15">
      <c r="D10" s="12"/>
      <c r="E10" s="12"/>
      <c r="I10" s="12"/>
      <c r="J10" s="13"/>
      <c r="BF10" s="1"/>
      <c r="BG10" s="1"/>
      <c r="BH10" s="1"/>
      <c r="BI10" s="1"/>
      <c r="BK10" s="1"/>
      <c r="BL10" s="1"/>
      <c r="BM10" s="1"/>
      <c r="BN10" s="1"/>
      <c r="BO10" s="1"/>
      <c r="BP10" s="1"/>
      <c r="BQ10" s="1"/>
      <c r="BR10" s="1"/>
      <c r="BX10" s="1"/>
      <c r="CD10" s="1"/>
      <c r="CE10" s="1"/>
      <c r="CF10" s="1"/>
      <c r="CG10" s="1"/>
      <c r="CH10" s="1"/>
      <c r="CI10" s="1"/>
      <c r="CM10" s="2"/>
      <c r="CN10" s="1"/>
      <c r="CO10" s="1"/>
      <c r="CP10" s="1"/>
      <c r="CQ10" s="1"/>
      <c r="CR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M10" s="1"/>
      <c r="DR10" s="1"/>
      <c r="ED10" s="1"/>
      <c r="EF10" s="1"/>
      <c r="EK10" s="1"/>
      <c r="EL10" s="1"/>
      <c r="EM10" s="1"/>
      <c r="EN10" s="1"/>
      <c r="EQ10" s="1"/>
      <c r="ER10" s="1"/>
      <c r="ES10" s="1"/>
      <c r="EV10" s="1"/>
      <c r="EW10" s="1"/>
      <c r="EZ10" s="1"/>
      <c r="FA10" s="1"/>
      <c r="FD10" s="1"/>
      <c r="FJ10" s="1"/>
      <c r="FK10" s="1"/>
      <c r="FL10" s="1"/>
      <c r="FS10" s="1"/>
      <c r="FV10" s="1"/>
      <c r="FW10" s="1"/>
      <c r="FX10" s="1"/>
      <c r="FZ10" s="1"/>
      <c r="GA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R10" s="1"/>
      <c r="GY10" s="1"/>
      <c r="HF10" s="1"/>
      <c r="HH10" s="1"/>
      <c r="HN10" s="1"/>
      <c r="HQ10" s="1"/>
      <c r="HR10" s="1"/>
      <c r="HS10" s="1"/>
      <c r="HT10" s="1"/>
      <c r="HY10" s="1"/>
      <c r="IE10" s="1"/>
      <c r="IR10" s="1"/>
      <c r="IS10" s="1"/>
      <c r="IZ10" s="1"/>
      <c r="JC10" s="1"/>
      <c r="JF10" s="1"/>
      <c r="JG10" s="1"/>
      <c r="JH10" s="1"/>
      <c r="JI10" s="1"/>
      <c r="JJ10" s="1"/>
      <c r="JN10" s="1"/>
      <c r="JP10" s="1"/>
      <c r="JQ10" s="1"/>
      <c r="JT10" s="1"/>
      <c r="KU10" s="1"/>
      <c r="KY10" s="1"/>
      <c r="KZ10" s="1"/>
      <c r="LA10" s="1"/>
      <c r="LB10" s="1"/>
      <c r="LC10" s="1"/>
      <c r="LD10" s="1"/>
      <c r="LO10" s="1"/>
      <c r="LP10" s="1"/>
      <c r="LZ10" s="1"/>
      <c r="MA10" s="1"/>
    </row>
    <row r="11" spans="4:342" ht="15.75" customHeight="1" x14ac:dyDescent="0.15">
      <c r="D11" s="12"/>
      <c r="E11" s="12"/>
      <c r="I11" s="12"/>
      <c r="J11" s="13"/>
      <c r="BF11" s="1"/>
      <c r="BG11" s="1"/>
      <c r="BH11" s="1"/>
      <c r="BI11" s="1"/>
      <c r="BK11" s="1"/>
      <c r="BL11" s="1"/>
      <c r="BM11" s="1"/>
      <c r="BN11" s="1"/>
      <c r="BO11" s="1"/>
      <c r="BP11" s="1"/>
      <c r="BQ11" s="1"/>
      <c r="BR11" s="1"/>
      <c r="BX11" s="1"/>
      <c r="CD11" s="1"/>
      <c r="CE11" s="1"/>
      <c r="CF11" s="1"/>
      <c r="CG11" s="1"/>
      <c r="CH11" s="1"/>
      <c r="CI11" s="1"/>
      <c r="CM11" s="2"/>
      <c r="CN11" s="1"/>
      <c r="CO11" s="1"/>
      <c r="CP11" s="1"/>
      <c r="CQ11" s="1"/>
      <c r="CR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M11" s="1"/>
      <c r="DR11" s="1"/>
      <c r="ED11" s="1"/>
      <c r="EF11" s="1"/>
      <c r="EK11" s="1"/>
      <c r="EL11" s="1"/>
      <c r="EM11" s="1"/>
      <c r="EN11" s="1"/>
      <c r="EQ11" s="1"/>
      <c r="ER11" s="1"/>
      <c r="ES11" s="1"/>
      <c r="EV11" s="1"/>
      <c r="EW11" s="1"/>
      <c r="EZ11" s="1"/>
      <c r="FA11" s="1"/>
      <c r="FD11" s="1"/>
      <c r="FJ11" s="1"/>
      <c r="FK11" s="1"/>
      <c r="FL11" s="1"/>
      <c r="FS11" s="1"/>
      <c r="FV11" s="1"/>
      <c r="FW11" s="1"/>
      <c r="FX11" s="1"/>
      <c r="FZ11" s="1"/>
      <c r="GA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R11" s="1"/>
      <c r="GY11" s="1"/>
      <c r="HF11" s="1"/>
      <c r="HH11" s="1"/>
      <c r="HN11" s="1"/>
      <c r="HQ11" s="1"/>
      <c r="HR11" s="1"/>
      <c r="HS11" s="1"/>
      <c r="HT11" s="1"/>
      <c r="HY11" s="1"/>
      <c r="IE11" s="1"/>
      <c r="IR11" s="1"/>
      <c r="IS11" s="1"/>
      <c r="IZ11" s="1"/>
      <c r="JC11" s="1"/>
      <c r="JF11" s="1"/>
      <c r="JG11" s="1"/>
      <c r="JH11" s="1"/>
      <c r="JI11" s="1"/>
      <c r="JJ11" s="1"/>
      <c r="JN11" s="1"/>
      <c r="JP11" s="1"/>
      <c r="JQ11" s="1"/>
      <c r="JT11" s="1"/>
      <c r="KU11" s="1"/>
      <c r="KY11" s="1"/>
      <c r="KZ11" s="1"/>
      <c r="LA11" s="1"/>
      <c r="LB11" s="1"/>
      <c r="LC11" s="1"/>
      <c r="LD11" s="1"/>
      <c r="LO11" s="1"/>
      <c r="LP11" s="1"/>
      <c r="LZ11" s="1"/>
      <c r="MA11" s="1"/>
    </row>
    <row r="12" spans="4:342" ht="15.75" customHeight="1" x14ac:dyDescent="0.15">
      <c r="D12" s="12"/>
      <c r="E12" s="12"/>
      <c r="I12" s="12"/>
      <c r="J12" s="13"/>
      <c r="BF12" s="1"/>
      <c r="BG12" s="1"/>
      <c r="BH12" s="1"/>
      <c r="BI12" s="1"/>
      <c r="BK12" s="1"/>
      <c r="BL12" s="1"/>
      <c r="BM12" s="1"/>
      <c r="BN12" s="1"/>
      <c r="BO12" s="1"/>
      <c r="BP12" s="1"/>
      <c r="BQ12" s="1"/>
      <c r="BR12" s="1"/>
      <c r="BX12" s="1"/>
      <c r="CD12" s="1"/>
      <c r="CE12" s="1"/>
      <c r="CF12" s="1"/>
      <c r="CG12" s="1"/>
      <c r="CH12" s="1"/>
      <c r="CI12" s="1"/>
      <c r="CM12" s="2"/>
      <c r="CN12" s="1"/>
      <c r="CO12" s="1"/>
      <c r="CP12" s="1"/>
      <c r="CQ12" s="1"/>
      <c r="CR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M12" s="1"/>
      <c r="DR12" s="1"/>
      <c r="ED12" s="1"/>
      <c r="EF12" s="1"/>
      <c r="EK12" s="1"/>
      <c r="EL12" s="1"/>
      <c r="EM12" s="1"/>
      <c r="EN12" s="1"/>
      <c r="EQ12" s="1"/>
      <c r="ER12" s="1"/>
      <c r="ES12" s="1"/>
      <c r="EV12" s="1"/>
      <c r="EW12" s="1"/>
      <c r="EZ12" s="1"/>
      <c r="FA12" s="1"/>
      <c r="FD12" s="1"/>
      <c r="FJ12" s="1"/>
      <c r="FK12" s="1"/>
      <c r="FL12" s="1"/>
      <c r="FS12" s="1"/>
      <c r="FV12" s="1"/>
      <c r="FW12" s="1"/>
      <c r="FX12" s="1"/>
      <c r="FZ12" s="1"/>
      <c r="GA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R12" s="1"/>
      <c r="GY12" s="1"/>
      <c r="HF12" s="1"/>
      <c r="HH12" s="1"/>
      <c r="HN12" s="1"/>
      <c r="HQ12" s="1"/>
      <c r="HR12" s="1"/>
      <c r="HS12" s="1"/>
      <c r="HT12" s="1"/>
      <c r="HY12" s="1"/>
      <c r="IE12" s="1"/>
      <c r="IR12" s="1"/>
      <c r="IS12" s="1"/>
      <c r="IZ12" s="1"/>
      <c r="JC12" s="1"/>
      <c r="JF12" s="1"/>
      <c r="JG12" s="1"/>
      <c r="JH12" s="1"/>
      <c r="JI12" s="1"/>
      <c r="JJ12" s="1"/>
      <c r="JN12" s="1"/>
      <c r="JP12" s="1"/>
      <c r="JQ12" s="1"/>
      <c r="JT12" s="1"/>
      <c r="KU12" s="1"/>
      <c r="KY12" s="1"/>
      <c r="KZ12" s="1"/>
      <c r="LA12" s="1"/>
      <c r="LB12" s="1"/>
      <c r="LC12" s="1"/>
      <c r="LD12" s="1"/>
      <c r="LO12" s="1"/>
      <c r="LP12" s="1"/>
      <c r="LZ12" s="1"/>
      <c r="MA12" s="1"/>
    </row>
    <row r="13" spans="4:342" ht="15.75" customHeight="1" x14ac:dyDescent="0.15">
      <c r="D13" s="12"/>
      <c r="E13" s="12"/>
      <c r="I13" s="12"/>
      <c r="J13" s="13"/>
      <c r="BF13" s="1"/>
      <c r="BG13" s="1"/>
      <c r="BH13" s="1"/>
      <c r="BI13" s="1"/>
      <c r="BK13" s="1"/>
      <c r="BL13" s="1"/>
      <c r="BM13" s="1"/>
      <c r="BN13" s="1"/>
      <c r="BO13" s="1"/>
      <c r="BP13" s="1"/>
      <c r="BQ13" s="1"/>
      <c r="BR13" s="1"/>
      <c r="CD13" s="1"/>
      <c r="CE13" s="1"/>
      <c r="CF13" s="1"/>
      <c r="CG13" s="1"/>
      <c r="CH13" s="1"/>
      <c r="CI13" s="1"/>
      <c r="CM13" s="4"/>
      <c r="CN13" s="1"/>
      <c r="CO13" s="1"/>
      <c r="CP13" s="1"/>
      <c r="CQ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M13" s="1"/>
      <c r="DR13" s="1"/>
      <c r="ED13" s="1"/>
      <c r="EF13" s="1"/>
      <c r="EK13" s="1"/>
      <c r="EL13" s="1"/>
      <c r="EM13" s="1"/>
      <c r="EN13" s="1"/>
      <c r="EQ13" s="1"/>
      <c r="ER13" s="1"/>
      <c r="ES13" s="1"/>
      <c r="EV13" s="1"/>
      <c r="EW13" s="1"/>
      <c r="EZ13" s="1"/>
      <c r="FA13" s="1"/>
      <c r="FD13" s="1"/>
      <c r="FG13" s="1"/>
      <c r="FH13" s="1"/>
      <c r="FI13" s="1"/>
      <c r="FJ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P13" s="1"/>
      <c r="GR13" s="1"/>
      <c r="GY13" s="1"/>
      <c r="HF13" s="1"/>
      <c r="HH13" s="1"/>
      <c r="HN13" s="1"/>
      <c r="HT13" s="1"/>
      <c r="HY13" s="1"/>
      <c r="IE13" s="1"/>
      <c r="IR13" s="1"/>
      <c r="IS13" s="1"/>
      <c r="IZ13" s="1"/>
      <c r="JF13" s="1"/>
      <c r="JG13" s="1"/>
      <c r="JJ13" s="1"/>
      <c r="JN13" s="1"/>
      <c r="JP13" s="1"/>
      <c r="JQ13" s="1"/>
      <c r="JT13" s="1"/>
      <c r="KW13" s="1"/>
      <c r="KY13" s="1"/>
      <c r="KZ13" s="1"/>
      <c r="LA13" s="1"/>
      <c r="LB13" s="1"/>
      <c r="LC13" s="1"/>
      <c r="LD13" s="1"/>
      <c r="LO13" s="1"/>
      <c r="LP13" s="1"/>
      <c r="LZ13" s="1"/>
      <c r="MA13" s="1"/>
    </row>
    <row r="14" spans="4:342" ht="15.75" customHeight="1" x14ac:dyDescent="0.15">
      <c r="D14" s="12"/>
      <c r="E14" s="12"/>
      <c r="I14" s="12"/>
      <c r="J14" s="13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X14" s="1"/>
      <c r="CD14" s="1"/>
      <c r="CE14" s="1"/>
      <c r="CF14" s="1"/>
      <c r="CG14" s="1"/>
      <c r="CH14" s="1"/>
      <c r="CI14" s="1"/>
      <c r="CM14" s="2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M14" s="1"/>
      <c r="DQ14" s="1"/>
      <c r="DR14" s="1"/>
      <c r="DY14" s="1"/>
      <c r="DZ14" s="1"/>
      <c r="ED14" s="1"/>
      <c r="EF14" s="1"/>
      <c r="EK14" s="1"/>
      <c r="EL14" s="1"/>
      <c r="EM14" s="1"/>
      <c r="EN14" s="1"/>
      <c r="EQ14" s="1"/>
      <c r="ER14" s="1"/>
      <c r="ES14" s="1"/>
      <c r="EV14" s="1"/>
      <c r="EW14" s="1"/>
      <c r="EZ14" s="1"/>
      <c r="FA14" s="1"/>
      <c r="FD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R14" s="1"/>
      <c r="GY14" s="1"/>
      <c r="HF14" s="1"/>
      <c r="HH14" s="1"/>
      <c r="HN14" s="1"/>
      <c r="HQ14" s="1"/>
      <c r="HR14" s="1"/>
      <c r="HS14" s="1"/>
      <c r="HT14" s="1"/>
      <c r="HY14" s="1"/>
      <c r="ID14" s="1"/>
      <c r="IE14" s="1"/>
      <c r="IF14" s="1"/>
      <c r="IG14" s="1"/>
      <c r="IH14" s="1"/>
      <c r="IJ14" s="1"/>
      <c r="IR14" s="1"/>
      <c r="IS14" s="1"/>
      <c r="IZ14" s="1"/>
      <c r="JC14" s="1"/>
      <c r="JF14" s="1"/>
      <c r="JH14" s="1"/>
      <c r="JI14" s="1"/>
      <c r="JJ14" s="1"/>
      <c r="JK14" s="1"/>
      <c r="JL14" s="3"/>
      <c r="JM14" s="1"/>
      <c r="JP14" s="1"/>
      <c r="JQ14" s="1"/>
      <c r="JR14" s="1"/>
      <c r="JT14" s="1"/>
      <c r="KV14" s="1"/>
      <c r="KY14" s="1"/>
      <c r="KZ14" s="1"/>
      <c r="LA14" s="1"/>
      <c r="LB14" s="1"/>
      <c r="LC14" s="1"/>
      <c r="LD14" s="1"/>
      <c r="LF14" s="1"/>
      <c r="LN14" s="1"/>
      <c r="LO14" s="1"/>
      <c r="LP14" s="1"/>
      <c r="LZ14" s="1"/>
      <c r="MA14" s="1"/>
    </row>
    <row r="15" spans="4:342" ht="15.75" customHeight="1" x14ac:dyDescent="0.15">
      <c r="D15" s="12"/>
      <c r="E15" s="12"/>
      <c r="I15" s="12"/>
      <c r="J15" s="13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X15" s="1"/>
      <c r="CD15" s="1"/>
      <c r="CE15" s="1"/>
      <c r="CF15" s="1"/>
      <c r="CG15" s="1"/>
      <c r="CH15" s="1"/>
      <c r="CI15" s="1"/>
      <c r="CM15" s="2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M15" s="1"/>
      <c r="DQ15" s="1"/>
      <c r="DR15" s="1"/>
      <c r="DY15" s="1"/>
      <c r="DZ15" s="1"/>
      <c r="ED15" s="1"/>
      <c r="EF15" s="1"/>
      <c r="EK15" s="1"/>
      <c r="EL15" s="1"/>
      <c r="EM15" s="1"/>
      <c r="EN15" s="1"/>
      <c r="EQ15" s="1"/>
      <c r="ER15" s="1"/>
      <c r="ES15" s="1"/>
      <c r="EV15" s="1"/>
      <c r="EW15" s="1"/>
      <c r="EZ15" s="1"/>
      <c r="FA15" s="1"/>
      <c r="FD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R15" s="1"/>
      <c r="GY15" s="1"/>
      <c r="HF15" s="1"/>
      <c r="HH15" s="1"/>
      <c r="HN15" s="1"/>
      <c r="HQ15" s="1"/>
      <c r="HR15" s="1"/>
      <c r="HS15" s="1"/>
      <c r="HT15" s="1"/>
      <c r="HY15" s="1"/>
      <c r="ID15" s="1"/>
      <c r="IE15" s="1"/>
      <c r="IF15" s="1"/>
      <c r="IG15" s="1"/>
      <c r="IH15" s="1"/>
      <c r="IJ15" s="1"/>
      <c r="IR15" s="1"/>
      <c r="IS15" s="1"/>
      <c r="IZ15" s="1"/>
      <c r="JC15" s="1"/>
      <c r="JF15" s="1"/>
      <c r="JH15" s="1"/>
      <c r="JI15" s="1"/>
      <c r="JJ15" s="1"/>
      <c r="JK15" s="1"/>
      <c r="JL15" s="3"/>
      <c r="JM15" s="1"/>
      <c r="JP15" s="1"/>
      <c r="JQ15" s="1"/>
      <c r="JR15" s="1"/>
      <c r="JT15" s="1"/>
      <c r="KV15" s="1"/>
      <c r="KY15" s="1"/>
      <c r="KZ15" s="1"/>
      <c r="LA15" s="1"/>
      <c r="LB15" s="1"/>
      <c r="LC15" s="1"/>
      <c r="LD15" s="1"/>
      <c r="LF15" s="1"/>
      <c r="LN15" s="1"/>
      <c r="LO15" s="1"/>
      <c r="LP15" s="1"/>
      <c r="LZ15" s="1"/>
      <c r="MA15" s="1"/>
    </row>
    <row r="16" spans="4:342" ht="15.75" customHeight="1" x14ac:dyDescent="0.15">
      <c r="D16" s="12"/>
      <c r="E16" s="12"/>
      <c r="I16" s="12"/>
      <c r="J16" s="13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X16" s="1"/>
      <c r="CD16" s="1"/>
      <c r="CE16" s="1"/>
      <c r="CF16" s="1"/>
      <c r="CG16" s="1"/>
      <c r="CH16" s="1"/>
      <c r="CI16" s="1"/>
      <c r="CM16" s="2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M16" s="1"/>
      <c r="DQ16" s="1"/>
      <c r="DR16" s="1"/>
      <c r="DY16" s="1"/>
      <c r="DZ16" s="1"/>
      <c r="ED16" s="1"/>
      <c r="EF16" s="1"/>
      <c r="EK16" s="1"/>
      <c r="EL16" s="1"/>
      <c r="EM16" s="1"/>
      <c r="EN16" s="1"/>
      <c r="EQ16" s="1"/>
      <c r="ER16" s="1"/>
      <c r="ES16" s="1"/>
      <c r="EV16" s="1"/>
      <c r="EW16" s="1"/>
      <c r="EZ16" s="1"/>
      <c r="FA16" s="1"/>
      <c r="FD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R16" s="1"/>
      <c r="GY16" s="1"/>
      <c r="HF16" s="1"/>
      <c r="HH16" s="1"/>
      <c r="HN16" s="1"/>
      <c r="HQ16" s="1"/>
      <c r="HR16" s="1"/>
      <c r="HS16" s="1"/>
      <c r="HT16" s="1"/>
      <c r="HY16" s="1"/>
      <c r="ID16" s="1"/>
      <c r="IE16" s="1"/>
      <c r="IF16" s="1"/>
      <c r="IG16" s="1"/>
      <c r="IH16" s="1"/>
      <c r="IJ16" s="1"/>
      <c r="IR16" s="1"/>
      <c r="IS16" s="1"/>
      <c r="IZ16" s="1"/>
      <c r="JC16" s="1"/>
      <c r="JF16" s="1"/>
      <c r="JH16" s="1"/>
      <c r="JI16" s="1"/>
      <c r="JJ16" s="1"/>
      <c r="JK16" s="1"/>
      <c r="JL16" s="3"/>
      <c r="JM16" s="1"/>
      <c r="JP16" s="1"/>
      <c r="JQ16" s="1"/>
      <c r="JR16" s="1"/>
      <c r="JT16" s="1"/>
      <c r="KV16" s="1"/>
      <c r="KY16" s="1"/>
      <c r="KZ16" s="1"/>
      <c r="LA16" s="1"/>
      <c r="LB16" s="1"/>
      <c r="LC16" s="1"/>
      <c r="LD16" s="1"/>
      <c r="LF16" s="1"/>
      <c r="LN16" s="1"/>
      <c r="LO16" s="1"/>
      <c r="LP16" s="1"/>
      <c r="LZ16" s="1"/>
      <c r="MA16" s="1"/>
    </row>
    <row r="17" spans="4:339" ht="15.75" customHeight="1" x14ac:dyDescent="0.15">
      <c r="D17" s="12"/>
      <c r="E17" s="12"/>
      <c r="I17" s="12"/>
      <c r="J17" s="13"/>
      <c r="BF17" s="1"/>
      <c r="BG17" s="1"/>
      <c r="BH17" s="1"/>
      <c r="BI17" s="1"/>
      <c r="BK17" s="1"/>
      <c r="BL17" s="1"/>
      <c r="BM17" s="1"/>
      <c r="BN17" s="1"/>
      <c r="BO17" s="1"/>
      <c r="BP17" s="1"/>
      <c r="BQ17" s="1"/>
      <c r="BR17" s="1"/>
      <c r="BX17" s="1"/>
      <c r="CD17" s="1"/>
      <c r="CE17" s="1"/>
      <c r="CF17" s="1"/>
      <c r="CG17" s="1"/>
      <c r="CH17" s="1"/>
      <c r="CI17" s="1"/>
      <c r="CM17" s="2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M17" s="1"/>
      <c r="DQ17" s="1"/>
      <c r="DR17" s="1"/>
      <c r="DY17" s="1"/>
      <c r="DZ17" s="1"/>
      <c r="ED17" s="1"/>
      <c r="EE17" s="1"/>
      <c r="EF17" s="1"/>
      <c r="EG17" s="1"/>
      <c r="EH17" s="1"/>
      <c r="EK17" s="1"/>
      <c r="EL17" s="1"/>
      <c r="EM17" s="1"/>
      <c r="EN17" s="1"/>
      <c r="EQ17" s="1"/>
      <c r="ER17" s="1"/>
      <c r="ES17" s="1"/>
      <c r="EV17" s="1"/>
      <c r="EW17" s="1"/>
      <c r="EY17" s="1"/>
      <c r="EZ17" s="1"/>
      <c r="FA17" s="1"/>
      <c r="FD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R17" s="1"/>
      <c r="GS17" s="1"/>
      <c r="GY17" s="1"/>
      <c r="HF17" s="1"/>
      <c r="HH17" s="1"/>
      <c r="HN17" s="1"/>
      <c r="HQ17" s="1"/>
      <c r="HT17" s="1"/>
      <c r="HY17" s="1"/>
      <c r="IC17" s="1"/>
      <c r="ID17" s="1"/>
      <c r="IE17" s="1"/>
      <c r="IG17" s="1"/>
      <c r="IJ17" s="1"/>
      <c r="IR17" s="1"/>
      <c r="IS17" s="1"/>
      <c r="IW17" s="1"/>
      <c r="IX17" s="1"/>
      <c r="IZ17" s="1"/>
      <c r="JB17" s="1"/>
      <c r="JC17" s="1"/>
      <c r="JF17" s="1"/>
      <c r="JG17" s="1"/>
      <c r="JH17" s="1"/>
      <c r="JI17" s="1"/>
      <c r="JJ17" s="1"/>
      <c r="JK17" s="1"/>
      <c r="JL17" s="3"/>
      <c r="JM17" s="1"/>
      <c r="JN17" s="1"/>
      <c r="JP17" s="1"/>
      <c r="JQ17" s="1"/>
      <c r="JR17" s="1"/>
      <c r="JT17" s="1"/>
      <c r="KU17" s="1"/>
      <c r="KV17" s="1"/>
      <c r="KW17" s="1"/>
      <c r="KY17" s="1"/>
      <c r="KZ17" s="1"/>
      <c r="LA17" s="1"/>
      <c r="LB17" s="1"/>
      <c r="LC17" s="1"/>
      <c r="LD17" s="1"/>
      <c r="LO17" s="1"/>
      <c r="LP17" s="1"/>
      <c r="LW17" s="1"/>
      <c r="LZ17" s="1"/>
      <c r="MA17" s="1"/>
    </row>
    <row r="18" spans="4:339" ht="15.75" customHeight="1" x14ac:dyDescent="0.15">
      <c r="D18" s="12"/>
      <c r="E18" s="12"/>
      <c r="I18" s="12"/>
      <c r="J18" s="13"/>
      <c r="BF18" s="1"/>
      <c r="BG18" s="1"/>
      <c r="BH18" s="1"/>
      <c r="BI18" s="1"/>
      <c r="BK18" s="1"/>
      <c r="BL18" s="1"/>
      <c r="BM18" s="1"/>
      <c r="BN18" s="1"/>
      <c r="BO18" s="1"/>
      <c r="BP18" s="1"/>
      <c r="BQ18" s="1"/>
      <c r="BR18" s="1"/>
      <c r="BX18" s="1"/>
      <c r="CD18" s="1"/>
      <c r="CE18" s="1"/>
      <c r="CF18" s="1"/>
      <c r="CG18" s="1"/>
      <c r="CH18" s="1"/>
      <c r="CI18" s="1"/>
      <c r="CM18" s="2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M18" s="1"/>
      <c r="DQ18" s="1"/>
      <c r="DR18" s="1"/>
      <c r="DY18" s="1"/>
      <c r="DZ18" s="1"/>
      <c r="ED18" s="1"/>
      <c r="EE18" s="1"/>
      <c r="EF18" s="1"/>
      <c r="EG18" s="1"/>
      <c r="EH18" s="1"/>
      <c r="EK18" s="1"/>
      <c r="EL18" s="1"/>
      <c r="EM18" s="1"/>
      <c r="EN18" s="1"/>
      <c r="EQ18" s="1"/>
      <c r="ER18" s="1"/>
      <c r="ES18" s="1"/>
      <c r="EV18" s="1"/>
      <c r="EW18" s="1"/>
      <c r="EY18" s="1"/>
      <c r="EZ18" s="1"/>
      <c r="FA18" s="1"/>
      <c r="FD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R18" s="1"/>
      <c r="GS18" s="1"/>
      <c r="GY18" s="1"/>
      <c r="HF18" s="1"/>
      <c r="HH18" s="1"/>
      <c r="HN18" s="1"/>
      <c r="HQ18" s="1"/>
      <c r="HT18" s="1"/>
      <c r="HY18" s="1"/>
      <c r="IC18" s="1"/>
      <c r="ID18" s="1"/>
      <c r="IE18" s="1"/>
      <c r="IG18" s="1"/>
      <c r="IJ18" s="1"/>
      <c r="IR18" s="1"/>
      <c r="IS18" s="1"/>
      <c r="IW18" s="1"/>
      <c r="IX18" s="1"/>
      <c r="IZ18" s="1"/>
      <c r="JB18" s="1"/>
      <c r="JC18" s="1"/>
      <c r="JF18" s="1"/>
      <c r="JG18" s="1"/>
      <c r="JH18" s="1"/>
      <c r="JI18" s="1"/>
      <c r="JJ18" s="1"/>
      <c r="JK18" s="1"/>
      <c r="JL18" s="3"/>
      <c r="JM18" s="1"/>
      <c r="JN18" s="1"/>
      <c r="JP18" s="1"/>
      <c r="JQ18" s="1"/>
      <c r="JR18" s="1"/>
      <c r="JT18" s="1"/>
      <c r="KU18" s="1"/>
      <c r="KV18" s="1"/>
      <c r="KW18" s="1"/>
      <c r="KY18" s="1"/>
      <c r="KZ18" s="1"/>
      <c r="LA18" s="1"/>
      <c r="LB18" s="1"/>
      <c r="LC18" s="1"/>
      <c r="LD18" s="1"/>
      <c r="LO18" s="1"/>
      <c r="LP18" s="1"/>
      <c r="LW18" s="1"/>
      <c r="LZ18" s="1"/>
      <c r="MA18" s="1"/>
    </row>
    <row r="19" spans="4:339" ht="15.75" customHeight="1" x14ac:dyDescent="0.15">
      <c r="D19" s="12"/>
      <c r="E19" s="12"/>
      <c r="I19" s="12"/>
      <c r="J19" s="13"/>
      <c r="BF19" s="1"/>
      <c r="BG19" s="1"/>
      <c r="BH19" s="1"/>
      <c r="BI19" s="1"/>
      <c r="BK19" s="1"/>
      <c r="BL19" s="1"/>
      <c r="BM19" s="1"/>
      <c r="BN19" s="1"/>
      <c r="BO19" s="1"/>
      <c r="BP19" s="1"/>
      <c r="BQ19" s="1"/>
      <c r="BR19" s="1"/>
      <c r="BX19" s="1"/>
      <c r="CD19" s="1"/>
      <c r="CE19" s="1"/>
      <c r="CF19" s="1"/>
      <c r="CG19" s="1"/>
      <c r="CH19" s="1"/>
      <c r="CI19" s="1"/>
      <c r="CM19" s="2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M19" s="1"/>
      <c r="DQ19" s="1"/>
      <c r="DR19" s="1"/>
      <c r="DY19" s="1"/>
      <c r="DZ19" s="1"/>
      <c r="ED19" s="1"/>
      <c r="EE19" s="1"/>
      <c r="EF19" s="1"/>
      <c r="EG19" s="1"/>
      <c r="EH19" s="1"/>
      <c r="EK19" s="1"/>
      <c r="EL19" s="1"/>
      <c r="EM19" s="1"/>
      <c r="EN19" s="1"/>
      <c r="EQ19" s="1"/>
      <c r="ER19" s="1"/>
      <c r="ES19" s="1"/>
      <c r="EV19" s="1"/>
      <c r="EW19" s="1"/>
      <c r="EY19" s="1"/>
      <c r="EZ19" s="1"/>
      <c r="FA19" s="1"/>
      <c r="FD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R19" s="1"/>
      <c r="GS19" s="1"/>
      <c r="GY19" s="1"/>
      <c r="HF19" s="1"/>
      <c r="HH19" s="1"/>
      <c r="HN19" s="1"/>
      <c r="HQ19" s="1"/>
      <c r="HT19" s="1"/>
      <c r="HY19" s="1"/>
      <c r="IC19" s="1"/>
      <c r="ID19" s="1"/>
      <c r="IE19" s="1"/>
      <c r="IG19" s="1"/>
      <c r="IJ19" s="1"/>
      <c r="IR19" s="1"/>
      <c r="IS19" s="1"/>
      <c r="IW19" s="1"/>
      <c r="IX19" s="1"/>
      <c r="IZ19" s="1"/>
      <c r="JB19" s="1"/>
      <c r="JC19" s="1"/>
      <c r="JF19" s="1"/>
      <c r="JG19" s="1"/>
      <c r="JH19" s="1"/>
      <c r="JI19" s="1"/>
      <c r="JJ19" s="1"/>
      <c r="JK19" s="1"/>
      <c r="JL19" s="3"/>
      <c r="JM19" s="1"/>
      <c r="JN19" s="1"/>
      <c r="JP19" s="1"/>
      <c r="JQ19" s="1"/>
      <c r="JR19" s="1"/>
      <c r="JT19" s="1"/>
      <c r="KU19" s="1"/>
      <c r="KV19" s="1"/>
      <c r="KW19" s="1"/>
      <c r="KY19" s="1"/>
      <c r="KZ19" s="1"/>
      <c r="LA19" s="1"/>
      <c r="LB19" s="1"/>
      <c r="LC19" s="1"/>
      <c r="LD19" s="1"/>
      <c r="LO19" s="1"/>
      <c r="LP19" s="1"/>
      <c r="LW19" s="1"/>
      <c r="LZ19" s="1"/>
      <c r="MA19" s="1"/>
    </row>
    <row r="20" spans="4:339" ht="15.75" customHeight="1" x14ac:dyDescent="0.15">
      <c r="D20" s="12"/>
      <c r="E20" s="12"/>
      <c r="I20" s="12"/>
      <c r="J20" s="13"/>
      <c r="BF20" s="1"/>
      <c r="BG20" s="1"/>
      <c r="BH20" s="1"/>
      <c r="BI20" s="1"/>
      <c r="BK20" s="1"/>
      <c r="BL20" s="1"/>
      <c r="BM20" s="1"/>
      <c r="BN20" s="1"/>
      <c r="BO20" s="1"/>
      <c r="BP20" s="1"/>
      <c r="BQ20" s="1"/>
      <c r="BR20" s="1"/>
      <c r="BX20" s="1"/>
      <c r="CD20" s="1"/>
      <c r="CE20" s="1"/>
      <c r="CF20" s="1"/>
      <c r="CG20" s="1"/>
      <c r="CH20" s="1"/>
      <c r="CI20" s="1"/>
      <c r="CM20" s="2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M20" s="1"/>
      <c r="DQ20" s="1"/>
      <c r="DR20" s="1"/>
      <c r="DY20" s="1"/>
      <c r="DZ20" s="1"/>
      <c r="ED20" s="1"/>
      <c r="EE20" s="1"/>
      <c r="EF20" s="1"/>
      <c r="EG20" s="1"/>
      <c r="EH20" s="1"/>
      <c r="EK20" s="1"/>
      <c r="EL20" s="1"/>
      <c r="EM20" s="1"/>
      <c r="EN20" s="1"/>
      <c r="EQ20" s="1"/>
      <c r="ER20" s="1"/>
      <c r="ES20" s="1"/>
      <c r="EV20" s="1"/>
      <c r="EW20" s="1"/>
      <c r="EY20" s="1"/>
      <c r="EZ20" s="1"/>
      <c r="FA20" s="1"/>
      <c r="FD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R20" s="1"/>
      <c r="GS20" s="1"/>
      <c r="GY20" s="1"/>
      <c r="HF20" s="1"/>
      <c r="HH20" s="1"/>
      <c r="HN20" s="1"/>
      <c r="HQ20" s="1"/>
      <c r="HT20" s="1"/>
      <c r="HY20" s="1"/>
      <c r="IC20" s="1"/>
      <c r="ID20" s="1"/>
      <c r="IE20" s="1"/>
      <c r="IG20" s="1"/>
      <c r="IJ20" s="1"/>
      <c r="IR20" s="1"/>
      <c r="IS20" s="1"/>
      <c r="IW20" s="1"/>
      <c r="IX20" s="1"/>
      <c r="IZ20" s="1"/>
      <c r="JB20" s="1"/>
      <c r="JC20" s="1"/>
      <c r="JF20" s="1"/>
      <c r="JG20" s="1"/>
      <c r="JH20" s="1"/>
      <c r="JI20" s="1"/>
      <c r="JJ20" s="1"/>
      <c r="JK20" s="1"/>
      <c r="JL20" s="3"/>
      <c r="JM20" s="1"/>
      <c r="JN20" s="1"/>
      <c r="JP20" s="1"/>
      <c r="JQ20" s="1"/>
      <c r="JR20" s="1"/>
      <c r="JT20" s="1"/>
      <c r="KU20" s="1"/>
      <c r="KV20" s="1"/>
      <c r="KW20" s="1"/>
      <c r="KY20" s="1"/>
      <c r="KZ20" s="1"/>
      <c r="LA20" s="1"/>
      <c r="LB20" s="1"/>
      <c r="LC20" s="1"/>
      <c r="LD20" s="1"/>
      <c r="LO20" s="1"/>
      <c r="LP20" s="1"/>
      <c r="LW20" s="1"/>
      <c r="LZ20" s="1"/>
      <c r="MA20" s="1"/>
    </row>
    <row r="21" spans="4:339" ht="15.75" customHeight="1" x14ac:dyDescent="0.15">
      <c r="D21" s="12"/>
      <c r="E21" s="12"/>
      <c r="I21" s="12"/>
      <c r="J21" s="13"/>
      <c r="BF21" s="1"/>
      <c r="BG21" s="1"/>
      <c r="BH21" s="1"/>
      <c r="BI21" s="1"/>
      <c r="BK21" s="1"/>
      <c r="BL21" s="1"/>
      <c r="BM21" s="1"/>
      <c r="BN21" s="1"/>
      <c r="BO21" s="1"/>
      <c r="BP21" s="1"/>
      <c r="BQ21" s="1"/>
      <c r="BR21" s="1"/>
      <c r="BX21" s="1"/>
      <c r="CD21" s="1"/>
      <c r="CE21" s="1"/>
      <c r="CF21" s="1"/>
      <c r="CG21" s="1"/>
      <c r="CH21" s="1"/>
      <c r="CI21" s="1"/>
      <c r="CM21" s="2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M21" s="1"/>
      <c r="DQ21" s="1"/>
      <c r="DR21" s="1"/>
      <c r="DY21" s="1"/>
      <c r="DZ21" s="1"/>
      <c r="ED21" s="1"/>
      <c r="EE21" s="1"/>
      <c r="EF21" s="1"/>
      <c r="EG21" s="1"/>
      <c r="EH21" s="1"/>
      <c r="EK21" s="1"/>
      <c r="EL21" s="1"/>
      <c r="EM21" s="1"/>
      <c r="EN21" s="1"/>
      <c r="EQ21" s="1"/>
      <c r="ER21" s="1"/>
      <c r="ES21" s="1"/>
      <c r="EV21" s="1"/>
      <c r="EW21" s="1"/>
      <c r="EY21" s="1"/>
      <c r="EZ21" s="1"/>
      <c r="FA21" s="1"/>
      <c r="FD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R21" s="1"/>
      <c r="GS21" s="1"/>
      <c r="GY21" s="1"/>
      <c r="HF21" s="1"/>
      <c r="HH21" s="1"/>
      <c r="HN21" s="1"/>
      <c r="HQ21" s="1"/>
      <c r="HT21" s="1"/>
      <c r="HY21" s="1"/>
      <c r="IC21" s="1"/>
      <c r="ID21" s="1"/>
      <c r="IE21" s="1"/>
      <c r="IG21" s="1"/>
      <c r="IJ21" s="1"/>
      <c r="IR21" s="1"/>
      <c r="IS21" s="1"/>
      <c r="IW21" s="1"/>
      <c r="IX21" s="1"/>
      <c r="IZ21" s="1"/>
      <c r="JB21" s="1"/>
      <c r="JC21" s="1"/>
      <c r="JF21" s="1"/>
      <c r="JG21" s="1"/>
      <c r="JH21" s="1"/>
      <c r="JI21" s="1"/>
      <c r="JJ21" s="1"/>
      <c r="JK21" s="1"/>
      <c r="JL21" s="3"/>
      <c r="JM21" s="1"/>
      <c r="JN21" s="1"/>
      <c r="JP21" s="1"/>
      <c r="JQ21" s="1"/>
      <c r="JR21" s="1"/>
      <c r="JT21" s="1"/>
      <c r="KU21" s="1"/>
      <c r="KV21" s="1"/>
      <c r="KW21" s="1"/>
      <c r="KY21" s="1"/>
      <c r="KZ21" s="1"/>
      <c r="LA21" s="1"/>
      <c r="LB21" s="1"/>
      <c r="LC21" s="1"/>
      <c r="LD21" s="1"/>
      <c r="LO21" s="1"/>
      <c r="LP21" s="1"/>
      <c r="LW21" s="1"/>
      <c r="LZ21" s="1"/>
      <c r="MA21" s="1"/>
    </row>
    <row r="22" spans="4:339" ht="15.75" customHeight="1" x14ac:dyDescent="0.15">
      <c r="D22" s="12"/>
      <c r="E22" s="12"/>
      <c r="I22" s="12"/>
      <c r="J22" s="13"/>
      <c r="BF22" s="1"/>
      <c r="BG22" s="1"/>
      <c r="BH22" s="1"/>
      <c r="BI22" s="1"/>
      <c r="BK22" s="1"/>
      <c r="BL22" s="1"/>
      <c r="BM22" s="1"/>
      <c r="BN22" s="1"/>
      <c r="BO22" s="1"/>
      <c r="BP22" s="1"/>
      <c r="BQ22" s="1"/>
      <c r="BR22" s="1"/>
      <c r="BX22" s="1"/>
      <c r="CD22" s="1"/>
      <c r="CE22" s="1"/>
      <c r="CF22" s="1"/>
      <c r="CG22" s="1"/>
      <c r="CH22" s="1"/>
      <c r="CI22" s="1"/>
      <c r="CM22" s="2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M22" s="1"/>
      <c r="DQ22" s="1"/>
      <c r="DR22" s="1"/>
      <c r="DY22" s="1"/>
      <c r="DZ22" s="1"/>
      <c r="ED22" s="1"/>
      <c r="EE22" s="1"/>
      <c r="EF22" s="1"/>
      <c r="EG22" s="1"/>
      <c r="EH22" s="1"/>
      <c r="EK22" s="1"/>
      <c r="EL22" s="1"/>
      <c r="EM22" s="1"/>
      <c r="EN22" s="1"/>
      <c r="EQ22" s="1"/>
      <c r="ER22" s="1"/>
      <c r="ES22" s="1"/>
      <c r="EV22" s="1"/>
      <c r="EW22" s="1"/>
      <c r="EY22" s="1"/>
      <c r="EZ22" s="1"/>
      <c r="FA22" s="1"/>
      <c r="FD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R22" s="1"/>
      <c r="GS22" s="1"/>
      <c r="GY22" s="1"/>
      <c r="HF22" s="1"/>
      <c r="HH22" s="1"/>
      <c r="HN22" s="1"/>
      <c r="HQ22" s="1"/>
      <c r="HT22" s="1"/>
      <c r="HY22" s="1"/>
      <c r="IC22" s="1"/>
      <c r="ID22" s="1"/>
      <c r="IE22" s="1"/>
      <c r="IG22" s="1"/>
      <c r="IJ22" s="1"/>
      <c r="IR22" s="1"/>
      <c r="IS22" s="1"/>
      <c r="IW22" s="1"/>
      <c r="IX22" s="1"/>
      <c r="IZ22" s="1"/>
      <c r="JB22" s="1"/>
      <c r="JC22" s="1"/>
      <c r="JF22" s="1"/>
      <c r="JG22" s="1"/>
      <c r="JH22" s="1"/>
      <c r="JI22" s="1"/>
      <c r="JJ22" s="1"/>
      <c r="JK22" s="1"/>
      <c r="JL22" s="3"/>
      <c r="JM22" s="1"/>
      <c r="JN22" s="1"/>
      <c r="JP22" s="1"/>
      <c r="JQ22" s="1"/>
      <c r="JR22" s="1"/>
      <c r="JT22" s="1"/>
      <c r="KU22" s="1"/>
      <c r="KV22" s="1"/>
      <c r="KW22" s="1"/>
      <c r="KY22" s="1"/>
      <c r="KZ22" s="1"/>
      <c r="LA22" s="1"/>
      <c r="LB22" s="1"/>
      <c r="LC22" s="1"/>
      <c r="LD22" s="1"/>
      <c r="LO22" s="1"/>
      <c r="LP22" s="1"/>
      <c r="LW22" s="1"/>
      <c r="LZ22" s="1"/>
      <c r="MA22" s="1"/>
    </row>
    <row r="23" spans="4:339" ht="15.75" customHeight="1" x14ac:dyDescent="0.15">
      <c r="D23" s="12"/>
      <c r="E23" s="12"/>
      <c r="I23" s="12"/>
      <c r="J23" s="13"/>
      <c r="BF23" s="1"/>
      <c r="BG23" s="1"/>
      <c r="BH23" s="1"/>
      <c r="BI23" s="1"/>
      <c r="BK23" s="1"/>
      <c r="BL23" s="1"/>
      <c r="BM23" s="1"/>
      <c r="BN23" s="1"/>
      <c r="BO23" s="1"/>
      <c r="BP23" s="1"/>
      <c r="BQ23" s="1"/>
      <c r="BR23" s="1"/>
      <c r="BX23" s="1"/>
      <c r="CD23" s="1"/>
      <c r="CE23" s="1"/>
      <c r="CF23" s="1"/>
      <c r="CG23" s="1"/>
      <c r="CH23" s="1"/>
      <c r="CI23" s="1"/>
      <c r="CM23" s="2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M23" s="1"/>
      <c r="DQ23" s="1"/>
      <c r="DR23" s="1"/>
      <c r="DY23" s="1"/>
      <c r="DZ23" s="1"/>
      <c r="ED23" s="1"/>
      <c r="EE23" s="1"/>
      <c r="EF23" s="1"/>
      <c r="EG23" s="1"/>
      <c r="EH23" s="1"/>
      <c r="EK23" s="1"/>
      <c r="EL23" s="1"/>
      <c r="EM23" s="1"/>
      <c r="EN23" s="1"/>
      <c r="EQ23" s="1"/>
      <c r="ER23" s="1"/>
      <c r="ES23" s="1"/>
      <c r="EV23" s="1"/>
      <c r="EW23" s="1"/>
      <c r="EY23" s="1"/>
      <c r="EZ23" s="1"/>
      <c r="FA23" s="1"/>
      <c r="FD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R23" s="1"/>
      <c r="GS23" s="1"/>
      <c r="GY23" s="1"/>
      <c r="HF23" s="1"/>
      <c r="HH23" s="1"/>
      <c r="HN23" s="1"/>
      <c r="HQ23" s="1"/>
      <c r="HT23" s="1"/>
      <c r="HY23" s="1"/>
      <c r="IC23" s="1"/>
      <c r="ID23" s="1"/>
      <c r="IE23" s="1"/>
      <c r="IG23" s="1"/>
      <c r="IJ23" s="1"/>
      <c r="IR23" s="1"/>
      <c r="IS23" s="1"/>
      <c r="IW23" s="1"/>
      <c r="IX23" s="1"/>
      <c r="IZ23" s="1"/>
      <c r="JB23" s="1"/>
      <c r="JC23" s="1"/>
      <c r="JF23" s="1"/>
      <c r="JG23" s="1"/>
      <c r="JH23" s="1"/>
      <c r="JI23" s="1"/>
      <c r="JJ23" s="1"/>
      <c r="JK23" s="1"/>
      <c r="JL23" s="3"/>
      <c r="JM23" s="1"/>
      <c r="JN23" s="1"/>
      <c r="JP23" s="1"/>
      <c r="JQ23" s="1"/>
      <c r="JR23" s="1"/>
      <c r="JT23" s="1"/>
      <c r="KU23" s="1"/>
      <c r="KV23" s="1"/>
      <c r="KW23" s="1"/>
      <c r="KY23" s="1"/>
      <c r="KZ23" s="1"/>
      <c r="LA23" s="1"/>
      <c r="LB23" s="1"/>
      <c r="LC23" s="1"/>
      <c r="LD23" s="1"/>
      <c r="LO23" s="1"/>
      <c r="LP23" s="1"/>
      <c r="LW23" s="1"/>
      <c r="LZ23" s="1"/>
      <c r="MA23" s="1"/>
    </row>
    <row r="24" spans="4:339" ht="15.75" customHeight="1" x14ac:dyDescent="0.15">
      <c r="D24" s="12"/>
      <c r="E24" s="12"/>
      <c r="I24" s="12"/>
      <c r="J24" s="13"/>
      <c r="BF24" s="1"/>
      <c r="BG24" s="1"/>
      <c r="BH24" s="1"/>
      <c r="BI24" s="1"/>
      <c r="BK24" s="1"/>
      <c r="BL24" s="1"/>
      <c r="BM24" s="1"/>
      <c r="BN24" s="1"/>
      <c r="BO24" s="1"/>
      <c r="BP24" s="1"/>
      <c r="BQ24" s="1"/>
      <c r="BR24" s="1"/>
      <c r="BX24" s="1"/>
      <c r="CD24" s="1"/>
      <c r="CE24" s="1"/>
      <c r="CF24" s="1"/>
      <c r="CG24" s="1"/>
      <c r="CH24" s="1"/>
      <c r="CI24" s="1"/>
      <c r="CM24" s="2"/>
      <c r="CN24" s="1"/>
      <c r="CO24" s="1"/>
      <c r="CP24" s="1"/>
      <c r="CQ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M24" s="1"/>
      <c r="DQ24" s="1"/>
      <c r="DR24" s="1"/>
      <c r="DY24" s="1"/>
      <c r="DZ24" s="1"/>
      <c r="ED24" s="1"/>
      <c r="EK24" s="1"/>
      <c r="EL24" s="1"/>
      <c r="EM24" s="1"/>
      <c r="EN24" s="1"/>
      <c r="EQ24" s="1"/>
      <c r="ER24" s="1"/>
      <c r="ES24" s="1"/>
      <c r="EV24" s="1"/>
      <c r="EW24" s="1"/>
      <c r="EX24" s="1"/>
      <c r="EZ24" s="1"/>
      <c r="FA24" s="1"/>
      <c r="FD24" s="1"/>
      <c r="FJ24" s="1"/>
      <c r="GA24" s="1"/>
      <c r="GD24" s="1"/>
      <c r="GE24" s="1"/>
      <c r="GF24" s="1"/>
      <c r="GG24" s="1"/>
      <c r="GH24" s="1"/>
      <c r="GI24" s="1"/>
      <c r="GP24" s="1"/>
      <c r="GR24" s="1"/>
      <c r="HF24" s="1"/>
      <c r="HH24" s="1"/>
      <c r="HT24" s="1"/>
      <c r="HY24" s="1"/>
      <c r="IE24" s="1"/>
      <c r="IK24" s="1"/>
      <c r="IR24" s="1"/>
      <c r="IS24" s="1"/>
      <c r="IZ24" s="1"/>
      <c r="JC24" s="1"/>
      <c r="JF24" s="1"/>
      <c r="JG24" s="1"/>
      <c r="JH24" s="1"/>
      <c r="JJ24" s="1"/>
      <c r="JN24" s="1"/>
      <c r="JP24" s="1"/>
      <c r="JQ24" s="1"/>
      <c r="JT24" s="1"/>
      <c r="KW24" s="1"/>
      <c r="KY24" s="1"/>
      <c r="KZ24" s="1"/>
      <c r="LA24" s="1"/>
      <c r="LB24" s="1"/>
      <c r="LC24" s="1"/>
      <c r="LD24" s="1"/>
      <c r="LF24" s="1"/>
      <c r="LO24" s="1"/>
      <c r="LP24" s="1"/>
      <c r="LZ24" s="1"/>
      <c r="MA24" s="1"/>
    </row>
    <row r="25" spans="4:339" ht="15.75" customHeight="1" x14ac:dyDescent="0.15">
      <c r="D25" s="12"/>
      <c r="E25" s="12"/>
      <c r="I25" s="12"/>
      <c r="J25" s="13"/>
      <c r="BF25" s="1"/>
      <c r="BG25" s="1"/>
      <c r="BH25" s="1"/>
      <c r="BI25" s="1"/>
      <c r="BK25" s="1"/>
      <c r="BL25" s="1"/>
      <c r="BM25" s="1"/>
      <c r="BN25" s="1"/>
      <c r="BO25" s="1"/>
      <c r="BP25" s="1"/>
      <c r="BQ25" s="1"/>
      <c r="BR25" s="1"/>
      <c r="BX25" s="1"/>
      <c r="CD25" s="1"/>
      <c r="CE25" s="1"/>
      <c r="CF25" s="1"/>
      <c r="CG25" s="1"/>
      <c r="CH25" s="1"/>
      <c r="CI25" s="1"/>
      <c r="CM25" s="2"/>
      <c r="CN25" s="1"/>
      <c r="CO25" s="1"/>
      <c r="CP25" s="1"/>
      <c r="CQ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M25" s="1"/>
      <c r="DQ25" s="1"/>
      <c r="DR25" s="1"/>
      <c r="DY25" s="1"/>
      <c r="DZ25" s="1"/>
      <c r="ED25" s="1"/>
      <c r="EK25" s="1"/>
      <c r="EL25" s="1"/>
      <c r="EM25" s="1"/>
      <c r="EN25" s="1"/>
      <c r="EQ25" s="1"/>
      <c r="ER25" s="1"/>
      <c r="ES25" s="1"/>
      <c r="EV25" s="1"/>
      <c r="EW25" s="1"/>
      <c r="EX25" s="1"/>
      <c r="EZ25" s="1"/>
      <c r="FA25" s="1"/>
      <c r="FD25" s="1"/>
      <c r="FJ25" s="1"/>
      <c r="GA25" s="1"/>
      <c r="GD25" s="1"/>
      <c r="GE25" s="1"/>
      <c r="GF25" s="1"/>
      <c r="GG25" s="1"/>
      <c r="GH25" s="1"/>
      <c r="GI25" s="1"/>
      <c r="GP25" s="1"/>
      <c r="GR25" s="1"/>
      <c r="HF25" s="1"/>
      <c r="HH25" s="1"/>
      <c r="HT25" s="1"/>
      <c r="HY25" s="1"/>
      <c r="IE25" s="1"/>
      <c r="IK25" s="1"/>
      <c r="IR25" s="1"/>
      <c r="IS25" s="1"/>
      <c r="IZ25" s="1"/>
      <c r="JC25" s="1"/>
      <c r="JF25" s="1"/>
      <c r="JG25" s="1"/>
      <c r="JH25" s="1"/>
      <c r="JJ25" s="1"/>
      <c r="JN25" s="1"/>
      <c r="JP25" s="1"/>
      <c r="JQ25" s="1"/>
      <c r="JT25" s="1"/>
      <c r="KW25" s="1"/>
      <c r="KY25" s="1"/>
      <c r="KZ25" s="1"/>
      <c r="LA25" s="1"/>
      <c r="LB25" s="1"/>
      <c r="LC25" s="1"/>
      <c r="LD25" s="1"/>
      <c r="LF25" s="1"/>
      <c r="LO25" s="1"/>
      <c r="LP25" s="1"/>
      <c r="LZ25" s="1"/>
      <c r="MA25" s="1"/>
    </row>
    <row r="26" spans="4:339" ht="15.75" customHeight="1" x14ac:dyDescent="0.15">
      <c r="D26" s="12"/>
      <c r="E26" s="12"/>
      <c r="I26" s="12"/>
      <c r="J26" s="13"/>
      <c r="BF26" s="1"/>
      <c r="BG26" s="1"/>
      <c r="BH26" s="1"/>
      <c r="BI26" s="1"/>
      <c r="BK26" s="1"/>
      <c r="BL26" s="1"/>
      <c r="BM26" s="1"/>
      <c r="BN26" s="1"/>
      <c r="BO26" s="1"/>
      <c r="BP26" s="1"/>
      <c r="BQ26" s="1"/>
      <c r="BR26" s="1"/>
      <c r="BX26" s="1"/>
      <c r="CD26" s="1"/>
      <c r="CE26" s="1"/>
      <c r="CF26" s="1"/>
      <c r="CG26" s="1"/>
      <c r="CH26" s="1"/>
      <c r="CI26" s="1"/>
      <c r="CM26" s="2"/>
      <c r="CN26" s="1"/>
      <c r="CO26" s="1"/>
      <c r="CP26" s="1"/>
      <c r="CQ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M26" s="1"/>
      <c r="DQ26" s="1"/>
      <c r="DR26" s="1"/>
      <c r="DY26" s="1"/>
      <c r="DZ26" s="1"/>
      <c r="ED26" s="1"/>
      <c r="EK26" s="1"/>
      <c r="EL26" s="1"/>
      <c r="EM26" s="1"/>
      <c r="EN26" s="1"/>
      <c r="EQ26" s="1"/>
      <c r="ER26" s="1"/>
      <c r="ES26" s="1"/>
      <c r="EV26" s="1"/>
      <c r="EW26" s="1"/>
      <c r="EX26" s="1"/>
      <c r="EZ26" s="1"/>
      <c r="FA26" s="1"/>
      <c r="FD26" s="1"/>
      <c r="FJ26" s="1"/>
      <c r="GA26" s="1"/>
      <c r="GD26" s="1"/>
      <c r="GE26" s="1"/>
      <c r="GF26" s="1"/>
      <c r="GG26" s="1"/>
      <c r="GH26" s="1"/>
      <c r="GI26" s="1"/>
      <c r="GP26" s="1"/>
      <c r="GR26" s="1"/>
      <c r="HF26" s="1"/>
      <c r="HH26" s="1"/>
      <c r="HT26" s="1"/>
      <c r="HY26" s="1"/>
      <c r="IE26" s="1"/>
      <c r="IK26" s="1"/>
      <c r="IR26" s="1"/>
      <c r="IS26" s="1"/>
      <c r="IZ26" s="1"/>
      <c r="JC26" s="1"/>
      <c r="JF26" s="1"/>
      <c r="JG26" s="1"/>
      <c r="JH26" s="1"/>
      <c r="JJ26" s="1"/>
      <c r="JN26" s="1"/>
      <c r="JP26" s="1"/>
      <c r="JQ26" s="1"/>
      <c r="JT26" s="1"/>
      <c r="KW26" s="1"/>
      <c r="KY26" s="1"/>
      <c r="KZ26" s="1"/>
      <c r="LA26" s="1"/>
      <c r="LB26" s="1"/>
      <c r="LC26" s="1"/>
      <c r="LD26" s="1"/>
      <c r="LF26" s="1"/>
      <c r="LO26" s="1"/>
      <c r="LP26" s="1"/>
      <c r="LZ26" s="1"/>
      <c r="MA26" s="1"/>
    </row>
    <row r="27" spans="4:339" ht="15.75" customHeight="1" x14ac:dyDescent="0.15">
      <c r="D27" s="12"/>
      <c r="E27" s="12"/>
      <c r="I27" s="12"/>
      <c r="J27" s="13"/>
      <c r="BF27" s="1"/>
      <c r="BG27" s="1"/>
      <c r="BH27" s="1"/>
      <c r="BI27" s="1"/>
      <c r="BK27" s="1"/>
      <c r="BL27" s="1"/>
      <c r="BM27" s="1"/>
      <c r="BN27" s="1"/>
      <c r="BO27" s="1"/>
      <c r="BP27" s="1"/>
      <c r="BQ27" s="1"/>
      <c r="BR27" s="1"/>
      <c r="BX27" s="1"/>
      <c r="CD27" s="1"/>
      <c r="CE27" s="1"/>
      <c r="CF27" s="1"/>
      <c r="CG27" s="1"/>
      <c r="CH27" s="1"/>
      <c r="CI27" s="1"/>
      <c r="CM27" s="2"/>
      <c r="CN27" s="1"/>
      <c r="CO27" s="1"/>
      <c r="CP27" s="1"/>
      <c r="CQ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M27" s="1"/>
      <c r="DQ27" s="1"/>
      <c r="DR27" s="1"/>
      <c r="DY27" s="1"/>
      <c r="DZ27" s="1"/>
      <c r="ED27" s="1"/>
      <c r="EK27" s="1"/>
      <c r="EL27" s="1"/>
      <c r="EM27" s="1"/>
      <c r="EN27" s="1"/>
      <c r="EQ27" s="1"/>
      <c r="ER27" s="1"/>
      <c r="ES27" s="1"/>
      <c r="EV27" s="1"/>
      <c r="EW27" s="1"/>
      <c r="EX27" s="1"/>
      <c r="EZ27" s="1"/>
      <c r="FA27" s="1"/>
      <c r="FD27" s="1"/>
      <c r="FJ27" s="1"/>
      <c r="GA27" s="1"/>
      <c r="GD27" s="1"/>
      <c r="GE27" s="1"/>
      <c r="GF27" s="1"/>
      <c r="GG27" s="1"/>
      <c r="GH27" s="1"/>
      <c r="GI27" s="1"/>
      <c r="GP27" s="1"/>
      <c r="GR27" s="1"/>
      <c r="HF27" s="1"/>
      <c r="HH27" s="1"/>
      <c r="HT27" s="1"/>
      <c r="HY27" s="1"/>
      <c r="IE27" s="1"/>
      <c r="IK27" s="1"/>
      <c r="IR27" s="1"/>
      <c r="IS27" s="1"/>
      <c r="IZ27" s="1"/>
      <c r="JC27" s="1"/>
      <c r="JF27" s="1"/>
      <c r="JG27" s="1"/>
      <c r="JH27" s="1"/>
      <c r="JJ27" s="1"/>
      <c r="JN27" s="1"/>
      <c r="JP27" s="1"/>
      <c r="JQ27" s="1"/>
      <c r="JT27" s="1"/>
      <c r="KW27" s="1"/>
      <c r="KY27" s="1"/>
      <c r="KZ27" s="1"/>
      <c r="LA27" s="1"/>
      <c r="LB27" s="1"/>
      <c r="LC27" s="1"/>
      <c r="LD27" s="1"/>
      <c r="LF27" s="1"/>
      <c r="LO27" s="1"/>
      <c r="LP27" s="1"/>
      <c r="LZ27" s="1"/>
      <c r="MA27" s="1"/>
    </row>
    <row r="28" spans="4:339" ht="15.75" customHeight="1" x14ac:dyDescent="0.15">
      <c r="D28" s="12"/>
      <c r="E28" s="12"/>
      <c r="I28" s="12"/>
      <c r="J28" s="13"/>
      <c r="BF28" s="1"/>
      <c r="BG28" s="1"/>
      <c r="BH28" s="1"/>
      <c r="BI28" s="1"/>
      <c r="BK28" s="1"/>
      <c r="BL28" s="1"/>
      <c r="BM28" s="1"/>
      <c r="BN28" s="1"/>
      <c r="BO28" s="1"/>
      <c r="BP28" s="1"/>
      <c r="BQ28" s="1"/>
      <c r="BR28" s="1"/>
      <c r="CD28" s="1"/>
      <c r="CE28" s="1"/>
      <c r="CF28" s="1"/>
      <c r="CG28" s="1"/>
      <c r="CH28" s="1"/>
      <c r="CI28" s="1"/>
      <c r="CM28" s="2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ED28" s="1"/>
      <c r="EK28" s="1"/>
      <c r="EL28" s="1"/>
      <c r="EM28" s="1"/>
      <c r="EN28" s="1"/>
      <c r="EQ28" s="1"/>
      <c r="ER28" s="1"/>
      <c r="ES28" s="1"/>
      <c r="EV28" s="1"/>
      <c r="EW28" s="1"/>
      <c r="EZ28" s="1"/>
      <c r="FA28" s="1"/>
      <c r="FD28" s="1"/>
      <c r="FG28" s="1"/>
      <c r="FH28" s="1"/>
      <c r="FI28" s="1"/>
      <c r="FM28" s="1"/>
      <c r="FN28" s="1"/>
      <c r="FO28" s="1"/>
      <c r="FP28" s="1"/>
      <c r="FS28" s="1"/>
      <c r="FV28" s="1"/>
      <c r="FX28" s="1"/>
      <c r="GA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P28" s="1"/>
      <c r="GR28" s="1"/>
      <c r="GV28" s="1"/>
      <c r="GY28" s="1"/>
      <c r="HF28" s="1"/>
      <c r="HH28" s="1"/>
      <c r="HN28" s="1"/>
      <c r="HT28" s="1"/>
      <c r="HY28" s="1"/>
      <c r="ID28" s="1"/>
      <c r="IE28" s="1"/>
      <c r="IR28" s="1"/>
      <c r="IS28" s="1"/>
      <c r="IZ28" s="1"/>
      <c r="JC28" s="1"/>
      <c r="JF28" s="1"/>
      <c r="JG28" s="1"/>
      <c r="JH28" s="1"/>
      <c r="JJ28" s="1"/>
      <c r="JN28" s="1"/>
      <c r="JP28" s="1"/>
      <c r="JQ28" s="1"/>
      <c r="JW28" s="1"/>
      <c r="KS28" s="1"/>
      <c r="KT28" s="1"/>
      <c r="KY28" s="1"/>
      <c r="KZ28" s="1"/>
      <c r="LA28" s="1"/>
      <c r="LB28" s="1"/>
      <c r="LC28" s="1"/>
      <c r="LD28" s="1"/>
      <c r="LO28" s="1"/>
      <c r="LP28" s="1"/>
      <c r="LZ28" s="1"/>
      <c r="MA28" s="1"/>
    </row>
    <row r="29" spans="4:339" ht="15.75" customHeight="1" x14ac:dyDescent="0.15">
      <c r="D29" s="12"/>
      <c r="E29" s="12"/>
      <c r="I29" s="12"/>
      <c r="J29" s="13"/>
      <c r="BF29" s="1"/>
      <c r="BG29" s="1"/>
      <c r="BH29" s="1"/>
      <c r="BI29" s="1"/>
      <c r="BK29" s="1"/>
      <c r="BL29" s="1"/>
      <c r="BM29" s="1"/>
      <c r="BN29" s="1"/>
      <c r="BO29" s="1"/>
      <c r="BP29" s="1"/>
      <c r="BQ29" s="1"/>
      <c r="BR29" s="1"/>
      <c r="CD29" s="1"/>
      <c r="CE29" s="1"/>
      <c r="CF29" s="1"/>
      <c r="CG29" s="1"/>
      <c r="CH29" s="1"/>
      <c r="CI29" s="1"/>
      <c r="CM29" s="2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ED29" s="1"/>
      <c r="EK29" s="1"/>
      <c r="EL29" s="1"/>
      <c r="EM29" s="1"/>
      <c r="EN29" s="1"/>
      <c r="EQ29" s="1"/>
      <c r="ER29" s="1"/>
      <c r="ES29" s="1"/>
      <c r="EV29" s="1"/>
      <c r="EW29" s="1"/>
      <c r="EZ29" s="1"/>
      <c r="FA29" s="1"/>
      <c r="FD29" s="1"/>
      <c r="FG29" s="1"/>
      <c r="FH29" s="1"/>
      <c r="FI29" s="1"/>
      <c r="FM29" s="1"/>
      <c r="FN29" s="1"/>
      <c r="FO29" s="1"/>
      <c r="FP29" s="1"/>
      <c r="FS29" s="1"/>
      <c r="FV29" s="1"/>
      <c r="FX29" s="1"/>
      <c r="GA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P29" s="1"/>
      <c r="GR29" s="1"/>
      <c r="GV29" s="1"/>
      <c r="GY29" s="1"/>
      <c r="HF29" s="1"/>
      <c r="HH29" s="1"/>
      <c r="HN29" s="1"/>
      <c r="HT29" s="1"/>
      <c r="HY29" s="1"/>
      <c r="ID29" s="1"/>
      <c r="IE29" s="1"/>
      <c r="IR29" s="1"/>
      <c r="IS29" s="1"/>
      <c r="IZ29" s="1"/>
      <c r="JC29" s="1"/>
      <c r="JF29" s="1"/>
      <c r="JG29" s="1"/>
      <c r="JH29" s="1"/>
      <c r="JJ29" s="1"/>
      <c r="JN29" s="1"/>
      <c r="JP29" s="1"/>
      <c r="JQ29" s="1"/>
      <c r="JW29" s="1"/>
      <c r="KS29" s="1"/>
      <c r="KT29" s="1"/>
      <c r="KY29" s="1"/>
      <c r="KZ29" s="1"/>
      <c r="LA29" s="1"/>
      <c r="LB29" s="1"/>
      <c r="LC29" s="1"/>
      <c r="LD29" s="1"/>
      <c r="LO29" s="1"/>
      <c r="LP29" s="1"/>
      <c r="LZ29" s="1"/>
      <c r="MA29" s="1"/>
    </row>
    <row r="30" spans="4:339" ht="15.75" customHeight="1" x14ac:dyDescent="0.15">
      <c r="D30" s="12"/>
      <c r="E30" s="12"/>
      <c r="I30" s="12"/>
      <c r="J30" s="13"/>
      <c r="BF30" s="1"/>
      <c r="BG30" s="1"/>
      <c r="BH30" s="1"/>
      <c r="BI30" s="1"/>
      <c r="BK30" s="1"/>
      <c r="BL30" s="1"/>
      <c r="BM30" s="1"/>
      <c r="BN30" s="1"/>
      <c r="BO30" s="1"/>
      <c r="BP30" s="1"/>
      <c r="BQ30" s="1"/>
      <c r="BR30" s="1"/>
      <c r="CD30" s="1"/>
      <c r="CE30" s="1"/>
      <c r="CF30" s="1"/>
      <c r="CG30" s="1"/>
      <c r="CH30" s="1"/>
      <c r="CI30" s="1"/>
      <c r="CM30" s="2"/>
      <c r="CN30" s="1"/>
      <c r="CO30" s="1"/>
      <c r="CP30" s="1"/>
      <c r="CQ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M30" s="1"/>
      <c r="DR30" s="1"/>
      <c r="ED30" s="1"/>
      <c r="EF30" s="1"/>
      <c r="EK30" s="1"/>
      <c r="EL30" s="1"/>
      <c r="EM30" s="1"/>
      <c r="EN30" s="1"/>
      <c r="EQ30" s="1"/>
      <c r="ER30" s="1"/>
      <c r="ES30" s="1"/>
      <c r="EV30" s="1"/>
      <c r="EW30" s="1"/>
      <c r="EZ30" s="1"/>
      <c r="FA30" s="1"/>
      <c r="FD30" s="1"/>
      <c r="FG30" s="1"/>
      <c r="FH30" s="1"/>
      <c r="FI30" s="1"/>
      <c r="FJ30" s="1"/>
      <c r="FL30" s="1"/>
      <c r="FM30" s="1"/>
      <c r="FN30" s="1"/>
      <c r="FO30" s="1"/>
      <c r="FP30" s="1"/>
      <c r="FQ30" s="1"/>
      <c r="FS30" s="1"/>
      <c r="FT30" s="1"/>
      <c r="FU30" s="1"/>
      <c r="FV30" s="1"/>
      <c r="FW30" s="1"/>
      <c r="FX30" s="1"/>
      <c r="FZ30" s="1"/>
      <c r="GA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R30" s="1"/>
      <c r="GY30" s="1"/>
      <c r="HF30" s="1"/>
      <c r="HH30" s="1"/>
      <c r="HN30" s="1"/>
      <c r="HQ30" s="1"/>
      <c r="HU30" s="1"/>
      <c r="HV30" s="1"/>
      <c r="HW30" s="1"/>
      <c r="HY30" s="1"/>
      <c r="IA30" s="1"/>
      <c r="IC30" s="1"/>
      <c r="IE30" s="1"/>
      <c r="IR30" s="1"/>
      <c r="IS30" s="1"/>
      <c r="IY30" s="1"/>
      <c r="IZ30" s="1"/>
      <c r="JF30" s="1"/>
      <c r="JG30" s="1"/>
      <c r="JH30" s="1"/>
      <c r="JJ30" s="1"/>
      <c r="JN30" s="1"/>
      <c r="JP30" s="1"/>
      <c r="JQ30" s="1"/>
      <c r="KU30" s="1"/>
      <c r="KV30" s="1"/>
      <c r="KY30" s="1"/>
      <c r="KZ30" s="1"/>
      <c r="LA30" s="1"/>
      <c r="LB30" s="1"/>
      <c r="LC30" s="1"/>
      <c r="LD30" s="1"/>
      <c r="LO30" s="1"/>
      <c r="LP30" s="1"/>
      <c r="LZ30" s="1"/>
      <c r="MA30" s="1"/>
    </row>
    <row r="31" spans="4:339" ht="15.75" customHeight="1" x14ac:dyDescent="0.15">
      <c r="D31" s="12"/>
      <c r="E31" s="12"/>
      <c r="I31" s="12"/>
      <c r="J31" s="13"/>
      <c r="BF31" s="1"/>
      <c r="BG31" s="1"/>
      <c r="BH31" s="1"/>
      <c r="BI31" s="1"/>
      <c r="BK31" s="1"/>
      <c r="BL31" s="1"/>
      <c r="BM31" s="1"/>
      <c r="BN31" s="1"/>
      <c r="BO31" s="1"/>
      <c r="BP31" s="1"/>
      <c r="BQ31" s="1"/>
      <c r="BR31" s="1"/>
      <c r="CD31" s="1"/>
      <c r="CE31" s="1"/>
      <c r="CF31" s="1"/>
      <c r="CG31" s="1"/>
      <c r="CH31" s="1"/>
      <c r="CI31" s="1"/>
      <c r="CM31" s="2"/>
      <c r="CN31" s="1"/>
      <c r="CO31" s="1"/>
      <c r="CP31" s="1"/>
      <c r="CQ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M31" s="1"/>
      <c r="DR31" s="1"/>
      <c r="ED31" s="1"/>
      <c r="EF31" s="1"/>
      <c r="EK31" s="1"/>
      <c r="EL31" s="1"/>
      <c r="EM31" s="1"/>
      <c r="EN31" s="1"/>
      <c r="EQ31" s="1"/>
      <c r="ER31" s="1"/>
      <c r="ES31" s="1"/>
      <c r="EV31" s="1"/>
      <c r="EW31" s="1"/>
      <c r="EZ31" s="1"/>
      <c r="FA31" s="1"/>
      <c r="FD31" s="1"/>
      <c r="FG31" s="1"/>
      <c r="FH31" s="1"/>
      <c r="FI31" s="1"/>
      <c r="FJ31" s="1"/>
      <c r="FL31" s="1"/>
      <c r="FM31" s="1"/>
      <c r="FN31" s="1"/>
      <c r="FO31" s="1"/>
      <c r="FP31" s="1"/>
      <c r="FQ31" s="1"/>
      <c r="FS31" s="1"/>
      <c r="FT31" s="1"/>
      <c r="FU31" s="1"/>
      <c r="FV31" s="1"/>
      <c r="FW31" s="1"/>
      <c r="FX31" s="1"/>
      <c r="FZ31" s="1"/>
      <c r="GA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R31" s="1"/>
      <c r="GY31" s="1"/>
      <c r="HF31" s="1"/>
      <c r="HH31" s="1"/>
      <c r="HN31" s="1"/>
      <c r="HQ31" s="1"/>
      <c r="HU31" s="1"/>
      <c r="HV31" s="1"/>
      <c r="HW31" s="1"/>
      <c r="HY31" s="1"/>
      <c r="IA31" s="1"/>
      <c r="IC31" s="1"/>
      <c r="IE31" s="1"/>
      <c r="IR31" s="1"/>
      <c r="IS31" s="1"/>
      <c r="IY31" s="1"/>
      <c r="IZ31" s="1"/>
      <c r="JF31" s="1"/>
      <c r="JG31" s="1"/>
      <c r="JH31" s="1"/>
      <c r="JJ31" s="1"/>
      <c r="JN31" s="1"/>
      <c r="JP31" s="1"/>
      <c r="JQ31" s="1"/>
      <c r="KU31" s="1"/>
      <c r="KV31" s="1"/>
      <c r="KY31" s="1"/>
      <c r="KZ31" s="1"/>
      <c r="LA31" s="1"/>
      <c r="LB31" s="1"/>
      <c r="LC31" s="1"/>
      <c r="LD31" s="1"/>
      <c r="LO31" s="1"/>
      <c r="LP31" s="1"/>
      <c r="LZ31" s="1"/>
      <c r="MA31" s="1"/>
    </row>
    <row r="32" spans="4:339" ht="15.75" customHeight="1" x14ac:dyDescent="0.15">
      <c r="D32" s="12"/>
      <c r="E32" s="12"/>
      <c r="I32" s="12"/>
      <c r="J32" s="13"/>
      <c r="BF32" s="1"/>
      <c r="BG32" s="1"/>
      <c r="BH32" s="1"/>
      <c r="BI32" s="1"/>
      <c r="BK32" s="1"/>
      <c r="BL32" s="1"/>
      <c r="BM32" s="1"/>
      <c r="BN32" s="1"/>
      <c r="BO32" s="1"/>
      <c r="BP32" s="1"/>
      <c r="BQ32" s="1"/>
      <c r="BR32" s="1"/>
      <c r="CD32" s="1"/>
      <c r="CE32" s="1"/>
      <c r="CF32" s="1"/>
      <c r="CG32" s="1"/>
      <c r="CH32" s="1"/>
      <c r="CI32" s="1"/>
      <c r="CM32" s="2"/>
      <c r="CN32" s="1"/>
      <c r="CO32" s="1"/>
      <c r="CP32" s="1"/>
      <c r="CQ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M32" s="1"/>
      <c r="DR32" s="1"/>
      <c r="ED32" s="1"/>
      <c r="EF32" s="1"/>
      <c r="EK32" s="1"/>
      <c r="EL32" s="1"/>
      <c r="EM32" s="1"/>
      <c r="EN32" s="1"/>
      <c r="EQ32" s="1"/>
      <c r="ER32" s="1"/>
      <c r="ES32" s="1"/>
      <c r="EV32" s="1"/>
      <c r="EW32" s="1"/>
      <c r="EZ32" s="1"/>
      <c r="FA32" s="1"/>
      <c r="FD32" s="1"/>
      <c r="FG32" s="1"/>
      <c r="FH32" s="1"/>
      <c r="FI32" s="1"/>
      <c r="FJ32" s="1"/>
      <c r="FL32" s="1"/>
      <c r="FM32" s="1"/>
      <c r="FN32" s="1"/>
      <c r="FO32" s="1"/>
      <c r="FP32" s="1"/>
      <c r="FQ32" s="1"/>
      <c r="FS32" s="1"/>
      <c r="FT32" s="1"/>
      <c r="FU32" s="1"/>
      <c r="FV32" s="1"/>
      <c r="FW32" s="1"/>
      <c r="FX32" s="1"/>
      <c r="FZ32" s="1"/>
      <c r="GA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R32" s="1"/>
      <c r="GY32" s="1"/>
      <c r="HF32" s="1"/>
      <c r="HH32" s="1"/>
      <c r="HN32" s="1"/>
      <c r="HQ32" s="1"/>
      <c r="HU32" s="1"/>
      <c r="HV32" s="1"/>
      <c r="HW32" s="1"/>
      <c r="HY32" s="1"/>
      <c r="IA32" s="1"/>
      <c r="IC32" s="1"/>
      <c r="IE32" s="1"/>
      <c r="IR32" s="1"/>
      <c r="IS32" s="1"/>
      <c r="IY32" s="1"/>
      <c r="IZ32" s="1"/>
      <c r="JF32" s="1"/>
      <c r="JG32" s="1"/>
      <c r="JH32" s="1"/>
      <c r="JJ32" s="1"/>
      <c r="JN32" s="1"/>
      <c r="JP32" s="1"/>
      <c r="JQ32" s="1"/>
      <c r="KU32" s="1"/>
      <c r="KV32" s="1"/>
      <c r="KY32" s="1"/>
      <c r="KZ32" s="1"/>
      <c r="LA32" s="1"/>
      <c r="LB32" s="1"/>
      <c r="LC32" s="1"/>
      <c r="LD32" s="1"/>
      <c r="LO32" s="1"/>
      <c r="LP32" s="1"/>
      <c r="LZ32" s="1"/>
      <c r="MA32" s="1"/>
    </row>
    <row r="33" spans="4:339" ht="15.75" customHeight="1" x14ac:dyDescent="0.15">
      <c r="D33" s="12"/>
      <c r="E33" s="12"/>
      <c r="I33" s="12"/>
      <c r="J33" s="13"/>
      <c r="BF33" s="1"/>
      <c r="BG33" s="1"/>
      <c r="BH33" s="1"/>
      <c r="BI33" s="1"/>
      <c r="BK33" s="1"/>
      <c r="BL33" s="1"/>
      <c r="BM33" s="1"/>
      <c r="BN33" s="1"/>
      <c r="BO33" s="1"/>
      <c r="BP33" s="1"/>
      <c r="BQ33" s="1"/>
      <c r="BR33" s="1"/>
      <c r="CD33" s="1"/>
      <c r="CE33" s="1"/>
      <c r="CF33" s="1"/>
      <c r="CG33" s="1"/>
      <c r="CH33" s="1"/>
      <c r="CI33" s="1"/>
      <c r="CM33" s="2"/>
      <c r="CN33" s="1"/>
      <c r="CO33" s="1"/>
      <c r="CP33" s="1"/>
      <c r="CQ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M33" s="1"/>
      <c r="DR33" s="1"/>
      <c r="ED33" s="1"/>
      <c r="EF33" s="1"/>
      <c r="EK33" s="1"/>
      <c r="EL33" s="1"/>
      <c r="EM33" s="1"/>
      <c r="EN33" s="1"/>
      <c r="EQ33" s="1"/>
      <c r="ER33" s="1"/>
      <c r="ES33" s="1"/>
      <c r="EV33" s="1"/>
      <c r="EW33" s="1"/>
      <c r="EZ33" s="1"/>
      <c r="FA33" s="1"/>
      <c r="FD33" s="1"/>
      <c r="FG33" s="1"/>
      <c r="FH33" s="1"/>
      <c r="FI33" s="1"/>
      <c r="FJ33" s="1"/>
      <c r="FL33" s="1"/>
      <c r="FM33" s="1"/>
      <c r="FN33" s="1"/>
      <c r="FO33" s="1"/>
      <c r="FP33" s="1"/>
      <c r="FQ33" s="1"/>
      <c r="FS33" s="1"/>
      <c r="FT33" s="1"/>
      <c r="FU33" s="1"/>
      <c r="FV33" s="1"/>
      <c r="FW33" s="1"/>
      <c r="FX33" s="1"/>
      <c r="FZ33" s="1"/>
      <c r="GA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R33" s="1"/>
      <c r="GY33" s="1"/>
      <c r="HF33" s="1"/>
      <c r="HH33" s="1"/>
      <c r="HN33" s="1"/>
      <c r="HQ33" s="1"/>
      <c r="HU33" s="1"/>
      <c r="HV33" s="1"/>
      <c r="HW33" s="1"/>
      <c r="HY33" s="1"/>
      <c r="IA33" s="1"/>
      <c r="IC33" s="1"/>
      <c r="IE33" s="1"/>
      <c r="IR33" s="1"/>
      <c r="IS33" s="1"/>
      <c r="IY33" s="1"/>
      <c r="IZ33" s="1"/>
      <c r="JF33" s="1"/>
      <c r="JG33" s="1"/>
      <c r="JH33" s="1"/>
      <c r="JJ33" s="1"/>
      <c r="JN33" s="1"/>
      <c r="JP33" s="1"/>
      <c r="JQ33" s="1"/>
      <c r="KU33" s="1"/>
      <c r="KV33" s="1"/>
      <c r="KY33" s="1"/>
      <c r="KZ33" s="1"/>
      <c r="LA33" s="1"/>
      <c r="LB33" s="1"/>
      <c r="LC33" s="1"/>
      <c r="LD33" s="1"/>
      <c r="LO33" s="1"/>
      <c r="LP33" s="1"/>
      <c r="LZ33" s="1"/>
      <c r="MA33" s="1"/>
    </row>
    <row r="34" spans="4:339" ht="15.75" customHeight="1" x14ac:dyDescent="0.15">
      <c r="D34" s="12"/>
      <c r="E34" s="12"/>
      <c r="I34" s="12"/>
      <c r="J34" s="13"/>
      <c r="BF34" s="1"/>
      <c r="BG34" s="1"/>
      <c r="BH34" s="1"/>
      <c r="BI34" s="1"/>
      <c r="BJ34" s="1"/>
      <c r="BK34" s="1"/>
      <c r="BL34" s="1"/>
      <c r="BM34" s="1"/>
      <c r="BN34" s="1"/>
      <c r="BO34" s="1"/>
      <c r="BQ34" s="1"/>
      <c r="BR34" s="1"/>
      <c r="CD34" s="1"/>
      <c r="CE34" s="1"/>
      <c r="CF34" s="1"/>
      <c r="CH34" s="1"/>
      <c r="CI34" s="1"/>
      <c r="CM34" s="2"/>
      <c r="CN34" s="1"/>
      <c r="CO34" s="1"/>
      <c r="ED34" s="1"/>
      <c r="EL34" s="1"/>
      <c r="EM34" s="1"/>
      <c r="EN34" s="1"/>
      <c r="EQ34" s="1"/>
      <c r="ER34" s="1"/>
      <c r="ES34" s="1"/>
      <c r="EV34" s="1"/>
      <c r="EW34" s="1"/>
      <c r="EZ34" s="1"/>
      <c r="FA34" s="1"/>
      <c r="FD34" s="1"/>
      <c r="FG34" s="1"/>
      <c r="FJ34" s="1"/>
      <c r="FP34" s="1"/>
      <c r="FQ34" s="1"/>
      <c r="FS34" s="1"/>
      <c r="FU34" s="1"/>
      <c r="GA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P34" s="1"/>
      <c r="GR34" s="1"/>
      <c r="GY34" s="1"/>
      <c r="HF34" s="1"/>
      <c r="HY34" s="1"/>
      <c r="ID34" s="1"/>
      <c r="IR34" s="1"/>
      <c r="IS34" s="1"/>
      <c r="IZ34" s="1"/>
      <c r="JJ34" s="1"/>
      <c r="JN34" s="1"/>
      <c r="JP34" s="1"/>
      <c r="JQ34" s="1"/>
      <c r="KU34" s="1"/>
    </row>
    <row r="35" spans="4:339" ht="15.75" customHeight="1" x14ac:dyDescent="0.15">
      <c r="D35" s="12"/>
      <c r="E35" s="12"/>
      <c r="I35" s="12"/>
      <c r="J35" s="13"/>
      <c r="BF35" s="1"/>
      <c r="BG35" s="1"/>
      <c r="BH35" s="1"/>
      <c r="BI35" s="1"/>
      <c r="BK35" s="1"/>
      <c r="BL35" s="1"/>
      <c r="BM35" s="1"/>
      <c r="BN35" s="1"/>
      <c r="BO35" s="1"/>
      <c r="BP35" s="1"/>
      <c r="BQ35" s="1"/>
      <c r="BR35" s="1"/>
      <c r="CD35" s="1"/>
      <c r="CE35" s="1"/>
      <c r="CF35" s="1"/>
      <c r="CG35" s="1"/>
      <c r="CH35" s="1"/>
      <c r="CI35" s="1"/>
      <c r="CM35" s="2"/>
      <c r="CN35" s="1"/>
      <c r="CO35" s="1"/>
      <c r="CP35" s="1"/>
      <c r="CQ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M35" s="1"/>
      <c r="DQ35" s="1"/>
      <c r="DR35" s="1"/>
      <c r="DY35" s="1"/>
      <c r="DZ35" s="1"/>
      <c r="ED35" s="1"/>
      <c r="EF35" s="1"/>
      <c r="EK35" s="1"/>
      <c r="EL35" s="1"/>
      <c r="EM35" s="1"/>
      <c r="EN35" s="1"/>
      <c r="EQ35" s="1"/>
      <c r="ER35" s="1"/>
      <c r="ES35" s="1"/>
      <c r="EV35" s="1"/>
      <c r="EW35" s="1"/>
      <c r="EZ35" s="1"/>
      <c r="FA35" s="1"/>
      <c r="FD35" s="1"/>
      <c r="FG35" s="1"/>
      <c r="FH35" s="1"/>
      <c r="FI35" s="1"/>
      <c r="FJ35" s="1"/>
      <c r="FK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R35" s="1"/>
      <c r="GY35" s="1"/>
      <c r="HH35" s="1"/>
      <c r="HN35" s="1"/>
      <c r="HT35" s="1"/>
      <c r="HY35" s="1"/>
      <c r="ID35" s="1"/>
      <c r="IE35" s="1"/>
      <c r="IR35" s="1"/>
      <c r="IS35" s="1"/>
      <c r="IZ35" s="1"/>
      <c r="JC35" s="1"/>
      <c r="JF35" s="1"/>
      <c r="JH35" s="1"/>
      <c r="JJ35" s="1"/>
      <c r="JN35" s="1"/>
      <c r="JP35" s="1"/>
      <c r="JQ35" s="1"/>
      <c r="JT35" s="1"/>
      <c r="KU35" s="1"/>
      <c r="KV35" s="1"/>
      <c r="KY35" s="1"/>
      <c r="KZ35" s="1"/>
      <c r="LA35" s="1"/>
      <c r="LB35" s="1"/>
      <c r="LC35" s="1"/>
      <c r="LD35" s="1"/>
      <c r="LO35" s="1"/>
      <c r="LP35" s="1"/>
      <c r="LZ35" s="1"/>
      <c r="MA35" s="1"/>
    </row>
    <row r="36" spans="4:339" ht="15.75" customHeight="1" x14ac:dyDescent="0.15">
      <c r="D36" s="12"/>
      <c r="E36" s="12"/>
      <c r="I36" s="12"/>
      <c r="J36" s="13"/>
      <c r="BF36" s="1"/>
      <c r="BG36" s="1"/>
      <c r="BH36" s="1"/>
      <c r="BI36" s="1"/>
      <c r="BK36" s="1"/>
      <c r="BL36" s="1"/>
      <c r="BM36" s="1"/>
      <c r="BN36" s="1"/>
      <c r="BO36" s="1"/>
      <c r="BP36" s="1"/>
      <c r="BQ36" s="1"/>
      <c r="BR36" s="1"/>
      <c r="CD36" s="1"/>
      <c r="CE36" s="1"/>
      <c r="CF36" s="1"/>
      <c r="CG36" s="1"/>
      <c r="CH36" s="1"/>
      <c r="CI36" s="1"/>
      <c r="CM36" s="2"/>
      <c r="CN36" s="1"/>
      <c r="CO36" s="1"/>
      <c r="CP36" s="1"/>
      <c r="CQ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M36" s="1"/>
      <c r="DQ36" s="1"/>
      <c r="DR36" s="1"/>
      <c r="DY36" s="1"/>
      <c r="DZ36" s="1"/>
      <c r="ED36" s="1"/>
      <c r="EF36" s="1"/>
      <c r="EK36" s="1"/>
      <c r="EL36" s="1"/>
      <c r="EM36" s="1"/>
      <c r="EN36" s="1"/>
      <c r="EQ36" s="1"/>
      <c r="ER36" s="1"/>
      <c r="ES36" s="1"/>
      <c r="EV36" s="1"/>
      <c r="EW36" s="1"/>
      <c r="EZ36" s="1"/>
      <c r="FA36" s="1"/>
      <c r="FD36" s="1"/>
      <c r="FG36" s="1"/>
      <c r="FH36" s="1"/>
      <c r="FI36" s="1"/>
      <c r="FJ36" s="1"/>
      <c r="FK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R36" s="1"/>
      <c r="GY36" s="1"/>
      <c r="HH36" s="1"/>
      <c r="HN36" s="1"/>
      <c r="HT36" s="1"/>
      <c r="HY36" s="1"/>
      <c r="ID36" s="1"/>
      <c r="IE36" s="1"/>
      <c r="IR36" s="1"/>
      <c r="IS36" s="1"/>
      <c r="IZ36" s="1"/>
      <c r="JC36" s="1"/>
      <c r="JF36" s="1"/>
      <c r="JH36" s="1"/>
      <c r="JJ36" s="1"/>
      <c r="JN36" s="1"/>
      <c r="JP36" s="1"/>
      <c r="JQ36" s="1"/>
      <c r="JT36" s="1"/>
      <c r="KU36" s="1"/>
      <c r="KV36" s="1"/>
      <c r="KY36" s="1"/>
      <c r="KZ36" s="1"/>
      <c r="LA36" s="1"/>
      <c r="LB36" s="1"/>
      <c r="LC36" s="1"/>
      <c r="LD36" s="1"/>
      <c r="LO36" s="1"/>
      <c r="LP36" s="1"/>
      <c r="LZ36" s="1"/>
      <c r="MA36" s="1"/>
    </row>
    <row r="37" spans="4:339" ht="15.75" customHeight="1" x14ac:dyDescent="0.15">
      <c r="D37" s="12"/>
      <c r="E37" s="12"/>
      <c r="I37" s="12"/>
      <c r="J37" s="13"/>
      <c r="BF37" s="1"/>
      <c r="BG37" s="1"/>
      <c r="BH37" s="1"/>
      <c r="BI37" s="1"/>
      <c r="BK37" s="1"/>
      <c r="BL37" s="1"/>
      <c r="BM37" s="1"/>
      <c r="BN37" s="1"/>
      <c r="BP37" s="1"/>
      <c r="BQ37" s="1"/>
      <c r="BR37" s="1"/>
      <c r="CD37" s="1"/>
      <c r="CE37" s="1"/>
      <c r="CF37" s="1"/>
      <c r="CG37" s="1"/>
      <c r="CH37" s="1"/>
      <c r="CI37" s="1"/>
      <c r="CM37" s="2"/>
      <c r="CN37" s="1"/>
      <c r="CO37" s="1"/>
      <c r="CP37" s="1"/>
      <c r="CQ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ED37" s="1"/>
      <c r="EK37" s="1"/>
      <c r="EL37" s="1"/>
      <c r="EM37" s="1"/>
      <c r="EN37" s="1"/>
      <c r="EQ37" s="1"/>
      <c r="ER37" s="1"/>
      <c r="ES37" s="1"/>
      <c r="EV37" s="1"/>
      <c r="EW37" s="1"/>
      <c r="EX37" s="1"/>
      <c r="EZ37" s="1"/>
      <c r="FA37" s="1"/>
      <c r="FD37" s="1"/>
      <c r="FJ37" s="1"/>
      <c r="FL37" s="1"/>
      <c r="FX37" s="1"/>
      <c r="FY37" s="1"/>
      <c r="FZ37" s="1"/>
      <c r="GA37" s="1"/>
      <c r="GD37" s="1"/>
      <c r="GE37" s="1"/>
      <c r="GF37" s="1"/>
      <c r="GG37" s="1"/>
      <c r="GH37" s="1"/>
      <c r="GI37" s="1"/>
      <c r="GJ37" s="1"/>
      <c r="GM37" s="1"/>
      <c r="GN37" s="1"/>
      <c r="GO37" s="1"/>
      <c r="GP37" s="1"/>
      <c r="GR37" s="1"/>
      <c r="HF37" s="1"/>
      <c r="HH37" s="1"/>
      <c r="HN37" s="1"/>
      <c r="HQ37" s="1"/>
      <c r="HX37" s="1"/>
      <c r="HY37" s="1"/>
      <c r="IC37" s="1"/>
      <c r="IE37" s="1"/>
      <c r="IG37" s="1"/>
      <c r="IR37" s="1"/>
      <c r="IS37" s="1"/>
      <c r="IW37" s="1"/>
      <c r="IY37" s="1"/>
      <c r="IZ37" s="1"/>
      <c r="JA37" s="1"/>
      <c r="JF37" s="1"/>
      <c r="JG37" s="1"/>
      <c r="JH37" s="1"/>
      <c r="JJ37" s="1"/>
      <c r="JK37" s="1"/>
      <c r="JL37" s="3"/>
      <c r="JM37" s="1"/>
      <c r="JP37" s="1"/>
      <c r="JQ37" s="1"/>
      <c r="JR37" s="1"/>
      <c r="KU37" s="1"/>
      <c r="KY37" s="1"/>
      <c r="KZ37" s="1"/>
      <c r="LA37" s="1"/>
      <c r="LB37" s="1"/>
      <c r="LC37" s="1"/>
      <c r="LD37" s="1"/>
      <c r="LF37" s="1"/>
      <c r="LN37" s="1"/>
      <c r="LO37" s="1"/>
      <c r="LP37" s="1"/>
      <c r="LZ37" s="1"/>
    </row>
    <row r="38" spans="4:339" ht="15.75" customHeight="1" x14ac:dyDescent="0.15">
      <c r="D38" s="12"/>
      <c r="E38" s="12"/>
      <c r="I38" s="12"/>
      <c r="J38" s="13"/>
      <c r="BF38" s="1"/>
      <c r="BG38" s="1"/>
      <c r="BH38" s="1"/>
      <c r="BI38" s="1"/>
      <c r="BK38" s="1"/>
      <c r="BL38" s="1"/>
      <c r="BM38" s="1"/>
      <c r="BN38" s="1"/>
      <c r="BP38" s="1"/>
      <c r="BQ38" s="1"/>
      <c r="BR38" s="1"/>
      <c r="CD38" s="1"/>
      <c r="CE38" s="1"/>
      <c r="CF38" s="1"/>
      <c r="CG38" s="1"/>
      <c r="CH38" s="1"/>
      <c r="CI38" s="1"/>
      <c r="CM38" s="2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M38" s="1"/>
      <c r="DQ38" s="1"/>
      <c r="DR38" s="1"/>
      <c r="DY38" s="1"/>
      <c r="DZ38" s="1"/>
      <c r="ED38" s="1"/>
      <c r="EE38" s="1"/>
      <c r="EF38" s="1"/>
      <c r="EG38" s="1"/>
      <c r="EH38" s="1"/>
      <c r="EK38" s="1"/>
      <c r="EL38" s="1"/>
      <c r="EM38" s="1"/>
      <c r="EN38" s="1"/>
      <c r="EQ38" s="1"/>
      <c r="ER38" s="1"/>
      <c r="ES38" s="1"/>
      <c r="EV38" s="1"/>
      <c r="EW38" s="1"/>
      <c r="EY38" s="1"/>
      <c r="EZ38" s="1"/>
      <c r="FA38" s="1"/>
      <c r="FD38" s="1"/>
      <c r="FG38" s="1"/>
      <c r="FH38" s="1"/>
      <c r="FI38" s="1"/>
      <c r="FJ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P38" s="1"/>
      <c r="GR38" s="1"/>
      <c r="GY38" s="1"/>
      <c r="HF38" s="1"/>
      <c r="HH38" s="1"/>
      <c r="HT38" s="1"/>
      <c r="HY38" s="1"/>
      <c r="IE38" s="1"/>
      <c r="IG38" s="1"/>
      <c r="IJ38" s="1"/>
      <c r="IR38" s="1"/>
      <c r="IS38" s="1"/>
      <c r="IW38" s="1"/>
      <c r="IX38" s="1"/>
      <c r="IY38" s="1"/>
      <c r="IZ38" s="1"/>
      <c r="JB38" s="1"/>
      <c r="JC38" s="1"/>
      <c r="JF38" s="1"/>
      <c r="JG38" s="1"/>
      <c r="JH38" s="1"/>
      <c r="JJ38" s="1"/>
      <c r="JK38" s="1"/>
      <c r="JL38" s="3"/>
      <c r="JM38" s="1"/>
      <c r="JN38" s="1"/>
      <c r="JP38" s="1"/>
      <c r="JQ38" s="1"/>
      <c r="JR38" s="1"/>
      <c r="JT38" s="1"/>
      <c r="KW38" s="1"/>
      <c r="KY38" s="1"/>
      <c r="KZ38" s="1"/>
      <c r="LA38" s="1"/>
      <c r="LB38" s="1"/>
      <c r="LC38" s="1"/>
      <c r="LD38" s="1"/>
      <c r="LO38" s="1"/>
      <c r="LP38" s="1"/>
      <c r="LZ38" s="1"/>
      <c r="MA38" s="1"/>
    </row>
    <row r="39" spans="4:339" ht="15.75" customHeight="1" x14ac:dyDescent="0.15">
      <c r="D39" s="12"/>
      <c r="E39" s="12"/>
      <c r="I39" s="12"/>
      <c r="J39" s="13"/>
      <c r="BF39" s="1"/>
      <c r="BG39" s="1"/>
      <c r="BH39" s="1"/>
      <c r="BI39" s="1"/>
      <c r="BK39" s="1"/>
      <c r="BL39" s="1"/>
      <c r="BM39" s="1"/>
      <c r="BN39" s="1"/>
      <c r="BP39" s="1"/>
      <c r="BQ39" s="1"/>
      <c r="BR39" s="1"/>
      <c r="CD39" s="1"/>
      <c r="CE39" s="1"/>
      <c r="CF39" s="1"/>
      <c r="CG39" s="1"/>
      <c r="CH39" s="1"/>
      <c r="CI39" s="1"/>
      <c r="CM39" s="2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M39" s="1"/>
      <c r="DQ39" s="1"/>
      <c r="DR39" s="1"/>
      <c r="DY39" s="1"/>
      <c r="DZ39" s="1"/>
      <c r="ED39" s="1"/>
      <c r="EE39" s="1"/>
      <c r="EF39" s="1"/>
      <c r="EG39" s="1"/>
      <c r="EH39" s="1"/>
      <c r="EK39" s="1"/>
      <c r="EL39" s="1"/>
      <c r="EM39" s="1"/>
      <c r="EN39" s="1"/>
      <c r="EQ39" s="1"/>
      <c r="ER39" s="1"/>
      <c r="ES39" s="1"/>
      <c r="EV39" s="1"/>
      <c r="EW39" s="1"/>
      <c r="EY39" s="1"/>
      <c r="EZ39" s="1"/>
      <c r="FA39" s="1"/>
      <c r="FD39" s="1"/>
      <c r="FG39" s="1"/>
      <c r="FH39" s="1"/>
      <c r="FI39" s="1"/>
      <c r="FJ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P39" s="1"/>
      <c r="GR39" s="1"/>
      <c r="GY39" s="1"/>
      <c r="HF39" s="1"/>
      <c r="HH39" s="1"/>
      <c r="HT39" s="1"/>
      <c r="HY39" s="1"/>
      <c r="IE39" s="1"/>
      <c r="IG39" s="1"/>
      <c r="IJ39" s="1"/>
      <c r="IR39" s="1"/>
      <c r="IS39" s="1"/>
      <c r="IW39" s="1"/>
      <c r="IX39" s="1"/>
      <c r="IY39" s="1"/>
      <c r="IZ39" s="1"/>
      <c r="JB39" s="1"/>
      <c r="JC39" s="1"/>
      <c r="JF39" s="1"/>
      <c r="JG39" s="1"/>
      <c r="JH39" s="1"/>
      <c r="JJ39" s="1"/>
      <c r="JK39" s="1"/>
      <c r="JL39" s="3"/>
      <c r="JM39" s="1"/>
      <c r="JN39" s="1"/>
      <c r="JP39" s="1"/>
      <c r="JQ39" s="1"/>
      <c r="JR39" s="1"/>
      <c r="JT39" s="1"/>
      <c r="KW39" s="1"/>
      <c r="KY39" s="1"/>
      <c r="KZ39" s="1"/>
      <c r="LA39" s="1"/>
      <c r="LB39" s="1"/>
      <c r="LC39" s="1"/>
      <c r="LD39" s="1"/>
      <c r="LO39" s="1"/>
      <c r="LP39" s="1"/>
      <c r="LZ39" s="1"/>
      <c r="MA39" s="1"/>
    </row>
    <row r="40" spans="4:339" ht="15.75" customHeight="1" x14ac:dyDescent="0.15">
      <c r="D40" s="12"/>
      <c r="E40" s="12"/>
      <c r="I40" s="12"/>
      <c r="J40" s="13"/>
      <c r="BF40" s="1"/>
      <c r="BG40" s="1"/>
      <c r="BH40" s="1"/>
      <c r="BI40" s="1"/>
      <c r="BK40" s="1"/>
      <c r="BL40" s="1"/>
      <c r="BM40" s="1"/>
      <c r="BN40" s="1"/>
      <c r="BP40" s="1"/>
      <c r="BQ40" s="1"/>
      <c r="BR40" s="1"/>
      <c r="CD40" s="1"/>
      <c r="CE40" s="1"/>
      <c r="CF40" s="1"/>
      <c r="CG40" s="1"/>
      <c r="CH40" s="1"/>
      <c r="CI40" s="1"/>
      <c r="CM40" s="2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M40" s="1"/>
      <c r="DQ40" s="1"/>
      <c r="DR40" s="1"/>
      <c r="DY40" s="1"/>
      <c r="DZ40" s="1"/>
      <c r="ED40" s="1"/>
      <c r="EE40" s="1"/>
      <c r="EF40" s="1"/>
      <c r="EG40" s="1"/>
      <c r="EH40" s="1"/>
      <c r="EK40" s="1"/>
      <c r="EL40" s="1"/>
      <c r="EM40" s="1"/>
      <c r="EN40" s="1"/>
      <c r="EQ40" s="1"/>
      <c r="ER40" s="1"/>
      <c r="ES40" s="1"/>
      <c r="EV40" s="1"/>
      <c r="EW40" s="1"/>
      <c r="EY40" s="1"/>
      <c r="EZ40" s="1"/>
      <c r="FA40" s="1"/>
      <c r="FD40" s="1"/>
      <c r="FG40" s="1"/>
      <c r="FH40" s="1"/>
      <c r="FI40" s="1"/>
      <c r="FJ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P40" s="1"/>
      <c r="GR40" s="1"/>
      <c r="GY40" s="1"/>
      <c r="HF40" s="1"/>
      <c r="HH40" s="1"/>
      <c r="HT40" s="1"/>
      <c r="HY40" s="1"/>
      <c r="IE40" s="1"/>
      <c r="IG40" s="1"/>
      <c r="IJ40" s="1"/>
      <c r="IR40" s="1"/>
      <c r="IS40" s="1"/>
      <c r="IW40" s="1"/>
      <c r="IX40" s="1"/>
      <c r="IY40" s="1"/>
      <c r="IZ40" s="1"/>
      <c r="JB40" s="1"/>
      <c r="JC40" s="1"/>
      <c r="JF40" s="1"/>
      <c r="JG40" s="1"/>
      <c r="JH40" s="1"/>
      <c r="JJ40" s="1"/>
      <c r="JK40" s="1"/>
      <c r="JL40" s="3"/>
      <c r="JM40" s="1"/>
      <c r="JN40" s="1"/>
      <c r="JP40" s="1"/>
      <c r="JQ40" s="1"/>
      <c r="JR40" s="1"/>
      <c r="JT40" s="1"/>
      <c r="KW40" s="1"/>
      <c r="KY40" s="1"/>
      <c r="KZ40" s="1"/>
      <c r="LA40" s="1"/>
      <c r="LB40" s="1"/>
      <c r="LC40" s="1"/>
      <c r="LD40" s="1"/>
      <c r="LO40" s="1"/>
      <c r="LP40" s="1"/>
      <c r="LZ40" s="1"/>
      <c r="MA40" s="1"/>
    </row>
    <row r="41" spans="4:339" ht="15.75" customHeight="1" x14ac:dyDescent="0.15">
      <c r="D41" s="12"/>
      <c r="E41" s="12"/>
      <c r="I41" s="12"/>
      <c r="J41" s="13"/>
      <c r="BF41" s="1"/>
      <c r="BG41" s="1"/>
      <c r="BH41" s="1"/>
      <c r="BI41" s="1"/>
      <c r="BK41" s="1"/>
      <c r="BL41" s="1"/>
      <c r="BM41" s="1"/>
      <c r="BN41" s="1"/>
      <c r="BP41" s="1"/>
      <c r="BQ41" s="1"/>
      <c r="BR41" s="1"/>
      <c r="CD41" s="1"/>
      <c r="CE41" s="1"/>
      <c r="CF41" s="1"/>
      <c r="CG41" s="1"/>
      <c r="CH41" s="1"/>
      <c r="CI41" s="1"/>
      <c r="CM41" s="2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M41" s="1"/>
      <c r="DQ41" s="1"/>
      <c r="DR41" s="1"/>
      <c r="DY41" s="1"/>
      <c r="DZ41" s="1"/>
      <c r="ED41" s="1"/>
      <c r="EE41" s="1"/>
      <c r="EF41" s="1"/>
      <c r="EG41" s="1"/>
      <c r="EH41" s="1"/>
      <c r="EK41" s="1"/>
      <c r="EL41" s="1"/>
      <c r="EM41" s="1"/>
      <c r="EN41" s="1"/>
      <c r="EQ41" s="1"/>
      <c r="ER41" s="1"/>
      <c r="ES41" s="1"/>
      <c r="EV41" s="1"/>
      <c r="EW41" s="1"/>
      <c r="EY41" s="1"/>
      <c r="EZ41" s="1"/>
      <c r="FA41" s="1"/>
      <c r="FD41" s="1"/>
      <c r="FG41" s="1"/>
      <c r="FH41" s="1"/>
      <c r="FI41" s="1"/>
      <c r="FJ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D41" s="1"/>
      <c r="GE41" s="1"/>
      <c r="GF41" s="1"/>
      <c r="GG41" s="1"/>
      <c r="GH41" s="1"/>
      <c r="GI41" s="1"/>
      <c r="GJ41" s="1"/>
      <c r="GK41" s="1"/>
      <c r="GL41" s="1"/>
      <c r="GM41" s="1"/>
      <c r="GN41" s="1"/>
      <c r="GP41" s="1"/>
      <c r="GR41" s="1"/>
      <c r="GY41" s="1"/>
      <c r="HF41" s="1"/>
      <c r="HH41" s="1"/>
      <c r="HT41" s="1"/>
      <c r="HY41" s="1"/>
      <c r="IE41" s="1"/>
      <c r="IG41" s="1"/>
      <c r="IJ41" s="1"/>
      <c r="IR41" s="1"/>
      <c r="IS41" s="1"/>
      <c r="IW41" s="1"/>
      <c r="IX41" s="1"/>
      <c r="IY41" s="1"/>
      <c r="IZ41" s="1"/>
      <c r="JB41" s="1"/>
      <c r="JC41" s="1"/>
      <c r="JF41" s="1"/>
      <c r="JG41" s="1"/>
      <c r="JH41" s="1"/>
      <c r="JJ41" s="1"/>
      <c r="JK41" s="1"/>
      <c r="JL41" s="3"/>
      <c r="JM41" s="1"/>
      <c r="JN41" s="1"/>
      <c r="JP41" s="1"/>
      <c r="JQ41" s="1"/>
      <c r="JR41" s="1"/>
      <c r="JT41" s="1"/>
      <c r="KW41" s="1"/>
      <c r="KY41" s="1"/>
      <c r="KZ41" s="1"/>
      <c r="LA41" s="1"/>
      <c r="LB41" s="1"/>
      <c r="LC41" s="1"/>
      <c r="LD41" s="1"/>
      <c r="LO41" s="1"/>
      <c r="LP41" s="1"/>
      <c r="LZ41" s="1"/>
      <c r="MA41" s="1"/>
    </row>
    <row r="42" spans="4:339" ht="15.75" customHeight="1" x14ac:dyDescent="0.15">
      <c r="D42" s="12"/>
      <c r="E42" s="12"/>
      <c r="I42" s="12"/>
      <c r="J42" s="13"/>
      <c r="BF42" s="1"/>
      <c r="BG42" s="1"/>
      <c r="BH42" s="1"/>
      <c r="BI42" s="1"/>
      <c r="BK42" s="1"/>
      <c r="BL42" s="1"/>
      <c r="BM42" s="1"/>
      <c r="BN42" s="1"/>
      <c r="BP42" s="1"/>
      <c r="BQ42" s="1"/>
      <c r="BR42" s="1"/>
      <c r="CD42" s="1"/>
      <c r="CE42" s="1"/>
      <c r="CF42" s="1"/>
      <c r="CG42" s="1"/>
      <c r="CH42" s="1"/>
      <c r="CI42" s="1"/>
      <c r="CM42" s="2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M42" s="1"/>
      <c r="DQ42" s="1"/>
      <c r="DR42" s="1"/>
      <c r="DY42" s="1"/>
      <c r="DZ42" s="1"/>
      <c r="ED42" s="1"/>
      <c r="EE42" s="1"/>
      <c r="EF42" s="1"/>
      <c r="EG42" s="1"/>
      <c r="EH42" s="1"/>
      <c r="EK42" s="1"/>
      <c r="EL42" s="1"/>
      <c r="EM42" s="1"/>
      <c r="EN42" s="1"/>
      <c r="EQ42" s="1"/>
      <c r="ER42" s="1"/>
      <c r="ES42" s="1"/>
      <c r="EV42" s="1"/>
      <c r="EW42" s="1"/>
      <c r="EY42" s="1"/>
      <c r="EZ42" s="1"/>
      <c r="FA42" s="1"/>
      <c r="FD42" s="1"/>
      <c r="FG42" s="1"/>
      <c r="FH42" s="1"/>
      <c r="FI42" s="1"/>
      <c r="FJ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P42" s="1"/>
      <c r="GR42" s="1"/>
      <c r="GY42" s="1"/>
      <c r="HF42" s="1"/>
      <c r="HH42" s="1"/>
      <c r="HT42" s="1"/>
      <c r="HY42" s="1"/>
      <c r="IE42" s="1"/>
      <c r="IG42" s="1"/>
      <c r="IJ42" s="1"/>
      <c r="IR42" s="1"/>
      <c r="IS42" s="1"/>
      <c r="IW42" s="1"/>
      <c r="IX42" s="1"/>
      <c r="IY42" s="1"/>
      <c r="IZ42" s="1"/>
      <c r="JB42" s="1"/>
      <c r="JC42" s="1"/>
      <c r="JF42" s="1"/>
      <c r="JG42" s="1"/>
      <c r="JH42" s="1"/>
      <c r="JJ42" s="1"/>
      <c r="JK42" s="1"/>
      <c r="JL42" s="3"/>
      <c r="JM42" s="1"/>
      <c r="JN42" s="1"/>
      <c r="JP42" s="1"/>
      <c r="JQ42" s="1"/>
      <c r="JR42" s="1"/>
      <c r="JT42" s="1"/>
      <c r="KW42" s="1"/>
      <c r="KY42" s="1"/>
      <c r="KZ42" s="1"/>
      <c r="LA42" s="1"/>
      <c r="LB42" s="1"/>
      <c r="LC42" s="1"/>
      <c r="LD42" s="1"/>
      <c r="LO42" s="1"/>
      <c r="LP42" s="1"/>
      <c r="LZ42" s="1"/>
      <c r="MA42" s="1"/>
    </row>
    <row r="43" spans="4:339" ht="15.75" customHeight="1" x14ac:dyDescent="0.15">
      <c r="D43" s="12"/>
      <c r="E43" s="12"/>
      <c r="I43" s="12"/>
      <c r="J43" s="13"/>
      <c r="BF43" s="1"/>
      <c r="BG43" s="1"/>
      <c r="BH43" s="1"/>
      <c r="BI43" s="1"/>
      <c r="BK43" s="1"/>
      <c r="BL43" s="1"/>
      <c r="BM43" s="1"/>
      <c r="BN43" s="1"/>
      <c r="BP43" s="1"/>
      <c r="BQ43" s="1"/>
      <c r="BR43" s="1"/>
      <c r="CD43" s="1"/>
      <c r="CE43" s="1"/>
      <c r="CF43" s="1"/>
      <c r="CG43" s="1"/>
      <c r="CH43" s="1"/>
      <c r="CI43" s="1"/>
      <c r="CM43" s="2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M43" s="1"/>
      <c r="DQ43" s="1"/>
      <c r="DR43" s="1"/>
      <c r="DY43" s="1"/>
      <c r="DZ43" s="1"/>
      <c r="ED43" s="1"/>
      <c r="EE43" s="1"/>
      <c r="EF43" s="1"/>
      <c r="EG43" s="1"/>
      <c r="EH43" s="1"/>
      <c r="EK43" s="1"/>
      <c r="EL43" s="1"/>
      <c r="EM43" s="1"/>
      <c r="EN43" s="1"/>
      <c r="EQ43" s="1"/>
      <c r="ER43" s="1"/>
      <c r="ES43" s="1"/>
      <c r="EV43" s="1"/>
      <c r="EW43" s="1"/>
      <c r="EY43" s="1"/>
      <c r="EZ43" s="1"/>
      <c r="FA43" s="1"/>
      <c r="FD43" s="1"/>
      <c r="FG43" s="1"/>
      <c r="FH43" s="1"/>
      <c r="FI43" s="1"/>
      <c r="FJ43" s="1"/>
      <c r="FM43" s="1"/>
      <c r="FN43" s="1"/>
      <c r="FO43" s="1"/>
      <c r="FP43" s="1"/>
      <c r="FQ43" s="1"/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D43" s="1"/>
      <c r="GE43" s="1"/>
      <c r="GF43" s="1"/>
      <c r="GG43" s="1"/>
      <c r="GH43" s="1"/>
      <c r="GI43" s="1"/>
      <c r="GJ43" s="1"/>
      <c r="GK43" s="1"/>
      <c r="GL43" s="1"/>
      <c r="GM43" s="1"/>
      <c r="GN43" s="1"/>
      <c r="GP43" s="1"/>
      <c r="GR43" s="1"/>
      <c r="GY43" s="1"/>
      <c r="HF43" s="1"/>
      <c r="HH43" s="1"/>
      <c r="HT43" s="1"/>
      <c r="HY43" s="1"/>
      <c r="IE43" s="1"/>
      <c r="IG43" s="1"/>
      <c r="IJ43" s="1"/>
      <c r="IR43" s="1"/>
      <c r="IS43" s="1"/>
      <c r="IW43" s="1"/>
      <c r="IX43" s="1"/>
      <c r="IY43" s="1"/>
      <c r="IZ43" s="1"/>
      <c r="JB43" s="1"/>
      <c r="JC43" s="1"/>
      <c r="JF43" s="1"/>
      <c r="JG43" s="1"/>
      <c r="JH43" s="1"/>
      <c r="JJ43" s="1"/>
      <c r="JK43" s="1"/>
      <c r="JL43" s="3"/>
      <c r="JM43" s="1"/>
      <c r="JN43" s="1"/>
      <c r="JP43" s="1"/>
      <c r="JQ43" s="1"/>
      <c r="JR43" s="1"/>
      <c r="JT43" s="1"/>
      <c r="KW43" s="1"/>
      <c r="KY43" s="1"/>
      <c r="KZ43" s="1"/>
      <c r="LA43" s="1"/>
      <c r="LB43" s="1"/>
      <c r="LC43" s="1"/>
      <c r="LD43" s="1"/>
      <c r="LO43" s="1"/>
      <c r="LP43" s="1"/>
      <c r="LZ43" s="1"/>
      <c r="MA43" s="1"/>
    </row>
    <row r="44" spans="4:339" ht="15.75" customHeight="1" x14ac:dyDescent="0.15">
      <c r="D44" s="12"/>
      <c r="E44" s="12"/>
      <c r="I44" s="12"/>
      <c r="J44" s="13"/>
      <c r="BF44" s="1"/>
      <c r="BG44" s="1"/>
      <c r="BH44" s="1"/>
      <c r="BI44" s="1"/>
      <c r="BK44" s="1"/>
      <c r="BL44" s="1"/>
      <c r="BM44" s="1"/>
      <c r="BN44" s="1"/>
      <c r="BP44" s="1"/>
      <c r="BQ44" s="1"/>
      <c r="BR44" s="1"/>
      <c r="CD44" s="1"/>
      <c r="CE44" s="1"/>
      <c r="CF44" s="1"/>
      <c r="CG44" s="1"/>
      <c r="CH44" s="1"/>
      <c r="CI44" s="1"/>
      <c r="CM44" s="2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M44" s="1"/>
      <c r="DQ44" s="1"/>
      <c r="DR44" s="1"/>
      <c r="DY44" s="1"/>
      <c r="DZ44" s="1"/>
      <c r="ED44" s="1"/>
      <c r="EE44" s="1"/>
      <c r="EF44" s="1"/>
      <c r="EG44" s="1"/>
      <c r="EH44" s="1"/>
      <c r="EK44" s="1"/>
      <c r="EL44" s="1"/>
      <c r="EM44" s="1"/>
      <c r="EN44" s="1"/>
      <c r="EQ44" s="1"/>
      <c r="ER44" s="1"/>
      <c r="ES44" s="1"/>
      <c r="EV44" s="1"/>
      <c r="EW44" s="1"/>
      <c r="EY44" s="1"/>
      <c r="EZ44" s="1"/>
      <c r="FA44" s="1"/>
      <c r="FD44" s="1"/>
      <c r="FG44" s="1"/>
      <c r="FH44" s="1"/>
      <c r="FI44" s="1"/>
      <c r="FJ44" s="1"/>
      <c r="FM44" s="1"/>
      <c r="FN44" s="1"/>
      <c r="FO44" s="1"/>
      <c r="FP44" s="1"/>
      <c r="FQ44" s="1"/>
      <c r="FR44" s="1"/>
      <c r="FS44" s="1"/>
      <c r="FT44" s="1"/>
      <c r="FU44" s="1"/>
      <c r="FV44" s="1"/>
      <c r="FW44" s="1"/>
      <c r="FX44" s="1"/>
      <c r="FY44" s="1"/>
      <c r="FZ44" s="1"/>
      <c r="GA44" s="1"/>
      <c r="GB44" s="1"/>
      <c r="GD44" s="1"/>
      <c r="GE44" s="1"/>
      <c r="GF44" s="1"/>
      <c r="GG44" s="1"/>
      <c r="GH44" s="1"/>
      <c r="GI44" s="1"/>
      <c r="GJ44" s="1"/>
      <c r="GK44" s="1"/>
      <c r="GL44" s="1"/>
      <c r="GM44" s="1"/>
      <c r="GN44" s="1"/>
      <c r="GP44" s="1"/>
      <c r="GR44" s="1"/>
      <c r="GY44" s="1"/>
      <c r="HF44" s="1"/>
      <c r="HH44" s="1"/>
      <c r="HT44" s="1"/>
      <c r="HY44" s="1"/>
      <c r="IE44" s="1"/>
      <c r="IG44" s="1"/>
      <c r="IJ44" s="1"/>
      <c r="IR44" s="1"/>
      <c r="IS44" s="1"/>
      <c r="IW44" s="1"/>
      <c r="IX44" s="1"/>
      <c r="IY44" s="1"/>
      <c r="IZ44" s="1"/>
      <c r="JB44" s="1"/>
      <c r="JC44" s="1"/>
      <c r="JF44" s="1"/>
      <c r="JG44" s="1"/>
      <c r="JH44" s="1"/>
      <c r="JJ44" s="1"/>
      <c r="JK44" s="1"/>
      <c r="JL44" s="3"/>
      <c r="JM44" s="1"/>
      <c r="JN44" s="1"/>
      <c r="JP44" s="1"/>
      <c r="JQ44" s="1"/>
      <c r="JR44" s="1"/>
      <c r="JT44" s="1"/>
      <c r="KW44" s="1"/>
      <c r="KY44" s="1"/>
      <c r="KZ44" s="1"/>
      <c r="LA44" s="1"/>
      <c r="LB44" s="1"/>
      <c r="LC44" s="1"/>
      <c r="LD44" s="1"/>
      <c r="LO44" s="1"/>
      <c r="LP44" s="1"/>
      <c r="LZ44" s="1"/>
      <c r="MA44" s="1"/>
    </row>
    <row r="45" spans="4:339" ht="15.75" customHeight="1" x14ac:dyDescent="0.15">
      <c r="D45" s="12"/>
      <c r="E45" s="12"/>
      <c r="I45" s="12"/>
      <c r="J45" s="13"/>
      <c r="BF45" s="1"/>
      <c r="BG45" s="1"/>
      <c r="BH45" s="1"/>
      <c r="BI45" s="1"/>
      <c r="BK45" s="1"/>
      <c r="BL45" s="1"/>
      <c r="BM45" s="1"/>
      <c r="BN45" s="1"/>
      <c r="BP45" s="1"/>
      <c r="BQ45" s="1"/>
      <c r="BR45" s="1"/>
      <c r="CD45" s="1"/>
      <c r="CE45" s="1"/>
      <c r="CF45" s="1"/>
      <c r="CG45" s="1"/>
      <c r="CH45" s="1"/>
      <c r="CI45" s="1"/>
      <c r="CM45" s="2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M45" s="1"/>
      <c r="DQ45" s="1"/>
      <c r="DR45" s="1"/>
      <c r="DY45" s="1"/>
      <c r="DZ45" s="1"/>
      <c r="ED45" s="1"/>
      <c r="EE45" s="1"/>
      <c r="EF45" s="1"/>
      <c r="EG45" s="1"/>
      <c r="EH45" s="1"/>
      <c r="EK45" s="1"/>
      <c r="EL45" s="1"/>
      <c r="EM45" s="1"/>
      <c r="EN45" s="1"/>
      <c r="EQ45" s="1"/>
      <c r="ER45" s="1"/>
      <c r="ES45" s="1"/>
      <c r="EV45" s="1"/>
      <c r="EW45" s="1"/>
      <c r="EY45" s="1"/>
      <c r="EZ45" s="1"/>
      <c r="FA45" s="1"/>
      <c r="FD45" s="1"/>
      <c r="FG45" s="1"/>
      <c r="FH45" s="1"/>
      <c r="FI45" s="1"/>
      <c r="FJ45" s="1"/>
      <c r="FM45" s="1"/>
      <c r="FN45" s="1"/>
      <c r="FO45" s="1"/>
      <c r="FP45" s="1"/>
      <c r="FQ45" s="1"/>
      <c r="FR45" s="1"/>
      <c r="FS45" s="1"/>
      <c r="FT45" s="1"/>
      <c r="FU45" s="1"/>
      <c r="FV45" s="1"/>
      <c r="FW45" s="1"/>
      <c r="FX45" s="1"/>
      <c r="FY45" s="1"/>
      <c r="FZ45" s="1"/>
      <c r="GA45" s="1"/>
      <c r="GB45" s="1"/>
      <c r="GD45" s="1"/>
      <c r="GE45" s="1"/>
      <c r="GF45" s="1"/>
      <c r="GG45" s="1"/>
      <c r="GH45" s="1"/>
      <c r="GI45" s="1"/>
      <c r="GJ45" s="1"/>
      <c r="GK45" s="1"/>
      <c r="GL45" s="1"/>
      <c r="GM45" s="1"/>
      <c r="GN45" s="1"/>
      <c r="GP45" s="1"/>
      <c r="GR45" s="1"/>
      <c r="GY45" s="1"/>
      <c r="HF45" s="1"/>
      <c r="HH45" s="1"/>
      <c r="HT45" s="1"/>
      <c r="HY45" s="1"/>
      <c r="IE45" s="1"/>
      <c r="IG45" s="1"/>
      <c r="IJ45" s="1"/>
      <c r="IR45" s="1"/>
      <c r="IS45" s="1"/>
      <c r="IW45" s="1"/>
      <c r="IX45" s="1"/>
      <c r="IY45" s="1"/>
      <c r="IZ45" s="1"/>
      <c r="JB45" s="1"/>
      <c r="JC45" s="1"/>
      <c r="JF45" s="1"/>
      <c r="JG45" s="1"/>
      <c r="JH45" s="1"/>
      <c r="JJ45" s="1"/>
      <c r="JK45" s="1"/>
      <c r="JL45" s="3"/>
      <c r="JM45" s="1"/>
      <c r="JN45" s="1"/>
      <c r="JP45" s="1"/>
      <c r="JQ45" s="1"/>
      <c r="JR45" s="1"/>
      <c r="JT45" s="1"/>
      <c r="KW45" s="1"/>
      <c r="KY45" s="1"/>
      <c r="KZ45" s="1"/>
      <c r="LA45" s="1"/>
      <c r="LB45" s="1"/>
      <c r="LC45" s="1"/>
      <c r="LD45" s="1"/>
      <c r="LO45" s="1"/>
      <c r="LP45" s="1"/>
      <c r="LZ45" s="1"/>
      <c r="MA45" s="1"/>
    </row>
    <row r="46" spans="4:339" ht="15.75" customHeight="1" x14ac:dyDescent="0.15">
      <c r="D46" s="12"/>
      <c r="E46" s="12"/>
      <c r="I46" s="12"/>
      <c r="J46" s="13"/>
      <c r="BF46" s="1"/>
      <c r="BG46" s="1"/>
      <c r="BH46" s="1"/>
      <c r="BI46" s="1"/>
      <c r="BK46" s="1"/>
      <c r="BL46" s="1"/>
      <c r="BM46" s="1"/>
      <c r="BN46" s="1"/>
      <c r="BP46" s="1"/>
      <c r="BQ46" s="1"/>
      <c r="BR46" s="1"/>
      <c r="CD46" s="1"/>
      <c r="CE46" s="1"/>
      <c r="CF46" s="1"/>
      <c r="CG46" s="1"/>
      <c r="CH46" s="1"/>
      <c r="CI46" s="1"/>
      <c r="CM46" s="2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M46" s="1"/>
      <c r="DQ46" s="1"/>
      <c r="DR46" s="1"/>
      <c r="DY46" s="1"/>
      <c r="DZ46" s="1"/>
      <c r="ED46" s="1"/>
      <c r="EE46" s="1"/>
      <c r="EF46" s="1"/>
      <c r="EG46" s="1"/>
      <c r="EH46" s="1"/>
      <c r="EK46" s="1"/>
      <c r="EL46" s="1"/>
      <c r="EM46" s="1"/>
      <c r="EN46" s="1"/>
      <c r="EQ46" s="1"/>
      <c r="ER46" s="1"/>
      <c r="ES46" s="1"/>
      <c r="EV46" s="1"/>
      <c r="EW46" s="1"/>
      <c r="EY46" s="1"/>
      <c r="EZ46" s="1"/>
      <c r="FA46" s="1"/>
      <c r="FD46" s="1"/>
      <c r="FG46" s="1"/>
      <c r="FH46" s="1"/>
      <c r="FI46" s="1"/>
      <c r="FJ46" s="1"/>
      <c r="FM46" s="1"/>
      <c r="FN46" s="1"/>
      <c r="FO46" s="1"/>
      <c r="FP46" s="1"/>
      <c r="FQ46" s="1"/>
      <c r="FR46" s="1"/>
      <c r="FS46" s="1"/>
      <c r="FT46" s="1"/>
      <c r="FU46" s="1"/>
      <c r="FV46" s="1"/>
      <c r="FW46" s="1"/>
      <c r="FX46" s="1"/>
      <c r="FY46" s="1"/>
      <c r="FZ46" s="1"/>
      <c r="GA46" s="1"/>
      <c r="GB46" s="1"/>
      <c r="GD46" s="1"/>
      <c r="GE46" s="1"/>
      <c r="GF46" s="1"/>
      <c r="GG46" s="1"/>
      <c r="GH46" s="1"/>
      <c r="GI46" s="1"/>
      <c r="GJ46" s="1"/>
      <c r="GK46" s="1"/>
      <c r="GL46" s="1"/>
      <c r="GM46" s="1"/>
      <c r="GN46" s="1"/>
      <c r="GP46" s="1"/>
      <c r="GR46" s="1"/>
      <c r="GY46" s="1"/>
      <c r="HF46" s="1"/>
      <c r="HH46" s="1"/>
      <c r="HT46" s="1"/>
      <c r="HY46" s="1"/>
      <c r="IE46" s="1"/>
      <c r="IG46" s="1"/>
      <c r="IJ46" s="1"/>
      <c r="IR46" s="1"/>
      <c r="IS46" s="1"/>
      <c r="IW46" s="1"/>
      <c r="IX46" s="1"/>
      <c r="IY46" s="1"/>
      <c r="IZ46" s="1"/>
      <c r="JB46" s="1"/>
      <c r="JC46" s="1"/>
      <c r="JF46" s="1"/>
      <c r="JG46" s="1"/>
      <c r="JH46" s="1"/>
      <c r="JJ46" s="1"/>
      <c r="JK46" s="1"/>
      <c r="JL46" s="3"/>
      <c r="JM46" s="1"/>
      <c r="JN46" s="1"/>
      <c r="JP46" s="1"/>
      <c r="JQ46" s="1"/>
      <c r="JR46" s="1"/>
      <c r="JT46" s="1"/>
      <c r="KW46" s="1"/>
      <c r="KY46" s="1"/>
      <c r="KZ46" s="1"/>
      <c r="LA46" s="1"/>
      <c r="LB46" s="1"/>
      <c r="LC46" s="1"/>
      <c r="LD46" s="1"/>
      <c r="LO46" s="1"/>
      <c r="LP46" s="1"/>
      <c r="LZ46" s="1"/>
      <c r="MA46" s="1"/>
    </row>
    <row r="47" spans="4:339" ht="15.75" customHeight="1" x14ac:dyDescent="0.15">
      <c r="D47" s="12"/>
      <c r="E47" s="12"/>
      <c r="I47" s="12"/>
      <c r="J47" s="13"/>
      <c r="BF47" s="1"/>
      <c r="BG47" s="1"/>
      <c r="BH47" s="1"/>
      <c r="BI47" s="1"/>
      <c r="BK47" s="1"/>
      <c r="BL47" s="1"/>
      <c r="BM47" s="1"/>
      <c r="BN47" s="1"/>
      <c r="BP47" s="1"/>
      <c r="BQ47" s="1"/>
      <c r="BR47" s="1"/>
      <c r="CD47" s="1"/>
      <c r="CE47" s="1"/>
      <c r="CF47" s="1"/>
      <c r="CG47" s="1"/>
      <c r="CH47" s="1"/>
      <c r="CI47" s="1"/>
      <c r="CM47" s="2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M47" s="1"/>
      <c r="DQ47" s="1"/>
      <c r="DR47" s="1"/>
      <c r="DY47" s="1"/>
      <c r="DZ47" s="1"/>
      <c r="ED47" s="1"/>
      <c r="EE47" s="1"/>
      <c r="EF47" s="1"/>
      <c r="EG47" s="1"/>
      <c r="EH47" s="1"/>
      <c r="EK47" s="1"/>
      <c r="EL47" s="1"/>
      <c r="EM47" s="1"/>
      <c r="EN47" s="1"/>
      <c r="EQ47" s="1"/>
      <c r="ER47" s="1"/>
      <c r="ES47" s="1"/>
      <c r="EV47" s="1"/>
      <c r="EW47" s="1"/>
      <c r="EY47" s="1"/>
      <c r="EZ47" s="1"/>
      <c r="FA47" s="1"/>
      <c r="FD47" s="1"/>
      <c r="FG47" s="1"/>
      <c r="FH47" s="1"/>
      <c r="FI47" s="1"/>
      <c r="FJ47" s="1"/>
      <c r="FM47" s="1"/>
      <c r="FN47" s="1"/>
      <c r="FO47" s="1"/>
      <c r="FP47" s="1"/>
      <c r="FQ47" s="1"/>
      <c r="FR47" s="1"/>
      <c r="FS47" s="1"/>
      <c r="FT47" s="1"/>
      <c r="FU47" s="1"/>
      <c r="FV47" s="1"/>
      <c r="FW47" s="1"/>
      <c r="FX47" s="1"/>
      <c r="FY47" s="1"/>
      <c r="FZ47" s="1"/>
      <c r="GA47" s="1"/>
      <c r="GB47" s="1"/>
      <c r="GD47" s="1"/>
      <c r="GE47" s="1"/>
      <c r="GF47" s="1"/>
      <c r="GG47" s="1"/>
      <c r="GH47" s="1"/>
      <c r="GI47" s="1"/>
      <c r="GJ47" s="1"/>
      <c r="GK47" s="1"/>
      <c r="GL47" s="1"/>
      <c r="GM47" s="1"/>
      <c r="GN47" s="1"/>
      <c r="GP47" s="1"/>
      <c r="GR47" s="1"/>
      <c r="GY47" s="1"/>
      <c r="HF47" s="1"/>
      <c r="HH47" s="1"/>
      <c r="HT47" s="1"/>
      <c r="HY47" s="1"/>
      <c r="IE47" s="1"/>
      <c r="IG47" s="1"/>
      <c r="IJ47" s="1"/>
      <c r="IR47" s="1"/>
      <c r="IS47" s="1"/>
      <c r="IW47" s="1"/>
      <c r="IX47" s="1"/>
      <c r="IY47" s="1"/>
      <c r="IZ47" s="1"/>
      <c r="JB47" s="1"/>
      <c r="JC47" s="1"/>
      <c r="JF47" s="1"/>
      <c r="JG47" s="1"/>
      <c r="JH47" s="1"/>
      <c r="JJ47" s="1"/>
      <c r="JK47" s="1"/>
      <c r="JL47" s="3"/>
      <c r="JM47" s="1"/>
      <c r="JN47" s="1"/>
      <c r="JP47" s="1"/>
      <c r="JQ47" s="1"/>
      <c r="JR47" s="1"/>
      <c r="JT47" s="1"/>
      <c r="KW47" s="1"/>
      <c r="KY47" s="1"/>
      <c r="KZ47" s="1"/>
      <c r="LA47" s="1"/>
      <c r="LB47" s="1"/>
      <c r="LC47" s="1"/>
      <c r="LD47" s="1"/>
      <c r="LO47" s="1"/>
      <c r="LP47" s="1"/>
      <c r="LZ47" s="1"/>
      <c r="MA47" s="1"/>
    </row>
    <row r="48" spans="4:339" ht="15.75" customHeight="1" x14ac:dyDescent="0.15">
      <c r="D48" s="12"/>
      <c r="E48" s="12"/>
      <c r="I48" s="12"/>
      <c r="J48" s="13"/>
      <c r="BF48" s="1"/>
      <c r="BG48" s="1"/>
      <c r="BH48" s="1"/>
      <c r="BI48" s="1"/>
      <c r="BK48" s="1"/>
      <c r="BL48" s="1"/>
      <c r="BM48" s="1"/>
      <c r="BN48" s="1"/>
      <c r="BP48" s="1"/>
      <c r="BQ48" s="1"/>
      <c r="BR48" s="1"/>
      <c r="CD48" s="1"/>
      <c r="CE48" s="1"/>
      <c r="CF48" s="1"/>
      <c r="CG48" s="1"/>
      <c r="CH48" s="1"/>
      <c r="CI48" s="1"/>
      <c r="CM48" s="2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M48" s="1"/>
      <c r="DQ48" s="1"/>
      <c r="DR48" s="1"/>
      <c r="DY48" s="1"/>
      <c r="DZ48" s="1"/>
      <c r="ED48" s="1"/>
      <c r="EE48" s="1"/>
      <c r="EF48" s="1"/>
      <c r="EG48" s="1"/>
      <c r="EH48" s="1"/>
      <c r="EK48" s="1"/>
      <c r="EL48" s="1"/>
      <c r="EM48" s="1"/>
      <c r="EN48" s="1"/>
      <c r="EQ48" s="1"/>
      <c r="ER48" s="1"/>
      <c r="ES48" s="1"/>
      <c r="EV48" s="1"/>
      <c r="EW48" s="1"/>
      <c r="EY48" s="1"/>
      <c r="EZ48" s="1"/>
      <c r="FA48" s="1"/>
      <c r="FD48" s="1"/>
      <c r="FG48" s="1"/>
      <c r="FH48" s="1"/>
      <c r="FI48" s="1"/>
      <c r="FJ48" s="1"/>
      <c r="FM48" s="1"/>
      <c r="FN48" s="1"/>
      <c r="FO48" s="1"/>
      <c r="FP48" s="1"/>
      <c r="FQ48" s="1"/>
      <c r="FR48" s="1"/>
      <c r="FS48" s="1"/>
      <c r="FT48" s="1"/>
      <c r="FU48" s="1"/>
      <c r="FV48" s="1"/>
      <c r="FW48" s="1"/>
      <c r="FX48" s="1"/>
      <c r="FY48" s="1"/>
      <c r="FZ48" s="1"/>
      <c r="GA48" s="1"/>
      <c r="GB48" s="1"/>
      <c r="GD48" s="1"/>
      <c r="GE48" s="1"/>
      <c r="GF48" s="1"/>
      <c r="GG48" s="1"/>
      <c r="GH48" s="1"/>
      <c r="GI48" s="1"/>
      <c r="GJ48" s="1"/>
      <c r="GK48" s="1"/>
      <c r="GL48" s="1"/>
      <c r="GM48" s="1"/>
      <c r="GN48" s="1"/>
      <c r="GP48" s="1"/>
      <c r="GR48" s="1"/>
      <c r="GY48" s="1"/>
      <c r="HF48" s="1"/>
      <c r="HH48" s="1"/>
      <c r="HT48" s="1"/>
      <c r="HY48" s="1"/>
      <c r="IE48" s="1"/>
      <c r="IG48" s="1"/>
      <c r="IJ48" s="1"/>
      <c r="IR48" s="1"/>
      <c r="IS48" s="1"/>
      <c r="IW48" s="1"/>
      <c r="IX48" s="1"/>
      <c r="IY48" s="1"/>
      <c r="IZ48" s="1"/>
      <c r="JB48" s="1"/>
      <c r="JC48" s="1"/>
      <c r="JF48" s="1"/>
      <c r="JG48" s="1"/>
      <c r="JH48" s="1"/>
      <c r="JJ48" s="1"/>
      <c r="JK48" s="1"/>
      <c r="JL48" s="3"/>
      <c r="JM48" s="1"/>
      <c r="JN48" s="1"/>
      <c r="JP48" s="1"/>
      <c r="JQ48" s="1"/>
      <c r="JR48" s="1"/>
      <c r="JT48" s="1"/>
      <c r="KW48" s="1"/>
      <c r="KY48" s="1"/>
      <c r="KZ48" s="1"/>
      <c r="LA48" s="1"/>
      <c r="LB48" s="1"/>
      <c r="LC48" s="1"/>
      <c r="LD48" s="1"/>
      <c r="LO48" s="1"/>
      <c r="LP48" s="1"/>
      <c r="LZ48" s="1"/>
      <c r="MA48" s="1"/>
    </row>
    <row r="49" spans="4:339" ht="15.75" customHeight="1" x14ac:dyDescent="0.15">
      <c r="D49" s="12"/>
      <c r="E49" s="12"/>
      <c r="I49" s="12"/>
      <c r="J49" s="13"/>
      <c r="BF49" s="1"/>
      <c r="BG49" s="1"/>
      <c r="BH49" s="1"/>
      <c r="BI49" s="1"/>
      <c r="BK49" s="1"/>
      <c r="BL49" s="1"/>
      <c r="BM49" s="1"/>
      <c r="BN49" s="1"/>
      <c r="BP49" s="1"/>
      <c r="BQ49" s="1"/>
      <c r="BR49" s="1"/>
      <c r="CD49" s="1"/>
      <c r="CE49" s="1"/>
      <c r="CF49" s="1"/>
      <c r="CG49" s="1"/>
      <c r="CH49" s="1"/>
      <c r="CI49" s="1"/>
      <c r="CM49" s="2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M49" s="1"/>
      <c r="DQ49" s="1"/>
      <c r="DR49" s="1"/>
      <c r="DY49" s="1"/>
      <c r="DZ49" s="1"/>
      <c r="ED49" s="1"/>
      <c r="EE49" s="1"/>
      <c r="EF49" s="1"/>
      <c r="EG49" s="1"/>
      <c r="EH49" s="1"/>
      <c r="EK49" s="1"/>
      <c r="EL49" s="1"/>
      <c r="EM49" s="1"/>
      <c r="EN49" s="1"/>
      <c r="EQ49" s="1"/>
      <c r="ER49" s="1"/>
      <c r="ES49" s="1"/>
      <c r="EV49" s="1"/>
      <c r="EW49" s="1"/>
      <c r="EY49" s="1"/>
      <c r="EZ49" s="1"/>
      <c r="FA49" s="1"/>
      <c r="FD49" s="1"/>
      <c r="FG49" s="1"/>
      <c r="FH49" s="1"/>
      <c r="FI49" s="1"/>
      <c r="FJ49" s="1"/>
      <c r="FM49" s="1"/>
      <c r="FN49" s="1"/>
      <c r="FO49" s="1"/>
      <c r="FP49" s="1"/>
      <c r="FQ49" s="1"/>
      <c r="FR49" s="1"/>
      <c r="FS49" s="1"/>
      <c r="FT49" s="1"/>
      <c r="FU49" s="1"/>
      <c r="FV49" s="1"/>
      <c r="FW49" s="1"/>
      <c r="FX49" s="1"/>
      <c r="FY49" s="1"/>
      <c r="FZ49" s="1"/>
      <c r="GA49" s="1"/>
      <c r="GB49" s="1"/>
      <c r="GD49" s="1"/>
      <c r="GE49" s="1"/>
      <c r="GF49" s="1"/>
      <c r="GG49" s="1"/>
      <c r="GH49" s="1"/>
      <c r="GI49" s="1"/>
      <c r="GJ49" s="1"/>
      <c r="GK49" s="1"/>
      <c r="GL49" s="1"/>
      <c r="GM49" s="1"/>
      <c r="GN49" s="1"/>
      <c r="GP49" s="1"/>
      <c r="GR49" s="1"/>
      <c r="GY49" s="1"/>
      <c r="HF49" s="1"/>
      <c r="HH49" s="1"/>
      <c r="HT49" s="1"/>
      <c r="HY49" s="1"/>
      <c r="IE49" s="1"/>
      <c r="IG49" s="1"/>
      <c r="IJ49" s="1"/>
      <c r="IR49" s="1"/>
      <c r="IS49" s="1"/>
      <c r="IW49" s="1"/>
      <c r="IX49" s="1"/>
      <c r="IY49" s="1"/>
      <c r="IZ49" s="1"/>
      <c r="JB49" s="1"/>
      <c r="JC49" s="1"/>
      <c r="JF49" s="1"/>
      <c r="JG49" s="1"/>
      <c r="JH49" s="1"/>
      <c r="JJ49" s="1"/>
      <c r="JK49" s="1"/>
      <c r="JL49" s="3"/>
      <c r="JM49" s="1"/>
      <c r="JN49" s="1"/>
      <c r="JP49" s="1"/>
      <c r="JQ49" s="1"/>
      <c r="JR49" s="1"/>
      <c r="JT49" s="1"/>
      <c r="KW49" s="1"/>
      <c r="KY49" s="1"/>
      <c r="KZ49" s="1"/>
      <c r="LA49" s="1"/>
      <c r="LB49" s="1"/>
      <c r="LC49" s="1"/>
      <c r="LD49" s="1"/>
      <c r="LO49" s="1"/>
      <c r="LP49" s="1"/>
      <c r="LZ49" s="1"/>
      <c r="MA49" s="1"/>
    </row>
    <row r="50" spans="4:339" ht="15.75" customHeight="1" x14ac:dyDescent="0.15">
      <c r="D50" s="12"/>
      <c r="E50" s="12"/>
      <c r="I50" s="12"/>
      <c r="J50" s="13"/>
      <c r="BF50" s="1"/>
      <c r="BG50" s="1"/>
      <c r="BH50" s="1"/>
      <c r="BI50" s="1"/>
      <c r="BK50" s="1"/>
      <c r="BL50" s="1"/>
      <c r="BM50" s="1"/>
      <c r="BN50" s="1"/>
      <c r="BP50" s="1"/>
      <c r="BQ50" s="1"/>
      <c r="BR50" s="1"/>
      <c r="CD50" s="1"/>
      <c r="CE50" s="1"/>
      <c r="CF50" s="1"/>
      <c r="CG50" s="1"/>
      <c r="CH50" s="1"/>
      <c r="CI50" s="1"/>
      <c r="CM50" s="2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M50" s="1"/>
      <c r="DQ50" s="1"/>
      <c r="DR50" s="1"/>
      <c r="DY50" s="1"/>
      <c r="DZ50" s="1"/>
      <c r="ED50" s="1"/>
      <c r="EE50" s="1"/>
      <c r="EF50" s="1"/>
      <c r="EG50" s="1"/>
      <c r="EH50" s="1"/>
      <c r="EK50" s="1"/>
      <c r="EL50" s="1"/>
      <c r="EM50" s="1"/>
      <c r="EN50" s="1"/>
      <c r="EQ50" s="1"/>
      <c r="ER50" s="1"/>
      <c r="ES50" s="1"/>
      <c r="EV50" s="1"/>
      <c r="EW50" s="1"/>
      <c r="EY50" s="1"/>
      <c r="EZ50" s="1"/>
      <c r="FA50" s="1"/>
      <c r="FD50" s="1"/>
      <c r="FG50" s="1"/>
      <c r="FH50" s="1"/>
      <c r="FI50" s="1"/>
      <c r="FJ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  <c r="GD50" s="1"/>
      <c r="GE50" s="1"/>
      <c r="GF50" s="1"/>
      <c r="GG50" s="1"/>
      <c r="GH50" s="1"/>
      <c r="GI50" s="1"/>
      <c r="GJ50" s="1"/>
      <c r="GK50" s="1"/>
      <c r="GL50" s="1"/>
      <c r="GM50" s="1"/>
      <c r="GN50" s="1"/>
      <c r="GP50" s="1"/>
      <c r="GR50" s="1"/>
      <c r="GY50" s="1"/>
      <c r="HF50" s="1"/>
      <c r="HH50" s="1"/>
      <c r="HT50" s="1"/>
      <c r="HY50" s="1"/>
      <c r="IE50" s="1"/>
      <c r="IG50" s="1"/>
      <c r="IJ50" s="1"/>
      <c r="IR50" s="1"/>
      <c r="IS50" s="1"/>
      <c r="IW50" s="1"/>
      <c r="IX50" s="1"/>
      <c r="IY50" s="1"/>
      <c r="IZ50" s="1"/>
      <c r="JB50" s="1"/>
      <c r="JC50" s="1"/>
      <c r="JF50" s="1"/>
      <c r="JG50" s="1"/>
      <c r="JH50" s="1"/>
      <c r="JJ50" s="1"/>
      <c r="JK50" s="1"/>
      <c r="JL50" s="3"/>
      <c r="JM50" s="1"/>
      <c r="JN50" s="1"/>
      <c r="JP50" s="1"/>
      <c r="JQ50" s="1"/>
      <c r="JR50" s="1"/>
      <c r="JT50" s="1"/>
      <c r="KW50" s="1"/>
      <c r="KY50" s="1"/>
      <c r="KZ50" s="1"/>
      <c r="LA50" s="1"/>
      <c r="LB50" s="1"/>
      <c r="LC50" s="1"/>
      <c r="LD50" s="1"/>
      <c r="LO50" s="1"/>
      <c r="LP50" s="1"/>
      <c r="LZ50" s="1"/>
      <c r="MA50" s="1"/>
    </row>
    <row r="51" spans="4:339" ht="15.75" customHeight="1" x14ac:dyDescent="0.15">
      <c r="D51" s="12"/>
      <c r="E51" s="12"/>
      <c r="I51" s="12"/>
      <c r="J51" s="13"/>
      <c r="BF51" s="1"/>
      <c r="BG51" s="1"/>
      <c r="BH51" s="1"/>
      <c r="BI51" s="1"/>
      <c r="BK51" s="1"/>
      <c r="BL51" s="1"/>
      <c r="BM51" s="1"/>
      <c r="BN51" s="1"/>
      <c r="BP51" s="1"/>
      <c r="BQ51" s="1"/>
      <c r="BR51" s="1"/>
      <c r="CD51" s="1"/>
      <c r="CE51" s="1"/>
      <c r="CF51" s="1"/>
      <c r="CG51" s="1"/>
      <c r="CH51" s="1"/>
      <c r="CI51" s="1"/>
      <c r="CM51" s="2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M51" s="1"/>
      <c r="DQ51" s="1"/>
      <c r="DR51" s="1"/>
      <c r="DY51" s="1"/>
      <c r="DZ51" s="1"/>
      <c r="ED51" s="1"/>
      <c r="EE51" s="1"/>
      <c r="EF51" s="1"/>
      <c r="EG51" s="1"/>
      <c r="EH51" s="1"/>
      <c r="EK51" s="1"/>
      <c r="EL51" s="1"/>
      <c r="EM51" s="1"/>
      <c r="EN51" s="1"/>
      <c r="EQ51" s="1"/>
      <c r="ER51" s="1"/>
      <c r="ES51" s="1"/>
      <c r="EV51" s="1"/>
      <c r="EW51" s="1"/>
      <c r="EY51" s="1"/>
      <c r="EZ51" s="1"/>
      <c r="FA51" s="1"/>
      <c r="FD51" s="1"/>
      <c r="FG51" s="1"/>
      <c r="FH51" s="1"/>
      <c r="FI51" s="1"/>
      <c r="FJ51" s="1"/>
      <c r="FM51" s="1"/>
      <c r="FN51" s="1"/>
      <c r="FO51" s="1"/>
      <c r="FP51" s="1"/>
      <c r="FQ51" s="1"/>
      <c r="FR51" s="1"/>
      <c r="FS51" s="1"/>
      <c r="FT51" s="1"/>
      <c r="FU51" s="1"/>
      <c r="FV51" s="1"/>
      <c r="FW51" s="1"/>
      <c r="FX51" s="1"/>
      <c r="FY51" s="1"/>
      <c r="FZ51" s="1"/>
      <c r="GA51" s="1"/>
      <c r="GB51" s="1"/>
      <c r="GD51" s="1"/>
      <c r="GE51" s="1"/>
      <c r="GF51" s="1"/>
      <c r="GG51" s="1"/>
      <c r="GH51" s="1"/>
      <c r="GI51" s="1"/>
      <c r="GJ51" s="1"/>
      <c r="GK51" s="1"/>
      <c r="GL51" s="1"/>
      <c r="GM51" s="1"/>
      <c r="GN51" s="1"/>
      <c r="GP51" s="1"/>
      <c r="GR51" s="1"/>
      <c r="GY51" s="1"/>
      <c r="HF51" s="1"/>
      <c r="HH51" s="1"/>
      <c r="HT51" s="1"/>
      <c r="HY51" s="1"/>
      <c r="IE51" s="1"/>
      <c r="IG51" s="1"/>
      <c r="IJ51" s="1"/>
      <c r="IR51" s="1"/>
      <c r="IS51" s="1"/>
      <c r="IW51" s="1"/>
      <c r="IX51" s="1"/>
      <c r="IY51" s="1"/>
      <c r="IZ51" s="1"/>
      <c r="JB51" s="1"/>
      <c r="JC51" s="1"/>
      <c r="JF51" s="1"/>
      <c r="JG51" s="1"/>
      <c r="JH51" s="1"/>
      <c r="JJ51" s="1"/>
      <c r="JK51" s="1"/>
      <c r="JL51" s="3"/>
      <c r="JM51" s="1"/>
      <c r="JN51" s="1"/>
      <c r="JP51" s="1"/>
      <c r="JQ51" s="1"/>
      <c r="JR51" s="1"/>
      <c r="JT51" s="1"/>
      <c r="KW51" s="1"/>
      <c r="KY51" s="1"/>
      <c r="KZ51" s="1"/>
      <c r="LA51" s="1"/>
      <c r="LB51" s="1"/>
      <c r="LC51" s="1"/>
      <c r="LD51" s="1"/>
      <c r="LO51" s="1"/>
      <c r="LP51" s="1"/>
      <c r="LZ51" s="1"/>
      <c r="MA51" s="1"/>
    </row>
    <row r="52" spans="4:339" ht="15.75" customHeight="1" x14ac:dyDescent="0.15">
      <c r="D52" s="12"/>
      <c r="E52" s="12"/>
      <c r="I52" s="12"/>
      <c r="J52" s="13"/>
      <c r="BF52" s="1"/>
      <c r="BG52" s="1"/>
      <c r="BH52" s="1"/>
      <c r="BI52" s="1"/>
      <c r="BK52" s="1"/>
      <c r="BL52" s="1"/>
      <c r="BM52" s="1"/>
      <c r="BN52" s="1"/>
      <c r="BP52" s="1"/>
      <c r="BQ52" s="1"/>
      <c r="BR52" s="1"/>
      <c r="CD52" s="1"/>
      <c r="CE52" s="1"/>
      <c r="CF52" s="1"/>
      <c r="CG52" s="1"/>
      <c r="CH52" s="1"/>
      <c r="CI52" s="1"/>
      <c r="CM52" s="2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M52" s="1"/>
      <c r="DQ52" s="1"/>
      <c r="DR52" s="1"/>
      <c r="DY52" s="1"/>
      <c r="DZ52" s="1"/>
      <c r="ED52" s="1"/>
      <c r="EE52" s="1"/>
      <c r="EF52" s="1"/>
      <c r="EG52" s="1"/>
      <c r="EH52" s="1"/>
      <c r="EK52" s="1"/>
      <c r="EL52" s="1"/>
      <c r="EM52" s="1"/>
      <c r="EN52" s="1"/>
      <c r="EQ52" s="1"/>
      <c r="ER52" s="1"/>
      <c r="ES52" s="1"/>
      <c r="EV52" s="1"/>
      <c r="EW52" s="1"/>
      <c r="EY52" s="1"/>
      <c r="EZ52" s="1"/>
      <c r="FA52" s="1"/>
      <c r="FD52" s="1"/>
      <c r="FG52" s="1"/>
      <c r="FH52" s="1"/>
      <c r="FI52" s="1"/>
      <c r="FJ52" s="1"/>
      <c r="FM52" s="1"/>
      <c r="FN52" s="1"/>
      <c r="FO52" s="1"/>
      <c r="FP52" s="1"/>
      <c r="FQ52" s="1"/>
      <c r="FR52" s="1"/>
      <c r="FS52" s="1"/>
      <c r="FT52" s="1"/>
      <c r="FU52" s="1"/>
      <c r="FV52" s="1"/>
      <c r="FW52" s="1"/>
      <c r="FX52" s="1"/>
      <c r="FY52" s="1"/>
      <c r="FZ52" s="1"/>
      <c r="GA52" s="1"/>
      <c r="GB52" s="1"/>
      <c r="GD52" s="1"/>
      <c r="GE52" s="1"/>
      <c r="GF52" s="1"/>
      <c r="GG52" s="1"/>
      <c r="GH52" s="1"/>
      <c r="GI52" s="1"/>
      <c r="GJ52" s="1"/>
      <c r="GK52" s="1"/>
      <c r="GL52" s="1"/>
      <c r="GM52" s="1"/>
      <c r="GN52" s="1"/>
      <c r="GP52" s="1"/>
      <c r="GR52" s="1"/>
      <c r="GY52" s="1"/>
      <c r="HF52" s="1"/>
      <c r="HH52" s="1"/>
      <c r="HT52" s="1"/>
      <c r="HY52" s="1"/>
      <c r="IE52" s="1"/>
      <c r="IG52" s="1"/>
      <c r="IJ52" s="1"/>
      <c r="IR52" s="1"/>
      <c r="IS52" s="1"/>
      <c r="IW52" s="1"/>
      <c r="IX52" s="1"/>
      <c r="IY52" s="1"/>
      <c r="IZ52" s="1"/>
      <c r="JB52" s="1"/>
      <c r="JC52" s="1"/>
      <c r="JF52" s="1"/>
      <c r="JG52" s="1"/>
      <c r="JH52" s="1"/>
      <c r="JJ52" s="1"/>
      <c r="JK52" s="1"/>
      <c r="JL52" s="3"/>
      <c r="JM52" s="1"/>
      <c r="JN52" s="1"/>
      <c r="JP52" s="1"/>
      <c r="JQ52" s="1"/>
      <c r="JR52" s="1"/>
      <c r="JT52" s="1"/>
      <c r="KW52" s="1"/>
      <c r="KY52" s="1"/>
      <c r="KZ52" s="1"/>
      <c r="LA52" s="1"/>
      <c r="LB52" s="1"/>
      <c r="LC52" s="1"/>
      <c r="LD52" s="1"/>
      <c r="LO52" s="1"/>
      <c r="LP52" s="1"/>
      <c r="LZ52" s="1"/>
      <c r="MA52" s="1"/>
    </row>
    <row r="53" spans="4:339" ht="15.75" customHeight="1" x14ac:dyDescent="0.15">
      <c r="D53" s="12"/>
      <c r="E53" s="12"/>
      <c r="I53" s="12"/>
      <c r="J53" s="13"/>
      <c r="BF53" s="1"/>
      <c r="BG53" s="1"/>
      <c r="BH53" s="1"/>
      <c r="BI53" s="1"/>
      <c r="BK53" s="1"/>
      <c r="BL53" s="1"/>
      <c r="BM53" s="1"/>
      <c r="BN53" s="1"/>
      <c r="BP53" s="1"/>
      <c r="BQ53" s="1"/>
      <c r="BR53" s="1"/>
      <c r="CD53" s="1"/>
      <c r="CE53" s="1"/>
      <c r="CF53" s="1"/>
      <c r="CG53" s="1"/>
      <c r="CH53" s="1"/>
      <c r="CI53" s="1"/>
      <c r="CM53" s="2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M53" s="1"/>
      <c r="DQ53" s="1"/>
      <c r="DR53" s="1"/>
      <c r="DY53" s="1"/>
      <c r="DZ53" s="1"/>
      <c r="ED53" s="1"/>
      <c r="EE53" s="1"/>
      <c r="EF53" s="1"/>
      <c r="EG53" s="1"/>
      <c r="EH53" s="1"/>
      <c r="EK53" s="1"/>
      <c r="EL53" s="1"/>
      <c r="EM53" s="1"/>
      <c r="EN53" s="1"/>
      <c r="EQ53" s="1"/>
      <c r="ER53" s="1"/>
      <c r="ES53" s="1"/>
      <c r="EV53" s="1"/>
      <c r="EW53" s="1"/>
      <c r="EY53" s="1"/>
      <c r="EZ53" s="1"/>
      <c r="FA53" s="1"/>
      <c r="FD53" s="1"/>
      <c r="FG53" s="1"/>
      <c r="FH53" s="1"/>
      <c r="FI53" s="1"/>
      <c r="FJ53" s="1"/>
      <c r="FM53" s="1"/>
      <c r="FN53" s="1"/>
      <c r="FO53" s="1"/>
      <c r="FP53" s="1"/>
      <c r="FQ53" s="1"/>
      <c r="FR53" s="1"/>
      <c r="FS53" s="1"/>
      <c r="FT53" s="1"/>
      <c r="FU53" s="1"/>
      <c r="FV53" s="1"/>
      <c r="FW53" s="1"/>
      <c r="FX53" s="1"/>
      <c r="FY53" s="1"/>
      <c r="FZ53" s="1"/>
      <c r="GA53" s="1"/>
      <c r="GB53" s="1"/>
      <c r="GD53" s="1"/>
      <c r="GE53" s="1"/>
      <c r="GF53" s="1"/>
      <c r="GG53" s="1"/>
      <c r="GH53" s="1"/>
      <c r="GI53" s="1"/>
      <c r="GJ53" s="1"/>
      <c r="GK53" s="1"/>
      <c r="GL53" s="1"/>
      <c r="GM53" s="1"/>
      <c r="GN53" s="1"/>
      <c r="GP53" s="1"/>
      <c r="GR53" s="1"/>
      <c r="GY53" s="1"/>
      <c r="HF53" s="1"/>
      <c r="HH53" s="1"/>
      <c r="HT53" s="1"/>
      <c r="HY53" s="1"/>
      <c r="IE53" s="1"/>
      <c r="IG53" s="1"/>
      <c r="IJ53" s="1"/>
      <c r="IR53" s="1"/>
      <c r="IS53" s="1"/>
      <c r="IW53" s="1"/>
      <c r="IX53" s="1"/>
      <c r="IY53" s="1"/>
      <c r="IZ53" s="1"/>
      <c r="JB53" s="1"/>
      <c r="JC53" s="1"/>
      <c r="JF53" s="1"/>
      <c r="JG53" s="1"/>
      <c r="JH53" s="1"/>
      <c r="JJ53" s="1"/>
      <c r="JK53" s="1"/>
      <c r="JL53" s="3"/>
      <c r="JM53" s="1"/>
      <c r="JN53" s="1"/>
      <c r="JP53" s="1"/>
      <c r="JQ53" s="1"/>
      <c r="JR53" s="1"/>
      <c r="JT53" s="1"/>
      <c r="KW53" s="1"/>
      <c r="KY53" s="1"/>
      <c r="KZ53" s="1"/>
      <c r="LA53" s="1"/>
      <c r="LB53" s="1"/>
      <c r="LC53" s="1"/>
      <c r="LD53" s="1"/>
      <c r="LO53" s="1"/>
      <c r="LP53" s="1"/>
      <c r="LZ53" s="1"/>
      <c r="MA53" s="1"/>
    </row>
    <row r="54" spans="4:339" ht="15.75" customHeight="1" x14ac:dyDescent="0.15">
      <c r="D54" s="12"/>
      <c r="E54" s="12"/>
      <c r="I54" s="12"/>
      <c r="J54" s="13"/>
      <c r="BF54" s="1"/>
      <c r="BG54" s="1"/>
      <c r="BH54" s="1"/>
      <c r="BI54" s="1"/>
      <c r="BK54" s="1"/>
      <c r="BL54" s="1"/>
      <c r="BM54" s="1"/>
      <c r="BN54" s="1"/>
      <c r="BP54" s="1"/>
      <c r="BQ54" s="1"/>
      <c r="BR54" s="1"/>
      <c r="CD54" s="1"/>
      <c r="CE54" s="1"/>
      <c r="CF54" s="1"/>
      <c r="CG54" s="1"/>
      <c r="CH54" s="1"/>
      <c r="CI54" s="1"/>
      <c r="CM54" s="2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M54" s="1"/>
      <c r="DQ54" s="1"/>
      <c r="DR54" s="1"/>
      <c r="DY54" s="1"/>
      <c r="DZ54" s="1"/>
      <c r="ED54" s="1"/>
      <c r="EE54" s="1"/>
      <c r="EF54" s="1"/>
      <c r="EG54" s="1"/>
      <c r="EH54" s="1"/>
      <c r="EK54" s="1"/>
      <c r="EL54" s="1"/>
      <c r="EM54" s="1"/>
      <c r="EN54" s="1"/>
      <c r="EQ54" s="1"/>
      <c r="ER54" s="1"/>
      <c r="ES54" s="1"/>
      <c r="EV54" s="1"/>
      <c r="EW54" s="1"/>
      <c r="EY54" s="1"/>
      <c r="EZ54" s="1"/>
      <c r="FA54" s="1"/>
      <c r="FD54" s="1"/>
      <c r="FG54" s="1"/>
      <c r="FH54" s="1"/>
      <c r="FI54" s="1"/>
      <c r="FJ54" s="1"/>
      <c r="FM54" s="1"/>
      <c r="FN54" s="1"/>
      <c r="FO54" s="1"/>
      <c r="FP54" s="1"/>
      <c r="FQ54" s="1"/>
      <c r="FR54" s="1"/>
      <c r="FS54" s="1"/>
      <c r="FT54" s="1"/>
      <c r="FU54" s="1"/>
      <c r="FV54" s="1"/>
      <c r="FW54" s="1"/>
      <c r="FX54" s="1"/>
      <c r="FY54" s="1"/>
      <c r="FZ54" s="1"/>
      <c r="GA54" s="1"/>
      <c r="GB54" s="1"/>
      <c r="GD54" s="1"/>
      <c r="GE54" s="1"/>
      <c r="GF54" s="1"/>
      <c r="GG54" s="1"/>
      <c r="GH54" s="1"/>
      <c r="GI54" s="1"/>
      <c r="GJ54" s="1"/>
      <c r="GK54" s="1"/>
      <c r="GL54" s="1"/>
      <c r="GM54" s="1"/>
      <c r="GN54" s="1"/>
      <c r="GP54" s="1"/>
      <c r="GR54" s="1"/>
      <c r="GY54" s="1"/>
      <c r="HF54" s="1"/>
      <c r="HH54" s="1"/>
      <c r="HT54" s="1"/>
      <c r="HY54" s="1"/>
      <c r="IE54" s="1"/>
      <c r="IG54" s="1"/>
      <c r="IJ54" s="1"/>
      <c r="IR54" s="1"/>
      <c r="IS54" s="1"/>
      <c r="IW54" s="1"/>
      <c r="IX54" s="1"/>
      <c r="IY54" s="1"/>
      <c r="IZ54" s="1"/>
      <c r="JB54" s="1"/>
      <c r="JC54" s="1"/>
      <c r="JF54" s="1"/>
      <c r="JG54" s="1"/>
      <c r="JH54" s="1"/>
      <c r="JJ54" s="1"/>
      <c r="JK54" s="1"/>
      <c r="JL54" s="3"/>
      <c r="JM54" s="1"/>
      <c r="JN54" s="1"/>
      <c r="JP54" s="1"/>
      <c r="JQ54" s="1"/>
      <c r="JR54" s="1"/>
      <c r="JT54" s="1"/>
      <c r="KW54" s="1"/>
      <c r="KY54" s="1"/>
      <c r="KZ54" s="1"/>
      <c r="LA54" s="1"/>
      <c r="LB54" s="1"/>
      <c r="LC54" s="1"/>
      <c r="LD54" s="1"/>
      <c r="LO54" s="1"/>
      <c r="LP54" s="1"/>
      <c r="LZ54" s="1"/>
      <c r="MA54" s="1"/>
    </row>
    <row r="55" spans="4:339" ht="15.75" customHeight="1" x14ac:dyDescent="0.15">
      <c r="D55" s="12"/>
      <c r="E55" s="12"/>
      <c r="I55" s="12"/>
      <c r="J55" s="13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X55" s="1"/>
      <c r="CC55" s="1"/>
      <c r="CD55" s="1"/>
      <c r="CE55" s="1"/>
      <c r="CF55" s="1"/>
      <c r="CG55" s="1"/>
      <c r="CH55" s="1"/>
      <c r="CI55" s="1"/>
      <c r="CK55" s="1"/>
      <c r="CM55" s="2"/>
      <c r="CN55" s="1"/>
      <c r="CO55" s="1"/>
      <c r="CQ55" s="1"/>
      <c r="CY55" s="1"/>
      <c r="DC55" s="1"/>
      <c r="DH55" s="1"/>
      <c r="DM55" s="1"/>
      <c r="DR55" s="1"/>
      <c r="ED55" s="1"/>
      <c r="EK55" s="1"/>
      <c r="EL55" s="1"/>
      <c r="EM55" s="1"/>
      <c r="EN55" s="1"/>
      <c r="EQ55" s="1"/>
      <c r="ER55" s="1"/>
      <c r="ES55" s="1"/>
      <c r="EV55" s="1"/>
      <c r="EW55" s="1"/>
      <c r="EZ55" s="1"/>
      <c r="FA55" s="1"/>
      <c r="FD55" s="1"/>
      <c r="FJ55" s="1"/>
      <c r="GD55" s="1"/>
      <c r="GE55" s="1"/>
      <c r="GF55" s="1"/>
      <c r="GG55" s="1"/>
      <c r="GH55" s="1"/>
      <c r="GI55" s="1"/>
      <c r="GO55" s="1"/>
      <c r="GP55" s="1"/>
      <c r="HF55" s="1"/>
      <c r="HH55" s="1"/>
      <c r="HN55" s="1"/>
      <c r="HT55" s="1"/>
      <c r="HY55" s="1"/>
      <c r="IS55" s="1"/>
      <c r="IW55" s="1"/>
      <c r="IZ55" s="1"/>
      <c r="JF55" s="1"/>
      <c r="JG55" s="1"/>
      <c r="JH55" s="1"/>
      <c r="JJ55" s="1"/>
      <c r="JN55" s="1"/>
      <c r="JP55" s="1"/>
      <c r="JQ55" s="1"/>
      <c r="JW55" s="1"/>
      <c r="KS55" s="1"/>
      <c r="KT55" s="1"/>
      <c r="KY55" s="1"/>
      <c r="KZ55" s="1"/>
      <c r="LA55" s="1"/>
      <c r="LB55" s="1"/>
      <c r="LZ55" s="1"/>
      <c r="MA55" s="1"/>
    </row>
    <row r="56" spans="4:339" ht="13" x14ac:dyDescent="0.15">
      <c r="D56" s="12"/>
      <c r="E56" s="12"/>
      <c r="I56" s="12"/>
      <c r="J56" s="13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X56" s="1"/>
      <c r="CC56" s="1"/>
      <c r="CD56" s="1"/>
      <c r="CE56" s="1"/>
      <c r="CF56" s="1"/>
      <c r="CG56" s="1"/>
      <c r="CH56" s="1"/>
      <c r="CI56" s="1"/>
      <c r="CK56" s="1"/>
      <c r="CM56" s="2"/>
      <c r="CN56" s="1"/>
      <c r="CO56" s="1"/>
      <c r="CQ56" s="1"/>
      <c r="CY56" s="1"/>
      <c r="DC56" s="1"/>
      <c r="DH56" s="1"/>
      <c r="DM56" s="1"/>
      <c r="DR56" s="1"/>
      <c r="ED56" s="1"/>
      <c r="EK56" s="1"/>
      <c r="EL56" s="1"/>
      <c r="EM56" s="1"/>
      <c r="EN56" s="1"/>
      <c r="EQ56" s="1"/>
      <c r="ER56" s="1"/>
      <c r="ES56" s="1"/>
      <c r="EV56" s="1"/>
      <c r="EW56" s="1"/>
      <c r="EZ56" s="1"/>
      <c r="FA56" s="1"/>
      <c r="FD56" s="1"/>
      <c r="FJ56" s="1"/>
      <c r="GD56" s="1"/>
      <c r="GE56" s="1"/>
      <c r="GF56" s="1"/>
      <c r="GG56" s="1"/>
      <c r="GH56" s="1"/>
      <c r="GI56" s="1"/>
      <c r="GO56" s="1"/>
      <c r="GP56" s="1"/>
      <c r="HF56" s="1"/>
      <c r="HH56" s="1"/>
      <c r="HN56" s="1"/>
      <c r="HT56" s="1"/>
      <c r="HY56" s="1"/>
      <c r="IS56" s="1"/>
      <c r="IW56" s="1"/>
      <c r="IZ56" s="1"/>
      <c r="JF56" s="1"/>
      <c r="JG56" s="1"/>
      <c r="JH56" s="1"/>
      <c r="JJ56" s="1"/>
      <c r="JN56" s="1"/>
      <c r="JP56" s="1"/>
      <c r="JQ56" s="1"/>
      <c r="JW56" s="1"/>
      <c r="KS56" s="1"/>
      <c r="KT56" s="1"/>
      <c r="KY56" s="1"/>
      <c r="KZ56" s="1"/>
      <c r="LA56" s="1"/>
      <c r="LB56" s="1"/>
      <c r="LZ56" s="1"/>
      <c r="MA56" s="1"/>
    </row>
    <row r="57" spans="4:339" ht="13" x14ac:dyDescent="0.15">
      <c r="D57" s="12"/>
      <c r="E57" s="12"/>
      <c r="I57" s="12"/>
      <c r="J57" s="13"/>
      <c r="BF57" s="1"/>
      <c r="BG57" s="1"/>
      <c r="BH57" s="1"/>
      <c r="BI57" s="1"/>
      <c r="BK57" s="1"/>
      <c r="BL57" s="1"/>
      <c r="BM57" s="1"/>
      <c r="BN57" s="1"/>
      <c r="BO57" s="1"/>
      <c r="BQ57" s="1"/>
      <c r="BR57" s="1"/>
      <c r="CD57" s="1"/>
      <c r="CE57" s="1"/>
      <c r="CF57" s="1"/>
      <c r="CH57" s="1"/>
      <c r="CI57" s="1"/>
      <c r="CM57" s="2"/>
      <c r="CN57" s="1"/>
      <c r="CO57" s="1"/>
      <c r="ED57" s="1"/>
      <c r="EL57" s="1"/>
      <c r="EM57" s="1"/>
      <c r="EN57" s="1"/>
      <c r="EQ57" s="1"/>
      <c r="ER57" s="1"/>
      <c r="ES57" s="1"/>
      <c r="EV57" s="1"/>
      <c r="EW57" s="1"/>
      <c r="EZ57" s="1"/>
      <c r="FA57" s="1"/>
      <c r="FD57" s="1"/>
      <c r="FG57" s="1"/>
      <c r="FH57" s="1"/>
      <c r="FI57" s="1"/>
      <c r="FJ57" s="1"/>
      <c r="FK57" s="1"/>
      <c r="FL57" s="1"/>
      <c r="FM57" s="1"/>
      <c r="FN57" s="1"/>
      <c r="FO57" s="1"/>
      <c r="FP57" s="1"/>
      <c r="FS57" s="1"/>
      <c r="FT57" s="1"/>
      <c r="FU57" s="1"/>
      <c r="FV57" s="1"/>
      <c r="FW57" s="1"/>
      <c r="FX57" s="1"/>
      <c r="FY57" s="1"/>
      <c r="FZ57" s="1"/>
      <c r="GA57" s="1"/>
      <c r="GB57" s="1"/>
      <c r="GD57" s="1"/>
      <c r="GE57" s="1"/>
      <c r="GF57" s="1"/>
      <c r="GG57" s="1"/>
      <c r="GH57" s="1"/>
      <c r="GI57" s="1"/>
      <c r="GJ57" s="1"/>
      <c r="GK57" s="1"/>
      <c r="GL57" s="1"/>
      <c r="GM57" s="1"/>
      <c r="GN57" s="1"/>
      <c r="GR57" s="1"/>
      <c r="GY57" s="1"/>
      <c r="HF57" s="1"/>
      <c r="IC57" s="1"/>
      <c r="IR57" s="1"/>
      <c r="IS57" s="1"/>
      <c r="IV57" s="1"/>
      <c r="IZ57" s="1"/>
      <c r="JJ57" s="1"/>
      <c r="JN57" s="1"/>
      <c r="JP57" s="1"/>
      <c r="JQ57" s="1"/>
    </row>
    <row r="58" spans="4:339" ht="13" x14ac:dyDescent="0.15">
      <c r="D58" s="12"/>
      <c r="E58" s="12"/>
      <c r="I58" s="12"/>
      <c r="J58" s="13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X58" s="1"/>
      <c r="CD58" s="1"/>
      <c r="CH58" s="1"/>
      <c r="CI58" s="1"/>
      <c r="CM58" s="2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Q58" s="1"/>
      <c r="DR58" s="1"/>
      <c r="DY58" s="1"/>
      <c r="DZ58" s="1"/>
      <c r="ED58" s="1"/>
      <c r="EE58" s="1"/>
      <c r="EF58" s="1"/>
      <c r="EG58" s="1"/>
      <c r="EH58" s="1"/>
      <c r="EK58" s="1"/>
      <c r="EL58" s="1"/>
      <c r="EM58" s="1"/>
      <c r="EN58" s="1"/>
      <c r="EQ58" s="1"/>
      <c r="ER58" s="1"/>
      <c r="ES58" s="1"/>
      <c r="EV58" s="1"/>
      <c r="EW58" s="1"/>
      <c r="EY58" s="1"/>
      <c r="EZ58" s="1"/>
      <c r="FA58" s="1"/>
      <c r="FD58" s="1"/>
      <c r="FG58" s="1"/>
      <c r="FH58" s="1"/>
      <c r="FI58" s="1"/>
      <c r="FJ58" s="1"/>
      <c r="FK58" s="1"/>
      <c r="FL58" s="1"/>
      <c r="FM58" s="1"/>
      <c r="FN58" s="1"/>
      <c r="FO58" s="1"/>
      <c r="FP58" s="1"/>
      <c r="FQ58" s="1"/>
      <c r="FR58" s="1"/>
      <c r="FS58" s="1"/>
      <c r="FT58" s="1"/>
      <c r="FU58" s="1"/>
      <c r="FV58" s="1"/>
      <c r="FW58" s="1"/>
      <c r="FX58" s="1"/>
      <c r="FY58" s="1"/>
      <c r="FZ58" s="1"/>
      <c r="GA58" s="1"/>
      <c r="GD58" s="1"/>
      <c r="GE58" s="1"/>
      <c r="GF58" s="1"/>
      <c r="GG58" s="1"/>
      <c r="GH58" s="1"/>
      <c r="GI58" s="1"/>
      <c r="GJ58" s="1"/>
      <c r="GK58" s="1"/>
      <c r="GL58" s="1"/>
      <c r="GM58" s="1"/>
      <c r="GN58" s="1"/>
      <c r="GO58" s="1"/>
      <c r="GP58" s="1"/>
      <c r="GR58" s="1"/>
      <c r="GY58" s="1"/>
      <c r="HF58" s="1"/>
      <c r="HH58" s="1"/>
      <c r="HQ58" s="1"/>
      <c r="HT58" s="1"/>
      <c r="IE58" s="1"/>
      <c r="IF58" s="1"/>
      <c r="IG58" s="1"/>
      <c r="IJ58" s="1"/>
      <c r="IR58" s="1"/>
      <c r="IS58" s="1"/>
      <c r="IZ58" s="1"/>
      <c r="JG58" s="1"/>
      <c r="JH58" s="1"/>
      <c r="JJ58" s="1"/>
      <c r="JK58" s="1"/>
      <c r="JL58" s="3"/>
      <c r="JM58" s="1"/>
      <c r="JN58" s="1"/>
      <c r="JP58" s="1"/>
      <c r="JQ58" s="1"/>
      <c r="JR58" s="1"/>
      <c r="KW58" s="1"/>
      <c r="KY58" s="1"/>
      <c r="KZ58" s="1"/>
      <c r="LA58" s="1"/>
      <c r="LB58" s="1"/>
      <c r="LC58" s="1"/>
      <c r="LD58" s="1"/>
      <c r="LF58" s="1"/>
      <c r="LN58" s="1"/>
      <c r="LO58" s="1"/>
      <c r="LP58" s="1"/>
      <c r="LZ58" s="1"/>
      <c r="MA58" s="1"/>
    </row>
    <row r="59" spans="4:339" ht="13" x14ac:dyDescent="0.15">
      <c r="D59" s="12"/>
      <c r="E59" s="12"/>
      <c r="I59" s="12"/>
      <c r="J59" s="13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CD59" s="1"/>
      <c r="CE59" s="1"/>
      <c r="CF59" s="1"/>
      <c r="CG59" s="1"/>
      <c r="CH59" s="1"/>
      <c r="CI59" s="1"/>
      <c r="CM59" s="2"/>
      <c r="CN59" s="1"/>
      <c r="CO59" s="1"/>
      <c r="CP59" s="1"/>
      <c r="CQ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ED59" s="1"/>
      <c r="EK59" s="1"/>
      <c r="EL59" s="1"/>
      <c r="EM59" s="1"/>
      <c r="EN59" s="1"/>
      <c r="EQ59" s="1"/>
      <c r="ER59" s="1"/>
      <c r="ES59" s="1"/>
      <c r="EV59" s="1"/>
      <c r="EW59" s="1"/>
      <c r="EZ59" s="1"/>
      <c r="FA59" s="1"/>
      <c r="FD59" s="1"/>
      <c r="FG59" s="1"/>
      <c r="FH59" s="1"/>
      <c r="FI59" s="1"/>
      <c r="FJ59" s="1"/>
      <c r="FM59" s="1"/>
      <c r="FN59" s="1"/>
      <c r="FO59" s="1"/>
      <c r="FP59" s="1"/>
      <c r="FQ59" s="1"/>
      <c r="FR59" s="1"/>
      <c r="FS59" s="1"/>
      <c r="FT59" s="1"/>
      <c r="FU59" s="1"/>
      <c r="FV59" s="1"/>
      <c r="FW59" s="1"/>
      <c r="FX59" s="1"/>
      <c r="FY59" s="1"/>
      <c r="FZ59" s="1"/>
      <c r="GA59" s="1"/>
      <c r="GB59" s="1"/>
      <c r="GD59" s="1"/>
      <c r="GE59" s="1"/>
      <c r="GF59" s="1"/>
      <c r="GG59" s="1"/>
      <c r="GH59" s="1"/>
      <c r="GI59" s="1"/>
      <c r="GJ59" s="1"/>
      <c r="GM59" s="1"/>
      <c r="GN59" s="1"/>
      <c r="GO59" s="1"/>
      <c r="GP59" s="1"/>
      <c r="GR59" s="1"/>
      <c r="HT59" s="1"/>
      <c r="HY59" s="1"/>
      <c r="IE59" s="1"/>
      <c r="IR59" s="1"/>
      <c r="IS59" s="1"/>
      <c r="IY59" s="1"/>
      <c r="IZ59" s="1"/>
      <c r="JH59" s="1"/>
      <c r="JJ59" s="1"/>
      <c r="JP59" s="1"/>
      <c r="JQ59" s="1"/>
      <c r="KY59" s="1"/>
      <c r="KZ59" s="1"/>
      <c r="LA59" s="1"/>
      <c r="LB59" s="1"/>
      <c r="LC59" s="1"/>
      <c r="LD59" s="1"/>
      <c r="LO59" s="1"/>
      <c r="LP59" s="1"/>
      <c r="LZ59" s="1"/>
      <c r="MA59" s="1"/>
    </row>
    <row r="60" spans="4:339" ht="13" x14ac:dyDescent="0.15">
      <c r="D60" s="12"/>
      <c r="E60" s="12"/>
      <c r="I60" s="12"/>
      <c r="J60" s="13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CD60" s="1"/>
      <c r="CE60" s="1"/>
      <c r="CF60" s="1"/>
      <c r="CG60" s="1"/>
      <c r="CH60" s="1"/>
      <c r="CI60" s="1"/>
      <c r="CM60" s="2"/>
      <c r="CN60" s="1"/>
      <c r="CO60" s="1"/>
      <c r="CP60" s="1"/>
      <c r="CQ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ED60" s="1"/>
      <c r="EK60" s="1"/>
      <c r="EL60" s="1"/>
      <c r="EM60" s="1"/>
      <c r="EN60" s="1"/>
      <c r="EQ60" s="1"/>
      <c r="ER60" s="1"/>
      <c r="ES60" s="1"/>
      <c r="EV60" s="1"/>
      <c r="EW60" s="1"/>
      <c r="EZ60" s="1"/>
      <c r="FA60" s="1"/>
      <c r="FD60" s="1"/>
      <c r="FG60" s="1"/>
      <c r="FH60" s="1"/>
      <c r="FI60" s="1"/>
      <c r="FJ60" s="1"/>
      <c r="FM60" s="1"/>
      <c r="FN60" s="1"/>
      <c r="FO60" s="1"/>
      <c r="FP60" s="1"/>
      <c r="FQ60" s="1"/>
      <c r="FR60" s="1"/>
      <c r="FS60" s="1"/>
      <c r="FT60" s="1"/>
      <c r="FU60" s="1"/>
      <c r="FV60" s="1"/>
      <c r="FW60" s="1"/>
      <c r="FX60" s="1"/>
      <c r="FY60" s="1"/>
      <c r="FZ60" s="1"/>
      <c r="GA60" s="1"/>
      <c r="GB60" s="1"/>
      <c r="GD60" s="1"/>
      <c r="GE60" s="1"/>
      <c r="GF60" s="1"/>
      <c r="GG60" s="1"/>
      <c r="GH60" s="1"/>
      <c r="GI60" s="1"/>
      <c r="GJ60" s="1"/>
      <c r="GM60" s="1"/>
      <c r="GN60" s="1"/>
      <c r="GO60" s="1"/>
      <c r="GP60" s="1"/>
      <c r="GR60" s="1"/>
      <c r="HT60" s="1"/>
      <c r="HY60" s="1"/>
      <c r="IE60" s="1"/>
      <c r="IR60" s="1"/>
      <c r="IS60" s="1"/>
      <c r="IY60" s="1"/>
      <c r="IZ60" s="1"/>
      <c r="JH60" s="1"/>
      <c r="JJ60" s="1"/>
      <c r="JP60" s="1"/>
      <c r="JQ60" s="1"/>
      <c r="KY60" s="1"/>
      <c r="KZ60" s="1"/>
      <c r="LA60" s="1"/>
      <c r="LB60" s="1"/>
      <c r="LC60" s="1"/>
      <c r="LD60" s="1"/>
      <c r="LO60" s="1"/>
      <c r="LP60" s="1"/>
      <c r="LZ60" s="1"/>
      <c r="MA60" s="1"/>
    </row>
    <row r="61" spans="4:339" ht="13" x14ac:dyDescent="0.15">
      <c r="D61" s="12"/>
      <c r="E61" s="12"/>
      <c r="I61" s="12"/>
      <c r="J61" s="13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CD61" s="1"/>
      <c r="CE61" s="1"/>
      <c r="CF61" s="1"/>
      <c r="CG61" s="1"/>
      <c r="CH61" s="1"/>
      <c r="CI61" s="1"/>
      <c r="CM61" s="2"/>
      <c r="CN61" s="1"/>
      <c r="CO61" s="1"/>
      <c r="CP61" s="1"/>
      <c r="CQ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ED61" s="1"/>
      <c r="EK61" s="1"/>
      <c r="EL61" s="1"/>
      <c r="EM61" s="1"/>
      <c r="EN61" s="1"/>
      <c r="EQ61" s="1"/>
      <c r="ER61" s="1"/>
      <c r="ES61" s="1"/>
      <c r="EV61" s="1"/>
      <c r="EW61" s="1"/>
      <c r="EZ61" s="1"/>
      <c r="FA61" s="1"/>
      <c r="FD61" s="1"/>
      <c r="FG61" s="1"/>
      <c r="FH61" s="1"/>
      <c r="FI61" s="1"/>
      <c r="FJ61" s="1"/>
      <c r="FM61" s="1"/>
      <c r="FN61" s="1"/>
      <c r="FO61" s="1"/>
      <c r="FP61" s="1"/>
      <c r="FQ61" s="1"/>
      <c r="FR61" s="1"/>
      <c r="FS61" s="1"/>
      <c r="FT61" s="1"/>
      <c r="FU61" s="1"/>
      <c r="FV61" s="1"/>
      <c r="FW61" s="1"/>
      <c r="FX61" s="1"/>
      <c r="FY61" s="1"/>
      <c r="FZ61" s="1"/>
      <c r="GA61" s="1"/>
      <c r="GB61" s="1"/>
      <c r="GD61" s="1"/>
      <c r="GE61" s="1"/>
      <c r="GF61" s="1"/>
      <c r="GG61" s="1"/>
      <c r="GH61" s="1"/>
      <c r="GI61" s="1"/>
      <c r="GJ61" s="1"/>
      <c r="GM61" s="1"/>
      <c r="GN61" s="1"/>
      <c r="GO61" s="1"/>
      <c r="GP61" s="1"/>
      <c r="GR61" s="1"/>
      <c r="HT61" s="1"/>
      <c r="HY61" s="1"/>
      <c r="IE61" s="1"/>
      <c r="IR61" s="1"/>
      <c r="IS61" s="1"/>
      <c r="IY61" s="1"/>
      <c r="IZ61" s="1"/>
      <c r="JH61" s="1"/>
      <c r="JJ61" s="1"/>
      <c r="JP61" s="1"/>
      <c r="JQ61" s="1"/>
      <c r="KY61" s="1"/>
      <c r="KZ61" s="1"/>
      <c r="LA61" s="1"/>
      <c r="LB61" s="1"/>
      <c r="LC61" s="1"/>
      <c r="LD61" s="1"/>
      <c r="LO61" s="1"/>
      <c r="LP61" s="1"/>
      <c r="LZ61" s="1"/>
      <c r="MA61" s="1"/>
    </row>
    <row r="62" spans="4:339" ht="13" x14ac:dyDescent="0.15">
      <c r="D62" s="12"/>
      <c r="E62" s="12"/>
      <c r="I62" s="12"/>
      <c r="J62" s="13"/>
      <c r="BF62" s="1"/>
      <c r="BG62" s="1"/>
      <c r="BH62" s="1"/>
      <c r="BI62" s="1"/>
      <c r="BK62" s="1"/>
      <c r="BL62" s="1"/>
      <c r="BM62" s="1"/>
      <c r="BN62" s="1"/>
      <c r="BO62" s="1"/>
      <c r="BP62" s="1"/>
      <c r="BQ62" s="1"/>
      <c r="BR62" s="1"/>
      <c r="CC62" s="1"/>
      <c r="CD62" s="1"/>
      <c r="CE62" s="1"/>
      <c r="CF62" s="1"/>
      <c r="CG62" s="1"/>
      <c r="CH62" s="1"/>
      <c r="CI62" s="1"/>
      <c r="CM62" s="2"/>
      <c r="CN62" s="1"/>
      <c r="CO62" s="1"/>
      <c r="CP62" s="1"/>
      <c r="CQ62" s="1"/>
      <c r="CR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ED62" s="1"/>
      <c r="EK62" s="1"/>
      <c r="EL62" s="1"/>
      <c r="EM62" s="1"/>
      <c r="EN62" s="1"/>
      <c r="EQ62" s="1"/>
      <c r="ER62" s="1"/>
      <c r="ES62" s="1"/>
      <c r="EV62" s="1"/>
      <c r="EW62" s="1"/>
      <c r="EZ62" s="1"/>
      <c r="FA62" s="1"/>
      <c r="FD62" s="1"/>
      <c r="FG62" s="1"/>
      <c r="FH62" s="1"/>
      <c r="FI62" s="1"/>
      <c r="FJ62" s="1"/>
      <c r="FK62" s="1"/>
      <c r="FL62" s="1"/>
      <c r="FM62" s="1"/>
      <c r="FN62" s="1"/>
      <c r="FP62" s="1"/>
      <c r="FQ62" s="1"/>
      <c r="FR62" s="1"/>
      <c r="FS62" s="1"/>
      <c r="FT62" s="1"/>
      <c r="FU62" s="1"/>
      <c r="FV62" s="1"/>
      <c r="FW62" s="1"/>
      <c r="FX62" s="1"/>
      <c r="FZ62" s="1"/>
      <c r="GA62" s="1"/>
      <c r="GD62" s="1"/>
      <c r="GE62" s="1"/>
      <c r="GF62" s="1"/>
      <c r="GG62" s="1"/>
      <c r="GH62" s="1"/>
      <c r="GI62" s="1"/>
      <c r="GJ62" s="1"/>
      <c r="GK62" s="1"/>
      <c r="GL62" s="1"/>
      <c r="GM62" s="1"/>
      <c r="GN62" s="1"/>
      <c r="GO62" s="1"/>
      <c r="GP62" s="1"/>
      <c r="GR62" s="1"/>
      <c r="GY62" s="1"/>
      <c r="HH62" s="1"/>
      <c r="HN62" s="1"/>
      <c r="HT62" s="1"/>
      <c r="HY62" s="1"/>
      <c r="IA62" s="1"/>
      <c r="IC62" s="1"/>
      <c r="ID62" s="1"/>
      <c r="IE62" s="1"/>
      <c r="IR62" s="1"/>
      <c r="IS62" s="1"/>
      <c r="IV62" s="1"/>
      <c r="IW62" s="1"/>
      <c r="IZ62" s="1"/>
      <c r="JC62" s="1"/>
      <c r="JF62" s="1"/>
      <c r="JG62" s="1"/>
      <c r="JH62" s="1"/>
      <c r="JJ62" s="1"/>
      <c r="JP62" s="1"/>
      <c r="JQ62" s="1"/>
      <c r="KY62" s="1"/>
      <c r="KZ62" s="1"/>
      <c r="LA62" s="1"/>
      <c r="LB62" s="1"/>
      <c r="LC62" s="1"/>
      <c r="LD62" s="1"/>
      <c r="LF62" s="1"/>
      <c r="LO62" s="1"/>
      <c r="LP62" s="1"/>
      <c r="LZ62" s="1"/>
      <c r="MA62" s="1"/>
    </row>
    <row r="63" spans="4:339" ht="13" x14ac:dyDescent="0.15">
      <c r="D63" s="12"/>
      <c r="E63" s="12"/>
      <c r="I63" s="12"/>
      <c r="J63" s="13"/>
      <c r="BF63" s="1"/>
      <c r="BG63" s="1"/>
      <c r="BH63" s="1"/>
      <c r="BI63" s="1"/>
      <c r="BK63" s="1"/>
      <c r="BL63" s="1"/>
      <c r="BM63" s="1"/>
      <c r="BN63" s="1"/>
      <c r="BO63" s="1"/>
      <c r="BP63" s="1"/>
      <c r="BQ63" s="1"/>
      <c r="BR63" s="1"/>
      <c r="CC63" s="1"/>
      <c r="CD63" s="1"/>
      <c r="CE63" s="1"/>
      <c r="CF63" s="1"/>
      <c r="CG63" s="1"/>
      <c r="CH63" s="1"/>
      <c r="CI63" s="1"/>
      <c r="CM63" s="2"/>
      <c r="CN63" s="1"/>
      <c r="CO63" s="1"/>
      <c r="CP63" s="1"/>
      <c r="CQ63" s="1"/>
      <c r="CR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ED63" s="1"/>
      <c r="EK63" s="1"/>
      <c r="EL63" s="1"/>
      <c r="EM63" s="1"/>
      <c r="EN63" s="1"/>
      <c r="EQ63" s="1"/>
      <c r="ER63" s="1"/>
      <c r="ES63" s="1"/>
      <c r="EV63" s="1"/>
      <c r="EW63" s="1"/>
      <c r="EZ63" s="1"/>
      <c r="FA63" s="1"/>
      <c r="FD63" s="1"/>
      <c r="FG63" s="1"/>
      <c r="FH63" s="1"/>
      <c r="FI63" s="1"/>
      <c r="FJ63" s="1"/>
      <c r="FK63" s="1"/>
      <c r="FL63" s="1"/>
      <c r="FM63" s="1"/>
      <c r="FN63" s="1"/>
      <c r="FP63" s="1"/>
      <c r="FQ63" s="1"/>
      <c r="FR63" s="1"/>
      <c r="FS63" s="1"/>
      <c r="FT63" s="1"/>
      <c r="FU63" s="1"/>
      <c r="FV63" s="1"/>
      <c r="FW63" s="1"/>
      <c r="FX63" s="1"/>
      <c r="FZ63" s="1"/>
      <c r="GA63" s="1"/>
      <c r="GD63" s="1"/>
      <c r="GE63" s="1"/>
      <c r="GF63" s="1"/>
      <c r="GG63" s="1"/>
      <c r="GH63" s="1"/>
      <c r="GI63" s="1"/>
      <c r="GJ63" s="1"/>
      <c r="GK63" s="1"/>
      <c r="GL63" s="1"/>
      <c r="GM63" s="1"/>
      <c r="GN63" s="1"/>
      <c r="GO63" s="1"/>
      <c r="GP63" s="1"/>
      <c r="GR63" s="1"/>
      <c r="GY63" s="1"/>
      <c r="HH63" s="1"/>
      <c r="HN63" s="1"/>
      <c r="HT63" s="1"/>
      <c r="HY63" s="1"/>
      <c r="IA63" s="1"/>
      <c r="IC63" s="1"/>
      <c r="ID63" s="1"/>
      <c r="IE63" s="1"/>
      <c r="IR63" s="1"/>
      <c r="IS63" s="1"/>
      <c r="IV63" s="1"/>
      <c r="IW63" s="1"/>
      <c r="IZ63" s="1"/>
      <c r="JC63" s="1"/>
      <c r="JF63" s="1"/>
      <c r="JG63" s="1"/>
      <c r="JH63" s="1"/>
      <c r="JJ63" s="1"/>
      <c r="JP63" s="1"/>
      <c r="JQ63" s="1"/>
      <c r="KY63" s="1"/>
      <c r="KZ63" s="1"/>
      <c r="LA63" s="1"/>
      <c r="LB63" s="1"/>
      <c r="LC63" s="1"/>
      <c r="LD63" s="1"/>
      <c r="LF63" s="1"/>
      <c r="LO63" s="1"/>
      <c r="LP63" s="1"/>
      <c r="LZ63" s="1"/>
      <c r="MA63" s="1"/>
    </row>
    <row r="64" spans="4:339" ht="13" x14ac:dyDescent="0.15">
      <c r="D64" s="12"/>
      <c r="E64" s="12"/>
      <c r="I64" s="12"/>
      <c r="J64" s="13"/>
      <c r="BF64" s="1"/>
      <c r="BG64" s="1"/>
      <c r="BH64" s="1"/>
      <c r="BI64" s="1"/>
      <c r="BK64" s="1"/>
      <c r="BL64" s="1"/>
      <c r="BM64" s="1"/>
      <c r="BN64" s="1"/>
      <c r="BO64" s="1"/>
      <c r="BP64" s="1"/>
      <c r="BQ64" s="1"/>
      <c r="BR64" s="1"/>
      <c r="CC64" s="1"/>
      <c r="CD64" s="1"/>
      <c r="CE64" s="1"/>
      <c r="CF64" s="1"/>
      <c r="CG64" s="1"/>
      <c r="CH64" s="1"/>
      <c r="CI64" s="1"/>
      <c r="CM64" s="2"/>
      <c r="CN64" s="1"/>
      <c r="CO64" s="1"/>
      <c r="CP64" s="1"/>
      <c r="CQ64" s="1"/>
      <c r="CR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ED64" s="1"/>
      <c r="EK64" s="1"/>
      <c r="EL64" s="1"/>
      <c r="EM64" s="1"/>
      <c r="EN64" s="1"/>
      <c r="EQ64" s="1"/>
      <c r="ER64" s="1"/>
      <c r="ES64" s="1"/>
      <c r="EV64" s="1"/>
      <c r="EW64" s="1"/>
      <c r="EZ64" s="1"/>
      <c r="FA64" s="1"/>
      <c r="FD64" s="1"/>
      <c r="FG64" s="1"/>
      <c r="FH64" s="1"/>
      <c r="FI64" s="1"/>
      <c r="FJ64" s="1"/>
      <c r="FK64" s="1"/>
      <c r="FL64" s="1"/>
      <c r="FM64" s="1"/>
      <c r="FN64" s="1"/>
      <c r="FP64" s="1"/>
      <c r="FQ64" s="1"/>
      <c r="FR64" s="1"/>
      <c r="FS64" s="1"/>
      <c r="FT64" s="1"/>
      <c r="FU64" s="1"/>
      <c r="FV64" s="1"/>
      <c r="FW64" s="1"/>
      <c r="FX64" s="1"/>
      <c r="FZ64" s="1"/>
      <c r="GA64" s="1"/>
      <c r="GD64" s="1"/>
      <c r="GE64" s="1"/>
      <c r="GF64" s="1"/>
      <c r="GG64" s="1"/>
      <c r="GH64" s="1"/>
      <c r="GI64" s="1"/>
      <c r="GJ64" s="1"/>
      <c r="GK64" s="1"/>
      <c r="GL64" s="1"/>
      <c r="GM64" s="1"/>
      <c r="GN64" s="1"/>
      <c r="GO64" s="1"/>
      <c r="GP64" s="1"/>
      <c r="GR64" s="1"/>
      <c r="GY64" s="1"/>
      <c r="HH64" s="1"/>
      <c r="HN64" s="1"/>
      <c r="HT64" s="1"/>
      <c r="HY64" s="1"/>
      <c r="IA64" s="1"/>
      <c r="IC64" s="1"/>
      <c r="ID64" s="1"/>
      <c r="IE64" s="1"/>
      <c r="IR64" s="1"/>
      <c r="IS64" s="1"/>
      <c r="IV64" s="1"/>
      <c r="IW64" s="1"/>
      <c r="IZ64" s="1"/>
      <c r="JC64" s="1"/>
      <c r="JF64" s="1"/>
      <c r="JG64" s="1"/>
      <c r="JH64" s="1"/>
      <c r="JJ64" s="1"/>
      <c r="JP64" s="1"/>
      <c r="JQ64" s="1"/>
      <c r="KY64" s="1"/>
      <c r="KZ64" s="1"/>
      <c r="LA64" s="1"/>
      <c r="LB64" s="1"/>
      <c r="LC64" s="1"/>
      <c r="LD64" s="1"/>
      <c r="LF64" s="1"/>
      <c r="LO64" s="1"/>
      <c r="LP64" s="1"/>
      <c r="LZ64" s="1"/>
      <c r="MA64" s="1"/>
    </row>
    <row r="65" spans="4:339" ht="13" x14ac:dyDescent="0.15">
      <c r="D65" s="12"/>
      <c r="E65" s="12"/>
      <c r="I65" s="12"/>
      <c r="J65" s="13"/>
      <c r="BF65" s="1"/>
      <c r="BG65" s="1"/>
      <c r="BH65" s="1"/>
      <c r="BI65" s="1"/>
      <c r="BK65" s="1"/>
      <c r="BL65" s="1"/>
      <c r="BM65" s="1"/>
      <c r="BN65" s="1"/>
      <c r="BO65" s="1"/>
      <c r="BP65" s="1"/>
      <c r="BQ65" s="1"/>
      <c r="BR65" s="1"/>
      <c r="CC65" s="1"/>
      <c r="CD65" s="1"/>
      <c r="CE65" s="1"/>
      <c r="CF65" s="1"/>
      <c r="CG65" s="1"/>
      <c r="CH65" s="1"/>
      <c r="CI65" s="1"/>
      <c r="CM65" s="2"/>
      <c r="CN65" s="1"/>
      <c r="CO65" s="1"/>
      <c r="CP65" s="1"/>
      <c r="CQ65" s="1"/>
      <c r="CR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ED65" s="1"/>
      <c r="EK65" s="1"/>
      <c r="EL65" s="1"/>
      <c r="EM65" s="1"/>
      <c r="EN65" s="1"/>
      <c r="EQ65" s="1"/>
      <c r="ER65" s="1"/>
      <c r="ES65" s="1"/>
      <c r="EV65" s="1"/>
      <c r="EW65" s="1"/>
      <c r="EZ65" s="1"/>
      <c r="FA65" s="1"/>
      <c r="FD65" s="1"/>
      <c r="FG65" s="1"/>
      <c r="FH65" s="1"/>
      <c r="FI65" s="1"/>
      <c r="FJ65" s="1"/>
      <c r="FK65" s="1"/>
      <c r="FL65" s="1"/>
      <c r="FM65" s="1"/>
      <c r="FN65" s="1"/>
      <c r="FP65" s="1"/>
      <c r="FQ65" s="1"/>
      <c r="FR65" s="1"/>
      <c r="FS65" s="1"/>
      <c r="FT65" s="1"/>
      <c r="FU65" s="1"/>
      <c r="FV65" s="1"/>
      <c r="FW65" s="1"/>
      <c r="FX65" s="1"/>
      <c r="FZ65" s="1"/>
      <c r="GA65" s="1"/>
      <c r="GD65" s="1"/>
      <c r="GE65" s="1"/>
      <c r="GF65" s="1"/>
      <c r="GG65" s="1"/>
      <c r="GH65" s="1"/>
      <c r="GI65" s="1"/>
      <c r="GJ65" s="1"/>
      <c r="GK65" s="1"/>
      <c r="GL65" s="1"/>
      <c r="GM65" s="1"/>
      <c r="GN65" s="1"/>
      <c r="GO65" s="1"/>
      <c r="GP65" s="1"/>
      <c r="GR65" s="1"/>
      <c r="GY65" s="1"/>
      <c r="HH65" s="1"/>
      <c r="HN65" s="1"/>
      <c r="HT65" s="1"/>
      <c r="HY65" s="1"/>
      <c r="IA65" s="1"/>
      <c r="IC65" s="1"/>
      <c r="ID65" s="1"/>
      <c r="IE65" s="1"/>
      <c r="IR65" s="1"/>
      <c r="IS65" s="1"/>
      <c r="IV65" s="1"/>
      <c r="IW65" s="1"/>
      <c r="IZ65" s="1"/>
      <c r="JC65" s="1"/>
      <c r="JF65" s="1"/>
      <c r="JG65" s="1"/>
      <c r="JH65" s="1"/>
      <c r="JJ65" s="1"/>
      <c r="JP65" s="1"/>
      <c r="JQ65" s="1"/>
      <c r="KY65" s="1"/>
      <c r="KZ65" s="1"/>
      <c r="LA65" s="1"/>
      <c r="LB65" s="1"/>
      <c r="LC65" s="1"/>
      <c r="LD65" s="1"/>
      <c r="LF65" s="1"/>
      <c r="LO65" s="1"/>
      <c r="LP65" s="1"/>
      <c r="LZ65" s="1"/>
      <c r="MA65" s="1"/>
    </row>
    <row r="66" spans="4:339" ht="13" x14ac:dyDescent="0.15">
      <c r="D66" s="12"/>
      <c r="E66" s="12"/>
      <c r="I66" s="12"/>
      <c r="J66" s="13"/>
      <c r="BF66" s="1"/>
      <c r="BG66" s="1"/>
      <c r="BH66" s="1"/>
      <c r="BI66" s="1"/>
      <c r="BJ66" s="1"/>
      <c r="BK66" s="1"/>
      <c r="BL66" s="1"/>
      <c r="BM66" s="1"/>
      <c r="BN66" s="1"/>
      <c r="BO66" s="1"/>
      <c r="BQ66" s="1"/>
      <c r="BR66" s="1"/>
      <c r="CD66" s="1"/>
      <c r="CE66" s="1"/>
      <c r="CF66" s="1"/>
      <c r="CH66" s="1"/>
      <c r="CI66" s="1"/>
      <c r="CM66" s="2"/>
      <c r="CN66" s="1"/>
      <c r="CO66" s="1"/>
      <c r="CQ66" s="1"/>
      <c r="CY66" s="1"/>
      <c r="DC66" s="1"/>
      <c r="DH66" s="1"/>
      <c r="DM66" s="1"/>
      <c r="DR66" s="1"/>
      <c r="ED66" s="1"/>
      <c r="EF66" s="1"/>
      <c r="EL66" s="1"/>
      <c r="EM66" s="1"/>
      <c r="EN66" s="1"/>
      <c r="EQ66" s="1"/>
      <c r="ER66" s="1"/>
      <c r="ES66" s="1"/>
      <c r="EV66" s="1"/>
      <c r="EW66" s="1"/>
      <c r="EZ66" s="1"/>
      <c r="FA66" s="1"/>
      <c r="FD66" s="1"/>
      <c r="FE66" s="1"/>
      <c r="FF66" s="1"/>
      <c r="FG66" s="1"/>
      <c r="FH66" s="1"/>
      <c r="FI66" s="1"/>
      <c r="FJ66" s="1"/>
      <c r="FL66" s="1"/>
      <c r="FM66" s="1"/>
      <c r="FN66" s="1"/>
      <c r="FO66" s="1"/>
      <c r="FP66" s="1"/>
      <c r="FQ66" s="1"/>
      <c r="FR66" s="1"/>
      <c r="FS66" s="1"/>
      <c r="FT66" s="1"/>
      <c r="FU66" s="1"/>
      <c r="FV66" s="1"/>
      <c r="FW66" s="1"/>
      <c r="FX66" s="1"/>
      <c r="FY66" s="1"/>
      <c r="FZ66" s="1"/>
      <c r="GA66" s="1"/>
      <c r="GD66" s="1"/>
      <c r="GE66" s="1"/>
      <c r="GF66" s="1"/>
      <c r="GG66" s="1"/>
      <c r="GH66" s="1"/>
      <c r="GI66" s="1"/>
      <c r="GJ66" s="1"/>
      <c r="GK66" s="1"/>
      <c r="GL66" s="1"/>
      <c r="GM66" s="1"/>
      <c r="GN66" s="1"/>
      <c r="GO66" s="1"/>
      <c r="GP66" s="1"/>
      <c r="GR66" s="1"/>
      <c r="GY66" s="1"/>
      <c r="HF66" s="1"/>
      <c r="HH66" s="1"/>
      <c r="HY66" s="1"/>
      <c r="IC66" s="1"/>
      <c r="IR66" s="1"/>
      <c r="IS66" s="1"/>
      <c r="IZ66" s="1"/>
      <c r="JF66" s="1"/>
      <c r="JJ66" s="1"/>
      <c r="JN66" s="1"/>
      <c r="JP66" s="1"/>
      <c r="JQ66" s="1"/>
      <c r="JT66" s="1"/>
      <c r="KU66" s="1"/>
      <c r="KV66" s="1"/>
      <c r="KZ66" s="1"/>
      <c r="LA66" s="1"/>
      <c r="LC66" s="1"/>
      <c r="LO66" s="1"/>
      <c r="LZ66" s="1"/>
      <c r="MA66" s="1"/>
    </row>
    <row r="67" spans="4:339" ht="13" x14ac:dyDescent="0.15">
      <c r="D67" s="12"/>
      <c r="E67" s="12"/>
      <c r="I67" s="12"/>
      <c r="J67" s="13"/>
      <c r="BF67" s="1"/>
      <c r="BG67" s="1"/>
      <c r="BH67" s="1"/>
      <c r="BI67" s="1"/>
      <c r="BJ67" s="1"/>
      <c r="BK67" s="1"/>
      <c r="BL67" s="1"/>
      <c r="BM67" s="1"/>
      <c r="BN67" s="1"/>
      <c r="BP67" s="1"/>
      <c r="BQ67" s="1"/>
      <c r="BR67" s="1"/>
      <c r="CD67" s="1"/>
      <c r="CE67" s="1"/>
      <c r="CF67" s="1"/>
      <c r="CG67" s="1"/>
      <c r="CH67" s="1"/>
      <c r="CI67" s="1"/>
      <c r="CM67" s="2"/>
      <c r="CN67" s="1"/>
      <c r="CO67" s="1"/>
      <c r="CQ67" s="1"/>
      <c r="CY67" s="1"/>
      <c r="DC67" s="1"/>
      <c r="DH67" s="1"/>
      <c r="ED67" s="1"/>
      <c r="EK67" s="1"/>
      <c r="EL67" s="1"/>
      <c r="EM67" s="1"/>
      <c r="EN67" s="1"/>
      <c r="EQ67" s="1"/>
      <c r="ER67" s="1"/>
      <c r="ES67" s="1"/>
      <c r="EV67" s="1"/>
      <c r="EW67" s="1"/>
      <c r="EZ67" s="1"/>
      <c r="FA67" s="1"/>
      <c r="FD67" s="1"/>
      <c r="FG67" s="1"/>
      <c r="FH67" s="1"/>
      <c r="FI67" s="1"/>
      <c r="FJ67" s="1"/>
      <c r="FL67" s="1"/>
      <c r="FM67" s="1"/>
      <c r="FN67" s="1"/>
      <c r="FO67" s="1"/>
      <c r="FP67" s="1"/>
      <c r="FQ67" s="1"/>
      <c r="FS67" s="1"/>
      <c r="FT67" s="1"/>
      <c r="FU67" s="1"/>
      <c r="FV67" s="1"/>
      <c r="FW67" s="1"/>
      <c r="FX67" s="1"/>
      <c r="FY67" s="1"/>
      <c r="FZ67" s="1"/>
      <c r="GA67" s="1"/>
      <c r="GB67" s="1"/>
      <c r="GD67" s="1"/>
      <c r="GE67" s="1"/>
      <c r="GF67" s="1"/>
      <c r="GG67" s="1"/>
      <c r="GH67" s="1"/>
      <c r="GI67" s="1"/>
      <c r="GJ67" s="1"/>
      <c r="GK67" s="1"/>
      <c r="GL67" s="1"/>
      <c r="GM67" s="1"/>
      <c r="GN67" s="1"/>
      <c r="GP67" s="1"/>
      <c r="GR67" s="1"/>
      <c r="GY67" s="1"/>
      <c r="HF67" s="1"/>
      <c r="HN67" s="1"/>
      <c r="HY67" s="1"/>
      <c r="IC67" s="1"/>
      <c r="ID67" s="1"/>
      <c r="IS67" s="1"/>
      <c r="IW67" s="1"/>
      <c r="IZ67" s="1"/>
      <c r="JA67" s="1"/>
      <c r="JG67" s="1"/>
      <c r="JH67" s="1"/>
      <c r="JJ67" s="1"/>
      <c r="JN67" s="1"/>
      <c r="JP67" s="1"/>
      <c r="JQ67" s="1"/>
      <c r="KU67" s="1"/>
      <c r="KV67" s="1"/>
      <c r="KY67" s="1"/>
      <c r="KZ67" s="1"/>
      <c r="LA67" s="1"/>
      <c r="LB67" s="1"/>
      <c r="LC67" s="1"/>
      <c r="LD67" s="1"/>
      <c r="LQ67" s="1"/>
      <c r="LR67" s="1"/>
      <c r="LS67" s="1"/>
      <c r="LT67" s="1"/>
      <c r="LU67" s="1"/>
      <c r="LZ67" s="1"/>
      <c r="MA67" s="1"/>
    </row>
    <row r="68" spans="4:339" ht="13" x14ac:dyDescent="0.15">
      <c r="D68" s="12"/>
      <c r="E68" s="12"/>
      <c r="I68" s="12"/>
      <c r="J68" s="13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X68" s="1"/>
      <c r="CD68" s="1"/>
      <c r="CE68" s="1"/>
      <c r="CF68" s="1"/>
      <c r="CG68" s="1"/>
      <c r="CH68" s="1"/>
      <c r="CI68" s="1"/>
      <c r="CM68" s="2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M68" s="1"/>
      <c r="DQ68" s="1"/>
      <c r="DR68" s="1"/>
      <c r="DY68" s="1"/>
      <c r="DZ68" s="1"/>
      <c r="ED68" s="1"/>
      <c r="EE68" s="1"/>
      <c r="EF68" s="1"/>
      <c r="EG68" s="1"/>
      <c r="EH68" s="1"/>
      <c r="EK68" s="1"/>
      <c r="EL68" s="1"/>
      <c r="EM68" s="1"/>
      <c r="EN68" s="1"/>
      <c r="EQ68" s="1"/>
      <c r="ER68" s="1"/>
      <c r="ES68" s="1"/>
      <c r="EV68" s="1"/>
      <c r="EW68" s="1"/>
      <c r="EY68" s="1"/>
      <c r="EZ68" s="1"/>
      <c r="FA68" s="1"/>
      <c r="FD68" s="1"/>
      <c r="FG68" s="1"/>
      <c r="FH68" s="1"/>
      <c r="FI68" s="1"/>
      <c r="FJ68" s="1"/>
      <c r="FK68" s="1"/>
      <c r="FL68" s="1"/>
      <c r="FM68" s="1"/>
      <c r="FN68" s="1"/>
      <c r="FO68" s="1"/>
      <c r="FP68" s="1"/>
      <c r="FQ68" s="1"/>
      <c r="FR68" s="1"/>
      <c r="FS68" s="1"/>
      <c r="FT68" s="1"/>
      <c r="FU68" s="1"/>
      <c r="FV68" s="1"/>
      <c r="FW68" s="1"/>
      <c r="FX68" s="1"/>
      <c r="FY68" s="1"/>
      <c r="FZ68" s="1"/>
      <c r="GA68" s="1"/>
      <c r="GB68" s="1"/>
      <c r="GD68" s="1"/>
      <c r="GE68" s="1"/>
      <c r="GF68" s="1"/>
      <c r="GG68" s="1"/>
      <c r="GH68" s="1"/>
      <c r="GI68" s="1"/>
      <c r="GJ68" s="1"/>
      <c r="GK68" s="1"/>
      <c r="GL68" s="1"/>
      <c r="GM68" s="1"/>
      <c r="GN68" s="1"/>
      <c r="GO68" s="1"/>
      <c r="GP68" s="1"/>
      <c r="GR68" s="1"/>
      <c r="GY68" s="1"/>
      <c r="HF68" s="1"/>
      <c r="HH68" s="1"/>
      <c r="HN68" s="1"/>
      <c r="HT68" s="1"/>
      <c r="HY68" s="1"/>
      <c r="ID68" s="1"/>
      <c r="IE68" s="1"/>
      <c r="IF68" s="1"/>
      <c r="IG68" s="1"/>
      <c r="IJ68" s="1"/>
      <c r="IR68" s="1"/>
      <c r="IS68" s="1"/>
      <c r="IZ68" s="1"/>
      <c r="JC68" s="1"/>
      <c r="JF68" s="1"/>
      <c r="JG68" s="1"/>
      <c r="JH68" s="1"/>
      <c r="JJ68" s="1"/>
      <c r="JK68" s="1"/>
      <c r="JL68" s="3"/>
      <c r="JM68" s="1"/>
      <c r="JN68" s="1"/>
      <c r="JP68" s="1"/>
      <c r="JQ68" s="1"/>
      <c r="JR68" s="1"/>
      <c r="JT68" s="1"/>
      <c r="KW68" s="1"/>
      <c r="KY68" s="1"/>
      <c r="KZ68" s="1"/>
      <c r="LA68" s="1"/>
      <c r="LB68" s="1"/>
      <c r="LC68" s="1"/>
      <c r="LD68" s="1"/>
      <c r="LO68" s="1"/>
      <c r="LP68" s="1"/>
      <c r="LZ68" s="1"/>
      <c r="MA68" s="1"/>
    </row>
    <row r="69" spans="4:339" ht="13" x14ac:dyDescent="0.15">
      <c r="D69" s="12"/>
      <c r="E69" s="12"/>
      <c r="I69" s="12"/>
      <c r="J69" s="13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CD69" s="1"/>
      <c r="CE69" s="1"/>
      <c r="CF69" s="1"/>
      <c r="CG69" s="1"/>
      <c r="CH69" s="1"/>
      <c r="CI69" s="1"/>
      <c r="CM69" s="2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ED69" s="1"/>
      <c r="EK69" s="1"/>
      <c r="EL69" s="1"/>
      <c r="EM69" s="1"/>
      <c r="EN69" s="1"/>
      <c r="EQ69" s="1"/>
      <c r="ER69" s="1"/>
      <c r="ES69" s="1"/>
      <c r="EV69" s="1"/>
      <c r="EW69" s="1"/>
      <c r="EZ69" s="1"/>
      <c r="FA69" s="1"/>
      <c r="FD69" s="1"/>
      <c r="FE69" s="1"/>
      <c r="FG69" s="1"/>
      <c r="FH69" s="1"/>
      <c r="FI69" s="1"/>
      <c r="FJ69" s="1"/>
      <c r="FK69" s="1"/>
      <c r="FL69" s="1"/>
      <c r="FM69" s="1"/>
      <c r="FN69" s="1"/>
      <c r="FO69" s="1"/>
      <c r="FP69" s="1"/>
      <c r="FQ69" s="1"/>
      <c r="FR69" s="1"/>
      <c r="FS69" s="1"/>
      <c r="FT69" s="1"/>
      <c r="FU69" s="1"/>
      <c r="FV69" s="1"/>
      <c r="FW69" s="1"/>
      <c r="FX69" s="1"/>
      <c r="FY69" s="1"/>
      <c r="FZ69" s="1"/>
      <c r="GA69" s="1"/>
      <c r="GB69" s="1"/>
      <c r="GD69" s="1"/>
      <c r="GE69" s="1"/>
      <c r="GF69" s="1"/>
      <c r="GG69" s="1"/>
      <c r="GH69" s="1"/>
      <c r="GI69" s="1"/>
      <c r="GJ69" s="1"/>
      <c r="GK69" s="1"/>
      <c r="GL69" s="1"/>
      <c r="GM69" s="1"/>
      <c r="GN69" s="1"/>
      <c r="GP69" s="1"/>
      <c r="GR69" s="1"/>
      <c r="GY69" s="1"/>
      <c r="HF69" s="1"/>
      <c r="HH69" s="1"/>
      <c r="HN69" s="1"/>
      <c r="HT69" s="1"/>
      <c r="HY69" s="1"/>
      <c r="IE69" s="1"/>
      <c r="IR69" s="1"/>
      <c r="IS69" s="1"/>
      <c r="IY69" s="1"/>
      <c r="IZ69" s="1"/>
      <c r="JC69" s="1"/>
      <c r="JF69" s="1"/>
      <c r="JG69" s="1"/>
      <c r="JH69" s="1"/>
      <c r="JJ69" s="1"/>
      <c r="JN69" s="1"/>
      <c r="JP69" s="1"/>
      <c r="JQ69" s="1"/>
      <c r="JT69" s="1"/>
      <c r="KU69" s="1"/>
      <c r="KV69" s="1"/>
      <c r="KW69" s="1"/>
      <c r="KY69" s="1"/>
      <c r="KZ69" s="1"/>
      <c r="LA69" s="1"/>
      <c r="LB69" s="1"/>
      <c r="LC69" s="1"/>
      <c r="LD69" s="1"/>
      <c r="LF69" s="1"/>
      <c r="LN69" s="1"/>
      <c r="LO69" s="1"/>
      <c r="LP69" s="1"/>
      <c r="LZ69" s="1"/>
      <c r="MA69" s="1"/>
    </row>
    <row r="70" spans="4:339" ht="13" x14ac:dyDescent="0.15">
      <c r="D70" s="12"/>
      <c r="E70" s="12"/>
      <c r="I70" s="12"/>
      <c r="J70" s="13"/>
      <c r="BF70" s="1"/>
      <c r="BG70" s="1"/>
      <c r="BH70" s="1"/>
      <c r="BI70" s="1"/>
      <c r="BJ70" s="1"/>
      <c r="BK70" s="1"/>
      <c r="BL70" s="1"/>
      <c r="BM70" s="1"/>
      <c r="BN70" s="1"/>
      <c r="BO70" s="1"/>
      <c r="BQ70" s="1"/>
      <c r="BR70" s="1"/>
      <c r="CD70" s="1"/>
      <c r="CH70" s="1"/>
      <c r="CI70" s="1"/>
      <c r="CK70" s="1"/>
      <c r="CM70" s="2"/>
      <c r="CN70" s="1"/>
      <c r="CO70" s="1"/>
      <c r="ED70" s="1"/>
      <c r="EL70" s="1"/>
      <c r="EM70" s="1"/>
      <c r="EN70" s="1"/>
      <c r="EQ70" s="1"/>
      <c r="ER70" s="1"/>
      <c r="ES70" s="1"/>
      <c r="EV70" s="1"/>
      <c r="EW70" s="1"/>
      <c r="EX70" s="1"/>
      <c r="EZ70" s="1"/>
      <c r="FA70" s="1"/>
      <c r="FD70" s="1"/>
      <c r="FG70" s="1"/>
      <c r="FH70" s="1"/>
      <c r="FJ70" s="1"/>
      <c r="FM70" s="1"/>
      <c r="FN70" s="1"/>
      <c r="FO70" s="1"/>
      <c r="FP70" s="1"/>
      <c r="FQ70" s="1"/>
      <c r="FR70" s="1"/>
      <c r="FS70" s="1"/>
      <c r="FT70" s="1"/>
      <c r="FU70" s="1"/>
      <c r="FV70" s="1"/>
      <c r="FW70" s="1"/>
      <c r="FX70" s="1"/>
      <c r="FY70" s="1"/>
      <c r="FZ70" s="1"/>
      <c r="GA70" s="1"/>
      <c r="GB70" s="1"/>
      <c r="GD70" s="1"/>
      <c r="GE70" s="1"/>
      <c r="GF70" s="1"/>
      <c r="GG70" s="1"/>
      <c r="GH70" s="1"/>
      <c r="GI70" s="1"/>
      <c r="GJ70" s="1"/>
      <c r="GK70" s="1"/>
      <c r="GL70" s="1"/>
      <c r="GM70" s="1"/>
      <c r="GN70" s="1"/>
      <c r="GP70" s="1"/>
      <c r="GR70" s="1"/>
      <c r="GS70" s="1"/>
      <c r="GY70" s="1"/>
      <c r="HF70" s="1"/>
      <c r="HQ70" s="1"/>
      <c r="HY70" s="1"/>
      <c r="IR70" s="1"/>
      <c r="IS70" s="1"/>
      <c r="IZ70" s="1"/>
      <c r="JJ70" s="1"/>
      <c r="JN70" s="1"/>
      <c r="JP70" s="1"/>
      <c r="JQ70" s="1"/>
      <c r="JT70" s="1"/>
    </row>
    <row r="71" spans="4:339" ht="13" x14ac:dyDescent="0.15">
      <c r="D71" s="12"/>
      <c r="E71" s="12"/>
      <c r="I71" s="12"/>
      <c r="J71" s="13"/>
      <c r="BF71" s="1"/>
      <c r="BG71" s="1"/>
      <c r="BH71" s="1"/>
      <c r="BI71" s="1"/>
      <c r="BJ71" s="1"/>
      <c r="BK71" s="1"/>
      <c r="BL71" s="1"/>
      <c r="BM71" s="1"/>
      <c r="BN71" s="1"/>
      <c r="BO71" s="1"/>
      <c r="BQ71" s="1"/>
      <c r="BR71" s="1"/>
      <c r="CD71" s="1"/>
      <c r="CH71" s="1"/>
      <c r="CI71" s="1"/>
      <c r="CK71" s="1"/>
      <c r="CM71" s="2"/>
      <c r="CN71" s="1"/>
      <c r="CO71" s="1"/>
      <c r="ED71" s="1"/>
      <c r="EL71" s="1"/>
      <c r="EM71" s="1"/>
      <c r="EN71" s="1"/>
      <c r="EQ71" s="1"/>
      <c r="ER71" s="1"/>
      <c r="ES71" s="1"/>
      <c r="EV71" s="1"/>
      <c r="EW71" s="1"/>
      <c r="EX71" s="1"/>
      <c r="EZ71" s="1"/>
      <c r="FA71" s="1"/>
      <c r="FD71" s="1"/>
      <c r="FG71" s="1"/>
      <c r="FH71" s="1"/>
      <c r="FJ71" s="1"/>
      <c r="FM71" s="1"/>
      <c r="FN71" s="1"/>
      <c r="FO71" s="1"/>
      <c r="FP71" s="1"/>
      <c r="FQ71" s="1"/>
      <c r="FR71" s="1"/>
      <c r="FS71" s="1"/>
      <c r="FT71" s="1"/>
      <c r="FU71" s="1"/>
      <c r="FV71" s="1"/>
      <c r="FW71" s="1"/>
      <c r="FX71" s="1"/>
      <c r="FY71" s="1"/>
      <c r="FZ71" s="1"/>
      <c r="GA71" s="1"/>
      <c r="GB71" s="1"/>
      <c r="GD71" s="1"/>
      <c r="GE71" s="1"/>
      <c r="GF71" s="1"/>
      <c r="GG71" s="1"/>
      <c r="GH71" s="1"/>
      <c r="GI71" s="1"/>
      <c r="GJ71" s="1"/>
      <c r="GK71" s="1"/>
      <c r="GL71" s="1"/>
      <c r="GM71" s="1"/>
      <c r="GN71" s="1"/>
      <c r="GP71" s="1"/>
      <c r="GR71" s="1"/>
      <c r="GS71" s="1"/>
      <c r="GY71" s="1"/>
      <c r="HF71" s="1"/>
      <c r="HQ71" s="1"/>
      <c r="HY71" s="1"/>
      <c r="IR71" s="1"/>
      <c r="IS71" s="1"/>
      <c r="IZ71" s="1"/>
      <c r="JJ71" s="1"/>
      <c r="JN71" s="1"/>
      <c r="JP71" s="1"/>
      <c r="JQ71" s="1"/>
      <c r="JT71" s="1"/>
    </row>
    <row r="72" spans="4:339" ht="13" x14ac:dyDescent="0.15">
      <c r="D72" s="12"/>
      <c r="E72" s="12"/>
      <c r="I72" s="12"/>
      <c r="J72" s="13"/>
      <c r="BF72" s="1"/>
      <c r="BG72" s="1"/>
      <c r="BH72" s="1"/>
      <c r="BI72" s="1"/>
      <c r="BJ72" s="1"/>
      <c r="BK72" s="1"/>
      <c r="BL72" s="1"/>
      <c r="BM72" s="1"/>
      <c r="BN72" s="1"/>
      <c r="BO72" s="1"/>
      <c r="BQ72" s="1"/>
      <c r="BR72" s="1"/>
      <c r="CD72" s="1"/>
      <c r="CH72" s="1"/>
      <c r="CI72" s="1"/>
      <c r="CK72" s="1"/>
      <c r="CM72" s="2"/>
      <c r="CN72" s="1"/>
      <c r="CO72" s="1"/>
      <c r="ED72" s="1"/>
      <c r="EL72" s="1"/>
      <c r="EM72" s="1"/>
      <c r="EN72" s="1"/>
      <c r="EQ72" s="1"/>
      <c r="ER72" s="1"/>
      <c r="ES72" s="1"/>
      <c r="EV72" s="1"/>
      <c r="EW72" s="1"/>
      <c r="EX72" s="1"/>
      <c r="EZ72" s="1"/>
      <c r="FA72" s="1"/>
      <c r="FD72" s="1"/>
      <c r="FG72" s="1"/>
      <c r="FH72" s="1"/>
      <c r="FJ72" s="1"/>
      <c r="FM72" s="1"/>
      <c r="FN72" s="1"/>
      <c r="FO72" s="1"/>
      <c r="FP72" s="1"/>
      <c r="FQ72" s="1"/>
      <c r="FR72" s="1"/>
      <c r="FS72" s="1"/>
      <c r="FT72" s="1"/>
      <c r="FU72" s="1"/>
      <c r="FV72" s="1"/>
      <c r="FW72" s="1"/>
      <c r="FX72" s="1"/>
      <c r="FY72" s="1"/>
      <c r="FZ72" s="1"/>
      <c r="GA72" s="1"/>
      <c r="GB72" s="1"/>
      <c r="GD72" s="1"/>
      <c r="GE72" s="1"/>
      <c r="GF72" s="1"/>
      <c r="GG72" s="1"/>
      <c r="GH72" s="1"/>
      <c r="GI72" s="1"/>
      <c r="GJ72" s="1"/>
      <c r="GK72" s="1"/>
      <c r="GL72" s="1"/>
      <c r="GM72" s="1"/>
      <c r="GN72" s="1"/>
      <c r="GP72" s="1"/>
      <c r="GR72" s="1"/>
      <c r="GS72" s="1"/>
      <c r="GY72" s="1"/>
      <c r="HF72" s="1"/>
      <c r="HQ72" s="1"/>
      <c r="HY72" s="1"/>
      <c r="IR72" s="1"/>
      <c r="IS72" s="1"/>
      <c r="IZ72" s="1"/>
      <c r="JJ72" s="1"/>
      <c r="JN72" s="1"/>
      <c r="JP72" s="1"/>
      <c r="JQ72" s="1"/>
      <c r="JT72" s="1"/>
    </row>
    <row r="73" spans="4:339" ht="13" x14ac:dyDescent="0.15">
      <c r="D73" s="12"/>
      <c r="E73" s="12"/>
      <c r="I73" s="12"/>
      <c r="J73" s="13"/>
      <c r="BF73" s="1"/>
      <c r="BG73" s="1"/>
      <c r="BH73" s="1"/>
      <c r="BI73" s="1"/>
      <c r="BJ73" s="1"/>
      <c r="BK73" s="1"/>
      <c r="BL73" s="1"/>
      <c r="BM73" s="1"/>
      <c r="BN73" s="1"/>
      <c r="BO73" s="1"/>
      <c r="BQ73" s="1"/>
      <c r="BR73" s="1"/>
      <c r="CD73" s="1"/>
      <c r="CH73" s="1"/>
      <c r="CI73" s="1"/>
      <c r="CK73" s="1"/>
      <c r="CM73" s="2"/>
      <c r="CN73" s="1"/>
      <c r="CO73" s="1"/>
      <c r="ED73" s="1"/>
      <c r="EL73" s="1"/>
      <c r="EM73" s="1"/>
      <c r="EN73" s="1"/>
      <c r="EQ73" s="1"/>
      <c r="ER73" s="1"/>
      <c r="ES73" s="1"/>
      <c r="EV73" s="1"/>
      <c r="EW73" s="1"/>
      <c r="EX73" s="1"/>
      <c r="EZ73" s="1"/>
      <c r="FA73" s="1"/>
      <c r="FD73" s="1"/>
      <c r="FG73" s="1"/>
      <c r="FH73" s="1"/>
      <c r="FJ73" s="1"/>
      <c r="FM73" s="1"/>
      <c r="FN73" s="1"/>
      <c r="FO73" s="1"/>
      <c r="FP73" s="1"/>
      <c r="FQ73" s="1"/>
      <c r="FR73" s="1"/>
      <c r="FS73" s="1"/>
      <c r="FT73" s="1"/>
      <c r="FU73" s="1"/>
      <c r="FV73" s="1"/>
      <c r="FW73" s="1"/>
      <c r="FX73" s="1"/>
      <c r="FY73" s="1"/>
      <c r="FZ73" s="1"/>
      <c r="GA73" s="1"/>
      <c r="GB73" s="1"/>
      <c r="GD73" s="1"/>
      <c r="GE73" s="1"/>
      <c r="GF73" s="1"/>
      <c r="GG73" s="1"/>
      <c r="GH73" s="1"/>
      <c r="GI73" s="1"/>
      <c r="GJ73" s="1"/>
      <c r="GK73" s="1"/>
      <c r="GL73" s="1"/>
      <c r="GM73" s="1"/>
      <c r="GN73" s="1"/>
      <c r="GP73" s="1"/>
      <c r="GR73" s="1"/>
      <c r="GS73" s="1"/>
      <c r="GY73" s="1"/>
      <c r="HF73" s="1"/>
      <c r="HQ73" s="1"/>
      <c r="HY73" s="1"/>
      <c r="IR73" s="1"/>
      <c r="IS73" s="1"/>
      <c r="IZ73" s="1"/>
      <c r="JJ73" s="1"/>
      <c r="JN73" s="1"/>
      <c r="JP73" s="1"/>
      <c r="JQ73" s="1"/>
      <c r="JT73" s="1"/>
    </row>
    <row r="74" spans="4:339" ht="13" x14ac:dyDescent="0.15">
      <c r="D74" s="12"/>
      <c r="E74" s="12"/>
      <c r="I74" s="12"/>
      <c r="J74" s="13"/>
      <c r="BF74" s="1"/>
      <c r="BG74" s="1"/>
      <c r="BH74" s="1"/>
      <c r="BI74" s="1"/>
      <c r="BJ74" s="1"/>
      <c r="BK74" s="1"/>
      <c r="BL74" s="1"/>
      <c r="BM74" s="1"/>
      <c r="BN74" s="1"/>
      <c r="BO74" s="1"/>
      <c r="BQ74" s="1"/>
      <c r="BR74" s="1"/>
      <c r="CD74" s="1"/>
      <c r="CH74" s="1"/>
      <c r="CI74" s="1"/>
      <c r="CK74" s="1"/>
      <c r="CM74" s="2"/>
      <c r="CN74" s="1"/>
      <c r="CO74" s="1"/>
      <c r="ED74" s="1"/>
      <c r="EL74" s="1"/>
      <c r="EM74" s="1"/>
      <c r="EN74" s="1"/>
      <c r="EQ74" s="1"/>
      <c r="ER74" s="1"/>
      <c r="ES74" s="1"/>
      <c r="EV74" s="1"/>
      <c r="EW74" s="1"/>
      <c r="EX74" s="1"/>
      <c r="EZ74" s="1"/>
      <c r="FA74" s="1"/>
      <c r="FD74" s="1"/>
      <c r="FG74" s="1"/>
      <c r="FH74" s="1"/>
      <c r="FJ74" s="1"/>
      <c r="FM74" s="1"/>
      <c r="FN74" s="1"/>
      <c r="FO74" s="1"/>
      <c r="FP74" s="1"/>
      <c r="FQ74" s="1"/>
      <c r="FR74" s="1"/>
      <c r="FS74" s="1"/>
      <c r="FT74" s="1"/>
      <c r="FU74" s="1"/>
      <c r="FV74" s="1"/>
      <c r="FW74" s="1"/>
      <c r="FX74" s="1"/>
      <c r="FY74" s="1"/>
      <c r="FZ74" s="1"/>
      <c r="GA74" s="1"/>
      <c r="GB74" s="1"/>
      <c r="GD74" s="1"/>
      <c r="GE74" s="1"/>
      <c r="GF74" s="1"/>
      <c r="GG74" s="1"/>
      <c r="GH74" s="1"/>
      <c r="GI74" s="1"/>
      <c r="GJ74" s="1"/>
      <c r="GK74" s="1"/>
      <c r="GL74" s="1"/>
      <c r="GM74" s="1"/>
      <c r="GN74" s="1"/>
      <c r="GP74" s="1"/>
      <c r="GR74" s="1"/>
      <c r="GS74" s="1"/>
      <c r="GY74" s="1"/>
      <c r="HF74" s="1"/>
      <c r="HQ74" s="1"/>
      <c r="HY74" s="1"/>
      <c r="IR74" s="1"/>
      <c r="IS74" s="1"/>
      <c r="IZ74" s="1"/>
      <c r="JJ74" s="1"/>
      <c r="JN74" s="1"/>
      <c r="JP74" s="1"/>
      <c r="JQ74" s="1"/>
      <c r="JT74" s="1"/>
    </row>
    <row r="75" spans="4:339" ht="13" x14ac:dyDescent="0.15">
      <c r="D75" s="12"/>
      <c r="E75" s="12"/>
      <c r="I75" s="12"/>
      <c r="J75" s="13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X75" s="1"/>
      <c r="CD75" s="1"/>
      <c r="CE75" s="1"/>
      <c r="CF75" s="1"/>
      <c r="CH75" s="1"/>
      <c r="CI75" s="1"/>
      <c r="CK75" s="1"/>
      <c r="CM75" s="2"/>
      <c r="CN75" s="1"/>
      <c r="CO75" s="1"/>
      <c r="CP75" s="1"/>
      <c r="CQ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M75" s="1"/>
      <c r="DQ75" s="1"/>
      <c r="DR75" s="1"/>
      <c r="DY75" s="1"/>
      <c r="DZ75" s="1"/>
      <c r="ED75" s="1"/>
      <c r="EF75" s="1"/>
      <c r="EK75" s="1"/>
      <c r="EL75" s="1"/>
      <c r="EM75" s="1"/>
      <c r="EN75" s="1"/>
      <c r="EQ75" s="1"/>
      <c r="ER75" s="1"/>
      <c r="ES75" s="1"/>
      <c r="EV75" s="1"/>
      <c r="EW75" s="1"/>
      <c r="EZ75" s="1"/>
      <c r="FA75" s="1"/>
      <c r="FD75" s="1"/>
      <c r="FJ75" s="1"/>
      <c r="FP75" s="1"/>
      <c r="FS75" s="1"/>
      <c r="FU75" s="1"/>
      <c r="FX75" s="1"/>
      <c r="GA75" s="1"/>
      <c r="GD75" s="1"/>
      <c r="GE75" s="1"/>
      <c r="GF75" s="1"/>
      <c r="GG75" s="1"/>
      <c r="GH75" s="1"/>
      <c r="GI75" s="1"/>
      <c r="GJ75" s="1"/>
      <c r="GM75" s="1"/>
      <c r="GN75" s="1"/>
      <c r="GO75" s="1"/>
      <c r="GP75" s="1"/>
      <c r="GR75" s="1"/>
      <c r="GT75" s="1"/>
      <c r="HF75" s="1"/>
      <c r="HH75" s="1"/>
      <c r="HT75" s="1"/>
      <c r="HY75" s="1"/>
      <c r="IC75" s="1"/>
      <c r="IE75" s="1"/>
      <c r="IS75" s="1"/>
      <c r="IU75" s="1"/>
      <c r="IY75" s="1"/>
      <c r="IZ75" s="1"/>
      <c r="JF75" s="1"/>
      <c r="JG75" s="1"/>
      <c r="JH75" s="1"/>
      <c r="JJ75" s="1"/>
      <c r="JN75" s="1"/>
      <c r="JP75" s="1"/>
      <c r="JQ75" s="1"/>
      <c r="JT75" s="1"/>
      <c r="KY75" s="1"/>
      <c r="KZ75" s="1"/>
      <c r="LA75" s="1"/>
      <c r="LB75" s="1"/>
      <c r="LC75" s="1"/>
      <c r="LD75" s="1"/>
      <c r="LO75" s="1"/>
      <c r="LP75" s="1"/>
      <c r="LZ75" s="1"/>
      <c r="MA75" s="1"/>
    </row>
    <row r="76" spans="4:339" ht="13" x14ac:dyDescent="0.15">
      <c r="D76" s="12"/>
      <c r="E76" s="12"/>
      <c r="I76" s="12"/>
      <c r="J76" s="13"/>
      <c r="BF76" s="1"/>
      <c r="BG76" s="1"/>
      <c r="BH76" s="1"/>
      <c r="BI76" s="1"/>
      <c r="BK76" s="1"/>
      <c r="BL76" s="1"/>
      <c r="BM76" s="1"/>
      <c r="BN76" s="1"/>
      <c r="BO76" s="1"/>
      <c r="BP76" s="1"/>
      <c r="BQ76" s="1"/>
      <c r="BR76" s="1"/>
      <c r="CD76" s="1"/>
      <c r="CE76" s="1"/>
      <c r="CF76" s="1"/>
      <c r="CG76" s="1"/>
      <c r="CH76" s="1"/>
      <c r="CI76" s="1"/>
      <c r="CM76" s="2"/>
      <c r="CN76" s="1"/>
      <c r="CO76" s="1"/>
      <c r="CP76" s="1"/>
      <c r="CQ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M76" s="1"/>
      <c r="DR76" s="1"/>
      <c r="ED76" s="1"/>
      <c r="EF76" s="1"/>
      <c r="EK76" s="1"/>
      <c r="EL76" s="1"/>
      <c r="EM76" s="1"/>
      <c r="EN76" s="1"/>
      <c r="EQ76" s="1"/>
      <c r="ER76" s="1"/>
      <c r="ES76" s="1"/>
      <c r="EV76" s="1"/>
      <c r="EW76" s="1"/>
      <c r="EZ76" s="1"/>
      <c r="FA76" s="1"/>
      <c r="FD76" s="1"/>
      <c r="FH76" s="1"/>
      <c r="FJ76" s="1"/>
      <c r="FL76" s="1"/>
      <c r="FM76" s="1"/>
      <c r="FN76" s="1"/>
      <c r="FO76" s="1"/>
      <c r="FP76" s="1"/>
      <c r="FS76" s="1"/>
      <c r="FT76" s="1"/>
      <c r="FU76" s="1"/>
      <c r="FV76" s="1"/>
      <c r="FW76" s="1"/>
      <c r="FX76" s="1"/>
      <c r="FY76" s="1"/>
      <c r="FZ76" s="1"/>
      <c r="GA76" s="1"/>
      <c r="GD76" s="1"/>
      <c r="GE76" s="1"/>
      <c r="GF76" s="1"/>
      <c r="GG76" s="1"/>
      <c r="GH76" s="1"/>
      <c r="GI76" s="1"/>
      <c r="GJ76" s="1"/>
      <c r="GM76" s="1"/>
      <c r="GN76" s="1"/>
      <c r="GO76" s="1"/>
      <c r="GP76" s="1"/>
      <c r="GR76" s="1"/>
      <c r="GV76" s="1"/>
      <c r="HF76" s="1"/>
      <c r="HH76" s="1"/>
      <c r="HN76" s="1"/>
      <c r="HT76" s="1"/>
      <c r="HY76" s="1"/>
      <c r="IE76" s="1"/>
      <c r="IG76" s="1"/>
      <c r="IR76" s="1"/>
      <c r="IS76" s="1"/>
      <c r="IW76" s="1"/>
      <c r="IY76" s="1"/>
      <c r="IZ76" s="1"/>
      <c r="JA76" s="1"/>
      <c r="JC76" s="1"/>
      <c r="JF76" s="1"/>
      <c r="JG76" s="1"/>
      <c r="JH76" s="1"/>
      <c r="JJ76" s="1"/>
      <c r="JK76" s="1"/>
      <c r="JL76" s="3"/>
      <c r="JM76" s="1"/>
      <c r="JN76" s="1"/>
      <c r="JP76" s="1"/>
      <c r="JQ76" s="1"/>
      <c r="JR76" s="1"/>
      <c r="JT76" s="1"/>
      <c r="JV76" s="1"/>
      <c r="KW76" s="1"/>
      <c r="KY76" s="1"/>
      <c r="KZ76" s="1"/>
      <c r="LA76" s="1"/>
      <c r="LB76" s="1"/>
      <c r="LC76" s="1"/>
      <c r="LD76" s="1"/>
      <c r="LF76" s="1"/>
      <c r="LN76" s="1"/>
      <c r="LO76" s="1"/>
      <c r="LP76" s="1"/>
      <c r="LZ76" s="1"/>
      <c r="MA76" s="1"/>
    </row>
    <row r="77" spans="4:339" ht="13" x14ac:dyDescent="0.15">
      <c r="D77" s="12"/>
      <c r="E77" s="12"/>
      <c r="I77" s="12"/>
      <c r="J77" s="13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CD77" s="1"/>
      <c r="CE77" s="1"/>
      <c r="CF77" s="1"/>
      <c r="CG77" s="1"/>
      <c r="CH77" s="1"/>
      <c r="CI77" s="1"/>
      <c r="CK77" s="1"/>
      <c r="CM77" s="2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M77" s="1"/>
      <c r="DR77" s="1"/>
      <c r="ED77" s="1"/>
      <c r="EE77" s="1"/>
      <c r="EF77" s="1"/>
      <c r="EG77" s="1"/>
      <c r="EH77" s="1"/>
      <c r="EK77" s="1"/>
      <c r="EL77" s="1"/>
      <c r="EM77" s="1"/>
      <c r="EN77" s="1"/>
      <c r="EQ77" s="1"/>
      <c r="ER77" s="1"/>
      <c r="ES77" s="1"/>
      <c r="EV77" s="1"/>
      <c r="EW77" s="1"/>
      <c r="EY77" s="1"/>
      <c r="EZ77" s="1"/>
      <c r="FA77" s="1"/>
      <c r="FD77" s="1"/>
      <c r="FG77" s="1"/>
      <c r="FH77" s="1"/>
      <c r="FI77" s="1"/>
      <c r="FJ77" s="1"/>
      <c r="FL77" s="1"/>
      <c r="FM77" s="1"/>
      <c r="FN77" s="1"/>
      <c r="FO77" s="1"/>
      <c r="FP77" s="1"/>
      <c r="FQ77" s="1"/>
      <c r="FR77" s="1"/>
      <c r="FS77" s="1"/>
      <c r="FT77" s="1"/>
      <c r="FU77" s="1"/>
      <c r="FV77" s="1"/>
      <c r="FW77" s="1"/>
      <c r="FX77" s="1"/>
      <c r="FY77" s="1"/>
      <c r="FZ77" s="1"/>
      <c r="GA77" s="1"/>
      <c r="GB77" s="1"/>
      <c r="GD77" s="1"/>
      <c r="GE77" s="1"/>
      <c r="GF77" s="1"/>
      <c r="GG77" s="1"/>
      <c r="GH77" s="1"/>
      <c r="GI77" s="1"/>
      <c r="GJ77" s="1"/>
      <c r="GK77" s="1"/>
      <c r="GL77" s="1"/>
      <c r="GM77" s="1"/>
      <c r="GN77" s="1"/>
      <c r="GO77" s="1"/>
      <c r="GP77" s="1"/>
      <c r="GR77" s="1"/>
      <c r="GY77" s="1"/>
      <c r="HF77" s="1"/>
      <c r="HH77" s="1"/>
      <c r="HN77" s="1"/>
      <c r="HT77" s="1"/>
      <c r="HY77" s="1"/>
      <c r="IE77" s="1"/>
      <c r="IG77" s="1"/>
      <c r="IJ77" s="1"/>
      <c r="IR77" s="1"/>
      <c r="IS77" s="1"/>
      <c r="IZ77" s="1"/>
      <c r="JF77" s="1"/>
      <c r="JG77" s="1"/>
      <c r="JH77" s="1"/>
      <c r="JJ77" s="1"/>
      <c r="JK77" s="1"/>
      <c r="JL77" s="3"/>
      <c r="JM77" s="1"/>
      <c r="JN77" s="1"/>
      <c r="JP77" s="1"/>
      <c r="JQ77" s="1"/>
      <c r="JR77" s="1"/>
      <c r="KY77" s="1"/>
      <c r="KZ77" s="1"/>
      <c r="LA77" s="1"/>
      <c r="LB77" s="1"/>
      <c r="LC77" s="1"/>
      <c r="LD77" s="1"/>
      <c r="LO77" s="1"/>
      <c r="LP77" s="1"/>
      <c r="LZ77" s="1"/>
      <c r="MA77" s="1"/>
    </row>
    <row r="78" spans="4:339" ht="13" x14ac:dyDescent="0.15">
      <c r="D78" s="12"/>
      <c r="E78" s="12"/>
      <c r="I78" s="12"/>
      <c r="J78" s="13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CD78" s="1"/>
      <c r="CE78" s="1"/>
      <c r="CF78" s="1"/>
      <c r="CG78" s="1"/>
      <c r="CH78" s="1"/>
      <c r="CI78" s="1"/>
      <c r="CK78" s="1"/>
      <c r="CM78" s="2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M78" s="1"/>
      <c r="DR78" s="1"/>
      <c r="ED78" s="1"/>
      <c r="EE78" s="1"/>
      <c r="EF78" s="1"/>
      <c r="EG78" s="1"/>
      <c r="EH78" s="1"/>
      <c r="EK78" s="1"/>
      <c r="EL78" s="1"/>
      <c r="EM78" s="1"/>
      <c r="EN78" s="1"/>
      <c r="EQ78" s="1"/>
      <c r="ER78" s="1"/>
      <c r="ES78" s="1"/>
      <c r="EV78" s="1"/>
      <c r="EW78" s="1"/>
      <c r="EY78" s="1"/>
      <c r="EZ78" s="1"/>
      <c r="FA78" s="1"/>
      <c r="FD78" s="1"/>
      <c r="FG78" s="1"/>
      <c r="FH78" s="1"/>
      <c r="FI78" s="1"/>
      <c r="FJ78" s="1"/>
      <c r="FL78" s="1"/>
      <c r="FM78" s="1"/>
      <c r="FN78" s="1"/>
      <c r="FO78" s="1"/>
      <c r="FP78" s="1"/>
      <c r="FQ78" s="1"/>
      <c r="FR78" s="1"/>
      <c r="FS78" s="1"/>
      <c r="FT78" s="1"/>
      <c r="FU78" s="1"/>
      <c r="FV78" s="1"/>
      <c r="FW78" s="1"/>
      <c r="FX78" s="1"/>
      <c r="FY78" s="1"/>
      <c r="FZ78" s="1"/>
      <c r="GA78" s="1"/>
      <c r="GB78" s="1"/>
      <c r="GD78" s="1"/>
      <c r="GE78" s="1"/>
      <c r="GF78" s="1"/>
      <c r="GG78" s="1"/>
      <c r="GH78" s="1"/>
      <c r="GI78" s="1"/>
      <c r="GJ78" s="1"/>
      <c r="GK78" s="1"/>
      <c r="GL78" s="1"/>
      <c r="GM78" s="1"/>
      <c r="GN78" s="1"/>
      <c r="GO78" s="1"/>
      <c r="GP78" s="1"/>
      <c r="GR78" s="1"/>
      <c r="GY78" s="1"/>
      <c r="HF78" s="1"/>
      <c r="HH78" s="1"/>
      <c r="HN78" s="1"/>
      <c r="HT78" s="1"/>
      <c r="HY78" s="1"/>
      <c r="IE78" s="1"/>
      <c r="IG78" s="1"/>
      <c r="IJ78" s="1"/>
      <c r="IR78" s="1"/>
      <c r="IS78" s="1"/>
      <c r="IZ78" s="1"/>
      <c r="JF78" s="1"/>
      <c r="JG78" s="1"/>
      <c r="JH78" s="1"/>
      <c r="JJ78" s="1"/>
      <c r="JK78" s="1"/>
      <c r="JL78" s="3"/>
      <c r="JM78" s="1"/>
      <c r="JN78" s="1"/>
      <c r="JP78" s="1"/>
      <c r="JQ78" s="1"/>
      <c r="JR78" s="1"/>
      <c r="KY78" s="1"/>
      <c r="KZ78" s="1"/>
      <c r="LA78" s="1"/>
      <c r="LB78" s="1"/>
      <c r="LC78" s="1"/>
      <c r="LD78" s="1"/>
      <c r="LO78" s="1"/>
      <c r="LP78" s="1"/>
      <c r="LZ78" s="1"/>
      <c r="MA78" s="1"/>
    </row>
    <row r="79" spans="4:339" ht="13" x14ac:dyDescent="0.15">
      <c r="D79" s="12"/>
      <c r="E79" s="12"/>
      <c r="I79" s="12"/>
      <c r="J79" s="13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CD79" s="1"/>
      <c r="CE79" s="1"/>
      <c r="CF79" s="1"/>
      <c r="CG79" s="1"/>
      <c r="CH79" s="1"/>
      <c r="CI79" s="1"/>
      <c r="CK79" s="1"/>
      <c r="CM79" s="2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M79" s="1"/>
      <c r="DR79" s="1"/>
      <c r="ED79" s="1"/>
      <c r="EE79" s="1"/>
      <c r="EF79" s="1"/>
      <c r="EG79" s="1"/>
      <c r="EH79" s="1"/>
      <c r="EK79" s="1"/>
      <c r="EL79" s="1"/>
      <c r="EM79" s="1"/>
      <c r="EN79" s="1"/>
      <c r="EQ79" s="1"/>
      <c r="ER79" s="1"/>
      <c r="ES79" s="1"/>
      <c r="EV79" s="1"/>
      <c r="EW79" s="1"/>
      <c r="EY79" s="1"/>
      <c r="EZ79" s="1"/>
      <c r="FA79" s="1"/>
      <c r="FD79" s="1"/>
      <c r="FG79" s="1"/>
      <c r="FH79" s="1"/>
      <c r="FI79" s="1"/>
      <c r="FJ79" s="1"/>
      <c r="FL79" s="1"/>
      <c r="FM79" s="1"/>
      <c r="FN79" s="1"/>
      <c r="FO79" s="1"/>
      <c r="FP79" s="1"/>
      <c r="FQ79" s="1"/>
      <c r="FR79" s="1"/>
      <c r="FS79" s="1"/>
      <c r="FT79" s="1"/>
      <c r="FU79" s="1"/>
      <c r="FV79" s="1"/>
      <c r="FW79" s="1"/>
      <c r="FX79" s="1"/>
      <c r="FY79" s="1"/>
      <c r="FZ79" s="1"/>
      <c r="GA79" s="1"/>
      <c r="GB79" s="1"/>
      <c r="GD79" s="1"/>
      <c r="GE79" s="1"/>
      <c r="GF79" s="1"/>
      <c r="GG79" s="1"/>
      <c r="GH79" s="1"/>
      <c r="GI79" s="1"/>
      <c r="GJ79" s="1"/>
      <c r="GK79" s="1"/>
      <c r="GL79" s="1"/>
      <c r="GM79" s="1"/>
      <c r="GN79" s="1"/>
      <c r="GO79" s="1"/>
      <c r="GP79" s="1"/>
      <c r="GR79" s="1"/>
      <c r="GY79" s="1"/>
      <c r="HF79" s="1"/>
      <c r="HH79" s="1"/>
      <c r="HN79" s="1"/>
      <c r="HT79" s="1"/>
      <c r="HY79" s="1"/>
      <c r="IE79" s="1"/>
      <c r="IG79" s="1"/>
      <c r="IJ79" s="1"/>
      <c r="IR79" s="1"/>
      <c r="IS79" s="1"/>
      <c r="IZ79" s="1"/>
      <c r="JF79" s="1"/>
      <c r="JG79" s="1"/>
      <c r="JH79" s="1"/>
      <c r="JJ79" s="1"/>
      <c r="JK79" s="1"/>
      <c r="JL79" s="3"/>
      <c r="JM79" s="1"/>
      <c r="JN79" s="1"/>
      <c r="JP79" s="1"/>
      <c r="JQ79" s="1"/>
      <c r="JR79" s="1"/>
      <c r="KY79" s="1"/>
      <c r="KZ79" s="1"/>
      <c r="LA79" s="1"/>
      <c r="LB79" s="1"/>
      <c r="LC79" s="1"/>
      <c r="LD79" s="1"/>
      <c r="LO79" s="1"/>
      <c r="LP79" s="1"/>
      <c r="LZ79" s="1"/>
      <c r="MA79" s="1"/>
    </row>
    <row r="80" spans="4:339" ht="13" x14ac:dyDescent="0.15">
      <c r="D80" s="12"/>
      <c r="E80" s="12"/>
      <c r="I80" s="12"/>
      <c r="J80" s="13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CD80" s="1"/>
      <c r="CE80" s="1"/>
      <c r="CF80" s="1"/>
      <c r="CG80" s="1"/>
      <c r="CH80" s="1"/>
      <c r="CI80" s="1"/>
      <c r="CK80" s="1"/>
      <c r="CM80" s="2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M80" s="1"/>
      <c r="DR80" s="1"/>
      <c r="ED80" s="1"/>
      <c r="EE80" s="1"/>
      <c r="EF80" s="1"/>
      <c r="EG80" s="1"/>
      <c r="EH80" s="1"/>
      <c r="EK80" s="1"/>
      <c r="EL80" s="1"/>
      <c r="EM80" s="1"/>
      <c r="EN80" s="1"/>
      <c r="EQ80" s="1"/>
      <c r="ER80" s="1"/>
      <c r="ES80" s="1"/>
      <c r="EV80" s="1"/>
      <c r="EW80" s="1"/>
      <c r="EY80" s="1"/>
      <c r="EZ80" s="1"/>
      <c r="FA80" s="1"/>
      <c r="FD80" s="1"/>
      <c r="FG80" s="1"/>
      <c r="FH80" s="1"/>
      <c r="FI80" s="1"/>
      <c r="FJ80" s="1"/>
      <c r="FL80" s="1"/>
      <c r="FM80" s="1"/>
      <c r="FN80" s="1"/>
      <c r="FO80" s="1"/>
      <c r="FP80" s="1"/>
      <c r="FQ80" s="1"/>
      <c r="FR80" s="1"/>
      <c r="FS80" s="1"/>
      <c r="FT80" s="1"/>
      <c r="FU80" s="1"/>
      <c r="FV80" s="1"/>
      <c r="FW80" s="1"/>
      <c r="FX80" s="1"/>
      <c r="FY80" s="1"/>
      <c r="FZ80" s="1"/>
      <c r="GA80" s="1"/>
      <c r="GB80" s="1"/>
      <c r="GD80" s="1"/>
      <c r="GE80" s="1"/>
      <c r="GF80" s="1"/>
      <c r="GG80" s="1"/>
      <c r="GH80" s="1"/>
      <c r="GI80" s="1"/>
      <c r="GJ80" s="1"/>
      <c r="GK80" s="1"/>
      <c r="GL80" s="1"/>
      <c r="GM80" s="1"/>
      <c r="GN80" s="1"/>
      <c r="GO80" s="1"/>
      <c r="GP80" s="1"/>
      <c r="GR80" s="1"/>
      <c r="GY80" s="1"/>
      <c r="HF80" s="1"/>
      <c r="HH80" s="1"/>
      <c r="HN80" s="1"/>
      <c r="HT80" s="1"/>
      <c r="HY80" s="1"/>
      <c r="IE80" s="1"/>
      <c r="IG80" s="1"/>
      <c r="IJ80" s="1"/>
      <c r="IR80" s="1"/>
      <c r="IS80" s="1"/>
      <c r="IZ80" s="1"/>
      <c r="JF80" s="1"/>
      <c r="JG80" s="1"/>
      <c r="JH80" s="1"/>
      <c r="JJ80" s="1"/>
      <c r="JK80" s="1"/>
      <c r="JL80" s="3"/>
      <c r="JM80" s="1"/>
      <c r="JN80" s="1"/>
      <c r="JP80" s="1"/>
      <c r="JQ80" s="1"/>
      <c r="JR80" s="1"/>
      <c r="KY80" s="1"/>
      <c r="KZ80" s="1"/>
      <c r="LA80" s="1"/>
      <c r="LB80" s="1"/>
      <c r="LC80" s="1"/>
      <c r="LD80" s="1"/>
      <c r="LO80" s="1"/>
      <c r="LP80" s="1"/>
      <c r="LZ80" s="1"/>
      <c r="MA80" s="1"/>
    </row>
    <row r="81" spans="4:339" ht="13" x14ac:dyDescent="0.15">
      <c r="D81" s="12"/>
      <c r="E81" s="12"/>
      <c r="I81" s="12"/>
      <c r="J81" s="13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CD81" s="1"/>
      <c r="CE81" s="1"/>
      <c r="CF81" s="1"/>
      <c r="CG81" s="1"/>
      <c r="CH81" s="1"/>
      <c r="CI81" s="1"/>
      <c r="CM81" s="2"/>
      <c r="CN81" s="1"/>
      <c r="CO81" s="1"/>
      <c r="CP81" s="1"/>
      <c r="CQ81" s="1"/>
      <c r="CS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M81" s="1"/>
      <c r="DQ81" s="1"/>
      <c r="DR81" s="1"/>
      <c r="DY81" s="1"/>
      <c r="DZ81" s="1"/>
      <c r="ED81" s="1"/>
      <c r="EF81" s="1"/>
      <c r="EK81" s="1"/>
      <c r="EL81" s="1"/>
      <c r="EM81" s="1"/>
      <c r="EN81" s="1"/>
      <c r="EQ81" s="1"/>
      <c r="ER81" s="1"/>
      <c r="ES81" s="1"/>
      <c r="EV81" s="1"/>
      <c r="EW81" s="1"/>
      <c r="EZ81" s="1"/>
      <c r="FA81" s="1"/>
      <c r="FD81" s="1"/>
      <c r="FG81" s="1"/>
      <c r="FH81" s="1"/>
      <c r="FI81" s="1"/>
      <c r="FJ81" s="1"/>
      <c r="FK81" s="1"/>
      <c r="FL81" s="1"/>
      <c r="FM81" s="1"/>
      <c r="FN81" s="1"/>
      <c r="FO81" s="1"/>
      <c r="FP81" s="1"/>
      <c r="FQ81" s="1"/>
      <c r="FR81" s="1"/>
      <c r="FS81" s="1"/>
      <c r="FT81" s="1"/>
      <c r="FU81" s="1"/>
      <c r="FV81" s="1"/>
      <c r="FW81" s="1"/>
      <c r="FX81" s="1"/>
      <c r="FY81" s="1"/>
      <c r="FZ81" s="1"/>
      <c r="GA81" s="1"/>
      <c r="GB81" s="1"/>
      <c r="GD81" s="1"/>
      <c r="GE81" s="1"/>
      <c r="GF81" s="1"/>
      <c r="GG81" s="1"/>
      <c r="GH81" s="1"/>
      <c r="GI81" s="1"/>
      <c r="GJ81" s="1"/>
      <c r="GK81" s="1"/>
      <c r="GL81" s="1"/>
      <c r="GM81" s="1"/>
      <c r="GN81" s="1"/>
      <c r="GO81" s="1"/>
      <c r="GP81" s="1"/>
      <c r="GR81" s="1"/>
      <c r="GY81" s="1"/>
      <c r="HF81" s="1"/>
      <c r="HH81" s="1"/>
      <c r="HQ81" s="1"/>
      <c r="HR81" s="1"/>
      <c r="HS81" s="1"/>
      <c r="HT81" s="1"/>
      <c r="HY81" s="1"/>
      <c r="IC81" s="1"/>
      <c r="ID81" s="1"/>
      <c r="IE81" s="1"/>
      <c r="IR81" s="1"/>
      <c r="IS81" s="1"/>
      <c r="IZ81" s="1"/>
      <c r="JC81" s="1"/>
      <c r="JF81" s="1"/>
      <c r="JG81" s="1"/>
      <c r="JH81" s="1"/>
      <c r="JJ81" s="1"/>
      <c r="JN81" s="1"/>
      <c r="JP81" s="1"/>
      <c r="JQ81" s="1"/>
      <c r="JT81" s="1"/>
      <c r="KU81" s="1"/>
      <c r="KY81" s="1"/>
      <c r="KZ81" s="1"/>
      <c r="LA81" s="1"/>
      <c r="LB81" s="1"/>
      <c r="LC81" s="1"/>
      <c r="LD81" s="1"/>
      <c r="LN81" s="1"/>
      <c r="LO81" s="1"/>
      <c r="LP81" s="1"/>
      <c r="LZ81" s="1"/>
      <c r="MA81" s="1"/>
    </row>
    <row r="82" spans="4:339" ht="13" x14ac:dyDescent="0.15">
      <c r="D82" s="12"/>
      <c r="E82" s="12"/>
      <c r="I82" s="12"/>
      <c r="J82" s="13"/>
      <c r="BF82" s="1"/>
      <c r="BG82" s="1"/>
      <c r="BH82" s="1"/>
      <c r="BI82" s="1"/>
      <c r="BK82" s="1"/>
      <c r="BL82" s="1"/>
      <c r="BM82" s="1"/>
      <c r="BN82" s="1"/>
      <c r="BO82" s="1"/>
      <c r="BP82" s="1"/>
      <c r="BQ82" s="1"/>
      <c r="BR82" s="1"/>
      <c r="CD82" s="1"/>
      <c r="CE82" s="1"/>
      <c r="CF82" s="1"/>
      <c r="CG82" s="1"/>
      <c r="CH82" s="1"/>
      <c r="CI82" s="1"/>
      <c r="CM82" s="2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M82" s="1"/>
      <c r="DR82" s="1"/>
      <c r="ED82" s="1"/>
      <c r="EE82" s="1"/>
      <c r="EF82" s="1"/>
      <c r="EG82" s="1"/>
      <c r="EH82" s="1"/>
      <c r="EK82" s="1"/>
      <c r="EL82" s="1"/>
      <c r="EM82" s="1"/>
      <c r="EN82" s="1"/>
      <c r="EQ82" s="1"/>
      <c r="ER82" s="1"/>
      <c r="ES82" s="1"/>
      <c r="EV82" s="1"/>
      <c r="EW82" s="1"/>
      <c r="EY82" s="1"/>
      <c r="EZ82" s="1"/>
      <c r="FA82" s="1"/>
      <c r="FD82" s="1"/>
      <c r="FG82" s="1"/>
      <c r="FH82" s="1"/>
      <c r="FI82" s="1"/>
      <c r="FJ82" s="1"/>
      <c r="FK82" s="1"/>
      <c r="FM82" s="1"/>
      <c r="FN82" s="1"/>
      <c r="FO82" s="1"/>
      <c r="FP82" s="1"/>
      <c r="FQ82" s="1"/>
      <c r="FR82" s="1"/>
      <c r="FS82" s="1"/>
      <c r="FT82" s="1"/>
      <c r="FU82" s="1"/>
      <c r="FV82" s="1"/>
      <c r="FW82" s="1"/>
      <c r="FX82" s="1"/>
      <c r="FY82" s="1"/>
      <c r="FZ82" s="1"/>
      <c r="GA82" s="1"/>
      <c r="GD82" s="1"/>
      <c r="GE82" s="1"/>
      <c r="GF82" s="1"/>
      <c r="GG82" s="1"/>
      <c r="GH82" s="1"/>
      <c r="GI82" s="1"/>
      <c r="GJ82" s="1"/>
      <c r="GK82" s="1"/>
      <c r="GL82" s="1"/>
      <c r="GM82" s="1"/>
      <c r="GN82" s="1"/>
      <c r="GP82" s="1"/>
      <c r="GR82" s="1"/>
      <c r="GY82" s="1"/>
      <c r="HF82" s="1"/>
      <c r="HH82" s="1"/>
      <c r="HY82" s="1"/>
      <c r="IE82" s="1"/>
      <c r="IG82" s="1"/>
      <c r="IJ82" s="1"/>
      <c r="IR82" s="1"/>
      <c r="IS82" s="1"/>
      <c r="IW82" s="1"/>
      <c r="IX82" s="1"/>
      <c r="IZ82" s="1"/>
      <c r="JB82" s="1"/>
      <c r="JC82" s="1"/>
      <c r="JF82" s="1"/>
      <c r="JG82" s="1"/>
      <c r="JJ82" s="1"/>
      <c r="JK82" s="1"/>
      <c r="JL82" s="3"/>
      <c r="JM82" s="1"/>
      <c r="JN82" s="1"/>
      <c r="JP82" s="1"/>
      <c r="JQ82" s="1"/>
      <c r="JR82" s="1"/>
      <c r="JT82" s="1"/>
      <c r="KU82" s="1"/>
      <c r="KW82" s="1"/>
      <c r="KY82" s="1"/>
      <c r="KZ82" s="1"/>
      <c r="LA82" s="1"/>
      <c r="LB82" s="1"/>
      <c r="LC82" s="1"/>
      <c r="LD82" s="1"/>
      <c r="LG82" s="1"/>
      <c r="LH82" s="5"/>
      <c r="LK82" s="1"/>
      <c r="LL82" s="1"/>
      <c r="LO82" s="1"/>
      <c r="LP82" s="1"/>
      <c r="LZ82" s="1"/>
      <c r="MA82" s="1"/>
    </row>
    <row r="83" spans="4:339" ht="13" x14ac:dyDescent="0.15">
      <c r="D83" s="12"/>
      <c r="E83" s="12"/>
      <c r="I83" s="12"/>
      <c r="J83" s="13"/>
      <c r="BF83" s="1"/>
      <c r="BG83" s="1"/>
      <c r="BH83" s="1"/>
      <c r="BI83" s="1"/>
      <c r="BK83" s="1"/>
      <c r="BL83" s="1"/>
      <c r="BM83" s="1"/>
      <c r="BN83" s="1"/>
      <c r="BO83" s="1"/>
      <c r="BP83" s="1"/>
      <c r="BQ83" s="1"/>
      <c r="BR83" s="1"/>
      <c r="CD83" s="1"/>
      <c r="CE83" s="1"/>
      <c r="CF83" s="1"/>
      <c r="CG83" s="1"/>
      <c r="CH83" s="1"/>
      <c r="CI83" s="1"/>
      <c r="CM83" s="2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M83" s="1"/>
      <c r="DR83" s="1"/>
      <c r="ED83" s="1"/>
      <c r="EE83" s="1"/>
      <c r="EF83" s="1"/>
      <c r="EG83" s="1"/>
      <c r="EH83" s="1"/>
      <c r="EK83" s="1"/>
      <c r="EL83" s="1"/>
      <c r="EM83" s="1"/>
      <c r="EN83" s="1"/>
      <c r="EQ83" s="1"/>
      <c r="ER83" s="1"/>
      <c r="ES83" s="1"/>
      <c r="EV83" s="1"/>
      <c r="EW83" s="1"/>
      <c r="EY83" s="1"/>
      <c r="EZ83" s="1"/>
      <c r="FA83" s="1"/>
      <c r="FD83" s="1"/>
      <c r="FG83" s="1"/>
      <c r="FH83" s="1"/>
      <c r="FI83" s="1"/>
      <c r="FJ83" s="1"/>
      <c r="FK83" s="1"/>
      <c r="FM83" s="1"/>
      <c r="FN83" s="1"/>
      <c r="FO83" s="1"/>
      <c r="FP83" s="1"/>
      <c r="FQ83" s="1"/>
      <c r="FR83" s="1"/>
      <c r="FS83" s="1"/>
      <c r="FT83" s="1"/>
      <c r="FU83" s="1"/>
      <c r="FV83" s="1"/>
      <c r="FW83" s="1"/>
      <c r="FX83" s="1"/>
      <c r="FY83" s="1"/>
      <c r="FZ83" s="1"/>
      <c r="GA83" s="1"/>
      <c r="GD83" s="1"/>
      <c r="GE83" s="1"/>
      <c r="GF83" s="1"/>
      <c r="GG83" s="1"/>
      <c r="GH83" s="1"/>
      <c r="GI83" s="1"/>
      <c r="GJ83" s="1"/>
      <c r="GK83" s="1"/>
      <c r="GL83" s="1"/>
      <c r="GM83" s="1"/>
      <c r="GN83" s="1"/>
      <c r="GP83" s="1"/>
      <c r="GR83" s="1"/>
      <c r="GY83" s="1"/>
      <c r="HF83" s="1"/>
      <c r="HH83" s="1"/>
      <c r="HY83" s="1"/>
      <c r="IE83" s="1"/>
      <c r="IG83" s="1"/>
      <c r="IJ83" s="1"/>
      <c r="IR83" s="1"/>
      <c r="IS83" s="1"/>
      <c r="IW83" s="1"/>
      <c r="IX83" s="1"/>
      <c r="IZ83" s="1"/>
      <c r="JB83" s="1"/>
      <c r="JC83" s="1"/>
      <c r="JF83" s="1"/>
      <c r="JG83" s="1"/>
      <c r="JJ83" s="1"/>
      <c r="JK83" s="1"/>
      <c r="JL83" s="3"/>
      <c r="JM83" s="1"/>
      <c r="JN83" s="1"/>
      <c r="JP83" s="1"/>
      <c r="JQ83" s="1"/>
      <c r="JR83" s="1"/>
      <c r="JT83" s="1"/>
      <c r="KU83" s="1"/>
      <c r="KW83" s="1"/>
      <c r="KY83" s="1"/>
      <c r="KZ83" s="1"/>
      <c r="LA83" s="1"/>
      <c r="LB83" s="1"/>
      <c r="LC83" s="1"/>
      <c r="LD83" s="1"/>
      <c r="LG83" s="1"/>
      <c r="LH83" s="5"/>
      <c r="LK83" s="1"/>
      <c r="LL83" s="1"/>
      <c r="LO83" s="1"/>
      <c r="LP83" s="1"/>
      <c r="LZ83" s="1"/>
      <c r="MA83" s="1"/>
    </row>
    <row r="84" spans="4:339" ht="13" x14ac:dyDescent="0.15">
      <c r="D84" s="12"/>
      <c r="E84" s="12"/>
      <c r="I84" s="12"/>
      <c r="J84" s="13"/>
      <c r="BF84" s="1"/>
      <c r="BG84" s="1"/>
      <c r="BH84" s="1"/>
      <c r="BI84" s="1"/>
      <c r="BK84" s="1"/>
      <c r="BL84" s="1"/>
      <c r="BM84" s="1"/>
      <c r="BN84" s="1"/>
      <c r="BO84" s="1"/>
      <c r="BP84" s="1"/>
      <c r="BQ84" s="1"/>
      <c r="BR84" s="1"/>
      <c r="CD84" s="1"/>
      <c r="CE84" s="1"/>
      <c r="CF84" s="1"/>
      <c r="CG84" s="1"/>
      <c r="CH84" s="1"/>
      <c r="CI84" s="1"/>
      <c r="CM84" s="2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M84" s="1"/>
      <c r="DR84" s="1"/>
      <c r="ED84" s="1"/>
      <c r="EE84" s="1"/>
      <c r="EF84" s="1"/>
      <c r="EG84" s="1"/>
      <c r="EH84" s="1"/>
      <c r="EK84" s="1"/>
      <c r="EL84" s="1"/>
      <c r="EM84" s="1"/>
      <c r="EN84" s="1"/>
      <c r="EQ84" s="1"/>
      <c r="ER84" s="1"/>
      <c r="ES84" s="1"/>
      <c r="EV84" s="1"/>
      <c r="EW84" s="1"/>
      <c r="EY84" s="1"/>
      <c r="EZ84" s="1"/>
      <c r="FA84" s="1"/>
      <c r="FD84" s="1"/>
      <c r="FG84" s="1"/>
      <c r="FH84" s="1"/>
      <c r="FI84" s="1"/>
      <c r="FJ84" s="1"/>
      <c r="FK84" s="1"/>
      <c r="FM84" s="1"/>
      <c r="FN84" s="1"/>
      <c r="FO84" s="1"/>
      <c r="FP84" s="1"/>
      <c r="FQ84" s="1"/>
      <c r="FR84" s="1"/>
      <c r="FS84" s="1"/>
      <c r="FT84" s="1"/>
      <c r="FU84" s="1"/>
      <c r="FV84" s="1"/>
      <c r="FW84" s="1"/>
      <c r="FX84" s="1"/>
      <c r="FY84" s="1"/>
      <c r="FZ84" s="1"/>
      <c r="GA84" s="1"/>
      <c r="GD84" s="1"/>
      <c r="GE84" s="1"/>
      <c r="GF84" s="1"/>
      <c r="GG84" s="1"/>
      <c r="GH84" s="1"/>
      <c r="GI84" s="1"/>
      <c r="GJ84" s="1"/>
      <c r="GK84" s="1"/>
      <c r="GL84" s="1"/>
      <c r="GM84" s="1"/>
      <c r="GN84" s="1"/>
      <c r="GP84" s="1"/>
      <c r="GR84" s="1"/>
      <c r="GY84" s="1"/>
      <c r="HF84" s="1"/>
      <c r="HH84" s="1"/>
      <c r="HY84" s="1"/>
      <c r="IE84" s="1"/>
      <c r="IG84" s="1"/>
      <c r="IJ84" s="1"/>
      <c r="IR84" s="1"/>
      <c r="IS84" s="1"/>
      <c r="IW84" s="1"/>
      <c r="IX84" s="1"/>
      <c r="IZ84" s="1"/>
      <c r="JB84" s="1"/>
      <c r="JC84" s="1"/>
      <c r="JF84" s="1"/>
      <c r="JG84" s="1"/>
      <c r="JJ84" s="1"/>
      <c r="JK84" s="1"/>
      <c r="JL84" s="3"/>
      <c r="JM84" s="1"/>
      <c r="JN84" s="1"/>
      <c r="JP84" s="1"/>
      <c r="JQ84" s="1"/>
      <c r="JR84" s="1"/>
      <c r="JT84" s="1"/>
      <c r="KU84" s="1"/>
      <c r="KW84" s="1"/>
      <c r="KY84" s="1"/>
      <c r="KZ84" s="1"/>
      <c r="LA84" s="1"/>
      <c r="LB84" s="1"/>
      <c r="LC84" s="1"/>
      <c r="LD84" s="1"/>
      <c r="LG84" s="1"/>
      <c r="LH84" s="5"/>
      <c r="LK84" s="1"/>
      <c r="LL84" s="1"/>
      <c r="LO84" s="1"/>
      <c r="LP84" s="1"/>
      <c r="LZ84" s="1"/>
      <c r="MA84" s="1"/>
    </row>
    <row r="85" spans="4:339" ht="13" x14ac:dyDescent="0.15">
      <c r="D85" s="12"/>
      <c r="E85" s="12"/>
      <c r="I85" s="12"/>
      <c r="J85" s="13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CD85" s="1"/>
      <c r="CE85" s="1"/>
      <c r="CF85" s="1"/>
      <c r="CG85" s="1"/>
      <c r="CH85" s="1"/>
      <c r="CI85" s="1"/>
      <c r="CM85" s="2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M85" s="1"/>
      <c r="DQ85" s="1"/>
      <c r="DR85" s="1"/>
      <c r="DY85" s="1"/>
      <c r="DZ85" s="1"/>
      <c r="ED85" s="1"/>
      <c r="EK85" s="1"/>
      <c r="EL85" s="1"/>
      <c r="EM85" s="1"/>
      <c r="EN85" s="1"/>
      <c r="EQ85" s="1"/>
      <c r="ER85" s="1"/>
      <c r="ES85" s="1"/>
      <c r="EV85" s="1"/>
      <c r="EW85" s="1"/>
      <c r="EZ85" s="1"/>
      <c r="FA85" s="1"/>
      <c r="FD85" s="1"/>
      <c r="GD85" s="1"/>
      <c r="GE85" s="1"/>
      <c r="GF85" s="1"/>
      <c r="GG85" s="1"/>
      <c r="GH85" s="1"/>
      <c r="GI85" s="1"/>
      <c r="GO85" s="1"/>
      <c r="GP85" s="1"/>
      <c r="GV85" s="1"/>
      <c r="HF85" s="1"/>
      <c r="HH85" s="1"/>
      <c r="HT85" s="1"/>
      <c r="HY85" s="1"/>
      <c r="IC85" s="1"/>
      <c r="ID85" s="1"/>
      <c r="IE85" s="1"/>
      <c r="IR85" s="1"/>
      <c r="IS85" s="1"/>
      <c r="IW85" s="1"/>
      <c r="IZ85" s="1"/>
      <c r="JA85" s="1"/>
      <c r="JF85" s="1"/>
      <c r="JG85" s="1"/>
      <c r="JH85" s="1"/>
      <c r="JI85" s="1"/>
      <c r="JJ85" s="1"/>
      <c r="JN85" s="1"/>
      <c r="JP85" s="1"/>
      <c r="JQ85" s="1"/>
      <c r="KU85" s="1"/>
      <c r="KY85" s="1"/>
      <c r="KZ85" s="1"/>
      <c r="LA85" s="1"/>
      <c r="LB85" s="1"/>
      <c r="LC85" s="1"/>
      <c r="LD85" s="1"/>
      <c r="LO85" s="1"/>
      <c r="LP85" s="1"/>
      <c r="LZ85" s="1"/>
      <c r="MA85" s="1"/>
    </row>
    <row r="86" spans="4:339" ht="13" x14ac:dyDescent="0.15">
      <c r="D86" s="12"/>
      <c r="E86" s="12"/>
      <c r="I86" s="12"/>
      <c r="J86" s="13"/>
      <c r="BF86" s="1"/>
      <c r="BG86" s="1"/>
      <c r="BH86" s="1"/>
      <c r="BI86" s="1"/>
      <c r="BJ86" s="1"/>
      <c r="BK86" s="1"/>
      <c r="BL86" s="1"/>
      <c r="BM86" s="1"/>
      <c r="BN86" s="1"/>
      <c r="BP86" s="1"/>
      <c r="BQ86" s="1"/>
      <c r="BR86" s="1"/>
      <c r="CD86" s="1"/>
      <c r="CG86" s="1"/>
      <c r="CH86" s="1"/>
      <c r="CI86" s="1"/>
      <c r="CK86" s="1"/>
      <c r="CM86" s="2"/>
      <c r="CN86" s="1"/>
      <c r="CO86" s="1"/>
      <c r="CP86" s="1"/>
      <c r="CQ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M86" s="1"/>
      <c r="DQ86" s="1"/>
      <c r="DR86" s="1"/>
      <c r="DY86" s="1"/>
      <c r="DZ86" s="1"/>
      <c r="ED86" s="1"/>
      <c r="EF86" s="1"/>
      <c r="EK86" s="1"/>
      <c r="EL86" s="1"/>
      <c r="EM86" s="1"/>
      <c r="EN86" s="1"/>
      <c r="EQ86" s="1"/>
      <c r="ER86" s="1"/>
      <c r="ES86" s="1"/>
      <c r="EV86" s="1"/>
      <c r="EW86" s="1"/>
      <c r="EZ86" s="1"/>
      <c r="FA86" s="1"/>
      <c r="FD86" s="1"/>
      <c r="FG86" s="1"/>
      <c r="FH86" s="1"/>
      <c r="FJ86" s="1"/>
      <c r="FL86" s="1"/>
      <c r="FP86" s="1"/>
      <c r="FS86" s="1"/>
      <c r="FV86" s="1"/>
      <c r="FW86" s="1"/>
      <c r="FX86" s="1"/>
      <c r="FZ86" s="1"/>
      <c r="GA86" s="1"/>
      <c r="GD86" s="1"/>
      <c r="GE86" s="1"/>
      <c r="GF86" s="1"/>
      <c r="GG86" s="1"/>
      <c r="GH86" s="1"/>
      <c r="GI86" s="1"/>
      <c r="GJ86" s="1"/>
      <c r="GL86" s="1"/>
      <c r="GM86" s="1"/>
      <c r="GN86" s="1"/>
      <c r="GO86" s="1"/>
      <c r="GP86" s="1"/>
      <c r="GS86" s="1"/>
      <c r="GY86" s="1"/>
      <c r="HF86" s="1"/>
      <c r="HH86" s="1"/>
      <c r="HY86" s="1"/>
      <c r="IE86" s="1"/>
      <c r="IG86" s="1"/>
      <c r="IH86" s="1"/>
      <c r="IJ86" s="1"/>
      <c r="IS86" s="1"/>
      <c r="IW86" s="1"/>
      <c r="IX86" s="1"/>
      <c r="IY86" s="1"/>
      <c r="IZ86" s="1"/>
      <c r="JB86" s="1"/>
      <c r="JC86" s="1"/>
      <c r="JF86" s="1"/>
      <c r="JG86" s="1"/>
      <c r="JJ86" s="1"/>
      <c r="JK86" s="1"/>
      <c r="JL86" s="3"/>
      <c r="JM86" s="1"/>
      <c r="JP86" s="1"/>
      <c r="JQ86" s="1"/>
      <c r="JR86" s="1"/>
      <c r="KY86" s="1"/>
      <c r="KZ86" s="1"/>
      <c r="LA86" s="1"/>
      <c r="LB86" s="1"/>
      <c r="LC86" s="1"/>
      <c r="LD86" s="1"/>
      <c r="LO86" s="1"/>
      <c r="LP86" s="1"/>
      <c r="LZ86" s="1"/>
      <c r="MA86" s="1"/>
    </row>
    <row r="87" spans="4:339" ht="13" x14ac:dyDescent="0.15">
      <c r="D87" s="12"/>
      <c r="E87" s="12"/>
      <c r="I87" s="12"/>
      <c r="J87" s="13"/>
      <c r="BF87" s="1"/>
      <c r="BG87" s="1"/>
      <c r="BH87" s="1"/>
      <c r="BI87" s="1"/>
      <c r="BJ87" s="1"/>
      <c r="BK87" s="1"/>
      <c r="BL87" s="1"/>
      <c r="BM87" s="1"/>
      <c r="BN87" s="1"/>
      <c r="BP87" s="1"/>
      <c r="BQ87" s="1"/>
      <c r="BR87" s="1"/>
      <c r="CD87" s="1"/>
      <c r="CG87" s="1"/>
      <c r="CH87" s="1"/>
      <c r="CI87" s="1"/>
      <c r="CK87" s="1"/>
      <c r="CM87" s="2"/>
      <c r="CN87" s="1"/>
      <c r="CO87" s="1"/>
      <c r="CP87" s="1"/>
      <c r="CQ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M87" s="1"/>
      <c r="DQ87" s="1"/>
      <c r="DR87" s="1"/>
      <c r="DY87" s="1"/>
      <c r="DZ87" s="1"/>
      <c r="ED87" s="1"/>
      <c r="EF87" s="1"/>
      <c r="EK87" s="1"/>
      <c r="EL87" s="1"/>
      <c r="EM87" s="1"/>
      <c r="EN87" s="1"/>
      <c r="EQ87" s="1"/>
      <c r="ER87" s="1"/>
      <c r="ES87" s="1"/>
      <c r="EV87" s="1"/>
      <c r="EW87" s="1"/>
      <c r="EZ87" s="1"/>
      <c r="FA87" s="1"/>
      <c r="FD87" s="1"/>
      <c r="FG87" s="1"/>
      <c r="FH87" s="1"/>
      <c r="FJ87" s="1"/>
      <c r="FL87" s="1"/>
      <c r="FP87" s="1"/>
      <c r="FS87" s="1"/>
      <c r="FV87" s="1"/>
      <c r="FW87" s="1"/>
      <c r="FX87" s="1"/>
      <c r="FZ87" s="1"/>
      <c r="GA87" s="1"/>
      <c r="GD87" s="1"/>
      <c r="GE87" s="1"/>
      <c r="GF87" s="1"/>
      <c r="GG87" s="1"/>
      <c r="GH87" s="1"/>
      <c r="GI87" s="1"/>
      <c r="GJ87" s="1"/>
      <c r="GL87" s="1"/>
      <c r="GM87" s="1"/>
      <c r="GN87" s="1"/>
      <c r="GO87" s="1"/>
      <c r="GP87" s="1"/>
      <c r="GS87" s="1"/>
      <c r="GY87" s="1"/>
      <c r="HF87" s="1"/>
      <c r="HH87" s="1"/>
      <c r="HY87" s="1"/>
      <c r="IE87" s="1"/>
      <c r="IG87" s="1"/>
      <c r="IH87" s="1"/>
      <c r="IJ87" s="1"/>
      <c r="IS87" s="1"/>
      <c r="IW87" s="1"/>
      <c r="IX87" s="1"/>
      <c r="IY87" s="1"/>
      <c r="IZ87" s="1"/>
      <c r="JB87" s="1"/>
      <c r="JC87" s="1"/>
      <c r="JF87" s="1"/>
      <c r="JG87" s="1"/>
      <c r="JJ87" s="1"/>
      <c r="JK87" s="1"/>
      <c r="JL87" s="3"/>
      <c r="JM87" s="1"/>
      <c r="JP87" s="1"/>
      <c r="JQ87" s="1"/>
      <c r="JR87" s="1"/>
      <c r="KY87" s="1"/>
      <c r="KZ87" s="1"/>
      <c r="LA87" s="1"/>
      <c r="LB87" s="1"/>
      <c r="LC87" s="1"/>
      <c r="LD87" s="1"/>
      <c r="LO87" s="1"/>
      <c r="LP87" s="1"/>
      <c r="LZ87" s="1"/>
      <c r="MA87" s="1"/>
    </row>
    <row r="88" spans="4:339" ht="13" x14ac:dyDescent="0.15">
      <c r="D88" s="12"/>
      <c r="E88" s="12"/>
      <c r="I88" s="12"/>
      <c r="J88" s="13"/>
      <c r="BF88" s="1"/>
      <c r="BG88" s="1"/>
      <c r="BH88" s="1"/>
      <c r="BI88" s="1"/>
      <c r="BK88" s="1"/>
      <c r="BL88" s="1"/>
      <c r="BM88" s="1"/>
      <c r="BN88" s="1"/>
      <c r="BO88" s="1"/>
      <c r="BP88" s="1"/>
      <c r="BQ88" s="1"/>
      <c r="BR88" s="1"/>
      <c r="CD88" s="1"/>
      <c r="CE88" s="1"/>
      <c r="CF88" s="1"/>
      <c r="CG88" s="1"/>
      <c r="CH88" s="1"/>
      <c r="CI88" s="1"/>
      <c r="CM88" s="2"/>
      <c r="CN88" s="1"/>
      <c r="CO88" s="1"/>
      <c r="CP88" s="1"/>
      <c r="CQ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ED88" s="1"/>
      <c r="EK88" s="1"/>
      <c r="EL88" s="1"/>
      <c r="EM88" s="1"/>
      <c r="EN88" s="1"/>
      <c r="EQ88" s="1"/>
      <c r="ER88" s="1"/>
      <c r="ES88" s="1"/>
      <c r="EV88" s="1"/>
      <c r="EW88" s="1"/>
      <c r="EZ88" s="1"/>
      <c r="FA88" s="1"/>
      <c r="FD88" s="1"/>
      <c r="FH88" s="1"/>
      <c r="FN88" s="1"/>
      <c r="FO88" s="1"/>
      <c r="FP88" s="1"/>
      <c r="FS88" s="1"/>
      <c r="FT88" s="1"/>
      <c r="FU88" s="1"/>
      <c r="FV88" s="1"/>
      <c r="FW88" s="1"/>
      <c r="FX88" s="1"/>
      <c r="GA88" s="1"/>
      <c r="GD88" s="1"/>
      <c r="GE88" s="1"/>
      <c r="GF88" s="1"/>
      <c r="GG88" s="1"/>
      <c r="GH88" s="1"/>
      <c r="GI88" s="1"/>
      <c r="GJ88" s="1"/>
      <c r="GK88" s="1"/>
      <c r="GL88" s="1"/>
      <c r="GM88" s="1"/>
      <c r="GN88" s="1"/>
      <c r="GP88" s="1"/>
      <c r="GR88" s="1"/>
      <c r="GY88" s="1"/>
      <c r="HF88" s="1"/>
      <c r="HN88" s="1"/>
      <c r="HY88" s="1"/>
      <c r="IC88" s="1"/>
      <c r="IE88" s="1"/>
      <c r="IG88" s="1"/>
      <c r="IR88" s="1"/>
      <c r="IS88" s="1"/>
      <c r="IW88" s="1"/>
      <c r="IZ88" s="1"/>
      <c r="JA88" s="1"/>
      <c r="JJ88" s="1"/>
      <c r="JK88" s="1"/>
      <c r="JL88" s="6"/>
      <c r="JM88" s="1"/>
      <c r="JN88" s="1"/>
      <c r="JP88" s="1"/>
      <c r="JQ88" s="1"/>
      <c r="JR88" s="1"/>
      <c r="KU88" s="1"/>
      <c r="KY88" s="1"/>
      <c r="KZ88" s="1"/>
      <c r="LA88" s="1"/>
      <c r="LB88" s="1"/>
      <c r="LC88" s="1"/>
      <c r="LD88" s="1"/>
      <c r="LO88" s="1"/>
      <c r="LP88" s="1"/>
      <c r="LZ88" s="1"/>
      <c r="MA88" s="1"/>
    </row>
    <row r="89" spans="4:339" ht="13" x14ac:dyDescent="0.15">
      <c r="D89" s="12"/>
      <c r="E89" s="12"/>
      <c r="I89" s="12"/>
      <c r="J89" s="13"/>
      <c r="BF89" s="1"/>
      <c r="BG89" s="1"/>
      <c r="BH89" s="1"/>
      <c r="BI89" s="1"/>
      <c r="BK89" s="1"/>
      <c r="BL89" s="1"/>
      <c r="BM89" s="1"/>
      <c r="BN89" s="1"/>
      <c r="BO89" s="1"/>
      <c r="BP89" s="1"/>
      <c r="BQ89" s="1"/>
      <c r="BR89" s="1"/>
      <c r="BX89" s="1"/>
      <c r="CD89" s="1"/>
      <c r="CE89" s="1"/>
      <c r="CF89" s="1"/>
      <c r="CH89" s="1"/>
      <c r="CI89" s="1"/>
      <c r="CM89" s="2"/>
      <c r="CN89" s="1"/>
      <c r="CO89" s="1"/>
      <c r="CP89" s="1"/>
      <c r="CQ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ED89" s="1"/>
      <c r="EK89" s="1"/>
      <c r="EL89" s="1"/>
      <c r="EM89" s="1"/>
      <c r="EN89" s="1"/>
      <c r="EQ89" s="1"/>
      <c r="ER89" s="1"/>
      <c r="ES89" s="1"/>
      <c r="EV89" s="1"/>
      <c r="EW89" s="1"/>
      <c r="EX89" s="1"/>
      <c r="EZ89" s="1"/>
      <c r="FA89" s="1"/>
      <c r="FD89" s="1"/>
      <c r="FH89" s="1"/>
      <c r="FN89" s="1"/>
      <c r="FO89" s="1"/>
      <c r="FP89" s="1"/>
      <c r="FS89" s="1"/>
      <c r="FU89" s="1"/>
      <c r="FX89" s="1"/>
      <c r="FY89" s="1"/>
      <c r="GA89" s="1"/>
      <c r="GD89" s="1"/>
      <c r="GE89" s="1"/>
      <c r="GF89" s="1"/>
      <c r="GG89" s="1"/>
      <c r="GH89" s="1"/>
      <c r="GI89" s="1"/>
      <c r="GJ89" s="1"/>
      <c r="GK89" s="1"/>
      <c r="GL89" s="1"/>
      <c r="GM89" s="1"/>
      <c r="GN89" s="1"/>
      <c r="GO89" s="1"/>
      <c r="GP89" s="1"/>
      <c r="GQ89" s="1"/>
      <c r="GY89" s="1"/>
      <c r="HF89" s="1"/>
      <c r="HH89" s="1"/>
      <c r="HY89" s="1"/>
      <c r="IC89" s="1"/>
      <c r="IE89" s="1"/>
      <c r="IS89" s="1"/>
      <c r="IW89" s="1"/>
      <c r="IY89" s="1"/>
      <c r="IZ89" s="1"/>
      <c r="JA89" s="1"/>
      <c r="JC89" s="1"/>
      <c r="JG89" s="1"/>
      <c r="JJ89" s="1"/>
      <c r="JN89" s="1"/>
      <c r="JP89" s="1"/>
      <c r="JQ89" s="1"/>
      <c r="JU89" s="1"/>
      <c r="KU89" s="1"/>
      <c r="KZ89" s="1"/>
      <c r="LQ89" s="1"/>
      <c r="LZ89" s="1"/>
      <c r="MA89" s="1"/>
    </row>
    <row r="90" spans="4:339" ht="13" x14ac:dyDescent="0.15">
      <c r="D90" s="12"/>
      <c r="E90" s="12"/>
      <c r="I90" s="12"/>
      <c r="J90" s="13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CD90" s="1"/>
      <c r="CE90" s="1"/>
      <c r="CF90" s="1"/>
      <c r="CG90" s="1"/>
      <c r="CH90" s="1"/>
      <c r="CI90" s="1"/>
      <c r="CM90" s="2"/>
      <c r="CN90" s="1"/>
      <c r="CO90" s="1"/>
      <c r="CP90" s="1"/>
      <c r="CQ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M90" s="1"/>
      <c r="DR90" s="1"/>
      <c r="ED90" s="1"/>
      <c r="EF90" s="1"/>
      <c r="EK90" s="1"/>
      <c r="EL90" s="1"/>
      <c r="EM90" s="1"/>
      <c r="EN90" s="1"/>
      <c r="EQ90" s="1"/>
      <c r="ER90" s="1"/>
      <c r="ES90" s="1"/>
      <c r="EV90" s="1"/>
      <c r="EW90" s="1"/>
      <c r="EZ90" s="1"/>
      <c r="FA90" s="1"/>
      <c r="FD90" s="1"/>
      <c r="FG90" s="1"/>
      <c r="FH90" s="1"/>
      <c r="FI90" s="1"/>
      <c r="FJ90" s="1"/>
      <c r="FM90" s="1"/>
      <c r="FN90" s="1"/>
      <c r="FO90" s="1"/>
      <c r="FP90" s="1"/>
      <c r="FS90" s="1"/>
      <c r="FU90" s="1"/>
      <c r="FV90" s="1"/>
      <c r="FW90" s="1"/>
      <c r="FX90" s="1"/>
      <c r="FY90" s="1"/>
      <c r="FZ90" s="1"/>
      <c r="GA90" s="1"/>
      <c r="GD90" s="1"/>
      <c r="GE90" s="1"/>
      <c r="GF90" s="1"/>
      <c r="GG90" s="1"/>
      <c r="GH90" s="1"/>
      <c r="GI90" s="1"/>
      <c r="GJ90" s="1"/>
      <c r="GL90" s="1"/>
      <c r="GM90" s="1"/>
      <c r="GN90" s="1"/>
      <c r="GP90" s="1"/>
      <c r="GR90" s="1"/>
      <c r="GV90" s="1"/>
      <c r="HF90" s="1"/>
      <c r="HN90" s="1"/>
      <c r="HT90" s="1"/>
      <c r="HY90" s="1"/>
      <c r="IE90" s="1"/>
      <c r="IR90" s="1"/>
      <c r="IS90" s="1"/>
      <c r="IW90" s="1"/>
      <c r="IZ90" s="1"/>
      <c r="JA90" s="1"/>
      <c r="JF90" s="1"/>
      <c r="JG90" s="1"/>
      <c r="JJ90" s="1"/>
      <c r="JN90" s="1"/>
      <c r="JP90" s="1"/>
      <c r="JQ90" s="1"/>
      <c r="KY90" s="1"/>
      <c r="KZ90" s="1"/>
      <c r="LA90" s="1"/>
      <c r="LB90" s="1"/>
      <c r="LC90" s="1"/>
      <c r="LD90" s="1"/>
      <c r="LO90" s="1"/>
      <c r="LP90" s="1"/>
      <c r="LZ90" s="1"/>
      <c r="MA90" s="1"/>
    </row>
    <row r="91" spans="4:339" ht="13" x14ac:dyDescent="0.15">
      <c r="D91" s="12"/>
      <c r="E91" s="12"/>
      <c r="I91" s="12"/>
      <c r="J91" s="13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CD91" s="1"/>
      <c r="CE91" s="1"/>
      <c r="CF91" s="1"/>
      <c r="CG91" s="1"/>
      <c r="CH91" s="1"/>
      <c r="CI91" s="1"/>
      <c r="CM91" s="2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ED91" s="1"/>
      <c r="EK91" s="1"/>
      <c r="EL91" s="1"/>
      <c r="EM91" s="1"/>
      <c r="EN91" s="1"/>
      <c r="EQ91" s="1"/>
      <c r="ER91" s="1"/>
      <c r="ES91" s="1"/>
      <c r="EV91" s="1"/>
      <c r="EW91" s="1"/>
      <c r="EZ91" s="1"/>
      <c r="FA91" s="1"/>
      <c r="FD91" s="1"/>
      <c r="FH91" s="1"/>
      <c r="FI91" s="1"/>
      <c r="FJ91" s="1"/>
      <c r="FP91" s="1"/>
      <c r="FV91" s="1"/>
      <c r="FW91" s="1"/>
      <c r="FX91" s="1"/>
      <c r="FY91" s="1"/>
      <c r="GA91" s="1"/>
      <c r="GD91" s="1"/>
      <c r="GE91" s="1"/>
      <c r="GF91" s="1"/>
      <c r="GG91" s="1"/>
      <c r="GH91" s="1"/>
      <c r="GI91" s="1"/>
      <c r="GJ91" s="1"/>
      <c r="GK91" s="1"/>
      <c r="GL91" s="1"/>
      <c r="GM91" s="1"/>
      <c r="GN91" s="1"/>
      <c r="GP91" s="1"/>
      <c r="GR91" s="1"/>
      <c r="GY91" s="1"/>
      <c r="HF91" s="1"/>
      <c r="HH91" s="1"/>
      <c r="HN91" s="1"/>
      <c r="HT91" s="1"/>
      <c r="HY91" s="1"/>
      <c r="IE91" s="1"/>
      <c r="IR91" s="1"/>
      <c r="IS91" s="1"/>
      <c r="IW91" s="1"/>
      <c r="IZ91" s="1"/>
      <c r="JC91" s="1"/>
      <c r="JF91" s="1"/>
      <c r="JG91" s="1"/>
      <c r="JH91" s="1"/>
      <c r="JJ91" s="1"/>
      <c r="JP91" s="1"/>
      <c r="JQ91" s="1"/>
      <c r="JT91" s="1"/>
      <c r="KU91" s="1"/>
      <c r="KY91" s="1"/>
      <c r="KZ91" s="1"/>
      <c r="LA91" s="1"/>
      <c r="LB91" s="1"/>
      <c r="LC91" s="1"/>
      <c r="LD91" s="1"/>
      <c r="LF91" s="1"/>
      <c r="LM91" s="1"/>
      <c r="LN91" s="1"/>
      <c r="LO91" s="1"/>
      <c r="LP91" s="1"/>
      <c r="LZ91" s="1"/>
    </row>
    <row r="92" spans="4:339" ht="13" x14ac:dyDescent="0.15">
      <c r="D92" s="12"/>
      <c r="E92" s="12"/>
      <c r="I92" s="12"/>
      <c r="J92" s="13"/>
      <c r="BF92" s="1"/>
      <c r="BG92" s="1"/>
      <c r="BH92" s="1"/>
      <c r="BI92" s="1"/>
      <c r="BK92" s="1"/>
      <c r="BL92" s="1"/>
      <c r="BM92" s="1"/>
      <c r="BN92" s="1"/>
      <c r="BO92" s="1"/>
      <c r="BP92" s="1"/>
      <c r="BQ92" s="1"/>
      <c r="BR92" s="1"/>
      <c r="BX92" s="1"/>
      <c r="CD92" s="1"/>
      <c r="CE92" s="1"/>
      <c r="CF92" s="1"/>
      <c r="CG92" s="1"/>
      <c r="CH92" s="1"/>
      <c r="CI92" s="1"/>
      <c r="CM92" s="2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M92" s="1"/>
      <c r="DQ92" s="1"/>
      <c r="DR92" s="1"/>
      <c r="DY92" s="1"/>
      <c r="DZ92" s="1"/>
      <c r="ED92" s="1"/>
      <c r="EE92" s="1"/>
      <c r="EF92" s="1"/>
      <c r="EG92" s="1"/>
      <c r="EH92" s="1"/>
      <c r="EK92" s="1"/>
      <c r="EL92" s="1"/>
      <c r="EM92" s="1"/>
      <c r="EN92" s="1"/>
      <c r="EQ92" s="1"/>
      <c r="ER92" s="1"/>
      <c r="ES92" s="1"/>
      <c r="EV92" s="1"/>
      <c r="EW92" s="1"/>
      <c r="EY92" s="1"/>
      <c r="EZ92" s="1"/>
      <c r="FA92" s="1"/>
      <c r="FD92" s="1"/>
      <c r="FG92" s="1"/>
      <c r="FH92" s="1"/>
      <c r="FJ92" s="1"/>
      <c r="FL92" s="1"/>
      <c r="FM92" s="1"/>
      <c r="FN92" s="1"/>
      <c r="FO92" s="1"/>
      <c r="FP92" s="1"/>
      <c r="FS92" s="1"/>
      <c r="FT92" s="1"/>
      <c r="FV92" s="1"/>
      <c r="FW92" s="1"/>
      <c r="FX92" s="1"/>
      <c r="FZ92" s="1"/>
      <c r="GA92" s="1"/>
      <c r="GD92" s="1"/>
      <c r="GE92" s="1"/>
      <c r="GF92" s="1"/>
      <c r="GG92" s="1"/>
      <c r="GH92" s="1"/>
      <c r="GI92" s="1"/>
      <c r="GJ92" s="1"/>
      <c r="GK92" s="1"/>
      <c r="GL92" s="1"/>
      <c r="GM92" s="1"/>
      <c r="GN92" s="1"/>
      <c r="GO92" s="1"/>
      <c r="GP92" s="1"/>
      <c r="GR92" s="1"/>
      <c r="GY92" s="1"/>
      <c r="HF92" s="1"/>
      <c r="HH92" s="1"/>
      <c r="HN92" s="1"/>
      <c r="HT92" s="1"/>
      <c r="HY92" s="1"/>
      <c r="ID92" s="1"/>
      <c r="IE92" s="1"/>
      <c r="IF92" s="1"/>
      <c r="IG92" s="1"/>
      <c r="IJ92" s="1"/>
      <c r="IR92" s="1"/>
      <c r="IS92" s="1"/>
      <c r="IZ92" s="1"/>
      <c r="JC92" s="1"/>
      <c r="JF92" s="1"/>
      <c r="JG92" s="1"/>
      <c r="JH92" s="1"/>
      <c r="JJ92" s="1"/>
      <c r="JK92" s="1"/>
      <c r="JL92" s="3"/>
      <c r="JM92" s="1"/>
      <c r="JP92" s="1"/>
      <c r="JQ92" s="1"/>
      <c r="JR92" s="1"/>
      <c r="JT92" s="1"/>
      <c r="KV92" s="1"/>
      <c r="KY92" s="1"/>
      <c r="KZ92" s="1"/>
      <c r="LA92" s="1"/>
      <c r="LB92" s="1"/>
      <c r="LC92" s="1"/>
      <c r="LD92" s="1"/>
      <c r="LO92" s="1"/>
      <c r="LP92" s="1"/>
      <c r="LW92" s="1"/>
      <c r="LZ92" s="1"/>
      <c r="MA92" s="1"/>
    </row>
    <row r="93" spans="4:339" ht="13" x14ac:dyDescent="0.15">
      <c r="D93" s="12"/>
      <c r="E93" s="12"/>
      <c r="I93" s="12"/>
      <c r="J93" s="13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CD93" s="1"/>
      <c r="CE93" s="1"/>
      <c r="CF93" s="1"/>
      <c r="CG93" s="1"/>
      <c r="CH93" s="1"/>
      <c r="CI93" s="1"/>
      <c r="CM93" s="2"/>
      <c r="CN93" s="1"/>
      <c r="CO93" s="1"/>
      <c r="CP93" s="1"/>
      <c r="CQ93" s="1"/>
      <c r="CR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ED93" s="1"/>
      <c r="EK93" s="1"/>
      <c r="EL93" s="1"/>
      <c r="EM93" s="1"/>
      <c r="EN93" s="1"/>
      <c r="EQ93" s="1"/>
      <c r="ER93" s="1"/>
      <c r="ES93" s="1"/>
      <c r="EV93" s="1"/>
      <c r="EW93" s="1"/>
      <c r="EZ93" s="1"/>
      <c r="FA93" s="1"/>
      <c r="FD93" s="1"/>
      <c r="FH93" s="1"/>
      <c r="FJ93" s="1"/>
      <c r="FL93" s="1"/>
      <c r="FM93" s="1"/>
      <c r="FN93" s="1"/>
      <c r="FS93" s="1"/>
      <c r="FU93" s="1"/>
      <c r="FV93" s="1"/>
      <c r="FX93" s="1"/>
      <c r="FY93" s="1"/>
      <c r="FZ93" s="1"/>
      <c r="GA93" s="1"/>
      <c r="GD93" s="1"/>
      <c r="GE93" s="1"/>
      <c r="GF93" s="1"/>
      <c r="GG93" s="1"/>
      <c r="GH93" s="1"/>
      <c r="GI93" s="1"/>
      <c r="GJ93" s="1"/>
      <c r="GK93" s="1"/>
      <c r="GL93" s="1"/>
      <c r="GM93" s="1"/>
      <c r="GN93" s="1"/>
      <c r="GO93" s="1"/>
      <c r="GP93" s="1"/>
      <c r="GY93" s="1"/>
      <c r="HF93" s="1"/>
      <c r="HN93" s="1"/>
      <c r="HY93" s="1"/>
      <c r="IE93" s="1"/>
      <c r="IR93" s="1"/>
      <c r="IS93" s="1"/>
      <c r="IW93" s="1"/>
      <c r="IY93" s="1"/>
      <c r="IZ93" s="1"/>
      <c r="JA93" s="1"/>
      <c r="JF93" s="1"/>
      <c r="JG93" s="1"/>
      <c r="JH93" s="1"/>
      <c r="JJ93" s="1"/>
      <c r="JN93" s="1"/>
      <c r="JP93" s="1"/>
      <c r="JQ93" s="1"/>
      <c r="JT93" s="1"/>
      <c r="KU93" s="1"/>
      <c r="KY93" s="1"/>
      <c r="KZ93" s="1"/>
      <c r="LA93" s="1"/>
      <c r="LB93" s="1"/>
      <c r="LC93" s="1"/>
      <c r="LD93" s="1"/>
      <c r="LO93" s="1"/>
      <c r="LP93" s="1"/>
      <c r="LZ93" s="1"/>
      <c r="MA93" s="1"/>
    </row>
    <row r="94" spans="4:339" ht="13" x14ac:dyDescent="0.15">
      <c r="D94" s="12"/>
      <c r="E94" s="12"/>
      <c r="I94" s="12"/>
      <c r="J94" s="13"/>
      <c r="BF94" s="1"/>
      <c r="BG94" s="1"/>
      <c r="BH94" s="1"/>
      <c r="BI94" s="1"/>
      <c r="BK94" s="1"/>
      <c r="BL94" s="1"/>
      <c r="BM94" s="1"/>
      <c r="BN94" s="1"/>
      <c r="BO94" s="1"/>
      <c r="BP94" s="1"/>
      <c r="BQ94" s="1"/>
      <c r="BR94" s="1"/>
      <c r="BX94" s="1"/>
      <c r="CD94" s="1"/>
      <c r="CE94" s="1"/>
      <c r="CF94" s="1"/>
      <c r="CG94" s="1"/>
      <c r="CH94" s="1"/>
      <c r="CI94" s="1"/>
      <c r="CM94" s="2"/>
      <c r="CN94" s="1"/>
      <c r="CO94" s="1"/>
      <c r="CP94" s="1"/>
      <c r="CQ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ED94" s="1"/>
      <c r="EK94" s="1"/>
      <c r="EL94" s="1"/>
      <c r="EM94" s="1"/>
      <c r="EN94" s="1"/>
      <c r="EQ94" s="1"/>
      <c r="ER94" s="1"/>
      <c r="ES94" s="1"/>
      <c r="EV94" s="1"/>
      <c r="EW94" s="1"/>
      <c r="EZ94" s="1"/>
      <c r="FA94" s="1"/>
      <c r="FD94" s="1"/>
      <c r="FG94" s="1"/>
      <c r="FH94" s="1"/>
      <c r="FJ94" s="1"/>
      <c r="FK94" s="1"/>
      <c r="FM94" s="1"/>
      <c r="FP94" s="1"/>
      <c r="FS94" s="1"/>
      <c r="FV94" s="1"/>
      <c r="FW94" s="1"/>
      <c r="FX94" s="1"/>
      <c r="FZ94" s="1"/>
      <c r="GA94" s="1"/>
      <c r="GD94" s="1"/>
      <c r="GE94" s="1"/>
      <c r="GF94" s="1"/>
      <c r="GG94" s="1"/>
      <c r="GH94" s="1"/>
      <c r="GI94" s="1"/>
      <c r="GJ94" s="1"/>
      <c r="GK94" s="1"/>
      <c r="GL94" s="1"/>
      <c r="GM94" s="1"/>
      <c r="GN94" s="1"/>
      <c r="GO94" s="1"/>
      <c r="GP94" s="1"/>
      <c r="GR94" s="1"/>
      <c r="GY94" s="1"/>
      <c r="HF94" s="1"/>
      <c r="HN94" s="1"/>
      <c r="HT94" s="1"/>
      <c r="HY94" s="1"/>
      <c r="ID94" s="1"/>
      <c r="IE94" s="1"/>
      <c r="IR94" s="1"/>
      <c r="IS94" s="1"/>
      <c r="IZ94" s="1"/>
      <c r="JF94" s="1"/>
      <c r="JJ94" s="1"/>
      <c r="JN94" s="1"/>
      <c r="JP94" s="1"/>
      <c r="JQ94" s="1"/>
      <c r="KY94" s="1"/>
      <c r="KZ94" s="1"/>
      <c r="LA94" s="1"/>
      <c r="LB94" s="1"/>
      <c r="LC94" s="1"/>
      <c r="LD94" s="1"/>
      <c r="LO94" s="1"/>
      <c r="LP94" s="1"/>
      <c r="LZ94" s="1"/>
      <c r="MA94" s="1"/>
    </row>
    <row r="95" spans="4:339" ht="13" x14ac:dyDescent="0.15">
      <c r="D95" s="12"/>
      <c r="E95" s="12"/>
      <c r="I95" s="12"/>
      <c r="J95" s="13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CD95" s="1"/>
      <c r="CE95" s="1"/>
      <c r="CF95" s="1"/>
      <c r="CG95" s="1"/>
      <c r="CH95" s="1"/>
      <c r="CI95" s="1"/>
      <c r="CM95" s="2"/>
      <c r="CN95" s="1"/>
      <c r="CO95" s="1"/>
      <c r="CP95" s="1"/>
      <c r="CQ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M95" s="1"/>
      <c r="DQ95" s="1"/>
      <c r="DR95" s="1"/>
      <c r="DY95" s="1"/>
      <c r="DZ95" s="1"/>
      <c r="ED95" s="1"/>
      <c r="EF95" s="1"/>
      <c r="EK95" s="1"/>
      <c r="EL95" s="1"/>
      <c r="EM95" s="1"/>
      <c r="EN95" s="1"/>
      <c r="EQ95" s="1"/>
      <c r="ER95" s="1"/>
      <c r="ES95" s="1"/>
      <c r="EV95" s="1"/>
      <c r="EW95" s="1"/>
      <c r="EZ95" s="1"/>
      <c r="FA95" s="1"/>
      <c r="FD95" s="1"/>
      <c r="FJ95" s="1"/>
      <c r="FT95" s="1"/>
      <c r="GA95" s="1"/>
      <c r="GD95" s="1"/>
      <c r="GE95" s="1"/>
      <c r="GF95" s="1"/>
      <c r="GG95" s="1"/>
      <c r="GH95" s="1"/>
      <c r="GI95" s="1"/>
      <c r="GJ95" s="1"/>
      <c r="GN95" s="1"/>
      <c r="GP95" s="1"/>
      <c r="HH95" s="1"/>
      <c r="HN95" s="1"/>
      <c r="HT95" s="1"/>
      <c r="HY95" s="1"/>
      <c r="ID95" s="1"/>
      <c r="IE95" s="1"/>
      <c r="IG95" s="1"/>
      <c r="IJ95" s="1"/>
      <c r="IR95" s="1"/>
      <c r="IS95" s="1"/>
      <c r="IY95" s="1"/>
      <c r="IZ95" s="1"/>
      <c r="JC95" s="1"/>
      <c r="JF95" s="1"/>
      <c r="JG95" s="1"/>
      <c r="JJ95" s="1"/>
      <c r="JK95" s="1"/>
      <c r="JL95" s="3"/>
      <c r="JM95" s="1"/>
      <c r="JN95" s="1"/>
      <c r="JP95" s="1"/>
      <c r="JQ95" s="1"/>
      <c r="JR95" s="1"/>
      <c r="JT95" s="1"/>
      <c r="KV95" s="1"/>
      <c r="KW95" s="1"/>
      <c r="KY95" s="1"/>
      <c r="KZ95" s="1"/>
      <c r="LA95" s="1"/>
      <c r="LB95" s="1"/>
      <c r="LC95" s="1"/>
      <c r="LD95" s="1"/>
      <c r="LO95" s="1"/>
      <c r="LP95" s="1"/>
      <c r="LZ95" s="1"/>
      <c r="MA95" s="1"/>
    </row>
    <row r="96" spans="4:339" ht="13" x14ac:dyDescent="0.15">
      <c r="D96" s="12"/>
      <c r="E96" s="12"/>
      <c r="I96" s="12"/>
      <c r="J96" s="13"/>
      <c r="BF96" s="1"/>
      <c r="BG96" s="1"/>
      <c r="BH96" s="1"/>
      <c r="BI96" s="1"/>
      <c r="BK96" s="1"/>
      <c r="BL96" s="1"/>
      <c r="BM96" s="1"/>
      <c r="BN96" s="1"/>
      <c r="BO96" s="1"/>
      <c r="BP96" s="1"/>
      <c r="BQ96" s="1"/>
      <c r="BR96" s="1"/>
      <c r="CD96" s="1"/>
      <c r="CG96" s="1"/>
      <c r="CH96" s="1"/>
      <c r="CI96" s="1"/>
      <c r="CM96" s="2"/>
      <c r="CN96" s="1"/>
      <c r="CO96" s="1"/>
      <c r="CP96" s="1"/>
      <c r="CQ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ED96" s="1"/>
      <c r="EK96" s="1"/>
      <c r="EL96" s="1"/>
      <c r="EM96" s="1"/>
      <c r="EN96" s="1"/>
      <c r="EQ96" s="1"/>
      <c r="ER96" s="1"/>
      <c r="ES96" s="1"/>
      <c r="EV96" s="1"/>
      <c r="EW96" s="1"/>
      <c r="EZ96" s="1"/>
      <c r="FA96" s="1"/>
      <c r="FD96" s="1"/>
      <c r="FG96" s="1"/>
      <c r="FH96" s="1"/>
      <c r="FI96" s="1"/>
      <c r="FJ96" s="1"/>
      <c r="FL96" s="1"/>
      <c r="FM96" s="1"/>
      <c r="FN96" s="1"/>
      <c r="FO96" s="1"/>
      <c r="FP96" s="1"/>
      <c r="FQ96" s="1"/>
      <c r="FR96" s="1"/>
      <c r="FS96" s="1"/>
      <c r="FT96" s="1"/>
      <c r="FV96" s="1"/>
      <c r="FW96" s="1"/>
      <c r="FX96" s="1"/>
      <c r="FY96" s="1"/>
      <c r="FZ96" s="1"/>
      <c r="GA96" s="1"/>
      <c r="GB96" s="1"/>
      <c r="GD96" s="1"/>
      <c r="GE96" s="1"/>
      <c r="GF96" s="1"/>
      <c r="GG96" s="1"/>
      <c r="GH96" s="1"/>
      <c r="GI96" s="1"/>
      <c r="GJ96" s="1"/>
      <c r="GM96" s="1"/>
      <c r="GN96" s="1"/>
      <c r="GO96" s="1"/>
      <c r="GP96" s="1"/>
      <c r="GR96" s="1"/>
      <c r="GV96" s="1"/>
      <c r="HF96" s="1"/>
      <c r="HN96" s="1"/>
      <c r="HT96" s="1"/>
      <c r="HY96" s="1"/>
      <c r="IC96" s="1"/>
      <c r="IE96" s="1"/>
      <c r="IR96" s="1"/>
      <c r="IS96" s="1"/>
      <c r="IW96" s="1"/>
      <c r="IZ96" s="1"/>
      <c r="JA96" s="1"/>
      <c r="JG96" s="1"/>
      <c r="JH96" s="1"/>
      <c r="JJ96" s="1"/>
      <c r="JN96" s="1"/>
      <c r="JP96" s="1"/>
      <c r="JQ96" s="1"/>
      <c r="JT96" s="1"/>
      <c r="JU96" s="1"/>
      <c r="KU96" s="1"/>
      <c r="KY96" s="1"/>
      <c r="KZ96" s="1"/>
      <c r="LA96" s="1"/>
      <c r="LB96" s="1"/>
      <c r="LC96" s="1"/>
      <c r="LD96" s="1"/>
      <c r="LO96" s="1"/>
      <c r="LP96" s="1"/>
      <c r="LZ96" s="1"/>
      <c r="MA96" s="1"/>
    </row>
    <row r="97" spans="4:339" ht="13" x14ac:dyDescent="0.15">
      <c r="D97" s="12"/>
      <c r="E97" s="12"/>
      <c r="I97" s="12"/>
      <c r="J97" s="13"/>
      <c r="BF97" s="1"/>
      <c r="BG97" s="1"/>
      <c r="BH97" s="1"/>
      <c r="BI97" s="1"/>
      <c r="BK97" s="1"/>
      <c r="BL97" s="1"/>
      <c r="BM97" s="1"/>
      <c r="BN97" s="1"/>
      <c r="BP97" s="1"/>
      <c r="BQ97" s="1"/>
      <c r="BR97" s="1"/>
      <c r="CC97" s="1"/>
      <c r="CD97" s="1"/>
      <c r="CE97" s="1"/>
      <c r="CF97" s="1"/>
      <c r="CG97" s="1"/>
      <c r="CH97" s="1"/>
      <c r="CI97" s="1"/>
      <c r="CM97" s="2"/>
      <c r="CN97" s="1"/>
      <c r="CO97" s="1"/>
      <c r="CQ97" s="1"/>
      <c r="CY97" s="1"/>
      <c r="DC97" s="1"/>
      <c r="DH97" s="1"/>
      <c r="DM97" s="1"/>
      <c r="DR97" s="1"/>
      <c r="ED97" s="1"/>
      <c r="EF97" s="1"/>
      <c r="EK97" s="1"/>
      <c r="EL97" s="1"/>
      <c r="EM97" s="1"/>
      <c r="EN97" s="1"/>
      <c r="EQ97" s="1"/>
      <c r="ER97" s="1"/>
      <c r="ES97" s="1"/>
      <c r="EV97" s="1"/>
      <c r="EW97" s="1"/>
      <c r="EZ97" s="1"/>
      <c r="FA97" s="1"/>
      <c r="FD97" s="1"/>
      <c r="FG97" s="1"/>
      <c r="FH97" s="1"/>
      <c r="FI97" s="1"/>
      <c r="FJ97" s="1"/>
      <c r="FL97" s="1"/>
      <c r="FM97" s="1"/>
      <c r="FN97" s="1"/>
      <c r="FO97" s="1"/>
      <c r="FP97" s="1"/>
      <c r="FQ97" s="1"/>
      <c r="FR97" s="1"/>
      <c r="FS97" s="1"/>
      <c r="FT97" s="1"/>
      <c r="FU97" s="1"/>
      <c r="FV97" s="1"/>
      <c r="FW97" s="1"/>
      <c r="FX97" s="1"/>
      <c r="FY97" s="1"/>
      <c r="FZ97" s="1"/>
      <c r="GA97" s="1"/>
      <c r="GB97" s="1"/>
      <c r="GD97" s="1"/>
      <c r="GE97" s="1"/>
      <c r="GF97" s="1"/>
      <c r="GG97" s="1"/>
      <c r="GH97" s="1"/>
      <c r="GI97" s="1"/>
      <c r="GJ97" s="1"/>
      <c r="GK97" s="1"/>
      <c r="GL97" s="1"/>
      <c r="GM97" s="1"/>
      <c r="GN97" s="1"/>
      <c r="GP97" s="1"/>
      <c r="GR97" s="1"/>
      <c r="GW97" s="1"/>
      <c r="GY97" s="1"/>
      <c r="HF97" s="1"/>
      <c r="HH97" s="1"/>
      <c r="HN97" s="1"/>
      <c r="HR97" s="1"/>
      <c r="HS97" s="1"/>
      <c r="HT97" s="1"/>
      <c r="HY97" s="1"/>
      <c r="IC97" s="1"/>
      <c r="ID97" s="1"/>
      <c r="IR97" s="1"/>
      <c r="IS97" s="1"/>
      <c r="IZ97" s="1"/>
      <c r="JC97" s="1"/>
      <c r="JF97" s="1"/>
      <c r="JG97" s="1"/>
      <c r="JH97" s="1"/>
      <c r="JJ97" s="1"/>
      <c r="JN97" s="1"/>
      <c r="JP97" s="1"/>
      <c r="JQ97" s="1"/>
      <c r="JT97" s="1"/>
      <c r="JW97" s="1"/>
      <c r="KS97" s="1"/>
      <c r="KT97" s="1"/>
      <c r="KU97" s="1"/>
      <c r="KY97" s="1"/>
      <c r="KZ97" s="1"/>
      <c r="LA97" s="1"/>
      <c r="LB97" s="1"/>
      <c r="LC97" s="1"/>
      <c r="LD97" s="1"/>
      <c r="LF97" s="1"/>
      <c r="LN97" s="1"/>
      <c r="LO97" s="1"/>
      <c r="LP97" s="1"/>
      <c r="LZ97" s="1"/>
      <c r="MA97" s="1"/>
    </row>
    <row r="98" spans="4:339" ht="13" x14ac:dyDescent="0.15">
      <c r="D98" s="12"/>
      <c r="E98" s="12"/>
      <c r="I98" s="12"/>
      <c r="J98" s="13"/>
      <c r="BF98" s="1"/>
      <c r="BG98" s="1"/>
      <c r="BH98" s="1"/>
      <c r="BI98" s="1"/>
      <c r="BK98" s="1"/>
      <c r="BL98" s="1"/>
      <c r="BM98" s="1"/>
      <c r="BN98" s="1"/>
      <c r="BP98" s="1"/>
      <c r="BQ98" s="1"/>
      <c r="BR98" s="1"/>
      <c r="CC98" s="1"/>
      <c r="CD98" s="1"/>
      <c r="CE98" s="1"/>
      <c r="CF98" s="1"/>
      <c r="CG98" s="1"/>
      <c r="CH98" s="1"/>
      <c r="CI98" s="1"/>
      <c r="CM98" s="2"/>
      <c r="CN98" s="1"/>
      <c r="CO98" s="1"/>
      <c r="CQ98" s="1"/>
      <c r="CY98" s="1"/>
      <c r="DC98" s="1"/>
      <c r="DH98" s="1"/>
      <c r="DM98" s="1"/>
      <c r="DR98" s="1"/>
      <c r="ED98" s="1"/>
      <c r="EF98" s="1"/>
      <c r="EK98" s="1"/>
      <c r="EL98" s="1"/>
      <c r="EM98" s="1"/>
      <c r="EN98" s="1"/>
      <c r="EQ98" s="1"/>
      <c r="ER98" s="1"/>
      <c r="ES98" s="1"/>
      <c r="EV98" s="1"/>
      <c r="EW98" s="1"/>
      <c r="EZ98" s="1"/>
      <c r="FA98" s="1"/>
      <c r="FD98" s="1"/>
      <c r="FG98" s="1"/>
      <c r="FH98" s="1"/>
      <c r="FI98" s="1"/>
      <c r="FJ98" s="1"/>
      <c r="FL98" s="1"/>
      <c r="FM98" s="1"/>
      <c r="FN98" s="1"/>
      <c r="FO98" s="1"/>
      <c r="FP98" s="1"/>
      <c r="FQ98" s="1"/>
      <c r="FR98" s="1"/>
      <c r="FS98" s="1"/>
      <c r="FT98" s="1"/>
      <c r="FU98" s="1"/>
      <c r="FV98" s="1"/>
      <c r="FW98" s="1"/>
      <c r="FX98" s="1"/>
      <c r="FY98" s="1"/>
      <c r="FZ98" s="1"/>
      <c r="GA98" s="1"/>
      <c r="GB98" s="1"/>
      <c r="GD98" s="1"/>
      <c r="GE98" s="1"/>
      <c r="GF98" s="1"/>
      <c r="GG98" s="1"/>
      <c r="GH98" s="1"/>
      <c r="GI98" s="1"/>
      <c r="GJ98" s="1"/>
      <c r="GK98" s="1"/>
      <c r="GL98" s="1"/>
      <c r="GM98" s="1"/>
      <c r="GN98" s="1"/>
      <c r="GP98" s="1"/>
      <c r="GR98" s="1"/>
      <c r="GW98" s="1"/>
      <c r="GY98" s="1"/>
      <c r="HF98" s="1"/>
      <c r="HH98" s="1"/>
      <c r="HN98" s="1"/>
      <c r="HR98" s="1"/>
      <c r="HS98" s="1"/>
      <c r="HT98" s="1"/>
      <c r="HY98" s="1"/>
      <c r="IC98" s="1"/>
      <c r="ID98" s="1"/>
      <c r="IR98" s="1"/>
      <c r="IS98" s="1"/>
      <c r="IZ98" s="1"/>
      <c r="JC98" s="1"/>
      <c r="JF98" s="1"/>
      <c r="JG98" s="1"/>
      <c r="JH98" s="1"/>
      <c r="JJ98" s="1"/>
      <c r="JN98" s="1"/>
      <c r="JP98" s="1"/>
      <c r="JQ98" s="1"/>
      <c r="JT98" s="1"/>
      <c r="JW98" s="1"/>
      <c r="KS98" s="1"/>
      <c r="KT98" s="1"/>
      <c r="KU98" s="1"/>
      <c r="KY98" s="1"/>
      <c r="KZ98" s="1"/>
      <c r="LA98" s="1"/>
      <c r="LB98" s="1"/>
      <c r="LC98" s="1"/>
      <c r="LD98" s="1"/>
      <c r="LF98" s="1"/>
      <c r="LN98" s="1"/>
      <c r="LO98" s="1"/>
      <c r="LP98" s="1"/>
      <c r="LZ98" s="1"/>
      <c r="MA98" s="1"/>
    </row>
    <row r="99" spans="4:339" ht="13" x14ac:dyDescent="0.15">
      <c r="D99" s="12"/>
      <c r="E99" s="12"/>
      <c r="I99" s="12"/>
      <c r="J99" s="13"/>
      <c r="BF99" s="1"/>
      <c r="BG99" s="1"/>
      <c r="BH99" s="1"/>
      <c r="BI99" s="1"/>
      <c r="BK99" s="1"/>
      <c r="BL99" s="1"/>
      <c r="BM99" s="1"/>
      <c r="BN99" s="1"/>
      <c r="BP99" s="1"/>
      <c r="BQ99" s="1"/>
      <c r="BR99" s="1"/>
      <c r="CC99" s="1"/>
      <c r="CD99" s="1"/>
      <c r="CE99" s="1"/>
      <c r="CF99" s="1"/>
      <c r="CG99" s="1"/>
      <c r="CH99" s="1"/>
      <c r="CI99" s="1"/>
      <c r="CM99" s="2"/>
      <c r="CN99" s="1"/>
      <c r="CO99" s="1"/>
      <c r="CQ99" s="1"/>
      <c r="CY99" s="1"/>
      <c r="DC99" s="1"/>
      <c r="DH99" s="1"/>
      <c r="DM99" s="1"/>
      <c r="DR99" s="1"/>
      <c r="ED99" s="1"/>
      <c r="EF99" s="1"/>
      <c r="EK99" s="1"/>
      <c r="EL99" s="1"/>
      <c r="EM99" s="1"/>
      <c r="EN99" s="1"/>
      <c r="EQ99" s="1"/>
      <c r="ER99" s="1"/>
      <c r="ES99" s="1"/>
      <c r="EV99" s="1"/>
      <c r="EW99" s="1"/>
      <c r="EZ99" s="1"/>
      <c r="FA99" s="1"/>
      <c r="FD99" s="1"/>
      <c r="FG99" s="1"/>
      <c r="FH99" s="1"/>
      <c r="FI99" s="1"/>
      <c r="FJ99" s="1"/>
      <c r="FL99" s="1"/>
      <c r="FM99" s="1"/>
      <c r="FN99" s="1"/>
      <c r="FO99" s="1"/>
      <c r="FP99" s="1"/>
      <c r="FQ99" s="1"/>
      <c r="FR99" s="1"/>
      <c r="FS99" s="1"/>
      <c r="FT99" s="1"/>
      <c r="FU99" s="1"/>
      <c r="FV99" s="1"/>
      <c r="FW99" s="1"/>
      <c r="FX99" s="1"/>
      <c r="FY99" s="1"/>
      <c r="FZ99" s="1"/>
      <c r="GA99" s="1"/>
      <c r="GB99" s="1"/>
      <c r="GD99" s="1"/>
      <c r="GE99" s="1"/>
      <c r="GF99" s="1"/>
      <c r="GG99" s="1"/>
      <c r="GH99" s="1"/>
      <c r="GI99" s="1"/>
      <c r="GJ99" s="1"/>
      <c r="GK99" s="1"/>
      <c r="GL99" s="1"/>
      <c r="GM99" s="1"/>
      <c r="GN99" s="1"/>
      <c r="GP99" s="1"/>
      <c r="GR99" s="1"/>
      <c r="GW99" s="1"/>
      <c r="GY99" s="1"/>
      <c r="HF99" s="1"/>
      <c r="HH99" s="1"/>
      <c r="HN99" s="1"/>
      <c r="HR99" s="1"/>
      <c r="HS99" s="1"/>
      <c r="HT99" s="1"/>
      <c r="HY99" s="1"/>
      <c r="IC99" s="1"/>
      <c r="ID99" s="1"/>
      <c r="IR99" s="1"/>
      <c r="IS99" s="1"/>
      <c r="IZ99" s="1"/>
      <c r="JC99" s="1"/>
      <c r="JF99" s="1"/>
      <c r="JG99" s="1"/>
      <c r="JH99" s="1"/>
      <c r="JJ99" s="1"/>
      <c r="JN99" s="1"/>
      <c r="JP99" s="1"/>
      <c r="JQ99" s="1"/>
      <c r="JT99" s="1"/>
      <c r="JW99" s="1"/>
      <c r="KS99" s="1"/>
      <c r="KT99" s="1"/>
      <c r="KU99" s="1"/>
      <c r="KY99" s="1"/>
      <c r="KZ99" s="1"/>
      <c r="LA99" s="1"/>
      <c r="LB99" s="1"/>
      <c r="LC99" s="1"/>
      <c r="LD99" s="1"/>
      <c r="LF99" s="1"/>
      <c r="LN99" s="1"/>
      <c r="LO99" s="1"/>
      <c r="LP99" s="1"/>
      <c r="LZ99" s="1"/>
      <c r="MA99" s="1"/>
    </row>
    <row r="100" spans="4:339" ht="13" x14ac:dyDescent="0.15">
      <c r="D100" s="12"/>
      <c r="E100" s="12"/>
      <c r="I100" s="12"/>
      <c r="J100" s="13"/>
      <c r="BF100" s="1"/>
      <c r="BG100" s="1"/>
      <c r="BH100" s="1"/>
      <c r="BI100" s="1"/>
      <c r="BK100" s="1"/>
      <c r="BL100" s="1"/>
      <c r="BM100" s="1"/>
      <c r="BN100" s="1"/>
      <c r="BO100" s="1"/>
      <c r="BP100" s="1"/>
      <c r="BQ100" s="1"/>
      <c r="BR100" s="1"/>
      <c r="BX100" s="1"/>
      <c r="CD100" s="1"/>
      <c r="CE100" s="1"/>
      <c r="CF100" s="1"/>
      <c r="CG100" s="1"/>
      <c r="CH100" s="1"/>
      <c r="CI100" s="1"/>
      <c r="CM100" s="2"/>
      <c r="CN100" s="1"/>
      <c r="CO100" s="1"/>
      <c r="CP100" s="1"/>
      <c r="CQ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M100" s="1"/>
      <c r="DQ100" s="1"/>
      <c r="DR100" s="1"/>
      <c r="DY100" s="1"/>
      <c r="DZ100" s="1"/>
      <c r="ED100" s="1"/>
      <c r="EK100" s="1"/>
      <c r="EL100" s="1"/>
      <c r="EM100" s="1"/>
      <c r="EN100" s="1"/>
      <c r="EQ100" s="1"/>
      <c r="ER100" s="1"/>
      <c r="ES100" s="1"/>
      <c r="EV100" s="1"/>
      <c r="EW100" s="1"/>
      <c r="EZ100" s="1"/>
      <c r="FA100" s="1"/>
      <c r="FD100" s="1"/>
      <c r="FG100" s="1"/>
      <c r="FH100" s="1"/>
      <c r="FI100" s="1"/>
      <c r="FJ100" s="1"/>
      <c r="FK100" s="1"/>
      <c r="FL100" s="1"/>
      <c r="FM100" s="1"/>
      <c r="FN100" s="1"/>
      <c r="FO100" s="1"/>
      <c r="FP100" s="1"/>
      <c r="FQ100" s="1"/>
      <c r="FR100" s="1"/>
      <c r="FS100" s="1"/>
      <c r="FU100" s="1"/>
      <c r="FV100" s="1"/>
      <c r="FW100" s="1"/>
      <c r="FX100" s="1"/>
      <c r="FZ100" s="1"/>
      <c r="GA100" s="1"/>
      <c r="GD100" s="1"/>
      <c r="GE100" s="1"/>
      <c r="GF100" s="1"/>
      <c r="GG100" s="1"/>
      <c r="GH100" s="1"/>
      <c r="GI100" s="1"/>
      <c r="GJ100" s="1"/>
      <c r="GK100" s="1"/>
      <c r="GL100" s="1"/>
      <c r="GM100" s="1"/>
      <c r="GN100" s="1"/>
      <c r="GP100" s="1"/>
      <c r="GR100" s="1"/>
      <c r="GY100" s="1"/>
      <c r="HF100" s="1"/>
      <c r="HH100" s="1"/>
      <c r="HN100" s="1"/>
      <c r="HR100" s="1"/>
      <c r="HS100" s="1"/>
      <c r="HT100" s="1"/>
      <c r="HY100" s="1"/>
      <c r="IC100" s="1"/>
      <c r="ID100" s="1"/>
      <c r="IE100" s="1"/>
      <c r="IR100" s="1"/>
      <c r="IS100" s="1"/>
      <c r="IW100" s="1"/>
      <c r="IZ100" s="1"/>
      <c r="JA100" s="1"/>
      <c r="JF100" s="1"/>
      <c r="JG100" s="1"/>
      <c r="JH100" s="1"/>
      <c r="JJ100" s="1"/>
      <c r="JP100" s="1"/>
      <c r="JQ100" s="1"/>
      <c r="KU100" s="1"/>
      <c r="KW100" s="1"/>
      <c r="KY100" s="1"/>
      <c r="KZ100" s="1"/>
      <c r="LA100" s="1"/>
      <c r="LB100" s="1"/>
      <c r="LC100" s="1"/>
      <c r="LD100" s="1"/>
      <c r="LO100" s="1"/>
      <c r="LP100" s="1"/>
      <c r="LW100" s="1"/>
      <c r="LZ100" s="1"/>
      <c r="MA100" s="1"/>
    </row>
    <row r="101" spans="4:339" ht="13" x14ac:dyDescent="0.15">
      <c r="D101" s="12"/>
      <c r="E101" s="12"/>
      <c r="I101" s="12"/>
      <c r="J101" s="13"/>
      <c r="BF101" s="1"/>
      <c r="BG101" s="1"/>
      <c r="BH101" s="1"/>
      <c r="BI101" s="1"/>
      <c r="BK101" s="1"/>
      <c r="BL101" s="1"/>
      <c r="BM101" s="1"/>
      <c r="BN101" s="1"/>
      <c r="BO101" s="1"/>
      <c r="BP101" s="1"/>
      <c r="BQ101" s="1"/>
      <c r="BR101" s="1"/>
      <c r="CD101" s="1"/>
      <c r="CE101" s="1"/>
      <c r="CF101" s="1"/>
      <c r="CG101" s="1"/>
      <c r="CH101" s="1"/>
      <c r="CI101" s="1"/>
      <c r="CM101" s="2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ED101" s="1"/>
      <c r="EE101" s="1"/>
      <c r="EF101" s="1"/>
      <c r="EG101" s="1"/>
      <c r="EH101" s="1"/>
      <c r="EK101" s="1"/>
      <c r="EL101" s="1"/>
      <c r="EM101" s="1"/>
      <c r="EN101" s="1"/>
      <c r="EQ101" s="1"/>
      <c r="ER101" s="1"/>
      <c r="ES101" s="1"/>
      <c r="EV101" s="1"/>
      <c r="EW101" s="1"/>
      <c r="EY101" s="1"/>
      <c r="EZ101" s="1"/>
      <c r="FA101" s="1"/>
      <c r="FD101" s="1"/>
      <c r="FG101" s="1"/>
      <c r="FH101" s="1"/>
      <c r="FI101" s="1"/>
      <c r="FJ101" s="1"/>
      <c r="FK101" s="1"/>
      <c r="FL101" s="1"/>
      <c r="FM101" s="1"/>
      <c r="FN101" s="1"/>
      <c r="FO101" s="1"/>
      <c r="FP101" s="1"/>
      <c r="FQ101" s="1"/>
      <c r="FR101" s="1"/>
      <c r="FS101" s="1"/>
      <c r="FT101" s="1"/>
      <c r="FU101" s="1"/>
      <c r="FV101" s="1"/>
      <c r="FW101" s="1"/>
      <c r="FX101" s="1"/>
      <c r="FY101" s="1"/>
      <c r="FZ101" s="1"/>
      <c r="GA101" s="1"/>
      <c r="GB101" s="1"/>
      <c r="GD101" s="1"/>
      <c r="GE101" s="1"/>
      <c r="GF101" s="1"/>
      <c r="GG101" s="1"/>
      <c r="GH101" s="1"/>
      <c r="GI101" s="1"/>
      <c r="GJ101" s="1"/>
      <c r="GK101" s="1"/>
      <c r="GL101" s="1"/>
      <c r="GM101" s="1"/>
      <c r="GN101" s="1"/>
      <c r="GO101" s="1"/>
      <c r="GP101" s="1"/>
      <c r="GR101" s="1"/>
      <c r="GY101" s="1"/>
      <c r="HF101" s="1"/>
      <c r="HH101" s="1"/>
      <c r="HN101" s="1"/>
      <c r="HT101" s="1"/>
      <c r="HY101" s="1"/>
      <c r="IC101" s="1"/>
      <c r="IE101" s="1"/>
      <c r="IG101" s="1"/>
      <c r="IJ101" s="1"/>
      <c r="IR101" s="1"/>
      <c r="IS101" s="1"/>
      <c r="IW101" s="1"/>
      <c r="IY101" s="1"/>
      <c r="IZ101" s="1"/>
      <c r="JA101" s="1"/>
      <c r="JC101" s="1"/>
      <c r="JF101" s="1"/>
      <c r="JG101" s="1"/>
      <c r="JH101" s="1"/>
      <c r="JJ101" s="1"/>
      <c r="JK101" s="1"/>
      <c r="JL101" s="3"/>
      <c r="JM101" s="1"/>
      <c r="JN101" s="1"/>
      <c r="JP101" s="1"/>
      <c r="JQ101" s="1"/>
      <c r="JR101" s="1"/>
      <c r="JT101" s="1"/>
      <c r="KU101" s="1"/>
      <c r="KV101" s="1"/>
      <c r="KY101" s="1"/>
      <c r="KZ101" s="1"/>
      <c r="LA101" s="1"/>
      <c r="LB101" s="1"/>
      <c r="LC101" s="1"/>
      <c r="LD101" s="1"/>
      <c r="LF101" s="1"/>
      <c r="LN101" s="1"/>
      <c r="LO101" s="1"/>
      <c r="LP101" s="1"/>
      <c r="LZ101" s="1"/>
      <c r="MA101" s="1"/>
    </row>
    <row r="102" spans="4:339" ht="13" x14ac:dyDescent="0.15">
      <c r="D102" s="12"/>
      <c r="E102" s="12"/>
      <c r="I102" s="12"/>
      <c r="J102" s="13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X102" s="1"/>
      <c r="CD102" s="1"/>
      <c r="CE102" s="1"/>
      <c r="CF102" s="1"/>
      <c r="CH102" s="1"/>
      <c r="CI102" s="1"/>
      <c r="CK102" s="1"/>
      <c r="CM102" s="2"/>
      <c r="CN102" s="1"/>
      <c r="CO102" s="1"/>
      <c r="CP102" s="1"/>
      <c r="CQ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M102" s="1"/>
      <c r="DQ102" s="1"/>
      <c r="DR102" s="1"/>
      <c r="DY102" s="1"/>
      <c r="DZ102" s="1"/>
      <c r="ED102" s="1"/>
      <c r="EF102" s="1"/>
      <c r="EK102" s="1"/>
      <c r="EL102" s="1"/>
      <c r="EM102" s="1"/>
      <c r="EN102" s="1"/>
      <c r="EQ102" s="1"/>
      <c r="ER102" s="1"/>
      <c r="ES102" s="1"/>
      <c r="EV102" s="1"/>
      <c r="EW102" s="1"/>
      <c r="EZ102" s="1"/>
      <c r="FA102" s="1"/>
      <c r="FD102" s="1"/>
      <c r="FG102" s="1"/>
      <c r="FH102" s="1"/>
      <c r="FI102" s="1"/>
      <c r="FJ102" s="1"/>
      <c r="FK102" s="1"/>
      <c r="FM102" s="1"/>
      <c r="FN102" s="1"/>
      <c r="FO102" s="1"/>
      <c r="FP102" s="1"/>
      <c r="FQ102" s="1"/>
      <c r="FR102" s="1"/>
      <c r="FS102" s="1"/>
      <c r="FT102" s="1"/>
      <c r="FU102" s="1"/>
      <c r="FV102" s="1"/>
      <c r="FW102" s="1"/>
      <c r="FX102" s="1"/>
      <c r="FY102" s="1"/>
      <c r="FZ102" s="1"/>
      <c r="GA102" s="1"/>
      <c r="GB102" s="1"/>
      <c r="GD102" s="1"/>
      <c r="GE102" s="1"/>
      <c r="GF102" s="1"/>
      <c r="GG102" s="1"/>
      <c r="GH102" s="1"/>
      <c r="GI102" s="1"/>
      <c r="GJ102" s="1"/>
      <c r="GK102" s="1"/>
      <c r="GL102" s="1"/>
      <c r="GM102" s="1"/>
      <c r="GN102" s="1"/>
      <c r="GO102" s="1"/>
      <c r="GP102" s="1"/>
      <c r="GR102" s="1"/>
      <c r="GY102" s="1"/>
      <c r="HF102" s="1"/>
      <c r="HH102" s="1"/>
      <c r="HN102" s="1"/>
      <c r="HT102" s="1"/>
      <c r="HY102" s="1"/>
      <c r="IC102" s="1"/>
      <c r="IE102" s="1"/>
      <c r="IR102" s="1"/>
      <c r="IS102" s="1"/>
      <c r="IZ102" s="1"/>
      <c r="JF102" s="1"/>
      <c r="JG102" s="1"/>
      <c r="JH102" s="1"/>
      <c r="JJ102" s="1"/>
      <c r="JN102" s="1"/>
      <c r="JP102" s="1"/>
      <c r="JQ102" s="1"/>
      <c r="KU102" s="1"/>
      <c r="KV102" s="1"/>
      <c r="KW102" s="1"/>
      <c r="KY102" s="1"/>
      <c r="KZ102" s="1"/>
      <c r="LA102" s="1"/>
      <c r="LB102" s="1"/>
      <c r="LC102" s="1"/>
      <c r="LD102" s="1"/>
      <c r="LO102" s="1"/>
      <c r="LP102" s="1"/>
      <c r="LZ102" s="1"/>
      <c r="MA102" s="1"/>
    </row>
    <row r="103" spans="4:339" ht="13" x14ac:dyDescent="0.15">
      <c r="D103" s="12"/>
      <c r="E103" s="12"/>
      <c r="I103" s="12"/>
      <c r="J103" s="13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X103" s="1"/>
      <c r="CD103" s="1"/>
      <c r="CE103" s="1"/>
      <c r="CF103" s="1"/>
      <c r="CH103" s="1"/>
      <c r="CI103" s="1"/>
      <c r="CK103" s="1"/>
      <c r="CM103" s="2"/>
      <c r="CN103" s="1"/>
      <c r="CO103" s="1"/>
      <c r="CP103" s="1"/>
      <c r="CQ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M103" s="1"/>
      <c r="DQ103" s="1"/>
      <c r="DR103" s="1"/>
      <c r="DY103" s="1"/>
      <c r="DZ103" s="1"/>
      <c r="ED103" s="1"/>
      <c r="EF103" s="1"/>
      <c r="EK103" s="1"/>
      <c r="EL103" s="1"/>
      <c r="EM103" s="1"/>
      <c r="EN103" s="1"/>
      <c r="EQ103" s="1"/>
      <c r="ER103" s="1"/>
      <c r="ES103" s="1"/>
      <c r="EV103" s="1"/>
      <c r="EW103" s="1"/>
      <c r="EZ103" s="1"/>
      <c r="FA103" s="1"/>
      <c r="FD103" s="1"/>
      <c r="FG103" s="1"/>
      <c r="FH103" s="1"/>
      <c r="FI103" s="1"/>
      <c r="FJ103" s="1"/>
      <c r="FK103" s="1"/>
      <c r="FM103" s="1"/>
      <c r="FN103" s="1"/>
      <c r="FO103" s="1"/>
      <c r="FP103" s="1"/>
      <c r="FQ103" s="1"/>
      <c r="FR103" s="1"/>
      <c r="FS103" s="1"/>
      <c r="FT103" s="1"/>
      <c r="FU103" s="1"/>
      <c r="FV103" s="1"/>
      <c r="FW103" s="1"/>
      <c r="FX103" s="1"/>
      <c r="FY103" s="1"/>
      <c r="FZ103" s="1"/>
      <c r="GA103" s="1"/>
      <c r="GB103" s="1"/>
      <c r="GD103" s="1"/>
      <c r="GE103" s="1"/>
      <c r="GF103" s="1"/>
      <c r="GG103" s="1"/>
      <c r="GH103" s="1"/>
      <c r="GI103" s="1"/>
      <c r="GJ103" s="1"/>
      <c r="GK103" s="1"/>
      <c r="GL103" s="1"/>
      <c r="GM103" s="1"/>
      <c r="GN103" s="1"/>
      <c r="GO103" s="1"/>
      <c r="GP103" s="1"/>
      <c r="GR103" s="1"/>
      <c r="GY103" s="1"/>
      <c r="HF103" s="1"/>
      <c r="HH103" s="1"/>
      <c r="HN103" s="1"/>
      <c r="HT103" s="1"/>
      <c r="HY103" s="1"/>
      <c r="IC103" s="1"/>
      <c r="IE103" s="1"/>
      <c r="IR103" s="1"/>
      <c r="IS103" s="1"/>
      <c r="IZ103" s="1"/>
      <c r="JF103" s="1"/>
      <c r="JG103" s="1"/>
      <c r="JH103" s="1"/>
      <c r="JJ103" s="1"/>
      <c r="JN103" s="1"/>
      <c r="JP103" s="1"/>
      <c r="JQ103" s="1"/>
      <c r="KU103" s="1"/>
      <c r="KV103" s="1"/>
      <c r="KW103" s="1"/>
      <c r="KY103" s="1"/>
      <c r="KZ103" s="1"/>
      <c r="LA103" s="1"/>
      <c r="LB103" s="1"/>
      <c r="LC103" s="1"/>
      <c r="LD103" s="1"/>
      <c r="LO103" s="1"/>
      <c r="LP103" s="1"/>
      <c r="LZ103" s="1"/>
      <c r="MA103" s="1"/>
    </row>
    <row r="104" spans="4:339" ht="13" x14ac:dyDescent="0.15">
      <c r="D104" s="12"/>
      <c r="E104" s="12"/>
      <c r="I104" s="12"/>
      <c r="J104" s="13"/>
      <c r="BF104" s="1"/>
      <c r="BG104" s="1"/>
      <c r="BH104" s="1"/>
      <c r="BI104" s="1"/>
      <c r="BK104" s="1"/>
      <c r="BL104" s="1"/>
      <c r="BM104" s="1"/>
      <c r="BN104" s="1"/>
      <c r="BO104" s="1"/>
      <c r="BP104" s="1"/>
      <c r="BQ104" s="1"/>
      <c r="BR104" s="1"/>
      <c r="BX104" s="1"/>
      <c r="CD104" s="1"/>
      <c r="CE104" s="1"/>
      <c r="CF104" s="1"/>
      <c r="CG104" s="1"/>
      <c r="CH104" s="1"/>
      <c r="CI104" s="1"/>
      <c r="CM104" s="4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M104" s="1"/>
      <c r="DQ104" s="1"/>
      <c r="DR104" s="1"/>
      <c r="DY104" s="1"/>
      <c r="DZ104" s="1"/>
      <c r="ED104" s="1"/>
      <c r="EF104" s="1"/>
      <c r="EK104" s="1"/>
      <c r="EL104" s="1"/>
      <c r="EM104" s="1"/>
      <c r="EN104" s="1"/>
      <c r="EQ104" s="1"/>
      <c r="ER104" s="1"/>
      <c r="ES104" s="1"/>
      <c r="EV104" s="1"/>
      <c r="EW104" s="1"/>
      <c r="EX104" s="1"/>
      <c r="EZ104" s="1"/>
      <c r="FA104" s="1"/>
      <c r="FD104" s="1"/>
      <c r="FG104" s="1"/>
      <c r="FH104" s="1"/>
      <c r="FI104" s="1"/>
      <c r="FJ104" s="1"/>
      <c r="FK104" s="1"/>
      <c r="FL104" s="1"/>
      <c r="FM104" s="1"/>
      <c r="FN104" s="1"/>
      <c r="FO104" s="1"/>
      <c r="FP104" s="1"/>
      <c r="FQ104" s="1"/>
      <c r="FS104" s="1"/>
      <c r="FT104" s="1"/>
      <c r="FU104" s="1"/>
      <c r="FV104" s="1"/>
      <c r="FW104" s="1"/>
      <c r="FX104" s="1"/>
      <c r="FY104" s="1"/>
      <c r="FZ104" s="1"/>
      <c r="GA104" s="1"/>
      <c r="GB104" s="1"/>
      <c r="GD104" s="1"/>
      <c r="GE104" s="1"/>
      <c r="GF104" s="1"/>
      <c r="GG104" s="1"/>
      <c r="GH104" s="1"/>
      <c r="GI104" s="1"/>
      <c r="GJ104" s="1"/>
      <c r="GK104" s="1"/>
      <c r="GL104" s="1"/>
      <c r="GM104" s="1"/>
      <c r="GN104" s="1"/>
      <c r="GO104" s="1"/>
      <c r="GP104" s="1"/>
      <c r="GR104" s="1"/>
      <c r="GY104" s="1"/>
      <c r="HF104" s="1"/>
      <c r="HH104" s="1"/>
      <c r="HN104" s="1"/>
      <c r="HY104" s="1"/>
      <c r="IC104" s="1"/>
      <c r="IE104" s="1"/>
      <c r="IR104" s="1"/>
      <c r="IS104" s="1"/>
      <c r="IZ104" s="1"/>
      <c r="JF104" s="1"/>
      <c r="JG104" s="1"/>
      <c r="JJ104" s="1"/>
      <c r="JN104" s="1"/>
      <c r="JP104" s="1"/>
      <c r="JQ104" s="1"/>
      <c r="JT104" s="1"/>
      <c r="KU104" s="1"/>
      <c r="KV104" s="1"/>
      <c r="KW104" s="1"/>
      <c r="KY104" s="1"/>
      <c r="KZ104" s="1"/>
      <c r="LA104" s="1"/>
      <c r="LB104" s="1"/>
      <c r="LC104" s="1"/>
      <c r="LD104" s="1"/>
      <c r="LO104" s="1"/>
      <c r="LP104" s="1"/>
      <c r="LZ104" s="1"/>
      <c r="MA104" s="1"/>
    </row>
    <row r="105" spans="4:339" ht="13" x14ac:dyDescent="0.15">
      <c r="D105" s="12"/>
      <c r="E105" s="12"/>
      <c r="I105" s="12"/>
      <c r="J105" s="13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X105" s="1"/>
      <c r="CD105" s="1"/>
      <c r="CE105" s="1"/>
      <c r="CF105" s="1"/>
      <c r="CG105" s="1"/>
      <c r="CH105" s="1"/>
      <c r="CI105" s="1"/>
      <c r="CM105" s="2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Q105" s="1"/>
      <c r="DR105" s="1"/>
      <c r="DY105" s="1"/>
      <c r="DZ105" s="1"/>
      <c r="ED105" s="1"/>
      <c r="EF105" s="1"/>
      <c r="EK105" s="1"/>
      <c r="EL105" s="1"/>
      <c r="EM105" s="1"/>
      <c r="EN105" s="1"/>
      <c r="EQ105" s="1"/>
      <c r="ER105" s="1"/>
      <c r="ES105" s="1"/>
      <c r="EV105" s="1"/>
      <c r="EW105" s="1"/>
      <c r="EZ105" s="1"/>
      <c r="FA105" s="1"/>
      <c r="FD105" s="1"/>
      <c r="FG105" s="1"/>
      <c r="FH105" s="1"/>
      <c r="FI105" s="1"/>
      <c r="FJ105" s="1"/>
      <c r="FK105" s="1"/>
      <c r="FM105" s="1"/>
      <c r="FN105" s="1"/>
      <c r="FO105" s="1"/>
      <c r="FP105" s="1"/>
      <c r="FQ105" s="1"/>
      <c r="FR105" s="1"/>
      <c r="FS105" s="1"/>
      <c r="FT105" s="1"/>
      <c r="FU105" s="1"/>
      <c r="FV105" s="1"/>
      <c r="FW105" s="1"/>
      <c r="FX105" s="1"/>
      <c r="FY105" s="1"/>
      <c r="FZ105" s="1"/>
      <c r="GA105" s="1"/>
      <c r="GB105" s="1"/>
      <c r="GD105" s="1"/>
      <c r="GE105" s="1"/>
      <c r="GF105" s="1"/>
      <c r="GG105" s="1"/>
      <c r="GH105" s="1"/>
      <c r="GI105" s="1"/>
      <c r="GJ105" s="1"/>
      <c r="GK105" s="1"/>
      <c r="GL105" s="1"/>
      <c r="GM105" s="1"/>
      <c r="GN105" s="1"/>
      <c r="GO105" s="1"/>
      <c r="GP105" s="1"/>
      <c r="GR105" s="1"/>
      <c r="GY105" s="1"/>
      <c r="HH105" s="1"/>
      <c r="HT105" s="1"/>
      <c r="HY105" s="1"/>
      <c r="ID105" s="1"/>
      <c r="IE105" s="1"/>
      <c r="IG105" s="1"/>
      <c r="IH105" s="1"/>
      <c r="IR105" s="1"/>
      <c r="IS105" s="1"/>
      <c r="IW105" s="1"/>
      <c r="IX105" s="1"/>
      <c r="IZ105" s="1"/>
      <c r="JB105" s="1"/>
      <c r="JC105" s="1"/>
      <c r="JG105" s="1"/>
      <c r="JJ105" s="1"/>
      <c r="JK105" s="1"/>
      <c r="JL105" s="3"/>
      <c r="JM105" s="1"/>
      <c r="JN105" s="1"/>
      <c r="JP105" s="1"/>
      <c r="JQ105" s="1"/>
      <c r="JR105" s="1"/>
      <c r="JT105" s="1"/>
      <c r="KV105" s="1"/>
      <c r="KY105" s="1"/>
      <c r="KZ105" s="1"/>
      <c r="LA105" s="1"/>
      <c r="LB105" s="1"/>
      <c r="LC105" s="1"/>
      <c r="LD105" s="1"/>
      <c r="LO105" s="1"/>
      <c r="LP105" s="1"/>
      <c r="LZ105" s="1"/>
      <c r="MA105" s="1"/>
    </row>
    <row r="106" spans="4:339" ht="13" x14ac:dyDescent="0.15">
      <c r="D106" s="12"/>
      <c r="E106" s="12"/>
      <c r="I106" s="12"/>
      <c r="J106" s="13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CD106" s="1"/>
      <c r="CE106" s="1"/>
      <c r="CF106" s="1"/>
      <c r="CG106" s="1"/>
      <c r="CH106" s="1"/>
      <c r="CI106" s="1"/>
      <c r="CM106" s="2"/>
      <c r="CN106" s="1"/>
      <c r="CO106" s="1"/>
      <c r="CP106" s="1"/>
      <c r="CQ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ED106" s="1"/>
      <c r="EK106" s="1"/>
      <c r="EL106" s="1"/>
      <c r="EM106" s="1"/>
      <c r="EN106" s="1"/>
      <c r="EQ106" s="1"/>
      <c r="ER106" s="1"/>
      <c r="ES106" s="1"/>
      <c r="EV106" s="1"/>
      <c r="EW106" s="1"/>
      <c r="EZ106" s="1"/>
      <c r="FA106" s="1"/>
      <c r="FD106" s="1"/>
      <c r="FG106" s="1"/>
      <c r="FH106" s="1"/>
      <c r="FJ106" s="1"/>
      <c r="FP106" s="1"/>
      <c r="FS106" s="1"/>
      <c r="FT106" s="1"/>
      <c r="FW106" s="1"/>
      <c r="FX106" s="1"/>
      <c r="FZ106" s="1"/>
      <c r="GA106" s="1"/>
      <c r="GD106" s="1"/>
      <c r="GE106" s="1"/>
      <c r="GF106" s="1"/>
      <c r="GG106" s="1"/>
      <c r="GH106" s="1"/>
      <c r="GI106" s="1"/>
      <c r="GJ106" s="1"/>
      <c r="GP106" s="1"/>
      <c r="GV106" s="1"/>
      <c r="HF106" s="1"/>
      <c r="HH106" s="1"/>
      <c r="HN106" s="1"/>
      <c r="HY106" s="1"/>
      <c r="ID106" s="1"/>
      <c r="IE106" s="1"/>
      <c r="IG106" s="1"/>
      <c r="IR106" s="1"/>
      <c r="IS106" s="1"/>
      <c r="IZ106" s="1"/>
      <c r="JC106" s="1"/>
      <c r="JF106" s="1"/>
      <c r="JG106" s="1"/>
      <c r="JJ106" s="1"/>
      <c r="JK106" s="1"/>
      <c r="JL106" s="3"/>
      <c r="JM106" s="1"/>
      <c r="JP106" s="1"/>
      <c r="JQ106" s="1"/>
      <c r="JR106" s="1"/>
      <c r="JT106" s="1"/>
      <c r="KU106" s="1"/>
      <c r="KV106" s="1"/>
      <c r="KW106" s="1"/>
      <c r="KY106" s="1"/>
      <c r="KZ106" s="1"/>
      <c r="LA106" s="1"/>
      <c r="LB106" s="1"/>
      <c r="LC106" s="1"/>
      <c r="LD106" s="1"/>
      <c r="LO106" s="1"/>
      <c r="LP106" s="1"/>
      <c r="LZ106" s="1"/>
      <c r="MA106" s="1"/>
    </row>
    <row r="107" spans="4:339" ht="13" x14ac:dyDescent="0.15">
      <c r="D107" s="12"/>
      <c r="E107" s="12"/>
      <c r="I107" s="12"/>
      <c r="J107" s="13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CD107" s="1"/>
      <c r="CE107" s="1"/>
      <c r="CF107" s="1"/>
      <c r="CG107" s="1"/>
      <c r="CH107" s="1"/>
      <c r="CI107" s="1"/>
      <c r="CJ107" s="1"/>
      <c r="CM107" s="2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Q107" s="1"/>
      <c r="DR107" s="1"/>
      <c r="DY107" s="1"/>
      <c r="DZ107" s="1"/>
      <c r="ED107" s="1"/>
      <c r="EE107" s="1"/>
      <c r="EF107" s="1"/>
      <c r="EG107" s="1"/>
      <c r="EH107" s="1"/>
      <c r="EK107" s="1"/>
      <c r="EL107" s="1"/>
      <c r="EM107" s="1"/>
      <c r="EN107" s="1"/>
      <c r="EQ107" s="1"/>
      <c r="ER107" s="1"/>
      <c r="ES107" s="1"/>
      <c r="EV107" s="1"/>
      <c r="EW107" s="1"/>
      <c r="EY107" s="1"/>
      <c r="EZ107" s="1"/>
      <c r="FA107" s="1"/>
      <c r="FD107" s="1"/>
      <c r="FG107" s="1"/>
      <c r="FH107" s="1"/>
      <c r="FJ107" s="1"/>
      <c r="FP107" s="1"/>
      <c r="FS107" s="1"/>
      <c r="FU107" s="1"/>
      <c r="FV107" s="1"/>
      <c r="GA107" s="1"/>
      <c r="GD107" s="1"/>
      <c r="GE107" s="1"/>
      <c r="GF107" s="1"/>
      <c r="GG107" s="1"/>
      <c r="GH107" s="1"/>
      <c r="GI107" s="1"/>
      <c r="GJ107" s="1"/>
      <c r="GN107" s="1"/>
      <c r="GP107" s="1"/>
      <c r="GR107" s="1"/>
      <c r="HH107" s="1"/>
      <c r="HN107" s="1"/>
      <c r="HT107" s="1"/>
      <c r="HY107" s="1"/>
      <c r="IA107" s="1"/>
      <c r="IE107" s="1"/>
      <c r="IF107" s="1"/>
      <c r="IG107" s="1"/>
      <c r="IJ107" s="1"/>
      <c r="IR107" s="1"/>
      <c r="IS107" s="1"/>
      <c r="IZ107" s="1"/>
      <c r="JC107" s="1"/>
      <c r="JF107" s="1"/>
      <c r="JG107" s="1"/>
      <c r="JH107" s="1"/>
      <c r="JJ107" s="1"/>
      <c r="JK107" s="1"/>
      <c r="JL107" s="3"/>
      <c r="JM107" s="1"/>
      <c r="JN107" s="1"/>
      <c r="JP107" s="1"/>
      <c r="JQ107" s="1"/>
      <c r="JR107" s="1"/>
      <c r="JT107" s="1"/>
      <c r="KY107" s="1"/>
      <c r="KZ107" s="1"/>
      <c r="LA107" s="1"/>
      <c r="LB107" s="1"/>
      <c r="LC107" s="1"/>
      <c r="LD107" s="1"/>
      <c r="LO107" s="1"/>
      <c r="LP107" s="1"/>
      <c r="LZ107" s="1"/>
      <c r="MA107" s="1"/>
    </row>
    <row r="108" spans="4:339" ht="13" x14ac:dyDescent="0.15">
      <c r="D108" s="12"/>
      <c r="E108" s="12"/>
      <c r="I108" s="12"/>
      <c r="J108" s="13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CD108" s="1"/>
      <c r="CE108" s="1"/>
      <c r="CF108" s="1"/>
      <c r="CG108" s="1"/>
      <c r="CH108" s="1"/>
      <c r="CI108" s="1"/>
      <c r="CJ108" s="1"/>
      <c r="CM108" s="2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Q108" s="1"/>
      <c r="DR108" s="1"/>
      <c r="DY108" s="1"/>
      <c r="DZ108" s="1"/>
      <c r="ED108" s="1"/>
      <c r="EE108" s="1"/>
      <c r="EF108" s="1"/>
      <c r="EG108" s="1"/>
      <c r="EH108" s="1"/>
      <c r="EK108" s="1"/>
      <c r="EL108" s="1"/>
      <c r="EM108" s="1"/>
      <c r="EN108" s="1"/>
      <c r="EQ108" s="1"/>
      <c r="ER108" s="1"/>
      <c r="ES108" s="1"/>
      <c r="EV108" s="1"/>
      <c r="EW108" s="1"/>
      <c r="EY108" s="1"/>
      <c r="EZ108" s="1"/>
      <c r="FA108" s="1"/>
      <c r="FD108" s="1"/>
      <c r="FG108" s="1"/>
      <c r="FH108" s="1"/>
      <c r="FJ108" s="1"/>
      <c r="FP108" s="1"/>
      <c r="FS108" s="1"/>
      <c r="FU108" s="1"/>
      <c r="FV108" s="1"/>
      <c r="GA108" s="1"/>
      <c r="GD108" s="1"/>
      <c r="GE108" s="1"/>
      <c r="GF108" s="1"/>
      <c r="GG108" s="1"/>
      <c r="GH108" s="1"/>
      <c r="GI108" s="1"/>
      <c r="GJ108" s="1"/>
      <c r="GN108" s="1"/>
      <c r="GP108" s="1"/>
      <c r="GR108" s="1"/>
      <c r="HH108" s="1"/>
      <c r="HN108" s="1"/>
      <c r="HT108" s="1"/>
      <c r="HY108" s="1"/>
      <c r="IA108" s="1"/>
      <c r="IE108" s="1"/>
      <c r="IF108" s="1"/>
      <c r="IG108" s="1"/>
      <c r="IJ108" s="1"/>
      <c r="IR108" s="1"/>
      <c r="IS108" s="1"/>
      <c r="IZ108" s="1"/>
      <c r="JC108" s="1"/>
      <c r="JF108" s="1"/>
      <c r="JG108" s="1"/>
      <c r="JH108" s="1"/>
      <c r="JJ108" s="1"/>
      <c r="JK108" s="1"/>
      <c r="JL108" s="3"/>
      <c r="JM108" s="1"/>
      <c r="JN108" s="1"/>
      <c r="JP108" s="1"/>
      <c r="JQ108" s="1"/>
      <c r="JR108" s="1"/>
      <c r="JT108" s="1"/>
      <c r="KY108" s="1"/>
      <c r="KZ108" s="1"/>
      <c r="LA108" s="1"/>
      <c r="LB108" s="1"/>
      <c r="LC108" s="1"/>
      <c r="LD108" s="1"/>
      <c r="LO108" s="1"/>
      <c r="LP108" s="1"/>
      <c r="LZ108" s="1"/>
      <c r="MA108" s="1"/>
    </row>
    <row r="109" spans="4:339" ht="13" x14ac:dyDescent="0.15">
      <c r="D109" s="12"/>
      <c r="E109" s="12"/>
      <c r="I109" s="12"/>
      <c r="J109" s="13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CD109" s="1"/>
      <c r="CE109" s="1"/>
      <c r="CF109" s="1"/>
      <c r="CG109" s="1"/>
      <c r="CH109" s="1"/>
      <c r="CI109" s="1"/>
      <c r="CJ109" s="1"/>
      <c r="CM109" s="2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Q109" s="1"/>
      <c r="DR109" s="1"/>
      <c r="DY109" s="1"/>
      <c r="DZ109" s="1"/>
      <c r="ED109" s="1"/>
      <c r="EE109" s="1"/>
      <c r="EF109" s="1"/>
      <c r="EG109" s="1"/>
      <c r="EH109" s="1"/>
      <c r="EK109" s="1"/>
      <c r="EL109" s="1"/>
      <c r="EM109" s="1"/>
      <c r="EN109" s="1"/>
      <c r="EQ109" s="1"/>
      <c r="ER109" s="1"/>
      <c r="ES109" s="1"/>
      <c r="EV109" s="1"/>
      <c r="EW109" s="1"/>
      <c r="EY109" s="1"/>
      <c r="EZ109" s="1"/>
      <c r="FA109" s="1"/>
      <c r="FD109" s="1"/>
      <c r="FG109" s="1"/>
      <c r="FH109" s="1"/>
      <c r="FJ109" s="1"/>
      <c r="FP109" s="1"/>
      <c r="FS109" s="1"/>
      <c r="FU109" s="1"/>
      <c r="FV109" s="1"/>
      <c r="GA109" s="1"/>
      <c r="GD109" s="1"/>
      <c r="GE109" s="1"/>
      <c r="GF109" s="1"/>
      <c r="GG109" s="1"/>
      <c r="GH109" s="1"/>
      <c r="GI109" s="1"/>
      <c r="GJ109" s="1"/>
      <c r="GN109" s="1"/>
      <c r="GP109" s="1"/>
      <c r="GR109" s="1"/>
      <c r="HH109" s="1"/>
      <c r="HN109" s="1"/>
      <c r="HT109" s="1"/>
      <c r="HY109" s="1"/>
      <c r="IA109" s="1"/>
      <c r="IE109" s="1"/>
      <c r="IF109" s="1"/>
      <c r="IG109" s="1"/>
      <c r="IJ109" s="1"/>
      <c r="IR109" s="1"/>
      <c r="IS109" s="1"/>
      <c r="IZ109" s="1"/>
      <c r="JC109" s="1"/>
      <c r="JF109" s="1"/>
      <c r="JG109" s="1"/>
      <c r="JH109" s="1"/>
      <c r="JJ109" s="1"/>
      <c r="JK109" s="1"/>
      <c r="JL109" s="3"/>
      <c r="JM109" s="1"/>
      <c r="JN109" s="1"/>
      <c r="JP109" s="1"/>
      <c r="JQ109" s="1"/>
      <c r="JR109" s="1"/>
      <c r="JT109" s="1"/>
      <c r="KY109" s="1"/>
      <c r="KZ109" s="1"/>
      <c r="LA109" s="1"/>
      <c r="LB109" s="1"/>
      <c r="LC109" s="1"/>
      <c r="LD109" s="1"/>
      <c r="LO109" s="1"/>
      <c r="LP109" s="1"/>
      <c r="LZ109" s="1"/>
      <c r="MA109" s="1"/>
    </row>
    <row r="110" spans="4:339" ht="13" x14ac:dyDescent="0.15">
      <c r="D110" s="12"/>
      <c r="E110" s="12"/>
      <c r="I110" s="12"/>
      <c r="J110" s="13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CD110" s="1"/>
      <c r="CE110" s="1"/>
      <c r="CF110" s="1"/>
      <c r="CG110" s="1"/>
      <c r="CH110" s="1"/>
      <c r="CI110" s="1"/>
      <c r="CJ110" s="1"/>
      <c r="CM110" s="2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Q110" s="1"/>
      <c r="DR110" s="1"/>
      <c r="DY110" s="1"/>
      <c r="DZ110" s="1"/>
      <c r="ED110" s="1"/>
      <c r="EE110" s="1"/>
      <c r="EF110" s="1"/>
      <c r="EG110" s="1"/>
      <c r="EH110" s="1"/>
      <c r="EK110" s="1"/>
      <c r="EL110" s="1"/>
      <c r="EM110" s="1"/>
      <c r="EN110" s="1"/>
      <c r="EQ110" s="1"/>
      <c r="ER110" s="1"/>
      <c r="ES110" s="1"/>
      <c r="EV110" s="1"/>
      <c r="EW110" s="1"/>
      <c r="EY110" s="1"/>
      <c r="EZ110" s="1"/>
      <c r="FA110" s="1"/>
      <c r="FD110" s="1"/>
      <c r="FG110" s="1"/>
      <c r="FH110" s="1"/>
      <c r="FJ110" s="1"/>
      <c r="FP110" s="1"/>
      <c r="FS110" s="1"/>
      <c r="FU110" s="1"/>
      <c r="FV110" s="1"/>
      <c r="GA110" s="1"/>
      <c r="GD110" s="1"/>
      <c r="GE110" s="1"/>
      <c r="GF110" s="1"/>
      <c r="GG110" s="1"/>
      <c r="GH110" s="1"/>
      <c r="GI110" s="1"/>
      <c r="GJ110" s="1"/>
      <c r="GN110" s="1"/>
      <c r="GP110" s="1"/>
      <c r="GR110" s="1"/>
      <c r="HH110" s="1"/>
      <c r="HN110" s="1"/>
      <c r="HT110" s="1"/>
      <c r="HY110" s="1"/>
      <c r="IA110" s="1"/>
      <c r="IE110" s="1"/>
      <c r="IF110" s="1"/>
      <c r="IG110" s="1"/>
      <c r="IJ110" s="1"/>
      <c r="IR110" s="1"/>
      <c r="IS110" s="1"/>
      <c r="IZ110" s="1"/>
      <c r="JC110" s="1"/>
      <c r="JF110" s="1"/>
      <c r="JG110" s="1"/>
      <c r="JH110" s="1"/>
      <c r="JJ110" s="1"/>
      <c r="JK110" s="1"/>
      <c r="JL110" s="3"/>
      <c r="JM110" s="1"/>
      <c r="JN110" s="1"/>
      <c r="JP110" s="1"/>
      <c r="JQ110" s="1"/>
      <c r="JR110" s="1"/>
      <c r="JT110" s="1"/>
      <c r="KY110" s="1"/>
      <c r="KZ110" s="1"/>
      <c r="LA110" s="1"/>
      <c r="LB110" s="1"/>
      <c r="LC110" s="1"/>
      <c r="LD110" s="1"/>
      <c r="LO110" s="1"/>
      <c r="LP110" s="1"/>
      <c r="LZ110" s="1"/>
      <c r="MA110" s="1"/>
    </row>
    <row r="111" spans="4:339" ht="13" x14ac:dyDescent="0.15">
      <c r="D111" s="12"/>
      <c r="E111" s="12"/>
      <c r="I111" s="12"/>
      <c r="J111" s="13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CD111" s="1"/>
      <c r="CE111" s="1"/>
      <c r="CF111" s="1"/>
      <c r="CG111" s="1"/>
      <c r="CH111" s="1"/>
      <c r="CI111" s="1"/>
      <c r="CJ111" s="1"/>
      <c r="CM111" s="2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Q111" s="1"/>
      <c r="DR111" s="1"/>
      <c r="DY111" s="1"/>
      <c r="DZ111" s="1"/>
      <c r="ED111" s="1"/>
      <c r="EE111" s="1"/>
      <c r="EF111" s="1"/>
      <c r="EG111" s="1"/>
      <c r="EH111" s="1"/>
      <c r="EK111" s="1"/>
      <c r="EL111" s="1"/>
      <c r="EM111" s="1"/>
      <c r="EN111" s="1"/>
      <c r="EQ111" s="1"/>
      <c r="ER111" s="1"/>
      <c r="ES111" s="1"/>
      <c r="EV111" s="1"/>
      <c r="EW111" s="1"/>
      <c r="EY111" s="1"/>
      <c r="EZ111" s="1"/>
      <c r="FA111" s="1"/>
      <c r="FD111" s="1"/>
      <c r="FG111" s="1"/>
      <c r="FH111" s="1"/>
      <c r="FJ111" s="1"/>
      <c r="FP111" s="1"/>
      <c r="FS111" s="1"/>
      <c r="FU111" s="1"/>
      <c r="FV111" s="1"/>
      <c r="GA111" s="1"/>
      <c r="GD111" s="1"/>
      <c r="GE111" s="1"/>
      <c r="GF111" s="1"/>
      <c r="GG111" s="1"/>
      <c r="GH111" s="1"/>
      <c r="GI111" s="1"/>
      <c r="GJ111" s="1"/>
      <c r="GN111" s="1"/>
      <c r="GP111" s="1"/>
      <c r="GR111" s="1"/>
      <c r="HH111" s="1"/>
      <c r="HN111" s="1"/>
      <c r="HT111" s="1"/>
      <c r="HY111" s="1"/>
      <c r="IA111" s="1"/>
      <c r="IE111" s="1"/>
      <c r="IF111" s="1"/>
      <c r="IG111" s="1"/>
      <c r="IJ111" s="1"/>
      <c r="IR111" s="1"/>
      <c r="IS111" s="1"/>
      <c r="IZ111" s="1"/>
      <c r="JC111" s="1"/>
      <c r="JF111" s="1"/>
      <c r="JG111" s="1"/>
      <c r="JH111" s="1"/>
      <c r="JJ111" s="1"/>
      <c r="JK111" s="1"/>
      <c r="JL111" s="3"/>
      <c r="JM111" s="1"/>
      <c r="JN111" s="1"/>
      <c r="JP111" s="1"/>
      <c r="JQ111" s="1"/>
      <c r="JR111" s="1"/>
      <c r="JT111" s="1"/>
      <c r="KY111" s="1"/>
      <c r="KZ111" s="1"/>
      <c r="LA111" s="1"/>
      <c r="LB111" s="1"/>
      <c r="LC111" s="1"/>
      <c r="LD111" s="1"/>
      <c r="LO111" s="1"/>
      <c r="LP111" s="1"/>
      <c r="LZ111" s="1"/>
      <c r="MA111" s="1"/>
    </row>
    <row r="112" spans="4:339" ht="13" x14ac:dyDescent="0.15">
      <c r="D112" s="12"/>
      <c r="E112" s="12"/>
      <c r="I112" s="12"/>
      <c r="J112" s="13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CD112" s="1"/>
      <c r="CE112" s="1"/>
      <c r="CF112" s="1"/>
      <c r="CG112" s="1"/>
      <c r="CH112" s="1"/>
      <c r="CI112" s="1"/>
      <c r="CJ112" s="1"/>
      <c r="CM112" s="2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Q112" s="1"/>
      <c r="DR112" s="1"/>
      <c r="DY112" s="1"/>
      <c r="DZ112" s="1"/>
      <c r="ED112" s="1"/>
      <c r="EE112" s="1"/>
      <c r="EF112" s="1"/>
      <c r="EG112" s="1"/>
      <c r="EH112" s="1"/>
      <c r="EK112" s="1"/>
      <c r="EL112" s="1"/>
      <c r="EM112" s="1"/>
      <c r="EN112" s="1"/>
      <c r="EQ112" s="1"/>
      <c r="ER112" s="1"/>
      <c r="ES112" s="1"/>
      <c r="EV112" s="1"/>
      <c r="EW112" s="1"/>
      <c r="EY112" s="1"/>
      <c r="EZ112" s="1"/>
      <c r="FA112" s="1"/>
      <c r="FD112" s="1"/>
      <c r="FG112" s="1"/>
      <c r="FH112" s="1"/>
      <c r="FJ112" s="1"/>
      <c r="FP112" s="1"/>
      <c r="FS112" s="1"/>
      <c r="FU112" s="1"/>
      <c r="FV112" s="1"/>
      <c r="GA112" s="1"/>
      <c r="GD112" s="1"/>
      <c r="GE112" s="1"/>
      <c r="GF112" s="1"/>
      <c r="GG112" s="1"/>
      <c r="GH112" s="1"/>
      <c r="GI112" s="1"/>
      <c r="GJ112" s="1"/>
      <c r="GN112" s="1"/>
      <c r="GP112" s="1"/>
      <c r="GR112" s="1"/>
      <c r="HH112" s="1"/>
      <c r="HN112" s="1"/>
      <c r="HT112" s="1"/>
      <c r="HY112" s="1"/>
      <c r="IA112" s="1"/>
      <c r="IE112" s="1"/>
      <c r="IF112" s="1"/>
      <c r="IG112" s="1"/>
      <c r="IJ112" s="1"/>
      <c r="IR112" s="1"/>
      <c r="IS112" s="1"/>
      <c r="IZ112" s="1"/>
      <c r="JC112" s="1"/>
      <c r="JF112" s="1"/>
      <c r="JG112" s="1"/>
      <c r="JH112" s="1"/>
      <c r="JJ112" s="1"/>
      <c r="JK112" s="1"/>
      <c r="JL112" s="3"/>
      <c r="JM112" s="1"/>
      <c r="JN112" s="1"/>
      <c r="JP112" s="1"/>
      <c r="JQ112" s="1"/>
      <c r="JR112" s="1"/>
      <c r="JT112" s="1"/>
      <c r="KY112" s="1"/>
      <c r="KZ112" s="1"/>
      <c r="LA112" s="1"/>
      <c r="LB112" s="1"/>
      <c r="LC112" s="1"/>
      <c r="LD112" s="1"/>
      <c r="LO112" s="1"/>
      <c r="LP112" s="1"/>
      <c r="LZ112" s="1"/>
      <c r="MA112" s="1"/>
    </row>
    <row r="113" spans="4:339" ht="13" x14ac:dyDescent="0.15">
      <c r="D113" s="12"/>
      <c r="E113" s="12"/>
      <c r="I113" s="12"/>
      <c r="J113" s="13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CD113" s="1"/>
      <c r="CE113" s="1"/>
      <c r="CF113" s="1"/>
      <c r="CG113" s="1"/>
      <c r="CH113" s="1"/>
      <c r="CI113" s="1"/>
      <c r="CJ113" s="1"/>
      <c r="CM113" s="2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Q113" s="1"/>
      <c r="DR113" s="1"/>
      <c r="DY113" s="1"/>
      <c r="DZ113" s="1"/>
      <c r="ED113" s="1"/>
      <c r="EE113" s="1"/>
      <c r="EF113" s="1"/>
      <c r="EG113" s="1"/>
      <c r="EH113" s="1"/>
      <c r="EK113" s="1"/>
      <c r="EL113" s="1"/>
      <c r="EM113" s="1"/>
      <c r="EN113" s="1"/>
      <c r="EQ113" s="1"/>
      <c r="ER113" s="1"/>
      <c r="ES113" s="1"/>
      <c r="EV113" s="1"/>
      <c r="EW113" s="1"/>
      <c r="EY113" s="1"/>
      <c r="EZ113" s="1"/>
      <c r="FA113" s="1"/>
      <c r="FD113" s="1"/>
      <c r="FG113" s="1"/>
      <c r="FH113" s="1"/>
      <c r="FJ113" s="1"/>
      <c r="FP113" s="1"/>
      <c r="FS113" s="1"/>
      <c r="FU113" s="1"/>
      <c r="FV113" s="1"/>
      <c r="GA113" s="1"/>
      <c r="GD113" s="1"/>
      <c r="GE113" s="1"/>
      <c r="GF113" s="1"/>
      <c r="GG113" s="1"/>
      <c r="GH113" s="1"/>
      <c r="GI113" s="1"/>
      <c r="GJ113" s="1"/>
      <c r="GN113" s="1"/>
      <c r="GP113" s="1"/>
      <c r="GR113" s="1"/>
      <c r="HH113" s="1"/>
      <c r="HN113" s="1"/>
      <c r="HT113" s="1"/>
      <c r="HY113" s="1"/>
      <c r="IA113" s="1"/>
      <c r="IE113" s="1"/>
      <c r="IF113" s="1"/>
      <c r="IG113" s="1"/>
      <c r="IJ113" s="1"/>
      <c r="IR113" s="1"/>
      <c r="IS113" s="1"/>
      <c r="IZ113" s="1"/>
      <c r="JC113" s="1"/>
      <c r="JF113" s="1"/>
      <c r="JG113" s="1"/>
      <c r="JH113" s="1"/>
      <c r="JJ113" s="1"/>
      <c r="JK113" s="1"/>
      <c r="JL113" s="3"/>
      <c r="JM113" s="1"/>
      <c r="JN113" s="1"/>
      <c r="JP113" s="1"/>
      <c r="JQ113" s="1"/>
      <c r="JR113" s="1"/>
      <c r="JT113" s="1"/>
      <c r="KY113" s="1"/>
      <c r="KZ113" s="1"/>
      <c r="LA113" s="1"/>
      <c r="LB113" s="1"/>
      <c r="LC113" s="1"/>
      <c r="LD113" s="1"/>
      <c r="LO113" s="1"/>
      <c r="LP113" s="1"/>
      <c r="LZ113" s="1"/>
      <c r="MA113" s="1"/>
    </row>
    <row r="114" spans="4:339" ht="13" x14ac:dyDescent="0.15">
      <c r="D114" s="12"/>
      <c r="E114" s="12"/>
      <c r="I114" s="12"/>
      <c r="J114" s="13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CD114" s="1"/>
      <c r="CE114" s="1"/>
      <c r="CF114" s="1"/>
      <c r="CG114" s="1"/>
      <c r="CH114" s="1"/>
      <c r="CI114" s="1"/>
      <c r="CJ114" s="1"/>
      <c r="CM114" s="2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Q114" s="1"/>
      <c r="DR114" s="1"/>
      <c r="DY114" s="1"/>
      <c r="DZ114" s="1"/>
      <c r="ED114" s="1"/>
      <c r="EE114" s="1"/>
      <c r="EF114" s="1"/>
      <c r="EG114" s="1"/>
      <c r="EH114" s="1"/>
      <c r="EK114" s="1"/>
      <c r="EL114" s="1"/>
      <c r="EM114" s="1"/>
      <c r="EN114" s="1"/>
      <c r="EQ114" s="1"/>
      <c r="ER114" s="1"/>
      <c r="ES114" s="1"/>
      <c r="EV114" s="1"/>
      <c r="EW114" s="1"/>
      <c r="EY114" s="1"/>
      <c r="EZ114" s="1"/>
      <c r="FA114" s="1"/>
      <c r="FD114" s="1"/>
      <c r="FG114" s="1"/>
      <c r="FH114" s="1"/>
      <c r="FJ114" s="1"/>
      <c r="FP114" s="1"/>
      <c r="FS114" s="1"/>
      <c r="FU114" s="1"/>
      <c r="FV114" s="1"/>
      <c r="GA114" s="1"/>
      <c r="GD114" s="1"/>
      <c r="GE114" s="1"/>
      <c r="GF114" s="1"/>
      <c r="GG114" s="1"/>
      <c r="GH114" s="1"/>
      <c r="GI114" s="1"/>
      <c r="GJ114" s="1"/>
      <c r="GN114" s="1"/>
      <c r="GP114" s="1"/>
      <c r="GR114" s="1"/>
      <c r="HH114" s="1"/>
      <c r="HN114" s="1"/>
      <c r="HT114" s="1"/>
      <c r="HY114" s="1"/>
      <c r="IA114" s="1"/>
      <c r="IE114" s="1"/>
      <c r="IF114" s="1"/>
      <c r="IG114" s="1"/>
      <c r="IJ114" s="1"/>
      <c r="IR114" s="1"/>
      <c r="IS114" s="1"/>
      <c r="IZ114" s="1"/>
      <c r="JC114" s="1"/>
      <c r="JF114" s="1"/>
      <c r="JG114" s="1"/>
      <c r="JH114" s="1"/>
      <c r="JJ114" s="1"/>
      <c r="JK114" s="1"/>
      <c r="JL114" s="3"/>
      <c r="JM114" s="1"/>
      <c r="JN114" s="1"/>
      <c r="JP114" s="1"/>
      <c r="JQ114" s="1"/>
      <c r="JR114" s="1"/>
      <c r="JT114" s="1"/>
      <c r="KY114" s="1"/>
      <c r="KZ114" s="1"/>
      <c r="LA114" s="1"/>
      <c r="LB114" s="1"/>
      <c r="LC114" s="1"/>
      <c r="LD114" s="1"/>
      <c r="LO114" s="1"/>
      <c r="LP114" s="1"/>
      <c r="LZ114" s="1"/>
      <c r="MA114" s="1"/>
    </row>
    <row r="115" spans="4:339" ht="13" x14ac:dyDescent="0.15">
      <c r="D115" s="12"/>
      <c r="E115" s="12"/>
      <c r="I115" s="12"/>
      <c r="J115" s="13"/>
      <c r="BF115" s="1"/>
      <c r="BG115" s="1"/>
      <c r="BH115" s="1"/>
      <c r="BI115" s="1"/>
      <c r="BK115" s="1"/>
      <c r="BL115" s="1"/>
      <c r="BM115" s="1"/>
      <c r="BN115" s="1"/>
      <c r="BO115" s="1"/>
      <c r="BP115" s="1"/>
      <c r="BQ115" s="1"/>
      <c r="BR115" s="1"/>
      <c r="BX115" s="1"/>
      <c r="CD115" s="1"/>
      <c r="CE115" s="1"/>
      <c r="CF115" s="1"/>
      <c r="CG115" s="1"/>
      <c r="CH115" s="1"/>
      <c r="CI115" s="1"/>
      <c r="CM115" s="2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ED115" s="1"/>
      <c r="EE115" s="1"/>
      <c r="EF115" s="1"/>
      <c r="EG115" s="1"/>
      <c r="EH115" s="1"/>
      <c r="EK115" s="1"/>
      <c r="EL115" s="1"/>
      <c r="EM115" s="1"/>
      <c r="EN115" s="1"/>
      <c r="EQ115" s="1"/>
      <c r="ER115" s="1"/>
      <c r="ES115" s="1"/>
      <c r="EV115" s="1"/>
      <c r="EW115" s="1"/>
      <c r="EY115" s="1"/>
      <c r="EZ115" s="1"/>
      <c r="FA115" s="1"/>
      <c r="FD115" s="1"/>
      <c r="FH115" s="1"/>
      <c r="FI115" s="1"/>
      <c r="FJ115" s="1"/>
      <c r="FQ115" s="1"/>
      <c r="FW115" s="1"/>
      <c r="FX115" s="1"/>
      <c r="GA115" s="1"/>
      <c r="GD115" s="1"/>
      <c r="GE115" s="1"/>
      <c r="GF115" s="1"/>
      <c r="GG115" s="1"/>
      <c r="GH115" s="1"/>
      <c r="GI115" s="1"/>
      <c r="GJ115" s="1"/>
      <c r="GK115" s="1"/>
      <c r="GL115" s="1"/>
      <c r="GM115" s="1"/>
      <c r="GN115" s="1"/>
      <c r="GP115" s="1"/>
      <c r="GR115" s="1"/>
      <c r="GV115" s="1"/>
      <c r="GY115" s="1"/>
      <c r="HF115" s="1"/>
      <c r="HH115" s="1"/>
      <c r="HT115" s="1"/>
      <c r="HY115" s="1"/>
      <c r="IE115" s="1"/>
      <c r="IF115" s="1"/>
      <c r="IG115" s="1"/>
      <c r="IJ115" s="1"/>
      <c r="IR115" s="1"/>
      <c r="IS115" s="1"/>
      <c r="IZ115" s="1"/>
      <c r="JC115" s="1"/>
      <c r="JF115" s="1"/>
      <c r="JG115" s="1"/>
      <c r="JH115" s="1"/>
      <c r="JJ115" s="1"/>
      <c r="JK115" s="1"/>
      <c r="JL115" s="3"/>
      <c r="JM115" s="1"/>
      <c r="JP115" s="1"/>
      <c r="JQ115" s="1"/>
      <c r="JR115" s="1"/>
      <c r="JT115" s="1"/>
      <c r="KW115" s="1"/>
      <c r="KY115" s="1"/>
      <c r="KZ115" s="1"/>
      <c r="LA115" s="1"/>
      <c r="LB115" s="1"/>
      <c r="LC115" s="1"/>
      <c r="LD115" s="1"/>
      <c r="LO115" s="1"/>
      <c r="LP115" s="1"/>
      <c r="LZ115" s="1"/>
      <c r="MA115" s="1"/>
    </row>
    <row r="116" spans="4:339" ht="13" x14ac:dyDescent="0.15">
      <c r="D116" s="12"/>
      <c r="E116" s="12"/>
      <c r="I116" s="12"/>
      <c r="J116" s="13"/>
      <c r="BF116" s="1"/>
      <c r="BG116" s="1"/>
      <c r="BH116" s="1"/>
      <c r="BI116" s="1"/>
      <c r="BK116" s="1"/>
      <c r="BL116" s="1"/>
      <c r="BM116" s="1"/>
      <c r="BN116" s="1"/>
      <c r="BO116" s="1"/>
      <c r="BQ116" s="1"/>
      <c r="BR116" s="1"/>
      <c r="CD116" s="1"/>
      <c r="CH116" s="1"/>
      <c r="CI116" s="1"/>
      <c r="CM116" s="2"/>
      <c r="CN116" s="1"/>
      <c r="CO116" s="1"/>
      <c r="ED116" s="1"/>
      <c r="EL116" s="1"/>
      <c r="EM116" s="1"/>
      <c r="EN116" s="1"/>
      <c r="EQ116" s="1"/>
      <c r="ER116" s="1"/>
      <c r="ES116" s="1"/>
      <c r="EV116" s="1"/>
      <c r="EW116" s="1"/>
      <c r="EZ116" s="1"/>
      <c r="FA116" s="1"/>
      <c r="FD116" s="1"/>
      <c r="FH116" s="1"/>
      <c r="FJ116" s="1"/>
      <c r="FN116" s="1"/>
      <c r="FO116" s="1"/>
      <c r="FP116" s="1"/>
      <c r="FV116" s="1"/>
      <c r="FW116" s="1"/>
      <c r="FX116" s="1"/>
      <c r="FY116" s="1"/>
      <c r="GA116" s="1"/>
      <c r="GD116" s="1"/>
      <c r="GE116" s="1"/>
      <c r="GF116" s="1"/>
      <c r="GG116" s="1"/>
      <c r="GH116" s="1"/>
      <c r="GI116" s="1"/>
      <c r="GJ116" s="1"/>
      <c r="GK116" s="1"/>
      <c r="GL116" s="1"/>
      <c r="GM116" s="1"/>
      <c r="GN116" s="1"/>
      <c r="GP116" s="1"/>
      <c r="GR116" s="1"/>
      <c r="GV116" s="1"/>
      <c r="GY116" s="1"/>
      <c r="HF116" s="1"/>
      <c r="IS116" s="1"/>
      <c r="IZ116" s="1"/>
      <c r="JJ116" s="1"/>
      <c r="JP116" s="1"/>
      <c r="JQ116" s="1"/>
      <c r="KV116" s="1"/>
    </row>
    <row r="117" spans="4:339" ht="13" x14ac:dyDescent="0.15">
      <c r="D117" s="12"/>
      <c r="E117" s="12"/>
      <c r="I117" s="12"/>
      <c r="J117" s="13"/>
      <c r="BF117" s="1"/>
      <c r="BG117" s="1"/>
      <c r="BH117" s="1"/>
      <c r="BI117" s="1"/>
      <c r="BK117" s="1"/>
      <c r="BL117" s="1"/>
      <c r="BM117" s="1"/>
      <c r="BN117" s="1"/>
      <c r="BO117" s="1"/>
      <c r="BQ117" s="1"/>
      <c r="BR117" s="1"/>
      <c r="CD117" s="1"/>
      <c r="CH117" s="1"/>
      <c r="CI117" s="1"/>
      <c r="CM117" s="2"/>
      <c r="CN117" s="1"/>
      <c r="CO117" s="1"/>
      <c r="ED117" s="1"/>
      <c r="EL117" s="1"/>
      <c r="EM117" s="1"/>
      <c r="EN117" s="1"/>
      <c r="EQ117" s="1"/>
      <c r="ER117" s="1"/>
      <c r="ES117" s="1"/>
      <c r="EV117" s="1"/>
      <c r="EW117" s="1"/>
      <c r="EZ117" s="1"/>
      <c r="FA117" s="1"/>
      <c r="FD117" s="1"/>
      <c r="FH117" s="1"/>
      <c r="FJ117" s="1"/>
      <c r="FN117" s="1"/>
      <c r="FO117" s="1"/>
      <c r="FP117" s="1"/>
      <c r="FV117" s="1"/>
      <c r="FW117" s="1"/>
      <c r="FX117" s="1"/>
      <c r="FY117" s="1"/>
      <c r="GA117" s="1"/>
      <c r="GD117" s="1"/>
      <c r="GE117" s="1"/>
      <c r="GF117" s="1"/>
      <c r="GG117" s="1"/>
      <c r="GH117" s="1"/>
      <c r="GI117" s="1"/>
      <c r="GJ117" s="1"/>
      <c r="GK117" s="1"/>
      <c r="GL117" s="1"/>
      <c r="GM117" s="1"/>
      <c r="GN117" s="1"/>
      <c r="GP117" s="1"/>
      <c r="GR117" s="1"/>
      <c r="GV117" s="1"/>
      <c r="GY117" s="1"/>
      <c r="HF117" s="1"/>
      <c r="IS117" s="1"/>
      <c r="IZ117" s="1"/>
      <c r="JJ117" s="1"/>
      <c r="JP117" s="1"/>
      <c r="JQ117" s="1"/>
      <c r="KV117" s="1"/>
    </row>
    <row r="118" spans="4:339" ht="13" x14ac:dyDescent="0.15">
      <c r="D118" s="12"/>
      <c r="E118" s="12"/>
      <c r="I118" s="12"/>
      <c r="J118" s="13"/>
      <c r="BF118" s="1"/>
      <c r="BG118" s="1"/>
      <c r="BH118" s="1"/>
      <c r="BI118" s="1"/>
      <c r="BK118" s="1"/>
      <c r="BL118" s="1"/>
      <c r="BM118" s="1"/>
      <c r="BN118" s="1"/>
      <c r="BO118" s="1"/>
      <c r="BQ118" s="1"/>
      <c r="BR118" s="1"/>
      <c r="CD118" s="1"/>
      <c r="CH118" s="1"/>
      <c r="CI118" s="1"/>
      <c r="CM118" s="2"/>
      <c r="CN118" s="1"/>
      <c r="CO118" s="1"/>
      <c r="ED118" s="1"/>
      <c r="EL118" s="1"/>
      <c r="EM118" s="1"/>
      <c r="EN118" s="1"/>
      <c r="EQ118" s="1"/>
      <c r="ER118" s="1"/>
      <c r="ES118" s="1"/>
      <c r="EV118" s="1"/>
      <c r="EW118" s="1"/>
      <c r="EZ118" s="1"/>
      <c r="FA118" s="1"/>
      <c r="FD118" s="1"/>
      <c r="FH118" s="1"/>
      <c r="FJ118" s="1"/>
      <c r="FN118" s="1"/>
      <c r="FO118" s="1"/>
      <c r="FP118" s="1"/>
      <c r="FV118" s="1"/>
      <c r="FW118" s="1"/>
      <c r="FX118" s="1"/>
      <c r="FY118" s="1"/>
      <c r="GA118" s="1"/>
      <c r="GD118" s="1"/>
      <c r="GE118" s="1"/>
      <c r="GF118" s="1"/>
      <c r="GG118" s="1"/>
      <c r="GH118" s="1"/>
      <c r="GI118" s="1"/>
      <c r="GJ118" s="1"/>
      <c r="GK118" s="1"/>
      <c r="GL118" s="1"/>
      <c r="GM118" s="1"/>
      <c r="GN118" s="1"/>
      <c r="GP118" s="1"/>
      <c r="GR118" s="1"/>
      <c r="GV118" s="1"/>
      <c r="GY118" s="1"/>
      <c r="HF118" s="1"/>
      <c r="IS118" s="1"/>
      <c r="IZ118" s="1"/>
      <c r="JJ118" s="1"/>
      <c r="JP118" s="1"/>
      <c r="JQ118" s="1"/>
      <c r="KV118" s="1"/>
    </row>
    <row r="119" spans="4:339" ht="13" x14ac:dyDescent="0.15">
      <c r="D119" s="12"/>
      <c r="E119" s="12"/>
      <c r="I119" s="12"/>
      <c r="J119" s="13"/>
      <c r="BF119" s="1"/>
      <c r="BG119" s="1"/>
      <c r="BH119" s="1"/>
      <c r="BI119" s="1"/>
      <c r="BK119" s="1"/>
      <c r="BL119" s="1"/>
      <c r="BM119" s="1"/>
      <c r="BN119" s="1"/>
      <c r="BO119" s="1"/>
      <c r="BP119" s="1"/>
      <c r="BQ119" s="1"/>
      <c r="BR119" s="1"/>
      <c r="CD119" s="1"/>
      <c r="CE119" s="1"/>
      <c r="CF119" s="1"/>
      <c r="CG119" s="1"/>
      <c r="CH119" s="1"/>
      <c r="CI119" s="1"/>
      <c r="CM119" s="2"/>
      <c r="CN119" s="1"/>
      <c r="CO119" s="1"/>
      <c r="CP119" s="1"/>
      <c r="CQ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ED119" s="1"/>
      <c r="EK119" s="1"/>
      <c r="EL119" s="1"/>
      <c r="EM119" s="1"/>
      <c r="EN119" s="1"/>
      <c r="EQ119" s="1"/>
      <c r="ER119" s="1"/>
      <c r="ES119" s="1"/>
      <c r="EV119" s="1"/>
      <c r="EW119" s="1"/>
      <c r="EZ119" s="1"/>
      <c r="FA119" s="1"/>
      <c r="FD119" s="1"/>
      <c r="FG119" s="1"/>
      <c r="FH119" s="1"/>
      <c r="FI119" s="1"/>
      <c r="FJ119" s="1"/>
      <c r="FM119" s="1"/>
      <c r="FN119" s="1"/>
      <c r="FO119" s="1"/>
      <c r="FP119" s="1"/>
      <c r="FQ119" s="1"/>
      <c r="FS119" s="1"/>
      <c r="FT119" s="1"/>
      <c r="FV119" s="1"/>
      <c r="FW119" s="1"/>
      <c r="FX119" s="1"/>
      <c r="FY119" s="1"/>
      <c r="FZ119" s="1"/>
      <c r="GA119" s="1"/>
      <c r="GD119" s="1"/>
      <c r="GE119" s="1"/>
      <c r="GF119" s="1"/>
      <c r="GG119" s="1"/>
      <c r="GH119" s="1"/>
      <c r="GI119" s="1"/>
      <c r="GJ119" s="1"/>
      <c r="GK119" s="1"/>
      <c r="GL119" s="1"/>
      <c r="GM119" s="1"/>
      <c r="GN119" s="1"/>
      <c r="GP119" s="1"/>
      <c r="GR119" s="1"/>
      <c r="GY119" s="1"/>
      <c r="HF119" s="1"/>
      <c r="HH119" s="1"/>
      <c r="HN119" s="1"/>
      <c r="HY119" s="1"/>
      <c r="IE119" s="1"/>
      <c r="IR119" s="1"/>
      <c r="IS119" s="1"/>
      <c r="IZ119" s="1"/>
      <c r="JG119" s="1"/>
      <c r="JJ119" s="1"/>
      <c r="JN119" s="1"/>
      <c r="JP119" s="1"/>
      <c r="JQ119" s="1"/>
      <c r="JT119" s="1"/>
      <c r="KU119" s="1"/>
      <c r="KY119" s="1"/>
      <c r="KZ119" s="1"/>
      <c r="LA119" s="1"/>
      <c r="LB119" s="1"/>
      <c r="LO119" s="1"/>
      <c r="LP119" s="1"/>
      <c r="LZ119" s="1"/>
      <c r="MA119" s="1"/>
    </row>
    <row r="120" spans="4:339" ht="13" x14ac:dyDescent="0.15">
      <c r="D120" s="12"/>
      <c r="E120" s="12"/>
      <c r="I120" s="12"/>
      <c r="J120" s="13"/>
      <c r="BF120" s="1"/>
      <c r="BG120" s="1"/>
      <c r="BH120" s="1"/>
      <c r="BI120" s="1"/>
      <c r="BK120" s="1"/>
      <c r="BL120" s="1"/>
      <c r="BM120" s="1"/>
      <c r="BN120" s="1"/>
      <c r="BO120" s="1"/>
      <c r="BP120" s="1"/>
      <c r="BQ120" s="1"/>
      <c r="BR120" s="1"/>
      <c r="CD120" s="1"/>
      <c r="CE120" s="1"/>
      <c r="CF120" s="1"/>
      <c r="CG120" s="1"/>
      <c r="CH120" s="1"/>
      <c r="CI120" s="1"/>
      <c r="CM120" s="2"/>
      <c r="CN120" s="1"/>
      <c r="CO120" s="1"/>
      <c r="CP120" s="1"/>
      <c r="CQ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ED120" s="1"/>
      <c r="EK120" s="1"/>
      <c r="EL120" s="1"/>
      <c r="EM120" s="1"/>
      <c r="EN120" s="1"/>
      <c r="EQ120" s="1"/>
      <c r="ER120" s="1"/>
      <c r="ES120" s="1"/>
      <c r="EV120" s="1"/>
      <c r="EW120" s="1"/>
      <c r="EZ120" s="1"/>
      <c r="FA120" s="1"/>
      <c r="FD120" s="1"/>
      <c r="FG120" s="1"/>
      <c r="FH120" s="1"/>
      <c r="FI120" s="1"/>
      <c r="FJ120" s="1"/>
      <c r="FM120" s="1"/>
      <c r="FN120" s="1"/>
      <c r="FO120" s="1"/>
      <c r="FP120" s="1"/>
      <c r="FQ120" s="1"/>
      <c r="FS120" s="1"/>
      <c r="FT120" s="1"/>
      <c r="FV120" s="1"/>
      <c r="FW120" s="1"/>
      <c r="FX120" s="1"/>
      <c r="FY120" s="1"/>
      <c r="FZ120" s="1"/>
      <c r="GA120" s="1"/>
      <c r="GD120" s="1"/>
      <c r="GE120" s="1"/>
      <c r="GF120" s="1"/>
      <c r="GG120" s="1"/>
      <c r="GH120" s="1"/>
      <c r="GI120" s="1"/>
      <c r="GJ120" s="1"/>
      <c r="GK120" s="1"/>
      <c r="GL120" s="1"/>
      <c r="GM120" s="1"/>
      <c r="GN120" s="1"/>
      <c r="GP120" s="1"/>
      <c r="GR120" s="1"/>
      <c r="GY120" s="1"/>
      <c r="HF120" s="1"/>
      <c r="HH120" s="1"/>
      <c r="HN120" s="1"/>
      <c r="HY120" s="1"/>
      <c r="IE120" s="1"/>
      <c r="IR120" s="1"/>
      <c r="IS120" s="1"/>
      <c r="IZ120" s="1"/>
      <c r="JG120" s="1"/>
      <c r="JJ120" s="1"/>
      <c r="JN120" s="1"/>
      <c r="JP120" s="1"/>
      <c r="JQ120" s="1"/>
      <c r="JT120" s="1"/>
      <c r="KU120" s="1"/>
      <c r="KY120" s="1"/>
      <c r="KZ120" s="1"/>
      <c r="LA120" s="1"/>
      <c r="LB120" s="1"/>
      <c r="LO120" s="1"/>
      <c r="LP120" s="1"/>
      <c r="LZ120" s="1"/>
      <c r="MA120" s="1"/>
    </row>
    <row r="121" spans="4:339" ht="13" x14ac:dyDescent="0.15">
      <c r="D121" s="12"/>
      <c r="E121" s="12"/>
      <c r="I121" s="12"/>
      <c r="J121" s="13"/>
      <c r="BF121" s="1"/>
      <c r="BG121" s="1"/>
      <c r="BH121" s="1"/>
      <c r="BI121" s="1"/>
      <c r="BK121" s="1"/>
      <c r="BL121" s="1"/>
      <c r="BM121" s="1"/>
      <c r="BN121" s="1"/>
      <c r="BO121" s="1"/>
      <c r="BP121" s="1"/>
      <c r="BQ121" s="1"/>
      <c r="BR121" s="1"/>
      <c r="CD121" s="1"/>
      <c r="CE121" s="1"/>
      <c r="CF121" s="1"/>
      <c r="CG121" s="1"/>
      <c r="CH121" s="1"/>
      <c r="CI121" s="1"/>
      <c r="CJ121" s="1"/>
      <c r="CM121" s="2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ED121" s="1"/>
      <c r="EK121" s="1"/>
      <c r="EL121" s="1"/>
      <c r="EM121" s="1"/>
      <c r="EN121" s="1"/>
      <c r="EQ121" s="1"/>
      <c r="ER121" s="1"/>
      <c r="ES121" s="1"/>
      <c r="EV121" s="1"/>
      <c r="EW121" s="1"/>
      <c r="EZ121" s="1"/>
      <c r="FA121" s="1"/>
      <c r="FD121" s="1"/>
      <c r="FH121" s="1"/>
      <c r="FI121" s="1"/>
      <c r="FJ121" s="1"/>
      <c r="FK121" s="1"/>
      <c r="FM121" s="1"/>
      <c r="FN121" s="1"/>
      <c r="FO121" s="1"/>
      <c r="FP121" s="1"/>
      <c r="FS121" s="1"/>
      <c r="FU121" s="1"/>
      <c r="FV121" s="1"/>
      <c r="FW121" s="1"/>
      <c r="FX121" s="1"/>
      <c r="FY121" s="1"/>
      <c r="FZ121" s="1"/>
      <c r="GA121" s="1"/>
      <c r="GD121" s="1"/>
      <c r="GE121" s="1"/>
      <c r="GF121" s="1"/>
      <c r="GG121" s="1"/>
      <c r="GH121" s="1"/>
      <c r="GI121" s="1"/>
      <c r="GJ121" s="1"/>
      <c r="GK121" s="1"/>
      <c r="GL121" s="1"/>
      <c r="GM121" s="1"/>
      <c r="GN121" s="1"/>
      <c r="GP121" s="1"/>
      <c r="GY121" s="1"/>
      <c r="HF121" s="1"/>
      <c r="HH121" s="1"/>
      <c r="HN121" s="1"/>
      <c r="HY121" s="1"/>
      <c r="ID121" s="1"/>
      <c r="IE121" s="1"/>
      <c r="IR121" s="1"/>
      <c r="IS121" s="1"/>
      <c r="IZ121" s="1"/>
      <c r="JC121" s="1"/>
      <c r="JF121" s="1"/>
      <c r="JG121" s="1"/>
      <c r="JH121" s="1"/>
      <c r="JJ121" s="1"/>
      <c r="JP121" s="1"/>
      <c r="JQ121" s="1"/>
      <c r="JT121" s="1"/>
      <c r="KU121" s="1"/>
      <c r="KY121" s="1"/>
      <c r="KZ121" s="1"/>
      <c r="LA121" s="1"/>
      <c r="LB121" s="1"/>
      <c r="LC121" s="1"/>
      <c r="LD121" s="1"/>
      <c r="LO121" s="1"/>
      <c r="LP121" s="1"/>
      <c r="LZ121" s="1"/>
      <c r="MA121" s="1"/>
    </row>
    <row r="122" spans="4:339" ht="13" x14ac:dyDescent="0.15">
      <c r="D122" s="12"/>
      <c r="E122" s="12"/>
      <c r="I122" s="12"/>
      <c r="J122" s="13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X122" s="1"/>
      <c r="CD122" s="1"/>
      <c r="CE122" s="1"/>
      <c r="CF122" s="1"/>
      <c r="CG122" s="1"/>
      <c r="CH122" s="1"/>
      <c r="CI122" s="1"/>
      <c r="CM122" s="2"/>
      <c r="CN122" s="1"/>
      <c r="CO122" s="1"/>
      <c r="CP122" s="1"/>
      <c r="CQ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M122" s="1"/>
      <c r="DQ122" s="1"/>
      <c r="DR122" s="1"/>
      <c r="DY122" s="1"/>
      <c r="DZ122" s="1"/>
      <c r="ED122" s="1"/>
      <c r="EK122" s="1"/>
      <c r="EL122" s="1"/>
      <c r="EM122" s="1"/>
      <c r="EN122" s="1"/>
      <c r="EQ122" s="1"/>
      <c r="ER122" s="1"/>
      <c r="ES122" s="1"/>
      <c r="EV122" s="1"/>
      <c r="EW122" s="1"/>
      <c r="EZ122" s="1"/>
      <c r="FA122" s="1"/>
      <c r="FD122" s="1"/>
      <c r="FG122" s="1"/>
      <c r="FH122" s="1"/>
      <c r="FP122" s="1"/>
      <c r="FS122" s="1"/>
      <c r="FU122" s="1"/>
      <c r="FV122" s="1"/>
      <c r="FX122" s="1"/>
      <c r="FY122" s="1"/>
      <c r="FZ122" s="1"/>
      <c r="GA122" s="1"/>
      <c r="GD122" s="1"/>
      <c r="GE122" s="1"/>
      <c r="GF122" s="1"/>
      <c r="GG122" s="1"/>
      <c r="GH122" s="1"/>
      <c r="GI122" s="1"/>
      <c r="GJ122" s="1"/>
      <c r="GK122" s="1"/>
      <c r="GL122" s="1"/>
      <c r="GM122" s="1"/>
      <c r="GN122" s="1"/>
      <c r="GO122" s="1"/>
      <c r="GP122" s="1"/>
      <c r="GY122" s="1"/>
      <c r="HF122" s="1"/>
      <c r="HH122" s="1"/>
      <c r="HN122" s="1"/>
      <c r="HR122" s="1"/>
      <c r="HS122" s="1"/>
      <c r="HT122" s="1"/>
      <c r="HY122" s="1"/>
      <c r="ID122" s="1"/>
      <c r="IE122" s="1"/>
      <c r="IR122" s="1"/>
      <c r="IS122" s="1"/>
      <c r="IZ122" s="1"/>
      <c r="JC122" s="1"/>
      <c r="JF122" s="1"/>
      <c r="JG122" s="1"/>
      <c r="JH122" s="1"/>
      <c r="JJ122" s="1"/>
      <c r="JP122" s="1"/>
      <c r="JQ122" s="1"/>
      <c r="JT122" s="1"/>
      <c r="KU122" s="1"/>
      <c r="KW122" s="1"/>
      <c r="KY122" s="1"/>
      <c r="KZ122" s="1"/>
      <c r="LA122" s="1"/>
      <c r="LB122" s="1"/>
      <c r="LC122" s="1"/>
      <c r="LD122" s="1"/>
      <c r="LF122" s="1"/>
      <c r="LN122" s="1"/>
      <c r="LO122" s="1"/>
      <c r="LP122" s="1"/>
      <c r="LZ122" s="1"/>
      <c r="MA122" s="1"/>
    </row>
    <row r="123" spans="4:339" ht="13" x14ac:dyDescent="0.15">
      <c r="D123" s="12"/>
      <c r="E123" s="12"/>
      <c r="I123" s="12"/>
      <c r="J123" s="13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X123" s="1"/>
      <c r="CD123" s="1"/>
      <c r="CE123" s="1"/>
      <c r="CF123" s="1"/>
      <c r="CG123" s="1"/>
      <c r="CH123" s="1"/>
      <c r="CI123" s="1"/>
      <c r="CM123" s="2"/>
      <c r="CN123" s="1"/>
      <c r="CO123" s="1"/>
      <c r="CP123" s="1"/>
      <c r="CQ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M123" s="1"/>
      <c r="DQ123" s="1"/>
      <c r="DR123" s="1"/>
      <c r="DY123" s="1"/>
      <c r="DZ123" s="1"/>
      <c r="ED123" s="1"/>
      <c r="EK123" s="1"/>
      <c r="EL123" s="1"/>
      <c r="EM123" s="1"/>
      <c r="EN123" s="1"/>
      <c r="EQ123" s="1"/>
      <c r="ER123" s="1"/>
      <c r="ES123" s="1"/>
      <c r="EV123" s="1"/>
      <c r="EW123" s="1"/>
      <c r="EZ123" s="1"/>
      <c r="FA123" s="1"/>
      <c r="FD123" s="1"/>
      <c r="FG123" s="1"/>
      <c r="FH123" s="1"/>
      <c r="FP123" s="1"/>
      <c r="FS123" s="1"/>
      <c r="FU123" s="1"/>
      <c r="FV123" s="1"/>
      <c r="FX123" s="1"/>
      <c r="FY123" s="1"/>
      <c r="FZ123" s="1"/>
      <c r="GA123" s="1"/>
      <c r="GD123" s="1"/>
      <c r="GE123" s="1"/>
      <c r="GF123" s="1"/>
      <c r="GG123" s="1"/>
      <c r="GH123" s="1"/>
      <c r="GI123" s="1"/>
      <c r="GJ123" s="1"/>
      <c r="GK123" s="1"/>
      <c r="GL123" s="1"/>
      <c r="GM123" s="1"/>
      <c r="GN123" s="1"/>
      <c r="GO123" s="1"/>
      <c r="GP123" s="1"/>
      <c r="GY123" s="1"/>
      <c r="HF123" s="1"/>
      <c r="HH123" s="1"/>
      <c r="HN123" s="1"/>
      <c r="HR123" s="1"/>
      <c r="HS123" s="1"/>
      <c r="HT123" s="1"/>
      <c r="HY123" s="1"/>
      <c r="ID123" s="1"/>
      <c r="IE123" s="1"/>
      <c r="IR123" s="1"/>
      <c r="IS123" s="1"/>
      <c r="IZ123" s="1"/>
      <c r="JC123" s="1"/>
      <c r="JF123" s="1"/>
      <c r="JG123" s="1"/>
      <c r="JH123" s="1"/>
      <c r="JJ123" s="1"/>
      <c r="JP123" s="1"/>
      <c r="JQ123" s="1"/>
      <c r="JT123" s="1"/>
      <c r="KU123" s="1"/>
      <c r="KW123" s="1"/>
      <c r="KY123" s="1"/>
      <c r="KZ123" s="1"/>
      <c r="LA123" s="1"/>
      <c r="LB123" s="1"/>
      <c r="LC123" s="1"/>
      <c r="LD123" s="1"/>
      <c r="LF123" s="1"/>
      <c r="LN123" s="1"/>
      <c r="LO123" s="1"/>
      <c r="LP123" s="1"/>
      <c r="LZ123" s="1"/>
      <c r="MA123" s="1"/>
    </row>
    <row r="124" spans="4:339" ht="13" x14ac:dyDescent="0.15">
      <c r="D124" s="12"/>
      <c r="E124" s="12"/>
      <c r="I124" s="12"/>
      <c r="J124" s="13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X124" s="1"/>
      <c r="CD124" s="1"/>
      <c r="CE124" s="1"/>
      <c r="CF124" s="1"/>
      <c r="CG124" s="1"/>
      <c r="CH124" s="1"/>
      <c r="CI124" s="1"/>
      <c r="CM124" s="2"/>
      <c r="CN124" s="1"/>
      <c r="CO124" s="1"/>
      <c r="CP124" s="1"/>
      <c r="CQ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M124" s="1"/>
      <c r="DQ124" s="1"/>
      <c r="DR124" s="1"/>
      <c r="DY124" s="1"/>
      <c r="DZ124" s="1"/>
      <c r="ED124" s="1"/>
      <c r="EK124" s="1"/>
      <c r="EL124" s="1"/>
      <c r="EM124" s="1"/>
      <c r="EN124" s="1"/>
      <c r="EQ124" s="1"/>
      <c r="ER124" s="1"/>
      <c r="ES124" s="1"/>
      <c r="EV124" s="1"/>
      <c r="EW124" s="1"/>
      <c r="EZ124" s="1"/>
      <c r="FA124" s="1"/>
      <c r="FD124" s="1"/>
      <c r="FG124" s="1"/>
      <c r="FH124" s="1"/>
      <c r="FP124" s="1"/>
      <c r="FS124" s="1"/>
      <c r="FU124" s="1"/>
      <c r="FV124" s="1"/>
      <c r="FX124" s="1"/>
      <c r="FY124" s="1"/>
      <c r="FZ124" s="1"/>
      <c r="GA124" s="1"/>
      <c r="GD124" s="1"/>
      <c r="GE124" s="1"/>
      <c r="GF124" s="1"/>
      <c r="GG124" s="1"/>
      <c r="GH124" s="1"/>
      <c r="GI124" s="1"/>
      <c r="GJ124" s="1"/>
      <c r="GK124" s="1"/>
      <c r="GL124" s="1"/>
      <c r="GM124" s="1"/>
      <c r="GN124" s="1"/>
      <c r="GO124" s="1"/>
      <c r="GP124" s="1"/>
      <c r="GY124" s="1"/>
      <c r="HF124" s="1"/>
      <c r="HH124" s="1"/>
      <c r="HN124" s="1"/>
      <c r="HR124" s="1"/>
      <c r="HS124" s="1"/>
      <c r="HT124" s="1"/>
      <c r="HY124" s="1"/>
      <c r="ID124" s="1"/>
      <c r="IE124" s="1"/>
      <c r="IR124" s="1"/>
      <c r="IS124" s="1"/>
      <c r="IZ124" s="1"/>
      <c r="JC124" s="1"/>
      <c r="JF124" s="1"/>
      <c r="JG124" s="1"/>
      <c r="JH124" s="1"/>
      <c r="JJ124" s="1"/>
      <c r="JP124" s="1"/>
      <c r="JQ124" s="1"/>
      <c r="JT124" s="1"/>
      <c r="KU124" s="1"/>
      <c r="KW124" s="1"/>
      <c r="KY124" s="1"/>
      <c r="KZ124" s="1"/>
      <c r="LA124" s="1"/>
      <c r="LB124" s="1"/>
      <c r="LC124" s="1"/>
      <c r="LD124" s="1"/>
      <c r="LF124" s="1"/>
      <c r="LN124" s="1"/>
      <c r="LO124" s="1"/>
      <c r="LP124" s="1"/>
      <c r="LZ124" s="1"/>
      <c r="MA124" s="1"/>
    </row>
    <row r="125" spans="4:339" ht="13" x14ac:dyDescent="0.15">
      <c r="D125" s="12"/>
      <c r="E125" s="12"/>
      <c r="I125" s="12"/>
      <c r="J125" s="13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X125" s="1"/>
      <c r="CD125" s="1"/>
      <c r="CE125" s="1"/>
      <c r="CF125" s="1"/>
      <c r="CG125" s="1"/>
      <c r="CH125" s="1"/>
      <c r="CI125" s="1"/>
      <c r="CM125" s="2"/>
      <c r="CN125" s="1"/>
      <c r="CO125" s="1"/>
      <c r="CP125" s="1"/>
      <c r="CQ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M125" s="1"/>
      <c r="DQ125" s="1"/>
      <c r="DR125" s="1"/>
      <c r="DY125" s="1"/>
      <c r="DZ125" s="1"/>
      <c r="ED125" s="1"/>
      <c r="EK125" s="1"/>
      <c r="EL125" s="1"/>
      <c r="EM125" s="1"/>
      <c r="EN125" s="1"/>
      <c r="EQ125" s="1"/>
      <c r="ER125" s="1"/>
      <c r="ES125" s="1"/>
      <c r="EV125" s="1"/>
      <c r="EW125" s="1"/>
      <c r="EZ125" s="1"/>
      <c r="FA125" s="1"/>
      <c r="FD125" s="1"/>
      <c r="FG125" s="1"/>
      <c r="FH125" s="1"/>
      <c r="FP125" s="1"/>
      <c r="FS125" s="1"/>
      <c r="FU125" s="1"/>
      <c r="FV125" s="1"/>
      <c r="FX125" s="1"/>
      <c r="FY125" s="1"/>
      <c r="FZ125" s="1"/>
      <c r="GA125" s="1"/>
      <c r="GD125" s="1"/>
      <c r="GE125" s="1"/>
      <c r="GF125" s="1"/>
      <c r="GG125" s="1"/>
      <c r="GH125" s="1"/>
      <c r="GI125" s="1"/>
      <c r="GJ125" s="1"/>
      <c r="GK125" s="1"/>
      <c r="GL125" s="1"/>
      <c r="GM125" s="1"/>
      <c r="GN125" s="1"/>
      <c r="GO125" s="1"/>
      <c r="GP125" s="1"/>
      <c r="GY125" s="1"/>
      <c r="HF125" s="1"/>
      <c r="HH125" s="1"/>
      <c r="HN125" s="1"/>
      <c r="HR125" s="1"/>
      <c r="HS125" s="1"/>
      <c r="HT125" s="1"/>
      <c r="HY125" s="1"/>
      <c r="ID125" s="1"/>
      <c r="IE125" s="1"/>
      <c r="IR125" s="1"/>
      <c r="IS125" s="1"/>
      <c r="IZ125" s="1"/>
      <c r="JC125" s="1"/>
      <c r="JF125" s="1"/>
      <c r="JG125" s="1"/>
      <c r="JH125" s="1"/>
      <c r="JJ125" s="1"/>
      <c r="JP125" s="1"/>
      <c r="JQ125" s="1"/>
      <c r="JT125" s="1"/>
      <c r="KU125" s="1"/>
      <c r="KW125" s="1"/>
      <c r="KY125" s="1"/>
      <c r="KZ125" s="1"/>
      <c r="LA125" s="1"/>
      <c r="LB125" s="1"/>
      <c r="LC125" s="1"/>
      <c r="LD125" s="1"/>
      <c r="LF125" s="1"/>
      <c r="LN125" s="1"/>
      <c r="LO125" s="1"/>
      <c r="LP125" s="1"/>
      <c r="LZ125" s="1"/>
      <c r="MA125" s="1"/>
    </row>
    <row r="126" spans="4:339" ht="13" x14ac:dyDescent="0.15">
      <c r="D126" s="12"/>
      <c r="E126" s="12"/>
      <c r="I126" s="12"/>
      <c r="J126" s="13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X126" s="1"/>
      <c r="CD126" s="1"/>
      <c r="CE126" s="1"/>
      <c r="CF126" s="1"/>
      <c r="CG126" s="1"/>
      <c r="CH126" s="1"/>
      <c r="CI126" s="1"/>
      <c r="CM126" s="2"/>
      <c r="CN126" s="1"/>
      <c r="CO126" s="1"/>
      <c r="CP126" s="1"/>
      <c r="CQ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M126" s="1"/>
      <c r="DQ126" s="1"/>
      <c r="DR126" s="1"/>
      <c r="DY126" s="1"/>
      <c r="DZ126" s="1"/>
      <c r="ED126" s="1"/>
      <c r="EK126" s="1"/>
      <c r="EL126" s="1"/>
      <c r="EM126" s="1"/>
      <c r="EN126" s="1"/>
      <c r="EQ126" s="1"/>
      <c r="ER126" s="1"/>
      <c r="ES126" s="1"/>
      <c r="EV126" s="1"/>
      <c r="EW126" s="1"/>
      <c r="EZ126" s="1"/>
      <c r="FA126" s="1"/>
      <c r="FD126" s="1"/>
      <c r="FG126" s="1"/>
      <c r="FH126" s="1"/>
      <c r="FP126" s="1"/>
      <c r="FS126" s="1"/>
      <c r="FU126" s="1"/>
      <c r="FV126" s="1"/>
      <c r="FX126" s="1"/>
      <c r="FY126" s="1"/>
      <c r="FZ126" s="1"/>
      <c r="GA126" s="1"/>
      <c r="GD126" s="1"/>
      <c r="GE126" s="1"/>
      <c r="GF126" s="1"/>
      <c r="GG126" s="1"/>
      <c r="GH126" s="1"/>
      <c r="GI126" s="1"/>
      <c r="GJ126" s="1"/>
      <c r="GK126" s="1"/>
      <c r="GL126" s="1"/>
      <c r="GM126" s="1"/>
      <c r="GN126" s="1"/>
      <c r="GO126" s="1"/>
      <c r="GP126" s="1"/>
      <c r="GY126" s="1"/>
      <c r="HF126" s="1"/>
      <c r="HH126" s="1"/>
      <c r="HN126" s="1"/>
      <c r="HR126" s="1"/>
      <c r="HS126" s="1"/>
      <c r="HT126" s="1"/>
      <c r="HY126" s="1"/>
      <c r="ID126" s="1"/>
      <c r="IE126" s="1"/>
      <c r="IR126" s="1"/>
      <c r="IS126" s="1"/>
      <c r="IZ126" s="1"/>
      <c r="JC126" s="1"/>
      <c r="JF126" s="1"/>
      <c r="JG126" s="1"/>
      <c r="JH126" s="1"/>
      <c r="JJ126" s="1"/>
      <c r="JP126" s="1"/>
      <c r="JQ126" s="1"/>
      <c r="JT126" s="1"/>
      <c r="KU126" s="1"/>
      <c r="KW126" s="1"/>
      <c r="KY126" s="1"/>
      <c r="KZ126" s="1"/>
      <c r="LA126" s="1"/>
      <c r="LB126" s="1"/>
      <c r="LC126" s="1"/>
      <c r="LD126" s="1"/>
      <c r="LF126" s="1"/>
      <c r="LN126" s="1"/>
      <c r="LO126" s="1"/>
      <c r="LP126" s="1"/>
      <c r="LZ126" s="1"/>
      <c r="MA126" s="1"/>
    </row>
    <row r="127" spans="4:339" ht="13" x14ac:dyDescent="0.15">
      <c r="D127" s="12"/>
      <c r="E127" s="12"/>
      <c r="I127" s="12"/>
      <c r="J127" s="13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X127" s="1"/>
      <c r="CD127" s="1"/>
      <c r="CE127" s="1"/>
      <c r="CF127" s="1"/>
      <c r="CG127" s="1"/>
      <c r="CH127" s="1"/>
      <c r="CI127" s="1"/>
      <c r="CM127" s="2"/>
      <c r="CN127" s="1"/>
      <c r="CO127" s="1"/>
      <c r="CP127" s="1"/>
      <c r="CQ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M127" s="1"/>
      <c r="DQ127" s="1"/>
      <c r="DR127" s="1"/>
      <c r="DY127" s="1"/>
      <c r="DZ127" s="1"/>
      <c r="ED127" s="1"/>
      <c r="EK127" s="1"/>
      <c r="EL127" s="1"/>
      <c r="EM127" s="1"/>
      <c r="EN127" s="1"/>
      <c r="EQ127" s="1"/>
      <c r="ER127" s="1"/>
      <c r="ES127" s="1"/>
      <c r="EV127" s="1"/>
      <c r="EW127" s="1"/>
      <c r="EZ127" s="1"/>
      <c r="FA127" s="1"/>
      <c r="FD127" s="1"/>
      <c r="FG127" s="1"/>
      <c r="FH127" s="1"/>
      <c r="FP127" s="1"/>
      <c r="FS127" s="1"/>
      <c r="FU127" s="1"/>
      <c r="FV127" s="1"/>
      <c r="FX127" s="1"/>
      <c r="FY127" s="1"/>
      <c r="FZ127" s="1"/>
      <c r="GA127" s="1"/>
      <c r="GD127" s="1"/>
      <c r="GE127" s="1"/>
      <c r="GF127" s="1"/>
      <c r="GG127" s="1"/>
      <c r="GH127" s="1"/>
      <c r="GI127" s="1"/>
      <c r="GJ127" s="1"/>
      <c r="GK127" s="1"/>
      <c r="GL127" s="1"/>
      <c r="GM127" s="1"/>
      <c r="GN127" s="1"/>
      <c r="GO127" s="1"/>
      <c r="GP127" s="1"/>
      <c r="GY127" s="1"/>
      <c r="HF127" s="1"/>
      <c r="HH127" s="1"/>
      <c r="HN127" s="1"/>
      <c r="HR127" s="1"/>
      <c r="HS127" s="1"/>
      <c r="HT127" s="1"/>
      <c r="HY127" s="1"/>
      <c r="ID127" s="1"/>
      <c r="IE127" s="1"/>
      <c r="IR127" s="1"/>
      <c r="IS127" s="1"/>
      <c r="IZ127" s="1"/>
      <c r="JC127" s="1"/>
      <c r="JF127" s="1"/>
      <c r="JG127" s="1"/>
      <c r="JH127" s="1"/>
      <c r="JJ127" s="1"/>
      <c r="JP127" s="1"/>
      <c r="JQ127" s="1"/>
      <c r="JT127" s="1"/>
      <c r="KU127" s="1"/>
      <c r="KW127" s="1"/>
      <c r="KY127" s="1"/>
      <c r="KZ127" s="1"/>
      <c r="LA127" s="1"/>
      <c r="LB127" s="1"/>
      <c r="LC127" s="1"/>
      <c r="LD127" s="1"/>
      <c r="LF127" s="1"/>
      <c r="LN127" s="1"/>
      <c r="LO127" s="1"/>
      <c r="LP127" s="1"/>
      <c r="LZ127" s="1"/>
      <c r="MA127" s="1"/>
    </row>
    <row r="128" spans="4:339" ht="13" x14ac:dyDescent="0.15">
      <c r="D128" s="12"/>
      <c r="E128" s="12"/>
      <c r="I128" s="12"/>
      <c r="J128" s="13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X128" s="1"/>
      <c r="CD128" s="1"/>
      <c r="CE128" s="1"/>
      <c r="CF128" s="1"/>
      <c r="CG128" s="1"/>
      <c r="CH128" s="1"/>
      <c r="CI128" s="1"/>
      <c r="CM128" s="2"/>
      <c r="CN128" s="1"/>
      <c r="CO128" s="1"/>
      <c r="CP128" s="1"/>
      <c r="CQ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M128" s="1"/>
      <c r="DQ128" s="1"/>
      <c r="DR128" s="1"/>
      <c r="DY128" s="1"/>
      <c r="DZ128" s="1"/>
      <c r="ED128" s="1"/>
      <c r="EK128" s="1"/>
      <c r="EL128" s="1"/>
      <c r="EM128" s="1"/>
      <c r="EN128" s="1"/>
      <c r="EQ128" s="1"/>
      <c r="ER128" s="1"/>
      <c r="ES128" s="1"/>
      <c r="EV128" s="1"/>
      <c r="EW128" s="1"/>
      <c r="EZ128" s="1"/>
      <c r="FA128" s="1"/>
      <c r="FD128" s="1"/>
      <c r="FG128" s="1"/>
      <c r="FH128" s="1"/>
      <c r="FP128" s="1"/>
      <c r="FS128" s="1"/>
      <c r="FU128" s="1"/>
      <c r="FV128" s="1"/>
      <c r="FX128" s="1"/>
      <c r="FY128" s="1"/>
      <c r="FZ128" s="1"/>
      <c r="GA128" s="1"/>
      <c r="GD128" s="1"/>
      <c r="GE128" s="1"/>
      <c r="GF128" s="1"/>
      <c r="GG128" s="1"/>
      <c r="GH128" s="1"/>
      <c r="GI128" s="1"/>
      <c r="GJ128" s="1"/>
      <c r="GK128" s="1"/>
      <c r="GL128" s="1"/>
      <c r="GM128" s="1"/>
      <c r="GN128" s="1"/>
      <c r="GO128" s="1"/>
      <c r="GP128" s="1"/>
      <c r="GY128" s="1"/>
      <c r="HF128" s="1"/>
      <c r="HH128" s="1"/>
      <c r="HN128" s="1"/>
      <c r="HR128" s="1"/>
      <c r="HS128" s="1"/>
      <c r="HT128" s="1"/>
      <c r="HY128" s="1"/>
      <c r="ID128" s="1"/>
      <c r="IE128" s="1"/>
      <c r="IR128" s="1"/>
      <c r="IS128" s="1"/>
      <c r="IZ128" s="1"/>
      <c r="JC128" s="1"/>
      <c r="JF128" s="1"/>
      <c r="JG128" s="1"/>
      <c r="JH128" s="1"/>
      <c r="JJ128" s="1"/>
      <c r="JP128" s="1"/>
      <c r="JQ128" s="1"/>
      <c r="JT128" s="1"/>
      <c r="KU128" s="1"/>
      <c r="KW128" s="1"/>
      <c r="KY128" s="1"/>
      <c r="KZ128" s="1"/>
      <c r="LA128" s="1"/>
      <c r="LB128" s="1"/>
      <c r="LC128" s="1"/>
      <c r="LD128" s="1"/>
      <c r="LF128" s="1"/>
      <c r="LN128" s="1"/>
      <c r="LO128" s="1"/>
      <c r="LP128" s="1"/>
      <c r="LZ128" s="1"/>
      <c r="MA128" s="1"/>
    </row>
    <row r="129" spans="4:339" ht="13" x14ac:dyDescent="0.15">
      <c r="D129" s="12"/>
      <c r="E129" s="12"/>
      <c r="I129" s="12"/>
      <c r="J129" s="13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X129" s="1"/>
      <c r="CD129" s="1"/>
      <c r="CE129" s="1"/>
      <c r="CF129" s="1"/>
      <c r="CG129" s="1"/>
      <c r="CH129" s="1"/>
      <c r="CI129" s="1"/>
      <c r="CM129" s="2"/>
      <c r="CN129" s="1"/>
      <c r="CO129" s="1"/>
      <c r="CP129" s="1"/>
      <c r="CQ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M129" s="1"/>
      <c r="DQ129" s="1"/>
      <c r="DR129" s="1"/>
      <c r="DY129" s="1"/>
      <c r="DZ129" s="1"/>
      <c r="ED129" s="1"/>
      <c r="EK129" s="1"/>
      <c r="EL129" s="1"/>
      <c r="EM129" s="1"/>
      <c r="EN129" s="1"/>
      <c r="EQ129" s="1"/>
      <c r="ER129" s="1"/>
      <c r="ES129" s="1"/>
      <c r="EV129" s="1"/>
      <c r="EW129" s="1"/>
      <c r="EZ129" s="1"/>
      <c r="FA129" s="1"/>
      <c r="FD129" s="1"/>
      <c r="FG129" s="1"/>
      <c r="FH129" s="1"/>
      <c r="FP129" s="1"/>
      <c r="FS129" s="1"/>
      <c r="FU129" s="1"/>
      <c r="FV129" s="1"/>
      <c r="FX129" s="1"/>
      <c r="FY129" s="1"/>
      <c r="FZ129" s="1"/>
      <c r="GA129" s="1"/>
      <c r="GD129" s="1"/>
      <c r="GE129" s="1"/>
      <c r="GF129" s="1"/>
      <c r="GG129" s="1"/>
      <c r="GH129" s="1"/>
      <c r="GI129" s="1"/>
      <c r="GJ129" s="1"/>
      <c r="GK129" s="1"/>
      <c r="GL129" s="1"/>
      <c r="GM129" s="1"/>
      <c r="GN129" s="1"/>
      <c r="GO129" s="1"/>
      <c r="GP129" s="1"/>
      <c r="GY129" s="1"/>
      <c r="HF129" s="1"/>
      <c r="HH129" s="1"/>
      <c r="HN129" s="1"/>
      <c r="HR129" s="1"/>
      <c r="HS129" s="1"/>
      <c r="HT129" s="1"/>
      <c r="HY129" s="1"/>
      <c r="ID129" s="1"/>
      <c r="IE129" s="1"/>
      <c r="IR129" s="1"/>
      <c r="IS129" s="1"/>
      <c r="IZ129" s="1"/>
      <c r="JC129" s="1"/>
      <c r="JF129" s="1"/>
      <c r="JG129" s="1"/>
      <c r="JH129" s="1"/>
      <c r="JJ129" s="1"/>
      <c r="JP129" s="1"/>
      <c r="JQ129" s="1"/>
      <c r="JT129" s="1"/>
      <c r="KU129" s="1"/>
      <c r="KW129" s="1"/>
      <c r="KY129" s="1"/>
      <c r="KZ129" s="1"/>
      <c r="LA129" s="1"/>
      <c r="LB129" s="1"/>
      <c r="LC129" s="1"/>
      <c r="LD129" s="1"/>
      <c r="LF129" s="1"/>
      <c r="LN129" s="1"/>
      <c r="LO129" s="1"/>
      <c r="LP129" s="1"/>
      <c r="LZ129" s="1"/>
      <c r="MA129" s="1"/>
    </row>
    <row r="130" spans="4:339" ht="13" x14ac:dyDescent="0.15">
      <c r="D130" s="12"/>
      <c r="E130" s="12"/>
      <c r="I130" s="12"/>
      <c r="J130" s="13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X130" s="1"/>
      <c r="CD130" s="1"/>
      <c r="CE130" s="1"/>
      <c r="CF130" s="1"/>
      <c r="CG130" s="1"/>
      <c r="CH130" s="1"/>
      <c r="CI130" s="1"/>
      <c r="CM130" s="2"/>
      <c r="CN130" s="1"/>
      <c r="CO130" s="1"/>
      <c r="CP130" s="1"/>
      <c r="CQ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M130" s="1"/>
      <c r="DQ130" s="1"/>
      <c r="DR130" s="1"/>
      <c r="DY130" s="1"/>
      <c r="DZ130" s="1"/>
      <c r="ED130" s="1"/>
      <c r="EK130" s="1"/>
      <c r="EL130" s="1"/>
      <c r="EM130" s="1"/>
      <c r="EN130" s="1"/>
      <c r="EQ130" s="1"/>
      <c r="ER130" s="1"/>
      <c r="ES130" s="1"/>
      <c r="EV130" s="1"/>
      <c r="EW130" s="1"/>
      <c r="EZ130" s="1"/>
      <c r="FA130" s="1"/>
      <c r="FD130" s="1"/>
      <c r="FG130" s="1"/>
      <c r="FH130" s="1"/>
      <c r="FP130" s="1"/>
      <c r="FS130" s="1"/>
      <c r="FU130" s="1"/>
      <c r="FV130" s="1"/>
      <c r="FX130" s="1"/>
      <c r="FY130" s="1"/>
      <c r="FZ130" s="1"/>
      <c r="GA130" s="1"/>
      <c r="GD130" s="1"/>
      <c r="GE130" s="1"/>
      <c r="GF130" s="1"/>
      <c r="GG130" s="1"/>
      <c r="GH130" s="1"/>
      <c r="GI130" s="1"/>
      <c r="GJ130" s="1"/>
      <c r="GK130" s="1"/>
      <c r="GL130" s="1"/>
      <c r="GM130" s="1"/>
      <c r="GN130" s="1"/>
      <c r="GO130" s="1"/>
      <c r="GP130" s="1"/>
      <c r="GY130" s="1"/>
      <c r="HF130" s="1"/>
      <c r="HH130" s="1"/>
      <c r="HN130" s="1"/>
      <c r="HR130" s="1"/>
      <c r="HS130" s="1"/>
      <c r="HT130" s="1"/>
      <c r="HY130" s="1"/>
      <c r="ID130" s="1"/>
      <c r="IE130" s="1"/>
      <c r="IR130" s="1"/>
      <c r="IS130" s="1"/>
      <c r="IZ130" s="1"/>
      <c r="JC130" s="1"/>
      <c r="JF130" s="1"/>
      <c r="JG130" s="1"/>
      <c r="JH130" s="1"/>
      <c r="JJ130" s="1"/>
      <c r="JP130" s="1"/>
      <c r="JQ130" s="1"/>
      <c r="JT130" s="1"/>
      <c r="KU130" s="1"/>
      <c r="KW130" s="1"/>
      <c r="KY130" s="1"/>
      <c r="KZ130" s="1"/>
      <c r="LA130" s="1"/>
      <c r="LB130" s="1"/>
      <c r="LC130" s="1"/>
      <c r="LD130" s="1"/>
      <c r="LF130" s="1"/>
      <c r="LN130" s="1"/>
      <c r="LO130" s="1"/>
      <c r="LP130" s="1"/>
      <c r="LZ130" s="1"/>
      <c r="MA130" s="1"/>
    </row>
    <row r="131" spans="4:339" ht="13" x14ac:dyDescent="0.15">
      <c r="D131" s="12"/>
      <c r="E131" s="12"/>
      <c r="I131" s="12"/>
      <c r="J131" s="13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X131" s="1"/>
      <c r="CD131" s="1"/>
      <c r="CE131" s="1"/>
      <c r="CF131" s="1"/>
      <c r="CG131" s="1"/>
      <c r="CH131" s="1"/>
      <c r="CI131" s="1"/>
      <c r="CM131" s="2"/>
      <c r="CN131" s="1"/>
      <c r="CO131" s="1"/>
      <c r="CP131" s="1"/>
      <c r="CQ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M131" s="1"/>
      <c r="DQ131" s="1"/>
      <c r="DR131" s="1"/>
      <c r="DY131" s="1"/>
      <c r="DZ131" s="1"/>
      <c r="ED131" s="1"/>
      <c r="EK131" s="1"/>
      <c r="EL131" s="1"/>
      <c r="EM131" s="1"/>
      <c r="EN131" s="1"/>
      <c r="EQ131" s="1"/>
      <c r="ER131" s="1"/>
      <c r="ES131" s="1"/>
      <c r="EV131" s="1"/>
      <c r="EW131" s="1"/>
      <c r="EZ131" s="1"/>
      <c r="FA131" s="1"/>
      <c r="FD131" s="1"/>
      <c r="FG131" s="1"/>
      <c r="FH131" s="1"/>
      <c r="FP131" s="1"/>
      <c r="FS131" s="1"/>
      <c r="FU131" s="1"/>
      <c r="FV131" s="1"/>
      <c r="FX131" s="1"/>
      <c r="FY131" s="1"/>
      <c r="FZ131" s="1"/>
      <c r="GA131" s="1"/>
      <c r="GD131" s="1"/>
      <c r="GE131" s="1"/>
      <c r="GF131" s="1"/>
      <c r="GG131" s="1"/>
      <c r="GH131" s="1"/>
      <c r="GI131" s="1"/>
      <c r="GJ131" s="1"/>
      <c r="GK131" s="1"/>
      <c r="GL131" s="1"/>
      <c r="GM131" s="1"/>
      <c r="GN131" s="1"/>
      <c r="GO131" s="1"/>
      <c r="GP131" s="1"/>
      <c r="GY131" s="1"/>
      <c r="HF131" s="1"/>
      <c r="HH131" s="1"/>
      <c r="HN131" s="1"/>
      <c r="HR131" s="1"/>
      <c r="HS131" s="1"/>
      <c r="HT131" s="1"/>
      <c r="HY131" s="1"/>
      <c r="ID131" s="1"/>
      <c r="IE131" s="1"/>
      <c r="IR131" s="1"/>
      <c r="IS131" s="1"/>
      <c r="IZ131" s="1"/>
      <c r="JC131" s="1"/>
      <c r="JF131" s="1"/>
      <c r="JG131" s="1"/>
      <c r="JH131" s="1"/>
      <c r="JJ131" s="1"/>
      <c r="JP131" s="1"/>
      <c r="JQ131" s="1"/>
      <c r="JT131" s="1"/>
      <c r="KU131" s="1"/>
      <c r="KW131" s="1"/>
      <c r="KY131" s="1"/>
      <c r="KZ131" s="1"/>
      <c r="LA131" s="1"/>
      <c r="LB131" s="1"/>
      <c r="LC131" s="1"/>
      <c r="LD131" s="1"/>
      <c r="LF131" s="1"/>
      <c r="LN131" s="1"/>
      <c r="LO131" s="1"/>
      <c r="LP131" s="1"/>
      <c r="LZ131" s="1"/>
      <c r="MA131" s="1"/>
    </row>
    <row r="132" spans="4:339" ht="13" x14ac:dyDescent="0.15">
      <c r="D132" s="12"/>
      <c r="E132" s="12"/>
      <c r="I132" s="12"/>
      <c r="J132" s="13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X132" s="1"/>
      <c r="CD132" s="1"/>
      <c r="CE132" s="1"/>
      <c r="CF132" s="1"/>
      <c r="CG132" s="1"/>
      <c r="CH132" s="1"/>
      <c r="CI132" s="1"/>
      <c r="CM132" s="2"/>
      <c r="CN132" s="1"/>
      <c r="CO132" s="1"/>
      <c r="CP132" s="1"/>
      <c r="CQ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M132" s="1"/>
      <c r="DQ132" s="1"/>
      <c r="DR132" s="1"/>
      <c r="DY132" s="1"/>
      <c r="DZ132" s="1"/>
      <c r="ED132" s="1"/>
      <c r="EK132" s="1"/>
      <c r="EL132" s="1"/>
      <c r="EM132" s="1"/>
      <c r="EN132" s="1"/>
      <c r="EQ132" s="1"/>
      <c r="ER132" s="1"/>
      <c r="ES132" s="1"/>
      <c r="EV132" s="1"/>
      <c r="EW132" s="1"/>
      <c r="EZ132" s="1"/>
      <c r="FA132" s="1"/>
      <c r="FD132" s="1"/>
      <c r="FG132" s="1"/>
      <c r="FH132" s="1"/>
      <c r="FP132" s="1"/>
      <c r="FS132" s="1"/>
      <c r="FU132" s="1"/>
      <c r="FV132" s="1"/>
      <c r="FX132" s="1"/>
      <c r="FY132" s="1"/>
      <c r="FZ132" s="1"/>
      <c r="GA132" s="1"/>
      <c r="GD132" s="1"/>
      <c r="GE132" s="1"/>
      <c r="GF132" s="1"/>
      <c r="GG132" s="1"/>
      <c r="GH132" s="1"/>
      <c r="GI132" s="1"/>
      <c r="GJ132" s="1"/>
      <c r="GK132" s="1"/>
      <c r="GL132" s="1"/>
      <c r="GM132" s="1"/>
      <c r="GN132" s="1"/>
      <c r="GO132" s="1"/>
      <c r="GP132" s="1"/>
      <c r="GY132" s="1"/>
      <c r="HF132" s="1"/>
      <c r="HH132" s="1"/>
      <c r="HN132" s="1"/>
      <c r="HR132" s="1"/>
      <c r="HS132" s="1"/>
      <c r="HT132" s="1"/>
      <c r="HY132" s="1"/>
      <c r="ID132" s="1"/>
      <c r="IE132" s="1"/>
      <c r="IR132" s="1"/>
      <c r="IS132" s="1"/>
      <c r="IZ132" s="1"/>
      <c r="JC132" s="1"/>
      <c r="JF132" s="1"/>
      <c r="JG132" s="1"/>
      <c r="JH132" s="1"/>
      <c r="JJ132" s="1"/>
      <c r="JP132" s="1"/>
      <c r="JQ132" s="1"/>
      <c r="JT132" s="1"/>
      <c r="KU132" s="1"/>
      <c r="KW132" s="1"/>
      <c r="KY132" s="1"/>
      <c r="KZ132" s="1"/>
      <c r="LA132" s="1"/>
      <c r="LB132" s="1"/>
      <c r="LC132" s="1"/>
      <c r="LD132" s="1"/>
      <c r="LF132" s="1"/>
      <c r="LN132" s="1"/>
      <c r="LO132" s="1"/>
      <c r="LP132" s="1"/>
      <c r="LZ132" s="1"/>
      <c r="MA132" s="1"/>
    </row>
    <row r="133" spans="4:339" ht="13" x14ac:dyDescent="0.15">
      <c r="D133" s="12"/>
      <c r="E133" s="12"/>
      <c r="I133" s="12"/>
      <c r="J133" s="13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X133" s="1"/>
      <c r="CD133" s="1"/>
      <c r="CE133" s="1"/>
      <c r="CF133" s="1"/>
      <c r="CG133" s="1"/>
      <c r="CH133" s="1"/>
      <c r="CI133" s="1"/>
      <c r="CM133" s="2"/>
      <c r="CN133" s="1"/>
      <c r="CO133" s="1"/>
      <c r="CP133" s="1"/>
      <c r="CQ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M133" s="1"/>
      <c r="DQ133" s="1"/>
      <c r="DR133" s="1"/>
      <c r="DY133" s="1"/>
      <c r="DZ133" s="1"/>
      <c r="ED133" s="1"/>
      <c r="EK133" s="1"/>
      <c r="EL133" s="1"/>
      <c r="EM133" s="1"/>
      <c r="EN133" s="1"/>
      <c r="EQ133" s="1"/>
      <c r="ER133" s="1"/>
      <c r="ES133" s="1"/>
      <c r="EV133" s="1"/>
      <c r="EW133" s="1"/>
      <c r="EZ133" s="1"/>
      <c r="FA133" s="1"/>
      <c r="FD133" s="1"/>
      <c r="FG133" s="1"/>
      <c r="FH133" s="1"/>
      <c r="FP133" s="1"/>
      <c r="FS133" s="1"/>
      <c r="FU133" s="1"/>
      <c r="FV133" s="1"/>
      <c r="FX133" s="1"/>
      <c r="FY133" s="1"/>
      <c r="FZ133" s="1"/>
      <c r="GA133" s="1"/>
      <c r="GD133" s="1"/>
      <c r="GE133" s="1"/>
      <c r="GF133" s="1"/>
      <c r="GG133" s="1"/>
      <c r="GH133" s="1"/>
      <c r="GI133" s="1"/>
      <c r="GJ133" s="1"/>
      <c r="GK133" s="1"/>
      <c r="GL133" s="1"/>
      <c r="GM133" s="1"/>
      <c r="GN133" s="1"/>
      <c r="GO133" s="1"/>
      <c r="GP133" s="1"/>
      <c r="GY133" s="1"/>
      <c r="HF133" s="1"/>
      <c r="HH133" s="1"/>
      <c r="HN133" s="1"/>
      <c r="HR133" s="1"/>
      <c r="HS133" s="1"/>
      <c r="HT133" s="1"/>
      <c r="HY133" s="1"/>
      <c r="ID133" s="1"/>
      <c r="IE133" s="1"/>
      <c r="IR133" s="1"/>
      <c r="IS133" s="1"/>
      <c r="IZ133" s="1"/>
      <c r="JC133" s="1"/>
      <c r="JF133" s="1"/>
      <c r="JG133" s="1"/>
      <c r="JH133" s="1"/>
      <c r="JJ133" s="1"/>
      <c r="JP133" s="1"/>
      <c r="JQ133" s="1"/>
      <c r="JT133" s="1"/>
      <c r="KU133" s="1"/>
      <c r="KW133" s="1"/>
      <c r="KY133" s="1"/>
      <c r="KZ133" s="1"/>
      <c r="LA133" s="1"/>
      <c r="LB133" s="1"/>
      <c r="LC133" s="1"/>
      <c r="LD133" s="1"/>
      <c r="LF133" s="1"/>
      <c r="LN133" s="1"/>
      <c r="LO133" s="1"/>
      <c r="LP133" s="1"/>
      <c r="LZ133" s="1"/>
      <c r="MA133" s="1"/>
    </row>
    <row r="134" spans="4:339" ht="13" x14ac:dyDescent="0.15">
      <c r="D134" s="12"/>
      <c r="E134" s="12"/>
      <c r="I134" s="12"/>
      <c r="J134" s="13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X134" s="1"/>
      <c r="CD134" s="1"/>
      <c r="CE134" s="1"/>
      <c r="CF134" s="1"/>
      <c r="CG134" s="1"/>
      <c r="CH134" s="1"/>
      <c r="CI134" s="1"/>
      <c r="CM134" s="2"/>
      <c r="CN134" s="1"/>
      <c r="CO134" s="1"/>
      <c r="CP134" s="1"/>
      <c r="CQ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M134" s="1"/>
      <c r="DQ134" s="1"/>
      <c r="DR134" s="1"/>
      <c r="DY134" s="1"/>
      <c r="DZ134" s="1"/>
      <c r="ED134" s="1"/>
      <c r="EK134" s="1"/>
      <c r="EL134" s="1"/>
      <c r="EM134" s="1"/>
      <c r="EN134" s="1"/>
      <c r="EQ134" s="1"/>
      <c r="ER134" s="1"/>
      <c r="ES134" s="1"/>
      <c r="EV134" s="1"/>
      <c r="EW134" s="1"/>
      <c r="EZ134" s="1"/>
      <c r="FA134" s="1"/>
      <c r="FD134" s="1"/>
      <c r="FG134" s="1"/>
      <c r="FH134" s="1"/>
      <c r="FP134" s="1"/>
      <c r="FS134" s="1"/>
      <c r="FU134" s="1"/>
      <c r="FV134" s="1"/>
      <c r="FX134" s="1"/>
      <c r="FY134" s="1"/>
      <c r="FZ134" s="1"/>
      <c r="GA134" s="1"/>
      <c r="GD134" s="1"/>
      <c r="GE134" s="1"/>
      <c r="GF134" s="1"/>
      <c r="GG134" s="1"/>
      <c r="GH134" s="1"/>
      <c r="GI134" s="1"/>
      <c r="GJ134" s="1"/>
      <c r="GK134" s="1"/>
      <c r="GL134" s="1"/>
      <c r="GM134" s="1"/>
      <c r="GN134" s="1"/>
      <c r="GO134" s="1"/>
      <c r="GP134" s="1"/>
      <c r="GY134" s="1"/>
      <c r="HF134" s="1"/>
      <c r="HH134" s="1"/>
      <c r="HN134" s="1"/>
      <c r="HR134" s="1"/>
      <c r="HS134" s="1"/>
      <c r="HT134" s="1"/>
      <c r="HY134" s="1"/>
      <c r="ID134" s="1"/>
      <c r="IE134" s="1"/>
      <c r="IR134" s="1"/>
      <c r="IS134" s="1"/>
      <c r="IZ134" s="1"/>
      <c r="JC134" s="1"/>
      <c r="JF134" s="1"/>
      <c r="JG134" s="1"/>
      <c r="JH134" s="1"/>
      <c r="JJ134" s="1"/>
      <c r="JP134" s="1"/>
      <c r="JQ134" s="1"/>
      <c r="JT134" s="1"/>
      <c r="KU134" s="1"/>
      <c r="KW134" s="1"/>
      <c r="KY134" s="1"/>
      <c r="KZ134" s="1"/>
      <c r="LA134" s="1"/>
      <c r="LB134" s="1"/>
      <c r="LC134" s="1"/>
      <c r="LD134" s="1"/>
      <c r="LF134" s="1"/>
      <c r="LN134" s="1"/>
      <c r="LO134" s="1"/>
      <c r="LP134" s="1"/>
      <c r="LZ134" s="1"/>
      <c r="MA134" s="1"/>
    </row>
    <row r="135" spans="4:339" ht="13" x14ac:dyDescent="0.15">
      <c r="D135" s="12"/>
      <c r="E135" s="12"/>
      <c r="I135" s="12"/>
      <c r="J135" s="13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X135" s="1"/>
      <c r="CD135" s="1"/>
      <c r="CE135" s="1"/>
      <c r="CF135" s="1"/>
      <c r="CG135" s="1"/>
      <c r="CH135" s="1"/>
      <c r="CI135" s="1"/>
      <c r="CM135" s="2"/>
      <c r="CN135" s="1"/>
      <c r="CO135" s="1"/>
      <c r="CP135" s="1"/>
      <c r="CQ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M135" s="1"/>
      <c r="DQ135" s="1"/>
      <c r="DR135" s="1"/>
      <c r="DY135" s="1"/>
      <c r="DZ135" s="1"/>
      <c r="ED135" s="1"/>
      <c r="EK135" s="1"/>
      <c r="EL135" s="1"/>
      <c r="EM135" s="1"/>
      <c r="EN135" s="1"/>
      <c r="EQ135" s="1"/>
      <c r="ER135" s="1"/>
      <c r="ES135" s="1"/>
      <c r="EV135" s="1"/>
      <c r="EW135" s="1"/>
      <c r="EZ135" s="1"/>
      <c r="FA135" s="1"/>
      <c r="FD135" s="1"/>
      <c r="FG135" s="1"/>
      <c r="FH135" s="1"/>
      <c r="FP135" s="1"/>
      <c r="FS135" s="1"/>
      <c r="FU135" s="1"/>
      <c r="FV135" s="1"/>
      <c r="FX135" s="1"/>
      <c r="FY135" s="1"/>
      <c r="FZ135" s="1"/>
      <c r="GA135" s="1"/>
      <c r="GD135" s="1"/>
      <c r="GE135" s="1"/>
      <c r="GF135" s="1"/>
      <c r="GG135" s="1"/>
      <c r="GH135" s="1"/>
      <c r="GI135" s="1"/>
      <c r="GJ135" s="1"/>
      <c r="GK135" s="1"/>
      <c r="GL135" s="1"/>
      <c r="GM135" s="1"/>
      <c r="GN135" s="1"/>
      <c r="GO135" s="1"/>
      <c r="GP135" s="1"/>
      <c r="GY135" s="1"/>
      <c r="HF135" s="1"/>
      <c r="HH135" s="1"/>
      <c r="HN135" s="1"/>
      <c r="HR135" s="1"/>
      <c r="HS135" s="1"/>
      <c r="HT135" s="1"/>
      <c r="HY135" s="1"/>
      <c r="ID135" s="1"/>
      <c r="IE135" s="1"/>
      <c r="IR135" s="1"/>
      <c r="IS135" s="1"/>
      <c r="IZ135" s="1"/>
      <c r="JC135" s="1"/>
      <c r="JF135" s="1"/>
      <c r="JG135" s="1"/>
      <c r="JH135" s="1"/>
      <c r="JJ135" s="1"/>
      <c r="JP135" s="1"/>
      <c r="JQ135" s="1"/>
      <c r="JT135" s="1"/>
      <c r="KU135" s="1"/>
      <c r="KW135" s="1"/>
      <c r="KY135" s="1"/>
      <c r="KZ135" s="1"/>
      <c r="LA135" s="1"/>
      <c r="LB135" s="1"/>
      <c r="LC135" s="1"/>
      <c r="LD135" s="1"/>
      <c r="LF135" s="1"/>
      <c r="LN135" s="1"/>
      <c r="LO135" s="1"/>
      <c r="LP135" s="1"/>
      <c r="LZ135" s="1"/>
      <c r="MA135" s="1"/>
    </row>
    <row r="136" spans="4:339" ht="13" x14ac:dyDescent="0.15">
      <c r="D136" s="12"/>
      <c r="E136" s="12"/>
      <c r="I136" s="12"/>
      <c r="J136" s="13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X136" s="1"/>
      <c r="CD136" s="1"/>
      <c r="CE136" s="1"/>
      <c r="CF136" s="1"/>
      <c r="CG136" s="1"/>
      <c r="CH136" s="1"/>
      <c r="CI136" s="1"/>
      <c r="CM136" s="2"/>
      <c r="CN136" s="1"/>
      <c r="CO136" s="1"/>
      <c r="CP136" s="1"/>
      <c r="CQ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M136" s="1"/>
      <c r="DR136" s="1"/>
      <c r="ED136" s="1"/>
      <c r="EF136" s="1"/>
      <c r="EK136" s="1"/>
      <c r="EL136" s="1"/>
      <c r="EM136" s="1"/>
      <c r="EN136" s="1"/>
      <c r="EQ136" s="1"/>
      <c r="ER136" s="1"/>
      <c r="ES136" s="1"/>
      <c r="EV136" s="1"/>
      <c r="EW136" s="1"/>
      <c r="EZ136" s="1"/>
      <c r="FA136" s="1"/>
      <c r="FD136" s="1"/>
      <c r="FG136" s="1"/>
      <c r="FH136" s="1"/>
      <c r="FI136" s="1"/>
      <c r="FJ136" s="1"/>
      <c r="FK136" s="1"/>
      <c r="FL136" s="1"/>
      <c r="FM136" s="1"/>
      <c r="FN136" s="1"/>
      <c r="FO136" s="1"/>
      <c r="FP136" s="1"/>
      <c r="FQ136" s="1"/>
      <c r="FR136" s="1"/>
      <c r="FS136" s="1"/>
      <c r="FT136" s="1"/>
      <c r="FU136" s="1"/>
      <c r="FV136" s="1"/>
      <c r="FW136" s="1"/>
      <c r="FX136" s="1"/>
      <c r="GA136" s="1"/>
      <c r="GD136" s="1"/>
      <c r="GE136" s="1"/>
      <c r="GF136" s="1"/>
      <c r="GG136" s="1"/>
      <c r="GH136" s="1"/>
      <c r="GI136" s="1"/>
      <c r="GJ136" s="1"/>
      <c r="GK136" s="1"/>
      <c r="GL136" s="1"/>
      <c r="GM136" s="1"/>
      <c r="GN136" s="1"/>
      <c r="GP136" s="1"/>
      <c r="GR136" s="1"/>
      <c r="GY136" s="1"/>
      <c r="HF136" s="1"/>
      <c r="HH136" s="1"/>
      <c r="HN136" s="1"/>
      <c r="HY136" s="1"/>
      <c r="IC136" s="1"/>
      <c r="IE136" s="1"/>
      <c r="IR136" s="1"/>
      <c r="IS136" s="1"/>
      <c r="IV136" s="1"/>
      <c r="IZ136" s="1"/>
      <c r="JF136" s="1"/>
      <c r="JG136" s="1"/>
      <c r="JJ136" s="1"/>
      <c r="JN136" s="1"/>
      <c r="JP136" s="1"/>
      <c r="JQ136" s="1"/>
      <c r="KY136" s="1"/>
      <c r="KZ136" s="1"/>
      <c r="LA136" s="1"/>
      <c r="LB136" s="1"/>
      <c r="LC136" s="1"/>
      <c r="LD136" s="1"/>
      <c r="LO136" s="1"/>
      <c r="LP136" s="1"/>
      <c r="LZ136" s="1"/>
      <c r="MA136" s="1"/>
    </row>
    <row r="137" spans="4:339" ht="13" x14ac:dyDescent="0.15">
      <c r="D137" s="12"/>
      <c r="E137" s="12"/>
      <c r="I137" s="12"/>
      <c r="J137" s="13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X137" s="1"/>
      <c r="CD137" s="1"/>
      <c r="CE137" s="1"/>
      <c r="CF137" s="1"/>
      <c r="CG137" s="1"/>
      <c r="CH137" s="1"/>
      <c r="CI137" s="1"/>
      <c r="CM137" s="2"/>
      <c r="CN137" s="1"/>
      <c r="CO137" s="1"/>
      <c r="CP137" s="1"/>
      <c r="CQ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M137" s="1"/>
      <c r="DR137" s="1"/>
      <c r="ED137" s="1"/>
      <c r="EF137" s="1"/>
      <c r="EK137" s="1"/>
      <c r="EL137" s="1"/>
      <c r="EM137" s="1"/>
      <c r="EN137" s="1"/>
      <c r="EQ137" s="1"/>
      <c r="ER137" s="1"/>
      <c r="ES137" s="1"/>
      <c r="EV137" s="1"/>
      <c r="EW137" s="1"/>
      <c r="EZ137" s="1"/>
      <c r="FA137" s="1"/>
      <c r="FD137" s="1"/>
      <c r="FG137" s="1"/>
      <c r="FH137" s="1"/>
      <c r="FI137" s="1"/>
      <c r="FJ137" s="1"/>
      <c r="FK137" s="1"/>
      <c r="FL137" s="1"/>
      <c r="FM137" s="1"/>
      <c r="FN137" s="1"/>
      <c r="FO137" s="1"/>
      <c r="FP137" s="1"/>
      <c r="FQ137" s="1"/>
      <c r="FR137" s="1"/>
      <c r="FS137" s="1"/>
      <c r="FT137" s="1"/>
      <c r="FU137" s="1"/>
      <c r="FV137" s="1"/>
      <c r="FW137" s="1"/>
      <c r="FX137" s="1"/>
      <c r="GA137" s="1"/>
      <c r="GD137" s="1"/>
      <c r="GE137" s="1"/>
      <c r="GF137" s="1"/>
      <c r="GG137" s="1"/>
      <c r="GH137" s="1"/>
      <c r="GI137" s="1"/>
      <c r="GJ137" s="1"/>
      <c r="GK137" s="1"/>
      <c r="GL137" s="1"/>
      <c r="GM137" s="1"/>
      <c r="GN137" s="1"/>
      <c r="GP137" s="1"/>
      <c r="GR137" s="1"/>
      <c r="GY137" s="1"/>
      <c r="HF137" s="1"/>
      <c r="HH137" s="1"/>
      <c r="HN137" s="1"/>
      <c r="HY137" s="1"/>
      <c r="IC137" s="1"/>
      <c r="IE137" s="1"/>
      <c r="IR137" s="1"/>
      <c r="IS137" s="1"/>
      <c r="IV137" s="1"/>
      <c r="IZ137" s="1"/>
      <c r="JF137" s="1"/>
      <c r="JG137" s="1"/>
      <c r="JJ137" s="1"/>
      <c r="JN137" s="1"/>
      <c r="JP137" s="1"/>
      <c r="JQ137" s="1"/>
      <c r="KY137" s="1"/>
      <c r="KZ137" s="1"/>
      <c r="LA137" s="1"/>
      <c r="LB137" s="1"/>
      <c r="LC137" s="1"/>
      <c r="LD137" s="1"/>
      <c r="LO137" s="1"/>
      <c r="LP137" s="1"/>
      <c r="LZ137" s="1"/>
      <c r="MA137" s="1"/>
    </row>
    <row r="138" spans="4:339" ht="13" x14ac:dyDescent="0.15">
      <c r="D138" s="12"/>
      <c r="E138" s="12"/>
      <c r="I138" s="12"/>
      <c r="J138" s="13"/>
      <c r="BF138" s="1"/>
      <c r="BG138" s="1"/>
      <c r="BH138" s="1"/>
      <c r="BI138" s="1"/>
      <c r="BK138" s="1"/>
      <c r="BL138" s="1"/>
      <c r="BM138" s="1"/>
      <c r="BN138" s="1"/>
      <c r="BO138" s="1"/>
      <c r="BP138" s="1"/>
      <c r="BQ138" s="1"/>
      <c r="BR138" s="1"/>
      <c r="CD138" s="1"/>
      <c r="CE138" s="1"/>
      <c r="CF138" s="1"/>
      <c r="CG138" s="1"/>
      <c r="CH138" s="1"/>
      <c r="CI138" s="1"/>
      <c r="CM138" s="4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M138" s="1"/>
      <c r="DQ138" s="1"/>
      <c r="DR138" s="1"/>
      <c r="DY138" s="1"/>
      <c r="DZ138" s="1"/>
      <c r="ED138" s="1"/>
      <c r="EF138" s="1"/>
      <c r="EK138" s="1"/>
      <c r="EL138" s="1"/>
      <c r="EM138" s="1"/>
      <c r="EN138" s="1"/>
      <c r="EQ138" s="1"/>
      <c r="ER138" s="1"/>
      <c r="ES138" s="1"/>
      <c r="EV138" s="1"/>
      <c r="EW138" s="1"/>
      <c r="EZ138" s="1"/>
      <c r="FA138" s="1"/>
      <c r="FD138" s="1"/>
      <c r="FG138" s="1"/>
      <c r="FH138" s="1"/>
      <c r="FI138" s="1"/>
      <c r="FJ138" s="1"/>
      <c r="FK138" s="1"/>
      <c r="FL138" s="1"/>
      <c r="FM138" s="1"/>
      <c r="FN138" s="1"/>
      <c r="FO138" s="1"/>
      <c r="FP138" s="1"/>
      <c r="FQ138" s="1"/>
      <c r="FS138" s="1"/>
      <c r="FT138" s="1"/>
      <c r="FU138" s="1"/>
      <c r="FV138" s="1"/>
      <c r="FW138" s="1"/>
      <c r="FX138" s="1"/>
      <c r="FY138" s="1"/>
      <c r="FZ138" s="1"/>
      <c r="GA138" s="1"/>
      <c r="GD138" s="1"/>
      <c r="GE138" s="1"/>
      <c r="GF138" s="1"/>
      <c r="GG138" s="1"/>
      <c r="GH138" s="1"/>
      <c r="GI138" s="1"/>
      <c r="GJ138" s="1"/>
      <c r="GK138" s="1"/>
      <c r="GL138" s="1"/>
      <c r="GM138" s="1"/>
      <c r="GN138" s="1"/>
      <c r="GP138" s="1"/>
      <c r="GR138" s="1"/>
      <c r="GY138" s="1"/>
      <c r="HH138" s="1"/>
      <c r="HN138" s="1"/>
      <c r="HT138" s="1"/>
      <c r="HY138" s="1"/>
      <c r="IE138" s="1"/>
      <c r="IG138" s="1"/>
      <c r="IR138" s="1"/>
      <c r="IS138" s="1"/>
      <c r="IZ138" s="1"/>
      <c r="JF138" s="1"/>
      <c r="JG138" s="1"/>
      <c r="JH138" s="1"/>
      <c r="JJ138" s="1"/>
      <c r="JK138" s="1"/>
      <c r="JL138" s="3"/>
      <c r="JM138" s="1"/>
      <c r="JN138" s="1"/>
      <c r="JP138" s="1"/>
      <c r="JQ138" s="1"/>
      <c r="JR138" s="1"/>
      <c r="KU138" s="1"/>
      <c r="KY138" s="1"/>
      <c r="KZ138" s="1"/>
      <c r="LA138" s="1"/>
      <c r="LB138" s="1"/>
      <c r="LC138" s="1"/>
      <c r="LD138" s="1"/>
      <c r="LN138" s="1"/>
      <c r="LO138" s="1"/>
      <c r="LP138" s="1"/>
      <c r="LZ138" s="1"/>
      <c r="MA138" s="1"/>
    </row>
    <row r="139" spans="4:339" ht="13" x14ac:dyDescent="0.15">
      <c r="D139" s="12"/>
      <c r="E139" s="12"/>
      <c r="I139" s="12"/>
      <c r="J139" s="13"/>
      <c r="BF139" s="1"/>
      <c r="BG139" s="1"/>
      <c r="BH139" s="1"/>
      <c r="BI139" s="1"/>
      <c r="BK139" s="1"/>
      <c r="BL139" s="1"/>
      <c r="BM139" s="1"/>
      <c r="BN139" s="1"/>
      <c r="BO139" s="1"/>
      <c r="BP139" s="1"/>
      <c r="BQ139" s="1"/>
      <c r="BR139" s="1"/>
      <c r="CD139" s="1"/>
      <c r="CE139" s="1"/>
      <c r="CF139" s="1"/>
      <c r="CG139" s="1"/>
      <c r="CH139" s="1"/>
      <c r="CI139" s="1"/>
      <c r="CM139" s="4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M139" s="1"/>
      <c r="DQ139" s="1"/>
      <c r="DR139" s="1"/>
      <c r="DY139" s="1"/>
      <c r="DZ139" s="1"/>
      <c r="ED139" s="1"/>
      <c r="EF139" s="1"/>
      <c r="EK139" s="1"/>
      <c r="EL139" s="1"/>
      <c r="EM139" s="1"/>
      <c r="EN139" s="1"/>
      <c r="EQ139" s="1"/>
      <c r="ER139" s="1"/>
      <c r="ES139" s="1"/>
      <c r="EV139" s="1"/>
      <c r="EW139" s="1"/>
      <c r="EZ139" s="1"/>
      <c r="FA139" s="1"/>
      <c r="FD139" s="1"/>
      <c r="FG139" s="1"/>
      <c r="FH139" s="1"/>
      <c r="FI139" s="1"/>
      <c r="FJ139" s="1"/>
      <c r="FK139" s="1"/>
      <c r="FL139" s="1"/>
      <c r="FM139" s="1"/>
      <c r="FN139" s="1"/>
      <c r="FO139" s="1"/>
      <c r="FP139" s="1"/>
      <c r="FQ139" s="1"/>
      <c r="FS139" s="1"/>
      <c r="FT139" s="1"/>
      <c r="FU139" s="1"/>
      <c r="FV139" s="1"/>
      <c r="FW139" s="1"/>
      <c r="FX139" s="1"/>
      <c r="FY139" s="1"/>
      <c r="FZ139" s="1"/>
      <c r="GA139" s="1"/>
      <c r="GD139" s="1"/>
      <c r="GE139" s="1"/>
      <c r="GF139" s="1"/>
      <c r="GG139" s="1"/>
      <c r="GH139" s="1"/>
      <c r="GI139" s="1"/>
      <c r="GJ139" s="1"/>
      <c r="GK139" s="1"/>
      <c r="GL139" s="1"/>
      <c r="GM139" s="1"/>
      <c r="GN139" s="1"/>
      <c r="GP139" s="1"/>
      <c r="GR139" s="1"/>
      <c r="GY139" s="1"/>
      <c r="HH139" s="1"/>
      <c r="HN139" s="1"/>
      <c r="HT139" s="1"/>
      <c r="HY139" s="1"/>
      <c r="IE139" s="1"/>
      <c r="IG139" s="1"/>
      <c r="IR139" s="1"/>
      <c r="IS139" s="1"/>
      <c r="IZ139" s="1"/>
      <c r="JF139" s="1"/>
      <c r="JG139" s="1"/>
      <c r="JH139" s="1"/>
      <c r="JJ139" s="1"/>
      <c r="JK139" s="1"/>
      <c r="JL139" s="3"/>
      <c r="JM139" s="1"/>
      <c r="JN139" s="1"/>
      <c r="JP139" s="1"/>
      <c r="JQ139" s="1"/>
      <c r="JR139" s="1"/>
      <c r="KU139" s="1"/>
      <c r="KY139" s="1"/>
      <c r="KZ139" s="1"/>
      <c r="LA139" s="1"/>
      <c r="LB139" s="1"/>
      <c r="LC139" s="1"/>
      <c r="LD139" s="1"/>
      <c r="LN139" s="1"/>
      <c r="LO139" s="1"/>
      <c r="LP139" s="1"/>
      <c r="LZ139" s="1"/>
      <c r="MA139" s="1"/>
    </row>
    <row r="140" spans="4:339" ht="13" x14ac:dyDescent="0.15">
      <c r="D140" s="12"/>
      <c r="E140" s="12"/>
      <c r="I140" s="12"/>
      <c r="J140" s="13"/>
      <c r="BF140" s="1"/>
      <c r="BG140" s="1"/>
      <c r="BH140" s="1"/>
      <c r="BI140" s="1"/>
      <c r="BK140" s="1"/>
      <c r="BL140" s="1"/>
      <c r="BM140" s="1"/>
      <c r="BN140" s="1"/>
      <c r="BO140" s="1"/>
      <c r="BP140" s="1"/>
      <c r="BQ140" s="1"/>
      <c r="BR140" s="1"/>
      <c r="BX140" s="1"/>
      <c r="CC140" s="1"/>
      <c r="CD140" s="1"/>
      <c r="CE140" s="1"/>
      <c r="CF140" s="1"/>
      <c r="CG140" s="1"/>
      <c r="CH140" s="1"/>
      <c r="CI140" s="1"/>
      <c r="CK140" s="1"/>
      <c r="CM140" s="2"/>
      <c r="CN140" s="1"/>
      <c r="CO140" s="1"/>
      <c r="CP140" s="1"/>
      <c r="CQ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M140" s="1"/>
      <c r="DQ140" s="1"/>
      <c r="DR140" s="1"/>
      <c r="DY140" s="1"/>
      <c r="DZ140" s="1"/>
      <c r="ED140" s="1"/>
      <c r="EF140" s="1"/>
      <c r="EK140" s="1"/>
      <c r="EL140" s="1"/>
      <c r="EM140" s="1"/>
      <c r="EN140" s="1"/>
      <c r="EQ140" s="1"/>
      <c r="ER140" s="1"/>
      <c r="ES140" s="1"/>
      <c r="EV140" s="1"/>
      <c r="EW140" s="1"/>
      <c r="EX140" s="1"/>
      <c r="EZ140" s="1"/>
      <c r="FA140" s="1"/>
      <c r="FD140" s="1"/>
      <c r="FG140" s="1"/>
      <c r="FH140" s="1"/>
      <c r="FI140" s="1"/>
      <c r="FJ140" s="1"/>
      <c r="FK140" s="1"/>
      <c r="FL140" s="1"/>
      <c r="FM140" s="1"/>
      <c r="FN140" s="1"/>
      <c r="FO140" s="1"/>
      <c r="FP140" s="1"/>
      <c r="FQ140" s="1"/>
      <c r="FS140" s="1"/>
      <c r="FT140" s="1"/>
      <c r="FU140" s="1"/>
      <c r="FV140" s="1"/>
      <c r="FW140" s="1"/>
      <c r="FX140" s="1"/>
      <c r="FZ140" s="1"/>
      <c r="GA140" s="1"/>
      <c r="GD140" s="1"/>
      <c r="GE140" s="1"/>
      <c r="GF140" s="1"/>
      <c r="GG140" s="1"/>
      <c r="GH140" s="1"/>
      <c r="GI140" s="1"/>
      <c r="GJ140" s="1"/>
      <c r="GK140" s="1"/>
      <c r="GL140" s="1"/>
      <c r="GM140" s="1"/>
      <c r="GN140" s="1"/>
      <c r="GO140" s="1"/>
      <c r="GP140" s="1"/>
      <c r="GR140" s="1"/>
      <c r="GY140" s="1"/>
      <c r="HH140" s="1"/>
      <c r="HQ140" s="1"/>
      <c r="HT140" s="1"/>
      <c r="HY140" s="1"/>
      <c r="IA140" s="1"/>
      <c r="IC140" s="1"/>
      <c r="ID140" s="1"/>
      <c r="IE140" s="1"/>
      <c r="IF140" s="1"/>
      <c r="IG140" s="1"/>
      <c r="IJ140" s="1"/>
      <c r="IR140" s="1"/>
      <c r="IS140" s="1"/>
      <c r="IY140" s="1"/>
      <c r="IZ140" s="1"/>
      <c r="JC140" s="1"/>
      <c r="JF140" s="1"/>
      <c r="JG140" s="1"/>
      <c r="JH140" s="1"/>
      <c r="JJ140" s="1"/>
      <c r="JK140" s="1"/>
      <c r="JL140" s="3"/>
      <c r="JM140" s="1"/>
      <c r="JN140" s="1"/>
      <c r="JP140" s="1"/>
      <c r="JQ140" s="1"/>
      <c r="JR140" s="1"/>
      <c r="JT140" s="1"/>
      <c r="JW140" s="1"/>
      <c r="KS140" s="1"/>
      <c r="KT140" s="1"/>
      <c r="KU140" s="1"/>
      <c r="KW140" s="1"/>
      <c r="KY140" s="1"/>
      <c r="KZ140" s="1"/>
      <c r="LA140" s="1"/>
      <c r="LB140" s="1"/>
      <c r="LC140" s="1"/>
      <c r="LD140" s="1"/>
      <c r="LJ140" s="1"/>
      <c r="LN140" s="1"/>
      <c r="LO140" s="1"/>
      <c r="LP140" s="1"/>
      <c r="LZ140" s="1"/>
      <c r="MA140" s="1"/>
    </row>
    <row r="141" spans="4:339" ht="13" x14ac:dyDescent="0.15">
      <c r="D141" s="12"/>
      <c r="E141" s="12"/>
      <c r="I141" s="12"/>
      <c r="J141" s="13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CC141" s="1"/>
      <c r="CD141" s="1"/>
      <c r="CE141" s="1"/>
      <c r="CF141" s="1"/>
      <c r="CG141" s="1"/>
      <c r="CH141" s="1"/>
      <c r="CI141" s="1"/>
      <c r="CJ141" s="1"/>
      <c r="CM141" s="4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M141" s="1"/>
      <c r="DR141" s="1"/>
      <c r="ED141" s="1"/>
      <c r="EF141" s="1"/>
      <c r="EK141" s="1"/>
      <c r="EL141" s="1"/>
      <c r="EM141" s="1"/>
      <c r="EN141" s="1"/>
      <c r="EO141" s="1"/>
      <c r="EQ141" s="1"/>
      <c r="ER141" s="1"/>
      <c r="ES141" s="1"/>
      <c r="EV141" s="1"/>
      <c r="EW141" s="1"/>
      <c r="EZ141" s="1"/>
      <c r="FA141" s="1"/>
      <c r="FD141" s="1"/>
      <c r="FJ141" s="1"/>
      <c r="FN141" s="1"/>
      <c r="FO141" s="1"/>
      <c r="FS141" s="1"/>
      <c r="GA141" s="1"/>
      <c r="GD141" s="1"/>
      <c r="GE141" s="1"/>
      <c r="GF141" s="1"/>
      <c r="GG141" s="1"/>
      <c r="GH141" s="1"/>
      <c r="GI141" s="1"/>
      <c r="GJ141" s="1"/>
      <c r="GN141" s="1"/>
      <c r="GP141" s="1"/>
      <c r="GR141" s="1"/>
      <c r="HF141" s="1"/>
      <c r="HH141" s="1"/>
      <c r="HN141" s="1"/>
      <c r="HQ141" s="1"/>
      <c r="HT141" s="1"/>
      <c r="HY141" s="1"/>
      <c r="IE141" s="1"/>
      <c r="IG141" s="1"/>
      <c r="IK141" s="1"/>
      <c r="IR141" s="1"/>
      <c r="IS141" s="1"/>
      <c r="IZ141" s="1"/>
      <c r="JC141" s="1"/>
      <c r="JF141" s="1"/>
      <c r="JG141" s="1"/>
      <c r="JH141" s="1"/>
      <c r="JJ141" s="1"/>
      <c r="JK141" s="1"/>
      <c r="JL141" s="3"/>
      <c r="JM141" s="1"/>
      <c r="JP141" s="1"/>
      <c r="JQ141" s="1"/>
      <c r="JR141" s="1"/>
      <c r="JT141" s="1"/>
      <c r="KW141" s="1"/>
      <c r="KY141" s="1"/>
      <c r="KZ141" s="1"/>
      <c r="LA141" s="1"/>
      <c r="LB141" s="1"/>
      <c r="LC141" s="1"/>
      <c r="LD141" s="1"/>
      <c r="LO141" s="1"/>
      <c r="LP141" s="1"/>
      <c r="LY141" s="1"/>
      <c r="LZ141" s="1"/>
      <c r="MA141" s="1"/>
    </row>
    <row r="142" spans="4:339" ht="13" x14ac:dyDescent="0.15">
      <c r="D142" s="12"/>
      <c r="E142" s="12"/>
      <c r="I142" s="12"/>
      <c r="J142" s="13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CC142" s="1"/>
      <c r="CD142" s="1"/>
      <c r="CE142" s="1"/>
      <c r="CF142" s="1"/>
      <c r="CG142" s="1"/>
      <c r="CH142" s="1"/>
      <c r="CI142" s="1"/>
      <c r="CJ142" s="1"/>
      <c r="CM142" s="4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M142" s="1"/>
      <c r="DR142" s="1"/>
      <c r="ED142" s="1"/>
      <c r="EF142" s="1"/>
      <c r="EK142" s="1"/>
      <c r="EL142" s="1"/>
      <c r="EM142" s="1"/>
      <c r="EN142" s="1"/>
      <c r="EO142" s="1"/>
      <c r="EQ142" s="1"/>
      <c r="ER142" s="1"/>
      <c r="ES142" s="1"/>
      <c r="EV142" s="1"/>
      <c r="EW142" s="1"/>
      <c r="EZ142" s="1"/>
      <c r="FA142" s="1"/>
      <c r="FD142" s="1"/>
      <c r="FJ142" s="1"/>
      <c r="FN142" s="1"/>
      <c r="FO142" s="1"/>
      <c r="FS142" s="1"/>
      <c r="GA142" s="1"/>
      <c r="GD142" s="1"/>
      <c r="GE142" s="1"/>
      <c r="GF142" s="1"/>
      <c r="GG142" s="1"/>
      <c r="GH142" s="1"/>
      <c r="GI142" s="1"/>
      <c r="GJ142" s="1"/>
      <c r="GN142" s="1"/>
      <c r="GP142" s="1"/>
      <c r="GR142" s="1"/>
      <c r="HF142" s="1"/>
      <c r="HH142" s="1"/>
      <c r="HN142" s="1"/>
      <c r="HQ142" s="1"/>
      <c r="HT142" s="1"/>
      <c r="HY142" s="1"/>
      <c r="IE142" s="1"/>
      <c r="IG142" s="1"/>
      <c r="IK142" s="1"/>
      <c r="IR142" s="1"/>
      <c r="IS142" s="1"/>
      <c r="IZ142" s="1"/>
      <c r="JC142" s="1"/>
      <c r="JF142" s="1"/>
      <c r="JG142" s="1"/>
      <c r="JH142" s="1"/>
      <c r="JJ142" s="1"/>
      <c r="JK142" s="1"/>
      <c r="JL142" s="3"/>
      <c r="JM142" s="1"/>
      <c r="JP142" s="1"/>
      <c r="JQ142" s="1"/>
      <c r="JR142" s="1"/>
      <c r="JT142" s="1"/>
      <c r="KW142" s="1"/>
      <c r="KY142" s="1"/>
      <c r="KZ142" s="1"/>
      <c r="LA142" s="1"/>
      <c r="LB142" s="1"/>
      <c r="LC142" s="1"/>
      <c r="LD142" s="1"/>
      <c r="LO142" s="1"/>
      <c r="LP142" s="1"/>
      <c r="LY142" s="1"/>
      <c r="LZ142" s="1"/>
      <c r="MA142" s="1"/>
    </row>
    <row r="143" spans="4:339" ht="13" x14ac:dyDescent="0.15">
      <c r="D143" s="12"/>
      <c r="E143" s="12"/>
      <c r="I143" s="12"/>
      <c r="J143" s="13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CC143" s="1"/>
      <c r="CD143" s="1"/>
      <c r="CE143" s="1"/>
      <c r="CF143" s="1"/>
      <c r="CG143" s="1"/>
      <c r="CH143" s="1"/>
      <c r="CI143" s="1"/>
      <c r="CJ143" s="1"/>
      <c r="CM143" s="4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M143" s="1"/>
      <c r="DR143" s="1"/>
      <c r="ED143" s="1"/>
      <c r="EF143" s="1"/>
      <c r="EK143" s="1"/>
      <c r="EL143" s="1"/>
      <c r="EM143" s="1"/>
      <c r="EN143" s="1"/>
      <c r="EO143" s="1"/>
      <c r="EQ143" s="1"/>
      <c r="ER143" s="1"/>
      <c r="ES143" s="1"/>
      <c r="EV143" s="1"/>
      <c r="EW143" s="1"/>
      <c r="EZ143" s="1"/>
      <c r="FA143" s="1"/>
      <c r="FD143" s="1"/>
      <c r="FJ143" s="1"/>
      <c r="FN143" s="1"/>
      <c r="FO143" s="1"/>
      <c r="FS143" s="1"/>
      <c r="GA143" s="1"/>
      <c r="GD143" s="1"/>
      <c r="GE143" s="1"/>
      <c r="GF143" s="1"/>
      <c r="GG143" s="1"/>
      <c r="GH143" s="1"/>
      <c r="GI143" s="1"/>
      <c r="GJ143" s="1"/>
      <c r="GN143" s="1"/>
      <c r="GP143" s="1"/>
      <c r="GR143" s="1"/>
      <c r="HF143" s="1"/>
      <c r="HH143" s="1"/>
      <c r="HN143" s="1"/>
      <c r="HQ143" s="1"/>
      <c r="HT143" s="1"/>
      <c r="HY143" s="1"/>
      <c r="IE143" s="1"/>
      <c r="IG143" s="1"/>
      <c r="IK143" s="1"/>
      <c r="IR143" s="1"/>
      <c r="IS143" s="1"/>
      <c r="IZ143" s="1"/>
      <c r="JC143" s="1"/>
      <c r="JF143" s="1"/>
      <c r="JG143" s="1"/>
      <c r="JH143" s="1"/>
      <c r="JJ143" s="1"/>
      <c r="JK143" s="1"/>
      <c r="JL143" s="3"/>
      <c r="JM143" s="1"/>
      <c r="JP143" s="1"/>
      <c r="JQ143" s="1"/>
      <c r="JR143" s="1"/>
      <c r="JT143" s="1"/>
      <c r="KW143" s="1"/>
      <c r="KY143" s="1"/>
      <c r="KZ143" s="1"/>
      <c r="LA143" s="1"/>
      <c r="LB143" s="1"/>
      <c r="LC143" s="1"/>
      <c r="LD143" s="1"/>
      <c r="LO143" s="1"/>
      <c r="LP143" s="1"/>
      <c r="LY143" s="1"/>
      <c r="LZ143" s="1"/>
      <c r="MA143" s="1"/>
    </row>
    <row r="144" spans="4:339" ht="13" x14ac:dyDescent="0.15">
      <c r="D144" s="12"/>
      <c r="E144" s="12"/>
      <c r="I144" s="12"/>
      <c r="J144" s="13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CC144" s="1"/>
      <c r="CD144" s="1"/>
      <c r="CE144" s="1"/>
      <c r="CF144" s="1"/>
      <c r="CG144" s="1"/>
      <c r="CH144" s="1"/>
      <c r="CI144" s="1"/>
      <c r="CJ144" s="1"/>
      <c r="CM144" s="4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M144" s="1"/>
      <c r="DR144" s="1"/>
      <c r="ED144" s="1"/>
      <c r="EF144" s="1"/>
      <c r="EK144" s="1"/>
      <c r="EL144" s="1"/>
      <c r="EM144" s="1"/>
      <c r="EN144" s="1"/>
      <c r="EO144" s="1"/>
      <c r="EQ144" s="1"/>
      <c r="ER144" s="1"/>
      <c r="ES144" s="1"/>
      <c r="EV144" s="1"/>
      <c r="EW144" s="1"/>
      <c r="EZ144" s="1"/>
      <c r="FA144" s="1"/>
      <c r="FD144" s="1"/>
      <c r="FJ144" s="1"/>
      <c r="FN144" s="1"/>
      <c r="FO144" s="1"/>
      <c r="FS144" s="1"/>
      <c r="GA144" s="1"/>
      <c r="GD144" s="1"/>
      <c r="GE144" s="1"/>
      <c r="GF144" s="1"/>
      <c r="GG144" s="1"/>
      <c r="GH144" s="1"/>
      <c r="GI144" s="1"/>
      <c r="GJ144" s="1"/>
      <c r="GN144" s="1"/>
      <c r="GP144" s="1"/>
      <c r="GR144" s="1"/>
      <c r="HF144" s="1"/>
      <c r="HH144" s="1"/>
      <c r="HN144" s="1"/>
      <c r="HQ144" s="1"/>
      <c r="HT144" s="1"/>
      <c r="HY144" s="1"/>
      <c r="IE144" s="1"/>
      <c r="IG144" s="1"/>
      <c r="IK144" s="1"/>
      <c r="IR144" s="1"/>
      <c r="IS144" s="1"/>
      <c r="IZ144" s="1"/>
      <c r="JC144" s="1"/>
      <c r="JF144" s="1"/>
      <c r="JG144" s="1"/>
      <c r="JH144" s="1"/>
      <c r="JJ144" s="1"/>
      <c r="JK144" s="1"/>
      <c r="JL144" s="3"/>
      <c r="JM144" s="1"/>
      <c r="JP144" s="1"/>
      <c r="JQ144" s="1"/>
      <c r="JR144" s="1"/>
      <c r="JT144" s="1"/>
      <c r="KW144" s="1"/>
      <c r="KY144" s="1"/>
      <c r="KZ144" s="1"/>
      <c r="LA144" s="1"/>
      <c r="LB144" s="1"/>
      <c r="LC144" s="1"/>
      <c r="LD144" s="1"/>
      <c r="LO144" s="1"/>
      <c r="LP144" s="1"/>
      <c r="LY144" s="1"/>
      <c r="LZ144" s="1"/>
      <c r="MA144" s="1"/>
    </row>
    <row r="145" spans="4:339" ht="13" x14ac:dyDescent="0.15">
      <c r="D145" s="12"/>
      <c r="E145" s="12"/>
      <c r="I145" s="12"/>
      <c r="J145" s="13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CC145" s="1"/>
      <c r="CD145" s="1"/>
      <c r="CE145" s="1"/>
      <c r="CF145" s="1"/>
      <c r="CG145" s="1"/>
      <c r="CH145" s="1"/>
      <c r="CI145" s="1"/>
      <c r="CJ145" s="1"/>
      <c r="CM145" s="4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M145" s="1"/>
      <c r="DR145" s="1"/>
      <c r="ED145" s="1"/>
      <c r="EF145" s="1"/>
      <c r="EK145" s="1"/>
      <c r="EL145" s="1"/>
      <c r="EM145" s="1"/>
      <c r="EN145" s="1"/>
      <c r="EO145" s="1"/>
      <c r="EQ145" s="1"/>
      <c r="ER145" s="1"/>
      <c r="ES145" s="1"/>
      <c r="EV145" s="1"/>
      <c r="EW145" s="1"/>
      <c r="EZ145" s="1"/>
      <c r="FA145" s="1"/>
      <c r="FD145" s="1"/>
      <c r="FJ145" s="1"/>
      <c r="FN145" s="1"/>
      <c r="FO145" s="1"/>
      <c r="FS145" s="1"/>
      <c r="GA145" s="1"/>
      <c r="GD145" s="1"/>
      <c r="GE145" s="1"/>
      <c r="GF145" s="1"/>
      <c r="GG145" s="1"/>
      <c r="GH145" s="1"/>
      <c r="GI145" s="1"/>
      <c r="GJ145" s="1"/>
      <c r="GN145" s="1"/>
      <c r="GP145" s="1"/>
      <c r="GR145" s="1"/>
      <c r="HF145" s="1"/>
      <c r="HH145" s="1"/>
      <c r="HN145" s="1"/>
      <c r="HQ145" s="1"/>
      <c r="HT145" s="1"/>
      <c r="HY145" s="1"/>
      <c r="IE145" s="1"/>
      <c r="IG145" s="1"/>
      <c r="IK145" s="1"/>
      <c r="IR145" s="1"/>
      <c r="IS145" s="1"/>
      <c r="IZ145" s="1"/>
      <c r="JC145" s="1"/>
      <c r="JF145" s="1"/>
      <c r="JG145" s="1"/>
      <c r="JH145" s="1"/>
      <c r="JJ145" s="1"/>
      <c r="JK145" s="1"/>
      <c r="JL145" s="3"/>
      <c r="JM145" s="1"/>
      <c r="JP145" s="1"/>
      <c r="JQ145" s="1"/>
      <c r="JR145" s="1"/>
      <c r="JT145" s="1"/>
      <c r="KW145" s="1"/>
      <c r="KY145" s="1"/>
      <c r="KZ145" s="1"/>
      <c r="LA145" s="1"/>
      <c r="LB145" s="1"/>
      <c r="LC145" s="1"/>
      <c r="LD145" s="1"/>
      <c r="LO145" s="1"/>
      <c r="LP145" s="1"/>
      <c r="LY145" s="1"/>
      <c r="LZ145" s="1"/>
      <c r="MA145" s="1"/>
    </row>
    <row r="146" spans="4:339" ht="13" x14ac:dyDescent="0.15">
      <c r="D146" s="12"/>
      <c r="E146" s="12"/>
      <c r="I146" s="12"/>
      <c r="J146" s="13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CC146" s="1"/>
      <c r="CD146" s="1"/>
      <c r="CE146" s="1"/>
      <c r="CF146" s="1"/>
      <c r="CG146" s="1"/>
      <c r="CH146" s="1"/>
      <c r="CI146" s="1"/>
      <c r="CJ146" s="1"/>
      <c r="CM146" s="4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M146" s="1"/>
      <c r="DR146" s="1"/>
      <c r="ED146" s="1"/>
      <c r="EF146" s="1"/>
      <c r="EK146" s="1"/>
      <c r="EL146" s="1"/>
      <c r="EM146" s="1"/>
      <c r="EN146" s="1"/>
      <c r="EO146" s="1"/>
      <c r="EQ146" s="1"/>
      <c r="ER146" s="1"/>
      <c r="ES146" s="1"/>
      <c r="EV146" s="1"/>
      <c r="EW146" s="1"/>
      <c r="EZ146" s="1"/>
      <c r="FA146" s="1"/>
      <c r="FD146" s="1"/>
      <c r="FJ146" s="1"/>
      <c r="FN146" s="1"/>
      <c r="FO146" s="1"/>
      <c r="FS146" s="1"/>
      <c r="GA146" s="1"/>
      <c r="GD146" s="1"/>
      <c r="GE146" s="1"/>
      <c r="GF146" s="1"/>
      <c r="GG146" s="1"/>
      <c r="GH146" s="1"/>
      <c r="GI146" s="1"/>
      <c r="GJ146" s="1"/>
      <c r="GN146" s="1"/>
      <c r="GP146" s="1"/>
      <c r="GR146" s="1"/>
      <c r="HF146" s="1"/>
      <c r="HH146" s="1"/>
      <c r="HN146" s="1"/>
      <c r="HQ146" s="1"/>
      <c r="HT146" s="1"/>
      <c r="HY146" s="1"/>
      <c r="IE146" s="1"/>
      <c r="IG146" s="1"/>
      <c r="IK146" s="1"/>
      <c r="IR146" s="1"/>
      <c r="IS146" s="1"/>
      <c r="IZ146" s="1"/>
      <c r="JC146" s="1"/>
      <c r="JF146" s="1"/>
      <c r="JG146" s="1"/>
      <c r="JH146" s="1"/>
      <c r="JJ146" s="1"/>
      <c r="JK146" s="1"/>
      <c r="JL146" s="3"/>
      <c r="JM146" s="1"/>
      <c r="JP146" s="1"/>
      <c r="JQ146" s="1"/>
      <c r="JR146" s="1"/>
      <c r="JT146" s="1"/>
      <c r="KW146" s="1"/>
      <c r="KY146" s="1"/>
      <c r="KZ146" s="1"/>
      <c r="LA146" s="1"/>
      <c r="LB146" s="1"/>
      <c r="LC146" s="1"/>
      <c r="LD146" s="1"/>
      <c r="LO146" s="1"/>
      <c r="LP146" s="1"/>
      <c r="LY146" s="1"/>
      <c r="LZ146" s="1"/>
      <c r="MA146" s="1"/>
    </row>
    <row r="147" spans="4:339" ht="13" x14ac:dyDescent="0.15">
      <c r="D147" s="12"/>
      <c r="E147" s="12"/>
      <c r="I147" s="12"/>
      <c r="J147" s="13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CC147" s="1"/>
      <c r="CD147" s="1"/>
      <c r="CE147" s="1"/>
      <c r="CF147" s="1"/>
      <c r="CG147" s="1"/>
      <c r="CH147" s="1"/>
      <c r="CI147" s="1"/>
      <c r="CJ147" s="1"/>
      <c r="CM147" s="4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M147" s="1"/>
      <c r="DR147" s="1"/>
      <c r="ED147" s="1"/>
      <c r="EF147" s="1"/>
      <c r="EK147" s="1"/>
      <c r="EL147" s="1"/>
      <c r="EM147" s="1"/>
      <c r="EN147" s="1"/>
      <c r="EO147" s="1"/>
      <c r="EQ147" s="1"/>
      <c r="ER147" s="1"/>
      <c r="ES147" s="1"/>
      <c r="EV147" s="1"/>
      <c r="EW147" s="1"/>
      <c r="EZ147" s="1"/>
      <c r="FA147" s="1"/>
      <c r="FD147" s="1"/>
      <c r="FJ147" s="1"/>
      <c r="FN147" s="1"/>
      <c r="FO147" s="1"/>
      <c r="FS147" s="1"/>
      <c r="GA147" s="1"/>
      <c r="GD147" s="1"/>
      <c r="GE147" s="1"/>
      <c r="GF147" s="1"/>
      <c r="GG147" s="1"/>
      <c r="GH147" s="1"/>
      <c r="GI147" s="1"/>
      <c r="GJ147" s="1"/>
      <c r="GN147" s="1"/>
      <c r="GP147" s="1"/>
      <c r="GR147" s="1"/>
      <c r="HF147" s="1"/>
      <c r="HH147" s="1"/>
      <c r="HN147" s="1"/>
      <c r="HQ147" s="1"/>
      <c r="HT147" s="1"/>
      <c r="HY147" s="1"/>
      <c r="IE147" s="1"/>
      <c r="IG147" s="1"/>
      <c r="IK147" s="1"/>
      <c r="IR147" s="1"/>
      <c r="IS147" s="1"/>
      <c r="IZ147" s="1"/>
      <c r="JC147" s="1"/>
      <c r="JF147" s="1"/>
      <c r="JG147" s="1"/>
      <c r="JH147" s="1"/>
      <c r="JJ147" s="1"/>
      <c r="JK147" s="1"/>
      <c r="JL147" s="3"/>
      <c r="JM147" s="1"/>
      <c r="JP147" s="1"/>
      <c r="JQ147" s="1"/>
      <c r="JR147" s="1"/>
      <c r="JT147" s="1"/>
      <c r="KW147" s="1"/>
      <c r="KY147" s="1"/>
      <c r="KZ147" s="1"/>
      <c r="LA147" s="1"/>
      <c r="LB147" s="1"/>
      <c r="LC147" s="1"/>
      <c r="LD147" s="1"/>
      <c r="LO147" s="1"/>
      <c r="LP147" s="1"/>
      <c r="LY147" s="1"/>
      <c r="LZ147" s="1"/>
      <c r="MA147" s="1"/>
    </row>
    <row r="148" spans="4:339" ht="13" x14ac:dyDescent="0.15">
      <c r="D148" s="12"/>
      <c r="E148" s="12"/>
      <c r="I148" s="12"/>
      <c r="J148" s="13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CC148" s="1"/>
      <c r="CD148" s="1"/>
      <c r="CE148" s="1"/>
      <c r="CF148" s="1"/>
      <c r="CG148" s="1"/>
      <c r="CH148" s="1"/>
      <c r="CI148" s="1"/>
      <c r="CJ148" s="1"/>
      <c r="CM148" s="4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M148" s="1"/>
      <c r="DR148" s="1"/>
      <c r="ED148" s="1"/>
      <c r="EF148" s="1"/>
      <c r="EK148" s="1"/>
      <c r="EL148" s="1"/>
      <c r="EM148" s="1"/>
      <c r="EN148" s="1"/>
      <c r="EO148" s="1"/>
      <c r="EQ148" s="1"/>
      <c r="ER148" s="1"/>
      <c r="ES148" s="1"/>
      <c r="EV148" s="1"/>
      <c r="EW148" s="1"/>
      <c r="EZ148" s="1"/>
      <c r="FA148" s="1"/>
      <c r="FD148" s="1"/>
      <c r="FJ148" s="1"/>
      <c r="FN148" s="1"/>
      <c r="FO148" s="1"/>
      <c r="FS148" s="1"/>
      <c r="GA148" s="1"/>
      <c r="GD148" s="1"/>
      <c r="GE148" s="1"/>
      <c r="GF148" s="1"/>
      <c r="GG148" s="1"/>
      <c r="GH148" s="1"/>
      <c r="GI148" s="1"/>
      <c r="GJ148" s="1"/>
      <c r="GN148" s="1"/>
      <c r="GP148" s="1"/>
      <c r="GR148" s="1"/>
      <c r="HF148" s="1"/>
      <c r="HH148" s="1"/>
      <c r="HN148" s="1"/>
      <c r="HQ148" s="1"/>
      <c r="HT148" s="1"/>
      <c r="HY148" s="1"/>
      <c r="IE148" s="1"/>
      <c r="IG148" s="1"/>
      <c r="IK148" s="1"/>
      <c r="IR148" s="1"/>
      <c r="IS148" s="1"/>
      <c r="IZ148" s="1"/>
      <c r="JC148" s="1"/>
      <c r="JF148" s="1"/>
      <c r="JG148" s="1"/>
      <c r="JH148" s="1"/>
      <c r="JJ148" s="1"/>
      <c r="JK148" s="1"/>
      <c r="JL148" s="3"/>
      <c r="JM148" s="1"/>
      <c r="JP148" s="1"/>
      <c r="JQ148" s="1"/>
      <c r="JR148" s="1"/>
      <c r="JT148" s="1"/>
      <c r="KW148" s="1"/>
      <c r="KY148" s="1"/>
      <c r="KZ148" s="1"/>
      <c r="LA148" s="1"/>
      <c r="LB148" s="1"/>
      <c r="LC148" s="1"/>
      <c r="LD148" s="1"/>
      <c r="LO148" s="1"/>
      <c r="LP148" s="1"/>
      <c r="LY148" s="1"/>
      <c r="LZ148" s="1"/>
      <c r="MA148" s="1"/>
    </row>
    <row r="149" spans="4:339" ht="13" x14ac:dyDescent="0.15">
      <c r="D149" s="12"/>
      <c r="E149" s="12"/>
      <c r="I149" s="12"/>
      <c r="J149" s="13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CC149" s="1"/>
      <c r="CD149" s="1"/>
      <c r="CE149" s="1"/>
      <c r="CF149" s="1"/>
      <c r="CG149" s="1"/>
      <c r="CH149" s="1"/>
      <c r="CI149" s="1"/>
      <c r="CJ149" s="1"/>
      <c r="CM149" s="4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M149" s="1"/>
      <c r="DR149" s="1"/>
      <c r="ED149" s="1"/>
      <c r="EF149" s="1"/>
      <c r="EK149" s="1"/>
      <c r="EL149" s="1"/>
      <c r="EM149" s="1"/>
      <c r="EN149" s="1"/>
      <c r="EO149" s="1"/>
      <c r="EQ149" s="1"/>
      <c r="ER149" s="1"/>
      <c r="ES149" s="1"/>
      <c r="EV149" s="1"/>
      <c r="EW149" s="1"/>
      <c r="EZ149" s="1"/>
      <c r="FA149" s="1"/>
      <c r="FD149" s="1"/>
      <c r="FJ149" s="1"/>
      <c r="FN149" s="1"/>
      <c r="FO149" s="1"/>
      <c r="FS149" s="1"/>
      <c r="GA149" s="1"/>
      <c r="GD149" s="1"/>
      <c r="GE149" s="1"/>
      <c r="GF149" s="1"/>
      <c r="GG149" s="1"/>
      <c r="GH149" s="1"/>
      <c r="GI149" s="1"/>
      <c r="GJ149" s="1"/>
      <c r="GN149" s="1"/>
      <c r="GP149" s="1"/>
      <c r="GR149" s="1"/>
      <c r="HF149" s="1"/>
      <c r="HH149" s="1"/>
      <c r="HN149" s="1"/>
      <c r="HQ149" s="1"/>
      <c r="HT149" s="1"/>
      <c r="HY149" s="1"/>
      <c r="IE149" s="1"/>
      <c r="IG149" s="1"/>
      <c r="IK149" s="1"/>
      <c r="IR149" s="1"/>
      <c r="IS149" s="1"/>
      <c r="IZ149" s="1"/>
      <c r="JC149" s="1"/>
      <c r="JF149" s="1"/>
      <c r="JG149" s="1"/>
      <c r="JH149" s="1"/>
      <c r="JJ149" s="1"/>
      <c r="JK149" s="1"/>
      <c r="JL149" s="3"/>
      <c r="JM149" s="1"/>
      <c r="JP149" s="1"/>
      <c r="JQ149" s="1"/>
      <c r="JR149" s="1"/>
      <c r="JT149" s="1"/>
      <c r="KW149" s="1"/>
      <c r="KY149" s="1"/>
      <c r="KZ149" s="1"/>
      <c r="LA149" s="1"/>
      <c r="LB149" s="1"/>
      <c r="LC149" s="1"/>
      <c r="LD149" s="1"/>
      <c r="LO149" s="1"/>
      <c r="LP149" s="1"/>
      <c r="LY149" s="1"/>
      <c r="LZ149" s="1"/>
      <c r="MA149" s="1"/>
    </row>
    <row r="150" spans="4:339" ht="13" x14ac:dyDescent="0.15">
      <c r="D150" s="12"/>
      <c r="E150" s="12"/>
      <c r="I150" s="12"/>
      <c r="J150" s="13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CC150" s="1"/>
      <c r="CD150" s="1"/>
      <c r="CE150" s="1"/>
      <c r="CF150" s="1"/>
      <c r="CG150" s="1"/>
      <c r="CH150" s="1"/>
      <c r="CI150" s="1"/>
      <c r="CJ150" s="1"/>
      <c r="CM150" s="4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M150" s="1"/>
      <c r="DR150" s="1"/>
      <c r="ED150" s="1"/>
      <c r="EF150" s="1"/>
      <c r="EK150" s="1"/>
      <c r="EL150" s="1"/>
      <c r="EM150" s="1"/>
      <c r="EN150" s="1"/>
      <c r="EO150" s="1"/>
      <c r="EQ150" s="1"/>
      <c r="ER150" s="1"/>
      <c r="ES150" s="1"/>
      <c r="EV150" s="1"/>
      <c r="EW150" s="1"/>
      <c r="EZ150" s="1"/>
      <c r="FA150" s="1"/>
      <c r="FD150" s="1"/>
      <c r="FJ150" s="1"/>
      <c r="FN150" s="1"/>
      <c r="FO150" s="1"/>
      <c r="FS150" s="1"/>
      <c r="GA150" s="1"/>
      <c r="GD150" s="1"/>
      <c r="GE150" s="1"/>
      <c r="GF150" s="1"/>
      <c r="GG150" s="1"/>
      <c r="GH150" s="1"/>
      <c r="GI150" s="1"/>
      <c r="GJ150" s="1"/>
      <c r="GN150" s="1"/>
      <c r="GP150" s="1"/>
      <c r="GR150" s="1"/>
      <c r="HF150" s="1"/>
      <c r="HH150" s="1"/>
      <c r="HN150" s="1"/>
      <c r="HQ150" s="1"/>
      <c r="HT150" s="1"/>
      <c r="HY150" s="1"/>
      <c r="IE150" s="1"/>
      <c r="IG150" s="1"/>
      <c r="IK150" s="1"/>
      <c r="IR150" s="1"/>
      <c r="IS150" s="1"/>
      <c r="IZ150" s="1"/>
      <c r="JC150" s="1"/>
      <c r="JF150" s="1"/>
      <c r="JG150" s="1"/>
      <c r="JH150" s="1"/>
      <c r="JJ150" s="1"/>
      <c r="JK150" s="1"/>
      <c r="JL150" s="3"/>
      <c r="JM150" s="1"/>
      <c r="JP150" s="1"/>
      <c r="JQ150" s="1"/>
      <c r="JR150" s="1"/>
      <c r="JT150" s="1"/>
      <c r="KW150" s="1"/>
      <c r="KY150" s="1"/>
      <c r="KZ150" s="1"/>
      <c r="LA150" s="1"/>
      <c r="LB150" s="1"/>
      <c r="LC150" s="1"/>
      <c r="LD150" s="1"/>
      <c r="LO150" s="1"/>
      <c r="LP150" s="1"/>
      <c r="LY150" s="1"/>
      <c r="LZ150" s="1"/>
      <c r="MA150" s="1"/>
    </row>
    <row r="151" spans="4:339" ht="13" x14ac:dyDescent="0.15">
      <c r="D151" s="12"/>
      <c r="E151" s="12"/>
      <c r="I151" s="12"/>
      <c r="J151" s="13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CC151" s="1"/>
      <c r="CD151" s="1"/>
      <c r="CE151" s="1"/>
      <c r="CF151" s="1"/>
      <c r="CG151" s="1"/>
      <c r="CH151" s="1"/>
      <c r="CI151" s="1"/>
      <c r="CJ151" s="1"/>
      <c r="CM151" s="4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M151" s="1"/>
      <c r="DR151" s="1"/>
      <c r="ED151" s="1"/>
      <c r="EF151" s="1"/>
      <c r="EK151" s="1"/>
      <c r="EL151" s="1"/>
      <c r="EM151" s="1"/>
      <c r="EN151" s="1"/>
      <c r="EO151" s="1"/>
      <c r="EQ151" s="1"/>
      <c r="ER151" s="1"/>
      <c r="ES151" s="1"/>
      <c r="EV151" s="1"/>
      <c r="EW151" s="1"/>
      <c r="EZ151" s="1"/>
      <c r="FA151" s="1"/>
      <c r="FD151" s="1"/>
      <c r="FJ151" s="1"/>
      <c r="FN151" s="1"/>
      <c r="FO151" s="1"/>
      <c r="FS151" s="1"/>
      <c r="GA151" s="1"/>
      <c r="GD151" s="1"/>
      <c r="GE151" s="1"/>
      <c r="GF151" s="1"/>
      <c r="GG151" s="1"/>
      <c r="GH151" s="1"/>
      <c r="GI151" s="1"/>
      <c r="GJ151" s="1"/>
      <c r="GN151" s="1"/>
      <c r="GP151" s="1"/>
      <c r="GR151" s="1"/>
      <c r="HF151" s="1"/>
      <c r="HH151" s="1"/>
      <c r="HN151" s="1"/>
      <c r="HQ151" s="1"/>
      <c r="HT151" s="1"/>
      <c r="HY151" s="1"/>
      <c r="IE151" s="1"/>
      <c r="IG151" s="1"/>
      <c r="IK151" s="1"/>
      <c r="IR151" s="1"/>
      <c r="IS151" s="1"/>
      <c r="IZ151" s="1"/>
      <c r="JC151" s="1"/>
      <c r="JF151" s="1"/>
      <c r="JG151" s="1"/>
      <c r="JH151" s="1"/>
      <c r="JJ151" s="1"/>
      <c r="JK151" s="1"/>
      <c r="JL151" s="3"/>
      <c r="JM151" s="1"/>
      <c r="JP151" s="1"/>
      <c r="JQ151" s="1"/>
      <c r="JR151" s="1"/>
      <c r="JT151" s="1"/>
      <c r="KW151" s="1"/>
      <c r="KY151" s="1"/>
      <c r="KZ151" s="1"/>
      <c r="LA151" s="1"/>
      <c r="LB151" s="1"/>
      <c r="LC151" s="1"/>
      <c r="LD151" s="1"/>
      <c r="LO151" s="1"/>
      <c r="LP151" s="1"/>
      <c r="LY151" s="1"/>
      <c r="LZ151" s="1"/>
      <c r="MA151" s="1"/>
    </row>
    <row r="152" spans="4:339" ht="13" x14ac:dyDescent="0.15">
      <c r="D152" s="12"/>
      <c r="E152" s="12"/>
      <c r="I152" s="12"/>
      <c r="J152" s="13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CC152" s="1"/>
      <c r="CD152" s="1"/>
      <c r="CE152" s="1"/>
      <c r="CF152" s="1"/>
      <c r="CG152" s="1"/>
      <c r="CH152" s="1"/>
      <c r="CI152" s="1"/>
      <c r="CJ152" s="1"/>
      <c r="CM152" s="4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M152" s="1"/>
      <c r="DR152" s="1"/>
      <c r="ED152" s="1"/>
      <c r="EF152" s="1"/>
      <c r="EK152" s="1"/>
      <c r="EL152" s="1"/>
      <c r="EM152" s="1"/>
      <c r="EN152" s="1"/>
      <c r="EO152" s="1"/>
      <c r="EQ152" s="1"/>
      <c r="ER152" s="1"/>
      <c r="ES152" s="1"/>
      <c r="EV152" s="1"/>
      <c r="EW152" s="1"/>
      <c r="EZ152" s="1"/>
      <c r="FA152" s="1"/>
      <c r="FD152" s="1"/>
      <c r="FJ152" s="1"/>
      <c r="FN152" s="1"/>
      <c r="FO152" s="1"/>
      <c r="FS152" s="1"/>
      <c r="GA152" s="1"/>
      <c r="GD152" s="1"/>
      <c r="GE152" s="1"/>
      <c r="GF152" s="1"/>
      <c r="GG152" s="1"/>
      <c r="GH152" s="1"/>
      <c r="GI152" s="1"/>
      <c r="GJ152" s="1"/>
      <c r="GN152" s="1"/>
      <c r="GP152" s="1"/>
      <c r="GR152" s="1"/>
      <c r="HF152" s="1"/>
      <c r="HH152" s="1"/>
      <c r="HN152" s="1"/>
      <c r="HQ152" s="1"/>
      <c r="HT152" s="1"/>
      <c r="HY152" s="1"/>
      <c r="IE152" s="1"/>
      <c r="IG152" s="1"/>
      <c r="IK152" s="1"/>
      <c r="IR152" s="1"/>
      <c r="IS152" s="1"/>
      <c r="IZ152" s="1"/>
      <c r="JC152" s="1"/>
      <c r="JF152" s="1"/>
      <c r="JG152" s="1"/>
      <c r="JH152" s="1"/>
      <c r="JJ152" s="1"/>
      <c r="JK152" s="1"/>
      <c r="JL152" s="3"/>
      <c r="JM152" s="1"/>
      <c r="JP152" s="1"/>
      <c r="JQ152" s="1"/>
      <c r="JR152" s="1"/>
      <c r="JT152" s="1"/>
      <c r="KW152" s="1"/>
      <c r="KY152" s="1"/>
      <c r="KZ152" s="1"/>
      <c r="LA152" s="1"/>
      <c r="LB152" s="1"/>
      <c r="LC152" s="1"/>
      <c r="LD152" s="1"/>
      <c r="LO152" s="1"/>
      <c r="LP152" s="1"/>
      <c r="LY152" s="1"/>
      <c r="LZ152" s="1"/>
      <c r="MA152" s="1"/>
    </row>
    <row r="153" spans="4:339" ht="13" x14ac:dyDescent="0.15">
      <c r="D153" s="12"/>
      <c r="E153" s="12"/>
      <c r="I153" s="12"/>
      <c r="J153" s="13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CC153" s="1"/>
      <c r="CD153" s="1"/>
      <c r="CE153" s="1"/>
      <c r="CF153" s="1"/>
      <c r="CG153" s="1"/>
      <c r="CH153" s="1"/>
      <c r="CI153" s="1"/>
      <c r="CJ153" s="1"/>
      <c r="CM153" s="4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M153" s="1"/>
      <c r="DR153" s="1"/>
      <c r="ED153" s="1"/>
      <c r="EF153" s="1"/>
      <c r="EK153" s="1"/>
      <c r="EL153" s="1"/>
      <c r="EM153" s="1"/>
      <c r="EN153" s="1"/>
      <c r="EO153" s="1"/>
      <c r="EQ153" s="1"/>
      <c r="ER153" s="1"/>
      <c r="ES153" s="1"/>
      <c r="EV153" s="1"/>
      <c r="EW153" s="1"/>
      <c r="EZ153" s="1"/>
      <c r="FA153" s="1"/>
      <c r="FD153" s="1"/>
      <c r="FJ153" s="1"/>
      <c r="FN153" s="1"/>
      <c r="FO153" s="1"/>
      <c r="FS153" s="1"/>
      <c r="GA153" s="1"/>
      <c r="GD153" s="1"/>
      <c r="GE153" s="1"/>
      <c r="GF153" s="1"/>
      <c r="GG153" s="1"/>
      <c r="GH153" s="1"/>
      <c r="GI153" s="1"/>
      <c r="GJ153" s="1"/>
      <c r="GN153" s="1"/>
      <c r="GP153" s="1"/>
      <c r="GR153" s="1"/>
      <c r="HF153" s="1"/>
      <c r="HH153" s="1"/>
      <c r="HN153" s="1"/>
      <c r="HQ153" s="1"/>
      <c r="HT153" s="1"/>
      <c r="HY153" s="1"/>
      <c r="IE153" s="1"/>
      <c r="IG153" s="1"/>
      <c r="IK153" s="1"/>
      <c r="IR153" s="1"/>
      <c r="IS153" s="1"/>
      <c r="IZ153" s="1"/>
      <c r="JC153" s="1"/>
      <c r="JF153" s="1"/>
      <c r="JG153" s="1"/>
      <c r="JH153" s="1"/>
      <c r="JJ153" s="1"/>
      <c r="JK153" s="1"/>
      <c r="JL153" s="3"/>
      <c r="JM153" s="1"/>
      <c r="JP153" s="1"/>
      <c r="JQ153" s="1"/>
      <c r="JR153" s="1"/>
      <c r="JT153" s="1"/>
      <c r="KW153" s="1"/>
      <c r="KY153" s="1"/>
      <c r="KZ153" s="1"/>
      <c r="LA153" s="1"/>
      <c r="LB153" s="1"/>
      <c r="LC153" s="1"/>
      <c r="LD153" s="1"/>
      <c r="LO153" s="1"/>
      <c r="LP153" s="1"/>
      <c r="LY153" s="1"/>
      <c r="LZ153" s="1"/>
      <c r="MA153" s="1"/>
    </row>
    <row r="154" spans="4:339" ht="13" x14ac:dyDescent="0.15">
      <c r="D154" s="12"/>
      <c r="E154" s="12"/>
      <c r="I154" s="12"/>
      <c r="J154" s="13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CC154" s="1"/>
      <c r="CD154" s="1"/>
      <c r="CE154" s="1"/>
      <c r="CF154" s="1"/>
      <c r="CG154" s="1"/>
      <c r="CH154" s="1"/>
      <c r="CI154" s="1"/>
      <c r="CJ154" s="1"/>
      <c r="CM154" s="4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M154" s="1"/>
      <c r="DR154" s="1"/>
      <c r="ED154" s="1"/>
      <c r="EF154" s="1"/>
      <c r="EK154" s="1"/>
      <c r="EL154" s="1"/>
      <c r="EM154" s="1"/>
      <c r="EN154" s="1"/>
      <c r="EO154" s="1"/>
      <c r="EQ154" s="1"/>
      <c r="ER154" s="1"/>
      <c r="ES154" s="1"/>
      <c r="EV154" s="1"/>
      <c r="EW154" s="1"/>
      <c r="EZ154" s="1"/>
      <c r="FA154" s="1"/>
      <c r="FD154" s="1"/>
      <c r="FJ154" s="1"/>
      <c r="FN154" s="1"/>
      <c r="FO154" s="1"/>
      <c r="FS154" s="1"/>
      <c r="GA154" s="1"/>
      <c r="GD154" s="1"/>
      <c r="GE154" s="1"/>
      <c r="GF154" s="1"/>
      <c r="GG154" s="1"/>
      <c r="GH154" s="1"/>
      <c r="GI154" s="1"/>
      <c r="GJ154" s="1"/>
      <c r="GN154" s="1"/>
      <c r="GP154" s="1"/>
      <c r="GR154" s="1"/>
      <c r="HF154" s="1"/>
      <c r="HH154" s="1"/>
      <c r="HN154" s="1"/>
      <c r="HQ154" s="1"/>
      <c r="HT154" s="1"/>
      <c r="HY154" s="1"/>
      <c r="IE154" s="1"/>
      <c r="IG154" s="1"/>
      <c r="IK154" s="1"/>
      <c r="IR154" s="1"/>
      <c r="IS154" s="1"/>
      <c r="IZ154" s="1"/>
      <c r="JC154" s="1"/>
      <c r="JF154" s="1"/>
      <c r="JG154" s="1"/>
      <c r="JH154" s="1"/>
      <c r="JJ154" s="1"/>
      <c r="JK154" s="1"/>
      <c r="JL154" s="3"/>
      <c r="JM154" s="1"/>
      <c r="JP154" s="1"/>
      <c r="JQ154" s="1"/>
      <c r="JR154" s="1"/>
      <c r="JT154" s="1"/>
      <c r="KW154" s="1"/>
      <c r="KY154" s="1"/>
      <c r="KZ154" s="1"/>
      <c r="LA154" s="1"/>
      <c r="LB154" s="1"/>
      <c r="LC154" s="1"/>
      <c r="LD154" s="1"/>
      <c r="LO154" s="1"/>
      <c r="LP154" s="1"/>
      <c r="LY154" s="1"/>
      <c r="LZ154" s="1"/>
      <c r="MA154" s="1"/>
    </row>
    <row r="155" spans="4:339" ht="13" x14ac:dyDescent="0.15">
      <c r="D155" s="12"/>
      <c r="E155" s="12"/>
      <c r="I155" s="12"/>
      <c r="J155" s="13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CC155" s="1"/>
      <c r="CD155" s="1"/>
      <c r="CE155" s="1"/>
      <c r="CF155" s="1"/>
      <c r="CG155" s="1"/>
      <c r="CH155" s="1"/>
      <c r="CI155" s="1"/>
      <c r="CJ155" s="1"/>
      <c r="CM155" s="4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M155" s="1"/>
      <c r="DR155" s="1"/>
      <c r="ED155" s="1"/>
      <c r="EF155" s="1"/>
      <c r="EK155" s="1"/>
      <c r="EL155" s="1"/>
      <c r="EM155" s="1"/>
      <c r="EN155" s="1"/>
      <c r="EO155" s="1"/>
      <c r="EQ155" s="1"/>
      <c r="ER155" s="1"/>
      <c r="ES155" s="1"/>
      <c r="EV155" s="1"/>
      <c r="EW155" s="1"/>
      <c r="EZ155" s="1"/>
      <c r="FA155" s="1"/>
      <c r="FD155" s="1"/>
      <c r="FJ155" s="1"/>
      <c r="FN155" s="1"/>
      <c r="FO155" s="1"/>
      <c r="FS155" s="1"/>
      <c r="GA155" s="1"/>
      <c r="GD155" s="1"/>
      <c r="GE155" s="1"/>
      <c r="GF155" s="1"/>
      <c r="GG155" s="1"/>
      <c r="GH155" s="1"/>
      <c r="GI155" s="1"/>
      <c r="GJ155" s="1"/>
      <c r="GN155" s="1"/>
      <c r="GP155" s="1"/>
      <c r="GR155" s="1"/>
      <c r="HF155" s="1"/>
      <c r="HH155" s="1"/>
      <c r="HN155" s="1"/>
      <c r="HQ155" s="1"/>
      <c r="HT155" s="1"/>
      <c r="HY155" s="1"/>
      <c r="IE155" s="1"/>
      <c r="IG155" s="1"/>
      <c r="IK155" s="1"/>
      <c r="IR155" s="1"/>
      <c r="IS155" s="1"/>
      <c r="IZ155" s="1"/>
      <c r="JC155" s="1"/>
      <c r="JF155" s="1"/>
      <c r="JG155" s="1"/>
      <c r="JH155" s="1"/>
      <c r="JJ155" s="1"/>
      <c r="JK155" s="1"/>
      <c r="JL155" s="3"/>
      <c r="JM155" s="1"/>
      <c r="JP155" s="1"/>
      <c r="JQ155" s="1"/>
      <c r="JR155" s="1"/>
      <c r="JT155" s="1"/>
      <c r="KW155" s="1"/>
      <c r="KY155" s="1"/>
      <c r="KZ155" s="1"/>
      <c r="LA155" s="1"/>
      <c r="LB155" s="1"/>
      <c r="LC155" s="1"/>
      <c r="LD155" s="1"/>
      <c r="LO155" s="1"/>
      <c r="LP155" s="1"/>
      <c r="LY155" s="1"/>
      <c r="LZ155" s="1"/>
      <c r="MA155" s="1"/>
    </row>
    <row r="156" spans="4:339" ht="13" x14ac:dyDescent="0.15">
      <c r="D156" s="12"/>
      <c r="E156" s="12"/>
      <c r="I156" s="12"/>
      <c r="J156" s="13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CC156" s="1"/>
      <c r="CD156" s="1"/>
      <c r="CE156" s="1"/>
      <c r="CF156" s="1"/>
      <c r="CG156" s="1"/>
      <c r="CH156" s="1"/>
      <c r="CI156" s="1"/>
      <c r="CJ156" s="1"/>
      <c r="CM156" s="4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M156" s="1"/>
      <c r="DR156" s="1"/>
      <c r="ED156" s="1"/>
      <c r="EF156" s="1"/>
      <c r="EK156" s="1"/>
      <c r="EL156" s="1"/>
      <c r="EM156" s="1"/>
      <c r="EN156" s="1"/>
      <c r="EO156" s="1"/>
      <c r="EQ156" s="1"/>
      <c r="ER156" s="1"/>
      <c r="ES156" s="1"/>
      <c r="EV156" s="1"/>
      <c r="EW156" s="1"/>
      <c r="EZ156" s="1"/>
      <c r="FA156" s="1"/>
      <c r="FD156" s="1"/>
      <c r="FJ156" s="1"/>
      <c r="FN156" s="1"/>
      <c r="FO156" s="1"/>
      <c r="FS156" s="1"/>
      <c r="GA156" s="1"/>
      <c r="GD156" s="1"/>
      <c r="GE156" s="1"/>
      <c r="GF156" s="1"/>
      <c r="GG156" s="1"/>
      <c r="GH156" s="1"/>
      <c r="GI156" s="1"/>
      <c r="GJ156" s="1"/>
      <c r="GN156" s="1"/>
      <c r="GP156" s="1"/>
      <c r="GR156" s="1"/>
      <c r="HF156" s="1"/>
      <c r="HH156" s="1"/>
      <c r="HN156" s="1"/>
      <c r="HQ156" s="1"/>
      <c r="HT156" s="1"/>
      <c r="HY156" s="1"/>
      <c r="IE156" s="1"/>
      <c r="IG156" s="1"/>
      <c r="IK156" s="1"/>
      <c r="IR156" s="1"/>
      <c r="IS156" s="1"/>
      <c r="IZ156" s="1"/>
      <c r="JC156" s="1"/>
      <c r="JF156" s="1"/>
      <c r="JG156" s="1"/>
      <c r="JH156" s="1"/>
      <c r="JJ156" s="1"/>
      <c r="JK156" s="1"/>
      <c r="JL156" s="3"/>
      <c r="JM156" s="1"/>
      <c r="JP156" s="1"/>
      <c r="JQ156" s="1"/>
      <c r="JR156" s="1"/>
      <c r="JT156" s="1"/>
      <c r="KW156" s="1"/>
      <c r="KY156" s="1"/>
      <c r="KZ156" s="1"/>
      <c r="LA156" s="1"/>
      <c r="LB156" s="1"/>
      <c r="LC156" s="1"/>
      <c r="LD156" s="1"/>
      <c r="LO156" s="1"/>
      <c r="LP156" s="1"/>
      <c r="LY156" s="1"/>
      <c r="LZ156" s="1"/>
      <c r="MA156" s="1"/>
    </row>
    <row r="157" spans="4:339" ht="13" x14ac:dyDescent="0.15">
      <c r="D157" s="12"/>
      <c r="E157" s="12"/>
      <c r="I157" s="12"/>
      <c r="J157" s="13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CC157" s="1"/>
      <c r="CD157" s="1"/>
      <c r="CE157" s="1"/>
      <c r="CF157" s="1"/>
      <c r="CG157" s="1"/>
      <c r="CH157" s="1"/>
      <c r="CI157" s="1"/>
      <c r="CJ157" s="1"/>
      <c r="CM157" s="4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M157" s="1"/>
      <c r="DR157" s="1"/>
      <c r="ED157" s="1"/>
      <c r="EF157" s="1"/>
      <c r="EK157" s="1"/>
      <c r="EL157" s="1"/>
      <c r="EM157" s="1"/>
      <c r="EN157" s="1"/>
      <c r="EO157" s="1"/>
      <c r="EQ157" s="1"/>
      <c r="ER157" s="1"/>
      <c r="ES157" s="1"/>
      <c r="EV157" s="1"/>
      <c r="EW157" s="1"/>
      <c r="EZ157" s="1"/>
      <c r="FA157" s="1"/>
      <c r="FD157" s="1"/>
      <c r="FJ157" s="1"/>
      <c r="FN157" s="1"/>
      <c r="FO157" s="1"/>
      <c r="FS157" s="1"/>
      <c r="GA157" s="1"/>
      <c r="GD157" s="1"/>
      <c r="GE157" s="1"/>
      <c r="GF157" s="1"/>
      <c r="GG157" s="1"/>
      <c r="GH157" s="1"/>
      <c r="GI157" s="1"/>
      <c r="GJ157" s="1"/>
      <c r="GN157" s="1"/>
      <c r="GP157" s="1"/>
      <c r="GR157" s="1"/>
      <c r="HF157" s="1"/>
      <c r="HH157" s="1"/>
      <c r="HN157" s="1"/>
      <c r="HQ157" s="1"/>
      <c r="HT157" s="1"/>
      <c r="HY157" s="1"/>
      <c r="IE157" s="1"/>
      <c r="IG157" s="1"/>
      <c r="IK157" s="1"/>
      <c r="IR157" s="1"/>
      <c r="IS157" s="1"/>
      <c r="IZ157" s="1"/>
      <c r="JC157" s="1"/>
      <c r="JF157" s="1"/>
      <c r="JG157" s="1"/>
      <c r="JH157" s="1"/>
      <c r="JJ157" s="1"/>
      <c r="JK157" s="1"/>
      <c r="JL157" s="3"/>
      <c r="JM157" s="1"/>
      <c r="JP157" s="1"/>
      <c r="JQ157" s="1"/>
      <c r="JR157" s="1"/>
      <c r="JT157" s="1"/>
      <c r="KW157" s="1"/>
      <c r="KY157" s="1"/>
      <c r="KZ157" s="1"/>
      <c r="LA157" s="1"/>
      <c r="LB157" s="1"/>
      <c r="LC157" s="1"/>
      <c r="LD157" s="1"/>
      <c r="LO157" s="1"/>
      <c r="LP157" s="1"/>
      <c r="LY157" s="1"/>
      <c r="LZ157" s="1"/>
      <c r="MA157" s="1"/>
    </row>
    <row r="158" spans="4:339" ht="13" x14ac:dyDescent="0.15">
      <c r="D158" s="12"/>
      <c r="E158" s="12"/>
      <c r="I158" s="12"/>
      <c r="J158" s="13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CC158" s="1"/>
      <c r="CD158" s="1"/>
      <c r="CE158" s="1"/>
      <c r="CF158" s="1"/>
      <c r="CG158" s="1"/>
      <c r="CH158" s="1"/>
      <c r="CI158" s="1"/>
      <c r="CJ158" s="1"/>
      <c r="CM158" s="4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M158" s="1"/>
      <c r="DR158" s="1"/>
      <c r="ED158" s="1"/>
      <c r="EF158" s="1"/>
      <c r="EK158" s="1"/>
      <c r="EL158" s="1"/>
      <c r="EM158" s="1"/>
      <c r="EN158" s="1"/>
      <c r="EO158" s="1"/>
      <c r="EQ158" s="1"/>
      <c r="ER158" s="1"/>
      <c r="ES158" s="1"/>
      <c r="EV158" s="1"/>
      <c r="EW158" s="1"/>
      <c r="EZ158" s="1"/>
      <c r="FA158" s="1"/>
      <c r="FD158" s="1"/>
      <c r="FJ158" s="1"/>
      <c r="FN158" s="1"/>
      <c r="FO158" s="1"/>
      <c r="FS158" s="1"/>
      <c r="GA158" s="1"/>
      <c r="GD158" s="1"/>
      <c r="GE158" s="1"/>
      <c r="GF158" s="1"/>
      <c r="GG158" s="1"/>
      <c r="GH158" s="1"/>
      <c r="GI158" s="1"/>
      <c r="GJ158" s="1"/>
      <c r="GN158" s="1"/>
      <c r="GP158" s="1"/>
      <c r="GR158" s="1"/>
      <c r="HF158" s="1"/>
      <c r="HH158" s="1"/>
      <c r="HN158" s="1"/>
      <c r="HQ158" s="1"/>
      <c r="HT158" s="1"/>
      <c r="HY158" s="1"/>
      <c r="IE158" s="1"/>
      <c r="IG158" s="1"/>
      <c r="IK158" s="1"/>
      <c r="IR158" s="1"/>
      <c r="IS158" s="1"/>
      <c r="IZ158" s="1"/>
      <c r="JC158" s="1"/>
      <c r="JF158" s="1"/>
      <c r="JG158" s="1"/>
      <c r="JH158" s="1"/>
      <c r="JJ158" s="1"/>
      <c r="JK158" s="1"/>
      <c r="JL158" s="3"/>
      <c r="JM158" s="1"/>
      <c r="JP158" s="1"/>
      <c r="JQ158" s="1"/>
      <c r="JR158" s="1"/>
      <c r="JT158" s="1"/>
      <c r="KW158" s="1"/>
      <c r="KY158" s="1"/>
      <c r="KZ158" s="1"/>
      <c r="LA158" s="1"/>
      <c r="LB158" s="1"/>
      <c r="LC158" s="1"/>
      <c r="LD158" s="1"/>
      <c r="LO158" s="1"/>
      <c r="LP158" s="1"/>
      <c r="LY158" s="1"/>
      <c r="LZ158" s="1"/>
      <c r="MA158" s="1"/>
    </row>
    <row r="159" spans="4:339" ht="13" x14ac:dyDescent="0.15">
      <c r="D159" s="12"/>
      <c r="E159" s="12"/>
      <c r="I159" s="12"/>
      <c r="J159" s="13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CC159" s="1"/>
      <c r="CD159" s="1"/>
      <c r="CE159" s="1"/>
      <c r="CF159" s="1"/>
      <c r="CG159" s="1"/>
      <c r="CH159" s="1"/>
      <c r="CI159" s="1"/>
      <c r="CJ159" s="1"/>
      <c r="CM159" s="4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M159" s="1"/>
      <c r="DR159" s="1"/>
      <c r="ED159" s="1"/>
      <c r="EF159" s="1"/>
      <c r="EK159" s="1"/>
      <c r="EL159" s="1"/>
      <c r="EM159" s="1"/>
      <c r="EN159" s="1"/>
      <c r="EO159" s="1"/>
      <c r="EQ159" s="1"/>
      <c r="ER159" s="1"/>
      <c r="ES159" s="1"/>
      <c r="EV159" s="1"/>
      <c r="EW159" s="1"/>
      <c r="EZ159" s="1"/>
      <c r="FA159" s="1"/>
      <c r="FD159" s="1"/>
      <c r="FJ159" s="1"/>
      <c r="FN159" s="1"/>
      <c r="FO159" s="1"/>
      <c r="FS159" s="1"/>
      <c r="GA159" s="1"/>
      <c r="GD159" s="1"/>
      <c r="GE159" s="1"/>
      <c r="GF159" s="1"/>
      <c r="GG159" s="1"/>
      <c r="GH159" s="1"/>
      <c r="GI159" s="1"/>
      <c r="GJ159" s="1"/>
      <c r="GN159" s="1"/>
      <c r="GP159" s="1"/>
      <c r="GR159" s="1"/>
      <c r="HF159" s="1"/>
      <c r="HH159" s="1"/>
      <c r="HN159" s="1"/>
      <c r="HQ159" s="1"/>
      <c r="HT159" s="1"/>
      <c r="HY159" s="1"/>
      <c r="IE159" s="1"/>
      <c r="IG159" s="1"/>
      <c r="IK159" s="1"/>
      <c r="IR159" s="1"/>
      <c r="IS159" s="1"/>
      <c r="IZ159" s="1"/>
      <c r="JC159" s="1"/>
      <c r="JF159" s="1"/>
      <c r="JG159" s="1"/>
      <c r="JH159" s="1"/>
      <c r="JJ159" s="1"/>
      <c r="JK159" s="1"/>
      <c r="JL159" s="3"/>
      <c r="JM159" s="1"/>
      <c r="JP159" s="1"/>
      <c r="JQ159" s="1"/>
      <c r="JR159" s="1"/>
      <c r="JT159" s="1"/>
      <c r="KW159" s="1"/>
      <c r="KY159" s="1"/>
      <c r="KZ159" s="1"/>
      <c r="LA159" s="1"/>
      <c r="LB159" s="1"/>
      <c r="LC159" s="1"/>
      <c r="LD159" s="1"/>
      <c r="LO159" s="1"/>
      <c r="LP159" s="1"/>
      <c r="LY159" s="1"/>
      <c r="LZ159" s="1"/>
      <c r="MA159" s="1"/>
    </row>
    <row r="160" spans="4:339" ht="13" x14ac:dyDescent="0.15">
      <c r="D160" s="12"/>
      <c r="E160" s="12"/>
      <c r="I160" s="12"/>
      <c r="J160" s="13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CC160" s="1"/>
      <c r="CD160" s="1"/>
      <c r="CE160" s="1"/>
      <c r="CF160" s="1"/>
      <c r="CG160" s="1"/>
      <c r="CH160" s="1"/>
      <c r="CI160" s="1"/>
      <c r="CJ160" s="1"/>
      <c r="CM160" s="4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M160" s="1"/>
      <c r="DR160" s="1"/>
      <c r="ED160" s="1"/>
      <c r="EF160" s="1"/>
      <c r="EK160" s="1"/>
      <c r="EL160" s="1"/>
      <c r="EM160" s="1"/>
      <c r="EN160" s="1"/>
      <c r="EO160" s="1"/>
      <c r="EQ160" s="1"/>
      <c r="ER160" s="1"/>
      <c r="ES160" s="1"/>
      <c r="EV160" s="1"/>
      <c r="EW160" s="1"/>
      <c r="EZ160" s="1"/>
      <c r="FA160" s="1"/>
      <c r="FD160" s="1"/>
      <c r="FJ160" s="1"/>
      <c r="FN160" s="1"/>
      <c r="FO160" s="1"/>
      <c r="FS160" s="1"/>
      <c r="GA160" s="1"/>
      <c r="GD160" s="1"/>
      <c r="GE160" s="1"/>
      <c r="GF160" s="1"/>
      <c r="GG160" s="1"/>
      <c r="GH160" s="1"/>
      <c r="GI160" s="1"/>
      <c r="GJ160" s="1"/>
      <c r="GN160" s="1"/>
      <c r="GP160" s="1"/>
      <c r="GR160" s="1"/>
      <c r="HF160" s="1"/>
      <c r="HH160" s="1"/>
      <c r="HN160" s="1"/>
      <c r="HQ160" s="1"/>
      <c r="HT160" s="1"/>
      <c r="HY160" s="1"/>
      <c r="IE160" s="1"/>
      <c r="IG160" s="1"/>
      <c r="IK160" s="1"/>
      <c r="IR160" s="1"/>
      <c r="IS160" s="1"/>
      <c r="IZ160" s="1"/>
      <c r="JC160" s="1"/>
      <c r="JF160" s="1"/>
      <c r="JG160" s="1"/>
      <c r="JH160" s="1"/>
      <c r="JJ160" s="1"/>
      <c r="JK160" s="1"/>
      <c r="JL160" s="3"/>
      <c r="JM160" s="1"/>
      <c r="JP160" s="1"/>
      <c r="JQ160" s="1"/>
      <c r="JR160" s="1"/>
      <c r="JT160" s="1"/>
      <c r="KW160" s="1"/>
      <c r="KY160" s="1"/>
      <c r="KZ160" s="1"/>
      <c r="LA160" s="1"/>
      <c r="LB160" s="1"/>
      <c r="LC160" s="1"/>
      <c r="LD160" s="1"/>
      <c r="LO160" s="1"/>
      <c r="LP160" s="1"/>
      <c r="LY160" s="1"/>
      <c r="LZ160" s="1"/>
      <c r="MA160" s="1"/>
    </row>
    <row r="161" spans="4:339" ht="13" x14ac:dyDescent="0.15">
      <c r="D161" s="12"/>
      <c r="E161" s="12"/>
      <c r="I161" s="12"/>
      <c r="J161" s="13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CC161" s="1"/>
      <c r="CD161" s="1"/>
      <c r="CE161" s="1"/>
      <c r="CF161" s="1"/>
      <c r="CG161" s="1"/>
      <c r="CH161" s="1"/>
      <c r="CI161" s="1"/>
      <c r="CJ161" s="1"/>
      <c r="CM161" s="4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M161" s="1"/>
      <c r="DR161" s="1"/>
      <c r="ED161" s="1"/>
      <c r="EF161" s="1"/>
      <c r="EK161" s="1"/>
      <c r="EL161" s="1"/>
      <c r="EM161" s="1"/>
      <c r="EN161" s="1"/>
      <c r="EO161" s="1"/>
      <c r="EQ161" s="1"/>
      <c r="ER161" s="1"/>
      <c r="ES161" s="1"/>
      <c r="EV161" s="1"/>
      <c r="EW161" s="1"/>
      <c r="EZ161" s="1"/>
      <c r="FA161" s="1"/>
      <c r="FD161" s="1"/>
      <c r="FJ161" s="1"/>
      <c r="FN161" s="1"/>
      <c r="FO161" s="1"/>
      <c r="FS161" s="1"/>
      <c r="GA161" s="1"/>
      <c r="GD161" s="1"/>
      <c r="GE161" s="1"/>
      <c r="GF161" s="1"/>
      <c r="GG161" s="1"/>
      <c r="GH161" s="1"/>
      <c r="GI161" s="1"/>
      <c r="GJ161" s="1"/>
      <c r="GN161" s="1"/>
      <c r="GP161" s="1"/>
      <c r="GR161" s="1"/>
      <c r="HF161" s="1"/>
      <c r="HH161" s="1"/>
      <c r="HN161" s="1"/>
      <c r="HQ161" s="1"/>
      <c r="HT161" s="1"/>
      <c r="HY161" s="1"/>
      <c r="IE161" s="1"/>
      <c r="IG161" s="1"/>
      <c r="IK161" s="1"/>
      <c r="IR161" s="1"/>
      <c r="IS161" s="1"/>
      <c r="IZ161" s="1"/>
      <c r="JC161" s="1"/>
      <c r="JF161" s="1"/>
      <c r="JG161" s="1"/>
      <c r="JH161" s="1"/>
      <c r="JJ161" s="1"/>
      <c r="JK161" s="1"/>
      <c r="JL161" s="3"/>
      <c r="JM161" s="1"/>
      <c r="JP161" s="1"/>
      <c r="JQ161" s="1"/>
      <c r="JR161" s="1"/>
      <c r="JT161" s="1"/>
      <c r="KW161" s="1"/>
      <c r="KY161" s="1"/>
      <c r="KZ161" s="1"/>
      <c r="LA161" s="1"/>
      <c r="LB161" s="1"/>
      <c r="LC161" s="1"/>
      <c r="LD161" s="1"/>
      <c r="LO161" s="1"/>
      <c r="LP161" s="1"/>
      <c r="LY161" s="1"/>
      <c r="LZ161" s="1"/>
      <c r="MA161" s="1"/>
    </row>
    <row r="162" spans="4:339" ht="13" x14ac:dyDescent="0.15">
      <c r="D162" s="12"/>
      <c r="E162" s="12"/>
      <c r="I162" s="12"/>
      <c r="J162" s="13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CC162" s="1"/>
      <c r="CD162" s="1"/>
      <c r="CE162" s="1"/>
      <c r="CF162" s="1"/>
      <c r="CG162" s="1"/>
      <c r="CH162" s="1"/>
      <c r="CI162" s="1"/>
      <c r="CJ162" s="1"/>
      <c r="CM162" s="4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M162" s="1"/>
      <c r="DR162" s="1"/>
      <c r="ED162" s="1"/>
      <c r="EF162" s="1"/>
      <c r="EK162" s="1"/>
      <c r="EL162" s="1"/>
      <c r="EM162" s="1"/>
      <c r="EN162" s="1"/>
      <c r="EO162" s="1"/>
      <c r="EQ162" s="1"/>
      <c r="ER162" s="1"/>
      <c r="ES162" s="1"/>
      <c r="EV162" s="1"/>
      <c r="EW162" s="1"/>
      <c r="EZ162" s="1"/>
      <c r="FA162" s="1"/>
      <c r="FD162" s="1"/>
      <c r="FJ162" s="1"/>
      <c r="FN162" s="1"/>
      <c r="FO162" s="1"/>
      <c r="FS162" s="1"/>
      <c r="GA162" s="1"/>
      <c r="GD162" s="1"/>
      <c r="GE162" s="1"/>
      <c r="GF162" s="1"/>
      <c r="GG162" s="1"/>
      <c r="GH162" s="1"/>
      <c r="GI162" s="1"/>
      <c r="GJ162" s="1"/>
      <c r="GN162" s="1"/>
      <c r="GP162" s="1"/>
      <c r="GR162" s="1"/>
      <c r="HF162" s="1"/>
      <c r="HH162" s="1"/>
      <c r="HN162" s="1"/>
      <c r="HQ162" s="1"/>
      <c r="HT162" s="1"/>
      <c r="HY162" s="1"/>
      <c r="IE162" s="1"/>
      <c r="IG162" s="1"/>
      <c r="IK162" s="1"/>
      <c r="IR162" s="1"/>
      <c r="IS162" s="1"/>
      <c r="IZ162" s="1"/>
      <c r="JC162" s="1"/>
      <c r="JF162" s="1"/>
      <c r="JG162" s="1"/>
      <c r="JH162" s="1"/>
      <c r="JJ162" s="1"/>
      <c r="JK162" s="1"/>
      <c r="JL162" s="3"/>
      <c r="JM162" s="1"/>
      <c r="JP162" s="1"/>
      <c r="JQ162" s="1"/>
      <c r="JR162" s="1"/>
      <c r="JT162" s="1"/>
      <c r="KW162" s="1"/>
      <c r="KY162" s="1"/>
      <c r="KZ162" s="1"/>
      <c r="LA162" s="1"/>
      <c r="LB162" s="1"/>
      <c r="LC162" s="1"/>
      <c r="LD162" s="1"/>
      <c r="LO162" s="1"/>
      <c r="LP162" s="1"/>
      <c r="LY162" s="1"/>
      <c r="LZ162" s="1"/>
      <c r="MA162" s="1"/>
    </row>
    <row r="163" spans="4:339" ht="13" x14ac:dyDescent="0.15">
      <c r="D163" s="12"/>
      <c r="E163" s="12"/>
      <c r="I163" s="12"/>
      <c r="J163" s="13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CC163" s="1"/>
      <c r="CD163" s="1"/>
      <c r="CE163" s="1"/>
      <c r="CF163" s="1"/>
      <c r="CG163" s="1"/>
      <c r="CH163" s="1"/>
      <c r="CI163" s="1"/>
      <c r="CJ163" s="1"/>
      <c r="CM163" s="4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M163" s="1"/>
      <c r="DR163" s="1"/>
      <c r="ED163" s="1"/>
      <c r="EF163" s="1"/>
      <c r="EK163" s="1"/>
      <c r="EL163" s="1"/>
      <c r="EM163" s="1"/>
      <c r="EN163" s="1"/>
      <c r="EO163" s="1"/>
      <c r="EQ163" s="1"/>
      <c r="ER163" s="1"/>
      <c r="ES163" s="1"/>
      <c r="EV163" s="1"/>
      <c r="EW163" s="1"/>
      <c r="EZ163" s="1"/>
      <c r="FA163" s="1"/>
      <c r="FD163" s="1"/>
      <c r="FJ163" s="1"/>
      <c r="FN163" s="1"/>
      <c r="FO163" s="1"/>
      <c r="FS163" s="1"/>
      <c r="GA163" s="1"/>
      <c r="GD163" s="1"/>
      <c r="GE163" s="1"/>
      <c r="GF163" s="1"/>
      <c r="GG163" s="1"/>
      <c r="GH163" s="1"/>
      <c r="GI163" s="1"/>
      <c r="GJ163" s="1"/>
      <c r="GN163" s="1"/>
      <c r="GP163" s="1"/>
      <c r="GR163" s="1"/>
      <c r="HF163" s="1"/>
      <c r="HH163" s="1"/>
      <c r="HN163" s="1"/>
      <c r="HQ163" s="1"/>
      <c r="HT163" s="1"/>
      <c r="HY163" s="1"/>
      <c r="IE163" s="1"/>
      <c r="IG163" s="1"/>
      <c r="IK163" s="1"/>
      <c r="IR163" s="1"/>
      <c r="IS163" s="1"/>
      <c r="IZ163" s="1"/>
      <c r="JC163" s="1"/>
      <c r="JF163" s="1"/>
      <c r="JG163" s="1"/>
      <c r="JH163" s="1"/>
      <c r="JJ163" s="1"/>
      <c r="JK163" s="1"/>
      <c r="JL163" s="3"/>
      <c r="JM163" s="1"/>
      <c r="JP163" s="1"/>
      <c r="JQ163" s="1"/>
      <c r="JR163" s="1"/>
      <c r="JT163" s="1"/>
      <c r="KW163" s="1"/>
      <c r="KY163" s="1"/>
      <c r="KZ163" s="1"/>
      <c r="LA163" s="1"/>
      <c r="LB163" s="1"/>
      <c r="LC163" s="1"/>
      <c r="LD163" s="1"/>
      <c r="LO163" s="1"/>
      <c r="LP163" s="1"/>
      <c r="LY163" s="1"/>
      <c r="LZ163" s="1"/>
      <c r="MA163" s="1"/>
    </row>
    <row r="164" spans="4:339" ht="13" x14ac:dyDescent="0.15">
      <c r="D164" s="12"/>
      <c r="E164" s="12"/>
      <c r="I164" s="12"/>
      <c r="J164" s="13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CC164" s="1"/>
      <c r="CD164" s="1"/>
      <c r="CE164" s="1"/>
      <c r="CF164" s="1"/>
      <c r="CG164" s="1"/>
      <c r="CH164" s="1"/>
      <c r="CI164" s="1"/>
      <c r="CJ164" s="1"/>
      <c r="CM164" s="4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M164" s="1"/>
      <c r="DR164" s="1"/>
      <c r="ED164" s="1"/>
      <c r="EF164" s="1"/>
      <c r="EK164" s="1"/>
      <c r="EL164" s="1"/>
      <c r="EM164" s="1"/>
      <c r="EN164" s="1"/>
      <c r="EO164" s="1"/>
      <c r="EQ164" s="1"/>
      <c r="ER164" s="1"/>
      <c r="ES164" s="1"/>
      <c r="EV164" s="1"/>
      <c r="EW164" s="1"/>
      <c r="EZ164" s="1"/>
      <c r="FA164" s="1"/>
      <c r="FD164" s="1"/>
      <c r="FJ164" s="1"/>
      <c r="FN164" s="1"/>
      <c r="FO164" s="1"/>
      <c r="FS164" s="1"/>
      <c r="GA164" s="1"/>
      <c r="GD164" s="1"/>
      <c r="GE164" s="1"/>
      <c r="GF164" s="1"/>
      <c r="GG164" s="1"/>
      <c r="GH164" s="1"/>
      <c r="GI164" s="1"/>
      <c r="GJ164" s="1"/>
      <c r="GN164" s="1"/>
      <c r="GP164" s="1"/>
      <c r="GR164" s="1"/>
      <c r="HF164" s="1"/>
      <c r="HH164" s="1"/>
      <c r="HN164" s="1"/>
      <c r="HQ164" s="1"/>
      <c r="HT164" s="1"/>
      <c r="HY164" s="1"/>
      <c r="IE164" s="1"/>
      <c r="IG164" s="1"/>
      <c r="IK164" s="1"/>
      <c r="IR164" s="1"/>
      <c r="IS164" s="1"/>
      <c r="IZ164" s="1"/>
      <c r="JC164" s="1"/>
      <c r="JF164" s="1"/>
      <c r="JG164" s="1"/>
      <c r="JH164" s="1"/>
      <c r="JJ164" s="1"/>
      <c r="JK164" s="1"/>
      <c r="JL164" s="3"/>
      <c r="JM164" s="1"/>
      <c r="JP164" s="1"/>
      <c r="JQ164" s="1"/>
      <c r="JR164" s="1"/>
      <c r="JT164" s="1"/>
      <c r="KW164" s="1"/>
      <c r="KY164" s="1"/>
      <c r="KZ164" s="1"/>
      <c r="LA164" s="1"/>
      <c r="LB164" s="1"/>
      <c r="LC164" s="1"/>
      <c r="LD164" s="1"/>
      <c r="LO164" s="1"/>
      <c r="LP164" s="1"/>
      <c r="LY164" s="1"/>
      <c r="LZ164" s="1"/>
      <c r="MA164" s="1"/>
    </row>
    <row r="165" spans="4:339" ht="13" x14ac:dyDescent="0.15">
      <c r="D165" s="12"/>
      <c r="E165" s="12"/>
      <c r="I165" s="12"/>
      <c r="J165" s="13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CC165" s="1"/>
      <c r="CD165" s="1"/>
      <c r="CE165" s="1"/>
      <c r="CF165" s="1"/>
      <c r="CG165" s="1"/>
      <c r="CH165" s="1"/>
      <c r="CI165" s="1"/>
      <c r="CJ165" s="1"/>
      <c r="CM165" s="4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M165" s="1"/>
      <c r="DR165" s="1"/>
      <c r="ED165" s="1"/>
      <c r="EF165" s="1"/>
      <c r="EK165" s="1"/>
      <c r="EL165" s="1"/>
      <c r="EM165" s="1"/>
      <c r="EN165" s="1"/>
      <c r="EO165" s="1"/>
      <c r="EQ165" s="1"/>
      <c r="ER165" s="1"/>
      <c r="ES165" s="1"/>
      <c r="EV165" s="1"/>
      <c r="EW165" s="1"/>
      <c r="EZ165" s="1"/>
      <c r="FA165" s="1"/>
      <c r="FD165" s="1"/>
      <c r="FJ165" s="1"/>
      <c r="FN165" s="1"/>
      <c r="FO165" s="1"/>
      <c r="FS165" s="1"/>
      <c r="GA165" s="1"/>
      <c r="GD165" s="1"/>
      <c r="GE165" s="1"/>
      <c r="GF165" s="1"/>
      <c r="GG165" s="1"/>
      <c r="GH165" s="1"/>
      <c r="GI165" s="1"/>
      <c r="GJ165" s="1"/>
      <c r="GN165" s="1"/>
      <c r="GP165" s="1"/>
      <c r="GR165" s="1"/>
      <c r="HF165" s="1"/>
      <c r="HH165" s="1"/>
      <c r="HN165" s="1"/>
      <c r="HQ165" s="1"/>
      <c r="HT165" s="1"/>
      <c r="HY165" s="1"/>
      <c r="IE165" s="1"/>
      <c r="IG165" s="1"/>
      <c r="IK165" s="1"/>
      <c r="IR165" s="1"/>
      <c r="IS165" s="1"/>
      <c r="IZ165" s="1"/>
      <c r="JC165" s="1"/>
      <c r="JF165" s="1"/>
      <c r="JG165" s="1"/>
      <c r="JH165" s="1"/>
      <c r="JJ165" s="1"/>
      <c r="JK165" s="1"/>
      <c r="JL165" s="3"/>
      <c r="JM165" s="1"/>
      <c r="JP165" s="1"/>
      <c r="JQ165" s="1"/>
      <c r="JR165" s="1"/>
      <c r="JT165" s="1"/>
      <c r="KW165" s="1"/>
      <c r="KY165" s="1"/>
      <c r="KZ165" s="1"/>
      <c r="LA165" s="1"/>
      <c r="LB165" s="1"/>
      <c r="LC165" s="1"/>
      <c r="LD165" s="1"/>
      <c r="LO165" s="1"/>
      <c r="LP165" s="1"/>
      <c r="LY165" s="1"/>
      <c r="LZ165" s="1"/>
      <c r="MA165" s="1"/>
    </row>
    <row r="166" spans="4:339" ht="13" x14ac:dyDescent="0.15">
      <c r="D166" s="12"/>
      <c r="E166" s="12"/>
      <c r="I166" s="12"/>
      <c r="J166" s="13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CC166" s="1"/>
      <c r="CD166" s="1"/>
      <c r="CE166" s="1"/>
      <c r="CF166" s="1"/>
      <c r="CG166" s="1"/>
      <c r="CH166" s="1"/>
      <c r="CI166" s="1"/>
      <c r="CJ166" s="1"/>
      <c r="CM166" s="4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M166" s="1"/>
      <c r="DR166" s="1"/>
      <c r="ED166" s="1"/>
      <c r="EF166" s="1"/>
      <c r="EK166" s="1"/>
      <c r="EL166" s="1"/>
      <c r="EM166" s="1"/>
      <c r="EN166" s="1"/>
      <c r="EO166" s="1"/>
      <c r="EQ166" s="1"/>
      <c r="ER166" s="1"/>
      <c r="ES166" s="1"/>
      <c r="EV166" s="1"/>
      <c r="EW166" s="1"/>
      <c r="EZ166" s="1"/>
      <c r="FA166" s="1"/>
      <c r="FD166" s="1"/>
      <c r="FJ166" s="1"/>
      <c r="FN166" s="1"/>
      <c r="FO166" s="1"/>
      <c r="FS166" s="1"/>
      <c r="GA166" s="1"/>
      <c r="GD166" s="1"/>
      <c r="GE166" s="1"/>
      <c r="GF166" s="1"/>
      <c r="GG166" s="1"/>
      <c r="GH166" s="1"/>
      <c r="GI166" s="1"/>
      <c r="GJ166" s="1"/>
      <c r="GN166" s="1"/>
      <c r="GP166" s="1"/>
      <c r="GR166" s="1"/>
      <c r="HF166" s="1"/>
      <c r="HH166" s="1"/>
      <c r="HN166" s="1"/>
      <c r="HQ166" s="1"/>
      <c r="HT166" s="1"/>
      <c r="HY166" s="1"/>
      <c r="IE166" s="1"/>
      <c r="IG166" s="1"/>
      <c r="IK166" s="1"/>
      <c r="IR166" s="1"/>
      <c r="IS166" s="1"/>
      <c r="IZ166" s="1"/>
      <c r="JC166" s="1"/>
      <c r="JF166" s="1"/>
      <c r="JG166" s="1"/>
      <c r="JH166" s="1"/>
      <c r="JJ166" s="1"/>
      <c r="JK166" s="1"/>
      <c r="JL166" s="3"/>
      <c r="JM166" s="1"/>
      <c r="JP166" s="1"/>
      <c r="JQ166" s="1"/>
      <c r="JR166" s="1"/>
      <c r="JT166" s="1"/>
      <c r="KW166" s="1"/>
      <c r="KY166" s="1"/>
      <c r="KZ166" s="1"/>
      <c r="LA166" s="1"/>
      <c r="LB166" s="1"/>
      <c r="LC166" s="1"/>
      <c r="LD166" s="1"/>
      <c r="LO166" s="1"/>
      <c r="LP166" s="1"/>
      <c r="LY166" s="1"/>
      <c r="LZ166" s="1"/>
      <c r="MA166" s="1"/>
    </row>
    <row r="167" spans="4:339" ht="13" x14ac:dyDescent="0.15">
      <c r="D167" s="12"/>
      <c r="E167" s="12"/>
      <c r="I167" s="12"/>
      <c r="J167" s="13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CC167" s="1"/>
      <c r="CD167" s="1"/>
      <c r="CE167" s="1"/>
      <c r="CF167" s="1"/>
      <c r="CG167" s="1"/>
      <c r="CH167" s="1"/>
      <c r="CI167" s="1"/>
      <c r="CJ167" s="1"/>
      <c r="CM167" s="4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M167" s="1"/>
      <c r="DR167" s="1"/>
      <c r="ED167" s="1"/>
      <c r="EF167" s="1"/>
      <c r="EK167" s="1"/>
      <c r="EL167" s="1"/>
      <c r="EM167" s="1"/>
      <c r="EN167" s="1"/>
      <c r="EO167" s="1"/>
      <c r="EQ167" s="1"/>
      <c r="ER167" s="1"/>
      <c r="ES167" s="1"/>
      <c r="EV167" s="1"/>
      <c r="EW167" s="1"/>
      <c r="EZ167" s="1"/>
      <c r="FA167" s="1"/>
      <c r="FD167" s="1"/>
      <c r="FJ167" s="1"/>
      <c r="FN167" s="1"/>
      <c r="FO167" s="1"/>
      <c r="FS167" s="1"/>
      <c r="GA167" s="1"/>
      <c r="GD167" s="1"/>
      <c r="GE167" s="1"/>
      <c r="GF167" s="1"/>
      <c r="GG167" s="1"/>
      <c r="GH167" s="1"/>
      <c r="GI167" s="1"/>
      <c r="GJ167" s="1"/>
      <c r="GN167" s="1"/>
      <c r="GP167" s="1"/>
      <c r="GR167" s="1"/>
      <c r="HF167" s="1"/>
      <c r="HH167" s="1"/>
      <c r="HN167" s="1"/>
      <c r="HQ167" s="1"/>
      <c r="HT167" s="1"/>
      <c r="HY167" s="1"/>
      <c r="IE167" s="1"/>
      <c r="IG167" s="1"/>
      <c r="IK167" s="1"/>
      <c r="IR167" s="1"/>
      <c r="IS167" s="1"/>
      <c r="IZ167" s="1"/>
      <c r="JC167" s="1"/>
      <c r="JF167" s="1"/>
      <c r="JG167" s="1"/>
      <c r="JH167" s="1"/>
      <c r="JJ167" s="1"/>
      <c r="JK167" s="1"/>
      <c r="JL167" s="3"/>
      <c r="JM167" s="1"/>
      <c r="JP167" s="1"/>
      <c r="JQ167" s="1"/>
      <c r="JR167" s="1"/>
      <c r="JT167" s="1"/>
      <c r="KW167" s="1"/>
      <c r="KY167" s="1"/>
      <c r="KZ167" s="1"/>
      <c r="LA167" s="1"/>
      <c r="LB167" s="1"/>
      <c r="LC167" s="1"/>
      <c r="LD167" s="1"/>
      <c r="LO167" s="1"/>
      <c r="LP167" s="1"/>
      <c r="LY167" s="1"/>
      <c r="LZ167" s="1"/>
      <c r="MA167" s="1"/>
    </row>
    <row r="168" spans="4:339" ht="13" x14ac:dyDescent="0.15">
      <c r="D168" s="12"/>
      <c r="E168" s="12"/>
      <c r="I168" s="12"/>
      <c r="J168" s="13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CC168" s="1"/>
      <c r="CD168" s="1"/>
      <c r="CE168" s="1"/>
      <c r="CF168" s="1"/>
      <c r="CG168" s="1"/>
      <c r="CH168" s="1"/>
      <c r="CI168" s="1"/>
      <c r="CJ168" s="1"/>
      <c r="CM168" s="4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M168" s="1"/>
      <c r="DR168" s="1"/>
      <c r="ED168" s="1"/>
      <c r="EF168" s="1"/>
      <c r="EK168" s="1"/>
      <c r="EL168" s="1"/>
      <c r="EM168" s="1"/>
      <c r="EN168" s="1"/>
      <c r="EO168" s="1"/>
      <c r="EQ168" s="1"/>
      <c r="ER168" s="1"/>
      <c r="ES168" s="1"/>
      <c r="EV168" s="1"/>
      <c r="EW168" s="1"/>
      <c r="EZ168" s="1"/>
      <c r="FA168" s="1"/>
      <c r="FD168" s="1"/>
      <c r="FJ168" s="1"/>
      <c r="FN168" s="1"/>
      <c r="FO168" s="1"/>
      <c r="FS168" s="1"/>
      <c r="GA168" s="1"/>
      <c r="GD168" s="1"/>
      <c r="GE168" s="1"/>
      <c r="GF168" s="1"/>
      <c r="GG168" s="1"/>
      <c r="GH168" s="1"/>
      <c r="GI168" s="1"/>
      <c r="GJ168" s="1"/>
      <c r="GN168" s="1"/>
      <c r="GP168" s="1"/>
      <c r="GR168" s="1"/>
      <c r="HF168" s="1"/>
      <c r="HH168" s="1"/>
      <c r="HN168" s="1"/>
      <c r="HQ168" s="1"/>
      <c r="HT168" s="1"/>
      <c r="HY168" s="1"/>
      <c r="IE168" s="1"/>
      <c r="IG168" s="1"/>
      <c r="IK168" s="1"/>
      <c r="IR168" s="1"/>
      <c r="IS168" s="1"/>
      <c r="IZ168" s="1"/>
      <c r="JC168" s="1"/>
      <c r="JF168" s="1"/>
      <c r="JG168" s="1"/>
      <c r="JH168" s="1"/>
      <c r="JJ168" s="1"/>
      <c r="JK168" s="1"/>
      <c r="JL168" s="3"/>
      <c r="JM168" s="1"/>
      <c r="JP168" s="1"/>
      <c r="JQ168" s="1"/>
      <c r="JR168" s="1"/>
      <c r="JT168" s="1"/>
      <c r="KW168" s="1"/>
      <c r="KY168" s="1"/>
      <c r="KZ168" s="1"/>
      <c r="LA168" s="1"/>
      <c r="LB168" s="1"/>
      <c r="LC168" s="1"/>
      <c r="LD168" s="1"/>
      <c r="LO168" s="1"/>
      <c r="LP168" s="1"/>
      <c r="LY168" s="1"/>
      <c r="LZ168" s="1"/>
      <c r="MA168" s="1"/>
    </row>
    <row r="169" spans="4:339" ht="13" x14ac:dyDescent="0.15">
      <c r="D169" s="12"/>
      <c r="E169" s="12"/>
      <c r="I169" s="12"/>
      <c r="J169" s="13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CC169" s="1"/>
      <c r="CD169" s="1"/>
      <c r="CE169" s="1"/>
      <c r="CF169" s="1"/>
      <c r="CG169" s="1"/>
      <c r="CH169" s="1"/>
      <c r="CI169" s="1"/>
      <c r="CJ169" s="1"/>
      <c r="CM169" s="4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M169" s="1"/>
      <c r="DR169" s="1"/>
      <c r="ED169" s="1"/>
      <c r="EF169" s="1"/>
      <c r="EK169" s="1"/>
      <c r="EL169" s="1"/>
      <c r="EM169" s="1"/>
      <c r="EN169" s="1"/>
      <c r="EO169" s="1"/>
      <c r="EQ169" s="1"/>
      <c r="ER169" s="1"/>
      <c r="ES169" s="1"/>
      <c r="EV169" s="1"/>
      <c r="EW169" s="1"/>
      <c r="EZ169" s="1"/>
      <c r="FA169" s="1"/>
      <c r="FD169" s="1"/>
      <c r="FJ169" s="1"/>
      <c r="FN169" s="1"/>
      <c r="FO169" s="1"/>
      <c r="FS169" s="1"/>
      <c r="GA169" s="1"/>
      <c r="GD169" s="1"/>
      <c r="GE169" s="1"/>
      <c r="GF169" s="1"/>
      <c r="GG169" s="1"/>
      <c r="GH169" s="1"/>
      <c r="GI169" s="1"/>
      <c r="GJ169" s="1"/>
      <c r="GN169" s="1"/>
      <c r="GP169" s="1"/>
      <c r="GR169" s="1"/>
      <c r="HF169" s="1"/>
      <c r="HH169" s="1"/>
      <c r="HN169" s="1"/>
      <c r="HQ169" s="1"/>
      <c r="HT169" s="1"/>
      <c r="HY169" s="1"/>
      <c r="IE169" s="1"/>
      <c r="IG169" s="1"/>
      <c r="IK169" s="1"/>
      <c r="IR169" s="1"/>
      <c r="IS169" s="1"/>
      <c r="IZ169" s="1"/>
      <c r="JC169" s="1"/>
      <c r="JF169" s="1"/>
      <c r="JG169" s="1"/>
      <c r="JH169" s="1"/>
      <c r="JJ169" s="1"/>
      <c r="JK169" s="1"/>
      <c r="JL169" s="3"/>
      <c r="JM169" s="1"/>
      <c r="JP169" s="1"/>
      <c r="JQ169" s="1"/>
      <c r="JR169" s="1"/>
      <c r="JT169" s="1"/>
      <c r="KW169" s="1"/>
      <c r="KY169" s="1"/>
      <c r="KZ169" s="1"/>
      <c r="LA169" s="1"/>
      <c r="LB169" s="1"/>
      <c r="LC169" s="1"/>
      <c r="LD169" s="1"/>
      <c r="LO169" s="1"/>
      <c r="LP169" s="1"/>
      <c r="LY169" s="1"/>
      <c r="LZ169" s="1"/>
      <c r="MA169" s="1"/>
    </row>
    <row r="170" spans="4:339" ht="13" x14ac:dyDescent="0.15">
      <c r="D170" s="12"/>
      <c r="E170" s="12"/>
      <c r="I170" s="12"/>
      <c r="J170" s="13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CC170" s="1"/>
      <c r="CD170" s="1"/>
      <c r="CE170" s="1"/>
      <c r="CF170" s="1"/>
      <c r="CG170" s="1"/>
      <c r="CH170" s="1"/>
      <c r="CI170" s="1"/>
      <c r="CJ170" s="1"/>
      <c r="CM170" s="4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M170" s="1"/>
      <c r="DR170" s="1"/>
      <c r="ED170" s="1"/>
      <c r="EF170" s="1"/>
      <c r="EK170" s="1"/>
      <c r="EL170" s="1"/>
      <c r="EM170" s="1"/>
      <c r="EN170" s="1"/>
      <c r="EO170" s="1"/>
      <c r="EQ170" s="1"/>
      <c r="ER170" s="1"/>
      <c r="ES170" s="1"/>
      <c r="EV170" s="1"/>
      <c r="EW170" s="1"/>
      <c r="EZ170" s="1"/>
      <c r="FA170" s="1"/>
      <c r="FD170" s="1"/>
      <c r="FJ170" s="1"/>
      <c r="FN170" s="1"/>
      <c r="FO170" s="1"/>
      <c r="FS170" s="1"/>
      <c r="GA170" s="1"/>
      <c r="GD170" s="1"/>
      <c r="GE170" s="1"/>
      <c r="GF170" s="1"/>
      <c r="GG170" s="1"/>
      <c r="GH170" s="1"/>
      <c r="GI170" s="1"/>
      <c r="GJ170" s="1"/>
      <c r="GN170" s="1"/>
      <c r="GP170" s="1"/>
      <c r="GR170" s="1"/>
      <c r="HF170" s="1"/>
      <c r="HH170" s="1"/>
      <c r="HN170" s="1"/>
      <c r="HQ170" s="1"/>
      <c r="HT170" s="1"/>
      <c r="HY170" s="1"/>
      <c r="IE170" s="1"/>
      <c r="IG170" s="1"/>
      <c r="IK170" s="1"/>
      <c r="IR170" s="1"/>
      <c r="IS170" s="1"/>
      <c r="IZ170" s="1"/>
      <c r="JC170" s="1"/>
      <c r="JF170" s="1"/>
      <c r="JG170" s="1"/>
      <c r="JH170" s="1"/>
      <c r="JJ170" s="1"/>
      <c r="JK170" s="1"/>
      <c r="JL170" s="3"/>
      <c r="JM170" s="1"/>
      <c r="JP170" s="1"/>
      <c r="JQ170" s="1"/>
      <c r="JR170" s="1"/>
      <c r="JT170" s="1"/>
      <c r="KW170" s="1"/>
      <c r="KY170" s="1"/>
      <c r="KZ170" s="1"/>
      <c r="LA170" s="1"/>
      <c r="LB170" s="1"/>
      <c r="LC170" s="1"/>
      <c r="LD170" s="1"/>
      <c r="LO170" s="1"/>
      <c r="LP170" s="1"/>
      <c r="LY170" s="1"/>
      <c r="LZ170" s="1"/>
      <c r="MA170" s="1"/>
    </row>
    <row r="171" spans="4:339" ht="13" x14ac:dyDescent="0.15">
      <c r="D171" s="12"/>
      <c r="E171" s="12"/>
      <c r="I171" s="12"/>
      <c r="J171" s="13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CC171" s="1"/>
      <c r="CD171" s="1"/>
      <c r="CE171" s="1"/>
      <c r="CF171" s="1"/>
      <c r="CG171" s="1"/>
      <c r="CH171" s="1"/>
      <c r="CI171" s="1"/>
      <c r="CJ171" s="1"/>
      <c r="CM171" s="4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M171" s="1"/>
      <c r="DR171" s="1"/>
      <c r="ED171" s="1"/>
      <c r="EF171" s="1"/>
      <c r="EK171" s="1"/>
      <c r="EL171" s="1"/>
      <c r="EM171" s="1"/>
      <c r="EN171" s="1"/>
      <c r="EO171" s="1"/>
      <c r="EQ171" s="1"/>
      <c r="ER171" s="1"/>
      <c r="ES171" s="1"/>
      <c r="EV171" s="1"/>
      <c r="EW171" s="1"/>
      <c r="EZ171" s="1"/>
      <c r="FA171" s="1"/>
      <c r="FD171" s="1"/>
      <c r="FJ171" s="1"/>
      <c r="FN171" s="1"/>
      <c r="FO171" s="1"/>
      <c r="FS171" s="1"/>
      <c r="GA171" s="1"/>
      <c r="GD171" s="1"/>
      <c r="GE171" s="1"/>
      <c r="GF171" s="1"/>
      <c r="GG171" s="1"/>
      <c r="GH171" s="1"/>
      <c r="GI171" s="1"/>
      <c r="GJ171" s="1"/>
      <c r="GN171" s="1"/>
      <c r="GP171" s="1"/>
      <c r="GR171" s="1"/>
      <c r="HF171" s="1"/>
      <c r="HH171" s="1"/>
      <c r="HN171" s="1"/>
      <c r="HQ171" s="1"/>
      <c r="HT171" s="1"/>
      <c r="HY171" s="1"/>
      <c r="IE171" s="1"/>
      <c r="IG171" s="1"/>
      <c r="IK171" s="1"/>
      <c r="IR171" s="1"/>
      <c r="IS171" s="1"/>
      <c r="IZ171" s="1"/>
      <c r="JC171" s="1"/>
      <c r="JF171" s="1"/>
      <c r="JG171" s="1"/>
      <c r="JH171" s="1"/>
      <c r="JJ171" s="1"/>
      <c r="JK171" s="1"/>
      <c r="JL171" s="3"/>
      <c r="JM171" s="1"/>
      <c r="JP171" s="1"/>
      <c r="JQ171" s="1"/>
      <c r="JR171" s="1"/>
      <c r="JT171" s="1"/>
      <c r="KW171" s="1"/>
      <c r="KY171" s="1"/>
      <c r="KZ171" s="1"/>
      <c r="LA171" s="1"/>
      <c r="LB171" s="1"/>
      <c r="LC171" s="1"/>
      <c r="LD171" s="1"/>
      <c r="LO171" s="1"/>
      <c r="LP171" s="1"/>
      <c r="LY171" s="1"/>
      <c r="LZ171" s="1"/>
      <c r="MA171" s="1"/>
    </row>
    <row r="172" spans="4:339" ht="13" x14ac:dyDescent="0.15">
      <c r="D172" s="12"/>
      <c r="E172" s="12"/>
      <c r="I172" s="12"/>
      <c r="J172" s="13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CC172" s="1"/>
      <c r="CD172" s="1"/>
      <c r="CE172" s="1"/>
      <c r="CF172" s="1"/>
      <c r="CG172" s="1"/>
      <c r="CH172" s="1"/>
      <c r="CI172" s="1"/>
      <c r="CJ172" s="1"/>
      <c r="CM172" s="4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M172" s="1"/>
      <c r="DR172" s="1"/>
      <c r="ED172" s="1"/>
      <c r="EF172" s="1"/>
      <c r="EK172" s="1"/>
      <c r="EL172" s="1"/>
      <c r="EM172" s="1"/>
      <c r="EN172" s="1"/>
      <c r="EO172" s="1"/>
      <c r="EQ172" s="1"/>
      <c r="ER172" s="1"/>
      <c r="ES172" s="1"/>
      <c r="EV172" s="1"/>
      <c r="EW172" s="1"/>
      <c r="EZ172" s="1"/>
      <c r="FA172" s="1"/>
      <c r="FD172" s="1"/>
      <c r="FJ172" s="1"/>
      <c r="FN172" s="1"/>
      <c r="FO172" s="1"/>
      <c r="FS172" s="1"/>
      <c r="GA172" s="1"/>
      <c r="GD172" s="1"/>
      <c r="GE172" s="1"/>
      <c r="GF172" s="1"/>
      <c r="GG172" s="1"/>
      <c r="GH172" s="1"/>
      <c r="GI172" s="1"/>
      <c r="GJ172" s="1"/>
      <c r="GN172" s="1"/>
      <c r="GP172" s="1"/>
      <c r="GR172" s="1"/>
      <c r="HF172" s="1"/>
      <c r="HH172" s="1"/>
      <c r="HN172" s="1"/>
      <c r="HQ172" s="1"/>
      <c r="HT172" s="1"/>
      <c r="HY172" s="1"/>
      <c r="IE172" s="1"/>
      <c r="IG172" s="1"/>
      <c r="IK172" s="1"/>
      <c r="IR172" s="1"/>
      <c r="IS172" s="1"/>
      <c r="IZ172" s="1"/>
      <c r="JC172" s="1"/>
      <c r="JF172" s="1"/>
      <c r="JG172" s="1"/>
      <c r="JH172" s="1"/>
      <c r="JJ172" s="1"/>
      <c r="JK172" s="1"/>
      <c r="JL172" s="3"/>
      <c r="JM172" s="1"/>
      <c r="JP172" s="1"/>
      <c r="JQ172" s="1"/>
      <c r="JR172" s="1"/>
      <c r="JT172" s="1"/>
      <c r="KW172" s="1"/>
      <c r="KY172" s="1"/>
      <c r="KZ172" s="1"/>
      <c r="LA172" s="1"/>
      <c r="LB172" s="1"/>
      <c r="LC172" s="1"/>
      <c r="LD172" s="1"/>
      <c r="LO172" s="1"/>
      <c r="LP172" s="1"/>
      <c r="LY172" s="1"/>
      <c r="LZ172" s="1"/>
      <c r="MA172" s="1"/>
    </row>
    <row r="173" spans="4:339" ht="13" x14ac:dyDescent="0.15">
      <c r="D173" s="12"/>
      <c r="E173" s="12"/>
      <c r="I173" s="12"/>
      <c r="J173" s="13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CC173" s="1"/>
      <c r="CD173" s="1"/>
      <c r="CE173" s="1"/>
      <c r="CF173" s="1"/>
      <c r="CG173" s="1"/>
      <c r="CH173" s="1"/>
      <c r="CI173" s="1"/>
      <c r="CJ173" s="1"/>
      <c r="CM173" s="4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M173" s="1"/>
      <c r="DR173" s="1"/>
      <c r="ED173" s="1"/>
      <c r="EF173" s="1"/>
      <c r="EK173" s="1"/>
      <c r="EL173" s="1"/>
      <c r="EM173" s="1"/>
      <c r="EN173" s="1"/>
      <c r="EO173" s="1"/>
      <c r="EQ173" s="1"/>
      <c r="ER173" s="1"/>
      <c r="ES173" s="1"/>
      <c r="EV173" s="1"/>
      <c r="EW173" s="1"/>
      <c r="EZ173" s="1"/>
      <c r="FA173" s="1"/>
      <c r="FD173" s="1"/>
      <c r="FJ173" s="1"/>
      <c r="FN173" s="1"/>
      <c r="FO173" s="1"/>
      <c r="FS173" s="1"/>
      <c r="GA173" s="1"/>
      <c r="GD173" s="1"/>
      <c r="GE173" s="1"/>
      <c r="GF173" s="1"/>
      <c r="GG173" s="1"/>
      <c r="GH173" s="1"/>
      <c r="GI173" s="1"/>
      <c r="GJ173" s="1"/>
      <c r="GN173" s="1"/>
      <c r="GP173" s="1"/>
      <c r="GR173" s="1"/>
      <c r="HF173" s="1"/>
      <c r="HH173" s="1"/>
      <c r="HN173" s="1"/>
      <c r="HQ173" s="1"/>
      <c r="HT173" s="1"/>
      <c r="HY173" s="1"/>
      <c r="IE173" s="1"/>
      <c r="IG173" s="1"/>
      <c r="IK173" s="1"/>
      <c r="IR173" s="1"/>
      <c r="IS173" s="1"/>
      <c r="IZ173" s="1"/>
      <c r="JC173" s="1"/>
      <c r="JF173" s="1"/>
      <c r="JG173" s="1"/>
      <c r="JH173" s="1"/>
      <c r="JJ173" s="1"/>
      <c r="JK173" s="1"/>
      <c r="JL173" s="3"/>
      <c r="JM173" s="1"/>
      <c r="JP173" s="1"/>
      <c r="JQ173" s="1"/>
      <c r="JR173" s="1"/>
      <c r="JT173" s="1"/>
      <c r="KW173" s="1"/>
      <c r="KY173" s="1"/>
      <c r="KZ173" s="1"/>
      <c r="LA173" s="1"/>
      <c r="LB173" s="1"/>
      <c r="LC173" s="1"/>
      <c r="LD173" s="1"/>
      <c r="LO173" s="1"/>
      <c r="LP173" s="1"/>
      <c r="LY173" s="1"/>
      <c r="LZ173" s="1"/>
      <c r="MA173" s="1"/>
    </row>
    <row r="174" spans="4:339" ht="13" x14ac:dyDescent="0.15">
      <c r="D174" s="12"/>
      <c r="E174" s="12"/>
      <c r="I174" s="12"/>
      <c r="J174" s="13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CC174" s="1"/>
      <c r="CD174" s="1"/>
      <c r="CE174" s="1"/>
      <c r="CF174" s="1"/>
      <c r="CG174" s="1"/>
      <c r="CH174" s="1"/>
      <c r="CI174" s="1"/>
      <c r="CJ174" s="1"/>
      <c r="CM174" s="4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M174" s="1"/>
      <c r="DR174" s="1"/>
      <c r="ED174" s="1"/>
      <c r="EF174" s="1"/>
      <c r="EK174" s="1"/>
      <c r="EL174" s="1"/>
      <c r="EM174" s="1"/>
      <c r="EN174" s="1"/>
      <c r="EO174" s="1"/>
      <c r="EQ174" s="1"/>
      <c r="ER174" s="1"/>
      <c r="ES174" s="1"/>
      <c r="EV174" s="1"/>
      <c r="EW174" s="1"/>
      <c r="EZ174" s="1"/>
      <c r="FA174" s="1"/>
      <c r="FD174" s="1"/>
      <c r="FJ174" s="1"/>
      <c r="FN174" s="1"/>
      <c r="FO174" s="1"/>
      <c r="FS174" s="1"/>
      <c r="GA174" s="1"/>
      <c r="GD174" s="1"/>
      <c r="GE174" s="1"/>
      <c r="GF174" s="1"/>
      <c r="GG174" s="1"/>
      <c r="GH174" s="1"/>
      <c r="GI174" s="1"/>
      <c r="GJ174" s="1"/>
      <c r="GN174" s="1"/>
      <c r="GP174" s="1"/>
      <c r="GR174" s="1"/>
      <c r="HF174" s="1"/>
      <c r="HH174" s="1"/>
      <c r="HN174" s="1"/>
      <c r="HQ174" s="1"/>
      <c r="HT174" s="1"/>
      <c r="HY174" s="1"/>
      <c r="IE174" s="1"/>
      <c r="IG174" s="1"/>
      <c r="IK174" s="1"/>
      <c r="IR174" s="1"/>
      <c r="IS174" s="1"/>
      <c r="IZ174" s="1"/>
      <c r="JC174" s="1"/>
      <c r="JF174" s="1"/>
      <c r="JG174" s="1"/>
      <c r="JH174" s="1"/>
      <c r="JJ174" s="1"/>
      <c r="JK174" s="1"/>
      <c r="JL174" s="3"/>
      <c r="JM174" s="1"/>
      <c r="JP174" s="1"/>
      <c r="JQ174" s="1"/>
      <c r="JR174" s="1"/>
      <c r="JT174" s="1"/>
      <c r="KW174" s="1"/>
      <c r="KY174" s="1"/>
      <c r="KZ174" s="1"/>
      <c r="LA174" s="1"/>
      <c r="LB174" s="1"/>
      <c r="LC174" s="1"/>
      <c r="LD174" s="1"/>
      <c r="LO174" s="1"/>
      <c r="LP174" s="1"/>
      <c r="LY174" s="1"/>
      <c r="LZ174" s="1"/>
      <c r="MA174" s="1"/>
    </row>
    <row r="175" spans="4:339" ht="13" x14ac:dyDescent="0.15">
      <c r="D175" s="12"/>
      <c r="E175" s="12"/>
      <c r="I175" s="12"/>
      <c r="J175" s="13"/>
      <c r="BF175" s="1"/>
      <c r="BG175" s="1"/>
      <c r="BH175" s="1"/>
      <c r="BI175" s="1"/>
      <c r="BK175" s="1"/>
      <c r="BL175" s="1"/>
      <c r="BM175" s="1"/>
      <c r="BN175" s="1"/>
      <c r="BO175" s="1"/>
      <c r="BP175" s="1"/>
      <c r="BQ175" s="1"/>
      <c r="BR175" s="1"/>
      <c r="CD175" s="1"/>
      <c r="CE175" s="1"/>
      <c r="CF175" s="1"/>
      <c r="CG175" s="1"/>
      <c r="CH175" s="1"/>
      <c r="CI175" s="1"/>
      <c r="CJ175" s="1"/>
      <c r="CK175" s="1"/>
      <c r="CM175" s="2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M175" s="1"/>
      <c r="DQ175" s="1"/>
      <c r="DR175" s="1"/>
      <c r="DY175" s="1"/>
      <c r="DZ175" s="1"/>
      <c r="ED175" s="1"/>
      <c r="EE175" s="1"/>
      <c r="EF175" s="1"/>
      <c r="EG175" s="1"/>
      <c r="EH175" s="1"/>
      <c r="EK175" s="1"/>
      <c r="EL175" s="1"/>
      <c r="EM175" s="1"/>
      <c r="EN175" s="1"/>
      <c r="EQ175" s="1"/>
      <c r="ER175" s="1"/>
      <c r="ES175" s="1"/>
      <c r="EV175" s="1"/>
      <c r="EW175" s="1"/>
      <c r="EY175" s="1"/>
      <c r="EZ175" s="1"/>
      <c r="FA175" s="1"/>
      <c r="FD175" s="1"/>
      <c r="FE175" s="1"/>
      <c r="FG175" s="1"/>
      <c r="FH175" s="1"/>
      <c r="FJ175" s="1"/>
      <c r="FL175" s="1"/>
      <c r="FM175" s="1"/>
      <c r="FS175" s="1"/>
      <c r="FU175" s="1"/>
      <c r="FV175" s="1"/>
      <c r="GA175" s="1"/>
      <c r="GD175" s="1"/>
      <c r="GE175" s="1"/>
      <c r="GF175" s="1"/>
      <c r="GG175" s="1"/>
      <c r="GH175" s="1"/>
      <c r="GI175" s="1"/>
      <c r="GJ175" s="1"/>
      <c r="GM175" s="1"/>
      <c r="GN175" s="1"/>
      <c r="GP175" s="1"/>
      <c r="HH175" s="1"/>
      <c r="HN175" s="1"/>
      <c r="HT175" s="1"/>
      <c r="HY175" s="1"/>
      <c r="ID175" s="1"/>
      <c r="IE175" s="1"/>
      <c r="IG175" s="1"/>
      <c r="IJ175" s="1"/>
      <c r="IK175" s="1"/>
      <c r="IR175" s="1"/>
      <c r="IS175" s="1"/>
      <c r="IW175" s="1"/>
      <c r="IX175" s="1"/>
      <c r="IZ175" s="1"/>
      <c r="JB175" s="1"/>
      <c r="JC175" s="1"/>
      <c r="JF175" s="1"/>
      <c r="JG175" s="1"/>
      <c r="JH175" s="1"/>
      <c r="JJ175" s="1"/>
      <c r="JK175" s="1"/>
      <c r="JL175" s="3"/>
      <c r="JM175" s="1"/>
      <c r="JP175" s="1"/>
      <c r="JQ175" s="1"/>
      <c r="JR175" s="1"/>
      <c r="JT175" s="1"/>
      <c r="KV175" s="1"/>
      <c r="KY175" s="1"/>
      <c r="KZ175" s="1"/>
      <c r="LA175" s="1"/>
      <c r="LB175" s="1"/>
      <c r="LC175" s="1"/>
      <c r="LD175" s="1"/>
      <c r="LO175" s="1"/>
      <c r="LP175" s="1"/>
      <c r="LZ175" s="1"/>
      <c r="MA175" s="1"/>
    </row>
    <row r="176" spans="4:339" ht="13" x14ac:dyDescent="0.15">
      <c r="D176" s="12"/>
      <c r="E176" s="12"/>
      <c r="I176" s="12"/>
      <c r="J176" s="13"/>
      <c r="BF176" s="1"/>
      <c r="BG176" s="1"/>
      <c r="BH176" s="1"/>
      <c r="BI176" s="1"/>
      <c r="BK176" s="1"/>
      <c r="BL176" s="1"/>
      <c r="BM176" s="1"/>
      <c r="BN176" s="1"/>
      <c r="BO176" s="1"/>
      <c r="BP176" s="1"/>
      <c r="BQ176" s="1"/>
      <c r="BR176" s="1"/>
      <c r="CD176" s="1"/>
      <c r="CE176" s="1"/>
      <c r="CF176" s="1"/>
      <c r="CG176" s="1"/>
      <c r="CH176" s="1"/>
      <c r="CI176" s="1"/>
      <c r="CJ176" s="1"/>
      <c r="CK176" s="1"/>
      <c r="CM176" s="2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M176" s="1"/>
      <c r="DQ176" s="1"/>
      <c r="DR176" s="1"/>
      <c r="DY176" s="1"/>
      <c r="DZ176" s="1"/>
      <c r="ED176" s="1"/>
      <c r="EE176" s="1"/>
      <c r="EF176" s="1"/>
      <c r="EG176" s="1"/>
      <c r="EH176" s="1"/>
      <c r="EK176" s="1"/>
      <c r="EL176" s="1"/>
      <c r="EM176" s="1"/>
      <c r="EN176" s="1"/>
      <c r="EQ176" s="1"/>
      <c r="ER176" s="1"/>
      <c r="ES176" s="1"/>
      <c r="EV176" s="1"/>
      <c r="EW176" s="1"/>
      <c r="EY176" s="1"/>
      <c r="EZ176" s="1"/>
      <c r="FA176" s="1"/>
      <c r="FD176" s="1"/>
      <c r="FE176" s="1"/>
      <c r="FG176" s="1"/>
      <c r="FH176" s="1"/>
      <c r="FJ176" s="1"/>
      <c r="FL176" s="1"/>
      <c r="FM176" s="1"/>
      <c r="FS176" s="1"/>
      <c r="FU176" s="1"/>
      <c r="FV176" s="1"/>
      <c r="GA176" s="1"/>
      <c r="GD176" s="1"/>
      <c r="GE176" s="1"/>
      <c r="GF176" s="1"/>
      <c r="GG176" s="1"/>
      <c r="GH176" s="1"/>
      <c r="GI176" s="1"/>
      <c r="GJ176" s="1"/>
      <c r="GM176" s="1"/>
      <c r="GN176" s="1"/>
      <c r="GP176" s="1"/>
      <c r="HH176" s="1"/>
      <c r="HN176" s="1"/>
      <c r="HT176" s="1"/>
      <c r="HY176" s="1"/>
      <c r="ID176" s="1"/>
      <c r="IE176" s="1"/>
      <c r="IG176" s="1"/>
      <c r="IJ176" s="1"/>
      <c r="IK176" s="1"/>
      <c r="IR176" s="1"/>
      <c r="IS176" s="1"/>
      <c r="IW176" s="1"/>
      <c r="IX176" s="1"/>
      <c r="IZ176" s="1"/>
      <c r="JB176" s="1"/>
      <c r="JC176" s="1"/>
      <c r="JF176" s="1"/>
      <c r="JG176" s="1"/>
      <c r="JH176" s="1"/>
      <c r="JJ176" s="1"/>
      <c r="JK176" s="1"/>
      <c r="JL176" s="3"/>
      <c r="JM176" s="1"/>
      <c r="JP176" s="1"/>
      <c r="JQ176" s="1"/>
      <c r="JR176" s="1"/>
      <c r="JT176" s="1"/>
      <c r="KV176" s="1"/>
      <c r="KY176" s="1"/>
      <c r="KZ176" s="1"/>
      <c r="LA176" s="1"/>
      <c r="LB176" s="1"/>
      <c r="LC176" s="1"/>
      <c r="LD176" s="1"/>
      <c r="LO176" s="1"/>
      <c r="LP176" s="1"/>
      <c r="LZ176" s="1"/>
      <c r="MA176" s="1"/>
    </row>
    <row r="177" spans="4:339" ht="13" x14ac:dyDescent="0.15">
      <c r="D177" s="12"/>
      <c r="E177" s="12"/>
      <c r="I177" s="12"/>
      <c r="J177" s="13"/>
      <c r="BF177" s="1"/>
      <c r="BG177" s="1"/>
      <c r="BH177" s="1"/>
      <c r="BI177" s="1"/>
      <c r="BK177" s="1"/>
      <c r="BL177" s="1"/>
      <c r="BM177" s="1"/>
      <c r="BN177" s="1"/>
      <c r="BP177" s="1"/>
      <c r="BQ177" s="1"/>
      <c r="BR177" s="1"/>
      <c r="CD177" s="1"/>
      <c r="CE177" s="1"/>
      <c r="CF177" s="1"/>
      <c r="CH177" s="1"/>
      <c r="CI177" s="1"/>
      <c r="CM177" s="2"/>
      <c r="CN177" s="1"/>
      <c r="CO177" s="1"/>
      <c r="CP177" s="1"/>
      <c r="CQ177" s="1"/>
      <c r="CR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ED177" s="1"/>
      <c r="EK177" s="1"/>
      <c r="EL177" s="1"/>
      <c r="EM177" s="1"/>
      <c r="EN177" s="1"/>
      <c r="EQ177" s="1"/>
      <c r="ER177" s="1"/>
      <c r="ES177" s="1"/>
      <c r="EV177" s="1"/>
      <c r="EW177" s="1"/>
      <c r="EZ177" s="1"/>
      <c r="FA177" s="1"/>
      <c r="FD177" s="1"/>
      <c r="FG177" s="1"/>
      <c r="FJ177" s="1"/>
      <c r="FM177" s="1"/>
      <c r="FN177" s="1"/>
      <c r="FO177" s="1"/>
      <c r="FP177" s="1"/>
      <c r="FQ177" s="1"/>
      <c r="FS177" s="1"/>
      <c r="FT177" s="1"/>
      <c r="FX177" s="1"/>
      <c r="GA177" s="1"/>
      <c r="GD177" s="1"/>
      <c r="GE177" s="1"/>
      <c r="GF177" s="1"/>
      <c r="GG177" s="1"/>
      <c r="GH177" s="1"/>
      <c r="GI177" s="1"/>
      <c r="GJ177" s="1"/>
      <c r="GN177" s="1"/>
      <c r="HF177" s="1"/>
      <c r="HN177" s="1"/>
      <c r="HY177" s="1"/>
      <c r="IE177" s="1"/>
      <c r="IR177" s="1"/>
      <c r="IS177" s="1"/>
      <c r="IW177" s="1"/>
      <c r="IZ177" s="1"/>
      <c r="JA177" s="1"/>
      <c r="JJ177" s="1"/>
      <c r="JP177" s="1"/>
      <c r="JQ177" s="1"/>
      <c r="JT177" s="1"/>
      <c r="KV177" s="1"/>
      <c r="LZ177" s="1"/>
      <c r="MA177" s="1"/>
    </row>
    <row r="178" spans="4:339" ht="13" x14ac:dyDescent="0.15">
      <c r="D178" s="12"/>
      <c r="E178" s="12"/>
      <c r="I178" s="12"/>
      <c r="J178" s="13"/>
      <c r="BF178" s="1"/>
      <c r="BG178" s="1"/>
      <c r="BH178" s="1"/>
      <c r="BI178" s="1"/>
      <c r="BK178" s="1"/>
      <c r="BL178" s="1"/>
      <c r="BM178" s="1"/>
      <c r="BN178" s="1"/>
      <c r="BP178" s="1"/>
      <c r="BQ178" s="1"/>
      <c r="BR178" s="1"/>
      <c r="CD178" s="1"/>
      <c r="CE178" s="1"/>
      <c r="CF178" s="1"/>
      <c r="CH178" s="1"/>
      <c r="CI178" s="1"/>
      <c r="CM178" s="2"/>
      <c r="CN178" s="1"/>
      <c r="CO178" s="1"/>
      <c r="CP178" s="1"/>
      <c r="CQ178" s="1"/>
      <c r="CR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ED178" s="1"/>
      <c r="EK178" s="1"/>
      <c r="EL178" s="1"/>
      <c r="EM178" s="1"/>
      <c r="EN178" s="1"/>
      <c r="EQ178" s="1"/>
      <c r="ER178" s="1"/>
      <c r="ES178" s="1"/>
      <c r="EV178" s="1"/>
      <c r="EW178" s="1"/>
      <c r="EZ178" s="1"/>
      <c r="FA178" s="1"/>
      <c r="FD178" s="1"/>
      <c r="FG178" s="1"/>
      <c r="FJ178" s="1"/>
      <c r="FM178" s="1"/>
      <c r="FN178" s="1"/>
      <c r="FO178" s="1"/>
      <c r="FP178" s="1"/>
      <c r="FQ178" s="1"/>
      <c r="FS178" s="1"/>
      <c r="FT178" s="1"/>
      <c r="FX178" s="1"/>
      <c r="GA178" s="1"/>
      <c r="GD178" s="1"/>
      <c r="GE178" s="1"/>
      <c r="GF178" s="1"/>
      <c r="GG178" s="1"/>
      <c r="GH178" s="1"/>
      <c r="GI178" s="1"/>
      <c r="GJ178" s="1"/>
      <c r="GN178" s="1"/>
      <c r="HF178" s="1"/>
      <c r="HN178" s="1"/>
      <c r="HY178" s="1"/>
      <c r="IE178" s="1"/>
      <c r="IR178" s="1"/>
      <c r="IS178" s="1"/>
      <c r="IW178" s="1"/>
      <c r="IZ178" s="1"/>
      <c r="JA178" s="1"/>
      <c r="JJ178" s="1"/>
      <c r="JP178" s="1"/>
      <c r="JQ178" s="1"/>
      <c r="JT178" s="1"/>
      <c r="KV178" s="1"/>
      <c r="LZ178" s="1"/>
      <c r="MA178" s="1"/>
    </row>
    <row r="179" spans="4:339" ht="13" x14ac:dyDescent="0.15">
      <c r="D179" s="12"/>
      <c r="E179" s="12"/>
      <c r="I179" s="12"/>
      <c r="J179" s="13"/>
      <c r="BF179" s="1"/>
      <c r="BG179" s="1"/>
      <c r="BH179" s="1"/>
      <c r="BI179" s="1"/>
      <c r="BK179" s="1"/>
      <c r="BL179" s="1"/>
      <c r="BM179" s="1"/>
      <c r="BN179" s="1"/>
      <c r="BP179" s="1"/>
      <c r="BQ179" s="1"/>
      <c r="BR179" s="1"/>
      <c r="CD179" s="1"/>
      <c r="CE179" s="1"/>
      <c r="CF179" s="1"/>
      <c r="CH179" s="1"/>
      <c r="CI179" s="1"/>
      <c r="CM179" s="2"/>
      <c r="CN179" s="1"/>
      <c r="CO179" s="1"/>
      <c r="CP179" s="1"/>
      <c r="CQ179" s="1"/>
      <c r="CR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ED179" s="1"/>
      <c r="EK179" s="1"/>
      <c r="EL179" s="1"/>
      <c r="EM179" s="1"/>
      <c r="EN179" s="1"/>
      <c r="EQ179" s="1"/>
      <c r="ER179" s="1"/>
      <c r="ES179" s="1"/>
      <c r="EV179" s="1"/>
      <c r="EW179" s="1"/>
      <c r="EZ179" s="1"/>
      <c r="FA179" s="1"/>
      <c r="FD179" s="1"/>
      <c r="FG179" s="1"/>
      <c r="FJ179" s="1"/>
      <c r="FM179" s="1"/>
      <c r="FN179" s="1"/>
      <c r="FO179" s="1"/>
      <c r="FP179" s="1"/>
      <c r="FQ179" s="1"/>
      <c r="FS179" s="1"/>
      <c r="FT179" s="1"/>
      <c r="FX179" s="1"/>
      <c r="GA179" s="1"/>
      <c r="GD179" s="1"/>
      <c r="GE179" s="1"/>
      <c r="GF179" s="1"/>
      <c r="GG179" s="1"/>
      <c r="GH179" s="1"/>
      <c r="GI179" s="1"/>
      <c r="GJ179" s="1"/>
      <c r="GN179" s="1"/>
      <c r="HF179" s="1"/>
      <c r="HN179" s="1"/>
      <c r="HY179" s="1"/>
      <c r="IE179" s="1"/>
      <c r="IR179" s="1"/>
      <c r="IS179" s="1"/>
      <c r="IW179" s="1"/>
      <c r="IZ179" s="1"/>
      <c r="JA179" s="1"/>
      <c r="JJ179" s="1"/>
      <c r="JP179" s="1"/>
      <c r="JQ179" s="1"/>
      <c r="JT179" s="1"/>
      <c r="KV179" s="1"/>
      <c r="LZ179" s="1"/>
      <c r="MA179" s="1"/>
    </row>
    <row r="180" spans="4:339" ht="13" x14ac:dyDescent="0.15">
      <c r="D180" s="12"/>
      <c r="E180" s="12"/>
      <c r="I180" s="12"/>
      <c r="J180" s="13"/>
      <c r="BF180" s="1"/>
      <c r="BG180" s="1"/>
      <c r="BH180" s="1"/>
      <c r="BI180" s="1"/>
      <c r="BK180" s="1"/>
      <c r="BL180" s="1"/>
      <c r="BM180" s="1"/>
      <c r="BN180" s="1"/>
      <c r="BP180" s="1"/>
      <c r="BQ180" s="1"/>
      <c r="BR180" s="1"/>
      <c r="CD180" s="1"/>
      <c r="CE180" s="1"/>
      <c r="CF180" s="1"/>
      <c r="CH180" s="1"/>
      <c r="CI180" s="1"/>
      <c r="CM180" s="2"/>
      <c r="CN180" s="1"/>
      <c r="CO180" s="1"/>
      <c r="CP180" s="1"/>
      <c r="CQ180" s="1"/>
      <c r="CR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ED180" s="1"/>
      <c r="EK180" s="1"/>
      <c r="EL180" s="1"/>
      <c r="EM180" s="1"/>
      <c r="EN180" s="1"/>
      <c r="EQ180" s="1"/>
      <c r="ER180" s="1"/>
      <c r="ES180" s="1"/>
      <c r="EV180" s="1"/>
      <c r="EW180" s="1"/>
      <c r="EZ180" s="1"/>
      <c r="FA180" s="1"/>
      <c r="FD180" s="1"/>
      <c r="FG180" s="1"/>
      <c r="FJ180" s="1"/>
      <c r="FM180" s="1"/>
      <c r="FN180" s="1"/>
      <c r="FO180" s="1"/>
      <c r="FP180" s="1"/>
      <c r="FQ180" s="1"/>
      <c r="FS180" s="1"/>
      <c r="FT180" s="1"/>
      <c r="FX180" s="1"/>
      <c r="GA180" s="1"/>
      <c r="GD180" s="1"/>
      <c r="GE180" s="1"/>
      <c r="GF180" s="1"/>
      <c r="GG180" s="1"/>
      <c r="GH180" s="1"/>
      <c r="GI180" s="1"/>
      <c r="GJ180" s="1"/>
      <c r="GN180" s="1"/>
      <c r="HF180" s="1"/>
      <c r="HN180" s="1"/>
      <c r="HY180" s="1"/>
      <c r="IE180" s="1"/>
      <c r="IR180" s="1"/>
      <c r="IS180" s="1"/>
      <c r="IW180" s="1"/>
      <c r="IZ180" s="1"/>
      <c r="JA180" s="1"/>
      <c r="JJ180" s="1"/>
      <c r="JP180" s="1"/>
      <c r="JQ180" s="1"/>
      <c r="JT180" s="1"/>
      <c r="KV180" s="1"/>
      <c r="LZ180" s="1"/>
      <c r="MA180" s="1"/>
    </row>
    <row r="181" spans="4:339" ht="13" x14ac:dyDescent="0.15">
      <c r="D181" s="12"/>
      <c r="E181" s="12"/>
      <c r="I181" s="12"/>
      <c r="J181" s="13"/>
      <c r="BF181" s="1"/>
      <c r="BG181" s="1"/>
      <c r="BH181" s="1"/>
      <c r="BI181" s="1"/>
      <c r="BK181" s="1"/>
      <c r="BL181" s="1"/>
      <c r="BM181" s="1"/>
      <c r="BN181" s="1"/>
      <c r="BP181" s="1"/>
      <c r="BQ181" s="1"/>
      <c r="BR181" s="1"/>
      <c r="CD181" s="1"/>
      <c r="CE181" s="1"/>
      <c r="CF181" s="1"/>
      <c r="CH181" s="1"/>
      <c r="CI181" s="1"/>
      <c r="CM181" s="2"/>
      <c r="CN181" s="1"/>
      <c r="CO181" s="1"/>
      <c r="CP181" s="1"/>
      <c r="CQ181" s="1"/>
      <c r="CR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ED181" s="1"/>
      <c r="EK181" s="1"/>
      <c r="EL181" s="1"/>
      <c r="EM181" s="1"/>
      <c r="EN181" s="1"/>
      <c r="EQ181" s="1"/>
      <c r="ER181" s="1"/>
      <c r="ES181" s="1"/>
      <c r="EV181" s="1"/>
      <c r="EW181" s="1"/>
      <c r="EZ181" s="1"/>
      <c r="FA181" s="1"/>
      <c r="FD181" s="1"/>
      <c r="FG181" s="1"/>
      <c r="FJ181" s="1"/>
      <c r="FM181" s="1"/>
      <c r="FN181" s="1"/>
      <c r="FO181" s="1"/>
      <c r="FP181" s="1"/>
      <c r="FQ181" s="1"/>
      <c r="FS181" s="1"/>
      <c r="FT181" s="1"/>
      <c r="FX181" s="1"/>
      <c r="GA181" s="1"/>
      <c r="GD181" s="1"/>
      <c r="GE181" s="1"/>
      <c r="GF181" s="1"/>
      <c r="GG181" s="1"/>
      <c r="GH181" s="1"/>
      <c r="GI181" s="1"/>
      <c r="GJ181" s="1"/>
      <c r="GN181" s="1"/>
      <c r="HF181" s="1"/>
      <c r="HN181" s="1"/>
      <c r="HY181" s="1"/>
      <c r="IE181" s="1"/>
      <c r="IR181" s="1"/>
      <c r="IS181" s="1"/>
      <c r="IW181" s="1"/>
      <c r="IZ181" s="1"/>
      <c r="JA181" s="1"/>
      <c r="JJ181" s="1"/>
      <c r="JP181" s="1"/>
      <c r="JQ181" s="1"/>
      <c r="JT181" s="1"/>
      <c r="KV181" s="1"/>
      <c r="LZ181" s="1"/>
      <c r="MA181" s="1"/>
    </row>
    <row r="182" spans="4:339" ht="13" x14ac:dyDescent="0.15">
      <c r="D182" s="12"/>
      <c r="E182" s="12"/>
      <c r="I182" s="12"/>
      <c r="J182" s="13"/>
      <c r="BF182" s="1"/>
      <c r="BG182" s="1"/>
      <c r="BH182" s="1"/>
      <c r="BI182" s="1"/>
      <c r="BK182" s="1"/>
      <c r="BL182" s="1"/>
      <c r="BM182" s="1"/>
      <c r="BN182" s="1"/>
      <c r="BP182" s="1"/>
      <c r="BQ182" s="1"/>
      <c r="BR182" s="1"/>
      <c r="CD182" s="1"/>
      <c r="CE182" s="1"/>
      <c r="CF182" s="1"/>
      <c r="CH182" s="1"/>
      <c r="CI182" s="1"/>
      <c r="CM182" s="2"/>
      <c r="CN182" s="1"/>
      <c r="CO182" s="1"/>
      <c r="CP182" s="1"/>
      <c r="CQ182" s="1"/>
      <c r="CR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ED182" s="1"/>
      <c r="EK182" s="1"/>
      <c r="EL182" s="1"/>
      <c r="EM182" s="1"/>
      <c r="EN182" s="1"/>
      <c r="EQ182" s="1"/>
      <c r="ER182" s="1"/>
      <c r="ES182" s="1"/>
      <c r="EV182" s="1"/>
      <c r="EW182" s="1"/>
      <c r="EZ182" s="1"/>
      <c r="FA182" s="1"/>
      <c r="FD182" s="1"/>
      <c r="FG182" s="1"/>
      <c r="FJ182" s="1"/>
      <c r="FM182" s="1"/>
      <c r="FN182" s="1"/>
      <c r="FO182" s="1"/>
      <c r="FP182" s="1"/>
      <c r="FQ182" s="1"/>
      <c r="FS182" s="1"/>
      <c r="FT182" s="1"/>
      <c r="FX182" s="1"/>
      <c r="GA182" s="1"/>
      <c r="GD182" s="1"/>
      <c r="GE182" s="1"/>
      <c r="GF182" s="1"/>
      <c r="GG182" s="1"/>
      <c r="GH182" s="1"/>
      <c r="GI182" s="1"/>
      <c r="GJ182" s="1"/>
      <c r="GN182" s="1"/>
      <c r="HF182" s="1"/>
      <c r="HN182" s="1"/>
      <c r="HY182" s="1"/>
      <c r="IE182" s="1"/>
      <c r="IR182" s="1"/>
      <c r="IS182" s="1"/>
      <c r="IW182" s="1"/>
      <c r="IZ182" s="1"/>
      <c r="JA182" s="1"/>
      <c r="JJ182" s="1"/>
      <c r="JP182" s="1"/>
      <c r="JQ182" s="1"/>
      <c r="JT182" s="1"/>
      <c r="KV182" s="1"/>
      <c r="LZ182" s="1"/>
      <c r="MA182" s="1"/>
    </row>
    <row r="183" spans="4:339" ht="13" x14ac:dyDescent="0.15">
      <c r="D183" s="12"/>
      <c r="E183" s="12"/>
      <c r="I183" s="12"/>
      <c r="J183" s="13"/>
      <c r="BF183" s="1"/>
      <c r="BG183" s="1"/>
      <c r="BH183" s="1"/>
      <c r="BI183" s="1"/>
      <c r="BK183" s="1"/>
      <c r="BL183" s="1"/>
      <c r="BM183" s="1"/>
      <c r="BN183" s="1"/>
      <c r="BP183" s="1"/>
      <c r="BQ183" s="1"/>
      <c r="BR183" s="1"/>
      <c r="CD183" s="1"/>
      <c r="CE183" s="1"/>
      <c r="CF183" s="1"/>
      <c r="CH183" s="1"/>
      <c r="CI183" s="1"/>
      <c r="CM183" s="2"/>
      <c r="CN183" s="1"/>
      <c r="CO183" s="1"/>
      <c r="CP183" s="1"/>
      <c r="CQ183" s="1"/>
      <c r="CR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ED183" s="1"/>
      <c r="EK183" s="1"/>
      <c r="EL183" s="1"/>
      <c r="EM183" s="1"/>
      <c r="EN183" s="1"/>
      <c r="EQ183" s="1"/>
      <c r="ER183" s="1"/>
      <c r="ES183" s="1"/>
      <c r="EV183" s="1"/>
      <c r="EW183" s="1"/>
      <c r="EZ183" s="1"/>
      <c r="FA183" s="1"/>
      <c r="FD183" s="1"/>
      <c r="FG183" s="1"/>
      <c r="FJ183" s="1"/>
      <c r="FM183" s="1"/>
      <c r="FN183" s="1"/>
      <c r="FO183" s="1"/>
      <c r="FP183" s="1"/>
      <c r="FQ183" s="1"/>
      <c r="FS183" s="1"/>
      <c r="FT183" s="1"/>
      <c r="FX183" s="1"/>
      <c r="GA183" s="1"/>
      <c r="GD183" s="1"/>
      <c r="GE183" s="1"/>
      <c r="GF183" s="1"/>
      <c r="GG183" s="1"/>
      <c r="GH183" s="1"/>
      <c r="GI183" s="1"/>
      <c r="GJ183" s="1"/>
      <c r="GN183" s="1"/>
      <c r="HF183" s="1"/>
      <c r="HN183" s="1"/>
      <c r="HY183" s="1"/>
      <c r="IE183" s="1"/>
      <c r="IR183" s="1"/>
      <c r="IS183" s="1"/>
      <c r="IW183" s="1"/>
      <c r="IZ183" s="1"/>
      <c r="JA183" s="1"/>
      <c r="JJ183" s="1"/>
      <c r="JP183" s="1"/>
      <c r="JQ183" s="1"/>
      <c r="JT183" s="1"/>
      <c r="KV183" s="1"/>
      <c r="LZ183" s="1"/>
      <c r="MA183" s="1"/>
    </row>
    <row r="184" spans="4:339" ht="13" x14ac:dyDescent="0.15">
      <c r="D184" s="12"/>
      <c r="E184" s="12"/>
      <c r="I184" s="12"/>
      <c r="J184" s="13"/>
      <c r="BF184" s="1"/>
      <c r="BG184" s="1"/>
      <c r="BH184" s="1"/>
      <c r="BI184" s="1"/>
      <c r="BK184" s="1"/>
      <c r="BL184" s="1"/>
      <c r="BM184" s="1"/>
      <c r="BN184" s="1"/>
      <c r="BP184" s="1"/>
      <c r="BQ184" s="1"/>
      <c r="BR184" s="1"/>
      <c r="CD184" s="1"/>
      <c r="CE184" s="1"/>
      <c r="CF184" s="1"/>
      <c r="CH184" s="1"/>
      <c r="CI184" s="1"/>
      <c r="CM184" s="2"/>
      <c r="CN184" s="1"/>
      <c r="CO184" s="1"/>
      <c r="CP184" s="1"/>
      <c r="CQ184" s="1"/>
      <c r="CR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ED184" s="1"/>
      <c r="EK184" s="1"/>
      <c r="EL184" s="1"/>
      <c r="EM184" s="1"/>
      <c r="EN184" s="1"/>
      <c r="EQ184" s="1"/>
      <c r="ER184" s="1"/>
      <c r="ES184" s="1"/>
      <c r="EV184" s="1"/>
      <c r="EW184" s="1"/>
      <c r="EZ184" s="1"/>
      <c r="FA184" s="1"/>
      <c r="FD184" s="1"/>
      <c r="FG184" s="1"/>
      <c r="FJ184" s="1"/>
      <c r="FM184" s="1"/>
      <c r="FN184" s="1"/>
      <c r="FO184" s="1"/>
      <c r="FP184" s="1"/>
      <c r="FQ184" s="1"/>
      <c r="FS184" s="1"/>
      <c r="FT184" s="1"/>
      <c r="FX184" s="1"/>
      <c r="GA184" s="1"/>
      <c r="GD184" s="1"/>
      <c r="GE184" s="1"/>
      <c r="GF184" s="1"/>
      <c r="GG184" s="1"/>
      <c r="GH184" s="1"/>
      <c r="GI184" s="1"/>
      <c r="GJ184" s="1"/>
      <c r="GN184" s="1"/>
      <c r="HF184" s="1"/>
      <c r="HN184" s="1"/>
      <c r="HY184" s="1"/>
      <c r="IE184" s="1"/>
      <c r="IR184" s="1"/>
      <c r="IS184" s="1"/>
      <c r="IW184" s="1"/>
      <c r="IZ184" s="1"/>
      <c r="JA184" s="1"/>
      <c r="JJ184" s="1"/>
      <c r="JP184" s="1"/>
      <c r="JQ184" s="1"/>
      <c r="JT184" s="1"/>
      <c r="KV184" s="1"/>
      <c r="LZ184" s="1"/>
      <c r="MA184" s="1"/>
    </row>
    <row r="185" spans="4:339" ht="13" x14ac:dyDescent="0.15">
      <c r="D185" s="12"/>
      <c r="E185" s="12"/>
      <c r="I185" s="12"/>
      <c r="J185" s="13"/>
      <c r="BF185" s="1"/>
      <c r="BG185" s="1"/>
      <c r="BH185" s="1"/>
      <c r="BI185" s="1"/>
      <c r="BK185" s="1"/>
      <c r="BL185" s="1"/>
      <c r="BM185" s="1"/>
      <c r="BN185" s="1"/>
      <c r="BO185" s="1"/>
      <c r="BP185" s="1"/>
      <c r="BQ185" s="1"/>
      <c r="BR185" s="1"/>
      <c r="CD185" s="1"/>
      <c r="CE185" s="1"/>
      <c r="CF185" s="1"/>
      <c r="CH185" s="1"/>
      <c r="CI185" s="1"/>
      <c r="CM185" s="4"/>
      <c r="CN185" s="1"/>
      <c r="CO185" s="1"/>
      <c r="CQ185" s="1"/>
      <c r="CY185" s="1"/>
      <c r="DC185" s="1"/>
      <c r="DH185" s="1"/>
      <c r="DM185" s="1"/>
      <c r="DR185" s="1"/>
      <c r="ED185" s="1"/>
      <c r="EF185" s="1"/>
      <c r="EK185" s="1"/>
      <c r="EL185" s="1"/>
      <c r="EM185" s="1"/>
      <c r="EN185" s="1"/>
      <c r="EQ185" s="1"/>
      <c r="ER185" s="1"/>
      <c r="ES185" s="1"/>
      <c r="EV185" s="1"/>
      <c r="EW185" s="1"/>
      <c r="EZ185" s="1"/>
      <c r="FA185" s="1"/>
      <c r="FD185" s="1"/>
      <c r="GD185" s="1"/>
      <c r="GE185" s="1"/>
      <c r="GF185" s="1"/>
      <c r="GG185" s="1"/>
      <c r="GH185" s="1"/>
      <c r="GI185" s="1"/>
      <c r="GJ185" s="1"/>
      <c r="GN185" s="1"/>
      <c r="GP185" s="1"/>
      <c r="GV185" s="1"/>
      <c r="HF185" s="1"/>
      <c r="HH185" s="1"/>
      <c r="HY185" s="1"/>
      <c r="IJ185" s="1"/>
      <c r="IS185" s="1"/>
      <c r="IW185" s="1"/>
      <c r="IX185" s="1"/>
      <c r="IZ185" s="1"/>
      <c r="JC185" s="1"/>
      <c r="JF185" s="1"/>
      <c r="JG185" s="1"/>
      <c r="JJ185" s="1"/>
      <c r="JN185" s="1"/>
      <c r="JP185" s="1"/>
      <c r="JQ185" s="1"/>
      <c r="JT185" s="1"/>
      <c r="KW185" s="1"/>
      <c r="KY185" s="1"/>
      <c r="KZ185" s="1"/>
      <c r="LA185" s="1"/>
      <c r="LB185" s="1"/>
      <c r="LC185" s="1"/>
      <c r="LD185" s="1"/>
      <c r="LO185" s="1"/>
      <c r="LP185" s="1"/>
      <c r="LX185" s="1"/>
      <c r="LZ185" s="1"/>
      <c r="MA185" s="1"/>
    </row>
    <row r="186" spans="4:339" ht="13" x14ac:dyDescent="0.15">
      <c r="D186" s="12"/>
      <c r="E186" s="12"/>
      <c r="I186" s="12"/>
      <c r="J186" s="13"/>
      <c r="BF186" s="1"/>
      <c r="BG186" s="1"/>
      <c r="BH186" s="1"/>
      <c r="BI186" s="1"/>
      <c r="BK186" s="1"/>
      <c r="BL186" s="1"/>
      <c r="BM186" s="1"/>
      <c r="BN186" s="1"/>
      <c r="BO186" s="1"/>
      <c r="BP186" s="1"/>
      <c r="BQ186" s="1"/>
      <c r="BR186" s="1"/>
      <c r="CD186" s="1"/>
      <c r="CE186" s="1"/>
      <c r="CF186" s="1"/>
      <c r="CH186" s="1"/>
      <c r="CI186" s="1"/>
      <c r="CM186" s="4"/>
      <c r="CN186" s="1"/>
      <c r="CO186" s="1"/>
      <c r="CQ186" s="1"/>
      <c r="CY186" s="1"/>
      <c r="DC186" s="1"/>
      <c r="DH186" s="1"/>
      <c r="DM186" s="1"/>
      <c r="DR186" s="1"/>
      <c r="ED186" s="1"/>
      <c r="EF186" s="1"/>
      <c r="EK186" s="1"/>
      <c r="EL186" s="1"/>
      <c r="EM186" s="1"/>
      <c r="EN186" s="1"/>
      <c r="EQ186" s="1"/>
      <c r="ER186" s="1"/>
      <c r="ES186" s="1"/>
      <c r="EV186" s="1"/>
      <c r="EW186" s="1"/>
      <c r="EZ186" s="1"/>
      <c r="FA186" s="1"/>
      <c r="FD186" s="1"/>
      <c r="GD186" s="1"/>
      <c r="GE186" s="1"/>
      <c r="GF186" s="1"/>
      <c r="GG186" s="1"/>
      <c r="GH186" s="1"/>
      <c r="GI186" s="1"/>
      <c r="GJ186" s="1"/>
      <c r="GN186" s="1"/>
      <c r="GP186" s="1"/>
      <c r="GV186" s="1"/>
      <c r="HF186" s="1"/>
      <c r="HH186" s="1"/>
      <c r="HY186" s="1"/>
      <c r="IJ186" s="1"/>
      <c r="IS186" s="1"/>
      <c r="IW186" s="1"/>
      <c r="IX186" s="1"/>
      <c r="IZ186" s="1"/>
      <c r="JC186" s="1"/>
      <c r="JF186" s="1"/>
      <c r="JG186" s="1"/>
      <c r="JJ186" s="1"/>
      <c r="JN186" s="1"/>
      <c r="JP186" s="1"/>
      <c r="JQ186" s="1"/>
      <c r="JT186" s="1"/>
      <c r="KW186" s="1"/>
      <c r="KY186" s="1"/>
      <c r="KZ186" s="1"/>
      <c r="LA186" s="1"/>
      <c r="LB186" s="1"/>
      <c r="LC186" s="1"/>
      <c r="LD186" s="1"/>
      <c r="LO186" s="1"/>
      <c r="LP186" s="1"/>
      <c r="LX186" s="1"/>
      <c r="LZ186" s="1"/>
      <c r="MA186" s="1"/>
    </row>
    <row r="187" spans="4:339" ht="13" x14ac:dyDescent="0.15">
      <c r="D187" s="12"/>
      <c r="E187" s="12"/>
      <c r="I187" s="12"/>
      <c r="J187" s="13"/>
      <c r="BF187" s="1"/>
      <c r="BG187" s="1"/>
      <c r="BH187" s="1"/>
      <c r="BI187" s="1"/>
      <c r="BK187" s="1"/>
      <c r="BL187" s="1"/>
      <c r="BM187" s="1"/>
      <c r="BN187" s="1"/>
      <c r="BO187" s="1"/>
      <c r="BP187" s="1"/>
      <c r="BQ187" s="1"/>
      <c r="BR187" s="1"/>
      <c r="CD187" s="1"/>
      <c r="CE187" s="1"/>
      <c r="CF187" s="1"/>
      <c r="CH187" s="1"/>
      <c r="CI187" s="1"/>
      <c r="CM187" s="4"/>
      <c r="CN187" s="1"/>
      <c r="CO187" s="1"/>
      <c r="CQ187" s="1"/>
      <c r="CY187" s="1"/>
      <c r="DC187" s="1"/>
      <c r="DH187" s="1"/>
      <c r="DM187" s="1"/>
      <c r="DR187" s="1"/>
      <c r="ED187" s="1"/>
      <c r="EF187" s="1"/>
      <c r="EK187" s="1"/>
      <c r="EL187" s="1"/>
      <c r="EM187" s="1"/>
      <c r="EN187" s="1"/>
      <c r="EQ187" s="1"/>
      <c r="ER187" s="1"/>
      <c r="ES187" s="1"/>
      <c r="EV187" s="1"/>
      <c r="EW187" s="1"/>
      <c r="EZ187" s="1"/>
      <c r="FA187" s="1"/>
      <c r="FD187" s="1"/>
      <c r="GD187" s="1"/>
      <c r="GE187" s="1"/>
      <c r="GF187" s="1"/>
      <c r="GG187" s="1"/>
      <c r="GH187" s="1"/>
      <c r="GI187" s="1"/>
      <c r="GJ187" s="1"/>
      <c r="GN187" s="1"/>
      <c r="GP187" s="1"/>
      <c r="GV187" s="1"/>
      <c r="HF187" s="1"/>
      <c r="HH187" s="1"/>
      <c r="HY187" s="1"/>
      <c r="IJ187" s="1"/>
      <c r="IS187" s="1"/>
      <c r="IW187" s="1"/>
      <c r="IX187" s="1"/>
      <c r="IZ187" s="1"/>
      <c r="JC187" s="1"/>
      <c r="JF187" s="1"/>
      <c r="JG187" s="1"/>
      <c r="JJ187" s="1"/>
      <c r="JN187" s="1"/>
      <c r="JP187" s="1"/>
      <c r="JQ187" s="1"/>
      <c r="JT187" s="1"/>
      <c r="KW187" s="1"/>
      <c r="KY187" s="1"/>
      <c r="KZ187" s="1"/>
      <c r="LA187" s="1"/>
      <c r="LB187" s="1"/>
      <c r="LC187" s="1"/>
      <c r="LD187" s="1"/>
      <c r="LO187" s="1"/>
      <c r="LP187" s="1"/>
      <c r="LX187" s="1"/>
      <c r="LZ187" s="1"/>
      <c r="MA187" s="1"/>
    </row>
    <row r="188" spans="4:339" ht="13" x14ac:dyDescent="0.15">
      <c r="D188" s="12"/>
      <c r="E188" s="12"/>
      <c r="I188" s="12"/>
      <c r="J188" s="13"/>
      <c r="BF188" s="1"/>
      <c r="BG188" s="1"/>
      <c r="BH188" s="1"/>
      <c r="BI188" s="1"/>
      <c r="BK188" s="1"/>
      <c r="BL188" s="1"/>
      <c r="BM188" s="1"/>
      <c r="BN188" s="1"/>
      <c r="BO188" s="1"/>
      <c r="BP188" s="1"/>
      <c r="BQ188" s="1"/>
      <c r="BR188" s="1"/>
      <c r="CD188" s="1"/>
      <c r="CE188" s="1"/>
      <c r="CF188" s="1"/>
      <c r="CH188" s="1"/>
      <c r="CI188" s="1"/>
      <c r="CM188" s="4"/>
      <c r="CN188" s="1"/>
      <c r="CO188" s="1"/>
      <c r="CQ188" s="1"/>
      <c r="CY188" s="1"/>
      <c r="DC188" s="1"/>
      <c r="DH188" s="1"/>
      <c r="DM188" s="1"/>
      <c r="DR188" s="1"/>
      <c r="ED188" s="1"/>
      <c r="EF188" s="1"/>
      <c r="EK188" s="1"/>
      <c r="EL188" s="1"/>
      <c r="EM188" s="1"/>
      <c r="EN188" s="1"/>
      <c r="EQ188" s="1"/>
      <c r="ER188" s="1"/>
      <c r="ES188" s="1"/>
      <c r="EV188" s="1"/>
      <c r="EW188" s="1"/>
      <c r="EZ188" s="1"/>
      <c r="FA188" s="1"/>
      <c r="FD188" s="1"/>
      <c r="GD188" s="1"/>
      <c r="GE188" s="1"/>
      <c r="GF188" s="1"/>
      <c r="GG188" s="1"/>
      <c r="GH188" s="1"/>
      <c r="GI188" s="1"/>
      <c r="GJ188" s="1"/>
      <c r="GN188" s="1"/>
      <c r="GP188" s="1"/>
      <c r="GV188" s="1"/>
      <c r="HF188" s="1"/>
      <c r="HH188" s="1"/>
      <c r="HY188" s="1"/>
      <c r="IJ188" s="1"/>
      <c r="IS188" s="1"/>
      <c r="IW188" s="1"/>
      <c r="IX188" s="1"/>
      <c r="IZ188" s="1"/>
      <c r="JC188" s="1"/>
      <c r="JF188" s="1"/>
      <c r="JG188" s="1"/>
      <c r="JJ188" s="1"/>
      <c r="JN188" s="1"/>
      <c r="JP188" s="1"/>
      <c r="JQ188" s="1"/>
      <c r="JT188" s="1"/>
      <c r="KW188" s="1"/>
      <c r="KY188" s="1"/>
      <c r="KZ188" s="1"/>
      <c r="LA188" s="1"/>
      <c r="LB188" s="1"/>
      <c r="LC188" s="1"/>
      <c r="LD188" s="1"/>
      <c r="LO188" s="1"/>
      <c r="LP188" s="1"/>
      <c r="LX188" s="1"/>
      <c r="LZ188" s="1"/>
      <c r="MA188" s="1"/>
    </row>
    <row r="189" spans="4:339" ht="13" x14ac:dyDescent="0.15">
      <c r="D189" s="12"/>
      <c r="E189" s="12"/>
      <c r="I189" s="12"/>
      <c r="J189" s="13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CD189" s="1"/>
      <c r="CG189" s="1"/>
      <c r="CH189" s="1"/>
      <c r="CI189" s="1"/>
      <c r="CJ189" s="1"/>
      <c r="CM189" s="2"/>
      <c r="CN189" s="1"/>
      <c r="CO189" s="1"/>
      <c r="CP189" s="1"/>
      <c r="CQ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M189" s="1"/>
      <c r="DR189" s="1"/>
      <c r="ED189" s="1"/>
      <c r="EF189" s="1"/>
      <c r="EK189" s="1"/>
      <c r="EL189" s="1"/>
      <c r="EM189" s="1"/>
      <c r="EN189" s="1"/>
      <c r="EQ189" s="1"/>
      <c r="ER189" s="1"/>
      <c r="ES189" s="1"/>
      <c r="EV189" s="1"/>
      <c r="EW189" s="1"/>
      <c r="EZ189" s="1"/>
      <c r="FA189" s="1"/>
      <c r="FD189" s="1"/>
      <c r="FP189" s="1"/>
      <c r="FS189" s="1"/>
      <c r="FU189" s="1"/>
      <c r="FX189" s="1"/>
      <c r="GA189" s="1"/>
      <c r="GD189" s="1"/>
      <c r="GE189" s="1"/>
      <c r="GF189" s="1"/>
      <c r="GG189" s="1"/>
      <c r="GH189" s="1"/>
      <c r="GI189" s="1"/>
      <c r="GJ189" s="1"/>
      <c r="GL189" s="1"/>
      <c r="GM189" s="1"/>
      <c r="GN189" s="1"/>
      <c r="GO189" s="1"/>
      <c r="GP189" s="1"/>
      <c r="GR189" s="1"/>
      <c r="HF189" s="1"/>
      <c r="HN189" s="1"/>
      <c r="HQ189" s="1"/>
      <c r="HY189" s="1"/>
      <c r="IE189" s="1"/>
      <c r="IG189" s="1"/>
      <c r="IH189" s="1"/>
      <c r="IR189" s="1"/>
      <c r="IS189" s="1"/>
      <c r="IY189" s="1"/>
      <c r="IZ189" s="1"/>
      <c r="JJ189" s="1"/>
      <c r="JK189" s="1"/>
      <c r="JL189" s="3"/>
      <c r="JM189" s="1"/>
      <c r="JN189" s="1"/>
      <c r="JP189" s="1"/>
      <c r="JQ189" s="1"/>
      <c r="JR189" s="1"/>
      <c r="KV189" s="1"/>
      <c r="KY189" s="1"/>
      <c r="KZ189" s="1"/>
      <c r="LA189" s="1"/>
      <c r="LB189" s="1"/>
      <c r="LC189" s="1"/>
      <c r="LD189" s="1"/>
      <c r="LO189" s="1"/>
      <c r="LP189" s="1"/>
      <c r="LZ189" s="1"/>
      <c r="MA189" s="1"/>
    </row>
    <row r="190" spans="4:339" ht="13" x14ac:dyDescent="0.15">
      <c r="D190" s="12"/>
      <c r="E190" s="12"/>
      <c r="I190" s="12"/>
      <c r="J190" s="13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CD190" s="1"/>
      <c r="CG190" s="1"/>
      <c r="CH190" s="1"/>
      <c r="CI190" s="1"/>
      <c r="CJ190" s="1"/>
      <c r="CM190" s="2"/>
      <c r="CN190" s="1"/>
      <c r="CO190" s="1"/>
      <c r="CP190" s="1"/>
      <c r="CQ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M190" s="1"/>
      <c r="DR190" s="1"/>
      <c r="ED190" s="1"/>
      <c r="EF190" s="1"/>
      <c r="EK190" s="1"/>
      <c r="EL190" s="1"/>
      <c r="EM190" s="1"/>
      <c r="EN190" s="1"/>
      <c r="EQ190" s="1"/>
      <c r="ER190" s="1"/>
      <c r="ES190" s="1"/>
      <c r="EV190" s="1"/>
      <c r="EW190" s="1"/>
      <c r="EZ190" s="1"/>
      <c r="FA190" s="1"/>
      <c r="FD190" s="1"/>
      <c r="FP190" s="1"/>
      <c r="FS190" s="1"/>
      <c r="FU190" s="1"/>
      <c r="FX190" s="1"/>
      <c r="GA190" s="1"/>
      <c r="GD190" s="1"/>
      <c r="GE190" s="1"/>
      <c r="GF190" s="1"/>
      <c r="GG190" s="1"/>
      <c r="GH190" s="1"/>
      <c r="GI190" s="1"/>
      <c r="GJ190" s="1"/>
      <c r="GL190" s="1"/>
      <c r="GM190" s="1"/>
      <c r="GN190" s="1"/>
      <c r="GO190" s="1"/>
      <c r="GP190" s="1"/>
      <c r="GR190" s="1"/>
      <c r="HF190" s="1"/>
      <c r="HN190" s="1"/>
      <c r="HQ190" s="1"/>
      <c r="HY190" s="1"/>
      <c r="IE190" s="1"/>
      <c r="IG190" s="1"/>
      <c r="IH190" s="1"/>
      <c r="IR190" s="1"/>
      <c r="IS190" s="1"/>
      <c r="IY190" s="1"/>
      <c r="IZ190" s="1"/>
      <c r="JJ190" s="1"/>
      <c r="JK190" s="1"/>
      <c r="JL190" s="3"/>
      <c r="JM190" s="1"/>
      <c r="JN190" s="1"/>
      <c r="JP190" s="1"/>
      <c r="JQ190" s="1"/>
      <c r="JR190" s="1"/>
      <c r="KV190" s="1"/>
      <c r="KY190" s="1"/>
      <c r="KZ190" s="1"/>
      <c r="LA190" s="1"/>
      <c r="LB190" s="1"/>
      <c r="LC190" s="1"/>
      <c r="LD190" s="1"/>
      <c r="LO190" s="1"/>
      <c r="LP190" s="1"/>
      <c r="LZ190" s="1"/>
      <c r="MA190" s="1"/>
    </row>
    <row r="191" spans="4:339" ht="13" x14ac:dyDescent="0.15">
      <c r="D191" s="12"/>
      <c r="E191" s="12"/>
      <c r="I191" s="12"/>
      <c r="J191" s="13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CD191" s="1"/>
      <c r="CG191" s="1"/>
      <c r="CH191" s="1"/>
      <c r="CI191" s="1"/>
      <c r="CJ191" s="1"/>
      <c r="CM191" s="2"/>
      <c r="CN191" s="1"/>
      <c r="CO191" s="1"/>
      <c r="CP191" s="1"/>
      <c r="CQ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M191" s="1"/>
      <c r="DR191" s="1"/>
      <c r="ED191" s="1"/>
      <c r="EF191" s="1"/>
      <c r="EK191" s="1"/>
      <c r="EL191" s="1"/>
      <c r="EM191" s="1"/>
      <c r="EN191" s="1"/>
      <c r="EQ191" s="1"/>
      <c r="ER191" s="1"/>
      <c r="ES191" s="1"/>
      <c r="EV191" s="1"/>
      <c r="EW191" s="1"/>
      <c r="EZ191" s="1"/>
      <c r="FA191" s="1"/>
      <c r="FD191" s="1"/>
      <c r="FP191" s="1"/>
      <c r="FS191" s="1"/>
      <c r="FU191" s="1"/>
      <c r="FX191" s="1"/>
      <c r="GA191" s="1"/>
      <c r="GD191" s="1"/>
      <c r="GE191" s="1"/>
      <c r="GF191" s="1"/>
      <c r="GG191" s="1"/>
      <c r="GH191" s="1"/>
      <c r="GI191" s="1"/>
      <c r="GJ191" s="1"/>
      <c r="GL191" s="1"/>
      <c r="GM191" s="1"/>
      <c r="GN191" s="1"/>
      <c r="GO191" s="1"/>
      <c r="GP191" s="1"/>
      <c r="GR191" s="1"/>
      <c r="HF191" s="1"/>
      <c r="HN191" s="1"/>
      <c r="HQ191" s="1"/>
      <c r="HY191" s="1"/>
      <c r="IE191" s="1"/>
      <c r="IG191" s="1"/>
      <c r="IH191" s="1"/>
      <c r="IR191" s="1"/>
      <c r="IS191" s="1"/>
      <c r="IY191" s="1"/>
      <c r="IZ191" s="1"/>
      <c r="JJ191" s="1"/>
      <c r="JK191" s="1"/>
      <c r="JL191" s="3"/>
      <c r="JM191" s="1"/>
      <c r="JN191" s="1"/>
      <c r="JP191" s="1"/>
      <c r="JQ191" s="1"/>
      <c r="JR191" s="1"/>
      <c r="KV191" s="1"/>
      <c r="KY191" s="1"/>
      <c r="KZ191" s="1"/>
      <c r="LA191" s="1"/>
      <c r="LB191" s="1"/>
      <c r="LC191" s="1"/>
      <c r="LD191" s="1"/>
      <c r="LO191" s="1"/>
      <c r="LP191" s="1"/>
      <c r="LZ191" s="1"/>
      <c r="MA191" s="1"/>
    </row>
    <row r="192" spans="4:339" ht="13" x14ac:dyDescent="0.15">
      <c r="D192" s="12"/>
      <c r="E192" s="12"/>
      <c r="I192" s="12"/>
      <c r="J192" s="13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CD192" s="1"/>
      <c r="CG192" s="1"/>
      <c r="CH192" s="1"/>
      <c r="CI192" s="1"/>
      <c r="CJ192" s="1"/>
      <c r="CM192" s="2"/>
      <c r="CN192" s="1"/>
      <c r="CO192" s="1"/>
      <c r="CP192" s="1"/>
      <c r="CQ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M192" s="1"/>
      <c r="DR192" s="1"/>
      <c r="ED192" s="1"/>
      <c r="EF192" s="1"/>
      <c r="EK192" s="1"/>
      <c r="EL192" s="1"/>
      <c r="EM192" s="1"/>
      <c r="EN192" s="1"/>
      <c r="EQ192" s="1"/>
      <c r="ER192" s="1"/>
      <c r="ES192" s="1"/>
      <c r="EV192" s="1"/>
      <c r="EW192" s="1"/>
      <c r="EZ192" s="1"/>
      <c r="FA192" s="1"/>
      <c r="FD192" s="1"/>
      <c r="FP192" s="1"/>
      <c r="FS192" s="1"/>
      <c r="FU192" s="1"/>
      <c r="FX192" s="1"/>
      <c r="GA192" s="1"/>
      <c r="GD192" s="1"/>
      <c r="GE192" s="1"/>
      <c r="GF192" s="1"/>
      <c r="GG192" s="1"/>
      <c r="GH192" s="1"/>
      <c r="GI192" s="1"/>
      <c r="GJ192" s="1"/>
      <c r="GL192" s="1"/>
      <c r="GM192" s="1"/>
      <c r="GN192" s="1"/>
      <c r="GO192" s="1"/>
      <c r="GP192" s="1"/>
      <c r="GR192" s="1"/>
      <c r="HF192" s="1"/>
      <c r="HN192" s="1"/>
      <c r="HQ192" s="1"/>
      <c r="HY192" s="1"/>
      <c r="IE192" s="1"/>
      <c r="IG192" s="1"/>
      <c r="IH192" s="1"/>
      <c r="IR192" s="1"/>
      <c r="IS192" s="1"/>
      <c r="IY192" s="1"/>
      <c r="IZ192" s="1"/>
      <c r="JJ192" s="1"/>
      <c r="JK192" s="1"/>
      <c r="JL192" s="3"/>
      <c r="JM192" s="1"/>
      <c r="JN192" s="1"/>
      <c r="JP192" s="1"/>
      <c r="JQ192" s="1"/>
      <c r="JR192" s="1"/>
      <c r="KV192" s="1"/>
      <c r="KY192" s="1"/>
      <c r="KZ192" s="1"/>
      <c r="LA192" s="1"/>
      <c r="LB192" s="1"/>
      <c r="LC192" s="1"/>
      <c r="LD192" s="1"/>
      <c r="LO192" s="1"/>
      <c r="LP192" s="1"/>
      <c r="LZ192" s="1"/>
      <c r="MA192" s="1"/>
    </row>
    <row r="193" spans="4:339" ht="13" x14ac:dyDescent="0.15">
      <c r="D193" s="12"/>
      <c r="E193" s="12"/>
      <c r="I193" s="12"/>
      <c r="J193" s="13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CD193" s="1"/>
      <c r="CG193" s="1"/>
      <c r="CH193" s="1"/>
      <c r="CI193" s="1"/>
      <c r="CJ193" s="1"/>
      <c r="CM193" s="2"/>
      <c r="CN193" s="1"/>
      <c r="CO193" s="1"/>
      <c r="CP193" s="1"/>
      <c r="CQ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M193" s="1"/>
      <c r="DR193" s="1"/>
      <c r="ED193" s="1"/>
      <c r="EF193" s="1"/>
      <c r="EK193" s="1"/>
      <c r="EL193" s="1"/>
      <c r="EM193" s="1"/>
      <c r="EN193" s="1"/>
      <c r="EQ193" s="1"/>
      <c r="ER193" s="1"/>
      <c r="ES193" s="1"/>
      <c r="EV193" s="1"/>
      <c r="EW193" s="1"/>
      <c r="EZ193" s="1"/>
      <c r="FA193" s="1"/>
      <c r="FD193" s="1"/>
      <c r="FP193" s="1"/>
      <c r="FS193" s="1"/>
      <c r="FU193" s="1"/>
      <c r="FX193" s="1"/>
      <c r="GA193" s="1"/>
      <c r="GD193" s="1"/>
      <c r="GE193" s="1"/>
      <c r="GF193" s="1"/>
      <c r="GG193" s="1"/>
      <c r="GH193" s="1"/>
      <c r="GI193" s="1"/>
      <c r="GJ193" s="1"/>
      <c r="GL193" s="1"/>
      <c r="GM193" s="1"/>
      <c r="GN193" s="1"/>
      <c r="GO193" s="1"/>
      <c r="GP193" s="1"/>
      <c r="GR193" s="1"/>
      <c r="HF193" s="1"/>
      <c r="HN193" s="1"/>
      <c r="HQ193" s="1"/>
      <c r="HY193" s="1"/>
      <c r="IE193" s="1"/>
      <c r="IG193" s="1"/>
      <c r="IH193" s="1"/>
      <c r="IR193" s="1"/>
      <c r="IS193" s="1"/>
      <c r="IY193" s="1"/>
      <c r="IZ193" s="1"/>
      <c r="JJ193" s="1"/>
      <c r="JK193" s="1"/>
      <c r="JL193" s="3"/>
      <c r="JM193" s="1"/>
      <c r="JN193" s="1"/>
      <c r="JP193" s="1"/>
      <c r="JQ193" s="1"/>
      <c r="JR193" s="1"/>
      <c r="KV193" s="1"/>
      <c r="KY193" s="1"/>
      <c r="KZ193" s="1"/>
      <c r="LA193" s="1"/>
      <c r="LB193" s="1"/>
      <c r="LC193" s="1"/>
      <c r="LD193" s="1"/>
      <c r="LO193" s="1"/>
      <c r="LP193" s="1"/>
      <c r="LZ193" s="1"/>
      <c r="MA193" s="1"/>
    </row>
    <row r="194" spans="4:339" ht="13" x14ac:dyDescent="0.15">
      <c r="D194" s="12"/>
      <c r="E194" s="12"/>
      <c r="I194" s="12"/>
      <c r="J194" s="13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CD194" s="1"/>
      <c r="CG194" s="1"/>
      <c r="CH194" s="1"/>
      <c r="CI194" s="1"/>
      <c r="CJ194" s="1"/>
      <c r="CM194" s="2"/>
      <c r="CN194" s="1"/>
      <c r="CO194" s="1"/>
      <c r="CP194" s="1"/>
      <c r="CQ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M194" s="1"/>
      <c r="DR194" s="1"/>
      <c r="ED194" s="1"/>
      <c r="EF194" s="1"/>
      <c r="EK194" s="1"/>
      <c r="EL194" s="1"/>
      <c r="EM194" s="1"/>
      <c r="EN194" s="1"/>
      <c r="EQ194" s="1"/>
      <c r="ER194" s="1"/>
      <c r="ES194" s="1"/>
      <c r="EV194" s="1"/>
      <c r="EW194" s="1"/>
      <c r="EZ194" s="1"/>
      <c r="FA194" s="1"/>
      <c r="FD194" s="1"/>
      <c r="FP194" s="1"/>
      <c r="FS194" s="1"/>
      <c r="FU194" s="1"/>
      <c r="FX194" s="1"/>
      <c r="GA194" s="1"/>
      <c r="GD194" s="1"/>
      <c r="GE194" s="1"/>
      <c r="GF194" s="1"/>
      <c r="GG194" s="1"/>
      <c r="GH194" s="1"/>
      <c r="GI194" s="1"/>
      <c r="GJ194" s="1"/>
      <c r="GL194" s="1"/>
      <c r="GM194" s="1"/>
      <c r="GN194" s="1"/>
      <c r="GO194" s="1"/>
      <c r="GP194" s="1"/>
      <c r="GR194" s="1"/>
      <c r="HF194" s="1"/>
      <c r="HN194" s="1"/>
      <c r="HQ194" s="1"/>
      <c r="HY194" s="1"/>
      <c r="IE194" s="1"/>
      <c r="IG194" s="1"/>
      <c r="IH194" s="1"/>
      <c r="IR194" s="1"/>
      <c r="IS194" s="1"/>
      <c r="IY194" s="1"/>
      <c r="IZ194" s="1"/>
      <c r="JJ194" s="1"/>
      <c r="JK194" s="1"/>
      <c r="JL194" s="3"/>
      <c r="JM194" s="1"/>
      <c r="JN194" s="1"/>
      <c r="JP194" s="1"/>
      <c r="JQ194" s="1"/>
      <c r="JR194" s="1"/>
      <c r="KV194" s="1"/>
      <c r="KY194" s="1"/>
      <c r="KZ194" s="1"/>
      <c r="LA194" s="1"/>
      <c r="LB194" s="1"/>
      <c r="LC194" s="1"/>
      <c r="LD194" s="1"/>
      <c r="LO194" s="1"/>
      <c r="LP194" s="1"/>
      <c r="LZ194" s="1"/>
      <c r="MA194" s="1"/>
    </row>
    <row r="195" spans="4:339" ht="13" x14ac:dyDescent="0.15">
      <c r="D195" s="12"/>
      <c r="E195" s="12"/>
      <c r="I195" s="12"/>
      <c r="J195" s="13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CD195" s="1"/>
      <c r="CG195" s="1"/>
      <c r="CH195" s="1"/>
      <c r="CI195" s="1"/>
      <c r="CJ195" s="1"/>
      <c r="CM195" s="2"/>
      <c r="CN195" s="1"/>
      <c r="CO195" s="1"/>
      <c r="CP195" s="1"/>
      <c r="CQ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M195" s="1"/>
      <c r="DR195" s="1"/>
      <c r="ED195" s="1"/>
      <c r="EF195" s="1"/>
      <c r="EK195" s="1"/>
      <c r="EL195" s="1"/>
      <c r="EM195" s="1"/>
      <c r="EN195" s="1"/>
      <c r="EQ195" s="1"/>
      <c r="ER195" s="1"/>
      <c r="ES195" s="1"/>
      <c r="EV195" s="1"/>
      <c r="EW195" s="1"/>
      <c r="EZ195" s="1"/>
      <c r="FA195" s="1"/>
      <c r="FD195" s="1"/>
      <c r="FP195" s="1"/>
      <c r="FS195" s="1"/>
      <c r="FU195" s="1"/>
      <c r="FX195" s="1"/>
      <c r="GA195" s="1"/>
      <c r="GD195" s="1"/>
      <c r="GE195" s="1"/>
      <c r="GF195" s="1"/>
      <c r="GG195" s="1"/>
      <c r="GH195" s="1"/>
      <c r="GI195" s="1"/>
      <c r="GJ195" s="1"/>
      <c r="GL195" s="1"/>
      <c r="GM195" s="1"/>
      <c r="GN195" s="1"/>
      <c r="GO195" s="1"/>
      <c r="GP195" s="1"/>
      <c r="GR195" s="1"/>
      <c r="HF195" s="1"/>
      <c r="HN195" s="1"/>
      <c r="HQ195" s="1"/>
      <c r="HY195" s="1"/>
      <c r="IE195" s="1"/>
      <c r="IG195" s="1"/>
      <c r="IH195" s="1"/>
      <c r="IR195" s="1"/>
      <c r="IS195" s="1"/>
      <c r="IY195" s="1"/>
      <c r="IZ195" s="1"/>
      <c r="JJ195" s="1"/>
      <c r="JK195" s="1"/>
      <c r="JL195" s="3"/>
      <c r="JM195" s="1"/>
      <c r="JN195" s="1"/>
      <c r="JP195" s="1"/>
      <c r="JQ195" s="1"/>
      <c r="JR195" s="1"/>
      <c r="KV195" s="1"/>
      <c r="KY195" s="1"/>
      <c r="KZ195" s="1"/>
      <c r="LA195" s="1"/>
      <c r="LB195" s="1"/>
      <c r="LC195" s="1"/>
      <c r="LD195" s="1"/>
      <c r="LO195" s="1"/>
      <c r="LP195" s="1"/>
      <c r="LZ195" s="1"/>
      <c r="MA195" s="1"/>
    </row>
    <row r="196" spans="4:339" ht="13" x14ac:dyDescent="0.15">
      <c r="D196" s="12"/>
      <c r="E196" s="12"/>
      <c r="I196" s="12"/>
      <c r="J196" s="13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CD196" s="1"/>
      <c r="CG196" s="1"/>
      <c r="CH196" s="1"/>
      <c r="CI196" s="1"/>
      <c r="CJ196" s="1"/>
      <c r="CM196" s="2"/>
      <c r="CN196" s="1"/>
      <c r="CO196" s="1"/>
      <c r="CP196" s="1"/>
      <c r="CQ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M196" s="1"/>
      <c r="DR196" s="1"/>
      <c r="ED196" s="1"/>
      <c r="EF196" s="1"/>
      <c r="EK196" s="1"/>
      <c r="EL196" s="1"/>
      <c r="EM196" s="1"/>
      <c r="EN196" s="1"/>
      <c r="EQ196" s="1"/>
      <c r="ER196" s="1"/>
      <c r="ES196" s="1"/>
      <c r="EV196" s="1"/>
      <c r="EW196" s="1"/>
      <c r="EZ196" s="1"/>
      <c r="FA196" s="1"/>
      <c r="FD196" s="1"/>
      <c r="FP196" s="1"/>
      <c r="FS196" s="1"/>
      <c r="FU196" s="1"/>
      <c r="FX196" s="1"/>
      <c r="GA196" s="1"/>
      <c r="GD196" s="1"/>
      <c r="GE196" s="1"/>
      <c r="GF196" s="1"/>
      <c r="GG196" s="1"/>
      <c r="GH196" s="1"/>
      <c r="GI196" s="1"/>
      <c r="GJ196" s="1"/>
      <c r="GL196" s="1"/>
      <c r="GM196" s="1"/>
      <c r="GN196" s="1"/>
      <c r="GO196" s="1"/>
      <c r="GP196" s="1"/>
      <c r="GR196" s="1"/>
      <c r="HF196" s="1"/>
      <c r="HN196" s="1"/>
      <c r="HQ196" s="1"/>
      <c r="HY196" s="1"/>
      <c r="IE196" s="1"/>
      <c r="IG196" s="1"/>
      <c r="IH196" s="1"/>
      <c r="IR196" s="1"/>
      <c r="IS196" s="1"/>
      <c r="IY196" s="1"/>
      <c r="IZ196" s="1"/>
      <c r="JJ196" s="1"/>
      <c r="JK196" s="1"/>
      <c r="JL196" s="3"/>
      <c r="JM196" s="1"/>
      <c r="JN196" s="1"/>
      <c r="JP196" s="1"/>
      <c r="JQ196" s="1"/>
      <c r="JR196" s="1"/>
      <c r="KV196" s="1"/>
      <c r="KY196" s="1"/>
      <c r="KZ196" s="1"/>
      <c r="LA196" s="1"/>
      <c r="LB196" s="1"/>
      <c r="LC196" s="1"/>
      <c r="LD196" s="1"/>
      <c r="LO196" s="1"/>
      <c r="LP196" s="1"/>
      <c r="LZ196" s="1"/>
      <c r="MA196" s="1"/>
    </row>
    <row r="197" spans="4:339" ht="13" x14ac:dyDescent="0.15">
      <c r="D197" s="12"/>
      <c r="E197" s="12"/>
      <c r="I197" s="12"/>
      <c r="J197" s="13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CD197" s="1"/>
      <c r="CG197" s="1"/>
      <c r="CH197" s="1"/>
      <c r="CI197" s="1"/>
      <c r="CJ197" s="1"/>
      <c r="CM197" s="2"/>
      <c r="CN197" s="1"/>
      <c r="CO197" s="1"/>
      <c r="CP197" s="1"/>
      <c r="CQ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M197" s="1"/>
      <c r="DR197" s="1"/>
      <c r="ED197" s="1"/>
      <c r="EF197" s="1"/>
      <c r="EK197" s="1"/>
      <c r="EL197" s="1"/>
      <c r="EM197" s="1"/>
      <c r="EN197" s="1"/>
      <c r="EQ197" s="1"/>
      <c r="ER197" s="1"/>
      <c r="ES197" s="1"/>
      <c r="EV197" s="1"/>
      <c r="EW197" s="1"/>
      <c r="EZ197" s="1"/>
      <c r="FA197" s="1"/>
      <c r="FD197" s="1"/>
      <c r="FP197" s="1"/>
      <c r="FS197" s="1"/>
      <c r="FU197" s="1"/>
      <c r="FX197" s="1"/>
      <c r="GA197" s="1"/>
      <c r="GD197" s="1"/>
      <c r="GE197" s="1"/>
      <c r="GF197" s="1"/>
      <c r="GG197" s="1"/>
      <c r="GH197" s="1"/>
      <c r="GI197" s="1"/>
      <c r="GJ197" s="1"/>
      <c r="GL197" s="1"/>
      <c r="GM197" s="1"/>
      <c r="GN197" s="1"/>
      <c r="GO197" s="1"/>
      <c r="GP197" s="1"/>
      <c r="GR197" s="1"/>
      <c r="HF197" s="1"/>
      <c r="HN197" s="1"/>
      <c r="HQ197" s="1"/>
      <c r="HY197" s="1"/>
      <c r="IE197" s="1"/>
      <c r="IG197" s="1"/>
      <c r="IH197" s="1"/>
      <c r="IR197" s="1"/>
      <c r="IS197" s="1"/>
      <c r="IY197" s="1"/>
      <c r="IZ197" s="1"/>
      <c r="JJ197" s="1"/>
      <c r="JK197" s="1"/>
      <c r="JL197" s="3"/>
      <c r="JM197" s="1"/>
      <c r="JN197" s="1"/>
      <c r="JP197" s="1"/>
      <c r="JQ197" s="1"/>
      <c r="JR197" s="1"/>
      <c r="KV197" s="1"/>
      <c r="KY197" s="1"/>
      <c r="KZ197" s="1"/>
      <c r="LA197" s="1"/>
      <c r="LB197" s="1"/>
      <c r="LC197" s="1"/>
      <c r="LD197" s="1"/>
      <c r="LO197" s="1"/>
      <c r="LP197" s="1"/>
      <c r="LZ197" s="1"/>
      <c r="MA197" s="1"/>
    </row>
    <row r="198" spans="4:339" ht="13" x14ac:dyDescent="0.15">
      <c r="D198" s="12"/>
      <c r="E198" s="12"/>
      <c r="I198" s="12"/>
      <c r="J198" s="13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CD198" s="1"/>
      <c r="CG198" s="1"/>
      <c r="CH198" s="1"/>
      <c r="CI198" s="1"/>
      <c r="CJ198" s="1"/>
      <c r="CM198" s="2"/>
      <c r="CN198" s="1"/>
      <c r="CO198" s="1"/>
      <c r="CP198" s="1"/>
      <c r="CQ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M198" s="1"/>
      <c r="DR198" s="1"/>
      <c r="ED198" s="1"/>
      <c r="EF198" s="1"/>
      <c r="EK198" s="1"/>
      <c r="EL198" s="1"/>
      <c r="EM198" s="1"/>
      <c r="EN198" s="1"/>
      <c r="EQ198" s="1"/>
      <c r="ER198" s="1"/>
      <c r="ES198" s="1"/>
      <c r="EV198" s="1"/>
      <c r="EW198" s="1"/>
      <c r="EZ198" s="1"/>
      <c r="FA198" s="1"/>
      <c r="FD198" s="1"/>
      <c r="FP198" s="1"/>
      <c r="FS198" s="1"/>
      <c r="FU198" s="1"/>
      <c r="FX198" s="1"/>
      <c r="GA198" s="1"/>
      <c r="GD198" s="1"/>
      <c r="GE198" s="1"/>
      <c r="GF198" s="1"/>
      <c r="GG198" s="1"/>
      <c r="GH198" s="1"/>
      <c r="GI198" s="1"/>
      <c r="GJ198" s="1"/>
      <c r="GL198" s="1"/>
      <c r="GM198" s="1"/>
      <c r="GN198" s="1"/>
      <c r="GO198" s="1"/>
      <c r="GP198" s="1"/>
      <c r="GR198" s="1"/>
      <c r="HF198" s="1"/>
      <c r="HN198" s="1"/>
      <c r="HQ198" s="1"/>
      <c r="HY198" s="1"/>
      <c r="IE198" s="1"/>
      <c r="IG198" s="1"/>
      <c r="IH198" s="1"/>
      <c r="IR198" s="1"/>
      <c r="IS198" s="1"/>
      <c r="IY198" s="1"/>
      <c r="IZ198" s="1"/>
      <c r="JJ198" s="1"/>
      <c r="JK198" s="1"/>
      <c r="JL198" s="3"/>
      <c r="JM198" s="1"/>
      <c r="JN198" s="1"/>
      <c r="JP198" s="1"/>
      <c r="JQ198" s="1"/>
      <c r="JR198" s="1"/>
      <c r="KV198" s="1"/>
      <c r="KY198" s="1"/>
      <c r="KZ198" s="1"/>
      <c r="LA198" s="1"/>
      <c r="LB198" s="1"/>
      <c r="LC198" s="1"/>
      <c r="LD198" s="1"/>
      <c r="LO198" s="1"/>
      <c r="LP198" s="1"/>
      <c r="LZ198" s="1"/>
      <c r="MA198" s="1"/>
    </row>
    <row r="199" spans="4:339" ht="13" x14ac:dyDescent="0.15">
      <c r="D199" s="12"/>
      <c r="E199" s="12"/>
      <c r="I199" s="12"/>
      <c r="J199" s="13"/>
      <c r="BF199" s="1"/>
      <c r="BG199" s="1"/>
      <c r="BH199" s="1"/>
      <c r="BI199" s="1"/>
      <c r="BK199" s="1"/>
      <c r="BL199" s="1"/>
      <c r="BM199" s="1"/>
      <c r="BN199" s="1"/>
      <c r="BO199" s="1"/>
      <c r="BP199" s="1"/>
      <c r="BQ199" s="1"/>
      <c r="BR199" s="1"/>
      <c r="CD199" s="1"/>
      <c r="CE199" s="1"/>
      <c r="CF199" s="1"/>
      <c r="CG199" s="1"/>
      <c r="CH199" s="1"/>
      <c r="CI199" s="1"/>
      <c r="CM199" s="2"/>
      <c r="CN199" s="1"/>
      <c r="CO199" s="1"/>
      <c r="CP199" s="1"/>
      <c r="CQ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M199" s="1"/>
      <c r="DQ199" s="1"/>
      <c r="DR199" s="1"/>
      <c r="DY199" s="1"/>
      <c r="DZ199" s="1"/>
      <c r="ED199" s="1"/>
      <c r="EK199" s="1"/>
      <c r="EL199" s="1"/>
      <c r="EM199" s="1"/>
      <c r="EN199" s="1"/>
      <c r="EQ199" s="1"/>
      <c r="ER199" s="1"/>
      <c r="ES199" s="1"/>
      <c r="EV199" s="1"/>
      <c r="EW199" s="1"/>
      <c r="EZ199" s="1"/>
      <c r="FA199" s="1"/>
      <c r="FD199" s="1"/>
      <c r="FH199" s="1"/>
      <c r="FJ199" s="1"/>
      <c r="FP199" s="1"/>
      <c r="FS199" s="1"/>
      <c r="FV199" s="1"/>
      <c r="FW199" s="1"/>
      <c r="FX199" s="1"/>
      <c r="GA199" s="1"/>
      <c r="GD199" s="1"/>
      <c r="GE199" s="1"/>
      <c r="GF199" s="1"/>
      <c r="GG199" s="1"/>
      <c r="GH199" s="1"/>
      <c r="GI199" s="1"/>
      <c r="GJ199" s="1"/>
      <c r="GK199" s="1"/>
      <c r="GL199" s="1"/>
      <c r="GM199" s="1"/>
      <c r="GN199" s="1"/>
      <c r="GO199" s="1"/>
      <c r="GP199" s="1"/>
      <c r="GR199" s="1"/>
      <c r="GV199" s="1"/>
      <c r="GY199" s="1"/>
      <c r="HF199" s="1"/>
      <c r="HN199" s="1"/>
      <c r="HY199" s="1"/>
      <c r="IE199" s="1"/>
      <c r="IR199" s="1"/>
      <c r="IS199" s="1"/>
      <c r="IY199" s="1"/>
      <c r="IZ199" s="1"/>
      <c r="JC199" s="1"/>
      <c r="JD199" s="1"/>
      <c r="JE199" s="1"/>
      <c r="JF199" s="1"/>
      <c r="JG199" s="1"/>
      <c r="JH199" s="1"/>
      <c r="JJ199" s="1"/>
      <c r="JN199" s="1"/>
      <c r="JP199" s="1"/>
      <c r="JQ199" s="1"/>
      <c r="JT199" s="1"/>
      <c r="KY199" s="1"/>
      <c r="KZ199" s="1"/>
      <c r="LA199" s="1"/>
      <c r="LB199" s="1"/>
      <c r="LC199" s="1"/>
      <c r="LD199" s="1"/>
      <c r="LO199" s="1"/>
      <c r="LP199" s="1"/>
      <c r="LZ199" s="1"/>
      <c r="MA199" s="1"/>
    </row>
    <row r="200" spans="4:339" ht="13" x14ac:dyDescent="0.15">
      <c r="D200" s="12"/>
      <c r="E200" s="12"/>
      <c r="I200" s="12"/>
      <c r="J200" s="13"/>
      <c r="BF200" s="1"/>
      <c r="BG200" s="1"/>
      <c r="BH200" s="1"/>
      <c r="BI200" s="1"/>
      <c r="BK200" s="1"/>
      <c r="BL200" s="1"/>
      <c r="BM200" s="1"/>
      <c r="BN200" s="1"/>
      <c r="BO200" s="1"/>
      <c r="BP200" s="1"/>
      <c r="BQ200" s="1"/>
      <c r="BR200" s="1"/>
      <c r="CD200" s="1"/>
      <c r="CE200" s="1"/>
      <c r="CF200" s="1"/>
      <c r="CG200" s="1"/>
      <c r="CH200" s="1"/>
      <c r="CI200" s="1"/>
      <c r="CM200" s="2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M200" s="1"/>
      <c r="DR200" s="1"/>
      <c r="ED200" s="1"/>
      <c r="EF200" s="1"/>
      <c r="EK200" s="1"/>
      <c r="EL200" s="1"/>
      <c r="EM200" s="1"/>
      <c r="EN200" s="1"/>
      <c r="EQ200" s="1"/>
      <c r="ER200" s="1"/>
      <c r="ES200" s="1"/>
      <c r="EV200" s="1"/>
      <c r="EW200" s="1"/>
      <c r="EZ200" s="1"/>
      <c r="FA200" s="1"/>
      <c r="FD200" s="1"/>
      <c r="FG200" s="1"/>
      <c r="FH200" s="1"/>
      <c r="FI200" s="1"/>
      <c r="FJ200" s="1"/>
      <c r="FK200" s="1"/>
      <c r="FL200" s="1"/>
      <c r="FM200" s="1"/>
      <c r="FN200" s="1"/>
      <c r="FO200" s="1"/>
      <c r="FP200" s="1"/>
      <c r="FQ200" s="1"/>
      <c r="FR200" s="1"/>
      <c r="FS200" s="1"/>
      <c r="FT200" s="1"/>
      <c r="FU200" s="1"/>
      <c r="FV200" s="1"/>
      <c r="FW200" s="1"/>
      <c r="FX200" s="1"/>
      <c r="FY200" s="1"/>
      <c r="FZ200" s="1"/>
      <c r="GA200" s="1"/>
      <c r="GB200" s="1"/>
      <c r="GD200" s="1"/>
      <c r="GE200" s="1"/>
      <c r="GF200" s="1"/>
      <c r="GG200" s="1"/>
      <c r="GH200" s="1"/>
      <c r="GI200" s="1"/>
      <c r="GJ200" s="1"/>
      <c r="GK200" s="1"/>
      <c r="GL200" s="1"/>
      <c r="GM200" s="1"/>
      <c r="GN200" s="1"/>
      <c r="GP200" s="1"/>
      <c r="GR200" s="1"/>
      <c r="GS200" s="1"/>
      <c r="GY200" s="1"/>
      <c r="HF200" s="1"/>
      <c r="HH200" s="1"/>
      <c r="HN200" s="1"/>
      <c r="HT200" s="1"/>
      <c r="HY200" s="1"/>
      <c r="IA200" s="1"/>
      <c r="IC200" s="1"/>
      <c r="ID200" s="1"/>
      <c r="IE200" s="1"/>
      <c r="IR200" s="1"/>
      <c r="IS200" s="1"/>
      <c r="IZ200" s="1"/>
      <c r="JC200" s="1"/>
      <c r="JF200" s="1"/>
      <c r="JG200" s="1"/>
      <c r="JJ200" s="1"/>
      <c r="JN200" s="1"/>
      <c r="JP200" s="1"/>
      <c r="JQ200" s="1"/>
      <c r="JT200" s="1"/>
      <c r="KU200" s="1"/>
      <c r="KV200" s="1"/>
      <c r="KY200" s="1"/>
      <c r="KZ200" s="1"/>
      <c r="LA200" s="1"/>
      <c r="LB200" s="1"/>
      <c r="LC200" s="1"/>
      <c r="LD200" s="1"/>
      <c r="LO200" s="1"/>
      <c r="LP200" s="1"/>
      <c r="LZ200" s="1"/>
      <c r="MA200" s="1"/>
    </row>
    <row r="201" spans="4:339" ht="13" x14ac:dyDescent="0.15">
      <c r="D201" s="12"/>
      <c r="E201" s="12"/>
      <c r="I201" s="12"/>
      <c r="J201" s="13"/>
      <c r="BF201" s="1"/>
      <c r="BG201" s="1"/>
      <c r="BH201" s="1"/>
      <c r="BI201" s="1"/>
      <c r="BK201" s="1"/>
      <c r="BL201" s="1"/>
      <c r="BM201" s="1"/>
      <c r="BN201" s="1"/>
      <c r="BO201" s="1"/>
      <c r="BP201" s="1"/>
      <c r="BQ201" s="1"/>
      <c r="BR201" s="1"/>
      <c r="CD201" s="1"/>
      <c r="CE201" s="1"/>
      <c r="CF201" s="1"/>
      <c r="CG201" s="1"/>
      <c r="CH201" s="1"/>
      <c r="CI201" s="1"/>
      <c r="CM201" s="2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M201" s="1"/>
      <c r="DR201" s="1"/>
      <c r="ED201" s="1"/>
      <c r="EF201" s="1"/>
      <c r="EK201" s="1"/>
      <c r="EL201" s="1"/>
      <c r="EM201" s="1"/>
      <c r="EN201" s="1"/>
      <c r="EQ201" s="1"/>
      <c r="ER201" s="1"/>
      <c r="ES201" s="1"/>
      <c r="EV201" s="1"/>
      <c r="EW201" s="1"/>
      <c r="EZ201" s="1"/>
      <c r="FA201" s="1"/>
      <c r="FD201" s="1"/>
      <c r="FG201" s="1"/>
      <c r="FH201" s="1"/>
      <c r="FI201" s="1"/>
      <c r="FJ201" s="1"/>
      <c r="FK201" s="1"/>
      <c r="FL201" s="1"/>
      <c r="FM201" s="1"/>
      <c r="FN201" s="1"/>
      <c r="FO201" s="1"/>
      <c r="FP201" s="1"/>
      <c r="FQ201" s="1"/>
      <c r="FR201" s="1"/>
      <c r="FS201" s="1"/>
      <c r="FT201" s="1"/>
      <c r="FU201" s="1"/>
      <c r="FV201" s="1"/>
      <c r="FW201" s="1"/>
      <c r="FX201" s="1"/>
      <c r="FY201" s="1"/>
      <c r="FZ201" s="1"/>
      <c r="GA201" s="1"/>
      <c r="GB201" s="1"/>
      <c r="GD201" s="1"/>
      <c r="GE201" s="1"/>
      <c r="GF201" s="1"/>
      <c r="GG201" s="1"/>
      <c r="GH201" s="1"/>
      <c r="GI201" s="1"/>
      <c r="GJ201" s="1"/>
      <c r="GK201" s="1"/>
      <c r="GL201" s="1"/>
      <c r="GM201" s="1"/>
      <c r="GN201" s="1"/>
      <c r="GP201" s="1"/>
      <c r="GR201" s="1"/>
      <c r="GS201" s="1"/>
      <c r="GY201" s="1"/>
      <c r="HF201" s="1"/>
      <c r="HH201" s="1"/>
      <c r="HN201" s="1"/>
      <c r="HT201" s="1"/>
      <c r="HY201" s="1"/>
      <c r="IA201" s="1"/>
      <c r="IC201" s="1"/>
      <c r="ID201" s="1"/>
      <c r="IE201" s="1"/>
      <c r="IR201" s="1"/>
      <c r="IS201" s="1"/>
      <c r="IZ201" s="1"/>
      <c r="JC201" s="1"/>
      <c r="JF201" s="1"/>
      <c r="JG201" s="1"/>
      <c r="JJ201" s="1"/>
      <c r="JN201" s="1"/>
      <c r="JP201" s="1"/>
      <c r="JQ201" s="1"/>
      <c r="JT201" s="1"/>
      <c r="KU201" s="1"/>
      <c r="KV201" s="1"/>
      <c r="KY201" s="1"/>
      <c r="KZ201" s="1"/>
      <c r="LA201" s="1"/>
      <c r="LB201" s="1"/>
      <c r="LC201" s="1"/>
      <c r="LD201" s="1"/>
      <c r="LO201" s="1"/>
      <c r="LP201" s="1"/>
      <c r="LZ201" s="1"/>
      <c r="MA201" s="1"/>
    </row>
    <row r="202" spans="4:339" ht="13" x14ac:dyDescent="0.15">
      <c r="D202" s="12"/>
      <c r="E202" s="12"/>
      <c r="I202" s="12"/>
      <c r="J202" s="13"/>
      <c r="BF202" s="1"/>
      <c r="BG202" s="1"/>
      <c r="BH202" s="1"/>
      <c r="BI202" s="1"/>
      <c r="BK202" s="1"/>
      <c r="BL202" s="1"/>
      <c r="BM202" s="1"/>
      <c r="BN202" s="1"/>
      <c r="BO202" s="1"/>
      <c r="BP202" s="1"/>
      <c r="BQ202" s="1"/>
      <c r="BR202" s="1"/>
      <c r="CD202" s="1"/>
      <c r="CE202" s="1"/>
      <c r="CF202" s="1"/>
      <c r="CG202" s="1"/>
      <c r="CH202" s="1"/>
      <c r="CI202" s="1"/>
      <c r="CM202" s="2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M202" s="1"/>
      <c r="DR202" s="1"/>
      <c r="ED202" s="1"/>
      <c r="EF202" s="1"/>
      <c r="EK202" s="1"/>
      <c r="EL202" s="1"/>
      <c r="EM202" s="1"/>
      <c r="EN202" s="1"/>
      <c r="EQ202" s="1"/>
      <c r="ER202" s="1"/>
      <c r="ES202" s="1"/>
      <c r="EV202" s="1"/>
      <c r="EW202" s="1"/>
      <c r="EZ202" s="1"/>
      <c r="FA202" s="1"/>
      <c r="FD202" s="1"/>
      <c r="FG202" s="1"/>
      <c r="FH202" s="1"/>
      <c r="FI202" s="1"/>
      <c r="FJ202" s="1"/>
      <c r="FK202" s="1"/>
      <c r="FL202" s="1"/>
      <c r="FM202" s="1"/>
      <c r="FN202" s="1"/>
      <c r="FO202" s="1"/>
      <c r="FP202" s="1"/>
      <c r="FQ202" s="1"/>
      <c r="FR202" s="1"/>
      <c r="FS202" s="1"/>
      <c r="FT202" s="1"/>
      <c r="FU202" s="1"/>
      <c r="FV202" s="1"/>
      <c r="FW202" s="1"/>
      <c r="FX202" s="1"/>
      <c r="FY202" s="1"/>
      <c r="FZ202" s="1"/>
      <c r="GA202" s="1"/>
      <c r="GB202" s="1"/>
      <c r="GD202" s="1"/>
      <c r="GE202" s="1"/>
      <c r="GF202" s="1"/>
      <c r="GG202" s="1"/>
      <c r="GH202" s="1"/>
      <c r="GI202" s="1"/>
      <c r="GJ202" s="1"/>
      <c r="GK202" s="1"/>
      <c r="GL202" s="1"/>
      <c r="GM202" s="1"/>
      <c r="GN202" s="1"/>
      <c r="GP202" s="1"/>
      <c r="GR202" s="1"/>
      <c r="GS202" s="1"/>
      <c r="GY202" s="1"/>
      <c r="HF202" s="1"/>
      <c r="HH202" s="1"/>
      <c r="HN202" s="1"/>
      <c r="HT202" s="1"/>
      <c r="HY202" s="1"/>
      <c r="IA202" s="1"/>
      <c r="IC202" s="1"/>
      <c r="ID202" s="1"/>
      <c r="IE202" s="1"/>
      <c r="IR202" s="1"/>
      <c r="IS202" s="1"/>
      <c r="IZ202" s="1"/>
      <c r="JC202" s="1"/>
      <c r="JF202" s="1"/>
      <c r="JG202" s="1"/>
      <c r="JJ202" s="1"/>
      <c r="JN202" s="1"/>
      <c r="JP202" s="1"/>
      <c r="JQ202" s="1"/>
      <c r="JT202" s="1"/>
      <c r="KU202" s="1"/>
      <c r="KV202" s="1"/>
      <c r="KY202" s="1"/>
      <c r="KZ202" s="1"/>
      <c r="LA202" s="1"/>
      <c r="LB202" s="1"/>
      <c r="LC202" s="1"/>
      <c r="LD202" s="1"/>
      <c r="LO202" s="1"/>
      <c r="LP202" s="1"/>
      <c r="LZ202" s="1"/>
      <c r="MA202" s="1"/>
    </row>
    <row r="203" spans="4:339" ht="13" x14ac:dyDescent="0.15">
      <c r="D203" s="12"/>
      <c r="E203" s="12"/>
      <c r="I203" s="12"/>
      <c r="J203" s="13"/>
      <c r="BF203" s="1"/>
      <c r="BG203" s="1"/>
      <c r="BH203" s="1"/>
      <c r="BI203" s="1"/>
      <c r="BK203" s="1"/>
      <c r="BL203" s="1"/>
      <c r="BM203" s="1"/>
      <c r="BN203" s="1"/>
      <c r="BO203" s="1"/>
      <c r="BP203" s="1"/>
      <c r="BQ203" s="1"/>
      <c r="BR203" s="1"/>
      <c r="CD203" s="1"/>
      <c r="CE203" s="1"/>
      <c r="CF203" s="1"/>
      <c r="CG203" s="1"/>
      <c r="CH203" s="1"/>
      <c r="CI203" s="1"/>
      <c r="CM203" s="2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M203" s="1"/>
      <c r="DR203" s="1"/>
      <c r="ED203" s="1"/>
      <c r="EF203" s="1"/>
      <c r="EK203" s="1"/>
      <c r="EL203" s="1"/>
      <c r="EM203" s="1"/>
      <c r="EN203" s="1"/>
      <c r="EQ203" s="1"/>
      <c r="ER203" s="1"/>
      <c r="ES203" s="1"/>
      <c r="EV203" s="1"/>
      <c r="EW203" s="1"/>
      <c r="EZ203" s="1"/>
      <c r="FA203" s="1"/>
      <c r="FD203" s="1"/>
      <c r="FG203" s="1"/>
      <c r="FH203" s="1"/>
      <c r="FI203" s="1"/>
      <c r="FJ203" s="1"/>
      <c r="FK203" s="1"/>
      <c r="FL203" s="1"/>
      <c r="FM203" s="1"/>
      <c r="FN203" s="1"/>
      <c r="FO203" s="1"/>
      <c r="FP203" s="1"/>
      <c r="FQ203" s="1"/>
      <c r="FR203" s="1"/>
      <c r="FS203" s="1"/>
      <c r="FT203" s="1"/>
      <c r="FU203" s="1"/>
      <c r="FV203" s="1"/>
      <c r="FW203" s="1"/>
      <c r="FX203" s="1"/>
      <c r="FY203" s="1"/>
      <c r="FZ203" s="1"/>
      <c r="GA203" s="1"/>
      <c r="GB203" s="1"/>
      <c r="GD203" s="1"/>
      <c r="GE203" s="1"/>
      <c r="GF203" s="1"/>
      <c r="GG203" s="1"/>
      <c r="GH203" s="1"/>
      <c r="GI203" s="1"/>
      <c r="GJ203" s="1"/>
      <c r="GK203" s="1"/>
      <c r="GL203" s="1"/>
      <c r="GM203" s="1"/>
      <c r="GN203" s="1"/>
      <c r="GP203" s="1"/>
      <c r="GR203" s="1"/>
      <c r="GS203" s="1"/>
      <c r="GY203" s="1"/>
      <c r="HF203" s="1"/>
      <c r="HH203" s="1"/>
      <c r="HN203" s="1"/>
      <c r="HT203" s="1"/>
      <c r="HY203" s="1"/>
      <c r="IA203" s="1"/>
      <c r="IC203" s="1"/>
      <c r="ID203" s="1"/>
      <c r="IE203" s="1"/>
      <c r="IR203" s="1"/>
      <c r="IS203" s="1"/>
      <c r="IZ203" s="1"/>
      <c r="JC203" s="1"/>
      <c r="JF203" s="1"/>
      <c r="JG203" s="1"/>
      <c r="JJ203" s="1"/>
      <c r="JN203" s="1"/>
      <c r="JP203" s="1"/>
      <c r="JQ203" s="1"/>
      <c r="JT203" s="1"/>
      <c r="KU203" s="1"/>
      <c r="KV203" s="1"/>
      <c r="KY203" s="1"/>
      <c r="KZ203" s="1"/>
      <c r="LA203" s="1"/>
      <c r="LB203" s="1"/>
      <c r="LC203" s="1"/>
      <c r="LD203" s="1"/>
      <c r="LO203" s="1"/>
      <c r="LP203" s="1"/>
      <c r="LZ203" s="1"/>
      <c r="MA203" s="1"/>
    </row>
    <row r="204" spans="4:339" ht="13" x14ac:dyDescent="0.15">
      <c r="D204" s="12"/>
      <c r="E204" s="12"/>
      <c r="I204" s="12"/>
      <c r="J204" s="13"/>
      <c r="BF204" s="1"/>
      <c r="BG204" s="1"/>
      <c r="BH204" s="1"/>
      <c r="BI204" s="1"/>
      <c r="BK204" s="1"/>
      <c r="BL204" s="1"/>
      <c r="BM204" s="1"/>
      <c r="BN204" s="1"/>
      <c r="BO204" s="1"/>
      <c r="BP204" s="1"/>
      <c r="BQ204" s="1"/>
      <c r="BR204" s="1"/>
      <c r="CD204" s="1"/>
      <c r="CE204" s="1"/>
      <c r="CF204" s="1"/>
      <c r="CG204" s="1"/>
      <c r="CH204" s="1"/>
      <c r="CI204" s="1"/>
      <c r="CM204" s="2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M204" s="1"/>
      <c r="DR204" s="1"/>
      <c r="ED204" s="1"/>
      <c r="EF204" s="1"/>
      <c r="EK204" s="1"/>
      <c r="EL204" s="1"/>
      <c r="EM204" s="1"/>
      <c r="EN204" s="1"/>
      <c r="EQ204" s="1"/>
      <c r="ER204" s="1"/>
      <c r="ES204" s="1"/>
      <c r="EV204" s="1"/>
      <c r="EW204" s="1"/>
      <c r="EZ204" s="1"/>
      <c r="FA204" s="1"/>
      <c r="FD204" s="1"/>
      <c r="FG204" s="1"/>
      <c r="FH204" s="1"/>
      <c r="FI204" s="1"/>
      <c r="FJ204" s="1"/>
      <c r="FK204" s="1"/>
      <c r="FL204" s="1"/>
      <c r="FM204" s="1"/>
      <c r="FN204" s="1"/>
      <c r="FO204" s="1"/>
      <c r="FP204" s="1"/>
      <c r="FQ204" s="1"/>
      <c r="FR204" s="1"/>
      <c r="FS204" s="1"/>
      <c r="FT204" s="1"/>
      <c r="FU204" s="1"/>
      <c r="FV204" s="1"/>
      <c r="FW204" s="1"/>
      <c r="FX204" s="1"/>
      <c r="FY204" s="1"/>
      <c r="FZ204" s="1"/>
      <c r="GA204" s="1"/>
      <c r="GB204" s="1"/>
      <c r="GD204" s="1"/>
      <c r="GE204" s="1"/>
      <c r="GF204" s="1"/>
      <c r="GG204" s="1"/>
      <c r="GH204" s="1"/>
      <c r="GI204" s="1"/>
      <c r="GJ204" s="1"/>
      <c r="GK204" s="1"/>
      <c r="GL204" s="1"/>
      <c r="GM204" s="1"/>
      <c r="GN204" s="1"/>
      <c r="GP204" s="1"/>
      <c r="GR204" s="1"/>
      <c r="GS204" s="1"/>
      <c r="GY204" s="1"/>
      <c r="HF204" s="1"/>
      <c r="HH204" s="1"/>
      <c r="HN204" s="1"/>
      <c r="HT204" s="1"/>
      <c r="HY204" s="1"/>
      <c r="IA204" s="1"/>
      <c r="IC204" s="1"/>
      <c r="ID204" s="1"/>
      <c r="IE204" s="1"/>
      <c r="IR204" s="1"/>
      <c r="IS204" s="1"/>
      <c r="IZ204" s="1"/>
      <c r="JC204" s="1"/>
      <c r="JF204" s="1"/>
      <c r="JG204" s="1"/>
      <c r="JJ204" s="1"/>
      <c r="JN204" s="1"/>
      <c r="JP204" s="1"/>
      <c r="JQ204" s="1"/>
      <c r="JT204" s="1"/>
      <c r="KU204" s="1"/>
      <c r="KV204" s="1"/>
      <c r="KY204" s="1"/>
      <c r="KZ204" s="1"/>
      <c r="LA204" s="1"/>
      <c r="LB204" s="1"/>
      <c r="LC204" s="1"/>
      <c r="LD204" s="1"/>
      <c r="LO204" s="1"/>
      <c r="LP204" s="1"/>
      <c r="LZ204" s="1"/>
      <c r="MA204" s="1"/>
    </row>
    <row r="205" spans="4:339" ht="13" x14ac:dyDescent="0.15">
      <c r="D205" s="12"/>
      <c r="E205" s="12"/>
      <c r="I205" s="12"/>
      <c r="J205" s="13"/>
      <c r="BG205" s="1"/>
      <c r="BH205" s="1"/>
      <c r="BI205" s="1"/>
      <c r="BK205" s="1"/>
      <c r="BL205" s="1"/>
      <c r="BM205" s="1"/>
      <c r="BN205" s="1"/>
      <c r="BP205" s="1"/>
      <c r="BQ205" s="1"/>
      <c r="BR205" s="1"/>
      <c r="CD205" s="1"/>
      <c r="CE205" s="1"/>
      <c r="CF205" s="1"/>
      <c r="CH205" s="1"/>
      <c r="CI205" s="1"/>
      <c r="CM205" s="2"/>
      <c r="CN205" s="1"/>
      <c r="CO205" s="1"/>
      <c r="CP205" s="1"/>
      <c r="CQ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ED205" s="1"/>
      <c r="EL205" s="1"/>
      <c r="EM205" s="1"/>
      <c r="EN205" s="1"/>
      <c r="EQ205" s="1"/>
      <c r="ER205" s="1"/>
      <c r="ES205" s="1"/>
      <c r="EV205" s="1"/>
      <c r="EW205" s="1"/>
      <c r="EZ205" s="1"/>
      <c r="FA205" s="1"/>
      <c r="FD205" s="1"/>
      <c r="GD205" s="1"/>
      <c r="GE205" s="1"/>
      <c r="GF205" s="1"/>
      <c r="GG205" s="1"/>
      <c r="GH205" s="1"/>
      <c r="GI205" s="1"/>
      <c r="GP205" s="1"/>
      <c r="GV205" s="1"/>
      <c r="HH205" s="1"/>
      <c r="HY205" s="1"/>
      <c r="IE205" s="1"/>
      <c r="IM205" s="1"/>
      <c r="IR205" s="1"/>
      <c r="IS205" s="1"/>
      <c r="IZ205" s="1"/>
      <c r="JJ205" s="1"/>
      <c r="JN205" s="1"/>
      <c r="JP205" s="1"/>
      <c r="JQ205" s="1"/>
      <c r="KY205" s="1"/>
      <c r="KZ205" s="1"/>
      <c r="LA205" s="1"/>
      <c r="LB205" s="1"/>
      <c r="LZ205" s="1"/>
      <c r="MA205" s="1"/>
    </row>
    <row r="206" spans="4:339" ht="13" x14ac:dyDescent="0.15">
      <c r="D206" s="12"/>
      <c r="E206" s="12"/>
      <c r="I206" s="12"/>
      <c r="J206" s="13"/>
      <c r="BG206" s="1"/>
      <c r="BH206" s="1"/>
      <c r="BI206" s="1"/>
      <c r="BK206" s="1"/>
      <c r="BL206" s="1"/>
      <c r="BM206" s="1"/>
      <c r="BN206" s="1"/>
      <c r="BP206" s="1"/>
      <c r="BQ206" s="1"/>
      <c r="BR206" s="1"/>
      <c r="CD206" s="1"/>
      <c r="CE206" s="1"/>
      <c r="CF206" s="1"/>
      <c r="CH206" s="1"/>
      <c r="CI206" s="1"/>
      <c r="CM206" s="2"/>
      <c r="CN206" s="1"/>
      <c r="CO206" s="1"/>
      <c r="CP206" s="1"/>
      <c r="CQ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ED206" s="1"/>
      <c r="EL206" s="1"/>
      <c r="EM206" s="1"/>
      <c r="EN206" s="1"/>
      <c r="EQ206" s="1"/>
      <c r="ER206" s="1"/>
      <c r="ES206" s="1"/>
      <c r="EV206" s="1"/>
      <c r="EW206" s="1"/>
      <c r="EZ206" s="1"/>
      <c r="FA206" s="1"/>
      <c r="FD206" s="1"/>
      <c r="GD206" s="1"/>
      <c r="GE206" s="1"/>
      <c r="GF206" s="1"/>
      <c r="GG206" s="1"/>
      <c r="GH206" s="1"/>
      <c r="GI206" s="1"/>
      <c r="GP206" s="1"/>
      <c r="GV206" s="1"/>
      <c r="HH206" s="1"/>
      <c r="HY206" s="1"/>
      <c r="IE206" s="1"/>
      <c r="IM206" s="1"/>
      <c r="IR206" s="1"/>
      <c r="IS206" s="1"/>
      <c r="IZ206" s="1"/>
      <c r="JJ206" s="1"/>
      <c r="JN206" s="1"/>
      <c r="JP206" s="1"/>
      <c r="JQ206" s="1"/>
      <c r="KY206" s="1"/>
      <c r="KZ206" s="1"/>
      <c r="LA206" s="1"/>
      <c r="LB206" s="1"/>
      <c r="LZ206" s="1"/>
      <c r="MA206" s="1"/>
    </row>
    <row r="207" spans="4:339" ht="13" x14ac:dyDescent="0.15">
      <c r="D207" s="12"/>
      <c r="E207" s="12"/>
      <c r="I207" s="12"/>
      <c r="J207" s="13"/>
      <c r="BG207" s="1"/>
      <c r="BH207" s="1"/>
      <c r="BI207" s="1"/>
      <c r="BK207" s="1"/>
      <c r="BL207" s="1"/>
      <c r="BM207" s="1"/>
      <c r="BN207" s="1"/>
      <c r="BP207" s="1"/>
      <c r="BQ207" s="1"/>
      <c r="BR207" s="1"/>
      <c r="CD207" s="1"/>
      <c r="CE207" s="1"/>
      <c r="CF207" s="1"/>
      <c r="CH207" s="1"/>
      <c r="CI207" s="1"/>
      <c r="CM207" s="2"/>
      <c r="CN207" s="1"/>
      <c r="CO207" s="1"/>
      <c r="CP207" s="1"/>
      <c r="CQ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ED207" s="1"/>
      <c r="EL207" s="1"/>
      <c r="EM207" s="1"/>
      <c r="EN207" s="1"/>
      <c r="EQ207" s="1"/>
      <c r="ER207" s="1"/>
      <c r="ES207" s="1"/>
      <c r="EV207" s="1"/>
      <c r="EW207" s="1"/>
      <c r="EZ207" s="1"/>
      <c r="FA207" s="1"/>
      <c r="FD207" s="1"/>
      <c r="GD207" s="1"/>
      <c r="GE207" s="1"/>
      <c r="GF207" s="1"/>
      <c r="GG207" s="1"/>
      <c r="GH207" s="1"/>
      <c r="GI207" s="1"/>
      <c r="GP207" s="1"/>
      <c r="GV207" s="1"/>
      <c r="HH207" s="1"/>
      <c r="HY207" s="1"/>
      <c r="IE207" s="1"/>
      <c r="IM207" s="1"/>
      <c r="IR207" s="1"/>
      <c r="IS207" s="1"/>
      <c r="IZ207" s="1"/>
      <c r="JJ207" s="1"/>
      <c r="JN207" s="1"/>
      <c r="JP207" s="1"/>
      <c r="JQ207" s="1"/>
      <c r="KY207" s="1"/>
      <c r="KZ207" s="1"/>
      <c r="LA207" s="1"/>
      <c r="LB207" s="1"/>
      <c r="LZ207" s="1"/>
      <c r="MA207" s="1"/>
    </row>
    <row r="208" spans="4:339" ht="13" x14ac:dyDescent="0.15">
      <c r="D208" s="12"/>
      <c r="E208" s="12"/>
      <c r="I208" s="12"/>
      <c r="J208" s="13"/>
      <c r="BG208" s="1"/>
      <c r="BH208" s="1"/>
      <c r="BI208" s="1"/>
      <c r="BK208" s="1"/>
      <c r="BL208" s="1"/>
      <c r="BM208" s="1"/>
      <c r="BN208" s="1"/>
      <c r="BP208" s="1"/>
      <c r="BQ208" s="1"/>
      <c r="BR208" s="1"/>
      <c r="CD208" s="1"/>
      <c r="CE208" s="1"/>
      <c r="CF208" s="1"/>
      <c r="CH208" s="1"/>
      <c r="CI208" s="1"/>
      <c r="CM208" s="2"/>
      <c r="CN208" s="1"/>
      <c r="CO208" s="1"/>
      <c r="CP208" s="1"/>
      <c r="CQ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ED208" s="1"/>
      <c r="EL208" s="1"/>
      <c r="EM208" s="1"/>
      <c r="EN208" s="1"/>
      <c r="EQ208" s="1"/>
      <c r="ER208" s="1"/>
      <c r="ES208" s="1"/>
      <c r="EV208" s="1"/>
      <c r="EW208" s="1"/>
      <c r="EZ208" s="1"/>
      <c r="FA208" s="1"/>
      <c r="FD208" s="1"/>
      <c r="GD208" s="1"/>
      <c r="GE208" s="1"/>
      <c r="GF208" s="1"/>
      <c r="GG208" s="1"/>
      <c r="GH208" s="1"/>
      <c r="GI208" s="1"/>
      <c r="GP208" s="1"/>
      <c r="GV208" s="1"/>
      <c r="HH208" s="1"/>
      <c r="HY208" s="1"/>
      <c r="IE208" s="1"/>
      <c r="IM208" s="1"/>
      <c r="IR208" s="1"/>
      <c r="IS208" s="1"/>
      <c r="IZ208" s="1"/>
      <c r="JJ208" s="1"/>
      <c r="JN208" s="1"/>
      <c r="JP208" s="1"/>
      <c r="JQ208" s="1"/>
      <c r="KY208" s="1"/>
      <c r="KZ208" s="1"/>
      <c r="LA208" s="1"/>
      <c r="LB208" s="1"/>
      <c r="LZ208" s="1"/>
      <c r="MA208" s="1"/>
    </row>
    <row r="209" spans="4:339" ht="13" x14ac:dyDescent="0.15">
      <c r="D209" s="12"/>
      <c r="E209" s="12"/>
      <c r="I209" s="12"/>
      <c r="J209" s="13"/>
      <c r="BG209" s="1"/>
      <c r="BH209" s="1"/>
      <c r="BI209" s="1"/>
      <c r="BK209" s="1"/>
      <c r="BL209" s="1"/>
      <c r="BM209" s="1"/>
      <c r="BN209" s="1"/>
      <c r="BP209" s="1"/>
      <c r="BQ209" s="1"/>
      <c r="BR209" s="1"/>
      <c r="CD209" s="1"/>
      <c r="CE209" s="1"/>
      <c r="CF209" s="1"/>
      <c r="CH209" s="1"/>
      <c r="CI209" s="1"/>
      <c r="CM209" s="2"/>
      <c r="CN209" s="1"/>
      <c r="CO209" s="1"/>
      <c r="CP209" s="1"/>
      <c r="CQ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ED209" s="1"/>
      <c r="EL209" s="1"/>
      <c r="EM209" s="1"/>
      <c r="EN209" s="1"/>
      <c r="EQ209" s="1"/>
      <c r="ER209" s="1"/>
      <c r="ES209" s="1"/>
      <c r="EV209" s="1"/>
      <c r="EW209" s="1"/>
      <c r="EZ209" s="1"/>
      <c r="FA209" s="1"/>
      <c r="FD209" s="1"/>
      <c r="GD209" s="1"/>
      <c r="GE209" s="1"/>
      <c r="GF209" s="1"/>
      <c r="GG209" s="1"/>
      <c r="GH209" s="1"/>
      <c r="GI209" s="1"/>
      <c r="GP209" s="1"/>
      <c r="GV209" s="1"/>
      <c r="HH209" s="1"/>
      <c r="HY209" s="1"/>
      <c r="IE209" s="1"/>
      <c r="IM209" s="1"/>
      <c r="IR209" s="1"/>
      <c r="IS209" s="1"/>
      <c r="IZ209" s="1"/>
      <c r="JJ209" s="1"/>
      <c r="JN209" s="1"/>
      <c r="JP209" s="1"/>
      <c r="JQ209" s="1"/>
      <c r="KY209" s="1"/>
      <c r="KZ209" s="1"/>
      <c r="LA209" s="1"/>
      <c r="LB209" s="1"/>
      <c r="LZ209" s="1"/>
      <c r="MA209" s="1"/>
    </row>
    <row r="210" spans="4:339" ht="13" x14ac:dyDescent="0.15">
      <c r="D210" s="12"/>
      <c r="E210" s="12"/>
      <c r="I210" s="12"/>
      <c r="J210" s="13"/>
      <c r="BG210" s="1"/>
      <c r="BH210" s="1"/>
      <c r="BI210" s="1"/>
      <c r="BK210" s="1"/>
      <c r="BL210" s="1"/>
      <c r="BM210" s="1"/>
      <c r="BN210" s="1"/>
      <c r="BP210" s="1"/>
      <c r="BQ210" s="1"/>
      <c r="BR210" s="1"/>
      <c r="CD210" s="1"/>
      <c r="CE210" s="1"/>
      <c r="CF210" s="1"/>
      <c r="CH210" s="1"/>
      <c r="CI210" s="1"/>
      <c r="CM210" s="2"/>
      <c r="CN210" s="1"/>
      <c r="CO210" s="1"/>
      <c r="CP210" s="1"/>
      <c r="CQ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ED210" s="1"/>
      <c r="EL210" s="1"/>
      <c r="EM210" s="1"/>
      <c r="EN210" s="1"/>
      <c r="EQ210" s="1"/>
      <c r="ER210" s="1"/>
      <c r="ES210" s="1"/>
      <c r="EV210" s="1"/>
      <c r="EW210" s="1"/>
      <c r="EZ210" s="1"/>
      <c r="FA210" s="1"/>
      <c r="FD210" s="1"/>
      <c r="GD210" s="1"/>
      <c r="GE210" s="1"/>
      <c r="GF210" s="1"/>
      <c r="GG210" s="1"/>
      <c r="GH210" s="1"/>
      <c r="GI210" s="1"/>
      <c r="GP210" s="1"/>
      <c r="GV210" s="1"/>
      <c r="HH210" s="1"/>
      <c r="HY210" s="1"/>
      <c r="IE210" s="1"/>
      <c r="IM210" s="1"/>
      <c r="IR210" s="1"/>
      <c r="IS210" s="1"/>
      <c r="IZ210" s="1"/>
      <c r="JJ210" s="1"/>
      <c r="JN210" s="1"/>
      <c r="JP210" s="1"/>
      <c r="JQ210" s="1"/>
      <c r="KY210" s="1"/>
      <c r="KZ210" s="1"/>
      <c r="LA210" s="1"/>
      <c r="LB210" s="1"/>
      <c r="LZ210" s="1"/>
      <c r="MA210" s="1"/>
    </row>
    <row r="211" spans="4:339" ht="13" x14ac:dyDescent="0.15">
      <c r="D211" s="12"/>
      <c r="E211" s="12"/>
      <c r="I211" s="12"/>
      <c r="J211" s="13"/>
      <c r="BG211" s="1"/>
      <c r="BH211" s="1"/>
      <c r="BI211" s="1"/>
      <c r="BK211" s="1"/>
      <c r="BL211" s="1"/>
      <c r="BM211" s="1"/>
      <c r="BN211" s="1"/>
      <c r="BP211" s="1"/>
      <c r="BQ211" s="1"/>
      <c r="BR211" s="1"/>
      <c r="CD211" s="1"/>
      <c r="CE211" s="1"/>
      <c r="CF211" s="1"/>
      <c r="CH211" s="1"/>
      <c r="CI211" s="1"/>
      <c r="CM211" s="2"/>
      <c r="CN211" s="1"/>
      <c r="CO211" s="1"/>
      <c r="CP211" s="1"/>
      <c r="CQ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ED211" s="1"/>
      <c r="EL211" s="1"/>
      <c r="EM211" s="1"/>
      <c r="EN211" s="1"/>
      <c r="EQ211" s="1"/>
      <c r="ER211" s="1"/>
      <c r="ES211" s="1"/>
      <c r="EV211" s="1"/>
      <c r="EW211" s="1"/>
      <c r="EZ211" s="1"/>
      <c r="FA211" s="1"/>
      <c r="FD211" s="1"/>
      <c r="GD211" s="1"/>
      <c r="GE211" s="1"/>
      <c r="GF211" s="1"/>
      <c r="GG211" s="1"/>
      <c r="GH211" s="1"/>
      <c r="GI211" s="1"/>
      <c r="GP211" s="1"/>
      <c r="GV211" s="1"/>
      <c r="HH211" s="1"/>
      <c r="HY211" s="1"/>
      <c r="IE211" s="1"/>
      <c r="IM211" s="1"/>
      <c r="IR211" s="1"/>
      <c r="IS211" s="1"/>
      <c r="IZ211" s="1"/>
      <c r="JJ211" s="1"/>
      <c r="JN211" s="1"/>
      <c r="JP211" s="1"/>
      <c r="JQ211" s="1"/>
      <c r="KY211" s="1"/>
      <c r="KZ211" s="1"/>
      <c r="LA211" s="1"/>
      <c r="LB211" s="1"/>
      <c r="LZ211" s="1"/>
      <c r="MA211" s="1"/>
    </row>
    <row r="212" spans="4:339" ht="13" x14ac:dyDescent="0.15">
      <c r="D212" s="12"/>
      <c r="E212" s="12"/>
      <c r="I212" s="12"/>
      <c r="J212" s="13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X212" s="1"/>
      <c r="CD212" s="1"/>
      <c r="CE212" s="1"/>
      <c r="CF212" s="1"/>
      <c r="CG212" s="1"/>
      <c r="CH212" s="1"/>
      <c r="CI212" s="1"/>
      <c r="CM212" s="2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M212" s="1"/>
      <c r="DQ212" s="1"/>
      <c r="DR212" s="1"/>
      <c r="DY212" s="1"/>
      <c r="DZ212" s="1"/>
      <c r="ED212" s="1"/>
      <c r="EF212" s="1"/>
      <c r="EK212" s="1"/>
      <c r="EL212" s="1"/>
      <c r="EM212" s="1"/>
      <c r="EN212" s="1"/>
      <c r="EQ212" s="1"/>
      <c r="ER212" s="1"/>
      <c r="ES212" s="1"/>
      <c r="EV212" s="1"/>
      <c r="EW212" s="1"/>
      <c r="EZ212" s="1"/>
      <c r="FA212" s="1"/>
      <c r="FD212" s="1"/>
      <c r="FG212" s="1"/>
      <c r="FH212" s="1"/>
      <c r="FI212" s="1"/>
      <c r="FJ212" s="1"/>
      <c r="FL212" s="1"/>
      <c r="FM212" s="1"/>
      <c r="FN212" s="1"/>
      <c r="FO212" s="1"/>
      <c r="FP212" s="1"/>
      <c r="FQ212" s="1"/>
      <c r="FR212" s="1"/>
      <c r="FS212" s="1"/>
      <c r="FT212" s="1"/>
      <c r="FU212" s="1"/>
      <c r="FV212" s="1"/>
      <c r="FW212" s="1"/>
      <c r="FX212" s="1"/>
      <c r="FY212" s="1"/>
      <c r="FZ212" s="1"/>
      <c r="GA212" s="1"/>
      <c r="GB212" s="1"/>
      <c r="GD212" s="1"/>
      <c r="GE212" s="1"/>
      <c r="GF212" s="1"/>
      <c r="GG212" s="1"/>
      <c r="GH212" s="1"/>
      <c r="GI212" s="1"/>
      <c r="GJ212" s="1"/>
      <c r="GK212" s="1"/>
      <c r="GL212" s="1"/>
      <c r="GM212" s="1"/>
      <c r="GN212" s="1"/>
      <c r="GO212" s="1"/>
      <c r="GP212" s="1"/>
      <c r="GR212" s="1"/>
      <c r="GY212" s="1"/>
      <c r="HF212" s="1"/>
      <c r="HH212" s="1"/>
      <c r="HN212" s="1"/>
      <c r="HQ212" s="1"/>
      <c r="HT212" s="1"/>
      <c r="HY212" s="1"/>
      <c r="ID212" s="1"/>
      <c r="IE212" s="1"/>
      <c r="IG212" s="1"/>
      <c r="IR212" s="1"/>
      <c r="IS212" s="1"/>
      <c r="IZ212" s="1"/>
      <c r="JF212" s="1"/>
      <c r="JG212" s="1"/>
      <c r="JJ212" s="1"/>
      <c r="JK212" s="1"/>
      <c r="JL212" s="3"/>
      <c r="JM212" s="1"/>
      <c r="JN212" s="1"/>
      <c r="JP212" s="1"/>
      <c r="JQ212" s="1"/>
      <c r="JR212" s="1"/>
      <c r="JT212" s="1"/>
      <c r="KU212" s="1"/>
      <c r="KV212" s="1"/>
      <c r="KY212" s="1"/>
      <c r="KZ212" s="1"/>
      <c r="LA212" s="1"/>
      <c r="LB212" s="1"/>
      <c r="LC212" s="1"/>
      <c r="LD212" s="1"/>
      <c r="LO212" s="1"/>
      <c r="LP212" s="1"/>
      <c r="LZ212" s="1"/>
      <c r="MA212" s="1"/>
    </row>
    <row r="213" spans="4:339" ht="13" x14ac:dyDescent="0.15">
      <c r="D213" s="12"/>
      <c r="E213" s="12"/>
      <c r="I213" s="12"/>
      <c r="J213" s="13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X213" s="1"/>
      <c r="CD213" s="1"/>
      <c r="CE213" s="1"/>
      <c r="CF213" s="1"/>
      <c r="CG213" s="1"/>
      <c r="CH213" s="1"/>
      <c r="CI213" s="1"/>
      <c r="CM213" s="2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M213" s="1"/>
      <c r="DQ213" s="1"/>
      <c r="DR213" s="1"/>
      <c r="DY213" s="1"/>
      <c r="DZ213" s="1"/>
      <c r="ED213" s="1"/>
      <c r="EF213" s="1"/>
      <c r="EK213" s="1"/>
      <c r="EL213" s="1"/>
      <c r="EM213" s="1"/>
      <c r="EN213" s="1"/>
      <c r="EQ213" s="1"/>
      <c r="ER213" s="1"/>
      <c r="ES213" s="1"/>
      <c r="EV213" s="1"/>
      <c r="EW213" s="1"/>
      <c r="EZ213" s="1"/>
      <c r="FA213" s="1"/>
      <c r="FD213" s="1"/>
      <c r="FG213" s="1"/>
      <c r="FH213" s="1"/>
      <c r="FI213" s="1"/>
      <c r="FJ213" s="1"/>
      <c r="FL213" s="1"/>
      <c r="FM213" s="1"/>
      <c r="FN213" s="1"/>
      <c r="FO213" s="1"/>
      <c r="FP213" s="1"/>
      <c r="FQ213" s="1"/>
      <c r="FR213" s="1"/>
      <c r="FS213" s="1"/>
      <c r="FT213" s="1"/>
      <c r="FU213" s="1"/>
      <c r="FV213" s="1"/>
      <c r="FW213" s="1"/>
      <c r="FX213" s="1"/>
      <c r="FY213" s="1"/>
      <c r="FZ213" s="1"/>
      <c r="GA213" s="1"/>
      <c r="GB213" s="1"/>
      <c r="GD213" s="1"/>
      <c r="GE213" s="1"/>
      <c r="GF213" s="1"/>
      <c r="GG213" s="1"/>
      <c r="GH213" s="1"/>
      <c r="GI213" s="1"/>
      <c r="GJ213" s="1"/>
      <c r="GK213" s="1"/>
      <c r="GL213" s="1"/>
      <c r="GM213" s="1"/>
      <c r="GN213" s="1"/>
      <c r="GO213" s="1"/>
      <c r="GP213" s="1"/>
      <c r="GR213" s="1"/>
      <c r="GY213" s="1"/>
      <c r="HF213" s="1"/>
      <c r="HH213" s="1"/>
      <c r="HN213" s="1"/>
      <c r="HQ213" s="1"/>
      <c r="HT213" s="1"/>
      <c r="HY213" s="1"/>
      <c r="ID213" s="1"/>
      <c r="IE213" s="1"/>
      <c r="IG213" s="1"/>
      <c r="IR213" s="1"/>
      <c r="IS213" s="1"/>
      <c r="IZ213" s="1"/>
      <c r="JF213" s="1"/>
      <c r="JG213" s="1"/>
      <c r="JJ213" s="1"/>
      <c r="JK213" s="1"/>
      <c r="JL213" s="3"/>
      <c r="JM213" s="1"/>
      <c r="JN213" s="1"/>
      <c r="JP213" s="1"/>
      <c r="JQ213" s="1"/>
      <c r="JR213" s="1"/>
      <c r="JT213" s="1"/>
      <c r="KU213" s="1"/>
      <c r="KV213" s="1"/>
      <c r="KY213" s="1"/>
      <c r="KZ213" s="1"/>
      <c r="LA213" s="1"/>
      <c r="LB213" s="1"/>
      <c r="LC213" s="1"/>
      <c r="LD213" s="1"/>
      <c r="LO213" s="1"/>
      <c r="LP213" s="1"/>
      <c r="LZ213" s="1"/>
      <c r="MA213" s="1"/>
    </row>
    <row r="214" spans="4:339" ht="13" x14ac:dyDescent="0.15">
      <c r="D214" s="12"/>
      <c r="E214" s="12"/>
      <c r="I214" s="12"/>
      <c r="J214" s="13"/>
      <c r="BG214" s="1"/>
      <c r="BH214" s="1"/>
      <c r="BI214" s="1"/>
      <c r="BK214" s="1"/>
      <c r="BL214" s="1"/>
      <c r="BM214" s="1"/>
      <c r="BN214" s="1"/>
      <c r="BO214" s="1"/>
      <c r="BP214" s="1"/>
      <c r="BQ214" s="1"/>
      <c r="BR214" s="1"/>
      <c r="CD214" s="1"/>
      <c r="CE214" s="1"/>
      <c r="CF214" s="1"/>
      <c r="CG214" s="1"/>
      <c r="CH214" s="1"/>
      <c r="CI214" s="1"/>
      <c r="CM214" s="2"/>
      <c r="CN214" s="1"/>
      <c r="CO214" s="1"/>
      <c r="CP214" s="1"/>
      <c r="CQ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ED214" s="1"/>
      <c r="EK214" s="1"/>
      <c r="EL214" s="1"/>
      <c r="EM214" s="1"/>
      <c r="EN214" s="1"/>
      <c r="EQ214" s="1"/>
      <c r="ER214" s="1"/>
      <c r="ES214" s="1"/>
      <c r="EV214" s="1"/>
      <c r="EW214" s="1"/>
      <c r="EZ214" s="1"/>
      <c r="FA214" s="1"/>
      <c r="FD214" s="1"/>
      <c r="FG214" s="1"/>
      <c r="FH214" s="1"/>
      <c r="FI214" s="1"/>
      <c r="FJ214" s="1"/>
      <c r="FK214" s="1"/>
      <c r="FM214" s="1"/>
      <c r="FN214" s="1"/>
      <c r="FO214" s="1"/>
      <c r="FP214" s="1"/>
      <c r="FQ214" s="1"/>
      <c r="FR214" s="1"/>
      <c r="FS214" s="1"/>
      <c r="FT214" s="1"/>
      <c r="FU214" s="1"/>
      <c r="FV214" s="1"/>
      <c r="FW214" s="1"/>
      <c r="FX214" s="1"/>
      <c r="FY214" s="1"/>
      <c r="FZ214" s="1"/>
      <c r="GA214" s="1"/>
      <c r="GD214" s="1"/>
      <c r="GE214" s="1"/>
      <c r="GF214" s="1"/>
      <c r="GG214" s="1"/>
      <c r="GH214" s="1"/>
      <c r="GI214" s="1"/>
      <c r="GJ214" s="1"/>
      <c r="GM214" s="1"/>
      <c r="GN214" s="1"/>
      <c r="GP214" s="1"/>
      <c r="GR214" s="1"/>
      <c r="GV214" s="1"/>
      <c r="HE214" s="1"/>
      <c r="HT214" s="1"/>
      <c r="HY214" s="1"/>
      <c r="IE214" s="1"/>
      <c r="IG214" s="1"/>
      <c r="IR214" s="1"/>
      <c r="IS214" s="1"/>
      <c r="IW214" s="1"/>
      <c r="IZ214" s="1"/>
      <c r="JG214" s="1"/>
      <c r="JJ214" s="1"/>
      <c r="JK214" s="1"/>
      <c r="JL214" s="3"/>
      <c r="JM214" s="1"/>
      <c r="JN214" s="1"/>
      <c r="JP214" s="1"/>
      <c r="JQ214" s="1"/>
      <c r="JR214" s="1"/>
      <c r="JS214" s="1"/>
      <c r="KY214" s="1"/>
      <c r="KZ214" s="1"/>
      <c r="LA214" s="1"/>
      <c r="LB214" s="1"/>
      <c r="LC214" s="1"/>
      <c r="LD214" s="1"/>
      <c r="LO214" s="1"/>
      <c r="LP214" s="1"/>
      <c r="LZ214" s="1"/>
      <c r="MA214" s="1"/>
    </row>
    <row r="215" spans="4:339" ht="13" x14ac:dyDescent="0.15">
      <c r="D215" s="12"/>
      <c r="E215" s="12"/>
      <c r="I215" s="12"/>
      <c r="J215" s="13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Q215" s="1"/>
      <c r="BR215" s="1"/>
      <c r="CD215" s="1"/>
      <c r="CE215" s="1"/>
      <c r="CF215" s="1"/>
      <c r="CG215" s="1"/>
      <c r="CH215" s="1"/>
      <c r="CI215" s="1"/>
      <c r="CM215" s="2"/>
      <c r="CN215" s="1"/>
      <c r="CO215" s="1"/>
      <c r="CQ215" s="1"/>
      <c r="CY215" s="1"/>
      <c r="DC215" s="1"/>
      <c r="DH215" s="1"/>
      <c r="DM215" s="1"/>
      <c r="DR215" s="1"/>
      <c r="ED215" s="1"/>
      <c r="EF215" s="1"/>
      <c r="EL215" s="1"/>
      <c r="EM215" s="1"/>
      <c r="EN215" s="1"/>
      <c r="EQ215" s="1"/>
      <c r="ER215" s="1"/>
      <c r="ES215" s="1"/>
      <c r="EV215" s="1"/>
      <c r="EW215" s="1"/>
      <c r="EZ215" s="1"/>
      <c r="FA215" s="1"/>
      <c r="FD215" s="1"/>
      <c r="FG215" s="1"/>
      <c r="FH215" s="1"/>
      <c r="FI215" s="1"/>
      <c r="FJ215" s="1"/>
      <c r="FM215" s="1"/>
      <c r="FN215" s="1"/>
      <c r="FO215" s="1"/>
      <c r="FP215" s="1"/>
      <c r="FS215" s="1"/>
      <c r="FT215" s="1"/>
      <c r="FU215" s="1"/>
      <c r="FV215" s="1"/>
      <c r="FW215" s="1"/>
      <c r="FX215" s="1"/>
      <c r="FY215" s="1"/>
      <c r="FZ215" s="1"/>
      <c r="GA215" s="1"/>
      <c r="GD215" s="1"/>
      <c r="GE215" s="1"/>
      <c r="GF215" s="1"/>
      <c r="GG215" s="1"/>
      <c r="GH215" s="1"/>
      <c r="GI215" s="1"/>
      <c r="GJ215" s="1"/>
      <c r="GK215" s="1"/>
      <c r="GL215" s="1"/>
      <c r="GM215" s="1"/>
      <c r="GN215" s="1"/>
      <c r="GP215" s="1"/>
      <c r="GQ215" s="1"/>
      <c r="GR215" s="1"/>
      <c r="GS215" s="1"/>
      <c r="GY215" s="1"/>
      <c r="HF215" s="1"/>
      <c r="HY215" s="1"/>
      <c r="IC215" s="1"/>
      <c r="IR215" s="1"/>
      <c r="IS215" s="1"/>
      <c r="IW215" s="1"/>
      <c r="IZ215" s="1"/>
      <c r="JA215" s="1"/>
      <c r="JC215" s="1"/>
      <c r="JJ215" s="1"/>
      <c r="JN215" s="1"/>
      <c r="JP215" s="1"/>
      <c r="JQ215" s="1"/>
      <c r="KU215" s="1"/>
      <c r="KV215" s="1"/>
      <c r="KZ215" s="1"/>
      <c r="LA215" s="1"/>
      <c r="LC215" s="1"/>
      <c r="LO215" s="1"/>
      <c r="LZ215" s="1"/>
      <c r="MA215" s="1"/>
    </row>
    <row r="216" spans="4:339" ht="13" x14ac:dyDescent="0.15">
      <c r="D216" s="12"/>
      <c r="E216" s="12"/>
      <c r="I216" s="12"/>
      <c r="J216" s="13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Q216" s="1"/>
      <c r="BR216" s="1"/>
      <c r="CD216" s="1"/>
      <c r="CE216" s="1"/>
      <c r="CF216" s="1"/>
      <c r="CG216" s="1"/>
      <c r="CH216" s="1"/>
      <c r="CI216" s="1"/>
      <c r="CM216" s="2"/>
      <c r="CN216" s="1"/>
      <c r="CO216" s="1"/>
      <c r="CQ216" s="1"/>
      <c r="CY216" s="1"/>
      <c r="DC216" s="1"/>
      <c r="DH216" s="1"/>
      <c r="DM216" s="1"/>
      <c r="DR216" s="1"/>
      <c r="ED216" s="1"/>
      <c r="EF216" s="1"/>
      <c r="EL216" s="1"/>
      <c r="EM216" s="1"/>
      <c r="EN216" s="1"/>
      <c r="EQ216" s="1"/>
      <c r="ER216" s="1"/>
      <c r="ES216" s="1"/>
      <c r="EV216" s="1"/>
      <c r="EW216" s="1"/>
      <c r="EZ216" s="1"/>
      <c r="FA216" s="1"/>
      <c r="FD216" s="1"/>
      <c r="FG216" s="1"/>
      <c r="FH216" s="1"/>
      <c r="FI216" s="1"/>
      <c r="FJ216" s="1"/>
      <c r="FM216" s="1"/>
      <c r="FN216" s="1"/>
      <c r="FO216" s="1"/>
      <c r="FP216" s="1"/>
      <c r="FS216" s="1"/>
      <c r="FT216" s="1"/>
      <c r="FU216" s="1"/>
      <c r="FV216" s="1"/>
      <c r="FW216" s="1"/>
      <c r="FX216" s="1"/>
      <c r="FY216" s="1"/>
      <c r="FZ216" s="1"/>
      <c r="GA216" s="1"/>
      <c r="GD216" s="1"/>
      <c r="GE216" s="1"/>
      <c r="GF216" s="1"/>
      <c r="GG216" s="1"/>
      <c r="GH216" s="1"/>
      <c r="GI216" s="1"/>
      <c r="GJ216" s="1"/>
      <c r="GK216" s="1"/>
      <c r="GL216" s="1"/>
      <c r="GM216" s="1"/>
      <c r="GN216" s="1"/>
      <c r="GP216" s="1"/>
      <c r="GQ216" s="1"/>
      <c r="GR216" s="1"/>
      <c r="GS216" s="1"/>
      <c r="GY216" s="1"/>
      <c r="HF216" s="1"/>
      <c r="HY216" s="1"/>
      <c r="IC216" s="1"/>
      <c r="IR216" s="1"/>
      <c r="IS216" s="1"/>
      <c r="IW216" s="1"/>
      <c r="IZ216" s="1"/>
      <c r="JA216" s="1"/>
      <c r="JC216" s="1"/>
      <c r="JJ216" s="1"/>
      <c r="JN216" s="1"/>
      <c r="JP216" s="1"/>
      <c r="JQ216" s="1"/>
      <c r="KU216" s="1"/>
      <c r="KV216" s="1"/>
      <c r="KZ216" s="1"/>
      <c r="LA216" s="1"/>
      <c r="LC216" s="1"/>
      <c r="LO216" s="1"/>
      <c r="LZ216" s="1"/>
      <c r="MA216" s="1"/>
    </row>
    <row r="217" spans="4:339" ht="13" x14ac:dyDescent="0.15">
      <c r="D217" s="12"/>
      <c r="E217" s="12"/>
      <c r="I217" s="12"/>
      <c r="J217" s="13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X217" s="1"/>
      <c r="CD217" s="1"/>
      <c r="CE217" s="1"/>
      <c r="CF217" s="1"/>
      <c r="CG217" s="1"/>
      <c r="CH217" s="1"/>
      <c r="CI217" s="1"/>
      <c r="CM217" s="2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M217" s="1"/>
      <c r="DQ217" s="1"/>
      <c r="DR217" s="1"/>
      <c r="DY217" s="1"/>
      <c r="DZ217" s="1"/>
      <c r="ED217" s="1"/>
      <c r="EF217" s="1"/>
      <c r="EK217" s="1"/>
      <c r="EL217" s="1"/>
      <c r="EM217" s="1"/>
      <c r="EN217" s="1"/>
      <c r="EQ217" s="1"/>
      <c r="ER217" s="1"/>
      <c r="ES217" s="1"/>
      <c r="EV217" s="1"/>
      <c r="EW217" s="1"/>
      <c r="EZ217" s="1"/>
      <c r="FA217" s="1"/>
      <c r="FD217" s="1"/>
      <c r="FG217" s="1"/>
      <c r="FH217" s="1"/>
      <c r="FI217" s="1"/>
      <c r="FJ217" s="1"/>
      <c r="FK217" s="1"/>
      <c r="FL217" s="1"/>
      <c r="FM217" s="1"/>
      <c r="FN217" s="1"/>
      <c r="FO217" s="1"/>
      <c r="FP217" s="1"/>
      <c r="FQ217" s="1"/>
      <c r="FR217" s="1"/>
      <c r="FS217" s="1"/>
      <c r="FT217" s="1"/>
      <c r="FU217" s="1"/>
      <c r="FV217" s="1"/>
      <c r="FW217" s="1"/>
      <c r="FX217" s="1"/>
      <c r="FY217" s="1"/>
      <c r="FZ217" s="1"/>
      <c r="GA217" s="1"/>
      <c r="GB217" s="1"/>
      <c r="GD217" s="1"/>
      <c r="GE217" s="1"/>
      <c r="GF217" s="1"/>
      <c r="GG217" s="1"/>
      <c r="GH217" s="1"/>
      <c r="GI217" s="1"/>
      <c r="GJ217" s="1"/>
      <c r="GK217" s="1"/>
      <c r="GL217" s="1"/>
      <c r="GM217" s="1"/>
      <c r="GN217" s="1"/>
      <c r="GO217" s="1"/>
      <c r="GP217" s="1"/>
      <c r="GR217" s="1"/>
      <c r="GY217" s="1"/>
      <c r="HF217" s="1"/>
      <c r="HH217" s="1"/>
      <c r="HQ217" s="1"/>
      <c r="HR217" s="1"/>
      <c r="HS217" s="1"/>
      <c r="HT217" s="1"/>
      <c r="HY217" s="1"/>
      <c r="IC217" s="1"/>
      <c r="IE217" s="1"/>
      <c r="IR217" s="1"/>
      <c r="IS217" s="1"/>
      <c r="IW217" s="1"/>
      <c r="IZ217" s="1"/>
      <c r="JA217" s="1"/>
      <c r="JF217" s="1"/>
      <c r="JG217" s="1"/>
      <c r="JH217" s="1"/>
      <c r="JI217" s="1"/>
      <c r="JJ217" s="1"/>
      <c r="JN217" s="1"/>
      <c r="JP217" s="1"/>
      <c r="JQ217" s="1"/>
      <c r="JT217" s="1"/>
      <c r="KU217" s="1"/>
      <c r="KV217" s="1"/>
      <c r="KY217" s="1"/>
      <c r="KZ217" s="1"/>
      <c r="LA217" s="1"/>
      <c r="LB217" s="1"/>
      <c r="LC217" s="1"/>
      <c r="LD217" s="1"/>
      <c r="LO217" s="1"/>
      <c r="LP217" s="1"/>
      <c r="LZ217" s="1"/>
      <c r="MA217" s="1"/>
    </row>
    <row r="218" spans="4:339" ht="13" x14ac:dyDescent="0.15">
      <c r="D218" s="12"/>
      <c r="E218" s="12"/>
      <c r="I218" s="12"/>
      <c r="J218" s="13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X218" s="1"/>
      <c r="CD218" s="1"/>
      <c r="CE218" s="1"/>
      <c r="CF218" s="1"/>
      <c r="CG218" s="1"/>
      <c r="CH218" s="1"/>
      <c r="CI218" s="1"/>
      <c r="CM218" s="2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M218" s="1"/>
      <c r="DQ218" s="1"/>
      <c r="DR218" s="1"/>
      <c r="DY218" s="1"/>
      <c r="DZ218" s="1"/>
      <c r="ED218" s="1"/>
      <c r="EF218" s="1"/>
      <c r="EK218" s="1"/>
      <c r="EL218" s="1"/>
      <c r="EM218" s="1"/>
      <c r="EN218" s="1"/>
      <c r="EQ218" s="1"/>
      <c r="ER218" s="1"/>
      <c r="ES218" s="1"/>
      <c r="EV218" s="1"/>
      <c r="EW218" s="1"/>
      <c r="EZ218" s="1"/>
      <c r="FA218" s="1"/>
      <c r="FD218" s="1"/>
      <c r="FG218" s="1"/>
      <c r="FH218" s="1"/>
      <c r="FI218" s="1"/>
      <c r="FJ218" s="1"/>
      <c r="FK218" s="1"/>
      <c r="FL218" s="1"/>
      <c r="FM218" s="1"/>
      <c r="FN218" s="1"/>
      <c r="FO218" s="1"/>
      <c r="FP218" s="1"/>
      <c r="FQ218" s="1"/>
      <c r="FR218" s="1"/>
      <c r="FS218" s="1"/>
      <c r="FT218" s="1"/>
      <c r="FU218" s="1"/>
      <c r="FV218" s="1"/>
      <c r="FW218" s="1"/>
      <c r="FX218" s="1"/>
      <c r="FY218" s="1"/>
      <c r="FZ218" s="1"/>
      <c r="GA218" s="1"/>
      <c r="GB218" s="1"/>
      <c r="GD218" s="1"/>
      <c r="GE218" s="1"/>
      <c r="GF218" s="1"/>
      <c r="GG218" s="1"/>
      <c r="GH218" s="1"/>
      <c r="GI218" s="1"/>
      <c r="GJ218" s="1"/>
      <c r="GK218" s="1"/>
      <c r="GL218" s="1"/>
      <c r="GM218" s="1"/>
      <c r="GN218" s="1"/>
      <c r="GO218" s="1"/>
      <c r="GP218" s="1"/>
      <c r="GR218" s="1"/>
      <c r="GY218" s="1"/>
      <c r="HF218" s="1"/>
      <c r="HH218" s="1"/>
      <c r="HQ218" s="1"/>
      <c r="HR218" s="1"/>
      <c r="HS218" s="1"/>
      <c r="HT218" s="1"/>
      <c r="HY218" s="1"/>
      <c r="IC218" s="1"/>
      <c r="IE218" s="1"/>
      <c r="IR218" s="1"/>
      <c r="IS218" s="1"/>
      <c r="IW218" s="1"/>
      <c r="IZ218" s="1"/>
      <c r="JA218" s="1"/>
      <c r="JF218" s="1"/>
      <c r="JG218" s="1"/>
      <c r="JH218" s="1"/>
      <c r="JI218" s="1"/>
      <c r="JJ218" s="1"/>
      <c r="JN218" s="1"/>
      <c r="JP218" s="1"/>
      <c r="JQ218" s="1"/>
      <c r="JT218" s="1"/>
      <c r="KU218" s="1"/>
      <c r="KV218" s="1"/>
      <c r="KY218" s="1"/>
      <c r="KZ218" s="1"/>
      <c r="LA218" s="1"/>
      <c r="LB218" s="1"/>
      <c r="LC218" s="1"/>
      <c r="LD218" s="1"/>
      <c r="LO218" s="1"/>
      <c r="LP218" s="1"/>
      <c r="LZ218" s="1"/>
      <c r="MA218" s="1"/>
    </row>
    <row r="219" spans="4:339" ht="13" x14ac:dyDescent="0.15">
      <c r="D219" s="12"/>
      <c r="E219" s="12"/>
      <c r="I219" s="12"/>
      <c r="J219" s="13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X219" s="1"/>
      <c r="CD219" s="1"/>
      <c r="CE219" s="1"/>
      <c r="CF219" s="1"/>
      <c r="CG219" s="1"/>
      <c r="CH219" s="1"/>
      <c r="CI219" s="1"/>
      <c r="CM219" s="2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M219" s="1"/>
      <c r="DQ219" s="1"/>
      <c r="DR219" s="1"/>
      <c r="DY219" s="1"/>
      <c r="DZ219" s="1"/>
      <c r="ED219" s="1"/>
      <c r="EF219" s="1"/>
      <c r="EK219" s="1"/>
      <c r="EL219" s="1"/>
      <c r="EM219" s="1"/>
      <c r="EN219" s="1"/>
      <c r="EQ219" s="1"/>
      <c r="ER219" s="1"/>
      <c r="ES219" s="1"/>
      <c r="EV219" s="1"/>
      <c r="EW219" s="1"/>
      <c r="EZ219" s="1"/>
      <c r="FA219" s="1"/>
      <c r="FD219" s="1"/>
      <c r="FG219" s="1"/>
      <c r="FH219" s="1"/>
      <c r="FI219" s="1"/>
      <c r="FJ219" s="1"/>
      <c r="FK219" s="1"/>
      <c r="FL219" s="1"/>
      <c r="FM219" s="1"/>
      <c r="FN219" s="1"/>
      <c r="FO219" s="1"/>
      <c r="FP219" s="1"/>
      <c r="FQ219" s="1"/>
      <c r="FR219" s="1"/>
      <c r="FS219" s="1"/>
      <c r="FT219" s="1"/>
      <c r="FU219" s="1"/>
      <c r="FV219" s="1"/>
      <c r="FW219" s="1"/>
      <c r="FX219" s="1"/>
      <c r="FY219" s="1"/>
      <c r="FZ219" s="1"/>
      <c r="GA219" s="1"/>
      <c r="GB219" s="1"/>
      <c r="GD219" s="1"/>
      <c r="GE219" s="1"/>
      <c r="GF219" s="1"/>
      <c r="GG219" s="1"/>
      <c r="GH219" s="1"/>
      <c r="GI219" s="1"/>
      <c r="GJ219" s="1"/>
      <c r="GK219" s="1"/>
      <c r="GL219" s="1"/>
      <c r="GM219" s="1"/>
      <c r="GN219" s="1"/>
      <c r="GO219" s="1"/>
      <c r="GP219" s="1"/>
      <c r="GR219" s="1"/>
      <c r="GY219" s="1"/>
      <c r="HF219" s="1"/>
      <c r="HH219" s="1"/>
      <c r="HQ219" s="1"/>
      <c r="HR219" s="1"/>
      <c r="HS219" s="1"/>
      <c r="HT219" s="1"/>
      <c r="HY219" s="1"/>
      <c r="IC219" s="1"/>
      <c r="IE219" s="1"/>
      <c r="IR219" s="1"/>
      <c r="IS219" s="1"/>
      <c r="IW219" s="1"/>
      <c r="IZ219" s="1"/>
      <c r="JA219" s="1"/>
      <c r="JF219" s="1"/>
      <c r="JG219" s="1"/>
      <c r="JH219" s="1"/>
      <c r="JI219" s="1"/>
      <c r="JJ219" s="1"/>
      <c r="JN219" s="1"/>
      <c r="JP219" s="1"/>
      <c r="JQ219" s="1"/>
      <c r="JT219" s="1"/>
      <c r="KU219" s="1"/>
      <c r="KV219" s="1"/>
      <c r="KY219" s="1"/>
      <c r="KZ219" s="1"/>
      <c r="LA219" s="1"/>
      <c r="LB219" s="1"/>
      <c r="LC219" s="1"/>
      <c r="LD219" s="1"/>
      <c r="LO219" s="1"/>
      <c r="LP219" s="1"/>
      <c r="LZ219" s="1"/>
      <c r="MA219" s="1"/>
    </row>
    <row r="220" spans="4:339" ht="13" x14ac:dyDescent="0.15">
      <c r="D220" s="12"/>
      <c r="E220" s="12"/>
      <c r="I220" s="12"/>
      <c r="J220" s="13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X220" s="1"/>
      <c r="CD220" s="1"/>
      <c r="CE220" s="1"/>
      <c r="CF220" s="1"/>
      <c r="CG220" s="1"/>
      <c r="CH220" s="1"/>
      <c r="CI220" s="1"/>
      <c r="CM220" s="2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M220" s="1"/>
      <c r="DQ220" s="1"/>
      <c r="DR220" s="1"/>
      <c r="DY220" s="1"/>
      <c r="DZ220" s="1"/>
      <c r="ED220" s="1"/>
      <c r="EF220" s="1"/>
      <c r="EK220" s="1"/>
      <c r="EL220" s="1"/>
      <c r="EM220" s="1"/>
      <c r="EN220" s="1"/>
      <c r="EQ220" s="1"/>
      <c r="ER220" s="1"/>
      <c r="ES220" s="1"/>
      <c r="EV220" s="1"/>
      <c r="EW220" s="1"/>
      <c r="EZ220" s="1"/>
      <c r="FA220" s="1"/>
      <c r="FD220" s="1"/>
      <c r="FG220" s="1"/>
      <c r="FH220" s="1"/>
      <c r="FI220" s="1"/>
      <c r="FJ220" s="1"/>
      <c r="FK220" s="1"/>
      <c r="FL220" s="1"/>
      <c r="FM220" s="1"/>
      <c r="FN220" s="1"/>
      <c r="FO220" s="1"/>
      <c r="FP220" s="1"/>
      <c r="FQ220" s="1"/>
      <c r="FR220" s="1"/>
      <c r="FS220" s="1"/>
      <c r="FT220" s="1"/>
      <c r="FU220" s="1"/>
      <c r="FV220" s="1"/>
      <c r="FW220" s="1"/>
      <c r="FX220" s="1"/>
      <c r="FY220" s="1"/>
      <c r="FZ220" s="1"/>
      <c r="GA220" s="1"/>
      <c r="GB220" s="1"/>
      <c r="GD220" s="1"/>
      <c r="GE220" s="1"/>
      <c r="GF220" s="1"/>
      <c r="GG220" s="1"/>
      <c r="GH220" s="1"/>
      <c r="GI220" s="1"/>
      <c r="GJ220" s="1"/>
      <c r="GK220" s="1"/>
      <c r="GL220" s="1"/>
      <c r="GM220" s="1"/>
      <c r="GN220" s="1"/>
      <c r="GO220" s="1"/>
      <c r="GP220" s="1"/>
      <c r="GR220" s="1"/>
      <c r="GY220" s="1"/>
      <c r="HF220" s="1"/>
      <c r="HH220" s="1"/>
      <c r="HQ220" s="1"/>
      <c r="HR220" s="1"/>
      <c r="HS220" s="1"/>
      <c r="HT220" s="1"/>
      <c r="HY220" s="1"/>
      <c r="IC220" s="1"/>
      <c r="IE220" s="1"/>
      <c r="IR220" s="1"/>
      <c r="IS220" s="1"/>
      <c r="IW220" s="1"/>
      <c r="IZ220" s="1"/>
      <c r="JA220" s="1"/>
      <c r="JF220" s="1"/>
      <c r="JG220" s="1"/>
      <c r="JH220" s="1"/>
      <c r="JI220" s="1"/>
      <c r="JJ220" s="1"/>
      <c r="JN220" s="1"/>
      <c r="JP220" s="1"/>
      <c r="JQ220" s="1"/>
      <c r="JT220" s="1"/>
      <c r="KU220" s="1"/>
      <c r="KV220" s="1"/>
      <c r="KY220" s="1"/>
      <c r="KZ220" s="1"/>
      <c r="LA220" s="1"/>
      <c r="LB220" s="1"/>
      <c r="LC220" s="1"/>
      <c r="LD220" s="1"/>
      <c r="LO220" s="1"/>
      <c r="LP220" s="1"/>
      <c r="LZ220" s="1"/>
      <c r="MA220" s="1"/>
    </row>
    <row r="221" spans="4:339" ht="13" x14ac:dyDescent="0.15">
      <c r="D221" s="12"/>
      <c r="E221" s="12"/>
      <c r="I221" s="12"/>
      <c r="J221" s="13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X221" s="1"/>
      <c r="CD221" s="1"/>
      <c r="CE221" s="1"/>
      <c r="CF221" s="1"/>
      <c r="CG221" s="1"/>
      <c r="CH221" s="1"/>
      <c r="CI221" s="1"/>
      <c r="CM221" s="2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M221" s="1"/>
      <c r="DQ221" s="1"/>
      <c r="DR221" s="1"/>
      <c r="DY221" s="1"/>
      <c r="DZ221" s="1"/>
      <c r="ED221" s="1"/>
      <c r="EF221" s="1"/>
      <c r="EK221" s="1"/>
      <c r="EL221" s="1"/>
      <c r="EM221" s="1"/>
      <c r="EN221" s="1"/>
      <c r="EQ221" s="1"/>
      <c r="ER221" s="1"/>
      <c r="ES221" s="1"/>
      <c r="EV221" s="1"/>
      <c r="EW221" s="1"/>
      <c r="EZ221" s="1"/>
      <c r="FA221" s="1"/>
      <c r="FD221" s="1"/>
      <c r="FG221" s="1"/>
      <c r="FH221" s="1"/>
      <c r="FI221" s="1"/>
      <c r="FJ221" s="1"/>
      <c r="FK221" s="1"/>
      <c r="FL221" s="1"/>
      <c r="FM221" s="1"/>
      <c r="FN221" s="1"/>
      <c r="FO221" s="1"/>
      <c r="FP221" s="1"/>
      <c r="FQ221" s="1"/>
      <c r="FR221" s="1"/>
      <c r="FS221" s="1"/>
      <c r="FT221" s="1"/>
      <c r="FU221" s="1"/>
      <c r="FV221" s="1"/>
      <c r="FW221" s="1"/>
      <c r="FX221" s="1"/>
      <c r="FY221" s="1"/>
      <c r="FZ221" s="1"/>
      <c r="GA221" s="1"/>
      <c r="GB221" s="1"/>
      <c r="GD221" s="1"/>
      <c r="GE221" s="1"/>
      <c r="GF221" s="1"/>
      <c r="GG221" s="1"/>
      <c r="GH221" s="1"/>
      <c r="GI221" s="1"/>
      <c r="GJ221" s="1"/>
      <c r="GK221" s="1"/>
      <c r="GL221" s="1"/>
      <c r="GM221" s="1"/>
      <c r="GN221" s="1"/>
      <c r="GO221" s="1"/>
      <c r="GP221" s="1"/>
      <c r="GR221" s="1"/>
      <c r="GY221" s="1"/>
      <c r="HF221" s="1"/>
      <c r="HH221" s="1"/>
      <c r="HQ221" s="1"/>
      <c r="HR221" s="1"/>
      <c r="HS221" s="1"/>
      <c r="HT221" s="1"/>
      <c r="HY221" s="1"/>
      <c r="IC221" s="1"/>
      <c r="IE221" s="1"/>
      <c r="IR221" s="1"/>
      <c r="IS221" s="1"/>
      <c r="IW221" s="1"/>
      <c r="IZ221" s="1"/>
      <c r="JA221" s="1"/>
      <c r="JF221" s="1"/>
      <c r="JG221" s="1"/>
      <c r="JH221" s="1"/>
      <c r="JI221" s="1"/>
      <c r="JJ221" s="1"/>
      <c r="JN221" s="1"/>
      <c r="JP221" s="1"/>
      <c r="JQ221" s="1"/>
      <c r="JT221" s="1"/>
      <c r="KU221" s="1"/>
      <c r="KV221" s="1"/>
      <c r="KY221" s="1"/>
      <c r="KZ221" s="1"/>
      <c r="LA221" s="1"/>
      <c r="LB221" s="1"/>
      <c r="LC221" s="1"/>
      <c r="LD221" s="1"/>
      <c r="LO221" s="1"/>
      <c r="LP221" s="1"/>
      <c r="LZ221" s="1"/>
      <c r="MA221" s="1"/>
    </row>
    <row r="222" spans="4:339" ht="13" x14ac:dyDescent="0.15">
      <c r="D222" s="12"/>
      <c r="E222" s="12"/>
      <c r="I222" s="12"/>
      <c r="J222" s="13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X222" s="1"/>
      <c r="CD222" s="1"/>
      <c r="CE222" s="1"/>
      <c r="CF222" s="1"/>
      <c r="CG222" s="1"/>
      <c r="CH222" s="1"/>
      <c r="CI222" s="1"/>
      <c r="CM222" s="2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M222" s="1"/>
      <c r="DQ222" s="1"/>
      <c r="DR222" s="1"/>
      <c r="DY222" s="1"/>
      <c r="DZ222" s="1"/>
      <c r="ED222" s="1"/>
      <c r="EF222" s="1"/>
      <c r="EK222" s="1"/>
      <c r="EL222" s="1"/>
      <c r="EM222" s="1"/>
      <c r="EN222" s="1"/>
      <c r="EQ222" s="1"/>
      <c r="ER222" s="1"/>
      <c r="ES222" s="1"/>
      <c r="EV222" s="1"/>
      <c r="EW222" s="1"/>
      <c r="EZ222" s="1"/>
      <c r="FA222" s="1"/>
      <c r="FD222" s="1"/>
      <c r="FG222" s="1"/>
      <c r="FH222" s="1"/>
      <c r="FI222" s="1"/>
      <c r="FJ222" s="1"/>
      <c r="FK222" s="1"/>
      <c r="FL222" s="1"/>
      <c r="FM222" s="1"/>
      <c r="FN222" s="1"/>
      <c r="FO222" s="1"/>
      <c r="FP222" s="1"/>
      <c r="FQ222" s="1"/>
      <c r="FR222" s="1"/>
      <c r="FS222" s="1"/>
      <c r="FT222" s="1"/>
      <c r="FU222" s="1"/>
      <c r="FV222" s="1"/>
      <c r="FW222" s="1"/>
      <c r="FX222" s="1"/>
      <c r="FY222" s="1"/>
      <c r="FZ222" s="1"/>
      <c r="GA222" s="1"/>
      <c r="GB222" s="1"/>
      <c r="GD222" s="1"/>
      <c r="GE222" s="1"/>
      <c r="GF222" s="1"/>
      <c r="GG222" s="1"/>
      <c r="GH222" s="1"/>
      <c r="GI222" s="1"/>
      <c r="GJ222" s="1"/>
      <c r="GK222" s="1"/>
      <c r="GL222" s="1"/>
      <c r="GM222" s="1"/>
      <c r="GN222" s="1"/>
      <c r="GO222" s="1"/>
      <c r="GP222" s="1"/>
      <c r="GR222" s="1"/>
      <c r="GY222" s="1"/>
      <c r="HF222" s="1"/>
      <c r="HH222" s="1"/>
      <c r="HQ222" s="1"/>
      <c r="HR222" s="1"/>
      <c r="HS222" s="1"/>
      <c r="HT222" s="1"/>
      <c r="HY222" s="1"/>
      <c r="IC222" s="1"/>
      <c r="IE222" s="1"/>
      <c r="IR222" s="1"/>
      <c r="IS222" s="1"/>
      <c r="IW222" s="1"/>
      <c r="IZ222" s="1"/>
      <c r="JA222" s="1"/>
      <c r="JF222" s="1"/>
      <c r="JG222" s="1"/>
      <c r="JH222" s="1"/>
      <c r="JI222" s="1"/>
      <c r="JJ222" s="1"/>
      <c r="JN222" s="1"/>
      <c r="JP222" s="1"/>
      <c r="JQ222" s="1"/>
      <c r="JT222" s="1"/>
      <c r="KU222" s="1"/>
      <c r="KV222" s="1"/>
      <c r="KY222" s="1"/>
      <c r="KZ222" s="1"/>
      <c r="LA222" s="1"/>
      <c r="LB222" s="1"/>
      <c r="LC222" s="1"/>
      <c r="LD222" s="1"/>
      <c r="LO222" s="1"/>
      <c r="LP222" s="1"/>
      <c r="LZ222" s="1"/>
      <c r="MA222" s="1"/>
    </row>
    <row r="223" spans="4:339" ht="13" x14ac:dyDescent="0.15">
      <c r="D223" s="12"/>
      <c r="E223" s="12"/>
      <c r="I223" s="12"/>
      <c r="J223" s="13"/>
      <c r="BF223" s="1"/>
      <c r="BG223" s="1"/>
      <c r="BH223" s="1"/>
      <c r="BI223" s="1"/>
      <c r="BK223" s="1"/>
      <c r="BL223" s="1"/>
      <c r="BM223" s="1"/>
      <c r="BN223" s="1"/>
      <c r="BO223" s="1"/>
      <c r="BP223" s="1"/>
      <c r="BQ223" s="1"/>
      <c r="BR223" s="1"/>
      <c r="BX223" s="1"/>
      <c r="CD223" s="1"/>
      <c r="CE223" s="1"/>
      <c r="CF223" s="1"/>
      <c r="CG223" s="1"/>
      <c r="CH223" s="1"/>
      <c r="CI223" s="1"/>
      <c r="CM223" s="2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M223" s="1"/>
      <c r="DR223" s="1"/>
      <c r="ED223" s="1"/>
      <c r="EE223" s="1"/>
      <c r="EF223" s="1"/>
      <c r="EG223" s="1"/>
      <c r="EH223" s="1"/>
      <c r="EK223" s="1"/>
      <c r="EL223" s="1"/>
      <c r="EM223" s="1"/>
      <c r="EN223" s="1"/>
      <c r="EQ223" s="1"/>
      <c r="ER223" s="1"/>
      <c r="ES223" s="1"/>
      <c r="EV223" s="1"/>
      <c r="EW223" s="1"/>
      <c r="EY223" s="1"/>
      <c r="EZ223" s="1"/>
      <c r="FA223" s="1"/>
      <c r="FD223" s="1"/>
      <c r="FG223" s="1"/>
      <c r="FH223" s="1"/>
      <c r="FJ223" s="1"/>
      <c r="FK223" s="1"/>
      <c r="FM223" s="1"/>
      <c r="FN223" s="1"/>
      <c r="FO223" s="1"/>
      <c r="FP223" s="1"/>
      <c r="FQ223" s="1"/>
      <c r="FR223" s="1"/>
      <c r="FS223" s="1"/>
      <c r="FU223" s="1"/>
      <c r="FV223" s="1"/>
      <c r="FW223" s="1"/>
      <c r="FX223" s="1"/>
      <c r="FY223" s="1"/>
      <c r="FZ223" s="1"/>
      <c r="GA223" s="1"/>
      <c r="GD223" s="1"/>
      <c r="GE223" s="1"/>
      <c r="GF223" s="1"/>
      <c r="GG223" s="1"/>
      <c r="GH223" s="1"/>
      <c r="GI223" s="1"/>
      <c r="GJ223" s="1"/>
      <c r="GK223" s="1"/>
      <c r="GL223" s="1"/>
      <c r="GM223" s="1"/>
      <c r="GN223" s="1"/>
      <c r="GP223" s="1"/>
      <c r="GR223" s="1"/>
      <c r="GY223" s="1"/>
      <c r="HF223" s="1"/>
      <c r="HN223" s="1"/>
      <c r="HT223" s="1"/>
      <c r="HY223" s="1"/>
      <c r="IC223" s="1"/>
      <c r="IE223" s="1"/>
      <c r="IF223" s="1"/>
      <c r="IG223" s="1"/>
      <c r="IJ223" s="1"/>
      <c r="IR223" s="1"/>
      <c r="IS223" s="1"/>
      <c r="IY223" s="1"/>
      <c r="IZ223" s="1"/>
      <c r="JG223" s="1"/>
      <c r="JH223" s="1"/>
      <c r="JI223" s="1"/>
      <c r="JJ223" s="1"/>
      <c r="JK223" s="1"/>
      <c r="JL223" s="3"/>
      <c r="JM223" s="1"/>
      <c r="JN223" s="1"/>
      <c r="JP223" s="1"/>
      <c r="JQ223" s="1"/>
      <c r="JR223" s="1"/>
      <c r="KU223" s="1"/>
      <c r="KV223" s="1"/>
      <c r="KY223" s="1"/>
      <c r="KZ223" s="1"/>
      <c r="LA223" s="1"/>
      <c r="LB223" s="1"/>
      <c r="LC223" s="1"/>
      <c r="LD223" s="1"/>
      <c r="LO223" s="1"/>
      <c r="LP223" s="1"/>
      <c r="LZ223" s="1"/>
      <c r="MA223" s="1"/>
    </row>
    <row r="224" spans="4:339" ht="13" x14ac:dyDescent="0.15">
      <c r="D224" s="12"/>
      <c r="E224" s="12"/>
      <c r="I224" s="12"/>
      <c r="J224" s="13"/>
      <c r="BF224" s="1"/>
      <c r="BG224" s="1"/>
      <c r="BH224" s="1"/>
      <c r="BI224" s="1"/>
      <c r="BK224" s="1"/>
      <c r="BL224" s="1"/>
      <c r="BM224" s="1"/>
      <c r="BN224" s="1"/>
      <c r="BO224" s="1"/>
      <c r="BP224" s="1"/>
      <c r="BQ224" s="1"/>
      <c r="BR224" s="1"/>
      <c r="BX224" s="1"/>
      <c r="CD224" s="1"/>
      <c r="CE224" s="1"/>
      <c r="CF224" s="1"/>
      <c r="CG224" s="1"/>
      <c r="CH224" s="1"/>
      <c r="CI224" s="1"/>
      <c r="CM224" s="2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M224" s="1"/>
      <c r="DQ224" s="1"/>
      <c r="DR224" s="1"/>
      <c r="DY224" s="1"/>
      <c r="DZ224" s="1"/>
      <c r="ED224" s="1"/>
      <c r="EE224" s="1"/>
      <c r="EF224" s="1"/>
      <c r="EG224" s="1"/>
      <c r="EH224" s="1"/>
      <c r="EK224" s="1"/>
      <c r="EL224" s="1"/>
      <c r="EM224" s="1"/>
      <c r="EN224" s="1"/>
      <c r="EQ224" s="1"/>
      <c r="ER224" s="1"/>
      <c r="ES224" s="1"/>
      <c r="EV224" s="1"/>
      <c r="EW224" s="1"/>
      <c r="EY224" s="1"/>
      <c r="EZ224" s="1"/>
      <c r="FA224" s="1"/>
      <c r="FD224" s="1"/>
      <c r="FH224" s="1"/>
      <c r="FI224" s="1"/>
      <c r="FJ224" s="1"/>
      <c r="FL224" s="1"/>
      <c r="FM224" s="1"/>
      <c r="FN224" s="1"/>
      <c r="FO224" s="1"/>
      <c r="FP224" s="1"/>
      <c r="FQ224" s="1"/>
      <c r="FR224" s="1"/>
      <c r="FS224" s="1"/>
      <c r="FU224" s="1"/>
      <c r="FV224" s="1"/>
      <c r="FW224" s="1"/>
      <c r="FX224" s="1"/>
      <c r="FY224" s="1"/>
      <c r="FZ224" s="1"/>
      <c r="GA224" s="1"/>
      <c r="GD224" s="1"/>
      <c r="GE224" s="1"/>
      <c r="GF224" s="1"/>
      <c r="GG224" s="1"/>
      <c r="GH224" s="1"/>
      <c r="GI224" s="1"/>
      <c r="GJ224" s="1"/>
      <c r="GK224" s="1"/>
      <c r="GL224" s="1"/>
      <c r="GM224" s="1"/>
      <c r="GN224" s="1"/>
      <c r="GO224" s="1"/>
      <c r="GP224" s="1"/>
      <c r="GV224" s="1"/>
      <c r="GY224" s="1"/>
      <c r="HF224" s="1"/>
      <c r="HH224" s="1"/>
      <c r="HN224" s="1"/>
      <c r="HR224" s="1"/>
      <c r="HS224" s="1"/>
      <c r="HT224" s="1"/>
      <c r="HY224" s="1"/>
      <c r="IE224" s="1"/>
      <c r="IG224" s="1"/>
      <c r="IJ224" s="1"/>
      <c r="IR224" s="1"/>
      <c r="IS224" s="1"/>
      <c r="IY224" s="1"/>
      <c r="IZ224" s="1"/>
      <c r="JC224" s="1"/>
      <c r="JG224" s="1"/>
      <c r="JH224" s="1"/>
      <c r="JJ224" s="1"/>
      <c r="JK224" s="1"/>
      <c r="JL224" s="3"/>
      <c r="JM224" s="1"/>
      <c r="JP224" s="1"/>
      <c r="JQ224" s="1"/>
      <c r="JR224" s="1"/>
      <c r="JT224" s="1"/>
      <c r="KW224" s="1"/>
      <c r="LJ224" s="1"/>
      <c r="LM224" s="1"/>
      <c r="LZ224" s="1"/>
      <c r="MA224" s="1"/>
    </row>
    <row r="225" spans="4:339" ht="13" x14ac:dyDescent="0.15">
      <c r="D225" s="12"/>
      <c r="E225" s="12"/>
      <c r="I225" s="12"/>
      <c r="J225" s="13"/>
      <c r="BF225" s="1"/>
      <c r="BG225" s="1"/>
      <c r="BH225" s="1"/>
      <c r="BI225" s="1"/>
      <c r="BK225" s="1"/>
      <c r="BL225" s="1"/>
      <c r="BM225" s="1"/>
      <c r="BN225" s="1"/>
      <c r="BO225" s="1"/>
      <c r="BP225" s="1"/>
      <c r="BQ225" s="1"/>
      <c r="BR225" s="1"/>
      <c r="BX225" s="1"/>
      <c r="CD225" s="1"/>
      <c r="CE225" s="1"/>
      <c r="CF225" s="1"/>
      <c r="CG225" s="1"/>
      <c r="CH225" s="1"/>
      <c r="CI225" s="1"/>
      <c r="CM225" s="2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M225" s="1"/>
      <c r="DQ225" s="1"/>
      <c r="DR225" s="1"/>
      <c r="DY225" s="1"/>
      <c r="DZ225" s="1"/>
      <c r="ED225" s="1"/>
      <c r="EE225" s="1"/>
      <c r="EF225" s="1"/>
      <c r="EG225" s="1"/>
      <c r="EH225" s="1"/>
      <c r="EK225" s="1"/>
      <c r="EL225" s="1"/>
      <c r="EM225" s="1"/>
      <c r="EN225" s="1"/>
      <c r="EQ225" s="1"/>
      <c r="ER225" s="1"/>
      <c r="ES225" s="1"/>
      <c r="EV225" s="1"/>
      <c r="EW225" s="1"/>
      <c r="EY225" s="1"/>
      <c r="EZ225" s="1"/>
      <c r="FA225" s="1"/>
      <c r="FD225" s="1"/>
      <c r="FG225" s="1"/>
      <c r="FH225" s="1"/>
      <c r="FI225" s="1"/>
      <c r="FJ225" s="1"/>
      <c r="FK225" s="1"/>
      <c r="FM225" s="1"/>
      <c r="FN225" s="1"/>
      <c r="FO225" s="1"/>
      <c r="FP225" s="1"/>
      <c r="FQ225" s="1"/>
      <c r="FR225" s="1"/>
      <c r="FS225" s="1"/>
      <c r="FU225" s="1"/>
      <c r="FV225" s="1"/>
      <c r="FW225" s="1"/>
      <c r="FX225" s="1"/>
      <c r="FY225" s="1"/>
      <c r="FZ225" s="1"/>
      <c r="GA225" s="1"/>
      <c r="GD225" s="1"/>
      <c r="GE225" s="1"/>
      <c r="GF225" s="1"/>
      <c r="GG225" s="1"/>
      <c r="GH225" s="1"/>
      <c r="GI225" s="1"/>
      <c r="GJ225" s="1"/>
      <c r="GK225" s="1"/>
      <c r="GL225" s="1"/>
      <c r="GM225" s="1"/>
      <c r="GN225" s="1"/>
      <c r="GO225" s="1"/>
      <c r="GP225" s="1"/>
      <c r="GR225" s="1"/>
      <c r="GY225" s="1"/>
      <c r="HF225" s="1"/>
      <c r="HH225" s="1"/>
      <c r="HN225" s="1"/>
      <c r="HQ225" s="1"/>
      <c r="HT225" s="1"/>
      <c r="HY225" s="1"/>
      <c r="ID225" s="1"/>
      <c r="IE225" s="1"/>
      <c r="IF225" s="1"/>
      <c r="IG225" s="1"/>
      <c r="IJ225" s="1"/>
      <c r="IR225" s="1"/>
      <c r="IS225" s="1"/>
      <c r="IY225" s="1"/>
      <c r="IZ225" s="1"/>
      <c r="JC225" s="1"/>
      <c r="JF225" s="1"/>
      <c r="JG225" s="1"/>
      <c r="JJ225" s="1"/>
      <c r="JK225" s="1"/>
      <c r="JL225" s="3"/>
      <c r="JM225" s="1"/>
      <c r="JP225" s="1"/>
      <c r="JQ225" s="1"/>
      <c r="JR225" s="1"/>
      <c r="JT225" s="1"/>
      <c r="KV225" s="1"/>
      <c r="KW225" s="1"/>
      <c r="KY225" s="1"/>
      <c r="KZ225" s="1"/>
      <c r="LA225" s="1"/>
      <c r="LB225" s="1"/>
      <c r="LC225" s="1"/>
      <c r="LD225" s="1"/>
      <c r="LN225" s="1"/>
      <c r="LO225" s="1"/>
      <c r="LP225" s="1"/>
      <c r="LZ225" s="1"/>
      <c r="MA225" s="1"/>
    </row>
    <row r="226" spans="4:339" ht="13" x14ac:dyDescent="0.15">
      <c r="D226" s="12"/>
      <c r="E226" s="12"/>
      <c r="I226" s="12"/>
      <c r="J226" s="13"/>
      <c r="BF226" s="1"/>
      <c r="BG226" s="1"/>
      <c r="BH226" s="1"/>
      <c r="BI226" s="1"/>
      <c r="BK226" s="1"/>
      <c r="BL226" s="1"/>
      <c r="BM226" s="1"/>
      <c r="BN226" s="1"/>
      <c r="BO226" s="1"/>
      <c r="BP226" s="1"/>
      <c r="BQ226" s="1"/>
      <c r="BR226" s="1"/>
      <c r="BX226" s="1"/>
      <c r="CD226" s="1"/>
      <c r="CE226" s="1"/>
      <c r="CF226" s="1"/>
      <c r="CG226" s="1"/>
      <c r="CH226" s="1"/>
      <c r="CI226" s="1"/>
      <c r="CM226" s="2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M226" s="1"/>
      <c r="DQ226" s="1"/>
      <c r="DR226" s="1"/>
      <c r="DY226" s="1"/>
      <c r="DZ226" s="1"/>
      <c r="ED226" s="1"/>
      <c r="EE226" s="1"/>
      <c r="EF226" s="1"/>
      <c r="EG226" s="1"/>
      <c r="EH226" s="1"/>
      <c r="EK226" s="1"/>
      <c r="EL226" s="1"/>
      <c r="EM226" s="1"/>
      <c r="EN226" s="1"/>
      <c r="EQ226" s="1"/>
      <c r="ER226" s="1"/>
      <c r="ES226" s="1"/>
      <c r="EV226" s="1"/>
      <c r="EW226" s="1"/>
      <c r="EY226" s="1"/>
      <c r="EZ226" s="1"/>
      <c r="FA226" s="1"/>
      <c r="FD226" s="1"/>
      <c r="FG226" s="1"/>
      <c r="FH226" s="1"/>
      <c r="FI226" s="1"/>
      <c r="FJ226" s="1"/>
      <c r="FK226" s="1"/>
      <c r="FM226" s="1"/>
      <c r="FN226" s="1"/>
      <c r="FO226" s="1"/>
      <c r="FP226" s="1"/>
      <c r="FQ226" s="1"/>
      <c r="FR226" s="1"/>
      <c r="FS226" s="1"/>
      <c r="FU226" s="1"/>
      <c r="FV226" s="1"/>
      <c r="FW226" s="1"/>
      <c r="FX226" s="1"/>
      <c r="FY226" s="1"/>
      <c r="FZ226" s="1"/>
      <c r="GA226" s="1"/>
      <c r="GD226" s="1"/>
      <c r="GE226" s="1"/>
      <c r="GF226" s="1"/>
      <c r="GG226" s="1"/>
      <c r="GH226" s="1"/>
      <c r="GI226" s="1"/>
      <c r="GJ226" s="1"/>
      <c r="GK226" s="1"/>
      <c r="GL226" s="1"/>
      <c r="GM226" s="1"/>
      <c r="GN226" s="1"/>
      <c r="GO226" s="1"/>
      <c r="GP226" s="1"/>
      <c r="GR226" s="1"/>
      <c r="GY226" s="1"/>
      <c r="HF226" s="1"/>
      <c r="HH226" s="1"/>
      <c r="HN226" s="1"/>
      <c r="HQ226" s="1"/>
      <c r="HT226" s="1"/>
      <c r="HY226" s="1"/>
      <c r="ID226" s="1"/>
      <c r="IE226" s="1"/>
      <c r="IF226" s="1"/>
      <c r="IG226" s="1"/>
      <c r="IJ226" s="1"/>
      <c r="IR226" s="1"/>
      <c r="IS226" s="1"/>
      <c r="IY226" s="1"/>
      <c r="IZ226" s="1"/>
      <c r="JC226" s="1"/>
      <c r="JF226" s="1"/>
      <c r="JG226" s="1"/>
      <c r="JJ226" s="1"/>
      <c r="JK226" s="1"/>
      <c r="JL226" s="3"/>
      <c r="JM226" s="1"/>
      <c r="JP226" s="1"/>
      <c r="JQ226" s="1"/>
      <c r="JR226" s="1"/>
      <c r="JT226" s="1"/>
      <c r="KV226" s="1"/>
      <c r="KW226" s="1"/>
      <c r="KY226" s="1"/>
      <c r="KZ226" s="1"/>
      <c r="LA226" s="1"/>
      <c r="LB226" s="1"/>
      <c r="LC226" s="1"/>
      <c r="LD226" s="1"/>
      <c r="LN226" s="1"/>
      <c r="LO226" s="1"/>
      <c r="LP226" s="1"/>
      <c r="LZ226" s="1"/>
      <c r="MA226" s="1"/>
    </row>
    <row r="227" spans="4:339" ht="13" x14ac:dyDescent="0.15">
      <c r="D227" s="12"/>
      <c r="E227" s="12"/>
      <c r="I227" s="12"/>
      <c r="J227" s="13"/>
      <c r="BF227" s="1"/>
      <c r="BG227" s="1"/>
      <c r="BH227" s="1"/>
      <c r="BI227" s="1"/>
      <c r="BK227" s="1"/>
      <c r="BL227" s="1"/>
      <c r="BM227" s="1"/>
      <c r="BN227" s="1"/>
      <c r="BO227" s="1"/>
      <c r="BP227" s="1"/>
      <c r="BQ227" s="1"/>
      <c r="BR227" s="1"/>
      <c r="BX227" s="1"/>
      <c r="CD227" s="1"/>
      <c r="CE227" s="1"/>
      <c r="CF227" s="1"/>
      <c r="CG227" s="1"/>
      <c r="CH227" s="1"/>
      <c r="CI227" s="1"/>
      <c r="CM227" s="2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M227" s="1"/>
      <c r="DQ227" s="1"/>
      <c r="DR227" s="1"/>
      <c r="DY227" s="1"/>
      <c r="DZ227" s="1"/>
      <c r="ED227" s="1"/>
      <c r="EE227" s="1"/>
      <c r="EF227" s="1"/>
      <c r="EG227" s="1"/>
      <c r="EH227" s="1"/>
      <c r="EK227" s="1"/>
      <c r="EL227" s="1"/>
      <c r="EM227" s="1"/>
      <c r="EN227" s="1"/>
      <c r="EQ227" s="1"/>
      <c r="ER227" s="1"/>
      <c r="ES227" s="1"/>
      <c r="EV227" s="1"/>
      <c r="EW227" s="1"/>
      <c r="EY227" s="1"/>
      <c r="EZ227" s="1"/>
      <c r="FA227" s="1"/>
      <c r="FD227" s="1"/>
      <c r="FG227" s="1"/>
      <c r="FH227" s="1"/>
      <c r="FI227" s="1"/>
      <c r="FJ227" s="1"/>
      <c r="FK227" s="1"/>
      <c r="FM227" s="1"/>
      <c r="FN227" s="1"/>
      <c r="FO227" s="1"/>
      <c r="FP227" s="1"/>
      <c r="FQ227" s="1"/>
      <c r="FR227" s="1"/>
      <c r="FS227" s="1"/>
      <c r="FU227" s="1"/>
      <c r="FV227" s="1"/>
      <c r="FW227" s="1"/>
      <c r="FX227" s="1"/>
      <c r="FY227" s="1"/>
      <c r="FZ227" s="1"/>
      <c r="GA227" s="1"/>
      <c r="GD227" s="1"/>
      <c r="GE227" s="1"/>
      <c r="GF227" s="1"/>
      <c r="GG227" s="1"/>
      <c r="GH227" s="1"/>
      <c r="GI227" s="1"/>
      <c r="GJ227" s="1"/>
      <c r="GK227" s="1"/>
      <c r="GL227" s="1"/>
      <c r="GM227" s="1"/>
      <c r="GN227" s="1"/>
      <c r="GO227" s="1"/>
      <c r="GP227" s="1"/>
      <c r="GR227" s="1"/>
      <c r="GY227" s="1"/>
      <c r="HF227" s="1"/>
      <c r="HH227" s="1"/>
      <c r="HN227" s="1"/>
      <c r="HQ227" s="1"/>
      <c r="HT227" s="1"/>
      <c r="HY227" s="1"/>
      <c r="ID227" s="1"/>
      <c r="IE227" s="1"/>
      <c r="IF227" s="1"/>
      <c r="IG227" s="1"/>
      <c r="IJ227" s="1"/>
      <c r="IR227" s="1"/>
      <c r="IS227" s="1"/>
      <c r="IY227" s="1"/>
      <c r="IZ227" s="1"/>
      <c r="JC227" s="1"/>
      <c r="JF227" s="1"/>
      <c r="JG227" s="1"/>
      <c r="JJ227" s="1"/>
      <c r="JK227" s="1"/>
      <c r="JL227" s="3"/>
      <c r="JM227" s="1"/>
      <c r="JP227" s="1"/>
      <c r="JQ227" s="1"/>
      <c r="JR227" s="1"/>
      <c r="JT227" s="1"/>
      <c r="KV227" s="1"/>
      <c r="KW227" s="1"/>
      <c r="KY227" s="1"/>
      <c r="KZ227" s="1"/>
      <c r="LA227" s="1"/>
      <c r="LB227" s="1"/>
      <c r="LC227" s="1"/>
      <c r="LD227" s="1"/>
      <c r="LN227" s="1"/>
      <c r="LO227" s="1"/>
      <c r="LP227" s="1"/>
      <c r="LZ227" s="1"/>
      <c r="MA227" s="1"/>
    </row>
    <row r="228" spans="4:339" ht="13" x14ac:dyDescent="0.15">
      <c r="D228" s="12"/>
      <c r="E228" s="12"/>
      <c r="I228" s="12"/>
      <c r="J228" s="13"/>
      <c r="BF228" s="1"/>
      <c r="BG228" s="1"/>
      <c r="BH228" s="1"/>
      <c r="BI228" s="1"/>
      <c r="BK228" s="1"/>
      <c r="BL228" s="1"/>
      <c r="BM228" s="1"/>
      <c r="BN228" s="1"/>
      <c r="BO228" s="1"/>
      <c r="BP228" s="1"/>
      <c r="BQ228" s="1"/>
      <c r="BR228" s="1"/>
      <c r="BX228" s="1"/>
      <c r="CD228" s="1"/>
      <c r="CE228" s="1"/>
      <c r="CF228" s="1"/>
      <c r="CG228" s="1"/>
      <c r="CH228" s="1"/>
      <c r="CI228" s="1"/>
      <c r="CM228" s="2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M228" s="1"/>
      <c r="DQ228" s="1"/>
      <c r="DR228" s="1"/>
      <c r="DY228" s="1"/>
      <c r="DZ228" s="1"/>
      <c r="ED228" s="1"/>
      <c r="EE228" s="1"/>
      <c r="EF228" s="1"/>
      <c r="EG228" s="1"/>
      <c r="EH228" s="1"/>
      <c r="EK228" s="1"/>
      <c r="EL228" s="1"/>
      <c r="EM228" s="1"/>
      <c r="EN228" s="1"/>
      <c r="EQ228" s="1"/>
      <c r="ER228" s="1"/>
      <c r="ES228" s="1"/>
      <c r="EV228" s="1"/>
      <c r="EW228" s="1"/>
      <c r="EY228" s="1"/>
      <c r="EZ228" s="1"/>
      <c r="FA228" s="1"/>
      <c r="FD228" s="1"/>
      <c r="FG228" s="1"/>
      <c r="FH228" s="1"/>
      <c r="FI228" s="1"/>
      <c r="FJ228" s="1"/>
      <c r="FK228" s="1"/>
      <c r="FM228" s="1"/>
      <c r="FN228" s="1"/>
      <c r="FO228" s="1"/>
      <c r="FP228" s="1"/>
      <c r="FQ228" s="1"/>
      <c r="FR228" s="1"/>
      <c r="FS228" s="1"/>
      <c r="FU228" s="1"/>
      <c r="FV228" s="1"/>
      <c r="FW228" s="1"/>
      <c r="FX228" s="1"/>
      <c r="FY228" s="1"/>
      <c r="FZ228" s="1"/>
      <c r="GA228" s="1"/>
      <c r="GD228" s="1"/>
      <c r="GE228" s="1"/>
      <c r="GF228" s="1"/>
      <c r="GG228" s="1"/>
      <c r="GH228" s="1"/>
      <c r="GI228" s="1"/>
      <c r="GJ228" s="1"/>
      <c r="GK228" s="1"/>
      <c r="GL228" s="1"/>
      <c r="GM228" s="1"/>
      <c r="GN228" s="1"/>
      <c r="GO228" s="1"/>
      <c r="GP228" s="1"/>
      <c r="GR228" s="1"/>
      <c r="GY228" s="1"/>
      <c r="HF228" s="1"/>
      <c r="HH228" s="1"/>
      <c r="HN228" s="1"/>
      <c r="HQ228" s="1"/>
      <c r="HT228" s="1"/>
      <c r="HY228" s="1"/>
      <c r="ID228" s="1"/>
      <c r="IE228" s="1"/>
      <c r="IF228" s="1"/>
      <c r="IG228" s="1"/>
      <c r="IJ228" s="1"/>
      <c r="IR228" s="1"/>
      <c r="IS228" s="1"/>
      <c r="IY228" s="1"/>
      <c r="IZ228" s="1"/>
      <c r="JC228" s="1"/>
      <c r="JF228" s="1"/>
      <c r="JG228" s="1"/>
      <c r="JJ228" s="1"/>
      <c r="JK228" s="1"/>
      <c r="JL228" s="3"/>
      <c r="JM228" s="1"/>
      <c r="JP228" s="1"/>
      <c r="JQ228" s="1"/>
      <c r="JR228" s="1"/>
      <c r="JT228" s="1"/>
      <c r="KV228" s="1"/>
      <c r="KW228" s="1"/>
      <c r="KY228" s="1"/>
      <c r="KZ228" s="1"/>
      <c r="LA228" s="1"/>
      <c r="LB228" s="1"/>
      <c r="LC228" s="1"/>
      <c r="LD228" s="1"/>
      <c r="LN228" s="1"/>
      <c r="LO228" s="1"/>
      <c r="LP228" s="1"/>
      <c r="LZ228" s="1"/>
      <c r="MA228" s="1"/>
    </row>
    <row r="229" spans="4:339" ht="13" x14ac:dyDescent="0.15">
      <c r="D229" s="12"/>
      <c r="E229" s="12"/>
      <c r="I229" s="12"/>
      <c r="J229" s="13"/>
      <c r="BF229" s="1"/>
      <c r="BG229" s="1"/>
      <c r="BH229" s="1"/>
      <c r="BI229" s="1"/>
      <c r="BK229" s="1"/>
      <c r="BL229" s="1"/>
      <c r="BM229" s="1"/>
      <c r="BN229" s="1"/>
      <c r="BO229" s="1"/>
      <c r="BP229" s="1"/>
      <c r="BQ229" s="1"/>
      <c r="BR229" s="1"/>
      <c r="BX229" s="1"/>
      <c r="CD229" s="1"/>
      <c r="CE229" s="1"/>
      <c r="CF229" s="1"/>
      <c r="CG229" s="1"/>
      <c r="CH229" s="1"/>
      <c r="CI229" s="1"/>
      <c r="CM229" s="2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M229" s="1"/>
      <c r="DQ229" s="1"/>
      <c r="DR229" s="1"/>
      <c r="DY229" s="1"/>
      <c r="DZ229" s="1"/>
      <c r="ED229" s="1"/>
      <c r="EE229" s="1"/>
      <c r="EF229" s="1"/>
      <c r="EG229" s="1"/>
      <c r="EH229" s="1"/>
      <c r="EK229" s="1"/>
      <c r="EL229" s="1"/>
      <c r="EM229" s="1"/>
      <c r="EN229" s="1"/>
      <c r="EQ229" s="1"/>
      <c r="ER229" s="1"/>
      <c r="ES229" s="1"/>
      <c r="EV229" s="1"/>
      <c r="EW229" s="1"/>
      <c r="EY229" s="1"/>
      <c r="EZ229" s="1"/>
      <c r="FA229" s="1"/>
      <c r="FD229" s="1"/>
      <c r="FG229" s="1"/>
      <c r="FH229" s="1"/>
      <c r="FI229" s="1"/>
      <c r="FJ229" s="1"/>
      <c r="FK229" s="1"/>
      <c r="FM229" s="1"/>
      <c r="FN229" s="1"/>
      <c r="FO229" s="1"/>
      <c r="FP229" s="1"/>
      <c r="FQ229" s="1"/>
      <c r="FR229" s="1"/>
      <c r="FS229" s="1"/>
      <c r="FU229" s="1"/>
      <c r="FV229" s="1"/>
      <c r="FW229" s="1"/>
      <c r="FX229" s="1"/>
      <c r="FY229" s="1"/>
      <c r="FZ229" s="1"/>
      <c r="GA229" s="1"/>
      <c r="GD229" s="1"/>
      <c r="GE229" s="1"/>
      <c r="GF229" s="1"/>
      <c r="GG229" s="1"/>
      <c r="GH229" s="1"/>
      <c r="GI229" s="1"/>
      <c r="GJ229" s="1"/>
      <c r="GK229" s="1"/>
      <c r="GL229" s="1"/>
      <c r="GM229" s="1"/>
      <c r="GN229" s="1"/>
      <c r="GO229" s="1"/>
      <c r="GP229" s="1"/>
      <c r="GR229" s="1"/>
      <c r="GY229" s="1"/>
      <c r="HF229" s="1"/>
      <c r="HH229" s="1"/>
      <c r="HN229" s="1"/>
      <c r="HQ229" s="1"/>
      <c r="HT229" s="1"/>
      <c r="HY229" s="1"/>
      <c r="ID229" s="1"/>
      <c r="IE229" s="1"/>
      <c r="IF229" s="1"/>
      <c r="IG229" s="1"/>
      <c r="IJ229" s="1"/>
      <c r="IR229" s="1"/>
      <c r="IS229" s="1"/>
      <c r="IY229" s="1"/>
      <c r="IZ229" s="1"/>
      <c r="JC229" s="1"/>
      <c r="JF229" s="1"/>
      <c r="JG229" s="1"/>
      <c r="JJ229" s="1"/>
      <c r="JK229" s="1"/>
      <c r="JL229" s="3"/>
      <c r="JM229" s="1"/>
      <c r="JP229" s="1"/>
      <c r="JQ229" s="1"/>
      <c r="JR229" s="1"/>
      <c r="JT229" s="1"/>
      <c r="KV229" s="1"/>
      <c r="KW229" s="1"/>
      <c r="KY229" s="1"/>
      <c r="KZ229" s="1"/>
      <c r="LA229" s="1"/>
      <c r="LB229" s="1"/>
      <c r="LC229" s="1"/>
      <c r="LD229" s="1"/>
      <c r="LN229" s="1"/>
      <c r="LO229" s="1"/>
      <c r="LP229" s="1"/>
      <c r="LZ229" s="1"/>
      <c r="MA229" s="1"/>
    </row>
    <row r="230" spans="4:339" ht="13" x14ac:dyDescent="0.15">
      <c r="D230" s="12"/>
      <c r="E230" s="12"/>
      <c r="I230" s="12"/>
      <c r="J230" s="13"/>
      <c r="BF230" s="1"/>
      <c r="BG230" s="1"/>
      <c r="BH230" s="1"/>
      <c r="BI230" s="1"/>
      <c r="BK230" s="1"/>
      <c r="BL230" s="1"/>
      <c r="BM230" s="1"/>
      <c r="BN230" s="1"/>
      <c r="BO230" s="1"/>
      <c r="BP230" s="1"/>
      <c r="BQ230" s="1"/>
      <c r="BR230" s="1"/>
      <c r="BX230" s="1"/>
      <c r="CD230" s="1"/>
      <c r="CE230" s="1"/>
      <c r="CF230" s="1"/>
      <c r="CG230" s="1"/>
      <c r="CH230" s="1"/>
      <c r="CI230" s="1"/>
      <c r="CM230" s="2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M230" s="1"/>
      <c r="DQ230" s="1"/>
      <c r="DR230" s="1"/>
      <c r="DY230" s="1"/>
      <c r="DZ230" s="1"/>
      <c r="ED230" s="1"/>
      <c r="EE230" s="1"/>
      <c r="EF230" s="1"/>
      <c r="EG230" s="1"/>
      <c r="EH230" s="1"/>
      <c r="EK230" s="1"/>
      <c r="EL230" s="1"/>
      <c r="EM230" s="1"/>
      <c r="EN230" s="1"/>
      <c r="EQ230" s="1"/>
      <c r="ER230" s="1"/>
      <c r="ES230" s="1"/>
      <c r="EV230" s="1"/>
      <c r="EW230" s="1"/>
      <c r="EY230" s="1"/>
      <c r="EZ230" s="1"/>
      <c r="FA230" s="1"/>
      <c r="FD230" s="1"/>
      <c r="FG230" s="1"/>
      <c r="FH230" s="1"/>
      <c r="FI230" s="1"/>
      <c r="FJ230" s="1"/>
      <c r="FK230" s="1"/>
      <c r="FM230" s="1"/>
      <c r="FN230" s="1"/>
      <c r="FO230" s="1"/>
      <c r="FP230" s="1"/>
      <c r="FQ230" s="1"/>
      <c r="FR230" s="1"/>
      <c r="FS230" s="1"/>
      <c r="FU230" s="1"/>
      <c r="FV230" s="1"/>
      <c r="FW230" s="1"/>
      <c r="FX230" s="1"/>
      <c r="FY230" s="1"/>
      <c r="FZ230" s="1"/>
      <c r="GA230" s="1"/>
      <c r="GD230" s="1"/>
      <c r="GE230" s="1"/>
      <c r="GF230" s="1"/>
      <c r="GG230" s="1"/>
      <c r="GH230" s="1"/>
      <c r="GI230" s="1"/>
      <c r="GJ230" s="1"/>
      <c r="GK230" s="1"/>
      <c r="GL230" s="1"/>
      <c r="GM230" s="1"/>
      <c r="GN230" s="1"/>
      <c r="GO230" s="1"/>
      <c r="GP230" s="1"/>
      <c r="GR230" s="1"/>
      <c r="GY230" s="1"/>
      <c r="HF230" s="1"/>
      <c r="HH230" s="1"/>
      <c r="HN230" s="1"/>
      <c r="HQ230" s="1"/>
      <c r="HT230" s="1"/>
      <c r="HY230" s="1"/>
      <c r="ID230" s="1"/>
      <c r="IE230" s="1"/>
      <c r="IF230" s="1"/>
      <c r="IG230" s="1"/>
      <c r="IJ230" s="1"/>
      <c r="IR230" s="1"/>
      <c r="IS230" s="1"/>
      <c r="IY230" s="1"/>
      <c r="IZ230" s="1"/>
      <c r="JC230" s="1"/>
      <c r="JF230" s="1"/>
      <c r="JG230" s="1"/>
      <c r="JJ230" s="1"/>
      <c r="JK230" s="1"/>
      <c r="JL230" s="3"/>
      <c r="JM230" s="1"/>
      <c r="JP230" s="1"/>
      <c r="JQ230" s="1"/>
      <c r="JR230" s="1"/>
      <c r="JT230" s="1"/>
      <c r="KV230" s="1"/>
      <c r="KW230" s="1"/>
      <c r="KY230" s="1"/>
      <c r="KZ230" s="1"/>
      <c r="LA230" s="1"/>
      <c r="LB230" s="1"/>
      <c r="LC230" s="1"/>
      <c r="LD230" s="1"/>
      <c r="LN230" s="1"/>
      <c r="LO230" s="1"/>
      <c r="LP230" s="1"/>
      <c r="LZ230" s="1"/>
      <c r="MA230" s="1"/>
    </row>
    <row r="231" spans="4:339" ht="13" x14ac:dyDescent="0.15">
      <c r="D231" s="12"/>
      <c r="E231" s="12"/>
      <c r="I231" s="12"/>
      <c r="J231" s="13"/>
      <c r="BF231" s="1"/>
      <c r="BG231" s="1"/>
      <c r="BH231" s="1"/>
      <c r="BI231" s="1"/>
      <c r="BK231" s="1"/>
      <c r="BL231" s="1"/>
      <c r="BM231" s="1"/>
      <c r="BN231" s="1"/>
      <c r="BO231" s="1"/>
      <c r="BP231" s="1"/>
      <c r="BQ231" s="1"/>
      <c r="BR231" s="1"/>
      <c r="BX231" s="1"/>
      <c r="CD231" s="1"/>
      <c r="CE231" s="1"/>
      <c r="CF231" s="1"/>
      <c r="CG231" s="1"/>
      <c r="CH231" s="1"/>
      <c r="CI231" s="1"/>
      <c r="CM231" s="2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M231" s="1"/>
      <c r="DQ231" s="1"/>
      <c r="DR231" s="1"/>
      <c r="DY231" s="1"/>
      <c r="DZ231" s="1"/>
      <c r="ED231" s="1"/>
      <c r="EE231" s="1"/>
      <c r="EF231" s="1"/>
      <c r="EG231" s="1"/>
      <c r="EH231" s="1"/>
      <c r="EK231" s="1"/>
      <c r="EL231" s="1"/>
      <c r="EM231" s="1"/>
      <c r="EN231" s="1"/>
      <c r="EQ231" s="1"/>
      <c r="ER231" s="1"/>
      <c r="ES231" s="1"/>
      <c r="EV231" s="1"/>
      <c r="EW231" s="1"/>
      <c r="EY231" s="1"/>
      <c r="EZ231" s="1"/>
      <c r="FA231" s="1"/>
      <c r="FD231" s="1"/>
      <c r="FG231" s="1"/>
      <c r="FH231" s="1"/>
      <c r="FI231" s="1"/>
      <c r="FJ231" s="1"/>
      <c r="FK231" s="1"/>
      <c r="FM231" s="1"/>
      <c r="FN231" s="1"/>
      <c r="FO231" s="1"/>
      <c r="FP231" s="1"/>
      <c r="FQ231" s="1"/>
      <c r="FR231" s="1"/>
      <c r="FS231" s="1"/>
      <c r="FU231" s="1"/>
      <c r="FV231" s="1"/>
      <c r="FW231" s="1"/>
      <c r="FX231" s="1"/>
      <c r="FY231" s="1"/>
      <c r="FZ231" s="1"/>
      <c r="GA231" s="1"/>
      <c r="GD231" s="1"/>
      <c r="GE231" s="1"/>
      <c r="GF231" s="1"/>
      <c r="GG231" s="1"/>
      <c r="GH231" s="1"/>
      <c r="GI231" s="1"/>
      <c r="GJ231" s="1"/>
      <c r="GK231" s="1"/>
      <c r="GL231" s="1"/>
      <c r="GM231" s="1"/>
      <c r="GN231" s="1"/>
      <c r="GO231" s="1"/>
      <c r="GP231" s="1"/>
      <c r="GR231" s="1"/>
      <c r="GY231" s="1"/>
      <c r="HF231" s="1"/>
      <c r="HH231" s="1"/>
      <c r="HN231" s="1"/>
      <c r="HQ231" s="1"/>
      <c r="HT231" s="1"/>
      <c r="HY231" s="1"/>
      <c r="ID231" s="1"/>
      <c r="IE231" s="1"/>
      <c r="IF231" s="1"/>
      <c r="IG231" s="1"/>
      <c r="IJ231" s="1"/>
      <c r="IR231" s="1"/>
      <c r="IS231" s="1"/>
      <c r="IY231" s="1"/>
      <c r="IZ231" s="1"/>
      <c r="JC231" s="1"/>
      <c r="JF231" s="1"/>
      <c r="JG231" s="1"/>
      <c r="JJ231" s="1"/>
      <c r="JK231" s="1"/>
      <c r="JL231" s="3"/>
      <c r="JM231" s="1"/>
      <c r="JP231" s="1"/>
      <c r="JQ231" s="1"/>
      <c r="JR231" s="1"/>
      <c r="JT231" s="1"/>
      <c r="KV231" s="1"/>
      <c r="KW231" s="1"/>
      <c r="KY231" s="1"/>
      <c r="KZ231" s="1"/>
      <c r="LA231" s="1"/>
      <c r="LB231" s="1"/>
      <c r="LC231" s="1"/>
      <c r="LD231" s="1"/>
      <c r="LN231" s="1"/>
      <c r="LO231" s="1"/>
      <c r="LP231" s="1"/>
      <c r="LZ231" s="1"/>
      <c r="MA231" s="1"/>
    </row>
    <row r="232" spans="4:339" ht="13" x14ac:dyDescent="0.15">
      <c r="D232" s="12"/>
      <c r="E232" s="12"/>
      <c r="I232" s="12"/>
      <c r="J232" s="13"/>
      <c r="BF232" s="1"/>
      <c r="BG232" s="1"/>
      <c r="BH232" s="1"/>
      <c r="BI232" s="1"/>
      <c r="BK232" s="1"/>
      <c r="BL232" s="1"/>
      <c r="BM232" s="1"/>
      <c r="BN232" s="1"/>
      <c r="BO232" s="1"/>
      <c r="BP232" s="1"/>
      <c r="BQ232" s="1"/>
      <c r="BR232" s="1"/>
      <c r="BX232" s="1"/>
      <c r="CD232" s="1"/>
      <c r="CE232" s="1"/>
      <c r="CF232" s="1"/>
      <c r="CG232" s="1"/>
      <c r="CH232" s="1"/>
      <c r="CI232" s="1"/>
      <c r="CM232" s="2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M232" s="1"/>
      <c r="DQ232" s="1"/>
      <c r="DR232" s="1"/>
      <c r="DY232" s="1"/>
      <c r="DZ232" s="1"/>
      <c r="ED232" s="1"/>
      <c r="EE232" s="1"/>
      <c r="EF232" s="1"/>
      <c r="EG232" s="1"/>
      <c r="EH232" s="1"/>
      <c r="EK232" s="1"/>
      <c r="EL232" s="1"/>
      <c r="EM232" s="1"/>
      <c r="EN232" s="1"/>
      <c r="EQ232" s="1"/>
      <c r="ER232" s="1"/>
      <c r="ES232" s="1"/>
      <c r="EV232" s="1"/>
      <c r="EW232" s="1"/>
      <c r="EY232" s="1"/>
      <c r="EZ232" s="1"/>
      <c r="FA232" s="1"/>
      <c r="FD232" s="1"/>
      <c r="FG232" s="1"/>
      <c r="FH232" s="1"/>
      <c r="FI232" s="1"/>
      <c r="FJ232" s="1"/>
      <c r="FK232" s="1"/>
      <c r="FM232" s="1"/>
      <c r="FN232" s="1"/>
      <c r="FO232" s="1"/>
      <c r="FP232" s="1"/>
      <c r="FQ232" s="1"/>
      <c r="FR232" s="1"/>
      <c r="FS232" s="1"/>
      <c r="FU232" s="1"/>
      <c r="FV232" s="1"/>
      <c r="FW232" s="1"/>
      <c r="FX232" s="1"/>
      <c r="FY232" s="1"/>
      <c r="FZ232" s="1"/>
      <c r="GA232" s="1"/>
      <c r="GD232" s="1"/>
      <c r="GE232" s="1"/>
      <c r="GF232" s="1"/>
      <c r="GG232" s="1"/>
      <c r="GH232" s="1"/>
      <c r="GI232" s="1"/>
      <c r="GJ232" s="1"/>
      <c r="GK232" s="1"/>
      <c r="GL232" s="1"/>
      <c r="GM232" s="1"/>
      <c r="GN232" s="1"/>
      <c r="GO232" s="1"/>
      <c r="GP232" s="1"/>
      <c r="GR232" s="1"/>
      <c r="GY232" s="1"/>
      <c r="HF232" s="1"/>
      <c r="HH232" s="1"/>
      <c r="HN232" s="1"/>
      <c r="HQ232" s="1"/>
      <c r="HT232" s="1"/>
      <c r="HY232" s="1"/>
      <c r="ID232" s="1"/>
      <c r="IE232" s="1"/>
      <c r="IF232" s="1"/>
      <c r="IG232" s="1"/>
      <c r="IJ232" s="1"/>
      <c r="IR232" s="1"/>
      <c r="IS232" s="1"/>
      <c r="IY232" s="1"/>
      <c r="IZ232" s="1"/>
      <c r="JC232" s="1"/>
      <c r="JF232" s="1"/>
      <c r="JG232" s="1"/>
      <c r="JJ232" s="1"/>
      <c r="JK232" s="1"/>
      <c r="JL232" s="3"/>
      <c r="JM232" s="1"/>
      <c r="JP232" s="1"/>
      <c r="JQ232" s="1"/>
      <c r="JR232" s="1"/>
      <c r="JT232" s="1"/>
      <c r="KV232" s="1"/>
      <c r="KW232" s="1"/>
      <c r="KY232" s="1"/>
      <c r="KZ232" s="1"/>
      <c r="LA232" s="1"/>
      <c r="LB232" s="1"/>
      <c r="LC232" s="1"/>
      <c r="LD232" s="1"/>
      <c r="LN232" s="1"/>
      <c r="LO232" s="1"/>
      <c r="LP232" s="1"/>
      <c r="LZ232" s="1"/>
      <c r="MA232" s="1"/>
    </row>
    <row r="233" spans="4:339" ht="13" x14ac:dyDescent="0.15">
      <c r="D233" s="12"/>
      <c r="E233" s="12"/>
      <c r="I233" s="12"/>
      <c r="J233" s="13"/>
      <c r="BF233" s="1"/>
      <c r="BG233" s="1"/>
      <c r="BH233" s="1"/>
      <c r="BI233" s="1"/>
      <c r="BK233" s="1"/>
      <c r="BL233" s="1"/>
      <c r="BM233" s="1"/>
      <c r="BN233" s="1"/>
      <c r="BO233" s="1"/>
      <c r="BP233" s="1"/>
      <c r="BQ233" s="1"/>
      <c r="BR233" s="1"/>
      <c r="BX233" s="1"/>
      <c r="CD233" s="1"/>
      <c r="CE233" s="1"/>
      <c r="CF233" s="1"/>
      <c r="CG233" s="1"/>
      <c r="CH233" s="1"/>
      <c r="CI233" s="1"/>
      <c r="CM233" s="2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M233" s="1"/>
      <c r="DQ233" s="1"/>
      <c r="DR233" s="1"/>
      <c r="DY233" s="1"/>
      <c r="DZ233" s="1"/>
      <c r="ED233" s="1"/>
      <c r="EE233" s="1"/>
      <c r="EF233" s="1"/>
      <c r="EG233" s="1"/>
      <c r="EH233" s="1"/>
      <c r="EK233" s="1"/>
      <c r="EL233" s="1"/>
      <c r="EM233" s="1"/>
      <c r="EN233" s="1"/>
      <c r="EQ233" s="1"/>
      <c r="ER233" s="1"/>
      <c r="ES233" s="1"/>
      <c r="EV233" s="1"/>
      <c r="EW233" s="1"/>
      <c r="EY233" s="1"/>
      <c r="EZ233" s="1"/>
      <c r="FA233" s="1"/>
      <c r="FD233" s="1"/>
      <c r="FG233" s="1"/>
      <c r="FH233" s="1"/>
      <c r="FI233" s="1"/>
      <c r="FJ233" s="1"/>
      <c r="FK233" s="1"/>
      <c r="FM233" s="1"/>
      <c r="FN233" s="1"/>
      <c r="FO233" s="1"/>
      <c r="FP233" s="1"/>
      <c r="FQ233" s="1"/>
      <c r="FR233" s="1"/>
      <c r="FS233" s="1"/>
      <c r="FU233" s="1"/>
      <c r="FV233" s="1"/>
      <c r="FW233" s="1"/>
      <c r="FX233" s="1"/>
      <c r="FY233" s="1"/>
      <c r="FZ233" s="1"/>
      <c r="GA233" s="1"/>
      <c r="GD233" s="1"/>
      <c r="GE233" s="1"/>
      <c r="GF233" s="1"/>
      <c r="GG233" s="1"/>
      <c r="GH233" s="1"/>
      <c r="GI233" s="1"/>
      <c r="GJ233" s="1"/>
      <c r="GK233" s="1"/>
      <c r="GL233" s="1"/>
      <c r="GM233" s="1"/>
      <c r="GN233" s="1"/>
      <c r="GO233" s="1"/>
      <c r="GP233" s="1"/>
      <c r="GR233" s="1"/>
      <c r="GY233" s="1"/>
      <c r="HF233" s="1"/>
      <c r="HH233" s="1"/>
      <c r="HN233" s="1"/>
      <c r="HQ233" s="1"/>
      <c r="HT233" s="1"/>
      <c r="HY233" s="1"/>
      <c r="ID233" s="1"/>
      <c r="IE233" s="1"/>
      <c r="IF233" s="1"/>
      <c r="IG233" s="1"/>
      <c r="IJ233" s="1"/>
      <c r="IR233" s="1"/>
      <c r="IS233" s="1"/>
      <c r="IY233" s="1"/>
      <c r="IZ233" s="1"/>
      <c r="JC233" s="1"/>
      <c r="JF233" s="1"/>
      <c r="JG233" s="1"/>
      <c r="JJ233" s="1"/>
      <c r="JK233" s="1"/>
      <c r="JL233" s="3"/>
      <c r="JM233" s="1"/>
      <c r="JP233" s="1"/>
      <c r="JQ233" s="1"/>
      <c r="JR233" s="1"/>
      <c r="JT233" s="1"/>
      <c r="KV233" s="1"/>
      <c r="KW233" s="1"/>
      <c r="KY233" s="1"/>
      <c r="KZ233" s="1"/>
      <c r="LA233" s="1"/>
      <c r="LB233" s="1"/>
      <c r="LC233" s="1"/>
      <c r="LD233" s="1"/>
      <c r="LN233" s="1"/>
      <c r="LO233" s="1"/>
      <c r="LP233" s="1"/>
      <c r="LZ233" s="1"/>
      <c r="MA233" s="1"/>
    </row>
    <row r="234" spans="4:339" ht="13" x14ac:dyDescent="0.15">
      <c r="D234" s="12"/>
      <c r="E234" s="12"/>
      <c r="I234" s="12"/>
      <c r="J234" s="13"/>
      <c r="BF234" s="1"/>
      <c r="BG234" s="1"/>
      <c r="BH234" s="1"/>
      <c r="BI234" s="1"/>
      <c r="BK234" s="1"/>
      <c r="BL234" s="1"/>
      <c r="BM234" s="1"/>
      <c r="BN234" s="1"/>
      <c r="BO234" s="1"/>
      <c r="BP234" s="1"/>
      <c r="BQ234" s="1"/>
      <c r="BR234" s="1"/>
      <c r="BX234" s="1"/>
      <c r="CD234" s="1"/>
      <c r="CE234" s="1"/>
      <c r="CF234" s="1"/>
      <c r="CG234" s="1"/>
      <c r="CH234" s="1"/>
      <c r="CI234" s="1"/>
      <c r="CM234" s="2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M234" s="1"/>
      <c r="DQ234" s="1"/>
      <c r="DR234" s="1"/>
      <c r="DY234" s="1"/>
      <c r="DZ234" s="1"/>
      <c r="ED234" s="1"/>
      <c r="EE234" s="1"/>
      <c r="EF234" s="1"/>
      <c r="EG234" s="1"/>
      <c r="EH234" s="1"/>
      <c r="EK234" s="1"/>
      <c r="EL234" s="1"/>
      <c r="EM234" s="1"/>
      <c r="EN234" s="1"/>
      <c r="EQ234" s="1"/>
      <c r="ER234" s="1"/>
      <c r="ES234" s="1"/>
      <c r="EV234" s="1"/>
      <c r="EW234" s="1"/>
      <c r="EY234" s="1"/>
      <c r="EZ234" s="1"/>
      <c r="FA234" s="1"/>
      <c r="FD234" s="1"/>
      <c r="FG234" s="1"/>
      <c r="FH234" s="1"/>
      <c r="FI234" s="1"/>
      <c r="FJ234" s="1"/>
      <c r="FK234" s="1"/>
      <c r="FM234" s="1"/>
      <c r="FN234" s="1"/>
      <c r="FO234" s="1"/>
      <c r="FP234" s="1"/>
      <c r="FQ234" s="1"/>
      <c r="FR234" s="1"/>
      <c r="FS234" s="1"/>
      <c r="FU234" s="1"/>
      <c r="FV234" s="1"/>
      <c r="FW234" s="1"/>
      <c r="FX234" s="1"/>
      <c r="FY234" s="1"/>
      <c r="FZ234" s="1"/>
      <c r="GA234" s="1"/>
      <c r="GD234" s="1"/>
      <c r="GE234" s="1"/>
      <c r="GF234" s="1"/>
      <c r="GG234" s="1"/>
      <c r="GH234" s="1"/>
      <c r="GI234" s="1"/>
      <c r="GJ234" s="1"/>
      <c r="GK234" s="1"/>
      <c r="GL234" s="1"/>
      <c r="GM234" s="1"/>
      <c r="GN234" s="1"/>
      <c r="GO234" s="1"/>
      <c r="GP234" s="1"/>
      <c r="GR234" s="1"/>
      <c r="GY234" s="1"/>
      <c r="HF234" s="1"/>
      <c r="HH234" s="1"/>
      <c r="HN234" s="1"/>
      <c r="HQ234" s="1"/>
      <c r="HT234" s="1"/>
      <c r="HY234" s="1"/>
      <c r="ID234" s="1"/>
      <c r="IE234" s="1"/>
      <c r="IF234" s="1"/>
      <c r="IG234" s="1"/>
      <c r="IJ234" s="1"/>
      <c r="IR234" s="1"/>
      <c r="IS234" s="1"/>
      <c r="IY234" s="1"/>
      <c r="IZ234" s="1"/>
      <c r="JC234" s="1"/>
      <c r="JF234" s="1"/>
      <c r="JG234" s="1"/>
      <c r="JJ234" s="1"/>
      <c r="JK234" s="1"/>
      <c r="JL234" s="3"/>
      <c r="JM234" s="1"/>
      <c r="JP234" s="1"/>
      <c r="JQ234" s="1"/>
      <c r="JR234" s="1"/>
      <c r="JT234" s="1"/>
      <c r="KV234" s="1"/>
      <c r="KW234" s="1"/>
      <c r="KY234" s="1"/>
      <c r="KZ234" s="1"/>
      <c r="LA234" s="1"/>
      <c r="LB234" s="1"/>
      <c r="LC234" s="1"/>
      <c r="LD234" s="1"/>
      <c r="LN234" s="1"/>
      <c r="LO234" s="1"/>
      <c r="LP234" s="1"/>
      <c r="LZ234" s="1"/>
      <c r="MA234" s="1"/>
    </row>
    <row r="235" spans="4:339" ht="13" x14ac:dyDescent="0.15">
      <c r="D235" s="12"/>
      <c r="E235" s="12"/>
      <c r="I235" s="12"/>
      <c r="J235" s="13"/>
      <c r="BF235" s="1"/>
      <c r="BG235" s="1"/>
      <c r="BH235" s="1"/>
      <c r="BI235" s="1"/>
      <c r="BK235" s="1"/>
      <c r="BL235" s="1"/>
      <c r="BM235" s="1"/>
      <c r="BN235" s="1"/>
      <c r="BO235" s="1"/>
      <c r="BP235" s="1"/>
      <c r="BQ235" s="1"/>
      <c r="BR235" s="1"/>
      <c r="BX235" s="1"/>
      <c r="CD235" s="1"/>
      <c r="CE235" s="1"/>
      <c r="CF235" s="1"/>
      <c r="CG235" s="1"/>
      <c r="CH235" s="1"/>
      <c r="CI235" s="1"/>
      <c r="CM235" s="2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M235" s="1"/>
      <c r="DQ235" s="1"/>
      <c r="DR235" s="1"/>
      <c r="DY235" s="1"/>
      <c r="DZ235" s="1"/>
      <c r="ED235" s="1"/>
      <c r="EE235" s="1"/>
      <c r="EF235" s="1"/>
      <c r="EG235" s="1"/>
      <c r="EH235" s="1"/>
      <c r="EK235" s="1"/>
      <c r="EL235" s="1"/>
      <c r="EM235" s="1"/>
      <c r="EN235" s="1"/>
      <c r="EQ235" s="1"/>
      <c r="ER235" s="1"/>
      <c r="ES235" s="1"/>
      <c r="EV235" s="1"/>
      <c r="EW235" s="1"/>
      <c r="EY235" s="1"/>
      <c r="EZ235" s="1"/>
      <c r="FA235" s="1"/>
      <c r="FD235" s="1"/>
      <c r="FG235" s="1"/>
      <c r="FH235" s="1"/>
      <c r="FI235" s="1"/>
      <c r="FJ235" s="1"/>
      <c r="FK235" s="1"/>
      <c r="FM235" s="1"/>
      <c r="FN235" s="1"/>
      <c r="FO235" s="1"/>
      <c r="FP235" s="1"/>
      <c r="FQ235" s="1"/>
      <c r="FR235" s="1"/>
      <c r="FS235" s="1"/>
      <c r="FU235" s="1"/>
      <c r="FV235" s="1"/>
      <c r="FW235" s="1"/>
      <c r="FX235" s="1"/>
      <c r="FY235" s="1"/>
      <c r="FZ235" s="1"/>
      <c r="GA235" s="1"/>
      <c r="GD235" s="1"/>
      <c r="GE235" s="1"/>
      <c r="GF235" s="1"/>
      <c r="GG235" s="1"/>
      <c r="GH235" s="1"/>
      <c r="GI235" s="1"/>
      <c r="GJ235" s="1"/>
      <c r="GK235" s="1"/>
      <c r="GL235" s="1"/>
      <c r="GM235" s="1"/>
      <c r="GN235" s="1"/>
      <c r="GO235" s="1"/>
      <c r="GP235" s="1"/>
      <c r="GR235" s="1"/>
      <c r="GY235" s="1"/>
      <c r="HF235" s="1"/>
      <c r="HH235" s="1"/>
      <c r="HN235" s="1"/>
      <c r="HQ235" s="1"/>
      <c r="HT235" s="1"/>
      <c r="HY235" s="1"/>
      <c r="ID235" s="1"/>
      <c r="IE235" s="1"/>
      <c r="IF235" s="1"/>
      <c r="IG235" s="1"/>
      <c r="IJ235" s="1"/>
      <c r="IR235" s="1"/>
      <c r="IS235" s="1"/>
      <c r="IY235" s="1"/>
      <c r="IZ235" s="1"/>
      <c r="JC235" s="1"/>
      <c r="JF235" s="1"/>
      <c r="JG235" s="1"/>
      <c r="JJ235" s="1"/>
      <c r="JK235" s="1"/>
      <c r="JL235" s="3"/>
      <c r="JM235" s="1"/>
      <c r="JP235" s="1"/>
      <c r="JQ235" s="1"/>
      <c r="JR235" s="1"/>
      <c r="JT235" s="1"/>
      <c r="KV235" s="1"/>
      <c r="KW235" s="1"/>
      <c r="KY235" s="1"/>
      <c r="KZ235" s="1"/>
      <c r="LA235" s="1"/>
      <c r="LB235" s="1"/>
      <c r="LC235" s="1"/>
      <c r="LD235" s="1"/>
      <c r="LN235" s="1"/>
      <c r="LO235" s="1"/>
      <c r="LP235" s="1"/>
      <c r="LZ235" s="1"/>
      <c r="MA235" s="1"/>
    </row>
    <row r="236" spans="4:339" ht="13" x14ac:dyDescent="0.15">
      <c r="D236" s="12"/>
      <c r="E236" s="12"/>
      <c r="I236" s="12"/>
      <c r="J236" s="13"/>
      <c r="BF236" s="1"/>
      <c r="BG236" s="1"/>
      <c r="BH236" s="1"/>
      <c r="BI236" s="1"/>
      <c r="BK236" s="1"/>
      <c r="BL236" s="1"/>
      <c r="BM236" s="1"/>
      <c r="BN236" s="1"/>
      <c r="BO236" s="1"/>
      <c r="BP236" s="1"/>
      <c r="BQ236" s="1"/>
      <c r="BR236" s="1"/>
      <c r="BX236" s="1"/>
      <c r="CD236" s="1"/>
      <c r="CE236" s="1"/>
      <c r="CF236" s="1"/>
      <c r="CG236" s="1"/>
      <c r="CH236" s="1"/>
      <c r="CI236" s="1"/>
      <c r="CM236" s="2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M236" s="1"/>
      <c r="DQ236" s="1"/>
      <c r="DR236" s="1"/>
      <c r="DY236" s="1"/>
      <c r="DZ236" s="1"/>
      <c r="ED236" s="1"/>
      <c r="EE236" s="1"/>
      <c r="EF236" s="1"/>
      <c r="EG236" s="1"/>
      <c r="EH236" s="1"/>
      <c r="EK236" s="1"/>
      <c r="EL236" s="1"/>
      <c r="EM236" s="1"/>
      <c r="EN236" s="1"/>
      <c r="EQ236" s="1"/>
      <c r="ER236" s="1"/>
      <c r="ES236" s="1"/>
      <c r="EV236" s="1"/>
      <c r="EW236" s="1"/>
      <c r="EY236" s="1"/>
      <c r="EZ236" s="1"/>
      <c r="FA236" s="1"/>
      <c r="FD236" s="1"/>
      <c r="FG236" s="1"/>
      <c r="FH236" s="1"/>
      <c r="FI236" s="1"/>
      <c r="FJ236" s="1"/>
      <c r="FK236" s="1"/>
      <c r="FM236" s="1"/>
      <c r="FN236" s="1"/>
      <c r="FO236" s="1"/>
      <c r="FP236" s="1"/>
      <c r="FQ236" s="1"/>
      <c r="FR236" s="1"/>
      <c r="FS236" s="1"/>
      <c r="FU236" s="1"/>
      <c r="FV236" s="1"/>
      <c r="FW236" s="1"/>
      <c r="FX236" s="1"/>
      <c r="FY236" s="1"/>
      <c r="FZ236" s="1"/>
      <c r="GA236" s="1"/>
      <c r="GD236" s="1"/>
      <c r="GE236" s="1"/>
      <c r="GF236" s="1"/>
      <c r="GG236" s="1"/>
      <c r="GH236" s="1"/>
      <c r="GI236" s="1"/>
      <c r="GJ236" s="1"/>
      <c r="GK236" s="1"/>
      <c r="GL236" s="1"/>
      <c r="GM236" s="1"/>
      <c r="GN236" s="1"/>
      <c r="GO236" s="1"/>
      <c r="GP236" s="1"/>
      <c r="GR236" s="1"/>
      <c r="GY236" s="1"/>
      <c r="HF236" s="1"/>
      <c r="HH236" s="1"/>
      <c r="HN236" s="1"/>
      <c r="HQ236" s="1"/>
      <c r="HT236" s="1"/>
      <c r="HY236" s="1"/>
      <c r="ID236" s="1"/>
      <c r="IE236" s="1"/>
      <c r="IF236" s="1"/>
      <c r="IG236" s="1"/>
      <c r="IJ236" s="1"/>
      <c r="IR236" s="1"/>
      <c r="IS236" s="1"/>
      <c r="IY236" s="1"/>
      <c r="IZ236" s="1"/>
      <c r="JC236" s="1"/>
      <c r="JF236" s="1"/>
      <c r="JG236" s="1"/>
      <c r="JJ236" s="1"/>
      <c r="JK236" s="1"/>
      <c r="JL236" s="3"/>
      <c r="JM236" s="1"/>
      <c r="JP236" s="1"/>
      <c r="JQ236" s="1"/>
      <c r="JR236" s="1"/>
      <c r="JT236" s="1"/>
      <c r="KV236" s="1"/>
      <c r="KW236" s="1"/>
      <c r="KY236" s="1"/>
      <c r="KZ236" s="1"/>
      <c r="LA236" s="1"/>
      <c r="LB236" s="1"/>
      <c r="LC236" s="1"/>
      <c r="LD236" s="1"/>
      <c r="LN236" s="1"/>
      <c r="LO236" s="1"/>
      <c r="LP236" s="1"/>
      <c r="LZ236" s="1"/>
      <c r="MA236" s="1"/>
    </row>
    <row r="237" spans="4:339" ht="13" x14ac:dyDescent="0.15">
      <c r="D237" s="12"/>
      <c r="E237" s="12"/>
      <c r="I237" s="12"/>
      <c r="J237" s="13"/>
      <c r="BF237" s="1"/>
      <c r="BG237" s="1"/>
      <c r="BH237" s="1"/>
      <c r="BI237" s="1"/>
      <c r="BK237" s="1"/>
      <c r="BL237" s="1"/>
      <c r="BM237" s="1"/>
      <c r="BN237" s="1"/>
      <c r="BO237" s="1"/>
      <c r="BP237" s="1"/>
      <c r="BQ237" s="1"/>
      <c r="BR237" s="1"/>
      <c r="BX237" s="1"/>
      <c r="CD237" s="1"/>
      <c r="CE237" s="1"/>
      <c r="CF237" s="1"/>
      <c r="CG237" s="1"/>
      <c r="CH237" s="1"/>
      <c r="CI237" s="1"/>
      <c r="CM237" s="2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M237" s="1"/>
      <c r="DQ237" s="1"/>
      <c r="DR237" s="1"/>
      <c r="DY237" s="1"/>
      <c r="DZ237" s="1"/>
      <c r="ED237" s="1"/>
      <c r="EE237" s="1"/>
      <c r="EF237" s="1"/>
      <c r="EG237" s="1"/>
      <c r="EH237" s="1"/>
      <c r="EK237" s="1"/>
      <c r="EL237" s="1"/>
      <c r="EM237" s="1"/>
      <c r="EN237" s="1"/>
      <c r="EQ237" s="1"/>
      <c r="ER237" s="1"/>
      <c r="ES237" s="1"/>
      <c r="EV237" s="1"/>
      <c r="EW237" s="1"/>
      <c r="EY237" s="1"/>
      <c r="EZ237" s="1"/>
      <c r="FA237" s="1"/>
      <c r="FD237" s="1"/>
      <c r="FG237" s="1"/>
      <c r="FH237" s="1"/>
      <c r="FI237" s="1"/>
      <c r="FJ237" s="1"/>
      <c r="FK237" s="1"/>
      <c r="FM237" s="1"/>
      <c r="FN237" s="1"/>
      <c r="FO237" s="1"/>
      <c r="FP237" s="1"/>
      <c r="FQ237" s="1"/>
      <c r="FR237" s="1"/>
      <c r="FS237" s="1"/>
      <c r="FU237" s="1"/>
      <c r="FV237" s="1"/>
      <c r="FW237" s="1"/>
      <c r="FX237" s="1"/>
      <c r="FY237" s="1"/>
      <c r="FZ237" s="1"/>
      <c r="GA237" s="1"/>
      <c r="GD237" s="1"/>
      <c r="GE237" s="1"/>
      <c r="GF237" s="1"/>
      <c r="GG237" s="1"/>
      <c r="GH237" s="1"/>
      <c r="GI237" s="1"/>
      <c r="GJ237" s="1"/>
      <c r="GK237" s="1"/>
      <c r="GL237" s="1"/>
      <c r="GM237" s="1"/>
      <c r="GN237" s="1"/>
      <c r="GO237" s="1"/>
      <c r="GP237" s="1"/>
      <c r="GR237" s="1"/>
      <c r="GY237" s="1"/>
      <c r="HF237" s="1"/>
      <c r="HH237" s="1"/>
      <c r="HN237" s="1"/>
      <c r="HQ237" s="1"/>
      <c r="HT237" s="1"/>
      <c r="HY237" s="1"/>
      <c r="ID237" s="1"/>
      <c r="IE237" s="1"/>
      <c r="IF237" s="1"/>
      <c r="IG237" s="1"/>
      <c r="IJ237" s="1"/>
      <c r="IR237" s="1"/>
      <c r="IS237" s="1"/>
      <c r="IY237" s="1"/>
      <c r="IZ237" s="1"/>
      <c r="JC237" s="1"/>
      <c r="JF237" s="1"/>
      <c r="JG237" s="1"/>
      <c r="JJ237" s="1"/>
      <c r="JK237" s="1"/>
      <c r="JL237" s="3"/>
      <c r="JM237" s="1"/>
      <c r="JP237" s="1"/>
      <c r="JQ237" s="1"/>
      <c r="JR237" s="1"/>
      <c r="JT237" s="1"/>
      <c r="KV237" s="1"/>
      <c r="KW237" s="1"/>
      <c r="KY237" s="1"/>
      <c r="KZ237" s="1"/>
      <c r="LA237" s="1"/>
      <c r="LB237" s="1"/>
      <c r="LC237" s="1"/>
      <c r="LD237" s="1"/>
      <c r="LN237" s="1"/>
      <c r="LO237" s="1"/>
      <c r="LP237" s="1"/>
      <c r="LZ237" s="1"/>
      <c r="MA237" s="1"/>
    </row>
    <row r="238" spans="4:339" ht="13" x14ac:dyDescent="0.15">
      <c r="D238" s="12"/>
      <c r="E238" s="12"/>
      <c r="I238" s="12"/>
      <c r="J238" s="13"/>
      <c r="BF238" s="1"/>
      <c r="BG238" s="1"/>
      <c r="BH238" s="1"/>
      <c r="BI238" s="1"/>
      <c r="BK238" s="1"/>
      <c r="BL238" s="1"/>
      <c r="BM238" s="1"/>
      <c r="BN238" s="1"/>
      <c r="BO238" s="1"/>
      <c r="BP238" s="1"/>
      <c r="BQ238" s="1"/>
      <c r="BR238" s="1"/>
      <c r="BX238" s="1"/>
      <c r="CD238" s="1"/>
      <c r="CE238" s="1"/>
      <c r="CF238" s="1"/>
      <c r="CG238" s="1"/>
      <c r="CH238" s="1"/>
      <c r="CI238" s="1"/>
      <c r="CM238" s="2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M238" s="1"/>
      <c r="DQ238" s="1"/>
      <c r="DR238" s="1"/>
      <c r="DY238" s="1"/>
      <c r="DZ238" s="1"/>
      <c r="ED238" s="1"/>
      <c r="EE238" s="1"/>
      <c r="EF238" s="1"/>
      <c r="EG238" s="1"/>
      <c r="EH238" s="1"/>
      <c r="EK238" s="1"/>
      <c r="EL238" s="1"/>
      <c r="EM238" s="1"/>
      <c r="EN238" s="1"/>
      <c r="EQ238" s="1"/>
      <c r="ER238" s="1"/>
      <c r="ES238" s="1"/>
      <c r="EV238" s="1"/>
      <c r="EW238" s="1"/>
      <c r="EY238" s="1"/>
      <c r="EZ238" s="1"/>
      <c r="FA238" s="1"/>
      <c r="FD238" s="1"/>
      <c r="FG238" s="1"/>
      <c r="FH238" s="1"/>
      <c r="FI238" s="1"/>
      <c r="FJ238" s="1"/>
      <c r="FK238" s="1"/>
      <c r="FM238" s="1"/>
      <c r="FN238" s="1"/>
      <c r="FO238" s="1"/>
      <c r="FP238" s="1"/>
      <c r="FQ238" s="1"/>
      <c r="FR238" s="1"/>
      <c r="FS238" s="1"/>
      <c r="FU238" s="1"/>
      <c r="FV238" s="1"/>
      <c r="FW238" s="1"/>
      <c r="FX238" s="1"/>
      <c r="FY238" s="1"/>
      <c r="FZ238" s="1"/>
      <c r="GA238" s="1"/>
      <c r="GD238" s="1"/>
      <c r="GE238" s="1"/>
      <c r="GF238" s="1"/>
      <c r="GG238" s="1"/>
      <c r="GH238" s="1"/>
      <c r="GI238" s="1"/>
      <c r="GJ238" s="1"/>
      <c r="GK238" s="1"/>
      <c r="GL238" s="1"/>
      <c r="GM238" s="1"/>
      <c r="GN238" s="1"/>
      <c r="GO238" s="1"/>
      <c r="GP238" s="1"/>
      <c r="GR238" s="1"/>
      <c r="GY238" s="1"/>
      <c r="HF238" s="1"/>
      <c r="HH238" s="1"/>
      <c r="HN238" s="1"/>
      <c r="HQ238" s="1"/>
      <c r="HT238" s="1"/>
      <c r="HY238" s="1"/>
      <c r="ID238" s="1"/>
      <c r="IE238" s="1"/>
      <c r="IF238" s="1"/>
      <c r="IG238" s="1"/>
      <c r="IJ238" s="1"/>
      <c r="IR238" s="1"/>
      <c r="IS238" s="1"/>
      <c r="IY238" s="1"/>
      <c r="IZ238" s="1"/>
      <c r="JC238" s="1"/>
      <c r="JF238" s="1"/>
      <c r="JG238" s="1"/>
      <c r="JJ238" s="1"/>
      <c r="JK238" s="1"/>
      <c r="JL238" s="3"/>
      <c r="JM238" s="1"/>
      <c r="JP238" s="1"/>
      <c r="JQ238" s="1"/>
      <c r="JR238" s="1"/>
      <c r="JT238" s="1"/>
      <c r="KV238" s="1"/>
      <c r="KW238" s="1"/>
      <c r="KY238" s="1"/>
      <c r="KZ238" s="1"/>
      <c r="LA238" s="1"/>
      <c r="LB238" s="1"/>
      <c r="LC238" s="1"/>
      <c r="LD238" s="1"/>
      <c r="LN238" s="1"/>
      <c r="LO238" s="1"/>
      <c r="LP238" s="1"/>
      <c r="LZ238" s="1"/>
      <c r="MA238" s="1"/>
    </row>
    <row r="239" spans="4:339" ht="13" x14ac:dyDescent="0.15">
      <c r="D239" s="12"/>
      <c r="E239" s="12"/>
      <c r="I239" s="12"/>
      <c r="J239" s="13"/>
      <c r="BF239" s="1"/>
      <c r="BG239" s="1"/>
      <c r="BH239" s="1"/>
      <c r="BI239" s="1"/>
      <c r="BK239" s="1"/>
      <c r="BL239" s="1"/>
      <c r="BM239" s="1"/>
      <c r="BN239" s="1"/>
      <c r="BO239" s="1"/>
      <c r="BP239" s="1"/>
      <c r="BQ239" s="1"/>
      <c r="BR239" s="1"/>
      <c r="BX239" s="1"/>
      <c r="CD239" s="1"/>
      <c r="CE239" s="1"/>
      <c r="CF239" s="1"/>
      <c r="CG239" s="1"/>
      <c r="CH239" s="1"/>
      <c r="CI239" s="1"/>
      <c r="CM239" s="2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M239" s="1"/>
      <c r="DQ239" s="1"/>
      <c r="DR239" s="1"/>
      <c r="DY239" s="1"/>
      <c r="DZ239" s="1"/>
      <c r="ED239" s="1"/>
      <c r="EE239" s="1"/>
      <c r="EF239" s="1"/>
      <c r="EG239" s="1"/>
      <c r="EH239" s="1"/>
      <c r="EK239" s="1"/>
      <c r="EL239" s="1"/>
      <c r="EM239" s="1"/>
      <c r="EN239" s="1"/>
      <c r="EQ239" s="1"/>
      <c r="ER239" s="1"/>
      <c r="ES239" s="1"/>
      <c r="EV239" s="1"/>
      <c r="EW239" s="1"/>
      <c r="EY239" s="1"/>
      <c r="EZ239" s="1"/>
      <c r="FA239" s="1"/>
      <c r="FD239" s="1"/>
      <c r="FG239" s="1"/>
      <c r="FH239" s="1"/>
      <c r="FI239" s="1"/>
      <c r="FJ239" s="1"/>
      <c r="FK239" s="1"/>
      <c r="FM239" s="1"/>
      <c r="FN239" s="1"/>
      <c r="FO239" s="1"/>
      <c r="FP239" s="1"/>
      <c r="FQ239" s="1"/>
      <c r="FR239" s="1"/>
      <c r="FS239" s="1"/>
      <c r="FU239" s="1"/>
      <c r="FV239" s="1"/>
      <c r="FW239" s="1"/>
      <c r="FX239" s="1"/>
      <c r="FY239" s="1"/>
      <c r="FZ239" s="1"/>
      <c r="GA239" s="1"/>
      <c r="GD239" s="1"/>
      <c r="GE239" s="1"/>
      <c r="GF239" s="1"/>
      <c r="GG239" s="1"/>
      <c r="GH239" s="1"/>
      <c r="GI239" s="1"/>
      <c r="GJ239" s="1"/>
      <c r="GK239" s="1"/>
      <c r="GL239" s="1"/>
      <c r="GM239" s="1"/>
      <c r="GN239" s="1"/>
      <c r="GO239" s="1"/>
      <c r="GP239" s="1"/>
      <c r="GR239" s="1"/>
      <c r="GY239" s="1"/>
      <c r="HF239" s="1"/>
      <c r="HH239" s="1"/>
      <c r="HN239" s="1"/>
      <c r="HQ239" s="1"/>
      <c r="HT239" s="1"/>
      <c r="HY239" s="1"/>
      <c r="ID239" s="1"/>
      <c r="IE239" s="1"/>
      <c r="IF239" s="1"/>
      <c r="IG239" s="1"/>
      <c r="IJ239" s="1"/>
      <c r="IR239" s="1"/>
      <c r="IS239" s="1"/>
      <c r="IY239" s="1"/>
      <c r="IZ239" s="1"/>
      <c r="JC239" s="1"/>
      <c r="JF239" s="1"/>
      <c r="JG239" s="1"/>
      <c r="JJ239" s="1"/>
      <c r="JK239" s="1"/>
      <c r="JL239" s="3"/>
      <c r="JM239" s="1"/>
      <c r="JP239" s="1"/>
      <c r="JQ239" s="1"/>
      <c r="JR239" s="1"/>
      <c r="JT239" s="1"/>
      <c r="KV239" s="1"/>
      <c r="KW239" s="1"/>
      <c r="KY239" s="1"/>
      <c r="KZ239" s="1"/>
      <c r="LA239" s="1"/>
      <c r="LB239" s="1"/>
      <c r="LC239" s="1"/>
      <c r="LD239" s="1"/>
      <c r="LN239" s="1"/>
      <c r="LO239" s="1"/>
      <c r="LP239" s="1"/>
      <c r="LZ239" s="1"/>
      <c r="MA239" s="1"/>
    </row>
    <row r="240" spans="4:339" ht="13" x14ac:dyDescent="0.15">
      <c r="D240" s="12"/>
      <c r="E240" s="12"/>
      <c r="I240" s="12"/>
      <c r="J240" s="13"/>
      <c r="BF240" s="1"/>
      <c r="BG240" s="1"/>
      <c r="BH240" s="1"/>
      <c r="BI240" s="1"/>
      <c r="BK240" s="1"/>
      <c r="BL240" s="1"/>
      <c r="BM240" s="1"/>
      <c r="BN240" s="1"/>
      <c r="BO240" s="1"/>
      <c r="BP240" s="1"/>
      <c r="BQ240" s="1"/>
      <c r="BR240" s="1"/>
      <c r="BX240" s="1"/>
      <c r="CD240" s="1"/>
      <c r="CE240" s="1"/>
      <c r="CF240" s="1"/>
      <c r="CG240" s="1"/>
      <c r="CH240" s="1"/>
      <c r="CI240" s="1"/>
      <c r="CM240" s="2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M240" s="1"/>
      <c r="DQ240" s="1"/>
      <c r="DR240" s="1"/>
      <c r="DY240" s="1"/>
      <c r="DZ240" s="1"/>
      <c r="ED240" s="1"/>
      <c r="EE240" s="1"/>
      <c r="EF240" s="1"/>
      <c r="EG240" s="1"/>
      <c r="EH240" s="1"/>
      <c r="EK240" s="1"/>
      <c r="EL240" s="1"/>
      <c r="EM240" s="1"/>
      <c r="EN240" s="1"/>
      <c r="EQ240" s="1"/>
      <c r="ER240" s="1"/>
      <c r="ES240" s="1"/>
      <c r="EV240" s="1"/>
      <c r="EW240" s="1"/>
      <c r="EY240" s="1"/>
      <c r="EZ240" s="1"/>
      <c r="FA240" s="1"/>
      <c r="FD240" s="1"/>
      <c r="FG240" s="1"/>
      <c r="FH240" s="1"/>
      <c r="FI240" s="1"/>
      <c r="FJ240" s="1"/>
      <c r="FK240" s="1"/>
      <c r="FM240" s="1"/>
      <c r="FN240" s="1"/>
      <c r="FO240" s="1"/>
      <c r="FP240" s="1"/>
      <c r="FQ240" s="1"/>
      <c r="FR240" s="1"/>
      <c r="FS240" s="1"/>
      <c r="FU240" s="1"/>
      <c r="FV240" s="1"/>
      <c r="FW240" s="1"/>
      <c r="FX240" s="1"/>
      <c r="FY240" s="1"/>
      <c r="FZ240" s="1"/>
      <c r="GA240" s="1"/>
      <c r="GD240" s="1"/>
      <c r="GE240" s="1"/>
      <c r="GF240" s="1"/>
      <c r="GG240" s="1"/>
      <c r="GH240" s="1"/>
      <c r="GI240" s="1"/>
      <c r="GJ240" s="1"/>
      <c r="GK240" s="1"/>
      <c r="GL240" s="1"/>
      <c r="GM240" s="1"/>
      <c r="GN240" s="1"/>
      <c r="GO240" s="1"/>
      <c r="GP240" s="1"/>
      <c r="GR240" s="1"/>
      <c r="GY240" s="1"/>
      <c r="HF240" s="1"/>
      <c r="HH240" s="1"/>
      <c r="HN240" s="1"/>
      <c r="HQ240" s="1"/>
      <c r="HT240" s="1"/>
      <c r="HY240" s="1"/>
      <c r="ID240" s="1"/>
      <c r="IE240" s="1"/>
      <c r="IF240" s="1"/>
      <c r="IG240" s="1"/>
      <c r="IJ240" s="1"/>
      <c r="IR240" s="1"/>
      <c r="IS240" s="1"/>
      <c r="IY240" s="1"/>
      <c r="IZ240" s="1"/>
      <c r="JC240" s="1"/>
      <c r="JF240" s="1"/>
      <c r="JG240" s="1"/>
      <c r="JJ240" s="1"/>
      <c r="JK240" s="1"/>
      <c r="JL240" s="3"/>
      <c r="JM240" s="1"/>
      <c r="JP240" s="1"/>
      <c r="JQ240" s="1"/>
      <c r="JR240" s="1"/>
      <c r="JT240" s="1"/>
      <c r="KV240" s="1"/>
      <c r="KW240" s="1"/>
      <c r="KY240" s="1"/>
      <c r="KZ240" s="1"/>
      <c r="LA240" s="1"/>
      <c r="LB240" s="1"/>
      <c r="LC240" s="1"/>
      <c r="LD240" s="1"/>
      <c r="LN240" s="1"/>
      <c r="LO240" s="1"/>
      <c r="LP240" s="1"/>
      <c r="LZ240" s="1"/>
      <c r="MA240" s="1"/>
    </row>
    <row r="241" spans="4:339" ht="13" x14ac:dyDescent="0.15">
      <c r="D241" s="12"/>
      <c r="E241" s="12"/>
      <c r="I241" s="12"/>
      <c r="J241" s="13"/>
      <c r="BF241" s="1"/>
      <c r="BG241" s="1"/>
      <c r="BH241" s="1"/>
      <c r="BI241" s="1"/>
      <c r="BK241" s="1"/>
      <c r="BL241" s="1"/>
      <c r="BM241" s="1"/>
      <c r="BN241" s="1"/>
      <c r="BO241" s="1"/>
      <c r="BP241" s="1"/>
      <c r="BQ241" s="1"/>
      <c r="BR241" s="1"/>
      <c r="BX241" s="1"/>
      <c r="CD241" s="1"/>
      <c r="CE241" s="1"/>
      <c r="CF241" s="1"/>
      <c r="CG241" s="1"/>
      <c r="CH241" s="1"/>
      <c r="CI241" s="1"/>
      <c r="CM241" s="2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M241" s="1"/>
      <c r="DQ241" s="1"/>
      <c r="DR241" s="1"/>
      <c r="DY241" s="1"/>
      <c r="DZ241" s="1"/>
      <c r="ED241" s="1"/>
      <c r="EE241" s="1"/>
      <c r="EF241" s="1"/>
      <c r="EG241" s="1"/>
      <c r="EH241" s="1"/>
      <c r="EK241" s="1"/>
      <c r="EL241" s="1"/>
      <c r="EM241" s="1"/>
      <c r="EN241" s="1"/>
      <c r="EQ241" s="1"/>
      <c r="ER241" s="1"/>
      <c r="ES241" s="1"/>
      <c r="EV241" s="1"/>
      <c r="EW241" s="1"/>
      <c r="EY241" s="1"/>
      <c r="EZ241" s="1"/>
      <c r="FA241" s="1"/>
      <c r="FD241" s="1"/>
      <c r="FG241" s="1"/>
      <c r="FH241" s="1"/>
      <c r="FI241" s="1"/>
      <c r="FJ241" s="1"/>
      <c r="FK241" s="1"/>
      <c r="FM241" s="1"/>
      <c r="FN241" s="1"/>
      <c r="FO241" s="1"/>
      <c r="FP241" s="1"/>
      <c r="FQ241" s="1"/>
      <c r="FR241" s="1"/>
      <c r="FS241" s="1"/>
      <c r="FU241" s="1"/>
      <c r="FV241" s="1"/>
      <c r="FW241" s="1"/>
      <c r="FX241" s="1"/>
      <c r="FY241" s="1"/>
      <c r="FZ241" s="1"/>
      <c r="GA241" s="1"/>
      <c r="GD241" s="1"/>
      <c r="GE241" s="1"/>
      <c r="GF241" s="1"/>
      <c r="GG241" s="1"/>
      <c r="GH241" s="1"/>
      <c r="GI241" s="1"/>
      <c r="GJ241" s="1"/>
      <c r="GK241" s="1"/>
      <c r="GL241" s="1"/>
      <c r="GM241" s="1"/>
      <c r="GN241" s="1"/>
      <c r="GO241" s="1"/>
      <c r="GP241" s="1"/>
      <c r="GR241" s="1"/>
      <c r="GY241" s="1"/>
      <c r="HF241" s="1"/>
      <c r="HH241" s="1"/>
      <c r="HN241" s="1"/>
      <c r="HQ241" s="1"/>
      <c r="HT241" s="1"/>
      <c r="HY241" s="1"/>
      <c r="ID241" s="1"/>
      <c r="IE241" s="1"/>
      <c r="IF241" s="1"/>
      <c r="IG241" s="1"/>
      <c r="IJ241" s="1"/>
      <c r="IR241" s="1"/>
      <c r="IS241" s="1"/>
      <c r="IY241" s="1"/>
      <c r="IZ241" s="1"/>
      <c r="JC241" s="1"/>
      <c r="JF241" s="1"/>
      <c r="JG241" s="1"/>
      <c r="JJ241" s="1"/>
      <c r="JK241" s="1"/>
      <c r="JL241" s="3"/>
      <c r="JM241" s="1"/>
      <c r="JP241" s="1"/>
      <c r="JQ241" s="1"/>
      <c r="JR241" s="1"/>
      <c r="JT241" s="1"/>
      <c r="KV241" s="1"/>
      <c r="KW241" s="1"/>
      <c r="KY241" s="1"/>
      <c r="KZ241" s="1"/>
      <c r="LA241" s="1"/>
      <c r="LB241" s="1"/>
      <c r="LC241" s="1"/>
      <c r="LD241" s="1"/>
      <c r="LN241" s="1"/>
      <c r="LO241" s="1"/>
      <c r="LP241" s="1"/>
      <c r="LZ241" s="1"/>
      <c r="MA241" s="1"/>
    </row>
    <row r="242" spans="4:339" ht="13" x14ac:dyDescent="0.15">
      <c r="D242" s="12"/>
      <c r="E242" s="12"/>
      <c r="I242" s="12"/>
      <c r="J242" s="13"/>
      <c r="BF242" s="1"/>
      <c r="BG242" s="1"/>
      <c r="BH242" s="1"/>
      <c r="BI242" s="1"/>
      <c r="BK242" s="1"/>
      <c r="BL242" s="1"/>
      <c r="BM242" s="1"/>
      <c r="BN242" s="1"/>
      <c r="BO242" s="1"/>
      <c r="BP242" s="1"/>
      <c r="BQ242" s="1"/>
      <c r="BR242" s="1"/>
      <c r="BX242" s="1"/>
      <c r="CD242" s="1"/>
      <c r="CE242" s="1"/>
      <c r="CF242" s="1"/>
      <c r="CG242" s="1"/>
      <c r="CH242" s="1"/>
      <c r="CI242" s="1"/>
      <c r="CM242" s="2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M242" s="1"/>
      <c r="DQ242" s="1"/>
      <c r="DR242" s="1"/>
      <c r="DY242" s="1"/>
      <c r="DZ242" s="1"/>
      <c r="ED242" s="1"/>
      <c r="EE242" s="1"/>
      <c r="EF242" s="1"/>
      <c r="EG242" s="1"/>
      <c r="EH242" s="1"/>
      <c r="EK242" s="1"/>
      <c r="EL242" s="1"/>
      <c r="EM242" s="1"/>
      <c r="EN242" s="1"/>
      <c r="EQ242" s="1"/>
      <c r="ER242" s="1"/>
      <c r="ES242" s="1"/>
      <c r="EV242" s="1"/>
      <c r="EW242" s="1"/>
      <c r="EY242" s="1"/>
      <c r="EZ242" s="1"/>
      <c r="FA242" s="1"/>
      <c r="FD242" s="1"/>
      <c r="FG242" s="1"/>
      <c r="FH242" s="1"/>
      <c r="FI242" s="1"/>
      <c r="FJ242" s="1"/>
      <c r="FK242" s="1"/>
      <c r="FM242" s="1"/>
      <c r="FN242" s="1"/>
      <c r="FO242" s="1"/>
      <c r="FP242" s="1"/>
      <c r="FQ242" s="1"/>
      <c r="FR242" s="1"/>
      <c r="FS242" s="1"/>
      <c r="FU242" s="1"/>
      <c r="FV242" s="1"/>
      <c r="FW242" s="1"/>
      <c r="FX242" s="1"/>
      <c r="FY242" s="1"/>
      <c r="FZ242" s="1"/>
      <c r="GA242" s="1"/>
      <c r="GD242" s="1"/>
      <c r="GE242" s="1"/>
      <c r="GF242" s="1"/>
      <c r="GG242" s="1"/>
      <c r="GH242" s="1"/>
      <c r="GI242" s="1"/>
      <c r="GJ242" s="1"/>
      <c r="GK242" s="1"/>
      <c r="GL242" s="1"/>
      <c r="GM242" s="1"/>
      <c r="GN242" s="1"/>
      <c r="GO242" s="1"/>
      <c r="GP242" s="1"/>
      <c r="GR242" s="1"/>
      <c r="GY242" s="1"/>
      <c r="HF242" s="1"/>
      <c r="HH242" s="1"/>
      <c r="HN242" s="1"/>
      <c r="HQ242" s="1"/>
      <c r="HT242" s="1"/>
      <c r="HY242" s="1"/>
      <c r="ID242" s="1"/>
      <c r="IE242" s="1"/>
      <c r="IF242" s="1"/>
      <c r="IG242" s="1"/>
      <c r="IJ242" s="1"/>
      <c r="IR242" s="1"/>
      <c r="IS242" s="1"/>
      <c r="IY242" s="1"/>
      <c r="IZ242" s="1"/>
      <c r="JC242" s="1"/>
      <c r="JF242" s="1"/>
      <c r="JG242" s="1"/>
      <c r="JJ242" s="1"/>
      <c r="JK242" s="1"/>
      <c r="JL242" s="3"/>
      <c r="JM242" s="1"/>
      <c r="JP242" s="1"/>
      <c r="JQ242" s="1"/>
      <c r="JR242" s="1"/>
      <c r="JT242" s="1"/>
      <c r="KV242" s="1"/>
      <c r="KW242" s="1"/>
      <c r="KY242" s="1"/>
      <c r="KZ242" s="1"/>
      <c r="LA242" s="1"/>
      <c r="LB242" s="1"/>
      <c r="LC242" s="1"/>
      <c r="LD242" s="1"/>
      <c r="LN242" s="1"/>
      <c r="LO242" s="1"/>
      <c r="LP242" s="1"/>
      <c r="LZ242" s="1"/>
      <c r="MA242" s="1"/>
    </row>
    <row r="243" spans="4:339" ht="13" x14ac:dyDescent="0.15">
      <c r="D243" s="12"/>
      <c r="E243" s="12"/>
      <c r="I243" s="12"/>
      <c r="J243" s="13"/>
      <c r="BF243" s="1"/>
      <c r="BG243" s="1"/>
      <c r="BH243" s="1"/>
      <c r="BI243" s="1"/>
      <c r="BK243" s="1"/>
      <c r="BL243" s="1"/>
      <c r="BM243" s="1"/>
      <c r="BN243" s="1"/>
      <c r="BO243" s="1"/>
      <c r="BP243" s="1"/>
      <c r="BQ243" s="1"/>
      <c r="BR243" s="1"/>
      <c r="BX243" s="1"/>
      <c r="CD243" s="1"/>
      <c r="CE243" s="1"/>
      <c r="CF243" s="1"/>
      <c r="CG243" s="1"/>
      <c r="CH243" s="1"/>
      <c r="CI243" s="1"/>
      <c r="CM243" s="2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M243" s="1"/>
      <c r="DQ243" s="1"/>
      <c r="DR243" s="1"/>
      <c r="DY243" s="1"/>
      <c r="DZ243" s="1"/>
      <c r="ED243" s="1"/>
      <c r="EE243" s="1"/>
      <c r="EF243" s="1"/>
      <c r="EG243" s="1"/>
      <c r="EH243" s="1"/>
      <c r="EK243" s="1"/>
      <c r="EL243" s="1"/>
      <c r="EM243" s="1"/>
      <c r="EN243" s="1"/>
      <c r="EQ243" s="1"/>
      <c r="ER243" s="1"/>
      <c r="ES243" s="1"/>
      <c r="EV243" s="1"/>
      <c r="EW243" s="1"/>
      <c r="EY243" s="1"/>
      <c r="EZ243" s="1"/>
      <c r="FA243" s="1"/>
      <c r="FD243" s="1"/>
      <c r="FG243" s="1"/>
      <c r="FH243" s="1"/>
      <c r="FI243" s="1"/>
      <c r="FJ243" s="1"/>
      <c r="FK243" s="1"/>
      <c r="FM243" s="1"/>
      <c r="FN243" s="1"/>
      <c r="FO243" s="1"/>
      <c r="FP243" s="1"/>
      <c r="FQ243" s="1"/>
      <c r="FR243" s="1"/>
      <c r="FS243" s="1"/>
      <c r="FU243" s="1"/>
      <c r="FV243" s="1"/>
      <c r="FW243" s="1"/>
      <c r="FX243" s="1"/>
      <c r="FY243" s="1"/>
      <c r="FZ243" s="1"/>
      <c r="GA243" s="1"/>
      <c r="GD243" s="1"/>
      <c r="GE243" s="1"/>
      <c r="GF243" s="1"/>
      <c r="GG243" s="1"/>
      <c r="GH243" s="1"/>
      <c r="GI243" s="1"/>
      <c r="GJ243" s="1"/>
      <c r="GK243" s="1"/>
      <c r="GL243" s="1"/>
      <c r="GM243" s="1"/>
      <c r="GN243" s="1"/>
      <c r="GO243" s="1"/>
      <c r="GP243" s="1"/>
      <c r="GR243" s="1"/>
      <c r="GY243" s="1"/>
      <c r="HF243" s="1"/>
      <c r="HH243" s="1"/>
      <c r="HN243" s="1"/>
      <c r="HQ243" s="1"/>
      <c r="HT243" s="1"/>
      <c r="HY243" s="1"/>
      <c r="ID243" s="1"/>
      <c r="IE243" s="1"/>
      <c r="IF243" s="1"/>
      <c r="IG243" s="1"/>
      <c r="IJ243" s="1"/>
      <c r="IR243" s="1"/>
      <c r="IS243" s="1"/>
      <c r="IY243" s="1"/>
      <c r="IZ243" s="1"/>
      <c r="JC243" s="1"/>
      <c r="JF243" s="1"/>
      <c r="JG243" s="1"/>
      <c r="JJ243" s="1"/>
      <c r="JK243" s="1"/>
      <c r="JL243" s="3"/>
      <c r="JM243" s="1"/>
      <c r="JP243" s="1"/>
      <c r="JQ243" s="1"/>
      <c r="JR243" s="1"/>
      <c r="JT243" s="1"/>
      <c r="KV243" s="1"/>
      <c r="KW243" s="1"/>
      <c r="KY243" s="1"/>
      <c r="KZ243" s="1"/>
      <c r="LA243" s="1"/>
      <c r="LB243" s="1"/>
      <c r="LC243" s="1"/>
      <c r="LD243" s="1"/>
      <c r="LN243" s="1"/>
      <c r="LO243" s="1"/>
      <c r="LP243" s="1"/>
      <c r="LZ243" s="1"/>
      <c r="MA243" s="1"/>
    </row>
    <row r="244" spans="4:339" ht="13" x14ac:dyDescent="0.15">
      <c r="D244" s="12"/>
      <c r="E244" s="12"/>
      <c r="I244" s="12"/>
      <c r="J244" s="13"/>
      <c r="BF244" s="1"/>
      <c r="BG244" s="1"/>
      <c r="BH244" s="1"/>
      <c r="BI244" s="1"/>
      <c r="BK244" s="1"/>
      <c r="BL244" s="1"/>
      <c r="BM244" s="1"/>
      <c r="BN244" s="1"/>
      <c r="BO244" s="1"/>
      <c r="BP244" s="1"/>
      <c r="BQ244" s="1"/>
      <c r="BR244" s="1"/>
      <c r="BX244" s="1"/>
      <c r="CD244" s="1"/>
      <c r="CE244" s="1"/>
      <c r="CF244" s="1"/>
      <c r="CG244" s="1"/>
      <c r="CH244" s="1"/>
      <c r="CI244" s="1"/>
      <c r="CM244" s="2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M244" s="1"/>
      <c r="DQ244" s="1"/>
      <c r="DR244" s="1"/>
      <c r="DY244" s="1"/>
      <c r="DZ244" s="1"/>
      <c r="ED244" s="1"/>
      <c r="EE244" s="1"/>
      <c r="EF244" s="1"/>
      <c r="EG244" s="1"/>
      <c r="EH244" s="1"/>
      <c r="EK244" s="1"/>
      <c r="EL244" s="1"/>
      <c r="EM244" s="1"/>
      <c r="EN244" s="1"/>
      <c r="EQ244" s="1"/>
      <c r="ER244" s="1"/>
      <c r="ES244" s="1"/>
      <c r="EV244" s="1"/>
      <c r="EW244" s="1"/>
      <c r="EY244" s="1"/>
      <c r="EZ244" s="1"/>
      <c r="FA244" s="1"/>
      <c r="FD244" s="1"/>
      <c r="FG244" s="1"/>
      <c r="FH244" s="1"/>
      <c r="FI244" s="1"/>
      <c r="FJ244" s="1"/>
      <c r="FK244" s="1"/>
      <c r="FM244" s="1"/>
      <c r="FN244" s="1"/>
      <c r="FO244" s="1"/>
      <c r="FP244" s="1"/>
      <c r="FQ244" s="1"/>
      <c r="FR244" s="1"/>
      <c r="FS244" s="1"/>
      <c r="FU244" s="1"/>
      <c r="FV244" s="1"/>
      <c r="FW244" s="1"/>
      <c r="FX244" s="1"/>
      <c r="FY244" s="1"/>
      <c r="FZ244" s="1"/>
      <c r="GA244" s="1"/>
      <c r="GD244" s="1"/>
      <c r="GE244" s="1"/>
      <c r="GF244" s="1"/>
      <c r="GG244" s="1"/>
      <c r="GH244" s="1"/>
      <c r="GI244" s="1"/>
      <c r="GJ244" s="1"/>
      <c r="GK244" s="1"/>
      <c r="GL244" s="1"/>
      <c r="GM244" s="1"/>
      <c r="GN244" s="1"/>
      <c r="GO244" s="1"/>
      <c r="GP244" s="1"/>
      <c r="GR244" s="1"/>
      <c r="GY244" s="1"/>
      <c r="HF244" s="1"/>
      <c r="HH244" s="1"/>
      <c r="HN244" s="1"/>
      <c r="HQ244" s="1"/>
      <c r="HT244" s="1"/>
      <c r="HY244" s="1"/>
      <c r="ID244" s="1"/>
      <c r="IE244" s="1"/>
      <c r="IF244" s="1"/>
      <c r="IG244" s="1"/>
      <c r="IJ244" s="1"/>
      <c r="IR244" s="1"/>
      <c r="IS244" s="1"/>
      <c r="IY244" s="1"/>
      <c r="IZ244" s="1"/>
      <c r="JC244" s="1"/>
      <c r="JF244" s="1"/>
      <c r="JG244" s="1"/>
      <c r="JJ244" s="1"/>
      <c r="JK244" s="1"/>
      <c r="JL244" s="3"/>
      <c r="JM244" s="1"/>
      <c r="JP244" s="1"/>
      <c r="JQ244" s="1"/>
      <c r="JR244" s="1"/>
      <c r="JT244" s="1"/>
      <c r="KV244" s="1"/>
      <c r="KW244" s="1"/>
      <c r="KY244" s="1"/>
      <c r="KZ244" s="1"/>
      <c r="LA244" s="1"/>
      <c r="LB244" s="1"/>
      <c r="LC244" s="1"/>
      <c r="LD244" s="1"/>
      <c r="LN244" s="1"/>
      <c r="LO244" s="1"/>
      <c r="LP244" s="1"/>
      <c r="LZ244" s="1"/>
      <c r="MA244" s="1"/>
    </row>
    <row r="245" spans="4:339" ht="13" x14ac:dyDescent="0.15">
      <c r="D245" s="12"/>
      <c r="E245" s="12"/>
      <c r="I245" s="12"/>
      <c r="J245" s="13"/>
      <c r="BF245" s="1"/>
      <c r="BG245" s="1"/>
      <c r="BH245" s="1"/>
      <c r="BI245" s="1"/>
      <c r="BK245" s="1"/>
      <c r="BL245" s="1"/>
      <c r="BM245" s="1"/>
      <c r="BN245" s="1"/>
      <c r="BO245" s="1"/>
      <c r="BP245" s="1"/>
      <c r="BQ245" s="1"/>
      <c r="BR245" s="1"/>
      <c r="BX245" s="1"/>
      <c r="CD245" s="1"/>
      <c r="CE245" s="1"/>
      <c r="CF245" s="1"/>
      <c r="CG245" s="1"/>
      <c r="CH245" s="1"/>
      <c r="CI245" s="1"/>
      <c r="CM245" s="2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M245" s="1"/>
      <c r="DQ245" s="1"/>
      <c r="DR245" s="1"/>
      <c r="DY245" s="1"/>
      <c r="DZ245" s="1"/>
      <c r="ED245" s="1"/>
      <c r="EE245" s="1"/>
      <c r="EF245" s="1"/>
      <c r="EG245" s="1"/>
      <c r="EH245" s="1"/>
      <c r="EK245" s="1"/>
      <c r="EL245" s="1"/>
      <c r="EM245" s="1"/>
      <c r="EN245" s="1"/>
      <c r="EQ245" s="1"/>
      <c r="ER245" s="1"/>
      <c r="ES245" s="1"/>
      <c r="EV245" s="1"/>
      <c r="EW245" s="1"/>
      <c r="EY245" s="1"/>
      <c r="EZ245" s="1"/>
      <c r="FA245" s="1"/>
      <c r="FD245" s="1"/>
      <c r="FG245" s="1"/>
      <c r="FH245" s="1"/>
      <c r="FI245" s="1"/>
      <c r="FJ245" s="1"/>
      <c r="FK245" s="1"/>
      <c r="FM245" s="1"/>
      <c r="FN245" s="1"/>
      <c r="FO245" s="1"/>
      <c r="FP245" s="1"/>
      <c r="FQ245" s="1"/>
      <c r="FR245" s="1"/>
      <c r="FS245" s="1"/>
      <c r="FU245" s="1"/>
      <c r="FV245" s="1"/>
      <c r="FW245" s="1"/>
      <c r="FX245" s="1"/>
      <c r="FY245" s="1"/>
      <c r="FZ245" s="1"/>
      <c r="GA245" s="1"/>
      <c r="GD245" s="1"/>
      <c r="GE245" s="1"/>
      <c r="GF245" s="1"/>
      <c r="GG245" s="1"/>
      <c r="GH245" s="1"/>
      <c r="GI245" s="1"/>
      <c r="GJ245" s="1"/>
      <c r="GK245" s="1"/>
      <c r="GL245" s="1"/>
      <c r="GM245" s="1"/>
      <c r="GN245" s="1"/>
      <c r="GO245" s="1"/>
      <c r="GP245" s="1"/>
      <c r="GR245" s="1"/>
      <c r="GY245" s="1"/>
      <c r="HF245" s="1"/>
      <c r="HH245" s="1"/>
      <c r="HN245" s="1"/>
      <c r="HQ245" s="1"/>
      <c r="HT245" s="1"/>
      <c r="HY245" s="1"/>
      <c r="ID245" s="1"/>
      <c r="IE245" s="1"/>
      <c r="IF245" s="1"/>
      <c r="IG245" s="1"/>
      <c r="IJ245" s="1"/>
      <c r="IR245" s="1"/>
      <c r="IS245" s="1"/>
      <c r="IY245" s="1"/>
      <c r="IZ245" s="1"/>
      <c r="JC245" s="1"/>
      <c r="JF245" s="1"/>
      <c r="JG245" s="1"/>
      <c r="JJ245" s="1"/>
      <c r="JK245" s="1"/>
      <c r="JL245" s="3"/>
      <c r="JM245" s="1"/>
      <c r="JP245" s="1"/>
      <c r="JQ245" s="1"/>
      <c r="JR245" s="1"/>
      <c r="JT245" s="1"/>
      <c r="KV245" s="1"/>
      <c r="KW245" s="1"/>
      <c r="KY245" s="1"/>
      <c r="KZ245" s="1"/>
      <c r="LA245" s="1"/>
      <c r="LB245" s="1"/>
      <c r="LC245" s="1"/>
      <c r="LD245" s="1"/>
      <c r="LN245" s="1"/>
      <c r="LO245" s="1"/>
      <c r="LP245" s="1"/>
      <c r="LZ245" s="1"/>
      <c r="MA245" s="1"/>
    </row>
    <row r="246" spans="4:339" ht="13" x14ac:dyDescent="0.15">
      <c r="D246" s="12"/>
      <c r="E246" s="12"/>
      <c r="I246" s="12"/>
      <c r="J246" s="13"/>
      <c r="BF246" s="1"/>
      <c r="BG246" s="1"/>
      <c r="BH246" s="1"/>
      <c r="BI246" s="1"/>
      <c r="BK246" s="1"/>
      <c r="BL246" s="1"/>
      <c r="BM246" s="1"/>
      <c r="BN246" s="1"/>
      <c r="BO246" s="1"/>
      <c r="BP246" s="1"/>
      <c r="BQ246" s="1"/>
      <c r="BR246" s="1"/>
      <c r="BX246" s="1"/>
      <c r="CD246" s="1"/>
      <c r="CE246" s="1"/>
      <c r="CF246" s="1"/>
      <c r="CG246" s="1"/>
      <c r="CH246" s="1"/>
      <c r="CI246" s="1"/>
      <c r="CK246" s="1"/>
      <c r="CM246" s="2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M246" s="1"/>
      <c r="DQ246" s="1"/>
      <c r="DR246" s="1"/>
      <c r="DY246" s="1"/>
      <c r="DZ246" s="1"/>
      <c r="ED246" s="1"/>
      <c r="EF246" s="1"/>
      <c r="EK246" s="1"/>
      <c r="EL246" s="1"/>
      <c r="EM246" s="1"/>
      <c r="EN246" s="1"/>
      <c r="EQ246" s="1"/>
      <c r="ER246" s="1"/>
      <c r="ES246" s="1"/>
      <c r="EV246" s="1"/>
      <c r="EW246" s="1"/>
      <c r="EZ246" s="1"/>
      <c r="FA246" s="1"/>
      <c r="FD246" s="1"/>
      <c r="FG246" s="1"/>
      <c r="FH246" s="1"/>
      <c r="FI246" s="1"/>
      <c r="FJ246" s="1"/>
      <c r="FK246" s="1"/>
      <c r="FL246" s="1"/>
      <c r="FM246" s="1"/>
      <c r="FN246" s="1"/>
      <c r="FO246" s="1"/>
      <c r="FP246" s="1"/>
      <c r="FQ246" s="1"/>
      <c r="FR246" s="1"/>
      <c r="FS246" s="1"/>
      <c r="FT246" s="1"/>
      <c r="FU246" s="1"/>
      <c r="FV246" s="1"/>
      <c r="FW246" s="1"/>
      <c r="FX246" s="1"/>
      <c r="FY246" s="1"/>
      <c r="FZ246" s="1"/>
      <c r="GA246" s="1"/>
      <c r="GB246" s="1"/>
      <c r="GD246" s="1"/>
      <c r="GE246" s="1"/>
      <c r="GF246" s="1"/>
      <c r="GG246" s="1"/>
      <c r="GH246" s="1"/>
      <c r="GI246" s="1"/>
      <c r="GJ246" s="1"/>
      <c r="GK246" s="1"/>
      <c r="GL246" s="1"/>
      <c r="GM246" s="1"/>
      <c r="GN246" s="1"/>
      <c r="GO246" s="1"/>
      <c r="GP246" s="1"/>
      <c r="GR246" s="1"/>
      <c r="GY246" s="1"/>
      <c r="HF246" s="1"/>
      <c r="HH246" s="1"/>
      <c r="HQ246" s="1"/>
      <c r="HR246" s="1"/>
      <c r="HS246" s="1"/>
      <c r="HT246" s="1"/>
      <c r="HY246" s="1"/>
      <c r="IE246" s="1"/>
      <c r="IR246" s="1"/>
      <c r="IS246" s="1"/>
      <c r="IW246" s="1"/>
      <c r="IZ246" s="1"/>
      <c r="JA246" s="1"/>
      <c r="JC246" s="1"/>
      <c r="JF246" s="1"/>
      <c r="JG246" s="1"/>
      <c r="JH246" s="1"/>
      <c r="JI246" s="1"/>
      <c r="JJ246" s="1"/>
      <c r="JN246" s="1"/>
      <c r="JP246" s="1"/>
      <c r="JQ246" s="1"/>
      <c r="JT246" s="1"/>
      <c r="KU246" s="1"/>
      <c r="KY246" s="1"/>
      <c r="KZ246" s="1"/>
      <c r="LA246" s="1"/>
      <c r="LB246" s="1"/>
      <c r="LC246" s="1"/>
      <c r="LD246" s="1"/>
      <c r="LF246" s="1"/>
      <c r="LN246" s="1"/>
      <c r="LO246" s="1"/>
      <c r="LP246" s="1"/>
      <c r="LZ246" s="1"/>
      <c r="MA246" s="1"/>
    </row>
    <row r="247" spans="4:339" ht="13" x14ac:dyDescent="0.15">
      <c r="D247" s="12"/>
      <c r="E247" s="12"/>
      <c r="I247" s="12"/>
      <c r="J247" s="13"/>
      <c r="BF247" s="1"/>
      <c r="BG247" s="1"/>
      <c r="BH247" s="1"/>
      <c r="BI247" s="1"/>
      <c r="BK247" s="1"/>
      <c r="BL247" s="1"/>
      <c r="BM247" s="1"/>
      <c r="BN247" s="1"/>
      <c r="BO247" s="1"/>
      <c r="BP247" s="1"/>
      <c r="BQ247" s="1"/>
      <c r="BR247" s="1"/>
      <c r="BX247" s="1"/>
      <c r="CD247" s="1"/>
      <c r="CE247" s="1"/>
      <c r="CF247" s="1"/>
      <c r="CG247" s="1"/>
      <c r="CH247" s="1"/>
      <c r="CI247" s="1"/>
      <c r="CK247" s="1"/>
      <c r="CM247" s="2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M247" s="1"/>
      <c r="DQ247" s="1"/>
      <c r="DR247" s="1"/>
      <c r="DY247" s="1"/>
      <c r="DZ247" s="1"/>
      <c r="ED247" s="1"/>
      <c r="EF247" s="1"/>
      <c r="EK247" s="1"/>
      <c r="EL247" s="1"/>
      <c r="EM247" s="1"/>
      <c r="EN247" s="1"/>
      <c r="EQ247" s="1"/>
      <c r="ER247" s="1"/>
      <c r="ES247" s="1"/>
      <c r="EV247" s="1"/>
      <c r="EW247" s="1"/>
      <c r="EZ247" s="1"/>
      <c r="FA247" s="1"/>
      <c r="FD247" s="1"/>
      <c r="FG247" s="1"/>
      <c r="FH247" s="1"/>
      <c r="FI247" s="1"/>
      <c r="FJ247" s="1"/>
      <c r="FK247" s="1"/>
      <c r="FL247" s="1"/>
      <c r="FM247" s="1"/>
      <c r="FN247" s="1"/>
      <c r="FO247" s="1"/>
      <c r="FP247" s="1"/>
      <c r="FQ247" s="1"/>
      <c r="FR247" s="1"/>
      <c r="FS247" s="1"/>
      <c r="FT247" s="1"/>
      <c r="FU247" s="1"/>
      <c r="FV247" s="1"/>
      <c r="FW247" s="1"/>
      <c r="FX247" s="1"/>
      <c r="FY247" s="1"/>
      <c r="FZ247" s="1"/>
      <c r="GA247" s="1"/>
      <c r="GB247" s="1"/>
      <c r="GD247" s="1"/>
      <c r="GE247" s="1"/>
      <c r="GF247" s="1"/>
      <c r="GG247" s="1"/>
      <c r="GH247" s="1"/>
      <c r="GI247" s="1"/>
      <c r="GJ247" s="1"/>
      <c r="GK247" s="1"/>
      <c r="GL247" s="1"/>
      <c r="GM247" s="1"/>
      <c r="GN247" s="1"/>
      <c r="GO247" s="1"/>
      <c r="GP247" s="1"/>
      <c r="GR247" s="1"/>
      <c r="GY247" s="1"/>
      <c r="HF247" s="1"/>
      <c r="HH247" s="1"/>
      <c r="HQ247" s="1"/>
      <c r="HR247" s="1"/>
      <c r="HS247" s="1"/>
      <c r="HT247" s="1"/>
      <c r="HY247" s="1"/>
      <c r="IE247" s="1"/>
      <c r="IR247" s="1"/>
      <c r="IS247" s="1"/>
      <c r="IW247" s="1"/>
      <c r="IZ247" s="1"/>
      <c r="JA247" s="1"/>
      <c r="JC247" s="1"/>
      <c r="JF247" s="1"/>
      <c r="JG247" s="1"/>
      <c r="JH247" s="1"/>
      <c r="JI247" s="1"/>
      <c r="JJ247" s="1"/>
      <c r="JN247" s="1"/>
      <c r="JP247" s="1"/>
      <c r="JQ247" s="1"/>
      <c r="JT247" s="1"/>
      <c r="KU247" s="1"/>
      <c r="KY247" s="1"/>
      <c r="KZ247" s="1"/>
      <c r="LA247" s="1"/>
      <c r="LB247" s="1"/>
      <c r="LC247" s="1"/>
      <c r="LD247" s="1"/>
      <c r="LF247" s="1"/>
      <c r="LN247" s="1"/>
      <c r="LO247" s="1"/>
      <c r="LP247" s="1"/>
      <c r="LZ247" s="1"/>
      <c r="MA247" s="1"/>
    </row>
    <row r="248" spans="4:339" ht="13" x14ac:dyDescent="0.15">
      <c r="D248" s="12"/>
      <c r="E248" s="12"/>
      <c r="I248" s="12"/>
      <c r="J248" s="13"/>
      <c r="BF248" s="1"/>
      <c r="BG248" s="1"/>
      <c r="BH248" s="1"/>
      <c r="BI248" s="1"/>
      <c r="BK248" s="1"/>
      <c r="BL248" s="1"/>
      <c r="BM248" s="1"/>
      <c r="BN248" s="1"/>
      <c r="BO248" s="1"/>
      <c r="BP248" s="1"/>
      <c r="BQ248" s="1"/>
      <c r="BR248" s="1"/>
      <c r="BX248" s="1"/>
      <c r="CD248" s="1"/>
      <c r="CE248" s="1"/>
      <c r="CF248" s="1"/>
      <c r="CG248" s="1"/>
      <c r="CH248" s="1"/>
      <c r="CI248" s="1"/>
      <c r="CK248" s="1"/>
      <c r="CM248" s="2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M248" s="1"/>
      <c r="DQ248" s="1"/>
      <c r="DR248" s="1"/>
      <c r="DY248" s="1"/>
      <c r="DZ248" s="1"/>
      <c r="ED248" s="1"/>
      <c r="EF248" s="1"/>
      <c r="EK248" s="1"/>
      <c r="EL248" s="1"/>
      <c r="EM248" s="1"/>
      <c r="EN248" s="1"/>
      <c r="EQ248" s="1"/>
      <c r="ER248" s="1"/>
      <c r="ES248" s="1"/>
      <c r="EV248" s="1"/>
      <c r="EW248" s="1"/>
      <c r="EZ248" s="1"/>
      <c r="FA248" s="1"/>
      <c r="FD248" s="1"/>
      <c r="FG248" s="1"/>
      <c r="FH248" s="1"/>
      <c r="FI248" s="1"/>
      <c r="FJ248" s="1"/>
      <c r="FK248" s="1"/>
      <c r="FL248" s="1"/>
      <c r="FM248" s="1"/>
      <c r="FN248" s="1"/>
      <c r="FO248" s="1"/>
      <c r="FP248" s="1"/>
      <c r="FQ248" s="1"/>
      <c r="FR248" s="1"/>
      <c r="FS248" s="1"/>
      <c r="FT248" s="1"/>
      <c r="FU248" s="1"/>
      <c r="FV248" s="1"/>
      <c r="FW248" s="1"/>
      <c r="FX248" s="1"/>
      <c r="FY248" s="1"/>
      <c r="FZ248" s="1"/>
      <c r="GA248" s="1"/>
      <c r="GB248" s="1"/>
      <c r="GD248" s="1"/>
      <c r="GE248" s="1"/>
      <c r="GF248" s="1"/>
      <c r="GG248" s="1"/>
      <c r="GH248" s="1"/>
      <c r="GI248" s="1"/>
      <c r="GJ248" s="1"/>
      <c r="GK248" s="1"/>
      <c r="GL248" s="1"/>
      <c r="GM248" s="1"/>
      <c r="GN248" s="1"/>
      <c r="GO248" s="1"/>
      <c r="GP248" s="1"/>
      <c r="GR248" s="1"/>
      <c r="GY248" s="1"/>
      <c r="HF248" s="1"/>
      <c r="HH248" s="1"/>
      <c r="HQ248" s="1"/>
      <c r="HR248" s="1"/>
      <c r="HS248" s="1"/>
      <c r="HT248" s="1"/>
      <c r="HY248" s="1"/>
      <c r="IE248" s="1"/>
      <c r="IR248" s="1"/>
      <c r="IS248" s="1"/>
      <c r="IW248" s="1"/>
      <c r="IZ248" s="1"/>
      <c r="JA248" s="1"/>
      <c r="JC248" s="1"/>
      <c r="JF248" s="1"/>
      <c r="JG248" s="1"/>
      <c r="JH248" s="1"/>
      <c r="JI248" s="1"/>
      <c r="JJ248" s="1"/>
      <c r="JN248" s="1"/>
      <c r="JP248" s="1"/>
      <c r="JQ248" s="1"/>
      <c r="JT248" s="1"/>
      <c r="KU248" s="1"/>
      <c r="KY248" s="1"/>
      <c r="KZ248" s="1"/>
      <c r="LA248" s="1"/>
      <c r="LB248" s="1"/>
      <c r="LC248" s="1"/>
      <c r="LD248" s="1"/>
      <c r="LF248" s="1"/>
      <c r="LN248" s="1"/>
      <c r="LO248" s="1"/>
      <c r="LP248" s="1"/>
      <c r="LZ248" s="1"/>
      <c r="MA248" s="1"/>
    </row>
    <row r="249" spans="4:339" ht="13" x14ac:dyDescent="0.15">
      <c r="D249" s="12"/>
      <c r="E249" s="12"/>
      <c r="I249" s="12"/>
      <c r="J249" s="13"/>
      <c r="BF249" s="1"/>
      <c r="BG249" s="1"/>
      <c r="BH249" s="1"/>
      <c r="BI249" s="1"/>
      <c r="BK249" s="1"/>
      <c r="BL249" s="1"/>
      <c r="BM249" s="1"/>
      <c r="BN249" s="1"/>
      <c r="BO249" s="1"/>
      <c r="BP249" s="1"/>
      <c r="BQ249" s="1"/>
      <c r="BR249" s="1"/>
      <c r="BX249" s="1"/>
      <c r="CD249" s="1"/>
      <c r="CE249" s="1"/>
      <c r="CF249" s="1"/>
      <c r="CG249" s="1"/>
      <c r="CH249" s="1"/>
      <c r="CI249" s="1"/>
      <c r="CK249" s="1"/>
      <c r="CM249" s="2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M249" s="1"/>
      <c r="DQ249" s="1"/>
      <c r="DR249" s="1"/>
      <c r="DY249" s="1"/>
      <c r="DZ249" s="1"/>
      <c r="ED249" s="1"/>
      <c r="EF249" s="1"/>
      <c r="EK249" s="1"/>
      <c r="EL249" s="1"/>
      <c r="EM249" s="1"/>
      <c r="EN249" s="1"/>
      <c r="EQ249" s="1"/>
      <c r="ER249" s="1"/>
      <c r="ES249" s="1"/>
      <c r="EV249" s="1"/>
      <c r="EW249" s="1"/>
      <c r="EZ249" s="1"/>
      <c r="FA249" s="1"/>
      <c r="FD249" s="1"/>
      <c r="FG249" s="1"/>
      <c r="FH249" s="1"/>
      <c r="FI249" s="1"/>
      <c r="FJ249" s="1"/>
      <c r="FK249" s="1"/>
      <c r="FL249" s="1"/>
      <c r="FM249" s="1"/>
      <c r="FN249" s="1"/>
      <c r="FO249" s="1"/>
      <c r="FP249" s="1"/>
      <c r="FQ249" s="1"/>
      <c r="FR249" s="1"/>
      <c r="FS249" s="1"/>
      <c r="FT249" s="1"/>
      <c r="FU249" s="1"/>
      <c r="FV249" s="1"/>
      <c r="FW249" s="1"/>
      <c r="FX249" s="1"/>
      <c r="FY249" s="1"/>
      <c r="FZ249" s="1"/>
      <c r="GA249" s="1"/>
      <c r="GB249" s="1"/>
      <c r="GD249" s="1"/>
      <c r="GE249" s="1"/>
      <c r="GF249" s="1"/>
      <c r="GG249" s="1"/>
      <c r="GH249" s="1"/>
      <c r="GI249" s="1"/>
      <c r="GJ249" s="1"/>
      <c r="GK249" s="1"/>
      <c r="GL249" s="1"/>
      <c r="GM249" s="1"/>
      <c r="GN249" s="1"/>
      <c r="GO249" s="1"/>
      <c r="GP249" s="1"/>
      <c r="GR249" s="1"/>
      <c r="GY249" s="1"/>
      <c r="HF249" s="1"/>
      <c r="HH249" s="1"/>
      <c r="HQ249" s="1"/>
      <c r="HR249" s="1"/>
      <c r="HS249" s="1"/>
      <c r="HT249" s="1"/>
      <c r="HY249" s="1"/>
      <c r="IE249" s="1"/>
      <c r="IR249" s="1"/>
      <c r="IS249" s="1"/>
      <c r="IW249" s="1"/>
      <c r="IZ249" s="1"/>
      <c r="JA249" s="1"/>
      <c r="JC249" s="1"/>
      <c r="JF249" s="1"/>
      <c r="JG249" s="1"/>
      <c r="JH249" s="1"/>
      <c r="JI249" s="1"/>
      <c r="JJ249" s="1"/>
      <c r="JN249" s="1"/>
      <c r="JP249" s="1"/>
      <c r="JQ249" s="1"/>
      <c r="JT249" s="1"/>
      <c r="KU249" s="1"/>
      <c r="KY249" s="1"/>
      <c r="KZ249" s="1"/>
      <c r="LA249" s="1"/>
      <c r="LB249" s="1"/>
      <c r="LC249" s="1"/>
      <c r="LD249" s="1"/>
      <c r="LF249" s="1"/>
      <c r="LN249" s="1"/>
      <c r="LO249" s="1"/>
      <c r="LP249" s="1"/>
      <c r="LZ249" s="1"/>
      <c r="MA249" s="1"/>
    </row>
    <row r="250" spans="4:339" ht="13" x14ac:dyDescent="0.15">
      <c r="D250" s="12"/>
      <c r="E250" s="12"/>
      <c r="I250" s="12"/>
      <c r="J250" s="13"/>
      <c r="BF250" s="1"/>
      <c r="BG250" s="1"/>
      <c r="BH250" s="1"/>
      <c r="BI250" s="1"/>
      <c r="BK250" s="1"/>
      <c r="BL250" s="1"/>
      <c r="BM250" s="1"/>
      <c r="BN250" s="1"/>
      <c r="BO250" s="1"/>
      <c r="BP250" s="1"/>
      <c r="BQ250" s="1"/>
      <c r="BR250" s="1"/>
      <c r="BX250" s="1"/>
      <c r="CD250" s="1"/>
      <c r="CE250" s="1"/>
      <c r="CF250" s="1"/>
      <c r="CG250" s="1"/>
      <c r="CH250" s="1"/>
      <c r="CI250" s="1"/>
      <c r="CK250" s="1"/>
      <c r="CM250" s="2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M250" s="1"/>
      <c r="DQ250" s="1"/>
      <c r="DR250" s="1"/>
      <c r="DY250" s="1"/>
      <c r="DZ250" s="1"/>
      <c r="ED250" s="1"/>
      <c r="EF250" s="1"/>
      <c r="EK250" s="1"/>
      <c r="EL250" s="1"/>
      <c r="EM250" s="1"/>
      <c r="EN250" s="1"/>
      <c r="EQ250" s="1"/>
      <c r="ER250" s="1"/>
      <c r="ES250" s="1"/>
      <c r="EV250" s="1"/>
      <c r="EW250" s="1"/>
      <c r="EZ250" s="1"/>
      <c r="FA250" s="1"/>
      <c r="FD250" s="1"/>
      <c r="FG250" s="1"/>
      <c r="FH250" s="1"/>
      <c r="FI250" s="1"/>
      <c r="FJ250" s="1"/>
      <c r="FK250" s="1"/>
      <c r="FL250" s="1"/>
      <c r="FM250" s="1"/>
      <c r="FN250" s="1"/>
      <c r="FO250" s="1"/>
      <c r="FP250" s="1"/>
      <c r="FQ250" s="1"/>
      <c r="FR250" s="1"/>
      <c r="FS250" s="1"/>
      <c r="FT250" s="1"/>
      <c r="FU250" s="1"/>
      <c r="FV250" s="1"/>
      <c r="FW250" s="1"/>
      <c r="FX250" s="1"/>
      <c r="FY250" s="1"/>
      <c r="FZ250" s="1"/>
      <c r="GA250" s="1"/>
      <c r="GB250" s="1"/>
      <c r="GD250" s="1"/>
      <c r="GE250" s="1"/>
      <c r="GF250" s="1"/>
      <c r="GG250" s="1"/>
      <c r="GH250" s="1"/>
      <c r="GI250" s="1"/>
      <c r="GJ250" s="1"/>
      <c r="GK250" s="1"/>
      <c r="GL250" s="1"/>
      <c r="GM250" s="1"/>
      <c r="GN250" s="1"/>
      <c r="GO250" s="1"/>
      <c r="GP250" s="1"/>
      <c r="GR250" s="1"/>
      <c r="GY250" s="1"/>
      <c r="HF250" s="1"/>
      <c r="HH250" s="1"/>
      <c r="HQ250" s="1"/>
      <c r="HR250" s="1"/>
      <c r="HS250" s="1"/>
      <c r="HT250" s="1"/>
      <c r="HY250" s="1"/>
      <c r="IE250" s="1"/>
      <c r="IR250" s="1"/>
      <c r="IS250" s="1"/>
      <c r="IW250" s="1"/>
      <c r="IZ250" s="1"/>
      <c r="JA250" s="1"/>
      <c r="JC250" s="1"/>
      <c r="JF250" s="1"/>
      <c r="JG250" s="1"/>
      <c r="JH250" s="1"/>
      <c r="JI250" s="1"/>
      <c r="JJ250" s="1"/>
      <c r="JN250" s="1"/>
      <c r="JP250" s="1"/>
      <c r="JQ250" s="1"/>
      <c r="JT250" s="1"/>
      <c r="KU250" s="1"/>
      <c r="KY250" s="1"/>
      <c r="KZ250" s="1"/>
      <c r="LA250" s="1"/>
      <c r="LB250" s="1"/>
      <c r="LC250" s="1"/>
      <c r="LD250" s="1"/>
      <c r="LF250" s="1"/>
      <c r="LN250" s="1"/>
      <c r="LO250" s="1"/>
      <c r="LP250" s="1"/>
      <c r="LZ250" s="1"/>
      <c r="MA250" s="1"/>
    </row>
    <row r="251" spans="4:339" ht="13" x14ac:dyDescent="0.15">
      <c r="D251" s="12"/>
      <c r="E251" s="12"/>
      <c r="I251" s="12"/>
      <c r="J251" s="13"/>
      <c r="BF251" s="1"/>
      <c r="BG251" s="1"/>
      <c r="BH251" s="1"/>
      <c r="BI251" s="1"/>
      <c r="BK251" s="1"/>
      <c r="BL251" s="1"/>
      <c r="BM251" s="1"/>
      <c r="BN251" s="1"/>
      <c r="BO251" s="1"/>
      <c r="BP251" s="1"/>
      <c r="BQ251" s="1"/>
      <c r="BR251" s="1"/>
      <c r="BX251" s="1"/>
      <c r="CD251" s="1"/>
      <c r="CE251" s="1"/>
      <c r="CF251" s="1"/>
      <c r="CG251" s="1"/>
      <c r="CH251" s="1"/>
      <c r="CI251" s="1"/>
      <c r="CK251" s="1"/>
      <c r="CM251" s="2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M251" s="1"/>
      <c r="DQ251" s="1"/>
      <c r="DR251" s="1"/>
      <c r="DY251" s="1"/>
      <c r="DZ251" s="1"/>
      <c r="ED251" s="1"/>
      <c r="EF251" s="1"/>
      <c r="EK251" s="1"/>
      <c r="EL251" s="1"/>
      <c r="EM251" s="1"/>
      <c r="EN251" s="1"/>
      <c r="EQ251" s="1"/>
      <c r="ER251" s="1"/>
      <c r="ES251" s="1"/>
      <c r="EV251" s="1"/>
      <c r="EW251" s="1"/>
      <c r="EZ251" s="1"/>
      <c r="FA251" s="1"/>
      <c r="FD251" s="1"/>
      <c r="FG251" s="1"/>
      <c r="FH251" s="1"/>
      <c r="FI251" s="1"/>
      <c r="FJ251" s="1"/>
      <c r="FK251" s="1"/>
      <c r="FL251" s="1"/>
      <c r="FM251" s="1"/>
      <c r="FN251" s="1"/>
      <c r="FO251" s="1"/>
      <c r="FP251" s="1"/>
      <c r="FQ251" s="1"/>
      <c r="FR251" s="1"/>
      <c r="FS251" s="1"/>
      <c r="FT251" s="1"/>
      <c r="FU251" s="1"/>
      <c r="FV251" s="1"/>
      <c r="FW251" s="1"/>
      <c r="FX251" s="1"/>
      <c r="FY251" s="1"/>
      <c r="FZ251" s="1"/>
      <c r="GA251" s="1"/>
      <c r="GB251" s="1"/>
      <c r="GD251" s="1"/>
      <c r="GE251" s="1"/>
      <c r="GF251" s="1"/>
      <c r="GG251" s="1"/>
      <c r="GH251" s="1"/>
      <c r="GI251" s="1"/>
      <c r="GJ251" s="1"/>
      <c r="GK251" s="1"/>
      <c r="GL251" s="1"/>
      <c r="GM251" s="1"/>
      <c r="GN251" s="1"/>
      <c r="GO251" s="1"/>
      <c r="GP251" s="1"/>
      <c r="GR251" s="1"/>
      <c r="GY251" s="1"/>
      <c r="HF251" s="1"/>
      <c r="HH251" s="1"/>
      <c r="HQ251" s="1"/>
      <c r="HR251" s="1"/>
      <c r="HS251" s="1"/>
      <c r="HT251" s="1"/>
      <c r="HY251" s="1"/>
      <c r="IE251" s="1"/>
      <c r="IR251" s="1"/>
      <c r="IS251" s="1"/>
      <c r="IW251" s="1"/>
      <c r="IZ251" s="1"/>
      <c r="JA251" s="1"/>
      <c r="JC251" s="1"/>
      <c r="JF251" s="1"/>
      <c r="JG251" s="1"/>
      <c r="JH251" s="1"/>
      <c r="JI251" s="1"/>
      <c r="JJ251" s="1"/>
      <c r="JN251" s="1"/>
      <c r="JP251" s="1"/>
      <c r="JQ251" s="1"/>
      <c r="JT251" s="1"/>
      <c r="KU251" s="1"/>
      <c r="KY251" s="1"/>
      <c r="KZ251" s="1"/>
      <c r="LA251" s="1"/>
      <c r="LB251" s="1"/>
      <c r="LC251" s="1"/>
      <c r="LD251" s="1"/>
      <c r="LF251" s="1"/>
      <c r="LN251" s="1"/>
      <c r="LO251" s="1"/>
      <c r="LP251" s="1"/>
      <c r="LZ251" s="1"/>
      <c r="MA251" s="1"/>
    </row>
    <row r="252" spans="4:339" ht="13" x14ac:dyDescent="0.15">
      <c r="D252" s="12"/>
      <c r="E252" s="12"/>
      <c r="I252" s="12"/>
      <c r="J252" s="13"/>
      <c r="BF252" s="1"/>
      <c r="BG252" s="1"/>
      <c r="BH252" s="1"/>
      <c r="BI252" s="1"/>
      <c r="BK252" s="1"/>
      <c r="BL252" s="1"/>
      <c r="BM252" s="1"/>
      <c r="BN252" s="1"/>
      <c r="BO252" s="1"/>
      <c r="BP252" s="1"/>
      <c r="BQ252" s="1"/>
      <c r="BR252" s="1"/>
      <c r="BX252" s="1"/>
      <c r="CD252" s="1"/>
      <c r="CE252" s="1"/>
      <c r="CF252" s="1"/>
      <c r="CG252" s="1"/>
      <c r="CH252" s="1"/>
      <c r="CI252" s="1"/>
      <c r="CK252" s="1"/>
      <c r="CM252" s="2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M252" s="1"/>
      <c r="DQ252" s="1"/>
      <c r="DR252" s="1"/>
      <c r="DY252" s="1"/>
      <c r="DZ252" s="1"/>
      <c r="ED252" s="1"/>
      <c r="EF252" s="1"/>
      <c r="EK252" s="1"/>
      <c r="EL252" s="1"/>
      <c r="EM252" s="1"/>
      <c r="EN252" s="1"/>
      <c r="EQ252" s="1"/>
      <c r="ER252" s="1"/>
      <c r="ES252" s="1"/>
      <c r="EV252" s="1"/>
      <c r="EW252" s="1"/>
      <c r="EZ252" s="1"/>
      <c r="FA252" s="1"/>
      <c r="FD252" s="1"/>
      <c r="FG252" s="1"/>
      <c r="FH252" s="1"/>
      <c r="FI252" s="1"/>
      <c r="FJ252" s="1"/>
      <c r="FK252" s="1"/>
      <c r="FL252" s="1"/>
      <c r="FM252" s="1"/>
      <c r="FN252" s="1"/>
      <c r="FO252" s="1"/>
      <c r="FP252" s="1"/>
      <c r="FQ252" s="1"/>
      <c r="FR252" s="1"/>
      <c r="FS252" s="1"/>
      <c r="FT252" s="1"/>
      <c r="FU252" s="1"/>
      <c r="FV252" s="1"/>
      <c r="FW252" s="1"/>
      <c r="FX252" s="1"/>
      <c r="FY252" s="1"/>
      <c r="FZ252" s="1"/>
      <c r="GA252" s="1"/>
      <c r="GB252" s="1"/>
      <c r="GD252" s="1"/>
      <c r="GE252" s="1"/>
      <c r="GF252" s="1"/>
      <c r="GG252" s="1"/>
      <c r="GH252" s="1"/>
      <c r="GI252" s="1"/>
      <c r="GJ252" s="1"/>
      <c r="GK252" s="1"/>
      <c r="GL252" s="1"/>
      <c r="GM252" s="1"/>
      <c r="GN252" s="1"/>
      <c r="GO252" s="1"/>
      <c r="GP252" s="1"/>
      <c r="GR252" s="1"/>
      <c r="GY252" s="1"/>
      <c r="HF252" s="1"/>
      <c r="HH252" s="1"/>
      <c r="HQ252" s="1"/>
      <c r="HR252" s="1"/>
      <c r="HS252" s="1"/>
      <c r="HT252" s="1"/>
      <c r="HY252" s="1"/>
      <c r="IE252" s="1"/>
      <c r="IR252" s="1"/>
      <c r="IS252" s="1"/>
      <c r="IW252" s="1"/>
      <c r="IZ252" s="1"/>
      <c r="JA252" s="1"/>
      <c r="JC252" s="1"/>
      <c r="JF252" s="1"/>
      <c r="JG252" s="1"/>
      <c r="JH252" s="1"/>
      <c r="JI252" s="1"/>
      <c r="JJ252" s="1"/>
      <c r="JN252" s="1"/>
      <c r="JP252" s="1"/>
      <c r="JQ252" s="1"/>
      <c r="JT252" s="1"/>
      <c r="KU252" s="1"/>
      <c r="KY252" s="1"/>
      <c r="KZ252" s="1"/>
      <c r="LA252" s="1"/>
      <c r="LB252" s="1"/>
      <c r="LC252" s="1"/>
      <c r="LD252" s="1"/>
      <c r="LF252" s="1"/>
      <c r="LN252" s="1"/>
      <c r="LO252" s="1"/>
      <c r="LP252" s="1"/>
      <c r="LZ252" s="1"/>
      <c r="MA252" s="1"/>
    </row>
    <row r="253" spans="4:339" ht="13" x14ac:dyDescent="0.15">
      <c r="D253" s="12"/>
      <c r="E253" s="12"/>
      <c r="I253" s="12"/>
      <c r="J253" s="13"/>
      <c r="BF253" s="1"/>
      <c r="BG253" s="1"/>
      <c r="BH253" s="1"/>
      <c r="BI253" s="1"/>
      <c r="BK253" s="1"/>
      <c r="BL253" s="1"/>
      <c r="BM253" s="1"/>
      <c r="BN253" s="1"/>
      <c r="BO253" s="1"/>
      <c r="BP253" s="1"/>
      <c r="BQ253" s="1"/>
      <c r="BR253" s="1"/>
      <c r="BX253" s="1"/>
      <c r="CD253" s="1"/>
      <c r="CE253" s="1"/>
      <c r="CF253" s="1"/>
      <c r="CG253" s="1"/>
      <c r="CH253" s="1"/>
      <c r="CI253" s="1"/>
      <c r="CK253" s="1"/>
      <c r="CM253" s="2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M253" s="1"/>
      <c r="DQ253" s="1"/>
      <c r="DR253" s="1"/>
      <c r="DY253" s="1"/>
      <c r="DZ253" s="1"/>
      <c r="ED253" s="1"/>
      <c r="EF253" s="1"/>
      <c r="EK253" s="1"/>
      <c r="EL253" s="1"/>
      <c r="EM253" s="1"/>
      <c r="EN253" s="1"/>
      <c r="EQ253" s="1"/>
      <c r="ER253" s="1"/>
      <c r="ES253" s="1"/>
      <c r="EV253" s="1"/>
      <c r="EW253" s="1"/>
      <c r="EZ253" s="1"/>
      <c r="FA253" s="1"/>
      <c r="FD253" s="1"/>
      <c r="FG253" s="1"/>
      <c r="FH253" s="1"/>
      <c r="FI253" s="1"/>
      <c r="FJ253" s="1"/>
      <c r="FK253" s="1"/>
      <c r="FL253" s="1"/>
      <c r="FM253" s="1"/>
      <c r="FN253" s="1"/>
      <c r="FO253" s="1"/>
      <c r="FP253" s="1"/>
      <c r="FQ253" s="1"/>
      <c r="FR253" s="1"/>
      <c r="FS253" s="1"/>
      <c r="FT253" s="1"/>
      <c r="FU253" s="1"/>
      <c r="FV253" s="1"/>
      <c r="FW253" s="1"/>
      <c r="FX253" s="1"/>
      <c r="FY253" s="1"/>
      <c r="FZ253" s="1"/>
      <c r="GA253" s="1"/>
      <c r="GB253" s="1"/>
      <c r="GD253" s="1"/>
      <c r="GE253" s="1"/>
      <c r="GF253" s="1"/>
      <c r="GG253" s="1"/>
      <c r="GH253" s="1"/>
      <c r="GI253" s="1"/>
      <c r="GJ253" s="1"/>
      <c r="GK253" s="1"/>
      <c r="GL253" s="1"/>
      <c r="GM253" s="1"/>
      <c r="GN253" s="1"/>
      <c r="GO253" s="1"/>
      <c r="GP253" s="1"/>
      <c r="GR253" s="1"/>
      <c r="GY253" s="1"/>
      <c r="HF253" s="1"/>
      <c r="HH253" s="1"/>
      <c r="HQ253" s="1"/>
      <c r="HR253" s="1"/>
      <c r="HS253" s="1"/>
      <c r="HT253" s="1"/>
      <c r="HY253" s="1"/>
      <c r="IE253" s="1"/>
      <c r="IR253" s="1"/>
      <c r="IS253" s="1"/>
      <c r="IW253" s="1"/>
      <c r="IZ253" s="1"/>
      <c r="JA253" s="1"/>
      <c r="JC253" s="1"/>
      <c r="JF253" s="1"/>
      <c r="JG253" s="1"/>
      <c r="JH253" s="1"/>
      <c r="JI253" s="1"/>
      <c r="JJ253" s="1"/>
      <c r="JN253" s="1"/>
      <c r="JP253" s="1"/>
      <c r="JQ253" s="1"/>
      <c r="JT253" s="1"/>
      <c r="KU253" s="1"/>
      <c r="KY253" s="1"/>
      <c r="KZ253" s="1"/>
      <c r="LA253" s="1"/>
      <c r="LB253" s="1"/>
      <c r="LC253" s="1"/>
      <c r="LD253" s="1"/>
      <c r="LF253" s="1"/>
      <c r="LN253" s="1"/>
      <c r="LO253" s="1"/>
      <c r="LP253" s="1"/>
      <c r="LZ253" s="1"/>
      <c r="MA253" s="1"/>
    </row>
    <row r="254" spans="4:339" ht="13" x14ac:dyDescent="0.15">
      <c r="D254" s="12"/>
      <c r="E254" s="12"/>
      <c r="I254" s="12"/>
      <c r="J254" s="13"/>
      <c r="BF254" s="1"/>
      <c r="BG254" s="1"/>
      <c r="BH254" s="1"/>
      <c r="BI254" s="1"/>
      <c r="BK254" s="1"/>
      <c r="BL254" s="1"/>
      <c r="BM254" s="1"/>
      <c r="BN254" s="1"/>
      <c r="BO254" s="1"/>
      <c r="BP254" s="1"/>
      <c r="BQ254" s="1"/>
      <c r="BR254" s="1"/>
      <c r="BX254" s="1"/>
      <c r="CD254" s="1"/>
      <c r="CE254" s="1"/>
      <c r="CF254" s="1"/>
      <c r="CG254" s="1"/>
      <c r="CH254" s="1"/>
      <c r="CI254" s="1"/>
      <c r="CK254" s="1"/>
      <c r="CM254" s="2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M254" s="1"/>
      <c r="DQ254" s="1"/>
      <c r="DR254" s="1"/>
      <c r="DY254" s="1"/>
      <c r="DZ254" s="1"/>
      <c r="ED254" s="1"/>
      <c r="EF254" s="1"/>
      <c r="EK254" s="1"/>
      <c r="EL254" s="1"/>
      <c r="EM254" s="1"/>
      <c r="EN254" s="1"/>
      <c r="EQ254" s="1"/>
      <c r="ER254" s="1"/>
      <c r="ES254" s="1"/>
      <c r="EV254" s="1"/>
      <c r="EW254" s="1"/>
      <c r="EZ254" s="1"/>
      <c r="FA254" s="1"/>
      <c r="FD254" s="1"/>
      <c r="FG254" s="1"/>
      <c r="FH254" s="1"/>
      <c r="FI254" s="1"/>
      <c r="FJ254" s="1"/>
      <c r="FK254" s="1"/>
      <c r="FL254" s="1"/>
      <c r="FM254" s="1"/>
      <c r="FN254" s="1"/>
      <c r="FO254" s="1"/>
      <c r="FP254" s="1"/>
      <c r="FQ254" s="1"/>
      <c r="FR254" s="1"/>
      <c r="FS254" s="1"/>
      <c r="FT254" s="1"/>
      <c r="FU254" s="1"/>
      <c r="FV254" s="1"/>
      <c r="FW254" s="1"/>
      <c r="FX254" s="1"/>
      <c r="FY254" s="1"/>
      <c r="FZ254" s="1"/>
      <c r="GA254" s="1"/>
      <c r="GB254" s="1"/>
      <c r="GD254" s="1"/>
      <c r="GE254" s="1"/>
      <c r="GF254" s="1"/>
      <c r="GG254" s="1"/>
      <c r="GH254" s="1"/>
      <c r="GI254" s="1"/>
      <c r="GJ254" s="1"/>
      <c r="GK254" s="1"/>
      <c r="GL254" s="1"/>
      <c r="GM254" s="1"/>
      <c r="GN254" s="1"/>
      <c r="GO254" s="1"/>
      <c r="GP254" s="1"/>
      <c r="GR254" s="1"/>
      <c r="GY254" s="1"/>
      <c r="HF254" s="1"/>
      <c r="HH254" s="1"/>
      <c r="HQ254" s="1"/>
      <c r="HR254" s="1"/>
      <c r="HS254" s="1"/>
      <c r="HT254" s="1"/>
      <c r="HY254" s="1"/>
      <c r="IE254" s="1"/>
      <c r="IR254" s="1"/>
      <c r="IS254" s="1"/>
      <c r="IW254" s="1"/>
      <c r="IZ254" s="1"/>
      <c r="JA254" s="1"/>
      <c r="JC254" s="1"/>
      <c r="JF254" s="1"/>
      <c r="JG254" s="1"/>
      <c r="JH254" s="1"/>
      <c r="JI254" s="1"/>
      <c r="JJ254" s="1"/>
      <c r="JN254" s="1"/>
      <c r="JP254" s="1"/>
      <c r="JQ254" s="1"/>
      <c r="JT254" s="1"/>
      <c r="KU254" s="1"/>
      <c r="KY254" s="1"/>
      <c r="KZ254" s="1"/>
      <c r="LA254" s="1"/>
      <c r="LB254" s="1"/>
      <c r="LC254" s="1"/>
      <c r="LD254" s="1"/>
      <c r="LF254" s="1"/>
      <c r="LN254" s="1"/>
      <c r="LO254" s="1"/>
      <c r="LP254" s="1"/>
      <c r="LZ254" s="1"/>
      <c r="MA254" s="1"/>
    </row>
    <row r="255" spans="4:339" ht="13" x14ac:dyDescent="0.15">
      <c r="D255" s="12"/>
      <c r="E255" s="12"/>
      <c r="I255" s="12"/>
      <c r="J255" s="13"/>
      <c r="BF255" s="1"/>
      <c r="BG255" s="1"/>
      <c r="BH255" s="1"/>
      <c r="BI255" s="1"/>
      <c r="BK255" s="1"/>
      <c r="BL255" s="1"/>
      <c r="BM255" s="1"/>
      <c r="BN255" s="1"/>
      <c r="BO255" s="1"/>
      <c r="BP255" s="1"/>
      <c r="BQ255" s="1"/>
      <c r="BR255" s="1"/>
      <c r="BX255" s="1"/>
      <c r="CD255" s="1"/>
      <c r="CE255" s="1"/>
      <c r="CF255" s="1"/>
      <c r="CG255" s="1"/>
      <c r="CH255" s="1"/>
      <c r="CI255" s="1"/>
      <c r="CM255" s="2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M255" s="1"/>
      <c r="DQ255" s="1"/>
      <c r="DR255" s="1"/>
      <c r="DY255" s="1"/>
      <c r="DZ255" s="1"/>
      <c r="ED255" s="1"/>
      <c r="EK255" s="1"/>
      <c r="EL255" s="1"/>
      <c r="EM255" s="1"/>
      <c r="EN255" s="1"/>
      <c r="EQ255" s="1"/>
      <c r="ER255" s="1"/>
      <c r="ES255" s="1"/>
      <c r="EV255" s="1"/>
      <c r="EW255" s="1"/>
      <c r="EZ255" s="1"/>
      <c r="FA255" s="1"/>
      <c r="FD255" s="1"/>
      <c r="FG255" s="1"/>
      <c r="FH255" s="1"/>
      <c r="FI255" s="1"/>
      <c r="FJ255" s="1"/>
      <c r="FK255" s="1"/>
      <c r="FL255" s="1"/>
      <c r="FM255" s="1"/>
      <c r="FN255" s="1"/>
      <c r="FO255" s="1"/>
      <c r="FP255" s="1"/>
      <c r="FQ255" s="1"/>
      <c r="FS255" s="1"/>
      <c r="FT255" s="1"/>
      <c r="FU255" s="1"/>
      <c r="FV255" s="1"/>
      <c r="FW255" s="1"/>
      <c r="FX255" s="1"/>
      <c r="FY255" s="1"/>
      <c r="FZ255" s="1"/>
      <c r="GA255" s="1"/>
      <c r="GB255" s="1"/>
      <c r="GD255" s="1"/>
      <c r="GE255" s="1"/>
      <c r="GF255" s="1"/>
      <c r="GG255" s="1"/>
      <c r="GH255" s="1"/>
      <c r="GI255" s="1"/>
      <c r="GJ255" s="1"/>
      <c r="GK255" s="1"/>
      <c r="GL255" s="1"/>
      <c r="GM255" s="1"/>
      <c r="GN255" s="1"/>
      <c r="GO255" s="1"/>
      <c r="GP255" s="1"/>
      <c r="GR255" s="1"/>
      <c r="GY255" s="1"/>
      <c r="HF255" s="1"/>
      <c r="HH255" s="1"/>
      <c r="HN255" s="1"/>
      <c r="HT255" s="1"/>
      <c r="HY255" s="1"/>
      <c r="IC255" s="1"/>
      <c r="IE255" s="1"/>
      <c r="IR255" s="1"/>
      <c r="IS255" s="1"/>
      <c r="IZ255" s="1"/>
      <c r="JC255" s="1"/>
      <c r="JG255" s="1"/>
      <c r="JH255" s="1"/>
      <c r="JI255" s="1"/>
      <c r="JJ255" s="1"/>
      <c r="JN255" s="1"/>
      <c r="JP255" s="1"/>
      <c r="JQ255" s="1"/>
      <c r="JT255" s="1"/>
      <c r="KU255" s="1"/>
      <c r="KW255" s="1"/>
      <c r="KY255" s="1"/>
      <c r="KZ255" s="1"/>
      <c r="LA255" s="1"/>
      <c r="LB255" s="1"/>
      <c r="LC255" s="1"/>
      <c r="LD255" s="1"/>
      <c r="LN255" s="1"/>
      <c r="LO255" s="1"/>
      <c r="LP255" s="1"/>
      <c r="LZ255" s="1"/>
      <c r="MA255" s="1"/>
    </row>
    <row r="256" spans="4:339" ht="13" x14ac:dyDescent="0.15">
      <c r="D256" s="12"/>
      <c r="E256" s="12"/>
      <c r="I256" s="12"/>
      <c r="J256" s="13"/>
      <c r="BF256" s="1"/>
      <c r="BG256" s="1"/>
      <c r="BH256" s="1"/>
      <c r="BI256" s="1"/>
      <c r="BK256" s="1"/>
      <c r="BL256" s="1"/>
      <c r="BM256" s="1"/>
      <c r="BN256" s="1"/>
      <c r="BO256" s="1"/>
      <c r="BP256" s="1"/>
      <c r="BQ256" s="1"/>
      <c r="BR256" s="1"/>
      <c r="BX256" s="1"/>
      <c r="CD256" s="1"/>
      <c r="CE256" s="1"/>
      <c r="CF256" s="1"/>
      <c r="CG256" s="1"/>
      <c r="CH256" s="1"/>
      <c r="CI256" s="1"/>
      <c r="CM256" s="2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M256" s="1"/>
      <c r="DQ256" s="1"/>
      <c r="DR256" s="1"/>
      <c r="DY256" s="1"/>
      <c r="DZ256" s="1"/>
      <c r="ED256" s="1"/>
      <c r="EK256" s="1"/>
      <c r="EL256" s="1"/>
      <c r="EM256" s="1"/>
      <c r="EN256" s="1"/>
      <c r="EQ256" s="1"/>
      <c r="ER256" s="1"/>
      <c r="ES256" s="1"/>
      <c r="EV256" s="1"/>
      <c r="EW256" s="1"/>
      <c r="EZ256" s="1"/>
      <c r="FA256" s="1"/>
      <c r="FD256" s="1"/>
      <c r="FG256" s="1"/>
      <c r="FH256" s="1"/>
      <c r="FI256" s="1"/>
      <c r="FJ256" s="1"/>
      <c r="FK256" s="1"/>
      <c r="FL256" s="1"/>
      <c r="FM256" s="1"/>
      <c r="FN256" s="1"/>
      <c r="FO256" s="1"/>
      <c r="FP256" s="1"/>
      <c r="FQ256" s="1"/>
      <c r="FS256" s="1"/>
      <c r="FT256" s="1"/>
      <c r="FU256" s="1"/>
      <c r="FV256" s="1"/>
      <c r="FW256" s="1"/>
      <c r="FX256" s="1"/>
      <c r="FY256" s="1"/>
      <c r="FZ256" s="1"/>
      <c r="GA256" s="1"/>
      <c r="GB256" s="1"/>
      <c r="GD256" s="1"/>
      <c r="GE256" s="1"/>
      <c r="GF256" s="1"/>
      <c r="GG256" s="1"/>
      <c r="GH256" s="1"/>
      <c r="GI256" s="1"/>
      <c r="GJ256" s="1"/>
      <c r="GK256" s="1"/>
      <c r="GL256" s="1"/>
      <c r="GM256" s="1"/>
      <c r="GN256" s="1"/>
      <c r="GO256" s="1"/>
      <c r="GP256" s="1"/>
      <c r="GR256" s="1"/>
      <c r="GY256" s="1"/>
      <c r="HF256" s="1"/>
      <c r="HH256" s="1"/>
      <c r="HN256" s="1"/>
      <c r="HT256" s="1"/>
      <c r="HY256" s="1"/>
      <c r="IC256" s="1"/>
      <c r="IE256" s="1"/>
      <c r="IR256" s="1"/>
      <c r="IS256" s="1"/>
      <c r="IZ256" s="1"/>
      <c r="JC256" s="1"/>
      <c r="JG256" s="1"/>
      <c r="JH256" s="1"/>
      <c r="JI256" s="1"/>
      <c r="JJ256" s="1"/>
      <c r="JN256" s="1"/>
      <c r="JP256" s="1"/>
      <c r="JQ256" s="1"/>
      <c r="JT256" s="1"/>
      <c r="KU256" s="1"/>
      <c r="KW256" s="1"/>
      <c r="KY256" s="1"/>
      <c r="KZ256" s="1"/>
      <c r="LA256" s="1"/>
      <c r="LB256" s="1"/>
      <c r="LC256" s="1"/>
      <c r="LD256" s="1"/>
      <c r="LN256" s="1"/>
      <c r="LO256" s="1"/>
      <c r="LP256" s="1"/>
      <c r="LZ256" s="1"/>
      <c r="MA256" s="1"/>
    </row>
    <row r="257" spans="4:339" ht="13" x14ac:dyDescent="0.15">
      <c r="D257" s="12"/>
      <c r="E257" s="12"/>
      <c r="I257" s="12"/>
      <c r="J257" s="13"/>
      <c r="BF257" s="1"/>
      <c r="BG257" s="1"/>
      <c r="BH257" s="1"/>
      <c r="BI257" s="1"/>
      <c r="BK257" s="1"/>
      <c r="BL257" s="1"/>
      <c r="BM257" s="1"/>
      <c r="BN257" s="1"/>
      <c r="BO257" s="1"/>
      <c r="BP257" s="1"/>
      <c r="BQ257" s="1"/>
      <c r="BR257" s="1"/>
      <c r="CD257" s="1"/>
      <c r="CE257" s="1"/>
      <c r="CF257" s="1"/>
      <c r="CG257" s="1"/>
      <c r="CH257" s="1"/>
      <c r="CI257" s="1"/>
      <c r="CM257" s="2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M257" s="1"/>
      <c r="DQ257" s="1"/>
      <c r="DR257" s="1"/>
      <c r="DY257" s="1"/>
      <c r="DZ257" s="1"/>
      <c r="ED257" s="1"/>
      <c r="EE257" s="1"/>
      <c r="EF257" s="1"/>
      <c r="EG257" s="1"/>
      <c r="EH257" s="1"/>
      <c r="EK257" s="1"/>
      <c r="EL257" s="1"/>
      <c r="EM257" s="1"/>
      <c r="EN257" s="1"/>
      <c r="EQ257" s="1"/>
      <c r="ER257" s="1"/>
      <c r="ES257" s="1"/>
      <c r="EV257" s="1"/>
      <c r="EW257" s="1"/>
      <c r="EY257" s="1"/>
      <c r="EZ257" s="1"/>
      <c r="FA257" s="1"/>
      <c r="FD257" s="1"/>
      <c r="FG257" s="1"/>
      <c r="FH257" s="1"/>
      <c r="FJ257" s="1"/>
      <c r="FM257" s="1"/>
      <c r="FN257" s="1"/>
      <c r="FO257" s="1"/>
      <c r="FP257" s="1"/>
      <c r="FQ257" s="1"/>
      <c r="FR257" s="1"/>
      <c r="FS257" s="1"/>
      <c r="FT257" s="1"/>
      <c r="FV257" s="1"/>
      <c r="FW257" s="1"/>
      <c r="FX257" s="1"/>
      <c r="FZ257" s="1"/>
      <c r="GA257" s="1"/>
      <c r="GD257" s="1"/>
      <c r="GE257" s="1"/>
      <c r="GF257" s="1"/>
      <c r="GG257" s="1"/>
      <c r="GH257" s="1"/>
      <c r="GI257" s="1"/>
      <c r="GJ257" s="1"/>
      <c r="GN257" s="1"/>
      <c r="GO257" s="1"/>
      <c r="GP257" s="1"/>
      <c r="GR257" s="1"/>
      <c r="HH257" s="1"/>
      <c r="HT257" s="1"/>
      <c r="HY257" s="1"/>
      <c r="IE257" s="1"/>
      <c r="IF257" s="1"/>
      <c r="IG257" s="1"/>
      <c r="IJ257" s="1"/>
      <c r="IR257" s="1"/>
      <c r="IS257" s="1"/>
      <c r="IZ257" s="1"/>
      <c r="JC257" s="1"/>
      <c r="JF257" s="1"/>
      <c r="JJ257" s="1"/>
      <c r="JK257" s="1"/>
      <c r="JL257" s="3"/>
      <c r="JM257" s="1"/>
      <c r="JN257" s="1"/>
      <c r="JP257" s="1"/>
      <c r="JQ257" s="1"/>
      <c r="JR257" s="1"/>
      <c r="JT257" s="1"/>
      <c r="KU257" s="1"/>
      <c r="KV257" s="1"/>
      <c r="KY257" s="1"/>
      <c r="KZ257" s="1"/>
      <c r="LA257" s="1"/>
      <c r="LB257" s="1"/>
      <c r="LC257" s="1"/>
      <c r="LD257" s="1"/>
      <c r="LO257" s="1"/>
      <c r="LP257" s="1"/>
      <c r="LZ257" s="1"/>
      <c r="MA257" s="1"/>
    </row>
    <row r="258" spans="4:339" ht="13" x14ac:dyDescent="0.15">
      <c r="D258" s="12"/>
      <c r="E258" s="12"/>
      <c r="I258" s="12"/>
      <c r="J258" s="13"/>
      <c r="BF258" s="1"/>
      <c r="BG258" s="1"/>
      <c r="BH258" s="1"/>
      <c r="BI258" s="1"/>
      <c r="BK258" s="1"/>
      <c r="BL258" s="1"/>
      <c r="BM258" s="1"/>
      <c r="BN258" s="1"/>
      <c r="BO258" s="1"/>
      <c r="BP258" s="1"/>
      <c r="BQ258" s="1"/>
      <c r="BR258" s="1"/>
      <c r="CD258" s="1"/>
      <c r="CE258" s="1"/>
      <c r="CF258" s="1"/>
      <c r="CG258" s="1"/>
      <c r="CH258" s="1"/>
      <c r="CI258" s="1"/>
      <c r="CM258" s="2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M258" s="1"/>
      <c r="DQ258" s="1"/>
      <c r="DR258" s="1"/>
      <c r="DY258" s="1"/>
      <c r="DZ258" s="1"/>
      <c r="ED258" s="1"/>
      <c r="EE258" s="1"/>
      <c r="EF258" s="1"/>
      <c r="EG258" s="1"/>
      <c r="EH258" s="1"/>
      <c r="EK258" s="1"/>
      <c r="EL258" s="1"/>
      <c r="EM258" s="1"/>
      <c r="EN258" s="1"/>
      <c r="EQ258" s="1"/>
      <c r="ER258" s="1"/>
      <c r="ES258" s="1"/>
      <c r="EV258" s="1"/>
      <c r="EW258" s="1"/>
      <c r="EY258" s="1"/>
      <c r="EZ258" s="1"/>
      <c r="FA258" s="1"/>
      <c r="FD258" s="1"/>
      <c r="FG258" s="1"/>
      <c r="FH258" s="1"/>
      <c r="FJ258" s="1"/>
      <c r="FM258" s="1"/>
      <c r="FN258" s="1"/>
      <c r="FO258" s="1"/>
      <c r="FP258" s="1"/>
      <c r="FQ258" s="1"/>
      <c r="FR258" s="1"/>
      <c r="FS258" s="1"/>
      <c r="FT258" s="1"/>
      <c r="FV258" s="1"/>
      <c r="FW258" s="1"/>
      <c r="FX258" s="1"/>
      <c r="FZ258" s="1"/>
      <c r="GA258" s="1"/>
      <c r="GD258" s="1"/>
      <c r="GE258" s="1"/>
      <c r="GF258" s="1"/>
      <c r="GG258" s="1"/>
      <c r="GH258" s="1"/>
      <c r="GI258" s="1"/>
      <c r="GJ258" s="1"/>
      <c r="GN258" s="1"/>
      <c r="GO258" s="1"/>
      <c r="GP258" s="1"/>
      <c r="GR258" s="1"/>
      <c r="HH258" s="1"/>
      <c r="HT258" s="1"/>
      <c r="HY258" s="1"/>
      <c r="IE258" s="1"/>
      <c r="IF258" s="1"/>
      <c r="IG258" s="1"/>
      <c r="IJ258" s="1"/>
      <c r="IR258" s="1"/>
      <c r="IS258" s="1"/>
      <c r="IZ258" s="1"/>
      <c r="JC258" s="1"/>
      <c r="JF258" s="1"/>
      <c r="JJ258" s="1"/>
      <c r="JK258" s="1"/>
      <c r="JL258" s="3"/>
      <c r="JM258" s="1"/>
      <c r="JN258" s="1"/>
      <c r="JP258" s="1"/>
      <c r="JQ258" s="1"/>
      <c r="JR258" s="1"/>
      <c r="JT258" s="1"/>
      <c r="KU258" s="1"/>
      <c r="KV258" s="1"/>
      <c r="KY258" s="1"/>
      <c r="KZ258" s="1"/>
      <c r="LA258" s="1"/>
      <c r="LB258" s="1"/>
      <c r="LC258" s="1"/>
      <c r="LD258" s="1"/>
      <c r="LO258" s="1"/>
      <c r="LP258" s="1"/>
      <c r="LZ258" s="1"/>
      <c r="MA258" s="1"/>
    </row>
    <row r="259" spans="4:339" ht="13" x14ac:dyDescent="0.15">
      <c r="D259" s="12"/>
      <c r="E259" s="12"/>
      <c r="I259" s="12"/>
      <c r="J259" s="13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CD259" s="1"/>
      <c r="CE259" s="1"/>
      <c r="CF259" s="1"/>
      <c r="CG259" s="1"/>
      <c r="CH259" s="1"/>
      <c r="CI259" s="1"/>
      <c r="CM259" s="2"/>
      <c r="CN259" s="1"/>
      <c r="CO259" s="1"/>
      <c r="CP259" s="1"/>
      <c r="CQ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ED259" s="1"/>
      <c r="EK259" s="1"/>
      <c r="EL259" s="1"/>
      <c r="EM259" s="1"/>
      <c r="EN259" s="1"/>
      <c r="EQ259" s="1"/>
      <c r="ER259" s="1"/>
      <c r="ES259" s="1"/>
      <c r="EV259" s="1"/>
      <c r="EW259" s="1"/>
      <c r="EZ259" s="1"/>
      <c r="FA259" s="1"/>
      <c r="FD259" s="1"/>
      <c r="GD259" s="1"/>
      <c r="GE259" s="1"/>
      <c r="GF259" s="1"/>
      <c r="GG259" s="1"/>
      <c r="GH259" s="1"/>
      <c r="GI259" s="1"/>
      <c r="GO259" s="1"/>
      <c r="GP259" s="1"/>
      <c r="HF259" s="1"/>
      <c r="HH259" s="1"/>
      <c r="HY259" s="1"/>
      <c r="IC259" s="1"/>
      <c r="IE259" s="1"/>
      <c r="IR259" s="1"/>
      <c r="IS259" s="1"/>
      <c r="IZ259" s="1"/>
      <c r="JC259" s="1"/>
      <c r="JF259" s="1"/>
      <c r="JG259" s="1"/>
      <c r="JH259" s="1"/>
      <c r="JJ259" s="1"/>
      <c r="JN259" s="1"/>
      <c r="JP259" s="1"/>
      <c r="JQ259" s="1"/>
      <c r="JT259" s="1"/>
      <c r="KU259" s="1"/>
      <c r="KV259" s="1"/>
      <c r="KW259" s="1"/>
      <c r="KY259" s="1"/>
      <c r="KZ259" s="1"/>
      <c r="LA259" s="1"/>
      <c r="LB259" s="1"/>
      <c r="LC259" s="1"/>
      <c r="LD259" s="1"/>
      <c r="LF259" s="1"/>
      <c r="LN259" s="1"/>
      <c r="LO259" s="1"/>
      <c r="LP259" s="1"/>
      <c r="LZ259" s="1"/>
      <c r="MA259" s="1"/>
    </row>
    <row r="260" spans="4:339" ht="13" x14ac:dyDescent="0.15">
      <c r="D260" s="12"/>
      <c r="E260" s="12"/>
      <c r="I260" s="12"/>
      <c r="J260" s="13"/>
      <c r="BF260" s="1"/>
      <c r="BG260" s="1"/>
      <c r="BH260" s="1"/>
      <c r="BI260" s="1"/>
      <c r="BK260" s="1"/>
      <c r="BL260" s="1"/>
      <c r="BM260" s="1"/>
      <c r="BN260" s="1"/>
      <c r="BO260" s="1"/>
      <c r="BP260" s="1"/>
      <c r="BQ260" s="1"/>
      <c r="BR260" s="1"/>
      <c r="BX260" s="1"/>
      <c r="CD260" s="1"/>
      <c r="CE260" s="1"/>
      <c r="CF260" s="1"/>
      <c r="CG260" s="1"/>
      <c r="CH260" s="1"/>
      <c r="CI260" s="1"/>
      <c r="CM260" s="2"/>
      <c r="CN260" s="1"/>
      <c r="CO260" s="1"/>
      <c r="CP260" s="1"/>
      <c r="CQ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M260" s="1"/>
      <c r="DQ260" s="1"/>
      <c r="DR260" s="1"/>
      <c r="DY260" s="1"/>
      <c r="DZ260" s="1"/>
      <c r="ED260" s="1"/>
      <c r="EK260" s="1"/>
      <c r="EL260" s="1"/>
      <c r="EM260" s="1"/>
      <c r="EN260" s="1"/>
      <c r="EQ260" s="1"/>
      <c r="ER260" s="1"/>
      <c r="ES260" s="1"/>
      <c r="EV260" s="1"/>
      <c r="EW260" s="1"/>
      <c r="EZ260" s="1"/>
      <c r="FA260" s="1"/>
      <c r="FD260" s="1"/>
      <c r="FG260" s="1"/>
      <c r="FH260" s="1"/>
      <c r="FI260" s="1"/>
      <c r="FJ260" s="1"/>
      <c r="FK260" s="1"/>
      <c r="FM260" s="1"/>
      <c r="FN260" s="1"/>
      <c r="FO260" s="1"/>
      <c r="FP260" s="1"/>
      <c r="FQ260" s="1"/>
      <c r="FR260" s="1"/>
      <c r="FS260" s="1"/>
      <c r="FT260" s="1"/>
      <c r="FU260" s="1"/>
      <c r="FV260" s="1"/>
      <c r="FW260" s="1"/>
      <c r="FX260" s="1"/>
      <c r="FY260" s="1"/>
      <c r="FZ260" s="1"/>
      <c r="GA260" s="1"/>
      <c r="GB260" s="1"/>
      <c r="GD260" s="1"/>
      <c r="GE260" s="1"/>
      <c r="GF260" s="1"/>
      <c r="GG260" s="1"/>
      <c r="GH260" s="1"/>
      <c r="GI260" s="1"/>
      <c r="GJ260" s="1"/>
      <c r="GK260" s="1"/>
      <c r="GL260" s="1"/>
      <c r="GM260" s="1"/>
      <c r="GN260" s="1"/>
      <c r="GO260" s="1"/>
      <c r="GP260" s="1"/>
      <c r="GR260" s="1"/>
      <c r="GY260" s="1"/>
      <c r="HF260" s="1"/>
      <c r="HH260" s="1"/>
      <c r="HN260" s="1"/>
      <c r="HT260" s="1"/>
      <c r="HY260" s="1"/>
      <c r="IC260" s="1"/>
      <c r="IE260" s="1"/>
      <c r="IR260" s="1"/>
      <c r="IS260" s="1"/>
      <c r="IW260" s="1"/>
      <c r="IZ260" s="1"/>
      <c r="JA260" s="1"/>
      <c r="JC260" s="1"/>
      <c r="JF260" s="1"/>
      <c r="JG260" s="1"/>
      <c r="JH260" s="1"/>
      <c r="JI260" s="1"/>
      <c r="JJ260" s="1"/>
      <c r="JN260" s="1"/>
      <c r="JP260" s="1"/>
      <c r="JQ260" s="1"/>
      <c r="JT260" s="1"/>
      <c r="KU260" s="1"/>
      <c r="KV260" s="1"/>
      <c r="KY260" s="1"/>
      <c r="KZ260" s="1"/>
      <c r="LA260" s="1"/>
      <c r="LB260" s="1"/>
      <c r="LC260" s="1"/>
      <c r="LD260" s="1"/>
      <c r="LF260" s="1"/>
      <c r="LO260" s="1"/>
      <c r="LP260" s="1"/>
      <c r="LZ260" s="1"/>
      <c r="MA260" s="1"/>
    </row>
    <row r="261" spans="4:339" ht="13" x14ac:dyDescent="0.15">
      <c r="D261" s="12"/>
      <c r="E261" s="12"/>
      <c r="I261" s="12"/>
      <c r="J261" s="13"/>
      <c r="BF261" s="1"/>
      <c r="BG261" s="1"/>
      <c r="BH261" s="1"/>
      <c r="BI261" s="1"/>
      <c r="BJ261" s="1"/>
      <c r="BK261" s="1"/>
      <c r="BL261" s="1"/>
      <c r="BM261" s="1"/>
      <c r="BN261" s="1"/>
      <c r="BO261" s="1"/>
      <c r="BP261" s="1"/>
      <c r="BQ261" s="1"/>
      <c r="BR261" s="1"/>
      <c r="BX261" s="1"/>
      <c r="CD261" s="1"/>
      <c r="CE261" s="1"/>
      <c r="CF261" s="1"/>
      <c r="CG261" s="1"/>
      <c r="CH261" s="1"/>
      <c r="CI261" s="1"/>
      <c r="CM261" s="2"/>
      <c r="CN261" s="1"/>
      <c r="CO261" s="1"/>
      <c r="CP261" s="1"/>
      <c r="CQ261" s="1"/>
      <c r="CS261" s="1"/>
      <c r="CT261" s="1"/>
      <c r="CU261" s="1"/>
      <c r="CV261" s="1"/>
      <c r="CW261" s="1"/>
      <c r="CX261" s="1"/>
      <c r="CY261" s="1"/>
      <c r="CZ261" s="1"/>
      <c r="DA261" s="1"/>
      <c r="DB261" s="1"/>
      <c r="DC261" s="1"/>
      <c r="DD261" s="1"/>
      <c r="DE261" s="1"/>
      <c r="DF261" s="1"/>
      <c r="DG261" s="1"/>
      <c r="DH261" s="1"/>
      <c r="DI261" s="1"/>
      <c r="DJ261" s="1"/>
      <c r="DK261" s="1"/>
      <c r="DM261" s="1"/>
      <c r="DQ261" s="1"/>
      <c r="DR261" s="1"/>
      <c r="DY261" s="1"/>
      <c r="DZ261" s="1"/>
      <c r="ED261" s="1"/>
      <c r="EF261" s="1"/>
      <c r="EK261" s="1"/>
      <c r="EL261" s="1"/>
      <c r="EM261" s="1"/>
      <c r="EN261" s="1"/>
      <c r="EQ261" s="1"/>
      <c r="ER261" s="1"/>
      <c r="ES261" s="1"/>
      <c r="EV261" s="1"/>
      <c r="EW261" s="1"/>
      <c r="EZ261" s="1"/>
      <c r="FA261" s="1"/>
      <c r="FD261" s="1"/>
      <c r="FJ261" s="1"/>
      <c r="FS261" s="1"/>
      <c r="FU261" s="1"/>
      <c r="FV261" s="1"/>
      <c r="GA261" s="1"/>
      <c r="GD261" s="1"/>
      <c r="GE261" s="1"/>
      <c r="GF261" s="1"/>
      <c r="GG261" s="1"/>
      <c r="GH261" s="1"/>
      <c r="GI261" s="1"/>
      <c r="GJ261" s="1"/>
      <c r="GK261" s="1"/>
      <c r="GL261" s="1"/>
      <c r="GM261" s="1"/>
      <c r="GN261" s="1"/>
      <c r="GO261" s="1"/>
      <c r="GP261" s="1"/>
      <c r="GR261" s="1"/>
      <c r="GS261" s="1"/>
      <c r="GY261" s="1"/>
      <c r="HF261" s="1"/>
      <c r="HN261" s="1"/>
      <c r="HT261" s="1"/>
      <c r="HY261" s="1"/>
      <c r="ID261" s="1"/>
      <c r="IE261" s="1"/>
      <c r="IG261" s="1"/>
      <c r="IR261" s="1"/>
      <c r="IS261" s="1"/>
      <c r="IZ261" s="1"/>
      <c r="JC261" s="1"/>
      <c r="JF261" s="1"/>
      <c r="JG261" s="1"/>
      <c r="JJ261" s="1"/>
      <c r="JK261" s="1"/>
      <c r="JL261" s="3"/>
      <c r="JM261" s="1"/>
      <c r="JP261" s="1"/>
      <c r="JQ261" s="1"/>
      <c r="JR261" s="1"/>
      <c r="JT261" s="1"/>
      <c r="KW261" s="1"/>
      <c r="LZ261" s="1"/>
      <c r="MA261" s="1"/>
    </row>
    <row r="262" spans="4:339" ht="13" x14ac:dyDescent="0.15">
      <c r="D262" s="12"/>
      <c r="E262" s="12"/>
      <c r="I262" s="12"/>
      <c r="J262" s="13"/>
      <c r="BF262" s="1"/>
      <c r="BG262" s="1"/>
      <c r="BH262" s="1"/>
      <c r="BI262" s="1"/>
      <c r="BJ262" s="1"/>
      <c r="BK262" s="1"/>
      <c r="BL262" s="1"/>
      <c r="BM262" s="1"/>
      <c r="BN262" s="1"/>
      <c r="BO262" s="1"/>
      <c r="BP262" s="1"/>
      <c r="BQ262" s="1"/>
      <c r="BR262" s="1"/>
      <c r="BX262" s="1"/>
      <c r="CD262" s="1"/>
      <c r="CE262" s="1"/>
      <c r="CF262" s="1"/>
      <c r="CG262" s="1"/>
      <c r="CH262" s="1"/>
      <c r="CI262" s="1"/>
      <c r="CM262" s="2"/>
      <c r="CN262" s="1"/>
      <c r="CO262" s="1"/>
      <c r="CP262" s="1"/>
      <c r="CQ262" s="1"/>
      <c r="CS262" s="1"/>
      <c r="CT262" s="1"/>
      <c r="CU262" s="1"/>
      <c r="CV262" s="1"/>
      <c r="CW262" s="1"/>
      <c r="CX262" s="1"/>
      <c r="CY262" s="1"/>
      <c r="CZ262" s="1"/>
      <c r="DA262" s="1"/>
      <c r="DB262" s="1"/>
      <c r="DC262" s="1"/>
      <c r="DD262" s="1"/>
      <c r="DE262" s="1"/>
      <c r="DF262" s="1"/>
      <c r="DG262" s="1"/>
      <c r="DH262" s="1"/>
      <c r="DI262" s="1"/>
      <c r="DJ262" s="1"/>
      <c r="DK262" s="1"/>
      <c r="DM262" s="1"/>
      <c r="DQ262" s="1"/>
      <c r="DR262" s="1"/>
      <c r="DY262" s="1"/>
      <c r="DZ262" s="1"/>
      <c r="ED262" s="1"/>
      <c r="EF262" s="1"/>
      <c r="EK262" s="1"/>
      <c r="EL262" s="1"/>
      <c r="EM262" s="1"/>
      <c r="EN262" s="1"/>
      <c r="EQ262" s="1"/>
      <c r="ER262" s="1"/>
      <c r="ES262" s="1"/>
      <c r="EV262" s="1"/>
      <c r="EW262" s="1"/>
      <c r="EZ262" s="1"/>
      <c r="FA262" s="1"/>
      <c r="FD262" s="1"/>
      <c r="FJ262" s="1"/>
      <c r="FS262" s="1"/>
      <c r="FU262" s="1"/>
      <c r="FV262" s="1"/>
      <c r="GA262" s="1"/>
      <c r="GD262" s="1"/>
      <c r="GE262" s="1"/>
      <c r="GF262" s="1"/>
      <c r="GG262" s="1"/>
      <c r="GH262" s="1"/>
      <c r="GI262" s="1"/>
      <c r="GJ262" s="1"/>
      <c r="GK262" s="1"/>
      <c r="GL262" s="1"/>
      <c r="GM262" s="1"/>
      <c r="GN262" s="1"/>
      <c r="GO262" s="1"/>
      <c r="GP262" s="1"/>
      <c r="GR262" s="1"/>
      <c r="GS262" s="1"/>
      <c r="GY262" s="1"/>
      <c r="HF262" s="1"/>
      <c r="HN262" s="1"/>
      <c r="HT262" s="1"/>
      <c r="HY262" s="1"/>
      <c r="ID262" s="1"/>
      <c r="IE262" s="1"/>
      <c r="IG262" s="1"/>
      <c r="IR262" s="1"/>
      <c r="IS262" s="1"/>
      <c r="IZ262" s="1"/>
      <c r="JC262" s="1"/>
      <c r="JF262" s="1"/>
      <c r="JG262" s="1"/>
      <c r="JJ262" s="1"/>
      <c r="JK262" s="1"/>
      <c r="JL262" s="3"/>
      <c r="JM262" s="1"/>
      <c r="JP262" s="1"/>
      <c r="JQ262" s="1"/>
      <c r="JR262" s="1"/>
      <c r="JT262" s="1"/>
      <c r="KW262" s="1"/>
      <c r="LZ262" s="1"/>
      <c r="MA262" s="1"/>
    </row>
    <row r="263" spans="4:339" ht="13" x14ac:dyDescent="0.15">
      <c r="D263" s="12"/>
      <c r="E263" s="12"/>
      <c r="I263" s="12"/>
      <c r="J263" s="13"/>
      <c r="BF263" s="1"/>
      <c r="BG263" s="1"/>
      <c r="BH263" s="1"/>
      <c r="BI263" s="1"/>
      <c r="BK263" s="1"/>
      <c r="BL263" s="1"/>
      <c r="BM263" s="1"/>
      <c r="BN263" s="1"/>
      <c r="BO263" s="1"/>
      <c r="BP263" s="1"/>
      <c r="BQ263" s="1"/>
      <c r="BR263" s="1"/>
      <c r="CD263" s="1"/>
      <c r="CE263" s="1"/>
      <c r="CF263" s="1"/>
      <c r="CG263" s="1"/>
      <c r="CH263" s="1"/>
      <c r="CI263" s="1"/>
      <c r="CM263" s="2"/>
      <c r="CN263" s="1"/>
      <c r="CO263" s="1"/>
      <c r="CP263" s="1"/>
      <c r="CQ263" s="1"/>
      <c r="CS263" s="1"/>
      <c r="CV263" s="1"/>
      <c r="CW263" s="1"/>
      <c r="CX263" s="1"/>
      <c r="CY263" s="1"/>
      <c r="CZ263" s="1"/>
      <c r="DA263" s="1"/>
      <c r="DB263" s="1"/>
      <c r="DC263" s="1"/>
      <c r="DD263" s="1"/>
      <c r="DE263" s="1"/>
      <c r="DF263" s="1"/>
      <c r="DG263" s="1"/>
      <c r="DH263" s="1"/>
      <c r="DI263" s="1"/>
      <c r="DJ263" s="1"/>
      <c r="DK263" s="1"/>
      <c r="DM263" s="1"/>
      <c r="DQ263" s="1"/>
      <c r="DR263" s="1"/>
      <c r="DY263" s="1"/>
      <c r="DZ263" s="1"/>
      <c r="ED263" s="1"/>
      <c r="EF263" s="1"/>
      <c r="EK263" s="1"/>
      <c r="EL263" s="1"/>
      <c r="EM263" s="1"/>
      <c r="EN263" s="1"/>
      <c r="EQ263" s="1"/>
      <c r="ER263" s="1"/>
      <c r="ES263" s="1"/>
      <c r="EV263" s="1"/>
      <c r="EW263" s="1"/>
      <c r="EZ263" s="1"/>
      <c r="FA263" s="1"/>
      <c r="FD263" s="1"/>
      <c r="FG263" s="1"/>
      <c r="FH263" s="1"/>
      <c r="FI263" s="1"/>
      <c r="FJ263" s="1"/>
      <c r="FM263" s="1"/>
      <c r="FN263" s="1"/>
      <c r="FO263" s="1"/>
      <c r="FP263" s="1"/>
      <c r="FQ263" s="1"/>
      <c r="FR263" s="1"/>
      <c r="FS263" s="1"/>
      <c r="FT263" s="1"/>
      <c r="FU263" s="1"/>
      <c r="FV263" s="1"/>
      <c r="FW263" s="1"/>
      <c r="FX263" s="1"/>
      <c r="FY263" s="1"/>
      <c r="FZ263" s="1"/>
      <c r="GA263" s="1"/>
      <c r="GB263" s="1"/>
      <c r="GD263" s="1"/>
      <c r="GE263" s="1"/>
      <c r="GF263" s="1"/>
      <c r="GG263" s="1"/>
      <c r="GH263" s="1"/>
      <c r="GI263" s="1"/>
      <c r="GJ263" s="1"/>
      <c r="GK263" s="1"/>
      <c r="GL263" s="1"/>
      <c r="GM263" s="1"/>
      <c r="GN263" s="1"/>
      <c r="GP263" s="1"/>
      <c r="GR263" s="1"/>
      <c r="GY263" s="1"/>
      <c r="HF263" s="1"/>
      <c r="HH263" s="1"/>
      <c r="HN263" s="1"/>
      <c r="HT263" s="1"/>
      <c r="HY263" s="1"/>
      <c r="IC263" s="1"/>
      <c r="ID263" s="1"/>
      <c r="IE263" s="1"/>
      <c r="IF263" s="1"/>
      <c r="IG263" s="1"/>
      <c r="IH263" s="1"/>
      <c r="IJ263" s="1"/>
      <c r="IR263" s="1"/>
      <c r="IS263" s="1"/>
      <c r="IW263" s="1"/>
      <c r="IX263" s="1"/>
      <c r="IY263" s="1"/>
      <c r="IZ263" s="1"/>
      <c r="JB263" s="1"/>
      <c r="JC263" s="1"/>
      <c r="JF263" s="1"/>
      <c r="JG263" s="1"/>
      <c r="JH263" s="1"/>
      <c r="JJ263" s="1"/>
      <c r="JK263" s="1"/>
      <c r="JL263" s="3"/>
      <c r="JM263" s="1"/>
      <c r="JN263" s="1"/>
      <c r="JP263" s="1"/>
      <c r="JQ263" s="1"/>
      <c r="JR263" s="1"/>
      <c r="JT263" s="1"/>
      <c r="KV263" s="1"/>
      <c r="KW263" s="1"/>
      <c r="KY263" s="1"/>
      <c r="KZ263" s="1"/>
      <c r="LA263" s="1"/>
      <c r="LB263" s="1"/>
      <c r="LC263" s="1"/>
      <c r="LD263" s="1"/>
      <c r="LO263" s="1"/>
      <c r="LP263" s="1"/>
      <c r="LZ263" s="1"/>
      <c r="MA263" s="1"/>
    </row>
    <row r="264" spans="4:339" ht="13" x14ac:dyDescent="0.15">
      <c r="D264" s="12"/>
      <c r="E264" s="12"/>
      <c r="I264" s="12"/>
      <c r="J264" s="13"/>
      <c r="BF264" s="1"/>
      <c r="BG264" s="1"/>
      <c r="BH264" s="1"/>
      <c r="BI264" s="1"/>
      <c r="BK264" s="1"/>
      <c r="BL264" s="1"/>
      <c r="BM264" s="1"/>
      <c r="BN264" s="1"/>
      <c r="BO264" s="1"/>
      <c r="BP264" s="1"/>
      <c r="BQ264" s="1"/>
      <c r="BR264" s="1"/>
      <c r="CD264" s="1"/>
      <c r="CE264" s="1"/>
      <c r="CF264" s="1"/>
      <c r="CG264" s="1"/>
      <c r="CH264" s="1"/>
      <c r="CI264" s="1"/>
      <c r="CM264" s="2"/>
      <c r="CN264" s="1"/>
      <c r="CO264" s="1"/>
      <c r="CP264" s="1"/>
      <c r="CQ264" s="1"/>
      <c r="CS264" s="1"/>
      <c r="CV264" s="1"/>
      <c r="CW264" s="1"/>
      <c r="CX264" s="1"/>
      <c r="CY264" s="1"/>
      <c r="CZ264" s="1"/>
      <c r="DA264" s="1"/>
      <c r="DB264" s="1"/>
      <c r="DC264" s="1"/>
      <c r="DD264" s="1"/>
      <c r="DE264" s="1"/>
      <c r="DF264" s="1"/>
      <c r="DG264" s="1"/>
      <c r="DH264" s="1"/>
      <c r="DI264" s="1"/>
      <c r="DJ264" s="1"/>
      <c r="DK264" s="1"/>
      <c r="DM264" s="1"/>
      <c r="DQ264" s="1"/>
      <c r="DR264" s="1"/>
      <c r="DY264" s="1"/>
      <c r="DZ264" s="1"/>
      <c r="ED264" s="1"/>
      <c r="EF264" s="1"/>
      <c r="EK264" s="1"/>
      <c r="EL264" s="1"/>
      <c r="EM264" s="1"/>
      <c r="EN264" s="1"/>
      <c r="EQ264" s="1"/>
      <c r="ER264" s="1"/>
      <c r="ES264" s="1"/>
      <c r="EV264" s="1"/>
      <c r="EW264" s="1"/>
      <c r="EZ264" s="1"/>
      <c r="FA264" s="1"/>
      <c r="FD264" s="1"/>
      <c r="FG264" s="1"/>
      <c r="FH264" s="1"/>
      <c r="FI264" s="1"/>
      <c r="FJ264" s="1"/>
      <c r="FM264" s="1"/>
      <c r="FN264" s="1"/>
      <c r="FO264" s="1"/>
      <c r="FP264" s="1"/>
      <c r="FQ264" s="1"/>
      <c r="FR264" s="1"/>
      <c r="FS264" s="1"/>
      <c r="FT264" s="1"/>
      <c r="FU264" s="1"/>
      <c r="FV264" s="1"/>
      <c r="FW264" s="1"/>
      <c r="FX264" s="1"/>
      <c r="FY264" s="1"/>
      <c r="FZ264" s="1"/>
      <c r="GA264" s="1"/>
      <c r="GB264" s="1"/>
      <c r="GD264" s="1"/>
      <c r="GE264" s="1"/>
      <c r="GF264" s="1"/>
      <c r="GG264" s="1"/>
      <c r="GH264" s="1"/>
      <c r="GI264" s="1"/>
      <c r="GJ264" s="1"/>
      <c r="GK264" s="1"/>
      <c r="GL264" s="1"/>
      <c r="GM264" s="1"/>
      <c r="GN264" s="1"/>
      <c r="GP264" s="1"/>
      <c r="GR264" s="1"/>
      <c r="GY264" s="1"/>
      <c r="HF264" s="1"/>
      <c r="HH264" s="1"/>
      <c r="HN264" s="1"/>
      <c r="HT264" s="1"/>
      <c r="HY264" s="1"/>
      <c r="IC264" s="1"/>
      <c r="ID264" s="1"/>
      <c r="IE264" s="1"/>
      <c r="IF264" s="1"/>
      <c r="IG264" s="1"/>
      <c r="IH264" s="1"/>
      <c r="IJ264" s="1"/>
      <c r="IR264" s="1"/>
      <c r="IS264" s="1"/>
      <c r="IW264" s="1"/>
      <c r="IX264" s="1"/>
      <c r="IY264" s="1"/>
      <c r="IZ264" s="1"/>
      <c r="JB264" s="1"/>
      <c r="JC264" s="1"/>
      <c r="JF264" s="1"/>
      <c r="JG264" s="1"/>
      <c r="JH264" s="1"/>
      <c r="JJ264" s="1"/>
      <c r="JK264" s="1"/>
      <c r="JL264" s="3"/>
      <c r="JM264" s="1"/>
      <c r="JN264" s="1"/>
      <c r="JP264" s="1"/>
      <c r="JQ264" s="1"/>
      <c r="JR264" s="1"/>
      <c r="JT264" s="1"/>
      <c r="KV264" s="1"/>
      <c r="KW264" s="1"/>
      <c r="KY264" s="1"/>
      <c r="KZ264" s="1"/>
      <c r="LA264" s="1"/>
      <c r="LB264" s="1"/>
      <c r="LC264" s="1"/>
      <c r="LD264" s="1"/>
      <c r="LO264" s="1"/>
      <c r="LP264" s="1"/>
      <c r="LZ264" s="1"/>
      <c r="MA264" s="1"/>
    </row>
    <row r="265" spans="4:339" ht="13" x14ac:dyDescent="0.15">
      <c r="D265" s="12"/>
      <c r="E265" s="12"/>
      <c r="I265" s="12"/>
      <c r="J265" s="13"/>
      <c r="BG265" s="1"/>
      <c r="BH265" s="1"/>
      <c r="BI265" s="1"/>
      <c r="BK265" s="1"/>
      <c r="BL265" s="1"/>
      <c r="BM265" s="1"/>
      <c r="BN265" s="1"/>
      <c r="BO265" s="1"/>
      <c r="BP265" s="1"/>
      <c r="BQ265" s="1"/>
      <c r="BR265" s="1"/>
      <c r="BX265" s="1"/>
      <c r="CD265" s="1"/>
      <c r="CE265" s="1"/>
      <c r="CF265" s="1"/>
      <c r="CG265" s="1"/>
      <c r="CH265" s="1"/>
      <c r="CI265" s="1"/>
      <c r="CM265" s="2"/>
      <c r="CN265" s="1"/>
      <c r="CO265" s="1"/>
      <c r="CP265" s="1"/>
      <c r="CQ265" s="1"/>
      <c r="CS265" s="1"/>
      <c r="CT265" s="1"/>
      <c r="CU265" s="1"/>
      <c r="CV265" s="1"/>
      <c r="CW265" s="1"/>
      <c r="CX265" s="1"/>
      <c r="CY265" s="1"/>
      <c r="CZ265" s="1"/>
      <c r="DA265" s="1"/>
      <c r="DB265" s="1"/>
      <c r="DC265" s="1"/>
      <c r="DD265" s="1"/>
      <c r="DE265" s="1"/>
      <c r="DF265" s="1"/>
      <c r="DG265" s="1"/>
      <c r="DH265" s="1"/>
      <c r="DI265" s="1"/>
      <c r="DJ265" s="1"/>
      <c r="DK265" s="1"/>
      <c r="DM265" s="1"/>
      <c r="DQ265" s="1"/>
      <c r="DR265" s="1"/>
      <c r="DY265" s="1"/>
      <c r="DZ265" s="1"/>
      <c r="ED265" s="1"/>
      <c r="EF265" s="1"/>
      <c r="EK265" s="1"/>
      <c r="EL265" s="1"/>
      <c r="EM265" s="1"/>
      <c r="EN265" s="1"/>
      <c r="EQ265" s="1"/>
      <c r="ER265" s="1"/>
      <c r="ES265" s="1"/>
      <c r="EV265" s="1"/>
      <c r="EW265" s="1"/>
      <c r="EX265" s="1"/>
      <c r="EZ265" s="1"/>
      <c r="FA265" s="1"/>
      <c r="FD265" s="1"/>
      <c r="FJ265" s="1"/>
      <c r="FQ265" s="1"/>
      <c r="FV265" s="1"/>
      <c r="FX265" s="1"/>
      <c r="FZ265" s="1"/>
      <c r="GA265" s="1"/>
      <c r="GD265" s="1"/>
      <c r="GE265" s="1"/>
      <c r="GF265" s="1"/>
      <c r="GG265" s="1"/>
      <c r="GH265" s="1"/>
      <c r="GI265" s="1"/>
      <c r="GJ265" s="1"/>
      <c r="GK265" s="1"/>
      <c r="GL265" s="1"/>
      <c r="GM265" s="1"/>
      <c r="GN265" s="1"/>
      <c r="GO265" s="1"/>
      <c r="GP265" s="1"/>
      <c r="GR265" s="1"/>
      <c r="GY265" s="1"/>
      <c r="HF265" s="1"/>
      <c r="HH265" s="1"/>
      <c r="HN265" s="1"/>
      <c r="HR265" s="1"/>
      <c r="HS265" s="1"/>
      <c r="HT265" s="1"/>
      <c r="HY265" s="1"/>
      <c r="IE265" s="1"/>
      <c r="IR265" s="1"/>
      <c r="IS265" s="1"/>
      <c r="IZ265" s="1"/>
      <c r="JC265" s="1"/>
      <c r="JG265" s="1"/>
      <c r="JH265" s="1"/>
      <c r="JJ265" s="1"/>
      <c r="JN265" s="1"/>
      <c r="JP265" s="1"/>
      <c r="JQ265" s="1"/>
      <c r="JT265" s="1"/>
      <c r="JW265" s="1"/>
      <c r="KS265" s="1"/>
      <c r="KT265" s="1"/>
      <c r="KW265" s="1"/>
      <c r="KY265" s="1"/>
      <c r="KZ265" s="1"/>
      <c r="LA265" s="1"/>
      <c r="LB265" s="1"/>
      <c r="LC265" s="1"/>
      <c r="LD265" s="1"/>
      <c r="LO265" s="1"/>
      <c r="LP265" s="1"/>
      <c r="LZ265" s="1"/>
      <c r="MA265" s="1"/>
    </row>
    <row r="266" spans="4:339" ht="13" x14ac:dyDescent="0.15">
      <c r="D266" s="12"/>
      <c r="E266" s="12"/>
      <c r="I266" s="12"/>
      <c r="J266" s="13"/>
      <c r="BF266" s="1"/>
      <c r="BG266" s="1"/>
      <c r="BH266" s="1"/>
      <c r="BI266" s="1"/>
      <c r="BK266" s="1"/>
      <c r="BL266" s="1"/>
      <c r="BM266" s="1"/>
      <c r="BN266" s="1"/>
      <c r="BO266" s="1"/>
      <c r="BP266" s="1"/>
      <c r="BQ266" s="1"/>
      <c r="BR266" s="1"/>
      <c r="CD266" s="1"/>
      <c r="CE266" s="1"/>
      <c r="CF266" s="1"/>
      <c r="CH266" s="1"/>
      <c r="CI266" s="1"/>
      <c r="CM266" s="2"/>
      <c r="CN266" s="1"/>
      <c r="CO266" s="1"/>
      <c r="CP266" s="1"/>
      <c r="CQ266" s="1"/>
      <c r="CS266" s="1"/>
      <c r="CT266" s="1"/>
      <c r="CU266" s="1"/>
      <c r="CV266" s="1"/>
      <c r="CW266" s="1"/>
      <c r="CX266" s="1"/>
      <c r="CY266" s="1"/>
      <c r="CZ266" s="1"/>
      <c r="DA266" s="1"/>
      <c r="DB266" s="1"/>
      <c r="DC266" s="1"/>
      <c r="DD266" s="1"/>
      <c r="DE266" s="1"/>
      <c r="DF266" s="1"/>
      <c r="DG266" s="1"/>
      <c r="DH266" s="1"/>
      <c r="DI266" s="1"/>
      <c r="DJ266" s="1"/>
      <c r="DK266" s="1"/>
      <c r="DM266" s="1"/>
      <c r="DR266" s="1"/>
      <c r="ED266" s="1"/>
      <c r="EF266" s="1"/>
      <c r="EK266" s="1"/>
      <c r="EL266" s="1"/>
      <c r="EM266" s="1"/>
      <c r="EN266" s="1"/>
      <c r="EQ266" s="1"/>
      <c r="ER266" s="1"/>
      <c r="ES266" s="1"/>
      <c r="EV266" s="1"/>
      <c r="EW266" s="1"/>
      <c r="EZ266" s="1"/>
      <c r="FA266" s="1"/>
      <c r="FD266" s="1"/>
      <c r="FG266" s="1"/>
      <c r="FH266" s="1"/>
      <c r="FI266" s="1"/>
      <c r="FJ266" s="1"/>
      <c r="FL266" s="1"/>
      <c r="FM266" s="1"/>
      <c r="FN266" s="1"/>
      <c r="FO266" s="1"/>
      <c r="FP266" s="1"/>
      <c r="FQ266" s="1"/>
      <c r="FS266" s="1"/>
      <c r="FT266" s="1"/>
      <c r="FU266" s="1"/>
      <c r="FV266" s="1"/>
      <c r="FW266" s="1"/>
      <c r="FX266" s="1"/>
      <c r="FY266" s="1"/>
      <c r="FZ266" s="1"/>
      <c r="GA266" s="1"/>
      <c r="GB266" s="1"/>
      <c r="GD266" s="1"/>
      <c r="GE266" s="1"/>
      <c r="GF266" s="1"/>
      <c r="GG266" s="1"/>
      <c r="GH266" s="1"/>
      <c r="GI266" s="1"/>
      <c r="GJ266" s="1"/>
      <c r="GK266" s="1"/>
      <c r="GL266" s="1"/>
      <c r="GM266" s="1"/>
      <c r="GN266" s="1"/>
      <c r="GO266" s="1"/>
      <c r="GP266" s="1"/>
      <c r="GR266" s="1"/>
      <c r="GV266" s="1"/>
      <c r="GY266" s="1"/>
      <c r="HF266" s="1"/>
      <c r="HH266" s="1"/>
      <c r="HY266" s="1"/>
      <c r="IC266" s="1"/>
      <c r="IE266" s="1"/>
      <c r="IR266" s="1"/>
      <c r="IS266" s="1"/>
      <c r="IW266" s="1"/>
      <c r="IZ266" s="1"/>
      <c r="JG266" s="1"/>
      <c r="JJ266" s="1"/>
      <c r="JN266" s="1"/>
      <c r="JP266" s="1"/>
      <c r="JQ266" s="1"/>
      <c r="JT266" s="1"/>
      <c r="KU266" s="1"/>
      <c r="KZ266" s="1"/>
      <c r="LA266" s="1"/>
      <c r="LC266" s="1"/>
      <c r="LO266" s="1"/>
      <c r="LZ266" s="1"/>
      <c r="MA266" s="1"/>
    </row>
    <row r="267" spans="4:339" ht="13" x14ac:dyDescent="0.15">
      <c r="D267" s="12"/>
      <c r="E267" s="12"/>
      <c r="I267" s="12"/>
      <c r="J267" s="13"/>
      <c r="BF267" s="1"/>
      <c r="BG267" s="1"/>
      <c r="BH267" s="1"/>
      <c r="BI267" s="1"/>
      <c r="BK267" s="1"/>
      <c r="BL267" s="1"/>
      <c r="BM267" s="1"/>
      <c r="BN267" s="1"/>
      <c r="BO267" s="1"/>
      <c r="BP267" s="1"/>
      <c r="BQ267" s="1"/>
      <c r="BR267" s="1"/>
      <c r="CD267" s="1"/>
      <c r="CE267" s="1"/>
      <c r="CF267" s="1"/>
      <c r="CG267" s="1"/>
      <c r="CH267" s="1"/>
      <c r="CI267" s="1"/>
      <c r="CM267" s="2"/>
      <c r="CN267" s="1"/>
      <c r="CO267" s="1"/>
      <c r="CP267" s="1"/>
      <c r="CQ267" s="1"/>
      <c r="CV267" s="1"/>
      <c r="CW267" s="1"/>
      <c r="CX267" s="1"/>
      <c r="CY267" s="1"/>
      <c r="CZ267" s="1"/>
      <c r="DA267" s="1"/>
      <c r="DB267" s="1"/>
      <c r="DC267" s="1"/>
      <c r="DD267" s="1"/>
      <c r="DE267" s="1"/>
      <c r="DF267" s="1"/>
      <c r="DG267" s="1"/>
      <c r="DH267" s="1"/>
      <c r="DI267" s="1"/>
      <c r="DJ267" s="1"/>
      <c r="DK267" s="1"/>
      <c r="DM267" s="1"/>
      <c r="DR267" s="1"/>
      <c r="ED267" s="1"/>
      <c r="EF267" s="1"/>
      <c r="EK267" s="1"/>
      <c r="EL267" s="1"/>
      <c r="EM267" s="1"/>
      <c r="EN267" s="1"/>
      <c r="EQ267" s="1"/>
      <c r="ER267" s="1"/>
      <c r="ES267" s="1"/>
      <c r="EV267" s="1"/>
      <c r="EW267" s="1"/>
      <c r="EZ267" s="1"/>
      <c r="FA267" s="1"/>
      <c r="FD267" s="1"/>
      <c r="FH267" s="1"/>
      <c r="FI267" s="1"/>
      <c r="FJ267" s="1"/>
      <c r="FM267" s="1"/>
      <c r="FN267" s="1"/>
      <c r="FO267" s="1"/>
      <c r="FP267" s="1"/>
      <c r="FQ267" s="1"/>
      <c r="FR267" s="1"/>
      <c r="FS267" s="1"/>
      <c r="FT267" s="1"/>
      <c r="FV267" s="1"/>
      <c r="FW267" s="1"/>
      <c r="FX267" s="1"/>
      <c r="FY267" s="1"/>
      <c r="FZ267" s="1"/>
      <c r="GA267" s="1"/>
      <c r="GD267" s="1"/>
      <c r="GE267" s="1"/>
      <c r="GF267" s="1"/>
      <c r="GG267" s="1"/>
      <c r="GH267" s="1"/>
      <c r="GI267" s="1"/>
      <c r="GJ267" s="1"/>
      <c r="GK267" s="1"/>
      <c r="GL267" s="1"/>
      <c r="GM267" s="1"/>
      <c r="GN267" s="1"/>
      <c r="GP267" s="1"/>
      <c r="GR267" s="1"/>
      <c r="GY267" s="1"/>
      <c r="HF267" s="1"/>
      <c r="HH267" s="1"/>
      <c r="HY267" s="1"/>
      <c r="ID267" s="1"/>
      <c r="IE267" s="1"/>
      <c r="IR267" s="1"/>
      <c r="IS267" s="1"/>
      <c r="IZ267" s="1"/>
      <c r="JF267" s="1"/>
      <c r="JG267" s="1"/>
      <c r="JH267" s="1"/>
      <c r="JJ267" s="1"/>
      <c r="JN267" s="1"/>
      <c r="JP267" s="1"/>
      <c r="JQ267" s="1"/>
      <c r="JT267" s="1"/>
      <c r="KV267" s="1"/>
      <c r="KW267" s="1"/>
      <c r="KY267" s="1"/>
      <c r="KZ267" s="1"/>
      <c r="LA267" s="1"/>
      <c r="LB267" s="1"/>
      <c r="LC267" s="1"/>
      <c r="LD267" s="1"/>
      <c r="LN267" s="1"/>
      <c r="LO267" s="1"/>
      <c r="LP267" s="1"/>
      <c r="LZ267" s="1"/>
      <c r="MA267" s="1"/>
    </row>
    <row r="268" spans="4:339" ht="13" x14ac:dyDescent="0.15">
      <c r="D268" s="12"/>
      <c r="E268" s="12"/>
      <c r="I268" s="12"/>
      <c r="J268" s="13"/>
      <c r="BF268" s="1"/>
      <c r="BG268" s="1"/>
      <c r="BH268" s="1"/>
      <c r="BI268" s="1"/>
      <c r="BK268" s="1"/>
      <c r="BL268" s="1"/>
      <c r="BM268" s="1"/>
      <c r="BN268" s="1"/>
      <c r="BO268" s="1"/>
      <c r="BP268" s="1"/>
      <c r="BQ268" s="1"/>
      <c r="BR268" s="1"/>
      <c r="CD268" s="1"/>
      <c r="CE268" s="1"/>
      <c r="CF268" s="1"/>
      <c r="CG268" s="1"/>
      <c r="CH268" s="1"/>
      <c r="CI268" s="1"/>
      <c r="CM268" s="2"/>
      <c r="CN268" s="1"/>
      <c r="CO268" s="1"/>
      <c r="CP268" s="1"/>
      <c r="CQ268" s="1"/>
      <c r="CV268" s="1"/>
      <c r="CW268" s="1"/>
      <c r="CX268" s="1"/>
      <c r="CY268" s="1"/>
      <c r="CZ268" s="1"/>
      <c r="DA268" s="1"/>
      <c r="DB268" s="1"/>
      <c r="DC268" s="1"/>
      <c r="DD268" s="1"/>
      <c r="DE268" s="1"/>
      <c r="DF268" s="1"/>
      <c r="DG268" s="1"/>
      <c r="DH268" s="1"/>
      <c r="DI268" s="1"/>
      <c r="DJ268" s="1"/>
      <c r="DK268" s="1"/>
      <c r="DM268" s="1"/>
      <c r="DR268" s="1"/>
      <c r="ED268" s="1"/>
      <c r="EF268" s="1"/>
      <c r="EK268" s="1"/>
      <c r="EL268" s="1"/>
      <c r="EM268" s="1"/>
      <c r="EN268" s="1"/>
      <c r="EQ268" s="1"/>
      <c r="ER268" s="1"/>
      <c r="ES268" s="1"/>
      <c r="EV268" s="1"/>
      <c r="EW268" s="1"/>
      <c r="EZ268" s="1"/>
      <c r="FA268" s="1"/>
      <c r="FD268" s="1"/>
      <c r="FH268" s="1"/>
      <c r="FI268" s="1"/>
      <c r="FJ268" s="1"/>
      <c r="FM268" s="1"/>
      <c r="FN268" s="1"/>
      <c r="FO268" s="1"/>
      <c r="FP268" s="1"/>
      <c r="FQ268" s="1"/>
      <c r="FR268" s="1"/>
      <c r="FS268" s="1"/>
      <c r="FT268" s="1"/>
      <c r="FV268" s="1"/>
      <c r="FW268" s="1"/>
      <c r="FX268" s="1"/>
      <c r="FY268" s="1"/>
      <c r="FZ268" s="1"/>
      <c r="GA268" s="1"/>
      <c r="GD268" s="1"/>
      <c r="GE268" s="1"/>
      <c r="GF268" s="1"/>
      <c r="GG268" s="1"/>
      <c r="GH268" s="1"/>
      <c r="GI268" s="1"/>
      <c r="GJ268" s="1"/>
      <c r="GK268" s="1"/>
      <c r="GL268" s="1"/>
      <c r="GM268" s="1"/>
      <c r="GN268" s="1"/>
      <c r="GP268" s="1"/>
      <c r="GR268" s="1"/>
      <c r="GY268" s="1"/>
      <c r="HF268" s="1"/>
      <c r="HH268" s="1"/>
      <c r="HY268" s="1"/>
      <c r="ID268" s="1"/>
      <c r="IE268" s="1"/>
      <c r="IR268" s="1"/>
      <c r="IS268" s="1"/>
      <c r="IZ268" s="1"/>
      <c r="JF268" s="1"/>
      <c r="JG268" s="1"/>
      <c r="JH268" s="1"/>
      <c r="JJ268" s="1"/>
      <c r="JN268" s="1"/>
      <c r="JP268" s="1"/>
      <c r="JQ268" s="1"/>
      <c r="JT268" s="1"/>
      <c r="KV268" s="1"/>
      <c r="KW268" s="1"/>
      <c r="KY268" s="1"/>
      <c r="KZ268" s="1"/>
      <c r="LA268" s="1"/>
      <c r="LB268" s="1"/>
      <c r="LC268" s="1"/>
      <c r="LD268" s="1"/>
      <c r="LN268" s="1"/>
      <c r="LO268" s="1"/>
      <c r="LP268" s="1"/>
      <c r="LZ268" s="1"/>
      <c r="MA268" s="1"/>
    </row>
    <row r="269" spans="4:339" ht="13" x14ac:dyDescent="0.15">
      <c r="D269" s="12"/>
      <c r="E269" s="12"/>
      <c r="I269" s="12"/>
      <c r="J269" s="13"/>
      <c r="BF269" s="1"/>
      <c r="BG269" s="1"/>
      <c r="BH269" s="1"/>
      <c r="BI269" s="1"/>
      <c r="BK269" s="1"/>
      <c r="BL269" s="1"/>
      <c r="BM269" s="1"/>
      <c r="BN269" s="1"/>
      <c r="BO269" s="1"/>
      <c r="BP269" s="1"/>
      <c r="BQ269" s="1"/>
      <c r="BR269" s="1"/>
      <c r="CD269" s="1"/>
      <c r="CE269" s="1"/>
      <c r="CF269" s="1"/>
      <c r="CG269" s="1"/>
      <c r="CH269" s="1"/>
      <c r="CI269" s="1"/>
      <c r="CM269" s="2"/>
      <c r="CN269" s="1"/>
      <c r="CO269" s="1"/>
      <c r="CP269" s="1"/>
      <c r="CQ269" s="1"/>
      <c r="CV269" s="1"/>
      <c r="CW269" s="1"/>
      <c r="CX269" s="1"/>
      <c r="CY269" s="1"/>
      <c r="CZ269" s="1"/>
      <c r="DA269" s="1"/>
      <c r="DB269" s="1"/>
      <c r="DC269" s="1"/>
      <c r="DD269" s="1"/>
      <c r="DE269" s="1"/>
      <c r="DF269" s="1"/>
      <c r="DG269" s="1"/>
      <c r="DH269" s="1"/>
      <c r="DI269" s="1"/>
      <c r="DJ269" s="1"/>
      <c r="DK269" s="1"/>
      <c r="DM269" s="1"/>
      <c r="DR269" s="1"/>
      <c r="ED269" s="1"/>
      <c r="EF269" s="1"/>
      <c r="EK269" s="1"/>
      <c r="EL269" s="1"/>
      <c r="EM269" s="1"/>
      <c r="EN269" s="1"/>
      <c r="EQ269" s="1"/>
      <c r="ER269" s="1"/>
      <c r="ES269" s="1"/>
      <c r="EV269" s="1"/>
      <c r="EW269" s="1"/>
      <c r="EZ269" s="1"/>
      <c r="FA269" s="1"/>
      <c r="FD269" s="1"/>
      <c r="FH269" s="1"/>
      <c r="FI269" s="1"/>
      <c r="FJ269" s="1"/>
      <c r="FM269" s="1"/>
      <c r="FN269" s="1"/>
      <c r="FO269" s="1"/>
      <c r="FP269" s="1"/>
      <c r="FQ269" s="1"/>
      <c r="FR269" s="1"/>
      <c r="FS269" s="1"/>
      <c r="FT269" s="1"/>
      <c r="FV269" s="1"/>
      <c r="FW269" s="1"/>
      <c r="FX269" s="1"/>
      <c r="FY269" s="1"/>
      <c r="FZ269" s="1"/>
      <c r="GA269" s="1"/>
      <c r="GD269" s="1"/>
      <c r="GE269" s="1"/>
      <c r="GF269" s="1"/>
      <c r="GG269" s="1"/>
      <c r="GH269" s="1"/>
      <c r="GI269" s="1"/>
      <c r="GJ269" s="1"/>
      <c r="GK269" s="1"/>
      <c r="GL269" s="1"/>
      <c r="GM269" s="1"/>
      <c r="GN269" s="1"/>
      <c r="GP269" s="1"/>
      <c r="GR269" s="1"/>
      <c r="GY269" s="1"/>
      <c r="HF269" s="1"/>
      <c r="HH269" s="1"/>
      <c r="HY269" s="1"/>
      <c r="ID269" s="1"/>
      <c r="IE269" s="1"/>
      <c r="IR269" s="1"/>
      <c r="IS269" s="1"/>
      <c r="IZ269" s="1"/>
      <c r="JF269" s="1"/>
      <c r="JG269" s="1"/>
      <c r="JH269" s="1"/>
      <c r="JJ269" s="1"/>
      <c r="JN269" s="1"/>
      <c r="JP269" s="1"/>
      <c r="JQ269" s="1"/>
      <c r="JT269" s="1"/>
      <c r="KV269" s="1"/>
      <c r="KW269" s="1"/>
      <c r="KY269" s="1"/>
      <c r="KZ269" s="1"/>
      <c r="LA269" s="1"/>
      <c r="LB269" s="1"/>
      <c r="LC269" s="1"/>
      <c r="LD269" s="1"/>
      <c r="LN269" s="1"/>
      <c r="LO269" s="1"/>
      <c r="LP269" s="1"/>
      <c r="LZ269" s="1"/>
      <c r="MA269" s="1"/>
    </row>
    <row r="270" spans="4:339" ht="13" x14ac:dyDescent="0.15">
      <c r="D270" s="12"/>
      <c r="E270" s="12"/>
      <c r="I270" s="12"/>
      <c r="J270" s="13"/>
      <c r="BF270" s="1"/>
      <c r="BG270" s="1"/>
      <c r="BH270" s="1"/>
      <c r="BI270" s="1"/>
      <c r="BK270" s="1"/>
      <c r="BL270" s="1"/>
      <c r="BM270" s="1"/>
      <c r="BN270" s="1"/>
      <c r="BO270" s="1"/>
      <c r="BP270" s="1"/>
      <c r="BQ270" s="1"/>
      <c r="BR270" s="1"/>
      <c r="CD270" s="1"/>
      <c r="CE270" s="1"/>
      <c r="CF270" s="1"/>
      <c r="CG270" s="1"/>
      <c r="CH270" s="1"/>
      <c r="CI270" s="1"/>
      <c r="CM270" s="2"/>
      <c r="CN270" s="1"/>
      <c r="CO270" s="1"/>
      <c r="CP270" s="1"/>
      <c r="CQ270" s="1"/>
      <c r="CV270" s="1"/>
      <c r="CW270" s="1"/>
      <c r="CX270" s="1"/>
      <c r="CY270" s="1"/>
      <c r="CZ270" s="1"/>
      <c r="DA270" s="1"/>
      <c r="DB270" s="1"/>
      <c r="DC270" s="1"/>
      <c r="DD270" s="1"/>
      <c r="DE270" s="1"/>
      <c r="DF270" s="1"/>
      <c r="DG270" s="1"/>
      <c r="DH270" s="1"/>
      <c r="DI270" s="1"/>
      <c r="DJ270" s="1"/>
      <c r="DK270" s="1"/>
      <c r="DM270" s="1"/>
      <c r="DR270" s="1"/>
      <c r="ED270" s="1"/>
      <c r="EF270" s="1"/>
      <c r="EK270" s="1"/>
      <c r="EL270" s="1"/>
      <c r="EM270" s="1"/>
      <c r="EN270" s="1"/>
      <c r="EQ270" s="1"/>
      <c r="ER270" s="1"/>
      <c r="ES270" s="1"/>
      <c r="EV270" s="1"/>
      <c r="EW270" s="1"/>
      <c r="EZ270" s="1"/>
      <c r="FA270" s="1"/>
      <c r="FD270" s="1"/>
      <c r="FH270" s="1"/>
      <c r="FI270" s="1"/>
      <c r="FJ270" s="1"/>
      <c r="FM270" s="1"/>
      <c r="FN270" s="1"/>
      <c r="FO270" s="1"/>
      <c r="FP270" s="1"/>
      <c r="FQ270" s="1"/>
      <c r="FR270" s="1"/>
      <c r="FS270" s="1"/>
      <c r="FT270" s="1"/>
      <c r="FV270" s="1"/>
      <c r="FW270" s="1"/>
      <c r="FX270" s="1"/>
      <c r="FY270" s="1"/>
      <c r="FZ270" s="1"/>
      <c r="GA270" s="1"/>
      <c r="GD270" s="1"/>
      <c r="GE270" s="1"/>
      <c r="GF270" s="1"/>
      <c r="GG270" s="1"/>
      <c r="GH270" s="1"/>
      <c r="GI270" s="1"/>
      <c r="GJ270" s="1"/>
      <c r="GK270" s="1"/>
      <c r="GL270" s="1"/>
      <c r="GM270" s="1"/>
      <c r="GN270" s="1"/>
      <c r="GP270" s="1"/>
      <c r="GR270" s="1"/>
      <c r="GY270" s="1"/>
      <c r="HF270" s="1"/>
      <c r="HH270" s="1"/>
      <c r="HY270" s="1"/>
      <c r="ID270" s="1"/>
      <c r="IE270" s="1"/>
      <c r="IR270" s="1"/>
      <c r="IS270" s="1"/>
      <c r="IZ270" s="1"/>
      <c r="JF270" s="1"/>
      <c r="JG270" s="1"/>
      <c r="JH270" s="1"/>
      <c r="JJ270" s="1"/>
      <c r="JN270" s="1"/>
      <c r="JP270" s="1"/>
      <c r="JQ270" s="1"/>
      <c r="JT270" s="1"/>
      <c r="KV270" s="1"/>
      <c r="KW270" s="1"/>
      <c r="KY270" s="1"/>
      <c r="KZ270" s="1"/>
      <c r="LA270" s="1"/>
      <c r="LB270" s="1"/>
      <c r="LC270" s="1"/>
      <c r="LD270" s="1"/>
      <c r="LN270" s="1"/>
      <c r="LO270" s="1"/>
      <c r="LP270" s="1"/>
      <c r="LZ270" s="1"/>
      <c r="MA270" s="1"/>
    </row>
    <row r="271" spans="4:339" ht="13" x14ac:dyDescent="0.15">
      <c r="D271" s="12"/>
      <c r="E271" s="12"/>
      <c r="I271" s="12"/>
      <c r="J271" s="13"/>
      <c r="BF271" s="1"/>
      <c r="BG271" s="1"/>
      <c r="BH271" s="1"/>
      <c r="BI271" s="1"/>
      <c r="BK271" s="1"/>
      <c r="BL271" s="1"/>
      <c r="BM271" s="1"/>
      <c r="BN271" s="1"/>
      <c r="BO271" s="1"/>
      <c r="BP271" s="1"/>
      <c r="BQ271" s="1"/>
      <c r="BR271" s="1"/>
      <c r="CD271" s="1"/>
      <c r="CE271" s="1"/>
      <c r="CF271" s="1"/>
      <c r="CG271" s="1"/>
      <c r="CH271" s="1"/>
      <c r="CI271" s="1"/>
      <c r="CM271" s="2"/>
      <c r="CN271" s="1"/>
      <c r="CO271" s="1"/>
      <c r="CP271" s="1"/>
      <c r="CQ271" s="1"/>
      <c r="CV271" s="1"/>
      <c r="CW271" s="1"/>
      <c r="CX271" s="1"/>
      <c r="CY271" s="1"/>
      <c r="CZ271" s="1"/>
      <c r="DA271" s="1"/>
      <c r="DB271" s="1"/>
      <c r="DC271" s="1"/>
      <c r="DD271" s="1"/>
      <c r="DE271" s="1"/>
      <c r="DF271" s="1"/>
      <c r="DG271" s="1"/>
      <c r="DH271" s="1"/>
      <c r="DI271" s="1"/>
      <c r="DJ271" s="1"/>
      <c r="DK271" s="1"/>
      <c r="DM271" s="1"/>
      <c r="DR271" s="1"/>
      <c r="ED271" s="1"/>
      <c r="EF271" s="1"/>
      <c r="EK271" s="1"/>
      <c r="EL271" s="1"/>
      <c r="EM271" s="1"/>
      <c r="EN271" s="1"/>
      <c r="EQ271" s="1"/>
      <c r="ER271" s="1"/>
      <c r="ES271" s="1"/>
      <c r="EV271" s="1"/>
      <c r="EW271" s="1"/>
      <c r="EZ271" s="1"/>
      <c r="FA271" s="1"/>
      <c r="FD271" s="1"/>
      <c r="FH271" s="1"/>
      <c r="FI271" s="1"/>
      <c r="FJ271" s="1"/>
      <c r="FM271" s="1"/>
      <c r="FN271" s="1"/>
      <c r="FO271" s="1"/>
      <c r="FP271" s="1"/>
      <c r="FQ271" s="1"/>
      <c r="FR271" s="1"/>
      <c r="FS271" s="1"/>
      <c r="FT271" s="1"/>
      <c r="FV271" s="1"/>
      <c r="FW271" s="1"/>
      <c r="FX271" s="1"/>
      <c r="FY271" s="1"/>
      <c r="FZ271" s="1"/>
      <c r="GA271" s="1"/>
      <c r="GD271" s="1"/>
      <c r="GE271" s="1"/>
      <c r="GF271" s="1"/>
      <c r="GG271" s="1"/>
      <c r="GH271" s="1"/>
      <c r="GI271" s="1"/>
      <c r="GJ271" s="1"/>
      <c r="GK271" s="1"/>
      <c r="GL271" s="1"/>
      <c r="GM271" s="1"/>
      <c r="GN271" s="1"/>
      <c r="GP271" s="1"/>
      <c r="GR271" s="1"/>
      <c r="GY271" s="1"/>
      <c r="HF271" s="1"/>
      <c r="HH271" s="1"/>
      <c r="HY271" s="1"/>
      <c r="ID271" s="1"/>
      <c r="IE271" s="1"/>
      <c r="IR271" s="1"/>
      <c r="IS271" s="1"/>
      <c r="IZ271" s="1"/>
      <c r="JF271" s="1"/>
      <c r="JG271" s="1"/>
      <c r="JH271" s="1"/>
      <c r="JJ271" s="1"/>
      <c r="JN271" s="1"/>
      <c r="JP271" s="1"/>
      <c r="JQ271" s="1"/>
      <c r="JT271" s="1"/>
      <c r="KV271" s="1"/>
      <c r="KW271" s="1"/>
      <c r="KY271" s="1"/>
      <c r="KZ271" s="1"/>
      <c r="LA271" s="1"/>
      <c r="LB271" s="1"/>
      <c r="LC271" s="1"/>
      <c r="LD271" s="1"/>
      <c r="LN271" s="1"/>
      <c r="LO271" s="1"/>
      <c r="LP271" s="1"/>
      <c r="LZ271" s="1"/>
      <c r="MA271" s="1"/>
    </row>
    <row r="272" spans="4:339" ht="13" x14ac:dyDescent="0.15">
      <c r="D272" s="12"/>
      <c r="E272" s="12"/>
      <c r="I272" s="12"/>
      <c r="J272" s="13"/>
      <c r="BF272" s="1"/>
      <c r="BG272" s="1"/>
      <c r="BH272" s="1"/>
      <c r="BI272" s="1"/>
      <c r="BK272" s="1"/>
      <c r="BL272" s="1"/>
      <c r="BM272" s="1"/>
      <c r="BN272" s="1"/>
      <c r="BO272" s="1"/>
      <c r="BP272" s="1"/>
      <c r="BQ272" s="1"/>
      <c r="BR272" s="1"/>
      <c r="CD272" s="1"/>
      <c r="CE272" s="1"/>
      <c r="CF272" s="1"/>
      <c r="CG272" s="1"/>
      <c r="CH272" s="1"/>
      <c r="CI272" s="1"/>
      <c r="CM272" s="2"/>
      <c r="CN272" s="1"/>
      <c r="CO272" s="1"/>
      <c r="CP272" s="1"/>
      <c r="CQ272" s="1"/>
      <c r="CS272" s="1"/>
      <c r="CT272" s="1"/>
      <c r="CU272" s="1"/>
      <c r="CV272" s="1"/>
      <c r="CW272" s="1"/>
      <c r="CX272" s="1"/>
      <c r="CY272" s="1"/>
      <c r="CZ272" s="1"/>
      <c r="DA272" s="1"/>
      <c r="DB272" s="1"/>
      <c r="DC272" s="1"/>
      <c r="DD272" s="1"/>
      <c r="DE272" s="1"/>
      <c r="DF272" s="1"/>
      <c r="DG272" s="1"/>
      <c r="DH272" s="1"/>
      <c r="DI272" s="1"/>
      <c r="DJ272" s="1"/>
      <c r="DK272" s="1"/>
      <c r="ED272" s="1"/>
      <c r="EK272" s="1"/>
      <c r="EL272" s="1"/>
      <c r="EM272" s="1"/>
      <c r="EN272" s="1"/>
      <c r="EQ272" s="1"/>
      <c r="ER272" s="1"/>
      <c r="ES272" s="1"/>
      <c r="EV272" s="1"/>
      <c r="EW272" s="1"/>
      <c r="EZ272" s="1"/>
      <c r="FA272" s="1"/>
      <c r="FD272" s="1"/>
      <c r="FJ272" s="1"/>
      <c r="FM272" s="1"/>
      <c r="FN272" s="1"/>
      <c r="FO272" s="1"/>
      <c r="FP272" s="1"/>
      <c r="FQ272" s="1"/>
      <c r="FR272" s="1"/>
      <c r="FX272" s="1"/>
      <c r="GA272" s="1"/>
      <c r="GD272" s="1"/>
      <c r="GE272" s="1"/>
      <c r="GF272" s="1"/>
      <c r="GG272" s="1"/>
      <c r="GH272" s="1"/>
      <c r="GI272" s="1"/>
      <c r="GJ272" s="1"/>
      <c r="GP272" s="1"/>
      <c r="HH272" s="1"/>
      <c r="HT272" s="1"/>
      <c r="HY272" s="1"/>
      <c r="IC272" s="1"/>
      <c r="IE272" s="1"/>
      <c r="IR272" s="1"/>
      <c r="IS272" s="1"/>
      <c r="IZ272" s="1"/>
      <c r="JC272" s="1"/>
      <c r="JF272" s="1"/>
      <c r="JG272" s="1"/>
      <c r="JH272" s="1"/>
      <c r="JJ272" s="1"/>
      <c r="JN272" s="1"/>
      <c r="JP272" s="1"/>
      <c r="JQ272" s="1"/>
      <c r="JT272" s="1"/>
      <c r="KU272" s="1"/>
      <c r="KW272" s="1"/>
      <c r="KY272" s="1"/>
      <c r="KZ272" s="1"/>
      <c r="LA272" s="1"/>
      <c r="LB272" s="1"/>
      <c r="LC272" s="1"/>
      <c r="LD272" s="1"/>
      <c r="LN272" s="1"/>
      <c r="LO272" s="1"/>
      <c r="LP272" s="1"/>
      <c r="LZ272" s="1"/>
      <c r="MA272" s="1"/>
    </row>
    <row r="273" spans="4:339" ht="13" x14ac:dyDescent="0.15">
      <c r="D273" s="12"/>
      <c r="E273" s="12"/>
      <c r="I273" s="12"/>
      <c r="J273" s="13"/>
      <c r="BF273" s="1"/>
      <c r="BG273" s="1"/>
      <c r="BH273" s="1"/>
      <c r="BI273" s="1"/>
      <c r="BJ273" s="1"/>
      <c r="BK273" s="1"/>
      <c r="BL273" s="1"/>
      <c r="BM273" s="1"/>
      <c r="BN273" s="1"/>
      <c r="BO273" s="1"/>
      <c r="BQ273" s="1"/>
      <c r="BR273" s="1"/>
      <c r="CD273" s="1"/>
      <c r="CE273" s="1"/>
      <c r="CF273" s="1"/>
      <c r="CH273" s="1"/>
      <c r="CI273" s="1"/>
      <c r="CM273" s="2"/>
      <c r="CN273" s="1"/>
      <c r="CO273" s="1"/>
      <c r="CQ273" s="1"/>
      <c r="CY273" s="1"/>
      <c r="DC273" s="1"/>
      <c r="DH273" s="1"/>
      <c r="DM273" s="1"/>
      <c r="DR273" s="1"/>
      <c r="ED273" s="1"/>
      <c r="EF273" s="1"/>
      <c r="EL273" s="1"/>
      <c r="EM273" s="1"/>
      <c r="EN273" s="1"/>
      <c r="EQ273" s="1"/>
      <c r="ER273" s="1"/>
      <c r="ES273" s="1"/>
      <c r="EV273" s="1"/>
      <c r="EW273" s="1"/>
      <c r="EZ273" s="1"/>
      <c r="FA273" s="1"/>
      <c r="FD273" s="1"/>
      <c r="FG273" s="1"/>
      <c r="FH273" s="1"/>
      <c r="FI273" s="1"/>
      <c r="FJ273" s="1"/>
      <c r="FK273" s="1"/>
      <c r="FL273" s="1"/>
      <c r="FM273" s="1"/>
      <c r="FN273" s="1"/>
      <c r="FO273" s="1"/>
      <c r="FP273" s="1"/>
      <c r="FQ273" s="1"/>
      <c r="FR273" s="1"/>
      <c r="FS273" s="1"/>
      <c r="FT273" s="1"/>
      <c r="FU273" s="1"/>
      <c r="FV273" s="1"/>
      <c r="FW273" s="1"/>
      <c r="FX273" s="1"/>
      <c r="FY273" s="1"/>
      <c r="FZ273" s="1"/>
      <c r="GA273" s="1"/>
      <c r="GB273" s="1"/>
      <c r="GD273" s="1"/>
      <c r="GE273" s="1"/>
      <c r="GF273" s="1"/>
      <c r="GG273" s="1"/>
      <c r="GH273" s="1"/>
      <c r="GI273" s="1"/>
      <c r="GJ273" s="1"/>
      <c r="GK273" s="1"/>
      <c r="GL273" s="1"/>
      <c r="GM273" s="1"/>
      <c r="GN273" s="1"/>
      <c r="GP273" s="1"/>
      <c r="GR273" s="1"/>
      <c r="GY273" s="1"/>
      <c r="HF273" s="1"/>
      <c r="HH273" s="1"/>
      <c r="HY273" s="1"/>
      <c r="IR273" s="1"/>
      <c r="IS273" s="1"/>
      <c r="IZ273" s="1"/>
      <c r="JG273" s="1"/>
      <c r="JJ273" s="1"/>
      <c r="JN273" s="1"/>
      <c r="JP273" s="1"/>
      <c r="JQ273" s="1"/>
      <c r="JT273" s="1"/>
      <c r="KU273" s="1"/>
      <c r="KZ273" s="1"/>
      <c r="LA273" s="1"/>
      <c r="LC273" s="1"/>
      <c r="LO273" s="1"/>
      <c r="LZ273" s="1"/>
      <c r="MA273" s="1"/>
    </row>
    <row r="274" spans="4:339" ht="13" x14ac:dyDescent="0.15">
      <c r="D274" s="12"/>
      <c r="E274" s="12"/>
      <c r="I274" s="12"/>
      <c r="J274" s="13"/>
      <c r="BF274" s="1"/>
      <c r="BG274" s="1"/>
      <c r="BH274" s="1"/>
      <c r="BI274" s="1"/>
      <c r="BK274" s="1"/>
      <c r="BL274" s="1"/>
      <c r="BM274" s="1"/>
      <c r="BN274" s="1"/>
      <c r="BO274" s="1"/>
      <c r="BP274" s="1"/>
      <c r="BQ274" s="1"/>
      <c r="BR274" s="1"/>
      <c r="BX274" s="1"/>
      <c r="CC274" s="1"/>
      <c r="CD274" s="1"/>
      <c r="CE274" s="1"/>
      <c r="CF274" s="1"/>
      <c r="CG274" s="1"/>
      <c r="CH274" s="1"/>
      <c r="CI274" s="1"/>
      <c r="CM274" s="2"/>
      <c r="CN274" s="1"/>
      <c r="CO274" s="1"/>
      <c r="CP274" s="1"/>
      <c r="CQ274" s="1"/>
      <c r="CS274" s="1"/>
      <c r="CT274" s="1"/>
      <c r="CU274" s="1"/>
      <c r="CV274" s="1"/>
      <c r="CW274" s="1"/>
      <c r="CX274" s="1"/>
      <c r="CY274" s="1"/>
      <c r="CZ274" s="1"/>
      <c r="DA274" s="1"/>
      <c r="DB274" s="1"/>
      <c r="DC274" s="1"/>
      <c r="DD274" s="1"/>
      <c r="DE274" s="1"/>
      <c r="DF274" s="1"/>
      <c r="DG274" s="1"/>
      <c r="DH274" s="1"/>
      <c r="DI274" s="1"/>
      <c r="DJ274" s="1"/>
      <c r="DK274" s="1"/>
      <c r="DM274" s="1"/>
      <c r="DQ274" s="1"/>
      <c r="DR274" s="1"/>
      <c r="DY274" s="1"/>
      <c r="DZ274" s="1"/>
      <c r="ED274" s="1"/>
      <c r="EF274" s="1"/>
      <c r="EK274" s="1"/>
      <c r="EL274" s="1"/>
      <c r="EM274" s="1"/>
      <c r="EN274" s="1"/>
      <c r="EQ274" s="1"/>
      <c r="ER274" s="1"/>
      <c r="ES274" s="1"/>
      <c r="EV274" s="1"/>
      <c r="EW274" s="1"/>
      <c r="EZ274" s="1"/>
      <c r="FA274" s="1"/>
      <c r="FD274" s="1"/>
      <c r="FH274" s="1"/>
      <c r="FI274" s="1"/>
      <c r="FQ274" s="1"/>
      <c r="FV274" s="1"/>
      <c r="FX274" s="1"/>
      <c r="FY274" s="1"/>
      <c r="FZ274" s="1"/>
      <c r="GA274" s="1"/>
      <c r="GD274" s="1"/>
      <c r="GE274" s="1"/>
      <c r="GF274" s="1"/>
      <c r="GG274" s="1"/>
      <c r="GH274" s="1"/>
      <c r="GI274" s="1"/>
      <c r="GJ274" s="1"/>
      <c r="GL274" s="1"/>
      <c r="GM274" s="1"/>
      <c r="GN274" s="1"/>
      <c r="GO274" s="1"/>
      <c r="GP274" s="1"/>
      <c r="GR274" s="1"/>
      <c r="HH274" s="1"/>
      <c r="HQ274" s="1"/>
      <c r="HT274" s="1"/>
      <c r="HY274" s="1"/>
      <c r="IA274" s="1"/>
      <c r="IC274" s="1"/>
      <c r="ID274" s="1"/>
      <c r="IE274" s="1"/>
      <c r="IF274" s="1"/>
      <c r="IG274" s="1"/>
      <c r="IH274" s="1"/>
      <c r="IJ274" s="1"/>
      <c r="IR274" s="1"/>
      <c r="IS274" s="1"/>
      <c r="IW274" s="1"/>
      <c r="IX274" s="1"/>
      <c r="IZ274" s="1"/>
      <c r="JB274" s="1"/>
      <c r="JC274" s="1"/>
      <c r="JF274" s="1"/>
      <c r="JG274" s="1"/>
      <c r="JH274" s="1"/>
      <c r="JJ274" s="1"/>
      <c r="JK274" s="1"/>
      <c r="JL274" s="3"/>
      <c r="JM274" s="1"/>
      <c r="JN274" s="1"/>
      <c r="JP274" s="1"/>
      <c r="JQ274" s="1"/>
      <c r="JR274" s="1"/>
      <c r="JT274" s="1"/>
      <c r="JW274" s="1"/>
      <c r="KS274" s="1"/>
      <c r="KT274" s="1"/>
      <c r="KV274" s="1"/>
      <c r="KW274" s="1"/>
      <c r="KY274" s="1"/>
      <c r="KZ274" s="1"/>
      <c r="LA274" s="1"/>
      <c r="LB274" s="1"/>
      <c r="LC274" s="1"/>
      <c r="LD274" s="1"/>
      <c r="LG274" s="1"/>
      <c r="LH274" s="5"/>
      <c r="LK274" s="1"/>
      <c r="LL274" s="1"/>
      <c r="LO274" s="1"/>
      <c r="LP274" s="1"/>
      <c r="LZ274" s="1"/>
      <c r="MA274" s="1"/>
    </row>
    <row r="275" spans="4:339" ht="13" x14ac:dyDescent="0.15">
      <c r="D275" s="12"/>
      <c r="E275" s="12"/>
      <c r="I275" s="12"/>
      <c r="J275" s="13"/>
      <c r="BF275" s="1"/>
      <c r="BG275" s="1"/>
      <c r="BH275" s="1"/>
      <c r="BI275" s="1"/>
      <c r="BK275" s="1"/>
      <c r="BL275" s="1"/>
      <c r="BM275" s="1"/>
      <c r="BN275" s="1"/>
      <c r="BO275" s="1"/>
      <c r="BP275" s="1"/>
      <c r="BQ275" s="1"/>
      <c r="BR275" s="1"/>
      <c r="BX275" s="1"/>
      <c r="CC275" s="1"/>
      <c r="CD275" s="1"/>
      <c r="CE275" s="1"/>
      <c r="CF275" s="1"/>
      <c r="CG275" s="1"/>
      <c r="CH275" s="1"/>
      <c r="CI275" s="1"/>
      <c r="CM275" s="2"/>
      <c r="CN275" s="1"/>
      <c r="CO275" s="1"/>
      <c r="CP275" s="1"/>
      <c r="CQ275" s="1"/>
      <c r="CS275" s="1"/>
      <c r="CT275" s="1"/>
      <c r="CU275" s="1"/>
      <c r="CV275" s="1"/>
      <c r="CW275" s="1"/>
      <c r="CX275" s="1"/>
      <c r="CY275" s="1"/>
      <c r="CZ275" s="1"/>
      <c r="DA275" s="1"/>
      <c r="DB275" s="1"/>
      <c r="DC275" s="1"/>
      <c r="DD275" s="1"/>
      <c r="DE275" s="1"/>
      <c r="DF275" s="1"/>
      <c r="DG275" s="1"/>
      <c r="DH275" s="1"/>
      <c r="DI275" s="1"/>
      <c r="DJ275" s="1"/>
      <c r="DK275" s="1"/>
      <c r="DM275" s="1"/>
      <c r="DQ275" s="1"/>
      <c r="DR275" s="1"/>
      <c r="DY275" s="1"/>
      <c r="DZ275" s="1"/>
      <c r="ED275" s="1"/>
      <c r="EF275" s="1"/>
      <c r="EK275" s="1"/>
      <c r="EL275" s="1"/>
      <c r="EM275" s="1"/>
      <c r="EN275" s="1"/>
      <c r="EQ275" s="1"/>
      <c r="ER275" s="1"/>
      <c r="ES275" s="1"/>
      <c r="EV275" s="1"/>
      <c r="EW275" s="1"/>
      <c r="EZ275" s="1"/>
      <c r="FA275" s="1"/>
      <c r="FD275" s="1"/>
      <c r="FH275" s="1"/>
      <c r="FI275" s="1"/>
      <c r="FQ275" s="1"/>
      <c r="FV275" s="1"/>
      <c r="FX275" s="1"/>
      <c r="FY275" s="1"/>
      <c r="FZ275" s="1"/>
      <c r="GA275" s="1"/>
      <c r="GD275" s="1"/>
      <c r="GE275" s="1"/>
      <c r="GF275" s="1"/>
      <c r="GG275" s="1"/>
      <c r="GH275" s="1"/>
      <c r="GI275" s="1"/>
      <c r="GJ275" s="1"/>
      <c r="GL275" s="1"/>
      <c r="GM275" s="1"/>
      <c r="GN275" s="1"/>
      <c r="GO275" s="1"/>
      <c r="GP275" s="1"/>
      <c r="GR275" s="1"/>
      <c r="HH275" s="1"/>
      <c r="HQ275" s="1"/>
      <c r="HT275" s="1"/>
      <c r="HY275" s="1"/>
      <c r="IA275" s="1"/>
      <c r="IC275" s="1"/>
      <c r="ID275" s="1"/>
      <c r="IE275" s="1"/>
      <c r="IF275" s="1"/>
      <c r="IG275" s="1"/>
      <c r="IH275" s="1"/>
      <c r="IJ275" s="1"/>
      <c r="IR275" s="1"/>
      <c r="IS275" s="1"/>
      <c r="IW275" s="1"/>
      <c r="IX275" s="1"/>
      <c r="IZ275" s="1"/>
      <c r="JB275" s="1"/>
      <c r="JC275" s="1"/>
      <c r="JF275" s="1"/>
      <c r="JG275" s="1"/>
      <c r="JH275" s="1"/>
      <c r="JJ275" s="1"/>
      <c r="JK275" s="1"/>
      <c r="JL275" s="3"/>
      <c r="JM275" s="1"/>
      <c r="JN275" s="1"/>
      <c r="JP275" s="1"/>
      <c r="JQ275" s="1"/>
      <c r="JR275" s="1"/>
      <c r="JT275" s="1"/>
      <c r="JW275" s="1"/>
      <c r="KS275" s="1"/>
      <c r="KT275" s="1"/>
      <c r="KV275" s="1"/>
      <c r="KW275" s="1"/>
      <c r="KY275" s="1"/>
      <c r="KZ275" s="1"/>
      <c r="LA275" s="1"/>
      <c r="LB275" s="1"/>
      <c r="LC275" s="1"/>
      <c r="LD275" s="1"/>
      <c r="LG275" s="1"/>
      <c r="LH275" s="5"/>
      <c r="LK275" s="1"/>
      <c r="LL275" s="1"/>
      <c r="LO275" s="1"/>
      <c r="LP275" s="1"/>
      <c r="LZ275" s="1"/>
      <c r="MA275" s="1"/>
    </row>
    <row r="276" spans="4:339" ht="13" x14ac:dyDescent="0.15">
      <c r="D276" s="12"/>
      <c r="E276" s="12"/>
      <c r="I276" s="12"/>
      <c r="J276" s="13"/>
      <c r="BF276" s="1"/>
      <c r="BG276" s="1"/>
      <c r="BH276" s="1"/>
      <c r="BI276" s="1"/>
      <c r="BK276" s="1"/>
      <c r="BL276" s="1"/>
      <c r="BM276" s="1"/>
      <c r="BN276" s="1"/>
      <c r="BO276" s="1"/>
      <c r="BP276" s="1"/>
      <c r="BQ276" s="1"/>
      <c r="BR276" s="1"/>
      <c r="BX276" s="1"/>
      <c r="CD276" s="1"/>
      <c r="CE276" s="1"/>
      <c r="CF276" s="1"/>
      <c r="CG276" s="1"/>
      <c r="CH276" s="1"/>
      <c r="CI276" s="1"/>
      <c r="CM276" s="2"/>
      <c r="CN276" s="1"/>
      <c r="CO276" s="1"/>
      <c r="CP276" s="1"/>
      <c r="CQ276" s="1"/>
      <c r="CS276" s="1"/>
      <c r="CT276" s="1"/>
      <c r="CU276" s="1"/>
      <c r="CV276" s="1"/>
      <c r="CW276" s="1"/>
      <c r="CX276" s="1"/>
      <c r="CY276" s="1"/>
      <c r="CZ276" s="1"/>
      <c r="DA276" s="1"/>
      <c r="DB276" s="1"/>
      <c r="DC276" s="1"/>
      <c r="DD276" s="1"/>
      <c r="DE276" s="1"/>
      <c r="DF276" s="1"/>
      <c r="DG276" s="1"/>
      <c r="DH276" s="1"/>
      <c r="DI276" s="1"/>
      <c r="DJ276" s="1"/>
      <c r="DK276" s="1"/>
      <c r="DM276" s="1"/>
      <c r="DQ276" s="1"/>
      <c r="DR276" s="1"/>
      <c r="DY276" s="1"/>
      <c r="DZ276" s="1"/>
      <c r="ED276" s="1"/>
      <c r="EK276" s="1"/>
      <c r="EL276" s="1"/>
      <c r="EM276" s="1"/>
      <c r="EN276" s="1"/>
      <c r="EQ276" s="1"/>
      <c r="ER276" s="1"/>
      <c r="ES276" s="1"/>
      <c r="EV276" s="1"/>
      <c r="EW276" s="1"/>
      <c r="EZ276" s="1"/>
      <c r="FA276" s="1"/>
      <c r="FD276" s="1"/>
      <c r="FG276" s="1"/>
      <c r="FH276" s="1"/>
      <c r="FI276" s="1"/>
      <c r="FJ276" s="1"/>
      <c r="FK276" s="1"/>
      <c r="FL276" s="1"/>
      <c r="FM276" s="1"/>
      <c r="FN276" s="1"/>
      <c r="FO276" s="1"/>
      <c r="FP276" s="1"/>
      <c r="FQ276" s="1"/>
      <c r="FR276" s="1"/>
      <c r="FS276" s="1"/>
      <c r="FT276" s="1"/>
      <c r="FU276" s="1"/>
      <c r="FV276" s="1"/>
      <c r="FW276" s="1"/>
      <c r="FX276" s="1"/>
      <c r="FY276" s="1"/>
      <c r="FZ276" s="1"/>
      <c r="GA276" s="1"/>
      <c r="GD276" s="1"/>
      <c r="GE276" s="1"/>
      <c r="GF276" s="1"/>
      <c r="GG276" s="1"/>
      <c r="GH276" s="1"/>
      <c r="GI276" s="1"/>
      <c r="GJ276" s="1"/>
      <c r="GK276" s="1"/>
      <c r="GL276" s="1"/>
      <c r="GM276" s="1"/>
      <c r="GN276" s="1"/>
      <c r="GO276" s="1"/>
      <c r="GP276" s="1"/>
      <c r="GR276" s="1"/>
      <c r="GY276" s="1"/>
      <c r="HF276" s="1"/>
      <c r="HH276" s="1"/>
      <c r="HN276" s="1"/>
      <c r="HR276" s="1"/>
      <c r="HS276" s="1"/>
      <c r="HT276" s="1"/>
      <c r="HY276" s="1"/>
      <c r="IC276" s="1"/>
      <c r="IE276" s="1"/>
      <c r="IR276" s="1"/>
      <c r="IS276" s="1"/>
      <c r="IW276" s="1"/>
      <c r="IZ276" s="1"/>
      <c r="JA276" s="1"/>
      <c r="JC276" s="1"/>
      <c r="JF276" s="1"/>
      <c r="JG276" s="1"/>
      <c r="JH276" s="1"/>
      <c r="JI276" s="1"/>
      <c r="JJ276" s="1"/>
      <c r="JN276" s="1"/>
      <c r="JP276" s="1"/>
      <c r="JQ276" s="1"/>
      <c r="JT276" s="1"/>
      <c r="KU276" s="1"/>
      <c r="KV276" s="1"/>
      <c r="KY276" s="1"/>
      <c r="KZ276" s="1"/>
      <c r="LA276" s="1"/>
      <c r="LB276" s="1"/>
      <c r="LC276" s="1"/>
      <c r="LD276" s="1"/>
      <c r="LN276" s="1"/>
      <c r="LO276" s="1"/>
      <c r="LP276" s="1"/>
      <c r="LZ276" s="1"/>
      <c r="MA276" s="1"/>
    </row>
    <row r="277" spans="4:339" ht="13" x14ac:dyDescent="0.15">
      <c r="D277" s="12"/>
      <c r="E277" s="12"/>
      <c r="I277" s="12"/>
      <c r="J277" s="13"/>
      <c r="BF277" s="1"/>
      <c r="BG277" s="1"/>
      <c r="BH277" s="1"/>
      <c r="BI277" s="1"/>
      <c r="BK277" s="1"/>
      <c r="BL277" s="1"/>
      <c r="BM277" s="1"/>
      <c r="BN277" s="1"/>
      <c r="BO277" s="1"/>
      <c r="BP277" s="1"/>
      <c r="BQ277" s="1"/>
      <c r="BR277" s="1"/>
      <c r="BX277" s="1"/>
      <c r="CD277" s="1"/>
      <c r="CE277" s="1"/>
      <c r="CF277" s="1"/>
      <c r="CG277" s="1"/>
      <c r="CH277" s="1"/>
      <c r="CI277" s="1"/>
      <c r="CM277" s="2"/>
      <c r="CN277" s="1"/>
      <c r="CO277" s="1"/>
      <c r="CP277" s="1"/>
      <c r="CQ277" s="1"/>
      <c r="CS277" s="1"/>
      <c r="CT277" s="1"/>
      <c r="CU277" s="1"/>
      <c r="CV277" s="1"/>
      <c r="CW277" s="1"/>
      <c r="CX277" s="1"/>
      <c r="CY277" s="1"/>
      <c r="CZ277" s="1"/>
      <c r="DA277" s="1"/>
      <c r="DB277" s="1"/>
      <c r="DC277" s="1"/>
      <c r="DD277" s="1"/>
      <c r="DE277" s="1"/>
      <c r="DF277" s="1"/>
      <c r="DG277" s="1"/>
      <c r="DH277" s="1"/>
      <c r="DI277" s="1"/>
      <c r="DJ277" s="1"/>
      <c r="DK277" s="1"/>
      <c r="DM277" s="1"/>
      <c r="DQ277" s="1"/>
      <c r="DR277" s="1"/>
      <c r="DY277" s="1"/>
      <c r="DZ277" s="1"/>
      <c r="ED277" s="1"/>
      <c r="EK277" s="1"/>
      <c r="EL277" s="1"/>
      <c r="EM277" s="1"/>
      <c r="EN277" s="1"/>
      <c r="EQ277" s="1"/>
      <c r="ER277" s="1"/>
      <c r="ES277" s="1"/>
      <c r="EV277" s="1"/>
      <c r="EW277" s="1"/>
      <c r="EZ277" s="1"/>
      <c r="FA277" s="1"/>
      <c r="FD277" s="1"/>
      <c r="FG277" s="1"/>
      <c r="FH277" s="1"/>
      <c r="FI277" s="1"/>
      <c r="FJ277" s="1"/>
      <c r="FK277" s="1"/>
      <c r="FL277" s="1"/>
      <c r="FM277" s="1"/>
      <c r="FN277" s="1"/>
      <c r="FO277" s="1"/>
      <c r="FP277" s="1"/>
      <c r="FQ277" s="1"/>
      <c r="FR277" s="1"/>
      <c r="FS277" s="1"/>
      <c r="FT277" s="1"/>
      <c r="FU277" s="1"/>
      <c r="FV277" s="1"/>
      <c r="FW277" s="1"/>
      <c r="FX277" s="1"/>
      <c r="FY277" s="1"/>
      <c r="FZ277" s="1"/>
      <c r="GA277" s="1"/>
      <c r="GD277" s="1"/>
      <c r="GE277" s="1"/>
      <c r="GF277" s="1"/>
      <c r="GG277" s="1"/>
      <c r="GH277" s="1"/>
      <c r="GI277" s="1"/>
      <c r="GJ277" s="1"/>
      <c r="GK277" s="1"/>
      <c r="GL277" s="1"/>
      <c r="GM277" s="1"/>
      <c r="GN277" s="1"/>
      <c r="GO277" s="1"/>
      <c r="GP277" s="1"/>
      <c r="GR277" s="1"/>
      <c r="GY277" s="1"/>
      <c r="HF277" s="1"/>
      <c r="HH277" s="1"/>
      <c r="HN277" s="1"/>
      <c r="HR277" s="1"/>
      <c r="HS277" s="1"/>
      <c r="HT277" s="1"/>
      <c r="HY277" s="1"/>
      <c r="IC277" s="1"/>
      <c r="IE277" s="1"/>
      <c r="IR277" s="1"/>
      <c r="IS277" s="1"/>
      <c r="IW277" s="1"/>
      <c r="IZ277" s="1"/>
      <c r="JA277" s="1"/>
      <c r="JC277" s="1"/>
      <c r="JF277" s="1"/>
      <c r="JG277" s="1"/>
      <c r="JH277" s="1"/>
      <c r="JI277" s="1"/>
      <c r="JJ277" s="1"/>
      <c r="JN277" s="1"/>
      <c r="JP277" s="1"/>
      <c r="JQ277" s="1"/>
      <c r="JT277" s="1"/>
      <c r="KU277" s="1"/>
      <c r="KV277" s="1"/>
      <c r="KY277" s="1"/>
      <c r="KZ277" s="1"/>
      <c r="LA277" s="1"/>
      <c r="LB277" s="1"/>
      <c r="LC277" s="1"/>
      <c r="LD277" s="1"/>
      <c r="LN277" s="1"/>
      <c r="LO277" s="1"/>
      <c r="LP277" s="1"/>
      <c r="LZ277" s="1"/>
      <c r="MA277" s="1"/>
    </row>
    <row r="278" spans="4:339" ht="13" x14ac:dyDescent="0.15">
      <c r="D278" s="12"/>
      <c r="E278" s="12"/>
      <c r="I278" s="12"/>
      <c r="J278" s="13"/>
      <c r="BF278" s="1"/>
      <c r="BG278" s="1"/>
      <c r="BH278" s="1"/>
      <c r="BI278" s="1"/>
      <c r="BK278" s="1"/>
      <c r="BL278" s="1"/>
      <c r="BM278" s="1"/>
      <c r="BN278" s="1"/>
      <c r="BO278" s="1"/>
      <c r="BP278" s="1"/>
      <c r="BQ278" s="1"/>
      <c r="BR278" s="1"/>
      <c r="BX278" s="1"/>
      <c r="CD278" s="1"/>
      <c r="CE278" s="1"/>
      <c r="CF278" s="1"/>
      <c r="CG278" s="1"/>
      <c r="CH278" s="1"/>
      <c r="CI278" s="1"/>
      <c r="CM278" s="2"/>
      <c r="CN278" s="1"/>
      <c r="CO278" s="1"/>
      <c r="CP278" s="1"/>
      <c r="CQ278" s="1"/>
      <c r="CS278" s="1"/>
      <c r="CT278" s="1"/>
      <c r="CU278" s="1"/>
      <c r="CV278" s="1"/>
      <c r="CW278" s="1"/>
      <c r="CX278" s="1"/>
      <c r="CY278" s="1"/>
      <c r="CZ278" s="1"/>
      <c r="DA278" s="1"/>
      <c r="DB278" s="1"/>
      <c r="DC278" s="1"/>
      <c r="DD278" s="1"/>
      <c r="DE278" s="1"/>
      <c r="DF278" s="1"/>
      <c r="DG278" s="1"/>
      <c r="DH278" s="1"/>
      <c r="DI278" s="1"/>
      <c r="DJ278" s="1"/>
      <c r="DK278" s="1"/>
      <c r="DM278" s="1"/>
      <c r="DQ278" s="1"/>
      <c r="DR278" s="1"/>
      <c r="DY278" s="1"/>
      <c r="DZ278" s="1"/>
      <c r="ED278" s="1"/>
      <c r="EK278" s="1"/>
      <c r="EL278" s="1"/>
      <c r="EM278" s="1"/>
      <c r="EN278" s="1"/>
      <c r="EQ278" s="1"/>
      <c r="ER278" s="1"/>
      <c r="ES278" s="1"/>
      <c r="EV278" s="1"/>
      <c r="EW278" s="1"/>
      <c r="EZ278" s="1"/>
      <c r="FA278" s="1"/>
      <c r="FD278" s="1"/>
      <c r="FG278" s="1"/>
      <c r="FH278" s="1"/>
      <c r="FI278" s="1"/>
      <c r="FJ278" s="1"/>
      <c r="FK278" s="1"/>
      <c r="FL278" s="1"/>
      <c r="FM278" s="1"/>
      <c r="FN278" s="1"/>
      <c r="FO278" s="1"/>
      <c r="FP278" s="1"/>
      <c r="FQ278" s="1"/>
      <c r="FR278" s="1"/>
      <c r="FS278" s="1"/>
      <c r="FT278" s="1"/>
      <c r="FU278" s="1"/>
      <c r="FV278" s="1"/>
      <c r="FW278" s="1"/>
      <c r="FX278" s="1"/>
      <c r="FY278" s="1"/>
      <c r="FZ278" s="1"/>
      <c r="GA278" s="1"/>
      <c r="GD278" s="1"/>
      <c r="GE278" s="1"/>
      <c r="GF278" s="1"/>
      <c r="GG278" s="1"/>
      <c r="GH278" s="1"/>
      <c r="GI278" s="1"/>
      <c r="GJ278" s="1"/>
      <c r="GK278" s="1"/>
      <c r="GL278" s="1"/>
      <c r="GM278" s="1"/>
      <c r="GN278" s="1"/>
      <c r="GO278" s="1"/>
      <c r="GP278" s="1"/>
      <c r="GR278" s="1"/>
      <c r="GY278" s="1"/>
      <c r="HF278" s="1"/>
      <c r="HH278" s="1"/>
      <c r="HN278" s="1"/>
      <c r="HR278" s="1"/>
      <c r="HS278" s="1"/>
      <c r="HT278" s="1"/>
      <c r="HY278" s="1"/>
      <c r="IC278" s="1"/>
      <c r="IE278" s="1"/>
      <c r="IR278" s="1"/>
      <c r="IS278" s="1"/>
      <c r="IW278" s="1"/>
      <c r="IZ278" s="1"/>
      <c r="JA278" s="1"/>
      <c r="JC278" s="1"/>
      <c r="JF278" s="1"/>
      <c r="JG278" s="1"/>
      <c r="JH278" s="1"/>
      <c r="JI278" s="1"/>
      <c r="JJ278" s="1"/>
      <c r="JN278" s="1"/>
      <c r="JP278" s="1"/>
      <c r="JQ278" s="1"/>
      <c r="JT278" s="1"/>
      <c r="KU278" s="1"/>
      <c r="KV278" s="1"/>
      <c r="KY278" s="1"/>
      <c r="KZ278" s="1"/>
      <c r="LA278" s="1"/>
      <c r="LB278" s="1"/>
      <c r="LC278" s="1"/>
      <c r="LD278" s="1"/>
      <c r="LN278" s="1"/>
      <c r="LO278" s="1"/>
      <c r="LP278" s="1"/>
      <c r="LZ278" s="1"/>
      <c r="MA278" s="1"/>
    </row>
    <row r="279" spans="4:339" ht="13" x14ac:dyDescent="0.15">
      <c r="D279" s="12"/>
      <c r="E279" s="12"/>
      <c r="I279" s="12"/>
      <c r="J279" s="13"/>
      <c r="BF279" s="1"/>
      <c r="BG279" s="1"/>
      <c r="BH279" s="1"/>
      <c r="BI279" s="1"/>
      <c r="BK279" s="1"/>
      <c r="BL279" s="1"/>
      <c r="BM279" s="1"/>
      <c r="BN279" s="1"/>
      <c r="BO279" s="1"/>
      <c r="BP279" s="1"/>
      <c r="BQ279" s="1"/>
      <c r="BR279" s="1"/>
      <c r="BX279" s="1"/>
      <c r="CD279" s="1"/>
      <c r="CE279" s="1"/>
      <c r="CF279" s="1"/>
      <c r="CG279" s="1"/>
      <c r="CH279" s="1"/>
      <c r="CI279" s="1"/>
      <c r="CM279" s="2"/>
      <c r="CN279" s="1"/>
      <c r="CO279" s="1"/>
      <c r="CP279" s="1"/>
      <c r="CQ279" s="1"/>
      <c r="CS279" s="1"/>
      <c r="CT279" s="1"/>
      <c r="CU279" s="1"/>
      <c r="CV279" s="1"/>
      <c r="CW279" s="1"/>
      <c r="CX279" s="1"/>
      <c r="CY279" s="1"/>
      <c r="CZ279" s="1"/>
      <c r="DA279" s="1"/>
      <c r="DB279" s="1"/>
      <c r="DC279" s="1"/>
      <c r="DD279" s="1"/>
      <c r="DE279" s="1"/>
      <c r="DF279" s="1"/>
      <c r="DG279" s="1"/>
      <c r="DH279" s="1"/>
      <c r="DI279" s="1"/>
      <c r="DJ279" s="1"/>
      <c r="DK279" s="1"/>
      <c r="DM279" s="1"/>
      <c r="DQ279" s="1"/>
      <c r="DR279" s="1"/>
      <c r="DY279" s="1"/>
      <c r="DZ279" s="1"/>
      <c r="ED279" s="1"/>
      <c r="EK279" s="1"/>
      <c r="EL279" s="1"/>
      <c r="EM279" s="1"/>
      <c r="EN279" s="1"/>
      <c r="EQ279" s="1"/>
      <c r="ER279" s="1"/>
      <c r="ES279" s="1"/>
      <c r="EV279" s="1"/>
      <c r="EW279" s="1"/>
      <c r="EZ279" s="1"/>
      <c r="FA279" s="1"/>
      <c r="FD279" s="1"/>
      <c r="FG279" s="1"/>
      <c r="FH279" s="1"/>
      <c r="FI279" s="1"/>
      <c r="FJ279" s="1"/>
      <c r="FK279" s="1"/>
      <c r="FL279" s="1"/>
      <c r="FM279" s="1"/>
      <c r="FN279" s="1"/>
      <c r="FO279" s="1"/>
      <c r="FP279" s="1"/>
      <c r="FQ279" s="1"/>
      <c r="FR279" s="1"/>
      <c r="FS279" s="1"/>
      <c r="FT279" s="1"/>
      <c r="FU279" s="1"/>
      <c r="FV279" s="1"/>
      <c r="FW279" s="1"/>
      <c r="FX279" s="1"/>
      <c r="FY279" s="1"/>
      <c r="FZ279" s="1"/>
      <c r="GA279" s="1"/>
      <c r="GD279" s="1"/>
      <c r="GE279" s="1"/>
      <c r="GF279" s="1"/>
      <c r="GG279" s="1"/>
      <c r="GH279" s="1"/>
      <c r="GI279" s="1"/>
      <c r="GJ279" s="1"/>
      <c r="GK279" s="1"/>
      <c r="GL279" s="1"/>
      <c r="GM279" s="1"/>
      <c r="GN279" s="1"/>
      <c r="GO279" s="1"/>
      <c r="GP279" s="1"/>
      <c r="GR279" s="1"/>
      <c r="GY279" s="1"/>
      <c r="HF279" s="1"/>
      <c r="HH279" s="1"/>
      <c r="HN279" s="1"/>
      <c r="HR279" s="1"/>
      <c r="HS279" s="1"/>
      <c r="HT279" s="1"/>
      <c r="HY279" s="1"/>
      <c r="IC279" s="1"/>
      <c r="IE279" s="1"/>
      <c r="IR279" s="1"/>
      <c r="IS279" s="1"/>
      <c r="IW279" s="1"/>
      <c r="IZ279" s="1"/>
      <c r="JA279" s="1"/>
      <c r="JC279" s="1"/>
      <c r="JF279" s="1"/>
      <c r="JG279" s="1"/>
      <c r="JH279" s="1"/>
      <c r="JI279" s="1"/>
      <c r="JJ279" s="1"/>
      <c r="JN279" s="1"/>
      <c r="JP279" s="1"/>
      <c r="JQ279" s="1"/>
      <c r="JT279" s="1"/>
      <c r="KU279" s="1"/>
      <c r="KV279" s="1"/>
      <c r="KY279" s="1"/>
      <c r="KZ279" s="1"/>
      <c r="LA279" s="1"/>
      <c r="LB279" s="1"/>
      <c r="LC279" s="1"/>
      <c r="LD279" s="1"/>
      <c r="LN279" s="1"/>
      <c r="LO279" s="1"/>
      <c r="LP279" s="1"/>
      <c r="LZ279" s="1"/>
      <c r="MA279" s="1"/>
    </row>
    <row r="280" spans="4:339" ht="13" x14ac:dyDescent="0.15">
      <c r="D280" s="12"/>
      <c r="E280" s="12"/>
      <c r="I280" s="12"/>
      <c r="J280" s="13"/>
      <c r="BF280" s="1"/>
      <c r="BG280" s="1"/>
      <c r="BH280" s="1"/>
      <c r="BI280" s="1"/>
      <c r="BK280" s="1"/>
      <c r="BL280" s="1"/>
      <c r="BM280" s="1"/>
      <c r="BN280" s="1"/>
      <c r="BO280" s="1"/>
      <c r="BP280" s="1"/>
      <c r="BQ280" s="1"/>
      <c r="BR280" s="1"/>
      <c r="CD280" s="1"/>
      <c r="CE280" s="1"/>
      <c r="CF280" s="1"/>
      <c r="CG280" s="1"/>
      <c r="CH280" s="1"/>
      <c r="CI280" s="1"/>
      <c r="CM280" s="2"/>
      <c r="CN280" s="1"/>
      <c r="CO280" s="1"/>
      <c r="CP280" s="1"/>
      <c r="CQ280" s="1"/>
      <c r="CS280" s="1"/>
      <c r="CT280" s="1"/>
      <c r="CU280" s="1"/>
      <c r="CV280" s="1"/>
      <c r="CW280" s="1"/>
      <c r="CX280" s="1"/>
      <c r="CY280" s="1"/>
      <c r="CZ280" s="1"/>
      <c r="DA280" s="1"/>
      <c r="DB280" s="1"/>
      <c r="DC280" s="1"/>
      <c r="DD280" s="1"/>
      <c r="DE280" s="1"/>
      <c r="DF280" s="1"/>
      <c r="DG280" s="1"/>
      <c r="DH280" s="1"/>
      <c r="DI280" s="1"/>
      <c r="DJ280" s="1"/>
      <c r="DK280" s="1"/>
      <c r="DQ280" s="1"/>
      <c r="DR280" s="1"/>
      <c r="DY280" s="1"/>
      <c r="DZ280" s="1"/>
      <c r="ED280" s="1"/>
      <c r="EK280" s="1"/>
      <c r="EL280" s="1"/>
      <c r="EM280" s="1"/>
      <c r="EN280" s="1"/>
      <c r="EQ280" s="1"/>
      <c r="ER280" s="1"/>
      <c r="ES280" s="1"/>
      <c r="EV280" s="1"/>
      <c r="EW280" s="1"/>
      <c r="EZ280" s="1"/>
      <c r="FA280" s="1"/>
      <c r="FD280" s="1"/>
      <c r="GD280" s="1"/>
      <c r="GE280" s="1"/>
      <c r="GF280" s="1"/>
      <c r="GG280" s="1"/>
      <c r="GH280" s="1"/>
      <c r="GI280" s="1"/>
      <c r="GO280" s="1"/>
      <c r="GP280" s="1"/>
      <c r="GV280" s="1"/>
      <c r="HE280" s="1"/>
      <c r="HH280" s="1"/>
      <c r="HY280" s="1"/>
      <c r="IE280" s="1"/>
      <c r="IR280" s="1"/>
      <c r="IS280" s="1"/>
      <c r="IW280" s="1"/>
      <c r="IZ280" s="1"/>
      <c r="JA280" s="1"/>
      <c r="JC280" s="1"/>
      <c r="JF280" s="1"/>
      <c r="JG280" s="1"/>
      <c r="JH280" s="1"/>
      <c r="JJ280" s="1"/>
      <c r="JN280" s="1"/>
      <c r="JP280" s="1"/>
      <c r="JQ280" s="1"/>
      <c r="JT280" s="1"/>
      <c r="KU280" s="1"/>
      <c r="KV280" s="1"/>
      <c r="KY280" s="1"/>
      <c r="KZ280" s="1"/>
      <c r="LA280" s="1"/>
      <c r="LB280" s="1"/>
      <c r="LC280" s="1"/>
      <c r="LD280" s="1"/>
      <c r="LF280" s="1"/>
      <c r="LN280" s="1"/>
      <c r="LO280" s="1"/>
      <c r="LP280" s="1"/>
      <c r="LZ280" s="1"/>
      <c r="MA280" s="1"/>
    </row>
    <row r="281" spans="4:339" ht="13" x14ac:dyDescent="0.15">
      <c r="D281" s="12"/>
      <c r="E281" s="12"/>
      <c r="I281" s="12"/>
      <c r="J281" s="13"/>
      <c r="BF281" s="1"/>
      <c r="BG281" s="1"/>
      <c r="BH281" s="1"/>
      <c r="BI281" s="1"/>
      <c r="BJ281" s="1"/>
      <c r="BK281" s="1"/>
      <c r="BL281" s="1"/>
      <c r="BM281" s="1"/>
      <c r="BN281" s="1"/>
      <c r="BO281" s="1"/>
      <c r="BP281" s="1"/>
      <c r="BQ281" s="1"/>
      <c r="BR281" s="1"/>
      <c r="CD281" s="1"/>
      <c r="CE281" s="1"/>
      <c r="CF281" s="1"/>
      <c r="CG281" s="1"/>
      <c r="CH281" s="1"/>
      <c r="CI281" s="1"/>
      <c r="CK281" s="1"/>
      <c r="CM281" s="4"/>
      <c r="CN281" s="1"/>
      <c r="CO281" s="1"/>
      <c r="CP281" s="1"/>
      <c r="CQ281" s="1"/>
      <c r="CS281" s="1"/>
      <c r="CV281" s="1"/>
      <c r="CW281" s="1"/>
      <c r="CX281" s="1"/>
      <c r="CY281" s="1"/>
      <c r="CZ281" s="1"/>
      <c r="DA281" s="1"/>
      <c r="DB281" s="1"/>
      <c r="DC281" s="1"/>
      <c r="DD281" s="1"/>
      <c r="DE281" s="1"/>
      <c r="DF281" s="1"/>
      <c r="DG281" s="1"/>
      <c r="DH281" s="1"/>
      <c r="DI281" s="1"/>
      <c r="DJ281" s="1"/>
      <c r="DK281" s="1"/>
      <c r="DM281" s="1"/>
      <c r="DQ281" s="1"/>
      <c r="DR281" s="1"/>
      <c r="DY281" s="1"/>
      <c r="DZ281" s="1"/>
      <c r="ED281" s="1"/>
      <c r="EK281" s="1"/>
      <c r="EL281" s="1"/>
      <c r="EM281" s="1"/>
      <c r="EN281" s="1"/>
      <c r="EQ281" s="1"/>
      <c r="ER281" s="1"/>
      <c r="ES281" s="1"/>
      <c r="EV281" s="1"/>
      <c r="EW281" s="1"/>
      <c r="EZ281" s="1"/>
      <c r="FA281" s="1"/>
      <c r="FD281" s="1"/>
      <c r="FG281" s="1"/>
      <c r="FH281" s="1"/>
      <c r="FI281" s="1"/>
      <c r="FJ281" s="1"/>
      <c r="FK281" s="1"/>
      <c r="FL281" s="1"/>
      <c r="FM281" s="1"/>
      <c r="FN281" s="1"/>
      <c r="FO281" s="1"/>
      <c r="FP281" s="1"/>
      <c r="FS281" s="1"/>
      <c r="FT281" s="1"/>
      <c r="FU281" s="1"/>
      <c r="FV281" s="1"/>
      <c r="FW281" s="1"/>
      <c r="FX281" s="1"/>
      <c r="FY281" s="1"/>
      <c r="GA281" s="1"/>
      <c r="GD281" s="1"/>
      <c r="GE281" s="1"/>
      <c r="GF281" s="1"/>
      <c r="GG281" s="1"/>
      <c r="GH281" s="1"/>
      <c r="GI281" s="1"/>
      <c r="GJ281" s="1"/>
      <c r="GK281" s="1"/>
      <c r="GL281" s="1"/>
      <c r="GM281" s="1"/>
      <c r="GN281" s="1"/>
      <c r="GO281" s="1"/>
      <c r="GP281" s="1"/>
      <c r="GR281" s="1"/>
      <c r="GS281" s="1"/>
      <c r="GY281" s="1"/>
      <c r="HF281" s="1"/>
      <c r="HN281" s="1"/>
      <c r="HT281" s="1"/>
      <c r="HY281" s="1"/>
      <c r="IA281" s="1"/>
      <c r="ID281" s="1"/>
      <c r="IE281" s="1"/>
      <c r="IR281" s="1"/>
      <c r="IS281" s="1"/>
      <c r="IZ281" s="1"/>
      <c r="JF281" s="1"/>
      <c r="JG281" s="1"/>
      <c r="JH281" s="1"/>
      <c r="JJ281" s="1"/>
      <c r="JP281" s="1"/>
      <c r="JQ281" s="1"/>
      <c r="JT281" s="1"/>
      <c r="KU281" s="1"/>
      <c r="KY281" s="1"/>
      <c r="KZ281" s="1"/>
      <c r="LA281" s="1"/>
      <c r="LB281" s="1"/>
      <c r="LC281" s="1"/>
      <c r="LD281" s="1"/>
      <c r="LO281" s="1"/>
      <c r="LP281" s="1"/>
      <c r="LZ281" s="1"/>
      <c r="MA281" s="1"/>
    </row>
    <row r="282" spans="4:339" ht="13" x14ac:dyDescent="0.15">
      <c r="D282" s="12"/>
      <c r="E282" s="12"/>
      <c r="I282" s="12"/>
      <c r="J282" s="13"/>
      <c r="BF282" s="1"/>
      <c r="BG282" s="1"/>
      <c r="BH282" s="1"/>
      <c r="BI282" s="1"/>
      <c r="BJ282" s="1"/>
      <c r="BK282" s="1"/>
      <c r="BL282" s="1"/>
      <c r="BM282" s="1"/>
      <c r="BN282" s="1"/>
      <c r="BO282" s="1"/>
      <c r="BP282" s="1"/>
      <c r="BQ282" s="1"/>
      <c r="BR282" s="1"/>
      <c r="CD282" s="1"/>
      <c r="CE282" s="1"/>
      <c r="CF282" s="1"/>
      <c r="CG282" s="1"/>
      <c r="CH282" s="1"/>
      <c r="CI282" s="1"/>
      <c r="CK282" s="1"/>
      <c r="CM282" s="4"/>
      <c r="CN282" s="1"/>
      <c r="CO282" s="1"/>
      <c r="CP282" s="1"/>
      <c r="CQ282" s="1"/>
      <c r="CS282" s="1"/>
      <c r="CV282" s="1"/>
      <c r="CW282" s="1"/>
      <c r="CX282" s="1"/>
      <c r="CY282" s="1"/>
      <c r="CZ282" s="1"/>
      <c r="DA282" s="1"/>
      <c r="DB282" s="1"/>
      <c r="DC282" s="1"/>
      <c r="DD282" s="1"/>
      <c r="DE282" s="1"/>
      <c r="DF282" s="1"/>
      <c r="DG282" s="1"/>
      <c r="DH282" s="1"/>
      <c r="DI282" s="1"/>
      <c r="DJ282" s="1"/>
      <c r="DK282" s="1"/>
      <c r="DM282" s="1"/>
      <c r="DQ282" s="1"/>
      <c r="DR282" s="1"/>
      <c r="DY282" s="1"/>
      <c r="DZ282" s="1"/>
      <c r="ED282" s="1"/>
      <c r="EK282" s="1"/>
      <c r="EL282" s="1"/>
      <c r="EM282" s="1"/>
      <c r="EN282" s="1"/>
      <c r="EQ282" s="1"/>
      <c r="ER282" s="1"/>
      <c r="ES282" s="1"/>
      <c r="EV282" s="1"/>
      <c r="EW282" s="1"/>
      <c r="EZ282" s="1"/>
      <c r="FA282" s="1"/>
      <c r="FD282" s="1"/>
      <c r="FG282" s="1"/>
      <c r="FH282" s="1"/>
      <c r="FI282" s="1"/>
      <c r="FJ282" s="1"/>
      <c r="FK282" s="1"/>
      <c r="FL282" s="1"/>
      <c r="FM282" s="1"/>
      <c r="FN282" s="1"/>
      <c r="FO282" s="1"/>
      <c r="FP282" s="1"/>
      <c r="FS282" s="1"/>
      <c r="FT282" s="1"/>
      <c r="FU282" s="1"/>
      <c r="FV282" s="1"/>
      <c r="FW282" s="1"/>
      <c r="FX282" s="1"/>
      <c r="FY282" s="1"/>
      <c r="GA282" s="1"/>
      <c r="GD282" s="1"/>
      <c r="GE282" s="1"/>
      <c r="GF282" s="1"/>
      <c r="GG282" s="1"/>
      <c r="GH282" s="1"/>
      <c r="GI282" s="1"/>
      <c r="GJ282" s="1"/>
      <c r="GK282" s="1"/>
      <c r="GL282" s="1"/>
      <c r="GM282" s="1"/>
      <c r="GN282" s="1"/>
      <c r="GO282" s="1"/>
      <c r="GP282" s="1"/>
      <c r="GR282" s="1"/>
      <c r="GS282" s="1"/>
      <c r="GY282" s="1"/>
      <c r="HF282" s="1"/>
      <c r="HN282" s="1"/>
      <c r="HT282" s="1"/>
      <c r="HY282" s="1"/>
      <c r="IA282" s="1"/>
      <c r="ID282" s="1"/>
      <c r="IE282" s="1"/>
      <c r="IR282" s="1"/>
      <c r="IS282" s="1"/>
      <c r="IZ282" s="1"/>
      <c r="JF282" s="1"/>
      <c r="JG282" s="1"/>
      <c r="JH282" s="1"/>
      <c r="JJ282" s="1"/>
      <c r="JP282" s="1"/>
      <c r="JQ282" s="1"/>
      <c r="JT282" s="1"/>
      <c r="KU282" s="1"/>
      <c r="KY282" s="1"/>
      <c r="KZ282" s="1"/>
      <c r="LA282" s="1"/>
      <c r="LB282" s="1"/>
      <c r="LC282" s="1"/>
      <c r="LD282" s="1"/>
      <c r="LO282" s="1"/>
      <c r="LP282" s="1"/>
      <c r="LZ282" s="1"/>
      <c r="MA282" s="1"/>
    </row>
    <row r="283" spans="4:339" ht="13" x14ac:dyDescent="0.15">
      <c r="D283" s="12"/>
      <c r="E283" s="12"/>
      <c r="I283" s="12"/>
      <c r="J283" s="13"/>
      <c r="BF283" s="1"/>
      <c r="BG283" s="1"/>
      <c r="BH283" s="1"/>
      <c r="BI283" s="1"/>
      <c r="BJ283" s="1"/>
      <c r="BK283" s="1"/>
      <c r="BL283" s="1"/>
      <c r="BM283" s="1"/>
      <c r="BN283" s="1"/>
      <c r="BO283" s="1"/>
      <c r="BP283" s="1"/>
      <c r="BQ283" s="1"/>
      <c r="BR283" s="1"/>
      <c r="CD283" s="1"/>
      <c r="CE283" s="1"/>
      <c r="CF283" s="1"/>
      <c r="CG283" s="1"/>
      <c r="CH283" s="1"/>
      <c r="CI283" s="1"/>
      <c r="CK283" s="1"/>
      <c r="CM283" s="4"/>
      <c r="CN283" s="1"/>
      <c r="CO283" s="1"/>
      <c r="CP283" s="1"/>
      <c r="CQ283" s="1"/>
      <c r="CS283" s="1"/>
      <c r="CV283" s="1"/>
      <c r="CW283" s="1"/>
      <c r="CX283" s="1"/>
      <c r="CY283" s="1"/>
      <c r="CZ283" s="1"/>
      <c r="DA283" s="1"/>
      <c r="DB283" s="1"/>
      <c r="DC283" s="1"/>
      <c r="DD283" s="1"/>
      <c r="DE283" s="1"/>
      <c r="DF283" s="1"/>
      <c r="DG283" s="1"/>
      <c r="DH283" s="1"/>
      <c r="DI283" s="1"/>
      <c r="DJ283" s="1"/>
      <c r="DK283" s="1"/>
      <c r="DM283" s="1"/>
      <c r="DQ283" s="1"/>
      <c r="DR283" s="1"/>
      <c r="DY283" s="1"/>
      <c r="DZ283" s="1"/>
      <c r="ED283" s="1"/>
      <c r="EK283" s="1"/>
      <c r="EL283" s="1"/>
      <c r="EM283" s="1"/>
      <c r="EN283" s="1"/>
      <c r="EQ283" s="1"/>
      <c r="ER283" s="1"/>
      <c r="ES283" s="1"/>
      <c r="EV283" s="1"/>
      <c r="EW283" s="1"/>
      <c r="EZ283" s="1"/>
      <c r="FA283" s="1"/>
      <c r="FD283" s="1"/>
      <c r="FG283" s="1"/>
      <c r="FH283" s="1"/>
      <c r="FI283" s="1"/>
      <c r="FJ283" s="1"/>
      <c r="FK283" s="1"/>
      <c r="FL283" s="1"/>
      <c r="FM283" s="1"/>
      <c r="FN283" s="1"/>
      <c r="FO283" s="1"/>
      <c r="FP283" s="1"/>
      <c r="FS283" s="1"/>
      <c r="FT283" s="1"/>
      <c r="FU283" s="1"/>
      <c r="FV283" s="1"/>
      <c r="FW283" s="1"/>
      <c r="FX283" s="1"/>
      <c r="FY283" s="1"/>
      <c r="GA283" s="1"/>
      <c r="GD283" s="1"/>
      <c r="GE283" s="1"/>
      <c r="GF283" s="1"/>
      <c r="GG283" s="1"/>
      <c r="GH283" s="1"/>
      <c r="GI283" s="1"/>
      <c r="GJ283" s="1"/>
      <c r="GK283" s="1"/>
      <c r="GL283" s="1"/>
      <c r="GM283" s="1"/>
      <c r="GN283" s="1"/>
      <c r="GO283" s="1"/>
      <c r="GP283" s="1"/>
      <c r="GR283" s="1"/>
      <c r="GS283" s="1"/>
      <c r="GY283" s="1"/>
      <c r="HF283" s="1"/>
      <c r="HN283" s="1"/>
      <c r="HT283" s="1"/>
      <c r="HY283" s="1"/>
      <c r="IA283" s="1"/>
      <c r="ID283" s="1"/>
      <c r="IE283" s="1"/>
      <c r="IR283" s="1"/>
      <c r="IS283" s="1"/>
      <c r="IZ283" s="1"/>
      <c r="JF283" s="1"/>
      <c r="JG283" s="1"/>
      <c r="JH283" s="1"/>
      <c r="JJ283" s="1"/>
      <c r="JP283" s="1"/>
      <c r="JQ283" s="1"/>
      <c r="JT283" s="1"/>
      <c r="KU283" s="1"/>
      <c r="KY283" s="1"/>
      <c r="KZ283" s="1"/>
      <c r="LA283" s="1"/>
      <c r="LB283" s="1"/>
      <c r="LC283" s="1"/>
      <c r="LD283" s="1"/>
      <c r="LO283" s="1"/>
      <c r="LP283" s="1"/>
      <c r="LZ283" s="1"/>
      <c r="MA283" s="1"/>
    </row>
    <row r="284" spans="4:339" ht="13" x14ac:dyDescent="0.15">
      <c r="D284" s="12"/>
      <c r="E284" s="12"/>
      <c r="I284" s="12"/>
      <c r="J284" s="13"/>
      <c r="BF284" s="1"/>
      <c r="BG284" s="1"/>
      <c r="BH284" s="1"/>
      <c r="BI284" s="1"/>
      <c r="BJ284" s="1"/>
      <c r="BK284" s="1"/>
      <c r="BL284" s="1"/>
      <c r="BM284" s="1"/>
      <c r="BN284" s="1"/>
      <c r="BO284" s="1"/>
      <c r="BP284" s="1"/>
      <c r="BQ284" s="1"/>
      <c r="BR284" s="1"/>
      <c r="CD284" s="1"/>
      <c r="CE284" s="1"/>
      <c r="CF284" s="1"/>
      <c r="CG284" s="1"/>
      <c r="CH284" s="1"/>
      <c r="CI284" s="1"/>
      <c r="CK284" s="1"/>
      <c r="CM284" s="4"/>
      <c r="CN284" s="1"/>
      <c r="CO284" s="1"/>
      <c r="CP284" s="1"/>
      <c r="CQ284" s="1"/>
      <c r="CS284" s="1"/>
      <c r="CV284" s="1"/>
      <c r="CW284" s="1"/>
      <c r="CX284" s="1"/>
      <c r="CY284" s="1"/>
      <c r="CZ284" s="1"/>
      <c r="DA284" s="1"/>
      <c r="DB284" s="1"/>
      <c r="DC284" s="1"/>
      <c r="DD284" s="1"/>
      <c r="DE284" s="1"/>
      <c r="DF284" s="1"/>
      <c r="DG284" s="1"/>
      <c r="DH284" s="1"/>
      <c r="DI284" s="1"/>
      <c r="DJ284" s="1"/>
      <c r="DK284" s="1"/>
      <c r="DM284" s="1"/>
      <c r="DQ284" s="1"/>
      <c r="DR284" s="1"/>
      <c r="DY284" s="1"/>
      <c r="DZ284" s="1"/>
      <c r="ED284" s="1"/>
      <c r="EK284" s="1"/>
      <c r="EL284" s="1"/>
      <c r="EM284" s="1"/>
      <c r="EN284" s="1"/>
      <c r="EQ284" s="1"/>
      <c r="ER284" s="1"/>
      <c r="ES284" s="1"/>
      <c r="EV284" s="1"/>
      <c r="EW284" s="1"/>
      <c r="EZ284" s="1"/>
      <c r="FA284" s="1"/>
      <c r="FD284" s="1"/>
      <c r="FG284" s="1"/>
      <c r="FH284" s="1"/>
      <c r="FI284" s="1"/>
      <c r="FJ284" s="1"/>
      <c r="FK284" s="1"/>
      <c r="FL284" s="1"/>
      <c r="FM284" s="1"/>
      <c r="FN284" s="1"/>
      <c r="FO284" s="1"/>
      <c r="FP284" s="1"/>
      <c r="FS284" s="1"/>
      <c r="FT284" s="1"/>
      <c r="FU284" s="1"/>
      <c r="FV284" s="1"/>
      <c r="FW284" s="1"/>
      <c r="FX284" s="1"/>
      <c r="FY284" s="1"/>
      <c r="GA284" s="1"/>
      <c r="GD284" s="1"/>
      <c r="GE284" s="1"/>
      <c r="GF284" s="1"/>
      <c r="GG284" s="1"/>
      <c r="GH284" s="1"/>
      <c r="GI284" s="1"/>
      <c r="GJ284" s="1"/>
      <c r="GK284" s="1"/>
      <c r="GL284" s="1"/>
      <c r="GM284" s="1"/>
      <c r="GN284" s="1"/>
      <c r="GO284" s="1"/>
      <c r="GP284" s="1"/>
      <c r="GR284" s="1"/>
      <c r="GS284" s="1"/>
      <c r="GY284" s="1"/>
      <c r="HF284" s="1"/>
      <c r="HN284" s="1"/>
      <c r="HT284" s="1"/>
      <c r="HY284" s="1"/>
      <c r="IA284" s="1"/>
      <c r="ID284" s="1"/>
      <c r="IE284" s="1"/>
      <c r="IR284" s="1"/>
      <c r="IS284" s="1"/>
      <c r="IZ284" s="1"/>
      <c r="JF284" s="1"/>
      <c r="JG284" s="1"/>
      <c r="JH284" s="1"/>
      <c r="JJ284" s="1"/>
      <c r="JP284" s="1"/>
      <c r="JQ284" s="1"/>
      <c r="JT284" s="1"/>
      <c r="KU284" s="1"/>
      <c r="KY284" s="1"/>
      <c r="KZ284" s="1"/>
      <c r="LA284" s="1"/>
      <c r="LB284" s="1"/>
      <c r="LC284" s="1"/>
      <c r="LD284" s="1"/>
      <c r="LO284" s="1"/>
      <c r="LP284" s="1"/>
      <c r="LZ284" s="1"/>
      <c r="MA284" s="1"/>
    </row>
    <row r="285" spans="4:339" ht="13" x14ac:dyDescent="0.15">
      <c r="D285" s="12"/>
      <c r="E285" s="12"/>
      <c r="I285" s="12"/>
      <c r="J285" s="13"/>
      <c r="BF285" s="1"/>
      <c r="BG285" s="1"/>
      <c r="BH285" s="1"/>
      <c r="BI285" s="1"/>
      <c r="BJ285" s="1"/>
      <c r="BK285" s="1"/>
      <c r="BL285" s="1"/>
      <c r="BM285" s="1"/>
      <c r="BN285" s="1"/>
      <c r="BO285" s="1"/>
      <c r="BP285" s="1"/>
      <c r="BQ285" s="1"/>
      <c r="BR285" s="1"/>
      <c r="CD285" s="1"/>
      <c r="CE285" s="1"/>
      <c r="CF285" s="1"/>
      <c r="CG285" s="1"/>
      <c r="CH285" s="1"/>
      <c r="CI285" s="1"/>
      <c r="CK285" s="1"/>
      <c r="CM285" s="4"/>
      <c r="CN285" s="1"/>
      <c r="CO285" s="1"/>
      <c r="CP285" s="1"/>
      <c r="CQ285" s="1"/>
      <c r="CS285" s="1"/>
      <c r="CV285" s="1"/>
      <c r="CW285" s="1"/>
      <c r="CX285" s="1"/>
      <c r="CY285" s="1"/>
      <c r="CZ285" s="1"/>
      <c r="DA285" s="1"/>
      <c r="DB285" s="1"/>
      <c r="DC285" s="1"/>
      <c r="DD285" s="1"/>
      <c r="DE285" s="1"/>
      <c r="DF285" s="1"/>
      <c r="DG285" s="1"/>
      <c r="DH285" s="1"/>
      <c r="DI285" s="1"/>
      <c r="DJ285" s="1"/>
      <c r="DK285" s="1"/>
      <c r="DM285" s="1"/>
      <c r="DQ285" s="1"/>
      <c r="DR285" s="1"/>
      <c r="DY285" s="1"/>
      <c r="DZ285" s="1"/>
      <c r="ED285" s="1"/>
      <c r="EK285" s="1"/>
      <c r="EL285" s="1"/>
      <c r="EM285" s="1"/>
      <c r="EN285" s="1"/>
      <c r="EQ285" s="1"/>
      <c r="ER285" s="1"/>
      <c r="ES285" s="1"/>
      <c r="EV285" s="1"/>
      <c r="EW285" s="1"/>
      <c r="EZ285" s="1"/>
      <c r="FA285" s="1"/>
      <c r="FD285" s="1"/>
      <c r="FG285" s="1"/>
      <c r="FH285" s="1"/>
      <c r="FI285" s="1"/>
      <c r="FJ285" s="1"/>
      <c r="FK285" s="1"/>
      <c r="FL285" s="1"/>
      <c r="FM285" s="1"/>
      <c r="FN285" s="1"/>
      <c r="FO285" s="1"/>
      <c r="FP285" s="1"/>
      <c r="FS285" s="1"/>
      <c r="FT285" s="1"/>
      <c r="FU285" s="1"/>
      <c r="FV285" s="1"/>
      <c r="FW285" s="1"/>
      <c r="FX285" s="1"/>
      <c r="FY285" s="1"/>
      <c r="GA285" s="1"/>
      <c r="GD285" s="1"/>
      <c r="GE285" s="1"/>
      <c r="GF285" s="1"/>
      <c r="GG285" s="1"/>
      <c r="GH285" s="1"/>
      <c r="GI285" s="1"/>
      <c r="GJ285" s="1"/>
      <c r="GK285" s="1"/>
      <c r="GL285" s="1"/>
      <c r="GM285" s="1"/>
      <c r="GN285" s="1"/>
      <c r="GO285" s="1"/>
      <c r="GP285" s="1"/>
      <c r="GR285" s="1"/>
      <c r="GS285" s="1"/>
      <c r="GY285" s="1"/>
      <c r="HF285" s="1"/>
      <c r="HN285" s="1"/>
      <c r="HT285" s="1"/>
      <c r="HY285" s="1"/>
      <c r="IA285" s="1"/>
      <c r="ID285" s="1"/>
      <c r="IE285" s="1"/>
      <c r="IR285" s="1"/>
      <c r="IS285" s="1"/>
      <c r="IZ285" s="1"/>
      <c r="JF285" s="1"/>
      <c r="JG285" s="1"/>
      <c r="JH285" s="1"/>
      <c r="JJ285" s="1"/>
      <c r="JP285" s="1"/>
      <c r="JQ285" s="1"/>
      <c r="JT285" s="1"/>
      <c r="KU285" s="1"/>
      <c r="KY285" s="1"/>
      <c r="KZ285" s="1"/>
      <c r="LA285" s="1"/>
      <c r="LB285" s="1"/>
      <c r="LC285" s="1"/>
      <c r="LD285" s="1"/>
      <c r="LO285" s="1"/>
      <c r="LP285" s="1"/>
      <c r="LZ285" s="1"/>
      <c r="MA285" s="1"/>
    </row>
    <row r="286" spans="4:339" ht="13" x14ac:dyDescent="0.15">
      <c r="D286" s="12"/>
      <c r="E286" s="12"/>
      <c r="I286" s="12"/>
      <c r="J286" s="13"/>
      <c r="BF286" s="1"/>
      <c r="BG286" s="1"/>
      <c r="BH286" s="1"/>
      <c r="BI286" s="1"/>
      <c r="BJ286" s="1"/>
      <c r="BK286" s="1"/>
      <c r="BL286" s="1"/>
      <c r="BM286" s="1"/>
      <c r="BN286" s="1"/>
      <c r="BO286" s="1"/>
      <c r="BP286" s="1"/>
      <c r="BQ286" s="1"/>
      <c r="BR286" s="1"/>
      <c r="CD286" s="1"/>
      <c r="CE286" s="1"/>
      <c r="CF286" s="1"/>
      <c r="CG286" s="1"/>
      <c r="CH286" s="1"/>
      <c r="CI286" s="1"/>
      <c r="CK286" s="1"/>
      <c r="CM286" s="4"/>
      <c r="CN286" s="1"/>
      <c r="CO286" s="1"/>
      <c r="CP286" s="1"/>
      <c r="CQ286" s="1"/>
      <c r="CS286" s="1"/>
      <c r="CV286" s="1"/>
      <c r="CW286" s="1"/>
      <c r="CX286" s="1"/>
      <c r="CY286" s="1"/>
      <c r="CZ286" s="1"/>
      <c r="DA286" s="1"/>
      <c r="DB286" s="1"/>
      <c r="DC286" s="1"/>
      <c r="DD286" s="1"/>
      <c r="DE286" s="1"/>
      <c r="DF286" s="1"/>
      <c r="DG286" s="1"/>
      <c r="DH286" s="1"/>
      <c r="DI286" s="1"/>
      <c r="DJ286" s="1"/>
      <c r="DK286" s="1"/>
      <c r="DM286" s="1"/>
      <c r="DQ286" s="1"/>
      <c r="DR286" s="1"/>
      <c r="DY286" s="1"/>
      <c r="DZ286" s="1"/>
      <c r="ED286" s="1"/>
      <c r="EK286" s="1"/>
      <c r="EL286" s="1"/>
      <c r="EM286" s="1"/>
      <c r="EN286" s="1"/>
      <c r="EQ286" s="1"/>
      <c r="ER286" s="1"/>
      <c r="ES286" s="1"/>
      <c r="EV286" s="1"/>
      <c r="EW286" s="1"/>
      <c r="EZ286" s="1"/>
      <c r="FA286" s="1"/>
      <c r="FD286" s="1"/>
      <c r="FG286" s="1"/>
      <c r="FH286" s="1"/>
      <c r="FI286" s="1"/>
      <c r="FJ286" s="1"/>
      <c r="FK286" s="1"/>
      <c r="FL286" s="1"/>
      <c r="FM286" s="1"/>
      <c r="FN286" s="1"/>
      <c r="FO286" s="1"/>
      <c r="FP286" s="1"/>
      <c r="FS286" s="1"/>
      <c r="FT286" s="1"/>
      <c r="FU286" s="1"/>
      <c r="FV286" s="1"/>
      <c r="FW286" s="1"/>
      <c r="FX286" s="1"/>
      <c r="FY286" s="1"/>
      <c r="GA286" s="1"/>
      <c r="GD286" s="1"/>
      <c r="GE286" s="1"/>
      <c r="GF286" s="1"/>
      <c r="GG286" s="1"/>
      <c r="GH286" s="1"/>
      <c r="GI286" s="1"/>
      <c r="GJ286" s="1"/>
      <c r="GK286" s="1"/>
      <c r="GL286" s="1"/>
      <c r="GM286" s="1"/>
      <c r="GN286" s="1"/>
      <c r="GO286" s="1"/>
      <c r="GP286" s="1"/>
      <c r="GR286" s="1"/>
      <c r="GS286" s="1"/>
      <c r="GY286" s="1"/>
      <c r="HF286" s="1"/>
      <c r="HN286" s="1"/>
      <c r="HT286" s="1"/>
      <c r="HY286" s="1"/>
      <c r="IA286" s="1"/>
      <c r="ID286" s="1"/>
      <c r="IE286" s="1"/>
      <c r="IR286" s="1"/>
      <c r="IS286" s="1"/>
      <c r="IZ286" s="1"/>
      <c r="JF286" s="1"/>
      <c r="JG286" s="1"/>
      <c r="JH286" s="1"/>
      <c r="JJ286" s="1"/>
      <c r="JP286" s="1"/>
      <c r="JQ286" s="1"/>
      <c r="JT286" s="1"/>
      <c r="KU286" s="1"/>
      <c r="KY286" s="1"/>
      <c r="KZ286" s="1"/>
      <c r="LA286" s="1"/>
      <c r="LB286" s="1"/>
      <c r="LC286" s="1"/>
      <c r="LD286" s="1"/>
      <c r="LO286" s="1"/>
      <c r="LP286" s="1"/>
      <c r="LZ286" s="1"/>
      <c r="MA286" s="1"/>
    </row>
    <row r="287" spans="4:339" ht="13" x14ac:dyDescent="0.15">
      <c r="D287" s="12"/>
      <c r="E287" s="12"/>
      <c r="I287" s="12"/>
      <c r="J287" s="13"/>
      <c r="BF287" s="1"/>
      <c r="BG287" s="1"/>
      <c r="BH287" s="1"/>
      <c r="BI287" s="1"/>
      <c r="BJ287" s="1"/>
      <c r="BK287" s="1"/>
      <c r="BL287" s="1"/>
      <c r="BM287" s="1"/>
      <c r="BN287" s="1"/>
      <c r="BO287" s="1"/>
      <c r="BP287" s="1"/>
      <c r="BQ287" s="1"/>
      <c r="BR287" s="1"/>
      <c r="CD287" s="1"/>
      <c r="CE287" s="1"/>
      <c r="CF287" s="1"/>
      <c r="CG287" s="1"/>
      <c r="CH287" s="1"/>
      <c r="CI287" s="1"/>
      <c r="CK287" s="1"/>
      <c r="CM287" s="4"/>
      <c r="CN287" s="1"/>
      <c r="CO287" s="1"/>
      <c r="CP287" s="1"/>
      <c r="CQ287" s="1"/>
      <c r="CS287" s="1"/>
      <c r="CV287" s="1"/>
      <c r="CW287" s="1"/>
      <c r="CX287" s="1"/>
      <c r="CY287" s="1"/>
      <c r="CZ287" s="1"/>
      <c r="DA287" s="1"/>
      <c r="DB287" s="1"/>
      <c r="DC287" s="1"/>
      <c r="DD287" s="1"/>
      <c r="DE287" s="1"/>
      <c r="DF287" s="1"/>
      <c r="DG287" s="1"/>
      <c r="DH287" s="1"/>
      <c r="DI287" s="1"/>
      <c r="DJ287" s="1"/>
      <c r="DK287" s="1"/>
      <c r="DM287" s="1"/>
      <c r="DQ287" s="1"/>
      <c r="DR287" s="1"/>
      <c r="DY287" s="1"/>
      <c r="DZ287" s="1"/>
      <c r="ED287" s="1"/>
      <c r="EK287" s="1"/>
      <c r="EL287" s="1"/>
      <c r="EM287" s="1"/>
      <c r="EN287" s="1"/>
      <c r="EQ287" s="1"/>
      <c r="ER287" s="1"/>
      <c r="ES287" s="1"/>
      <c r="EV287" s="1"/>
      <c r="EW287" s="1"/>
      <c r="EZ287" s="1"/>
      <c r="FA287" s="1"/>
      <c r="FD287" s="1"/>
      <c r="FG287" s="1"/>
      <c r="FH287" s="1"/>
      <c r="FI287" s="1"/>
      <c r="FJ287" s="1"/>
      <c r="FK287" s="1"/>
      <c r="FL287" s="1"/>
      <c r="FM287" s="1"/>
      <c r="FN287" s="1"/>
      <c r="FO287" s="1"/>
      <c r="FP287" s="1"/>
      <c r="FS287" s="1"/>
      <c r="FT287" s="1"/>
      <c r="FU287" s="1"/>
      <c r="FV287" s="1"/>
      <c r="FW287" s="1"/>
      <c r="FX287" s="1"/>
      <c r="FY287" s="1"/>
      <c r="GA287" s="1"/>
      <c r="GD287" s="1"/>
      <c r="GE287" s="1"/>
      <c r="GF287" s="1"/>
      <c r="GG287" s="1"/>
      <c r="GH287" s="1"/>
      <c r="GI287" s="1"/>
      <c r="GJ287" s="1"/>
      <c r="GK287" s="1"/>
      <c r="GL287" s="1"/>
      <c r="GM287" s="1"/>
      <c r="GN287" s="1"/>
      <c r="GO287" s="1"/>
      <c r="GP287" s="1"/>
      <c r="GR287" s="1"/>
      <c r="GS287" s="1"/>
      <c r="GY287" s="1"/>
      <c r="HF287" s="1"/>
      <c r="HN287" s="1"/>
      <c r="HT287" s="1"/>
      <c r="HY287" s="1"/>
      <c r="IA287" s="1"/>
      <c r="ID287" s="1"/>
      <c r="IE287" s="1"/>
      <c r="IR287" s="1"/>
      <c r="IS287" s="1"/>
      <c r="IZ287" s="1"/>
      <c r="JF287" s="1"/>
      <c r="JG287" s="1"/>
      <c r="JH287" s="1"/>
      <c r="JJ287" s="1"/>
      <c r="JP287" s="1"/>
      <c r="JQ287" s="1"/>
      <c r="JT287" s="1"/>
      <c r="KU287" s="1"/>
      <c r="KY287" s="1"/>
      <c r="KZ287" s="1"/>
      <c r="LA287" s="1"/>
      <c r="LB287" s="1"/>
      <c r="LC287" s="1"/>
      <c r="LD287" s="1"/>
      <c r="LO287" s="1"/>
      <c r="LP287" s="1"/>
      <c r="LZ287" s="1"/>
      <c r="MA287" s="1"/>
    </row>
    <row r="288" spans="4:339" ht="13" x14ac:dyDescent="0.15">
      <c r="D288" s="12"/>
      <c r="E288" s="12"/>
      <c r="I288" s="12"/>
      <c r="J288" s="13"/>
      <c r="BF288" s="1"/>
      <c r="BG288" s="1"/>
      <c r="BH288" s="1"/>
      <c r="BI288" s="1"/>
      <c r="BJ288" s="1"/>
      <c r="BK288" s="1"/>
      <c r="BL288" s="1"/>
      <c r="BM288" s="1"/>
      <c r="BN288" s="1"/>
      <c r="BO288" s="1"/>
      <c r="BP288" s="1"/>
      <c r="BQ288" s="1"/>
      <c r="BR288" s="1"/>
      <c r="CD288" s="1"/>
      <c r="CE288" s="1"/>
      <c r="CF288" s="1"/>
      <c r="CG288" s="1"/>
      <c r="CH288" s="1"/>
      <c r="CI288" s="1"/>
      <c r="CK288" s="1"/>
      <c r="CM288" s="4"/>
      <c r="CN288" s="1"/>
      <c r="CO288" s="1"/>
      <c r="CP288" s="1"/>
      <c r="CQ288" s="1"/>
      <c r="CS288" s="1"/>
      <c r="CV288" s="1"/>
      <c r="CW288" s="1"/>
      <c r="CX288" s="1"/>
      <c r="CY288" s="1"/>
      <c r="CZ288" s="1"/>
      <c r="DA288" s="1"/>
      <c r="DB288" s="1"/>
      <c r="DC288" s="1"/>
      <c r="DD288" s="1"/>
      <c r="DE288" s="1"/>
      <c r="DF288" s="1"/>
      <c r="DG288" s="1"/>
      <c r="DH288" s="1"/>
      <c r="DI288" s="1"/>
      <c r="DJ288" s="1"/>
      <c r="DK288" s="1"/>
      <c r="DM288" s="1"/>
      <c r="DQ288" s="1"/>
      <c r="DR288" s="1"/>
      <c r="DY288" s="1"/>
      <c r="DZ288" s="1"/>
      <c r="ED288" s="1"/>
      <c r="EK288" s="1"/>
      <c r="EL288" s="1"/>
      <c r="EM288" s="1"/>
      <c r="EN288" s="1"/>
      <c r="EQ288" s="1"/>
      <c r="ER288" s="1"/>
      <c r="ES288" s="1"/>
      <c r="EV288" s="1"/>
      <c r="EW288" s="1"/>
      <c r="EZ288" s="1"/>
      <c r="FA288" s="1"/>
      <c r="FD288" s="1"/>
      <c r="FG288" s="1"/>
      <c r="FH288" s="1"/>
      <c r="FI288" s="1"/>
      <c r="FJ288" s="1"/>
      <c r="FK288" s="1"/>
      <c r="FL288" s="1"/>
      <c r="FM288" s="1"/>
      <c r="FN288" s="1"/>
      <c r="FO288" s="1"/>
      <c r="FP288" s="1"/>
      <c r="FS288" s="1"/>
      <c r="FT288" s="1"/>
      <c r="FU288" s="1"/>
      <c r="FV288" s="1"/>
      <c r="FW288" s="1"/>
      <c r="FX288" s="1"/>
      <c r="FY288" s="1"/>
      <c r="GA288" s="1"/>
      <c r="GD288" s="1"/>
      <c r="GE288" s="1"/>
      <c r="GF288" s="1"/>
      <c r="GG288" s="1"/>
      <c r="GH288" s="1"/>
      <c r="GI288" s="1"/>
      <c r="GJ288" s="1"/>
      <c r="GK288" s="1"/>
      <c r="GL288" s="1"/>
      <c r="GM288" s="1"/>
      <c r="GN288" s="1"/>
      <c r="GO288" s="1"/>
      <c r="GP288" s="1"/>
      <c r="GR288" s="1"/>
      <c r="GS288" s="1"/>
      <c r="GY288" s="1"/>
      <c r="HF288" s="1"/>
      <c r="HN288" s="1"/>
      <c r="HT288" s="1"/>
      <c r="HY288" s="1"/>
      <c r="IA288" s="1"/>
      <c r="ID288" s="1"/>
      <c r="IE288" s="1"/>
      <c r="IR288" s="1"/>
      <c r="IS288" s="1"/>
      <c r="IZ288" s="1"/>
      <c r="JF288" s="1"/>
      <c r="JG288" s="1"/>
      <c r="JH288" s="1"/>
      <c r="JJ288" s="1"/>
      <c r="JP288" s="1"/>
      <c r="JQ288" s="1"/>
      <c r="JT288" s="1"/>
      <c r="KU288" s="1"/>
      <c r="KY288" s="1"/>
      <c r="KZ288" s="1"/>
      <c r="LA288" s="1"/>
      <c r="LB288" s="1"/>
      <c r="LC288" s="1"/>
      <c r="LD288" s="1"/>
      <c r="LO288" s="1"/>
      <c r="LP288" s="1"/>
      <c r="LZ288" s="1"/>
      <c r="MA288" s="1"/>
    </row>
    <row r="289" spans="4:342" ht="13" x14ac:dyDescent="0.15">
      <c r="D289" s="12"/>
      <c r="E289" s="12"/>
      <c r="I289" s="12"/>
      <c r="J289" s="13"/>
      <c r="BF289" s="1"/>
      <c r="BG289" s="1"/>
      <c r="BH289" s="1"/>
      <c r="BI289" s="1"/>
      <c r="BJ289" s="1"/>
      <c r="BK289" s="1"/>
      <c r="BL289" s="1"/>
      <c r="BM289" s="1"/>
      <c r="BN289" s="1"/>
      <c r="BO289" s="1"/>
      <c r="BP289" s="1"/>
      <c r="BQ289" s="1"/>
      <c r="BR289" s="1"/>
      <c r="BX289" s="1"/>
      <c r="CD289" s="1"/>
      <c r="CE289" s="1"/>
      <c r="CF289" s="1"/>
      <c r="CH289" s="1"/>
      <c r="CI289" s="1"/>
      <c r="CM289" s="2"/>
      <c r="CN289" s="1"/>
      <c r="CO289" s="1"/>
      <c r="CP289" s="1"/>
      <c r="CQ289" s="1"/>
      <c r="CS289" s="1"/>
      <c r="CT289" s="1"/>
      <c r="CU289" s="1"/>
      <c r="CV289" s="1"/>
      <c r="CW289" s="1"/>
      <c r="CX289" s="1"/>
      <c r="CY289" s="1"/>
      <c r="CZ289" s="1"/>
      <c r="DA289" s="1"/>
      <c r="DB289" s="1"/>
      <c r="DC289" s="1"/>
      <c r="DD289" s="1"/>
      <c r="DE289" s="1"/>
      <c r="DF289" s="1"/>
      <c r="DG289" s="1"/>
      <c r="DH289" s="1"/>
      <c r="DI289" s="1"/>
      <c r="DJ289" s="1"/>
      <c r="DK289" s="1"/>
      <c r="DM289" s="1"/>
      <c r="DQ289" s="1"/>
      <c r="DR289" s="1"/>
      <c r="DY289" s="1"/>
      <c r="DZ289" s="1"/>
      <c r="ED289" s="1"/>
      <c r="EK289" s="1"/>
      <c r="EL289" s="1"/>
      <c r="EM289" s="1"/>
      <c r="EN289" s="1"/>
      <c r="EQ289" s="1"/>
      <c r="ER289" s="1"/>
      <c r="ES289" s="1"/>
      <c r="EV289" s="1"/>
      <c r="EW289" s="1"/>
      <c r="EX289" s="1"/>
      <c r="EZ289" s="1"/>
      <c r="FA289" s="1"/>
      <c r="FD289" s="1"/>
      <c r="FG289" s="1"/>
      <c r="FH289" s="1"/>
      <c r="FI289" s="1"/>
      <c r="FJ289" s="1"/>
      <c r="FK289" s="1"/>
      <c r="FL289" s="1"/>
      <c r="FM289" s="1"/>
      <c r="FN289" s="1"/>
      <c r="FO289" s="1"/>
      <c r="FP289" s="1"/>
      <c r="FQ289" s="1"/>
      <c r="FR289" s="1"/>
      <c r="FS289" s="1"/>
      <c r="FT289" s="1"/>
      <c r="FU289" s="1"/>
      <c r="FV289" s="1"/>
      <c r="FX289" s="1"/>
      <c r="FY289" s="1"/>
      <c r="FZ289" s="1"/>
      <c r="GA289" s="1"/>
      <c r="GB289" s="1"/>
      <c r="GD289" s="1"/>
      <c r="GE289" s="1"/>
      <c r="GF289" s="1"/>
      <c r="GG289" s="1"/>
      <c r="GH289" s="1"/>
      <c r="GI289" s="1"/>
      <c r="GJ289" s="1"/>
      <c r="GK289" s="1"/>
      <c r="GL289" s="1"/>
      <c r="GM289" s="1"/>
      <c r="GN289" s="1"/>
      <c r="GO289" s="1"/>
      <c r="GP289" s="1"/>
      <c r="GR289" s="1"/>
      <c r="GY289" s="1"/>
      <c r="HH289" s="1"/>
      <c r="HY289" s="1"/>
      <c r="IC289" s="1"/>
      <c r="IE289" s="1"/>
      <c r="IR289" s="1"/>
      <c r="IS289" s="1"/>
      <c r="IW289" s="1"/>
      <c r="IY289" s="1"/>
      <c r="IZ289" s="1"/>
      <c r="JA289" s="1"/>
      <c r="JC289" s="1"/>
      <c r="JF289" s="1"/>
      <c r="JG289" s="1"/>
      <c r="JH289" s="1"/>
      <c r="JJ289" s="1"/>
      <c r="JN289" s="1"/>
      <c r="JP289" s="1"/>
      <c r="JQ289" s="1"/>
      <c r="JT289" s="1"/>
      <c r="KU289" s="1"/>
      <c r="KV289" s="1"/>
      <c r="KW289" s="1"/>
      <c r="KY289" s="1"/>
      <c r="KZ289" s="1"/>
      <c r="LA289" s="1"/>
      <c r="LB289" s="1"/>
      <c r="LC289" s="1"/>
      <c r="LD289" s="1"/>
      <c r="LO289" s="1"/>
      <c r="LP289" s="1"/>
      <c r="LZ289" s="1"/>
      <c r="MA289" s="1"/>
      <c r="MB289" s="1"/>
      <c r="MC289" s="5"/>
      <c r="MD289" s="5"/>
    </row>
    <row r="290" spans="4:342" ht="13" x14ac:dyDescent="0.15">
      <c r="D290" s="12"/>
      <c r="E290" s="12"/>
      <c r="I290" s="12"/>
      <c r="J290" s="13"/>
      <c r="BF290" s="1"/>
      <c r="BG290" s="1"/>
      <c r="BH290" s="1"/>
      <c r="BI290" s="1"/>
      <c r="BJ290" s="1"/>
      <c r="BK290" s="1"/>
      <c r="BL290" s="1"/>
      <c r="BM290" s="1"/>
      <c r="BN290" s="1"/>
      <c r="BO290" s="1"/>
      <c r="BP290" s="1"/>
      <c r="BQ290" s="1"/>
      <c r="BR290" s="1"/>
      <c r="CD290" s="1"/>
      <c r="CE290" s="1"/>
      <c r="CF290" s="1"/>
      <c r="CG290" s="1"/>
      <c r="CH290" s="1"/>
      <c r="CI290" s="1"/>
      <c r="CM290" s="4"/>
      <c r="CN290" s="1"/>
      <c r="CO290" s="1"/>
      <c r="CP290" s="1"/>
      <c r="CQ290" s="1"/>
      <c r="CS290" s="1"/>
      <c r="CV290" s="1"/>
      <c r="CW290" s="1"/>
      <c r="CX290" s="1"/>
      <c r="CY290" s="1"/>
      <c r="CZ290" s="1"/>
      <c r="DA290" s="1"/>
      <c r="DB290" s="1"/>
      <c r="DC290" s="1"/>
      <c r="DD290" s="1"/>
      <c r="DE290" s="1"/>
      <c r="DF290" s="1"/>
      <c r="DG290" s="1"/>
      <c r="DH290" s="1"/>
      <c r="DI290" s="1"/>
      <c r="DJ290" s="1"/>
      <c r="DK290" s="1"/>
      <c r="ED290" s="1"/>
      <c r="EK290" s="1"/>
      <c r="EL290" s="1"/>
      <c r="EM290" s="1"/>
      <c r="EN290" s="1"/>
      <c r="EQ290" s="1"/>
      <c r="ER290" s="1"/>
      <c r="ES290" s="1"/>
      <c r="EV290" s="1"/>
      <c r="EW290" s="1"/>
      <c r="EZ290" s="1"/>
      <c r="FA290" s="1"/>
      <c r="FD290" s="1"/>
      <c r="GD290" s="1"/>
      <c r="GE290" s="1"/>
      <c r="GF290" s="1"/>
      <c r="GG290" s="1"/>
      <c r="GH290" s="1"/>
      <c r="GI290" s="1"/>
      <c r="GP290" s="1"/>
      <c r="HF290" s="1"/>
      <c r="HH290" s="1"/>
      <c r="HN290" s="1"/>
      <c r="HQ290" s="1"/>
      <c r="HX290" s="1"/>
      <c r="HY290" s="1"/>
      <c r="IC290" s="1"/>
      <c r="ID290" s="1"/>
      <c r="IE290" s="1"/>
      <c r="IS290" s="1"/>
      <c r="IY290" s="1"/>
      <c r="IZ290" s="1"/>
      <c r="JC290" s="1"/>
      <c r="JF290" s="1"/>
      <c r="JG290" s="1"/>
      <c r="JH290" s="1"/>
      <c r="JJ290" s="1"/>
      <c r="JN290" s="1"/>
      <c r="JO290" s="1"/>
      <c r="JP290" s="1"/>
      <c r="JQ290" s="1"/>
      <c r="KU290" s="1"/>
      <c r="KY290" s="1"/>
      <c r="KZ290" s="1"/>
      <c r="LA290" s="1"/>
      <c r="LB290" s="1"/>
      <c r="LC290" s="1"/>
      <c r="LD290" s="1"/>
      <c r="LO290" s="1"/>
      <c r="LP290" s="1"/>
      <c r="LZ290" s="1"/>
      <c r="MA290" s="1"/>
    </row>
    <row r="291" spans="4:342" ht="13" x14ac:dyDescent="0.15">
      <c r="D291" s="12"/>
      <c r="E291" s="12"/>
      <c r="I291" s="12"/>
      <c r="J291" s="13"/>
      <c r="BF291" s="1"/>
      <c r="BG291" s="1"/>
      <c r="BH291" s="1"/>
      <c r="BI291" s="1"/>
      <c r="BJ291" s="1"/>
      <c r="BK291" s="1"/>
      <c r="BL291" s="1"/>
      <c r="BM291" s="1"/>
      <c r="BN291" s="1"/>
      <c r="BO291" s="1"/>
      <c r="BP291" s="1"/>
      <c r="BQ291" s="1"/>
      <c r="BR291" s="1"/>
      <c r="BX291" s="1"/>
      <c r="CD291" s="1"/>
      <c r="CE291" s="1"/>
      <c r="CF291" s="1"/>
      <c r="CG291" s="1"/>
      <c r="CH291" s="1"/>
      <c r="CI291" s="1"/>
      <c r="CM291" s="2"/>
      <c r="CN291" s="1"/>
      <c r="CO291" s="1"/>
      <c r="CP291" s="1"/>
      <c r="CQ291" s="1"/>
      <c r="CR291" s="1"/>
      <c r="CS291" s="1"/>
      <c r="CT291" s="1"/>
      <c r="CU291" s="1"/>
      <c r="CV291" s="1"/>
      <c r="CW291" s="1"/>
      <c r="CX291" s="1"/>
      <c r="CY291" s="1"/>
      <c r="CZ291" s="1"/>
      <c r="DA291" s="1"/>
      <c r="DB291" s="1"/>
      <c r="DC291" s="1"/>
      <c r="DD291" s="1"/>
      <c r="DE291" s="1"/>
      <c r="DF291" s="1"/>
      <c r="DG291" s="1"/>
      <c r="DH291" s="1"/>
      <c r="DI291" s="1"/>
      <c r="DJ291" s="1"/>
      <c r="DK291" s="1"/>
      <c r="DM291" s="1"/>
      <c r="DQ291" s="1"/>
      <c r="DR291" s="1"/>
      <c r="DY291" s="1"/>
      <c r="DZ291" s="1"/>
      <c r="ED291" s="1"/>
      <c r="EE291" s="1"/>
      <c r="EF291" s="1"/>
      <c r="EG291" s="1"/>
      <c r="EH291" s="1"/>
      <c r="EK291" s="1"/>
      <c r="EL291" s="1"/>
      <c r="EM291" s="1"/>
      <c r="EN291" s="1"/>
      <c r="EQ291" s="1"/>
      <c r="ER291" s="1"/>
      <c r="ES291" s="1"/>
      <c r="EV291" s="1"/>
      <c r="EW291" s="1"/>
      <c r="EY291" s="1"/>
      <c r="EZ291" s="1"/>
      <c r="FA291" s="1"/>
      <c r="FD291" s="1"/>
      <c r="GD291" s="1"/>
      <c r="GE291" s="1"/>
      <c r="GF291" s="1"/>
      <c r="GG291" s="1"/>
      <c r="GH291" s="1"/>
      <c r="GI291" s="1"/>
      <c r="GO291" s="1"/>
      <c r="GP291" s="1"/>
      <c r="HF291" s="1"/>
      <c r="HH291" s="1"/>
      <c r="HN291" s="1"/>
      <c r="HT291" s="1"/>
      <c r="HY291" s="1"/>
      <c r="IE291" s="1"/>
      <c r="IF291" s="1"/>
      <c r="IG291" s="1"/>
      <c r="IJ291" s="1"/>
      <c r="IR291" s="1"/>
      <c r="IS291" s="1"/>
      <c r="IZ291" s="1"/>
      <c r="JG291" s="1"/>
      <c r="JH291" s="1"/>
      <c r="JJ291" s="1"/>
      <c r="JK291" s="1"/>
      <c r="JL291" s="3"/>
      <c r="JM291" s="1"/>
      <c r="JP291" s="1"/>
      <c r="JQ291" s="1"/>
      <c r="JR291" s="1"/>
      <c r="KU291" s="1"/>
      <c r="KV291" s="1"/>
      <c r="KY291" s="1"/>
      <c r="KZ291" s="1"/>
      <c r="LA291" s="1"/>
      <c r="LB291" s="1"/>
      <c r="LC291" s="1"/>
      <c r="LD291" s="1"/>
      <c r="LO291" s="1"/>
      <c r="LP291" s="1"/>
      <c r="LZ291" s="1"/>
      <c r="MA291" s="1"/>
    </row>
    <row r="292" spans="4:342" ht="13" x14ac:dyDescent="0.15">
      <c r="D292" s="12"/>
      <c r="E292" s="12"/>
      <c r="I292" s="12"/>
      <c r="J292" s="13"/>
      <c r="BF292" s="1"/>
      <c r="BG292" s="1"/>
      <c r="BH292" s="1"/>
      <c r="BI292" s="1"/>
      <c r="BJ292" s="1"/>
      <c r="BK292" s="1"/>
      <c r="BL292" s="1"/>
      <c r="BM292" s="1"/>
      <c r="BN292" s="1"/>
      <c r="BO292" s="1"/>
      <c r="BP292" s="1"/>
      <c r="BQ292" s="1"/>
      <c r="BR292" s="1"/>
      <c r="BX292" s="1"/>
      <c r="CD292" s="1"/>
      <c r="CE292" s="1"/>
      <c r="CF292" s="1"/>
      <c r="CG292" s="1"/>
      <c r="CH292" s="1"/>
      <c r="CI292" s="1"/>
      <c r="CM292" s="2"/>
      <c r="CN292" s="1"/>
      <c r="CO292" s="1"/>
      <c r="CP292" s="1"/>
      <c r="CQ292" s="1"/>
      <c r="CR292" s="1"/>
      <c r="CS292" s="1"/>
      <c r="CT292" s="1"/>
      <c r="CU292" s="1"/>
      <c r="CV292" s="1"/>
      <c r="CW292" s="1"/>
      <c r="CX292" s="1"/>
      <c r="CY292" s="1"/>
      <c r="CZ292" s="1"/>
      <c r="DA292" s="1"/>
      <c r="DB292" s="1"/>
      <c r="DC292" s="1"/>
      <c r="DD292" s="1"/>
      <c r="DE292" s="1"/>
      <c r="DF292" s="1"/>
      <c r="DG292" s="1"/>
      <c r="DH292" s="1"/>
      <c r="DI292" s="1"/>
      <c r="DJ292" s="1"/>
      <c r="DK292" s="1"/>
      <c r="DM292" s="1"/>
      <c r="DQ292" s="1"/>
      <c r="DR292" s="1"/>
      <c r="DY292" s="1"/>
      <c r="DZ292" s="1"/>
      <c r="ED292" s="1"/>
      <c r="EE292" s="1"/>
      <c r="EF292" s="1"/>
      <c r="EG292" s="1"/>
      <c r="EH292" s="1"/>
      <c r="EK292" s="1"/>
      <c r="EL292" s="1"/>
      <c r="EM292" s="1"/>
      <c r="EN292" s="1"/>
      <c r="EQ292" s="1"/>
      <c r="ER292" s="1"/>
      <c r="ES292" s="1"/>
      <c r="EV292" s="1"/>
      <c r="EW292" s="1"/>
      <c r="EY292" s="1"/>
      <c r="EZ292" s="1"/>
      <c r="FA292" s="1"/>
      <c r="FD292" s="1"/>
      <c r="GD292" s="1"/>
      <c r="GE292" s="1"/>
      <c r="GF292" s="1"/>
      <c r="GG292" s="1"/>
      <c r="GH292" s="1"/>
      <c r="GI292" s="1"/>
      <c r="GO292" s="1"/>
      <c r="GP292" s="1"/>
      <c r="HF292" s="1"/>
      <c r="HH292" s="1"/>
      <c r="HN292" s="1"/>
      <c r="HT292" s="1"/>
      <c r="HY292" s="1"/>
      <c r="IE292" s="1"/>
      <c r="IF292" s="1"/>
      <c r="IG292" s="1"/>
      <c r="IJ292" s="1"/>
      <c r="IR292" s="1"/>
      <c r="IS292" s="1"/>
      <c r="IZ292" s="1"/>
      <c r="JG292" s="1"/>
      <c r="JH292" s="1"/>
      <c r="JJ292" s="1"/>
      <c r="JK292" s="1"/>
      <c r="JL292" s="3"/>
      <c r="JM292" s="1"/>
      <c r="JP292" s="1"/>
      <c r="JQ292" s="1"/>
      <c r="JR292" s="1"/>
      <c r="KU292" s="1"/>
      <c r="KV292" s="1"/>
      <c r="KY292" s="1"/>
      <c r="KZ292" s="1"/>
      <c r="LA292" s="1"/>
      <c r="LB292" s="1"/>
      <c r="LC292" s="1"/>
      <c r="LD292" s="1"/>
      <c r="LO292" s="1"/>
      <c r="LP292" s="1"/>
      <c r="LZ292" s="1"/>
      <c r="MA292" s="1"/>
    </row>
    <row r="293" spans="4:342" ht="13" x14ac:dyDescent="0.15">
      <c r="D293" s="12"/>
      <c r="E293" s="12"/>
      <c r="I293" s="12"/>
      <c r="J293" s="13"/>
      <c r="BF293" s="1"/>
      <c r="BG293" s="1"/>
      <c r="BH293" s="1"/>
      <c r="BI293" s="1"/>
      <c r="BJ293" s="1"/>
      <c r="BK293" s="1"/>
      <c r="BL293" s="1"/>
      <c r="BM293" s="1"/>
      <c r="BN293" s="1"/>
      <c r="BO293" s="1"/>
      <c r="BP293" s="1"/>
      <c r="BQ293" s="1"/>
      <c r="BR293" s="1"/>
      <c r="BX293" s="1"/>
      <c r="CD293" s="1"/>
      <c r="CE293" s="1"/>
      <c r="CF293" s="1"/>
      <c r="CG293" s="1"/>
      <c r="CH293" s="1"/>
      <c r="CI293" s="1"/>
      <c r="CM293" s="2"/>
      <c r="CN293" s="1"/>
      <c r="CO293" s="1"/>
      <c r="CP293" s="1"/>
      <c r="CQ293" s="1"/>
      <c r="CR293" s="1"/>
      <c r="CS293" s="1"/>
      <c r="CT293" s="1"/>
      <c r="CU293" s="1"/>
      <c r="CV293" s="1"/>
      <c r="CW293" s="1"/>
      <c r="CX293" s="1"/>
      <c r="CY293" s="1"/>
      <c r="CZ293" s="1"/>
      <c r="DA293" s="1"/>
      <c r="DB293" s="1"/>
      <c r="DC293" s="1"/>
      <c r="DD293" s="1"/>
      <c r="DE293" s="1"/>
      <c r="DF293" s="1"/>
      <c r="DG293" s="1"/>
      <c r="DH293" s="1"/>
      <c r="DI293" s="1"/>
      <c r="DJ293" s="1"/>
      <c r="DK293" s="1"/>
      <c r="DM293" s="1"/>
      <c r="DQ293" s="1"/>
      <c r="DR293" s="1"/>
      <c r="DY293" s="1"/>
      <c r="DZ293" s="1"/>
      <c r="ED293" s="1"/>
      <c r="EE293" s="1"/>
      <c r="EF293" s="1"/>
      <c r="EG293" s="1"/>
      <c r="EH293" s="1"/>
      <c r="EK293" s="1"/>
      <c r="EL293" s="1"/>
      <c r="EM293" s="1"/>
      <c r="EN293" s="1"/>
      <c r="EQ293" s="1"/>
      <c r="ER293" s="1"/>
      <c r="ES293" s="1"/>
      <c r="EV293" s="1"/>
      <c r="EW293" s="1"/>
      <c r="EY293" s="1"/>
      <c r="EZ293" s="1"/>
      <c r="FA293" s="1"/>
      <c r="FD293" s="1"/>
      <c r="GD293" s="1"/>
      <c r="GE293" s="1"/>
      <c r="GF293" s="1"/>
      <c r="GG293" s="1"/>
      <c r="GH293" s="1"/>
      <c r="GI293" s="1"/>
      <c r="GO293" s="1"/>
      <c r="GP293" s="1"/>
      <c r="HF293" s="1"/>
      <c r="HH293" s="1"/>
      <c r="HN293" s="1"/>
      <c r="HT293" s="1"/>
      <c r="HY293" s="1"/>
      <c r="IE293" s="1"/>
      <c r="IF293" s="1"/>
      <c r="IG293" s="1"/>
      <c r="IJ293" s="1"/>
      <c r="IR293" s="1"/>
      <c r="IS293" s="1"/>
      <c r="IZ293" s="1"/>
      <c r="JG293" s="1"/>
      <c r="JH293" s="1"/>
      <c r="JJ293" s="1"/>
      <c r="JK293" s="1"/>
      <c r="JL293" s="3"/>
      <c r="JM293" s="1"/>
      <c r="JP293" s="1"/>
      <c r="JQ293" s="1"/>
      <c r="JR293" s="1"/>
      <c r="KU293" s="1"/>
      <c r="KV293" s="1"/>
      <c r="KY293" s="1"/>
      <c r="KZ293" s="1"/>
      <c r="LA293" s="1"/>
      <c r="LB293" s="1"/>
      <c r="LC293" s="1"/>
      <c r="LD293" s="1"/>
      <c r="LO293" s="1"/>
      <c r="LP293" s="1"/>
      <c r="LZ293" s="1"/>
      <c r="MA293" s="1"/>
    </row>
    <row r="294" spans="4:342" ht="13" x14ac:dyDescent="0.15">
      <c r="D294" s="12"/>
      <c r="E294" s="12"/>
      <c r="I294" s="12"/>
      <c r="J294" s="13"/>
      <c r="BG294" s="1"/>
      <c r="BH294" s="1"/>
      <c r="BI294" s="1"/>
      <c r="BK294" s="1"/>
      <c r="BL294" s="1"/>
      <c r="BM294" s="1"/>
      <c r="BN294" s="1"/>
      <c r="BO294" s="1"/>
      <c r="BP294" s="1"/>
      <c r="BQ294" s="1"/>
      <c r="BR294" s="1"/>
      <c r="CD294" s="1"/>
      <c r="CE294" s="1"/>
      <c r="CF294" s="1"/>
      <c r="CG294" s="1"/>
      <c r="CH294" s="1"/>
      <c r="CI294" s="1"/>
      <c r="CM294" s="4"/>
      <c r="CN294" s="1"/>
      <c r="CO294" s="1"/>
      <c r="CP294" s="1"/>
      <c r="CQ294" s="1"/>
      <c r="CX294" s="1"/>
      <c r="CY294" s="1"/>
      <c r="CZ294" s="1"/>
      <c r="DA294" s="1"/>
      <c r="DB294" s="1"/>
      <c r="DC294" s="1"/>
      <c r="DD294" s="1"/>
      <c r="DE294" s="1"/>
      <c r="DF294" s="1"/>
      <c r="DG294" s="1"/>
      <c r="DH294" s="1"/>
      <c r="DI294" s="1"/>
      <c r="DJ294" s="1"/>
      <c r="DK294" s="1"/>
      <c r="DM294" s="1"/>
      <c r="DR294" s="1"/>
      <c r="ED294" s="1"/>
      <c r="EF294" s="1"/>
      <c r="EK294" s="1"/>
      <c r="EL294" s="1"/>
      <c r="EM294" s="1"/>
      <c r="EN294" s="1"/>
      <c r="EQ294" s="1"/>
      <c r="ER294" s="1"/>
      <c r="ES294" s="1"/>
      <c r="EV294" s="1"/>
      <c r="EW294" s="1"/>
      <c r="EZ294" s="1"/>
      <c r="FA294" s="1"/>
      <c r="FD294" s="1"/>
      <c r="GD294" s="1"/>
      <c r="GE294" s="1"/>
      <c r="GF294" s="1"/>
      <c r="GG294" s="1"/>
      <c r="GH294" s="1"/>
      <c r="GI294" s="1"/>
      <c r="GJ294" s="1"/>
      <c r="GK294" s="1"/>
      <c r="GL294" s="1"/>
      <c r="GM294" s="1"/>
      <c r="GN294" s="1"/>
      <c r="GP294" s="1"/>
      <c r="GR294" s="1"/>
      <c r="GV294" s="1"/>
      <c r="GY294" s="1"/>
      <c r="HE294" s="1"/>
      <c r="HF294" s="1"/>
      <c r="HH294" s="1"/>
      <c r="HN294" s="1"/>
      <c r="HY294" s="1"/>
      <c r="IE294" s="1"/>
      <c r="IS294" s="1"/>
      <c r="IZ294" s="1"/>
      <c r="JJ294" s="1"/>
      <c r="JN294" s="1"/>
      <c r="JP294" s="1"/>
      <c r="JQ294" s="1"/>
      <c r="JT294" s="1"/>
      <c r="LZ294" s="1"/>
      <c r="MA294" s="1"/>
    </row>
    <row r="295" spans="4:342" ht="13" x14ac:dyDescent="0.15">
      <c r="D295" s="12"/>
      <c r="E295" s="12"/>
      <c r="I295" s="12"/>
      <c r="J295" s="13"/>
      <c r="BG295" s="1"/>
      <c r="BH295" s="1"/>
      <c r="BI295" s="1"/>
      <c r="BK295" s="1"/>
      <c r="BL295" s="1"/>
      <c r="BM295" s="1"/>
      <c r="BN295" s="1"/>
      <c r="BO295" s="1"/>
      <c r="BP295" s="1"/>
      <c r="BQ295" s="1"/>
      <c r="BR295" s="1"/>
      <c r="CD295" s="1"/>
      <c r="CE295" s="1"/>
      <c r="CF295" s="1"/>
      <c r="CG295" s="1"/>
      <c r="CH295" s="1"/>
      <c r="CI295" s="1"/>
      <c r="CM295" s="4"/>
      <c r="CN295" s="1"/>
      <c r="CO295" s="1"/>
      <c r="CP295" s="1"/>
      <c r="CQ295" s="1"/>
      <c r="CX295" s="1"/>
      <c r="CY295" s="1"/>
      <c r="CZ295" s="1"/>
      <c r="DA295" s="1"/>
      <c r="DB295" s="1"/>
      <c r="DC295" s="1"/>
      <c r="DD295" s="1"/>
      <c r="DE295" s="1"/>
      <c r="DF295" s="1"/>
      <c r="DG295" s="1"/>
      <c r="DH295" s="1"/>
      <c r="DI295" s="1"/>
      <c r="DJ295" s="1"/>
      <c r="DK295" s="1"/>
      <c r="DM295" s="1"/>
      <c r="DR295" s="1"/>
      <c r="ED295" s="1"/>
      <c r="EF295" s="1"/>
      <c r="EK295" s="1"/>
      <c r="EL295" s="1"/>
      <c r="EM295" s="1"/>
      <c r="EN295" s="1"/>
      <c r="EQ295" s="1"/>
      <c r="ER295" s="1"/>
      <c r="ES295" s="1"/>
      <c r="EV295" s="1"/>
      <c r="EW295" s="1"/>
      <c r="EZ295" s="1"/>
      <c r="FA295" s="1"/>
      <c r="FD295" s="1"/>
      <c r="GD295" s="1"/>
      <c r="GE295" s="1"/>
      <c r="GF295" s="1"/>
      <c r="GG295" s="1"/>
      <c r="GH295" s="1"/>
      <c r="GI295" s="1"/>
      <c r="GJ295" s="1"/>
      <c r="GK295" s="1"/>
      <c r="GL295" s="1"/>
      <c r="GM295" s="1"/>
      <c r="GN295" s="1"/>
      <c r="GP295" s="1"/>
      <c r="GR295" s="1"/>
      <c r="GV295" s="1"/>
      <c r="GY295" s="1"/>
      <c r="HE295" s="1"/>
      <c r="HF295" s="1"/>
      <c r="HH295" s="1"/>
      <c r="HN295" s="1"/>
      <c r="HY295" s="1"/>
      <c r="IE295" s="1"/>
      <c r="IS295" s="1"/>
      <c r="IZ295" s="1"/>
      <c r="JJ295" s="1"/>
      <c r="JN295" s="1"/>
      <c r="JP295" s="1"/>
      <c r="JQ295" s="1"/>
      <c r="JT295" s="1"/>
      <c r="LZ295" s="1"/>
      <c r="MA295" s="1"/>
    </row>
    <row r="296" spans="4:342" ht="13" x14ac:dyDescent="0.15">
      <c r="D296" s="12"/>
      <c r="E296" s="12"/>
      <c r="I296" s="12"/>
      <c r="J296" s="13"/>
      <c r="BG296" s="1"/>
      <c r="BH296" s="1"/>
      <c r="BI296" s="1"/>
      <c r="BK296" s="1"/>
      <c r="BL296" s="1"/>
      <c r="BM296" s="1"/>
      <c r="BN296" s="1"/>
      <c r="BO296" s="1"/>
      <c r="BP296" s="1"/>
      <c r="BQ296" s="1"/>
      <c r="BR296" s="1"/>
      <c r="CD296" s="1"/>
      <c r="CE296" s="1"/>
      <c r="CF296" s="1"/>
      <c r="CG296" s="1"/>
      <c r="CH296" s="1"/>
      <c r="CI296" s="1"/>
      <c r="CM296" s="4"/>
      <c r="CN296" s="1"/>
      <c r="CO296" s="1"/>
      <c r="CP296" s="1"/>
      <c r="CQ296" s="1"/>
      <c r="CX296" s="1"/>
      <c r="CY296" s="1"/>
      <c r="CZ296" s="1"/>
      <c r="DA296" s="1"/>
      <c r="DB296" s="1"/>
      <c r="DC296" s="1"/>
      <c r="DD296" s="1"/>
      <c r="DE296" s="1"/>
      <c r="DF296" s="1"/>
      <c r="DG296" s="1"/>
      <c r="DH296" s="1"/>
      <c r="DI296" s="1"/>
      <c r="DJ296" s="1"/>
      <c r="DK296" s="1"/>
      <c r="DM296" s="1"/>
      <c r="DR296" s="1"/>
      <c r="ED296" s="1"/>
      <c r="EF296" s="1"/>
      <c r="EK296" s="1"/>
      <c r="EL296" s="1"/>
      <c r="EM296" s="1"/>
      <c r="EN296" s="1"/>
      <c r="EQ296" s="1"/>
      <c r="ER296" s="1"/>
      <c r="ES296" s="1"/>
      <c r="EV296" s="1"/>
      <c r="EW296" s="1"/>
      <c r="EZ296" s="1"/>
      <c r="FA296" s="1"/>
      <c r="FD296" s="1"/>
      <c r="GD296" s="1"/>
      <c r="GE296" s="1"/>
      <c r="GF296" s="1"/>
      <c r="GG296" s="1"/>
      <c r="GH296" s="1"/>
      <c r="GI296" s="1"/>
      <c r="GJ296" s="1"/>
      <c r="GK296" s="1"/>
      <c r="GL296" s="1"/>
      <c r="GM296" s="1"/>
      <c r="GN296" s="1"/>
      <c r="GP296" s="1"/>
      <c r="GR296" s="1"/>
      <c r="GV296" s="1"/>
      <c r="GY296" s="1"/>
      <c r="HE296" s="1"/>
      <c r="HF296" s="1"/>
      <c r="HH296" s="1"/>
      <c r="HN296" s="1"/>
      <c r="HY296" s="1"/>
      <c r="IE296" s="1"/>
      <c r="IS296" s="1"/>
      <c r="IZ296" s="1"/>
      <c r="JJ296" s="1"/>
      <c r="JN296" s="1"/>
      <c r="JP296" s="1"/>
      <c r="JQ296" s="1"/>
      <c r="JT296" s="1"/>
      <c r="LZ296" s="1"/>
      <c r="MA296" s="1"/>
    </row>
    <row r="297" spans="4:342" ht="13" x14ac:dyDescent="0.15">
      <c r="D297" s="12"/>
      <c r="E297" s="12"/>
      <c r="I297" s="12"/>
      <c r="J297" s="13"/>
      <c r="BG297" s="1"/>
      <c r="BH297" s="1"/>
      <c r="BI297" s="1"/>
      <c r="BK297" s="1"/>
      <c r="BL297" s="1"/>
      <c r="BM297" s="1"/>
      <c r="BN297" s="1"/>
      <c r="BO297" s="1"/>
      <c r="BP297" s="1"/>
      <c r="BQ297" s="1"/>
      <c r="BR297" s="1"/>
      <c r="CD297" s="1"/>
      <c r="CE297" s="1"/>
      <c r="CF297" s="1"/>
      <c r="CG297" s="1"/>
      <c r="CH297" s="1"/>
      <c r="CI297" s="1"/>
      <c r="CM297" s="4"/>
      <c r="CN297" s="1"/>
      <c r="CO297" s="1"/>
      <c r="CP297" s="1"/>
      <c r="CQ297" s="1"/>
      <c r="CX297" s="1"/>
      <c r="CY297" s="1"/>
      <c r="CZ297" s="1"/>
      <c r="DA297" s="1"/>
      <c r="DB297" s="1"/>
      <c r="DC297" s="1"/>
      <c r="DD297" s="1"/>
      <c r="DE297" s="1"/>
      <c r="DF297" s="1"/>
      <c r="DG297" s="1"/>
      <c r="DH297" s="1"/>
      <c r="DI297" s="1"/>
      <c r="DJ297" s="1"/>
      <c r="DK297" s="1"/>
      <c r="DM297" s="1"/>
      <c r="DR297" s="1"/>
      <c r="ED297" s="1"/>
      <c r="EF297" s="1"/>
      <c r="EK297" s="1"/>
      <c r="EL297" s="1"/>
      <c r="EM297" s="1"/>
      <c r="EN297" s="1"/>
      <c r="EQ297" s="1"/>
      <c r="ER297" s="1"/>
      <c r="ES297" s="1"/>
      <c r="EV297" s="1"/>
      <c r="EW297" s="1"/>
      <c r="EZ297" s="1"/>
      <c r="FA297" s="1"/>
      <c r="FD297" s="1"/>
      <c r="GD297" s="1"/>
      <c r="GE297" s="1"/>
      <c r="GF297" s="1"/>
      <c r="GG297" s="1"/>
      <c r="GH297" s="1"/>
      <c r="GI297" s="1"/>
      <c r="GJ297" s="1"/>
      <c r="GK297" s="1"/>
      <c r="GL297" s="1"/>
      <c r="GM297" s="1"/>
      <c r="GN297" s="1"/>
      <c r="GP297" s="1"/>
      <c r="GR297" s="1"/>
      <c r="GV297" s="1"/>
      <c r="GY297" s="1"/>
      <c r="HE297" s="1"/>
      <c r="HF297" s="1"/>
      <c r="HH297" s="1"/>
      <c r="HN297" s="1"/>
      <c r="HY297" s="1"/>
      <c r="IE297" s="1"/>
      <c r="IS297" s="1"/>
      <c r="IZ297" s="1"/>
      <c r="JJ297" s="1"/>
      <c r="JN297" s="1"/>
      <c r="JP297" s="1"/>
      <c r="JQ297" s="1"/>
      <c r="JT297" s="1"/>
      <c r="LZ297" s="1"/>
      <c r="MA297" s="1"/>
    </row>
    <row r="298" spans="4:342" ht="13" x14ac:dyDescent="0.15">
      <c r="D298" s="12"/>
      <c r="E298" s="12"/>
      <c r="I298" s="12"/>
      <c r="J298" s="13"/>
      <c r="BG298" s="1"/>
      <c r="BH298" s="1"/>
      <c r="BI298" s="1"/>
      <c r="BK298" s="1"/>
      <c r="BL298" s="1"/>
      <c r="BM298" s="1"/>
      <c r="BN298" s="1"/>
      <c r="BO298" s="1"/>
      <c r="BP298" s="1"/>
      <c r="BQ298" s="1"/>
      <c r="BR298" s="1"/>
      <c r="CD298" s="1"/>
      <c r="CE298" s="1"/>
      <c r="CF298" s="1"/>
      <c r="CG298" s="1"/>
      <c r="CH298" s="1"/>
      <c r="CI298" s="1"/>
      <c r="CM298" s="4"/>
      <c r="CN298" s="1"/>
      <c r="CO298" s="1"/>
      <c r="CP298" s="1"/>
      <c r="CQ298" s="1"/>
      <c r="CX298" s="1"/>
      <c r="CY298" s="1"/>
      <c r="CZ298" s="1"/>
      <c r="DA298" s="1"/>
      <c r="DB298" s="1"/>
      <c r="DC298" s="1"/>
      <c r="DD298" s="1"/>
      <c r="DE298" s="1"/>
      <c r="DF298" s="1"/>
      <c r="DG298" s="1"/>
      <c r="DH298" s="1"/>
      <c r="DI298" s="1"/>
      <c r="DJ298" s="1"/>
      <c r="DK298" s="1"/>
      <c r="DM298" s="1"/>
      <c r="DR298" s="1"/>
      <c r="ED298" s="1"/>
      <c r="EF298" s="1"/>
      <c r="EK298" s="1"/>
      <c r="EL298" s="1"/>
      <c r="EM298" s="1"/>
      <c r="EN298" s="1"/>
      <c r="EQ298" s="1"/>
      <c r="ER298" s="1"/>
      <c r="ES298" s="1"/>
      <c r="EV298" s="1"/>
      <c r="EW298" s="1"/>
      <c r="EZ298" s="1"/>
      <c r="FA298" s="1"/>
      <c r="FD298" s="1"/>
      <c r="GD298" s="1"/>
      <c r="GE298" s="1"/>
      <c r="GF298" s="1"/>
      <c r="GG298" s="1"/>
      <c r="GH298" s="1"/>
      <c r="GI298" s="1"/>
      <c r="GJ298" s="1"/>
      <c r="GK298" s="1"/>
      <c r="GL298" s="1"/>
      <c r="GM298" s="1"/>
      <c r="GN298" s="1"/>
      <c r="GP298" s="1"/>
      <c r="GR298" s="1"/>
      <c r="GV298" s="1"/>
      <c r="GY298" s="1"/>
      <c r="HE298" s="1"/>
      <c r="HF298" s="1"/>
      <c r="HH298" s="1"/>
      <c r="HN298" s="1"/>
      <c r="HY298" s="1"/>
      <c r="IE298" s="1"/>
      <c r="IS298" s="1"/>
      <c r="IZ298" s="1"/>
      <c r="JJ298" s="1"/>
      <c r="JN298" s="1"/>
      <c r="JP298" s="1"/>
      <c r="JQ298" s="1"/>
      <c r="JT298" s="1"/>
      <c r="LZ298" s="1"/>
      <c r="MA298" s="1"/>
    </row>
    <row r="299" spans="4:342" ht="13" x14ac:dyDescent="0.15">
      <c r="D299" s="12"/>
      <c r="E299" s="12"/>
      <c r="I299" s="12"/>
      <c r="J299" s="13"/>
      <c r="BG299" s="1"/>
      <c r="BH299" s="1"/>
      <c r="BI299" s="1"/>
      <c r="BK299" s="1"/>
      <c r="BL299" s="1"/>
      <c r="BM299" s="1"/>
      <c r="BN299" s="1"/>
      <c r="BO299" s="1"/>
      <c r="BP299" s="1"/>
      <c r="BQ299" s="1"/>
      <c r="BR299" s="1"/>
      <c r="CD299" s="1"/>
      <c r="CE299" s="1"/>
      <c r="CF299" s="1"/>
      <c r="CG299" s="1"/>
      <c r="CH299" s="1"/>
      <c r="CI299" s="1"/>
      <c r="CM299" s="4"/>
      <c r="CN299" s="1"/>
      <c r="CO299" s="1"/>
      <c r="CP299" s="1"/>
      <c r="CQ299" s="1"/>
      <c r="CX299" s="1"/>
      <c r="CY299" s="1"/>
      <c r="CZ299" s="1"/>
      <c r="DA299" s="1"/>
      <c r="DB299" s="1"/>
      <c r="DC299" s="1"/>
      <c r="DD299" s="1"/>
      <c r="DE299" s="1"/>
      <c r="DF299" s="1"/>
      <c r="DG299" s="1"/>
      <c r="DH299" s="1"/>
      <c r="DI299" s="1"/>
      <c r="DJ299" s="1"/>
      <c r="DK299" s="1"/>
      <c r="DM299" s="1"/>
      <c r="DR299" s="1"/>
      <c r="ED299" s="1"/>
      <c r="EF299" s="1"/>
      <c r="EK299" s="1"/>
      <c r="EL299" s="1"/>
      <c r="EM299" s="1"/>
      <c r="EN299" s="1"/>
      <c r="EQ299" s="1"/>
      <c r="ER299" s="1"/>
      <c r="ES299" s="1"/>
      <c r="EV299" s="1"/>
      <c r="EW299" s="1"/>
      <c r="EZ299" s="1"/>
      <c r="FA299" s="1"/>
      <c r="FD299" s="1"/>
      <c r="GD299" s="1"/>
      <c r="GE299" s="1"/>
      <c r="GF299" s="1"/>
      <c r="GG299" s="1"/>
      <c r="GH299" s="1"/>
      <c r="GI299" s="1"/>
      <c r="GJ299" s="1"/>
      <c r="GK299" s="1"/>
      <c r="GL299" s="1"/>
      <c r="GM299" s="1"/>
      <c r="GN299" s="1"/>
      <c r="GP299" s="1"/>
      <c r="GR299" s="1"/>
      <c r="GV299" s="1"/>
      <c r="GY299" s="1"/>
      <c r="HE299" s="1"/>
      <c r="HF299" s="1"/>
      <c r="HH299" s="1"/>
      <c r="HN299" s="1"/>
      <c r="HY299" s="1"/>
      <c r="IE299" s="1"/>
      <c r="IS299" s="1"/>
      <c r="IZ299" s="1"/>
      <c r="JJ299" s="1"/>
      <c r="JN299" s="1"/>
      <c r="JP299" s="1"/>
      <c r="JQ299" s="1"/>
      <c r="JT299" s="1"/>
      <c r="LZ299" s="1"/>
      <c r="MA299" s="1"/>
    </row>
    <row r="300" spans="4:342" ht="13" x14ac:dyDescent="0.15">
      <c r="D300" s="12"/>
      <c r="E300" s="12"/>
      <c r="I300" s="12"/>
      <c r="J300" s="13"/>
      <c r="BF300" s="1"/>
      <c r="BG300" s="1"/>
      <c r="BH300" s="1"/>
      <c r="BI300" s="1"/>
      <c r="BK300" s="1"/>
      <c r="BL300" s="1"/>
      <c r="BM300" s="1"/>
      <c r="BN300" s="1"/>
      <c r="BO300" s="1"/>
      <c r="BP300" s="1"/>
      <c r="BQ300" s="1"/>
      <c r="BR300" s="1"/>
      <c r="CD300" s="1"/>
      <c r="CE300" s="1"/>
      <c r="CF300" s="1"/>
      <c r="CG300" s="1"/>
      <c r="CH300" s="1"/>
      <c r="CI300" s="1"/>
      <c r="CM300" s="4"/>
      <c r="CN300" s="1"/>
      <c r="CO300" s="1"/>
      <c r="CP300" s="1"/>
      <c r="CQ300" s="1"/>
      <c r="CR300" s="1"/>
      <c r="CS300" s="1"/>
      <c r="CT300" s="1"/>
      <c r="CU300" s="1"/>
      <c r="CV300" s="1"/>
      <c r="CW300" s="1"/>
      <c r="CX300" s="1"/>
      <c r="CY300" s="1"/>
      <c r="CZ300" s="1"/>
      <c r="DA300" s="1"/>
      <c r="DB300" s="1"/>
      <c r="DC300" s="1"/>
      <c r="DD300" s="1"/>
      <c r="DE300" s="1"/>
      <c r="DF300" s="1"/>
      <c r="DG300" s="1"/>
      <c r="DH300" s="1"/>
      <c r="DI300" s="1"/>
      <c r="DJ300" s="1"/>
      <c r="DK300" s="1"/>
      <c r="DM300" s="1"/>
      <c r="DR300" s="1"/>
      <c r="ED300" s="1"/>
      <c r="EF300" s="1"/>
      <c r="EK300" s="1"/>
      <c r="EL300" s="1"/>
      <c r="EM300" s="1"/>
      <c r="EN300" s="1"/>
      <c r="EQ300" s="1"/>
      <c r="ER300" s="1"/>
      <c r="ES300" s="1"/>
      <c r="EV300" s="1"/>
      <c r="EW300" s="1"/>
      <c r="EZ300" s="1"/>
      <c r="FA300" s="1"/>
      <c r="FD300" s="1"/>
      <c r="FJ300" s="1"/>
      <c r="FQ300" s="1"/>
      <c r="FS300" s="1"/>
      <c r="GA300" s="1"/>
      <c r="GD300" s="1"/>
      <c r="GE300" s="1"/>
      <c r="GF300" s="1"/>
      <c r="GG300" s="1"/>
      <c r="GH300" s="1"/>
      <c r="GI300" s="1"/>
      <c r="GJ300" s="1"/>
      <c r="GO300" s="1"/>
      <c r="GP300" s="1"/>
      <c r="HH300" s="1"/>
      <c r="HT300" s="1"/>
      <c r="HY300" s="1"/>
      <c r="IE300" s="1"/>
      <c r="IS300" s="1"/>
      <c r="IW300" s="1"/>
      <c r="IZ300" s="1"/>
      <c r="JA300" s="1"/>
      <c r="JH300" s="1"/>
      <c r="JI300" s="1"/>
      <c r="JJ300" s="1"/>
      <c r="JN300" s="1"/>
      <c r="JP300" s="1"/>
      <c r="JQ300" s="1"/>
      <c r="KU300" s="1"/>
      <c r="KY300" s="1"/>
      <c r="KZ300" s="1"/>
      <c r="LA300" s="1"/>
      <c r="LB300" s="1"/>
      <c r="LC300" s="1"/>
      <c r="LD300" s="1"/>
      <c r="LO300" s="1"/>
      <c r="LP300" s="1"/>
      <c r="LZ300" s="1"/>
      <c r="MA300" s="1"/>
    </row>
    <row r="301" spans="4:342" ht="13" x14ac:dyDescent="0.15">
      <c r="D301" s="12"/>
      <c r="E301" s="12"/>
      <c r="I301" s="12"/>
      <c r="J301" s="13"/>
      <c r="BF301" s="1"/>
      <c r="BG301" s="1"/>
      <c r="BH301" s="1"/>
      <c r="BI301" s="1"/>
      <c r="BK301" s="1"/>
      <c r="BL301" s="1"/>
      <c r="BM301" s="1"/>
      <c r="BN301" s="1"/>
      <c r="BO301" s="1"/>
      <c r="BP301" s="1"/>
      <c r="BQ301" s="1"/>
      <c r="BR301" s="1"/>
      <c r="CD301" s="1"/>
      <c r="CE301" s="1"/>
      <c r="CF301" s="1"/>
      <c r="CG301" s="1"/>
      <c r="CH301" s="1"/>
      <c r="CI301" s="1"/>
      <c r="CM301" s="4"/>
      <c r="CN301" s="1"/>
      <c r="CO301" s="1"/>
      <c r="CP301" s="1"/>
      <c r="CQ301" s="1"/>
      <c r="CR301" s="1"/>
      <c r="CS301" s="1"/>
      <c r="CT301" s="1"/>
      <c r="CU301" s="1"/>
      <c r="CV301" s="1"/>
      <c r="CW301" s="1"/>
      <c r="CX301" s="1"/>
      <c r="CY301" s="1"/>
      <c r="CZ301" s="1"/>
      <c r="DA301" s="1"/>
      <c r="DB301" s="1"/>
      <c r="DC301" s="1"/>
      <c r="DD301" s="1"/>
      <c r="DE301" s="1"/>
      <c r="DF301" s="1"/>
      <c r="DG301" s="1"/>
      <c r="DH301" s="1"/>
      <c r="DI301" s="1"/>
      <c r="DJ301" s="1"/>
      <c r="DK301" s="1"/>
      <c r="DM301" s="1"/>
      <c r="DR301" s="1"/>
      <c r="ED301" s="1"/>
      <c r="EF301" s="1"/>
      <c r="EK301" s="1"/>
      <c r="EL301" s="1"/>
      <c r="EM301" s="1"/>
      <c r="EN301" s="1"/>
      <c r="EQ301" s="1"/>
      <c r="ER301" s="1"/>
      <c r="ES301" s="1"/>
      <c r="EV301" s="1"/>
      <c r="EW301" s="1"/>
      <c r="EZ301" s="1"/>
      <c r="FA301" s="1"/>
      <c r="FD301" s="1"/>
      <c r="FJ301" s="1"/>
      <c r="FQ301" s="1"/>
      <c r="FS301" s="1"/>
      <c r="GA301" s="1"/>
      <c r="GD301" s="1"/>
      <c r="GE301" s="1"/>
      <c r="GF301" s="1"/>
      <c r="GG301" s="1"/>
      <c r="GH301" s="1"/>
      <c r="GI301" s="1"/>
      <c r="GJ301" s="1"/>
      <c r="GO301" s="1"/>
      <c r="GP301" s="1"/>
      <c r="HH301" s="1"/>
      <c r="HT301" s="1"/>
      <c r="HY301" s="1"/>
      <c r="IE301" s="1"/>
      <c r="IS301" s="1"/>
      <c r="IW301" s="1"/>
      <c r="IZ301" s="1"/>
      <c r="JA301" s="1"/>
      <c r="JH301" s="1"/>
      <c r="JI301" s="1"/>
      <c r="JJ301" s="1"/>
      <c r="JN301" s="1"/>
      <c r="JP301" s="1"/>
      <c r="JQ301" s="1"/>
      <c r="KU301" s="1"/>
      <c r="KY301" s="1"/>
      <c r="KZ301" s="1"/>
      <c r="LA301" s="1"/>
      <c r="LB301" s="1"/>
      <c r="LC301" s="1"/>
      <c r="LD301" s="1"/>
      <c r="LO301" s="1"/>
      <c r="LP301" s="1"/>
      <c r="LZ301" s="1"/>
      <c r="MA301" s="1"/>
    </row>
    <row r="302" spans="4:342" ht="13" x14ac:dyDescent="0.15">
      <c r="D302" s="12"/>
      <c r="E302" s="12"/>
      <c r="I302" s="12"/>
      <c r="J302" s="13"/>
      <c r="BF302" s="1"/>
      <c r="BG302" s="1"/>
      <c r="BH302" s="1"/>
      <c r="BI302" s="1"/>
      <c r="BK302" s="1"/>
      <c r="BL302" s="1"/>
      <c r="BM302" s="1"/>
      <c r="BN302" s="1"/>
      <c r="BO302" s="1"/>
      <c r="BP302" s="1"/>
      <c r="BQ302" s="1"/>
      <c r="BR302" s="1"/>
      <c r="CD302" s="1"/>
      <c r="CE302" s="1"/>
      <c r="CF302" s="1"/>
      <c r="CG302" s="1"/>
      <c r="CH302" s="1"/>
      <c r="CI302" s="1"/>
      <c r="CM302" s="4"/>
      <c r="CN302" s="1"/>
      <c r="CO302" s="1"/>
      <c r="CP302" s="1"/>
      <c r="CQ302" s="1"/>
      <c r="CR302" s="1"/>
      <c r="CS302" s="1"/>
      <c r="CT302" s="1"/>
      <c r="CU302" s="1"/>
      <c r="CV302" s="1"/>
      <c r="CW302" s="1"/>
      <c r="CX302" s="1"/>
      <c r="CY302" s="1"/>
      <c r="CZ302" s="1"/>
      <c r="DA302" s="1"/>
      <c r="DB302" s="1"/>
      <c r="DC302" s="1"/>
      <c r="DD302" s="1"/>
      <c r="DE302" s="1"/>
      <c r="DF302" s="1"/>
      <c r="DG302" s="1"/>
      <c r="DH302" s="1"/>
      <c r="DI302" s="1"/>
      <c r="DJ302" s="1"/>
      <c r="DK302" s="1"/>
      <c r="DM302" s="1"/>
      <c r="DR302" s="1"/>
      <c r="ED302" s="1"/>
      <c r="EF302" s="1"/>
      <c r="EK302" s="1"/>
      <c r="EL302" s="1"/>
      <c r="EM302" s="1"/>
      <c r="EN302" s="1"/>
      <c r="EQ302" s="1"/>
      <c r="ER302" s="1"/>
      <c r="ES302" s="1"/>
      <c r="EV302" s="1"/>
      <c r="EW302" s="1"/>
      <c r="EZ302" s="1"/>
      <c r="FA302" s="1"/>
      <c r="FD302" s="1"/>
      <c r="FJ302" s="1"/>
      <c r="FQ302" s="1"/>
      <c r="FS302" s="1"/>
      <c r="GA302" s="1"/>
      <c r="GD302" s="1"/>
      <c r="GE302" s="1"/>
      <c r="GF302" s="1"/>
      <c r="GG302" s="1"/>
      <c r="GH302" s="1"/>
      <c r="GI302" s="1"/>
      <c r="GJ302" s="1"/>
      <c r="GO302" s="1"/>
      <c r="GP302" s="1"/>
      <c r="HH302" s="1"/>
      <c r="HT302" s="1"/>
      <c r="HY302" s="1"/>
      <c r="IE302" s="1"/>
      <c r="IS302" s="1"/>
      <c r="IW302" s="1"/>
      <c r="IZ302" s="1"/>
      <c r="JA302" s="1"/>
      <c r="JH302" s="1"/>
      <c r="JI302" s="1"/>
      <c r="JJ302" s="1"/>
      <c r="JN302" s="1"/>
      <c r="JP302" s="1"/>
      <c r="JQ302" s="1"/>
      <c r="KU302" s="1"/>
      <c r="KY302" s="1"/>
      <c r="KZ302" s="1"/>
      <c r="LA302" s="1"/>
      <c r="LB302" s="1"/>
      <c r="LC302" s="1"/>
      <c r="LD302" s="1"/>
      <c r="LO302" s="1"/>
      <c r="LP302" s="1"/>
      <c r="LZ302" s="1"/>
      <c r="MA302" s="1"/>
    </row>
    <row r="303" spans="4:342" ht="13" x14ac:dyDescent="0.15">
      <c r="D303" s="12"/>
      <c r="E303" s="12"/>
      <c r="I303" s="12"/>
      <c r="J303" s="13"/>
      <c r="BF303" s="1"/>
      <c r="BG303" s="1"/>
      <c r="BH303" s="1"/>
      <c r="BI303" s="1"/>
      <c r="BK303" s="1"/>
      <c r="BL303" s="1"/>
      <c r="BM303" s="1"/>
      <c r="BN303" s="1"/>
      <c r="BO303" s="1"/>
      <c r="BP303" s="1"/>
      <c r="BQ303" s="1"/>
      <c r="BR303" s="1"/>
      <c r="CD303" s="1"/>
      <c r="CE303" s="1"/>
      <c r="CF303" s="1"/>
      <c r="CG303" s="1"/>
      <c r="CH303" s="1"/>
      <c r="CI303" s="1"/>
      <c r="CM303" s="4"/>
      <c r="CN303" s="1"/>
      <c r="CO303" s="1"/>
      <c r="CP303" s="1"/>
      <c r="CQ303" s="1"/>
      <c r="CR303" s="1"/>
      <c r="CS303" s="1"/>
      <c r="CT303" s="1"/>
      <c r="CU303" s="1"/>
      <c r="CV303" s="1"/>
      <c r="CW303" s="1"/>
      <c r="CX303" s="1"/>
      <c r="CY303" s="1"/>
      <c r="CZ303" s="1"/>
      <c r="DA303" s="1"/>
      <c r="DB303" s="1"/>
      <c r="DC303" s="1"/>
      <c r="DD303" s="1"/>
      <c r="DE303" s="1"/>
      <c r="DF303" s="1"/>
      <c r="DG303" s="1"/>
      <c r="DH303" s="1"/>
      <c r="DI303" s="1"/>
      <c r="DJ303" s="1"/>
      <c r="DK303" s="1"/>
      <c r="DM303" s="1"/>
      <c r="DR303" s="1"/>
      <c r="ED303" s="1"/>
      <c r="EF303" s="1"/>
      <c r="EK303" s="1"/>
      <c r="EL303" s="1"/>
      <c r="EM303" s="1"/>
      <c r="EN303" s="1"/>
      <c r="EQ303" s="1"/>
      <c r="ER303" s="1"/>
      <c r="ES303" s="1"/>
      <c r="EV303" s="1"/>
      <c r="EW303" s="1"/>
      <c r="EZ303" s="1"/>
      <c r="FA303" s="1"/>
      <c r="FD303" s="1"/>
      <c r="FJ303" s="1"/>
      <c r="FQ303" s="1"/>
      <c r="FS303" s="1"/>
      <c r="GA303" s="1"/>
      <c r="GD303" s="1"/>
      <c r="GE303" s="1"/>
      <c r="GF303" s="1"/>
      <c r="GG303" s="1"/>
      <c r="GH303" s="1"/>
      <c r="GI303" s="1"/>
      <c r="GJ303" s="1"/>
      <c r="GO303" s="1"/>
      <c r="GP303" s="1"/>
      <c r="HH303" s="1"/>
      <c r="HT303" s="1"/>
      <c r="HY303" s="1"/>
      <c r="IE303" s="1"/>
      <c r="IS303" s="1"/>
      <c r="IW303" s="1"/>
      <c r="IZ303" s="1"/>
      <c r="JA303" s="1"/>
      <c r="JH303" s="1"/>
      <c r="JI303" s="1"/>
      <c r="JJ303" s="1"/>
      <c r="JN303" s="1"/>
      <c r="JP303" s="1"/>
      <c r="JQ303" s="1"/>
      <c r="KU303" s="1"/>
      <c r="KY303" s="1"/>
      <c r="KZ303" s="1"/>
      <c r="LA303" s="1"/>
      <c r="LB303" s="1"/>
      <c r="LC303" s="1"/>
      <c r="LD303" s="1"/>
      <c r="LO303" s="1"/>
      <c r="LP303" s="1"/>
      <c r="LZ303" s="1"/>
      <c r="MA303" s="1"/>
    </row>
    <row r="304" spans="4:342" ht="13" x14ac:dyDescent="0.15">
      <c r="D304" s="12"/>
      <c r="E304" s="12"/>
      <c r="I304" s="12"/>
      <c r="J304" s="13"/>
      <c r="BF304" s="1"/>
      <c r="BG304" s="1"/>
      <c r="BH304" s="1"/>
      <c r="BI304" s="1"/>
      <c r="BK304" s="1"/>
      <c r="BL304" s="1"/>
      <c r="BM304" s="1"/>
      <c r="BN304" s="1"/>
      <c r="BO304" s="1"/>
      <c r="BP304" s="1"/>
      <c r="BQ304" s="1"/>
      <c r="BR304" s="1"/>
      <c r="CD304" s="1"/>
      <c r="CE304" s="1"/>
      <c r="CF304" s="1"/>
      <c r="CG304" s="1"/>
      <c r="CH304" s="1"/>
      <c r="CI304" s="1"/>
      <c r="CM304" s="2"/>
      <c r="CN304" s="1"/>
      <c r="CO304" s="1"/>
      <c r="CP304" s="1"/>
      <c r="CQ304" s="1"/>
      <c r="CS304" s="1"/>
      <c r="CT304" s="1"/>
      <c r="CU304" s="1"/>
      <c r="CV304" s="1"/>
      <c r="CW304" s="1"/>
      <c r="CX304" s="1"/>
      <c r="CY304" s="1"/>
      <c r="CZ304" s="1"/>
      <c r="DA304" s="1"/>
      <c r="DB304" s="1"/>
      <c r="DC304" s="1"/>
      <c r="DD304" s="1"/>
      <c r="DE304" s="1"/>
      <c r="DF304" s="1"/>
      <c r="DG304" s="1"/>
      <c r="DH304" s="1"/>
      <c r="DI304" s="1"/>
      <c r="DJ304" s="1"/>
      <c r="DK304" s="1"/>
      <c r="DM304" s="1"/>
      <c r="DR304" s="1"/>
      <c r="ED304" s="1"/>
      <c r="EF304" s="1"/>
      <c r="EK304" s="1"/>
      <c r="EL304" s="1"/>
      <c r="EM304" s="1"/>
      <c r="EN304" s="1"/>
      <c r="EQ304" s="1"/>
      <c r="ER304" s="1"/>
      <c r="ES304" s="1"/>
      <c r="EV304" s="1"/>
      <c r="EW304" s="1"/>
      <c r="EZ304" s="1"/>
      <c r="FA304" s="1"/>
      <c r="FD304" s="1"/>
      <c r="FH304" s="1"/>
      <c r="FJ304" s="1"/>
      <c r="FP304" s="1"/>
      <c r="FQ304" s="1"/>
      <c r="FS304" s="1"/>
      <c r="FV304" s="1"/>
      <c r="FW304" s="1"/>
      <c r="FX304" s="1"/>
      <c r="FY304" s="1"/>
      <c r="FZ304" s="1"/>
      <c r="GA304" s="1"/>
      <c r="GD304" s="1"/>
      <c r="GE304" s="1"/>
      <c r="GF304" s="1"/>
      <c r="GG304" s="1"/>
      <c r="GH304" s="1"/>
      <c r="GI304" s="1"/>
      <c r="GJ304" s="1"/>
      <c r="GK304" s="1"/>
      <c r="GL304" s="1"/>
      <c r="GM304" s="1"/>
      <c r="GN304" s="1"/>
      <c r="GP304" s="1"/>
      <c r="GR304" s="1"/>
      <c r="GV304" s="1"/>
      <c r="GY304" s="1"/>
      <c r="HF304" s="1"/>
      <c r="HH304" s="1"/>
      <c r="HN304" s="1"/>
      <c r="HT304" s="1"/>
      <c r="HY304" s="1"/>
      <c r="IC304" s="1"/>
      <c r="IE304" s="1"/>
      <c r="IG304" s="1"/>
      <c r="IH304" s="1"/>
      <c r="IJ304" s="1"/>
      <c r="IR304" s="1"/>
      <c r="IS304" s="1"/>
      <c r="IW304" s="1"/>
      <c r="IX304" s="1"/>
      <c r="IY304" s="1"/>
      <c r="IZ304" s="1"/>
      <c r="JB304" s="1"/>
      <c r="JC304" s="1"/>
      <c r="JF304" s="1"/>
      <c r="JG304" s="1"/>
      <c r="JH304" s="1"/>
      <c r="JJ304" s="1"/>
      <c r="JK304" s="1"/>
      <c r="JL304" s="3"/>
      <c r="JM304" s="1"/>
      <c r="JN304" s="1"/>
      <c r="JP304" s="1"/>
      <c r="JQ304" s="1"/>
      <c r="JR304" s="1"/>
      <c r="JT304" s="1"/>
      <c r="KU304" s="1"/>
      <c r="KY304" s="1"/>
      <c r="KZ304" s="1"/>
      <c r="LA304" s="1"/>
      <c r="LB304" s="1"/>
      <c r="LC304" s="1"/>
      <c r="LD304" s="1"/>
      <c r="LF304" s="1"/>
      <c r="LO304" s="1"/>
      <c r="LP304" s="1"/>
      <c r="LZ304" s="1"/>
      <c r="MA304" s="1"/>
    </row>
    <row r="305" spans="4:339" ht="13" x14ac:dyDescent="0.15">
      <c r="D305" s="12"/>
      <c r="E305" s="12"/>
      <c r="I305" s="12"/>
      <c r="J305" s="13"/>
      <c r="BF305" s="1"/>
      <c r="BG305" s="1"/>
      <c r="BH305" s="1"/>
      <c r="BI305" s="1"/>
      <c r="BK305" s="1"/>
      <c r="BL305" s="1"/>
      <c r="BM305" s="1"/>
      <c r="BN305" s="1"/>
      <c r="BO305" s="1"/>
      <c r="BP305" s="1"/>
      <c r="BQ305" s="1"/>
      <c r="BR305" s="1"/>
      <c r="CD305" s="1"/>
      <c r="CE305" s="1"/>
      <c r="CF305" s="1"/>
      <c r="CG305" s="1"/>
      <c r="CH305" s="1"/>
      <c r="CI305" s="1"/>
      <c r="CM305" s="2"/>
      <c r="CN305" s="1"/>
      <c r="CO305" s="1"/>
      <c r="CP305" s="1"/>
      <c r="CQ305" s="1"/>
      <c r="CS305" s="1"/>
      <c r="CT305" s="1"/>
      <c r="CU305" s="1"/>
      <c r="CV305" s="1"/>
      <c r="CW305" s="1"/>
      <c r="CX305" s="1"/>
      <c r="CY305" s="1"/>
      <c r="CZ305" s="1"/>
      <c r="DA305" s="1"/>
      <c r="DB305" s="1"/>
      <c r="DC305" s="1"/>
      <c r="DD305" s="1"/>
      <c r="DE305" s="1"/>
      <c r="DF305" s="1"/>
      <c r="DG305" s="1"/>
      <c r="DH305" s="1"/>
      <c r="DI305" s="1"/>
      <c r="DJ305" s="1"/>
      <c r="DK305" s="1"/>
      <c r="DM305" s="1"/>
      <c r="DR305" s="1"/>
      <c r="ED305" s="1"/>
      <c r="EF305" s="1"/>
      <c r="EK305" s="1"/>
      <c r="EL305" s="1"/>
      <c r="EM305" s="1"/>
      <c r="EN305" s="1"/>
      <c r="EQ305" s="1"/>
      <c r="ER305" s="1"/>
      <c r="ES305" s="1"/>
      <c r="EV305" s="1"/>
      <c r="EW305" s="1"/>
      <c r="EZ305" s="1"/>
      <c r="FA305" s="1"/>
      <c r="FD305" s="1"/>
      <c r="FH305" s="1"/>
      <c r="FJ305" s="1"/>
      <c r="FP305" s="1"/>
      <c r="FQ305" s="1"/>
      <c r="FS305" s="1"/>
      <c r="FV305" s="1"/>
      <c r="FW305" s="1"/>
      <c r="FX305" s="1"/>
      <c r="FY305" s="1"/>
      <c r="FZ305" s="1"/>
      <c r="GA305" s="1"/>
      <c r="GD305" s="1"/>
      <c r="GE305" s="1"/>
      <c r="GF305" s="1"/>
      <c r="GG305" s="1"/>
      <c r="GH305" s="1"/>
      <c r="GI305" s="1"/>
      <c r="GJ305" s="1"/>
      <c r="GK305" s="1"/>
      <c r="GL305" s="1"/>
      <c r="GM305" s="1"/>
      <c r="GN305" s="1"/>
      <c r="GP305" s="1"/>
      <c r="GR305" s="1"/>
      <c r="GV305" s="1"/>
      <c r="GY305" s="1"/>
      <c r="HF305" s="1"/>
      <c r="HH305" s="1"/>
      <c r="HN305" s="1"/>
      <c r="HT305" s="1"/>
      <c r="HY305" s="1"/>
      <c r="IC305" s="1"/>
      <c r="IE305" s="1"/>
      <c r="IG305" s="1"/>
      <c r="IH305" s="1"/>
      <c r="IJ305" s="1"/>
      <c r="IR305" s="1"/>
      <c r="IS305" s="1"/>
      <c r="IW305" s="1"/>
      <c r="IX305" s="1"/>
      <c r="IY305" s="1"/>
      <c r="IZ305" s="1"/>
      <c r="JB305" s="1"/>
      <c r="JC305" s="1"/>
      <c r="JF305" s="1"/>
      <c r="JG305" s="1"/>
      <c r="JH305" s="1"/>
      <c r="JJ305" s="1"/>
      <c r="JK305" s="1"/>
      <c r="JL305" s="3"/>
      <c r="JM305" s="1"/>
      <c r="JN305" s="1"/>
      <c r="JP305" s="1"/>
      <c r="JQ305" s="1"/>
      <c r="JR305" s="1"/>
      <c r="JT305" s="1"/>
      <c r="KU305" s="1"/>
      <c r="KY305" s="1"/>
      <c r="KZ305" s="1"/>
      <c r="LA305" s="1"/>
      <c r="LB305" s="1"/>
      <c r="LC305" s="1"/>
      <c r="LD305" s="1"/>
      <c r="LF305" s="1"/>
      <c r="LO305" s="1"/>
      <c r="LP305" s="1"/>
      <c r="LZ305" s="1"/>
      <c r="MA305" s="1"/>
    </row>
    <row r="306" spans="4:339" ht="13" x14ac:dyDescent="0.15">
      <c r="D306" s="12"/>
      <c r="E306" s="12"/>
      <c r="I306" s="12"/>
      <c r="J306" s="13"/>
      <c r="BF306" s="1"/>
      <c r="BG306" s="1"/>
      <c r="BH306" s="1"/>
      <c r="BI306" s="1"/>
      <c r="BK306" s="1"/>
      <c r="BL306" s="1"/>
      <c r="BM306" s="1"/>
      <c r="BN306" s="1"/>
      <c r="BO306" s="1"/>
      <c r="BP306" s="1"/>
      <c r="BQ306" s="1"/>
      <c r="BR306" s="1"/>
      <c r="CD306" s="1"/>
      <c r="CE306" s="1"/>
      <c r="CF306" s="1"/>
      <c r="CG306" s="1"/>
      <c r="CH306" s="1"/>
      <c r="CI306" s="1"/>
      <c r="CM306" s="2"/>
      <c r="CN306" s="1"/>
      <c r="CO306" s="1"/>
      <c r="CP306" s="1"/>
      <c r="CQ306" s="1"/>
      <c r="CS306" s="1"/>
      <c r="CT306" s="1"/>
      <c r="CU306" s="1"/>
      <c r="CV306" s="1"/>
      <c r="CW306" s="1"/>
      <c r="CX306" s="1"/>
      <c r="CY306" s="1"/>
      <c r="CZ306" s="1"/>
      <c r="DA306" s="1"/>
      <c r="DB306" s="1"/>
      <c r="DC306" s="1"/>
      <c r="DD306" s="1"/>
      <c r="DE306" s="1"/>
      <c r="DF306" s="1"/>
      <c r="DG306" s="1"/>
      <c r="DH306" s="1"/>
      <c r="DI306" s="1"/>
      <c r="DJ306" s="1"/>
      <c r="DK306" s="1"/>
      <c r="DM306" s="1"/>
      <c r="DR306" s="1"/>
      <c r="ED306" s="1"/>
      <c r="EF306" s="1"/>
      <c r="EK306" s="1"/>
      <c r="EL306" s="1"/>
      <c r="EM306" s="1"/>
      <c r="EN306" s="1"/>
      <c r="EQ306" s="1"/>
      <c r="ER306" s="1"/>
      <c r="ES306" s="1"/>
      <c r="EV306" s="1"/>
      <c r="EW306" s="1"/>
      <c r="EZ306" s="1"/>
      <c r="FA306" s="1"/>
      <c r="FD306" s="1"/>
      <c r="FH306" s="1"/>
      <c r="FJ306" s="1"/>
      <c r="FP306" s="1"/>
      <c r="FQ306" s="1"/>
      <c r="FS306" s="1"/>
      <c r="FV306" s="1"/>
      <c r="FW306" s="1"/>
      <c r="FX306" s="1"/>
      <c r="FY306" s="1"/>
      <c r="FZ306" s="1"/>
      <c r="GA306" s="1"/>
      <c r="GD306" s="1"/>
      <c r="GE306" s="1"/>
      <c r="GF306" s="1"/>
      <c r="GG306" s="1"/>
      <c r="GH306" s="1"/>
      <c r="GI306" s="1"/>
      <c r="GJ306" s="1"/>
      <c r="GK306" s="1"/>
      <c r="GL306" s="1"/>
      <c r="GM306" s="1"/>
      <c r="GN306" s="1"/>
      <c r="GP306" s="1"/>
      <c r="GR306" s="1"/>
      <c r="GV306" s="1"/>
      <c r="GY306" s="1"/>
      <c r="HF306" s="1"/>
      <c r="HH306" s="1"/>
      <c r="HN306" s="1"/>
      <c r="HT306" s="1"/>
      <c r="HY306" s="1"/>
      <c r="IC306" s="1"/>
      <c r="IE306" s="1"/>
      <c r="IG306" s="1"/>
      <c r="IH306" s="1"/>
      <c r="IJ306" s="1"/>
      <c r="IR306" s="1"/>
      <c r="IS306" s="1"/>
      <c r="IW306" s="1"/>
      <c r="IX306" s="1"/>
      <c r="IY306" s="1"/>
      <c r="IZ306" s="1"/>
      <c r="JB306" s="1"/>
      <c r="JC306" s="1"/>
      <c r="JF306" s="1"/>
      <c r="JG306" s="1"/>
      <c r="JH306" s="1"/>
      <c r="JJ306" s="1"/>
      <c r="JK306" s="1"/>
      <c r="JL306" s="3"/>
      <c r="JM306" s="1"/>
      <c r="JN306" s="1"/>
      <c r="JP306" s="1"/>
      <c r="JQ306" s="1"/>
      <c r="JR306" s="1"/>
      <c r="JT306" s="1"/>
      <c r="KU306" s="1"/>
      <c r="KY306" s="1"/>
      <c r="KZ306" s="1"/>
      <c r="LA306" s="1"/>
      <c r="LB306" s="1"/>
      <c r="LC306" s="1"/>
      <c r="LD306" s="1"/>
      <c r="LF306" s="1"/>
      <c r="LO306" s="1"/>
      <c r="LP306" s="1"/>
      <c r="LZ306" s="1"/>
      <c r="MA306" s="1"/>
    </row>
    <row r="307" spans="4:339" ht="13" x14ac:dyDescent="0.15">
      <c r="D307" s="12"/>
      <c r="E307" s="12"/>
      <c r="I307" s="12"/>
      <c r="J307" s="13"/>
      <c r="BF307" s="1"/>
      <c r="BG307" s="1"/>
      <c r="BH307" s="1"/>
      <c r="BI307" s="1"/>
      <c r="BK307" s="1"/>
      <c r="BL307" s="1"/>
      <c r="BM307" s="1"/>
      <c r="BN307" s="1"/>
      <c r="BO307" s="1"/>
      <c r="BP307" s="1"/>
      <c r="BQ307" s="1"/>
      <c r="BR307" s="1"/>
      <c r="BX307" s="1"/>
      <c r="CD307" s="1"/>
      <c r="CE307" s="1"/>
      <c r="CF307" s="1"/>
      <c r="CG307" s="1"/>
      <c r="CH307" s="1"/>
      <c r="CI307" s="1"/>
      <c r="CK307" s="1"/>
      <c r="CM307" s="2"/>
      <c r="CN307" s="1"/>
      <c r="CO307" s="1"/>
      <c r="CP307" s="1"/>
      <c r="CQ307" s="1"/>
      <c r="CS307" s="1"/>
      <c r="CT307" s="1"/>
      <c r="CU307" s="1"/>
      <c r="CV307" s="1"/>
      <c r="CW307" s="1"/>
      <c r="CX307" s="1"/>
      <c r="CY307" s="1"/>
      <c r="CZ307" s="1"/>
      <c r="DA307" s="1"/>
      <c r="DB307" s="1"/>
      <c r="DC307" s="1"/>
      <c r="DD307" s="1"/>
      <c r="DE307" s="1"/>
      <c r="DF307" s="1"/>
      <c r="DG307" s="1"/>
      <c r="DH307" s="1"/>
      <c r="DI307" s="1"/>
      <c r="DJ307" s="1"/>
      <c r="DK307" s="1"/>
      <c r="DM307" s="1"/>
      <c r="DQ307" s="1"/>
      <c r="DR307" s="1"/>
      <c r="DY307" s="1"/>
      <c r="DZ307" s="1"/>
      <c r="ED307" s="1"/>
      <c r="EF307" s="1"/>
      <c r="EK307" s="1"/>
      <c r="EL307" s="1"/>
      <c r="EM307" s="1"/>
      <c r="EN307" s="1"/>
      <c r="EQ307" s="1"/>
      <c r="ER307" s="1"/>
      <c r="ES307" s="1"/>
      <c r="EV307" s="1"/>
      <c r="EW307" s="1"/>
      <c r="EZ307" s="1"/>
      <c r="FA307" s="1"/>
      <c r="FD307" s="1"/>
      <c r="FE307" s="1"/>
      <c r="FF307" s="1"/>
      <c r="FG307" s="1"/>
      <c r="FH307" s="1"/>
      <c r="FI307" s="1"/>
      <c r="FJ307" s="1"/>
      <c r="FM307" s="1"/>
      <c r="FN307" s="1"/>
      <c r="FO307" s="1"/>
      <c r="FP307" s="1"/>
      <c r="FQ307" s="1"/>
      <c r="FR307" s="1"/>
      <c r="FS307" s="1"/>
      <c r="FT307" s="1"/>
      <c r="FU307" s="1"/>
      <c r="FV307" s="1"/>
      <c r="FW307" s="1"/>
      <c r="FX307" s="1"/>
      <c r="FY307" s="1"/>
      <c r="FZ307" s="1"/>
      <c r="GA307" s="1"/>
      <c r="GD307" s="1"/>
      <c r="GE307" s="1"/>
      <c r="GF307" s="1"/>
      <c r="GG307" s="1"/>
      <c r="GH307" s="1"/>
      <c r="GI307" s="1"/>
      <c r="GJ307" s="1"/>
      <c r="GK307" s="1"/>
      <c r="GL307" s="1"/>
      <c r="GM307" s="1"/>
      <c r="GN307" s="1"/>
      <c r="GP307" s="1"/>
      <c r="GR307" s="1"/>
      <c r="GY307" s="1"/>
      <c r="HF307" s="1"/>
      <c r="HH307" s="1"/>
      <c r="HN307" s="1"/>
      <c r="HR307" s="1"/>
      <c r="HS307" s="1"/>
      <c r="HT307" s="1"/>
      <c r="HY307" s="1"/>
      <c r="IE307" s="1"/>
      <c r="IG307" s="1"/>
      <c r="IR307" s="1"/>
      <c r="IS307" s="1"/>
      <c r="IY307" s="1"/>
      <c r="IZ307" s="1"/>
      <c r="JC307" s="1"/>
      <c r="JF307" s="1"/>
      <c r="JG307" s="1"/>
      <c r="JI307" s="1"/>
      <c r="JJ307" s="1"/>
      <c r="JK307" s="1"/>
      <c r="JL307" s="3"/>
      <c r="JM307" s="1"/>
      <c r="JP307" s="1"/>
      <c r="JQ307" s="1"/>
      <c r="JR307" s="1"/>
      <c r="JT307" s="1"/>
      <c r="KU307" s="1"/>
      <c r="KW307" s="1"/>
      <c r="KY307" s="1"/>
      <c r="KZ307" s="1"/>
      <c r="LA307" s="1"/>
      <c r="LB307" s="1"/>
      <c r="LC307" s="1"/>
      <c r="LD307" s="1"/>
      <c r="LF307" s="1"/>
      <c r="LN307" s="1"/>
      <c r="LO307" s="1"/>
      <c r="LP307" s="1"/>
      <c r="LZ307" s="1"/>
      <c r="MA307" s="1"/>
    </row>
    <row r="308" spans="4:339" ht="13" x14ac:dyDescent="0.15">
      <c r="D308" s="12"/>
      <c r="E308" s="12"/>
      <c r="I308" s="12"/>
      <c r="J308" s="13"/>
      <c r="BF308" s="1"/>
      <c r="BG308" s="1"/>
      <c r="BH308" s="1"/>
      <c r="BI308" s="1"/>
      <c r="BK308" s="1"/>
      <c r="BL308" s="1"/>
      <c r="BM308" s="1"/>
      <c r="BN308" s="1"/>
      <c r="BP308" s="1"/>
      <c r="BQ308" s="1"/>
      <c r="BR308" s="1"/>
      <c r="BX308" s="1"/>
      <c r="CD308" s="1"/>
      <c r="CE308" s="1"/>
      <c r="CF308" s="1"/>
      <c r="CG308" s="1"/>
      <c r="CH308" s="1"/>
      <c r="CI308" s="1"/>
      <c r="CM308" s="2"/>
      <c r="CN308" s="1"/>
      <c r="CO308" s="1"/>
      <c r="CP308" s="1"/>
      <c r="CQ308" s="1"/>
      <c r="CR308" s="1"/>
      <c r="CS308" s="1"/>
      <c r="CT308" s="1"/>
      <c r="CU308" s="1"/>
      <c r="CV308" s="1"/>
      <c r="CW308" s="1"/>
      <c r="CX308" s="1"/>
      <c r="CY308" s="1"/>
      <c r="CZ308" s="1"/>
      <c r="DA308" s="1"/>
      <c r="DB308" s="1"/>
      <c r="DC308" s="1"/>
      <c r="DD308" s="1"/>
      <c r="DE308" s="1"/>
      <c r="DF308" s="1"/>
      <c r="DG308" s="1"/>
      <c r="DH308" s="1"/>
      <c r="DI308" s="1"/>
      <c r="DJ308" s="1"/>
      <c r="DK308" s="1"/>
      <c r="DM308" s="1"/>
      <c r="DQ308" s="1"/>
      <c r="DR308" s="1"/>
      <c r="DY308" s="1"/>
      <c r="DZ308" s="1"/>
      <c r="ED308" s="1"/>
      <c r="EF308" s="1"/>
      <c r="EK308" s="1"/>
      <c r="EL308" s="1"/>
      <c r="EM308" s="1"/>
      <c r="EN308" s="1"/>
      <c r="EQ308" s="1"/>
      <c r="ER308" s="1"/>
      <c r="ES308" s="1"/>
      <c r="EV308" s="1"/>
      <c r="EW308" s="1"/>
      <c r="EZ308" s="1"/>
      <c r="FA308" s="1"/>
      <c r="FD308" s="1"/>
      <c r="FG308" s="1"/>
      <c r="FH308" s="1"/>
      <c r="FI308" s="1"/>
      <c r="FJ308" s="1"/>
      <c r="FK308" s="1"/>
      <c r="FL308" s="1"/>
      <c r="FM308" s="1"/>
      <c r="FN308" s="1"/>
      <c r="FO308" s="1"/>
      <c r="FP308" s="1"/>
      <c r="FQ308" s="1"/>
      <c r="FR308" s="1"/>
      <c r="FS308" s="1"/>
      <c r="FU308" s="1"/>
      <c r="FV308" s="1"/>
      <c r="FW308" s="1"/>
      <c r="FX308" s="1"/>
      <c r="FY308" s="1"/>
      <c r="FZ308" s="1"/>
      <c r="GA308" s="1"/>
      <c r="GB308" s="1"/>
      <c r="GD308" s="1"/>
      <c r="GE308" s="1"/>
      <c r="GF308" s="1"/>
      <c r="GG308" s="1"/>
      <c r="GH308" s="1"/>
      <c r="GI308" s="1"/>
      <c r="GJ308" s="1"/>
      <c r="GK308" s="1"/>
      <c r="GL308" s="1"/>
      <c r="GM308" s="1"/>
      <c r="GN308" s="1"/>
      <c r="GO308" s="1"/>
      <c r="GP308" s="1"/>
      <c r="GR308" s="1"/>
      <c r="GY308" s="1"/>
      <c r="HF308" s="1"/>
      <c r="HH308" s="1"/>
      <c r="HN308" s="1"/>
      <c r="HR308" s="1"/>
      <c r="HS308" s="1"/>
      <c r="HT308" s="1"/>
      <c r="HX308" s="1"/>
      <c r="HY308" s="1"/>
      <c r="IC308" s="1"/>
      <c r="IE308" s="1"/>
      <c r="IR308" s="1"/>
      <c r="IS308" s="1"/>
      <c r="IZ308" s="1"/>
      <c r="JC308" s="1"/>
      <c r="JF308" s="1"/>
      <c r="JG308" s="1"/>
      <c r="JH308" s="1"/>
      <c r="JI308" s="1"/>
      <c r="JJ308" s="1"/>
      <c r="JN308" s="1"/>
      <c r="JP308" s="1"/>
      <c r="JQ308" s="1"/>
      <c r="JT308" s="1"/>
      <c r="KU308" s="1"/>
      <c r="KV308" s="1"/>
      <c r="KW308" s="1"/>
      <c r="KY308" s="1"/>
      <c r="KZ308" s="1"/>
      <c r="LA308" s="1"/>
      <c r="LB308" s="1"/>
      <c r="LC308" s="1"/>
      <c r="LD308" s="1"/>
      <c r="LF308" s="1"/>
      <c r="LN308" s="1"/>
      <c r="LO308" s="1"/>
      <c r="LP308" s="1"/>
      <c r="LZ308" s="1"/>
      <c r="MA308" s="1"/>
    </row>
    <row r="309" spans="4:339" ht="13" x14ac:dyDescent="0.15">
      <c r="D309" s="12"/>
      <c r="E309" s="12"/>
      <c r="I309" s="12"/>
      <c r="J309" s="13"/>
      <c r="BF309" s="1"/>
      <c r="BG309" s="1"/>
      <c r="BH309" s="1"/>
      <c r="BI309" s="1"/>
      <c r="BJ309" s="1"/>
      <c r="BK309" s="1"/>
      <c r="BL309" s="1"/>
      <c r="BM309" s="1"/>
      <c r="BN309" s="1"/>
      <c r="BO309" s="1"/>
      <c r="BP309" s="1"/>
      <c r="BQ309" s="1"/>
      <c r="BR309" s="1"/>
      <c r="BX309" s="1"/>
      <c r="CD309" s="1"/>
      <c r="CE309" s="1"/>
      <c r="CF309" s="1"/>
      <c r="CG309" s="1"/>
      <c r="CH309" s="1"/>
      <c r="CI309" s="1"/>
      <c r="CM309" s="2"/>
      <c r="CN309" s="1"/>
      <c r="CO309" s="1"/>
      <c r="CP309" s="1"/>
      <c r="CQ309" s="1"/>
      <c r="CR309" s="1"/>
      <c r="CS309" s="1"/>
      <c r="CT309" s="1"/>
      <c r="CU309" s="1"/>
      <c r="CV309" s="1"/>
      <c r="CW309" s="1"/>
      <c r="CX309" s="1"/>
      <c r="CY309" s="1"/>
      <c r="CZ309" s="1"/>
      <c r="DA309" s="1"/>
      <c r="DB309" s="1"/>
      <c r="DC309" s="1"/>
      <c r="DD309" s="1"/>
      <c r="DE309" s="1"/>
      <c r="DF309" s="1"/>
      <c r="DG309" s="1"/>
      <c r="DH309" s="1"/>
      <c r="DI309" s="1"/>
      <c r="DJ309" s="1"/>
      <c r="DK309" s="1"/>
      <c r="DM309" s="1"/>
      <c r="DQ309" s="1"/>
      <c r="DR309" s="1"/>
      <c r="DY309" s="1"/>
      <c r="DZ309" s="1"/>
      <c r="ED309" s="1"/>
      <c r="EE309" s="1"/>
      <c r="EF309" s="1"/>
      <c r="EG309" s="1"/>
      <c r="EH309" s="1"/>
      <c r="EK309" s="1"/>
      <c r="EL309" s="1"/>
      <c r="EM309" s="1"/>
      <c r="EN309" s="1"/>
      <c r="EQ309" s="1"/>
      <c r="ER309" s="1"/>
      <c r="ES309" s="1"/>
      <c r="EV309" s="1"/>
      <c r="EW309" s="1"/>
      <c r="EY309" s="1"/>
      <c r="EZ309" s="1"/>
      <c r="FA309" s="1"/>
      <c r="FD309" s="1"/>
      <c r="FH309" s="1"/>
      <c r="FN309" s="1"/>
      <c r="FO309" s="1"/>
      <c r="FS309" s="1"/>
      <c r="FX309" s="1"/>
      <c r="GA309" s="1"/>
      <c r="GD309" s="1"/>
      <c r="GE309" s="1"/>
      <c r="GF309" s="1"/>
      <c r="GG309" s="1"/>
      <c r="GH309" s="1"/>
      <c r="GI309" s="1"/>
      <c r="GJ309" s="1"/>
      <c r="GN309" s="1"/>
      <c r="GP309" s="1"/>
      <c r="GR309" s="1"/>
      <c r="HE309" s="1"/>
      <c r="HF309" s="1"/>
      <c r="HH309" s="1"/>
      <c r="HN309" s="1"/>
      <c r="HQ309" s="1"/>
      <c r="HT309" s="1"/>
      <c r="HY309" s="1"/>
      <c r="IC309" s="1"/>
      <c r="IE309" s="1"/>
      <c r="IF309" s="1"/>
      <c r="IG309" s="1"/>
      <c r="IJ309" s="1"/>
      <c r="IK309" s="1"/>
      <c r="IR309" s="1"/>
      <c r="IS309" s="1"/>
      <c r="IW309" s="1"/>
      <c r="IX309" s="1"/>
      <c r="IY309" s="1"/>
      <c r="IZ309" s="1"/>
      <c r="JB309" s="1"/>
      <c r="JC309" s="1"/>
      <c r="JF309" s="1"/>
      <c r="JG309" s="1"/>
      <c r="JH309" s="1"/>
      <c r="JJ309" s="1"/>
      <c r="JK309" s="1"/>
      <c r="JL309" s="3"/>
      <c r="JM309" s="1"/>
      <c r="JN309" s="1"/>
      <c r="JP309" s="1"/>
      <c r="JQ309" s="1"/>
      <c r="JR309" s="1"/>
      <c r="JT309" s="1"/>
      <c r="KV309" s="1"/>
      <c r="KW309" s="1"/>
      <c r="KY309" s="1"/>
      <c r="KZ309" s="1"/>
      <c r="LA309" s="1"/>
      <c r="LB309" s="1"/>
      <c r="LC309" s="1"/>
      <c r="LD309" s="1"/>
      <c r="LO309" s="1"/>
      <c r="LP309" s="1"/>
      <c r="LZ309" s="1"/>
      <c r="MA309" s="1"/>
    </row>
    <row r="310" spans="4:339" ht="13" x14ac:dyDescent="0.15">
      <c r="D310" s="12"/>
      <c r="E310" s="12"/>
      <c r="I310" s="12"/>
      <c r="J310" s="13"/>
      <c r="BF310" s="1"/>
      <c r="BG310" s="1"/>
      <c r="BH310" s="1"/>
      <c r="BI310" s="1"/>
      <c r="BJ310" s="1"/>
      <c r="BK310" s="1"/>
      <c r="BL310" s="1"/>
      <c r="BM310" s="1"/>
      <c r="BN310" s="1"/>
      <c r="BO310" s="1"/>
      <c r="BP310" s="1"/>
      <c r="BQ310" s="1"/>
      <c r="BR310" s="1"/>
      <c r="BX310" s="1"/>
      <c r="CD310" s="1"/>
      <c r="CE310" s="1"/>
      <c r="CF310" s="1"/>
      <c r="CG310" s="1"/>
      <c r="CH310" s="1"/>
      <c r="CI310" s="1"/>
      <c r="CM310" s="2"/>
      <c r="CN310" s="1"/>
      <c r="CO310" s="1"/>
      <c r="CP310" s="1"/>
      <c r="CQ310" s="1"/>
      <c r="CR310" s="1"/>
      <c r="CS310" s="1"/>
      <c r="CT310" s="1"/>
      <c r="CU310" s="1"/>
      <c r="CV310" s="1"/>
      <c r="CW310" s="1"/>
      <c r="CX310" s="1"/>
      <c r="CY310" s="1"/>
      <c r="CZ310" s="1"/>
      <c r="DA310" s="1"/>
      <c r="DB310" s="1"/>
      <c r="DC310" s="1"/>
      <c r="DD310" s="1"/>
      <c r="DE310" s="1"/>
      <c r="DF310" s="1"/>
      <c r="DG310" s="1"/>
      <c r="DH310" s="1"/>
      <c r="DI310" s="1"/>
      <c r="DJ310" s="1"/>
      <c r="DK310" s="1"/>
      <c r="DM310" s="1"/>
      <c r="DQ310" s="1"/>
      <c r="DR310" s="1"/>
      <c r="DY310" s="1"/>
      <c r="DZ310" s="1"/>
      <c r="ED310" s="1"/>
      <c r="EE310" s="1"/>
      <c r="EF310" s="1"/>
      <c r="EG310" s="1"/>
      <c r="EH310" s="1"/>
      <c r="EK310" s="1"/>
      <c r="EL310" s="1"/>
      <c r="EM310" s="1"/>
      <c r="EN310" s="1"/>
      <c r="EQ310" s="1"/>
      <c r="ER310" s="1"/>
      <c r="ES310" s="1"/>
      <c r="EV310" s="1"/>
      <c r="EW310" s="1"/>
      <c r="EY310" s="1"/>
      <c r="EZ310" s="1"/>
      <c r="FA310" s="1"/>
      <c r="FD310" s="1"/>
      <c r="FH310" s="1"/>
      <c r="FN310" s="1"/>
      <c r="FO310" s="1"/>
      <c r="FS310" s="1"/>
      <c r="FX310" s="1"/>
      <c r="GA310" s="1"/>
      <c r="GD310" s="1"/>
      <c r="GE310" s="1"/>
      <c r="GF310" s="1"/>
      <c r="GG310" s="1"/>
      <c r="GH310" s="1"/>
      <c r="GI310" s="1"/>
      <c r="GJ310" s="1"/>
      <c r="GN310" s="1"/>
      <c r="GP310" s="1"/>
      <c r="GR310" s="1"/>
      <c r="HE310" s="1"/>
      <c r="HF310" s="1"/>
      <c r="HH310" s="1"/>
      <c r="HN310" s="1"/>
      <c r="HQ310" s="1"/>
      <c r="HT310" s="1"/>
      <c r="HY310" s="1"/>
      <c r="IC310" s="1"/>
      <c r="IE310" s="1"/>
      <c r="IF310" s="1"/>
      <c r="IG310" s="1"/>
      <c r="IJ310" s="1"/>
      <c r="IK310" s="1"/>
      <c r="IR310" s="1"/>
      <c r="IS310" s="1"/>
      <c r="IW310" s="1"/>
      <c r="IX310" s="1"/>
      <c r="IY310" s="1"/>
      <c r="IZ310" s="1"/>
      <c r="JB310" s="1"/>
      <c r="JC310" s="1"/>
      <c r="JF310" s="1"/>
      <c r="JG310" s="1"/>
      <c r="JH310" s="1"/>
      <c r="JJ310" s="1"/>
      <c r="JK310" s="1"/>
      <c r="JL310" s="3"/>
      <c r="JM310" s="1"/>
      <c r="JN310" s="1"/>
      <c r="JP310" s="1"/>
      <c r="JQ310" s="1"/>
      <c r="JR310" s="1"/>
      <c r="JT310" s="1"/>
      <c r="KV310" s="1"/>
      <c r="KW310" s="1"/>
      <c r="KY310" s="1"/>
      <c r="KZ310" s="1"/>
      <c r="LA310" s="1"/>
      <c r="LB310" s="1"/>
      <c r="LC310" s="1"/>
      <c r="LD310" s="1"/>
      <c r="LO310" s="1"/>
      <c r="LP310" s="1"/>
      <c r="LZ310" s="1"/>
      <c r="MA310" s="1"/>
    </row>
    <row r="311" spans="4:339" ht="13" x14ac:dyDescent="0.15">
      <c r="D311" s="12"/>
      <c r="E311" s="12"/>
      <c r="I311" s="12"/>
      <c r="J311" s="13"/>
      <c r="BF311" s="1"/>
      <c r="BG311" s="1"/>
      <c r="BH311" s="1"/>
      <c r="BI311" s="1"/>
      <c r="BJ311" s="1"/>
      <c r="BK311" s="1"/>
      <c r="BL311" s="1"/>
      <c r="BM311" s="1"/>
      <c r="BN311" s="1"/>
      <c r="BO311" s="1"/>
      <c r="BP311" s="1"/>
      <c r="BQ311" s="1"/>
      <c r="BR311" s="1"/>
      <c r="BX311" s="1"/>
      <c r="CD311" s="1"/>
      <c r="CE311" s="1"/>
      <c r="CF311" s="1"/>
      <c r="CG311" s="1"/>
      <c r="CH311" s="1"/>
      <c r="CI311" s="1"/>
      <c r="CM311" s="2"/>
      <c r="CN311" s="1"/>
      <c r="CO311" s="1"/>
      <c r="CP311" s="1"/>
      <c r="CQ311" s="1"/>
      <c r="CR311" s="1"/>
      <c r="CS311" s="1"/>
      <c r="CT311" s="1"/>
      <c r="CU311" s="1"/>
      <c r="CV311" s="1"/>
      <c r="CW311" s="1"/>
      <c r="CX311" s="1"/>
      <c r="CY311" s="1"/>
      <c r="CZ311" s="1"/>
      <c r="DA311" s="1"/>
      <c r="DB311" s="1"/>
      <c r="DC311" s="1"/>
      <c r="DD311" s="1"/>
      <c r="DE311" s="1"/>
      <c r="DF311" s="1"/>
      <c r="DG311" s="1"/>
      <c r="DH311" s="1"/>
      <c r="DI311" s="1"/>
      <c r="DJ311" s="1"/>
      <c r="DK311" s="1"/>
      <c r="DM311" s="1"/>
      <c r="DQ311" s="1"/>
      <c r="DR311" s="1"/>
      <c r="DY311" s="1"/>
      <c r="DZ311" s="1"/>
      <c r="ED311" s="1"/>
      <c r="EE311" s="1"/>
      <c r="EF311" s="1"/>
      <c r="EG311" s="1"/>
      <c r="EH311" s="1"/>
      <c r="EK311" s="1"/>
      <c r="EL311" s="1"/>
      <c r="EM311" s="1"/>
      <c r="EN311" s="1"/>
      <c r="EQ311" s="1"/>
      <c r="ER311" s="1"/>
      <c r="ES311" s="1"/>
      <c r="EV311" s="1"/>
      <c r="EW311" s="1"/>
      <c r="EY311" s="1"/>
      <c r="EZ311" s="1"/>
      <c r="FA311" s="1"/>
      <c r="FD311" s="1"/>
      <c r="FH311" s="1"/>
      <c r="FN311" s="1"/>
      <c r="FO311" s="1"/>
      <c r="FS311" s="1"/>
      <c r="FX311" s="1"/>
      <c r="GA311" s="1"/>
      <c r="GD311" s="1"/>
      <c r="GE311" s="1"/>
      <c r="GF311" s="1"/>
      <c r="GG311" s="1"/>
      <c r="GH311" s="1"/>
      <c r="GI311" s="1"/>
      <c r="GJ311" s="1"/>
      <c r="GN311" s="1"/>
      <c r="GP311" s="1"/>
      <c r="GR311" s="1"/>
      <c r="HE311" s="1"/>
      <c r="HF311" s="1"/>
      <c r="HH311" s="1"/>
      <c r="HN311" s="1"/>
      <c r="HQ311" s="1"/>
      <c r="HT311" s="1"/>
      <c r="HY311" s="1"/>
      <c r="IC311" s="1"/>
      <c r="IE311" s="1"/>
      <c r="IF311" s="1"/>
      <c r="IG311" s="1"/>
      <c r="IJ311" s="1"/>
      <c r="IK311" s="1"/>
      <c r="IR311" s="1"/>
      <c r="IS311" s="1"/>
      <c r="IW311" s="1"/>
      <c r="IX311" s="1"/>
      <c r="IY311" s="1"/>
      <c r="IZ311" s="1"/>
      <c r="JB311" s="1"/>
      <c r="JC311" s="1"/>
      <c r="JF311" s="1"/>
      <c r="JG311" s="1"/>
      <c r="JH311" s="1"/>
      <c r="JJ311" s="1"/>
      <c r="JK311" s="1"/>
      <c r="JL311" s="3"/>
      <c r="JM311" s="1"/>
      <c r="JN311" s="1"/>
      <c r="JP311" s="1"/>
      <c r="JQ311" s="1"/>
      <c r="JR311" s="1"/>
      <c r="JT311" s="1"/>
      <c r="KV311" s="1"/>
      <c r="KW311" s="1"/>
      <c r="KY311" s="1"/>
      <c r="KZ311" s="1"/>
      <c r="LA311" s="1"/>
      <c r="LB311" s="1"/>
      <c r="LC311" s="1"/>
      <c r="LD311" s="1"/>
      <c r="LO311" s="1"/>
      <c r="LP311" s="1"/>
      <c r="LZ311" s="1"/>
      <c r="MA311" s="1"/>
    </row>
    <row r="312" spans="4:339" ht="13" x14ac:dyDescent="0.15">
      <c r="D312" s="12"/>
      <c r="E312" s="12"/>
      <c r="I312" s="12"/>
      <c r="J312" s="13"/>
      <c r="BF312" s="1"/>
      <c r="BG312" s="1"/>
      <c r="BH312" s="1"/>
      <c r="BI312" s="1"/>
      <c r="BJ312" s="1"/>
      <c r="BK312" s="1"/>
      <c r="BL312" s="1"/>
      <c r="BM312" s="1"/>
      <c r="BN312" s="1"/>
      <c r="BO312" s="1"/>
      <c r="BP312" s="1"/>
      <c r="BQ312" s="1"/>
      <c r="BR312" s="1"/>
      <c r="BX312" s="1"/>
      <c r="CD312" s="1"/>
      <c r="CE312" s="1"/>
      <c r="CF312" s="1"/>
      <c r="CG312" s="1"/>
      <c r="CH312" s="1"/>
      <c r="CI312" s="1"/>
      <c r="CM312" s="2"/>
      <c r="CN312" s="1"/>
      <c r="CO312" s="1"/>
      <c r="CP312" s="1"/>
      <c r="CQ312" s="1"/>
      <c r="CR312" s="1"/>
      <c r="CS312" s="1"/>
      <c r="CT312" s="1"/>
      <c r="CU312" s="1"/>
      <c r="CV312" s="1"/>
      <c r="CW312" s="1"/>
      <c r="CX312" s="1"/>
      <c r="CY312" s="1"/>
      <c r="CZ312" s="1"/>
      <c r="DA312" s="1"/>
      <c r="DB312" s="1"/>
      <c r="DC312" s="1"/>
      <c r="DD312" s="1"/>
      <c r="DE312" s="1"/>
      <c r="DF312" s="1"/>
      <c r="DG312" s="1"/>
      <c r="DH312" s="1"/>
      <c r="DI312" s="1"/>
      <c r="DJ312" s="1"/>
      <c r="DK312" s="1"/>
      <c r="DM312" s="1"/>
      <c r="DQ312" s="1"/>
      <c r="DR312" s="1"/>
      <c r="DY312" s="1"/>
      <c r="DZ312" s="1"/>
      <c r="ED312" s="1"/>
      <c r="EE312" s="1"/>
      <c r="EF312" s="1"/>
      <c r="EG312" s="1"/>
      <c r="EH312" s="1"/>
      <c r="EK312" s="1"/>
      <c r="EL312" s="1"/>
      <c r="EM312" s="1"/>
      <c r="EN312" s="1"/>
      <c r="EQ312" s="1"/>
      <c r="ER312" s="1"/>
      <c r="ES312" s="1"/>
      <c r="EV312" s="1"/>
      <c r="EW312" s="1"/>
      <c r="EY312" s="1"/>
      <c r="EZ312" s="1"/>
      <c r="FA312" s="1"/>
      <c r="FD312" s="1"/>
      <c r="FH312" s="1"/>
      <c r="FN312" s="1"/>
      <c r="FO312" s="1"/>
      <c r="FS312" s="1"/>
      <c r="FX312" s="1"/>
      <c r="GA312" s="1"/>
      <c r="GD312" s="1"/>
      <c r="GE312" s="1"/>
      <c r="GF312" s="1"/>
      <c r="GG312" s="1"/>
      <c r="GH312" s="1"/>
      <c r="GI312" s="1"/>
      <c r="GJ312" s="1"/>
      <c r="GN312" s="1"/>
      <c r="GP312" s="1"/>
      <c r="GR312" s="1"/>
      <c r="HE312" s="1"/>
      <c r="HF312" s="1"/>
      <c r="HH312" s="1"/>
      <c r="HN312" s="1"/>
      <c r="HQ312" s="1"/>
      <c r="HT312" s="1"/>
      <c r="HY312" s="1"/>
      <c r="IC312" s="1"/>
      <c r="IE312" s="1"/>
      <c r="IF312" s="1"/>
      <c r="IG312" s="1"/>
      <c r="IJ312" s="1"/>
      <c r="IK312" s="1"/>
      <c r="IR312" s="1"/>
      <c r="IS312" s="1"/>
      <c r="IW312" s="1"/>
      <c r="IX312" s="1"/>
      <c r="IY312" s="1"/>
      <c r="IZ312" s="1"/>
      <c r="JB312" s="1"/>
      <c r="JC312" s="1"/>
      <c r="JF312" s="1"/>
      <c r="JG312" s="1"/>
      <c r="JH312" s="1"/>
      <c r="JJ312" s="1"/>
      <c r="JK312" s="1"/>
      <c r="JL312" s="3"/>
      <c r="JM312" s="1"/>
      <c r="JN312" s="1"/>
      <c r="JP312" s="1"/>
      <c r="JQ312" s="1"/>
      <c r="JR312" s="1"/>
      <c r="JT312" s="1"/>
      <c r="KV312" s="1"/>
      <c r="KW312" s="1"/>
      <c r="KY312" s="1"/>
      <c r="KZ312" s="1"/>
      <c r="LA312" s="1"/>
      <c r="LB312" s="1"/>
      <c r="LC312" s="1"/>
      <c r="LD312" s="1"/>
      <c r="LO312" s="1"/>
      <c r="LP312" s="1"/>
      <c r="LZ312" s="1"/>
      <c r="MA312" s="1"/>
    </row>
    <row r="313" spans="4:339" ht="13" x14ac:dyDescent="0.15">
      <c r="D313" s="12"/>
      <c r="E313" s="12"/>
      <c r="I313" s="12"/>
      <c r="J313" s="13"/>
      <c r="BF313" s="1"/>
      <c r="BG313" s="1"/>
      <c r="BH313" s="1"/>
      <c r="BI313" s="1"/>
      <c r="BJ313" s="1"/>
      <c r="BK313" s="1"/>
      <c r="BL313" s="1"/>
      <c r="BM313" s="1"/>
      <c r="BN313" s="1"/>
      <c r="BO313" s="1"/>
      <c r="BP313" s="1"/>
      <c r="BQ313" s="1"/>
      <c r="BR313" s="1"/>
      <c r="BX313" s="1"/>
      <c r="CD313" s="1"/>
      <c r="CE313" s="1"/>
      <c r="CF313" s="1"/>
      <c r="CG313" s="1"/>
      <c r="CH313" s="1"/>
      <c r="CI313" s="1"/>
      <c r="CM313" s="2"/>
      <c r="CN313" s="1"/>
      <c r="CO313" s="1"/>
      <c r="CP313" s="1"/>
      <c r="CQ313" s="1"/>
      <c r="CR313" s="1"/>
      <c r="CS313" s="1"/>
      <c r="CT313" s="1"/>
      <c r="CU313" s="1"/>
      <c r="CV313" s="1"/>
      <c r="CW313" s="1"/>
      <c r="CX313" s="1"/>
      <c r="CY313" s="1"/>
      <c r="CZ313" s="1"/>
      <c r="DA313" s="1"/>
      <c r="DB313" s="1"/>
      <c r="DC313" s="1"/>
      <c r="DD313" s="1"/>
      <c r="DE313" s="1"/>
      <c r="DF313" s="1"/>
      <c r="DG313" s="1"/>
      <c r="DH313" s="1"/>
      <c r="DI313" s="1"/>
      <c r="DJ313" s="1"/>
      <c r="DK313" s="1"/>
      <c r="DM313" s="1"/>
      <c r="DQ313" s="1"/>
      <c r="DR313" s="1"/>
      <c r="DY313" s="1"/>
      <c r="DZ313" s="1"/>
      <c r="ED313" s="1"/>
      <c r="EE313" s="1"/>
      <c r="EF313" s="1"/>
      <c r="EG313" s="1"/>
      <c r="EH313" s="1"/>
      <c r="EK313" s="1"/>
      <c r="EL313" s="1"/>
      <c r="EM313" s="1"/>
      <c r="EN313" s="1"/>
      <c r="EQ313" s="1"/>
      <c r="ER313" s="1"/>
      <c r="ES313" s="1"/>
      <c r="EV313" s="1"/>
      <c r="EW313" s="1"/>
      <c r="EY313" s="1"/>
      <c r="EZ313" s="1"/>
      <c r="FA313" s="1"/>
      <c r="FD313" s="1"/>
      <c r="FH313" s="1"/>
      <c r="FN313" s="1"/>
      <c r="FO313" s="1"/>
      <c r="FS313" s="1"/>
      <c r="FX313" s="1"/>
      <c r="GA313" s="1"/>
      <c r="GD313" s="1"/>
      <c r="GE313" s="1"/>
      <c r="GF313" s="1"/>
      <c r="GG313" s="1"/>
      <c r="GH313" s="1"/>
      <c r="GI313" s="1"/>
      <c r="GJ313" s="1"/>
      <c r="GN313" s="1"/>
      <c r="GP313" s="1"/>
      <c r="GR313" s="1"/>
      <c r="HE313" s="1"/>
      <c r="HF313" s="1"/>
      <c r="HH313" s="1"/>
      <c r="HN313" s="1"/>
      <c r="HQ313" s="1"/>
      <c r="HT313" s="1"/>
      <c r="HY313" s="1"/>
      <c r="IC313" s="1"/>
      <c r="IE313" s="1"/>
      <c r="IF313" s="1"/>
      <c r="IG313" s="1"/>
      <c r="IJ313" s="1"/>
      <c r="IK313" s="1"/>
      <c r="IR313" s="1"/>
      <c r="IS313" s="1"/>
      <c r="IW313" s="1"/>
      <c r="IX313" s="1"/>
      <c r="IY313" s="1"/>
      <c r="IZ313" s="1"/>
      <c r="JB313" s="1"/>
      <c r="JC313" s="1"/>
      <c r="JF313" s="1"/>
      <c r="JG313" s="1"/>
      <c r="JH313" s="1"/>
      <c r="JJ313" s="1"/>
      <c r="JK313" s="1"/>
      <c r="JL313" s="3"/>
      <c r="JM313" s="1"/>
      <c r="JN313" s="1"/>
      <c r="JP313" s="1"/>
      <c r="JQ313" s="1"/>
      <c r="JR313" s="1"/>
      <c r="JT313" s="1"/>
      <c r="KV313" s="1"/>
      <c r="KW313" s="1"/>
      <c r="KY313" s="1"/>
      <c r="KZ313" s="1"/>
      <c r="LA313" s="1"/>
      <c r="LB313" s="1"/>
      <c r="LC313" s="1"/>
      <c r="LD313" s="1"/>
      <c r="LO313" s="1"/>
      <c r="LP313" s="1"/>
      <c r="LZ313" s="1"/>
      <c r="MA313" s="1"/>
    </row>
    <row r="314" spans="4:339" ht="13" x14ac:dyDescent="0.15">
      <c r="D314" s="12"/>
      <c r="E314" s="12"/>
      <c r="I314" s="12"/>
      <c r="J314" s="13"/>
      <c r="BG314" s="1"/>
      <c r="BH314" s="1"/>
      <c r="BI314" s="1"/>
      <c r="BK314" s="1"/>
      <c r="BL314" s="1"/>
      <c r="BM314" s="1"/>
      <c r="BN314" s="1"/>
      <c r="BQ314" s="1"/>
      <c r="BR314" s="1"/>
      <c r="CD314" s="1"/>
      <c r="CH314" s="1"/>
      <c r="CI314" s="1"/>
      <c r="CM314" s="4"/>
      <c r="CN314" s="1"/>
      <c r="CO314" s="1"/>
      <c r="ED314" s="1"/>
      <c r="EL314" s="1"/>
      <c r="EM314" s="1"/>
      <c r="EN314" s="1"/>
      <c r="EQ314" s="1"/>
      <c r="ER314" s="1"/>
      <c r="ES314" s="1"/>
      <c r="EV314" s="1"/>
      <c r="EW314" s="1"/>
      <c r="EZ314" s="1"/>
      <c r="FA314" s="1"/>
      <c r="FD314" s="1"/>
      <c r="GD314" s="1"/>
      <c r="GE314" s="1"/>
      <c r="GF314" s="1"/>
      <c r="GG314" s="1"/>
      <c r="GH314" s="1"/>
      <c r="GI314" s="1"/>
      <c r="GJ314" s="1"/>
      <c r="GK314" s="1"/>
      <c r="GL314" s="1"/>
      <c r="GM314" s="1"/>
      <c r="GN314" s="1"/>
      <c r="GP314" s="1"/>
      <c r="GY314" s="1"/>
      <c r="HF314" s="1"/>
      <c r="HH314" s="1"/>
      <c r="IS314" s="1"/>
      <c r="IZ314" s="1"/>
      <c r="JJ314" s="1"/>
      <c r="JN314" s="1"/>
      <c r="JP314" s="1"/>
      <c r="JQ314" s="1"/>
    </row>
    <row r="315" spans="4:339" ht="13" x14ac:dyDescent="0.15">
      <c r="D315" s="12"/>
      <c r="E315" s="12"/>
      <c r="I315" s="12"/>
      <c r="J315" s="13"/>
      <c r="BG315" s="1"/>
      <c r="BH315" s="1"/>
      <c r="BI315" s="1"/>
      <c r="BK315" s="1"/>
      <c r="BL315" s="1"/>
      <c r="BM315" s="1"/>
      <c r="BN315" s="1"/>
      <c r="BQ315" s="1"/>
      <c r="BR315" s="1"/>
      <c r="CD315" s="1"/>
      <c r="CH315" s="1"/>
      <c r="CI315" s="1"/>
      <c r="CM315" s="4"/>
      <c r="CN315" s="1"/>
      <c r="CO315" s="1"/>
      <c r="ED315" s="1"/>
      <c r="EL315" s="1"/>
      <c r="EM315" s="1"/>
      <c r="EN315" s="1"/>
      <c r="EQ315" s="1"/>
      <c r="ER315" s="1"/>
      <c r="ES315" s="1"/>
      <c r="EV315" s="1"/>
      <c r="EW315" s="1"/>
      <c r="EZ315" s="1"/>
      <c r="FA315" s="1"/>
      <c r="FD315" s="1"/>
      <c r="GD315" s="1"/>
      <c r="GE315" s="1"/>
      <c r="GF315" s="1"/>
      <c r="GG315" s="1"/>
      <c r="GH315" s="1"/>
      <c r="GI315" s="1"/>
      <c r="GJ315" s="1"/>
      <c r="GK315" s="1"/>
      <c r="GL315" s="1"/>
      <c r="GM315" s="1"/>
      <c r="GN315" s="1"/>
      <c r="GP315" s="1"/>
      <c r="GY315" s="1"/>
      <c r="HF315" s="1"/>
      <c r="HH315" s="1"/>
      <c r="IS315" s="1"/>
      <c r="IZ315" s="1"/>
      <c r="JJ315" s="1"/>
      <c r="JN315" s="1"/>
      <c r="JP315" s="1"/>
      <c r="JQ315" s="1"/>
    </row>
    <row r="316" spans="4:339" ht="13" x14ac:dyDescent="0.15">
      <c r="D316" s="12"/>
      <c r="E316" s="12"/>
      <c r="I316" s="12"/>
      <c r="J316" s="13"/>
      <c r="BG316" s="1"/>
      <c r="BH316" s="1"/>
      <c r="BI316" s="1"/>
      <c r="BK316" s="1"/>
      <c r="BL316" s="1"/>
      <c r="BM316" s="1"/>
      <c r="BN316" s="1"/>
      <c r="BQ316" s="1"/>
      <c r="BR316" s="1"/>
      <c r="CD316" s="1"/>
      <c r="CH316" s="1"/>
      <c r="CI316" s="1"/>
      <c r="CM316" s="2"/>
      <c r="CN316" s="1"/>
      <c r="CO316" s="1"/>
      <c r="ED316" s="1"/>
      <c r="EL316" s="1"/>
      <c r="EM316" s="1"/>
      <c r="EN316" s="1"/>
      <c r="EQ316" s="1"/>
      <c r="ER316" s="1"/>
      <c r="ES316" s="1"/>
      <c r="EV316" s="1"/>
      <c r="EW316" s="1"/>
      <c r="EZ316" s="1"/>
      <c r="FA316" s="1"/>
      <c r="FD316" s="1"/>
      <c r="GD316" s="1"/>
      <c r="GE316" s="1"/>
      <c r="GF316" s="1"/>
      <c r="GG316" s="1"/>
      <c r="GH316" s="1"/>
      <c r="GI316" s="1"/>
      <c r="GJ316" s="1"/>
      <c r="GK316" s="1"/>
      <c r="GL316" s="1"/>
      <c r="GM316" s="1"/>
      <c r="GN316" s="1"/>
      <c r="GY316" s="1"/>
      <c r="HY316" s="1"/>
      <c r="ID316" s="1"/>
      <c r="IR316" s="1"/>
      <c r="IS316" s="1"/>
      <c r="IZ316" s="1"/>
      <c r="JC316" s="1"/>
      <c r="JJ316" s="1"/>
      <c r="JP316" s="1"/>
      <c r="JQ316" s="1"/>
      <c r="LM316" s="1"/>
      <c r="LZ316" s="1"/>
    </row>
    <row r="317" spans="4:339" ht="13" x14ac:dyDescent="0.15">
      <c r="D317" s="12"/>
      <c r="E317" s="12"/>
      <c r="I317" s="12"/>
      <c r="J317" s="13"/>
      <c r="BG317" s="1"/>
      <c r="BH317" s="1"/>
      <c r="BI317" s="1"/>
      <c r="BK317" s="1"/>
      <c r="BL317" s="1"/>
      <c r="BM317" s="1"/>
      <c r="BN317" s="1"/>
      <c r="BQ317" s="1"/>
      <c r="BR317" s="1"/>
      <c r="CD317" s="1"/>
      <c r="CH317" s="1"/>
      <c r="CI317" s="1"/>
      <c r="CM317" s="2"/>
      <c r="CN317" s="1"/>
      <c r="CO317" s="1"/>
      <c r="ED317" s="1"/>
      <c r="EL317" s="1"/>
      <c r="EM317" s="1"/>
      <c r="EN317" s="1"/>
      <c r="EQ317" s="1"/>
      <c r="ER317" s="1"/>
      <c r="ES317" s="1"/>
      <c r="EV317" s="1"/>
      <c r="EW317" s="1"/>
      <c r="EZ317" s="1"/>
      <c r="FA317" s="1"/>
      <c r="FD317" s="1"/>
      <c r="GD317" s="1"/>
      <c r="GE317" s="1"/>
      <c r="GF317" s="1"/>
      <c r="GG317" s="1"/>
      <c r="GH317" s="1"/>
      <c r="GI317" s="1"/>
      <c r="GJ317" s="1"/>
      <c r="GK317" s="1"/>
      <c r="GL317" s="1"/>
      <c r="GM317" s="1"/>
      <c r="GN317" s="1"/>
      <c r="GY317" s="1"/>
      <c r="HY317" s="1"/>
      <c r="ID317" s="1"/>
      <c r="IR317" s="1"/>
      <c r="IS317" s="1"/>
      <c r="IZ317" s="1"/>
      <c r="JC317" s="1"/>
      <c r="JJ317" s="1"/>
      <c r="JP317" s="1"/>
      <c r="JQ317" s="1"/>
      <c r="LM317" s="1"/>
      <c r="LZ317" s="1"/>
    </row>
    <row r="318" spans="4:339" ht="13" x14ac:dyDescent="0.15">
      <c r="D318" s="12"/>
      <c r="E318" s="12"/>
      <c r="I318" s="12"/>
      <c r="J318" s="13"/>
      <c r="BF318" s="1"/>
      <c r="BG318" s="1"/>
      <c r="BH318" s="1"/>
      <c r="BI318" s="1"/>
      <c r="BJ318" s="1"/>
      <c r="BK318" s="1"/>
      <c r="BL318" s="1"/>
      <c r="BM318" s="1"/>
      <c r="BN318" s="1"/>
      <c r="BO318" s="1"/>
      <c r="BP318" s="1"/>
      <c r="BQ318" s="1"/>
      <c r="BR318" s="1"/>
      <c r="BX318" s="1"/>
      <c r="CC318" s="1"/>
      <c r="CD318" s="1"/>
      <c r="CE318" s="1"/>
      <c r="CF318" s="1"/>
      <c r="CG318" s="1"/>
      <c r="CH318" s="1"/>
      <c r="CI318" s="1"/>
      <c r="CM318" s="2"/>
      <c r="CN318" s="1"/>
      <c r="CO318" s="1"/>
      <c r="CP318" s="1"/>
      <c r="CQ318" s="1"/>
      <c r="CS318" s="1"/>
      <c r="CT318" s="1"/>
      <c r="CU318" s="1"/>
      <c r="CV318" s="1"/>
      <c r="CW318" s="1"/>
      <c r="CX318" s="1"/>
      <c r="CY318" s="1"/>
      <c r="CZ318" s="1"/>
      <c r="DA318" s="1"/>
      <c r="DB318" s="1"/>
      <c r="DC318" s="1"/>
      <c r="DD318" s="1"/>
      <c r="DE318" s="1"/>
      <c r="DF318" s="1"/>
      <c r="DG318" s="1"/>
      <c r="DH318" s="1"/>
      <c r="DI318" s="1"/>
      <c r="DJ318" s="1"/>
      <c r="DK318" s="1"/>
      <c r="DM318" s="1"/>
      <c r="DQ318" s="1"/>
      <c r="DR318" s="1"/>
      <c r="DY318" s="1"/>
      <c r="DZ318" s="1"/>
      <c r="ED318" s="1"/>
      <c r="EK318" s="1"/>
      <c r="EL318" s="1"/>
      <c r="EM318" s="1"/>
      <c r="EN318" s="1"/>
      <c r="EQ318" s="1"/>
      <c r="ER318" s="1"/>
      <c r="ES318" s="1"/>
      <c r="EV318" s="1"/>
      <c r="EW318" s="1"/>
      <c r="EZ318" s="1"/>
      <c r="FA318" s="1"/>
      <c r="FD318" s="1"/>
      <c r="FG318" s="1"/>
      <c r="FH318" s="1"/>
      <c r="FI318" s="1"/>
      <c r="FJ318" s="1"/>
      <c r="FM318" s="1"/>
      <c r="FN318" s="1"/>
      <c r="FO318" s="1"/>
      <c r="FP318" s="1"/>
      <c r="FQ318" s="1"/>
      <c r="FS318" s="1"/>
      <c r="FV318" s="1"/>
      <c r="FW318" s="1"/>
      <c r="FX318" s="1"/>
      <c r="GA318" s="1"/>
      <c r="GB318" s="1"/>
      <c r="GD318" s="1"/>
      <c r="GE318" s="1"/>
      <c r="GF318" s="1"/>
      <c r="GG318" s="1"/>
      <c r="GH318" s="1"/>
      <c r="GI318" s="1"/>
      <c r="GJ318" s="1"/>
      <c r="GN318" s="1"/>
      <c r="GO318" s="1"/>
      <c r="GP318" s="1"/>
      <c r="GR318" s="1"/>
      <c r="HH318" s="1"/>
      <c r="HN318" s="1"/>
      <c r="HQ318" s="1"/>
      <c r="HR318" s="1"/>
      <c r="HS318" s="1"/>
      <c r="HT318" s="1"/>
      <c r="HY318" s="1"/>
      <c r="IA318" s="1"/>
      <c r="IE318" s="1"/>
      <c r="IR318" s="1"/>
      <c r="IS318" s="1"/>
      <c r="IW318" s="1"/>
      <c r="IZ318" s="1"/>
      <c r="JC318" s="1"/>
      <c r="JF318" s="1"/>
      <c r="JG318" s="1"/>
      <c r="JH318" s="1"/>
      <c r="JJ318" s="1"/>
      <c r="JP318" s="1"/>
      <c r="JQ318" s="1"/>
      <c r="JW318" s="1"/>
      <c r="KS318" s="1"/>
      <c r="KT318" s="1"/>
      <c r="KY318" s="1"/>
      <c r="KZ318" s="1"/>
      <c r="LA318" s="1"/>
      <c r="LB318" s="1"/>
      <c r="LC318" s="1"/>
      <c r="LD318" s="1"/>
      <c r="LO318" s="1"/>
      <c r="LP318" s="1"/>
      <c r="LZ318" s="1"/>
      <c r="MA318" s="1"/>
    </row>
    <row r="319" spans="4:339" ht="13" x14ac:dyDescent="0.15">
      <c r="D319" s="12"/>
      <c r="E319" s="12"/>
      <c r="I319" s="12"/>
      <c r="J319" s="13"/>
      <c r="BF319" s="1"/>
      <c r="BG319" s="1"/>
      <c r="BH319" s="1"/>
      <c r="BI319" s="1"/>
      <c r="BK319" s="1"/>
      <c r="BL319" s="1"/>
      <c r="BM319" s="1"/>
      <c r="BN319" s="1"/>
      <c r="BO319" s="1"/>
      <c r="BP319" s="1"/>
      <c r="BQ319" s="1"/>
      <c r="BR319" s="1"/>
      <c r="BX319" s="1"/>
      <c r="CD319" s="1"/>
      <c r="CE319" s="1"/>
      <c r="CF319" s="1"/>
      <c r="CG319" s="1"/>
      <c r="CH319" s="1"/>
      <c r="CI319" s="1"/>
      <c r="CM319" s="4"/>
      <c r="CN319" s="1"/>
      <c r="CO319" s="1"/>
      <c r="CP319" s="1"/>
      <c r="CQ319" s="1"/>
      <c r="CR319" s="1"/>
      <c r="CS319" s="1"/>
      <c r="CT319" s="1"/>
      <c r="CU319" s="1"/>
      <c r="CV319" s="1"/>
      <c r="CW319" s="1"/>
      <c r="CX319" s="1"/>
      <c r="CY319" s="1"/>
      <c r="CZ319" s="1"/>
      <c r="DA319" s="1"/>
      <c r="DB319" s="1"/>
      <c r="DC319" s="1"/>
      <c r="DD319" s="1"/>
      <c r="DE319" s="1"/>
      <c r="DF319" s="1"/>
      <c r="DG319" s="1"/>
      <c r="DH319" s="1"/>
      <c r="DI319" s="1"/>
      <c r="DJ319" s="1"/>
      <c r="DK319" s="1"/>
      <c r="DM319" s="1"/>
      <c r="DQ319" s="1"/>
      <c r="DR319" s="1"/>
      <c r="DY319" s="1"/>
      <c r="DZ319" s="1"/>
      <c r="ED319" s="1"/>
      <c r="EF319" s="1"/>
      <c r="EK319" s="1"/>
      <c r="EL319" s="1"/>
      <c r="EM319" s="1"/>
      <c r="EN319" s="1"/>
      <c r="EQ319" s="1"/>
      <c r="ER319" s="1"/>
      <c r="ES319" s="1"/>
      <c r="EV319" s="1"/>
      <c r="EW319" s="1"/>
      <c r="EZ319" s="1"/>
      <c r="FA319" s="1"/>
      <c r="FD319" s="1"/>
      <c r="FG319" s="1"/>
      <c r="FH319" s="1"/>
      <c r="FJ319" s="1"/>
      <c r="FM319" s="1"/>
      <c r="FN319" s="1"/>
      <c r="FO319" s="1"/>
      <c r="FP319" s="1"/>
      <c r="FQ319" s="1"/>
      <c r="FR319" s="1"/>
      <c r="FS319" s="1"/>
      <c r="FU319" s="1"/>
      <c r="FV319" s="1"/>
      <c r="FW319" s="1"/>
      <c r="FX319" s="1"/>
      <c r="FY319" s="1"/>
      <c r="FZ319" s="1"/>
      <c r="GA319" s="1"/>
      <c r="GD319" s="1"/>
      <c r="GE319" s="1"/>
      <c r="GF319" s="1"/>
      <c r="GG319" s="1"/>
      <c r="GH319" s="1"/>
      <c r="GI319" s="1"/>
      <c r="GJ319" s="1"/>
      <c r="GK319" s="1"/>
      <c r="GL319" s="1"/>
      <c r="GM319" s="1"/>
      <c r="GN319" s="1"/>
      <c r="GO319" s="1"/>
      <c r="GP319" s="1"/>
      <c r="GR319" s="1"/>
      <c r="GS319" s="1"/>
      <c r="GY319" s="1"/>
      <c r="HH319" s="1"/>
      <c r="HT319" s="1"/>
      <c r="HX319" s="1"/>
      <c r="HY319" s="1"/>
      <c r="IC319" s="1"/>
      <c r="ID319" s="1"/>
      <c r="IE319" s="1"/>
      <c r="IF319" s="1"/>
      <c r="IG319" s="1"/>
      <c r="IH319" s="1"/>
      <c r="IJ319" s="1"/>
      <c r="IR319" s="1"/>
      <c r="IS319" s="1"/>
      <c r="IW319" s="1"/>
      <c r="IY319" s="1"/>
      <c r="IZ319" s="1"/>
      <c r="JA319" s="1"/>
      <c r="JC319" s="1"/>
      <c r="JF319" s="1"/>
      <c r="JG319" s="1"/>
      <c r="JH319" s="1"/>
      <c r="JI319" s="1"/>
      <c r="JJ319" s="1"/>
      <c r="JK319" s="1"/>
      <c r="JL319" s="3"/>
      <c r="JM319" s="1"/>
      <c r="JN319" s="1"/>
      <c r="JP319" s="1"/>
      <c r="JQ319" s="1"/>
      <c r="JR319" s="1"/>
      <c r="JT319" s="1"/>
      <c r="KU319" s="1"/>
      <c r="KV319" s="1"/>
      <c r="KY319" s="1"/>
      <c r="KZ319" s="1"/>
      <c r="LA319" s="1"/>
      <c r="LB319" s="1"/>
      <c r="LC319" s="1"/>
      <c r="LD319" s="1"/>
      <c r="LF319" s="1"/>
      <c r="LO319" s="1"/>
      <c r="LP319" s="1"/>
      <c r="LZ319" s="1"/>
      <c r="MA319" s="1"/>
    </row>
    <row r="320" spans="4:339" ht="13" x14ac:dyDescent="0.15">
      <c r="D320" s="12"/>
      <c r="E320" s="12"/>
      <c r="I320" s="12"/>
      <c r="J320" s="13"/>
      <c r="BF320" s="1"/>
      <c r="BG320" s="1"/>
      <c r="BH320" s="1"/>
      <c r="BI320" s="1"/>
      <c r="BK320" s="1"/>
      <c r="BL320" s="1"/>
      <c r="BM320" s="1"/>
      <c r="BN320" s="1"/>
      <c r="BO320" s="1"/>
      <c r="BP320" s="1"/>
      <c r="BQ320" s="1"/>
      <c r="BR320" s="1"/>
      <c r="BX320" s="1"/>
      <c r="CD320" s="1"/>
      <c r="CE320" s="1"/>
      <c r="CF320" s="1"/>
      <c r="CG320" s="1"/>
      <c r="CH320" s="1"/>
      <c r="CI320" s="1"/>
      <c r="CM320" s="4"/>
      <c r="CN320" s="1"/>
      <c r="CO320" s="1"/>
      <c r="CP320" s="1"/>
      <c r="CQ320" s="1"/>
      <c r="CR320" s="1"/>
      <c r="CS320" s="1"/>
      <c r="CT320" s="1"/>
      <c r="CU320" s="1"/>
      <c r="CV320" s="1"/>
      <c r="CW320" s="1"/>
      <c r="CX320" s="1"/>
      <c r="CY320" s="1"/>
      <c r="CZ320" s="1"/>
      <c r="DA320" s="1"/>
      <c r="DB320" s="1"/>
      <c r="DC320" s="1"/>
      <c r="DD320" s="1"/>
      <c r="DE320" s="1"/>
      <c r="DF320" s="1"/>
      <c r="DG320" s="1"/>
      <c r="DH320" s="1"/>
      <c r="DI320" s="1"/>
      <c r="DJ320" s="1"/>
      <c r="DK320" s="1"/>
      <c r="DM320" s="1"/>
      <c r="DQ320" s="1"/>
      <c r="DR320" s="1"/>
      <c r="DY320" s="1"/>
      <c r="DZ320" s="1"/>
      <c r="ED320" s="1"/>
      <c r="EF320" s="1"/>
      <c r="EK320" s="1"/>
      <c r="EL320" s="1"/>
      <c r="EM320" s="1"/>
      <c r="EN320" s="1"/>
      <c r="EQ320" s="1"/>
      <c r="ER320" s="1"/>
      <c r="ES320" s="1"/>
      <c r="EV320" s="1"/>
      <c r="EW320" s="1"/>
      <c r="EZ320" s="1"/>
      <c r="FA320" s="1"/>
      <c r="FD320" s="1"/>
      <c r="FG320" s="1"/>
      <c r="FH320" s="1"/>
      <c r="FJ320" s="1"/>
      <c r="FM320" s="1"/>
      <c r="FN320" s="1"/>
      <c r="FO320" s="1"/>
      <c r="FP320" s="1"/>
      <c r="FQ320" s="1"/>
      <c r="FR320" s="1"/>
      <c r="FS320" s="1"/>
      <c r="FU320" s="1"/>
      <c r="FV320" s="1"/>
      <c r="FW320" s="1"/>
      <c r="FX320" s="1"/>
      <c r="FY320" s="1"/>
      <c r="FZ320" s="1"/>
      <c r="GA320" s="1"/>
      <c r="GD320" s="1"/>
      <c r="GE320" s="1"/>
      <c r="GF320" s="1"/>
      <c r="GG320" s="1"/>
      <c r="GH320" s="1"/>
      <c r="GI320" s="1"/>
      <c r="GJ320" s="1"/>
      <c r="GK320" s="1"/>
      <c r="GL320" s="1"/>
      <c r="GM320" s="1"/>
      <c r="GN320" s="1"/>
      <c r="GO320" s="1"/>
      <c r="GP320" s="1"/>
      <c r="GR320" s="1"/>
      <c r="GS320" s="1"/>
      <c r="GY320" s="1"/>
      <c r="HH320" s="1"/>
      <c r="HT320" s="1"/>
      <c r="HX320" s="1"/>
      <c r="HY320" s="1"/>
      <c r="IC320" s="1"/>
      <c r="ID320" s="1"/>
      <c r="IE320" s="1"/>
      <c r="IF320" s="1"/>
      <c r="IG320" s="1"/>
      <c r="IH320" s="1"/>
      <c r="IJ320" s="1"/>
      <c r="IR320" s="1"/>
      <c r="IS320" s="1"/>
      <c r="IW320" s="1"/>
      <c r="IY320" s="1"/>
      <c r="IZ320" s="1"/>
      <c r="JA320" s="1"/>
      <c r="JC320" s="1"/>
      <c r="JF320" s="1"/>
      <c r="JG320" s="1"/>
      <c r="JH320" s="1"/>
      <c r="JI320" s="1"/>
      <c r="JJ320" s="1"/>
      <c r="JK320" s="1"/>
      <c r="JL320" s="3"/>
      <c r="JM320" s="1"/>
      <c r="JN320" s="1"/>
      <c r="JP320" s="1"/>
      <c r="JQ320" s="1"/>
      <c r="JR320" s="1"/>
      <c r="JT320" s="1"/>
      <c r="KU320" s="1"/>
      <c r="KV320" s="1"/>
      <c r="KY320" s="1"/>
      <c r="KZ320" s="1"/>
      <c r="LA320" s="1"/>
      <c r="LB320" s="1"/>
      <c r="LC320" s="1"/>
      <c r="LD320" s="1"/>
      <c r="LF320" s="1"/>
      <c r="LO320" s="1"/>
      <c r="LP320" s="1"/>
      <c r="LZ320" s="1"/>
      <c r="MA320" s="1"/>
    </row>
    <row r="321" spans="4:339" ht="13" x14ac:dyDescent="0.15">
      <c r="D321" s="12"/>
      <c r="E321" s="12"/>
      <c r="I321" s="12"/>
      <c r="J321" s="13"/>
      <c r="BF321" s="1"/>
      <c r="BG321" s="1"/>
      <c r="BH321" s="1"/>
      <c r="BI321" s="1"/>
      <c r="BK321" s="1"/>
      <c r="BL321" s="1"/>
      <c r="BM321" s="1"/>
      <c r="BN321" s="1"/>
      <c r="BO321" s="1"/>
      <c r="BP321" s="1"/>
      <c r="BQ321" s="1"/>
      <c r="BR321" s="1"/>
      <c r="BX321" s="1"/>
      <c r="CD321" s="1"/>
      <c r="CE321" s="1"/>
      <c r="CF321" s="1"/>
      <c r="CG321" s="1"/>
      <c r="CH321" s="1"/>
      <c r="CI321" s="1"/>
      <c r="CM321" s="4"/>
      <c r="CN321" s="1"/>
      <c r="CO321" s="1"/>
      <c r="CP321" s="1"/>
      <c r="CQ321" s="1"/>
      <c r="CR321" s="1"/>
      <c r="CS321" s="1"/>
      <c r="CT321" s="1"/>
      <c r="CU321" s="1"/>
      <c r="CV321" s="1"/>
      <c r="CW321" s="1"/>
      <c r="CX321" s="1"/>
      <c r="CY321" s="1"/>
      <c r="CZ321" s="1"/>
      <c r="DA321" s="1"/>
      <c r="DB321" s="1"/>
      <c r="DC321" s="1"/>
      <c r="DD321" s="1"/>
      <c r="DE321" s="1"/>
      <c r="DF321" s="1"/>
      <c r="DG321" s="1"/>
      <c r="DH321" s="1"/>
      <c r="DI321" s="1"/>
      <c r="DJ321" s="1"/>
      <c r="DK321" s="1"/>
      <c r="DM321" s="1"/>
      <c r="DQ321" s="1"/>
      <c r="DR321" s="1"/>
      <c r="DY321" s="1"/>
      <c r="DZ321" s="1"/>
      <c r="ED321" s="1"/>
      <c r="EF321" s="1"/>
      <c r="EK321" s="1"/>
      <c r="EL321" s="1"/>
      <c r="EM321" s="1"/>
      <c r="EN321" s="1"/>
      <c r="EQ321" s="1"/>
      <c r="ER321" s="1"/>
      <c r="ES321" s="1"/>
      <c r="EV321" s="1"/>
      <c r="EW321" s="1"/>
      <c r="EZ321" s="1"/>
      <c r="FA321" s="1"/>
      <c r="FD321" s="1"/>
      <c r="FG321" s="1"/>
      <c r="FH321" s="1"/>
      <c r="FJ321" s="1"/>
      <c r="FM321" s="1"/>
      <c r="FN321" s="1"/>
      <c r="FO321" s="1"/>
      <c r="FP321" s="1"/>
      <c r="FQ321" s="1"/>
      <c r="FR321" s="1"/>
      <c r="FS321" s="1"/>
      <c r="FU321" s="1"/>
      <c r="FV321" s="1"/>
      <c r="FW321" s="1"/>
      <c r="FX321" s="1"/>
      <c r="FY321" s="1"/>
      <c r="FZ321" s="1"/>
      <c r="GA321" s="1"/>
      <c r="GD321" s="1"/>
      <c r="GE321" s="1"/>
      <c r="GF321" s="1"/>
      <c r="GG321" s="1"/>
      <c r="GH321" s="1"/>
      <c r="GI321" s="1"/>
      <c r="GJ321" s="1"/>
      <c r="GK321" s="1"/>
      <c r="GL321" s="1"/>
      <c r="GM321" s="1"/>
      <c r="GN321" s="1"/>
      <c r="GO321" s="1"/>
      <c r="GP321" s="1"/>
      <c r="GR321" s="1"/>
      <c r="GS321" s="1"/>
      <c r="GY321" s="1"/>
      <c r="HH321" s="1"/>
      <c r="HT321" s="1"/>
      <c r="HX321" s="1"/>
      <c r="HY321" s="1"/>
      <c r="IC321" s="1"/>
      <c r="ID321" s="1"/>
      <c r="IE321" s="1"/>
      <c r="IF321" s="1"/>
      <c r="IG321" s="1"/>
      <c r="IH321" s="1"/>
      <c r="IJ321" s="1"/>
      <c r="IR321" s="1"/>
      <c r="IS321" s="1"/>
      <c r="IW321" s="1"/>
      <c r="IY321" s="1"/>
      <c r="IZ321" s="1"/>
      <c r="JA321" s="1"/>
      <c r="JC321" s="1"/>
      <c r="JF321" s="1"/>
      <c r="JG321" s="1"/>
      <c r="JH321" s="1"/>
      <c r="JI321" s="1"/>
      <c r="JJ321" s="1"/>
      <c r="JK321" s="1"/>
      <c r="JL321" s="3"/>
      <c r="JM321" s="1"/>
      <c r="JN321" s="1"/>
      <c r="JP321" s="1"/>
      <c r="JQ321" s="1"/>
      <c r="JR321" s="1"/>
      <c r="JT321" s="1"/>
      <c r="KU321" s="1"/>
      <c r="KV321" s="1"/>
      <c r="KY321" s="1"/>
      <c r="KZ321" s="1"/>
      <c r="LA321" s="1"/>
      <c r="LB321" s="1"/>
      <c r="LC321" s="1"/>
      <c r="LD321" s="1"/>
      <c r="LF321" s="1"/>
      <c r="LO321" s="1"/>
      <c r="LP321" s="1"/>
      <c r="LZ321" s="1"/>
      <c r="MA321" s="1"/>
    </row>
    <row r="322" spans="4:339" ht="13" x14ac:dyDescent="0.15">
      <c r="D322" s="12"/>
      <c r="E322" s="12"/>
      <c r="I322" s="12"/>
      <c r="J322" s="13"/>
      <c r="BF322" s="1"/>
      <c r="BG322" s="1"/>
      <c r="BH322" s="1"/>
      <c r="BI322" s="1"/>
      <c r="BK322" s="1"/>
      <c r="BL322" s="1"/>
      <c r="BM322" s="1"/>
      <c r="BN322" s="1"/>
      <c r="BO322" s="1"/>
      <c r="BP322" s="1"/>
      <c r="BQ322" s="1"/>
      <c r="BR322" s="1"/>
      <c r="BX322" s="1"/>
      <c r="CD322" s="1"/>
      <c r="CE322" s="1"/>
      <c r="CF322" s="1"/>
      <c r="CG322" s="1"/>
      <c r="CH322" s="1"/>
      <c r="CI322" s="1"/>
      <c r="CM322" s="4"/>
      <c r="CN322" s="1"/>
      <c r="CO322" s="1"/>
      <c r="CP322" s="1"/>
      <c r="CQ322" s="1"/>
      <c r="CR322" s="1"/>
      <c r="CS322" s="1"/>
      <c r="CT322" s="1"/>
      <c r="CU322" s="1"/>
      <c r="CV322" s="1"/>
      <c r="CW322" s="1"/>
      <c r="CX322" s="1"/>
      <c r="CY322" s="1"/>
      <c r="CZ322" s="1"/>
      <c r="DA322" s="1"/>
      <c r="DB322" s="1"/>
      <c r="DC322" s="1"/>
      <c r="DD322" s="1"/>
      <c r="DE322" s="1"/>
      <c r="DF322" s="1"/>
      <c r="DG322" s="1"/>
      <c r="DH322" s="1"/>
      <c r="DI322" s="1"/>
      <c r="DJ322" s="1"/>
      <c r="DK322" s="1"/>
      <c r="DM322" s="1"/>
      <c r="DQ322" s="1"/>
      <c r="DR322" s="1"/>
      <c r="DY322" s="1"/>
      <c r="DZ322" s="1"/>
      <c r="ED322" s="1"/>
      <c r="EF322" s="1"/>
      <c r="EK322" s="1"/>
      <c r="EL322" s="1"/>
      <c r="EM322" s="1"/>
      <c r="EN322" s="1"/>
      <c r="EQ322" s="1"/>
      <c r="ER322" s="1"/>
      <c r="ES322" s="1"/>
      <c r="EV322" s="1"/>
      <c r="EW322" s="1"/>
      <c r="EZ322" s="1"/>
      <c r="FA322" s="1"/>
      <c r="FD322" s="1"/>
      <c r="FG322" s="1"/>
      <c r="FH322" s="1"/>
      <c r="FJ322" s="1"/>
      <c r="FM322" s="1"/>
      <c r="FN322" s="1"/>
      <c r="FO322" s="1"/>
      <c r="FP322" s="1"/>
      <c r="FQ322" s="1"/>
      <c r="FR322" s="1"/>
      <c r="FS322" s="1"/>
      <c r="FU322" s="1"/>
      <c r="FV322" s="1"/>
      <c r="FW322" s="1"/>
      <c r="FX322" s="1"/>
      <c r="FY322" s="1"/>
      <c r="FZ322" s="1"/>
      <c r="GA322" s="1"/>
      <c r="GD322" s="1"/>
      <c r="GE322" s="1"/>
      <c r="GF322" s="1"/>
      <c r="GG322" s="1"/>
      <c r="GH322" s="1"/>
      <c r="GI322" s="1"/>
      <c r="GJ322" s="1"/>
      <c r="GK322" s="1"/>
      <c r="GL322" s="1"/>
      <c r="GM322" s="1"/>
      <c r="GN322" s="1"/>
      <c r="GO322" s="1"/>
      <c r="GP322" s="1"/>
      <c r="GR322" s="1"/>
      <c r="GS322" s="1"/>
      <c r="GY322" s="1"/>
      <c r="HH322" s="1"/>
      <c r="HT322" s="1"/>
      <c r="HX322" s="1"/>
      <c r="HY322" s="1"/>
      <c r="IC322" s="1"/>
      <c r="ID322" s="1"/>
      <c r="IE322" s="1"/>
      <c r="IF322" s="1"/>
      <c r="IG322" s="1"/>
      <c r="IH322" s="1"/>
      <c r="IJ322" s="1"/>
      <c r="IR322" s="1"/>
      <c r="IS322" s="1"/>
      <c r="IW322" s="1"/>
      <c r="IY322" s="1"/>
      <c r="IZ322" s="1"/>
      <c r="JA322" s="1"/>
      <c r="JC322" s="1"/>
      <c r="JF322" s="1"/>
      <c r="JG322" s="1"/>
      <c r="JH322" s="1"/>
      <c r="JI322" s="1"/>
      <c r="JJ322" s="1"/>
      <c r="JK322" s="1"/>
      <c r="JL322" s="3"/>
      <c r="JM322" s="1"/>
      <c r="JN322" s="1"/>
      <c r="JP322" s="1"/>
      <c r="JQ322" s="1"/>
      <c r="JR322" s="1"/>
      <c r="JT322" s="1"/>
      <c r="KU322" s="1"/>
      <c r="KV322" s="1"/>
      <c r="KY322" s="1"/>
      <c r="KZ322" s="1"/>
      <c r="LA322" s="1"/>
      <c r="LB322" s="1"/>
      <c r="LC322" s="1"/>
      <c r="LD322" s="1"/>
      <c r="LF322" s="1"/>
      <c r="LO322" s="1"/>
      <c r="LP322" s="1"/>
      <c r="LZ322" s="1"/>
      <c r="MA322" s="1"/>
    </row>
    <row r="323" spans="4:339" ht="13" x14ac:dyDescent="0.15">
      <c r="D323" s="12"/>
      <c r="E323" s="12"/>
      <c r="I323" s="12"/>
      <c r="J323" s="13"/>
      <c r="BF323" s="1"/>
      <c r="BG323" s="1"/>
      <c r="BH323" s="1"/>
      <c r="BI323" s="1"/>
      <c r="BK323" s="1"/>
      <c r="BL323" s="1"/>
      <c r="BM323" s="1"/>
      <c r="BN323" s="1"/>
      <c r="BO323" s="1"/>
      <c r="BP323" s="1"/>
      <c r="BQ323" s="1"/>
      <c r="BR323" s="1"/>
      <c r="BX323" s="1"/>
      <c r="CD323" s="1"/>
      <c r="CE323" s="1"/>
      <c r="CF323" s="1"/>
      <c r="CG323" s="1"/>
      <c r="CH323" s="1"/>
      <c r="CI323" s="1"/>
      <c r="CM323" s="4"/>
      <c r="CN323" s="1"/>
      <c r="CO323" s="1"/>
      <c r="CP323" s="1"/>
      <c r="CQ323" s="1"/>
      <c r="CR323" s="1"/>
      <c r="CS323" s="1"/>
      <c r="CT323" s="1"/>
      <c r="CU323" s="1"/>
      <c r="CV323" s="1"/>
      <c r="CW323" s="1"/>
      <c r="CX323" s="1"/>
      <c r="CY323" s="1"/>
      <c r="CZ323" s="1"/>
      <c r="DA323" s="1"/>
      <c r="DB323" s="1"/>
      <c r="DC323" s="1"/>
      <c r="DD323" s="1"/>
      <c r="DE323" s="1"/>
      <c r="DF323" s="1"/>
      <c r="DG323" s="1"/>
      <c r="DH323" s="1"/>
      <c r="DI323" s="1"/>
      <c r="DJ323" s="1"/>
      <c r="DK323" s="1"/>
      <c r="DM323" s="1"/>
      <c r="DQ323" s="1"/>
      <c r="DR323" s="1"/>
      <c r="DY323" s="1"/>
      <c r="DZ323" s="1"/>
      <c r="ED323" s="1"/>
      <c r="EF323" s="1"/>
      <c r="EK323" s="1"/>
      <c r="EL323" s="1"/>
      <c r="EM323" s="1"/>
      <c r="EN323" s="1"/>
      <c r="EQ323" s="1"/>
      <c r="ER323" s="1"/>
      <c r="ES323" s="1"/>
      <c r="EV323" s="1"/>
      <c r="EW323" s="1"/>
      <c r="EZ323" s="1"/>
      <c r="FA323" s="1"/>
      <c r="FD323" s="1"/>
      <c r="FG323" s="1"/>
      <c r="FH323" s="1"/>
      <c r="FJ323" s="1"/>
      <c r="FM323" s="1"/>
      <c r="FN323" s="1"/>
      <c r="FO323" s="1"/>
      <c r="FP323" s="1"/>
      <c r="FQ323" s="1"/>
      <c r="FR323" s="1"/>
      <c r="FS323" s="1"/>
      <c r="FU323" s="1"/>
      <c r="FV323" s="1"/>
      <c r="FW323" s="1"/>
      <c r="FX323" s="1"/>
      <c r="FY323" s="1"/>
      <c r="FZ323" s="1"/>
      <c r="GA323" s="1"/>
      <c r="GD323" s="1"/>
      <c r="GE323" s="1"/>
      <c r="GF323" s="1"/>
      <c r="GG323" s="1"/>
      <c r="GH323" s="1"/>
      <c r="GI323" s="1"/>
      <c r="GJ323" s="1"/>
      <c r="GK323" s="1"/>
      <c r="GL323" s="1"/>
      <c r="GM323" s="1"/>
      <c r="GN323" s="1"/>
      <c r="GO323" s="1"/>
      <c r="GP323" s="1"/>
      <c r="GR323" s="1"/>
      <c r="GS323" s="1"/>
      <c r="GY323" s="1"/>
      <c r="HH323" s="1"/>
      <c r="HT323" s="1"/>
      <c r="HX323" s="1"/>
      <c r="HY323" s="1"/>
      <c r="IC323" s="1"/>
      <c r="ID323" s="1"/>
      <c r="IE323" s="1"/>
      <c r="IF323" s="1"/>
      <c r="IG323" s="1"/>
      <c r="IH323" s="1"/>
      <c r="IJ323" s="1"/>
      <c r="IR323" s="1"/>
      <c r="IS323" s="1"/>
      <c r="IW323" s="1"/>
      <c r="IY323" s="1"/>
      <c r="IZ323" s="1"/>
      <c r="JA323" s="1"/>
      <c r="JC323" s="1"/>
      <c r="JF323" s="1"/>
      <c r="JG323" s="1"/>
      <c r="JH323" s="1"/>
      <c r="JI323" s="1"/>
      <c r="JJ323" s="1"/>
      <c r="JK323" s="1"/>
      <c r="JL323" s="3"/>
      <c r="JM323" s="1"/>
      <c r="JN323" s="1"/>
      <c r="JP323" s="1"/>
      <c r="JQ323" s="1"/>
      <c r="JR323" s="1"/>
      <c r="JT323" s="1"/>
      <c r="KU323" s="1"/>
      <c r="KV323" s="1"/>
      <c r="KY323" s="1"/>
      <c r="KZ323" s="1"/>
      <c r="LA323" s="1"/>
      <c r="LB323" s="1"/>
      <c r="LC323" s="1"/>
      <c r="LD323" s="1"/>
      <c r="LF323" s="1"/>
      <c r="LO323" s="1"/>
      <c r="LP323" s="1"/>
      <c r="LZ323" s="1"/>
      <c r="MA323" s="1"/>
    </row>
    <row r="324" spans="4:339" ht="13" x14ac:dyDescent="0.15">
      <c r="D324" s="12"/>
      <c r="E324" s="12"/>
      <c r="I324" s="12"/>
      <c r="J324" s="13"/>
      <c r="BF324" s="1"/>
      <c r="BG324" s="1"/>
      <c r="BH324" s="1"/>
      <c r="BI324" s="1"/>
      <c r="BK324" s="1"/>
      <c r="BL324" s="1"/>
      <c r="BM324" s="1"/>
      <c r="BN324" s="1"/>
      <c r="BO324" s="1"/>
      <c r="BP324" s="1"/>
      <c r="BQ324" s="1"/>
      <c r="BR324" s="1"/>
      <c r="BX324" s="1"/>
      <c r="CD324" s="1"/>
      <c r="CE324" s="1"/>
      <c r="CF324" s="1"/>
      <c r="CG324" s="1"/>
      <c r="CH324" s="1"/>
      <c r="CI324" s="1"/>
      <c r="CM324" s="4"/>
      <c r="CN324" s="1"/>
      <c r="CO324" s="1"/>
      <c r="CP324" s="1"/>
      <c r="CQ324" s="1"/>
      <c r="CR324" s="1"/>
      <c r="CS324" s="1"/>
      <c r="CT324" s="1"/>
      <c r="CU324" s="1"/>
      <c r="CV324" s="1"/>
      <c r="CW324" s="1"/>
      <c r="CX324" s="1"/>
      <c r="CY324" s="1"/>
      <c r="CZ324" s="1"/>
      <c r="DA324" s="1"/>
      <c r="DB324" s="1"/>
      <c r="DC324" s="1"/>
      <c r="DD324" s="1"/>
      <c r="DE324" s="1"/>
      <c r="DF324" s="1"/>
      <c r="DG324" s="1"/>
      <c r="DH324" s="1"/>
      <c r="DI324" s="1"/>
      <c r="DJ324" s="1"/>
      <c r="DK324" s="1"/>
      <c r="DM324" s="1"/>
      <c r="DQ324" s="1"/>
      <c r="DR324" s="1"/>
      <c r="DY324" s="1"/>
      <c r="DZ324" s="1"/>
      <c r="ED324" s="1"/>
      <c r="EF324" s="1"/>
      <c r="EK324" s="1"/>
      <c r="EL324" s="1"/>
      <c r="EM324" s="1"/>
      <c r="EN324" s="1"/>
      <c r="EQ324" s="1"/>
      <c r="ER324" s="1"/>
      <c r="ES324" s="1"/>
      <c r="EV324" s="1"/>
      <c r="EW324" s="1"/>
      <c r="EZ324" s="1"/>
      <c r="FA324" s="1"/>
      <c r="FD324" s="1"/>
      <c r="FG324" s="1"/>
      <c r="FH324" s="1"/>
      <c r="FJ324" s="1"/>
      <c r="FM324" s="1"/>
      <c r="FN324" s="1"/>
      <c r="FO324" s="1"/>
      <c r="FP324" s="1"/>
      <c r="FQ324" s="1"/>
      <c r="FR324" s="1"/>
      <c r="FS324" s="1"/>
      <c r="FU324" s="1"/>
      <c r="FV324" s="1"/>
      <c r="FW324" s="1"/>
      <c r="FX324" s="1"/>
      <c r="FY324" s="1"/>
      <c r="FZ324" s="1"/>
      <c r="GA324" s="1"/>
      <c r="GD324" s="1"/>
      <c r="GE324" s="1"/>
      <c r="GF324" s="1"/>
      <c r="GG324" s="1"/>
      <c r="GH324" s="1"/>
      <c r="GI324" s="1"/>
      <c r="GJ324" s="1"/>
      <c r="GK324" s="1"/>
      <c r="GL324" s="1"/>
      <c r="GM324" s="1"/>
      <c r="GN324" s="1"/>
      <c r="GO324" s="1"/>
      <c r="GP324" s="1"/>
      <c r="GR324" s="1"/>
      <c r="GS324" s="1"/>
      <c r="GY324" s="1"/>
      <c r="HH324" s="1"/>
      <c r="HT324" s="1"/>
      <c r="HX324" s="1"/>
      <c r="HY324" s="1"/>
      <c r="IC324" s="1"/>
      <c r="ID324" s="1"/>
      <c r="IE324" s="1"/>
      <c r="IF324" s="1"/>
      <c r="IG324" s="1"/>
      <c r="IH324" s="1"/>
      <c r="IJ324" s="1"/>
      <c r="IR324" s="1"/>
      <c r="IS324" s="1"/>
      <c r="IW324" s="1"/>
      <c r="IY324" s="1"/>
      <c r="IZ324" s="1"/>
      <c r="JA324" s="1"/>
      <c r="JC324" s="1"/>
      <c r="JF324" s="1"/>
      <c r="JG324" s="1"/>
      <c r="JH324" s="1"/>
      <c r="JI324" s="1"/>
      <c r="JJ324" s="1"/>
      <c r="JK324" s="1"/>
      <c r="JL324" s="3"/>
      <c r="JM324" s="1"/>
      <c r="JN324" s="1"/>
      <c r="JP324" s="1"/>
      <c r="JQ324" s="1"/>
      <c r="JR324" s="1"/>
      <c r="JT324" s="1"/>
      <c r="KU324" s="1"/>
      <c r="KV324" s="1"/>
      <c r="KY324" s="1"/>
      <c r="KZ324" s="1"/>
      <c r="LA324" s="1"/>
      <c r="LB324" s="1"/>
      <c r="LC324" s="1"/>
      <c r="LD324" s="1"/>
      <c r="LF324" s="1"/>
      <c r="LO324" s="1"/>
      <c r="LP324" s="1"/>
      <c r="LZ324" s="1"/>
      <c r="MA324" s="1"/>
    </row>
    <row r="325" spans="4:339" ht="13" x14ac:dyDescent="0.15">
      <c r="D325" s="12"/>
      <c r="E325" s="12"/>
      <c r="I325" s="12"/>
      <c r="J325" s="13"/>
      <c r="BF325" s="1"/>
      <c r="BG325" s="1"/>
      <c r="BH325" s="1"/>
      <c r="BI325" s="1"/>
      <c r="BK325" s="1"/>
      <c r="BL325" s="1"/>
      <c r="BM325" s="1"/>
      <c r="BN325" s="1"/>
      <c r="BO325" s="1"/>
      <c r="BP325" s="1"/>
      <c r="BQ325" s="1"/>
      <c r="BR325" s="1"/>
      <c r="BX325" s="1"/>
      <c r="CD325" s="1"/>
      <c r="CE325" s="1"/>
      <c r="CF325" s="1"/>
      <c r="CG325" s="1"/>
      <c r="CH325" s="1"/>
      <c r="CI325" s="1"/>
      <c r="CM325" s="4"/>
      <c r="CN325" s="1"/>
      <c r="CO325" s="1"/>
      <c r="CP325" s="1"/>
      <c r="CQ325" s="1"/>
      <c r="CR325" s="1"/>
      <c r="CS325" s="1"/>
      <c r="CT325" s="1"/>
      <c r="CU325" s="1"/>
      <c r="CV325" s="1"/>
      <c r="CW325" s="1"/>
      <c r="CX325" s="1"/>
      <c r="CY325" s="1"/>
      <c r="CZ325" s="1"/>
      <c r="DA325" s="1"/>
      <c r="DB325" s="1"/>
      <c r="DC325" s="1"/>
      <c r="DD325" s="1"/>
      <c r="DE325" s="1"/>
      <c r="DF325" s="1"/>
      <c r="DG325" s="1"/>
      <c r="DH325" s="1"/>
      <c r="DI325" s="1"/>
      <c r="DJ325" s="1"/>
      <c r="DK325" s="1"/>
      <c r="DM325" s="1"/>
      <c r="DQ325" s="1"/>
      <c r="DR325" s="1"/>
      <c r="DY325" s="1"/>
      <c r="DZ325" s="1"/>
      <c r="ED325" s="1"/>
      <c r="EF325" s="1"/>
      <c r="EK325" s="1"/>
      <c r="EL325" s="1"/>
      <c r="EM325" s="1"/>
      <c r="EN325" s="1"/>
      <c r="EQ325" s="1"/>
      <c r="ER325" s="1"/>
      <c r="ES325" s="1"/>
      <c r="EV325" s="1"/>
      <c r="EW325" s="1"/>
      <c r="EZ325" s="1"/>
      <c r="FA325" s="1"/>
      <c r="FD325" s="1"/>
      <c r="FG325" s="1"/>
      <c r="FH325" s="1"/>
      <c r="FJ325" s="1"/>
      <c r="FM325" s="1"/>
      <c r="FN325" s="1"/>
      <c r="FO325" s="1"/>
      <c r="FP325" s="1"/>
      <c r="FQ325" s="1"/>
      <c r="FR325" s="1"/>
      <c r="FS325" s="1"/>
      <c r="FU325" s="1"/>
      <c r="FV325" s="1"/>
      <c r="FW325" s="1"/>
      <c r="FX325" s="1"/>
      <c r="FY325" s="1"/>
      <c r="FZ325" s="1"/>
      <c r="GA325" s="1"/>
      <c r="GD325" s="1"/>
      <c r="GE325" s="1"/>
      <c r="GF325" s="1"/>
      <c r="GG325" s="1"/>
      <c r="GH325" s="1"/>
      <c r="GI325" s="1"/>
      <c r="GJ325" s="1"/>
      <c r="GK325" s="1"/>
      <c r="GL325" s="1"/>
      <c r="GM325" s="1"/>
      <c r="GN325" s="1"/>
      <c r="GO325" s="1"/>
      <c r="GP325" s="1"/>
      <c r="GR325" s="1"/>
      <c r="GS325" s="1"/>
      <c r="GY325" s="1"/>
      <c r="HH325" s="1"/>
      <c r="HT325" s="1"/>
      <c r="HX325" s="1"/>
      <c r="HY325" s="1"/>
      <c r="IC325" s="1"/>
      <c r="ID325" s="1"/>
      <c r="IE325" s="1"/>
      <c r="IF325" s="1"/>
      <c r="IG325" s="1"/>
      <c r="IH325" s="1"/>
      <c r="IJ325" s="1"/>
      <c r="IR325" s="1"/>
      <c r="IS325" s="1"/>
      <c r="IW325" s="1"/>
      <c r="IY325" s="1"/>
      <c r="IZ325" s="1"/>
      <c r="JA325" s="1"/>
      <c r="JC325" s="1"/>
      <c r="JF325" s="1"/>
      <c r="JG325" s="1"/>
      <c r="JH325" s="1"/>
      <c r="JI325" s="1"/>
      <c r="JJ325" s="1"/>
      <c r="JK325" s="1"/>
      <c r="JL325" s="3"/>
      <c r="JM325" s="1"/>
      <c r="JN325" s="1"/>
      <c r="JP325" s="1"/>
      <c r="JQ325" s="1"/>
      <c r="JR325" s="1"/>
      <c r="JT325" s="1"/>
      <c r="KU325" s="1"/>
      <c r="KV325" s="1"/>
      <c r="KY325" s="1"/>
      <c r="KZ325" s="1"/>
      <c r="LA325" s="1"/>
      <c r="LB325" s="1"/>
      <c r="LC325" s="1"/>
      <c r="LD325" s="1"/>
      <c r="LF325" s="1"/>
      <c r="LO325" s="1"/>
      <c r="LP325" s="1"/>
      <c r="LZ325" s="1"/>
      <c r="MA325" s="1"/>
    </row>
    <row r="326" spans="4:339" ht="13" x14ac:dyDescent="0.15">
      <c r="D326" s="12"/>
      <c r="E326" s="12"/>
      <c r="I326" s="12"/>
      <c r="J326" s="13"/>
      <c r="BF326" s="1"/>
      <c r="BG326" s="1"/>
      <c r="BH326" s="1"/>
      <c r="BI326" s="1"/>
      <c r="BK326" s="1"/>
      <c r="BL326" s="1"/>
      <c r="BM326" s="1"/>
      <c r="BN326" s="1"/>
      <c r="BO326" s="1"/>
      <c r="BP326" s="1"/>
      <c r="BQ326" s="1"/>
      <c r="BR326" s="1"/>
      <c r="BX326" s="1"/>
      <c r="CD326" s="1"/>
      <c r="CE326" s="1"/>
      <c r="CF326" s="1"/>
      <c r="CG326" s="1"/>
      <c r="CH326" s="1"/>
      <c r="CI326" s="1"/>
      <c r="CM326" s="4"/>
      <c r="CN326" s="1"/>
      <c r="CO326" s="1"/>
      <c r="CP326" s="1"/>
      <c r="CQ326" s="1"/>
      <c r="CR326" s="1"/>
      <c r="CS326" s="1"/>
      <c r="CT326" s="1"/>
      <c r="CU326" s="1"/>
      <c r="CV326" s="1"/>
      <c r="CW326" s="1"/>
      <c r="CX326" s="1"/>
      <c r="CY326" s="1"/>
      <c r="CZ326" s="1"/>
      <c r="DA326" s="1"/>
      <c r="DB326" s="1"/>
      <c r="DC326" s="1"/>
      <c r="DD326" s="1"/>
      <c r="DE326" s="1"/>
      <c r="DF326" s="1"/>
      <c r="DG326" s="1"/>
      <c r="DH326" s="1"/>
      <c r="DI326" s="1"/>
      <c r="DJ326" s="1"/>
      <c r="DK326" s="1"/>
      <c r="DM326" s="1"/>
      <c r="DQ326" s="1"/>
      <c r="DR326" s="1"/>
      <c r="DY326" s="1"/>
      <c r="DZ326" s="1"/>
      <c r="ED326" s="1"/>
      <c r="EF326" s="1"/>
      <c r="EK326" s="1"/>
      <c r="EL326" s="1"/>
      <c r="EM326" s="1"/>
      <c r="EN326" s="1"/>
      <c r="EQ326" s="1"/>
      <c r="ER326" s="1"/>
      <c r="ES326" s="1"/>
      <c r="EV326" s="1"/>
      <c r="EW326" s="1"/>
      <c r="EZ326" s="1"/>
      <c r="FA326" s="1"/>
      <c r="FD326" s="1"/>
      <c r="FG326" s="1"/>
      <c r="FH326" s="1"/>
      <c r="FJ326" s="1"/>
      <c r="FM326" s="1"/>
      <c r="FN326" s="1"/>
      <c r="FO326" s="1"/>
      <c r="FP326" s="1"/>
      <c r="FQ326" s="1"/>
      <c r="FR326" s="1"/>
      <c r="FS326" s="1"/>
      <c r="FU326" s="1"/>
      <c r="FV326" s="1"/>
      <c r="FW326" s="1"/>
      <c r="FX326" s="1"/>
      <c r="FY326" s="1"/>
      <c r="FZ326" s="1"/>
      <c r="GA326" s="1"/>
      <c r="GD326" s="1"/>
      <c r="GE326" s="1"/>
      <c r="GF326" s="1"/>
      <c r="GG326" s="1"/>
      <c r="GH326" s="1"/>
      <c r="GI326" s="1"/>
      <c r="GJ326" s="1"/>
      <c r="GK326" s="1"/>
      <c r="GL326" s="1"/>
      <c r="GM326" s="1"/>
      <c r="GN326" s="1"/>
      <c r="GO326" s="1"/>
      <c r="GP326" s="1"/>
      <c r="GR326" s="1"/>
      <c r="GS326" s="1"/>
      <c r="GY326" s="1"/>
      <c r="HH326" s="1"/>
      <c r="HT326" s="1"/>
      <c r="HX326" s="1"/>
      <c r="HY326" s="1"/>
      <c r="IC326" s="1"/>
      <c r="ID326" s="1"/>
      <c r="IE326" s="1"/>
      <c r="IF326" s="1"/>
      <c r="IG326" s="1"/>
      <c r="IH326" s="1"/>
      <c r="IJ326" s="1"/>
      <c r="IR326" s="1"/>
      <c r="IS326" s="1"/>
      <c r="IW326" s="1"/>
      <c r="IY326" s="1"/>
      <c r="IZ326" s="1"/>
      <c r="JA326" s="1"/>
      <c r="JC326" s="1"/>
      <c r="JF326" s="1"/>
      <c r="JG326" s="1"/>
      <c r="JH326" s="1"/>
      <c r="JI326" s="1"/>
      <c r="JJ326" s="1"/>
      <c r="JK326" s="1"/>
      <c r="JL326" s="3"/>
      <c r="JM326" s="1"/>
      <c r="JN326" s="1"/>
      <c r="JP326" s="1"/>
      <c r="JQ326" s="1"/>
      <c r="JR326" s="1"/>
      <c r="JT326" s="1"/>
      <c r="KU326" s="1"/>
      <c r="KV326" s="1"/>
      <c r="KY326" s="1"/>
      <c r="KZ326" s="1"/>
      <c r="LA326" s="1"/>
      <c r="LB326" s="1"/>
      <c r="LC326" s="1"/>
      <c r="LD326" s="1"/>
      <c r="LF326" s="1"/>
      <c r="LO326" s="1"/>
      <c r="LP326" s="1"/>
      <c r="LZ326" s="1"/>
      <c r="MA326" s="1"/>
    </row>
    <row r="327" spans="4:339" ht="13" x14ac:dyDescent="0.15">
      <c r="D327" s="12"/>
      <c r="E327" s="12"/>
      <c r="I327" s="12"/>
      <c r="J327" s="13"/>
      <c r="BF327" s="1"/>
      <c r="BG327" s="1"/>
      <c r="BH327" s="1"/>
      <c r="BI327" s="1"/>
      <c r="BK327" s="1"/>
      <c r="BL327" s="1"/>
      <c r="BM327" s="1"/>
      <c r="BN327" s="1"/>
      <c r="BO327" s="1"/>
      <c r="BP327" s="1"/>
      <c r="BQ327" s="1"/>
      <c r="BR327" s="1"/>
      <c r="BX327" s="1"/>
      <c r="CD327" s="1"/>
      <c r="CE327" s="1"/>
      <c r="CF327" s="1"/>
      <c r="CG327" s="1"/>
      <c r="CH327" s="1"/>
      <c r="CI327" s="1"/>
      <c r="CM327" s="4"/>
      <c r="CN327" s="1"/>
      <c r="CO327" s="1"/>
      <c r="CP327" s="1"/>
      <c r="CQ327" s="1"/>
      <c r="CR327" s="1"/>
      <c r="CS327" s="1"/>
      <c r="CT327" s="1"/>
      <c r="CU327" s="1"/>
      <c r="CV327" s="1"/>
      <c r="CW327" s="1"/>
      <c r="CX327" s="1"/>
      <c r="CY327" s="1"/>
      <c r="CZ327" s="1"/>
      <c r="DA327" s="1"/>
      <c r="DB327" s="1"/>
      <c r="DC327" s="1"/>
      <c r="DD327" s="1"/>
      <c r="DE327" s="1"/>
      <c r="DF327" s="1"/>
      <c r="DG327" s="1"/>
      <c r="DH327" s="1"/>
      <c r="DI327" s="1"/>
      <c r="DJ327" s="1"/>
      <c r="DK327" s="1"/>
      <c r="DM327" s="1"/>
      <c r="DQ327" s="1"/>
      <c r="DR327" s="1"/>
      <c r="DY327" s="1"/>
      <c r="DZ327" s="1"/>
      <c r="ED327" s="1"/>
      <c r="EF327" s="1"/>
      <c r="EK327" s="1"/>
      <c r="EL327" s="1"/>
      <c r="EM327" s="1"/>
      <c r="EN327" s="1"/>
      <c r="EQ327" s="1"/>
      <c r="ER327" s="1"/>
      <c r="ES327" s="1"/>
      <c r="EV327" s="1"/>
      <c r="EW327" s="1"/>
      <c r="EZ327" s="1"/>
      <c r="FA327" s="1"/>
      <c r="FD327" s="1"/>
      <c r="FG327" s="1"/>
      <c r="FH327" s="1"/>
      <c r="FJ327" s="1"/>
      <c r="FM327" s="1"/>
      <c r="FN327" s="1"/>
      <c r="FO327" s="1"/>
      <c r="FP327" s="1"/>
      <c r="FQ327" s="1"/>
      <c r="FR327" s="1"/>
      <c r="FS327" s="1"/>
      <c r="FU327" s="1"/>
      <c r="FV327" s="1"/>
      <c r="FW327" s="1"/>
      <c r="FX327" s="1"/>
      <c r="FY327" s="1"/>
      <c r="FZ327" s="1"/>
      <c r="GA327" s="1"/>
      <c r="GD327" s="1"/>
      <c r="GE327" s="1"/>
      <c r="GF327" s="1"/>
      <c r="GG327" s="1"/>
      <c r="GH327" s="1"/>
      <c r="GI327" s="1"/>
      <c r="GJ327" s="1"/>
      <c r="GK327" s="1"/>
      <c r="GL327" s="1"/>
      <c r="GM327" s="1"/>
      <c r="GN327" s="1"/>
      <c r="GO327" s="1"/>
      <c r="GP327" s="1"/>
      <c r="GR327" s="1"/>
      <c r="GS327" s="1"/>
      <c r="GY327" s="1"/>
      <c r="HH327" s="1"/>
      <c r="HT327" s="1"/>
      <c r="HX327" s="1"/>
      <c r="HY327" s="1"/>
      <c r="IC327" s="1"/>
      <c r="ID327" s="1"/>
      <c r="IE327" s="1"/>
      <c r="IF327" s="1"/>
      <c r="IG327" s="1"/>
      <c r="IH327" s="1"/>
      <c r="IJ327" s="1"/>
      <c r="IR327" s="1"/>
      <c r="IS327" s="1"/>
      <c r="IW327" s="1"/>
      <c r="IY327" s="1"/>
      <c r="IZ327" s="1"/>
      <c r="JA327" s="1"/>
      <c r="JC327" s="1"/>
      <c r="JF327" s="1"/>
      <c r="JG327" s="1"/>
      <c r="JH327" s="1"/>
      <c r="JI327" s="1"/>
      <c r="JJ327" s="1"/>
      <c r="JK327" s="1"/>
      <c r="JL327" s="3"/>
      <c r="JM327" s="1"/>
      <c r="JN327" s="1"/>
      <c r="JP327" s="1"/>
      <c r="JQ327" s="1"/>
      <c r="JR327" s="1"/>
      <c r="JT327" s="1"/>
      <c r="KU327" s="1"/>
      <c r="KV327" s="1"/>
      <c r="KY327" s="1"/>
      <c r="KZ327" s="1"/>
      <c r="LA327" s="1"/>
      <c r="LB327" s="1"/>
      <c r="LC327" s="1"/>
      <c r="LD327" s="1"/>
      <c r="LF327" s="1"/>
      <c r="LO327" s="1"/>
      <c r="LP327" s="1"/>
      <c r="LZ327" s="1"/>
      <c r="MA327" s="1"/>
    </row>
    <row r="328" spans="4:339" ht="13" x14ac:dyDescent="0.15">
      <c r="D328" s="12"/>
      <c r="E328" s="12"/>
      <c r="I328" s="12"/>
      <c r="J328" s="13"/>
      <c r="BF328" s="1"/>
      <c r="BG328" s="1"/>
      <c r="BH328" s="1"/>
      <c r="BI328" s="1"/>
      <c r="BK328" s="1"/>
      <c r="BL328" s="1"/>
      <c r="BM328" s="1"/>
      <c r="BN328" s="1"/>
      <c r="BO328" s="1"/>
      <c r="BP328" s="1"/>
      <c r="BQ328" s="1"/>
      <c r="BR328" s="1"/>
      <c r="BX328" s="1"/>
      <c r="CD328" s="1"/>
      <c r="CE328" s="1"/>
      <c r="CF328" s="1"/>
      <c r="CG328" s="1"/>
      <c r="CH328" s="1"/>
      <c r="CI328" s="1"/>
      <c r="CM328" s="4"/>
      <c r="CN328" s="1"/>
      <c r="CO328" s="1"/>
      <c r="CP328" s="1"/>
      <c r="CQ328" s="1"/>
      <c r="CR328" s="1"/>
      <c r="CS328" s="1"/>
      <c r="CT328" s="1"/>
      <c r="CU328" s="1"/>
      <c r="CV328" s="1"/>
      <c r="CW328" s="1"/>
      <c r="CX328" s="1"/>
      <c r="CY328" s="1"/>
      <c r="CZ328" s="1"/>
      <c r="DA328" s="1"/>
      <c r="DB328" s="1"/>
      <c r="DC328" s="1"/>
      <c r="DD328" s="1"/>
      <c r="DE328" s="1"/>
      <c r="DF328" s="1"/>
      <c r="DG328" s="1"/>
      <c r="DH328" s="1"/>
      <c r="DI328" s="1"/>
      <c r="DJ328" s="1"/>
      <c r="DK328" s="1"/>
      <c r="DM328" s="1"/>
      <c r="DQ328" s="1"/>
      <c r="DR328" s="1"/>
      <c r="DY328" s="1"/>
      <c r="DZ328" s="1"/>
      <c r="ED328" s="1"/>
      <c r="EK328" s="1"/>
      <c r="EL328" s="1"/>
      <c r="EM328" s="1"/>
      <c r="EN328" s="1"/>
      <c r="EQ328" s="1"/>
      <c r="ER328" s="1"/>
      <c r="ES328" s="1"/>
      <c r="EV328" s="1"/>
      <c r="EW328" s="1"/>
      <c r="EZ328" s="1"/>
      <c r="FA328" s="1"/>
      <c r="FD328" s="1"/>
      <c r="FH328" s="1"/>
      <c r="FJ328" s="1"/>
      <c r="FL328" s="1"/>
      <c r="FM328" s="1"/>
      <c r="FN328" s="1"/>
      <c r="FP328" s="1"/>
      <c r="FQ328" s="1"/>
      <c r="FR328" s="1"/>
      <c r="FS328" s="1"/>
      <c r="FT328" s="1"/>
      <c r="FU328" s="1"/>
      <c r="FV328" s="1"/>
      <c r="FW328" s="1"/>
      <c r="FX328" s="1"/>
      <c r="FY328" s="1"/>
      <c r="FZ328" s="1"/>
      <c r="GA328" s="1"/>
      <c r="GD328" s="1"/>
      <c r="GE328" s="1"/>
      <c r="GF328" s="1"/>
      <c r="GG328" s="1"/>
      <c r="GH328" s="1"/>
      <c r="GI328" s="1"/>
      <c r="GJ328" s="1"/>
      <c r="GK328" s="1"/>
      <c r="GL328" s="1"/>
      <c r="GM328" s="1"/>
      <c r="GN328" s="1"/>
      <c r="GO328" s="1"/>
      <c r="GP328" s="1"/>
      <c r="GR328" s="1"/>
      <c r="GY328" s="1"/>
      <c r="HF328" s="1"/>
      <c r="HH328" s="1"/>
      <c r="HN328" s="1"/>
      <c r="HR328" s="1"/>
      <c r="HS328" s="1"/>
      <c r="HT328" s="1"/>
      <c r="HY328" s="1"/>
      <c r="IA328" s="1"/>
      <c r="IC328" s="1"/>
      <c r="ID328" s="1"/>
      <c r="IE328" s="1"/>
      <c r="IK328" s="1"/>
      <c r="IR328" s="1"/>
      <c r="IS328" s="1"/>
      <c r="IW328" s="1"/>
      <c r="IZ328" s="1"/>
      <c r="JA328" s="1"/>
      <c r="JC328" s="1"/>
      <c r="JF328" s="1"/>
      <c r="JG328" s="1"/>
      <c r="JH328" s="1"/>
      <c r="JI328" s="1"/>
      <c r="JJ328" s="1"/>
      <c r="JN328" s="1"/>
      <c r="JP328" s="1"/>
      <c r="JQ328" s="1"/>
      <c r="JT328" s="1"/>
      <c r="KU328" s="1"/>
      <c r="KV328" s="1"/>
      <c r="KY328" s="1"/>
      <c r="KZ328" s="1"/>
      <c r="LA328" s="1"/>
      <c r="LB328" s="1"/>
      <c r="LC328" s="1"/>
      <c r="LD328" s="1"/>
      <c r="LO328" s="1"/>
      <c r="LP328" s="1"/>
      <c r="LZ328" s="1"/>
      <c r="MA328" s="1"/>
    </row>
    <row r="329" spans="4:339" ht="13" x14ac:dyDescent="0.15">
      <c r="D329" s="12"/>
      <c r="E329" s="12"/>
      <c r="I329" s="12"/>
      <c r="J329" s="13"/>
      <c r="BF329" s="1"/>
      <c r="BG329" s="1"/>
      <c r="BH329" s="1"/>
      <c r="BI329" s="1"/>
      <c r="BK329" s="1"/>
      <c r="BL329" s="1"/>
      <c r="BM329" s="1"/>
      <c r="BN329" s="1"/>
      <c r="BO329" s="1"/>
      <c r="BP329" s="1"/>
      <c r="BQ329" s="1"/>
      <c r="BR329" s="1"/>
      <c r="BX329" s="1"/>
      <c r="CD329" s="1"/>
      <c r="CE329" s="1"/>
      <c r="CF329" s="1"/>
      <c r="CG329" s="1"/>
      <c r="CH329" s="1"/>
      <c r="CI329" s="1"/>
      <c r="CM329" s="4"/>
      <c r="CN329" s="1"/>
      <c r="CO329" s="1"/>
      <c r="CP329" s="1"/>
      <c r="CQ329" s="1"/>
      <c r="CR329" s="1"/>
      <c r="CS329" s="1"/>
      <c r="CT329" s="1"/>
      <c r="CU329" s="1"/>
      <c r="CV329" s="1"/>
      <c r="CW329" s="1"/>
      <c r="CX329" s="1"/>
      <c r="CY329" s="1"/>
      <c r="CZ329" s="1"/>
      <c r="DA329" s="1"/>
      <c r="DB329" s="1"/>
      <c r="DC329" s="1"/>
      <c r="DD329" s="1"/>
      <c r="DE329" s="1"/>
      <c r="DF329" s="1"/>
      <c r="DG329" s="1"/>
      <c r="DH329" s="1"/>
      <c r="DI329" s="1"/>
      <c r="DJ329" s="1"/>
      <c r="DK329" s="1"/>
      <c r="DM329" s="1"/>
      <c r="DQ329" s="1"/>
      <c r="DR329" s="1"/>
      <c r="DY329" s="1"/>
      <c r="DZ329" s="1"/>
      <c r="ED329" s="1"/>
      <c r="EK329" s="1"/>
      <c r="EL329" s="1"/>
      <c r="EM329" s="1"/>
      <c r="EN329" s="1"/>
      <c r="EQ329" s="1"/>
      <c r="ER329" s="1"/>
      <c r="ES329" s="1"/>
      <c r="EV329" s="1"/>
      <c r="EW329" s="1"/>
      <c r="EZ329" s="1"/>
      <c r="FA329" s="1"/>
      <c r="FD329" s="1"/>
      <c r="FH329" s="1"/>
      <c r="FJ329" s="1"/>
      <c r="FL329" s="1"/>
      <c r="FM329" s="1"/>
      <c r="FN329" s="1"/>
      <c r="FP329" s="1"/>
      <c r="FQ329" s="1"/>
      <c r="FR329" s="1"/>
      <c r="FS329" s="1"/>
      <c r="FT329" s="1"/>
      <c r="FU329" s="1"/>
      <c r="FV329" s="1"/>
      <c r="FW329" s="1"/>
      <c r="FX329" s="1"/>
      <c r="FY329" s="1"/>
      <c r="FZ329" s="1"/>
      <c r="GA329" s="1"/>
      <c r="GD329" s="1"/>
      <c r="GE329" s="1"/>
      <c r="GF329" s="1"/>
      <c r="GG329" s="1"/>
      <c r="GH329" s="1"/>
      <c r="GI329" s="1"/>
      <c r="GJ329" s="1"/>
      <c r="GK329" s="1"/>
      <c r="GL329" s="1"/>
      <c r="GM329" s="1"/>
      <c r="GN329" s="1"/>
      <c r="GO329" s="1"/>
      <c r="GP329" s="1"/>
      <c r="GR329" s="1"/>
      <c r="GY329" s="1"/>
      <c r="HF329" s="1"/>
      <c r="HH329" s="1"/>
      <c r="HN329" s="1"/>
      <c r="HR329" s="1"/>
      <c r="HS329" s="1"/>
      <c r="HT329" s="1"/>
      <c r="HY329" s="1"/>
      <c r="IA329" s="1"/>
      <c r="IC329" s="1"/>
      <c r="ID329" s="1"/>
      <c r="IE329" s="1"/>
      <c r="IK329" s="1"/>
      <c r="IR329" s="1"/>
      <c r="IS329" s="1"/>
      <c r="IW329" s="1"/>
      <c r="IZ329" s="1"/>
      <c r="JA329" s="1"/>
      <c r="JC329" s="1"/>
      <c r="JF329" s="1"/>
      <c r="JG329" s="1"/>
      <c r="JH329" s="1"/>
      <c r="JI329" s="1"/>
      <c r="JJ329" s="1"/>
      <c r="JN329" s="1"/>
      <c r="JP329" s="1"/>
      <c r="JQ329" s="1"/>
      <c r="JT329" s="1"/>
      <c r="KU329" s="1"/>
      <c r="KV329" s="1"/>
      <c r="KY329" s="1"/>
      <c r="KZ329" s="1"/>
      <c r="LA329" s="1"/>
      <c r="LB329" s="1"/>
      <c r="LC329" s="1"/>
      <c r="LD329" s="1"/>
      <c r="LO329" s="1"/>
      <c r="LP329" s="1"/>
      <c r="LZ329" s="1"/>
      <c r="MA329" s="1"/>
    </row>
    <row r="330" spans="4:339" ht="13" x14ac:dyDescent="0.15">
      <c r="D330" s="12"/>
      <c r="E330" s="12"/>
      <c r="I330" s="12"/>
      <c r="J330" s="13"/>
      <c r="BF330" s="1"/>
      <c r="BG330" s="1"/>
      <c r="BH330" s="1"/>
      <c r="BI330" s="1"/>
      <c r="BK330" s="1"/>
      <c r="BL330" s="1"/>
      <c r="BM330" s="1"/>
      <c r="BN330" s="1"/>
      <c r="BO330" s="1"/>
      <c r="BP330" s="1"/>
      <c r="BQ330" s="1"/>
      <c r="BR330" s="1"/>
      <c r="CD330" s="1"/>
      <c r="CE330" s="1"/>
      <c r="CF330" s="1"/>
      <c r="CG330" s="1"/>
      <c r="CH330" s="1"/>
      <c r="CI330" s="1"/>
      <c r="CM330" s="2"/>
      <c r="CN330" s="1"/>
      <c r="CO330" s="1"/>
      <c r="CP330" s="1"/>
      <c r="CQ330" s="1"/>
      <c r="CR330" s="1"/>
      <c r="CS330" s="1"/>
      <c r="CT330" s="1"/>
      <c r="CU330" s="1"/>
      <c r="CV330" s="1"/>
      <c r="CW330" s="1"/>
      <c r="CX330" s="1"/>
      <c r="CY330" s="1"/>
      <c r="CZ330" s="1"/>
      <c r="DA330" s="1"/>
      <c r="DB330" s="1"/>
      <c r="DC330" s="1"/>
      <c r="DD330" s="1"/>
      <c r="DE330" s="1"/>
      <c r="DF330" s="1"/>
      <c r="DG330" s="1"/>
      <c r="DH330" s="1"/>
      <c r="DI330" s="1"/>
      <c r="DJ330" s="1"/>
      <c r="DK330" s="1"/>
      <c r="DM330" s="1"/>
      <c r="DQ330" s="1"/>
      <c r="DR330" s="1"/>
      <c r="DY330" s="1"/>
      <c r="DZ330" s="1"/>
      <c r="ED330" s="1"/>
      <c r="EE330" s="1"/>
      <c r="EF330" s="1"/>
      <c r="EG330" s="1"/>
      <c r="EH330" s="1"/>
      <c r="EK330" s="1"/>
      <c r="EL330" s="1"/>
      <c r="EM330" s="1"/>
      <c r="EN330" s="1"/>
      <c r="EQ330" s="1"/>
      <c r="ER330" s="1"/>
      <c r="ES330" s="1"/>
      <c r="EV330" s="1"/>
      <c r="EW330" s="1"/>
      <c r="EY330" s="1"/>
      <c r="EZ330" s="1"/>
      <c r="FA330" s="1"/>
      <c r="FD330" s="1"/>
      <c r="FF330" s="1"/>
      <c r="FG330" s="1"/>
      <c r="FH330" s="1"/>
      <c r="FI330" s="1"/>
      <c r="FJ330" s="1"/>
      <c r="FK330" s="1"/>
      <c r="FL330" s="1"/>
      <c r="FM330" s="1"/>
      <c r="FN330" s="1"/>
      <c r="FO330" s="1"/>
      <c r="FP330" s="1"/>
      <c r="FQ330" s="1"/>
      <c r="FR330" s="1"/>
      <c r="FS330" s="1"/>
      <c r="FT330" s="1"/>
      <c r="FU330" s="1"/>
      <c r="FV330" s="1"/>
      <c r="FW330" s="1"/>
      <c r="FX330" s="1"/>
      <c r="FY330" s="1"/>
      <c r="FZ330" s="1"/>
      <c r="GA330" s="1"/>
      <c r="GD330" s="1"/>
      <c r="GE330" s="1"/>
      <c r="GF330" s="1"/>
      <c r="GG330" s="1"/>
      <c r="GH330" s="1"/>
      <c r="GI330" s="1"/>
      <c r="GJ330" s="1"/>
      <c r="GL330" s="1"/>
      <c r="GM330" s="1"/>
      <c r="GN330" s="1"/>
      <c r="GO330" s="1"/>
      <c r="GP330" s="1"/>
      <c r="GR330" s="1"/>
      <c r="HH330" s="1"/>
      <c r="HT330" s="1"/>
      <c r="HY330" s="1"/>
      <c r="ID330" s="1"/>
      <c r="IE330" s="1"/>
      <c r="IG330" s="1"/>
      <c r="IJ330" s="1"/>
      <c r="IR330" s="1"/>
      <c r="IS330" s="1"/>
      <c r="IW330" s="1"/>
      <c r="IX330" s="1"/>
      <c r="IZ330" s="1"/>
      <c r="JB330" s="1"/>
      <c r="JC330" s="1"/>
      <c r="JF330" s="1"/>
      <c r="JG330" s="1"/>
      <c r="JJ330" s="1"/>
      <c r="JK330" s="1"/>
      <c r="JL330" s="3"/>
      <c r="JM330" s="1"/>
      <c r="JN330" s="1"/>
      <c r="JP330" s="1"/>
      <c r="JQ330" s="1"/>
      <c r="JR330" s="1"/>
      <c r="JT330" s="1"/>
      <c r="KV330" s="1"/>
      <c r="KW330" s="1"/>
      <c r="KY330" s="1"/>
      <c r="KZ330" s="1"/>
      <c r="LA330" s="1"/>
      <c r="LB330" s="1"/>
      <c r="LC330" s="1"/>
      <c r="LD330" s="1"/>
      <c r="LF330" s="1"/>
      <c r="LN330" s="1"/>
      <c r="LO330" s="1"/>
      <c r="LP330" s="1"/>
      <c r="LZ330" s="1"/>
      <c r="MA330" s="1"/>
    </row>
    <row r="331" spans="4:339" ht="13" x14ac:dyDescent="0.15">
      <c r="D331" s="12"/>
      <c r="E331" s="12"/>
      <c r="I331" s="12"/>
      <c r="J331" s="13"/>
      <c r="BF331" s="1"/>
      <c r="BG331" s="1"/>
      <c r="BH331" s="1"/>
      <c r="BI331" s="1"/>
      <c r="BK331" s="1"/>
      <c r="BL331" s="1"/>
      <c r="BM331" s="1"/>
      <c r="BN331" s="1"/>
      <c r="BO331" s="1"/>
      <c r="BP331" s="1"/>
      <c r="BQ331" s="1"/>
      <c r="BR331" s="1"/>
      <c r="CD331" s="1"/>
      <c r="CE331" s="1"/>
      <c r="CF331" s="1"/>
      <c r="CG331" s="1"/>
      <c r="CH331" s="1"/>
      <c r="CI331" s="1"/>
      <c r="CM331" s="2"/>
      <c r="CN331" s="1"/>
      <c r="CO331" s="1"/>
      <c r="CP331" s="1"/>
      <c r="CQ331" s="1"/>
      <c r="CR331" s="1"/>
      <c r="CS331" s="1"/>
      <c r="CT331" s="1"/>
      <c r="CU331" s="1"/>
      <c r="CV331" s="1"/>
      <c r="CW331" s="1"/>
      <c r="CX331" s="1"/>
      <c r="CY331" s="1"/>
      <c r="CZ331" s="1"/>
      <c r="DA331" s="1"/>
      <c r="DB331" s="1"/>
      <c r="DC331" s="1"/>
      <c r="DD331" s="1"/>
      <c r="DE331" s="1"/>
      <c r="DF331" s="1"/>
      <c r="DG331" s="1"/>
      <c r="DH331" s="1"/>
      <c r="DI331" s="1"/>
      <c r="DJ331" s="1"/>
      <c r="DK331" s="1"/>
      <c r="DM331" s="1"/>
      <c r="DQ331" s="1"/>
      <c r="DR331" s="1"/>
      <c r="DY331" s="1"/>
      <c r="DZ331" s="1"/>
      <c r="ED331" s="1"/>
      <c r="EE331" s="1"/>
      <c r="EF331" s="1"/>
      <c r="EG331" s="1"/>
      <c r="EH331" s="1"/>
      <c r="EK331" s="1"/>
      <c r="EL331" s="1"/>
      <c r="EM331" s="1"/>
      <c r="EN331" s="1"/>
      <c r="EQ331" s="1"/>
      <c r="ER331" s="1"/>
      <c r="ES331" s="1"/>
      <c r="EV331" s="1"/>
      <c r="EW331" s="1"/>
      <c r="EY331" s="1"/>
      <c r="EZ331" s="1"/>
      <c r="FA331" s="1"/>
      <c r="FD331" s="1"/>
      <c r="FF331" s="1"/>
      <c r="FG331" s="1"/>
      <c r="FH331" s="1"/>
      <c r="FI331" s="1"/>
      <c r="FJ331" s="1"/>
      <c r="FK331" s="1"/>
      <c r="FL331" s="1"/>
      <c r="FM331" s="1"/>
      <c r="FN331" s="1"/>
      <c r="FO331" s="1"/>
      <c r="FP331" s="1"/>
      <c r="FQ331" s="1"/>
      <c r="FR331" s="1"/>
      <c r="FS331" s="1"/>
      <c r="FT331" s="1"/>
      <c r="FU331" s="1"/>
      <c r="FV331" s="1"/>
      <c r="FW331" s="1"/>
      <c r="FX331" s="1"/>
      <c r="FY331" s="1"/>
      <c r="FZ331" s="1"/>
      <c r="GA331" s="1"/>
      <c r="GD331" s="1"/>
      <c r="GE331" s="1"/>
      <c r="GF331" s="1"/>
      <c r="GG331" s="1"/>
      <c r="GH331" s="1"/>
      <c r="GI331" s="1"/>
      <c r="GJ331" s="1"/>
      <c r="GL331" s="1"/>
      <c r="GM331" s="1"/>
      <c r="GN331" s="1"/>
      <c r="GO331" s="1"/>
      <c r="GP331" s="1"/>
      <c r="GR331" s="1"/>
      <c r="HH331" s="1"/>
      <c r="HT331" s="1"/>
      <c r="HY331" s="1"/>
      <c r="ID331" s="1"/>
      <c r="IE331" s="1"/>
      <c r="IG331" s="1"/>
      <c r="IJ331" s="1"/>
      <c r="IR331" s="1"/>
      <c r="IS331" s="1"/>
      <c r="IW331" s="1"/>
      <c r="IX331" s="1"/>
      <c r="IZ331" s="1"/>
      <c r="JB331" s="1"/>
      <c r="JC331" s="1"/>
      <c r="JF331" s="1"/>
      <c r="JG331" s="1"/>
      <c r="JJ331" s="1"/>
      <c r="JK331" s="1"/>
      <c r="JL331" s="3"/>
      <c r="JM331" s="1"/>
      <c r="JN331" s="1"/>
      <c r="JP331" s="1"/>
      <c r="JQ331" s="1"/>
      <c r="JR331" s="1"/>
      <c r="JT331" s="1"/>
      <c r="KV331" s="1"/>
      <c r="KW331" s="1"/>
      <c r="KY331" s="1"/>
      <c r="KZ331" s="1"/>
      <c r="LA331" s="1"/>
      <c r="LB331" s="1"/>
      <c r="LC331" s="1"/>
      <c r="LD331" s="1"/>
      <c r="LF331" s="1"/>
      <c r="LN331" s="1"/>
      <c r="LO331" s="1"/>
      <c r="LP331" s="1"/>
      <c r="LZ331" s="1"/>
      <c r="MA331" s="1"/>
    </row>
    <row r="332" spans="4:339" ht="13" x14ac:dyDescent="0.15">
      <c r="D332" s="12"/>
      <c r="E332" s="12"/>
      <c r="I332" s="12"/>
      <c r="J332" s="13"/>
      <c r="BF332" s="1"/>
      <c r="BG332" s="1"/>
      <c r="BH332" s="1"/>
      <c r="BI332" s="1"/>
      <c r="BK332" s="1"/>
      <c r="BL332" s="1"/>
      <c r="BM332" s="1"/>
      <c r="BN332" s="1"/>
      <c r="BO332" s="1"/>
      <c r="BP332" s="1"/>
      <c r="BQ332" s="1"/>
      <c r="BR332" s="1"/>
      <c r="BX332" s="1"/>
      <c r="CD332" s="1"/>
      <c r="CE332" s="1"/>
      <c r="CF332" s="1"/>
      <c r="CG332" s="1"/>
      <c r="CH332" s="1"/>
      <c r="CI332" s="1"/>
      <c r="CK332" s="1"/>
      <c r="CM332" s="2"/>
      <c r="CN332" s="1"/>
      <c r="CO332" s="1"/>
      <c r="CP332" s="1"/>
      <c r="CQ332" s="1"/>
      <c r="CR332" s="1"/>
      <c r="CS332" s="1"/>
      <c r="CT332" s="1"/>
      <c r="CU332" s="1"/>
      <c r="CV332" s="1"/>
      <c r="CW332" s="1"/>
      <c r="CX332" s="1"/>
      <c r="CY332" s="1"/>
      <c r="CZ332" s="1"/>
      <c r="DA332" s="1"/>
      <c r="DB332" s="1"/>
      <c r="DC332" s="1"/>
      <c r="DD332" s="1"/>
      <c r="DE332" s="1"/>
      <c r="DF332" s="1"/>
      <c r="DG332" s="1"/>
      <c r="DH332" s="1"/>
      <c r="DI332" s="1"/>
      <c r="DJ332" s="1"/>
      <c r="DK332" s="1"/>
      <c r="DL332" s="1"/>
      <c r="DM332" s="1"/>
      <c r="DQ332" s="1"/>
      <c r="DR332" s="1"/>
      <c r="DY332" s="1"/>
      <c r="DZ332" s="1"/>
      <c r="ED332" s="1"/>
      <c r="EE332" s="1"/>
      <c r="EF332" s="1"/>
      <c r="EG332" s="1"/>
      <c r="EH332" s="1"/>
      <c r="EK332" s="1"/>
      <c r="EL332" s="1"/>
      <c r="EM332" s="1"/>
      <c r="EN332" s="1"/>
      <c r="EQ332" s="1"/>
      <c r="ER332" s="1"/>
      <c r="ES332" s="1"/>
      <c r="EV332" s="1"/>
      <c r="EW332" s="1"/>
      <c r="EY332" s="1"/>
      <c r="EZ332" s="1"/>
      <c r="FA332" s="1"/>
      <c r="FD332" s="1"/>
      <c r="FG332" s="1"/>
      <c r="FH332" s="1"/>
      <c r="FI332" s="1"/>
      <c r="FJ332" s="1"/>
      <c r="FK332" s="1"/>
      <c r="FL332" s="1"/>
      <c r="FM332" s="1"/>
      <c r="FN332" s="1"/>
      <c r="FO332" s="1"/>
      <c r="FP332" s="1"/>
      <c r="FQ332" s="1"/>
      <c r="FR332" s="1"/>
      <c r="FS332" s="1"/>
      <c r="FT332" s="1"/>
      <c r="FU332" s="1"/>
      <c r="FV332" s="1"/>
      <c r="FW332" s="1"/>
      <c r="FX332" s="1"/>
      <c r="FY332" s="1"/>
      <c r="FZ332" s="1"/>
      <c r="GA332" s="1"/>
      <c r="GB332" s="1"/>
      <c r="GD332" s="1"/>
      <c r="GE332" s="1"/>
      <c r="GF332" s="1"/>
      <c r="GG332" s="1"/>
      <c r="GH332" s="1"/>
      <c r="GI332" s="1"/>
      <c r="GJ332" s="1"/>
      <c r="GK332" s="1"/>
      <c r="GL332" s="1"/>
      <c r="GM332" s="1"/>
      <c r="GN332" s="1"/>
      <c r="GP332" s="1"/>
      <c r="GR332" s="1"/>
      <c r="GY332" s="1"/>
      <c r="HF332" s="1"/>
      <c r="HH332" s="1"/>
      <c r="HN332" s="1"/>
      <c r="HQ332" s="1"/>
      <c r="HT332" s="1"/>
      <c r="HY332" s="1"/>
      <c r="IC332" s="1"/>
      <c r="IE332" s="1"/>
      <c r="IF332" s="1"/>
      <c r="IG332" s="1"/>
      <c r="IJ332" s="1"/>
      <c r="IR332" s="1"/>
      <c r="IS332" s="1"/>
      <c r="IW332" s="1"/>
      <c r="IX332" s="1"/>
      <c r="IZ332" s="1"/>
      <c r="JB332" s="1"/>
      <c r="JC332" s="1"/>
      <c r="JF332" s="1"/>
      <c r="JG332" s="1"/>
      <c r="JH332" s="1"/>
      <c r="JJ332" s="1"/>
      <c r="JK332" s="1"/>
      <c r="JL332" s="3"/>
      <c r="JM332" s="1"/>
      <c r="JN332" s="1"/>
      <c r="JP332" s="1"/>
      <c r="JQ332" s="1"/>
      <c r="JR332" s="1"/>
      <c r="JT332" s="1"/>
      <c r="KU332" s="1"/>
      <c r="KV332" s="1"/>
      <c r="KY332" s="1"/>
      <c r="KZ332" s="1"/>
      <c r="LA332" s="1"/>
      <c r="LB332" s="1"/>
      <c r="LC332" s="1"/>
      <c r="LD332" s="1"/>
      <c r="LO332" s="1"/>
      <c r="LP332" s="1"/>
      <c r="LZ332" s="1"/>
      <c r="MA332" s="1"/>
    </row>
    <row r="333" spans="4:339" ht="13" x14ac:dyDescent="0.15">
      <c r="D333" s="12"/>
      <c r="E333" s="12"/>
      <c r="I333" s="12"/>
      <c r="J333" s="13"/>
      <c r="BF333" s="1"/>
      <c r="BG333" s="1"/>
      <c r="BH333" s="1"/>
      <c r="BI333" s="1"/>
      <c r="BK333" s="1"/>
      <c r="BL333" s="1"/>
      <c r="BM333" s="1"/>
      <c r="BN333" s="1"/>
      <c r="BO333" s="1"/>
      <c r="BP333" s="1"/>
      <c r="BQ333" s="1"/>
      <c r="BR333" s="1"/>
      <c r="BX333" s="1"/>
      <c r="CD333" s="1"/>
      <c r="CE333" s="1"/>
      <c r="CF333" s="1"/>
      <c r="CG333" s="1"/>
      <c r="CH333" s="1"/>
      <c r="CI333" s="1"/>
      <c r="CK333" s="1"/>
      <c r="CM333" s="2"/>
      <c r="CN333" s="1"/>
      <c r="CO333" s="1"/>
      <c r="CP333" s="1"/>
      <c r="CQ333" s="1"/>
      <c r="CR333" s="1"/>
      <c r="CS333" s="1"/>
      <c r="CT333" s="1"/>
      <c r="CU333" s="1"/>
      <c r="CV333" s="1"/>
      <c r="CW333" s="1"/>
      <c r="CX333" s="1"/>
      <c r="CY333" s="1"/>
      <c r="CZ333" s="1"/>
      <c r="DA333" s="1"/>
      <c r="DB333" s="1"/>
      <c r="DC333" s="1"/>
      <c r="DD333" s="1"/>
      <c r="DE333" s="1"/>
      <c r="DF333" s="1"/>
      <c r="DG333" s="1"/>
      <c r="DH333" s="1"/>
      <c r="DI333" s="1"/>
      <c r="DJ333" s="1"/>
      <c r="DK333" s="1"/>
      <c r="DL333" s="1"/>
      <c r="DM333" s="1"/>
      <c r="DQ333" s="1"/>
      <c r="DR333" s="1"/>
      <c r="DY333" s="1"/>
      <c r="DZ333" s="1"/>
      <c r="ED333" s="1"/>
      <c r="EE333" s="1"/>
      <c r="EF333" s="1"/>
      <c r="EG333" s="1"/>
      <c r="EH333" s="1"/>
      <c r="EK333" s="1"/>
      <c r="EL333" s="1"/>
      <c r="EM333" s="1"/>
      <c r="EN333" s="1"/>
      <c r="EQ333" s="1"/>
      <c r="ER333" s="1"/>
      <c r="ES333" s="1"/>
      <c r="EV333" s="1"/>
      <c r="EW333" s="1"/>
      <c r="EY333" s="1"/>
      <c r="EZ333" s="1"/>
      <c r="FA333" s="1"/>
      <c r="FD333" s="1"/>
      <c r="FG333" s="1"/>
      <c r="FH333" s="1"/>
      <c r="FI333" s="1"/>
      <c r="FJ333" s="1"/>
      <c r="FK333" s="1"/>
      <c r="FL333" s="1"/>
      <c r="FM333" s="1"/>
      <c r="FN333" s="1"/>
      <c r="FO333" s="1"/>
      <c r="FP333" s="1"/>
      <c r="FQ333" s="1"/>
      <c r="FR333" s="1"/>
      <c r="FS333" s="1"/>
      <c r="FT333" s="1"/>
      <c r="FU333" s="1"/>
      <c r="FV333" s="1"/>
      <c r="FW333" s="1"/>
      <c r="FX333" s="1"/>
      <c r="FY333" s="1"/>
      <c r="FZ333" s="1"/>
      <c r="GA333" s="1"/>
      <c r="GB333" s="1"/>
      <c r="GD333" s="1"/>
      <c r="GE333" s="1"/>
      <c r="GF333" s="1"/>
      <c r="GG333" s="1"/>
      <c r="GH333" s="1"/>
      <c r="GI333" s="1"/>
      <c r="GJ333" s="1"/>
      <c r="GK333" s="1"/>
      <c r="GL333" s="1"/>
      <c r="GM333" s="1"/>
      <c r="GN333" s="1"/>
      <c r="GP333" s="1"/>
      <c r="GR333" s="1"/>
      <c r="GY333" s="1"/>
      <c r="HF333" s="1"/>
      <c r="HH333" s="1"/>
      <c r="HN333" s="1"/>
      <c r="HQ333" s="1"/>
      <c r="HT333" s="1"/>
      <c r="HY333" s="1"/>
      <c r="IC333" s="1"/>
      <c r="IE333" s="1"/>
      <c r="IF333" s="1"/>
      <c r="IG333" s="1"/>
      <c r="IJ333" s="1"/>
      <c r="IR333" s="1"/>
      <c r="IS333" s="1"/>
      <c r="IW333" s="1"/>
      <c r="IX333" s="1"/>
      <c r="IZ333" s="1"/>
      <c r="JB333" s="1"/>
      <c r="JC333" s="1"/>
      <c r="JF333" s="1"/>
      <c r="JG333" s="1"/>
      <c r="JH333" s="1"/>
      <c r="JJ333" s="1"/>
      <c r="JK333" s="1"/>
      <c r="JL333" s="3"/>
      <c r="JM333" s="1"/>
      <c r="JN333" s="1"/>
      <c r="JP333" s="1"/>
      <c r="JQ333" s="1"/>
      <c r="JR333" s="1"/>
      <c r="JT333" s="1"/>
      <c r="KU333" s="1"/>
      <c r="KV333" s="1"/>
      <c r="KY333" s="1"/>
      <c r="KZ333" s="1"/>
      <c r="LA333" s="1"/>
      <c r="LB333" s="1"/>
      <c r="LC333" s="1"/>
      <c r="LD333" s="1"/>
      <c r="LO333" s="1"/>
      <c r="LP333" s="1"/>
      <c r="LZ333" s="1"/>
      <c r="MA333" s="1"/>
    </row>
    <row r="334" spans="4:339" ht="13" x14ac:dyDescent="0.15">
      <c r="D334" s="12"/>
      <c r="E334" s="12"/>
      <c r="I334" s="12"/>
      <c r="J334" s="13"/>
      <c r="BF334" s="1"/>
      <c r="BG334" s="1"/>
      <c r="BH334" s="1"/>
      <c r="BI334" s="1"/>
      <c r="BK334" s="1"/>
      <c r="BL334" s="1"/>
      <c r="BM334" s="1"/>
      <c r="BN334" s="1"/>
      <c r="BO334" s="1"/>
      <c r="BP334" s="1"/>
      <c r="BQ334" s="1"/>
      <c r="BR334" s="1"/>
      <c r="BX334" s="1"/>
      <c r="CD334" s="1"/>
      <c r="CE334" s="1"/>
      <c r="CF334" s="1"/>
      <c r="CG334" s="1"/>
      <c r="CH334" s="1"/>
      <c r="CI334" s="1"/>
      <c r="CM334" s="2"/>
      <c r="CN334" s="1"/>
      <c r="CO334" s="1"/>
      <c r="CP334" s="1"/>
      <c r="CQ334" s="1"/>
      <c r="CX334" s="1"/>
      <c r="CY334" s="1"/>
      <c r="CZ334" s="1"/>
      <c r="DA334" s="1"/>
      <c r="DB334" s="1"/>
      <c r="DC334" s="1"/>
      <c r="DD334" s="1"/>
      <c r="DE334" s="1"/>
      <c r="DF334" s="1"/>
      <c r="DG334" s="1"/>
      <c r="DH334" s="1"/>
      <c r="DI334" s="1"/>
      <c r="DJ334" s="1"/>
      <c r="DK334" s="1"/>
      <c r="DM334" s="1"/>
      <c r="DQ334" s="1"/>
      <c r="DR334" s="1"/>
      <c r="DY334" s="1"/>
      <c r="DZ334" s="1"/>
      <c r="ED334" s="1"/>
      <c r="EK334" s="1"/>
      <c r="EL334" s="1"/>
      <c r="EM334" s="1"/>
      <c r="EN334" s="1"/>
      <c r="EQ334" s="1"/>
      <c r="ER334" s="1"/>
      <c r="ES334" s="1"/>
      <c r="EV334" s="1"/>
      <c r="EW334" s="1"/>
      <c r="EZ334" s="1"/>
      <c r="FA334" s="1"/>
      <c r="FD334" s="1"/>
      <c r="FG334" s="1"/>
      <c r="FH334" s="1"/>
      <c r="FI334" s="1"/>
      <c r="FJ334" s="1"/>
      <c r="FK334" s="1"/>
      <c r="FM334" s="1"/>
      <c r="FN334" s="1"/>
      <c r="FO334" s="1"/>
      <c r="FP334" s="1"/>
      <c r="FQ334" s="1"/>
      <c r="FR334" s="1"/>
      <c r="FS334" s="1"/>
      <c r="FT334" s="1"/>
      <c r="FU334" s="1"/>
      <c r="FV334" s="1"/>
      <c r="FW334" s="1"/>
      <c r="FX334" s="1"/>
      <c r="FY334" s="1"/>
      <c r="FZ334" s="1"/>
      <c r="GA334" s="1"/>
      <c r="GB334" s="1"/>
      <c r="GD334" s="1"/>
      <c r="GE334" s="1"/>
      <c r="GF334" s="1"/>
      <c r="GG334" s="1"/>
      <c r="GH334" s="1"/>
      <c r="GI334" s="1"/>
      <c r="GJ334" s="1"/>
      <c r="GK334" s="1"/>
      <c r="GL334" s="1"/>
      <c r="GM334" s="1"/>
      <c r="GN334" s="1"/>
      <c r="GP334" s="1"/>
      <c r="GR334" s="1"/>
      <c r="GY334" s="1"/>
      <c r="HF334" s="1"/>
      <c r="HH334" s="1"/>
      <c r="HQ334" s="1"/>
      <c r="HT334" s="1"/>
      <c r="HY334" s="1"/>
      <c r="IC334" s="1"/>
      <c r="IE334" s="1"/>
      <c r="IR334" s="1"/>
      <c r="IS334" s="1"/>
      <c r="IZ334" s="1"/>
      <c r="JC334" s="1"/>
      <c r="JF334" s="1"/>
      <c r="JG334" s="1"/>
      <c r="JH334" s="1"/>
      <c r="JJ334" s="1"/>
      <c r="JP334" s="1"/>
      <c r="JQ334" s="1"/>
      <c r="KW334" s="1"/>
      <c r="LM334" s="1"/>
      <c r="LZ334" s="1"/>
    </row>
    <row r="335" spans="4:339" ht="13" x14ac:dyDescent="0.15">
      <c r="D335" s="12"/>
      <c r="E335" s="12"/>
      <c r="I335" s="12"/>
      <c r="J335" s="13"/>
      <c r="BF335" s="1"/>
      <c r="BG335" s="1"/>
      <c r="BH335" s="1"/>
      <c r="BI335" s="1"/>
      <c r="BJ335" s="1"/>
      <c r="BK335" s="1"/>
      <c r="BL335" s="1"/>
      <c r="BM335" s="1"/>
      <c r="BN335" s="1"/>
      <c r="BQ335" s="1"/>
      <c r="BR335" s="1"/>
      <c r="CD335" s="1"/>
      <c r="CH335" s="1"/>
      <c r="CI335" s="1"/>
      <c r="CM335" s="2"/>
      <c r="CN335" s="1"/>
      <c r="CO335" s="1"/>
      <c r="ED335" s="1"/>
      <c r="EL335" s="1"/>
      <c r="EM335" s="1"/>
      <c r="EN335" s="1"/>
      <c r="EQ335" s="1"/>
      <c r="ER335" s="1"/>
      <c r="ES335" s="1"/>
      <c r="EV335" s="1"/>
      <c r="EW335" s="1"/>
      <c r="EZ335" s="1"/>
      <c r="FA335" s="1"/>
      <c r="FD335" s="1"/>
      <c r="FJ335" s="1"/>
      <c r="FL335" s="1"/>
      <c r="FM335" s="1"/>
      <c r="FP335" s="1"/>
      <c r="FX335" s="1"/>
      <c r="GA335" s="1"/>
      <c r="GD335" s="1"/>
      <c r="GE335" s="1"/>
      <c r="GF335" s="1"/>
      <c r="GG335" s="1"/>
      <c r="GH335" s="1"/>
      <c r="GI335" s="1"/>
      <c r="GJ335" s="1"/>
      <c r="GN335" s="1"/>
      <c r="GP335" s="1"/>
      <c r="IS335" s="1"/>
      <c r="IZ335" s="1"/>
      <c r="JC335" s="1"/>
      <c r="JJ335" s="1"/>
      <c r="JN335" s="1"/>
      <c r="JP335" s="1"/>
      <c r="JQ335" s="1"/>
    </row>
    <row r="336" spans="4:339" ht="13" x14ac:dyDescent="0.15">
      <c r="D336" s="12"/>
      <c r="E336" s="12"/>
      <c r="I336" s="12"/>
      <c r="J336" s="13"/>
      <c r="BF336" s="1"/>
      <c r="BG336" s="1"/>
      <c r="BH336" s="1"/>
      <c r="BI336" s="1"/>
      <c r="BK336" s="1"/>
      <c r="BL336" s="1"/>
      <c r="BM336" s="1"/>
      <c r="BN336" s="1"/>
      <c r="BO336" s="1"/>
      <c r="BP336" s="1"/>
      <c r="BQ336" s="1"/>
      <c r="BR336" s="1"/>
      <c r="BX336" s="1"/>
      <c r="CD336" s="1"/>
      <c r="CE336" s="1"/>
      <c r="CF336" s="1"/>
      <c r="CG336" s="1"/>
      <c r="CH336" s="1"/>
      <c r="CI336" s="1"/>
      <c r="CM336" s="2"/>
      <c r="CN336" s="1"/>
      <c r="CO336" s="1"/>
      <c r="CP336" s="1"/>
      <c r="CQ336" s="1"/>
      <c r="CS336" s="1"/>
      <c r="CT336" s="1"/>
      <c r="CU336" s="1"/>
      <c r="CV336" s="1"/>
      <c r="CW336" s="1"/>
      <c r="CX336" s="1"/>
      <c r="CY336" s="1"/>
      <c r="CZ336" s="1"/>
      <c r="DA336" s="1"/>
      <c r="DB336" s="1"/>
      <c r="DC336" s="1"/>
      <c r="DD336" s="1"/>
      <c r="DE336" s="1"/>
      <c r="DF336" s="1"/>
      <c r="DG336" s="1"/>
      <c r="DH336" s="1"/>
      <c r="DI336" s="1"/>
      <c r="DJ336" s="1"/>
      <c r="DK336" s="1"/>
      <c r="DM336" s="1"/>
      <c r="DQ336" s="1"/>
      <c r="DR336" s="1"/>
      <c r="DY336" s="1"/>
      <c r="DZ336" s="1"/>
      <c r="ED336" s="1"/>
      <c r="EF336" s="1"/>
      <c r="EK336" s="1"/>
      <c r="EL336" s="1"/>
      <c r="EM336" s="1"/>
      <c r="EN336" s="1"/>
      <c r="EQ336" s="1"/>
      <c r="ER336" s="1"/>
      <c r="ES336" s="1"/>
      <c r="EV336" s="1"/>
      <c r="EW336" s="1"/>
      <c r="EZ336" s="1"/>
      <c r="FA336" s="1"/>
      <c r="FD336" s="1"/>
      <c r="FG336" s="1"/>
      <c r="FH336" s="1"/>
      <c r="FJ336" s="1"/>
      <c r="FS336" s="1"/>
      <c r="FV336" s="1"/>
      <c r="FX336" s="1"/>
      <c r="FY336" s="1"/>
      <c r="FZ336" s="1"/>
      <c r="GA336" s="1"/>
      <c r="GD336" s="1"/>
      <c r="GE336" s="1"/>
      <c r="GF336" s="1"/>
      <c r="GG336" s="1"/>
      <c r="GH336" s="1"/>
      <c r="GI336" s="1"/>
      <c r="GJ336" s="1"/>
      <c r="GK336" s="1"/>
      <c r="GL336" s="1"/>
      <c r="GM336" s="1"/>
      <c r="GN336" s="1"/>
      <c r="GO336" s="1"/>
      <c r="GP336" s="1"/>
      <c r="GR336" s="1"/>
      <c r="GS336" s="1"/>
      <c r="GV336" s="1"/>
      <c r="GY336" s="1"/>
      <c r="HF336" s="1"/>
      <c r="HH336" s="1"/>
      <c r="HN336" s="1"/>
      <c r="HQ336" s="1"/>
      <c r="HR336" s="1"/>
      <c r="HS336" s="1"/>
      <c r="HT336" s="1"/>
      <c r="HY336" s="1"/>
      <c r="IE336" s="1"/>
      <c r="IR336" s="1"/>
      <c r="IS336" s="1"/>
      <c r="IW336" s="1"/>
      <c r="IY336" s="1"/>
      <c r="IZ336" s="1"/>
      <c r="JA336" s="1"/>
      <c r="JC336" s="1"/>
      <c r="JF336" s="1"/>
      <c r="JG336" s="1"/>
      <c r="JH336" s="1"/>
      <c r="JI336" s="1"/>
      <c r="JJ336" s="1"/>
      <c r="JN336" s="1"/>
      <c r="JP336" s="1"/>
      <c r="JQ336" s="1"/>
      <c r="JT336" s="1"/>
      <c r="KU336" s="1"/>
      <c r="KY336" s="1"/>
      <c r="KZ336" s="1"/>
      <c r="LA336" s="1"/>
      <c r="LB336" s="1"/>
      <c r="LC336" s="1"/>
      <c r="LD336" s="1"/>
      <c r="LN336" s="1"/>
      <c r="LO336" s="1"/>
      <c r="LP336" s="1"/>
      <c r="LZ336" s="1"/>
      <c r="MA336" s="1"/>
    </row>
    <row r="337" spans="4:339" ht="13" x14ac:dyDescent="0.15">
      <c r="D337" s="12"/>
      <c r="E337" s="12"/>
      <c r="I337" s="12"/>
      <c r="J337" s="13"/>
      <c r="BF337" s="1"/>
      <c r="BG337" s="1"/>
      <c r="BH337" s="1"/>
      <c r="BI337" s="1"/>
      <c r="BK337" s="1"/>
      <c r="BL337" s="1"/>
      <c r="BM337" s="1"/>
      <c r="BN337" s="1"/>
      <c r="BO337" s="1"/>
      <c r="BP337" s="1"/>
      <c r="BQ337" s="1"/>
      <c r="BR337" s="1"/>
      <c r="BX337" s="1"/>
      <c r="CD337" s="1"/>
      <c r="CE337" s="1"/>
      <c r="CF337" s="1"/>
      <c r="CG337" s="1"/>
      <c r="CH337" s="1"/>
      <c r="CI337" s="1"/>
      <c r="CM337" s="2"/>
      <c r="CN337" s="1"/>
      <c r="CO337" s="1"/>
      <c r="CP337" s="1"/>
      <c r="CQ337" s="1"/>
      <c r="CS337" s="1"/>
      <c r="CT337" s="1"/>
      <c r="CU337" s="1"/>
      <c r="CV337" s="1"/>
      <c r="CW337" s="1"/>
      <c r="CX337" s="1"/>
      <c r="CY337" s="1"/>
      <c r="CZ337" s="1"/>
      <c r="DA337" s="1"/>
      <c r="DB337" s="1"/>
      <c r="DC337" s="1"/>
      <c r="DD337" s="1"/>
      <c r="DE337" s="1"/>
      <c r="DF337" s="1"/>
      <c r="DG337" s="1"/>
      <c r="DH337" s="1"/>
      <c r="DI337" s="1"/>
      <c r="DJ337" s="1"/>
      <c r="DK337" s="1"/>
      <c r="DM337" s="1"/>
      <c r="DQ337" s="1"/>
      <c r="DR337" s="1"/>
      <c r="DY337" s="1"/>
      <c r="DZ337" s="1"/>
      <c r="ED337" s="1"/>
      <c r="EF337" s="1"/>
      <c r="EK337" s="1"/>
      <c r="EL337" s="1"/>
      <c r="EM337" s="1"/>
      <c r="EN337" s="1"/>
      <c r="EQ337" s="1"/>
      <c r="ER337" s="1"/>
      <c r="ES337" s="1"/>
      <c r="EV337" s="1"/>
      <c r="EW337" s="1"/>
      <c r="EZ337" s="1"/>
      <c r="FA337" s="1"/>
      <c r="FD337" s="1"/>
      <c r="FG337" s="1"/>
      <c r="FH337" s="1"/>
      <c r="FI337" s="1"/>
      <c r="FJ337" s="1"/>
      <c r="FK337" s="1"/>
      <c r="FL337" s="1"/>
      <c r="FM337" s="1"/>
      <c r="FN337" s="1"/>
      <c r="FO337" s="1"/>
      <c r="FP337" s="1"/>
      <c r="FQ337" s="1"/>
      <c r="FR337" s="1"/>
      <c r="FS337" s="1"/>
      <c r="FT337" s="1"/>
      <c r="FU337" s="1"/>
      <c r="FV337" s="1"/>
      <c r="FW337" s="1"/>
      <c r="FX337" s="1"/>
      <c r="FY337" s="1"/>
      <c r="FZ337" s="1"/>
      <c r="GA337" s="1"/>
      <c r="GD337" s="1"/>
      <c r="GE337" s="1"/>
      <c r="GF337" s="1"/>
      <c r="GG337" s="1"/>
      <c r="GH337" s="1"/>
      <c r="GI337" s="1"/>
      <c r="GJ337" s="1"/>
      <c r="GK337" s="1"/>
      <c r="GL337" s="1"/>
      <c r="GM337" s="1"/>
      <c r="GN337" s="1"/>
      <c r="GO337" s="1"/>
      <c r="GP337" s="1"/>
      <c r="GR337" s="1"/>
      <c r="GY337" s="1"/>
      <c r="HF337" s="1"/>
      <c r="HH337" s="1"/>
      <c r="HN337" s="1"/>
      <c r="HQ337" s="1"/>
      <c r="HT337" s="1"/>
      <c r="HY337" s="1"/>
      <c r="IC337" s="1"/>
      <c r="ID337" s="1"/>
      <c r="IE337" s="1"/>
      <c r="IF337" s="1"/>
      <c r="IG337" s="1"/>
      <c r="IJ337" s="1"/>
      <c r="IR337" s="1"/>
      <c r="IS337" s="1"/>
      <c r="IW337" s="1"/>
      <c r="IZ337" s="1"/>
      <c r="JC337" s="1"/>
      <c r="JF337" s="1"/>
      <c r="JG337" s="1"/>
      <c r="JH337" s="1"/>
      <c r="JJ337" s="1"/>
      <c r="JK337" s="1"/>
      <c r="JL337" s="3"/>
      <c r="JM337" s="1"/>
      <c r="JP337" s="1"/>
      <c r="JQ337" s="1"/>
      <c r="JR337" s="1"/>
      <c r="JT337" s="1"/>
      <c r="KV337" s="1"/>
      <c r="KW337" s="1"/>
      <c r="KY337" s="1"/>
      <c r="KZ337" s="1"/>
      <c r="LA337" s="1"/>
      <c r="LB337" s="1"/>
      <c r="LC337" s="1"/>
      <c r="LD337" s="1"/>
      <c r="LO337" s="1"/>
      <c r="LP337" s="1"/>
      <c r="LZ337" s="1"/>
      <c r="MA337" s="1"/>
    </row>
    <row r="338" spans="4:339" ht="13" x14ac:dyDescent="0.15">
      <c r="D338" s="12"/>
      <c r="E338" s="12"/>
      <c r="I338" s="12"/>
      <c r="J338" s="13"/>
      <c r="BF338" s="1"/>
      <c r="BG338" s="1"/>
      <c r="BH338" s="1"/>
      <c r="BI338" s="1"/>
      <c r="BK338" s="1"/>
      <c r="BL338" s="1"/>
      <c r="BM338" s="1"/>
      <c r="BN338" s="1"/>
      <c r="BO338" s="1"/>
      <c r="BP338" s="1"/>
      <c r="BQ338" s="1"/>
      <c r="BR338" s="1"/>
      <c r="BX338" s="1"/>
      <c r="CD338" s="1"/>
      <c r="CE338" s="1"/>
      <c r="CF338" s="1"/>
      <c r="CG338" s="1"/>
      <c r="CH338" s="1"/>
      <c r="CI338" s="1"/>
      <c r="CK338" s="1"/>
      <c r="CM338" s="2"/>
      <c r="CN338" s="1"/>
      <c r="CO338" s="1"/>
      <c r="CP338" s="1"/>
      <c r="CQ338" s="1"/>
      <c r="CR338" s="1"/>
      <c r="CS338" s="1"/>
      <c r="CT338" s="1"/>
      <c r="CU338" s="1"/>
      <c r="CV338" s="1"/>
      <c r="CW338" s="1"/>
      <c r="CX338" s="1"/>
      <c r="CY338" s="1"/>
      <c r="CZ338" s="1"/>
      <c r="DA338" s="1"/>
      <c r="DB338" s="1"/>
      <c r="DC338" s="1"/>
      <c r="DD338" s="1"/>
      <c r="DE338" s="1"/>
      <c r="DF338" s="1"/>
      <c r="DG338" s="1"/>
      <c r="DH338" s="1"/>
      <c r="DI338" s="1"/>
      <c r="DJ338" s="1"/>
      <c r="DK338" s="1"/>
      <c r="DM338" s="1"/>
      <c r="DQ338" s="1"/>
      <c r="DR338" s="1"/>
      <c r="DY338" s="1"/>
      <c r="DZ338" s="1"/>
      <c r="ED338" s="1"/>
      <c r="EE338" s="1"/>
      <c r="EF338" s="1"/>
      <c r="EG338" s="1"/>
      <c r="EH338" s="1"/>
      <c r="EK338" s="1"/>
      <c r="EL338" s="1"/>
      <c r="EM338" s="1"/>
      <c r="EN338" s="1"/>
      <c r="EQ338" s="1"/>
      <c r="ER338" s="1"/>
      <c r="ES338" s="1"/>
      <c r="EV338" s="1"/>
      <c r="EW338" s="1"/>
      <c r="EY338" s="1"/>
      <c r="EZ338" s="1"/>
      <c r="FA338" s="1"/>
      <c r="FD338" s="1"/>
      <c r="FG338" s="1"/>
      <c r="FH338" s="1"/>
      <c r="FI338" s="1"/>
      <c r="FJ338" s="1"/>
      <c r="FK338" s="1"/>
      <c r="FL338" s="1"/>
      <c r="FM338" s="1"/>
      <c r="FN338" s="1"/>
      <c r="FO338" s="1"/>
      <c r="FP338" s="1"/>
      <c r="FQ338" s="1"/>
      <c r="FR338" s="1"/>
      <c r="FS338" s="1"/>
      <c r="FT338" s="1"/>
      <c r="FU338" s="1"/>
      <c r="FV338" s="1"/>
      <c r="FW338" s="1"/>
      <c r="FX338" s="1"/>
      <c r="FY338" s="1"/>
      <c r="FZ338" s="1"/>
      <c r="GA338" s="1"/>
      <c r="GB338" s="1"/>
      <c r="GD338" s="1"/>
      <c r="GE338" s="1"/>
      <c r="GF338" s="1"/>
      <c r="GG338" s="1"/>
      <c r="GH338" s="1"/>
      <c r="GI338" s="1"/>
      <c r="GJ338" s="1"/>
      <c r="GK338" s="1"/>
      <c r="GL338" s="1"/>
      <c r="GM338" s="1"/>
      <c r="GN338" s="1"/>
      <c r="GP338" s="1"/>
      <c r="GR338" s="1"/>
      <c r="GY338" s="1"/>
      <c r="HF338" s="1"/>
      <c r="HH338" s="1"/>
      <c r="HN338" s="1"/>
      <c r="HT338" s="1"/>
      <c r="HY338" s="1"/>
      <c r="IC338" s="1"/>
      <c r="ID338" s="1"/>
      <c r="IE338" s="1"/>
      <c r="IF338" s="1"/>
      <c r="IG338" s="1"/>
      <c r="IJ338" s="1"/>
      <c r="IR338" s="1"/>
      <c r="IS338" s="1"/>
      <c r="IZ338" s="1"/>
      <c r="JC338" s="1"/>
      <c r="JF338" s="1"/>
      <c r="JH338" s="1"/>
      <c r="JJ338" s="1"/>
      <c r="JK338" s="1"/>
      <c r="JL338" s="6"/>
      <c r="JM338" s="1"/>
      <c r="JP338" s="1"/>
      <c r="JQ338" s="1"/>
      <c r="JR338" s="1"/>
      <c r="JT338" s="1"/>
      <c r="KY338" s="1"/>
      <c r="KZ338" s="1"/>
      <c r="LA338" s="1"/>
      <c r="LB338" s="1"/>
      <c r="LC338" s="1"/>
      <c r="LD338" s="1"/>
      <c r="LO338" s="1"/>
      <c r="LP338" s="1"/>
      <c r="LZ338" s="1"/>
      <c r="MA338" s="1"/>
    </row>
    <row r="339" spans="4:339" ht="13" x14ac:dyDescent="0.15">
      <c r="D339" s="12"/>
      <c r="E339" s="12"/>
      <c r="I339" s="12"/>
      <c r="J339" s="13"/>
      <c r="BF339" s="1"/>
      <c r="BG339" s="1"/>
      <c r="BH339" s="1"/>
      <c r="BI339" s="1"/>
      <c r="BK339" s="1"/>
      <c r="BL339" s="1"/>
      <c r="BM339" s="1"/>
      <c r="BN339" s="1"/>
      <c r="BO339" s="1"/>
      <c r="BP339" s="1"/>
      <c r="BQ339" s="1"/>
      <c r="BR339" s="1"/>
      <c r="CD339" s="1"/>
      <c r="CE339" s="1"/>
      <c r="CF339" s="1"/>
      <c r="CG339" s="1"/>
      <c r="CH339" s="1"/>
      <c r="CI339" s="1"/>
      <c r="CM339" s="2"/>
      <c r="CN339" s="1"/>
      <c r="CO339" s="1"/>
      <c r="CP339" s="1"/>
      <c r="CQ339" s="1"/>
      <c r="CR339" s="1"/>
      <c r="CS339" s="1"/>
      <c r="CT339" s="1"/>
      <c r="CU339" s="1"/>
      <c r="CV339" s="1"/>
      <c r="CW339" s="1"/>
      <c r="CX339" s="1"/>
      <c r="CY339" s="1"/>
      <c r="CZ339" s="1"/>
      <c r="DA339" s="1"/>
      <c r="DB339" s="1"/>
      <c r="DC339" s="1"/>
      <c r="DD339" s="1"/>
      <c r="DE339" s="1"/>
      <c r="DF339" s="1"/>
      <c r="DG339" s="1"/>
      <c r="DH339" s="1"/>
      <c r="DI339" s="1"/>
      <c r="DJ339" s="1"/>
      <c r="DK339" s="1"/>
      <c r="DM339" s="1"/>
      <c r="DQ339" s="1"/>
      <c r="DR339" s="1"/>
      <c r="DY339" s="1"/>
      <c r="DZ339" s="1"/>
      <c r="ED339" s="1"/>
      <c r="EE339" s="1"/>
      <c r="EF339" s="1"/>
      <c r="EG339" s="1"/>
      <c r="EH339" s="1"/>
      <c r="EK339" s="1"/>
      <c r="EL339" s="1"/>
      <c r="EM339" s="1"/>
      <c r="EN339" s="1"/>
      <c r="EQ339" s="1"/>
      <c r="ER339" s="1"/>
      <c r="ES339" s="1"/>
      <c r="EV339" s="1"/>
      <c r="EW339" s="1"/>
      <c r="EY339" s="1"/>
      <c r="EZ339" s="1"/>
      <c r="FA339" s="1"/>
      <c r="FD339" s="1"/>
      <c r="FG339" s="1"/>
      <c r="GA339" s="1"/>
      <c r="GD339" s="1"/>
      <c r="GE339" s="1"/>
      <c r="GF339" s="1"/>
      <c r="GG339" s="1"/>
      <c r="GH339" s="1"/>
      <c r="GI339" s="1"/>
      <c r="GJ339" s="1"/>
      <c r="GN339" s="1"/>
      <c r="GP339" s="1"/>
      <c r="HH339" s="1"/>
      <c r="HN339" s="1"/>
      <c r="HT339" s="1"/>
      <c r="HY339" s="1"/>
      <c r="IE339" s="1"/>
      <c r="IG339" s="1"/>
      <c r="IJ339" s="1"/>
      <c r="IR339" s="1"/>
      <c r="IS339" s="1"/>
      <c r="IY339" s="1"/>
      <c r="IZ339" s="1"/>
      <c r="JC339" s="1"/>
      <c r="JF339" s="1"/>
      <c r="JG339" s="1"/>
      <c r="JH339" s="1"/>
      <c r="JJ339" s="1"/>
      <c r="JK339" s="1"/>
      <c r="JL339" s="3"/>
      <c r="JM339" s="1"/>
      <c r="JN339" s="1"/>
      <c r="JP339" s="1"/>
      <c r="JQ339" s="1"/>
      <c r="JR339" s="1"/>
      <c r="JT339" s="1"/>
      <c r="KU339" s="1"/>
      <c r="KV339" s="1"/>
      <c r="KW339" s="1"/>
      <c r="KY339" s="1"/>
      <c r="KZ339" s="1"/>
      <c r="LA339" s="1"/>
      <c r="LB339" s="1"/>
      <c r="LC339" s="1"/>
      <c r="LD339" s="1"/>
      <c r="LO339" s="1"/>
      <c r="LP339" s="1"/>
      <c r="LZ339" s="1"/>
      <c r="MA339" s="1"/>
    </row>
    <row r="340" spans="4:339" ht="13" x14ac:dyDescent="0.15">
      <c r="D340" s="12"/>
      <c r="E340" s="12"/>
      <c r="I340" s="12"/>
      <c r="J340" s="13"/>
      <c r="BF340" s="1"/>
      <c r="BG340" s="1"/>
      <c r="BH340" s="1"/>
      <c r="BI340" s="1"/>
      <c r="BK340" s="1"/>
      <c r="BL340" s="1"/>
      <c r="BM340" s="1"/>
      <c r="BN340" s="1"/>
      <c r="BO340" s="1"/>
      <c r="BP340" s="1"/>
      <c r="BQ340" s="1"/>
      <c r="BR340" s="1"/>
      <c r="CD340" s="1"/>
      <c r="CE340" s="1"/>
      <c r="CF340" s="1"/>
      <c r="CH340" s="1"/>
      <c r="CI340" s="1"/>
      <c r="CM340" s="2"/>
      <c r="CN340" s="1"/>
      <c r="CO340" s="1"/>
      <c r="CP340" s="1"/>
      <c r="CQ340" s="1"/>
      <c r="CR340" s="1"/>
      <c r="CS340" s="1"/>
      <c r="CT340" s="1"/>
      <c r="CU340" s="1"/>
      <c r="CV340" s="1"/>
      <c r="CW340" s="1"/>
      <c r="CX340" s="1"/>
      <c r="CY340" s="1"/>
      <c r="CZ340" s="1"/>
      <c r="DA340" s="1"/>
      <c r="DB340" s="1"/>
      <c r="DC340" s="1"/>
      <c r="DD340" s="1"/>
      <c r="DE340" s="1"/>
      <c r="DF340" s="1"/>
      <c r="DG340" s="1"/>
      <c r="DH340" s="1"/>
      <c r="DI340" s="1"/>
      <c r="DJ340" s="1"/>
      <c r="DK340" s="1"/>
      <c r="DL340" s="1"/>
      <c r="DM340" s="1"/>
      <c r="DQ340" s="1"/>
      <c r="DR340" s="1"/>
      <c r="DY340" s="1"/>
      <c r="DZ340" s="1"/>
      <c r="ED340" s="1"/>
      <c r="EF340" s="1"/>
      <c r="EK340" s="1"/>
      <c r="EL340" s="1"/>
      <c r="EM340" s="1"/>
      <c r="EN340" s="1"/>
      <c r="EQ340" s="1"/>
      <c r="ER340" s="1"/>
      <c r="ES340" s="1"/>
      <c r="EV340" s="1"/>
      <c r="EW340" s="1"/>
      <c r="EZ340" s="1"/>
      <c r="FA340" s="1"/>
      <c r="FD340" s="1"/>
      <c r="FH340" s="1"/>
      <c r="FI340" s="1"/>
      <c r="FJ340" s="1"/>
      <c r="FK340" s="1"/>
      <c r="FM340" s="1"/>
      <c r="FN340" s="1"/>
      <c r="FO340" s="1"/>
      <c r="FQ340" s="1"/>
      <c r="FR340" s="1"/>
      <c r="FS340" s="1"/>
      <c r="FT340" s="1"/>
      <c r="FV340" s="1"/>
      <c r="FW340" s="1"/>
      <c r="FX340" s="1"/>
      <c r="GA340" s="1"/>
      <c r="GD340" s="1"/>
      <c r="GE340" s="1"/>
      <c r="GF340" s="1"/>
      <c r="GG340" s="1"/>
      <c r="GH340" s="1"/>
      <c r="GI340" s="1"/>
      <c r="GJ340" s="1"/>
      <c r="GK340" s="1"/>
      <c r="GL340" s="1"/>
      <c r="GM340" s="1"/>
      <c r="GN340" s="1"/>
      <c r="GP340" s="1"/>
      <c r="GR340" s="1"/>
      <c r="GY340" s="1"/>
      <c r="HF340" s="1"/>
      <c r="HH340" s="1"/>
      <c r="HN340" s="1"/>
      <c r="HT340" s="1"/>
      <c r="HY340" s="1"/>
      <c r="IC340" s="1"/>
      <c r="IE340" s="1"/>
      <c r="IG340" s="1"/>
      <c r="IH340" s="1"/>
      <c r="IJ340" s="1"/>
      <c r="IR340" s="1"/>
      <c r="IS340" s="1"/>
      <c r="IY340" s="1"/>
      <c r="IZ340" s="1"/>
      <c r="JC340" s="1"/>
      <c r="JF340" s="1"/>
      <c r="JG340" s="1"/>
      <c r="JH340" s="1"/>
      <c r="JJ340" s="1"/>
      <c r="JK340" s="1"/>
      <c r="JL340" s="3"/>
      <c r="JM340" s="1"/>
      <c r="JN340" s="1"/>
      <c r="JP340" s="1"/>
      <c r="JQ340" s="1"/>
      <c r="JR340" s="1"/>
      <c r="JT340" s="1"/>
      <c r="KW340" s="1"/>
      <c r="KY340" s="1"/>
      <c r="KZ340" s="1"/>
      <c r="LA340" s="1"/>
      <c r="LB340" s="1"/>
      <c r="LC340" s="1"/>
      <c r="LD340" s="1"/>
      <c r="LO340" s="1"/>
      <c r="LP340" s="1"/>
      <c r="LZ340" s="1"/>
      <c r="MA340" s="1"/>
    </row>
    <row r="341" spans="4:339" ht="13" x14ac:dyDescent="0.15">
      <c r="D341" s="12"/>
      <c r="E341" s="12"/>
      <c r="I341" s="12"/>
      <c r="J341" s="13"/>
      <c r="BF341" s="1"/>
      <c r="BG341" s="1"/>
      <c r="BH341" s="1"/>
      <c r="BI341" s="1"/>
      <c r="BK341" s="1"/>
      <c r="BL341" s="1"/>
      <c r="BM341" s="1"/>
      <c r="BN341" s="1"/>
      <c r="BO341" s="1"/>
      <c r="BP341" s="1"/>
      <c r="BQ341" s="1"/>
      <c r="BR341" s="1"/>
      <c r="BX341" s="1"/>
      <c r="CD341" s="1"/>
      <c r="CE341" s="1"/>
      <c r="CF341" s="1"/>
      <c r="CG341" s="1"/>
      <c r="CH341" s="1"/>
      <c r="CI341" s="1"/>
      <c r="CM341" s="2"/>
      <c r="CN341" s="1"/>
      <c r="CO341" s="1"/>
      <c r="CP341" s="1"/>
      <c r="CQ341" s="1"/>
      <c r="CV341" s="1"/>
      <c r="CW341" s="1"/>
      <c r="CX341" s="1"/>
      <c r="CY341" s="1"/>
      <c r="CZ341" s="1"/>
      <c r="DA341" s="1"/>
      <c r="DB341" s="1"/>
      <c r="DC341" s="1"/>
      <c r="DD341" s="1"/>
      <c r="DE341" s="1"/>
      <c r="DF341" s="1"/>
      <c r="DG341" s="1"/>
      <c r="DH341" s="1"/>
      <c r="DI341" s="1"/>
      <c r="DJ341" s="1"/>
      <c r="DK341" s="1"/>
      <c r="DM341" s="1"/>
      <c r="DQ341" s="1"/>
      <c r="DR341" s="1"/>
      <c r="DY341" s="1"/>
      <c r="DZ341" s="1"/>
      <c r="ED341" s="1"/>
      <c r="EF341" s="1"/>
      <c r="EK341" s="1"/>
      <c r="EL341" s="1"/>
      <c r="EM341" s="1"/>
      <c r="EN341" s="1"/>
      <c r="EQ341" s="1"/>
      <c r="ER341" s="1"/>
      <c r="ES341" s="1"/>
      <c r="EV341" s="1"/>
      <c r="EW341" s="1"/>
      <c r="EX341" s="1"/>
      <c r="EZ341" s="1"/>
      <c r="FA341" s="1"/>
      <c r="FD341" s="1"/>
      <c r="FG341" s="1"/>
      <c r="FH341" s="1"/>
      <c r="FI341" s="1"/>
      <c r="FJ341" s="1"/>
      <c r="FK341" s="1"/>
      <c r="FM341" s="1"/>
      <c r="FN341" s="1"/>
      <c r="FO341" s="1"/>
      <c r="FP341" s="1"/>
      <c r="FQ341" s="1"/>
      <c r="FR341" s="1"/>
      <c r="FS341" s="1"/>
      <c r="FT341" s="1"/>
      <c r="FU341" s="1"/>
      <c r="FV341" s="1"/>
      <c r="FW341" s="1"/>
      <c r="FX341" s="1"/>
      <c r="FY341" s="1"/>
      <c r="FZ341" s="1"/>
      <c r="GA341" s="1"/>
      <c r="GD341" s="1"/>
      <c r="GE341" s="1"/>
      <c r="GF341" s="1"/>
      <c r="GG341" s="1"/>
      <c r="GH341" s="1"/>
      <c r="GI341" s="1"/>
      <c r="GJ341" s="1"/>
      <c r="GK341" s="1"/>
      <c r="GL341" s="1"/>
      <c r="GM341" s="1"/>
      <c r="GN341" s="1"/>
      <c r="GO341" s="1"/>
      <c r="GP341" s="1"/>
      <c r="GR341" s="1"/>
      <c r="GY341" s="1"/>
      <c r="HH341" s="1"/>
      <c r="HT341" s="1"/>
      <c r="HY341" s="1"/>
      <c r="IC341" s="1"/>
      <c r="IE341" s="1"/>
      <c r="IR341" s="1"/>
      <c r="IS341" s="1"/>
      <c r="IZ341" s="1"/>
      <c r="JA341" s="1"/>
      <c r="JC341" s="1"/>
      <c r="JF341" s="1"/>
      <c r="JG341" s="1"/>
      <c r="JH341" s="1"/>
      <c r="JJ341" s="1"/>
      <c r="JN341" s="1"/>
      <c r="JP341" s="1"/>
      <c r="JQ341" s="1"/>
      <c r="JT341" s="1"/>
      <c r="KV341" s="1"/>
      <c r="KY341" s="1"/>
      <c r="KZ341" s="1"/>
      <c r="LA341" s="1"/>
      <c r="LB341" s="1"/>
      <c r="LC341" s="1"/>
      <c r="LD341" s="1"/>
      <c r="LF341" s="1"/>
      <c r="LN341" s="1"/>
      <c r="LO341" s="1"/>
      <c r="LP341" s="1"/>
      <c r="LZ341" s="1"/>
      <c r="MA341" s="1"/>
    </row>
    <row r="342" spans="4:339" ht="13" x14ac:dyDescent="0.15">
      <c r="D342" s="12"/>
      <c r="E342" s="12"/>
      <c r="I342" s="12"/>
      <c r="J342" s="13"/>
      <c r="BF342" s="1"/>
      <c r="BG342" s="1"/>
      <c r="BH342" s="1"/>
      <c r="BI342" s="1"/>
      <c r="BK342" s="1"/>
      <c r="BL342" s="1"/>
      <c r="BM342" s="1"/>
      <c r="BN342" s="1"/>
      <c r="BO342" s="1"/>
      <c r="BP342" s="1"/>
      <c r="BQ342" s="1"/>
      <c r="BR342" s="1"/>
      <c r="BX342" s="1"/>
      <c r="CD342" s="1"/>
      <c r="CE342" s="1"/>
      <c r="CF342" s="1"/>
      <c r="CG342" s="1"/>
      <c r="CH342" s="1"/>
      <c r="CI342" s="1"/>
      <c r="CM342" s="2"/>
      <c r="CN342" s="1"/>
      <c r="CO342" s="1"/>
      <c r="CP342" s="1"/>
      <c r="CQ342" s="1"/>
      <c r="CV342" s="1"/>
      <c r="CW342" s="1"/>
      <c r="CX342" s="1"/>
      <c r="CY342" s="1"/>
      <c r="CZ342" s="1"/>
      <c r="DA342" s="1"/>
      <c r="DB342" s="1"/>
      <c r="DC342" s="1"/>
      <c r="DD342" s="1"/>
      <c r="DE342" s="1"/>
      <c r="DF342" s="1"/>
      <c r="DG342" s="1"/>
      <c r="DH342" s="1"/>
      <c r="DI342" s="1"/>
      <c r="DJ342" s="1"/>
      <c r="DK342" s="1"/>
      <c r="DM342" s="1"/>
      <c r="DQ342" s="1"/>
      <c r="DR342" s="1"/>
      <c r="DY342" s="1"/>
      <c r="DZ342" s="1"/>
      <c r="ED342" s="1"/>
      <c r="EF342" s="1"/>
      <c r="EK342" s="1"/>
      <c r="EL342" s="1"/>
      <c r="EM342" s="1"/>
      <c r="EN342" s="1"/>
      <c r="EQ342" s="1"/>
      <c r="ER342" s="1"/>
      <c r="ES342" s="1"/>
      <c r="EV342" s="1"/>
      <c r="EW342" s="1"/>
      <c r="EX342" s="1"/>
      <c r="EZ342" s="1"/>
      <c r="FA342" s="1"/>
      <c r="FD342" s="1"/>
      <c r="FG342" s="1"/>
      <c r="FH342" s="1"/>
      <c r="FI342" s="1"/>
      <c r="FJ342" s="1"/>
      <c r="FK342" s="1"/>
      <c r="FM342" s="1"/>
      <c r="FN342" s="1"/>
      <c r="FO342" s="1"/>
      <c r="FP342" s="1"/>
      <c r="FQ342" s="1"/>
      <c r="FR342" s="1"/>
      <c r="FS342" s="1"/>
      <c r="FT342" s="1"/>
      <c r="FU342" s="1"/>
      <c r="FV342" s="1"/>
      <c r="FW342" s="1"/>
      <c r="FX342" s="1"/>
      <c r="FY342" s="1"/>
      <c r="FZ342" s="1"/>
      <c r="GA342" s="1"/>
      <c r="GD342" s="1"/>
      <c r="GE342" s="1"/>
      <c r="GF342" s="1"/>
      <c r="GG342" s="1"/>
      <c r="GH342" s="1"/>
      <c r="GI342" s="1"/>
      <c r="GJ342" s="1"/>
      <c r="GK342" s="1"/>
      <c r="GL342" s="1"/>
      <c r="GM342" s="1"/>
      <c r="GN342" s="1"/>
      <c r="GO342" s="1"/>
      <c r="GP342" s="1"/>
      <c r="GR342" s="1"/>
      <c r="GY342" s="1"/>
      <c r="HH342" s="1"/>
      <c r="HT342" s="1"/>
      <c r="HY342" s="1"/>
      <c r="IC342" s="1"/>
      <c r="IE342" s="1"/>
      <c r="IR342" s="1"/>
      <c r="IS342" s="1"/>
      <c r="IZ342" s="1"/>
      <c r="JA342" s="1"/>
      <c r="JC342" s="1"/>
      <c r="JF342" s="1"/>
      <c r="JG342" s="1"/>
      <c r="JH342" s="1"/>
      <c r="JJ342" s="1"/>
      <c r="JN342" s="1"/>
      <c r="JP342" s="1"/>
      <c r="JQ342" s="1"/>
      <c r="JT342" s="1"/>
      <c r="KV342" s="1"/>
      <c r="KY342" s="1"/>
      <c r="KZ342" s="1"/>
      <c r="LA342" s="1"/>
      <c r="LB342" s="1"/>
      <c r="LC342" s="1"/>
      <c r="LD342" s="1"/>
      <c r="LF342" s="1"/>
      <c r="LN342" s="1"/>
      <c r="LO342" s="1"/>
      <c r="LP342" s="1"/>
      <c r="LZ342" s="1"/>
      <c r="MA342" s="1"/>
    </row>
    <row r="343" spans="4:339" ht="13" x14ac:dyDescent="0.15">
      <c r="D343" s="12"/>
      <c r="E343" s="12"/>
      <c r="I343" s="12"/>
      <c r="J343" s="13"/>
      <c r="BF343" s="1"/>
      <c r="BG343" s="1"/>
      <c r="BH343" s="1"/>
      <c r="BI343" s="1"/>
      <c r="BK343" s="1"/>
      <c r="BL343" s="1"/>
      <c r="BM343" s="1"/>
      <c r="BN343" s="1"/>
      <c r="BO343" s="1"/>
      <c r="BP343" s="1"/>
      <c r="BQ343" s="1"/>
      <c r="BR343" s="1"/>
      <c r="CD343" s="1"/>
      <c r="CE343" s="1"/>
      <c r="CF343" s="1"/>
      <c r="CG343" s="1"/>
      <c r="CH343" s="1"/>
      <c r="CI343" s="1"/>
      <c r="CM343" s="2"/>
      <c r="CN343" s="1"/>
      <c r="CO343" s="1"/>
      <c r="CP343" s="1"/>
      <c r="CQ343" s="1"/>
      <c r="CS343" s="1"/>
      <c r="CT343" s="1"/>
      <c r="CU343" s="1"/>
      <c r="CV343" s="1"/>
      <c r="CW343" s="1"/>
      <c r="CX343" s="1"/>
      <c r="CY343" s="1"/>
      <c r="CZ343" s="1"/>
      <c r="DA343" s="1"/>
      <c r="DB343" s="1"/>
      <c r="DC343" s="1"/>
      <c r="DD343" s="1"/>
      <c r="DE343" s="1"/>
      <c r="DF343" s="1"/>
      <c r="DG343" s="1"/>
      <c r="DH343" s="1"/>
      <c r="DI343" s="1"/>
      <c r="DJ343" s="1"/>
      <c r="DK343" s="1"/>
      <c r="DM343" s="1"/>
      <c r="DQ343" s="1"/>
      <c r="DR343" s="1"/>
      <c r="DY343" s="1"/>
      <c r="DZ343" s="1"/>
      <c r="ED343" s="1"/>
      <c r="EK343" s="1"/>
      <c r="EL343" s="1"/>
      <c r="EM343" s="1"/>
      <c r="EN343" s="1"/>
      <c r="EQ343" s="1"/>
      <c r="ER343" s="1"/>
      <c r="ES343" s="1"/>
      <c r="EV343" s="1"/>
      <c r="EW343" s="1"/>
      <c r="EZ343" s="1"/>
      <c r="FA343" s="1"/>
      <c r="FD343" s="1"/>
      <c r="FH343" s="1"/>
      <c r="FJ343" s="1"/>
      <c r="FS343" s="1"/>
      <c r="FT343" s="1"/>
      <c r="FU343" s="1"/>
      <c r="FV343" s="1"/>
      <c r="FW343" s="1"/>
      <c r="FX343" s="1"/>
      <c r="GA343" s="1"/>
      <c r="GD343" s="1"/>
      <c r="GE343" s="1"/>
      <c r="GF343" s="1"/>
      <c r="GG343" s="1"/>
      <c r="GH343" s="1"/>
      <c r="GI343" s="1"/>
      <c r="GJ343" s="1"/>
      <c r="GK343" s="1"/>
      <c r="GL343" s="1"/>
      <c r="GM343" s="1"/>
      <c r="GN343" s="1"/>
      <c r="GP343" s="1"/>
      <c r="GQ343" s="1"/>
      <c r="GR343" s="1"/>
      <c r="GY343" s="1"/>
      <c r="HF343" s="1"/>
      <c r="HH343" s="1"/>
      <c r="HQ343" s="1"/>
      <c r="HT343" s="1"/>
      <c r="HY343" s="1"/>
      <c r="IE343" s="1"/>
      <c r="IS343" s="1"/>
      <c r="IZ343" s="1"/>
      <c r="JF343" s="1"/>
      <c r="JG343" s="1"/>
      <c r="JH343" s="1"/>
      <c r="JJ343" s="1"/>
      <c r="JN343" s="1"/>
      <c r="JP343" s="1"/>
      <c r="JQ343" s="1"/>
      <c r="JS343" s="1"/>
      <c r="JT343" s="1"/>
      <c r="JV343" s="1"/>
      <c r="KU343" s="1"/>
      <c r="KV343" s="1"/>
      <c r="KY343" s="1"/>
      <c r="KZ343" s="1"/>
      <c r="LA343" s="1"/>
      <c r="LB343" s="1"/>
      <c r="LC343" s="1"/>
      <c r="LD343" s="1"/>
      <c r="LN343" s="1"/>
      <c r="LO343" s="1"/>
      <c r="LP343" s="1"/>
      <c r="LZ343" s="1"/>
      <c r="MA343" s="1"/>
    </row>
    <row r="344" spans="4:339" ht="13" x14ac:dyDescent="0.15">
      <c r="D344" s="12"/>
      <c r="E344" s="12"/>
      <c r="I344" s="12"/>
      <c r="J344" s="13"/>
      <c r="BF344" s="1"/>
      <c r="BG344" s="1"/>
      <c r="BH344" s="1"/>
      <c r="BI344" s="1"/>
      <c r="BK344" s="1"/>
      <c r="BL344" s="1"/>
      <c r="BM344" s="1"/>
      <c r="BN344" s="1"/>
      <c r="BO344" s="1"/>
      <c r="BP344" s="1"/>
      <c r="BQ344" s="1"/>
      <c r="BR344" s="1"/>
      <c r="CD344" s="1"/>
      <c r="CE344" s="1"/>
      <c r="CF344" s="1"/>
      <c r="CG344" s="1"/>
      <c r="CH344" s="1"/>
      <c r="CI344" s="1"/>
      <c r="CM344" s="2"/>
      <c r="CN344" s="1"/>
      <c r="CO344" s="1"/>
      <c r="CP344" s="1"/>
      <c r="CQ344" s="1"/>
      <c r="CS344" s="1"/>
      <c r="CT344" s="1"/>
      <c r="CU344" s="1"/>
      <c r="CV344" s="1"/>
      <c r="CW344" s="1"/>
      <c r="CX344" s="1"/>
      <c r="CY344" s="1"/>
      <c r="CZ344" s="1"/>
      <c r="DA344" s="1"/>
      <c r="DB344" s="1"/>
      <c r="DC344" s="1"/>
      <c r="DD344" s="1"/>
      <c r="DE344" s="1"/>
      <c r="DF344" s="1"/>
      <c r="DG344" s="1"/>
      <c r="DH344" s="1"/>
      <c r="DI344" s="1"/>
      <c r="DJ344" s="1"/>
      <c r="DK344" s="1"/>
      <c r="DM344" s="1"/>
      <c r="DQ344" s="1"/>
      <c r="DR344" s="1"/>
      <c r="DY344" s="1"/>
      <c r="DZ344" s="1"/>
      <c r="ED344" s="1"/>
      <c r="EK344" s="1"/>
      <c r="EL344" s="1"/>
      <c r="EM344" s="1"/>
      <c r="EN344" s="1"/>
      <c r="EQ344" s="1"/>
      <c r="ER344" s="1"/>
      <c r="ES344" s="1"/>
      <c r="EV344" s="1"/>
      <c r="EW344" s="1"/>
      <c r="EZ344" s="1"/>
      <c r="FA344" s="1"/>
      <c r="FD344" s="1"/>
      <c r="FH344" s="1"/>
      <c r="FJ344" s="1"/>
      <c r="FS344" s="1"/>
      <c r="FT344" s="1"/>
      <c r="FU344" s="1"/>
      <c r="FV344" s="1"/>
      <c r="FW344" s="1"/>
      <c r="FX344" s="1"/>
      <c r="GA344" s="1"/>
      <c r="GD344" s="1"/>
      <c r="GE344" s="1"/>
      <c r="GF344" s="1"/>
      <c r="GG344" s="1"/>
      <c r="GH344" s="1"/>
      <c r="GI344" s="1"/>
      <c r="GJ344" s="1"/>
      <c r="GK344" s="1"/>
      <c r="GL344" s="1"/>
      <c r="GM344" s="1"/>
      <c r="GN344" s="1"/>
      <c r="GP344" s="1"/>
      <c r="GQ344" s="1"/>
      <c r="GR344" s="1"/>
      <c r="GY344" s="1"/>
      <c r="HF344" s="1"/>
      <c r="HH344" s="1"/>
      <c r="HQ344" s="1"/>
      <c r="HT344" s="1"/>
      <c r="HY344" s="1"/>
      <c r="IE344" s="1"/>
      <c r="IS344" s="1"/>
      <c r="IZ344" s="1"/>
      <c r="JF344" s="1"/>
      <c r="JG344" s="1"/>
      <c r="JH344" s="1"/>
      <c r="JJ344" s="1"/>
      <c r="JN344" s="1"/>
      <c r="JP344" s="1"/>
      <c r="JQ344" s="1"/>
      <c r="JS344" s="1"/>
      <c r="JT344" s="1"/>
      <c r="JV344" s="1"/>
      <c r="KU344" s="1"/>
      <c r="KV344" s="1"/>
      <c r="KY344" s="1"/>
      <c r="KZ344" s="1"/>
      <c r="LA344" s="1"/>
      <c r="LB344" s="1"/>
      <c r="LC344" s="1"/>
      <c r="LD344" s="1"/>
      <c r="LN344" s="1"/>
      <c r="LO344" s="1"/>
      <c r="LP344" s="1"/>
      <c r="LZ344" s="1"/>
      <c r="MA344" s="1"/>
    </row>
    <row r="345" spans="4:339" ht="13" x14ac:dyDescent="0.15">
      <c r="D345" s="12"/>
      <c r="E345" s="12"/>
      <c r="I345" s="12"/>
      <c r="J345" s="13"/>
      <c r="BF345" s="1"/>
      <c r="BG345" s="1"/>
      <c r="BH345" s="1"/>
      <c r="BI345" s="1"/>
      <c r="BK345" s="1"/>
      <c r="BL345" s="1"/>
      <c r="BM345" s="1"/>
      <c r="BN345" s="1"/>
      <c r="BO345" s="1"/>
      <c r="BP345" s="1"/>
      <c r="BQ345" s="1"/>
      <c r="BR345" s="1"/>
      <c r="CD345" s="1"/>
      <c r="CE345" s="1"/>
      <c r="CF345" s="1"/>
      <c r="CG345" s="1"/>
      <c r="CH345" s="1"/>
      <c r="CI345" s="1"/>
      <c r="CM345" s="2"/>
      <c r="CN345" s="1"/>
      <c r="CO345" s="1"/>
      <c r="CP345" s="1"/>
      <c r="CQ345" s="1"/>
      <c r="CS345" s="1"/>
      <c r="CT345" s="1"/>
      <c r="CU345" s="1"/>
      <c r="CV345" s="1"/>
      <c r="CW345" s="1"/>
      <c r="CX345" s="1"/>
      <c r="CY345" s="1"/>
      <c r="CZ345" s="1"/>
      <c r="DA345" s="1"/>
      <c r="DB345" s="1"/>
      <c r="DC345" s="1"/>
      <c r="DD345" s="1"/>
      <c r="DE345" s="1"/>
      <c r="DF345" s="1"/>
      <c r="DG345" s="1"/>
      <c r="DH345" s="1"/>
      <c r="DI345" s="1"/>
      <c r="DJ345" s="1"/>
      <c r="DK345" s="1"/>
      <c r="DM345" s="1"/>
      <c r="DQ345" s="1"/>
      <c r="DR345" s="1"/>
      <c r="DY345" s="1"/>
      <c r="DZ345" s="1"/>
      <c r="ED345" s="1"/>
      <c r="EK345" s="1"/>
      <c r="EL345" s="1"/>
      <c r="EM345" s="1"/>
      <c r="EN345" s="1"/>
      <c r="EQ345" s="1"/>
      <c r="ER345" s="1"/>
      <c r="ES345" s="1"/>
      <c r="EV345" s="1"/>
      <c r="EW345" s="1"/>
      <c r="EZ345" s="1"/>
      <c r="FA345" s="1"/>
      <c r="FD345" s="1"/>
      <c r="FH345" s="1"/>
      <c r="FJ345" s="1"/>
      <c r="FS345" s="1"/>
      <c r="FT345" s="1"/>
      <c r="FU345" s="1"/>
      <c r="FV345" s="1"/>
      <c r="FW345" s="1"/>
      <c r="FX345" s="1"/>
      <c r="GA345" s="1"/>
      <c r="GD345" s="1"/>
      <c r="GE345" s="1"/>
      <c r="GF345" s="1"/>
      <c r="GG345" s="1"/>
      <c r="GH345" s="1"/>
      <c r="GI345" s="1"/>
      <c r="GJ345" s="1"/>
      <c r="GK345" s="1"/>
      <c r="GL345" s="1"/>
      <c r="GM345" s="1"/>
      <c r="GN345" s="1"/>
      <c r="GP345" s="1"/>
      <c r="GQ345" s="1"/>
      <c r="GR345" s="1"/>
      <c r="GY345" s="1"/>
      <c r="HF345" s="1"/>
      <c r="HH345" s="1"/>
      <c r="HQ345" s="1"/>
      <c r="HT345" s="1"/>
      <c r="HY345" s="1"/>
      <c r="IE345" s="1"/>
      <c r="IS345" s="1"/>
      <c r="IZ345" s="1"/>
      <c r="JF345" s="1"/>
      <c r="JG345" s="1"/>
      <c r="JH345" s="1"/>
      <c r="JJ345" s="1"/>
      <c r="JN345" s="1"/>
      <c r="JP345" s="1"/>
      <c r="JQ345" s="1"/>
      <c r="JS345" s="1"/>
      <c r="JT345" s="1"/>
      <c r="JV345" s="1"/>
      <c r="KU345" s="1"/>
      <c r="KV345" s="1"/>
      <c r="KY345" s="1"/>
      <c r="KZ345" s="1"/>
      <c r="LA345" s="1"/>
      <c r="LB345" s="1"/>
      <c r="LC345" s="1"/>
      <c r="LD345" s="1"/>
      <c r="LN345" s="1"/>
      <c r="LO345" s="1"/>
      <c r="LP345" s="1"/>
      <c r="LZ345" s="1"/>
      <c r="MA345" s="1"/>
    </row>
    <row r="346" spans="4:339" ht="13" x14ac:dyDescent="0.15">
      <c r="D346" s="12"/>
      <c r="E346" s="12"/>
      <c r="I346" s="12"/>
      <c r="J346" s="13"/>
      <c r="BF346" s="1"/>
      <c r="BG346" s="1"/>
      <c r="BH346" s="1"/>
      <c r="BI346" s="1"/>
      <c r="BK346" s="1"/>
      <c r="BL346" s="1"/>
      <c r="BM346" s="1"/>
      <c r="BN346" s="1"/>
      <c r="BO346" s="1"/>
      <c r="BP346" s="1"/>
      <c r="BQ346" s="1"/>
      <c r="BR346" s="1"/>
      <c r="CD346" s="1"/>
      <c r="CE346" s="1"/>
      <c r="CF346" s="1"/>
      <c r="CG346" s="1"/>
      <c r="CH346" s="1"/>
      <c r="CI346" s="1"/>
      <c r="CM346" s="2"/>
      <c r="CN346" s="1"/>
      <c r="CO346" s="1"/>
      <c r="CP346" s="1"/>
      <c r="CQ346" s="1"/>
      <c r="CS346" s="1"/>
      <c r="CT346" s="1"/>
      <c r="CU346" s="1"/>
      <c r="CV346" s="1"/>
      <c r="CW346" s="1"/>
      <c r="CX346" s="1"/>
      <c r="CY346" s="1"/>
      <c r="CZ346" s="1"/>
      <c r="DA346" s="1"/>
      <c r="DB346" s="1"/>
      <c r="DC346" s="1"/>
      <c r="DD346" s="1"/>
      <c r="DE346" s="1"/>
      <c r="DF346" s="1"/>
      <c r="DG346" s="1"/>
      <c r="DH346" s="1"/>
      <c r="DI346" s="1"/>
      <c r="DJ346" s="1"/>
      <c r="DK346" s="1"/>
      <c r="DM346" s="1"/>
      <c r="DQ346" s="1"/>
      <c r="DR346" s="1"/>
      <c r="DY346" s="1"/>
      <c r="DZ346" s="1"/>
      <c r="ED346" s="1"/>
      <c r="EK346" s="1"/>
      <c r="EL346" s="1"/>
      <c r="EM346" s="1"/>
      <c r="EN346" s="1"/>
      <c r="EQ346" s="1"/>
      <c r="ER346" s="1"/>
      <c r="ES346" s="1"/>
      <c r="EV346" s="1"/>
      <c r="EW346" s="1"/>
      <c r="EZ346" s="1"/>
      <c r="FA346" s="1"/>
      <c r="FD346" s="1"/>
      <c r="FH346" s="1"/>
      <c r="FJ346" s="1"/>
      <c r="FS346" s="1"/>
      <c r="FT346" s="1"/>
      <c r="FU346" s="1"/>
      <c r="FV346" s="1"/>
      <c r="FW346" s="1"/>
      <c r="FX346" s="1"/>
      <c r="GA346" s="1"/>
      <c r="GD346" s="1"/>
      <c r="GE346" s="1"/>
      <c r="GF346" s="1"/>
      <c r="GG346" s="1"/>
      <c r="GH346" s="1"/>
      <c r="GI346" s="1"/>
      <c r="GJ346" s="1"/>
      <c r="GK346" s="1"/>
      <c r="GL346" s="1"/>
      <c r="GM346" s="1"/>
      <c r="GN346" s="1"/>
      <c r="GP346" s="1"/>
      <c r="GQ346" s="1"/>
      <c r="GR346" s="1"/>
      <c r="GY346" s="1"/>
      <c r="HF346" s="1"/>
      <c r="HH346" s="1"/>
      <c r="HQ346" s="1"/>
      <c r="HT346" s="1"/>
      <c r="HY346" s="1"/>
      <c r="IE346" s="1"/>
      <c r="IS346" s="1"/>
      <c r="IZ346" s="1"/>
      <c r="JF346" s="1"/>
      <c r="JG346" s="1"/>
      <c r="JH346" s="1"/>
      <c r="JJ346" s="1"/>
      <c r="JN346" s="1"/>
      <c r="JP346" s="1"/>
      <c r="JQ346" s="1"/>
      <c r="JS346" s="1"/>
      <c r="JT346" s="1"/>
      <c r="JV346" s="1"/>
      <c r="KU346" s="1"/>
      <c r="KV346" s="1"/>
      <c r="KY346" s="1"/>
      <c r="KZ346" s="1"/>
      <c r="LA346" s="1"/>
      <c r="LB346" s="1"/>
      <c r="LC346" s="1"/>
      <c r="LD346" s="1"/>
      <c r="LN346" s="1"/>
      <c r="LO346" s="1"/>
      <c r="LP346" s="1"/>
      <c r="LZ346" s="1"/>
      <c r="MA346" s="1"/>
    </row>
    <row r="347" spans="4:339" ht="13" x14ac:dyDescent="0.15">
      <c r="D347" s="12"/>
      <c r="E347" s="12"/>
      <c r="I347" s="12"/>
      <c r="J347" s="13"/>
      <c r="BF347" s="1"/>
      <c r="BG347" s="1"/>
      <c r="BH347" s="1"/>
      <c r="BI347" s="1"/>
      <c r="BK347" s="1"/>
      <c r="BL347" s="1"/>
      <c r="BM347" s="1"/>
      <c r="BN347" s="1"/>
      <c r="BO347" s="1"/>
      <c r="BP347" s="1"/>
      <c r="BQ347" s="1"/>
      <c r="BR347" s="1"/>
      <c r="CD347" s="1"/>
      <c r="CE347" s="1"/>
      <c r="CF347" s="1"/>
      <c r="CG347" s="1"/>
      <c r="CH347" s="1"/>
      <c r="CI347" s="1"/>
      <c r="CM347" s="2"/>
      <c r="CN347" s="1"/>
      <c r="CO347" s="1"/>
      <c r="CP347" s="1"/>
      <c r="CQ347" s="1"/>
      <c r="CS347" s="1"/>
      <c r="CT347" s="1"/>
      <c r="CU347" s="1"/>
      <c r="CV347" s="1"/>
      <c r="CW347" s="1"/>
      <c r="CX347" s="1"/>
      <c r="CY347" s="1"/>
      <c r="CZ347" s="1"/>
      <c r="DA347" s="1"/>
      <c r="DB347" s="1"/>
      <c r="DC347" s="1"/>
      <c r="DD347" s="1"/>
      <c r="DE347" s="1"/>
      <c r="DF347" s="1"/>
      <c r="DG347" s="1"/>
      <c r="DH347" s="1"/>
      <c r="DI347" s="1"/>
      <c r="DJ347" s="1"/>
      <c r="DK347" s="1"/>
      <c r="DM347" s="1"/>
      <c r="DQ347" s="1"/>
      <c r="DR347" s="1"/>
      <c r="DY347" s="1"/>
      <c r="DZ347" s="1"/>
      <c r="ED347" s="1"/>
      <c r="EK347" s="1"/>
      <c r="EL347" s="1"/>
      <c r="EM347" s="1"/>
      <c r="EN347" s="1"/>
      <c r="EQ347" s="1"/>
      <c r="ER347" s="1"/>
      <c r="ES347" s="1"/>
      <c r="EV347" s="1"/>
      <c r="EW347" s="1"/>
      <c r="EZ347" s="1"/>
      <c r="FA347" s="1"/>
      <c r="FD347" s="1"/>
      <c r="FH347" s="1"/>
      <c r="FJ347" s="1"/>
      <c r="FS347" s="1"/>
      <c r="FT347" s="1"/>
      <c r="FU347" s="1"/>
      <c r="FV347" s="1"/>
      <c r="FW347" s="1"/>
      <c r="FX347" s="1"/>
      <c r="GA347" s="1"/>
      <c r="GD347" s="1"/>
      <c r="GE347" s="1"/>
      <c r="GF347" s="1"/>
      <c r="GG347" s="1"/>
      <c r="GH347" s="1"/>
      <c r="GI347" s="1"/>
      <c r="GJ347" s="1"/>
      <c r="GK347" s="1"/>
      <c r="GL347" s="1"/>
      <c r="GM347" s="1"/>
      <c r="GN347" s="1"/>
      <c r="GP347" s="1"/>
      <c r="GQ347" s="1"/>
      <c r="GR347" s="1"/>
      <c r="GY347" s="1"/>
      <c r="HF347" s="1"/>
      <c r="HH347" s="1"/>
      <c r="HQ347" s="1"/>
      <c r="HT347" s="1"/>
      <c r="HY347" s="1"/>
      <c r="IE347" s="1"/>
      <c r="IS347" s="1"/>
      <c r="IZ347" s="1"/>
      <c r="JF347" s="1"/>
      <c r="JG347" s="1"/>
      <c r="JH347" s="1"/>
      <c r="JJ347" s="1"/>
      <c r="JN347" s="1"/>
      <c r="JP347" s="1"/>
      <c r="JQ347" s="1"/>
      <c r="JS347" s="1"/>
      <c r="JT347" s="1"/>
      <c r="JV347" s="1"/>
      <c r="KU347" s="1"/>
      <c r="KV347" s="1"/>
      <c r="KY347" s="1"/>
      <c r="KZ347" s="1"/>
      <c r="LA347" s="1"/>
      <c r="LB347" s="1"/>
      <c r="LC347" s="1"/>
      <c r="LD347" s="1"/>
      <c r="LN347" s="1"/>
      <c r="LO347" s="1"/>
      <c r="LP347" s="1"/>
      <c r="LZ347" s="1"/>
      <c r="MA347" s="1"/>
    </row>
    <row r="348" spans="4:339" ht="13" x14ac:dyDescent="0.15">
      <c r="D348" s="12"/>
      <c r="E348" s="12"/>
      <c r="I348" s="12"/>
      <c r="J348" s="13"/>
      <c r="BF348" s="1"/>
      <c r="BG348" s="1"/>
      <c r="BH348" s="1"/>
      <c r="BI348" s="1"/>
      <c r="BK348" s="1"/>
      <c r="BL348" s="1"/>
      <c r="BM348" s="1"/>
      <c r="BN348" s="1"/>
      <c r="BO348" s="1"/>
      <c r="BP348" s="1"/>
      <c r="BQ348" s="1"/>
      <c r="BR348" s="1"/>
      <c r="CD348" s="1"/>
      <c r="CE348" s="1"/>
      <c r="CF348" s="1"/>
      <c r="CG348" s="1"/>
      <c r="CH348" s="1"/>
      <c r="CI348" s="1"/>
      <c r="CM348" s="2"/>
      <c r="CN348" s="1"/>
      <c r="CO348" s="1"/>
      <c r="CP348" s="1"/>
      <c r="CQ348" s="1"/>
      <c r="CS348" s="1"/>
      <c r="CT348" s="1"/>
      <c r="CU348" s="1"/>
      <c r="CV348" s="1"/>
      <c r="CW348" s="1"/>
      <c r="CX348" s="1"/>
      <c r="CY348" s="1"/>
      <c r="CZ348" s="1"/>
      <c r="DA348" s="1"/>
      <c r="DB348" s="1"/>
      <c r="DC348" s="1"/>
      <c r="DD348" s="1"/>
      <c r="DE348" s="1"/>
      <c r="DF348" s="1"/>
      <c r="DG348" s="1"/>
      <c r="DH348" s="1"/>
      <c r="DI348" s="1"/>
      <c r="DJ348" s="1"/>
      <c r="DK348" s="1"/>
      <c r="DM348" s="1"/>
      <c r="DQ348" s="1"/>
      <c r="DR348" s="1"/>
      <c r="DY348" s="1"/>
      <c r="DZ348" s="1"/>
      <c r="ED348" s="1"/>
      <c r="EK348" s="1"/>
      <c r="EL348" s="1"/>
      <c r="EM348" s="1"/>
      <c r="EN348" s="1"/>
      <c r="EQ348" s="1"/>
      <c r="ER348" s="1"/>
      <c r="ES348" s="1"/>
      <c r="EV348" s="1"/>
      <c r="EW348" s="1"/>
      <c r="EZ348" s="1"/>
      <c r="FA348" s="1"/>
      <c r="FD348" s="1"/>
      <c r="FH348" s="1"/>
      <c r="FJ348" s="1"/>
      <c r="FS348" s="1"/>
      <c r="FT348" s="1"/>
      <c r="FU348" s="1"/>
      <c r="FV348" s="1"/>
      <c r="FW348" s="1"/>
      <c r="FX348" s="1"/>
      <c r="GA348" s="1"/>
      <c r="GD348" s="1"/>
      <c r="GE348" s="1"/>
      <c r="GF348" s="1"/>
      <c r="GG348" s="1"/>
      <c r="GH348" s="1"/>
      <c r="GI348" s="1"/>
      <c r="GJ348" s="1"/>
      <c r="GK348" s="1"/>
      <c r="GL348" s="1"/>
      <c r="GM348" s="1"/>
      <c r="GN348" s="1"/>
      <c r="GP348" s="1"/>
      <c r="GQ348" s="1"/>
      <c r="GR348" s="1"/>
      <c r="GY348" s="1"/>
      <c r="HF348" s="1"/>
      <c r="HH348" s="1"/>
      <c r="HQ348" s="1"/>
      <c r="HT348" s="1"/>
      <c r="HY348" s="1"/>
      <c r="IE348" s="1"/>
      <c r="IS348" s="1"/>
      <c r="IZ348" s="1"/>
      <c r="JF348" s="1"/>
      <c r="JG348" s="1"/>
      <c r="JH348" s="1"/>
      <c r="JJ348" s="1"/>
      <c r="JN348" s="1"/>
      <c r="JP348" s="1"/>
      <c r="JQ348" s="1"/>
      <c r="JS348" s="1"/>
      <c r="JT348" s="1"/>
      <c r="JV348" s="1"/>
      <c r="KU348" s="1"/>
      <c r="KV348" s="1"/>
      <c r="KY348" s="1"/>
      <c r="KZ348" s="1"/>
      <c r="LA348" s="1"/>
      <c r="LB348" s="1"/>
      <c r="LC348" s="1"/>
      <c r="LD348" s="1"/>
      <c r="LN348" s="1"/>
      <c r="LO348" s="1"/>
      <c r="LP348" s="1"/>
      <c r="LZ348" s="1"/>
      <c r="MA348" s="1"/>
    </row>
    <row r="349" spans="4:339" ht="13" x14ac:dyDescent="0.15">
      <c r="D349" s="12"/>
      <c r="E349" s="12"/>
      <c r="I349" s="12"/>
      <c r="J349" s="13"/>
      <c r="BF349" s="1"/>
      <c r="BG349" s="1"/>
      <c r="BH349" s="1"/>
      <c r="BI349" s="1"/>
      <c r="BK349" s="1"/>
      <c r="BL349" s="1"/>
      <c r="BM349" s="1"/>
      <c r="BN349" s="1"/>
      <c r="BO349" s="1"/>
      <c r="BP349" s="1"/>
      <c r="BQ349" s="1"/>
      <c r="BR349" s="1"/>
      <c r="CD349" s="1"/>
      <c r="CE349" s="1"/>
      <c r="CF349" s="1"/>
      <c r="CG349" s="1"/>
      <c r="CH349" s="1"/>
      <c r="CI349" s="1"/>
      <c r="CM349" s="2"/>
      <c r="CN349" s="1"/>
      <c r="CO349" s="1"/>
      <c r="CP349" s="1"/>
      <c r="CQ349" s="1"/>
      <c r="CS349" s="1"/>
      <c r="CT349" s="1"/>
      <c r="CU349" s="1"/>
      <c r="CV349" s="1"/>
      <c r="CW349" s="1"/>
      <c r="CX349" s="1"/>
      <c r="CY349" s="1"/>
      <c r="CZ349" s="1"/>
      <c r="DA349" s="1"/>
      <c r="DB349" s="1"/>
      <c r="DC349" s="1"/>
      <c r="DD349" s="1"/>
      <c r="DE349" s="1"/>
      <c r="DF349" s="1"/>
      <c r="DG349" s="1"/>
      <c r="DH349" s="1"/>
      <c r="DI349" s="1"/>
      <c r="DJ349" s="1"/>
      <c r="DK349" s="1"/>
      <c r="DM349" s="1"/>
      <c r="DQ349" s="1"/>
      <c r="DR349" s="1"/>
      <c r="DY349" s="1"/>
      <c r="DZ349" s="1"/>
      <c r="ED349" s="1"/>
      <c r="EK349" s="1"/>
      <c r="EL349" s="1"/>
      <c r="EM349" s="1"/>
      <c r="EN349" s="1"/>
      <c r="EQ349" s="1"/>
      <c r="ER349" s="1"/>
      <c r="ES349" s="1"/>
      <c r="EV349" s="1"/>
      <c r="EW349" s="1"/>
      <c r="EZ349" s="1"/>
      <c r="FA349" s="1"/>
      <c r="FD349" s="1"/>
      <c r="FH349" s="1"/>
      <c r="FJ349" s="1"/>
      <c r="FS349" s="1"/>
      <c r="FT349" s="1"/>
      <c r="FU349" s="1"/>
      <c r="FV349" s="1"/>
      <c r="FW349" s="1"/>
      <c r="FX349" s="1"/>
      <c r="GA349" s="1"/>
      <c r="GD349" s="1"/>
      <c r="GE349" s="1"/>
      <c r="GF349" s="1"/>
      <c r="GG349" s="1"/>
      <c r="GH349" s="1"/>
      <c r="GI349" s="1"/>
      <c r="GJ349" s="1"/>
      <c r="GK349" s="1"/>
      <c r="GL349" s="1"/>
      <c r="GM349" s="1"/>
      <c r="GN349" s="1"/>
      <c r="GP349" s="1"/>
      <c r="GQ349" s="1"/>
      <c r="GR349" s="1"/>
      <c r="GY349" s="1"/>
      <c r="HF349" s="1"/>
      <c r="HH349" s="1"/>
      <c r="HQ349" s="1"/>
      <c r="HT349" s="1"/>
      <c r="HY349" s="1"/>
      <c r="IE349" s="1"/>
      <c r="IS349" s="1"/>
      <c r="IZ349" s="1"/>
      <c r="JF349" s="1"/>
      <c r="JG349" s="1"/>
      <c r="JH349" s="1"/>
      <c r="JJ349" s="1"/>
      <c r="JN349" s="1"/>
      <c r="JP349" s="1"/>
      <c r="JQ349" s="1"/>
      <c r="JS349" s="1"/>
      <c r="JT349" s="1"/>
      <c r="JV349" s="1"/>
      <c r="KU349" s="1"/>
      <c r="KV349" s="1"/>
      <c r="KY349" s="1"/>
      <c r="KZ349" s="1"/>
      <c r="LA349" s="1"/>
      <c r="LB349" s="1"/>
      <c r="LC349" s="1"/>
      <c r="LD349" s="1"/>
      <c r="LN349" s="1"/>
      <c r="LO349" s="1"/>
      <c r="LP349" s="1"/>
      <c r="LZ349" s="1"/>
      <c r="MA349" s="1"/>
    </row>
    <row r="350" spans="4:339" ht="13" x14ac:dyDescent="0.15">
      <c r="D350" s="12"/>
      <c r="E350" s="12"/>
      <c r="I350" s="12"/>
      <c r="J350" s="13"/>
      <c r="BF350" s="1"/>
      <c r="BG350" s="1"/>
      <c r="BH350" s="1"/>
      <c r="BI350" s="1"/>
      <c r="BK350" s="1"/>
      <c r="BL350" s="1"/>
      <c r="BM350" s="1"/>
      <c r="BN350" s="1"/>
      <c r="BO350" s="1"/>
      <c r="BP350" s="1"/>
      <c r="BQ350" s="1"/>
      <c r="BR350" s="1"/>
      <c r="CD350" s="1"/>
      <c r="CE350" s="1"/>
      <c r="CF350" s="1"/>
      <c r="CG350" s="1"/>
      <c r="CH350" s="1"/>
      <c r="CI350" s="1"/>
      <c r="CM350" s="2"/>
      <c r="CN350" s="1"/>
      <c r="CO350" s="1"/>
      <c r="CP350" s="1"/>
      <c r="CQ350" s="1"/>
      <c r="CS350" s="1"/>
      <c r="CT350" s="1"/>
      <c r="CU350" s="1"/>
      <c r="CV350" s="1"/>
      <c r="CW350" s="1"/>
      <c r="CX350" s="1"/>
      <c r="CY350" s="1"/>
      <c r="CZ350" s="1"/>
      <c r="DA350" s="1"/>
      <c r="DB350" s="1"/>
      <c r="DC350" s="1"/>
      <c r="DD350" s="1"/>
      <c r="DE350" s="1"/>
      <c r="DF350" s="1"/>
      <c r="DG350" s="1"/>
      <c r="DH350" s="1"/>
      <c r="DI350" s="1"/>
      <c r="DJ350" s="1"/>
      <c r="DK350" s="1"/>
      <c r="DM350" s="1"/>
      <c r="DQ350" s="1"/>
      <c r="DR350" s="1"/>
      <c r="DY350" s="1"/>
      <c r="DZ350" s="1"/>
      <c r="ED350" s="1"/>
      <c r="EK350" s="1"/>
      <c r="EL350" s="1"/>
      <c r="EM350" s="1"/>
      <c r="EN350" s="1"/>
      <c r="EQ350" s="1"/>
      <c r="ER350" s="1"/>
      <c r="ES350" s="1"/>
      <c r="EV350" s="1"/>
      <c r="EW350" s="1"/>
      <c r="EZ350" s="1"/>
      <c r="FA350" s="1"/>
      <c r="FD350" s="1"/>
      <c r="FH350" s="1"/>
      <c r="FJ350" s="1"/>
      <c r="FS350" s="1"/>
      <c r="FT350" s="1"/>
      <c r="FU350" s="1"/>
      <c r="FV350" s="1"/>
      <c r="FW350" s="1"/>
      <c r="FX350" s="1"/>
      <c r="GA350" s="1"/>
      <c r="GD350" s="1"/>
      <c r="GE350" s="1"/>
      <c r="GF350" s="1"/>
      <c r="GG350" s="1"/>
      <c r="GH350" s="1"/>
      <c r="GI350" s="1"/>
      <c r="GJ350" s="1"/>
      <c r="GK350" s="1"/>
      <c r="GL350" s="1"/>
      <c r="GM350" s="1"/>
      <c r="GN350" s="1"/>
      <c r="GP350" s="1"/>
      <c r="GQ350" s="1"/>
      <c r="GR350" s="1"/>
      <c r="GY350" s="1"/>
      <c r="HF350" s="1"/>
      <c r="HH350" s="1"/>
      <c r="HQ350" s="1"/>
      <c r="HT350" s="1"/>
      <c r="HY350" s="1"/>
      <c r="IE350" s="1"/>
      <c r="IS350" s="1"/>
      <c r="IZ350" s="1"/>
      <c r="JF350" s="1"/>
      <c r="JG350" s="1"/>
      <c r="JH350" s="1"/>
      <c r="JJ350" s="1"/>
      <c r="JN350" s="1"/>
      <c r="JP350" s="1"/>
      <c r="JQ350" s="1"/>
      <c r="JS350" s="1"/>
      <c r="JT350" s="1"/>
      <c r="JV350" s="1"/>
      <c r="KU350" s="1"/>
      <c r="KV350" s="1"/>
      <c r="KY350" s="1"/>
      <c r="KZ350" s="1"/>
      <c r="LA350" s="1"/>
      <c r="LB350" s="1"/>
      <c r="LC350" s="1"/>
      <c r="LD350" s="1"/>
      <c r="LN350" s="1"/>
      <c r="LO350" s="1"/>
      <c r="LP350" s="1"/>
      <c r="LZ350" s="1"/>
      <c r="MA350" s="1"/>
    </row>
    <row r="351" spans="4:339" ht="13" x14ac:dyDescent="0.15">
      <c r="D351" s="12"/>
      <c r="E351" s="12"/>
      <c r="I351" s="12"/>
      <c r="J351" s="13"/>
      <c r="BF351" s="1"/>
      <c r="BG351" s="1"/>
      <c r="BH351" s="1"/>
      <c r="BI351" s="1"/>
      <c r="BK351" s="1"/>
      <c r="BL351" s="1"/>
      <c r="BM351" s="1"/>
      <c r="BN351" s="1"/>
      <c r="BO351" s="1"/>
      <c r="BP351" s="1"/>
      <c r="BQ351" s="1"/>
      <c r="BR351" s="1"/>
      <c r="CD351" s="1"/>
      <c r="CE351" s="1"/>
      <c r="CF351" s="1"/>
      <c r="CG351" s="1"/>
      <c r="CH351" s="1"/>
      <c r="CI351" s="1"/>
      <c r="CM351" s="2"/>
      <c r="CN351" s="1"/>
      <c r="CO351" s="1"/>
      <c r="CP351" s="1"/>
      <c r="CQ351" s="1"/>
      <c r="CS351" s="1"/>
      <c r="CT351" s="1"/>
      <c r="CU351" s="1"/>
      <c r="CV351" s="1"/>
      <c r="CW351" s="1"/>
      <c r="CX351" s="1"/>
      <c r="CY351" s="1"/>
      <c r="CZ351" s="1"/>
      <c r="DA351" s="1"/>
      <c r="DB351" s="1"/>
      <c r="DC351" s="1"/>
      <c r="DD351" s="1"/>
      <c r="DE351" s="1"/>
      <c r="DF351" s="1"/>
      <c r="DG351" s="1"/>
      <c r="DH351" s="1"/>
      <c r="DI351" s="1"/>
      <c r="DJ351" s="1"/>
      <c r="DK351" s="1"/>
      <c r="DM351" s="1"/>
      <c r="DQ351" s="1"/>
      <c r="DR351" s="1"/>
      <c r="DY351" s="1"/>
      <c r="DZ351" s="1"/>
      <c r="ED351" s="1"/>
      <c r="EK351" s="1"/>
      <c r="EL351" s="1"/>
      <c r="EM351" s="1"/>
      <c r="EN351" s="1"/>
      <c r="EQ351" s="1"/>
      <c r="ER351" s="1"/>
      <c r="ES351" s="1"/>
      <c r="EV351" s="1"/>
      <c r="EW351" s="1"/>
      <c r="EZ351" s="1"/>
      <c r="FA351" s="1"/>
      <c r="FD351" s="1"/>
      <c r="FH351" s="1"/>
      <c r="FJ351" s="1"/>
      <c r="FS351" s="1"/>
      <c r="FT351" s="1"/>
      <c r="FU351" s="1"/>
      <c r="FV351" s="1"/>
      <c r="FW351" s="1"/>
      <c r="FX351" s="1"/>
      <c r="GA351" s="1"/>
      <c r="GD351" s="1"/>
      <c r="GE351" s="1"/>
      <c r="GF351" s="1"/>
      <c r="GG351" s="1"/>
      <c r="GH351" s="1"/>
      <c r="GI351" s="1"/>
      <c r="GJ351" s="1"/>
      <c r="GK351" s="1"/>
      <c r="GL351" s="1"/>
      <c r="GM351" s="1"/>
      <c r="GN351" s="1"/>
      <c r="GP351" s="1"/>
      <c r="GQ351" s="1"/>
      <c r="GR351" s="1"/>
      <c r="GY351" s="1"/>
      <c r="HF351" s="1"/>
      <c r="HH351" s="1"/>
      <c r="HQ351" s="1"/>
      <c r="HT351" s="1"/>
      <c r="HY351" s="1"/>
      <c r="IE351" s="1"/>
      <c r="IS351" s="1"/>
      <c r="IZ351" s="1"/>
      <c r="JF351" s="1"/>
      <c r="JG351" s="1"/>
      <c r="JH351" s="1"/>
      <c r="JJ351" s="1"/>
      <c r="JN351" s="1"/>
      <c r="JP351" s="1"/>
      <c r="JQ351" s="1"/>
      <c r="JS351" s="1"/>
      <c r="JT351" s="1"/>
      <c r="JV351" s="1"/>
      <c r="KU351" s="1"/>
      <c r="KV351" s="1"/>
      <c r="KY351" s="1"/>
      <c r="KZ351" s="1"/>
      <c r="LA351" s="1"/>
      <c r="LB351" s="1"/>
      <c r="LC351" s="1"/>
      <c r="LD351" s="1"/>
      <c r="LN351" s="1"/>
      <c r="LO351" s="1"/>
      <c r="LP351" s="1"/>
      <c r="LZ351" s="1"/>
      <c r="MA351" s="1"/>
    </row>
    <row r="352" spans="4:339" ht="13" x14ac:dyDescent="0.15">
      <c r="D352" s="12"/>
      <c r="E352" s="12"/>
      <c r="I352" s="12"/>
      <c r="J352" s="13"/>
      <c r="BF352" s="1"/>
      <c r="BG352" s="1"/>
      <c r="BH352" s="1"/>
      <c r="BI352" s="1"/>
      <c r="BK352" s="1"/>
      <c r="BL352" s="1"/>
      <c r="BM352" s="1"/>
      <c r="BN352" s="1"/>
      <c r="BO352" s="1"/>
      <c r="BP352" s="1"/>
      <c r="BQ352" s="1"/>
      <c r="BR352" s="1"/>
      <c r="CD352" s="1"/>
      <c r="CE352" s="1"/>
      <c r="CF352" s="1"/>
      <c r="CG352" s="1"/>
      <c r="CH352" s="1"/>
      <c r="CI352" s="1"/>
      <c r="CM352" s="2"/>
      <c r="CN352" s="1"/>
      <c r="CO352" s="1"/>
      <c r="CP352" s="1"/>
      <c r="CQ352" s="1"/>
      <c r="CS352" s="1"/>
      <c r="CT352" s="1"/>
      <c r="CU352" s="1"/>
      <c r="CV352" s="1"/>
      <c r="CW352" s="1"/>
      <c r="CX352" s="1"/>
      <c r="CY352" s="1"/>
      <c r="CZ352" s="1"/>
      <c r="DA352" s="1"/>
      <c r="DB352" s="1"/>
      <c r="DC352" s="1"/>
      <c r="DD352" s="1"/>
      <c r="DE352" s="1"/>
      <c r="DF352" s="1"/>
      <c r="DG352" s="1"/>
      <c r="DH352" s="1"/>
      <c r="DI352" s="1"/>
      <c r="DJ352" s="1"/>
      <c r="DK352" s="1"/>
      <c r="DM352" s="1"/>
      <c r="DQ352" s="1"/>
      <c r="DR352" s="1"/>
      <c r="DY352" s="1"/>
      <c r="DZ352" s="1"/>
      <c r="ED352" s="1"/>
      <c r="EK352" s="1"/>
      <c r="EL352" s="1"/>
      <c r="EM352" s="1"/>
      <c r="EN352" s="1"/>
      <c r="EQ352" s="1"/>
      <c r="ER352" s="1"/>
      <c r="ES352" s="1"/>
      <c r="EV352" s="1"/>
      <c r="EW352" s="1"/>
      <c r="EZ352" s="1"/>
      <c r="FA352" s="1"/>
      <c r="FD352" s="1"/>
      <c r="FH352" s="1"/>
      <c r="FJ352" s="1"/>
      <c r="FS352" s="1"/>
      <c r="FT352" s="1"/>
      <c r="FU352" s="1"/>
      <c r="FV352" s="1"/>
      <c r="FW352" s="1"/>
      <c r="FX352" s="1"/>
      <c r="GA352" s="1"/>
      <c r="GD352" s="1"/>
      <c r="GE352" s="1"/>
      <c r="GF352" s="1"/>
      <c r="GG352" s="1"/>
      <c r="GH352" s="1"/>
      <c r="GI352" s="1"/>
      <c r="GJ352" s="1"/>
      <c r="GK352" s="1"/>
      <c r="GL352" s="1"/>
      <c r="GM352" s="1"/>
      <c r="GN352" s="1"/>
      <c r="GP352" s="1"/>
      <c r="GQ352" s="1"/>
      <c r="GR352" s="1"/>
      <c r="GY352" s="1"/>
      <c r="HF352" s="1"/>
      <c r="HH352" s="1"/>
      <c r="HQ352" s="1"/>
      <c r="HT352" s="1"/>
      <c r="HY352" s="1"/>
      <c r="IE352" s="1"/>
      <c r="IS352" s="1"/>
      <c r="IZ352" s="1"/>
      <c r="JF352" s="1"/>
      <c r="JG352" s="1"/>
      <c r="JH352" s="1"/>
      <c r="JJ352" s="1"/>
      <c r="JN352" s="1"/>
      <c r="JP352" s="1"/>
      <c r="JQ352" s="1"/>
      <c r="JS352" s="1"/>
      <c r="JT352" s="1"/>
      <c r="JV352" s="1"/>
      <c r="KU352" s="1"/>
      <c r="KV352" s="1"/>
      <c r="KY352" s="1"/>
      <c r="KZ352" s="1"/>
      <c r="LA352" s="1"/>
      <c r="LB352" s="1"/>
      <c r="LC352" s="1"/>
      <c r="LD352" s="1"/>
      <c r="LN352" s="1"/>
      <c r="LO352" s="1"/>
      <c r="LP352" s="1"/>
      <c r="LZ352" s="1"/>
      <c r="MA352" s="1"/>
    </row>
    <row r="353" spans="4:339" ht="13" x14ac:dyDescent="0.15">
      <c r="D353" s="12"/>
      <c r="E353" s="12"/>
      <c r="I353" s="12"/>
      <c r="J353" s="13"/>
      <c r="BF353" s="1"/>
      <c r="BG353" s="1"/>
      <c r="BH353" s="1"/>
      <c r="BI353" s="1"/>
      <c r="BK353" s="1"/>
      <c r="BL353" s="1"/>
      <c r="BM353" s="1"/>
      <c r="BN353" s="1"/>
      <c r="BO353" s="1"/>
      <c r="BP353" s="1"/>
      <c r="BQ353" s="1"/>
      <c r="BR353" s="1"/>
      <c r="CD353" s="1"/>
      <c r="CE353" s="1"/>
      <c r="CF353" s="1"/>
      <c r="CG353" s="1"/>
      <c r="CH353" s="1"/>
      <c r="CI353" s="1"/>
      <c r="CM353" s="2"/>
      <c r="CN353" s="1"/>
      <c r="CO353" s="1"/>
      <c r="CP353" s="1"/>
      <c r="CQ353" s="1"/>
      <c r="CS353" s="1"/>
      <c r="CT353" s="1"/>
      <c r="CU353" s="1"/>
      <c r="CV353" s="1"/>
      <c r="CW353" s="1"/>
      <c r="CX353" s="1"/>
      <c r="CY353" s="1"/>
      <c r="CZ353" s="1"/>
      <c r="DA353" s="1"/>
      <c r="DB353" s="1"/>
      <c r="DC353" s="1"/>
      <c r="DD353" s="1"/>
      <c r="DE353" s="1"/>
      <c r="DF353" s="1"/>
      <c r="DG353" s="1"/>
      <c r="DH353" s="1"/>
      <c r="DI353" s="1"/>
      <c r="DJ353" s="1"/>
      <c r="DK353" s="1"/>
      <c r="DM353" s="1"/>
      <c r="DQ353" s="1"/>
      <c r="DR353" s="1"/>
      <c r="DY353" s="1"/>
      <c r="DZ353" s="1"/>
      <c r="ED353" s="1"/>
      <c r="EK353" s="1"/>
      <c r="EL353" s="1"/>
      <c r="EM353" s="1"/>
      <c r="EN353" s="1"/>
      <c r="EQ353" s="1"/>
      <c r="ER353" s="1"/>
      <c r="ES353" s="1"/>
      <c r="EV353" s="1"/>
      <c r="EW353" s="1"/>
      <c r="EZ353" s="1"/>
      <c r="FA353" s="1"/>
      <c r="FD353" s="1"/>
      <c r="FH353" s="1"/>
      <c r="FJ353" s="1"/>
      <c r="FS353" s="1"/>
      <c r="FT353" s="1"/>
      <c r="FU353" s="1"/>
      <c r="FV353" s="1"/>
      <c r="FW353" s="1"/>
      <c r="FX353" s="1"/>
      <c r="GA353" s="1"/>
      <c r="GD353" s="1"/>
      <c r="GE353" s="1"/>
      <c r="GF353" s="1"/>
      <c r="GG353" s="1"/>
      <c r="GH353" s="1"/>
      <c r="GI353" s="1"/>
      <c r="GJ353" s="1"/>
      <c r="GK353" s="1"/>
      <c r="GL353" s="1"/>
      <c r="GM353" s="1"/>
      <c r="GN353" s="1"/>
      <c r="GP353" s="1"/>
      <c r="GQ353" s="1"/>
      <c r="GR353" s="1"/>
      <c r="GY353" s="1"/>
      <c r="HF353" s="1"/>
      <c r="HH353" s="1"/>
      <c r="HQ353" s="1"/>
      <c r="HT353" s="1"/>
      <c r="HY353" s="1"/>
      <c r="IE353" s="1"/>
      <c r="IS353" s="1"/>
      <c r="IZ353" s="1"/>
      <c r="JF353" s="1"/>
      <c r="JG353" s="1"/>
      <c r="JH353" s="1"/>
      <c r="JJ353" s="1"/>
      <c r="JN353" s="1"/>
      <c r="JP353" s="1"/>
      <c r="JQ353" s="1"/>
      <c r="JS353" s="1"/>
      <c r="JT353" s="1"/>
      <c r="JV353" s="1"/>
      <c r="KU353" s="1"/>
      <c r="KV353" s="1"/>
      <c r="KY353" s="1"/>
      <c r="KZ353" s="1"/>
      <c r="LA353" s="1"/>
      <c r="LB353" s="1"/>
      <c r="LC353" s="1"/>
      <c r="LD353" s="1"/>
      <c r="LN353" s="1"/>
      <c r="LO353" s="1"/>
      <c r="LP353" s="1"/>
      <c r="LZ353" s="1"/>
      <c r="MA353" s="1"/>
    </row>
    <row r="354" spans="4:339" ht="13" x14ac:dyDescent="0.15">
      <c r="D354" s="12"/>
      <c r="E354" s="12"/>
      <c r="I354" s="12"/>
      <c r="J354" s="13"/>
      <c r="BF354" s="1"/>
      <c r="BG354" s="1"/>
      <c r="BH354" s="1"/>
      <c r="BI354" s="1"/>
      <c r="BK354" s="1"/>
      <c r="BL354" s="1"/>
      <c r="BM354" s="1"/>
      <c r="BN354" s="1"/>
      <c r="BO354" s="1"/>
      <c r="BP354" s="1"/>
      <c r="BQ354" s="1"/>
      <c r="BR354" s="1"/>
      <c r="CD354" s="1"/>
      <c r="CE354" s="1"/>
      <c r="CF354" s="1"/>
      <c r="CG354" s="1"/>
      <c r="CH354" s="1"/>
      <c r="CI354" s="1"/>
      <c r="CM354" s="2"/>
      <c r="CN354" s="1"/>
      <c r="CO354" s="1"/>
      <c r="CP354" s="1"/>
      <c r="CQ354" s="1"/>
      <c r="CS354" s="1"/>
      <c r="CT354" s="1"/>
      <c r="CU354" s="1"/>
      <c r="CV354" s="1"/>
      <c r="CW354" s="1"/>
      <c r="CX354" s="1"/>
      <c r="CY354" s="1"/>
      <c r="CZ354" s="1"/>
      <c r="DA354" s="1"/>
      <c r="DB354" s="1"/>
      <c r="DC354" s="1"/>
      <c r="DD354" s="1"/>
      <c r="DE354" s="1"/>
      <c r="DF354" s="1"/>
      <c r="DG354" s="1"/>
      <c r="DH354" s="1"/>
      <c r="DI354" s="1"/>
      <c r="DJ354" s="1"/>
      <c r="DK354" s="1"/>
      <c r="DM354" s="1"/>
      <c r="DQ354" s="1"/>
      <c r="DR354" s="1"/>
      <c r="DY354" s="1"/>
      <c r="DZ354" s="1"/>
      <c r="ED354" s="1"/>
      <c r="EK354" s="1"/>
      <c r="EL354" s="1"/>
      <c r="EM354" s="1"/>
      <c r="EN354" s="1"/>
      <c r="EQ354" s="1"/>
      <c r="ER354" s="1"/>
      <c r="ES354" s="1"/>
      <c r="EV354" s="1"/>
      <c r="EW354" s="1"/>
      <c r="EZ354" s="1"/>
      <c r="FA354" s="1"/>
      <c r="FD354" s="1"/>
      <c r="FH354" s="1"/>
      <c r="FJ354" s="1"/>
      <c r="FS354" s="1"/>
      <c r="FT354" s="1"/>
      <c r="FU354" s="1"/>
      <c r="FV354" s="1"/>
      <c r="FW354" s="1"/>
      <c r="FX354" s="1"/>
      <c r="GA354" s="1"/>
      <c r="GD354" s="1"/>
      <c r="GE354" s="1"/>
      <c r="GF354" s="1"/>
      <c r="GG354" s="1"/>
      <c r="GH354" s="1"/>
      <c r="GI354" s="1"/>
      <c r="GJ354" s="1"/>
      <c r="GK354" s="1"/>
      <c r="GL354" s="1"/>
      <c r="GM354" s="1"/>
      <c r="GN354" s="1"/>
      <c r="GP354" s="1"/>
      <c r="GQ354" s="1"/>
      <c r="GR354" s="1"/>
      <c r="GY354" s="1"/>
      <c r="HF354" s="1"/>
      <c r="HH354" s="1"/>
      <c r="HQ354" s="1"/>
      <c r="HT354" s="1"/>
      <c r="HY354" s="1"/>
      <c r="IE354" s="1"/>
      <c r="IS354" s="1"/>
      <c r="IZ354" s="1"/>
      <c r="JF354" s="1"/>
      <c r="JG354" s="1"/>
      <c r="JH354" s="1"/>
      <c r="JJ354" s="1"/>
      <c r="JN354" s="1"/>
      <c r="JP354" s="1"/>
      <c r="JQ354" s="1"/>
      <c r="JS354" s="1"/>
      <c r="JT354" s="1"/>
      <c r="JV354" s="1"/>
      <c r="KU354" s="1"/>
      <c r="KV354" s="1"/>
      <c r="KY354" s="1"/>
      <c r="KZ354" s="1"/>
      <c r="LA354" s="1"/>
      <c r="LB354" s="1"/>
      <c r="LC354" s="1"/>
      <c r="LD354" s="1"/>
      <c r="LN354" s="1"/>
      <c r="LO354" s="1"/>
      <c r="LP354" s="1"/>
      <c r="LZ354" s="1"/>
      <c r="MA354" s="1"/>
    </row>
    <row r="355" spans="4:339" ht="13" x14ac:dyDescent="0.15">
      <c r="D355" s="12"/>
      <c r="E355" s="12"/>
      <c r="I355" s="12"/>
      <c r="J355" s="13"/>
      <c r="BF355" s="1"/>
      <c r="BG355" s="1"/>
      <c r="BH355" s="1"/>
      <c r="BI355" s="1"/>
      <c r="BK355" s="1"/>
      <c r="BL355" s="1"/>
      <c r="BM355" s="1"/>
      <c r="BN355" s="1"/>
      <c r="BO355" s="1"/>
      <c r="BP355" s="1"/>
      <c r="BQ355" s="1"/>
      <c r="BR355" s="1"/>
      <c r="CD355" s="1"/>
      <c r="CE355" s="1"/>
      <c r="CF355" s="1"/>
      <c r="CG355" s="1"/>
      <c r="CH355" s="1"/>
      <c r="CI355" s="1"/>
      <c r="CM355" s="2"/>
      <c r="CN355" s="1"/>
      <c r="CO355" s="1"/>
      <c r="CP355" s="1"/>
      <c r="CQ355" s="1"/>
      <c r="CS355" s="1"/>
      <c r="CT355" s="1"/>
      <c r="CU355" s="1"/>
      <c r="CV355" s="1"/>
      <c r="CW355" s="1"/>
      <c r="CX355" s="1"/>
      <c r="CY355" s="1"/>
      <c r="CZ355" s="1"/>
      <c r="DA355" s="1"/>
      <c r="DB355" s="1"/>
      <c r="DC355" s="1"/>
      <c r="DD355" s="1"/>
      <c r="DE355" s="1"/>
      <c r="DF355" s="1"/>
      <c r="DG355" s="1"/>
      <c r="DH355" s="1"/>
      <c r="DI355" s="1"/>
      <c r="DJ355" s="1"/>
      <c r="DK355" s="1"/>
      <c r="DM355" s="1"/>
      <c r="DQ355" s="1"/>
      <c r="DR355" s="1"/>
      <c r="DY355" s="1"/>
      <c r="DZ355" s="1"/>
      <c r="ED355" s="1"/>
      <c r="EK355" s="1"/>
      <c r="EL355" s="1"/>
      <c r="EM355" s="1"/>
      <c r="EN355" s="1"/>
      <c r="EQ355" s="1"/>
      <c r="ER355" s="1"/>
      <c r="ES355" s="1"/>
      <c r="EV355" s="1"/>
      <c r="EW355" s="1"/>
      <c r="EZ355" s="1"/>
      <c r="FA355" s="1"/>
      <c r="FD355" s="1"/>
      <c r="FH355" s="1"/>
      <c r="FJ355" s="1"/>
      <c r="FS355" s="1"/>
      <c r="FT355" s="1"/>
      <c r="FU355" s="1"/>
      <c r="FV355" s="1"/>
      <c r="FW355" s="1"/>
      <c r="FX355" s="1"/>
      <c r="GA355" s="1"/>
      <c r="GD355" s="1"/>
      <c r="GE355" s="1"/>
      <c r="GF355" s="1"/>
      <c r="GG355" s="1"/>
      <c r="GH355" s="1"/>
      <c r="GI355" s="1"/>
      <c r="GJ355" s="1"/>
      <c r="GK355" s="1"/>
      <c r="GL355" s="1"/>
      <c r="GM355" s="1"/>
      <c r="GN355" s="1"/>
      <c r="GP355" s="1"/>
      <c r="GQ355" s="1"/>
      <c r="GR355" s="1"/>
      <c r="GY355" s="1"/>
      <c r="HF355" s="1"/>
      <c r="HH355" s="1"/>
      <c r="HQ355" s="1"/>
      <c r="HT355" s="1"/>
      <c r="HY355" s="1"/>
      <c r="IE355" s="1"/>
      <c r="IS355" s="1"/>
      <c r="IZ355" s="1"/>
      <c r="JF355" s="1"/>
      <c r="JG355" s="1"/>
      <c r="JH355" s="1"/>
      <c r="JJ355" s="1"/>
      <c r="JN355" s="1"/>
      <c r="JP355" s="1"/>
      <c r="JQ355" s="1"/>
      <c r="JS355" s="1"/>
      <c r="JT355" s="1"/>
      <c r="JV355" s="1"/>
      <c r="KU355" s="1"/>
      <c r="KV355" s="1"/>
      <c r="KY355" s="1"/>
      <c r="KZ355" s="1"/>
      <c r="LA355" s="1"/>
      <c r="LB355" s="1"/>
      <c r="LC355" s="1"/>
      <c r="LD355" s="1"/>
      <c r="LN355" s="1"/>
      <c r="LO355" s="1"/>
      <c r="LP355" s="1"/>
      <c r="LZ355" s="1"/>
      <c r="MA355" s="1"/>
    </row>
    <row r="356" spans="4:339" ht="13" x14ac:dyDescent="0.15">
      <c r="D356" s="12"/>
      <c r="E356" s="12"/>
      <c r="I356" s="12"/>
      <c r="J356" s="13"/>
      <c r="BF356" s="1"/>
      <c r="BG356" s="1"/>
      <c r="BH356" s="1"/>
      <c r="BI356" s="1"/>
      <c r="BK356" s="1"/>
      <c r="BL356" s="1"/>
      <c r="BM356" s="1"/>
      <c r="BN356" s="1"/>
      <c r="BO356" s="1"/>
      <c r="BP356" s="1"/>
      <c r="BQ356" s="1"/>
      <c r="BR356" s="1"/>
      <c r="CD356" s="1"/>
      <c r="CE356" s="1"/>
      <c r="CF356" s="1"/>
      <c r="CG356" s="1"/>
      <c r="CH356" s="1"/>
      <c r="CI356" s="1"/>
      <c r="CM356" s="2"/>
      <c r="CN356" s="1"/>
      <c r="CO356" s="1"/>
      <c r="CP356" s="1"/>
      <c r="CQ356" s="1"/>
      <c r="CS356" s="1"/>
      <c r="CT356" s="1"/>
      <c r="CU356" s="1"/>
      <c r="CV356" s="1"/>
      <c r="CW356" s="1"/>
      <c r="CX356" s="1"/>
      <c r="CY356" s="1"/>
      <c r="CZ356" s="1"/>
      <c r="DA356" s="1"/>
      <c r="DB356" s="1"/>
      <c r="DC356" s="1"/>
      <c r="DD356" s="1"/>
      <c r="DE356" s="1"/>
      <c r="DF356" s="1"/>
      <c r="DG356" s="1"/>
      <c r="DH356" s="1"/>
      <c r="DI356" s="1"/>
      <c r="DJ356" s="1"/>
      <c r="DK356" s="1"/>
      <c r="DM356" s="1"/>
      <c r="DQ356" s="1"/>
      <c r="DR356" s="1"/>
      <c r="DY356" s="1"/>
      <c r="DZ356" s="1"/>
      <c r="ED356" s="1"/>
      <c r="EK356" s="1"/>
      <c r="EL356" s="1"/>
      <c r="EM356" s="1"/>
      <c r="EN356" s="1"/>
      <c r="EQ356" s="1"/>
      <c r="ER356" s="1"/>
      <c r="ES356" s="1"/>
      <c r="EV356" s="1"/>
      <c r="EW356" s="1"/>
      <c r="EZ356" s="1"/>
      <c r="FA356" s="1"/>
      <c r="FD356" s="1"/>
      <c r="FH356" s="1"/>
      <c r="FJ356" s="1"/>
      <c r="FS356" s="1"/>
      <c r="FT356" s="1"/>
      <c r="FU356" s="1"/>
      <c r="FV356" s="1"/>
      <c r="FW356" s="1"/>
      <c r="FX356" s="1"/>
      <c r="GA356" s="1"/>
      <c r="GD356" s="1"/>
      <c r="GE356" s="1"/>
      <c r="GF356" s="1"/>
      <c r="GG356" s="1"/>
      <c r="GH356" s="1"/>
      <c r="GI356" s="1"/>
      <c r="GJ356" s="1"/>
      <c r="GK356" s="1"/>
      <c r="GL356" s="1"/>
      <c r="GM356" s="1"/>
      <c r="GN356" s="1"/>
      <c r="GP356" s="1"/>
      <c r="GQ356" s="1"/>
      <c r="GR356" s="1"/>
      <c r="GY356" s="1"/>
      <c r="HF356" s="1"/>
      <c r="HH356" s="1"/>
      <c r="HQ356" s="1"/>
      <c r="HT356" s="1"/>
      <c r="HY356" s="1"/>
      <c r="IE356" s="1"/>
      <c r="IS356" s="1"/>
      <c r="IZ356" s="1"/>
      <c r="JF356" s="1"/>
      <c r="JG356" s="1"/>
      <c r="JH356" s="1"/>
      <c r="JJ356" s="1"/>
      <c r="JN356" s="1"/>
      <c r="JP356" s="1"/>
      <c r="JQ356" s="1"/>
      <c r="JS356" s="1"/>
      <c r="JT356" s="1"/>
      <c r="JV356" s="1"/>
      <c r="KU356" s="1"/>
      <c r="KV356" s="1"/>
      <c r="KY356" s="1"/>
      <c r="KZ356" s="1"/>
      <c r="LA356" s="1"/>
      <c r="LB356" s="1"/>
      <c r="LC356" s="1"/>
      <c r="LD356" s="1"/>
      <c r="LN356" s="1"/>
      <c r="LO356" s="1"/>
      <c r="LP356" s="1"/>
      <c r="LZ356" s="1"/>
      <c r="MA356" s="1"/>
    </row>
    <row r="357" spans="4:339" ht="13" x14ac:dyDescent="0.15">
      <c r="D357" s="12"/>
      <c r="E357" s="12"/>
      <c r="I357" s="12"/>
      <c r="J357" s="13"/>
      <c r="BF357" s="1"/>
      <c r="BG357" s="1"/>
      <c r="BH357" s="1"/>
      <c r="BI357" s="1"/>
      <c r="BK357" s="1"/>
      <c r="BL357" s="1"/>
      <c r="BM357" s="1"/>
      <c r="BN357" s="1"/>
      <c r="BO357" s="1"/>
      <c r="BP357" s="1"/>
      <c r="BQ357" s="1"/>
      <c r="BR357" s="1"/>
      <c r="CD357" s="1"/>
      <c r="CE357" s="1"/>
      <c r="CF357" s="1"/>
      <c r="CG357" s="1"/>
      <c r="CH357" s="1"/>
      <c r="CI357" s="1"/>
      <c r="CM357" s="2"/>
      <c r="CN357" s="1"/>
      <c r="CO357" s="1"/>
      <c r="CP357" s="1"/>
      <c r="CQ357" s="1"/>
      <c r="CS357" s="1"/>
      <c r="CT357" s="1"/>
      <c r="CU357" s="1"/>
      <c r="CV357" s="1"/>
      <c r="CW357" s="1"/>
      <c r="CX357" s="1"/>
      <c r="CY357" s="1"/>
      <c r="CZ357" s="1"/>
      <c r="DA357" s="1"/>
      <c r="DB357" s="1"/>
      <c r="DC357" s="1"/>
      <c r="DD357" s="1"/>
      <c r="DE357" s="1"/>
      <c r="DF357" s="1"/>
      <c r="DG357" s="1"/>
      <c r="DH357" s="1"/>
      <c r="DI357" s="1"/>
      <c r="DJ357" s="1"/>
      <c r="DK357" s="1"/>
      <c r="DM357" s="1"/>
      <c r="DQ357" s="1"/>
      <c r="DR357" s="1"/>
      <c r="DY357" s="1"/>
      <c r="DZ357" s="1"/>
      <c r="ED357" s="1"/>
      <c r="EK357" s="1"/>
      <c r="EL357" s="1"/>
      <c r="EM357" s="1"/>
      <c r="EN357" s="1"/>
      <c r="EQ357" s="1"/>
      <c r="ER357" s="1"/>
      <c r="ES357" s="1"/>
      <c r="EV357" s="1"/>
      <c r="EW357" s="1"/>
      <c r="EZ357" s="1"/>
      <c r="FA357" s="1"/>
      <c r="FD357" s="1"/>
      <c r="FH357" s="1"/>
      <c r="FJ357" s="1"/>
      <c r="FS357" s="1"/>
      <c r="FT357" s="1"/>
      <c r="FU357" s="1"/>
      <c r="FV357" s="1"/>
      <c r="FW357" s="1"/>
      <c r="FX357" s="1"/>
      <c r="GA357" s="1"/>
      <c r="GD357" s="1"/>
      <c r="GE357" s="1"/>
      <c r="GF357" s="1"/>
      <c r="GG357" s="1"/>
      <c r="GH357" s="1"/>
      <c r="GI357" s="1"/>
      <c r="GJ357" s="1"/>
      <c r="GK357" s="1"/>
      <c r="GL357" s="1"/>
      <c r="GM357" s="1"/>
      <c r="GN357" s="1"/>
      <c r="GP357" s="1"/>
      <c r="GQ357" s="1"/>
      <c r="GR357" s="1"/>
      <c r="GY357" s="1"/>
      <c r="HF357" s="1"/>
      <c r="HH357" s="1"/>
      <c r="HQ357" s="1"/>
      <c r="HT357" s="1"/>
      <c r="HY357" s="1"/>
      <c r="IE357" s="1"/>
      <c r="IS357" s="1"/>
      <c r="IZ357" s="1"/>
      <c r="JF357" s="1"/>
      <c r="JG357" s="1"/>
      <c r="JH357" s="1"/>
      <c r="JJ357" s="1"/>
      <c r="JN357" s="1"/>
      <c r="JP357" s="1"/>
      <c r="JQ357" s="1"/>
      <c r="JS357" s="1"/>
      <c r="JT357" s="1"/>
      <c r="JV357" s="1"/>
      <c r="KU357" s="1"/>
      <c r="KV357" s="1"/>
      <c r="KY357" s="1"/>
      <c r="KZ357" s="1"/>
      <c r="LA357" s="1"/>
      <c r="LB357" s="1"/>
      <c r="LC357" s="1"/>
      <c r="LD357" s="1"/>
      <c r="LN357" s="1"/>
      <c r="LO357" s="1"/>
      <c r="LP357" s="1"/>
      <c r="LZ357" s="1"/>
      <c r="MA357" s="1"/>
    </row>
    <row r="358" spans="4:339" ht="13" x14ac:dyDescent="0.15">
      <c r="D358" s="12"/>
      <c r="E358" s="12"/>
      <c r="I358" s="12"/>
      <c r="J358" s="13"/>
      <c r="BF358" s="1"/>
      <c r="BG358" s="1"/>
      <c r="BH358" s="1"/>
      <c r="BI358" s="1"/>
      <c r="BK358" s="1"/>
      <c r="BL358" s="1"/>
      <c r="BM358" s="1"/>
      <c r="BN358" s="1"/>
      <c r="BO358" s="1"/>
      <c r="BP358" s="1"/>
      <c r="BQ358" s="1"/>
      <c r="BR358" s="1"/>
      <c r="CD358" s="1"/>
      <c r="CE358" s="1"/>
      <c r="CF358" s="1"/>
      <c r="CG358" s="1"/>
      <c r="CH358" s="1"/>
      <c r="CI358" s="1"/>
      <c r="CM358" s="2"/>
      <c r="CN358" s="1"/>
      <c r="CO358" s="1"/>
      <c r="CP358" s="1"/>
      <c r="CQ358" s="1"/>
      <c r="CS358" s="1"/>
      <c r="CT358" s="1"/>
      <c r="CU358" s="1"/>
      <c r="CV358" s="1"/>
      <c r="CW358" s="1"/>
      <c r="CX358" s="1"/>
      <c r="CY358" s="1"/>
      <c r="CZ358" s="1"/>
      <c r="DA358" s="1"/>
      <c r="DB358" s="1"/>
      <c r="DC358" s="1"/>
      <c r="DD358" s="1"/>
      <c r="DE358" s="1"/>
      <c r="DF358" s="1"/>
      <c r="DG358" s="1"/>
      <c r="DH358" s="1"/>
      <c r="DI358" s="1"/>
      <c r="DJ358" s="1"/>
      <c r="DK358" s="1"/>
      <c r="DM358" s="1"/>
      <c r="DQ358" s="1"/>
      <c r="DR358" s="1"/>
      <c r="DY358" s="1"/>
      <c r="DZ358" s="1"/>
      <c r="ED358" s="1"/>
      <c r="EK358" s="1"/>
      <c r="EL358" s="1"/>
      <c r="EM358" s="1"/>
      <c r="EN358" s="1"/>
      <c r="EQ358" s="1"/>
      <c r="ER358" s="1"/>
      <c r="ES358" s="1"/>
      <c r="EV358" s="1"/>
      <c r="EW358" s="1"/>
      <c r="EZ358" s="1"/>
      <c r="FA358" s="1"/>
      <c r="FD358" s="1"/>
      <c r="FH358" s="1"/>
      <c r="FJ358" s="1"/>
      <c r="FS358" s="1"/>
      <c r="FT358" s="1"/>
      <c r="FU358" s="1"/>
      <c r="FV358" s="1"/>
      <c r="FW358" s="1"/>
      <c r="FX358" s="1"/>
      <c r="GA358" s="1"/>
      <c r="GD358" s="1"/>
      <c r="GE358" s="1"/>
      <c r="GF358" s="1"/>
      <c r="GG358" s="1"/>
      <c r="GH358" s="1"/>
      <c r="GI358" s="1"/>
      <c r="GJ358" s="1"/>
      <c r="GK358" s="1"/>
      <c r="GL358" s="1"/>
      <c r="GM358" s="1"/>
      <c r="GN358" s="1"/>
      <c r="GP358" s="1"/>
      <c r="GQ358" s="1"/>
      <c r="GR358" s="1"/>
      <c r="GY358" s="1"/>
      <c r="HF358" s="1"/>
      <c r="HH358" s="1"/>
      <c r="HQ358" s="1"/>
      <c r="HT358" s="1"/>
      <c r="HY358" s="1"/>
      <c r="IE358" s="1"/>
      <c r="IS358" s="1"/>
      <c r="IZ358" s="1"/>
      <c r="JF358" s="1"/>
      <c r="JG358" s="1"/>
      <c r="JH358" s="1"/>
      <c r="JJ358" s="1"/>
      <c r="JN358" s="1"/>
      <c r="JP358" s="1"/>
      <c r="JQ358" s="1"/>
      <c r="JS358" s="1"/>
      <c r="JT358" s="1"/>
      <c r="JV358" s="1"/>
      <c r="KU358" s="1"/>
      <c r="KV358" s="1"/>
      <c r="KY358" s="1"/>
      <c r="KZ358" s="1"/>
      <c r="LA358" s="1"/>
      <c r="LB358" s="1"/>
      <c r="LC358" s="1"/>
      <c r="LD358" s="1"/>
      <c r="LN358" s="1"/>
      <c r="LO358" s="1"/>
      <c r="LP358" s="1"/>
      <c r="LZ358" s="1"/>
      <c r="MA358" s="1"/>
    </row>
    <row r="359" spans="4:339" ht="13" x14ac:dyDescent="0.15">
      <c r="D359" s="12"/>
      <c r="E359" s="12"/>
      <c r="I359" s="12"/>
      <c r="J359" s="13"/>
      <c r="BF359" s="1"/>
      <c r="BG359" s="1"/>
      <c r="BH359" s="1"/>
      <c r="BI359" s="1"/>
      <c r="BK359" s="1"/>
      <c r="BL359" s="1"/>
      <c r="BM359" s="1"/>
      <c r="BN359" s="1"/>
      <c r="BO359" s="1"/>
      <c r="BP359" s="1"/>
      <c r="BQ359" s="1"/>
      <c r="BR359" s="1"/>
      <c r="CD359" s="1"/>
      <c r="CE359" s="1"/>
      <c r="CF359" s="1"/>
      <c r="CG359" s="1"/>
      <c r="CH359" s="1"/>
      <c r="CI359" s="1"/>
      <c r="CM359" s="2"/>
      <c r="CN359" s="1"/>
      <c r="CO359" s="1"/>
      <c r="CP359" s="1"/>
      <c r="CQ359" s="1"/>
      <c r="CS359" s="1"/>
      <c r="CT359" s="1"/>
      <c r="CU359" s="1"/>
      <c r="CV359" s="1"/>
      <c r="CW359" s="1"/>
      <c r="CX359" s="1"/>
      <c r="CY359" s="1"/>
      <c r="CZ359" s="1"/>
      <c r="DA359" s="1"/>
      <c r="DB359" s="1"/>
      <c r="DC359" s="1"/>
      <c r="DD359" s="1"/>
      <c r="DE359" s="1"/>
      <c r="DF359" s="1"/>
      <c r="DG359" s="1"/>
      <c r="DH359" s="1"/>
      <c r="DI359" s="1"/>
      <c r="DJ359" s="1"/>
      <c r="DK359" s="1"/>
      <c r="DM359" s="1"/>
      <c r="DQ359" s="1"/>
      <c r="DR359" s="1"/>
      <c r="DY359" s="1"/>
      <c r="DZ359" s="1"/>
      <c r="ED359" s="1"/>
      <c r="EK359" s="1"/>
      <c r="EL359" s="1"/>
      <c r="EM359" s="1"/>
      <c r="EN359" s="1"/>
      <c r="EQ359" s="1"/>
      <c r="ER359" s="1"/>
      <c r="ES359" s="1"/>
      <c r="EV359" s="1"/>
      <c r="EW359" s="1"/>
      <c r="EZ359" s="1"/>
      <c r="FA359" s="1"/>
      <c r="FD359" s="1"/>
      <c r="FH359" s="1"/>
      <c r="FJ359" s="1"/>
      <c r="FS359" s="1"/>
      <c r="FT359" s="1"/>
      <c r="FU359" s="1"/>
      <c r="FV359" s="1"/>
      <c r="FW359" s="1"/>
      <c r="FX359" s="1"/>
      <c r="GA359" s="1"/>
      <c r="GD359" s="1"/>
      <c r="GE359" s="1"/>
      <c r="GF359" s="1"/>
      <c r="GG359" s="1"/>
      <c r="GH359" s="1"/>
      <c r="GI359" s="1"/>
      <c r="GJ359" s="1"/>
      <c r="GK359" s="1"/>
      <c r="GL359" s="1"/>
      <c r="GM359" s="1"/>
      <c r="GN359" s="1"/>
      <c r="GP359" s="1"/>
      <c r="GQ359" s="1"/>
      <c r="GR359" s="1"/>
      <c r="GY359" s="1"/>
      <c r="HF359" s="1"/>
      <c r="HH359" s="1"/>
      <c r="HQ359" s="1"/>
      <c r="HT359" s="1"/>
      <c r="HY359" s="1"/>
      <c r="IE359" s="1"/>
      <c r="IS359" s="1"/>
      <c r="IZ359" s="1"/>
      <c r="JF359" s="1"/>
      <c r="JG359" s="1"/>
      <c r="JH359" s="1"/>
      <c r="JJ359" s="1"/>
      <c r="JN359" s="1"/>
      <c r="JP359" s="1"/>
      <c r="JQ359" s="1"/>
      <c r="JS359" s="1"/>
      <c r="JT359" s="1"/>
      <c r="JV359" s="1"/>
      <c r="KU359" s="1"/>
      <c r="KV359" s="1"/>
      <c r="KY359" s="1"/>
      <c r="KZ359" s="1"/>
      <c r="LA359" s="1"/>
      <c r="LB359" s="1"/>
      <c r="LC359" s="1"/>
      <c r="LD359" s="1"/>
      <c r="LN359" s="1"/>
      <c r="LO359" s="1"/>
      <c r="LP359" s="1"/>
      <c r="LZ359" s="1"/>
      <c r="MA359" s="1"/>
    </row>
    <row r="360" spans="4:339" ht="13" x14ac:dyDescent="0.15">
      <c r="D360" s="12"/>
      <c r="E360" s="12"/>
      <c r="I360" s="12"/>
      <c r="J360" s="13"/>
      <c r="BF360" s="1"/>
      <c r="BG360" s="1"/>
      <c r="BH360" s="1"/>
      <c r="BI360" s="1"/>
      <c r="BK360" s="1"/>
      <c r="BL360" s="1"/>
      <c r="BM360" s="1"/>
      <c r="BN360" s="1"/>
      <c r="BO360" s="1"/>
      <c r="BP360" s="1"/>
      <c r="BQ360" s="1"/>
      <c r="BR360" s="1"/>
      <c r="CD360" s="1"/>
      <c r="CE360" s="1"/>
      <c r="CF360" s="1"/>
      <c r="CG360" s="1"/>
      <c r="CH360" s="1"/>
      <c r="CI360" s="1"/>
      <c r="CM360" s="2"/>
      <c r="CN360" s="1"/>
      <c r="CO360" s="1"/>
      <c r="CP360" s="1"/>
      <c r="CQ360" s="1"/>
      <c r="CS360" s="1"/>
      <c r="CT360" s="1"/>
      <c r="CU360" s="1"/>
      <c r="CV360" s="1"/>
      <c r="CW360" s="1"/>
      <c r="CX360" s="1"/>
      <c r="CY360" s="1"/>
      <c r="CZ360" s="1"/>
      <c r="DA360" s="1"/>
      <c r="DB360" s="1"/>
      <c r="DC360" s="1"/>
      <c r="DD360" s="1"/>
      <c r="DE360" s="1"/>
      <c r="DF360" s="1"/>
      <c r="DG360" s="1"/>
      <c r="DH360" s="1"/>
      <c r="DI360" s="1"/>
      <c r="DJ360" s="1"/>
      <c r="DK360" s="1"/>
      <c r="DM360" s="1"/>
      <c r="DQ360" s="1"/>
      <c r="DR360" s="1"/>
      <c r="DY360" s="1"/>
      <c r="DZ360" s="1"/>
      <c r="ED360" s="1"/>
      <c r="EK360" s="1"/>
      <c r="EL360" s="1"/>
      <c r="EM360" s="1"/>
      <c r="EN360" s="1"/>
      <c r="EQ360" s="1"/>
      <c r="ER360" s="1"/>
      <c r="ES360" s="1"/>
      <c r="EV360" s="1"/>
      <c r="EW360" s="1"/>
      <c r="EZ360" s="1"/>
      <c r="FA360" s="1"/>
      <c r="FD360" s="1"/>
      <c r="FH360" s="1"/>
      <c r="FJ360" s="1"/>
      <c r="FS360" s="1"/>
      <c r="FT360" s="1"/>
      <c r="FU360" s="1"/>
      <c r="FV360" s="1"/>
      <c r="FW360" s="1"/>
      <c r="FX360" s="1"/>
      <c r="GA360" s="1"/>
      <c r="GD360" s="1"/>
      <c r="GE360" s="1"/>
      <c r="GF360" s="1"/>
      <c r="GG360" s="1"/>
      <c r="GH360" s="1"/>
      <c r="GI360" s="1"/>
      <c r="GJ360" s="1"/>
      <c r="GK360" s="1"/>
      <c r="GL360" s="1"/>
      <c r="GM360" s="1"/>
      <c r="GN360" s="1"/>
      <c r="GP360" s="1"/>
      <c r="GQ360" s="1"/>
      <c r="GR360" s="1"/>
      <c r="GY360" s="1"/>
      <c r="HF360" s="1"/>
      <c r="HH360" s="1"/>
      <c r="HQ360" s="1"/>
      <c r="HT360" s="1"/>
      <c r="HY360" s="1"/>
      <c r="IE360" s="1"/>
      <c r="IS360" s="1"/>
      <c r="IZ360" s="1"/>
      <c r="JF360" s="1"/>
      <c r="JG360" s="1"/>
      <c r="JH360" s="1"/>
      <c r="JJ360" s="1"/>
      <c r="JN360" s="1"/>
      <c r="JP360" s="1"/>
      <c r="JQ360" s="1"/>
      <c r="JS360" s="1"/>
      <c r="JT360" s="1"/>
      <c r="JV360" s="1"/>
      <c r="KU360" s="1"/>
      <c r="KV360" s="1"/>
      <c r="KY360" s="1"/>
      <c r="KZ360" s="1"/>
      <c r="LA360" s="1"/>
      <c r="LB360" s="1"/>
      <c r="LC360" s="1"/>
      <c r="LD360" s="1"/>
      <c r="LN360" s="1"/>
      <c r="LO360" s="1"/>
      <c r="LP360" s="1"/>
      <c r="LZ360" s="1"/>
      <c r="MA360" s="1"/>
    </row>
    <row r="361" spans="4:339" ht="13" x14ac:dyDescent="0.15">
      <c r="D361" s="12"/>
      <c r="E361" s="12"/>
      <c r="I361" s="12"/>
      <c r="J361" s="13"/>
      <c r="BF361" s="1"/>
      <c r="BG361" s="1"/>
      <c r="BH361" s="1"/>
      <c r="BI361" s="1"/>
      <c r="BK361" s="1"/>
      <c r="BL361" s="1"/>
      <c r="BM361" s="1"/>
      <c r="BN361" s="1"/>
      <c r="BO361" s="1"/>
      <c r="BP361" s="1"/>
      <c r="BQ361" s="1"/>
      <c r="BR361" s="1"/>
      <c r="CD361" s="1"/>
      <c r="CE361" s="1"/>
      <c r="CF361" s="1"/>
      <c r="CG361" s="1"/>
      <c r="CH361" s="1"/>
      <c r="CI361" s="1"/>
      <c r="CM361" s="2"/>
      <c r="CN361" s="1"/>
      <c r="CO361" s="1"/>
      <c r="CP361" s="1"/>
      <c r="CQ361" s="1"/>
      <c r="CS361" s="1"/>
      <c r="CT361" s="1"/>
      <c r="CU361" s="1"/>
      <c r="CV361" s="1"/>
      <c r="CW361" s="1"/>
      <c r="CX361" s="1"/>
      <c r="CY361" s="1"/>
      <c r="CZ361" s="1"/>
      <c r="DA361" s="1"/>
      <c r="DB361" s="1"/>
      <c r="DC361" s="1"/>
      <c r="DD361" s="1"/>
      <c r="DE361" s="1"/>
      <c r="DF361" s="1"/>
      <c r="DG361" s="1"/>
      <c r="DH361" s="1"/>
      <c r="DI361" s="1"/>
      <c r="DJ361" s="1"/>
      <c r="DK361" s="1"/>
      <c r="DM361" s="1"/>
      <c r="DQ361" s="1"/>
      <c r="DR361" s="1"/>
      <c r="DY361" s="1"/>
      <c r="DZ361" s="1"/>
      <c r="ED361" s="1"/>
      <c r="EK361" s="1"/>
      <c r="EL361" s="1"/>
      <c r="EM361" s="1"/>
      <c r="EN361" s="1"/>
      <c r="EQ361" s="1"/>
      <c r="ER361" s="1"/>
      <c r="ES361" s="1"/>
      <c r="EV361" s="1"/>
      <c r="EW361" s="1"/>
      <c r="EZ361" s="1"/>
      <c r="FA361" s="1"/>
      <c r="FD361" s="1"/>
      <c r="FH361" s="1"/>
      <c r="FJ361" s="1"/>
      <c r="FS361" s="1"/>
      <c r="FT361" s="1"/>
      <c r="FU361" s="1"/>
      <c r="FV361" s="1"/>
      <c r="FW361" s="1"/>
      <c r="FX361" s="1"/>
      <c r="GA361" s="1"/>
      <c r="GD361" s="1"/>
      <c r="GE361" s="1"/>
      <c r="GF361" s="1"/>
      <c r="GG361" s="1"/>
      <c r="GH361" s="1"/>
      <c r="GI361" s="1"/>
      <c r="GJ361" s="1"/>
      <c r="GK361" s="1"/>
      <c r="GL361" s="1"/>
      <c r="GM361" s="1"/>
      <c r="GN361" s="1"/>
      <c r="GP361" s="1"/>
      <c r="GQ361" s="1"/>
      <c r="GR361" s="1"/>
      <c r="GY361" s="1"/>
      <c r="HF361" s="1"/>
      <c r="HH361" s="1"/>
      <c r="HQ361" s="1"/>
      <c r="HT361" s="1"/>
      <c r="HY361" s="1"/>
      <c r="IE361" s="1"/>
      <c r="IS361" s="1"/>
      <c r="IZ361" s="1"/>
      <c r="JF361" s="1"/>
      <c r="JG361" s="1"/>
      <c r="JH361" s="1"/>
      <c r="JJ361" s="1"/>
      <c r="JN361" s="1"/>
      <c r="JP361" s="1"/>
      <c r="JQ361" s="1"/>
      <c r="JS361" s="1"/>
      <c r="JT361" s="1"/>
      <c r="JV361" s="1"/>
      <c r="KU361" s="1"/>
      <c r="KV361" s="1"/>
      <c r="KY361" s="1"/>
      <c r="KZ361" s="1"/>
      <c r="LA361" s="1"/>
      <c r="LB361" s="1"/>
      <c r="LC361" s="1"/>
      <c r="LD361" s="1"/>
      <c r="LN361" s="1"/>
      <c r="LO361" s="1"/>
      <c r="LP361" s="1"/>
      <c r="LZ361" s="1"/>
      <c r="MA361" s="1"/>
    </row>
    <row r="362" spans="4:339" ht="13" x14ac:dyDescent="0.15">
      <c r="D362" s="12"/>
      <c r="E362" s="12"/>
      <c r="I362" s="12"/>
      <c r="J362" s="13"/>
      <c r="BF362" s="1"/>
      <c r="BG362" s="1"/>
      <c r="BH362" s="1"/>
      <c r="BI362" s="1"/>
      <c r="BK362" s="1"/>
      <c r="BL362" s="1"/>
      <c r="BM362" s="1"/>
      <c r="BN362" s="1"/>
      <c r="BO362" s="1"/>
      <c r="BP362" s="1"/>
      <c r="BQ362" s="1"/>
      <c r="BR362" s="1"/>
      <c r="CD362" s="1"/>
      <c r="CE362" s="1"/>
      <c r="CF362" s="1"/>
      <c r="CG362" s="1"/>
      <c r="CH362" s="1"/>
      <c r="CI362" s="1"/>
      <c r="CM362" s="2"/>
      <c r="CN362" s="1"/>
      <c r="CO362" s="1"/>
      <c r="CP362" s="1"/>
      <c r="CQ362" s="1"/>
      <c r="CS362" s="1"/>
      <c r="CT362" s="1"/>
      <c r="CU362" s="1"/>
      <c r="CV362" s="1"/>
      <c r="CW362" s="1"/>
      <c r="CX362" s="1"/>
      <c r="CY362" s="1"/>
      <c r="CZ362" s="1"/>
      <c r="DA362" s="1"/>
      <c r="DB362" s="1"/>
      <c r="DC362" s="1"/>
      <c r="DD362" s="1"/>
      <c r="DE362" s="1"/>
      <c r="DF362" s="1"/>
      <c r="DG362" s="1"/>
      <c r="DH362" s="1"/>
      <c r="DI362" s="1"/>
      <c r="DJ362" s="1"/>
      <c r="DK362" s="1"/>
      <c r="DM362" s="1"/>
      <c r="DQ362" s="1"/>
      <c r="DR362" s="1"/>
      <c r="DY362" s="1"/>
      <c r="DZ362" s="1"/>
      <c r="ED362" s="1"/>
      <c r="EK362" s="1"/>
      <c r="EL362" s="1"/>
      <c r="EM362" s="1"/>
      <c r="EN362" s="1"/>
      <c r="EQ362" s="1"/>
      <c r="ER362" s="1"/>
      <c r="ES362" s="1"/>
      <c r="EV362" s="1"/>
      <c r="EW362" s="1"/>
      <c r="EZ362" s="1"/>
      <c r="FA362" s="1"/>
      <c r="FD362" s="1"/>
      <c r="FH362" s="1"/>
      <c r="FJ362" s="1"/>
      <c r="FS362" s="1"/>
      <c r="FT362" s="1"/>
      <c r="FU362" s="1"/>
      <c r="FV362" s="1"/>
      <c r="FW362" s="1"/>
      <c r="FX362" s="1"/>
      <c r="GA362" s="1"/>
      <c r="GD362" s="1"/>
      <c r="GE362" s="1"/>
      <c r="GF362" s="1"/>
      <c r="GG362" s="1"/>
      <c r="GH362" s="1"/>
      <c r="GI362" s="1"/>
      <c r="GJ362" s="1"/>
      <c r="GK362" s="1"/>
      <c r="GL362" s="1"/>
      <c r="GM362" s="1"/>
      <c r="GN362" s="1"/>
      <c r="GP362" s="1"/>
      <c r="GQ362" s="1"/>
      <c r="GR362" s="1"/>
      <c r="GY362" s="1"/>
      <c r="HF362" s="1"/>
      <c r="HH362" s="1"/>
      <c r="HQ362" s="1"/>
      <c r="HT362" s="1"/>
      <c r="HY362" s="1"/>
      <c r="IE362" s="1"/>
      <c r="IS362" s="1"/>
      <c r="IZ362" s="1"/>
      <c r="JF362" s="1"/>
      <c r="JG362" s="1"/>
      <c r="JH362" s="1"/>
      <c r="JJ362" s="1"/>
      <c r="JN362" s="1"/>
      <c r="JP362" s="1"/>
      <c r="JQ362" s="1"/>
      <c r="JS362" s="1"/>
      <c r="JT362" s="1"/>
      <c r="JV362" s="1"/>
      <c r="KU362" s="1"/>
      <c r="KV362" s="1"/>
      <c r="KY362" s="1"/>
      <c r="KZ362" s="1"/>
      <c r="LA362" s="1"/>
      <c r="LB362" s="1"/>
      <c r="LC362" s="1"/>
      <c r="LD362" s="1"/>
      <c r="LN362" s="1"/>
      <c r="LO362" s="1"/>
      <c r="LP362" s="1"/>
      <c r="LZ362" s="1"/>
      <c r="MA362" s="1"/>
    </row>
    <row r="363" spans="4:339" ht="13" x14ac:dyDescent="0.15">
      <c r="D363" s="12"/>
      <c r="E363" s="12"/>
      <c r="I363" s="12"/>
      <c r="J363" s="13"/>
      <c r="BF363" s="1"/>
      <c r="BG363" s="1"/>
      <c r="BH363" s="1"/>
      <c r="BI363" s="1"/>
      <c r="BK363" s="1"/>
      <c r="BL363" s="1"/>
      <c r="BM363" s="1"/>
      <c r="BN363" s="1"/>
      <c r="BO363" s="1"/>
      <c r="BP363" s="1"/>
      <c r="BQ363" s="1"/>
      <c r="BR363" s="1"/>
      <c r="CD363" s="1"/>
      <c r="CE363" s="1"/>
      <c r="CF363" s="1"/>
      <c r="CG363" s="1"/>
      <c r="CH363" s="1"/>
      <c r="CI363" s="1"/>
      <c r="CM363" s="2"/>
      <c r="CN363" s="1"/>
      <c r="CO363" s="1"/>
      <c r="CP363" s="1"/>
      <c r="CQ363" s="1"/>
      <c r="CS363" s="1"/>
      <c r="CT363" s="1"/>
      <c r="CU363" s="1"/>
      <c r="CV363" s="1"/>
      <c r="CW363" s="1"/>
      <c r="CX363" s="1"/>
      <c r="CY363" s="1"/>
      <c r="CZ363" s="1"/>
      <c r="DA363" s="1"/>
      <c r="DB363" s="1"/>
      <c r="DC363" s="1"/>
      <c r="DD363" s="1"/>
      <c r="DE363" s="1"/>
      <c r="DF363" s="1"/>
      <c r="DG363" s="1"/>
      <c r="DH363" s="1"/>
      <c r="DI363" s="1"/>
      <c r="DJ363" s="1"/>
      <c r="DK363" s="1"/>
      <c r="DM363" s="1"/>
      <c r="DQ363" s="1"/>
      <c r="DR363" s="1"/>
      <c r="DY363" s="1"/>
      <c r="DZ363" s="1"/>
      <c r="ED363" s="1"/>
      <c r="EK363" s="1"/>
      <c r="EL363" s="1"/>
      <c r="EM363" s="1"/>
      <c r="EN363" s="1"/>
      <c r="EQ363" s="1"/>
      <c r="ER363" s="1"/>
      <c r="ES363" s="1"/>
      <c r="EV363" s="1"/>
      <c r="EW363" s="1"/>
      <c r="EZ363" s="1"/>
      <c r="FA363" s="1"/>
      <c r="FD363" s="1"/>
      <c r="FH363" s="1"/>
      <c r="FJ363" s="1"/>
      <c r="FS363" s="1"/>
      <c r="FT363" s="1"/>
      <c r="FU363" s="1"/>
      <c r="FV363" s="1"/>
      <c r="FW363" s="1"/>
      <c r="FX363" s="1"/>
      <c r="GA363" s="1"/>
      <c r="GD363" s="1"/>
      <c r="GE363" s="1"/>
      <c r="GF363" s="1"/>
      <c r="GG363" s="1"/>
      <c r="GH363" s="1"/>
      <c r="GI363" s="1"/>
      <c r="GJ363" s="1"/>
      <c r="GK363" s="1"/>
      <c r="GL363" s="1"/>
      <c r="GM363" s="1"/>
      <c r="GN363" s="1"/>
      <c r="GP363" s="1"/>
      <c r="GQ363" s="1"/>
      <c r="GR363" s="1"/>
      <c r="GY363" s="1"/>
      <c r="HF363" s="1"/>
      <c r="HH363" s="1"/>
      <c r="HQ363" s="1"/>
      <c r="HT363" s="1"/>
      <c r="HY363" s="1"/>
      <c r="IE363" s="1"/>
      <c r="IS363" s="1"/>
      <c r="IZ363" s="1"/>
      <c r="JF363" s="1"/>
      <c r="JG363" s="1"/>
      <c r="JH363" s="1"/>
      <c r="JJ363" s="1"/>
      <c r="JN363" s="1"/>
      <c r="JP363" s="1"/>
      <c r="JQ363" s="1"/>
      <c r="JS363" s="1"/>
      <c r="JT363" s="1"/>
      <c r="JV363" s="1"/>
      <c r="KU363" s="1"/>
      <c r="KV363" s="1"/>
      <c r="KY363" s="1"/>
      <c r="KZ363" s="1"/>
      <c r="LA363" s="1"/>
      <c r="LB363" s="1"/>
      <c r="LC363" s="1"/>
      <c r="LD363" s="1"/>
      <c r="LN363" s="1"/>
      <c r="LO363" s="1"/>
      <c r="LP363" s="1"/>
      <c r="LZ363" s="1"/>
      <c r="MA363" s="1"/>
    </row>
    <row r="364" spans="4:339" ht="13" x14ac:dyDescent="0.15">
      <c r="D364" s="12"/>
      <c r="E364" s="12"/>
      <c r="I364" s="12"/>
      <c r="J364" s="13"/>
      <c r="BF364" s="1"/>
      <c r="BG364" s="1"/>
      <c r="BH364" s="1"/>
      <c r="BI364" s="1"/>
      <c r="BK364" s="1"/>
      <c r="BL364" s="1"/>
      <c r="BM364" s="1"/>
      <c r="BN364" s="1"/>
      <c r="BO364" s="1"/>
      <c r="BP364" s="1"/>
      <c r="BQ364" s="1"/>
      <c r="BR364" s="1"/>
      <c r="CD364" s="1"/>
      <c r="CE364" s="1"/>
      <c r="CF364" s="1"/>
      <c r="CG364" s="1"/>
      <c r="CH364" s="1"/>
      <c r="CI364" s="1"/>
      <c r="CM364" s="2"/>
      <c r="CN364" s="1"/>
      <c r="CO364" s="1"/>
      <c r="CP364" s="1"/>
      <c r="CQ364" s="1"/>
      <c r="CS364" s="1"/>
      <c r="CT364" s="1"/>
      <c r="CU364" s="1"/>
      <c r="CV364" s="1"/>
      <c r="CW364" s="1"/>
      <c r="CX364" s="1"/>
      <c r="CY364" s="1"/>
      <c r="CZ364" s="1"/>
      <c r="DA364" s="1"/>
      <c r="DB364" s="1"/>
      <c r="DC364" s="1"/>
      <c r="DD364" s="1"/>
      <c r="DE364" s="1"/>
      <c r="DF364" s="1"/>
      <c r="DG364" s="1"/>
      <c r="DH364" s="1"/>
      <c r="DI364" s="1"/>
      <c r="DJ364" s="1"/>
      <c r="DK364" s="1"/>
      <c r="DM364" s="1"/>
      <c r="DQ364" s="1"/>
      <c r="DR364" s="1"/>
      <c r="DY364" s="1"/>
      <c r="DZ364" s="1"/>
      <c r="ED364" s="1"/>
      <c r="EK364" s="1"/>
      <c r="EL364" s="1"/>
      <c r="EM364" s="1"/>
      <c r="EN364" s="1"/>
      <c r="EQ364" s="1"/>
      <c r="ER364" s="1"/>
      <c r="ES364" s="1"/>
      <c r="EV364" s="1"/>
      <c r="EW364" s="1"/>
      <c r="EZ364" s="1"/>
      <c r="FA364" s="1"/>
      <c r="FD364" s="1"/>
      <c r="FH364" s="1"/>
      <c r="FJ364" s="1"/>
      <c r="FS364" s="1"/>
      <c r="FT364" s="1"/>
      <c r="FU364" s="1"/>
      <c r="FV364" s="1"/>
      <c r="FW364" s="1"/>
      <c r="FX364" s="1"/>
      <c r="GA364" s="1"/>
      <c r="GD364" s="1"/>
      <c r="GE364" s="1"/>
      <c r="GF364" s="1"/>
      <c r="GG364" s="1"/>
      <c r="GH364" s="1"/>
      <c r="GI364" s="1"/>
      <c r="GJ364" s="1"/>
      <c r="GK364" s="1"/>
      <c r="GL364" s="1"/>
      <c r="GM364" s="1"/>
      <c r="GN364" s="1"/>
      <c r="GP364" s="1"/>
      <c r="GQ364" s="1"/>
      <c r="GR364" s="1"/>
      <c r="GY364" s="1"/>
      <c r="HF364" s="1"/>
      <c r="HH364" s="1"/>
      <c r="HQ364" s="1"/>
      <c r="HT364" s="1"/>
      <c r="HY364" s="1"/>
      <c r="IE364" s="1"/>
      <c r="IS364" s="1"/>
      <c r="IZ364" s="1"/>
      <c r="JF364" s="1"/>
      <c r="JG364" s="1"/>
      <c r="JH364" s="1"/>
      <c r="JJ364" s="1"/>
      <c r="JN364" s="1"/>
      <c r="JP364" s="1"/>
      <c r="JQ364" s="1"/>
      <c r="JS364" s="1"/>
      <c r="JT364" s="1"/>
      <c r="JV364" s="1"/>
      <c r="KU364" s="1"/>
      <c r="KV364" s="1"/>
      <c r="KY364" s="1"/>
      <c r="KZ364" s="1"/>
      <c r="LA364" s="1"/>
      <c r="LB364" s="1"/>
      <c r="LC364" s="1"/>
      <c r="LD364" s="1"/>
      <c r="LN364" s="1"/>
      <c r="LO364" s="1"/>
      <c r="LP364" s="1"/>
      <c r="LZ364" s="1"/>
      <c r="MA364" s="1"/>
    </row>
    <row r="365" spans="4:339" ht="13" x14ac:dyDescent="0.15">
      <c r="D365" s="12"/>
      <c r="E365" s="12"/>
      <c r="I365" s="12"/>
      <c r="J365" s="13"/>
      <c r="BF365" s="1"/>
      <c r="BG365" s="1"/>
      <c r="BH365" s="1"/>
      <c r="BI365" s="1"/>
      <c r="BK365" s="1"/>
      <c r="BL365" s="1"/>
      <c r="BM365" s="1"/>
      <c r="BN365" s="1"/>
      <c r="BO365" s="1"/>
      <c r="BP365" s="1"/>
      <c r="BQ365" s="1"/>
      <c r="BR365" s="1"/>
      <c r="CD365" s="1"/>
      <c r="CE365" s="1"/>
      <c r="CF365" s="1"/>
      <c r="CG365" s="1"/>
      <c r="CH365" s="1"/>
      <c r="CI365" s="1"/>
      <c r="CM365" s="2"/>
      <c r="CN365" s="1"/>
      <c r="CO365" s="1"/>
      <c r="CP365" s="1"/>
      <c r="CQ365" s="1"/>
      <c r="CS365" s="1"/>
      <c r="CT365" s="1"/>
      <c r="CU365" s="1"/>
      <c r="CV365" s="1"/>
      <c r="CW365" s="1"/>
      <c r="CX365" s="1"/>
      <c r="CY365" s="1"/>
      <c r="CZ365" s="1"/>
      <c r="DA365" s="1"/>
      <c r="DB365" s="1"/>
      <c r="DC365" s="1"/>
      <c r="DD365" s="1"/>
      <c r="DE365" s="1"/>
      <c r="DF365" s="1"/>
      <c r="DG365" s="1"/>
      <c r="DH365" s="1"/>
      <c r="DI365" s="1"/>
      <c r="DJ365" s="1"/>
      <c r="DK365" s="1"/>
      <c r="DM365" s="1"/>
      <c r="DQ365" s="1"/>
      <c r="DR365" s="1"/>
      <c r="DY365" s="1"/>
      <c r="DZ365" s="1"/>
      <c r="ED365" s="1"/>
      <c r="EK365" s="1"/>
      <c r="EL365" s="1"/>
      <c r="EM365" s="1"/>
      <c r="EN365" s="1"/>
      <c r="EQ365" s="1"/>
      <c r="ER365" s="1"/>
      <c r="ES365" s="1"/>
      <c r="EV365" s="1"/>
      <c r="EW365" s="1"/>
      <c r="EZ365" s="1"/>
      <c r="FA365" s="1"/>
      <c r="FD365" s="1"/>
      <c r="FH365" s="1"/>
      <c r="FJ365" s="1"/>
      <c r="FS365" s="1"/>
      <c r="FT365" s="1"/>
      <c r="FU365" s="1"/>
      <c r="FV365" s="1"/>
      <c r="FW365" s="1"/>
      <c r="FX365" s="1"/>
      <c r="GA365" s="1"/>
      <c r="GD365" s="1"/>
      <c r="GE365" s="1"/>
      <c r="GF365" s="1"/>
      <c r="GG365" s="1"/>
      <c r="GH365" s="1"/>
      <c r="GI365" s="1"/>
      <c r="GJ365" s="1"/>
      <c r="GK365" s="1"/>
      <c r="GL365" s="1"/>
      <c r="GM365" s="1"/>
      <c r="GN365" s="1"/>
      <c r="GP365" s="1"/>
      <c r="GQ365" s="1"/>
      <c r="GR365" s="1"/>
      <c r="GY365" s="1"/>
      <c r="HF365" s="1"/>
      <c r="HH365" s="1"/>
      <c r="HQ365" s="1"/>
      <c r="HT365" s="1"/>
      <c r="HY365" s="1"/>
      <c r="IE365" s="1"/>
      <c r="IS365" s="1"/>
      <c r="IZ365" s="1"/>
      <c r="JF365" s="1"/>
      <c r="JG365" s="1"/>
      <c r="JH365" s="1"/>
      <c r="JJ365" s="1"/>
      <c r="JN365" s="1"/>
      <c r="JP365" s="1"/>
      <c r="JQ365" s="1"/>
      <c r="JS365" s="1"/>
      <c r="JT365" s="1"/>
      <c r="JV365" s="1"/>
      <c r="KU365" s="1"/>
      <c r="KV365" s="1"/>
      <c r="KY365" s="1"/>
      <c r="KZ365" s="1"/>
      <c r="LA365" s="1"/>
      <c r="LB365" s="1"/>
      <c r="LC365" s="1"/>
      <c r="LD365" s="1"/>
      <c r="LN365" s="1"/>
      <c r="LO365" s="1"/>
      <c r="LP365" s="1"/>
      <c r="LZ365" s="1"/>
      <c r="MA365" s="1"/>
    </row>
    <row r="366" spans="4:339" ht="13" x14ac:dyDescent="0.15">
      <c r="D366" s="12"/>
      <c r="E366" s="12"/>
      <c r="I366" s="12"/>
      <c r="J366" s="13"/>
      <c r="BF366" s="1"/>
      <c r="BG366" s="1"/>
      <c r="BH366" s="1"/>
      <c r="BI366" s="1"/>
      <c r="BK366" s="1"/>
      <c r="BL366" s="1"/>
      <c r="BM366" s="1"/>
      <c r="BN366" s="1"/>
      <c r="BO366" s="1"/>
      <c r="BP366" s="1"/>
      <c r="BQ366" s="1"/>
      <c r="BR366" s="1"/>
      <c r="CD366" s="1"/>
      <c r="CE366" s="1"/>
      <c r="CF366" s="1"/>
      <c r="CG366" s="1"/>
      <c r="CH366" s="1"/>
      <c r="CI366" s="1"/>
      <c r="CM366" s="2"/>
      <c r="CN366" s="1"/>
      <c r="CO366" s="1"/>
      <c r="CP366" s="1"/>
      <c r="CQ366" s="1"/>
      <c r="CS366" s="1"/>
      <c r="CT366" s="1"/>
      <c r="CU366" s="1"/>
      <c r="CV366" s="1"/>
      <c r="CW366" s="1"/>
      <c r="CX366" s="1"/>
      <c r="CY366" s="1"/>
      <c r="CZ366" s="1"/>
      <c r="DA366" s="1"/>
      <c r="DB366" s="1"/>
      <c r="DC366" s="1"/>
      <c r="DD366" s="1"/>
      <c r="DE366" s="1"/>
      <c r="DF366" s="1"/>
      <c r="DG366" s="1"/>
      <c r="DH366" s="1"/>
      <c r="DI366" s="1"/>
      <c r="DJ366" s="1"/>
      <c r="DK366" s="1"/>
      <c r="DM366" s="1"/>
      <c r="DQ366" s="1"/>
      <c r="DR366" s="1"/>
      <c r="DY366" s="1"/>
      <c r="DZ366" s="1"/>
      <c r="ED366" s="1"/>
      <c r="EK366" s="1"/>
      <c r="EL366" s="1"/>
      <c r="EM366" s="1"/>
      <c r="EN366" s="1"/>
      <c r="EQ366" s="1"/>
      <c r="ER366" s="1"/>
      <c r="ES366" s="1"/>
      <c r="EV366" s="1"/>
      <c r="EW366" s="1"/>
      <c r="EZ366" s="1"/>
      <c r="FA366" s="1"/>
      <c r="FD366" s="1"/>
      <c r="FH366" s="1"/>
      <c r="FJ366" s="1"/>
      <c r="FS366" s="1"/>
      <c r="FT366" s="1"/>
      <c r="FU366" s="1"/>
      <c r="FV366" s="1"/>
      <c r="FW366" s="1"/>
      <c r="FX366" s="1"/>
      <c r="GA366" s="1"/>
      <c r="GD366" s="1"/>
      <c r="GE366" s="1"/>
      <c r="GF366" s="1"/>
      <c r="GG366" s="1"/>
      <c r="GH366" s="1"/>
      <c r="GI366" s="1"/>
      <c r="GJ366" s="1"/>
      <c r="GK366" s="1"/>
      <c r="GL366" s="1"/>
      <c r="GM366" s="1"/>
      <c r="GN366" s="1"/>
      <c r="GP366" s="1"/>
      <c r="GQ366" s="1"/>
      <c r="GR366" s="1"/>
      <c r="GY366" s="1"/>
      <c r="HF366" s="1"/>
      <c r="HH366" s="1"/>
      <c r="HQ366" s="1"/>
      <c r="HT366" s="1"/>
      <c r="HY366" s="1"/>
      <c r="IE366" s="1"/>
      <c r="IS366" s="1"/>
      <c r="IZ366" s="1"/>
      <c r="JF366" s="1"/>
      <c r="JG366" s="1"/>
      <c r="JH366" s="1"/>
      <c r="JJ366" s="1"/>
      <c r="JN366" s="1"/>
      <c r="JP366" s="1"/>
      <c r="JQ366" s="1"/>
      <c r="JS366" s="1"/>
      <c r="JT366" s="1"/>
      <c r="JV366" s="1"/>
      <c r="KU366" s="1"/>
      <c r="KV366" s="1"/>
      <c r="KY366" s="1"/>
      <c r="KZ366" s="1"/>
      <c r="LA366" s="1"/>
      <c r="LB366" s="1"/>
      <c r="LC366" s="1"/>
      <c r="LD366" s="1"/>
      <c r="LN366" s="1"/>
      <c r="LO366" s="1"/>
      <c r="LP366" s="1"/>
      <c r="LZ366" s="1"/>
      <c r="MA366" s="1"/>
    </row>
    <row r="367" spans="4:339" ht="13" x14ac:dyDescent="0.15">
      <c r="D367" s="12"/>
      <c r="E367" s="12"/>
      <c r="I367" s="12"/>
      <c r="J367" s="13"/>
      <c r="BF367" s="1"/>
      <c r="BG367" s="1"/>
      <c r="BH367" s="1"/>
      <c r="BI367" s="1"/>
      <c r="BK367" s="1"/>
      <c r="BL367" s="1"/>
      <c r="BM367" s="1"/>
      <c r="BN367" s="1"/>
      <c r="BO367" s="1"/>
      <c r="BP367" s="1"/>
      <c r="BQ367" s="1"/>
      <c r="BR367" s="1"/>
      <c r="CD367" s="1"/>
      <c r="CE367" s="1"/>
      <c r="CF367" s="1"/>
      <c r="CG367" s="1"/>
      <c r="CH367" s="1"/>
      <c r="CI367" s="1"/>
      <c r="CM367" s="2"/>
      <c r="CN367" s="1"/>
      <c r="CO367" s="1"/>
      <c r="CP367" s="1"/>
      <c r="CQ367" s="1"/>
      <c r="CS367" s="1"/>
      <c r="CT367" s="1"/>
      <c r="CU367" s="1"/>
      <c r="CV367" s="1"/>
      <c r="CW367" s="1"/>
      <c r="CX367" s="1"/>
      <c r="CY367" s="1"/>
      <c r="CZ367" s="1"/>
      <c r="DA367" s="1"/>
      <c r="DB367" s="1"/>
      <c r="DC367" s="1"/>
      <c r="DD367" s="1"/>
      <c r="DE367" s="1"/>
      <c r="DF367" s="1"/>
      <c r="DG367" s="1"/>
      <c r="DH367" s="1"/>
      <c r="DI367" s="1"/>
      <c r="DJ367" s="1"/>
      <c r="DK367" s="1"/>
      <c r="DM367" s="1"/>
      <c r="DQ367" s="1"/>
      <c r="DR367" s="1"/>
      <c r="DY367" s="1"/>
      <c r="DZ367" s="1"/>
      <c r="ED367" s="1"/>
      <c r="EK367" s="1"/>
      <c r="EL367" s="1"/>
      <c r="EM367" s="1"/>
      <c r="EN367" s="1"/>
      <c r="EQ367" s="1"/>
      <c r="ER367" s="1"/>
      <c r="ES367" s="1"/>
      <c r="EV367" s="1"/>
      <c r="EW367" s="1"/>
      <c r="EZ367" s="1"/>
      <c r="FA367" s="1"/>
      <c r="FD367" s="1"/>
      <c r="FH367" s="1"/>
      <c r="FJ367" s="1"/>
      <c r="FS367" s="1"/>
      <c r="FT367" s="1"/>
      <c r="FU367" s="1"/>
      <c r="FV367" s="1"/>
      <c r="FW367" s="1"/>
      <c r="FX367" s="1"/>
      <c r="GA367" s="1"/>
      <c r="GD367" s="1"/>
      <c r="GE367" s="1"/>
      <c r="GF367" s="1"/>
      <c r="GG367" s="1"/>
      <c r="GH367" s="1"/>
      <c r="GI367" s="1"/>
      <c r="GJ367" s="1"/>
      <c r="GK367" s="1"/>
      <c r="GL367" s="1"/>
      <c r="GM367" s="1"/>
      <c r="GN367" s="1"/>
      <c r="GP367" s="1"/>
      <c r="GQ367" s="1"/>
      <c r="GR367" s="1"/>
      <c r="GY367" s="1"/>
      <c r="HF367" s="1"/>
      <c r="HH367" s="1"/>
      <c r="HQ367" s="1"/>
      <c r="HT367" s="1"/>
      <c r="HY367" s="1"/>
      <c r="IE367" s="1"/>
      <c r="IS367" s="1"/>
      <c r="IZ367" s="1"/>
      <c r="JF367" s="1"/>
      <c r="JG367" s="1"/>
      <c r="JH367" s="1"/>
      <c r="JJ367" s="1"/>
      <c r="JN367" s="1"/>
      <c r="JP367" s="1"/>
      <c r="JQ367" s="1"/>
      <c r="JS367" s="1"/>
      <c r="JT367" s="1"/>
      <c r="JV367" s="1"/>
      <c r="KU367" s="1"/>
      <c r="KV367" s="1"/>
      <c r="KY367" s="1"/>
      <c r="KZ367" s="1"/>
      <c r="LA367" s="1"/>
      <c r="LB367" s="1"/>
      <c r="LC367" s="1"/>
      <c r="LD367" s="1"/>
      <c r="LN367" s="1"/>
      <c r="LO367" s="1"/>
      <c r="LP367" s="1"/>
      <c r="LZ367" s="1"/>
      <c r="MA367" s="1"/>
    </row>
    <row r="368" spans="4:339" ht="13" x14ac:dyDescent="0.15">
      <c r="D368" s="12"/>
      <c r="E368" s="12"/>
      <c r="I368" s="12"/>
      <c r="J368" s="13"/>
      <c r="BF368" s="1"/>
      <c r="BG368" s="1"/>
      <c r="BH368" s="1"/>
      <c r="BI368" s="1"/>
      <c r="BK368" s="1"/>
      <c r="BL368" s="1"/>
      <c r="BM368" s="1"/>
      <c r="BN368" s="1"/>
      <c r="BO368" s="1"/>
      <c r="BP368" s="1"/>
      <c r="BQ368" s="1"/>
      <c r="BR368" s="1"/>
      <c r="CD368" s="1"/>
      <c r="CE368" s="1"/>
      <c r="CF368" s="1"/>
      <c r="CG368" s="1"/>
      <c r="CH368" s="1"/>
      <c r="CI368" s="1"/>
      <c r="CM368" s="2"/>
      <c r="CN368" s="1"/>
      <c r="CO368" s="1"/>
      <c r="CP368" s="1"/>
      <c r="CQ368" s="1"/>
      <c r="CS368" s="1"/>
      <c r="CT368" s="1"/>
      <c r="CU368" s="1"/>
      <c r="CV368" s="1"/>
      <c r="CW368" s="1"/>
      <c r="CX368" s="1"/>
      <c r="CY368" s="1"/>
      <c r="CZ368" s="1"/>
      <c r="DA368" s="1"/>
      <c r="DB368" s="1"/>
      <c r="DC368" s="1"/>
      <c r="DD368" s="1"/>
      <c r="DE368" s="1"/>
      <c r="DF368" s="1"/>
      <c r="DG368" s="1"/>
      <c r="DH368" s="1"/>
      <c r="DI368" s="1"/>
      <c r="DJ368" s="1"/>
      <c r="DK368" s="1"/>
      <c r="DM368" s="1"/>
      <c r="DQ368" s="1"/>
      <c r="DR368" s="1"/>
      <c r="DY368" s="1"/>
      <c r="DZ368" s="1"/>
      <c r="ED368" s="1"/>
      <c r="EK368" s="1"/>
      <c r="EL368" s="1"/>
      <c r="EM368" s="1"/>
      <c r="EN368" s="1"/>
      <c r="EQ368" s="1"/>
      <c r="ER368" s="1"/>
      <c r="ES368" s="1"/>
      <c r="EV368" s="1"/>
      <c r="EW368" s="1"/>
      <c r="EZ368" s="1"/>
      <c r="FA368" s="1"/>
      <c r="FD368" s="1"/>
      <c r="FH368" s="1"/>
      <c r="FJ368" s="1"/>
      <c r="FS368" s="1"/>
      <c r="FT368" s="1"/>
      <c r="FU368" s="1"/>
      <c r="FV368" s="1"/>
      <c r="FW368" s="1"/>
      <c r="FX368" s="1"/>
      <c r="GA368" s="1"/>
      <c r="GD368" s="1"/>
      <c r="GE368" s="1"/>
      <c r="GF368" s="1"/>
      <c r="GG368" s="1"/>
      <c r="GH368" s="1"/>
      <c r="GI368" s="1"/>
      <c r="GJ368" s="1"/>
      <c r="GK368" s="1"/>
      <c r="GL368" s="1"/>
      <c r="GM368" s="1"/>
      <c r="GN368" s="1"/>
      <c r="GP368" s="1"/>
      <c r="GQ368" s="1"/>
      <c r="GR368" s="1"/>
      <c r="GY368" s="1"/>
      <c r="HF368" s="1"/>
      <c r="HH368" s="1"/>
      <c r="HQ368" s="1"/>
      <c r="HT368" s="1"/>
      <c r="HY368" s="1"/>
      <c r="IE368" s="1"/>
      <c r="IS368" s="1"/>
      <c r="IZ368" s="1"/>
      <c r="JF368" s="1"/>
      <c r="JG368" s="1"/>
      <c r="JH368" s="1"/>
      <c r="JJ368" s="1"/>
      <c r="JN368" s="1"/>
      <c r="JP368" s="1"/>
      <c r="JQ368" s="1"/>
      <c r="JS368" s="1"/>
      <c r="JT368" s="1"/>
      <c r="JV368" s="1"/>
      <c r="KU368" s="1"/>
      <c r="KV368" s="1"/>
      <c r="KY368" s="1"/>
      <c r="KZ368" s="1"/>
      <c r="LA368" s="1"/>
      <c r="LB368" s="1"/>
      <c r="LC368" s="1"/>
      <c r="LD368" s="1"/>
      <c r="LN368" s="1"/>
      <c r="LO368" s="1"/>
      <c r="LP368" s="1"/>
      <c r="LZ368" s="1"/>
      <c r="MA368" s="1"/>
    </row>
    <row r="369" spans="4:339" ht="13" x14ac:dyDescent="0.15">
      <c r="D369" s="12"/>
      <c r="E369" s="12"/>
      <c r="I369" s="12"/>
      <c r="J369" s="13"/>
      <c r="BF369" s="1"/>
      <c r="BG369" s="1"/>
      <c r="BH369" s="1"/>
      <c r="BI369" s="1"/>
      <c r="BK369" s="1"/>
      <c r="BL369" s="1"/>
      <c r="BM369" s="1"/>
      <c r="BN369" s="1"/>
      <c r="BO369" s="1"/>
      <c r="BP369" s="1"/>
      <c r="BQ369" s="1"/>
      <c r="BR369" s="1"/>
      <c r="CD369" s="1"/>
      <c r="CE369" s="1"/>
      <c r="CF369" s="1"/>
      <c r="CG369" s="1"/>
      <c r="CH369" s="1"/>
      <c r="CI369" s="1"/>
      <c r="CM369" s="2"/>
      <c r="CN369" s="1"/>
      <c r="CO369" s="1"/>
      <c r="CP369" s="1"/>
      <c r="CQ369" s="1"/>
      <c r="CS369" s="1"/>
      <c r="CT369" s="1"/>
      <c r="CU369" s="1"/>
      <c r="CV369" s="1"/>
      <c r="CW369" s="1"/>
      <c r="CX369" s="1"/>
      <c r="CY369" s="1"/>
      <c r="CZ369" s="1"/>
      <c r="DA369" s="1"/>
      <c r="DB369" s="1"/>
      <c r="DC369" s="1"/>
      <c r="DD369" s="1"/>
      <c r="DE369" s="1"/>
      <c r="DF369" s="1"/>
      <c r="DG369" s="1"/>
      <c r="DH369" s="1"/>
      <c r="DI369" s="1"/>
      <c r="DJ369" s="1"/>
      <c r="DK369" s="1"/>
      <c r="DM369" s="1"/>
      <c r="DQ369" s="1"/>
      <c r="DR369" s="1"/>
      <c r="DY369" s="1"/>
      <c r="DZ369" s="1"/>
      <c r="ED369" s="1"/>
      <c r="EK369" s="1"/>
      <c r="EL369" s="1"/>
      <c r="EM369" s="1"/>
      <c r="EN369" s="1"/>
      <c r="EQ369" s="1"/>
      <c r="ER369" s="1"/>
      <c r="ES369" s="1"/>
      <c r="EV369" s="1"/>
      <c r="EW369" s="1"/>
      <c r="EZ369" s="1"/>
      <c r="FA369" s="1"/>
      <c r="FD369" s="1"/>
      <c r="FH369" s="1"/>
      <c r="FJ369" s="1"/>
      <c r="FS369" s="1"/>
      <c r="FT369" s="1"/>
      <c r="FU369" s="1"/>
      <c r="FV369" s="1"/>
      <c r="FW369" s="1"/>
      <c r="FX369" s="1"/>
      <c r="GA369" s="1"/>
      <c r="GD369" s="1"/>
      <c r="GE369" s="1"/>
      <c r="GF369" s="1"/>
      <c r="GG369" s="1"/>
      <c r="GH369" s="1"/>
      <c r="GI369" s="1"/>
      <c r="GJ369" s="1"/>
      <c r="GK369" s="1"/>
      <c r="GL369" s="1"/>
      <c r="GM369" s="1"/>
      <c r="GN369" s="1"/>
      <c r="GP369" s="1"/>
      <c r="GQ369" s="1"/>
      <c r="GR369" s="1"/>
      <c r="GY369" s="1"/>
      <c r="HF369" s="1"/>
      <c r="HH369" s="1"/>
      <c r="HQ369" s="1"/>
      <c r="HT369" s="1"/>
      <c r="HY369" s="1"/>
      <c r="IE369" s="1"/>
      <c r="IS369" s="1"/>
      <c r="IZ369" s="1"/>
      <c r="JF369" s="1"/>
      <c r="JG369" s="1"/>
      <c r="JH369" s="1"/>
      <c r="JJ369" s="1"/>
      <c r="JN369" s="1"/>
      <c r="JP369" s="1"/>
      <c r="JQ369" s="1"/>
      <c r="JS369" s="1"/>
      <c r="JT369" s="1"/>
      <c r="JV369" s="1"/>
      <c r="KU369" s="1"/>
      <c r="KV369" s="1"/>
      <c r="KY369" s="1"/>
      <c r="KZ369" s="1"/>
      <c r="LA369" s="1"/>
      <c r="LB369" s="1"/>
      <c r="LC369" s="1"/>
      <c r="LD369" s="1"/>
      <c r="LN369" s="1"/>
      <c r="LO369" s="1"/>
      <c r="LP369" s="1"/>
      <c r="LZ369" s="1"/>
      <c r="MA369" s="1"/>
    </row>
    <row r="370" spans="4:339" ht="13" x14ac:dyDescent="0.15">
      <c r="D370" s="12"/>
      <c r="E370" s="12"/>
      <c r="I370" s="12"/>
      <c r="J370" s="13"/>
      <c r="BF370" s="1"/>
      <c r="BG370" s="1"/>
      <c r="BH370" s="1"/>
      <c r="BI370" s="1"/>
      <c r="BK370" s="1"/>
      <c r="BL370" s="1"/>
      <c r="BM370" s="1"/>
      <c r="BN370" s="1"/>
      <c r="BO370" s="1"/>
      <c r="BP370" s="1"/>
      <c r="BQ370" s="1"/>
      <c r="BR370" s="1"/>
      <c r="CD370" s="1"/>
      <c r="CE370" s="1"/>
      <c r="CF370" s="1"/>
      <c r="CG370" s="1"/>
      <c r="CH370" s="1"/>
      <c r="CI370" s="1"/>
      <c r="CM370" s="2"/>
      <c r="CN370" s="1"/>
      <c r="CO370" s="1"/>
      <c r="CP370" s="1"/>
      <c r="CQ370" s="1"/>
      <c r="CS370" s="1"/>
      <c r="CT370" s="1"/>
      <c r="CU370" s="1"/>
      <c r="CV370" s="1"/>
      <c r="CW370" s="1"/>
      <c r="CX370" s="1"/>
      <c r="CY370" s="1"/>
      <c r="CZ370" s="1"/>
      <c r="DA370" s="1"/>
      <c r="DB370" s="1"/>
      <c r="DC370" s="1"/>
      <c r="DD370" s="1"/>
      <c r="DE370" s="1"/>
      <c r="DF370" s="1"/>
      <c r="DG370" s="1"/>
      <c r="DH370" s="1"/>
      <c r="DI370" s="1"/>
      <c r="DJ370" s="1"/>
      <c r="DK370" s="1"/>
      <c r="DM370" s="1"/>
      <c r="DQ370" s="1"/>
      <c r="DR370" s="1"/>
      <c r="DY370" s="1"/>
      <c r="DZ370" s="1"/>
      <c r="ED370" s="1"/>
      <c r="EK370" s="1"/>
      <c r="EL370" s="1"/>
      <c r="EM370" s="1"/>
      <c r="EN370" s="1"/>
      <c r="EQ370" s="1"/>
      <c r="ER370" s="1"/>
      <c r="ES370" s="1"/>
      <c r="EV370" s="1"/>
      <c r="EW370" s="1"/>
      <c r="EZ370" s="1"/>
      <c r="FA370" s="1"/>
      <c r="FD370" s="1"/>
      <c r="FH370" s="1"/>
      <c r="FJ370" s="1"/>
      <c r="FS370" s="1"/>
      <c r="FT370" s="1"/>
      <c r="FU370" s="1"/>
      <c r="FV370" s="1"/>
      <c r="FW370" s="1"/>
      <c r="FX370" s="1"/>
      <c r="GA370" s="1"/>
      <c r="GD370" s="1"/>
      <c r="GE370" s="1"/>
      <c r="GF370" s="1"/>
      <c r="GG370" s="1"/>
      <c r="GH370" s="1"/>
      <c r="GI370" s="1"/>
      <c r="GJ370" s="1"/>
      <c r="GK370" s="1"/>
      <c r="GL370" s="1"/>
      <c r="GM370" s="1"/>
      <c r="GN370" s="1"/>
      <c r="GP370" s="1"/>
      <c r="GQ370" s="1"/>
      <c r="GR370" s="1"/>
      <c r="GY370" s="1"/>
      <c r="HF370" s="1"/>
      <c r="HH370" s="1"/>
      <c r="HQ370" s="1"/>
      <c r="HT370" s="1"/>
      <c r="HY370" s="1"/>
      <c r="IE370" s="1"/>
      <c r="IS370" s="1"/>
      <c r="IZ370" s="1"/>
      <c r="JF370" s="1"/>
      <c r="JG370" s="1"/>
      <c r="JH370" s="1"/>
      <c r="JJ370" s="1"/>
      <c r="JN370" s="1"/>
      <c r="JP370" s="1"/>
      <c r="JQ370" s="1"/>
      <c r="JS370" s="1"/>
      <c r="JT370" s="1"/>
      <c r="JV370" s="1"/>
      <c r="KU370" s="1"/>
      <c r="KV370" s="1"/>
      <c r="KY370" s="1"/>
      <c r="KZ370" s="1"/>
      <c r="LA370" s="1"/>
      <c r="LB370" s="1"/>
      <c r="LC370" s="1"/>
      <c r="LD370" s="1"/>
      <c r="LN370" s="1"/>
      <c r="LO370" s="1"/>
      <c r="LP370" s="1"/>
      <c r="LZ370" s="1"/>
      <c r="MA370" s="1"/>
    </row>
    <row r="371" spans="4:339" ht="13" x14ac:dyDescent="0.15">
      <c r="D371" s="12"/>
      <c r="E371" s="12"/>
      <c r="I371" s="12"/>
      <c r="J371" s="13"/>
      <c r="BF371" s="1"/>
      <c r="BG371" s="1"/>
      <c r="BH371" s="1"/>
      <c r="BI371" s="1"/>
      <c r="BK371" s="1"/>
      <c r="BL371" s="1"/>
      <c r="BM371" s="1"/>
      <c r="BN371" s="1"/>
      <c r="BO371" s="1"/>
      <c r="BP371" s="1"/>
      <c r="BQ371" s="1"/>
      <c r="BR371" s="1"/>
      <c r="CD371" s="1"/>
      <c r="CE371" s="1"/>
      <c r="CF371" s="1"/>
      <c r="CG371" s="1"/>
      <c r="CH371" s="1"/>
      <c r="CI371" s="1"/>
      <c r="CM371" s="2"/>
      <c r="CN371" s="1"/>
      <c r="CO371" s="1"/>
      <c r="CP371" s="1"/>
      <c r="CQ371" s="1"/>
      <c r="CS371" s="1"/>
      <c r="CT371" s="1"/>
      <c r="CU371" s="1"/>
      <c r="CV371" s="1"/>
      <c r="CW371" s="1"/>
      <c r="CX371" s="1"/>
      <c r="CY371" s="1"/>
      <c r="CZ371" s="1"/>
      <c r="DA371" s="1"/>
      <c r="DB371" s="1"/>
      <c r="DC371" s="1"/>
      <c r="DD371" s="1"/>
      <c r="DE371" s="1"/>
      <c r="DF371" s="1"/>
      <c r="DG371" s="1"/>
      <c r="DH371" s="1"/>
      <c r="DI371" s="1"/>
      <c r="DJ371" s="1"/>
      <c r="DK371" s="1"/>
      <c r="DM371" s="1"/>
      <c r="DQ371" s="1"/>
      <c r="DR371" s="1"/>
      <c r="DY371" s="1"/>
      <c r="DZ371" s="1"/>
      <c r="ED371" s="1"/>
      <c r="EK371" s="1"/>
      <c r="EL371" s="1"/>
      <c r="EM371" s="1"/>
      <c r="EN371" s="1"/>
      <c r="EQ371" s="1"/>
      <c r="ER371" s="1"/>
      <c r="ES371" s="1"/>
      <c r="EV371" s="1"/>
      <c r="EW371" s="1"/>
      <c r="EZ371" s="1"/>
      <c r="FA371" s="1"/>
      <c r="FD371" s="1"/>
      <c r="FH371" s="1"/>
      <c r="FJ371" s="1"/>
      <c r="FS371" s="1"/>
      <c r="FT371" s="1"/>
      <c r="FU371" s="1"/>
      <c r="FV371" s="1"/>
      <c r="FW371" s="1"/>
      <c r="FX371" s="1"/>
      <c r="GA371" s="1"/>
      <c r="GD371" s="1"/>
      <c r="GE371" s="1"/>
      <c r="GF371" s="1"/>
      <c r="GG371" s="1"/>
      <c r="GH371" s="1"/>
      <c r="GI371" s="1"/>
      <c r="GJ371" s="1"/>
      <c r="GK371" s="1"/>
      <c r="GL371" s="1"/>
      <c r="GM371" s="1"/>
      <c r="GN371" s="1"/>
      <c r="GP371" s="1"/>
      <c r="GQ371" s="1"/>
      <c r="GR371" s="1"/>
      <c r="GY371" s="1"/>
      <c r="HF371" s="1"/>
      <c r="HH371" s="1"/>
      <c r="HQ371" s="1"/>
      <c r="HT371" s="1"/>
      <c r="HY371" s="1"/>
      <c r="IE371" s="1"/>
      <c r="IS371" s="1"/>
      <c r="IZ371" s="1"/>
      <c r="JF371" s="1"/>
      <c r="JG371" s="1"/>
      <c r="JH371" s="1"/>
      <c r="JJ371" s="1"/>
      <c r="JN371" s="1"/>
      <c r="JP371" s="1"/>
      <c r="JQ371" s="1"/>
      <c r="JS371" s="1"/>
      <c r="JT371" s="1"/>
      <c r="JV371" s="1"/>
      <c r="KU371" s="1"/>
      <c r="KV371" s="1"/>
      <c r="KY371" s="1"/>
      <c r="KZ371" s="1"/>
      <c r="LA371" s="1"/>
      <c r="LB371" s="1"/>
      <c r="LC371" s="1"/>
      <c r="LD371" s="1"/>
      <c r="LN371" s="1"/>
      <c r="LO371" s="1"/>
      <c r="LP371" s="1"/>
      <c r="LZ371" s="1"/>
      <c r="MA371" s="1"/>
    </row>
    <row r="372" spans="4:339" ht="13" x14ac:dyDescent="0.15">
      <c r="D372" s="12"/>
      <c r="E372" s="12"/>
      <c r="I372" s="12"/>
      <c r="J372" s="13"/>
      <c r="BF372" s="1"/>
      <c r="BG372" s="1"/>
      <c r="BH372" s="1"/>
      <c r="BI372" s="1"/>
      <c r="BK372" s="1"/>
      <c r="BL372" s="1"/>
      <c r="BM372" s="1"/>
      <c r="BN372" s="1"/>
      <c r="BO372" s="1"/>
      <c r="BP372" s="1"/>
      <c r="BQ372" s="1"/>
      <c r="BR372" s="1"/>
      <c r="CD372" s="1"/>
      <c r="CE372" s="1"/>
      <c r="CF372" s="1"/>
      <c r="CG372" s="1"/>
      <c r="CH372" s="1"/>
      <c r="CI372" s="1"/>
      <c r="CM372" s="2"/>
      <c r="CN372" s="1"/>
      <c r="CO372" s="1"/>
      <c r="CP372" s="1"/>
      <c r="CQ372" s="1"/>
      <c r="CS372" s="1"/>
      <c r="CT372" s="1"/>
      <c r="CU372" s="1"/>
      <c r="CV372" s="1"/>
      <c r="CW372" s="1"/>
      <c r="CX372" s="1"/>
      <c r="CY372" s="1"/>
      <c r="CZ372" s="1"/>
      <c r="DA372" s="1"/>
      <c r="DB372" s="1"/>
      <c r="DC372" s="1"/>
      <c r="DD372" s="1"/>
      <c r="DE372" s="1"/>
      <c r="DF372" s="1"/>
      <c r="DG372" s="1"/>
      <c r="DH372" s="1"/>
      <c r="DI372" s="1"/>
      <c r="DJ372" s="1"/>
      <c r="DK372" s="1"/>
      <c r="DM372" s="1"/>
      <c r="DQ372" s="1"/>
      <c r="DR372" s="1"/>
      <c r="DY372" s="1"/>
      <c r="DZ372" s="1"/>
      <c r="ED372" s="1"/>
      <c r="EK372" s="1"/>
      <c r="EL372" s="1"/>
      <c r="EM372" s="1"/>
      <c r="EN372" s="1"/>
      <c r="EQ372" s="1"/>
      <c r="ER372" s="1"/>
      <c r="ES372" s="1"/>
      <c r="EV372" s="1"/>
      <c r="EW372" s="1"/>
      <c r="EZ372" s="1"/>
      <c r="FA372" s="1"/>
      <c r="FD372" s="1"/>
      <c r="FH372" s="1"/>
      <c r="FJ372" s="1"/>
      <c r="FS372" s="1"/>
      <c r="FT372" s="1"/>
      <c r="FU372" s="1"/>
      <c r="FV372" s="1"/>
      <c r="FW372" s="1"/>
      <c r="FX372" s="1"/>
      <c r="GA372" s="1"/>
      <c r="GD372" s="1"/>
      <c r="GE372" s="1"/>
      <c r="GF372" s="1"/>
      <c r="GG372" s="1"/>
      <c r="GH372" s="1"/>
      <c r="GI372" s="1"/>
      <c r="GJ372" s="1"/>
      <c r="GK372" s="1"/>
      <c r="GL372" s="1"/>
      <c r="GM372" s="1"/>
      <c r="GN372" s="1"/>
      <c r="GP372" s="1"/>
      <c r="GQ372" s="1"/>
      <c r="GR372" s="1"/>
      <c r="GY372" s="1"/>
      <c r="HF372" s="1"/>
      <c r="HH372" s="1"/>
      <c r="HQ372" s="1"/>
      <c r="HT372" s="1"/>
      <c r="HY372" s="1"/>
      <c r="IE372" s="1"/>
      <c r="IS372" s="1"/>
      <c r="IZ372" s="1"/>
      <c r="JF372" s="1"/>
      <c r="JG372" s="1"/>
      <c r="JH372" s="1"/>
      <c r="JJ372" s="1"/>
      <c r="JN372" s="1"/>
      <c r="JP372" s="1"/>
      <c r="JQ372" s="1"/>
      <c r="JS372" s="1"/>
      <c r="JT372" s="1"/>
      <c r="JV372" s="1"/>
      <c r="KU372" s="1"/>
      <c r="KV372" s="1"/>
      <c r="KY372" s="1"/>
      <c r="KZ372" s="1"/>
      <c r="LA372" s="1"/>
      <c r="LB372" s="1"/>
      <c r="LC372" s="1"/>
      <c r="LD372" s="1"/>
      <c r="LN372" s="1"/>
      <c r="LO372" s="1"/>
      <c r="LP372" s="1"/>
      <c r="LZ372" s="1"/>
      <c r="MA372" s="1"/>
    </row>
    <row r="373" spans="4:339" ht="13" x14ac:dyDescent="0.15">
      <c r="D373" s="12"/>
      <c r="E373" s="12"/>
      <c r="I373" s="12"/>
      <c r="J373" s="13"/>
      <c r="BF373" s="1"/>
      <c r="BG373" s="1"/>
      <c r="BH373" s="1"/>
      <c r="BI373" s="1"/>
      <c r="BK373" s="1"/>
      <c r="BL373" s="1"/>
      <c r="BM373" s="1"/>
      <c r="BN373" s="1"/>
      <c r="BO373" s="1"/>
      <c r="BP373" s="1"/>
      <c r="BQ373" s="1"/>
      <c r="BR373" s="1"/>
      <c r="CD373" s="1"/>
      <c r="CE373" s="1"/>
      <c r="CF373" s="1"/>
      <c r="CG373" s="1"/>
      <c r="CH373" s="1"/>
      <c r="CI373" s="1"/>
      <c r="CM373" s="2"/>
      <c r="CN373" s="1"/>
      <c r="CO373" s="1"/>
      <c r="CP373" s="1"/>
      <c r="CQ373" s="1"/>
      <c r="CS373" s="1"/>
      <c r="CT373" s="1"/>
      <c r="CU373" s="1"/>
      <c r="CV373" s="1"/>
      <c r="CW373" s="1"/>
      <c r="CX373" s="1"/>
      <c r="CY373" s="1"/>
      <c r="CZ373" s="1"/>
      <c r="DA373" s="1"/>
      <c r="DB373" s="1"/>
      <c r="DC373" s="1"/>
      <c r="DD373" s="1"/>
      <c r="DE373" s="1"/>
      <c r="DF373" s="1"/>
      <c r="DG373" s="1"/>
      <c r="DH373" s="1"/>
      <c r="DI373" s="1"/>
      <c r="DJ373" s="1"/>
      <c r="DK373" s="1"/>
      <c r="DM373" s="1"/>
      <c r="DQ373" s="1"/>
      <c r="DR373" s="1"/>
      <c r="DY373" s="1"/>
      <c r="DZ373" s="1"/>
      <c r="ED373" s="1"/>
      <c r="EK373" s="1"/>
      <c r="EL373" s="1"/>
      <c r="EM373" s="1"/>
      <c r="EN373" s="1"/>
      <c r="EQ373" s="1"/>
      <c r="ER373" s="1"/>
      <c r="ES373" s="1"/>
      <c r="EV373" s="1"/>
      <c r="EW373" s="1"/>
      <c r="EZ373" s="1"/>
      <c r="FA373" s="1"/>
      <c r="FD373" s="1"/>
      <c r="FH373" s="1"/>
      <c r="FJ373" s="1"/>
      <c r="FS373" s="1"/>
      <c r="FT373" s="1"/>
      <c r="FU373" s="1"/>
      <c r="FV373" s="1"/>
      <c r="FW373" s="1"/>
      <c r="FX373" s="1"/>
      <c r="GA373" s="1"/>
      <c r="GD373" s="1"/>
      <c r="GE373" s="1"/>
      <c r="GF373" s="1"/>
      <c r="GG373" s="1"/>
      <c r="GH373" s="1"/>
      <c r="GI373" s="1"/>
      <c r="GJ373" s="1"/>
      <c r="GK373" s="1"/>
      <c r="GL373" s="1"/>
      <c r="GM373" s="1"/>
      <c r="GN373" s="1"/>
      <c r="GP373" s="1"/>
      <c r="GQ373" s="1"/>
      <c r="GR373" s="1"/>
      <c r="GY373" s="1"/>
      <c r="HF373" s="1"/>
      <c r="HH373" s="1"/>
      <c r="HQ373" s="1"/>
      <c r="HT373" s="1"/>
      <c r="HY373" s="1"/>
      <c r="IE373" s="1"/>
      <c r="IS373" s="1"/>
      <c r="IZ373" s="1"/>
      <c r="JF373" s="1"/>
      <c r="JG373" s="1"/>
      <c r="JH373" s="1"/>
      <c r="JJ373" s="1"/>
      <c r="JN373" s="1"/>
      <c r="JP373" s="1"/>
      <c r="JQ373" s="1"/>
      <c r="JS373" s="1"/>
      <c r="JT373" s="1"/>
      <c r="JV373" s="1"/>
      <c r="KU373" s="1"/>
      <c r="KV373" s="1"/>
      <c r="KY373" s="1"/>
      <c r="KZ373" s="1"/>
      <c r="LA373" s="1"/>
      <c r="LB373" s="1"/>
      <c r="LC373" s="1"/>
      <c r="LD373" s="1"/>
      <c r="LN373" s="1"/>
      <c r="LO373" s="1"/>
      <c r="LP373" s="1"/>
      <c r="LZ373" s="1"/>
      <c r="MA373" s="1"/>
    </row>
    <row r="374" spans="4:339" ht="13" x14ac:dyDescent="0.15">
      <c r="D374" s="12"/>
      <c r="E374" s="12"/>
      <c r="I374" s="12"/>
      <c r="J374" s="13"/>
      <c r="BF374" s="1"/>
      <c r="BG374" s="1"/>
      <c r="BH374" s="1"/>
      <c r="BI374" s="1"/>
      <c r="BK374" s="1"/>
      <c r="BL374" s="1"/>
      <c r="BM374" s="1"/>
      <c r="BN374" s="1"/>
      <c r="BO374" s="1"/>
      <c r="BP374" s="1"/>
      <c r="BQ374" s="1"/>
      <c r="BR374" s="1"/>
      <c r="CD374" s="1"/>
      <c r="CE374" s="1"/>
      <c r="CF374" s="1"/>
      <c r="CG374" s="1"/>
      <c r="CH374" s="1"/>
      <c r="CI374" s="1"/>
      <c r="CM374" s="2"/>
      <c r="CN374" s="1"/>
      <c r="CO374" s="1"/>
      <c r="CP374" s="1"/>
      <c r="CQ374" s="1"/>
      <c r="CS374" s="1"/>
      <c r="CT374" s="1"/>
      <c r="CU374" s="1"/>
      <c r="CV374" s="1"/>
      <c r="CW374" s="1"/>
      <c r="CX374" s="1"/>
      <c r="CY374" s="1"/>
      <c r="CZ374" s="1"/>
      <c r="DA374" s="1"/>
      <c r="DB374" s="1"/>
      <c r="DC374" s="1"/>
      <c r="DD374" s="1"/>
      <c r="DE374" s="1"/>
      <c r="DF374" s="1"/>
      <c r="DG374" s="1"/>
      <c r="DH374" s="1"/>
      <c r="DI374" s="1"/>
      <c r="DJ374" s="1"/>
      <c r="DK374" s="1"/>
      <c r="DM374" s="1"/>
      <c r="DQ374" s="1"/>
      <c r="DR374" s="1"/>
      <c r="DY374" s="1"/>
      <c r="DZ374" s="1"/>
      <c r="ED374" s="1"/>
      <c r="EK374" s="1"/>
      <c r="EL374" s="1"/>
      <c r="EM374" s="1"/>
      <c r="EN374" s="1"/>
      <c r="EQ374" s="1"/>
      <c r="ER374" s="1"/>
      <c r="ES374" s="1"/>
      <c r="EV374" s="1"/>
      <c r="EW374" s="1"/>
      <c r="EZ374" s="1"/>
      <c r="FA374" s="1"/>
      <c r="FD374" s="1"/>
      <c r="FH374" s="1"/>
      <c r="FJ374" s="1"/>
      <c r="FS374" s="1"/>
      <c r="FT374" s="1"/>
      <c r="FU374" s="1"/>
      <c r="FV374" s="1"/>
      <c r="FW374" s="1"/>
      <c r="FX374" s="1"/>
      <c r="GA374" s="1"/>
      <c r="GD374" s="1"/>
      <c r="GE374" s="1"/>
      <c r="GF374" s="1"/>
      <c r="GG374" s="1"/>
      <c r="GH374" s="1"/>
      <c r="GI374" s="1"/>
      <c r="GJ374" s="1"/>
      <c r="GK374" s="1"/>
      <c r="GL374" s="1"/>
      <c r="GM374" s="1"/>
      <c r="GN374" s="1"/>
      <c r="GP374" s="1"/>
      <c r="GQ374" s="1"/>
      <c r="GR374" s="1"/>
      <c r="GY374" s="1"/>
      <c r="HF374" s="1"/>
      <c r="HH374" s="1"/>
      <c r="HQ374" s="1"/>
      <c r="HT374" s="1"/>
      <c r="HY374" s="1"/>
      <c r="IE374" s="1"/>
      <c r="IS374" s="1"/>
      <c r="IZ374" s="1"/>
      <c r="JF374" s="1"/>
      <c r="JG374" s="1"/>
      <c r="JH374" s="1"/>
      <c r="JJ374" s="1"/>
      <c r="JN374" s="1"/>
      <c r="JP374" s="1"/>
      <c r="JQ374" s="1"/>
      <c r="JS374" s="1"/>
      <c r="JT374" s="1"/>
      <c r="JV374" s="1"/>
      <c r="KU374" s="1"/>
      <c r="KV374" s="1"/>
      <c r="KY374" s="1"/>
      <c r="KZ374" s="1"/>
      <c r="LA374" s="1"/>
      <c r="LB374" s="1"/>
      <c r="LC374" s="1"/>
      <c r="LD374" s="1"/>
      <c r="LN374" s="1"/>
      <c r="LO374" s="1"/>
      <c r="LP374" s="1"/>
      <c r="LZ374" s="1"/>
      <c r="MA374" s="1"/>
    </row>
    <row r="375" spans="4:339" ht="13" x14ac:dyDescent="0.15">
      <c r="D375" s="12"/>
      <c r="E375" s="12"/>
      <c r="I375" s="12"/>
      <c r="J375" s="13"/>
      <c r="BF375" s="1"/>
      <c r="BG375" s="1"/>
      <c r="BH375" s="1"/>
      <c r="BI375" s="1"/>
      <c r="BK375" s="1"/>
      <c r="BL375" s="1"/>
      <c r="BM375" s="1"/>
      <c r="BN375" s="1"/>
      <c r="BO375" s="1"/>
      <c r="BP375" s="1"/>
      <c r="BQ375" s="1"/>
      <c r="BR375" s="1"/>
      <c r="CD375" s="1"/>
      <c r="CE375" s="1"/>
      <c r="CF375" s="1"/>
      <c r="CG375" s="1"/>
      <c r="CH375" s="1"/>
      <c r="CI375" s="1"/>
      <c r="CM375" s="2"/>
      <c r="CN375" s="1"/>
      <c r="CO375" s="1"/>
      <c r="CP375" s="1"/>
      <c r="CQ375" s="1"/>
      <c r="CS375" s="1"/>
      <c r="CT375" s="1"/>
      <c r="CU375" s="1"/>
      <c r="CV375" s="1"/>
      <c r="CW375" s="1"/>
      <c r="CX375" s="1"/>
      <c r="CY375" s="1"/>
      <c r="CZ375" s="1"/>
      <c r="DA375" s="1"/>
      <c r="DB375" s="1"/>
      <c r="DC375" s="1"/>
      <c r="DD375" s="1"/>
      <c r="DE375" s="1"/>
      <c r="DF375" s="1"/>
      <c r="DG375" s="1"/>
      <c r="DH375" s="1"/>
      <c r="DI375" s="1"/>
      <c r="DJ375" s="1"/>
      <c r="DK375" s="1"/>
      <c r="DM375" s="1"/>
      <c r="DQ375" s="1"/>
      <c r="DR375" s="1"/>
      <c r="DY375" s="1"/>
      <c r="DZ375" s="1"/>
      <c r="ED375" s="1"/>
      <c r="EK375" s="1"/>
      <c r="EL375" s="1"/>
      <c r="EM375" s="1"/>
      <c r="EN375" s="1"/>
      <c r="EQ375" s="1"/>
      <c r="ER375" s="1"/>
      <c r="ES375" s="1"/>
      <c r="EV375" s="1"/>
      <c r="EW375" s="1"/>
      <c r="EZ375" s="1"/>
      <c r="FA375" s="1"/>
      <c r="FD375" s="1"/>
      <c r="FH375" s="1"/>
      <c r="FJ375" s="1"/>
      <c r="FS375" s="1"/>
      <c r="FT375" s="1"/>
      <c r="FU375" s="1"/>
      <c r="FV375" s="1"/>
      <c r="FW375" s="1"/>
      <c r="FX375" s="1"/>
      <c r="GA375" s="1"/>
      <c r="GD375" s="1"/>
      <c r="GE375" s="1"/>
      <c r="GF375" s="1"/>
      <c r="GG375" s="1"/>
      <c r="GH375" s="1"/>
      <c r="GI375" s="1"/>
      <c r="GJ375" s="1"/>
      <c r="GK375" s="1"/>
      <c r="GL375" s="1"/>
      <c r="GM375" s="1"/>
      <c r="GN375" s="1"/>
      <c r="GP375" s="1"/>
      <c r="GQ375" s="1"/>
      <c r="GR375" s="1"/>
      <c r="GY375" s="1"/>
      <c r="HF375" s="1"/>
      <c r="HH375" s="1"/>
      <c r="HQ375" s="1"/>
      <c r="HT375" s="1"/>
      <c r="HY375" s="1"/>
      <c r="IE375" s="1"/>
      <c r="IS375" s="1"/>
      <c r="IZ375" s="1"/>
      <c r="JF375" s="1"/>
      <c r="JG375" s="1"/>
      <c r="JH375" s="1"/>
      <c r="JJ375" s="1"/>
      <c r="JN375" s="1"/>
      <c r="JP375" s="1"/>
      <c r="JQ375" s="1"/>
      <c r="JS375" s="1"/>
      <c r="JT375" s="1"/>
      <c r="JV375" s="1"/>
      <c r="KU375" s="1"/>
      <c r="KV375" s="1"/>
      <c r="KY375" s="1"/>
      <c r="KZ375" s="1"/>
      <c r="LA375" s="1"/>
      <c r="LB375" s="1"/>
      <c r="LC375" s="1"/>
      <c r="LD375" s="1"/>
      <c r="LN375" s="1"/>
      <c r="LO375" s="1"/>
      <c r="LP375" s="1"/>
      <c r="LZ375" s="1"/>
      <c r="MA375" s="1"/>
    </row>
    <row r="376" spans="4:339" ht="13" x14ac:dyDescent="0.15">
      <c r="D376" s="12"/>
      <c r="E376" s="12"/>
      <c r="I376" s="12"/>
      <c r="J376" s="13"/>
      <c r="BF376" s="1"/>
      <c r="BG376" s="1"/>
      <c r="BH376" s="1"/>
      <c r="BI376" s="1"/>
      <c r="BK376" s="1"/>
      <c r="BL376" s="1"/>
      <c r="BM376" s="1"/>
      <c r="BN376" s="1"/>
      <c r="BO376" s="1"/>
      <c r="BP376" s="1"/>
      <c r="BQ376" s="1"/>
      <c r="BR376" s="1"/>
      <c r="CD376" s="1"/>
      <c r="CE376" s="1"/>
      <c r="CF376" s="1"/>
      <c r="CG376" s="1"/>
      <c r="CH376" s="1"/>
      <c r="CI376" s="1"/>
      <c r="CM376" s="2"/>
      <c r="CN376" s="1"/>
      <c r="CO376" s="1"/>
      <c r="CP376" s="1"/>
      <c r="CQ376" s="1"/>
      <c r="CS376" s="1"/>
      <c r="CT376" s="1"/>
      <c r="CU376" s="1"/>
      <c r="CV376" s="1"/>
      <c r="CW376" s="1"/>
      <c r="CX376" s="1"/>
      <c r="CY376" s="1"/>
      <c r="CZ376" s="1"/>
      <c r="DA376" s="1"/>
      <c r="DB376" s="1"/>
      <c r="DC376" s="1"/>
      <c r="DD376" s="1"/>
      <c r="DE376" s="1"/>
      <c r="DF376" s="1"/>
      <c r="DG376" s="1"/>
      <c r="DH376" s="1"/>
      <c r="DI376" s="1"/>
      <c r="DJ376" s="1"/>
      <c r="DK376" s="1"/>
      <c r="DM376" s="1"/>
      <c r="DQ376" s="1"/>
      <c r="DR376" s="1"/>
      <c r="DY376" s="1"/>
      <c r="DZ376" s="1"/>
      <c r="ED376" s="1"/>
      <c r="EK376" s="1"/>
      <c r="EL376" s="1"/>
      <c r="EM376" s="1"/>
      <c r="EN376" s="1"/>
      <c r="EQ376" s="1"/>
      <c r="ER376" s="1"/>
      <c r="ES376" s="1"/>
      <c r="EV376" s="1"/>
      <c r="EW376" s="1"/>
      <c r="EZ376" s="1"/>
      <c r="FA376" s="1"/>
      <c r="FD376" s="1"/>
      <c r="FH376" s="1"/>
      <c r="FJ376" s="1"/>
      <c r="FS376" s="1"/>
      <c r="FT376" s="1"/>
      <c r="FU376" s="1"/>
      <c r="FV376" s="1"/>
      <c r="FW376" s="1"/>
      <c r="FX376" s="1"/>
      <c r="GA376" s="1"/>
      <c r="GD376" s="1"/>
      <c r="GE376" s="1"/>
      <c r="GF376" s="1"/>
      <c r="GG376" s="1"/>
      <c r="GH376" s="1"/>
      <c r="GI376" s="1"/>
      <c r="GJ376" s="1"/>
      <c r="GK376" s="1"/>
      <c r="GL376" s="1"/>
      <c r="GM376" s="1"/>
      <c r="GN376" s="1"/>
      <c r="GP376" s="1"/>
      <c r="GQ376" s="1"/>
      <c r="GR376" s="1"/>
      <c r="GY376" s="1"/>
      <c r="HF376" s="1"/>
      <c r="HH376" s="1"/>
      <c r="HQ376" s="1"/>
      <c r="HT376" s="1"/>
      <c r="HY376" s="1"/>
      <c r="IE376" s="1"/>
      <c r="IS376" s="1"/>
      <c r="IZ376" s="1"/>
      <c r="JF376" s="1"/>
      <c r="JG376" s="1"/>
      <c r="JH376" s="1"/>
      <c r="JJ376" s="1"/>
      <c r="JN376" s="1"/>
      <c r="JP376" s="1"/>
      <c r="JQ376" s="1"/>
      <c r="JS376" s="1"/>
      <c r="JT376" s="1"/>
      <c r="JV376" s="1"/>
      <c r="KU376" s="1"/>
      <c r="KV376" s="1"/>
      <c r="KY376" s="1"/>
      <c r="KZ376" s="1"/>
      <c r="LA376" s="1"/>
      <c r="LB376" s="1"/>
      <c r="LC376" s="1"/>
      <c r="LD376" s="1"/>
      <c r="LN376" s="1"/>
      <c r="LO376" s="1"/>
      <c r="LP376" s="1"/>
      <c r="LZ376" s="1"/>
      <c r="MA376" s="1"/>
    </row>
    <row r="377" spans="4:339" ht="13" x14ac:dyDescent="0.15">
      <c r="D377" s="12"/>
      <c r="E377" s="12"/>
      <c r="I377" s="12"/>
      <c r="J377" s="13"/>
      <c r="BF377" s="1"/>
      <c r="BG377" s="1"/>
      <c r="BH377" s="1"/>
      <c r="BI377" s="1"/>
      <c r="BK377" s="1"/>
      <c r="BL377" s="1"/>
      <c r="BM377" s="1"/>
      <c r="BN377" s="1"/>
      <c r="BO377" s="1"/>
      <c r="BP377" s="1"/>
      <c r="BQ377" s="1"/>
      <c r="BR377" s="1"/>
      <c r="CD377" s="1"/>
      <c r="CE377" s="1"/>
      <c r="CF377" s="1"/>
      <c r="CG377" s="1"/>
      <c r="CH377" s="1"/>
      <c r="CI377" s="1"/>
      <c r="CM377" s="2"/>
      <c r="CN377" s="1"/>
      <c r="CO377" s="1"/>
      <c r="CP377" s="1"/>
      <c r="CQ377" s="1"/>
      <c r="CS377" s="1"/>
      <c r="CT377" s="1"/>
      <c r="CU377" s="1"/>
      <c r="CV377" s="1"/>
      <c r="CW377" s="1"/>
      <c r="CX377" s="1"/>
      <c r="CY377" s="1"/>
      <c r="CZ377" s="1"/>
      <c r="DA377" s="1"/>
      <c r="DB377" s="1"/>
      <c r="DC377" s="1"/>
      <c r="DD377" s="1"/>
      <c r="DE377" s="1"/>
      <c r="DF377" s="1"/>
      <c r="DG377" s="1"/>
      <c r="DH377" s="1"/>
      <c r="DI377" s="1"/>
      <c r="DJ377" s="1"/>
      <c r="DK377" s="1"/>
      <c r="DM377" s="1"/>
      <c r="DQ377" s="1"/>
      <c r="DR377" s="1"/>
      <c r="DY377" s="1"/>
      <c r="DZ377" s="1"/>
      <c r="ED377" s="1"/>
      <c r="EK377" s="1"/>
      <c r="EL377" s="1"/>
      <c r="EM377" s="1"/>
      <c r="EN377" s="1"/>
      <c r="EQ377" s="1"/>
      <c r="ER377" s="1"/>
      <c r="ES377" s="1"/>
      <c r="EV377" s="1"/>
      <c r="EW377" s="1"/>
      <c r="EZ377" s="1"/>
      <c r="FA377" s="1"/>
      <c r="FD377" s="1"/>
      <c r="FH377" s="1"/>
      <c r="FJ377" s="1"/>
      <c r="FS377" s="1"/>
      <c r="FT377" s="1"/>
      <c r="FU377" s="1"/>
      <c r="FV377" s="1"/>
      <c r="FW377" s="1"/>
      <c r="FX377" s="1"/>
      <c r="GA377" s="1"/>
      <c r="GD377" s="1"/>
      <c r="GE377" s="1"/>
      <c r="GF377" s="1"/>
      <c r="GG377" s="1"/>
      <c r="GH377" s="1"/>
      <c r="GI377" s="1"/>
      <c r="GJ377" s="1"/>
      <c r="GK377" s="1"/>
      <c r="GL377" s="1"/>
      <c r="GM377" s="1"/>
      <c r="GN377" s="1"/>
      <c r="GP377" s="1"/>
      <c r="GQ377" s="1"/>
      <c r="GR377" s="1"/>
      <c r="GY377" s="1"/>
      <c r="HF377" s="1"/>
      <c r="HH377" s="1"/>
      <c r="HQ377" s="1"/>
      <c r="HT377" s="1"/>
      <c r="HY377" s="1"/>
      <c r="IE377" s="1"/>
      <c r="IS377" s="1"/>
      <c r="IZ377" s="1"/>
      <c r="JF377" s="1"/>
      <c r="JG377" s="1"/>
      <c r="JH377" s="1"/>
      <c r="JJ377" s="1"/>
      <c r="JN377" s="1"/>
      <c r="JP377" s="1"/>
      <c r="JQ377" s="1"/>
      <c r="JS377" s="1"/>
      <c r="JT377" s="1"/>
      <c r="JV377" s="1"/>
      <c r="KU377" s="1"/>
      <c r="KV377" s="1"/>
      <c r="KY377" s="1"/>
      <c r="KZ377" s="1"/>
      <c r="LA377" s="1"/>
      <c r="LB377" s="1"/>
      <c r="LC377" s="1"/>
      <c r="LD377" s="1"/>
      <c r="LN377" s="1"/>
      <c r="LO377" s="1"/>
      <c r="LP377" s="1"/>
      <c r="LZ377" s="1"/>
      <c r="MA377" s="1"/>
    </row>
    <row r="378" spans="4:339" ht="13" x14ac:dyDescent="0.15">
      <c r="D378" s="12"/>
      <c r="E378" s="12"/>
      <c r="I378" s="12"/>
      <c r="J378" s="13"/>
      <c r="BF378" s="1"/>
      <c r="BG378" s="1"/>
      <c r="BH378" s="1"/>
      <c r="BI378" s="1"/>
      <c r="BK378" s="1"/>
      <c r="BL378" s="1"/>
      <c r="BM378" s="1"/>
      <c r="BN378" s="1"/>
      <c r="BO378" s="1"/>
      <c r="BP378" s="1"/>
      <c r="BQ378" s="1"/>
      <c r="BR378" s="1"/>
      <c r="CD378" s="1"/>
      <c r="CE378" s="1"/>
      <c r="CF378" s="1"/>
      <c r="CG378" s="1"/>
      <c r="CH378" s="1"/>
      <c r="CI378" s="1"/>
      <c r="CM378" s="2"/>
      <c r="CN378" s="1"/>
      <c r="CO378" s="1"/>
      <c r="CP378" s="1"/>
      <c r="CQ378" s="1"/>
      <c r="CS378" s="1"/>
      <c r="CT378" s="1"/>
      <c r="CU378" s="1"/>
      <c r="CV378" s="1"/>
      <c r="CW378" s="1"/>
      <c r="CX378" s="1"/>
      <c r="CY378" s="1"/>
      <c r="CZ378" s="1"/>
      <c r="DA378" s="1"/>
      <c r="DB378" s="1"/>
      <c r="DC378" s="1"/>
      <c r="DD378" s="1"/>
      <c r="DE378" s="1"/>
      <c r="DF378" s="1"/>
      <c r="DG378" s="1"/>
      <c r="DH378" s="1"/>
      <c r="DI378" s="1"/>
      <c r="DJ378" s="1"/>
      <c r="DK378" s="1"/>
      <c r="DM378" s="1"/>
      <c r="DQ378" s="1"/>
      <c r="DR378" s="1"/>
      <c r="DY378" s="1"/>
      <c r="DZ378" s="1"/>
      <c r="ED378" s="1"/>
      <c r="EK378" s="1"/>
      <c r="EL378" s="1"/>
      <c r="EM378" s="1"/>
      <c r="EN378" s="1"/>
      <c r="EQ378" s="1"/>
      <c r="ER378" s="1"/>
      <c r="ES378" s="1"/>
      <c r="EV378" s="1"/>
      <c r="EW378" s="1"/>
      <c r="EZ378" s="1"/>
      <c r="FA378" s="1"/>
      <c r="FD378" s="1"/>
      <c r="FH378" s="1"/>
      <c r="FJ378" s="1"/>
      <c r="FS378" s="1"/>
      <c r="FT378" s="1"/>
      <c r="FU378" s="1"/>
      <c r="FV378" s="1"/>
      <c r="FW378" s="1"/>
      <c r="FX378" s="1"/>
      <c r="GA378" s="1"/>
      <c r="GD378" s="1"/>
      <c r="GE378" s="1"/>
      <c r="GF378" s="1"/>
      <c r="GG378" s="1"/>
      <c r="GH378" s="1"/>
      <c r="GI378" s="1"/>
      <c r="GJ378" s="1"/>
      <c r="GK378" s="1"/>
      <c r="GL378" s="1"/>
      <c r="GM378" s="1"/>
      <c r="GN378" s="1"/>
      <c r="GP378" s="1"/>
      <c r="GQ378" s="1"/>
      <c r="GR378" s="1"/>
      <c r="GY378" s="1"/>
      <c r="HF378" s="1"/>
      <c r="HH378" s="1"/>
      <c r="HQ378" s="1"/>
      <c r="HT378" s="1"/>
      <c r="HY378" s="1"/>
      <c r="IE378" s="1"/>
      <c r="IS378" s="1"/>
      <c r="IZ378" s="1"/>
      <c r="JF378" s="1"/>
      <c r="JG378" s="1"/>
      <c r="JH378" s="1"/>
      <c r="JJ378" s="1"/>
      <c r="JN378" s="1"/>
      <c r="JP378" s="1"/>
      <c r="JQ378" s="1"/>
      <c r="JS378" s="1"/>
      <c r="JT378" s="1"/>
      <c r="JV378" s="1"/>
      <c r="KU378" s="1"/>
      <c r="KV378" s="1"/>
      <c r="KY378" s="1"/>
      <c r="KZ378" s="1"/>
      <c r="LA378" s="1"/>
      <c r="LB378" s="1"/>
      <c r="LC378" s="1"/>
      <c r="LD378" s="1"/>
      <c r="LN378" s="1"/>
      <c r="LO378" s="1"/>
      <c r="LP378" s="1"/>
      <c r="LZ378" s="1"/>
      <c r="MA378" s="1"/>
    </row>
    <row r="379" spans="4:339" ht="13" x14ac:dyDescent="0.15">
      <c r="D379" s="12"/>
      <c r="E379" s="12"/>
      <c r="I379" s="12"/>
      <c r="J379" s="13"/>
      <c r="BF379" s="1"/>
      <c r="BG379" s="1"/>
      <c r="BH379" s="1"/>
      <c r="BI379" s="1"/>
      <c r="BK379" s="1"/>
      <c r="BL379" s="1"/>
      <c r="BM379" s="1"/>
      <c r="BN379" s="1"/>
      <c r="BO379" s="1"/>
      <c r="BP379" s="1"/>
      <c r="BQ379" s="1"/>
      <c r="BR379" s="1"/>
      <c r="CD379" s="1"/>
      <c r="CE379" s="1"/>
      <c r="CF379" s="1"/>
      <c r="CG379" s="1"/>
      <c r="CH379" s="1"/>
      <c r="CI379" s="1"/>
      <c r="CM379" s="2"/>
      <c r="CN379" s="1"/>
      <c r="CO379" s="1"/>
      <c r="CP379" s="1"/>
      <c r="CQ379" s="1"/>
      <c r="CS379" s="1"/>
      <c r="CT379" s="1"/>
      <c r="CU379" s="1"/>
      <c r="CV379" s="1"/>
      <c r="CW379" s="1"/>
      <c r="CX379" s="1"/>
      <c r="CY379" s="1"/>
      <c r="CZ379" s="1"/>
      <c r="DA379" s="1"/>
      <c r="DB379" s="1"/>
      <c r="DC379" s="1"/>
      <c r="DD379" s="1"/>
      <c r="DE379" s="1"/>
      <c r="DF379" s="1"/>
      <c r="DG379" s="1"/>
      <c r="DH379" s="1"/>
      <c r="DI379" s="1"/>
      <c r="DJ379" s="1"/>
      <c r="DK379" s="1"/>
      <c r="DM379" s="1"/>
      <c r="DQ379" s="1"/>
      <c r="DR379" s="1"/>
      <c r="DY379" s="1"/>
      <c r="DZ379" s="1"/>
      <c r="ED379" s="1"/>
      <c r="EK379" s="1"/>
      <c r="EL379" s="1"/>
      <c r="EM379" s="1"/>
      <c r="EN379" s="1"/>
      <c r="EQ379" s="1"/>
      <c r="ER379" s="1"/>
      <c r="ES379" s="1"/>
      <c r="EV379" s="1"/>
      <c r="EW379" s="1"/>
      <c r="EZ379" s="1"/>
      <c r="FA379" s="1"/>
      <c r="FD379" s="1"/>
      <c r="FH379" s="1"/>
      <c r="FJ379" s="1"/>
      <c r="FS379" s="1"/>
      <c r="FT379" s="1"/>
      <c r="FU379" s="1"/>
      <c r="FV379" s="1"/>
      <c r="FW379" s="1"/>
      <c r="FX379" s="1"/>
      <c r="GA379" s="1"/>
      <c r="GD379" s="1"/>
      <c r="GE379" s="1"/>
      <c r="GF379" s="1"/>
      <c r="GG379" s="1"/>
      <c r="GH379" s="1"/>
      <c r="GI379" s="1"/>
      <c r="GJ379" s="1"/>
      <c r="GK379" s="1"/>
      <c r="GL379" s="1"/>
      <c r="GM379" s="1"/>
      <c r="GN379" s="1"/>
      <c r="GP379" s="1"/>
      <c r="GQ379" s="1"/>
      <c r="GR379" s="1"/>
      <c r="GY379" s="1"/>
      <c r="HF379" s="1"/>
      <c r="HH379" s="1"/>
      <c r="HQ379" s="1"/>
      <c r="HT379" s="1"/>
      <c r="HY379" s="1"/>
      <c r="IE379" s="1"/>
      <c r="IS379" s="1"/>
      <c r="IZ379" s="1"/>
      <c r="JF379" s="1"/>
      <c r="JG379" s="1"/>
      <c r="JH379" s="1"/>
      <c r="JJ379" s="1"/>
      <c r="JN379" s="1"/>
      <c r="JP379" s="1"/>
      <c r="JQ379" s="1"/>
      <c r="JS379" s="1"/>
      <c r="JT379" s="1"/>
      <c r="JV379" s="1"/>
      <c r="KU379" s="1"/>
      <c r="KV379" s="1"/>
      <c r="KY379" s="1"/>
      <c r="KZ379" s="1"/>
      <c r="LA379" s="1"/>
      <c r="LB379" s="1"/>
      <c r="LC379" s="1"/>
      <c r="LD379" s="1"/>
      <c r="LN379" s="1"/>
      <c r="LO379" s="1"/>
      <c r="LP379" s="1"/>
      <c r="LZ379" s="1"/>
      <c r="MA379" s="1"/>
    </row>
    <row r="380" spans="4:339" ht="13" x14ac:dyDescent="0.15">
      <c r="D380" s="12"/>
      <c r="E380" s="12"/>
      <c r="I380" s="12"/>
      <c r="J380" s="13"/>
      <c r="BF380" s="1"/>
      <c r="BG380" s="1"/>
      <c r="BH380" s="1"/>
      <c r="BI380" s="1"/>
      <c r="BK380" s="1"/>
      <c r="BL380" s="1"/>
      <c r="BM380" s="1"/>
      <c r="BN380" s="1"/>
      <c r="BO380" s="1"/>
      <c r="BP380" s="1"/>
      <c r="BQ380" s="1"/>
      <c r="BR380" s="1"/>
      <c r="CD380" s="1"/>
      <c r="CE380" s="1"/>
      <c r="CF380" s="1"/>
      <c r="CG380" s="1"/>
      <c r="CH380" s="1"/>
      <c r="CI380" s="1"/>
      <c r="CM380" s="2"/>
      <c r="CN380" s="1"/>
      <c r="CO380" s="1"/>
      <c r="CP380" s="1"/>
      <c r="CQ380" s="1"/>
      <c r="CS380" s="1"/>
      <c r="CT380" s="1"/>
      <c r="CU380" s="1"/>
      <c r="CV380" s="1"/>
      <c r="CW380" s="1"/>
      <c r="CX380" s="1"/>
      <c r="CY380" s="1"/>
      <c r="CZ380" s="1"/>
      <c r="DA380" s="1"/>
      <c r="DB380" s="1"/>
      <c r="DC380" s="1"/>
      <c r="DD380" s="1"/>
      <c r="DE380" s="1"/>
      <c r="DF380" s="1"/>
      <c r="DG380" s="1"/>
      <c r="DH380" s="1"/>
      <c r="DI380" s="1"/>
      <c r="DJ380" s="1"/>
      <c r="DK380" s="1"/>
      <c r="DM380" s="1"/>
      <c r="DQ380" s="1"/>
      <c r="DR380" s="1"/>
      <c r="DY380" s="1"/>
      <c r="DZ380" s="1"/>
      <c r="ED380" s="1"/>
      <c r="EK380" s="1"/>
      <c r="EL380" s="1"/>
      <c r="EM380" s="1"/>
      <c r="EN380" s="1"/>
      <c r="EQ380" s="1"/>
      <c r="ER380" s="1"/>
      <c r="ES380" s="1"/>
      <c r="EV380" s="1"/>
      <c r="EW380" s="1"/>
      <c r="EZ380" s="1"/>
      <c r="FA380" s="1"/>
      <c r="FD380" s="1"/>
      <c r="FH380" s="1"/>
      <c r="FJ380" s="1"/>
      <c r="FS380" s="1"/>
      <c r="FT380" s="1"/>
      <c r="FU380" s="1"/>
      <c r="FV380" s="1"/>
      <c r="FW380" s="1"/>
      <c r="FX380" s="1"/>
      <c r="GA380" s="1"/>
      <c r="GD380" s="1"/>
      <c r="GE380" s="1"/>
      <c r="GF380" s="1"/>
      <c r="GG380" s="1"/>
      <c r="GH380" s="1"/>
      <c r="GI380" s="1"/>
      <c r="GJ380" s="1"/>
      <c r="GK380" s="1"/>
      <c r="GL380" s="1"/>
      <c r="GM380" s="1"/>
      <c r="GN380" s="1"/>
      <c r="GP380" s="1"/>
      <c r="GQ380" s="1"/>
      <c r="GR380" s="1"/>
      <c r="GY380" s="1"/>
      <c r="HF380" s="1"/>
      <c r="HH380" s="1"/>
      <c r="HQ380" s="1"/>
      <c r="HT380" s="1"/>
      <c r="HY380" s="1"/>
      <c r="IE380" s="1"/>
      <c r="IS380" s="1"/>
      <c r="IZ380" s="1"/>
      <c r="JF380" s="1"/>
      <c r="JG380" s="1"/>
      <c r="JH380" s="1"/>
      <c r="JJ380" s="1"/>
      <c r="JN380" s="1"/>
      <c r="JP380" s="1"/>
      <c r="JQ380" s="1"/>
      <c r="JS380" s="1"/>
      <c r="JT380" s="1"/>
      <c r="JV380" s="1"/>
      <c r="KU380" s="1"/>
      <c r="KV380" s="1"/>
      <c r="KY380" s="1"/>
      <c r="KZ380" s="1"/>
      <c r="LA380" s="1"/>
      <c r="LB380" s="1"/>
      <c r="LC380" s="1"/>
      <c r="LD380" s="1"/>
      <c r="LN380" s="1"/>
      <c r="LO380" s="1"/>
      <c r="LP380" s="1"/>
      <c r="LZ380" s="1"/>
      <c r="MA380" s="1"/>
    </row>
    <row r="381" spans="4:339" ht="13" x14ac:dyDescent="0.15">
      <c r="D381" s="12"/>
      <c r="E381" s="12"/>
      <c r="I381" s="12"/>
      <c r="J381" s="13"/>
      <c r="BF381" s="1"/>
      <c r="BG381" s="1"/>
      <c r="BH381" s="1"/>
      <c r="BI381" s="1"/>
      <c r="BK381" s="1"/>
      <c r="BL381" s="1"/>
      <c r="BM381" s="1"/>
      <c r="BN381" s="1"/>
      <c r="BO381" s="1"/>
      <c r="BP381" s="1"/>
      <c r="BQ381" s="1"/>
      <c r="BR381" s="1"/>
      <c r="CD381" s="1"/>
      <c r="CE381" s="1"/>
      <c r="CF381" s="1"/>
      <c r="CG381" s="1"/>
      <c r="CH381" s="1"/>
      <c r="CI381" s="1"/>
      <c r="CM381" s="2"/>
      <c r="CN381" s="1"/>
      <c r="CO381" s="1"/>
      <c r="CP381" s="1"/>
      <c r="CQ381" s="1"/>
      <c r="CS381" s="1"/>
      <c r="CT381" s="1"/>
      <c r="CU381" s="1"/>
      <c r="CV381" s="1"/>
      <c r="CW381" s="1"/>
      <c r="CX381" s="1"/>
      <c r="CY381" s="1"/>
      <c r="CZ381" s="1"/>
      <c r="DA381" s="1"/>
      <c r="DB381" s="1"/>
      <c r="DC381" s="1"/>
      <c r="DD381" s="1"/>
      <c r="DE381" s="1"/>
      <c r="DF381" s="1"/>
      <c r="DG381" s="1"/>
      <c r="DH381" s="1"/>
      <c r="DI381" s="1"/>
      <c r="DJ381" s="1"/>
      <c r="DK381" s="1"/>
      <c r="DM381" s="1"/>
      <c r="DQ381" s="1"/>
      <c r="DR381" s="1"/>
      <c r="DY381" s="1"/>
      <c r="DZ381" s="1"/>
      <c r="ED381" s="1"/>
      <c r="EK381" s="1"/>
      <c r="EL381" s="1"/>
      <c r="EM381" s="1"/>
      <c r="EN381" s="1"/>
      <c r="EQ381" s="1"/>
      <c r="ER381" s="1"/>
      <c r="ES381" s="1"/>
      <c r="EV381" s="1"/>
      <c r="EW381" s="1"/>
      <c r="EZ381" s="1"/>
      <c r="FA381" s="1"/>
      <c r="FD381" s="1"/>
      <c r="FH381" s="1"/>
      <c r="FJ381" s="1"/>
      <c r="FS381" s="1"/>
      <c r="FT381" s="1"/>
      <c r="FU381" s="1"/>
      <c r="FV381" s="1"/>
      <c r="FW381" s="1"/>
      <c r="FX381" s="1"/>
      <c r="GA381" s="1"/>
      <c r="GD381" s="1"/>
      <c r="GE381" s="1"/>
      <c r="GF381" s="1"/>
      <c r="GG381" s="1"/>
      <c r="GH381" s="1"/>
      <c r="GI381" s="1"/>
      <c r="GJ381" s="1"/>
      <c r="GK381" s="1"/>
      <c r="GL381" s="1"/>
      <c r="GM381" s="1"/>
      <c r="GN381" s="1"/>
      <c r="GP381" s="1"/>
      <c r="GQ381" s="1"/>
      <c r="GR381" s="1"/>
      <c r="GY381" s="1"/>
      <c r="HF381" s="1"/>
      <c r="HH381" s="1"/>
      <c r="HQ381" s="1"/>
      <c r="HT381" s="1"/>
      <c r="HY381" s="1"/>
      <c r="IE381" s="1"/>
      <c r="IS381" s="1"/>
      <c r="IZ381" s="1"/>
      <c r="JF381" s="1"/>
      <c r="JG381" s="1"/>
      <c r="JH381" s="1"/>
      <c r="JJ381" s="1"/>
      <c r="JN381" s="1"/>
      <c r="JP381" s="1"/>
      <c r="JQ381" s="1"/>
      <c r="JS381" s="1"/>
      <c r="JT381" s="1"/>
      <c r="JV381" s="1"/>
      <c r="KU381" s="1"/>
      <c r="KV381" s="1"/>
      <c r="KY381" s="1"/>
      <c r="KZ381" s="1"/>
      <c r="LA381" s="1"/>
      <c r="LB381" s="1"/>
      <c r="LC381" s="1"/>
      <c r="LD381" s="1"/>
      <c r="LN381" s="1"/>
      <c r="LO381" s="1"/>
      <c r="LP381" s="1"/>
      <c r="LZ381" s="1"/>
      <c r="MA381" s="1"/>
    </row>
    <row r="382" spans="4:339" ht="13" x14ac:dyDescent="0.15">
      <c r="D382" s="12"/>
      <c r="E382" s="12"/>
      <c r="I382" s="12"/>
      <c r="J382" s="13"/>
      <c r="BF382" s="1"/>
      <c r="BG382" s="1"/>
      <c r="BH382" s="1"/>
      <c r="BI382" s="1"/>
      <c r="BJ382" s="1"/>
      <c r="BK382" s="1"/>
      <c r="BL382" s="1"/>
      <c r="BM382" s="1"/>
      <c r="BN382" s="1"/>
      <c r="BO382" s="1"/>
      <c r="BP382" s="1"/>
      <c r="BQ382" s="1"/>
      <c r="BR382" s="1"/>
      <c r="CD382" s="1"/>
      <c r="CG382" s="1"/>
      <c r="CH382" s="1"/>
      <c r="CI382" s="1"/>
      <c r="CM382" s="2"/>
      <c r="CN382" s="1"/>
      <c r="CO382" s="1"/>
      <c r="CP382" s="1"/>
      <c r="CQ382" s="1"/>
      <c r="CS382" s="1"/>
      <c r="CT382" s="1"/>
      <c r="CU382" s="1"/>
      <c r="CV382" s="1"/>
      <c r="CW382" s="1"/>
      <c r="CX382" s="1"/>
      <c r="CY382" s="1"/>
      <c r="CZ382" s="1"/>
      <c r="DA382" s="1"/>
      <c r="DB382" s="1"/>
      <c r="DC382" s="1"/>
      <c r="DD382" s="1"/>
      <c r="DE382" s="1"/>
      <c r="DF382" s="1"/>
      <c r="DG382" s="1"/>
      <c r="DH382" s="1"/>
      <c r="DI382" s="1"/>
      <c r="DJ382" s="1"/>
      <c r="DK382" s="1"/>
      <c r="DM382" s="1"/>
      <c r="DQ382" s="1"/>
      <c r="DR382" s="1"/>
      <c r="DY382" s="1"/>
      <c r="DZ382" s="1"/>
      <c r="ED382" s="1"/>
      <c r="EK382" s="1"/>
      <c r="EL382" s="1"/>
      <c r="EM382" s="1"/>
      <c r="EN382" s="1"/>
      <c r="EQ382" s="1"/>
      <c r="ER382" s="1"/>
      <c r="ES382" s="1"/>
      <c r="EV382" s="1"/>
      <c r="EW382" s="1"/>
      <c r="EZ382" s="1"/>
      <c r="FA382" s="1"/>
      <c r="FD382" s="1"/>
      <c r="FG382" s="1"/>
      <c r="FH382" s="1"/>
      <c r="FI382" s="1"/>
      <c r="FJ382" s="1"/>
      <c r="FL382" s="1"/>
      <c r="FM382" s="1"/>
      <c r="FN382" s="1"/>
      <c r="FO382" s="1"/>
      <c r="FP382" s="1"/>
      <c r="FQ382" s="1"/>
      <c r="FS382" s="1"/>
      <c r="FT382" s="1"/>
      <c r="FU382" s="1"/>
      <c r="FV382" s="1"/>
      <c r="FW382" s="1"/>
      <c r="FX382" s="1"/>
      <c r="FY382" s="1"/>
      <c r="FZ382" s="1"/>
      <c r="GA382" s="1"/>
      <c r="GD382" s="1"/>
      <c r="GE382" s="1"/>
      <c r="GF382" s="1"/>
      <c r="GG382" s="1"/>
      <c r="GH382" s="1"/>
      <c r="GI382" s="1"/>
      <c r="GJ382" s="1"/>
      <c r="GK382" s="1"/>
      <c r="GL382" s="1"/>
      <c r="GM382" s="1"/>
      <c r="GN382" s="1"/>
      <c r="GO382" s="1"/>
      <c r="GR382" s="1"/>
      <c r="GV382" s="1"/>
      <c r="GY382" s="1"/>
      <c r="HE382" s="1"/>
      <c r="HF382" s="1"/>
      <c r="HN382" s="1"/>
      <c r="HY382" s="1"/>
      <c r="IE382" s="1"/>
      <c r="IR382" s="1"/>
      <c r="IS382" s="1"/>
      <c r="IW382" s="1"/>
      <c r="IZ382" s="1"/>
      <c r="JA382" s="1"/>
      <c r="JF382" s="1"/>
      <c r="JG382" s="1"/>
      <c r="JJ382" s="1"/>
      <c r="JP382" s="1"/>
      <c r="JQ382" s="1"/>
      <c r="JT382" s="1"/>
      <c r="KU382" s="1"/>
      <c r="KY382" s="1"/>
      <c r="KZ382" s="1"/>
      <c r="LA382" s="1"/>
      <c r="LB382" s="1"/>
      <c r="LC382" s="1"/>
      <c r="LD382" s="1"/>
      <c r="LO382" s="1"/>
      <c r="LP382" s="1"/>
      <c r="LZ382" s="1"/>
      <c r="MA382" s="1"/>
    </row>
    <row r="383" spans="4:339" ht="13" x14ac:dyDescent="0.15">
      <c r="D383" s="12"/>
      <c r="E383" s="12"/>
      <c r="I383" s="12"/>
      <c r="J383" s="13"/>
      <c r="BF383" s="1"/>
      <c r="BG383" s="1"/>
      <c r="BH383" s="1"/>
      <c r="BI383" s="1"/>
      <c r="BJ383" s="1"/>
      <c r="BK383" s="1"/>
      <c r="BL383" s="1"/>
      <c r="BM383" s="1"/>
      <c r="BN383" s="1"/>
      <c r="BO383" s="1"/>
      <c r="BP383" s="1"/>
      <c r="BQ383" s="1"/>
      <c r="BR383" s="1"/>
      <c r="CD383" s="1"/>
      <c r="CG383" s="1"/>
      <c r="CH383" s="1"/>
      <c r="CI383" s="1"/>
      <c r="CM383" s="2"/>
      <c r="CN383" s="1"/>
      <c r="CO383" s="1"/>
      <c r="CP383" s="1"/>
      <c r="CQ383" s="1"/>
      <c r="CS383" s="1"/>
      <c r="CT383" s="1"/>
      <c r="CU383" s="1"/>
      <c r="CV383" s="1"/>
      <c r="CW383" s="1"/>
      <c r="CX383" s="1"/>
      <c r="CY383" s="1"/>
      <c r="CZ383" s="1"/>
      <c r="DA383" s="1"/>
      <c r="DB383" s="1"/>
      <c r="DC383" s="1"/>
      <c r="DD383" s="1"/>
      <c r="DE383" s="1"/>
      <c r="DF383" s="1"/>
      <c r="DG383" s="1"/>
      <c r="DH383" s="1"/>
      <c r="DI383" s="1"/>
      <c r="DJ383" s="1"/>
      <c r="DK383" s="1"/>
      <c r="DM383" s="1"/>
      <c r="DQ383" s="1"/>
      <c r="DR383" s="1"/>
      <c r="DY383" s="1"/>
      <c r="DZ383" s="1"/>
      <c r="ED383" s="1"/>
      <c r="EK383" s="1"/>
      <c r="EL383" s="1"/>
      <c r="EM383" s="1"/>
      <c r="EN383" s="1"/>
      <c r="EQ383" s="1"/>
      <c r="ER383" s="1"/>
      <c r="ES383" s="1"/>
      <c r="EV383" s="1"/>
      <c r="EW383" s="1"/>
      <c r="EZ383" s="1"/>
      <c r="FA383" s="1"/>
      <c r="FD383" s="1"/>
      <c r="FG383" s="1"/>
      <c r="FH383" s="1"/>
      <c r="FI383" s="1"/>
      <c r="FJ383" s="1"/>
      <c r="FL383" s="1"/>
      <c r="FM383" s="1"/>
      <c r="FN383" s="1"/>
      <c r="FO383" s="1"/>
      <c r="FP383" s="1"/>
      <c r="FQ383" s="1"/>
      <c r="FS383" s="1"/>
      <c r="FT383" s="1"/>
      <c r="FU383" s="1"/>
      <c r="FV383" s="1"/>
      <c r="FW383" s="1"/>
      <c r="FX383" s="1"/>
      <c r="FY383" s="1"/>
      <c r="FZ383" s="1"/>
      <c r="GA383" s="1"/>
      <c r="GD383" s="1"/>
      <c r="GE383" s="1"/>
      <c r="GF383" s="1"/>
      <c r="GG383" s="1"/>
      <c r="GH383" s="1"/>
      <c r="GI383" s="1"/>
      <c r="GJ383" s="1"/>
      <c r="GK383" s="1"/>
      <c r="GL383" s="1"/>
      <c r="GM383" s="1"/>
      <c r="GN383" s="1"/>
      <c r="GO383" s="1"/>
      <c r="GR383" s="1"/>
      <c r="GV383" s="1"/>
      <c r="GY383" s="1"/>
      <c r="HE383" s="1"/>
      <c r="HF383" s="1"/>
      <c r="HN383" s="1"/>
      <c r="HY383" s="1"/>
      <c r="IE383" s="1"/>
      <c r="IR383" s="1"/>
      <c r="IS383" s="1"/>
      <c r="IW383" s="1"/>
      <c r="IZ383" s="1"/>
      <c r="JA383" s="1"/>
      <c r="JF383" s="1"/>
      <c r="JG383" s="1"/>
      <c r="JJ383" s="1"/>
      <c r="JP383" s="1"/>
      <c r="JQ383" s="1"/>
      <c r="JT383" s="1"/>
      <c r="KU383" s="1"/>
      <c r="KY383" s="1"/>
      <c r="KZ383" s="1"/>
      <c r="LA383" s="1"/>
      <c r="LB383" s="1"/>
      <c r="LC383" s="1"/>
      <c r="LD383" s="1"/>
      <c r="LO383" s="1"/>
      <c r="LP383" s="1"/>
      <c r="LZ383" s="1"/>
      <c r="MA383" s="1"/>
    </row>
    <row r="384" spans="4:339" ht="13" x14ac:dyDescent="0.15">
      <c r="D384" s="12"/>
      <c r="E384" s="12"/>
      <c r="I384" s="12"/>
      <c r="J384" s="13"/>
      <c r="BF384" s="1"/>
      <c r="BG384" s="1"/>
      <c r="BH384" s="1"/>
      <c r="BI384" s="1"/>
      <c r="BK384" s="1"/>
      <c r="BL384" s="1"/>
      <c r="BM384" s="1"/>
      <c r="BN384" s="1"/>
      <c r="BO384" s="1"/>
      <c r="BP384" s="1"/>
      <c r="BQ384" s="1"/>
      <c r="BR384" s="1"/>
      <c r="BX384" s="1"/>
      <c r="CD384" s="1"/>
      <c r="CE384" s="1"/>
      <c r="CF384" s="1"/>
      <c r="CG384" s="1"/>
      <c r="CH384" s="1"/>
      <c r="CI384" s="1"/>
      <c r="CM384" s="2"/>
      <c r="CN384" s="1"/>
      <c r="CO384" s="1"/>
      <c r="CP384" s="1"/>
      <c r="CQ384" s="1"/>
      <c r="CR384" s="1"/>
      <c r="CS384" s="1"/>
      <c r="CT384" s="1"/>
      <c r="CU384" s="1"/>
      <c r="CV384" s="1"/>
      <c r="CW384" s="1"/>
      <c r="CX384" s="1"/>
      <c r="CY384" s="1"/>
      <c r="CZ384" s="1"/>
      <c r="DA384" s="1"/>
      <c r="DB384" s="1"/>
      <c r="DC384" s="1"/>
      <c r="DD384" s="1"/>
      <c r="DE384" s="1"/>
      <c r="DF384" s="1"/>
      <c r="DG384" s="1"/>
      <c r="DH384" s="1"/>
      <c r="DI384" s="1"/>
      <c r="DJ384" s="1"/>
      <c r="DK384" s="1"/>
      <c r="DM384" s="1"/>
      <c r="DQ384" s="1"/>
      <c r="DR384" s="1"/>
      <c r="DY384" s="1"/>
      <c r="DZ384" s="1"/>
      <c r="ED384" s="1"/>
      <c r="EF384" s="1"/>
      <c r="EK384" s="1"/>
      <c r="EL384" s="1"/>
      <c r="EM384" s="1"/>
      <c r="EN384" s="1"/>
      <c r="EQ384" s="1"/>
      <c r="ER384" s="1"/>
      <c r="ES384" s="1"/>
      <c r="EV384" s="1"/>
      <c r="EW384" s="1"/>
      <c r="EZ384" s="1"/>
      <c r="FA384" s="1"/>
      <c r="FD384" s="1"/>
      <c r="FG384" s="1"/>
      <c r="FH384" s="1"/>
      <c r="FI384" s="1"/>
      <c r="FJ384" s="1"/>
      <c r="FK384" s="1"/>
      <c r="FL384" s="1"/>
      <c r="FM384" s="1"/>
      <c r="FN384" s="1"/>
      <c r="FO384" s="1"/>
      <c r="FP384" s="1"/>
      <c r="FQ384" s="1"/>
      <c r="FR384" s="1"/>
      <c r="FS384" s="1"/>
      <c r="FT384" s="1"/>
      <c r="FU384" s="1"/>
      <c r="FV384" s="1"/>
      <c r="FW384" s="1"/>
      <c r="FX384" s="1"/>
      <c r="FY384" s="1"/>
      <c r="FZ384" s="1"/>
      <c r="GA384" s="1"/>
      <c r="GB384" s="1"/>
      <c r="GD384" s="1"/>
      <c r="GE384" s="1"/>
      <c r="GF384" s="1"/>
      <c r="GG384" s="1"/>
      <c r="GH384" s="1"/>
      <c r="GI384" s="1"/>
      <c r="GJ384" s="1"/>
      <c r="GK384" s="1"/>
      <c r="GL384" s="1"/>
      <c r="GM384" s="1"/>
      <c r="GN384" s="1"/>
      <c r="GO384" s="1"/>
      <c r="GP384" s="1"/>
      <c r="GR384" s="1"/>
      <c r="GY384" s="1"/>
      <c r="HF384" s="1"/>
      <c r="HH384" s="1"/>
      <c r="HN384" s="1"/>
      <c r="HR384" s="1"/>
      <c r="HS384" s="1"/>
      <c r="HT384" s="1"/>
      <c r="HY384" s="1"/>
      <c r="IE384" s="1"/>
      <c r="IR384" s="1"/>
      <c r="IS384" s="1"/>
      <c r="IW384" s="1"/>
      <c r="IZ384" s="1"/>
      <c r="JA384" s="1"/>
      <c r="JG384" s="1"/>
      <c r="JJ384" s="1"/>
      <c r="JP384" s="1"/>
      <c r="JQ384" s="1"/>
      <c r="KU384" s="1"/>
      <c r="KW384" s="1"/>
      <c r="KY384" s="1"/>
      <c r="KZ384" s="1"/>
      <c r="LA384" s="1"/>
      <c r="LB384" s="1"/>
      <c r="LC384" s="1"/>
      <c r="LD384" s="1"/>
      <c r="LO384" s="1"/>
      <c r="LP384" s="1"/>
      <c r="LW384" s="1"/>
      <c r="LZ384" s="1"/>
      <c r="MA384" s="1"/>
    </row>
    <row r="385" spans="4:339" ht="13" x14ac:dyDescent="0.15">
      <c r="D385" s="12"/>
      <c r="E385" s="12"/>
      <c r="I385" s="12"/>
      <c r="J385" s="13"/>
      <c r="BF385" s="1"/>
      <c r="BG385" s="1"/>
      <c r="BH385" s="1"/>
      <c r="BI385" s="1"/>
      <c r="BK385" s="1"/>
      <c r="BL385" s="1"/>
      <c r="BM385" s="1"/>
      <c r="BN385" s="1"/>
      <c r="BO385" s="1"/>
      <c r="BP385" s="1"/>
      <c r="BQ385" s="1"/>
      <c r="BR385" s="1"/>
      <c r="BX385" s="1"/>
      <c r="CD385" s="1"/>
      <c r="CE385" s="1"/>
      <c r="CF385" s="1"/>
      <c r="CG385" s="1"/>
      <c r="CH385" s="1"/>
      <c r="CI385" s="1"/>
      <c r="CM385" s="2"/>
      <c r="CN385" s="1"/>
      <c r="CO385" s="1"/>
      <c r="CP385" s="1"/>
      <c r="CQ385" s="1"/>
      <c r="CR385" s="1"/>
      <c r="CS385" s="1"/>
      <c r="CT385" s="1"/>
      <c r="CU385" s="1"/>
      <c r="CV385" s="1"/>
      <c r="CW385" s="1"/>
      <c r="CX385" s="1"/>
      <c r="CY385" s="1"/>
      <c r="CZ385" s="1"/>
      <c r="DA385" s="1"/>
      <c r="DB385" s="1"/>
      <c r="DC385" s="1"/>
      <c r="DD385" s="1"/>
      <c r="DE385" s="1"/>
      <c r="DF385" s="1"/>
      <c r="DG385" s="1"/>
      <c r="DH385" s="1"/>
      <c r="DI385" s="1"/>
      <c r="DJ385" s="1"/>
      <c r="DK385" s="1"/>
      <c r="DM385" s="1"/>
      <c r="DQ385" s="1"/>
      <c r="DR385" s="1"/>
      <c r="DY385" s="1"/>
      <c r="DZ385" s="1"/>
      <c r="ED385" s="1"/>
      <c r="EF385" s="1"/>
      <c r="EK385" s="1"/>
      <c r="EL385" s="1"/>
      <c r="EM385" s="1"/>
      <c r="EN385" s="1"/>
      <c r="EQ385" s="1"/>
      <c r="ER385" s="1"/>
      <c r="ES385" s="1"/>
      <c r="EV385" s="1"/>
      <c r="EW385" s="1"/>
      <c r="EZ385" s="1"/>
      <c r="FA385" s="1"/>
      <c r="FD385" s="1"/>
      <c r="FG385" s="1"/>
      <c r="FH385" s="1"/>
      <c r="FI385" s="1"/>
      <c r="FJ385" s="1"/>
      <c r="FK385" s="1"/>
      <c r="FL385" s="1"/>
      <c r="FM385" s="1"/>
      <c r="FN385" s="1"/>
      <c r="FO385" s="1"/>
      <c r="FP385" s="1"/>
      <c r="FQ385" s="1"/>
      <c r="FR385" s="1"/>
      <c r="FS385" s="1"/>
      <c r="FT385" s="1"/>
      <c r="FU385" s="1"/>
      <c r="FV385" s="1"/>
      <c r="FW385" s="1"/>
      <c r="FX385" s="1"/>
      <c r="FY385" s="1"/>
      <c r="FZ385" s="1"/>
      <c r="GA385" s="1"/>
      <c r="GB385" s="1"/>
      <c r="GD385" s="1"/>
      <c r="GE385" s="1"/>
      <c r="GF385" s="1"/>
      <c r="GG385" s="1"/>
      <c r="GH385" s="1"/>
      <c r="GI385" s="1"/>
      <c r="GJ385" s="1"/>
      <c r="GK385" s="1"/>
      <c r="GL385" s="1"/>
      <c r="GM385" s="1"/>
      <c r="GN385" s="1"/>
      <c r="GO385" s="1"/>
      <c r="GP385" s="1"/>
      <c r="GR385" s="1"/>
      <c r="GY385" s="1"/>
      <c r="HF385" s="1"/>
      <c r="HH385" s="1"/>
      <c r="HN385" s="1"/>
      <c r="HR385" s="1"/>
      <c r="HS385" s="1"/>
      <c r="HT385" s="1"/>
      <c r="HY385" s="1"/>
      <c r="IE385" s="1"/>
      <c r="IR385" s="1"/>
      <c r="IS385" s="1"/>
      <c r="IW385" s="1"/>
      <c r="IZ385" s="1"/>
      <c r="JA385" s="1"/>
      <c r="JG385" s="1"/>
      <c r="JJ385" s="1"/>
      <c r="JP385" s="1"/>
      <c r="JQ385" s="1"/>
      <c r="KU385" s="1"/>
      <c r="KW385" s="1"/>
      <c r="KY385" s="1"/>
      <c r="KZ385" s="1"/>
      <c r="LA385" s="1"/>
      <c r="LB385" s="1"/>
      <c r="LC385" s="1"/>
      <c r="LD385" s="1"/>
      <c r="LO385" s="1"/>
      <c r="LP385" s="1"/>
      <c r="LW385" s="1"/>
      <c r="LZ385" s="1"/>
      <c r="MA385" s="1"/>
    </row>
    <row r="386" spans="4:339" ht="13" x14ac:dyDescent="0.15">
      <c r="D386" s="12"/>
      <c r="E386" s="12"/>
      <c r="I386" s="12"/>
      <c r="J386" s="13"/>
      <c r="BF386" s="1"/>
      <c r="BG386" s="1"/>
      <c r="BH386" s="1"/>
      <c r="BI386" s="1"/>
      <c r="BK386" s="1"/>
      <c r="BL386" s="1"/>
      <c r="BM386" s="1"/>
      <c r="BN386" s="1"/>
      <c r="BO386" s="1"/>
      <c r="BP386" s="1"/>
      <c r="BQ386" s="1"/>
      <c r="BR386" s="1"/>
      <c r="BX386" s="1"/>
      <c r="CD386" s="1"/>
      <c r="CE386" s="1"/>
      <c r="CF386" s="1"/>
      <c r="CG386" s="1"/>
      <c r="CH386" s="1"/>
      <c r="CI386" s="1"/>
      <c r="CM386" s="2"/>
      <c r="CN386" s="1"/>
      <c r="CO386" s="1"/>
      <c r="CP386" s="1"/>
      <c r="CQ386" s="1"/>
      <c r="CR386" s="1"/>
      <c r="CS386" s="1"/>
      <c r="CT386" s="1"/>
      <c r="CU386" s="1"/>
      <c r="CV386" s="1"/>
      <c r="CW386" s="1"/>
      <c r="CX386" s="1"/>
      <c r="CY386" s="1"/>
      <c r="CZ386" s="1"/>
      <c r="DA386" s="1"/>
      <c r="DB386" s="1"/>
      <c r="DC386" s="1"/>
      <c r="DD386" s="1"/>
      <c r="DE386" s="1"/>
      <c r="DF386" s="1"/>
      <c r="DG386" s="1"/>
      <c r="DH386" s="1"/>
      <c r="DI386" s="1"/>
      <c r="DJ386" s="1"/>
      <c r="DK386" s="1"/>
      <c r="DM386" s="1"/>
      <c r="DQ386" s="1"/>
      <c r="DR386" s="1"/>
      <c r="DY386" s="1"/>
      <c r="DZ386" s="1"/>
      <c r="ED386" s="1"/>
      <c r="EF386" s="1"/>
      <c r="EK386" s="1"/>
      <c r="EL386" s="1"/>
      <c r="EM386" s="1"/>
      <c r="EN386" s="1"/>
      <c r="EQ386" s="1"/>
      <c r="ER386" s="1"/>
      <c r="ES386" s="1"/>
      <c r="EV386" s="1"/>
      <c r="EW386" s="1"/>
      <c r="EZ386" s="1"/>
      <c r="FA386" s="1"/>
      <c r="FD386" s="1"/>
      <c r="FG386" s="1"/>
      <c r="FH386" s="1"/>
      <c r="FI386" s="1"/>
      <c r="FJ386" s="1"/>
      <c r="FK386" s="1"/>
      <c r="FL386" s="1"/>
      <c r="FM386" s="1"/>
      <c r="FN386" s="1"/>
      <c r="FO386" s="1"/>
      <c r="FP386" s="1"/>
      <c r="FQ386" s="1"/>
      <c r="FR386" s="1"/>
      <c r="FS386" s="1"/>
      <c r="FT386" s="1"/>
      <c r="FU386" s="1"/>
      <c r="FV386" s="1"/>
      <c r="FW386" s="1"/>
      <c r="FX386" s="1"/>
      <c r="FY386" s="1"/>
      <c r="FZ386" s="1"/>
      <c r="GA386" s="1"/>
      <c r="GB386" s="1"/>
      <c r="GD386" s="1"/>
      <c r="GE386" s="1"/>
      <c r="GF386" s="1"/>
      <c r="GG386" s="1"/>
      <c r="GH386" s="1"/>
      <c r="GI386" s="1"/>
      <c r="GJ386" s="1"/>
      <c r="GK386" s="1"/>
      <c r="GL386" s="1"/>
      <c r="GM386" s="1"/>
      <c r="GN386" s="1"/>
      <c r="GO386" s="1"/>
      <c r="GP386" s="1"/>
      <c r="GR386" s="1"/>
      <c r="GY386" s="1"/>
      <c r="HF386" s="1"/>
      <c r="HH386" s="1"/>
      <c r="HN386" s="1"/>
      <c r="HR386" s="1"/>
      <c r="HS386" s="1"/>
      <c r="HT386" s="1"/>
      <c r="HY386" s="1"/>
      <c r="IE386" s="1"/>
      <c r="IR386" s="1"/>
      <c r="IS386" s="1"/>
      <c r="IW386" s="1"/>
      <c r="IZ386" s="1"/>
      <c r="JA386" s="1"/>
      <c r="JG386" s="1"/>
      <c r="JJ386" s="1"/>
      <c r="JP386" s="1"/>
      <c r="JQ386" s="1"/>
      <c r="KU386" s="1"/>
      <c r="KW386" s="1"/>
      <c r="KY386" s="1"/>
      <c r="KZ386" s="1"/>
      <c r="LA386" s="1"/>
      <c r="LB386" s="1"/>
      <c r="LC386" s="1"/>
      <c r="LD386" s="1"/>
      <c r="LO386" s="1"/>
      <c r="LP386" s="1"/>
      <c r="LW386" s="1"/>
      <c r="LZ386" s="1"/>
      <c r="MA386" s="1"/>
    </row>
    <row r="387" spans="4:339" ht="13" x14ac:dyDescent="0.15">
      <c r="D387" s="12"/>
      <c r="E387" s="12"/>
      <c r="I387" s="12"/>
      <c r="J387" s="13"/>
      <c r="BF387" s="1"/>
      <c r="BG387" s="1"/>
      <c r="BH387" s="1"/>
      <c r="BI387" s="1"/>
      <c r="BK387" s="1"/>
      <c r="BL387" s="1"/>
      <c r="BM387" s="1"/>
      <c r="BN387" s="1"/>
      <c r="BO387" s="1"/>
      <c r="BP387" s="1"/>
      <c r="BQ387" s="1"/>
      <c r="BR387" s="1"/>
      <c r="BX387" s="1"/>
      <c r="CD387" s="1"/>
      <c r="CE387" s="1"/>
      <c r="CF387" s="1"/>
      <c r="CG387" s="1"/>
      <c r="CH387" s="1"/>
      <c r="CI387" s="1"/>
      <c r="CM387" s="2"/>
      <c r="CN387" s="1"/>
      <c r="CO387" s="1"/>
      <c r="CP387" s="1"/>
      <c r="CQ387" s="1"/>
      <c r="CR387" s="1"/>
      <c r="CS387" s="1"/>
      <c r="CT387" s="1"/>
      <c r="CU387" s="1"/>
      <c r="CV387" s="1"/>
      <c r="CW387" s="1"/>
      <c r="CX387" s="1"/>
      <c r="CY387" s="1"/>
      <c r="CZ387" s="1"/>
      <c r="DA387" s="1"/>
      <c r="DB387" s="1"/>
      <c r="DC387" s="1"/>
      <c r="DD387" s="1"/>
      <c r="DE387" s="1"/>
      <c r="DF387" s="1"/>
      <c r="DG387" s="1"/>
      <c r="DH387" s="1"/>
      <c r="DI387" s="1"/>
      <c r="DJ387" s="1"/>
      <c r="DK387" s="1"/>
      <c r="DM387" s="1"/>
      <c r="DQ387" s="1"/>
      <c r="DR387" s="1"/>
      <c r="DY387" s="1"/>
      <c r="DZ387" s="1"/>
      <c r="ED387" s="1"/>
      <c r="EF387" s="1"/>
      <c r="EK387" s="1"/>
      <c r="EL387" s="1"/>
      <c r="EM387" s="1"/>
      <c r="EN387" s="1"/>
      <c r="EQ387" s="1"/>
      <c r="ER387" s="1"/>
      <c r="ES387" s="1"/>
      <c r="EV387" s="1"/>
      <c r="EW387" s="1"/>
      <c r="EZ387" s="1"/>
      <c r="FA387" s="1"/>
      <c r="FD387" s="1"/>
      <c r="FG387" s="1"/>
      <c r="FH387" s="1"/>
      <c r="FI387" s="1"/>
      <c r="FJ387" s="1"/>
      <c r="FK387" s="1"/>
      <c r="FL387" s="1"/>
      <c r="FM387" s="1"/>
      <c r="FN387" s="1"/>
      <c r="FO387" s="1"/>
      <c r="FP387" s="1"/>
      <c r="FQ387" s="1"/>
      <c r="FR387" s="1"/>
      <c r="FS387" s="1"/>
      <c r="FT387" s="1"/>
      <c r="FU387" s="1"/>
      <c r="FV387" s="1"/>
      <c r="FW387" s="1"/>
      <c r="FX387" s="1"/>
      <c r="FY387" s="1"/>
      <c r="FZ387" s="1"/>
      <c r="GA387" s="1"/>
      <c r="GB387" s="1"/>
      <c r="GD387" s="1"/>
      <c r="GE387" s="1"/>
      <c r="GF387" s="1"/>
      <c r="GG387" s="1"/>
      <c r="GH387" s="1"/>
      <c r="GI387" s="1"/>
      <c r="GJ387" s="1"/>
      <c r="GK387" s="1"/>
      <c r="GL387" s="1"/>
      <c r="GM387" s="1"/>
      <c r="GN387" s="1"/>
      <c r="GO387" s="1"/>
      <c r="GP387" s="1"/>
      <c r="GR387" s="1"/>
      <c r="GY387" s="1"/>
      <c r="HF387" s="1"/>
      <c r="HH387" s="1"/>
      <c r="HN387" s="1"/>
      <c r="HR387" s="1"/>
      <c r="HS387" s="1"/>
      <c r="HT387" s="1"/>
      <c r="HY387" s="1"/>
      <c r="IE387" s="1"/>
      <c r="IR387" s="1"/>
      <c r="IS387" s="1"/>
      <c r="IW387" s="1"/>
      <c r="IZ387" s="1"/>
      <c r="JA387" s="1"/>
      <c r="JG387" s="1"/>
      <c r="JJ387" s="1"/>
      <c r="JP387" s="1"/>
      <c r="JQ387" s="1"/>
      <c r="KU387" s="1"/>
      <c r="KW387" s="1"/>
      <c r="KY387" s="1"/>
      <c r="KZ387" s="1"/>
      <c r="LA387" s="1"/>
      <c r="LB387" s="1"/>
      <c r="LC387" s="1"/>
      <c r="LD387" s="1"/>
      <c r="LO387" s="1"/>
      <c r="LP387" s="1"/>
      <c r="LW387" s="1"/>
      <c r="LZ387" s="1"/>
      <c r="MA387" s="1"/>
    </row>
    <row r="388" spans="4:339" ht="13" x14ac:dyDescent="0.15">
      <c r="D388" s="12"/>
      <c r="E388" s="12"/>
      <c r="I388" s="12"/>
      <c r="J388" s="13"/>
      <c r="BF388" s="1"/>
      <c r="BG388" s="1"/>
      <c r="BH388" s="1"/>
      <c r="BI388" s="1"/>
      <c r="BK388" s="1"/>
      <c r="BL388" s="1"/>
      <c r="BM388" s="1"/>
      <c r="BN388" s="1"/>
      <c r="BO388" s="1"/>
      <c r="BP388" s="1"/>
      <c r="BQ388" s="1"/>
      <c r="BR388" s="1"/>
      <c r="BX388" s="1"/>
      <c r="CD388" s="1"/>
      <c r="CE388" s="1"/>
      <c r="CF388" s="1"/>
      <c r="CG388" s="1"/>
      <c r="CH388" s="1"/>
      <c r="CI388" s="1"/>
      <c r="CM388" s="2"/>
      <c r="CN388" s="1"/>
      <c r="CO388" s="1"/>
      <c r="CP388" s="1"/>
      <c r="CQ388" s="1"/>
      <c r="CR388" s="1"/>
      <c r="CS388" s="1"/>
      <c r="CT388" s="1"/>
      <c r="CU388" s="1"/>
      <c r="CV388" s="1"/>
      <c r="CW388" s="1"/>
      <c r="CX388" s="1"/>
      <c r="CY388" s="1"/>
      <c r="CZ388" s="1"/>
      <c r="DA388" s="1"/>
      <c r="DB388" s="1"/>
      <c r="DC388" s="1"/>
      <c r="DD388" s="1"/>
      <c r="DE388" s="1"/>
      <c r="DF388" s="1"/>
      <c r="DG388" s="1"/>
      <c r="DH388" s="1"/>
      <c r="DI388" s="1"/>
      <c r="DJ388" s="1"/>
      <c r="DK388" s="1"/>
      <c r="DM388" s="1"/>
      <c r="DQ388" s="1"/>
      <c r="DR388" s="1"/>
      <c r="DY388" s="1"/>
      <c r="DZ388" s="1"/>
      <c r="ED388" s="1"/>
      <c r="EF388" s="1"/>
      <c r="EK388" s="1"/>
      <c r="EL388" s="1"/>
      <c r="EM388" s="1"/>
      <c r="EN388" s="1"/>
      <c r="EQ388" s="1"/>
      <c r="ER388" s="1"/>
      <c r="ES388" s="1"/>
      <c r="EV388" s="1"/>
      <c r="EW388" s="1"/>
      <c r="EZ388" s="1"/>
      <c r="FA388" s="1"/>
      <c r="FD388" s="1"/>
      <c r="FG388" s="1"/>
      <c r="FH388" s="1"/>
      <c r="FI388" s="1"/>
      <c r="FJ388" s="1"/>
      <c r="FK388" s="1"/>
      <c r="FL388" s="1"/>
      <c r="FM388" s="1"/>
      <c r="FN388" s="1"/>
      <c r="FO388" s="1"/>
      <c r="FP388" s="1"/>
      <c r="FQ388" s="1"/>
      <c r="FR388" s="1"/>
      <c r="FS388" s="1"/>
      <c r="FT388" s="1"/>
      <c r="FU388" s="1"/>
      <c r="FV388" s="1"/>
      <c r="FW388" s="1"/>
      <c r="FX388" s="1"/>
      <c r="FY388" s="1"/>
      <c r="FZ388" s="1"/>
      <c r="GA388" s="1"/>
      <c r="GB388" s="1"/>
      <c r="GD388" s="1"/>
      <c r="GE388" s="1"/>
      <c r="GF388" s="1"/>
      <c r="GG388" s="1"/>
      <c r="GH388" s="1"/>
      <c r="GI388" s="1"/>
      <c r="GJ388" s="1"/>
      <c r="GK388" s="1"/>
      <c r="GL388" s="1"/>
      <c r="GM388" s="1"/>
      <c r="GN388" s="1"/>
      <c r="GO388" s="1"/>
      <c r="GP388" s="1"/>
      <c r="GR388" s="1"/>
      <c r="GY388" s="1"/>
      <c r="HF388" s="1"/>
      <c r="HH388" s="1"/>
      <c r="HN388" s="1"/>
      <c r="HR388" s="1"/>
      <c r="HS388" s="1"/>
      <c r="HT388" s="1"/>
      <c r="HY388" s="1"/>
      <c r="IE388" s="1"/>
      <c r="IR388" s="1"/>
      <c r="IS388" s="1"/>
      <c r="IW388" s="1"/>
      <c r="IZ388" s="1"/>
      <c r="JA388" s="1"/>
      <c r="JG388" s="1"/>
      <c r="JJ388" s="1"/>
      <c r="JP388" s="1"/>
      <c r="JQ388" s="1"/>
      <c r="KU388" s="1"/>
      <c r="KW388" s="1"/>
      <c r="KY388" s="1"/>
      <c r="KZ388" s="1"/>
      <c r="LA388" s="1"/>
      <c r="LB388" s="1"/>
      <c r="LC388" s="1"/>
      <c r="LD388" s="1"/>
      <c r="LO388" s="1"/>
      <c r="LP388" s="1"/>
      <c r="LW388" s="1"/>
      <c r="LZ388" s="1"/>
      <c r="MA388" s="1"/>
    </row>
    <row r="389" spans="4:339" ht="13" x14ac:dyDescent="0.15">
      <c r="D389" s="12"/>
      <c r="E389" s="12"/>
      <c r="I389" s="12"/>
      <c r="J389" s="13"/>
      <c r="BF389" s="1"/>
      <c r="BG389" s="1"/>
      <c r="BH389" s="1"/>
      <c r="BI389" s="1"/>
      <c r="BK389" s="1"/>
      <c r="BL389" s="1"/>
      <c r="BM389" s="1"/>
      <c r="BN389" s="1"/>
      <c r="BO389" s="1"/>
      <c r="BP389" s="1"/>
      <c r="BQ389" s="1"/>
      <c r="BR389" s="1"/>
      <c r="BX389" s="1"/>
      <c r="CD389" s="1"/>
      <c r="CE389" s="1"/>
      <c r="CF389" s="1"/>
      <c r="CG389" s="1"/>
      <c r="CH389" s="1"/>
      <c r="CI389" s="1"/>
      <c r="CM389" s="2"/>
      <c r="CN389" s="1"/>
      <c r="CO389" s="1"/>
      <c r="CP389" s="1"/>
      <c r="CQ389" s="1"/>
      <c r="CR389" s="1"/>
      <c r="CS389" s="1"/>
      <c r="CT389" s="1"/>
      <c r="CU389" s="1"/>
      <c r="CV389" s="1"/>
      <c r="CW389" s="1"/>
      <c r="CX389" s="1"/>
      <c r="CY389" s="1"/>
      <c r="CZ389" s="1"/>
      <c r="DA389" s="1"/>
      <c r="DB389" s="1"/>
      <c r="DC389" s="1"/>
      <c r="DD389" s="1"/>
      <c r="DE389" s="1"/>
      <c r="DF389" s="1"/>
      <c r="DG389" s="1"/>
      <c r="DH389" s="1"/>
      <c r="DI389" s="1"/>
      <c r="DJ389" s="1"/>
      <c r="DK389" s="1"/>
      <c r="DM389" s="1"/>
      <c r="DQ389" s="1"/>
      <c r="DR389" s="1"/>
      <c r="DY389" s="1"/>
      <c r="DZ389" s="1"/>
      <c r="ED389" s="1"/>
      <c r="EF389" s="1"/>
      <c r="EK389" s="1"/>
      <c r="EL389" s="1"/>
      <c r="EM389" s="1"/>
      <c r="EN389" s="1"/>
      <c r="EQ389" s="1"/>
      <c r="ER389" s="1"/>
      <c r="ES389" s="1"/>
      <c r="EV389" s="1"/>
      <c r="EW389" s="1"/>
      <c r="EZ389" s="1"/>
      <c r="FA389" s="1"/>
      <c r="FD389" s="1"/>
      <c r="FG389" s="1"/>
      <c r="FH389" s="1"/>
      <c r="FI389" s="1"/>
      <c r="FJ389" s="1"/>
      <c r="FK389" s="1"/>
      <c r="FL389" s="1"/>
      <c r="FM389" s="1"/>
      <c r="FN389" s="1"/>
      <c r="FO389" s="1"/>
      <c r="FP389" s="1"/>
      <c r="FQ389" s="1"/>
      <c r="FR389" s="1"/>
      <c r="FS389" s="1"/>
      <c r="FT389" s="1"/>
      <c r="FU389" s="1"/>
      <c r="FV389" s="1"/>
      <c r="FW389" s="1"/>
      <c r="FX389" s="1"/>
      <c r="FY389" s="1"/>
      <c r="FZ389" s="1"/>
      <c r="GA389" s="1"/>
      <c r="GB389" s="1"/>
      <c r="GD389" s="1"/>
      <c r="GE389" s="1"/>
      <c r="GF389" s="1"/>
      <c r="GG389" s="1"/>
      <c r="GH389" s="1"/>
      <c r="GI389" s="1"/>
      <c r="GJ389" s="1"/>
      <c r="GK389" s="1"/>
      <c r="GL389" s="1"/>
      <c r="GM389" s="1"/>
      <c r="GN389" s="1"/>
      <c r="GO389" s="1"/>
      <c r="GP389" s="1"/>
      <c r="GR389" s="1"/>
      <c r="GY389" s="1"/>
      <c r="HF389" s="1"/>
      <c r="HH389" s="1"/>
      <c r="HN389" s="1"/>
      <c r="HR389" s="1"/>
      <c r="HS389" s="1"/>
      <c r="HT389" s="1"/>
      <c r="HY389" s="1"/>
      <c r="IE389" s="1"/>
      <c r="IR389" s="1"/>
      <c r="IS389" s="1"/>
      <c r="IW389" s="1"/>
      <c r="IZ389" s="1"/>
      <c r="JA389" s="1"/>
      <c r="JG389" s="1"/>
      <c r="JJ389" s="1"/>
      <c r="JP389" s="1"/>
      <c r="JQ389" s="1"/>
      <c r="KU389" s="1"/>
      <c r="KW389" s="1"/>
      <c r="KY389" s="1"/>
      <c r="KZ389" s="1"/>
      <c r="LA389" s="1"/>
      <c r="LB389" s="1"/>
      <c r="LC389" s="1"/>
      <c r="LD389" s="1"/>
      <c r="LO389" s="1"/>
      <c r="LP389" s="1"/>
      <c r="LW389" s="1"/>
      <c r="LZ389" s="1"/>
      <c r="MA389" s="1"/>
    </row>
    <row r="390" spans="4:339" ht="13" x14ac:dyDescent="0.15">
      <c r="D390" s="12"/>
      <c r="E390" s="12"/>
      <c r="I390" s="12"/>
      <c r="J390" s="13"/>
      <c r="BF390" s="1"/>
      <c r="BG390" s="1"/>
      <c r="BH390" s="1"/>
      <c r="BI390" s="1"/>
      <c r="BK390" s="1"/>
      <c r="BL390" s="1"/>
      <c r="BM390" s="1"/>
      <c r="BN390" s="1"/>
      <c r="BO390" s="1"/>
      <c r="BP390" s="1"/>
      <c r="BQ390" s="1"/>
      <c r="BR390" s="1"/>
      <c r="BX390" s="1"/>
      <c r="CD390" s="1"/>
      <c r="CE390" s="1"/>
      <c r="CF390" s="1"/>
      <c r="CG390" s="1"/>
      <c r="CH390" s="1"/>
      <c r="CI390" s="1"/>
      <c r="CM390" s="2"/>
      <c r="CN390" s="1"/>
      <c r="CO390" s="1"/>
      <c r="CP390" s="1"/>
      <c r="CQ390" s="1"/>
      <c r="CR390" s="1"/>
      <c r="CS390" s="1"/>
      <c r="CT390" s="1"/>
      <c r="CU390" s="1"/>
      <c r="CV390" s="1"/>
      <c r="CW390" s="1"/>
      <c r="CX390" s="1"/>
      <c r="CY390" s="1"/>
      <c r="CZ390" s="1"/>
      <c r="DA390" s="1"/>
      <c r="DB390" s="1"/>
      <c r="DC390" s="1"/>
      <c r="DD390" s="1"/>
      <c r="DE390" s="1"/>
      <c r="DF390" s="1"/>
      <c r="DG390" s="1"/>
      <c r="DH390" s="1"/>
      <c r="DI390" s="1"/>
      <c r="DJ390" s="1"/>
      <c r="DK390" s="1"/>
      <c r="DM390" s="1"/>
      <c r="DQ390" s="1"/>
      <c r="DR390" s="1"/>
      <c r="DY390" s="1"/>
      <c r="DZ390" s="1"/>
      <c r="ED390" s="1"/>
      <c r="EF390" s="1"/>
      <c r="EK390" s="1"/>
      <c r="EL390" s="1"/>
      <c r="EM390" s="1"/>
      <c r="EN390" s="1"/>
      <c r="EQ390" s="1"/>
      <c r="ER390" s="1"/>
      <c r="ES390" s="1"/>
      <c r="EV390" s="1"/>
      <c r="EW390" s="1"/>
      <c r="EZ390" s="1"/>
      <c r="FA390" s="1"/>
      <c r="FD390" s="1"/>
      <c r="FG390" s="1"/>
      <c r="FH390" s="1"/>
      <c r="FI390" s="1"/>
      <c r="FJ390" s="1"/>
      <c r="FK390" s="1"/>
      <c r="FL390" s="1"/>
      <c r="FM390" s="1"/>
      <c r="FN390" s="1"/>
      <c r="FO390" s="1"/>
      <c r="FP390" s="1"/>
      <c r="FQ390" s="1"/>
      <c r="FR390" s="1"/>
      <c r="FS390" s="1"/>
      <c r="FT390" s="1"/>
      <c r="FU390" s="1"/>
      <c r="FV390" s="1"/>
      <c r="FW390" s="1"/>
      <c r="FX390" s="1"/>
      <c r="FY390" s="1"/>
      <c r="FZ390" s="1"/>
      <c r="GA390" s="1"/>
      <c r="GB390" s="1"/>
      <c r="GD390" s="1"/>
      <c r="GE390" s="1"/>
      <c r="GF390" s="1"/>
      <c r="GG390" s="1"/>
      <c r="GH390" s="1"/>
      <c r="GI390" s="1"/>
      <c r="GJ390" s="1"/>
      <c r="GK390" s="1"/>
      <c r="GL390" s="1"/>
      <c r="GM390" s="1"/>
      <c r="GN390" s="1"/>
      <c r="GO390" s="1"/>
      <c r="GP390" s="1"/>
      <c r="GR390" s="1"/>
      <c r="GY390" s="1"/>
      <c r="HF390" s="1"/>
      <c r="HH390" s="1"/>
      <c r="HN390" s="1"/>
      <c r="HR390" s="1"/>
      <c r="HS390" s="1"/>
      <c r="HT390" s="1"/>
      <c r="HY390" s="1"/>
      <c r="IE390" s="1"/>
      <c r="IR390" s="1"/>
      <c r="IS390" s="1"/>
      <c r="IW390" s="1"/>
      <c r="IZ390" s="1"/>
      <c r="JA390" s="1"/>
      <c r="JG390" s="1"/>
      <c r="JJ390" s="1"/>
      <c r="JP390" s="1"/>
      <c r="JQ390" s="1"/>
      <c r="KU390" s="1"/>
      <c r="KW390" s="1"/>
      <c r="KY390" s="1"/>
      <c r="KZ390" s="1"/>
      <c r="LA390" s="1"/>
      <c r="LB390" s="1"/>
      <c r="LC390" s="1"/>
      <c r="LD390" s="1"/>
      <c r="LO390" s="1"/>
      <c r="LP390" s="1"/>
      <c r="LW390" s="1"/>
      <c r="LZ390" s="1"/>
      <c r="MA390" s="1"/>
    </row>
    <row r="391" spans="4:339" ht="13" x14ac:dyDescent="0.15">
      <c r="D391" s="12"/>
      <c r="E391" s="12"/>
      <c r="I391" s="12"/>
      <c r="J391" s="13"/>
      <c r="BF391" s="1"/>
      <c r="BG391" s="1"/>
      <c r="BH391" s="1"/>
      <c r="BI391" s="1"/>
      <c r="BK391" s="1"/>
      <c r="BL391" s="1"/>
      <c r="BM391" s="1"/>
      <c r="BN391" s="1"/>
      <c r="BO391" s="1"/>
      <c r="BP391" s="1"/>
      <c r="BQ391" s="1"/>
      <c r="BR391" s="1"/>
      <c r="BX391" s="1"/>
      <c r="CD391" s="1"/>
      <c r="CE391" s="1"/>
      <c r="CF391" s="1"/>
      <c r="CG391" s="1"/>
      <c r="CH391" s="1"/>
      <c r="CI391" s="1"/>
      <c r="CM391" s="2"/>
      <c r="CN391" s="1"/>
      <c r="CO391" s="1"/>
      <c r="CP391" s="1"/>
      <c r="CQ391" s="1"/>
      <c r="CR391" s="1"/>
      <c r="CS391" s="1"/>
      <c r="CT391" s="1"/>
      <c r="CU391" s="1"/>
      <c r="CV391" s="1"/>
      <c r="CW391" s="1"/>
      <c r="CX391" s="1"/>
      <c r="CY391" s="1"/>
      <c r="CZ391" s="1"/>
      <c r="DA391" s="1"/>
      <c r="DB391" s="1"/>
      <c r="DC391" s="1"/>
      <c r="DD391" s="1"/>
      <c r="DE391" s="1"/>
      <c r="DF391" s="1"/>
      <c r="DG391" s="1"/>
      <c r="DH391" s="1"/>
      <c r="DI391" s="1"/>
      <c r="DJ391" s="1"/>
      <c r="DK391" s="1"/>
      <c r="DM391" s="1"/>
      <c r="DQ391" s="1"/>
      <c r="DR391" s="1"/>
      <c r="DY391" s="1"/>
      <c r="DZ391" s="1"/>
      <c r="ED391" s="1"/>
      <c r="EF391" s="1"/>
      <c r="EK391" s="1"/>
      <c r="EL391" s="1"/>
      <c r="EM391" s="1"/>
      <c r="EN391" s="1"/>
      <c r="EQ391" s="1"/>
      <c r="ER391" s="1"/>
      <c r="ES391" s="1"/>
      <c r="EV391" s="1"/>
      <c r="EW391" s="1"/>
      <c r="EZ391" s="1"/>
      <c r="FA391" s="1"/>
      <c r="FD391" s="1"/>
      <c r="FG391" s="1"/>
      <c r="FH391" s="1"/>
      <c r="FI391" s="1"/>
      <c r="FJ391" s="1"/>
      <c r="FK391" s="1"/>
      <c r="FL391" s="1"/>
      <c r="FM391" s="1"/>
      <c r="FN391" s="1"/>
      <c r="FO391" s="1"/>
      <c r="FP391" s="1"/>
      <c r="FQ391" s="1"/>
      <c r="FR391" s="1"/>
      <c r="FS391" s="1"/>
      <c r="FT391" s="1"/>
      <c r="FU391" s="1"/>
      <c r="FV391" s="1"/>
      <c r="FW391" s="1"/>
      <c r="FX391" s="1"/>
      <c r="FY391" s="1"/>
      <c r="FZ391" s="1"/>
      <c r="GA391" s="1"/>
      <c r="GB391" s="1"/>
      <c r="GD391" s="1"/>
      <c r="GE391" s="1"/>
      <c r="GF391" s="1"/>
      <c r="GG391" s="1"/>
      <c r="GH391" s="1"/>
      <c r="GI391" s="1"/>
      <c r="GJ391" s="1"/>
      <c r="GK391" s="1"/>
      <c r="GL391" s="1"/>
      <c r="GM391" s="1"/>
      <c r="GN391" s="1"/>
      <c r="GO391" s="1"/>
      <c r="GP391" s="1"/>
      <c r="GR391" s="1"/>
      <c r="GY391" s="1"/>
      <c r="HF391" s="1"/>
      <c r="HH391" s="1"/>
      <c r="HN391" s="1"/>
      <c r="HR391" s="1"/>
      <c r="HS391" s="1"/>
      <c r="HT391" s="1"/>
      <c r="HY391" s="1"/>
      <c r="IE391" s="1"/>
      <c r="IR391" s="1"/>
      <c r="IS391" s="1"/>
      <c r="IW391" s="1"/>
      <c r="IZ391" s="1"/>
      <c r="JA391" s="1"/>
      <c r="JG391" s="1"/>
      <c r="JJ391" s="1"/>
      <c r="JP391" s="1"/>
      <c r="JQ391" s="1"/>
      <c r="KU391" s="1"/>
      <c r="KW391" s="1"/>
      <c r="KY391" s="1"/>
      <c r="KZ391" s="1"/>
      <c r="LA391" s="1"/>
      <c r="LB391" s="1"/>
      <c r="LC391" s="1"/>
      <c r="LD391" s="1"/>
      <c r="LO391" s="1"/>
      <c r="LP391" s="1"/>
      <c r="LW391" s="1"/>
      <c r="LZ391" s="1"/>
      <c r="MA391" s="1"/>
    </row>
    <row r="392" spans="4:339" ht="13" x14ac:dyDescent="0.15">
      <c r="D392" s="12"/>
      <c r="E392" s="12"/>
      <c r="I392" s="12"/>
      <c r="J392" s="13"/>
      <c r="BF392" s="1"/>
      <c r="BG392" s="1"/>
      <c r="BH392" s="1"/>
      <c r="BI392" s="1"/>
      <c r="BK392" s="1"/>
      <c r="BL392" s="1"/>
      <c r="BM392" s="1"/>
      <c r="BN392" s="1"/>
      <c r="BO392" s="1"/>
      <c r="BP392" s="1"/>
      <c r="BQ392" s="1"/>
      <c r="BR392" s="1"/>
      <c r="BX392" s="1"/>
      <c r="CD392" s="1"/>
      <c r="CE392" s="1"/>
      <c r="CF392" s="1"/>
      <c r="CG392" s="1"/>
      <c r="CH392" s="1"/>
      <c r="CI392" s="1"/>
      <c r="CM392" s="2"/>
      <c r="CN392" s="1"/>
      <c r="CO392" s="1"/>
      <c r="CP392" s="1"/>
      <c r="CQ392" s="1"/>
      <c r="CR392" s="1"/>
      <c r="CS392" s="1"/>
      <c r="CT392" s="1"/>
      <c r="CU392" s="1"/>
      <c r="CV392" s="1"/>
      <c r="CW392" s="1"/>
      <c r="CX392" s="1"/>
      <c r="CY392" s="1"/>
      <c r="CZ392" s="1"/>
      <c r="DA392" s="1"/>
      <c r="DB392" s="1"/>
      <c r="DC392" s="1"/>
      <c r="DD392" s="1"/>
      <c r="DE392" s="1"/>
      <c r="DF392" s="1"/>
      <c r="DG392" s="1"/>
      <c r="DH392" s="1"/>
      <c r="DI392" s="1"/>
      <c r="DJ392" s="1"/>
      <c r="DK392" s="1"/>
      <c r="DM392" s="1"/>
      <c r="DQ392" s="1"/>
      <c r="DR392" s="1"/>
      <c r="DY392" s="1"/>
      <c r="DZ392" s="1"/>
      <c r="ED392" s="1"/>
      <c r="EF392" s="1"/>
      <c r="EK392" s="1"/>
      <c r="EL392" s="1"/>
      <c r="EM392" s="1"/>
      <c r="EN392" s="1"/>
      <c r="EQ392" s="1"/>
      <c r="ER392" s="1"/>
      <c r="ES392" s="1"/>
      <c r="EV392" s="1"/>
      <c r="EW392" s="1"/>
      <c r="EZ392" s="1"/>
      <c r="FA392" s="1"/>
      <c r="FD392" s="1"/>
      <c r="FG392" s="1"/>
      <c r="FH392" s="1"/>
      <c r="FI392" s="1"/>
      <c r="FJ392" s="1"/>
      <c r="FK392" s="1"/>
      <c r="FL392" s="1"/>
      <c r="FM392" s="1"/>
      <c r="FN392" s="1"/>
      <c r="FO392" s="1"/>
      <c r="FP392" s="1"/>
      <c r="FQ392" s="1"/>
      <c r="FR392" s="1"/>
      <c r="FS392" s="1"/>
      <c r="FT392" s="1"/>
      <c r="FU392" s="1"/>
      <c r="FV392" s="1"/>
      <c r="FW392" s="1"/>
      <c r="FX392" s="1"/>
      <c r="FY392" s="1"/>
      <c r="FZ392" s="1"/>
      <c r="GA392" s="1"/>
      <c r="GB392" s="1"/>
      <c r="GD392" s="1"/>
      <c r="GE392" s="1"/>
      <c r="GF392" s="1"/>
      <c r="GG392" s="1"/>
      <c r="GH392" s="1"/>
      <c r="GI392" s="1"/>
      <c r="GJ392" s="1"/>
      <c r="GK392" s="1"/>
      <c r="GL392" s="1"/>
      <c r="GM392" s="1"/>
      <c r="GN392" s="1"/>
      <c r="GO392" s="1"/>
      <c r="GP392" s="1"/>
      <c r="GR392" s="1"/>
      <c r="GY392" s="1"/>
      <c r="HF392" s="1"/>
      <c r="HH392" s="1"/>
      <c r="HN392" s="1"/>
      <c r="HR392" s="1"/>
      <c r="HS392" s="1"/>
      <c r="HT392" s="1"/>
      <c r="HY392" s="1"/>
      <c r="IE392" s="1"/>
      <c r="IR392" s="1"/>
      <c r="IS392" s="1"/>
      <c r="IW392" s="1"/>
      <c r="IZ392" s="1"/>
      <c r="JA392" s="1"/>
      <c r="JG392" s="1"/>
      <c r="JJ392" s="1"/>
      <c r="JP392" s="1"/>
      <c r="JQ392" s="1"/>
      <c r="KU392" s="1"/>
      <c r="KW392" s="1"/>
      <c r="KY392" s="1"/>
      <c r="KZ392" s="1"/>
      <c r="LA392" s="1"/>
      <c r="LB392" s="1"/>
      <c r="LC392" s="1"/>
      <c r="LD392" s="1"/>
      <c r="LO392" s="1"/>
      <c r="LP392" s="1"/>
      <c r="LW392" s="1"/>
      <c r="LZ392" s="1"/>
      <c r="MA392" s="1"/>
    </row>
    <row r="393" spans="4:339" ht="13" x14ac:dyDescent="0.15">
      <c r="D393" s="12"/>
      <c r="E393" s="12"/>
      <c r="I393" s="12"/>
      <c r="J393" s="13"/>
      <c r="BF393" s="1"/>
      <c r="BG393" s="1"/>
      <c r="BH393" s="1"/>
      <c r="BI393" s="1"/>
      <c r="BJ393" s="1"/>
      <c r="BK393" s="1"/>
      <c r="BL393" s="1"/>
      <c r="BM393" s="1"/>
      <c r="BN393" s="1"/>
      <c r="BO393" s="1"/>
      <c r="BP393" s="1"/>
      <c r="BQ393" s="1"/>
      <c r="BR393" s="1"/>
      <c r="BX393" s="1"/>
      <c r="CD393" s="1"/>
      <c r="CE393" s="1"/>
      <c r="CF393" s="1"/>
      <c r="CG393" s="1"/>
      <c r="CH393" s="1"/>
      <c r="CI393" s="1"/>
      <c r="CM393" s="4"/>
      <c r="CN393" s="1"/>
      <c r="CO393" s="1"/>
      <c r="CP393" s="1"/>
      <c r="CQ393" s="1"/>
      <c r="CS393" s="1"/>
      <c r="CV393" s="1"/>
      <c r="CW393" s="1"/>
      <c r="CX393" s="1"/>
      <c r="CY393" s="1"/>
      <c r="CZ393" s="1"/>
      <c r="DA393" s="1"/>
      <c r="DB393" s="1"/>
      <c r="DC393" s="1"/>
      <c r="DD393" s="1"/>
      <c r="DE393" s="1"/>
      <c r="DF393" s="1"/>
      <c r="DG393" s="1"/>
      <c r="DH393" s="1"/>
      <c r="DI393" s="1"/>
      <c r="DJ393" s="1"/>
      <c r="DK393" s="1"/>
      <c r="ED393" s="1"/>
      <c r="EK393" s="1"/>
      <c r="EL393" s="1"/>
      <c r="EM393" s="1"/>
      <c r="EN393" s="1"/>
      <c r="EQ393" s="1"/>
      <c r="ER393" s="1"/>
      <c r="ES393" s="1"/>
      <c r="EV393" s="1"/>
      <c r="EW393" s="1"/>
      <c r="EZ393" s="1"/>
      <c r="FA393" s="1"/>
      <c r="FD393" s="1"/>
      <c r="FH393" s="1"/>
      <c r="FJ393" s="1"/>
      <c r="FP393" s="1"/>
      <c r="FX393" s="1"/>
      <c r="GA393" s="1"/>
      <c r="GD393" s="1"/>
      <c r="GE393" s="1"/>
      <c r="GF393" s="1"/>
      <c r="GG393" s="1"/>
      <c r="GH393" s="1"/>
      <c r="GI393" s="1"/>
      <c r="GJ393" s="1"/>
      <c r="GK393" s="1"/>
      <c r="GL393" s="1"/>
      <c r="GM393" s="1"/>
      <c r="GN393" s="1"/>
      <c r="GO393" s="1"/>
      <c r="GP393" s="1"/>
      <c r="GR393" s="1"/>
      <c r="GY393" s="1"/>
      <c r="HF393" s="1"/>
      <c r="HH393" s="1"/>
      <c r="HN393" s="1"/>
      <c r="HR393" s="1"/>
      <c r="HS393" s="1"/>
      <c r="HT393" s="1"/>
      <c r="HY393" s="1"/>
      <c r="IE393" s="1"/>
      <c r="IR393" s="1"/>
      <c r="IS393" s="1"/>
      <c r="IY393" s="1"/>
      <c r="IZ393" s="1"/>
      <c r="JC393" s="1"/>
      <c r="JF393" s="1"/>
      <c r="JG393" s="1"/>
      <c r="JH393" s="1"/>
      <c r="JJ393" s="1"/>
      <c r="JN393" s="1"/>
      <c r="JP393" s="1"/>
      <c r="JQ393" s="1"/>
      <c r="JT393" s="1"/>
      <c r="KU393" s="1"/>
      <c r="KW393" s="1"/>
      <c r="KY393" s="1"/>
      <c r="KZ393" s="1"/>
      <c r="LA393" s="1"/>
      <c r="LB393" s="1"/>
      <c r="LC393" s="1"/>
      <c r="LD393" s="1"/>
      <c r="LO393" s="1"/>
      <c r="LP393" s="1"/>
      <c r="LZ393" s="1"/>
      <c r="MA393" s="1"/>
    </row>
    <row r="394" spans="4:339" ht="13" x14ac:dyDescent="0.15">
      <c r="D394" s="12"/>
      <c r="E394" s="12"/>
      <c r="I394" s="12"/>
      <c r="J394" s="13"/>
      <c r="BF394" s="1"/>
      <c r="BG394" s="1"/>
      <c r="BH394" s="1"/>
      <c r="BI394" s="1"/>
      <c r="BJ394" s="1"/>
      <c r="BK394" s="1"/>
      <c r="BL394" s="1"/>
      <c r="BM394" s="1"/>
      <c r="BN394" s="1"/>
      <c r="BO394" s="1"/>
      <c r="BP394" s="1"/>
      <c r="BQ394" s="1"/>
      <c r="BR394" s="1"/>
      <c r="BX394" s="1"/>
      <c r="CD394" s="1"/>
      <c r="CE394" s="1"/>
      <c r="CF394" s="1"/>
      <c r="CG394" s="1"/>
      <c r="CH394" s="1"/>
      <c r="CI394" s="1"/>
      <c r="CM394" s="4"/>
      <c r="CN394" s="1"/>
      <c r="CO394" s="1"/>
      <c r="CP394" s="1"/>
      <c r="CQ394" s="1"/>
      <c r="CS394" s="1"/>
      <c r="CV394" s="1"/>
      <c r="CW394" s="1"/>
      <c r="CX394" s="1"/>
      <c r="CY394" s="1"/>
      <c r="CZ394" s="1"/>
      <c r="DA394" s="1"/>
      <c r="DB394" s="1"/>
      <c r="DC394" s="1"/>
      <c r="DD394" s="1"/>
      <c r="DE394" s="1"/>
      <c r="DF394" s="1"/>
      <c r="DG394" s="1"/>
      <c r="DH394" s="1"/>
      <c r="DI394" s="1"/>
      <c r="DJ394" s="1"/>
      <c r="DK394" s="1"/>
      <c r="ED394" s="1"/>
      <c r="EK394" s="1"/>
      <c r="EL394" s="1"/>
      <c r="EM394" s="1"/>
      <c r="EN394" s="1"/>
      <c r="EQ394" s="1"/>
      <c r="ER394" s="1"/>
      <c r="ES394" s="1"/>
      <c r="EV394" s="1"/>
      <c r="EW394" s="1"/>
      <c r="EZ394" s="1"/>
      <c r="FA394" s="1"/>
      <c r="FD394" s="1"/>
      <c r="FH394" s="1"/>
      <c r="FJ394" s="1"/>
      <c r="FP394" s="1"/>
      <c r="FX394" s="1"/>
      <c r="GA394" s="1"/>
      <c r="GD394" s="1"/>
      <c r="GE394" s="1"/>
      <c r="GF394" s="1"/>
      <c r="GG394" s="1"/>
      <c r="GH394" s="1"/>
      <c r="GI394" s="1"/>
      <c r="GJ394" s="1"/>
      <c r="GK394" s="1"/>
      <c r="GL394" s="1"/>
      <c r="GM394" s="1"/>
      <c r="GN394" s="1"/>
      <c r="GO394" s="1"/>
      <c r="GP394" s="1"/>
      <c r="GR394" s="1"/>
      <c r="GY394" s="1"/>
      <c r="HF394" s="1"/>
      <c r="HH394" s="1"/>
      <c r="HN394" s="1"/>
      <c r="HR394" s="1"/>
      <c r="HS394" s="1"/>
      <c r="HT394" s="1"/>
      <c r="HY394" s="1"/>
      <c r="IE394" s="1"/>
      <c r="IR394" s="1"/>
      <c r="IS394" s="1"/>
      <c r="IY394" s="1"/>
      <c r="IZ394" s="1"/>
      <c r="JC394" s="1"/>
      <c r="JF394" s="1"/>
      <c r="JG394" s="1"/>
      <c r="JH394" s="1"/>
      <c r="JJ394" s="1"/>
      <c r="JN394" s="1"/>
      <c r="JP394" s="1"/>
      <c r="JQ394" s="1"/>
      <c r="JT394" s="1"/>
      <c r="KU394" s="1"/>
      <c r="KW394" s="1"/>
      <c r="KY394" s="1"/>
      <c r="KZ394" s="1"/>
      <c r="LA394" s="1"/>
      <c r="LB394" s="1"/>
      <c r="LC394" s="1"/>
      <c r="LD394" s="1"/>
      <c r="LO394" s="1"/>
      <c r="LP394" s="1"/>
      <c r="LZ394" s="1"/>
      <c r="MA394" s="1"/>
    </row>
    <row r="395" spans="4:339" ht="13" x14ac:dyDescent="0.15">
      <c r="D395" s="12"/>
      <c r="E395" s="12"/>
      <c r="I395" s="12"/>
      <c r="J395" s="13"/>
      <c r="BF395" s="1"/>
      <c r="BG395" s="1"/>
      <c r="BH395" s="1"/>
      <c r="BI395" s="1"/>
      <c r="BJ395" s="1"/>
      <c r="BK395" s="1"/>
      <c r="BL395" s="1"/>
      <c r="BM395" s="1"/>
      <c r="BN395" s="1"/>
      <c r="BO395" s="1"/>
      <c r="BP395" s="1"/>
      <c r="BQ395" s="1"/>
      <c r="BR395" s="1"/>
      <c r="BX395" s="1"/>
      <c r="CD395" s="1"/>
      <c r="CE395" s="1"/>
      <c r="CF395" s="1"/>
      <c r="CG395" s="1"/>
      <c r="CH395" s="1"/>
      <c r="CI395" s="1"/>
      <c r="CM395" s="4"/>
      <c r="CN395" s="1"/>
      <c r="CO395" s="1"/>
      <c r="CP395" s="1"/>
      <c r="CQ395" s="1"/>
      <c r="CS395" s="1"/>
      <c r="CV395" s="1"/>
      <c r="CW395" s="1"/>
      <c r="CX395" s="1"/>
      <c r="CY395" s="1"/>
      <c r="CZ395" s="1"/>
      <c r="DA395" s="1"/>
      <c r="DB395" s="1"/>
      <c r="DC395" s="1"/>
      <c r="DD395" s="1"/>
      <c r="DE395" s="1"/>
      <c r="DF395" s="1"/>
      <c r="DG395" s="1"/>
      <c r="DH395" s="1"/>
      <c r="DI395" s="1"/>
      <c r="DJ395" s="1"/>
      <c r="DK395" s="1"/>
      <c r="ED395" s="1"/>
      <c r="EK395" s="1"/>
      <c r="EL395" s="1"/>
      <c r="EM395" s="1"/>
      <c r="EN395" s="1"/>
      <c r="EQ395" s="1"/>
      <c r="ER395" s="1"/>
      <c r="ES395" s="1"/>
      <c r="EV395" s="1"/>
      <c r="EW395" s="1"/>
      <c r="EZ395" s="1"/>
      <c r="FA395" s="1"/>
      <c r="FD395" s="1"/>
      <c r="FH395" s="1"/>
      <c r="FJ395" s="1"/>
      <c r="FP395" s="1"/>
      <c r="FX395" s="1"/>
      <c r="GA395" s="1"/>
      <c r="GD395" s="1"/>
      <c r="GE395" s="1"/>
      <c r="GF395" s="1"/>
      <c r="GG395" s="1"/>
      <c r="GH395" s="1"/>
      <c r="GI395" s="1"/>
      <c r="GJ395" s="1"/>
      <c r="GK395" s="1"/>
      <c r="GL395" s="1"/>
      <c r="GM395" s="1"/>
      <c r="GN395" s="1"/>
      <c r="GO395" s="1"/>
      <c r="GP395" s="1"/>
      <c r="GR395" s="1"/>
      <c r="GY395" s="1"/>
      <c r="HF395" s="1"/>
      <c r="HH395" s="1"/>
      <c r="HN395" s="1"/>
      <c r="HR395" s="1"/>
      <c r="HS395" s="1"/>
      <c r="HT395" s="1"/>
      <c r="HY395" s="1"/>
      <c r="IE395" s="1"/>
      <c r="IR395" s="1"/>
      <c r="IS395" s="1"/>
      <c r="IY395" s="1"/>
      <c r="IZ395" s="1"/>
      <c r="JC395" s="1"/>
      <c r="JF395" s="1"/>
      <c r="JG395" s="1"/>
      <c r="JH395" s="1"/>
      <c r="JJ395" s="1"/>
      <c r="JN395" s="1"/>
      <c r="JP395" s="1"/>
      <c r="JQ395" s="1"/>
      <c r="JT395" s="1"/>
      <c r="KU395" s="1"/>
      <c r="KW395" s="1"/>
      <c r="KY395" s="1"/>
      <c r="KZ395" s="1"/>
      <c r="LA395" s="1"/>
      <c r="LB395" s="1"/>
      <c r="LC395" s="1"/>
      <c r="LD395" s="1"/>
      <c r="LO395" s="1"/>
      <c r="LP395" s="1"/>
      <c r="LZ395" s="1"/>
      <c r="MA395" s="1"/>
    </row>
    <row r="396" spans="4:339" ht="13" x14ac:dyDescent="0.15">
      <c r="D396" s="12"/>
      <c r="E396" s="12"/>
      <c r="I396" s="12"/>
      <c r="J396" s="13"/>
      <c r="BF396" s="1"/>
      <c r="BG396" s="1"/>
      <c r="BH396" s="1"/>
      <c r="BI396" s="1"/>
      <c r="BJ396" s="1"/>
      <c r="BK396" s="1"/>
      <c r="BL396" s="1"/>
      <c r="BM396" s="1"/>
      <c r="BN396" s="1"/>
      <c r="BO396" s="1"/>
      <c r="BP396" s="1"/>
      <c r="BQ396" s="1"/>
      <c r="BR396" s="1"/>
      <c r="BX396" s="1"/>
      <c r="CD396" s="1"/>
      <c r="CE396" s="1"/>
      <c r="CF396" s="1"/>
      <c r="CG396" s="1"/>
      <c r="CH396" s="1"/>
      <c r="CI396" s="1"/>
      <c r="CM396" s="4"/>
      <c r="CN396" s="1"/>
      <c r="CO396" s="1"/>
      <c r="CP396" s="1"/>
      <c r="CQ396" s="1"/>
      <c r="CS396" s="1"/>
      <c r="CV396" s="1"/>
      <c r="CW396" s="1"/>
      <c r="CX396" s="1"/>
      <c r="CY396" s="1"/>
      <c r="CZ396" s="1"/>
      <c r="DA396" s="1"/>
      <c r="DB396" s="1"/>
      <c r="DC396" s="1"/>
      <c r="DD396" s="1"/>
      <c r="DE396" s="1"/>
      <c r="DF396" s="1"/>
      <c r="DG396" s="1"/>
      <c r="DH396" s="1"/>
      <c r="DI396" s="1"/>
      <c r="DJ396" s="1"/>
      <c r="DK396" s="1"/>
      <c r="ED396" s="1"/>
      <c r="EK396" s="1"/>
      <c r="EL396" s="1"/>
      <c r="EM396" s="1"/>
      <c r="EN396" s="1"/>
      <c r="EQ396" s="1"/>
      <c r="ER396" s="1"/>
      <c r="ES396" s="1"/>
      <c r="EV396" s="1"/>
      <c r="EW396" s="1"/>
      <c r="EZ396" s="1"/>
      <c r="FA396" s="1"/>
      <c r="FD396" s="1"/>
      <c r="FH396" s="1"/>
      <c r="FJ396" s="1"/>
      <c r="FP396" s="1"/>
      <c r="FX396" s="1"/>
      <c r="GA396" s="1"/>
      <c r="GD396" s="1"/>
      <c r="GE396" s="1"/>
      <c r="GF396" s="1"/>
      <c r="GG396" s="1"/>
      <c r="GH396" s="1"/>
      <c r="GI396" s="1"/>
      <c r="GJ396" s="1"/>
      <c r="GK396" s="1"/>
      <c r="GL396" s="1"/>
      <c r="GM396" s="1"/>
      <c r="GN396" s="1"/>
      <c r="GO396" s="1"/>
      <c r="GP396" s="1"/>
      <c r="GR396" s="1"/>
      <c r="GY396" s="1"/>
      <c r="HF396" s="1"/>
      <c r="HH396" s="1"/>
      <c r="HN396" s="1"/>
      <c r="HR396" s="1"/>
      <c r="HS396" s="1"/>
      <c r="HT396" s="1"/>
      <c r="HY396" s="1"/>
      <c r="IE396" s="1"/>
      <c r="IR396" s="1"/>
      <c r="IS396" s="1"/>
      <c r="IY396" s="1"/>
      <c r="IZ396" s="1"/>
      <c r="JC396" s="1"/>
      <c r="JF396" s="1"/>
      <c r="JG396" s="1"/>
      <c r="JH396" s="1"/>
      <c r="JJ396" s="1"/>
      <c r="JN396" s="1"/>
      <c r="JP396" s="1"/>
      <c r="JQ396" s="1"/>
      <c r="JT396" s="1"/>
      <c r="KU396" s="1"/>
      <c r="KW396" s="1"/>
      <c r="KY396" s="1"/>
      <c r="KZ396" s="1"/>
      <c r="LA396" s="1"/>
      <c r="LB396" s="1"/>
      <c r="LC396" s="1"/>
      <c r="LD396" s="1"/>
      <c r="LO396" s="1"/>
      <c r="LP396" s="1"/>
      <c r="LZ396" s="1"/>
      <c r="MA396" s="1"/>
    </row>
    <row r="397" spans="4:339" ht="13" x14ac:dyDescent="0.15">
      <c r="D397" s="12"/>
      <c r="E397" s="12"/>
      <c r="I397" s="12"/>
      <c r="J397" s="13"/>
      <c r="BF397" s="1"/>
      <c r="BG397" s="1"/>
      <c r="BH397" s="1"/>
      <c r="BI397" s="1"/>
      <c r="BJ397" s="1"/>
      <c r="BK397" s="1"/>
      <c r="BL397" s="1"/>
      <c r="BM397" s="1"/>
      <c r="BN397" s="1"/>
      <c r="BO397" s="1"/>
      <c r="BP397" s="1"/>
      <c r="BQ397" s="1"/>
      <c r="BR397" s="1"/>
      <c r="BX397" s="1"/>
      <c r="CD397" s="1"/>
      <c r="CE397" s="1"/>
      <c r="CF397" s="1"/>
      <c r="CG397" s="1"/>
      <c r="CH397" s="1"/>
      <c r="CI397" s="1"/>
      <c r="CM397" s="4"/>
      <c r="CN397" s="1"/>
      <c r="CO397" s="1"/>
      <c r="CP397" s="1"/>
      <c r="CQ397" s="1"/>
      <c r="CS397" s="1"/>
      <c r="CV397" s="1"/>
      <c r="CW397" s="1"/>
      <c r="CX397" s="1"/>
      <c r="CY397" s="1"/>
      <c r="CZ397" s="1"/>
      <c r="DA397" s="1"/>
      <c r="DB397" s="1"/>
      <c r="DC397" s="1"/>
      <c r="DD397" s="1"/>
      <c r="DE397" s="1"/>
      <c r="DF397" s="1"/>
      <c r="DG397" s="1"/>
      <c r="DH397" s="1"/>
      <c r="DI397" s="1"/>
      <c r="DJ397" s="1"/>
      <c r="DK397" s="1"/>
      <c r="ED397" s="1"/>
      <c r="EK397" s="1"/>
      <c r="EL397" s="1"/>
      <c r="EM397" s="1"/>
      <c r="EN397" s="1"/>
      <c r="EQ397" s="1"/>
      <c r="ER397" s="1"/>
      <c r="ES397" s="1"/>
      <c r="EV397" s="1"/>
      <c r="EW397" s="1"/>
      <c r="EZ397" s="1"/>
      <c r="FA397" s="1"/>
      <c r="FD397" s="1"/>
      <c r="FH397" s="1"/>
      <c r="FJ397" s="1"/>
      <c r="FP397" s="1"/>
      <c r="FX397" s="1"/>
      <c r="GA397" s="1"/>
      <c r="GD397" s="1"/>
      <c r="GE397" s="1"/>
      <c r="GF397" s="1"/>
      <c r="GG397" s="1"/>
      <c r="GH397" s="1"/>
      <c r="GI397" s="1"/>
      <c r="GJ397" s="1"/>
      <c r="GK397" s="1"/>
      <c r="GL397" s="1"/>
      <c r="GM397" s="1"/>
      <c r="GN397" s="1"/>
      <c r="GO397" s="1"/>
      <c r="GP397" s="1"/>
      <c r="GR397" s="1"/>
      <c r="GY397" s="1"/>
      <c r="HF397" s="1"/>
      <c r="HH397" s="1"/>
      <c r="HN397" s="1"/>
      <c r="HR397" s="1"/>
      <c r="HS397" s="1"/>
      <c r="HT397" s="1"/>
      <c r="HY397" s="1"/>
      <c r="IE397" s="1"/>
      <c r="IR397" s="1"/>
      <c r="IS397" s="1"/>
      <c r="IY397" s="1"/>
      <c r="IZ397" s="1"/>
      <c r="JC397" s="1"/>
      <c r="JF397" s="1"/>
      <c r="JG397" s="1"/>
      <c r="JH397" s="1"/>
      <c r="JJ397" s="1"/>
      <c r="JN397" s="1"/>
      <c r="JP397" s="1"/>
      <c r="JQ397" s="1"/>
      <c r="JT397" s="1"/>
      <c r="KU397" s="1"/>
      <c r="KW397" s="1"/>
      <c r="KY397" s="1"/>
      <c r="KZ397" s="1"/>
      <c r="LA397" s="1"/>
      <c r="LB397" s="1"/>
      <c r="LC397" s="1"/>
      <c r="LD397" s="1"/>
      <c r="LO397" s="1"/>
      <c r="LP397" s="1"/>
      <c r="LZ397" s="1"/>
      <c r="MA397" s="1"/>
    </row>
    <row r="398" spans="4:339" ht="13" x14ac:dyDescent="0.15">
      <c r="D398" s="12"/>
      <c r="E398" s="12"/>
      <c r="I398" s="12"/>
      <c r="J398" s="13"/>
      <c r="BF398" s="1"/>
      <c r="BG398" s="1"/>
      <c r="BH398" s="1"/>
      <c r="BI398" s="1"/>
      <c r="BJ398" s="1"/>
      <c r="BK398" s="1"/>
      <c r="BL398" s="1"/>
      <c r="BM398" s="1"/>
      <c r="BN398" s="1"/>
      <c r="BO398" s="1"/>
      <c r="BP398" s="1"/>
      <c r="BQ398" s="1"/>
      <c r="BR398" s="1"/>
      <c r="BX398" s="1"/>
      <c r="CD398" s="1"/>
      <c r="CE398" s="1"/>
      <c r="CF398" s="1"/>
      <c r="CG398" s="1"/>
      <c r="CH398" s="1"/>
      <c r="CI398" s="1"/>
      <c r="CM398" s="4"/>
      <c r="CN398" s="1"/>
      <c r="CO398" s="1"/>
      <c r="CP398" s="1"/>
      <c r="CQ398" s="1"/>
      <c r="CS398" s="1"/>
      <c r="CV398" s="1"/>
      <c r="CW398" s="1"/>
      <c r="CX398" s="1"/>
      <c r="CY398" s="1"/>
      <c r="CZ398" s="1"/>
      <c r="DA398" s="1"/>
      <c r="DB398" s="1"/>
      <c r="DC398" s="1"/>
      <c r="DD398" s="1"/>
      <c r="DE398" s="1"/>
      <c r="DF398" s="1"/>
      <c r="DG398" s="1"/>
      <c r="DH398" s="1"/>
      <c r="DI398" s="1"/>
      <c r="DJ398" s="1"/>
      <c r="DK398" s="1"/>
      <c r="ED398" s="1"/>
      <c r="EK398" s="1"/>
      <c r="EL398" s="1"/>
      <c r="EM398" s="1"/>
      <c r="EN398" s="1"/>
      <c r="EQ398" s="1"/>
      <c r="ER398" s="1"/>
      <c r="ES398" s="1"/>
      <c r="EV398" s="1"/>
      <c r="EW398" s="1"/>
      <c r="EZ398" s="1"/>
      <c r="FA398" s="1"/>
      <c r="FD398" s="1"/>
      <c r="FH398" s="1"/>
      <c r="FJ398" s="1"/>
      <c r="FP398" s="1"/>
      <c r="FX398" s="1"/>
      <c r="GA398" s="1"/>
      <c r="GD398" s="1"/>
      <c r="GE398" s="1"/>
      <c r="GF398" s="1"/>
      <c r="GG398" s="1"/>
      <c r="GH398" s="1"/>
      <c r="GI398" s="1"/>
      <c r="GJ398" s="1"/>
      <c r="GK398" s="1"/>
      <c r="GL398" s="1"/>
      <c r="GM398" s="1"/>
      <c r="GN398" s="1"/>
      <c r="GO398" s="1"/>
      <c r="GP398" s="1"/>
      <c r="GR398" s="1"/>
      <c r="GY398" s="1"/>
      <c r="HF398" s="1"/>
      <c r="HH398" s="1"/>
      <c r="HN398" s="1"/>
      <c r="HR398" s="1"/>
      <c r="HS398" s="1"/>
      <c r="HT398" s="1"/>
      <c r="HY398" s="1"/>
      <c r="IE398" s="1"/>
      <c r="IR398" s="1"/>
      <c r="IS398" s="1"/>
      <c r="IY398" s="1"/>
      <c r="IZ398" s="1"/>
      <c r="JC398" s="1"/>
      <c r="JF398" s="1"/>
      <c r="JG398" s="1"/>
      <c r="JH398" s="1"/>
      <c r="JJ398" s="1"/>
      <c r="JN398" s="1"/>
      <c r="JP398" s="1"/>
      <c r="JQ398" s="1"/>
      <c r="JT398" s="1"/>
      <c r="KU398" s="1"/>
      <c r="KW398" s="1"/>
      <c r="KY398" s="1"/>
      <c r="KZ398" s="1"/>
      <c r="LA398" s="1"/>
      <c r="LB398" s="1"/>
      <c r="LC398" s="1"/>
      <c r="LD398" s="1"/>
      <c r="LO398" s="1"/>
      <c r="LP398" s="1"/>
      <c r="LZ398" s="1"/>
      <c r="MA398" s="1"/>
    </row>
    <row r="399" spans="4:339" ht="13" x14ac:dyDescent="0.15">
      <c r="D399" s="12"/>
      <c r="E399" s="12"/>
      <c r="I399" s="12"/>
      <c r="J399" s="13"/>
      <c r="BF399" s="1"/>
      <c r="BG399" s="1"/>
      <c r="BH399" s="1"/>
      <c r="BI399" s="1"/>
      <c r="BK399" s="1"/>
      <c r="BL399" s="1"/>
      <c r="BM399" s="1"/>
      <c r="BN399" s="1"/>
      <c r="BP399" s="1"/>
      <c r="BQ399" s="1"/>
      <c r="BR399" s="1"/>
      <c r="BX399" s="1"/>
      <c r="CD399" s="1"/>
      <c r="CE399" s="1"/>
      <c r="CF399" s="1"/>
      <c r="CG399" s="1"/>
      <c r="CH399" s="1"/>
      <c r="CI399" s="1"/>
      <c r="CM399" s="2"/>
      <c r="CN399" s="1"/>
      <c r="CO399" s="1"/>
      <c r="CQ399" s="1"/>
      <c r="CY399" s="1"/>
      <c r="DC399" s="1"/>
      <c r="DH399" s="1"/>
      <c r="DM399" s="1"/>
      <c r="DR399" s="1"/>
      <c r="ED399" s="1"/>
      <c r="EK399" s="1"/>
      <c r="EL399" s="1"/>
      <c r="EM399" s="1"/>
      <c r="EN399" s="1"/>
      <c r="EQ399" s="1"/>
      <c r="ER399" s="1"/>
      <c r="ES399" s="1"/>
      <c r="EV399" s="1"/>
      <c r="EW399" s="1"/>
      <c r="EZ399" s="1"/>
      <c r="FA399" s="1"/>
      <c r="FD399" s="1"/>
      <c r="FF399" s="1"/>
      <c r="FG399" s="1"/>
      <c r="FH399" s="1"/>
      <c r="FI399" s="1"/>
      <c r="FJ399" s="1"/>
      <c r="FM399" s="1"/>
      <c r="FN399" s="1"/>
      <c r="FO399" s="1"/>
      <c r="FP399" s="1"/>
      <c r="FQ399" s="1"/>
      <c r="FS399" s="1"/>
      <c r="FT399" s="1"/>
      <c r="FV399" s="1"/>
      <c r="FW399" s="1"/>
      <c r="FX399" s="1"/>
      <c r="FY399" s="1"/>
      <c r="FZ399" s="1"/>
      <c r="GA399" s="1"/>
      <c r="GB399" s="1"/>
      <c r="GD399" s="1"/>
      <c r="GE399" s="1"/>
      <c r="GF399" s="1"/>
      <c r="GG399" s="1"/>
      <c r="GH399" s="1"/>
      <c r="GI399" s="1"/>
      <c r="GJ399" s="1"/>
      <c r="GK399" s="1"/>
      <c r="GL399" s="1"/>
      <c r="GM399" s="1"/>
      <c r="GN399" s="1"/>
      <c r="GO399" s="1"/>
      <c r="GP399" s="1"/>
      <c r="GR399" s="1"/>
      <c r="GY399" s="1"/>
      <c r="HF399" s="1"/>
      <c r="HH399" s="1"/>
      <c r="HN399" s="1"/>
      <c r="HR399" s="1"/>
      <c r="HS399" s="1"/>
      <c r="HT399" s="1"/>
      <c r="HY399" s="1"/>
      <c r="IC399" s="1"/>
      <c r="ID399" s="1"/>
      <c r="IS399" s="1"/>
      <c r="IW399" s="1"/>
      <c r="IZ399" s="1"/>
      <c r="JA399" s="1"/>
      <c r="JC399" s="1"/>
      <c r="JF399" s="1"/>
      <c r="JG399" s="1"/>
      <c r="JH399" s="1"/>
      <c r="JJ399" s="1"/>
      <c r="JN399" s="1"/>
      <c r="JP399" s="1"/>
      <c r="JQ399" s="1"/>
      <c r="JT399" s="1"/>
      <c r="KU399" s="1"/>
      <c r="KY399" s="1"/>
      <c r="KZ399" s="1"/>
      <c r="LA399" s="1"/>
      <c r="LB399" s="1"/>
      <c r="LC399" s="1"/>
      <c r="LD399" s="1"/>
      <c r="LF399" s="1"/>
      <c r="LN399" s="1"/>
      <c r="LO399" s="1"/>
      <c r="LP399" s="1"/>
      <c r="LZ399" s="1"/>
      <c r="MA399" s="1"/>
    </row>
    <row r="400" spans="4:339" ht="13" x14ac:dyDescent="0.15">
      <c r="D400" s="12"/>
      <c r="E400" s="12"/>
      <c r="I400" s="12"/>
      <c r="J400" s="13"/>
      <c r="BF400" s="1"/>
      <c r="BG400" s="1"/>
      <c r="BH400" s="1"/>
      <c r="BI400" s="1"/>
      <c r="BK400" s="1"/>
      <c r="BL400" s="1"/>
      <c r="BM400" s="1"/>
      <c r="BN400" s="1"/>
      <c r="BO400" s="1"/>
      <c r="BP400" s="1"/>
      <c r="BQ400" s="1"/>
      <c r="BR400" s="1"/>
      <c r="BX400" s="1"/>
      <c r="CD400" s="1"/>
      <c r="CE400" s="1"/>
      <c r="CF400" s="1"/>
      <c r="CG400" s="1"/>
      <c r="CH400" s="1"/>
      <c r="CI400" s="1"/>
      <c r="CM400" s="2"/>
      <c r="CN400" s="1"/>
      <c r="CO400" s="1"/>
      <c r="CP400" s="1"/>
      <c r="CQ400" s="1"/>
      <c r="CR400" s="1"/>
      <c r="CS400" s="1"/>
      <c r="CT400" s="1"/>
      <c r="CU400" s="1"/>
      <c r="CV400" s="1"/>
      <c r="CW400" s="1"/>
      <c r="CX400" s="1"/>
      <c r="CY400" s="1"/>
      <c r="CZ400" s="1"/>
      <c r="DA400" s="1"/>
      <c r="DB400" s="1"/>
      <c r="DC400" s="1"/>
      <c r="DD400" s="1"/>
      <c r="DE400" s="1"/>
      <c r="DF400" s="1"/>
      <c r="DG400" s="1"/>
      <c r="DH400" s="1"/>
      <c r="DI400" s="1"/>
      <c r="DJ400" s="1"/>
      <c r="DK400" s="1"/>
      <c r="DM400" s="1"/>
      <c r="DQ400" s="1"/>
      <c r="DR400" s="1"/>
      <c r="DY400" s="1"/>
      <c r="DZ400" s="1"/>
      <c r="ED400" s="1"/>
      <c r="EF400" s="1"/>
      <c r="EK400" s="1"/>
      <c r="EL400" s="1"/>
      <c r="EM400" s="1"/>
      <c r="EN400" s="1"/>
      <c r="EQ400" s="1"/>
      <c r="ER400" s="1"/>
      <c r="ES400" s="1"/>
      <c r="EV400" s="1"/>
      <c r="EW400" s="1"/>
      <c r="EZ400" s="1"/>
      <c r="FA400" s="1"/>
      <c r="FD400" s="1"/>
      <c r="FG400" s="1"/>
      <c r="FH400" s="1"/>
      <c r="FI400" s="1"/>
      <c r="FJ400" s="1"/>
      <c r="FK400" s="1"/>
      <c r="FL400" s="1"/>
      <c r="FM400" s="1"/>
      <c r="FN400" s="1"/>
      <c r="FO400" s="1"/>
      <c r="FP400" s="1"/>
      <c r="FQ400" s="1"/>
      <c r="FR400" s="1"/>
      <c r="FS400" s="1"/>
      <c r="FT400" s="1"/>
      <c r="FU400" s="1"/>
      <c r="FV400" s="1"/>
      <c r="FW400" s="1"/>
      <c r="FX400" s="1"/>
      <c r="FY400" s="1"/>
      <c r="FZ400" s="1"/>
      <c r="GA400" s="1"/>
      <c r="GB400" s="1"/>
      <c r="GD400" s="1"/>
      <c r="GE400" s="1"/>
      <c r="GF400" s="1"/>
      <c r="GG400" s="1"/>
      <c r="GH400" s="1"/>
      <c r="GI400" s="1"/>
      <c r="GJ400" s="1"/>
      <c r="GK400" s="1"/>
      <c r="GL400" s="1"/>
      <c r="GM400" s="1"/>
      <c r="GN400" s="1"/>
      <c r="GO400" s="1"/>
      <c r="GP400" s="1"/>
      <c r="GR400" s="1"/>
      <c r="GY400" s="1"/>
      <c r="HF400" s="1"/>
      <c r="HN400" s="1"/>
      <c r="HQ400" s="1"/>
      <c r="HT400" s="1"/>
      <c r="HY400" s="1"/>
      <c r="IC400" s="1"/>
      <c r="IE400" s="1"/>
      <c r="IR400" s="1"/>
      <c r="IS400" s="1"/>
      <c r="IW400" s="1"/>
      <c r="IZ400" s="1"/>
      <c r="JA400" s="1"/>
      <c r="JH400" s="1"/>
      <c r="JJ400" s="1"/>
      <c r="JN400" s="1"/>
      <c r="JP400" s="1"/>
      <c r="JQ400" s="1"/>
      <c r="JT400" s="1"/>
      <c r="KV400" s="1"/>
      <c r="KY400" s="1"/>
      <c r="KZ400" s="1"/>
      <c r="LA400" s="1"/>
      <c r="LB400" s="1"/>
      <c r="LC400" s="1"/>
      <c r="LD400" s="1"/>
      <c r="LO400" s="1"/>
      <c r="LP400" s="1"/>
      <c r="LZ400" s="1"/>
      <c r="MA400" s="1"/>
    </row>
    <row r="401" spans="4:339" ht="13" x14ac:dyDescent="0.15">
      <c r="D401" s="12"/>
      <c r="E401" s="12"/>
      <c r="I401" s="12"/>
      <c r="J401" s="13"/>
      <c r="BF401" s="1"/>
      <c r="BG401" s="1"/>
      <c r="BH401" s="1"/>
      <c r="BI401" s="1"/>
      <c r="BK401" s="1"/>
      <c r="BL401" s="1"/>
      <c r="BM401" s="1"/>
      <c r="BN401" s="1"/>
      <c r="BO401" s="1"/>
      <c r="BP401" s="1"/>
      <c r="BQ401" s="1"/>
      <c r="BR401" s="1"/>
      <c r="BX401" s="1"/>
      <c r="CD401" s="1"/>
      <c r="CE401" s="1"/>
      <c r="CF401" s="1"/>
      <c r="CG401" s="1"/>
      <c r="CH401" s="1"/>
      <c r="CI401" s="1"/>
      <c r="CM401" s="2"/>
      <c r="CN401" s="1"/>
      <c r="CO401" s="1"/>
      <c r="CP401" s="1"/>
      <c r="CQ401" s="1"/>
      <c r="CR401" s="1"/>
      <c r="CS401" s="1"/>
      <c r="CT401" s="1"/>
      <c r="CU401" s="1"/>
      <c r="CV401" s="1"/>
      <c r="CW401" s="1"/>
      <c r="CX401" s="1"/>
      <c r="CY401" s="1"/>
      <c r="CZ401" s="1"/>
      <c r="DA401" s="1"/>
      <c r="DB401" s="1"/>
      <c r="DC401" s="1"/>
      <c r="DD401" s="1"/>
      <c r="DE401" s="1"/>
      <c r="DF401" s="1"/>
      <c r="DG401" s="1"/>
      <c r="DH401" s="1"/>
      <c r="DI401" s="1"/>
      <c r="DJ401" s="1"/>
      <c r="DK401" s="1"/>
      <c r="DM401" s="1"/>
      <c r="DQ401" s="1"/>
      <c r="DR401" s="1"/>
      <c r="DY401" s="1"/>
      <c r="DZ401" s="1"/>
      <c r="ED401" s="1"/>
      <c r="EF401" s="1"/>
      <c r="EK401" s="1"/>
      <c r="EL401" s="1"/>
      <c r="EM401" s="1"/>
      <c r="EN401" s="1"/>
      <c r="EQ401" s="1"/>
      <c r="ER401" s="1"/>
      <c r="ES401" s="1"/>
      <c r="EV401" s="1"/>
      <c r="EW401" s="1"/>
      <c r="EZ401" s="1"/>
      <c r="FA401" s="1"/>
      <c r="FD401" s="1"/>
      <c r="FG401" s="1"/>
      <c r="FH401" s="1"/>
      <c r="FI401" s="1"/>
      <c r="FJ401" s="1"/>
      <c r="FK401" s="1"/>
      <c r="FL401" s="1"/>
      <c r="FM401" s="1"/>
      <c r="FN401" s="1"/>
      <c r="FO401" s="1"/>
      <c r="FP401" s="1"/>
      <c r="FQ401" s="1"/>
      <c r="FR401" s="1"/>
      <c r="FS401" s="1"/>
      <c r="FT401" s="1"/>
      <c r="FU401" s="1"/>
      <c r="FV401" s="1"/>
      <c r="FW401" s="1"/>
      <c r="FX401" s="1"/>
      <c r="FY401" s="1"/>
      <c r="FZ401" s="1"/>
      <c r="GA401" s="1"/>
      <c r="GB401" s="1"/>
      <c r="GD401" s="1"/>
      <c r="GE401" s="1"/>
      <c r="GF401" s="1"/>
      <c r="GG401" s="1"/>
      <c r="GH401" s="1"/>
      <c r="GI401" s="1"/>
      <c r="GJ401" s="1"/>
      <c r="GK401" s="1"/>
      <c r="GL401" s="1"/>
      <c r="GM401" s="1"/>
      <c r="GN401" s="1"/>
      <c r="GO401" s="1"/>
      <c r="GP401" s="1"/>
      <c r="GR401" s="1"/>
      <c r="GY401" s="1"/>
      <c r="HF401" s="1"/>
      <c r="HN401" s="1"/>
      <c r="HQ401" s="1"/>
      <c r="HT401" s="1"/>
      <c r="HY401" s="1"/>
      <c r="IC401" s="1"/>
      <c r="IE401" s="1"/>
      <c r="IR401" s="1"/>
      <c r="IS401" s="1"/>
      <c r="IW401" s="1"/>
      <c r="IZ401" s="1"/>
      <c r="JA401" s="1"/>
      <c r="JH401" s="1"/>
      <c r="JJ401" s="1"/>
      <c r="JN401" s="1"/>
      <c r="JP401" s="1"/>
      <c r="JQ401" s="1"/>
      <c r="JT401" s="1"/>
      <c r="KV401" s="1"/>
      <c r="KY401" s="1"/>
      <c r="KZ401" s="1"/>
      <c r="LA401" s="1"/>
      <c r="LB401" s="1"/>
      <c r="LC401" s="1"/>
      <c r="LD401" s="1"/>
      <c r="LO401" s="1"/>
      <c r="LP401" s="1"/>
      <c r="LZ401" s="1"/>
      <c r="MA401" s="1"/>
    </row>
    <row r="402" spans="4:339" ht="13" x14ac:dyDescent="0.15">
      <c r="D402" s="12"/>
      <c r="E402" s="12"/>
      <c r="I402" s="12"/>
      <c r="J402" s="13"/>
      <c r="BF402" s="1"/>
      <c r="BG402" s="1"/>
      <c r="BH402" s="1"/>
      <c r="BI402" s="1"/>
      <c r="BK402" s="1"/>
      <c r="BL402" s="1"/>
      <c r="BM402" s="1"/>
      <c r="BN402" s="1"/>
      <c r="BO402" s="1"/>
      <c r="BP402" s="1"/>
      <c r="BQ402" s="1"/>
      <c r="BR402" s="1"/>
      <c r="BX402" s="1"/>
      <c r="CD402" s="1"/>
      <c r="CE402" s="1"/>
      <c r="CF402" s="1"/>
      <c r="CG402" s="1"/>
      <c r="CH402" s="1"/>
      <c r="CI402" s="1"/>
      <c r="CM402" s="2"/>
      <c r="CN402" s="1"/>
      <c r="CO402" s="1"/>
      <c r="CP402" s="1"/>
      <c r="CQ402" s="1"/>
      <c r="CR402" s="1"/>
      <c r="CS402" s="1"/>
      <c r="CT402" s="1"/>
      <c r="CU402" s="1"/>
      <c r="CV402" s="1"/>
      <c r="CW402" s="1"/>
      <c r="CX402" s="1"/>
      <c r="CY402" s="1"/>
      <c r="CZ402" s="1"/>
      <c r="DA402" s="1"/>
      <c r="DB402" s="1"/>
      <c r="DC402" s="1"/>
      <c r="DD402" s="1"/>
      <c r="DE402" s="1"/>
      <c r="DF402" s="1"/>
      <c r="DG402" s="1"/>
      <c r="DH402" s="1"/>
      <c r="DI402" s="1"/>
      <c r="DJ402" s="1"/>
      <c r="DK402" s="1"/>
      <c r="DM402" s="1"/>
      <c r="DQ402" s="1"/>
      <c r="DR402" s="1"/>
      <c r="DY402" s="1"/>
      <c r="DZ402" s="1"/>
      <c r="ED402" s="1"/>
      <c r="EF402" s="1"/>
      <c r="EK402" s="1"/>
      <c r="EL402" s="1"/>
      <c r="EM402" s="1"/>
      <c r="EN402" s="1"/>
      <c r="EQ402" s="1"/>
      <c r="ER402" s="1"/>
      <c r="ES402" s="1"/>
      <c r="EV402" s="1"/>
      <c r="EW402" s="1"/>
      <c r="EZ402" s="1"/>
      <c r="FA402" s="1"/>
      <c r="FD402" s="1"/>
      <c r="FG402" s="1"/>
      <c r="FH402" s="1"/>
      <c r="FI402" s="1"/>
      <c r="FJ402" s="1"/>
      <c r="FK402" s="1"/>
      <c r="FL402" s="1"/>
      <c r="FM402" s="1"/>
      <c r="FN402" s="1"/>
      <c r="FO402" s="1"/>
      <c r="FP402" s="1"/>
      <c r="FQ402" s="1"/>
      <c r="FR402" s="1"/>
      <c r="FS402" s="1"/>
      <c r="FT402" s="1"/>
      <c r="FU402" s="1"/>
      <c r="FV402" s="1"/>
      <c r="FW402" s="1"/>
      <c r="FX402" s="1"/>
      <c r="FY402" s="1"/>
      <c r="FZ402" s="1"/>
      <c r="GA402" s="1"/>
      <c r="GB402" s="1"/>
      <c r="GD402" s="1"/>
      <c r="GE402" s="1"/>
      <c r="GF402" s="1"/>
      <c r="GG402" s="1"/>
      <c r="GH402" s="1"/>
      <c r="GI402" s="1"/>
      <c r="GJ402" s="1"/>
      <c r="GK402" s="1"/>
      <c r="GL402" s="1"/>
      <c r="GM402" s="1"/>
      <c r="GN402" s="1"/>
      <c r="GO402" s="1"/>
      <c r="GP402" s="1"/>
      <c r="GR402" s="1"/>
      <c r="GY402" s="1"/>
      <c r="HF402" s="1"/>
      <c r="HN402" s="1"/>
      <c r="HQ402" s="1"/>
      <c r="HT402" s="1"/>
      <c r="HY402" s="1"/>
      <c r="IC402" s="1"/>
      <c r="IE402" s="1"/>
      <c r="IR402" s="1"/>
      <c r="IS402" s="1"/>
      <c r="IW402" s="1"/>
      <c r="IZ402" s="1"/>
      <c r="JA402" s="1"/>
      <c r="JH402" s="1"/>
      <c r="JJ402" s="1"/>
      <c r="JN402" s="1"/>
      <c r="JP402" s="1"/>
      <c r="JQ402" s="1"/>
      <c r="JT402" s="1"/>
      <c r="KV402" s="1"/>
      <c r="KY402" s="1"/>
      <c r="KZ402" s="1"/>
      <c r="LA402" s="1"/>
      <c r="LB402" s="1"/>
      <c r="LC402" s="1"/>
      <c r="LD402" s="1"/>
      <c r="LO402" s="1"/>
      <c r="LP402" s="1"/>
      <c r="LZ402" s="1"/>
      <c r="MA402" s="1"/>
    </row>
    <row r="403" spans="4:339" ht="13" x14ac:dyDescent="0.15">
      <c r="D403" s="12"/>
      <c r="E403" s="12"/>
      <c r="I403" s="12"/>
      <c r="J403" s="13"/>
      <c r="BF403" s="1"/>
      <c r="BG403" s="1"/>
      <c r="BH403" s="1"/>
      <c r="BI403" s="1"/>
      <c r="BJ403" s="1"/>
      <c r="BK403" s="1"/>
      <c r="BL403" s="1"/>
      <c r="BM403" s="1"/>
      <c r="BN403" s="1"/>
      <c r="BO403" s="1"/>
      <c r="BQ403" s="1"/>
      <c r="BR403" s="1"/>
      <c r="CD403" s="1"/>
      <c r="CE403" s="1"/>
      <c r="CF403" s="1"/>
      <c r="CH403" s="1"/>
      <c r="CI403" s="1"/>
      <c r="CM403" s="2"/>
      <c r="CN403" s="1"/>
      <c r="CO403" s="1"/>
      <c r="ED403" s="1"/>
      <c r="EL403" s="1"/>
      <c r="EM403" s="1"/>
      <c r="EN403" s="1"/>
      <c r="EQ403" s="1"/>
      <c r="ER403" s="1"/>
      <c r="ES403" s="1"/>
      <c r="EV403" s="1"/>
      <c r="EW403" s="1"/>
      <c r="EZ403" s="1"/>
      <c r="FA403" s="1"/>
      <c r="FD403" s="1"/>
      <c r="FH403" s="1"/>
      <c r="FJ403" s="1"/>
      <c r="FV403" s="1"/>
      <c r="FW403" s="1"/>
      <c r="FX403" s="1"/>
      <c r="GA403" s="1"/>
      <c r="GD403" s="1"/>
      <c r="GE403" s="1"/>
      <c r="GF403" s="1"/>
      <c r="GG403" s="1"/>
      <c r="GH403" s="1"/>
      <c r="GI403" s="1"/>
      <c r="GJ403" s="1"/>
      <c r="GM403" s="1"/>
      <c r="GN403" s="1"/>
      <c r="GR403" s="1"/>
      <c r="GV403" s="1"/>
      <c r="HE403" s="1"/>
      <c r="HF403" s="1"/>
      <c r="HY403" s="1"/>
      <c r="IR403" s="1"/>
      <c r="IS403" s="1"/>
      <c r="IY403" s="1"/>
      <c r="IZ403" s="1"/>
      <c r="JG403" s="1"/>
      <c r="JJ403" s="1"/>
      <c r="JP403" s="1"/>
      <c r="JQ403" s="1"/>
      <c r="JT403" s="1"/>
      <c r="KU403" s="1"/>
    </row>
    <row r="404" spans="4:339" ht="13" x14ac:dyDescent="0.15">
      <c r="D404" s="12"/>
      <c r="E404" s="12"/>
      <c r="I404" s="12"/>
      <c r="J404" s="13"/>
      <c r="BF404" s="1"/>
      <c r="BG404" s="1"/>
      <c r="BH404" s="1"/>
      <c r="BI404" s="1"/>
      <c r="BK404" s="1"/>
      <c r="BL404" s="1"/>
      <c r="BM404" s="1"/>
      <c r="BN404" s="1"/>
      <c r="BO404" s="1"/>
      <c r="BP404" s="1"/>
      <c r="BQ404" s="1"/>
      <c r="BR404" s="1"/>
      <c r="CD404" s="1"/>
      <c r="CE404" s="1"/>
      <c r="CF404" s="1"/>
      <c r="CG404" s="1"/>
      <c r="CH404" s="1"/>
      <c r="CI404" s="1"/>
      <c r="CM404" s="2"/>
      <c r="CN404" s="1"/>
      <c r="CO404" s="1"/>
      <c r="CP404" s="1"/>
      <c r="CQ404" s="1"/>
      <c r="CR404" s="1"/>
      <c r="CS404" s="1"/>
      <c r="CT404" s="1"/>
      <c r="CU404" s="1"/>
      <c r="CV404" s="1"/>
      <c r="CW404" s="1"/>
      <c r="CX404" s="1"/>
      <c r="CY404" s="1"/>
      <c r="CZ404" s="1"/>
      <c r="DA404" s="1"/>
      <c r="DB404" s="1"/>
      <c r="DC404" s="1"/>
      <c r="DD404" s="1"/>
      <c r="DE404" s="1"/>
      <c r="DF404" s="1"/>
      <c r="DG404" s="1"/>
      <c r="DH404" s="1"/>
      <c r="DI404" s="1"/>
      <c r="DJ404" s="1"/>
      <c r="DK404" s="1"/>
      <c r="DM404" s="1"/>
      <c r="DQ404" s="1"/>
      <c r="DR404" s="1"/>
      <c r="DY404" s="1"/>
      <c r="DZ404" s="1"/>
      <c r="ED404" s="1"/>
      <c r="EF404" s="1"/>
      <c r="EK404" s="1"/>
      <c r="EL404" s="1"/>
      <c r="EM404" s="1"/>
      <c r="EN404" s="1"/>
      <c r="EQ404" s="1"/>
      <c r="ER404" s="1"/>
      <c r="ES404" s="1"/>
      <c r="EV404" s="1"/>
      <c r="EW404" s="1"/>
      <c r="EZ404" s="1"/>
      <c r="FA404" s="1"/>
      <c r="FD404" s="1"/>
      <c r="FH404" s="1"/>
      <c r="FJ404" s="1"/>
      <c r="FM404" s="1"/>
      <c r="FN404" s="1"/>
      <c r="FO404" s="1"/>
      <c r="FP404" s="1"/>
      <c r="FS404" s="1"/>
      <c r="FT404" s="1"/>
      <c r="FV404" s="1"/>
      <c r="FW404" s="1"/>
      <c r="FX404" s="1"/>
      <c r="GA404" s="1"/>
      <c r="GD404" s="1"/>
      <c r="GE404" s="1"/>
      <c r="GF404" s="1"/>
      <c r="GG404" s="1"/>
      <c r="GH404" s="1"/>
      <c r="GI404" s="1"/>
      <c r="GJ404" s="1"/>
      <c r="GK404" s="1"/>
      <c r="GL404" s="1"/>
      <c r="GM404" s="1"/>
      <c r="GN404" s="1"/>
      <c r="GO404" s="1"/>
      <c r="GP404" s="1"/>
      <c r="GR404" s="1"/>
      <c r="GY404" s="1"/>
      <c r="HF404" s="1"/>
      <c r="HH404" s="1"/>
      <c r="HN404" s="1"/>
      <c r="HT404" s="1"/>
      <c r="HY404" s="1"/>
      <c r="IE404" s="1"/>
      <c r="IR404" s="1"/>
      <c r="IS404" s="1"/>
      <c r="IW404" s="1"/>
      <c r="IZ404" s="1"/>
      <c r="JA404" s="1"/>
      <c r="JC404" s="1"/>
      <c r="JF404" s="1"/>
      <c r="JG404" s="1"/>
      <c r="JH404" s="1"/>
      <c r="JJ404" s="1"/>
      <c r="JN404" s="1"/>
      <c r="JP404" s="1"/>
      <c r="JQ404" s="1"/>
      <c r="JT404" s="1"/>
      <c r="KW404" s="1"/>
      <c r="KY404" s="1"/>
      <c r="KZ404" s="1"/>
      <c r="LA404" s="1"/>
      <c r="LB404" s="1"/>
      <c r="LC404" s="1"/>
      <c r="LD404" s="1"/>
      <c r="LG404" s="1"/>
      <c r="LH404" s="5"/>
      <c r="LN404" s="1"/>
      <c r="LO404" s="1"/>
      <c r="LP404" s="1"/>
      <c r="LZ404" s="1"/>
      <c r="MA404" s="1"/>
    </row>
    <row r="405" spans="4:339" ht="13" x14ac:dyDescent="0.15">
      <c r="D405" s="12"/>
      <c r="E405" s="12"/>
      <c r="I405" s="12"/>
      <c r="J405" s="13"/>
      <c r="BF405" s="1"/>
      <c r="BG405" s="1"/>
      <c r="BH405" s="1"/>
      <c r="BI405" s="1"/>
      <c r="BK405" s="1"/>
      <c r="BL405" s="1"/>
      <c r="BM405" s="1"/>
      <c r="BN405" s="1"/>
      <c r="BO405" s="1"/>
      <c r="BP405" s="1"/>
      <c r="BQ405" s="1"/>
      <c r="BR405" s="1"/>
      <c r="CD405" s="1"/>
      <c r="CE405" s="1"/>
      <c r="CF405" s="1"/>
      <c r="CG405" s="1"/>
      <c r="CH405" s="1"/>
      <c r="CI405" s="1"/>
      <c r="CM405" s="2"/>
      <c r="CN405" s="1"/>
      <c r="CO405" s="1"/>
      <c r="CP405" s="1"/>
      <c r="CQ405" s="1"/>
      <c r="CR405" s="1"/>
      <c r="CS405" s="1"/>
      <c r="CT405" s="1"/>
      <c r="CU405" s="1"/>
      <c r="CV405" s="1"/>
      <c r="CW405" s="1"/>
      <c r="CX405" s="1"/>
      <c r="CY405" s="1"/>
      <c r="CZ405" s="1"/>
      <c r="DA405" s="1"/>
      <c r="DB405" s="1"/>
      <c r="DC405" s="1"/>
      <c r="DD405" s="1"/>
      <c r="DE405" s="1"/>
      <c r="DF405" s="1"/>
      <c r="DG405" s="1"/>
      <c r="DH405" s="1"/>
      <c r="DI405" s="1"/>
      <c r="DJ405" s="1"/>
      <c r="DK405" s="1"/>
      <c r="DM405" s="1"/>
      <c r="DQ405" s="1"/>
      <c r="DR405" s="1"/>
      <c r="DY405" s="1"/>
      <c r="DZ405" s="1"/>
      <c r="ED405" s="1"/>
      <c r="EF405" s="1"/>
      <c r="EK405" s="1"/>
      <c r="EL405" s="1"/>
      <c r="EM405" s="1"/>
      <c r="EN405" s="1"/>
      <c r="EQ405" s="1"/>
      <c r="ER405" s="1"/>
      <c r="ES405" s="1"/>
      <c r="EV405" s="1"/>
      <c r="EW405" s="1"/>
      <c r="EZ405" s="1"/>
      <c r="FA405" s="1"/>
      <c r="FD405" s="1"/>
      <c r="FH405" s="1"/>
      <c r="FJ405" s="1"/>
      <c r="FM405" s="1"/>
      <c r="FN405" s="1"/>
      <c r="FO405" s="1"/>
      <c r="FP405" s="1"/>
      <c r="FS405" s="1"/>
      <c r="FT405" s="1"/>
      <c r="FV405" s="1"/>
      <c r="FW405" s="1"/>
      <c r="FX405" s="1"/>
      <c r="GA405" s="1"/>
      <c r="GD405" s="1"/>
      <c r="GE405" s="1"/>
      <c r="GF405" s="1"/>
      <c r="GG405" s="1"/>
      <c r="GH405" s="1"/>
      <c r="GI405" s="1"/>
      <c r="GJ405" s="1"/>
      <c r="GK405" s="1"/>
      <c r="GL405" s="1"/>
      <c r="GM405" s="1"/>
      <c r="GN405" s="1"/>
      <c r="GO405" s="1"/>
      <c r="GP405" s="1"/>
      <c r="GR405" s="1"/>
      <c r="GY405" s="1"/>
      <c r="HF405" s="1"/>
      <c r="HH405" s="1"/>
      <c r="HN405" s="1"/>
      <c r="HT405" s="1"/>
      <c r="HY405" s="1"/>
      <c r="IE405" s="1"/>
      <c r="IR405" s="1"/>
      <c r="IS405" s="1"/>
      <c r="IW405" s="1"/>
      <c r="IZ405" s="1"/>
      <c r="JA405" s="1"/>
      <c r="JC405" s="1"/>
      <c r="JF405" s="1"/>
      <c r="JG405" s="1"/>
      <c r="JH405" s="1"/>
      <c r="JJ405" s="1"/>
      <c r="JN405" s="1"/>
      <c r="JP405" s="1"/>
      <c r="JQ405" s="1"/>
      <c r="JT405" s="1"/>
      <c r="KW405" s="1"/>
      <c r="KY405" s="1"/>
      <c r="KZ405" s="1"/>
      <c r="LA405" s="1"/>
      <c r="LB405" s="1"/>
      <c r="LC405" s="1"/>
      <c r="LD405" s="1"/>
      <c r="LG405" s="1"/>
      <c r="LH405" s="5"/>
      <c r="LN405" s="1"/>
      <c r="LO405" s="1"/>
      <c r="LP405" s="1"/>
      <c r="LZ405" s="1"/>
      <c r="MA405" s="1"/>
    </row>
    <row r="406" spans="4:339" ht="13" x14ac:dyDescent="0.15">
      <c r="D406" s="12"/>
      <c r="E406" s="12"/>
      <c r="I406" s="12"/>
      <c r="J406" s="13"/>
      <c r="BF406" s="1"/>
      <c r="BG406" s="1"/>
      <c r="BH406" s="1"/>
      <c r="BI406" s="1"/>
      <c r="BK406" s="1"/>
      <c r="BL406" s="1"/>
      <c r="BM406" s="1"/>
      <c r="BN406" s="1"/>
      <c r="BO406" s="1"/>
      <c r="BP406" s="1"/>
      <c r="BQ406" s="1"/>
      <c r="BR406" s="1"/>
      <c r="BX406" s="1"/>
      <c r="CD406" s="1"/>
      <c r="CE406" s="1"/>
      <c r="CF406" s="1"/>
      <c r="CG406" s="1"/>
      <c r="CH406" s="1"/>
      <c r="CI406" s="1"/>
      <c r="CM406" s="2"/>
      <c r="CN406" s="1"/>
      <c r="CO406" s="1"/>
      <c r="CP406" s="1"/>
      <c r="CQ406" s="1"/>
      <c r="CR406" s="1"/>
      <c r="CS406" s="1"/>
      <c r="CT406" s="1"/>
      <c r="CU406" s="1"/>
      <c r="CV406" s="1"/>
      <c r="CW406" s="1"/>
      <c r="CX406" s="1"/>
      <c r="CY406" s="1"/>
      <c r="CZ406" s="1"/>
      <c r="DA406" s="1"/>
      <c r="DB406" s="1"/>
      <c r="DC406" s="1"/>
      <c r="DD406" s="1"/>
      <c r="DE406" s="1"/>
      <c r="DF406" s="1"/>
      <c r="DG406" s="1"/>
      <c r="DH406" s="1"/>
      <c r="DI406" s="1"/>
      <c r="DJ406" s="1"/>
      <c r="DK406" s="1"/>
      <c r="DM406" s="1"/>
      <c r="DR406" s="1"/>
      <c r="ED406" s="1"/>
      <c r="EF406" s="1"/>
      <c r="EK406" s="1"/>
      <c r="EL406" s="1"/>
      <c r="EM406" s="1"/>
      <c r="EN406" s="1"/>
      <c r="EQ406" s="1"/>
      <c r="ER406" s="1"/>
      <c r="ES406" s="1"/>
      <c r="EV406" s="1"/>
      <c r="EW406" s="1"/>
      <c r="EX406" s="1"/>
      <c r="EZ406" s="1"/>
      <c r="FA406" s="1"/>
      <c r="FD406" s="1"/>
      <c r="FG406" s="1"/>
      <c r="FH406" s="1"/>
      <c r="FI406" s="1"/>
      <c r="FJ406" s="1"/>
      <c r="FK406" s="1"/>
      <c r="FM406" s="1"/>
      <c r="FN406" s="1"/>
      <c r="FO406" s="1"/>
      <c r="FP406" s="1"/>
      <c r="FQ406" s="1"/>
      <c r="FR406" s="1"/>
      <c r="FS406" s="1"/>
      <c r="FT406" s="1"/>
      <c r="FU406" s="1"/>
      <c r="FV406" s="1"/>
      <c r="FW406" s="1"/>
      <c r="FX406" s="1"/>
      <c r="FY406" s="1"/>
      <c r="FZ406" s="1"/>
      <c r="GA406" s="1"/>
      <c r="GB406" s="1"/>
      <c r="GD406" s="1"/>
      <c r="GE406" s="1"/>
      <c r="GF406" s="1"/>
      <c r="GG406" s="1"/>
      <c r="GH406" s="1"/>
      <c r="GI406" s="1"/>
      <c r="GJ406" s="1"/>
      <c r="GK406" s="1"/>
      <c r="GL406" s="1"/>
      <c r="GM406" s="1"/>
      <c r="GN406" s="1"/>
      <c r="GP406" s="1"/>
      <c r="GR406" s="1"/>
      <c r="GY406" s="1"/>
      <c r="HF406" s="1"/>
      <c r="HH406" s="1"/>
      <c r="HN406" s="1"/>
      <c r="HQ406" s="1"/>
      <c r="HT406" s="1"/>
      <c r="HY406" s="1"/>
      <c r="IC406" s="1"/>
      <c r="IE406" s="1"/>
      <c r="IR406" s="1"/>
      <c r="IS406" s="1"/>
      <c r="IZ406" s="1"/>
      <c r="JC406" s="1"/>
      <c r="JF406" s="1"/>
      <c r="JG406" s="1"/>
      <c r="JH406" s="1"/>
      <c r="JJ406" s="1"/>
      <c r="JN406" s="1"/>
      <c r="JP406" s="1"/>
      <c r="JQ406" s="1"/>
      <c r="JT406" s="1"/>
      <c r="KU406" s="1"/>
      <c r="KV406" s="1"/>
      <c r="KW406" s="1"/>
      <c r="KY406" s="1"/>
      <c r="KZ406" s="1"/>
      <c r="LA406" s="1"/>
      <c r="LB406" s="1"/>
      <c r="LC406" s="1"/>
      <c r="LD406" s="1"/>
      <c r="LO406" s="1"/>
      <c r="LP406" s="1"/>
      <c r="LZ406" s="1"/>
      <c r="MA406" s="1"/>
    </row>
    <row r="407" spans="4:339" ht="13" x14ac:dyDescent="0.15">
      <c r="D407" s="12"/>
      <c r="E407" s="12"/>
      <c r="I407" s="12"/>
      <c r="J407" s="13"/>
      <c r="BF407" s="1"/>
      <c r="BG407" s="1"/>
      <c r="BH407" s="1"/>
      <c r="BI407" s="1"/>
      <c r="BK407" s="1"/>
      <c r="BL407" s="1"/>
      <c r="BM407" s="1"/>
      <c r="BN407" s="1"/>
      <c r="BO407" s="1"/>
      <c r="BP407" s="1"/>
      <c r="BQ407" s="1"/>
      <c r="BR407" s="1"/>
      <c r="BX407" s="1"/>
      <c r="CD407" s="1"/>
      <c r="CE407" s="1"/>
      <c r="CF407" s="1"/>
      <c r="CG407" s="1"/>
      <c r="CH407" s="1"/>
      <c r="CI407" s="1"/>
      <c r="CM407" s="2"/>
      <c r="CN407" s="1"/>
      <c r="CO407" s="1"/>
      <c r="CP407" s="1"/>
      <c r="CQ407" s="1"/>
      <c r="CR407" s="1"/>
      <c r="CS407" s="1"/>
      <c r="CT407" s="1"/>
      <c r="CU407" s="1"/>
      <c r="CV407" s="1"/>
      <c r="CW407" s="1"/>
      <c r="CX407" s="1"/>
      <c r="CY407" s="1"/>
      <c r="CZ407" s="1"/>
      <c r="DA407" s="1"/>
      <c r="DB407" s="1"/>
      <c r="DC407" s="1"/>
      <c r="DD407" s="1"/>
      <c r="DE407" s="1"/>
      <c r="DF407" s="1"/>
      <c r="DG407" s="1"/>
      <c r="DH407" s="1"/>
      <c r="DI407" s="1"/>
      <c r="DJ407" s="1"/>
      <c r="DK407" s="1"/>
      <c r="DM407" s="1"/>
      <c r="DR407" s="1"/>
      <c r="ED407" s="1"/>
      <c r="EF407" s="1"/>
      <c r="EK407" s="1"/>
      <c r="EL407" s="1"/>
      <c r="EM407" s="1"/>
      <c r="EN407" s="1"/>
      <c r="EQ407" s="1"/>
      <c r="ER407" s="1"/>
      <c r="ES407" s="1"/>
      <c r="EV407" s="1"/>
      <c r="EW407" s="1"/>
      <c r="EX407" s="1"/>
      <c r="EZ407" s="1"/>
      <c r="FA407" s="1"/>
      <c r="FD407" s="1"/>
      <c r="FG407" s="1"/>
      <c r="FH407" s="1"/>
      <c r="FI407" s="1"/>
      <c r="FJ407" s="1"/>
      <c r="FK407" s="1"/>
      <c r="FM407" s="1"/>
      <c r="FN407" s="1"/>
      <c r="FO407" s="1"/>
      <c r="FP407" s="1"/>
      <c r="FQ407" s="1"/>
      <c r="FR407" s="1"/>
      <c r="FS407" s="1"/>
      <c r="FT407" s="1"/>
      <c r="FU407" s="1"/>
      <c r="FV407" s="1"/>
      <c r="FW407" s="1"/>
      <c r="FX407" s="1"/>
      <c r="FY407" s="1"/>
      <c r="FZ407" s="1"/>
      <c r="GA407" s="1"/>
      <c r="GB407" s="1"/>
      <c r="GD407" s="1"/>
      <c r="GE407" s="1"/>
      <c r="GF407" s="1"/>
      <c r="GG407" s="1"/>
      <c r="GH407" s="1"/>
      <c r="GI407" s="1"/>
      <c r="GJ407" s="1"/>
      <c r="GK407" s="1"/>
      <c r="GL407" s="1"/>
      <c r="GM407" s="1"/>
      <c r="GN407" s="1"/>
      <c r="GP407" s="1"/>
      <c r="GR407" s="1"/>
      <c r="GY407" s="1"/>
      <c r="HF407" s="1"/>
      <c r="HH407" s="1"/>
      <c r="HN407" s="1"/>
      <c r="HQ407" s="1"/>
      <c r="HT407" s="1"/>
      <c r="HY407" s="1"/>
      <c r="IC407" s="1"/>
      <c r="IE407" s="1"/>
      <c r="IR407" s="1"/>
      <c r="IS407" s="1"/>
      <c r="IZ407" s="1"/>
      <c r="JC407" s="1"/>
      <c r="JF407" s="1"/>
      <c r="JG407" s="1"/>
      <c r="JH407" s="1"/>
      <c r="JJ407" s="1"/>
      <c r="JN407" s="1"/>
      <c r="JP407" s="1"/>
      <c r="JQ407" s="1"/>
      <c r="JT407" s="1"/>
      <c r="KU407" s="1"/>
      <c r="KV407" s="1"/>
      <c r="KW407" s="1"/>
      <c r="KY407" s="1"/>
      <c r="KZ407" s="1"/>
      <c r="LA407" s="1"/>
      <c r="LB407" s="1"/>
      <c r="LC407" s="1"/>
      <c r="LD407" s="1"/>
      <c r="LO407" s="1"/>
      <c r="LP407" s="1"/>
      <c r="LZ407" s="1"/>
      <c r="MA407" s="1"/>
    </row>
    <row r="408" spans="4:339" ht="13" x14ac:dyDescent="0.15">
      <c r="D408" s="12"/>
      <c r="E408" s="12"/>
      <c r="I408" s="12"/>
      <c r="J408" s="13"/>
      <c r="BF408" s="1"/>
      <c r="BG408" s="1"/>
      <c r="BH408" s="1"/>
      <c r="BI408" s="1"/>
      <c r="BK408" s="1"/>
      <c r="BL408" s="1"/>
      <c r="BM408" s="1"/>
      <c r="BN408" s="1"/>
      <c r="BO408" s="1"/>
      <c r="BP408" s="1"/>
      <c r="BQ408" s="1"/>
      <c r="BR408" s="1"/>
      <c r="BX408" s="1"/>
      <c r="CD408" s="1"/>
      <c r="CE408" s="1"/>
      <c r="CF408" s="1"/>
      <c r="CG408" s="1"/>
      <c r="CH408" s="1"/>
      <c r="CI408" s="1"/>
      <c r="CM408" s="2"/>
      <c r="CN408" s="1"/>
      <c r="CO408" s="1"/>
      <c r="CP408" s="1"/>
      <c r="CQ408" s="1"/>
      <c r="CR408" s="1"/>
      <c r="CS408" s="1"/>
      <c r="CT408" s="1"/>
      <c r="CU408" s="1"/>
      <c r="CV408" s="1"/>
      <c r="CW408" s="1"/>
      <c r="CX408" s="1"/>
      <c r="CY408" s="1"/>
      <c r="CZ408" s="1"/>
      <c r="DA408" s="1"/>
      <c r="DB408" s="1"/>
      <c r="DC408" s="1"/>
      <c r="DD408" s="1"/>
      <c r="DE408" s="1"/>
      <c r="DF408" s="1"/>
      <c r="DG408" s="1"/>
      <c r="DH408" s="1"/>
      <c r="DI408" s="1"/>
      <c r="DJ408" s="1"/>
      <c r="DK408" s="1"/>
      <c r="DM408" s="1"/>
      <c r="DR408" s="1"/>
      <c r="ED408" s="1"/>
      <c r="EF408" s="1"/>
      <c r="EK408" s="1"/>
      <c r="EL408" s="1"/>
      <c r="EM408" s="1"/>
      <c r="EN408" s="1"/>
      <c r="EQ408" s="1"/>
      <c r="ER408" s="1"/>
      <c r="ES408" s="1"/>
      <c r="EV408" s="1"/>
      <c r="EW408" s="1"/>
      <c r="EX408" s="1"/>
      <c r="EZ408" s="1"/>
      <c r="FA408" s="1"/>
      <c r="FD408" s="1"/>
      <c r="FG408" s="1"/>
      <c r="FH408" s="1"/>
      <c r="FI408" s="1"/>
      <c r="FJ408" s="1"/>
      <c r="FK408" s="1"/>
      <c r="FM408" s="1"/>
      <c r="FN408" s="1"/>
      <c r="FO408" s="1"/>
      <c r="FP408" s="1"/>
      <c r="FQ408" s="1"/>
      <c r="FR408" s="1"/>
      <c r="FS408" s="1"/>
      <c r="FT408" s="1"/>
      <c r="FU408" s="1"/>
      <c r="FV408" s="1"/>
      <c r="FW408" s="1"/>
      <c r="FX408" s="1"/>
      <c r="FY408" s="1"/>
      <c r="FZ408" s="1"/>
      <c r="GA408" s="1"/>
      <c r="GB408" s="1"/>
      <c r="GD408" s="1"/>
      <c r="GE408" s="1"/>
      <c r="GF408" s="1"/>
      <c r="GG408" s="1"/>
      <c r="GH408" s="1"/>
      <c r="GI408" s="1"/>
      <c r="GJ408" s="1"/>
      <c r="GK408" s="1"/>
      <c r="GL408" s="1"/>
      <c r="GM408" s="1"/>
      <c r="GN408" s="1"/>
      <c r="GP408" s="1"/>
      <c r="GR408" s="1"/>
      <c r="GY408" s="1"/>
      <c r="HF408" s="1"/>
      <c r="HH408" s="1"/>
      <c r="HN408" s="1"/>
      <c r="HQ408" s="1"/>
      <c r="HT408" s="1"/>
      <c r="HY408" s="1"/>
      <c r="IC408" s="1"/>
      <c r="IE408" s="1"/>
      <c r="IR408" s="1"/>
      <c r="IS408" s="1"/>
      <c r="IZ408" s="1"/>
      <c r="JC408" s="1"/>
      <c r="JF408" s="1"/>
      <c r="JG408" s="1"/>
      <c r="JH408" s="1"/>
      <c r="JJ408" s="1"/>
      <c r="JN408" s="1"/>
      <c r="JP408" s="1"/>
      <c r="JQ408" s="1"/>
      <c r="JT408" s="1"/>
      <c r="KU408" s="1"/>
      <c r="KV408" s="1"/>
      <c r="KW408" s="1"/>
      <c r="KY408" s="1"/>
      <c r="KZ408" s="1"/>
      <c r="LA408" s="1"/>
      <c r="LB408" s="1"/>
      <c r="LC408" s="1"/>
      <c r="LD408" s="1"/>
      <c r="LO408" s="1"/>
      <c r="LP408" s="1"/>
      <c r="LZ408" s="1"/>
      <c r="MA408" s="1"/>
    </row>
    <row r="409" spans="4:339" ht="13" x14ac:dyDescent="0.15">
      <c r="D409" s="12"/>
      <c r="E409" s="12"/>
      <c r="I409" s="12"/>
      <c r="J409" s="13"/>
      <c r="BF409" s="1"/>
      <c r="BG409" s="1"/>
      <c r="BH409" s="1"/>
      <c r="BI409" s="1"/>
      <c r="BK409" s="1"/>
      <c r="BL409" s="1"/>
      <c r="BM409" s="1"/>
      <c r="BN409" s="1"/>
      <c r="BO409" s="1"/>
      <c r="BP409" s="1"/>
      <c r="BQ409" s="1"/>
      <c r="BR409" s="1"/>
      <c r="BX409" s="1"/>
      <c r="CD409" s="1"/>
      <c r="CE409" s="1"/>
      <c r="CF409" s="1"/>
      <c r="CG409" s="1"/>
      <c r="CH409" s="1"/>
      <c r="CI409" s="1"/>
      <c r="CM409" s="2"/>
      <c r="CN409" s="1"/>
      <c r="CO409" s="1"/>
      <c r="CP409" s="1"/>
      <c r="CQ409" s="1"/>
      <c r="CR409" s="1"/>
      <c r="CS409" s="1"/>
      <c r="CT409" s="1"/>
      <c r="CU409" s="1"/>
      <c r="CV409" s="1"/>
      <c r="CW409" s="1"/>
      <c r="CX409" s="1"/>
      <c r="CY409" s="1"/>
      <c r="CZ409" s="1"/>
      <c r="DA409" s="1"/>
      <c r="DB409" s="1"/>
      <c r="DC409" s="1"/>
      <c r="DD409" s="1"/>
      <c r="DE409" s="1"/>
      <c r="DF409" s="1"/>
      <c r="DG409" s="1"/>
      <c r="DH409" s="1"/>
      <c r="DI409" s="1"/>
      <c r="DJ409" s="1"/>
      <c r="DK409" s="1"/>
      <c r="DM409" s="1"/>
      <c r="DR409" s="1"/>
      <c r="ED409" s="1"/>
      <c r="EF409" s="1"/>
      <c r="EK409" s="1"/>
      <c r="EL409" s="1"/>
      <c r="EM409" s="1"/>
      <c r="EN409" s="1"/>
      <c r="EQ409" s="1"/>
      <c r="ER409" s="1"/>
      <c r="ES409" s="1"/>
      <c r="EV409" s="1"/>
      <c r="EW409" s="1"/>
      <c r="EX409" s="1"/>
      <c r="EZ409" s="1"/>
      <c r="FA409" s="1"/>
      <c r="FD409" s="1"/>
      <c r="FG409" s="1"/>
      <c r="FH409" s="1"/>
      <c r="FI409" s="1"/>
      <c r="FJ409" s="1"/>
      <c r="FK409" s="1"/>
      <c r="FM409" s="1"/>
      <c r="FN409" s="1"/>
      <c r="FO409" s="1"/>
      <c r="FP409" s="1"/>
      <c r="FQ409" s="1"/>
      <c r="FR409" s="1"/>
      <c r="FS409" s="1"/>
      <c r="FT409" s="1"/>
      <c r="FU409" s="1"/>
      <c r="FV409" s="1"/>
      <c r="FW409" s="1"/>
      <c r="FX409" s="1"/>
      <c r="FY409" s="1"/>
      <c r="FZ409" s="1"/>
      <c r="GA409" s="1"/>
      <c r="GB409" s="1"/>
      <c r="GD409" s="1"/>
      <c r="GE409" s="1"/>
      <c r="GF409" s="1"/>
      <c r="GG409" s="1"/>
      <c r="GH409" s="1"/>
      <c r="GI409" s="1"/>
      <c r="GJ409" s="1"/>
      <c r="GK409" s="1"/>
      <c r="GL409" s="1"/>
      <c r="GM409" s="1"/>
      <c r="GN409" s="1"/>
      <c r="GP409" s="1"/>
      <c r="GR409" s="1"/>
      <c r="GY409" s="1"/>
      <c r="HF409" s="1"/>
      <c r="HH409" s="1"/>
      <c r="HN409" s="1"/>
      <c r="HQ409" s="1"/>
      <c r="HT409" s="1"/>
      <c r="HY409" s="1"/>
      <c r="IC409" s="1"/>
      <c r="IE409" s="1"/>
      <c r="IR409" s="1"/>
      <c r="IS409" s="1"/>
      <c r="IZ409" s="1"/>
      <c r="JC409" s="1"/>
      <c r="JF409" s="1"/>
      <c r="JG409" s="1"/>
      <c r="JH409" s="1"/>
      <c r="JJ409" s="1"/>
      <c r="JN409" s="1"/>
      <c r="JP409" s="1"/>
      <c r="JQ409" s="1"/>
      <c r="JT409" s="1"/>
      <c r="KU409" s="1"/>
      <c r="KV409" s="1"/>
      <c r="KW409" s="1"/>
      <c r="KY409" s="1"/>
      <c r="KZ409" s="1"/>
      <c r="LA409" s="1"/>
      <c r="LB409" s="1"/>
      <c r="LC409" s="1"/>
      <c r="LD409" s="1"/>
      <c r="LO409" s="1"/>
      <c r="LP409" s="1"/>
      <c r="LZ409" s="1"/>
      <c r="MA409" s="1"/>
    </row>
    <row r="410" spans="4:339" ht="13" x14ac:dyDescent="0.15">
      <c r="D410" s="12"/>
      <c r="E410" s="12"/>
      <c r="I410" s="12"/>
      <c r="J410" s="13"/>
      <c r="BF410" s="1"/>
      <c r="BG410" s="1"/>
      <c r="BH410" s="1"/>
      <c r="BI410" s="1"/>
      <c r="BK410" s="1"/>
      <c r="BL410" s="1"/>
      <c r="BM410" s="1"/>
      <c r="BN410" s="1"/>
      <c r="BO410" s="1"/>
      <c r="BP410" s="1"/>
      <c r="BQ410" s="1"/>
      <c r="BR410" s="1"/>
      <c r="CD410" s="1"/>
      <c r="CE410" s="1"/>
      <c r="CF410" s="1"/>
      <c r="CG410" s="1"/>
      <c r="CH410" s="1"/>
      <c r="CI410" s="1"/>
      <c r="CM410" s="2"/>
      <c r="CN410" s="1"/>
      <c r="CO410" s="1"/>
      <c r="CP410" s="1"/>
      <c r="CQ410" s="1"/>
      <c r="CR410" s="1"/>
      <c r="CS410" s="1"/>
      <c r="CT410" s="1"/>
      <c r="CU410" s="1"/>
      <c r="CV410" s="1"/>
      <c r="CW410" s="1"/>
      <c r="CX410" s="1"/>
      <c r="CY410" s="1"/>
      <c r="CZ410" s="1"/>
      <c r="DA410" s="1"/>
      <c r="DB410" s="1"/>
      <c r="DC410" s="1"/>
      <c r="DD410" s="1"/>
      <c r="DE410" s="1"/>
      <c r="DF410" s="1"/>
      <c r="DG410" s="1"/>
      <c r="DH410" s="1"/>
      <c r="DI410" s="1"/>
      <c r="DJ410" s="1"/>
      <c r="DK410" s="1"/>
      <c r="ED410" s="1"/>
      <c r="EE410" s="1"/>
      <c r="EF410" s="1"/>
      <c r="EG410" s="1"/>
      <c r="EH410" s="1"/>
      <c r="EK410" s="1"/>
      <c r="EL410" s="1"/>
      <c r="EM410" s="1"/>
      <c r="EN410" s="1"/>
      <c r="EQ410" s="1"/>
      <c r="ER410" s="1"/>
      <c r="ES410" s="1"/>
      <c r="EV410" s="1"/>
      <c r="EW410" s="1"/>
      <c r="EY410" s="1"/>
      <c r="EZ410" s="1"/>
      <c r="FA410" s="1"/>
      <c r="FD410" s="1"/>
      <c r="FE410" s="1"/>
      <c r="FF410" s="1"/>
      <c r="FH410" s="1"/>
      <c r="FJ410" s="1"/>
      <c r="FP410" s="1"/>
      <c r="FS410" s="1"/>
      <c r="FU410" s="1"/>
      <c r="FV410" s="1"/>
      <c r="FW410" s="1"/>
      <c r="FX410" s="1"/>
      <c r="FZ410" s="1"/>
      <c r="GA410" s="1"/>
      <c r="GD410" s="1"/>
      <c r="GE410" s="1"/>
      <c r="GF410" s="1"/>
      <c r="GG410" s="1"/>
      <c r="GH410" s="1"/>
      <c r="GI410" s="1"/>
      <c r="GJ410" s="1"/>
      <c r="GK410" s="1"/>
      <c r="GL410" s="1"/>
      <c r="GM410" s="1"/>
      <c r="GN410" s="1"/>
      <c r="GP410" s="1"/>
      <c r="GR410" s="1"/>
      <c r="GY410" s="1"/>
      <c r="HF410" s="1"/>
      <c r="HH410" s="1"/>
      <c r="HT410" s="1"/>
      <c r="HY410" s="1"/>
      <c r="ID410" s="1"/>
      <c r="IE410" s="1"/>
      <c r="IG410" s="1"/>
      <c r="IJ410" s="1"/>
      <c r="IR410" s="1"/>
      <c r="IS410" s="1"/>
      <c r="IW410" s="1"/>
      <c r="IX410" s="1"/>
      <c r="IZ410" s="1"/>
      <c r="JB410" s="1"/>
      <c r="JC410" s="1"/>
      <c r="JF410" s="1"/>
      <c r="JG410" s="1"/>
      <c r="JH410" s="1"/>
      <c r="JJ410" s="1"/>
      <c r="JK410" s="1"/>
      <c r="JL410" s="3"/>
      <c r="JM410" s="1"/>
      <c r="JP410" s="1"/>
      <c r="JQ410" s="1"/>
      <c r="JR410" s="1"/>
      <c r="JT410" s="1"/>
      <c r="KV410" s="1"/>
      <c r="KY410" s="1"/>
      <c r="KZ410" s="1"/>
      <c r="LA410" s="1"/>
      <c r="LB410" s="1"/>
      <c r="LC410" s="1"/>
      <c r="LD410" s="1"/>
      <c r="LO410" s="1"/>
      <c r="LP410" s="1"/>
      <c r="LZ410" s="1"/>
      <c r="MA410" s="1"/>
    </row>
    <row r="411" spans="4:339" ht="13" x14ac:dyDescent="0.15">
      <c r="D411" s="12"/>
      <c r="E411" s="12"/>
      <c r="I411" s="12"/>
      <c r="J411" s="13"/>
      <c r="BF411" s="1"/>
      <c r="BG411" s="1"/>
      <c r="BH411" s="1"/>
      <c r="BI411" s="1"/>
      <c r="BK411" s="1"/>
      <c r="BL411" s="1"/>
      <c r="BM411" s="1"/>
      <c r="BN411" s="1"/>
      <c r="BO411" s="1"/>
      <c r="BP411" s="1"/>
      <c r="BQ411" s="1"/>
      <c r="BR411" s="1"/>
      <c r="BX411" s="1"/>
      <c r="CD411" s="1"/>
      <c r="CE411" s="1"/>
      <c r="CF411" s="1"/>
      <c r="CG411" s="1"/>
      <c r="CH411" s="1"/>
      <c r="CI411" s="1"/>
      <c r="CM411" s="2"/>
      <c r="CN411" s="1"/>
      <c r="CO411" s="1"/>
      <c r="CP411" s="1"/>
      <c r="CQ411" s="1"/>
      <c r="CR411" s="1"/>
      <c r="CS411" s="1"/>
      <c r="CT411" s="1"/>
      <c r="CU411" s="1"/>
      <c r="CV411" s="1"/>
      <c r="CW411" s="1"/>
      <c r="CX411" s="1"/>
      <c r="CY411" s="1"/>
      <c r="CZ411" s="1"/>
      <c r="DA411" s="1"/>
      <c r="DB411" s="1"/>
      <c r="DC411" s="1"/>
      <c r="DD411" s="1"/>
      <c r="DE411" s="1"/>
      <c r="DF411" s="1"/>
      <c r="DG411" s="1"/>
      <c r="DH411" s="1"/>
      <c r="DI411" s="1"/>
      <c r="DJ411" s="1"/>
      <c r="DK411" s="1"/>
      <c r="DM411" s="1"/>
      <c r="DR411" s="1"/>
      <c r="ED411" s="1"/>
      <c r="EF411" s="1"/>
      <c r="EK411" s="1"/>
      <c r="EL411" s="1"/>
      <c r="EM411" s="1"/>
      <c r="EN411" s="1"/>
      <c r="EQ411" s="1"/>
      <c r="ER411" s="1"/>
      <c r="ES411" s="1"/>
      <c r="EV411" s="1"/>
      <c r="EW411" s="1"/>
      <c r="EZ411" s="1"/>
      <c r="FA411" s="1"/>
      <c r="FD411" s="1"/>
      <c r="FG411" s="1"/>
      <c r="FH411" s="1"/>
      <c r="FI411" s="1"/>
      <c r="FJ411" s="1"/>
      <c r="FK411" s="1"/>
      <c r="FL411" s="1"/>
      <c r="FM411" s="1"/>
      <c r="FN411" s="1"/>
      <c r="FO411" s="1"/>
      <c r="FP411" s="1"/>
      <c r="FQ411" s="1"/>
      <c r="FR411" s="1"/>
      <c r="FS411" s="1"/>
      <c r="FT411" s="1"/>
      <c r="FU411" s="1"/>
      <c r="FV411" s="1"/>
      <c r="FW411" s="1"/>
      <c r="FX411" s="1"/>
      <c r="FY411" s="1"/>
      <c r="FZ411" s="1"/>
      <c r="GA411" s="1"/>
      <c r="GB411" s="1"/>
      <c r="GD411" s="1"/>
      <c r="GE411" s="1"/>
      <c r="GF411" s="1"/>
      <c r="GG411" s="1"/>
      <c r="GH411" s="1"/>
      <c r="GI411" s="1"/>
      <c r="GJ411" s="1"/>
      <c r="GK411" s="1"/>
      <c r="GL411" s="1"/>
      <c r="GM411" s="1"/>
      <c r="GN411" s="1"/>
      <c r="GO411" s="1"/>
      <c r="GP411" s="1"/>
      <c r="GR411" s="1"/>
      <c r="GY411" s="1"/>
      <c r="HF411" s="1"/>
      <c r="HH411" s="1"/>
      <c r="HN411" s="1"/>
      <c r="HQ411" s="1"/>
      <c r="HT411" s="1"/>
      <c r="HY411" s="1"/>
      <c r="IA411" s="1"/>
      <c r="IE411" s="1"/>
      <c r="IR411" s="1"/>
      <c r="IS411" s="1"/>
      <c r="IY411" s="1"/>
      <c r="IZ411" s="1"/>
      <c r="JC411" s="1"/>
      <c r="JF411" s="1"/>
      <c r="JG411" s="1"/>
      <c r="JH411" s="1"/>
      <c r="JI411" s="1"/>
      <c r="JJ411" s="1"/>
      <c r="JN411" s="1"/>
      <c r="JO411" s="1"/>
      <c r="JP411" s="1"/>
      <c r="JQ411" s="1"/>
      <c r="JT411" s="1"/>
      <c r="KU411" s="1"/>
      <c r="KV411" s="1"/>
      <c r="KY411" s="1"/>
      <c r="KZ411" s="1"/>
      <c r="LA411" s="1"/>
      <c r="LB411" s="1"/>
      <c r="LC411" s="1"/>
      <c r="LD411" s="1"/>
      <c r="LF411" s="1"/>
      <c r="LN411" s="1"/>
      <c r="LO411" s="1"/>
      <c r="LP411" s="1"/>
      <c r="LZ411" s="1"/>
      <c r="MA411" s="1"/>
    </row>
    <row r="412" spans="4:339" ht="13" x14ac:dyDescent="0.15">
      <c r="D412" s="12"/>
      <c r="E412" s="12"/>
      <c r="I412" s="12"/>
      <c r="J412" s="13"/>
      <c r="BF412" s="1"/>
      <c r="BG412" s="1"/>
      <c r="BH412" s="1"/>
      <c r="BI412" s="1"/>
      <c r="BK412" s="1"/>
      <c r="BL412" s="1"/>
      <c r="BM412" s="1"/>
      <c r="BN412" s="1"/>
      <c r="BO412" s="1"/>
      <c r="BP412" s="1"/>
      <c r="BQ412" s="1"/>
      <c r="BR412" s="1"/>
      <c r="BX412" s="1"/>
      <c r="CD412" s="1"/>
      <c r="CE412" s="1"/>
      <c r="CF412" s="1"/>
      <c r="CG412" s="1"/>
      <c r="CH412" s="1"/>
      <c r="CI412" s="1"/>
      <c r="CM412" s="2"/>
      <c r="CN412" s="1"/>
      <c r="CO412" s="1"/>
      <c r="CP412" s="1"/>
      <c r="CQ412" s="1"/>
      <c r="CR412" s="1"/>
      <c r="CS412" s="1"/>
      <c r="CT412" s="1"/>
      <c r="CU412" s="1"/>
      <c r="CV412" s="1"/>
      <c r="CW412" s="1"/>
      <c r="CX412" s="1"/>
      <c r="CY412" s="1"/>
      <c r="CZ412" s="1"/>
      <c r="DA412" s="1"/>
      <c r="DB412" s="1"/>
      <c r="DC412" s="1"/>
      <c r="DD412" s="1"/>
      <c r="DE412" s="1"/>
      <c r="DF412" s="1"/>
      <c r="DG412" s="1"/>
      <c r="DH412" s="1"/>
      <c r="DI412" s="1"/>
      <c r="DJ412" s="1"/>
      <c r="DK412" s="1"/>
      <c r="DM412" s="1"/>
      <c r="DR412" s="1"/>
      <c r="ED412" s="1"/>
      <c r="EF412" s="1"/>
      <c r="EK412" s="1"/>
      <c r="EL412" s="1"/>
      <c r="EM412" s="1"/>
      <c r="EN412" s="1"/>
      <c r="EQ412" s="1"/>
      <c r="ER412" s="1"/>
      <c r="ES412" s="1"/>
      <c r="EV412" s="1"/>
      <c r="EW412" s="1"/>
      <c r="EZ412" s="1"/>
      <c r="FA412" s="1"/>
      <c r="FD412" s="1"/>
      <c r="FG412" s="1"/>
      <c r="FH412" s="1"/>
      <c r="FI412" s="1"/>
      <c r="FJ412" s="1"/>
      <c r="FK412" s="1"/>
      <c r="FL412" s="1"/>
      <c r="FM412" s="1"/>
      <c r="FN412" s="1"/>
      <c r="FO412" s="1"/>
      <c r="FP412" s="1"/>
      <c r="FQ412" s="1"/>
      <c r="FR412" s="1"/>
      <c r="FS412" s="1"/>
      <c r="FT412" s="1"/>
      <c r="FU412" s="1"/>
      <c r="FV412" s="1"/>
      <c r="FW412" s="1"/>
      <c r="FX412" s="1"/>
      <c r="FY412" s="1"/>
      <c r="FZ412" s="1"/>
      <c r="GA412" s="1"/>
      <c r="GB412" s="1"/>
      <c r="GD412" s="1"/>
      <c r="GE412" s="1"/>
      <c r="GF412" s="1"/>
      <c r="GG412" s="1"/>
      <c r="GH412" s="1"/>
      <c r="GI412" s="1"/>
      <c r="GJ412" s="1"/>
      <c r="GK412" s="1"/>
      <c r="GL412" s="1"/>
      <c r="GM412" s="1"/>
      <c r="GN412" s="1"/>
      <c r="GO412" s="1"/>
      <c r="GP412" s="1"/>
      <c r="GR412" s="1"/>
      <c r="GY412" s="1"/>
      <c r="HF412" s="1"/>
      <c r="HH412" s="1"/>
      <c r="HN412" s="1"/>
      <c r="HQ412" s="1"/>
      <c r="HT412" s="1"/>
      <c r="HY412" s="1"/>
      <c r="IA412" s="1"/>
      <c r="IE412" s="1"/>
      <c r="IR412" s="1"/>
      <c r="IS412" s="1"/>
      <c r="IY412" s="1"/>
      <c r="IZ412" s="1"/>
      <c r="JC412" s="1"/>
      <c r="JF412" s="1"/>
      <c r="JG412" s="1"/>
      <c r="JH412" s="1"/>
      <c r="JI412" s="1"/>
      <c r="JJ412" s="1"/>
      <c r="JN412" s="1"/>
      <c r="JO412" s="1"/>
      <c r="JP412" s="1"/>
      <c r="JQ412" s="1"/>
      <c r="JT412" s="1"/>
      <c r="KU412" s="1"/>
      <c r="KV412" s="1"/>
      <c r="KY412" s="1"/>
      <c r="KZ412" s="1"/>
      <c r="LA412" s="1"/>
      <c r="LB412" s="1"/>
      <c r="LC412" s="1"/>
      <c r="LD412" s="1"/>
      <c r="LF412" s="1"/>
      <c r="LN412" s="1"/>
      <c r="LO412" s="1"/>
      <c r="LP412" s="1"/>
      <c r="LZ412" s="1"/>
      <c r="MA412" s="1"/>
    </row>
    <row r="413" spans="4:339" ht="13" x14ac:dyDescent="0.15">
      <c r="D413" s="12"/>
      <c r="E413" s="12"/>
      <c r="I413" s="12"/>
      <c r="J413" s="13"/>
      <c r="BF413" s="1"/>
      <c r="BG413" s="1"/>
      <c r="BH413" s="1"/>
      <c r="BI413" s="1"/>
      <c r="BK413" s="1"/>
      <c r="BL413" s="1"/>
      <c r="BM413" s="1"/>
      <c r="BN413" s="1"/>
      <c r="BO413" s="1"/>
      <c r="BP413" s="1"/>
      <c r="BQ413" s="1"/>
      <c r="BR413" s="1"/>
      <c r="BX413" s="1"/>
      <c r="CD413" s="1"/>
      <c r="CE413" s="1"/>
      <c r="CF413" s="1"/>
      <c r="CG413" s="1"/>
      <c r="CH413" s="1"/>
      <c r="CI413" s="1"/>
      <c r="CM413" s="2"/>
      <c r="CN413" s="1"/>
      <c r="CO413" s="1"/>
      <c r="CP413" s="1"/>
      <c r="CQ413" s="1"/>
      <c r="CR413" s="1"/>
      <c r="CS413" s="1"/>
      <c r="CT413" s="1"/>
      <c r="CU413" s="1"/>
      <c r="CV413" s="1"/>
      <c r="CW413" s="1"/>
      <c r="CX413" s="1"/>
      <c r="CY413" s="1"/>
      <c r="CZ413" s="1"/>
      <c r="DA413" s="1"/>
      <c r="DB413" s="1"/>
      <c r="DC413" s="1"/>
      <c r="DD413" s="1"/>
      <c r="DE413" s="1"/>
      <c r="DF413" s="1"/>
      <c r="DG413" s="1"/>
      <c r="DH413" s="1"/>
      <c r="DI413" s="1"/>
      <c r="DJ413" s="1"/>
      <c r="DK413" s="1"/>
      <c r="DM413" s="1"/>
      <c r="DQ413" s="1"/>
      <c r="DR413" s="1"/>
      <c r="DY413" s="1"/>
      <c r="DZ413" s="1"/>
      <c r="ED413" s="1"/>
      <c r="EE413" s="1"/>
      <c r="EF413" s="1"/>
      <c r="EG413" s="1"/>
      <c r="EH413" s="1"/>
      <c r="EK413" s="1"/>
      <c r="EL413" s="1"/>
      <c r="EM413" s="1"/>
      <c r="EN413" s="1"/>
      <c r="EQ413" s="1"/>
      <c r="ER413" s="1"/>
      <c r="ES413" s="1"/>
      <c r="EV413" s="1"/>
      <c r="EW413" s="1"/>
      <c r="EY413" s="1"/>
      <c r="EZ413" s="1"/>
      <c r="FA413" s="1"/>
      <c r="FD413" s="1"/>
      <c r="FS413" s="1"/>
      <c r="FU413" s="1"/>
      <c r="FW413" s="1"/>
      <c r="FX413" s="1"/>
      <c r="GA413" s="1"/>
      <c r="GD413" s="1"/>
      <c r="GE413" s="1"/>
      <c r="GF413" s="1"/>
      <c r="GG413" s="1"/>
      <c r="GH413" s="1"/>
      <c r="GI413" s="1"/>
      <c r="GJ413" s="1"/>
      <c r="GK413" s="1"/>
      <c r="GL413" s="1"/>
      <c r="GM413" s="1"/>
      <c r="GN413" s="1"/>
      <c r="GO413" s="1"/>
      <c r="GP413" s="1"/>
      <c r="GY413" s="1"/>
      <c r="HF413" s="1"/>
      <c r="HH413" s="1"/>
      <c r="HN413" s="1"/>
      <c r="HR413" s="1"/>
      <c r="HS413" s="1"/>
      <c r="HT413" s="1"/>
      <c r="HY413" s="1"/>
      <c r="ID413" s="1"/>
      <c r="IE413" s="1"/>
      <c r="IG413" s="1"/>
      <c r="IJ413" s="1"/>
      <c r="IK413" s="1"/>
      <c r="IR413" s="1"/>
      <c r="IS413" s="1"/>
      <c r="IZ413" s="1"/>
      <c r="JC413" s="1"/>
      <c r="JF413" s="1"/>
      <c r="JG413" s="1"/>
      <c r="JH413" s="1"/>
      <c r="JJ413" s="1"/>
      <c r="JK413" s="1"/>
      <c r="JL413" s="3"/>
      <c r="JM413" s="1"/>
      <c r="JN413" s="1"/>
      <c r="JP413" s="1"/>
      <c r="JQ413" s="1"/>
      <c r="JR413" s="1"/>
      <c r="JT413" s="1"/>
      <c r="KU413" s="1"/>
      <c r="KV413" s="1"/>
      <c r="KW413" s="1"/>
      <c r="KY413" s="1"/>
      <c r="KZ413" s="1"/>
      <c r="LA413" s="1"/>
      <c r="LB413" s="1"/>
      <c r="LC413" s="1"/>
      <c r="LD413" s="1"/>
      <c r="LF413" s="1"/>
      <c r="LN413" s="1"/>
      <c r="LO413" s="1"/>
      <c r="LP413" s="1"/>
      <c r="LZ413" s="1"/>
      <c r="MA413" s="1"/>
    </row>
    <row r="414" spans="4:339" ht="13" x14ac:dyDescent="0.15">
      <c r="D414" s="12"/>
      <c r="E414" s="12"/>
      <c r="I414" s="12"/>
      <c r="J414" s="13"/>
      <c r="BF414" s="1"/>
      <c r="BG414" s="1"/>
      <c r="BH414" s="1"/>
      <c r="BI414" s="1"/>
      <c r="BJ414" s="1"/>
      <c r="BK414" s="1"/>
      <c r="BL414" s="1"/>
      <c r="BM414" s="1"/>
      <c r="BN414" s="1"/>
      <c r="BP414" s="1"/>
      <c r="BQ414" s="1"/>
      <c r="BR414" s="1"/>
      <c r="CD414" s="1"/>
      <c r="CE414" s="1"/>
      <c r="CF414" s="1"/>
      <c r="CG414" s="1"/>
      <c r="CH414" s="1"/>
      <c r="CI414" s="1"/>
      <c r="CM414" s="2"/>
      <c r="CN414" s="1"/>
      <c r="CO414" s="1"/>
      <c r="CP414" s="1"/>
      <c r="CQ414" s="1"/>
      <c r="CX414" s="1"/>
      <c r="CY414" s="1"/>
      <c r="CZ414" s="1"/>
      <c r="DA414" s="1"/>
      <c r="DB414" s="1"/>
      <c r="DC414" s="1"/>
      <c r="DD414" s="1"/>
      <c r="DE414" s="1"/>
      <c r="DF414" s="1"/>
      <c r="DG414" s="1"/>
      <c r="DH414" s="1"/>
      <c r="DI414" s="1"/>
      <c r="DJ414" s="1"/>
      <c r="DK414" s="1"/>
      <c r="DM414" s="1"/>
      <c r="DR414" s="1"/>
      <c r="ED414" s="1"/>
      <c r="EF414" s="1"/>
      <c r="EK414" s="1"/>
      <c r="EL414" s="1"/>
      <c r="EM414" s="1"/>
      <c r="EN414" s="1"/>
      <c r="EQ414" s="1"/>
      <c r="ER414" s="1"/>
      <c r="ES414" s="1"/>
      <c r="EV414" s="1"/>
      <c r="EW414" s="1"/>
      <c r="EX414" s="1"/>
      <c r="EZ414" s="1"/>
      <c r="FA414" s="1"/>
      <c r="FD414" s="1"/>
      <c r="FG414" s="1"/>
      <c r="FH414" s="1"/>
      <c r="FI414" s="1"/>
      <c r="FJ414" s="1"/>
      <c r="FK414" s="1"/>
      <c r="FM414" s="1"/>
      <c r="FN414" s="1"/>
      <c r="FO414" s="1"/>
      <c r="FP414" s="1"/>
      <c r="FQ414" s="1"/>
      <c r="FR414" s="1"/>
      <c r="FS414" s="1"/>
      <c r="FT414" s="1"/>
      <c r="FU414" s="1"/>
      <c r="FV414" s="1"/>
      <c r="FW414" s="1"/>
      <c r="FX414" s="1"/>
      <c r="FY414" s="1"/>
      <c r="FZ414" s="1"/>
      <c r="GA414" s="1"/>
      <c r="GB414" s="1"/>
      <c r="GD414" s="1"/>
      <c r="GE414" s="1"/>
      <c r="GF414" s="1"/>
      <c r="GG414" s="1"/>
      <c r="GH414" s="1"/>
      <c r="GI414" s="1"/>
      <c r="GJ414" s="1"/>
      <c r="GK414" s="1"/>
      <c r="GL414" s="1"/>
      <c r="GM414" s="1"/>
      <c r="GN414" s="1"/>
      <c r="GP414" s="1"/>
      <c r="GR414" s="1"/>
      <c r="GY414" s="1"/>
      <c r="HF414" s="1"/>
      <c r="HN414" s="1"/>
      <c r="HY414" s="1"/>
      <c r="ID414" s="1"/>
      <c r="IE414" s="1"/>
      <c r="IR414" s="1"/>
      <c r="IS414" s="1"/>
      <c r="IY414" s="1"/>
      <c r="IZ414" s="1"/>
      <c r="JF414" s="1"/>
      <c r="JH414" s="1"/>
      <c r="JJ414" s="1"/>
      <c r="JN414" s="1"/>
      <c r="JP414" s="1"/>
      <c r="JQ414" s="1"/>
      <c r="KU414" s="1"/>
      <c r="KY414" s="1"/>
      <c r="KZ414" s="1"/>
      <c r="LA414" s="1"/>
      <c r="LB414" s="1"/>
      <c r="LC414" s="1"/>
      <c r="LD414" s="1"/>
      <c r="LO414" s="1"/>
      <c r="LP414" s="1"/>
      <c r="LZ414" s="1"/>
      <c r="MA414" s="1"/>
    </row>
    <row r="415" spans="4:339" ht="13" x14ac:dyDescent="0.15">
      <c r="D415" s="12"/>
      <c r="E415" s="12"/>
      <c r="I415" s="12"/>
      <c r="J415" s="13"/>
      <c r="BF415" s="1"/>
      <c r="BG415" s="1"/>
      <c r="BH415" s="1"/>
      <c r="BI415" s="1"/>
      <c r="BJ415" s="1"/>
      <c r="BK415" s="1"/>
      <c r="BL415" s="1"/>
      <c r="BM415" s="1"/>
      <c r="BN415" s="1"/>
      <c r="BO415" s="1"/>
      <c r="BP415" s="1"/>
      <c r="BQ415" s="1"/>
      <c r="BR415" s="1"/>
      <c r="BX415" s="1"/>
      <c r="CD415" s="1"/>
      <c r="CE415" s="1"/>
      <c r="CF415" s="1"/>
      <c r="CG415" s="1"/>
      <c r="CH415" s="1"/>
      <c r="CI415" s="1"/>
      <c r="CM415" s="2"/>
      <c r="CN415" s="1"/>
      <c r="CO415" s="1"/>
      <c r="CP415" s="1"/>
      <c r="CQ415" s="1"/>
      <c r="CR415" s="1"/>
      <c r="CS415" s="1"/>
      <c r="CT415" s="1"/>
      <c r="CU415" s="1"/>
      <c r="CV415" s="1"/>
      <c r="CW415" s="1"/>
      <c r="CX415" s="1"/>
      <c r="CY415" s="1"/>
      <c r="CZ415" s="1"/>
      <c r="DA415" s="1"/>
      <c r="DB415" s="1"/>
      <c r="DC415" s="1"/>
      <c r="DD415" s="1"/>
      <c r="DE415" s="1"/>
      <c r="DF415" s="1"/>
      <c r="DG415" s="1"/>
      <c r="DH415" s="1"/>
      <c r="DI415" s="1"/>
      <c r="DJ415" s="1"/>
      <c r="DK415" s="1"/>
      <c r="DM415" s="1"/>
      <c r="DQ415" s="1"/>
      <c r="DR415" s="1"/>
      <c r="DY415" s="1"/>
      <c r="DZ415" s="1"/>
      <c r="ED415" s="1"/>
      <c r="EF415" s="1"/>
      <c r="EK415" s="1"/>
      <c r="EL415" s="1"/>
      <c r="EM415" s="1"/>
      <c r="EN415" s="1"/>
      <c r="EQ415" s="1"/>
      <c r="ER415" s="1"/>
      <c r="ES415" s="1"/>
      <c r="EV415" s="1"/>
      <c r="EW415" s="1"/>
      <c r="EZ415" s="1"/>
      <c r="FA415" s="1"/>
      <c r="FD415" s="1"/>
      <c r="FG415" s="1"/>
      <c r="FH415" s="1"/>
      <c r="FI415" s="1"/>
      <c r="FJ415" s="1"/>
      <c r="FK415" s="1"/>
      <c r="FL415" s="1"/>
      <c r="FM415" s="1"/>
      <c r="FN415" s="1"/>
      <c r="FO415" s="1"/>
      <c r="FP415" s="1"/>
      <c r="FQ415" s="1"/>
      <c r="FR415" s="1"/>
      <c r="FS415" s="1"/>
      <c r="FT415" s="1"/>
      <c r="FU415" s="1"/>
      <c r="FV415" s="1"/>
      <c r="FW415" s="1"/>
      <c r="FX415" s="1"/>
      <c r="FY415" s="1"/>
      <c r="FZ415" s="1"/>
      <c r="GA415" s="1"/>
      <c r="GD415" s="1"/>
      <c r="GE415" s="1"/>
      <c r="GF415" s="1"/>
      <c r="GG415" s="1"/>
      <c r="GH415" s="1"/>
      <c r="GI415" s="1"/>
      <c r="GJ415" s="1"/>
      <c r="GK415" s="1"/>
      <c r="GL415" s="1"/>
      <c r="GM415" s="1"/>
      <c r="GN415" s="1"/>
      <c r="GO415" s="1"/>
      <c r="GP415" s="1"/>
      <c r="GR415" s="1"/>
      <c r="GS415" s="1"/>
      <c r="GY415" s="1"/>
      <c r="HF415" s="1"/>
      <c r="HH415" s="1"/>
      <c r="HN415" s="1"/>
      <c r="HT415" s="1"/>
      <c r="HY415" s="1"/>
      <c r="IE415" s="1"/>
      <c r="IF415" s="1"/>
      <c r="IG415" s="1"/>
      <c r="IJ415" s="1"/>
      <c r="IR415" s="1"/>
      <c r="IS415" s="1"/>
      <c r="IW415" s="1"/>
      <c r="IX415" s="1"/>
      <c r="IZ415" s="1"/>
      <c r="JB415" s="1"/>
      <c r="JC415" s="1"/>
      <c r="JF415" s="1"/>
      <c r="JG415" s="1"/>
      <c r="JH415" s="1"/>
      <c r="JI415" s="1"/>
      <c r="JJ415" s="1"/>
      <c r="JK415" s="1"/>
      <c r="JL415" s="6"/>
      <c r="JM415" s="1"/>
      <c r="JN415" s="1"/>
      <c r="JP415" s="1"/>
      <c r="JQ415" s="1"/>
      <c r="JR415" s="1"/>
      <c r="JT415" s="1"/>
      <c r="KU415" s="1"/>
      <c r="KW415" s="1"/>
      <c r="KY415" s="1"/>
      <c r="KZ415" s="1"/>
      <c r="LA415" s="1"/>
      <c r="LB415" s="1"/>
      <c r="LC415" s="1"/>
      <c r="LD415" s="1"/>
      <c r="LN415" s="1"/>
      <c r="LO415" s="1"/>
      <c r="LP415" s="1"/>
      <c r="LZ415" s="1"/>
      <c r="MA415" s="1"/>
    </row>
    <row r="416" spans="4:339" ht="13" x14ac:dyDescent="0.15">
      <c r="D416" s="12"/>
      <c r="E416" s="12"/>
      <c r="I416" s="12"/>
      <c r="J416" s="13"/>
      <c r="BF416" s="1"/>
      <c r="BG416" s="1"/>
      <c r="BH416" s="1"/>
      <c r="BI416" s="1"/>
      <c r="BK416" s="1"/>
      <c r="BL416" s="1"/>
      <c r="BM416" s="1"/>
      <c r="BN416" s="1"/>
      <c r="BO416" s="1"/>
      <c r="BP416" s="1"/>
      <c r="BQ416" s="1"/>
      <c r="BR416" s="1"/>
      <c r="BX416" s="1"/>
      <c r="CD416" s="1"/>
      <c r="CE416" s="1"/>
      <c r="CF416" s="1"/>
      <c r="CG416" s="1"/>
      <c r="CH416" s="1"/>
      <c r="CI416" s="1"/>
      <c r="CM416" s="2"/>
      <c r="CN416" s="1"/>
      <c r="CO416" s="1"/>
      <c r="CP416" s="1"/>
      <c r="CQ416" s="1"/>
      <c r="CR416" s="1"/>
      <c r="CS416" s="1"/>
      <c r="CT416" s="1"/>
      <c r="CU416" s="1"/>
      <c r="CV416" s="1"/>
      <c r="CW416" s="1"/>
      <c r="CX416" s="1"/>
      <c r="CY416" s="1"/>
      <c r="CZ416" s="1"/>
      <c r="DA416" s="1"/>
      <c r="DB416" s="1"/>
      <c r="DC416" s="1"/>
      <c r="DD416" s="1"/>
      <c r="DE416" s="1"/>
      <c r="DF416" s="1"/>
      <c r="DG416" s="1"/>
      <c r="DH416" s="1"/>
      <c r="DI416" s="1"/>
      <c r="DJ416" s="1"/>
      <c r="DK416" s="1"/>
      <c r="DM416" s="1"/>
      <c r="DQ416" s="1"/>
      <c r="DR416" s="1"/>
      <c r="DY416" s="1"/>
      <c r="DZ416" s="1"/>
      <c r="ED416" s="1"/>
      <c r="EE416" s="1"/>
      <c r="EF416" s="1"/>
      <c r="EG416" s="1"/>
      <c r="EH416" s="1"/>
      <c r="EK416" s="1"/>
      <c r="EL416" s="1"/>
      <c r="EM416" s="1"/>
      <c r="EN416" s="1"/>
      <c r="EQ416" s="1"/>
      <c r="ER416" s="1"/>
      <c r="ES416" s="1"/>
      <c r="EV416" s="1"/>
      <c r="EW416" s="1"/>
      <c r="EY416" s="1"/>
      <c r="EZ416" s="1"/>
      <c r="FA416" s="1"/>
      <c r="FD416" s="1"/>
      <c r="FG416" s="1"/>
      <c r="FH416" s="1"/>
      <c r="FI416" s="1"/>
      <c r="FJ416" s="1"/>
      <c r="FK416" s="1"/>
      <c r="FM416" s="1"/>
      <c r="FN416" s="1"/>
      <c r="FO416" s="1"/>
      <c r="FP416" s="1"/>
      <c r="FQ416" s="1"/>
      <c r="FR416" s="1"/>
      <c r="FS416" s="1"/>
      <c r="FT416" s="1"/>
      <c r="FU416" s="1"/>
      <c r="FV416" s="1"/>
      <c r="FW416" s="1"/>
      <c r="FX416" s="1"/>
      <c r="FY416" s="1"/>
      <c r="FZ416" s="1"/>
      <c r="GA416" s="1"/>
      <c r="GB416" s="1"/>
      <c r="GD416" s="1"/>
      <c r="GE416" s="1"/>
      <c r="GF416" s="1"/>
      <c r="GG416" s="1"/>
      <c r="GH416" s="1"/>
      <c r="GI416" s="1"/>
      <c r="GJ416" s="1"/>
      <c r="GK416" s="1"/>
      <c r="GL416" s="1"/>
      <c r="GM416" s="1"/>
      <c r="GN416" s="1"/>
      <c r="GO416" s="1"/>
      <c r="GP416" s="1"/>
      <c r="GR416" s="1"/>
      <c r="GY416" s="1"/>
      <c r="HF416" s="1"/>
      <c r="HH416" s="1"/>
      <c r="HN416" s="1"/>
      <c r="HQ416" s="1"/>
      <c r="HY416" s="1"/>
      <c r="ID416" s="1"/>
      <c r="IE416" s="1"/>
      <c r="IG416" s="1"/>
      <c r="IJ416" s="1"/>
      <c r="IR416" s="1"/>
      <c r="IS416" s="1"/>
      <c r="IZ416" s="1"/>
      <c r="JC416" s="1"/>
      <c r="JF416" s="1"/>
      <c r="JG416" s="1"/>
      <c r="JH416" s="1"/>
      <c r="JI416" s="1"/>
      <c r="JJ416" s="1"/>
      <c r="JK416" s="1"/>
      <c r="JL416" s="6"/>
      <c r="JM416" s="1"/>
      <c r="JN416" s="1"/>
      <c r="JP416" s="1"/>
      <c r="JQ416" s="1"/>
      <c r="JR416" s="1"/>
      <c r="JT416" s="1"/>
      <c r="KU416" s="1"/>
      <c r="KV416" s="1"/>
      <c r="KY416" s="1"/>
      <c r="KZ416" s="1"/>
      <c r="LA416" s="1"/>
      <c r="LB416" s="1"/>
      <c r="LC416" s="1"/>
      <c r="LD416" s="1"/>
      <c r="LF416" s="1"/>
      <c r="LO416" s="1"/>
      <c r="LP416" s="1"/>
      <c r="LZ416" s="1"/>
      <c r="MA416" s="1"/>
    </row>
    <row r="417" spans="4:339" ht="13" x14ac:dyDescent="0.15">
      <c r="D417" s="12"/>
      <c r="E417" s="12"/>
      <c r="I417" s="12"/>
      <c r="J417" s="13"/>
      <c r="BF417" s="1"/>
      <c r="BG417" s="1"/>
      <c r="BH417" s="1"/>
      <c r="BI417" s="1"/>
      <c r="BK417" s="1"/>
      <c r="BL417" s="1"/>
      <c r="BM417" s="1"/>
      <c r="BN417" s="1"/>
      <c r="BO417" s="1"/>
      <c r="BP417" s="1"/>
      <c r="BQ417" s="1"/>
      <c r="BR417" s="1"/>
      <c r="CD417" s="1"/>
      <c r="CE417" s="1"/>
      <c r="CF417" s="1"/>
      <c r="CG417" s="1"/>
      <c r="CH417" s="1"/>
      <c r="CI417" s="1"/>
      <c r="CM417" s="2"/>
      <c r="CN417" s="1"/>
      <c r="CO417" s="1"/>
      <c r="CP417" s="1"/>
      <c r="CQ417" s="1"/>
      <c r="CS417" s="1"/>
      <c r="CT417" s="1"/>
      <c r="CU417" s="1"/>
      <c r="CV417" s="1"/>
      <c r="CW417" s="1"/>
      <c r="CX417" s="1"/>
      <c r="CY417" s="1"/>
      <c r="CZ417" s="1"/>
      <c r="DA417" s="1"/>
      <c r="DB417" s="1"/>
      <c r="DC417" s="1"/>
      <c r="DD417" s="1"/>
      <c r="DE417" s="1"/>
      <c r="DF417" s="1"/>
      <c r="DG417" s="1"/>
      <c r="DH417" s="1"/>
      <c r="DI417" s="1"/>
      <c r="DJ417" s="1"/>
      <c r="DK417" s="1"/>
      <c r="DM417" s="1"/>
      <c r="DQ417" s="1"/>
      <c r="DR417" s="1"/>
      <c r="DY417" s="1"/>
      <c r="DZ417" s="1"/>
      <c r="ED417" s="1"/>
      <c r="EK417" s="1"/>
      <c r="EL417" s="1"/>
      <c r="EM417" s="1"/>
      <c r="EN417" s="1"/>
      <c r="EQ417" s="1"/>
      <c r="ER417" s="1"/>
      <c r="ES417" s="1"/>
      <c r="EV417" s="1"/>
      <c r="EW417" s="1"/>
      <c r="EZ417" s="1"/>
      <c r="FA417" s="1"/>
      <c r="FD417" s="1"/>
      <c r="FH417" s="1"/>
      <c r="FI417" s="1"/>
      <c r="FJ417" s="1"/>
      <c r="FM417" s="1"/>
      <c r="FN417" s="1"/>
      <c r="FO417" s="1"/>
      <c r="FP417" s="1"/>
      <c r="FQ417" s="1"/>
      <c r="FR417" s="1"/>
      <c r="FS417" s="1"/>
      <c r="FT417" s="1"/>
      <c r="FU417" s="1"/>
      <c r="FV417" s="1"/>
      <c r="FW417" s="1"/>
      <c r="FX417" s="1"/>
      <c r="FY417" s="1"/>
      <c r="FZ417" s="1"/>
      <c r="GA417" s="1"/>
      <c r="GD417" s="1"/>
      <c r="GE417" s="1"/>
      <c r="GF417" s="1"/>
      <c r="GG417" s="1"/>
      <c r="GH417" s="1"/>
      <c r="GI417" s="1"/>
      <c r="GJ417" s="1"/>
      <c r="GK417" s="1"/>
      <c r="GL417" s="1"/>
      <c r="GM417" s="1"/>
      <c r="GN417" s="1"/>
      <c r="GO417" s="1"/>
      <c r="GP417" s="1"/>
      <c r="GR417" s="1"/>
      <c r="GY417" s="1"/>
      <c r="HH417" s="1"/>
      <c r="HQ417" s="1"/>
      <c r="HY417" s="1"/>
      <c r="IE417" s="1"/>
      <c r="IR417" s="1"/>
      <c r="IS417" s="1"/>
      <c r="IY417" s="1"/>
      <c r="IZ417" s="1"/>
      <c r="JC417" s="1"/>
      <c r="JF417" s="1"/>
      <c r="JG417" s="1"/>
      <c r="JJ417" s="1"/>
      <c r="JN417" s="1"/>
      <c r="JP417" s="1"/>
      <c r="JQ417" s="1"/>
      <c r="JT417" s="1"/>
      <c r="KU417" s="1"/>
      <c r="KV417" s="1"/>
      <c r="KY417" s="1"/>
      <c r="KZ417" s="1"/>
      <c r="LA417" s="1"/>
      <c r="LB417" s="1"/>
      <c r="LC417" s="1"/>
      <c r="LD417" s="1"/>
      <c r="LN417" s="1"/>
      <c r="LO417" s="1"/>
      <c r="LP417" s="1"/>
      <c r="LZ417" s="1"/>
      <c r="MA417" s="1"/>
    </row>
    <row r="418" spans="4:339" ht="13" x14ac:dyDescent="0.15">
      <c r="D418" s="12"/>
      <c r="E418" s="12"/>
      <c r="I418" s="12"/>
      <c r="J418" s="13"/>
      <c r="BF418" s="1"/>
      <c r="BG418" s="1"/>
      <c r="BH418" s="1"/>
      <c r="BI418" s="1"/>
      <c r="BK418" s="1"/>
      <c r="BL418" s="1"/>
      <c r="BM418" s="1"/>
      <c r="BN418" s="1"/>
      <c r="BO418" s="1"/>
      <c r="BP418" s="1"/>
      <c r="BQ418" s="1"/>
      <c r="BR418" s="1"/>
      <c r="CD418" s="1"/>
      <c r="CE418" s="1"/>
      <c r="CF418" s="1"/>
      <c r="CG418" s="1"/>
      <c r="CH418" s="1"/>
      <c r="CI418" s="1"/>
      <c r="CM418" s="2"/>
      <c r="CN418" s="1"/>
      <c r="CO418" s="1"/>
      <c r="CP418" s="1"/>
      <c r="CQ418" s="1"/>
      <c r="CS418" s="1"/>
      <c r="CT418" s="1"/>
      <c r="CU418" s="1"/>
      <c r="CV418" s="1"/>
      <c r="CW418" s="1"/>
      <c r="CX418" s="1"/>
      <c r="CY418" s="1"/>
      <c r="CZ418" s="1"/>
      <c r="DA418" s="1"/>
      <c r="DB418" s="1"/>
      <c r="DC418" s="1"/>
      <c r="DD418" s="1"/>
      <c r="DE418" s="1"/>
      <c r="DF418" s="1"/>
      <c r="DG418" s="1"/>
      <c r="DH418" s="1"/>
      <c r="DI418" s="1"/>
      <c r="DJ418" s="1"/>
      <c r="DK418" s="1"/>
      <c r="DM418" s="1"/>
      <c r="DQ418" s="1"/>
      <c r="DR418" s="1"/>
      <c r="DY418" s="1"/>
      <c r="DZ418" s="1"/>
      <c r="ED418" s="1"/>
      <c r="EK418" s="1"/>
      <c r="EL418" s="1"/>
      <c r="EM418" s="1"/>
      <c r="EN418" s="1"/>
      <c r="EQ418" s="1"/>
      <c r="ER418" s="1"/>
      <c r="ES418" s="1"/>
      <c r="EV418" s="1"/>
      <c r="EW418" s="1"/>
      <c r="EZ418" s="1"/>
      <c r="FA418" s="1"/>
      <c r="FD418" s="1"/>
      <c r="FH418" s="1"/>
      <c r="FI418" s="1"/>
      <c r="FJ418" s="1"/>
      <c r="FM418" s="1"/>
      <c r="FN418" s="1"/>
      <c r="FO418" s="1"/>
      <c r="FP418" s="1"/>
      <c r="FQ418" s="1"/>
      <c r="FR418" s="1"/>
      <c r="FS418" s="1"/>
      <c r="FT418" s="1"/>
      <c r="FU418" s="1"/>
      <c r="FV418" s="1"/>
      <c r="FW418" s="1"/>
      <c r="FX418" s="1"/>
      <c r="FY418" s="1"/>
      <c r="FZ418" s="1"/>
      <c r="GA418" s="1"/>
      <c r="GD418" s="1"/>
      <c r="GE418" s="1"/>
      <c r="GF418" s="1"/>
      <c r="GG418" s="1"/>
      <c r="GH418" s="1"/>
      <c r="GI418" s="1"/>
      <c r="GJ418" s="1"/>
      <c r="GK418" s="1"/>
      <c r="GL418" s="1"/>
      <c r="GM418" s="1"/>
      <c r="GN418" s="1"/>
      <c r="GO418" s="1"/>
      <c r="GP418" s="1"/>
      <c r="GR418" s="1"/>
      <c r="GY418" s="1"/>
      <c r="HH418" s="1"/>
      <c r="HQ418" s="1"/>
      <c r="HY418" s="1"/>
      <c r="IE418" s="1"/>
      <c r="IR418" s="1"/>
      <c r="IS418" s="1"/>
      <c r="IY418" s="1"/>
      <c r="IZ418" s="1"/>
      <c r="JC418" s="1"/>
      <c r="JF418" s="1"/>
      <c r="JG418" s="1"/>
      <c r="JJ418" s="1"/>
      <c r="JN418" s="1"/>
      <c r="JP418" s="1"/>
      <c r="JQ418" s="1"/>
      <c r="JT418" s="1"/>
      <c r="KU418" s="1"/>
      <c r="KV418" s="1"/>
      <c r="KY418" s="1"/>
      <c r="KZ418" s="1"/>
      <c r="LA418" s="1"/>
      <c r="LB418" s="1"/>
      <c r="LC418" s="1"/>
      <c r="LD418" s="1"/>
      <c r="LN418" s="1"/>
      <c r="LO418" s="1"/>
      <c r="LP418" s="1"/>
      <c r="LZ418" s="1"/>
      <c r="MA418" s="1"/>
    </row>
    <row r="419" spans="4:339" ht="13" x14ac:dyDescent="0.15">
      <c r="D419" s="12"/>
      <c r="E419" s="12"/>
      <c r="I419" s="12"/>
      <c r="J419" s="13"/>
      <c r="BF419" s="1"/>
      <c r="BG419" s="1"/>
      <c r="BH419" s="1"/>
      <c r="BI419" s="1"/>
      <c r="BK419" s="1"/>
      <c r="BL419" s="1"/>
      <c r="BM419" s="1"/>
      <c r="BN419" s="1"/>
      <c r="BO419" s="1"/>
      <c r="BP419" s="1"/>
      <c r="BQ419" s="1"/>
      <c r="BR419" s="1"/>
      <c r="BX419" s="1"/>
      <c r="CD419" s="1"/>
      <c r="CE419" s="1"/>
      <c r="CF419" s="1"/>
      <c r="CH419" s="1"/>
      <c r="CI419" s="1"/>
      <c r="CM419" s="2"/>
      <c r="CN419" s="1"/>
      <c r="CO419" s="1"/>
      <c r="CP419" s="1"/>
      <c r="CQ419" s="1"/>
      <c r="CX419" s="1"/>
      <c r="CY419" s="1"/>
      <c r="CZ419" s="1"/>
      <c r="DA419" s="1"/>
      <c r="DB419" s="1"/>
      <c r="DC419" s="1"/>
      <c r="DD419" s="1"/>
      <c r="DE419" s="1"/>
      <c r="DF419" s="1"/>
      <c r="DG419" s="1"/>
      <c r="DH419" s="1"/>
      <c r="DI419" s="1"/>
      <c r="DJ419" s="1"/>
      <c r="DK419" s="1"/>
      <c r="DM419" s="1"/>
      <c r="DQ419" s="1"/>
      <c r="DR419" s="1"/>
      <c r="DY419" s="1"/>
      <c r="DZ419" s="1"/>
      <c r="ED419" s="1"/>
      <c r="EK419" s="1"/>
      <c r="EL419" s="1"/>
      <c r="EM419" s="1"/>
      <c r="EN419" s="1"/>
      <c r="EQ419" s="1"/>
      <c r="ER419" s="1"/>
      <c r="ES419" s="1"/>
      <c r="EV419" s="1"/>
      <c r="EW419" s="1"/>
      <c r="EZ419" s="1"/>
      <c r="FA419" s="1"/>
      <c r="FD419" s="1"/>
      <c r="FJ419" s="1"/>
      <c r="GD419" s="1"/>
      <c r="GE419" s="1"/>
      <c r="GF419" s="1"/>
      <c r="GG419" s="1"/>
      <c r="GH419" s="1"/>
      <c r="GI419" s="1"/>
      <c r="GJ419" s="1"/>
      <c r="GP419" s="1"/>
      <c r="GV419" s="1"/>
      <c r="HE419" s="1"/>
      <c r="HF419" s="1"/>
      <c r="HH419" s="1"/>
      <c r="HY419" s="1"/>
      <c r="IE419" s="1"/>
      <c r="IR419" s="1"/>
      <c r="IS419" s="1"/>
      <c r="IW419" s="1"/>
      <c r="IY419" s="1"/>
      <c r="IZ419" s="1"/>
      <c r="JA419" s="1"/>
      <c r="JG419" s="1"/>
      <c r="JJ419" s="1"/>
      <c r="JN419" s="1"/>
      <c r="JP419" s="1"/>
      <c r="JQ419" s="1"/>
      <c r="KW419" s="1"/>
      <c r="KY419" s="1"/>
      <c r="KZ419" s="1"/>
      <c r="LA419" s="1"/>
      <c r="LB419" s="1"/>
      <c r="LC419" s="1"/>
      <c r="LD419" s="1"/>
      <c r="LO419" s="1"/>
      <c r="LP419" s="1"/>
      <c r="LZ419" s="1"/>
      <c r="MA419" s="1"/>
    </row>
    <row r="420" spans="4:339" ht="13" x14ac:dyDescent="0.15">
      <c r="D420" s="12"/>
      <c r="E420" s="12"/>
      <c r="I420" s="12"/>
      <c r="J420" s="13"/>
      <c r="BF420" s="1"/>
      <c r="BG420" s="1"/>
      <c r="BH420" s="1"/>
      <c r="BI420" s="1"/>
      <c r="BK420" s="1"/>
      <c r="BL420" s="1"/>
      <c r="BM420" s="1"/>
      <c r="BN420" s="1"/>
      <c r="BO420" s="1"/>
      <c r="BP420" s="1"/>
      <c r="BQ420" s="1"/>
      <c r="BR420" s="1"/>
      <c r="CD420" s="1"/>
      <c r="CE420" s="1"/>
      <c r="CF420" s="1"/>
      <c r="CG420" s="1"/>
      <c r="CH420" s="1"/>
      <c r="CI420" s="1"/>
      <c r="CM420" s="2"/>
      <c r="CN420" s="1"/>
      <c r="CO420" s="1"/>
      <c r="CP420" s="1"/>
      <c r="CQ420" s="1"/>
      <c r="CR420" s="1"/>
      <c r="CS420" s="1"/>
      <c r="CT420" s="1"/>
      <c r="CU420" s="1"/>
      <c r="CV420" s="1"/>
      <c r="CW420" s="1"/>
      <c r="CX420" s="1"/>
      <c r="CY420" s="1"/>
      <c r="CZ420" s="1"/>
      <c r="DA420" s="1"/>
      <c r="DB420" s="1"/>
      <c r="DC420" s="1"/>
      <c r="DD420" s="1"/>
      <c r="DE420" s="1"/>
      <c r="DF420" s="1"/>
      <c r="DG420" s="1"/>
      <c r="DH420" s="1"/>
      <c r="DI420" s="1"/>
      <c r="DJ420" s="1"/>
      <c r="DK420" s="1"/>
      <c r="DM420" s="1"/>
      <c r="DQ420" s="1"/>
      <c r="DR420" s="1"/>
      <c r="DY420" s="1"/>
      <c r="DZ420" s="1"/>
      <c r="ED420" s="1"/>
      <c r="EE420" s="1"/>
      <c r="EF420" s="1"/>
      <c r="EG420" s="1"/>
      <c r="EH420" s="1"/>
      <c r="EK420" s="1"/>
      <c r="EL420" s="1"/>
      <c r="EM420" s="1"/>
      <c r="EN420" s="1"/>
      <c r="EQ420" s="1"/>
      <c r="ER420" s="1"/>
      <c r="ES420" s="1"/>
      <c r="EV420" s="1"/>
      <c r="EW420" s="1"/>
      <c r="EY420" s="1"/>
      <c r="EZ420" s="1"/>
      <c r="FA420" s="1"/>
      <c r="FD420" s="1"/>
      <c r="FG420" s="1"/>
      <c r="FH420" s="1"/>
      <c r="FI420" s="1"/>
      <c r="FJ420" s="1"/>
      <c r="FL420" s="1"/>
      <c r="FM420" s="1"/>
      <c r="FN420" s="1"/>
      <c r="FO420" s="1"/>
      <c r="FP420" s="1"/>
      <c r="FS420" s="1"/>
      <c r="FU420" s="1"/>
      <c r="FV420" s="1"/>
      <c r="FW420" s="1"/>
      <c r="FX420" s="1"/>
      <c r="FY420" s="1"/>
      <c r="FZ420" s="1"/>
      <c r="GA420" s="1"/>
      <c r="GD420" s="1"/>
      <c r="GE420" s="1"/>
      <c r="GF420" s="1"/>
      <c r="GG420" s="1"/>
      <c r="GH420" s="1"/>
      <c r="GI420" s="1"/>
      <c r="GJ420" s="1"/>
      <c r="GK420" s="1"/>
      <c r="GL420" s="1"/>
      <c r="GM420" s="1"/>
      <c r="GN420" s="1"/>
      <c r="GO420" s="1"/>
      <c r="GP420" s="1"/>
      <c r="GR420" s="1"/>
      <c r="GY420" s="1"/>
      <c r="HF420" s="1"/>
      <c r="HH420" s="1"/>
      <c r="HN420" s="1"/>
      <c r="HT420" s="1"/>
      <c r="HY420" s="1"/>
      <c r="IE420" s="1"/>
      <c r="IG420" s="1"/>
      <c r="IJ420" s="1"/>
      <c r="IR420" s="1"/>
      <c r="IS420" s="1"/>
      <c r="IW420" s="1"/>
      <c r="IZ420" s="1"/>
      <c r="JA420" s="1"/>
      <c r="JC420" s="1"/>
      <c r="JF420" s="1"/>
      <c r="JG420" s="1"/>
      <c r="JH420" s="1"/>
      <c r="JJ420" s="1"/>
      <c r="JK420" s="1"/>
      <c r="JL420" s="3"/>
      <c r="JM420" s="1"/>
      <c r="JN420" s="1"/>
      <c r="JP420" s="1"/>
      <c r="JQ420" s="1"/>
      <c r="JR420" s="1"/>
      <c r="JT420" s="1"/>
      <c r="KW420" s="1"/>
      <c r="KY420" s="1"/>
      <c r="KZ420" s="1"/>
      <c r="LA420" s="1"/>
      <c r="LB420" s="1"/>
      <c r="LC420" s="1"/>
      <c r="LD420" s="1"/>
      <c r="LF420" s="1"/>
      <c r="LN420" s="1"/>
      <c r="LO420" s="1"/>
      <c r="LP420" s="1"/>
      <c r="LZ420" s="1"/>
      <c r="MA420" s="1"/>
    </row>
    <row r="421" spans="4:339" ht="13" x14ac:dyDescent="0.15">
      <c r="D421" s="12"/>
      <c r="E421" s="12"/>
      <c r="I421" s="12"/>
      <c r="J421" s="13"/>
      <c r="BF421" s="1"/>
      <c r="BG421" s="1"/>
      <c r="BH421" s="1"/>
      <c r="BI421" s="1"/>
      <c r="BJ421" s="1"/>
      <c r="BK421" s="1"/>
      <c r="BL421" s="1"/>
      <c r="BM421" s="1"/>
      <c r="BN421" s="1"/>
      <c r="BO421" s="1"/>
      <c r="BP421" s="1"/>
      <c r="BQ421" s="1"/>
      <c r="BR421" s="1"/>
      <c r="BX421" s="1"/>
      <c r="CD421" s="1"/>
      <c r="CE421" s="1"/>
      <c r="CF421" s="1"/>
      <c r="CG421" s="1"/>
      <c r="CH421" s="1"/>
      <c r="CI421" s="1"/>
      <c r="CM421" s="2"/>
      <c r="CN421" s="1"/>
      <c r="CO421" s="1"/>
      <c r="CP421" s="1"/>
      <c r="CQ421" s="1"/>
      <c r="CX421" s="1"/>
      <c r="CY421" s="1"/>
      <c r="CZ421" s="1"/>
      <c r="DA421" s="1"/>
      <c r="DB421" s="1"/>
      <c r="DC421" s="1"/>
      <c r="DD421" s="1"/>
      <c r="DE421" s="1"/>
      <c r="DF421" s="1"/>
      <c r="DG421" s="1"/>
      <c r="DH421" s="1"/>
      <c r="DI421" s="1"/>
      <c r="DJ421" s="1"/>
      <c r="DK421" s="1"/>
      <c r="DM421" s="1"/>
      <c r="DQ421" s="1"/>
      <c r="DR421" s="1"/>
      <c r="DY421" s="1"/>
      <c r="DZ421" s="1"/>
      <c r="ED421" s="1"/>
      <c r="EF421" s="1"/>
      <c r="EK421" s="1"/>
      <c r="EL421" s="1"/>
      <c r="EM421" s="1"/>
      <c r="EN421" s="1"/>
      <c r="EQ421" s="1"/>
      <c r="ER421" s="1"/>
      <c r="ES421" s="1"/>
      <c r="EV421" s="1"/>
      <c r="EW421" s="1"/>
      <c r="EZ421" s="1"/>
      <c r="FA421" s="1"/>
      <c r="FD421" s="1"/>
      <c r="FG421" s="1"/>
      <c r="FH421" s="1"/>
      <c r="FI421" s="1"/>
      <c r="FJ421" s="1"/>
      <c r="FK421" s="1"/>
      <c r="FL421" s="1"/>
      <c r="FM421" s="1"/>
      <c r="FN421" s="1"/>
      <c r="FO421" s="1"/>
      <c r="FP421" s="1"/>
      <c r="FQ421" s="1"/>
      <c r="FR421" s="1"/>
      <c r="FS421" s="1"/>
      <c r="FU421" s="1"/>
      <c r="FV421" s="1"/>
      <c r="FW421" s="1"/>
      <c r="FX421" s="1"/>
      <c r="FY421" s="1"/>
      <c r="FZ421" s="1"/>
      <c r="GA421" s="1"/>
      <c r="GD421" s="1"/>
      <c r="GE421" s="1"/>
      <c r="GF421" s="1"/>
      <c r="GG421" s="1"/>
      <c r="GH421" s="1"/>
      <c r="GI421" s="1"/>
      <c r="GJ421" s="1"/>
      <c r="GK421" s="1"/>
      <c r="GL421" s="1"/>
      <c r="GM421" s="1"/>
      <c r="GN421" s="1"/>
      <c r="GO421" s="1"/>
      <c r="GP421" s="1"/>
      <c r="GR421" s="1"/>
      <c r="GY421" s="1"/>
      <c r="HF421" s="1"/>
      <c r="HH421" s="1"/>
      <c r="HT421" s="1"/>
      <c r="HY421" s="1"/>
      <c r="IC421" s="1"/>
      <c r="IE421" s="1"/>
      <c r="IG421" s="1"/>
      <c r="IJ421" s="1"/>
      <c r="IR421" s="1"/>
      <c r="IS421" s="1"/>
      <c r="IZ421" s="1"/>
      <c r="JC421" s="1"/>
      <c r="JF421" s="1"/>
      <c r="JG421" s="1"/>
      <c r="JH421" s="1"/>
      <c r="JI421" s="1"/>
      <c r="JJ421" s="1"/>
      <c r="JK421" s="1"/>
      <c r="JL421" s="3"/>
      <c r="JM421" s="1"/>
      <c r="JN421" s="1"/>
      <c r="JP421" s="1"/>
      <c r="JQ421" s="1"/>
      <c r="JR421" s="1"/>
      <c r="JT421" s="1"/>
      <c r="KV421" s="1"/>
      <c r="KW421" s="1"/>
      <c r="KY421" s="1"/>
      <c r="KZ421" s="1"/>
      <c r="LA421" s="1"/>
      <c r="LB421" s="1"/>
      <c r="LC421" s="1"/>
      <c r="LD421" s="1"/>
      <c r="LO421" s="1"/>
      <c r="LP421" s="1"/>
      <c r="LZ421" s="1"/>
      <c r="MA421" s="1"/>
    </row>
    <row r="422" spans="4:339" ht="13" x14ac:dyDescent="0.15">
      <c r="D422" s="12"/>
      <c r="E422" s="12"/>
      <c r="I422" s="12"/>
      <c r="J422" s="13"/>
      <c r="BF422" s="1"/>
      <c r="BG422" s="1"/>
      <c r="BH422" s="1"/>
      <c r="BI422" s="1"/>
      <c r="BJ422" s="1"/>
      <c r="BK422" s="1"/>
      <c r="BL422" s="1"/>
      <c r="BM422" s="1"/>
      <c r="BN422" s="1"/>
      <c r="BO422" s="1"/>
      <c r="BP422" s="1"/>
      <c r="BQ422" s="1"/>
      <c r="BR422" s="1"/>
      <c r="BX422" s="1"/>
      <c r="CD422" s="1"/>
      <c r="CE422" s="1"/>
      <c r="CF422" s="1"/>
      <c r="CG422" s="1"/>
      <c r="CH422" s="1"/>
      <c r="CI422" s="1"/>
      <c r="CM422" s="2"/>
      <c r="CN422" s="1"/>
      <c r="CO422" s="1"/>
      <c r="CP422" s="1"/>
      <c r="CQ422" s="1"/>
      <c r="CR422" s="1"/>
      <c r="CS422" s="1"/>
      <c r="CT422" s="1"/>
      <c r="CU422" s="1"/>
      <c r="CV422" s="1"/>
      <c r="CW422" s="1"/>
      <c r="CX422" s="1"/>
      <c r="CY422" s="1"/>
      <c r="CZ422" s="1"/>
      <c r="DA422" s="1"/>
      <c r="DB422" s="1"/>
      <c r="DC422" s="1"/>
      <c r="DD422" s="1"/>
      <c r="DE422" s="1"/>
      <c r="DF422" s="1"/>
      <c r="DG422" s="1"/>
      <c r="DH422" s="1"/>
      <c r="DI422" s="1"/>
      <c r="DJ422" s="1"/>
      <c r="DK422" s="1"/>
      <c r="DL422" s="1"/>
      <c r="DM422" s="1"/>
      <c r="DQ422" s="1"/>
      <c r="DR422" s="1"/>
      <c r="DY422" s="1"/>
      <c r="DZ422" s="1"/>
      <c r="ED422" s="1"/>
      <c r="EE422" s="1"/>
      <c r="EF422" s="1"/>
      <c r="EG422" s="1"/>
      <c r="EH422" s="1"/>
      <c r="EK422" s="1"/>
      <c r="EL422" s="1"/>
      <c r="EM422" s="1"/>
      <c r="EN422" s="1"/>
      <c r="EQ422" s="1"/>
      <c r="ER422" s="1"/>
      <c r="ES422" s="1"/>
      <c r="EV422" s="1"/>
      <c r="EW422" s="1"/>
      <c r="EY422" s="1"/>
      <c r="EZ422" s="1"/>
      <c r="FA422" s="1"/>
      <c r="FD422" s="1"/>
      <c r="FG422" s="1"/>
      <c r="FH422" s="1"/>
      <c r="FI422" s="1"/>
      <c r="FJ422" s="1"/>
      <c r="FK422" s="1"/>
      <c r="FL422" s="1"/>
      <c r="FM422" s="1"/>
      <c r="FN422" s="1"/>
      <c r="FO422" s="1"/>
      <c r="FP422" s="1"/>
      <c r="FQ422" s="1"/>
      <c r="FR422" s="1"/>
      <c r="FS422" s="1"/>
      <c r="FT422" s="1"/>
      <c r="FU422" s="1"/>
      <c r="FV422" s="1"/>
      <c r="FW422" s="1"/>
      <c r="FX422" s="1"/>
      <c r="FY422" s="1"/>
      <c r="FZ422" s="1"/>
      <c r="GA422" s="1"/>
      <c r="GB422" s="1"/>
      <c r="GD422" s="1"/>
      <c r="GE422" s="1"/>
      <c r="GF422" s="1"/>
      <c r="GG422" s="1"/>
      <c r="GH422" s="1"/>
      <c r="GI422" s="1"/>
      <c r="GJ422" s="1"/>
      <c r="GK422" s="1"/>
      <c r="GL422" s="1"/>
      <c r="GM422" s="1"/>
      <c r="GN422" s="1"/>
      <c r="GO422" s="1"/>
      <c r="GP422" s="1"/>
      <c r="GR422" s="1"/>
      <c r="GY422" s="1"/>
      <c r="HF422" s="1"/>
      <c r="HH422" s="1"/>
      <c r="HN422" s="1"/>
      <c r="HQ422" s="1"/>
      <c r="HT422" s="1"/>
      <c r="HY422" s="1"/>
      <c r="IE422" s="1"/>
      <c r="IF422" s="1"/>
      <c r="IG422" s="1"/>
      <c r="IJ422" s="1"/>
      <c r="IR422" s="1"/>
      <c r="IS422" s="1"/>
      <c r="IW422" s="1"/>
      <c r="IX422" s="1"/>
      <c r="IY422" s="1"/>
      <c r="IZ422" s="1"/>
      <c r="JB422" s="1"/>
      <c r="JC422" s="1"/>
      <c r="JF422" s="1"/>
      <c r="JG422" s="1"/>
      <c r="JH422" s="1"/>
      <c r="JJ422" s="1"/>
      <c r="JK422" s="1"/>
      <c r="JL422" s="3"/>
      <c r="JM422" s="1"/>
      <c r="JN422" s="1"/>
      <c r="JP422" s="1"/>
      <c r="JQ422" s="1"/>
      <c r="JR422" s="1"/>
      <c r="JT422" s="1"/>
      <c r="KV422" s="1"/>
      <c r="KY422" s="1"/>
      <c r="KZ422" s="1"/>
      <c r="LA422" s="1"/>
      <c r="LB422" s="1"/>
      <c r="LC422" s="1"/>
      <c r="LD422" s="1"/>
      <c r="LF422" s="1"/>
      <c r="LN422" s="1"/>
      <c r="LO422" s="1"/>
      <c r="LP422" s="1"/>
      <c r="LW422" s="1"/>
      <c r="LZ422" s="1"/>
      <c r="MA422" s="1"/>
    </row>
    <row r="423" spans="4:339" ht="13" x14ac:dyDescent="0.15">
      <c r="D423" s="12"/>
      <c r="E423" s="12"/>
      <c r="I423" s="12"/>
      <c r="J423" s="13"/>
      <c r="BF423" s="1"/>
      <c r="BG423" s="1"/>
      <c r="BH423" s="1"/>
      <c r="BI423" s="1"/>
      <c r="BJ423" s="1"/>
      <c r="BK423" s="1"/>
      <c r="BL423" s="1"/>
      <c r="BM423" s="1"/>
      <c r="BN423" s="1"/>
      <c r="BO423" s="1"/>
      <c r="BP423" s="1"/>
      <c r="BQ423" s="1"/>
      <c r="BR423" s="1"/>
      <c r="BX423" s="1"/>
      <c r="CD423" s="1"/>
      <c r="CE423" s="1"/>
      <c r="CF423" s="1"/>
      <c r="CG423" s="1"/>
      <c r="CH423" s="1"/>
      <c r="CI423" s="1"/>
      <c r="CM423" s="2"/>
      <c r="CN423" s="1"/>
      <c r="CO423" s="1"/>
      <c r="CP423" s="1"/>
      <c r="CQ423" s="1"/>
      <c r="CR423" s="1"/>
      <c r="CS423" s="1"/>
      <c r="CT423" s="1"/>
      <c r="CU423" s="1"/>
      <c r="CV423" s="1"/>
      <c r="CW423" s="1"/>
      <c r="CX423" s="1"/>
      <c r="CY423" s="1"/>
      <c r="CZ423" s="1"/>
      <c r="DA423" s="1"/>
      <c r="DB423" s="1"/>
      <c r="DC423" s="1"/>
      <c r="DD423" s="1"/>
      <c r="DE423" s="1"/>
      <c r="DF423" s="1"/>
      <c r="DG423" s="1"/>
      <c r="DH423" s="1"/>
      <c r="DI423" s="1"/>
      <c r="DJ423" s="1"/>
      <c r="DK423" s="1"/>
      <c r="DL423" s="1"/>
      <c r="DM423" s="1"/>
      <c r="DQ423" s="1"/>
      <c r="DR423" s="1"/>
      <c r="DY423" s="1"/>
      <c r="DZ423" s="1"/>
      <c r="ED423" s="1"/>
      <c r="EE423" s="1"/>
      <c r="EF423" s="1"/>
      <c r="EG423" s="1"/>
      <c r="EH423" s="1"/>
      <c r="EK423" s="1"/>
      <c r="EL423" s="1"/>
      <c r="EM423" s="1"/>
      <c r="EN423" s="1"/>
      <c r="EQ423" s="1"/>
      <c r="ER423" s="1"/>
      <c r="ES423" s="1"/>
      <c r="EV423" s="1"/>
      <c r="EW423" s="1"/>
      <c r="EY423" s="1"/>
      <c r="EZ423" s="1"/>
      <c r="FA423" s="1"/>
      <c r="FD423" s="1"/>
      <c r="FG423" s="1"/>
      <c r="FH423" s="1"/>
      <c r="FI423" s="1"/>
      <c r="FJ423" s="1"/>
      <c r="FK423" s="1"/>
      <c r="FL423" s="1"/>
      <c r="FM423" s="1"/>
      <c r="FN423" s="1"/>
      <c r="FO423" s="1"/>
      <c r="FP423" s="1"/>
      <c r="FQ423" s="1"/>
      <c r="FR423" s="1"/>
      <c r="FS423" s="1"/>
      <c r="FT423" s="1"/>
      <c r="FU423" s="1"/>
      <c r="FV423" s="1"/>
      <c r="FW423" s="1"/>
      <c r="FX423" s="1"/>
      <c r="FY423" s="1"/>
      <c r="FZ423" s="1"/>
      <c r="GA423" s="1"/>
      <c r="GB423" s="1"/>
      <c r="GD423" s="1"/>
      <c r="GE423" s="1"/>
      <c r="GF423" s="1"/>
      <c r="GG423" s="1"/>
      <c r="GH423" s="1"/>
      <c r="GI423" s="1"/>
      <c r="GJ423" s="1"/>
      <c r="GK423" s="1"/>
      <c r="GL423" s="1"/>
      <c r="GM423" s="1"/>
      <c r="GN423" s="1"/>
      <c r="GO423" s="1"/>
      <c r="GP423" s="1"/>
      <c r="GR423" s="1"/>
      <c r="GY423" s="1"/>
      <c r="HF423" s="1"/>
      <c r="HH423" s="1"/>
      <c r="HN423" s="1"/>
      <c r="HQ423" s="1"/>
      <c r="HT423" s="1"/>
      <c r="HY423" s="1"/>
      <c r="IE423" s="1"/>
      <c r="IF423" s="1"/>
      <c r="IG423" s="1"/>
      <c r="IJ423" s="1"/>
      <c r="IR423" s="1"/>
      <c r="IS423" s="1"/>
      <c r="IW423" s="1"/>
      <c r="IX423" s="1"/>
      <c r="IY423" s="1"/>
      <c r="IZ423" s="1"/>
      <c r="JB423" s="1"/>
      <c r="JC423" s="1"/>
      <c r="JF423" s="1"/>
      <c r="JG423" s="1"/>
      <c r="JH423" s="1"/>
      <c r="JJ423" s="1"/>
      <c r="JK423" s="1"/>
      <c r="JL423" s="3"/>
      <c r="JM423" s="1"/>
      <c r="JN423" s="1"/>
      <c r="JP423" s="1"/>
      <c r="JQ423" s="1"/>
      <c r="JR423" s="1"/>
      <c r="JT423" s="1"/>
      <c r="KV423" s="1"/>
      <c r="KY423" s="1"/>
      <c r="KZ423" s="1"/>
      <c r="LA423" s="1"/>
      <c r="LB423" s="1"/>
      <c r="LC423" s="1"/>
      <c r="LD423" s="1"/>
      <c r="LF423" s="1"/>
      <c r="LN423" s="1"/>
      <c r="LO423" s="1"/>
      <c r="LP423" s="1"/>
      <c r="LW423" s="1"/>
      <c r="LZ423" s="1"/>
      <c r="MA423" s="1"/>
    </row>
    <row r="424" spans="4:339" ht="13" x14ac:dyDescent="0.15">
      <c r="D424" s="12"/>
      <c r="E424" s="12"/>
      <c r="I424" s="12"/>
      <c r="J424" s="13"/>
      <c r="BF424" s="1"/>
      <c r="BG424" s="1"/>
      <c r="BH424" s="1"/>
      <c r="BI424" s="1"/>
      <c r="BJ424" s="1"/>
      <c r="BK424" s="1"/>
      <c r="BL424" s="1"/>
      <c r="BM424" s="1"/>
      <c r="BN424" s="1"/>
      <c r="BO424" s="1"/>
      <c r="BP424" s="1"/>
      <c r="BQ424" s="1"/>
      <c r="BR424" s="1"/>
      <c r="BX424" s="1"/>
      <c r="CD424" s="1"/>
      <c r="CE424" s="1"/>
      <c r="CF424" s="1"/>
      <c r="CG424" s="1"/>
      <c r="CH424" s="1"/>
      <c r="CI424" s="1"/>
      <c r="CM424" s="2"/>
      <c r="CN424" s="1"/>
      <c r="CO424" s="1"/>
      <c r="CP424" s="1"/>
      <c r="CQ424" s="1"/>
      <c r="CR424" s="1"/>
      <c r="CS424" s="1"/>
      <c r="CT424" s="1"/>
      <c r="CU424" s="1"/>
      <c r="CV424" s="1"/>
      <c r="CW424" s="1"/>
      <c r="CX424" s="1"/>
      <c r="CY424" s="1"/>
      <c r="CZ424" s="1"/>
      <c r="DA424" s="1"/>
      <c r="DB424" s="1"/>
      <c r="DC424" s="1"/>
      <c r="DD424" s="1"/>
      <c r="DE424" s="1"/>
      <c r="DF424" s="1"/>
      <c r="DG424" s="1"/>
      <c r="DH424" s="1"/>
      <c r="DI424" s="1"/>
      <c r="DJ424" s="1"/>
      <c r="DK424" s="1"/>
      <c r="DL424" s="1"/>
      <c r="DM424" s="1"/>
      <c r="DQ424" s="1"/>
      <c r="DR424" s="1"/>
      <c r="DY424" s="1"/>
      <c r="DZ424" s="1"/>
      <c r="ED424" s="1"/>
      <c r="EE424" s="1"/>
      <c r="EF424" s="1"/>
      <c r="EG424" s="1"/>
      <c r="EH424" s="1"/>
      <c r="EK424" s="1"/>
      <c r="EL424" s="1"/>
      <c r="EM424" s="1"/>
      <c r="EN424" s="1"/>
      <c r="EQ424" s="1"/>
      <c r="ER424" s="1"/>
      <c r="ES424" s="1"/>
      <c r="EV424" s="1"/>
      <c r="EW424" s="1"/>
      <c r="EY424" s="1"/>
      <c r="EZ424" s="1"/>
      <c r="FA424" s="1"/>
      <c r="FD424" s="1"/>
      <c r="FG424" s="1"/>
      <c r="FH424" s="1"/>
      <c r="FI424" s="1"/>
      <c r="FJ424" s="1"/>
      <c r="FK424" s="1"/>
      <c r="FL424" s="1"/>
      <c r="FM424" s="1"/>
      <c r="FN424" s="1"/>
      <c r="FO424" s="1"/>
      <c r="FP424" s="1"/>
      <c r="FQ424" s="1"/>
      <c r="FR424" s="1"/>
      <c r="FS424" s="1"/>
      <c r="FT424" s="1"/>
      <c r="FU424" s="1"/>
      <c r="FV424" s="1"/>
      <c r="FW424" s="1"/>
      <c r="FX424" s="1"/>
      <c r="FY424" s="1"/>
      <c r="FZ424" s="1"/>
      <c r="GA424" s="1"/>
      <c r="GB424" s="1"/>
      <c r="GD424" s="1"/>
      <c r="GE424" s="1"/>
      <c r="GF424" s="1"/>
      <c r="GG424" s="1"/>
      <c r="GH424" s="1"/>
      <c r="GI424" s="1"/>
      <c r="GJ424" s="1"/>
      <c r="GK424" s="1"/>
      <c r="GL424" s="1"/>
      <c r="GM424" s="1"/>
      <c r="GN424" s="1"/>
      <c r="GO424" s="1"/>
      <c r="GP424" s="1"/>
      <c r="GR424" s="1"/>
      <c r="GY424" s="1"/>
      <c r="HF424" s="1"/>
      <c r="HH424" s="1"/>
      <c r="HN424" s="1"/>
      <c r="HQ424" s="1"/>
      <c r="HT424" s="1"/>
      <c r="HY424" s="1"/>
      <c r="IE424" s="1"/>
      <c r="IF424" s="1"/>
      <c r="IG424" s="1"/>
      <c r="IJ424" s="1"/>
      <c r="IR424" s="1"/>
      <c r="IS424" s="1"/>
      <c r="IW424" s="1"/>
      <c r="IX424" s="1"/>
      <c r="IY424" s="1"/>
      <c r="IZ424" s="1"/>
      <c r="JB424" s="1"/>
      <c r="JC424" s="1"/>
      <c r="JF424" s="1"/>
      <c r="JG424" s="1"/>
      <c r="JH424" s="1"/>
      <c r="JJ424" s="1"/>
      <c r="JK424" s="1"/>
      <c r="JL424" s="3"/>
      <c r="JM424" s="1"/>
      <c r="JN424" s="1"/>
      <c r="JP424" s="1"/>
      <c r="JQ424" s="1"/>
      <c r="JR424" s="1"/>
      <c r="JT424" s="1"/>
      <c r="KV424" s="1"/>
      <c r="KY424" s="1"/>
      <c r="KZ424" s="1"/>
      <c r="LA424" s="1"/>
      <c r="LB424" s="1"/>
      <c r="LC424" s="1"/>
      <c r="LD424" s="1"/>
      <c r="LF424" s="1"/>
      <c r="LN424" s="1"/>
      <c r="LO424" s="1"/>
      <c r="LP424" s="1"/>
      <c r="LW424" s="1"/>
      <c r="LZ424" s="1"/>
      <c r="MA424" s="1"/>
    </row>
    <row r="425" spans="4:339" ht="13" x14ac:dyDescent="0.15">
      <c r="D425" s="12"/>
      <c r="E425" s="12"/>
      <c r="I425" s="12"/>
      <c r="J425" s="13"/>
      <c r="BF425" s="1"/>
      <c r="BG425" s="1"/>
      <c r="BH425" s="1"/>
      <c r="BI425" s="1"/>
      <c r="BJ425" s="1"/>
      <c r="BK425" s="1"/>
      <c r="BL425" s="1"/>
      <c r="BM425" s="1"/>
      <c r="BN425" s="1"/>
      <c r="BO425" s="1"/>
      <c r="BP425" s="1"/>
      <c r="BQ425" s="1"/>
      <c r="BR425" s="1"/>
      <c r="BX425" s="1"/>
      <c r="CD425" s="1"/>
      <c r="CE425" s="1"/>
      <c r="CF425" s="1"/>
      <c r="CG425" s="1"/>
      <c r="CH425" s="1"/>
      <c r="CI425" s="1"/>
      <c r="CM425" s="2"/>
      <c r="CN425" s="1"/>
      <c r="CO425" s="1"/>
      <c r="CP425" s="1"/>
      <c r="CQ425" s="1"/>
      <c r="CR425" s="1"/>
      <c r="CS425" s="1"/>
      <c r="CT425" s="1"/>
      <c r="CU425" s="1"/>
      <c r="CV425" s="1"/>
      <c r="CW425" s="1"/>
      <c r="CX425" s="1"/>
      <c r="CY425" s="1"/>
      <c r="CZ425" s="1"/>
      <c r="DA425" s="1"/>
      <c r="DB425" s="1"/>
      <c r="DC425" s="1"/>
      <c r="DD425" s="1"/>
      <c r="DE425" s="1"/>
      <c r="DF425" s="1"/>
      <c r="DG425" s="1"/>
      <c r="DH425" s="1"/>
      <c r="DI425" s="1"/>
      <c r="DJ425" s="1"/>
      <c r="DK425" s="1"/>
      <c r="DL425" s="1"/>
      <c r="DM425" s="1"/>
      <c r="DQ425" s="1"/>
      <c r="DR425" s="1"/>
      <c r="DY425" s="1"/>
      <c r="DZ425" s="1"/>
      <c r="ED425" s="1"/>
      <c r="EE425" s="1"/>
      <c r="EF425" s="1"/>
      <c r="EG425" s="1"/>
      <c r="EH425" s="1"/>
      <c r="EK425" s="1"/>
      <c r="EL425" s="1"/>
      <c r="EM425" s="1"/>
      <c r="EN425" s="1"/>
      <c r="EQ425" s="1"/>
      <c r="ER425" s="1"/>
      <c r="ES425" s="1"/>
      <c r="EV425" s="1"/>
      <c r="EW425" s="1"/>
      <c r="EY425" s="1"/>
      <c r="EZ425" s="1"/>
      <c r="FA425" s="1"/>
      <c r="FD425" s="1"/>
      <c r="FG425" s="1"/>
      <c r="FH425" s="1"/>
      <c r="FI425" s="1"/>
      <c r="FJ425" s="1"/>
      <c r="FK425" s="1"/>
      <c r="FL425" s="1"/>
      <c r="FM425" s="1"/>
      <c r="FN425" s="1"/>
      <c r="FO425" s="1"/>
      <c r="FP425" s="1"/>
      <c r="FQ425" s="1"/>
      <c r="FR425" s="1"/>
      <c r="FS425" s="1"/>
      <c r="FT425" s="1"/>
      <c r="FU425" s="1"/>
      <c r="FV425" s="1"/>
      <c r="FW425" s="1"/>
      <c r="FX425" s="1"/>
      <c r="FY425" s="1"/>
      <c r="FZ425" s="1"/>
      <c r="GA425" s="1"/>
      <c r="GB425" s="1"/>
      <c r="GD425" s="1"/>
      <c r="GE425" s="1"/>
      <c r="GF425" s="1"/>
      <c r="GG425" s="1"/>
      <c r="GH425" s="1"/>
      <c r="GI425" s="1"/>
      <c r="GJ425" s="1"/>
      <c r="GK425" s="1"/>
      <c r="GL425" s="1"/>
      <c r="GM425" s="1"/>
      <c r="GN425" s="1"/>
      <c r="GO425" s="1"/>
      <c r="GP425" s="1"/>
      <c r="GR425" s="1"/>
      <c r="GY425" s="1"/>
      <c r="HF425" s="1"/>
      <c r="HH425" s="1"/>
      <c r="HN425" s="1"/>
      <c r="HQ425" s="1"/>
      <c r="HT425" s="1"/>
      <c r="HY425" s="1"/>
      <c r="IE425" s="1"/>
      <c r="IF425" s="1"/>
      <c r="IG425" s="1"/>
      <c r="IJ425" s="1"/>
      <c r="IR425" s="1"/>
      <c r="IS425" s="1"/>
      <c r="IW425" s="1"/>
      <c r="IX425" s="1"/>
      <c r="IY425" s="1"/>
      <c r="IZ425" s="1"/>
      <c r="JB425" s="1"/>
      <c r="JC425" s="1"/>
      <c r="JF425" s="1"/>
      <c r="JG425" s="1"/>
      <c r="JH425" s="1"/>
      <c r="JJ425" s="1"/>
      <c r="JK425" s="1"/>
      <c r="JL425" s="3"/>
      <c r="JM425" s="1"/>
      <c r="JN425" s="1"/>
      <c r="JP425" s="1"/>
      <c r="JQ425" s="1"/>
      <c r="JR425" s="1"/>
      <c r="JT425" s="1"/>
      <c r="KV425" s="1"/>
      <c r="KY425" s="1"/>
      <c r="KZ425" s="1"/>
      <c r="LA425" s="1"/>
      <c r="LB425" s="1"/>
      <c r="LC425" s="1"/>
      <c r="LD425" s="1"/>
      <c r="LF425" s="1"/>
      <c r="LN425" s="1"/>
      <c r="LO425" s="1"/>
      <c r="LP425" s="1"/>
      <c r="LW425" s="1"/>
      <c r="LZ425" s="1"/>
      <c r="MA425" s="1"/>
    </row>
    <row r="426" spans="4:339" ht="13" x14ac:dyDescent="0.15">
      <c r="D426" s="12"/>
      <c r="E426" s="12"/>
      <c r="I426" s="12"/>
      <c r="J426" s="13"/>
      <c r="BG426" s="1"/>
      <c r="BH426" s="1"/>
      <c r="BI426" s="1"/>
      <c r="BK426" s="1"/>
      <c r="BL426" s="1"/>
      <c r="BM426" s="1"/>
      <c r="BN426" s="1"/>
      <c r="BO426" s="1"/>
      <c r="BP426" s="1"/>
      <c r="BQ426" s="1"/>
      <c r="BR426" s="1"/>
      <c r="CD426" s="1"/>
      <c r="CE426" s="1"/>
      <c r="CF426" s="1"/>
      <c r="CH426" s="1"/>
      <c r="CI426" s="1"/>
      <c r="CM426" s="2"/>
      <c r="CN426" s="1"/>
      <c r="CO426" s="1"/>
      <c r="CP426" s="1"/>
      <c r="CQ426" s="1"/>
      <c r="CX426" s="1"/>
      <c r="CY426" s="1"/>
      <c r="CZ426" s="1"/>
      <c r="DA426" s="1"/>
      <c r="DB426" s="1"/>
      <c r="DC426" s="1"/>
      <c r="DD426" s="1"/>
      <c r="DE426" s="1"/>
      <c r="DF426" s="1"/>
      <c r="DG426" s="1"/>
      <c r="DH426" s="1"/>
      <c r="DI426" s="1"/>
      <c r="DJ426" s="1"/>
      <c r="DK426" s="1"/>
      <c r="ED426" s="1"/>
      <c r="EK426" s="1"/>
      <c r="EL426" s="1"/>
      <c r="EM426" s="1"/>
      <c r="EN426" s="1"/>
      <c r="EQ426" s="1"/>
      <c r="ER426" s="1"/>
      <c r="ES426" s="1"/>
      <c r="EV426" s="1"/>
      <c r="EW426" s="1"/>
      <c r="EZ426" s="1"/>
      <c r="FA426" s="1"/>
      <c r="FD426" s="1"/>
      <c r="FH426" s="1"/>
      <c r="FJ426" s="1"/>
      <c r="GA426" s="1"/>
      <c r="GD426" s="1"/>
      <c r="GE426" s="1"/>
      <c r="GF426" s="1"/>
      <c r="GG426" s="1"/>
      <c r="GH426" s="1"/>
      <c r="GI426" s="1"/>
      <c r="GJ426" s="1"/>
      <c r="GN426" s="1"/>
      <c r="GV426" s="1"/>
      <c r="HE426" s="1"/>
      <c r="HF426" s="1"/>
      <c r="HY426" s="1"/>
      <c r="IE426" s="1"/>
      <c r="IR426" s="1"/>
      <c r="IS426" s="1"/>
      <c r="IZ426" s="1"/>
      <c r="JJ426" s="1"/>
      <c r="JP426" s="1"/>
      <c r="JQ426" s="1"/>
      <c r="KY426" s="1"/>
      <c r="KZ426" s="1"/>
      <c r="LA426" s="1"/>
      <c r="LB426" s="1"/>
      <c r="LR426" s="1"/>
      <c r="LS426" s="1"/>
      <c r="LT426" s="1"/>
      <c r="LU426" s="1"/>
      <c r="LZ426" s="1"/>
      <c r="MA426" s="1"/>
    </row>
    <row r="427" spans="4:339" ht="13" x14ac:dyDescent="0.15">
      <c r="D427" s="12"/>
      <c r="E427" s="12"/>
      <c r="I427" s="12"/>
      <c r="J427" s="13"/>
      <c r="BF427" s="1"/>
      <c r="BG427" s="1"/>
      <c r="BH427" s="1"/>
      <c r="BI427" s="1"/>
      <c r="BK427" s="1"/>
      <c r="BL427" s="1"/>
      <c r="BM427" s="1"/>
      <c r="BN427" s="1"/>
      <c r="BQ427" s="1"/>
      <c r="BR427" s="1"/>
      <c r="CD427" s="1"/>
      <c r="CE427" s="1"/>
      <c r="CF427" s="1"/>
      <c r="CH427" s="1"/>
      <c r="CI427" s="1"/>
      <c r="CM427" s="2"/>
      <c r="CN427" s="1"/>
      <c r="CO427" s="1"/>
      <c r="ED427" s="1"/>
      <c r="EL427" s="1"/>
      <c r="EM427" s="1"/>
      <c r="EN427" s="1"/>
      <c r="EQ427" s="1"/>
      <c r="ER427" s="1"/>
      <c r="ES427" s="1"/>
      <c r="EV427" s="1"/>
      <c r="EW427" s="1"/>
      <c r="EZ427" s="1"/>
      <c r="FA427" s="1"/>
      <c r="FD427" s="1"/>
      <c r="FH427" s="1"/>
      <c r="FJ427" s="1"/>
      <c r="FL427" s="1"/>
      <c r="GA427" s="1"/>
      <c r="GD427" s="1"/>
      <c r="GE427" s="1"/>
      <c r="GF427" s="1"/>
      <c r="GG427" s="1"/>
      <c r="GH427" s="1"/>
      <c r="GI427" s="1"/>
      <c r="GJ427" s="1"/>
      <c r="GL427" s="1"/>
      <c r="GM427" s="1"/>
      <c r="GN427" s="1"/>
      <c r="GR427" s="1"/>
      <c r="GY427" s="1"/>
      <c r="HF427" s="1"/>
      <c r="HY427" s="1"/>
      <c r="IS427" s="1"/>
      <c r="IY427" s="1"/>
      <c r="IZ427" s="1"/>
      <c r="JG427" s="1"/>
      <c r="JJ427" s="1"/>
      <c r="JN427" s="1"/>
      <c r="JP427" s="1"/>
      <c r="JQ427" s="1"/>
      <c r="JT427" s="1"/>
      <c r="KU427" s="1"/>
      <c r="KV427" s="1"/>
    </row>
    <row r="428" spans="4:339" ht="13" x14ac:dyDescent="0.15">
      <c r="D428" s="12"/>
      <c r="E428" s="12"/>
      <c r="I428" s="12"/>
      <c r="J428" s="13"/>
      <c r="BF428" s="1"/>
      <c r="BG428" s="1"/>
      <c r="BH428" s="1"/>
      <c r="BI428" s="1"/>
      <c r="BJ428" s="1"/>
      <c r="BK428" s="1"/>
      <c r="BL428" s="1"/>
      <c r="BM428" s="1"/>
      <c r="BN428" s="1"/>
      <c r="BO428" s="1"/>
      <c r="BQ428" s="1"/>
      <c r="BR428" s="1"/>
      <c r="CD428" s="1"/>
      <c r="CE428" s="1"/>
      <c r="CF428" s="1"/>
      <c r="CH428" s="1"/>
      <c r="CI428" s="1"/>
      <c r="CM428" s="2"/>
      <c r="CN428" s="1"/>
      <c r="CO428" s="1"/>
      <c r="ED428" s="1"/>
      <c r="EL428" s="1"/>
      <c r="EM428" s="1"/>
      <c r="EN428" s="1"/>
      <c r="EQ428" s="1"/>
      <c r="ER428" s="1"/>
      <c r="ES428" s="1"/>
      <c r="EV428" s="1"/>
      <c r="EW428" s="1"/>
      <c r="EZ428" s="1"/>
      <c r="FA428" s="1"/>
      <c r="FD428" s="1"/>
      <c r="FG428" s="1"/>
      <c r="FH428" s="1"/>
      <c r="FI428" s="1"/>
      <c r="FJ428" s="1"/>
      <c r="FK428" s="1"/>
      <c r="FM428" s="1"/>
      <c r="FN428" s="1"/>
      <c r="FO428" s="1"/>
      <c r="FP428" s="1"/>
      <c r="FQ428" s="1"/>
      <c r="FS428" s="1"/>
      <c r="FT428" s="1"/>
      <c r="FU428" s="1"/>
      <c r="FV428" s="1"/>
      <c r="FW428" s="1"/>
      <c r="FX428" s="1"/>
      <c r="FY428" s="1"/>
      <c r="FZ428" s="1"/>
      <c r="GA428" s="1"/>
      <c r="GB428" s="1"/>
      <c r="GD428" s="1"/>
      <c r="GE428" s="1"/>
      <c r="GF428" s="1"/>
      <c r="GG428" s="1"/>
      <c r="GH428" s="1"/>
      <c r="GI428" s="1"/>
      <c r="GJ428" s="1"/>
      <c r="GK428" s="1"/>
      <c r="GL428" s="1"/>
      <c r="GM428" s="1"/>
      <c r="GN428" s="1"/>
      <c r="GP428" s="1"/>
      <c r="GR428" s="1"/>
      <c r="GY428" s="1"/>
      <c r="HF428" s="1"/>
      <c r="HH428" s="1"/>
      <c r="HY428" s="1"/>
      <c r="IC428" s="1"/>
      <c r="IR428" s="1"/>
      <c r="IS428" s="1"/>
      <c r="IZ428" s="1"/>
      <c r="JF428" s="1"/>
      <c r="JG428" s="1"/>
      <c r="JJ428" s="1"/>
      <c r="JN428" s="1"/>
      <c r="JP428" s="1"/>
      <c r="JQ428" s="1"/>
      <c r="JT428" s="1"/>
    </row>
    <row r="429" spans="4:339" ht="13" x14ac:dyDescent="0.15">
      <c r="D429" s="12"/>
      <c r="E429" s="12"/>
      <c r="I429" s="12"/>
      <c r="J429" s="13"/>
      <c r="BF429" s="1"/>
      <c r="BG429" s="1"/>
      <c r="BH429" s="1"/>
      <c r="BI429" s="1"/>
      <c r="BK429" s="1"/>
      <c r="BL429" s="1"/>
      <c r="BM429" s="1"/>
      <c r="BN429" s="1"/>
      <c r="BO429" s="1"/>
      <c r="BP429" s="1"/>
      <c r="BQ429" s="1"/>
      <c r="BR429" s="1"/>
      <c r="CD429" s="1"/>
      <c r="CE429" s="1"/>
      <c r="CF429" s="1"/>
      <c r="CG429" s="1"/>
      <c r="CH429" s="1"/>
      <c r="CI429" s="1"/>
      <c r="CM429" s="2"/>
      <c r="CN429" s="1"/>
      <c r="CO429" s="1"/>
      <c r="CP429" s="1"/>
      <c r="CQ429" s="1"/>
      <c r="CR429" s="1"/>
      <c r="CT429" s="1"/>
      <c r="CU429" s="1"/>
      <c r="CV429" s="1"/>
      <c r="CW429" s="1"/>
      <c r="CX429" s="1"/>
      <c r="CY429" s="1"/>
      <c r="CZ429" s="1"/>
      <c r="DA429" s="1"/>
      <c r="DB429" s="1"/>
      <c r="DC429" s="1"/>
      <c r="DD429" s="1"/>
      <c r="DE429" s="1"/>
      <c r="DF429" s="1"/>
      <c r="DG429" s="1"/>
      <c r="DH429" s="1"/>
      <c r="DI429" s="1"/>
      <c r="DJ429" s="1"/>
      <c r="DK429" s="1"/>
      <c r="ED429" s="1"/>
      <c r="EK429" s="1"/>
      <c r="EL429" s="1"/>
      <c r="EM429" s="1"/>
      <c r="EN429" s="1"/>
      <c r="EQ429" s="1"/>
      <c r="ER429" s="1"/>
      <c r="ES429" s="1"/>
      <c r="EV429" s="1"/>
      <c r="EW429" s="1"/>
      <c r="EZ429" s="1"/>
      <c r="FA429" s="1"/>
      <c r="FD429" s="1"/>
      <c r="FE429" s="1"/>
      <c r="FF429" s="1"/>
      <c r="FJ429" s="1"/>
      <c r="FP429" s="1"/>
      <c r="FS429" s="1"/>
      <c r="FV429" s="1"/>
      <c r="FW429" s="1"/>
      <c r="FX429" s="1"/>
      <c r="GA429" s="1"/>
      <c r="GD429" s="1"/>
      <c r="GE429" s="1"/>
      <c r="GF429" s="1"/>
      <c r="GG429" s="1"/>
      <c r="GH429" s="1"/>
      <c r="GI429" s="1"/>
      <c r="GJ429" s="1"/>
      <c r="GP429" s="1"/>
      <c r="GR429" s="1"/>
      <c r="HH429" s="1"/>
      <c r="HN429" s="1"/>
      <c r="HT429" s="1"/>
      <c r="HY429" s="1"/>
      <c r="IE429" s="1"/>
      <c r="IR429" s="1"/>
      <c r="IS429" s="1"/>
      <c r="IZ429" s="1"/>
      <c r="JC429" s="1"/>
      <c r="JF429" s="1"/>
      <c r="JG429" s="1"/>
      <c r="JH429" s="1"/>
      <c r="JJ429" s="1"/>
      <c r="JN429" s="1"/>
      <c r="JP429" s="1"/>
      <c r="JQ429" s="1"/>
      <c r="KV429" s="1"/>
      <c r="KY429" s="1"/>
      <c r="KZ429" s="1"/>
      <c r="LA429" s="1"/>
      <c r="LB429" s="1"/>
      <c r="LC429" s="1"/>
      <c r="LD429" s="1"/>
      <c r="LO429" s="1"/>
      <c r="LP429" s="1"/>
      <c r="LZ429" s="1"/>
      <c r="MA429" s="1"/>
    </row>
    <row r="430" spans="4:339" ht="13" x14ac:dyDescent="0.15">
      <c r="D430" s="12"/>
      <c r="E430" s="12"/>
      <c r="I430" s="12"/>
      <c r="J430" s="13"/>
      <c r="BF430" s="1"/>
      <c r="BG430" s="1"/>
      <c r="BH430" s="1"/>
      <c r="BI430" s="1"/>
      <c r="BK430" s="1"/>
      <c r="BL430" s="1"/>
      <c r="BM430" s="1"/>
      <c r="BN430" s="1"/>
      <c r="BO430" s="1"/>
      <c r="BP430" s="1"/>
      <c r="BQ430" s="1"/>
      <c r="BR430" s="1"/>
      <c r="CD430" s="1"/>
      <c r="CE430" s="1"/>
      <c r="CF430" s="1"/>
      <c r="CG430" s="1"/>
      <c r="CH430" s="1"/>
      <c r="CI430" s="1"/>
      <c r="CM430" s="2"/>
      <c r="CN430" s="1"/>
      <c r="CO430" s="1"/>
      <c r="CP430" s="1"/>
      <c r="CQ430" s="1"/>
      <c r="CR430" s="1"/>
      <c r="CT430" s="1"/>
      <c r="CU430" s="1"/>
      <c r="CV430" s="1"/>
      <c r="CW430" s="1"/>
      <c r="CX430" s="1"/>
      <c r="CY430" s="1"/>
      <c r="CZ430" s="1"/>
      <c r="DA430" s="1"/>
      <c r="DB430" s="1"/>
      <c r="DC430" s="1"/>
      <c r="DD430" s="1"/>
      <c r="DE430" s="1"/>
      <c r="DF430" s="1"/>
      <c r="DG430" s="1"/>
      <c r="DH430" s="1"/>
      <c r="DI430" s="1"/>
      <c r="DJ430" s="1"/>
      <c r="DK430" s="1"/>
      <c r="ED430" s="1"/>
      <c r="EK430" s="1"/>
      <c r="EL430" s="1"/>
      <c r="EM430" s="1"/>
      <c r="EN430" s="1"/>
      <c r="EQ430" s="1"/>
      <c r="ER430" s="1"/>
      <c r="ES430" s="1"/>
      <c r="EV430" s="1"/>
      <c r="EW430" s="1"/>
      <c r="EZ430" s="1"/>
      <c r="FA430" s="1"/>
      <c r="FD430" s="1"/>
      <c r="FE430" s="1"/>
      <c r="FF430" s="1"/>
      <c r="FJ430" s="1"/>
      <c r="FP430" s="1"/>
      <c r="FS430" s="1"/>
      <c r="FV430" s="1"/>
      <c r="FW430" s="1"/>
      <c r="FX430" s="1"/>
      <c r="GA430" s="1"/>
      <c r="GD430" s="1"/>
      <c r="GE430" s="1"/>
      <c r="GF430" s="1"/>
      <c r="GG430" s="1"/>
      <c r="GH430" s="1"/>
      <c r="GI430" s="1"/>
      <c r="GJ430" s="1"/>
      <c r="GP430" s="1"/>
      <c r="GR430" s="1"/>
      <c r="HH430" s="1"/>
      <c r="HN430" s="1"/>
      <c r="HT430" s="1"/>
      <c r="HY430" s="1"/>
      <c r="IE430" s="1"/>
      <c r="IR430" s="1"/>
      <c r="IS430" s="1"/>
      <c r="IZ430" s="1"/>
      <c r="JC430" s="1"/>
      <c r="JF430" s="1"/>
      <c r="JG430" s="1"/>
      <c r="JH430" s="1"/>
      <c r="JJ430" s="1"/>
      <c r="JN430" s="1"/>
      <c r="JP430" s="1"/>
      <c r="JQ430" s="1"/>
      <c r="KV430" s="1"/>
      <c r="KY430" s="1"/>
      <c r="KZ430" s="1"/>
      <c r="LA430" s="1"/>
      <c r="LB430" s="1"/>
      <c r="LC430" s="1"/>
      <c r="LD430" s="1"/>
      <c r="LO430" s="1"/>
      <c r="LP430" s="1"/>
      <c r="LZ430" s="1"/>
      <c r="MA430" s="1"/>
    </row>
    <row r="431" spans="4:339" ht="13" x14ac:dyDescent="0.15">
      <c r="D431" s="12"/>
      <c r="E431" s="12"/>
      <c r="I431" s="12"/>
      <c r="J431" s="13"/>
      <c r="BF431" s="1"/>
      <c r="BG431" s="1"/>
      <c r="BH431" s="1"/>
      <c r="BI431" s="1"/>
      <c r="BK431" s="1"/>
      <c r="BL431" s="1"/>
      <c r="BM431" s="1"/>
      <c r="BN431" s="1"/>
      <c r="BO431" s="1"/>
      <c r="BP431" s="1"/>
      <c r="BQ431" s="1"/>
      <c r="BR431" s="1"/>
      <c r="CD431" s="1"/>
      <c r="CE431" s="1"/>
      <c r="CF431" s="1"/>
      <c r="CG431" s="1"/>
      <c r="CH431" s="1"/>
      <c r="CI431" s="1"/>
      <c r="CM431" s="2"/>
      <c r="CN431" s="1"/>
      <c r="CO431" s="1"/>
      <c r="CP431" s="1"/>
      <c r="CQ431" s="1"/>
      <c r="CR431" s="1"/>
      <c r="CT431" s="1"/>
      <c r="CU431" s="1"/>
      <c r="CV431" s="1"/>
      <c r="CW431" s="1"/>
      <c r="CX431" s="1"/>
      <c r="CY431" s="1"/>
      <c r="CZ431" s="1"/>
      <c r="DA431" s="1"/>
      <c r="DB431" s="1"/>
      <c r="DC431" s="1"/>
      <c r="DD431" s="1"/>
      <c r="DE431" s="1"/>
      <c r="DF431" s="1"/>
      <c r="DG431" s="1"/>
      <c r="DH431" s="1"/>
      <c r="DI431" s="1"/>
      <c r="DJ431" s="1"/>
      <c r="DK431" s="1"/>
      <c r="ED431" s="1"/>
      <c r="EK431" s="1"/>
      <c r="EL431" s="1"/>
      <c r="EM431" s="1"/>
      <c r="EN431" s="1"/>
      <c r="EQ431" s="1"/>
      <c r="ER431" s="1"/>
      <c r="ES431" s="1"/>
      <c r="EV431" s="1"/>
      <c r="EW431" s="1"/>
      <c r="EZ431" s="1"/>
      <c r="FA431" s="1"/>
      <c r="FD431" s="1"/>
      <c r="FE431" s="1"/>
      <c r="FF431" s="1"/>
      <c r="FJ431" s="1"/>
      <c r="FP431" s="1"/>
      <c r="FS431" s="1"/>
      <c r="FV431" s="1"/>
      <c r="FW431" s="1"/>
      <c r="FX431" s="1"/>
      <c r="GA431" s="1"/>
      <c r="GD431" s="1"/>
      <c r="GE431" s="1"/>
      <c r="GF431" s="1"/>
      <c r="GG431" s="1"/>
      <c r="GH431" s="1"/>
      <c r="GI431" s="1"/>
      <c r="GJ431" s="1"/>
      <c r="GP431" s="1"/>
      <c r="GR431" s="1"/>
      <c r="HH431" s="1"/>
      <c r="HN431" s="1"/>
      <c r="HT431" s="1"/>
      <c r="HY431" s="1"/>
      <c r="IE431" s="1"/>
      <c r="IR431" s="1"/>
      <c r="IS431" s="1"/>
      <c r="IZ431" s="1"/>
      <c r="JC431" s="1"/>
      <c r="JF431" s="1"/>
      <c r="JG431" s="1"/>
      <c r="JH431" s="1"/>
      <c r="JJ431" s="1"/>
      <c r="JN431" s="1"/>
      <c r="JP431" s="1"/>
      <c r="JQ431" s="1"/>
      <c r="KV431" s="1"/>
      <c r="KY431" s="1"/>
      <c r="KZ431" s="1"/>
      <c r="LA431" s="1"/>
      <c r="LB431" s="1"/>
      <c r="LC431" s="1"/>
      <c r="LD431" s="1"/>
      <c r="LO431" s="1"/>
      <c r="LP431" s="1"/>
      <c r="LZ431" s="1"/>
      <c r="MA431" s="1"/>
    </row>
    <row r="432" spans="4:339" ht="13" x14ac:dyDescent="0.15">
      <c r="D432" s="12"/>
      <c r="E432" s="12"/>
      <c r="I432" s="12"/>
      <c r="J432" s="13"/>
      <c r="BF432" s="1"/>
      <c r="BG432" s="1"/>
      <c r="BH432" s="1"/>
      <c r="BI432" s="1"/>
      <c r="BJ432" s="1"/>
      <c r="BK432" s="1"/>
      <c r="BL432" s="1"/>
      <c r="BM432" s="1"/>
      <c r="BN432" s="1"/>
      <c r="BO432" s="1"/>
      <c r="BQ432" s="1"/>
      <c r="BR432" s="1"/>
      <c r="CD432" s="1"/>
      <c r="CE432" s="1"/>
      <c r="CF432" s="1"/>
      <c r="CH432" s="1"/>
      <c r="CI432" s="1"/>
      <c r="CM432" s="2"/>
      <c r="CN432" s="1"/>
      <c r="CO432" s="1"/>
      <c r="CQ432" s="1"/>
      <c r="CY432" s="1"/>
      <c r="DC432" s="1"/>
      <c r="DH432" s="1"/>
      <c r="DM432" s="1"/>
      <c r="DR432" s="1"/>
      <c r="ED432" s="1"/>
      <c r="EF432" s="1"/>
      <c r="EL432" s="1"/>
      <c r="EM432" s="1"/>
      <c r="EN432" s="1"/>
      <c r="EQ432" s="1"/>
      <c r="ER432" s="1"/>
      <c r="ES432" s="1"/>
      <c r="EV432" s="1"/>
      <c r="EW432" s="1"/>
      <c r="EZ432" s="1"/>
      <c r="FA432" s="1"/>
      <c r="FD432" s="1"/>
      <c r="FG432" s="1"/>
      <c r="FH432" s="1"/>
      <c r="FI432" s="1"/>
      <c r="FJ432" s="1"/>
      <c r="FM432" s="1"/>
      <c r="FN432" s="1"/>
      <c r="FO432" s="1"/>
      <c r="FP432" s="1"/>
      <c r="FQ432" s="1"/>
      <c r="FS432" s="1"/>
      <c r="FV432" s="1"/>
      <c r="FW432" s="1"/>
      <c r="FX432" s="1"/>
      <c r="FY432" s="1"/>
      <c r="FZ432" s="1"/>
      <c r="GA432" s="1"/>
      <c r="GD432" s="1"/>
      <c r="GE432" s="1"/>
      <c r="GF432" s="1"/>
      <c r="GG432" s="1"/>
      <c r="GH432" s="1"/>
      <c r="GI432" s="1"/>
      <c r="GJ432" s="1"/>
      <c r="GK432" s="1"/>
      <c r="GL432" s="1"/>
      <c r="GM432" s="1"/>
      <c r="GN432" s="1"/>
      <c r="GP432" s="1"/>
      <c r="GR432" s="1"/>
      <c r="GY432" s="1"/>
      <c r="HF432" s="1"/>
      <c r="HH432" s="1"/>
      <c r="HN432" s="1"/>
      <c r="HY432" s="1"/>
      <c r="IR432" s="1"/>
      <c r="IS432" s="1"/>
      <c r="IZ432" s="1"/>
      <c r="JG432" s="1"/>
      <c r="JJ432" s="1"/>
      <c r="JN432" s="1"/>
      <c r="JP432" s="1"/>
      <c r="JQ432" s="1"/>
      <c r="JT432" s="1"/>
      <c r="KZ432" s="1"/>
      <c r="LA432" s="1"/>
      <c r="LC432" s="1"/>
      <c r="LO432" s="1"/>
      <c r="LZ432" s="1"/>
      <c r="MA432" s="1"/>
    </row>
    <row r="433" spans="4:339" ht="13" x14ac:dyDescent="0.15">
      <c r="D433" s="12"/>
      <c r="E433" s="12"/>
      <c r="I433" s="12"/>
      <c r="J433" s="13"/>
      <c r="BF433" s="1"/>
      <c r="BG433" s="1"/>
      <c r="BH433" s="1"/>
      <c r="BI433" s="1"/>
      <c r="BJ433" s="1"/>
      <c r="BK433" s="1"/>
      <c r="BL433" s="1"/>
      <c r="BM433" s="1"/>
      <c r="BN433" s="1"/>
      <c r="BO433" s="1"/>
      <c r="BP433" s="1"/>
      <c r="BQ433" s="1"/>
      <c r="BR433" s="1"/>
      <c r="CD433" s="1"/>
      <c r="CE433" s="1"/>
      <c r="CF433" s="1"/>
      <c r="CG433" s="1"/>
      <c r="CH433" s="1"/>
      <c r="CI433" s="1"/>
      <c r="CM433" s="2"/>
      <c r="CN433" s="1"/>
      <c r="CO433" s="1"/>
      <c r="CP433" s="1"/>
      <c r="CQ433" s="1"/>
      <c r="CS433" s="1"/>
      <c r="CT433" s="1"/>
      <c r="CU433" s="1"/>
      <c r="CV433" s="1"/>
      <c r="CW433" s="1"/>
      <c r="CX433" s="1"/>
      <c r="CY433" s="1"/>
      <c r="CZ433" s="1"/>
      <c r="DA433" s="1"/>
      <c r="DB433" s="1"/>
      <c r="DC433" s="1"/>
      <c r="DD433" s="1"/>
      <c r="DE433" s="1"/>
      <c r="DF433" s="1"/>
      <c r="DG433" s="1"/>
      <c r="DH433" s="1"/>
      <c r="DI433" s="1"/>
      <c r="DJ433" s="1"/>
      <c r="DK433" s="1"/>
      <c r="DM433" s="1"/>
      <c r="DR433" s="1"/>
      <c r="ED433" s="1"/>
      <c r="EF433" s="1"/>
      <c r="EK433" s="1"/>
      <c r="EL433" s="1"/>
      <c r="EM433" s="1"/>
      <c r="EN433" s="1"/>
      <c r="EQ433" s="1"/>
      <c r="ER433" s="1"/>
      <c r="ES433" s="1"/>
      <c r="EV433" s="1"/>
      <c r="EW433" s="1"/>
      <c r="EZ433" s="1"/>
      <c r="FA433" s="1"/>
      <c r="FD433" s="1"/>
      <c r="FG433" s="1"/>
      <c r="FH433" s="1"/>
      <c r="FJ433" s="1"/>
      <c r="FM433" s="1"/>
      <c r="FN433" s="1"/>
      <c r="FO433" s="1"/>
      <c r="FP433" s="1"/>
      <c r="FS433" s="1"/>
      <c r="FU433" s="1"/>
      <c r="FV433" s="1"/>
      <c r="FW433" s="1"/>
      <c r="FX433" s="1"/>
      <c r="FZ433" s="1"/>
      <c r="GA433" s="1"/>
      <c r="GB433" s="1"/>
      <c r="GD433" s="1"/>
      <c r="GE433" s="1"/>
      <c r="GF433" s="1"/>
      <c r="GG433" s="1"/>
      <c r="GH433" s="1"/>
      <c r="GI433" s="1"/>
      <c r="GJ433" s="1"/>
      <c r="GK433" s="1"/>
      <c r="GL433" s="1"/>
      <c r="GM433" s="1"/>
      <c r="GN433" s="1"/>
      <c r="GO433" s="1"/>
      <c r="GP433" s="1"/>
      <c r="GR433" s="1"/>
      <c r="GY433" s="1"/>
      <c r="HF433" s="1"/>
      <c r="HH433" s="1"/>
      <c r="HN433" s="1"/>
      <c r="HT433" s="1"/>
      <c r="HY433" s="1"/>
      <c r="IC433" s="1"/>
      <c r="IE433" s="1"/>
      <c r="IR433" s="1"/>
      <c r="IS433" s="1"/>
      <c r="IY433" s="1"/>
      <c r="IZ433" s="1"/>
      <c r="JC433" s="1"/>
      <c r="JF433" s="1"/>
      <c r="JG433" s="1"/>
      <c r="JJ433" s="1"/>
      <c r="JN433" s="1"/>
      <c r="JP433" s="1"/>
      <c r="JQ433" s="1"/>
      <c r="JT433" s="1"/>
      <c r="KU433" s="1"/>
      <c r="KY433" s="1"/>
      <c r="KZ433" s="1"/>
      <c r="LA433" s="1"/>
      <c r="LB433" s="1"/>
      <c r="LC433" s="1"/>
      <c r="LD433" s="1"/>
      <c r="LO433" s="1"/>
      <c r="LP433" s="1"/>
      <c r="LZ433" s="1"/>
      <c r="MA433" s="1"/>
    </row>
    <row r="434" spans="4:339" ht="13" x14ac:dyDescent="0.15">
      <c r="D434" s="12"/>
      <c r="E434" s="12"/>
      <c r="I434" s="12"/>
      <c r="J434" s="13"/>
      <c r="BF434" s="1"/>
      <c r="BG434" s="1"/>
      <c r="BH434" s="1"/>
      <c r="BI434" s="1"/>
      <c r="BJ434" s="1"/>
      <c r="BK434" s="1"/>
      <c r="BL434" s="1"/>
      <c r="BM434" s="1"/>
      <c r="BN434" s="1"/>
      <c r="BO434" s="1"/>
      <c r="BP434" s="1"/>
      <c r="BQ434" s="1"/>
      <c r="BR434" s="1"/>
      <c r="CD434" s="1"/>
      <c r="CE434" s="1"/>
      <c r="CF434" s="1"/>
      <c r="CG434" s="1"/>
      <c r="CH434" s="1"/>
      <c r="CI434" s="1"/>
      <c r="CM434" s="2"/>
      <c r="CN434" s="1"/>
      <c r="CO434" s="1"/>
      <c r="CP434" s="1"/>
      <c r="CQ434" s="1"/>
      <c r="CS434" s="1"/>
      <c r="CT434" s="1"/>
      <c r="CU434" s="1"/>
      <c r="CV434" s="1"/>
      <c r="CW434" s="1"/>
      <c r="CX434" s="1"/>
      <c r="CY434" s="1"/>
      <c r="CZ434" s="1"/>
      <c r="DA434" s="1"/>
      <c r="DB434" s="1"/>
      <c r="DC434" s="1"/>
      <c r="DD434" s="1"/>
      <c r="DE434" s="1"/>
      <c r="DF434" s="1"/>
      <c r="DG434" s="1"/>
      <c r="DH434" s="1"/>
      <c r="DI434" s="1"/>
      <c r="DJ434" s="1"/>
      <c r="DK434" s="1"/>
      <c r="DM434" s="1"/>
      <c r="DR434" s="1"/>
      <c r="ED434" s="1"/>
      <c r="EF434" s="1"/>
      <c r="EK434" s="1"/>
      <c r="EL434" s="1"/>
      <c r="EM434" s="1"/>
      <c r="EN434" s="1"/>
      <c r="EQ434" s="1"/>
      <c r="ER434" s="1"/>
      <c r="ES434" s="1"/>
      <c r="EV434" s="1"/>
      <c r="EW434" s="1"/>
      <c r="EZ434" s="1"/>
      <c r="FA434" s="1"/>
      <c r="FD434" s="1"/>
      <c r="FG434" s="1"/>
      <c r="FH434" s="1"/>
      <c r="FJ434" s="1"/>
      <c r="FM434" s="1"/>
      <c r="FN434" s="1"/>
      <c r="FO434" s="1"/>
      <c r="FP434" s="1"/>
      <c r="FS434" s="1"/>
      <c r="FU434" s="1"/>
      <c r="FV434" s="1"/>
      <c r="FW434" s="1"/>
      <c r="FX434" s="1"/>
      <c r="FZ434" s="1"/>
      <c r="GA434" s="1"/>
      <c r="GB434" s="1"/>
      <c r="GD434" s="1"/>
      <c r="GE434" s="1"/>
      <c r="GF434" s="1"/>
      <c r="GG434" s="1"/>
      <c r="GH434" s="1"/>
      <c r="GI434" s="1"/>
      <c r="GJ434" s="1"/>
      <c r="GK434" s="1"/>
      <c r="GL434" s="1"/>
      <c r="GM434" s="1"/>
      <c r="GN434" s="1"/>
      <c r="GO434" s="1"/>
      <c r="GP434" s="1"/>
      <c r="GR434" s="1"/>
      <c r="GY434" s="1"/>
      <c r="HF434" s="1"/>
      <c r="HH434" s="1"/>
      <c r="HN434" s="1"/>
      <c r="HT434" s="1"/>
      <c r="HY434" s="1"/>
      <c r="IC434" s="1"/>
      <c r="IE434" s="1"/>
      <c r="IR434" s="1"/>
      <c r="IS434" s="1"/>
      <c r="IY434" s="1"/>
      <c r="IZ434" s="1"/>
      <c r="JC434" s="1"/>
      <c r="JF434" s="1"/>
      <c r="JG434" s="1"/>
      <c r="JJ434" s="1"/>
      <c r="JN434" s="1"/>
      <c r="JP434" s="1"/>
      <c r="JQ434" s="1"/>
      <c r="JT434" s="1"/>
      <c r="KU434" s="1"/>
      <c r="KY434" s="1"/>
      <c r="KZ434" s="1"/>
      <c r="LA434" s="1"/>
      <c r="LB434" s="1"/>
      <c r="LC434" s="1"/>
      <c r="LD434" s="1"/>
      <c r="LO434" s="1"/>
      <c r="LP434" s="1"/>
      <c r="LZ434" s="1"/>
      <c r="MA434" s="1"/>
    </row>
    <row r="435" spans="4:339" ht="13" x14ac:dyDescent="0.15">
      <c r="D435" s="12"/>
      <c r="E435" s="12"/>
      <c r="I435" s="12"/>
      <c r="J435" s="13"/>
      <c r="BF435" s="1"/>
      <c r="BG435" s="1"/>
      <c r="BH435" s="1"/>
      <c r="BI435" s="1"/>
      <c r="BK435" s="1"/>
      <c r="BL435" s="1"/>
      <c r="BM435" s="1"/>
      <c r="BN435" s="1"/>
      <c r="BO435" s="1"/>
      <c r="BP435" s="1"/>
      <c r="BQ435" s="1"/>
      <c r="BR435" s="1"/>
      <c r="CD435" s="1"/>
      <c r="CE435" s="1"/>
      <c r="CF435" s="1"/>
      <c r="CG435" s="1"/>
      <c r="CH435" s="1"/>
      <c r="CI435" s="1"/>
      <c r="CM435" s="2"/>
      <c r="CN435" s="1"/>
      <c r="CO435" s="1"/>
      <c r="CP435" s="1"/>
      <c r="CQ435" s="1"/>
      <c r="CR435" s="1"/>
      <c r="CS435" s="1"/>
      <c r="CT435" s="1"/>
      <c r="CU435" s="1"/>
      <c r="CV435" s="1"/>
      <c r="CW435" s="1"/>
      <c r="CX435" s="1"/>
      <c r="CY435" s="1"/>
      <c r="CZ435" s="1"/>
      <c r="DA435" s="1"/>
      <c r="DB435" s="1"/>
      <c r="DC435" s="1"/>
      <c r="DD435" s="1"/>
      <c r="DE435" s="1"/>
      <c r="DF435" s="1"/>
      <c r="DG435" s="1"/>
      <c r="DH435" s="1"/>
      <c r="DI435" s="1"/>
      <c r="DJ435" s="1"/>
      <c r="DK435" s="1"/>
      <c r="DM435" s="1"/>
      <c r="DR435" s="1"/>
      <c r="ED435" s="1"/>
      <c r="EF435" s="1"/>
      <c r="EK435" s="1"/>
      <c r="EL435" s="1"/>
      <c r="EM435" s="1"/>
      <c r="EN435" s="1"/>
      <c r="EQ435" s="1"/>
      <c r="ER435" s="1"/>
      <c r="ES435" s="1"/>
      <c r="EV435" s="1"/>
      <c r="EW435" s="1"/>
      <c r="EZ435" s="1"/>
      <c r="FA435" s="1"/>
      <c r="FD435" s="1"/>
      <c r="FG435" s="1"/>
      <c r="FH435" s="1"/>
      <c r="FI435" s="1"/>
      <c r="FJ435" s="1"/>
      <c r="FK435" s="1"/>
      <c r="FL435" s="1"/>
      <c r="FM435" s="1"/>
      <c r="FN435" s="1"/>
      <c r="FO435" s="1"/>
      <c r="FP435" s="1"/>
      <c r="FQ435" s="1"/>
      <c r="FR435" s="1"/>
      <c r="FS435" s="1"/>
      <c r="FT435" s="1"/>
      <c r="FU435" s="1"/>
      <c r="FV435" s="1"/>
      <c r="FW435" s="1"/>
      <c r="FX435" s="1"/>
      <c r="FY435" s="1"/>
      <c r="FZ435" s="1"/>
      <c r="GA435" s="1"/>
      <c r="GB435" s="1"/>
      <c r="GD435" s="1"/>
      <c r="GE435" s="1"/>
      <c r="GF435" s="1"/>
      <c r="GG435" s="1"/>
      <c r="GH435" s="1"/>
      <c r="GI435" s="1"/>
      <c r="GJ435" s="1"/>
      <c r="GK435" s="1"/>
      <c r="GL435" s="1"/>
      <c r="GM435" s="1"/>
      <c r="GN435" s="1"/>
      <c r="GP435" s="1"/>
      <c r="GR435" s="1"/>
      <c r="GY435" s="1"/>
      <c r="HH435" s="1"/>
      <c r="HN435" s="1"/>
      <c r="HT435" s="1"/>
      <c r="HY435" s="1"/>
      <c r="IC435" s="1"/>
      <c r="IE435" s="1"/>
      <c r="IR435" s="1"/>
      <c r="IS435" s="1"/>
      <c r="IW435" s="1"/>
      <c r="IZ435" s="1"/>
      <c r="JA435" s="1"/>
      <c r="JC435" s="1"/>
      <c r="JF435" s="1"/>
      <c r="JG435" s="1"/>
      <c r="JH435" s="1"/>
      <c r="JJ435" s="1"/>
      <c r="JN435" s="1"/>
      <c r="JP435" s="1"/>
      <c r="JQ435" s="1"/>
      <c r="JT435" s="1"/>
      <c r="KV435" s="1"/>
      <c r="KY435" s="1"/>
      <c r="KZ435" s="1"/>
      <c r="LA435" s="1"/>
      <c r="LB435" s="1"/>
      <c r="LC435" s="1"/>
      <c r="LD435" s="1"/>
      <c r="LO435" s="1"/>
      <c r="LP435" s="1"/>
      <c r="LZ435" s="1"/>
      <c r="MA435" s="1"/>
    </row>
    <row r="436" spans="4:339" ht="13" x14ac:dyDescent="0.15">
      <c r="D436" s="12"/>
      <c r="E436" s="12"/>
      <c r="I436" s="12"/>
      <c r="J436" s="13"/>
      <c r="BF436" s="1"/>
      <c r="BG436" s="1"/>
      <c r="BH436" s="1"/>
      <c r="BI436" s="1"/>
      <c r="BK436" s="1"/>
      <c r="BL436" s="1"/>
      <c r="BM436" s="1"/>
      <c r="BN436" s="1"/>
      <c r="BO436" s="1"/>
      <c r="BP436" s="1"/>
      <c r="BQ436" s="1"/>
      <c r="BR436" s="1"/>
      <c r="BX436" s="1"/>
      <c r="CD436" s="1"/>
      <c r="CE436" s="1"/>
      <c r="CF436" s="1"/>
      <c r="CG436" s="1"/>
      <c r="CH436" s="1"/>
      <c r="CI436" s="1"/>
      <c r="CM436" s="2"/>
      <c r="CN436" s="1"/>
      <c r="CO436" s="1"/>
      <c r="CP436" s="1"/>
      <c r="CQ436" s="1"/>
      <c r="CR436" s="1"/>
      <c r="CS436" s="1"/>
      <c r="CT436" s="1"/>
      <c r="CU436" s="1"/>
      <c r="CV436" s="1"/>
      <c r="CW436" s="1"/>
      <c r="CX436" s="1"/>
      <c r="CY436" s="1"/>
      <c r="CZ436" s="1"/>
      <c r="DA436" s="1"/>
      <c r="DB436" s="1"/>
      <c r="DC436" s="1"/>
      <c r="DD436" s="1"/>
      <c r="DE436" s="1"/>
      <c r="DF436" s="1"/>
      <c r="DG436" s="1"/>
      <c r="DH436" s="1"/>
      <c r="DI436" s="1"/>
      <c r="DJ436" s="1"/>
      <c r="DK436" s="1"/>
      <c r="DL436" s="1"/>
      <c r="DM436" s="1"/>
      <c r="DQ436" s="1"/>
      <c r="DR436" s="1"/>
      <c r="DY436" s="1"/>
      <c r="DZ436" s="1"/>
      <c r="ED436" s="1"/>
      <c r="EE436" s="1"/>
      <c r="EF436" s="1"/>
      <c r="EG436" s="1"/>
      <c r="EH436" s="1"/>
      <c r="EK436" s="1"/>
      <c r="EL436" s="1"/>
      <c r="EM436" s="1"/>
      <c r="EN436" s="1"/>
      <c r="EQ436" s="1"/>
      <c r="ER436" s="1"/>
      <c r="ES436" s="1"/>
      <c r="EV436" s="1"/>
      <c r="EW436" s="1"/>
      <c r="EX436" s="1"/>
      <c r="EY436" s="1"/>
      <c r="EZ436" s="1"/>
      <c r="FA436" s="1"/>
      <c r="FD436" s="1"/>
      <c r="FG436" s="1"/>
      <c r="FH436" s="1"/>
      <c r="FI436" s="1"/>
      <c r="FJ436" s="1"/>
      <c r="FK436" s="1"/>
      <c r="FL436" s="1"/>
      <c r="FM436" s="1"/>
      <c r="FN436" s="1"/>
      <c r="FO436" s="1"/>
      <c r="FP436" s="1"/>
      <c r="FQ436" s="1"/>
      <c r="FR436" s="1"/>
      <c r="FS436" s="1"/>
      <c r="FT436" s="1"/>
      <c r="FU436" s="1"/>
      <c r="FV436" s="1"/>
      <c r="FW436" s="1"/>
      <c r="FX436" s="1"/>
      <c r="FY436" s="1"/>
      <c r="FZ436" s="1"/>
      <c r="GA436" s="1"/>
      <c r="GB436" s="1"/>
      <c r="GD436" s="1"/>
      <c r="GE436" s="1"/>
      <c r="GF436" s="1"/>
      <c r="GG436" s="1"/>
      <c r="GH436" s="1"/>
      <c r="GI436" s="1"/>
      <c r="GJ436" s="1"/>
      <c r="GK436" s="1"/>
      <c r="GL436" s="1"/>
      <c r="GM436" s="1"/>
      <c r="GN436" s="1"/>
      <c r="GO436" s="1"/>
      <c r="GP436" s="1"/>
      <c r="GR436" s="1"/>
      <c r="GY436" s="1"/>
      <c r="HF436" s="1"/>
      <c r="HH436" s="1"/>
      <c r="HQ436" s="1"/>
      <c r="HT436" s="1"/>
      <c r="HY436" s="1"/>
      <c r="IC436" s="1"/>
      <c r="ID436" s="1"/>
      <c r="IE436" s="1"/>
      <c r="IG436" s="1"/>
      <c r="IJ436" s="1"/>
      <c r="IR436" s="1"/>
      <c r="IS436" s="1"/>
      <c r="IZ436" s="1"/>
      <c r="JC436" s="1"/>
      <c r="JF436" s="1"/>
      <c r="JG436" s="1"/>
      <c r="JH436" s="1"/>
      <c r="JJ436" s="1"/>
      <c r="JK436" s="1"/>
      <c r="JL436" s="3"/>
      <c r="JM436" s="1"/>
      <c r="JN436" s="1"/>
      <c r="JP436" s="1"/>
      <c r="JQ436" s="1"/>
      <c r="JR436" s="1"/>
      <c r="JT436" s="1"/>
      <c r="KU436" s="1"/>
      <c r="KV436" s="1"/>
      <c r="KW436" s="1"/>
      <c r="KY436" s="1"/>
      <c r="KZ436" s="1"/>
      <c r="LA436" s="1"/>
      <c r="LB436" s="1"/>
      <c r="LC436" s="1"/>
      <c r="LD436" s="1"/>
      <c r="LF436" s="1"/>
      <c r="LO436" s="1"/>
      <c r="LP436" s="1"/>
      <c r="LZ436" s="1"/>
      <c r="MA436" s="1"/>
    </row>
    <row r="437" spans="4:339" ht="13" x14ac:dyDescent="0.15">
      <c r="D437" s="12"/>
      <c r="E437" s="12"/>
      <c r="I437" s="12"/>
      <c r="J437" s="13"/>
      <c r="BF437" s="1"/>
      <c r="BG437" s="1"/>
      <c r="BH437" s="1"/>
      <c r="BI437" s="1"/>
      <c r="BK437" s="1"/>
      <c r="BL437" s="1"/>
      <c r="BM437" s="1"/>
      <c r="BN437" s="1"/>
      <c r="BO437" s="1"/>
      <c r="BP437" s="1"/>
      <c r="BQ437" s="1"/>
      <c r="BR437" s="1"/>
      <c r="BX437" s="1"/>
      <c r="CD437" s="1"/>
      <c r="CE437" s="1"/>
      <c r="CF437" s="1"/>
      <c r="CG437" s="1"/>
      <c r="CH437" s="1"/>
      <c r="CI437" s="1"/>
      <c r="CM437" s="2"/>
      <c r="CN437" s="1"/>
      <c r="CO437" s="1"/>
      <c r="CP437" s="1"/>
      <c r="CQ437" s="1"/>
      <c r="CR437" s="1"/>
      <c r="CS437" s="1"/>
      <c r="CT437" s="1"/>
      <c r="CU437" s="1"/>
      <c r="CV437" s="1"/>
      <c r="CW437" s="1"/>
      <c r="CX437" s="1"/>
      <c r="CY437" s="1"/>
      <c r="CZ437" s="1"/>
      <c r="DA437" s="1"/>
      <c r="DB437" s="1"/>
      <c r="DC437" s="1"/>
      <c r="DD437" s="1"/>
      <c r="DE437" s="1"/>
      <c r="DF437" s="1"/>
      <c r="DG437" s="1"/>
      <c r="DH437" s="1"/>
      <c r="DI437" s="1"/>
      <c r="DJ437" s="1"/>
      <c r="DK437" s="1"/>
      <c r="DL437" s="1"/>
      <c r="DM437" s="1"/>
      <c r="DQ437" s="1"/>
      <c r="DR437" s="1"/>
      <c r="DY437" s="1"/>
      <c r="DZ437" s="1"/>
      <c r="ED437" s="1"/>
      <c r="EE437" s="1"/>
      <c r="EF437" s="1"/>
      <c r="EG437" s="1"/>
      <c r="EH437" s="1"/>
      <c r="EK437" s="1"/>
      <c r="EL437" s="1"/>
      <c r="EM437" s="1"/>
      <c r="EN437" s="1"/>
      <c r="EQ437" s="1"/>
      <c r="ER437" s="1"/>
      <c r="ES437" s="1"/>
      <c r="EV437" s="1"/>
      <c r="EW437" s="1"/>
      <c r="EX437" s="1"/>
      <c r="EY437" s="1"/>
      <c r="EZ437" s="1"/>
      <c r="FA437" s="1"/>
      <c r="FD437" s="1"/>
      <c r="FG437" s="1"/>
      <c r="FH437" s="1"/>
      <c r="FI437" s="1"/>
      <c r="FJ437" s="1"/>
      <c r="FK437" s="1"/>
      <c r="FL437" s="1"/>
      <c r="FM437" s="1"/>
      <c r="FN437" s="1"/>
      <c r="FO437" s="1"/>
      <c r="FP437" s="1"/>
      <c r="FQ437" s="1"/>
      <c r="FR437" s="1"/>
      <c r="FS437" s="1"/>
      <c r="FT437" s="1"/>
      <c r="FU437" s="1"/>
      <c r="FV437" s="1"/>
      <c r="FW437" s="1"/>
      <c r="FX437" s="1"/>
      <c r="FY437" s="1"/>
      <c r="FZ437" s="1"/>
      <c r="GA437" s="1"/>
      <c r="GB437" s="1"/>
      <c r="GD437" s="1"/>
      <c r="GE437" s="1"/>
      <c r="GF437" s="1"/>
      <c r="GG437" s="1"/>
      <c r="GH437" s="1"/>
      <c r="GI437" s="1"/>
      <c r="GJ437" s="1"/>
      <c r="GK437" s="1"/>
      <c r="GL437" s="1"/>
      <c r="GM437" s="1"/>
      <c r="GN437" s="1"/>
      <c r="GO437" s="1"/>
      <c r="GP437" s="1"/>
      <c r="GR437" s="1"/>
      <c r="GY437" s="1"/>
      <c r="HF437" s="1"/>
      <c r="HH437" s="1"/>
      <c r="HQ437" s="1"/>
      <c r="HT437" s="1"/>
      <c r="HY437" s="1"/>
      <c r="IC437" s="1"/>
      <c r="ID437" s="1"/>
      <c r="IE437" s="1"/>
      <c r="IG437" s="1"/>
      <c r="IJ437" s="1"/>
      <c r="IR437" s="1"/>
      <c r="IS437" s="1"/>
      <c r="IZ437" s="1"/>
      <c r="JC437" s="1"/>
      <c r="JF437" s="1"/>
      <c r="JG437" s="1"/>
      <c r="JH437" s="1"/>
      <c r="JJ437" s="1"/>
      <c r="JK437" s="1"/>
      <c r="JL437" s="3"/>
      <c r="JM437" s="1"/>
      <c r="JN437" s="1"/>
      <c r="JP437" s="1"/>
      <c r="JQ437" s="1"/>
      <c r="JR437" s="1"/>
      <c r="JT437" s="1"/>
      <c r="KU437" s="1"/>
      <c r="KV437" s="1"/>
      <c r="KW437" s="1"/>
      <c r="KY437" s="1"/>
      <c r="KZ437" s="1"/>
      <c r="LA437" s="1"/>
      <c r="LB437" s="1"/>
      <c r="LC437" s="1"/>
      <c r="LD437" s="1"/>
      <c r="LF437" s="1"/>
      <c r="LO437" s="1"/>
      <c r="LP437" s="1"/>
      <c r="LZ437" s="1"/>
      <c r="MA437" s="1"/>
    </row>
    <row r="438" spans="4:339" ht="13" x14ac:dyDescent="0.15">
      <c r="D438" s="12"/>
      <c r="E438" s="12"/>
      <c r="I438" s="12"/>
      <c r="J438" s="13"/>
      <c r="BF438" s="1"/>
      <c r="BG438" s="1"/>
      <c r="BH438" s="1"/>
      <c r="BI438" s="1"/>
      <c r="BK438" s="1"/>
      <c r="BL438" s="1"/>
      <c r="BM438" s="1"/>
      <c r="BN438" s="1"/>
      <c r="BO438" s="1"/>
      <c r="BP438" s="1"/>
      <c r="BQ438" s="1"/>
      <c r="BR438" s="1"/>
      <c r="BX438" s="1"/>
      <c r="CD438" s="1"/>
      <c r="CE438" s="1"/>
      <c r="CF438" s="1"/>
      <c r="CG438" s="1"/>
      <c r="CH438" s="1"/>
      <c r="CI438" s="1"/>
      <c r="CM438" s="2"/>
      <c r="CN438" s="1"/>
      <c r="CO438" s="1"/>
      <c r="CP438" s="1"/>
      <c r="CQ438" s="1"/>
      <c r="CR438" s="1"/>
      <c r="CS438" s="1"/>
      <c r="CT438" s="1"/>
      <c r="CU438" s="1"/>
      <c r="CV438" s="1"/>
      <c r="CW438" s="1"/>
      <c r="CX438" s="1"/>
      <c r="CY438" s="1"/>
      <c r="CZ438" s="1"/>
      <c r="DA438" s="1"/>
      <c r="DB438" s="1"/>
      <c r="DC438" s="1"/>
      <c r="DD438" s="1"/>
      <c r="DE438" s="1"/>
      <c r="DF438" s="1"/>
      <c r="DG438" s="1"/>
      <c r="DH438" s="1"/>
      <c r="DI438" s="1"/>
      <c r="DJ438" s="1"/>
      <c r="DK438" s="1"/>
      <c r="DL438" s="1"/>
      <c r="DM438" s="1"/>
      <c r="DQ438" s="1"/>
      <c r="DR438" s="1"/>
      <c r="DY438" s="1"/>
      <c r="DZ438" s="1"/>
      <c r="ED438" s="1"/>
      <c r="EE438" s="1"/>
      <c r="EF438" s="1"/>
      <c r="EG438" s="1"/>
      <c r="EH438" s="1"/>
      <c r="EK438" s="1"/>
      <c r="EL438" s="1"/>
      <c r="EM438" s="1"/>
      <c r="EN438" s="1"/>
      <c r="EQ438" s="1"/>
      <c r="ER438" s="1"/>
      <c r="ES438" s="1"/>
      <c r="EV438" s="1"/>
      <c r="EW438" s="1"/>
      <c r="EX438" s="1"/>
      <c r="EY438" s="1"/>
      <c r="EZ438" s="1"/>
      <c r="FA438" s="1"/>
      <c r="FD438" s="1"/>
      <c r="FG438" s="1"/>
      <c r="FH438" s="1"/>
      <c r="FI438" s="1"/>
      <c r="FJ438" s="1"/>
      <c r="FK438" s="1"/>
      <c r="FL438" s="1"/>
      <c r="FM438" s="1"/>
      <c r="FN438" s="1"/>
      <c r="FO438" s="1"/>
      <c r="FP438" s="1"/>
      <c r="FQ438" s="1"/>
      <c r="FR438" s="1"/>
      <c r="FS438" s="1"/>
      <c r="FT438" s="1"/>
      <c r="FU438" s="1"/>
      <c r="FV438" s="1"/>
      <c r="FW438" s="1"/>
      <c r="FX438" s="1"/>
      <c r="FY438" s="1"/>
      <c r="FZ438" s="1"/>
      <c r="GA438" s="1"/>
      <c r="GB438" s="1"/>
      <c r="GD438" s="1"/>
      <c r="GE438" s="1"/>
      <c r="GF438" s="1"/>
      <c r="GG438" s="1"/>
      <c r="GH438" s="1"/>
      <c r="GI438" s="1"/>
      <c r="GJ438" s="1"/>
      <c r="GK438" s="1"/>
      <c r="GL438" s="1"/>
      <c r="GM438" s="1"/>
      <c r="GN438" s="1"/>
      <c r="GO438" s="1"/>
      <c r="GP438" s="1"/>
      <c r="GR438" s="1"/>
      <c r="GY438" s="1"/>
      <c r="HF438" s="1"/>
      <c r="HH438" s="1"/>
      <c r="HQ438" s="1"/>
      <c r="HT438" s="1"/>
      <c r="HY438" s="1"/>
      <c r="IC438" s="1"/>
      <c r="ID438" s="1"/>
      <c r="IE438" s="1"/>
      <c r="IG438" s="1"/>
      <c r="IJ438" s="1"/>
      <c r="IR438" s="1"/>
      <c r="IS438" s="1"/>
      <c r="IZ438" s="1"/>
      <c r="JC438" s="1"/>
      <c r="JF438" s="1"/>
      <c r="JG438" s="1"/>
      <c r="JH438" s="1"/>
      <c r="JJ438" s="1"/>
      <c r="JK438" s="1"/>
      <c r="JL438" s="3"/>
      <c r="JM438" s="1"/>
      <c r="JN438" s="1"/>
      <c r="JP438" s="1"/>
      <c r="JQ438" s="1"/>
      <c r="JR438" s="1"/>
      <c r="JT438" s="1"/>
      <c r="KU438" s="1"/>
      <c r="KV438" s="1"/>
      <c r="KW438" s="1"/>
      <c r="KY438" s="1"/>
      <c r="KZ438" s="1"/>
      <c r="LA438" s="1"/>
      <c r="LB438" s="1"/>
      <c r="LC438" s="1"/>
      <c r="LD438" s="1"/>
      <c r="LF438" s="1"/>
      <c r="LO438" s="1"/>
      <c r="LP438" s="1"/>
      <c r="LZ438" s="1"/>
      <c r="MA438" s="1"/>
    </row>
    <row r="439" spans="4:339" ht="13" x14ac:dyDescent="0.15">
      <c r="D439" s="12"/>
      <c r="E439" s="12"/>
      <c r="I439" s="12"/>
      <c r="J439" s="13"/>
      <c r="BF439" s="1"/>
      <c r="BG439" s="1"/>
      <c r="BH439" s="1"/>
      <c r="BI439" s="1"/>
      <c r="BJ439" s="1"/>
      <c r="BK439" s="1"/>
      <c r="BL439" s="1"/>
      <c r="BM439" s="1"/>
      <c r="BN439" s="1"/>
      <c r="BP439" s="1"/>
      <c r="BQ439" s="1"/>
      <c r="BR439" s="1"/>
      <c r="BX439" s="1"/>
      <c r="CD439" s="1"/>
      <c r="CE439" s="1"/>
      <c r="CF439" s="1"/>
      <c r="CG439" s="1"/>
      <c r="CH439" s="1"/>
      <c r="CI439" s="1"/>
      <c r="CM439" s="2"/>
      <c r="CN439" s="1"/>
      <c r="CO439" s="1"/>
      <c r="CP439" s="1"/>
      <c r="CQ439" s="1"/>
      <c r="CR439" s="1"/>
      <c r="CT439" s="1"/>
      <c r="CU439" s="1"/>
      <c r="CV439" s="1"/>
      <c r="CW439" s="1"/>
      <c r="CX439" s="1"/>
      <c r="CY439" s="1"/>
      <c r="CZ439" s="1"/>
      <c r="DA439" s="1"/>
      <c r="DB439" s="1"/>
      <c r="DC439" s="1"/>
      <c r="DD439" s="1"/>
      <c r="DE439" s="1"/>
      <c r="DF439" s="1"/>
      <c r="DG439" s="1"/>
      <c r="DH439" s="1"/>
      <c r="DI439" s="1"/>
      <c r="DJ439" s="1"/>
      <c r="DK439" s="1"/>
      <c r="DM439" s="1"/>
      <c r="DQ439" s="1"/>
      <c r="DR439" s="1"/>
      <c r="DY439" s="1"/>
      <c r="DZ439" s="1"/>
      <c r="ED439" s="1"/>
      <c r="EF439" s="1"/>
      <c r="EK439" s="1"/>
      <c r="EL439" s="1"/>
      <c r="EM439" s="1"/>
      <c r="EN439" s="1"/>
      <c r="EQ439" s="1"/>
      <c r="ER439" s="1"/>
      <c r="ES439" s="1"/>
      <c r="EV439" s="1"/>
      <c r="EW439" s="1"/>
      <c r="EX439" s="1"/>
      <c r="EZ439" s="1"/>
      <c r="FA439" s="1"/>
      <c r="FD439" s="1"/>
      <c r="FE439" s="1"/>
      <c r="FF439" s="1"/>
      <c r="FH439" s="1"/>
      <c r="FI439" s="1"/>
      <c r="FJ439" s="1"/>
      <c r="FM439" s="1"/>
      <c r="FN439" s="1"/>
      <c r="FO439" s="1"/>
      <c r="FP439" s="1"/>
      <c r="FQ439" s="1"/>
      <c r="FS439" s="1"/>
      <c r="FU439" s="1"/>
      <c r="FV439" s="1"/>
      <c r="FW439" s="1"/>
      <c r="FX439" s="1"/>
      <c r="FY439" s="1"/>
      <c r="FZ439" s="1"/>
      <c r="GA439" s="1"/>
      <c r="GB439" s="1"/>
      <c r="GD439" s="1"/>
      <c r="GE439" s="1"/>
      <c r="GF439" s="1"/>
      <c r="GG439" s="1"/>
      <c r="GH439" s="1"/>
      <c r="GI439" s="1"/>
      <c r="GJ439" s="1"/>
      <c r="GK439" s="1"/>
      <c r="GL439" s="1"/>
      <c r="GM439" s="1"/>
      <c r="GN439" s="1"/>
      <c r="GO439" s="1"/>
      <c r="GP439" s="1"/>
      <c r="GR439" s="1"/>
      <c r="GY439" s="1"/>
      <c r="HF439" s="1"/>
      <c r="HH439" s="1"/>
      <c r="HN439" s="1"/>
      <c r="HQ439" s="1"/>
      <c r="HR439" s="1"/>
      <c r="HS439" s="1"/>
      <c r="HT439" s="1"/>
      <c r="HY439" s="1"/>
      <c r="IC439" s="1"/>
      <c r="ID439" s="1"/>
      <c r="IE439" s="1"/>
      <c r="IR439" s="1"/>
      <c r="IS439" s="1"/>
      <c r="IY439" s="1"/>
      <c r="IZ439" s="1"/>
      <c r="JC439" s="1"/>
      <c r="JF439" s="1"/>
      <c r="JG439" s="1"/>
      <c r="JI439" s="1"/>
      <c r="JJ439" s="1"/>
      <c r="JN439" s="1"/>
      <c r="JP439" s="1"/>
      <c r="JQ439" s="1"/>
      <c r="JT439" s="1"/>
      <c r="KU439" s="1"/>
      <c r="KV439" s="1"/>
      <c r="KY439" s="1"/>
      <c r="KZ439" s="1"/>
      <c r="LA439" s="1"/>
      <c r="LB439" s="1"/>
      <c r="LC439" s="1"/>
      <c r="LD439" s="1"/>
      <c r="LF439" s="1"/>
      <c r="LN439" s="1"/>
      <c r="LO439" s="1"/>
      <c r="LP439" s="1"/>
      <c r="LZ439" s="1"/>
      <c r="MA439" s="1"/>
    </row>
    <row r="440" spans="4:339" ht="13" x14ac:dyDescent="0.15">
      <c r="D440" s="12"/>
      <c r="E440" s="12"/>
      <c r="I440" s="12"/>
      <c r="J440" s="13"/>
      <c r="BF440" s="1"/>
      <c r="BG440" s="1"/>
      <c r="BH440" s="1"/>
      <c r="BI440" s="1"/>
      <c r="BK440" s="1"/>
      <c r="BL440" s="1"/>
      <c r="BM440" s="1"/>
      <c r="BN440" s="1"/>
      <c r="BO440" s="1"/>
      <c r="BP440" s="1"/>
      <c r="BQ440" s="1"/>
      <c r="BR440" s="1"/>
      <c r="BX440" s="1"/>
      <c r="CD440" s="1"/>
      <c r="CE440" s="1"/>
      <c r="CF440" s="1"/>
      <c r="CG440" s="1"/>
      <c r="CH440" s="1"/>
      <c r="CI440" s="1"/>
      <c r="CM440" s="2"/>
      <c r="CN440" s="1"/>
      <c r="CO440" s="1"/>
      <c r="CP440" s="1"/>
      <c r="CQ440" s="1"/>
      <c r="CX440" s="1"/>
      <c r="CY440" s="1"/>
      <c r="CZ440" s="1"/>
      <c r="DA440" s="1"/>
      <c r="DB440" s="1"/>
      <c r="DC440" s="1"/>
      <c r="DD440" s="1"/>
      <c r="DE440" s="1"/>
      <c r="DF440" s="1"/>
      <c r="DG440" s="1"/>
      <c r="DH440" s="1"/>
      <c r="DI440" s="1"/>
      <c r="DJ440" s="1"/>
      <c r="DK440" s="1"/>
      <c r="DM440" s="1"/>
      <c r="DQ440" s="1"/>
      <c r="DR440" s="1"/>
      <c r="DY440" s="1"/>
      <c r="DZ440" s="1"/>
      <c r="ED440" s="1"/>
      <c r="EF440" s="1"/>
      <c r="EK440" s="1"/>
      <c r="EL440" s="1"/>
      <c r="EM440" s="1"/>
      <c r="EN440" s="1"/>
      <c r="EQ440" s="1"/>
      <c r="ER440" s="1"/>
      <c r="ES440" s="1"/>
      <c r="EV440" s="1"/>
      <c r="EW440" s="1"/>
      <c r="EZ440" s="1"/>
      <c r="FA440" s="1"/>
      <c r="FD440" s="1"/>
      <c r="FG440" s="1"/>
      <c r="FH440" s="1"/>
      <c r="FI440" s="1"/>
      <c r="FJ440" s="1"/>
      <c r="FM440" s="1"/>
      <c r="FN440" s="1"/>
      <c r="FO440" s="1"/>
      <c r="FP440" s="1"/>
      <c r="FS440" s="1"/>
      <c r="FT440" s="1"/>
      <c r="FU440" s="1"/>
      <c r="FV440" s="1"/>
      <c r="FW440" s="1"/>
      <c r="FX440" s="1"/>
      <c r="FY440" s="1"/>
      <c r="FZ440" s="1"/>
      <c r="GA440" s="1"/>
      <c r="GD440" s="1"/>
      <c r="GE440" s="1"/>
      <c r="GF440" s="1"/>
      <c r="GG440" s="1"/>
      <c r="GH440" s="1"/>
      <c r="GI440" s="1"/>
      <c r="GJ440" s="1"/>
      <c r="GK440" s="1"/>
      <c r="GL440" s="1"/>
      <c r="GM440" s="1"/>
      <c r="GN440" s="1"/>
      <c r="GO440" s="1"/>
      <c r="GP440" s="1"/>
      <c r="GR440" s="1"/>
      <c r="GY440" s="1"/>
      <c r="HH440" s="1"/>
      <c r="HR440" s="1"/>
      <c r="HS440" s="1"/>
      <c r="HT440" s="1"/>
      <c r="HY440" s="1"/>
      <c r="ID440" s="1"/>
      <c r="IE440" s="1"/>
      <c r="IG440" s="1"/>
      <c r="IR440" s="1"/>
      <c r="IS440" s="1"/>
      <c r="IZ440" s="1"/>
      <c r="JC440" s="1"/>
      <c r="JF440" s="1"/>
      <c r="JG440" s="1"/>
      <c r="JH440" s="1"/>
      <c r="JJ440" s="1"/>
      <c r="JK440" s="1"/>
      <c r="JL440" s="3"/>
      <c r="JM440" s="1"/>
      <c r="JN440" s="1"/>
      <c r="JP440" s="1"/>
      <c r="JQ440" s="1"/>
      <c r="JR440" s="1"/>
      <c r="JT440" s="1"/>
      <c r="KW440" s="1"/>
      <c r="KY440" s="1"/>
      <c r="KZ440" s="1"/>
      <c r="LA440" s="1"/>
      <c r="LB440" s="1"/>
      <c r="LC440" s="1"/>
      <c r="LD440" s="1"/>
      <c r="LF440" s="1"/>
      <c r="LO440" s="1"/>
      <c r="LP440" s="1"/>
      <c r="LZ440" s="1"/>
      <c r="MA440" s="1"/>
    </row>
    <row r="441" spans="4:339" ht="13" x14ac:dyDescent="0.15">
      <c r="D441" s="12"/>
      <c r="E441" s="12"/>
      <c r="I441" s="12"/>
      <c r="J441" s="13"/>
      <c r="BF441" s="1"/>
      <c r="BG441" s="1"/>
      <c r="BH441" s="1"/>
      <c r="BI441" s="1"/>
      <c r="BK441" s="1"/>
      <c r="BL441" s="1"/>
      <c r="BM441" s="1"/>
      <c r="BN441" s="1"/>
      <c r="BO441" s="1"/>
      <c r="BQ441" s="1"/>
      <c r="BR441" s="1"/>
      <c r="CD441" s="1"/>
      <c r="CE441" s="1"/>
      <c r="CF441" s="1"/>
      <c r="CH441" s="1"/>
      <c r="CI441" s="1"/>
      <c r="CM441" s="2"/>
      <c r="CN441" s="1"/>
      <c r="CO441" s="1"/>
      <c r="CQ441" s="1"/>
      <c r="CY441" s="1"/>
      <c r="DC441" s="1"/>
      <c r="DH441" s="1"/>
      <c r="DM441" s="1"/>
      <c r="DR441" s="1"/>
      <c r="ED441" s="1"/>
      <c r="EF441" s="1"/>
      <c r="EL441" s="1"/>
      <c r="EM441" s="1"/>
      <c r="EN441" s="1"/>
      <c r="EQ441" s="1"/>
      <c r="ER441" s="1"/>
      <c r="ES441" s="1"/>
      <c r="EV441" s="1"/>
      <c r="EW441" s="1"/>
      <c r="EZ441" s="1"/>
      <c r="FA441" s="1"/>
      <c r="FD441" s="1"/>
      <c r="FF441" s="1"/>
      <c r="FG441" s="1"/>
      <c r="FH441" s="1"/>
      <c r="FI441" s="1"/>
      <c r="FJ441" s="1"/>
      <c r="FK441" s="1"/>
      <c r="FM441" s="1"/>
      <c r="FN441" s="1"/>
      <c r="FO441" s="1"/>
      <c r="FP441" s="1"/>
      <c r="FQ441" s="1"/>
      <c r="FR441" s="1"/>
      <c r="FS441" s="1"/>
      <c r="FT441" s="1"/>
      <c r="FU441" s="1"/>
      <c r="FV441" s="1"/>
      <c r="FW441" s="1"/>
      <c r="FX441" s="1"/>
      <c r="FY441" s="1"/>
      <c r="FZ441" s="1"/>
      <c r="GA441" s="1"/>
      <c r="GB441" s="1"/>
      <c r="GD441" s="1"/>
      <c r="GE441" s="1"/>
      <c r="GF441" s="1"/>
      <c r="GG441" s="1"/>
      <c r="GH441" s="1"/>
      <c r="GI441" s="1"/>
      <c r="GJ441" s="1"/>
      <c r="GK441" s="1"/>
      <c r="GL441" s="1"/>
      <c r="GM441" s="1"/>
      <c r="GN441" s="1"/>
      <c r="GP441" s="1"/>
      <c r="GR441" s="1"/>
      <c r="GY441" s="1"/>
      <c r="HF441" s="1"/>
      <c r="HH441" s="1"/>
      <c r="HY441" s="1"/>
      <c r="IC441" s="1"/>
      <c r="ID441" s="1"/>
      <c r="IS441" s="1"/>
      <c r="IZ441" s="1"/>
      <c r="JF441" s="1"/>
      <c r="JG441" s="1"/>
      <c r="JJ441" s="1"/>
      <c r="JN441" s="1"/>
      <c r="JP441" s="1"/>
      <c r="JQ441" s="1"/>
      <c r="JT441" s="1"/>
      <c r="KU441" s="1"/>
      <c r="KV441" s="1"/>
      <c r="KZ441" s="1"/>
      <c r="LA441" s="1"/>
      <c r="LC441" s="1"/>
      <c r="LO441" s="1"/>
      <c r="LZ441" s="1"/>
      <c r="MA441" s="1"/>
    </row>
    <row r="442" spans="4:339" ht="13" x14ac:dyDescent="0.15">
      <c r="D442" s="12"/>
      <c r="E442" s="12"/>
      <c r="I442" s="12"/>
      <c r="J442" s="13"/>
      <c r="BF442" s="1"/>
      <c r="BG442" s="1"/>
      <c r="BH442" s="1"/>
      <c r="BI442" s="1"/>
      <c r="BJ442" s="1"/>
      <c r="BK442" s="1"/>
      <c r="BL442" s="1"/>
      <c r="BM442" s="1"/>
      <c r="BN442" s="1"/>
      <c r="BO442" s="1"/>
      <c r="BP442" s="1"/>
      <c r="BQ442" s="1"/>
      <c r="BR442" s="1"/>
      <c r="CD442" s="1"/>
      <c r="CE442" s="1"/>
      <c r="CF442" s="1"/>
      <c r="CG442" s="1"/>
      <c r="CH442" s="1"/>
      <c r="CI442" s="1"/>
      <c r="CM442" s="4"/>
      <c r="CN442" s="1"/>
      <c r="CO442" s="1"/>
      <c r="CP442" s="1"/>
      <c r="CQ442" s="1"/>
      <c r="CR442" s="1"/>
      <c r="CT442" s="1"/>
      <c r="CU442" s="1"/>
      <c r="CV442" s="1"/>
      <c r="CW442" s="1"/>
      <c r="CX442" s="1"/>
      <c r="CY442" s="1"/>
      <c r="CZ442" s="1"/>
      <c r="DA442" s="1"/>
      <c r="DB442" s="1"/>
      <c r="DC442" s="1"/>
      <c r="DD442" s="1"/>
      <c r="DE442" s="1"/>
      <c r="DF442" s="1"/>
      <c r="DG442" s="1"/>
      <c r="DH442" s="1"/>
      <c r="DI442" s="1"/>
      <c r="DJ442" s="1"/>
      <c r="DK442" s="1"/>
      <c r="DM442" s="1"/>
      <c r="DR442" s="1"/>
      <c r="ED442" s="1"/>
      <c r="EF442" s="1"/>
      <c r="EK442" s="1"/>
      <c r="EL442" s="1"/>
      <c r="EM442" s="1"/>
      <c r="EN442" s="1"/>
      <c r="EQ442" s="1"/>
      <c r="ER442" s="1"/>
      <c r="ES442" s="1"/>
      <c r="EV442" s="1"/>
      <c r="EW442" s="1"/>
      <c r="EZ442" s="1"/>
      <c r="FA442" s="1"/>
      <c r="FD442" s="1"/>
      <c r="FG442" s="1"/>
      <c r="FH442" s="1"/>
      <c r="FJ442" s="1"/>
      <c r="FM442" s="1"/>
      <c r="FN442" s="1"/>
      <c r="FO442" s="1"/>
      <c r="FP442" s="1"/>
      <c r="FQ442" s="1"/>
      <c r="FR442" s="1"/>
      <c r="FS442" s="1"/>
      <c r="FT442" s="1"/>
      <c r="FU442" s="1"/>
      <c r="FV442" s="1"/>
      <c r="FW442" s="1"/>
      <c r="FX442" s="1"/>
      <c r="FZ442" s="1"/>
      <c r="GA442" s="1"/>
      <c r="GD442" s="1"/>
      <c r="GE442" s="1"/>
      <c r="GF442" s="1"/>
      <c r="GG442" s="1"/>
      <c r="GH442" s="1"/>
      <c r="GI442" s="1"/>
      <c r="GJ442" s="1"/>
      <c r="GK442" s="1"/>
      <c r="GL442" s="1"/>
      <c r="GM442" s="1"/>
      <c r="GN442" s="1"/>
      <c r="GO442" s="1"/>
      <c r="GP442" s="1"/>
      <c r="GV442" s="1"/>
      <c r="GY442" s="1"/>
      <c r="HF442" s="1"/>
      <c r="HH442" s="1"/>
      <c r="HN442" s="1"/>
      <c r="HT442" s="1"/>
      <c r="HY442" s="1"/>
      <c r="IA442" s="1"/>
      <c r="IC442" s="1"/>
      <c r="ID442" s="1"/>
      <c r="IE442" s="1"/>
      <c r="IG442" s="1"/>
      <c r="IR442" s="1"/>
      <c r="IS442" s="1"/>
      <c r="IY442" s="1"/>
      <c r="IZ442" s="1"/>
      <c r="JF442" s="1"/>
      <c r="JG442" s="1"/>
      <c r="JH442" s="1"/>
      <c r="JI442" s="1"/>
      <c r="JJ442" s="1"/>
      <c r="JK442" s="1"/>
      <c r="JL442" s="3"/>
      <c r="JM442" s="1"/>
      <c r="JN442" s="1"/>
      <c r="JP442" s="1"/>
      <c r="JQ442" s="1"/>
      <c r="JR442" s="1"/>
      <c r="JT442" s="1"/>
      <c r="JW442" s="1"/>
      <c r="KS442" s="1"/>
      <c r="KT442" s="1"/>
      <c r="KY442" s="1"/>
      <c r="KZ442" s="1"/>
      <c r="LA442" s="1"/>
      <c r="LB442" s="1"/>
      <c r="LC442" s="1"/>
      <c r="LD442" s="1"/>
      <c r="LO442" s="1"/>
      <c r="LP442" s="1"/>
      <c r="LZ442" s="1"/>
      <c r="MA442" s="1"/>
    </row>
    <row r="443" spans="4:339" ht="13" x14ac:dyDescent="0.15">
      <c r="D443" s="12"/>
      <c r="E443" s="12"/>
      <c r="I443" s="12"/>
      <c r="J443" s="13"/>
      <c r="BF443" s="1"/>
      <c r="BG443" s="1"/>
      <c r="BH443" s="1"/>
      <c r="BI443" s="1"/>
      <c r="BJ443" s="1"/>
      <c r="BK443" s="1"/>
      <c r="BL443" s="1"/>
      <c r="BM443" s="1"/>
      <c r="BN443" s="1"/>
      <c r="BO443" s="1"/>
      <c r="BP443" s="1"/>
      <c r="BQ443" s="1"/>
      <c r="BR443" s="1"/>
      <c r="BX443" s="1"/>
      <c r="CC443" s="1"/>
      <c r="CD443" s="1"/>
      <c r="CE443" s="1"/>
      <c r="CF443" s="1"/>
      <c r="CG443" s="1"/>
      <c r="CH443" s="1"/>
      <c r="CI443" s="1"/>
      <c r="CM443" s="2"/>
      <c r="CN443" s="1"/>
      <c r="CO443" s="1"/>
      <c r="CP443" s="1"/>
      <c r="CQ443" s="1"/>
      <c r="CX443" s="1"/>
      <c r="CY443" s="1"/>
      <c r="CZ443" s="1"/>
      <c r="DA443" s="1"/>
      <c r="DB443" s="1"/>
      <c r="DC443" s="1"/>
      <c r="DD443" s="1"/>
      <c r="DE443" s="1"/>
      <c r="DF443" s="1"/>
      <c r="DG443" s="1"/>
      <c r="DH443" s="1"/>
      <c r="DI443" s="1"/>
      <c r="DJ443" s="1"/>
      <c r="DK443" s="1"/>
      <c r="DM443" s="1"/>
      <c r="DQ443" s="1"/>
      <c r="DR443" s="1"/>
      <c r="DY443" s="1"/>
      <c r="DZ443" s="1"/>
      <c r="ED443" s="1"/>
      <c r="EK443" s="1"/>
      <c r="EL443" s="1"/>
      <c r="EM443" s="1"/>
      <c r="EN443" s="1"/>
      <c r="EQ443" s="1"/>
      <c r="ER443" s="1"/>
      <c r="ES443" s="1"/>
      <c r="EV443" s="1"/>
      <c r="EW443" s="1"/>
      <c r="EZ443" s="1"/>
      <c r="FA443" s="1"/>
      <c r="FD443" s="1"/>
      <c r="FE443" s="1"/>
      <c r="FG443" s="1"/>
      <c r="FH443" s="1"/>
      <c r="FI443" s="1"/>
      <c r="FJ443" s="1"/>
      <c r="FK443" s="1"/>
      <c r="FM443" s="1"/>
      <c r="FN443" s="1"/>
      <c r="FO443" s="1"/>
      <c r="FP443" s="1"/>
      <c r="FQ443" s="1"/>
      <c r="FR443" s="1"/>
      <c r="FS443" s="1"/>
      <c r="FT443" s="1"/>
      <c r="FU443" s="1"/>
      <c r="FV443" s="1"/>
      <c r="FW443" s="1"/>
      <c r="FX443" s="1"/>
      <c r="FY443" s="1"/>
      <c r="FZ443" s="1"/>
      <c r="GA443" s="1"/>
      <c r="GB443" s="1"/>
      <c r="GD443" s="1"/>
      <c r="GE443" s="1"/>
      <c r="GF443" s="1"/>
      <c r="GG443" s="1"/>
      <c r="GH443" s="1"/>
      <c r="GI443" s="1"/>
      <c r="GJ443" s="1"/>
      <c r="GK443" s="1"/>
      <c r="GL443" s="1"/>
      <c r="GM443" s="1"/>
      <c r="GN443" s="1"/>
      <c r="GP443" s="1"/>
      <c r="GR443" s="1"/>
      <c r="GW443" s="1"/>
      <c r="GY443" s="1"/>
      <c r="HH443" s="1"/>
      <c r="HQ443" s="1"/>
      <c r="HY443" s="1"/>
      <c r="IA443" s="1"/>
      <c r="IC443" s="1"/>
      <c r="ID443" s="1"/>
      <c r="IE443" s="1"/>
      <c r="IK443" s="1"/>
      <c r="IR443" s="1"/>
      <c r="IS443" s="1"/>
      <c r="IZ443" s="1"/>
      <c r="JC443" s="1"/>
      <c r="JF443" s="1"/>
      <c r="JG443" s="1"/>
      <c r="JH443" s="1"/>
      <c r="JJ443" s="1"/>
      <c r="JN443" s="1"/>
      <c r="JP443" s="1"/>
      <c r="JQ443" s="1"/>
      <c r="JT443" s="1"/>
      <c r="KY443" s="1"/>
      <c r="KZ443" s="1"/>
      <c r="LA443" s="1"/>
      <c r="LB443" s="1"/>
      <c r="LC443" s="1"/>
      <c r="LD443" s="1"/>
      <c r="LO443" s="1"/>
      <c r="LP443" s="1"/>
      <c r="LZ443" s="1"/>
      <c r="MA443" s="1"/>
    </row>
    <row r="444" spans="4:339" ht="13" x14ac:dyDescent="0.15">
      <c r="D444" s="12"/>
      <c r="E444" s="12"/>
      <c r="I444" s="12"/>
      <c r="J444" s="13"/>
      <c r="BF444" s="1"/>
      <c r="BG444" s="1"/>
      <c r="BH444" s="1"/>
      <c r="BI444" s="1"/>
      <c r="BJ444" s="1"/>
      <c r="BK444" s="1"/>
      <c r="BL444" s="1"/>
      <c r="BM444" s="1"/>
      <c r="BN444" s="1"/>
      <c r="BO444" s="1"/>
      <c r="BP444" s="1"/>
      <c r="BQ444" s="1"/>
      <c r="BR444" s="1"/>
      <c r="BX444" s="1"/>
      <c r="CC444" s="1"/>
      <c r="CD444" s="1"/>
      <c r="CE444" s="1"/>
      <c r="CF444" s="1"/>
      <c r="CG444" s="1"/>
      <c r="CH444" s="1"/>
      <c r="CI444" s="1"/>
      <c r="CM444" s="2"/>
      <c r="CN444" s="1"/>
      <c r="CO444" s="1"/>
      <c r="CP444" s="1"/>
      <c r="CQ444" s="1"/>
      <c r="CX444" s="1"/>
      <c r="CY444" s="1"/>
      <c r="CZ444" s="1"/>
      <c r="DA444" s="1"/>
      <c r="DB444" s="1"/>
      <c r="DC444" s="1"/>
      <c r="DD444" s="1"/>
      <c r="DE444" s="1"/>
      <c r="DF444" s="1"/>
      <c r="DG444" s="1"/>
      <c r="DH444" s="1"/>
      <c r="DI444" s="1"/>
      <c r="DJ444" s="1"/>
      <c r="DK444" s="1"/>
      <c r="DM444" s="1"/>
      <c r="DQ444" s="1"/>
      <c r="DR444" s="1"/>
      <c r="DY444" s="1"/>
      <c r="DZ444" s="1"/>
      <c r="ED444" s="1"/>
      <c r="EK444" s="1"/>
      <c r="EL444" s="1"/>
      <c r="EM444" s="1"/>
      <c r="EN444" s="1"/>
      <c r="EQ444" s="1"/>
      <c r="ER444" s="1"/>
      <c r="ES444" s="1"/>
      <c r="EV444" s="1"/>
      <c r="EW444" s="1"/>
      <c r="EZ444" s="1"/>
      <c r="FA444" s="1"/>
      <c r="FD444" s="1"/>
      <c r="FE444" s="1"/>
      <c r="FG444" s="1"/>
      <c r="FH444" s="1"/>
      <c r="FI444" s="1"/>
      <c r="FJ444" s="1"/>
      <c r="FK444" s="1"/>
      <c r="FM444" s="1"/>
      <c r="FN444" s="1"/>
      <c r="FO444" s="1"/>
      <c r="FP444" s="1"/>
      <c r="FQ444" s="1"/>
      <c r="FR444" s="1"/>
      <c r="FS444" s="1"/>
      <c r="FT444" s="1"/>
      <c r="FU444" s="1"/>
      <c r="FV444" s="1"/>
      <c r="FW444" s="1"/>
      <c r="FX444" s="1"/>
      <c r="FY444" s="1"/>
      <c r="FZ444" s="1"/>
      <c r="GA444" s="1"/>
      <c r="GB444" s="1"/>
      <c r="GD444" s="1"/>
      <c r="GE444" s="1"/>
      <c r="GF444" s="1"/>
      <c r="GG444" s="1"/>
      <c r="GH444" s="1"/>
      <c r="GI444" s="1"/>
      <c r="GJ444" s="1"/>
      <c r="GK444" s="1"/>
      <c r="GL444" s="1"/>
      <c r="GM444" s="1"/>
      <c r="GN444" s="1"/>
      <c r="GP444" s="1"/>
      <c r="GR444" s="1"/>
      <c r="GW444" s="1"/>
      <c r="GY444" s="1"/>
      <c r="HH444" s="1"/>
      <c r="HQ444" s="1"/>
      <c r="HY444" s="1"/>
      <c r="IA444" s="1"/>
      <c r="IC444" s="1"/>
      <c r="ID444" s="1"/>
      <c r="IE444" s="1"/>
      <c r="IK444" s="1"/>
      <c r="IR444" s="1"/>
      <c r="IS444" s="1"/>
      <c r="IZ444" s="1"/>
      <c r="JC444" s="1"/>
      <c r="JF444" s="1"/>
      <c r="JG444" s="1"/>
      <c r="JH444" s="1"/>
      <c r="JJ444" s="1"/>
      <c r="JN444" s="1"/>
      <c r="JP444" s="1"/>
      <c r="JQ444" s="1"/>
      <c r="JT444" s="1"/>
      <c r="KY444" s="1"/>
      <c r="KZ444" s="1"/>
      <c r="LA444" s="1"/>
      <c r="LB444" s="1"/>
      <c r="LC444" s="1"/>
      <c r="LD444" s="1"/>
      <c r="LO444" s="1"/>
      <c r="LP444" s="1"/>
      <c r="LZ444" s="1"/>
      <c r="MA444" s="1"/>
    </row>
    <row r="445" spans="4:339" ht="13" x14ac:dyDescent="0.15">
      <c r="D445" s="12"/>
      <c r="E445" s="12"/>
      <c r="I445" s="12"/>
      <c r="J445" s="13"/>
      <c r="BF445" s="1"/>
      <c r="BG445" s="1"/>
      <c r="BH445" s="1"/>
      <c r="BI445" s="1"/>
      <c r="BK445" s="1"/>
      <c r="BL445" s="1"/>
      <c r="BM445" s="1"/>
      <c r="BN445" s="1"/>
      <c r="BO445" s="1"/>
      <c r="BP445" s="1"/>
      <c r="BQ445" s="1"/>
      <c r="BR445" s="1"/>
      <c r="BX445" s="1"/>
      <c r="CD445" s="1"/>
      <c r="CE445" s="1"/>
      <c r="CF445" s="1"/>
      <c r="CG445" s="1"/>
      <c r="CH445" s="1"/>
      <c r="CI445" s="1"/>
      <c r="CK445" s="1"/>
      <c r="CM445" s="2"/>
      <c r="CN445" s="1"/>
      <c r="CO445" s="1"/>
      <c r="CP445" s="1"/>
      <c r="CQ445" s="1"/>
      <c r="CX445" s="1"/>
      <c r="CY445" s="1"/>
      <c r="CZ445" s="1"/>
      <c r="DA445" s="1"/>
      <c r="DB445" s="1"/>
      <c r="DC445" s="1"/>
      <c r="DD445" s="1"/>
      <c r="DE445" s="1"/>
      <c r="DF445" s="1"/>
      <c r="DG445" s="1"/>
      <c r="DH445" s="1"/>
      <c r="DI445" s="1"/>
      <c r="DJ445" s="1"/>
      <c r="DK445" s="1"/>
      <c r="DM445" s="1"/>
      <c r="DQ445" s="1"/>
      <c r="DR445" s="1"/>
      <c r="DY445" s="1"/>
      <c r="DZ445" s="1"/>
      <c r="ED445" s="1"/>
      <c r="EF445" s="1"/>
      <c r="EK445" s="1"/>
      <c r="EL445" s="1"/>
      <c r="EM445" s="1"/>
      <c r="EN445" s="1"/>
      <c r="EQ445" s="1"/>
      <c r="ER445" s="1"/>
      <c r="ES445" s="1"/>
      <c r="EV445" s="1"/>
      <c r="EW445" s="1"/>
      <c r="EZ445" s="1"/>
      <c r="FA445" s="1"/>
      <c r="FD445" s="1"/>
      <c r="FG445" s="1"/>
      <c r="FH445" s="1"/>
      <c r="FJ445" s="1"/>
      <c r="FN445" s="1"/>
      <c r="FO445" s="1"/>
      <c r="FP445" s="1"/>
      <c r="FS445" s="1"/>
      <c r="FT445" s="1"/>
      <c r="FU445" s="1"/>
      <c r="FV445" s="1"/>
      <c r="FW445" s="1"/>
      <c r="FX445" s="1"/>
      <c r="FY445" s="1"/>
      <c r="FZ445" s="1"/>
      <c r="GA445" s="1"/>
      <c r="GD445" s="1"/>
      <c r="GE445" s="1"/>
      <c r="GF445" s="1"/>
      <c r="GG445" s="1"/>
      <c r="GH445" s="1"/>
      <c r="GI445" s="1"/>
      <c r="GJ445" s="1"/>
      <c r="GK445" s="1"/>
      <c r="GL445" s="1"/>
      <c r="GM445" s="1"/>
      <c r="GN445" s="1"/>
      <c r="GP445" s="1"/>
      <c r="GR445" s="1"/>
      <c r="GV445" s="1"/>
      <c r="GY445" s="1"/>
      <c r="HH445" s="1"/>
      <c r="HN445" s="1"/>
      <c r="HR445" s="1"/>
      <c r="HS445" s="1"/>
      <c r="HT445" s="1"/>
      <c r="HY445" s="1"/>
      <c r="IE445" s="1"/>
      <c r="IR445" s="1"/>
      <c r="IS445" s="1"/>
      <c r="IZ445" s="1"/>
      <c r="JC445" s="1"/>
      <c r="JF445" s="1"/>
      <c r="JG445" s="1"/>
      <c r="JJ445" s="1"/>
      <c r="JN445" s="1"/>
      <c r="JP445" s="1"/>
      <c r="JQ445" s="1"/>
      <c r="JT445" s="1"/>
      <c r="KU445" s="1"/>
      <c r="KW445" s="1"/>
      <c r="KY445" s="1"/>
      <c r="KZ445" s="1"/>
      <c r="LA445" s="1"/>
      <c r="LB445" s="1"/>
      <c r="LC445" s="1"/>
      <c r="LD445" s="1"/>
      <c r="LO445" s="1"/>
      <c r="LP445" s="1"/>
      <c r="LZ445" s="1"/>
      <c r="MA445" s="1"/>
    </row>
    <row r="446" spans="4:339" ht="13" x14ac:dyDescent="0.15">
      <c r="D446" s="12"/>
      <c r="E446" s="12"/>
      <c r="I446" s="12"/>
      <c r="J446" s="13"/>
      <c r="BF446" s="1"/>
      <c r="BG446" s="1"/>
      <c r="BH446" s="1"/>
      <c r="BI446" s="1"/>
      <c r="BK446" s="1"/>
      <c r="BL446" s="1"/>
      <c r="BM446" s="1"/>
      <c r="BN446" s="1"/>
      <c r="BO446" s="1"/>
      <c r="BP446" s="1"/>
      <c r="BQ446" s="1"/>
      <c r="BR446" s="1"/>
      <c r="CD446" s="1"/>
      <c r="CE446" s="1"/>
      <c r="CF446" s="1"/>
      <c r="CG446" s="1"/>
      <c r="CH446" s="1"/>
      <c r="CI446" s="1"/>
      <c r="CM446" s="2"/>
      <c r="CN446" s="1"/>
      <c r="CO446" s="1"/>
      <c r="CP446" s="1"/>
      <c r="CQ446" s="1"/>
      <c r="CR446" s="1"/>
      <c r="CS446" s="1"/>
      <c r="CT446" s="1"/>
      <c r="CU446" s="1"/>
      <c r="CV446" s="1"/>
      <c r="CW446" s="1"/>
      <c r="CX446" s="1"/>
      <c r="CY446" s="1"/>
      <c r="CZ446" s="1"/>
      <c r="DA446" s="1"/>
      <c r="DB446" s="1"/>
      <c r="DC446" s="1"/>
      <c r="DD446" s="1"/>
      <c r="DE446" s="1"/>
      <c r="DF446" s="1"/>
      <c r="DG446" s="1"/>
      <c r="DH446" s="1"/>
      <c r="DI446" s="1"/>
      <c r="DJ446" s="1"/>
      <c r="DK446" s="1"/>
      <c r="DQ446" s="1"/>
      <c r="DR446" s="1"/>
      <c r="DY446" s="1"/>
      <c r="DZ446" s="1"/>
      <c r="ED446" s="1"/>
      <c r="EE446" s="1"/>
      <c r="EF446" s="1"/>
      <c r="EG446" s="1"/>
      <c r="EH446" s="1"/>
      <c r="EK446" s="1"/>
      <c r="EL446" s="1"/>
      <c r="EM446" s="1"/>
      <c r="EN446" s="1"/>
      <c r="EQ446" s="1"/>
      <c r="ER446" s="1"/>
      <c r="ES446" s="1"/>
      <c r="EV446" s="1"/>
      <c r="EW446" s="1"/>
      <c r="EY446" s="1"/>
      <c r="EZ446" s="1"/>
      <c r="FA446" s="1"/>
      <c r="FD446" s="1"/>
      <c r="FJ446" s="1"/>
      <c r="GA446" s="1"/>
      <c r="GD446" s="1"/>
      <c r="GE446" s="1"/>
      <c r="GF446" s="1"/>
      <c r="GG446" s="1"/>
      <c r="GH446" s="1"/>
      <c r="GI446" s="1"/>
      <c r="GJ446" s="1"/>
      <c r="GN446" s="1"/>
      <c r="GP446" s="1"/>
      <c r="HF446" s="1"/>
      <c r="HH446" s="1"/>
      <c r="HN446" s="1"/>
      <c r="HY446" s="1"/>
      <c r="ID446" s="1"/>
      <c r="IE446" s="1"/>
      <c r="IG446" s="1"/>
      <c r="IJ446" s="1"/>
      <c r="IR446" s="1"/>
      <c r="IS446" s="1"/>
      <c r="IW446" s="1"/>
      <c r="IZ446" s="1"/>
      <c r="JC446" s="1"/>
      <c r="JF446" s="1"/>
      <c r="JH446" s="1"/>
      <c r="JJ446" s="1"/>
      <c r="JK446" s="1"/>
      <c r="JL446" s="3"/>
      <c r="JM446" s="1"/>
      <c r="JN446" s="1"/>
      <c r="JP446" s="1"/>
      <c r="JQ446" s="1"/>
      <c r="JR446" s="1"/>
      <c r="JT446" s="1"/>
      <c r="KY446" s="1"/>
      <c r="KZ446" s="1"/>
      <c r="LA446" s="1"/>
      <c r="LB446" s="1"/>
      <c r="LC446" s="1"/>
      <c r="LD446" s="1"/>
      <c r="LO446" s="1"/>
      <c r="LP446" s="1"/>
      <c r="LZ446" s="1"/>
      <c r="MA446" s="1"/>
    </row>
    <row r="447" spans="4:339" ht="13" x14ac:dyDescent="0.15">
      <c r="D447" s="12"/>
      <c r="E447" s="12"/>
      <c r="I447" s="12"/>
      <c r="J447" s="13"/>
      <c r="BF447" s="1"/>
      <c r="BG447" s="1"/>
      <c r="BH447" s="1"/>
      <c r="BI447" s="1"/>
      <c r="BK447" s="1"/>
      <c r="BL447" s="1"/>
      <c r="BM447" s="1"/>
      <c r="BN447" s="1"/>
      <c r="BO447" s="1"/>
      <c r="BP447" s="1"/>
      <c r="BQ447" s="1"/>
      <c r="BR447" s="1"/>
      <c r="CD447" s="1"/>
      <c r="CE447" s="1"/>
      <c r="CF447" s="1"/>
      <c r="CG447" s="1"/>
      <c r="CH447" s="1"/>
      <c r="CI447" s="1"/>
      <c r="CM447" s="2"/>
      <c r="CN447" s="1"/>
      <c r="CO447" s="1"/>
      <c r="CP447" s="1"/>
      <c r="CQ447" s="1"/>
      <c r="CR447" s="1"/>
      <c r="CS447" s="1"/>
      <c r="CT447" s="1"/>
      <c r="CU447" s="1"/>
      <c r="CV447" s="1"/>
      <c r="CW447" s="1"/>
      <c r="CX447" s="1"/>
      <c r="CY447" s="1"/>
      <c r="CZ447" s="1"/>
      <c r="DA447" s="1"/>
      <c r="DB447" s="1"/>
      <c r="DC447" s="1"/>
      <c r="DD447" s="1"/>
      <c r="DE447" s="1"/>
      <c r="DF447" s="1"/>
      <c r="DG447" s="1"/>
      <c r="DH447" s="1"/>
      <c r="DI447" s="1"/>
      <c r="DJ447" s="1"/>
      <c r="DK447" s="1"/>
      <c r="DQ447" s="1"/>
      <c r="DR447" s="1"/>
      <c r="DY447" s="1"/>
      <c r="DZ447" s="1"/>
      <c r="ED447" s="1"/>
      <c r="EE447" s="1"/>
      <c r="EF447" s="1"/>
      <c r="EG447" s="1"/>
      <c r="EH447" s="1"/>
      <c r="EK447" s="1"/>
      <c r="EL447" s="1"/>
      <c r="EM447" s="1"/>
      <c r="EN447" s="1"/>
      <c r="EQ447" s="1"/>
      <c r="ER447" s="1"/>
      <c r="ES447" s="1"/>
      <c r="EV447" s="1"/>
      <c r="EW447" s="1"/>
      <c r="EY447" s="1"/>
      <c r="EZ447" s="1"/>
      <c r="FA447" s="1"/>
      <c r="FD447" s="1"/>
      <c r="FJ447" s="1"/>
      <c r="GA447" s="1"/>
      <c r="GD447" s="1"/>
      <c r="GE447" s="1"/>
      <c r="GF447" s="1"/>
      <c r="GG447" s="1"/>
      <c r="GH447" s="1"/>
      <c r="GI447" s="1"/>
      <c r="GJ447" s="1"/>
      <c r="GN447" s="1"/>
      <c r="GP447" s="1"/>
      <c r="HF447" s="1"/>
      <c r="HH447" s="1"/>
      <c r="HN447" s="1"/>
      <c r="HY447" s="1"/>
      <c r="ID447" s="1"/>
      <c r="IE447" s="1"/>
      <c r="IG447" s="1"/>
      <c r="IJ447" s="1"/>
      <c r="IR447" s="1"/>
      <c r="IS447" s="1"/>
      <c r="IW447" s="1"/>
      <c r="IZ447" s="1"/>
      <c r="JC447" s="1"/>
      <c r="JF447" s="1"/>
      <c r="JH447" s="1"/>
      <c r="JJ447" s="1"/>
      <c r="JK447" s="1"/>
      <c r="JL447" s="3"/>
      <c r="JM447" s="1"/>
      <c r="JN447" s="1"/>
      <c r="JP447" s="1"/>
      <c r="JQ447" s="1"/>
      <c r="JR447" s="1"/>
      <c r="JT447" s="1"/>
      <c r="KY447" s="1"/>
      <c r="KZ447" s="1"/>
      <c r="LA447" s="1"/>
      <c r="LB447" s="1"/>
      <c r="LC447" s="1"/>
      <c r="LD447" s="1"/>
      <c r="LO447" s="1"/>
      <c r="LP447" s="1"/>
      <c r="LZ447" s="1"/>
      <c r="MA447" s="1"/>
    </row>
    <row r="448" spans="4:339" ht="13" x14ac:dyDescent="0.15">
      <c r="D448" s="12"/>
      <c r="E448" s="12"/>
      <c r="I448" s="12"/>
      <c r="J448" s="13"/>
      <c r="BF448" s="1"/>
      <c r="BG448" s="1"/>
      <c r="BH448" s="1"/>
      <c r="BI448" s="1"/>
      <c r="BK448" s="1"/>
      <c r="BL448" s="1"/>
      <c r="BM448" s="1"/>
      <c r="BN448" s="1"/>
      <c r="BO448" s="1"/>
      <c r="BP448" s="1"/>
      <c r="BQ448" s="1"/>
      <c r="BR448" s="1"/>
      <c r="CD448" s="1"/>
      <c r="CE448" s="1"/>
      <c r="CF448" s="1"/>
      <c r="CG448" s="1"/>
      <c r="CH448" s="1"/>
      <c r="CI448" s="1"/>
      <c r="CM448" s="2"/>
      <c r="CN448" s="1"/>
      <c r="CO448" s="1"/>
      <c r="CP448" s="1"/>
      <c r="CQ448" s="1"/>
      <c r="CR448" s="1"/>
      <c r="CS448" s="1"/>
      <c r="CT448" s="1"/>
      <c r="CU448" s="1"/>
      <c r="CV448" s="1"/>
      <c r="CW448" s="1"/>
      <c r="CX448" s="1"/>
      <c r="CY448" s="1"/>
      <c r="CZ448" s="1"/>
      <c r="DA448" s="1"/>
      <c r="DB448" s="1"/>
      <c r="DC448" s="1"/>
      <c r="DD448" s="1"/>
      <c r="DE448" s="1"/>
      <c r="DF448" s="1"/>
      <c r="DG448" s="1"/>
      <c r="DH448" s="1"/>
      <c r="DI448" s="1"/>
      <c r="DJ448" s="1"/>
      <c r="DK448" s="1"/>
      <c r="DQ448" s="1"/>
      <c r="DR448" s="1"/>
      <c r="DY448" s="1"/>
      <c r="DZ448" s="1"/>
      <c r="ED448" s="1"/>
      <c r="EE448" s="1"/>
      <c r="EF448" s="1"/>
      <c r="EG448" s="1"/>
      <c r="EH448" s="1"/>
      <c r="EK448" s="1"/>
      <c r="EL448" s="1"/>
      <c r="EM448" s="1"/>
      <c r="EN448" s="1"/>
      <c r="EQ448" s="1"/>
      <c r="ER448" s="1"/>
      <c r="ES448" s="1"/>
      <c r="EV448" s="1"/>
      <c r="EW448" s="1"/>
      <c r="EY448" s="1"/>
      <c r="EZ448" s="1"/>
      <c r="FA448" s="1"/>
      <c r="FD448" s="1"/>
      <c r="FJ448" s="1"/>
      <c r="GA448" s="1"/>
      <c r="GD448" s="1"/>
      <c r="GE448" s="1"/>
      <c r="GF448" s="1"/>
      <c r="GG448" s="1"/>
      <c r="GH448" s="1"/>
      <c r="GI448" s="1"/>
      <c r="GJ448" s="1"/>
      <c r="GN448" s="1"/>
      <c r="GP448" s="1"/>
      <c r="HF448" s="1"/>
      <c r="HH448" s="1"/>
      <c r="HN448" s="1"/>
      <c r="HY448" s="1"/>
      <c r="ID448" s="1"/>
      <c r="IE448" s="1"/>
      <c r="IG448" s="1"/>
      <c r="IJ448" s="1"/>
      <c r="IR448" s="1"/>
      <c r="IS448" s="1"/>
      <c r="IW448" s="1"/>
      <c r="IZ448" s="1"/>
      <c r="JC448" s="1"/>
      <c r="JF448" s="1"/>
      <c r="JH448" s="1"/>
      <c r="JJ448" s="1"/>
      <c r="JK448" s="1"/>
      <c r="JL448" s="3"/>
      <c r="JM448" s="1"/>
      <c r="JN448" s="1"/>
      <c r="JP448" s="1"/>
      <c r="JQ448" s="1"/>
      <c r="JR448" s="1"/>
      <c r="JT448" s="1"/>
      <c r="KY448" s="1"/>
      <c r="KZ448" s="1"/>
      <c r="LA448" s="1"/>
      <c r="LB448" s="1"/>
      <c r="LC448" s="1"/>
      <c r="LD448" s="1"/>
      <c r="LO448" s="1"/>
      <c r="LP448" s="1"/>
      <c r="LZ448" s="1"/>
      <c r="MA448" s="1"/>
    </row>
    <row r="449" spans="4:339" ht="13" x14ac:dyDescent="0.15">
      <c r="D449" s="12"/>
      <c r="E449" s="12"/>
      <c r="I449" s="12"/>
      <c r="J449" s="13"/>
      <c r="BF449" s="1"/>
      <c r="BG449" s="1"/>
      <c r="BH449" s="1"/>
      <c r="BI449" s="1"/>
      <c r="BJ449" s="1"/>
      <c r="BK449" s="1"/>
      <c r="BL449" s="1"/>
      <c r="BM449" s="1"/>
      <c r="BN449" s="1"/>
      <c r="BO449" s="1"/>
      <c r="BP449" s="1"/>
      <c r="BQ449" s="1"/>
      <c r="BR449" s="1"/>
      <c r="BX449" s="1"/>
      <c r="CD449" s="1"/>
      <c r="CE449" s="1"/>
      <c r="CF449" s="1"/>
      <c r="CG449" s="1"/>
      <c r="CH449" s="1"/>
      <c r="CI449" s="1"/>
      <c r="CJ449" s="1"/>
      <c r="CK449" s="1"/>
      <c r="CM449" s="2"/>
      <c r="CN449" s="1"/>
      <c r="CO449" s="1"/>
      <c r="CP449" s="1"/>
      <c r="CQ449" s="1"/>
      <c r="CS449" s="1"/>
      <c r="CT449" s="1"/>
      <c r="CU449" s="1"/>
      <c r="CV449" s="1"/>
      <c r="CW449" s="1"/>
      <c r="CX449" s="1"/>
      <c r="CY449" s="1"/>
      <c r="CZ449" s="1"/>
      <c r="DA449" s="1"/>
      <c r="DB449" s="1"/>
      <c r="DC449" s="1"/>
      <c r="DD449" s="1"/>
      <c r="DE449" s="1"/>
      <c r="DF449" s="1"/>
      <c r="DG449" s="1"/>
      <c r="DH449" s="1"/>
      <c r="DI449" s="1"/>
      <c r="DJ449" s="1"/>
      <c r="DK449" s="1"/>
      <c r="DM449" s="1"/>
      <c r="DQ449" s="1"/>
      <c r="DR449" s="1"/>
      <c r="DY449" s="1"/>
      <c r="DZ449" s="1"/>
      <c r="ED449" s="1"/>
      <c r="EF449" s="1"/>
      <c r="EK449" s="1"/>
      <c r="EL449" s="1"/>
      <c r="EM449" s="1"/>
      <c r="EN449" s="1"/>
      <c r="EQ449" s="1"/>
      <c r="ER449" s="1"/>
      <c r="ES449" s="1"/>
      <c r="EV449" s="1"/>
      <c r="EW449" s="1"/>
      <c r="EX449" s="1"/>
      <c r="EZ449" s="1"/>
      <c r="FA449" s="1"/>
      <c r="FD449" s="1"/>
      <c r="FF449" s="1"/>
      <c r="FG449" s="1"/>
      <c r="FH449" s="1"/>
      <c r="FJ449" s="1"/>
      <c r="FP449" s="1"/>
      <c r="FQ449" s="1"/>
      <c r="FS449" s="1"/>
      <c r="FW449" s="1"/>
      <c r="FX449" s="1"/>
      <c r="GA449" s="1"/>
      <c r="GD449" s="1"/>
      <c r="GE449" s="1"/>
      <c r="GF449" s="1"/>
      <c r="GG449" s="1"/>
      <c r="GH449" s="1"/>
      <c r="GI449" s="1"/>
      <c r="GJ449" s="1"/>
      <c r="GK449" s="1"/>
      <c r="GL449" s="1"/>
      <c r="GM449" s="1"/>
      <c r="GN449" s="1"/>
      <c r="GO449" s="1"/>
      <c r="GP449" s="1"/>
      <c r="GR449" s="1"/>
      <c r="GY449" s="1"/>
      <c r="HF449" s="1"/>
      <c r="HH449" s="1"/>
      <c r="HN449" s="1"/>
      <c r="HR449" s="1"/>
      <c r="HS449" s="1"/>
      <c r="HT449" s="1"/>
      <c r="HY449" s="1"/>
      <c r="IC449" s="1"/>
      <c r="ID449" s="1"/>
      <c r="IE449" s="1"/>
      <c r="IG449" s="1"/>
      <c r="IJ449" s="1"/>
      <c r="IR449" s="1"/>
      <c r="IS449" s="1"/>
      <c r="IW449" s="1"/>
      <c r="IZ449" s="1"/>
      <c r="JA449" s="1"/>
      <c r="JF449" s="1"/>
      <c r="JG449" s="1"/>
      <c r="JI449" s="1"/>
      <c r="JJ449" s="1"/>
      <c r="JK449" s="1"/>
      <c r="JL449" s="3"/>
      <c r="JM449" s="1"/>
      <c r="JN449" s="1"/>
      <c r="JP449" s="1"/>
      <c r="JQ449" s="1"/>
      <c r="JR449" s="1"/>
      <c r="JT449" s="1"/>
      <c r="KU449" s="1"/>
      <c r="KV449" s="1"/>
      <c r="KY449" s="1"/>
      <c r="KZ449" s="1"/>
      <c r="LA449" s="1"/>
      <c r="LB449" s="1"/>
      <c r="LC449" s="1"/>
      <c r="LD449" s="1"/>
      <c r="LO449" s="1"/>
      <c r="LP449" s="1"/>
      <c r="LZ449" s="1"/>
      <c r="MA449" s="1"/>
    </row>
    <row r="450" spans="4:339" ht="13" x14ac:dyDescent="0.15">
      <c r="D450" s="12"/>
      <c r="E450" s="12"/>
      <c r="I450" s="12"/>
      <c r="J450" s="13"/>
      <c r="BF450" s="1"/>
      <c r="BG450" s="1"/>
      <c r="BH450" s="1"/>
      <c r="BI450" s="1"/>
      <c r="BJ450" s="1"/>
      <c r="BK450" s="1"/>
      <c r="BL450" s="1"/>
      <c r="BM450" s="1"/>
      <c r="BN450" s="1"/>
      <c r="BO450" s="1"/>
      <c r="BP450" s="1"/>
      <c r="BQ450" s="1"/>
      <c r="BR450" s="1"/>
      <c r="BX450" s="1"/>
      <c r="CD450" s="1"/>
      <c r="CE450" s="1"/>
      <c r="CF450" s="1"/>
      <c r="CG450" s="1"/>
      <c r="CH450" s="1"/>
      <c r="CI450" s="1"/>
      <c r="CJ450" s="1"/>
      <c r="CK450" s="1"/>
      <c r="CM450" s="2"/>
      <c r="CN450" s="1"/>
      <c r="CO450" s="1"/>
      <c r="CP450" s="1"/>
      <c r="CQ450" s="1"/>
      <c r="CS450" s="1"/>
      <c r="CT450" s="1"/>
      <c r="CU450" s="1"/>
      <c r="CV450" s="1"/>
      <c r="CW450" s="1"/>
      <c r="CX450" s="1"/>
      <c r="CY450" s="1"/>
      <c r="CZ450" s="1"/>
      <c r="DA450" s="1"/>
      <c r="DB450" s="1"/>
      <c r="DC450" s="1"/>
      <c r="DD450" s="1"/>
      <c r="DE450" s="1"/>
      <c r="DF450" s="1"/>
      <c r="DG450" s="1"/>
      <c r="DH450" s="1"/>
      <c r="DI450" s="1"/>
      <c r="DJ450" s="1"/>
      <c r="DK450" s="1"/>
      <c r="DM450" s="1"/>
      <c r="DQ450" s="1"/>
      <c r="DR450" s="1"/>
      <c r="DY450" s="1"/>
      <c r="DZ450" s="1"/>
      <c r="ED450" s="1"/>
      <c r="EF450" s="1"/>
      <c r="EK450" s="1"/>
      <c r="EL450" s="1"/>
      <c r="EM450" s="1"/>
      <c r="EN450" s="1"/>
      <c r="EQ450" s="1"/>
      <c r="ER450" s="1"/>
      <c r="ES450" s="1"/>
      <c r="EV450" s="1"/>
      <c r="EW450" s="1"/>
      <c r="EX450" s="1"/>
      <c r="EZ450" s="1"/>
      <c r="FA450" s="1"/>
      <c r="FD450" s="1"/>
      <c r="FF450" s="1"/>
      <c r="FG450" s="1"/>
      <c r="FH450" s="1"/>
      <c r="FJ450" s="1"/>
      <c r="FP450" s="1"/>
      <c r="FQ450" s="1"/>
      <c r="FS450" s="1"/>
      <c r="FW450" s="1"/>
      <c r="FX450" s="1"/>
      <c r="GA450" s="1"/>
      <c r="GD450" s="1"/>
      <c r="GE450" s="1"/>
      <c r="GF450" s="1"/>
      <c r="GG450" s="1"/>
      <c r="GH450" s="1"/>
      <c r="GI450" s="1"/>
      <c r="GJ450" s="1"/>
      <c r="GK450" s="1"/>
      <c r="GL450" s="1"/>
      <c r="GM450" s="1"/>
      <c r="GN450" s="1"/>
      <c r="GO450" s="1"/>
      <c r="GP450" s="1"/>
      <c r="GR450" s="1"/>
      <c r="GY450" s="1"/>
      <c r="HF450" s="1"/>
      <c r="HH450" s="1"/>
      <c r="HN450" s="1"/>
      <c r="HR450" s="1"/>
      <c r="HS450" s="1"/>
      <c r="HT450" s="1"/>
      <c r="HY450" s="1"/>
      <c r="IC450" s="1"/>
      <c r="ID450" s="1"/>
      <c r="IE450" s="1"/>
      <c r="IG450" s="1"/>
      <c r="IJ450" s="1"/>
      <c r="IR450" s="1"/>
      <c r="IS450" s="1"/>
      <c r="IW450" s="1"/>
      <c r="IZ450" s="1"/>
      <c r="JA450" s="1"/>
      <c r="JF450" s="1"/>
      <c r="JG450" s="1"/>
      <c r="JI450" s="1"/>
      <c r="JJ450" s="1"/>
      <c r="JK450" s="1"/>
      <c r="JL450" s="3"/>
      <c r="JM450" s="1"/>
      <c r="JN450" s="1"/>
      <c r="JP450" s="1"/>
      <c r="JQ450" s="1"/>
      <c r="JR450" s="1"/>
      <c r="JT450" s="1"/>
      <c r="KU450" s="1"/>
      <c r="KV450" s="1"/>
      <c r="KY450" s="1"/>
      <c r="KZ450" s="1"/>
      <c r="LA450" s="1"/>
      <c r="LB450" s="1"/>
      <c r="LC450" s="1"/>
      <c r="LD450" s="1"/>
      <c r="LO450" s="1"/>
      <c r="LP450" s="1"/>
      <c r="LZ450" s="1"/>
      <c r="MA450" s="1"/>
    </row>
    <row r="451" spans="4:339" ht="13" x14ac:dyDescent="0.15">
      <c r="D451" s="12"/>
      <c r="E451" s="12"/>
      <c r="I451" s="12"/>
      <c r="J451" s="13"/>
      <c r="BF451" s="1"/>
      <c r="BG451" s="1"/>
      <c r="BH451" s="1"/>
      <c r="BI451" s="1"/>
      <c r="BJ451" s="1"/>
      <c r="BK451" s="1"/>
      <c r="BL451" s="1"/>
      <c r="BM451" s="1"/>
      <c r="BN451" s="1"/>
      <c r="BO451" s="1"/>
      <c r="BP451" s="1"/>
      <c r="BQ451" s="1"/>
      <c r="BR451" s="1"/>
      <c r="BX451" s="1"/>
      <c r="CD451" s="1"/>
      <c r="CE451" s="1"/>
      <c r="CF451" s="1"/>
      <c r="CG451" s="1"/>
      <c r="CH451" s="1"/>
      <c r="CI451" s="1"/>
      <c r="CJ451" s="1"/>
      <c r="CK451" s="1"/>
      <c r="CM451" s="2"/>
      <c r="CN451" s="1"/>
      <c r="CO451" s="1"/>
      <c r="CP451" s="1"/>
      <c r="CQ451" s="1"/>
      <c r="CS451" s="1"/>
      <c r="CT451" s="1"/>
      <c r="CU451" s="1"/>
      <c r="CV451" s="1"/>
      <c r="CW451" s="1"/>
      <c r="CX451" s="1"/>
      <c r="CY451" s="1"/>
      <c r="CZ451" s="1"/>
      <c r="DA451" s="1"/>
      <c r="DB451" s="1"/>
      <c r="DC451" s="1"/>
      <c r="DD451" s="1"/>
      <c r="DE451" s="1"/>
      <c r="DF451" s="1"/>
      <c r="DG451" s="1"/>
      <c r="DH451" s="1"/>
      <c r="DI451" s="1"/>
      <c r="DJ451" s="1"/>
      <c r="DK451" s="1"/>
      <c r="DM451" s="1"/>
      <c r="DQ451" s="1"/>
      <c r="DR451" s="1"/>
      <c r="DY451" s="1"/>
      <c r="DZ451" s="1"/>
      <c r="ED451" s="1"/>
      <c r="EF451" s="1"/>
      <c r="EK451" s="1"/>
      <c r="EL451" s="1"/>
      <c r="EM451" s="1"/>
      <c r="EN451" s="1"/>
      <c r="EQ451" s="1"/>
      <c r="ER451" s="1"/>
      <c r="ES451" s="1"/>
      <c r="EV451" s="1"/>
      <c r="EW451" s="1"/>
      <c r="EX451" s="1"/>
      <c r="EZ451" s="1"/>
      <c r="FA451" s="1"/>
      <c r="FD451" s="1"/>
      <c r="FF451" s="1"/>
      <c r="FG451" s="1"/>
      <c r="FH451" s="1"/>
      <c r="FJ451" s="1"/>
      <c r="FP451" s="1"/>
      <c r="FQ451" s="1"/>
      <c r="FS451" s="1"/>
      <c r="FW451" s="1"/>
      <c r="FX451" s="1"/>
      <c r="GA451" s="1"/>
      <c r="GD451" s="1"/>
      <c r="GE451" s="1"/>
      <c r="GF451" s="1"/>
      <c r="GG451" s="1"/>
      <c r="GH451" s="1"/>
      <c r="GI451" s="1"/>
      <c r="GJ451" s="1"/>
      <c r="GK451" s="1"/>
      <c r="GL451" s="1"/>
      <c r="GM451" s="1"/>
      <c r="GN451" s="1"/>
      <c r="GO451" s="1"/>
      <c r="GP451" s="1"/>
      <c r="GR451" s="1"/>
      <c r="GY451" s="1"/>
      <c r="HF451" s="1"/>
      <c r="HH451" s="1"/>
      <c r="HN451" s="1"/>
      <c r="HR451" s="1"/>
      <c r="HS451" s="1"/>
      <c r="HT451" s="1"/>
      <c r="HY451" s="1"/>
      <c r="IC451" s="1"/>
      <c r="ID451" s="1"/>
      <c r="IE451" s="1"/>
      <c r="IG451" s="1"/>
      <c r="IJ451" s="1"/>
      <c r="IR451" s="1"/>
      <c r="IS451" s="1"/>
      <c r="IW451" s="1"/>
      <c r="IZ451" s="1"/>
      <c r="JA451" s="1"/>
      <c r="JF451" s="1"/>
      <c r="JG451" s="1"/>
      <c r="JI451" s="1"/>
      <c r="JJ451" s="1"/>
      <c r="JK451" s="1"/>
      <c r="JL451" s="3"/>
      <c r="JM451" s="1"/>
      <c r="JN451" s="1"/>
      <c r="JP451" s="1"/>
      <c r="JQ451" s="1"/>
      <c r="JR451" s="1"/>
      <c r="JT451" s="1"/>
      <c r="KU451" s="1"/>
      <c r="KV451" s="1"/>
      <c r="KY451" s="1"/>
      <c r="KZ451" s="1"/>
      <c r="LA451" s="1"/>
      <c r="LB451" s="1"/>
      <c r="LC451" s="1"/>
      <c r="LD451" s="1"/>
      <c r="LO451" s="1"/>
      <c r="LP451" s="1"/>
      <c r="LZ451" s="1"/>
      <c r="MA451" s="1"/>
    </row>
    <row r="452" spans="4:339" ht="13" x14ac:dyDescent="0.15">
      <c r="D452" s="12"/>
      <c r="E452" s="12"/>
      <c r="I452" s="12"/>
      <c r="J452" s="13"/>
      <c r="BF452" s="1"/>
      <c r="BG452" s="1"/>
      <c r="BH452" s="1"/>
      <c r="BI452" s="1"/>
      <c r="BJ452" s="1"/>
      <c r="BK452" s="1"/>
      <c r="BL452" s="1"/>
      <c r="BM452" s="1"/>
      <c r="BN452" s="1"/>
      <c r="BO452" s="1"/>
      <c r="BP452" s="1"/>
      <c r="BQ452" s="1"/>
      <c r="BR452" s="1"/>
      <c r="BX452" s="1"/>
      <c r="CD452" s="1"/>
      <c r="CE452" s="1"/>
      <c r="CF452" s="1"/>
      <c r="CG452" s="1"/>
      <c r="CH452" s="1"/>
      <c r="CI452" s="1"/>
      <c r="CJ452" s="1"/>
      <c r="CK452" s="1"/>
      <c r="CM452" s="2"/>
      <c r="CN452" s="1"/>
      <c r="CO452" s="1"/>
      <c r="CP452" s="1"/>
      <c r="CQ452" s="1"/>
      <c r="CS452" s="1"/>
      <c r="CT452" s="1"/>
      <c r="CU452" s="1"/>
      <c r="CV452" s="1"/>
      <c r="CW452" s="1"/>
      <c r="CX452" s="1"/>
      <c r="CY452" s="1"/>
      <c r="CZ452" s="1"/>
      <c r="DA452" s="1"/>
      <c r="DB452" s="1"/>
      <c r="DC452" s="1"/>
      <c r="DD452" s="1"/>
      <c r="DE452" s="1"/>
      <c r="DF452" s="1"/>
      <c r="DG452" s="1"/>
      <c r="DH452" s="1"/>
      <c r="DI452" s="1"/>
      <c r="DJ452" s="1"/>
      <c r="DK452" s="1"/>
      <c r="DM452" s="1"/>
      <c r="DQ452" s="1"/>
      <c r="DR452" s="1"/>
      <c r="DY452" s="1"/>
      <c r="DZ452" s="1"/>
      <c r="ED452" s="1"/>
      <c r="EF452" s="1"/>
      <c r="EK452" s="1"/>
      <c r="EL452" s="1"/>
      <c r="EM452" s="1"/>
      <c r="EN452" s="1"/>
      <c r="EQ452" s="1"/>
      <c r="ER452" s="1"/>
      <c r="ES452" s="1"/>
      <c r="EV452" s="1"/>
      <c r="EW452" s="1"/>
      <c r="EX452" s="1"/>
      <c r="EZ452" s="1"/>
      <c r="FA452" s="1"/>
      <c r="FD452" s="1"/>
      <c r="FF452" s="1"/>
      <c r="FG452" s="1"/>
      <c r="FH452" s="1"/>
      <c r="FJ452" s="1"/>
      <c r="FP452" s="1"/>
      <c r="FQ452" s="1"/>
      <c r="FS452" s="1"/>
      <c r="FW452" s="1"/>
      <c r="FX452" s="1"/>
      <c r="GA452" s="1"/>
      <c r="GD452" s="1"/>
      <c r="GE452" s="1"/>
      <c r="GF452" s="1"/>
      <c r="GG452" s="1"/>
      <c r="GH452" s="1"/>
      <c r="GI452" s="1"/>
      <c r="GJ452" s="1"/>
      <c r="GK452" s="1"/>
      <c r="GL452" s="1"/>
      <c r="GM452" s="1"/>
      <c r="GN452" s="1"/>
      <c r="GO452" s="1"/>
      <c r="GP452" s="1"/>
      <c r="GR452" s="1"/>
      <c r="GY452" s="1"/>
      <c r="HF452" s="1"/>
      <c r="HH452" s="1"/>
      <c r="HN452" s="1"/>
      <c r="HR452" s="1"/>
      <c r="HS452" s="1"/>
      <c r="HT452" s="1"/>
      <c r="HY452" s="1"/>
      <c r="IC452" s="1"/>
      <c r="ID452" s="1"/>
      <c r="IE452" s="1"/>
      <c r="IG452" s="1"/>
      <c r="IJ452" s="1"/>
      <c r="IR452" s="1"/>
      <c r="IS452" s="1"/>
      <c r="IW452" s="1"/>
      <c r="IZ452" s="1"/>
      <c r="JA452" s="1"/>
      <c r="JF452" s="1"/>
      <c r="JG452" s="1"/>
      <c r="JI452" s="1"/>
      <c r="JJ452" s="1"/>
      <c r="JK452" s="1"/>
      <c r="JL452" s="3"/>
      <c r="JM452" s="1"/>
      <c r="JN452" s="1"/>
      <c r="JP452" s="1"/>
      <c r="JQ452" s="1"/>
      <c r="JR452" s="1"/>
      <c r="JT452" s="1"/>
      <c r="KU452" s="1"/>
      <c r="KV452" s="1"/>
      <c r="KY452" s="1"/>
      <c r="KZ452" s="1"/>
      <c r="LA452" s="1"/>
      <c r="LB452" s="1"/>
      <c r="LC452" s="1"/>
      <c r="LD452" s="1"/>
      <c r="LO452" s="1"/>
      <c r="LP452" s="1"/>
      <c r="LZ452" s="1"/>
      <c r="MA452" s="1"/>
    </row>
    <row r="453" spans="4:339" ht="13" x14ac:dyDescent="0.15">
      <c r="D453" s="12"/>
      <c r="E453" s="12"/>
      <c r="I453" s="12"/>
      <c r="J453" s="13"/>
      <c r="BF453" s="1"/>
      <c r="BG453" s="1"/>
      <c r="BH453" s="1"/>
      <c r="BI453" s="1"/>
      <c r="BJ453" s="1"/>
      <c r="BK453" s="1"/>
      <c r="BL453" s="1"/>
      <c r="BM453" s="1"/>
      <c r="BN453" s="1"/>
      <c r="BO453" s="1"/>
      <c r="BP453" s="1"/>
      <c r="BQ453" s="1"/>
      <c r="BR453" s="1"/>
      <c r="BX453" s="1"/>
      <c r="CD453" s="1"/>
      <c r="CE453" s="1"/>
      <c r="CF453" s="1"/>
      <c r="CG453" s="1"/>
      <c r="CH453" s="1"/>
      <c r="CI453" s="1"/>
      <c r="CM453" s="2"/>
      <c r="CN453" s="1"/>
      <c r="CO453" s="1"/>
      <c r="CP453" s="1"/>
      <c r="CQ453" s="1"/>
      <c r="CR453" s="1"/>
      <c r="CT453" s="1"/>
      <c r="CU453" s="1"/>
      <c r="CV453" s="1"/>
      <c r="CW453" s="1"/>
      <c r="CX453" s="1"/>
      <c r="CY453" s="1"/>
      <c r="CZ453" s="1"/>
      <c r="DA453" s="1"/>
      <c r="DB453" s="1"/>
      <c r="DC453" s="1"/>
      <c r="DD453" s="1"/>
      <c r="DE453" s="1"/>
      <c r="DF453" s="1"/>
      <c r="DG453" s="1"/>
      <c r="DH453" s="1"/>
      <c r="DI453" s="1"/>
      <c r="DJ453" s="1"/>
      <c r="DK453" s="1"/>
      <c r="DM453" s="1"/>
      <c r="DR453" s="1"/>
      <c r="ED453" s="1"/>
      <c r="EE453" s="1"/>
      <c r="EF453" s="1"/>
      <c r="EG453" s="1"/>
      <c r="EH453" s="1"/>
      <c r="EK453" s="1"/>
      <c r="EL453" s="1"/>
      <c r="EM453" s="1"/>
      <c r="EN453" s="1"/>
      <c r="EQ453" s="1"/>
      <c r="ER453" s="1"/>
      <c r="ES453" s="1"/>
      <c r="EV453" s="1"/>
      <c r="EW453" s="1"/>
      <c r="EY453" s="1"/>
      <c r="EZ453" s="1"/>
      <c r="FA453" s="1"/>
      <c r="FD453" s="1"/>
      <c r="FG453" s="1"/>
      <c r="FH453" s="1"/>
      <c r="FI453" s="1"/>
      <c r="FJ453" s="1"/>
      <c r="FM453" s="1"/>
      <c r="FN453" s="1"/>
      <c r="FO453" s="1"/>
      <c r="FP453" s="1"/>
      <c r="FQ453" s="1"/>
      <c r="FR453" s="1"/>
      <c r="FS453" s="1"/>
      <c r="FV453" s="1"/>
      <c r="FW453" s="1"/>
      <c r="FX453" s="1"/>
      <c r="FY453" s="1"/>
      <c r="FZ453" s="1"/>
      <c r="GA453" s="1"/>
      <c r="GD453" s="1"/>
      <c r="GE453" s="1"/>
      <c r="GF453" s="1"/>
      <c r="GG453" s="1"/>
      <c r="GH453" s="1"/>
      <c r="GI453" s="1"/>
      <c r="GJ453" s="1"/>
      <c r="GK453" s="1"/>
      <c r="GL453" s="1"/>
      <c r="GM453" s="1"/>
      <c r="GN453" s="1"/>
      <c r="GP453" s="1"/>
      <c r="GR453" s="1"/>
      <c r="GY453" s="1"/>
      <c r="HF453" s="1"/>
      <c r="HH453" s="1"/>
      <c r="HT453" s="1"/>
      <c r="HY453" s="1"/>
      <c r="IE453" s="1"/>
      <c r="IG453" s="1"/>
      <c r="IJ453" s="1"/>
      <c r="IR453" s="1"/>
      <c r="IS453" s="1"/>
      <c r="IW453" s="1"/>
      <c r="IZ453" s="1"/>
      <c r="JC453" s="1"/>
      <c r="JF453" s="1"/>
      <c r="JG453" s="1"/>
      <c r="JH453" s="1"/>
      <c r="JJ453" s="1"/>
      <c r="JK453" s="1"/>
      <c r="JL453" s="3"/>
      <c r="JM453" s="1"/>
      <c r="JN453" s="1"/>
      <c r="JP453" s="1"/>
      <c r="JQ453" s="1"/>
      <c r="JR453" s="1"/>
      <c r="JT453" s="1"/>
      <c r="KU453" s="1"/>
      <c r="KW453" s="1"/>
      <c r="KY453" s="1"/>
      <c r="KZ453" s="1"/>
      <c r="LA453" s="1"/>
      <c r="LB453" s="1"/>
      <c r="LC453" s="1"/>
      <c r="LD453" s="1"/>
      <c r="LO453" s="1"/>
      <c r="LP453" s="1"/>
      <c r="LX453" s="1"/>
      <c r="LZ453" s="1"/>
      <c r="MA453" s="1"/>
    </row>
    <row r="454" spans="4:339" ht="13" x14ac:dyDescent="0.15">
      <c r="D454" s="12"/>
      <c r="E454" s="12"/>
      <c r="I454" s="12"/>
      <c r="J454" s="13"/>
      <c r="BF454" s="1"/>
      <c r="BG454" s="1"/>
      <c r="BH454" s="1"/>
      <c r="BI454" s="1"/>
      <c r="BJ454" s="1"/>
      <c r="BK454" s="1"/>
      <c r="BL454" s="1"/>
      <c r="BM454" s="1"/>
      <c r="BN454" s="1"/>
      <c r="BO454" s="1"/>
      <c r="BP454" s="1"/>
      <c r="BQ454" s="1"/>
      <c r="BR454" s="1"/>
      <c r="BX454" s="1"/>
      <c r="CD454" s="1"/>
      <c r="CE454" s="1"/>
      <c r="CF454" s="1"/>
      <c r="CG454" s="1"/>
      <c r="CH454" s="1"/>
      <c r="CI454" s="1"/>
      <c r="CM454" s="2"/>
      <c r="CN454" s="1"/>
      <c r="CO454" s="1"/>
      <c r="CP454" s="1"/>
      <c r="CQ454" s="1"/>
      <c r="CR454" s="1"/>
      <c r="CT454" s="1"/>
      <c r="CU454" s="1"/>
      <c r="CV454" s="1"/>
      <c r="CW454" s="1"/>
      <c r="CX454" s="1"/>
      <c r="CY454" s="1"/>
      <c r="CZ454" s="1"/>
      <c r="DA454" s="1"/>
      <c r="DB454" s="1"/>
      <c r="DC454" s="1"/>
      <c r="DD454" s="1"/>
      <c r="DE454" s="1"/>
      <c r="DF454" s="1"/>
      <c r="DG454" s="1"/>
      <c r="DH454" s="1"/>
      <c r="DI454" s="1"/>
      <c r="DJ454" s="1"/>
      <c r="DK454" s="1"/>
      <c r="DM454" s="1"/>
      <c r="DR454" s="1"/>
      <c r="ED454" s="1"/>
      <c r="EE454" s="1"/>
      <c r="EF454" s="1"/>
      <c r="EG454" s="1"/>
      <c r="EH454" s="1"/>
      <c r="EK454" s="1"/>
      <c r="EL454" s="1"/>
      <c r="EM454" s="1"/>
      <c r="EN454" s="1"/>
      <c r="EQ454" s="1"/>
      <c r="ER454" s="1"/>
      <c r="ES454" s="1"/>
      <c r="EV454" s="1"/>
      <c r="EW454" s="1"/>
      <c r="EY454" s="1"/>
      <c r="EZ454" s="1"/>
      <c r="FA454" s="1"/>
      <c r="FD454" s="1"/>
      <c r="FG454" s="1"/>
      <c r="FH454" s="1"/>
      <c r="FI454" s="1"/>
      <c r="FJ454" s="1"/>
      <c r="FM454" s="1"/>
      <c r="FN454" s="1"/>
      <c r="FO454" s="1"/>
      <c r="FP454" s="1"/>
      <c r="FQ454" s="1"/>
      <c r="FR454" s="1"/>
      <c r="FS454" s="1"/>
      <c r="FV454" s="1"/>
      <c r="FW454" s="1"/>
      <c r="FX454" s="1"/>
      <c r="FY454" s="1"/>
      <c r="FZ454" s="1"/>
      <c r="GA454" s="1"/>
      <c r="GD454" s="1"/>
      <c r="GE454" s="1"/>
      <c r="GF454" s="1"/>
      <c r="GG454" s="1"/>
      <c r="GH454" s="1"/>
      <c r="GI454" s="1"/>
      <c r="GJ454" s="1"/>
      <c r="GK454" s="1"/>
      <c r="GL454" s="1"/>
      <c r="GM454" s="1"/>
      <c r="GN454" s="1"/>
      <c r="GP454" s="1"/>
      <c r="GR454" s="1"/>
      <c r="GY454" s="1"/>
      <c r="HF454" s="1"/>
      <c r="HH454" s="1"/>
      <c r="HT454" s="1"/>
      <c r="HY454" s="1"/>
      <c r="IE454" s="1"/>
      <c r="IG454" s="1"/>
      <c r="IJ454" s="1"/>
      <c r="IR454" s="1"/>
      <c r="IS454" s="1"/>
      <c r="IW454" s="1"/>
      <c r="IZ454" s="1"/>
      <c r="JC454" s="1"/>
      <c r="JF454" s="1"/>
      <c r="JG454" s="1"/>
      <c r="JH454" s="1"/>
      <c r="JJ454" s="1"/>
      <c r="JK454" s="1"/>
      <c r="JL454" s="3"/>
      <c r="JM454" s="1"/>
      <c r="JN454" s="1"/>
      <c r="JP454" s="1"/>
      <c r="JQ454" s="1"/>
      <c r="JR454" s="1"/>
      <c r="JT454" s="1"/>
      <c r="KU454" s="1"/>
      <c r="KW454" s="1"/>
      <c r="KY454" s="1"/>
      <c r="KZ454" s="1"/>
      <c r="LA454" s="1"/>
      <c r="LB454" s="1"/>
      <c r="LC454" s="1"/>
      <c r="LD454" s="1"/>
      <c r="LO454" s="1"/>
      <c r="LP454" s="1"/>
      <c r="LX454" s="1"/>
      <c r="LZ454" s="1"/>
      <c r="MA454" s="1"/>
    </row>
    <row r="455" spans="4:339" ht="13" x14ac:dyDescent="0.15">
      <c r="D455" s="12"/>
      <c r="E455" s="12"/>
      <c r="I455" s="12"/>
      <c r="J455" s="13"/>
      <c r="BF455" s="1"/>
      <c r="BG455" s="1"/>
      <c r="BH455" s="1"/>
      <c r="BI455" s="1"/>
      <c r="BK455" s="1"/>
      <c r="BL455" s="1"/>
      <c r="BM455" s="1"/>
      <c r="BN455" s="1"/>
      <c r="BO455" s="1"/>
      <c r="BP455" s="1"/>
      <c r="BQ455" s="1"/>
      <c r="BR455" s="1"/>
      <c r="CD455" s="1"/>
      <c r="CE455" s="1"/>
      <c r="CF455" s="1"/>
      <c r="CG455" s="1"/>
      <c r="CH455" s="1"/>
      <c r="CI455" s="1"/>
      <c r="CM455" s="2"/>
      <c r="CN455" s="1"/>
      <c r="CO455" s="1"/>
      <c r="CP455" s="1"/>
      <c r="CQ455" s="1"/>
      <c r="CS455" s="1"/>
      <c r="CT455" s="1"/>
      <c r="CU455" s="1"/>
      <c r="CV455" s="1"/>
      <c r="CW455" s="1"/>
      <c r="CX455" s="1"/>
      <c r="CY455" s="1"/>
      <c r="CZ455" s="1"/>
      <c r="DA455" s="1"/>
      <c r="DB455" s="1"/>
      <c r="DC455" s="1"/>
      <c r="DD455" s="1"/>
      <c r="DE455" s="1"/>
      <c r="DF455" s="1"/>
      <c r="DG455" s="1"/>
      <c r="DH455" s="1"/>
      <c r="DI455" s="1"/>
      <c r="DJ455" s="1"/>
      <c r="DK455" s="1"/>
      <c r="DM455" s="1"/>
      <c r="DQ455" s="1"/>
      <c r="DR455" s="1"/>
      <c r="DY455" s="1"/>
      <c r="DZ455" s="1"/>
      <c r="ED455" s="1"/>
      <c r="EF455" s="1"/>
      <c r="EK455" s="1"/>
      <c r="EL455" s="1"/>
      <c r="EM455" s="1"/>
      <c r="EN455" s="1"/>
      <c r="EQ455" s="1"/>
      <c r="ER455" s="1"/>
      <c r="ES455" s="1"/>
      <c r="EV455" s="1"/>
      <c r="EW455" s="1"/>
      <c r="EZ455" s="1"/>
      <c r="FA455" s="1"/>
      <c r="FD455" s="1"/>
      <c r="GD455" s="1"/>
      <c r="GE455" s="1"/>
      <c r="GF455" s="1"/>
      <c r="GG455" s="1"/>
      <c r="GH455" s="1"/>
      <c r="GI455" s="1"/>
      <c r="GJ455" s="1"/>
      <c r="GO455" s="1"/>
      <c r="GP455" s="1"/>
      <c r="HT455" s="1"/>
      <c r="HY455" s="1"/>
      <c r="IE455" s="1"/>
      <c r="IG455" s="1"/>
      <c r="IR455" s="1"/>
      <c r="IS455" s="1"/>
      <c r="IZ455" s="1"/>
      <c r="JJ455" s="1"/>
      <c r="JK455" s="1"/>
      <c r="JL455" s="3"/>
      <c r="JM455" s="1"/>
      <c r="JP455" s="1"/>
      <c r="JQ455" s="1"/>
      <c r="JR455" s="1"/>
      <c r="LZ455" s="1"/>
      <c r="MA455" s="1"/>
    </row>
    <row r="456" spans="4:339" ht="13" x14ac:dyDescent="0.15">
      <c r="D456" s="12"/>
      <c r="E456" s="12"/>
      <c r="I456" s="12"/>
      <c r="J456" s="13"/>
      <c r="BF456" s="1"/>
      <c r="BG456" s="1"/>
      <c r="BH456" s="1"/>
      <c r="BI456" s="1"/>
      <c r="BK456" s="1"/>
      <c r="BL456" s="1"/>
      <c r="BM456" s="1"/>
      <c r="BN456" s="1"/>
      <c r="BO456" s="1"/>
      <c r="BP456" s="1"/>
      <c r="BQ456" s="1"/>
      <c r="BR456" s="1"/>
      <c r="CD456" s="1"/>
      <c r="CE456" s="1"/>
      <c r="CF456" s="1"/>
      <c r="CG456" s="1"/>
      <c r="CH456" s="1"/>
      <c r="CI456" s="1"/>
      <c r="CM456" s="2"/>
      <c r="CN456" s="1"/>
      <c r="CO456" s="1"/>
      <c r="CP456" s="1"/>
      <c r="CQ456" s="1"/>
      <c r="CS456" s="1"/>
      <c r="CT456" s="1"/>
      <c r="CU456" s="1"/>
      <c r="CV456" s="1"/>
      <c r="CW456" s="1"/>
      <c r="CX456" s="1"/>
      <c r="CY456" s="1"/>
      <c r="CZ456" s="1"/>
      <c r="DA456" s="1"/>
      <c r="DB456" s="1"/>
      <c r="DC456" s="1"/>
      <c r="DD456" s="1"/>
      <c r="DE456" s="1"/>
      <c r="DF456" s="1"/>
      <c r="DG456" s="1"/>
      <c r="DH456" s="1"/>
      <c r="DI456" s="1"/>
      <c r="DJ456" s="1"/>
      <c r="DK456" s="1"/>
      <c r="DM456" s="1"/>
      <c r="DQ456" s="1"/>
      <c r="DR456" s="1"/>
      <c r="DY456" s="1"/>
      <c r="DZ456" s="1"/>
      <c r="ED456" s="1"/>
      <c r="EF456" s="1"/>
      <c r="EK456" s="1"/>
      <c r="EL456" s="1"/>
      <c r="EM456" s="1"/>
      <c r="EN456" s="1"/>
      <c r="EQ456" s="1"/>
      <c r="ER456" s="1"/>
      <c r="ES456" s="1"/>
      <c r="EV456" s="1"/>
      <c r="EW456" s="1"/>
      <c r="EZ456" s="1"/>
      <c r="FA456" s="1"/>
      <c r="FD456" s="1"/>
      <c r="GD456" s="1"/>
      <c r="GE456" s="1"/>
      <c r="GF456" s="1"/>
      <c r="GG456" s="1"/>
      <c r="GH456" s="1"/>
      <c r="GI456" s="1"/>
      <c r="GJ456" s="1"/>
      <c r="GO456" s="1"/>
      <c r="GP456" s="1"/>
      <c r="HT456" s="1"/>
      <c r="HY456" s="1"/>
      <c r="IE456" s="1"/>
      <c r="IG456" s="1"/>
      <c r="IR456" s="1"/>
      <c r="IS456" s="1"/>
      <c r="IZ456" s="1"/>
      <c r="JJ456" s="1"/>
      <c r="JK456" s="1"/>
      <c r="JL456" s="3"/>
      <c r="JM456" s="1"/>
      <c r="JP456" s="1"/>
      <c r="JQ456" s="1"/>
      <c r="JR456" s="1"/>
      <c r="LZ456" s="1"/>
      <c r="MA456" s="1"/>
    </row>
    <row r="457" spans="4:339" ht="13" x14ac:dyDescent="0.15">
      <c r="D457" s="12"/>
      <c r="E457" s="12"/>
      <c r="I457" s="12"/>
      <c r="J457" s="13"/>
      <c r="BF457" s="1"/>
      <c r="BG457" s="1"/>
      <c r="BH457" s="1"/>
      <c r="BI457" s="1"/>
      <c r="BK457" s="1"/>
      <c r="BL457" s="1"/>
      <c r="BM457" s="1"/>
      <c r="BN457" s="1"/>
      <c r="BO457" s="1"/>
      <c r="BP457" s="1"/>
      <c r="BQ457" s="1"/>
      <c r="BR457" s="1"/>
      <c r="CD457" s="1"/>
      <c r="CE457" s="1"/>
      <c r="CF457" s="1"/>
      <c r="CG457" s="1"/>
      <c r="CH457" s="1"/>
      <c r="CI457" s="1"/>
      <c r="CM457" s="2"/>
      <c r="CN457" s="1"/>
      <c r="CO457" s="1"/>
      <c r="CP457" s="1"/>
      <c r="CQ457" s="1"/>
      <c r="CS457" s="1"/>
      <c r="CT457" s="1"/>
      <c r="CU457" s="1"/>
      <c r="CV457" s="1"/>
      <c r="CW457" s="1"/>
      <c r="CX457" s="1"/>
      <c r="CY457" s="1"/>
      <c r="CZ457" s="1"/>
      <c r="DA457" s="1"/>
      <c r="DB457" s="1"/>
      <c r="DC457" s="1"/>
      <c r="DD457" s="1"/>
      <c r="DE457" s="1"/>
      <c r="DF457" s="1"/>
      <c r="DG457" s="1"/>
      <c r="DH457" s="1"/>
      <c r="DI457" s="1"/>
      <c r="DJ457" s="1"/>
      <c r="DK457" s="1"/>
      <c r="DM457" s="1"/>
      <c r="DQ457" s="1"/>
      <c r="DR457" s="1"/>
      <c r="DY457" s="1"/>
      <c r="DZ457" s="1"/>
      <c r="ED457" s="1"/>
      <c r="EF457" s="1"/>
      <c r="EK457" s="1"/>
      <c r="EL457" s="1"/>
      <c r="EM457" s="1"/>
      <c r="EN457" s="1"/>
      <c r="EQ457" s="1"/>
      <c r="ER457" s="1"/>
      <c r="ES457" s="1"/>
      <c r="EV457" s="1"/>
      <c r="EW457" s="1"/>
      <c r="EZ457" s="1"/>
      <c r="FA457" s="1"/>
      <c r="FD457" s="1"/>
      <c r="GD457" s="1"/>
      <c r="GE457" s="1"/>
      <c r="GF457" s="1"/>
      <c r="GG457" s="1"/>
      <c r="GH457" s="1"/>
      <c r="GI457" s="1"/>
      <c r="GJ457" s="1"/>
      <c r="GO457" s="1"/>
      <c r="GP457" s="1"/>
      <c r="HT457" s="1"/>
      <c r="HY457" s="1"/>
      <c r="IE457" s="1"/>
      <c r="IG457" s="1"/>
      <c r="IR457" s="1"/>
      <c r="IS457" s="1"/>
      <c r="IZ457" s="1"/>
      <c r="JJ457" s="1"/>
      <c r="JK457" s="1"/>
      <c r="JL457" s="3"/>
      <c r="JM457" s="1"/>
      <c r="JP457" s="1"/>
      <c r="JQ457" s="1"/>
      <c r="JR457" s="1"/>
      <c r="LZ457" s="1"/>
      <c r="MA457" s="1"/>
    </row>
    <row r="458" spans="4:339" ht="13" x14ac:dyDescent="0.15">
      <c r="D458" s="12"/>
      <c r="E458" s="12"/>
      <c r="I458" s="12"/>
      <c r="J458" s="13"/>
      <c r="BF458" s="1"/>
      <c r="BG458" s="1"/>
      <c r="BH458" s="1"/>
      <c r="BI458" s="1"/>
      <c r="BK458" s="1"/>
      <c r="BL458" s="1"/>
      <c r="BM458" s="1"/>
      <c r="BN458" s="1"/>
      <c r="BO458" s="1"/>
      <c r="BP458" s="1"/>
      <c r="BQ458" s="1"/>
      <c r="BR458" s="1"/>
      <c r="BX458" s="1"/>
      <c r="CD458" s="1"/>
      <c r="CE458" s="1"/>
      <c r="CF458" s="1"/>
      <c r="CG458" s="1"/>
      <c r="CH458" s="1"/>
      <c r="CI458" s="1"/>
      <c r="CM458" s="2"/>
      <c r="CN458" s="1"/>
      <c r="CO458" s="1"/>
      <c r="CP458" s="1"/>
      <c r="CQ458" s="1"/>
      <c r="CR458" s="1"/>
      <c r="CS458" s="1"/>
      <c r="CT458" s="1"/>
      <c r="CU458" s="1"/>
      <c r="CV458" s="1"/>
      <c r="CW458" s="1"/>
      <c r="CX458" s="1"/>
      <c r="CY458" s="1"/>
      <c r="CZ458" s="1"/>
      <c r="DA458" s="1"/>
      <c r="DB458" s="1"/>
      <c r="DC458" s="1"/>
      <c r="DD458" s="1"/>
      <c r="DE458" s="1"/>
      <c r="DF458" s="1"/>
      <c r="DG458" s="1"/>
      <c r="DH458" s="1"/>
      <c r="DI458" s="1"/>
      <c r="DJ458" s="1"/>
      <c r="DK458" s="1"/>
      <c r="DM458" s="1"/>
      <c r="DQ458" s="1"/>
      <c r="DR458" s="1"/>
      <c r="DY458" s="1"/>
      <c r="DZ458" s="1"/>
      <c r="ED458" s="1"/>
      <c r="EF458" s="1"/>
      <c r="EK458" s="1"/>
      <c r="EL458" s="1"/>
      <c r="EM458" s="1"/>
      <c r="EN458" s="1"/>
      <c r="EQ458" s="1"/>
      <c r="ER458" s="1"/>
      <c r="ES458" s="1"/>
      <c r="EV458" s="1"/>
      <c r="EW458" s="1"/>
      <c r="EZ458" s="1"/>
      <c r="FA458" s="1"/>
      <c r="FD458" s="1"/>
      <c r="FG458" s="1"/>
      <c r="FH458" s="1"/>
      <c r="FI458" s="1"/>
      <c r="FJ458" s="1"/>
      <c r="FM458" s="1"/>
      <c r="FN458" s="1"/>
      <c r="FO458" s="1"/>
      <c r="FP458" s="1"/>
      <c r="FQ458" s="1"/>
      <c r="FS458" s="1"/>
      <c r="FT458" s="1"/>
      <c r="FU458" s="1"/>
      <c r="FV458" s="1"/>
      <c r="FW458" s="1"/>
      <c r="FX458" s="1"/>
      <c r="FY458" s="1"/>
      <c r="FZ458" s="1"/>
      <c r="GA458" s="1"/>
      <c r="GD458" s="1"/>
      <c r="GE458" s="1"/>
      <c r="GF458" s="1"/>
      <c r="GG458" s="1"/>
      <c r="GH458" s="1"/>
      <c r="GI458" s="1"/>
      <c r="GJ458" s="1"/>
      <c r="GK458" s="1"/>
      <c r="GL458" s="1"/>
      <c r="GM458" s="1"/>
      <c r="GN458" s="1"/>
      <c r="GO458" s="1"/>
      <c r="GP458" s="1"/>
      <c r="GR458" s="1"/>
      <c r="GY458" s="1"/>
      <c r="HH458" s="1"/>
      <c r="HN458" s="1"/>
      <c r="HR458" s="1"/>
      <c r="HS458" s="1"/>
      <c r="HT458" s="1"/>
      <c r="HY458" s="1"/>
      <c r="IC458" s="1"/>
      <c r="ID458" s="1"/>
      <c r="IE458" s="1"/>
      <c r="IR458" s="1"/>
      <c r="IS458" s="1"/>
      <c r="IW458" s="1"/>
      <c r="IZ458" s="1"/>
      <c r="JA458" s="1"/>
      <c r="JC458" s="1"/>
      <c r="JF458" s="1"/>
      <c r="JG458" s="1"/>
      <c r="JH458" s="1"/>
      <c r="JI458" s="1"/>
      <c r="JJ458" s="1"/>
      <c r="JN458" s="1"/>
      <c r="JP458" s="1"/>
      <c r="JQ458" s="1"/>
      <c r="JT458" s="1"/>
      <c r="KU458" s="1"/>
      <c r="KV458" s="1"/>
      <c r="KY458" s="1"/>
      <c r="KZ458" s="1"/>
      <c r="LA458" s="1"/>
      <c r="LB458" s="1"/>
      <c r="LC458" s="1"/>
      <c r="LD458" s="1"/>
      <c r="LO458" s="1"/>
      <c r="LP458" s="1"/>
      <c r="LZ458" s="1"/>
      <c r="MA458" s="1"/>
    </row>
    <row r="459" spans="4:339" ht="13" x14ac:dyDescent="0.15">
      <c r="D459" s="12"/>
      <c r="E459" s="12"/>
      <c r="I459" s="12"/>
      <c r="J459" s="13"/>
      <c r="BF459" s="1"/>
      <c r="BG459" s="1"/>
      <c r="BH459" s="1"/>
      <c r="BI459" s="1"/>
      <c r="BK459" s="1"/>
      <c r="BL459" s="1"/>
      <c r="BM459" s="1"/>
      <c r="BN459" s="1"/>
      <c r="BO459" s="1"/>
      <c r="BP459" s="1"/>
      <c r="BQ459" s="1"/>
      <c r="BR459" s="1"/>
      <c r="BX459" s="1"/>
      <c r="CD459" s="1"/>
      <c r="CE459" s="1"/>
      <c r="CF459" s="1"/>
      <c r="CG459" s="1"/>
      <c r="CH459" s="1"/>
      <c r="CI459" s="1"/>
      <c r="CM459" s="2"/>
      <c r="CN459" s="1"/>
      <c r="CO459" s="1"/>
      <c r="CP459" s="1"/>
      <c r="CQ459" s="1"/>
      <c r="CR459" s="1"/>
      <c r="CS459" s="1"/>
      <c r="CT459" s="1"/>
      <c r="CU459" s="1"/>
      <c r="CV459" s="1"/>
      <c r="CW459" s="1"/>
      <c r="CX459" s="1"/>
      <c r="CY459" s="1"/>
      <c r="CZ459" s="1"/>
      <c r="DA459" s="1"/>
      <c r="DB459" s="1"/>
      <c r="DC459" s="1"/>
      <c r="DD459" s="1"/>
      <c r="DE459" s="1"/>
      <c r="DF459" s="1"/>
      <c r="DG459" s="1"/>
      <c r="DH459" s="1"/>
      <c r="DI459" s="1"/>
      <c r="DJ459" s="1"/>
      <c r="DK459" s="1"/>
      <c r="DM459" s="1"/>
      <c r="DQ459" s="1"/>
      <c r="DR459" s="1"/>
      <c r="DY459" s="1"/>
      <c r="DZ459" s="1"/>
      <c r="ED459" s="1"/>
      <c r="EF459" s="1"/>
      <c r="EK459" s="1"/>
      <c r="EL459" s="1"/>
      <c r="EM459" s="1"/>
      <c r="EN459" s="1"/>
      <c r="EQ459" s="1"/>
      <c r="ER459" s="1"/>
      <c r="ES459" s="1"/>
      <c r="EV459" s="1"/>
      <c r="EW459" s="1"/>
      <c r="EZ459" s="1"/>
      <c r="FA459" s="1"/>
      <c r="FD459" s="1"/>
      <c r="FG459" s="1"/>
      <c r="FH459" s="1"/>
      <c r="FI459" s="1"/>
      <c r="FJ459" s="1"/>
      <c r="FM459" s="1"/>
      <c r="FN459" s="1"/>
      <c r="FO459" s="1"/>
      <c r="FP459" s="1"/>
      <c r="FQ459" s="1"/>
      <c r="FS459" s="1"/>
      <c r="FT459" s="1"/>
      <c r="FU459" s="1"/>
      <c r="FV459" s="1"/>
      <c r="FW459" s="1"/>
      <c r="FX459" s="1"/>
      <c r="FY459" s="1"/>
      <c r="FZ459" s="1"/>
      <c r="GA459" s="1"/>
      <c r="GD459" s="1"/>
      <c r="GE459" s="1"/>
      <c r="GF459" s="1"/>
      <c r="GG459" s="1"/>
      <c r="GH459" s="1"/>
      <c r="GI459" s="1"/>
      <c r="GJ459" s="1"/>
      <c r="GK459" s="1"/>
      <c r="GL459" s="1"/>
      <c r="GM459" s="1"/>
      <c r="GN459" s="1"/>
      <c r="GO459" s="1"/>
      <c r="GP459" s="1"/>
      <c r="GR459" s="1"/>
      <c r="GY459" s="1"/>
      <c r="HH459" s="1"/>
      <c r="HN459" s="1"/>
      <c r="HR459" s="1"/>
      <c r="HS459" s="1"/>
      <c r="HT459" s="1"/>
      <c r="HY459" s="1"/>
      <c r="IC459" s="1"/>
      <c r="ID459" s="1"/>
      <c r="IE459" s="1"/>
      <c r="IR459" s="1"/>
      <c r="IS459" s="1"/>
      <c r="IW459" s="1"/>
      <c r="IZ459" s="1"/>
      <c r="JA459" s="1"/>
      <c r="JC459" s="1"/>
      <c r="JF459" s="1"/>
      <c r="JG459" s="1"/>
      <c r="JH459" s="1"/>
      <c r="JI459" s="1"/>
      <c r="JJ459" s="1"/>
      <c r="JN459" s="1"/>
      <c r="JP459" s="1"/>
      <c r="JQ459" s="1"/>
      <c r="JT459" s="1"/>
      <c r="KU459" s="1"/>
      <c r="KV459" s="1"/>
      <c r="KY459" s="1"/>
      <c r="KZ459" s="1"/>
      <c r="LA459" s="1"/>
      <c r="LB459" s="1"/>
      <c r="LC459" s="1"/>
      <c r="LD459" s="1"/>
      <c r="LO459" s="1"/>
      <c r="LP459" s="1"/>
      <c r="LZ459" s="1"/>
      <c r="MA459" s="1"/>
    </row>
    <row r="460" spans="4:339" ht="13" x14ac:dyDescent="0.15">
      <c r="D460" s="12"/>
      <c r="E460" s="12"/>
      <c r="I460" s="12"/>
      <c r="J460" s="13"/>
      <c r="BF460" s="1"/>
      <c r="BG460" s="1"/>
      <c r="BH460" s="1"/>
      <c r="BI460" s="1"/>
      <c r="BK460" s="1"/>
      <c r="BL460" s="1"/>
      <c r="BM460" s="1"/>
      <c r="BN460" s="1"/>
      <c r="BO460" s="1"/>
      <c r="BP460" s="1"/>
      <c r="BQ460" s="1"/>
      <c r="BR460" s="1"/>
      <c r="BX460" s="1"/>
      <c r="CD460" s="1"/>
      <c r="CE460" s="1"/>
      <c r="CF460" s="1"/>
      <c r="CG460" s="1"/>
      <c r="CH460" s="1"/>
      <c r="CI460" s="1"/>
      <c r="CM460" s="2"/>
      <c r="CN460" s="1"/>
      <c r="CO460" s="1"/>
      <c r="CP460" s="1"/>
      <c r="CQ460" s="1"/>
      <c r="CR460" s="1"/>
      <c r="CS460" s="1"/>
      <c r="CT460" s="1"/>
      <c r="CU460" s="1"/>
      <c r="CV460" s="1"/>
      <c r="CW460" s="1"/>
      <c r="CX460" s="1"/>
      <c r="CY460" s="1"/>
      <c r="CZ460" s="1"/>
      <c r="DA460" s="1"/>
      <c r="DB460" s="1"/>
      <c r="DC460" s="1"/>
      <c r="DD460" s="1"/>
      <c r="DE460" s="1"/>
      <c r="DF460" s="1"/>
      <c r="DG460" s="1"/>
      <c r="DH460" s="1"/>
      <c r="DI460" s="1"/>
      <c r="DJ460" s="1"/>
      <c r="DK460" s="1"/>
      <c r="DM460" s="1"/>
      <c r="DQ460" s="1"/>
      <c r="DR460" s="1"/>
      <c r="DY460" s="1"/>
      <c r="DZ460" s="1"/>
      <c r="ED460" s="1"/>
      <c r="EF460" s="1"/>
      <c r="EK460" s="1"/>
      <c r="EL460" s="1"/>
      <c r="EM460" s="1"/>
      <c r="EN460" s="1"/>
      <c r="EQ460" s="1"/>
      <c r="ER460" s="1"/>
      <c r="ES460" s="1"/>
      <c r="EV460" s="1"/>
      <c r="EW460" s="1"/>
      <c r="EZ460" s="1"/>
      <c r="FA460" s="1"/>
      <c r="FD460" s="1"/>
      <c r="FG460" s="1"/>
      <c r="FH460" s="1"/>
      <c r="FI460" s="1"/>
      <c r="FJ460" s="1"/>
      <c r="FM460" s="1"/>
      <c r="FN460" s="1"/>
      <c r="FO460" s="1"/>
      <c r="FP460" s="1"/>
      <c r="FQ460" s="1"/>
      <c r="FS460" s="1"/>
      <c r="FT460" s="1"/>
      <c r="FU460" s="1"/>
      <c r="FV460" s="1"/>
      <c r="FW460" s="1"/>
      <c r="FX460" s="1"/>
      <c r="FY460" s="1"/>
      <c r="FZ460" s="1"/>
      <c r="GA460" s="1"/>
      <c r="GD460" s="1"/>
      <c r="GE460" s="1"/>
      <c r="GF460" s="1"/>
      <c r="GG460" s="1"/>
      <c r="GH460" s="1"/>
      <c r="GI460" s="1"/>
      <c r="GJ460" s="1"/>
      <c r="GK460" s="1"/>
      <c r="GL460" s="1"/>
      <c r="GM460" s="1"/>
      <c r="GN460" s="1"/>
      <c r="GO460" s="1"/>
      <c r="GP460" s="1"/>
      <c r="GR460" s="1"/>
      <c r="GY460" s="1"/>
      <c r="HH460" s="1"/>
      <c r="HN460" s="1"/>
      <c r="HR460" s="1"/>
      <c r="HS460" s="1"/>
      <c r="HT460" s="1"/>
      <c r="HY460" s="1"/>
      <c r="IC460" s="1"/>
      <c r="ID460" s="1"/>
      <c r="IE460" s="1"/>
      <c r="IR460" s="1"/>
      <c r="IS460" s="1"/>
      <c r="IW460" s="1"/>
      <c r="IZ460" s="1"/>
      <c r="JA460" s="1"/>
      <c r="JC460" s="1"/>
      <c r="JF460" s="1"/>
      <c r="JG460" s="1"/>
      <c r="JH460" s="1"/>
      <c r="JI460" s="1"/>
      <c r="JJ460" s="1"/>
      <c r="JN460" s="1"/>
      <c r="JP460" s="1"/>
      <c r="JQ460" s="1"/>
      <c r="JT460" s="1"/>
      <c r="KU460" s="1"/>
      <c r="KV460" s="1"/>
      <c r="KY460" s="1"/>
      <c r="KZ460" s="1"/>
      <c r="LA460" s="1"/>
      <c r="LB460" s="1"/>
      <c r="LC460" s="1"/>
      <c r="LD460" s="1"/>
      <c r="LO460" s="1"/>
      <c r="LP460" s="1"/>
      <c r="LZ460" s="1"/>
      <c r="MA460" s="1"/>
    </row>
    <row r="461" spans="4:339" ht="13" x14ac:dyDescent="0.15">
      <c r="D461" s="12"/>
      <c r="E461" s="12"/>
      <c r="I461" s="12"/>
      <c r="J461" s="13"/>
      <c r="BF461" s="1"/>
      <c r="BG461" s="1"/>
      <c r="BH461" s="1"/>
      <c r="BI461" s="1"/>
      <c r="BK461" s="1"/>
      <c r="BL461" s="1"/>
      <c r="BM461" s="1"/>
      <c r="BN461" s="1"/>
      <c r="BO461" s="1"/>
      <c r="BP461" s="1"/>
      <c r="BQ461" s="1"/>
      <c r="BR461" s="1"/>
      <c r="BX461" s="1"/>
      <c r="CD461" s="1"/>
      <c r="CE461" s="1"/>
      <c r="CF461" s="1"/>
      <c r="CG461" s="1"/>
      <c r="CH461" s="1"/>
      <c r="CI461" s="1"/>
      <c r="CM461" s="2"/>
      <c r="CN461" s="1"/>
      <c r="CO461" s="1"/>
      <c r="CP461" s="1"/>
      <c r="CQ461" s="1"/>
      <c r="CR461" s="1"/>
      <c r="CS461" s="1"/>
      <c r="CT461" s="1"/>
      <c r="CU461" s="1"/>
      <c r="CV461" s="1"/>
      <c r="CW461" s="1"/>
      <c r="CX461" s="1"/>
      <c r="CY461" s="1"/>
      <c r="CZ461" s="1"/>
      <c r="DA461" s="1"/>
      <c r="DB461" s="1"/>
      <c r="DC461" s="1"/>
      <c r="DD461" s="1"/>
      <c r="DE461" s="1"/>
      <c r="DF461" s="1"/>
      <c r="DG461" s="1"/>
      <c r="DH461" s="1"/>
      <c r="DI461" s="1"/>
      <c r="DJ461" s="1"/>
      <c r="DK461" s="1"/>
      <c r="DM461" s="1"/>
      <c r="DQ461" s="1"/>
      <c r="DR461" s="1"/>
      <c r="DY461" s="1"/>
      <c r="DZ461" s="1"/>
      <c r="ED461" s="1"/>
      <c r="EF461" s="1"/>
      <c r="EK461" s="1"/>
      <c r="EL461" s="1"/>
      <c r="EM461" s="1"/>
      <c r="EN461" s="1"/>
      <c r="EQ461" s="1"/>
      <c r="ER461" s="1"/>
      <c r="ES461" s="1"/>
      <c r="EV461" s="1"/>
      <c r="EW461" s="1"/>
      <c r="EZ461" s="1"/>
      <c r="FA461" s="1"/>
      <c r="FD461" s="1"/>
      <c r="FG461" s="1"/>
      <c r="FH461" s="1"/>
      <c r="FI461" s="1"/>
      <c r="FJ461" s="1"/>
      <c r="FM461" s="1"/>
      <c r="FN461" s="1"/>
      <c r="FO461" s="1"/>
      <c r="FP461" s="1"/>
      <c r="FQ461" s="1"/>
      <c r="FS461" s="1"/>
      <c r="FT461" s="1"/>
      <c r="FU461" s="1"/>
      <c r="FV461" s="1"/>
      <c r="FW461" s="1"/>
      <c r="FX461" s="1"/>
      <c r="FY461" s="1"/>
      <c r="FZ461" s="1"/>
      <c r="GA461" s="1"/>
      <c r="GD461" s="1"/>
      <c r="GE461" s="1"/>
      <c r="GF461" s="1"/>
      <c r="GG461" s="1"/>
      <c r="GH461" s="1"/>
      <c r="GI461" s="1"/>
      <c r="GJ461" s="1"/>
      <c r="GK461" s="1"/>
      <c r="GL461" s="1"/>
      <c r="GM461" s="1"/>
      <c r="GN461" s="1"/>
      <c r="GO461" s="1"/>
      <c r="GP461" s="1"/>
      <c r="GR461" s="1"/>
      <c r="GY461" s="1"/>
      <c r="HH461" s="1"/>
      <c r="HN461" s="1"/>
      <c r="HR461" s="1"/>
      <c r="HS461" s="1"/>
      <c r="HT461" s="1"/>
      <c r="HY461" s="1"/>
      <c r="IC461" s="1"/>
      <c r="ID461" s="1"/>
      <c r="IE461" s="1"/>
      <c r="IR461" s="1"/>
      <c r="IS461" s="1"/>
      <c r="IW461" s="1"/>
      <c r="IZ461" s="1"/>
      <c r="JA461" s="1"/>
      <c r="JC461" s="1"/>
      <c r="JF461" s="1"/>
      <c r="JG461" s="1"/>
      <c r="JH461" s="1"/>
      <c r="JI461" s="1"/>
      <c r="JJ461" s="1"/>
      <c r="JN461" s="1"/>
      <c r="JP461" s="1"/>
      <c r="JQ461" s="1"/>
      <c r="JT461" s="1"/>
      <c r="KU461" s="1"/>
      <c r="KV461" s="1"/>
      <c r="KY461" s="1"/>
      <c r="KZ461" s="1"/>
      <c r="LA461" s="1"/>
      <c r="LB461" s="1"/>
      <c r="LC461" s="1"/>
      <c r="LD461" s="1"/>
      <c r="LO461" s="1"/>
      <c r="LP461" s="1"/>
      <c r="LZ461" s="1"/>
      <c r="MA461" s="1"/>
    </row>
    <row r="462" spans="4:339" ht="13" x14ac:dyDescent="0.15">
      <c r="D462" s="12"/>
      <c r="E462" s="12"/>
      <c r="I462" s="12"/>
      <c r="J462" s="13"/>
      <c r="BF462" s="1"/>
      <c r="BG462" s="1"/>
      <c r="BH462" s="1"/>
      <c r="BI462" s="1"/>
      <c r="BK462" s="1"/>
      <c r="BL462" s="1"/>
      <c r="BM462" s="1"/>
      <c r="BN462" s="1"/>
      <c r="BO462" s="1"/>
      <c r="BP462" s="1"/>
      <c r="BQ462" s="1"/>
      <c r="BR462" s="1"/>
      <c r="BX462" s="1"/>
      <c r="CD462" s="1"/>
      <c r="CE462" s="1"/>
      <c r="CF462" s="1"/>
      <c r="CG462" s="1"/>
      <c r="CH462" s="1"/>
      <c r="CI462" s="1"/>
      <c r="CM462" s="2"/>
      <c r="CN462" s="1"/>
      <c r="CO462" s="1"/>
      <c r="CP462" s="1"/>
      <c r="CQ462" s="1"/>
      <c r="CR462" s="1"/>
      <c r="CS462" s="1"/>
      <c r="CT462" s="1"/>
      <c r="CU462" s="1"/>
      <c r="CV462" s="1"/>
      <c r="CW462" s="1"/>
      <c r="CX462" s="1"/>
      <c r="CY462" s="1"/>
      <c r="CZ462" s="1"/>
      <c r="DA462" s="1"/>
      <c r="DB462" s="1"/>
      <c r="DC462" s="1"/>
      <c r="DD462" s="1"/>
      <c r="DE462" s="1"/>
      <c r="DF462" s="1"/>
      <c r="DG462" s="1"/>
      <c r="DH462" s="1"/>
      <c r="DI462" s="1"/>
      <c r="DJ462" s="1"/>
      <c r="DK462" s="1"/>
      <c r="DM462" s="1"/>
      <c r="DQ462" s="1"/>
      <c r="DR462" s="1"/>
      <c r="DY462" s="1"/>
      <c r="DZ462" s="1"/>
      <c r="ED462" s="1"/>
      <c r="EF462" s="1"/>
      <c r="EK462" s="1"/>
      <c r="EL462" s="1"/>
      <c r="EM462" s="1"/>
      <c r="EN462" s="1"/>
      <c r="EQ462" s="1"/>
      <c r="ER462" s="1"/>
      <c r="ES462" s="1"/>
      <c r="EV462" s="1"/>
      <c r="EW462" s="1"/>
      <c r="EZ462" s="1"/>
      <c r="FA462" s="1"/>
      <c r="FD462" s="1"/>
      <c r="FG462" s="1"/>
      <c r="FH462" s="1"/>
      <c r="FI462" s="1"/>
      <c r="FJ462" s="1"/>
      <c r="FM462" s="1"/>
      <c r="FN462" s="1"/>
      <c r="FO462" s="1"/>
      <c r="FP462" s="1"/>
      <c r="FQ462" s="1"/>
      <c r="FS462" s="1"/>
      <c r="FT462" s="1"/>
      <c r="FU462" s="1"/>
      <c r="FV462" s="1"/>
      <c r="FW462" s="1"/>
      <c r="FX462" s="1"/>
      <c r="FY462" s="1"/>
      <c r="FZ462" s="1"/>
      <c r="GA462" s="1"/>
      <c r="GD462" s="1"/>
      <c r="GE462" s="1"/>
      <c r="GF462" s="1"/>
      <c r="GG462" s="1"/>
      <c r="GH462" s="1"/>
      <c r="GI462" s="1"/>
      <c r="GJ462" s="1"/>
      <c r="GK462" s="1"/>
      <c r="GL462" s="1"/>
      <c r="GM462" s="1"/>
      <c r="GN462" s="1"/>
      <c r="GO462" s="1"/>
      <c r="GP462" s="1"/>
      <c r="GR462" s="1"/>
      <c r="GY462" s="1"/>
      <c r="HH462" s="1"/>
      <c r="HN462" s="1"/>
      <c r="HR462" s="1"/>
      <c r="HS462" s="1"/>
      <c r="HT462" s="1"/>
      <c r="HY462" s="1"/>
      <c r="IC462" s="1"/>
      <c r="ID462" s="1"/>
      <c r="IE462" s="1"/>
      <c r="IR462" s="1"/>
      <c r="IS462" s="1"/>
      <c r="IW462" s="1"/>
      <c r="IZ462" s="1"/>
      <c r="JA462" s="1"/>
      <c r="JC462" s="1"/>
      <c r="JF462" s="1"/>
      <c r="JG462" s="1"/>
      <c r="JH462" s="1"/>
      <c r="JI462" s="1"/>
      <c r="JJ462" s="1"/>
      <c r="JN462" s="1"/>
      <c r="JP462" s="1"/>
      <c r="JQ462" s="1"/>
      <c r="JT462" s="1"/>
      <c r="KU462" s="1"/>
      <c r="KV462" s="1"/>
      <c r="KY462" s="1"/>
      <c r="KZ462" s="1"/>
      <c r="LA462" s="1"/>
      <c r="LB462" s="1"/>
      <c r="LC462" s="1"/>
      <c r="LD462" s="1"/>
      <c r="LO462" s="1"/>
      <c r="LP462" s="1"/>
      <c r="LZ462" s="1"/>
      <c r="MA462" s="1"/>
    </row>
    <row r="463" spans="4:339" ht="13" x14ac:dyDescent="0.15">
      <c r="D463" s="12"/>
      <c r="E463" s="12"/>
      <c r="I463" s="12"/>
      <c r="J463" s="13"/>
      <c r="BF463" s="1"/>
      <c r="BG463" s="1"/>
      <c r="BH463" s="1"/>
      <c r="BI463" s="1"/>
      <c r="BK463" s="1"/>
      <c r="BL463" s="1"/>
      <c r="BM463" s="1"/>
      <c r="BN463" s="1"/>
      <c r="BO463" s="1"/>
      <c r="BP463" s="1"/>
      <c r="BQ463" s="1"/>
      <c r="BR463" s="1"/>
      <c r="CD463" s="1"/>
      <c r="CE463" s="1"/>
      <c r="CF463" s="1"/>
      <c r="CG463" s="1"/>
      <c r="CH463" s="1"/>
      <c r="CI463" s="1"/>
      <c r="CM463" s="2"/>
      <c r="CN463" s="1"/>
      <c r="CO463" s="1"/>
      <c r="CP463" s="1"/>
      <c r="CQ463" s="1"/>
      <c r="CX463" s="1"/>
      <c r="CY463" s="1"/>
      <c r="CZ463" s="1"/>
      <c r="DA463" s="1"/>
      <c r="DB463" s="1"/>
      <c r="DC463" s="1"/>
      <c r="DD463" s="1"/>
      <c r="DE463" s="1"/>
      <c r="DF463" s="1"/>
      <c r="DG463" s="1"/>
      <c r="DH463" s="1"/>
      <c r="DI463" s="1"/>
      <c r="DJ463" s="1"/>
      <c r="DK463" s="1"/>
      <c r="ED463" s="1"/>
      <c r="EK463" s="1"/>
      <c r="EL463" s="1"/>
      <c r="EM463" s="1"/>
      <c r="EN463" s="1"/>
      <c r="EQ463" s="1"/>
      <c r="ER463" s="1"/>
      <c r="ES463" s="1"/>
      <c r="EV463" s="1"/>
      <c r="EW463" s="1"/>
      <c r="EZ463" s="1"/>
      <c r="FA463" s="1"/>
      <c r="FD463" s="1"/>
      <c r="FG463" s="1"/>
      <c r="FH463" s="1"/>
      <c r="FI463" s="1"/>
      <c r="FJ463" s="1"/>
      <c r="FL463" s="1"/>
      <c r="FM463" s="1"/>
      <c r="FN463" s="1"/>
      <c r="FO463" s="1"/>
      <c r="FP463" s="1"/>
      <c r="FS463" s="1"/>
      <c r="FU463" s="1"/>
      <c r="FV463" s="1"/>
      <c r="FX463" s="1"/>
      <c r="FZ463" s="1"/>
      <c r="GA463" s="1"/>
      <c r="GD463" s="1"/>
      <c r="GE463" s="1"/>
      <c r="GF463" s="1"/>
      <c r="GG463" s="1"/>
      <c r="GH463" s="1"/>
      <c r="GI463" s="1"/>
      <c r="GJ463" s="1"/>
      <c r="GM463" s="1"/>
      <c r="GN463" s="1"/>
      <c r="GP463" s="1"/>
      <c r="GR463" s="1"/>
      <c r="GV463" s="1"/>
      <c r="HF463" s="1"/>
      <c r="HH463" s="1"/>
      <c r="HN463" s="1"/>
      <c r="HY463" s="1"/>
      <c r="IE463" s="1"/>
      <c r="IR463" s="1"/>
      <c r="IS463" s="1"/>
      <c r="IY463" s="1"/>
      <c r="IZ463" s="1"/>
      <c r="JG463" s="1"/>
      <c r="JJ463" s="1"/>
      <c r="JN463" s="1"/>
      <c r="JP463" s="1"/>
      <c r="JQ463" s="1"/>
      <c r="KY463" s="1"/>
      <c r="KZ463" s="1"/>
      <c r="LA463" s="1"/>
      <c r="LB463" s="1"/>
      <c r="LC463" s="1"/>
      <c r="LD463" s="1"/>
      <c r="LO463" s="1"/>
      <c r="LP463" s="1"/>
      <c r="LZ463" s="1"/>
      <c r="MA463" s="1"/>
    </row>
    <row r="464" spans="4:339" ht="13" x14ac:dyDescent="0.15">
      <c r="D464" s="12"/>
      <c r="E464" s="12"/>
      <c r="I464" s="12"/>
      <c r="J464" s="13"/>
      <c r="BF464" s="1"/>
      <c r="BG464" s="1"/>
      <c r="BH464" s="1"/>
      <c r="BI464" s="1"/>
      <c r="BK464" s="1"/>
      <c r="BL464" s="1"/>
      <c r="BM464" s="1"/>
      <c r="BN464" s="1"/>
      <c r="BO464" s="1"/>
      <c r="BP464" s="1"/>
      <c r="BQ464" s="1"/>
      <c r="BR464" s="1"/>
      <c r="CD464" s="1"/>
      <c r="CE464" s="1"/>
      <c r="CF464" s="1"/>
      <c r="CG464" s="1"/>
      <c r="CH464" s="1"/>
      <c r="CI464" s="1"/>
      <c r="CM464" s="2"/>
      <c r="CN464" s="1"/>
      <c r="CO464" s="1"/>
      <c r="CP464" s="1"/>
      <c r="CQ464" s="1"/>
      <c r="CX464" s="1"/>
      <c r="CY464" s="1"/>
      <c r="CZ464" s="1"/>
      <c r="DA464" s="1"/>
      <c r="DB464" s="1"/>
      <c r="DC464" s="1"/>
      <c r="DD464" s="1"/>
      <c r="DE464" s="1"/>
      <c r="DF464" s="1"/>
      <c r="DG464" s="1"/>
      <c r="DH464" s="1"/>
      <c r="DI464" s="1"/>
      <c r="DJ464" s="1"/>
      <c r="DK464" s="1"/>
      <c r="ED464" s="1"/>
      <c r="EK464" s="1"/>
      <c r="EL464" s="1"/>
      <c r="EM464" s="1"/>
      <c r="EN464" s="1"/>
      <c r="EQ464" s="1"/>
      <c r="ER464" s="1"/>
      <c r="ES464" s="1"/>
      <c r="EV464" s="1"/>
      <c r="EW464" s="1"/>
      <c r="EZ464" s="1"/>
      <c r="FA464" s="1"/>
      <c r="FD464" s="1"/>
      <c r="FH464" s="1"/>
      <c r="FJ464" s="1"/>
      <c r="FN464" s="1"/>
      <c r="FO464" s="1"/>
      <c r="FP464" s="1"/>
      <c r="FS464" s="1"/>
      <c r="FT464" s="1"/>
      <c r="FU464" s="1"/>
      <c r="FV464" s="1"/>
      <c r="FW464" s="1"/>
      <c r="FX464" s="1"/>
      <c r="FY464" s="1"/>
      <c r="FZ464" s="1"/>
      <c r="GA464" s="1"/>
      <c r="GD464" s="1"/>
      <c r="GE464" s="1"/>
      <c r="GF464" s="1"/>
      <c r="GG464" s="1"/>
      <c r="GH464" s="1"/>
      <c r="GI464" s="1"/>
      <c r="GJ464" s="1"/>
      <c r="GK464" s="1"/>
      <c r="GL464" s="1"/>
      <c r="GM464" s="1"/>
      <c r="GN464" s="1"/>
      <c r="GO464" s="1"/>
      <c r="GP464" s="1"/>
      <c r="GR464" s="1"/>
      <c r="GV464" s="1"/>
      <c r="GY464" s="1"/>
      <c r="HE464" s="1"/>
      <c r="HF464" s="1"/>
      <c r="HH464" s="1"/>
      <c r="HY464" s="1"/>
      <c r="IC464" s="1"/>
      <c r="IE464" s="1"/>
      <c r="IR464" s="1"/>
      <c r="IS464" s="1"/>
      <c r="IZ464" s="1"/>
      <c r="JC464" s="1"/>
      <c r="JF464" s="1"/>
      <c r="JH464" s="1"/>
      <c r="JJ464" s="1"/>
      <c r="JP464" s="1"/>
      <c r="JQ464" s="1"/>
      <c r="KU464" s="1"/>
      <c r="KW464" s="1"/>
      <c r="LM464" s="1"/>
      <c r="LZ464" s="1"/>
      <c r="MA464" s="1"/>
    </row>
    <row r="465" spans="4:339" ht="13" x14ac:dyDescent="0.15">
      <c r="D465" s="12"/>
      <c r="E465" s="12"/>
      <c r="I465" s="12"/>
      <c r="J465" s="13"/>
      <c r="BF465" s="1"/>
      <c r="BG465" s="1"/>
      <c r="BH465" s="1"/>
      <c r="BI465" s="1"/>
      <c r="BK465" s="1"/>
      <c r="BL465" s="1"/>
      <c r="BM465" s="1"/>
      <c r="BN465" s="1"/>
      <c r="BO465" s="1"/>
      <c r="BP465" s="1"/>
      <c r="BQ465" s="1"/>
      <c r="BR465" s="1"/>
      <c r="BX465" s="1"/>
      <c r="CC465" s="1"/>
      <c r="CD465" s="1"/>
      <c r="CG465" s="1"/>
      <c r="CH465" s="1"/>
      <c r="CI465" s="1"/>
      <c r="CK465" s="1"/>
      <c r="CM465" s="2"/>
      <c r="CN465" s="1"/>
      <c r="CO465" s="1"/>
      <c r="CP465" s="1"/>
      <c r="CQ465" s="1"/>
      <c r="CR465" s="1"/>
      <c r="CS465" s="1"/>
      <c r="CT465" s="1"/>
      <c r="CU465" s="1"/>
      <c r="CV465" s="1"/>
      <c r="CW465" s="1"/>
      <c r="CX465" s="1"/>
      <c r="CY465" s="1"/>
      <c r="CZ465" s="1"/>
      <c r="DA465" s="1"/>
      <c r="DB465" s="1"/>
      <c r="DC465" s="1"/>
      <c r="DD465" s="1"/>
      <c r="DE465" s="1"/>
      <c r="DF465" s="1"/>
      <c r="DG465" s="1"/>
      <c r="DH465" s="1"/>
      <c r="DI465" s="1"/>
      <c r="DJ465" s="1"/>
      <c r="DK465" s="1"/>
      <c r="DM465" s="1"/>
      <c r="DQ465" s="1"/>
      <c r="DR465" s="1"/>
      <c r="DY465" s="1"/>
      <c r="DZ465" s="1"/>
      <c r="ED465" s="1"/>
      <c r="EE465" s="1"/>
      <c r="EF465" s="1"/>
      <c r="EG465" s="1"/>
      <c r="EH465" s="1"/>
      <c r="EK465" s="1"/>
      <c r="EL465" s="1"/>
      <c r="EM465" s="1"/>
      <c r="EN465" s="1"/>
      <c r="EQ465" s="1"/>
      <c r="ER465" s="1"/>
      <c r="ES465" s="1"/>
      <c r="EV465" s="1"/>
      <c r="EW465" s="1"/>
      <c r="EY465" s="1"/>
      <c r="EZ465" s="1"/>
      <c r="FA465" s="1"/>
      <c r="FD465" s="1"/>
      <c r="FF465" s="1"/>
      <c r="FG465" s="1"/>
      <c r="FH465" s="1"/>
      <c r="FI465" s="1"/>
      <c r="FJ465" s="1"/>
      <c r="FK465" s="1"/>
      <c r="FM465" s="1"/>
      <c r="FN465" s="1"/>
      <c r="FO465" s="1"/>
      <c r="FP465" s="1"/>
      <c r="FQ465" s="1"/>
      <c r="FR465" s="1"/>
      <c r="FS465" s="1"/>
      <c r="FT465" s="1"/>
      <c r="FU465" s="1"/>
      <c r="FV465" s="1"/>
      <c r="FW465" s="1"/>
      <c r="FX465" s="1"/>
      <c r="FY465" s="1"/>
      <c r="FZ465" s="1"/>
      <c r="GA465" s="1"/>
      <c r="GB465" s="1"/>
      <c r="GD465" s="1"/>
      <c r="GE465" s="1"/>
      <c r="GF465" s="1"/>
      <c r="GG465" s="1"/>
      <c r="GH465" s="1"/>
      <c r="GI465" s="1"/>
      <c r="GJ465" s="1"/>
      <c r="GK465" s="1"/>
      <c r="GL465" s="1"/>
      <c r="GM465" s="1"/>
      <c r="GN465" s="1"/>
      <c r="GP465" s="1"/>
      <c r="GR465" s="1"/>
      <c r="GY465" s="1"/>
      <c r="HH465" s="1"/>
      <c r="HN465" s="1"/>
      <c r="HT465" s="1"/>
      <c r="HY465" s="1"/>
      <c r="IA465" s="1"/>
      <c r="ID465" s="1"/>
      <c r="IE465" s="1"/>
      <c r="IF465" s="1"/>
      <c r="IG465" s="1"/>
      <c r="IJ465" s="1"/>
      <c r="IR465" s="1"/>
      <c r="IS465" s="1"/>
      <c r="IW465" s="1"/>
      <c r="IX465" s="1"/>
      <c r="IZ465" s="1"/>
      <c r="JB465" s="1"/>
      <c r="JC465" s="1"/>
      <c r="JF465" s="1"/>
      <c r="JG465" s="1"/>
      <c r="JH465" s="1"/>
      <c r="JJ465" s="1"/>
      <c r="JK465" s="1"/>
      <c r="JL465" s="3"/>
      <c r="JM465" s="1"/>
      <c r="JP465" s="1"/>
      <c r="JQ465" s="1"/>
      <c r="JR465" s="1"/>
      <c r="JT465" s="1"/>
      <c r="KV465" s="1"/>
      <c r="KW465" s="1"/>
      <c r="KY465" s="1"/>
      <c r="KZ465" s="1"/>
      <c r="LA465" s="1"/>
      <c r="LB465" s="1"/>
      <c r="LC465" s="1"/>
      <c r="LD465" s="1"/>
      <c r="LO465" s="1"/>
      <c r="LP465" s="1"/>
      <c r="LZ465" s="1"/>
      <c r="MA465" s="1"/>
    </row>
    <row r="466" spans="4:339" ht="13" x14ac:dyDescent="0.15">
      <c r="D466" s="12"/>
      <c r="E466" s="12"/>
      <c r="I466" s="12"/>
      <c r="J466" s="13"/>
      <c r="BF466" s="1"/>
      <c r="BG466" s="1"/>
      <c r="BH466" s="1"/>
      <c r="BI466" s="1"/>
      <c r="BK466" s="1"/>
      <c r="BL466" s="1"/>
      <c r="BM466" s="1"/>
      <c r="BN466" s="1"/>
      <c r="BO466" s="1"/>
      <c r="BP466" s="1"/>
      <c r="BQ466" s="1"/>
      <c r="BR466" s="1"/>
      <c r="BX466" s="1"/>
      <c r="CC466" s="1"/>
      <c r="CD466" s="1"/>
      <c r="CE466" s="1"/>
      <c r="CF466" s="1"/>
      <c r="CG466" s="1"/>
      <c r="CH466" s="1"/>
      <c r="CI466" s="1"/>
      <c r="CM466" s="2"/>
      <c r="CN466" s="1"/>
      <c r="CO466" s="1"/>
      <c r="CP466" s="1"/>
      <c r="CQ466" s="1"/>
      <c r="CX466" s="1"/>
      <c r="CY466" s="1"/>
      <c r="CZ466" s="1"/>
      <c r="DA466" s="1"/>
      <c r="DB466" s="1"/>
      <c r="DC466" s="1"/>
      <c r="DD466" s="1"/>
      <c r="DE466" s="1"/>
      <c r="DF466" s="1"/>
      <c r="DG466" s="1"/>
      <c r="DH466" s="1"/>
      <c r="DI466" s="1"/>
      <c r="DJ466" s="1"/>
      <c r="DK466" s="1"/>
      <c r="DM466" s="1"/>
      <c r="DQ466" s="1"/>
      <c r="DR466" s="1"/>
      <c r="DY466" s="1"/>
      <c r="DZ466" s="1"/>
      <c r="ED466" s="1"/>
      <c r="EK466" s="1"/>
      <c r="EL466" s="1"/>
      <c r="EM466" s="1"/>
      <c r="EN466" s="1"/>
      <c r="EQ466" s="1"/>
      <c r="ER466" s="1"/>
      <c r="ES466" s="1"/>
      <c r="EV466" s="1"/>
      <c r="EW466" s="1"/>
      <c r="EZ466" s="1"/>
      <c r="FA466" s="1"/>
      <c r="FD466" s="1"/>
      <c r="FG466" s="1"/>
      <c r="FH466" s="1"/>
      <c r="FI466" s="1"/>
      <c r="FJ466" s="1"/>
      <c r="FK466" s="1"/>
      <c r="FL466" s="1"/>
      <c r="FM466" s="1"/>
      <c r="FN466" s="1"/>
      <c r="FO466" s="1"/>
      <c r="FP466" s="1"/>
      <c r="FQ466" s="1"/>
      <c r="FR466" s="1"/>
      <c r="FS466" s="1"/>
      <c r="FU466" s="1"/>
      <c r="FV466" s="1"/>
      <c r="FW466" s="1"/>
      <c r="FX466" s="1"/>
      <c r="FY466" s="1"/>
      <c r="FZ466" s="1"/>
      <c r="GA466" s="1"/>
      <c r="GB466" s="1"/>
      <c r="GD466" s="1"/>
      <c r="GE466" s="1"/>
      <c r="GF466" s="1"/>
      <c r="GG466" s="1"/>
      <c r="GH466" s="1"/>
      <c r="GI466" s="1"/>
      <c r="GJ466" s="1"/>
      <c r="GK466" s="1"/>
      <c r="GL466" s="1"/>
      <c r="GM466" s="1"/>
      <c r="GN466" s="1"/>
      <c r="GO466" s="1"/>
      <c r="GP466" s="1"/>
      <c r="GR466" s="1"/>
      <c r="GY466" s="1"/>
      <c r="HF466" s="1"/>
      <c r="HH466" s="1"/>
      <c r="HN466" s="1"/>
      <c r="HT466" s="1"/>
      <c r="HY466" s="1"/>
      <c r="IC466" s="1"/>
      <c r="ID466" s="1"/>
      <c r="IE466" s="1"/>
      <c r="IR466" s="1"/>
      <c r="IS466" s="1"/>
      <c r="IW466" s="1"/>
      <c r="IZ466" s="1"/>
      <c r="JA466" s="1"/>
      <c r="JF466" s="1"/>
      <c r="JG466" s="1"/>
      <c r="JJ466" s="1"/>
      <c r="JP466" s="1"/>
      <c r="JQ466" s="1"/>
      <c r="JT466" s="1"/>
      <c r="KU466" s="1"/>
      <c r="KV466" s="1"/>
      <c r="KW466" s="1"/>
      <c r="KY466" s="1"/>
      <c r="KZ466" s="1"/>
      <c r="LA466" s="1"/>
      <c r="LB466" s="1"/>
      <c r="LC466" s="1"/>
      <c r="LD466" s="1"/>
      <c r="LO466" s="1"/>
      <c r="LP466" s="1"/>
      <c r="LZ466" s="1"/>
      <c r="MA466" s="1"/>
    </row>
    <row r="467" spans="4:339" ht="13" x14ac:dyDescent="0.15">
      <c r="D467" s="12"/>
      <c r="E467" s="12"/>
      <c r="I467" s="12"/>
      <c r="J467" s="13"/>
      <c r="BF467" s="1"/>
      <c r="BG467" s="1"/>
      <c r="BH467" s="1"/>
      <c r="BI467" s="1"/>
      <c r="BJ467" s="1"/>
      <c r="BK467" s="1"/>
      <c r="BL467" s="1"/>
      <c r="BM467" s="1"/>
      <c r="BN467" s="1"/>
      <c r="BO467" s="1"/>
      <c r="BP467" s="1"/>
      <c r="BQ467" s="1"/>
      <c r="BR467" s="1"/>
      <c r="BX467" s="1"/>
      <c r="CD467" s="1"/>
      <c r="CE467" s="1"/>
      <c r="CF467" s="1"/>
      <c r="CG467" s="1"/>
      <c r="CH467" s="1"/>
      <c r="CI467" s="1"/>
      <c r="CM467" s="4"/>
      <c r="CN467" s="1"/>
      <c r="CO467" s="1"/>
      <c r="CP467" s="1"/>
      <c r="CQ467" s="1"/>
      <c r="CR467" s="1"/>
      <c r="CS467" s="1"/>
      <c r="CT467" s="1"/>
      <c r="CU467" s="1"/>
      <c r="CV467" s="1"/>
      <c r="CW467" s="1"/>
      <c r="CX467" s="1"/>
      <c r="CY467" s="1"/>
      <c r="CZ467" s="1"/>
      <c r="DA467" s="1"/>
      <c r="DB467" s="1"/>
      <c r="DC467" s="1"/>
      <c r="DD467" s="1"/>
      <c r="DE467" s="1"/>
      <c r="DF467" s="1"/>
      <c r="DG467" s="1"/>
      <c r="DH467" s="1"/>
      <c r="DI467" s="1"/>
      <c r="DJ467" s="1"/>
      <c r="DK467" s="1"/>
      <c r="DM467" s="1"/>
      <c r="DQ467" s="1"/>
      <c r="DR467" s="1"/>
      <c r="DY467" s="1"/>
      <c r="DZ467" s="1"/>
      <c r="ED467" s="1"/>
      <c r="EF467" s="1"/>
      <c r="EK467" s="1"/>
      <c r="EL467" s="1"/>
      <c r="EM467" s="1"/>
      <c r="EN467" s="1"/>
      <c r="EQ467" s="1"/>
      <c r="ER467" s="1"/>
      <c r="ES467" s="1"/>
      <c r="EV467" s="1"/>
      <c r="EW467" s="1"/>
      <c r="EZ467" s="1"/>
      <c r="FA467" s="1"/>
      <c r="FD467" s="1"/>
      <c r="FG467" s="1"/>
      <c r="FH467" s="1"/>
      <c r="FI467" s="1"/>
      <c r="FJ467" s="1"/>
      <c r="FK467" s="1"/>
      <c r="FL467" s="1"/>
      <c r="FM467" s="1"/>
      <c r="FN467" s="1"/>
      <c r="FO467" s="1"/>
      <c r="FP467" s="1"/>
      <c r="FQ467" s="1"/>
      <c r="FR467" s="1"/>
      <c r="FS467" s="1"/>
      <c r="FT467" s="1"/>
      <c r="FU467" s="1"/>
      <c r="FV467" s="1"/>
      <c r="FW467" s="1"/>
      <c r="FX467" s="1"/>
      <c r="FY467" s="1"/>
      <c r="FZ467" s="1"/>
      <c r="GA467" s="1"/>
      <c r="GD467" s="1"/>
      <c r="GE467" s="1"/>
      <c r="GF467" s="1"/>
      <c r="GG467" s="1"/>
      <c r="GH467" s="1"/>
      <c r="GI467" s="1"/>
      <c r="GJ467" s="1"/>
      <c r="GL467" s="1"/>
      <c r="GM467" s="1"/>
      <c r="GN467" s="1"/>
      <c r="GO467" s="1"/>
      <c r="GP467" s="1"/>
      <c r="GR467" s="1"/>
      <c r="GY467" s="1"/>
      <c r="HF467" s="1"/>
      <c r="HH467" s="1"/>
      <c r="HN467" s="1"/>
      <c r="HQ467" s="1"/>
      <c r="HT467" s="1"/>
      <c r="HY467" s="1"/>
      <c r="IC467" s="1"/>
      <c r="IE467" s="1"/>
      <c r="IG467" s="1"/>
      <c r="IJ467" s="1"/>
      <c r="IR467" s="1"/>
      <c r="IS467" s="1"/>
      <c r="IW467" s="1"/>
      <c r="IX467" s="1"/>
      <c r="IZ467" s="1"/>
      <c r="JB467" s="1"/>
      <c r="JC467" s="1"/>
      <c r="JF467" s="1"/>
      <c r="JG467" s="1"/>
      <c r="JH467" s="1"/>
      <c r="JJ467" s="1"/>
      <c r="JK467" s="1"/>
      <c r="JL467" s="3"/>
      <c r="JM467" s="1"/>
      <c r="JN467" s="1"/>
      <c r="JP467" s="1"/>
      <c r="JQ467" s="1"/>
      <c r="JR467" s="1"/>
      <c r="JT467" s="1"/>
      <c r="KU467" s="1"/>
      <c r="KV467" s="1"/>
      <c r="KY467" s="1"/>
      <c r="KZ467" s="1"/>
      <c r="LA467" s="1"/>
      <c r="LB467" s="1"/>
      <c r="LC467" s="1"/>
      <c r="LD467" s="1"/>
      <c r="LO467" s="1"/>
      <c r="LP467" s="1"/>
      <c r="LZ467" s="1"/>
      <c r="MA467" s="1"/>
    </row>
    <row r="468" spans="4:339" ht="13" x14ac:dyDescent="0.15">
      <c r="D468" s="12"/>
      <c r="E468" s="12"/>
      <c r="I468" s="12"/>
      <c r="J468" s="13"/>
      <c r="BF468" s="1"/>
      <c r="BG468" s="1"/>
      <c r="BH468" s="1"/>
      <c r="BI468" s="1"/>
      <c r="BJ468" s="1"/>
      <c r="BK468" s="1"/>
      <c r="BL468" s="1"/>
      <c r="BM468" s="1"/>
      <c r="BN468" s="1"/>
      <c r="BO468" s="1"/>
      <c r="BP468" s="1"/>
      <c r="BQ468" s="1"/>
      <c r="BR468" s="1"/>
      <c r="BX468" s="1"/>
      <c r="CD468" s="1"/>
      <c r="CE468" s="1"/>
      <c r="CF468" s="1"/>
      <c r="CG468" s="1"/>
      <c r="CH468" s="1"/>
      <c r="CI468" s="1"/>
      <c r="CM468" s="4"/>
      <c r="CN468" s="1"/>
      <c r="CO468" s="1"/>
      <c r="CP468" s="1"/>
      <c r="CQ468" s="1"/>
      <c r="CR468" s="1"/>
      <c r="CS468" s="1"/>
      <c r="CT468" s="1"/>
      <c r="CU468" s="1"/>
      <c r="CV468" s="1"/>
      <c r="CW468" s="1"/>
      <c r="CX468" s="1"/>
      <c r="CY468" s="1"/>
      <c r="CZ468" s="1"/>
      <c r="DA468" s="1"/>
      <c r="DB468" s="1"/>
      <c r="DC468" s="1"/>
      <c r="DD468" s="1"/>
      <c r="DE468" s="1"/>
      <c r="DF468" s="1"/>
      <c r="DG468" s="1"/>
      <c r="DH468" s="1"/>
      <c r="DI468" s="1"/>
      <c r="DJ468" s="1"/>
      <c r="DK468" s="1"/>
      <c r="DM468" s="1"/>
      <c r="DQ468" s="1"/>
      <c r="DR468" s="1"/>
      <c r="DY468" s="1"/>
      <c r="DZ468" s="1"/>
      <c r="ED468" s="1"/>
      <c r="EF468" s="1"/>
      <c r="EK468" s="1"/>
      <c r="EL468" s="1"/>
      <c r="EM468" s="1"/>
      <c r="EN468" s="1"/>
      <c r="EQ468" s="1"/>
      <c r="ER468" s="1"/>
      <c r="ES468" s="1"/>
      <c r="EV468" s="1"/>
      <c r="EW468" s="1"/>
      <c r="EZ468" s="1"/>
      <c r="FA468" s="1"/>
      <c r="FD468" s="1"/>
      <c r="FG468" s="1"/>
      <c r="FH468" s="1"/>
      <c r="FI468" s="1"/>
      <c r="FJ468" s="1"/>
      <c r="FK468" s="1"/>
      <c r="FL468" s="1"/>
      <c r="FM468" s="1"/>
      <c r="FN468" s="1"/>
      <c r="FO468" s="1"/>
      <c r="FP468" s="1"/>
      <c r="FQ468" s="1"/>
      <c r="FR468" s="1"/>
      <c r="FS468" s="1"/>
      <c r="FT468" s="1"/>
      <c r="FU468" s="1"/>
      <c r="FV468" s="1"/>
      <c r="FW468" s="1"/>
      <c r="FX468" s="1"/>
      <c r="FY468" s="1"/>
      <c r="FZ468" s="1"/>
      <c r="GA468" s="1"/>
      <c r="GD468" s="1"/>
      <c r="GE468" s="1"/>
      <c r="GF468" s="1"/>
      <c r="GG468" s="1"/>
      <c r="GH468" s="1"/>
      <c r="GI468" s="1"/>
      <c r="GJ468" s="1"/>
      <c r="GL468" s="1"/>
      <c r="GM468" s="1"/>
      <c r="GN468" s="1"/>
      <c r="GO468" s="1"/>
      <c r="GP468" s="1"/>
      <c r="GR468" s="1"/>
      <c r="GY468" s="1"/>
      <c r="HF468" s="1"/>
      <c r="HH468" s="1"/>
      <c r="HN468" s="1"/>
      <c r="HQ468" s="1"/>
      <c r="HT468" s="1"/>
      <c r="HY468" s="1"/>
      <c r="IC468" s="1"/>
      <c r="IE468" s="1"/>
      <c r="IG468" s="1"/>
      <c r="IJ468" s="1"/>
      <c r="IR468" s="1"/>
      <c r="IS468" s="1"/>
      <c r="IW468" s="1"/>
      <c r="IX468" s="1"/>
      <c r="IZ468" s="1"/>
      <c r="JB468" s="1"/>
      <c r="JC468" s="1"/>
      <c r="JF468" s="1"/>
      <c r="JG468" s="1"/>
      <c r="JH468" s="1"/>
      <c r="JJ468" s="1"/>
      <c r="JK468" s="1"/>
      <c r="JL468" s="3"/>
      <c r="JM468" s="1"/>
      <c r="JN468" s="1"/>
      <c r="JP468" s="1"/>
      <c r="JQ468" s="1"/>
      <c r="JR468" s="1"/>
      <c r="JT468" s="1"/>
      <c r="KU468" s="1"/>
      <c r="KV468" s="1"/>
      <c r="KY468" s="1"/>
      <c r="KZ468" s="1"/>
      <c r="LA468" s="1"/>
      <c r="LB468" s="1"/>
      <c r="LC468" s="1"/>
      <c r="LD468" s="1"/>
      <c r="LO468" s="1"/>
      <c r="LP468" s="1"/>
      <c r="LZ468" s="1"/>
      <c r="MA468" s="1"/>
    </row>
    <row r="469" spans="4:339" ht="13" x14ac:dyDescent="0.15">
      <c r="D469" s="12"/>
      <c r="E469" s="12"/>
      <c r="I469" s="12"/>
      <c r="J469" s="13"/>
      <c r="BF469" s="1"/>
      <c r="BG469" s="1"/>
      <c r="BH469" s="1"/>
      <c r="BI469" s="1"/>
      <c r="BJ469" s="1"/>
      <c r="BK469" s="1"/>
      <c r="BL469" s="1"/>
      <c r="BM469" s="1"/>
      <c r="BN469" s="1"/>
      <c r="BO469" s="1"/>
      <c r="BP469" s="1"/>
      <c r="BQ469" s="1"/>
      <c r="BR469" s="1"/>
      <c r="BX469" s="1"/>
      <c r="CD469" s="1"/>
      <c r="CE469" s="1"/>
      <c r="CF469" s="1"/>
      <c r="CG469" s="1"/>
      <c r="CH469" s="1"/>
      <c r="CI469" s="1"/>
      <c r="CM469" s="2"/>
      <c r="CN469" s="1"/>
      <c r="CO469" s="1"/>
      <c r="CP469" s="1"/>
      <c r="CQ469" s="1"/>
      <c r="CR469" s="1"/>
      <c r="CS469" s="1"/>
      <c r="CT469" s="1"/>
      <c r="CU469" s="1"/>
      <c r="CV469" s="1"/>
      <c r="CW469" s="1"/>
      <c r="CX469" s="1"/>
      <c r="CY469" s="1"/>
      <c r="CZ469" s="1"/>
      <c r="DA469" s="1"/>
      <c r="DB469" s="1"/>
      <c r="DC469" s="1"/>
      <c r="DD469" s="1"/>
      <c r="DE469" s="1"/>
      <c r="DF469" s="1"/>
      <c r="DG469" s="1"/>
      <c r="DH469" s="1"/>
      <c r="DI469" s="1"/>
      <c r="DJ469" s="1"/>
      <c r="DK469" s="1"/>
      <c r="DM469" s="1"/>
      <c r="DQ469" s="1"/>
      <c r="DR469" s="1"/>
      <c r="DY469" s="1"/>
      <c r="DZ469" s="1"/>
      <c r="ED469" s="1"/>
      <c r="EE469" s="1"/>
      <c r="EF469" s="1"/>
      <c r="EG469" s="1"/>
      <c r="EH469" s="1"/>
      <c r="EK469" s="1"/>
      <c r="EL469" s="1"/>
      <c r="EM469" s="1"/>
      <c r="EN469" s="1"/>
      <c r="EQ469" s="1"/>
      <c r="ER469" s="1"/>
      <c r="ES469" s="1"/>
      <c r="EV469" s="1"/>
      <c r="EW469" s="1"/>
      <c r="EY469" s="1"/>
      <c r="EZ469" s="1"/>
      <c r="FA469" s="1"/>
      <c r="FD469" s="1"/>
      <c r="FP469" s="1"/>
      <c r="FV469" s="1"/>
      <c r="FX469" s="1"/>
      <c r="FZ469" s="1"/>
      <c r="GA469" s="1"/>
      <c r="GD469" s="1"/>
      <c r="GE469" s="1"/>
      <c r="GF469" s="1"/>
      <c r="GG469" s="1"/>
      <c r="GH469" s="1"/>
      <c r="GI469" s="1"/>
      <c r="GJ469" s="1"/>
      <c r="GK469" s="1"/>
      <c r="GL469" s="1"/>
      <c r="GM469" s="1"/>
      <c r="GN469" s="1"/>
      <c r="GO469" s="1"/>
      <c r="GP469" s="1"/>
      <c r="GR469" s="1"/>
      <c r="GY469" s="1"/>
      <c r="HF469" s="1"/>
      <c r="HH469" s="1"/>
      <c r="HQ469" s="1"/>
      <c r="HT469" s="1"/>
      <c r="HY469" s="1"/>
      <c r="ID469" s="1"/>
      <c r="IE469" s="1"/>
      <c r="IG469" s="1"/>
      <c r="IJ469" s="1"/>
      <c r="IR469" s="1"/>
      <c r="IS469" s="1"/>
      <c r="IX469" s="1"/>
      <c r="IZ469" s="1"/>
      <c r="JF469" s="1"/>
      <c r="JG469" s="1"/>
      <c r="JJ469" s="1"/>
      <c r="JK469" s="1"/>
      <c r="JL469" s="3"/>
      <c r="JM469" s="1"/>
      <c r="JP469" s="1"/>
      <c r="JQ469" s="1"/>
      <c r="JR469" s="1"/>
      <c r="KU469" s="1"/>
      <c r="KY469" s="1"/>
      <c r="KZ469" s="1"/>
      <c r="LA469" s="1"/>
      <c r="LB469" s="1"/>
      <c r="LC469" s="1"/>
      <c r="LD469" s="1"/>
      <c r="LF469" s="1"/>
      <c r="LN469" s="1"/>
      <c r="LO469" s="1"/>
      <c r="LP469" s="1"/>
      <c r="LZ469" s="1"/>
    </row>
    <row r="470" spans="4:339" ht="13" x14ac:dyDescent="0.15">
      <c r="D470" s="12"/>
      <c r="E470" s="12"/>
      <c r="I470" s="12"/>
      <c r="J470" s="13"/>
      <c r="BF470" s="1"/>
      <c r="BG470" s="1"/>
      <c r="BH470" s="1"/>
      <c r="BI470" s="1"/>
      <c r="BJ470" s="1"/>
      <c r="BK470" s="1"/>
      <c r="BL470" s="1"/>
      <c r="BM470" s="1"/>
      <c r="BN470" s="1"/>
      <c r="BO470" s="1"/>
      <c r="BP470" s="1"/>
      <c r="BQ470" s="1"/>
      <c r="BR470" s="1"/>
      <c r="CD470" s="1"/>
      <c r="CE470" s="1"/>
      <c r="CF470" s="1"/>
      <c r="CG470" s="1"/>
      <c r="CH470" s="1"/>
      <c r="CI470" s="1"/>
      <c r="CM470" s="2"/>
      <c r="CN470" s="1"/>
      <c r="CO470" s="1"/>
      <c r="CP470" s="1"/>
      <c r="CQ470" s="1"/>
      <c r="CX470" s="1"/>
      <c r="CY470" s="1"/>
      <c r="CZ470" s="1"/>
      <c r="DA470" s="1"/>
      <c r="DB470" s="1"/>
      <c r="DC470" s="1"/>
      <c r="DD470" s="1"/>
      <c r="DE470" s="1"/>
      <c r="DF470" s="1"/>
      <c r="DG470" s="1"/>
      <c r="DH470" s="1"/>
      <c r="DI470" s="1"/>
      <c r="DJ470" s="1"/>
      <c r="DK470" s="1"/>
      <c r="DM470" s="1"/>
      <c r="DQ470" s="1"/>
      <c r="DR470" s="1"/>
      <c r="DY470" s="1"/>
      <c r="DZ470" s="1"/>
      <c r="ED470" s="1"/>
      <c r="EF470" s="1"/>
      <c r="EK470" s="1"/>
      <c r="EL470" s="1"/>
      <c r="EM470" s="1"/>
      <c r="EN470" s="1"/>
      <c r="EQ470" s="1"/>
      <c r="ER470" s="1"/>
      <c r="ES470" s="1"/>
      <c r="EV470" s="1"/>
      <c r="EW470" s="1"/>
      <c r="EZ470" s="1"/>
      <c r="FA470" s="1"/>
      <c r="FD470" s="1"/>
      <c r="FG470" s="1"/>
      <c r="FH470" s="1"/>
      <c r="FI470" s="1"/>
      <c r="FJ470" s="1"/>
      <c r="FL470" s="1"/>
      <c r="FN470" s="1"/>
      <c r="FO470" s="1"/>
      <c r="FP470" s="1"/>
      <c r="FQ470" s="1"/>
      <c r="FR470" s="1"/>
      <c r="FS470" s="1"/>
      <c r="FT470" s="1"/>
      <c r="FU470" s="1"/>
      <c r="FV470" s="1"/>
      <c r="FW470" s="1"/>
      <c r="FX470" s="1"/>
      <c r="FZ470" s="1"/>
      <c r="GA470" s="1"/>
      <c r="GD470" s="1"/>
      <c r="GE470" s="1"/>
      <c r="GF470" s="1"/>
      <c r="GG470" s="1"/>
      <c r="GH470" s="1"/>
      <c r="GI470" s="1"/>
      <c r="GJ470" s="1"/>
      <c r="GM470" s="1"/>
      <c r="GN470" s="1"/>
      <c r="GP470" s="1"/>
      <c r="GR470" s="1"/>
      <c r="HF470" s="1"/>
      <c r="HN470" s="1"/>
      <c r="HY470" s="1"/>
      <c r="IC470" s="1"/>
      <c r="ID470" s="1"/>
      <c r="IE470" s="1"/>
      <c r="IR470" s="1"/>
      <c r="IS470" s="1"/>
      <c r="IW470" s="1"/>
      <c r="IZ470" s="1"/>
      <c r="JF470" s="1"/>
      <c r="JG470" s="1"/>
      <c r="JJ470" s="1"/>
      <c r="JN470" s="1"/>
      <c r="JP470" s="1"/>
      <c r="JQ470" s="1"/>
      <c r="JT470" s="1"/>
      <c r="KU470" s="1"/>
      <c r="KV470" s="1"/>
      <c r="KW470" s="1"/>
      <c r="KY470" s="1"/>
      <c r="KZ470" s="1"/>
      <c r="LA470" s="1"/>
      <c r="LB470" s="1"/>
      <c r="LC470" s="1"/>
      <c r="LD470" s="1"/>
      <c r="LO470" s="1"/>
      <c r="LP470" s="1"/>
      <c r="LZ470" s="1"/>
      <c r="MA470" s="1"/>
    </row>
    <row r="471" spans="4:339" ht="13" x14ac:dyDescent="0.15">
      <c r="D471" s="12"/>
      <c r="E471" s="12"/>
      <c r="I471" s="12"/>
      <c r="J471" s="13"/>
      <c r="BF471" s="1"/>
      <c r="BG471" s="1"/>
      <c r="BH471" s="1"/>
      <c r="BI471" s="1"/>
      <c r="BJ471" s="1"/>
      <c r="BK471" s="1"/>
      <c r="BL471" s="1"/>
      <c r="BM471" s="1"/>
      <c r="BN471" s="1"/>
      <c r="BO471" s="1"/>
      <c r="BP471" s="1"/>
      <c r="BQ471" s="1"/>
      <c r="BR471" s="1"/>
      <c r="CD471" s="1"/>
      <c r="CG471" s="1"/>
      <c r="CH471" s="1"/>
      <c r="CI471" s="1"/>
      <c r="CM471" s="2"/>
      <c r="CN471" s="1"/>
      <c r="CO471" s="1"/>
      <c r="CP471" s="1"/>
      <c r="CQ471" s="1"/>
      <c r="CR471" s="1"/>
      <c r="CS471" s="1"/>
      <c r="CT471" s="1"/>
      <c r="CU471" s="1"/>
      <c r="CV471" s="1"/>
      <c r="CW471" s="1"/>
      <c r="CX471" s="1"/>
      <c r="CY471" s="1"/>
      <c r="CZ471" s="1"/>
      <c r="DA471" s="1"/>
      <c r="DB471" s="1"/>
      <c r="DC471" s="1"/>
      <c r="DD471" s="1"/>
      <c r="DE471" s="1"/>
      <c r="DF471" s="1"/>
      <c r="DG471" s="1"/>
      <c r="DH471" s="1"/>
      <c r="DI471" s="1"/>
      <c r="DJ471" s="1"/>
      <c r="DK471" s="1"/>
      <c r="DM471" s="1"/>
      <c r="DR471" s="1"/>
      <c r="ED471" s="1"/>
      <c r="EE471" s="1"/>
      <c r="EF471" s="1"/>
      <c r="EG471" s="1"/>
      <c r="EH471" s="1"/>
      <c r="EK471" s="1"/>
      <c r="EL471" s="1"/>
      <c r="EM471" s="1"/>
      <c r="EN471" s="1"/>
      <c r="EQ471" s="1"/>
      <c r="ER471" s="1"/>
      <c r="ES471" s="1"/>
      <c r="EV471" s="1"/>
      <c r="EW471" s="1"/>
      <c r="EY471" s="1"/>
      <c r="EZ471" s="1"/>
      <c r="FA471" s="1"/>
      <c r="FD471" s="1"/>
      <c r="FG471" s="1"/>
      <c r="FH471" s="1"/>
      <c r="FI471" s="1"/>
      <c r="FJ471" s="1"/>
      <c r="FK471" s="1"/>
      <c r="FL471" s="1"/>
      <c r="FM471" s="1"/>
      <c r="FN471" s="1"/>
      <c r="FO471" s="1"/>
      <c r="FP471" s="1"/>
      <c r="FQ471" s="1"/>
      <c r="FR471" s="1"/>
      <c r="FS471" s="1"/>
      <c r="FT471" s="1"/>
      <c r="FV471" s="1"/>
      <c r="FW471" s="1"/>
      <c r="FX471" s="1"/>
      <c r="FY471" s="1"/>
      <c r="FZ471" s="1"/>
      <c r="GA471" s="1"/>
      <c r="GD471" s="1"/>
      <c r="GE471" s="1"/>
      <c r="GF471" s="1"/>
      <c r="GG471" s="1"/>
      <c r="GH471" s="1"/>
      <c r="GI471" s="1"/>
      <c r="GJ471" s="1"/>
      <c r="GK471" s="1"/>
      <c r="GL471" s="1"/>
      <c r="GM471" s="1"/>
      <c r="GN471" s="1"/>
      <c r="GO471" s="1"/>
      <c r="GP471" s="1"/>
      <c r="GR471" s="1"/>
      <c r="GY471" s="1"/>
      <c r="HF471" s="1"/>
      <c r="HN471" s="1"/>
      <c r="HT471" s="1"/>
      <c r="HY471" s="1"/>
      <c r="ID471" s="1"/>
      <c r="IE471" s="1"/>
      <c r="IG471" s="1"/>
      <c r="IJ471" s="1"/>
      <c r="IR471" s="1"/>
      <c r="IS471" s="1"/>
      <c r="IW471" s="1"/>
      <c r="IY471" s="1"/>
      <c r="IZ471" s="1"/>
      <c r="JA471" s="1"/>
      <c r="JC471" s="1"/>
      <c r="JH471" s="1"/>
      <c r="JJ471" s="1"/>
      <c r="JK471" s="1"/>
      <c r="JL471" s="3"/>
      <c r="JM471" s="1"/>
      <c r="JN471" s="1"/>
      <c r="JP471" s="1"/>
      <c r="JQ471" s="1"/>
      <c r="JR471" s="1"/>
      <c r="JT471" s="1"/>
      <c r="KY471" s="1"/>
      <c r="KZ471" s="1"/>
      <c r="LA471" s="1"/>
      <c r="LB471" s="1"/>
      <c r="LC471" s="1"/>
      <c r="LD471" s="1"/>
      <c r="LN471" s="1"/>
      <c r="LO471" s="1"/>
      <c r="LP471" s="1"/>
      <c r="LZ471" s="1"/>
      <c r="MA471" s="1"/>
    </row>
    <row r="472" spans="4:339" ht="13" x14ac:dyDescent="0.15">
      <c r="D472" s="12"/>
      <c r="E472" s="12"/>
      <c r="I472" s="12"/>
      <c r="J472" s="13"/>
      <c r="BF472" s="1"/>
      <c r="BG472" s="1"/>
      <c r="BH472" s="1"/>
      <c r="BI472" s="1"/>
      <c r="BJ472" s="1"/>
      <c r="BK472" s="1"/>
      <c r="BL472" s="1"/>
      <c r="BM472" s="1"/>
      <c r="BN472" s="1"/>
      <c r="BO472" s="1"/>
      <c r="BP472" s="1"/>
      <c r="BQ472" s="1"/>
      <c r="BR472" s="1"/>
      <c r="CD472" s="1"/>
      <c r="CG472" s="1"/>
      <c r="CH472" s="1"/>
      <c r="CI472" s="1"/>
      <c r="CM472" s="2"/>
      <c r="CN472" s="1"/>
      <c r="CO472" s="1"/>
      <c r="CP472" s="1"/>
      <c r="CQ472" s="1"/>
      <c r="CR472" s="1"/>
      <c r="CS472" s="1"/>
      <c r="CT472" s="1"/>
      <c r="CU472" s="1"/>
      <c r="CV472" s="1"/>
      <c r="CW472" s="1"/>
      <c r="CX472" s="1"/>
      <c r="CY472" s="1"/>
      <c r="CZ472" s="1"/>
      <c r="DA472" s="1"/>
      <c r="DB472" s="1"/>
      <c r="DC472" s="1"/>
      <c r="DD472" s="1"/>
      <c r="DE472" s="1"/>
      <c r="DF472" s="1"/>
      <c r="DG472" s="1"/>
      <c r="DH472" s="1"/>
      <c r="DI472" s="1"/>
      <c r="DJ472" s="1"/>
      <c r="DK472" s="1"/>
      <c r="DM472" s="1"/>
      <c r="DR472" s="1"/>
      <c r="ED472" s="1"/>
      <c r="EE472" s="1"/>
      <c r="EF472" s="1"/>
      <c r="EG472" s="1"/>
      <c r="EH472" s="1"/>
      <c r="EK472" s="1"/>
      <c r="EL472" s="1"/>
      <c r="EM472" s="1"/>
      <c r="EN472" s="1"/>
      <c r="EQ472" s="1"/>
      <c r="ER472" s="1"/>
      <c r="ES472" s="1"/>
      <c r="EV472" s="1"/>
      <c r="EW472" s="1"/>
      <c r="EY472" s="1"/>
      <c r="EZ472" s="1"/>
      <c r="FA472" s="1"/>
      <c r="FD472" s="1"/>
      <c r="FG472" s="1"/>
      <c r="FH472" s="1"/>
      <c r="FI472" s="1"/>
      <c r="FJ472" s="1"/>
      <c r="FK472" s="1"/>
      <c r="FL472" s="1"/>
      <c r="FM472" s="1"/>
      <c r="FN472" s="1"/>
      <c r="FO472" s="1"/>
      <c r="FP472" s="1"/>
      <c r="FQ472" s="1"/>
      <c r="FR472" s="1"/>
      <c r="FS472" s="1"/>
      <c r="FT472" s="1"/>
      <c r="FV472" s="1"/>
      <c r="FW472" s="1"/>
      <c r="FX472" s="1"/>
      <c r="FY472" s="1"/>
      <c r="FZ472" s="1"/>
      <c r="GA472" s="1"/>
      <c r="GD472" s="1"/>
      <c r="GE472" s="1"/>
      <c r="GF472" s="1"/>
      <c r="GG472" s="1"/>
      <c r="GH472" s="1"/>
      <c r="GI472" s="1"/>
      <c r="GJ472" s="1"/>
      <c r="GK472" s="1"/>
      <c r="GL472" s="1"/>
      <c r="GM472" s="1"/>
      <c r="GN472" s="1"/>
      <c r="GO472" s="1"/>
      <c r="GP472" s="1"/>
      <c r="GR472" s="1"/>
      <c r="GY472" s="1"/>
      <c r="HF472" s="1"/>
      <c r="HN472" s="1"/>
      <c r="HT472" s="1"/>
      <c r="HY472" s="1"/>
      <c r="ID472" s="1"/>
      <c r="IE472" s="1"/>
      <c r="IG472" s="1"/>
      <c r="IJ472" s="1"/>
      <c r="IR472" s="1"/>
      <c r="IS472" s="1"/>
      <c r="IW472" s="1"/>
      <c r="IY472" s="1"/>
      <c r="IZ472" s="1"/>
      <c r="JA472" s="1"/>
      <c r="JC472" s="1"/>
      <c r="JH472" s="1"/>
      <c r="JJ472" s="1"/>
      <c r="JK472" s="1"/>
      <c r="JL472" s="3"/>
      <c r="JM472" s="1"/>
      <c r="JN472" s="1"/>
      <c r="JP472" s="1"/>
      <c r="JQ472" s="1"/>
      <c r="JR472" s="1"/>
      <c r="JT472" s="1"/>
      <c r="KY472" s="1"/>
      <c r="KZ472" s="1"/>
      <c r="LA472" s="1"/>
      <c r="LB472" s="1"/>
      <c r="LC472" s="1"/>
      <c r="LD472" s="1"/>
      <c r="LN472" s="1"/>
      <c r="LO472" s="1"/>
      <c r="LP472" s="1"/>
      <c r="LZ472" s="1"/>
      <c r="MA472" s="1"/>
    </row>
    <row r="473" spans="4:339" ht="13" x14ac:dyDescent="0.15">
      <c r="D473" s="12"/>
      <c r="E473" s="12"/>
      <c r="I473" s="12"/>
      <c r="J473" s="13"/>
      <c r="BF473" s="1"/>
      <c r="BG473" s="1"/>
      <c r="BH473" s="1"/>
      <c r="BI473" s="1"/>
      <c r="BJ473" s="1"/>
      <c r="BK473" s="1"/>
      <c r="BL473" s="1"/>
      <c r="BM473" s="1"/>
      <c r="BN473" s="1"/>
      <c r="BO473" s="1"/>
      <c r="BP473" s="1"/>
      <c r="BQ473" s="1"/>
      <c r="BR473" s="1"/>
      <c r="CD473" s="1"/>
      <c r="CG473" s="1"/>
      <c r="CH473" s="1"/>
      <c r="CI473" s="1"/>
      <c r="CM473" s="2"/>
      <c r="CN473" s="1"/>
      <c r="CO473" s="1"/>
      <c r="CP473" s="1"/>
      <c r="CQ473" s="1"/>
      <c r="CR473" s="1"/>
      <c r="CS473" s="1"/>
      <c r="CT473" s="1"/>
      <c r="CU473" s="1"/>
      <c r="CV473" s="1"/>
      <c r="CW473" s="1"/>
      <c r="CX473" s="1"/>
      <c r="CY473" s="1"/>
      <c r="CZ473" s="1"/>
      <c r="DA473" s="1"/>
      <c r="DB473" s="1"/>
      <c r="DC473" s="1"/>
      <c r="DD473" s="1"/>
      <c r="DE473" s="1"/>
      <c r="DF473" s="1"/>
      <c r="DG473" s="1"/>
      <c r="DH473" s="1"/>
      <c r="DI473" s="1"/>
      <c r="DJ473" s="1"/>
      <c r="DK473" s="1"/>
      <c r="DM473" s="1"/>
      <c r="DR473" s="1"/>
      <c r="ED473" s="1"/>
      <c r="EE473" s="1"/>
      <c r="EF473" s="1"/>
      <c r="EG473" s="1"/>
      <c r="EH473" s="1"/>
      <c r="EK473" s="1"/>
      <c r="EL473" s="1"/>
      <c r="EM473" s="1"/>
      <c r="EN473" s="1"/>
      <c r="EQ473" s="1"/>
      <c r="ER473" s="1"/>
      <c r="ES473" s="1"/>
      <c r="EV473" s="1"/>
      <c r="EW473" s="1"/>
      <c r="EY473" s="1"/>
      <c r="EZ473" s="1"/>
      <c r="FA473" s="1"/>
      <c r="FD473" s="1"/>
      <c r="FG473" s="1"/>
      <c r="FH473" s="1"/>
      <c r="FI473" s="1"/>
      <c r="FJ473" s="1"/>
      <c r="FK473" s="1"/>
      <c r="FL473" s="1"/>
      <c r="FM473" s="1"/>
      <c r="FN473" s="1"/>
      <c r="FO473" s="1"/>
      <c r="FP473" s="1"/>
      <c r="FQ473" s="1"/>
      <c r="FR473" s="1"/>
      <c r="FS473" s="1"/>
      <c r="FT473" s="1"/>
      <c r="FV473" s="1"/>
      <c r="FW473" s="1"/>
      <c r="FX473" s="1"/>
      <c r="FY473" s="1"/>
      <c r="FZ473" s="1"/>
      <c r="GA473" s="1"/>
      <c r="GD473" s="1"/>
      <c r="GE473" s="1"/>
      <c r="GF473" s="1"/>
      <c r="GG473" s="1"/>
      <c r="GH473" s="1"/>
      <c r="GI473" s="1"/>
      <c r="GJ473" s="1"/>
      <c r="GK473" s="1"/>
      <c r="GL473" s="1"/>
      <c r="GM473" s="1"/>
      <c r="GN473" s="1"/>
      <c r="GO473" s="1"/>
      <c r="GP473" s="1"/>
      <c r="GR473" s="1"/>
      <c r="GY473" s="1"/>
      <c r="HF473" s="1"/>
      <c r="HN473" s="1"/>
      <c r="HT473" s="1"/>
      <c r="HY473" s="1"/>
      <c r="ID473" s="1"/>
      <c r="IE473" s="1"/>
      <c r="IG473" s="1"/>
      <c r="IJ473" s="1"/>
      <c r="IR473" s="1"/>
      <c r="IS473" s="1"/>
      <c r="IW473" s="1"/>
      <c r="IY473" s="1"/>
      <c r="IZ473" s="1"/>
      <c r="JA473" s="1"/>
      <c r="JC473" s="1"/>
      <c r="JH473" s="1"/>
      <c r="JJ473" s="1"/>
      <c r="JK473" s="1"/>
      <c r="JL473" s="3"/>
      <c r="JM473" s="1"/>
      <c r="JN473" s="1"/>
      <c r="JP473" s="1"/>
      <c r="JQ473" s="1"/>
      <c r="JR473" s="1"/>
      <c r="JT473" s="1"/>
      <c r="KY473" s="1"/>
      <c r="KZ473" s="1"/>
      <c r="LA473" s="1"/>
      <c r="LB473" s="1"/>
      <c r="LC473" s="1"/>
      <c r="LD473" s="1"/>
      <c r="LN473" s="1"/>
      <c r="LO473" s="1"/>
      <c r="LP473" s="1"/>
      <c r="LZ473" s="1"/>
      <c r="MA473" s="1"/>
    </row>
    <row r="474" spans="4:339" ht="13" x14ac:dyDescent="0.15">
      <c r="D474" s="12"/>
      <c r="E474" s="12"/>
      <c r="I474" s="12"/>
      <c r="J474" s="13"/>
      <c r="BF474" s="1"/>
      <c r="BG474" s="1"/>
      <c r="BH474" s="1"/>
      <c r="BI474" s="1"/>
      <c r="BJ474" s="1"/>
      <c r="BK474" s="1"/>
      <c r="BL474" s="1"/>
      <c r="BM474" s="1"/>
      <c r="BN474" s="1"/>
      <c r="BO474" s="1"/>
      <c r="BP474" s="1"/>
      <c r="BQ474" s="1"/>
      <c r="BR474" s="1"/>
      <c r="CD474" s="1"/>
      <c r="CG474" s="1"/>
      <c r="CH474" s="1"/>
      <c r="CI474" s="1"/>
      <c r="CM474" s="2"/>
      <c r="CN474" s="1"/>
      <c r="CO474" s="1"/>
      <c r="CP474" s="1"/>
      <c r="CQ474" s="1"/>
      <c r="CR474" s="1"/>
      <c r="CS474" s="1"/>
      <c r="CT474" s="1"/>
      <c r="CU474" s="1"/>
      <c r="CV474" s="1"/>
      <c r="CW474" s="1"/>
      <c r="CX474" s="1"/>
      <c r="CY474" s="1"/>
      <c r="CZ474" s="1"/>
      <c r="DA474" s="1"/>
      <c r="DB474" s="1"/>
      <c r="DC474" s="1"/>
      <c r="DD474" s="1"/>
      <c r="DE474" s="1"/>
      <c r="DF474" s="1"/>
      <c r="DG474" s="1"/>
      <c r="DH474" s="1"/>
      <c r="DI474" s="1"/>
      <c r="DJ474" s="1"/>
      <c r="DK474" s="1"/>
      <c r="DM474" s="1"/>
      <c r="DR474" s="1"/>
      <c r="ED474" s="1"/>
      <c r="EE474" s="1"/>
      <c r="EF474" s="1"/>
      <c r="EG474" s="1"/>
      <c r="EH474" s="1"/>
      <c r="EK474" s="1"/>
      <c r="EL474" s="1"/>
      <c r="EM474" s="1"/>
      <c r="EN474" s="1"/>
      <c r="EQ474" s="1"/>
      <c r="ER474" s="1"/>
      <c r="ES474" s="1"/>
      <c r="EV474" s="1"/>
      <c r="EW474" s="1"/>
      <c r="EY474" s="1"/>
      <c r="EZ474" s="1"/>
      <c r="FA474" s="1"/>
      <c r="FD474" s="1"/>
      <c r="FG474" s="1"/>
      <c r="FH474" s="1"/>
      <c r="FI474" s="1"/>
      <c r="FJ474" s="1"/>
      <c r="FK474" s="1"/>
      <c r="FL474" s="1"/>
      <c r="FM474" s="1"/>
      <c r="FN474" s="1"/>
      <c r="FO474" s="1"/>
      <c r="FP474" s="1"/>
      <c r="FQ474" s="1"/>
      <c r="FR474" s="1"/>
      <c r="FS474" s="1"/>
      <c r="FT474" s="1"/>
      <c r="FV474" s="1"/>
      <c r="FW474" s="1"/>
      <c r="FX474" s="1"/>
      <c r="FY474" s="1"/>
      <c r="FZ474" s="1"/>
      <c r="GA474" s="1"/>
      <c r="GD474" s="1"/>
      <c r="GE474" s="1"/>
      <c r="GF474" s="1"/>
      <c r="GG474" s="1"/>
      <c r="GH474" s="1"/>
      <c r="GI474" s="1"/>
      <c r="GJ474" s="1"/>
      <c r="GK474" s="1"/>
      <c r="GL474" s="1"/>
      <c r="GM474" s="1"/>
      <c r="GN474" s="1"/>
      <c r="GO474" s="1"/>
      <c r="GP474" s="1"/>
      <c r="GR474" s="1"/>
      <c r="GY474" s="1"/>
      <c r="HF474" s="1"/>
      <c r="HN474" s="1"/>
      <c r="HT474" s="1"/>
      <c r="HY474" s="1"/>
      <c r="ID474" s="1"/>
      <c r="IE474" s="1"/>
      <c r="IG474" s="1"/>
      <c r="IJ474" s="1"/>
      <c r="IR474" s="1"/>
      <c r="IS474" s="1"/>
      <c r="IW474" s="1"/>
      <c r="IY474" s="1"/>
      <c r="IZ474" s="1"/>
      <c r="JA474" s="1"/>
      <c r="JC474" s="1"/>
      <c r="JH474" s="1"/>
      <c r="JJ474" s="1"/>
      <c r="JK474" s="1"/>
      <c r="JL474" s="3"/>
      <c r="JM474" s="1"/>
      <c r="JN474" s="1"/>
      <c r="JP474" s="1"/>
      <c r="JQ474" s="1"/>
      <c r="JR474" s="1"/>
      <c r="JT474" s="1"/>
      <c r="KY474" s="1"/>
      <c r="KZ474" s="1"/>
      <c r="LA474" s="1"/>
      <c r="LB474" s="1"/>
      <c r="LC474" s="1"/>
      <c r="LD474" s="1"/>
      <c r="LN474" s="1"/>
      <c r="LO474" s="1"/>
      <c r="LP474" s="1"/>
      <c r="LZ474" s="1"/>
      <c r="MA474" s="1"/>
    </row>
    <row r="475" spans="4:339" ht="13" x14ac:dyDescent="0.15">
      <c r="D475" s="12"/>
      <c r="E475" s="12"/>
      <c r="I475" s="12"/>
      <c r="J475" s="13"/>
      <c r="BF475" s="1"/>
      <c r="BG475" s="1"/>
      <c r="BH475" s="1"/>
      <c r="BI475" s="1"/>
      <c r="BJ475" s="1"/>
      <c r="BK475" s="1"/>
      <c r="BL475" s="1"/>
      <c r="BM475" s="1"/>
      <c r="BN475" s="1"/>
      <c r="BO475" s="1"/>
      <c r="BP475" s="1"/>
      <c r="BQ475" s="1"/>
      <c r="BR475" s="1"/>
      <c r="CD475" s="1"/>
      <c r="CG475" s="1"/>
      <c r="CH475" s="1"/>
      <c r="CI475" s="1"/>
      <c r="CM475" s="2"/>
      <c r="CN475" s="1"/>
      <c r="CO475" s="1"/>
      <c r="CP475" s="1"/>
      <c r="CQ475" s="1"/>
      <c r="CR475" s="1"/>
      <c r="CS475" s="1"/>
      <c r="CT475" s="1"/>
      <c r="CU475" s="1"/>
      <c r="CV475" s="1"/>
      <c r="CW475" s="1"/>
      <c r="CX475" s="1"/>
      <c r="CY475" s="1"/>
      <c r="CZ475" s="1"/>
      <c r="DA475" s="1"/>
      <c r="DB475" s="1"/>
      <c r="DC475" s="1"/>
      <c r="DD475" s="1"/>
      <c r="DE475" s="1"/>
      <c r="DF475" s="1"/>
      <c r="DG475" s="1"/>
      <c r="DH475" s="1"/>
      <c r="DI475" s="1"/>
      <c r="DJ475" s="1"/>
      <c r="DK475" s="1"/>
      <c r="DM475" s="1"/>
      <c r="DR475" s="1"/>
      <c r="ED475" s="1"/>
      <c r="EE475" s="1"/>
      <c r="EF475" s="1"/>
      <c r="EG475" s="1"/>
      <c r="EH475" s="1"/>
      <c r="EK475" s="1"/>
      <c r="EL475" s="1"/>
      <c r="EM475" s="1"/>
      <c r="EN475" s="1"/>
      <c r="EQ475" s="1"/>
      <c r="ER475" s="1"/>
      <c r="ES475" s="1"/>
      <c r="EV475" s="1"/>
      <c r="EW475" s="1"/>
      <c r="EY475" s="1"/>
      <c r="EZ475" s="1"/>
      <c r="FA475" s="1"/>
      <c r="FD475" s="1"/>
      <c r="FG475" s="1"/>
      <c r="FH475" s="1"/>
      <c r="FI475" s="1"/>
      <c r="FJ475" s="1"/>
      <c r="FK475" s="1"/>
      <c r="FL475" s="1"/>
      <c r="FM475" s="1"/>
      <c r="FN475" s="1"/>
      <c r="FO475" s="1"/>
      <c r="FP475" s="1"/>
      <c r="FQ475" s="1"/>
      <c r="FR475" s="1"/>
      <c r="FS475" s="1"/>
      <c r="FT475" s="1"/>
      <c r="FV475" s="1"/>
      <c r="FW475" s="1"/>
      <c r="FX475" s="1"/>
      <c r="FY475" s="1"/>
      <c r="FZ475" s="1"/>
      <c r="GA475" s="1"/>
      <c r="GD475" s="1"/>
      <c r="GE475" s="1"/>
      <c r="GF475" s="1"/>
      <c r="GG475" s="1"/>
      <c r="GH475" s="1"/>
      <c r="GI475" s="1"/>
      <c r="GJ475" s="1"/>
      <c r="GK475" s="1"/>
      <c r="GL475" s="1"/>
      <c r="GM475" s="1"/>
      <c r="GN475" s="1"/>
      <c r="GO475" s="1"/>
      <c r="GP475" s="1"/>
      <c r="GR475" s="1"/>
      <c r="GY475" s="1"/>
      <c r="HF475" s="1"/>
      <c r="HN475" s="1"/>
      <c r="HT475" s="1"/>
      <c r="HY475" s="1"/>
      <c r="ID475" s="1"/>
      <c r="IE475" s="1"/>
      <c r="IG475" s="1"/>
      <c r="IJ475" s="1"/>
      <c r="IR475" s="1"/>
      <c r="IS475" s="1"/>
      <c r="IW475" s="1"/>
      <c r="IY475" s="1"/>
      <c r="IZ475" s="1"/>
      <c r="JA475" s="1"/>
      <c r="JC475" s="1"/>
      <c r="JH475" s="1"/>
      <c r="JJ475" s="1"/>
      <c r="JK475" s="1"/>
      <c r="JL475" s="3"/>
      <c r="JM475" s="1"/>
      <c r="JN475" s="1"/>
      <c r="JP475" s="1"/>
      <c r="JQ475" s="1"/>
      <c r="JR475" s="1"/>
      <c r="JT475" s="1"/>
      <c r="KY475" s="1"/>
      <c r="KZ475" s="1"/>
      <c r="LA475" s="1"/>
      <c r="LB475" s="1"/>
      <c r="LC475" s="1"/>
      <c r="LD475" s="1"/>
      <c r="LN475" s="1"/>
      <c r="LO475" s="1"/>
      <c r="LP475" s="1"/>
      <c r="LZ475" s="1"/>
      <c r="MA475" s="1"/>
    </row>
    <row r="476" spans="4:339" ht="13" x14ac:dyDescent="0.15">
      <c r="D476" s="12"/>
      <c r="E476" s="12"/>
      <c r="I476" s="12"/>
      <c r="J476" s="13"/>
      <c r="BF476" s="1"/>
      <c r="BG476" s="1"/>
      <c r="BH476" s="1"/>
      <c r="BI476" s="1"/>
      <c r="BJ476" s="1"/>
      <c r="BK476" s="1"/>
      <c r="BL476" s="1"/>
      <c r="BM476" s="1"/>
      <c r="BN476" s="1"/>
      <c r="BO476" s="1"/>
      <c r="BP476" s="1"/>
      <c r="BQ476" s="1"/>
      <c r="BR476" s="1"/>
      <c r="CD476" s="1"/>
      <c r="CG476" s="1"/>
      <c r="CH476" s="1"/>
      <c r="CI476" s="1"/>
      <c r="CM476" s="2"/>
      <c r="CN476" s="1"/>
      <c r="CO476" s="1"/>
      <c r="CP476" s="1"/>
      <c r="CQ476" s="1"/>
      <c r="CR476" s="1"/>
      <c r="CS476" s="1"/>
      <c r="CT476" s="1"/>
      <c r="CU476" s="1"/>
      <c r="CV476" s="1"/>
      <c r="CW476" s="1"/>
      <c r="CX476" s="1"/>
      <c r="CY476" s="1"/>
      <c r="CZ476" s="1"/>
      <c r="DA476" s="1"/>
      <c r="DB476" s="1"/>
      <c r="DC476" s="1"/>
      <c r="DD476" s="1"/>
      <c r="DE476" s="1"/>
      <c r="DF476" s="1"/>
      <c r="DG476" s="1"/>
      <c r="DH476" s="1"/>
      <c r="DI476" s="1"/>
      <c r="DJ476" s="1"/>
      <c r="DK476" s="1"/>
      <c r="DM476" s="1"/>
      <c r="DR476" s="1"/>
      <c r="ED476" s="1"/>
      <c r="EE476" s="1"/>
      <c r="EF476" s="1"/>
      <c r="EG476" s="1"/>
      <c r="EH476" s="1"/>
      <c r="EK476" s="1"/>
      <c r="EL476" s="1"/>
      <c r="EM476" s="1"/>
      <c r="EN476" s="1"/>
      <c r="EQ476" s="1"/>
      <c r="ER476" s="1"/>
      <c r="ES476" s="1"/>
      <c r="EV476" s="1"/>
      <c r="EW476" s="1"/>
      <c r="EY476" s="1"/>
      <c r="EZ476" s="1"/>
      <c r="FA476" s="1"/>
      <c r="FD476" s="1"/>
      <c r="FG476" s="1"/>
      <c r="FH476" s="1"/>
      <c r="FI476" s="1"/>
      <c r="FJ476" s="1"/>
      <c r="FK476" s="1"/>
      <c r="FL476" s="1"/>
      <c r="FM476" s="1"/>
      <c r="FN476" s="1"/>
      <c r="FO476" s="1"/>
      <c r="FP476" s="1"/>
      <c r="FQ476" s="1"/>
      <c r="FR476" s="1"/>
      <c r="FS476" s="1"/>
      <c r="FT476" s="1"/>
      <c r="FV476" s="1"/>
      <c r="FW476" s="1"/>
      <c r="FX476" s="1"/>
      <c r="FY476" s="1"/>
      <c r="FZ476" s="1"/>
      <c r="GA476" s="1"/>
      <c r="GD476" s="1"/>
      <c r="GE476" s="1"/>
      <c r="GF476" s="1"/>
      <c r="GG476" s="1"/>
      <c r="GH476" s="1"/>
      <c r="GI476" s="1"/>
      <c r="GJ476" s="1"/>
      <c r="GK476" s="1"/>
      <c r="GL476" s="1"/>
      <c r="GM476" s="1"/>
      <c r="GN476" s="1"/>
      <c r="GO476" s="1"/>
      <c r="GP476" s="1"/>
      <c r="GR476" s="1"/>
      <c r="GY476" s="1"/>
      <c r="HF476" s="1"/>
      <c r="HN476" s="1"/>
      <c r="HT476" s="1"/>
      <c r="HY476" s="1"/>
      <c r="ID476" s="1"/>
      <c r="IE476" s="1"/>
      <c r="IG476" s="1"/>
      <c r="IJ476" s="1"/>
      <c r="IR476" s="1"/>
      <c r="IS476" s="1"/>
      <c r="IW476" s="1"/>
      <c r="IY476" s="1"/>
      <c r="IZ476" s="1"/>
      <c r="JA476" s="1"/>
      <c r="JC476" s="1"/>
      <c r="JH476" s="1"/>
      <c r="JJ476" s="1"/>
      <c r="JK476" s="1"/>
      <c r="JL476" s="3"/>
      <c r="JM476" s="1"/>
      <c r="JN476" s="1"/>
      <c r="JP476" s="1"/>
      <c r="JQ476" s="1"/>
      <c r="JR476" s="1"/>
      <c r="JT476" s="1"/>
      <c r="KY476" s="1"/>
      <c r="KZ476" s="1"/>
      <c r="LA476" s="1"/>
      <c r="LB476" s="1"/>
      <c r="LC476" s="1"/>
      <c r="LD476" s="1"/>
      <c r="LN476" s="1"/>
      <c r="LO476" s="1"/>
      <c r="LP476" s="1"/>
      <c r="LZ476" s="1"/>
      <c r="MA476" s="1"/>
    </row>
    <row r="477" spans="4:339" ht="13" x14ac:dyDescent="0.15">
      <c r="D477" s="12"/>
      <c r="E477" s="12"/>
      <c r="I477" s="12"/>
      <c r="J477" s="13"/>
      <c r="BF477" s="1"/>
      <c r="BG477" s="1"/>
      <c r="BH477" s="1"/>
      <c r="BI477" s="1"/>
      <c r="BJ477" s="1"/>
      <c r="BK477" s="1"/>
      <c r="BL477" s="1"/>
      <c r="BM477" s="1"/>
      <c r="BN477" s="1"/>
      <c r="BO477" s="1"/>
      <c r="BP477" s="1"/>
      <c r="BQ477" s="1"/>
      <c r="BR477" s="1"/>
      <c r="CD477" s="1"/>
      <c r="CG477" s="1"/>
      <c r="CH477" s="1"/>
      <c r="CI477" s="1"/>
      <c r="CM477" s="2"/>
      <c r="CN477" s="1"/>
      <c r="CO477" s="1"/>
      <c r="CP477" s="1"/>
      <c r="CQ477" s="1"/>
      <c r="CR477" s="1"/>
      <c r="CS477" s="1"/>
      <c r="CT477" s="1"/>
      <c r="CU477" s="1"/>
      <c r="CV477" s="1"/>
      <c r="CW477" s="1"/>
      <c r="CX477" s="1"/>
      <c r="CY477" s="1"/>
      <c r="CZ477" s="1"/>
      <c r="DA477" s="1"/>
      <c r="DB477" s="1"/>
      <c r="DC477" s="1"/>
      <c r="DD477" s="1"/>
      <c r="DE477" s="1"/>
      <c r="DF477" s="1"/>
      <c r="DG477" s="1"/>
      <c r="DH477" s="1"/>
      <c r="DI477" s="1"/>
      <c r="DJ477" s="1"/>
      <c r="DK477" s="1"/>
      <c r="DM477" s="1"/>
      <c r="DR477" s="1"/>
      <c r="ED477" s="1"/>
      <c r="EE477" s="1"/>
      <c r="EF477" s="1"/>
      <c r="EG477" s="1"/>
      <c r="EH477" s="1"/>
      <c r="EK477" s="1"/>
      <c r="EL477" s="1"/>
      <c r="EM477" s="1"/>
      <c r="EN477" s="1"/>
      <c r="EQ477" s="1"/>
      <c r="ER477" s="1"/>
      <c r="ES477" s="1"/>
      <c r="EV477" s="1"/>
      <c r="EW477" s="1"/>
      <c r="EY477" s="1"/>
      <c r="EZ477" s="1"/>
      <c r="FA477" s="1"/>
      <c r="FD477" s="1"/>
      <c r="FG477" s="1"/>
      <c r="FH477" s="1"/>
      <c r="FI477" s="1"/>
      <c r="FJ477" s="1"/>
      <c r="FK477" s="1"/>
      <c r="FL477" s="1"/>
      <c r="FM477" s="1"/>
      <c r="FN477" s="1"/>
      <c r="FO477" s="1"/>
      <c r="FP477" s="1"/>
      <c r="FQ477" s="1"/>
      <c r="FR477" s="1"/>
      <c r="FS477" s="1"/>
      <c r="FT477" s="1"/>
      <c r="FV477" s="1"/>
      <c r="FW477" s="1"/>
      <c r="FX477" s="1"/>
      <c r="FY477" s="1"/>
      <c r="FZ477" s="1"/>
      <c r="GA477" s="1"/>
      <c r="GD477" s="1"/>
      <c r="GE477" s="1"/>
      <c r="GF477" s="1"/>
      <c r="GG477" s="1"/>
      <c r="GH477" s="1"/>
      <c r="GI477" s="1"/>
      <c r="GJ477" s="1"/>
      <c r="GK477" s="1"/>
      <c r="GL477" s="1"/>
      <c r="GM477" s="1"/>
      <c r="GN477" s="1"/>
      <c r="GO477" s="1"/>
      <c r="GP477" s="1"/>
      <c r="GR477" s="1"/>
      <c r="GY477" s="1"/>
      <c r="HF477" s="1"/>
      <c r="HN477" s="1"/>
      <c r="HT477" s="1"/>
      <c r="HY477" s="1"/>
      <c r="ID477" s="1"/>
      <c r="IE477" s="1"/>
      <c r="IG477" s="1"/>
      <c r="IJ477" s="1"/>
      <c r="IR477" s="1"/>
      <c r="IS477" s="1"/>
      <c r="IW477" s="1"/>
      <c r="IY477" s="1"/>
      <c r="IZ477" s="1"/>
      <c r="JA477" s="1"/>
      <c r="JC477" s="1"/>
      <c r="JH477" s="1"/>
      <c r="JJ477" s="1"/>
      <c r="JK477" s="1"/>
      <c r="JL477" s="3"/>
      <c r="JM477" s="1"/>
      <c r="JN477" s="1"/>
      <c r="JP477" s="1"/>
      <c r="JQ477" s="1"/>
      <c r="JR477" s="1"/>
      <c r="JT477" s="1"/>
      <c r="KY477" s="1"/>
      <c r="KZ477" s="1"/>
      <c r="LA477" s="1"/>
      <c r="LB477" s="1"/>
      <c r="LC477" s="1"/>
      <c r="LD477" s="1"/>
      <c r="LN477" s="1"/>
      <c r="LO477" s="1"/>
      <c r="LP477" s="1"/>
      <c r="LZ477" s="1"/>
      <c r="MA477" s="1"/>
    </row>
    <row r="478" spans="4:339" ht="13" x14ac:dyDescent="0.15">
      <c r="D478" s="12"/>
      <c r="E478" s="12"/>
      <c r="I478" s="12"/>
      <c r="J478" s="13"/>
      <c r="BF478" s="1"/>
      <c r="BG478" s="1"/>
      <c r="BH478" s="1"/>
      <c r="BI478" s="1"/>
      <c r="BJ478" s="1"/>
      <c r="BK478" s="1"/>
      <c r="BL478" s="1"/>
      <c r="BM478" s="1"/>
      <c r="BN478" s="1"/>
      <c r="BO478" s="1"/>
      <c r="BP478" s="1"/>
      <c r="BQ478" s="1"/>
      <c r="BR478" s="1"/>
      <c r="CD478" s="1"/>
      <c r="CG478" s="1"/>
      <c r="CH478" s="1"/>
      <c r="CI478" s="1"/>
      <c r="CM478" s="2"/>
      <c r="CN478" s="1"/>
      <c r="CO478" s="1"/>
      <c r="CP478" s="1"/>
      <c r="CQ478" s="1"/>
      <c r="CR478" s="1"/>
      <c r="CS478" s="1"/>
      <c r="CT478" s="1"/>
      <c r="CU478" s="1"/>
      <c r="CV478" s="1"/>
      <c r="CW478" s="1"/>
      <c r="CX478" s="1"/>
      <c r="CY478" s="1"/>
      <c r="CZ478" s="1"/>
      <c r="DA478" s="1"/>
      <c r="DB478" s="1"/>
      <c r="DC478" s="1"/>
      <c r="DD478" s="1"/>
      <c r="DE478" s="1"/>
      <c r="DF478" s="1"/>
      <c r="DG478" s="1"/>
      <c r="DH478" s="1"/>
      <c r="DI478" s="1"/>
      <c r="DJ478" s="1"/>
      <c r="DK478" s="1"/>
      <c r="DM478" s="1"/>
      <c r="DR478" s="1"/>
      <c r="ED478" s="1"/>
      <c r="EE478" s="1"/>
      <c r="EF478" s="1"/>
      <c r="EG478" s="1"/>
      <c r="EH478" s="1"/>
      <c r="EK478" s="1"/>
      <c r="EL478" s="1"/>
      <c r="EM478" s="1"/>
      <c r="EN478" s="1"/>
      <c r="EQ478" s="1"/>
      <c r="ER478" s="1"/>
      <c r="ES478" s="1"/>
      <c r="EV478" s="1"/>
      <c r="EW478" s="1"/>
      <c r="EY478" s="1"/>
      <c r="EZ478" s="1"/>
      <c r="FA478" s="1"/>
      <c r="FD478" s="1"/>
      <c r="FG478" s="1"/>
      <c r="FH478" s="1"/>
      <c r="FI478" s="1"/>
      <c r="FJ478" s="1"/>
      <c r="FK478" s="1"/>
      <c r="FL478" s="1"/>
      <c r="FM478" s="1"/>
      <c r="FN478" s="1"/>
      <c r="FO478" s="1"/>
      <c r="FP478" s="1"/>
      <c r="FQ478" s="1"/>
      <c r="FR478" s="1"/>
      <c r="FS478" s="1"/>
      <c r="FT478" s="1"/>
      <c r="FV478" s="1"/>
      <c r="FW478" s="1"/>
      <c r="FX478" s="1"/>
      <c r="FY478" s="1"/>
      <c r="FZ478" s="1"/>
      <c r="GA478" s="1"/>
      <c r="GD478" s="1"/>
      <c r="GE478" s="1"/>
      <c r="GF478" s="1"/>
      <c r="GG478" s="1"/>
      <c r="GH478" s="1"/>
      <c r="GI478" s="1"/>
      <c r="GJ478" s="1"/>
      <c r="GK478" s="1"/>
      <c r="GL478" s="1"/>
      <c r="GM478" s="1"/>
      <c r="GN478" s="1"/>
      <c r="GO478" s="1"/>
      <c r="GP478" s="1"/>
      <c r="GR478" s="1"/>
      <c r="GY478" s="1"/>
      <c r="HF478" s="1"/>
      <c r="HN478" s="1"/>
      <c r="HT478" s="1"/>
      <c r="HY478" s="1"/>
      <c r="ID478" s="1"/>
      <c r="IE478" s="1"/>
      <c r="IG478" s="1"/>
      <c r="IJ478" s="1"/>
      <c r="IR478" s="1"/>
      <c r="IS478" s="1"/>
      <c r="IW478" s="1"/>
      <c r="IY478" s="1"/>
      <c r="IZ478" s="1"/>
      <c r="JA478" s="1"/>
      <c r="JC478" s="1"/>
      <c r="JH478" s="1"/>
      <c r="JJ478" s="1"/>
      <c r="JK478" s="1"/>
      <c r="JL478" s="3"/>
      <c r="JM478" s="1"/>
      <c r="JN478" s="1"/>
      <c r="JP478" s="1"/>
      <c r="JQ478" s="1"/>
      <c r="JR478" s="1"/>
      <c r="JT478" s="1"/>
      <c r="KY478" s="1"/>
      <c r="KZ478" s="1"/>
      <c r="LA478" s="1"/>
      <c r="LB478" s="1"/>
      <c r="LC478" s="1"/>
      <c r="LD478" s="1"/>
      <c r="LN478" s="1"/>
      <c r="LO478" s="1"/>
      <c r="LP478" s="1"/>
      <c r="LZ478" s="1"/>
      <c r="MA478" s="1"/>
    </row>
    <row r="479" spans="4:339" ht="13" x14ac:dyDescent="0.15">
      <c r="D479" s="12"/>
      <c r="E479" s="12"/>
      <c r="I479" s="12"/>
      <c r="J479" s="13"/>
      <c r="BF479" s="1"/>
      <c r="BG479" s="1"/>
      <c r="BH479" s="1"/>
      <c r="BI479" s="1"/>
      <c r="BJ479" s="1"/>
      <c r="BK479" s="1"/>
      <c r="BL479" s="1"/>
      <c r="BM479" s="1"/>
      <c r="BN479" s="1"/>
      <c r="BO479" s="1"/>
      <c r="BP479" s="1"/>
      <c r="BQ479" s="1"/>
      <c r="BR479" s="1"/>
      <c r="CD479" s="1"/>
      <c r="CG479" s="1"/>
      <c r="CH479" s="1"/>
      <c r="CI479" s="1"/>
      <c r="CM479" s="2"/>
      <c r="CN479" s="1"/>
      <c r="CO479" s="1"/>
      <c r="CP479" s="1"/>
      <c r="CQ479" s="1"/>
      <c r="CR479" s="1"/>
      <c r="CS479" s="1"/>
      <c r="CT479" s="1"/>
      <c r="CU479" s="1"/>
      <c r="CV479" s="1"/>
      <c r="CW479" s="1"/>
      <c r="CX479" s="1"/>
      <c r="CY479" s="1"/>
      <c r="CZ479" s="1"/>
      <c r="DA479" s="1"/>
      <c r="DB479" s="1"/>
      <c r="DC479" s="1"/>
      <c r="DD479" s="1"/>
      <c r="DE479" s="1"/>
      <c r="DF479" s="1"/>
      <c r="DG479" s="1"/>
      <c r="DH479" s="1"/>
      <c r="DI479" s="1"/>
      <c r="DJ479" s="1"/>
      <c r="DK479" s="1"/>
      <c r="DM479" s="1"/>
      <c r="DR479" s="1"/>
      <c r="ED479" s="1"/>
      <c r="EE479" s="1"/>
      <c r="EF479" s="1"/>
      <c r="EG479" s="1"/>
      <c r="EH479" s="1"/>
      <c r="EK479" s="1"/>
      <c r="EL479" s="1"/>
      <c r="EM479" s="1"/>
      <c r="EN479" s="1"/>
      <c r="EQ479" s="1"/>
      <c r="ER479" s="1"/>
      <c r="ES479" s="1"/>
      <c r="EV479" s="1"/>
      <c r="EW479" s="1"/>
      <c r="EY479" s="1"/>
      <c r="EZ479" s="1"/>
      <c r="FA479" s="1"/>
      <c r="FD479" s="1"/>
      <c r="FG479" s="1"/>
      <c r="FH479" s="1"/>
      <c r="FI479" s="1"/>
      <c r="FJ479" s="1"/>
      <c r="FK479" s="1"/>
      <c r="FL479" s="1"/>
      <c r="FM479" s="1"/>
      <c r="FN479" s="1"/>
      <c r="FO479" s="1"/>
      <c r="FP479" s="1"/>
      <c r="FQ479" s="1"/>
      <c r="FR479" s="1"/>
      <c r="FS479" s="1"/>
      <c r="FT479" s="1"/>
      <c r="FV479" s="1"/>
      <c r="FW479" s="1"/>
      <c r="FX479" s="1"/>
      <c r="FY479" s="1"/>
      <c r="FZ479" s="1"/>
      <c r="GA479" s="1"/>
      <c r="GD479" s="1"/>
      <c r="GE479" s="1"/>
      <c r="GF479" s="1"/>
      <c r="GG479" s="1"/>
      <c r="GH479" s="1"/>
      <c r="GI479" s="1"/>
      <c r="GJ479" s="1"/>
      <c r="GK479" s="1"/>
      <c r="GL479" s="1"/>
      <c r="GM479" s="1"/>
      <c r="GN479" s="1"/>
      <c r="GO479" s="1"/>
      <c r="GP479" s="1"/>
      <c r="GR479" s="1"/>
      <c r="GY479" s="1"/>
      <c r="HF479" s="1"/>
      <c r="HN479" s="1"/>
      <c r="HT479" s="1"/>
      <c r="HY479" s="1"/>
      <c r="ID479" s="1"/>
      <c r="IE479" s="1"/>
      <c r="IG479" s="1"/>
      <c r="IJ479" s="1"/>
      <c r="IR479" s="1"/>
      <c r="IS479" s="1"/>
      <c r="IW479" s="1"/>
      <c r="IY479" s="1"/>
      <c r="IZ479" s="1"/>
      <c r="JA479" s="1"/>
      <c r="JC479" s="1"/>
      <c r="JH479" s="1"/>
      <c r="JJ479" s="1"/>
      <c r="JK479" s="1"/>
      <c r="JL479" s="3"/>
      <c r="JM479" s="1"/>
      <c r="JN479" s="1"/>
      <c r="JP479" s="1"/>
      <c r="JQ479" s="1"/>
      <c r="JR479" s="1"/>
      <c r="JT479" s="1"/>
      <c r="KY479" s="1"/>
      <c r="KZ479" s="1"/>
      <c r="LA479" s="1"/>
      <c r="LB479" s="1"/>
      <c r="LC479" s="1"/>
      <c r="LD479" s="1"/>
      <c r="LN479" s="1"/>
      <c r="LO479" s="1"/>
      <c r="LP479" s="1"/>
      <c r="LZ479" s="1"/>
      <c r="MA479" s="1"/>
    </row>
    <row r="480" spans="4:339" ht="13" x14ac:dyDescent="0.15">
      <c r="D480" s="12"/>
      <c r="E480" s="12"/>
      <c r="I480" s="12"/>
      <c r="J480" s="13"/>
      <c r="BF480" s="1"/>
      <c r="BG480" s="1"/>
      <c r="BH480" s="1"/>
      <c r="BI480" s="1"/>
      <c r="BK480" s="1"/>
      <c r="BL480" s="1"/>
      <c r="BM480" s="1"/>
      <c r="BN480" s="1"/>
      <c r="BO480" s="1"/>
      <c r="BQ480" s="1"/>
      <c r="BR480" s="1"/>
      <c r="CD480" s="1"/>
      <c r="CE480" s="1"/>
      <c r="CF480" s="1"/>
      <c r="CG480" s="1"/>
      <c r="CH480" s="1"/>
      <c r="CI480" s="1"/>
      <c r="CM480" s="2"/>
      <c r="CN480" s="1"/>
      <c r="CO480" s="1"/>
      <c r="CQ480" s="1"/>
      <c r="CY480" s="1"/>
      <c r="DC480" s="1"/>
      <c r="DH480" s="1"/>
      <c r="DM480" s="1"/>
      <c r="DR480" s="1"/>
      <c r="ED480" s="1"/>
      <c r="EF480" s="1"/>
      <c r="EL480" s="1"/>
      <c r="EM480" s="1"/>
      <c r="EN480" s="1"/>
      <c r="EQ480" s="1"/>
      <c r="ER480" s="1"/>
      <c r="ES480" s="1"/>
      <c r="EV480" s="1"/>
      <c r="EW480" s="1"/>
      <c r="EZ480" s="1"/>
      <c r="FA480" s="1"/>
      <c r="FD480" s="1"/>
      <c r="FG480" s="1"/>
      <c r="FH480" s="1"/>
      <c r="FI480" s="1"/>
      <c r="FJ480" s="1"/>
      <c r="FK480" s="1"/>
      <c r="FM480" s="1"/>
      <c r="FN480" s="1"/>
      <c r="FO480" s="1"/>
      <c r="FP480" s="1"/>
      <c r="FQ480" s="1"/>
      <c r="FR480" s="1"/>
      <c r="FS480" s="1"/>
      <c r="FT480" s="1"/>
      <c r="FU480" s="1"/>
      <c r="FV480" s="1"/>
      <c r="FW480" s="1"/>
      <c r="FX480" s="1"/>
      <c r="FY480" s="1"/>
      <c r="FZ480" s="1"/>
      <c r="GA480" s="1"/>
      <c r="GB480" s="1"/>
      <c r="GD480" s="1"/>
      <c r="GE480" s="1"/>
      <c r="GF480" s="1"/>
      <c r="GG480" s="1"/>
      <c r="GH480" s="1"/>
      <c r="GI480" s="1"/>
      <c r="GJ480" s="1"/>
      <c r="GK480" s="1"/>
      <c r="GL480" s="1"/>
      <c r="GM480" s="1"/>
      <c r="GN480" s="1"/>
      <c r="GP480" s="1"/>
      <c r="GR480" s="1"/>
      <c r="GY480" s="1"/>
      <c r="HE480" s="1"/>
      <c r="HF480" s="1"/>
      <c r="HH480" s="1"/>
      <c r="HL480" s="1"/>
      <c r="HN480" s="1"/>
      <c r="HY480" s="1"/>
      <c r="IR480" s="1"/>
      <c r="IS480" s="1"/>
      <c r="IZ480" s="1"/>
      <c r="JF480" s="1"/>
      <c r="JG480" s="1"/>
      <c r="JH480" s="1"/>
      <c r="JJ480" s="1"/>
      <c r="JN480" s="1"/>
      <c r="JP480" s="1"/>
      <c r="JQ480" s="1"/>
      <c r="JT480" s="1"/>
      <c r="KU480" s="1"/>
      <c r="KZ480" s="1"/>
      <c r="LA480" s="1"/>
      <c r="LC480" s="1"/>
      <c r="LO480" s="1"/>
      <c r="LZ480" s="1"/>
      <c r="MA480" s="1"/>
    </row>
    <row r="481" spans="4:339" ht="13" x14ac:dyDescent="0.15">
      <c r="D481" s="12"/>
      <c r="E481" s="12"/>
      <c r="I481" s="12"/>
      <c r="J481" s="13"/>
      <c r="BF481" s="1"/>
      <c r="BG481" s="1"/>
      <c r="BH481" s="1"/>
      <c r="BI481" s="1"/>
      <c r="BJ481" s="1"/>
      <c r="BK481" s="1"/>
      <c r="BL481" s="1"/>
      <c r="BM481" s="1"/>
      <c r="BN481" s="1"/>
      <c r="BQ481" s="1"/>
      <c r="BR481" s="1"/>
      <c r="CD481" s="1"/>
      <c r="CE481" s="1"/>
      <c r="CF481" s="1"/>
      <c r="CH481" s="1"/>
      <c r="CI481" s="1"/>
      <c r="CM481" s="2"/>
      <c r="CN481" s="1"/>
      <c r="CO481" s="1"/>
      <c r="CQ481" s="1"/>
      <c r="CY481" s="1"/>
      <c r="DC481" s="1"/>
      <c r="DH481" s="1"/>
      <c r="DM481" s="1"/>
      <c r="DR481" s="1"/>
      <c r="ED481" s="1"/>
      <c r="EF481" s="1"/>
      <c r="EL481" s="1"/>
      <c r="EM481" s="1"/>
      <c r="EN481" s="1"/>
      <c r="EQ481" s="1"/>
      <c r="ER481" s="1"/>
      <c r="ES481" s="1"/>
      <c r="EV481" s="1"/>
      <c r="EW481" s="1"/>
      <c r="EZ481" s="1"/>
      <c r="FA481" s="1"/>
      <c r="FD481" s="1"/>
      <c r="FG481" s="1"/>
      <c r="FH481" s="1"/>
      <c r="FI481" s="1"/>
      <c r="FJ481" s="1"/>
      <c r="FK481" s="1"/>
      <c r="FM481" s="1"/>
      <c r="FN481" s="1"/>
      <c r="FO481" s="1"/>
      <c r="FP481" s="1"/>
      <c r="FQ481" s="1"/>
      <c r="FR481" s="1"/>
      <c r="FS481" s="1"/>
      <c r="FT481" s="1"/>
      <c r="FU481" s="1"/>
      <c r="FV481" s="1"/>
      <c r="FW481" s="1"/>
      <c r="FX481" s="1"/>
      <c r="FY481" s="1"/>
      <c r="FZ481" s="1"/>
      <c r="GA481" s="1"/>
      <c r="GB481" s="1"/>
      <c r="GD481" s="1"/>
      <c r="GE481" s="1"/>
      <c r="GF481" s="1"/>
      <c r="GG481" s="1"/>
      <c r="GH481" s="1"/>
      <c r="GI481" s="1"/>
      <c r="GJ481" s="1"/>
      <c r="GK481" s="1"/>
      <c r="GL481" s="1"/>
      <c r="GM481" s="1"/>
      <c r="GN481" s="1"/>
      <c r="GP481" s="1"/>
      <c r="GR481" s="1"/>
      <c r="GY481" s="1"/>
      <c r="HF481" s="1"/>
      <c r="HH481" s="1"/>
      <c r="HY481" s="1"/>
      <c r="IC481" s="1"/>
      <c r="IR481" s="1"/>
      <c r="IS481" s="1"/>
      <c r="IZ481" s="1"/>
      <c r="JF481" s="1"/>
      <c r="JG481" s="1"/>
      <c r="JJ481" s="1"/>
      <c r="JN481" s="1"/>
      <c r="JP481" s="1"/>
      <c r="JQ481" s="1"/>
      <c r="JT481" s="1"/>
      <c r="KU481" s="1"/>
      <c r="KV481" s="1"/>
      <c r="KZ481" s="1"/>
      <c r="LA481" s="1"/>
      <c r="LC481" s="1"/>
      <c r="LO481" s="1"/>
      <c r="LZ481" s="1"/>
      <c r="MA481" s="1"/>
    </row>
    <row r="482" spans="4:339" ht="13" x14ac:dyDescent="0.15">
      <c r="D482" s="12"/>
      <c r="E482" s="12"/>
      <c r="I482" s="12"/>
      <c r="J482" s="13"/>
      <c r="BF482" s="1"/>
      <c r="BG482" s="1"/>
      <c r="BH482" s="1"/>
      <c r="BI482" s="1"/>
      <c r="BJ482" s="1"/>
      <c r="BK482" s="1"/>
      <c r="BL482" s="1"/>
      <c r="BM482" s="1"/>
      <c r="BN482" s="1"/>
      <c r="BO482" s="1"/>
      <c r="BP482" s="1"/>
      <c r="BQ482" s="1"/>
      <c r="BR482" s="1"/>
      <c r="CD482" s="1"/>
      <c r="CE482" s="1"/>
      <c r="CF482" s="1"/>
      <c r="CH482" s="1"/>
      <c r="CI482" s="1"/>
      <c r="CM482" s="2"/>
      <c r="CN482" s="1"/>
      <c r="CO482" s="1"/>
      <c r="CP482" s="1"/>
      <c r="CQ482" s="1"/>
      <c r="CV482" s="1"/>
      <c r="CW482" s="1"/>
      <c r="CX482" s="1"/>
      <c r="CY482" s="1"/>
      <c r="CZ482" s="1"/>
      <c r="DA482" s="1"/>
      <c r="DB482" s="1"/>
      <c r="DC482" s="1"/>
      <c r="DD482" s="1"/>
      <c r="DE482" s="1"/>
      <c r="DF482" s="1"/>
      <c r="DG482" s="1"/>
      <c r="DH482" s="1"/>
      <c r="DI482" s="1"/>
      <c r="DJ482" s="1"/>
      <c r="DK482" s="1"/>
      <c r="ED482" s="1"/>
      <c r="EK482" s="1"/>
      <c r="EL482" s="1"/>
      <c r="EM482" s="1"/>
      <c r="EN482" s="1"/>
      <c r="EQ482" s="1"/>
      <c r="ER482" s="1"/>
      <c r="ES482" s="1"/>
      <c r="EV482" s="1"/>
      <c r="EW482" s="1"/>
      <c r="EZ482" s="1"/>
      <c r="FA482" s="1"/>
      <c r="FD482" s="1"/>
      <c r="FH482" s="1"/>
      <c r="FJ482" s="1"/>
      <c r="FP482" s="1"/>
      <c r="FS482" s="1"/>
      <c r="FT482" s="1"/>
      <c r="FU482" s="1"/>
      <c r="FV482" s="1"/>
      <c r="FW482" s="1"/>
      <c r="FX482" s="1"/>
      <c r="FY482" s="1"/>
      <c r="FZ482" s="1"/>
      <c r="GA482" s="1"/>
      <c r="GD482" s="1"/>
      <c r="GE482" s="1"/>
      <c r="GF482" s="1"/>
      <c r="GG482" s="1"/>
      <c r="GH482" s="1"/>
      <c r="GI482" s="1"/>
      <c r="GJ482" s="1"/>
      <c r="GK482" s="1"/>
      <c r="GL482" s="1"/>
      <c r="GM482" s="1"/>
      <c r="GN482" s="1"/>
      <c r="GP482" s="1"/>
      <c r="GR482" s="1"/>
      <c r="GY482" s="1"/>
      <c r="HF482" s="1"/>
      <c r="HY482" s="1"/>
      <c r="IC482" s="1"/>
      <c r="IE482" s="1"/>
      <c r="IS482" s="1"/>
      <c r="IW482" s="1"/>
      <c r="IY482" s="1"/>
      <c r="IZ482" s="1"/>
      <c r="JA482" s="1"/>
      <c r="JC482" s="1"/>
      <c r="JG482" s="1"/>
      <c r="JH482" s="1"/>
      <c r="JJ482" s="1"/>
      <c r="JN482" s="1"/>
      <c r="JP482" s="1"/>
      <c r="JQ482" s="1"/>
      <c r="JT482" s="1"/>
      <c r="KU482" s="1"/>
      <c r="KV482" s="1"/>
      <c r="KW482" s="1"/>
      <c r="KY482" s="1"/>
      <c r="KZ482" s="1"/>
      <c r="LA482" s="1"/>
      <c r="LB482" s="1"/>
      <c r="LC482" s="1"/>
      <c r="LD482" s="1"/>
      <c r="LN482" s="1"/>
      <c r="LO482" s="1"/>
      <c r="LP482" s="1"/>
      <c r="LZ482" s="1"/>
      <c r="MA482" s="1"/>
    </row>
    <row r="483" spans="4:339" ht="13" x14ac:dyDescent="0.15">
      <c r="D483" s="12"/>
      <c r="E483" s="12"/>
      <c r="I483" s="12"/>
      <c r="J483" s="13"/>
      <c r="BF483" s="1"/>
      <c r="BG483" s="1"/>
      <c r="BH483" s="1"/>
      <c r="BI483" s="1"/>
      <c r="BJ483" s="1"/>
      <c r="BK483" s="1"/>
      <c r="BL483" s="1"/>
      <c r="BM483" s="1"/>
      <c r="BN483" s="1"/>
      <c r="BO483" s="1"/>
      <c r="BP483" s="1"/>
      <c r="BQ483" s="1"/>
      <c r="BR483" s="1"/>
      <c r="CD483" s="1"/>
      <c r="CE483" s="1"/>
      <c r="CF483" s="1"/>
      <c r="CH483" s="1"/>
      <c r="CI483" s="1"/>
      <c r="CM483" s="2"/>
      <c r="CN483" s="1"/>
      <c r="CO483" s="1"/>
      <c r="CP483" s="1"/>
      <c r="CQ483" s="1"/>
      <c r="CV483" s="1"/>
      <c r="CW483" s="1"/>
      <c r="CX483" s="1"/>
      <c r="CY483" s="1"/>
      <c r="CZ483" s="1"/>
      <c r="DA483" s="1"/>
      <c r="DB483" s="1"/>
      <c r="DC483" s="1"/>
      <c r="DD483" s="1"/>
      <c r="DE483" s="1"/>
      <c r="DF483" s="1"/>
      <c r="DG483" s="1"/>
      <c r="DH483" s="1"/>
      <c r="DI483" s="1"/>
      <c r="DJ483" s="1"/>
      <c r="DK483" s="1"/>
      <c r="ED483" s="1"/>
      <c r="EK483" s="1"/>
      <c r="EL483" s="1"/>
      <c r="EM483" s="1"/>
      <c r="EN483" s="1"/>
      <c r="EQ483" s="1"/>
      <c r="ER483" s="1"/>
      <c r="ES483" s="1"/>
      <c r="EV483" s="1"/>
      <c r="EW483" s="1"/>
      <c r="EZ483" s="1"/>
      <c r="FA483" s="1"/>
      <c r="FD483" s="1"/>
      <c r="FH483" s="1"/>
      <c r="FJ483" s="1"/>
      <c r="FP483" s="1"/>
      <c r="FS483" s="1"/>
      <c r="FT483" s="1"/>
      <c r="FU483" s="1"/>
      <c r="FV483" s="1"/>
      <c r="FW483" s="1"/>
      <c r="FX483" s="1"/>
      <c r="FY483" s="1"/>
      <c r="FZ483" s="1"/>
      <c r="GA483" s="1"/>
      <c r="GD483" s="1"/>
      <c r="GE483" s="1"/>
      <c r="GF483" s="1"/>
      <c r="GG483" s="1"/>
      <c r="GH483" s="1"/>
      <c r="GI483" s="1"/>
      <c r="GJ483" s="1"/>
      <c r="GK483" s="1"/>
      <c r="GL483" s="1"/>
      <c r="GM483" s="1"/>
      <c r="GN483" s="1"/>
      <c r="GP483" s="1"/>
      <c r="GR483" s="1"/>
      <c r="GY483" s="1"/>
      <c r="HF483" s="1"/>
      <c r="HY483" s="1"/>
      <c r="IC483" s="1"/>
      <c r="IE483" s="1"/>
      <c r="IS483" s="1"/>
      <c r="IW483" s="1"/>
      <c r="IY483" s="1"/>
      <c r="IZ483" s="1"/>
      <c r="JA483" s="1"/>
      <c r="JC483" s="1"/>
      <c r="JG483" s="1"/>
      <c r="JH483" s="1"/>
      <c r="JJ483" s="1"/>
      <c r="JN483" s="1"/>
      <c r="JP483" s="1"/>
      <c r="JQ483" s="1"/>
      <c r="JT483" s="1"/>
      <c r="KU483" s="1"/>
      <c r="KV483" s="1"/>
      <c r="KW483" s="1"/>
      <c r="KY483" s="1"/>
      <c r="KZ483" s="1"/>
      <c r="LA483" s="1"/>
      <c r="LB483" s="1"/>
      <c r="LC483" s="1"/>
      <c r="LD483" s="1"/>
      <c r="LN483" s="1"/>
      <c r="LO483" s="1"/>
      <c r="LP483" s="1"/>
      <c r="LZ483" s="1"/>
      <c r="MA483" s="1"/>
    </row>
    <row r="484" spans="4:339" ht="13" x14ac:dyDescent="0.15">
      <c r="D484" s="12"/>
      <c r="E484" s="12"/>
      <c r="I484" s="12"/>
      <c r="J484" s="13"/>
      <c r="BF484" s="1"/>
      <c r="BG484" s="1"/>
      <c r="BH484" s="1"/>
      <c r="BI484" s="1"/>
      <c r="BJ484" s="1"/>
      <c r="BK484" s="1"/>
      <c r="BL484" s="1"/>
      <c r="BM484" s="1"/>
      <c r="BN484" s="1"/>
      <c r="BO484" s="1"/>
      <c r="BP484" s="1"/>
      <c r="BQ484" s="1"/>
      <c r="BR484" s="1"/>
      <c r="CD484" s="1"/>
      <c r="CE484" s="1"/>
      <c r="CF484" s="1"/>
      <c r="CH484" s="1"/>
      <c r="CI484" s="1"/>
      <c r="CM484" s="2"/>
      <c r="CN484" s="1"/>
      <c r="CO484" s="1"/>
      <c r="CP484" s="1"/>
      <c r="CQ484" s="1"/>
      <c r="CV484" s="1"/>
      <c r="CW484" s="1"/>
      <c r="CX484" s="1"/>
      <c r="CY484" s="1"/>
      <c r="CZ484" s="1"/>
      <c r="DA484" s="1"/>
      <c r="DB484" s="1"/>
      <c r="DC484" s="1"/>
      <c r="DD484" s="1"/>
      <c r="DE484" s="1"/>
      <c r="DF484" s="1"/>
      <c r="DG484" s="1"/>
      <c r="DH484" s="1"/>
      <c r="DI484" s="1"/>
      <c r="DJ484" s="1"/>
      <c r="DK484" s="1"/>
      <c r="ED484" s="1"/>
      <c r="EK484" s="1"/>
      <c r="EL484" s="1"/>
      <c r="EM484" s="1"/>
      <c r="EN484" s="1"/>
      <c r="EQ484" s="1"/>
      <c r="ER484" s="1"/>
      <c r="ES484" s="1"/>
      <c r="EV484" s="1"/>
      <c r="EW484" s="1"/>
      <c r="EZ484" s="1"/>
      <c r="FA484" s="1"/>
      <c r="FD484" s="1"/>
      <c r="FH484" s="1"/>
      <c r="FJ484" s="1"/>
      <c r="FP484" s="1"/>
      <c r="FS484" s="1"/>
      <c r="FT484" s="1"/>
      <c r="FU484" s="1"/>
      <c r="FV484" s="1"/>
      <c r="FW484" s="1"/>
      <c r="FX484" s="1"/>
      <c r="FY484" s="1"/>
      <c r="FZ484" s="1"/>
      <c r="GA484" s="1"/>
      <c r="GD484" s="1"/>
      <c r="GE484" s="1"/>
      <c r="GF484" s="1"/>
      <c r="GG484" s="1"/>
      <c r="GH484" s="1"/>
      <c r="GI484" s="1"/>
      <c r="GJ484" s="1"/>
      <c r="GK484" s="1"/>
      <c r="GL484" s="1"/>
      <c r="GM484" s="1"/>
      <c r="GN484" s="1"/>
      <c r="GP484" s="1"/>
      <c r="GR484" s="1"/>
      <c r="GY484" s="1"/>
      <c r="HF484" s="1"/>
      <c r="HY484" s="1"/>
      <c r="IC484" s="1"/>
      <c r="IE484" s="1"/>
      <c r="IS484" s="1"/>
      <c r="IW484" s="1"/>
      <c r="IY484" s="1"/>
      <c r="IZ484" s="1"/>
      <c r="JA484" s="1"/>
      <c r="JC484" s="1"/>
      <c r="JG484" s="1"/>
      <c r="JH484" s="1"/>
      <c r="JJ484" s="1"/>
      <c r="JN484" s="1"/>
      <c r="JP484" s="1"/>
      <c r="JQ484" s="1"/>
      <c r="JT484" s="1"/>
      <c r="KU484" s="1"/>
      <c r="KV484" s="1"/>
      <c r="KW484" s="1"/>
      <c r="KY484" s="1"/>
      <c r="KZ484" s="1"/>
      <c r="LA484" s="1"/>
      <c r="LB484" s="1"/>
      <c r="LC484" s="1"/>
      <c r="LD484" s="1"/>
      <c r="LN484" s="1"/>
      <c r="LO484" s="1"/>
      <c r="LP484" s="1"/>
      <c r="LZ484" s="1"/>
      <c r="MA484" s="1"/>
    </row>
    <row r="485" spans="4:339" ht="13" x14ac:dyDescent="0.15">
      <c r="D485" s="12"/>
      <c r="E485" s="12"/>
      <c r="I485" s="12"/>
      <c r="J485" s="13"/>
      <c r="BF485" s="1"/>
      <c r="BG485" s="1"/>
      <c r="BH485" s="1"/>
      <c r="BI485" s="1"/>
      <c r="BJ485" s="1"/>
      <c r="BK485" s="1"/>
      <c r="BL485" s="1"/>
      <c r="BM485" s="1"/>
      <c r="BN485" s="1"/>
      <c r="BO485" s="1"/>
      <c r="BP485" s="1"/>
      <c r="BQ485" s="1"/>
      <c r="BR485" s="1"/>
      <c r="CD485" s="1"/>
      <c r="CE485" s="1"/>
      <c r="CF485" s="1"/>
      <c r="CH485" s="1"/>
      <c r="CI485" s="1"/>
      <c r="CM485" s="2"/>
      <c r="CN485" s="1"/>
      <c r="CO485" s="1"/>
      <c r="CP485" s="1"/>
      <c r="CQ485" s="1"/>
      <c r="CV485" s="1"/>
      <c r="CW485" s="1"/>
      <c r="CX485" s="1"/>
      <c r="CY485" s="1"/>
      <c r="CZ485" s="1"/>
      <c r="DA485" s="1"/>
      <c r="DB485" s="1"/>
      <c r="DC485" s="1"/>
      <c r="DD485" s="1"/>
      <c r="DE485" s="1"/>
      <c r="DF485" s="1"/>
      <c r="DG485" s="1"/>
      <c r="DH485" s="1"/>
      <c r="DI485" s="1"/>
      <c r="DJ485" s="1"/>
      <c r="DK485" s="1"/>
      <c r="ED485" s="1"/>
      <c r="EK485" s="1"/>
      <c r="EL485" s="1"/>
      <c r="EM485" s="1"/>
      <c r="EN485" s="1"/>
      <c r="EQ485" s="1"/>
      <c r="ER485" s="1"/>
      <c r="ES485" s="1"/>
      <c r="EV485" s="1"/>
      <c r="EW485" s="1"/>
      <c r="EZ485" s="1"/>
      <c r="FA485" s="1"/>
      <c r="FD485" s="1"/>
      <c r="FH485" s="1"/>
      <c r="FJ485" s="1"/>
      <c r="FP485" s="1"/>
      <c r="FS485" s="1"/>
      <c r="FT485" s="1"/>
      <c r="FU485" s="1"/>
      <c r="FV485" s="1"/>
      <c r="FW485" s="1"/>
      <c r="FX485" s="1"/>
      <c r="FY485" s="1"/>
      <c r="FZ485" s="1"/>
      <c r="GA485" s="1"/>
      <c r="GD485" s="1"/>
      <c r="GE485" s="1"/>
      <c r="GF485" s="1"/>
      <c r="GG485" s="1"/>
      <c r="GH485" s="1"/>
      <c r="GI485" s="1"/>
      <c r="GJ485" s="1"/>
      <c r="GK485" s="1"/>
      <c r="GL485" s="1"/>
      <c r="GM485" s="1"/>
      <c r="GN485" s="1"/>
      <c r="GP485" s="1"/>
      <c r="GR485" s="1"/>
      <c r="GY485" s="1"/>
      <c r="HF485" s="1"/>
      <c r="HY485" s="1"/>
      <c r="IC485" s="1"/>
      <c r="IE485" s="1"/>
      <c r="IS485" s="1"/>
      <c r="IW485" s="1"/>
      <c r="IY485" s="1"/>
      <c r="IZ485" s="1"/>
      <c r="JA485" s="1"/>
      <c r="JC485" s="1"/>
      <c r="JG485" s="1"/>
      <c r="JH485" s="1"/>
      <c r="JJ485" s="1"/>
      <c r="JN485" s="1"/>
      <c r="JP485" s="1"/>
      <c r="JQ485" s="1"/>
      <c r="JT485" s="1"/>
      <c r="KU485" s="1"/>
      <c r="KV485" s="1"/>
      <c r="KW485" s="1"/>
      <c r="KY485" s="1"/>
      <c r="KZ485" s="1"/>
      <c r="LA485" s="1"/>
      <c r="LB485" s="1"/>
      <c r="LC485" s="1"/>
      <c r="LD485" s="1"/>
      <c r="LN485" s="1"/>
      <c r="LO485" s="1"/>
      <c r="LP485" s="1"/>
      <c r="LZ485" s="1"/>
      <c r="MA485" s="1"/>
    </row>
    <row r="486" spans="4:339" ht="13" x14ac:dyDescent="0.15">
      <c r="D486" s="12"/>
      <c r="E486" s="12"/>
      <c r="I486" s="12"/>
      <c r="J486" s="13"/>
      <c r="BF486" s="1"/>
      <c r="BG486" s="1"/>
      <c r="BH486" s="1"/>
      <c r="BI486" s="1"/>
      <c r="BJ486" s="1"/>
      <c r="BK486" s="1"/>
      <c r="BL486" s="1"/>
      <c r="BM486" s="1"/>
      <c r="BN486" s="1"/>
      <c r="BO486" s="1"/>
      <c r="BP486" s="1"/>
      <c r="BQ486" s="1"/>
      <c r="BR486" s="1"/>
      <c r="CD486" s="1"/>
      <c r="CE486" s="1"/>
      <c r="CF486" s="1"/>
      <c r="CH486" s="1"/>
      <c r="CI486" s="1"/>
      <c r="CM486" s="2"/>
      <c r="CN486" s="1"/>
      <c r="CO486" s="1"/>
      <c r="CP486" s="1"/>
      <c r="CQ486" s="1"/>
      <c r="CV486" s="1"/>
      <c r="CW486" s="1"/>
      <c r="CX486" s="1"/>
      <c r="CY486" s="1"/>
      <c r="CZ486" s="1"/>
      <c r="DA486" s="1"/>
      <c r="DB486" s="1"/>
      <c r="DC486" s="1"/>
      <c r="DD486" s="1"/>
      <c r="DE486" s="1"/>
      <c r="DF486" s="1"/>
      <c r="DG486" s="1"/>
      <c r="DH486" s="1"/>
      <c r="DI486" s="1"/>
      <c r="DJ486" s="1"/>
      <c r="DK486" s="1"/>
      <c r="ED486" s="1"/>
      <c r="EK486" s="1"/>
      <c r="EL486" s="1"/>
      <c r="EM486" s="1"/>
      <c r="EN486" s="1"/>
      <c r="EQ486" s="1"/>
      <c r="ER486" s="1"/>
      <c r="ES486" s="1"/>
      <c r="EV486" s="1"/>
      <c r="EW486" s="1"/>
      <c r="EZ486" s="1"/>
      <c r="FA486" s="1"/>
      <c r="FD486" s="1"/>
      <c r="FH486" s="1"/>
      <c r="FJ486" s="1"/>
      <c r="FP486" s="1"/>
      <c r="FS486" s="1"/>
      <c r="FT486" s="1"/>
      <c r="FU486" s="1"/>
      <c r="FV486" s="1"/>
      <c r="FW486" s="1"/>
      <c r="FX486" s="1"/>
      <c r="FY486" s="1"/>
      <c r="FZ486" s="1"/>
      <c r="GA486" s="1"/>
      <c r="GD486" s="1"/>
      <c r="GE486" s="1"/>
      <c r="GF486" s="1"/>
      <c r="GG486" s="1"/>
      <c r="GH486" s="1"/>
      <c r="GI486" s="1"/>
      <c r="GJ486" s="1"/>
      <c r="GK486" s="1"/>
      <c r="GL486" s="1"/>
      <c r="GM486" s="1"/>
      <c r="GN486" s="1"/>
      <c r="GP486" s="1"/>
      <c r="GR486" s="1"/>
      <c r="GY486" s="1"/>
      <c r="HF486" s="1"/>
      <c r="HY486" s="1"/>
      <c r="IC486" s="1"/>
      <c r="IE486" s="1"/>
      <c r="IS486" s="1"/>
      <c r="IW486" s="1"/>
      <c r="IY486" s="1"/>
      <c r="IZ486" s="1"/>
      <c r="JA486" s="1"/>
      <c r="JC486" s="1"/>
      <c r="JG486" s="1"/>
      <c r="JH486" s="1"/>
      <c r="JJ486" s="1"/>
      <c r="JN486" s="1"/>
      <c r="JP486" s="1"/>
      <c r="JQ486" s="1"/>
      <c r="JT486" s="1"/>
      <c r="KU486" s="1"/>
      <c r="KV486" s="1"/>
      <c r="KW486" s="1"/>
      <c r="KY486" s="1"/>
      <c r="KZ486" s="1"/>
      <c r="LA486" s="1"/>
      <c r="LB486" s="1"/>
      <c r="LC486" s="1"/>
      <c r="LD486" s="1"/>
      <c r="LN486" s="1"/>
      <c r="LO486" s="1"/>
      <c r="LP486" s="1"/>
      <c r="LZ486" s="1"/>
      <c r="MA486" s="1"/>
    </row>
    <row r="487" spans="4:339" ht="13" x14ac:dyDescent="0.15">
      <c r="D487" s="12"/>
      <c r="E487" s="12"/>
      <c r="I487" s="12"/>
      <c r="J487" s="13"/>
      <c r="BF487" s="1"/>
      <c r="BG487" s="1"/>
      <c r="BH487" s="1"/>
      <c r="BI487" s="1"/>
      <c r="BJ487" s="1"/>
      <c r="BK487" s="1"/>
      <c r="BL487" s="1"/>
      <c r="BM487" s="1"/>
      <c r="BN487" s="1"/>
      <c r="BO487" s="1"/>
      <c r="BP487" s="1"/>
      <c r="BQ487" s="1"/>
      <c r="BR487" s="1"/>
      <c r="CD487" s="1"/>
      <c r="CE487" s="1"/>
      <c r="CF487" s="1"/>
      <c r="CG487" s="1"/>
      <c r="CH487" s="1"/>
      <c r="CI487" s="1"/>
      <c r="CM487" s="4"/>
      <c r="CN487" s="1"/>
      <c r="CO487" s="1"/>
      <c r="ED487" s="1"/>
      <c r="EL487" s="1"/>
      <c r="EM487" s="1"/>
      <c r="EN487" s="1"/>
      <c r="EQ487" s="1"/>
      <c r="ER487" s="1"/>
      <c r="ES487" s="1"/>
      <c r="EV487" s="1"/>
      <c r="EW487" s="1"/>
      <c r="EZ487" s="1"/>
      <c r="FA487" s="1"/>
      <c r="FD487" s="1"/>
      <c r="FS487" s="1"/>
      <c r="FU487" s="1"/>
      <c r="GD487" s="1"/>
      <c r="GE487" s="1"/>
      <c r="GF487" s="1"/>
      <c r="GG487" s="1"/>
      <c r="GH487" s="1"/>
      <c r="GI487" s="1"/>
      <c r="GJ487" s="1"/>
      <c r="GK487" s="1"/>
      <c r="GL487" s="1"/>
      <c r="GM487" s="1"/>
      <c r="GN487" s="1"/>
      <c r="GY487" s="1"/>
      <c r="HF487" s="1"/>
      <c r="HY487" s="1"/>
      <c r="IR487" s="1"/>
      <c r="IS487" s="1"/>
      <c r="IZ487" s="1"/>
      <c r="JJ487" s="1"/>
      <c r="JN487" s="1"/>
      <c r="JP487" s="1"/>
      <c r="JQ487" s="1"/>
      <c r="LZ487" s="1"/>
    </row>
    <row r="488" spans="4:339" ht="13" x14ac:dyDescent="0.15">
      <c r="D488" s="12"/>
      <c r="E488" s="12"/>
      <c r="I488" s="12"/>
      <c r="J488" s="13"/>
      <c r="BF488" s="1"/>
      <c r="BG488" s="1"/>
      <c r="BH488" s="1"/>
      <c r="BI488" s="1"/>
      <c r="BJ488" s="1"/>
      <c r="BK488" s="1"/>
      <c r="BL488" s="1"/>
      <c r="BM488" s="1"/>
      <c r="BN488" s="1"/>
      <c r="BO488" s="1"/>
      <c r="BP488" s="1"/>
      <c r="BQ488" s="1"/>
      <c r="BR488" s="1"/>
      <c r="BX488" s="1"/>
      <c r="CD488" s="1"/>
      <c r="CE488" s="1"/>
      <c r="CF488" s="1"/>
      <c r="CG488" s="1"/>
      <c r="CH488" s="1"/>
      <c r="CI488" s="1"/>
      <c r="CK488" s="1"/>
      <c r="CM488" s="2"/>
      <c r="CN488" s="1"/>
      <c r="CO488" s="1"/>
      <c r="CP488" s="1"/>
      <c r="CQ488" s="1"/>
      <c r="CR488" s="1"/>
      <c r="CT488" s="1"/>
      <c r="CU488" s="1"/>
      <c r="CV488" s="1"/>
      <c r="CW488" s="1"/>
      <c r="CX488" s="1"/>
      <c r="CY488" s="1"/>
      <c r="CZ488" s="1"/>
      <c r="DA488" s="1"/>
      <c r="DB488" s="1"/>
      <c r="DC488" s="1"/>
      <c r="DD488" s="1"/>
      <c r="DE488" s="1"/>
      <c r="DF488" s="1"/>
      <c r="DG488" s="1"/>
      <c r="DH488" s="1"/>
      <c r="DI488" s="1"/>
      <c r="DJ488" s="1"/>
      <c r="DK488" s="1"/>
      <c r="DM488" s="1"/>
      <c r="DQ488" s="1"/>
      <c r="DR488" s="1"/>
      <c r="DY488" s="1"/>
      <c r="DZ488" s="1"/>
      <c r="ED488" s="1"/>
      <c r="EF488" s="1"/>
      <c r="EK488" s="1"/>
      <c r="EL488" s="1"/>
      <c r="EM488" s="1"/>
      <c r="EN488" s="1"/>
      <c r="EQ488" s="1"/>
      <c r="ER488" s="1"/>
      <c r="ES488" s="1"/>
      <c r="EV488" s="1"/>
      <c r="EW488" s="1"/>
      <c r="EZ488" s="1"/>
      <c r="FA488" s="1"/>
      <c r="FD488" s="1"/>
      <c r="FS488" s="1"/>
      <c r="FU488" s="1"/>
      <c r="GD488" s="1"/>
      <c r="GE488" s="1"/>
      <c r="GF488" s="1"/>
      <c r="GG488" s="1"/>
      <c r="GH488" s="1"/>
      <c r="GI488" s="1"/>
      <c r="GJ488" s="1"/>
      <c r="GK488" s="1"/>
      <c r="GL488" s="1"/>
      <c r="GM488" s="1"/>
      <c r="GN488" s="1"/>
      <c r="GO488" s="1"/>
      <c r="GP488" s="1"/>
      <c r="GY488" s="1"/>
      <c r="HF488" s="1"/>
      <c r="HH488" s="1"/>
      <c r="HT488" s="1"/>
      <c r="HY488" s="1"/>
      <c r="IA488" s="1"/>
      <c r="IE488" s="1"/>
      <c r="IG488" s="1"/>
      <c r="IJ488" s="1"/>
      <c r="IS488" s="1"/>
      <c r="IZ488" s="1"/>
      <c r="JC488" s="1"/>
      <c r="JF488" s="1"/>
      <c r="JG488" s="1"/>
      <c r="JH488" s="1"/>
      <c r="JI488" s="1"/>
      <c r="JJ488" s="1"/>
      <c r="JK488" s="1"/>
      <c r="JL488" s="3"/>
      <c r="JM488" s="1"/>
      <c r="JP488" s="1"/>
      <c r="JQ488" s="1"/>
      <c r="JR488" s="1"/>
      <c r="JT488" s="1"/>
      <c r="KW488" s="1"/>
      <c r="KY488" s="1"/>
      <c r="KZ488" s="1"/>
      <c r="LA488" s="1"/>
      <c r="LB488" s="1"/>
      <c r="LC488" s="1"/>
      <c r="LD488" s="1"/>
      <c r="LJ488" s="1"/>
      <c r="LO488" s="1"/>
      <c r="LP488" s="1"/>
      <c r="LZ488" s="1"/>
      <c r="MA488" s="1"/>
    </row>
    <row r="489" spans="4:339" ht="13" x14ac:dyDescent="0.15">
      <c r="D489" s="12"/>
      <c r="E489" s="12"/>
      <c r="I489" s="12"/>
      <c r="J489" s="13"/>
      <c r="BF489" s="1"/>
      <c r="BG489" s="1"/>
      <c r="BH489" s="1"/>
      <c r="BI489" s="1"/>
      <c r="BJ489" s="1"/>
      <c r="BK489" s="1"/>
      <c r="BL489" s="1"/>
      <c r="BM489" s="1"/>
      <c r="BN489" s="1"/>
      <c r="BO489" s="1"/>
      <c r="BP489" s="1"/>
      <c r="BQ489" s="1"/>
      <c r="BR489" s="1"/>
      <c r="BX489" s="1"/>
      <c r="CD489" s="1"/>
      <c r="CE489" s="1"/>
      <c r="CF489" s="1"/>
      <c r="CG489" s="1"/>
      <c r="CH489" s="1"/>
      <c r="CI489" s="1"/>
      <c r="CK489" s="1"/>
      <c r="CM489" s="2"/>
      <c r="CN489" s="1"/>
      <c r="CO489" s="1"/>
      <c r="CP489" s="1"/>
      <c r="CQ489" s="1"/>
      <c r="CR489" s="1"/>
      <c r="CT489" s="1"/>
      <c r="CU489" s="1"/>
      <c r="CV489" s="1"/>
      <c r="CW489" s="1"/>
      <c r="CX489" s="1"/>
      <c r="CY489" s="1"/>
      <c r="CZ489" s="1"/>
      <c r="DA489" s="1"/>
      <c r="DB489" s="1"/>
      <c r="DC489" s="1"/>
      <c r="DD489" s="1"/>
      <c r="DE489" s="1"/>
      <c r="DF489" s="1"/>
      <c r="DG489" s="1"/>
      <c r="DH489" s="1"/>
      <c r="DI489" s="1"/>
      <c r="DJ489" s="1"/>
      <c r="DK489" s="1"/>
      <c r="DM489" s="1"/>
      <c r="DQ489" s="1"/>
      <c r="DR489" s="1"/>
      <c r="DY489" s="1"/>
      <c r="DZ489" s="1"/>
      <c r="ED489" s="1"/>
      <c r="EF489" s="1"/>
      <c r="EK489" s="1"/>
      <c r="EL489" s="1"/>
      <c r="EM489" s="1"/>
      <c r="EN489" s="1"/>
      <c r="EQ489" s="1"/>
      <c r="ER489" s="1"/>
      <c r="ES489" s="1"/>
      <c r="EV489" s="1"/>
      <c r="EW489" s="1"/>
      <c r="EZ489" s="1"/>
      <c r="FA489" s="1"/>
      <c r="FD489" s="1"/>
      <c r="FS489" s="1"/>
      <c r="FU489" s="1"/>
      <c r="GD489" s="1"/>
      <c r="GE489" s="1"/>
      <c r="GF489" s="1"/>
      <c r="GG489" s="1"/>
      <c r="GH489" s="1"/>
      <c r="GI489" s="1"/>
      <c r="GJ489" s="1"/>
      <c r="GK489" s="1"/>
      <c r="GL489" s="1"/>
      <c r="GM489" s="1"/>
      <c r="GN489" s="1"/>
      <c r="GO489" s="1"/>
      <c r="GP489" s="1"/>
      <c r="GY489" s="1"/>
      <c r="HF489" s="1"/>
      <c r="HH489" s="1"/>
      <c r="HT489" s="1"/>
      <c r="HY489" s="1"/>
      <c r="IA489" s="1"/>
      <c r="IE489" s="1"/>
      <c r="IG489" s="1"/>
      <c r="IJ489" s="1"/>
      <c r="IS489" s="1"/>
      <c r="IZ489" s="1"/>
      <c r="JC489" s="1"/>
      <c r="JF489" s="1"/>
      <c r="JG489" s="1"/>
      <c r="JH489" s="1"/>
      <c r="JI489" s="1"/>
      <c r="JJ489" s="1"/>
      <c r="JK489" s="1"/>
      <c r="JL489" s="3"/>
      <c r="JM489" s="1"/>
      <c r="JP489" s="1"/>
      <c r="JQ489" s="1"/>
      <c r="JR489" s="1"/>
      <c r="JT489" s="1"/>
      <c r="KW489" s="1"/>
      <c r="KY489" s="1"/>
      <c r="KZ489" s="1"/>
      <c r="LA489" s="1"/>
      <c r="LB489" s="1"/>
      <c r="LC489" s="1"/>
      <c r="LD489" s="1"/>
      <c r="LJ489" s="1"/>
      <c r="LO489" s="1"/>
      <c r="LP489" s="1"/>
      <c r="LZ489" s="1"/>
      <c r="MA489" s="1"/>
    </row>
    <row r="490" spans="4:339" ht="13" x14ac:dyDescent="0.15">
      <c r="D490" s="12"/>
      <c r="E490" s="12"/>
      <c r="I490" s="12"/>
      <c r="J490" s="13"/>
      <c r="BF490" s="1"/>
      <c r="BG490" s="1"/>
      <c r="BH490" s="1"/>
      <c r="BI490" s="1"/>
      <c r="BJ490" s="1"/>
      <c r="BK490" s="1"/>
      <c r="BL490" s="1"/>
      <c r="BM490" s="1"/>
      <c r="BN490" s="1"/>
      <c r="BO490" s="1"/>
      <c r="BP490" s="1"/>
      <c r="BQ490" s="1"/>
      <c r="BR490" s="1"/>
      <c r="BX490" s="1"/>
      <c r="CD490" s="1"/>
      <c r="CE490" s="1"/>
      <c r="CF490" s="1"/>
      <c r="CG490" s="1"/>
      <c r="CH490" s="1"/>
      <c r="CI490" s="1"/>
      <c r="CK490" s="1"/>
      <c r="CM490" s="2"/>
      <c r="CN490" s="1"/>
      <c r="CO490" s="1"/>
      <c r="CP490" s="1"/>
      <c r="CQ490" s="1"/>
      <c r="CR490" s="1"/>
      <c r="CT490" s="1"/>
      <c r="CU490" s="1"/>
      <c r="CV490" s="1"/>
      <c r="CW490" s="1"/>
      <c r="CX490" s="1"/>
      <c r="CY490" s="1"/>
      <c r="CZ490" s="1"/>
      <c r="DA490" s="1"/>
      <c r="DB490" s="1"/>
      <c r="DC490" s="1"/>
      <c r="DD490" s="1"/>
      <c r="DE490" s="1"/>
      <c r="DF490" s="1"/>
      <c r="DG490" s="1"/>
      <c r="DH490" s="1"/>
      <c r="DI490" s="1"/>
      <c r="DJ490" s="1"/>
      <c r="DK490" s="1"/>
      <c r="DM490" s="1"/>
      <c r="DQ490" s="1"/>
      <c r="DR490" s="1"/>
      <c r="DY490" s="1"/>
      <c r="DZ490" s="1"/>
      <c r="ED490" s="1"/>
      <c r="EF490" s="1"/>
      <c r="EK490" s="1"/>
      <c r="EL490" s="1"/>
      <c r="EM490" s="1"/>
      <c r="EN490" s="1"/>
      <c r="EQ490" s="1"/>
      <c r="ER490" s="1"/>
      <c r="ES490" s="1"/>
      <c r="EV490" s="1"/>
      <c r="EW490" s="1"/>
      <c r="EZ490" s="1"/>
      <c r="FA490" s="1"/>
      <c r="FD490" s="1"/>
      <c r="FS490" s="1"/>
      <c r="FU490" s="1"/>
      <c r="GD490" s="1"/>
      <c r="GE490" s="1"/>
      <c r="GF490" s="1"/>
      <c r="GG490" s="1"/>
      <c r="GH490" s="1"/>
      <c r="GI490" s="1"/>
      <c r="GJ490" s="1"/>
      <c r="GK490" s="1"/>
      <c r="GL490" s="1"/>
      <c r="GM490" s="1"/>
      <c r="GN490" s="1"/>
      <c r="GO490" s="1"/>
      <c r="GP490" s="1"/>
      <c r="GY490" s="1"/>
      <c r="HF490" s="1"/>
      <c r="HH490" s="1"/>
      <c r="HT490" s="1"/>
      <c r="HY490" s="1"/>
      <c r="IA490" s="1"/>
      <c r="IE490" s="1"/>
      <c r="IG490" s="1"/>
      <c r="IJ490" s="1"/>
      <c r="IS490" s="1"/>
      <c r="IZ490" s="1"/>
      <c r="JC490" s="1"/>
      <c r="JF490" s="1"/>
      <c r="JG490" s="1"/>
      <c r="JH490" s="1"/>
      <c r="JI490" s="1"/>
      <c r="JJ490" s="1"/>
      <c r="JK490" s="1"/>
      <c r="JL490" s="3"/>
      <c r="JM490" s="1"/>
      <c r="JP490" s="1"/>
      <c r="JQ490" s="1"/>
      <c r="JR490" s="1"/>
      <c r="JT490" s="1"/>
      <c r="KW490" s="1"/>
      <c r="KY490" s="1"/>
      <c r="KZ490" s="1"/>
      <c r="LA490" s="1"/>
      <c r="LB490" s="1"/>
      <c r="LC490" s="1"/>
      <c r="LD490" s="1"/>
      <c r="LJ490" s="1"/>
      <c r="LO490" s="1"/>
      <c r="LP490" s="1"/>
      <c r="LZ490" s="1"/>
      <c r="MA490" s="1"/>
    </row>
    <row r="491" spans="4:339" ht="13" x14ac:dyDescent="0.15">
      <c r="D491" s="12"/>
      <c r="E491" s="12"/>
      <c r="I491" s="12"/>
      <c r="J491" s="13"/>
      <c r="BF491" s="1"/>
      <c r="BG491" s="1"/>
      <c r="BH491" s="1"/>
      <c r="BI491" s="1"/>
      <c r="BJ491" s="1"/>
      <c r="BK491" s="1"/>
      <c r="BL491" s="1"/>
      <c r="BM491" s="1"/>
      <c r="BN491" s="1"/>
      <c r="BO491" s="1"/>
      <c r="BP491" s="1"/>
      <c r="BQ491" s="1"/>
      <c r="BR491" s="1"/>
      <c r="BX491" s="1"/>
      <c r="CD491" s="1"/>
      <c r="CE491" s="1"/>
      <c r="CF491" s="1"/>
      <c r="CG491" s="1"/>
      <c r="CH491" s="1"/>
      <c r="CI491" s="1"/>
      <c r="CK491" s="1"/>
      <c r="CM491" s="2"/>
      <c r="CN491" s="1"/>
      <c r="CO491" s="1"/>
      <c r="CP491" s="1"/>
      <c r="CQ491" s="1"/>
      <c r="CR491" s="1"/>
      <c r="CT491" s="1"/>
      <c r="CU491" s="1"/>
      <c r="CV491" s="1"/>
      <c r="CW491" s="1"/>
      <c r="CX491" s="1"/>
      <c r="CY491" s="1"/>
      <c r="CZ491" s="1"/>
      <c r="DA491" s="1"/>
      <c r="DB491" s="1"/>
      <c r="DC491" s="1"/>
      <c r="DD491" s="1"/>
      <c r="DE491" s="1"/>
      <c r="DF491" s="1"/>
      <c r="DG491" s="1"/>
      <c r="DH491" s="1"/>
      <c r="DI491" s="1"/>
      <c r="DJ491" s="1"/>
      <c r="DK491" s="1"/>
      <c r="DM491" s="1"/>
      <c r="DQ491" s="1"/>
      <c r="DR491" s="1"/>
      <c r="DY491" s="1"/>
      <c r="DZ491" s="1"/>
      <c r="ED491" s="1"/>
      <c r="EF491" s="1"/>
      <c r="EK491" s="1"/>
      <c r="EL491" s="1"/>
      <c r="EM491" s="1"/>
      <c r="EN491" s="1"/>
      <c r="EQ491" s="1"/>
      <c r="ER491" s="1"/>
      <c r="ES491" s="1"/>
      <c r="EV491" s="1"/>
      <c r="EW491" s="1"/>
      <c r="EZ491" s="1"/>
      <c r="FA491" s="1"/>
      <c r="FD491" s="1"/>
      <c r="FS491" s="1"/>
      <c r="FU491" s="1"/>
      <c r="GD491" s="1"/>
      <c r="GE491" s="1"/>
      <c r="GF491" s="1"/>
      <c r="GG491" s="1"/>
      <c r="GH491" s="1"/>
      <c r="GI491" s="1"/>
      <c r="GJ491" s="1"/>
      <c r="GK491" s="1"/>
      <c r="GL491" s="1"/>
      <c r="GM491" s="1"/>
      <c r="GN491" s="1"/>
      <c r="GO491" s="1"/>
      <c r="GP491" s="1"/>
      <c r="GY491" s="1"/>
      <c r="HF491" s="1"/>
      <c r="HH491" s="1"/>
      <c r="HT491" s="1"/>
      <c r="HY491" s="1"/>
      <c r="IA491" s="1"/>
      <c r="IE491" s="1"/>
      <c r="IG491" s="1"/>
      <c r="IJ491" s="1"/>
      <c r="IS491" s="1"/>
      <c r="IZ491" s="1"/>
      <c r="JC491" s="1"/>
      <c r="JF491" s="1"/>
      <c r="JG491" s="1"/>
      <c r="JH491" s="1"/>
      <c r="JI491" s="1"/>
      <c r="JJ491" s="1"/>
      <c r="JK491" s="1"/>
      <c r="JL491" s="3"/>
      <c r="JM491" s="1"/>
      <c r="JP491" s="1"/>
      <c r="JQ491" s="1"/>
      <c r="JR491" s="1"/>
      <c r="JT491" s="1"/>
      <c r="KW491" s="1"/>
      <c r="KY491" s="1"/>
      <c r="KZ491" s="1"/>
      <c r="LA491" s="1"/>
      <c r="LB491" s="1"/>
      <c r="LC491" s="1"/>
      <c r="LD491" s="1"/>
      <c r="LJ491" s="1"/>
      <c r="LO491" s="1"/>
      <c r="LP491" s="1"/>
      <c r="LZ491" s="1"/>
      <c r="MA491" s="1"/>
    </row>
    <row r="492" spans="4:339" ht="13" x14ac:dyDescent="0.15">
      <c r="D492" s="12"/>
      <c r="E492" s="12"/>
      <c r="I492" s="12"/>
      <c r="J492" s="13"/>
      <c r="BF492" s="1"/>
      <c r="BG492" s="1"/>
      <c r="BH492" s="1"/>
      <c r="BI492" s="1"/>
      <c r="BK492" s="1"/>
      <c r="BL492" s="1"/>
      <c r="BM492" s="1"/>
      <c r="BN492" s="1"/>
      <c r="BO492" s="1"/>
      <c r="BQ492" s="1"/>
      <c r="BR492" s="1"/>
      <c r="CD492" s="1"/>
      <c r="CE492" s="1"/>
      <c r="CF492" s="1"/>
      <c r="CH492" s="1"/>
      <c r="CI492" s="1"/>
      <c r="CM492" s="2"/>
      <c r="CN492" s="1"/>
      <c r="CO492" s="1"/>
      <c r="CQ492" s="1"/>
      <c r="CY492" s="1"/>
      <c r="DC492" s="1"/>
      <c r="DH492" s="1"/>
      <c r="DM492" s="1"/>
      <c r="DR492" s="1"/>
      <c r="ED492" s="1"/>
      <c r="EF492" s="1"/>
      <c r="EL492" s="1"/>
      <c r="EM492" s="1"/>
      <c r="EN492" s="1"/>
      <c r="EQ492" s="1"/>
      <c r="ER492" s="1"/>
      <c r="ES492" s="1"/>
      <c r="EV492" s="1"/>
      <c r="EW492" s="1"/>
      <c r="EZ492" s="1"/>
      <c r="FA492" s="1"/>
      <c r="FD492" s="1"/>
      <c r="FG492" s="1"/>
      <c r="FH492" s="1"/>
      <c r="FI492" s="1"/>
      <c r="FJ492" s="1"/>
      <c r="FK492" s="1"/>
      <c r="FL492" s="1"/>
      <c r="FM492" s="1"/>
      <c r="FN492" s="1"/>
      <c r="FO492" s="1"/>
      <c r="FP492" s="1"/>
      <c r="FQ492" s="1"/>
      <c r="FR492" s="1"/>
      <c r="FS492" s="1"/>
      <c r="FT492" s="1"/>
      <c r="FU492" s="1"/>
      <c r="FV492" s="1"/>
      <c r="FW492" s="1"/>
      <c r="FX492" s="1"/>
      <c r="FY492" s="1"/>
      <c r="FZ492" s="1"/>
      <c r="GA492" s="1"/>
      <c r="GB492" s="1"/>
      <c r="GD492" s="1"/>
      <c r="GE492" s="1"/>
      <c r="GF492" s="1"/>
      <c r="GG492" s="1"/>
      <c r="GH492" s="1"/>
      <c r="GI492" s="1"/>
      <c r="GJ492" s="1"/>
      <c r="GK492" s="1"/>
      <c r="GL492" s="1"/>
      <c r="GM492" s="1"/>
      <c r="GN492" s="1"/>
      <c r="GP492" s="1"/>
      <c r="GR492" s="1"/>
      <c r="GY492" s="1"/>
      <c r="HF492" s="1"/>
      <c r="HH492" s="1"/>
      <c r="HY492" s="1"/>
      <c r="IC492" s="1"/>
      <c r="IR492" s="1"/>
      <c r="IS492" s="1"/>
      <c r="IZ492" s="1"/>
      <c r="JG492" s="1"/>
      <c r="JJ492" s="1"/>
      <c r="JN492" s="1"/>
      <c r="JP492" s="1"/>
      <c r="JQ492" s="1"/>
      <c r="JT492" s="1"/>
      <c r="KU492" s="1"/>
      <c r="KZ492" s="1"/>
      <c r="LA492" s="1"/>
      <c r="LC492" s="1"/>
      <c r="LO492" s="1"/>
      <c r="LZ492" s="1"/>
      <c r="MA492" s="1"/>
    </row>
    <row r="493" spans="4:339" ht="13" x14ac:dyDescent="0.15">
      <c r="D493" s="12"/>
      <c r="E493" s="12"/>
      <c r="I493" s="12"/>
      <c r="J493" s="13"/>
      <c r="BF493" s="1"/>
      <c r="BG493" s="1"/>
      <c r="BH493" s="1"/>
      <c r="BI493" s="1"/>
      <c r="BK493" s="1"/>
      <c r="BL493" s="1"/>
      <c r="BM493" s="1"/>
      <c r="BN493" s="1"/>
      <c r="BO493" s="1"/>
      <c r="BQ493" s="1"/>
      <c r="BR493" s="1"/>
      <c r="CD493" s="1"/>
      <c r="CE493" s="1"/>
      <c r="CF493" s="1"/>
      <c r="CH493" s="1"/>
      <c r="CI493" s="1"/>
      <c r="CM493" s="2"/>
      <c r="CN493" s="1"/>
      <c r="CO493" s="1"/>
      <c r="CQ493" s="1"/>
      <c r="CY493" s="1"/>
      <c r="DC493" s="1"/>
      <c r="DH493" s="1"/>
      <c r="DM493" s="1"/>
      <c r="DR493" s="1"/>
      <c r="ED493" s="1"/>
      <c r="EF493" s="1"/>
      <c r="EL493" s="1"/>
      <c r="EM493" s="1"/>
      <c r="EN493" s="1"/>
      <c r="EQ493" s="1"/>
      <c r="ER493" s="1"/>
      <c r="ES493" s="1"/>
      <c r="EV493" s="1"/>
      <c r="EW493" s="1"/>
      <c r="EZ493" s="1"/>
      <c r="FA493" s="1"/>
      <c r="FD493" s="1"/>
      <c r="FG493" s="1"/>
      <c r="FH493" s="1"/>
      <c r="FI493" s="1"/>
      <c r="FJ493" s="1"/>
      <c r="FK493" s="1"/>
      <c r="FL493" s="1"/>
      <c r="FM493" s="1"/>
      <c r="FN493" s="1"/>
      <c r="FO493" s="1"/>
      <c r="FP493" s="1"/>
      <c r="FQ493" s="1"/>
      <c r="FR493" s="1"/>
      <c r="FS493" s="1"/>
      <c r="FT493" s="1"/>
      <c r="FU493" s="1"/>
      <c r="FV493" s="1"/>
      <c r="FW493" s="1"/>
      <c r="FX493" s="1"/>
      <c r="FY493" s="1"/>
      <c r="FZ493" s="1"/>
      <c r="GA493" s="1"/>
      <c r="GB493" s="1"/>
      <c r="GD493" s="1"/>
      <c r="GE493" s="1"/>
      <c r="GF493" s="1"/>
      <c r="GG493" s="1"/>
      <c r="GH493" s="1"/>
      <c r="GI493" s="1"/>
      <c r="GJ493" s="1"/>
      <c r="GK493" s="1"/>
      <c r="GL493" s="1"/>
      <c r="GM493" s="1"/>
      <c r="GN493" s="1"/>
      <c r="GP493" s="1"/>
      <c r="GR493" s="1"/>
      <c r="GY493" s="1"/>
      <c r="HF493" s="1"/>
      <c r="HH493" s="1"/>
      <c r="HY493" s="1"/>
      <c r="IC493" s="1"/>
      <c r="IR493" s="1"/>
      <c r="IS493" s="1"/>
      <c r="IZ493" s="1"/>
      <c r="JG493" s="1"/>
      <c r="JJ493" s="1"/>
      <c r="JN493" s="1"/>
      <c r="JP493" s="1"/>
      <c r="JQ493" s="1"/>
      <c r="JT493" s="1"/>
      <c r="KU493" s="1"/>
      <c r="KZ493" s="1"/>
      <c r="LA493" s="1"/>
      <c r="LC493" s="1"/>
      <c r="LO493" s="1"/>
      <c r="LZ493" s="1"/>
      <c r="MA493" s="1"/>
    </row>
    <row r="494" spans="4:339" ht="13" x14ac:dyDescent="0.15">
      <c r="D494" s="12"/>
      <c r="E494" s="12"/>
      <c r="I494" s="12"/>
      <c r="J494" s="13"/>
      <c r="BF494" s="1"/>
      <c r="BG494" s="1"/>
      <c r="BH494" s="1"/>
      <c r="BI494" s="1"/>
      <c r="BK494" s="1"/>
      <c r="BL494" s="1"/>
      <c r="BM494" s="1"/>
      <c r="BN494" s="1"/>
      <c r="BO494" s="1"/>
      <c r="BP494" s="1"/>
      <c r="BQ494" s="1"/>
      <c r="BR494" s="1"/>
      <c r="BX494" s="1"/>
      <c r="CD494" s="1"/>
      <c r="CE494" s="1"/>
      <c r="CF494" s="1"/>
      <c r="CG494" s="1"/>
      <c r="CH494" s="1"/>
      <c r="CI494" s="1"/>
      <c r="CK494" s="1"/>
      <c r="CM494" s="2"/>
      <c r="CN494" s="1"/>
      <c r="CO494" s="1"/>
      <c r="CP494" s="1"/>
      <c r="CQ494" s="1"/>
      <c r="CR494" s="1"/>
      <c r="CS494" s="1"/>
      <c r="CT494" s="1"/>
      <c r="CU494" s="1"/>
      <c r="CV494" s="1"/>
      <c r="CW494" s="1"/>
      <c r="CX494" s="1"/>
      <c r="CY494" s="1"/>
      <c r="CZ494" s="1"/>
      <c r="DA494" s="1"/>
      <c r="DB494" s="1"/>
      <c r="DC494" s="1"/>
      <c r="DD494" s="1"/>
      <c r="DE494" s="1"/>
      <c r="DF494" s="1"/>
      <c r="DG494" s="1"/>
      <c r="DH494" s="1"/>
      <c r="DI494" s="1"/>
      <c r="DJ494" s="1"/>
      <c r="DK494" s="1"/>
      <c r="DM494" s="1"/>
      <c r="DQ494" s="1"/>
      <c r="DR494" s="1"/>
      <c r="DY494" s="1"/>
      <c r="DZ494" s="1"/>
      <c r="ED494" s="1"/>
      <c r="EE494" s="1"/>
      <c r="EF494" s="1"/>
      <c r="EG494" s="1"/>
      <c r="EH494" s="1"/>
      <c r="EK494" s="1"/>
      <c r="EL494" s="1"/>
      <c r="EM494" s="1"/>
      <c r="EN494" s="1"/>
      <c r="EQ494" s="1"/>
      <c r="ER494" s="1"/>
      <c r="ES494" s="1"/>
      <c r="EV494" s="1"/>
      <c r="EW494" s="1"/>
      <c r="EY494" s="1"/>
      <c r="EZ494" s="1"/>
      <c r="FA494" s="1"/>
      <c r="FD494" s="1"/>
      <c r="FG494" s="1"/>
      <c r="FH494" s="1"/>
      <c r="FJ494" s="1"/>
      <c r="FN494" s="1"/>
      <c r="FO494" s="1"/>
      <c r="FP494" s="1"/>
      <c r="FS494" s="1"/>
      <c r="FV494" s="1"/>
      <c r="FW494" s="1"/>
      <c r="FX494" s="1"/>
      <c r="FY494" s="1"/>
      <c r="FZ494" s="1"/>
      <c r="GA494" s="1"/>
      <c r="GD494" s="1"/>
      <c r="GE494" s="1"/>
      <c r="GF494" s="1"/>
      <c r="GG494" s="1"/>
      <c r="GH494" s="1"/>
      <c r="GI494" s="1"/>
      <c r="GJ494" s="1"/>
      <c r="GK494" s="1"/>
      <c r="GL494" s="1"/>
      <c r="GM494" s="1"/>
      <c r="GN494" s="1"/>
      <c r="GO494" s="1"/>
      <c r="GP494" s="1"/>
      <c r="GR494" s="1"/>
      <c r="GV494" s="1"/>
      <c r="GY494" s="1"/>
      <c r="HF494" s="1"/>
      <c r="HH494" s="1"/>
      <c r="HN494" s="1"/>
      <c r="HR494" s="1"/>
      <c r="HS494" s="1"/>
      <c r="HT494" s="1"/>
      <c r="HY494" s="1"/>
      <c r="IE494" s="1"/>
      <c r="IG494" s="1"/>
      <c r="IJ494" s="1"/>
      <c r="IR494" s="1"/>
      <c r="IS494" s="1"/>
      <c r="IZ494" s="1"/>
      <c r="JF494" s="1"/>
      <c r="JG494" s="1"/>
      <c r="JH494" s="1"/>
      <c r="JJ494" s="1"/>
      <c r="JK494" s="1"/>
      <c r="JL494" s="3"/>
      <c r="JM494" s="1"/>
      <c r="JN494" s="1"/>
      <c r="JP494" s="1"/>
      <c r="JQ494" s="1"/>
      <c r="JR494" s="1"/>
      <c r="JT494" s="1"/>
      <c r="KU494" s="1"/>
      <c r="KV494" s="1"/>
      <c r="KY494" s="1"/>
      <c r="KZ494" s="1"/>
      <c r="LA494" s="1"/>
      <c r="LB494" s="1"/>
      <c r="LC494" s="1"/>
      <c r="LD494" s="1"/>
      <c r="LF494" s="1"/>
      <c r="LO494" s="1"/>
      <c r="LP494" s="1"/>
      <c r="LZ494" s="1"/>
      <c r="MA494" s="1"/>
    </row>
    <row r="495" spans="4:339" ht="13" x14ac:dyDescent="0.15">
      <c r="D495" s="12"/>
      <c r="E495" s="12"/>
      <c r="I495" s="12"/>
      <c r="J495" s="13"/>
      <c r="BF495" s="1"/>
      <c r="BG495" s="1"/>
      <c r="BH495" s="1"/>
      <c r="BI495" s="1"/>
      <c r="BK495" s="1"/>
      <c r="BL495" s="1"/>
      <c r="BM495" s="1"/>
      <c r="BN495" s="1"/>
      <c r="BO495" s="1"/>
      <c r="BP495" s="1"/>
      <c r="BQ495" s="1"/>
      <c r="BR495" s="1"/>
      <c r="BX495" s="1"/>
      <c r="CD495" s="1"/>
      <c r="CE495" s="1"/>
      <c r="CF495" s="1"/>
      <c r="CG495" s="1"/>
      <c r="CH495" s="1"/>
      <c r="CI495" s="1"/>
      <c r="CK495" s="1"/>
      <c r="CM495" s="2"/>
      <c r="CN495" s="1"/>
      <c r="CO495" s="1"/>
      <c r="CP495" s="1"/>
      <c r="CQ495" s="1"/>
      <c r="CR495" s="1"/>
      <c r="CS495" s="1"/>
      <c r="CT495" s="1"/>
      <c r="CU495" s="1"/>
      <c r="CV495" s="1"/>
      <c r="CW495" s="1"/>
      <c r="CX495" s="1"/>
      <c r="CY495" s="1"/>
      <c r="CZ495" s="1"/>
      <c r="DA495" s="1"/>
      <c r="DB495" s="1"/>
      <c r="DC495" s="1"/>
      <c r="DD495" s="1"/>
      <c r="DE495" s="1"/>
      <c r="DF495" s="1"/>
      <c r="DG495" s="1"/>
      <c r="DH495" s="1"/>
      <c r="DI495" s="1"/>
      <c r="DJ495" s="1"/>
      <c r="DK495" s="1"/>
      <c r="DM495" s="1"/>
      <c r="DQ495" s="1"/>
      <c r="DR495" s="1"/>
      <c r="DY495" s="1"/>
      <c r="DZ495" s="1"/>
      <c r="ED495" s="1"/>
      <c r="EE495" s="1"/>
      <c r="EF495" s="1"/>
      <c r="EG495" s="1"/>
      <c r="EH495" s="1"/>
      <c r="EK495" s="1"/>
      <c r="EL495" s="1"/>
      <c r="EM495" s="1"/>
      <c r="EN495" s="1"/>
      <c r="EQ495" s="1"/>
      <c r="ER495" s="1"/>
      <c r="ES495" s="1"/>
      <c r="EV495" s="1"/>
      <c r="EW495" s="1"/>
      <c r="EY495" s="1"/>
      <c r="EZ495" s="1"/>
      <c r="FA495" s="1"/>
      <c r="FD495" s="1"/>
      <c r="FG495" s="1"/>
      <c r="FH495" s="1"/>
      <c r="FJ495" s="1"/>
      <c r="FN495" s="1"/>
      <c r="FO495" s="1"/>
      <c r="FP495" s="1"/>
      <c r="FS495" s="1"/>
      <c r="FV495" s="1"/>
      <c r="FW495" s="1"/>
      <c r="FX495" s="1"/>
      <c r="FY495" s="1"/>
      <c r="FZ495" s="1"/>
      <c r="GA495" s="1"/>
      <c r="GD495" s="1"/>
      <c r="GE495" s="1"/>
      <c r="GF495" s="1"/>
      <c r="GG495" s="1"/>
      <c r="GH495" s="1"/>
      <c r="GI495" s="1"/>
      <c r="GJ495" s="1"/>
      <c r="GK495" s="1"/>
      <c r="GL495" s="1"/>
      <c r="GM495" s="1"/>
      <c r="GN495" s="1"/>
      <c r="GO495" s="1"/>
      <c r="GP495" s="1"/>
      <c r="GR495" s="1"/>
      <c r="GV495" s="1"/>
      <c r="GY495" s="1"/>
      <c r="HF495" s="1"/>
      <c r="HH495" s="1"/>
      <c r="HN495" s="1"/>
      <c r="HR495" s="1"/>
      <c r="HS495" s="1"/>
      <c r="HT495" s="1"/>
      <c r="HY495" s="1"/>
      <c r="IE495" s="1"/>
      <c r="IG495" s="1"/>
      <c r="IJ495" s="1"/>
      <c r="IR495" s="1"/>
      <c r="IS495" s="1"/>
      <c r="IZ495" s="1"/>
      <c r="JF495" s="1"/>
      <c r="JG495" s="1"/>
      <c r="JH495" s="1"/>
      <c r="JJ495" s="1"/>
      <c r="JK495" s="1"/>
      <c r="JL495" s="3"/>
      <c r="JM495" s="1"/>
      <c r="JN495" s="1"/>
      <c r="JP495" s="1"/>
      <c r="JQ495" s="1"/>
      <c r="JR495" s="1"/>
      <c r="JT495" s="1"/>
      <c r="KU495" s="1"/>
      <c r="KV495" s="1"/>
      <c r="KY495" s="1"/>
      <c r="KZ495" s="1"/>
      <c r="LA495" s="1"/>
      <c r="LB495" s="1"/>
      <c r="LC495" s="1"/>
      <c r="LD495" s="1"/>
      <c r="LF495" s="1"/>
      <c r="LO495" s="1"/>
      <c r="LP495" s="1"/>
      <c r="LZ495" s="1"/>
      <c r="MA495" s="1"/>
    </row>
    <row r="496" spans="4:339" ht="13" x14ac:dyDescent="0.15">
      <c r="D496" s="12"/>
      <c r="E496" s="12"/>
      <c r="I496" s="12"/>
      <c r="J496" s="13"/>
      <c r="BF496" s="1"/>
      <c r="BG496" s="1"/>
      <c r="BH496" s="1"/>
      <c r="BI496" s="1"/>
      <c r="BK496" s="1"/>
      <c r="BL496" s="1"/>
      <c r="BM496" s="1"/>
      <c r="BN496" s="1"/>
      <c r="BO496" s="1"/>
      <c r="BP496" s="1"/>
      <c r="BQ496" s="1"/>
      <c r="BR496" s="1"/>
      <c r="CD496" s="1"/>
      <c r="CE496" s="1"/>
      <c r="CF496" s="1"/>
      <c r="CG496" s="1"/>
      <c r="CH496" s="1"/>
      <c r="CI496" s="1"/>
      <c r="CM496" s="2"/>
      <c r="CN496" s="1"/>
      <c r="CO496" s="1"/>
      <c r="CP496" s="1"/>
      <c r="CQ496" s="1"/>
      <c r="CS496" s="1"/>
      <c r="CV496" s="1"/>
      <c r="CW496" s="1"/>
      <c r="CX496" s="1"/>
      <c r="CY496" s="1"/>
      <c r="CZ496" s="1"/>
      <c r="DA496" s="1"/>
      <c r="DB496" s="1"/>
      <c r="DC496" s="1"/>
      <c r="DD496" s="1"/>
      <c r="DE496" s="1"/>
      <c r="DF496" s="1"/>
      <c r="DG496" s="1"/>
      <c r="DH496" s="1"/>
      <c r="DI496" s="1"/>
      <c r="DJ496" s="1"/>
      <c r="DK496" s="1"/>
      <c r="ED496" s="1"/>
      <c r="EK496" s="1"/>
      <c r="EL496" s="1"/>
      <c r="EM496" s="1"/>
      <c r="EN496" s="1"/>
      <c r="EQ496" s="1"/>
      <c r="ER496" s="1"/>
      <c r="ES496" s="1"/>
      <c r="EV496" s="1"/>
      <c r="EW496" s="1"/>
      <c r="EZ496" s="1"/>
      <c r="FA496" s="1"/>
      <c r="FD496" s="1"/>
      <c r="FG496" s="1"/>
      <c r="FH496" s="1"/>
      <c r="FI496" s="1"/>
      <c r="FJ496" s="1"/>
      <c r="FK496" s="1"/>
      <c r="FL496" s="1"/>
      <c r="FM496" s="1"/>
      <c r="FN496" s="1"/>
      <c r="FO496" s="1"/>
      <c r="FP496" s="1"/>
      <c r="FQ496" s="1"/>
      <c r="FR496" s="1"/>
      <c r="FS496" s="1"/>
      <c r="FT496" s="1"/>
      <c r="FU496" s="1"/>
      <c r="FV496" s="1"/>
      <c r="FW496" s="1"/>
      <c r="FX496" s="1"/>
      <c r="FY496" s="1"/>
      <c r="FZ496" s="1"/>
      <c r="GA496" s="1"/>
      <c r="GB496" s="1"/>
      <c r="GD496" s="1"/>
      <c r="GE496" s="1"/>
      <c r="GF496" s="1"/>
      <c r="GG496" s="1"/>
      <c r="GH496" s="1"/>
      <c r="GI496" s="1"/>
      <c r="GJ496" s="1"/>
      <c r="GK496" s="1"/>
      <c r="GL496" s="1"/>
      <c r="GM496" s="1"/>
      <c r="GN496" s="1"/>
      <c r="GP496" s="1"/>
      <c r="GR496" s="1"/>
      <c r="GY496" s="1"/>
      <c r="HH496" s="1"/>
      <c r="HQ496" s="1"/>
      <c r="HT496" s="1"/>
      <c r="HY496" s="1"/>
      <c r="IC496" s="1"/>
      <c r="IE496" s="1"/>
      <c r="IR496" s="1"/>
      <c r="IS496" s="1"/>
      <c r="IY496" s="1"/>
      <c r="IZ496" s="1"/>
      <c r="JC496" s="1"/>
      <c r="JF496" s="1"/>
      <c r="JG496" s="1"/>
      <c r="JH496" s="1"/>
      <c r="JJ496" s="1"/>
      <c r="JN496" s="1"/>
      <c r="JP496" s="1"/>
      <c r="JQ496" s="1"/>
      <c r="JT496" s="1"/>
      <c r="KU496" s="1"/>
      <c r="KV496" s="1"/>
      <c r="KY496" s="1"/>
      <c r="KZ496" s="1"/>
      <c r="LA496" s="1"/>
      <c r="LB496" s="1"/>
      <c r="LC496" s="1"/>
      <c r="LD496" s="1"/>
      <c r="LF496" s="1"/>
      <c r="LN496" s="1"/>
      <c r="LO496" s="1"/>
      <c r="LP496" s="1"/>
      <c r="LZ496" s="1"/>
      <c r="MA496" s="1"/>
    </row>
    <row r="497" spans="4:339" ht="13" x14ac:dyDescent="0.15">
      <c r="D497" s="12"/>
      <c r="E497" s="12"/>
      <c r="I497" s="12"/>
      <c r="J497" s="13"/>
      <c r="BF497" s="1"/>
      <c r="BG497" s="1"/>
      <c r="BH497" s="1"/>
      <c r="BI497" s="1"/>
      <c r="BK497" s="1"/>
      <c r="BL497" s="1"/>
      <c r="BM497" s="1"/>
      <c r="BN497" s="1"/>
      <c r="BO497" s="1"/>
      <c r="BP497" s="1"/>
      <c r="BQ497" s="1"/>
      <c r="BR497" s="1"/>
      <c r="CD497" s="1"/>
      <c r="CE497" s="1"/>
      <c r="CF497" s="1"/>
      <c r="CG497" s="1"/>
      <c r="CH497" s="1"/>
      <c r="CI497" s="1"/>
      <c r="CM497" s="2"/>
      <c r="CN497" s="1"/>
      <c r="CO497" s="1"/>
      <c r="CP497" s="1"/>
      <c r="CQ497" s="1"/>
      <c r="CS497" s="1"/>
      <c r="CV497" s="1"/>
      <c r="CW497" s="1"/>
      <c r="CX497" s="1"/>
      <c r="CY497" s="1"/>
      <c r="CZ497" s="1"/>
      <c r="DA497" s="1"/>
      <c r="DB497" s="1"/>
      <c r="DC497" s="1"/>
      <c r="DD497" s="1"/>
      <c r="DE497" s="1"/>
      <c r="DF497" s="1"/>
      <c r="DG497" s="1"/>
      <c r="DH497" s="1"/>
      <c r="DI497" s="1"/>
      <c r="DJ497" s="1"/>
      <c r="DK497" s="1"/>
      <c r="ED497" s="1"/>
      <c r="EK497" s="1"/>
      <c r="EL497" s="1"/>
      <c r="EM497" s="1"/>
      <c r="EN497" s="1"/>
      <c r="EQ497" s="1"/>
      <c r="ER497" s="1"/>
      <c r="ES497" s="1"/>
      <c r="EV497" s="1"/>
      <c r="EW497" s="1"/>
      <c r="EZ497" s="1"/>
      <c r="FA497" s="1"/>
      <c r="FD497" s="1"/>
      <c r="FG497" s="1"/>
      <c r="FH497" s="1"/>
      <c r="FI497" s="1"/>
      <c r="FJ497" s="1"/>
      <c r="FK497" s="1"/>
      <c r="FL497" s="1"/>
      <c r="FM497" s="1"/>
      <c r="FN497" s="1"/>
      <c r="FO497" s="1"/>
      <c r="FP497" s="1"/>
      <c r="FQ497" s="1"/>
      <c r="FR497" s="1"/>
      <c r="FS497" s="1"/>
      <c r="FT497" s="1"/>
      <c r="FU497" s="1"/>
      <c r="FV497" s="1"/>
      <c r="FW497" s="1"/>
      <c r="FX497" s="1"/>
      <c r="FY497" s="1"/>
      <c r="FZ497" s="1"/>
      <c r="GA497" s="1"/>
      <c r="GB497" s="1"/>
      <c r="GD497" s="1"/>
      <c r="GE497" s="1"/>
      <c r="GF497" s="1"/>
      <c r="GG497" s="1"/>
      <c r="GH497" s="1"/>
      <c r="GI497" s="1"/>
      <c r="GJ497" s="1"/>
      <c r="GK497" s="1"/>
      <c r="GL497" s="1"/>
      <c r="GM497" s="1"/>
      <c r="GN497" s="1"/>
      <c r="GP497" s="1"/>
      <c r="GR497" s="1"/>
      <c r="GY497" s="1"/>
      <c r="HH497" s="1"/>
      <c r="HQ497" s="1"/>
      <c r="HT497" s="1"/>
      <c r="HY497" s="1"/>
      <c r="IC497" s="1"/>
      <c r="IE497" s="1"/>
      <c r="IR497" s="1"/>
      <c r="IS497" s="1"/>
      <c r="IY497" s="1"/>
      <c r="IZ497" s="1"/>
      <c r="JC497" s="1"/>
      <c r="JF497" s="1"/>
      <c r="JG497" s="1"/>
      <c r="JH497" s="1"/>
      <c r="JJ497" s="1"/>
      <c r="JN497" s="1"/>
      <c r="JP497" s="1"/>
      <c r="JQ497" s="1"/>
      <c r="JT497" s="1"/>
      <c r="KU497" s="1"/>
      <c r="KV497" s="1"/>
      <c r="KY497" s="1"/>
      <c r="KZ497" s="1"/>
      <c r="LA497" s="1"/>
      <c r="LB497" s="1"/>
      <c r="LC497" s="1"/>
      <c r="LD497" s="1"/>
      <c r="LF497" s="1"/>
      <c r="LN497" s="1"/>
      <c r="LO497" s="1"/>
      <c r="LP497" s="1"/>
      <c r="LZ497" s="1"/>
      <c r="MA497" s="1"/>
    </row>
    <row r="498" spans="4:339" ht="13" x14ac:dyDescent="0.15">
      <c r="D498" s="12"/>
      <c r="E498" s="12"/>
      <c r="I498" s="12"/>
      <c r="J498" s="13"/>
      <c r="BF498" s="1"/>
      <c r="BG498" s="1"/>
      <c r="BH498" s="1"/>
      <c r="BI498" s="1"/>
      <c r="BK498" s="1"/>
      <c r="BL498" s="1"/>
      <c r="BM498" s="1"/>
      <c r="BN498" s="1"/>
      <c r="BO498" s="1"/>
      <c r="BP498" s="1"/>
      <c r="BQ498" s="1"/>
      <c r="BR498" s="1"/>
      <c r="CD498" s="1"/>
      <c r="CE498" s="1"/>
      <c r="CF498" s="1"/>
      <c r="CG498" s="1"/>
      <c r="CH498" s="1"/>
      <c r="CI498" s="1"/>
      <c r="CM498" s="2"/>
      <c r="CN498" s="1"/>
      <c r="CO498" s="1"/>
      <c r="CP498" s="1"/>
      <c r="CQ498" s="1"/>
      <c r="CS498" s="1"/>
      <c r="CV498" s="1"/>
      <c r="CW498" s="1"/>
      <c r="CX498" s="1"/>
      <c r="CY498" s="1"/>
      <c r="CZ498" s="1"/>
      <c r="DA498" s="1"/>
      <c r="DB498" s="1"/>
      <c r="DC498" s="1"/>
      <c r="DD498" s="1"/>
      <c r="DE498" s="1"/>
      <c r="DF498" s="1"/>
      <c r="DG498" s="1"/>
      <c r="DH498" s="1"/>
      <c r="DI498" s="1"/>
      <c r="DJ498" s="1"/>
      <c r="DK498" s="1"/>
      <c r="ED498" s="1"/>
      <c r="EK498" s="1"/>
      <c r="EL498" s="1"/>
      <c r="EM498" s="1"/>
      <c r="EN498" s="1"/>
      <c r="EQ498" s="1"/>
      <c r="ER498" s="1"/>
      <c r="ES498" s="1"/>
      <c r="EV498" s="1"/>
      <c r="EW498" s="1"/>
      <c r="EZ498" s="1"/>
      <c r="FA498" s="1"/>
      <c r="FD498" s="1"/>
      <c r="FG498" s="1"/>
      <c r="FH498" s="1"/>
      <c r="FI498" s="1"/>
      <c r="FJ498" s="1"/>
      <c r="FK498" s="1"/>
      <c r="FL498" s="1"/>
      <c r="FM498" s="1"/>
      <c r="FN498" s="1"/>
      <c r="FO498" s="1"/>
      <c r="FP498" s="1"/>
      <c r="FQ498" s="1"/>
      <c r="FR498" s="1"/>
      <c r="FS498" s="1"/>
      <c r="FT498" s="1"/>
      <c r="FU498" s="1"/>
      <c r="FV498" s="1"/>
      <c r="FW498" s="1"/>
      <c r="FX498" s="1"/>
      <c r="FY498" s="1"/>
      <c r="FZ498" s="1"/>
      <c r="GA498" s="1"/>
      <c r="GB498" s="1"/>
      <c r="GD498" s="1"/>
      <c r="GE498" s="1"/>
      <c r="GF498" s="1"/>
      <c r="GG498" s="1"/>
      <c r="GH498" s="1"/>
      <c r="GI498" s="1"/>
      <c r="GJ498" s="1"/>
      <c r="GK498" s="1"/>
      <c r="GL498" s="1"/>
      <c r="GM498" s="1"/>
      <c r="GN498" s="1"/>
      <c r="GP498" s="1"/>
      <c r="GR498" s="1"/>
      <c r="GY498" s="1"/>
      <c r="HH498" s="1"/>
      <c r="HQ498" s="1"/>
      <c r="HT498" s="1"/>
      <c r="HY498" s="1"/>
      <c r="IC498" s="1"/>
      <c r="IE498" s="1"/>
      <c r="IR498" s="1"/>
      <c r="IS498" s="1"/>
      <c r="IY498" s="1"/>
      <c r="IZ498" s="1"/>
      <c r="JC498" s="1"/>
      <c r="JF498" s="1"/>
      <c r="JG498" s="1"/>
      <c r="JH498" s="1"/>
      <c r="JJ498" s="1"/>
      <c r="JN498" s="1"/>
      <c r="JP498" s="1"/>
      <c r="JQ498" s="1"/>
      <c r="JT498" s="1"/>
      <c r="KU498" s="1"/>
      <c r="KV498" s="1"/>
      <c r="KY498" s="1"/>
      <c r="KZ498" s="1"/>
      <c r="LA498" s="1"/>
      <c r="LB498" s="1"/>
      <c r="LC498" s="1"/>
      <c r="LD498" s="1"/>
      <c r="LF498" s="1"/>
      <c r="LN498" s="1"/>
      <c r="LO498" s="1"/>
      <c r="LP498" s="1"/>
      <c r="LZ498" s="1"/>
      <c r="MA498" s="1"/>
    </row>
    <row r="499" spans="4:339" ht="13" x14ac:dyDescent="0.15">
      <c r="D499" s="12"/>
      <c r="E499" s="12"/>
      <c r="I499" s="12"/>
      <c r="J499" s="13"/>
      <c r="BF499" s="1"/>
      <c r="BG499" s="1"/>
      <c r="BH499" s="1"/>
      <c r="BI499" s="1"/>
      <c r="BK499" s="1"/>
      <c r="BL499" s="1"/>
      <c r="BM499" s="1"/>
      <c r="BN499" s="1"/>
      <c r="BO499" s="1"/>
      <c r="BP499" s="1"/>
      <c r="BQ499" s="1"/>
      <c r="BR499" s="1"/>
      <c r="CD499" s="1"/>
      <c r="CE499" s="1"/>
      <c r="CF499" s="1"/>
      <c r="CG499" s="1"/>
      <c r="CH499" s="1"/>
      <c r="CI499" s="1"/>
      <c r="CM499" s="2"/>
      <c r="CN499" s="1"/>
      <c r="CO499" s="1"/>
      <c r="CP499" s="1"/>
      <c r="CQ499" s="1"/>
      <c r="CS499" s="1"/>
      <c r="CV499" s="1"/>
      <c r="CW499" s="1"/>
      <c r="CX499" s="1"/>
      <c r="CY499" s="1"/>
      <c r="CZ499" s="1"/>
      <c r="DA499" s="1"/>
      <c r="DB499" s="1"/>
      <c r="DC499" s="1"/>
      <c r="DD499" s="1"/>
      <c r="DE499" s="1"/>
      <c r="DF499" s="1"/>
      <c r="DG499" s="1"/>
      <c r="DH499" s="1"/>
      <c r="DI499" s="1"/>
      <c r="DJ499" s="1"/>
      <c r="DK499" s="1"/>
      <c r="ED499" s="1"/>
      <c r="EK499" s="1"/>
      <c r="EL499" s="1"/>
      <c r="EM499" s="1"/>
      <c r="EN499" s="1"/>
      <c r="EQ499" s="1"/>
      <c r="ER499" s="1"/>
      <c r="ES499" s="1"/>
      <c r="EV499" s="1"/>
      <c r="EW499" s="1"/>
      <c r="EZ499" s="1"/>
      <c r="FA499" s="1"/>
      <c r="FD499" s="1"/>
      <c r="FG499" s="1"/>
      <c r="FH499" s="1"/>
      <c r="FI499" s="1"/>
      <c r="FJ499" s="1"/>
      <c r="FK499" s="1"/>
      <c r="FL499" s="1"/>
      <c r="FM499" s="1"/>
      <c r="FN499" s="1"/>
      <c r="FO499" s="1"/>
      <c r="FP499" s="1"/>
      <c r="FQ499" s="1"/>
      <c r="FR499" s="1"/>
      <c r="FS499" s="1"/>
      <c r="FT499" s="1"/>
      <c r="FU499" s="1"/>
      <c r="FV499" s="1"/>
      <c r="FW499" s="1"/>
      <c r="FX499" s="1"/>
      <c r="FY499" s="1"/>
      <c r="FZ499" s="1"/>
      <c r="GA499" s="1"/>
      <c r="GB499" s="1"/>
      <c r="GD499" s="1"/>
      <c r="GE499" s="1"/>
      <c r="GF499" s="1"/>
      <c r="GG499" s="1"/>
      <c r="GH499" s="1"/>
      <c r="GI499" s="1"/>
      <c r="GJ499" s="1"/>
      <c r="GK499" s="1"/>
      <c r="GL499" s="1"/>
      <c r="GM499" s="1"/>
      <c r="GN499" s="1"/>
      <c r="GP499" s="1"/>
      <c r="GR499" s="1"/>
      <c r="GY499" s="1"/>
      <c r="HH499" s="1"/>
      <c r="HQ499" s="1"/>
      <c r="HT499" s="1"/>
      <c r="HY499" s="1"/>
      <c r="IC499" s="1"/>
      <c r="IE499" s="1"/>
      <c r="IR499" s="1"/>
      <c r="IS499" s="1"/>
      <c r="IY499" s="1"/>
      <c r="IZ499" s="1"/>
      <c r="JC499" s="1"/>
      <c r="JF499" s="1"/>
      <c r="JG499" s="1"/>
      <c r="JH499" s="1"/>
      <c r="JJ499" s="1"/>
      <c r="JN499" s="1"/>
      <c r="JP499" s="1"/>
      <c r="JQ499" s="1"/>
      <c r="JT499" s="1"/>
      <c r="KU499" s="1"/>
      <c r="KV499" s="1"/>
      <c r="KY499" s="1"/>
      <c r="KZ499" s="1"/>
      <c r="LA499" s="1"/>
      <c r="LB499" s="1"/>
      <c r="LC499" s="1"/>
      <c r="LD499" s="1"/>
      <c r="LF499" s="1"/>
      <c r="LN499" s="1"/>
      <c r="LO499" s="1"/>
      <c r="LP499" s="1"/>
      <c r="LZ499" s="1"/>
      <c r="MA499" s="1"/>
    </row>
    <row r="500" spans="4:339" ht="13" x14ac:dyDescent="0.15">
      <c r="D500" s="12"/>
      <c r="E500" s="12"/>
      <c r="I500" s="12"/>
      <c r="J500" s="13"/>
      <c r="BF500" s="1"/>
      <c r="BG500" s="1"/>
      <c r="BH500" s="1"/>
      <c r="BI500" s="1"/>
      <c r="BK500" s="1"/>
      <c r="BL500" s="1"/>
      <c r="BM500" s="1"/>
      <c r="BN500" s="1"/>
      <c r="BO500" s="1"/>
      <c r="BP500" s="1"/>
      <c r="BQ500" s="1"/>
      <c r="BR500" s="1"/>
      <c r="CD500" s="1"/>
      <c r="CE500" s="1"/>
      <c r="CF500" s="1"/>
      <c r="CG500" s="1"/>
      <c r="CH500" s="1"/>
      <c r="CI500" s="1"/>
      <c r="CM500" s="2"/>
      <c r="CN500" s="1"/>
      <c r="CO500" s="1"/>
      <c r="CP500" s="1"/>
      <c r="CQ500" s="1"/>
      <c r="CS500" s="1"/>
      <c r="CV500" s="1"/>
      <c r="CW500" s="1"/>
      <c r="CX500" s="1"/>
      <c r="CY500" s="1"/>
      <c r="CZ500" s="1"/>
      <c r="DA500" s="1"/>
      <c r="DB500" s="1"/>
      <c r="DC500" s="1"/>
      <c r="DD500" s="1"/>
      <c r="DE500" s="1"/>
      <c r="DF500" s="1"/>
      <c r="DG500" s="1"/>
      <c r="DH500" s="1"/>
      <c r="DI500" s="1"/>
      <c r="DJ500" s="1"/>
      <c r="DK500" s="1"/>
      <c r="ED500" s="1"/>
      <c r="EK500" s="1"/>
      <c r="EL500" s="1"/>
      <c r="EM500" s="1"/>
      <c r="EN500" s="1"/>
      <c r="EQ500" s="1"/>
      <c r="ER500" s="1"/>
      <c r="ES500" s="1"/>
      <c r="EV500" s="1"/>
      <c r="EW500" s="1"/>
      <c r="EZ500" s="1"/>
      <c r="FA500" s="1"/>
      <c r="FD500" s="1"/>
      <c r="FG500" s="1"/>
      <c r="FH500" s="1"/>
      <c r="FI500" s="1"/>
      <c r="FJ500" s="1"/>
      <c r="FK500" s="1"/>
      <c r="FL500" s="1"/>
      <c r="FM500" s="1"/>
      <c r="FN500" s="1"/>
      <c r="FO500" s="1"/>
      <c r="FP500" s="1"/>
      <c r="FQ500" s="1"/>
      <c r="FR500" s="1"/>
      <c r="FS500" s="1"/>
      <c r="FT500" s="1"/>
      <c r="FU500" s="1"/>
      <c r="FV500" s="1"/>
      <c r="FW500" s="1"/>
      <c r="FX500" s="1"/>
      <c r="FY500" s="1"/>
      <c r="FZ500" s="1"/>
      <c r="GA500" s="1"/>
      <c r="GB500" s="1"/>
      <c r="GD500" s="1"/>
      <c r="GE500" s="1"/>
      <c r="GF500" s="1"/>
      <c r="GG500" s="1"/>
      <c r="GH500" s="1"/>
      <c r="GI500" s="1"/>
      <c r="GJ500" s="1"/>
      <c r="GK500" s="1"/>
      <c r="GL500" s="1"/>
      <c r="GM500" s="1"/>
      <c r="GN500" s="1"/>
      <c r="GP500" s="1"/>
      <c r="GR500" s="1"/>
      <c r="GY500" s="1"/>
      <c r="HH500" s="1"/>
      <c r="HQ500" s="1"/>
      <c r="HT500" s="1"/>
      <c r="HY500" s="1"/>
      <c r="IC500" s="1"/>
      <c r="IE500" s="1"/>
      <c r="IR500" s="1"/>
      <c r="IS500" s="1"/>
      <c r="IY500" s="1"/>
      <c r="IZ500" s="1"/>
      <c r="JC500" s="1"/>
      <c r="JF500" s="1"/>
      <c r="JG500" s="1"/>
      <c r="JH500" s="1"/>
      <c r="JJ500" s="1"/>
      <c r="JN500" s="1"/>
      <c r="JP500" s="1"/>
      <c r="JQ500" s="1"/>
      <c r="JT500" s="1"/>
      <c r="KU500" s="1"/>
      <c r="KV500" s="1"/>
      <c r="KY500" s="1"/>
      <c r="KZ500" s="1"/>
      <c r="LA500" s="1"/>
      <c r="LB500" s="1"/>
      <c r="LC500" s="1"/>
      <c r="LD500" s="1"/>
      <c r="LF500" s="1"/>
      <c r="LN500" s="1"/>
      <c r="LO500" s="1"/>
      <c r="LP500" s="1"/>
      <c r="LZ500" s="1"/>
      <c r="MA500" s="1"/>
    </row>
    <row r="501" spans="4:339" ht="13" x14ac:dyDescent="0.15">
      <c r="D501" s="12"/>
      <c r="E501" s="12"/>
      <c r="I501" s="12"/>
      <c r="J501" s="13"/>
      <c r="BF501" s="1"/>
      <c r="BG501" s="1"/>
      <c r="BH501" s="1"/>
      <c r="BI501" s="1"/>
      <c r="BK501" s="1"/>
      <c r="BL501" s="1"/>
      <c r="BM501" s="1"/>
      <c r="BN501" s="1"/>
      <c r="BO501" s="1"/>
      <c r="BP501" s="1"/>
      <c r="BQ501" s="1"/>
      <c r="BR501" s="1"/>
      <c r="CD501" s="1"/>
      <c r="CE501" s="1"/>
      <c r="CF501" s="1"/>
      <c r="CG501" s="1"/>
      <c r="CH501" s="1"/>
      <c r="CI501" s="1"/>
      <c r="CM501" s="2"/>
      <c r="CN501" s="1"/>
      <c r="CO501" s="1"/>
      <c r="CP501" s="1"/>
      <c r="CQ501" s="1"/>
      <c r="CS501" s="1"/>
      <c r="CV501" s="1"/>
      <c r="CW501" s="1"/>
      <c r="CX501" s="1"/>
      <c r="CY501" s="1"/>
      <c r="CZ501" s="1"/>
      <c r="DA501" s="1"/>
      <c r="DB501" s="1"/>
      <c r="DC501" s="1"/>
      <c r="DD501" s="1"/>
      <c r="DE501" s="1"/>
      <c r="DF501" s="1"/>
      <c r="DG501" s="1"/>
      <c r="DH501" s="1"/>
      <c r="DI501" s="1"/>
      <c r="DJ501" s="1"/>
      <c r="DK501" s="1"/>
      <c r="ED501" s="1"/>
      <c r="EK501" s="1"/>
      <c r="EL501" s="1"/>
      <c r="EM501" s="1"/>
      <c r="EN501" s="1"/>
      <c r="EQ501" s="1"/>
      <c r="ER501" s="1"/>
      <c r="ES501" s="1"/>
      <c r="EV501" s="1"/>
      <c r="EW501" s="1"/>
      <c r="EZ501" s="1"/>
      <c r="FA501" s="1"/>
      <c r="FD501" s="1"/>
      <c r="FG501" s="1"/>
      <c r="FH501" s="1"/>
      <c r="FI501" s="1"/>
      <c r="FJ501" s="1"/>
      <c r="FK501" s="1"/>
      <c r="FL501" s="1"/>
      <c r="FM501" s="1"/>
      <c r="FN501" s="1"/>
      <c r="FO501" s="1"/>
      <c r="FP501" s="1"/>
      <c r="FQ501" s="1"/>
      <c r="FR501" s="1"/>
      <c r="FS501" s="1"/>
      <c r="FT501" s="1"/>
      <c r="FU501" s="1"/>
      <c r="FV501" s="1"/>
      <c r="FW501" s="1"/>
      <c r="FX501" s="1"/>
      <c r="FY501" s="1"/>
      <c r="FZ501" s="1"/>
      <c r="GA501" s="1"/>
      <c r="GB501" s="1"/>
      <c r="GD501" s="1"/>
      <c r="GE501" s="1"/>
      <c r="GF501" s="1"/>
      <c r="GG501" s="1"/>
      <c r="GH501" s="1"/>
      <c r="GI501" s="1"/>
      <c r="GJ501" s="1"/>
      <c r="GK501" s="1"/>
      <c r="GL501" s="1"/>
      <c r="GM501" s="1"/>
      <c r="GN501" s="1"/>
      <c r="GP501" s="1"/>
      <c r="GR501" s="1"/>
      <c r="GY501" s="1"/>
      <c r="HH501" s="1"/>
      <c r="HQ501" s="1"/>
      <c r="HT501" s="1"/>
      <c r="HY501" s="1"/>
      <c r="IC501" s="1"/>
      <c r="IE501" s="1"/>
      <c r="IR501" s="1"/>
      <c r="IS501" s="1"/>
      <c r="IY501" s="1"/>
      <c r="IZ501" s="1"/>
      <c r="JC501" s="1"/>
      <c r="JF501" s="1"/>
      <c r="JG501" s="1"/>
      <c r="JH501" s="1"/>
      <c r="JJ501" s="1"/>
      <c r="JN501" s="1"/>
      <c r="JP501" s="1"/>
      <c r="JQ501" s="1"/>
      <c r="JT501" s="1"/>
      <c r="KU501" s="1"/>
      <c r="KV501" s="1"/>
      <c r="KY501" s="1"/>
      <c r="KZ501" s="1"/>
      <c r="LA501" s="1"/>
      <c r="LB501" s="1"/>
      <c r="LC501" s="1"/>
      <c r="LD501" s="1"/>
      <c r="LF501" s="1"/>
      <c r="LN501" s="1"/>
      <c r="LO501" s="1"/>
      <c r="LP501" s="1"/>
      <c r="LZ501" s="1"/>
      <c r="MA501" s="1"/>
    </row>
    <row r="502" spans="4:339" ht="13" x14ac:dyDescent="0.15">
      <c r="D502" s="12"/>
      <c r="E502" s="12"/>
      <c r="I502" s="12"/>
      <c r="J502" s="13"/>
      <c r="BF502" s="1"/>
      <c r="BG502" s="1"/>
      <c r="BH502" s="1"/>
      <c r="BI502" s="1"/>
      <c r="BK502" s="1"/>
      <c r="BL502" s="1"/>
      <c r="BM502" s="1"/>
      <c r="BN502" s="1"/>
      <c r="BO502" s="1"/>
      <c r="BP502" s="1"/>
      <c r="BQ502" s="1"/>
      <c r="BR502" s="1"/>
      <c r="CD502" s="1"/>
      <c r="CE502" s="1"/>
      <c r="CF502" s="1"/>
      <c r="CG502" s="1"/>
      <c r="CH502" s="1"/>
      <c r="CI502" s="1"/>
      <c r="CM502" s="2"/>
      <c r="CN502" s="1"/>
      <c r="CO502" s="1"/>
      <c r="CP502" s="1"/>
      <c r="CQ502" s="1"/>
      <c r="CS502" s="1"/>
      <c r="CV502" s="1"/>
      <c r="CW502" s="1"/>
      <c r="CX502" s="1"/>
      <c r="CY502" s="1"/>
      <c r="CZ502" s="1"/>
      <c r="DA502" s="1"/>
      <c r="DB502" s="1"/>
      <c r="DC502" s="1"/>
      <c r="DD502" s="1"/>
      <c r="DE502" s="1"/>
      <c r="DF502" s="1"/>
      <c r="DG502" s="1"/>
      <c r="DH502" s="1"/>
      <c r="DI502" s="1"/>
      <c r="DJ502" s="1"/>
      <c r="DK502" s="1"/>
      <c r="ED502" s="1"/>
      <c r="EK502" s="1"/>
      <c r="EL502" s="1"/>
      <c r="EM502" s="1"/>
      <c r="EN502" s="1"/>
      <c r="EQ502" s="1"/>
      <c r="ER502" s="1"/>
      <c r="ES502" s="1"/>
      <c r="EV502" s="1"/>
      <c r="EW502" s="1"/>
      <c r="EZ502" s="1"/>
      <c r="FA502" s="1"/>
      <c r="FD502" s="1"/>
      <c r="FG502" s="1"/>
      <c r="FH502" s="1"/>
      <c r="FI502" s="1"/>
      <c r="FJ502" s="1"/>
      <c r="FK502" s="1"/>
      <c r="FL502" s="1"/>
      <c r="FM502" s="1"/>
      <c r="FN502" s="1"/>
      <c r="FO502" s="1"/>
      <c r="FP502" s="1"/>
      <c r="FQ502" s="1"/>
      <c r="FR502" s="1"/>
      <c r="FS502" s="1"/>
      <c r="FT502" s="1"/>
      <c r="FU502" s="1"/>
      <c r="FV502" s="1"/>
      <c r="FW502" s="1"/>
      <c r="FX502" s="1"/>
      <c r="FY502" s="1"/>
      <c r="FZ502" s="1"/>
      <c r="GA502" s="1"/>
      <c r="GB502" s="1"/>
      <c r="GD502" s="1"/>
      <c r="GE502" s="1"/>
      <c r="GF502" s="1"/>
      <c r="GG502" s="1"/>
      <c r="GH502" s="1"/>
      <c r="GI502" s="1"/>
      <c r="GJ502" s="1"/>
      <c r="GK502" s="1"/>
      <c r="GL502" s="1"/>
      <c r="GM502" s="1"/>
      <c r="GN502" s="1"/>
      <c r="GP502" s="1"/>
      <c r="GR502" s="1"/>
      <c r="GY502" s="1"/>
      <c r="HH502" s="1"/>
      <c r="HQ502" s="1"/>
      <c r="HT502" s="1"/>
      <c r="HY502" s="1"/>
      <c r="IC502" s="1"/>
      <c r="IE502" s="1"/>
      <c r="IR502" s="1"/>
      <c r="IS502" s="1"/>
      <c r="IY502" s="1"/>
      <c r="IZ502" s="1"/>
      <c r="JC502" s="1"/>
      <c r="JF502" s="1"/>
      <c r="JG502" s="1"/>
      <c r="JH502" s="1"/>
      <c r="JJ502" s="1"/>
      <c r="JN502" s="1"/>
      <c r="JP502" s="1"/>
      <c r="JQ502" s="1"/>
      <c r="JT502" s="1"/>
      <c r="KU502" s="1"/>
      <c r="KV502" s="1"/>
      <c r="KY502" s="1"/>
      <c r="KZ502" s="1"/>
      <c r="LA502" s="1"/>
      <c r="LB502" s="1"/>
      <c r="LC502" s="1"/>
      <c r="LD502" s="1"/>
      <c r="LF502" s="1"/>
      <c r="LN502" s="1"/>
      <c r="LO502" s="1"/>
      <c r="LP502" s="1"/>
      <c r="LZ502" s="1"/>
      <c r="MA502" s="1"/>
    </row>
    <row r="503" spans="4:339" ht="13" x14ac:dyDescent="0.15">
      <c r="D503" s="12"/>
      <c r="E503" s="12"/>
      <c r="I503" s="12"/>
      <c r="J503" s="13"/>
      <c r="BF503" s="1"/>
      <c r="BG503" s="1"/>
      <c r="BH503" s="1"/>
      <c r="BI503" s="1"/>
      <c r="BK503" s="1"/>
      <c r="BL503" s="1"/>
      <c r="BM503" s="1"/>
      <c r="BN503" s="1"/>
      <c r="BO503" s="1"/>
      <c r="BP503" s="1"/>
      <c r="BQ503" s="1"/>
      <c r="BR503" s="1"/>
      <c r="CD503" s="1"/>
      <c r="CE503" s="1"/>
      <c r="CF503" s="1"/>
      <c r="CG503" s="1"/>
      <c r="CH503" s="1"/>
      <c r="CI503" s="1"/>
      <c r="CM503" s="2"/>
      <c r="CN503" s="1"/>
      <c r="CO503" s="1"/>
      <c r="CP503" s="1"/>
      <c r="CQ503" s="1"/>
      <c r="CS503" s="1"/>
      <c r="CV503" s="1"/>
      <c r="CW503" s="1"/>
      <c r="CX503" s="1"/>
      <c r="CY503" s="1"/>
      <c r="CZ503" s="1"/>
      <c r="DA503" s="1"/>
      <c r="DB503" s="1"/>
      <c r="DC503" s="1"/>
      <c r="DD503" s="1"/>
      <c r="DE503" s="1"/>
      <c r="DF503" s="1"/>
      <c r="DG503" s="1"/>
      <c r="DH503" s="1"/>
      <c r="DI503" s="1"/>
      <c r="DJ503" s="1"/>
      <c r="DK503" s="1"/>
      <c r="ED503" s="1"/>
      <c r="EK503" s="1"/>
      <c r="EL503" s="1"/>
      <c r="EM503" s="1"/>
      <c r="EN503" s="1"/>
      <c r="EQ503" s="1"/>
      <c r="ER503" s="1"/>
      <c r="ES503" s="1"/>
      <c r="EV503" s="1"/>
      <c r="EW503" s="1"/>
      <c r="EZ503" s="1"/>
      <c r="FA503" s="1"/>
      <c r="FD503" s="1"/>
      <c r="FG503" s="1"/>
      <c r="FH503" s="1"/>
      <c r="FI503" s="1"/>
      <c r="FJ503" s="1"/>
      <c r="FK503" s="1"/>
      <c r="FL503" s="1"/>
      <c r="FM503" s="1"/>
      <c r="FN503" s="1"/>
      <c r="FO503" s="1"/>
      <c r="FP503" s="1"/>
      <c r="FQ503" s="1"/>
      <c r="FR503" s="1"/>
      <c r="FS503" s="1"/>
      <c r="FT503" s="1"/>
      <c r="FU503" s="1"/>
      <c r="FV503" s="1"/>
      <c r="FW503" s="1"/>
      <c r="FX503" s="1"/>
      <c r="FY503" s="1"/>
      <c r="FZ503" s="1"/>
      <c r="GA503" s="1"/>
      <c r="GB503" s="1"/>
      <c r="GD503" s="1"/>
      <c r="GE503" s="1"/>
      <c r="GF503" s="1"/>
      <c r="GG503" s="1"/>
      <c r="GH503" s="1"/>
      <c r="GI503" s="1"/>
      <c r="GJ503" s="1"/>
      <c r="GK503" s="1"/>
      <c r="GL503" s="1"/>
      <c r="GM503" s="1"/>
      <c r="GN503" s="1"/>
      <c r="GP503" s="1"/>
      <c r="GR503" s="1"/>
      <c r="GY503" s="1"/>
      <c r="HH503" s="1"/>
      <c r="HQ503" s="1"/>
      <c r="HT503" s="1"/>
      <c r="HY503" s="1"/>
      <c r="IC503" s="1"/>
      <c r="IE503" s="1"/>
      <c r="IR503" s="1"/>
      <c r="IS503" s="1"/>
      <c r="IY503" s="1"/>
      <c r="IZ503" s="1"/>
      <c r="JC503" s="1"/>
      <c r="JF503" s="1"/>
      <c r="JG503" s="1"/>
      <c r="JH503" s="1"/>
      <c r="JJ503" s="1"/>
      <c r="JN503" s="1"/>
      <c r="JP503" s="1"/>
      <c r="JQ503" s="1"/>
      <c r="JT503" s="1"/>
      <c r="KU503" s="1"/>
      <c r="KV503" s="1"/>
      <c r="KY503" s="1"/>
      <c r="KZ503" s="1"/>
      <c r="LA503" s="1"/>
      <c r="LB503" s="1"/>
      <c r="LC503" s="1"/>
      <c r="LD503" s="1"/>
      <c r="LF503" s="1"/>
      <c r="LN503" s="1"/>
      <c r="LO503" s="1"/>
      <c r="LP503" s="1"/>
      <c r="LZ503" s="1"/>
      <c r="MA503" s="1"/>
    </row>
    <row r="504" spans="4:339" ht="13" x14ac:dyDescent="0.15">
      <c r="D504" s="12"/>
      <c r="E504" s="12"/>
      <c r="I504" s="12"/>
      <c r="J504" s="13"/>
      <c r="BF504" s="1"/>
      <c r="BG504" s="1"/>
      <c r="BH504" s="1"/>
      <c r="BI504" s="1"/>
      <c r="BK504" s="1"/>
      <c r="BL504" s="1"/>
      <c r="BM504" s="1"/>
      <c r="BN504" s="1"/>
      <c r="BP504" s="1"/>
      <c r="BQ504" s="1"/>
      <c r="BR504" s="1"/>
      <c r="CD504" s="1"/>
      <c r="CE504" s="1"/>
      <c r="CF504" s="1"/>
      <c r="CG504" s="1"/>
      <c r="CH504" s="1"/>
      <c r="CI504" s="1"/>
      <c r="CM504" s="2"/>
      <c r="CN504" s="1"/>
      <c r="CO504" s="1"/>
      <c r="CP504" s="1"/>
      <c r="CQ504" s="1"/>
      <c r="CX504" s="1"/>
      <c r="CY504" s="1"/>
      <c r="CZ504" s="1"/>
      <c r="DA504" s="1"/>
      <c r="DB504" s="1"/>
      <c r="DC504" s="1"/>
      <c r="DD504" s="1"/>
      <c r="DE504" s="1"/>
      <c r="DF504" s="1"/>
      <c r="DG504" s="1"/>
      <c r="DH504" s="1"/>
      <c r="DI504" s="1"/>
      <c r="DJ504" s="1"/>
      <c r="DK504" s="1"/>
      <c r="ED504" s="1"/>
      <c r="EK504" s="1"/>
      <c r="EL504" s="1"/>
      <c r="EM504" s="1"/>
      <c r="EN504" s="1"/>
      <c r="EQ504" s="1"/>
      <c r="ER504" s="1"/>
      <c r="ES504" s="1"/>
      <c r="EV504" s="1"/>
      <c r="EW504" s="1"/>
      <c r="EZ504" s="1"/>
      <c r="FA504" s="1"/>
      <c r="FD504" s="1"/>
      <c r="FH504" s="1"/>
      <c r="FI504" s="1"/>
      <c r="FJ504" s="1"/>
      <c r="FP504" s="1"/>
      <c r="FS504" s="1"/>
      <c r="FU504" s="1"/>
      <c r="FV504" s="1"/>
      <c r="FW504" s="1"/>
      <c r="FX504" s="1"/>
      <c r="FZ504" s="1"/>
      <c r="GA504" s="1"/>
      <c r="GD504" s="1"/>
      <c r="GE504" s="1"/>
      <c r="GF504" s="1"/>
      <c r="GG504" s="1"/>
      <c r="GH504" s="1"/>
      <c r="GI504" s="1"/>
      <c r="GJ504" s="1"/>
      <c r="GK504" s="1"/>
      <c r="GL504" s="1"/>
      <c r="GM504" s="1"/>
      <c r="GN504" s="1"/>
      <c r="GR504" s="1"/>
      <c r="GY504" s="1"/>
      <c r="HF504" s="1"/>
      <c r="HN504" s="1"/>
      <c r="IE504" s="1"/>
      <c r="IR504" s="1"/>
      <c r="IS504" s="1"/>
      <c r="IW504" s="1"/>
      <c r="IZ504" s="1"/>
      <c r="JJ504" s="1"/>
      <c r="JN504" s="1"/>
      <c r="JP504" s="1"/>
      <c r="JQ504" s="1"/>
      <c r="KY504" s="1"/>
      <c r="KZ504" s="1"/>
      <c r="LA504" s="1"/>
      <c r="LB504" s="1"/>
      <c r="LC504" s="1"/>
      <c r="LD504" s="1"/>
      <c r="LO504" s="1"/>
      <c r="LP504" s="1"/>
      <c r="LZ504" s="1"/>
      <c r="MA504" s="1"/>
    </row>
    <row r="505" spans="4:339" ht="13" x14ac:dyDescent="0.15">
      <c r="D505" s="12"/>
      <c r="E505" s="12"/>
      <c r="I505" s="12"/>
      <c r="J505" s="13"/>
      <c r="BF505" s="1"/>
      <c r="BG505" s="1"/>
      <c r="BH505" s="1"/>
      <c r="BI505" s="1"/>
      <c r="BK505" s="1"/>
      <c r="BL505" s="1"/>
      <c r="BM505" s="1"/>
      <c r="BN505" s="1"/>
      <c r="BO505" s="1"/>
      <c r="BP505" s="1"/>
      <c r="BQ505" s="1"/>
      <c r="BR505" s="1"/>
      <c r="CD505" s="1"/>
      <c r="CE505" s="1"/>
      <c r="CF505" s="1"/>
      <c r="CG505" s="1"/>
      <c r="CH505" s="1"/>
      <c r="CI505" s="1"/>
      <c r="CM505" s="2"/>
      <c r="CN505" s="1"/>
      <c r="CO505" s="1"/>
      <c r="CP505" s="1"/>
      <c r="CQ505" s="1"/>
      <c r="CX505" s="1"/>
      <c r="CY505" s="1"/>
      <c r="CZ505" s="1"/>
      <c r="DA505" s="1"/>
      <c r="DB505" s="1"/>
      <c r="DC505" s="1"/>
      <c r="DD505" s="1"/>
      <c r="DE505" s="1"/>
      <c r="DF505" s="1"/>
      <c r="DG505" s="1"/>
      <c r="DH505" s="1"/>
      <c r="DI505" s="1"/>
      <c r="DJ505" s="1"/>
      <c r="DK505" s="1"/>
      <c r="ED505" s="1"/>
      <c r="EK505" s="1"/>
      <c r="EL505" s="1"/>
      <c r="EM505" s="1"/>
      <c r="EN505" s="1"/>
      <c r="EQ505" s="1"/>
      <c r="ER505" s="1"/>
      <c r="ES505" s="1"/>
      <c r="EV505" s="1"/>
      <c r="EW505" s="1"/>
      <c r="EZ505" s="1"/>
      <c r="FA505" s="1"/>
      <c r="FD505" s="1"/>
      <c r="FG505" s="1"/>
      <c r="FH505" s="1"/>
      <c r="FJ505" s="1"/>
      <c r="FM505" s="1"/>
      <c r="FP505" s="1"/>
      <c r="FQ505" s="1"/>
      <c r="FS505" s="1"/>
      <c r="FU505" s="1"/>
      <c r="FX505" s="1"/>
      <c r="FZ505" s="1"/>
      <c r="GA505" s="1"/>
      <c r="GD505" s="1"/>
      <c r="GE505" s="1"/>
      <c r="GF505" s="1"/>
      <c r="GG505" s="1"/>
      <c r="GH505" s="1"/>
      <c r="GI505" s="1"/>
      <c r="GJ505" s="1"/>
      <c r="GM505" s="1"/>
      <c r="GN505" s="1"/>
      <c r="GP505" s="1"/>
      <c r="GR505" s="1"/>
      <c r="HY505" s="1"/>
      <c r="IC505" s="1"/>
      <c r="ID505" s="1"/>
      <c r="IE505" s="1"/>
      <c r="IR505" s="1"/>
      <c r="IS505" s="1"/>
      <c r="IZ505" s="1"/>
      <c r="JG505" s="1"/>
      <c r="JJ505" s="1"/>
      <c r="JN505" s="1"/>
      <c r="JP505" s="1"/>
      <c r="JQ505" s="1"/>
      <c r="JT505" s="1"/>
      <c r="KU505" s="1"/>
      <c r="KV505" s="1"/>
      <c r="KY505" s="1"/>
      <c r="KZ505" s="1"/>
      <c r="LA505" s="1"/>
      <c r="LB505" s="1"/>
      <c r="LC505" s="1"/>
      <c r="LD505" s="1"/>
      <c r="LO505" s="1"/>
      <c r="LP505" s="1"/>
      <c r="LW505" s="1"/>
      <c r="LZ505" s="1"/>
      <c r="MA505" s="1"/>
    </row>
    <row r="506" spans="4:339" ht="13" x14ac:dyDescent="0.15">
      <c r="D506" s="12"/>
      <c r="E506" s="12"/>
      <c r="I506" s="12"/>
      <c r="J506" s="13"/>
      <c r="BF506" s="1"/>
      <c r="BG506" s="1"/>
      <c r="BH506" s="1"/>
      <c r="BI506" s="1"/>
      <c r="BJ506" s="1"/>
      <c r="BK506" s="1"/>
      <c r="BL506" s="1"/>
      <c r="BM506" s="1"/>
      <c r="BN506" s="1"/>
      <c r="BO506" s="1"/>
      <c r="BP506" s="1"/>
      <c r="BQ506" s="1"/>
      <c r="BR506" s="1"/>
      <c r="BX506" s="1"/>
      <c r="CD506" s="1"/>
      <c r="CE506" s="1"/>
      <c r="CF506" s="1"/>
      <c r="CG506" s="1"/>
      <c r="CH506" s="1"/>
      <c r="CI506" s="1"/>
      <c r="CM506" s="2"/>
      <c r="CN506" s="1"/>
      <c r="CO506" s="1"/>
      <c r="CP506" s="1"/>
      <c r="CQ506" s="1"/>
      <c r="CS506" s="1"/>
      <c r="CT506" s="1"/>
      <c r="CU506" s="1"/>
      <c r="CV506" s="1"/>
      <c r="CW506" s="1"/>
      <c r="CX506" s="1"/>
      <c r="CY506" s="1"/>
      <c r="CZ506" s="1"/>
      <c r="DA506" s="1"/>
      <c r="DB506" s="1"/>
      <c r="DC506" s="1"/>
      <c r="DD506" s="1"/>
      <c r="DE506" s="1"/>
      <c r="DF506" s="1"/>
      <c r="DG506" s="1"/>
      <c r="DH506" s="1"/>
      <c r="DI506" s="1"/>
      <c r="DJ506" s="1"/>
      <c r="DK506" s="1"/>
      <c r="DM506" s="1"/>
      <c r="DQ506" s="1"/>
      <c r="DR506" s="1"/>
      <c r="DY506" s="1"/>
      <c r="DZ506" s="1"/>
      <c r="ED506" s="1"/>
      <c r="EK506" s="1"/>
      <c r="EL506" s="1"/>
      <c r="EM506" s="1"/>
      <c r="EN506" s="1"/>
      <c r="EQ506" s="1"/>
      <c r="ER506" s="1"/>
      <c r="ES506" s="1"/>
      <c r="EV506" s="1"/>
      <c r="EW506" s="1"/>
      <c r="EZ506" s="1"/>
      <c r="FA506" s="1"/>
      <c r="FD506" s="1"/>
      <c r="FF506" s="1"/>
      <c r="FH506" s="1"/>
      <c r="FM506" s="1"/>
      <c r="FP506" s="1"/>
      <c r="FS506" s="1"/>
      <c r="FT506" s="1"/>
      <c r="FV506" s="1"/>
      <c r="FW506" s="1"/>
      <c r="FX506" s="1"/>
      <c r="GA506" s="1"/>
      <c r="GD506" s="1"/>
      <c r="GE506" s="1"/>
      <c r="GF506" s="1"/>
      <c r="GG506" s="1"/>
      <c r="GH506" s="1"/>
      <c r="GI506" s="1"/>
      <c r="GJ506" s="1"/>
      <c r="GK506" s="1"/>
      <c r="GL506" s="1"/>
      <c r="GM506" s="1"/>
      <c r="GN506" s="1"/>
      <c r="GO506" s="1"/>
      <c r="GP506" s="1"/>
      <c r="GR506" s="1"/>
      <c r="GY506" s="1"/>
      <c r="HF506" s="1"/>
      <c r="HH506" s="1"/>
      <c r="HN506" s="1"/>
      <c r="HR506" s="1"/>
      <c r="HS506" s="1"/>
      <c r="HT506" s="1"/>
      <c r="HY506" s="1"/>
      <c r="IE506" s="1"/>
      <c r="IR506" s="1"/>
      <c r="IS506" s="1"/>
      <c r="IW506" s="1"/>
      <c r="IZ506" s="1"/>
      <c r="JC506" s="1"/>
      <c r="JF506" s="1"/>
      <c r="JG506" s="1"/>
      <c r="JJ506" s="1"/>
      <c r="JN506" s="1"/>
      <c r="JP506" s="1"/>
      <c r="JQ506" s="1"/>
      <c r="JT506" s="1"/>
      <c r="KU506" s="1"/>
      <c r="KW506" s="1"/>
      <c r="KY506" s="1"/>
      <c r="KZ506" s="1"/>
      <c r="LA506" s="1"/>
      <c r="LB506" s="1"/>
      <c r="LC506" s="1"/>
      <c r="LD506" s="1"/>
      <c r="LO506" s="1"/>
      <c r="LP506" s="1"/>
      <c r="LZ506" s="1"/>
      <c r="MA506" s="1"/>
    </row>
    <row r="507" spans="4:339" ht="13" x14ac:dyDescent="0.15">
      <c r="D507" s="12"/>
      <c r="E507" s="12"/>
      <c r="I507" s="12"/>
      <c r="J507" s="13"/>
      <c r="BF507" s="1"/>
      <c r="BG507" s="1"/>
      <c r="BH507" s="1"/>
      <c r="BI507" s="1"/>
      <c r="BJ507" s="1"/>
      <c r="BK507" s="1"/>
      <c r="BL507" s="1"/>
      <c r="BM507" s="1"/>
      <c r="BN507" s="1"/>
      <c r="BO507" s="1"/>
      <c r="BP507" s="1"/>
      <c r="BQ507" s="1"/>
      <c r="BR507" s="1"/>
      <c r="BX507" s="1"/>
      <c r="CD507" s="1"/>
      <c r="CE507" s="1"/>
      <c r="CF507" s="1"/>
      <c r="CG507" s="1"/>
      <c r="CH507" s="1"/>
      <c r="CI507" s="1"/>
      <c r="CM507" s="4"/>
      <c r="CN507" s="1"/>
      <c r="CO507" s="1"/>
      <c r="CP507" s="1"/>
      <c r="CQ507" s="1"/>
      <c r="CR507" s="1"/>
      <c r="CS507" s="1"/>
      <c r="CT507" s="1"/>
      <c r="CU507" s="1"/>
      <c r="CV507" s="1"/>
      <c r="CW507" s="1"/>
      <c r="CX507" s="1"/>
      <c r="CY507" s="1"/>
      <c r="CZ507" s="1"/>
      <c r="DA507" s="1"/>
      <c r="DB507" s="1"/>
      <c r="DC507" s="1"/>
      <c r="DD507" s="1"/>
      <c r="DE507" s="1"/>
      <c r="DF507" s="1"/>
      <c r="DG507" s="1"/>
      <c r="DH507" s="1"/>
      <c r="DI507" s="1"/>
      <c r="DJ507" s="1"/>
      <c r="DK507" s="1"/>
      <c r="DM507" s="1"/>
      <c r="DQ507" s="1"/>
      <c r="DR507" s="1"/>
      <c r="DY507" s="1"/>
      <c r="DZ507" s="1"/>
      <c r="ED507" s="1"/>
      <c r="EK507" s="1"/>
      <c r="EL507" s="1"/>
      <c r="EM507" s="1"/>
      <c r="EN507" s="1"/>
      <c r="EQ507" s="1"/>
      <c r="ER507" s="1"/>
      <c r="ES507" s="1"/>
      <c r="EV507" s="1"/>
      <c r="EW507" s="1"/>
      <c r="EZ507" s="1"/>
      <c r="FA507" s="1"/>
      <c r="FD507" s="1"/>
      <c r="FG507" s="1"/>
      <c r="FH507" s="1"/>
      <c r="FJ507" s="1"/>
      <c r="FL507" s="1"/>
      <c r="FM507" s="1"/>
      <c r="FN507" s="1"/>
      <c r="FO507" s="1"/>
      <c r="FP507" s="1"/>
      <c r="FQ507" s="1"/>
      <c r="FS507" s="1"/>
      <c r="FT507" s="1"/>
      <c r="FU507" s="1"/>
      <c r="FV507" s="1"/>
      <c r="FW507" s="1"/>
      <c r="FX507" s="1"/>
      <c r="FY507" s="1"/>
      <c r="FZ507" s="1"/>
      <c r="GA507" s="1"/>
      <c r="GD507" s="1"/>
      <c r="GE507" s="1"/>
      <c r="GF507" s="1"/>
      <c r="GG507" s="1"/>
      <c r="GH507" s="1"/>
      <c r="GI507" s="1"/>
      <c r="GJ507" s="1"/>
      <c r="GK507" s="1"/>
      <c r="GL507" s="1"/>
      <c r="GM507" s="1"/>
      <c r="GN507" s="1"/>
      <c r="GO507" s="1"/>
      <c r="GP507" s="1"/>
      <c r="GR507" s="1"/>
      <c r="GY507" s="1"/>
      <c r="HF507" s="1"/>
      <c r="HH507" s="1"/>
      <c r="HN507" s="1"/>
      <c r="HT507" s="1"/>
      <c r="HY507" s="1"/>
      <c r="IE507" s="1"/>
      <c r="IR507" s="1"/>
      <c r="IS507" s="1"/>
      <c r="IZ507" s="1"/>
      <c r="JC507" s="1"/>
      <c r="JF507" s="1"/>
      <c r="JG507" s="1"/>
      <c r="JH507" s="1"/>
      <c r="JJ507" s="1"/>
      <c r="JN507" s="1"/>
      <c r="JP507" s="1"/>
      <c r="JQ507" s="1"/>
      <c r="JT507" s="1"/>
      <c r="KU507" s="1"/>
      <c r="KY507" s="1"/>
      <c r="KZ507" s="1"/>
      <c r="LA507" s="1"/>
      <c r="LB507" s="1"/>
      <c r="LC507" s="1"/>
      <c r="LD507" s="1"/>
      <c r="LO507" s="1"/>
      <c r="LP507" s="1"/>
      <c r="LZ507" s="1"/>
      <c r="MA507" s="1"/>
    </row>
    <row r="508" spans="4:339" ht="13" x14ac:dyDescent="0.15">
      <c r="D508" s="12"/>
      <c r="E508" s="12"/>
      <c r="I508" s="12"/>
      <c r="J508" s="13"/>
      <c r="BF508" s="1"/>
      <c r="BG508" s="1"/>
      <c r="BH508" s="1"/>
      <c r="BI508" s="1"/>
      <c r="BJ508" s="1"/>
      <c r="BK508" s="1"/>
      <c r="BL508" s="1"/>
      <c r="BM508" s="1"/>
      <c r="BN508" s="1"/>
      <c r="BO508" s="1"/>
      <c r="BP508" s="1"/>
      <c r="BQ508" s="1"/>
      <c r="BR508" s="1"/>
      <c r="BX508" s="1"/>
      <c r="CD508" s="1"/>
      <c r="CE508" s="1"/>
      <c r="CF508" s="1"/>
      <c r="CG508" s="1"/>
      <c r="CH508" s="1"/>
      <c r="CI508" s="1"/>
      <c r="CM508" s="4"/>
      <c r="CN508" s="1"/>
      <c r="CO508" s="1"/>
      <c r="CP508" s="1"/>
      <c r="CQ508" s="1"/>
      <c r="CR508" s="1"/>
      <c r="CS508" s="1"/>
      <c r="CT508" s="1"/>
      <c r="CU508" s="1"/>
      <c r="CV508" s="1"/>
      <c r="CW508" s="1"/>
      <c r="CX508" s="1"/>
      <c r="CY508" s="1"/>
      <c r="CZ508" s="1"/>
      <c r="DA508" s="1"/>
      <c r="DB508" s="1"/>
      <c r="DC508" s="1"/>
      <c r="DD508" s="1"/>
      <c r="DE508" s="1"/>
      <c r="DF508" s="1"/>
      <c r="DG508" s="1"/>
      <c r="DH508" s="1"/>
      <c r="DI508" s="1"/>
      <c r="DJ508" s="1"/>
      <c r="DK508" s="1"/>
      <c r="DM508" s="1"/>
      <c r="DQ508" s="1"/>
      <c r="DR508" s="1"/>
      <c r="DY508" s="1"/>
      <c r="DZ508" s="1"/>
      <c r="ED508" s="1"/>
      <c r="EK508" s="1"/>
      <c r="EL508" s="1"/>
      <c r="EM508" s="1"/>
      <c r="EN508" s="1"/>
      <c r="EQ508" s="1"/>
      <c r="ER508" s="1"/>
      <c r="ES508" s="1"/>
      <c r="EV508" s="1"/>
      <c r="EW508" s="1"/>
      <c r="EZ508" s="1"/>
      <c r="FA508" s="1"/>
      <c r="FD508" s="1"/>
      <c r="FG508" s="1"/>
      <c r="FH508" s="1"/>
      <c r="FJ508" s="1"/>
      <c r="FL508" s="1"/>
      <c r="FM508" s="1"/>
      <c r="FN508" s="1"/>
      <c r="FO508" s="1"/>
      <c r="FP508" s="1"/>
      <c r="FQ508" s="1"/>
      <c r="FS508" s="1"/>
      <c r="FT508" s="1"/>
      <c r="FU508" s="1"/>
      <c r="FV508" s="1"/>
      <c r="FW508" s="1"/>
      <c r="FX508" s="1"/>
      <c r="FY508" s="1"/>
      <c r="FZ508" s="1"/>
      <c r="GA508" s="1"/>
      <c r="GD508" s="1"/>
      <c r="GE508" s="1"/>
      <c r="GF508" s="1"/>
      <c r="GG508" s="1"/>
      <c r="GH508" s="1"/>
      <c r="GI508" s="1"/>
      <c r="GJ508" s="1"/>
      <c r="GK508" s="1"/>
      <c r="GL508" s="1"/>
      <c r="GM508" s="1"/>
      <c r="GN508" s="1"/>
      <c r="GO508" s="1"/>
      <c r="GP508" s="1"/>
      <c r="GR508" s="1"/>
      <c r="GY508" s="1"/>
      <c r="HF508" s="1"/>
      <c r="HH508" s="1"/>
      <c r="HN508" s="1"/>
      <c r="HT508" s="1"/>
      <c r="HY508" s="1"/>
      <c r="IE508" s="1"/>
      <c r="IR508" s="1"/>
      <c r="IS508" s="1"/>
      <c r="IZ508" s="1"/>
      <c r="JC508" s="1"/>
      <c r="JF508" s="1"/>
      <c r="JG508" s="1"/>
      <c r="JH508" s="1"/>
      <c r="JJ508" s="1"/>
      <c r="JN508" s="1"/>
      <c r="JP508" s="1"/>
      <c r="JQ508" s="1"/>
      <c r="JT508" s="1"/>
      <c r="KU508" s="1"/>
      <c r="KY508" s="1"/>
      <c r="KZ508" s="1"/>
      <c r="LA508" s="1"/>
      <c r="LB508" s="1"/>
      <c r="LC508" s="1"/>
      <c r="LD508" s="1"/>
      <c r="LO508" s="1"/>
      <c r="LP508" s="1"/>
      <c r="LZ508" s="1"/>
      <c r="MA508" s="1"/>
    </row>
    <row r="509" spans="4:339" ht="13" x14ac:dyDescent="0.15">
      <c r="D509" s="12"/>
      <c r="E509" s="12"/>
      <c r="I509" s="12"/>
      <c r="J509" s="13"/>
      <c r="BF509" s="1"/>
      <c r="BG509" s="1"/>
      <c r="BH509" s="1"/>
      <c r="BI509" s="1"/>
      <c r="BK509" s="1"/>
      <c r="BL509" s="1"/>
      <c r="BM509" s="1"/>
      <c r="BN509" s="1"/>
      <c r="BO509" s="1"/>
      <c r="BP509" s="1"/>
      <c r="BQ509" s="1"/>
      <c r="BR509" s="1"/>
      <c r="BX509" s="1"/>
      <c r="CD509" s="1"/>
      <c r="CE509" s="1"/>
      <c r="CF509" s="1"/>
      <c r="CG509" s="1"/>
      <c r="CH509" s="1"/>
      <c r="CI509" s="1"/>
      <c r="CK509" s="1"/>
      <c r="CM509" s="2"/>
      <c r="CN509" s="1"/>
      <c r="CO509" s="1"/>
      <c r="CP509" s="1"/>
      <c r="CQ509" s="1"/>
      <c r="CX509" s="1"/>
      <c r="CY509" s="1"/>
      <c r="CZ509" s="1"/>
      <c r="DA509" s="1"/>
      <c r="DB509" s="1"/>
      <c r="DC509" s="1"/>
      <c r="DD509" s="1"/>
      <c r="DE509" s="1"/>
      <c r="DF509" s="1"/>
      <c r="DG509" s="1"/>
      <c r="DH509" s="1"/>
      <c r="DI509" s="1"/>
      <c r="DJ509" s="1"/>
      <c r="DK509" s="1"/>
      <c r="DM509" s="1"/>
      <c r="DQ509" s="1"/>
      <c r="DR509" s="1"/>
      <c r="DY509" s="1"/>
      <c r="DZ509" s="1"/>
      <c r="ED509" s="1"/>
      <c r="EK509" s="1"/>
      <c r="EL509" s="1"/>
      <c r="EM509" s="1"/>
      <c r="EN509" s="1"/>
      <c r="EQ509" s="1"/>
      <c r="ER509" s="1"/>
      <c r="ES509" s="1"/>
      <c r="EV509" s="1"/>
      <c r="EW509" s="1"/>
      <c r="EZ509" s="1"/>
      <c r="FA509" s="1"/>
      <c r="FD509" s="1"/>
      <c r="GD509" s="1"/>
      <c r="GE509" s="1"/>
      <c r="GF509" s="1"/>
      <c r="GG509" s="1"/>
      <c r="GH509" s="1"/>
      <c r="GI509" s="1"/>
      <c r="GN509" s="1"/>
      <c r="GP509" s="1"/>
      <c r="GR509" s="1"/>
      <c r="HF509" s="1"/>
      <c r="HH509" s="1"/>
      <c r="HN509" s="1"/>
      <c r="HT509" s="1"/>
      <c r="HY509" s="1"/>
      <c r="IE509" s="1"/>
      <c r="IR509" s="1"/>
      <c r="IS509" s="1"/>
      <c r="IZ509" s="1"/>
      <c r="JC509" s="1"/>
      <c r="JF509" s="1"/>
      <c r="JG509" s="1"/>
      <c r="JH509" s="1"/>
      <c r="JJ509" s="1"/>
      <c r="JN509" s="1"/>
      <c r="JP509" s="1"/>
      <c r="JQ509" s="1"/>
      <c r="KU509" s="1"/>
      <c r="KW509" s="1"/>
      <c r="KY509" s="1"/>
      <c r="KZ509" s="1"/>
      <c r="LA509" s="1"/>
      <c r="LB509" s="1"/>
      <c r="LC509" s="1"/>
      <c r="LD509" s="1"/>
      <c r="LO509" s="1"/>
      <c r="LP509" s="1"/>
      <c r="LZ509" s="1"/>
      <c r="MA509" s="1"/>
    </row>
    <row r="510" spans="4:339" ht="13" x14ac:dyDescent="0.15">
      <c r="D510" s="12"/>
      <c r="E510" s="12"/>
      <c r="I510" s="12"/>
      <c r="J510" s="13"/>
      <c r="BF510" s="1"/>
      <c r="BG510" s="1"/>
      <c r="BH510" s="1"/>
      <c r="BI510" s="1"/>
      <c r="BK510" s="1"/>
      <c r="BL510" s="1"/>
      <c r="BM510" s="1"/>
      <c r="BN510" s="1"/>
      <c r="BO510" s="1"/>
      <c r="BP510" s="1"/>
      <c r="BQ510" s="1"/>
      <c r="BR510" s="1"/>
      <c r="BX510" s="1"/>
      <c r="CD510" s="1"/>
      <c r="CE510" s="1"/>
      <c r="CF510" s="1"/>
      <c r="CG510" s="1"/>
      <c r="CH510" s="1"/>
      <c r="CI510" s="1"/>
      <c r="CK510" s="1"/>
      <c r="CM510" s="2"/>
      <c r="CN510" s="1"/>
      <c r="CO510" s="1"/>
      <c r="CP510" s="1"/>
      <c r="CQ510" s="1"/>
      <c r="CX510" s="1"/>
      <c r="CY510" s="1"/>
      <c r="CZ510" s="1"/>
      <c r="DA510" s="1"/>
      <c r="DB510" s="1"/>
      <c r="DC510" s="1"/>
      <c r="DD510" s="1"/>
      <c r="DE510" s="1"/>
      <c r="DF510" s="1"/>
      <c r="DG510" s="1"/>
      <c r="DH510" s="1"/>
      <c r="DI510" s="1"/>
      <c r="DJ510" s="1"/>
      <c r="DK510" s="1"/>
      <c r="DM510" s="1"/>
      <c r="DQ510" s="1"/>
      <c r="DR510" s="1"/>
      <c r="DY510" s="1"/>
      <c r="DZ510" s="1"/>
      <c r="ED510" s="1"/>
      <c r="EK510" s="1"/>
      <c r="EL510" s="1"/>
      <c r="EM510" s="1"/>
      <c r="EN510" s="1"/>
      <c r="EQ510" s="1"/>
      <c r="ER510" s="1"/>
      <c r="ES510" s="1"/>
      <c r="EV510" s="1"/>
      <c r="EW510" s="1"/>
      <c r="EZ510" s="1"/>
      <c r="FA510" s="1"/>
      <c r="FD510" s="1"/>
      <c r="GD510" s="1"/>
      <c r="GE510" s="1"/>
      <c r="GF510" s="1"/>
      <c r="GG510" s="1"/>
      <c r="GH510" s="1"/>
      <c r="GI510" s="1"/>
      <c r="GN510" s="1"/>
      <c r="GP510" s="1"/>
      <c r="GR510" s="1"/>
      <c r="HF510" s="1"/>
      <c r="HH510" s="1"/>
      <c r="HN510" s="1"/>
      <c r="HT510" s="1"/>
      <c r="HY510" s="1"/>
      <c r="IE510" s="1"/>
      <c r="IR510" s="1"/>
      <c r="IS510" s="1"/>
      <c r="IZ510" s="1"/>
      <c r="JC510" s="1"/>
      <c r="JF510" s="1"/>
      <c r="JG510" s="1"/>
      <c r="JH510" s="1"/>
      <c r="JJ510" s="1"/>
      <c r="JN510" s="1"/>
      <c r="JP510" s="1"/>
      <c r="JQ510" s="1"/>
      <c r="KU510" s="1"/>
      <c r="KW510" s="1"/>
      <c r="KY510" s="1"/>
      <c r="KZ510" s="1"/>
      <c r="LA510" s="1"/>
      <c r="LB510" s="1"/>
      <c r="LC510" s="1"/>
      <c r="LD510" s="1"/>
      <c r="LO510" s="1"/>
      <c r="LP510" s="1"/>
      <c r="LZ510" s="1"/>
      <c r="MA510" s="1"/>
    </row>
    <row r="511" spans="4:339" ht="13" x14ac:dyDescent="0.15">
      <c r="D511" s="12"/>
      <c r="E511" s="12"/>
      <c r="I511" s="12"/>
      <c r="J511" s="13"/>
      <c r="BF511" s="1"/>
      <c r="BG511" s="1"/>
      <c r="BH511" s="1"/>
      <c r="BI511" s="1"/>
      <c r="BK511" s="1"/>
      <c r="BL511" s="1"/>
      <c r="BM511" s="1"/>
      <c r="BN511" s="1"/>
      <c r="BO511" s="1"/>
      <c r="BP511" s="1"/>
      <c r="BQ511" s="1"/>
      <c r="BR511" s="1"/>
      <c r="BX511" s="1"/>
      <c r="CD511" s="1"/>
      <c r="CE511" s="1"/>
      <c r="CF511" s="1"/>
      <c r="CG511" s="1"/>
      <c r="CH511" s="1"/>
      <c r="CI511" s="1"/>
      <c r="CK511" s="1"/>
      <c r="CM511" s="2"/>
      <c r="CN511" s="1"/>
      <c r="CO511" s="1"/>
      <c r="CP511" s="1"/>
      <c r="CQ511" s="1"/>
      <c r="CX511" s="1"/>
      <c r="CY511" s="1"/>
      <c r="CZ511" s="1"/>
      <c r="DA511" s="1"/>
      <c r="DB511" s="1"/>
      <c r="DC511" s="1"/>
      <c r="DD511" s="1"/>
      <c r="DE511" s="1"/>
      <c r="DF511" s="1"/>
      <c r="DG511" s="1"/>
      <c r="DH511" s="1"/>
      <c r="DI511" s="1"/>
      <c r="DJ511" s="1"/>
      <c r="DK511" s="1"/>
      <c r="DM511" s="1"/>
      <c r="DQ511" s="1"/>
      <c r="DR511" s="1"/>
      <c r="DY511" s="1"/>
      <c r="DZ511" s="1"/>
      <c r="ED511" s="1"/>
      <c r="EK511" s="1"/>
      <c r="EL511" s="1"/>
      <c r="EM511" s="1"/>
      <c r="EN511" s="1"/>
      <c r="EQ511" s="1"/>
      <c r="ER511" s="1"/>
      <c r="ES511" s="1"/>
      <c r="EV511" s="1"/>
      <c r="EW511" s="1"/>
      <c r="EZ511" s="1"/>
      <c r="FA511" s="1"/>
      <c r="FD511" s="1"/>
      <c r="GD511" s="1"/>
      <c r="GE511" s="1"/>
      <c r="GF511" s="1"/>
      <c r="GG511" s="1"/>
      <c r="GH511" s="1"/>
      <c r="GI511" s="1"/>
      <c r="GN511" s="1"/>
      <c r="GP511" s="1"/>
      <c r="GR511" s="1"/>
      <c r="HF511" s="1"/>
      <c r="HH511" s="1"/>
      <c r="HN511" s="1"/>
      <c r="HT511" s="1"/>
      <c r="HY511" s="1"/>
      <c r="IE511" s="1"/>
      <c r="IR511" s="1"/>
      <c r="IS511" s="1"/>
      <c r="IZ511" s="1"/>
      <c r="JC511" s="1"/>
      <c r="JF511" s="1"/>
      <c r="JG511" s="1"/>
      <c r="JH511" s="1"/>
      <c r="JJ511" s="1"/>
      <c r="JN511" s="1"/>
      <c r="JP511" s="1"/>
      <c r="JQ511" s="1"/>
      <c r="KU511" s="1"/>
      <c r="KW511" s="1"/>
      <c r="KY511" s="1"/>
      <c r="KZ511" s="1"/>
      <c r="LA511" s="1"/>
      <c r="LB511" s="1"/>
      <c r="LC511" s="1"/>
      <c r="LD511" s="1"/>
      <c r="LO511" s="1"/>
      <c r="LP511" s="1"/>
      <c r="LZ511" s="1"/>
      <c r="MA511" s="1"/>
    </row>
    <row r="512" spans="4:339" ht="13" x14ac:dyDescent="0.15">
      <c r="D512" s="12"/>
      <c r="E512" s="12"/>
      <c r="I512" s="12"/>
      <c r="J512" s="13"/>
      <c r="BF512" s="1"/>
      <c r="BG512" s="1"/>
      <c r="BH512" s="1"/>
      <c r="BI512" s="1"/>
      <c r="BK512" s="1"/>
      <c r="BL512" s="1"/>
      <c r="BM512" s="1"/>
      <c r="BN512" s="1"/>
      <c r="BO512" s="1"/>
      <c r="BP512" s="1"/>
      <c r="BQ512" s="1"/>
      <c r="BR512" s="1"/>
      <c r="BX512" s="1"/>
      <c r="CD512" s="1"/>
      <c r="CE512" s="1"/>
      <c r="CF512" s="1"/>
      <c r="CG512" s="1"/>
      <c r="CH512" s="1"/>
      <c r="CI512" s="1"/>
      <c r="CK512" s="1"/>
      <c r="CM512" s="2"/>
      <c r="CN512" s="1"/>
      <c r="CO512" s="1"/>
      <c r="CP512" s="1"/>
      <c r="CQ512" s="1"/>
      <c r="CX512" s="1"/>
      <c r="CY512" s="1"/>
      <c r="CZ512" s="1"/>
      <c r="DA512" s="1"/>
      <c r="DB512" s="1"/>
      <c r="DC512" s="1"/>
      <c r="DD512" s="1"/>
      <c r="DE512" s="1"/>
      <c r="DF512" s="1"/>
      <c r="DG512" s="1"/>
      <c r="DH512" s="1"/>
      <c r="DI512" s="1"/>
      <c r="DJ512" s="1"/>
      <c r="DK512" s="1"/>
      <c r="DM512" s="1"/>
      <c r="DQ512" s="1"/>
      <c r="DR512" s="1"/>
      <c r="DY512" s="1"/>
      <c r="DZ512" s="1"/>
      <c r="ED512" s="1"/>
      <c r="EK512" s="1"/>
      <c r="EL512" s="1"/>
      <c r="EM512" s="1"/>
      <c r="EN512" s="1"/>
      <c r="EQ512" s="1"/>
      <c r="ER512" s="1"/>
      <c r="ES512" s="1"/>
      <c r="EV512" s="1"/>
      <c r="EW512" s="1"/>
      <c r="EZ512" s="1"/>
      <c r="FA512" s="1"/>
      <c r="FD512" s="1"/>
      <c r="GD512" s="1"/>
      <c r="GE512" s="1"/>
      <c r="GF512" s="1"/>
      <c r="GG512" s="1"/>
      <c r="GH512" s="1"/>
      <c r="GI512" s="1"/>
      <c r="GN512" s="1"/>
      <c r="GP512" s="1"/>
      <c r="GR512" s="1"/>
      <c r="HF512" s="1"/>
      <c r="HH512" s="1"/>
      <c r="HN512" s="1"/>
      <c r="HT512" s="1"/>
      <c r="HY512" s="1"/>
      <c r="IE512" s="1"/>
      <c r="IR512" s="1"/>
      <c r="IS512" s="1"/>
      <c r="IZ512" s="1"/>
      <c r="JC512" s="1"/>
      <c r="JF512" s="1"/>
      <c r="JG512" s="1"/>
      <c r="JH512" s="1"/>
      <c r="JJ512" s="1"/>
      <c r="JN512" s="1"/>
      <c r="JP512" s="1"/>
      <c r="JQ512" s="1"/>
      <c r="KU512" s="1"/>
      <c r="KW512" s="1"/>
      <c r="KY512" s="1"/>
      <c r="KZ512" s="1"/>
      <c r="LA512" s="1"/>
      <c r="LB512" s="1"/>
      <c r="LC512" s="1"/>
      <c r="LD512" s="1"/>
      <c r="LO512" s="1"/>
      <c r="LP512" s="1"/>
      <c r="LZ512" s="1"/>
      <c r="MA512" s="1"/>
    </row>
    <row r="513" spans="4:339" ht="13" x14ac:dyDescent="0.15">
      <c r="D513" s="12"/>
      <c r="E513" s="12"/>
      <c r="I513" s="12"/>
      <c r="J513" s="13"/>
      <c r="BF513" s="1"/>
      <c r="BG513" s="1"/>
      <c r="BH513" s="1"/>
      <c r="BI513" s="1"/>
      <c r="BK513" s="1"/>
      <c r="BL513" s="1"/>
      <c r="BM513" s="1"/>
      <c r="BN513" s="1"/>
      <c r="BO513" s="1"/>
      <c r="BP513" s="1"/>
      <c r="BQ513" s="1"/>
      <c r="BR513" s="1"/>
      <c r="CD513" s="1"/>
      <c r="CE513" s="1"/>
      <c r="CF513" s="1"/>
      <c r="CG513" s="1"/>
      <c r="CH513" s="1"/>
      <c r="CI513" s="1"/>
      <c r="CM513" s="2"/>
      <c r="CN513" s="1"/>
      <c r="CO513" s="1"/>
      <c r="CP513" s="1"/>
      <c r="CQ513" s="1"/>
      <c r="CR513" s="1"/>
      <c r="CS513" s="1"/>
      <c r="CT513" s="1"/>
      <c r="CU513" s="1"/>
      <c r="CV513" s="1"/>
      <c r="CW513" s="1"/>
      <c r="CX513" s="1"/>
      <c r="CY513" s="1"/>
      <c r="CZ513" s="1"/>
      <c r="DA513" s="1"/>
      <c r="DB513" s="1"/>
      <c r="DC513" s="1"/>
      <c r="DD513" s="1"/>
      <c r="DE513" s="1"/>
      <c r="DF513" s="1"/>
      <c r="DG513" s="1"/>
      <c r="DH513" s="1"/>
      <c r="DI513" s="1"/>
      <c r="DJ513" s="1"/>
      <c r="DK513" s="1"/>
      <c r="DM513" s="1"/>
      <c r="DQ513" s="1"/>
      <c r="DR513" s="1"/>
      <c r="DY513" s="1"/>
      <c r="DZ513" s="1"/>
      <c r="ED513" s="1"/>
      <c r="EE513" s="1"/>
      <c r="EF513" s="1"/>
      <c r="EG513" s="1"/>
      <c r="EH513" s="1"/>
      <c r="EK513" s="1"/>
      <c r="EL513" s="1"/>
      <c r="EM513" s="1"/>
      <c r="EN513" s="1"/>
      <c r="EQ513" s="1"/>
      <c r="ER513" s="1"/>
      <c r="ES513" s="1"/>
      <c r="EV513" s="1"/>
      <c r="EW513" s="1"/>
      <c r="EY513" s="1"/>
      <c r="EZ513" s="1"/>
      <c r="FA513" s="1"/>
      <c r="FD513" s="1"/>
      <c r="GD513" s="1"/>
      <c r="GE513" s="1"/>
      <c r="GF513" s="1"/>
      <c r="GG513" s="1"/>
      <c r="GH513" s="1"/>
      <c r="GI513" s="1"/>
      <c r="GO513" s="1"/>
      <c r="GP513" s="1"/>
      <c r="HH513" s="1"/>
      <c r="HT513" s="1"/>
      <c r="HY513" s="1"/>
      <c r="IC513" s="1"/>
      <c r="ID513" s="1"/>
      <c r="IE513" s="1"/>
      <c r="IF513" s="1"/>
      <c r="IG513" s="1"/>
      <c r="IJ513" s="1"/>
      <c r="IR513" s="1"/>
      <c r="IS513" s="1"/>
      <c r="IY513" s="1"/>
      <c r="IZ513" s="1"/>
      <c r="JC513" s="1"/>
      <c r="JF513" s="1"/>
      <c r="JG513" s="1"/>
      <c r="JH513" s="1"/>
      <c r="JJ513" s="1"/>
      <c r="JK513" s="1"/>
      <c r="JL513" s="3"/>
      <c r="JM513" s="1"/>
      <c r="JN513" s="1"/>
      <c r="JP513" s="1"/>
      <c r="JQ513" s="1"/>
      <c r="JR513" s="1"/>
      <c r="JT513" s="1"/>
      <c r="KU513" s="1"/>
      <c r="KV513" s="1"/>
      <c r="KW513" s="1"/>
      <c r="KY513" s="1"/>
      <c r="KZ513" s="1"/>
      <c r="LA513" s="1"/>
      <c r="LB513" s="1"/>
      <c r="LC513" s="1"/>
      <c r="LD513" s="1"/>
      <c r="LO513" s="1"/>
      <c r="LP513" s="1"/>
      <c r="LZ513" s="1"/>
      <c r="MA513" s="1"/>
    </row>
    <row r="514" spans="4:339" ht="13" x14ac:dyDescent="0.15">
      <c r="D514" s="12"/>
      <c r="E514" s="12"/>
      <c r="I514" s="12"/>
      <c r="J514" s="13"/>
      <c r="BF514" s="1"/>
      <c r="BG514" s="1"/>
      <c r="BH514" s="1"/>
      <c r="BI514" s="1"/>
      <c r="BK514" s="1"/>
      <c r="BL514" s="1"/>
      <c r="BM514" s="1"/>
      <c r="BN514" s="1"/>
      <c r="BO514" s="1"/>
      <c r="BP514" s="1"/>
      <c r="BQ514" s="1"/>
      <c r="BR514" s="1"/>
      <c r="CD514" s="1"/>
      <c r="CE514" s="1"/>
      <c r="CF514" s="1"/>
      <c r="CG514" s="1"/>
      <c r="CH514" s="1"/>
      <c r="CI514" s="1"/>
      <c r="CM514" s="2"/>
      <c r="CN514" s="1"/>
      <c r="CO514" s="1"/>
      <c r="CP514" s="1"/>
      <c r="CQ514" s="1"/>
      <c r="CR514" s="1"/>
      <c r="CS514" s="1"/>
      <c r="CT514" s="1"/>
      <c r="CU514" s="1"/>
      <c r="CV514" s="1"/>
      <c r="CW514" s="1"/>
      <c r="CX514" s="1"/>
      <c r="CY514" s="1"/>
      <c r="CZ514" s="1"/>
      <c r="DA514" s="1"/>
      <c r="DB514" s="1"/>
      <c r="DC514" s="1"/>
      <c r="DD514" s="1"/>
      <c r="DE514" s="1"/>
      <c r="DF514" s="1"/>
      <c r="DG514" s="1"/>
      <c r="DH514" s="1"/>
      <c r="DI514" s="1"/>
      <c r="DJ514" s="1"/>
      <c r="DK514" s="1"/>
      <c r="DM514" s="1"/>
      <c r="DQ514" s="1"/>
      <c r="DR514" s="1"/>
      <c r="DY514" s="1"/>
      <c r="DZ514" s="1"/>
      <c r="ED514" s="1"/>
      <c r="EE514" s="1"/>
      <c r="EF514" s="1"/>
      <c r="EG514" s="1"/>
      <c r="EH514" s="1"/>
      <c r="EK514" s="1"/>
      <c r="EL514" s="1"/>
      <c r="EM514" s="1"/>
      <c r="EN514" s="1"/>
      <c r="EQ514" s="1"/>
      <c r="ER514" s="1"/>
      <c r="ES514" s="1"/>
      <c r="EV514" s="1"/>
      <c r="EW514" s="1"/>
      <c r="EY514" s="1"/>
      <c r="EZ514" s="1"/>
      <c r="FA514" s="1"/>
      <c r="FD514" s="1"/>
      <c r="GD514" s="1"/>
      <c r="GE514" s="1"/>
      <c r="GF514" s="1"/>
      <c r="GG514" s="1"/>
      <c r="GH514" s="1"/>
      <c r="GI514" s="1"/>
      <c r="GO514" s="1"/>
      <c r="GP514" s="1"/>
      <c r="HH514" s="1"/>
      <c r="HT514" s="1"/>
      <c r="HY514" s="1"/>
      <c r="IC514" s="1"/>
      <c r="ID514" s="1"/>
      <c r="IE514" s="1"/>
      <c r="IF514" s="1"/>
      <c r="IG514" s="1"/>
      <c r="IJ514" s="1"/>
      <c r="IR514" s="1"/>
      <c r="IS514" s="1"/>
      <c r="IY514" s="1"/>
      <c r="IZ514" s="1"/>
      <c r="JC514" s="1"/>
      <c r="JF514" s="1"/>
      <c r="JG514" s="1"/>
      <c r="JH514" s="1"/>
      <c r="JJ514" s="1"/>
      <c r="JK514" s="1"/>
      <c r="JL514" s="3"/>
      <c r="JM514" s="1"/>
      <c r="JN514" s="1"/>
      <c r="JP514" s="1"/>
      <c r="JQ514" s="1"/>
      <c r="JR514" s="1"/>
      <c r="JT514" s="1"/>
      <c r="KU514" s="1"/>
      <c r="KV514" s="1"/>
      <c r="KW514" s="1"/>
      <c r="KY514" s="1"/>
      <c r="KZ514" s="1"/>
      <c r="LA514" s="1"/>
      <c r="LB514" s="1"/>
      <c r="LC514" s="1"/>
      <c r="LD514" s="1"/>
      <c r="LO514" s="1"/>
      <c r="LP514" s="1"/>
      <c r="LZ514" s="1"/>
      <c r="MA514" s="1"/>
    </row>
    <row r="515" spans="4:339" ht="13" x14ac:dyDescent="0.15">
      <c r="D515" s="12"/>
      <c r="E515" s="12"/>
      <c r="I515" s="12"/>
      <c r="J515" s="13"/>
      <c r="BF515" s="1"/>
      <c r="BG515" s="1"/>
      <c r="BH515" s="1"/>
      <c r="BI515" s="1"/>
      <c r="BK515" s="1"/>
      <c r="BL515" s="1"/>
      <c r="BM515" s="1"/>
      <c r="BN515" s="1"/>
      <c r="BO515" s="1"/>
      <c r="BP515" s="1"/>
      <c r="BQ515" s="1"/>
      <c r="BR515" s="1"/>
      <c r="CD515" s="1"/>
      <c r="CE515" s="1"/>
      <c r="CF515" s="1"/>
      <c r="CG515" s="1"/>
      <c r="CH515" s="1"/>
      <c r="CI515" s="1"/>
      <c r="CM515" s="2"/>
      <c r="CN515" s="1"/>
      <c r="CO515" s="1"/>
      <c r="CP515" s="1"/>
      <c r="CQ515" s="1"/>
      <c r="CR515" s="1"/>
      <c r="CS515" s="1"/>
      <c r="CT515" s="1"/>
      <c r="CU515" s="1"/>
      <c r="CV515" s="1"/>
      <c r="CW515" s="1"/>
      <c r="CX515" s="1"/>
      <c r="CY515" s="1"/>
      <c r="CZ515" s="1"/>
      <c r="DA515" s="1"/>
      <c r="DB515" s="1"/>
      <c r="DC515" s="1"/>
      <c r="DD515" s="1"/>
      <c r="DE515" s="1"/>
      <c r="DF515" s="1"/>
      <c r="DG515" s="1"/>
      <c r="DH515" s="1"/>
      <c r="DI515" s="1"/>
      <c r="DJ515" s="1"/>
      <c r="DK515" s="1"/>
      <c r="DM515" s="1"/>
      <c r="DQ515" s="1"/>
      <c r="DR515" s="1"/>
      <c r="DY515" s="1"/>
      <c r="DZ515" s="1"/>
      <c r="ED515" s="1"/>
      <c r="EE515" s="1"/>
      <c r="EF515" s="1"/>
      <c r="EG515" s="1"/>
      <c r="EH515" s="1"/>
      <c r="EK515" s="1"/>
      <c r="EL515" s="1"/>
      <c r="EM515" s="1"/>
      <c r="EN515" s="1"/>
      <c r="EQ515" s="1"/>
      <c r="ER515" s="1"/>
      <c r="ES515" s="1"/>
      <c r="EV515" s="1"/>
      <c r="EW515" s="1"/>
      <c r="EY515" s="1"/>
      <c r="EZ515" s="1"/>
      <c r="FA515" s="1"/>
      <c r="FD515" s="1"/>
      <c r="GD515" s="1"/>
      <c r="GE515" s="1"/>
      <c r="GF515" s="1"/>
      <c r="GG515" s="1"/>
      <c r="GH515" s="1"/>
      <c r="GI515" s="1"/>
      <c r="GO515" s="1"/>
      <c r="GP515" s="1"/>
      <c r="HH515" s="1"/>
      <c r="HT515" s="1"/>
      <c r="HY515" s="1"/>
      <c r="IC515" s="1"/>
      <c r="ID515" s="1"/>
      <c r="IE515" s="1"/>
      <c r="IF515" s="1"/>
      <c r="IG515" s="1"/>
      <c r="IJ515" s="1"/>
      <c r="IR515" s="1"/>
      <c r="IS515" s="1"/>
      <c r="IY515" s="1"/>
      <c r="IZ515" s="1"/>
      <c r="JC515" s="1"/>
      <c r="JF515" s="1"/>
      <c r="JG515" s="1"/>
      <c r="JH515" s="1"/>
      <c r="JJ515" s="1"/>
      <c r="JK515" s="1"/>
      <c r="JL515" s="3"/>
      <c r="JM515" s="1"/>
      <c r="JN515" s="1"/>
      <c r="JP515" s="1"/>
      <c r="JQ515" s="1"/>
      <c r="JR515" s="1"/>
      <c r="JT515" s="1"/>
      <c r="KU515" s="1"/>
      <c r="KV515" s="1"/>
      <c r="KW515" s="1"/>
      <c r="KY515" s="1"/>
      <c r="KZ515" s="1"/>
      <c r="LA515" s="1"/>
      <c r="LB515" s="1"/>
      <c r="LC515" s="1"/>
      <c r="LD515" s="1"/>
      <c r="LO515" s="1"/>
      <c r="LP515" s="1"/>
      <c r="LZ515" s="1"/>
      <c r="MA515" s="1"/>
    </row>
    <row r="516" spans="4:339" ht="13" x14ac:dyDescent="0.15">
      <c r="D516" s="12"/>
      <c r="E516" s="12"/>
      <c r="I516" s="12"/>
      <c r="J516" s="13"/>
      <c r="BF516" s="1"/>
      <c r="BG516" s="1"/>
      <c r="BH516" s="1"/>
      <c r="BI516" s="1"/>
      <c r="BK516" s="1"/>
      <c r="BL516" s="1"/>
      <c r="BM516" s="1"/>
      <c r="BN516" s="1"/>
      <c r="BO516" s="1"/>
      <c r="BP516" s="1"/>
      <c r="BQ516" s="1"/>
      <c r="BR516" s="1"/>
      <c r="CD516" s="1"/>
      <c r="CE516" s="1"/>
      <c r="CF516" s="1"/>
      <c r="CG516" s="1"/>
      <c r="CH516" s="1"/>
      <c r="CI516" s="1"/>
      <c r="CM516" s="2"/>
      <c r="CN516" s="1"/>
      <c r="CO516" s="1"/>
      <c r="CP516" s="1"/>
      <c r="CQ516" s="1"/>
      <c r="CR516" s="1"/>
      <c r="CS516" s="1"/>
      <c r="CT516" s="1"/>
      <c r="CU516" s="1"/>
      <c r="CV516" s="1"/>
      <c r="CW516" s="1"/>
      <c r="CX516" s="1"/>
      <c r="CY516" s="1"/>
      <c r="CZ516" s="1"/>
      <c r="DA516" s="1"/>
      <c r="DB516" s="1"/>
      <c r="DC516" s="1"/>
      <c r="DD516" s="1"/>
      <c r="DE516" s="1"/>
      <c r="DF516" s="1"/>
      <c r="DG516" s="1"/>
      <c r="DH516" s="1"/>
      <c r="DI516" s="1"/>
      <c r="DJ516" s="1"/>
      <c r="DK516" s="1"/>
      <c r="DM516" s="1"/>
      <c r="DQ516" s="1"/>
      <c r="DR516" s="1"/>
      <c r="DY516" s="1"/>
      <c r="DZ516" s="1"/>
      <c r="ED516" s="1"/>
      <c r="EE516" s="1"/>
      <c r="EF516" s="1"/>
      <c r="EG516" s="1"/>
      <c r="EH516" s="1"/>
      <c r="EK516" s="1"/>
      <c r="EL516" s="1"/>
      <c r="EM516" s="1"/>
      <c r="EN516" s="1"/>
      <c r="EQ516" s="1"/>
      <c r="ER516" s="1"/>
      <c r="ES516" s="1"/>
      <c r="EV516" s="1"/>
      <c r="EW516" s="1"/>
      <c r="EY516" s="1"/>
      <c r="EZ516" s="1"/>
      <c r="FA516" s="1"/>
      <c r="FD516" s="1"/>
      <c r="GD516" s="1"/>
      <c r="GE516" s="1"/>
      <c r="GF516" s="1"/>
      <c r="GG516" s="1"/>
      <c r="GH516" s="1"/>
      <c r="GI516" s="1"/>
      <c r="GO516" s="1"/>
      <c r="GP516" s="1"/>
      <c r="HH516" s="1"/>
      <c r="HT516" s="1"/>
      <c r="HY516" s="1"/>
      <c r="IC516" s="1"/>
      <c r="ID516" s="1"/>
      <c r="IE516" s="1"/>
      <c r="IF516" s="1"/>
      <c r="IG516" s="1"/>
      <c r="IJ516" s="1"/>
      <c r="IR516" s="1"/>
      <c r="IS516" s="1"/>
      <c r="IY516" s="1"/>
      <c r="IZ516" s="1"/>
      <c r="JC516" s="1"/>
      <c r="JF516" s="1"/>
      <c r="JG516" s="1"/>
      <c r="JH516" s="1"/>
      <c r="JJ516" s="1"/>
      <c r="JK516" s="1"/>
      <c r="JL516" s="3"/>
      <c r="JM516" s="1"/>
      <c r="JN516" s="1"/>
      <c r="JP516" s="1"/>
      <c r="JQ516" s="1"/>
      <c r="JR516" s="1"/>
      <c r="JT516" s="1"/>
      <c r="KU516" s="1"/>
      <c r="KV516" s="1"/>
      <c r="KW516" s="1"/>
      <c r="KY516" s="1"/>
      <c r="KZ516" s="1"/>
      <c r="LA516" s="1"/>
      <c r="LB516" s="1"/>
      <c r="LC516" s="1"/>
      <c r="LD516" s="1"/>
      <c r="LO516" s="1"/>
      <c r="LP516" s="1"/>
      <c r="LZ516" s="1"/>
      <c r="MA516" s="1"/>
    </row>
    <row r="517" spans="4:339" ht="13" x14ac:dyDescent="0.15">
      <c r="D517" s="12"/>
      <c r="E517" s="12"/>
      <c r="I517" s="12"/>
      <c r="J517" s="13"/>
      <c r="BF517" s="1"/>
      <c r="BG517" s="1"/>
      <c r="BH517" s="1"/>
      <c r="BI517" s="1"/>
      <c r="BK517" s="1"/>
      <c r="BL517" s="1"/>
      <c r="BM517" s="1"/>
      <c r="BN517" s="1"/>
      <c r="BO517" s="1"/>
      <c r="BP517" s="1"/>
      <c r="BQ517" s="1"/>
      <c r="BR517" s="1"/>
      <c r="CD517" s="1"/>
      <c r="CE517" s="1"/>
      <c r="CF517" s="1"/>
      <c r="CG517" s="1"/>
      <c r="CH517" s="1"/>
      <c r="CI517" s="1"/>
      <c r="CM517" s="2"/>
      <c r="CN517" s="1"/>
      <c r="CO517" s="1"/>
      <c r="CP517" s="1"/>
      <c r="CQ517" s="1"/>
      <c r="CR517" s="1"/>
      <c r="CS517" s="1"/>
      <c r="CT517" s="1"/>
      <c r="CU517" s="1"/>
      <c r="CV517" s="1"/>
      <c r="CW517" s="1"/>
      <c r="CX517" s="1"/>
      <c r="CY517" s="1"/>
      <c r="CZ517" s="1"/>
      <c r="DA517" s="1"/>
      <c r="DB517" s="1"/>
      <c r="DC517" s="1"/>
      <c r="DD517" s="1"/>
      <c r="DE517" s="1"/>
      <c r="DF517" s="1"/>
      <c r="DG517" s="1"/>
      <c r="DH517" s="1"/>
      <c r="DI517" s="1"/>
      <c r="DJ517" s="1"/>
      <c r="DK517" s="1"/>
      <c r="DM517" s="1"/>
      <c r="DQ517" s="1"/>
      <c r="DR517" s="1"/>
      <c r="DY517" s="1"/>
      <c r="DZ517" s="1"/>
      <c r="ED517" s="1"/>
      <c r="EE517" s="1"/>
      <c r="EF517" s="1"/>
      <c r="EG517" s="1"/>
      <c r="EH517" s="1"/>
      <c r="EK517" s="1"/>
      <c r="EL517" s="1"/>
      <c r="EM517" s="1"/>
      <c r="EN517" s="1"/>
      <c r="EQ517" s="1"/>
      <c r="ER517" s="1"/>
      <c r="ES517" s="1"/>
      <c r="EV517" s="1"/>
      <c r="EW517" s="1"/>
      <c r="EY517" s="1"/>
      <c r="EZ517" s="1"/>
      <c r="FA517" s="1"/>
      <c r="FD517" s="1"/>
      <c r="GD517" s="1"/>
      <c r="GE517" s="1"/>
      <c r="GF517" s="1"/>
      <c r="GG517" s="1"/>
      <c r="GH517" s="1"/>
      <c r="GI517" s="1"/>
      <c r="GO517" s="1"/>
      <c r="GP517" s="1"/>
      <c r="HH517" s="1"/>
      <c r="HT517" s="1"/>
      <c r="HY517" s="1"/>
      <c r="IC517" s="1"/>
      <c r="ID517" s="1"/>
      <c r="IE517" s="1"/>
      <c r="IF517" s="1"/>
      <c r="IG517" s="1"/>
      <c r="IJ517" s="1"/>
      <c r="IR517" s="1"/>
      <c r="IS517" s="1"/>
      <c r="IY517" s="1"/>
      <c r="IZ517" s="1"/>
      <c r="JC517" s="1"/>
      <c r="JF517" s="1"/>
      <c r="JG517" s="1"/>
      <c r="JH517" s="1"/>
      <c r="JJ517" s="1"/>
      <c r="JK517" s="1"/>
      <c r="JL517" s="3"/>
      <c r="JM517" s="1"/>
      <c r="JN517" s="1"/>
      <c r="JP517" s="1"/>
      <c r="JQ517" s="1"/>
      <c r="JR517" s="1"/>
      <c r="JT517" s="1"/>
      <c r="KU517" s="1"/>
      <c r="KV517" s="1"/>
      <c r="KW517" s="1"/>
      <c r="KY517" s="1"/>
      <c r="KZ517" s="1"/>
      <c r="LA517" s="1"/>
      <c r="LB517" s="1"/>
      <c r="LC517" s="1"/>
      <c r="LD517" s="1"/>
      <c r="LO517" s="1"/>
      <c r="LP517" s="1"/>
      <c r="LZ517" s="1"/>
      <c r="MA517" s="1"/>
    </row>
    <row r="518" spans="4:339" ht="13" x14ac:dyDescent="0.15">
      <c r="D518" s="12"/>
      <c r="E518" s="12"/>
      <c r="I518" s="12"/>
      <c r="J518" s="13"/>
      <c r="BF518" s="1"/>
      <c r="BG518" s="1"/>
      <c r="BH518" s="1"/>
      <c r="BI518" s="1"/>
      <c r="BK518" s="1"/>
      <c r="BL518" s="1"/>
      <c r="BM518" s="1"/>
      <c r="BN518" s="1"/>
      <c r="BO518" s="1"/>
      <c r="BP518" s="1"/>
      <c r="BQ518" s="1"/>
      <c r="BR518" s="1"/>
      <c r="CD518" s="1"/>
      <c r="CE518" s="1"/>
      <c r="CF518" s="1"/>
      <c r="CG518" s="1"/>
      <c r="CH518" s="1"/>
      <c r="CI518" s="1"/>
      <c r="CM518" s="2"/>
      <c r="CN518" s="1"/>
      <c r="CO518" s="1"/>
      <c r="CP518" s="1"/>
      <c r="CQ518" s="1"/>
      <c r="CR518" s="1"/>
      <c r="CS518" s="1"/>
      <c r="CT518" s="1"/>
      <c r="CU518" s="1"/>
      <c r="CV518" s="1"/>
      <c r="CW518" s="1"/>
      <c r="CX518" s="1"/>
      <c r="CY518" s="1"/>
      <c r="CZ518" s="1"/>
      <c r="DA518" s="1"/>
      <c r="DB518" s="1"/>
      <c r="DC518" s="1"/>
      <c r="DD518" s="1"/>
      <c r="DE518" s="1"/>
      <c r="DF518" s="1"/>
      <c r="DG518" s="1"/>
      <c r="DH518" s="1"/>
      <c r="DI518" s="1"/>
      <c r="DJ518" s="1"/>
      <c r="DK518" s="1"/>
      <c r="DM518" s="1"/>
      <c r="DQ518" s="1"/>
      <c r="DR518" s="1"/>
      <c r="DY518" s="1"/>
      <c r="DZ518" s="1"/>
      <c r="ED518" s="1"/>
      <c r="EE518" s="1"/>
      <c r="EF518" s="1"/>
      <c r="EG518" s="1"/>
      <c r="EH518" s="1"/>
      <c r="EK518" s="1"/>
      <c r="EL518" s="1"/>
      <c r="EM518" s="1"/>
      <c r="EN518" s="1"/>
      <c r="EQ518" s="1"/>
      <c r="ER518" s="1"/>
      <c r="ES518" s="1"/>
      <c r="EV518" s="1"/>
      <c r="EW518" s="1"/>
      <c r="EY518" s="1"/>
      <c r="EZ518" s="1"/>
      <c r="FA518" s="1"/>
      <c r="FD518" s="1"/>
      <c r="GD518" s="1"/>
      <c r="GE518" s="1"/>
      <c r="GF518" s="1"/>
      <c r="GG518" s="1"/>
      <c r="GH518" s="1"/>
      <c r="GI518" s="1"/>
      <c r="GO518" s="1"/>
      <c r="GP518" s="1"/>
      <c r="HH518" s="1"/>
      <c r="HT518" s="1"/>
      <c r="HY518" s="1"/>
      <c r="IC518" s="1"/>
      <c r="ID518" s="1"/>
      <c r="IE518" s="1"/>
      <c r="IF518" s="1"/>
      <c r="IG518" s="1"/>
      <c r="IJ518" s="1"/>
      <c r="IR518" s="1"/>
      <c r="IS518" s="1"/>
      <c r="IY518" s="1"/>
      <c r="IZ518" s="1"/>
      <c r="JC518" s="1"/>
      <c r="JF518" s="1"/>
      <c r="JG518" s="1"/>
      <c r="JH518" s="1"/>
      <c r="JJ518" s="1"/>
      <c r="JK518" s="1"/>
      <c r="JL518" s="3"/>
      <c r="JM518" s="1"/>
      <c r="JN518" s="1"/>
      <c r="JP518" s="1"/>
      <c r="JQ518" s="1"/>
      <c r="JR518" s="1"/>
      <c r="JT518" s="1"/>
      <c r="KU518" s="1"/>
      <c r="KV518" s="1"/>
      <c r="KW518" s="1"/>
      <c r="KY518" s="1"/>
      <c r="KZ518" s="1"/>
      <c r="LA518" s="1"/>
      <c r="LB518" s="1"/>
      <c r="LC518" s="1"/>
      <c r="LD518" s="1"/>
      <c r="LO518" s="1"/>
      <c r="LP518" s="1"/>
      <c r="LZ518" s="1"/>
      <c r="MA518" s="1"/>
    </row>
    <row r="519" spans="4:339" ht="13" x14ac:dyDescent="0.15">
      <c r="D519" s="12"/>
      <c r="E519" s="12"/>
      <c r="I519" s="12"/>
      <c r="J519" s="13"/>
      <c r="BF519" s="1"/>
      <c r="BG519" s="1"/>
      <c r="BH519" s="1"/>
      <c r="BI519" s="1"/>
      <c r="BK519" s="1"/>
      <c r="BL519" s="1"/>
      <c r="BM519" s="1"/>
      <c r="BN519" s="1"/>
      <c r="BO519" s="1"/>
      <c r="BP519" s="1"/>
      <c r="BQ519" s="1"/>
      <c r="BR519" s="1"/>
      <c r="CD519" s="1"/>
      <c r="CE519" s="1"/>
      <c r="CF519" s="1"/>
      <c r="CG519" s="1"/>
      <c r="CH519" s="1"/>
      <c r="CI519" s="1"/>
      <c r="CM519" s="2"/>
      <c r="CN519" s="1"/>
      <c r="CO519" s="1"/>
      <c r="CP519" s="1"/>
      <c r="CQ519" s="1"/>
      <c r="CR519" s="1"/>
      <c r="CS519" s="1"/>
      <c r="CT519" s="1"/>
      <c r="CU519" s="1"/>
      <c r="CV519" s="1"/>
      <c r="CW519" s="1"/>
      <c r="CX519" s="1"/>
      <c r="CY519" s="1"/>
      <c r="CZ519" s="1"/>
      <c r="DA519" s="1"/>
      <c r="DB519" s="1"/>
      <c r="DC519" s="1"/>
      <c r="DD519" s="1"/>
      <c r="DE519" s="1"/>
      <c r="DF519" s="1"/>
      <c r="DG519" s="1"/>
      <c r="DH519" s="1"/>
      <c r="DI519" s="1"/>
      <c r="DJ519" s="1"/>
      <c r="DK519" s="1"/>
      <c r="DM519" s="1"/>
      <c r="DQ519" s="1"/>
      <c r="DR519" s="1"/>
      <c r="DY519" s="1"/>
      <c r="DZ519" s="1"/>
      <c r="ED519" s="1"/>
      <c r="EE519" s="1"/>
      <c r="EF519" s="1"/>
      <c r="EG519" s="1"/>
      <c r="EH519" s="1"/>
      <c r="EK519" s="1"/>
      <c r="EL519" s="1"/>
      <c r="EM519" s="1"/>
      <c r="EN519" s="1"/>
      <c r="EQ519" s="1"/>
      <c r="ER519" s="1"/>
      <c r="ES519" s="1"/>
      <c r="EV519" s="1"/>
      <c r="EW519" s="1"/>
      <c r="EY519" s="1"/>
      <c r="EZ519" s="1"/>
      <c r="FA519" s="1"/>
      <c r="FD519" s="1"/>
      <c r="GD519" s="1"/>
      <c r="GE519" s="1"/>
      <c r="GF519" s="1"/>
      <c r="GG519" s="1"/>
      <c r="GH519" s="1"/>
      <c r="GI519" s="1"/>
      <c r="GO519" s="1"/>
      <c r="GP519" s="1"/>
      <c r="HH519" s="1"/>
      <c r="HT519" s="1"/>
      <c r="HY519" s="1"/>
      <c r="IC519" s="1"/>
      <c r="ID519" s="1"/>
      <c r="IE519" s="1"/>
      <c r="IF519" s="1"/>
      <c r="IG519" s="1"/>
      <c r="IJ519" s="1"/>
      <c r="IR519" s="1"/>
      <c r="IS519" s="1"/>
      <c r="IY519" s="1"/>
      <c r="IZ519" s="1"/>
      <c r="JC519" s="1"/>
      <c r="JF519" s="1"/>
      <c r="JG519" s="1"/>
      <c r="JH519" s="1"/>
      <c r="JJ519" s="1"/>
      <c r="JK519" s="1"/>
      <c r="JL519" s="3"/>
      <c r="JM519" s="1"/>
      <c r="JN519" s="1"/>
      <c r="JP519" s="1"/>
      <c r="JQ519" s="1"/>
      <c r="JR519" s="1"/>
      <c r="JT519" s="1"/>
      <c r="KU519" s="1"/>
      <c r="KV519" s="1"/>
      <c r="KW519" s="1"/>
      <c r="KY519" s="1"/>
      <c r="KZ519" s="1"/>
      <c r="LA519" s="1"/>
      <c r="LB519" s="1"/>
      <c r="LC519" s="1"/>
      <c r="LD519" s="1"/>
      <c r="LO519" s="1"/>
      <c r="LP519" s="1"/>
      <c r="LZ519" s="1"/>
      <c r="MA519" s="1"/>
    </row>
    <row r="520" spans="4:339" ht="13" x14ac:dyDescent="0.15">
      <c r="D520" s="12"/>
      <c r="E520" s="12"/>
      <c r="I520" s="12"/>
      <c r="J520" s="13"/>
      <c r="BF520" s="1"/>
      <c r="BG520" s="1"/>
      <c r="BH520" s="1"/>
      <c r="BI520" s="1"/>
      <c r="BK520" s="1"/>
      <c r="BL520" s="1"/>
      <c r="BM520" s="1"/>
      <c r="BN520" s="1"/>
      <c r="BO520" s="1"/>
      <c r="BP520" s="1"/>
      <c r="BQ520" s="1"/>
      <c r="BR520" s="1"/>
      <c r="CD520" s="1"/>
      <c r="CE520" s="1"/>
      <c r="CF520" s="1"/>
      <c r="CG520" s="1"/>
      <c r="CH520" s="1"/>
      <c r="CI520" s="1"/>
      <c r="CM520" s="2"/>
      <c r="CN520" s="1"/>
      <c r="CO520" s="1"/>
      <c r="CP520" s="1"/>
      <c r="CQ520" s="1"/>
      <c r="CR520" s="1"/>
      <c r="CS520" s="1"/>
      <c r="CT520" s="1"/>
      <c r="CU520" s="1"/>
      <c r="CV520" s="1"/>
      <c r="CW520" s="1"/>
      <c r="CX520" s="1"/>
      <c r="CY520" s="1"/>
      <c r="CZ520" s="1"/>
      <c r="DA520" s="1"/>
      <c r="DB520" s="1"/>
      <c r="DC520" s="1"/>
      <c r="DD520" s="1"/>
      <c r="DE520" s="1"/>
      <c r="DF520" s="1"/>
      <c r="DG520" s="1"/>
      <c r="DH520" s="1"/>
      <c r="DI520" s="1"/>
      <c r="DJ520" s="1"/>
      <c r="DK520" s="1"/>
      <c r="DM520" s="1"/>
      <c r="DQ520" s="1"/>
      <c r="DR520" s="1"/>
      <c r="DY520" s="1"/>
      <c r="DZ520" s="1"/>
      <c r="ED520" s="1"/>
      <c r="EE520" s="1"/>
      <c r="EF520" s="1"/>
      <c r="EG520" s="1"/>
      <c r="EH520" s="1"/>
      <c r="EK520" s="1"/>
      <c r="EL520" s="1"/>
      <c r="EM520" s="1"/>
      <c r="EN520" s="1"/>
      <c r="EQ520" s="1"/>
      <c r="ER520" s="1"/>
      <c r="ES520" s="1"/>
      <c r="EV520" s="1"/>
      <c r="EW520" s="1"/>
      <c r="EY520" s="1"/>
      <c r="EZ520" s="1"/>
      <c r="FA520" s="1"/>
      <c r="FD520" s="1"/>
      <c r="GD520" s="1"/>
      <c r="GE520" s="1"/>
      <c r="GF520" s="1"/>
      <c r="GG520" s="1"/>
      <c r="GH520" s="1"/>
      <c r="GI520" s="1"/>
      <c r="GO520" s="1"/>
      <c r="GP520" s="1"/>
      <c r="HH520" s="1"/>
      <c r="HT520" s="1"/>
      <c r="HY520" s="1"/>
      <c r="IC520" s="1"/>
      <c r="ID520" s="1"/>
      <c r="IE520" s="1"/>
      <c r="IF520" s="1"/>
      <c r="IG520" s="1"/>
      <c r="IJ520" s="1"/>
      <c r="IR520" s="1"/>
      <c r="IS520" s="1"/>
      <c r="IY520" s="1"/>
      <c r="IZ520" s="1"/>
      <c r="JC520" s="1"/>
      <c r="JF520" s="1"/>
      <c r="JG520" s="1"/>
      <c r="JH520" s="1"/>
      <c r="JJ520" s="1"/>
      <c r="JK520" s="1"/>
      <c r="JL520" s="3"/>
      <c r="JM520" s="1"/>
      <c r="JN520" s="1"/>
      <c r="JP520" s="1"/>
      <c r="JQ520" s="1"/>
      <c r="JR520" s="1"/>
      <c r="JT520" s="1"/>
      <c r="KU520" s="1"/>
      <c r="KV520" s="1"/>
      <c r="KW520" s="1"/>
      <c r="KY520" s="1"/>
      <c r="KZ520" s="1"/>
      <c r="LA520" s="1"/>
      <c r="LB520" s="1"/>
      <c r="LC520" s="1"/>
      <c r="LD520" s="1"/>
      <c r="LO520" s="1"/>
      <c r="LP520" s="1"/>
      <c r="LZ520" s="1"/>
      <c r="MA520" s="1"/>
    </row>
    <row r="521" spans="4:339" ht="13" x14ac:dyDescent="0.15">
      <c r="D521" s="12"/>
      <c r="E521" s="12"/>
      <c r="I521" s="12"/>
      <c r="J521" s="13"/>
      <c r="BF521" s="1"/>
      <c r="BG521" s="1"/>
      <c r="BH521" s="1"/>
      <c r="BI521" s="1"/>
      <c r="BK521" s="1"/>
      <c r="BL521" s="1"/>
      <c r="BM521" s="1"/>
      <c r="BN521" s="1"/>
      <c r="BO521" s="1"/>
      <c r="BP521" s="1"/>
      <c r="BQ521" s="1"/>
      <c r="BR521" s="1"/>
      <c r="CD521" s="1"/>
      <c r="CE521" s="1"/>
      <c r="CF521" s="1"/>
      <c r="CG521" s="1"/>
      <c r="CH521" s="1"/>
      <c r="CI521" s="1"/>
      <c r="CM521" s="2"/>
      <c r="CN521" s="1"/>
      <c r="CO521" s="1"/>
      <c r="CP521" s="1"/>
      <c r="CQ521" s="1"/>
      <c r="CR521" s="1"/>
      <c r="CS521" s="1"/>
      <c r="CT521" s="1"/>
      <c r="CU521" s="1"/>
      <c r="CV521" s="1"/>
      <c r="CW521" s="1"/>
      <c r="CX521" s="1"/>
      <c r="CY521" s="1"/>
      <c r="CZ521" s="1"/>
      <c r="DA521" s="1"/>
      <c r="DB521" s="1"/>
      <c r="DC521" s="1"/>
      <c r="DD521" s="1"/>
      <c r="DE521" s="1"/>
      <c r="DF521" s="1"/>
      <c r="DG521" s="1"/>
      <c r="DH521" s="1"/>
      <c r="DI521" s="1"/>
      <c r="DJ521" s="1"/>
      <c r="DK521" s="1"/>
      <c r="DM521" s="1"/>
      <c r="DQ521" s="1"/>
      <c r="DR521" s="1"/>
      <c r="DY521" s="1"/>
      <c r="DZ521" s="1"/>
      <c r="ED521" s="1"/>
      <c r="EE521" s="1"/>
      <c r="EF521" s="1"/>
      <c r="EG521" s="1"/>
      <c r="EH521" s="1"/>
      <c r="EK521" s="1"/>
      <c r="EL521" s="1"/>
      <c r="EM521" s="1"/>
      <c r="EN521" s="1"/>
      <c r="EQ521" s="1"/>
      <c r="ER521" s="1"/>
      <c r="ES521" s="1"/>
      <c r="EV521" s="1"/>
      <c r="EW521" s="1"/>
      <c r="EY521" s="1"/>
      <c r="EZ521" s="1"/>
      <c r="FA521" s="1"/>
      <c r="FD521" s="1"/>
      <c r="GD521" s="1"/>
      <c r="GE521" s="1"/>
      <c r="GF521" s="1"/>
      <c r="GG521" s="1"/>
      <c r="GH521" s="1"/>
      <c r="GI521" s="1"/>
      <c r="GO521" s="1"/>
      <c r="GP521" s="1"/>
      <c r="HH521" s="1"/>
      <c r="HT521" s="1"/>
      <c r="HY521" s="1"/>
      <c r="IC521" s="1"/>
      <c r="ID521" s="1"/>
      <c r="IE521" s="1"/>
      <c r="IF521" s="1"/>
      <c r="IG521" s="1"/>
      <c r="IJ521" s="1"/>
      <c r="IR521" s="1"/>
      <c r="IS521" s="1"/>
      <c r="IY521" s="1"/>
      <c r="IZ521" s="1"/>
      <c r="JC521" s="1"/>
      <c r="JF521" s="1"/>
      <c r="JG521" s="1"/>
      <c r="JH521" s="1"/>
      <c r="JJ521" s="1"/>
      <c r="JK521" s="1"/>
      <c r="JL521" s="3"/>
      <c r="JM521" s="1"/>
      <c r="JN521" s="1"/>
      <c r="JP521" s="1"/>
      <c r="JQ521" s="1"/>
      <c r="JR521" s="1"/>
      <c r="JT521" s="1"/>
      <c r="KU521" s="1"/>
      <c r="KV521" s="1"/>
      <c r="KW521" s="1"/>
      <c r="KY521" s="1"/>
      <c r="KZ521" s="1"/>
      <c r="LA521" s="1"/>
      <c r="LB521" s="1"/>
      <c r="LC521" s="1"/>
      <c r="LD521" s="1"/>
      <c r="LO521" s="1"/>
      <c r="LP521" s="1"/>
      <c r="LZ521" s="1"/>
      <c r="MA521" s="1"/>
    </row>
    <row r="522" spans="4:339" ht="13" x14ac:dyDescent="0.15">
      <c r="D522" s="12"/>
      <c r="E522" s="12"/>
      <c r="I522" s="12"/>
      <c r="J522" s="13"/>
      <c r="BF522" s="1"/>
      <c r="BG522" s="1"/>
      <c r="BH522" s="1"/>
      <c r="BI522" s="1"/>
      <c r="BK522" s="1"/>
      <c r="BL522" s="1"/>
      <c r="BM522" s="1"/>
      <c r="BN522" s="1"/>
      <c r="BO522" s="1"/>
      <c r="BP522" s="1"/>
      <c r="BQ522" s="1"/>
      <c r="BR522" s="1"/>
      <c r="CD522" s="1"/>
      <c r="CE522" s="1"/>
      <c r="CF522" s="1"/>
      <c r="CG522" s="1"/>
      <c r="CH522" s="1"/>
      <c r="CI522" s="1"/>
      <c r="CM522" s="2"/>
      <c r="CN522" s="1"/>
      <c r="CO522" s="1"/>
      <c r="CP522" s="1"/>
      <c r="CQ522" s="1"/>
      <c r="CR522" s="1"/>
      <c r="CS522" s="1"/>
      <c r="CT522" s="1"/>
      <c r="CU522" s="1"/>
      <c r="CV522" s="1"/>
      <c r="CW522" s="1"/>
      <c r="CX522" s="1"/>
      <c r="CY522" s="1"/>
      <c r="CZ522" s="1"/>
      <c r="DA522" s="1"/>
      <c r="DB522" s="1"/>
      <c r="DC522" s="1"/>
      <c r="DD522" s="1"/>
      <c r="DE522" s="1"/>
      <c r="DF522" s="1"/>
      <c r="DG522" s="1"/>
      <c r="DH522" s="1"/>
      <c r="DI522" s="1"/>
      <c r="DJ522" s="1"/>
      <c r="DK522" s="1"/>
      <c r="DM522" s="1"/>
      <c r="DQ522" s="1"/>
      <c r="DR522" s="1"/>
      <c r="DY522" s="1"/>
      <c r="DZ522" s="1"/>
      <c r="ED522" s="1"/>
      <c r="EE522" s="1"/>
      <c r="EF522" s="1"/>
      <c r="EG522" s="1"/>
      <c r="EH522" s="1"/>
      <c r="EK522" s="1"/>
      <c r="EL522" s="1"/>
      <c r="EM522" s="1"/>
      <c r="EN522" s="1"/>
      <c r="EQ522" s="1"/>
      <c r="ER522" s="1"/>
      <c r="ES522" s="1"/>
      <c r="EV522" s="1"/>
      <c r="EW522" s="1"/>
      <c r="EY522" s="1"/>
      <c r="EZ522" s="1"/>
      <c r="FA522" s="1"/>
      <c r="FD522" s="1"/>
      <c r="GD522" s="1"/>
      <c r="GE522" s="1"/>
      <c r="GF522" s="1"/>
      <c r="GG522" s="1"/>
      <c r="GH522" s="1"/>
      <c r="GI522" s="1"/>
      <c r="GO522" s="1"/>
      <c r="GP522" s="1"/>
      <c r="HH522" s="1"/>
      <c r="HT522" s="1"/>
      <c r="HY522" s="1"/>
      <c r="IC522" s="1"/>
      <c r="ID522" s="1"/>
      <c r="IE522" s="1"/>
      <c r="IF522" s="1"/>
      <c r="IG522" s="1"/>
      <c r="IJ522" s="1"/>
      <c r="IR522" s="1"/>
      <c r="IS522" s="1"/>
      <c r="IY522" s="1"/>
      <c r="IZ522" s="1"/>
      <c r="JC522" s="1"/>
      <c r="JF522" s="1"/>
      <c r="JG522" s="1"/>
      <c r="JH522" s="1"/>
      <c r="JJ522" s="1"/>
      <c r="JK522" s="1"/>
      <c r="JL522" s="3"/>
      <c r="JM522" s="1"/>
      <c r="JN522" s="1"/>
      <c r="JP522" s="1"/>
      <c r="JQ522" s="1"/>
      <c r="JR522" s="1"/>
      <c r="JT522" s="1"/>
      <c r="KU522" s="1"/>
      <c r="KV522" s="1"/>
      <c r="KW522" s="1"/>
      <c r="KY522" s="1"/>
      <c r="KZ522" s="1"/>
      <c r="LA522" s="1"/>
      <c r="LB522" s="1"/>
      <c r="LC522" s="1"/>
      <c r="LD522" s="1"/>
      <c r="LO522" s="1"/>
      <c r="LP522" s="1"/>
      <c r="LZ522" s="1"/>
      <c r="MA522" s="1"/>
    </row>
    <row r="523" spans="4:339" ht="13" x14ac:dyDescent="0.15">
      <c r="D523" s="12"/>
      <c r="E523" s="12"/>
      <c r="I523" s="12"/>
      <c r="J523" s="13"/>
      <c r="BF523" s="1"/>
      <c r="BG523" s="1"/>
      <c r="BH523" s="1"/>
      <c r="BI523" s="1"/>
      <c r="BK523" s="1"/>
      <c r="BL523" s="1"/>
      <c r="BM523" s="1"/>
      <c r="BN523" s="1"/>
      <c r="BO523" s="1"/>
      <c r="BP523" s="1"/>
      <c r="BQ523" s="1"/>
      <c r="BR523" s="1"/>
      <c r="CD523" s="1"/>
      <c r="CE523" s="1"/>
      <c r="CF523" s="1"/>
      <c r="CG523" s="1"/>
      <c r="CH523" s="1"/>
      <c r="CI523" s="1"/>
      <c r="CM523" s="2"/>
      <c r="CN523" s="1"/>
      <c r="CO523" s="1"/>
      <c r="CP523" s="1"/>
      <c r="CQ523" s="1"/>
      <c r="CR523" s="1"/>
      <c r="CS523" s="1"/>
      <c r="CT523" s="1"/>
      <c r="CU523" s="1"/>
      <c r="CV523" s="1"/>
      <c r="CW523" s="1"/>
      <c r="CX523" s="1"/>
      <c r="CY523" s="1"/>
      <c r="CZ523" s="1"/>
      <c r="DA523" s="1"/>
      <c r="DB523" s="1"/>
      <c r="DC523" s="1"/>
      <c r="DD523" s="1"/>
      <c r="DE523" s="1"/>
      <c r="DF523" s="1"/>
      <c r="DG523" s="1"/>
      <c r="DH523" s="1"/>
      <c r="DI523" s="1"/>
      <c r="DJ523" s="1"/>
      <c r="DK523" s="1"/>
      <c r="DM523" s="1"/>
      <c r="DQ523" s="1"/>
      <c r="DR523" s="1"/>
      <c r="DY523" s="1"/>
      <c r="DZ523" s="1"/>
      <c r="ED523" s="1"/>
      <c r="EE523" s="1"/>
      <c r="EF523" s="1"/>
      <c r="EG523" s="1"/>
      <c r="EH523" s="1"/>
      <c r="EK523" s="1"/>
      <c r="EL523" s="1"/>
      <c r="EM523" s="1"/>
      <c r="EN523" s="1"/>
      <c r="EQ523" s="1"/>
      <c r="ER523" s="1"/>
      <c r="ES523" s="1"/>
      <c r="EV523" s="1"/>
      <c r="EW523" s="1"/>
      <c r="EY523" s="1"/>
      <c r="EZ523" s="1"/>
      <c r="FA523" s="1"/>
      <c r="FD523" s="1"/>
      <c r="GD523" s="1"/>
      <c r="GE523" s="1"/>
      <c r="GF523" s="1"/>
      <c r="GG523" s="1"/>
      <c r="GH523" s="1"/>
      <c r="GI523" s="1"/>
      <c r="GO523" s="1"/>
      <c r="GP523" s="1"/>
      <c r="HH523" s="1"/>
      <c r="HT523" s="1"/>
      <c r="HY523" s="1"/>
      <c r="IC523" s="1"/>
      <c r="ID523" s="1"/>
      <c r="IE523" s="1"/>
      <c r="IF523" s="1"/>
      <c r="IG523" s="1"/>
      <c r="IJ523" s="1"/>
      <c r="IR523" s="1"/>
      <c r="IS523" s="1"/>
      <c r="IY523" s="1"/>
      <c r="IZ523" s="1"/>
      <c r="JC523" s="1"/>
      <c r="JF523" s="1"/>
      <c r="JG523" s="1"/>
      <c r="JH523" s="1"/>
      <c r="JJ523" s="1"/>
      <c r="JK523" s="1"/>
      <c r="JL523" s="3"/>
      <c r="JM523" s="1"/>
      <c r="JN523" s="1"/>
      <c r="JP523" s="1"/>
      <c r="JQ523" s="1"/>
      <c r="JR523" s="1"/>
      <c r="JT523" s="1"/>
      <c r="KU523" s="1"/>
      <c r="KV523" s="1"/>
      <c r="KW523" s="1"/>
      <c r="KY523" s="1"/>
      <c r="KZ523" s="1"/>
      <c r="LA523" s="1"/>
      <c r="LB523" s="1"/>
      <c r="LC523" s="1"/>
      <c r="LD523" s="1"/>
      <c r="LO523" s="1"/>
      <c r="LP523" s="1"/>
      <c r="LZ523" s="1"/>
      <c r="MA523" s="1"/>
    </row>
    <row r="524" spans="4:339" ht="13" x14ac:dyDescent="0.15">
      <c r="D524" s="12"/>
      <c r="E524" s="12"/>
      <c r="I524" s="12"/>
      <c r="J524" s="13"/>
      <c r="BF524" s="1"/>
      <c r="BG524" s="1"/>
      <c r="BH524" s="1"/>
      <c r="BI524" s="1"/>
      <c r="BK524" s="1"/>
      <c r="BL524" s="1"/>
      <c r="BM524" s="1"/>
      <c r="BN524" s="1"/>
      <c r="BO524" s="1"/>
      <c r="BP524" s="1"/>
      <c r="BQ524" s="1"/>
      <c r="BR524" s="1"/>
      <c r="BX524" s="1"/>
      <c r="CD524" s="1"/>
      <c r="CE524" s="1"/>
      <c r="CF524" s="1"/>
      <c r="CG524" s="1"/>
      <c r="CH524" s="1"/>
      <c r="CI524" s="1"/>
      <c r="CM524" s="2"/>
      <c r="CN524" s="1"/>
      <c r="CO524" s="1"/>
      <c r="CP524" s="1"/>
      <c r="CQ524" s="1"/>
      <c r="CR524" s="1"/>
      <c r="CS524" s="1"/>
      <c r="CT524" s="1"/>
      <c r="CU524" s="1"/>
      <c r="CV524" s="1"/>
      <c r="CW524" s="1"/>
      <c r="CX524" s="1"/>
      <c r="CY524" s="1"/>
      <c r="CZ524" s="1"/>
      <c r="DA524" s="1"/>
      <c r="DB524" s="1"/>
      <c r="DC524" s="1"/>
      <c r="DD524" s="1"/>
      <c r="DE524" s="1"/>
      <c r="DF524" s="1"/>
      <c r="DG524" s="1"/>
      <c r="DH524" s="1"/>
      <c r="DI524" s="1"/>
      <c r="DJ524" s="1"/>
      <c r="DK524" s="1"/>
      <c r="DM524" s="1"/>
      <c r="DQ524" s="1"/>
      <c r="DR524" s="1"/>
      <c r="DY524" s="1"/>
      <c r="DZ524" s="1"/>
      <c r="ED524" s="1"/>
      <c r="EF524" s="1"/>
      <c r="EK524" s="1"/>
      <c r="EL524" s="1"/>
      <c r="EM524" s="1"/>
      <c r="EN524" s="1"/>
      <c r="EQ524" s="1"/>
      <c r="ER524" s="1"/>
      <c r="ES524" s="1"/>
      <c r="EV524" s="1"/>
      <c r="EW524" s="1"/>
      <c r="EZ524" s="1"/>
      <c r="FA524" s="1"/>
      <c r="FD524" s="1"/>
      <c r="FG524" s="1"/>
      <c r="FH524" s="1"/>
      <c r="FI524" s="1"/>
      <c r="FJ524" s="1"/>
      <c r="FM524" s="1"/>
      <c r="FN524" s="1"/>
      <c r="FO524" s="1"/>
      <c r="FP524" s="1"/>
      <c r="FQ524" s="1"/>
      <c r="FR524" s="1"/>
      <c r="FS524" s="1"/>
      <c r="FT524" s="1"/>
      <c r="FU524" s="1"/>
      <c r="FV524" s="1"/>
      <c r="FW524" s="1"/>
      <c r="FX524" s="1"/>
      <c r="FZ524" s="1"/>
      <c r="GA524" s="1"/>
      <c r="GD524" s="1"/>
      <c r="GE524" s="1"/>
      <c r="GF524" s="1"/>
      <c r="GG524" s="1"/>
      <c r="GH524" s="1"/>
      <c r="GI524" s="1"/>
      <c r="GJ524" s="1"/>
      <c r="GK524" s="1"/>
      <c r="GL524" s="1"/>
      <c r="GM524" s="1"/>
      <c r="GN524" s="1"/>
      <c r="GP524" s="1"/>
      <c r="GR524" s="1"/>
      <c r="GY524" s="1"/>
      <c r="HF524" s="1"/>
      <c r="HH524" s="1"/>
      <c r="HT524" s="1"/>
      <c r="HY524" s="1"/>
      <c r="IC524" s="1"/>
      <c r="IE524" s="1"/>
      <c r="IR524" s="1"/>
      <c r="IS524" s="1"/>
      <c r="IZ524" s="1"/>
      <c r="JF524" s="1"/>
      <c r="JG524" s="1"/>
      <c r="JH524" s="1"/>
      <c r="JJ524" s="1"/>
      <c r="JP524" s="1"/>
      <c r="JQ524" s="1"/>
      <c r="KY524" s="1"/>
      <c r="KZ524" s="1"/>
      <c r="LA524" s="1"/>
      <c r="LB524" s="1"/>
      <c r="LC524" s="1"/>
      <c r="LD524" s="1"/>
      <c r="LF524" s="1"/>
      <c r="LO524" s="1"/>
      <c r="LP524" s="1"/>
      <c r="LZ524" s="1"/>
      <c r="MA524" s="1"/>
    </row>
    <row r="525" spans="4:339" ht="13" x14ac:dyDescent="0.15">
      <c r="D525" s="12"/>
      <c r="E525" s="12"/>
      <c r="I525" s="12"/>
      <c r="J525" s="13"/>
      <c r="BF525" s="1"/>
      <c r="BG525" s="1"/>
      <c r="BH525" s="1"/>
      <c r="BI525" s="1"/>
      <c r="BJ525" s="1"/>
      <c r="BK525" s="1"/>
      <c r="BL525" s="1"/>
      <c r="BM525" s="1"/>
      <c r="BN525" s="1"/>
      <c r="BO525" s="1"/>
      <c r="BP525" s="1"/>
      <c r="BQ525" s="1"/>
      <c r="BR525" s="1"/>
      <c r="BX525" s="1"/>
      <c r="CD525" s="1"/>
      <c r="CE525" s="1"/>
      <c r="CF525" s="1"/>
      <c r="CG525" s="1"/>
      <c r="CH525" s="1"/>
      <c r="CI525" s="1"/>
      <c r="CM525" s="2"/>
      <c r="CN525" s="1"/>
      <c r="CO525" s="1"/>
      <c r="CP525" s="1"/>
      <c r="CQ525" s="1"/>
      <c r="CR525" s="1"/>
      <c r="CS525" s="1"/>
      <c r="CT525" s="1"/>
      <c r="CU525" s="1"/>
      <c r="CV525" s="1"/>
      <c r="CW525" s="1"/>
      <c r="CX525" s="1"/>
      <c r="CY525" s="1"/>
      <c r="CZ525" s="1"/>
      <c r="DA525" s="1"/>
      <c r="DB525" s="1"/>
      <c r="DC525" s="1"/>
      <c r="DD525" s="1"/>
      <c r="DE525" s="1"/>
      <c r="DF525" s="1"/>
      <c r="DG525" s="1"/>
      <c r="DH525" s="1"/>
      <c r="DI525" s="1"/>
      <c r="DJ525" s="1"/>
      <c r="DK525" s="1"/>
      <c r="ED525" s="1"/>
      <c r="EK525" s="1"/>
      <c r="EL525" s="1"/>
      <c r="EM525" s="1"/>
      <c r="EN525" s="1"/>
      <c r="EQ525" s="1"/>
      <c r="ER525" s="1"/>
      <c r="ES525" s="1"/>
      <c r="EV525" s="1"/>
      <c r="EW525" s="1"/>
      <c r="EZ525" s="1"/>
      <c r="FA525" s="1"/>
      <c r="FD525" s="1"/>
      <c r="FG525" s="1"/>
      <c r="FH525" s="1"/>
      <c r="FI525" s="1"/>
      <c r="FJ525" s="1"/>
      <c r="FK525" s="1"/>
      <c r="FL525" s="1"/>
      <c r="FM525" s="1"/>
      <c r="FN525" s="1"/>
      <c r="FO525" s="1"/>
      <c r="FP525" s="1"/>
      <c r="FQ525" s="1"/>
      <c r="FR525" s="1"/>
      <c r="FS525" s="1"/>
      <c r="FT525" s="1"/>
      <c r="FU525" s="1"/>
      <c r="FV525" s="1"/>
      <c r="FW525" s="1"/>
      <c r="FX525" s="1"/>
      <c r="FY525" s="1"/>
      <c r="FZ525" s="1"/>
      <c r="GA525" s="1"/>
      <c r="GB525" s="1"/>
      <c r="GD525" s="1"/>
      <c r="GE525" s="1"/>
      <c r="GF525" s="1"/>
      <c r="GG525" s="1"/>
      <c r="GH525" s="1"/>
      <c r="GI525" s="1"/>
      <c r="GJ525" s="1"/>
      <c r="GK525" s="1"/>
      <c r="GL525" s="1"/>
      <c r="GM525" s="1"/>
      <c r="GN525" s="1"/>
      <c r="GO525" s="1"/>
      <c r="GP525" s="1"/>
      <c r="GR525" s="1"/>
      <c r="GY525" s="1"/>
      <c r="HF525" s="1"/>
      <c r="HH525" s="1"/>
      <c r="HN525" s="1"/>
      <c r="HT525" s="1"/>
      <c r="HY525" s="1"/>
      <c r="IC525" s="1"/>
      <c r="IE525" s="1"/>
      <c r="IR525" s="1"/>
      <c r="IS525" s="1"/>
      <c r="IZ525" s="1"/>
      <c r="JC525" s="1"/>
      <c r="JF525" s="1"/>
      <c r="JG525" s="1"/>
      <c r="JH525" s="1"/>
      <c r="JJ525" s="1"/>
      <c r="JN525" s="1"/>
      <c r="JP525" s="1"/>
      <c r="JQ525" s="1"/>
      <c r="JT525" s="1"/>
      <c r="KU525" s="1"/>
      <c r="KV525" s="1"/>
      <c r="KY525" s="1"/>
      <c r="KZ525" s="1"/>
      <c r="LA525" s="1"/>
      <c r="LB525" s="1"/>
      <c r="LC525" s="1"/>
      <c r="LD525" s="1"/>
      <c r="LF525" s="1"/>
      <c r="LN525" s="1"/>
      <c r="LO525" s="1"/>
      <c r="LP525" s="1"/>
      <c r="LZ525" s="1"/>
      <c r="MA525" s="1"/>
    </row>
    <row r="526" spans="4:339" ht="13" x14ac:dyDescent="0.15">
      <c r="D526" s="12"/>
      <c r="E526" s="12"/>
      <c r="I526" s="12"/>
      <c r="J526" s="13"/>
      <c r="BG526" s="1"/>
      <c r="BH526" s="1"/>
      <c r="BI526" s="1"/>
      <c r="BK526" s="1"/>
      <c r="BL526" s="1"/>
      <c r="BM526" s="1"/>
      <c r="BN526" s="1"/>
      <c r="BQ526" s="1"/>
      <c r="BR526" s="1"/>
      <c r="CD526" s="1"/>
      <c r="CE526" s="1"/>
      <c r="CF526" s="1"/>
      <c r="CH526" s="1"/>
      <c r="CI526" s="1"/>
      <c r="CM526" s="2"/>
      <c r="CN526" s="1"/>
      <c r="CO526" s="1"/>
      <c r="ED526" s="1"/>
      <c r="EL526" s="1"/>
      <c r="EM526" s="1"/>
      <c r="EN526" s="1"/>
      <c r="EQ526" s="1"/>
      <c r="ER526" s="1"/>
      <c r="ES526" s="1"/>
      <c r="EV526" s="1"/>
      <c r="EW526" s="1"/>
      <c r="EZ526" s="1"/>
      <c r="FA526" s="1"/>
      <c r="FD526" s="1"/>
      <c r="FW526" s="1"/>
      <c r="GA526" s="1"/>
      <c r="GD526" s="1"/>
      <c r="GE526" s="1"/>
      <c r="GF526" s="1"/>
      <c r="GG526" s="1"/>
      <c r="GH526" s="1"/>
      <c r="GI526" s="1"/>
      <c r="GJ526" s="1"/>
      <c r="GK526" s="1"/>
      <c r="GL526" s="1"/>
      <c r="GM526" s="1"/>
      <c r="GN526" s="1"/>
      <c r="GP526" s="1"/>
      <c r="GV526" s="1"/>
      <c r="GY526" s="1"/>
      <c r="HF526" s="1"/>
      <c r="HN526" s="1"/>
      <c r="HY526" s="1"/>
      <c r="IS526" s="1"/>
      <c r="IZ526" s="1"/>
      <c r="JJ526" s="1"/>
      <c r="JP526" s="1"/>
      <c r="JQ526" s="1"/>
      <c r="JT526" s="1"/>
      <c r="KU526" s="1"/>
      <c r="KV526" s="1"/>
      <c r="LR526" s="1"/>
      <c r="LS526" s="1"/>
      <c r="LT526" s="1"/>
      <c r="LU526" s="1"/>
    </row>
    <row r="527" spans="4:339" ht="13" x14ac:dyDescent="0.15">
      <c r="D527" s="12"/>
      <c r="E527" s="12"/>
      <c r="I527" s="12"/>
      <c r="J527" s="13"/>
      <c r="BF527" s="1"/>
      <c r="BG527" s="1"/>
      <c r="BH527" s="1"/>
      <c r="BI527" s="1"/>
      <c r="BK527" s="1"/>
      <c r="BL527" s="1"/>
      <c r="BM527" s="1"/>
      <c r="BN527" s="1"/>
      <c r="BO527" s="1"/>
      <c r="BP527" s="1"/>
      <c r="BQ527" s="1"/>
      <c r="BR527" s="1"/>
      <c r="BX527" s="1"/>
      <c r="CD527" s="1"/>
      <c r="CE527" s="1"/>
      <c r="CF527" s="1"/>
      <c r="CG527" s="1"/>
      <c r="CH527" s="1"/>
      <c r="CI527" s="1"/>
      <c r="CM527" s="2"/>
      <c r="CN527" s="1"/>
      <c r="CO527" s="1"/>
      <c r="CP527" s="1"/>
      <c r="CQ527" s="1"/>
      <c r="CR527" s="1"/>
      <c r="CS527" s="1"/>
      <c r="CT527" s="1"/>
      <c r="CU527" s="1"/>
      <c r="CV527" s="1"/>
      <c r="CW527" s="1"/>
      <c r="CX527" s="1"/>
      <c r="CY527" s="1"/>
      <c r="CZ527" s="1"/>
      <c r="DA527" s="1"/>
      <c r="DB527" s="1"/>
      <c r="DC527" s="1"/>
      <c r="DD527" s="1"/>
      <c r="DE527" s="1"/>
      <c r="DF527" s="1"/>
      <c r="DG527" s="1"/>
      <c r="DH527" s="1"/>
      <c r="DI527" s="1"/>
      <c r="DJ527" s="1"/>
      <c r="DK527" s="1"/>
      <c r="DM527" s="1"/>
      <c r="DQ527" s="1"/>
      <c r="DR527" s="1"/>
      <c r="DY527" s="1"/>
      <c r="DZ527" s="1"/>
      <c r="ED527" s="1"/>
      <c r="EF527" s="1"/>
      <c r="EK527" s="1"/>
      <c r="EL527" s="1"/>
      <c r="EM527" s="1"/>
      <c r="EN527" s="1"/>
      <c r="EQ527" s="1"/>
      <c r="ER527" s="1"/>
      <c r="ES527" s="1"/>
      <c r="EV527" s="1"/>
      <c r="EW527" s="1"/>
      <c r="EX527" s="1"/>
      <c r="EZ527" s="1"/>
      <c r="FA527" s="1"/>
      <c r="FD527" s="1"/>
      <c r="FG527" s="1"/>
      <c r="FH527" s="1"/>
      <c r="FI527" s="1"/>
      <c r="FJ527" s="1"/>
      <c r="FK527" s="1"/>
      <c r="FL527" s="1"/>
      <c r="FM527" s="1"/>
      <c r="FN527" s="1"/>
      <c r="FO527" s="1"/>
      <c r="FP527" s="1"/>
      <c r="FQ527" s="1"/>
      <c r="FR527" s="1"/>
      <c r="FS527" s="1"/>
      <c r="FU527" s="1"/>
      <c r="FV527" s="1"/>
      <c r="FW527" s="1"/>
      <c r="FX527" s="1"/>
      <c r="FY527" s="1"/>
      <c r="FZ527" s="1"/>
      <c r="GA527" s="1"/>
      <c r="GB527" s="1"/>
      <c r="GD527" s="1"/>
      <c r="GE527" s="1"/>
      <c r="GF527" s="1"/>
      <c r="GG527" s="1"/>
      <c r="GH527" s="1"/>
      <c r="GI527" s="1"/>
      <c r="GJ527" s="1"/>
      <c r="GK527" s="1"/>
      <c r="GL527" s="1"/>
      <c r="GM527" s="1"/>
      <c r="GN527" s="1"/>
      <c r="GO527" s="1"/>
      <c r="GP527" s="1"/>
      <c r="GR527" s="1"/>
      <c r="GY527" s="1"/>
      <c r="HF527" s="1"/>
      <c r="HH527" s="1"/>
      <c r="HN527" s="1"/>
      <c r="HR527" s="1"/>
      <c r="HS527" s="1"/>
      <c r="HT527" s="1"/>
      <c r="HY527" s="1"/>
      <c r="IE527" s="1"/>
      <c r="IR527" s="1"/>
      <c r="IS527" s="1"/>
      <c r="IV527" s="1"/>
      <c r="IW527" s="1"/>
      <c r="IZ527" s="1"/>
      <c r="JA527" s="1"/>
      <c r="JC527" s="1"/>
      <c r="JG527" s="1"/>
      <c r="JI527" s="1"/>
      <c r="JJ527" s="1"/>
      <c r="JN527" s="1"/>
      <c r="JP527" s="1"/>
      <c r="JQ527" s="1"/>
      <c r="JT527" s="1"/>
      <c r="KU527" s="1"/>
      <c r="KY527" s="1"/>
      <c r="KZ527" s="1"/>
      <c r="LA527" s="1"/>
      <c r="LB527" s="1"/>
      <c r="LC527" s="1"/>
      <c r="LD527" s="1"/>
      <c r="LO527" s="1"/>
      <c r="LP527" s="1"/>
      <c r="LZ527" s="1"/>
      <c r="MA527" s="1"/>
    </row>
    <row r="528" spans="4:339" ht="13" x14ac:dyDescent="0.15">
      <c r="D528" s="12"/>
      <c r="E528" s="12"/>
      <c r="I528" s="12"/>
      <c r="J528" s="13"/>
      <c r="BF528" s="1"/>
      <c r="BG528" s="1"/>
      <c r="BH528" s="1"/>
      <c r="BI528" s="1"/>
      <c r="BK528" s="1"/>
      <c r="BL528" s="1"/>
      <c r="BM528" s="1"/>
      <c r="BN528" s="1"/>
      <c r="BO528" s="1"/>
      <c r="BP528" s="1"/>
      <c r="BQ528" s="1"/>
      <c r="BR528" s="1"/>
      <c r="CD528" s="1"/>
      <c r="CE528" s="1"/>
      <c r="CF528" s="1"/>
      <c r="CG528" s="1"/>
      <c r="CH528" s="1"/>
      <c r="CI528" s="1"/>
      <c r="CM528" s="2"/>
      <c r="CN528" s="1"/>
      <c r="CO528" s="1"/>
      <c r="CP528" s="1"/>
      <c r="CQ528" s="1"/>
      <c r="CR528" s="1"/>
      <c r="CS528" s="1"/>
      <c r="CT528" s="1"/>
      <c r="CU528" s="1"/>
      <c r="CV528" s="1"/>
      <c r="CW528" s="1"/>
      <c r="CX528" s="1"/>
      <c r="CY528" s="1"/>
      <c r="CZ528" s="1"/>
      <c r="DA528" s="1"/>
      <c r="DB528" s="1"/>
      <c r="DC528" s="1"/>
      <c r="DD528" s="1"/>
      <c r="DE528" s="1"/>
      <c r="DF528" s="1"/>
      <c r="DG528" s="1"/>
      <c r="DH528" s="1"/>
      <c r="DI528" s="1"/>
      <c r="DJ528" s="1"/>
      <c r="DK528" s="1"/>
      <c r="ED528" s="1"/>
      <c r="EK528" s="1"/>
      <c r="EL528" s="1"/>
      <c r="EM528" s="1"/>
      <c r="EN528" s="1"/>
      <c r="EQ528" s="1"/>
      <c r="ER528" s="1"/>
      <c r="ES528" s="1"/>
      <c r="EV528" s="1"/>
      <c r="EW528" s="1"/>
      <c r="EZ528" s="1"/>
      <c r="FA528" s="1"/>
      <c r="FD528" s="1"/>
      <c r="FH528" s="1"/>
      <c r="FI528" s="1"/>
      <c r="FJ528" s="1"/>
      <c r="FM528" s="1"/>
      <c r="FN528" s="1"/>
      <c r="FO528" s="1"/>
      <c r="FP528" s="1"/>
      <c r="FQ528" s="1"/>
      <c r="FR528" s="1"/>
      <c r="FS528" s="1"/>
      <c r="FT528" s="1"/>
      <c r="FU528" s="1"/>
      <c r="FV528" s="1"/>
      <c r="FW528" s="1"/>
      <c r="FX528" s="1"/>
      <c r="FY528" s="1"/>
      <c r="FZ528" s="1"/>
      <c r="GA528" s="1"/>
      <c r="GD528" s="1"/>
      <c r="GE528" s="1"/>
      <c r="GF528" s="1"/>
      <c r="GG528" s="1"/>
      <c r="GH528" s="1"/>
      <c r="GI528" s="1"/>
      <c r="GJ528" s="1"/>
      <c r="GK528" s="1"/>
      <c r="GL528" s="1"/>
      <c r="GM528" s="1"/>
      <c r="GN528" s="1"/>
      <c r="GP528" s="1"/>
      <c r="GR528" s="1"/>
      <c r="GY528" s="1"/>
      <c r="HF528" s="1"/>
      <c r="HH528" s="1"/>
      <c r="HN528" s="1"/>
      <c r="HR528" s="1"/>
      <c r="HS528" s="1"/>
      <c r="HT528" s="1"/>
      <c r="HY528" s="1"/>
      <c r="IC528" s="1"/>
      <c r="IE528" s="1"/>
      <c r="IR528" s="1"/>
      <c r="IS528" s="1"/>
      <c r="IW528" s="1"/>
      <c r="IZ528" s="1"/>
      <c r="JA528" s="1"/>
      <c r="JC528" s="1"/>
      <c r="JF528" s="1"/>
      <c r="JG528" s="1"/>
      <c r="JH528" s="1"/>
      <c r="JJ528" s="1"/>
      <c r="JN528" s="1"/>
      <c r="JP528" s="1"/>
      <c r="JQ528" s="1"/>
      <c r="JT528" s="1"/>
      <c r="KW528" s="1"/>
      <c r="KY528" s="1"/>
      <c r="KZ528" s="1"/>
      <c r="LA528" s="1"/>
      <c r="LB528" s="1"/>
      <c r="LC528" s="1"/>
      <c r="LD528" s="1"/>
      <c r="LN528" s="1"/>
      <c r="LO528" s="1"/>
      <c r="LP528" s="1"/>
      <c r="LZ528" s="1"/>
      <c r="MA528" s="1"/>
    </row>
    <row r="529" spans="4:339" ht="13" x14ac:dyDescent="0.15">
      <c r="D529" s="12"/>
      <c r="E529" s="12"/>
      <c r="I529" s="12"/>
      <c r="J529" s="13"/>
      <c r="BF529" s="1"/>
      <c r="BG529" s="1"/>
      <c r="BH529" s="1"/>
      <c r="BI529" s="1"/>
      <c r="BK529" s="1"/>
      <c r="BL529" s="1"/>
      <c r="BM529" s="1"/>
      <c r="BN529" s="1"/>
      <c r="BO529" s="1"/>
      <c r="BP529" s="1"/>
      <c r="BQ529" s="1"/>
      <c r="BR529" s="1"/>
      <c r="CD529" s="1"/>
      <c r="CE529" s="1"/>
      <c r="CF529" s="1"/>
      <c r="CG529" s="1"/>
      <c r="CH529" s="1"/>
      <c r="CI529" s="1"/>
      <c r="CM529" s="2"/>
      <c r="CN529" s="1"/>
      <c r="CO529" s="1"/>
      <c r="CP529" s="1"/>
      <c r="CQ529" s="1"/>
      <c r="CR529" s="1"/>
      <c r="CS529" s="1"/>
      <c r="CT529" s="1"/>
      <c r="CU529" s="1"/>
      <c r="CV529" s="1"/>
      <c r="CW529" s="1"/>
      <c r="CX529" s="1"/>
      <c r="CY529" s="1"/>
      <c r="CZ529" s="1"/>
      <c r="DA529" s="1"/>
      <c r="DB529" s="1"/>
      <c r="DC529" s="1"/>
      <c r="DD529" s="1"/>
      <c r="DE529" s="1"/>
      <c r="DF529" s="1"/>
      <c r="DG529" s="1"/>
      <c r="DH529" s="1"/>
      <c r="DI529" s="1"/>
      <c r="DJ529" s="1"/>
      <c r="DK529" s="1"/>
      <c r="ED529" s="1"/>
      <c r="EK529" s="1"/>
      <c r="EL529" s="1"/>
      <c r="EM529" s="1"/>
      <c r="EN529" s="1"/>
      <c r="EQ529" s="1"/>
      <c r="ER529" s="1"/>
      <c r="ES529" s="1"/>
      <c r="EV529" s="1"/>
      <c r="EW529" s="1"/>
      <c r="EZ529" s="1"/>
      <c r="FA529" s="1"/>
      <c r="FD529" s="1"/>
      <c r="FH529" s="1"/>
      <c r="FI529" s="1"/>
      <c r="FJ529" s="1"/>
      <c r="FM529" s="1"/>
      <c r="FN529" s="1"/>
      <c r="FO529" s="1"/>
      <c r="FP529" s="1"/>
      <c r="FQ529" s="1"/>
      <c r="FR529" s="1"/>
      <c r="FS529" s="1"/>
      <c r="FT529" s="1"/>
      <c r="FU529" s="1"/>
      <c r="FV529" s="1"/>
      <c r="FW529" s="1"/>
      <c r="FX529" s="1"/>
      <c r="FY529" s="1"/>
      <c r="FZ529" s="1"/>
      <c r="GA529" s="1"/>
      <c r="GD529" s="1"/>
      <c r="GE529" s="1"/>
      <c r="GF529" s="1"/>
      <c r="GG529" s="1"/>
      <c r="GH529" s="1"/>
      <c r="GI529" s="1"/>
      <c r="GJ529" s="1"/>
      <c r="GK529" s="1"/>
      <c r="GL529" s="1"/>
      <c r="GM529" s="1"/>
      <c r="GN529" s="1"/>
      <c r="GP529" s="1"/>
      <c r="GR529" s="1"/>
      <c r="GY529" s="1"/>
      <c r="HF529" s="1"/>
      <c r="HH529" s="1"/>
      <c r="HN529" s="1"/>
      <c r="HR529" s="1"/>
      <c r="HS529" s="1"/>
      <c r="HT529" s="1"/>
      <c r="HY529" s="1"/>
      <c r="IC529" s="1"/>
      <c r="IE529" s="1"/>
      <c r="IR529" s="1"/>
      <c r="IS529" s="1"/>
      <c r="IW529" s="1"/>
      <c r="IZ529" s="1"/>
      <c r="JA529" s="1"/>
      <c r="JC529" s="1"/>
      <c r="JF529" s="1"/>
      <c r="JG529" s="1"/>
      <c r="JH529" s="1"/>
      <c r="JJ529" s="1"/>
      <c r="JN529" s="1"/>
      <c r="JP529" s="1"/>
      <c r="JQ529" s="1"/>
      <c r="JT529" s="1"/>
      <c r="KW529" s="1"/>
      <c r="KY529" s="1"/>
      <c r="KZ529" s="1"/>
      <c r="LA529" s="1"/>
      <c r="LB529" s="1"/>
      <c r="LC529" s="1"/>
      <c r="LD529" s="1"/>
      <c r="LN529" s="1"/>
      <c r="LO529" s="1"/>
      <c r="LP529" s="1"/>
      <c r="LZ529" s="1"/>
      <c r="MA529" s="1"/>
    </row>
    <row r="530" spans="4:339" ht="13" x14ac:dyDescent="0.15">
      <c r="D530" s="12"/>
      <c r="E530" s="12"/>
      <c r="I530" s="12"/>
      <c r="J530" s="13"/>
      <c r="BF530" s="1"/>
      <c r="BG530" s="1"/>
      <c r="BH530" s="1"/>
      <c r="BI530" s="1"/>
      <c r="BK530" s="1"/>
      <c r="BL530" s="1"/>
      <c r="BM530" s="1"/>
      <c r="BN530" s="1"/>
      <c r="BP530" s="1"/>
      <c r="BQ530" s="1"/>
      <c r="BR530" s="1"/>
      <c r="CD530" s="1"/>
      <c r="CE530" s="1"/>
      <c r="CF530" s="1"/>
      <c r="CG530" s="1"/>
      <c r="CH530" s="1"/>
      <c r="CI530" s="1"/>
      <c r="CM530" s="2"/>
      <c r="CN530" s="1"/>
      <c r="CO530" s="1"/>
      <c r="CP530" s="1"/>
      <c r="CQ530" s="1"/>
      <c r="CX530" s="1"/>
      <c r="CY530" s="1"/>
      <c r="CZ530" s="1"/>
      <c r="DA530" s="1"/>
      <c r="DB530" s="1"/>
      <c r="DC530" s="1"/>
      <c r="DD530" s="1"/>
      <c r="DE530" s="1"/>
      <c r="DF530" s="1"/>
      <c r="DG530" s="1"/>
      <c r="DH530" s="1"/>
      <c r="DI530" s="1"/>
      <c r="DJ530" s="1"/>
      <c r="DK530" s="1"/>
      <c r="DM530" s="1"/>
      <c r="DR530" s="1"/>
      <c r="ED530" s="1"/>
      <c r="EF530" s="1"/>
      <c r="EK530" s="1"/>
      <c r="EL530" s="1"/>
      <c r="EM530" s="1"/>
      <c r="EN530" s="1"/>
      <c r="EQ530" s="1"/>
      <c r="ER530" s="1"/>
      <c r="ES530" s="1"/>
      <c r="EV530" s="1"/>
      <c r="EW530" s="1"/>
      <c r="EZ530" s="1"/>
      <c r="FA530" s="1"/>
      <c r="FD530" s="1"/>
      <c r="FG530" s="1"/>
      <c r="FH530" s="1"/>
      <c r="FI530" s="1"/>
      <c r="FJ530" s="1"/>
      <c r="FK530" s="1"/>
      <c r="FM530" s="1"/>
      <c r="FN530" s="1"/>
      <c r="FO530" s="1"/>
      <c r="FP530" s="1"/>
      <c r="FS530" s="1"/>
      <c r="FT530" s="1"/>
      <c r="FU530" s="1"/>
      <c r="FV530" s="1"/>
      <c r="FW530" s="1"/>
      <c r="FX530" s="1"/>
      <c r="FY530" s="1"/>
      <c r="FZ530" s="1"/>
      <c r="GA530" s="1"/>
      <c r="GD530" s="1"/>
      <c r="GE530" s="1"/>
      <c r="GF530" s="1"/>
      <c r="GG530" s="1"/>
      <c r="GH530" s="1"/>
      <c r="GI530" s="1"/>
      <c r="GJ530" s="1"/>
      <c r="GL530" s="1"/>
      <c r="GM530" s="1"/>
      <c r="GN530" s="1"/>
      <c r="GP530" s="1"/>
      <c r="GR530" s="1"/>
      <c r="GY530" s="1"/>
      <c r="HF530" s="1"/>
      <c r="HH530" s="1"/>
      <c r="HN530" s="1"/>
      <c r="HT530" s="1"/>
      <c r="HY530" s="1"/>
      <c r="IE530" s="1"/>
      <c r="IG530" s="1"/>
      <c r="IR530" s="1"/>
      <c r="IS530" s="1"/>
      <c r="IW530" s="1"/>
      <c r="IZ530" s="1"/>
      <c r="JA530" s="1"/>
      <c r="JF530" s="1"/>
      <c r="JJ530" s="1"/>
      <c r="JK530" s="1"/>
      <c r="JL530" s="3"/>
      <c r="JM530" s="1"/>
      <c r="JN530" s="1"/>
      <c r="JP530" s="1"/>
      <c r="JQ530" s="1"/>
      <c r="JR530" s="1"/>
      <c r="LZ530" s="1"/>
      <c r="MA530" s="1"/>
    </row>
    <row r="531" spans="4:339" ht="13" x14ac:dyDescent="0.15">
      <c r="D531" s="12"/>
      <c r="E531" s="12"/>
      <c r="I531" s="12"/>
      <c r="J531" s="13"/>
      <c r="BF531" s="1"/>
      <c r="BG531" s="1"/>
      <c r="BH531" s="1"/>
      <c r="BI531" s="1"/>
      <c r="BK531" s="1"/>
      <c r="BL531" s="1"/>
      <c r="BM531" s="1"/>
      <c r="BN531" s="1"/>
      <c r="BP531" s="1"/>
      <c r="BQ531" s="1"/>
      <c r="BR531" s="1"/>
      <c r="CD531" s="1"/>
      <c r="CE531" s="1"/>
      <c r="CF531" s="1"/>
      <c r="CH531" s="1"/>
      <c r="CI531" s="1"/>
      <c r="CM531" s="2"/>
      <c r="CN531" s="1"/>
      <c r="CO531" s="1"/>
      <c r="CP531" s="1"/>
      <c r="CQ531" s="1"/>
      <c r="CX531" s="1"/>
      <c r="CY531" s="1"/>
      <c r="CZ531" s="1"/>
      <c r="DA531" s="1"/>
      <c r="DB531" s="1"/>
      <c r="DC531" s="1"/>
      <c r="DD531" s="1"/>
      <c r="DE531" s="1"/>
      <c r="DF531" s="1"/>
      <c r="DG531" s="1"/>
      <c r="DH531" s="1"/>
      <c r="DI531" s="1"/>
      <c r="DJ531" s="1"/>
      <c r="DK531" s="1"/>
      <c r="DQ531" s="1"/>
      <c r="DR531" s="1"/>
      <c r="DY531" s="1"/>
      <c r="DZ531" s="1"/>
      <c r="ED531" s="1"/>
      <c r="EK531" s="1"/>
      <c r="EL531" s="1"/>
      <c r="EM531" s="1"/>
      <c r="EN531" s="1"/>
      <c r="EQ531" s="1"/>
      <c r="ER531" s="1"/>
      <c r="ES531" s="1"/>
      <c r="EV531" s="1"/>
      <c r="EW531" s="1"/>
      <c r="EZ531" s="1"/>
      <c r="FA531" s="1"/>
      <c r="FD531" s="1"/>
      <c r="FG531" s="1"/>
      <c r="FH531" s="1"/>
      <c r="FJ531" s="1"/>
      <c r="FK531" s="1"/>
      <c r="FL531" s="1"/>
      <c r="FM531" s="1"/>
      <c r="FN531" s="1"/>
      <c r="FP531" s="1"/>
      <c r="FS531" s="1"/>
      <c r="FU531" s="1"/>
      <c r="FV531" s="1"/>
      <c r="FX531" s="1"/>
      <c r="FZ531" s="1"/>
      <c r="GA531" s="1"/>
      <c r="GD531" s="1"/>
      <c r="GE531" s="1"/>
      <c r="GF531" s="1"/>
      <c r="GG531" s="1"/>
      <c r="GH531" s="1"/>
      <c r="GI531" s="1"/>
      <c r="GJ531" s="1"/>
      <c r="GN531" s="1"/>
      <c r="GP531" s="1"/>
      <c r="GR531" s="1"/>
      <c r="GV531" s="1"/>
      <c r="HF531" s="1"/>
      <c r="HY531" s="1"/>
      <c r="ID531" s="1"/>
      <c r="IE531" s="1"/>
      <c r="IR531" s="1"/>
      <c r="IS531" s="1"/>
      <c r="IZ531" s="1"/>
      <c r="JJ531" s="1"/>
      <c r="JN531" s="1"/>
      <c r="JP531" s="1"/>
      <c r="JQ531" s="1"/>
      <c r="KU531" s="1"/>
      <c r="LZ531" s="1"/>
      <c r="MA531" s="1"/>
    </row>
    <row r="532" spans="4:339" ht="13" x14ac:dyDescent="0.15">
      <c r="D532" s="12"/>
      <c r="E532" s="12"/>
      <c r="I532" s="12"/>
      <c r="J532" s="13"/>
      <c r="BF532" s="1"/>
      <c r="BG532" s="1"/>
      <c r="BH532" s="1"/>
      <c r="BI532" s="1"/>
      <c r="BK532" s="1"/>
      <c r="BL532" s="1"/>
      <c r="BM532" s="1"/>
      <c r="BN532" s="1"/>
      <c r="BP532" s="1"/>
      <c r="BQ532" s="1"/>
      <c r="BR532" s="1"/>
      <c r="CD532" s="1"/>
      <c r="CE532" s="1"/>
      <c r="CF532" s="1"/>
      <c r="CH532" s="1"/>
      <c r="CI532" s="1"/>
      <c r="CM532" s="2"/>
      <c r="CN532" s="1"/>
      <c r="CO532" s="1"/>
      <c r="CP532" s="1"/>
      <c r="CQ532" s="1"/>
      <c r="CX532" s="1"/>
      <c r="CY532" s="1"/>
      <c r="CZ532" s="1"/>
      <c r="DA532" s="1"/>
      <c r="DB532" s="1"/>
      <c r="DC532" s="1"/>
      <c r="DD532" s="1"/>
      <c r="DE532" s="1"/>
      <c r="DF532" s="1"/>
      <c r="DG532" s="1"/>
      <c r="DH532" s="1"/>
      <c r="DI532" s="1"/>
      <c r="DJ532" s="1"/>
      <c r="DK532" s="1"/>
      <c r="DQ532" s="1"/>
      <c r="DR532" s="1"/>
      <c r="DY532" s="1"/>
      <c r="DZ532" s="1"/>
      <c r="ED532" s="1"/>
      <c r="EK532" s="1"/>
      <c r="EL532" s="1"/>
      <c r="EM532" s="1"/>
      <c r="EN532" s="1"/>
      <c r="EQ532" s="1"/>
      <c r="ER532" s="1"/>
      <c r="ES532" s="1"/>
      <c r="EV532" s="1"/>
      <c r="EW532" s="1"/>
      <c r="EZ532" s="1"/>
      <c r="FA532" s="1"/>
      <c r="FD532" s="1"/>
      <c r="FG532" s="1"/>
      <c r="FH532" s="1"/>
      <c r="FJ532" s="1"/>
      <c r="FK532" s="1"/>
      <c r="FL532" s="1"/>
      <c r="FM532" s="1"/>
      <c r="FN532" s="1"/>
      <c r="FP532" s="1"/>
      <c r="FS532" s="1"/>
      <c r="FU532" s="1"/>
      <c r="FV532" s="1"/>
      <c r="FX532" s="1"/>
      <c r="FZ532" s="1"/>
      <c r="GA532" s="1"/>
      <c r="GD532" s="1"/>
      <c r="GE532" s="1"/>
      <c r="GF532" s="1"/>
      <c r="GG532" s="1"/>
      <c r="GH532" s="1"/>
      <c r="GI532" s="1"/>
      <c r="GJ532" s="1"/>
      <c r="GN532" s="1"/>
      <c r="GP532" s="1"/>
      <c r="GR532" s="1"/>
      <c r="GV532" s="1"/>
      <c r="HF532" s="1"/>
      <c r="HY532" s="1"/>
      <c r="ID532" s="1"/>
      <c r="IE532" s="1"/>
      <c r="IR532" s="1"/>
      <c r="IS532" s="1"/>
      <c r="IZ532" s="1"/>
      <c r="JJ532" s="1"/>
      <c r="JN532" s="1"/>
      <c r="JP532" s="1"/>
      <c r="JQ532" s="1"/>
      <c r="KU532" s="1"/>
      <c r="LZ532" s="1"/>
      <c r="MA532" s="1"/>
    </row>
    <row r="533" spans="4:339" ht="13" x14ac:dyDescent="0.15">
      <c r="D533" s="12"/>
      <c r="E533" s="12"/>
      <c r="I533" s="12"/>
      <c r="J533" s="13"/>
      <c r="BF533" s="1"/>
      <c r="BG533" s="1"/>
      <c r="BH533" s="1"/>
      <c r="BI533" s="1"/>
      <c r="BJ533" s="1"/>
      <c r="BK533" s="1"/>
      <c r="BL533" s="1"/>
      <c r="BM533" s="1"/>
      <c r="BN533" s="1"/>
      <c r="BO533" s="1"/>
      <c r="BQ533" s="1"/>
      <c r="BR533" s="1"/>
      <c r="CD533" s="1"/>
      <c r="CH533" s="1"/>
      <c r="CI533" s="1"/>
      <c r="CM533" s="2"/>
      <c r="CN533" s="1"/>
      <c r="CO533" s="1"/>
      <c r="ED533" s="1"/>
      <c r="EL533" s="1"/>
      <c r="EM533" s="1"/>
      <c r="EN533" s="1"/>
      <c r="EQ533" s="1"/>
      <c r="ER533" s="1"/>
      <c r="ES533" s="1"/>
      <c r="EV533" s="1"/>
      <c r="EW533" s="1"/>
      <c r="EZ533" s="1"/>
      <c r="FA533" s="1"/>
      <c r="FD533" s="1"/>
      <c r="FH533" s="1"/>
      <c r="FS533" s="1"/>
      <c r="FU533" s="1"/>
      <c r="GA533" s="1"/>
      <c r="GD533" s="1"/>
      <c r="GE533" s="1"/>
      <c r="GF533" s="1"/>
      <c r="GG533" s="1"/>
      <c r="GH533" s="1"/>
      <c r="GI533" s="1"/>
      <c r="GJ533" s="1"/>
      <c r="HF533" s="1"/>
      <c r="HH533" s="1"/>
      <c r="HY533" s="1"/>
      <c r="IC533" s="1"/>
      <c r="IR533" s="1"/>
      <c r="IS533" s="1"/>
      <c r="IZ533" s="1"/>
      <c r="JG533" s="1"/>
      <c r="JJ533" s="1"/>
      <c r="JP533" s="1"/>
      <c r="JQ533" s="1"/>
      <c r="JT533" s="1"/>
      <c r="KU533" s="1"/>
    </row>
    <row r="534" spans="4:339" ht="13" x14ac:dyDescent="0.15">
      <c r="D534" s="12"/>
      <c r="E534" s="12"/>
      <c r="I534" s="12"/>
      <c r="J534" s="13"/>
      <c r="BF534" s="1"/>
      <c r="BG534" s="1"/>
      <c r="BH534" s="1"/>
      <c r="BI534" s="1"/>
      <c r="BJ534" s="1"/>
      <c r="BK534" s="1"/>
      <c r="BL534" s="1"/>
      <c r="BM534" s="1"/>
      <c r="BN534" s="1"/>
      <c r="BO534" s="1"/>
      <c r="BP534" s="1"/>
      <c r="BQ534" s="1"/>
      <c r="BR534" s="1"/>
      <c r="BX534" s="1"/>
      <c r="CC534" s="1"/>
      <c r="CD534" s="1"/>
      <c r="CE534" s="1"/>
      <c r="CF534" s="1"/>
      <c r="CG534" s="1"/>
      <c r="CH534" s="1"/>
      <c r="CI534" s="1"/>
      <c r="CK534" s="1"/>
      <c r="CM534" s="2"/>
      <c r="CN534" s="1"/>
      <c r="CO534" s="1"/>
      <c r="CQ534" s="1"/>
      <c r="CY534" s="1"/>
      <c r="DC534" s="1"/>
      <c r="DH534" s="1"/>
      <c r="DM534" s="1"/>
      <c r="DR534" s="1"/>
      <c r="ED534" s="1"/>
      <c r="EF534" s="1"/>
      <c r="EK534" s="1"/>
      <c r="EL534" s="1"/>
      <c r="EM534" s="1"/>
      <c r="EN534" s="1"/>
      <c r="EQ534" s="1"/>
      <c r="ER534" s="1"/>
      <c r="ES534" s="1"/>
      <c r="EV534" s="1"/>
      <c r="EW534" s="1"/>
      <c r="EZ534" s="1"/>
      <c r="FA534" s="1"/>
      <c r="FD534" s="1"/>
      <c r="FG534" s="1"/>
      <c r="FH534" s="1"/>
      <c r="FI534" s="1"/>
      <c r="FJ534" s="1"/>
      <c r="FM534" s="1"/>
      <c r="FN534" s="1"/>
      <c r="FO534" s="1"/>
      <c r="FP534" s="1"/>
      <c r="FQ534" s="1"/>
      <c r="FS534" s="1"/>
      <c r="FT534" s="1"/>
      <c r="FV534" s="1"/>
      <c r="FW534" s="1"/>
      <c r="FX534" s="1"/>
      <c r="FY534" s="1"/>
      <c r="FZ534" s="1"/>
      <c r="GA534" s="1"/>
      <c r="GB534" s="1"/>
      <c r="GD534" s="1"/>
      <c r="GE534" s="1"/>
      <c r="GF534" s="1"/>
      <c r="GG534" s="1"/>
      <c r="GH534" s="1"/>
      <c r="GI534" s="1"/>
      <c r="GJ534" s="1"/>
      <c r="GK534" s="1"/>
      <c r="GL534" s="1"/>
      <c r="GM534" s="1"/>
      <c r="GN534" s="1"/>
      <c r="GP534" s="1"/>
      <c r="GR534" s="1"/>
      <c r="GY534" s="1"/>
      <c r="HF534" s="1"/>
      <c r="HH534" s="1"/>
      <c r="HN534" s="1"/>
      <c r="HQ534" s="1"/>
      <c r="HR534" s="1"/>
      <c r="HS534" s="1"/>
      <c r="HT534" s="1"/>
      <c r="HY534" s="1"/>
      <c r="ID534" s="1"/>
      <c r="IK534" s="1"/>
      <c r="IR534" s="1"/>
      <c r="IS534" s="1"/>
      <c r="IW534" s="1"/>
      <c r="IZ534" s="1"/>
      <c r="JA534" s="1"/>
      <c r="JC534" s="1"/>
      <c r="JF534" s="1"/>
      <c r="JG534" s="1"/>
      <c r="JH534" s="1"/>
      <c r="JJ534" s="1"/>
      <c r="JN534" s="1"/>
      <c r="JP534" s="1"/>
      <c r="JQ534" s="1"/>
      <c r="JT534" s="1"/>
      <c r="JW534" s="1"/>
      <c r="KS534" s="1"/>
      <c r="KT534" s="1"/>
      <c r="KW534" s="1"/>
      <c r="KY534" s="1"/>
      <c r="KZ534" s="1"/>
      <c r="LA534" s="1"/>
      <c r="LB534" s="1"/>
      <c r="LC534" s="1"/>
      <c r="LD534" s="1"/>
      <c r="LO534" s="1"/>
      <c r="LP534" s="1"/>
      <c r="LZ534" s="1"/>
      <c r="MA534" s="1"/>
    </row>
    <row r="535" spans="4:339" ht="13" x14ac:dyDescent="0.15">
      <c r="D535" s="12"/>
      <c r="E535" s="12"/>
      <c r="I535" s="12"/>
      <c r="J535" s="13"/>
      <c r="BF535" s="1"/>
      <c r="BG535" s="1"/>
      <c r="BH535" s="1"/>
      <c r="BI535" s="1"/>
      <c r="BK535" s="1"/>
      <c r="BL535" s="1"/>
      <c r="BM535" s="1"/>
      <c r="BN535" s="1"/>
      <c r="BO535" s="1"/>
      <c r="BP535" s="1"/>
      <c r="BQ535" s="1"/>
      <c r="BR535" s="1"/>
      <c r="BX535" s="1"/>
      <c r="CD535" s="1"/>
      <c r="CE535" s="1"/>
      <c r="CF535" s="1"/>
      <c r="CG535" s="1"/>
      <c r="CH535" s="1"/>
      <c r="CI535" s="1"/>
      <c r="CK535" s="1"/>
      <c r="CM535" s="2"/>
      <c r="CN535" s="1"/>
      <c r="CO535" s="1"/>
      <c r="CP535" s="1"/>
      <c r="CQ535" s="1"/>
      <c r="CS535" s="1"/>
      <c r="CT535" s="1"/>
      <c r="CU535" s="1"/>
      <c r="CV535" s="1"/>
      <c r="CW535" s="1"/>
      <c r="CX535" s="1"/>
      <c r="CY535" s="1"/>
      <c r="CZ535" s="1"/>
      <c r="DA535" s="1"/>
      <c r="DB535" s="1"/>
      <c r="DC535" s="1"/>
      <c r="DD535" s="1"/>
      <c r="DE535" s="1"/>
      <c r="DF535" s="1"/>
      <c r="DG535" s="1"/>
      <c r="DH535" s="1"/>
      <c r="DI535" s="1"/>
      <c r="DJ535" s="1"/>
      <c r="DK535" s="1"/>
      <c r="DM535" s="1"/>
      <c r="DQ535" s="1"/>
      <c r="DR535" s="1"/>
      <c r="DY535" s="1"/>
      <c r="DZ535" s="1"/>
      <c r="ED535" s="1"/>
      <c r="EF535" s="1"/>
      <c r="EK535" s="1"/>
      <c r="EL535" s="1"/>
      <c r="EM535" s="1"/>
      <c r="EN535" s="1"/>
      <c r="EQ535" s="1"/>
      <c r="ER535" s="1"/>
      <c r="ES535" s="1"/>
      <c r="EV535" s="1"/>
      <c r="EW535" s="1"/>
      <c r="EZ535" s="1"/>
      <c r="FA535" s="1"/>
      <c r="FD535" s="1"/>
      <c r="FE535" s="1"/>
      <c r="FF535" s="1"/>
      <c r="FG535" s="1"/>
      <c r="FH535" s="1"/>
      <c r="FJ535" s="1"/>
      <c r="FM535" s="1"/>
      <c r="FN535" s="1"/>
      <c r="FO535" s="1"/>
      <c r="FP535" s="1"/>
      <c r="FS535" s="1"/>
      <c r="FT535" s="1"/>
      <c r="FU535" s="1"/>
      <c r="FV535" s="1"/>
      <c r="FW535" s="1"/>
      <c r="FX535" s="1"/>
      <c r="FY535" s="1"/>
      <c r="FZ535" s="1"/>
      <c r="GA535" s="1"/>
      <c r="GD535" s="1"/>
      <c r="GE535" s="1"/>
      <c r="GF535" s="1"/>
      <c r="GG535" s="1"/>
      <c r="GH535" s="1"/>
      <c r="GI535" s="1"/>
      <c r="GJ535" s="1"/>
      <c r="GK535" s="1"/>
      <c r="GL535" s="1"/>
      <c r="GM535" s="1"/>
      <c r="GN535" s="1"/>
      <c r="GO535" s="1"/>
      <c r="GP535" s="1"/>
      <c r="GR535" s="1"/>
      <c r="GS535" s="1"/>
      <c r="GY535" s="1"/>
      <c r="HH535" s="1"/>
      <c r="HN535" s="1"/>
      <c r="HQ535" s="1"/>
      <c r="HT535" s="1"/>
      <c r="HY535" s="1"/>
      <c r="ID535" s="1"/>
      <c r="IE535" s="1"/>
      <c r="IG535" s="1"/>
      <c r="IJ535" s="1"/>
      <c r="IR535" s="1"/>
      <c r="IS535" s="1"/>
      <c r="IW535" s="1"/>
      <c r="IX535" s="1"/>
      <c r="IY535" s="1"/>
      <c r="IZ535" s="1"/>
      <c r="JB535" s="1"/>
      <c r="JF535" s="1"/>
      <c r="JG535" s="1"/>
      <c r="JH535" s="1"/>
      <c r="JJ535" s="1"/>
      <c r="JK535" s="1"/>
      <c r="JL535" s="3"/>
      <c r="JM535" s="1"/>
      <c r="JN535" s="1"/>
      <c r="JP535" s="1"/>
      <c r="JQ535" s="1"/>
      <c r="JR535" s="1"/>
      <c r="JT535" s="1"/>
      <c r="KU535" s="1"/>
      <c r="KY535" s="1"/>
      <c r="KZ535" s="1"/>
      <c r="LA535" s="1"/>
      <c r="LB535" s="1"/>
      <c r="LC535" s="1"/>
      <c r="LD535" s="1"/>
      <c r="LF535" s="1"/>
      <c r="LO535" s="1"/>
      <c r="LP535" s="1"/>
      <c r="LZ535" s="1"/>
      <c r="MA535" s="1"/>
    </row>
    <row r="536" spans="4:339" ht="13" x14ac:dyDescent="0.15">
      <c r="D536" s="12"/>
      <c r="E536" s="12"/>
      <c r="I536" s="12"/>
      <c r="J536" s="13"/>
      <c r="BF536" s="1"/>
      <c r="BG536" s="1"/>
      <c r="BH536" s="1"/>
      <c r="BI536" s="1"/>
      <c r="BK536" s="1"/>
      <c r="BL536" s="1"/>
      <c r="BM536" s="1"/>
      <c r="BN536" s="1"/>
      <c r="BO536" s="1"/>
      <c r="BP536" s="1"/>
      <c r="BQ536" s="1"/>
      <c r="BR536" s="1"/>
      <c r="BX536" s="1"/>
      <c r="CD536" s="1"/>
      <c r="CE536" s="1"/>
      <c r="CF536" s="1"/>
      <c r="CG536" s="1"/>
      <c r="CH536" s="1"/>
      <c r="CI536" s="1"/>
      <c r="CK536" s="1"/>
      <c r="CM536" s="2"/>
      <c r="CN536" s="1"/>
      <c r="CO536" s="1"/>
      <c r="CP536" s="1"/>
      <c r="CQ536" s="1"/>
      <c r="CS536" s="1"/>
      <c r="CT536" s="1"/>
      <c r="CU536" s="1"/>
      <c r="CV536" s="1"/>
      <c r="CW536" s="1"/>
      <c r="CX536" s="1"/>
      <c r="CY536" s="1"/>
      <c r="CZ536" s="1"/>
      <c r="DA536" s="1"/>
      <c r="DB536" s="1"/>
      <c r="DC536" s="1"/>
      <c r="DD536" s="1"/>
      <c r="DE536" s="1"/>
      <c r="DF536" s="1"/>
      <c r="DG536" s="1"/>
      <c r="DH536" s="1"/>
      <c r="DI536" s="1"/>
      <c r="DJ536" s="1"/>
      <c r="DK536" s="1"/>
      <c r="DM536" s="1"/>
      <c r="DQ536" s="1"/>
      <c r="DR536" s="1"/>
      <c r="DY536" s="1"/>
      <c r="DZ536" s="1"/>
      <c r="ED536" s="1"/>
      <c r="EF536" s="1"/>
      <c r="EK536" s="1"/>
      <c r="EL536" s="1"/>
      <c r="EM536" s="1"/>
      <c r="EN536" s="1"/>
      <c r="EQ536" s="1"/>
      <c r="ER536" s="1"/>
      <c r="ES536" s="1"/>
      <c r="EV536" s="1"/>
      <c r="EW536" s="1"/>
      <c r="EZ536" s="1"/>
      <c r="FA536" s="1"/>
      <c r="FD536" s="1"/>
      <c r="FE536" s="1"/>
      <c r="FF536" s="1"/>
      <c r="FG536" s="1"/>
      <c r="FH536" s="1"/>
      <c r="FJ536" s="1"/>
      <c r="FM536" s="1"/>
      <c r="FN536" s="1"/>
      <c r="FO536" s="1"/>
      <c r="FP536" s="1"/>
      <c r="FS536" s="1"/>
      <c r="FT536" s="1"/>
      <c r="FU536" s="1"/>
      <c r="FV536" s="1"/>
      <c r="FW536" s="1"/>
      <c r="FX536" s="1"/>
      <c r="FY536" s="1"/>
      <c r="FZ536" s="1"/>
      <c r="GA536" s="1"/>
      <c r="GD536" s="1"/>
      <c r="GE536" s="1"/>
      <c r="GF536" s="1"/>
      <c r="GG536" s="1"/>
      <c r="GH536" s="1"/>
      <c r="GI536" s="1"/>
      <c r="GJ536" s="1"/>
      <c r="GK536" s="1"/>
      <c r="GL536" s="1"/>
      <c r="GM536" s="1"/>
      <c r="GN536" s="1"/>
      <c r="GO536" s="1"/>
      <c r="GP536" s="1"/>
      <c r="GR536" s="1"/>
      <c r="GS536" s="1"/>
      <c r="GY536" s="1"/>
      <c r="HH536" s="1"/>
      <c r="HN536" s="1"/>
      <c r="HQ536" s="1"/>
      <c r="HT536" s="1"/>
      <c r="HY536" s="1"/>
      <c r="ID536" s="1"/>
      <c r="IE536" s="1"/>
      <c r="IG536" s="1"/>
      <c r="IJ536" s="1"/>
      <c r="IR536" s="1"/>
      <c r="IS536" s="1"/>
      <c r="IW536" s="1"/>
      <c r="IX536" s="1"/>
      <c r="IY536" s="1"/>
      <c r="IZ536" s="1"/>
      <c r="JB536" s="1"/>
      <c r="JF536" s="1"/>
      <c r="JG536" s="1"/>
      <c r="JH536" s="1"/>
      <c r="JJ536" s="1"/>
      <c r="JK536" s="1"/>
      <c r="JL536" s="3"/>
      <c r="JM536" s="1"/>
      <c r="JN536" s="1"/>
      <c r="JP536" s="1"/>
      <c r="JQ536" s="1"/>
      <c r="JR536" s="1"/>
      <c r="JT536" s="1"/>
      <c r="KU536" s="1"/>
      <c r="KY536" s="1"/>
      <c r="KZ536" s="1"/>
      <c r="LA536" s="1"/>
      <c r="LB536" s="1"/>
      <c r="LC536" s="1"/>
      <c r="LD536" s="1"/>
      <c r="LF536" s="1"/>
      <c r="LO536" s="1"/>
      <c r="LP536" s="1"/>
      <c r="LZ536" s="1"/>
      <c r="MA536" s="1"/>
    </row>
    <row r="537" spans="4:339" ht="13" x14ac:dyDescent="0.15">
      <c r="D537" s="12"/>
      <c r="E537" s="12"/>
      <c r="I537" s="12"/>
      <c r="J537" s="13"/>
      <c r="BF537" s="1"/>
      <c r="BG537" s="1"/>
      <c r="BH537" s="1"/>
      <c r="BI537" s="1"/>
      <c r="BK537" s="1"/>
      <c r="BL537" s="1"/>
      <c r="BM537" s="1"/>
      <c r="BN537" s="1"/>
      <c r="BO537" s="1"/>
      <c r="BP537" s="1"/>
      <c r="BQ537" s="1"/>
      <c r="BR537" s="1"/>
      <c r="BX537" s="1"/>
      <c r="CD537" s="1"/>
      <c r="CE537" s="1"/>
      <c r="CF537" s="1"/>
      <c r="CG537" s="1"/>
      <c r="CH537" s="1"/>
      <c r="CI537" s="1"/>
      <c r="CK537" s="1"/>
      <c r="CM537" s="2"/>
      <c r="CN537" s="1"/>
      <c r="CO537" s="1"/>
      <c r="CP537" s="1"/>
      <c r="CQ537" s="1"/>
      <c r="CS537" s="1"/>
      <c r="CT537" s="1"/>
      <c r="CU537" s="1"/>
      <c r="CV537" s="1"/>
      <c r="CW537" s="1"/>
      <c r="CX537" s="1"/>
      <c r="CY537" s="1"/>
      <c r="CZ537" s="1"/>
      <c r="DA537" s="1"/>
      <c r="DB537" s="1"/>
      <c r="DC537" s="1"/>
      <c r="DD537" s="1"/>
      <c r="DE537" s="1"/>
      <c r="DF537" s="1"/>
      <c r="DG537" s="1"/>
      <c r="DH537" s="1"/>
      <c r="DI537" s="1"/>
      <c r="DJ537" s="1"/>
      <c r="DK537" s="1"/>
      <c r="DM537" s="1"/>
      <c r="DQ537" s="1"/>
      <c r="DR537" s="1"/>
      <c r="DY537" s="1"/>
      <c r="DZ537" s="1"/>
      <c r="ED537" s="1"/>
      <c r="EF537" s="1"/>
      <c r="EK537" s="1"/>
      <c r="EL537" s="1"/>
      <c r="EM537" s="1"/>
      <c r="EN537" s="1"/>
      <c r="EQ537" s="1"/>
      <c r="ER537" s="1"/>
      <c r="ES537" s="1"/>
      <c r="EV537" s="1"/>
      <c r="EW537" s="1"/>
      <c r="EZ537" s="1"/>
      <c r="FA537" s="1"/>
      <c r="FD537" s="1"/>
      <c r="FE537" s="1"/>
      <c r="FF537" s="1"/>
      <c r="FG537" s="1"/>
      <c r="FH537" s="1"/>
      <c r="FJ537" s="1"/>
      <c r="FM537" s="1"/>
      <c r="FN537" s="1"/>
      <c r="FO537" s="1"/>
      <c r="FP537" s="1"/>
      <c r="FS537" s="1"/>
      <c r="FT537" s="1"/>
      <c r="FU537" s="1"/>
      <c r="FV537" s="1"/>
      <c r="FW537" s="1"/>
      <c r="FX537" s="1"/>
      <c r="FY537" s="1"/>
      <c r="FZ537" s="1"/>
      <c r="GA537" s="1"/>
      <c r="GD537" s="1"/>
      <c r="GE537" s="1"/>
      <c r="GF537" s="1"/>
      <c r="GG537" s="1"/>
      <c r="GH537" s="1"/>
      <c r="GI537" s="1"/>
      <c r="GJ537" s="1"/>
      <c r="GK537" s="1"/>
      <c r="GL537" s="1"/>
      <c r="GM537" s="1"/>
      <c r="GN537" s="1"/>
      <c r="GO537" s="1"/>
      <c r="GP537" s="1"/>
      <c r="GR537" s="1"/>
      <c r="GS537" s="1"/>
      <c r="GY537" s="1"/>
      <c r="HH537" s="1"/>
      <c r="HN537" s="1"/>
      <c r="HQ537" s="1"/>
      <c r="HT537" s="1"/>
      <c r="HY537" s="1"/>
      <c r="ID537" s="1"/>
      <c r="IE537" s="1"/>
      <c r="IG537" s="1"/>
      <c r="IJ537" s="1"/>
      <c r="IR537" s="1"/>
      <c r="IS537" s="1"/>
      <c r="IW537" s="1"/>
      <c r="IX537" s="1"/>
      <c r="IY537" s="1"/>
      <c r="IZ537" s="1"/>
      <c r="JB537" s="1"/>
      <c r="JF537" s="1"/>
      <c r="JG537" s="1"/>
      <c r="JH537" s="1"/>
      <c r="JJ537" s="1"/>
      <c r="JK537" s="1"/>
      <c r="JL537" s="3"/>
      <c r="JM537" s="1"/>
      <c r="JN537" s="1"/>
      <c r="JP537" s="1"/>
      <c r="JQ537" s="1"/>
      <c r="JR537" s="1"/>
      <c r="JT537" s="1"/>
      <c r="KU537" s="1"/>
      <c r="KY537" s="1"/>
      <c r="KZ537" s="1"/>
      <c r="LA537" s="1"/>
      <c r="LB537" s="1"/>
      <c r="LC537" s="1"/>
      <c r="LD537" s="1"/>
      <c r="LF537" s="1"/>
      <c r="LO537" s="1"/>
      <c r="LP537" s="1"/>
      <c r="LZ537" s="1"/>
      <c r="MA537" s="1"/>
    </row>
    <row r="538" spans="4:339" ht="13" x14ac:dyDescent="0.15">
      <c r="D538" s="12"/>
      <c r="E538" s="12"/>
      <c r="I538" s="12"/>
      <c r="J538" s="13"/>
      <c r="BF538" s="1"/>
      <c r="BG538" s="1"/>
      <c r="BH538" s="1"/>
      <c r="BI538" s="1"/>
      <c r="BJ538" s="1"/>
      <c r="BK538" s="1"/>
      <c r="BL538" s="1"/>
      <c r="BM538" s="1"/>
      <c r="BN538" s="1"/>
      <c r="BO538" s="1"/>
      <c r="BQ538" s="1"/>
      <c r="BR538" s="1"/>
      <c r="CD538" s="1"/>
      <c r="CH538" s="1"/>
      <c r="CI538" s="1"/>
      <c r="CM538" s="2"/>
      <c r="CN538" s="1"/>
      <c r="CO538" s="1"/>
      <c r="ED538" s="1"/>
      <c r="EL538" s="1"/>
      <c r="EM538" s="1"/>
      <c r="EN538" s="1"/>
      <c r="EQ538" s="1"/>
      <c r="ER538" s="1"/>
      <c r="ES538" s="1"/>
      <c r="EV538" s="1"/>
      <c r="EW538" s="1"/>
      <c r="EZ538" s="1"/>
      <c r="FA538" s="1"/>
      <c r="FD538" s="1"/>
      <c r="FG538" s="1"/>
      <c r="FH538" s="1"/>
      <c r="FI538" s="1"/>
      <c r="FJ538" s="1"/>
      <c r="FK538" s="1"/>
      <c r="FL538" s="1"/>
      <c r="FM538" s="1"/>
      <c r="FN538" s="1"/>
      <c r="FO538" s="1"/>
      <c r="FP538" s="1"/>
      <c r="FQ538" s="1"/>
      <c r="FR538" s="1"/>
      <c r="FS538" s="1"/>
      <c r="FT538" s="1"/>
      <c r="FU538" s="1"/>
      <c r="FV538" s="1"/>
      <c r="FW538" s="1"/>
      <c r="FX538" s="1"/>
      <c r="FY538" s="1"/>
      <c r="FZ538" s="1"/>
      <c r="GA538" s="1"/>
      <c r="GB538" s="1"/>
      <c r="GD538" s="1"/>
      <c r="GE538" s="1"/>
      <c r="GF538" s="1"/>
      <c r="GG538" s="1"/>
      <c r="GH538" s="1"/>
      <c r="GI538" s="1"/>
      <c r="GJ538" s="1"/>
      <c r="GK538" s="1"/>
      <c r="GL538" s="1"/>
      <c r="GM538" s="1"/>
      <c r="GN538" s="1"/>
      <c r="GP538" s="1"/>
      <c r="GR538" s="1"/>
      <c r="GY538" s="1"/>
      <c r="HF538" s="1"/>
      <c r="HY538" s="1"/>
      <c r="IA538" s="1"/>
      <c r="IC538" s="1"/>
      <c r="IR538" s="1"/>
      <c r="IS538" s="1"/>
      <c r="IW538" s="1"/>
      <c r="IY538" s="1"/>
      <c r="IZ538" s="1"/>
      <c r="JA538" s="1"/>
      <c r="JG538" s="1"/>
      <c r="JJ538" s="1"/>
      <c r="JN538" s="1"/>
      <c r="JP538" s="1"/>
      <c r="JQ538" s="1"/>
      <c r="JT538" s="1"/>
      <c r="KU538" s="1"/>
      <c r="KV538" s="1"/>
    </row>
    <row r="539" spans="4:339" ht="13" x14ac:dyDescent="0.15">
      <c r="D539" s="12"/>
      <c r="E539" s="12"/>
      <c r="I539" s="12"/>
      <c r="J539" s="13"/>
      <c r="BF539" s="1"/>
      <c r="BG539" s="1"/>
      <c r="BH539" s="1"/>
      <c r="BI539" s="1"/>
      <c r="BK539" s="1"/>
      <c r="BL539" s="1"/>
      <c r="BM539" s="1"/>
      <c r="BN539" s="1"/>
      <c r="BQ539" s="1"/>
      <c r="BR539" s="1"/>
      <c r="CD539" s="1"/>
      <c r="CE539" s="1"/>
      <c r="CF539" s="1"/>
      <c r="CH539" s="1"/>
      <c r="CI539" s="1"/>
      <c r="CM539" s="4"/>
      <c r="CN539" s="1"/>
      <c r="CO539" s="1"/>
      <c r="CQ539" s="1"/>
      <c r="CY539" s="1"/>
      <c r="DC539" s="1"/>
      <c r="DH539" s="1"/>
      <c r="DM539" s="1"/>
      <c r="DR539" s="1"/>
      <c r="ED539" s="1"/>
      <c r="EF539" s="1"/>
      <c r="EL539" s="1"/>
      <c r="EM539" s="1"/>
      <c r="EN539" s="1"/>
      <c r="EQ539" s="1"/>
      <c r="ER539" s="1"/>
      <c r="ES539" s="1"/>
      <c r="EV539" s="1"/>
      <c r="EW539" s="1"/>
      <c r="EZ539" s="1"/>
      <c r="FA539" s="1"/>
      <c r="FD539" s="1"/>
      <c r="FG539" s="1"/>
      <c r="FH539" s="1"/>
      <c r="FI539" s="1"/>
      <c r="FJ539" s="1"/>
      <c r="FL539" s="1"/>
      <c r="FM539" s="1"/>
      <c r="FN539" s="1"/>
      <c r="FO539" s="1"/>
      <c r="FP539" s="1"/>
      <c r="FQ539" s="1"/>
      <c r="FR539" s="1"/>
      <c r="FS539" s="1"/>
      <c r="FT539" s="1"/>
      <c r="FU539" s="1"/>
      <c r="FV539" s="1"/>
      <c r="FW539" s="1"/>
      <c r="FX539" s="1"/>
      <c r="FY539" s="1"/>
      <c r="FZ539" s="1"/>
      <c r="GA539" s="1"/>
      <c r="GB539" s="1"/>
      <c r="GD539" s="1"/>
      <c r="GE539" s="1"/>
      <c r="GF539" s="1"/>
      <c r="GG539" s="1"/>
      <c r="GH539" s="1"/>
      <c r="GI539" s="1"/>
      <c r="GJ539" s="1"/>
      <c r="GK539" s="1"/>
      <c r="GL539" s="1"/>
      <c r="GM539" s="1"/>
      <c r="GN539" s="1"/>
      <c r="GP539" s="1"/>
      <c r="GR539" s="1"/>
      <c r="GY539" s="1"/>
      <c r="HF539" s="1"/>
      <c r="HH539" s="1"/>
      <c r="IR539" s="1"/>
      <c r="IS539" s="1"/>
      <c r="IZ539" s="1"/>
      <c r="JF539" s="1"/>
      <c r="JJ539" s="1"/>
      <c r="JN539" s="1"/>
      <c r="JP539" s="1"/>
      <c r="JQ539" s="1"/>
      <c r="JT539" s="1"/>
      <c r="LZ539" s="1"/>
      <c r="MA539" s="1"/>
    </row>
    <row r="540" spans="4:339" ht="13" x14ac:dyDescent="0.15">
      <c r="D540" s="12"/>
      <c r="E540" s="12"/>
      <c r="I540" s="12"/>
      <c r="J540" s="13"/>
      <c r="BF540" s="1"/>
      <c r="BG540" s="1"/>
      <c r="BH540" s="1"/>
      <c r="BI540" s="1"/>
      <c r="BK540" s="1"/>
      <c r="BL540" s="1"/>
      <c r="BM540" s="1"/>
      <c r="BN540" s="1"/>
      <c r="BO540" s="1"/>
      <c r="BP540" s="1"/>
      <c r="BQ540" s="1"/>
      <c r="BR540" s="1"/>
      <c r="CD540" s="1"/>
      <c r="CE540" s="1"/>
      <c r="CF540" s="1"/>
      <c r="CG540" s="1"/>
      <c r="CH540" s="1"/>
      <c r="CI540" s="1"/>
      <c r="CM540" s="2"/>
      <c r="CN540" s="1"/>
      <c r="CO540" s="1"/>
      <c r="CP540" s="1"/>
      <c r="CQ540" s="1"/>
      <c r="CX540" s="1"/>
      <c r="CY540" s="1"/>
      <c r="CZ540" s="1"/>
      <c r="DA540" s="1"/>
      <c r="DB540" s="1"/>
      <c r="DC540" s="1"/>
      <c r="DD540" s="1"/>
      <c r="DE540" s="1"/>
      <c r="DF540" s="1"/>
      <c r="DG540" s="1"/>
      <c r="DH540" s="1"/>
      <c r="DI540" s="1"/>
      <c r="DJ540" s="1"/>
      <c r="DK540" s="1"/>
      <c r="DR540" s="1"/>
      <c r="ED540" s="1"/>
      <c r="EK540" s="1"/>
      <c r="EL540" s="1"/>
      <c r="EM540" s="1"/>
      <c r="EN540" s="1"/>
      <c r="EQ540" s="1"/>
      <c r="ER540" s="1"/>
      <c r="ES540" s="1"/>
      <c r="EV540" s="1"/>
      <c r="EW540" s="1"/>
      <c r="EZ540" s="1"/>
      <c r="FA540" s="1"/>
      <c r="FD540" s="1"/>
      <c r="FG540" s="1"/>
      <c r="FH540" s="1"/>
      <c r="FI540" s="1"/>
      <c r="FJ540" s="1"/>
      <c r="FK540" s="1"/>
      <c r="FL540" s="1"/>
      <c r="FM540" s="1"/>
      <c r="FN540" s="1"/>
      <c r="FO540" s="1"/>
      <c r="FP540" s="1"/>
      <c r="FQ540" s="1"/>
      <c r="FR540" s="1"/>
      <c r="FS540" s="1"/>
      <c r="FT540" s="1"/>
      <c r="FU540" s="1"/>
      <c r="FV540" s="1"/>
      <c r="FW540" s="1"/>
      <c r="FX540" s="1"/>
      <c r="FY540" s="1"/>
      <c r="FZ540" s="1"/>
      <c r="GA540" s="1"/>
      <c r="GB540" s="1"/>
      <c r="GD540" s="1"/>
      <c r="GE540" s="1"/>
      <c r="GF540" s="1"/>
      <c r="GG540" s="1"/>
      <c r="GH540" s="1"/>
      <c r="GI540" s="1"/>
      <c r="GJ540" s="1"/>
      <c r="GK540" s="1"/>
      <c r="GL540" s="1"/>
      <c r="GM540" s="1"/>
      <c r="GN540" s="1"/>
      <c r="GP540" s="1"/>
      <c r="GR540" s="1"/>
      <c r="GY540" s="1"/>
      <c r="HF540" s="1"/>
      <c r="HH540" s="1"/>
      <c r="HN540" s="1"/>
      <c r="HQ540" s="1"/>
      <c r="HT540" s="1"/>
      <c r="HY540" s="1"/>
      <c r="IC540" s="1"/>
      <c r="IE540" s="1"/>
      <c r="IG540" s="1"/>
      <c r="IR540" s="1"/>
      <c r="IS540" s="1"/>
      <c r="IY540" s="1"/>
      <c r="IZ540" s="1"/>
      <c r="JC540" s="1"/>
      <c r="JF540" s="1"/>
      <c r="JG540" s="1"/>
      <c r="JH540" s="1"/>
      <c r="JJ540" s="1"/>
      <c r="JK540" s="1"/>
      <c r="JL540" s="3"/>
      <c r="JM540" s="1"/>
      <c r="JN540" s="1"/>
      <c r="JP540" s="1"/>
      <c r="JQ540" s="1"/>
      <c r="JR540" s="1"/>
      <c r="JT540" s="1"/>
      <c r="KU540" s="1"/>
      <c r="KV540" s="1"/>
      <c r="KY540" s="1"/>
      <c r="KZ540" s="1"/>
      <c r="LA540" s="1"/>
      <c r="LB540" s="1"/>
      <c r="LC540" s="1"/>
      <c r="LD540" s="1"/>
      <c r="LO540" s="1"/>
      <c r="LP540" s="1"/>
      <c r="LZ540" s="1"/>
      <c r="MA540" s="1"/>
    </row>
    <row r="541" spans="4:339" ht="13" x14ac:dyDescent="0.15">
      <c r="D541" s="12"/>
      <c r="E541" s="12"/>
      <c r="I541" s="12"/>
      <c r="J541" s="13"/>
      <c r="BF541" s="1"/>
      <c r="BG541" s="1"/>
      <c r="BH541" s="1"/>
      <c r="BI541" s="1"/>
      <c r="BK541" s="1"/>
      <c r="BL541" s="1"/>
      <c r="BM541" s="1"/>
      <c r="BN541" s="1"/>
      <c r="BO541" s="1"/>
      <c r="BP541" s="1"/>
      <c r="BQ541" s="1"/>
      <c r="BR541" s="1"/>
      <c r="CD541" s="1"/>
      <c r="CE541" s="1"/>
      <c r="CF541" s="1"/>
      <c r="CG541" s="1"/>
      <c r="CH541" s="1"/>
      <c r="CI541" s="1"/>
      <c r="CM541" s="2"/>
      <c r="CN541" s="1"/>
      <c r="CO541" s="1"/>
      <c r="CP541" s="1"/>
      <c r="CQ541" s="1"/>
      <c r="CX541" s="1"/>
      <c r="CY541" s="1"/>
      <c r="CZ541" s="1"/>
      <c r="DA541" s="1"/>
      <c r="DB541" s="1"/>
      <c r="DC541" s="1"/>
      <c r="DD541" s="1"/>
      <c r="DE541" s="1"/>
      <c r="DF541" s="1"/>
      <c r="DG541" s="1"/>
      <c r="DH541" s="1"/>
      <c r="DI541" s="1"/>
      <c r="DJ541" s="1"/>
      <c r="DK541" s="1"/>
      <c r="DR541" s="1"/>
      <c r="ED541" s="1"/>
      <c r="EK541" s="1"/>
      <c r="EL541" s="1"/>
      <c r="EM541" s="1"/>
      <c r="EN541" s="1"/>
      <c r="EQ541" s="1"/>
      <c r="ER541" s="1"/>
      <c r="ES541" s="1"/>
      <c r="EV541" s="1"/>
      <c r="EW541" s="1"/>
      <c r="EZ541" s="1"/>
      <c r="FA541" s="1"/>
      <c r="FD541" s="1"/>
      <c r="FG541" s="1"/>
      <c r="FH541" s="1"/>
      <c r="FI541" s="1"/>
      <c r="FJ541" s="1"/>
      <c r="FK541" s="1"/>
      <c r="FL541" s="1"/>
      <c r="FM541" s="1"/>
      <c r="FN541" s="1"/>
      <c r="FO541" s="1"/>
      <c r="FP541" s="1"/>
      <c r="FQ541" s="1"/>
      <c r="FR541" s="1"/>
      <c r="FS541" s="1"/>
      <c r="FT541" s="1"/>
      <c r="FU541" s="1"/>
      <c r="FV541" s="1"/>
      <c r="FW541" s="1"/>
      <c r="FX541" s="1"/>
      <c r="FY541" s="1"/>
      <c r="FZ541" s="1"/>
      <c r="GA541" s="1"/>
      <c r="GB541" s="1"/>
      <c r="GD541" s="1"/>
      <c r="GE541" s="1"/>
      <c r="GF541" s="1"/>
      <c r="GG541" s="1"/>
      <c r="GH541" s="1"/>
      <c r="GI541" s="1"/>
      <c r="GJ541" s="1"/>
      <c r="GK541" s="1"/>
      <c r="GL541" s="1"/>
      <c r="GM541" s="1"/>
      <c r="GN541" s="1"/>
      <c r="GP541" s="1"/>
      <c r="GR541" s="1"/>
      <c r="GY541" s="1"/>
      <c r="HF541" s="1"/>
      <c r="HH541" s="1"/>
      <c r="HN541" s="1"/>
      <c r="HQ541" s="1"/>
      <c r="HT541" s="1"/>
      <c r="HY541" s="1"/>
      <c r="IC541" s="1"/>
      <c r="IE541" s="1"/>
      <c r="IG541" s="1"/>
      <c r="IR541" s="1"/>
      <c r="IS541" s="1"/>
      <c r="IY541" s="1"/>
      <c r="IZ541" s="1"/>
      <c r="JC541" s="1"/>
      <c r="JF541" s="1"/>
      <c r="JG541" s="1"/>
      <c r="JH541" s="1"/>
      <c r="JJ541" s="1"/>
      <c r="JK541" s="1"/>
      <c r="JL541" s="3"/>
      <c r="JM541" s="1"/>
      <c r="JN541" s="1"/>
      <c r="JP541" s="1"/>
      <c r="JQ541" s="1"/>
      <c r="JR541" s="1"/>
      <c r="JT541" s="1"/>
      <c r="KU541" s="1"/>
      <c r="KV541" s="1"/>
      <c r="KY541" s="1"/>
      <c r="KZ541" s="1"/>
      <c r="LA541" s="1"/>
      <c r="LB541" s="1"/>
      <c r="LC541" s="1"/>
      <c r="LD541" s="1"/>
      <c r="LO541" s="1"/>
      <c r="LP541" s="1"/>
      <c r="LZ541" s="1"/>
      <c r="MA541" s="1"/>
    </row>
    <row r="542" spans="4:339" ht="13" x14ac:dyDescent="0.15">
      <c r="D542" s="12"/>
      <c r="E542" s="12"/>
      <c r="I542" s="12"/>
      <c r="J542" s="13"/>
      <c r="BF542" s="1"/>
      <c r="BG542" s="1"/>
      <c r="BH542" s="1"/>
      <c r="BI542" s="1"/>
      <c r="BJ542" s="1"/>
      <c r="BK542" s="1"/>
      <c r="BL542" s="1"/>
      <c r="BM542" s="1"/>
      <c r="BN542" s="1"/>
      <c r="BO542" s="1"/>
      <c r="BP542" s="1"/>
      <c r="BQ542" s="1"/>
      <c r="BR542" s="1"/>
      <c r="CD542" s="1"/>
      <c r="CE542" s="1"/>
      <c r="CF542" s="1"/>
      <c r="CG542" s="1"/>
      <c r="CH542" s="1"/>
      <c r="CI542" s="1"/>
      <c r="CM542" s="2"/>
      <c r="CN542" s="1"/>
      <c r="CO542" s="1"/>
      <c r="CP542" s="1"/>
      <c r="CQ542" s="1"/>
      <c r="CX542" s="1"/>
      <c r="CY542" s="1"/>
      <c r="CZ542" s="1"/>
      <c r="DA542" s="1"/>
      <c r="DB542" s="1"/>
      <c r="DC542" s="1"/>
      <c r="DD542" s="1"/>
      <c r="DE542" s="1"/>
      <c r="DF542" s="1"/>
      <c r="DG542" s="1"/>
      <c r="DH542" s="1"/>
      <c r="DI542" s="1"/>
      <c r="DJ542" s="1"/>
      <c r="DK542" s="1"/>
      <c r="DM542" s="1"/>
      <c r="DQ542" s="1"/>
      <c r="DR542" s="1"/>
      <c r="DY542" s="1"/>
      <c r="DZ542" s="1"/>
      <c r="ED542" s="1"/>
      <c r="EK542" s="1"/>
      <c r="EL542" s="1"/>
      <c r="EM542" s="1"/>
      <c r="EN542" s="1"/>
      <c r="EQ542" s="1"/>
      <c r="ER542" s="1"/>
      <c r="ES542" s="1"/>
      <c r="EV542" s="1"/>
      <c r="EW542" s="1"/>
      <c r="EZ542" s="1"/>
      <c r="FA542" s="1"/>
      <c r="FD542" s="1"/>
      <c r="FG542" s="1"/>
      <c r="FH542" s="1"/>
      <c r="FI542" s="1"/>
      <c r="FJ542" s="1"/>
      <c r="FM542" s="1"/>
      <c r="FN542" s="1"/>
      <c r="FO542" s="1"/>
      <c r="FS542" s="1"/>
      <c r="FU542" s="1"/>
      <c r="FV542" s="1"/>
      <c r="FW542" s="1"/>
      <c r="FX542" s="1"/>
      <c r="FY542" s="1"/>
      <c r="FZ542" s="1"/>
      <c r="GA542" s="1"/>
      <c r="GD542" s="1"/>
      <c r="GE542" s="1"/>
      <c r="GF542" s="1"/>
      <c r="GG542" s="1"/>
      <c r="GH542" s="1"/>
      <c r="GI542" s="1"/>
      <c r="GJ542" s="1"/>
      <c r="GM542" s="1"/>
      <c r="GN542" s="1"/>
      <c r="GP542" s="1"/>
      <c r="HF542" s="1"/>
      <c r="HH542" s="1"/>
      <c r="HT542" s="1"/>
      <c r="HY542" s="1"/>
      <c r="IE542" s="1"/>
      <c r="IR542" s="1"/>
      <c r="IS542" s="1"/>
      <c r="IY542" s="1"/>
      <c r="IZ542" s="1"/>
      <c r="JC542" s="1"/>
      <c r="JF542" s="1"/>
      <c r="JG542" s="1"/>
      <c r="JJ542" s="1"/>
      <c r="JN542" s="1"/>
      <c r="JP542" s="1"/>
      <c r="JQ542" s="1"/>
      <c r="JT542" s="1"/>
      <c r="KY542" s="1"/>
      <c r="KZ542" s="1"/>
      <c r="LA542" s="1"/>
      <c r="LB542" s="1"/>
      <c r="LC542" s="1"/>
      <c r="LD542" s="1"/>
      <c r="LR542" s="1"/>
      <c r="LS542" s="1"/>
      <c r="LT542" s="1"/>
      <c r="LU542" s="1"/>
      <c r="LZ542" s="1"/>
      <c r="MA542" s="1"/>
    </row>
    <row r="543" spans="4:339" ht="13" x14ac:dyDescent="0.15">
      <c r="D543" s="12"/>
      <c r="E543" s="12"/>
      <c r="I543" s="12"/>
      <c r="J543" s="13"/>
      <c r="BF543" s="1"/>
      <c r="BG543" s="1"/>
      <c r="BH543" s="1"/>
      <c r="BI543" s="1"/>
      <c r="BJ543" s="1"/>
      <c r="BK543" s="1"/>
      <c r="BL543" s="1"/>
      <c r="BM543" s="1"/>
      <c r="BN543" s="1"/>
      <c r="BO543" s="1"/>
      <c r="BP543" s="1"/>
      <c r="BQ543" s="1"/>
      <c r="BR543" s="1"/>
      <c r="CD543" s="1"/>
      <c r="CE543" s="1"/>
      <c r="CF543" s="1"/>
      <c r="CG543" s="1"/>
      <c r="CH543" s="1"/>
      <c r="CI543" s="1"/>
      <c r="CM543" s="2"/>
      <c r="CN543" s="1"/>
      <c r="CO543" s="1"/>
      <c r="CP543" s="1"/>
      <c r="CQ543" s="1"/>
      <c r="CR543" s="1"/>
      <c r="CS543" s="1"/>
      <c r="CT543" s="1"/>
      <c r="CU543" s="1"/>
      <c r="CV543" s="1"/>
      <c r="CW543" s="1"/>
      <c r="CX543" s="1"/>
      <c r="CY543" s="1"/>
      <c r="CZ543" s="1"/>
      <c r="DA543" s="1"/>
      <c r="DB543" s="1"/>
      <c r="DC543" s="1"/>
      <c r="DD543" s="1"/>
      <c r="DE543" s="1"/>
      <c r="DF543" s="1"/>
      <c r="DG543" s="1"/>
      <c r="DH543" s="1"/>
      <c r="DI543" s="1"/>
      <c r="DJ543" s="1"/>
      <c r="DK543" s="1"/>
      <c r="DL543" s="1"/>
      <c r="DM543" s="1"/>
      <c r="DQ543" s="1"/>
      <c r="DR543" s="1"/>
      <c r="DY543" s="1"/>
      <c r="DZ543" s="1"/>
      <c r="ED543" s="1"/>
      <c r="EE543" s="1"/>
      <c r="EF543" s="1"/>
      <c r="EG543" s="1"/>
      <c r="EH543" s="1"/>
      <c r="EK543" s="1"/>
      <c r="EL543" s="1"/>
      <c r="EM543" s="1"/>
      <c r="EN543" s="1"/>
      <c r="EQ543" s="1"/>
      <c r="ER543" s="1"/>
      <c r="ES543" s="1"/>
      <c r="EV543" s="1"/>
      <c r="EW543" s="1"/>
      <c r="EY543" s="1"/>
      <c r="EZ543" s="1"/>
      <c r="FA543" s="1"/>
      <c r="FD543" s="1"/>
      <c r="FG543" s="1"/>
      <c r="FH543" s="1"/>
      <c r="FI543" s="1"/>
      <c r="FJ543" s="1"/>
      <c r="FK543" s="1"/>
      <c r="FL543" s="1"/>
      <c r="FM543" s="1"/>
      <c r="FN543" s="1"/>
      <c r="FO543" s="1"/>
      <c r="FP543" s="1"/>
      <c r="FQ543" s="1"/>
      <c r="FS543" s="1"/>
      <c r="FT543" s="1"/>
      <c r="FU543" s="1"/>
      <c r="FV543" s="1"/>
      <c r="FW543" s="1"/>
      <c r="FX543" s="1"/>
      <c r="FY543" s="1"/>
      <c r="FZ543" s="1"/>
      <c r="GA543" s="1"/>
      <c r="GD543" s="1"/>
      <c r="GE543" s="1"/>
      <c r="GF543" s="1"/>
      <c r="GG543" s="1"/>
      <c r="GH543" s="1"/>
      <c r="GI543" s="1"/>
      <c r="GJ543" s="1"/>
      <c r="GK543" s="1"/>
      <c r="GL543" s="1"/>
      <c r="GM543" s="1"/>
      <c r="GN543" s="1"/>
      <c r="GO543" s="1"/>
      <c r="GP543" s="1"/>
      <c r="GR543" s="1"/>
      <c r="GY543" s="1"/>
      <c r="HF543" s="1"/>
      <c r="HH543" s="1"/>
      <c r="HN543" s="1"/>
      <c r="HQ543" s="1"/>
      <c r="HT543" s="1"/>
      <c r="HY543" s="1"/>
      <c r="IC543" s="1"/>
      <c r="IE543" s="1"/>
      <c r="IF543" s="1"/>
      <c r="IG543" s="1"/>
      <c r="IJ543" s="1"/>
      <c r="IR543" s="1"/>
      <c r="IS543" s="1"/>
      <c r="IW543" s="1"/>
      <c r="IX543" s="1"/>
      <c r="IZ543" s="1"/>
      <c r="JB543" s="1"/>
      <c r="JC543" s="1"/>
      <c r="JF543" s="1"/>
      <c r="JG543" s="1"/>
      <c r="JH543" s="1"/>
      <c r="JJ543" s="1"/>
      <c r="JK543" s="1"/>
      <c r="JL543" s="3"/>
      <c r="JM543" s="1"/>
      <c r="JP543" s="1"/>
      <c r="JQ543" s="1"/>
      <c r="JR543" s="1"/>
      <c r="JT543" s="1"/>
      <c r="KV543" s="1"/>
      <c r="KW543" s="1"/>
      <c r="KY543" s="1"/>
      <c r="KZ543" s="1"/>
      <c r="LA543" s="1"/>
      <c r="LB543" s="1"/>
      <c r="LC543" s="1"/>
      <c r="LD543" s="1"/>
      <c r="LN543" s="1"/>
      <c r="LO543" s="1"/>
      <c r="LP543" s="1"/>
      <c r="LZ543" s="1"/>
      <c r="MA543" s="1"/>
    </row>
    <row r="544" spans="4:339" ht="13" x14ac:dyDescent="0.15">
      <c r="D544" s="12"/>
      <c r="E544" s="12"/>
      <c r="I544" s="12"/>
      <c r="J544" s="13"/>
      <c r="BF544" s="1"/>
      <c r="BG544" s="1"/>
      <c r="BH544" s="1"/>
      <c r="BI544" s="1"/>
      <c r="BJ544" s="1"/>
      <c r="BK544" s="1"/>
      <c r="BL544" s="1"/>
      <c r="BM544" s="1"/>
      <c r="BN544" s="1"/>
      <c r="BO544" s="1"/>
      <c r="BP544" s="1"/>
      <c r="BQ544" s="1"/>
      <c r="BR544" s="1"/>
      <c r="CD544" s="1"/>
      <c r="CE544" s="1"/>
      <c r="CF544" s="1"/>
      <c r="CG544" s="1"/>
      <c r="CH544" s="1"/>
      <c r="CI544" s="1"/>
      <c r="CM544" s="2"/>
      <c r="CN544" s="1"/>
      <c r="CO544" s="1"/>
      <c r="CP544" s="1"/>
      <c r="CQ544" s="1"/>
      <c r="CR544" s="1"/>
      <c r="CS544" s="1"/>
      <c r="CT544" s="1"/>
      <c r="CU544" s="1"/>
      <c r="CV544" s="1"/>
      <c r="CW544" s="1"/>
      <c r="CX544" s="1"/>
      <c r="CY544" s="1"/>
      <c r="CZ544" s="1"/>
      <c r="DA544" s="1"/>
      <c r="DB544" s="1"/>
      <c r="DC544" s="1"/>
      <c r="DD544" s="1"/>
      <c r="DE544" s="1"/>
      <c r="DF544" s="1"/>
      <c r="DG544" s="1"/>
      <c r="DH544" s="1"/>
      <c r="DI544" s="1"/>
      <c r="DJ544" s="1"/>
      <c r="DK544" s="1"/>
      <c r="DL544" s="1"/>
      <c r="DM544" s="1"/>
      <c r="DQ544" s="1"/>
      <c r="DR544" s="1"/>
      <c r="DY544" s="1"/>
      <c r="DZ544" s="1"/>
      <c r="ED544" s="1"/>
      <c r="EE544" s="1"/>
      <c r="EF544" s="1"/>
      <c r="EG544" s="1"/>
      <c r="EH544" s="1"/>
      <c r="EK544" s="1"/>
      <c r="EL544" s="1"/>
      <c r="EM544" s="1"/>
      <c r="EN544" s="1"/>
      <c r="EQ544" s="1"/>
      <c r="ER544" s="1"/>
      <c r="ES544" s="1"/>
      <c r="EV544" s="1"/>
      <c r="EW544" s="1"/>
      <c r="EY544" s="1"/>
      <c r="EZ544" s="1"/>
      <c r="FA544" s="1"/>
      <c r="FD544" s="1"/>
      <c r="FG544" s="1"/>
      <c r="FH544" s="1"/>
      <c r="FI544" s="1"/>
      <c r="FJ544" s="1"/>
      <c r="FK544" s="1"/>
      <c r="FL544" s="1"/>
      <c r="FM544" s="1"/>
      <c r="FN544" s="1"/>
      <c r="FO544" s="1"/>
      <c r="FP544" s="1"/>
      <c r="FQ544" s="1"/>
      <c r="FS544" s="1"/>
      <c r="FT544" s="1"/>
      <c r="FU544" s="1"/>
      <c r="FV544" s="1"/>
      <c r="FW544" s="1"/>
      <c r="FX544" s="1"/>
      <c r="FY544" s="1"/>
      <c r="FZ544" s="1"/>
      <c r="GA544" s="1"/>
      <c r="GD544" s="1"/>
      <c r="GE544" s="1"/>
      <c r="GF544" s="1"/>
      <c r="GG544" s="1"/>
      <c r="GH544" s="1"/>
      <c r="GI544" s="1"/>
      <c r="GJ544" s="1"/>
      <c r="GK544" s="1"/>
      <c r="GL544" s="1"/>
      <c r="GM544" s="1"/>
      <c r="GN544" s="1"/>
      <c r="GO544" s="1"/>
      <c r="GP544" s="1"/>
      <c r="GR544" s="1"/>
      <c r="GY544" s="1"/>
      <c r="HF544" s="1"/>
      <c r="HH544" s="1"/>
      <c r="HN544" s="1"/>
      <c r="HQ544" s="1"/>
      <c r="HT544" s="1"/>
      <c r="HY544" s="1"/>
      <c r="IC544" s="1"/>
      <c r="IE544" s="1"/>
      <c r="IF544" s="1"/>
      <c r="IG544" s="1"/>
      <c r="IJ544" s="1"/>
      <c r="IR544" s="1"/>
      <c r="IS544" s="1"/>
      <c r="IW544" s="1"/>
      <c r="IX544" s="1"/>
      <c r="IZ544" s="1"/>
      <c r="JB544" s="1"/>
      <c r="JC544" s="1"/>
      <c r="JF544" s="1"/>
      <c r="JG544" s="1"/>
      <c r="JH544" s="1"/>
      <c r="JJ544" s="1"/>
      <c r="JK544" s="1"/>
      <c r="JL544" s="3"/>
      <c r="JM544" s="1"/>
      <c r="JP544" s="1"/>
      <c r="JQ544" s="1"/>
      <c r="JR544" s="1"/>
      <c r="JT544" s="1"/>
      <c r="KV544" s="1"/>
      <c r="KW544" s="1"/>
      <c r="KY544" s="1"/>
      <c r="KZ544" s="1"/>
      <c r="LA544" s="1"/>
      <c r="LB544" s="1"/>
      <c r="LC544" s="1"/>
      <c r="LD544" s="1"/>
      <c r="LN544" s="1"/>
      <c r="LO544" s="1"/>
      <c r="LP544" s="1"/>
      <c r="LZ544" s="1"/>
      <c r="MA544" s="1"/>
    </row>
    <row r="545" spans="4:339" ht="13" x14ac:dyDescent="0.15">
      <c r="D545" s="12"/>
      <c r="E545" s="12"/>
      <c r="I545" s="12"/>
      <c r="J545" s="13"/>
      <c r="BF545" s="1"/>
      <c r="BG545" s="1"/>
      <c r="BH545" s="1"/>
      <c r="BI545" s="1"/>
      <c r="BK545" s="1"/>
      <c r="BL545" s="1"/>
      <c r="BM545" s="1"/>
      <c r="BN545" s="1"/>
      <c r="BO545" s="1"/>
      <c r="BP545" s="1"/>
      <c r="BQ545" s="1"/>
      <c r="BR545" s="1"/>
      <c r="BX545" s="1"/>
      <c r="CD545" s="1"/>
      <c r="CE545" s="1"/>
      <c r="CF545" s="1"/>
      <c r="CG545" s="1"/>
      <c r="CH545" s="1"/>
      <c r="CI545" s="1"/>
      <c r="CM545" s="2"/>
      <c r="CN545" s="1"/>
      <c r="CO545" s="1"/>
      <c r="CP545" s="1"/>
      <c r="CQ545" s="1"/>
      <c r="CS545" s="1"/>
      <c r="CT545" s="1"/>
      <c r="CU545" s="1"/>
      <c r="CV545" s="1"/>
      <c r="CW545" s="1"/>
      <c r="CX545" s="1"/>
      <c r="CY545" s="1"/>
      <c r="CZ545" s="1"/>
      <c r="DA545" s="1"/>
      <c r="DB545" s="1"/>
      <c r="DC545" s="1"/>
      <c r="DD545" s="1"/>
      <c r="DE545" s="1"/>
      <c r="DF545" s="1"/>
      <c r="DG545" s="1"/>
      <c r="DH545" s="1"/>
      <c r="DI545" s="1"/>
      <c r="DJ545" s="1"/>
      <c r="DK545" s="1"/>
      <c r="DM545" s="1"/>
      <c r="DQ545" s="1"/>
      <c r="DR545" s="1"/>
      <c r="DY545" s="1"/>
      <c r="DZ545" s="1"/>
      <c r="ED545" s="1"/>
      <c r="EF545" s="1"/>
      <c r="EK545" s="1"/>
      <c r="EL545" s="1"/>
      <c r="EM545" s="1"/>
      <c r="EN545" s="1"/>
      <c r="EQ545" s="1"/>
      <c r="ER545" s="1"/>
      <c r="ES545" s="1"/>
      <c r="EV545" s="1"/>
      <c r="EW545" s="1"/>
      <c r="EZ545" s="1"/>
      <c r="FA545" s="1"/>
      <c r="FD545" s="1"/>
      <c r="FE545" s="1"/>
      <c r="FF545" s="1"/>
      <c r="FG545" s="1"/>
      <c r="FH545" s="1"/>
      <c r="FI545" s="1"/>
      <c r="FJ545" s="1"/>
      <c r="FK545" s="1"/>
      <c r="FM545" s="1"/>
      <c r="FN545" s="1"/>
      <c r="FO545" s="1"/>
      <c r="FP545" s="1"/>
      <c r="FQ545" s="1"/>
      <c r="FR545" s="1"/>
      <c r="FS545" s="1"/>
      <c r="FT545" s="1"/>
      <c r="FU545" s="1"/>
      <c r="FV545" s="1"/>
      <c r="FW545" s="1"/>
      <c r="FX545" s="1"/>
      <c r="FY545" s="1"/>
      <c r="FZ545" s="1"/>
      <c r="GA545" s="1"/>
      <c r="GB545" s="1"/>
      <c r="GD545" s="1"/>
      <c r="GE545" s="1"/>
      <c r="GF545" s="1"/>
      <c r="GG545" s="1"/>
      <c r="GH545" s="1"/>
      <c r="GI545" s="1"/>
      <c r="GJ545" s="1"/>
      <c r="GK545" s="1"/>
      <c r="GL545" s="1"/>
      <c r="GM545" s="1"/>
      <c r="GN545" s="1"/>
      <c r="GO545" s="1"/>
      <c r="GP545" s="1"/>
      <c r="GR545" s="1"/>
      <c r="GY545" s="1"/>
      <c r="HF545" s="1"/>
      <c r="HH545" s="1"/>
      <c r="HN545" s="1"/>
      <c r="HR545" s="1"/>
      <c r="HS545" s="1"/>
      <c r="HT545" s="1"/>
      <c r="HY545" s="1"/>
      <c r="IE545" s="1"/>
      <c r="IR545" s="1"/>
      <c r="IS545" s="1"/>
      <c r="IZ545" s="1"/>
      <c r="JC545" s="1"/>
      <c r="JF545" s="1"/>
      <c r="JG545" s="1"/>
      <c r="JH545" s="1"/>
      <c r="JI545" s="1"/>
      <c r="JJ545" s="1"/>
      <c r="JN545" s="1"/>
      <c r="JP545" s="1"/>
      <c r="JQ545" s="1"/>
      <c r="JT545" s="1"/>
      <c r="KW545" s="1"/>
      <c r="KY545" s="1"/>
      <c r="KZ545" s="1"/>
      <c r="LA545" s="1"/>
      <c r="LB545" s="1"/>
      <c r="LC545" s="1"/>
      <c r="LD545" s="1"/>
      <c r="LF545" s="1"/>
      <c r="LJ545" s="1"/>
      <c r="LN545" s="1"/>
      <c r="LO545" s="1"/>
      <c r="LP545" s="1"/>
      <c r="LZ545" s="1"/>
      <c r="MA545" s="1"/>
    </row>
    <row r="546" spans="4:339" ht="13" x14ac:dyDescent="0.15">
      <c r="D546" s="12"/>
      <c r="E546" s="12"/>
      <c r="I546" s="12"/>
      <c r="J546" s="13"/>
      <c r="BF546" s="1"/>
      <c r="BG546" s="1"/>
      <c r="BH546" s="1"/>
      <c r="BI546" s="1"/>
      <c r="BK546" s="1"/>
      <c r="BL546" s="1"/>
      <c r="BM546" s="1"/>
      <c r="BN546" s="1"/>
      <c r="BO546" s="1"/>
      <c r="BP546" s="1"/>
      <c r="BQ546" s="1"/>
      <c r="BR546" s="1"/>
      <c r="BX546" s="1"/>
      <c r="CD546" s="1"/>
      <c r="CE546" s="1"/>
      <c r="CF546" s="1"/>
      <c r="CG546" s="1"/>
      <c r="CH546" s="1"/>
      <c r="CI546" s="1"/>
      <c r="CM546" s="2"/>
      <c r="CN546" s="1"/>
      <c r="CO546" s="1"/>
      <c r="CP546" s="1"/>
      <c r="CQ546" s="1"/>
      <c r="CS546" s="1"/>
      <c r="CT546" s="1"/>
      <c r="CU546" s="1"/>
      <c r="CV546" s="1"/>
      <c r="CW546" s="1"/>
      <c r="CX546" s="1"/>
      <c r="CY546" s="1"/>
      <c r="CZ546" s="1"/>
      <c r="DA546" s="1"/>
      <c r="DB546" s="1"/>
      <c r="DC546" s="1"/>
      <c r="DD546" s="1"/>
      <c r="DE546" s="1"/>
      <c r="DF546" s="1"/>
      <c r="DG546" s="1"/>
      <c r="DH546" s="1"/>
      <c r="DI546" s="1"/>
      <c r="DJ546" s="1"/>
      <c r="DK546" s="1"/>
      <c r="DM546" s="1"/>
      <c r="DQ546" s="1"/>
      <c r="DR546" s="1"/>
      <c r="DY546" s="1"/>
      <c r="DZ546" s="1"/>
      <c r="ED546" s="1"/>
      <c r="EF546" s="1"/>
      <c r="EK546" s="1"/>
      <c r="EL546" s="1"/>
      <c r="EM546" s="1"/>
      <c r="EN546" s="1"/>
      <c r="EQ546" s="1"/>
      <c r="ER546" s="1"/>
      <c r="ES546" s="1"/>
      <c r="EV546" s="1"/>
      <c r="EW546" s="1"/>
      <c r="EZ546" s="1"/>
      <c r="FA546" s="1"/>
      <c r="FD546" s="1"/>
      <c r="FE546" s="1"/>
      <c r="FF546" s="1"/>
      <c r="FG546" s="1"/>
      <c r="FH546" s="1"/>
      <c r="FI546" s="1"/>
      <c r="FJ546" s="1"/>
      <c r="FK546" s="1"/>
      <c r="FM546" s="1"/>
      <c r="FN546" s="1"/>
      <c r="FO546" s="1"/>
      <c r="FP546" s="1"/>
      <c r="FQ546" s="1"/>
      <c r="FR546" s="1"/>
      <c r="FS546" s="1"/>
      <c r="FT546" s="1"/>
      <c r="FU546" s="1"/>
      <c r="FV546" s="1"/>
      <c r="FW546" s="1"/>
      <c r="FX546" s="1"/>
      <c r="FY546" s="1"/>
      <c r="FZ546" s="1"/>
      <c r="GA546" s="1"/>
      <c r="GB546" s="1"/>
      <c r="GD546" s="1"/>
      <c r="GE546" s="1"/>
      <c r="GF546" s="1"/>
      <c r="GG546" s="1"/>
      <c r="GH546" s="1"/>
      <c r="GI546" s="1"/>
      <c r="GJ546" s="1"/>
      <c r="GK546" s="1"/>
      <c r="GL546" s="1"/>
      <c r="GM546" s="1"/>
      <c r="GN546" s="1"/>
      <c r="GO546" s="1"/>
      <c r="GP546" s="1"/>
      <c r="GR546" s="1"/>
      <c r="GY546" s="1"/>
      <c r="HF546" s="1"/>
      <c r="HH546" s="1"/>
      <c r="HN546" s="1"/>
      <c r="HR546" s="1"/>
      <c r="HS546" s="1"/>
      <c r="HT546" s="1"/>
      <c r="HY546" s="1"/>
      <c r="IE546" s="1"/>
      <c r="IR546" s="1"/>
      <c r="IS546" s="1"/>
      <c r="IZ546" s="1"/>
      <c r="JC546" s="1"/>
      <c r="JF546" s="1"/>
      <c r="JG546" s="1"/>
      <c r="JH546" s="1"/>
      <c r="JI546" s="1"/>
      <c r="JJ546" s="1"/>
      <c r="JN546" s="1"/>
      <c r="JP546" s="1"/>
      <c r="JQ546" s="1"/>
      <c r="JT546" s="1"/>
      <c r="KW546" s="1"/>
      <c r="KY546" s="1"/>
      <c r="KZ546" s="1"/>
      <c r="LA546" s="1"/>
      <c r="LB546" s="1"/>
      <c r="LC546" s="1"/>
      <c r="LD546" s="1"/>
      <c r="LF546" s="1"/>
      <c r="LJ546" s="1"/>
      <c r="LN546" s="1"/>
      <c r="LO546" s="1"/>
      <c r="LP546" s="1"/>
      <c r="LZ546" s="1"/>
      <c r="MA546" s="1"/>
    </row>
    <row r="547" spans="4:339" ht="13" x14ac:dyDescent="0.15">
      <c r="D547" s="12"/>
      <c r="E547" s="12"/>
      <c r="I547" s="12"/>
      <c r="J547" s="13"/>
      <c r="BF547" s="1"/>
      <c r="BG547" s="1"/>
      <c r="BH547" s="1"/>
      <c r="BI547" s="1"/>
      <c r="BK547" s="1"/>
      <c r="BL547" s="1"/>
      <c r="BM547" s="1"/>
      <c r="BN547" s="1"/>
      <c r="BO547" s="1"/>
      <c r="BP547" s="1"/>
      <c r="BQ547" s="1"/>
      <c r="BR547" s="1"/>
      <c r="BX547" s="1"/>
      <c r="CD547" s="1"/>
      <c r="CE547" s="1"/>
      <c r="CF547" s="1"/>
      <c r="CG547" s="1"/>
      <c r="CH547" s="1"/>
      <c r="CI547" s="1"/>
      <c r="CM547" s="2"/>
      <c r="CN547" s="1"/>
      <c r="CO547" s="1"/>
      <c r="CP547" s="1"/>
      <c r="CQ547" s="1"/>
      <c r="CS547" s="1"/>
      <c r="CT547" s="1"/>
      <c r="CU547" s="1"/>
      <c r="CV547" s="1"/>
      <c r="CW547" s="1"/>
      <c r="CX547" s="1"/>
      <c r="CY547" s="1"/>
      <c r="CZ547" s="1"/>
      <c r="DA547" s="1"/>
      <c r="DB547" s="1"/>
      <c r="DC547" s="1"/>
      <c r="DD547" s="1"/>
      <c r="DE547" s="1"/>
      <c r="DF547" s="1"/>
      <c r="DG547" s="1"/>
      <c r="DH547" s="1"/>
      <c r="DI547" s="1"/>
      <c r="DJ547" s="1"/>
      <c r="DK547" s="1"/>
      <c r="DM547" s="1"/>
      <c r="DQ547" s="1"/>
      <c r="DR547" s="1"/>
      <c r="DY547" s="1"/>
      <c r="DZ547" s="1"/>
      <c r="ED547" s="1"/>
      <c r="EF547" s="1"/>
      <c r="EK547" s="1"/>
      <c r="EL547" s="1"/>
      <c r="EM547" s="1"/>
      <c r="EN547" s="1"/>
      <c r="EQ547" s="1"/>
      <c r="ER547" s="1"/>
      <c r="ES547" s="1"/>
      <c r="EV547" s="1"/>
      <c r="EW547" s="1"/>
      <c r="EZ547" s="1"/>
      <c r="FA547" s="1"/>
      <c r="FD547" s="1"/>
      <c r="FE547" s="1"/>
      <c r="FF547" s="1"/>
      <c r="FG547" s="1"/>
      <c r="FH547" s="1"/>
      <c r="FI547" s="1"/>
      <c r="FJ547" s="1"/>
      <c r="FK547" s="1"/>
      <c r="FM547" s="1"/>
      <c r="FN547" s="1"/>
      <c r="FO547" s="1"/>
      <c r="FP547" s="1"/>
      <c r="FQ547" s="1"/>
      <c r="FR547" s="1"/>
      <c r="FS547" s="1"/>
      <c r="FT547" s="1"/>
      <c r="FU547" s="1"/>
      <c r="FV547" s="1"/>
      <c r="FW547" s="1"/>
      <c r="FX547" s="1"/>
      <c r="FY547" s="1"/>
      <c r="FZ547" s="1"/>
      <c r="GA547" s="1"/>
      <c r="GB547" s="1"/>
      <c r="GD547" s="1"/>
      <c r="GE547" s="1"/>
      <c r="GF547" s="1"/>
      <c r="GG547" s="1"/>
      <c r="GH547" s="1"/>
      <c r="GI547" s="1"/>
      <c r="GJ547" s="1"/>
      <c r="GK547" s="1"/>
      <c r="GL547" s="1"/>
      <c r="GM547" s="1"/>
      <c r="GN547" s="1"/>
      <c r="GO547" s="1"/>
      <c r="GP547" s="1"/>
      <c r="GR547" s="1"/>
      <c r="GY547" s="1"/>
      <c r="HF547" s="1"/>
      <c r="HH547" s="1"/>
      <c r="HN547" s="1"/>
      <c r="HR547" s="1"/>
      <c r="HS547" s="1"/>
      <c r="HT547" s="1"/>
      <c r="HY547" s="1"/>
      <c r="IE547" s="1"/>
      <c r="IR547" s="1"/>
      <c r="IS547" s="1"/>
      <c r="IZ547" s="1"/>
      <c r="JC547" s="1"/>
      <c r="JF547" s="1"/>
      <c r="JG547" s="1"/>
      <c r="JH547" s="1"/>
      <c r="JI547" s="1"/>
      <c r="JJ547" s="1"/>
      <c r="JN547" s="1"/>
      <c r="JP547" s="1"/>
      <c r="JQ547" s="1"/>
      <c r="JT547" s="1"/>
      <c r="KW547" s="1"/>
      <c r="KY547" s="1"/>
      <c r="KZ547" s="1"/>
      <c r="LA547" s="1"/>
      <c r="LB547" s="1"/>
      <c r="LC547" s="1"/>
      <c r="LD547" s="1"/>
      <c r="LF547" s="1"/>
      <c r="LJ547" s="1"/>
      <c r="LN547" s="1"/>
      <c r="LO547" s="1"/>
      <c r="LP547" s="1"/>
      <c r="LZ547" s="1"/>
      <c r="MA547" s="1"/>
    </row>
    <row r="548" spans="4:339" ht="13" x14ac:dyDescent="0.15">
      <c r="D548" s="12"/>
      <c r="E548" s="12"/>
      <c r="I548" s="12"/>
      <c r="J548" s="13"/>
      <c r="BF548" s="1"/>
      <c r="BG548" s="1"/>
      <c r="BH548" s="1"/>
      <c r="BI548" s="1"/>
      <c r="BK548" s="1"/>
      <c r="BL548" s="1"/>
      <c r="BM548" s="1"/>
      <c r="BN548" s="1"/>
      <c r="BO548" s="1"/>
      <c r="BP548" s="1"/>
      <c r="BQ548" s="1"/>
      <c r="BR548" s="1"/>
      <c r="BX548" s="1"/>
      <c r="CD548" s="1"/>
      <c r="CE548" s="1"/>
      <c r="CF548" s="1"/>
      <c r="CG548" s="1"/>
      <c r="CH548" s="1"/>
      <c r="CI548" s="1"/>
      <c r="CM548" s="4"/>
      <c r="CN548" s="1"/>
      <c r="CO548" s="1"/>
      <c r="CP548" s="1"/>
      <c r="CQ548" s="1"/>
      <c r="CR548" s="1"/>
      <c r="CS548" s="1"/>
      <c r="CT548" s="1"/>
      <c r="CU548" s="1"/>
      <c r="CV548" s="1"/>
      <c r="CW548" s="1"/>
      <c r="CX548" s="1"/>
      <c r="CY548" s="1"/>
      <c r="CZ548" s="1"/>
      <c r="DA548" s="1"/>
      <c r="DB548" s="1"/>
      <c r="DC548" s="1"/>
      <c r="DD548" s="1"/>
      <c r="DE548" s="1"/>
      <c r="DF548" s="1"/>
      <c r="DG548" s="1"/>
      <c r="DH548" s="1"/>
      <c r="DI548" s="1"/>
      <c r="DJ548" s="1"/>
      <c r="DK548" s="1"/>
      <c r="DM548" s="1"/>
      <c r="DR548" s="1"/>
      <c r="ED548" s="1"/>
      <c r="EF548" s="1"/>
      <c r="EK548" s="1"/>
      <c r="EL548" s="1"/>
      <c r="EM548" s="1"/>
      <c r="EN548" s="1"/>
      <c r="EQ548" s="1"/>
      <c r="ER548" s="1"/>
      <c r="ES548" s="1"/>
      <c r="EV548" s="1"/>
      <c r="EW548" s="1"/>
      <c r="EX548" s="1"/>
      <c r="EZ548" s="1"/>
      <c r="FA548" s="1"/>
      <c r="FD548" s="1"/>
      <c r="FF548" s="1"/>
      <c r="FG548" s="1"/>
      <c r="FH548" s="1"/>
      <c r="FI548" s="1"/>
      <c r="FJ548" s="1"/>
      <c r="FK548" s="1"/>
      <c r="FM548" s="1"/>
      <c r="FN548" s="1"/>
      <c r="FO548" s="1"/>
      <c r="FP548" s="1"/>
      <c r="FQ548" s="1"/>
      <c r="FR548" s="1"/>
      <c r="FS548" s="1"/>
      <c r="FT548" s="1"/>
      <c r="FU548" s="1"/>
      <c r="FV548" s="1"/>
      <c r="FW548" s="1"/>
      <c r="FX548" s="1"/>
      <c r="FY548" s="1"/>
      <c r="FZ548" s="1"/>
      <c r="GA548" s="1"/>
      <c r="GB548" s="1"/>
      <c r="GD548" s="1"/>
      <c r="GE548" s="1"/>
      <c r="GF548" s="1"/>
      <c r="GG548" s="1"/>
      <c r="GH548" s="1"/>
      <c r="GI548" s="1"/>
      <c r="GJ548" s="1"/>
      <c r="GK548" s="1"/>
      <c r="GL548" s="1"/>
      <c r="GM548" s="1"/>
      <c r="GN548" s="1"/>
      <c r="GP548" s="1"/>
      <c r="GR548" s="1"/>
      <c r="GY548" s="1"/>
      <c r="HF548" s="1"/>
      <c r="HH548" s="1"/>
      <c r="HN548" s="1"/>
      <c r="HQ548" s="1"/>
      <c r="HT548" s="1"/>
      <c r="HY548" s="1"/>
      <c r="IC548" s="1"/>
      <c r="IE548" s="1"/>
      <c r="IR548" s="1"/>
      <c r="IS548" s="1"/>
      <c r="IZ548" s="1"/>
      <c r="JC548" s="1"/>
      <c r="JF548" s="1"/>
      <c r="JG548" s="1"/>
      <c r="JH548" s="1"/>
      <c r="JJ548" s="1"/>
      <c r="JN548" s="1"/>
      <c r="JP548" s="1"/>
      <c r="JQ548" s="1"/>
      <c r="JT548" s="1"/>
      <c r="KU548" s="1"/>
      <c r="KY548" s="1"/>
      <c r="KZ548" s="1"/>
      <c r="LA548" s="1"/>
      <c r="LB548" s="1"/>
      <c r="LC548" s="1"/>
      <c r="LD548" s="1"/>
      <c r="LF548" s="1"/>
      <c r="LN548" s="1"/>
      <c r="LO548" s="1"/>
      <c r="LP548" s="1"/>
      <c r="LZ548" s="1"/>
      <c r="MA548" s="1"/>
    </row>
    <row r="549" spans="4:339" ht="13" x14ac:dyDescent="0.15">
      <c r="D549" s="12"/>
      <c r="E549" s="12"/>
      <c r="I549" s="12"/>
      <c r="J549" s="13"/>
      <c r="BF549" s="1"/>
      <c r="BG549" s="1"/>
      <c r="BH549" s="1"/>
      <c r="BI549" s="1"/>
      <c r="BK549" s="1"/>
      <c r="BL549" s="1"/>
      <c r="BM549" s="1"/>
      <c r="BN549" s="1"/>
      <c r="BO549" s="1"/>
      <c r="BP549" s="1"/>
      <c r="BQ549" s="1"/>
      <c r="BR549" s="1"/>
      <c r="BX549" s="1"/>
      <c r="CD549" s="1"/>
      <c r="CE549" s="1"/>
      <c r="CF549" s="1"/>
      <c r="CG549" s="1"/>
      <c r="CH549" s="1"/>
      <c r="CI549" s="1"/>
      <c r="CM549" s="4"/>
      <c r="CN549" s="1"/>
      <c r="CO549" s="1"/>
      <c r="CP549" s="1"/>
      <c r="CQ549" s="1"/>
      <c r="CR549" s="1"/>
      <c r="CS549" s="1"/>
      <c r="CT549" s="1"/>
      <c r="CU549" s="1"/>
      <c r="CV549" s="1"/>
      <c r="CW549" s="1"/>
      <c r="CX549" s="1"/>
      <c r="CY549" s="1"/>
      <c r="CZ549" s="1"/>
      <c r="DA549" s="1"/>
      <c r="DB549" s="1"/>
      <c r="DC549" s="1"/>
      <c r="DD549" s="1"/>
      <c r="DE549" s="1"/>
      <c r="DF549" s="1"/>
      <c r="DG549" s="1"/>
      <c r="DH549" s="1"/>
      <c r="DI549" s="1"/>
      <c r="DJ549" s="1"/>
      <c r="DK549" s="1"/>
      <c r="DM549" s="1"/>
      <c r="DR549" s="1"/>
      <c r="ED549" s="1"/>
      <c r="EF549" s="1"/>
      <c r="EK549" s="1"/>
      <c r="EL549" s="1"/>
      <c r="EM549" s="1"/>
      <c r="EN549" s="1"/>
      <c r="EQ549" s="1"/>
      <c r="ER549" s="1"/>
      <c r="ES549" s="1"/>
      <c r="EV549" s="1"/>
      <c r="EW549" s="1"/>
      <c r="EX549" s="1"/>
      <c r="EZ549" s="1"/>
      <c r="FA549" s="1"/>
      <c r="FD549" s="1"/>
      <c r="FF549" s="1"/>
      <c r="FG549" s="1"/>
      <c r="FH549" s="1"/>
      <c r="FI549" s="1"/>
      <c r="FJ549" s="1"/>
      <c r="FK549" s="1"/>
      <c r="FM549" s="1"/>
      <c r="FN549" s="1"/>
      <c r="FO549" s="1"/>
      <c r="FP549" s="1"/>
      <c r="FQ549" s="1"/>
      <c r="FR549" s="1"/>
      <c r="FS549" s="1"/>
      <c r="FT549" s="1"/>
      <c r="FU549" s="1"/>
      <c r="FV549" s="1"/>
      <c r="FW549" s="1"/>
      <c r="FX549" s="1"/>
      <c r="FY549" s="1"/>
      <c r="FZ549" s="1"/>
      <c r="GA549" s="1"/>
      <c r="GB549" s="1"/>
      <c r="GD549" s="1"/>
      <c r="GE549" s="1"/>
      <c r="GF549" s="1"/>
      <c r="GG549" s="1"/>
      <c r="GH549" s="1"/>
      <c r="GI549" s="1"/>
      <c r="GJ549" s="1"/>
      <c r="GK549" s="1"/>
      <c r="GL549" s="1"/>
      <c r="GM549" s="1"/>
      <c r="GN549" s="1"/>
      <c r="GP549" s="1"/>
      <c r="GR549" s="1"/>
      <c r="GY549" s="1"/>
      <c r="HF549" s="1"/>
      <c r="HH549" s="1"/>
      <c r="HN549" s="1"/>
      <c r="HQ549" s="1"/>
      <c r="HT549" s="1"/>
      <c r="HY549" s="1"/>
      <c r="IC549" s="1"/>
      <c r="IE549" s="1"/>
      <c r="IR549" s="1"/>
      <c r="IS549" s="1"/>
      <c r="IZ549" s="1"/>
      <c r="JC549" s="1"/>
      <c r="JF549" s="1"/>
      <c r="JG549" s="1"/>
      <c r="JH549" s="1"/>
      <c r="JJ549" s="1"/>
      <c r="JN549" s="1"/>
      <c r="JP549" s="1"/>
      <c r="JQ549" s="1"/>
      <c r="JT549" s="1"/>
      <c r="KU549" s="1"/>
      <c r="KY549" s="1"/>
      <c r="KZ549" s="1"/>
      <c r="LA549" s="1"/>
      <c r="LB549" s="1"/>
      <c r="LC549" s="1"/>
      <c r="LD549" s="1"/>
      <c r="LF549" s="1"/>
      <c r="LN549" s="1"/>
      <c r="LO549" s="1"/>
      <c r="LP549" s="1"/>
      <c r="LZ549" s="1"/>
      <c r="MA549" s="1"/>
    </row>
    <row r="550" spans="4:339" ht="13" x14ac:dyDescent="0.15">
      <c r="D550" s="12"/>
      <c r="E550" s="12"/>
      <c r="I550" s="12"/>
      <c r="J550" s="13"/>
      <c r="BF550" s="1"/>
      <c r="BG550" s="1"/>
      <c r="BH550" s="1"/>
      <c r="BI550" s="1"/>
      <c r="BK550" s="1"/>
      <c r="BL550" s="1"/>
      <c r="BM550" s="1"/>
      <c r="BN550" s="1"/>
      <c r="BO550" s="1"/>
      <c r="BP550" s="1"/>
      <c r="BQ550" s="1"/>
      <c r="BR550" s="1"/>
      <c r="BX550" s="1"/>
      <c r="CD550" s="1"/>
      <c r="CE550" s="1"/>
      <c r="CF550" s="1"/>
      <c r="CG550" s="1"/>
      <c r="CH550" s="1"/>
      <c r="CI550" s="1"/>
      <c r="CM550" s="4"/>
      <c r="CN550" s="1"/>
      <c r="CO550" s="1"/>
      <c r="CP550" s="1"/>
      <c r="CQ550" s="1"/>
      <c r="CR550" s="1"/>
      <c r="CS550" s="1"/>
      <c r="CT550" s="1"/>
      <c r="CU550" s="1"/>
      <c r="CV550" s="1"/>
      <c r="CW550" s="1"/>
      <c r="CX550" s="1"/>
      <c r="CY550" s="1"/>
      <c r="CZ550" s="1"/>
      <c r="DA550" s="1"/>
      <c r="DB550" s="1"/>
      <c r="DC550" s="1"/>
      <c r="DD550" s="1"/>
      <c r="DE550" s="1"/>
      <c r="DF550" s="1"/>
      <c r="DG550" s="1"/>
      <c r="DH550" s="1"/>
      <c r="DI550" s="1"/>
      <c r="DJ550" s="1"/>
      <c r="DK550" s="1"/>
      <c r="DM550" s="1"/>
      <c r="DR550" s="1"/>
      <c r="ED550" s="1"/>
      <c r="EF550" s="1"/>
      <c r="EK550" s="1"/>
      <c r="EL550" s="1"/>
      <c r="EM550" s="1"/>
      <c r="EN550" s="1"/>
      <c r="EQ550" s="1"/>
      <c r="ER550" s="1"/>
      <c r="ES550" s="1"/>
      <c r="EV550" s="1"/>
      <c r="EW550" s="1"/>
      <c r="EX550" s="1"/>
      <c r="EZ550" s="1"/>
      <c r="FA550" s="1"/>
      <c r="FD550" s="1"/>
      <c r="FF550" s="1"/>
      <c r="FG550" s="1"/>
      <c r="FH550" s="1"/>
      <c r="FI550" s="1"/>
      <c r="FJ550" s="1"/>
      <c r="FK550" s="1"/>
      <c r="FM550" s="1"/>
      <c r="FN550" s="1"/>
      <c r="FO550" s="1"/>
      <c r="FP550" s="1"/>
      <c r="FQ550" s="1"/>
      <c r="FR550" s="1"/>
      <c r="FS550" s="1"/>
      <c r="FT550" s="1"/>
      <c r="FU550" s="1"/>
      <c r="FV550" s="1"/>
      <c r="FW550" s="1"/>
      <c r="FX550" s="1"/>
      <c r="FY550" s="1"/>
      <c r="FZ550" s="1"/>
      <c r="GA550" s="1"/>
      <c r="GB550" s="1"/>
      <c r="GD550" s="1"/>
      <c r="GE550" s="1"/>
      <c r="GF550" s="1"/>
      <c r="GG550" s="1"/>
      <c r="GH550" s="1"/>
      <c r="GI550" s="1"/>
      <c r="GJ550" s="1"/>
      <c r="GK550" s="1"/>
      <c r="GL550" s="1"/>
      <c r="GM550" s="1"/>
      <c r="GN550" s="1"/>
      <c r="GP550" s="1"/>
      <c r="GR550" s="1"/>
      <c r="GY550" s="1"/>
      <c r="HF550" s="1"/>
      <c r="HH550" s="1"/>
      <c r="HN550" s="1"/>
      <c r="HQ550" s="1"/>
      <c r="HT550" s="1"/>
      <c r="HY550" s="1"/>
      <c r="IC550" s="1"/>
      <c r="IE550" s="1"/>
      <c r="IR550" s="1"/>
      <c r="IS550" s="1"/>
      <c r="IZ550" s="1"/>
      <c r="JC550" s="1"/>
      <c r="JF550" s="1"/>
      <c r="JG550" s="1"/>
      <c r="JH550" s="1"/>
      <c r="JJ550" s="1"/>
      <c r="JN550" s="1"/>
      <c r="JP550" s="1"/>
      <c r="JQ550" s="1"/>
      <c r="JT550" s="1"/>
      <c r="KU550" s="1"/>
      <c r="KY550" s="1"/>
      <c r="KZ550" s="1"/>
      <c r="LA550" s="1"/>
      <c r="LB550" s="1"/>
      <c r="LC550" s="1"/>
      <c r="LD550" s="1"/>
      <c r="LF550" s="1"/>
      <c r="LN550" s="1"/>
      <c r="LO550" s="1"/>
      <c r="LP550" s="1"/>
      <c r="LZ550" s="1"/>
      <c r="MA550" s="1"/>
    </row>
    <row r="551" spans="4:339" ht="13" x14ac:dyDescent="0.15">
      <c r="D551" s="12"/>
      <c r="E551" s="12"/>
      <c r="I551" s="12"/>
      <c r="J551" s="13"/>
      <c r="BF551" s="1"/>
      <c r="BG551" s="1"/>
      <c r="BH551" s="1"/>
      <c r="BI551" s="1"/>
      <c r="BK551" s="1"/>
      <c r="BL551" s="1"/>
      <c r="BM551" s="1"/>
      <c r="BN551" s="1"/>
      <c r="BO551" s="1"/>
      <c r="BP551" s="1"/>
      <c r="BQ551" s="1"/>
      <c r="BR551" s="1"/>
      <c r="BX551" s="1"/>
      <c r="CD551" s="1"/>
      <c r="CE551" s="1"/>
      <c r="CF551" s="1"/>
      <c r="CG551" s="1"/>
      <c r="CH551" s="1"/>
      <c r="CI551" s="1"/>
      <c r="CM551" s="2"/>
      <c r="CN551" s="1"/>
      <c r="CO551" s="1"/>
      <c r="CP551" s="1"/>
      <c r="CQ551" s="1"/>
      <c r="CS551" s="1"/>
      <c r="CT551" s="1"/>
      <c r="CU551" s="1"/>
      <c r="CV551" s="1"/>
      <c r="CW551" s="1"/>
      <c r="CX551" s="1"/>
      <c r="CY551" s="1"/>
      <c r="CZ551" s="1"/>
      <c r="DA551" s="1"/>
      <c r="DB551" s="1"/>
      <c r="DC551" s="1"/>
      <c r="DD551" s="1"/>
      <c r="DE551" s="1"/>
      <c r="DF551" s="1"/>
      <c r="DG551" s="1"/>
      <c r="DH551" s="1"/>
      <c r="DI551" s="1"/>
      <c r="DJ551" s="1"/>
      <c r="DK551" s="1"/>
      <c r="DQ551" s="1"/>
      <c r="DR551" s="1"/>
      <c r="DY551" s="1"/>
      <c r="DZ551" s="1"/>
      <c r="ED551" s="1"/>
      <c r="EK551" s="1"/>
      <c r="EL551" s="1"/>
      <c r="EM551" s="1"/>
      <c r="EN551" s="1"/>
      <c r="EQ551" s="1"/>
      <c r="ER551" s="1"/>
      <c r="ES551" s="1"/>
      <c r="EV551" s="1"/>
      <c r="EW551" s="1"/>
      <c r="EZ551" s="1"/>
      <c r="FA551" s="1"/>
      <c r="FD551" s="1"/>
      <c r="FH551" s="1"/>
      <c r="FJ551" s="1"/>
      <c r="FS551" s="1"/>
      <c r="FV551" s="1"/>
      <c r="FX551" s="1"/>
      <c r="GA551" s="1"/>
      <c r="GD551" s="1"/>
      <c r="GE551" s="1"/>
      <c r="GF551" s="1"/>
      <c r="GG551" s="1"/>
      <c r="GH551" s="1"/>
      <c r="GI551" s="1"/>
      <c r="GJ551" s="1"/>
      <c r="GK551" s="1"/>
      <c r="GL551" s="1"/>
      <c r="GM551" s="1"/>
      <c r="GN551" s="1"/>
      <c r="GP551" s="1"/>
      <c r="GR551" s="1"/>
      <c r="GY551" s="1"/>
      <c r="HF551" s="1"/>
      <c r="HH551" s="1"/>
      <c r="HN551" s="1"/>
      <c r="HQ551" s="1"/>
      <c r="HR551" s="1"/>
      <c r="HS551" s="1"/>
      <c r="HT551" s="1"/>
      <c r="HY551" s="1"/>
      <c r="IE551" s="1"/>
      <c r="IG551" s="1"/>
      <c r="IR551" s="1"/>
      <c r="IS551" s="1"/>
      <c r="IZ551" s="1"/>
      <c r="JC551" s="1"/>
      <c r="JF551" s="1"/>
      <c r="JG551" s="1"/>
      <c r="JH551" s="1"/>
      <c r="JJ551" s="1"/>
      <c r="JK551" s="1"/>
      <c r="JL551" s="3"/>
      <c r="JM551" s="1"/>
      <c r="JN551" s="1"/>
      <c r="JP551" s="1"/>
      <c r="JQ551" s="1"/>
      <c r="JR551" s="1"/>
      <c r="JT551" s="1"/>
      <c r="KU551" s="1"/>
      <c r="KY551" s="1"/>
      <c r="KZ551" s="1"/>
      <c r="LA551" s="1"/>
      <c r="LB551" s="1"/>
      <c r="LC551" s="1"/>
      <c r="LD551" s="1"/>
      <c r="LF551" s="1"/>
      <c r="LN551" s="1"/>
      <c r="LO551" s="1"/>
      <c r="LP551" s="1"/>
      <c r="LZ551" s="1"/>
      <c r="MA551" s="1"/>
    </row>
    <row r="552" spans="4:339" ht="13" x14ac:dyDescent="0.15">
      <c r="D552" s="12"/>
      <c r="E552" s="12"/>
      <c r="I552" s="12"/>
      <c r="J552" s="13"/>
      <c r="BF552" s="1"/>
      <c r="BG552" s="1"/>
      <c r="BH552" s="1"/>
      <c r="BI552" s="1"/>
      <c r="BK552" s="1"/>
      <c r="BL552" s="1"/>
      <c r="BM552" s="1"/>
      <c r="BN552" s="1"/>
      <c r="BO552" s="1"/>
      <c r="BP552" s="1"/>
      <c r="BQ552" s="1"/>
      <c r="BR552" s="1"/>
      <c r="BX552" s="1"/>
      <c r="CD552" s="1"/>
      <c r="CE552" s="1"/>
      <c r="CF552" s="1"/>
      <c r="CG552" s="1"/>
      <c r="CH552" s="1"/>
      <c r="CI552" s="1"/>
      <c r="CM552" s="2"/>
      <c r="CN552" s="1"/>
      <c r="CO552" s="1"/>
      <c r="CP552" s="1"/>
      <c r="CQ552" s="1"/>
      <c r="CS552" s="1"/>
      <c r="CT552" s="1"/>
      <c r="CU552" s="1"/>
      <c r="CV552" s="1"/>
      <c r="CW552" s="1"/>
      <c r="CX552" s="1"/>
      <c r="CY552" s="1"/>
      <c r="CZ552" s="1"/>
      <c r="DA552" s="1"/>
      <c r="DB552" s="1"/>
      <c r="DC552" s="1"/>
      <c r="DD552" s="1"/>
      <c r="DE552" s="1"/>
      <c r="DF552" s="1"/>
      <c r="DG552" s="1"/>
      <c r="DH552" s="1"/>
      <c r="DI552" s="1"/>
      <c r="DJ552" s="1"/>
      <c r="DK552" s="1"/>
      <c r="DQ552" s="1"/>
      <c r="DR552" s="1"/>
      <c r="DY552" s="1"/>
      <c r="DZ552" s="1"/>
      <c r="ED552" s="1"/>
      <c r="EK552" s="1"/>
      <c r="EL552" s="1"/>
      <c r="EM552" s="1"/>
      <c r="EN552" s="1"/>
      <c r="EQ552" s="1"/>
      <c r="ER552" s="1"/>
      <c r="ES552" s="1"/>
      <c r="EV552" s="1"/>
      <c r="EW552" s="1"/>
      <c r="EZ552" s="1"/>
      <c r="FA552" s="1"/>
      <c r="FD552" s="1"/>
      <c r="FH552" s="1"/>
      <c r="FJ552" s="1"/>
      <c r="FS552" s="1"/>
      <c r="FV552" s="1"/>
      <c r="FX552" s="1"/>
      <c r="GA552" s="1"/>
      <c r="GD552" s="1"/>
      <c r="GE552" s="1"/>
      <c r="GF552" s="1"/>
      <c r="GG552" s="1"/>
      <c r="GH552" s="1"/>
      <c r="GI552" s="1"/>
      <c r="GJ552" s="1"/>
      <c r="GK552" s="1"/>
      <c r="GL552" s="1"/>
      <c r="GM552" s="1"/>
      <c r="GN552" s="1"/>
      <c r="GP552" s="1"/>
      <c r="GR552" s="1"/>
      <c r="GY552" s="1"/>
      <c r="HF552" s="1"/>
      <c r="HH552" s="1"/>
      <c r="HN552" s="1"/>
      <c r="HQ552" s="1"/>
      <c r="HR552" s="1"/>
      <c r="HS552" s="1"/>
      <c r="HT552" s="1"/>
      <c r="HY552" s="1"/>
      <c r="IE552" s="1"/>
      <c r="IG552" s="1"/>
      <c r="IR552" s="1"/>
      <c r="IS552" s="1"/>
      <c r="IZ552" s="1"/>
      <c r="JC552" s="1"/>
      <c r="JF552" s="1"/>
      <c r="JG552" s="1"/>
      <c r="JH552" s="1"/>
      <c r="JJ552" s="1"/>
      <c r="JK552" s="1"/>
      <c r="JL552" s="3"/>
      <c r="JM552" s="1"/>
      <c r="JN552" s="1"/>
      <c r="JP552" s="1"/>
      <c r="JQ552" s="1"/>
      <c r="JR552" s="1"/>
      <c r="JT552" s="1"/>
      <c r="KU552" s="1"/>
      <c r="KY552" s="1"/>
      <c r="KZ552" s="1"/>
      <c r="LA552" s="1"/>
      <c r="LB552" s="1"/>
      <c r="LC552" s="1"/>
      <c r="LD552" s="1"/>
      <c r="LF552" s="1"/>
      <c r="LN552" s="1"/>
      <c r="LO552" s="1"/>
      <c r="LP552" s="1"/>
      <c r="LZ552" s="1"/>
      <c r="MA552" s="1"/>
    </row>
    <row r="553" spans="4:339" ht="13" x14ac:dyDescent="0.15">
      <c r="D553" s="12"/>
      <c r="E553" s="12"/>
      <c r="I553" s="12"/>
      <c r="J553" s="13"/>
      <c r="BF553" s="1"/>
      <c r="BG553" s="1"/>
      <c r="BH553" s="1"/>
      <c r="BI553" s="1"/>
      <c r="BK553" s="1"/>
      <c r="BL553" s="1"/>
      <c r="BM553" s="1"/>
      <c r="BN553" s="1"/>
      <c r="BO553" s="1"/>
      <c r="BP553" s="1"/>
      <c r="BQ553" s="1"/>
      <c r="BR553" s="1"/>
      <c r="BX553" s="1"/>
      <c r="CD553" s="1"/>
      <c r="CE553" s="1"/>
      <c r="CF553" s="1"/>
      <c r="CG553" s="1"/>
      <c r="CH553" s="1"/>
      <c r="CI553" s="1"/>
      <c r="CM553" s="2"/>
      <c r="CN553" s="1"/>
      <c r="CO553" s="1"/>
      <c r="CP553" s="1"/>
      <c r="CQ553" s="1"/>
      <c r="CR553" s="1"/>
      <c r="CS553" s="1"/>
      <c r="CT553" s="1"/>
      <c r="CU553" s="1"/>
      <c r="CV553" s="1"/>
      <c r="CW553" s="1"/>
      <c r="CX553" s="1"/>
      <c r="CY553" s="1"/>
      <c r="CZ553" s="1"/>
      <c r="DA553" s="1"/>
      <c r="DB553" s="1"/>
      <c r="DC553" s="1"/>
      <c r="DD553" s="1"/>
      <c r="DE553" s="1"/>
      <c r="DF553" s="1"/>
      <c r="DG553" s="1"/>
      <c r="DH553" s="1"/>
      <c r="DI553" s="1"/>
      <c r="DJ553" s="1"/>
      <c r="DK553" s="1"/>
      <c r="DM553" s="1"/>
      <c r="DQ553" s="1"/>
      <c r="DR553" s="1"/>
      <c r="DY553" s="1"/>
      <c r="DZ553" s="1"/>
      <c r="ED553" s="1"/>
      <c r="EK553" s="1"/>
      <c r="EL553" s="1"/>
      <c r="EM553" s="1"/>
      <c r="EN553" s="1"/>
      <c r="EQ553" s="1"/>
      <c r="ER553" s="1"/>
      <c r="ES553" s="1"/>
      <c r="EV553" s="1"/>
      <c r="EW553" s="1"/>
      <c r="EZ553" s="1"/>
      <c r="FA553" s="1"/>
      <c r="FD553" s="1"/>
      <c r="FH553" s="1"/>
      <c r="FI553" s="1"/>
      <c r="FJ553" s="1"/>
      <c r="FM553" s="1"/>
      <c r="FN553" s="1"/>
      <c r="FO553" s="1"/>
      <c r="FP553" s="1"/>
      <c r="FS553" s="1"/>
      <c r="FU553" s="1"/>
      <c r="FV553" s="1"/>
      <c r="FW553" s="1"/>
      <c r="FX553" s="1"/>
      <c r="FY553" s="1"/>
      <c r="FZ553" s="1"/>
      <c r="GA553" s="1"/>
      <c r="GD553" s="1"/>
      <c r="GE553" s="1"/>
      <c r="GF553" s="1"/>
      <c r="GG553" s="1"/>
      <c r="GH553" s="1"/>
      <c r="GI553" s="1"/>
      <c r="GJ553" s="1"/>
      <c r="GK553" s="1"/>
      <c r="GL553" s="1"/>
      <c r="GM553" s="1"/>
      <c r="GN553" s="1"/>
      <c r="GO553" s="1"/>
      <c r="GP553" s="1"/>
      <c r="GR553" s="1"/>
      <c r="GY553" s="1"/>
      <c r="HF553" s="1"/>
      <c r="HH553" s="1"/>
      <c r="HN553" s="1"/>
      <c r="HT553" s="1"/>
      <c r="HY553" s="1"/>
      <c r="IE553" s="1"/>
      <c r="IR553" s="1"/>
      <c r="IS553" s="1"/>
      <c r="IY553" s="1"/>
      <c r="IZ553" s="1"/>
      <c r="JC553" s="1"/>
      <c r="JF553" s="1"/>
      <c r="JG553" s="1"/>
      <c r="JH553" s="1"/>
      <c r="JJ553" s="1"/>
      <c r="JN553" s="1"/>
      <c r="JP553" s="1"/>
      <c r="JQ553" s="1"/>
      <c r="JT553" s="1"/>
      <c r="JV553" s="1"/>
      <c r="KU553" s="1"/>
      <c r="KW553" s="1"/>
      <c r="KY553" s="1"/>
      <c r="KZ553" s="1"/>
      <c r="LA553" s="1"/>
      <c r="LB553" s="1"/>
      <c r="LC553" s="1"/>
      <c r="LD553" s="1"/>
      <c r="LO553" s="1"/>
      <c r="LP553" s="1"/>
      <c r="LZ553" s="1"/>
      <c r="MA553" s="1"/>
    </row>
    <row r="554" spans="4:339" ht="13" x14ac:dyDescent="0.15">
      <c r="D554" s="12"/>
      <c r="E554" s="12"/>
      <c r="I554" s="12"/>
      <c r="J554" s="13"/>
      <c r="BF554" s="1"/>
      <c r="BG554" s="1"/>
      <c r="BH554" s="1"/>
      <c r="BI554" s="1"/>
      <c r="BK554" s="1"/>
      <c r="BL554" s="1"/>
      <c r="BM554" s="1"/>
      <c r="BN554" s="1"/>
      <c r="BO554" s="1"/>
      <c r="BP554" s="1"/>
      <c r="BQ554" s="1"/>
      <c r="BR554" s="1"/>
      <c r="BX554" s="1"/>
      <c r="CD554" s="1"/>
      <c r="CE554" s="1"/>
      <c r="CF554" s="1"/>
      <c r="CG554" s="1"/>
      <c r="CH554" s="1"/>
      <c r="CI554" s="1"/>
      <c r="CM554" s="2"/>
      <c r="CN554" s="1"/>
      <c r="CO554" s="1"/>
      <c r="CP554" s="1"/>
      <c r="CQ554" s="1"/>
      <c r="CR554" s="1"/>
      <c r="CS554" s="1"/>
      <c r="CT554" s="1"/>
      <c r="CU554" s="1"/>
      <c r="CV554" s="1"/>
      <c r="CW554" s="1"/>
      <c r="CX554" s="1"/>
      <c r="CY554" s="1"/>
      <c r="CZ554" s="1"/>
      <c r="DA554" s="1"/>
      <c r="DB554" s="1"/>
      <c r="DC554" s="1"/>
      <c r="DD554" s="1"/>
      <c r="DE554" s="1"/>
      <c r="DF554" s="1"/>
      <c r="DG554" s="1"/>
      <c r="DH554" s="1"/>
      <c r="DI554" s="1"/>
      <c r="DJ554" s="1"/>
      <c r="DK554" s="1"/>
      <c r="DM554" s="1"/>
      <c r="DQ554" s="1"/>
      <c r="DR554" s="1"/>
      <c r="DY554" s="1"/>
      <c r="DZ554" s="1"/>
      <c r="ED554" s="1"/>
      <c r="EK554" s="1"/>
      <c r="EL554" s="1"/>
      <c r="EM554" s="1"/>
      <c r="EN554" s="1"/>
      <c r="EQ554" s="1"/>
      <c r="ER554" s="1"/>
      <c r="ES554" s="1"/>
      <c r="EV554" s="1"/>
      <c r="EW554" s="1"/>
      <c r="EZ554" s="1"/>
      <c r="FA554" s="1"/>
      <c r="FD554" s="1"/>
      <c r="FH554" s="1"/>
      <c r="FI554" s="1"/>
      <c r="FJ554" s="1"/>
      <c r="FM554" s="1"/>
      <c r="FN554" s="1"/>
      <c r="FO554" s="1"/>
      <c r="FP554" s="1"/>
      <c r="FS554" s="1"/>
      <c r="FU554" s="1"/>
      <c r="FV554" s="1"/>
      <c r="FW554" s="1"/>
      <c r="FX554" s="1"/>
      <c r="FY554" s="1"/>
      <c r="FZ554" s="1"/>
      <c r="GA554" s="1"/>
      <c r="GD554" s="1"/>
      <c r="GE554" s="1"/>
      <c r="GF554" s="1"/>
      <c r="GG554" s="1"/>
      <c r="GH554" s="1"/>
      <c r="GI554" s="1"/>
      <c r="GJ554" s="1"/>
      <c r="GK554" s="1"/>
      <c r="GL554" s="1"/>
      <c r="GM554" s="1"/>
      <c r="GN554" s="1"/>
      <c r="GO554" s="1"/>
      <c r="GP554" s="1"/>
      <c r="GR554" s="1"/>
      <c r="GY554" s="1"/>
      <c r="HF554" s="1"/>
      <c r="HH554" s="1"/>
      <c r="HN554" s="1"/>
      <c r="HT554" s="1"/>
      <c r="HY554" s="1"/>
      <c r="IE554" s="1"/>
      <c r="IR554" s="1"/>
      <c r="IS554" s="1"/>
      <c r="IY554" s="1"/>
      <c r="IZ554" s="1"/>
      <c r="JC554" s="1"/>
      <c r="JF554" s="1"/>
      <c r="JG554" s="1"/>
      <c r="JH554" s="1"/>
      <c r="JJ554" s="1"/>
      <c r="JN554" s="1"/>
      <c r="JP554" s="1"/>
      <c r="JQ554" s="1"/>
      <c r="JT554" s="1"/>
      <c r="JV554" s="1"/>
      <c r="KU554" s="1"/>
      <c r="KW554" s="1"/>
      <c r="KY554" s="1"/>
      <c r="KZ554" s="1"/>
      <c r="LA554" s="1"/>
      <c r="LB554" s="1"/>
      <c r="LC554" s="1"/>
      <c r="LD554" s="1"/>
      <c r="LO554" s="1"/>
      <c r="LP554" s="1"/>
      <c r="LZ554" s="1"/>
      <c r="MA554" s="1"/>
    </row>
    <row r="555" spans="4:339" ht="13" x14ac:dyDescent="0.15">
      <c r="D555" s="12"/>
      <c r="E555" s="12"/>
      <c r="I555" s="12"/>
      <c r="J555" s="13"/>
      <c r="BF555" s="1"/>
      <c r="BG555" s="1"/>
      <c r="BH555" s="1"/>
      <c r="BI555" s="1"/>
      <c r="BK555" s="1"/>
      <c r="BL555" s="1"/>
      <c r="BM555" s="1"/>
      <c r="BN555" s="1"/>
      <c r="BO555" s="1"/>
      <c r="BP555" s="1"/>
      <c r="BQ555" s="1"/>
      <c r="BR555" s="1"/>
      <c r="BX555" s="1"/>
      <c r="CD555" s="1"/>
      <c r="CE555" s="1"/>
      <c r="CF555" s="1"/>
      <c r="CG555" s="1"/>
      <c r="CH555" s="1"/>
      <c r="CI555" s="1"/>
      <c r="CM555" s="2"/>
      <c r="CN555" s="1"/>
      <c r="CO555" s="1"/>
      <c r="CP555" s="1"/>
      <c r="CQ555" s="1"/>
      <c r="CR555" s="1"/>
      <c r="CS555" s="1"/>
      <c r="CT555" s="1"/>
      <c r="CU555" s="1"/>
      <c r="CV555" s="1"/>
      <c r="CW555" s="1"/>
      <c r="CX555" s="1"/>
      <c r="CY555" s="1"/>
      <c r="CZ555" s="1"/>
      <c r="DA555" s="1"/>
      <c r="DB555" s="1"/>
      <c r="DC555" s="1"/>
      <c r="DD555" s="1"/>
      <c r="DE555" s="1"/>
      <c r="DF555" s="1"/>
      <c r="DG555" s="1"/>
      <c r="DH555" s="1"/>
      <c r="DI555" s="1"/>
      <c r="DJ555" s="1"/>
      <c r="DK555" s="1"/>
      <c r="DM555" s="1"/>
      <c r="DQ555" s="1"/>
      <c r="DR555" s="1"/>
      <c r="DY555" s="1"/>
      <c r="DZ555" s="1"/>
      <c r="ED555" s="1"/>
      <c r="EK555" s="1"/>
      <c r="EL555" s="1"/>
      <c r="EM555" s="1"/>
      <c r="EN555" s="1"/>
      <c r="EQ555" s="1"/>
      <c r="ER555" s="1"/>
      <c r="ES555" s="1"/>
      <c r="EV555" s="1"/>
      <c r="EW555" s="1"/>
      <c r="EZ555" s="1"/>
      <c r="FA555" s="1"/>
      <c r="FD555" s="1"/>
      <c r="FH555" s="1"/>
      <c r="FI555" s="1"/>
      <c r="FJ555" s="1"/>
      <c r="FM555" s="1"/>
      <c r="FN555" s="1"/>
      <c r="FO555" s="1"/>
      <c r="FP555" s="1"/>
      <c r="FS555" s="1"/>
      <c r="FU555" s="1"/>
      <c r="FV555" s="1"/>
      <c r="FW555" s="1"/>
      <c r="FX555" s="1"/>
      <c r="FY555" s="1"/>
      <c r="FZ555" s="1"/>
      <c r="GA555" s="1"/>
      <c r="GD555" s="1"/>
      <c r="GE555" s="1"/>
      <c r="GF555" s="1"/>
      <c r="GG555" s="1"/>
      <c r="GH555" s="1"/>
      <c r="GI555" s="1"/>
      <c r="GJ555" s="1"/>
      <c r="GK555" s="1"/>
      <c r="GL555" s="1"/>
      <c r="GM555" s="1"/>
      <c r="GN555" s="1"/>
      <c r="GO555" s="1"/>
      <c r="GP555" s="1"/>
      <c r="GR555" s="1"/>
      <c r="GY555" s="1"/>
      <c r="HF555" s="1"/>
      <c r="HH555" s="1"/>
      <c r="HN555" s="1"/>
      <c r="HT555" s="1"/>
      <c r="HY555" s="1"/>
      <c r="IE555" s="1"/>
      <c r="IR555" s="1"/>
      <c r="IS555" s="1"/>
      <c r="IY555" s="1"/>
      <c r="IZ555" s="1"/>
      <c r="JC555" s="1"/>
      <c r="JF555" s="1"/>
      <c r="JG555" s="1"/>
      <c r="JH555" s="1"/>
      <c r="JJ555" s="1"/>
      <c r="JN555" s="1"/>
      <c r="JP555" s="1"/>
      <c r="JQ555" s="1"/>
      <c r="JT555" s="1"/>
      <c r="JV555" s="1"/>
      <c r="KU555" s="1"/>
      <c r="KW555" s="1"/>
      <c r="KY555" s="1"/>
      <c r="KZ555" s="1"/>
      <c r="LA555" s="1"/>
      <c r="LB555" s="1"/>
      <c r="LC555" s="1"/>
      <c r="LD555" s="1"/>
      <c r="LO555" s="1"/>
      <c r="LP555" s="1"/>
      <c r="LZ555" s="1"/>
      <c r="MA555" s="1"/>
    </row>
    <row r="556" spans="4:339" ht="13" x14ac:dyDescent="0.15">
      <c r="D556" s="12"/>
      <c r="E556" s="12"/>
      <c r="I556" s="12"/>
      <c r="J556" s="13"/>
      <c r="BG556" s="1"/>
      <c r="BH556" s="1"/>
      <c r="BI556" s="1"/>
      <c r="BK556" s="1"/>
      <c r="BL556" s="1"/>
      <c r="BM556" s="1"/>
      <c r="BN556" s="1"/>
      <c r="BO556" s="1"/>
      <c r="BP556" s="1"/>
      <c r="BQ556" s="1"/>
      <c r="BR556" s="1"/>
      <c r="BX556" s="1"/>
      <c r="CD556" s="1"/>
      <c r="CE556" s="1"/>
      <c r="CF556" s="1"/>
      <c r="CG556" s="1"/>
      <c r="CH556" s="1"/>
      <c r="CI556" s="1"/>
      <c r="CM556" s="2"/>
      <c r="CN556" s="1"/>
      <c r="CO556" s="1"/>
      <c r="CP556" s="1"/>
      <c r="CQ556" s="1"/>
      <c r="CX556" s="1"/>
      <c r="CY556" s="1"/>
      <c r="CZ556" s="1"/>
      <c r="DA556" s="1"/>
      <c r="DB556" s="1"/>
      <c r="DC556" s="1"/>
      <c r="DD556" s="1"/>
      <c r="DE556" s="1"/>
      <c r="DF556" s="1"/>
      <c r="DG556" s="1"/>
      <c r="DH556" s="1"/>
      <c r="DI556" s="1"/>
      <c r="DJ556" s="1"/>
      <c r="DK556" s="1"/>
      <c r="DM556" s="1"/>
      <c r="DQ556" s="1"/>
      <c r="DR556" s="1"/>
      <c r="DY556" s="1"/>
      <c r="DZ556" s="1"/>
      <c r="ED556" s="1"/>
      <c r="EF556" s="1"/>
      <c r="EK556" s="1"/>
      <c r="EL556" s="1"/>
      <c r="EM556" s="1"/>
      <c r="EN556" s="1"/>
      <c r="EQ556" s="1"/>
      <c r="ER556" s="1"/>
      <c r="ES556" s="1"/>
      <c r="EV556" s="1"/>
      <c r="EW556" s="1"/>
      <c r="EZ556" s="1"/>
      <c r="FA556" s="1"/>
      <c r="FD556" s="1"/>
      <c r="FH556" s="1"/>
      <c r="FJ556" s="1"/>
      <c r="FN556" s="1"/>
      <c r="FO556" s="1"/>
      <c r="FS556" s="1"/>
      <c r="FU556" s="1"/>
      <c r="FV556" s="1"/>
      <c r="GA556" s="1"/>
      <c r="GD556" s="1"/>
      <c r="GE556" s="1"/>
      <c r="GF556" s="1"/>
      <c r="GG556" s="1"/>
      <c r="GH556" s="1"/>
      <c r="GI556" s="1"/>
      <c r="GJ556" s="1"/>
      <c r="GK556" s="1"/>
      <c r="GL556" s="1"/>
      <c r="GM556" s="1"/>
      <c r="GN556" s="1"/>
      <c r="GP556" s="1"/>
      <c r="GR556" s="1"/>
      <c r="GV556" s="1"/>
      <c r="GY556" s="1"/>
      <c r="HF556" s="1"/>
      <c r="HH556" s="1"/>
      <c r="HN556" s="1"/>
      <c r="HR556" s="1"/>
      <c r="HS556" s="1"/>
      <c r="HT556" s="1"/>
      <c r="HY556" s="1"/>
      <c r="IA556" s="1"/>
      <c r="ID556" s="1"/>
      <c r="IE556" s="1"/>
      <c r="IG556" s="1"/>
      <c r="IR556" s="1"/>
      <c r="IS556" s="1"/>
      <c r="IZ556" s="1"/>
      <c r="JF556" s="1"/>
      <c r="JH556" s="1"/>
      <c r="JJ556" s="1"/>
      <c r="JK556" s="1"/>
      <c r="JL556" s="3"/>
      <c r="JM556" s="1"/>
      <c r="JN556" s="1"/>
      <c r="JP556" s="1"/>
      <c r="JQ556" s="1"/>
      <c r="JR556" s="1"/>
      <c r="JT556" s="1"/>
      <c r="KY556" s="1"/>
      <c r="KZ556" s="1"/>
      <c r="LA556" s="1"/>
      <c r="LB556" s="1"/>
      <c r="LC556" s="1"/>
      <c r="LD556" s="1"/>
      <c r="LO556" s="1"/>
      <c r="LP556" s="1"/>
      <c r="LZ556" s="1"/>
      <c r="MA556" s="1"/>
    </row>
    <row r="557" spans="4:339" ht="13" x14ac:dyDescent="0.15">
      <c r="D557" s="12"/>
      <c r="E557" s="12"/>
      <c r="I557" s="12"/>
      <c r="J557" s="13"/>
      <c r="BG557" s="1"/>
      <c r="BH557" s="1"/>
      <c r="BI557" s="1"/>
      <c r="BJ557" s="1"/>
      <c r="BK557" s="1"/>
      <c r="BL557" s="1"/>
      <c r="BM557" s="1"/>
      <c r="BN557" s="1"/>
      <c r="BQ557" s="1"/>
      <c r="BR557" s="1"/>
      <c r="CD557" s="1"/>
      <c r="CE557" s="1"/>
      <c r="CF557" s="1"/>
      <c r="CH557" s="1"/>
      <c r="CI557" s="1"/>
      <c r="CM557" s="4"/>
      <c r="CN557" s="1"/>
      <c r="CO557" s="1"/>
      <c r="CQ557" s="1"/>
      <c r="CY557" s="1"/>
      <c r="DC557" s="1"/>
      <c r="DH557" s="1"/>
      <c r="DM557" s="1"/>
      <c r="DR557" s="1"/>
      <c r="ED557" s="1"/>
      <c r="EF557" s="1"/>
      <c r="EL557" s="1"/>
      <c r="EM557" s="1"/>
      <c r="EN557" s="1"/>
      <c r="EQ557" s="1"/>
      <c r="ER557" s="1"/>
      <c r="ES557" s="1"/>
      <c r="EV557" s="1"/>
      <c r="EW557" s="1"/>
      <c r="EZ557" s="1"/>
      <c r="FA557" s="1"/>
      <c r="FD557" s="1"/>
      <c r="FH557" s="1"/>
      <c r="FP557" s="1"/>
      <c r="FT557" s="1"/>
      <c r="FV557" s="1"/>
      <c r="FW557" s="1"/>
      <c r="FX557" s="1"/>
      <c r="FY557" s="1"/>
      <c r="FZ557" s="1"/>
      <c r="GA557" s="1"/>
      <c r="GD557" s="1"/>
      <c r="GE557" s="1"/>
      <c r="GF557" s="1"/>
      <c r="GG557" s="1"/>
      <c r="GH557" s="1"/>
      <c r="GI557" s="1"/>
      <c r="GJ557" s="1"/>
      <c r="GK557" s="1"/>
      <c r="GL557" s="1"/>
      <c r="GM557" s="1"/>
      <c r="GN557" s="1"/>
      <c r="GP557" s="1"/>
      <c r="GR557" s="1"/>
      <c r="GY557" s="1"/>
      <c r="HF557" s="1"/>
      <c r="HH557" s="1"/>
      <c r="IR557" s="1"/>
      <c r="IS557" s="1"/>
      <c r="IZ557" s="1"/>
      <c r="JF557" s="1"/>
      <c r="JJ557" s="1"/>
      <c r="JN557" s="1"/>
      <c r="JP557" s="1"/>
      <c r="JQ557" s="1"/>
      <c r="KV557" s="1"/>
      <c r="KZ557" s="1"/>
      <c r="LA557" s="1"/>
      <c r="LC557" s="1"/>
      <c r="LO557" s="1"/>
      <c r="LZ557" s="1"/>
      <c r="MA557" s="1"/>
    </row>
    <row r="558" spans="4:339" ht="13" x14ac:dyDescent="0.15">
      <c r="D558" s="12"/>
      <c r="E558" s="12"/>
      <c r="I558" s="12"/>
      <c r="J558" s="13"/>
      <c r="BG558" s="1"/>
      <c r="BH558" s="1"/>
      <c r="BI558" s="1"/>
      <c r="BJ558" s="1"/>
      <c r="BK558" s="1"/>
      <c r="BL558" s="1"/>
      <c r="BM558" s="1"/>
      <c r="BN558" s="1"/>
      <c r="BQ558" s="1"/>
      <c r="BR558" s="1"/>
      <c r="CD558" s="1"/>
      <c r="CE558" s="1"/>
      <c r="CF558" s="1"/>
      <c r="CH558" s="1"/>
      <c r="CI558" s="1"/>
      <c r="CM558" s="4"/>
      <c r="CN558" s="1"/>
      <c r="CO558" s="1"/>
      <c r="CQ558" s="1"/>
      <c r="CY558" s="1"/>
      <c r="DC558" s="1"/>
      <c r="DH558" s="1"/>
      <c r="DM558" s="1"/>
      <c r="DR558" s="1"/>
      <c r="ED558" s="1"/>
      <c r="EF558" s="1"/>
      <c r="EL558" s="1"/>
      <c r="EM558" s="1"/>
      <c r="EN558" s="1"/>
      <c r="EQ558" s="1"/>
      <c r="ER558" s="1"/>
      <c r="ES558" s="1"/>
      <c r="EV558" s="1"/>
      <c r="EW558" s="1"/>
      <c r="EZ558" s="1"/>
      <c r="FA558" s="1"/>
      <c r="FD558" s="1"/>
      <c r="FH558" s="1"/>
      <c r="FP558" s="1"/>
      <c r="FT558" s="1"/>
      <c r="FV558" s="1"/>
      <c r="FW558" s="1"/>
      <c r="FX558" s="1"/>
      <c r="FY558" s="1"/>
      <c r="FZ558" s="1"/>
      <c r="GA558" s="1"/>
      <c r="GD558" s="1"/>
      <c r="GE558" s="1"/>
      <c r="GF558" s="1"/>
      <c r="GG558" s="1"/>
      <c r="GH558" s="1"/>
      <c r="GI558" s="1"/>
      <c r="GJ558" s="1"/>
      <c r="GK558" s="1"/>
      <c r="GL558" s="1"/>
      <c r="GM558" s="1"/>
      <c r="GN558" s="1"/>
      <c r="GP558" s="1"/>
      <c r="GR558" s="1"/>
      <c r="GY558" s="1"/>
      <c r="HF558" s="1"/>
      <c r="HH558" s="1"/>
      <c r="IR558" s="1"/>
      <c r="IS558" s="1"/>
      <c r="IZ558" s="1"/>
      <c r="JF558" s="1"/>
      <c r="JJ558" s="1"/>
      <c r="JN558" s="1"/>
      <c r="JP558" s="1"/>
      <c r="JQ558" s="1"/>
      <c r="KV558" s="1"/>
      <c r="KZ558" s="1"/>
      <c r="LA558" s="1"/>
      <c r="LC558" s="1"/>
      <c r="LO558" s="1"/>
      <c r="LZ558" s="1"/>
      <c r="MA558" s="1"/>
    </row>
    <row r="559" spans="4:339" ht="13" x14ac:dyDescent="0.15">
      <c r="D559" s="12"/>
      <c r="E559" s="12"/>
      <c r="I559" s="12"/>
      <c r="J559" s="13"/>
      <c r="BG559" s="1"/>
      <c r="BH559" s="1"/>
      <c r="BI559" s="1"/>
      <c r="BJ559" s="1"/>
      <c r="BK559" s="1"/>
      <c r="BL559" s="1"/>
      <c r="BM559" s="1"/>
      <c r="BN559" s="1"/>
      <c r="BQ559" s="1"/>
      <c r="BR559" s="1"/>
      <c r="CD559" s="1"/>
      <c r="CE559" s="1"/>
      <c r="CF559" s="1"/>
      <c r="CH559" s="1"/>
      <c r="CI559" s="1"/>
      <c r="CM559" s="4"/>
      <c r="CN559" s="1"/>
      <c r="CO559" s="1"/>
      <c r="CQ559" s="1"/>
      <c r="CY559" s="1"/>
      <c r="DC559" s="1"/>
      <c r="DH559" s="1"/>
      <c r="DM559" s="1"/>
      <c r="DR559" s="1"/>
      <c r="ED559" s="1"/>
      <c r="EF559" s="1"/>
      <c r="EL559" s="1"/>
      <c r="EM559" s="1"/>
      <c r="EN559" s="1"/>
      <c r="EQ559" s="1"/>
      <c r="ER559" s="1"/>
      <c r="ES559" s="1"/>
      <c r="EV559" s="1"/>
      <c r="EW559" s="1"/>
      <c r="EZ559" s="1"/>
      <c r="FA559" s="1"/>
      <c r="FD559" s="1"/>
      <c r="FH559" s="1"/>
      <c r="FP559" s="1"/>
      <c r="FT559" s="1"/>
      <c r="FV559" s="1"/>
      <c r="FW559" s="1"/>
      <c r="FX559" s="1"/>
      <c r="FY559" s="1"/>
      <c r="FZ559" s="1"/>
      <c r="GA559" s="1"/>
      <c r="GD559" s="1"/>
      <c r="GE559" s="1"/>
      <c r="GF559" s="1"/>
      <c r="GG559" s="1"/>
      <c r="GH559" s="1"/>
      <c r="GI559" s="1"/>
      <c r="GJ559" s="1"/>
      <c r="GK559" s="1"/>
      <c r="GL559" s="1"/>
      <c r="GM559" s="1"/>
      <c r="GN559" s="1"/>
      <c r="GP559" s="1"/>
      <c r="GR559" s="1"/>
      <c r="GY559" s="1"/>
      <c r="HF559" s="1"/>
      <c r="HH559" s="1"/>
      <c r="IR559" s="1"/>
      <c r="IS559" s="1"/>
      <c r="IZ559" s="1"/>
      <c r="JF559" s="1"/>
      <c r="JJ559" s="1"/>
      <c r="JN559" s="1"/>
      <c r="JP559" s="1"/>
      <c r="JQ559" s="1"/>
      <c r="KV559" s="1"/>
      <c r="KZ559" s="1"/>
      <c r="LA559" s="1"/>
      <c r="LC559" s="1"/>
      <c r="LO559" s="1"/>
      <c r="LZ559" s="1"/>
      <c r="MA559" s="1"/>
    </row>
    <row r="560" spans="4:339" ht="13" x14ac:dyDescent="0.15">
      <c r="D560" s="12"/>
      <c r="E560" s="12"/>
      <c r="I560" s="12"/>
      <c r="J560" s="13"/>
      <c r="BG560" s="1"/>
      <c r="BH560" s="1"/>
      <c r="BI560" s="1"/>
      <c r="BJ560" s="1"/>
      <c r="BK560" s="1"/>
      <c r="BL560" s="1"/>
      <c r="BM560" s="1"/>
      <c r="BN560" s="1"/>
      <c r="BQ560" s="1"/>
      <c r="BR560" s="1"/>
      <c r="CD560" s="1"/>
      <c r="CE560" s="1"/>
      <c r="CF560" s="1"/>
      <c r="CH560" s="1"/>
      <c r="CI560" s="1"/>
      <c r="CM560" s="4"/>
      <c r="CN560" s="1"/>
      <c r="CO560" s="1"/>
      <c r="CQ560" s="1"/>
      <c r="CY560" s="1"/>
      <c r="DC560" s="1"/>
      <c r="DH560" s="1"/>
      <c r="DM560" s="1"/>
      <c r="DR560" s="1"/>
      <c r="ED560" s="1"/>
      <c r="EF560" s="1"/>
      <c r="EL560" s="1"/>
      <c r="EM560" s="1"/>
      <c r="EN560" s="1"/>
      <c r="EQ560" s="1"/>
      <c r="ER560" s="1"/>
      <c r="ES560" s="1"/>
      <c r="EV560" s="1"/>
      <c r="EW560" s="1"/>
      <c r="EZ560" s="1"/>
      <c r="FA560" s="1"/>
      <c r="FD560" s="1"/>
      <c r="FH560" s="1"/>
      <c r="FP560" s="1"/>
      <c r="FT560" s="1"/>
      <c r="FV560" s="1"/>
      <c r="FW560" s="1"/>
      <c r="FX560" s="1"/>
      <c r="FY560" s="1"/>
      <c r="FZ560" s="1"/>
      <c r="GA560" s="1"/>
      <c r="GD560" s="1"/>
      <c r="GE560" s="1"/>
      <c r="GF560" s="1"/>
      <c r="GG560" s="1"/>
      <c r="GH560" s="1"/>
      <c r="GI560" s="1"/>
      <c r="GJ560" s="1"/>
      <c r="GK560" s="1"/>
      <c r="GL560" s="1"/>
      <c r="GM560" s="1"/>
      <c r="GN560" s="1"/>
      <c r="GP560" s="1"/>
      <c r="GR560" s="1"/>
      <c r="GY560" s="1"/>
      <c r="HF560" s="1"/>
      <c r="HH560" s="1"/>
      <c r="IR560" s="1"/>
      <c r="IS560" s="1"/>
      <c r="IZ560" s="1"/>
      <c r="JF560" s="1"/>
      <c r="JJ560" s="1"/>
      <c r="JN560" s="1"/>
      <c r="JP560" s="1"/>
      <c r="JQ560" s="1"/>
      <c r="KV560" s="1"/>
      <c r="KZ560" s="1"/>
      <c r="LA560" s="1"/>
      <c r="LC560" s="1"/>
      <c r="LO560" s="1"/>
      <c r="LZ560" s="1"/>
      <c r="MA560" s="1"/>
    </row>
    <row r="561" spans="4:339" ht="13" x14ac:dyDescent="0.15">
      <c r="D561" s="12"/>
      <c r="E561" s="12"/>
      <c r="I561" s="12"/>
      <c r="J561" s="13"/>
      <c r="BG561" s="1"/>
      <c r="BH561" s="1"/>
      <c r="BI561" s="1"/>
      <c r="BJ561" s="1"/>
      <c r="BK561" s="1"/>
      <c r="BL561" s="1"/>
      <c r="BM561" s="1"/>
      <c r="BN561" s="1"/>
      <c r="BQ561" s="1"/>
      <c r="BR561" s="1"/>
      <c r="CD561" s="1"/>
      <c r="CE561" s="1"/>
      <c r="CF561" s="1"/>
      <c r="CH561" s="1"/>
      <c r="CI561" s="1"/>
      <c r="CM561" s="4"/>
      <c r="CN561" s="1"/>
      <c r="CO561" s="1"/>
      <c r="CQ561" s="1"/>
      <c r="CY561" s="1"/>
      <c r="DC561" s="1"/>
      <c r="DH561" s="1"/>
      <c r="DM561" s="1"/>
      <c r="DR561" s="1"/>
      <c r="ED561" s="1"/>
      <c r="EF561" s="1"/>
      <c r="EL561" s="1"/>
      <c r="EM561" s="1"/>
      <c r="EN561" s="1"/>
      <c r="EQ561" s="1"/>
      <c r="ER561" s="1"/>
      <c r="ES561" s="1"/>
      <c r="EV561" s="1"/>
      <c r="EW561" s="1"/>
      <c r="EZ561" s="1"/>
      <c r="FA561" s="1"/>
      <c r="FD561" s="1"/>
      <c r="FH561" s="1"/>
      <c r="FP561" s="1"/>
      <c r="FT561" s="1"/>
      <c r="FV561" s="1"/>
      <c r="FW561" s="1"/>
      <c r="FX561" s="1"/>
      <c r="FY561" s="1"/>
      <c r="FZ561" s="1"/>
      <c r="GA561" s="1"/>
      <c r="GD561" s="1"/>
      <c r="GE561" s="1"/>
      <c r="GF561" s="1"/>
      <c r="GG561" s="1"/>
      <c r="GH561" s="1"/>
      <c r="GI561" s="1"/>
      <c r="GJ561" s="1"/>
      <c r="GK561" s="1"/>
      <c r="GL561" s="1"/>
      <c r="GM561" s="1"/>
      <c r="GN561" s="1"/>
      <c r="GP561" s="1"/>
      <c r="GR561" s="1"/>
      <c r="GY561" s="1"/>
      <c r="HF561" s="1"/>
      <c r="HH561" s="1"/>
      <c r="IR561" s="1"/>
      <c r="IS561" s="1"/>
      <c r="IZ561" s="1"/>
      <c r="JF561" s="1"/>
      <c r="JJ561" s="1"/>
      <c r="JN561" s="1"/>
      <c r="JP561" s="1"/>
      <c r="JQ561" s="1"/>
      <c r="KV561" s="1"/>
      <c r="KZ561" s="1"/>
      <c r="LA561" s="1"/>
      <c r="LC561" s="1"/>
      <c r="LO561" s="1"/>
      <c r="LZ561" s="1"/>
      <c r="MA561" s="1"/>
    </row>
    <row r="562" spans="4:339" ht="13" x14ac:dyDescent="0.15">
      <c r="D562" s="12"/>
      <c r="E562" s="12"/>
      <c r="I562" s="12"/>
      <c r="J562" s="13"/>
      <c r="BF562" s="1"/>
      <c r="BG562" s="1"/>
      <c r="BH562" s="1"/>
      <c r="BI562" s="1"/>
      <c r="BK562" s="1"/>
      <c r="BL562" s="1"/>
      <c r="BM562" s="1"/>
      <c r="BN562" s="1"/>
      <c r="BO562" s="1"/>
      <c r="BP562" s="1"/>
      <c r="BQ562" s="1"/>
      <c r="BR562" s="1"/>
      <c r="BX562" s="1"/>
      <c r="CD562" s="1"/>
      <c r="CE562" s="1"/>
      <c r="CF562" s="1"/>
      <c r="CG562" s="1"/>
      <c r="CH562" s="1"/>
      <c r="CI562" s="1"/>
      <c r="CM562" s="2"/>
      <c r="CN562" s="1"/>
      <c r="CO562" s="1"/>
      <c r="CP562" s="1"/>
      <c r="CQ562" s="1"/>
      <c r="CR562" s="1"/>
      <c r="CS562" s="1"/>
      <c r="CT562" s="1"/>
      <c r="CU562" s="1"/>
      <c r="CV562" s="1"/>
      <c r="CW562" s="1"/>
      <c r="CX562" s="1"/>
      <c r="CY562" s="1"/>
      <c r="CZ562" s="1"/>
      <c r="DA562" s="1"/>
      <c r="DB562" s="1"/>
      <c r="DC562" s="1"/>
      <c r="DD562" s="1"/>
      <c r="DE562" s="1"/>
      <c r="DF562" s="1"/>
      <c r="DG562" s="1"/>
      <c r="DH562" s="1"/>
      <c r="DI562" s="5"/>
      <c r="DJ562" s="1"/>
      <c r="DK562" s="1"/>
      <c r="ED562" s="1"/>
      <c r="EE562" s="1"/>
      <c r="EF562" s="1"/>
      <c r="EG562" s="1"/>
      <c r="EH562" s="1"/>
      <c r="EK562" s="1"/>
      <c r="EL562" s="1"/>
      <c r="EM562" s="1"/>
      <c r="EN562" s="1"/>
      <c r="EQ562" s="1"/>
      <c r="ER562" s="1"/>
      <c r="ES562" s="1"/>
      <c r="EV562" s="1"/>
      <c r="EW562" s="1"/>
      <c r="EX562" s="1"/>
      <c r="EY562" s="1"/>
      <c r="EZ562" s="1"/>
      <c r="FA562" s="1"/>
      <c r="FD562" s="1"/>
      <c r="GD562" s="1"/>
      <c r="GE562" s="1"/>
      <c r="GF562" s="1"/>
      <c r="GG562" s="1"/>
      <c r="GH562" s="1"/>
      <c r="GI562" s="1"/>
      <c r="GJ562" s="1"/>
      <c r="GN562" s="1"/>
      <c r="GO562" s="1"/>
      <c r="GP562" s="1"/>
      <c r="HF562" s="1"/>
      <c r="HH562" s="1"/>
      <c r="HN562" s="1"/>
      <c r="HT562" s="1"/>
      <c r="HY562" s="1"/>
      <c r="IE562" s="1"/>
      <c r="IF562" s="1"/>
      <c r="IG562" s="1"/>
      <c r="IJ562" s="1"/>
      <c r="IR562" s="1"/>
      <c r="IS562" s="1"/>
      <c r="IW562" s="1"/>
      <c r="IX562" s="1"/>
      <c r="IZ562" s="1"/>
      <c r="JB562" s="1"/>
      <c r="JG562" s="1"/>
      <c r="JJ562" s="1"/>
      <c r="JK562" s="1"/>
      <c r="JL562" s="3"/>
      <c r="JM562" s="1"/>
      <c r="JN562" s="1"/>
      <c r="JP562" s="1"/>
      <c r="JQ562" s="1"/>
      <c r="JR562" s="1"/>
      <c r="JT562" s="1"/>
      <c r="KU562" s="1"/>
      <c r="KV562" s="1"/>
      <c r="KY562" s="1"/>
      <c r="KZ562" s="1"/>
      <c r="LA562" s="1"/>
      <c r="LB562" s="1"/>
      <c r="LC562" s="1"/>
      <c r="LD562" s="1"/>
      <c r="LN562" s="1"/>
      <c r="LO562" s="1"/>
      <c r="LP562" s="1"/>
      <c r="LZ562" s="1"/>
      <c r="MA562" s="1"/>
    </row>
    <row r="563" spans="4:339" ht="13" x14ac:dyDescent="0.15">
      <c r="D563" s="12"/>
      <c r="E563" s="12"/>
      <c r="I563" s="12"/>
      <c r="J563" s="13"/>
      <c r="BF563" s="1"/>
      <c r="BG563" s="1"/>
      <c r="BH563" s="1"/>
      <c r="BI563" s="1"/>
      <c r="BK563" s="1"/>
      <c r="BL563" s="1"/>
      <c r="BM563" s="1"/>
      <c r="BN563" s="1"/>
      <c r="BO563" s="1"/>
      <c r="BP563" s="1"/>
      <c r="BQ563" s="1"/>
      <c r="BR563" s="1"/>
      <c r="BX563" s="1"/>
      <c r="CD563" s="1"/>
      <c r="CE563" s="1"/>
      <c r="CF563" s="1"/>
      <c r="CG563" s="1"/>
      <c r="CH563" s="1"/>
      <c r="CI563" s="1"/>
      <c r="CM563" s="2"/>
      <c r="CN563" s="1"/>
      <c r="CO563" s="1"/>
      <c r="CP563" s="1"/>
      <c r="CQ563" s="1"/>
      <c r="CR563" s="1"/>
      <c r="CS563" s="1"/>
      <c r="CT563" s="1"/>
      <c r="CU563" s="1"/>
      <c r="CV563" s="1"/>
      <c r="CW563" s="1"/>
      <c r="CX563" s="1"/>
      <c r="CY563" s="1"/>
      <c r="CZ563" s="1"/>
      <c r="DA563" s="1"/>
      <c r="DB563" s="1"/>
      <c r="DC563" s="1"/>
      <c r="DD563" s="1"/>
      <c r="DE563" s="1"/>
      <c r="DF563" s="1"/>
      <c r="DG563" s="1"/>
      <c r="DH563" s="1"/>
      <c r="DI563" s="1"/>
      <c r="DJ563" s="1"/>
      <c r="DK563" s="1"/>
      <c r="DM563" s="1"/>
      <c r="DQ563" s="1"/>
      <c r="DR563" s="1"/>
      <c r="DY563" s="1"/>
      <c r="DZ563" s="1"/>
      <c r="ED563" s="1"/>
      <c r="EE563" s="1"/>
      <c r="EF563" s="1"/>
      <c r="EG563" s="1"/>
      <c r="EH563" s="1"/>
      <c r="EK563" s="1"/>
      <c r="EL563" s="1"/>
      <c r="EM563" s="1"/>
      <c r="EN563" s="1"/>
      <c r="EQ563" s="1"/>
      <c r="ER563" s="1"/>
      <c r="ES563" s="1"/>
      <c r="EV563" s="1"/>
      <c r="EW563" s="1"/>
      <c r="EY563" s="1"/>
      <c r="EZ563" s="1"/>
      <c r="FA563" s="1"/>
      <c r="FD563" s="1"/>
      <c r="FG563" s="1"/>
      <c r="FH563" s="1"/>
      <c r="FI563" s="1"/>
      <c r="FJ563" s="1"/>
      <c r="FM563" s="1"/>
      <c r="FN563" s="1"/>
      <c r="FO563" s="1"/>
      <c r="FP563" s="1"/>
      <c r="FQ563" s="1"/>
      <c r="FR563" s="1"/>
      <c r="FS563" s="1"/>
      <c r="FU563" s="1"/>
      <c r="FV563" s="1"/>
      <c r="FW563" s="1"/>
      <c r="FX563" s="1"/>
      <c r="FZ563" s="1"/>
      <c r="GA563" s="1"/>
      <c r="GB563" s="1"/>
      <c r="GD563" s="1"/>
      <c r="GE563" s="1"/>
      <c r="GF563" s="1"/>
      <c r="GG563" s="1"/>
      <c r="GH563" s="1"/>
      <c r="GI563" s="1"/>
      <c r="GJ563" s="1"/>
      <c r="GK563" s="1"/>
      <c r="GL563" s="1"/>
      <c r="GM563" s="1"/>
      <c r="GN563" s="1"/>
      <c r="GP563" s="1"/>
      <c r="GR563" s="1"/>
      <c r="GW563" s="1"/>
      <c r="GY563" s="1"/>
      <c r="HF563" s="1"/>
      <c r="HH563" s="1"/>
      <c r="HN563" s="1"/>
      <c r="HQ563" s="1"/>
      <c r="HT563" s="1"/>
      <c r="HY563" s="1"/>
      <c r="IA563" s="1"/>
      <c r="IC563" s="1"/>
      <c r="ID563" s="1"/>
      <c r="IE563" s="1"/>
      <c r="IF563" s="1"/>
      <c r="IG563" s="1"/>
      <c r="IJ563" s="1"/>
      <c r="IR563" s="1"/>
      <c r="IS563" s="1"/>
      <c r="IY563" s="1"/>
      <c r="IZ563" s="1"/>
      <c r="JC563" s="1"/>
      <c r="JF563" s="1"/>
      <c r="JG563" s="1"/>
      <c r="JH563" s="1"/>
      <c r="JJ563" s="1"/>
      <c r="JK563" s="1"/>
      <c r="JL563" s="3"/>
      <c r="JM563" s="1"/>
      <c r="JN563" s="1"/>
      <c r="JP563" s="1"/>
      <c r="JQ563" s="1"/>
      <c r="JR563" s="1"/>
      <c r="JT563" s="1"/>
      <c r="KV563" s="1"/>
      <c r="KW563" s="1"/>
      <c r="KY563" s="1"/>
      <c r="KZ563" s="1"/>
      <c r="LA563" s="1"/>
      <c r="LB563" s="1"/>
      <c r="LC563" s="1"/>
      <c r="LD563" s="1"/>
      <c r="LF563" s="1"/>
      <c r="LG563" s="1"/>
      <c r="LH563" s="5"/>
      <c r="LK563" s="1"/>
      <c r="LL563" s="1"/>
      <c r="LO563" s="1"/>
      <c r="LP563" s="1"/>
      <c r="LZ563" s="1"/>
      <c r="MA563" s="1"/>
    </row>
    <row r="564" spans="4:339" ht="13" x14ac:dyDescent="0.15">
      <c r="D564" s="12"/>
      <c r="E564" s="12"/>
      <c r="I564" s="12"/>
      <c r="J564" s="13"/>
      <c r="BF564" s="1"/>
      <c r="BG564" s="1"/>
      <c r="BH564" s="1"/>
      <c r="BI564" s="1"/>
      <c r="BJ564" s="1"/>
      <c r="BK564" s="1"/>
      <c r="BL564" s="1"/>
      <c r="BM564" s="1"/>
      <c r="BN564" s="1"/>
      <c r="BO564" s="1"/>
      <c r="BP564" s="1"/>
      <c r="BQ564" s="1"/>
      <c r="BR564" s="1"/>
      <c r="CD564" s="1"/>
      <c r="CE564" s="1"/>
      <c r="CF564" s="1"/>
      <c r="CG564" s="1"/>
      <c r="CH564" s="1"/>
      <c r="CI564" s="1"/>
      <c r="CM564" s="2"/>
      <c r="CN564" s="1"/>
      <c r="CO564" s="1"/>
      <c r="CP564" s="1"/>
      <c r="CQ564" s="1"/>
      <c r="CX564" s="1"/>
      <c r="CY564" s="1"/>
      <c r="CZ564" s="1"/>
      <c r="DA564" s="1"/>
      <c r="DB564" s="1"/>
      <c r="DC564" s="1"/>
      <c r="DD564" s="1"/>
      <c r="DE564" s="1"/>
      <c r="DF564" s="1"/>
      <c r="DG564" s="1"/>
      <c r="DH564" s="1"/>
      <c r="DI564" s="1"/>
      <c r="DJ564" s="1"/>
      <c r="DK564" s="1"/>
      <c r="DM564" s="1"/>
      <c r="DQ564" s="1"/>
      <c r="DR564" s="1"/>
      <c r="DY564" s="1"/>
      <c r="DZ564" s="1"/>
      <c r="ED564" s="1"/>
      <c r="EK564" s="1"/>
      <c r="EL564" s="1"/>
      <c r="EM564" s="1"/>
      <c r="EN564" s="1"/>
      <c r="EQ564" s="1"/>
      <c r="ER564" s="1"/>
      <c r="ES564" s="1"/>
      <c r="EV564" s="1"/>
      <c r="EW564" s="1"/>
      <c r="EZ564" s="1"/>
      <c r="FA564" s="1"/>
      <c r="FD564" s="1"/>
      <c r="FW564" s="1"/>
      <c r="FX564" s="1"/>
      <c r="GA564" s="1"/>
      <c r="GD564" s="1"/>
      <c r="GE564" s="1"/>
      <c r="GF564" s="1"/>
      <c r="GG564" s="1"/>
      <c r="GH564" s="1"/>
      <c r="GI564" s="1"/>
      <c r="GJ564" s="1"/>
      <c r="GK564" s="1"/>
      <c r="GL564" s="1"/>
      <c r="GM564" s="1"/>
      <c r="GN564" s="1"/>
      <c r="GO564" s="1"/>
      <c r="GP564" s="1"/>
      <c r="GR564" s="1"/>
      <c r="GY564" s="1"/>
      <c r="HF564" s="1"/>
      <c r="HN564" s="1"/>
      <c r="HT564" s="1"/>
      <c r="HY564" s="1"/>
      <c r="IE564" s="1"/>
      <c r="IR564" s="1"/>
      <c r="IS564" s="1"/>
      <c r="IW564" s="1"/>
      <c r="IY564" s="1"/>
      <c r="IZ564" s="1"/>
      <c r="JA564" s="1"/>
      <c r="JH564" s="1"/>
      <c r="JJ564" s="1"/>
      <c r="JN564" s="1"/>
      <c r="JP564" s="1"/>
      <c r="JQ564" s="1"/>
      <c r="KU564" s="1"/>
      <c r="KV564" s="1"/>
      <c r="KY564" s="1"/>
      <c r="KZ564" s="1"/>
      <c r="LA564" s="1"/>
      <c r="LB564" s="1"/>
      <c r="LC564" s="1"/>
      <c r="LD564" s="1"/>
      <c r="LO564" s="1"/>
      <c r="LP564" s="1"/>
      <c r="LZ564" s="1"/>
      <c r="MA564" s="1"/>
    </row>
    <row r="565" spans="4:339" ht="13" x14ac:dyDescent="0.15">
      <c r="D565" s="12"/>
      <c r="E565" s="12"/>
      <c r="I565" s="12"/>
      <c r="J565" s="13"/>
      <c r="BF565" s="1"/>
      <c r="BG565" s="1"/>
      <c r="BH565" s="1"/>
      <c r="BI565" s="1"/>
      <c r="BK565" s="1"/>
      <c r="BL565" s="1"/>
      <c r="BM565" s="1"/>
      <c r="BN565" s="1"/>
      <c r="BO565" s="1"/>
      <c r="BP565" s="1"/>
      <c r="BQ565" s="1"/>
      <c r="BR565" s="1"/>
      <c r="CD565" s="1"/>
      <c r="CE565" s="1"/>
      <c r="CF565" s="1"/>
      <c r="CG565" s="1"/>
      <c r="CH565" s="1"/>
      <c r="CI565" s="1"/>
      <c r="CM565" s="2"/>
      <c r="CN565" s="1"/>
      <c r="CO565" s="1"/>
      <c r="CP565" s="1"/>
      <c r="CQ565" s="1"/>
      <c r="CR565" s="1"/>
      <c r="CS565" s="1"/>
      <c r="CT565" s="1"/>
      <c r="CU565" s="1"/>
      <c r="CV565" s="1"/>
      <c r="CW565" s="1"/>
      <c r="CX565" s="1"/>
      <c r="CY565" s="1"/>
      <c r="CZ565" s="1"/>
      <c r="DA565" s="1"/>
      <c r="DB565" s="1"/>
      <c r="DC565" s="1"/>
      <c r="DD565" s="1"/>
      <c r="DE565" s="1"/>
      <c r="DF565" s="1"/>
      <c r="DG565" s="1"/>
      <c r="DH565" s="1"/>
      <c r="DI565" s="1"/>
      <c r="DJ565" s="1"/>
      <c r="DK565" s="1"/>
      <c r="ED565" s="1"/>
      <c r="EE565" s="1"/>
      <c r="EF565" s="1"/>
      <c r="EG565" s="1"/>
      <c r="EH565" s="1"/>
      <c r="EK565" s="1"/>
      <c r="EL565" s="1"/>
      <c r="EM565" s="1"/>
      <c r="EN565" s="1"/>
      <c r="EQ565" s="1"/>
      <c r="ER565" s="1"/>
      <c r="ES565" s="1"/>
      <c r="EV565" s="1"/>
      <c r="EW565" s="1"/>
      <c r="EY565" s="1"/>
      <c r="EZ565" s="1"/>
      <c r="FA565" s="1"/>
      <c r="FD565" s="1"/>
      <c r="FH565" s="1"/>
      <c r="FJ565" s="1"/>
      <c r="FP565" s="1"/>
      <c r="FS565" s="1"/>
      <c r="FV565" s="1"/>
      <c r="FW565" s="1"/>
      <c r="FX565" s="1"/>
      <c r="FY565" s="1"/>
      <c r="GA565" s="1"/>
      <c r="GD565" s="1"/>
      <c r="GE565" s="1"/>
      <c r="GF565" s="1"/>
      <c r="GG565" s="1"/>
      <c r="GH565" s="1"/>
      <c r="GI565" s="1"/>
      <c r="GJ565" s="1"/>
      <c r="GK565" s="1"/>
      <c r="GL565" s="1"/>
      <c r="GM565" s="1"/>
      <c r="GN565" s="1"/>
      <c r="GP565" s="1"/>
      <c r="GR565" s="1"/>
      <c r="GY565" s="1"/>
      <c r="HF565" s="1"/>
      <c r="HN565" s="1"/>
      <c r="HT565" s="1"/>
      <c r="HY565" s="1"/>
      <c r="IE565" s="1"/>
      <c r="IF565" s="1"/>
      <c r="IG565" s="1"/>
      <c r="IJ565" s="1"/>
      <c r="IR565" s="1"/>
      <c r="IS565" s="1"/>
      <c r="IY565" s="1"/>
      <c r="IZ565" s="1"/>
      <c r="JF565" s="1"/>
      <c r="JG565" s="1"/>
      <c r="JH565" s="1"/>
      <c r="JJ565" s="1"/>
      <c r="JK565" s="1"/>
      <c r="JL565" s="3"/>
      <c r="JM565" s="1"/>
      <c r="JN565" s="1"/>
      <c r="JP565" s="1"/>
      <c r="JQ565" s="1"/>
      <c r="JR565" s="1"/>
      <c r="JT565" s="1"/>
      <c r="KY565" s="1"/>
      <c r="KZ565" s="1"/>
      <c r="LA565" s="1"/>
      <c r="LB565" s="1"/>
      <c r="LC565" s="1"/>
      <c r="LD565" s="1"/>
      <c r="LO565" s="1"/>
      <c r="LP565" s="1"/>
      <c r="LZ565" s="1"/>
      <c r="MA565" s="1"/>
    </row>
    <row r="566" spans="4:339" ht="13" x14ac:dyDescent="0.15">
      <c r="D566" s="12"/>
      <c r="E566" s="12"/>
      <c r="I566" s="12"/>
      <c r="J566" s="13"/>
      <c r="BF566" s="1"/>
      <c r="BG566" s="1"/>
      <c r="BH566" s="1"/>
      <c r="BI566" s="1"/>
      <c r="BK566" s="1"/>
      <c r="BL566" s="1"/>
      <c r="BM566" s="1"/>
      <c r="BN566" s="1"/>
      <c r="BO566" s="1"/>
      <c r="BP566" s="1"/>
      <c r="BQ566" s="1"/>
      <c r="BR566" s="1"/>
      <c r="CD566" s="1"/>
      <c r="CE566" s="1"/>
      <c r="CF566" s="1"/>
      <c r="CG566" s="1"/>
      <c r="CH566" s="1"/>
      <c r="CI566" s="1"/>
      <c r="CM566" s="2"/>
      <c r="CN566" s="1"/>
      <c r="CO566" s="1"/>
      <c r="CP566" s="1"/>
      <c r="CQ566" s="1"/>
      <c r="CR566" s="1"/>
      <c r="CS566" s="1"/>
      <c r="CT566" s="1"/>
      <c r="CU566" s="1"/>
      <c r="CV566" s="1"/>
      <c r="CW566" s="1"/>
      <c r="CX566" s="1"/>
      <c r="CY566" s="1"/>
      <c r="CZ566" s="1"/>
      <c r="DA566" s="1"/>
      <c r="DB566" s="1"/>
      <c r="DC566" s="1"/>
      <c r="DD566" s="1"/>
      <c r="DE566" s="1"/>
      <c r="DF566" s="1"/>
      <c r="DG566" s="1"/>
      <c r="DH566" s="1"/>
      <c r="DI566" s="1"/>
      <c r="DJ566" s="1"/>
      <c r="DK566" s="1"/>
      <c r="ED566" s="1"/>
      <c r="EE566" s="1"/>
      <c r="EF566" s="1"/>
      <c r="EG566" s="1"/>
      <c r="EH566" s="1"/>
      <c r="EK566" s="1"/>
      <c r="EL566" s="1"/>
      <c r="EM566" s="1"/>
      <c r="EN566" s="1"/>
      <c r="EQ566" s="1"/>
      <c r="ER566" s="1"/>
      <c r="ES566" s="1"/>
      <c r="EV566" s="1"/>
      <c r="EW566" s="1"/>
      <c r="EY566" s="1"/>
      <c r="EZ566" s="1"/>
      <c r="FA566" s="1"/>
      <c r="FD566" s="1"/>
      <c r="FH566" s="1"/>
      <c r="FJ566" s="1"/>
      <c r="FP566" s="1"/>
      <c r="FS566" s="1"/>
      <c r="FV566" s="1"/>
      <c r="FW566" s="1"/>
      <c r="FX566" s="1"/>
      <c r="FY566" s="1"/>
      <c r="GA566" s="1"/>
      <c r="GD566" s="1"/>
      <c r="GE566" s="1"/>
      <c r="GF566" s="1"/>
      <c r="GG566" s="1"/>
      <c r="GH566" s="1"/>
      <c r="GI566" s="1"/>
      <c r="GJ566" s="1"/>
      <c r="GK566" s="1"/>
      <c r="GL566" s="1"/>
      <c r="GM566" s="1"/>
      <c r="GN566" s="1"/>
      <c r="GP566" s="1"/>
      <c r="GR566" s="1"/>
      <c r="GY566" s="1"/>
      <c r="HF566" s="1"/>
      <c r="HN566" s="1"/>
      <c r="HT566" s="1"/>
      <c r="HY566" s="1"/>
      <c r="IE566" s="1"/>
      <c r="IF566" s="1"/>
      <c r="IG566" s="1"/>
      <c r="IJ566" s="1"/>
      <c r="IR566" s="1"/>
      <c r="IS566" s="1"/>
      <c r="IY566" s="1"/>
      <c r="IZ566" s="1"/>
      <c r="JF566" s="1"/>
      <c r="JG566" s="1"/>
      <c r="JH566" s="1"/>
      <c r="JJ566" s="1"/>
      <c r="JK566" s="1"/>
      <c r="JL566" s="3"/>
      <c r="JM566" s="1"/>
      <c r="JN566" s="1"/>
      <c r="JP566" s="1"/>
      <c r="JQ566" s="1"/>
      <c r="JR566" s="1"/>
      <c r="JT566" s="1"/>
      <c r="KY566" s="1"/>
      <c r="KZ566" s="1"/>
      <c r="LA566" s="1"/>
      <c r="LB566" s="1"/>
      <c r="LC566" s="1"/>
      <c r="LD566" s="1"/>
      <c r="LO566" s="1"/>
      <c r="LP566" s="1"/>
      <c r="LZ566" s="1"/>
      <c r="MA566" s="1"/>
    </row>
    <row r="567" spans="4:339" ht="13" x14ac:dyDescent="0.15">
      <c r="D567" s="12"/>
      <c r="E567" s="12"/>
      <c r="I567" s="12"/>
      <c r="J567" s="13"/>
      <c r="BF567" s="1"/>
      <c r="BG567" s="1"/>
      <c r="BH567" s="1"/>
      <c r="BI567" s="1"/>
      <c r="BK567" s="1"/>
      <c r="BL567" s="1"/>
      <c r="BM567" s="1"/>
      <c r="BN567" s="1"/>
      <c r="BO567" s="1"/>
      <c r="BP567" s="1"/>
      <c r="BQ567" s="1"/>
      <c r="BR567" s="1"/>
      <c r="CD567" s="1"/>
      <c r="CE567" s="1"/>
      <c r="CF567" s="1"/>
      <c r="CG567" s="1"/>
      <c r="CH567" s="1"/>
      <c r="CI567" s="1"/>
      <c r="CM567" s="2"/>
      <c r="CN567" s="1"/>
      <c r="CO567" s="1"/>
      <c r="CP567" s="1"/>
      <c r="CQ567" s="1"/>
      <c r="CR567" s="1"/>
      <c r="CS567" s="1"/>
      <c r="CT567" s="1"/>
      <c r="CU567" s="1"/>
      <c r="CV567" s="1"/>
      <c r="CW567" s="1"/>
      <c r="CX567" s="1"/>
      <c r="CY567" s="1"/>
      <c r="CZ567" s="1"/>
      <c r="DA567" s="1"/>
      <c r="DB567" s="1"/>
      <c r="DC567" s="1"/>
      <c r="DD567" s="1"/>
      <c r="DE567" s="1"/>
      <c r="DF567" s="1"/>
      <c r="DG567" s="1"/>
      <c r="DH567" s="1"/>
      <c r="DI567" s="1"/>
      <c r="DJ567" s="1"/>
      <c r="DK567" s="1"/>
      <c r="ED567" s="1"/>
      <c r="EE567" s="1"/>
      <c r="EF567" s="1"/>
      <c r="EG567" s="1"/>
      <c r="EH567" s="1"/>
      <c r="EK567" s="1"/>
      <c r="EL567" s="1"/>
      <c r="EM567" s="1"/>
      <c r="EN567" s="1"/>
      <c r="EQ567" s="1"/>
      <c r="ER567" s="1"/>
      <c r="ES567" s="1"/>
      <c r="EV567" s="1"/>
      <c r="EW567" s="1"/>
      <c r="EY567" s="1"/>
      <c r="EZ567" s="1"/>
      <c r="FA567" s="1"/>
      <c r="FD567" s="1"/>
      <c r="FH567" s="1"/>
      <c r="FJ567" s="1"/>
      <c r="FP567" s="1"/>
      <c r="FS567" s="1"/>
      <c r="FV567" s="1"/>
      <c r="FW567" s="1"/>
      <c r="FX567" s="1"/>
      <c r="FY567" s="1"/>
      <c r="GA567" s="1"/>
      <c r="GD567" s="1"/>
      <c r="GE567" s="1"/>
      <c r="GF567" s="1"/>
      <c r="GG567" s="1"/>
      <c r="GH567" s="1"/>
      <c r="GI567" s="1"/>
      <c r="GJ567" s="1"/>
      <c r="GK567" s="1"/>
      <c r="GL567" s="1"/>
      <c r="GM567" s="1"/>
      <c r="GN567" s="1"/>
      <c r="GP567" s="1"/>
      <c r="GR567" s="1"/>
      <c r="GY567" s="1"/>
      <c r="HF567" s="1"/>
      <c r="HN567" s="1"/>
      <c r="HT567" s="1"/>
      <c r="HY567" s="1"/>
      <c r="IE567" s="1"/>
      <c r="IF567" s="1"/>
      <c r="IG567" s="1"/>
      <c r="IJ567" s="1"/>
      <c r="IR567" s="1"/>
      <c r="IS567" s="1"/>
      <c r="IY567" s="1"/>
      <c r="IZ567" s="1"/>
      <c r="JF567" s="1"/>
      <c r="JG567" s="1"/>
      <c r="JH567" s="1"/>
      <c r="JJ567" s="1"/>
      <c r="JK567" s="1"/>
      <c r="JL567" s="3"/>
      <c r="JM567" s="1"/>
      <c r="JN567" s="1"/>
      <c r="JP567" s="1"/>
      <c r="JQ567" s="1"/>
      <c r="JR567" s="1"/>
      <c r="JT567" s="1"/>
      <c r="KY567" s="1"/>
      <c r="KZ567" s="1"/>
      <c r="LA567" s="1"/>
      <c r="LB567" s="1"/>
      <c r="LC567" s="1"/>
      <c r="LD567" s="1"/>
      <c r="LO567" s="1"/>
      <c r="LP567" s="1"/>
      <c r="LZ567" s="1"/>
      <c r="MA567" s="1"/>
    </row>
    <row r="568" spans="4:339" ht="13" x14ac:dyDescent="0.15">
      <c r="D568" s="12"/>
      <c r="E568" s="12"/>
      <c r="I568" s="12"/>
      <c r="J568" s="13"/>
      <c r="BF568" s="1"/>
      <c r="BG568" s="1"/>
      <c r="BH568" s="1"/>
      <c r="BI568" s="1"/>
      <c r="BK568" s="1"/>
      <c r="BL568" s="1"/>
      <c r="BM568" s="1"/>
      <c r="BN568" s="1"/>
      <c r="BO568" s="1"/>
      <c r="BP568" s="1"/>
      <c r="BQ568" s="1"/>
      <c r="BR568" s="1"/>
      <c r="CD568" s="1"/>
      <c r="CE568" s="1"/>
      <c r="CF568" s="1"/>
      <c r="CG568" s="1"/>
      <c r="CH568" s="1"/>
      <c r="CI568" s="1"/>
      <c r="CM568" s="2"/>
      <c r="CN568" s="1"/>
      <c r="CO568" s="1"/>
      <c r="CP568" s="1"/>
      <c r="CQ568" s="1"/>
      <c r="CR568" s="1"/>
      <c r="CS568" s="1"/>
      <c r="CT568" s="1"/>
      <c r="CU568" s="1"/>
      <c r="CV568" s="1"/>
      <c r="CW568" s="1"/>
      <c r="CX568" s="1"/>
      <c r="CY568" s="1"/>
      <c r="CZ568" s="1"/>
      <c r="DA568" s="1"/>
      <c r="DB568" s="1"/>
      <c r="DC568" s="1"/>
      <c r="DD568" s="1"/>
      <c r="DE568" s="1"/>
      <c r="DF568" s="1"/>
      <c r="DG568" s="1"/>
      <c r="DH568" s="1"/>
      <c r="DI568" s="1"/>
      <c r="DJ568" s="1"/>
      <c r="DK568" s="1"/>
      <c r="ED568" s="1"/>
      <c r="EE568" s="1"/>
      <c r="EF568" s="1"/>
      <c r="EG568" s="1"/>
      <c r="EH568" s="1"/>
      <c r="EK568" s="1"/>
      <c r="EL568" s="1"/>
      <c r="EM568" s="1"/>
      <c r="EN568" s="1"/>
      <c r="EQ568" s="1"/>
      <c r="ER568" s="1"/>
      <c r="ES568" s="1"/>
      <c r="EV568" s="1"/>
      <c r="EW568" s="1"/>
      <c r="EY568" s="1"/>
      <c r="EZ568" s="1"/>
      <c r="FA568" s="1"/>
      <c r="FD568" s="1"/>
      <c r="FH568" s="1"/>
      <c r="FJ568" s="1"/>
      <c r="FP568" s="1"/>
      <c r="FS568" s="1"/>
      <c r="FV568" s="1"/>
      <c r="FW568" s="1"/>
      <c r="FX568" s="1"/>
      <c r="FY568" s="1"/>
      <c r="GA568" s="1"/>
      <c r="GD568" s="1"/>
      <c r="GE568" s="1"/>
      <c r="GF568" s="1"/>
      <c r="GG568" s="1"/>
      <c r="GH568" s="1"/>
      <c r="GI568" s="1"/>
      <c r="GJ568" s="1"/>
      <c r="GK568" s="1"/>
      <c r="GL568" s="1"/>
      <c r="GM568" s="1"/>
      <c r="GN568" s="1"/>
      <c r="GP568" s="1"/>
      <c r="GR568" s="1"/>
      <c r="GY568" s="1"/>
      <c r="HF568" s="1"/>
      <c r="HN568" s="1"/>
      <c r="HT568" s="1"/>
      <c r="HY568" s="1"/>
      <c r="IE568" s="1"/>
      <c r="IF568" s="1"/>
      <c r="IG568" s="1"/>
      <c r="IJ568" s="1"/>
      <c r="IR568" s="1"/>
      <c r="IS568" s="1"/>
      <c r="IY568" s="1"/>
      <c r="IZ568" s="1"/>
      <c r="JF568" s="1"/>
      <c r="JG568" s="1"/>
      <c r="JH568" s="1"/>
      <c r="JJ568" s="1"/>
      <c r="JK568" s="1"/>
      <c r="JL568" s="3"/>
      <c r="JM568" s="1"/>
      <c r="JN568" s="1"/>
      <c r="JP568" s="1"/>
      <c r="JQ568" s="1"/>
      <c r="JR568" s="1"/>
      <c r="JT568" s="1"/>
      <c r="KY568" s="1"/>
      <c r="KZ568" s="1"/>
      <c r="LA568" s="1"/>
      <c r="LB568" s="1"/>
      <c r="LC568" s="1"/>
      <c r="LD568" s="1"/>
      <c r="LO568" s="1"/>
      <c r="LP568" s="1"/>
      <c r="LZ568" s="1"/>
      <c r="MA568" s="1"/>
    </row>
    <row r="569" spans="4:339" ht="13" x14ac:dyDescent="0.15">
      <c r="D569" s="12"/>
      <c r="E569" s="12"/>
      <c r="I569" s="12"/>
      <c r="J569" s="13"/>
      <c r="BF569" s="1"/>
      <c r="BG569" s="1"/>
      <c r="BH569" s="1"/>
      <c r="BI569" s="1"/>
      <c r="BK569" s="1"/>
      <c r="BL569" s="1"/>
      <c r="BM569" s="1"/>
      <c r="BN569" s="1"/>
      <c r="BO569" s="1"/>
      <c r="BP569" s="1"/>
      <c r="BQ569" s="1"/>
      <c r="BR569" s="1"/>
      <c r="CD569" s="1"/>
      <c r="CE569" s="1"/>
      <c r="CF569" s="1"/>
      <c r="CG569" s="1"/>
      <c r="CH569" s="1"/>
      <c r="CI569" s="1"/>
      <c r="CM569" s="2"/>
      <c r="CN569" s="1"/>
      <c r="CO569" s="1"/>
      <c r="CP569" s="1"/>
      <c r="CQ569" s="1"/>
      <c r="CR569" s="1"/>
      <c r="CS569" s="1"/>
      <c r="CT569" s="1"/>
      <c r="CU569" s="1"/>
      <c r="CV569" s="1"/>
      <c r="CW569" s="1"/>
      <c r="CX569" s="1"/>
      <c r="CY569" s="1"/>
      <c r="CZ569" s="1"/>
      <c r="DA569" s="1"/>
      <c r="DB569" s="1"/>
      <c r="DC569" s="1"/>
      <c r="DD569" s="1"/>
      <c r="DE569" s="1"/>
      <c r="DF569" s="1"/>
      <c r="DG569" s="1"/>
      <c r="DH569" s="1"/>
      <c r="DI569" s="1"/>
      <c r="DJ569" s="1"/>
      <c r="DK569" s="1"/>
      <c r="ED569" s="1"/>
      <c r="EE569" s="1"/>
      <c r="EF569" s="1"/>
      <c r="EG569" s="1"/>
      <c r="EH569" s="1"/>
      <c r="EK569" s="1"/>
      <c r="EL569" s="1"/>
      <c r="EM569" s="1"/>
      <c r="EN569" s="1"/>
      <c r="EQ569" s="1"/>
      <c r="ER569" s="1"/>
      <c r="ES569" s="1"/>
      <c r="EV569" s="1"/>
      <c r="EW569" s="1"/>
      <c r="EY569" s="1"/>
      <c r="EZ569" s="1"/>
      <c r="FA569" s="1"/>
      <c r="FD569" s="1"/>
      <c r="FH569" s="1"/>
      <c r="FJ569" s="1"/>
      <c r="FP569" s="1"/>
      <c r="FS569" s="1"/>
      <c r="FV569" s="1"/>
      <c r="FW569" s="1"/>
      <c r="FX569" s="1"/>
      <c r="FY569" s="1"/>
      <c r="GA569" s="1"/>
      <c r="GD569" s="1"/>
      <c r="GE569" s="1"/>
      <c r="GF569" s="1"/>
      <c r="GG569" s="1"/>
      <c r="GH569" s="1"/>
      <c r="GI569" s="1"/>
      <c r="GJ569" s="1"/>
      <c r="GK569" s="1"/>
      <c r="GL569" s="1"/>
      <c r="GM569" s="1"/>
      <c r="GN569" s="1"/>
      <c r="GP569" s="1"/>
      <c r="GR569" s="1"/>
      <c r="GY569" s="1"/>
      <c r="HF569" s="1"/>
      <c r="HN569" s="1"/>
      <c r="HT569" s="1"/>
      <c r="HY569" s="1"/>
      <c r="IE569" s="1"/>
      <c r="IF569" s="1"/>
      <c r="IG569" s="1"/>
      <c r="IJ569" s="1"/>
      <c r="IR569" s="1"/>
      <c r="IS569" s="1"/>
      <c r="IY569" s="1"/>
      <c r="IZ569" s="1"/>
      <c r="JF569" s="1"/>
      <c r="JG569" s="1"/>
      <c r="JH569" s="1"/>
      <c r="JJ569" s="1"/>
      <c r="JK569" s="1"/>
      <c r="JL569" s="3"/>
      <c r="JM569" s="1"/>
      <c r="JN569" s="1"/>
      <c r="JP569" s="1"/>
      <c r="JQ569" s="1"/>
      <c r="JR569" s="1"/>
      <c r="JT569" s="1"/>
      <c r="KY569" s="1"/>
      <c r="KZ569" s="1"/>
      <c r="LA569" s="1"/>
      <c r="LB569" s="1"/>
      <c r="LC569" s="1"/>
      <c r="LD569" s="1"/>
      <c r="LO569" s="1"/>
      <c r="LP569" s="1"/>
      <c r="LZ569" s="1"/>
      <c r="MA569" s="1"/>
    </row>
    <row r="570" spans="4:339" ht="13" x14ac:dyDescent="0.15">
      <c r="D570" s="12"/>
      <c r="E570" s="12"/>
      <c r="I570" s="12"/>
      <c r="J570" s="13"/>
      <c r="BF570" s="1"/>
      <c r="BG570" s="1"/>
      <c r="BH570" s="1"/>
      <c r="BI570" s="1"/>
      <c r="BK570" s="1"/>
      <c r="BL570" s="1"/>
      <c r="BM570" s="1"/>
      <c r="BN570" s="1"/>
      <c r="BO570" s="1"/>
      <c r="BP570" s="1"/>
      <c r="BQ570" s="1"/>
      <c r="BR570" s="1"/>
      <c r="CD570" s="1"/>
      <c r="CE570" s="1"/>
      <c r="CF570" s="1"/>
      <c r="CG570" s="1"/>
      <c r="CH570" s="1"/>
      <c r="CI570" s="1"/>
      <c r="CM570" s="2"/>
      <c r="CN570" s="1"/>
      <c r="CO570" s="1"/>
      <c r="CP570" s="1"/>
      <c r="CQ570" s="1"/>
      <c r="CR570" s="1"/>
      <c r="CS570" s="1"/>
      <c r="CT570" s="1"/>
      <c r="CU570" s="1"/>
      <c r="CV570" s="1"/>
      <c r="CW570" s="1"/>
      <c r="CX570" s="1"/>
      <c r="CY570" s="1"/>
      <c r="CZ570" s="1"/>
      <c r="DA570" s="1"/>
      <c r="DB570" s="1"/>
      <c r="DC570" s="1"/>
      <c r="DD570" s="1"/>
      <c r="DE570" s="1"/>
      <c r="DF570" s="1"/>
      <c r="DG570" s="1"/>
      <c r="DH570" s="1"/>
      <c r="DI570" s="1"/>
      <c r="DJ570" s="1"/>
      <c r="DK570" s="1"/>
      <c r="ED570" s="1"/>
      <c r="EE570" s="1"/>
      <c r="EF570" s="1"/>
      <c r="EG570" s="1"/>
      <c r="EH570" s="1"/>
      <c r="EK570" s="1"/>
      <c r="EL570" s="1"/>
      <c r="EM570" s="1"/>
      <c r="EN570" s="1"/>
      <c r="EQ570" s="1"/>
      <c r="ER570" s="1"/>
      <c r="ES570" s="1"/>
      <c r="EV570" s="1"/>
      <c r="EW570" s="1"/>
      <c r="EY570" s="1"/>
      <c r="EZ570" s="1"/>
      <c r="FA570" s="1"/>
      <c r="FD570" s="1"/>
      <c r="FH570" s="1"/>
      <c r="FJ570" s="1"/>
      <c r="FP570" s="1"/>
      <c r="FS570" s="1"/>
      <c r="FV570" s="1"/>
      <c r="FW570" s="1"/>
      <c r="FX570" s="1"/>
      <c r="FY570" s="1"/>
      <c r="GA570" s="1"/>
      <c r="GD570" s="1"/>
      <c r="GE570" s="1"/>
      <c r="GF570" s="1"/>
      <c r="GG570" s="1"/>
      <c r="GH570" s="1"/>
      <c r="GI570" s="1"/>
      <c r="GJ570" s="1"/>
      <c r="GK570" s="1"/>
      <c r="GL570" s="1"/>
      <c r="GM570" s="1"/>
      <c r="GN570" s="1"/>
      <c r="GP570" s="1"/>
      <c r="GR570" s="1"/>
      <c r="GY570" s="1"/>
      <c r="HF570" s="1"/>
      <c r="HN570" s="1"/>
      <c r="HT570" s="1"/>
      <c r="HY570" s="1"/>
      <c r="IE570" s="1"/>
      <c r="IF570" s="1"/>
      <c r="IG570" s="1"/>
      <c r="IJ570" s="1"/>
      <c r="IR570" s="1"/>
      <c r="IS570" s="1"/>
      <c r="IY570" s="1"/>
      <c r="IZ570" s="1"/>
      <c r="JF570" s="1"/>
      <c r="JG570" s="1"/>
      <c r="JH570" s="1"/>
      <c r="JJ570" s="1"/>
      <c r="JK570" s="1"/>
      <c r="JL570" s="3"/>
      <c r="JM570" s="1"/>
      <c r="JN570" s="1"/>
      <c r="JP570" s="1"/>
      <c r="JQ570" s="1"/>
      <c r="JR570" s="1"/>
      <c r="JT570" s="1"/>
      <c r="KY570" s="1"/>
      <c r="KZ570" s="1"/>
      <c r="LA570" s="1"/>
      <c r="LB570" s="1"/>
      <c r="LC570" s="1"/>
      <c r="LD570" s="1"/>
      <c r="LO570" s="1"/>
      <c r="LP570" s="1"/>
      <c r="LZ570" s="1"/>
      <c r="MA570" s="1"/>
    </row>
    <row r="571" spans="4:339" ht="13" x14ac:dyDescent="0.15">
      <c r="D571" s="12"/>
      <c r="E571" s="12"/>
      <c r="I571" s="12"/>
      <c r="J571" s="13"/>
      <c r="BF571" s="1"/>
      <c r="BG571" s="1"/>
      <c r="BH571" s="1"/>
      <c r="BI571" s="1"/>
      <c r="BK571" s="1"/>
      <c r="BL571" s="1"/>
      <c r="BM571" s="1"/>
      <c r="BN571" s="1"/>
      <c r="BO571" s="1"/>
      <c r="BP571" s="1"/>
      <c r="BQ571" s="1"/>
      <c r="BR571" s="1"/>
      <c r="BX571" s="1"/>
      <c r="CD571" s="1"/>
      <c r="CE571" s="1"/>
      <c r="CF571" s="1"/>
      <c r="CG571" s="1"/>
      <c r="CH571" s="1"/>
      <c r="CI571" s="1"/>
      <c r="CM571" s="2"/>
      <c r="CN571" s="1"/>
      <c r="CO571" s="1"/>
      <c r="CP571" s="1"/>
      <c r="CQ571" s="1"/>
      <c r="CR571" s="1"/>
      <c r="CS571" s="1"/>
      <c r="CT571" s="1"/>
      <c r="CU571" s="1"/>
      <c r="CV571" s="1"/>
      <c r="CW571" s="1"/>
      <c r="CX571" s="1"/>
      <c r="CY571" s="1"/>
      <c r="CZ571" s="1"/>
      <c r="DA571" s="1"/>
      <c r="DB571" s="1"/>
      <c r="DC571" s="1"/>
      <c r="DD571" s="1"/>
      <c r="DE571" s="1"/>
      <c r="DF571" s="1"/>
      <c r="DG571" s="1"/>
      <c r="DH571" s="1"/>
      <c r="DI571" s="1"/>
      <c r="DJ571" s="1"/>
      <c r="DK571" s="1"/>
      <c r="DM571" s="1"/>
      <c r="DQ571" s="1"/>
      <c r="DR571" s="1"/>
      <c r="DY571" s="1"/>
      <c r="DZ571" s="1"/>
      <c r="ED571" s="1"/>
      <c r="EF571" s="1"/>
      <c r="EK571" s="1"/>
      <c r="EL571" s="1"/>
      <c r="EM571" s="1"/>
      <c r="EN571" s="1"/>
      <c r="EQ571" s="1"/>
      <c r="ER571" s="1"/>
      <c r="ES571" s="1"/>
      <c r="EV571" s="1"/>
      <c r="EW571" s="1"/>
      <c r="EZ571" s="1"/>
      <c r="FA571" s="1"/>
      <c r="FD571" s="1"/>
      <c r="FH571" s="1"/>
      <c r="FJ571" s="1"/>
      <c r="FL571" s="1"/>
      <c r="FN571" s="1"/>
      <c r="FO571" s="1"/>
      <c r="FP571" s="1"/>
      <c r="FQ571" s="1"/>
      <c r="FR571" s="1"/>
      <c r="FS571" s="1"/>
      <c r="FT571" s="1"/>
      <c r="FU571" s="1"/>
      <c r="FV571" s="1"/>
      <c r="FW571" s="1"/>
      <c r="FX571" s="1"/>
      <c r="FY571" s="1"/>
      <c r="FZ571" s="1"/>
      <c r="GA571" s="1"/>
      <c r="GD571" s="1"/>
      <c r="GE571" s="1"/>
      <c r="GF571" s="1"/>
      <c r="GG571" s="1"/>
      <c r="GH571" s="1"/>
      <c r="GI571" s="1"/>
      <c r="GJ571" s="1"/>
      <c r="GK571" s="1"/>
      <c r="GL571" s="1"/>
      <c r="GM571" s="1"/>
      <c r="GN571" s="1"/>
      <c r="GO571" s="1"/>
      <c r="GP571" s="1"/>
      <c r="GY571" s="1"/>
      <c r="HF571" s="1"/>
      <c r="HH571" s="1"/>
      <c r="HN571" s="1"/>
      <c r="HQ571" s="1"/>
      <c r="HT571" s="1"/>
      <c r="HY571" s="1"/>
      <c r="IE571" s="1"/>
      <c r="IG571" s="1"/>
      <c r="IJ571" s="1"/>
      <c r="IR571" s="1"/>
      <c r="IS571" s="1"/>
      <c r="IX571" s="1"/>
      <c r="IY571" s="1"/>
      <c r="IZ571" s="1"/>
      <c r="JB571" s="1"/>
      <c r="JH571" s="1"/>
      <c r="JI571" s="1"/>
      <c r="JJ571" s="1"/>
      <c r="JK571" s="1"/>
      <c r="JL571" s="3"/>
      <c r="JM571" s="1"/>
      <c r="JN571" s="1"/>
      <c r="JP571" s="1"/>
      <c r="JQ571" s="1"/>
      <c r="JR571" s="1"/>
      <c r="KU571" s="1"/>
      <c r="KV571" s="1"/>
      <c r="KY571" s="1"/>
      <c r="KZ571" s="1"/>
      <c r="LA571" s="1"/>
      <c r="LB571" s="1"/>
      <c r="LC571" s="1"/>
      <c r="LD571" s="1"/>
      <c r="LO571" s="1"/>
      <c r="LP571" s="1"/>
      <c r="LZ571" s="1"/>
      <c r="MA571" s="1"/>
    </row>
    <row r="572" spans="4:339" ht="13" x14ac:dyDescent="0.15">
      <c r="D572" s="12"/>
      <c r="E572" s="12"/>
      <c r="I572" s="12"/>
      <c r="J572" s="13"/>
      <c r="BF572" s="1"/>
      <c r="BG572" s="1"/>
      <c r="BH572" s="1"/>
      <c r="BI572" s="1"/>
      <c r="BK572" s="1"/>
      <c r="BL572" s="1"/>
      <c r="BM572" s="1"/>
      <c r="BN572" s="1"/>
      <c r="BO572" s="1"/>
      <c r="BP572" s="1"/>
      <c r="BQ572" s="1"/>
      <c r="BR572" s="1"/>
      <c r="CD572" s="1"/>
      <c r="CE572" s="1"/>
      <c r="CF572" s="1"/>
      <c r="CG572" s="1"/>
      <c r="CH572" s="1"/>
      <c r="CI572" s="1"/>
      <c r="CM572" s="2"/>
      <c r="CN572" s="1"/>
      <c r="CO572" s="1"/>
      <c r="CP572" s="1"/>
      <c r="CQ572" s="1"/>
      <c r="CX572" s="1"/>
      <c r="CY572" s="1"/>
      <c r="CZ572" s="1"/>
      <c r="DA572" s="1"/>
      <c r="DB572" s="1"/>
      <c r="DC572" s="1"/>
      <c r="DD572" s="1"/>
      <c r="DE572" s="1"/>
      <c r="DF572" s="1"/>
      <c r="DG572" s="1"/>
      <c r="DH572" s="1"/>
      <c r="DI572" s="1"/>
      <c r="DJ572" s="1"/>
      <c r="DK572" s="1"/>
      <c r="DM572" s="1"/>
      <c r="DQ572" s="1"/>
      <c r="DR572" s="1"/>
      <c r="DY572" s="1"/>
      <c r="DZ572" s="1"/>
      <c r="ED572" s="1"/>
      <c r="EF572" s="1"/>
      <c r="EK572" s="1"/>
      <c r="EL572" s="1"/>
      <c r="EM572" s="1"/>
      <c r="EN572" s="1"/>
      <c r="EQ572" s="1"/>
      <c r="ER572" s="1"/>
      <c r="ES572" s="1"/>
      <c r="EV572" s="1"/>
      <c r="EW572" s="1"/>
      <c r="EZ572" s="1"/>
      <c r="FA572" s="1"/>
      <c r="FD572" s="1"/>
      <c r="FH572" s="1"/>
      <c r="FJ572" s="1"/>
      <c r="FM572" s="1"/>
      <c r="FN572" s="1"/>
      <c r="FP572" s="1"/>
      <c r="FS572" s="1"/>
      <c r="FU572" s="1"/>
      <c r="FV572" s="1"/>
      <c r="FX572" s="1"/>
      <c r="FZ572" s="1"/>
      <c r="GA572" s="1"/>
      <c r="GD572" s="1"/>
      <c r="GE572" s="1"/>
      <c r="GF572" s="1"/>
      <c r="GG572" s="1"/>
      <c r="GH572" s="1"/>
      <c r="GI572" s="1"/>
      <c r="GJ572" s="1"/>
      <c r="GN572" s="1"/>
      <c r="GP572" s="1"/>
      <c r="GV572" s="1"/>
      <c r="HF572" s="1"/>
      <c r="HH572" s="1"/>
      <c r="HN572" s="1"/>
      <c r="HT572" s="1"/>
      <c r="HY572" s="1"/>
      <c r="IE572" s="1"/>
      <c r="IF572" s="1"/>
      <c r="IG572" s="1"/>
      <c r="IH572" s="1"/>
      <c r="IJ572" s="1"/>
      <c r="IR572" s="1"/>
      <c r="IS572" s="1"/>
      <c r="IZ572" s="1"/>
      <c r="JC572" s="1"/>
      <c r="JF572" s="1"/>
      <c r="JJ572" s="1"/>
      <c r="JK572" s="1"/>
      <c r="JL572" s="3"/>
      <c r="JM572" s="1"/>
      <c r="JN572" s="1"/>
      <c r="JP572" s="1"/>
      <c r="JQ572" s="1"/>
      <c r="JR572" s="1"/>
      <c r="JT572" s="1"/>
      <c r="KW572" s="1"/>
      <c r="KY572" s="1"/>
      <c r="KZ572" s="1"/>
      <c r="LA572" s="1"/>
      <c r="LB572" s="1"/>
      <c r="LC572" s="1"/>
      <c r="LD572" s="1"/>
      <c r="LN572" s="1"/>
      <c r="LO572" s="1"/>
      <c r="LP572" s="1"/>
      <c r="LZ572" s="1"/>
      <c r="MA572" s="1"/>
    </row>
    <row r="573" spans="4:339" ht="13" x14ac:dyDescent="0.15">
      <c r="D573" s="12"/>
      <c r="E573" s="12"/>
      <c r="I573" s="12"/>
      <c r="J573" s="13"/>
      <c r="BF573" s="1"/>
      <c r="BG573" s="1"/>
      <c r="BH573" s="1"/>
      <c r="BI573" s="1"/>
      <c r="BJ573" s="1"/>
      <c r="BK573" s="1"/>
      <c r="BL573" s="1"/>
      <c r="BM573" s="1"/>
      <c r="BN573" s="1"/>
      <c r="BO573" s="1"/>
      <c r="BP573" s="1"/>
      <c r="BQ573" s="1"/>
      <c r="BR573" s="1"/>
      <c r="CD573" s="1"/>
      <c r="CE573" s="1"/>
      <c r="CF573" s="1"/>
      <c r="CG573" s="1"/>
      <c r="CH573" s="1"/>
      <c r="CI573" s="1"/>
      <c r="CK573" s="1"/>
      <c r="CM573" s="2"/>
      <c r="CN573" s="1"/>
      <c r="CO573" s="1"/>
      <c r="CP573" s="1"/>
      <c r="CQ573" s="1"/>
      <c r="CX573" s="1"/>
      <c r="CY573" s="1"/>
      <c r="CZ573" s="1"/>
      <c r="DA573" s="1"/>
      <c r="DB573" s="1"/>
      <c r="DC573" s="1"/>
      <c r="DD573" s="1"/>
      <c r="DE573" s="1"/>
      <c r="DF573" s="1"/>
      <c r="DG573" s="1"/>
      <c r="DH573" s="1"/>
      <c r="DI573" s="1"/>
      <c r="DJ573" s="1"/>
      <c r="DK573" s="1"/>
      <c r="ED573" s="1"/>
      <c r="EK573" s="1"/>
      <c r="EL573" s="1"/>
      <c r="EM573" s="1"/>
      <c r="EN573" s="1"/>
      <c r="EQ573" s="1"/>
      <c r="ER573" s="1"/>
      <c r="ES573" s="1"/>
      <c r="EV573" s="1"/>
      <c r="EW573" s="1"/>
      <c r="EX573" s="1"/>
      <c r="EZ573" s="1"/>
      <c r="FA573" s="1"/>
      <c r="FD573" s="1"/>
      <c r="FE573" s="1"/>
      <c r="FF573" s="1"/>
      <c r="FG573" s="1"/>
      <c r="FH573" s="1"/>
      <c r="FI573" s="1"/>
      <c r="FJ573" s="1"/>
      <c r="FK573" s="1"/>
      <c r="FM573" s="1"/>
      <c r="FN573" s="1"/>
      <c r="FO573" s="1"/>
      <c r="FP573" s="1"/>
      <c r="FQ573" s="1"/>
      <c r="FR573" s="1"/>
      <c r="FS573" s="1"/>
      <c r="FT573" s="1"/>
      <c r="FU573" s="1"/>
      <c r="FV573" s="1"/>
      <c r="FW573" s="1"/>
      <c r="FX573" s="1"/>
      <c r="FY573" s="1"/>
      <c r="FZ573" s="1"/>
      <c r="GA573" s="1"/>
      <c r="GB573" s="1"/>
      <c r="GD573" s="1"/>
      <c r="GE573" s="1"/>
      <c r="GF573" s="1"/>
      <c r="GG573" s="1"/>
      <c r="GH573" s="1"/>
      <c r="GI573" s="1"/>
      <c r="GJ573" s="1"/>
      <c r="GK573" s="1"/>
      <c r="GL573" s="1"/>
      <c r="GM573" s="1"/>
      <c r="GN573" s="1"/>
      <c r="GP573" s="1"/>
      <c r="GR573" s="1"/>
      <c r="GS573" s="1"/>
      <c r="GY573" s="1"/>
      <c r="HF573" s="1"/>
      <c r="HH573" s="1"/>
      <c r="HL573" s="1"/>
      <c r="HN573" s="1"/>
      <c r="HT573" s="1"/>
      <c r="HY573" s="1"/>
      <c r="IC573" s="1"/>
      <c r="ID573" s="1"/>
      <c r="IE573" s="1"/>
      <c r="IG573" s="1"/>
      <c r="IR573" s="1"/>
      <c r="IS573" s="1"/>
      <c r="IY573" s="1"/>
      <c r="IZ573" s="1"/>
      <c r="JC573" s="1"/>
      <c r="JF573" s="1"/>
      <c r="JG573" s="1"/>
      <c r="JH573" s="1"/>
      <c r="JJ573" s="1"/>
      <c r="JK573" s="1"/>
      <c r="JL573" s="3"/>
      <c r="JM573" s="1"/>
      <c r="JN573" s="1"/>
      <c r="JP573" s="1"/>
      <c r="JQ573" s="1"/>
      <c r="JR573" s="1"/>
      <c r="JU573" s="1"/>
      <c r="KU573" s="1"/>
      <c r="KY573" s="1"/>
      <c r="KZ573" s="1"/>
      <c r="LA573" s="1"/>
      <c r="LB573" s="1"/>
      <c r="LC573" s="1"/>
      <c r="LD573" s="1"/>
      <c r="LO573" s="1"/>
      <c r="LP573" s="1"/>
      <c r="LQ573" s="1"/>
      <c r="LZ573" s="1"/>
      <c r="MA573" s="1"/>
    </row>
    <row r="574" spans="4:339" ht="13" x14ac:dyDescent="0.15">
      <c r="D574" s="12"/>
      <c r="E574" s="12"/>
      <c r="I574" s="12"/>
      <c r="J574" s="13"/>
      <c r="BF574" s="1"/>
      <c r="BG574" s="1"/>
      <c r="BH574" s="1"/>
      <c r="BI574" s="1"/>
      <c r="BJ574" s="1"/>
      <c r="BK574" s="1"/>
      <c r="BL574" s="1"/>
      <c r="BM574" s="1"/>
      <c r="BN574" s="1"/>
      <c r="BO574" s="1"/>
      <c r="BP574" s="1"/>
      <c r="BQ574" s="1"/>
      <c r="BR574" s="1"/>
      <c r="CD574" s="1"/>
      <c r="CE574" s="1"/>
      <c r="CF574" s="1"/>
      <c r="CG574" s="1"/>
      <c r="CH574" s="1"/>
      <c r="CI574" s="1"/>
      <c r="CK574" s="1"/>
      <c r="CM574" s="2"/>
      <c r="CN574" s="1"/>
      <c r="CO574" s="1"/>
      <c r="CP574" s="1"/>
      <c r="CQ574" s="1"/>
      <c r="CX574" s="1"/>
      <c r="CY574" s="1"/>
      <c r="CZ574" s="1"/>
      <c r="DA574" s="1"/>
      <c r="DB574" s="1"/>
      <c r="DC574" s="1"/>
      <c r="DD574" s="1"/>
      <c r="DE574" s="1"/>
      <c r="DF574" s="1"/>
      <c r="DG574" s="1"/>
      <c r="DH574" s="1"/>
      <c r="DI574" s="1"/>
      <c r="DJ574" s="1"/>
      <c r="DK574" s="1"/>
      <c r="ED574" s="1"/>
      <c r="EK574" s="1"/>
      <c r="EL574" s="1"/>
      <c r="EM574" s="1"/>
      <c r="EN574" s="1"/>
      <c r="EQ574" s="1"/>
      <c r="ER574" s="1"/>
      <c r="ES574" s="1"/>
      <c r="EV574" s="1"/>
      <c r="EW574" s="1"/>
      <c r="EX574" s="1"/>
      <c r="EZ574" s="1"/>
      <c r="FA574" s="1"/>
      <c r="FD574" s="1"/>
      <c r="FE574" s="1"/>
      <c r="FF574" s="1"/>
      <c r="FG574" s="1"/>
      <c r="FH574" s="1"/>
      <c r="FI574" s="1"/>
      <c r="FJ574" s="1"/>
      <c r="FK574" s="1"/>
      <c r="FM574" s="1"/>
      <c r="FN574" s="1"/>
      <c r="FO574" s="1"/>
      <c r="FP574" s="1"/>
      <c r="FQ574" s="1"/>
      <c r="FR574" s="1"/>
      <c r="FS574" s="1"/>
      <c r="FT574" s="1"/>
      <c r="FU574" s="1"/>
      <c r="FV574" s="1"/>
      <c r="FW574" s="1"/>
      <c r="FX574" s="1"/>
      <c r="FY574" s="1"/>
      <c r="FZ574" s="1"/>
      <c r="GA574" s="1"/>
      <c r="GB574" s="1"/>
      <c r="GD574" s="1"/>
      <c r="GE574" s="1"/>
      <c r="GF574" s="1"/>
      <c r="GG574" s="1"/>
      <c r="GH574" s="1"/>
      <c r="GI574" s="1"/>
      <c r="GJ574" s="1"/>
      <c r="GK574" s="1"/>
      <c r="GL574" s="1"/>
      <c r="GM574" s="1"/>
      <c r="GN574" s="1"/>
      <c r="GP574" s="1"/>
      <c r="GR574" s="1"/>
      <c r="GS574" s="1"/>
      <c r="GY574" s="1"/>
      <c r="HF574" s="1"/>
      <c r="HH574" s="1"/>
      <c r="HL574" s="1"/>
      <c r="HN574" s="1"/>
      <c r="HT574" s="1"/>
      <c r="HY574" s="1"/>
      <c r="IC574" s="1"/>
      <c r="ID574" s="1"/>
      <c r="IE574" s="1"/>
      <c r="IG574" s="1"/>
      <c r="IR574" s="1"/>
      <c r="IS574" s="1"/>
      <c r="IY574" s="1"/>
      <c r="IZ574" s="1"/>
      <c r="JC574" s="1"/>
      <c r="JF574" s="1"/>
      <c r="JG574" s="1"/>
      <c r="JH574" s="1"/>
      <c r="JJ574" s="1"/>
      <c r="JK574" s="1"/>
      <c r="JL574" s="3"/>
      <c r="JM574" s="1"/>
      <c r="JN574" s="1"/>
      <c r="JP574" s="1"/>
      <c r="JQ574" s="1"/>
      <c r="JR574" s="1"/>
      <c r="JU574" s="1"/>
      <c r="KU574" s="1"/>
      <c r="KY574" s="1"/>
      <c r="KZ574" s="1"/>
      <c r="LA574" s="1"/>
      <c r="LB574" s="1"/>
      <c r="LC574" s="1"/>
      <c r="LD574" s="1"/>
      <c r="LO574" s="1"/>
      <c r="LP574" s="1"/>
      <c r="LQ574" s="1"/>
      <c r="LZ574" s="1"/>
      <c r="MA574" s="1"/>
    </row>
    <row r="575" spans="4:339" ht="13" x14ac:dyDescent="0.15">
      <c r="D575" s="12"/>
      <c r="E575" s="12"/>
      <c r="I575" s="12"/>
      <c r="J575" s="13"/>
      <c r="BF575" s="1"/>
      <c r="BG575" s="1"/>
      <c r="BH575" s="1"/>
      <c r="BI575" s="1"/>
      <c r="BJ575" s="1"/>
      <c r="BK575" s="1"/>
      <c r="BL575" s="1"/>
      <c r="BM575" s="1"/>
      <c r="BN575" s="1"/>
      <c r="BO575" s="1"/>
      <c r="BP575" s="1"/>
      <c r="BQ575" s="1"/>
      <c r="BR575" s="1"/>
      <c r="CD575" s="1"/>
      <c r="CE575" s="1"/>
      <c r="CF575" s="1"/>
      <c r="CG575" s="1"/>
      <c r="CH575" s="1"/>
      <c r="CI575" s="1"/>
      <c r="CK575" s="1"/>
      <c r="CM575" s="2"/>
      <c r="CN575" s="1"/>
      <c r="CO575" s="1"/>
      <c r="CP575" s="1"/>
      <c r="CQ575" s="1"/>
      <c r="CX575" s="1"/>
      <c r="CY575" s="1"/>
      <c r="CZ575" s="1"/>
      <c r="DA575" s="1"/>
      <c r="DB575" s="1"/>
      <c r="DC575" s="1"/>
      <c r="DD575" s="1"/>
      <c r="DE575" s="1"/>
      <c r="DF575" s="1"/>
      <c r="DG575" s="1"/>
      <c r="DH575" s="1"/>
      <c r="DI575" s="1"/>
      <c r="DJ575" s="1"/>
      <c r="DK575" s="1"/>
      <c r="ED575" s="1"/>
      <c r="EK575" s="1"/>
      <c r="EL575" s="1"/>
      <c r="EM575" s="1"/>
      <c r="EN575" s="1"/>
      <c r="EQ575" s="1"/>
      <c r="ER575" s="1"/>
      <c r="ES575" s="1"/>
      <c r="EV575" s="1"/>
      <c r="EW575" s="1"/>
      <c r="EX575" s="1"/>
      <c r="EZ575" s="1"/>
      <c r="FA575" s="1"/>
      <c r="FD575" s="1"/>
      <c r="FE575" s="1"/>
      <c r="FF575" s="1"/>
      <c r="FG575" s="1"/>
      <c r="FH575" s="1"/>
      <c r="FI575" s="1"/>
      <c r="FJ575" s="1"/>
      <c r="FK575" s="1"/>
      <c r="FM575" s="1"/>
      <c r="FN575" s="1"/>
      <c r="FO575" s="1"/>
      <c r="FP575" s="1"/>
      <c r="FQ575" s="1"/>
      <c r="FR575" s="1"/>
      <c r="FS575" s="1"/>
      <c r="FT575" s="1"/>
      <c r="FU575" s="1"/>
      <c r="FV575" s="1"/>
      <c r="FW575" s="1"/>
      <c r="FX575" s="1"/>
      <c r="FY575" s="1"/>
      <c r="FZ575" s="1"/>
      <c r="GA575" s="1"/>
      <c r="GB575" s="1"/>
      <c r="GD575" s="1"/>
      <c r="GE575" s="1"/>
      <c r="GF575" s="1"/>
      <c r="GG575" s="1"/>
      <c r="GH575" s="1"/>
      <c r="GI575" s="1"/>
      <c r="GJ575" s="1"/>
      <c r="GK575" s="1"/>
      <c r="GL575" s="1"/>
      <c r="GM575" s="1"/>
      <c r="GN575" s="1"/>
      <c r="GP575" s="1"/>
      <c r="GR575" s="1"/>
      <c r="GS575" s="1"/>
      <c r="GY575" s="1"/>
      <c r="HF575" s="1"/>
      <c r="HH575" s="1"/>
      <c r="HL575" s="1"/>
      <c r="HN575" s="1"/>
      <c r="HT575" s="1"/>
      <c r="HY575" s="1"/>
      <c r="IC575" s="1"/>
      <c r="ID575" s="1"/>
      <c r="IE575" s="1"/>
      <c r="IG575" s="1"/>
      <c r="IR575" s="1"/>
      <c r="IS575" s="1"/>
      <c r="IY575" s="1"/>
      <c r="IZ575" s="1"/>
      <c r="JC575" s="1"/>
      <c r="JF575" s="1"/>
      <c r="JG575" s="1"/>
      <c r="JH575" s="1"/>
      <c r="JJ575" s="1"/>
      <c r="JK575" s="1"/>
      <c r="JL575" s="3"/>
      <c r="JM575" s="1"/>
      <c r="JN575" s="1"/>
      <c r="JP575" s="1"/>
      <c r="JQ575" s="1"/>
      <c r="JR575" s="1"/>
      <c r="JU575" s="1"/>
      <c r="KU575" s="1"/>
      <c r="KY575" s="1"/>
      <c r="KZ575" s="1"/>
      <c r="LA575" s="1"/>
      <c r="LB575" s="1"/>
      <c r="LC575" s="1"/>
      <c r="LD575" s="1"/>
      <c r="LO575" s="1"/>
      <c r="LP575" s="1"/>
      <c r="LQ575" s="1"/>
      <c r="LZ575" s="1"/>
      <c r="MA575" s="1"/>
    </row>
    <row r="576" spans="4:339" ht="13" x14ac:dyDescent="0.15">
      <c r="D576" s="12"/>
      <c r="E576" s="12"/>
      <c r="I576" s="12"/>
      <c r="J576" s="13"/>
      <c r="BF576" s="1"/>
      <c r="BG576" s="1"/>
      <c r="BH576" s="1"/>
      <c r="BI576" s="1"/>
      <c r="BJ576" s="1"/>
      <c r="BK576" s="1"/>
      <c r="BL576" s="1"/>
      <c r="BM576" s="1"/>
      <c r="BN576" s="1"/>
      <c r="BO576" s="1"/>
      <c r="BP576" s="1"/>
      <c r="BQ576" s="1"/>
      <c r="BR576" s="1"/>
      <c r="CD576" s="1"/>
      <c r="CE576" s="1"/>
      <c r="CF576" s="1"/>
      <c r="CG576" s="1"/>
      <c r="CH576" s="1"/>
      <c r="CI576" s="1"/>
      <c r="CK576" s="1"/>
      <c r="CM576" s="2"/>
      <c r="CN576" s="1"/>
      <c r="CO576" s="1"/>
      <c r="CP576" s="1"/>
      <c r="CQ576" s="1"/>
      <c r="CX576" s="1"/>
      <c r="CY576" s="1"/>
      <c r="CZ576" s="1"/>
      <c r="DA576" s="1"/>
      <c r="DB576" s="1"/>
      <c r="DC576" s="1"/>
      <c r="DD576" s="1"/>
      <c r="DE576" s="1"/>
      <c r="DF576" s="1"/>
      <c r="DG576" s="1"/>
      <c r="DH576" s="1"/>
      <c r="DI576" s="1"/>
      <c r="DJ576" s="1"/>
      <c r="DK576" s="1"/>
      <c r="ED576" s="1"/>
      <c r="EK576" s="1"/>
      <c r="EL576" s="1"/>
      <c r="EM576" s="1"/>
      <c r="EN576" s="1"/>
      <c r="EQ576" s="1"/>
      <c r="ER576" s="1"/>
      <c r="ES576" s="1"/>
      <c r="EV576" s="1"/>
      <c r="EW576" s="1"/>
      <c r="EX576" s="1"/>
      <c r="EZ576" s="1"/>
      <c r="FA576" s="1"/>
      <c r="FD576" s="1"/>
      <c r="FE576" s="1"/>
      <c r="FF576" s="1"/>
      <c r="FG576" s="1"/>
      <c r="FH576" s="1"/>
      <c r="FI576" s="1"/>
      <c r="FJ576" s="1"/>
      <c r="FK576" s="1"/>
      <c r="FM576" s="1"/>
      <c r="FN576" s="1"/>
      <c r="FO576" s="1"/>
      <c r="FP576" s="1"/>
      <c r="FQ576" s="1"/>
      <c r="FR576" s="1"/>
      <c r="FS576" s="1"/>
      <c r="FT576" s="1"/>
      <c r="FU576" s="1"/>
      <c r="FV576" s="1"/>
      <c r="FW576" s="1"/>
      <c r="FX576" s="1"/>
      <c r="FY576" s="1"/>
      <c r="FZ576" s="1"/>
      <c r="GA576" s="1"/>
      <c r="GB576" s="1"/>
      <c r="GD576" s="1"/>
      <c r="GE576" s="1"/>
      <c r="GF576" s="1"/>
      <c r="GG576" s="1"/>
      <c r="GH576" s="1"/>
      <c r="GI576" s="1"/>
      <c r="GJ576" s="1"/>
      <c r="GK576" s="1"/>
      <c r="GL576" s="1"/>
      <c r="GM576" s="1"/>
      <c r="GN576" s="1"/>
      <c r="GP576" s="1"/>
      <c r="GR576" s="1"/>
      <c r="GS576" s="1"/>
      <c r="GY576" s="1"/>
      <c r="HF576" s="1"/>
      <c r="HH576" s="1"/>
      <c r="HL576" s="1"/>
      <c r="HN576" s="1"/>
      <c r="HT576" s="1"/>
      <c r="HY576" s="1"/>
      <c r="IC576" s="1"/>
      <c r="ID576" s="1"/>
      <c r="IE576" s="1"/>
      <c r="IG576" s="1"/>
      <c r="IR576" s="1"/>
      <c r="IS576" s="1"/>
      <c r="IY576" s="1"/>
      <c r="IZ576" s="1"/>
      <c r="JC576" s="1"/>
      <c r="JF576" s="1"/>
      <c r="JG576" s="1"/>
      <c r="JH576" s="1"/>
      <c r="JJ576" s="1"/>
      <c r="JK576" s="1"/>
      <c r="JL576" s="3"/>
      <c r="JM576" s="1"/>
      <c r="JN576" s="1"/>
      <c r="JP576" s="1"/>
      <c r="JQ576" s="1"/>
      <c r="JR576" s="1"/>
      <c r="JU576" s="1"/>
      <c r="KU576" s="1"/>
      <c r="KY576" s="1"/>
      <c r="KZ576" s="1"/>
      <c r="LA576" s="1"/>
      <c r="LB576" s="1"/>
      <c r="LC576" s="1"/>
      <c r="LD576" s="1"/>
      <c r="LO576" s="1"/>
      <c r="LP576" s="1"/>
      <c r="LQ576" s="1"/>
      <c r="LZ576" s="1"/>
      <c r="MA576" s="1"/>
    </row>
    <row r="577" spans="4:339" ht="13" x14ac:dyDescent="0.15">
      <c r="D577" s="12"/>
      <c r="E577" s="12"/>
      <c r="I577" s="12"/>
      <c r="J577" s="13"/>
      <c r="BF577" s="1"/>
      <c r="BG577" s="1"/>
      <c r="BH577" s="1"/>
      <c r="BI577" s="1"/>
      <c r="BJ577" s="1"/>
      <c r="BK577" s="1"/>
      <c r="BL577" s="1"/>
      <c r="BM577" s="1"/>
      <c r="BN577" s="1"/>
      <c r="BO577" s="1"/>
      <c r="BP577" s="1"/>
      <c r="BQ577" s="1"/>
      <c r="BR577" s="1"/>
      <c r="CD577" s="1"/>
      <c r="CE577" s="1"/>
      <c r="CF577" s="1"/>
      <c r="CG577" s="1"/>
      <c r="CH577" s="1"/>
      <c r="CI577" s="1"/>
      <c r="CK577" s="1"/>
      <c r="CM577" s="2"/>
      <c r="CN577" s="1"/>
      <c r="CO577" s="1"/>
      <c r="CP577" s="1"/>
      <c r="CQ577" s="1"/>
      <c r="CX577" s="1"/>
      <c r="CY577" s="1"/>
      <c r="CZ577" s="1"/>
      <c r="DA577" s="1"/>
      <c r="DB577" s="1"/>
      <c r="DC577" s="1"/>
      <c r="DD577" s="1"/>
      <c r="DE577" s="1"/>
      <c r="DF577" s="1"/>
      <c r="DG577" s="1"/>
      <c r="DH577" s="1"/>
      <c r="DI577" s="1"/>
      <c r="DJ577" s="1"/>
      <c r="DK577" s="1"/>
      <c r="ED577" s="1"/>
      <c r="EK577" s="1"/>
      <c r="EL577" s="1"/>
      <c r="EM577" s="1"/>
      <c r="EN577" s="1"/>
      <c r="EQ577" s="1"/>
      <c r="ER577" s="1"/>
      <c r="ES577" s="1"/>
      <c r="EV577" s="1"/>
      <c r="EW577" s="1"/>
      <c r="EX577" s="1"/>
      <c r="EZ577" s="1"/>
      <c r="FA577" s="1"/>
      <c r="FD577" s="1"/>
      <c r="FE577" s="1"/>
      <c r="FF577" s="1"/>
      <c r="FG577" s="1"/>
      <c r="FH577" s="1"/>
      <c r="FI577" s="1"/>
      <c r="FJ577" s="1"/>
      <c r="FK577" s="1"/>
      <c r="FM577" s="1"/>
      <c r="FN577" s="1"/>
      <c r="FO577" s="1"/>
      <c r="FP577" s="1"/>
      <c r="FQ577" s="1"/>
      <c r="FR577" s="1"/>
      <c r="FS577" s="1"/>
      <c r="FT577" s="1"/>
      <c r="FU577" s="1"/>
      <c r="FV577" s="1"/>
      <c r="FW577" s="1"/>
      <c r="FX577" s="1"/>
      <c r="FY577" s="1"/>
      <c r="FZ577" s="1"/>
      <c r="GA577" s="1"/>
      <c r="GB577" s="1"/>
      <c r="GD577" s="1"/>
      <c r="GE577" s="1"/>
      <c r="GF577" s="1"/>
      <c r="GG577" s="1"/>
      <c r="GH577" s="1"/>
      <c r="GI577" s="1"/>
      <c r="GJ577" s="1"/>
      <c r="GK577" s="1"/>
      <c r="GL577" s="1"/>
      <c r="GM577" s="1"/>
      <c r="GN577" s="1"/>
      <c r="GP577" s="1"/>
      <c r="GR577" s="1"/>
      <c r="GS577" s="1"/>
      <c r="GY577" s="1"/>
      <c r="HF577" s="1"/>
      <c r="HH577" s="1"/>
      <c r="HL577" s="1"/>
      <c r="HN577" s="1"/>
      <c r="HT577" s="1"/>
      <c r="HY577" s="1"/>
      <c r="IC577" s="1"/>
      <c r="ID577" s="1"/>
      <c r="IE577" s="1"/>
      <c r="IG577" s="1"/>
      <c r="IR577" s="1"/>
      <c r="IS577" s="1"/>
      <c r="IY577" s="1"/>
      <c r="IZ577" s="1"/>
      <c r="JC577" s="1"/>
      <c r="JF577" s="1"/>
      <c r="JG577" s="1"/>
      <c r="JH577" s="1"/>
      <c r="JJ577" s="1"/>
      <c r="JK577" s="1"/>
      <c r="JL577" s="3"/>
      <c r="JM577" s="1"/>
      <c r="JN577" s="1"/>
      <c r="JP577" s="1"/>
      <c r="JQ577" s="1"/>
      <c r="JR577" s="1"/>
      <c r="JU577" s="1"/>
      <c r="KU577" s="1"/>
      <c r="KY577" s="1"/>
      <c r="KZ577" s="1"/>
      <c r="LA577" s="1"/>
      <c r="LB577" s="1"/>
      <c r="LC577" s="1"/>
      <c r="LD577" s="1"/>
      <c r="LO577" s="1"/>
      <c r="LP577" s="1"/>
      <c r="LQ577" s="1"/>
      <c r="LZ577" s="1"/>
      <c r="MA577" s="1"/>
    </row>
    <row r="578" spans="4:339" ht="13" x14ac:dyDescent="0.15">
      <c r="D578" s="12"/>
      <c r="E578" s="12"/>
      <c r="I578" s="12"/>
      <c r="J578" s="13"/>
      <c r="BF578" s="1"/>
      <c r="BG578" s="1"/>
      <c r="BH578" s="1"/>
      <c r="BI578" s="1"/>
      <c r="BJ578" s="1"/>
      <c r="BK578" s="1"/>
      <c r="BL578" s="1"/>
      <c r="BM578" s="1"/>
      <c r="BN578" s="1"/>
      <c r="BO578" s="1"/>
      <c r="BP578" s="1"/>
      <c r="BQ578" s="1"/>
      <c r="BR578" s="1"/>
      <c r="CD578" s="1"/>
      <c r="CE578" s="1"/>
      <c r="CF578" s="1"/>
      <c r="CG578" s="1"/>
      <c r="CH578" s="1"/>
      <c r="CI578" s="1"/>
      <c r="CK578" s="1"/>
      <c r="CM578" s="2"/>
      <c r="CN578" s="1"/>
      <c r="CO578" s="1"/>
      <c r="CP578" s="1"/>
      <c r="CQ578" s="1"/>
      <c r="CX578" s="1"/>
      <c r="CY578" s="1"/>
      <c r="CZ578" s="1"/>
      <c r="DA578" s="1"/>
      <c r="DB578" s="1"/>
      <c r="DC578" s="1"/>
      <c r="DD578" s="1"/>
      <c r="DE578" s="1"/>
      <c r="DF578" s="1"/>
      <c r="DG578" s="1"/>
      <c r="DH578" s="1"/>
      <c r="DI578" s="1"/>
      <c r="DJ578" s="1"/>
      <c r="DK578" s="1"/>
      <c r="ED578" s="1"/>
      <c r="EK578" s="1"/>
      <c r="EL578" s="1"/>
      <c r="EM578" s="1"/>
      <c r="EN578" s="1"/>
      <c r="EQ578" s="1"/>
      <c r="ER578" s="1"/>
      <c r="ES578" s="1"/>
      <c r="EV578" s="1"/>
      <c r="EW578" s="1"/>
      <c r="EX578" s="1"/>
      <c r="EZ578" s="1"/>
      <c r="FA578" s="1"/>
      <c r="FD578" s="1"/>
      <c r="FE578" s="1"/>
      <c r="FF578" s="1"/>
      <c r="FG578" s="1"/>
      <c r="FH578" s="1"/>
      <c r="FI578" s="1"/>
      <c r="FJ578" s="1"/>
      <c r="FK578" s="1"/>
      <c r="FM578" s="1"/>
      <c r="FN578" s="1"/>
      <c r="FO578" s="1"/>
      <c r="FP578" s="1"/>
      <c r="FQ578" s="1"/>
      <c r="FR578" s="1"/>
      <c r="FS578" s="1"/>
      <c r="FT578" s="1"/>
      <c r="FU578" s="1"/>
      <c r="FV578" s="1"/>
      <c r="FW578" s="1"/>
      <c r="FX578" s="1"/>
      <c r="FY578" s="1"/>
      <c r="FZ578" s="1"/>
      <c r="GA578" s="1"/>
      <c r="GB578" s="1"/>
      <c r="GD578" s="1"/>
      <c r="GE578" s="1"/>
      <c r="GF578" s="1"/>
      <c r="GG578" s="1"/>
      <c r="GH578" s="1"/>
      <c r="GI578" s="1"/>
      <c r="GJ578" s="1"/>
      <c r="GK578" s="1"/>
      <c r="GL578" s="1"/>
      <c r="GM578" s="1"/>
      <c r="GN578" s="1"/>
      <c r="GP578" s="1"/>
      <c r="GR578" s="1"/>
      <c r="GS578" s="1"/>
      <c r="GY578" s="1"/>
      <c r="HF578" s="1"/>
      <c r="HH578" s="1"/>
      <c r="HL578" s="1"/>
      <c r="HN578" s="1"/>
      <c r="HT578" s="1"/>
      <c r="HY578" s="1"/>
      <c r="IC578" s="1"/>
      <c r="ID578" s="1"/>
      <c r="IE578" s="1"/>
      <c r="IG578" s="1"/>
      <c r="IR578" s="1"/>
      <c r="IS578" s="1"/>
      <c r="IY578" s="1"/>
      <c r="IZ578" s="1"/>
      <c r="JC578" s="1"/>
      <c r="JF578" s="1"/>
      <c r="JG578" s="1"/>
      <c r="JH578" s="1"/>
      <c r="JJ578" s="1"/>
      <c r="JK578" s="1"/>
      <c r="JL578" s="3"/>
      <c r="JM578" s="1"/>
      <c r="JN578" s="1"/>
      <c r="JP578" s="1"/>
      <c r="JQ578" s="1"/>
      <c r="JR578" s="1"/>
      <c r="JU578" s="1"/>
      <c r="KU578" s="1"/>
      <c r="KY578" s="1"/>
      <c r="KZ578" s="1"/>
      <c r="LA578" s="1"/>
      <c r="LB578" s="1"/>
      <c r="LC578" s="1"/>
      <c r="LD578" s="1"/>
      <c r="LO578" s="1"/>
      <c r="LP578" s="1"/>
      <c r="LQ578" s="1"/>
      <c r="LZ578" s="1"/>
      <c r="MA578" s="1"/>
    </row>
    <row r="579" spans="4:339" ht="13" x14ac:dyDescent="0.15">
      <c r="D579" s="12"/>
      <c r="E579" s="12"/>
      <c r="I579" s="12"/>
      <c r="J579" s="13"/>
      <c r="BF579" s="1"/>
      <c r="BG579" s="1"/>
      <c r="BH579" s="1"/>
      <c r="BI579" s="1"/>
      <c r="BJ579" s="1"/>
      <c r="BK579" s="1"/>
      <c r="BL579" s="1"/>
      <c r="BM579" s="1"/>
      <c r="BN579" s="1"/>
      <c r="BO579" s="1"/>
      <c r="BP579" s="1"/>
      <c r="BQ579" s="1"/>
      <c r="BR579" s="1"/>
      <c r="CD579" s="1"/>
      <c r="CE579" s="1"/>
      <c r="CF579" s="1"/>
      <c r="CG579" s="1"/>
      <c r="CH579" s="1"/>
      <c r="CI579" s="1"/>
      <c r="CK579" s="1"/>
      <c r="CM579" s="2"/>
      <c r="CN579" s="1"/>
      <c r="CO579" s="1"/>
      <c r="CP579" s="1"/>
      <c r="CQ579" s="1"/>
      <c r="CX579" s="1"/>
      <c r="CY579" s="1"/>
      <c r="CZ579" s="1"/>
      <c r="DA579" s="1"/>
      <c r="DB579" s="1"/>
      <c r="DC579" s="1"/>
      <c r="DD579" s="1"/>
      <c r="DE579" s="1"/>
      <c r="DF579" s="1"/>
      <c r="DG579" s="1"/>
      <c r="DH579" s="1"/>
      <c r="DI579" s="1"/>
      <c r="DJ579" s="1"/>
      <c r="DK579" s="1"/>
      <c r="ED579" s="1"/>
      <c r="EK579" s="1"/>
      <c r="EL579" s="1"/>
      <c r="EM579" s="1"/>
      <c r="EN579" s="1"/>
      <c r="EQ579" s="1"/>
      <c r="ER579" s="1"/>
      <c r="ES579" s="1"/>
      <c r="EV579" s="1"/>
      <c r="EW579" s="1"/>
      <c r="EX579" s="1"/>
      <c r="EZ579" s="1"/>
      <c r="FA579" s="1"/>
      <c r="FD579" s="1"/>
      <c r="FE579" s="1"/>
      <c r="FF579" s="1"/>
      <c r="FG579" s="1"/>
      <c r="FH579" s="1"/>
      <c r="FI579" s="1"/>
      <c r="FJ579" s="1"/>
      <c r="FK579" s="1"/>
      <c r="FM579" s="1"/>
      <c r="FN579" s="1"/>
      <c r="FO579" s="1"/>
      <c r="FP579" s="1"/>
      <c r="FQ579" s="1"/>
      <c r="FR579" s="1"/>
      <c r="FS579" s="1"/>
      <c r="FT579" s="1"/>
      <c r="FU579" s="1"/>
      <c r="FV579" s="1"/>
      <c r="FW579" s="1"/>
      <c r="FX579" s="1"/>
      <c r="FY579" s="1"/>
      <c r="FZ579" s="1"/>
      <c r="GA579" s="1"/>
      <c r="GB579" s="1"/>
      <c r="GD579" s="1"/>
      <c r="GE579" s="1"/>
      <c r="GF579" s="1"/>
      <c r="GG579" s="1"/>
      <c r="GH579" s="1"/>
      <c r="GI579" s="1"/>
      <c r="GJ579" s="1"/>
      <c r="GK579" s="1"/>
      <c r="GL579" s="1"/>
      <c r="GM579" s="1"/>
      <c r="GN579" s="1"/>
      <c r="GP579" s="1"/>
      <c r="GR579" s="1"/>
      <c r="GS579" s="1"/>
      <c r="GY579" s="1"/>
      <c r="HF579" s="1"/>
      <c r="HH579" s="1"/>
      <c r="HL579" s="1"/>
      <c r="HN579" s="1"/>
      <c r="HT579" s="1"/>
      <c r="HY579" s="1"/>
      <c r="IC579" s="1"/>
      <c r="ID579" s="1"/>
      <c r="IE579" s="1"/>
      <c r="IG579" s="1"/>
      <c r="IR579" s="1"/>
      <c r="IS579" s="1"/>
      <c r="IY579" s="1"/>
      <c r="IZ579" s="1"/>
      <c r="JC579" s="1"/>
      <c r="JF579" s="1"/>
      <c r="JG579" s="1"/>
      <c r="JH579" s="1"/>
      <c r="JJ579" s="1"/>
      <c r="JK579" s="1"/>
      <c r="JL579" s="3"/>
      <c r="JM579" s="1"/>
      <c r="JN579" s="1"/>
      <c r="JP579" s="1"/>
      <c r="JQ579" s="1"/>
      <c r="JR579" s="1"/>
      <c r="JU579" s="1"/>
      <c r="KU579" s="1"/>
      <c r="KY579" s="1"/>
      <c r="KZ579" s="1"/>
      <c r="LA579" s="1"/>
      <c r="LB579" s="1"/>
      <c r="LC579" s="1"/>
      <c r="LD579" s="1"/>
      <c r="LO579" s="1"/>
      <c r="LP579" s="1"/>
      <c r="LQ579" s="1"/>
      <c r="LZ579" s="1"/>
      <c r="MA579" s="1"/>
    </row>
    <row r="580" spans="4:339" ht="13" x14ac:dyDescent="0.15">
      <c r="D580" s="12"/>
      <c r="E580" s="12"/>
      <c r="I580" s="12"/>
      <c r="J580" s="13"/>
      <c r="BF580" s="1"/>
      <c r="BG580" s="1"/>
      <c r="BH580" s="1"/>
      <c r="BI580" s="1"/>
      <c r="BJ580" s="1"/>
      <c r="BK580" s="1"/>
      <c r="BL580" s="1"/>
      <c r="BM580" s="1"/>
      <c r="BN580" s="1"/>
      <c r="BO580" s="1"/>
      <c r="BP580" s="1"/>
      <c r="BQ580" s="1"/>
      <c r="BR580" s="1"/>
      <c r="CD580" s="1"/>
      <c r="CE580" s="1"/>
      <c r="CF580" s="1"/>
      <c r="CG580" s="1"/>
      <c r="CH580" s="1"/>
      <c r="CI580" s="1"/>
      <c r="CK580" s="1"/>
      <c r="CM580" s="2"/>
      <c r="CN580" s="1"/>
      <c r="CO580" s="1"/>
      <c r="CP580" s="1"/>
      <c r="CQ580" s="1"/>
      <c r="CX580" s="1"/>
      <c r="CY580" s="1"/>
      <c r="CZ580" s="1"/>
      <c r="DA580" s="1"/>
      <c r="DB580" s="1"/>
      <c r="DC580" s="1"/>
      <c r="DD580" s="1"/>
      <c r="DE580" s="1"/>
      <c r="DF580" s="1"/>
      <c r="DG580" s="1"/>
      <c r="DH580" s="1"/>
      <c r="DI580" s="1"/>
      <c r="DJ580" s="1"/>
      <c r="DK580" s="1"/>
      <c r="ED580" s="1"/>
      <c r="EK580" s="1"/>
      <c r="EL580" s="1"/>
      <c r="EM580" s="1"/>
      <c r="EN580" s="1"/>
      <c r="EQ580" s="1"/>
      <c r="ER580" s="1"/>
      <c r="ES580" s="1"/>
      <c r="EV580" s="1"/>
      <c r="EW580" s="1"/>
      <c r="EX580" s="1"/>
      <c r="EZ580" s="1"/>
      <c r="FA580" s="1"/>
      <c r="FD580" s="1"/>
      <c r="FE580" s="1"/>
      <c r="FF580" s="1"/>
      <c r="FG580" s="1"/>
      <c r="FH580" s="1"/>
      <c r="FI580" s="1"/>
      <c r="FJ580" s="1"/>
      <c r="FK580" s="1"/>
      <c r="FM580" s="1"/>
      <c r="FN580" s="1"/>
      <c r="FO580" s="1"/>
      <c r="FP580" s="1"/>
      <c r="FQ580" s="1"/>
      <c r="FR580" s="1"/>
      <c r="FS580" s="1"/>
      <c r="FT580" s="1"/>
      <c r="FU580" s="1"/>
      <c r="FV580" s="1"/>
      <c r="FW580" s="1"/>
      <c r="FX580" s="1"/>
      <c r="FY580" s="1"/>
      <c r="FZ580" s="1"/>
      <c r="GA580" s="1"/>
      <c r="GB580" s="1"/>
      <c r="GD580" s="1"/>
      <c r="GE580" s="1"/>
      <c r="GF580" s="1"/>
      <c r="GG580" s="1"/>
      <c r="GH580" s="1"/>
      <c r="GI580" s="1"/>
      <c r="GJ580" s="1"/>
      <c r="GK580" s="1"/>
      <c r="GL580" s="1"/>
      <c r="GM580" s="1"/>
      <c r="GN580" s="1"/>
      <c r="GP580" s="1"/>
      <c r="GR580" s="1"/>
      <c r="GS580" s="1"/>
      <c r="GY580" s="1"/>
      <c r="HF580" s="1"/>
      <c r="HH580" s="1"/>
      <c r="HL580" s="1"/>
      <c r="HN580" s="1"/>
      <c r="HT580" s="1"/>
      <c r="HY580" s="1"/>
      <c r="IC580" s="1"/>
      <c r="ID580" s="1"/>
      <c r="IE580" s="1"/>
      <c r="IG580" s="1"/>
      <c r="IR580" s="1"/>
      <c r="IS580" s="1"/>
      <c r="IY580" s="1"/>
      <c r="IZ580" s="1"/>
      <c r="JC580" s="1"/>
      <c r="JF580" s="1"/>
      <c r="JG580" s="1"/>
      <c r="JH580" s="1"/>
      <c r="JJ580" s="1"/>
      <c r="JK580" s="1"/>
      <c r="JL580" s="3"/>
      <c r="JM580" s="1"/>
      <c r="JN580" s="1"/>
      <c r="JP580" s="1"/>
      <c r="JQ580" s="1"/>
      <c r="JR580" s="1"/>
      <c r="JU580" s="1"/>
      <c r="KU580" s="1"/>
      <c r="KY580" s="1"/>
      <c r="KZ580" s="1"/>
      <c r="LA580" s="1"/>
      <c r="LB580" s="1"/>
      <c r="LC580" s="1"/>
      <c r="LD580" s="1"/>
      <c r="LO580" s="1"/>
      <c r="LP580" s="1"/>
      <c r="LQ580" s="1"/>
      <c r="LZ580" s="1"/>
      <c r="MA580" s="1"/>
    </row>
    <row r="581" spans="4:339" ht="13" x14ac:dyDescent="0.15">
      <c r="D581" s="12"/>
      <c r="E581" s="12"/>
      <c r="I581" s="12"/>
      <c r="J581" s="13"/>
      <c r="BF581" s="1"/>
      <c r="BG581" s="1"/>
      <c r="BH581" s="1"/>
      <c r="BI581" s="1"/>
      <c r="BJ581" s="1"/>
      <c r="BK581" s="1"/>
      <c r="BL581" s="1"/>
      <c r="BM581" s="1"/>
      <c r="BN581" s="1"/>
      <c r="BO581" s="1"/>
      <c r="BP581" s="1"/>
      <c r="BQ581" s="1"/>
      <c r="BR581" s="1"/>
      <c r="CD581" s="1"/>
      <c r="CE581" s="1"/>
      <c r="CF581" s="1"/>
      <c r="CG581" s="1"/>
      <c r="CH581" s="1"/>
      <c r="CI581" s="1"/>
      <c r="CK581" s="1"/>
      <c r="CM581" s="2"/>
      <c r="CN581" s="1"/>
      <c r="CO581" s="1"/>
      <c r="CP581" s="1"/>
      <c r="CQ581" s="1"/>
      <c r="CX581" s="1"/>
      <c r="CY581" s="1"/>
      <c r="CZ581" s="1"/>
      <c r="DA581" s="1"/>
      <c r="DB581" s="1"/>
      <c r="DC581" s="1"/>
      <c r="DD581" s="1"/>
      <c r="DE581" s="1"/>
      <c r="DF581" s="1"/>
      <c r="DG581" s="1"/>
      <c r="DH581" s="1"/>
      <c r="DI581" s="1"/>
      <c r="DJ581" s="1"/>
      <c r="DK581" s="1"/>
      <c r="ED581" s="1"/>
      <c r="EK581" s="1"/>
      <c r="EL581" s="1"/>
      <c r="EM581" s="1"/>
      <c r="EN581" s="1"/>
      <c r="EQ581" s="1"/>
      <c r="ER581" s="1"/>
      <c r="ES581" s="1"/>
      <c r="EV581" s="1"/>
      <c r="EW581" s="1"/>
      <c r="EX581" s="1"/>
      <c r="EZ581" s="1"/>
      <c r="FA581" s="1"/>
      <c r="FD581" s="1"/>
      <c r="FE581" s="1"/>
      <c r="FF581" s="1"/>
      <c r="FG581" s="1"/>
      <c r="FH581" s="1"/>
      <c r="FI581" s="1"/>
      <c r="FJ581" s="1"/>
      <c r="FK581" s="1"/>
      <c r="FM581" s="1"/>
      <c r="FN581" s="1"/>
      <c r="FO581" s="1"/>
      <c r="FP581" s="1"/>
      <c r="FQ581" s="1"/>
      <c r="FR581" s="1"/>
      <c r="FS581" s="1"/>
      <c r="FT581" s="1"/>
      <c r="FU581" s="1"/>
      <c r="FV581" s="1"/>
      <c r="FW581" s="1"/>
      <c r="FX581" s="1"/>
      <c r="FY581" s="1"/>
      <c r="FZ581" s="1"/>
      <c r="GA581" s="1"/>
      <c r="GB581" s="1"/>
      <c r="GD581" s="1"/>
      <c r="GE581" s="1"/>
      <c r="GF581" s="1"/>
      <c r="GG581" s="1"/>
      <c r="GH581" s="1"/>
      <c r="GI581" s="1"/>
      <c r="GJ581" s="1"/>
      <c r="GK581" s="1"/>
      <c r="GL581" s="1"/>
      <c r="GM581" s="1"/>
      <c r="GN581" s="1"/>
      <c r="GP581" s="1"/>
      <c r="GR581" s="1"/>
      <c r="GS581" s="1"/>
      <c r="GY581" s="1"/>
      <c r="HF581" s="1"/>
      <c r="HH581" s="1"/>
      <c r="HL581" s="1"/>
      <c r="HN581" s="1"/>
      <c r="HT581" s="1"/>
      <c r="HY581" s="1"/>
      <c r="IC581" s="1"/>
      <c r="ID581" s="1"/>
      <c r="IE581" s="1"/>
      <c r="IG581" s="1"/>
      <c r="IR581" s="1"/>
      <c r="IS581" s="1"/>
      <c r="IY581" s="1"/>
      <c r="IZ581" s="1"/>
      <c r="JC581" s="1"/>
      <c r="JF581" s="1"/>
      <c r="JG581" s="1"/>
      <c r="JH581" s="1"/>
      <c r="JJ581" s="1"/>
      <c r="JK581" s="1"/>
      <c r="JL581" s="3"/>
      <c r="JM581" s="1"/>
      <c r="JN581" s="1"/>
      <c r="JP581" s="1"/>
      <c r="JQ581" s="1"/>
      <c r="JR581" s="1"/>
      <c r="JU581" s="1"/>
      <c r="KU581" s="1"/>
      <c r="KY581" s="1"/>
      <c r="KZ581" s="1"/>
      <c r="LA581" s="1"/>
      <c r="LB581" s="1"/>
      <c r="LC581" s="1"/>
      <c r="LD581" s="1"/>
      <c r="LO581" s="1"/>
      <c r="LP581" s="1"/>
      <c r="LQ581" s="1"/>
      <c r="LZ581" s="1"/>
      <c r="MA581" s="1"/>
    </row>
    <row r="582" spans="4:339" ht="13" x14ac:dyDescent="0.15">
      <c r="D582" s="12"/>
      <c r="E582" s="12"/>
      <c r="I582" s="12"/>
      <c r="J582" s="13"/>
      <c r="BF582" s="1"/>
      <c r="BG582" s="1"/>
      <c r="BH582" s="1"/>
      <c r="BI582" s="1"/>
      <c r="BJ582" s="1"/>
      <c r="BK582" s="1"/>
      <c r="BL582" s="1"/>
      <c r="BM582" s="1"/>
      <c r="BN582" s="1"/>
      <c r="BO582" s="1"/>
      <c r="BP582" s="1"/>
      <c r="BQ582" s="1"/>
      <c r="BR582" s="1"/>
      <c r="CD582" s="1"/>
      <c r="CE582" s="1"/>
      <c r="CF582" s="1"/>
      <c r="CG582" s="1"/>
      <c r="CH582" s="1"/>
      <c r="CI582" s="1"/>
      <c r="CK582" s="1"/>
      <c r="CM582" s="2"/>
      <c r="CN582" s="1"/>
      <c r="CO582" s="1"/>
      <c r="CP582" s="1"/>
      <c r="CQ582" s="1"/>
      <c r="CX582" s="1"/>
      <c r="CY582" s="1"/>
      <c r="CZ582" s="1"/>
      <c r="DA582" s="1"/>
      <c r="DB582" s="1"/>
      <c r="DC582" s="1"/>
      <c r="DD582" s="1"/>
      <c r="DE582" s="1"/>
      <c r="DF582" s="1"/>
      <c r="DG582" s="1"/>
      <c r="DH582" s="1"/>
      <c r="DI582" s="1"/>
      <c r="DJ582" s="1"/>
      <c r="DK582" s="1"/>
      <c r="ED582" s="1"/>
      <c r="EK582" s="1"/>
      <c r="EL582" s="1"/>
      <c r="EM582" s="1"/>
      <c r="EN582" s="1"/>
      <c r="EQ582" s="1"/>
      <c r="ER582" s="1"/>
      <c r="ES582" s="1"/>
      <c r="EV582" s="1"/>
      <c r="EW582" s="1"/>
      <c r="EX582" s="1"/>
      <c r="EZ582" s="1"/>
      <c r="FA582" s="1"/>
      <c r="FD582" s="1"/>
      <c r="FE582" s="1"/>
      <c r="FF582" s="1"/>
      <c r="FG582" s="1"/>
      <c r="FH582" s="1"/>
      <c r="FI582" s="1"/>
      <c r="FJ582" s="1"/>
      <c r="FK582" s="1"/>
      <c r="FM582" s="1"/>
      <c r="FN582" s="1"/>
      <c r="FO582" s="1"/>
      <c r="FP582" s="1"/>
      <c r="FQ582" s="1"/>
      <c r="FR582" s="1"/>
      <c r="FS582" s="1"/>
      <c r="FT582" s="1"/>
      <c r="FU582" s="1"/>
      <c r="FV582" s="1"/>
      <c r="FW582" s="1"/>
      <c r="FX582" s="1"/>
      <c r="FY582" s="1"/>
      <c r="FZ582" s="1"/>
      <c r="GA582" s="1"/>
      <c r="GB582" s="1"/>
      <c r="GD582" s="1"/>
      <c r="GE582" s="1"/>
      <c r="GF582" s="1"/>
      <c r="GG582" s="1"/>
      <c r="GH582" s="1"/>
      <c r="GI582" s="1"/>
      <c r="GJ582" s="1"/>
      <c r="GK582" s="1"/>
      <c r="GL582" s="1"/>
      <c r="GM582" s="1"/>
      <c r="GN582" s="1"/>
      <c r="GP582" s="1"/>
      <c r="GR582" s="1"/>
      <c r="GS582" s="1"/>
      <c r="GY582" s="1"/>
      <c r="HF582" s="1"/>
      <c r="HH582" s="1"/>
      <c r="HL582" s="1"/>
      <c r="HN582" s="1"/>
      <c r="HT582" s="1"/>
      <c r="HY582" s="1"/>
      <c r="IC582" s="1"/>
      <c r="ID582" s="1"/>
      <c r="IE582" s="1"/>
      <c r="IG582" s="1"/>
      <c r="IR582" s="1"/>
      <c r="IS582" s="1"/>
      <c r="IY582" s="1"/>
      <c r="IZ582" s="1"/>
      <c r="JC582" s="1"/>
      <c r="JF582" s="1"/>
      <c r="JG582" s="1"/>
      <c r="JH582" s="1"/>
      <c r="JJ582" s="1"/>
      <c r="JK582" s="1"/>
      <c r="JL582" s="3"/>
      <c r="JM582" s="1"/>
      <c r="JN582" s="1"/>
      <c r="JP582" s="1"/>
      <c r="JQ582" s="1"/>
      <c r="JR582" s="1"/>
      <c r="JU582" s="1"/>
      <c r="KU582" s="1"/>
      <c r="KY582" s="1"/>
      <c r="KZ582" s="1"/>
      <c r="LA582" s="1"/>
      <c r="LB582" s="1"/>
      <c r="LC582" s="1"/>
      <c r="LD582" s="1"/>
      <c r="LO582" s="1"/>
      <c r="LP582" s="1"/>
      <c r="LQ582" s="1"/>
      <c r="LZ582" s="1"/>
      <c r="MA582" s="1"/>
    </row>
    <row r="583" spans="4:339" ht="13" x14ac:dyDescent="0.15">
      <c r="D583" s="12"/>
      <c r="E583" s="12"/>
      <c r="I583" s="12"/>
      <c r="J583" s="13"/>
      <c r="BF583" s="1"/>
      <c r="BG583" s="1"/>
      <c r="BH583" s="1"/>
      <c r="BI583" s="1"/>
      <c r="BJ583" s="1"/>
      <c r="BK583" s="1"/>
      <c r="BL583" s="1"/>
      <c r="BM583" s="1"/>
      <c r="BN583" s="1"/>
      <c r="BO583" s="1"/>
      <c r="BP583" s="1"/>
      <c r="BQ583" s="1"/>
      <c r="BR583" s="1"/>
      <c r="CD583" s="1"/>
      <c r="CE583" s="1"/>
      <c r="CF583" s="1"/>
      <c r="CG583" s="1"/>
      <c r="CH583" s="1"/>
      <c r="CI583" s="1"/>
      <c r="CK583" s="1"/>
      <c r="CM583" s="2"/>
      <c r="CN583" s="1"/>
      <c r="CO583" s="1"/>
      <c r="CP583" s="1"/>
      <c r="CQ583" s="1"/>
      <c r="CX583" s="1"/>
      <c r="CY583" s="1"/>
      <c r="CZ583" s="1"/>
      <c r="DA583" s="1"/>
      <c r="DB583" s="1"/>
      <c r="DC583" s="1"/>
      <c r="DD583" s="1"/>
      <c r="DE583" s="1"/>
      <c r="DF583" s="1"/>
      <c r="DG583" s="1"/>
      <c r="DH583" s="1"/>
      <c r="DI583" s="1"/>
      <c r="DJ583" s="1"/>
      <c r="DK583" s="1"/>
      <c r="ED583" s="1"/>
      <c r="EK583" s="1"/>
      <c r="EL583" s="1"/>
      <c r="EM583" s="1"/>
      <c r="EN583" s="1"/>
      <c r="EQ583" s="1"/>
      <c r="ER583" s="1"/>
      <c r="ES583" s="1"/>
      <c r="EV583" s="1"/>
      <c r="EW583" s="1"/>
      <c r="EX583" s="1"/>
      <c r="EZ583" s="1"/>
      <c r="FA583" s="1"/>
      <c r="FD583" s="1"/>
      <c r="FE583" s="1"/>
      <c r="FF583" s="1"/>
      <c r="FG583" s="1"/>
      <c r="FH583" s="1"/>
      <c r="FI583" s="1"/>
      <c r="FJ583" s="1"/>
      <c r="FK583" s="1"/>
      <c r="FM583" s="1"/>
      <c r="FN583" s="1"/>
      <c r="FO583" s="1"/>
      <c r="FP583" s="1"/>
      <c r="FQ583" s="1"/>
      <c r="FR583" s="1"/>
      <c r="FS583" s="1"/>
      <c r="FT583" s="1"/>
      <c r="FU583" s="1"/>
      <c r="FV583" s="1"/>
      <c r="FW583" s="1"/>
      <c r="FX583" s="1"/>
      <c r="FY583" s="1"/>
      <c r="FZ583" s="1"/>
      <c r="GA583" s="1"/>
      <c r="GB583" s="1"/>
      <c r="GD583" s="1"/>
      <c r="GE583" s="1"/>
      <c r="GF583" s="1"/>
      <c r="GG583" s="1"/>
      <c r="GH583" s="1"/>
      <c r="GI583" s="1"/>
      <c r="GJ583" s="1"/>
      <c r="GK583" s="1"/>
      <c r="GL583" s="1"/>
      <c r="GM583" s="1"/>
      <c r="GN583" s="1"/>
      <c r="GP583" s="1"/>
      <c r="GR583" s="1"/>
      <c r="GS583" s="1"/>
      <c r="GY583" s="1"/>
      <c r="HF583" s="1"/>
      <c r="HH583" s="1"/>
      <c r="HL583" s="1"/>
      <c r="HN583" s="1"/>
      <c r="HT583" s="1"/>
      <c r="HY583" s="1"/>
      <c r="IC583" s="1"/>
      <c r="ID583" s="1"/>
      <c r="IE583" s="1"/>
      <c r="IG583" s="1"/>
      <c r="IR583" s="1"/>
      <c r="IS583" s="1"/>
      <c r="IY583" s="1"/>
      <c r="IZ583" s="1"/>
      <c r="JC583" s="1"/>
      <c r="JF583" s="1"/>
      <c r="JG583" s="1"/>
      <c r="JH583" s="1"/>
      <c r="JJ583" s="1"/>
      <c r="JK583" s="1"/>
      <c r="JL583" s="3"/>
      <c r="JM583" s="1"/>
      <c r="JN583" s="1"/>
      <c r="JP583" s="1"/>
      <c r="JQ583" s="1"/>
      <c r="JR583" s="1"/>
      <c r="JU583" s="1"/>
      <c r="KU583" s="1"/>
      <c r="KY583" s="1"/>
      <c r="KZ583" s="1"/>
      <c r="LA583" s="1"/>
      <c r="LB583" s="1"/>
      <c r="LC583" s="1"/>
      <c r="LD583" s="1"/>
      <c r="LO583" s="1"/>
      <c r="LP583" s="1"/>
      <c r="LQ583" s="1"/>
      <c r="LZ583" s="1"/>
      <c r="MA583" s="1"/>
    </row>
    <row r="584" spans="4:339" ht="13" x14ac:dyDescent="0.15">
      <c r="D584" s="12"/>
      <c r="E584" s="12"/>
      <c r="I584" s="12"/>
      <c r="J584" s="13"/>
      <c r="BF584" s="1"/>
      <c r="BG584" s="1"/>
      <c r="BH584" s="1"/>
      <c r="BI584" s="1"/>
      <c r="BJ584" s="1"/>
      <c r="BK584" s="1"/>
      <c r="BL584" s="1"/>
      <c r="BM584" s="1"/>
      <c r="BN584" s="1"/>
      <c r="BO584" s="1"/>
      <c r="BP584" s="1"/>
      <c r="BQ584" s="1"/>
      <c r="BR584" s="1"/>
      <c r="CD584" s="1"/>
      <c r="CE584" s="1"/>
      <c r="CF584" s="1"/>
      <c r="CG584" s="1"/>
      <c r="CH584" s="1"/>
      <c r="CI584" s="1"/>
      <c r="CK584" s="1"/>
      <c r="CM584" s="2"/>
      <c r="CN584" s="1"/>
      <c r="CO584" s="1"/>
      <c r="CP584" s="1"/>
      <c r="CQ584" s="1"/>
      <c r="CX584" s="1"/>
      <c r="CY584" s="1"/>
      <c r="CZ584" s="1"/>
      <c r="DA584" s="1"/>
      <c r="DB584" s="1"/>
      <c r="DC584" s="1"/>
      <c r="DD584" s="1"/>
      <c r="DE584" s="1"/>
      <c r="DF584" s="1"/>
      <c r="DG584" s="1"/>
      <c r="DH584" s="1"/>
      <c r="DI584" s="1"/>
      <c r="DJ584" s="1"/>
      <c r="DK584" s="1"/>
      <c r="ED584" s="1"/>
      <c r="EK584" s="1"/>
      <c r="EL584" s="1"/>
      <c r="EM584" s="1"/>
      <c r="EN584" s="1"/>
      <c r="EQ584" s="1"/>
      <c r="ER584" s="1"/>
      <c r="ES584" s="1"/>
      <c r="EV584" s="1"/>
      <c r="EW584" s="1"/>
      <c r="EX584" s="1"/>
      <c r="EZ584" s="1"/>
      <c r="FA584" s="1"/>
      <c r="FD584" s="1"/>
      <c r="FE584" s="1"/>
      <c r="FF584" s="1"/>
      <c r="FG584" s="1"/>
      <c r="FH584" s="1"/>
      <c r="FI584" s="1"/>
      <c r="FJ584" s="1"/>
      <c r="FK584" s="1"/>
      <c r="FM584" s="1"/>
      <c r="FN584" s="1"/>
      <c r="FO584" s="1"/>
      <c r="FP584" s="1"/>
      <c r="FQ584" s="1"/>
      <c r="FR584" s="1"/>
      <c r="FS584" s="1"/>
      <c r="FT584" s="1"/>
      <c r="FU584" s="1"/>
      <c r="FV584" s="1"/>
      <c r="FW584" s="1"/>
      <c r="FX584" s="1"/>
      <c r="FY584" s="1"/>
      <c r="FZ584" s="1"/>
      <c r="GA584" s="1"/>
      <c r="GB584" s="1"/>
      <c r="GD584" s="1"/>
      <c r="GE584" s="1"/>
      <c r="GF584" s="1"/>
      <c r="GG584" s="1"/>
      <c r="GH584" s="1"/>
      <c r="GI584" s="1"/>
      <c r="GJ584" s="1"/>
      <c r="GK584" s="1"/>
      <c r="GL584" s="1"/>
      <c r="GM584" s="1"/>
      <c r="GN584" s="1"/>
      <c r="GP584" s="1"/>
      <c r="GR584" s="1"/>
      <c r="GS584" s="1"/>
      <c r="GY584" s="1"/>
      <c r="HF584" s="1"/>
      <c r="HH584" s="1"/>
      <c r="HL584" s="1"/>
      <c r="HN584" s="1"/>
      <c r="HT584" s="1"/>
      <c r="HY584" s="1"/>
      <c r="IC584" s="1"/>
      <c r="ID584" s="1"/>
      <c r="IE584" s="1"/>
      <c r="IG584" s="1"/>
      <c r="IR584" s="1"/>
      <c r="IS584" s="1"/>
      <c r="IY584" s="1"/>
      <c r="IZ584" s="1"/>
      <c r="JC584" s="1"/>
      <c r="JF584" s="1"/>
      <c r="JG584" s="1"/>
      <c r="JH584" s="1"/>
      <c r="JJ584" s="1"/>
      <c r="JK584" s="1"/>
      <c r="JL584" s="3"/>
      <c r="JM584" s="1"/>
      <c r="JN584" s="1"/>
      <c r="JP584" s="1"/>
      <c r="JQ584" s="1"/>
      <c r="JR584" s="1"/>
      <c r="JU584" s="1"/>
      <c r="KU584" s="1"/>
      <c r="KY584" s="1"/>
      <c r="KZ584" s="1"/>
      <c r="LA584" s="1"/>
      <c r="LB584" s="1"/>
      <c r="LC584" s="1"/>
      <c r="LD584" s="1"/>
      <c r="LO584" s="1"/>
      <c r="LP584" s="1"/>
      <c r="LQ584" s="1"/>
      <c r="LZ584" s="1"/>
      <c r="MA584" s="1"/>
    </row>
    <row r="585" spans="4:339" ht="13" x14ac:dyDescent="0.15">
      <c r="D585" s="12"/>
      <c r="E585" s="12"/>
      <c r="I585" s="12"/>
      <c r="J585" s="13"/>
      <c r="BF585" s="1"/>
      <c r="BG585" s="1"/>
      <c r="BH585" s="1"/>
      <c r="BI585" s="1"/>
      <c r="BJ585" s="1"/>
      <c r="BK585" s="1"/>
      <c r="BL585" s="1"/>
      <c r="BM585" s="1"/>
      <c r="BN585" s="1"/>
      <c r="BO585" s="1"/>
      <c r="BP585" s="1"/>
      <c r="BQ585" s="1"/>
      <c r="BR585" s="1"/>
      <c r="CD585" s="1"/>
      <c r="CE585" s="1"/>
      <c r="CF585" s="1"/>
      <c r="CG585" s="1"/>
      <c r="CH585" s="1"/>
      <c r="CI585" s="1"/>
      <c r="CK585" s="1"/>
      <c r="CM585" s="2"/>
      <c r="CN585" s="1"/>
      <c r="CO585" s="1"/>
      <c r="CP585" s="1"/>
      <c r="CQ585" s="1"/>
      <c r="CX585" s="1"/>
      <c r="CY585" s="1"/>
      <c r="CZ585" s="1"/>
      <c r="DA585" s="1"/>
      <c r="DB585" s="1"/>
      <c r="DC585" s="1"/>
      <c r="DD585" s="1"/>
      <c r="DE585" s="1"/>
      <c r="DF585" s="1"/>
      <c r="DG585" s="1"/>
      <c r="DH585" s="1"/>
      <c r="DI585" s="1"/>
      <c r="DJ585" s="1"/>
      <c r="DK585" s="1"/>
      <c r="ED585" s="1"/>
      <c r="EK585" s="1"/>
      <c r="EL585" s="1"/>
      <c r="EM585" s="1"/>
      <c r="EN585" s="1"/>
      <c r="EQ585" s="1"/>
      <c r="ER585" s="1"/>
      <c r="ES585" s="1"/>
      <c r="EV585" s="1"/>
      <c r="EW585" s="1"/>
      <c r="EX585" s="1"/>
      <c r="EZ585" s="1"/>
      <c r="FA585" s="1"/>
      <c r="FD585" s="1"/>
      <c r="FE585" s="1"/>
      <c r="FF585" s="1"/>
      <c r="FG585" s="1"/>
      <c r="FH585" s="1"/>
      <c r="FI585" s="1"/>
      <c r="FJ585" s="1"/>
      <c r="FK585" s="1"/>
      <c r="FM585" s="1"/>
      <c r="FN585" s="1"/>
      <c r="FO585" s="1"/>
      <c r="FP585" s="1"/>
      <c r="FQ585" s="1"/>
      <c r="FR585" s="1"/>
      <c r="FS585" s="1"/>
      <c r="FT585" s="1"/>
      <c r="FU585" s="1"/>
      <c r="FV585" s="1"/>
      <c r="FW585" s="1"/>
      <c r="FX585" s="1"/>
      <c r="FY585" s="1"/>
      <c r="FZ585" s="1"/>
      <c r="GA585" s="1"/>
      <c r="GB585" s="1"/>
      <c r="GD585" s="1"/>
      <c r="GE585" s="1"/>
      <c r="GF585" s="1"/>
      <c r="GG585" s="1"/>
      <c r="GH585" s="1"/>
      <c r="GI585" s="1"/>
      <c r="GJ585" s="1"/>
      <c r="GK585" s="1"/>
      <c r="GL585" s="1"/>
      <c r="GM585" s="1"/>
      <c r="GN585" s="1"/>
      <c r="GP585" s="1"/>
      <c r="GR585" s="1"/>
      <c r="GS585" s="1"/>
      <c r="GY585" s="1"/>
      <c r="HF585" s="1"/>
      <c r="HH585" s="1"/>
      <c r="HL585" s="1"/>
      <c r="HN585" s="1"/>
      <c r="HT585" s="1"/>
      <c r="HY585" s="1"/>
      <c r="IC585" s="1"/>
      <c r="ID585" s="1"/>
      <c r="IE585" s="1"/>
      <c r="IG585" s="1"/>
      <c r="IR585" s="1"/>
      <c r="IS585" s="1"/>
      <c r="IY585" s="1"/>
      <c r="IZ585" s="1"/>
      <c r="JC585" s="1"/>
      <c r="JF585" s="1"/>
      <c r="JG585" s="1"/>
      <c r="JH585" s="1"/>
      <c r="JJ585" s="1"/>
      <c r="JK585" s="1"/>
      <c r="JL585" s="3"/>
      <c r="JM585" s="1"/>
      <c r="JN585" s="1"/>
      <c r="JP585" s="1"/>
      <c r="JQ585" s="1"/>
      <c r="JR585" s="1"/>
      <c r="JU585" s="1"/>
      <c r="KU585" s="1"/>
      <c r="KY585" s="1"/>
      <c r="KZ585" s="1"/>
      <c r="LA585" s="1"/>
      <c r="LB585" s="1"/>
      <c r="LC585" s="1"/>
      <c r="LD585" s="1"/>
      <c r="LO585" s="1"/>
      <c r="LP585" s="1"/>
      <c r="LQ585" s="1"/>
      <c r="LZ585" s="1"/>
      <c r="MA585" s="1"/>
    </row>
    <row r="586" spans="4:339" ht="13" x14ac:dyDescent="0.15">
      <c r="D586" s="12"/>
      <c r="E586" s="12"/>
      <c r="I586" s="12"/>
      <c r="J586" s="13"/>
      <c r="BF586" s="1"/>
      <c r="BG586" s="1"/>
      <c r="BH586" s="1"/>
      <c r="BI586" s="1"/>
      <c r="BJ586" s="1"/>
      <c r="BK586" s="1"/>
      <c r="BL586" s="1"/>
      <c r="BM586" s="1"/>
      <c r="BN586" s="1"/>
      <c r="BO586" s="1"/>
      <c r="BP586" s="1"/>
      <c r="BQ586" s="1"/>
      <c r="BR586" s="1"/>
      <c r="CD586" s="1"/>
      <c r="CE586" s="1"/>
      <c r="CF586" s="1"/>
      <c r="CG586" s="1"/>
      <c r="CH586" s="1"/>
      <c r="CI586" s="1"/>
      <c r="CK586" s="1"/>
      <c r="CM586" s="2"/>
      <c r="CN586" s="1"/>
      <c r="CO586" s="1"/>
      <c r="CP586" s="1"/>
      <c r="CQ586" s="1"/>
      <c r="CX586" s="1"/>
      <c r="CY586" s="1"/>
      <c r="CZ586" s="1"/>
      <c r="DA586" s="1"/>
      <c r="DB586" s="1"/>
      <c r="DC586" s="1"/>
      <c r="DD586" s="1"/>
      <c r="DE586" s="1"/>
      <c r="DF586" s="1"/>
      <c r="DG586" s="1"/>
      <c r="DH586" s="1"/>
      <c r="DI586" s="1"/>
      <c r="DJ586" s="1"/>
      <c r="DK586" s="1"/>
      <c r="ED586" s="1"/>
      <c r="EK586" s="1"/>
      <c r="EL586" s="1"/>
      <c r="EM586" s="1"/>
      <c r="EN586" s="1"/>
      <c r="EQ586" s="1"/>
      <c r="ER586" s="1"/>
      <c r="ES586" s="1"/>
      <c r="EV586" s="1"/>
      <c r="EW586" s="1"/>
      <c r="EX586" s="1"/>
      <c r="EZ586" s="1"/>
      <c r="FA586" s="1"/>
      <c r="FD586" s="1"/>
      <c r="FE586" s="1"/>
      <c r="FF586" s="1"/>
      <c r="FG586" s="1"/>
      <c r="FH586" s="1"/>
      <c r="FI586" s="1"/>
      <c r="FJ586" s="1"/>
      <c r="FK586" s="1"/>
      <c r="FM586" s="1"/>
      <c r="FN586" s="1"/>
      <c r="FO586" s="1"/>
      <c r="FP586" s="1"/>
      <c r="FQ586" s="1"/>
      <c r="FR586" s="1"/>
      <c r="FS586" s="1"/>
      <c r="FT586" s="1"/>
      <c r="FU586" s="1"/>
      <c r="FV586" s="1"/>
      <c r="FW586" s="1"/>
      <c r="FX586" s="1"/>
      <c r="FY586" s="1"/>
      <c r="FZ586" s="1"/>
      <c r="GA586" s="1"/>
      <c r="GB586" s="1"/>
      <c r="GD586" s="1"/>
      <c r="GE586" s="1"/>
      <c r="GF586" s="1"/>
      <c r="GG586" s="1"/>
      <c r="GH586" s="1"/>
      <c r="GI586" s="1"/>
      <c r="GJ586" s="1"/>
      <c r="GK586" s="1"/>
      <c r="GL586" s="1"/>
      <c r="GM586" s="1"/>
      <c r="GN586" s="1"/>
      <c r="GP586" s="1"/>
      <c r="GR586" s="1"/>
      <c r="GS586" s="1"/>
      <c r="GY586" s="1"/>
      <c r="HF586" s="1"/>
      <c r="HH586" s="1"/>
      <c r="HL586" s="1"/>
      <c r="HN586" s="1"/>
      <c r="HT586" s="1"/>
      <c r="HY586" s="1"/>
      <c r="IC586" s="1"/>
      <c r="ID586" s="1"/>
      <c r="IE586" s="1"/>
      <c r="IG586" s="1"/>
      <c r="IR586" s="1"/>
      <c r="IS586" s="1"/>
      <c r="IY586" s="1"/>
      <c r="IZ586" s="1"/>
      <c r="JC586" s="1"/>
      <c r="JF586" s="1"/>
      <c r="JG586" s="1"/>
      <c r="JH586" s="1"/>
      <c r="JJ586" s="1"/>
      <c r="JK586" s="1"/>
      <c r="JL586" s="3"/>
      <c r="JM586" s="1"/>
      <c r="JN586" s="1"/>
      <c r="JP586" s="1"/>
      <c r="JQ586" s="1"/>
      <c r="JR586" s="1"/>
      <c r="JU586" s="1"/>
      <c r="KU586" s="1"/>
      <c r="KY586" s="1"/>
      <c r="KZ586" s="1"/>
      <c r="LA586" s="1"/>
      <c r="LB586" s="1"/>
      <c r="LC586" s="1"/>
      <c r="LD586" s="1"/>
      <c r="LO586" s="1"/>
      <c r="LP586" s="1"/>
      <c r="LQ586" s="1"/>
      <c r="LZ586" s="1"/>
      <c r="MA586" s="1"/>
    </row>
    <row r="587" spans="4:339" ht="13" x14ac:dyDescent="0.15">
      <c r="D587" s="12"/>
      <c r="E587" s="12"/>
      <c r="I587" s="12"/>
      <c r="J587" s="13"/>
      <c r="BF587" s="1"/>
      <c r="BG587" s="1"/>
      <c r="BH587" s="1"/>
      <c r="BI587" s="1"/>
      <c r="BJ587" s="1"/>
      <c r="BK587" s="1"/>
      <c r="BL587" s="1"/>
      <c r="BM587" s="1"/>
      <c r="BN587" s="1"/>
      <c r="BO587" s="1"/>
      <c r="BP587" s="1"/>
      <c r="BQ587" s="1"/>
      <c r="BR587" s="1"/>
      <c r="CD587" s="1"/>
      <c r="CE587" s="1"/>
      <c r="CF587" s="1"/>
      <c r="CG587" s="1"/>
      <c r="CH587" s="1"/>
      <c r="CI587" s="1"/>
      <c r="CK587" s="1"/>
      <c r="CM587" s="2"/>
      <c r="CN587" s="1"/>
      <c r="CO587" s="1"/>
      <c r="CP587" s="1"/>
      <c r="CQ587" s="1"/>
      <c r="CX587" s="1"/>
      <c r="CY587" s="1"/>
      <c r="CZ587" s="1"/>
      <c r="DA587" s="1"/>
      <c r="DB587" s="1"/>
      <c r="DC587" s="1"/>
      <c r="DD587" s="1"/>
      <c r="DE587" s="1"/>
      <c r="DF587" s="1"/>
      <c r="DG587" s="1"/>
      <c r="DH587" s="1"/>
      <c r="DI587" s="1"/>
      <c r="DJ587" s="1"/>
      <c r="DK587" s="1"/>
      <c r="ED587" s="1"/>
      <c r="EK587" s="1"/>
      <c r="EL587" s="1"/>
      <c r="EM587" s="1"/>
      <c r="EN587" s="1"/>
      <c r="EQ587" s="1"/>
      <c r="ER587" s="1"/>
      <c r="ES587" s="1"/>
      <c r="EV587" s="1"/>
      <c r="EW587" s="1"/>
      <c r="EX587" s="1"/>
      <c r="EZ587" s="1"/>
      <c r="FA587" s="1"/>
      <c r="FD587" s="1"/>
      <c r="FE587" s="1"/>
      <c r="FF587" s="1"/>
      <c r="FG587" s="1"/>
      <c r="FH587" s="1"/>
      <c r="FI587" s="1"/>
      <c r="FJ587" s="1"/>
      <c r="FK587" s="1"/>
      <c r="FM587" s="1"/>
      <c r="FN587" s="1"/>
      <c r="FO587" s="1"/>
      <c r="FP587" s="1"/>
      <c r="FQ587" s="1"/>
      <c r="FR587" s="1"/>
      <c r="FS587" s="1"/>
      <c r="FT587" s="1"/>
      <c r="FU587" s="1"/>
      <c r="FV587" s="1"/>
      <c r="FW587" s="1"/>
      <c r="FX587" s="1"/>
      <c r="FY587" s="1"/>
      <c r="FZ587" s="1"/>
      <c r="GA587" s="1"/>
      <c r="GB587" s="1"/>
      <c r="GD587" s="1"/>
      <c r="GE587" s="1"/>
      <c r="GF587" s="1"/>
      <c r="GG587" s="1"/>
      <c r="GH587" s="1"/>
      <c r="GI587" s="1"/>
      <c r="GJ587" s="1"/>
      <c r="GK587" s="1"/>
      <c r="GL587" s="1"/>
      <c r="GM587" s="1"/>
      <c r="GN587" s="1"/>
      <c r="GP587" s="1"/>
      <c r="GR587" s="1"/>
      <c r="GS587" s="1"/>
      <c r="GY587" s="1"/>
      <c r="HF587" s="1"/>
      <c r="HH587" s="1"/>
      <c r="HL587" s="1"/>
      <c r="HN587" s="1"/>
      <c r="HT587" s="1"/>
      <c r="HY587" s="1"/>
      <c r="IC587" s="1"/>
      <c r="ID587" s="1"/>
      <c r="IE587" s="1"/>
      <c r="IG587" s="1"/>
      <c r="IR587" s="1"/>
      <c r="IS587" s="1"/>
      <c r="IY587" s="1"/>
      <c r="IZ587" s="1"/>
      <c r="JC587" s="1"/>
      <c r="JF587" s="1"/>
      <c r="JG587" s="1"/>
      <c r="JH587" s="1"/>
      <c r="JJ587" s="1"/>
      <c r="JK587" s="1"/>
      <c r="JL587" s="3"/>
      <c r="JM587" s="1"/>
      <c r="JN587" s="1"/>
      <c r="JP587" s="1"/>
      <c r="JQ587" s="1"/>
      <c r="JR587" s="1"/>
      <c r="JU587" s="1"/>
      <c r="KU587" s="1"/>
      <c r="KY587" s="1"/>
      <c r="KZ587" s="1"/>
      <c r="LA587" s="1"/>
      <c r="LB587" s="1"/>
      <c r="LC587" s="1"/>
      <c r="LD587" s="1"/>
      <c r="LO587" s="1"/>
      <c r="LP587" s="1"/>
      <c r="LQ587" s="1"/>
      <c r="LZ587" s="1"/>
      <c r="MA587" s="1"/>
    </row>
    <row r="588" spans="4:339" ht="13" x14ac:dyDescent="0.15">
      <c r="D588" s="12"/>
      <c r="E588" s="12"/>
      <c r="I588" s="12"/>
      <c r="J588" s="13"/>
      <c r="BF588" s="1"/>
      <c r="BG588" s="1"/>
      <c r="BH588" s="1"/>
      <c r="BI588" s="1"/>
      <c r="BJ588" s="1"/>
      <c r="BK588" s="1"/>
      <c r="BL588" s="1"/>
      <c r="BM588" s="1"/>
      <c r="BN588" s="1"/>
      <c r="BO588" s="1"/>
      <c r="BP588" s="1"/>
      <c r="BQ588" s="1"/>
      <c r="BR588" s="1"/>
      <c r="CD588" s="1"/>
      <c r="CE588" s="1"/>
      <c r="CF588" s="1"/>
      <c r="CG588" s="1"/>
      <c r="CH588" s="1"/>
      <c r="CI588" s="1"/>
      <c r="CK588" s="1"/>
      <c r="CM588" s="2"/>
      <c r="CN588" s="1"/>
      <c r="CO588" s="1"/>
      <c r="CP588" s="1"/>
      <c r="CQ588" s="1"/>
      <c r="CX588" s="1"/>
      <c r="CY588" s="1"/>
      <c r="CZ588" s="1"/>
      <c r="DA588" s="1"/>
      <c r="DB588" s="1"/>
      <c r="DC588" s="1"/>
      <c r="DD588" s="1"/>
      <c r="DE588" s="1"/>
      <c r="DF588" s="1"/>
      <c r="DG588" s="1"/>
      <c r="DH588" s="1"/>
      <c r="DI588" s="1"/>
      <c r="DJ588" s="1"/>
      <c r="DK588" s="1"/>
      <c r="ED588" s="1"/>
      <c r="EK588" s="1"/>
      <c r="EL588" s="1"/>
      <c r="EM588" s="1"/>
      <c r="EN588" s="1"/>
      <c r="EQ588" s="1"/>
      <c r="ER588" s="1"/>
      <c r="ES588" s="1"/>
      <c r="EV588" s="1"/>
      <c r="EW588" s="1"/>
      <c r="EX588" s="1"/>
      <c r="EZ588" s="1"/>
      <c r="FA588" s="1"/>
      <c r="FD588" s="1"/>
      <c r="FE588" s="1"/>
      <c r="FF588" s="1"/>
      <c r="FG588" s="1"/>
      <c r="FH588" s="1"/>
      <c r="FI588" s="1"/>
      <c r="FJ588" s="1"/>
      <c r="FK588" s="1"/>
      <c r="FM588" s="1"/>
      <c r="FN588" s="1"/>
      <c r="FO588" s="1"/>
      <c r="FP588" s="1"/>
      <c r="FQ588" s="1"/>
      <c r="FR588" s="1"/>
      <c r="FS588" s="1"/>
      <c r="FT588" s="1"/>
      <c r="FU588" s="1"/>
      <c r="FV588" s="1"/>
      <c r="FW588" s="1"/>
      <c r="FX588" s="1"/>
      <c r="FY588" s="1"/>
      <c r="FZ588" s="1"/>
      <c r="GA588" s="1"/>
      <c r="GB588" s="1"/>
      <c r="GD588" s="1"/>
      <c r="GE588" s="1"/>
      <c r="GF588" s="1"/>
      <c r="GG588" s="1"/>
      <c r="GH588" s="1"/>
      <c r="GI588" s="1"/>
      <c r="GJ588" s="1"/>
      <c r="GK588" s="1"/>
      <c r="GL588" s="1"/>
      <c r="GM588" s="1"/>
      <c r="GN588" s="1"/>
      <c r="GP588" s="1"/>
      <c r="GR588" s="1"/>
      <c r="GS588" s="1"/>
      <c r="GY588" s="1"/>
      <c r="HF588" s="1"/>
      <c r="HH588" s="1"/>
      <c r="HL588" s="1"/>
      <c r="HN588" s="1"/>
      <c r="HT588" s="1"/>
      <c r="HY588" s="1"/>
      <c r="IC588" s="1"/>
      <c r="ID588" s="1"/>
      <c r="IE588" s="1"/>
      <c r="IG588" s="1"/>
      <c r="IR588" s="1"/>
      <c r="IS588" s="1"/>
      <c r="IY588" s="1"/>
      <c r="IZ588" s="1"/>
      <c r="JC588" s="1"/>
      <c r="JF588" s="1"/>
      <c r="JG588" s="1"/>
      <c r="JH588" s="1"/>
      <c r="JJ588" s="1"/>
      <c r="JK588" s="1"/>
      <c r="JL588" s="3"/>
      <c r="JM588" s="1"/>
      <c r="JN588" s="1"/>
      <c r="JP588" s="1"/>
      <c r="JQ588" s="1"/>
      <c r="JR588" s="1"/>
      <c r="JU588" s="1"/>
      <c r="KU588" s="1"/>
      <c r="KY588" s="1"/>
      <c r="KZ588" s="1"/>
      <c r="LA588" s="1"/>
      <c r="LB588" s="1"/>
      <c r="LC588" s="1"/>
      <c r="LD588" s="1"/>
      <c r="LO588" s="1"/>
      <c r="LP588" s="1"/>
      <c r="LQ588" s="1"/>
      <c r="LZ588" s="1"/>
      <c r="MA588" s="1"/>
    </row>
    <row r="589" spans="4:339" ht="13" x14ac:dyDescent="0.15">
      <c r="D589" s="12"/>
      <c r="E589" s="12"/>
      <c r="I589" s="12"/>
      <c r="J589" s="13"/>
      <c r="BF589" s="1"/>
      <c r="BG589" s="1"/>
      <c r="BH589" s="1"/>
      <c r="BI589" s="1"/>
      <c r="BJ589" s="1"/>
      <c r="BK589" s="1"/>
      <c r="BL589" s="1"/>
      <c r="BM589" s="1"/>
      <c r="BN589" s="1"/>
      <c r="BO589" s="1"/>
      <c r="BP589" s="1"/>
      <c r="BQ589" s="1"/>
      <c r="BR589" s="1"/>
      <c r="CD589" s="1"/>
      <c r="CE589" s="1"/>
      <c r="CF589" s="1"/>
      <c r="CG589" s="1"/>
      <c r="CH589" s="1"/>
      <c r="CI589" s="1"/>
      <c r="CK589" s="1"/>
      <c r="CM589" s="2"/>
      <c r="CN589" s="1"/>
      <c r="CO589" s="1"/>
      <c r="CP589" s="1"/>
      <c r="CQ589" s="1"/>
      <c r="CX589" s="1"/>
      <c r="CY589" s="1"/>
      <c r="CZ589" s="1"/>
      <c r="DA589" s="1"/>
      <c r="DB589" s="1"/>
      <c r="DC589" s="1"/>
      <c r="DD589" s="1"/>
      <c r="DE589" s="1"/>
      <c r="DF589" s="1"/>
      <c r="DG589" s="1"/>
      <c r="DH589" s="1"/>
      <c r="DI589" s="1"/>
      <c r="DJ589" s="1"/>
      <c r="DK589" s="1"/>
      <c r="ED589" s="1"/>
      <c r="EK589" s="1"/>
      <c r="EL589" s="1"/>
      <c r="EM589" s="1"/>
      <c r="EN589" s="1"/>
      <c r="EQ589" s="1"/>
      <c r="ER589" s="1"/>
      <c r="ES589" s="1"/>
      <c r="EV589" s="1"/>
      <c r="EW589" s="1"/>
      <c r="EX589" s="1"/>
      <c r="EZ589" s="1"/>
      <c r="FA589" s="1"/>
      <c r="FD589" s="1"/>
      <c r="FE589" s="1"/>
      <c r="FF589" s="1"/>
      <c r="FG589" s="1"/>
      <c r="FH589" s="1"/>
      <c r="FI589" s="1"/>
      <c r="FJ589" s="1"/>
      <c r="FK589" s="1"/>
      <c r="FM589" s="1"/>
      <c r="FN589" s="1"/>
      <c r="FO589" s="1"/>
      <c r="FP589" s="1"/>
      <c r="FQ589" s="1"/>
      <c r="FR589" s="1"/>
      <c r="FS589" s="1"/>
      <c r="FT589" s="1"/>
      <c r="FU589" s="1"/>
      <c r="FV589" s="1"/>
      <c r="FW589" s="1"/>
      <c r="FX589" s="1"/>
      <c r="FY589" s="1"/>
      <c r="FZ589" s="1"/>
      <c r="GA589" s="1"/>
      <c r="GB589" s="1"/>
      <c r="GD589" s="1"/>
      <c r="GE589" s="1"/>
      <c r="GF589" s="1"/>
      <c r="GG589" s="1"/>
      <c r="GH589" s="1"/>
      <c r="GI589" s="1"/>
      <c r="GJ589" s="1"/>
      <c r="GK589" s="1"/>
      <c r="GL589" s="1"/>
      <c r="GM589" s="1"/>
      <c r="GN589" s="1"/>
      <c r="GP589" s="1"/>
      <c r="GR589" s="1"/>
      <c r="GS589" s="1"/>
      <c r="GY589" s="1"/>
      <c r="HF589" s="1"/>
      <c r="HH589" s="1"/>
      <c r="HL589" s="1"/>
      <c r="HN589" s="1"/>
      <c r="HT589" s="1"/>
      <c r="HY589" s="1"/>
      <c r="IC589" s="1"/>
      <c r="ID589" s="1"/>
      <c r="IE589" s="1"/>
      <c r="IG589" s="1"/>
      <c r="IR589" s="1"/>
      <c r="IS589" s="1"/>
      <c r="IY589" s="1"/>
      <c r="IZ589" s="1"/>
      <c r="JC589" s="1"/>
      <c r="JF589" s="1"/>
      <c r="JG589" s="1"/>
      <c r="JH589" s="1"/>
      <c r="JJ589" s="1"/>
      <c r="JK589" s="1"/>
      <c r="JL589" s="3"/>
      <c r="JM589" s="1"/>
      <c r="JN589" s="1"/>
      <c r="JP589" s="1"/>
      <c r="JQ589" s="1"/>
      <c r="JR589" s="1"/>
      <c r="JU589" s="1"/>
      <c r="KU589" s="1"/>
      <c r="KY589" s="1"/>
      <c r="KZ589" s="1"/>
      <c r="LA589" s="1"/>
      <c r="LB589" s="1"/>
      <c r="LC589" s="1"/>
      <c r="LD589" s="1"/>
      <c r="LO589" s="1"/>
      <c r="LP589" s="1"/>
      <c r="LQ589" s="1"/>
      <c r="LZ589" s="1"/>
      <c r="MA589" s="1"/>
    </row>
    <row r="590" spans="4:339" ht="13" x14ac:dyDescent="0.15">
      <c r="D590" s="12"/>
      <c r="E590" s="12"/>
      <c r="I590" s="12"/>
      <c r="J590" s="13"/>
      <c r="BF590" s="1"/>
      <c r="BG590" s="1"/>
      <c r="BH590" s="1"/>
      <c r="BI590" s="1"/>
      <c r="BJ590" s="1"/>
      <c r="BK590" s="1"/>
      <c r="BL590" s="1"/>
      <c r="BM590" s="1"/>
      <c r="BN590" s="1"/>
      <c r="BO590" s="1"/>
      <c r="BP590" s="1"/>
      <c r="BQ590" s="1"/>
      <c r="BR590" s="1"/>
      <c r="CD590" s="1"/>
      <c r="CE590" s="1"/>
      <c r="CF590" s="1"/>
      <c r="CG590" s="1"/>
      <c r="CH590" s="1"/>
      <c r="CI590" s="1"/>
      <c r="CK590" s="1"/>
      <c r="CM590" s="2"/>
      <c r="CN590" s="1"/>
      <c r="CO590" s="1"/>
      <c r="CP590" s="1"/>
      <c r="CQ590" s="1"/>
      <c r="CX590" s="1"/>
      <c r="CY590" s="1"/>
      <c r="CZ590" s="1"/>
      <c r="DA590" s="1"/>
      <c r="DB590" s="1"/>
      <c r="DC590" s="1"/>
      <c r="DD590" s="1"/>
      <c r="DE590" s="1"/>
      <c r="DF590" s="1"/>
      <c r="DG590" s="1"/>
      <c r="DH590" s="1"/>
      <c r="DI590" s="1"/>
      <c r="DJ590" s="1"/>
      <c r="DK590" s="1"/>
      <c r="ED590" s="1"/>
      <c r="EK590" s="1"/>
      <c r="EL590" s="1"/>
      <c r="EM590" s="1"/>
      <c r="EN590" s="1"/>
      <c r="EQ590" s="1"/>
      <c r="ER590" s="1"/>
      <c r="ES590" s="1"/>
      <c r="EV590" s="1"/>
      <c r="EW590" s="1"/>
      <c r="EX590" s="1"/>
      <c r="EZ590" s="1"/>
      <c r="FA590" s="1"/>
      <c r="FD590" s="1"/>
      <c r="FE590" s="1"/>
      <c r="FF590" s="1"/>
      <c r="FG590" s="1"/>
      <c r="FH590" s="1"/>
      <c r="FI590" s="1"/>
      <c r="FJ590" s="1"/>
      <c r="FK590" s="1"/>
      <c r="FM590" s="1"/>
      <c r="FN590" s="1"/>
      <c r="FO590" s="1"/>
      <c r="FP590" s="1"/>
      <c r="FQ590" s="1"/>
      <c r="FR590" s="1"/>
      <c r="FS590" s="1"/>
      <c r="FT590" s="1"/>
      <c r="FU590" s="1"/>
      <c r="FV590" s="1"/>
      <c r="FW590" s="1"/>
      <c r="FX590" s="1"/>
      <c r="FY590" s="1"/>
      <c r="FZ590" s="1"/>
      <c r="GA590" s="1"/>
      <c r="GB590" s="1"/>
      <c r="GD590" s="1"/>
      <c r="GE590" s="1"/>
      <c r="GF590" s="1"/>
      <c r="GG590" s="1"/>
      <c r="GH590" s="1"/>
      <c r="GI590" s="1"/>
      <c r="GJ590" s="1"/>
      <c r="GK590" s="1"/>
      <c r="GL590" s="1"/>
      <c r="GM590" s="1"/>
      <c r="GN590" s="1"/>
      <c r="GP590" s="1"/>
      <c r="GR590" s="1"/>
      <c r="GS590" s="1"/>
      <c r="GY590" s="1"/>
      <c r="HF590" s="1"/>
      <c r="HH590" s="1"/>
      <c r="HL590" s="1"/>
      <c r="HN590" s="1"/>
      <c r="HT590" s="1"/>
      <c r="HY590" s="1"/>
      <c r="IC590" s="1"/>
      <c r="ID590" s="1"/>
      <c r="IE590" s="1"/>
      <c r="IG590" s="1"/>
      <c r="IR590" s="1"/>
      <c r="IS590" s="1"/>
      <c r="IY590" s="1"/>
      <c r="IZ590" s="1"/>
      <c r="JC590" s="1"/>
      <c r="JF590" s="1"/>
      <c r="JG590" s="1"/>
      <c r="JH590" s="1"/>
      <c r="JJ590" s="1"/>
      <c r="JK590" s="1"/>
      <c r="JL590" s="3"/>
      <c r="JM590" s="1"/>
      <c r="JN590" s="1"/>
      <c r="JP590" s="1"/>
      <c r="JQ590" s="1"/>
      <c r="JR590" s="1"/>
      <c r="JU590" s="1"/>
      <c r="KU590" s="1"/>
      <c r="KY590" s="1"/>
      <c r="KZ590" s="1"/>
      <c r="LA590" s="1"/>
      <c r="LB590" s="1"/>
      <c r="LC590" s="1"/>
      <c r="LD590" s="1"/>
      <c r="LO590" s="1"/>
      <c r="LP590" s="1"/>
      <c r="LQ590" s="1"/>
      <c r="LZ590" s="1"/>
      <c r="MA590" s="1"/>
    </row>
    <row r="591" spans="4:339" ht="13" x14ac:dyDescent="0.15">
      <c r="D591" s="12"/>
      <c r="E591" s="12"/>
      <c r="I591" s="12"/>
      <c r="J591" s="13"/>
      <c r="BF591" s="1"/>
      <c r="BG591" s="1"/>
      <c r="BH591" s="1"/>
      <c r="BI591" s="1"/>
      <c r="BJ591" s="1"/>
      <c r="BK591" s="1"/>
      <c r="BL591" s="1"/>
      <c r="BM591" s="1"/>
      <c r="BN591" s="1"/>
      <c r="BO591" s="1"/>
      <c r="BP591" s="1"/>
      <c r="BQ591" s="1"/>
      <c r="BR591" s="1"/>
      <c r="CD591" s="1"/>
      <c r="CE591" s="1"/>
      <c r="CF591" s="1"/>
      <c r="CG591" s="1"/>
      <c r="CH591" s="1"/>
      <c r="CI591" s="1"/>
      <c r="CK591" s="1"/>
      <c r="CM591" s="2"/>
      <c r="CN591" s="1"/>
      <c r="CO591" s="1"/>
      <c r="CP591" s="1"/>
      <c r="CQ591" s="1"/>
      <c r="CX591" s="1"/>
      <c r="CY591" s="1"/>
      <c r="CZ591" s="1"/>
      <c r="DA591" s="1"/>
      <c r="DB591" s="1"/>
      <c r="DC591" s="1"/>
      <c r="DD591" s="1"/>
      <c r="DE591" s="1"/>
      <c r="DF591" s="1"/>
      <c r="DG591" s="1"/>
      <c r="DH591" s="1"/>
      <c r="DI591" s="1"/>
      <c r="DJ591" s="1"/>
      <c r="DK591" s="1"/>
      <c r="ED591" s="1"/>
      <c r="EK591" s="1"/>
      <c r="EL591" s="1"/>
      <c r="EM591" s="1"/>
      <c r="EN591" s="1"/>
      <c r="EQ591" s="1"/>
      <c r="ER591" s="1"/>
      <c r="ES591" s="1"/>
      <c r="EV591" s="1"/>
      <c r="EW591" s="1"/>
      <c r="EX591" s="1"/>
      <c r="EZ591" s="1"/>
      <c r="FA591" s="1"/>
      <c r="FD591" s="1"/>
      <c r="FE591" s="1"/>
      <c r="FF591" s="1"/>
      <c r="FG591" s="1"/>
      <c r="FH591" s="1"/>
      <c r="FI591" s="1"/>
      <c r="FJ591" s="1"/>
      <c r="FK591" s="1"/>
      <c r="FM591" s="1"/>
      <c r="FN591" s="1"/>
      <c r="FO591" s="1"/>
      <c r="FP591" s="1"/>
      <c r="FQ591" s="1"/>
      <c r="FR591" s="1"/>
      <c r="FS591" s="1"/>
      <c r="FT591" s="1"/>
      <c r="FU591" s="1"/>
      <c r="FV591" s="1"/>
      <c r="FW591" s="1"/>
      <c r="FX591" s="1"/>
      <c r="FY591" s="1"/>
      <c r="FZ591" s="1"/>
      <c r="GA591" s="1"/>
      <c r="GB591" s="1"/>
      <c r="GD591" s="1"/>
      <c r="GE591" s="1"/>
      <c r="GF591" s="1"/>
      <c r="GG591" s="1"/>
      <c r="GH591" s="1"/>
      <c r="GI591" s="1"/>
      <c r="GJ591" s="1"/>
      <c r="GK591" s="1"/>
      <c r="GL591" s="1"/>
      <c r="GM591" s="1"/>
      <c r="GN591" s="1"/>
      <c r="GP591" s="1"/>
      <c r="GR591" s="1"/>
      <c r="GS591" s="1"/>
      <c r="GY591" s="1"/>
      <c r="HF591" s="1"/>
      <c r="HH591" s="1"/>
      <c r="HL591" s="1"/>
      <c r="HN591" s="1"/>
      <c r="HT591" s="1"/>
      <c r="HY591" s="1"/>
      <c r="IC591" s="1"/>
      <c r="ID591" s="1"/>
      <c r="IE591" s="1"/>
      <c r="IG591" s="1"/>
      <c r="IR591" s="1"/>
      <c r="IS591" s="1"/>
      <c r="IY591" s="1"/>
      <c r="IZ591" s="1"/>
      <c r="JC591" s="1"/>
      <c r="JF591" s="1"/>
      <c r="JG591" s="1"/>
      <c r="JH591" s="1"/>
      <c r="JJ591" s="1"/>
      <c r="JK591" s="1"/>
      <c r="JL591" s="3"/>
      <c r="JM591" s="1"/>
      <c r="JN591" s="1"/>
      <c r="JP591" s="1"/>
      <c r="JQ591" s="1"/>
      <c r="JR591" s="1"/>
      <c r="JU591" s="1"/>
      <c r="KU591" s="1"/>
      <c r="KY591" s="1"/>
      <c r="KZ591" s="1"/>
      <c r="LA591" s="1"/>
      <c r="LB591" s="1"/>
      <c r="LC591" s="1"/>
      <c r="LD591" s="1"/>
      <c r="LO591" s="1"/>
      <c r="LP591" s="1"/>
      <c r="LQ591" s="1"/>
      <c r="LZ591" s="1"/>
      <c r="MA591" s="1"/>
    </row>
    <row r="592" spans="4:339" ht="13" x14ac:dyDescent="0.15">
      <c r="D592" s="12"/>
      <c r="E592" s="12"/>
      <c r="I592" s="12"/>
      <c r="J592" s="13"/>
      <c r="BF592" s="1"/>
      <c r="BG592" s="1"/>
      <c r="BH592" s="1"/>
      <c r="BI592" s="1"/>
      <c r="BJ592" s="1"/>
      <c r="BK592" s="1"/>
      <c r="BL592" s="1"/>
      <c r="BM592" s="1"/>
      <c r="BN592" s="1"/>
      <c r="BO592" s="1"/>
      <c r="BP592" s="1"/>
      <c r="BQ592" s="1"/>
      <c r="BR592" s="1"/>
      <c r="CD592" s="1"/>
      <c r="CE592" s="1"/>
      <c r="CF592" s="1"/>
      <c r="CG592" s="1"/>
      <c r="CH592" s="1"/>
      <c r="CI592" s="1"/>
      <c r="CK592" s="1"/>
      <c r="CM592" s="2"/>
      <c r="CN592" s="1"/>
      <c r="CO592" s="1"/>
      <c r="CP592" s="1"/>
      <c r="CQ592" s="1"/>
      <c r="CX592" s="1"/>
      <c r="CY592" s="1"/>
      <c r="CZ592" s="1"/>
      <c r="DA592" s="1"/>
      <c r="DB592" s="1"/>
      <c r="DC592" s="1"/>
      <c r="DD592" s="1"/>
      <c r="DE592" s="1"/>
      <c r="DF592" s="1"/>
      <c r="DG592" s="1"/>
      <c r="DH592" s="1"/>
      <c r="DI592" s="1"/>
      <c r="DJ592" s="1"/>
      <c r="DK592" s="1"/>
      <c r="ED592" s="1"/>
      <c r="EK592" s="1"/>
      <c r="EL592" s="1"/>
      <c r="EM592" s="1"/>
      <c r="EN592" s="1"/>
      <c r="EQ592" s="1"/>
      <c r="ER592" s="1"/>
      <c r="ES592" s="1"/>
      <c r="EV592" s="1"/>
      <c r="EW592" s="1"/>
      <c r="EX592" s="1"/>
      <c r="EZ592" s="1"/>
      <c r="FA592" s="1"/>
      <c r="FD592" s="1"/>
      <c r="FE592" s="1"/>
      <c r="FF592" s="1"/>
      <c r="FG592" s="1"/>
      <c r="FH592" s="1"/>
      <c r="FI592" s="1"/>
      <c r="FJ592" s="1"/>
      <c r="FK592" s="1"/>
      <c r="FM592" s="1"/>
      <c r="FN592" s="1"/>
      <c r="FO592" s="1"/>
      <c r="FP592" s="1"/>
      <c r="FQ592" s="1"/>
      <c r="FR592" s="1"/>
      <c r="FS592" s="1"/>
      <c r="FT592" s="1"/>
      <c r="FU592" s="1"/>
      <c r="FV592" s="1"/>
      <c r="FW592" s="1"/>
      <c r="FX592" s="1"/>
      <c r="FY592" s="1"/>
      <c r="FZ592" s="1"/>
      <c r="GA592" s="1"/>
      <c r="GB592" s="1"/>
      <c r="GD592" s="1"/>
      <c r="GE592" s="1"/>
      <c r="GF592" s="1"/>
      <c r="GG592" s="1"/>
      <c r="GH592" s="1"/>
      <c r="GI592" s="1"/>
      <c r="GJ592" s="1"/>
      <c r="GK592" s="1"/>
      <c r="GL592" s="1"/>
      <c r="GM592" s="1"/>
      <c r="GN592" s="1"/>
      <c r="GP592" s="1"/>
      <c r="GR592" s="1"/>
      <c r="GS592" s="1"/>
      <c r="GY592" s="1"/>
      <c r="HF592" s="1"/>
      <c r="HH592" s="1"/>
      <c r="HL592" s="1"/>
      <c r="HN592" s="1"/>
      <c r="HT592" s="1"/>
      <c r="HY592" s="1"/>
      <c r="IC592" s="1"/>
      <c r="ID592" s="1"/>
      <c r="IE592" s="1"/>
      <c r="IG592" s="1"/>
      <c r="IR592" s="1"/>
      <c r="IS592" s="1"/>
      <c r="IY592" s="1"/>
      <c r="IZ592" s="1"/>
      <c r="JC592" s="1"/>
      <c r="JF592" s="1"/>
      <c r="JG592" s="1"/>
      <c r="JH592" s="1"/>
      <c r="JJ592" s="1"/>
      <c r="JK592" s="1"/>
      <c r="JL592" s="3"/>
      <c r="JM592" s="1"/>
      <c r="JN592" s="1"/>
      <c r="JP592" s="1"/>
      <c r="JQ592" s="1"/>
      <c r="JR592" s="1"/>
      <c r="JU592" s="1"/>
      <c r="KU592" s="1"/>
      <c r="KY592" s="1"/>
      <c r="KZ592" s="1"/>
      <c r="LA592" s="1"/>
      <c r="LB592" s="1"/>
      <c r="LC592" s="1"/>
      <c r="LD592" s="1"/>
      <c r="LO592" s="1"/>
      <c r="LP592" s="1"/>
      <c r="LQ592" s="1"/>
      <c r="LZ592" s="1"/>
      <c r="MA592" s="1"/>
    </row>
    <row r="593" spans="4:339" ht="13" x14ac:dyDescent="0.15">
      <c r="D593" s="12"/>
      <c r="E593" s="12"/>
      <c r="I593" s="12"/>
      <c r="J593" s="13"/>
      <c r="BF593" s="1"/>
      <c r="BG593" s="1"/>
      <c r="BH593" s="1"/>
      <c r="BI593" s="1"/>
      <c r="BJ593" s="1"/>
      <c r="BK593" s="1"/>
      <c r="BL593" s="1"/>
      <c r="BM593" s="1"/>
      <c r="BN593" s="1"/>
      <c r="BO593" s="1"/>
      <c r="BP593" s="1"/>
      <c r="BQ593" s="1"/>
      <c r="BR593" s="1"/>
      <c r="CD593" s="1"/>
      <c r="CE593" s="1"/>
      <c r="CF593" s="1"/>
      <c r="CG593" s="1"/>
      <c r="CH593" s="1"/>
      <c r="CI593" s="1"/>
      <c r="CK593" s="1"/>
      <c r="CM593" s="2"/>
      <c r="CN593" s="1"/>
      <c r="CO593" s="1"/>
      <c r="CP593" s="1"/>
      <c r="CQ593" s="1"/>
      <c r="CX593" s="1"/>
      <c r="CY593" s="1"/>
      <c r="CZ593" s="1"/>
      <c r="DA593" s="1"/>
      <c r="DB593" s="1"/>
      <c r="DC593" s="1"/>
      <c r="DD593" s="1"/>
      <c r="DE593" s="1"/>
      <c r="DF593" s="1"/>
      <c r="DG593" s="1"/>
      <c r="DH593" s="1"/>
      <c r="DI593" s="1"/>
      <c r="DJ593" s="1"/>
      <c r="DK593" s="1"/>
      <c r="ED593" s="1"/>
      <c r="EK593" s="1"/>
      <c r="EL593" s="1"/>
      <c r="EM593" s="1"/>
      <c r="EN593" s="1"/>
      <c r="EQ593" s="1"/>
      <c r="ER593" s="1"/>
      <c r="ES593" s="1"/>
      <c r="EV593" s="1"/>
      <c r="EW593" s="1"/>
      <c r="EX593" s="1"/>
      <c r="EZ593" s="1"/>
      <c r="FA593" s="1"/>
      <c r="FD593" s="1"/>
      <c r="FE593" s="1"/>
      <c r="FF593" s="1"/>
      <c r="FG593" s="1"/>
      <c r="FH593" s="1"/>
      <c r="FI593" s="1"/>
      <c r="FJ593" s="1"/>
      <c r="FK593" s="1"/>
      <c r="FM593" s="1"/>
      <c r="FN593" s="1"/>
      <c r="FO593" s="1"/>
      <c r="FP593" s="1"/>
      <c r="FQ593" s="1"/>
      <c r="FR593" s="1"/>
      <c r="FS593" s="1"/>
      <c r="FT593" s="1"/>
      <c r="FU593" s="1"/>
      <c r="FV593" s="1"/>
      <c r="FW593" s="1"/>
      <c r="FX593" s="1"/>
      <c r="FY593" s="1"/>
      <c r="FZ593" s="1"/>
      <c r="GA593" s="1"/>
      <c r="GB593" s="1"/>
      <c r="GD593" s="1"/>
      <c r="GE593" s="1"/>
      <c r="GF593" s="1"/>
      <c r="GG593" s="1"/>
      <c r="GH593" s="1"/>
      <c r="GI593" s="1"/>
      <c r="GJ593" s="1"/>
      <c r="GK593" s="1"/>
      <c r="GL593" s="1"/>
      <c r="GM593" s="1"/>
      <c r="GN593" s="1"/>
      <c r="GP593" s="1"/>
      <c r="GR593" s="1"/>
      <c r="GS593" s="1"/>
      <c r="GY593" s="1"/>
      <c r="HF593" s="1"/>
      <c r="HH593" s="1"/>
      <c r="HL593" s="1"/>
      <c r="HN593" s="1"/>
      <c r="HT593" s="1"/>
      <c r="HY593" s="1"/>
      <c r="IC593" s="1"/>
      <c r="ID593" s="1"/>
      <c r="IE593" s="1"/>
      <c r="IG593" s="1"/>
      <c r="IR593" s="1"/>
      <c r="IS593" s="1"/>
      <c r="IY593" s="1"/>
      <c r="IZ593" s="1"/>
      <c r="JC593" s="1"/>
      <c r="JF593" s="1"/>
      <c r="JG593" s="1"/>
      <c r="JH593" s="1"/>
      <c r="JJ593" s="1"/>
      <c r="JK593" s="1"/>
      <c r="JL593" s="3"/>
      <c r="JM593" s="1"/>
      <c r="JN593" s="1"/>
      <c r="JP593" s="1"/>
      <c r="JQ593" s="1"/>
      <c r="JR593" s="1"/>
      <c r="JU593" s="1"/>
      <c r="KU593" s="1"/>
      <c r="KY593" s="1"/>
      <c r="KZ593" s="1"/>
      <c r="LA593" s="1"/>
      <c r="LB593" s="1"/>
      <c r="LC593" s="1"/>
      <c r="LD593" s="1"/>
      <c r="LO593" s="1"/>
      <c r="LP593" s="1"/>
      <c r="LQ593" s="1"/>
      <c r="LZ593" s="1"/>
      <c r="MA593" s="1"/>
    </row>
    <row r="594" spans="4:339" ht="13" x14ac:dyDescent="0.15">
      <c r="D594" s="12"/>
      <c r="E594" s="12"/>
      <c r="I594" s="12"/>
      <c r="J594" s="13"/>
      <c r="BF594" s="1"/>
      <c r="BG594" s="1"/>
      <c r="BH594" s="1"/>
      <c r="BI594" s="1"/>
      <c r="BJ594" s="1"/>
      <c r="BK594" s="1"/>
      <c r="BL594" s="1"/>
      <c r="BM594" s="1"/>
      <c r="BN594" s="1"/>
      <c r="BO594" s="1"/>
      <c r="BP594" s="1"/>
      <c r="BQ594" s="1"/>
      <c r="BR594" s="1"/>
      <c r="CD594" s="1"/>
      <c r="CE594" s="1"/>
      <c r="CF594" s="1"/>
      <c r="CG594" s="1"/>
      <c r="CH594" s="1"/>
      <c r="CI594" s="1"/>
      <c r="CK594" s="1"/>
      <c r="CM594" s="2"/>
      <c r="CN594" s="1"/>
      <c r="CO594" s="1"/>
      <c r="CP594" s="1"/>
      <c r="CQ594" s="1"/>
      <c r="CX594" s="1"/>
      <c r="CY594" s="1"/>
      <c r="CZ594" s="1"/>
      <c r="DA594" s="1"/>
      <c r="DB594" s="1"/>
      <c r="DC594" s="1"/>
      <c r="DD594" s="1"/>
      <c r="DE594" s="1"/>
      <c r="DF594" s="1"/>
      <c r="DG594" s="1"/>
      <c r="DH594" s="1"/>
      <c r="DI594" s="1"/>
      <c r="DJ594" s="1"/>
      <c r="DK594" s="1"/>
      <c r="ED594" s="1"/>
      <c r="EK594" s="1"/>
      <c r="EL594" s="1"/>
      <c r="EM594" s="1"/>
      <c r="EN594" s="1"/>
      <c r="EQ594" s="1"/>
      <c r="ER594" s="1"/>
      <c r="ES594" s="1"/>
      <c r="EV594" s="1"/>
      <c r="EW594" s="1"/>
      <c r="EX594" s="1"/>
      <c r="EZ594" s="1"/>
      <c r="FA594" s="1"/>
      <c r="FD594" s="1"/>
      <c r="FE594" s="1"/>
      <c r="FF594" s="1"/>
      <c r="FG594" s="1"/>
      <c r="FH594" s="1"/>
      <c r="FI594" s="1"/>
      <c r="FJ594" s="1"/>
      <c r="FK594" s="1"/>
      <c r="FM594" s="1"/>
      <c r="FN594" s="1"/>
      <c r="FO594" s="1"/>
      <c r="FP594" s="1"/>
      <c r="FQ594" s="1"/>
      <c r="FR594" s="1"/>
      <c r="FS594" s="1"/>
      <c r="FT594" s="1"/>
      <c r="FU594" s="1"/>
      <c r="FV594" s="1"/>
      <c r="FW594" s="1"/>
      <c r="FX594" s="1"/>
      <c r="FY594" s="1"/>
      <c r="FZ594" s="1"/>
      <c r="GA594" s="1"/>
      <c r="GB594" s="1"/>
      <c r="GD594" s="1"/>
      <c r="GE594" s="1"/>
      <c r="GF594" s="1"/>
      <c r="GG594" s="1"/>
      <c r="GH594" s="1"/>
      <c r="GI594" s="1"/>
      <c r="GJ594" s="1"/>
      <c r="GK594" s="1"/>
      <c r="GL594" s="1"/>
      <c r="GM594" s="1"/>
      <c r="GN594" s="1"/>
      <c r="GP594" s="1"/>
      <c r="GR594" s="1"/>
      <c r="GS594" s="1"/>
      <c r="GY594" s="1"/>
      <c r="HF594" s="1"/>
      <c r="HH594" s="1"/>
      <c r="HL594" s="1"/>
      <c r="HN594" s="1"/>
      <c r="HT594" s="1"/>
      <c r="HY594" s="1"/>
      <c r="IC594" s="1"/>
      <c r="ID594" s="1"/>
      <c r="IE594" s="1"/>
      <c r="IG594" s="1"/>
      <c r="IR594" s="1"/>
      <c r="IS594" s="1"/>
      <c r="IY594" s="1"/>
      <c r="IZ594" s="1"/>
      <c r="JC594" s="1"/>
      <c r="JF594" s="1"/>
      <c r="JG594" s="1"/>
      <c r="JH594" s="1"/>
      <c r="JJ594" s="1"/>
      <c r="JK594" s="1"/>
      <c r="JL594" s="3"/>
      <c r="JM594" s="1"/>
      <c r="JN594" s="1"/>
      <c r="JP594" s="1"/>
      <c r="JQ594" s="1"/>
      <c r="JR594" s="1"/>
      <c r="JU594" s="1"/>
      <c r="KU594" s="1"/>
      <c r="KY594" s="1"/>
      <c r="KZ594" s="1"/>
      <c r="LA594" s="1"/>
      <c r="LB594" s="1"/>
      <c r="LC594" s="1"/>
      <c r="LD594" s="1"/>
      <c r="LO594" s="1"/>
      <c r="LP594" s="1"/>
      <c r="LQ594" s="1"/>
      <c r="LZ594" s="1"/>
      <c r="MA594" s="1"/>
    </row>
    <row r="595" spans="4:339" ht="13" x14ac:dyDescent="0.15">
      <c r="D595" s="12"/>
      <c r="E595" s="12"/>
      <c r="I595" s="12"/>
      <c r="J595" s="13"/>
      <c r="BF595" s="1"/>
      <c r="BG595" s="1"/>
      <c r="BH595" s="1"/>
      <c r="BI595" s="1"/>
      <c r="BJ595" s="1"/>
      <c r="BK595" s="1"/>
      <c r="BL595" s="1"/>
      <c r="BM595" s="1"/>
      <c r="BN595" s="1"/>
      <c r="BO595" s="1"/>
      <c r="BP595" s="1"/>
      <c r="BQ595" s="1"/>
      <c r="BR595" s="1"/>
      <c r="CD595" s="1"/>
      <c r="CE595" s="1"/>
      <c r="CF595" s="1"/>
      <c r="CG595" s="1"/>
      <c r="CH595" s="1"/>
      <c r="CI595" s="1"/>
      <c r="CK595" s="1"/>
      <c r="CM595" s="2"/>
      <c r="CN595" s="1"/>
      <c r="CO595" s="1"/>
      <c r="CP595" s="1"/>
      <c r="CQ595" s="1"/>
      <c r="CX595" s="1"/>
      <c r="CY595" s="1"/>
      <c r="CZ595" s="1"/>
      <c r="DA595" s="1"/>
      <c r="DB595" s="1"/>
      <c r="DC595" s="1"/>
      <c r="DD595" s="1"/>
      <c r="DE595" s="1"/>
      <c r="DF595" s="1"/>
      <c r="DG595" s="1"/>
      <c r="DH595" s="1"/>
      <c r="DI595" s="1"/>
      <c r="DJ595" s="1"/>
      <c r="DK595" s="1"/>
      <c r="ED595" s="1"/>
      <c r="EK595" s="1"/>
      <c r="EL595" s="1"/>
      <c r="EM595" s="1"/>
      <c r="EN595" s="1"/>
      <c r="EQ595" s="1"/>
      <c r="ER595" s="1"/>
      <c r="ES595" s="1"/>
      <c r="EV595" s="1"/>
      <c r="EW595" s="1"/>
      <c r="EX595" s="1"/>
      <c r="EZ595" s="1"/>
      <c r="FA595" s="1"/>
      <c r="FD595" s="1"/>
      <c r="FE595" s="1"/>
      <c r="FF595" s="1"/>
      <c r="FG595" s="1"/>
      <c r="FH595" s="1"/>
      <c r="FI595" s="1"/>
      <c r="FJ595" s="1"/>
      <c r="FK595" s="1"/>
      <c r="FM595" s="1"/>
      <c r="FN595" s="1"/>
      <c r="FO595" s="1"/>
      <c r="FP595" s="1"/>
      <c r="FQ595" s="1"/>
      <c r="FR595" s="1"/>
      <c r="FS595" s="1"/>
      <c r="FT595" s="1"/>
      <c r="FU595" s="1"/>
      <c r="FV595" s="1"/>
      <c r="FW595" s="1"/>
      <c r="FX595" s="1"/>
      <c r="FY595" s="1"/>
      <c r="FZ595" s="1"/>
      <c r="GA595" s="1"/>
      <c r="GB595" s="1"/>
      <c r="GD595" s="1"/>
      <c r="GE595" s="1"/>
      <c r="GF595" s="1"/>
      <c r="GG595" s="1"/>
      <c r="GH595" s="1"/>
      <c r="GI595" s="1"/>
      <c r="GJ595" s="1"/>
      <c r="GK595" s="1"/>
      <c r="GL595" s="1"/>
      <c r="GM595" s="1"/>
      <c r="GN595" s="1"/>
      <c r="GP595" s="1"/>
      <c r="GR595" s="1"/>
      <c r="GS595" s="1"/>
      <c r="GY595" s="1"/>
      <c r="HF595" s="1"/>
      <c r="HH595" s="1"/>
      <c r="HL595" s="1"/>
      <c r="HN595" s="1"/>
      <c r="HT595" s="1"/>
      <c r="HY595" s="1"/>
      <c r="IC595" s="1"/>
      <c r="ID595" s="1"/>
      <c r="IE595" s="1"/>
      <c r="IG595" s="1"/>
      <c r="IR595" s="1"/>
      <c r="IS595" s="1"/>
      <c r="IY595" s="1"/>
      <c r="IZ595" s="1"/>
      <c r="JC595" s="1"/>
      <c r="JF595" s="1"/>
      <c r="JG595" s="1"/>
      <c r="JH595" s="1"/>
      <c r="JJ595" s="1"/>
      <c r="JK595" s="1"/>
      <c r="JL595" s="3"/>
      <c r="JM595" s="1"/>
      <c r="JN595" s="1"/>
      <c r="JP595" s="1"/>
      <c r="JQ595" s="1"/>
      <c r="JR595" s="1"/>
      <c r="JU595" s="1"/>
      <c r="KU595" s="1"/>
      <c r="KY595" s="1"/>
      <c r="KZ595" s="1"/>
      <c r="LA595" s="1"/>
      <c r="LB595" s="1"/>
      <c r="LC595" s="1"/>
      <c r="LD595" s="1"/>
      <c r="LO595" s="1"/>
      <c r="LP595" s="1"/>
      <c r="LQ595" s="1"/>
      <c r="LZ595" s="1"/>
      <c r="MA595" s="1"/>
    </row>
    <row r="596" spans="4:339" ht="13" x14ac:dyDescent="0.15">
      <c r="D596" s="12"/>
      <c r="E596" s="12"/>
      <c r="I596" s="12"/>
      <c r="J596" s="13"/>
      <c r="BF596" s="1"/>
      <c r="BG596" s="1"/>
      <c r="BH596" s="1"/>
      <c r="BI596" s="1"/>
      <c r="BJ596" s="1"/>
      <c r="BK596" s="1"/>
      <c r="BL596" s="1"/>
      <c r="BM596" s="1"/>
      <c r="BN596" s="1"/>
      <c r="BO596" s="1"/>
      <c r="BP596" s="1"/>
      <c r="BQ596" s="1"/>
      <c r="BR596" s="1"/>
      <c r="CD596" s="1"/>
      <c r="CE596" s="1"/>
      <c r="CF596" s="1"/>
      <c r="CG596" s="1"/>
      <c r="CH596" s="1"/>
      <c r="CI596" s="1"/>
      <c r="CK596" s="1"/>
      <c r="CM596" s="2"/>
      <c r="CN596" s="1"/>
      <c r="CO596" s="1"/>
      <c r="CP596" s="1"/>
      <c r="CQ596" s="1"/>
      <c r="CX596" s="1"/>
      <c r="CY596" s="1"/>
      <c r="CZ596" s="1"/>
      <c r="DA596" s="1"/>
      <c r="DB596" s="1"/>
      <c r="DC596" s="1"/>
      <c r="DD596" s="1"/>
      <c r="DE596" s="1"/>
      <c r="DF596" s="1"/>
      <c r="DG596" s="1"/>
      <c r="DH596" s="1"/>
      <c r="DI596" s="1"/>
      <c r="DJ596" s="1"/>
      <c r="DK596" s="1"/>
      <c r="ED596" s="1"/>
      <c r="EK596" s="1"/>
      <c r="EL596" s="1"/>
      <c r="EM596" s="1"/>
      <c r="EN596" s="1"/>
      <c r="EQ596" s="1"/>
      <c r="ER596" s="1"/>
      <c r="ES596" s="1"/>
      <c r="EV596" s="1"/>
      <c r="EW596" s="1"/>
      <c r="EX596" s="1"/>
      <c r="EZ596" s="1"/>
      <c r="FA596" s="1"/>
      <c r="FD596" s="1"/>
      <c r="FE596" s="1"/>
      <c r="FF596" s="1"/>
      <c r="FG596" s="1"/>
      <c r="FH596" s="1"/>
      <c r="FI596" s="1"/>
      <c r="FJ596" s="1"/>
      <c r="FK596" s="1"/>
      <c r="FM596" s="1"/>
      <c r="FN596" s="1"/>
      <c r="FO596" s="1"/>
      <c r="FP596" s="1"/>
      <c r="FQ596" s="1"/>
      <c r="FR596" s="1"/>
      <c r="FS596" s="1"/>
      <c r="FT596" s="1"/>
      <c r="FU596" s="1"/>
      <c r="FV596" s="1"/>
      <c r="FW596" s="1"/>
      <c r="FX596" s="1"/>
      <c r="FY596" s="1"/>
      <c r="FZ596" s="1"/>
      <c r="GA596" s="1"/>
      <c r="GB596" s="1"/>
      <c r="GD596" s="1"/>
      <c r="GE596" s="1"/>
      <c r="GF596" s="1"/>
      <c r="GG596" s="1"/>
      <c r="GH596" s="1"/>
      <c r="GI596" s="1"/>
      <c r="GJ596" s="1"/>
      <c r="GK596" s="1"/>
      <c r="GL596" s="1"/>
      <c r="GM596" s="1"/>
      <c r="GN596" s="1"/>
      <c r="GP596" s="1"/>
      <c r="GR596" s="1"/>
      <c r="GS596" s="1"/>
      <c r="GY596" s="1"/>
      <c r="HF596" s="1"/>
      <c r="HH596" s="1"/>
      <c r="HL596" s="1"/>
      <c r="HN596" s="1"/>
      <c r="HT596" s="1"/>
      <c r="HY596" s="1"/>
      <c r="IC596" s="1"/>
      <c r="ID596" s="1"/>
      <c r="IE596" s="1"/>
      <c r="IG596" s="1"/>
      <c r="IR596" s="1"/>
      <c r="IS596" s="1"/>
      <c r="IY596" s="1"/>
      <c r="IZ596" s="1"/>
      <c r="JC596" s="1"/>
      <c r="JF596" s="1"/>
      <c r="JG596" s="1"/>
      <c r="JH596" s="1"/>
      <c r="JJ596" s="1"/>
      <c r="JK596" s="1"/>
      <c r="JL596" s="3"/>
      <c r="JM596" s="1"/>
      <c r="JN596" s="1"/>
      <c r="JP596" s="1"/>
      <c r="JQ596" s="1"/>
      <c r="JR596" s="1"/>
      <c r="JU596" s="1"/>
      <c r="KU596" s="1"/>
      <c r="KY596" s="1"/>
      <c r="KZ596" s="1"/>
      <c r="LA596" s="1"/>
      <c r="LB596" s="1"/>
      <c r="LC596" s="1"/>
      <c r="LD596" s="1"/>
      <c r="LO596" s="1"/>
      <c r="LP596" s="1"/>
      <c r="LQ596" s="1"/>
      <c r="LZ596" s="1"/>
      <c r="MA596" s="1"/>
    </row>
    <row r="597" spans="4:339" ht="13" x14ac:dyDescent="0.15">
      <c r="D597" s="12"/>
      <c r="E597" s="12"/>
      <c r="I597" s="12"/>
      <c r="J597" s="13"/>
      <c r="BF597" s="1"/>
      <c r="BG597" s="1"/>
      <c r="BH597" s="1"/>
      <c r="BI597" s="1"/>
      <c r="BJ597" s="1"/>
      <c r="BK597" s="1"/>
      <c r="BL597" s="1"/>
      <c r="BM597" s="1"/>
      <c r="BN597" s="1"/>
      <c r="BO597" s="1"/>
      <c r="BP597" s="1"/>
      <c r="BQ597" s="1"/>
      <c r="BR597" s="1"/>
      <c r="CD597" s="1"/>
      <c r="CE597" s="1"/>
      <c r="CF597" s="1"/>
      <c r="CG597" s="1"/>
      <c r="CH597" s="1"/>
      <c r="CI597" s="1"/>
      <c r="CK597" s="1"/>
      <c r="CM597" s="2"/>
      <c r="CN597" s="1"/>
      <c r="CO597" s="1"/>
      <c r="CP597" s="1"/>
      <c r="CQ597" s="1"/>
      <c r="CX597" s="1"/>
      <c r="CY597" s="1"/>
      <c r="CZ597" s="1"/>
      <c r="DA597" s="1"/>
      <c r="DB597" s="1"/>
      <c r="DC597" s="1"/>
      <c r="DD597" s="1"/>
      <c r="DE597" s="1"/>
      <c r="DF597" s="1"/>
      <c r="DG597" s="1"/>
      <c r="DH597" s="1"/>
      <c r="DI597" s="1"/>
      <c r="DJ597" s="1"/>
      <c r="DK597" s="1"/>
      <c r="ED597" s="1"/>
      <c r="EK597" s="1"/>
      <c r="EL597" s="1"/>
      <c r="EM597" s="1"/>
      <c r="EN597" s="1"/>
      <c r="EQ597" s="1"/>
      <c r="ER597" s="1"/>
      <c r="ES597" s="1"/>
      <c r="EV597" s="1"/>
      <c r="EW597" s="1"/>
      <c r="EX597" s="1"/>
      <c r="EZ597" s="1"/>
      <c r="FA597" s="1"/>
      <c r="FD597" s="1"/>
      <c r="FE597" s="1"/>
      <c r="FF597" s="1"/>
      <c r="FG597" s="1"/>
      <c r="FH597" s="1"/>
      <c r="FI597" s="1"/>
      <c r="FJ597" s="1"/>
      <c r="FK597" s="1"/>
      <c r="FM597" s="1"/>
      <c r="FN597" s="1"/>
      <c r="FO597" s="1"/>
      <c r="FP597" s="1"/>
      <c r="FQ597" s="1"/>
      <c r="FR597" s="1"/>
      <c r="FS597" s="1"/>
      <c r="FT597" s="1"/>
      <c r="FU597" s="1"/>
      <c r="FV597" s="1"/>
      <c r="FW597" s="1"/>
      <c r="FX597" s="1"/>
      <c r="FY597" s="1"/>
      <c r="FZ597" s="1"/>
      <c r="GA597" s="1"/>
      <c r="GB597" s="1"/>
      <c r="GD597" s="1"/>
      <c r="GE597" s="1"/>
      <c r="GF597" s="1"/>
      <c r="GG597" s="1"/>
      <c r="GH597" s="1"/>
      <c r="GI597" s="1"/>
      <c r="GJ597" s="1"/>
      <c r="GK597" s="1"/>
      <c r="GL597" s="1"/>
      <c r="GM597" s="1"/>
      <c r="GN597" s="1"/>
      <c r="GP597" s="1"/>
      <c r="GR597" s="1"/>
      <c r="GS597" s="1"/>
      <c r="GY597" s="1"/>
      <c r="HF597" s="1"/>
      <c r="HH597" s="1"/>
      <c r="HL597" s="1"/>
      <c r="HN597" s="1"/>
      <c r="HT597" s="1"/>
      <c r="HY597" s="1"/>
      <c r="IC597" s="1"/>
      <c r="ID597" s="1"/>
      <c r="IE597" s="1"/>
      <c r="IG597" s="1"/>
      <c r="IR597" s="1"/>
      <c r="IS597" s="1"/>
      <c r="IY597" s="1"/>
      <c r="IZ597" s="1"/>
      <c r="JC597" s="1"/>
      <c r="JF597" s="1"/>
      <c r="JG597" s="1"/>
      <c r="JH597" s="1"/>
      <c r="JJ597" s="1"/>
      <c r="JK597" s="1"/>
      <c r="JL597" s="3"/>
      <c r="JM597" s="1"/>
      <c r="JN597" s="1"/>
      <c r="JP597" s="1"/>
      <c r="JQ597" s="1"/>
      <c r="JR597" s="1"/>
      <c r="JU597" s="1"/>
      <c r="KU597" s="1"/>
      <c r="KY597" s="1"/>
      <c r="KZ597" s="1"/>
      <c r="LA597" s="1"/>
      <c r="LB597" s="1"/>
      <c r="LC597" s="1"/>
      <c r="LD597" s="1"/>
      <c r="LO597" s="1"/>
      <c r="LP597" s="1"/>
      <c r="LQ597" s="1"/>
      <c r="LZ597" s="1"/>
      <c r="MA597" s="1"/>
    </row>
    <row r="598" spans="4:339" ht="13" x14ac:dyDescent="0.15">
      <c r="D598" s="12"/>
      <c r="E598" s="12"/>
      <c r="I598" s="12"/>
      <c r="J598" s="13"/>
      <c r="BF598" s="1"/>
      <c r="BG598" s="1"/>
      <c r="BH598" s="1"/>
      <c r="BI598" s="1"/>
      <c r="BJ598" s="1"/>
      <c r="BK598" s="1"/>
      <c r="BL598" s="1"/>
      <c r="BM598" s="1"/>
      <c r="BN598" s="1"/>
      <c r="BO598" s="1"/>
      <c r="BP598" s="1"/>
      <c r="BQ598" s="1"/>
      <c r="BR598" s="1"/>
      <c r="CD598" s="1"/>
      <c r="CE598" s="1"/>
      <c r="CF598" s="1"/>
      <c r="CG598" s="1"/>
      <c r="CH598" s="1"/>
      <c r="CI598" s="1"/>
      <c r="CK598" s="1"/>
      <c r="CM598" s="2"/>
      <c r="CN598" s="1"/>
      <c r="CO598" s="1"/>
      <c r="CP598" s="1"/>
      <c r="CQ598" s="1"/>
      <c r="CX598" s="1"/>
      <c r="CY598" s="1"/>
      <c r="CZ598" s="1"/>
      <c r="DA598" s="1"/>
      <c r="DB598" s="1"/>
      <c r="DC598" s="1"/>
      <c r="DD598" s="1"/>
      <c r="DE598" s="1"/>
      <c r="DF598" s="1"/>
      <c r="DG598" s="1"/>
      <c r="DH598" s="1"/>
      <c r="DI598" s="1"/>
      <c r="DJ598" s="1"/>
      <c r="DK598" s="1"/>
      <c r="ED598" s="1"/>
      <c r="EK598" s="1"/>
      <c r="EL598" s="1"/>
      <c r="EM598" s="1"/>
      <c r="EN598" s="1"/>
      <c r="EQ598" s="1"/>
      <c r="ER598" s="1"/>
      <c r="ES598" s="1"/>
      <c r="EV598" s="1"/>
      <c r="EW598" s="1"/>
      <c r="EX598" s="1"/>
      <c r="EZ598" s="1"/>
      <c r="FA598" s="1"/>
      <c r="FD598" s="1"/>
      <c r="FE598" s="1"/>
      <c r="FF598" s="1"/>
      <c r="FG598" s="1"/>
      <c r="FH598" s="1"/>
      <c r="FI598" s="1"/>
      <c r="FJ598" s="1"/>
      <c r="FK598" s="1"/>
      <c r="FM598" s="1"/>
      <c r="FN598" s="1"/>
      <c r="FO598" s="1"/>
      <c r="FP598" s="1"/>
      <c r="FQ598" s="1"/>
      <c r="FR598" s="1"/>
      <c r="FS598" s="1"/>
      <c r="FT598" s="1"/>
      <c r="FU598" s="1"/>
      <c r="FV598" s="1"/>
      <c r="FW598" s="1"/>
      <c r="FX598" s="1"/>
      <c r="FY598" s="1"/>
      <c r="FZ598" s="1"/>
      <c r="GA598" s="1"/>
      <c r="GB598" s="1"/>
      <c r="GD598" s="1"/>
      <c r="GE598" s="1"/>
      <c r="GF598" s="1"/>
      <c r="GG598" s="1"/>
      <c r="GH598" s="1"/>
      <c r="GI598" s="1"/>
      <c r="GJ598" s="1"/>
      <c r="GK598" s="1"/>
      <c r="GL598" s="1"/>
      <c r="GM598" s="1"/>
      <c r="GN598" s="1"/>
      <c r="GP598" s="1"/>
      <c r="GR598" s="1"/>
      <c r="GS598" s="1"/>
      <c r="GY598" s="1"/>
      <c r="HF598" s="1"/>
      <c r="HH598" s="1"/>
      <c r="HL598" s="1"/>
      <c r="HN598" s="1"/>
      <c r="HT598" s="1"/>
      <c r="HY598" s="1"/>
      <c r="IC598" s="1"/>
      <c r="ID598" s="1"/>
      <c r="IE598" s="1"/>
      <c r="IG598" s="1"/>
      <c r="IR598" s="1"/>
      <c r="IS598" s="1"/>
      <c r="IY598" s="1"/>
      <c r="IZ598" s="1"/>
      <c r="JC598" s="1"/>
      <c r="JF598" s="1"/>
      <c r="JG598" s="1"/>
      <c r="JH598" s="1"/>
      <c r="JJ598" s="1"/>
      <c r="JK598" s="1"/>
      <c r="JL598" s="3"/>
      <c r="JM598" s="1"/>
      <c r="JN598" s="1"/>
      <c r="JP598" s="1"/>
      <c r="JQ598" s="1"/>
      <c r="JR598" s="1"/>
      <c r="JU598" s="1"/>
      <c r="KU598" s="1"/>
      <c r="KY598" s="1"/>
      <c r="KZ598" s="1"/>
      <c r="LA598" s="1"/>
      <c r="LB598" s="1"/>
      <c r="LC598" s="1"/>
      <c r="LD598" s="1"/>
      <c r="LO598" s="1"/>
      <c r="LP598" s="1"/>
      <c r="LQ598" s="1"/>
      <c r="LZ598" s="1"/>
      <c r="MA598" s="1"/>
    </row>
    <row r="599" spans="4:339" ht="13" x14ac:dyDescent="0.15">
      <c r="D599" s="12"/>
      <c r="E599" s="12"/>
      <c r="I599" s="12"/>
      <c r="J599" s="13"/>
      <c r="BF599" s="1"/>
      <c r="BG599" s="1"/>
      <c r="BH599" s="1"/>
      <c r="BI599" s="1"/>
      <c r="BJ599" s="1"/>
      <c r="BK599" s="1"/>
      <c r="BL599" s="1"/>
      <c r="BM599" s="1"/>
      <c r="BN599" s="1"/>
      <c r="BO599" s="1"/>
      <c r="BP599" s="1"/>
      <c r="BQ599" s="1"/>
      <c r="BR599" s="1"/>
      <c r="CD599" s="1"/>
      <c r="CE599" s="1"/>
      <c r="CF599" s="1"/>
      <c r="CG599" s="1"/>
      <c r="CH599" s="1"/>
      <c r="CI599" s="1"/>
      <c r="CK599" s="1"/>
      <c r="CM599" s="2"/>
      <c r="CN599" s="1"/>
      <c r="CO599" s="1"/>
      <c r="CP599" s="1"/>
      <c r="CQ599" s="1"/>
      <c r="CX599" s="1"/>
      <c r="CY599" s="1"/>
      <c r="CZ599" s="1"/>
      <c r="DA599" s="1"/>
      <c r="DB599" s="1"/>
      <c r="DC599" s="1"/>
      <c r="DD599" s="1"/>
      <c r="DE599" s="1"/>
      <c r="DF599" s="1"/>
      <c r="DG599" s="1"/>
      <c r="DH599" s="1"/>
      <c r="DI599" s="1"/>
      <c r="DJ599" s="1"/>
      <c r="DK599" s="1"/>
      <c r="ED599" s="1"/>
      <c r="EK599" s="1"/>
      <c r="EL599" s="1"/>
      <c r="EM599" s="1"/>
      <c r="EN599" s="1"/>
      <c r="EQ599" s="1"/>
      <c r="ER599" s="1"/>
      <c r="ES599" s="1"/>
      <c r="EV599" s="1"/>
      <c r="EW599" s="1"/>
      <c r="EX599" s="1"/>
      <c r="EZ599" s="1"/>
      <c r="FA599" s="1"/>
      <c r="FD599" s="1"/>
      <c r="FE599" s="1"/>
      <c r="FF599" s="1"/>
      <c r="FG599" s="1"/>
      <c r="FH599" s="1"/>
      <c r="FI599" s="1"/>
      <c r="FJ599" s="1"/>
      <c r="FK599" s="1"/>
      <c r="FM599" s="1"/>
      <c r="FN599" s="1"/>
      <c r="FO599" s="1"/>
      <c r="FP599" s="1"/>
      <c r="FQ599" s="1"/>
      <c r="FR599" s="1"/>
      <c r="FS599" s="1"/>
      <c r="FT599" s="1"/>
      <c r="FU599" s="1"/>
      <c r="FV599" s="1"/>
      <c r="FW599" s="1"/>
      <c r="FX599" s="1"/>
      <c r="FY599" s="1"/>
      <c r="FZ599" s="1"/>
      <c r="GA599" s="1"/>
      <c r="GB599" s="1"/>
      <c r="GD599" s="1"/>
      <c r="GE599" s="1"/>
      <c r="GF599" s="1"/>
      <c r="GG599" s="1"/>
      <c r="GH599" s="1"/>
      <c r="GI599" s="1"/>
      <c r="GJ599" s="1"/>
      <c r="GK599" s="1"/>
      <c r="GL599" s="1"/>
      <c r="GM599" s="1"/>
      <c r="GN599" s="1"/>
      <c r="GP599" s="1"/>
      <c r="GR599" s="1"/>
      <c r="GS599" s="1"/>
      <c r="GY599" s="1"/>
      <c r="HF599" s="1"/>
      <c r="HH599" s="1"/>
      <c r="HL599" s="1"/>
      <c r="HN599" s="1"/>
      <c r="HT599" s="1"/>
      <c r="HY599" s="1"/>
      <c r="IC599" s="1"/>
      <c r="ID599" s="1"/>
      <c r="IE599" s="1"/>
      <c r="IG599" s="1"/>
      <c r="IR599" s="1"/>
      <c r="IS599" s="1"/>
      <c r="IY599" s="1"/>
      <c r="IZ599" s="1"/>
      <c r="JC599" s="1"/>
      <c r="JF599" s="1"/>
      <c r="JG599" s="1"/>
      <c r="JH599" s="1"/>
      <c r="JJ599" s="1"/>
      <c r="JK599" s="1"/>
      <c r="JL599" s="3"/>
      <c r="JM599" s="1"/>
      <c r="JN599" s="1"/>
      <c r="JP599" s="1"/>
      <c r="JQ599" s="1"/>
      <c r="JR599" s="1"/>
      <c r="JU599" s="1"/>
      <c r="KU599" s="1"/>
      <c r="KY599" s="1"/>
      <c r="KZ599" s="1"/>
      <c r="LA599" s="1"/>
      <c r="LB599" s="1"/>
      <c r="LC599" s="1"/>
      <c r="LD599" s="1"/>
      <c r="LO599" s="1"/>
      <c r="LP599" s="1"/>
      <c r="LQ599" s="1"/>
      <c r="LZ599" s="1"/>
      <c r="MA599" s="1"/>
    </row>
    <row r="600" spans="4:339" ht="13" x14ac:dyDescent="0.15">
      <c r="D600" s="12"/>
      <c r="E600" s="12"/>
      <c r="I600" s="12"/>
      <c r="J600" s="13"/>
      <c r="BF600" s="1"/>
      <c r="BG600" s="1"/>
      <c r="BH600" s="1"/>
      <c r="BI600" s="1"/>
      <c r="BJ600" s="1"/>
      <c r="BK600" s="1"/>
      <c r="BL600" s="1"/>
      <c r="BM600" s="1"/>
      <c r="BN600" s="1"/>
      <c r="BO600" s="1"/>
      <c r="BP600" s="1"/>
      <c r="BQ600" s="1"/>
      <c r="BR600" s="1"/>
      <c r="CD600" s="1"/>
      <c r="CE600" s="1"/>
      <c r="CF600" s="1"/>
      <c r="CG600" s="1"/>
      <c r="CH600" s="1"/>
      <c r="CI600" s="1"/>
      <c r="CK600" s="1"/>
      <c r="CM600" s="2"/>
      <c r="CN600" s="1"/>
      <c r="CO600" s="1"/>
      <c r="CP600" s="1"/>
      <c r="CQ600" s="1"/>
      <c r="CX600" s="1"/>
      <c r="CY600" s="1"/>
      <c r="CZ600" s="1"/>
      <c r="DA600" s="1"/>
      <c r="DB600" s="1"/>
      <c r="DC600" s="1"/>
      <c r="DD600" s="1"/>
      <c r="DE600" s="1"/>
      <c r="DF600" s="1"/>
      <c r="DG600" s="1"/>
      <c r="DH600" s="1"/>
      <c r="DI600" s="1"/>
      <c r="DJ600" s="1"/>
      <c r="DK600" s="1"/>
      <c r="ED600" s="1"/>
      <c r="EK600" s="1"/>
      <c r="EL600" s="1"/>
      <c r="EM600" s="1"/>
      <c r="EN600" s="1"/>
      <c r="EQ600" s="1"/>
      <c r="ER600" s="1"/>
      <c r="ES600" s="1"/>
      <c r="EV600" s="1"/>
      <c r="EW600" s="1"/>
      <c r="EX600" s="1"/>
      <c r="EZ600" s="1"/>
      <c r="FA600" s="1"/>
      <c r="FD600" s="1"/>
      <c r="FE600" s="1"/>
      <c r="FF600" s="1"/>
      <c r="FG600" s="1"/>
      <c r="FH600" s="1"/>
      <c r="FI600" s="1"/>
      <c r="FJ600" s="1"/>
      <c r="FK600" s="1"/>
      <c r="FM600" s="1"/>
      <c r="FN600" s="1"/>
      <c r="FO600" s="1"/>
      <c r="FP600" s="1"/>
      <c r="FQ600" s="1"/>
      <c r="FR600" s="1"/>
      <c r="FS600" s="1"/>
      <c r="FT600" s="1"/>
      <c r="FU600" s="1"/>
      <c r="FV600" s="1"/>
      <c r="FW600" s="1"/>
      <c r="FX600" s="1"/>
      <c r="FY600" s="1"/>
      <c r="FZ600" s="1"/>
      <c r="GA600" s="1"/>
      <c r="GB600" s="1"/>
      <c r="GD600" s="1"/>
      <c r="GE600" s="1"/>
      <c r="GF600" s="1"/>
      <c r="GG600" s="1"/>
      <c r="GH600" s="1"/>
      <c r="GI600" s="1"/>
      <c r="GJ600" s="1"/>
      <c r="GK600" s="1"/>
      <c r="GL600" s="1"/>
      <c r="GM600" s="1"/>
      <c r="GN600" s="1"/>
      <c r="GP600" s="1"/>
      <c r="GR600" s="1"/>
      <c r="GS600" s="1"/>
      <c r="GY600" s="1"/>
      <c r="HF600" s="1"/>
      <c r="HH600" s="1"/>
      <c r="HL600" s="1"/>
      <c r="HN600" s="1"/>
      <c r="HT600" s="1"/>
      <c r="HY600" s="1"/>
      <c r="IC600" s="1"/>
      <c r="ID600" s="1"/>
      <c r="IE600" s="1"/>
      <c r="IG600" s="1"/>
      <c r="IR600" s="1"/>
      <c r="IS600" s="1"/>
      <c r="IY600" s="1"/>
      <c r="IZ600" s="1"/>
      <c r="JC600" s="1"/>
      <c r="JF600" s="1"/>
      <c r="JG600" s="1"/>
      <c r="JH600" s="1"/>
      <c r="JJ600" s="1"/>
      <c r="JK600" s="1"/>
      <c r="JL600" s="3"/>
      <c r="JM600" s="1"/>
      <c r="JN600" s="1"/>
      <c r="JP600" s="1"/>
      <c r="JQ600" s="1"/>
      <c r="JR600" s="1"/>
      <c r="JU600" s="1"/>
      <c r="KU600" s="1"/>
      <c r="KY600" s="1"/>
      <c r="KZ600" s="1"/>
      <c r="LA600" s="1"/>
      <c r="LB600" s="1"/>
      <c r="LC600" s="1"/>
      <c r="LD600" s="1"/>
      <c r="LO600" s="1"/>
      <c r="LP600" s="1"/>
      <c r="LQ600" s="1"/>
      <c r="LZ600" s="1"/>
      <c r="MA600" s="1"/>
    </row>
    <row r="601" spans="4:339" ht="13" x14ac:dyDescent="0.15">
      <c r="D601" s="12"/>
      <c r="E601" s="12"/>
      <c r="I601" s="12"/>
      <c r="J601" s="13"/>
      <c r="BF601" s="1"/>
      <c r="BG601" s="1"/>
      <c r="BH601" s="1"/>
      <c r="BI601" s="1"/>
      <c r="BJ601" s="1"/>
      <c r="BK601" s="1"/>
      <c r="BL601" s="1"/>
      <c r="BM601" s="1"/>
      <c r="BN601" s="1"/>
      <c r="BO601" s="1"/>
      <c r="BP601" s="1"/>
      <c r="BQ601" s="1"/>
      <c r="BR601" s="1"/>
      <c r="CD601" s="1"/>
      <c r="CE601" s="1"/>
      <c r="CF601" s="1"/>
      <c r="CG601" s="1"/>
      <c r="CH601" s="1"/>
      <c r="CI601" s="1"/>
      <c r="CK601" s="1"/>
      <c r="CM601" s="2"/>
      <c r="CN601" s="1"/>
      <c r="CO601" s="1"/>
      <c r="CP601" s="1"/>
      <c r="CQ601" s="1"/>
      <c r="CX601" s="1"/>
      <c r="CY601" s="1"/>
      <c r="CZ601" s="1"/>
      <c r="DA601" s="1"/>
      <c r="DB601" s="1"/>
      <c r="DC601" s="1"/>
      <c r="DD601" s="1"/>
      <c r="DE601" s="1"/>
      <c r="DF601" s="1"/>
      <c r="DG601" s="1"/>
      <c r="DH601" s="1"/>
      <c r="DI601" s="1"/>
      <c r="DJ601" s="1"/>
      <c r="DK601" s="1"/>
      <c r="ED601" s="1"/>
      <c r="EK601" s="1"/>
      <c r="EL601" s="1"/>
      <c r="EM601" s="1"/>
      <c r="EN601" s="1"/>
      <c r="EQ601" s="1"/>
      <c r="ER601" s="1"/>
      <c r="ES601" s="1"/>
      <c r="EV601" s="1"/>
      <c r="EW601" s="1"/>
      <c r="EX601" s="1"/>
      <c r="EZ601" s="1"/>
      <c r="FA601" s="1"/>
      <c r="FD601" s="1"/>
      <c r="FE601" s="1"/>
      <c r="FF601" s="1"/>
      <c r="FG601" s="1"/>
      <c r="FH601" s="1"/>
      <c r="FI601" s="1"/>
      <c r="FJ601" s="1"/>
      <c r="FK601" s="1"/>
      <c r="FM601" s="1"/>
      <c r="FN601" s="1"/>
      <c r="FO601" s="1"/>
      <c r="FP601" s="1"/>
      <c r="FQ601" s="1"/>
      <c r="FR601" s="1"/>
      <c r="FS601" s="1"/>
      <c r="FT601" s="1"/>
      <c r="FU601" s="1"/>
      <c r="FV601" s="1"/>
      <c r="FW601" s="1"/>
      <c r="FX601" s="1"/>
      <c r="FY601" s="1"/>
      <c r="FZ601" s="1"/>
      <c r="GA601" s="1"/>
      <c r="GB601" s="1"/>
      <c r="GD601" s="1"/>
      <c r="GE601" s="1"/>
      <c r="GF601" s="1"/>
      <c r="GG601" s="1"/>
      <c r="GH601" s="1"/>
      <c r="GI601" s="1"/>
      <c r="GJ601" s="1"/>
      <c r="GK601" s="1"/>
      <c r="GL601" s="1"/>
      <c r="GM601" s="1"/>
      <c r="GN601" s="1"/>
      <c r="GP601" s="1"/>
      <c r="GR601" s="1"/>
      <c r="GS601" s="1"/>
      <c r="GY601" s="1"/>
      <c r="HF601" s="1"/>
      <c r="HH601" s="1"/>
      <c r="HL601" s="1"/>
      <c r="HN601" s="1"/>
      <c r="HT601" s="1"/>
      <c r="HY601" s="1"/>
      <c r="IC601" s="1"/>
      <c r="ID601" s="1"/>
      <c r="IE601" s="1"/>
      <c r="IG601" s="1"/>
      <c r="IR601" s="1"/>
      <c r="IS601" s="1"/>
      <c r="IY601" s="1"/>
      <c r="IZ601" s="1"/>
      <c r="JC601" s="1"/>
      <c r="JF601" s="1"/>
      <c r="JG601" s="1"/>
      <c r="JH601" s="1"/>
      <c r="JJ601" s="1"/>
      <c r="JK601" s="1"/>
      <c r="JL601" s="3"/>
      <c r="JM601" s="1"/>
      <c r="JN601" s="1"/>
      <c r="JP601" s="1"/>
      <c r="JQ601" s="1"/>
      <c r="JR601" s="1"/>
      <c r="JU601" s="1"/>
      <c r="KU601" s="1"/>
      <c r="KY601" s="1"/>
      <c r="KZ601" s="1"/>
      <c r="LA601" s="1"/>
      <c r="LB601" s="1"/>
      <c r="LC601" s="1"/>
      <c r="LD601" s="1"/>
      <c r="LO601" s="1"/>
      <c r="LP601" s="1"/>
      <c r="LQ601" s="1"/>
      <c r="LZ601" s="1"/>
      <c r="MA601" s="1"/>
    </row>
    <row r="602" spans="4:339" ht="13" x14ac:dyDescent="0.15">
      <c r="D602" s="12"/>
      <c r="E602" s="12"/>
      <c r="I602" s="12"/>
      <c r="J602" s="13"/>
      <c r="BF602" s="1"/>
      <c r="BG602" s="1"/>
      <c r="BH602" s="1"/>
      <c r="BI602" s="1"/>
      <c r="BJ602" s="1"/>
      <c r="BK602" s="1"/>
      <c r="BL602" s="1"/>
      <c r="BM602" s="1"/>
      <c r="BN602" s="1"/>
      <c r="BO602" s="1"/>
      <c r="BP602" s="1"/>
      <c r="BQ602" s="1"/>
      <c r="BR602" s="1"/>
      <c r="CD602" s="1"/>
      <c r="CE602" s="1"/>
      <c r="CF602" s="1"/>
      <c r="CG602" s="1"/>
      <c r="CH602" s="1"/>
      <c r="CI602" s="1"/>
      <c r="CK602" s="1"/>
      <c r="CM602" s="2"/>
      <c r="CN602" s="1"/>
      <c r="CO602" s="1"/>
      <c r="CP602" s="1"/>
      <c r="CQ602" s="1"/>
      <c r="CX602" s="1"/>
      <c r="CY602" s="1"/>
      <c r="CZ602" s="1"/>
      <c r="DA602" s="1"/>
      <c r="DB602" s="1"/>
      <c r="DC602" s="1"/>
      <c r="DD602" s="1"/>
      <c r="DE602" s="1"/>
      <c r="DF602" s="1"/>
      <c r="DG602" s="1"/>
      <c r="DH602" s="1"/>
      <c r="DI602" s="1"/>
      <c r="DJ602" s="1"/>
      <c r="DK602" s="1"/>
      <c r="ED602" s="1"/>
      <c r="EK602" s="1"/>
      <c r="EL602" s="1"/>
      <c r="EM602" s="1"/>
      <c r="EN602" s="1"/>
      <c r="EQ602" s="1"/>
      <c r="ER602" s="1"/>
      <c r="ES602" s="1"/>
      <c r="EV602" s="1"/>
      <c r="EW602" s="1"/>
      <c r="EX602" s="1"/>
      <c r="EZ602" s="1"/>
      <c r="FA602" s="1"/>
      <c r="FD602" s="1"/>
      <c r="FE602" s="1"/>
      <c r="FF602" s="1"/>
      <c r="FG602" s="1"/>
      <c r="FH602" s="1"/>
      <c r="FI602" s="1"/>
      <c r="FJ602" s="1"/>
      <c r="FK602" s="1"/>
      <c r="FM602" s="1"/>
      <c r="FN602" s="1"/>
      <c r="FO602" s="1"/>
      <c r="FP602" s="1"/>
      <c r="FQ602" s="1"/>
      <c r="FR602" s="1"/>
      <c r="FS602" s="1"/>
      <c r="FT602" s="1"/>
      <c r="FU602" s="1"/>
      <c r="FV602" s="1"/>
      <c r="FW602" s="1"/>
      <c r="FX602" s="1"/>
      <c r="FY602" s="1"/>
      <c r="FZ602" s="1"/>
      <c r="GA602" s="1"/>
      <c r="GB602" s="1"/>
      <c r="GD602" s="1"/>
      <c r="GE602" s="1"/>
      <c r="GF602" s="1"/>
      <c r="GG602" s="1"/>
      <c r="GH602" s="1"/>
      <c r="GI602" s="1"/>
      <c r="GJ602" s="1"/>
      <c r="GK602" s="1"/>
      <c r="GL602" s="1"/>
      <c r="GM602" s="1"/>
      <c r="GN602" s="1"/>
      <c r="GP602" s="1"/>
      <c r="GR602" s="1"/>
      <c r="GS602" s="1"/>
      <c r="GY602" s="1"/>
      <c r="HF602" s="1"/>
      <c r="HH602" s="1"/>
      <c r="HL602" s="1"/>
      <c r="HN602" s="1"/>
      <c r="HT602" s="1"/>
      <c r="HY602" s="1"/>
      <c r="IC602" s="1"/>
      <c r="ID602" s="1"/>
      <c r="IE602" s="1"/>
      <c r="IG602" s="1"/>
      <c r="IR602" s="1"/>
      <c r="IS602" s="1"/>
      <c r="IY602" s="1"/>
      <c r="IZ602" s="1"/>
      <c r="JC602" s="1"/>
      <c r="JF602" s="1"/>
      <c r="JG602" s="1"/>
      <c r="JH602" s="1"/>
      <c r="JJ602" s="1"/>
      <c r="JK602" s="1"/>
      <c r="JL602" s="3"/>
      <c r="JM602" s="1"/>
      <c r="JN602" s="1"/>
      <c r="JP602" s="1"/>
      <c r="JQ602" s="1"/>
      <c r="JR602" s="1"/>
      <c r="JU602" s="1"/>
      <c r="KU602" s="1"/>
      <c r="KY602" s="1"/>
      <c r="KZ602" s="1"/>
      <c r="LA602" s="1"/>
      <c r="LB602" s="1"/>
      <c r="LC602" s="1"/>
      <c r="LD602" s="1"/>
      <c r="LO602" s="1"/>
      <c r="LP602" s="1"/>
      <c r="LQ602" s="1"/>
      <c r="LZ602" s="1"/>
      <c r="MA602" s="1"/>
    </row>
    <row r="603" spans="4:339" ht="13" x14ac:dyDescent="0.15">
      <c r="D603" s="12"/>
      <c r="E603" s="12"/>
      <c r="I603" s="12"/>
      <c r="J603" s="13"/>
      <c r="BF603" s="1"/>
      <c r="BG603" s="1"/>
      <c r="BH603" s="1"/>
      <c r="BI603" s="1"/>
      <c r="BJ603" s="1"/>
      <c r="BK603" s="1"/>
      <c r="BL603" s="1"/>
      <c r="BM603" s="1"/>
      <c r="BN603" s="1"/>
      <c r="BO603" s="1"/>
      <c r="BP603" s="1"/>
      <c r="BQ603" s="1"/>
      <c r="BR603" s="1"/>
      <c r="CD603" s="1"/>
      <c r="CE603" s="1"/>
      <c r="CF603" s="1"/>
      <c r="CG603" s="1"/>
      <c r="CH603" s="1"/>
      <c r="CI603" s="1"/>
      <c r="CK603" s="1"/>
      <c r="CM603" s="2"/>
      <c r="CN603" s="1"/>
      <c r="CO603" s="1"/>
      <c r="CP603" s="1"/>
      <c r="CQ603" s="1"/>
      <c r="CX603" s="1"/>
      <c r="CY603" s="1"/>
      <c r="CZ603" s="1"/>
      <c r="DA603" s="1"/>
      <c r="DB603" s="1"/>
      <c r="DC603" s="1"/>
      <c r="DD603" s="1"/>
      <c r="DE603" s="1"/>
      <c r="DF603" s="1"/>
      <c r="DG603" s="1"/>
      <c r="DH603" s="1"/>
      <c r="DI603" s="1"/>
      <c r="DJ603" s="1"/>
      <c r="DK603" s="1"/>
      <c r="ED603" s="1"/>
      <c r="EK603" s="1"/>
      <c r="EL603" s="1"/>
      <c r="EM603" s="1"/>
      <c r="EN603" s="1"/>
      <c r="EQ603" s="1"/>
      <c r="ER603" s="1"/>
      <c r="ES603" s="1"/>
      <c r="EV603" s="1"/>
      <c r="EW603" s="1"/>
      <c r="EX603" s="1"/>
      <c r="EZ603" s="1"/>
      <c r="FA603" s="1"/>
      <c r="FD603" s="1"/>
      <c r="FE603" s="1"/>
      <c r="FF603" s="1"/>
      <c r="FG603" s="1"/>
      <c r="FH603" s="1"/>
      <c r="FI603" s="1"/>
      <c r="FJ603" s="1"/>
      <c r="FK603" s="1"/>
      <c r="FM603" s="1"/>
      <c r="FN603" s="1"/>
      <c r="FO603" s="1"/>
      <c r="FP603" s="1"/>
      <c r="FQ603" s="1"/>
      <c r="FR603" s="1"/>
      <c r="FS603" s="1"/>
      <c r="FT603" s="1"/>
      <c r="FU603" s="1"/>
      <c r="FV603" s="1"/>
      <c r="FW603" s="1"/>
      <c r="FX603" s="1"/>
      <c r="FY603" s="1"/>
      <c r="FZ603" s="1"/>
      <c r="GA603" s="1"/>
      <c r="GB603" s="1"/>
      <c r="GD603" s="1"/>
      <c r="GE603" s="1"/>
      <c r="GF603" s="1"/>
      <c r="GG603" s="1"/>
      <c r="GH603" s="1"/>
      <c r="GI603" s="1"/>
      <c r="GJ603" s="1"/>
      <c r="GK603" s="1"/>
      <c r="GL603" s="1"/>
      <c r="GM603" s="1"/>
      <c r="GN603" s="1"/>
      <c r="GP603" s="1"/>
      <c r="GR603" s="1"/>
      <c r="GS603" s="1"/>
      <c r="GY603" s="1"/>
      <c r="HF603" s="1"/>
      <c r="HH603" s="1"/>
      <c r="HL603" s="1"/>
      <c r="HN603" s="1"/>
      <c r="HT603" s="1"/>
      <c r="HY603" s="1"/>
      <c r="IC603" s="1"/>
      <c r="ID603" s="1"/>
      <c r="IE603" s="1"/>
      <c r="IG603" s="1"/>
      <c r="IR603" s="1"/>
      <c r="IS603" s="1"/>
      <c r="IY603" s="1"/>
      <c r="IZ603" s="1"/>
      <c r="JC603" s="1"/>
      <c r="JF603" s="1"/>
      <c r="JG603" s="1"/>
      <c r="JH603" s="1"/>
      <c r="JJ603" s="1"/>
      <c r="JK603" s="1"/>
      <c r="JL603" s="3"/>
      <c r="JM603" s="1"/>
      <c r="JN603" s="1"/>
      <c r="JP603" s="1"/>
      <c r="JQ603" s="1"/>
      <c r="JR603" s="1"/>
      <c r="JU603" s="1"/>
      <c r="KU603" s="1"/>
      <c r="KY603" s="1"/>
      <c r="KZ603" s="1"/>
      <c r="LA603" s="1"/>
      <c r="LB603" s="1"/>
      <c r="LC603" s="1"/>
      <c r="LD603" s="1"/>
      <c r="LO603" s="1"/>
      <c r="LP603" s="1"/>
      <c r="LQ603" s="1"/>
      <c r="LZ603" s="1"/>
      <c r="MA603" s="1"/>
    </row>
    <row r="604" spans="4:339" ht="13" x14ac:dyDescent="0.15">
      <c r="D604" s="12"/>
      <c r="E604" s="12"/>
      <c r="I604" s="12"/>
      <c r="J604" s="13"/>
      <c r="BF604" s="1"/>
      <c r="BG604" s="1"/>
      <c r="BH604" s="1"/>
      <c r="BI604" s="1"/>
      <c r="BJ604" s="1"/>
      <c r="BK604" s="1"/>
      <c r="BL604" s="1"/>
      <c r="BM604" s="1"/>
      <c r="BN604" s="1"/>
      <c r="BO604" s="1"/>
      <c r="BP604" s="1"/>
      <c r="BQ604" s="1"/>
      <c r="BR604" s="1"/>
      <c r="CD604" s="1"/>
      <c r="CE604" s="1"/>
      <c r="CF604" s="1"/>
      <c r="CG604" s="1"/>
      <c r="CH604" s="1"/>
      <c r="CI604" s="1"/>
      <c r="CK604" s="1"/>
      <c r="CM604" s="2"/>
      <c r="CN604" s="1"/>
      <c r="CO604" s="1"/>
      <c r="CP604" s="1"/>
      <c r="CQ604" s="1"/>
      <c r="CX604" s="1"/>
      <c r="CY604" s="1"/>
      <c r="CZ604" s="1"/>
      <c r="DA604" s="1"/>
      <c r="DB604" s="1"/>
      <c r="DC604" s="1"/>
      <c r="DD604" s="1"/>
      <c r="DE604" s="1"/>
      <c r="DF604" s="1"/>
      <c r="DG604" s="1"/>
      <c r="DH604" s="1"/>
      <c r="DI604" s="1"/>
      <c r="DJ604" s="1"/>
      <c r="DK604" s="1"/>
      <c r="ED604" s="1"/>
      <c r="EK604" s="1"/>
      <c r="EL604" s="1"/>
      <c r="EM604" s="1"/>
      <c r="EN604" s="1"/>
      <c r="EQ604" s="1"/>
      <c r="ER604" s="1"/>
      <c r="ES604" s="1"/>
      <c r="EV604" s="1"/>
      <c r="EW604" s="1"/>
      <c r="EX604" s="1"/>
      <c r="EZ604" s="1"/>
      <c r="FA604" s="1"/>
      <c r="FD604" s="1"/>
      <c r="FE604" s="1"/>
      <c r="FF604" s="1"/>
      <c r="FG604" s="1"/>
      <c r="FH604" s="1"/>
      <c r="FI604" s="1"/>
      <c r="FJ604" s="1"/>
      <c r="FK604" s="1"/>
      <c r="FM604" s="1"/>
      <c r="FN604" s="1"/>
      <c r="FO604" s="1"/>
      <c r="FP604" s="1"/>
      <c r="FQ604" s="1"/>
      <c r="FR604" s="1"/>
      <c r="FS604" s="1"/>
      <c r="FT604" s="1"/>
      <c r="FU604" s="1"/>
      <c r="FV604" s="1"/>
      <c r="FW604" s="1"/>
      <c r="FX604" s="1"/>
      <c r="FY604" s="1"/>
      <c r="FZ604" s="1"/>
      <c r="GA604" s="1"/>
      <c r="GB604" s="1"/>
      <c r="GD604" s="1"/>
      <c r="GE604" s="1"/>
      <c r="GF604" s="1"/>
      <c r="GG604" s="1"/>
      <c r="GH604" s="1"/>
      <c r="GI604" s="1"/>
      <c r="GJ604" s="1"/>
      <c r="GK604" s="1"/>
      <c r="GL604" s="1"/>
      <c r="GM604" s="1"/>
      <c r="GN604" s="1"/>
      <c r="GP604" s="1"/>
      <c r="GR604" s="1"/>
      <c r="GS604" s="1"/>
      <c r="GY604" s="1"/>
      <c r="HF604" s="1"/>
      <c r="HH604" s="1"/>
      <c r="HL604" s="1"/>
      <c r="HN604" s="1"/>
      <c r="HT604" s="1"/>
      <c r="HY604" s="1"/>
      <c r="IC604" s="1"/>
      <c r="ID604" s="1"/>
      <c r="IE604" s="1"/>
      <c r="IG604" s="1"/>
      <c r="IR604" s="1"/>
      <c r="IS604" s="1"/>
      <c r="IY604" s="1"/>
      <c r="IZ604" s="1"/>
      <c r="JC604" s="1"/>
      <c r="JF604" s="1"/>
      <c r="JG604" s="1"/>
      <c r="JH604" s="1"/>
      <c r="JJ604" s="1"/>
      <c r="JK604" s="1"/>
      <c r="JL604" s="3"/>
      <c r="JM604" s="1"/>
      <c r="JN604" s="1"/>
      <c r="JP604" s="1"/>
      <c r="JQ604" s="1"/>
      <c r="JR604" s="1"/>
      <c r="JU604" s="1"/>
      <c r="KU604" s="1"/>
      <c r="KY604" s="1"/>
      <c r="KZ604" s="1"/>
      <c r="LA604" s="1"/>
      <c r="LB604" s="1"/>
      <c r="LC604" s="1"/>
      <c r="LD604" s="1"/>
      <c r="LO604" s="1"/>
      <c r="LP604" s="1"/>
      <c r="LQ604" s="1"/>
      <c r="LZ604" s="1"/>
      <c r="MA604" s="1"/>
    </row>
    <row r="605" spans="4:339" ht="13" x14ac:dyDescent="0.15">
      <c r="D605" s="12"/>
      <c r="E605" s="12"/>
      <c r="I605" s="12"/>
      <c r="J605" s="13"/>
      <c r="BF605" s="1"/>
      <c r="BG605" s="1"/>
      <c r="BH605" s="1"/>
      <c r="BI605" s="1"/>
      <c r="BJ605" s="1"/>
      <c r="BK605" s="1"/>
      <c r="BL605" s="1"/>
      <c r="BM605" s="1"/>
      <c r="BN605" s="1"/>
      <c r="BO605" s="1"/>
      <c r="BP605" s="1"/>
      <c r="BQ605" s="1"/>
      <c r="BR605" s="1"/>
      <c r="CD605" s="1"/>
      <c r="CE605" s="1"/>
      <c r="CF605" s="1"/>
      <c r="CG605" s="1"/>
      <c r="CH605" s="1"/>
      <c r="CI605" s="1"/>
      <c r="CK605" s="1"/>
      <c r="CM605" s="2"/>
      <c r="CN605" s="1"/>
      <c r="CO605" s="1"/>
      <c r="CP605" s="1"/>
      <c r="CQ605" s="1"/>
      <c r="CX605" s="1"/>
      <c r="CY605" s="1"/>
      <c r="CZ605" s="1"/>
      <c r="DA605" s="1"/>
      <c r="DB605" s="1"/>
      <c r="DC605" s="1"/>
      <c r="DD605" s="1"/>
      <c r="DE605" s="1"/>
      <c r="DF605" s="1"/>
      <c r="DG605" s="1"/>
      <c r="DH605" s="1"/>
      <c r="DI605" s="1"/>
      <c r="DJ605" s="1"/>
      <c r="DK605" s="1"/>
      <c r="ED605" s="1"/>
      <c r="EK605" s="1"/>
      <c r="EL605" s="1"/>
      <c r="EM605" s="1"/>
      <c r="EN605" s="1"/>
      <c r="EQ605" s="1"/>
      <c r="ER605" s="1"/>
      <c r="ES605" s="1"/>
      <c r="EV605" s="1"/>
      <c r="EW605" s="1"/>
      <c r="EX605" s="1"/>
      <c r="EZ605" s="1"/>
      <c r="FA605" s="1"/>
      <c r="FD605" s="1"/>
      <c r="FE605" s="1"/>
      <c r="FF605" s="1"/>
      <c r="FG605" s="1"/>
      <c r="FH605" s="1"/>
      <c r="FI605" s="1"/>
      <c r="FJ605" s="1"/>
      <c r="FK605" s="1"/>
      <c r="FM605" s="1"/>
      <c r="FN605" s="1"/>
      <c r="FO605" s="1"/>
      <c r="FP605" s="1"/>
      <c r="FQ605" s="1"/>
      <c r="FR605" s="1"/>
      <c r="FS605" s="1"/>
      <c r="FT605" s="1"/>
      <c r="FU605" s="1"/>
      <c r="FV605" s="1"/>
      <c r="FW605" s="1"/>
      <c r="FX605" s="1"/>
      <c r="FY605" s="1"/>
      <c r="FZ605" s="1"/>
      <c r="GA605" s="1"/>
      <c r="GB605" s="1"/>
      <c r="GD605" s="1"/>
      <c r="GE605" s="1"/>
      <c r="GF605" s="1"/>
      <c r="GG605" s="1"/>
      <c r="GH605" s="1"/>
      <c r="GI605" s="1"/>
      <c r="GJ605" s="1"/>
      <c r="GK605" s="1"/>
      <c r="GL605" s="1"/>
      <c r="GM605" s="1"/>
      <c r="GN605" s="1"/>
      <c r="GP605" s="1"/>
      <c r="GR605" s="1"/>
      <c r="GS605" s="1"/>
      <c r="GY605" s="1"/>
      <c r="HF605" s="1"/>
      <c r="HH605" s="1"/>
      <c r="HL605" s="1"/>
      <c r="HN605" s="1"/>
      <c r="HT605" s="1"/>
      <c r="HY605" s="1"/>
      <c r="IC605" s="1"/>
      <c r="ID605" s="1"/>
      <c r="IE605" s="1"/>
      <c r="IG605" s="1"/>
      <c r="IR605" s="1"/>
      <c r="IS605" s="1"/>
      <c r="IY605" s="1"/>
      <c r="IZ605" s="1"/>
      <c r="JC605" s="1"/>
      <c r="JF605" s="1"/>
      <c r="JG605" s="1"/>
      <c r="JH605" s="1"/>
      <c r="JJ605" s="1"/>
      <c r="JK605" s="1"/>
      <c r="JL605" s="3"/>
      <c r="JM605" s="1"/>
      <c r="JN605" s="1"/>
      <c r="JP605" s="1"/>
      <c r="JQ605" s="1"/>
      <c r="JR605" s="1"/>
      <c r="JU605" s="1"/>
      <c r="KU605" s="1"/>
      <c r="KY605" s="1"/>
      <c r="KZ605" s="1"/>
      <c r="LA605" s="1"/>
      <c r="LB605" s="1"/>
      <c r="LC605" s="1"/>
      <c r="LD605" s="1"/>
      <c r="LO605" s="1"/>
      <c r="LP605" s="1"/>
      <c r="LQ605" s="1"/>
      <c r="LZ605" s="1"/>
      <c r="MA605" s="1"/>
    </row>
    <row r="606" spans="4:339" ht="13" x14ac:dyDescent="0.15">
      <c r="D606" s="12"/>
      <c r="E606" s="12"/>
      <c r="I606" s="12"/>
      <c r="J606" s="13"/>
      <c r="BF606" s="1"/>
      <c r="BG606" s="1"/>
      <c r="BH606" s="1"/>
      <c r="BI606" s="1"/>
      <c r="BJ606" s="1"/>
      <c r="BK606" s="1"/>
      <c r="BL606" s="1"/>
      <c r="BM606" s="1"/>
      <c r="BN606" s="1"/>
      <c r="BO606" s="1"/>
      <c r="BP606" s="1"/>
      <c r="BQ606" s="1"/>
      <c r="BR606" s="1"/>
      <c r="CD606" s="1"/>
      <c r="CE606" s="1"/>
      <c r="CF606" s="1"/>
      <c r="CG606" s="1"/>
      <c r="CH606" s="1"/>
      <c r="CI606" s="1"/>
      <c r="CK606" s="1"/>
      <c r="CM606" s="2"/>
      <c r="CN606" s="1"/>
      <c r="CO606" s="1"/>
      <c r="CP606" s="1"/>
      <c r="CQ606" s="1"/>
      <c r="CX606" s="1"/>
      <c r="CY606" s="1"/>
      <c r="CZ606" s="1"/>
      <c r="DA606" s="1"/>
      <c r="DB606" s="1"/>
      <c r="DC606" s="1"/>
      <c r="DD606" s="1"/>
      <c r="DE606" s="1"/>
      <c r="DF606" s="1"/>
      <c r="DG606" s="1"/>
      <c r="DH606" s="1"/>
      <c r="DI606" s="1"/>
      <c r="DJ606" s="1"/>
      <c r="DK606" s="1"/>
      <c r="ED606" s="1"/>
      <c r="EK606" s="1"/>
      <c r="EL606" s="1"/>
      <c r="EM606" s="1"/>
      <c r="EN606" s="1"/>
      <c r="EQ606" s="1"/>
      <c r="ER606" s="1"/>
      <c r="ES606" s="1"/>
      <c r="EV606" s="1"/>
      <c r="EW606" s="1"/>
      <c r="EX606" s="1"/>
      <c r="EZ606" s="1"/>
      <c r="FA606" s="1"/>
      <c r="FD606" s="1"/>
      <c r="FE606" s="1"/>
      <c r="FF606" s="1"/>
      <c r="FG606" s="1"/>
      <c r="FH606" s="1"/>
      <c r="FI606" s="1"/>
      <c r="FJ606" s="1"/>
      <c r="FK606" s="1"/>
      <c r="FM606" s="1"/>
      <c r="FN606" s="1"/>
      <c r="FO606" s="1"/>
      <c r="FP606" s="1"/>
      <c r="FQ606" s="1"/>
      <c r="FR606" s="1"/>
      <c r="FS606" s="1"/>
      <c r="FT606" s="1"/>
      <c r="FU606" s="1"/>
      <c r="FV606" s="1"/>
      <c r="FW606" s="1"/>
      <c r="FX606" s="1"/>
      <c r="FY606" s="1"/>
      <c r="FZ606" s="1"/>
      <c r="GA606" s="1"/>
      <c r="GB606" s="1"/>
      <c r="GD606" s="1"/>
      <c r="GE606" s="1"/>
      <c r="GF606" s="1"/>
      <c r="GG606" s="1"/>
      <c r="GH606" s="1"/>
      <c r="GI606" s="1"/>
      <c r="GJ606" s="1"/>
      <c r="GK606" s="1"/>
      <c r="GL606" s="1"/>
      <c r="GM606" s="1"/>
      <c r="GN606" s="1"/>
      <c r="GP606" s="1"/>
      <c r="GR606" s="1"/>
      <c r="GS606" s="1"/>
      <c r="GY606" s="1"/>
      <c r="HF606" s="1"/>
      <c r="HH606" s="1"/>
      <c r="HL606" s="1"/>
      <c r="HN606" s="1"/>
      <c r="HT606" s="1"/>
      <c r="HY606" s="1"/>
      <c r="IC606" s="1"/>
      <c r="ID606" s="1"/>
      <c r="IE606" s="1"/>
      <c r="IG606" s="1"/>
      <c r="IR606" s="1"/>
      <c r="IS606" s="1"/>
      <c r="IY606" s="1"/>
      <c r="IZ606" s="1"/>
      <c r="JC606" s="1"/>
      <c r="JF606" s="1"/>
      <c r="JG606" s="1"/>
      <c r="JH606" s="1"/>
      <c r="JJ606" s="1"/>
      <c r="JK606" s="1"/>
      <c r="JL606" s="3"/>
      <c r="JM606" s="1"/>
      <c r="JN606" s="1"/>
      <c r="JP606" s="1"/>
      <c r="JQ606" s="1"/>
      <c r="JR606" s="1"/>
      <c r="JU606" s="1"/>
      <c r="KU606" s="1"/>
      <c r="KY606" s="1"/>
      <c r="KZ606" s="1"/>
      <c r="LA606" s="1"/>
      <c r="LB606" s="1"/>
      <c r="LC606" s="1"/>
      <c r="LD606" s="1"/>
      <c r="LO606" s="1"/>
      <c r="LP606" s="1"/>
      <c r="LQ606" s="1"/>
      <c r="LZ606" s="1"/>
      <c r="MA606" s="1"/>
    </row>
    <row r="607" spans="4:339" ht="13" x14ac:dyDescent="0.15">
      <c r="D607" s="12"/>
      <c r="E607" s="12"/>
      <c r="I607" s="12"/>
      <c r="J607" s="13"/>
      <c r="BF607" s="1"/>
      <c r="BG607" s="1"/>
      <c r="BH607" s="1"/>
      <c r="BI607" s="1"/>
      <c r="BJ607" s="1"/>
      <c r="BK607" s="1"/>
      <c r="BL607" s="1"/>
      <c r="BM607" s="1"/>
      <c r="BN607" s="1"/>
      <c r="BO607" s="1"/>
      <c r="BP607" s="1"/>
      <c r="BQ607" s="1"/>
      <c r="BR607" s="1"/>
      <c r="CD607" s="1"/>
      <c r="CE607" s="1"/>
      <c r="CF607" s="1"/>
      <c r="CG607" s="1"/>
      <c r="CH607" s="1"/>
      <c r="CI607" s="1"/>
      <c r="CK607" s="1"/>
      <c r="CM607" s="2"/>
      <c r="CN607" s="1"/>
      <c r="CO607" s="1"/>
      <c r="CP607" s="1"/>
      <c r="CQ607" s="1"/>
      <c r="CX607" s="1"/>
      <c r="CY607" s="1"/>
      <c r="CZ607" s="1"/>
      <c r="DA607" s="1"/>
      <c r="DB607" s="1"/>
      <c r="DC607" s="1"/>
      <c r="DD607" s="1"/>
      <c r="DE607" s="1"/>
      <c r="DF607" s="1"/>
      <c r="DG607" s="1"/>
      <c r="DH607" s="1"/>
      <c r="DI607" s="1"/>
      <c r="DJ607" s="1"/>
      <c r="DK607" s="1"/>
      <c r="ED607" s="1"/>
      <c r="EK607" s="1"/>
      <c r="EL607" s="1"/>
      <c r="EM607" s="1"/>
      <c r="EN607" s="1"/>
      <c r="EQ607" s="1"/>
      <c r="ER607" s="1"/>
      <c r="ES607" s="1"/>
      <c r="EV607" s="1"/>
      <c r="EW607" s="1"/>
      <c r="EX607" s="1"/>
      <c r="EZ607" s="1"/>
      <c r="FA607" s="1"/>
      <c r="FD607" s="1"/>
      <c r="FE607" s="1"/>
      <c r="FF607" s="1"/>
      <c r="FG607" s="1"/>
      <c r="FH607" s="1"/>
      <c r="FI607" s="1"/>
      <c r="FJ607" s="1"/>
      <c r="FK607" s="1"/>
      <c r="FM607" s="1"/>
      <c r="FN607" s="1"/>
      <c r="FO607" s="1"/>
      <c r="FP607" s="1"/>
      <c r="FQ607" s="1"/>
      <c r="FR607" s="1"/>
      <c r="FS607" s="1"/>
      <c r="FT607" s="1"/>
      <c r="FU607" s="1"/>
      <c r="FV607" s="1"/>
      <c r="FW607" s="1"/>
      <c r="FX607" s="1"/>
      <c r="FY607" s="1"/>
      <c r="FZ607" s="1"/>
      <c r="GA607" s="1"/>
      <c r="GB607" s="1"/>
      <c r="GD607" s="1"/>
      <c r="GE607" s="1"/>
      <c r="GF607" s="1"/>
      <c r="GG607" s="1"/>
      <c r="GH607" s="1"/>
      <c r="GI607" s="1"/>
      <c r="GJ607" s="1"/>
      <c r="GK607" s="1"/>
      <c r="GL607" s="1"/>
      <c r="GM607" s="1"/>
      <c r="GN607" s="1"/>
      <c r="GP607" s="1"/>
      <c r="GR607" s="1"/>
      <c r="GS607" s="1"/>
      <c r="GY607" s="1"/>
      <c r="HF607" s="1"/>
      <c r="HH607" s="1"/>
      <c r="HL607" s="1"/>
      <c r="HN607" s="1"/>
      <c r="HT607" s="1"/>
      <c r="HY607" s="1"/>
      <c r="IC607" s="1"/>
      <c r="ID607" s="1"/>
      <c r="IE607" s="1"/>
      <c r="IG607" s="1"/>
      <c r="IR607" s="1"/>
      <c r="IS607" s="1"/>
      <c r="IY607" s="1"/>
      <c r="IZ607" s="1"/>
      <c r="JC607" s="1"/>
      <c r="JF607" s="1"/>
      <c r="JG607" s="1"/>
      <c r="JH607" s="1"/>
      <c r="JJ607" s="1"/>
      <c r="JK607" s="1"/>
      <c r="JL607" s="3"/>
      <c r="JM607" s="1"/>
      <c r="JN607" s="1"/>
      <c r="JP607" s="1"/>
      <c r="JQ607" s="1"/>
      <c r="JR607" s="1"/>
      <c r="JU607" s="1"/>
      <c r="KU607" s="1"/>
      <c r="KY607" s="1"/>
      <c r="KZ607" s="1"/>
      <c r="LA607" s="1"/>
      <c r="LB607" s="1"/>
      <c r="LC607" s="1"/>
      <c r="LD607" s="1"/>
      <c r="LO607" s="1"/>
      <c r="LP607" s="1"/>
      <c r="LQ607" s="1"/>
      <c r="LZ607" s="1"/>
      <c r="MA607" s="1"/>
    </row>
    <row r="608" spans="4:339" ht="13" x14ac:dyDescent="0.15">
      <c r="D608" s="12"/>
      <c r="E608" s="12"/>
      <c r="I608" s="12"/>
      <c r="J608" s="13"/>
      <c r="BF608" s="1"/>
      <c r="BG608" s="1"/>
      <c r="BH608" s="1"/>
      <c r="BI608" s="1"/>
      <c r="BJ608" s="1"/>
      <c r="BK608" s="1"/>
      <c r="BL608" s="1"/>
      <c r="BM608" s="1"/>
      <c r="BN608" s="1"/>
      <c r="BO608" s="1"/>
      <c r="BP608" s="1"/>
      <c r="BQ608" s="1"/>
      <c r="BR608" s="1"/>
      <c r="CD608" s="1"/>
      <c r="CE608" s="1"/>
      <c r="CF608" s="1"/>
      <c r="CG608" s="1"/>
      <c r="CH608" s="1"/>
      <c r="CI608" s="1"/>
      <c r="CK608" s="1"/>
      <c r="CM608" s="2"/>
      <c r="CN608" s="1"/>
      <c r="CO608" s="1"/>
      <c r="CP608" s="1"/>
      <c r="CQ608" s="1"/>
      <c r="CX608" s="1"/>
      <c r="CY608" s="1"/>
      <c r="CZ608" s="1"/>
      <c r="DA608" s="1"/>
      <c r="DB608" s="1"/>
      <c r="DC608" s="1"/>
      <c r="DD608" s="1"/>
      <c r="DE608" s="1"/>
      <c r="DF608" s="1"/>
      <c r="DG608" s="1"/>
      <c r="DH608" s="1"/>
      <c r="DI608" s="1"/>
      <c r="DJ608" s="1"/>
      <c r="DK608" s="1"/>
      <c r="ED608" s="1"/>
      <c r="EK608" s="1"/>
      <c r="EL608" s="1"/>
      <c r="EM608" s="1"/>
      <c r="EN608" s="1"/>
      <c r="EQ608" s="1"/>
      <c r="ER608" s="1"/>
      <c r="ES608" s="1"/>
      <c r="EV608" s="1"/>
      <c r="EW608" s="1"/>
      <c r="EX608" s="1"/>
      <c r="EZ608" s="1"/>
      <c r="FA608" s="1"/>
      <c r="FD608" s="1"/>
      <c r="FE608" s="1"/>
      <c r="FF608" s="1"/>
      <c r="FG608" s="1"/>
      <c r="FH608" s="1"/>
      <c r="FI608" s="1"/>
      <c r="FJ608" s="1"/>
      <c r="FK608" s="1"/>
      <c r="FM608" s="1"/>
      <c r="FN608" s="1"/>
      <c r="FO608" s="1"/>
      <c r="FP608" s="1"/>
      <c r="FQ608" s="1"/>
      <c r="FR608" s="1"/>
      <c r="FS608" s="1"/>
      <c r="FT608" s="1"/>
      <c r="FU608" s="1"/>
      <c r="FV608" s="1"/>
      <c r="FW608" s="1"/>
      <c r="FX608" s="1"/>
      <c r="FY608" s="1"/>
      <c r="FZ608" s="1"/>
      <c r="GA608" s="1"/>
      <c r="GB608" s="1"/>
      <c r="GD608" s="1"/>
      <c r="GE608" s="1"/>
      <c r="GF608" s="1"/>
      <c r="GG608" s="1"/>
      <c r="GH608" s="1"/>
      <c r="GI608" s="1"/>
      <c r="GJ608" s="1"/>
      <c r="GK608" s="1"/>
      <c r="GL608" s="1"/>
      <c r="GM608" s="1"/>
      <c r="GN608" s="1"/>
      <c r="GP608" s="1"/>
      <c r="GR608" s="1"/>
      <c r="GS608" s="1"/>
      <c r="GY608" s="1"/>
      <c r="HF608" s="1"/>
      <c r="HH608" s="1"/>
      <c r="HL608" s="1"/>
      <c r="HN608" s="1"/>
      <c r="HT608" s="1"/>
      <c r="HY608" s="1"/>
      <c r="IC608" s="1"/>
      <c r="ID608" s="1"/>
      <c r="IE608" s="1"/>
      <c r="IG608" s="1"/>
      <c r="IR608" s="1"/>
      <c r="IS608" s="1"/>
      <c r="IY608" s="1"/>
      <c r="IZ608" s="1"/>
      <c r="JC608" s="1"/>
      <c r="JF608" s="1"/>
      <c r="JG608" s="1"/>
      <c r="JH608" s="1"/>
      <c r="JJ608" s="1"/>
      <c r="JK608" s="1"/>
      <c r="JL608" s="3"/>
      <c r="JM608" s="1"/>
      <c r="JN608" s="1"/>
      <c r="JP608" s="1"/>
      <c r="JQ608" s="1"/>
      <c r="JR608" s="1"/>
      <c r="JU608" s="1"/>
      <c r="KU608" s="1"/>
      <c r="KY608" s="1"/>
      <c r="KZ608" s="1"/>
      <c r="LA608" s="1"/>
      <c r="LB608" s="1"/>
      <c r="LC608" s="1"/>
      <c r="LD608" s="1"/>
      <c r="LO608" s="1"/>
      <c r="LP608" s="1"/>
      <c r="LQ608" s="1"/>
      <c r="LZ608" s="1"/>
      <c r="MA608" s="1"/>
    </row>
    <row r="609" spans="4:339" ht="13" x14ac:dyDescent="0.15">
      <c r="D609" s="12"/>
      <c r="E609" s="12"/>
      <c r="I609" s="12"/>
      <c r="J609" s="13"/>
      <c r="BF609" s="1"/>
      <c r="BG609" s="1"/>
      <c r="BH609" s="1"/>
      <c r="BI609" s="1"/>
      <c r="BJ609" s="1"/>
      <c r="BK609" s="1"/>
      <c r="BL609" s="1"/>
      <c r="BM609" s="1"/>
      <c r="BN609" s="1"/>
      <c r="BO609" s="1"/>
      <c r="BP609" s="1"/>
      <c r="BQ609" s="1"/>
      <c r="BR609" s="1"/>
      <c r="CD609" s="1"/>
      <c r="CE609" s="1"/>
      <c r="CF609" s="1"/>
      <c r="CG609" s="1"/>
      <c r="CH609" s="1"/>
      <c r="CI609" s="1"/>
      <c r="CK609" s="1"/>
      <c r="CM609" s="2"/>
      <c r="CN609" s="1"/>
      <c r="CO609" s="1"/>
      <c r="CP609" s="1"/>
      <c r="CQ609" s="1"/>
      <c r="CX609" s="1"/>
      <c r="CY609" s="1"/>
      <c r="CZ609" s="1"/>
      <c r="DA609" s="1"/>
      <c r="DB609" s="1"/>
      <c r="DC609" s="1"/>
      <c r="DD609" s="1"/>
      <c r="DE609" s="1"/>
      <c r="DF609" s="1"/>
      <c r="DG609" s="1"/>
      <c r="DH609" s="1"/>
      <c r="DI609" s="1"/>
      <c r="DJ609" s="1"/>
      <c r="DK609" s="1"/>
      <c r="ED609" s="1"/>
      <c r="EK609" s="1"/>
      <c r="EL609" s="1"/>
      <c r="EM609" s="1"/>
      <c r="EN609" s="1"/>
      <c r="EQ609" s="1"/>
      <c r="ER609" s="1"/>
      <c r="ES609" s="1"/>
      <c r="EV609" s="1"/>
      <c r="EW609" s="1"/>
      <c r="EX609" s="1"/>
      <c r="EZ609" s="1"/>
      <c r="FA609" s="1"/>
      <c r="FD609" s="1"/>
      <c r="FE609" s="1"/>
      <c r="FF609" s="1"/>
      <c r="FG609" s="1"/>
      <c r="FH609" s="1"/>
      <c r="FI609" s="1"/>
      <c r="FJ609" s="1"/>
      <c r="FK609" s="1"/>
      <c r="FM609" s="1"/>
      <c r="FN609" s="1"/>
      <c r="FO609" s="1"/>
      <c r="FP609" s="1"/>
      <c r="FQ609" s="1"/>
      <c r="FR609" s="1"/>
      <c r="FS609" s="1"/>
      <c r="FT609" s="1"/>
      <c r="FU609" s="1"/>
      <c r="FV609" s="1"/>
      <c r="FW609" s="1"/>
      <c r="FX609" s="1"/>
      <c r="FY609" s="1"/>
      <c r="FZ609" s="1"/>
      <c r="GA609" s="1"/>
      <c r="GB609" s="1"/>
      <c r="GD609" s="1"/>
      <c r="GE609" s="1"/>
      <c r="GF609" s="1"/>
      <c r="GG609" s="1"/>
      <c r="GH609" s="1"/>
      <c r="GI609" s="1"/>
      <c r="GJ609" s="1"/>
      <c r="GK609" s="1"/>
      <c r="GL609" s="1"/>
      <c r="GM609" s="1"/>
      <c r="GN609" s="1"/>
      <c r="GP609" s="1"/>
      <c r="GR609" s="1"/>
      <c r="GS609" s="1"/>
      <c r="GY609" s="1"/>
      <c r="HF609" s="1"/>
      <c r="HH609" s="1"/>
      <c r="HL609" s="1"/>
      <c r="HN609" s="1"/>
      <c r="HT609" s="1"/>
      <c r="HY609" s="1"/>
      <c r="IC609" s="1"/>
      <c r="ID609" s="1"/>
      <c r="IE609" s="1"/>
      <c r="IG609" s="1"/>
      <c r="IR609" s="1"/>
      <c r="IS609" s="1"/>
      <c r="IY609" s="1"/>
      <c r="IZ609" s="1"/>
      <c r="JC609" s="1"/>
      <c r="JF609" s="1"/>
      <c r="JG609" s="1"/>
      <c r="JH609" s="1"/>
      <c r="JJ609" s="1"/>
      <c r="JK609" s="1"/>
      <c r="JL609" s="3"/>
      <c r="JM609" s="1"/>
      <c r="JN609" s="1"/>
      <c r="JP609" s="1"/>
      <c r="JQ609" s="1"/>
      <c r="JR609" s="1"/>
      <c r="JU609" s="1"/>
      <c r="KU609" s="1"/>
      <c r="KY609" s="1"/>
      <c r="KZ609" s="1"/>
      <c r="LA609" s="1"/>
      <c r="LB609" s="1"/>
      <c r="LC609" s="1"/>
      <c r="LD609" s="1"/>
      <c r="LO609" s="1"/>
      <c r="LP609" s="1"/>
      <c r="LQ609" s="1"/>
      <c r="LZ609" s="1"/>
      <c r="MA609" s="1"/>
    </row>
    <row r="610" spans="4:339" ht="13" x14ac:dyDescent="0.15">
      <c r="D610" s="12"/>
      <c r="E610" s="12"/>
      <c r="I610" s="12"/>
      <c r="J610" s="13"/>
      <c r="BF610" s="1"/>
      <c r="BG610" s="1"/>
      <c r="BH610" s="1"/>
      <c r="BI610" s="1"/>
      <c r="BJ610" s="1"/>
      <c r="BK610" s="1"/>
      <c r="BL610" s="1"/>
      <c r="BM610" s="1"/>
      <c r="BN610" s="1"/>
      <c r="BO610" s="1"/>
      <c r="BP610" s="1"/>
      <c r="BQ610" s="1"/>
      <c r="BR610" s="1"/>
      <c r="CD610" s="1"/>
      <c r="CE610" s="1"/>
      <c r="CF610" s="1"/>
      <c r="CG610" s="1"/>
      <c r="CH610" s="1"/>
      <c r="CI610" s="1"/>
      <c r="CK610" s="1"/>
      <c r="CM610" s="2"/>
      <c r="CN610" s="1"/>
      <c r="CO610" s="1"/>
      <c r="CP610" s="1"/>
      <c r="CQ610" s="1"/>
      <c r="CX610" s="1"/>
      <c r="CY610" s="1"/>
      <c r="CZ610" s="1"/>
      <c r="DA610" s="1"/>
      <c r="DB610" s="1"/>
      <c r="DC610" s="1"/>
      <c r="DD610" s="1"/>
      <c r="DE610" s="1"/>
      <c r="DF610" s="1"/>
      <c r="DG610" s="1"/>
      <c r="DH610" s="1"/>
      <c r="DI610" s="1"/>
      <c r="DJ610" s="1"/>
      <c r="DK610" s="1"/>
      <c r="ED610" s="1"/>
      <c r="EK610" s="1"/>
      <c r="EL610" s="1"/>
      <c r="EM610" s="1"/>
      <c r="EN610" s="1"/>
      <c r="EQ610" s="1"/>
      <c r="ER610" s="1"/>
      <c r="ES610" s="1"/>
      <c r="EV610" s="1"/>
      <c r="EW610" s="1"/>
      <c r="EX610" s="1"/>
      <c r="EZ610" s="1"/>
      <c r="FA610" s="1"/>
      <c r="FD610" s="1"/>
      <c r="FE610" s="1"/>
      <c r="FF610" s="1"/>
      <c r="FG610" s="1"/>
      <c r="FH610" s="1"/>
      <c r="FI610" s="1"/>
      <c r="FJ610" s="1"/>
      <c r="FK610" s="1"/>
      <c r="FM610" s="1"/>
      <c r="FN610" s="1"/>
      <c r="FO610" s="1"/>
      <c r="FP610" s="1"/>
      <c r="FQ610" s="1"/>
      <c r="FR610" s="1"/>
      <c r="FS610" s="1"/>
      <c r="FT610" s="1"/>
      <c r="FU610" s="1"/>
      <c r="FV610" s="1"/>
      <c r="FW610" s="1"/>
      <c r="FX610" s="1"/>
      <c r="FY610" s="1"/>
      <c r="FZ610" s="1"/>
      <c r="GA610" s="1"/>
      <c r="GB610" s="1"/>
      <c r="GD610" s="1"/>
      <c r="GE610" s="1"/>
      <c r="GF610" s="1"/>
      <c r="GG610" s="1"/>
      <c r="GH610" s="1"/>
      <c r="GI610" s="1"/>
      <c r="GJ610" s="1"/>
      <c r="GK610" s="1"/>
      <c r="GL610" s="1"/>
      <c r="GM610" s="1"/>
      <c r="GN610" s="1"/>
      <c r="GP610" s="1"/>
      <c r="GR610" s="1"/>
      <c r="GS610" s="1"/>
      <c r="GY610" s="1"/>
      <c r="HF610" s="1"/>
      <c r="HH610" s="1"/>
      <c r="HL610" s="1"/>
      <c r="HN610" s="1"/>
      <c r="HT610" s="1"/>
      <c r="HY610" s="1"/>
      <c r="IC610" s="1"/>
      <c r="ID610" s="1"/>
      <c r="IE610" s="1"/>
      <c r="IG610" s="1"/>
      <c r="IR610" s="1"/>
      <c r="IS610" s="1"/>
      <c r="IY610" s="1"/>
      <c r="IZ610" s="1"/>
      <c r="JC610" s="1"/>
      <c r="JF610" s="1"/>
      <c r="JG610" s="1"/>
      <c r="JH610" s="1"/>
      <c r="JJ610" s="1"/>
      <c r="JK610" s="1"/>
      <c r="JL610" s="3"/>
      <c r="JM610" s="1"/>
      <c r="JN610" s="1"/>
      <c r="JP610" s="1"/>
      <c r="JQ610" s="1"/>
      <c r="JR610" s="1"/>
      <c r="JU610" s="1"/>
      <c r="KU610" s="1"/>
      <c r="KY610" s="1"/>
      <c r="KZ610" s="1"/>
      <c r="LA610" s="1"/>
      <c r="LB610" s="1"/>
      <c r="LC610" s="1"/>
      <c r="LD610" s="1"/>
      <c r="LO610" s="1"/>
      <c r="LP610" s="1"/>
      <c r="LQ610" s="1"/>
      <c r="LZ610" s="1"/>
      <c r="MA610" s="1"/>
    </row>
    <row r="611" spans="4:339" ht="13" x14ac:dyDescent="0.15">
      <c r="D611" s="12"/>
      <c r="E611" s="12"/>
      <c r="I611" s="12"/>
      <c r="J611" s="13"/>
      <c r="BF611" s="1"/>
      <c r="BG611" s="1"/>
      <c r="BH611" s="1"/>
      <c r="BI611" s="1"/>
      <c r="BJ611" s="1"/>
      <c r="BK611" s="1"/>
      <c r="BL611" s="1"/>
      <c r="BM611" s="1"/>
      <c r="BN611" s="1"/>
      <c r="BO611" s="1"/>
      <c r="BP611" s="1"/>
      <c r="BQ611" s="1"/>
      <c r="BR611" s="1"/>
      <c r="CD611" s="1"/>
      <c r="CE611" s="1"/>
      <c r="CF611" s="1"/>
      <c r="CG611" s="1"/>
      <c r="CH611" s="1"/>
      <c r="CI611" s="1"/>
      <c r="CK611" s="1"/>
      <c r="CM611" s="2"/>
      <c r="CN611" s="1"/>
      <c r="CO611" s="1"/>
      <c r="CP611" s="1"/>
      <c r="CQ611" s="1"/>
      <c r="CX611" s="1"/>
      <c r="CY611" s="1"/>
      <c r="CZ611" s="1"/>
      <c r="DA611" s="1"/>
      <c r="DB611" s="1"/>
      <c r="DC611" s="1"/>
      <c r="DD611" s="1"/>
      <c r="DE611" s="1"/>
      <c r="DF611" s="1"/>
      <c r="DG611" s="1"/>
      <c r="DH611" s="1"/>
      <c r="DI611" s="1"/>
      <c r="DJ611" s="1"/>
      <c r="DK611" s="1"/>
      <c r="ED611" s="1"/>
      <c r="EK611" s="1"/>
      <c r="EL611" s="1"/>
      <c r="EM611" s="1"/>
      <c r="EN611" s="1"/>
      <c r="EQ611" s="1"/>
      <c r="ER611" s="1"/>
      <c r="ES611" s="1"/>
      <c r="EV611" s="1"/>
      <c r="EW611" s="1"/>
      <c r="EX611" s="1"/>
      <c r="EZ611" s="1"/>
      <c r="FA611" s="1"/>
      <c r="FD611" s="1"/>
      <c r="FE611" s="1"/>
      <c r="FF611" s="1"/>
      <c r="FG611" s="1"/>
      <c r="FH611" s="1"/>
      <c r="FI611" s="1"/>
      <c r="FJ611" s="1"/>
      <c r="FK611" s="1"/>
      <c r="FM611" s="1"/>
      <c r="FN611" s="1"/>
      <c r="FO611" s="1"/>
      <c r="FP611" s="1"/>
      <c r="FQ611" s="1"/>
      <c r="FR611" s="1"/>
      <c r="FS611" s="1"/>
      <c r="FT611" s="1"/>
      <c r="FU611" s="1"/>
      <c r="FV611" s="1"/>
      <c r="FW611" s="1"/>
      <c r="FX611" s="1"/>
      <c r="FY611" s="1"/>
      <c r="FZ611" s="1"/>
      <c r="GA611" s="1"/>
      <c r="GB611" s="1"/>
      <c r="GD611" s="1"/>
      <c r="GE611" s="1"/>
      <c r="GF611" s="1"/>
      <c r="GG611" s="1"/>
      <c r="GH611" s="1"/>
      <c r="GI611" s="1"/>
      <c r="GJ611" s="1"/>
      <c r="GK611" s="1"/>
      <c r="GL611" s="1"/>
      <c r="GM611" s="1"/>
      <c r="GN611" s="1"/>
      <c r="GP611" s="1"/>
      <c r="GR611" s="1"/>
      <c r="GS611" s="1"/>
      <c r="GY611" s="1"/>
      <c r="HF611" s="1"/>
      <c r="HH611" s="1"/>
      <c r="HL611" s="1"/>
      <c r="HN611" s="1"/>
      <c r="HT611" s="1"/>
      <c r="HY611" s="1"/>
      <c r="IC611" s="1"/>
      <c r="ID611" s="1"/>
      <c r="IE611" s="1"/>
      <c r="IG611" s="1"/>
      <c r="IR611" s="1"/>
      <c r="IS611" s="1"/>
      <c r="IY611" s="1"/>
      <c r="IZ611" s="1"/>
      <c r="JC611" s="1"/>
      <c r="JF611" s="1"/>
      <c r="JG611" s="1"/>
      <c r="JH611" s="1"/>
      <c r="JJ611" s="1"/>
      <c r="JK611" s="1"/>
      <c r="JL611" s="3"/>
      <c r="JM611" s="1"/>
      <c r="JN611" s="1"/>
      <c r="JP611" s="1"/>
      <c r="JQ611" s="1"/>
      <c r="JR611" s="1"/>
      <c r="JU611" s="1"/>
      <c r="KU611" s="1"/>
      <c r="KY611" s="1"/>
      <c r="KZ611" s="1"/>
      <c r="LA611" s="1"/>
      <c r="LB611" s="1"/>
      <c r="LC611" s="1"/>
      <c r="LD611" s="1"/>
      <c r="LO611" s="1"/>
      <c r="LP611" s="1"/>
      <c r="LQ611" s="1"/>
      <c r="LZ611" s="1"/>
      <c r="MA611" s="1"/>
    </row>
    <row r="612" spans="4:339" ht="13" x14ac:dyDescent="0.15">
      <c r="D612" s="12"/>
      <c r="E612" s="12"/>
      <c r="I612" s="12"/>
      <c r="J612" s="13"/>
      <c r="BF612" s="1"/>
      <c r="BG612" s="1"/>
      <c r="BH612" s="1"/>
      <c r="BI612" s="1"/>
      <c r="BJ612" s="1"/>
      <c r="BK612" s="1"/>
      <c r="BL612" s="1"/>
      <c r="BM612" s="1"/>
      <c r="BN612" s="1"/>
      <c r="BO612" s="1"/>
      <c r="BP612" s="1"/>
      <c r="BQ612" s="1"/>
      <c r="BR612" s="1"/>
      <c r="CD612" s="1"/>
      <c r="CE612" s="1"/>
      <c r="CF612" s="1"/>
      <c r="CG612" s="1"/>
      <c r="CH612" s="1"/>
      <c r="CI612" s="1"/>
      <c r="CK612" s="1"/>
      <c r="CM612" s="2"/>
      <c r="CN612" s="1"/>
      <c r="CO612" s="1"/>
      <c r="CP612" s="1"/>
      <c r="CQ612" s="1"/>
      <c r="CX612" s="1"/>
      <c r="CY612" s="1"/>
      <c r="CZ612" s="1"/>
      <c r="DA612" s="1"/>
      <c r="DB612" s="1"/>
      <c r="DC612" s="1"/>
      <c r="DD612" s="1"/>
      <c r="DE612" s="1"/>
      <c r="DF612" s="1"/>
      <c r="DG612" s="1"/>
      <c r="DH612" s="1"/>
      <c r="DI612" s="1"/>
      <c r="DJ612" s="1"/>
      <c r="DK612" s="1"/>
      <c r="ED612" s="1"/>
      <c r="EK612" s="1"/>
      <c r="EL612" s="1"/>
      <c r="EM612" s="1"/>
      <c r="EN612" s="1"/>
      <c r="EQ612" s="1"/>
      <c r="ER612" s="1"/>
      <c r="ES612" s="1"/>
      <c r="EV612" s="1"/>
      <c r="EW612" s="1"/>
      <c r="EX612" s="1"/>
      <c r="EZ612" s="1"/>
      <c r="FA612" s="1"/>
      <c r="FD612" s="1"/>
      <c r="FE612" s="1"/>
      <c r="FF612" s="1"/>
      <c r="FG612" s="1"/>
      <c r="FH612" s="1"/>
      <c r="FI612" s="1"/>
      <c r="FJ612" s="1"/>
      <c r="FK612" s="1"/>
      <c r="FM612" s="1"/>
      <c r="FN612" s="1"/>
      <c r="FO612" s="1"/>
      <c r="FP612" s="1"/>
      <c r="FQ612" s="1"/>
      <c r="FR612" s="1"/>
      <c r="FS612" s="1"/>
      <c r="FT612" s="1"/>
      <c r="FU612" s="1"/>
      <c r="FV612" s="1"/>
      <c r="FW612" s="1"/>
      <c r="FX612" s="1"/>
      <c r="FY612" s="1"/>
      <c r="FZ612" s="1"/>
      <c r="GA612" s="1"/>
      <c r="GB612" s="1"/>
      <c r="GD612" s="1"/>
      <c r="GE612" s="1"/>
      <c r="GF612" s="1"/>
      <c r="GG612" s="1"/>
      <c r="GH612" s="1"/>
      <c r="GI612" s="1"/>
      <c r="GJ612" s="1"/>
      <c r="GK612" s="1"/>
      <c r="GL612" s="1"/>
      <c r="GM612" s="1"/>
      <c r="GN612" s="1"/>
      <c r="GP612" s="1"/>
      <c r="GR612" s="1"/>
      <c r="GS612" s="1"/>
      <c r="GY612" s="1"/>
      <c r="HF612" s="1"/>
      <c r="HH612" s="1"/>
      <c r="HL612" s="1"/>
      <c r="HN612" s="1"/>
      <c r="HT612" s="1"/>
      <c r="HY612" s="1"/>
      <c r="IC612" s="1"/>
      <c r="ID612" s="1"/>
      <c r="IE612" s="1"/>
      <c r="IG612" s="1"/>
      <c r="IR612" s="1"/>
      <c r="IS612" s="1"/>
      <c r="IY612" s="1"/>
      <c r="IZ612" s="1"/>
      <c r="JC612" s="1"/>
      <c r="JF612" s="1"/>
      <c r="JG612" s="1"/>
      <c r="JH612" s="1"/>
      <c r="JJ612" s="1"/>
      <c r="JK612" s="1"/>
      <c r="JL612" s="3"/>
      <c r="JM612" s="1"/>
      <c r="JN612" s="1"/>
      <c r="JP612" s="1"/>
      <c r="JQ612" s="1"/>
      <c r="JR612" s="1"/>
      <c r="JU612" s="1"/>
      <c r="KU612" s="1"/>
      <c r="KY612" s="1"/>
      <c r="KZ612" s="1"/>
      <c r="LA612" s="1"/>
      <c r="LB612" s="1"/>
      <c r="LC612" s="1"/>
      <c r="LD612" s="1"/>
      <c r="LO612" s="1"/>
      <c r="LP612" s="1"/>
      <c r="LQ612" s="1"/>
      <c r="LZ612" s="1"/>
      <c r="MA612" s="1"/>
    </row>
    <row r="613" spans="4:339" ht="13" x14ac:dyDescent="0.15">
      <c r="D613" s="12"/>
      <c r="E613" s="12"/>
      <c r="I613" s="12"/>
      <c r="J613" s="13"/>
      <c r="BF613" s="1"/>
      <c r="BG613" s="1"/>
      <c r="BH613" s="1"/>
      <c r="BI613" s="1"/>
      <c r="BJ613" s="1"/>
      <c r="BK613" s="1"/>
      <c r="BL613" s="1"/>
      <c r="BM613" s="1"/>
      <c r="BN613" s="1"/>
      <c r="BP613" s="1"/>
      <c r="BQ613" s="1"/>
      <c r="BR613" s="1"/>
      <c r="CD613" s="1"/>
      <c r="CE613" s="1"/>
      <c r="CF613" s="1"/>
      <c r="CH613" s="1"/>
      <c r="CI613" s="1"/>
      <c r="CM613" s="2"/>
      <c r="CN613" s="1"/>
      <c r="CO613" s="1"/>
      <c r="CP613" s="1"/>
      <c r="CQ613" s="1"/>
      <c r="CR613" s="1"/>
      <c r="CT613" s="1"/>
      <c r="CU613" s="1"/>
      <c r="CV613" s="1"/>
      <c r="CW613" s="1"/>
      <c r="CX613" s="1"/>
      <c r="CY613" s="1"/>
      <c r="CZ613" s="1"/>
      <c r="DA613" s="1"/>
      <c r="DB613" s="1"/>
      <c r="DC613" s="1"/>
      <c r="DD613" s="1"/>
      <c r="DE613" s="1"/>
      <c r="DF613" s="1"/>
      <c r="DG613" s="1"/>
      <c r="DH613" s="1"/>
      <c r="DI613" s="1"/>
      <c r="DJ613" s="1"/>
      <c r="DK613" s="1"/>
      <c r="DM613" s="1"/>
      <c r="DR613" s="1"/>
      <c r="ED613" s="1"/>
      <c r="EF613" s="1"/>
      <c r="EK613" s="1"/>
      <c r="EL613" s="1"/>
      <c r="EM613" s="1"/>
      <c r="EN613" s="1"/>
      <c r="EQ613" s="1"/>
      <c r="ER613" s="1"/>
      <c r="ES613" s="1"/>
      <c r="EV613" s="1"/>
      <c r="EW613" s="1"/>
      <c r="EZ613" s="1"/>
      <c r="FA613" s="1"/>
      <c r="FD613" s="1"/>
      <c r="FG613" s="1"/>
      <c r="FH613" s="1"/>
      <c r="FI613" s="1"/>
      <c r="FJ613" s="1"/>
      <c r="FK613" s="1"/>
      <c r="FL613" s="1"/>
      <c r="FM613" s="1"/>
      <c r="FN613" s="1"/>
      <c r="FO613" s="1"/>
      <c r="FP613" s="1"/>
      <c r="FQ613" s="1"/>
      <c r="FR613" s="1"/>
      <c r="FS613" s="1"/>
      <c r="FT613" s="1"/>
      <c r="FU613" s="1"/>
      <c r="FV613" s="1"/>
      <c r="FW613" s="1"/>
      <c r="FX613" s="1"/>
      <c r="FY613" s="1"/>
      <c r="FZ613" s="1"/>
      <c r="GA613" s="1"/>
      <c r="GB613" s="1"/>
      <c r="GD613" s="1"/>
      <c r="GE613" s="1"/>
      <c r="GF613" s="1"/>
      <c r="GG613" s="1"/>
      <c r="GH613" s="1"/>
      <c r="GI613" s="1"/>
      <c r="GJ613" s="1"/>
      <c r="GK613" s="1"/>
      <c r="GL613" s="1"/>
      <c r="GM613" s="1"/>
      <c r="GN613" s="1"/>
      <c r="GO613" s="1"/>
      <c r="GP613" s="1"/>
      <c r="GR613" s="1"/>
      <c r="GY613" s="1"/>
      <c r="HF613" s="1"/>
      <c r="HH613" s="1"/>
      <c r="IC613" s="1"/>
      <c r="IE613" s="1"/>
      <c r="IR613" s="1"/>
      <c r="IS613" s="1"/>
      <c r="IZ613" s="1"/>
      <c r="JF613" s="1"/>
      <c r="JH613" s="1"/>
      <c r="JJ613" s="1"/>
      <c r="JN613" s="1"/>
      <c r="JP613" s="1"/>
      <c r="JQ613" s="1"/>
      <c r="KU613" s="1"/>
      <c r="KV613" s="1"/>
      <c r="KZ613" s="1"/>
      <c r="LA613" s="1"/>
      <c r="LC613" s="1"/>
      <c r="LO613" s="1"/>
      <c r="LP613" s="1"/>
      <c r="LZ613" s="1"/>
      <c r="MA613" s="1"/>
    </row>
    <row r="614" spans="4:339" ht="13" x14ac:dyDescent="0.15">
      <c r="D614" s="12"/>
      <c r="E614" s="12"/>
      <c r="I614" s="12"/>
      <c r="J614" s="13"/>
      <c r="BF614" s="1"/>
      <c r="BG614" s="1"/>
      <c r="BH614" s="1"/>
      <c r="BI614" s="1"/>
      <c r="BK614" s="1"/>
      <c r="BL614" s="1"/>
      <c r="BM614" s="1"/>
      <c r="BN614" s="1"/>
      <c r="BO614" s="1"/>
      <c r="BP614" s="1"/>
      <c r="BQ614" s="1"/>
      <c r="BR614" s="1"/>
      <c r="CC614" s="1"/>
      <c r="CD614" s="1"/>
      <c r="CE614" s="1"/>
      <c r="CF614" s="1"/>
      <c r="CG614" s="1"/>
      <c r="CH614" s="1"/>
      <c r="CI614" s="1"/>
      <c r="CK614" s="1"/>
      <c r="CM614" s="2"/>
      <c r="CN614" s="1"/>
      <c r="CO614" s="1"/>
      <c r="CP614" s="1"/>
      <c r="CQ614" s="1"/>
      <c r="CX614" s="1"/>
      <c r="CY614" s="1"/>
      <c r="CZ614" s="1"/>
      <c r="DA614" s="1"/>
      <c r="DB614" s="1"/>
      <c r="DC614" s="1"/>
      <c r="DD614" s="1"/>
      <c r="DE614" s="1"/>
      <c r="DF614" s="1"/>
      <c r="DG614" s="1"/>
      <c r="DH614" s="1"/>
      <c r="DI614" s="1"/>
      <c r="DJ614" s="1"/>
      <c r="DK614" s="1"/>
      <c r="DM614" s="1"/>
      <c r="DR614" s="1"/>
      <c r="ED614" s="1"/>
      <c r="EK614" s="1"/>
      <c r="EL614" s="1"/>
      <c r="EM614" s="1"/>
      <c r="EN614" s="1"/>
      <c r="EQ614" s="1"/>
      <c r="ER614" s="1"/>
      <c r="ES614" s="1"/>
      <c r="EV614" s="1"/>
      <c r="EW614" s="1"/>
      <c r="EZ614" s="1"/>
      <c r="FA614" s="1"/>
      <c r="FD614" s="1"/>
      <c r="FH614" s="1"/>
      <c r="FJ614" s="1"/>
      <c r="FL614" s="1"/>
      <c r="FM614" s="1"/>
      <c r="FN614" s="1"/>
      <c r="FO614" s="1"/>
      <c r="FP614" s="1"/>
      <c r="FS614" s="1"/>
      <c r="FT614" s="1"/>
      <c r="FU614" s="1"/>
      <c r="FV614" s="1"/>
      <c r="FW614" s="1"/>
      <c r="FX614" s="1"/>
      <c r="FY614" s="1"/>
      <c r="FZ614" s="1"/>
      <c r="GA614" s="1"/>
      <c r="GD614" s="1"/>
      <c r="GE614" s="1"/>
      <c r="GF614" s="1"/>
      <c r="GG614" s="1"/>
      <c r="GH614" s="1"/>
      <c r="GI614" s="1"/>
      <c r="GJ614" s="1"/>
      <c r="GK614" s="1"/>
      <c r="GL614" s="1"/>
      <c r="GM614" s="1"/>
      <c r="GN614" s="1"/>
      <c r="GP614" s="1"/>
      <c r="GR614" s="1"/>
      <c r="GY614" s="1"/>
      <c r="HF614" s="1"/>
      <c r="HN614" s="1"/>
      <c r="HQ614" s="1"/>
      <c r="HY614" s="1"/>
      <c r="ID614" s="1"/>
      <c r="IE614" s="1"/>
      <c r="IR614" s="1"/>
      <c r="IS614" s="1"/>
      <c r="IW614" s="1"/>
      <c r="IY614" s="1"/>
      <c r="IZ614" s="1"/>
      <c r="JA614" s="1"/>
      <c r="JC614" s="1"/>
      <c r="JF614" s="1"/>
      <c r="JG614" s="1"/>
      <c r="JH614" s="1"/>
      <c r="JJ614" s="1"/>
      <c r="JN614" s="1"/>
      <c r="JP614" s="1"/>
      <c r="JQ614" s="1"/>
      <c r="JT614" s="1"/>
      <c r="JW614" s="1"/>
      <c r="KS614" s="1"/>
      <c r="KT614" s="1"/>
      <c r="KW614" s="1"/>
      <c r="KY614" s="1"/>
      <c r="KZ614" s="1"/>
      <c r="LA614" s="1"/>
      <c r="LB614" s="1"/>
      <c r="LC614" s="1"/>
      <c r="LD614" s="1"/>
      <c r="LO614" s="1"/>
      <c r="LP614" s="1"/>
      <c r="LZ614" s="1"/>
      <c r="MA614" s="1"/>
    </row>
    <row r="615" spans="4:339" ht="13" x14ac:dyDescent="0.15">
      <c r="D615" s="12"/>
      <c r="E615" s="12"/>
      <c r="I615" s="12"/>
      <c r="J615" s="13"/>
      <c r="BF615" s="1"/>
      <c r="BG615" s="1"/>
      <c r="BH615" s="1"/>
      <c r="BI615" s="1"/>
      <c r="BK615" s="1"/>
      <c r="BL615" s="1"/>
      <c r="BM615" s="1"/>
      <c r="BN615" s="1"/>
      <c r="BO615" s="1"/>
      <c r="BP615" s="1"/>
      <c r="BQ615" s="1"/>
      <c r="BR615" s="1"/>
      <c r="CC615" s="1"/>
      <c r="CD615" s="1"/>
      <c r="CE615" s="1"/>
      <c r="CF615" s="1"/>
      <c r="CG615" s="1"/>
      <c r="CH615" s="1"/>
      <c r="CI615" s="1"/>
      <c r="CK615" s="1"/>
      <c r="CM615" s="2"/>
      <c r="CN615" s="1"/>
      <c r="CO615" s="1"/>
      <c r="CP615" s="1"/>
      <c r="CQ615" s="1"/>
      <c r="CX615" s="1"/>
      <c r="CY615" s="1"/>
      <c r="CZ615" s="1"/>
      <c r="DA615" s="1"/>
      <c r="DB615" s="1"/>
      <c r="DC615" s="1"/>
      <c r="DD615" s="1"/>
      <c r="DE615" s="1"/>
      <c r="DF615" s="1"/>
      <c r="DG615" s="1"/>
      <c r="DH615" s="1"/>
      <c r="DI615" s="1"/>
      <c r="DJ615" s="1"/>
      <c r="DK615" s="1"/>
      <c r="DM615" s="1"/>
      <c r="DR615" s="1"/>
      <c r="ED615" s="1"/>
      <c r="EK615" s="1"/>
      <c r="EL615" s="1"/>
      <c r="EM615" s="1"/>
      <c r="EN615" s="1"/>
      <c r="EQ615" s="1"/>
      <c r="ER615" s="1"/>
      <c r="ES615" s="1"/>
      <c r="EV615" s="1"/>
      <c r="EW615" s="1"/>
      <c r="EZ615" s="1"/>
      <c r="FA615" s="1"/>
      <c r="FD615" s="1"/>
      <c r="FH615" s="1"/>
      <c r="FJ615" s="1"/>
      <c r="FL615" s="1"/>
      <c r="FM615" s="1"/>
      <c r="FN615" s="1"/>
      <c r="FO615" s="1"/>
      <c r="FP615" s="1"/>
      <c r="FS615" s="1"/>
      <c r="FT615" s="1"/>
      <c r="FU615" s="1"/>
      <c r="FV615" s="1"/>
      <c r="FW615" s="1"/>
      <c r="FX615" s="1"/>
      <c r="FY615" s="1"/>
      <c r="FZ615" s="1"/>
      <c r="GA615" s="1"/>
      <c r="GD615" s="1"/>
      <c r="GE615" s="1"/>
      <c r="GF615" s="1"/>
      <c r="GG615" s="1"/>
      <c r="GH615" s="1"/>
      <c r="GI615" s="1"/>
      <c r="GJ615" s="1"/>
      <c r="GK615" s="1"/>
      <c r="GL615" s="1"/>
      <c r="GM615" s="1"/>
      <c r="GN615" s="1"/>
      <c r="GP615" s="1"/>
      <c r="GR615" s="1"/>
      <c r="GY615" s="1"/>
      <c r="HF615" s="1"/>
      <c r="HN615" s="1"/>
      <c r="HQ615" s="1"/>
      <c r="HY615" s="1"/>
      <c r="ID615" s="1"/>
      <c r="IE615" s="1"/>
      <c r="IR615" s="1"/>
      <c r="IS615" s="1"/>
      <c r="IW615" s="1"/>
      <c r="IY615" s="1"/>
      <c r="IZ615" s="1"/>
      <c r="JA615" s="1"/>
      <c r="JC615" s="1"/>
      <c r="JF615" s="1"/>
      <c r="JG615" s="1"/>
      <c r="JH615" s="1"/>
      <c r="JJ615" s="1"/>
      <c r="JN615" s="1"/>
      <c r="JP615" s="1"/>
      <c r="JQ615" s="1"/>
      <c r="JT615" s="1"/>
      <c r="JW615" s="1"/>
      <c r="KS615" s="1"/>
      <c r="KT615" s="1"/>
      <c r="KW615" s="1"/>
      <c r="KY615" s="1"/>
      <c r="KZ615" s="1"/>
      <c r="LA615" s="1"/>
      <c r="LB615" s="1"/>
      <c r="LC615" s="1"/>
      <c r="LD615" s="1"/>
      <c r="LO615" s="1"/>
      <c r="LP615" s="1"/>
      <c r="LZ615" s="1"/>
      <c r="MA615" s="1"/>
    </row>
    <row r="616" spans="4:339" ht="13" x14ac:dyDescent="0.15">
      <c r="D616" s="12"/>
      <c r="E616" s="12"/>
      <c r="I616" s="12"/>
      <c r="J616" s="13"/>
      <c r="BF616" s="1"/>
      <c r="BG616" s="1"/>
      <c r="BH616" s="1"/>
      <c r="BI616" s="1"/>
      <c r="BK616" s="1"/>
      <c r="BL616" s="1"/>
      <c r="BM616" s="1"/>
      <c r="BN616" s="1"/>
      <c r="BO616" s="1"/>
      <c r="BP616" s="1"/>
      <c r="BQ616" s="1"/>
      <c r="BR616" s="1"/>
      <c r="CC616" s="1"/>
      <c r="CD616" s="1"/>
      <c r="CE616" s="1"/>
      <c r="CF616" s="1"/>
      <c r="CG616" s="1"/>
      <c r="CH616" s="1"/>
      <c r="CI616" s="1"/>
      <c r="CK616" s="1"/>
      <c r="CM616" s="2"/>
      <c r="CN616" s="1"/>
      <c r="CO616" s="1"/>
      <c r="CP616" s="1"/>
      <c r="CQ616" s="1"/>
      <c r="CX616" s="1"/>
      <c r="CY616" s="1"/>
      <c r="CZ616" s="1"/>
      <c r="DA616" s="1"/>
      <c r="DB616" s="1"/>
      <c r="DC616" s="1"/>
      <c r="DD616" s="1"/>
      <c r="DE616" s="1"/>
      <c r="DF616" s="1"/>
      <c r="DG616" s="1"/>
      <c r="DH616" s="1"/>
      <c r="DI616" s="1"/>
      <c r="DJ616" s="1"/>
      <c r="DK616" s="1"/>
      <c r="DM616" s="1"/>
      <c r="DR616" s="1"/>
      <c r="ED616" s="1"/>
      <c r="EK616" s="1"/>
      <c r="EL616" s="1"/>
      <c r="EM616" s="1"/>
      <c r="EN616" s="1"/>
      <c r="EQ616" s="1"/>
      <c r="ER616" s="1"/>
      <c r="ES616" s="1"/>
      <c r="EV616" s="1"/>
      <c r="EW616" s="1"/>
      <c r="EZ616" s="1"/>
      <c r="FA616" s="1"/>
      <c r="FD616" s="1"/>
      <c r="FH616" s="1"/>
      <c r="FJ616" s="1"/>
      <c r="FL616" s="1"/>
      <c r="FM616" s="1"/>
      <c r="FN616" s="1"/>
      <c r="FO616" s="1"/>
      <c r="FP616" s="1"/>
      <c r="FS616" s="1"/>
      <c r="FT616" s="1"/>
      <c r="FU616" s="1"/>
      <c r="FV616" s="1"/>
      <c r="FW616" s="1"/>
      <c r="FX616" s="1"/>
      <c r="FY616" s="1"/>
      <c r="FZ616" s="1"/>
      <c r="GA616" s="1"/>
      <c r="GD616" s="1"/>
      <c r="GE616" s="1"/>
      <c r="GF616" s="1"/>
      <c r="GG616" s="1"/>
      <c r="GH616" s="1"/>
      <c r="GI616" s="1"/>
      <c r="GJ616" s="1"/>
      <c r="GK616" s="1"/>
      <c r="GL616" s="1"/>
      <c r="GM616" s="1"/>
      <c r="GN616" s="1"/>
      <c r="GP616" s="1"/>
      <c r="GR616" s="1"/>
      <c r="GY616" s="1"/>
      <c r="HF616" s="1"/>
      <c r="HN616" s="1"/>
      <c r="HQ616" s="1"/>
      <c r="HY616" s="1"/>
      <c r="ID616" s="1"/>
      <c r="IE616" s="1"/>
      <c r="IR616" s="1"/>
      <c r="IS616" s="1"/>
      <c r="IW616" s="1"/>
      <c r="IY616" s="1"/>
      <c r="IZ616" s="1"/>
      <c r="JA616" s="1"/>
      <c r="JC616" s="1"/>
      <c r="JF616" s="1"/>
      <c r="JG616" s="1"/>
      <c r="JH616" s="1"/>
      <c r="JJ616" s="1"/>
      <c r="JN616" s="1"/>
      <c r="JP616" s="1"/>
      <c r="JQ616" s="1"/>
      <c r="JT616" s="1"/>
      <c r="JW616" s="1"/>
      <c r="KS616" s="1"/>
      <c r="KT616" s="1"/>
      <c r="KW616" s="1"/>
      <c r="KY616" s="1"/>
      <c r="KZ616" s="1"/>
      <c r="LA616" s="1"/>
      <c r="LB616" s="1"/>
      <c r="LC616" s="1"/>
      <c r="LD616" s="1"/>
      <c r="LO616" s="1"/>
      <c r="LP616" s="1"/>
      <c r="LZ616" s="1"/>
      <c r="MA616" s="1"/>
    </row>
    <row r="617" spans="4:339" ht="13" x14ac:dyDescent="0.15">
      <c r="D617" s="12"/>
      <c r="E617" s="12"/>
      <c r="I617" s="12"/>
      <c r="J617" s="13"/>
      <c r="BF617" s="1"/>
      <c r="BG617" s="1"/>
      <c r="BH617" s="1"/>
      <c r="BI617" s="1"/>
      <c r="BK617" s="1"/>
      <c r="BL617" s="1"/>
      <c r="BM617" s="1"/>
      <c r="BN617" s="1"/>
      <c r="BO617" s="1"/>
      <c r="BP617" s="1"/>
      <c r="BQ617" s="1"/>
      <c r="BR617" s="1"/>
      <c r="CC617" s="1"/>
      <c r="CD617" s="1"/>
      <c r="CE617" s="1"/>
      <c r="CF617" s="1"/>
      <c r="CG617" s="1"/>
      <c r="CH617" s="1"/>
      <c r="CI617" s="1"/>
      <c r="CK617" s="1"/>
      <c r="CM617" s="2"/>
      <c r="CN617" s="1"/>
      <c r="CO617" s="1"/>
      <c r="CP617" s="1"/>
      <c r="CQ617" s="1"/>
      <c r="CX617" s="1"/>
      <c r="CY617" s="1"/>
      <c r="CZ617" s="1"/>
      <c r="DA617" s="1"/>
      <c r="DB617" s="1"/>
      <c r="DC617" s="1"/>
      <c r="DD617" s="1"/>
      <c r="DE617" s="1"/>
      <c r="DF617" s="1"/>
      <c r="DG617" s="1"/>
      <c r="DH617" s="1"/>
      <c r="DI617" s="1"/>
      <c r="DJ617" s="1"/>
      <c r="DK617" s="1"/>
      <c r="DM617" s="1"/>
      <c r="DR617" s="1"/>
      <c r="ED617" s="1"/>
      <c r="EK617" s="1"/>
      <c r="EL617" s="1"/>
      <c r="EM617" s="1"/>
      <c r="EN617" s="1"/>
      <c r="EQ617" s="1"/>
      <c r="ER617" s="1"/>
      <c r="ES617" s="1"/>
      <c r="EV617" s="1"/>
      <c r="EW617" s="1"/>
      <c r="EZ617" s="1"/>
      <c r="FA617" s="1"/>
      <c r="FD617" s="1"/>
      <c r="FH617" s="1"/>
      <c r="FJ617" s="1"/>
      <c r="FL617" s="1"/>
      <c r="FM617" s="1"/>
      <c r="FN617" s="1"/>
      <c r="FO617" s="1"/>
      <c r="FP617" s="1"/>
      <c r="FS617" s="1"/>
      <c r="FT617" s="1"/>
      <c r="FU617" s="1"/>
      <c r="FV617" s="1"/>
      <c r="FW617" s="1"/>
      <c r="FX617" s="1"/>
      <c r="FY617" s="1"/>
      <c r="FZ617" s="1"/>
      <c r="GA617" s="1"/>
      <c r="GD617" s="1"/>
      <c r="GE617" s="1"/>
      <c r="GF617" s="1"/>
      <c r="GG617" s="1"/>
      <c r="GH617" s="1"/>
      <c r="GI617" s="1"/>
      <c r="GJ617" s="1"/>
      <c r="GK617" s="1"/>
      <c r="GL617" s="1"/>
      <c r="GM617" s="1"/>
      <c r="GN617" s="1"/>
      <c r="GP617" s="1"/>
      <c r="GR617" s="1"/>
      <c r="GY617" s="1"/>
      <c r="HF617" s="1"/>
      <c r="HN617" s="1"/>
      <c r="HQ617" s="1"/>
      <c r="HY617" s="1"/>
      <c r="ID617" s="1"/>
      <c r="IE617" s="1"/>
      <c r="IR617" s="1"/>
      <c r="IS617" s="1"/>
      <c r="IW617" s="1"/>
      <c r="IY617" s="1"/>
      <c r="IZ617" s="1"/>
      <c r="JA617" s="1"/>
      <c r="JC617" s="1"/>
      <c r="JF617" s="1"/>
      <c r="JG617" s="1"/>
      <c r="JH617" s="1"/>
      <c r="JJ617" s="1"/>
      <c r="JN617" s="1"/>
      <c r="JP617" s="1"/>
      <c r="JQ617" s="1"/>
      <c r="JT617" s="1"/>
      <c r="JW617" s="1"/>
      <c r="KS617" s="1"/>
      <c r="KT617" s="1"/>
      <c r="KW617" s="1"/>
      <c r="KY617" s="1"/>
      <c r="KZ617" s="1"/>
      <c r="LA617" s="1"/>
      <c r="LB617" s="1"/>
      <c r="LC617" s="1"/>
      <c r="LD617" s="1"/>
      <c r="LO617" s="1"/>
      <c r="LP617" s="1"/>
      <c r="LZ617" s="1"/>
      <c r="MA617" s="1"/>
    </row>
    <row r="618" spans="4:339" ht="13" x14ac:dyDescent="0.15">
      <c r="D618" s="12"/>
      <c r="E618" s="12"/>
      <c r="I618" s="12"/>
      <c r="J618" s="13"/>
      <c r="BF618" s="1"/>
      <c r="BG618" s="1"/>
      <c r="BH618" s="1"/>
      <c r="BI618" s="1"/>
      <c r="BK618" s="1"/>
      <c r="BL618" s="1"/>
      <c r="BM618" s="1"/>
      <c r="BN618" s="1"/>
      <c r="BO618" s="1"/>
      <c r="BP618" s="1"/>
      <c r="BQ618" s="1"/>
      <c r="BR618" s="1"/>
      <c r="CC618" s="1"/>
      <c r="CD618" s="1"/>
      <c r="CE618" s="1"/>
      <c r="CF618" s="1"/>
      <c r="CG618" s="1"/>
      <c r="CH618" s="1"/>
      <c r="CI618" s="1"/>
      <c r="CK618" s="1"/>
      <c r="CM618" s="2"/>
      <c r="CN618" s="1"/>
      <c r="CO618" s="1"/>
      <c r="CP618" s="1"/>
      <c r="CQ618" s="1"/>
      <c r="CX618" s="1"/>
      <c r="CY618" s="1"/>
      <c r="CZ618" s="1"/>
      <c r="DA618" s="1"/>
      <c r="DB618" s="1"/>
      <c r="DC618" s="1"/>
      <c r="DD618" s="1"/>
      <c r="DE618" s="1"/>
      <c r="DF618" s="1"/>
      <c r="DG618" s="1"/>
      <c r="DH618" s="1"/>
      <c r="DI618" s="1"/>
      <c r="DJ618" s="1"/>
      <c r="DK618" s="1"/>
      <c r="DM618" s="1"/>
      <c r="DR618" s="1"/>
      <c r="ED618" s="1"/>
      <c r="EK618" s="1"/>
      <c r="EL618" s="1"/>
      <c r="EM618" s="1"/>
      <c r="EN618" s="1"/>
      <c r="EQ618" s="1"/>
      <c r="ER618" s="1"/>
      <c r="ES618" s="1"/>
      <c r="EV618" s="1"/>
      <c r="EW618" s="1"/>
      <c r="EZ618" s="1"/>
      <c r="FA618" s="1"/>
      <c r="FD618" s="1"/>
      <c r="FH618" s="1"/>
      <c r="FJ618" s="1"/>
      <c r="FL618" s="1"/>
      <c r="FM618" s="1"/>
      <c r="FN618" s="1"/>
      <c r="FO618" s="1"/>
      <c r="FP618" s="1"/>
      <c r="FS618" s="1"/>
      <c r="FT618" s="1"/>
      <c r="FU618" s="1"/>
      <c r="FV618" s="1"/>
      <c r="FW618" s="1"/>
      <c r="FX618" s="1"/>
      <c r="FY618" s="1"/>
      <c r="FZ618" s="1"/>
      <c r="GA618" s="1"/>
      <c r="GD618" s="1"/>
      <c r="GE618" s="1"/>
      <c r="GF618" s="1"/>
      <c r="GG618" s="1"/>
      <c r="GH618" s="1"/>
      <c r="GI618" s="1"/>
      <c r="GJ618" s="1"/>
      <c r="GK618" s="1"/>
      <c r="GL618" s="1"/>
      <c r="GM618" s="1"/>
      <c r="GN618" s="1"/>
      <c r="GP618" s="1"/>
      <c r="GR618" s="1"/>
      <c r="GY618" s="1"/>
      <c r="HF618" s="1"/>
      <c r="HN618" s="1"/>
      <c r="HQ618" s="1"/>
      <c r="HY618" s="1"/>
      <c r="ID618" s="1"/>
      <c r="IE618" s="1"/>
      <c r="IR618" s="1"/>
      <c r="IS618" s="1"/>
      <c r="IW618" s="1"/>
      <c r="IY618" s="1"/>
      <c r="IZ618" s="1"/>
      <c r="JA618" s="1"/>
      <c r="JC618" s="1"/>
      <c r="JF618" s="1"/>
      <c r="JG618" s="1"/>
      <c r="JH618" s="1"/>
      <c r="JJ618" s="1"/>
      <c r="JN618" s="1"/>
      <c r="JP618" s="1"/>
      <c r="JQ618" s="1"/>
      <c r="JT618" s="1"/>
      <c r="JW618" s="1"/>
      <c r="KS618" s="1"/>
      <c r="KT618" s="1"/>
      <c r="KW618" s="1"/>
      <c r="KY618" s="1"/>
      <c r="KZ618" s="1"/>
      <c r="LA618" s="1"/>
      <c r="LB618" s="1"/>
      <c r="LC618" s="1"/>
      <c r="LD618" s="1"/>
      <c r="LO618" s="1"/>
      <c r="LP618" s="1"/>
      <c r="LZ618" s="1"/>
      <c r="MA618" s="1"/>
    </row>
    <row r="619" spans="4:339" ht="13" x14ac:dyDescent="0.15">
      <c r="D619" s="12"/>
      <c r="E619" s="12"/>
      <c r="I619" s="12"/>
      <c r="J619" s="13"/>
      <c r="BF619" s="1"/>
      <c r="BG619" s="1"/>
      <c r="BH619" s="1"/>
      <c r="BI619" s="1"/>
      <c r="BK619" s="1"/>
      <c r="BL619" s="1"/>
      <c r="BM619" s="1"/>
      <c r="BN619" s="1"/>
      <c r="BO619" s="1"/>
      <c r="BP619" s="1"/>
      <c r="BQ619" s="1"/>
      <c r="BR619" s="1"/>
      <c r="CC619" s="1"/>
      <c r="CD619" s="1"/>
      <c r="CE619" s="1"/>
      <c r="CF619" s="1"/>
      <c r="CG619" s="1"/>
      <c r="CH619" s="1"/>
      <c r="CI619" s="1"/>
      <c r="CK619" s="1"/>
      <c r="CM619" s="2"/>
      <c r="CN619" s="1"/>
      <c r="CO619" s="1"/>
      <c r="CP619" s="1"/>
      <c r="CQ619" s="1"/>
      <c r="CX619" s="1"/>
      <c r="CY619" s="1"/>
      <c r="CZ619" s="1"/>
      <c r="DA619" s="1"/>
      <c r="DB619" s="1"/>
      <c r="DC619" s="1"/>
      <c r="DD619" s="1"/>
      <c r="DE619" s="1"/>
      <c r="DF619" s="1"/>
      <c r="DG619" s="1"/>
      <c r="DH619" s="1"/>
      <c r="DI619" s="1"/>
      <c r="DJ619" s="1"/>
      <c r="DK619" s="1"/>
      <c r="DM619" s="1"/>
      <c r="DR619" s="1"/>
      <c r="ED619" s="1"/>
      <c r="EK619" s="1"/>
      <c r="EL619" s="1"/>
      <c r="EM619" s="1"/>
      <c r="EN619" s="1"/>
      <c r="EQ619" s="1"/>
      <c r="ER619" s="1"/>
      <c r="ES619" s="1"/>
      <c r="EV619" s="1"/>
      <c r="EW619" s="1"/>
      <c r="EZ619" s="1"/>
      <c r="FA619" s="1"/>
      <c r="FD619" s="1"/>
      <c r="FH619" s="1"/>
      <c r="FJ619" s="1"/>
      <c r="FL619" s="1"/>
      <c r="FM619" s="1"/>
      <c r="FN619" s="1"/>
      <c r="FO619" s="1"/>
      <c r="FP619" s="1"/>
      <c r="FS619" s="1"/>
      <c r="FT619" s="1"/>
      <c r="FU619" s="1"/>
      <c r="FV619" s="1"/>
      <c r="FW619" s="1"/>
      <c r="FX619" s="1"/>
      <c r="FY619" s="1"/>
      <c r="FZ619" s="1"/>
      <c r="GA619" s="1"/>
      <c r="GD619" s="1"/>
      <c r="GE619" s="1"/>
      <c r="GF619" s="1"/>
      <c r="GG619" s="1"/>
      <c r="GH619" s="1"/>
      <c r="GI619" s="1"/>
      <c r="GJ619" s="1"/>
      <c r="GK619" s="1"/>
      <c r="GL619" s="1"/>
      <c r="GM619" s="1"/>
      <c r="GN619" s="1"/>
      <c r="GP619" s="1"/>
      <c r="GR619" s="1"/>
      <c r="GY619" s="1"/>
      <c r="HF619" s="1"/>
      <c r="HN619" s="1"/>
      <c r="HQ619" s="1"/>
      <c r="HY619" s="1"/>
      <c r="ID619" s="1"/>
      <c r="IE619" s="1"/>
      <c r="IR619" s="1"/>
      <c r="IS619" s="1"/>
      <c r="IW619" s="1"/>
      <c r="IY619" s="1"/>
      <c r="IZ619" s="1"/>
      <c r="JA619" s="1"/>
      <c r="JC619" s="1"/>
      <c r="JF619" s="1"/>
      <c r="JG619" s="1"/>
      <c r="JH619" s="1"/>
      <c r="JJ619" s="1"/>
      <c r="JN619" s="1"/>
      <c r="JP619" s="1"/>
      <c r="JQ619" s="1"/>
      <c r="JT619" s="1"/>
      <c r="JW619" s="1"/>
      <c r="KS619" s="1"/>
      <c r="KT619" s="1"/>
      <c r="KW619" s="1"/>
      <c r="KY619" s="1"/>
      <c r="KZ619" s="1"/>
      <c r="LA619" s="1"/>
      <c r="LB619" s="1"/>
      <c r="LC619" s="1"/>
      <c r="LD619" s="1"/>
      <c r="LO619" s="1"/>
      <c r="LP619" s="1"/>
      <c r="LZ619" s="1"/>
      <c r="MA619" s="1"/>
    </row>
    <row r="620" spans="4:339" ht="13" x14ac:dyDescent="0.15">
      <c r="D620" s="12"/>
      <c r="E620" s="12"/>
      <c r="I620" s="12"/>
      <c r="J620" s="13"/>
      <c r="BF620" s="1"/>
      <c r="BG620" s="1"/>
      <c r="BH620" s="1"/>
      <c r="BI620" s="1"/>
      <c r="BJ620" s="1"/>
      <c r="BK620" s="1"/>
      <c r="BL620" s="1"/>
      <c r="BM620" s="1"/>
      <c r="BN620" s="1"/>
      <c r="BO620" s="1"/>
      <c r="BP620" s="1"/>
      <c r="BQ620" s="1"/>
      <c r="BR620" s="1"/>
      <c r="BX620" s="1"/>
      <c r="CD620" s="1"/>
      <c r="CE620" s="1"/>
      <c r="CF620" s="1"/>
      <c r="CG620" s="1"/>
      <c r="CH620" s="1"/>
      <c r="CI620" s="1"/>
      <c r="CK620" s="1"/>
      <c r="CM620" s="2"/>
      <c r="CN620" s="1"/>
      <c r="CO620" s="1"/>
      <c r="CP620" s="1"/>
      <c r="CQ620" s="1"/>
      <c r="CR620" s="1"/>
      <c r="CS620" s="1"/>
      <c r="CT620" s="1"/>
      <c r="CU620" s="1"/>
      <c r="CV620" s="1"/>
      <c r="CW620" s="1"/>
      <c r="CX620" s="1"/>
      <c r="CY620" s="1"/>
      <c r="CZ620" s="1"/>
      <c r="DA620" s="1"/>
      <c r="DB620" s="1"/>
      <c r="DC620" s="1"/>
      <c r="DD620" s="1"/>
      <c r="DE620" s="1"/>
      <c r="DF620" s="1"/>
      <c r="DG620" s="1"/>
      <c r="DH620" s="1"/>
      <c r="DI620" s="1"/>
      <c r="DJ620" s="1"/>
      <c r="DK620" s="1"/>
      <c r="DM620" s="1"/>
      <c r="DQ620" s="1"/>
      <c r="DR620" s="1"/>
      <c r="DY620" s="1"/>
      <c r="DZ620" s="1"/>
      <c r="ED620" s="1"/>
      <c r="EE620" s="1"/>
      <c r="EF620" s="1"/>
      <c r="EG620" s="1"/>
      <c r="EH620" s="1"/>
      <c r="EK620" s="1"/>
      <c r="EL620" s="1"/>
      <c r="EM620" s="1"/>
      <c r="EN620" s="1"/>
      <c r="EQ620" s="1"/>
      <c r="ER620" s="1"/>
      <c r="ES620" s="1"/>
      <c r="EV620" s="1"/>
      <c r="EW620" s="1"/>
      <c r="EY620" s="1"/>
      <c r="EZ620" s="1"/>
      <c r="FA620" s="1"/>
      <c r="FD620" s="1"/>
      <c r="FG620" s="1"/>
      <c r="FH620" s="1"/>
      <c r="FI620" s="1"/>
      <c r="FJ620" s="1"/>
      <c r="FL620" s="1"/>
      <c r="FM620" s="1"/>
      <c r="FN620" s="1"/>
      <c r="FO620" s="1"/>
      <c r="FP620" s="1"/>
      <c r="FQ620" s="1"/>
      <c r="FR620" s="1"/>
      <c r="FS620" s="1"/>
      <c r="FT620" s="1"/>
      <c r="FU620" s="1"/>
      <c r="FV620" s="1"/>
      <c r="FW620" s="1"/>
      <c r="FX620" s="1"/>
      <c r="FY620" s="1"/>
      <c r="FZ620" s="1"/>
      <c r="GA620" s="1"/>
      <c r="GD620" s="1"/>
      <c r="GE620" s="1"/>
      <c r="GF620" s="1"/>
      <c r="GG620" s="1"/>
      <c r="GH620" s="1"/>
      <c r="GI620" s="1"/>
      <c r="GJ620" s="1"/>
      <c r="GK620" s="1"/>
      <c r="GL620" s="1"/>
      <c r="GM620" s="1"/>
      <c r="GN620" s="1"/>
      <c r="GO620" s="1"/>
      <c r="GP620" s="1"/>
      <c r="GR620" s="1"/>
      <c r="GY620" s="1"/>
      <c r="HF620" s="1"/>
      <c r="HH620" s="1"/>
      <c r="HN620" s="1"/>
      <c r="HT620" s="1"/>
      <c r="HY620" s="1"/>
      <c r="IC620" s="1"/>
      <c r="IE620" s="1"/>
      <c r="IF620" s="1"/>
      <c r="IG620" s="1"/>
      <c r="IJ620" s="1"/>
      <c r="IR620" s="1"/>
      <c r="IS620" s="1"/>
      <c r="IZ620" s="1"/>
      <c r="JC620" s="1"/>
      <c r="JF620" s="1"/>
      <c r="JG620" s="1"/>
      <c r="JJ620" s="1"/>
      <c r="JK620" s="1"/>
      <c r="JL620" s="3"/>
      <c r="JM620" s="1"/>
      <c r="JP620" s="1"/>
      <c r="JQ620" s="1"/>
      <c r="JR620" s="1"/>
      <c r="JT620" s="1"/>
      <c r="KV620" s="1"/>
      <c r="KW620" s="1"/>
      <c r="KY620" s="1"/>
      <c r="KZ620" s="1"/>
      <c r="LA620" s="1"/>
      <c r="LB620" s="1"/>
      <c r="LC620" s="1"/>
      <c r="LD620" s="1"/>
      <c r="LO620" s="1"/>
      <c r="LP620" s="1"/>
      <c r="LZ620" s="1"/>
      <c r="MA620" s="1"/>
    </row>
    <row r="621" spans="4:339" ht="13" x14ac:dyDescent="0.15">
      <c r="D621" s="12"/>
      <c r="E621" s="12"/>
      <c r="I621" s="12"/>
      <c r="J621" s="13"/>
      <c r="BG621" s="1"/>
      <c r="BH621" s="1"/>
      <c r="BI621" s="1"/>
      <c r="BK621" s="1"/>
      <c r="BL621" s="1"/>
      <c r="BM621" s="1"/>
      <c r="BN621" s="1"/>
      <c r="BO621" s="1"/>
      <c r="BQ621" s="1"/>
      <c r="BR621" s="1"/>
      <c r="CD621" s="1"/>
      <c r="CH621" s="1"/>
      <c r="CI621" s="1"/>
      <c r="CM621" s="2"/>
      <c r="CN621" s="1"/>
      <c r="CO621" s="1"/>
      <c r="ED621" s="1"/>
      <c r="EL621" s="1"/>
      <c r="EM621" s="1"/>
      <c r="EN621" s="1"/>
      <c r="EQ621" s="1"/>
      <c r="ER621" s="1"/>
      <c r="ES621" s="1"/>
      <c r="EV621" s="1"/>
      <c r="EW621" s="1"/>
      <c r="EZ621" s="1"/>
      <c r="FA621" s="1"/>
      <c r="FD621" s="1"/>
      <c r="FH621" s="1"/>
      <c r="FN621" s="1"/>
      <c r="FP621" s="1"/>
      <c r="FQ621" s="1"/>
      <c r="FV621" s="1"/>
      <c r="FW621" s="1"/>
      <c r="FX621" s="1"/>
      <c r="FZ621" s="1"/>
      <c r="GA621" s="1"/>
      <c r="GD621" s="1"/>
      <c r="GE621" s="1"/>
      <c r="GF621" s="1"/>
      <c r="GG621" s="1"/>
      <c r="GH621" s="1"/>
      <c r="GI621" s="1"/>
      <c r="GJ621" s="1"/>
      <c r="GK621" s="1"/>
      <c r="GL621" s="1"/>
      <c r="GM621" s="1"/>
      <c r="GN621" s="1"/>
      <c r="GP621" s="1"/>
      <c r="GR621" s="1"/>
      <c r="GY621" s="1"/>
      <c r="HF621" s="1"/>
      <c r="HY621" s="1"/>
      <c r="IC621" s="1"/>
      <c r="ID621" s="1"/>
      <c r="IS621" s="1"/>
      <c r="IW621" s="1"/>
      <c r="IZ621" s="1"/>
      <c r="JJ621" s="1"/>
      <c r="JN621" s="1"/>
      <c r="JP621" s="1"/>
      <c r="JQ621" s="1"/>
      <c r="JT621" s="1"/>
      <c r="KU621" s="1"/>
    </row>
    <row r="622" spans="4:339" ht="13" x14ac:dyDescent="0.15">
      <c r="D622" s="12"/>
      <c r="E622" s="12"/>
      <c r="I622" s="12"/>
      <c r="J622" s="13"/>
      <c r="BF622" s="1"/>
      <c r="BG622" s="1"/>
      <c r="BH622" s="1"/>
      <c r="BI622" s="1"/>
      <c r="BK622" s="1"/>
      <c r="BL622" s="1"/>
      <c r="BM622" s="1"/>
      <c r="BN622" s="1"/>
      <c r="BO622" s="1"/>
      <c r="BP622" s="1"/>
      <c r="BQ622" s="1"/>
      <c r="BR622" s="1"/>
      <c r="CD622" s="1"/>
      <c r="CE622" s="1"/>
      <c r="CF622" s="1"/>
      <c r="CG622" s="1"/>
      <c r="CH622" s="1"/>
      <c r="CI622" s="1"/>
      <c r="CM622" s="2"/>
      <c r="CN622" s="1"/>
      <c r="CO622" s="1"/>
      <c r="CP622" s="1"/>
      <c r="CQ622" s="1"/>
      <c r="CR622" s="1"/>
      <c r="CS622" s="1"/>
      <c r="CT622" s="1"/>
      <c r="CU622" s="1"/>
      <c r="CV622" s="1"/>
      <c r="CW622" s="1"/>
      <c r="CX622" s="1"/>
      <c r="CY622" s="1"/>
      <c r="CZ622" s="1"/>
      <c r="DA622" s="1"/>
      <c r="DB622" s="1"/>
      <c r="DC622" s="1"/>
      <c r="DD622" s="1"/>
      <c r="DE622" s="1"/>
      <c r="DF622" s="1"/>
      <c r="DG622" s="1"/>
      <c r="DH622" s="1"/>
      <c r="DI622" s="1"/>
      <c r="DJ622" s="1"/>
      <c r="DK622" s="1"/>
      <c r="ED622" s="1"/>
      <c r="EE622" s="1"/>
      <c r="EF622" s="1"/>
      <c r="EG622" s="1"/>
      <c r="EH622" s="1"/>
      <c r="EK622" s="1"/>
      <c r="EL622" s="1"/>
      <c r="EM622" s="1"/>
      <c r="EN622" s="1"/>
      <c r="EQ622" s="1"/>
      <c r="ER622" s="1"/>
      <c r="ES622" s="1"/>
      <c r="EV622" s="1"/>
      <c r="EW622" s="1"/>
      <c r="EY622" s="1"/>
      <c r="EZ622" s="1"/>
      <c r="FA622" s="1"/>
      <c r="FD622" s="1"/>
      <c r="FE622" s="1"/>
      <c r="FF622" s="1"/>
      <c r="FW622" s="1"/>
      <c r="FX622" s="1"/>
      <c r="GA622" s="1"/>
      <c r="GD622" s="1"/>
      <c r="GE622" s="1"/>
      <c r="GF622" s="1"/>
      <c r="GG622" s="1"/>
      <c r="GH622" s="1"/>
      <c r="GI622" s="1"/>
      <c r="GO622" s="1"/>
      <c r="GP622" s="1"/>
      <c r="GR622" s="1"/>
      <c r="HH622" s="1"/>
      <c r="HY622" s="1"/>
      <c r="IE622" s="1"/>
      <c r="IG622" s="1"/>
      <c r="IJ622" s="1"/>
      <c r="IR622" s="1"/>
      <c r="IS622" s="1"/>
      <c r="IW622" s="1"/>
      <c r="IX622" s="1"/>
      <c r="IZ622" s="1"/>
      <c r="JB622" s="1"/>
      <c r="JF622" s="1"/>
      <c r="JG622" s="1"/>
      <c r="JH622" s="1"/>
      <c r="JI622" s="1"/>
      <c r="JJ622" s="1"/>
      <c r="JK622" s="1"/>
      <c r="JL622" s="6"/>
      <c r="JM622" s="1"/>
      <c r="JN622" s="1"/>
      <c r="JP622" s="1"/>
      <c r="JQ622" s="1"/>
      <c r="JR622" s="1"/>
      <c r="KV622" s="1"/>
      <c r="KY622" s="1"/>
      <c r="KZ622" s="1"/>
      <c r="LA622" s="1"/>
      <c r="LB622" s="1"/>
      <c r="LC622" s="1"/>
      <c r="LD622" s="1"/>
      <c r="LO622" s="1"/>
      <c r="LP622" s="1"/>
      <c r="LZ622" s="1"/>
      <c r="MA622" s="1"/>
    </row>
    <row r="623" spans="4:339" ht="13" x14ac:dyDescent="0.15">
      <c r="D623" s="12"/>
      <c r="E623" s="12"/>
      <c r="I623" s="12"/>
      <c r="J623" s="13"/>
      <c r="BF623" s="1"/>
      <c r="BG623" s="1"/>
      <c r="BH623" s="1"/>
      <c r="BI623" s="1"/>
      <c r="BJ623" s="1"/>
      <c r="BK623" s="1"/>
      <c r="BL623" s="1"/>
      <c r="BM623" s="1"/>
      <c r="BN623" s="1"/>
      <c r="BO623" s="1"/>
      <c r="BP623" s="1"/>
      <c r="BQ623" s="1"/>
      <c r="BR623" s="1"/>
      <c r="CC623" s="1"/>
      <c r="CD623" s="1"/>
      <c r="CE623" s="1"/>
      <c r="CF623" s="1"/>
      <c r="CG623" s="1"/>
      <c r="CH623" s="1"/>
      <c r="CI623" s="1"/>
      <c r="CM623" s="2"/>
      <c r="CN623" s="1"/>
      <c r="CO623" s="1"/>
      <c r="CP623" s="1"/>
      <c r="CQ623" s="1"/>
      <c r="CS623" s="1"/>
      <c r="CT623" s="1"/>
      <c r="CU623" s="1"/>
      <c r="CV623" s="1"/>
      <c r="CW623" s="1"/>
      <c r="CX623" s="1"/>
      <c r="CY623" s="1"/>
      <c r="CZ623" s="1"/>
      <c r="DA623" s="1"/>
      <c r="DB623" s="1"/>
      <c r="DC623" s="1"/>
      <c r="DD623" s="1"/>
      <c r="DE623" s="1"/>
      <c r="DF623" s="1"/>
      <c r="DG623" s="1"/>
      <c r="DH623" s="1"/>
      <c r="DI623" s="1"/>
      <c r="DJ623" s="1"/>
      <c r="DK623" s="1"/>
      <c r="DM623" s="1"/>
      <c r="DQ623" s="1"/>
      <c r="DR623" s="1"/>
      <c r="DY623" s="1"/>
      <c r="DZ623" s="1"/>
      <c r="ED623" s="1"/>
      <c r="EK623" s="1"/>
      <c r="EL623" s="1"/>
      <c r="EM623" s="1"/>
      <c r="EN623" s="1"/>
      <c r="EQ623" s="1"/>
      <c r="ER623" s="1"/>
      <c r="ES623" s="1"/>
      <c r="EV623" s="1"/>
      <c r="EW623" s="1"/>
      <c r="EZ623" s="1"/>
      <c r="FA623" s="1"/>
      <c r="FD623" s="1"/>
      <c r="FH623" s="1"/>
      <c r="FI623" s="1"/>
      <c r="FJ623" s="1"/>
      <c r="FP623" s="1"/>
      <c r="FQ623" s="1"/>
      <c r="FS623" s="1"/>
      <c r="FT623" s="1"/>
      <c r="FU623" s="1"/>
      <c r="FV623" s="1"/>
      <c r="FW623" s="1"/>
      <c r="FX623" s="1"/>
      <c r="FY623" s="1"/>
      <c r="FZ623" s="1"/>
      <c r="GA623" s="1"/>
      <c r="GD623" s="1"/>
      <c r="GE623" s="1"/>
      <c r="GF623" s="1"/>
      <c r="GG623" s="1"/>
      <c r="GH623" s="1"/>
      <c r="GI623" s="1"/>
      <c r="GJ623" s="1"/>
      <c r="GK623" s="1"/>
      <c r="GL623" s="1"/>
      <c r="GM623" s="1"/>
      <c r="GN623" s="1"/>
      <c r="GO623" s="1"/>
      <c r="GP623" s="1"/>
      <c r="GR623" s="1"/>
      <c r="GY623" s="1"/>
      <c r="HF623" s="1"/>
      <c r="HH623" s="1"/>
      <c r="HN623" s="1"/>
      <c r="HT623" s="1"/>
      <c r="HY623" s="1"/>
      <c r="IC623" s="1"/>
      <c r="ID623" s="1"/>
      <c r="IE623" s="1"/>
      <c r="IS623" s="1"/>
      <c r="IW623" s="1"/>
      <c r="IZ623" s="1"/>
      <c r="JA623" s="1"/>
      <c r="JC623" s="1"/>
      <c r="JF623" s="1"/>
      <c r="JG623" s="1"/>
      <c r="JH623" s="1"/>
      <c r="JI623" s="1"/>
      <c r="JJ623" s="1"/>
      <c r="JN623" s="1"/>
      <c r="JP623" s="1"/>
      <c r="JQ623" s="1"/>
      <c r="JT623" s="1"/>
      <c r="KV623" s="1"/>
      <c r="KW623" s="1"/>
      <c r="KY623" s="1"/>
      <c r="KZ623" s="1"/>
      <c r="LA623" s="1"/>
      <c r="LB623" s="1"/>
      <c r="LC623" s="1"/>
      <c r="LD623" s="1"/>
      <c r="LO623" s="1"/>
      <c r="LP623" s="1"/>
      <c r="LZ623" s="1"/>
      <c r="MA623" s="1"/>
    </row>
    <row r="624" spans="4:339" ht="13" x14ac:dyDescent="0.15">
      <c r="D624" s="12"/>
      <c r="E624" s="12"/>
      <c r="I624" s="12"/>
      <c r="J624" s="13"/>
      <c r="BF624" s="1"/>
      <c r="BG624" s="1"/>
      <c r="BH624" s="1"/>
      <c r="BI624" s="1"/>
      <c r="BJ624" s="1"/>
      <c r="BK624" s="1"/>
      <c r="BL624" s="1"/>
      <c r="BM624" s="1"/>
      <c r="BN624" s="1"/>
      <c r="BO624" s="1"/>
      <c r="BP624" s="1"/>
      <c r="BQ624" s="1"/>
      <c r="BR624" s="1"/>
      <c r="BX624" s="1"/>
      <c r="CD624" s="1"/>
      <c r="CE624" s="1"/>
      <c r="CF624" s="1"/>
      <c r="CG624" s="1"/>
      <c r="CH624" s="1"/>
      <c r="CI624" s="1"/>
      <c r="CM624" s="2"/>
      <c r="CN624" s="1"/>
      <c r="CO624" s="1"/>
      <c r="CP624" s="1"/>
      <c r="CQ624" s="1"/>
      <c r="CR624" s="1"/>
      <c r="CS624" s="1"/>
      <c r="CT624" s="1"/>
      <c r="CU624" s="1"/>
      <c r="CV624" s="1"/>
      <c r="CW624" s="1"/>
      <c r="CX624" s="1"/>
      <c r="CY624" s="1"/>
      <c r="CZ624" s="1"/>
      <c r="DA624" s="1"/>
      <c r="DB624" s="1"/>
      <c r="DC624" s="1"/>
      <c r="DD624" s="1"/>
      <c r="DE624" s="1"/>
      <c r="DF624" s="1"/>
      <c r="DG624" s="1"/>
      <c r="DH624" s="1"/>
      <c r="DI624" s="1"/>
      <c r="DJ624" s="1"/>
      <c r="DK624" s="1"/>
      <c r="DM624" s="1"/>
      <c r="DQ624" s="1"/>
      <c r="DR624" s="1"/>
      <c r="DY624" s="1"/>
      <c r="DZ624" s="1"/>
      <c r="ED624" s="1"/>
      <c r="EF624" s="1"/>
      <c r="EK624" s="1"/>
      <c r="EL624" s="1"/>
      <c r="EM624" s="1"/>
      <c r="EN624" s="1"/>
      <c r="EQ624" s="1"/>
      <c r="ER624" s="1"/>
      <c r="ES624" s="1"/>
      <c r="EV624" s="1"/>
      <c r="EW624" s="1"/>
      <c r="EX624" s="1"/>
      <c r="EZ624" s="1"/>
      <c r="FA624" s="1"/>
      <c r="FD624" s="1"/>
      <c r="FH624" s="1"/>
      <c r="FJ624" s="1"/>
      <c r="FN624" s="1"/>
      <c r="FO624" s="1"/>
      <c r="FP624" s="1"/>
      <c r="FS624" s="1"/>
      <c r="FT624" s="1"/>
      <c r="FU624" s="1"/>
      <c r="FV624" s="1"/>
      <c r="FW624" s="1"/>
      <c r="FX624" s="1"/>
      <c r="FZ624" s="1"/>
      <c r="GA624" s="1"/>
      <c r="GD624" s="1"/>
      <c r="GE624" s="1"/>
      <c r="GF624" s="1"/>
      <c r="GG624" s="1"/>
      <c r="GH624" s="1"/>
      <c r="GI624" s="1"/>
      <c r="GJ624" s="1"/>
      <c r="GK624" s="1"/>
      <c r="GL624" s="1"/>
      <c r="GM624" s="1"/>
      <c r="GN624" s="1"/>
      <c r="GO624" s="1"/>
      <c r="GP624" s="1"/>
      <c r="GR624" s="1"/>
      <c r="GY624" s="1"/>
      <c r="HF624" s="1"/>
      <c r="HH624" s="1"/>
      <c r="HN624" s="1"/>
      <c r="HQ624" s="1"/>
      <c r="HR624" s="1"/>
      <c r="HS624" s="1"/>
      <c r="HT624" s="1"/>
      <c r="HY624" s="1"/>
      <c r="IC624" s="1"/>
      <c r="ID624" s="1"/>
      <c r="IE624" s="1"/>
      <c r="IG624" s="1"/>
      <c r="IH624" s="1"/>
      <c r="IJ624" s="1"/>
      <c r="IS624" s="1"/>
      <c r="IW624" s="1"/>
      <c r="IY624" s="1"/>
      <c r="IZ624" s="1"/>
      <c r="JA624" s="1"/>
      <c r="JC624" s="1"/>
      <c r="JF624" s="1"/>
      <c r="JG624" s="1"/>
      <c r="JH624" s="1"/>
      <c r="JI624" s="1"/>
      <c r="JJ624" s="1"/>
      <c r="JK624" s="1"/>
      <c r="JL624" s="3"/>
      <c r="JM624" s="1"/>
      <c r="JN624" s="1"/>
      <c r="JP624" s="1"/>
      <c r="JQ624" s="1"/>
      <c r="JR624" s="1"/>
      <c r="JT624" s="1"/>
      <c r="KU624" s="1"/>
      <c r="KV624" s="1"/>
      <c r="KW624" s="1"/>
      <c r="KY624" s="1"/>
      <c r="KZ624" s="1"/>
      <c r="LA624" s="1"/>
      <c r="LB624" s="1"/>
      <c r="LC624" s="1"/>
      <c r="LD624" s="1"/>
      <c r="LF624" s="1"/>
      <c r="LN624" s="1"/>
      <c r="LO624" s="1"/>
      <c r="LP624" s="1"/>
      <c r="LZ624" s="1"/>
      <c r="MA624" s="1"/>
    </row>
    <row r="625" spans="4:339" ht="13" x14ac:dyDescent="0.15">
      <c r="D625" s="12"/>
      <c r="E625" s="12"/>
      <c r="I625" s="12"/>
      <c r="J625" s="13"/>
      <c r="BF625" s="1"/>
      <c r="BG625" s="1"/>
      <c r="BH625" s="1"/>
      <c r="BI625" s="1"/>
      <c r="BJ625" s="1"/>
      <c r="BK625" s="1"/>
      <c r="BL625" s="1"/>
      <c r="BM625" s="1"/>
      <c r="BN625" s="1"/>
      <c r="BO625" s="1"/>
      <c r="BP625" s="1"/>
      <c r="BQ625" s="1"/>
      <c r="BR625" s="1"/>
      <c r="BX625" s="1"/>
      <c r="CD625" s="1"/>
      <c r="CE625" s="1"/>
      <c r="CF625" s="1"/>
      <c r="CG625" s="1"/>
      <c r="CH625" s="1"/>
      <c r="CI625" s="1"/>
      <c r="CM625" s="2"/>
      <c r="CN625" s="1"/>
      <c r="CO625" s="1"/>
      <c r="CP625" s="1"/>
      <c r="CQ625" s="1"/>
      <c r="CR625" s="1"/>
      <c r="CS625" s="1"/>
      <c r="CT625" s="1"/>
      <c r="CU625" s="1"/>
      <c r="CV625" s="1"/>
      <c r="CW625" s="1"/>
      <c r="CX625" s="1"/>
      <c r="CY625" s="1"/>
      <c r="CZ625" s="1"/>
      <c r="DA625" s="1"/>
      <c r="DB625" s="1"/>
      <c r="DC625" s="1"/>
      <c r="DD625" s="1"/>
      <c r="DE625" s="1"/>
      <c r="DF625" s="1"/>
      <c r="DG625" s="1"/>
      <c r="DH625" s="1"/>
      <c r="DI625" s="1"/>
      <c r="DJ625" s="1"/>
      <c r="DK625" s="1"/>
      <c r="DM625" s="1"/>
      <c r="DQ625" s="1"/>
      <c r="DR625" s="1"/>
      <c r="DY625" s="1"/>
      <c r="DZ625" s="1"/>
      <c r="ED625" s="1"/>
      <c r="EF625" s="1"/>
      <c r="EK625" s="1"/>
      <c r="EL625" s="1"/>
      <c r="EM625" s="1"/>
      <c r="EN625" s="1"/>
      <c r="EQ625" s="1"/>
      <c r="ER625" s="1"/>
      <c r="ES625" s="1"/>
      <c r="EV625" s="1"/>
      <c r="EW625" s="1"/>
      <c r="EX625" s="1"/>
      <c r="EZ625" s="1"/>
      <c r="FA625" s="1"/>
      <c r="FD625" s="1"/>
      <c r="FH625" s="1"/>
      <c r="FJ625" s="1"/>
      <c r="FN625" s="1"/>
      <c r="FO625" s="1"/>
      <c r="FP625" s="1"/>
      <c r="FS625" s="1"/>
      <c r="FT625" s="1"/>
      <c r="FU625" s="1"/>
      <c r="FV625" s="1"/>
      <c r="FW625" s="1"/>
      <c r="FX625" s="1"/>
      <c r="FZ625" s="1"/>
      <c r="GA625" s="1"/>
      <c r="GD625" s="1"/>
      <c r="GE625" s="1"/>
      <c r="GF625" s="1"/>
      <c r="GG625" s="1"/>
      <c r="GH625" s="1"/>
      <c r="GI625" s="1"/>
      <c r="GJ625" s="1"/>
      <c r="GK625" s="1"/>
      <c r="GL625" s="1"/>
      <c r="GM625" s="1"/>
      <c r="GN625" s="1"/>
      <c r="GO625" s="1"/>
      <c r="GP625" s="1"/>
      <c r="GR625" s="1"/>
      <c r="GY625" s="1"/>
      <c r="HF625" s="1"/>
      <c r="HH625" s="1"/>
      <c r="HN625" s="1"/>
      <c r="HQ625" s="1"/>
      <c r="HR625" s="1"/>
      <c r="HS625" s="1"/>
      <c r="HT625" s="1"/>
      <c r="HY625" s="1"/>
      <c r="IC625" s="1"/>
      <c r="ID625" s="1"/>
      <c r="IE625" s="1"/>
      <c r="IG625" s="1"/>
      <c r="IH625" s="1"/>
      <c r="IJ625" s="1"/>
      <c r="IS625" s="1"/>
      <c r="IW625" s="1"/>
      <c r="IY625" s="1"/>
      <c r="IZ625" s="1"/>
      <c r="JA625" s="1"/>
      <c r="JC625" s="1"/>
      <c r="JF625" s="1"/>
      <c r="JG625" s="1"/>
      <c r="JH625" s="1"/>
      <c r="JI625" s="1"/>
      <c r="JJ625" s="1"/>
      <c r="JK625" s="1"/>
      <c r="JL625" s="3"/>
      <c r="JM625" s="1"/>
      <c r="JN625" s="1"/>
      <c r="JP625" s="1"/>
      <c r="JQ625" s="1"/>
      <c r="JR625" s="1"/>
      <c r="JT625" s="1"/>
      <c r="KU625" s="1"/>
      <c r="KV625" s="1"/>
      <c r="KW625" s="1"/>
      <c r="KY625" s="1"/>
      <c r="KZ625" s="1"/>
      <c r="LA625" s="1"/>
      <c r="LB625" s="1"/>
      <c r="LC625" s="1"/>
      <c r="LD625" s="1"/>
      <c r="LF625" s="1"/>
      <c r="LN625" s="1"/>
      <c r="LO625" s="1"/>
      <c r="LP625" s="1"/>
      <c r="LZ625" s="1"/>
      <c r="MA625" s="1"/>
    </row>
    <row r="626" spans="4:339" ht="13" x14ac:dyDescent="0.15">
      <c r="D626" s="12"/>
      <c r="E626" s="12"/>
      <c r="I626" s="12"/>
      <c r="J626" s="13"/>
      <c r="BF626" s="1"/>
      <c r="BG626" s="1"/>
      <c r="BH626" s="1"/>
      <c r="BI626" s="1"/>
      <c r="BJ626" s="1"/>
      <c r="BK626" s="1"/>
      <c r="BL626" s="1"/>
      <c r="BM626" s="1"/>
      <c r="BN626" s="1"/>
      <c r="BO626" s="1"/>
      <c r="BP626" s="1"/>
      <c r="BQ626" s="1"/>
      <c r="BR626" s="1"/>
      <c r="BX626" s="1"/>
      <c r="CD626" s="1"/>
      <c r="CE626" s="1"/>
      <c r="CF626" s="1"/>
      <c r="CG626" s="1"/>
      <c r="CH626" s="1"/>
      <c r="CI626" s="1"/>
      <c r="CM626" s="2"/>
      <c r="CN626" s="1"/>
      <c r="CO626" s="1"/>
      <c r="CP626" s="1"/>
      <c r="CQ626" s="1"/>
      <c r="CR626" s="1"/>
      <c r="CS626" s="1"/>
      <c r="CT626" s="1"/>
      <c r="CU626" s="1"/>
      <c r="CV626" s="1"/>
      <c r="CW626" s="1"/>
      <c r="CX626" s="1"/>
      <c r="CY626" s="1"/>
      <c r="CZ626" s="1"/>
      <c r="DA626" s="1"/>
      <c r="DB626" s="1"/>
      <c r="DC626" s="1"/>
      <c r="DD626" s="1"/>
      <c r="DE626" s="1"/>
      <c r="DF626" s="1"/>
      <c r="DG626" s="1"/>
      <c r="DH626" s="1"/>
      <c r="DI626" s="1"/>
      <c r="DJ626" s="1"/>
      <c r="DK626" s="1"/>
      <c r="DM626" s="1"/>
      <c r="DQ626" s="1"/>
      <c r="DR626" s="1"/>
      <c r="DY626" s="1"/>
      <c r="DZ626" s="1"/>
      <c r="ED626" s="1"/>
      <c r="EF626" s="1"/>
      <c r="EK626" s="1"/>
      <c r="EL626" s="1"/>
      <c r="EM626" s="1"/>
      <c r="EN626" s="1"/>
      <c r="EQ626" s="1"/>
      <c r="ER626" s="1"/>
      <c r="ES626" s="1"/>
      <c r="EV626" s="1"/>
      <c r="EW626" s="1"/>
      <c r="EX626" s="1"/>
      <c r="EZ626" s="1"/>
      <c r="FA626" s="1"/>
      <c r="FD626" s="1"/>
      <c r="FH626" s="1"/>
      <c r="FJ626" s="1"/>
      <c r="FN626" s="1"/>
      <c r="FO626" s="1"/>
      <c r="FP626" s="1"/>
      <c r="FS626" s="1"/>
      <c r="FT626" s="1"/>
      <c r="FU626" s="1"/>
      <c r="FV626" s="1"/>
      <c r="FW626" s="1"/>
      <c r="FX626" s="1"/>
      <c r="FZ626" s="1"/>
      <c r="GA626" s="1"/>
      <c r="GD626" s="1"/>
      <c r="GE626" s="1"/>
      <c r="GF626" s="1"/>
      <c r="GG626" s="1"/>
      <c r="GH626" s="1"/>
      <c r="GI626" s="1"/>
      <c r="GJ626" s="1"/>
      <c r="GK626" s="1"/>
      <c r="GL626" s="1"/>
      <c r="GM626" s="1"/>
      <c r="GN626" s="1"/>
      <c r="GO626" s="1"/>
      <c r="GP626" s="1"/>
      <c r="GR626" s="1"/>
      <c r="GY626" s="1"/>
      <c r="HF626" s="1"/>
      <c r="HH626" s="1"/>
      <c r="HN626" s="1"/>
      <c r="HQ626" s="1"/>
      <c r="HR626" s="1"/>
      <c r="HS626" s="1"/>
      <c r="HT626" s="1"/>
      <c r="HY626" s="1"/>
      <c r="IC626" s="1"/>
      <c r="ID626" s="1"/>
      <c r="IE626" s="1"/>
      <c r="IG626" s="1"/>
      <c r="IH626" s="1"/>
      <c r="IJ626" s="1"/>
      <c r="IS626" s="1"/>
      <c r="IW626" s="1"/>
      <c r="IY626" s="1"/>
      <c r="IZ626" s="1"/>
      <c r="JA626" s="1"/>
      <c r="JC626" s="1"/>
      <c r="JF626" s="1"/>
      <c r="JG626" s="1"/>
      <c r="JH626" s="1"/>
      <c r="JI626" s="1"/>
      <c r="JJ626" s="1"/>
      <c r="JK626" s="1"/>
      <c r="JL626" s="3"/>
      <c r="JM626" s="1"/>
      <c r="JN626" s="1"/>
      <c r="JP626" s="1"/>
      <c r="JQ626" s="1"/>
      <c r="JR626" s="1"/>
      <c r="JT626" s="1"/>
      <c r="KU626" s="1"/>
      <c r="KV626" s="1"/>
      <c r="KW626" s="1"/>
      <c r="KY626" s="1"/>
      <c r="KZ626" s="1"/>
      <c r="LA626" s="1"/>
      <c r="LB626" s="1"/>
      <c r="LC626" s="1"/>
      <c r="LD626" s="1"/>
      <c r="LF626" s="1"/>
      <c r="LN626" s="1"/>
      <c r="LO626" s="1"/>
      <c r="LP626" s="1"/>
      <c r="LZ626" s="1"/>
      <c r="MA626" s="1"/>
    </row>
    <row r="627" spans="4:339" ht="13" x14ac:dyDescent="0.15">
      <c r="D627" s="12"/>
      <c r="E627" s="12"/>
      <c r="I627" s="12"/>
      <c r="J627" s="13"/>
      <c r="BF627" s="1"/>
      <c r="BG627" s="1"/>
      <c r="BH627" s="1"/>
      <c r="BI627" s="1"/>
      <c r="BJ627" s="1"/>
      <c r="BK627" s="1"/>
      <c r="BL627" s="1"/>
      <c r="BM627" s="1"/>
      <c r="BN627" s="1"/>
      <c r="BO627" s="1"/>
      <c r="BP627" s="1"/>
      <c r="BQ627" s="1"/>
      <c r="BR627" s="1"/>
      <c r="BX627" s="1"/>
      <c r="CD627" s="1"/>
      <c r="CE627" s="1"/>
      <c r="CF627" s="1"/>
      <c r="CG627" s="1"/>
      <c r="CH627" s="1"/>
      <c r="CI627" s="1"/>
      <c r="CM627" s="2"/>
      <c r="CN627" s="1"/>
      <c r="CO627" s="1"/>
      <c r="CP627" s="1"/>
      <c r="CQ627" s="1"/>
      <c r="CR627" s="1"/>
      <c r="CS627" s="1"/>
      <c r="CT627" s="1"/>
      <c r="CU627" s="1"/>
      <c r="CV627" s="1"/>
      <c r="CW627" s="1"/>
      <c r="CX627" s="1"/>
      <c r="CY627" s="1"/>
      <c r="CZ627" s="1"/>
      <c r="DA627" s="1"/>
      <c r="DB627" s="1"/>
      <c r="DC627" s="1"/>
      <c r="DD627" s="1"/>
      <c r="DE627" s="1"/>
      <c r="DF627" s="1"/>
      <c r="DG627" s="1"/>
      <c r="DH627" s="1"/>
      <c r="DI627" s="1"/>
      <c r="DJ627" s="1"/>
      <c r="DK627" s="1"/>
      <c r="DM627" s="1"/>
      <c r="DQ627" s="1"/>
      <c r="DR627" s="1"/>
      <c r="DY627" s="1"/>
      <c r="DZ627" s="1"/>
      <c r="ED627" s="1"/>
      <c r="EF627" s="1"/>
      <c r="EK627" s="1"/>
      <c r="EL627" s="1"/>
      <c r="EM627" s="1"/>
      <c r="EN627" s="1"/>
      <c r="EQ627" s="1"/>
      <c r="ER627" s="1"/>
      <c r="ES627" s="1"/>
      <c r="EV627" s="1"/>
      <c r="EW627" s="1"/>
      <c r="EX627" s="1"/>
      <c r="EZ627" s="1"/>
      <c r="FA627" s="1"/>
      <c r="FD627" s="1"/>
      <c r="FH627" s="1"/>
      <c r="FJ627" s="1"/>
      <c r="FN627" s="1"/>
      <c r="FO627" s="1"/>
      <c r="FP627" s="1"/>
      <c r="FS627" s="1"/>
      <c r="FT627" s="1"/>
      <c r="FU627" s="1"/>
      <c r="FV627" s="1"/>
      <c r="FW627" s="1"/>
      <c r="FX627" s="1"/>
      <c r="FZ627" s="1"/>
      <c r="GA627" s="1"/>
      <c r="GD627" s="1"/>
      <c r="GE627" s="1"/>
      <c r="GF627" s="1"/>
      <c r="GG627" s="1"/>
      <c r="GH627" s="1"/>
      <c r="GI627" s="1"/>
      <c r="GJ627" s="1"/>
      <c r="GK627" s="1"/>
      <c r="GL627" s="1"/>
      <c r="GM627" s="1"/>
      <c r="GN627" s="1"/>
      <c r="GO627" s="1"/>
      <c r="GP627" s="1"/>
      <c r="GR627" s="1"/>
      <c r="GY627" s="1"/>
      <c r="HF627" s="1"/>
      <c r="HH627" s="1"/>
      <c r="HN627" s="1"/>
      <c r="HQ627" s="1"/>
      <c r="HR627" s="1"/>
      <c r="HS627" s="1"/>
      <c r="HT627" s="1"/>
      <c r="HY627" s="1"/>
      <c r="IC627" s="1"/>
      <c r="ID627" s="1"/>
      <c r="IE627" s="1"/>
      <c r="IG627" s="1"/>
      <c r="IH627" s="1"/>
      <c r="IJ627" s="1"/>
      <c r="IS627" s="1"/>
      <c r="IW627" s="1"/>
      <c r="IY627" s="1"/>
      <c r="IZ627" s="1"/>
      <c r="JA627" s="1"/>
      <c r="JC627" s="1"/>
      <c r="JF627" s="1"/>
      <c r="JG627" s="1"/>
      <c r="JH627" s="1"/>
      <c r="JI627" s="1"/>
      <c r="JJ627" s="1"/>
      <c r="JK627" s="1"/>
      <c r="JL627" s="3"/>
      <c r="JM627" s="1"/>
      <c r="JN627" s="1"/>
      <c r="JP627" s="1"/>
      <c r="JQ627" s="1"/>
      <c r="JR627" s="1"/>
      <c r="JT627" s="1"/>
      <c r="KU627" s="1"/>
      <c r="KV627" s="1"/>
      <c r="KW627" s="1"/>
      <c r="KY627" s="1"/>
      <c r="KZ627" s="1"/>
      <c r="LA627" s="1"/>
      <c r="LB627" s="1"/>
      <c r="LC627" s="1"/>
      <c r="LD627" s="1"/>
      <c r="LF627" s="1"/>
      <c r="LN627" s="1"/>
      <c r="LO627" s="1"/>
      <c r="LP627" s="1"/>
      <c r="LZ627" s="1"/>
      <c r="MA627" s="1"/>
    </row>
    <row r="628" spans="4:339" ht="13" x14ac:dyDescent="0.15">
      <c r="D628" s="12"/>
      <c r="E628" s="12"/>
      <c r="I628" s="12"/>
      <c r="J628" s="13"/>
      <c r="BF628" s="1"/>
      <c r="BG628" s="1"/>
      <c r="BH628" s="1"/>
      <c r="BI628" s="1"/>
      <c r="BJ628" s="1"/>
      <c r="BK628" s="1"/>
      <c r="BL628" s="1"/>
      <c r="BM628" s="1"/>
      <c r="BN628" s="1"/>
      <c r="BO628" s="1"/>
      <c r="BP628" s="1"/>
      <c r="BQ628" s="1"/>
      <c r="BR628" s="1"/>
      <c r="BX628" s="1"/>
      <c r="CD628" s="1"/>
      <c r="CE628" s="1"/>
      <c r="CF628" s="1"/>
      <c r="CG628" s="1"/>
      <c r="CH628" s="1"/>
      <c r="CI628" s="1"/>
      <c r="CM628" s="2"/>
      <c r="CN628" s="1"/>
      <c r="CO628" s="1"/>
      <c r="CP628" s="1"/>
      <c r="CQ628" s="1"/>
      <c r="CR628" s="1"/>
      <c r="CS628" s="1"/>
      <c r="CT628" s="1"/>
      <c r="CU628" s="1"/>
      <c r="CV628" s="1"/>
      <c r="CW628" s="1"/>
      <c r="CX628" s="1"/>
      <c r="CY628" s="1"/>
      <c r="CZ628" s="1"/>
      <c r="DA628" s="1"/>
      <c r="DB628" s="1"/>
      <c r="DC628" s="1"/>
      <c r="DD628" s="1"/>
      <c r="DE628" s="1"/>
      <c r="DF628" s="1"/>
      <c r="DG628" s="1"/>
      <c r="DH628" s="1"/>
      <c r="DI628" s="1"/>
      <c r="DJ628" s="1"/>
      <c r="DK628" s="1"/>
      <c r="DM628" s="1"/>
      <c r="DQ628" s="1"/>
      <c r="DR628" s="1"/>
      <c r="DY628" s="1"/>
      <c r="DZ628" s="1"/>
      <c r="ED628" s="1"/>
      <c r="EF628" s="1"/>
      <c r="EK628" s="1"/>
      <c r="EL628" s="1"/>
      <c r="EM628" s="1"/>
      <c r="EN628" s="1"/>
      <c r="EQ628" s="1"/>
      <c r="ER628" s="1"/>
      <c r="ES628" s="1"/>
      <c r="EV628" s="1"/>
      <c r="EW628" s="1"/>
      <c r="EX628" s="1"/>
      <c r="EZ628" s="1"/>
      <c r="FA628" s="1"/>
      <c r="FD628" s="1"/>
      <c r="FH628" s="1"/>
      <c r="FJ628" s="1"/>
      <c r="FN628" s="1"/>
      <c r="FO628" s="1"/>
      <c r="FP628" s="1"/>
      <c r="FS628" s="1"/>
      <c r="FT628" s="1"/>
      <c r="FU628" s="1"/>
      <c r="FV628" s="1"/>
      <c r="FW628" s="1"/>
      <c r="FX628" s="1"/>
      <c r="FZ628" s="1"/>
      <c r="GA628" s="1"/>
      <c r="GD628" s="1"/>
      <c r="GE628" s="1"/>
      <c r="GF628" s="1"/>
      <c r="GG628" s="1"/>
      <c r="GH628" s="1"/>
      <c r="GI628" s="1"/>
      <c r="GJ628" s="1"/>
      <c r="GK628" s="1"/>
      <c r="GL628" s="1"/>
      <c r="GM628" s="1"/>
      <c r="GN628" s="1"/>
      <c r="GO628" s="1"/>
      <c r="GP628" s="1"/>
      <c r="GR628" s="1"/>
      <c r="GY628" s="1"/>
      <c r="HF628" s="1"/>
      <c r="HH628" s="1"/>
      <c r="HN628" s="1"/>
      <c r="HQ628" s="1"/>
      <c r="HR628" s="1"/>
      <c r="HS628" s="1"/>
      <c r="HT628" s="1"/>
      <c r="HY628" s="1"/>
      <c r="IC628" s="1"/>
      <c r="ID628" s="1"/>
      <c r="IE628" s="1"/>
      <c r="IG628" s="1"/>
      <c r="IH628" s="1"/>
      <c r="IJ628" s="1"/>
      <c r="IS628" s="1"/>
      <c r="IW628" s="1"/>
      <c r="IY628" s="1"/>
      <c r="IZ628" s="1"/>
      <c r="JA628" s="1"/>
      <c r="JC628" s="1"/>
      <c r="JF628" s="1"/>
      <c r="JG628" s="1"/>
      <c r="JH628" s="1"/>
      <c r="JI628" s="1"/>
      <c r="JJ628" s="1"/>
      <c r="JK628" s="1"/>
      <c r="JL628" s="3"/>
      <c r="JM628" s="1"/>
      <c r="JN628" s="1"/>
      <c r="JP628" s="1"/>
      <c r="JQ628" s="1"/>
      <c r="JR628" s="1"/>
      <c r="JT628" s="1"/>
      <c r="KU628" s="1"/>
      <c r="KV628" s="1"/>
      <c r="KW628" s="1"/>
      <c r="KY628" s="1"/>
      <c r="KZ628" s="1"/>
      <c r="LA628" s="1"/>
      <c r="LB628" s="1"/>
      <c r="LC628" s="1"/>
      <c r="LD628" s="1"/>
      <c r="LF628" s="1"/>
      <c r="LN628" s="1"/>
      <c r="LO628" s="1"/>
      <c r="LP628" s="1"/>
      <c r="LZ628" s="1"/>
      <c r="MA628" s="1"/>
    </row>
    <row r="629" spans="4:339" ht="13" x14ac:dyDescent="0.15">
      <c r="D629" s="12"/>
      <c r="E629" s="12"/>
      <c r="I629" s="12"/>
      <c r="J629" s="13"/>
      <c r="BF629" s="1"/>
      <c r="BG629" s="1"/>
      <c r="BH629" s="1"/>
      <c r="BI629" s="1"/>
      <c r="BJ629" s="1"/>
      <c r="BK629" s="1"/>
      <c r="BL629" s="1"/>
      <c r="BM629" s="1"/>
      <c r="BN629" s="1"/>
      <c r="BO629" s="1"/>
      <c r="BP629" s="1"/>
      <c r="BQ629" s="1"/>
      <c r="BR629" s="1"/>
      <c r="BX629" s="1"/>
      <c r="CD629" s="1"/>
      <c r="CE629" s="1"/>
      <c r="CF629" s="1"/>
      <c r="CG629" s="1"/>
      <c r="CH629" s="1"/>
      <c r="CI629" s="1"/>
      <c r="CM629" s="2"/>
      <c r="CN629" s="1"/>
      <c r="CO629" s="1"/>
      <c r="CP629" s="1"/>
      <c r="CQ629" s="1"/>
      <c r="CR629" s="1"/>
      <c r="CS629" s="1"/>
      <c r="CT629" s="1"/>
      <c r="CU629" s="1"/>
      <c r="CV629" s="1"/>
      <c r="CW629" s="1"/>
      <c r="CX629" s="1"/>
      <c r="CY629" s="1"/>
      <c r="CZ629" s="1"/>
      <c r="DA629" s="1"/>
      <c r="DB629" s="1"/>
      <c r="DC629" s="1"/>
      <c r="DD629" s="1"/>
      <c r="DE629" s="1"/>
      <c r="DF629" s="1"/>
      <c r="DG629" s="1"/>
      <c r="DH629" s="1"/>
      <c r="DI629" s="1"/>
      <c r="DJ629" s="1"/>
      <c r="DK629" s="1"/>
      <c r="DM629" s="1"/>
      <c r="DQ629" s="1"/>
      <c r="DR629" s="1"/>
      <c r="DY629" s="1"/>
      <c r="DZ629" s="1"/>
      <c r="ED629" s="1"/>
      <c r="EF629" s="1"/>
      <c r="EK629" s="1"/>
      <c r="EL629" s="1"/>
      <c r="EM629" s="1"/>
      <c r="EN629" s="1"/>
      <c r="EQ629" s="1"/>
      <c r="ER629" s="1"/>
      <c r="ES629" s="1"/>
      <c r="EV629" s="1"/>
      <c r="EW629" s="1"/>
      <c r="EX629" s="1"/>
      <c r="EZ629" s="1"/>
      <c r="FA629" s="1"/>
      <c r="FD629" s="1"/>
      <c r="FH629" s="1"/>
      <c r="FJ629" s="1"/>
      <c r="FN629" s="1"/>
      <c r="FO629" s="1"/>
      <c r="FP629" s="1"/>
      <c r="FS629" s="1"/>
      <c r="FT629" s="1"/>
      <c r="FU629" s="1"/>
      <c r="FV629" s="1"/>
      <c r="FW629" s="1"/>
      <c r="FX629" s="1"/>
      <c r="FZ629" s="1"/>
      <c r="GA629" s="1"/>
      <c r="GD629" s="1"/>
      <c r="GE629" s="1"/>
      <c r="GF629" s="1"/>
      <c r="GG629" s="1"/>
      <c r="GH629" s="1"/>
      <c r="GI629" s="1"/>
      <c r="GJ629" s="1"/>
      <c r="GK629" s="1"/>
      <c r="GL629" s="1"/>
      <c r="GM629" s="1"/>
      <c r="GN629" s="1"/>
      <c r="GO629" s="1"/>
      <c r="GP629" s="1"/>
      <c r="GR629" s="1"/>
      <c r="GY629" s="1"/>
      <c r="HF629" s="1"/>
      <c r="HH629" s="1"/>
      <c r="HN629" s="1"/>
      <c r="HQ629" s="1"/>
      <c r="HR629" s="1"/>
      <c r="HS629" s="1"/>
      <c r="HT629" s="1"/>
      <c r="HY629" s="1"/>
      <c r="IC629" s="1"/>
      <c r="ID629" s="1"/>
      <c r="IE629" s="1"/>
      <c r="IG629" s="1"/>
      <c r="IH629" s="1"/>
      <c r="IJ629" s="1"/>
      <c r="IS629" s="1"/>
      <c r="IW629" s="1"/>
      <c r="IY629" s="1"/>
      <c r="IZ629" s="1"/>
      <c r="JA629" s="1"/>
      <c r="JC629" s="1"/>
      <c r="JF629" s="1"/>
      <c r="JG629" s="1"/>
      <c r="JH629" s="1"/>
      <c r="JI629" s="1"/>
      <c r="JJ629" s="1"/>
      <c r="JK629" s="1"/>
      <c r="JL629" s="3"/>
      <c r="JM629" s="1"/>
      <c r="JN629" s="1"/>
      <c r="JP629" s="1"/>
      <c r="JQ629" s="1"/>
      <c r="JR629" s="1"/>
      <c r="JT629" s="1"/>
      <c r="KU629" s="1"/>
      <c r="KV629" s="1"/>
      <c r="KW629" s="1"/>
      <c r="KY629" s="1"/>
      <c r="KZ629" s="1"/>
      <c r="LA629" s="1"/>
      <c r="LB629" s="1"/>
      <c r="LC629" s="1"/>
      <c r="LD629" s="1"/>
      <c r="LF629" s="1"/>
      <c r="LN629" s="1"/>
      <c r="LO629" s="1"/>
      <c r="LP629" s="1"/>
      <c r="LZ629" s="1"/>
      <c r="MA629" s="1"/>
    </row>
    <row r="630" spans="4:339" ht="13" x14ac:dyDescent="0.15">
      <c r="D630" s="12"/>
      <c r="E630" s="12"/>
      <c r="I630" s="12"/>
      <c r="J630" s="13"/>
      <c r="BF630" s="1"/>
      <c r="BG630" s="1"/>
      <c r="BH630" s="1"/>
      <c r="BI630" s="1"/>
      <c r="BJ630" s="1"/>
      <c r="BK630" s="1"/>
      <c r="BL630" s="1"/>
      <c r="BM630" s="1"/>
      <c r="BN630" s="1"/>
      <c r="BO630" s="1"/>
      <c r="BP630" s="1"/>
      <c r="BQ630" s="1"/>
      <c r="BR630" s="1"/>
      <c r="BX630" s="1"/>
      <c r="CD630" s="1"/>
      <c r="CE630" s="1"/>
      <c r="CF630" s="1"/>
      <c r="CG630" s="1"/>
      <c r="CH630" s="1"/>
      <c r="CI630" s="1"/>
      <c r="CM630" s="2"/>
      <c r="CN630" s="1"/>
      <c r="CO630" s="1"/>
      <c r="CP630" s="1"/>
      <c r="CQ630" s="1"/>
      <c r="CR630" s="1"/>
      <c r="CS630" s="1"/>
      <c r="CT630" s="1"/>
      <c r="CU630" s="1"/>
      <c r="CV630" s="1"/>
      <c r="CW630" s="1"/>
      <c r="CX630" s="1"/>
      <c r="CY630" s="1"/>
      <c r="CZ630" s="1"/>
      <c r="DA630" s="1"/>
      <c r="DB630" s="1"/>
      <c r="DC630" s="1"/>
      <c r="DD630" s="1"/>
      <c r="DE630" s="1"/>
      <c r="DF630" s="1"/>
      <c r="DG630" s="1"/>
      <c r="DH630" s="1"/>
      <c r="DI630" s="1"/>
      <c r="DJ630" s="1"/>
      <c r="DK630" s="1"/>
      <c r="DM630" s="1"/>
      <c r="DQ630" s="1"/>
      <c r="DR630" s="1"/>
      <c r="DY630" s="1"/>
      <c r="DZ630" s="1"/>
      <c r="ED630" s="1"/>
      <c r="EF630" s="1"/>
      <c r="EK630" s="1"/>
      <c r="EL630" s="1"/>
      <c r="EM630" s="1"/>
      <c r="EN630" s="1"/>
      <c r="EQ630" s="1"/>
      <c r="ER630" s="1"/>
      <c r="ES630" s="1"/>
      <c r="EV630" s="1"/>
      <c r="EW630" s="1"/>
      <c r="EX630" s="1"/>
      <c r="EZ630" s="1"/>
      <c r="FA630" s="1"/>
      <c r="FD630" s="1"/>
      <c r="FH630" s="1"/>
      <c r="FJ630" s="1"/>
      <c r="FN630" s="1"/>
      <c r="FO630" s="1"/>
      <c r="FP630" s="1"/>
      <c r="FS630" s="1"/>
      <c r="FT630" s="1"/>
      <c r="FU630" s="1"/>
      <c r="FV630" s="1"/>
      <c r="FW630" s="1"/>
      <c r="FX630" s="1"/>
      <c r="FZ630" s="1"/>
      <c r="GA630" s="1"/>
      <c r="GD630" s="1"/>
      <c r="GE630" s="1"/>
      <c r="GF630" s="1"/>
      <c r="GG630" s="1"/>
      <c r="GH630" s="1"/>
      <c r="GI630" s="1"/>
      <c r="GJ630" s="1"/>
      <c r="GK630" s="1"/>
      <c r="GL630" s="1"/>
      <c r="GM630" s="1"/>
      <c r="GN630" s="1"/>
      <c r="GO630" s="1"/>
      <c r="GP630" s="1"/>
      <c r="GR630" s="1"/>
      <c r="GY630" s="1"/>
      <c r="HF630" s="1"/>
      <c r="HH630" s="1"/>
      <c r="HN630" s="1"/>
      <c r="HQ630" s="1"/>
      <c r="HR630" s="1"/>
      <c r="HS630" s="1"/>
      <c r="HT630" s="1"/>
      <c r="HY630" s="1"/>
      <c r="IC630" s="1"/>
      <c r="ID630" s="1"/>
      <c r="IE630" s="1"/>
      <c r="IG630" s="1"/>
      <c r="IH630" s="1"/>
      <c r="IJ630" s="1"/>
      <c r="IS630" s="1"/>
      <c r="IW630" s="1"/>
      <c r="IY630" s="1"/>
      <c r="IZ630" s="1"/>
      <c r="JA630" s="1"/>
      <c r="JC630" s="1"/>
      <c r="JF630" s="1"/>
      <c r="JG630" s="1"/>
      <c r="JH630" s="1"/>
      <c r="JI630" s="1"/>
      <c r="JJ630" s="1"/>
      <c r="JK630" s="1"/>
      <c r="JL630" s="3"/>
      <c r="JM630" s="1"/>
      <c r="JN630" s="1"/>
      <c r="JP630" s="1"/>
      <c r="JQ630" s="1"/>
      <c r="JR630" s="1"/>
      <c r="JT630" s="1"/>
      <c r="KU630" s="1"/>
      <c r="KV630" s="1"/>
      <c r="KW630" s="1"/>
      <c r="KY630" s="1"/>
      <c r="KZ630" s="1"/>
      <c r="LA630" s="1"/>
      <c r="LB630" s="1"/>
      <c r="LC630" s="1"/>
      <c r="LD630" s="1"/>
      <c r="LF630" s="1"/>
      <c r="LN630" s="1"/>
      <c r="LO630" s="1"/>
      <c r="LP630" s="1"/>
      <c r="LZ630" s="1"/>
      <c r="MA630" s="1"/>
    </row>
    <row r="631" spans="4:339" ht="13" x14ac:dyDescent="0.15">
      <c r="D631" s="12"/>
      <c r="E631" s="12"/>
      <c r="I631" s="12"/>
      <c r="J631" s="13"/>
      <c r="BF631" s="1"/>
      <c r="BG631" s="1"/>
      <c r="BH631" s="1"/>
      <c r="BI631" s="1"/>
      <c r="BK631" s="1"/>
      <c r="BL631" s="1"/>
      <c r="BM631" s="1"/>
      <c r="BN631" s="1"/>
      <c r="BO631" s="1"/>
      <c r="BP631" s="1"/>
      <c r="BQ631" s="1"/>
      <c r="BR631" s="1"/>
      <c r="BX631" s="1"/>
      <c r="CD631" s="1"/>
      <c r="CE631" s="1"/>
      <c r="CF631" s="1"/>
      <c r="CG631" s="1"/>
      <c r="CH631" s="1"/>
      <c r="CI631" s="1"/>
      <c r="CM631" s="4"/>
      <c r="CN631" s="1"/>
      <c r="CO631" s="1"/>
      <c r="CP631" s="1"/>
      <c r="CQ631" s="1"/>
      <c r="CR631" s="1"/>
      <c r="CS631" s="1"/>
      <c r="CT631" s="1"/>
      <c r="CU631" s="1"/>
      <c r="CV631" s="1"/>
      <c r="CW631" s="1"/>
      <c r="CX631" s="1"/>
      <c r="CY631" s="1"/>
      <c r="CZ631" s="1"/>
      <c r="DA631" s="1"/>
      <c r="DB631" s="1"/>
      <c r="DC631" s="1"/>
      <c r="DD631" s="1"/>
      <c r="DE631" s="1"/>
      <c r="DF631" s="1"/>
      <c r="DG631" s="1"/>
      <c r="DH631" s="1"/>
      <c r="DI631" s="1"/>
      <c r="DJ631" s="1"/>
      <c r="DK631" s="1"/>
      <c r="DM631" s="1"/>
      <c r="DQ631" s="1"/>
      <c r="DR631" s="1"/>
      <c r="DY631" s="1"/>
      <c r="DZ631" s="1"/>
      <c r="ED631" s="1"/>
      <c r="EK631" s="1"/>
      <c r="EL631" s="1"/>
      <c r="EM631" s="1"/>
      <c r="EN631" s="1"/>
      <c r="EQ631" s="1"/>
      <c r="ER631" s="1"/>
      <c r="ES631" s="1"/>
      <c r="EV631" s="1"/>
      <c r="EW631" s="1"/>
      <c r="EZ631" s="1"/>
      <c r="FA631" s="1"/>
      <c r="FD631" s="1"/>
      <c r="FQ631" s="1"/>
      <c r="GA631" s="1"/>
      <c r="GD631" s="1"/>
      <c r="GE631" s="1"/>
      <c r="GF631" s="1"/>
      <c r="GG631" s="1"/>
      <c r="GH631" s="1"/>
      <c r="GI631" s="1"/>
      <c r="GJ631" s="1"/>
      <c r="GK631" s="1"/>
      <c r="GL631" s="1"/>
      <c r="GM631" s="1"/>
      <c r="GN631" s="1"/>
      <c r="GO631" s="1"/>
      <c r="GP631" s="1"/>
      <c r="GY631" s="1"/>
      <c r="HF631" s="1"/>
      <c r="HH631" s="1"/>
      <c r="HN631" s="1"/>
      <c r="HR631" s="1"/>
      <c r="HS631" s="1"/>
      <c r="HT631" s="1"/>
      <c r="HY631" s="1"/>
      <c r="IE631" s="1"/>
      <c r="IS631" s="1"/>
      <c r="IW631" s="1"/>
      <c r="IZ631" s="1"/>
      <c r="JA631" s="1"/>
      <c r="JC631" s="1"/>
      <c r="JF631" s="1"/>
      <c r="JG631" s="1"/>
      <c r="JH631" s="1"/>
      <c r="JJ631" s="1"/>
      <c r="JN631" s="1"/>
      <c r="JP631" s="1"/>
      <c r="JQ631" s="1"/>
      <c r="JT631" s="1"/>
      <c r="KV631" s="1"/>
      <c r="KY631" s="1"/>
      <c r="KZ631" s="1"/>
      <c r="LA631" s="1"/>
      <c r="LB631" s="1"/>
      <c r="LC631" s="1"/>
      <c r="LD631" s="1"/>
      <c r="LF631" s="1"/>
      <c r="LN631" s="1"/>
      <c r="LO631" s="1"/>
      <c r="LP631" s="1"/>
      <c r="LZ631" s="1"/>
      <c r="MA631" s="1"/>
    </row>
    <row r="632" spans="4:339" ht="13" x14ac:dyDescent="0.15">
      <c r="D632" s="12"/>
      <c r="E632" s="12"/>
      <c r="I632" s="12"/>
      <c r="J632" s="13"/>
      <c r="BF632" s="1"/>
      <c r="BG632" s="1"/>
      <c r="BH632" s="1"/>
      <c r="BI632" s="1"/>
      <c r="BK632" s="1"/>
      <c r="BL632" s="1"/>
      <c r="BM632" s="1"/>
      <c r="BN632" s="1"/>
      <c r="BO632" s="1"/>
      <c r="BP632" s="1"/>
      <c r="BQ632" s="1"/>
      <c r="BR632" s="1"/>
      <c r="BX632" s="1"/>
      <c r="CD632" s="1"/>
      <c r="CE632" s="1"/>
      <c r="CF632" s="1"/>
      <c r="CG632" s="1"/>
      <c r="CH632" s="1"/>
      <c r="CI632" s="1"/>
      <c r="CM632" s="4"/>
      <c r="CN632" s="1"/>
      <c r="CO632" s="1"/>
      <c r="CP632" s="1"/>
      <c r="CQ632" s="1"/>
      <c r="CR632" s="1"/>
      <c r="CS632" s="1"/>
      <c r="CT632" s="1"/>
      <c r="CU632" s="1"/>
      <c r="CV632" s="1"/>
      <c r="CW632" s="1"/>
      <c r="CX632" s="1"/>
      <c r="CY632" s="1"/>
      <c r="CZ632" s="1"/>
      <c r="DA632" s="1"/>
      <c r="DB632" s="1"/>
      <c r="DC632" s="1"/>
      <c r="DD632" s="1"/>
      <c r="DE632" s="1"/>
      <c r="DF632" s="1"/>
      <c r="DG632" s="1"/>
      <c r="DH632" s="1"/>
      <c r="DI632" s="1"/>
      <c r="DJ632" s="1"/>
      <c r="DK632" s="1"/>
      <c r="DM632" s="1"/>
      <c r="DQ632" s="1"/>
      <c r="DR632" s="1"/>
      <c r="DY632" s="1"/>
      <c r="DZ632" s="1"/>
      <c r="ED632" s="1"/>
      <c r="EK632" s="1"/>
      <c r="EL632" s="1"/>
      <c r="EM632" s="1"/>
      <c r="EN632" s="1"/>
      <c r="EQ632" s="1"/>
      <c r="ER632" s="1"/>
      <c r="ES632" s="1"/>
      <c r="EV632" s="1"/>
      <c r="EW632" s="1"/>
      <c r="EZ632" s="1"/>
      <c r="FA632" s="1"/>
      <c r="FD632" s="1"/>
      <c r="FQ632" s="1"/>
      <c r="GA632" s="1"/>
      <c r="GD632" s="1"/>
      <c r="GE632" s="1"/>
      <c r="GF632" s="1"/>
      <c r="GG632" s="1"/>
      <c r="GH632" s="1"/>
      <c r="GI632" s="1"/>
      <c r="GJ632" s="1"/>
      <c r="GK632" s="1"/>
      <c r="GL632" s="1"/>
      <c r="GM632" s="1"/>
      <c r="GN632" s="1"/>
      <c r="GO632" s="1"/>
      <c r="GP632" s="1"/>
      <c r="GY632" s="1"/>
      <c r="HF632" s="1"/>
      <c r="HH632" s="1"/>
      <c r="HN632" s="1"/>
      <c r="HR632" s="1"/>
      <c r="HS632" s="1"/>
      <c r="HT632" s="1"/>
      <c r="HY632" s="1"/>
      <c r="IE632" s="1"/>
      <c r="IS632" s="1"/>
      <c r="IW632" s="1"/>
      <c r="IZ632" s="1"/>
      <c r="JA632" s="1"/>
      <c r="JC632" s="1"/>
      <c r="JF632" s="1"/>
      <c r="JG632" s="1"/>
      <c r="JH632" s="1"/>
      <c r="JJ632" s="1"/>
      <c r="JN632" s="1"/>
      <c r="JP632" s="1"/>
      <c r="JQ632" s="1"/>
      <c r="JT632" s="1"/>
      <c r="KV632" s="1"/>
      <c r="KY632" s="1"/>
      <c r="KZ632" s="1"/>
      <c r="LA632" s="1"/>
      <c r="LB632" s="1"/>
      <c r="LC632" s="1"/>
      <c r="LD632" s="1"/>
      <c r="LF632" s="1"/>
      <c r="LN632" s="1"/>
      <c r="LO632" s="1"/>
      <c r="LP632" s="1"/>
      <c r="LZ632" s="1"/>
      <c r="MA632" s="1"/>
    </row>
    <row r="633" spans="4:339" ht="13" x14ac:dyDescent="0.15">
      <c r="D633" s="12"/>
      <c r="E633" s="12"/>
      <c r="I633" s="12"/>
      <c r="J633" s="13"/>
      <c r="BF633" s="1"/>
      <c r="BG633" s="1"/>
      <c r="BH633" s="1"/>
      <c r="BI633" s="1"/>
      <c r="BK633" s="1"/>
      <c r="BL633" s="1"/>
      <c r="BM633" s="1"/>
      <c r="BN633" s="1"/>
      <c r="BO633" s="1"/>
      <c r="BP633" s="1"/>
      <c r="BQ633" s="1"/>
      <c r="BR633" s="1"/>
      <c r="BX633" s="1"/>
      <c r="CD633" s="1"/>
      <c r="CE633" s="1"/>
      <c r="CF633" s="1"/>
      <c r="CG633" s="1"/>
      <c r="CH633" s="1"/>
      <c r="CI633" s="1"/>
      <c r="CM633" s="4"/>
      <c r="CN633" s="1"/>
      <c r="CO633" s="1"/>
      <c r="CP633" s="1"/>
      <c r="CQ633" s="1"/>
      <c r="CR633" s="1"/>
      <c r="CS633" s="1"/>
      <c r="CT633" s="1"/>
      <c r="CU633" s="1"/>
      <c r="CV633" s="1"/>
      <c r="CW633" s="1"/>
      <c r="CX633" s="1"/>
      <c r="CY633" s="1"/>
      <c r="CZ633" s="1"/>
      <c r="DA633" s="1"/>
      <c r="DB633" s="1"/>
      <c r="DC633" s="1"/>
      <c r="DD633" s="1"/>
      <c r="DE633" s="1"/>
      <c r="DF633" s="1"/>
      <c r="DG633" s="1"/>
      <c r="DH633" s="1"/>
      <c r="DI633" s="1"/>
      <c r="DJ633" s="1"/>
      <c r="DK633" s="1"/>
      <c r="DM633" s="1"/>
      <c r="DQ633" s="1"/>
      <c r="DR633" s="1"/>
      <c r="DY633" s="1"/>
      <c r="DZ633" s="1"/>
      <c r="ED633" s="1"/>
      <c r="EK633" s="1"/>
      <c r="EL633" s="1"/>
      <c r="EM633" s="1"/>
      <c r="EN633" s="1"/>
      <c r="EQ633" s="1"/>
      <c r="ER633" s="1"/>
      <c r="ES633" s="1"/>
      <c r="EV633" s="1"/>
      <c r="EW633" s="1"/>
      <c r="EZ633" s="1"/>
      <c r="FA633" s="1"/>
      <c r="FD633" s="1"/>
      <c r="FQ633" s="1"/>
      <c r="GA633" s="1"/>
      <c r="GD633" s="1"/>
      <c r="GE633" s="1"/>
      <c r="GF633" s="1"/>
      <c r="GG633" s="1"/>
      <c r="GH633" s="1"/>
      <c r="GI633" s="1"/>
      <c r="GJ633" s="1"/>
      <c r="GK633" s="1"/>
      <c r="GL633" s="1"/>
      <c r="GM633" s="1"/>
      <c r="GN633" s="1"/>
      <c r="GO633" s="1"/>
      <c r="GP633" s="1"/>
      <c r="GY633" s="1"/>
      <c r="HF633" s="1"/>
      <c r="HH633" s="1"/>
      <c r="HN633" s="1"/>
      <c r="HR633" s="1"/>
      <c r="HS633" s="1"/>
      <c r="HT633" s="1"/>
      <c r="HY633" s="1"/>
      <c r="IE633" s="1"/>
      <c r="IS633" s="1"/>
      <c r="IW633" s="1"/>
      <c r="IZ633" s="1"/>
      <c r="JA633" s="1"/>
      <c r="JC633" s="1"/>
      <c r="JF633" s="1"/>
      <c r="JG633" s="1"/>
      <c r="JH633" s="1"/>
      <c r="JJ633" s="1"/>
      <c r="JN633" s="1"/>
      <c r="JP633" s="1"/>
      <c r="JQ633" s="1"/>
      <c r="JT633" s="1"/>
      <c r="KV633" s="1"/>
      <c r="KY633" s="1"/>
      <c r="KZ633" s="1"/>
      <c r="LA633" s="1"/>
      <c r="LB633" s="1"/>
      <c r="LC633" s="1"/>
      <c r="LD633" s="1"/>
      <c r="LF633" s="1"/>
      <c r="LN633" s="1"/>
      <c r="LO633" s="1"/>
      <c r="LP633" s="1"/>
      <c r="LZ633" s="1"/>
      <c r="MA633" s="1"/>
    </row>
    <row r="634" spans="4:339" ht="13" x14ac:dyDescent="0.15">
      <c r="D634" s="12"/>
      <c r="E634" s="12"/>
      <c r="I634" s="12"/>
      <c r="J634" s="13"/>
      <c r="BF634" s="1"/>
      <c r="BG634" s="1"/>
      <c r="BH634" s="1"/>
      <c r="BI634" s="1"/>
      <c r="BK634" s="1"/>
      <c r="BL634" s="1"/>
      <c r="BM634" s="1"/>
      <c r="BN634" s="1"/>
      <c r="BO634" s="1"/>
      <c r="BP634" s="1"/>
      <c r="BQ634" s="1"/>
      <c r="BR634" s="1"/>
      <c r="BX634" s="1"/>
      <c r="CD634" s="1"/>
      <c r="CE634" s="1"/>
      <c r="CF634" s="1"/>
      <c r="CG634" s="1"/>
      <c r="CH634" s="1"/>
      <c r="CI634" s="1"/>
      <c r="CM634" s="4"/>
      <c r="CN634" s="1"/>
      <c r="CO634" s="1"/>
      <c r="CP634" s="1"/>
      <c r="CQ634" s="1"/>
      <c r="CR634" s="1"/>
      <c r="CS634" s="1"/>
      <c r="CT634" s="1"/>
      <c r="CU634" s="1"/>
      <c r="CV634" s="1"/>
      <c r="CW634" s="1"/>
      <c r="CX634" s="1"/>
      <c r="CY634" s="1"/>
      <c r="CZ634" s="1"/>
      <c r="DA634" s="1"/>
      <c r="DB634" s="1"/>
      <c r="DC634" s="1"/>
      <c r="DD634" s="1"/>
      <c r="DE634" s="1"/>
      <c r="DF634" s="1"/>
      <c r="DG634" s="1"/>
      <c r="DH634" s="1"/>
      <c r="DI634" s="1"/>
      <c r="DJ634" s="1"/>
      <c r="DK634" s="1"/>
      <c r="DM634" s="1"/>
      <c r="DQ634" s="1"/>
      <c r="DR634" s="1"/>
      <c r="DY634" s="1"/>
      <c r="DZ634" s="1"/>
      <c r="ED634" s="1"/>
      <c r="EK634" s="1"/>
      <c r="EL634" s="1"/>
      <c r="EM634" s="1"/>
      <c r="EN634" s="1"/>
      <c r="EQ634" s="1"/>
      <c r="ER634" s="1"/>
      <c r="ES634" s="1"/>
      <c r="EV634" s="1"/>
      <c r="EW634" s="1"/>
      <c r="EZ634" s="1"/>
      <c r="FA634" s="1"/>
      <c r="FD634" s="1"/>
      <c r="FQ634" s="1"/>
      <c r="GA634" s="1"/>
      <c r="GD634" s="1"/>
      <c r="GE634" s="1"/>
      <c r="GF634" s="1"/>
      <c r="GG634" s="1"/>
      <c r="GH634" s="1"/>
      <c r="GI634" s="1"/>
      <c r="GJ634" s="1"/>
      <c r="GK634" s="1"/>
      <c r="GL634" s="1"/>
      <c r="GM634" s="1"/>
      <c r="GN634" s="1"/>
      <c r="GO634" s="1"/>
      <c r="GP634" s="1"/>
      <c r="GY634" s="1"/>
      <c r="HF634" s="1"/>
      <c r="HH634" s="1"/>
      <c r="HN634" s="1"/>
      <c r="HR634" s="1"/>
      <c r="HS634" s="1"/>
      <c r="HT634" s="1"/>
      <c r="HY634" s="1"/>
      <c r="IE634" s="1"/>
      <c r="IS634" s="1"/>
      <c r="IW634" s="1"/>
      <c r="IZ634" s="1"/>
      <c r="JA634" s="1"/>
      <c r="JC634" s="1"/>
      <c r="JF634" s="1"/>
      <c r="JG634" s="1"/>
      <c r="JH634" s="1"/>
      <c r="JJ634" s="1"/>
      <c r="JN634" s="1"/>
      <c r="JP634" s="1"/>
      <c r="JQ634" s="1"/>
      <c r="JT634" s="1"/>
      <c r="KV634" s="1"/>
      <c r="KY634" s="1"/>
      <c r="KZ634" s="1"/>
      <c r="LA634" s="1"/>
      <c r="LB634" s="1"/>
      <c r="LC634" s="1"/>
      <c r="LD634" s="1"/>
      <c r="LF634" s="1"/>
      <c r="LN634" s="1"/>
      <c r="LO634" s="1"/>
      <c r="LP634" s="1"/>
      <c r="LZ634" s="1"/>
      <c r="MA634" s="1"/>
    </row>
    <row r="635" spans="4:339" ht="13" x14ac:dyDescent="0.15">
      <c r="D635" s="12"/>
      <c r="E635" s="12"/>
      <c r="I635" s="12"/>
      <c r="J635" s="13"/>
      <c r="BF635" s="1"/>
      <c r="BG635" s="1"/>
      <c r="BH635" s="1"/>
      <c r="BI635" s="1"/>
      <c r="BK635" s="1"/>
      <c r="BL635" s="1"/>
      <c r="BM635" s="1"/>
      <c r="BN635" s="1"/>
      <c r="BO635" s="1"/>
      <c r="BP635" s="1"/>
      <c r="BQ635" s="1"/>
      <c r="BR635" s="1"/>
      <c r="BX635" s="1"/>
      <c r="CD635" s="1"/>
      <c r="CE635" s="1"/>
      <c r="CF635" s="1"/>
      <c r="CG635" s="1"/>
      <c r="CH635" s="1"/>
      <c r="CI635" s="1"/>
      <c r="CM635" s="4"/>
      <c r="CN635" s="1"/>
      <c r="CO635" s="1"/>
      <c r="CP635" s="1"/>
      <c r="CQ635" s="1"/>
      <c r="CR635" s="1"/>
      <c r="CS635" s="1"/>
      <c r="CT635" s="1"/>
      <c r="CU635" s="1"/>
      <c r="CV635" s="1"/>
      <c r="CW635" s="1"/>
      <c r="CX635" s="1"/>
      <c r="CY635" s="1"/>
      <c r="CZ635" s="1"/>
      <c r="DA635" s="1"/>
      <c r="DB635" s="1"/>
      <c r="DC635" s="1"/>
      <c r="DD635" s="1"/>
      <c r="DE635" s="1"/>
      <c r="DF635" s="1"/>
      <c r="DG635" s="1"/>
      <c r="DH635" s="1"/>
      <c r="DI635" s="1"/>
      <c r="DJ635" s="1"/>
      <c r="DK635" s="1"/>
      <c r="DM635" s="1"/>
      <c r="DQ635" s="1"/>
      <c r="DR635" s="1"/>
      <c r="DY635" s="1"/>
      <c r="DZ635" s="1"/>
      <c r="ED635" s="1"/>
      <c r="EK635" s="1"/>
      <c r="EL635" s="1"/>
      <c r="EM635" s="1"/>
      <c r="EN635" s="1"/>
      <c r="EQ635" s="1"/>
      <c r="ER635" s="1"/>
      <c r="ES635" s="1"/>
      <c r="EV635" s="1"/>
      <c r="EW635" s="1"/>
      <c r="EZ635" s="1"/>
      <c r="FA635" s="1"/>
      <c r="FD635" s="1"/>
      <c r="FQ635" s="1"/>
      <c r="GA635" s="1"/>
      <c r="GD635" s="1"/>
      <c r="GE635" s="1"/>
      <c r="GF635" s="1"/>
      <c r="GG635" s="1"/>
      <c r="GH635" s="1"/>
      <c r="GI635" s="1"/>
      <c r="GJ635" s="1"/>
      <c r="GK635" s="1"/>
      <c r="GL635" s="1"/>
      <c r="GM635" s="1"/>
      <c r="GN635" s="1"/>
      <c r="GO635" s="1"/>
      <c r="GP635" s="1"/>
      <c r="GY635" s="1"/>
      <c r="HF635" s="1"/>
      <c r="HH635" s="1"/>
      <c r="HN635" s="1"/>
      <c r="HR635" s="1"/>
      <c r="HS635" s="1"/>
      <c r="HT635" s="1"/>
      <c r="HY635" s="1"/>
      <c r="IE635" s="1"/>
      <c r="IS635" s="1"/>
      <c r="IW635" s="1"/>
      <c r="IZ635" s="1"/>
      <c r="JA635" s="1"/>
      <c r="JC635" s="1"/>
      <c r="JF635" s="1"/>
      <c r="JG635" s="1"/>
      <c r="JH635" s="1"/>
      <c r="JJ635" s="1"/>
      <c r="JN635" s="1"/>
      <c r="JP635" s="1"/>
      <c r="JQ635" s="1"/>
      <c r="JT635" s="1"/>
      <c r="KV635" s="1"/>
      <c r="KY635" s="1"/>
      <c r="KZ635" s="1"/>
      <c r="LA635" s="1"/>
      <c r="LB635" s="1"/>
      <c r="LC635" s="1"/>
      <c r="LD635" s="1"/>
      <c r="LF635" s="1"/>
      <c r="LN635" s="1"/>
      <c r="LO635" s="1"/>
      <c r="LP635" s="1"/>
      <c r="LZ635" s="1"/>
      <c r="MA635" s="1"/>
    </row>
    <row r="636" spans="4:339" ht="13" x14ac:dyDescent="0.15">
      <c r="D636" s="12"/>
      <c r="E636" s="12"/>
      <c r="I636" s="12"/>
      <c r="J636" s="13"/>
      <c r="BF636" s="1"/>
      <c r="BG636" s="1"/>
      <c r="BH636" s="1"/>
      <c r="BI636" s="1"/>
      <c r="BK636" s="1"/>
      <c r="BL636" s="1"/>
      <c r="BM636" s="1"/>
      <c r="BN636" s="1"/>
      <c r="BO636" s="1"/>
      <c r="BP636" s="1"/>
      <c r="BQ636" s="1"/>
      <c r="BR636" s="1"/>
      <c r="BX636" s="1"/>
      <c r="CD636" s="1"/>
      <c r="CE636" s="1"/>
      <c r="CF636" s="1"/>
      <c r="CG636" s="1"/>
      <c r="CH636" s="1"/>
      <c r="CI636" s="1"/>
      <c r="CM636" s="4"/>
      <c r="CN636" s="1"/>
      <c r="CO636" s="1"/>
      <c r="CP636" s="1"/>
      <c r="CQ636" s="1"/>
      <c r="CR636" s="1"/>
      <c r="CS636" s="1"/>
      <c r="CT636" s="1"/>
      <c r="CU636" s="1"/>
      <c r="CV636" s="1"/>
      <c r="CW636" s="1"/>
      <c r="CX636" s="1"/>
      <c r="CY636" s="1"/>
      <c r="CZ636" s="1"/>
      <c r="DA636" s="1"/>
      <c r="DB636" s="1"/>
      <c r="DC636" s="1"/>
      <c r="DD636" s="1"/>
      <c r="DE636" s="1"/>
      <c r="DF636" s="1"/>
      <c r="DG636" s="1"/>
      <c r="DH636" s="1"/>
      <c r="DI636" s="1"/>
      <c r="DJ636" s="1"/>
      <c r="DK636" s="1"/>
      <c r="DM636" s="1"/>
      <c r="DQ636" s="1"/>
      <c r="DR636" s="1"/>
      <c r="DY636" s="1"/>
      <c r="DZ636" s="1"/>
      <c r="ED636" s="1"/>
      <c r="EK636" s="1"/>
      <c r="EL636" s="1"/>
      <c r="EM636" s="1"/>
      <c r="EN636" s="1"/>
      <c r="EQ636" s="1"/>
      <c r="ER636" s="1"/>
      <c r="ES636" s="1"/>
      <c r="EV636" s="1"/>
      <c r="EW636" s="1"/>
      <c r="EZ636" s="1"/>
      <c r="FA636" s="1"/>
      <c r="FD636" s="1"/>
      <c r="FQ636" s="1"/>
      <c r="GA636" s="1"/>
      <c r="GD636" s="1"/>
      <c r="GE636" s="1"/>
      <c r="GF636" s="1"/>
      <c r="GG636" s="1"/>
      <c r="GH636" s="1"/>
      <c r="GI636" s="1"/>
      <c r="GJ636" s="1"/>
      <c r="GK636" s="1"/>
      <c r="GL636" s="1"/>
      <c r="GM636" s="1"/>
      <c r="GN636" s="1"/>
      <c r="GO636" s="1"/>
      <c r="GP636" s="1"/>
      <c r="GY636" s="1"/>
      <c r="HF636" s="1"/>
      <c r="HH636" s="1"/>
      <c r="HN636" s="1"/>
      <c r="HR636" s="1"/>
      <c r="HS636" s="1"/>
      <c r="HT636" s="1"/>
      <c r="HY636" s="1"/>
      <c r="IE636" s="1"/>
      <c r="IS636" s="1"/>
      <c r="IW636" s="1"/>
      <c r="IZ636" s="1"/>
      <c r="JA636" s="1"/>
      <c r="JC636" s="1"/>
      <c r="JF636" s="1"/>
      <c r="JG636" s="1"/>
      <c r="JH636" s="1"/>
      <c r="JJ636" s="1"/>
      <c r="JN636" s="1"/>
      <c r="JP636" s="1"/>
      <c r="JQ636" s="1"/>
      <c r="JT636" s="1"/>
      <c r="KV636" s="1"/>
      <c r="KY636" s="1"/>
      <c r="KZ636" s="1"/>
      <c r="LA636" s="1"/>
      <c r="LB636" s="1"/>
      <c r="LC636" s="1"/>
      <c r="LD636" s="1"/>
      <c r="LF636" s="1"/>
      <c r="LN636" s="1"/>
      <c r="LO636" s="1"/>
      <c r="LP636" s="1"/>
      <c r="LZ636" s="1"/>
      <c r="MA636" s="1"/>
    </row>
    <row r="637" spans="4:339" ht="13" x14ac:dyDescent="0.15">
      <c r="D637" s="12"/>
      <c r="E637" s="12"/>
      <c r="I637" s="12"/>
      <c r="J637" s="13"/>
      <c r="BF637" s="1"/>
      <c r="BG637" s="1"/>
      <c r="BH637" s="1"/>
      <c r="BI637" s="1"/>
      <c r="BK637" s="1"/>
      <c r="BL637" s="1"/>
      <c r="BM637" s="1"/>
      <c r="BN637" s="1"/>
      <c r="BO637" s="1"/>
      <c r="BP637" s="1"/>
      <c r="BQ637" s="1"/>
      <c r="BR637" s="1"/>
      <c r="BX637" s="1"/>
      <c r="CD637" s="1"/>
      <c r="CE637" s="1"/>
      <c r="CF637" s="1"/>
      <c r="CG637" s="1"/>
      <c r="CH637" s="1"/>
      <c r="CI637" s="1"/>
      <c r="CM637" s="4"/>
      <c r="CN637" s="1"/>
      <c r="CO637" s="1"/>
      <c r="CP637" s="1"/>
      <c r="CQ637" s="1"/>
      <c r="CR637" s="1"/>
      <c r="CS637" s="1"/>
      <c r="CT637" s="1"/>
      <c r="CU637" s="1"/>
      <c r="CV637" s="1"/>
      <c r="CW637" s="1"/>
      <c r="CX637" s="1"/>
      <c r="CY637" s="1"/>
      <c r="CZ637" s="1"/>
      <c r="DA637" s="1"/>
      <c r="DB637" s="1"/>
      <c r="DC637" s="1"/>
      <c r="DD637" s="1"/>
      <c r="DE637" s="1"/>
      <c r="DF637" s="1"/>
      <c r="DG637" s="1"/>
      <c r="DH637" s="1"/>
      <c r="DI637" s="1"/>
      <c r="DJ637" s="1"/>
      <c r="DK637" s="1"/>
      <c r="DM637" s="1"/>
      <c r="DQ637" s="1"/>
      <c r="DR637" s="1"/>
      <c r="DY637" s="1"/>
      <c r="DZ637" s="1"/>
      <c r="ED637" s="1"/>
      <c r="EK637" s="1"/>
      <c r="EL637" s="1"/>
      <c r="EM637" s="1"/>
      <c r="EN637" s="1"/>
      <c r="EQ637" s="1"/>
      <c r="ER637" s="1"/>
      <c r="ES637" s="1"/>
      <c r="EV637" s="1"/>
      <c r="EW637" s="1"/>
      <c r="EZ637" s="1"/>
      <c r="FA637" s="1"/>
      <c r="FD637" s="1"/>
      <c r="FQ637" s="1"/>
      <c r="GA637" s="1"/>
      <c r="GD637" s="1"/>
      <c r="GE637" s="1"/>
      <c r="GF637" s="1"/>
      <c r="GG637" s="1"/>
      <c r="GH637" s="1"/>
      <c r="GI637" s="1"/>
      <c r="GJ637" s="1"/>
      <c r="GK637" s="1"/>
      <c r="GL637" s="1"/>
      <c r="GM637" s="1"/>
      <c r="GN637" s="1"/>
      <c r="GO637" s="1"/>
      <c r="GP637" s="1"/>
      <c r="GY637" s="1"/>
      <c r="HF637" s="1"/>
      <c r="HH637" s="1"/>
      <c r="HN637" s="1"/>
      <c r="HR637" s="1"/>
      <c r="HS637" s="1"/>
      <c r="HT637" s="1"/>
      <c r="HY637" s="1"/>
      <c r="IE637" s="1"/>
      <c r="IS637" s="1"/>
      <c r="IW637" s="1"/>
      <c r="IZ637" s="1"/>
      <c r="JA637" s="1"/>
      <c r="JC637" s="1"/>
      <c r="JF637" s="1"/>
      <c r="JG637" s="1"/>
      <c r="JH637" s="1"/>
      <c r="JJ637" s="1"/>
      <c r="JN637" s="1"/>
      <c r="JP637" s="1"/>
      <c r="JQ637" s="1"/>
      <c r="JT637" s="1"/>
      <c r="KV637" s="1"/>
      <c r="KY637" s="1"/>
      <c r="KZ637" s="1"/>
      <c r="LA637" s="1"/>
      <c r="LB637" s="1"/>
      <c r="LC637" s="1"/>
      <c r="LD637" s="1"/>
      <c r="LF637" s="1"/>
      <c r="LN637" s="1"/>
      <c r="LO637" s="1"/>
      <c r="LP637" s="1"/>
      <c r="LZ637" s="1"/>
      <c r="MA637" s="1"/>
    </row>
    <row r="638" spans="4:339" ht="13" x14ac:dyDescent="0.15">
      <c r="D638" s="12"/>
      <c r="E638" s="12"/>
      <c r="I638" s="12"/>
      <c r="J638" s="13"/>
      <c r="BF638" s="1"/>
      <c r="BG638" s="1"/>
      <c r="BH638" s="1"/>
      <c r="BI638" s="1"/>
      <c r="BK638" s="1"/>
      <c r="BL638" s="1"/>
      <c r="BM638" s="1"/>
      <c r="BN638" s="1"/>
      <c r="BO638" s="1"/>
      <c r="BP638" s="1"/>
      <c r="BQ638" s="1"/>
      <c r="BR638" s="1"/>
      <c r="BX638" s="1"/>
      <c r="CD638" s="1"/>
      <c r="CE638" s="1"/>
      <c r="CF638" s="1"/>
      <c r="CG638" s="1"/>
      <c r="CH638" s="1"/>
      <c r="CI638" s="1"/>
      <c r="CM638" s="4"/>
      <c r="CN638" s="1"/>
      <c r="CO638" s="1"/>
      <c r="CP638" s="1"/>
      <c r="CQ638" s="1"/>
      <c r="CR638" s="1"/>
      <c r="CS638" s="1"/>
      <c r="CT638" s="1"/>
      <c r="CU638" s="1"/>
      <c r="CV638" s="1"/>
      <c r="CW638" s="1"/>
      <c r="CX638" s="1"/>
      <c r="CY638" s="1"/>
      <c r="CZ638" s="1"/>
      <c r="DA638" s="1"/>
      <c r="DB638" s="1"/>
      <c r="DC638" s="1"/>
      <c r="DD638" s="1"/>
      <c r="DE638" s="1"/>
      <c r="DF638" s="1"/>
      <c r="DG638" s="1"/>
      <c r="DH638" s="1"/>
      <c r="DI638" s="1"/>
      <c r="DJ638" s="1"/>
      <c r="DK638" s="1"/>
      <c r="DM638" s="1"/>
      <c r="DQ638" s="1"/>
      <c r="DR638" s="1"/>
      <c r="DY638" s="1"/>
      <c r="DZ638" s="1"/>
      <c r="ED638" s="1"/>
      <c r="EK638" s="1"/>
      <c r="EL638" s="1"/>
      <c r="EM638" s="1"/>
      <c r="EN638" s="1"/>
      <c r="EQ638" s="1"/>
      <c r="ER638" s="1"/>
      <c r="ES638" s="1"/>
      <c r="EV638" s="1"/>
      <c r="EW638" s="1"/>
      <c r="EZ638" s="1"/>
      <c r="FA638" s="1"/>
      <c r="FD638" s="1"/>
      <c r="FQ638" s="1"/>
      <c r="GA638" s="1"/>
      <c r="GD638" s="1"/>
      <c r="GE638" s="1"/>
      <c r="GF638" s="1"/>
      <c r="GG638" s="1"/>
      <c r="GH638" s="1"/>
      <c r="GI638" s="1"/>
      <c r="GJ638" s="1"/>
      <c r="GK638" s="1"/>
      <c r="GL638" s="1"/>
      <c r="GM638" s="1"/>
      <c r="GN638" s="1"/>
      <c r="GO638" s="1"/>
      <c r="GP638" s="1"/>
      <c r="GY638" s="1"/>
      <c r="HF638" s="1"/>
      <c r="HH638" s="1"/>
      <c r="HN638" s="1"/>
      <c r="HR638" s="1"/>
      <c r="HS638" s="1"/>
      <c r="HT638" s="1"/>
      <c r="HY638" s="1"/>
      <c r="IE638" s="1"/>
      <c r="IS638" s="1"/>
      <c r="IW638" s="1"/>
      <c r="IZ638" s="1"/>
      <c r="JA638" s="1"/>
      <c r="JC638" s="1"/>
      <c r="JF638" s="1"/>
      <c r="JG638" s="1"/>
      <c r="JH638" s="1"/>
      <c r="JJ638" s="1"/>
      <c r="JN638" s="1"/>
      <c r="JP638" s="1"/>
      <c r="JQ638" s="1"/>
      <c r="JT638" s="1"/>
      <c r="KV638" s="1"/>
      <c r="KY638" s="1"/>
      <c r="KZ638" s="1"/>
      <c r="LA638" s="1"/>
      <c r="LB638" s="1"/>
      <c r="LC638" s="1"/>
      <c r="LD638" s="1"/>
      <c r="LF638" s="1"/>
      <c r="LN638" s="1"/>
      <c r="LO638" s="1"/>
      <c r="LP638" s="1"/>
      <c r="LZ638" s="1"/>
      <c r="MA638" s="1"/>
    </row>
    <row r="639" spans="4:339" ht="13" x14ac:dyDescent="0.15">
      <c r="D639" s="12"/>
      <c r="E639" s="12"/>
      <c r="I639" s="12"/>
      <c r="J639" s="13"/>
      <c r="BF639" s="1"/>
      <c r="BG639" s="1"/>
      <c r="BH639" s="1"/>
      <c r="BI639" s="1"/>
      <c r="BK639" s="1"/>
      <c r="BL639" s="1"/>
      <c r="BM639" s="1"/>
      <c r="BN639" s="1"/>
      <c r="BO639" s="1"/>
      <c r="BP639" s="1"/>
      <c r="BQ639" s="1"/>
      <c r="BR639" s="1"/>
      <c r="BX639" s="1"/>
      <c r="CD639" s="1"/>
      <c r="CE639" s="1"/>
      <c r="CF639" s="1"/>
      <c r="CG639" s="1"/>
      <c r="CH639" s="1"/>
      <c r="CI639" s="1"/>
      <c r="CM639" s="4"/>
      <c r="CN639" s="1"/>
      <c r="CO639" s="1"/>
      <c r="CP639" s="1"/>
      <c r="CQ639" s="1"/>
      <c r="CR639" s="1"/>
      <c r="CS639" s="1"/>
      <c r="CT639" s="1"/>
      <c r="CU639" s="1"/>
      <c r="CV639" s="1"/>
      <c r="CW639" s="1"/>
      <c r="CX639" s="1"/>
      <c r="CY639" s="1"/>
      <c r="CZ639" s="1"/>
      <c r="DA639" s="1"/>
      <c r="DB639" s="1"/>
      <c r="DC639" s="1"/>
      <c r="DD639" s="1"/>
      <c r="DE639" s="1"/>
      <c r="DF639" s="1"/>
      <c r="DG639" s="1"/>
      <c r="DH639" s="1"/>
      <c r="DI639" s="1"/>
      <c r="DJ639" s="1"/>
      <c r="DK639" s="1"/>
      <c r="DM639" s="1"/>
      <c r="DQ639" s="1"/>
      <c r="DR639" s="1"/>
      <c r="DY639" s="1"/>
      <c r="DZ639" s="1"/>
      <c r="ED639" s="1"/>
      <c r="EK639" s="1"/>
      <c r="EL639" s="1"/>
      <c r="EM639" s="1"/>
      <c r="EN639" s="1"/>
      <c r="EQ639" s="1"/>
      <c r="ER639" s="1"/>
      <c r="ES639" s="1"/>
      <c r="EV639" s="1"/>
      <c r="EW639" s="1"/>
      <c r="EZ639" s="1"/>
      <c r="FA639" s="1"/>
      <c r="FD639" s="1"/>
      <c r="FQ639" s="1"/>
      <c r="GA639" s="1"/>
      <c r="GD639" s="1"/>
      <c r="GE639" s="1"/>
      <c r="GF639" s="1"/>
      <c r="GG639" s="1"/>
      <c r="GH639" s="1"/>
      <c r="GI639" s="1"/>
      <c r="GJ639" s="1"/>
      <c r="GK639" s="1"/>
      <c r="GL639" s="1"/>
      <c r="GM639" s="1"/>
      <c r="GN639" s="1"/>
      <c r="GO639" s="1"/>
      <c r="GP639" s="1"/>
      <c r="GY639" s="1"/>
      <c r="HF639" s="1"/>
      <c r="HH639" s="1"/>
      <c r="HN639" s="1"/>
      <c r="HR639" s="1"/>
      <c r="HS639" s="1"/>
      <c r="HT639" s="1"/>
      <c r="HY639" s="1"/>
      <c r="IE639" s="1"/>
      <c r="IS639" s="1"/>
      <c r="IW639" s="1"/>
      <c r="IZ639" s="1"/>
      <c r="JA639" s="1"/>
      <c r="JC639" s="1"/>
      <c r="JF639" s="1"/>
      <c r="JG639" s="1"/>
      <c r="JH639" s="1"/>
      <c r="JJ639" s="1"/>
      <c r="JN639" s="1"/>
      <c r="JP639" s="1"/>
      <c r="JQ639" s="1"/>
      <c r="JT639" s="1"/>
      <c r="KV639" s="1"/>
      <c r="KY639" s="1"/>
      <c r="KZ639" s="1"/>
      <c r="LA639" s="1"/>
      <c r="LB639" s="1"/>
      <c r="LC639" s="1"/>
      <c r="LD639" s="1"/>
      <c r="LF639" s="1"/>
      <c r="LN639" s="1"/>
      <c r="LO639" s="1"/>
      <c r="LP639" s="1"/>
      <c r="LZ639" s="1"/>
      <c r="MA639" s="1"/>
    </row>
    <row r="640" spans="4:339" ht="13" x14ac:dyDescent="0.15">
      <c r="D640" s="12"/>
      <c r="E640" s="12"/>
      <c r="I640" s="12"/>
      <c r="J640" s="13"/>
      <c r="BF640" s="1"/>
      <c r="BG640" s="1"/>
      <c r="BH640" s="1"/>
      <c r="BI640" s="1"/>
      <c r="BK640" s="1"/>
      <c r="BL640" s="1"/>
      <c r="BM640" s="1"/>
      <c r="BN640" s="1"/>
      <c r="BO640" s="1"/>
      <c r="BP640" s="1"/>
      <c r="BQ640" s="1"/>
      <c r="BR640" s="1"/>
      <c r="BX640" s="1"/>
      <c r="CD640" s="1"/>
      <c r="CE640" s="1"/>
      <c r="CF640" s="1"/>
      <c r="CG640" s="1"/>
      <c r="CH640" s="1"/>
      <c r="CI640" s="1"/>
      <c r="CM640" s="4"/>
      <c r="CN640" s="1"/>
      <c r="CO640" s="1"/>
      <c r="CP640" s="1"/>
      <c r="CQ640" s="1"/>
      <c r="CR640" s="1"/>
      <c r="CS640" s="1"/>
      <c r="CT640" s="1"/>
      <c r="CU640" s="1"/>
      <c r="CV640" s="1"/>
      <c r="CW640" s="1"/>
      <c r="CX640" s="1"/>
      <c r="CY640" s="1"/>
      <c r="CZ640" s="1"/>
      <c r="DA640" s="1"/>
      <c r="DB640" s="1"/>
      <c r="DC640" s="1"/>
      <c r="DD640" s="1"/>
      <c r="DE640" s="1"/>
      <c r="DF640" s="1"/>
      <c r="DG640" s="1"/>
      <c r="DH640" s="1"/>
      <c r="DI640" s="1"/>
      <c r="DJ640" s="1"/>
      <c r="DK640" s="1"/>
      <c r="DM640" s="1"/>
      <c r="DQ640" s="1"/>
      <c r="DR640" s="1"/>
      <c r="DY640" s="1"/>
      <c r="DZ640" s="1"/>
      <c r="ED640" s="1"/>
      <c r="EK640" s="1"/>
      <c r="EL640" s="1"/>
      <c r="EM640" s="1"/>
      <c r="EN640" s="1"/>
      <c r="EQ640" s="1"/>
      <c r="ER640" s="1"/>
      <c r="ES640" s="1"/>
      <c r="EV640" s="1"/>
      <c r="EW640" s="1"/>
      <c r="EZ640" s="1"/>
      <c r="FA640" s="1"/>
      <c r="FD640" s="1"/>
      <c r="FQ640" s="1"/>
      <c r="GA640" s="1"/>
      <c r="GD640" s="1"/>
      <c r="GE640" s="1"/>
      <c r="GF640" s="1"/>
      <c r="GG640" s="1"/>
      <c r="GH640" s="1"/>
      <c r="GI640" s="1"/>
      <c r="GJ640" s="1"/>
      <c r="GK640" s="1"/>
      <c r="GL640" s="1"/>
      <c r="GM640" s="1"/>
      <c r="GN640" s="1"/>
      <c r="GO640" s="1"/>
      <c r="GP640" s="1"/>
      <c r="GY640" s="1"/>
      <c r="HF640" s="1"/>
      <c r="HH640" s="1"/>
      <c r="HN640" s="1"/>
      <c r="HR640" s="1"/>
      <c r="HS640" s="1"/>
      <c r="HT640" s="1"/>
      <c r="HY640" s="1"/>
      <c r="IE640" s="1"/>
      <c r="IS640" s="1"/>
      <c r="IW640" s="1"/>
      <c r="IZ640" s="1"/>
      <c r="JA640" s="1"/>
      <c r="JC640" s="1"/>
      <c r="JF640" s="1"/>
      <c r="JG640" s="1"/>
      <c r="JH640" s="1"/>
      <c r="JJ640" s="1"/>
      <c r="JN640" s="1"/>
      <c r="JP640" s="1"/>
      <c r="JQ640" s="1"/>
      <c r="JT640" s="1"/>
      <c r="KV640" s="1"/>
      <c r="KY640" s="1"/>
      <c r="KZ640" s="1"/>
      <c r="LA640" s="1"/>
      <c r="LB640" s="1"/>
      <c r="LC640" s="1"/>
      <c r="LD640" s="1"/>
      <c r="LF640" s="1"/>
      <c r="LN640" s="1"/>
      <c r="LO640" s="1"/>
      <c r="LP640" s="1"/>
      <c r="LZ640" s="1"/>
      <c r="MA640" s="1"/>
    </row>
    <row r="641" spans="4:339" ht="13" x14ac:dyDescent="0.15">
      <c r="D641" s="12"/>
      <c r="E641" s="12"/>
      <c r="I641" s="12"/>
      <c r="J641" s="13"/>
      <c r="BF641" s="1"/>
      <c r="BG641" s="1"/>
      <c r="BH641" s="1"/>
      <c r="BI641" s="1"/>
      <c r="BK641" s="1"/>
      <c r="BL641" s="1"/>
      <c r="BM641" s="1"/>
      <c r="BN641" s="1"/>
      <c r="BO641" s="1"/>
      <c r="BP641" s="1"/>
      <c r="BQ641" s="1"/>
      <c r="BR641" s="1"/>
      <c r="BX641" s="1"/>
      <c r="CD641" s="1"/>
      <c r="CE641" s="1"/>
      <c r="CF641" s="1"/>
      <c r="CG641" s="1"/>
      <c r="CH641" s="1"/>
      <c r="CI641" s="1"/>
      <c r="CM641" s="4"/>
      <c r="CN641" s="1"/>
      <c r="CO641" s="1"/>
      <c r="CP641" s="1"/>
      <c r="CQ641" s="1"/>
      <c r="CR641" s="1"/>
      <c r="CS641" s="1"/>
      <c r="CT641" s="1"/>
      <c r="CU641" s="1"/>
      <c r="CV641" s="1"/>
      <c r="CW641" s="1"/>
      <c r="CX641" s="1"/>
      <c r="CY641" s="1"/>
      <c r="CZ641" s="1"/>
      <c r="DA641" s="1"/>
      <c r="DB641" s="1"/>
      <c r="DC641" s="1"/>
      <c r="DD641" s="1"/>
      <c r="DE641" s="1"/>
      <c r="DF641" s="1"/>
      <c r="DG641" s="1"/>
      <c r="DH641" s="1"/>
      <c r="DI641" s="1"/>
      <c r="DJ641" s="1"/>
      <c r="DK641" s="1"/>
      <c r="DM641" s="1"/>
      <c r="DQ641" s="1"/>
      <c r="DR641" s="1"/>
      <c r="DY641" s="1"/>
      <c r="DZ641" s="1"/>
      <c r="ED641" s="1"/>
      <c r="EK641" s="1"/>
      <c r="EL641" s="1"/>
      <c r="EM641" s="1"/>
      <c r="EN641" s="1"/>
      <c r="EQ641" s="1"/>
      <c r="ER641" s="1"/>
      <c r="ES641" s="1"/>
      <c r="EV641" s="1"/>
      <c r="EW641" s="1"/>
      <c r="EZ641" s="1"/>
      <c r="FA641" s="1"/>
      <c r="FD641" s="1"/>
      <c r="FQ641" s="1"/>
      <c r="GA641" s="1"/>
      <c r="GD641" s="1"/>
      <c r="GE641" s="1"/>
      <c r="GF641" s="1"/>
      <c r="GG641" s="1"/>
      <c r="GH641" s="1"/>
      <c r="GI641" s="1"/>
      <c r="GJ641" s="1"/>
      <c r="GK641" s="1"/>
      <c r="GL641" s="1"/>
      <c r="GM641" s="1"/>
      <c r="GN641" s="1"/>
      <c r="GO641" s="1"/>
      <c r="GP641" s="1"/>
      <c r="GY641" s="1"/>
      <c r="HF641" s="1"/>
      <c r="HH641" s="1"/>
      <c r="HN641" s="1"/>
      <c r="HR641" s="1"/>
      <c r="HS641" s="1"/>
      <c r="HT641" s="1"/>
      <c r="HY641" s="1"/>
      <c r="IE641" s="1"/>
      <c r="IS641" s="1"/>
      <c r="IW641" s="1"/>
      <c r="IZ641" s="1"/>
      <c r="JA641" s="1"/>
      <c r="JC641" s="1"/>
      <c r="JF641" s="1"/>
      <c r="JG641" s="1"/>
      <c r="JH641" s="1"/>
      <c r="JJ641" s="1"/>
      <c r="JN641" s="1"/>
      <c r="JP641" s="1"/>
      <c r="JQ641" s="1"/>
      <c r="JT641" s="1"/>
      <c r="KV641" s="1"/>
      <c r="KY641" s="1"/>
      <c r="KZ641" s="1"/>
      <c r="LA641" s="1"/>
      <c r="LB641" s="1"/>
      <c r="LC641" s="1"/>
      <c r="LD641" s="1"/>
      <c r="LF641" s="1"/>
      <c r="LN641" s="1"/>
      <c r="LO641" s="1"/>
      <c r="LP641" s="1"/>
      <c r="LZ641" s="1"/>
      <c r="MA641" s="1"/>
    </row>
    <row r="642" spans="4:339" ht="13" x14ac:dyDescent="0.15">
      <c r="D642" s="12"/>
      <c r="E642" s="12"/>
      <c r="I642" s="12"/>
      <c r="J642" s="13"/>
      <c r="BF642" s="1"/>
      <c r="BG642" s="1"/>
      <c r="BH642" s="1"/>
      <c r="BI642" s="1"/>
      <c r="BK642" s="1"/>
      <c r="BL642" s="1"/>
      <c r="BM642" s="1"/>
      <c r="BN642" s="1"/>
      <c r="BO642" s="1"/>
      <c r="BP642" s="1"/>
      <c r="BQ642" s="1"/>
      <c r="BR642" s="1"/>
      <c r="BX642" s="1"/>
      <c r="CD642" s="1"/>
      <c r="CE642" s="1"/>
      <c r="CF642" s="1"/>
      <c r="CG642" s="1"/>
      <c r="CH642" s="1"/>
      <c r="CI642" s="1"/>
      <c r="CM642" s="4"/>
      <c r="CN642" s="1"/>
      <c r="CO642" s="1"/>
      <c r="CP642" s="1"/>
      <c r="CQ642" s="1"/>
      <c r="CR642" s="1"/>
      <c r="CS642" s="1"/>
      <c r="CT642" s="1"/>
      <c r="CU642" s="1"/>
      <c r="CV642" s="1"/>
      <c r="CW642" s="1"/>
      <c r="CX642" s="1"/>
      <c r="CY642" s="1"/>
      <c r="CZ642" s="1"/>
      <c r="DA642" s="1"/>
      <c r="DB642" s="1"/>
      <c r="DC642" s="1"/>
      <c r="DD642" s="1"/>
      <c r="DE642" s="1"/>
      <c r="DF642" s="1"/>
      <c r="DG642" s="1"/>
      <c r="DH642" s="1"/>
      <c r="DI642" s="1"/>
      <c r="DJ642" s="1"/>
      <c r="DK642" s="1"/>
      <c r="DM642" s="1"/>
      <c r="DQ642" s="1"/>
      <c r="DR642" s="1"/>
      <c r="DY642" s="1"/>
      <c r="DZ642" s="1"/>
      <c r="ED642" s="1"/>
      <c r="EK642" s="1"/>
      <c r="EL642" s="1"/>
      <c r="EM642" s="1"/>
      <c r="EN642" s="1"/>
      <c r="EQ642" s="1"/>
      <c r="ER642" s="1"/>
      <c r="ES642" s="1"/>
      <c r="EV642" s="1"/>
      <c r="EW642" s="1"/>
      <c r="EZ642" s="1"/>
      <c r="FA642" s="1"/>
      <c r="FD642" s="1"/>
      <c r="FQ642" s="1"/>
      <c r="GA642" s="1"/>
      <c r="GD642" s="1"/>
      <c r="GE642" s="1"/>
      <c r="GF642" s="1"/>
      <c r="GG642" s="1"/>
      <c r="GH642" s="1"/>
      <c r="GI642" s="1"/>
      <c r="GJ642" s="1"/>
      <c r="GK642" s="1"/>
      <c r="GL642" s="1"/>
      <c r="GM642" s="1"/>
      <c r="GN642" s="1"/>
      <c r="GO642" s="1"/>
      <c r="GP642" s="1"/>
      <c r="GY642" s="1"/>
      <c r="HF642" s="1"/>
      <c r="HH642" s="1"/>
      <c r="HN642" s="1"/>
      <c r="HR642" s="1"/>
      <c r="HS642" s="1"/>
      <c r="HT642" s="1"/>
      <c r="HY642" s="1"/>
      <c r="IE642" s="1"/>
      <c r="IS642" s="1"/>
      <c r="IW642" s="1"/>
      <c r="IZ642" s="1"/>
      <c r="JA642" s="1"/>
      <c r="JC642" s="1"/>
      <c r="JF642" s="1"/>
      <c r="JG642" s="1"/>
      <c r="JH642" s="1"/>
      <c r="JJ642" s="1"/>
      <c r="JN642" s="1"/>
      <c r="JP642" s="1"/>
      <c r="JQ642" s="1"/>
      <c r="JT642" s="1"/>
      <c r="KV642" s="1"/>
      <c r="KY642" s="1"/>
      <c r="KZ642" s="1"/>
      <c r="LA642" s="1"/>
      <c r="LB642" s="1"/>
      <c r="LC642" s="1"/>
      <c r="LD642" s="1"/>
      <c r="LF642" s="1"/>
      <c r="LN642" s="1"/>
      <c r="LO642" s="1"/>
      <c r="LP642" s="1"/>
      <c r="LZ642" s="1"/>
      <c r="MA642" s="1"/>
    </row>
    <row r="643" spans="4:339" ht="13" x14ac:dyDescent="0.15">
      <c r="D643" s="12"/>
      <c r="E643" s="12"/>
      <c r="I643" s="12"/>
      <c r="J643" s="13"/>
      <c r="BF643" s="1"/>
      <c r="BG643" s="1"/>
      <c r="BH643" s="1"/>
      <c r="BI643" s="1"/>
      <c r="BK643" s="1"/>
      <c r="BL643" s="1"/>
      <c r="BM643" s="1"/>
      <c r="BN643" s="1"/>
      <c r="BO643" s="1"/>
      <c r="BP643" s="1"/>
      <c r="BQ643" s="1"/>
      <c r="BR643" s="1"/>
      <c r="BX643" s="1"/>
      <c r="CD643" s="1"/>
      <c r="CE643" s="1"/>
      <c r="CF643" s="1"/>
      <c r="CG643" s="1"/>
      <c r="CH643" s="1"/>
      <c r="CI643" s="1"/>
      <c r="CM643" s="4"/>
      <c r="CN643" s="1"/>
      <c r="CO643" s="1"/>
      <c r="CP643" s="1"/>
      <c r="CQ643" s="1"/>
      <c r="CR643" s="1"/>
      <c r="CS643" s="1"/>
      <c r="CT643" s="1"/>
      <c r="CU643" s="1"/>
      <c r="CV643" s="1"/>
      <c r="CW643" s="1"/>
      <c r="CX643" s="1"/>
      <c r="CY643" s="1"/>
      <c r="CZ643" s="1"/>
      <c r="DA643" s="1"/>
      <c r="DB643" s="1"/>
      <c r="DC643" s="1"/>
      <c r="DD643" s="1"/>
      <c r="DE643" s="1"/>
      <c r="DF643" s="1"/>
      <c r="DG643" s="1"/>
      <c r="DH643" s="1"/>
      <c r="DI643" s="1"/>
      <c r="DJ643" s="1"/>
      <c r="DK643" s="1"/>
      <c r="DM643" s="1"/>
      <c r="DQ643" s="1"/>
      <c r="DR643" s="1"/>
      <c r="DY643" s="1"/>
      <c r="DZ643" s="1"/>
      <c r="ED643" s="1"/>
      <c r="EK643" s="1"/>
      <c r="EL643" s="1"/>
      <c r="EM643" s="1"/>
      <c r="EN643" s="1"/>
      <c r="EQ643" s="1"/>
      <c r="ER643" s="1"/>
      <c r="ES643" s="1"/>
      <c r="EV643" s="1"/>
      <c r="EW643" s="1"/>
      <c r="EZ643" s="1"/>
      <c r="FA643" s="1"/>
      <c r="FD643" s="1"/>
      <c r="FQ643" s="1"/>
      <c r="GA643" s="1"/>
      <c r="GD643" s="1"/>
      <c r="GE643" s="1"/>
      <c r="GF643" s="1"/>
      <c r="GG643" s="1"/>
      <c r="GH643" s="1"/>
      <c r="GI643" s="1"/>
      <c r="GJ643" s="1"/>
      <c r="GK643" s="1"/>
      <c r="GL643" s="1"/>
      <c r="GM643" s="1"/>
      <c r="GN643" s="1"/>
      <c r="GO643" s="1"/>
      <c r="GP643" s="1"/>
      <c r="GY643" s="1"/>
      <c r="HF643" s="1"/>
      <c r="HH643" s="1"/>
      <c r="HN643" s="1"/>
      <c r="HR643" s="1"/>
      <c r="HS643" s="1"/>
      <c r="HT643" s="1"/>
      <c r="HY643" s="1"/>
      <c r="IE643" s="1"/>
      <c r="IS643" s="1"/>
      <c r="IW643" s="1"/>
      <c r="IZ643" s="1"/>
      <c r="JA643" s="1"/>
      <c r="JC643" s="1"/>
      <c r="JF643" s="1"/>
      <c r="JG643" s="1"/>
      <c r="JH643" s="1"/>
      <c r="JJ643" s="1"/>
      <c r="JN643" s="1"/>
      <c r="JP643" s="1"/>
      <c r="JQ643" s="1"/>
      <c r="JT643" s="1"/>
      <c r="KV643" s="1"/>
      <c r="KY643" s="1"/>
      <c r="KZ643" s="1"/>
      <c r="LA643" s="1"/>
      <c r="LB643" s="1"/>
      <c r="LC643" s="1"/>
      <c r="LD643" s="1"/>
      <c r="LF643" s="1"/>
      <c r="LN643" s="1"/>
      <c r="LO643" s="1"/>
      <c r="LP643" s="1"/>
      <c r="LZ643" s="1"/>
      <c r="MA643" s="1"/>
    </row>
    <row r="644" spans="4:339" ht="13" x14ac:dyDescent="0.15">
      <c r="D644" s="12"/>
      <c r="E644" s="12"/>
      <c r="I644" s="12"/>
      <c r="J644" s="13"/>
      <c r="BF644" s="1"/>
      <c r="BG644" s="1"/>
      <c r="BH644" s="1"/>
      <c r="BI644" s="1"/>
      <c r="BK644" s="1"/>
      <c r="BL644" s="1"/>
      <c r="BM644" s="1"/>
      <c r="BN644" s="1"/>
      <c r="BO644" s="1"/>
      <c r="BP644" s="1"/>
      <c r="BQ644" s="1"/>
      <c r="BR644" s="1"/>
      <c r="BX644" s="1"/>
      <c r="CD644" s="1"/>
      <c r="CE644" s="1"/>
      <c r="CF644" s="1"/>
      <c r="CG644" s="1"/>
      <c r="CH644" s="1"/>
      <c r="CI644" s="1"/>
      <c r="CM644" s="4"/>
      <c r="CN644" s="1"/>
      <c r="CO644" s="1"/>
      <c r="CP644" s="1"/>
      <c r="CQ644" s="1"/>
      <c r="CR644" s="1"/>
      <c r="CS644" s="1"/>
      <c r="CT644" s="1"/>
      <c r="CU644" s="1"/>
      <c r="CV644" s="1"/>
      <c r="CW644" s="1"/>
      <c r="CX644" s="1"/>
      <c r="CY644" s="1"/>
      <c r="CZ644" s="1"/>
      <c r="DA644" s="1"/>
      <c r="DB644" s="1"/>
      <c r="DC644" s="1"/>
      <c r="DD644" s="1"/>
      <c r="DE644" s="1"/>
      <c r="DF644" s="1"/>
      <c r="DG644" s="1"/>
      <c r="DH644" s="1"/>
      <c r="DI644" s="1"/>
      <c r="DJ644" s="1"/>
      <c r="DK644" s="1"/>
      <c r="DM644" s="1"/>
      <c r="DQ644" s="1"/>
      <c r="DR644" s="1"/>
      <c r="DY644" s="1"/>
      <c r="DZ644" s="1"/>
      <c r="ED644" s="1"/>
      <c r="EK644" s="1"/>
      <c r="EL644" s="1"/>
      <c r="EM644" s="1"/>
      <c r="EN644" s="1"/>
      <c r="EQ644" s="1"/>
      <c r="ER644" s="1"/>
      <c r="ES644" s="1"/>
      <c r="EV644" s="1"/>
      <c r="EW644" s="1"/>
      <c r="EZ644" s="1"/>
      <c r="FA644" s="1"/>
      <c r="FD644" s="1"/>
      <c r="FQ644" s="1"/>
      <c r="GA644" s="1"/>
      <c r="GD644" s="1"/>
      <c r="GE644" s="1"/>
      <c r="GF644" s="1"/>
      <c r="GG644" s="1"/>
      <c r="GH644" s="1"/>
      <c r="GI644" s="1"/>
      <c r="GJ644" s="1"/>
      <c r="GK644" s="1"/>
      <c r="GL644" s="1"/>
      <c r="GM644" s="1"/>
      <c r="GN644" s="1"/>
      <c r="GO644" s="1"/>
      <c r="GP644" s="1"/>
      <c r="GY644" s="1"/>
      <c r="HF644" s="1"/>
      <c r="HH644" s="1"/>
      <c r="HN644" s="1"/>
      <c r="HR644" s="1"/>
      <c r="HS644" s="1"/>
      <c r="HT644" s="1"/>
      <c r="HY644" s="1"/>
      <c r="IE644" s="1"/>
      <c r="IS644" s="1"/>
      <c r="IW644" s="1"/>
      <c r="IZ644" s="1"/>
      <c r="JA644" s="1"/>
      <c r="JC644" s="1"/>
      <c r="JF644" s="1"/>
      <c r="JG644" s="1"/>
      <c r="JH644" s="1"/>
      <c r="JJ644" s="1"/>
      <c r="JN644" s="1"/>
      <c r="JP644" s="1"/>
      <c r="JQ644" s="1"/>
      <c r="JT644" s="1"/>
      <c r="KV644" s="1"/>
      <c r="KY644" s="1"/>
      <c r="KZ644" s="1"/>
      <c r="LA644" s="1"/>
      <c r="LB644" s="1"/>
      <c r="LC644" s="1"/>
      <c r="LD644" s="1"/>
      <c r="LF644" s="1"/>
      <c r="LN644" s="1"/>
      <c r="LO644" s="1"/>
      <c r="LP644" s="1"/>
      <c r="LZ644" s="1"/>
      <c r="MA644" s="1"/>
    </row>
    <row r="645" spans="4:339" ht="13" x14ac:dyDescent="0.15">
      <c r="D645" s="12"/>
      <c r="E645" s="12"/>
      <c r="I645" s="12"/>
      <c r="J645" s="13"/>
      <c r="BG645" s="1"/>
      <c r="BH645" s="1"/>
      <c r="BI645" s="1"/>
      <c r="BJ645" s="1"/>
      <c r="BK645" s="1"/>
      <c r="BL645" s="1"/>
      <c r="BM645" s="1"/>
      <c r="BN645" s="1"/>
      <c r="BO645" s="1"/>
      <c r="BP645" s="1"/>
      <c r="BQ645" s="1"/>
      <c r="BR645" s="1"/>
      <c r="CC645" s="1"/>
      <c r="CD645" s="1"/>
      <c r="CE645" s="1"/>
      <c r="CF645" s="1"/>
      <c r="CG645" s="1"/>
      <c r="CH645" s="1"/>
      <c r="CI645" s="1"/>
      <c r="CK645" s="1"/>
      <c r="CM645" s="2"/>
      <c r="CN645" s="1"/>
      <c r="CO645" s="1"/>
      <c r="CP645" s="1"/>
      <c r="CQ645" s="1"/>
      <c r="CS645" s="1"/>
      <c r="CT645" s="1"/>
      <c r="CU645" s="1"/>
      <c r="CV645" s="1"/>
      <c r="CW645" s="1"/>
      <c r="CX645" s="1"/>
      <c r="CY645" s="1"/>
      <c r="CZ645" s="1"/>
      <c r="DA645" s="1"/>
      <c r="DB645" s="1"/>
      <c r="DC645" s="1"/>
      <c r="DD645" s="1"/>
      <c r="DE645" s="1"/>
      <c r="DF645" s="1"/>
      <c r="DG645" s="1"/>
      <c r="DH645" s="1"/>
      <c r="DI645" s="1"/>
      <c r="DJ645" s="1"/>
      <c r="DK645" s="1"/>
      <c r="ED645" s="1"/>
      <c r="EK645" s="1"/>
      <c r="EL645" s="1"/>
      <c r="EM645" s="1"/>
      <c r="EN645" s="1"/>
      <c r="EQ645" s="1"/>
      <c r="ER645" s="1"/>
      <c r="ES645" s="1"/>
      <c r="EV645" s="1"/>
      <c r="EW645" s="1"/>
      <c r="EZ645" s="1"/>
      <c r="FA645" s="1"/>
      <c r="FD645" s="1"/>
      <c r="FF645" s="1"/>
      <c r="GD645" s="1"/>
      <c r="GE645" s="1"/>
      <c r="GF645" s="1"/>
      <c r="GG645" s="1"/>
      <c r="GH645" s="1"/>
      <c r="GI645" s="1"/>
      <c r="GP645" s="1"/>
      <c r="GV645" s="1"/>
      <c r="HE645" s="1"/>
      <c r="HF645" s="1"/>
      <c r="HH645" s="1"/>
      <c r="HT645" s="1"/>
      <c r="HY645" s="1"/>
      <c r="IE645" s="1"/>
      <c r="IS645" s="1"/>
      <c r="IY645" s="1"/>
      <c r="IZ645" s="1"/>
      <c r="JC645" s="1"/>
      <c r="JF645" s="1"/>
      <c r="JG645" s="1"/>
      <c r="JH645" s="1"/>
      <c r="JJ645" s="1"/>
      <c r="JP645" s="1"/>
      <c r="JQ645" s="1"/>
      <c r="JT645" s="1"/>
      <c r="KV645" s="1"/>
      <c r="KW645" s="1"/>
      <c r="KY645" s="1"/>
      <c r="KZ645" s="1"/>
      <c r="LA645" s="1"/>
      <c r="LB645" s="1"/>
      <c r="LC645" s="1"/>
      <c r="LD645" s="1"/>
      <c r="LO645" s="1"/>
      <c r="LP645" s="1"/>
      <c r="LZ645" s="1"/>
      <c r="MA645" s="1"/>
    </row>
    <row r="646" spans="4:339" ht="13" x14ac:dyDescent="0.15">
      <c r="D646" s="12"/>
      <c r="E646" s="12"/>
      <c r="I646" s="12"/>
      <c r="J646" s="13"/>
      <c r="BF646" s="1"/>
      <c r="BG646" s="1"/>
      <c r="BH646" s="1"/>
      <c r="BI646" s="1"/>
      <c r="BJ646" s="1"/>
      <c r="BK646" s="1"/>
      <c r="BL646" s="1"/>
      <c r="BM646" s="1"/>
      <c r="BN646" s="1"/>
      <c r="BQ646" s="1"/>
      <c r="BR646" s="1"/>
      <c r="CD646" s="1"/>
      <c r="CE646" s="1"/>
      <c r="CF646" s="1"/>
      <c r="CH646" s="1"/>
      <c r="CI646" s="1"/>
      <c r="CM646" s="4"/>
      <c r="CN646" s="1"/>
      <c r="CO646" s="1"/>
      <c r="CQ646" s="1"/>
      <c r="CY646" s="1"/>
      <c r="DC646" s="1"/>
      <c r="DH646" s="1"/>
      <c r="DM646" s="1"/>
      <c r="DR646" s="1"/>
      <c r="ED646" s="1"/>
      <c r="EF646" s="1"/>
      <c r="EL646" s="1"/>
      <c r="EM646" s="1"/>
      <c r="EN646" s="1"/>
      <c r="EQ646" s="1"/>
      <c r="ER646" s="1"/>
      <c r="ES646" s="1"/>
      <c r="EV646" s="1"/>
      <c r="EW646" s="1"/>
      <c r="EZ646" s="1"/>
      <c r="FA646" s="1"/>
      <c r="FD646" s="1"/>
      <c r="FG646" s="1"/>
      <c r="FH646" s="1"/>
      <c r="FI646" s="1"/>
      <c r="FJ646" s="1"/>
      <c r="FK646" s="1"/>
      <c r="FM646" s="1"/>
      <c r="FN646" s="1"/>
      <c r="FO646" s="1"/>
      <c r="FP646" s="1"/>
      <c r="FQ646" s="1"/>
      <c r="FR646" s="1"/>
      <c r="FS646" s="1"/>
      <c r="FT646" s="1"/>
      <c r="FU646" s="1"/>
      <c r="FV646" s="1"/>
      <c r="FW646" s="1"/>
      <c r="FX646" s="1"/>
      <c r="GA646" s="1"/>
      <c r="GD646" s="1"/>
      <c r="GE646" s="1"/>
      <c r="GF646" s="1"/>
      <c r="GG646" s="1"/>
      <c r="GH646" s="1"/>
      <c r="GI646" s="1"/>
      <c r="GJ646" s="1"/>
      <c r="GL646" s="1"/>
      <c r="GM646" s="1"/>
      <c r="GN646" s="1"/>
      <c r="GP646" s="1"/>
      <c r="GR646" s="1"/>
      <c r="GY646" s="1"/>
      <c r="HF646" s="1"/>
      <c r="IR646" s="1"/>
      <c r="IS646" s="1"/>
      <c r="IZ646" s="1"/>
      <c r="JJ646" s="1"/>
      <c r="JN646" s="1"/>
      <c r="JP646" s="1"/>
      <c r="JQ646" s="1"/>
      <c r="KZ646" s="1"/>
      <c r="LA646" s="1"/>
      <c r="LC646" s="1"/>
      <c r="LO646" s="1"/>
      <c r="LZ646" s="1"/>
      <c r="MA646" s="1"/>
    </row>
    <row r="647" spans="4:339" ht="13" x14ac:dyDescent="0.15">
      <c r="D647" s="12"/>
      <c r="E647" s="12"/>
      <c r="I647" s="12"/>
      <c r="J647" s="13"/>
      <c r="BF647" s="1"/>
      <c r="BG647" s="1"/>
      <c r="BH647" s="1"/>
      <c r="BI647" s="1"/>
      <c r="BJ647" s="1"/>
      <c r="BK647" s="1"/>
      <c r="BL647" s="1"/>
      <c r="BM647" s="1"/>
      <c r="BN647" s="1"/>
      <c r="BQ647" s="1"/>
      <c r="BR647" s="1"/>
      <c r="CD647" s="1"/>
      <c r="CE647" s="1"/>
      <c r="CF647" s="1"/>
      <c r="CH647" s="1"/>
      <c r="CI647" s="1"/>
      <c r="CM647" s="4"/>
      <c r="CN647" s="1"/>
      <c r="CO647" s="1"/>
      <c r="CQ647" s="1"/>
      <c r="CY647" s="1"/>
      <c r="DC647" s="1"/>
      <c r="DH647" s="1"/>
      <c r="DM647" s="1"/>
      <c r="DR647" s="1"/>
      <c r="ED647" s="1"/>
      <c r="EF647" s="1"/>
      <c r="EL647" s="1"/>
      <c r="EM647" s="1"/>
      <c r="EN647" s="1"/>
      <c r="EQ647" s="1"/>
      <c r="ER647" s="1"/>
      <c r="ES647" s="1"/>
      <c r="EV647" s="1"/>
      <c r="EW647" s="1"/>
      <c r="EZ647" s="1"/>
      <c r="FA647" s="1"/>
      <c r="FD647" s="1"/>
      <c r="FG647" s="1"/>
      <c r="FH647" s="1"/>
      <c r="FI647" s="1"/>
      <c r="FJ647" s="1"/>
      <c r="FK647" s="1"/>
      <c r="FM647" s="1"/>
      <c r="FN647" s="1"/>
      <c r="FO647" s="1"/>
      <c r="FP647" s="1"/>
      <c r="FQ647" s="1"/>
      <c r="FR647" s="1"/>
      <c r="FS647" s="1"/>
      <c r="FT647" s="1"/>
      <c r="FU647" s="1"/>
      <c r="FV647" s="1"/>
      <c r="FW647" s="1"/>
      <c r="FX647" s="1"/>
      <c r="GA647" s="1"/>
      <c r="GD647" s="1"/>
      <c r="GE647" s="1"/>
      <c r="GF647" s="1"/>
      <c r="GG647" s="1"/>
      <c r="GH647" s="1"/>
      <c r="GI647" s="1"/>
      <c r="GJ647" s="1"/>
      <c r="GL647" s="1"/>
      <c r="GM647" s="1"/>
      <c r="GN647" s="1"/>
      <c r="GP647" s="1"/>
      <c r="GR647" s="1"/>
      <c r="GY647" s="1"/>
      <c r="HF647" s="1"/>
      <c r="IR647" s="1"/>
      <c r="IS647" s="1"/>
      <c r="IZ647" s="1"/>
      <c r="JJ647" s="1"/>
      <c r="JN647" s="1"/>
      <c r="JP647" s="1"/>
      <c r="JQ647" s="1"/>
      <c r="KZ647" s="1"/>
      <c r="LA647" s="1"/>
      <c r="LC647" s="1"/>
      <c r="LO647" s="1"/>
      <c r="LZ647" s="1"/>
      <c r="MA647" s="1"/>
    </row>
    <row r="648" spans="4:339" ht="13" x14ac:dyDescent="0.15">
      <c r="D648" s="12"/>
      <c r="E648" s="12"/>
      <c r="I648" s="12"/>
      <c r="J648" s="13"/>
      <c r="BF648" s="1"/>
      <c r="BG648" s="1"/>
      <c r="BH648" s="1"/>
      <c r="BI648" s="1"/>
      <c r="BJ648" s="1"/>
      <c r="BK648" s="1"/>
      <c r="BL648" s="1"/>
      <c r="BM648" s="1"/>
      <c r="BN648" s="1"/>
      <c r="BQ648" s="1"/>
      <c r="BR648" s="1"/>
      <c r="CD648" s="1"/>
      <c r="CE648" s="1"/>
      <c r="CF648" s="1"/>
      <c r="CH648" s="1"/>
      <c r="CI648" s="1"/>
      <c r="CM648" s="4"/>
      <c r="CN648" s="1"/>
      <c r="CO648" s="1"/>
      <c r="CQ648" s="1"/>
      <c r="CY648" s="1"/>
      <c r="DC648" s="1"/>
      <c r="DH648" s="1"/>
      <c r="DM648" s="1"/>
      <c r="DR648" s="1"/>
      <c r="ED648" s="1"/>
      <c r="EF648" s="1"/>
      <c r="EL648" s="1"/>
      <c r="EM648" s="1"/>
      <c r="EN648" s="1"/>
      <c r="EQ648" s="1"/>
      <c r="ER648" s="1"/>
      <c r="ES648" s="1"/>
      <c r="EV648" s="1"/>
      <c r="EW648" s="1"/>
      <c r="EZ648" s="1"/>
      <c r="FA648" s="1"/>
      <c r="FD648" s="1"/>
      <c r="FG648" s="1"/>
      <c r="FH648" s="1"/>
      <c r="FI648" s="1"/>
      <c r="FJ648" s="1"/>
      <c r="FK648" s="1"/>
      <c r="FM648" s="1"/>
      <c r="FN648" s="1"/>
      <c r="FO648" s="1"/>
      <c r="FP648" s="1"/>
      <c r="FQ648" s="1"/>
      <c r="FR648" s="1"/>
      <c r="FS648" s="1"/>
      <c r="FT648" s="1"/>
      <c r="FU648" s="1"/>
      <c r="FV648" s="1"/>
      <c r="FW648" s="1"/>
      <c r="FX648" s="1"/>
      <c r="GA648" s="1"/>
      <c r="GD648" s="1"/>
      <c r="GE648" s="1"/>
      <c r="GF648" s="1"/>
      <c r="GG648" s="1"/>
      <c r="GH648" s="1"/>
      <c r="GI648" s="1"/>
      <c r="GJ648" s="1"/>
      <c r="GL648" s="1"/>
      <c r="GM648" s="1"/>
      <c r="GN648" s="1"/>
      <c r="GP648" s="1"/>
      <c r="GR648" s="1"/>
      <c r="GY648" s="1"/>
      <c r="HF648" s="1"/>
      <c r="IR648" s="1"/>
      <c r="IS648" s="1"/>
      <c r="IZ648" s="1"/>
      <c r="JJ648" s="1"/>
      <c r="JN648" s="1"/>
      <c r="JP648" s="1"/>
      <c r="JQ648" s="1"/>
      <c r="KZ648" s="1"/>
      <c r="LA648" s="1"/>
      <c r="LC648" s="1"/>
      <c r="LO648" s="1"/>
      <c r="LZ648" s="1"/>
      <c r="MA648" s="1"/>
    </row>
    <row r="649" spans="4:339" ht="13" x14ac:dyDescent="0.15">
      <c r="D649" s="12"/>
      <c r="E649" s="12"/>
      <c r="I649" s="12"/>
      <c r="J649" s="13"/>
      <c r="BF649" s="1"/>
      <c r="BG649" s="1"/>
      <c r="BH649" s="1"/>
      <c r="BI649" s="1"/>
      <c r="BJ649" s="1"/>
      <c r="BK649" s="1"/>
      <c r="BL649" s="1"/>
      <c r="BM649" s="1"/>
      <c r="BN649" s="1"/>
      <c r="BQ649" s="1"/>
      <c r="BR649" s="1"/>
      <c r="CD649" s="1"/>
      <c r="CE649" s="1"/>
      <c r="CF649" s="1"/>
      <c r="CH649" s="1"/>
      <c r="CI649" s="1"/>
      <c r="CM649" s="4"/>
      <c r="CN649" s="1"/>
      <c r="CO649" s="1"/>
      <c r="CQ649" s="1"/>
      <c r="CY649" s="1"/>
      <c r="DC649" s="1"/>
      <c r="DH649" s="1"/>
      <c r="DM649" s="1"/>
      <c r="DR649" s="1"/>
      <c r="ED649" s="1"/>
      <c r="EF649" s="1"/>
      <c r="EL649" s="1"/>
      <c r="EM649" s="1"/>
      <c r="EN649" s="1"/>
      <c r="EQ649" s="1"/>
      <c r="ER649" s="1"/>
      <c r="ES649" s="1"/>
      <c r="EV649" s="1"/>
      <c r="EW649" s="1"/>
      <c r="EZ649" s="1"/>
      <c r="FA649" s="1"/>
      <c r="FD649" s="1"/>
      <c r="FG649" s="1"/>
      <c r="FH649" s="1"/>
      <c r="FI649" s="1"/>
      <c r="FJ649" s="1"/>
      <c r="FK649" s="1"/>
      <c r="FM649" s="1"/>
      <c r="FN649" s="1"/>
      <c r="FO649" s="1"/>
      <c r="FP649" s="1"/>
      <c r="FQ649" s="1"/>
      <c r="FR649" s="1"/>
      <c r="FS649" s="1"/>
      <c r="FT649" s="1"/>
      <c r="FU649" s="1"/>
      <c r="FV649" s="1"/>
      <c r="FW649" s="1"/>
      <c r="FX649" s="1"/>
      <c r="GA649" s="1"/>
      <c r="GD649" s="1"/>
      <c r="GE649" s="1"/>
      <c r="GF649" s="1"/>
      <c r="GG649" s="1"/>
      <c r="GH649" s="1"/>
      <c r="GI649" s="1"/>
      <c r="GJ649" s="1"/>
      <c r="GL649" s="1"/>
      <c r="GM649" s="1"/>
      <c r="GN649" s="1"/>
      <c r="GP649" s="1"/>
      <c r="GR649" s="1"/>
      <c r="GY649" s="1"/>
      <c r="HF649" s="1"/>
      <c r="IR649" s="1"/>
      <c r="IS649" s="1"/>
      <c r="IZ649" s="1"/>
      <c r="JJ649" s="1"/>
      <c r="JN649" s="1"/>
      <c r="JP649" s="1"/>
      <c r="JQ649" s="1"/>
      <c r="KZ649" s="1"/>
      <c r="LA649" s="1"/>
      <c r="LC649" s="1"/>
      <c r="LO649" s="1"/>
      <c r="LZ649" s="1"/>
      <c r="MA649" s="1"/>
    </row>
    <row r="650" spans="4:339" ht="13" x14ac:dyDescent="0.15">
      <c r="D650" s="12"/>
      <c r="E650" s="12"/>
      <c r="I650" s="12"/>
      <c r="J650" s="13"/>
      <c r="BF650" s="1"/>
      <c r="BG650" s="1"/>
      <c r="BH650" s="1"/>
      <c r="BI650" s="1"/>
      <c r="BJ650" s="1"/>
      <c r="BK650" s="1"/>
      <c r="BL650" s="1"/>
      <c r="BM650" s="1"/>
      <c r="BN650" s="1"/>
      <c r="BQ650" s="1"/>
      <c r="BR650" s="1"/>
      <c r="CD650" s="1"/>
      <c r="CE650" s="1"/>
      <c r="CF650" s="1"/>
      <c r="CH650" s="1"/>
      <c r="CI650" s="1"/>
      <c r="CM650" s="4"/>
      <c r="CN650" s="1"/>
      <c r="CO650" s="1"/>
      <c r="CQ650" s="1"/>
      <c r="CY650" s="1"/>
      <c r="DC650" s="1"/>
      <c r="DH650" s="1"/>
      <c r="DM650" s="1"/>
      <c r="DR650" s="1"/>
      <c r="ED650" s="1"/>
      <c r="EF650" s="1"/>
      <c r="EL650" s="1"/>
      <c r="EM650" s="1"/>
      <c r="EN650" s="1"/>
      <c r="EQ650" s="1"/>
      <c r="ER650" s="1"/>
      <c r="ES650" s="1"/>
      <c r="EV650" s="1"/>
      <c r="EW650" s="1"/>
      <c r="EZ650" s="1"/>
      <c r="FA650" s="1"/>
      <c r="FD650" s="1"/>
      <c r="FG650" s="1"/>
      <c r="FH650" s="1"/>
      <c r="FI650" s="1"/>
      <c r="FJ650" s="1"/>
      <c r="FK650" s="1"/>
      <c r="FM650" s="1"/>
      <c r="FN650" s="1"/>
      <c r="FO650" s="1"/>
      <c r="FP650" s="1"/>
      <c r="FQ650" s="1"/>
      <c r="FR650" s="1"/>
      <c r="FS650" s="1"/>
      <c r="FT650" s="1"/>
      <c r="FU650" s="1"/>
      <c r="FV650" s="1"/>
      <c r="FW650" s="1"/>
      <c r="FX650" s="1"/>
      <c r="GA650" s="1"/>
      <c r="GD650" s="1"/>
      <c r="GE650" s="1"/>
      <c r="GF650" s="1"/>
      <c r="GG650" s="1"/>
      <c r="GH650" s="1"/>
      <c r="GI650" s="1"/>
      <c r="GJ650" s="1"/>
      <c r="GL650" s="1"/>
      <c r="GM650" s="1"/>
      <c r="GN650" s="1"/>
      <c r="GP650" s="1"/>
      <c r="GR650" s="1"/>
      <c r="GY650" s="1"/>
      <c r="HF650" s="1"/>
      <c r="IR650" s="1"/>
      <c r="IS650" s="1"/>
      <c r="IZ650" s="1"/>
      <c r="JJ650" s="1"/>
      <c r="JN650" s="1"/>
      <c r="JP650" s="1"/>
      <c r="JQ650" s="1"/>
      <c r="KZ650" s="1"/>
      <c r="LA650" s="1"/>
      <c r="LC650" s="1"/>
      <c r="LO650" s="1"/>
      <c r="LZ650" s="1"/>
      <c r="MA650" s="1"/>
    </row>
    <row r="651" spans="4:339" ht="13" x14ac:dyDescent="0.15">
      <c r="D651" s="12"/>
      <c r="E651" s="12"/>
      <c r="I651" s="12"/>
      <c r="J651" s="13"/>
      <c r="BF651" s="1"/>
      <c r="BG651" s="1"/>
      <c r="BH651" s="1"/>
      <c r="BI651" s="1"/>
      <c r="BJ651" s="1"/>
      <c r="BK651" s="1"/>
      <c r="BL651" s="1"/>
      <c r="BM651" s="1"/>
      <c r="BN651" s="1"/>
      <c r="BQ651" s="1"/>
      <c r="BR651" s="1"/>
      <c r="CD651" s="1"/>
      <c r="CE651" s="1"/>
      <c r="CF651" s="1"/>
      <c r="CH651" s="1"/>
      <c r="CI651" s="1"/>
      <c r="CM651" s="4"/>
      <c r="CN651" s="1"/>
      <c r="CO651" s="1"/>
      <c r="CQ651" s="1"/>
      <c r="CY651" s="1"/>
      <c r="DC651" s="1"/>
      <c r="DH651" s="1"/>
      <c r="DM651" s="1"/>
      <c r="DR651" s="1"/>
      <c r="ED651" s="1"/>
      <c r="EF651" s="1"/>
      <c r="EL651" s="1"/>
      <c r="EM651" s="1"/>
      <c r="EN651" s="1"/>
      <c r="EQ651" s="1"/>
      <c r="ER651" s="1"/>
      <c r="ES651" s="1"/>
      <c r="EV651" s="1"/>
      <c r="EW651" s="1"/>
      <c r="EZ651" s="1"/>
      <c r="FA651" s="1"/>
      <c r="FD651" s="1"/>
      <c r="FG651" s="1"/>
      <c r="FH651" s="1"/>
      <c r="FI651" s="1"/>
      <c r="FJ651" s="1"/>
      <c r="FK651" s="1"/>
      <c r="FM651" s="1"/>
      <c r="FN651" s="1"/>
      <c r="FO651" s="1"/>
      <c r="FP651" s="1"/>
      <c r="FQ651" s="1"/>
      <c r="FR651" s="1"/>
      <c r="FS651" s="1"/>
      <c r="FT651" s="1"/>
      <c r="FU651" s="1"/>
      <c r="FV651" s="1"/>
      <c r="FW651" s="1"/>
      <c r="FX651" s="1"/>
      <c r="GA651" s="1"/>
      <c r="GD651" s="1"/>
      <c r="GE651" s="1"/>
      <c r="GF651" s="1"/>
      <c r="GG651" s="1"/>
      <c r="GH651" s="1"/>
      <c r="GI651" s="1"/>
      <c r="GJ651" s="1"/>
      <c r="GL651" s="1"/>
      <c r="GM651" s="1"/>
      <c r="GN651" s="1"/>
      <c r="GP651" s="1"/>
      <c r="GR651" s="1"/>
      <c r="GY651" s="1"/>
      <c r="HF651" s="1"/>
      <c r="IR651" s="1"/>
      <c r="IS651" s="1"/>
      <c r="IZ651" s="1"/>
      <c r="JJ651" s="1"/>
      <c r="JN651" s="1"/>
      <c r="JP651" s="1"/>
      <c r="JQ651" s="1"/>
      <c r="KZ651" s="1"/>
      <c r="LA651" s="1"/>
      <c r="LC651" s="1"/>
      <c r="LO651" s="1"/>
      <c r="LZ651" s="1"/>
      <c r="MA651" s="1"/>
    </row>
    <row r="652" spans="4:339" ht="13" x14ac:dyDescent="0.15">
      <c r="D652" s="12"/>
      <c r="E652" s="12"/>
      <c r="I652" s="12"/>
      <c r="J652" s="13"/>
      <c r="BF652" s="1"/>
      <c r="BG652" s="1"/>
      <c r="BH652" s="1"/>
      <c r="BI652" s="1"/>
      <c r="BJ652" s="1"/>
      <c r="BK652" s="1"/>
      <c r="BL652" s="1"/>
      <c r="BM652" s="1"/>
      <c r="BN652" s="1"/>
      <c r="BQ652" s="1"/>
      <c r="BR652" s="1"/>
      <c r="CD652" s="1"/>
      <c r="CE652" s="1"/>
      <c r="CF652" s="1"/>
      <c r="CH652" s="1"/>
      <c r="CI652" s="1"/>
      <c r="CM652" s="4"/>
      <c r="CN652" s="1"/>
      <c r="CO652" s="1"/>
      <c r="CQ652" s="1"/>
      <c r="CY652" s="1"/>
      <c r="DC652" s="1"/>
      <c r="DH652" s="1"/>
      <c r="DM652" s="1"/>
      <c r="DR652" s="1"/>
      <c r="ED652" s="1"/>
      <c r="EF652" s="1"/>
      <c r="EL652" s="1"/>
      <c r="EM652" s="1"/>
      <c r="EN652" s="1"/>
      <c r="EQ652" s="1"/>
      <c r="ER652" s="1"/>
      <c r="ES652" s="1"/>
      <c r="EV652" s="1"/>
      <c r="EW652" s="1"/>
      <c r="EZ652" s="1"/>
      <c r="FA652" s="1"/>
      <c r="FD652" s="1"/>
      <c r="FG652" s="1"/>
      <c r="FH652" s="1"/>
      <c r="FI652" s="1"/>
      <c r="FJ652" s="1"/>
      <c r="FK652" s="1"/>
      <c r="FM652" s="1"/>
      <c r="FN652" s="1"/>
      <c r="FO652" s="1"/>
      <c r="FP652" s="1"/>
      <c r="FQ652" s="1"/>
      <c r="FR652" s="1"/>
      <c r="FS652" s="1"/>
      <c r="FT652" s="1"/>
      <c r="FU652" s="1"/>
      <c r="FV652" s="1"/>
      <c r="FW652" s="1"/>
      <c r="FX652" s="1"/>
      <c r="GA652" s="1"/>
      <c r="GD652" s="1"/>
      <c r="GE652" s="1"/>
      <c r="GF652" s="1"/>
      <c r="GG652" s="1"/>
      <c r="GH652" s="1"/>
      <c r="GI652" s="1"/>
      <c r="GJ652" s="1"/>
      <c r="GL652" s="1"/>
      <c r="GM652" s="1"/>
      <c r="GN652" s="1"/>
      <c r="GP652" s="1"/>
      <c r="GR652" s="1"/>
      <c r="GY652" s="1"/>
      <c r="HF652" s="1"/>
      <c r="IR652" s="1"/>
      <c r="IS652" s="1"/>
      <c r="IZ652" s="1"/>
      <c r="JJ652" s="1"/>
      <c r="JN652" s="1"/>
      <c r="JP652" s="1"/>
      <c r="JQ652" s="1"/>
      <c r="KZ652" s="1"/>
      <c r="LA652" s="1"/>
      <c r="LC652" s="1"/>
      <c r="LO652" s="1"/>
      <c r="LZ652" s="1"/>
      <c r="MA652" s="1"/>
    </row>
    <row r="653" spans="4:339" ht="13" x14ac:dyDescent="0.15">
      <c r="D653" s="12"/>
      <c r="E653" s="12"/>
      <c r="I653" s="12"/>
      <c r="J653" s="13"/>
      <c r="BF653" s="1"/>
      <c r="BG653" s="1"/>
      <c r="BH653" s="1"/>
      <c r="BI653" s="1"/>
      <c r="BJ653" s="1"/>
      <c r="BK653" s="1"/>
      <c r="BL653" s="1"/>
      <c r="BM653" s="1"/>
      <c r="BN653" s="1"/>
      <c r="BQ653" s="1"/>
      <c r="BR653" s="1"/>
      <c r="CD653" s="1"/>
      <c r="CE653" s="1"/>
      <c r="CF653" s="1"/>
      <c r="CH653" s="1"/>
      <c r="CI653" s="1"/>
      <c r="CM653" s="4"/>
      <c r="CN653" s="1"/>
      <c r="CO653" s="1"/>
      <c r="CQ653" s="1"/>
      <c r="CY653" s="1"/>
      <c r="DC653" s="1"/>
      <c r="DH653" s="1"/>
      <c r="DM653" s="1"/>
      <c r="DR653" s="1"/>
      <c r="ED653" s="1"/>
      <c r="EF653" s="1"/>
      <c r="EL653" s="1"/>
      <c r="EM653" s="1"/>
      <c r="EN653" s="1"/>
      <c r="EQ653" s="1"/>
      <c r="ER653" s="1"/>
      <c r="ES653" s="1"/>
      <c r="EV653" s="1"/>
      <c r="EW653" s="1"/>
      <c r="EZ653" s="1"/>
      <c r="FA653" s="1"/>
      <c r="FD653" s="1"/>
      <c r="FG653" s="1"/>
      <c r="FH653" s="1"/>
      <c r="FI653" s="1"/>
      <c r="FJ653" s="1"/>
      <c r="FK653" s="1"/>
      <c r="FM653" s="1"/>
      <c r="FN653" s="1"/>
      <c r="FO653" s="1"/>
      <c r="FP653" s="1"/>
      <c r="FQ653" s="1"/>
      <c r="FR653" s="1"/>
      <c r="FS653" s="1"/>
      <c r="FT653" s="1"/>
      <c r="FU653" s="1"/>
      <c r="FV653" s="1"/>
      <c r="FW653" s="1"/>
      <c r="FX653" s="1"/>
      <c r="GA653" s="1"/>
      <c r="GD653" s="1"/>
      <c r="GE653" s="1"/>
      <c r="GF653" s="1"/>
      <c r="GG653" s="1"/>
      <c r="GH653" s="1"/>
      <c r="GI653" s="1"/>
      <c r="GJ653" s="1"/>
      <c r="GL653" s="1"/>
      <c r="GM653" s="1"/>
      <c r="GN653" s="1"/>
      <c r="GP653" s="1"/>
      <c r="GR653" s="1"/>
      <c r="GY653" s="1"/>
      <c r="HF653" s="1"/>
      <c r="IR653" s="1"/>
      <c r="IS653" s="1"/>
      <c r="IZ653" s="1"/>
      <c r="JJ653" s="1"/>
      <c r="JN653" s="1"/>
      <c r="JP653" s="1"/>
      <c r="JQ653" s="1"/>
      <c r="KZ653" s="1"/>
      <c r="LA653" s="1"/>
      <c r="LC653" s="1"/>
      <c r="LO653" s="1"/>
      <c r="LZ653" s="1"/>
      <c r="MA653" s="1"/>
    </row>
    <row r="654" spans="4:339" ht="13" x14ac:dyDescent="0.15">
      <c r="D654" s="12"/>
      <c r="E654" s="12"/>
      <c r="I654" s="12"/>
      <c r="J654" s="13"/>
      <c r="BF654" s="1"/>
      <c r="BG654" s="1"/>
      <c r="BH654" s="1"/>
      <c r="BI654" s="1"/>
      <c r="BJ654" s="1"/>
      <c r="BK654" s="1"/>
      <c r="BL654" s="1"/>
      <c r="BM654" s="1"/>
      <c r="BN654" s="1"/>
      <c r="BO654" s="1"/>
      <c r="BP654" s="1"/>
      <c r="BQ654" s="1"/>
      <c r="BR654" s="1"/>
      <c r="BX654" s="1"/>
      <c r="CD654" s="1"/>
      <c r="CE654" s="1"/>
      <c r="CF654" s="1"/>
      <c r="CG654" s="1"/>
      <c r="CH654" s="1"/>
      <c r="CI654" s="1"/>
      <c r="CM654" s="2"/>
      <c r="CN654" s="1"/>
      <c r="CO654" s="1"/>
      <c r="CP654" s="1"/>
      <c r="CQ654" s="1"/>
      <c r="CR654" s="1"/>
      <c r="CS654" s="1"/>
      <c r="CT654" s="1"/>
      <c r="CU654" s="1"/>
      <c r="CV654" s="1"/>
      <c r="CW654" s="1"/>
      <c r="CX654" s="1"/>
      <c r="CY654" s="1"/>
      <c r="CZ654" s="1"/>
      <c r="DA654" s="1"/>
      <c r="DB654" s="1"/>
      <c r="DC654" s="1"/>
      <c r="DD654" s="1"/>
      <c r="DE654" s="1"/>
      <c r="DF654" s="1"/>
      <c r="DG654" s="1"/>
      <c r="DH654" s="1"/>
      <c r="DI654" s="1"/>
      <c r="DJ654" s="1"/>
      <c r="DK654" s="1"/>
      <c r="DM654" s="1"/>
      <c r="DQ654" s="1"/>
      <c r="DR654" s="1"/>
      <c r="DY654" s="1"/>
      <c r="DZ654" s="1"/>
      <c r="ED654" s="1"/>
      <c r="EK654" s="1"/>
      <c r="EL654" s="1"/>
      <c r="EM654" s="1"/>
      <c r="EN654" s="1"/>
      <c r="EQ654" s="1"/>
      <c r="ER654" s="1"/>
      <c r="ES654" s="1"/>
      <c r="EV654" s="1"/>
      <c r="EW654" s="1"/>
      <c r="EZ654" s="1"/>
      <c r="FA654" s="1"/>
      <c r="FD654" s="1"/>
      <c r="FG654" s="1"/>
      <c r="FH654" s="1"/>
      <c r="FJ654" s="1"/>
      <c r="FM654" s="1"/>
      <c r="FN654" s="1"/>
      <c r="FO654" s="1"/>
      <c r="FP654" s="1"/>
      <c r="FQ654" s="1"/>
      <c r="FR654" s="1"/>
      <c r="FS654" s="1"/>
      <c r="FT654" s="1"/>
      <c r="FU654" s="1"/>
      <c r="FV654" s="1"/>
      <c r="FW654" s="1"/>
      <c r="FX654" s="1"/>
      <c r="FY654" s="1"/>
      <c r="FZ654" s="1"/>
      <c r="GA654" s="1"/>
      <c r="GB654" s="1"/>
      <c r="GD654" s="1"/>
      <c r="GE654" s="1"/>
      <c r="GF654" s="1"/>
      <c r="GG654" s="1"/>
      <c r="GH654" s="1"/>
      <c r="GI654" s="1"/>
      <c r="GJ654" s="1"/>
      <c r="GK654" s="1"/>
      <c r="GL654" s="1"/>
      <c r="GM654" s="1"/>
      <c r="GN654" s="1"/>
      <c r="GO654" s="1"/>
      <c r="GP654" s="1"/>
      <c r="GR654" s="1"/>
      <c r="GY654" s="1"/>
      <c r="HF654" s="1"/>
      <c r="HH654" s="1"/>
      <c r="HN654" s="1"/>
      <c r="HR654" s="1"/>
      <c r="HS654" s="1"/>
      <c r="HT654" s="1"/>
      <c r="HY654" s="1"/>
      <c r="ID654" s="1"/>
      <c r="IE654" s="1"/>
      <c r="IR654" s="1"/>
      <c r="IS654" s="1"/>
      <c r="IY654" s="1"/>
      <c r="IZ654" s="1"/>
      <c r="JC654" s="1"/>
      <c r="JI654" s="1"/>
      <c r="JJ654" s="1"/>
      <c r="JN654" s="1"/>
      <c r="JP654" s="1"/>
      <c r="JQ654" s="1"/>
      <c r="JT654" s="1"/>
      <c r="KU654" s="1"/>
      <c r="KY654" s="1"/>
      <c r="KZ654" s="1"/>
      <c r="LA654" s="1"/>
      <c r="LB654" s="1"/>
      <c r="LC654" s="1"/>
      <c r="LD654" s="1"/>
      <c r="LO654" s="1"/>
      <c r="LP654" s="1"/>
      <c r="LZ654" s="1"/>
      <c r="MA654" s="1"/>
    </row>
    <row r="655" spans="4:339" ht="13" x14ac:dyDescent="0.15">
      <c r="D655" s="12"/>
      <c r="E655" s="12"/>
      <c r="I655" s="12"/>
      <c r="J655" s="13"/>
      <c r="BF655" s="1"/>
      <c r="BG655" s="1"/>
      <c r="BH655" s="1"/>
      <c r="BI655" s="1"/>
      <c r="BJ655" s="1"/>
      <c r="BK655" s="1"/>
      <c r="BL655" s="1"/>
      <c r="BM655" s="1"/>
      <c r="BN655" s="1"/>
      <c r="BO655" s="1"/>
      <c r="BP655" s="1"/>
      <c r="BQ655" s="1"/>
      <c r="BR655" s="1"/>
      <c r="BX655" s="1"/>
      <c r="CD655" s="1"/>
      <c r="CE655" s="1"/>
      <c r="CF655" s="1"/>
      <c r="CG655" s="1"/>
      <c r="CH655" s="1"/>
      <c r="CI655" s="1"/>
      <c r="CM655" s="2"/>
      <c r="CN655" s="1"/>
      <c r="CO655" s="1"/>
      <c r="CP655" s="1"/>
      <c r="CQ655" s="1"/>
      <c r="CR655" s="1"/>
      <c r="CS655" s="1"/>
      <c r="CT655" s="1"/>
      <c r="CU655" s="1"/>
      <c r="CV655" s="1"/>
      <c r="CW655" s="1"/>
      <c r="CX655" s="1"/>
      <c r="CY655" s="1"/>
      <c r="CZ655" s="1"/>
      <c r="DA655" s="1"/>
      <c r="DB655" s="1"/>
      <c r="DC655" s="1"/>
      <c r="DD655" s="1"/>
      <c r="DE655" s="1"/>
      <c r="DF655" s="1"/>
      <c r="DG655" s="1"/>
      <c r="DH655" s="1"/>
      <c r="DI655" s="1"/>
      <c r="DJ655" s="1"/>
      <c r="DK655" s="1"/>
      <c r="DM655" s="1"/>
      <c r="DQ655" s="1"/>
      <c r="DR655" s="1"/>
      <c r="DY655" s="1"/>
      <c r="DZ655" s="1"/>
      <c r="ED655" s="1"/>
      <c r="EK655" s="1"/>
      <c r="EL655" s="1"/>
      <c r="EM655" s="1"/>
      <c r="EN655" s="1"/>
      <c r="EQ655" s="1"/>
      <c r="ER655" s="1"/>
      <c r="ES655" s="1"/>
      <c r="EV655" s="1"/>
      <c r="EW655" s="1"/>
      <c r="EZ655" s="1"/>
      <c r="FA655" s="1"/>
      <c r="FD655" s="1"/>
      <c r="FG655" s="1"/>
      <c r="FH655" s="1"/>
      <c r="FJ655" s="1"/>
      <c r="FM655" s="1"/>
      <c r="FN655" s="1"/>
      <c r="FO655" s="1"/>
      <c r="FP655" s="1"/>
      <c r="FQ655" s="1"/>
      <c r="FR655" s="1"/>
      <c r="FS655" s="1"/>
      <c r="FT655" s="1"/>
      <c r="FU655" s="1"/>
      <c r="FV655" s="1"/>
      <c r="FW655" s="1"/>
      <c r="FX655" s="1"/>
      <c r="FY655" s="1"/>
      <c r="FZ655" s="1"/>
      <c r="GA655" s="1"/>
      <c r="GB655" s="1"/>
      <c r="GD655" s="1"/>
      <c r="GE655" s="1"/>
      <c r="GF655" s="1"/>
      <c r="GG655" s="1"/>
      <c r="GH655" s="1"/>
      <c r="GI655" s="1"/>
      <c r="GJ655" s="1"/>
      <c r="GK655" s="1"/>
      <c r="GL655" s="1"/>
      <c r="GM655" s="1"/>
      <c r="GN655" s="1"/>
      <c r="GO655" s="1"/>
      <c r="GP655" s="1"/>
      <c r="GR655" s="1"/>
      <c r="GY655" s="1"/>
      <c r="HF655" s="1"/>
      <c r="HH655" s="1"/>
      <c r="HN655" s="1"/>
      <c r="HR655" s="1"/>
      <c r="HS655" s="1"/>
      <c r="HT655" s="1"/>
      <c r="HY655" s="1"/>
      <c r="ID655" s="1"/>
      <c r="IE655" s="1"/>
      <c r="IR655" s="1"/>
      <c r="IS655" s="1"/>
      <c r="IY655" s="1"/>
      <c r="IZ655" s="1"/>
      <c r="JC655" s="1"/>
      <c r="JI655" s="1"/>
      <c r="JJ655" s="1"/>
      <c r="JN655" s="1"/>
      <c r="JP655" s="1"/>
      <c r="JQ655" s="1"/>
      <c r="JT655" s="1"/>
      <c r="KU655" s="1"/>
      <c r="KY655" s="1"/>
      <c r="KZ655" s="1"/>
      <c r="LA655" s="1"/>
      <c r="LB655" s="1"/>
      <c r="LC655" s="1"/>
      <c r="LD655" s="1"/>
      <c r="LO655" s="1"/>
      <c r="LP655" s="1"/>
      <c r="LZ655" s="1"/>
      <c r="MA655" s="1"/>
    </row>
    <row r="656" spans="4:339" ht="13" x14ac:dyDescent="0.15">
      <c r="D656" s="12"/>
      <c r="E656" s="12"/>
      <c r="I656" s="12"/>
      <c r="J656" s="13"/>
      <c r="BF656" s="1"/>
      <c r="BG656" s="1"/>
      <c r="BH656" s="1"/>
      <c r="BI656" s="1"/>
      <c r="BJ656" s="1"/>
      <c r="BK656" s="1"/>
      <c r="BL656" s="1"/>
      <c r="BM656" s="1"/>
      <c r="BN656" s="1"/>
      <c r="BO656" s="1"/>
      <c r="BP656" s="1"/>
      <c r="BQ656" s="1"/>
      <c r="BR656" s="1"/>
      <c r="BX656" s="1"/>
      <c r="CD656" s="1"/>
      <c r="CE656" s="1"/>
      <c r="CF656" s="1"/>
      <c r="CG656" s="1"/>
      <c r="CH656" s="1"/>
      <c r="CI656" s="1"/>
      <c r="CM656" s="2"/>
      <c r="CN656" s="1"/>
      <c r="CO656" s="1"/>
      <c r="CP656" s="1"/>
      <c r="CQ656" s="1"/>
      <c r="CR656" s="1"/>
      <c r="CS656" s="1"/>
      <c r="CT656" s="1"/>
      <c r="CU656" s="1"/>
      <c r="CV656" s="1"/>
      <c r="CW656" s="1"/>
      <c r="CX656" s="1"/>
      <c r="CY656" s="1"/>
      <c r="CZ656" s="1"/>
      <c r="DA656" s="1"/>
      <c r="DB656" s="1"/>
      <c r="DC656" s="1"/>
      <c r="DD656" s="1"/>
      <c r="DE656" s="1"/>
      <c r="DF656" s="1"/>
      <c r="DG656" s="1"/>
      <c r="DH656" s="1"/>
      <c r="DI656" s="1"/>
      <c r="DJ656" s="1"/>
      <c r="DK656" s="1"/>
      <c r="DM656" s="1"/>
      <c r="DQ656" s="1"/>
      <c r="DR656" s="1"/>
      <c r="DY656" s="1"/>
      <c r="DZ656" s="1"/>
      <c r="ED656" s="1"/>
      <c r="EK656" s="1"/>
      <c r="EL656" s="1"/>
      <c r="EM656" s="1"/>
      <c r="EN656" s="1"/>
      <c r="EQ656" s="1"/>
      <c r="ER656" s="1"/>
      <c r="ES656" s="1"/>
      <c r="EV656" s="1"/>
      <c r="EW656" s="1"/>
      <c r="EZ656" s="1"/>
      <c r="FA656" s="1"/>
      <c r="FD656" s="1"/>
      <c r="FG656" s="1"/>
      <c r="FH656" s="1"/>
      <c r="FJ656" s="1"/>
      <c r="FM656" s="1"/>
      <c r="FN656" s="1"/>
      <c r="FO656" s="1"/>
      <c r="FP656" s="1"/>
      <c r="FQ656" s="1"/>
      <c r="FR656" s="1"/>
      <c r="FS656" s="1"/>
      <c r="FT656" s="1"/>
      <c r="FU656" s="1"/>
      <c r="FV656" s="1"/>
      <c r="FW656" s="1"/>
      <c r="FX656" s="1"/>
      <c r="FY656" s="1"/>
      <c r="FZ656" s="1"/>
      <c r="GA656" s="1"/>
      <c r="GB656" s="1"/>
      <c r="GD656" s="1"/>
      <c r="GE656" s="1"/>
      <c r="GF656" s="1"/>
      <c r="GG656" s="1"/>
      <c r="GH656" s="1"/>
      <c r="GI656" s="1"/>
      <c r="GJ656" s="1"/>
      <c r="GK656" s="1"/>
      <c r="GL656" s="1"/>
      <c r="GM656" s="1"/>
      <c r="GN656" s="1"/>
      <c r="GO656" s="1"/>
      <c r="GP656" s="1"/>
      <c r="GR656" s="1"/>
      <c r="GY656" s="1"/>
      <c r="HF656" s="1"/>
      <c r="HH656" s="1"/>
      <c r="HN656" s="1"/>
      <c r="HR656" s="1"/>
      <c r="HS656" s="1"/>
      <c r="HT656" s="1"/>
      <c r="HY656" s="1"/>
      <c r="ID656" s="1"/>
      <c r="IE656" s="1"/>
      <c r="IR656" s="1"/>
      <c r="IS656" s="1"/>
      <c r="IY656" s="1"/>
      <c r="IZ656" s="1"/>
      <c r="JC656" s="1"/>
      <c r="JI656" s="1"/>
      <c r="JJ656" s="1"/>
      <c r="JN656" s="1"/>
      <c r="JP656" s="1"/>
      <c r="JQ656" s="1"/>
      <c r="JT656" s="1"/>
      <c r="KU656" s="1"/>
      <c r="KY656" s="1"/>
      <c r="KZ656" s="1"/>
      <c r="LA656" s="1"/>
      <c r="LB656" s="1"/>
      <c r="LC656" s="1"/>
      <c r="LD656" s="1"/>
      <c r="LO656" s="1"/>
      <c r="LP656" s="1"/>
      <c r="LZ656" s="1"/>
      <c r="MA656" s="1"/>
    </row>
    <row r="657" spans="4:339" ht="13" x14ac:dyDescent="0.15">
      <c r="D657" s="12"/>
      <c r="E657" s="12"/>
      <c r="I657" s="12"/>
      <c r="J657" s="13"/>
      <c r="BF657" s="1"/>
      <c r="BG657" s="1"/>
      <c r="BH657" s="1"/>
      <c r="BI657" s="1"/>
      <c r="BJ657" s="1"/>
      <c r="BK657" s="1"/>
      <c r="BL657" s="1"/>
      <c r="BM657" s="1"/>
      <c r="BN657" s="1"/>
      <c r="BO657" s="1"/>
      <c r="BP657" s="1"/>
      <c r="BQ657" s="1"/>
      <c r="BR657" s="1"/>
      <c r="BX657" s="1"/>
      <c r="CD657" s="1"/>
      <c r="CE657" s="1"/>
      <c r="CF657" s="1"/>
      <c r="CG657" s="1"/>
      <c r="CH657" s="1"/>
      <c r="CI657" s="1"/>
      <c r="CM657" s="2"/>
      <c r="CN657" s="1"/>
      <c r="CO657" s="1"/>
      <c r="CP657" s="1"/>
      <c r="CQ657" s="1"/>
      <c r="CR657" s="1"/>
      <c r="CS657" s="1"/>
      <c r="CT657" s="1"/>
      <c r="CU657" s="1"/>
      <c r="CV657" s="1"/>
      <c r="CW657" s="1"/>
      <c r="CX657" s="1"/>
      <c r="CY657" s="1"/>
      <c r="CZ657" s="1"/>
      <c r="DA657" s="1"/>
      <c r="DB657" s="1"/>
      <c r="DC657" s="1"/>
      <c r="DD657" s="1"/>
      <c r="DE657" s="1"/>
      <c r="DF657" s="1"/>
      <c r="DG657" s="1"/>
      <c r="DH657" s="1"/>
      <c r="DI657" s="1"/>
      <c r="DJ657" s="1"/>
      <c r="DK657" s="1"/>
      <c r="DM657" s="1"/>
      <c r="DQ657" s="1"/>
      <c r="DR657" s="1"/>
      <c r="DY657" s="1"/>
      <c r="DZ657" s="1"/>
      <c r="ED657" s="1"/>
      <c r="EK657" s="1"/>
      <c r="EL657" s="1"/>
      <c r="EM657" s="1"/>
      <c r="EN657" s="1"/>
      <c r="EQ657" s="1"/>
      <c r="ER657" s="1"/>
      <c r="ES657" s="1"/>
      <c r="EV657" s="1"/>
      <c r="EW657" s="1"/>
      <c r="EZ657" s="1"/>
      <c r="FA657" s="1"/>
      <c r="FD657" s="1"/>
      <c r="FG657" s="1"/>
      <c r="FH657" s="1"/>
      <c r="FJ657" s="1"/>
      <c r="FM657" s="1"/>
      <c r="FN657" s="1"/>
      <c r="FO657" s="1"/>
      <c r="FP657" s="1"/>
      <c r="FQ657" s="1"/>
      <c r="FR657" s="1"/>
      <c r="FS657" s="1"/>
      <c r="FT657" s="1"/>
      <c r="FU657" s="1"/>
      <c r="FV657" s="1"/>
      <c r="FW657" s="1"/>
      <c r="FX657" s="1"/>
      <c r="FY657" s="1"/>
      <c r="FZ657" s="1"/>
      <c r="GA657" s="1"/>
      <c r="GB657" s="1"/>
      <c r="GD657" s="1"/>
      <c r="GE657" s="1"/>
      <c r="GF657" s="1"/>
      <c r="GG657" s="1"/>
      <c r="GH657" s="1"/>
      <c r="GI657" s="1"/>
      <c r="GJ657" s="1"/>
      <c r="GK657" s="1"/>
      <c r="GL657" s="1"/>
      <c r="GM657" s="1"/>
      <c r="GN657" s="1"/>
      <c r="GO657" s="1"/>
      <c r="GP657" s="1"/>
      <c r="GR657" s="1"/>
      <c r="GY657" s="1"/>
      <c r="HF657" s="1"/>
      <c r="HH657" s="1"/>
      <c r="HN657" s="1"/>
      <c r="HR657" s="1"/>
      <c r="HS657" s="1"/>
      <c r="HT657" s="1"/>
      <c r="HY657" s="1"/>
      <c r="ID657" s="1"/>
      <c r="IE657" s="1"/>
      <c r="IR657" s="1"/>
      <c r="IS657" s="1"/>
      <c r="IY657" s="1"/>
      <c r="IZ657" s="1"/>
      <c r="JC657" s="1"/>
      <c r="JI657" s="1"/>
      <c r="JJ657" s="1"/>
      <c r="JN657" s="1"/>
      <c r="JP657" s="1"/>
      <c r="JQ657" s="1"/>
      <c r="JT657" s="1"/>
      <c r="KU657" s="1"/>
      <c r="KY657" s="1"/>
      <c r="KZ657" s="1"/>
      <c r="LA657" s="1"/>
      <c r="LB657" s="1"/>
      <c r="LC657" s="1"/>
      <c r="LD657" s="1"/>
      <c r="LO657" s="1"/>
      <c r="LP657" s="1"/>
      <c r="LZ657" s="1"/>
      <c r="MA657" s="1"/>
    </row>
    <row r="658" spans="4:339" ht="13" x14ac:dyDescent="0.15">
      <c r="D658" s="12"/>
      <c r="E658" s="12"/>
      <c r="I658" s="12"/>
      <c r="J658" s="13"/>
      <c r="BF658" s="1"/>
      <c r="BG658" s="1"/>
      <c r="BH658" s="1"/>
      <c r="BI658" s="1"/>
      <c r="BJ658" s="1"/>
      <c r="BK658" s="1"/>
      <c r="BL658" s="1"/>
      <c r="BM658" s="1"/>
      <c r="BN658" s="1"/>
      <c r="BO658" s="1"/>
      <c r="BP658" s="1"/>
      <c r="BQ658" s="1"/>
      <c r="BR658" s="1"/>
      <c r="BX658" s="1"/>
      <c r="CD658" s="1"/>
      <c r="CE658" s="1"/>
      <c r="CF658" s="1"/>
      <c r="CG658" s="1"/>
      <c r="CH658" s="1"/>
      <c r="CI658" s="1"/>
      <c r="CM658" s="2"/>
      <c r="CN658" s="1"/>
      <c r="CO658" s="1"/>
      <c r="CP658" s="1"/>
      <c r="CQ658" s="1"/>
      <c r="CR658" s="1"/>
      <c r="CS658" s="1"/>
      <c r="CT658" s="1"/>
      <c r="CU658" s="1"/>
      <c r="CV658" s="1"/>
      <c r="CW658" s="1"/>
      <c r="CX658" s="1"/>
      <c r="CY658" s="1"/>
      <c r="CZ658" s="1"/>
      <c r="DA658" s="1"/>
      <c r="DB658" s="1"/>
      <c r="DC658" s="1"/>
      <c r="DD658" s="1"/>
      <c r="DE658" s="1"/>
      <c r="DF658" s="1"/>
      <c r="DG658" s="1"/>
      <c r="DH658" s="1"/>
      <c r="DI658" s="1"/>
      <c r="DJ658" s="1"/>
      <c r="DK658" s="1"/>
      <c r="DM658" s="1"/>
      <c r="DQ658" s="1"/>
      <c r="DR658" s="1"/>
      <c r="DY658" s="1"/>
      <c r="DZ658" s="1"/>
      <c r="ED658" s="1"/>
      <c r="EK658" s="1"/>
      <c r="EL658" s="1"/>
      <c r="EM658" s="1"/>
      <c r="EN658" s="1"/>
      <c r="EQ658" s="1"/>
      <c r="ER658" s="1"/>
      <c r="ES658" s="1"/>
      <c r="EV658" s="1"/>
      <c r="EW658" s="1"/>
      <c r="EZ658" s="1"/>
      <c r="FA658" s="1"/>
      <c r="FD658" s="1"/>
      <c r="FG658" s="1"/>
      <c r="FH658" s="1"/>
      <c r="FJ658" s="1"/>
      <c r="FM658" s="1"/>
      <c r="FN658" s="1"/>
      <c r="FO658" s="1"/>
      <c r="FP658" s="1"/>
      <c r="FQ658" s="1"/>
      <c r="FR658" s="1"/>
      <c r="FS658" s="1"/>
      <c r="FT658" s="1"/>
      <c r="FU658" s="1"/>
      <c r="FV658" s="1"/>
      <c r="FW658" s="1"/>
      <c r="FX658" s="1"/>
      <c r="FY658" s="1"/>
      <c r="FZ658" s="1"/>
      <c r="GA658" s="1"/>
      <c r="GB658" s="1"/>
      <c r="GD658" s="1"/>
      <c r="GE658" s="1"/>
      <c r="GF658" s="1"/>
      <c r="GG658" s="1"/>
      <c r="GH658" s="1"/>
      <c r="GI658" s="1"/>
      <c r="GJ658" s="1"/>
      <c r="GK658" s="1"/>
      <c r="GL658" s="1"/>
      <c r="GM658" s="1"/>
      <c r="GN658" s="1"/>
      <c r="GO658" s="1"/>
      <c r="GP658" s="1"/>
      <c r="GR658" s="1"/>
      <c r="GY658" s="1"/>
      <c r="HF658" s="1"/>
      <c r="HH658" s="1"/>
      <c r="HN658" s="1"/>
      <c r="HR658" s="1"/>
      <c r="HS658" s="1"/>
      <c r="HT658" s="1"/>
      <c r="HY658" s="1"/>
      <c r="ID658" s="1"/>
      <c r="IE658" s="1"/>
      <c r="IR658" s="1"/>
      <c r="IS658" s="1"/>
      <c r="IY658" s="1"/>
      <c r="IZ658" s="1"/>
      <c r="JC658" s="1"/>
      <c r="JI658" s="1"/>
      <c r="JJ658" s="1"/>
      <c r="JN658" s="1"/>
      <c r="JP658" s="1"/>
      <c r="JQ658" s="1"/>
      <c r="JT658" s="1"/>
      <c r="KU658" s="1"/>
      <c r="KY658" s="1"/>
      <c r="KZ658" s="1"/>
      <c r="LA658" s="1"/>
      <c r="LB658" s="1"/>
      <c r="LC658" s="1"/>
      <c r="LD658" s="1"/>
      <c r="LO658" s="1"/>
      <c r="LP658" s="1"/>
      <c r="LZ658" s="1"/>
      <c r="MA658" s="1"/>
    </row>
    <row r="659" spans="4:339" ht="13" x14ac:dyDescent="0.15">
      <c r="D659" s="12"/>
      <c r="E659" s="12"/>
      <c r="I659" s="12"/>
      <c r="J659" s="13"/>
      <c r="BF659" s="1"/>
      <c r="BG659" s="1"/>
      <c r="BH659" s="1"/>
      <c r="BI659" s="1"/>
      <c r="BJ659" s="1"/>
      <c r="BK659" s="1"/>
      <c r="BL659" s="1"/>
      <c r="BM659" s="1"/>
      <c r="BN659" s="1"/>
      <c r="BO659" s="1"/>
      <c r="BP659" s="1"/>
      <c r="BQ659" s="1"/>
      <c r="BR659" s="1"/>
      <c r="BX659" s="1"/>
      <c r="CD659" s="1"/>
      <c r="CE659" s="1"/>
      <c r="CF659" s="1"/>
      <c r="CG659" s="1"/>
      <c r="CH659" s="1"/>
      <c r="CI659" s="1"/>
      <c r="CM659" s="2"/>
      <c r="CN659" s="1"/>
      <c r="CO659" s="1"/>
      <c r="CP659" s="1"/>
      <c r="CQ659" s="1"/>
      <c r="CR659" s="1"/>
      <c r="CS659" s="1"/>
      <c r="CT659" s="1"/>
      <c r="CU659" s="1"/>
      <c r="CV659" s="1"/>
      <c r="CW659" s="1"/>
      <c r="CX659" s="1"/>
      <c r="CY659" s="1"/>
      <c r="CZ659" s="1"/>
      <c r="DA659" s="1"/>
      <c r="DB659" s="1"/>
      <c r="DC659" s="1"/>
      <c r="DD659" s="1"/>
      <c r="DE659" s="1"/>
      <c r="DF659" s="1"/>
      <c r="DG659" s="1"/>
      <c r="DH659" s="1"/>
      <c r="DI659" s="1"/>
      <c r="DJ659" s="1"/>
      <c r="DK659" s="1"/>
      <c r="DM659" s="1"/>
      <c r="DQ659" s="1"/>
      <c r="DR659" s="1"/>
      <c r="DY659" s="1"/>
      <c r="DZ659" s="1"/>
      <c r="ED659" s="1"/>
      <c r="EK659" s="1"/>
      <c r="EL659" s="1"/>
      <c r="EM659" s="1"/>
      <c r="EN659" s="1"/>
      <c r="EQ659" s="1"/>
      <c r="ER659" s="1"/>
      <c r="ES659" s="1"/>
      <c r="EV659" s="1"/>
      <c r="EW659" s="1"/>
      <c r="EZ659" s="1"/>
      <c r="FA659" s="1"/>
      <c r="FD659" s="1"/>
      <c r="FG659" s="1"/>
      <c r="FH659" s="1"/>
      <c r="FJ659" s="1"/>
      <c r="FM659" s="1"/>
      <c r="FN659" s="1"/>
      <c r="FO659" s="1"/>
      <c r="FP659" s="1"/>
      <c r="FQ659" s="1"/>
      <c r="FR659" s="1"/>
      <c r="FS659" s="1"/>
      <c r="FT659" s="1"/>
      <c r="FU659" s="1"/>
      <c r="FV659" s="1"/>
      <c r="FW659" s="1"/>
      <c r="FX659" s="1"/>
      <c r="FY659" s="1"/>
      <c r="FZ659" s="1"/>
      <c r="GA659" s="1"/>
      <c r="GB659" s="1"/>
      <c r="GD659" s="1"/>
      <c r="GE659" s="1"/>
      <c r="GF659" s="1"/>
      <c r="GG659" s="1"/>
      <c r="GH659" s="1"/>
      <c r="GI659" s="1"/>
      <c r="GJ659" s="1"/>
      <c r="GK659" s="1"/>
      <c r="GL659" s="1"/>
      <c r="GM659" s="1"/>
      <c r="GN659" s="1"/>
      <c r="GO659" s="1"/>
      <c r="GP659" s="1"/>
      <c r="GR659" s="1"/>
      <c r="GY659" s="1"/>
      <c r="HF659" s="1"/>
      <c r="HH659" s="1"/>
      <c r="HN659" s="1"/>
      <c r="HR659" s="1"/>
      <c r="HS659" s="1"/>
      <c r="HT659" s="1"/>
      <c r="HY659" s="1"/>
      <c r="ID659" s="1"/>
      <c r="IE659" s="1"/>
      <c r="IR659" s="1"/>
      <c r="IS659" s="1"/>
      <c r="IY659" s="1"/>
      <c r="IZ659" s="1"/>
      <c r="JC659" s="1"/>
      <c r="JI659" s="1"/>
      <c r="JJ659" s="1"/>
      <c r="JN659" s="1"/>
      <c r="JP659" s="1"/>
      <c r="JQ659" s="1"/>
      <c r="JT659" s="1"/>
      <c r="KU659" s="1"/>
      <c r="KY659" s="1"/>
      <c r="KZ659" s="1"/>
      <c r="LA659" s="1"/>
      <c r="LB659" s="1"/>
      <c r="LC659" s="1"/>
      <c r="LD659" s="1"/>
      <c r="LO659" s="1"/>
      <c r="LP659" s="1"/>
      <c r="LZ659" s="1"/>
      <c r="MA659" s="1"/>
    </row>
    <row r="660" spans="4:339" ht="13" x14ac:dyDescent="0.15">
      <c r="D660" s="12"/>
      <c r="E660" s="12"/>
      <c r="I660" s="12"/>
      <c r="J660" s="13"/>
      <c r="BF660" s="1"/>
      <c r="BG660" s="1"/>
      <c r="BH660" s="1"/>
      <c r="BI660" s="1"/>
      <c r="BJ660" s="1"/>
      <c r="BK660" s="1"/>
      <c r="BL660" s="1"/>
      <c r="BM660" s="1"/>
      <c r="BN660" s="1"/>
      <c r="BO660" s="1"/>
      <c r="BP660" s="1"/>
      <c r="BQ660" s="1"/>
      <c r="BR660" s="1"/>
      <c r="BX660" s="1"/>
      <c r="CD660" s="1"/>
      <c r="CE660" s="1"/>
      <c r="CF660" s="1"/>
      <c r="CG660" s="1"/>
      <c r="CH660" s="1"/>
      <c r="CI660" s="1"/>
      <c r="CM660" s="2"/>
      <c r="CN660" s="1"/>
      <c r="CO660" s="1"/>
      <c r="CP660" s="1"/>
      <c r="CQ660" s="1"/>
      <c r="CR660" s="1"/>
      <c r="CS660" s="1"/>
      <c r="CT660" s="1"/>
      <c r="CU660" s="1"/>
      <c r="CV660" s="1"/>
      <c r="CW660" s="1"/>
      <c r="CX660" s="1"/>
      <c r="CY660" s="1"/>
      <c r="CZ660" s="1"/>
      <c r="DA660" s="1"/>
      <c r="DB660" s="1"/>
      <c r="DC660" s="1"/>
      <c r="DD660" s="1"/>
      <c r="DE660" s="1"/>
      <c r="DF660" s="1"/>
      <c r="DG660" s="1"/>
      <c r="DH660" s="1"/>
      <c r="DI660" s="1"/>
      <c r="DJ660" s="1"/>
      <c r="DK660" s="1"/>
      <c r="DM660" s="1"/>
      <c r="DQ660" s="1"/>
      <c r="DR660" s="1"/>
      <c r="DY660" s="1"/>
      <c r="DZ660" s="1"/>
      <c r="ED660" s="1"/>
      <c r="EK660" s="1"/>
      <c r="EL660" s="1"/>
      <c r="EM660" s="1"/>
      <c r="EN660" s="1"/>
      <c r="EQ660" s="1"/>
      <c r="ER660" s="1"/>
      <c r="ES660" s="1"/>
      <c r="EV660" s="1"/>
      <c r="EW660" s="1"/>
      <c r="EZ660" s="1"/>
      <c r="FA660" s="1"/>
      <c r="FD660" s="1"/>
      <c r="FG660" s="1"/>
      <c r="FH660" s="1"/>
      <c r="FJ660" s="1"/>
      <c r="FM660" s="1"/>
      <c r="FN660" s="1"/>
      <c r="FO660" s="1"/>
      <c r="FP660" s="1"/>
      <c r="FQ660" s="1"/>
      <c r="FR660" s="1"/>
      <c r="FS660" s="1"/>
      <c r="FT660" s="1"/>
      <c r="FU660" s="1"/>
      <c r="FV660" s="1"/>
      <c r="FW660" s="1"/>
      <c r="FX660" s="1"/>
      <c r="FY660" s="1"/>
      <c r="FZ660" s="1"/>
      <c r="GA660" s="1"/>
      <c r="GB660" s="1"/>
      <c r="GD660" s="1"/>
      <c r="GE660" s="1"/>
      <c r="GF660" s="1"/>
      <c r="GG660" s="1"/>
      <c r="GH660" s="1"/>
      <c r="GI660" s="1"/>
      <c r="GJ660" s="1"/>
      <c r="GK660" s="1"/>
      <c r="GL660" s="1"/>
      <c r="GM660" s="1"/>
      <c r="GN660" s="1"/>
      <c r="GO660" s="1"/>
      <c r="GP660" s="1"/>
      <c r="GR660" s="1"/>
      <c r="GY660" s="1"/>
      <c r="HF660" s="1"/>
      <c r="HH660" s="1"/>
      <c r="HN660" s="1"/>
      <c r="HR660" s="1"/>
      <c r="HS660" s="1"/>
      <c r="HT660" s="1"/>
      <c r="HY660" s="1"/>
      <c r="ID660" s="1"/>
      <c r="IE660" s="1"/>
      <c r="IR660" s="1"/>
      <c r="IS660" s="1"/>
      <c r="IY660" s="1"/>
      <c r="IZ660" s="1"/>
      <c r="JC660" s="1"/>
      <c r="JI660" s="1"/>
      <c r="JJ660" s="1"/>
      <c r="JN660" s="1"/>
      <c r="JP660" s="1"/>
      <c r="JQ660" s="1"/>
      <c r="JT660" s="1"/>
      <c r="KU660" s="1"/>
      <c r="KY660" s="1"/>
      <c r="KZ660" s="1"/>
      <c r="LA660" s="1"/>
      <c r="LB660" s="1"/>
      <c r="LC660" s="1"/>
      <c r="LD660" s="1"/>
      <c r="LO660" s="1"/>
      <c r="LP660" s="1"/>
      <c r="LZ660" s="1"/>
      <c r="MA660" s="1"/>
    </row>
    <row r="661" spans="4:339" ht="13" x14ac:dyDescent="0.15">
      <c r="D661" s="12"/>
      <c r="E661" s="12"/>
      <c r="I661" s="12"/>
      <c r="J661" s="13"/>
      <c r="BF661" s="1"/>
      <c r="BG661" s="1"/>
      <c r="BH661" s="1"/>
      <c r="BI661" s="1"/>
      <c r="BJ661" s="1"/>
      <c r="BK661" s="1"/>
      <c r="BL661" s="1"/>
      <c r="BM661" s="1"/>
      <c r="BN661" s="1"/>
      <c r="BO661" s="1"/>
      <c r="BP661" s="1"/>
      <c r="BQ661" s="1"/>
      <c r="BR661" s="1"/>
      <c r="BX661" s="1"/>
      <c r="CD661" s="1"/>
      <c r="CE661" s="1"/>
      <c r="CF661" s="1"/>
      <c r="CG661" s="1"/>
      <c r="CH661" s="1"/>
      <c r="CI661" s="1"/>
      <c r="CM661" s="2"/>
      <c r="CN661" s="1"/>
      <c r="CO661" s="1"/>
      <c r="CP661" s="1"/>
      <c r="CQ661" s="1"/>
      <c r="CR661" s="1"/>
      <c r="CS661" s="1"/>
      <c r="CT661" s="1"/>
      <c r="CU661" s="1"/>
      <c r="CV661" s="1"/>
      <c r="CW661" s="1"/>
      <c r="CX661" s="1"/>
      <c r="CY661" s="1"/>
      <c r="CZ661" s="1"/>
      <c r="DA661" s="1"/>
      <c r="DB661" s="1"/>
      <c r="DC661" s="1"/>
      <c r="DD661" s="1"/>
      <c r="DE661" s="1"/>
      <c r="DF661" s="1"/>
      <c r="DG661" s="1"/>
      <c r="DH661" s="1"/>
      <c r="DI661" s="1"/>
      <c r="DJ661" s="1"/>
      <c r="DK661" s="1"/>
      <c r="DM661" s="1"/>
      <c r="DQ661" s="1"/>
      <c r="DR661" s="1"/>
      <c r="DY661" s="1"/>
      <c r="DZ661" s="1"/>
      <c r="ED661" s="1"/>
      <c r="EK661" s="1"/>
      <c r="EL661" s="1"/>
      <c r="EM661" s="1"/>
      <c r="EN661" s="1"/>
      <c r="EQ661" s="1"/>
      <c r="ER661" s="1"/>
      <c r="ES661" s="1"/>
      <c r="EV661" s="1"/>
      <c r="EW661" s="1"/>
      <c r="EZ661" s="1"/>
      <c r="FA661" s="1"/>
      <c r="FD661" s="1"/>
      <c r="FG661" s="1"/>
      <c r="FH661" s="1"/>
      <c r="FJ661" s="1"/>
      <c r="FM661" s="1"/>
      <c r="FN661" s="1"/>
      <c r="FO661" s="1"/>
      <c r="FP661" s="1"/>
      <c r="FQ661" s="1"/>
      <c r="FR661" s="1"/>
      <c r="FS661" s="1"/>
      <c r="FT661" s="1"/>
      <c r="FU661" s="1"/>
      <c r="FV661" s="1"/>
      <c r="FW661" s="1"/>
      <c r="FX661" s="1"/>
      <c r="FY661" s="1"/>
      <c r="FZ661" s="1"/>
      <c r="GA661" s="1"/>
      <c r="GB661" s="1"/>
      <c r="GD661" s="1"/>
      <c r="GE661" s="1"/>
      <c r="GF661" s="1"/>
      <c r="GG661" s="1"/>
      <c r="GH661" s="1"/>
      <c r="GI661" s="1"/>
      <c r="GJ661" s="1"/>
      <c r="GK661" s="1"/>
      <c r="GL661" s="1"/>
      <c r="GM661" s="1"/>
      <c r="GN661" s="1"/>
      <c r="GO661" s="1"/>
      <c r="GP661" s="1"/>
      <c r="GR661" s="1"/>
      <c r="GY661" s="1"/>
      <c r="HF661" s="1"/>
      <c r="HH661" s="1"/>
      <c r="HN661" s="1"/>
      <c r="HR661" s="1"/>
      <c r="HS661" s="1"/>
      <c r="HT661" s="1"/>
      <c r="HY661" s="1"/>
      <c r="ID661" s="1"/>
      <c r="IE661" s="1"/>
      <c r="IR661" s="1"/>
      <c r="IS661" s="1"/>
      <c r="IY661" s="1"/>
      <c r="IZ661" s="1"/>
      <c r="JC661" s="1"/>
      <c r="JI661" s="1"/>
      <c r="JJ661" s="1"/>
      <c r="JN661" s="1"/>
      <c r="JP661" s="1"/>
      <c r="JQ661" s="1"/>
      <c r="JT661" s="1"/>
      <c r="KU661" s="1"/>
      <c r="KY661" s="1"/>
      <c r="KZ661" s="1"/>
      <c r="LA661" s="1"/>
      <c r="LB661" s="1"/>
      <c r="LC661" s="1"/>
      <c r="LD661" s="1"/>
      <c r="LO661" s="1"/>
      <c r="LP661" s="1"/>
      <c r="LZ661" s="1"/>
      <c r="MA661" s="1"/>
    </row>
    <row r="662" spans="4:339" ht="13" x14ac:dyDescent="0.15">
      <c r="D662" s="12"/>
      <c r="E662" s="12"/>
      <c r="I662" s="12"/>
      <c r="J662" s="13"/>
      <c r="BF662" s="1"/>
      <c r="BG662" s="1"/>
      <c r="BH662" s="1"/>
      <c r="BI662" s="1"/>
      <c r="BJ662" s="1"/>
      <c r="BK662" s="1"/>
      <c r="BL662" s="1"/>
      <c r="BM662" s="1"/>
      <c r="BN662" s="1"/>
      <c r="BO662" s="1"/>
      <c r="BP662" s="1"/>
      <c r="BQ662" s="1"/>
      <c r="BR662" s="1"/>
      <c r="BX662" s="1"/>
      <c r="CD662" s="1"/>
      <c r="CE662" s="1"/>
      <c r="CF662" s="1"/>
      <c r="CG662" s="1"/>
      <c r="CH662" s="1"/>
      <c r="CI662" s="1"/>
      <c r="CM662" s="2"/>
      <c r="CN662" s="1"/>
      <c r="CO662" s="1"/>
      <c r="CP662" s="1"/>
      <c r="CQ662" s="1"/>
      <c r="CR662" s="1"/>
      <c r="CS662" s="1"/>
      <c r="CT662" s="1"/>
      <c r="CU662" s="1"/>
      <c r="CV662" s="1"/>
      <c r="CW662" s="1"/>
      <c r="CX662" s="1"/>
      <c r="CY662" s="1"/>
      <c r="CZ662" s="1"/>
      <c r="DA662" s="1"/>
      <c r="DB662" s="1"/>
      <c r="DC662" s="1"/>
      <c r="DD662" s="1"/>
      <c r="DE662" s="1"/>
      <c r="DF662" s="1"/>
      <c r="DG662" s="1"/>
      <c r="DH662" s="1"/>
      <c r="DI662" s="1"/>
      <c r="DJ662" s="1"/>
      <c r="DK662" s="1"/>
      <c r="DM662" s="1"/>
      <c r="DQ662" s="1"/>
      <c r="DR662" s="1"/>
      <c r="DY662" s="1"/>
      <c r="DZ662" s="1"/>
      <c r="ED662" s="1"/>
      <c r="EK662" s="1"/>
      <c r="EL662" s="1"/>
      <c r="EM662" s="1"/>
      <c r="EN662" s="1"/>
      <c r="EQ662" s="1"/>
      <c r="ER662" s="1"/>
      <c r="ES662" s="1"/>
      <c r="EV662" s="1"/>
      <c r="EW662" s="1"/>
      <c r="EZ662" s="1"/>
      <c r="FA662" s="1"/>
      <c r="FD662" s="1"/>
      <c r="FG662" s="1"/>
      <c r="FH662" s="1"/>
      <c r="FJ662" s="1"/>
      <c r="FM662" s="1"/>
      <c r="FN662" s="1"/>
      <c r="FO662" s="1"/>
      <c r="FP662" s="1"/>
      <c r="FQ662" s="1"/>
      <c r="FR662" s="1"/>
      <c r="FS662" s="1"/>
      <c r="FT662" s="1"/>
      <c r="FU662" s="1"/>
      <c r="FV662" s="1"/>
      <c r="FW662" s="1"/>
      <c r="FX662" s="1"/>
      <c r="FY662" s="1"/>
      <c r="FZ662" s="1"/>
      <c r="GA662" s="1"/>
      <c r="GB662" s="1"/>
      <c r="GD662" s="1"/>
      <c r="GE662" s="1"/>
      <c r="GF662" s="1"/>
      <c r="GG662" s="1"/>
      <c r="GH662" s="1"/>
      <c r="GI662" s="1"/>
      <c r="GJ662" s="1"/>
      <c r="GK662" s="1"/>
      <c r="GL662" s="1"/>
      <c r="GM662" s="1"/>
      <c r="GN662" s="1"/>
      <c r="GO662" s="1"/>
      <c r="GP662" s="1"/>
      <c r="GR662" s="1"/>
      <c r="GY662" s="1"/>
      <c r="HF662" s="1"/>
      <c r="HH662" s="1"/>
      <c r="HN662" s="1"/>
      <c r="HR662" s="1"/>
      <c r="HS662" s="1"/>
      <c r="HT662" s="1"/>
      <c r="HY662" s="1"/>
      <c r="ID662" s="1"/>
      <c r="IE662" s="1"/>
      <c r="IR662" s="1"/>
      <c r="IS662" s="1"/>
      <c r="IY662" s="1"/>
      <c r="IZ662" s="1"/>
      <c r="JC662" s="1"/>
      <c r="JI662" s="1"/>
      <c r="JJ662" s="1"/>
      <c r="JN662" s="1"/>
      <c r="JP662" s="1"/>
      <c r="JQ662" s="1"/>
      <c r="JT662" s="1"/>
      <c r="KU662" s="1"/>
      <c r="KY662" s="1"/>
      <c r="KZ662" s="1"/>
      <c r="LA662" s="1"/>
      <c r="LB662" s="1"/>
      <c r="LC662" s="1"/>
      <c r="LD662" s="1"/>
      <c r="LO662" s="1"/>
      <c r="LP662" s="1"/>
      <c r="LZ662" s="1"/>
      <c r="MA662" s="1"/>
    </row>
    <row r="663" spans="4:339" ht="13" x14ac:dyDescent="0.15">
      <c r="D663" s="12"/>
      <c r="E663" s="12"/>
      <c r="I663" s="12"/>
      <c r="J663" s="13"/>
      <c r="BF663" s="1"/>
      <c r="BG663" s="1"/>
      <c r="BH663" s="1"/>
      <c r="BI663" s="1"/>
      <c r="BJ663" s="1"/>
      <c r="BK663" s="1"/>
      <c r="BL663" s="1"/>
      <c r="BM663" s="1"/>
      <c r="BN663" s="1"/>
      <c r="BO663" s="1"/>
      <c r="BP663" s="1"/>
      <c r="BQ663" s="1"/>
      <c r="BR663" s="1"/>
      <c r="BX663" s="1"/>
      <c r="CD663" s="1"/>
      <c r="CE663" s="1"/>
      <c r="CF663" s="1"/>
      <c r="CG663" s="1"/>
      <c r="CH663" s="1"/>
      <c r="CI663" s="1"/>
      <c r="CM663" s="2"/>
      <c r="CN663" s="1"/>
      <c r="CO663" s="1"/>
      <c r="CP663" s="1"/>
      <c r="CQ663" s="1"/>
      <c r="CR663" s="1"/>
      <c r="CS663" s="1"/>
      <c r="CT663" s="1"/>
      <c r="CU663" s="1"/>
      <c r="CV663" s="1"/>
      <c r="CW663" s="1"/>
      <c r="CX663" s="1"/>
      <c r="CY663" s="1"/>
      <c r="CZ663" s="1"/>
      <c r="DA663" s="1"/>
      <c r="DB663" s="1"/>
      <c r="DC663" s="1"/>
      <c r="DD663" s="1"/>
      <c r="DE663" s="1"/>
      <c r="DF663" s="1"/>
      <c r="DG663" s="1"/>
      <c r="DH663" s="1"/>
      <c r="DI663" s="1"/>
      <c r="DJ663" s="1"/>
      <c r="DK663" s="1"/>
      <c r="DM663" s="1"/>
      <c r="DQ663" s="1"/>
      <c r="DR663" s="1"/>
      <c r="DY663" s="1"/>
      <c r="DZ663" s="1"/>
      <c r="ED663" s="1"/>
      <c r="EK663" s="1"/>
      <c r="EL663" s="1"/>
      <c r="EM663" s="1"/>
      <c r="EN663" s="1"/>
      <c r="EQ663" s="1"/>
      <c r="ER663" s="1"/>
      <c r="ES663" s="1"/>
      <c r="EV663" s="1"/>
      <c r="EW663" s="1"/>
      <c r="EZ663" s="1"/>
      <c r="FA663" s="1"/>
      <c r="FD663" s="1"/>
      <c r="FG663" s="1"/>
      <c r="FH663" s="1"/>
      <c r="FJ663" s="1"/>
      <c r="FM663" s="1"/>
      <c r="FN663" s="1"/>
      <c r="FO663" s="1"/>
      <c r="FP663" s="1"/>
      <c r="FQ663" s="1"/>
      <c r="FR663" s="1"/>
      <c r="FS663" s="1"/>
      <c r="FT663" s="1"/>
      <c r="FU663" s="1"/>
      <c r="FV663" s="1"/>
      <c r="FW663" s="1"/>
      <c r="FX663" s="1"/>
      <c r="FY663" s="1"/>
      <c r="FZ663" s="1"/>
      <c r="GA663" s="1"/>
      <c r="GB663" s="1"/>
      <c r="GD663" s="1"/>
      <c r="GE663" s="1"/>
      <c r="GF663" s="1"/>
      <c r="GG663" s="1"/>
      <c r="GH663" s="1"/>
      <c r="GI663" s="1"/>
      <c r="GJ663" s="1"/>
      <c r="GK663" s="1"/>
      <c r="GL663" s="1"/>
      <c r="GM663" s="1"/>
      <c r="GN663" s="1"/>
      <c r="GO663" s="1"/>
      <c r="GP663" s="1"/>
      <c r="GR663" s="1"/>
      <c r="GY663" s="1"/>
      <c r="HF663" s="1"/>
      <c r="HH663" s="1"/>
      <c r="HN663" s="1"/>
      <c r="HR663" s="1"/>
      <c r="HS663" s="1"/>
      <c r="HT663" s="1"/>
      <c r="HY663" s="1"/>
      <c r="ID663" s="1"/>
      <c r="IE663" s="1"/>
      <c r="IR663" s="1"/>
      <c r="IS663" s="1"/>
      <c r="IY663" s="1"/>
      <c r="IZ663" s="1"/>
      <c r="JC663" s="1"/>
      <c r="JI663" s="1"/>
      <c r="JJ663" s="1"/>
      <c r="JN663" s="1"/>
      <c r="JP663" s="1"/>
      <c r="JQ663" s="1"/>
      <c r="JT663" s="1"/>
      <c r="KU663" s="1"/>
      <c r="KY663" s="1"/>
      <c r="KZ663" s="1"/>
      <c r="LA663" s="1"/>
      <c r="LB663" s="1"/>
      <c r="LC663" s="1"/>
      <c r="LD663" s="1"/>
      <c r="LO663" s="1"/>
      <c r="LP663" s="1"/>
      <c r="LZ663" s="1"/>
      <c r="MA663" s="1"/>
    </row>
    <row r="664" spans="4:339" ht="13" x14ac:dyDescent="0.15">
      <c r="D664" s="12"/>
      <c r="E664" s="12"/>
      <c r="I664" s="12"/>
      <c r="J664" s="13"/>
      <c r="BF664" s="1"/>
      <c r="BG664" s="1"/>
      <c r="BH664" s="1"/>
      <c r="BI664" s="1"/>
      <c r="BJ664" s="1"/>
      <c r="BK664" s="1"/>
      <c r="BL664" s="1"/>
      <c r="BM664" s="1"/>
      <c r="BN664" s="1"/>
      <c r="BO664" s="1"/>
      <c r="BP664" s="1"/>
      <c r="BQ664" s="1"/>
      <c r="BR664" s="1"/>
      <c r="BX664" s="1"/>
      <c r="CD664" s="1"/>
      <c r="CE664" s="1"/>
      <c r="CF664" s="1"/>
      <c r="CG664" s="1"/>
      <c r="CH664" s="1"/>
      <c r="CI664" s="1"/>
      <c r="CM664" s="2"/>
      <c r="CN664" s="1"/>
      <c r="CO664" s="1"/>
      <c r="CP664" s="1"/>
      <c r="CQ664" s="1"/>
      <c r="CR664" s="1"/>
      <c r="CT664" s="1"/>
      <c r="CU664" s="1"/>
      <c r="CV664" s="1"/>
      <c r="CW664" s="1"/>
      <c r="CX664" s="1"/>
      <c r="CY664" s="1"/>
      <c r="CZ664" s="1"/>
      <c r="DA664" s="1"/>
      <c r="DB664" s="1"/>
      <c r="DC664" s="1"/>
      <c r="DD664" s="1"/>
      <c r="DE664" s="1"/>
      <c r="DF664" s="1"/>
      <c r="DG664" s="1"/>
      <c r="DH664" s="1"/>
      <c r="DI664" s="1"/>
      <c r="DJ664" s="1"/>
      <c r="DK664" s="1"/>
      <c r="DM664" s="1"/>
      <c r="DQ664" s="1"/>
      <c r="DR664" s="1"/>
      <c r="DY664" s="1"/>
      <c r="DZ664" s="1"/>
      <c r="ED664" s="1"/>
      <c r="EK664" s="1"/>
      <c r="EL664" s="1"/>
      <c r="EM664" s="1"/>
      <c r="EN664" s="1"/>
      <c r="EQ664" s="1"/>
      <c r="ER664" s="1"/>
      <c r="ES664" s="1"/>
      <c r="EV664" s="1"/>
      <c r="EW664" s="1"/>
      <c r="EZ664" s="1"/>
      <c r="FA664" s="1"/>
      <c r="FD664" s="1"/>
      <c r="FW664" s="1"/>
      <c r="FX664" s="1"/>
      <c r="GA664" s="1"/>
      <c r="GD664" s="1"/>
      <c r="GE664" s="1"/>
      <c r="GF664" s="1"/>
      <c r="GG664" s="1"/>
      <c r="GH664" s="1"/>
      <c r="GI664" s="1"/>
      <c r="GJ664" s="1"/>
      <c r="GK664" s="1"/>
      <c r="GL664" s="1"/>
      <c r="GM664" s="1"/>
      <c r="GN664" s="1"/>
      <c r="GO664" s="1"/>
      <c r="GP664" s="1"/>
      <c r="GS664" s="1"/>
      <c r="GY664" s="1"/>
      <c r="HF664" s="1"/>
      <c r="HH664" s="1"/>
      <c r="HQ664" s="1"/>
      <c r="HR664" s="1"/>
      <c r="HS664" s="1"/>
      <c r="HT664" s="1"/>
      <c r="HY664" s="1"/>
      <c r="IC664" s="1"/>
      <c r="IE664" s="1"/>
      <c r="IS664" s="1"/>
      <c r="IW664" s="1"/>
      <c r="IY664" s="1"/>
      <c r="IZ664" s="1"/>
      <c r="JA664" s="1"/>
      <c r="JC664" s="1"/>
      <c r="JF664" s="1"/>
      <c r="JG664" s="1"/>
      <c r="JH664" s="1"/>
      <c r="JI664" s="1"/>
      <c r="JJ664" s="1"/>
      <c r="JN664" s="1"/>
      <c r="JP664" s="1"/>
      <c r="JQ664" s="1"/>
      <c r="JT664" s="1"/>
      <c r="KV664" s="1"/>
      <c r="KW664" s="1"/>
      <c r="KY664" s="1"/>
      <c r="KZ664" s="1"/>
      <c r="LA664" s="1"/>
      <c r="LB664" s="1"/>
      <c r="LC664" s="1"/>
      <c r="LD664" s="1"/>
      <c r="LF664" s="1"/>
      <c r="LN664" s="1"/>
      <c r="LO664" s="1"/>
      <c r="LP664" s="1"/>
      <c r="LZ664" s="1"/>
      <c r="MA664" s="1"/>
    </row>
    <row r="665" spans="4:339" ht="13" x14ac:dyDescent="0.15">
      <c r="D665" s="12"/>
      <c r="E665" s="12"/>
      <c r="I665" s="12"/>
      <c r="J665" s="13"/>
      <c r="BF665" s="1"/>
      <c r="BG665" s="1"/>
      <c r="BH665" s="1"/>
      <c r="BI665" s="1"/>
      <c r="BK665" s="1"/>
      <c r="BL665" s="1"/>
      <c r="BM665" s="1"/>
      <c r="BN665" s="1"/>
      <c r="BO665" s="1"/>
      <c r="BP665" s="1"/>
      <c r="BQ665" s="1"/>
      <c r="BR665" s="1"/>
      <c r="CD665" s="1"/>
      <c r="CE665" s="1"/>
      <c r="CF665" s="1"/>
      <c r="CG665" s="1"/>
      <c r="CH665" s="1"/>
      <c r="CI665" s="1"/>
      <c r="CM665" s="2"/>
      <c r="CN665" s="1"/>
      <c r="CO665" s="1"/>
      <c r="CP665" s="1"/>
      <c r="CQ665" s="1"/>
      <c r="CR665" s="1"/>
      <c r="CS665" s="1"/>
      <c r="CT665" s="1"/>
      <c r="CU665" s="1"/>
      <c r="CV665" s="1"/>
      <c r="CW665" s="1"/>
      <c r="CX665" s="1"/>
      <c r="CY665" s="1"/>
      <c r="CZ665" s="1"/>
      <c r="DA665" s="1"/>
      <c r="DB665" s="1"/>
      <c r="DC665" s="1"/>
      <c r="DD665" s="1"/>
      <c r="DE665" s="1"/>
      <c r="DF665" s="1"/>
      <c r="DG665" s="1"/>
      <c r="DH665" s="1"/>
      <c r="DI665" s="1"/>
      <c r="DJ665" s="1"/>
      <c r="DK665" s="1"/>
      <c r="DM665" s="1"/>
      <c r="DR665" s="1"/>
      <c r="ED665" s="1"/>
      <c r="EF665" s="1"/>
      <c r="EK665" s="1"/>
      <c r="EL665" s="1"/>
      <c r="EM665" s="1"/>
      <c r="EN665" s="1"/>
      <c r="EQ665" s="1"/>
      <c r="ER665" s="1"/>
      <c r="ES665" s="1"/>
      <c r="EV665" s="1"/>
      <c r="EW665" s="1"/>
      <c r="EZ665" s="1"/>
      <c r="FA665" s="1"/>
      <c r="FD665" s="1"/>
      <c r="FJ665" s="1"/>
      <c r="FV665" s="1"/>
      <c r="FW665" s="1"/>
      <c r="FX665" s="1"/>
      <c r="GA665" s="1"/>
      <c r="GD665" s="1"/>
      <c r="GE665" s="1"/>
      <c r="GF665" s="1"/>
      <c r="GG665" s="1"/>
      <c r="GH665" s="1"/>
      <c r="GI665" s="1"/>
      <c r="GJ665" s="1"/>
      <c r="GK665" s="1"/>
      <c r="GL665" s="1"/>
      <c r="GM665" s="1"/>
      <c r="GN665" s="1"/>
      <c r="GO665" s="1"/>
      <c r="GP665" s="1"/>
      <c r="GY665" s="1"/>
      <c r="HF665" s="1"/>
      <c r="HY665" s="1"/>
      <c r="IE665" s="1"/>
      <c r="IR665" s="1"/>
      <c r="IS665" s="1"/>
      <c r="IZ665" s="1"/>
      <c r="JJ665" s="1"/>
      <c r="JP665" s="1"/>
      <c r="JQ665" s="1"/>
      <c r="KY665" s="1"/>
      <c r="KZ665" s="1"/>
      <c r="LA665" s="1"/>
      <c r="LB665" s="1"/>
      <c r="LC665" s="1"/>
      <c r="LD665" s="1"/>
      <c r="LO665" s="1"/>
      <c r="LP665" s="1"/>
      <c r="LZ665" s="1"/>
      <c r="MA665" s="1"/>
    </row>
    <row r="666" spans="4:339" ht="13" x14ac:dyDescent="0.15">
      <c r="D666" s="12"/>
      <c r="E666" s="12"/>
      <c r="I666" s="12"/>
      <c r="J666" s="13"/>
      <c r="BF666" s="1"/>
      <c r="BG666" s="1"/>
      <c r="BH666" s="1"/>
      <c r="BI666" s="1"/>
      <c r="BK666" s="1"/>
      <c r="BL666" s="1"/>
      <c r="BM666" s="1"/>
      <c r="BN666" s="1"/>
      <c r="BO666" s="1"/>
      <c r="BP666" s="1"/>
      <c r="BQ666" s="1"/>
      <c r="BR666" s="1"/>
      <c r="BX666" s="1"/>
      <c r="CD666" s="1"/>
      <c r="CE666" s="1"/>
      <c r="CF666" s="1"/>
      <c r="CG666" s="1"/>
      <c r="CH666" s="1"/>
      <c r="CI666" s="1"/>
      <c r="CM666" s="2"/>
      <c r="CN666" s="1"/>
      <c r="CO666" s="1"/>
      <c r="CP666" s="1"/>
      <c r="CQ666" s="1"/>
      <c r="CX666" s="1"/>
      <c r="CY666" s="1"/>
      <c r="CZ666" s="1"/>
      <c r="DA666" s="1"/>
      <c r="DB666" s="1"/>
      <c r="DC666" s="1"/>
      <c r="DD666" s="1"/>
      <c r="DE666" s="1"/>
      <c r="DF666" s="1"/>
      <c r="DG666" s="1"/>
      <c r="DH666" s="1"/>
      <c r="DI666" s="1"/>
      <c r="DJ666" s="1"/>
      <c r="DK666" s="1"/>
      <c r="DM666" s="1"/>
      <c r="DQ666" s="1"/>
      <c r="DR666" s="1"/>
      <c r="DY666" s="1"/>
      <c r="DZ666" s="1"/>
      <c r="ED666" s="1"/>
      <c r="EK666" s="1"/>
      <c r="EL666" s="1"/>
      <c r="EM666" s="1"/>
      <c r="EN666" s="1"/>
      <c r="EQ666" s="1"/>
      <c r="ER666" s="1"/>
      <c r="ES666" s="1"/>
      <c r="EV666" s="1"/>
      <c r="EW666" s="1"/>
      <c r="EZ666" s="1"/>
      <c r="FA666" s="1"/>
      <c r="FD666" s="1"/>
      <c r="FG666" s="1"/>
      <c r="FH666" s="1"/>
      <c r="FI666" s="1"/>
      <c r="FJ666" s="1"/>
      <c r="FL666" s="1"/>
      <c r="FM666" s="1"/>
      <c r="FN666" s="1"/>
      <c r="FO666" s="1"/>
      <c r="FP666" s="1"/>
      <c r="FS666" s="1"/>
      <c r="FT666" s="1"/>
      <c r="FU666" s="1"/>
      <c r="FV666" s="1"/>
      <c r="FW666" s="1"/>
      <c r="FX666" s="1"/>
      <c r="FY666" s="1"/>
      <c r="FZ666" s="1"/>
      <c r="GA666" s="1"/>
      <c r="GD666" s="1"/>
      <c r="GE666" s="1"/>
      <c r="GF666" s="1"/>
      <c r="GG666" s="1"/>
      <c r="GH666" s="1"/>
      <c r="GI666" s="1"/>
      <c r="GJ666" s="1"/>
      <c r="GM666" s="1"/>
      <c r="GN666" s="1"/>
      <c r="GP666" s="1"/>
      <c r="GR666" s="1"/>
      <c r="GV666" s="1"/>
      <c r="HF666" s="1"/>
      <c r="HH666" s="1"/>
      <c r="HN666" s="1"/>
      <c r="HR666" s="1"/>
      <c r="HS666" s="1"/>
      <c r="HT666" s="1"/>
      <c r="HY666" s="1"/>
      <c r="IE666" s="1"/>
      <c r="IR666" s="1"/>
      <c r="IS666" s="1"/>
      <c r="IZ666" s="1"/>
      <c r="JC666" s="1"/>
      <c r="JF666" s="1"/>
      <c r="JG666" s="1"/>
      <c r="JJ666" s="1"/>
      <c r="JN666" s="1"/>
      <c r="JP666" s="1"/>
      <c r="JQ666" s="1"/>
      <c r="LR666" s="1"/>
      <c r="LS666" s="1"/>
      <c r="LT666" s="1"/>
      <c r="LU666" s="1"/>
      <c r="LZ666" s="1"/>
      <c r="MA666" s="1"/>
    </row>
    <row r="667" spans="4:339" ht="13" x14ac:dyDescent="0.15">
      <c r="D667" s="12"/>
      <c r="E667" s="12"/>
      <c r="I667" s="12"/>
      <c r="J667" s="13"/>
      <c r="BF667" s="1"/>
      <c r="BG667" s="1"/>
      <c r="BH667" s="1"/>
      <c r="BI667" s="1"/>
      <c r="BK667" s="1"/>
      <c r="BL667" s="1"/>
      <c r="BM667" s="1"/>
      <c r="BN667" s="1"/>
      <c r="BO667" s="1"/>
      <c r="BP667" s="1"/>
      <c r="BQ667" s="1"/>
      <c r="BR667" s="1"/>
      <c r="CD667" s="1"/>
      <c r="CE667" s="1"/>
      <c r="CF667" s="1"/>
      <c r="CG667" s="1"/>
      <c r="CH667" s="1"/>
      <c r="CI667" s="1"/>
      <c r="CM667" s="2"/>
      <c r="CN667" s="1"/>
      <c r="CO667" s="1"/>
      <c r="CP667" s="1"/>
      <c r="CQ667" s="1"/>
      <c r="CS667" s="1"/>
      <c r="CT667" s="1"/>
      <c r="CU667" s="1"/>
      <c r="CV667" s="1"/>
      <c r="CW667" s="1"/>
      <c r="CX667" s="1"/>
      <c r="CY667" s="1"/>
      <c r="CZ667" s="1"/>
      <c r="DA667" s="1"/>
      <c r="DB667" s="1"/>
      <c r="DC667" s="1"/>
      <c r="DD667" s="1"/>
      <c r="DE667" s="1"/>
      <c r="DF667" s="1"/>
      <c r="DG667" s="1"/>
      <c r="DH667" s="1"/>
      <c r="DI667" s="1"/>
      <c r="DJ667" s="1"/>
      <c r="DK667" s="1"/>
      <c r="DQ667" s="1"/>
      <c r="DR667" s="1"/>
      <c r="DY667" s="1"/>
      <c r="DZ667" s="1"/>
      <c r="ED667" s="1"/>
      <c r="EK667" s="1"/>
      <c r="EL667" s="1"/>
      <c r="EM667" s="1"/>
      <c r="EN667" s="1"/>
      <c r="EQ667" s="1"/>
      <c r="ER667" s="1"/>
      <c r="ES667" s="1"/>
      <c r="EV667" s="1"/>
      <c r="EW667" s="1"/>
      <c r="EZ667" s="1"/>
      <c r="FA667" s="1"/>
      <c r="FD667" s="1"/>
      <c r="FG667" s="1"/>
      <c r="FH667" s="1"/>
      <c r="FI667" s="1"/>
      <c r="FJ667" s="1"/>
      <c r="FK667" s="1"/>
      <c r="FM667" s="1"/>
      <c r="FN667" s="1"/>
      <c r="FO667" s="1"/>
      <c r="FP667" s="1"/>
      <c r="FQ667" s="1"/>
      <c r="FR667" s="1"/>
      <c r="FS667" s="1"/>
      <c r="FT667" s="1"/>
      <c r="FU667" s="1"/>
      <c r="FV667" s="1"/>
      <c r="FW667" s="1"/>
      <c r="FX667" s="1"/>
      <c r="FY667" s="1"/>
      <c r="FZ667" s="1"/>
      <c r="GA667" s="1"/>
      <c r="GD667" s="1"/>
      <c r="GE667" s="1"/>
      <c r="GF667" s="1"/>
      <c r="GG667" s="1"/>
      <c r="GH667" s="1"/>
      <c r="GI667" s="1"/>
      <c r="GJ667" s="1"/>
      <c r="GK667" s="1"/>
      <c r="GL667" s="1"/>
      <c r="GM667" s="1"/>
      <c r="GN667" s="1"/>
      <c r="GO667" s="1"/>
      <c r="GP667" s="1"/>
      <c r="GR667" s="1"/>
      <c r="GV667" s="1"/>
      <c r="GY667" s="1"/>
      <c r="HF667" s="1"/>
      <c r="HN667" s="1"/>
      <c r="HT667" s="1"/>
      <c r="HY667" s="1"/>
      <c r="ID667" s="1"/>
      <c r="IE667" s="1"/>
      <c r="IR667" s="1"/>
      <c r="IS667" s="1"/>
      <c r="IY667" s="1"/>
      <c r="IZ667" s="1"/>
      <c r="JH667" s="1"/>
      <c r="JI667" s="1"/>
      <c r="JJ667" s="1"/>
      <c r="JN667" s="1"/>
      <c r="JP667" s="1"/>
      <c r="JQ667" s="1"/>
      <c r="KU667" s="1"/>
      <c r="KV667" s="1"/>
      <c r="KY667" s="1"/>
      <c r="KZ667" s="1"/>
      <c r="LA667" s="1"/>
      <c r="LB667" s="1"/>
      <c r="LC667" s="1"/>
      <c r="LD667" s="1"/>
      <c r="LO667" s="1"/>
      <c r="LP667" s="1"/>
      <c r="LZ667" s="1"/>
      <c r="MA667" s="1"/>
    </row>
    <row r="668" spans="4:339" ht="13" x14ac:dyDescent="0.15">
      <c r="D668" s="12"/>
      <c r="E668" s="12"/>
      <c r="I668" s="12"/>
      <c r="J668" s="13"/>
      <c r="BF668" s="1"/>
      <c r="BG668" s="1"/>
      <c r="BH668" s="1"/>
      <c r="BI668" s="1"/>
      <c r="BK668" s="1"/>
      <c r="BL668" s="1"/>
      <c r="BM668" s="1"/>
      <c r="BN668" s="1"/>
      <c r="BO668" s="1"/>
      <c r="BP668" s="1"/>
      <c r="BQ668" s="1"/>
      <c r="BR668" s="1"/>
      <c r="CD668" s="1"/>
      <c r="CE668" s="1"/>
      <c r="CF668" s="1"/>
      <c r="CG668" s="1"/>
      <c r="CH668" s="1"/>
      <c r="CI668" s="1"/>
      <c r="CM668" s="2"/>
      <c r="CN668" s="1"/>
      <c r="CO668" s="1"/>
      <c r="CP668" s="1"/>
      <c r="CQ668" s="1"/>
      <c r="CS668" s="1"/>
      <c r="CT668" s="1"/>
      <c r="CU668" s="1"/>
      <c r="CV668" s="1"/>
      <c r="CW668" s="1"/>
      <c r="CX668" s="1"/>
      <c r="CY668" s="1"/>
      <c r="CZ668" s="1"/>
      <c r="DA668" s="1"/>
      <c r="DB668" s="1"/>
      <c r="DC668" s="1"/>
      <c r="DD668" s="1"/>
      <c r="DE668" s="1"/>
      <c r="DF668" s="1"/>
      <c r="DG668" s="1"/>
      <c r="DH668" s="1"/>
      <c r="DI668" s="1"/>
      <c r="DJ668" s="1"/>
      <c r="DK668" s="1"/>
      <c r="DQ668" s="1"/>
      <c r="DR668" s="1"/>
      <c r="DY668" s="1"/>
      <c r="DZ668" s="1"/>
      <c r="ED668" s="1"/>
      <c r="EK668" s="1"/>
      <c r="EL668" s="1"/>
      <c r="EM668" s="1"/>
      <c r="EN668" s="1"/>
      <c r="EQ668" s="1"/>
      <c r="ER668" s="1"/>
      <c r="ES668" s="1"/>
      <c r="EV668" s="1"/>
      <c r="EW668" s="1"/>
      <c r="EZ668" s="1"/>
      <c r="FA668" s="1"/>
      <c r="FD668" s="1"/>
      <c r="FG668" s="1"/>
      <c r="FH668" s="1"/>
      <c r="FI668" s="1"/>
      <c r="FJ668" s="1"/>
      <c r="FK668" s="1"/>
      <c r="FM668" s="1"/>
      <c r="FN668" s="1"/>
      <c r="FO668" s="1"/>
      <c r="FP668" s="1"/>
      <c r="FQ668" s="1"/>
      <c r="FR668" s="1"/>
      <c r="FS668" s="1"/>
      <c r="FT668" s="1"/>
      <c r="FU668" s="1"/>
      <c r="FV668" s="1"/>
      <c r="FW668" s="1"/>
      <c r="FX668" s="1"/>
      <c r="FY668" s="1"/>
      <c r="FZ668" s="1"/>
      <c r="GA668" s="1"/>
      <c r="GD668" s="1"/>
      <c r="GE668" s="1"/>
      <c r="GF668" s="1"/>
      <c r="GG668" s="1"/>
      <c r="GH668" s="1"/>
      <c r="GI668" s="1"/>
      <c r="GJ668" s="1"/>
      <c r="GK668" s="1"/>
      <c r="GL668" s="1"/>
      <c r="GM668" s="1"/>
      <c r="GN668" s="1"/>
      <c r="GO668" s="1"/>
      <c r="GP668" s="1"/>
      <c r="GR668" s="1"/>
      <c r="GV668" s="1"/>
      <c r="GY668" s="1"/>
      <c r="HF668" s="1"/>
      <c r="HN668" s="1"/>
      <c r="HT668" s="1"/>
      <c r="HY668" s="1"/>
      <c r="ID668" s="1"/>
      <c r="IE668" s="1"/>
      <c r="IR668" s="1"/>
      <c r="IS668" s="1"/>
      <c r="IY668" s="1"/>
      <c r="IZ668" s="1"/>
      <c r="JH668" s="1"/>
      <c r="JI668" s="1"/>
      <c r="JJ668" s="1"/>
      <c r="JN668" s="1"/>
      <c r="JP668" s="1"/>
      <c r="JQ668" s="1"/>
      <c r="KU668" s="1"/>
      <c r="KV668" s="1"/>
      <c r="KY668" s="1"/>
      <c r="KZ668" s="1"/>
      <c r="LA668" s="1"/>
      <c r="LB668" s="1"/>
      <c r="LC668" s="1"/>
      <c r="LD668" s="1"/>
      <c r="LO668" s="1"/>
      <c r="LP668" s="1"/>
      <c r="LZ668" s="1"/>
      <c r="MA668" s="1"/>
    </row>
    <row r="669" spans="4:339" ht="13" x14ac:dyDescent="0.15">
      <c r="D669" s="12"/>
      <c r="E669" s="12"/>
      <c r="I669" s="12"/>
      <c r="J669" s="13"/>
      <c r="BF669" s="1"/>
      <c r="BG669" s="1"/>
      <c r="BH669" s="1"/>
      <c r="BI669" s="1"/>
      <c r="BK669" s="1"/>
      <c r="BL669" s="1"/>
      <c r="BM669" s="1"/>
      <c r="BN669" s="1"/>
      <c r="BO669" s="1"/>
      <c r="BP669" s="1"/>
      <c r="BQ669" s="1"/>
      <c r="BR669" s="1"/>
      <c r="CD669" s="1"/>
      <c r="CE669" s="1"/>
      <c r="CF669" s="1"/>
      <c r="CG669" s="1"/>
      <c r="CH669" s="1"/>
      <c r="CI669" s="1"/>
      <c r="CM669" s="2"/>
      <c r="CN669" s="1"/>
      <c r="CO669" s="1"/>
      <c r="CP669" s="1"/>
      <c r="CQ669" s="1"/>
      <c r="CS669" s="1"/>
      <c r="CT669" s="1"/>
      <c r="CU669" s="1"/>
      <c r="CV669" s="1"/>
      <c r="CW669" s="1"/>
      <c r="CX669" s="1"/>
      <c r="CY669" s="1"/>
      <c r="CZ669" s="1"/>
      <c r="DA669" s="1"/>
      <c r="DB669" s="1"/>
      <c r="DC669" s="1"/>
      <c r="DD669" s="1"/>
      <c r="DE669" s="1"/>
      <c r="DF669" s="1"/>
      <c r="DG669" s="1"/>
      <c r="DH669" s="1"/>
      <c r="DI669" s="1"/>
      <c r="DJ669" s="1"/>
      <c r="DK669" s="1"/>
      <c r="DQ669" s="1"/>
      <c r="DR669" s="1"/>
      <c r="DY669" s="1"/>
      <c r="DZ669" s="1"/>
      <c r="ED669" s="1"/>
      <c r="EK669" s="1"/>
      <c r="EL669" s="1"/>
      <c r="EM669" s="1"/>
      <c r="EN669" s="1"/>
      <c r="EQ669" s="1"/>
      <c r="ER669" s="1"/>
      <c r="ES669" s="1"/>
      <c r="EV669" s="1"/>
      <c r="EW669" s="1"/>
      <c r="EZ669" s="1"/>
      <c r="FA669" s="1"/>
      <c r="FD669" s="1"/>
      <c r="FG669" s="1"/>
      <c r="FH669" s="1"/>
      <c r="FI669" s="1"/>
      <c r="FJ669" s="1"/>
      <c r="FK669" s="1"/>
      <c r="FM669" s="1"/>
      <c r="FN669" s="1"/>
      <c r="FO669" s="1"/>
      <c r="FP669" s="1"/>
      <c r="FQ669" s="1"/>
      <c r="FR669" s="1"/>
      <c r="FS669" s="1"/>
      <c r="FT669" s="1"/>
      <c r="FU669" s="1"/>
      <c r="FV669" s="1"/>
      <c r="FW669" s="1"/>
      <c r="FX669" s="1"/>
      <c r="FY669" s="1"/>
      <c r="FZ669" s="1"/>
      <c r="GA669" s="1"/>
      <c r="GD669" s="1"/>
      <c r="GE669" s="1"/>
      <c r="GF669" s="1"/>
      <c r="GG669" s="1"/>
      <c r="GH669" s="1"/>
      <c r="GI669" s="1"/>
      <c r="GJ669" s="1"/>
      <c r="GK669" s="1"/>
      <c r="GL669" s="1"/>
      <c r="GM669" s="1"/>
      <c r="GN669" s="1"/>
      <c r="GO669" s="1"/>
      <c r="GP669" s="1"/>
      <c r="GR669" s="1"/>
      <c r="GV669" s="1"/>
      <c r="GY669" s="1"/>
      <c r="HF669" s="1"/>
      <c r="HN669" s="1"/>
      <c r="HT669" s="1"/>
      <c r="HY669" s="1"/>
      <c r="ID669" s="1"/>
      <c r="IE669" s="1"/>
      <c r="IR669" s="1"/>
      <c r="IS669" s="1"/>
      <c r="IY669" s="1"/>
      <c r="IZ669" s="1"/>
      <c r="JH669" s="1"/>
      <c r="JI669" s="1"/>
      <c r="JJ669" s="1"/>
      <c r="JN669" s="1"/>
      <c r="JP669" s="1"/>
      <c r="JQ669" s="1"/>
      <c r="KU669" s="1"/>
      <c r="KV669" s="1"/>
      <c r="KY669" s="1"/>
      <c r="KZ669" s="1"/>
      <c r="LA669" s="1"/>
      <c r="LB669" s="1"/>
      <c r="LC669" s="1"/>
      <c r="LD669" s="1"/>
      <c r="LO669" s="1"/>
      <c r="LP669" s="1"/>
      <c r="LZ669" s="1"/>
      <c r="MA669" s="1"/>
    </row>
    <row r="670" spans="4:339" ht="13" x14ac:dyDescent="0.15">
      <c r="D670" s="12"/>
      <c r="E670" s="12"/>
      <c r="I670" s="12"/>
      <c r="J670" s="13"/>
      <c r="BF670" s="1"/>
      <c r="BG670" s="1"/>
      <c r="BH670" s="1"/>
      <c r="BI670" s="1"/>
      <c r="BK670" s="1"/>
      <c r="BL670" s="1"/>
      <c r="BM670" s="1"/>
      <c r="BN670" s="1"/>
      <c r="BO670" s="1"/>
      <c r="BP670" s="1"/>
      <c r="BQ670" s="1"/>
      <c r="BR670" s="1"/>
      <c r="CD670" s="1"/>
      <c r="CE670" s="1"/>
      <c r="CF670" s="1"/>
      <c r="CG670" s="1"/>
      <c r="CH670" s="1"/>
      <c r="CI670" s="1"/>
      <c r="CM670" s="2"/>
      <c r="CN670" s="1"/>
      <c r="CO670" s="1"/>
      <c r="CP670" s="1"/>
      <c r="CQ670" s="1"/>
      <c r="CS670" s="1"/>
      <c r="CT670" s="1"/>
      <c r="CU670" s="1"/>
      <c r="CV670" s="1"/>
      <c r="CW670" s="1"/>
      <c r="CX670" s="1"/>
      <c r="CY670" s="1"/>
      <c r="CZ670" s="1"/>
      <c r="DA670" s="1"/>
      <c r="DB670" s="1"/>
      <c r="DC670" s="1"/>
      <c r="DD670" s="1"/>
      <c r="DE670" s="1"/>
      <c r="DF670" s="1"/>
      <c r="DG670" s="1"/>
      <c r="DH670" s="1"/>
      <c r="DI670" s="1"/>
      <c r="DJ670" s="1"/>
      <c r="DK670" s="1"/>
      <c r="DQ670" s="1"/>
      <c r="DR670" s="1"/>
      <c r="DY670" s="1"/>
      <c r="DZ670" s="1"/>
      <c r="ED670" s="1"/>
      <c r="EK670" s="1"/>
      <c r="EL670" s="1"/>
      <c r="EM670" s="1"/>
      <c r="EN670" s="1"/>
      <c r="EQ670" s="1"/>
      <c r="ER670" s="1"/>
      <c r="ES670" s="1"/>
      <c r="EV670" s="1"/>
      <c r="EW670" s="1"/>
      <c r="EZ670" s="1"/>
      <c r="FA670" s="1"/>
      <c r="FD670" s="1"/>
      <c r="FG670" s="1"/>
      <c r="FH670" s="1"/>
      <c r="FI670" s="1"/>
      <c r="FJ670" s="1"/>
      <c r="FK670" s="1"/>
      <c r="FM670" s="1"/>
      <c r="FN670" s="1"/>
      <c r="FO670" s="1"/>
      <c r="FP670" s="1"/>
      <c r="FQ670" s="1"/>
      <c r="FR670" s="1"/>
      <c r="FS670" s="1"/>
      <c r="FT670" s="1"/>
      <c r="FU670" s="1"/>
      <c r="FV670" s="1"/>
      <c r="FW670" s="1"/>
      <c r="FX670" s="1"/>
      <c r="FY670" s="1"/>
      <c r="FZ670" s="1"/>
      <c r="GA670" s="1"/>
      <c r="GD670" s="1"/>
      <c r="GE670" s="1"/>
      <c r="GF670" s="1"/>
      <c r="GG670" s="1"/>
      <c r="GH670" s="1"/>
      <c r="GI670" s="1"/>
      <c r="GJ670" s="1"/>
      <c r="GK670" s="1"/>
      <c r="GL670" s="1"/>
      <c r="GM670" s="1"/>
      <c r="GN670" s="1"/>
      <c r="GO670" s="1"/>
      <c r="GP670" s="1"/>
      <c r="GR670" s="1"/>
      <c r="GV670" s="1"/>
      <c r="GY670" s="1"/>
      <c r="HF670" s="1"/>
      <c r="HN670" s="1"/>
      <c r="HT670" s="1"/>
      <c r="HY670" s="1"/>
      <c r="ID670" s="1"/>
      <c r="IE670" s="1"/>
      <c r="IR670" s="1"/>
      <c r="IS670" s="1"/>
      <c r="IY670" s="1"/>
      <c r="IZ670" s="1"/>
      <c r="JH670" s="1"/>
      <c r="JI670" s="1"/>
      <c r="JJ670" s="1"/>
      <c r="JN670" s="1"/>
      <c r="JP670" s="1"/>
      <c r="JQ670" s="1"/>
      <c r="KU670" s="1"/>
      <c r="KV670" s="1"/>
      <c r="KY670" s="1"/>
      <c r="KZ670" s="1"/>
      <c r="LA670" s="1"/>
      <c r="LB670" s="1"/>
      <c r="LC670" s="1"/>
      <c r="LD670" s="1"/>
      <c r="LO670" s="1"/>
      <c r="LP670" s="1"/>
      <c r="LZ670" s="1"/>
      <c r="MA670" s="1"/>
    </row>
    <row r="671" spans="4:339" ht="13" x14ac:dyDescent="0.15">
      <c r="D671" s="12"/>
      <c r="E671" s="12"/>
      <c r="I671" s="12"/>
      <c r="J671" s="13"/>
      <c r="BF671" s="1"/>
      <c r="BG671" s="1"/>
      <c r="BH671" s="1"/>
      <c r="BI671" s="1"/>
      <c r="BK671" s="1"/>
      <c r="BL671" s="1"/>
      <c r="BM671" s="1"/>
      <c r="BN671" s="1"/>
      <c r="BO671" s="1"/>
      <c r="BP671" s="1"/>
      <c r="BQ671" s="1"/>
      <c r="BR671" s="1"/>
      <c r="CD671" s="1"/>
      <c r="CE671" s="1"/>
      <c r="CF671" s="1"/>
      <c r="CG671" s="1"/>
      <c r="CH671" s="1"/>
      <c r="CI671" s="1"/>
      <c r="CM671" s="2"/>
      <c r="CN671" s="1"/>
      <c r="CO671" s="1"/>
      <c r="CP671" s="1"/>
      <c r="CQ671" s="1"/>
      <c r="CS671" s="1"/>
      <c r="CT671" s="1"/>
      <c r="CU671" s="1"/>
      <c r="CV671" s="1"/>
      <c r="CW671" s="1"/>
      <c r="CX671" s="1"/>
      <c r="CY671" s="1"/>
      <c r="CZ671" s="1"/>
      <c r="DA671" s="1"/>
      <c r="DB671" s="1"/>
      <c r="DC671" s="1"/>
      <c r="DD671" s="1"/>
      <c r="DE671" s="1"/>
      <c r="DF671" s="1"/>
      <c r="DG671" s="1"/>
      <c r="DH671" s="1"/>
      <c r="DI671" s="1"/>
      <c r="DJ671" s="1"/>
      <c r="DK671" s="1"/>
      <c r="DQ671" s="1"/>
      <c r="DR671" s="1"/>
      <c r="DY671" s="1"/>
      <c r="DZ671" s="1"/>
      <c r="ED671" s="1"/>
      <c r="EK671" s="1"/>
      <c r="EL671" s="1"/>
      <c r="EM671" s="1"/>
      <c r="EN671" s="1"/>
      <c r="EQ671" s="1"/>
      <c r="ER671" s="1"/>
      <c r="ES671" s="1"/>
      <c r="EV671" s="1"/>
      <c r="EW671" s="1"/>
      <c r="EZ671" s="1"/>
      <c r="FA671" s="1"/>
      <c r="FD671" s="1"/>
      <c r="FG671" s="1"/>
      <c r="FH671" s="1"/>
      <c r="FI671" s="1"/>
      <c r="FJ671" s="1"/>
      <c r="FK671" s="1"/>
      <c r="FM671" s="1"/>
      <c r="FN671" s="1"/>
      <c r="FO671" s="1"/>
      <c r="FP671" s="1"/>
      <c r="FQ671" s="1"/>
      <c r="FR671" s="1"/>
      <c r="FS671" s="1"/>
      <c r="FT671" s="1"/>
      <c r="FU671" s="1"/>
      <c r="FV671" s="1"/>
      <c r="FW671" s="1"/>
      <c r="FX671" s="1"/>
      <c r="FY671" s="1"/>
      <c r="FZ671" s="1"/>
      <c r="GA671" s="1"/>
      <c r="GD671" s="1"/>
      <c r="GE671" s="1"/>
      <c r="GF671" s="1"/>
      <c r="GG671" s="1"/>
      <c r="GH671" s="1"/>
      <c r="GI671" s="1"/>
      <c r="GJ671" s="1"/>
      <c r="GK671" s="1"/>
      <c r="GL671" s="1"/>
      <c r="GM671" s="1"/>
      <c r="GN671" s="1"/>
      <c r="GO671" s="1"/>
      <c r="GP671" s="1"/>
      <c r="GR671" s="1"/>
      <c r="GV671" s="1"/>
      <c r="GY671" s="1"/>
      <c r="HF671" s="1"/>
      <c r="HN671" s="1"/>
      <c r="HT671" s="1"/>
      <c r="HY671" s="1"/>
      <c r="ID671" s="1"/>
      <c r="IE671" s="1"/>
      <c r="IR671" s="1"/>
      <c r="IS671" s="1"/>
      <c r="IY671" s="1"/>
      <c r="IZ671" s="1"/>
      <c r="JH671" s="1"/>
      <c r="JI671" s="1"/>
      <c r="JJ671" s="1"/>
      <c r="JN671" s="1"/>
      <c r="JP671" s="1"/>
      <c r="JQ671" s="1"/>
      <c r="KU671" s="1"/>
      <c r="KV671" s="1"/>
      <c r="KY671" s="1"/>
      <c r="KZ671" s="1"/>
      <c r="LA671" s="1"/>
      <c r="LB671" s="1"/>
      <c r="LC671" s="1"/>
      <c r="LD671" s="1"/>
      <c r="LO671" s="1"/>
      <c r="LP671" s="1"/>
      <c r="LZ671" s="1"/>
      <c r="MA671" s="1"/>
    </row>
    <row r="672" spans="4:339" ht="13" x14ac:dyDescent="0.15">
      <c r="D672" s="12"/>
      <c r="E672" s="12"/>
      <c r="I672" s="12"/>
      <c r="J672" s="13"/>
      <c r="BF672" s="1"/>
      <c r="BG672" s="1"/>
      <c r="BH672" s="1"/>
      <c r="BI672" s="1"/>
      <c r="BK672" s="1"/>
      <c r="BL672" s="1"/>
      <c r="BM672" s="1"/>
      <c r="BN672" s="1"/>
      <c r="BO672" s="1"/>
      <c r="BP672" s="1"/>
      <c r="BQ672" s="1"/>
      <c r="BR672" s="1"/>
      <c r="CD672" s="1"/>
      <c r="CE672" s="1"/>
      <c r="CF672" s="1"/>
      <c r="CG672" s="1"/>
      <c r="CH672" s="1"/>
      <c r="CI672" s="1"/>
      <c r="CM672" s="2"/>
      <c r="CN672" s="1"/>
      <c r="CO672" s="1"/>
      <c r="CP672" s="1"/>
      <c r="CQ672" s="1"/>
      <c r="CS672" s="1"/>
      <c r="CT672" s="1"/>
      <c r="CU672" s="1"/>
      <c r="CV672" s="1"/>
      <c r="CW672" s="1"/>
      <c r="CX672" s="1"/>
      <c r="CY672" s="1"/>
      <c r="CZ672" s="1"/>
      <c r="DA672" s="1"/>
      <c r="DB672" s="1"/>
      <c r="DC672" s="1"/>
      <c r="DD672" s="1"/>
      <c r="DE672" s="1"/>
      <c r="DF672" s="1"/>
      <c r="DG672" s="1"/>
      <c r="DH672" s="1"/>
      <c r="DI672" s="1"/>
      <c r="DJ672" s="1"/>
      <c r="DK672" s="1"/>
      <c r="DQ672" s="1"/>
      <c r="DR672" s="1"/>
      <c r="DY672" s="1"/>
      <c r="DZ672" s="1"/>
      <c r="ED672" s="1"/>
      <c r="EK672" s="1"/>
      <c r="EL672" s="1"/>
      <c r="EM672" s="1"/>
      <c r="EN672" s="1"/>
      <c r="EQ672" s="1"/>
      <c r="ER672" s="1"/>
      <c r="ES672" s="1"/>
      <c r="EV672" s="1"/>
      <c r="EW672" s="1"/>
      <c r="EZ672" s="1"/>
      <c r="FA672" s="1"/>
      <c r="FD672" s="1"/>
      <c r="FG672" s="1"/>
      <c r="FH672" s="1"/>
      <c r="FI672" s="1"/>
      <c r="FJ672" s="1"/>
      <c r="FK672" s="1"/>
      <c r="FM672" s="1"/>
      <c r="FN672" s="1"/>
      <c r="FO672" s="1"/>
      <c r="FP672" s="1"/>
      <c r="FQ672" s="1"/>
      <c r="FR672" s="1"/>
      <c r="FS672" s="1"/>
      <c r="FT672" s="1"/>
      <c r="FU672" s="1"/>
      <c r="FV672" s="1"/>
      <c r="FW672" s="1"/>
      <c r="FX672" s="1"/>
      <c r="FY672" s="1"/>
      <c r="FZ672" s="1"/>
      <c r="GA672" s="1"/>
      <c r="GD672" s="1"/>
      <c r="GE672" s="1"/>
      <c r="GF672" s="1"/>
      <c r="GG672" s="1"/>
      <c r="GH672" s="1"/>
      <c r="GI672" s="1"/>
      <c r="GJ672" s="1"/>
      <c r="GK672" s="1"/>
      <c r="GL672" s="1"/>
      <c r="GM672" s="1"/>
      <c r="GN672" s="1"/>
      <c r="GO672" s="1"/>
      <c r="GP672" s="1"/>
      <c r="GR672" s="1"/>
      <c r="GV672" s="1"/>
      <c r="GY672" s="1"/>
      <c r="HF672" s="1"/>
      <c r="HN672" s="1"/>
      <c r="HT672" s="1"/>
      <c r="HY672" s="1"/>
      <c r="ID672" s="1"/>
      <c r="IE672" s="1"/>
      <c r="IR672" s="1"/>
      <c r="IS672" s="1"/>
      <c r="IY672" s="1"/>
      <c r="IZ672" s="1"/>
      <c r="JH672" s="1"/>
      <c r="JI672" s="1"/>
      <c r="JJ672" s="1"/>
      <c r="JN672" s="1"/>
      <c r="JP672" s="1"/>
      <c r="JQ672" s="1"/>
      <c r="KU672" s="1"/>
      <c r="KV672" s="1"/>
      <c r="KY672" s="1"/>
      <c r="KZ672" s="1"/>
      <c r="LA672" s="1"/>
      <c r="LB672" s="1"/>
      <c r="LC672" s="1"/>
      <c r="LD672" s="1"/>
      <c r="LO672" s="1"/>
      <c r="LP672" s="1"/>
      <c r="LZ672" s="1"/>
      <c r="MA672" s="1"/>
    </row>
    <row r="673" spans="4:339" ht="13" x14ac:dyDescent="0.15">
      <c r="D673" s="12"/>
      <c r="E673" s="12"/>
      <c r="I673" s="12"/>
      <c r="J673" s="13"/>
      <c r="BF673" s="1"/>
      <c r="BG673" s="1"/>
      <c r="BH673" s="1"/>
      <c r="BI673" s="1"/>
      <c r="BK673" s="1"/>
      <c r="BL673" s="1"/>
      <c r="BM673" s="1"/>
      <c r="BN673" s="1"/>
      <c r="BO673" s="1"/>
      <c r="BP673" s="1"/>
      <c r="BQ673" s="1"/>
      <c r="BR673" s="1"/>
      <c r="CD673" s="1"/>
      <c r="CE673" s="1"/>
      <c r="CF673" s="1"/>
      <c r="CG673" s="1"/>
      <c r="CH673" s="1"/>
      <c r="CI673" s="1"/>
      <c r="CM673" s="2"/>
      <c r="CN673" s="1"/>
      <c r="CO673" s="1"/>
      <c r="CP673" s="1"/>
      <c r="CQ673" s="1"/>
      <c r="CS673" s="1"/>
      <c r="CT673" s="1"/>
      <c r="CU673" s="1"/>
      <c r="CV673" s="1"/>
      <c r="CW673" s="1"/>
      <c r="CX673" s="1"/>
      <c r="CY673" s="1"/>
      <c r="CZ673" s="1"/>
      <c r="DA673" s="1"/>
      <c r="DB673" s="1"/>
      <c r="DC673" s="1"/>
      <c r="DD673" s="1"/>
      <c r="DE673" s="1"/>
      <c r="DF673" s="1"/>
      <c r="DG673" s="1"/>
      <c r="DH673" s="1"/>
      <c r="DI673" s="1"/>
      <c r="DJ673" s="1"/>
      <c r="DK673" s="1"/>
      <c r="DQ673" s="1"/>
      <c r="DR673" s="1"/>
      <c r="DY673" s="1"/>
      <c r="DZ673" s="1"/>
      <c r="ED673" s="1"/>
      <c r="EK673" s="1"/>
      <c r="EL673" s="1"/>
      <c r="EM673" s="1"/>
      <c r="EN673" s="1"/>
      <c r="EQ673" s="1"/>
      <c r="ER673" s="1"/>
      <c r="ES673" s="1"/>
      <c r="EV673" s="1"/>
      <c r="EW673" s="1"/>
      <c r="EZ673" s="1"/>
      <c r="FA673" s="1"/>
      <c r="FD673" s="1"/>
      <c r="FG673" s="1"/>
      <c r="FH673" s="1"/>
      <c r="FI673" s="1"/>
      <c r="FJ673" s="1"/>
      <c r="FK673" s="1"/>
      <c r="FM673" s="1"/>
      <c r="FN673" s="1"/>
      <c r="FO673" s="1"/>
      <c r="FP673" s="1"/>
      <c r="FQ673" s="1"/>
      <c r="FR673" s="1"/>
      <c r="FS673" s="1"/>
      <c r="FT673" s="1"/>
      <c r="FU673" s="1"/>
      <c r="FV673" s="1"/>
      <c r="FW673" s="1"/>
      <c r="FX673" s="1"/>
      <c r="FY673" s="1"/>
      <c r="FZ673" s="1"/>
      <c r="GA673" s="1"/>
      <c r="GD673" s="1"/>
      <c r="GE673" s="1"/>
      <c r="GF673" s="1"/>
      <c r="GG673" s="1"/>
      <c r="GH673" s="1"/>
      <c r="GI673" s="1"/>
      <c r="GJ673" s="1"/>
      <c r="GK673" s="1"/>
      <c r="GL673" s="1"/>
      <c r="GM673" s="1"/>
      <c r="GN673" s="1"/>
      <c r="GO673" s="1"/>
      <c r="GP673" s="1"/>
      <c r="GR673" s="1"/>
      <c r="GV673" s="1"/>
      <c r="GY673" s="1"/>
      <c r="HF673" s="1"/>
      <c r="HN673" s="1"/>
      <c r="HT673" s="1"/>
      <c r="HY673" s="1"/>
      <c r="ID673" s="1"/>
      <c r="IE673" s="1"/>
      <c r="IR673" s="1"/>
      <c r="IS673" s="1"/>
      <c r="IY673" s="1"/>
      <c r="IZ673" s="1"/>
      <c r="JH673" s="1"/>
      <c r="JI673" s="1"/>
      <c r="JJ673" s="1"/>
      <c r="JN673" s="1"/>
      <c r="JP673" s="1"/>
      <c r="JQ673" s="1"/>
      <c r="KU673" s="1"/>
      <c r="KV673" s="1"/>
      <c r="KY673" s="1"/>
      <c r="KZ673" s="1"/>
      <c r="LA673" s="1"/>
      <c r="LB673" s="1"/>
      <c r="LC673" s="1"/>
      <c r="LD673" s="1"/>
      <c r="LO673" s="1"/>
      <c r="LP673" s="1"/>
      <c r="LZ673" s="1"/>
      <c r="MA673" s="1"/>
    </row>
    <row r="674" spans="4:339" ht="13" x14ac:dyDescent="0.15">
      <c r="D674" s="12"/>
      <c r="E674" s="12"/>
      <c r="I674" s="12"/>
      <c r="J674" s="13"/>
      <c r="BF674" s="1"/>
      <c r="BG674" s="1"/>
      <c r="BH674" s="1"/>
      <c r="BI674" s="1"/>
      <c r="BK674" s="1"/>
      <c r="BL674" s="1"/>
      <c r="BM674" s="1"/>
      <c r="BN674" s="1"/>
      <c r="BO674" s="1"/>
      <c r="BP674" s="1"/>
      <c r="BQ674" s="1"/>
      <c r="BR674" s="1"/>
      <c r="CD674" s="1"/>
      <c r="CE674" s="1"/>
      <c r="CF674" s="1"/>
      <c r="CG674" s="1"/>
      <c r="CH674" s="1"/>
      <c r="CI674" s="1"/>
      <c r="CM674" s="2"/>
      <c r="CN674" s="1"/>
      <c r="CO674" s="1"/>
      <c r="CP674" s="1"/>
      <c r="CQ674" s="1"/>
      <c r="CS674" s="1"/>
      <c r="CT674" s="1"/>
      <c r="CU674" s="1"/>
      <c r="CV674" s="1"/>
      <c r="CW674" s="1"/>
      <c r="CX674" s="1"/>
      <c r="CY674" s="1"/>
      <c r="CZ674" s="1"/>
      <c r="DA674" s="1"/>
      <c r="DB674" s="1"/>
      <c r="DC674" s="1"/>
      <c r="DD674" s="1"/>
      <c r="DE674" s="1"/>
      <c r="DF674" s="1"/>
      <c r="DG674" s="1"/>
      <c r="DH674" s="1"/>
      <c r="DI674" s="1"/>
      <c r="DJ674" s="1"/>
      <c r="DK674" s="1"/>
      <c r="DQ674" s="1"/>
      <c r="DR674" s="1"/>
      <c r="DY674" s="1"/>
      <c r="DZ674" s="1"/>
      <c r="ED674" s="1"/>
      <c r="EK674" s="1"/>
      <c r="EL674" s="1"/>
      <c r="EM674" s="1"/>
      <c r="EN674" s="1"/>
      <c r="EQ674" s="1"/>
      <c r="ER674" s="1"/>
      <c r="ES674" s="1"/>
      <c r="EV674" s="1"/>
      <c r="EW674" s="1"/>
      <c r="EZ674" s="1"/>
      <c r="FA674" s="1"/>
      <c r="FD674" s="1"/>
      <c r="FG674" s="1"/>
      <c r="FH674" s="1"/>
      <c r="FI674" s="1"/>
      <c r="FJ674" s="1"/>
      <c r="FK674" s="1"/>
      <c r="FM674" s="1"/>
      <c r="FN674" s="1"/>
      <c r="FO674" s="1"/>
      <c r="FP674" s="1"/>
      <c r="FQ674" s="1"/>
      <c r="FR674" s="1"/>
      <c r="FS674" s="1"/>
      <c r="FT674" s="1"/>
      <c r="FU674" s="1"/>
      <c r="FV674" s="1"/>
      <c r="FW674" s="1"/>
      <c r="FX674" s="1"/>
      <c r="FY674" s="1"/>
      <c r="FZ674" s="1"/>
      <c r="GA674" s="1"/>
      <c r="GD674" s="1"/>
      <c r="GE674" s="1"/>
      <c r="GF674" s="1"/>
      <c r="GG674" s="1"/>
      <c r="GH674" s="1"/>
      <c r="GI674" s="1"/>
      <c r="GJ674" s="1"/>
      <c r="GK674" s="1"/>
      <c r="GL674" s="1"/>
      <c r="GM674" s="1"/>
      <c r="GN674" s="1"/>
      <c r="GO674" s="1"/>
      <c r="GP674" s="1"/>
      <c r="GR674" s="1"/>
      <c r="GV674" s="1"/>
      <c r="GY674" s="1"/>
      <c r="HF674" s="1"/>
      <c r="HN674" s="1"/>
      <c r="HT674" s="1"/>
      <c r="HY674" s="1"/>
      <c r="ID674" s="1"/>
      <c r="IE674" s="1"/>
      <c r="IR674" s="1"/>
      <c r="IS674" s="1"/>
      <c r="IY674" s="1"/>
      <c r="IZ674" s="1"/>
      <c r="JH674" s="1"/>
      <c r="JI674" s="1"/>
      <c r="JJ674" s="1"/>
      <c r="JN674" s="1"/>
      <c r="JP674" s="1"/>
      <c r="JQ674" s="1"/>
      <c r="KU674" s="1"/>
      <c r="KV674" s="1"/>
      <c r="KY674" s="1"/>
      <c r="KZ674" s="1"/>
      <c r="LA674" s="1"/>
      <c r="LB674" s="1"/>
      <c r="LC674" s="1"/>
      <c r="LD674" s="1"/>
      <c r="LO674" s="1"/>
      <c r="LP674" s="1"/>
      <c r="LZ674" s="1"/>
      <c r="MA674" s="1"/>
    </row>
    <row r="675" spans="4:339" ht="13" x14ac:dyDescent="0.15">
      <c r="D675" s="12"/>
      <c r="E675" s="12"/>
      <c r="I675" s="12"/>
      <c r="J675" s="13"/>
      <c r="BF675" s="1"/>
      <c r="BG675" s="1"/>
      <c r="BH675" s="1"/>
      <c r="BI675" s="1"/>
      <c r="BK675" s="1"/>
      <c r="BL675" s="1"/>
      <c r="BM675" s="1"/>
      <c r="BN675" s="1"/>
      <c r="BO675" s="1"/>
      <c r="BP675" s="1"/>
      <c r="BQ675" s="1"/>
      <c r="BR675" s="1"/>
      <c r="CD675" s="1"/>
      <c r="CE675" s="1"/>
      <c r="CF675" s="1"/>
      <c r="CG675" s="1"/>
      <c r="CH675" s="1"/>
      <c r="CI675" s="1"/>
      <c r="CM675" s="2"/>
      <c r="CN675" s="1"/>
      <c r="CO675" s="1"/>
      <c r="CP675" s="1"/>
      <c r="CQ675" s="1"/>
      <c r="CS675" s="1"/>
      <c r="CT675" s="1"/>
      <c r="CU675" s="1"/>
      <c r="CV675" s="1"/>
      <c r="CW675" s="1"/>
      <c r="CX675" s="1"/>
      <c r="CY675" s="1"/>
      <c r="CZ675" s="1"/>
      <c r="DA675" s="1"/>
      <c r="DB675" s="1"/>
      <c r="DC675" s="1"/>
      <c r="DD675" s="1"/>
      <c r="DE675" s="1"/>
      <c r="DF675" s="1"/>
      <c r="DG675" s="1"/>
      <c r="DH675" s="1"/>
      <c r="DI675" s="1"/>
      <c r="DJ675" s="1"/>
      <c r="DK675" s="1"/>
      <c r="DQ675" s="1"/>
      <c r="DR675" s="1"/>
      <c r="DY675" s="1"/>
      <c r="DZ675" s="1"/>
      <c r="ED675" s="1"/>
      <c r="EK675" s="1"/>
      <c r="EL675" s="1"/>
      <c r="EM675" s="1"/>
      <c r="EN675" s="1"/>
      <c r="EQ675" s="1"/>
      <c r="ER675" s="1"/>
      <c r="ES675" s="1"/>
      <c r="EV675" s="1"/>
      <c r="EW675" s="1"/>
      <c r="EZ675" s="1"/>
      <c r="FA675" s="1"/>
      <c r="FD675" s="1"/>
      <c r="FG675" s="1"/>
      <c r="FH675" s="1"/>
      <c r="FI675" s="1"/>
      <c r="FJ675" s="1"/>
      <c r="FK675" s="1"/>
      <c r="FM675" s="1"/>
      <c r="FN675" s="1"/>
      <c r="FO675" s="1"/>
      <c r="FP675" s="1"/>
      <c r="FQ675" s="1"/>
      <c r="FR675" s="1"/>
      <c r="FS675" s="1"/>
      <c r="FT675" s="1"/>
      <c r="FU675" s="1"/>
      <c r="FV675" s="1"/>
      <c r="FW675" s="1"/>
      <c r="FX675" s="1"/>
      <c r="FY675" s="1"/>
      <c r="FZ675" s="1"/>
      <c r="GA675" s="1"/>
      <c r="GD675" s="1"/>
      <c r="GE675" s="1"/>
      <c r="GF675" s="1"/>
      <c r="GG675" s="1"/>
      <c r="GH675" s="1"/>
      <c r="GI675" s="1"/>
      <c r="GJ675" s="1"/>
      <c r="GK675" s="1"/>
      <c r="GL675" s="1"/>
      <c r="GM675" s="1"/>
      <c r="GN675" s="1"/>
      <c r="GO675" s="1"/>
      <c r="GP675" s="1"/>
      <c r="GR675" s="1"/>
      <c r="GV675" s="1"/>
      <c r="GY675" s="1"/>
      <c r="HF675" s="1"/>
      <c r="HN675" s="1"/>
      <c r="HT675" s="1"/>
      <c r="HY675" s="1"/>
      <c r="ID675" s="1"/>
      <c r="IE675" s="1"/>
      <c r="IR675" s="1"/>
      <c r="IS675" s="1"/>
      <c r="IY675" s="1"/>
      <c r="IZ675" s="1"/>
      <c r="JH675" s="1"/>
      <c r="JI675" s="1"/>
      <c r="JJ675" s="1"/>
      <c r="JN675" s="1"/>
      <c r="JP675" s="1"/>
      <c r="JQ675" s="1"/>
      <c r="KU675" s="1"/>
      <c r="KV675" s="1"/>
      <c r="KY675" s="1"/>
      <c r="KZ675" s="1"/>
      <c r="LA675" s="1"/>
      <c r="LB675" s="1"/>
      <c r="LC675" s="1"/>
      <c r="LD675" s="1"/>
      <c r="LO675" s="1"/>
      <c r="LP675" s="1"/>
      <c r="LZ675" s="1"/>
      <c r="MA675" s="1"/>
    </row>
    <row r="676" spans="4:339" ht="13" x14ac:dyDescent="0.15">
      <c r="D676" s="12"/>
      <c r="E676" s="12"/>
      <c r="I676" s="12"/>
      <c r="J676" s="13"/>
      <c r="BF676" s="1"/>
      <c r="BG676" s="1"/>
      <c r="BH676" s="1"/>
      <c r="BI676" s="1"/>
      <c r="BK676" s="1"/>
      <c r="BL676" s="1"/>
      <c r="BM676" s="1"/>
      <c r="BN676" s="1"/>
      <c r="BO676" s="1"/>
      <c r="BP676" s="1"/>
      <c r="BQ676" s="1"/>
      <c r="BR676" s="1"/>
      <c r="CD676" s="1"/>
      <c r="CE676" s="1"/>
      <c r="CF676" s="1"/>
      <c r="CG676" s="1"/>
      <c r="CH676" s="1"/>
      <c r="CI676" s="1"/>
      <c r="CM676" s="2"/>
      <c r="CN676" s="1"/>
      <c r="CO676" s="1"/>
      <c r="CP676" s="1"/>
      <c r="CQ676" s="1"/>
      <c r="CS676" s="1"/>
      <c r="CT676" s="1"/>
      <c r="CU676" s="1"/>
      <c r="CV676" s="1"/>
      <c r="CW676" s="1"/>
      <c r="CX676" s="1"/>
      <c r="CY676" s="1"/>
      <c r="CZ676" s="1"/>
      <c r="DA676" s="1"/>
      <c r="DB676" s="1"/>
      <c r="DC676" s="1"/>
      <c r="DD676" s="1"/>
      <c r="DE676" s="1"/>
      <c r="DF676" s="1"/>
      <c r="DG676" s="1"/>
      <c r="DH676" s="1"/>
      <c r="DI676" s="1"/>
      <c r="DJ676" s="1"/>
      <c r="DK676" s="1"/>
      <c r="DQ676" s="1"/>
      <c r="DR676" s="1"/>
      <c r="DY676" s="1"/>
      <c r="DZ676" s="1"/>
      <c r="ED676" s="1"/>
      <c r="EK676" s="1"/>
      <c r="EL676" s="1"/>
      <c r="EM676" s="1"/>
      <c r="EN676" s="1"/>
      <c r="EQ676" s="1"/>
      <c r="ER676" s="1"/>
      <c r="ES676" s="1"/>
      <c r="EV676" s="1"/>
      <c r="EW676" s="1"/>
      <c r="EZ676" s="1"/>
      <c r="FA676" s="1"/>
      <c r="FD676" s="1"/>
      <c r="FG676" s="1"/>
      <c r="FH676" s="1"/>
      <c r="FI676" s="1"/>
      <c r="FJ676" s="1"/>
      <c r="FK676" s="1"/>
      <c r="FM676" s="1"/>
      <c r="FN676" s="1"/>
      <c r="FO676" s="1"/>
      <c r="FP676" s="1"/>
      <c r="FQ676" s="1"/>
      <c r="FR676" s="1"/>
      <c r="FS676" s="1"/>
      <c r="FT676" s="1"/>
      <c r="FU676" s="1"/>
      <c r="FV676" s="1"/>
      <c r="FW676" s="1"/>
      <c r="FX676" s="1"/>
      <c r="FY676" s="1"/>
      <c r="FZ676" s="1"/>
      <c r="GA676" s="1"/>
      <c r="GD676" s="1"/>
      <c r="GE676" s="1"/>
      <c r="GF676" s="1"/>
      <c r="GG676" s="1"/>
      <c r="GH676" s="1"/>
      <c r="GI676" s="1"/>
      <c r="GJ676" s="1"/>
      <c r="GK676" s="1"/>
      <c r="GL676" s="1"/>
      <c r="GM676" s="1"/>
      <c r="GN676" s="1"/>
      <c r="GO676" s="1"/>
      <c r="GP676" s="1"/>
      <c r="GR676" s="1"/>
      <c r="GV676" s="1"/>
      <c r="GY676" s="1"/>
      <c r="HF676" s="1"/>
      <c r="HN676" s="1"/>
      <c r="HT676" s="1"/>
      <c r="HY676" s="1"/>
      <c r="ID676" s="1"/>
      <c r="IE676" s="1"/>
      <c r="IR676" s="1"/>
      <c r="IS676" s="1"/>
      <c r="IY676" s="1"/>
      <c r="IZ676" s="1"/>
      <c r="JH676" s="1"/>
      <c r="JI676" s="1"/>
      <c r="JJ676" s="1"/>
      <c r="JN676" s="1"/>
      <c r="JP676" s="1"/>
      <c r="JQ676" s="1"/>
      <c r="KU676" s="1"/>
      <c r="KV676" s="1"/>
      <c r="KY676" s="1"/>
      <c r="KZ676" s="1"/>
      <c r="LA676" s="1"/>
      <c r="LB676" s="1"/>
      <c r="LC676" s="1"/>
      <c r="LD676" s="1"/>
      <c r="LO676" s="1"/>
      <c r="LP676" s="1"/>
      <c r="LZ676" s="1"/>
      <c r="MA676" s="1"/>
    </row>
    <row r="677" spans="4:339" ht="13" x14ac:dyDescent="0.15">
      <c r="D677" s="12"/>
      <c r="E677" s="12"/>
      <c r="I677" s="12"/>
      <c r="J677" s="13"/>
      <c r="BF677" s="1"/>
      <c r="BG677" s="1"/>
      <c r="BH677" s="1"/>
      <c r="BI677" s="1"/>
      <c r="BK677" s="1"/>
      <c r="BL677" s="1"/>
      <c r="BM677" s="1"/>
      <c r="BN677" s="1"/>
      <c r="BO677" s="1"/>
      <c r="BP677" s="1"/>
      <c r="BQ677" s="1"/>
      <c r="BR677" s="1"/>
      <c r="CD677" s="1"/>
      <c r="CE677" s="1"/>
      <c r="CF677" s="1"/>
      <c r="CG677" s="1"/>
      <c r="CH677" s="1"/>
      <c r="CI677" s="1"/>
      <c r="CM677" s="2"/>
      <c r="CN677" s="1"/>
      <c r="CO677" s="1"/>
      <c r="CP677" s="1"/>
      <c r="CQ677" s="1"/>
      <c r="CS677" s="1"/>
      <c r="CT677" s="1"/>
      <c r="CU677" s="1"/>
      <c r="CV677" s="1"/>
      <c r="CW677" s="1"/>
      <c r="CX677" s="1"/>
      <c r="CY677" s="1"/>
      <c r="CZ677" s="1"/>
      <c r="DA677" s="1"/>
      <c r="DB677" s="1"/>
      <c r="DC677" s="1"/>
      <c r="DD677" s="1"/>
      <c r="DE677" s="1"/>
      <c r="DF677" s="1"/>
      <c r="DG677" s="1"/>
      <c r="DH677" s="1"/>
      <c r="DI677" s="1"/>
      <c r="DJ677" s="1"/>
      <c r="DK677" s="1"/>
      <c r="DQ677" s="1"/>
      <c r="DR677" s="1"/>
      <c r="DY677" s="1"/>
      <c r="DZ677" s="1"/>
      <c r="ED677" s="1"/>
      <c r="EK677" s="1"/>
      <c r="EL677" s="1"/>
      <c r="EM677" s="1"/>
      <c r="EN677" s="1"/>
      <c r="EQ677" s="1"/>
      <c r="ER677" s="1"/>
      <c r="ES677" s="1"/>
      <c r="EV677" s="1"/>
      <c r="EW677" s="1"/>
      <c r="EZ677" s="1"/>
      <c r="FA677" s="1"/>
      <c r="FD677" s="1"/>
      <c r="FG677" s="1"/>
      <c r="FH677" s="1"/>
      <c r="FI677" s="1"/>
      <c r="FJ677" s="1"/>
      <c r="FK677" s="1"/>
      <c r="FM677" s="1"/>
      <c r="FN677" s="1"/>
      <c r="FO677" s="1"/>
      <c r="FP677" s="1"/>
      <c r="FQ677" s="1"/>
      <c r="FR677" s="1"/>
      <c r="FS677" s="1"/>
      <c r="FT677" s="1"/>
      <c r="FU677" s="1"/>
      <c r="FV677" s="1"/>
      <c r="FW677" s="1"/>
      <c r="FX677" s="1"/>
      <c r="FY677" s="1"/>
      <c r="FZ677" s="1"/>
      <c r="GA677" s="1"/>
      <c r="GD677" s="1"/>
      <c r="GE677" s="1"/>
      <c r="GF677" s="1"/>
      <c r="GG677" s="1"/>
      <c r="GH677" s="1"/>
      <c r="GI677" s="1"/>
      <c r="GJ677" s="1"/>
      <c r="GK677" s="1"/>
      <c r="GL677" s="1"/>
      <c r="GM677" s="1"/>
      <c r="GN677" s="1"/>
      <c r="GO677" s="1"/>
      <c r="GP677" s="1"/>
      <c r="GR677" s="1"/>
      <c r="GV677" s="1"/>
      <c r="GY677" s="1"/>
      <c r="HF677" s="1"/>
      <c r="HN677" s="1"/>
      <c r="HT677" s="1"/>
      <c r="HY677" s="1"/>
      <c r="ID677" s="1"/>
      <c r="IE677" s="1"/>
      <c r="IR677" s="1"/>
      <c r="IS677" s="1"/>
      <c r="IY677" s="1"/>
      <c r="IZ677" s="1"/>
      <c r="JH677" s="1"/>
      <c r="JI677" s="1"/>
      <c r="JJ677" s="1"/>
      <c r="JN677" s="1"/>
      <c r="JP677" s="1"/>
      <c r="JQ677" s="1"/>
      <c r="KU677" s="1"/>
      <c r="KV677" s="1"/>
      <c r="KY677" s="1"/>
      <c r="KZ677" s="1"/>
      <c r="LA677" s="1"/>
      <c r="LB677" s="1"/>
      <c r="LC677" s="1"/>
      <c r="LD677" s="1"/>
      <c r="LO677" s="1"/>
      <c r="LP677" s="1"/>
      <c r="LZ677" s="1"/>
      <c r="MA677" s="1"/>
    </row>
    <row r="678" spans="4:339" ht="13" x14ac:dyDescent="0.15">
      <c r="D678" s="12"/>
      <c r="E678" s="12"/>
      <c r="I678" s="12"/>
      <c r="J678" s="13"/>
      <c r="BF678" s="1"/>
      <c r="BG678" s="1"/>
      <c r="BH678" s="1"/>
      <c r="BI678" s="1"/>
      <c r="BK678" s="1"/>
      <c r="BL678" s="1"/>
      <c r="BM678" s="1"/>
      <c r="BN678" s="1"/>
      <c r="BO678" s="1"/>
      <c r="BP678" s="1"/>
      <c r="BQ678" s="1"/>
      <c r="BR678" s="1"/>
      <c r="CD678" s="1"/>
      <c r="CE678" s="1"/>
      <c r="CF678" s="1"/>
      <c r="CG678" s="1"/>
      <c r="CH678" s="1"/>
      <c r="CI678" s="1"/>
      <c r="CM678" s="2"/>
      <c r="CN678" s="1"/>
      <c r="CO678" s="1"/>
      <c r="CP678" s="1"/>
      <c r="CQ678" s="1"/>
      <c r="CS678" s="1"/>
      <c r="CT678" s="1"/>
      <c r="CU678" s="1"/>
      <c r="CV678" s="1"/>
      <c r="CW678" s="1"/>
      <c r="CX678" s="1"/>
      <c r="CY678" s="1"/>
      <c r="CZ678" s="1"/>
      <c r="DA678" s="1"/>
      <c r="DB678" s="1"/>
      <c r="DC678" s="1"/>
      <c r="DD678" s="1"/>
      <c r="DE678" s="1"/>
      <c r="DF678" s="1"/>
      <c r="DG678" s="1"/>
      <c r="DH678" s="1"/>
      <c r="DI678" s="1"/>
      <c r="DJ678" s="1"/>
      <c r="DK678" s="1"/>
      <c r="DQ678" s="1"/>
      <c r="DR678" s="1"/>
      <c r="DY678" s="1"/>
      <c r="DZ678" s="1"/>
      <c r="ED678" s="1"/>
      <c r="EK678" s="1"/>
      <c r="EL678" s="1"/>
      <c r="EM678" s="1"/>
      <c r="EN678" s="1"/>
      <c r="EQ678" s="1"/>
      <c r="ER678" s="1"/>
      <c r="ES678" s="1"/>
      <c r="EV678" s="1"/>
      <c r="EW678" s="1"/>
      <c r="EZ678" s="1"/>
      <c r="FA678" s="1"/>
      <c r="FD678" s="1"/>
      <c r="FG678" s="1"/>
      <c r="FH678" s="1"/>
      <c r="FI678" s="1"/>
      <c r="FJ678" s="1"/>
      <c r="FK678" s="1"/>
      <c r="FM678" s="1"/>
      <c r="FN678" s="1"/>
      <c r="FO678" s="1"/>
      <c r="FP678" s="1"/>
      <c r="FQ678" s="1"/>
      <c r="FR678" s="1"/>
      <c r="FS678" s="1"/>
      <c r="FT678" s="1"/>
      <c r="FU678" s="1"/>
      <c r="FV678" s="1"/>
      <c r="FW678" s="1"/>
      <c r="FX678" s="1"/>
      <c r="FY678" s="1"/>
      <c r="FZ678" s="1"/>
      <c r="GA678" s="1"/>
      <c r="GD678" s="1"/>
      <c r="GE678" s="1"/>
      <c r="GF678" s="1"/>
      <c r="GG678" s="1"/>
      <c r="GH678" s="1"/>
      <c r="GI678" s="1"/>
      <c r="GJ678" s="1"/>
      <c r="GK678" s="1"/>
      <c r="GL678" s="1"/>
      <c r="GM678" s="1"/>
      <c r="GN678" s="1"/>
      <c r="GO678" s="1"/>
      <c r="GP678" s="1"/>
      <c r="GR678" s="1"/>
      <c r="GV678" s="1"/>
      <c r="GY678" s="1"/>
      <c r="HF678" s="1"/>
      <c r="HN678" s="1"/>
      <c r="HT678" s="1"/>
      <c r="HY678" s="1"/>
      <c r="ID678" s="1"/>
      <c r="IE678" s="1"/>
      <c r="IR678" s="1"/>
      <c r="IS678" s="1"/>
      <c r="IY678" s="1"/>
      <c r="IZ678" s="1"/>
      <c r="JH678" s="1"/>
      <c r="JI678" s="1"/>
      <c r="JJ678" s="1"/>
      <c r="JN678" s="1"/>
      <c r="JP678" s="1"/>
      <c r="JQ678" s="1"/>
      <c r="KU678" s="1"/>
      <c r="KV678" s="1"/>
      <c r="KY678" s="1"/>
      <c r="KZ678" s="1"/>
      <c r="LA678" s="1"/>
      <c r="LB678" s="1"/>
      <c r="LC678" s="1"/>
      <c r="LD678" s="1"/>
      <c r="LO678" s="1"/>
      <c r="LP678" s="1"/>
      <c r="LZ678" s="1"/>
      <c r="MA678" s="1"/>
    </row>
    <row r="679" spans="4:339" ht="13" x14ac:dyDescent="0.15">
      <c r="D679" s="12"/>
      <c r="E679" s="12"/>
      <c r="I679" s="12"/>
      <c r="J679" s="13"/>
      <c r="BF679" s="1"/>
      <c r="BG679" s="1"/>
      <c r="BH679" s="1"/>
      <c r="BI679" s="1"/>
      <c r="BJ679" s="1"/>
      <c r="BK679" s="1"/>
      <c r="BL679" s="1"/>
      <c r="BM679" s="1"/>
      <c r="BN679" s="1"/>
      <c r="BO679" s="1"/>
      <c r="BP679" s="1"/>
      <c r="BQ679" s="1"/>
      <c r="BR679" s="1"/>
      <c r="BX679" s="1"/>
      <c r="CD679" s="1"/>
      <c r="CE679" s="1"/>
      <c r="CF679" s="1"/>
      <c r="CH679" s="1"/>
      <c r="CI679" s="1"/>
      <c r="CM679" s="2"/>
      <c r="CN679" s="1"/>
      <c r="CO679" s="1"/>
      <c r="CP679" s="1"/>
      <c r="CQ679" s="1"/>
      <c r="CS679" s="1"/>
      <c r="CT679" s="1"/>
      <c r="CU679" s="1"/>
      <c r="CV679" s="1"/>
      <c r="CW679" s="1"/>
      <c r="CX679" s="1"/>
      <c r="CY679" s="1"/>
      <c r="CZ679" s="1"/>
      <c r="DA679" s="1"/>
      <c r="DB679" s="1"/>
      <c r="DC679" s="1"/>
      <c r="DD679" s="1"/>
      <c r="DE679" s="1"/>
      <c r="DF679" s="1"/>
      <c r="DG679" s="1"/>
      <c r="DH679" s="1"/>
      <c r="DI679" s="1"/>
      <c r="DJ679" s="1"/>
      <c r="DK679" s="1"/>
      <c r="ED679" s="1"/>
      <c r="EK679" s="1"/>
      <c r="EL679" s="1"/>
      <c r="EM679" s="1"/>
      <c r="EN679" s="1"/>
      <c r="EQ679" s="1"/>
      <c r="ER679" s="1"/>
      <c r="ES679" s="1"/>
      <c r="EV679" s="1"/>
      <c r="EW679" s="1"/>
      <c r="EZ679" s="1"/>
      <c r="FA679" s="1"/>
      <c r="FD679" s="1"/>
      <c r="FG679" s="1"/>
      <c r="FH679" s="1"/>
      <c r="FI679" s="1"/>
      <c r="FJ679" s="1"/>
      <c r="FM679" s="1"/>
      <c r="FN679" s="1"/>
      <c r="FO679" s="1"/>
      <c r="FP679" s="1"/>
      <c r="FQ679" s="1"/>
      <c r="FR679" s="1"/>
      <c r="FS679" s="1"/>
      <c r="FT679" s="1"/>
      <c r="FU679" s="1"/>
      <c r="FV679" s="1"/>
      <c r="FW679" s="1"/>
      <c r="FX679" s="1"/>
      <c r="FY679" s="1"/>
      <c r="FZ679" s="1"/>
      <c r="GA679" s="1"/>
      <c r="GD679" s="1"/>
      <c r="GE679" s="1"/>
      <c r="GF679" s="1"/>
      <c r="GG679" s="1"/>
      <c r="GH679" s="1"/>
      <c r="GI679" s="1"/>
      <c r="GJ679" s="1"/>
      <c r="GK679" s="1"/>
      <c r="GL679" s="1"/>
      <c r="GM679" s="1"/>
      <c r="GN679" s="1"/>
      <c r="GO679" s="1"/>
      <c r="GP679" s="1"/>
      <c r="GR679" s="1"/>
      <c r="GY679" s="1"/>
      <c r="HF679" s="1"/>
      <c r="HH679" s="1"/>
      <c r="HQ679" s="1"/>
      <c r="HY679" s="1"/>
      <c r="IC679" s="1"/>
      <c r="IE679" s="1"/>
      <c r="IR679" s="1"/>
      <c r="IS679" s="1"/>
      <c r="IZ679" s="1"/>
      <c r="JC679" s="1"/>
      <c r="JG679" s="1"/>
      <c r="JJ679" s="1"/>
      <c r="JN679" s="1"/>
      <c r="JP679" s="1"/>
      <c r="JQ679" s="1"/>
      <c r="KU679" s="1"/>
      <c r="KW679" s="1"/>
      <c r="KY679" s="1"/>
      <c r="KZ679" s="1"/>
      <c r="LA679" s="1"/>
      <c r="LB679" s="1"/>
      <c r="LC679" s="1"/>
      <c r="LD679" s="1"/>
      <c r="LO679" s="1"/>
      <c r="LP679" s="1"/>
      <c r="LZ679" s="1"/>
      <c r="MA679" s="1"/>
    </row>
    <row r="680" spans="4:339" ht="13" x14ac:dyDescent="0.15">
      <c r="D680" s="12"/>
      <c r="E680" s="12"/>
      <c r="I680" s="12"/>
      <c r="J680" s="13"/>
      <c r="BF680" s="1"/>
      <c r="BG680" s="1"/>
      <c r="BH680" s="1"/>
      <c r="BI680" s="1"/>
      <c r="BK680" s="1"/>
      <c r="BL680" s="1"/>
      <c r="BM680" s="1"/>
      <c r="BN680" s="1"/>
      <c r="BO680" s="1"/>
      <c r="BP680" s="1"/>
      <c r="BQ680" s="1"/>
      <c r="BR680" s="1"/>
      <c r="CC680" s="1"/>
      <c r="CD680" s="1"/>
      <c r="CE680" s="1"/>
      <c r="CF680" s="1"/>
      <c r="CG680" s="1"/>
      <c r="CH680" s="1"/>
      <c r="CI680" s="1"/>
      <c r="CJ680" s="1"/>
      <c r="CM680" s="2"/>
      <c r="CN680" s="1"/>
      <c r="CO680" s="1"/>
      <c r="CP680" s="1"/>
      <c r="CQ680" s="1"/>
      <c r="CR680" s="1"/>
      <c r="CS680" s="1"/>
      <c r="CT680" s="1"/>
      <c r="CU680" s="1"/>
      <c r="CV680" s="1"/>
      <c r="CW680" s="1"/>
      <c r="CX680" s="1"/>
      <c r="CY680" s="1"/>
      <c r="CZ680" s="1"/>
      <c r="DA680" s="1"/>
      <c r="DB680" s="1"/>
      <c r="DC680" s="1"/>
      <c r="DD680" s="1"/>
      <c r="DE680" s="1"/>
      <c r="DF680" s="1"/>
      <c r="DG680" s="1"/>
      <c r="DH680" s="1"/>
      <c r="DI680" s="1"/>
      <c r="DJ680" s="1"/>
      <c r="DK680" s="1"/>
      <c r="ED680" s="1"/>
      <c r="EE680" s="1"/>
      <c r="EF680" s="1"/>
      <c r="EG680" s="1"/>
      <c r="EH680" s="1"/>
      <c r="EK680" s="1"/>
      <c r="EL680" s="1"/>
      <c r="EM680" s="1"/>
      <c r="EN680" s="1"/>
      <c r="EQ680" s="1"/>
      <c r="ER680" s="1"/>
      <c r="ES680" s="1"/>
      <c r="EV680" s="1"/>
      <c r="EW680" s="1"/>
      <c r="EY680" s="1"/>
      <c r="EZ680" s="1"/>
      <c r="FA680" s="1"/>
      <c r="FD680" s="1"/>
      <c r="FG680" s="1"/>
      <c r="FH680" s="1"/>
      <c r="FI680" s="1"/>
      <c r="FJ680" s="1"/>
      <c r="FK680" s="1"/>
      <c r="FM680" s="1"/>
      <c r="FN680" s="1"/>
      <c r="FO680" s="1"/>
      <c r="FP680" s="1"/>
      <c r="FQ680" s="1"/>
      <c r="FR680" s="1"/>
      <c r="FS680" s="1"/>
      <c r="FT680" s="1"/>
      <c r="FU680" s="1"/>
      <c r="FV680" s="1"/>
      <c r="FW680" s="1"/>
      <c r="FX680" s="1"/>
      <c r="FY680" s="1"/>
      <c r="FZ680" s="1"/>
      <c r="GA680" s="1"/>
      <c r="GB680" s="1"/>
      <c r="GD680" s="1"/>
      <c r="GE680" s="1"/>
      <c r="GF680" s="1"/>
      <c r="GG680" s="1"/>
      <c r="GH680" s="1"/>
      <c r="GI680" s="1"/>
      <c r="GJ680" s="1"/>
      <c r="GK680" s="1"/>
      <c r="GL680" s="1"/>
      <c r="GM680" s="1"/>
      <c r="GN680" s="1"/>
      <c r="GP680" s="1"/>
      <c r="GR680" s="1"/>
      <c r="GY680" s="1"/>
      <c r="HH680" s="1"/>
      <c r="HQ680" s="1"/>
      <c r="HT680" s="1"/>
      <c r="HY680" s="1"/>
      <c r="IE680" s="1"/>
      <c r="IF680" s="1"/>
      <c r="IG680" s="1"/>
      <c r="IJ680" s="1"/>
      <c r="IR680" s="1"/>
      <c r="IS680" s="1"/>
      <c r="IY680" s="1"/>
      <c r="IZ680" s="1"/>
      <c r="JC680" s="1"/>
      <c r="JF680" s="1"/>
      <c r="JG680" s="1"/>
      <c r="JJ680" s="1"/>
      <c r="JK680" s="1"/>
      <c r="JL680" s="3"/>
      <c r="JM680" s="1"/>
      <c r="JN680" s="1"/>
      <c r="JP680" s="1"/>
      <c r="JQ680" s="1"/>
      <c r="JR680" s="1"/>
      <c r="JT680" s="1"/>
      <c r="KW680" s="1"/>
      <c r="KY680" s="1"/>
      <c r="KZ680" s="1"/>
      <c r="LA680" s="1"/>
      <c r="LB680" s="1"/>
      <c r="LC680" s="1"/>
      <c r="LD680" s="1"/>
      <c r="LF680" s="1"/>
      <c r="LO680" s="1"/>
      <c r="LP680" s="1"/>
      <c r="LZ680" s="1"/>
      <c r="MA680" s="1"/>
    </row>
    <row r="681" spans="4:339" ht="13" x14ac:dyDescent="0.15">
      <c r="D681" s="12"/>
      <c r="E681" s="12"/>
      <c r="I681" s="12"/>
      <c r="J681" s="13"/>
      <c r="BF681" s="1"/>
      <c r="BG681" s="1"/>
      <c r="BH681" s="1"/>
      <c r="BI681" s="1"/>
      <c r="BK681" s="1"/>
      <c r="BL681" s="1"/>
      <c r="BM681" s="1"/>
      <c r="BN681" s="1"/>
      <c r="BO681" s="1"/>
      <c r="BQ681" s="1"/>
      <c r="BR681" s="1"/>
      <c r="CD681" s="1"/>
      <c r="CH681" s="1"/>
      <c r="CI681" s="1"/>
      <c r="CM681" s="2"/>
      <c r="CN681" s="1"/>
      <c r="CO681" s="1"/>
      <c r="ED681" s="1"/>
      <c r="EL681" s="1"/>
      <c r="EM681" s="1"/>
      <c r="EN681" s="1"/>
      <c r="EQ681" s="1"/>
      <c r="ER681" s="1"/>
      <c r="ES681" s="1"/>
      <c r="EV681" s="1"/>
      <c r="EW681" s="1"/>
      <c r="EZ681" s="1"/>
      <c r="FA681" s="1"/>
      <c r="FD681" s="1"/>
      <c r="FG681" s="1"/>
      <c r="FH681" s="1"/>
      <c r="FI681" s="1"/>
      <c r="FJ681" s="1"/>
      <c r="FK681" s="1"/>
      <c r="FM681" s="1"/>
      <c r="FN681" s="1"/>
      <c r="FO681" s="1"/>
      <c r="FP681" s="1"/>
      <c r="FQ681" s="1"/>
      <c r="FS681" s="1"/>
      <c r="FT681" s="1"/>
      <c r="FU681" s="1"/>
      <c r="FV681" s="1"/>
      <c r="FW681" s="1"/>
      <c r="FX681" s="1"/>
      <c r="FY681" s="1"/>
      <c r="FZ681" s="1"/>
      <c r="GA681" s="1"/>
      <c r="GB681" s="1"/>
      <c r="GD681" s="1"/>
      <c r="GE681" s="1"/>
      <c r="GF681" s="1"/>
      <c r="GG681" s="1"/>
      <c r="GH681" s="1"/>
      <c r="GI681" s="1"/>
      <c r="GJ681" s="1"/>
      <c r="GK681" s="1"/>
      <c r="GL681" s="1"/>
      <c r="GM681" s="1"/>
      <c r="GN681" s="1"/>
      <c r="GR681" s="1"/>
      <c r="GY681" s="1"/>
      <c r="HF681" s="1"/>
      <c r="IR681" s="1"/>
      <c r="IS681" s="1"/>
      <c r="IZ681" s="1"/>
      <c r="JJ681" s="1"/>
      <c r="JP681" s="1"/>
      <c r="JQ681" s="1"/>
      <c r="KV681" s="1"/>
    </row>
    <row r="682" spans="4:339" ht="13" x14ac:dyDescent="0.15">
      <c r="D682" s="12"/>
      <c r="E682" s="12"/>
      <c r="I682" s="12"/>
      <c r="J682" s="13"/>
      <c r="BF682" s="1"/>
      <c r="BG682" s="1"/>
      <c r="BH682" s="1"/>
      <c r="BI682" s="1"/>
      <c r="BK682" s="1"/>
      <c r="BL682" s="1"/>
      <c r="BM682" s="1"/>
      <c r="BN682" s="1"/>
      <c r="BO682" s="1"/>
      <c r="BP682" s="1"/>
      <c r="BQ682" s="1"/>
      <c r="BR682" s="1"/>
      <c r="CD682" s="1"/>
      <c r="CE682" s="1"/>
      <c r="CF682" s="1"/>
      <c r="CG682" s="1"/>
      <c r="CH682" s="1"/>
      <c r="CI682" s="1"/>
      <c r="CM682" s="2"/>
      <c r="CN682" s="1"/>
      <c r="CO682" s="1"/>
      <c r="CP682" s="1"/>
      <c r="CQ682" s="1"/>
      <c r="CX682" s="1"/>
      <c r="CY682" s="1"/>
      <c r="CZ682" s="1"/>
      <c r="DA682" s="1"/>
      <c r="DB682" s="1"/>
      <c r="DC682" s="1"/>
      <c r="DD682" s="1"/>
      <c r="DE682" s="1"/>
      <c r="DF682" s="1"/>
      <c r="DG682" s="1"/>
      <c r="DH682" s="1"/>
      <c r="DI682" s="1"/>
      <c r="DJ682" s="1"/>
      <c r="DK682" s="1"/>
      <c r="DQ682" s="1"/>
      <c r="DR682" s="1"/>
      <c r="DY682" s="1"/>
      <c r="DZ682" s="1"/>
      <c r="ED682" s="1"/>
      <c r="EK682" s="1"/>
      <c r="EL682" s="1"/>
      <c r="EM682" s="1"/>
      <c r="EN682" s="1"/>
      <c r="EQ682" s="1"/>
      <c r="ER682" s="1"/>
      <c r="ES682" s="1"/>
      <c r="EV682" s="1"/>
      <c r="EW682" s="1"/>
      <c r="EZ682" s="1"/>
      <c r="FA682" s="1"/>
      <c r="FD682" s="1"/>
      <c r="FH682" s="1"/>
      <c r="FI682" s="1"/>
      <c r="FJ682" s="1"/>
      <c r="FM682" s="1"/>
      <c r="FN682" s="1"/>
      <c r="FO682" s="1"/>
      <c r="GA682" s="1"/>
      <c r="GD682" s="1"/>
      <c r="GE682" s="1"/>
      <c r="GF682" s="1"/>
      <c r="GG682" s="1"/>
      <c r="GH682" s="1"/>
      <c r="GI682" s="1"/>
      <c r="GJ682" s="1"/>
      <c r="GK682" s="1"/>
      <c r="GL682" s="1"/>
      <c r="GM682" s="1"/>
      <c r="GN682" s="1"/>
      <c r="GR682" s="1"/>
      <c r="GV682" s="1"/>
      <c r="GY682" s="1"/>
      <c r="HN682" s="1"/>
      <c r="HY682" s="1"/>
      <c r="IC682" s="1"/>
      <c r="IE682" s="1"/>
      <c r="IR682" s="1"/>
      <c r="IS682" s="1"/>
      <c r="IW682" s="1"/>
      <c r="IZ682" s="1"/>
      <c r="JJ682" s="1"/>
      <c r="JP682" s="1"/>
      <c r="JQ682" s="1"/>
      <c r="KU682" s="1"/>
      <c r="LR682" s="1"/>
      <c r="LS682" s="1"/>
      <c r="LT682" s="1"/>
      <c r="LU682" s="1"/>
      <c r="LZ682" s="1"/>
      <c r="MA682" s="1"/>
    </row>
    <row r="683" spans="4:339" ht="13" x14ac:dyDescent="0.15">
      <c r="D683" s="12"/>
      <c r="E683" s="12"/>
      <c r="I683" s="12"/>
      <c r="J683" s="13"/>
      <c r="BF683" s="1"/>
      <c r="BG683" s="1"/>
      <c r="BH683" s="1"/>
      <c r="BI683" s="1"/>
      <c r="BJ683" s="1"/>
      <c r="BK683" s="1"/>
      <c r="BL683" s="1"/>
      <c r="BM683" s="1"/>
      <c r="BN683" s="1"/>
      <c r="BO683" s="1"/>
      <c r="BP683" s="1"/>
      <c r="BQ683" s="1"/>
      <c r="BR683" s="1"/>
      <c r="BX683" s="1"/>
      <c r="CC683" s="1"/>
      <c r="CD683" s="1"/>
      <c r="CE683" s="1"/>
      <c r="CF683" s="1"/>
      <c r="CG683" s="1"/>
      <c r="CH683" s="1"/>
      <c r="CI683" s="1"/>
      <c r="CK683" s="1"/>
      <c r="CM683" s="4"/>
      <c r="CN683" s="1"/>
      <c r="CO683" s="1"/>
      <c r="CP683" s="1"/>
      <c r="CQ683" s="1"/>
      <c r="CR683" s="1"/>
      <c r="CS683" s="1"/>
      <c r="CT683" s="1"/>
      <c r="CU683" s="1"/>
      <c r="CV683" s="1"/>
      <c r="CW683" s="1"/>
      <c r="CX683" s="1"/>
      <c r="CY683" s="1"/>
      <c r="CZ683" s="1"/>
      <c r="DA683" s="1"/>
      <c r="DB683" s="1"/>
      <c r="DC683" s="1"/>
      <c r="DD683" s="1"/>
      <c r="DE683" s="1"/>
      <c r="DF683" s="1"/>
      <c r="DG683" s="1"/>
      <c r="DH683" s="1"/>
      <c r="DI683" s="1"/>
      <c r="DJ683" s="1"/>
      <c r="DK683" s="1"/>
      <c r="DM683" s="1"/>
      <c r="DQ683" s="1"/>
      <c r="DR683" s="1"/>
      <c r="DY683" s="1"/>
      <c r="DZ683" s="1"/>
      <c r="ED683" s="1"/>
      <c r="EF683" s="1"/>
      <c r="EK683" s="1"/>
      <c r="EL683" s="1"/>
      <c r="EM683" s="1"/>
      <c r="EN683" s="1"/>
      <c r="EQ683" s="1"/>
      <c r="ER683" s="1"/>
      <c r="ES683" s="1"/>
      <c r="EV683" s="1"/>
      <c r="EW683" s="1"/>
      <c r="EZ683" s="1"/>
      <c r="FA683" s="1"/>
      <c r="FD683" s="1"/>
      <c r="FH683" s="1"/>
      <c r="FI683" s="1"/>
      <c r="FM683" s="1"/>
      <c r="FP683" s="1"/>
      <c r="FQ683" s="1"/>
      <c r="FS683" s="1"/>
      <c r="FU683" s="1"/>
      <c r="FV683" s="1"/>
      <c r="FW683" s="1"/>
      <c r="FX683" s="1"/>
      <c r="GA683" s="1"/>
      <c r="GD683" s="1"/>
      <c r="GE683" s="1"/>
      <c r="GF683" s="1"/>
      <c r="GG683" s="1"/>
      <c r="GH683" s="1"/>
      <c r="GI683" s="1"/>
      <c r="GJ683" s="1"/>
      <c r="GK683" s="1"/>
      <c r="GL683" s="1"/>
      <c r="GM683" s="1"/>
      <c r="GN683" s="1"/>
      <c r="GO683" s="1"/>
      <c r="GP683" s="1"/>
      <c r="GR683" s="1"/>
      <c r="GY683" s="1"/>
      <c r="HH683" s="1"/>
      <c r="HN683" s="1"/>
      <c r="HT683" s="1"/>
      <c r="HY683" s="1"/>
      <c r="IC683" s="1"/>
      <c r="ID683" s="1"/>
      <c r="IE683" s="1"/>
      <c r="IG683" s="1"/>
      <c r="IJ683" s="1"/>
      <c r="IK683" s="1"/>
      <c r="IR683" s="1"/>
      <c r="IS683" s="1"/>
      <c r="IW683" s="1"/>
      <c r="IZ683" s="1"/>
      <c r="JA683" s="1"/>
      <c r="JC683" s="1"/>
      <c r="JF683" s="1"/>
      <c r="JG683" s="1"/>
      <c r="JH683" s="1"/>
      <c r="JI683" s="1"/>
      <c r="JJ683" s="1"/>
      <c r="JK683" s="1"/>
      <c r="JL683" s="3"/>
      <c r="JM683" s="1"/>
      <c r="JP683" s="1"/>
      <c r="JQ683" s="1"/>
      <c r="JR683" s="1"/>
      <c r="JT683" s="1"/>
      <c r="JW683" s="1"/>
      <c r="KS683" s="1"/>
      <c r="KT683" s="1"/>
      <c r="KV683" s="1"/>
      <c r="KW683" s="1"/>
      <c r="KY683" s="1"/>
      <c r="KZ683" s="1"/>
      <c r="LA683" s="1"/>
      <c r="LB683" s="1"/>
      <c r="LC683" s="1"/>
      <c r="LD683" s="1"/>
      <c r="LO683" s="1"/>
      <c r="LP683" s="1"/>
      <c r="LZ683" s="1"/>
      <c r="MA683" s="1"/>
    </row>
    <row r="684" spans="4:339" ht="13" x14ac:dyDescent="0.15">
      <c r="D684" s="12"/>
      <c r="E684" s="12"/>
      <c r="I684" s="12"/>
      <c r="J684" s="13"/>
      <c r="BF684" s="1"/>
      <c r="BG684" s="1"/>
      <c r="BH684" s="1"/>
      <c r="BI684" s="1"/>
      <c r="BJ684" s="1"/>
      <c r="BK684" s="1"/>
      <c r="BL684" s="1"/>
      <c r="BM684" s="1"/>
      <c r="BN684" s="1"/>
      <c r="BO684" s="1"/>
      <c r="BP684" s="1"/>
      <c r="BQ684" s="1"/>
      <c r="BR684" s="1"/>
      <c r="CD684" s="1"/>
      <c r="CE684" s="1"/>
      <c r="CF684" s="1"/>
      <c r="CG684" s="1"/>
      <c r="CH684" s="1"/>
      <c r="CI684" s="1"/>
      <c r="CM684" s="2"/>
      <c r="CN684" s="1"/>
      <c r="CO684" s="1"/>
      <c r="CP684" s="1"/>
      <c r="CQ684" s="1"/>
      <c r="CR684" s="1"/>
      <c r="CS684" s="1"/>
      <c r="CT684" s="1"/>
      <c r="CU684" s="1"/>
      <c r="CV684" s="1"/>
      <c r="CW684" s="1"/>
      <c r="CX684" s="1"/>
      <c r="CY684" s="1"/>
      <c r="CZ684" s="1"/>
      <c r="DA684" s="1"/>
      <c r="DB684" s="1"/>
      <c r="DC684" s="1"/>
      <c r="DD684" s="1"/>
      <c r="DE684" s="1"/>
      <c r="DF684" s="1"/>
      <c r="DG684" s="1"/>
      <c r="DH684" s="1"/>
      <c r="DI684" s="1"/>
      <c r="DJ684" s="1"/>
      <c r="DK684" s="1"/>
      <c r="ED684" s="1"/>
      <c r="EE684" s="1"/>
      <c r="EF684" s="1"/>
      <c r="EG684" s="1"/>
      <c r="EH684" s="1"/>
      <c r="EK684" s="1"/>
      <c r="EL684" s="1"/>
      <c r="EM684" s="1"/>
      <c r="EN684" s="1"/>
      <c r="EQ684" s="1"/>
      <c r="ER684" s="1"/>
      <c r="ES684" s="1"/>
      <c r="EV684" s="1"/>
      <c r="EW684" s="1"/>
      <c r="EY684" s="1"/>
      <c r="EZ684" s="1"/>
      <c r="FA684" s="1"/>
      <c r="FD684" s="1"/>
      <c r="FX684" s="1"/>
      <c r="GA684" s="1"/>
      <c r="GD684" s="1"/>
      <c r="GE684" s="1"/>
      <c r="GF684" s="1"/>
      <c r="GG684" s="1"/>
      <c r="GH684" s="1"/>
      <c r="GI684" s="1"/>
      <c r="GJ684" s="1"/>
      <c r="GN684" s="1"/>
      <c r="GP684" s="1"/>
      <c r="HH684" s="1"/>
      <c r="HN684" s="1"/>
      <c r="HT684" s="1"/>
      <c r="HY684" s="1"/>
      <c r="IE684" s="1"/>
      <c r="IG684" s="1"/>
      <c r="IJ684" s="1"/>
      <c r="IR684" s="1"/>
      <c r="IS684" s="1"/>
      <c r="IX684" s="1"/>
      <c r="IY684" s="1"/>
      <c r="IZ684" s="1"/>
      <c r="JF684" s="1"/>
      <c r="JG684" s="1"/>
      <c r="JH684" s="1"/>
      <c r="JJ684" s="1"/>
      <c r="JK684" s="1"/>
      <c r="JL684" s="3"/>
      <c r="JM684" s="1"/>
      <c r="JN684" s="1"/>
      <c r="JP684" s="1"/>
      <c r="JQ684" s="1"/>
      <c r="JR684" s="1"/>
      <c r="KY684" s="1"/>
      <c r="KZ684" s="1"/>
      <c r="LA684" s="1"/>
      <c r="LB684" s="1"/>
      <c r="LC684" s="1"/>
      <c r="LD684" s="1"/>
      <c r="LO684" s="1"/>
      <c r="LP684" s="1"/>
      <c r="LZ684" s="1"/>
      <c r="MA684" s="1"/>
    </row>
    <row r="685" spans="4:339" ht="13" x14ac:dyDescent="0.15">
      <c r="D685" s="12"/>
      <c r="E685" s="12"/>
      <c r="I685" s="12"/>
      <c r="J685" s="13"/>
      <c r="BG685" s="1"/>
      <c r="BH685" s="1"/>
      <c r="BI685" s="1"/>
      <c r="BJ685" s="1"/>
      <c r="BK685" s="1"/>
      <c r="BL685" s="1"/>
      <c r="BM685" s="1"/>
      <c r="BN685" s="1"/>
      <c r="BO685" s="1"/>
      <c r="BP685" s="1"/>
      <c r="BQ685" s="1"/>
      <c r="BR685" s="1"/>
      <c r="BX685" s="1"/>
      <c r="CD685" s="1"/>
      <c r="CH685" s="1"/>
      <c r="CI685" s="1"/>
      <c r="CM685" s="2"/>
      <c r="CN685" s="1"/>
      <c r="CO685" s="1"/>
      <c r="CP685" s="1"/>
      <c r="CQ685" s="1"/>
      <c r="CX685" s="1"/>
      <c r="CY685" s="1"/>
      <c r="CZ685" s="1"/>
      <c r="DA685" s="1"/>
      <c r="DB685" s="1"/>
      <c r="DC685" s="1"/>
      <c r="DD685" s="1"/>
      <c r="DE685" s="1"/>
      <c r="DF685" s="1"/>
      <c r="DG685" s="1"/>
      <c r="DH685" s="1"/>
      <c r="DI685" s="1"/>
      <c r="DJ685" s="1"/>
      <c r="DK685" s="1"/>
      <c r="ED685" s="1"/>
      <c r="EK685" s="1"/>
      <c r="EL685" s="1"/>
      <c r="EM685" s="1"/>
      <c r="EN685" s="1"/>
      <c r="EQ685" s="1"/>
      <c r="ER685" s="1"/>
      <c r="ES685" s="1"/>
      <c r="EV685" s="1"/>
      <c r="EW685" s="1"/>
      <c r="EZ685" s="1"/>
      <c r="FA685" s="1"/>
      <c r="FD685" s="1"/>
      <c r="FH685" s="1"/>
      <c r="FI685" s="1"/>
      <c r="FJ685" s="1"/>
      <c r="FK685" s="1"/>
      <c r="FL685" s="1"/>
      <c r="FM685" s="1"/>
      <c r="FN685" s="1"/>
      <c r="FO685" s="1"/>
      <c r="FP685" s="1"/>
      <c r="FS685" s="1"/>
      <c r="FU685" s="1"/>
      <c r="FV685" s="1"/>
      <c r="FW685" s="1"/>
      <c r="FX685" s="1"/>
      <c r="GA685" s="1"/>
      <c r="GD685" s="1"/>
      <c r="GE685" s="1"/>
      <c r="GF685" s="1"/>
      <c r="GG685" s="1"/>
      <c r="GH685" s="1"/>
      <c r="GI685" s="1"/>
      <c r="GJ685" s="1"/>
      <c r="GK685" s="1"/>
      <c r="GL685" s="1"/>
      <c r="GM685" s="1"/>
      <c r="GN685" s="1"/>
      <c r="GO685" s="1"/>
      <c r="GP685" s="1"/>
      <c r="GR685" s="1"/>
      <c r="GY685" s="1"/>
      <c r="HF685" s="1"/>
      <c r="HH685" s="1"/>
      <c r="IE685" s="1"/>
      <c r="IR685" s="1"/>
      <c r="IS685" s="1"/>
      <c r="IZ685" s="1"/>
      <c r="JJ685" s="1"/>
      <c r="JP685" s="1"/>
      <c r="JQ685" s="1"/>
      <c r="KV685" s="1"/>
      <c r="KY685" s="1"/>
      <c r="KZ685" s="1"/>
      <c r="LA685" s="1"/>
      <c r="LB685" s="1"/>
      <c r="LC685" s="1"/>
      <c r="LD685" s="1"/>
      <c r="LO685" s="1"/>
      <c r="LP685" s="1"/>
      <c r="LZ685" s="1"/>
      <c r="MA685" s="1"/>
    </row>
    <row r="686" spans="4:339" ht="13" x14ac:dyDescent="0.15">
      <c r="D686" s="12"/>
      <c r="E686" s="12"/>
      <c r="I686" s="12"/>
      <c r="J686" s="13"/>
      <c r="BG686" s="1"/>
      <c r="BH686" s="1"/>
      <c r="BI686" s="1"/>
      <c r="BJ686" s="1"/>
      <c r="BK686" s="1"/>
      <c r="BL686" s="1"/>
      <c r="BM686" s="1"/>
      <c r="BN686" s="1"/>
      <c r="BO686" s="1"/>
      <c r="BP686" s="1"/>
      <c r="BQ686" s="1"/>
      <c r="BR686" s="1"/>
      <c r="BX686" s="1"/>
      <c r="CD686" s="1"/>
      <c r="CH686" s="1"/>
      <c r="CI686" s="1"/>
      <c r="CM686" s="2"/>
      <c r="CN686" s="1"/>
      <c r="CO686" s="1"/>
      <c r="CP686" s="1"/>
      <c r="CQ686" s="1"/>
      <c r="CX686" s="1"/>
      <c r="CY686" s="1"/>
      <c r="CZ686" s="1"/>
      <c r="DA686" s="1"/>
      <c r="DB686" s="1"/>
      <c r="DC686" s="1"/>
      <c r="DD686" s="1"/>
      <c r="DE686" s="1"/>
      <c r="DF686" s="1"/>
      <c r="DG686" s="1"/>
      <c r="DH686" s="1"/>
      <c r="DI686" s="1"/>
      <c r="DJ686" s="1"/>
      <c r="DK686" s="1"/>
      <c r="ED686" s="1"/>
      <c r="EK686" s="1"/>
      <c r="EL686" s="1"/>
      <c r="EM686" s="1"/>
      <c r="EN686" s="1"/>
      <c r="EQ686" s="1"/>
      <c r="ER686" s="1"/>
      <c r="ES686" s="1"/>
      <c r="EV686" s="1"/>
      <c r="EW686" s="1"/>
      <c r="EZ686" s="1"/>
      <c r="FA686" s="1"/>
      <c r="FD686" s="1"/>
      <c r="FH686" s="1"/>
      <c r="FI686" s="1"/>
      <c r="FJ686" s="1"/>
      <c r="FK686" s="1"/>
      <c r="FL686" s="1"/>
      <c r="FM686" s="1"/>
      <c r="FN686" s="1"/>
      <c r="FO686" s="1"/>
      <c r="FP686" s="1"/>
      <c r="FS686" s="1"/>
      <c r="FU686" s="1"/>
      <c r="FV686" s="1"/>
      <c r="FW686" s="1"/>
      <c r="FX686" s="1"/>
      <c r="GA686" s="1"/>
      <c r="GD686" s="1"/>
      <c r="GE686" s="1"/>
      <c r="GF686" s="1"/>
      <c r="GG686" s="1"/>
      <c r="GH686" s="1"/>
      <c r="GI686" s="1"/>
      <c r="GJ686" s="1"/>
      <c r="GK686" s="1"/>
      <c r="GL686" s="1"/>
      <c r="GM686" s="1"/>
      <c r="GN686" s="1"/>
      <c r="GO686" s="1"/>
      <c r="GP686" s="1"/>
      <c r="GR686" s="1"/>
      <c r="GY686" s="1"/>
      <c r="HF686" s="1"/>
      <c r="HH686" s="1"/>
      <c r="IE686" s="1"/>
      <c r="IR686" s="1"/>
      <c r="IS686" s="1"/>
      <c r="IZ686" s="1"/>
      <c r="JJ686" s="1"/>
      <c r="JP686" s="1"/>
      <c r="JQ686" s="1"/>
      <c r="KV686" s="1"/>
      <c r="KY686" s="1"/>
      <c r="KZ686" s="1"/>
      <c r="LA686" s="1"/>
      <c r="LB686" s="1"/>
      <c r="LC686" s="1"/>
      <c r="LD686" s="1"/>
      <c r="LO686" s="1"/>
      <c r="LP686" s="1"/>
      <c r="LZ686" s="1"/>
      <c r="MA686" s="1"/>
    </row>
    <row r="687" spans="4:339" ht="13" x14ac:dyDescent="0.15">
      <c r="D687" s="12"/>
      <c r="E687" s="12"/>
      <c r="I687" s="12"/>
      <c r="J687" s="13"/>
      <c r="BF687" s="1"/>
      <c r="BG687" s="1"/>
      <c r="BH687" s="1"/>
      <c r="BI687" s="1"/>
      <c r="BJ687" s="1"/>
      <c r="BK687" s="1"/>
      <c r="BL687" s="1"/>
      <c r="BM687" s="1"/>
      <c r="BN687" s="1"/>
      <c r="BO687" s="1"/>
      <c r="BP687" s="1"/>
      <c r="BQ687" s="1"/>
      <c r="BR687" s="1"/>
      <c r="CD687" s="1"/>
      <c r="CE687" s="1"/>
      <c r="CF687" s="1"/>
      <c r="CG687" s="1"/>
      <c r="CH687" s="1"/>
      <c r="CI687" s="1"/>
      <c r="CM687" s="4"/>
      <c r="CN687" s="1"/>
      <c r="CO687" s="1"/>
      <c r="CP687" s="1"/>
      <c r="CQ687" s="1"/>
      <c r="CR687" s="1"/>
      <c r="CT687" s="1"/>
      <c r="CU687" s="1"/>
      <c r="CV687" s="1"/>
      <c r="CW687" s="1"/>
      <c r="CX687" s="1"/>
      <c r="CY687" s="1"/>
      <c r="CZ687" s="1"/>
      <c r="DA687" s="1"/>
      <c r="DB687" s="1"/>
      <c r="DC687" s="1"/>
      <c r="DD687" s="1"/>
      <c r="DE687" s="1"/>
      <c r="DF687" s="1"/>
      <c r="DG687" s="1"/>
      <c r="DH687" s="1"/>
      <c r="DI687" s="1"/>
      <c r="DJ687" s="1"/>
      <c r="DK687" s="1"/>
      <c r="ED687" s="1"/>
      <c r="EK687" s="1"/>
      <c r="EL687" s="1"/>
      <c r="EM687" s="1"/>
      <c r="EN687" s="1"/>
      <c r="EQ687" s="1"/>
      <c r="ER687" s="1"/>
      <c r="ES687" s="1"/>
      <c r="EV687" s="1"/>
      <c r="EW687" s="1"/>
      <c r="EZ687" s="1"/>
      <c r="FA687" s="1"/>
      <c r="FD687" s="1"/>
      <c r="FG687" s="1"/>
      <c r="FH687" s="1"/>
      <c r="FI687" s="1"/>
      <c r="FJ687" s="1"/>
      <c r="FL687" s="1"/>
      <c r="FM687" s="1"/>
      <c r="FN687" s="1"/>
      <c r="FO687" s="1"/>
      <c r="FP687" s="1"/>
      <c r="FQ687" s="1"/>
      <c r="FR687" s="1"/>
      <c r="FS687" s="1"/>
      <c r="FT687" s="1"/>
      <c r="FU687" s="1"/>
      <c r="FV687" s="1"/>
      <c r="FW687" s="1"/>
      <c r="FX687" s="1"/>
      <c r="FY687" s="1"/>
      <c r="FZ687" s="1"/>
      <c r="GA687" s="1"/>
      <c r="GB687" s="1"/>
      <c r="GD687" s="1"/>
      <c r="GE687" s="1"/>
      <c r="GF687" s="1"/>
      <c r="GG687" s="1"/>
      <c r="GH687" s="1"/>
      <c r="GI687" s="1"/>
      <c r="GJ687" s="1"/>
      <c r="GK687" s="1"/>
      <c r="GL687" s="1"/>
      <c r="GM687" s="1"/>
      <c r="GN687" s="1"/>
      <c r="GO687" s="1"/>
      <c r="GP687" s="1"/>
      <c r="GR687" s="1"/>
      <c r="GY687" s="1"/>
      <c r="HF687" s="1"/>
      <c r="HN687" s="1"/>
      <c r="HY687" s="1"/>
      <c r="IC687" s="1"/>
      <c r="IE687" s="1"/>
      <c r="IG687" s="1"/>
      <c r="IR687" s="1"/>
      <c r="IS687" s="1"/>
      <c r="IW687" s="1"/>
      <c r="IZ687" s="1"/>
      <c r="JA687" s="1"/>
      <c r="JF687" s="1"/>
      <c r="JG687" s="1"/>
      <c r="JJ687" s="1"/>
      <c r="JK687" s="1"/>
      <c r="JL687" s="6"/>
      <c r="JM687" s="1"/>
      <c r="JN687" s="1"/>
      <c r="JP687" s="1"/>
      <c r="JQ687" s="1"/>
      <c r="JR687" s="1"/>
      <c r="KU687" s="1"/>
      <c r="KV687" s="1"/>
      <c r="KY687" s="1"/>
      <c r="KZ687" s="1"/>
      <c r="LA687" s="1"/>
      <c r="LB687" s="1"/>
      <c r="LC687" s="1"/>
      <c r="LD687" s="1"/>
      <c r="LO687" s="1"/>
      <c r="LP687" s="1"/>
      <c r="LZ687" s="1"/>
      <c r="MA687" s="1"/>
    </row>
    <row r="688" spans="4:339" ht="13" x14ac:dyDescent="0.15">
      <c r="D688" s="12"/>
      <c r="E688" s="12"/>
      <c r="I688" s="12"/>
      <c r="J688" s="13"/>
      <c r="BF688" s="1"/>
      <c r="BG688" s="1"/>
      <c r="BH688" s="1"/>
      <c r="BI688" s="1"/>
      <c r="BK688" s="1"/>
      <c r="BL688" s="1"/>
      <c r="BM688" s="1"/>
      <c r="BN688" s="1"/>
      <c r="BO688" s="1"/>
      <c r="BP688" s="1"/>
      <c r="BQ688" s="1"/>
      <c r="BR688" s="1"/>
      <c r="CD688" s="1"/>
      <c r="CE688" s="1"/>
      <c r="CF688" s="1"/>
      <c r="CG688" s="1"/>
      <c r="CH688" s="1"/>
      <c r="CI688" s="1"/>
      <c r="CM688" s="2"/>
      <c r="CN688" s="1"/>
      <c r="CO688" s="1"/>
      <c r="CP688" s="1"/>
      <c r="CQ688" s="1"/>
      <c r="CR688" s="1"/>
      <c r="CS688" s="1"/>
      <c r="CT688" s="1"/>
      <c r="CU688" s="1"/>
      <c r="CV688" s="1"/>
      <c r="CW688" s="1"/>
      <c r="CX688" s="1"/>
      <c r="CY688" s="1"/>
      <c r="CZ688" s="1"/>
      <c r="DA688" s="1"/>
      <c r="DB688" s="1"/>
      <c r="DC688" s="1"/>
      <c r="DD688" s="1"/>
      <c r="DE688" s="1"/>
      <c r="DF688" s="1"/>
      <c r="DG688" s="1"/>
      <c r="DH688" s="1"/>
      <c r="DI688" s="1"/>
      <c r="DJ688" s="1"/>
      <c r="DK688" s="1"/>
      <c r="DM688" s="1"/>
      <c r="DQ688" s="1"/>
      <c r="DR688" s="1"/>
      <c r="DY688" s="1"/>
      <c r="DZ688" s="1"/>
      <c r="ED688" s="1"/>
      <c r="EK688" s="1"/>
      <c r="EL688" s="1"/>
      <c r="EM688" s="1"/>
      <c r="EN688" s="1"/>
      <c r="EQ688" s="1"/>
      <c r="ER688" s="1"/>
      <c r="ES688" s="1"/>
      <c r="EV688" s="1"/>
      <c r="EW688" s="1"/>
      <c r="EZ688" s="1"/>
      <c r="FA688" s="1"/>
      <c r="FD688" s="1"/>
      <c r="GD688" s="1"/>
      <c r="GE688" s="1"/>
      <c r="GF688" s="1"/>
      <c r="GG688" s="1"/>
      <c r="GH688" s="1"/>
      <c r="GI688" s="1"/>
      <c r="GJ688" s="1"/>
      <c r="GP688" s="1"/>
      <c r="HH688" s="1"/>
      <c r="HN688" s="1"/>
      <c r="HT688" s="1"/>
      <c r="HY688" s="1"/>
      <c r="ID688" s="1"/>
      <c r="IE688" s="1"/>
      <c r="IG688" s="1"/>
      <c r="IH688" s="1"/>
      <c r="IR688" s="1"/>
      <c r="IS688" s="1"/>
      <c r="IW688" s="1"/>
      <c r="IY688" s="1"/>
      <c r="IZ688" s="1"/>
      <c r="JA688" s="1"/>
      <c r="JC688" s="1"/>
      <c r="JF688" s="1"/>
      <c r="JG688" s="1"/>
      <c r="JH688" s="1"/>
      <c r="JI688" s="1"/>
      <c r="JJ688" s="1"/>
      <c r="JK688" s="1"/>
      <c r="JL688" s="3"/>
      <c r="JM688" s="1"/>
      <c r="JN688" s="1"/>
      <c r="JP688" s="1"/>
      <c r="JQ688" s="1"/>
      <c r="JR688" s="1"/>
      <c r="JT688" s="1"/>
      <c r="KU688" s="1"/>
      <c r="KV688" s="1"/>
      <c r="KW688" s="1"/>
      <c r="KY688" s="1"/>
      <c r="KZ688" s="1"/>
      <c r="LA688" s="1"/>
      <c r="LB688" s="1"/>
      <c r="LC688" s="1"/>
      <c r="LD688" s="1"/>
      <c r="LF688" s="1"/>
      <c r="LN688" s="1"/>
      <c r="LO688" s="1"/>
      <c r="LP688" s="1"/>
      <c r="LZ688" s="1"/>
      <c r="MA688" s="1"/>
    </row>
    <row r="689" spans="4:339" ht="13" x14ac:dyDescent="0.15">
      <c r="D689" s="12"/>
      <c r="E689" s="12"/>
      <c r="I689" s="12"/>
      <c r="J689" s="13"/>
      <c r="BF689" s="1"/>
      <c r="BG689" s="1"/>
      <c r="BH689" s="1"/>
      <c r="BI689" s="1"/>
      <c r="BK689" s="1"/>
      <c r="BL689" s="1"/>
      <c r="BM689" s="1"/>
      <c r="BN689" s="1"/>
      <c r="BO689" s="1"/>
      <c r="BP689" s="1"/>
      <c r="BQ689" s="1"/>
      <c r="BR689" s="1"/>
      <c r="CD689" s="1"/>
      <c r="CE689" s="1"/>
      <c r="CF689" s="1"/>
      <c r="CG689" s="1"/>
      <c r="CH689" s="1"/>
      <c r="CI689" s="1"/>
      <c r="CM689" s="2"/>
      <c r="CN689" s="1"/>
      <c r="CO689" s="1"/>
      <c r="CP689" s="1"/>
      <c r="CQ689" s="1"/>
      <c r="CR689" s="1"/>
      <c r="CS689" s="1"/>
      <c r="CT689" s="1"/>
      <c r="CU689" s="1"/>
      <c r="CV689" s="1"/>
      <c r="CW689" s="1"/>
      <c r="CX689" s="1"/>
      <c r="CY689" s="1"/>
      <c r="CZ689" s="1"/>
      <c r="DA689" s="1"/>
      <c r="DB689" s="1"/>
      <c r="DC689" s="1"/>
      <c r="DD689" s="1"/>
      <c r="DE689" s="1"/>
      <c r="DF689" s="1"/>
      <c r="DG689" s="1"/>
      <c r="DH689" s="1"/>
      <c r="DI689" s="1"/>
      <c r="DJ689" s="1"/>
      <c r="DK689" s="1"/>
      <c r="DM689" s="1"/>
      <c r="DQ689" s="1"/>
      <c r="DR689" s="1"/>
      <c r="DY689" s="1"/>
      <c r="DZ689" s="1"/>
      <c r="ED689" s="1"/>
      <c r="EK689" s="1"/>
      <c r="EL689" s="1"/>
      <c r="EM689" s="1"/>
      <c r="EN689" s="1"/>
      <c r="EQ689" s="1"/>
      <c r="ER689" s="1"/>
      <c r="ES689" s="1"/>
      <c r="EV689" s="1"/>
      <c r="EW689" s="1"/>
      <c r="EZ689" s="1"/>
      <c r="FA689" s="1"/>
      <c r="FD689" s="1"/>
      <c r="GD689" s="1"/>
      <c r="GE689" s="1"/>
      <c r="GF689" s="1"/>
      <c r="GG689" s="1"/>
      <c r="GH689" s="1"/>
      <c r="GI689" s="1"/>
      <c r="GJ689" s="1"/>
      <c r="GP689" s="1"/>
      <c r="HH689" s="1"/>
      <c r="HN689" s="1"/>
      <c r="HT689" s="1"/>
      <c r="HY689" s="1"/>
      <c r="ID689" s="1"/>
      <c r="IE689" s="1"/>
      <c r="IG689" s="1"/>
      <c r="IH689" s="1"/>
      <c r="IR689" s="1"/>
      <c r="IS689" s="1"/>
      <c r="IW689" s="1"/>
      <c r="IY689" s="1"/>
      <c r="IZ689" s="1"/>
      <c r="JA689" s="1"/>
      <c r="JC689" s="1"/>
      <c r="JF689" s="1"/>
      <c r="JG689" s="1"/>
      <c r="JH689" s="1"/>
      <c r="JI689" s="1"/>
      <c r="JJ689" s="1"/>
      <c r="JK689" s="1"/>
      <c r="JL689" s="3"/>
      <c r="JM689" s="1"/>
      <c r="JN689" s="1"/>
      <c r="JP689" s="1"/>
      <c r="JQ689" s="1"/>
      <c r="JR689" s="1"/>
      <c r="JT689" s="1"/>
      <c r="KU689" s="1"/>
      <c r="KV689" s="1"/>
      <c r="KW689" s="1"/>
      <c r="KY689" s="1"/>
      <c r="KZ689" s="1"/>
      <c r="LA689" s="1"/>
      <c r="LB689" s="1"/>
      <c r="LC689" s="1"/>
      <c r="LD689" s="1"/>
      <c r="LF689" s="1"/>
      <c r="LN689" s="1"/>
      <c r="LO689" s="1"/>
      <c r="LP689" s="1"/>
      <c r="LZ689" s="1"/>
      <c r="MA689" s="1"/>
    </row>
    <row r="690" spans="4:339" ht="13" x14ac:dyDescent="0.15">
      <c r="D690" s="12"/>
      <c r="E690" s="12"/>
      <c r="I690" s="12"/>
      <c r="J690" s="13"/>
      <c r="BF690" s="1"/>
      <c r="BG690" s="1"/>
      <c r="BH690" s="1"/>
      <c r="BI690" s="1"/>
      <c r="BK690" s="1"/>
      <c r="BL690" s="1"/>
      <c r="BM690" s="1"/>
      <c r="BN690" s="1"/>
      <c r="BO690" s="1"/>
      <c r="BP690" s="1"/>
      <c r="BQ690" s="1"/>
      <c r="BR690" s="1"/>
      <c r="CD690" s="1"/>
      <c r="CE690" s="1"/>
      <c r="CF690" s="1"/>
      <c r="CG690" s="1"/>
      <c r="CH690" s="1"/>
      <c r="CI690" s="1"/>
      <c r="CM690" s="2"/>
      <c r="CN690" s="1"/>
      <c r="CO690" s="1"/>
      <c r="CP690" s="1"/>
      <c r="CQ690" s="1"/>
      <c r="CR690" s="1"/>
      <c r="CS690" s="1"/>
      <c r="CT690" s="1"/>
      <c r="CU690" s="1"/>
      <c r="CV690" s="1"/>
      <c r="CW690" s="1"/>
      <c r="CX690" s="1"/>
      <c r="CY690" s="1"/>
      <c r="CZ690" s="1"/>
      <c r="DA690" s="1"/>
      <c r="DB690" s="1"/>
      <c r="DC690" s="1"/>
      <c r="DD690" s="1"/>
      <c r="DE690" s="1"/>
      <c r="DF690" s="1"/>
      <c r="DG690" s="1"/>
      <c r="DH690" s="1"/>
      <c r="DI690" s="1"/>
      <c r="DJ690" s="1"/>
      <c r="DK690" s="1"/>
      <c r="DM690" s="1"/>
      <c r="DQ690" s="1"/>
      <c r="DR690" s="1"/>
      <c r="DY690" s="1"/>
      <c r="DZ690" s="1"/>
      <c r="ED690" s="1"/>
      <c r="EK690" s="1"/>
      <c r="EL690" s="1"/>
      <c r="EM690" s="1"/>
      <c r="EN690" s="1"/>
      <c r="EQ690" s="1"/>
      <c r="ER690" s="1"/>
      <c r="ES690" s="1"/>
      <c r="EV690" s="1"/>
      <c r="EW690" s="1"/>
      <c r="EZ690" s="1"/>
      <c r="FA690" s="1"/>
      <c r="FD690" s="1"/>
      <c r="GD690" s="1"/>
      <c r="GE690" s="1"/>
      <c r="GF690" s="1"/>
      <c r="GG690" s="1"/>
      <c r="GH690" s="1"/>
      <c r="GI690" s="1"/>
      <c r="GJ690" s="1"/>
      <c r="GP690" s="1"/>
      <c r="HH690" s="1"/>
      <c r="HN690" s="1"/>
      <c r="HT690" s="1"/>
      <c r="HY690" s="1"/>
      <c r="ID690" s="1"/>
      <c r="IE690" s="1"/>
      <c r="IG690" s="1"/>
      <c r="IH690" s="1"/>
      <c r="IR690" s="1"/>
      <c r="IS690" s="1"/>
      <c r="IW690" s="1"/>
      <c r="IY690" s="1"/>
      <c r="IZ690" s="1"/>
      <c r="JA690" s="1"/>
      <c r="JC690" s="1"/>
      <c r="JF690" s="1"/>
      <c r="JG690" s="1"/>
      <c r="JH690" s="1"/>
      <c r="JI690" s="1"/>
      <c r="JJ690" s="1"/>
      <c r="JK690" s="1"/>
      <c r="JL690" s="3"/>
      <c r="JM690" s="1"/>
      <c r="JN690" s="1"/>
      <c r="JP690" s="1"/>
      <c r="JQ690" s="1"/>
      <c r="JR690" s="1"/>
      <c r="JT690" s="1"/>
      <c r="KU690" s="1"/>
      <c r="KV690" s="1"/>
      <c r="KW690" s="1"/>
      <c r="KY690" s="1"/>
      <c r="KZ690" s="1"/>
      <c r="LA690" s="1"/>
      <c r="LB690" s="1"/>
      <c r="LC690" s="1"/>
      <c r="LD690" s="1"/>
      <c r="LF690" s="1"/>
      <c r="LN690" s="1"/>
      <c r="LO690" s="1"/>
      <c r="LP690" s="1"/>
      <c r="LZ690" s="1"/>
      <c r="MA690" s="1"/>
    </row>
    <row r="691" spans="4:339" ht="13" x14ac:dyDescent="0.15">
      <c r="D691" s="12"/>
      <c r="E691" s="12"/>
      <c r="I691" s="12"/>
      <c r="J691" s="13"/>
      <c r="BF691" s="1"/>
      <c r="BG691" s="1"/>
      <c r="BH691" s="1"/>
      <c r="BI691" s="1"/>
      <c r="BK691" s="1"/>
      <c r="BL691" s="1"/>
      <c r="BM691" s="1"/>
      <c r="BN691" s="1"/>
      <c r="BO691" s="1"/>
      <c r="BP691" s="1"/>
      <c r="BQ691" s="1"/>
      <c r="BR691" s="1"/>
      <c r="CD691" s="1"/>
      <c r="CE691" s="1"/>
      <c r="CF691" s="1"/>
      <c r="CG691" s="1"/>
      <c r="CH691" s="1"/>
      <c r="CI691" s="1"/>
      <c r="CM691" s="2"/>
      <c r="CN691" s="1"/>
      <c r="CO691" s="1"/>
      <c r="CP691" s="1"/>
      <c r="CQ691" s="1"/>
      <c r="CR691" s="1"/>
      <c r="CS691" s="1"/>
      <c r="CT691" s="1"/>
      <c r="CU691" s="1"/>
      <c r="CV691" s="1"/>
      <c r="CW691" s="1"/>
      <c r="CX691" s="1"/>
      <c r="CY691" s="1"/>
      <c r="CZ691" s="1"/>
      <c r="DA691" s="1"/>
      <c r="DB691" s="1"/>
      <c r="DC691" s="1"/>
      <c r="DD691" s="1"/>
      <c r="DE691" s="1"/>
      <c r="DF691" s="1"/>
      <c r="DG691" s="1"/>
      <c r="DH691" s="1"/>
      <c r="DI691" s="1"/>
      <c r="DJ691" s="1"/>
      <c r="DK691" s="1"/>
      <c r="DM691" s="1"/>
      <c r="DQ691" s="1"/>
      <c r="DR691" s="1"/>
      <c r="DY691" s="1"/>
      <c r="DZ691" s="1"/>
      <c r="ED691" s="1"/>
      <c r="EK691" s="1"/>
      <c r="EL691" s="1"/>
      <c r="EM691" s="1"/>
      <c r="EN691" s="1"/>
      <c r="EQ691" s="1"/>
      <c r="ER691" s="1"/>
      <c r="ES691" s="1"/>
      <c r="EV691" s="1"/>
      <c r="EW691" s="1"/>
      <c r="EZ691" s="1"/>
      <c r="FA691" s="1"/>
      <c r="FD691" s="1"/>
      <c r="GD691" s="1"/>
      <c r="GE691" s="1"/>
      <c r="GF691" s="1"/>
      <c r="GG691" s="1"/>
      <c r="GH691" s="1"/>
      <c r="GI691" s="1"/>
      <c r="GJ691" s="1"/>
      <c r="GP691" s="1"/>
      <c r="HH691" s="1"/>
      <c r="HN691" s="1"/>
      <c r="HT691" s="1"/>
      <c r="HY691" s="1"/>
      <c r="ID691" s="1"/>
      <c r="IE691" s="1"/>
      <c r="IG691" s="1"/>
      <c r="IH691" s="1"/>
      <c r="IR691" s="1"/>
      <c r="IS691" s="1"/>
      <c r="IW691" s="1"/>
      <c r="IY691" s="1"/>
      <c r="IZ691" s="1"/>
      <c r="JA691" s="1"/>
      <c r="JC691" s="1"/>
      <c r="JF691" s="1"/>
      <c r="JG691" s="1"/>
      <c r="JH691" s="1"/>
      <c r="JI691" s="1"/>
      <c r="JJ691" s="1"/>
      <c r="JK691" s="1"/>
      <c r="JL691" s="3"/>
      <c r="JM691" s="1"/>
      <c r="JN691" s="1"/>
      <c r="JP691" s="1"/>
      <c r="JQ691" s="1"/>
      <c r="JR691" s="1"/>
      <c r="JT691" s="1"/>
      <c r="KU691" s="1"/>
      <c r="KV691" s="1"/>
      <c r="KW691" s="1"/>
      <c r="KY691" s="1"/>
      <c r="KZ691" s="1"/>
      <c r="LA691" s="1"/>
      <c r="LB691" s="1"/>
      <c r="LC691" s="1"/>
      <c r="LD691" s="1"/>
      <c r="LF691" s="1"/>
      <c r="LN691" s="1"/>
      <c r="LO691" s="1"/>
      <c r="LP691" s="1"/>
      <c r="LZ691" s="1"/>
      <c r="MA691" s="1"/>
    </row>
    <row r="692" spans="4:339" ht="13" x14ac:dyDescent="0.15">
      <c r="D692" s="12"/>
      <c r="E692" s="12"/>
      <c r="I692" s="12"/>
      <c r="J692" s="13"/>
      <c r="BF692" s="1"/>
      <c r="BG692" s="1"/>
      <c r="BH692" s="1"/>
      <c r="BI692" s="1"/>
      <c r="BK692" s="1"/>
      <c r="BL692" s="1"/>
      <c r="BM692" s="1"/>
      <c r="BN692" s="1"/>
      <c r="BO692" s="1"/>
      <c r="BP692" s="1"/>
      <c r="BQ692" s="1"/>
      <c r="BR692" s="1"/>
      <c r="CD692" s="1"/>
      <c r="CE692" s="1"/>
      <c r="CF692" s="1"/>
      <c r="CG692" s="1"/>
      <c r="CH692" s="1"/>
      <c r="CI692" s="1"/>
      <c r="CM692" s="2"/>
      <c r="CN692" s="1"/>
      <c r="CO692" s="1"/>
      <c r="CP692" s="1"/>
      <c r="CQ692" s="1"/>
      <c r="CR692" s="1"/>
      <c r="CS692" s="1"/>
      <c r="CT692" s="1"/>
      <c r="CU692" s="1"/>
      <c r="CV692" s="1"/>
      <c r="CW692" s="1"/>
      <c r="CX692" s="1"/>
      <c r="CY692" s="1"/>
      <c r="CZ692" s="1"/>
      <c r="DA692" s="1"/>
      <c r="DB692" s="1"/>
      <c r="DC692" s="1"/>
      <c r="DD692" s="1"/>
      <c r="DE692" s="1"/>
      <c r="DF692" s="1"/>
      <c r="DG692" s="1"/>
      <c r="DH692" s="1"/>
      <c r="DI692" s="1"/>
      <c r="DJ692" s="1"/>
      <c r="DK692" s="1"/>
      <c r="DM692" s="1"/>
      <c r="DQ692" s="1"/>
      <c r="DR692" s="1"/>
      <c r="DY692" s="1"/>
      <c r="DZ692" s="1"/>
      <c r="ED692" s="1"/>
      <c r="EK692" s="1"/>
      <c r="EL692" s="1"/>
      <c r="EM692" s="1"/>
      <c r="EN692" s="1"/>
      <c r="EQ692" s="1"/>
      <c r="ER692" s="1"/>
      <c r="ES692" s="1"/>
      <c r="EV692" s="1"/>
      <c r="EW692" s="1"/>
      <c r="EZ692" s="1"/>
      <c r="FA692" s="1"/>
      <c r="FD692" s="1"/>
      <c r="GD692" s="1"/>
      <c r="GE692" s="1"/>
      <c r="GF692" s="1"/>
      <c r="GG692" s="1"/>
      <c r="GH692" s="1"/>
      <c r="GI692" s="1"/>
      <c r="GJ692" s="1"/>
      <c r="GP692" s="1"/>
      <c r="HH692" s="1"/>
      <c r="HN692" s="1"/>
      <c r="HT692" s="1"/>
      <c r="HY692" s="1"/>
      <c r="ID692" s="1"/>
      <c r="IE692" s="1"/>
      <c r="IG692" s="1"/>
      <c r="IH692" s="1"/>
      <c r="IR692" s="1"/>
      <c r="IS692" s="1"/>
      <c r="IW692" s="1"/>
      <c r="IY692" s="1"/>
      <c r="IZ692" s="1"/>
      <c r="JA692" s="1"/>
      <c r="JC692" s="1"/>
      <c r="JF692" s="1"/>
      <c r="JG692" s="1"/>
      <c r="JH692" s="1"/>
      <c r="JI692" s="1"/>
      <c r="JJ692" s="1"/>
      <c r="JK692" s="1"/>
      <c r="JL692" s="3"/>
      <c r="JM692" s="1"/>
      <c r="JN692" s="1"/>
      <c r="JP692" s="1"/>
      <c r="JQ692" s="1"/>
      <c r="JR692" s="1"/>
      <c r="JT692" s="1"/>
      <c r="KU692" s="1"/>
      <c r="KV692" s="1"/>
      <c r="KW692" s="1"/>
      <c r="KY692" s="1"/>
      <c r="KZ692" s="1"/>
      <c r="LA692" s="1"/>
      <c r="LB692" s="1"/>
      <c r="LC692" s="1"/>
      <c r="LD692" s="1"/>
      <c r="LF692" s="1"/>
      <c r="LN692" s="1"/>
      <c r="LO692" s="1"/>
      <c r="LP692" s="1"/>
      <c r="LZ692" s="1"/>
      <c r="MA692" s="1"/>
    </row>
    <row r="693" spans="4:339" ht="13" x14ac:dyDescent="0.15">
      <c r="D693" s="12"/>
      <c r="E693" s="12"/>
      <c r="I693" s="12"/>
      <c r="J693" s="13"/>
      <c r="BF693" s="1"/>
      <c r="BG693" s="1"/>
      <c r="BH693" s="1"/>
      <c r="BI693" s="1"/>
      <c r="BK693" s="1"/>
      <c r="BL693" s="1"/>
      <c r="BM693" s="1"/>
      <c r="BN693" s="1"/>
      <c r="BO693" s="1"/>
      <c r="BP693" s="1"/>
      <c r="BQ693" s="1"/>
      <c r="BR693" s="1"/>
      <c r="CD693" s="1"/>
      <c r="CE693" s="1"/>
      <c r="CF693" s="1"/>
      <c r="CG693" s="1"/>
      <c r="CH693" s="1"/>
      <c r="CI693" s="1"/>
      <c r="CM693" s="2"/>
      <c r="CN693" s="1"/>
      <c r="CO693" s="1"/>
      <c r="CP693" s="1"/>
      <c r="CQ693" s="1"/>
      <c r="CR693" s="1"/>
      <c r="CS693" s="1"/>
      <c r="CT693" s="1"/>
      <c r="CU693" s="1"/>
      <c r="CV693" s="1"/>
      <c r="CW693" s="1"/>
      <c r="CX693" s="1"/>
      <c r="CY693" s="1"/>
      <c r="CZ693" s="1"/>
      <c r="DA693" s="1"/>
      <c r="DB693" s="1"/>
      <c r="DC693" s="1"/>
      <c r="DD693" s="1"/>
      <c r="DE693" s="1"/>
      <c r="DF693" s="1"/>
      <c r="DG693" s="1"/>
      <c r="DH693" s="1"/>
      <c r="DI693" s="1"/>
      <c r="DJ693" s="1"/>
      <c r="DK693" s="1"/>
      <c r="DM693" s="1"/>
      <c r="DQ693" s="1"/>
      <c r="DR693" s="1"/>
      <c r="DY693" s="1"/>
      <c r="DZ693" s="1"/>
      <c r="ED693" s="1"/>
      <c r="EK693" s="1"/>
      <c r="EL693" s="1"/>
      <c r="EM693" s="1"/>
      <c r="EN693" s="1"/>
      <c r="EQ693" s="1"/>
      <c r="ER693" s="1"/>
      <c r="ES693" s="1"/>
      <c r="EV693" s="1"/>
      <c r="EW693" s="1"/>
      <c r="EZ693" s="1"/>
      <c r="FA693" s="1"/>
      <c r="FD693" s="1"/>
      <c r="GD693" s="1"/>
      <c r="GE693" s="1"/>
      <c r="GF693" s="1"/>
      <c r="GG693" s="1"/>
      <c r="GH693" s="1"/>
      <c r="GI693" s="1"/>
      <c r="GJ693" s="1"/>
      <c r="GP693" s="1"/>
      <c r="HH693" s="1"/>
      <c r="HN693" s="1"/>
      <c r="HT693" s="1"/>
      <c r="HY693" s="1"/>
      <c r="ID693" s="1"/>
      <c r="IE693" s="1"/>
      <c r="IG693" s="1"/>
      <c r="IH693" s="1"/>
      <c r="IR693" s="1"/>
      <c r="IS693" s="1"/>
      <c r="IW693" s="1"/>
      <c r="IY693" s="1"/>
      <c r="IZ693" s="1"/>
      <c r="JA693" s="1"/>
      <c r="JC693" s="1"/>
      <c r="JF693" s="1"/>
      <c r="JG693" s="1"/>
      <c r="JH693" s="1"/>
      <c r="JI693" s="1"/>
      <c r="JJ693" s="1"/>
      <c r="JK693" s="1"/>
      <c r="JL693" s="3"/>
      <c r="JM693" s="1"/>
      <c r="JN693" s="1"/>
      <c r="JP693" s="1"/>
      <c r="JQ693" s="1"/>
      <c r="JR693" s="1"/>
      <c r="JT693" s="1"/>
      <c r="KU693" s="1"/>
      <c r="KV693" s="1"/>
      <c r="KW693" s="1"/>
      <c r="KY693" s="1"/>
      <c r="KZ693" s="1"/>
      <c r="LA693" s="1"/>
      <c r="LB693" s="1"/>
      <c r="LC693" s="1"/>
      <c r="LD693" s="1"/>
      <c r="LF693" s="1"/>
      <c r="LN693" s="1"/>
      <c r="LO693" s="1"/>
      <c r="LP693" s="1"/>
      <c r="LZ693" s="1"/>
      <c r="MA693" s="1"/>
    </row>
    <row r="694" spans="4:339" ht="13" x14ac:dyDescent="0.15">
      <c r="D694" s="12"/>
      <c r="E694" s="12"/>
      <c r="I694" s="12"/>
      <c r="J694" s="13"/>
      <c r="BF694" s="1"/>
      <c r="BG694" s="1"/>
      <c r="BH694" s="1"/>
      <c r="BI694" s="1"/>
      <c r="BK694" s="1"/>
      <c r="BL694" s="1"/>
      <c r="BM694" s="1"/>
      <c r="BN694" s="1"/>
      <c r="BO694" s="1"/>
      <c r="BP694" s="1"/>
      <c r="BQ694" s="1"/>
      <c r="BR694" s="1"/>
      <c r="CD694" s="1"/>
      <c r="CE694" s="1"/>
      <c r="CF694" s="1"/>
      <c r="CG694" s="1"/>
      <c r="CH694" s="1"/>
      <c r="CI694" s="1"/>
      <c r="CM694" s="2"/>
      <c r="CN694" s="1"/>
      <c r="CO694" s="1"/>
      <c r="CP694" s="1"/>
      <c r="CQ694" s="1"/>
      <c r="CR694" s="1"/>
      <c r="CS694" s="1"/>
      <c r="CT694" s="1"/>
      <c r="CU694" s="1"/>
      <c r="CV694" s="1"/>
      <c r="CW694" s="1"/>
      <c r="CX694" s="1"/>
      <c r="CY694" s="1"/>
      <c r="CZ694" s="1"/>
      <c r="DA694" s="1"/>
      <c r="DB694" s="1"/>
      <c r="DC694" s="1"/>
      <c r="DD694" s="1"/>
      <c r="DE694" s="1"/>
      <c r="DF694" s="1"/>
      <c r="DG694" s="1"/>
      <c r="DH694" s="1"/>
      <c r="DI694" s="1"/>
      <c r="DJ694" s="1"/>
      <c r="DK694" s="1"/>
      <c r="DM694" s="1"/>
      <c r="DQ694" s="1"/>
      <c r="DR694" s="1"/>
      <c r="DY694" s="1"/>
      <c r="DZ694" s="1"/>
      <c r="ED694" s="1"/>
      <c r="EK694" s="1"/>
      <c r="EL694" s="1"/>
      <c r="EM694" s="1"/>
      <c r="EN694" s="1"/>
      <c r="EQ694" s="1"/>
      <c r="ER694" s="1"/>
      <c r="ES694" s="1"/>
      <c r="EV694" s="1"/>
      <c r="EW694" s="1"/>
      <c r="EZ694" s="1"/>
      <c r="FA694" s="1"/>
      <c r="FD694" s="1"/>
      <c r="GD694" s="1"/>
      <c r="GE694" s="1"/>
      <c r="GF694" s="1"/>
      <c r="GG694" s="1"/>
      <c r="GH694" s="1"/>
      <c r="GI694" s="1"/>
      <c r="GJ694" s="1"/>
      <c r="GP694" s="1"/>
      <c r="HH694" s="1"/>
      <c r="HN694" s="1"/>
      <c r="HT694" s="1"/>
      <c r="HY694" s="1"/>
      <c r="ID694" s="1"/>
      <c r="IE694" s="1"/>
      <c r="IG694" s="1"/>
      <c r="IH694" s="1"/>
      <c r="IR694" s="1"/>
      <c r="IS694" s="1"/>
      <c r="IW694" s="1"/>
      <c r="IY694" s="1"/>
      <c r="IZ694" s="1"/>
      <c r="JA694" s="1"/>
      <c r="JC694" s="1"/>
      <c r="JF694" s="1"/>
      <c r="JG694" s="1"/>
      <c r="JH694" s="1"/>
      <c r="JI694" s="1"/>
      <c r="JJ694" s="1"/>
      <c r="JK694" s="1"/>
      <c r="JL694" s="3"/>
      <c r="JM694" s="1"/>
      <c r="JN694" s="1"/>
      <c r="JP694" s="1"/>
      <c r="JQ694" s="1"/>
      <c r="JR694" s="1"/>
      <c r="JT694" s="1"/>
      <c r="KU694" s="1"/>
      <c r="KV694" s="1"/>
      <c r="KW694" s="1"/>
      <c r="KY694" s="1"/>
      <c r="KZ694" s="1"/>
      <c r="LA694" s="1"/>
      <c r="LB694" s="1"/>
      <c r="LC694" s="1"/>
      <c r="LD694" s="1"/>
      <c r="LF694" s="1"/>
      <c r="LN694" s="1"/>
      <c r="LO694" s="1"/>
      <c r="LP694" s="1"/>
      <c r="LZ694" s="1"/>
      <c r="MA694" s="1"/>
    </row>
    <row r="695" spans="4:339" ht="13" x14ac:dyDescent="0.15">
      <c r="D695" s="12"/>
      <c r="E695" s="12"/>
      <c r="I695" s="12"/>
      <c r="J695" s="13"/>
      <c r="BF695" s="1"/>
      <c r="BG695" s="1"/>
      <c r="BH695" s="1"/>
      <c r="BI695" s="1"/>
      <c r="BK695" s="1"/>
      <c r="BL695" s="1"/>
      <c r="BM695" s="1"/>
      <c r="BN695" s="1"/>
      <c r="BO695" s="1"/>
      <c r="BP695" s="1"/>
      <c r="BQ695" s="1"/>
      <c r="BR695" s="1"/>
      <c r="CD695" s="1"/>
      <c r="CE695" s="1"/>
      <c r="CF695" s="1"/>
      <c r="CG695" s="1"/>
      <c r="CH695" s="1"/>
      <c r="CI695" s="1"/>
      <c r="CM695" s="2"/>
      <c r="CN695" s="1"/>
      <c r="CO695" s="1"/>
      <c r="CP695" s="1"/>
      <c r="CQ695" s="1"/>
      <c r="CR695" s="1"/>
      <c r="CS695" s="1"/>
      <c r="CT695" s="1"/>
      <c r="CU695" s="1"/>
      <c r="CV695" s="1"/>
      <c r="CW695" s="1"/>
      <c r="CX695" s="1"/>
      <c r="CY695" s="1"/>
      <c r="CZ695" s="1"/>
      <c r="DA695" s="1"/>
      <c r="DB695" s="1"/>
      <c r="DC695" s="1"/>
      <c r="DD695" s="1"/>
      <c r="DE695" s="1"/>
      <c r="DF695" s="1"/>
      <c r="DG695" s="1"/>
      <c r="DH695" s="1"/>
      <c r="DI695" s="1"/>
      <c r="DJ695" s="1"/>
      <c r="DK695" s="1"/>
      <c r="DM695" s="1"/>
      <c r="DQ695" s="1"/>
      <c r="DR695" s="1"/>
      <c r="DY695" s="1"/>
      <c r="DZ695" s="1"/>
      <c r="ED695" s="1"/>
      <c r="EK695" s="1"/>
      <c r="EL695" s="1"/>
      <c r="EM695" s="1"/>
      <c r="EN695" s="1"/>
      <c r="EQ695" s="1"/>
      <c r="ER695" s="1"/>
      <c r="ES695" s="1"/>
      <c r="EV695" s="1"/>
      <c r="EW695" s="1"/>
      <c r="EZ695" s="1"/>
      <c r="FA695" s="1"/>
      <c r="FD695" s="1"/>
      <c r="GD695" s="1"/>
      <c r="GE695" s="1"/>
      <c r="GF695" s="1"/>
      <c r="GG695" s="1"/>
      <c r="GH695" s="1"/>
      <c r="GI695" s="1"/>
      <c r="GJ695" s="1"/>
      <c r="GP695" s="1"/>
      <c r="HH695" s="1"/>
      <c r="HN695" s="1"/>
      <c r="HT695" s="1"/>
      <c r="HY695" s="1"/>
      <c r="ID695" s="1"/>
      <c r="IE695" s="1"/>
      <c r="IG695" s="1"/>
      <c r="IH695" s="1"/>
      <c r="IR695" s="1"/>
      <c r="IS695" s="1"/>
      <c r="IW695" s="1"/>
      <c r="IY695" s="1"/>
      <c r="IZ695" s="1"/>
      <c r="JA695" s="1"/>
      <c r="JC695" s="1"/>
      <c r="JF695" s="1"/>
      <c r="JG695" s="1"/>
      <c r="JH695" s="1"/>
      <c r="JI695" s="1"/>
      <c r="JJ695" s="1"/>
      <c r="JK695" s="1"/>
      <c r="JL695" s="3"/>
      <c r="JM695" s="1"/>
      <c r="JN695" s="1"/>
      <c r="JP695" s="1"/>
      <c r="JQ695" s="1"/>
      <c r="JR695" s="1"/>
      <c r="JT695" s="1"/>
      <c r="KU695" s="1"/>
      <c r="KV695" s="1"/>
      <c r="KW695" s="1"/>
      <c r="KY695" s="1"/>
      <c r="KZ695" s="1"/>
      <c r="LA695" s="1"/>
      <c r="LB695" s="1"/>
      <c r="LC695" s="1"/>
      <c r="LD695" s="1"/>
      <c r="LF695" s="1"/>
      <c r="LN695" s="1"/>
      <c r="LO695" s="1"/>
      <c r="LP695" s="1"/>
      <c r="LZ695" s="1"/>
      <c r="MA695" s="1"/>
    </row>
    <row r="696" spans="4:339" ht="13" x14ac:dyDescent="0.15">
      <c r="D696" s="12"/>
      <c r="E696" s="12"/>
      <c r="I696" s="12"/>
      <c r="J696" s="13"/>
      <c r="BF696" s="1"/>
      <c r="BG696" s="1"/>
      <c r="BH696" s="1"/>
      <c r="BI696" s="1"/>
      <c r="BK696" s="1"/>
      <c r="BL696" s="1"/>
      <c r="BM696" s="1"/>
      <c r="BN696" s="1"/>
      <c r="BO696" s="1"/>
      <c r="BP696" s="1"/>
      <c r="BQ696" s="1"/>
      <c r="BR696" s="1"/>
      <c r="CD696" s="1"/>
      <c r="CE696" s="1"/>
      <c r="CF696" s="1"/>
      <c r="CG696" s="1"/>
      <c r="CH696" s="1"/>
      <c r="CI696" s="1"/>
      <c r="CM696" s="2"/>
      <c r="CN696" s="1"/>
      <c r="CO696" s="1"/>
      <c r="CP696" s="1"/>
      <c r="CQ696" s="1"/>
      <c r="CR696" s="1"/>
      <c r="CS696" s="1"/>
      <c r="CT696" s="1"/>
      <c r="CU696" s="1"/>
      <c r="CV696" s="1"/>
      <c r="CW696" s="1"/>
      <c r="CX696" s="1"/>
      <c r="CY696" s="1"/>
      <c r="CZ696" s="1"/>
      <c r="DA696" s="1"/>
      <c r="DB696" s="1"/>
      <c r="DC696" s="1"/>
      <c r="DD696" s="1"/>
      <c r="DE696" s="1"/>
      <c r="DF696" s="1"/>
      <c r="DG696" s="1"/>
      <c r="DH696" s="1"/>
      <c r="DI696" s="1"/>
      <c r="DJ696" s="1"/>
      <c r="DK696" s="1"/>
      <c r="DM696" s="1"/>
      <c r="DQ696" s="1"/>
      <c r="DR696" s="1"/>
      <c r="DY696" s="1"/>
      <c r="DZ696" s="1"/>
      <c r="ED696" s="1"/>
      <c r="EK696" s="1"/>
      <c r="EL696" s="1"/>
      <c r="EM696" s="1"/>
      <c r="EN696" s="1"/>
      <c r="EQ696" s="1"/>
      <c r="ER696" s="1"/>
      <c r="ES696" s="1"/>
      <c r="EV696" s="1"/>
      <c r="EW696" s="1"/>
      <c r="EZ696" s="1"/>
      <c r="FA696" s="1"/>
      <c r="FD696" s="1"/>
      <c r="GD696" s="1"/>
      <c r="GE696" s="1"/>
      <c r="GF696" s="1"/>
      <c r="GG696" s="1"/>
      <c r="GH696" s="1"/>
      <c r="GI696" s="1"/>
      <c r="GJ696" s="1"/>
      <c r="GP696" s="1"/>
      <c r="HH696" s="1"/>
      <c r="HN696" s="1"/>
      <c r="HT696" s="1"/>
      <c r="HY696" s="1"/>
      <c r="ID696" s="1"/>
      <c r="IE696" s="1"/>
      <c r="IG696" s="1"/>
      <c r="IH696" s="1"/>
      <c r="IR696" s="1"/>
      <c r="IS696" s="1"/>
      <c r="IW696" s="1"/>
      <c r="IY696" s="1"/>
      <c r="IZ696" s="1"/>
      <c r="JA696" s="1"/>
      <c r="JC696" s="1"/>
      <c r="JF696" s="1"/>
      <c r="JG696" s="1"/>
      <c r="JH696" s="1"/>
      <c r="JI696" s="1"/>
      <c r="JJ696" s="1"/>
      <c r="JK696" s="1"/>
      <c r="JL696" s="3"/>
      <c r="JM696" s="1"/>
      <c r="JN696" s="1"/>
      <c r="JP696" s="1"/>
      <c r="JQ696" s="1"/>
      <c r="JR696" s="1"/>
      <c r="JT696" s="1"/>
      <c r="KU696" s="1"/>
      <c r="KV696" s="1"/>
      <c r="KW696" s="1"/>
      <c r="KY696" s="1"/>
      <c r="KZ696" s="1"/>
      <c r="LA696" s="1"/>
      <c r="LB696" s="1"/>
      <c r="LC696" s="1"/>
      <c r="LD696" s="1"/>
      <c r="LF696" s="1"/>
      <c r="LN696" s="1"/>
      <c r="LO696" s="1"/>
      <c r="LP696" s="1"/>
      <c r="LZ696" s="1"/>
      <c r="MA696" s="1"/>
    </row>
    <row r="697" spans="4:339" ht="13" x14ac:dyDescent="0.15">
      <c r="D697" s="12"/>
      <c r="E697" s="12"/>
      <c r="I697" s="12"/>
      <c r="J697" s="13"/>
      <c r="BF697" s="1"/>
      <c r="BG697" s="1"/>
      <c r="BH697" s="1"/>
      <c r="BI697" s="1"/>
      <c r="BJ697" s="1"/>
      <c r="BK697" s="1"/>
      <c r="BL697" s="1"/>
      <c r="BM697" s="1"/>
      <c r="BN697" s="1"/>
      <c r="BO697" s="1"/>
      <c r="BP697" s="1"/>
      <c r="BQ697" s="1"/>
      <c r="BR697" s="1"/>
      <c r="BX697" s="1"/>
      <c r="CD697" s="1"/>
      <c r="CE697" s="1"/>
      <c r="CF697" s="1"/>
      <c r="CG697" s="1"/>
      <c r="CH697" s="1"/>
      <c r="CI697" s="1"/>
      <c r="CM697" s="2"/>
      <c r="CN697" s="1"/>
      <c r="CO697" s="1"/>
      <c r="CP697" s="1"/>
      <c r="CQ697" s="1"/>
      <c r="CR697" s="1"/>
      <c r="CT697" s="1"/>
      <c r="CU697" s="1"/>
      <c r="CV697" s="1"/>
      <c r="CW697" s="1"/>
      <c r="CX697" s="1"/>
      <c r="CY697" s="1"/>
      <c r="CZ697" s="1"/>
      <c r="DA697" s="1"/>
      <c r="DB697" s="1"/>
      <c r="DC697" s="1"/>
      <c r="DD697" s="1"/>
      <c r="DE697" s="1"/>
      <c r="DF697" s="1"/>
      <c r="DG697" s="1"/>
      <c r="DH697" s="1"/>
      <c r="DI697" s="1"/>
      <c r="DJ697" s="1"/>
      <c r="DK697" s="1"/>
      <c r="DM697" s="1"/>
      <c r="DQ697" s="1"/>
      <c r="DR697" s="1"/>
      <c r="DY697" s="1"/>
      <c r="DZ697" s="1"/>
      <c r="ED697" s="1"/>
      <c r="EK697" s="1"/>
      <c r="EL697" s="1"/>
      <c r="EM697" s="1"/>
      <c r="EN697" s="1"/>
      <c r="EQ697" s="1"/>
      <c r="ER697" s="1"/>
      <c r="ES697" s="1"/>
      <c r="EV697" s="1"/>
      <c r="EW697" s="1"/>
      <c r="EZ697" s="1"/>
      <c r="FA697" s="1"/>
      <c r="FD697" s="1"/>
      <c r="FG697" s="1"/>
      <c r="FH697" s="1"/>
      <c r="FJ697" s="1"/>
      <c r="FN697" s="1"/>
      <c r="FO697" s="1"/>
      <c r="FP697" s="1"/>
      <c r="FQ697" s="1"/>
      <c r="FS697" s="1"/>
      <c r="FT697" s="1"/>
      <c r="FV697" s="1"/>
      <c r="FW697" s="1"/>
      <c r="FX697" s="1"/>
      <c r="FY697" s="1"/>
      <c r="FZ697" s="1"/>
      <c r="GA697" s="1"/>
      <c r="GD697" s="1"/>
      <c r="GE697" s="1"/>
      <c r="GF697" s="1"/>
      <c r="GG697" s="1"/>
      <c r="GH697" s="1"/>
      <c r="GI697" s="1"/>
      <c r="GJ697" s="1"/>
      <c r="GL697" s="1"/>
      <c r="GM697" s="1"/>
      <c r="GN697" s="1"/>
      <c r="GP697" s="1"/>
      <c r="GR697" s="1"/>
      <c r="HH697" s="1"/>
      <c r="HN697" s="1"/>
      <c r="HR697" s="1"/>
      <c r="HS697" s="1"/>
      <c r="HT697" s="1"/>
      <c r="HY697" s="1"/>
      <c r="IE697" s="1"/>
      <c r="IR697" s="1"/>
      <c r="IS697" s="1"/>
      <c r="IY697" s="1"/>
      <c r="IZ697" s="1"/>
      <c r="JC697" s="1"/>
      <c r="JF697" s="1"/>
      <c r="JG697" s="1"/>
      <c r="JI697" s="1"/>
      <c r="JJ697" s="1"/>
      <c r="JN697" s="1"/>
      <c r="JP697" s="1"/>
      <c r="JQ697" s="1"/>
      <c r="KV697" s="1"/>
      <c r="KY697" s="1"/>
      <c r="KZ697" s="1"/>
      <c r="LA697" s="1"/>
      <c r="LB697" s="1"/>
      <c r="LC697" s="1"/>
      <c r="LD697" s="1"/>
      <c r="LO697" s="1"/>
      <c r="LP697" s="1"/>
      <c r="LZ697" s="1"/>
      <c r="MA697" s="1"/>
    </row>
    <row r="698" spans="4:339" ht="13" x14ac:dyDescent="0.15">
      <c r="D698" s="12"/>
      <c r="E698" s="12"/>
      <c r="I698" s="12"/>
      <c r="J698" s="13"/>
      <c r="BF698" s="1"/>
      <c r="BG698" s="1"/>
      <c r="BH698" s="1"/>
      <c r="BI698" s="1"/>
      <c r="BJ698" s="1"/>
      <c r="BK698" s="1"/>
      <c r="BL698" s="1"/>
      <c r="BM698" s="1"/>
      <c r="BN698" s="1"/>
      <c r="BO698" s="1"/>
      <c r="BP698" s="1"/>
      <c r="BQ698" s="1"/>
      <c r="BR698" s="1"/>
      <c r="BX698" s="1"/>
      <c r="CD698" s="1"/>
      <c r="CE698" s="1"/>
      <c r="CF698" s="1"/>
      <c r="CG698" s="1"/>
      <c r="CH698" s="1"/>
      <c r="CI698" s="1"/>
      <c r="CM698" s="2"/>
      <c r="CN698" s="1"/>
      <c r="CO698" s="1"/>
      <c r="CP698" s="1"/>
      <c r="CQ698" s="1"/>
      <c r="CR698" s="1"/>
      <c r="CT698" s="1"/>
      <c r="CU698" s="1"/>
      <c r="CV698" s="1"/>
      <c r="CW698" s="1"/>
      <c r="CX698" s="1"/>
      <c r="CY698" s="1"/>
      <c r="CZ698" s="1"/>
      <c r="DA698" s="1"/>
      <c r="DB698" s="1"/>
      <c r="DC698" s="1"/>
      <c r="DD698" s="1"/>
      <c r="DE698" s="1"/>
      <c r="DF698" s="1"/>
      <c r="DG698" s="1"/>
      <c r="DH698" s="1"/>
      <c r="DI698" s="1"/>
      <c r="DJ698" s="1"/>
      <c r="DK698" s="1"/>
      <c r="DM698" s="1"/>
      <c r="DQ698" s="1"/>
      <c r="DR698" s="1"/>
      <c r="DY698" s="1"/>
      <c r="DZ698" s="1"/>
      <c r="ED698" s="1"/>
      <c r="EK698" s="1"/>
      <c r="EL698" s="1"/>
      <c r="EM698" s="1"/>
      <c r="EN698" s="1"/>
      <c r="EQ698" s="1"/>
      <c r="ER698" s="1"/>
      <c r="ES698" s="1"/>
      <c r="EV698" s="1"/>
      <c r="EW698" s="1"/>
      <c r="EZ698" s="1"/>
      <c r="FA698" s="1"/>
      <c r="FD698" s="1"/>
      <c r="FG698" s="1"/>
      <c r="FH698" s="1"/>
      <c r="FJ698" s="1"/>
      <c r="FN698" s="1"/>
      <c r="FO698" s="1"/>
      <c r="FP698" s="1"/>
      <c r="FQ698" s="1"/>
      <c r="FS698" s="1"/>
      <c r="FT698" s="1"/>
      <c r="FV698" s="1"/>
      <c r="FW698" s="1"/>
      <c r="FX698" s="1"/>
      <c r="FY698" s="1"/>
      <c r="FZ698" s="1"/>
      <c r="GA698" s="1"/>
      <c r="GD698" s="1"/>
      <c r="GE698" s="1"/>
      <c r="GF698" s="1"/>
      <c r="GG698" s="1"/>
      <c r="GH698" s="1"/>
      <c r="GI698" s="1"/>
      <c r="GJ698" s="1"/>
      <c r="GL698" s="1"/>
      <c r="GM698" s="1"/>
      <c r="GN698" s="1"/>
      <c r="GP698" s="1"/>
      <c r="GR698" s="1"/>
      <c r="HH698" s="1"/>
      <c r="HN698" s="1"/>
      <c r="HR698" s="1"/>
      <c r="HS698" s="1"/>
      <c r="HT698" s="1"/>
      <c r="HY698" s="1"/>
      <c r="IE698" s="1"/>
      <c r="IR698" s="1"/>
      <c r="IS698" s="1"/>
      <c r="IY698" s="1"/>
      <c r="IZ698" s="1"/>
      <c r="JC698" s="1"/>
      <c r="JF698" s="1"/>
      <c r="JG698" s="1"/>
      <c r="JI698" s="1"/>
      <c r="JJ698" s="1"/>
      <c r="JN698" s="1"/>
      <c r="JP698" s="1"/>
      <c r="JQ698" s="1"/>
      <c r="KV698" s="1"/>
      <c r="KY698" s="1"/>
      <c r="KZ698" s="1"/>
      <c r="LA698" s="1"/>
      <c r="LB698" s="1"/>
      <c r="LC698" s="1"/>
      <c r="LD698" s="1"/>
      <c r="LO698" s="1"/>
      <c r="LP698" s="1"/>
      <c r="LZ698" s="1"/>
      <c r="MA698" s="1"/>
    </row>
    <row r="699" spans="4:339" ht="13" x14ac:dyDescent="0.15">
      <c r="D699" s="12"/>
      <c r="E699" s="12"/>
      <c r="I699" s="12"/>
      <c r="J699" s="13"/>
      <c r="BF699" s="1"/>
      <c r="BG699" s="1"/>
      <c r="BH699" s="1"/>
      <c r="BI699" s="1"/>
      <c r="BJ699" s="1"/>
      <c r="BK699" s="1"/>
      <c r="BL699" s="1"/>
      <c r="BM699" s="1"/>
      <c r="BN699" s="1"/>
      <c r="BO699" s="1"/>
      <c r="BP699" s="1"/>
      <c r="BQ699" s="1"/>
      <c r="BR699" s="1"/>
      <c r="BX699" s="1"/>
      <c r="CD699" s="1"/>
      <c r="CE699" s="1"/>
      <c r="CF699" s="1"/>
      <c r="CG699" s="1"/>
      <c r="CH699" s="1"/>
      <c r="CI699" s="1"/>
      <c r="CM699" s="2"/>
      <c r="CN699" s="1"/>
      <c r="CO699" s="1"/>
      <c r="CP699" s="1"/>
      <c r="CQ699" s="1"/>
      <c r="CR699" s="1"/>
      <c r="CT699" s="1"/>
      <c r="CU699" s="1"/>
      <c r="CV699" s="1"/>
      <c r="CW699" s="1"/>
      <c r="CX699" s="1"/>
      <c r="CY699" s="1"/>
      <c r="CZ699" s="1"/>
      <c r="DA699" s="1"/>
      <c r="DB699" s="1"/>
      <c r="DC699" s="1"/>
      <c r="DD699" s="1"/>
      <c r="DE699" s="1"/>
      <c r="DF699" s="1"/>
      <c r="DG699" s="1"/>
      <c r="DH699" s="1"/>
      <c r="DI699" s="1"/>
      <c r="DJ699" s="1"/>
      <c r="DK699" s="1"/>
      <c r="DM699" s="1"/>
      <c r="DQ699" s="1"/>
      <c r="DR699" s="1"/>
      <c r="DY699" s="1"/>
      <c r="DZ699" s="1"/>
      <c r="ED699" s="1"/>
      <c r="EK699" s="1"/>
      <c r="EL699" s="1"/>
      <c r="EM699" s="1"/>
      <c r="EN699" s="1"/>
      <c r="EQ699" s="1"/>
      <c r="ER699" s="1"/>
      <c r="ES699" s="1"/>
      <c r="EV699" s="1"/>
      <c r="EW699" s="1"/>
      <c r="EZ699" s="1"/>
      <c r="FA699" s="1"/>
      <c r="FD699" s="1"/>
      <c r="FG699" s="1"/>
      <c r="FH699" s="1"/>
      <c r="FJ699" s="1"/>
      <c r="FN699" s="1"/>
      <c r="FO699" s="1"/>
      <c r="FP699" s="1"/>
      <c r="FQ699" s="1"/>
      <c r="FS699" s="1"/>
      <c r="FT699" s="1"/>
      <c r="FV699" s="1"/>
      <c r="FW699" s="1"/>
      <c r="FX699" s="1"/>
      <c r="FY699" s="1"/>
      <c r="FZ699" s="1"/>
      <c r="GA699" s="1"/>
      <c r="GD699" s="1"/>
      <c r="GE699" s="1"/>
      <c r="GF699" s="1"/>
      <c r="GG699" s="1"/>
      <c r="GH699" s="1"/>
      <c r="GI699" s="1"/>
      <c r="GJ699" s="1"/>
      <c r="GL699" s="1"/>
      <c r="GM699" s="1"/>
      <c r="GN699" s="1"/>
      <c r="GP699" s="1"/>
      <c r="GR699" s="1"/>
      <c r="HH699" s="1"/>
      <c r="HN699" s="1"/>
      <c r="HR699" s="1"/>
      <c r="HS699" s="1"/>
      <c r="HT699" s="1"/>
      <c r="HY699" s="1"/>
      <c r="IE699" s="1"/>
      <c r="IR699" s="1"/>
      <c r="IS699" s="1"/>
      <c r="IY699" s="1"/>
      <c r="IZ699" s="1"/>
      <c r="JC699" s="1"/>
      <c r="JF699" s="1"/>
      <c r="JG699" s="1"/>
      <c r="JI699" s="1"/>
      <c r="JJ699" s="1"/>
      <c r="JN699" s="1"/>
      <c r="JP699" s="1"/>
      <c r="JQ699" s="1"/>
      <c r="KV699" s="1"/>
      <c r="KY699" s="1"/>
      <c r="KZ699" s="1"/>
      <c r="LA699" s="1"/>
      <c r="LB699" s="1"/>
      <c r="LC699" s="1"/>
      <c r="LD699" s="1"/>
      <c r="LO699" s="1"/>
      <c r="LP699" s="1"/>
      <c r="LZ699" s="1"/>
      <c r="MA699" s="1"/>
    </row>
    <row r="700" spans="4:339" ht="13" x14ac:dyDescent="0.15">
      <c r="D700" s="12"/>
      <c r="E700" s="12"/>
      <c r="I700" s="12"/>
      <c r="J700" s="13"/>
      <c r="BF700" s="1"/>
      <c r="BG700" s="1"/>
      <c r="BH700" s="1"/>
      <c r="BI700" s="1"/>
      <c r="BK700" s="1"/>
      <c r="BL700" s="1"/>
      <c r="BM700" s="1"/>
      <c r="BN700" s="1"/>
      <c r="BO700" s="1"/>
      <c r="BP700" s="1"/>
      <c r="BQ700" s="1"/>
      <c r="BR700" s="1"/>
      <c r="BX700" s="1"/>
      <c r="CD700" s="1"/>
      <c r="CE700" s="1"/>
      <c r="CF700" s="1"/>
      <c r="CG700" s="1"/>
      <c r="CH700" s="1"/>
      <c r="CI700" s="1"/>
      <c r="CM700" s="2"/>
      <c r="CN700" s="1"/>
      <c r="CO700" s="1"/>
      <c r="CP700" s="1"/>
      <c r="CQ700" s="1"/>
      <c r="CX700" s="1"/>
      <c r="CY700" s="1"/>
      <c r="CZ700" s="1"/>
      <c r="DA700" s="1"/>
      <c r="DB700" s="1"/>
      <c r="DC700" s="1"/>
      <c r="DD700" s="1"/>
      <c r="DE700" s="1"/>
      <c r="DF700" s="1"/>
      <c r="DG700" s="1"/>
      <c r="DH700" s="1"/>
      <c r="DI700" s="1"/>
      <c r="DJ700" s="1"/>
      <c r="DK700" s="1"/>
      <c r="DM700" s="1"/>
      <c r="DQ700" s="1"/>
      <c r="DR700" s="1"/>
      <c r="DY700" s="1"/>
      <c r="DZ700" s="1"/>
      <c r="ED700" s="1"/>
      <c r="EF700" s="1"/>
      <c r="EK700" s="1"/>
      <c r="EL700" s="1"/>
      <c r="EM700" s="1"/>
      <c r="EN700" s="1"/>
      <c r="EQ700" s="1"/>
      <c r="ER700" s="1"/>
      <c r="ES700" s="1"/>
      <c r="EV700" s="1"/>
      <c r="EW700" s="1"/>
      <c r="EZ700" s="1"/>
      <c r="FA700" s="1"/>
      <c r="FD700" s="1"/>
      <c r="FG700" s="1"/>
      <c r="FH700" s="1"/>
      <c r="FI700" s="1"/>
      <c r="FJ700" s="1"/>
      <c r="FK700" s="1"/>
      <c r="FL700" s="1"/>
      <c r="FM700" s="1"/>
      <c r="FN700" s="1"/>
      <c r="FO700" s="1"/>
      <c r="FP700" s="1"/>
      <c r="FQ700" s="1"/>
      <c r="FS700" s="1"/>
      <c r="FT700" s="1"/>
      <c r="FU700" s="1"/>
      <c r="FV700" s="1"/>
      <c r="FW700" s="1"/>
      <c r="FX700" s="1"/>
      <c r="FY700" s="1"/>
      <c r="FZ700" s="1"/>
      <c r="GA700" s="1"/>
      <c r="GB700" s="1"/>
      <c r="GD700" s="1"/>
      <c r="GE700" s="1"/>
      <c r="GF700" s="1"/>
      <c r="GG700" s="1"/>
      <c r="GH700" s="1"/>
      <c r="GI700" s="1"/>
      <c r="GJ700" s="1"/>
      <c r="GK700" s="1"/>
      <c r="GL700" s="1"/>
      <c r="GM700" s="1"/>
      <c r="GN700" s="1"/>
      <c r="GP700" s="1"/>
      <c r="GR700" s="1"/>
      <c r="GY700" s="1"/>
      <c r="HF700" s="1"/>
      <c r="HH700" s="1"/>
      <c r="HN700" s="1"/>
      <c r="HT700" s="1"/>
      <c r="HY700" s="1"/>
      <c r="ID700" s="1"/>
      <c r="IE700" s="1"/>
      <c r="IG700" s="1"/>
      <c r="IJ700" s="1"/>
      <c r="IR700" s="1"/>
      <c r="IS700" s="1"/>
      <c r="IZ700" s="1"/>
      <c r="JC700" s="1"/>
      <c r="JF700" s="1"/>
      <c r="JH700" s="1"/>
      <c r="JJ700" s="1"/>
      <c r="JK700" s="1"/>
      <c r="JL700" s="3"/>
      <c r="JM700" s="1"/>
      <c r="JN700" s="1"/>
      <c r="JP700" s="1"/>
      <c r="JQ700" s="1"/>
      <c r="JR700" s="1"/>
      <c r="JT700" s="1"/>
      <c r="KU700" s="1"/>
      <c r="KW700" s="1"/>
      <c r="KY700" s="1"/>
      <c r="KZ700" s="1"/>
      <c r="LA700" s="1"/>
      <c r="LB700" s="1"/>
      <c r="LC700" s="1"/>
      <c r="LD700" s="1"/>
      <c r="LO700" s="1"/>
      <c r="LP700" s="1"/>
      <c r="LZ700" s="1"/>
      <c r="MA700" s="1"/>
    </row>
    <row r="701" spans="4:339" ht="13" x14ac:dyDescent="0.15">
      <c r="D701" s="12"/>
      <c r="E701" s="12"/>
      <c r="I701" s="12"/>
      <c r="J701" s="13"/>
      <c r="BF701" s="1"/>
      <c r="BG701" s="1"/>
      <c r="BH701" s="1"/>
      <c r="BI701" s="1"/>
      <c r="BJ701" s="1"/>
      <c r="BK701" s="1"/>
      <c r="BL701" s="1"/>
      <c r="BM701" s="1"/>
      <c r="BN701" s="1"/>
      <c r="BO701" s="1"/>
      <c r="BP701" s="1"/>
      <c r="BQ701" s="1"/>
      <c r="BR701" s="1"/>
      <c r="CD701" s="1"/>
      <c r="CE701" s="1"/>
      <c r="CF701" s="1"/>
      <c r="CG701" s="1"/>
      <c r="CH701" s="1"/>
      <c r="CI701" s="1"/>
      <c r="CM701" s="2"/>
      <c r="CN701" s="1"/>
      <c r="CO701" s="1"/>
      <c r="CP701" s="1"/>
      <c r="CQ701" s="1"/>
      <c r="CR701" s="1"/>
      <c r="CS701" s="1"/>
      <c r="CT701" s="1"/>
      <c r="CU701" s="1"/>
      <c r="CV701" s="1"/>
      <c r="CW701" s="1"/>
      <c r="CX701" s="1"/>
      <c r="CY701" s="1"/>
      <c r="CZ701" s="1"/>
      <c r="DA701" s="1"/>
      <c r="DB701" s="1"/>
      <c r="DC701" s="1"/>
      <c r="DD701" s="1"/>
      <c r="DE701" s="1"/>
      <c r="DF701" s="1"/>
      <c r="DG701" s="1"/>
      <c r="DH701" s="1"/>
      <c r="DI701" s="1"/>
      <c r="DJ701" s="1"/>
      <c r="DK701" s="1"/>
      <c r="DM701" s="1"/>
      <c r="DQ701" s="1"/>
      <c r="DR701" s="1"/>
      <c r="DY701" s="1"/>
      <c r="DZ701" s="1"/>
      <c r="ED701" s="1"/>
      <c r="EK701" s="1"/>
      <c r="EL701" s="1"/>
      <c r="EM701" s="1"/>
      <c r="EN701" s="1"/>
      <c r="EQ701" s="1"/>
      <c r="ER701" s="1"/>
      <c r="ES701" s="1"/>
      <c r="EV701" s="1"/>
      <c r="EW701" s="1"/>
      <c r="EZ701" s="1"/>
      <c r="FA701" s="1"/>
      <c r="FD701" s="1"/>
      <c r="FJ701" s="1"/>
      <c r="GA701" s="1"/>
      <c r="GD701" s="1"/>
      <c r="GE701" s="1"/>
      <c r="GF701" s="1"/>
      <c r="GG701" s="1"/>
      <c r="GH701" s="1"/>
      <c r="GI701" s="1"/>
      <c r="GJ701" s="1"/>
      <c r="GN701" s="1"/>
      <c r="GP701" s="1"/>
      <c r="GV701" s="1"/>
      <c r="HF701" s="1"/>
      <c r="HH701" s="1"/>
      <c r="HN701" s="1"/>
      <c r="HY701" s="1"/>
      <c r="IA701" s="1"/>
      <c r="IE701" s="1"/>
      <c r="IK701" s="1"/>
      <c r="IR701" s="1"/>
      <c r="IS701" s="1"/>
      <c r="IY701" s="1"/>
      <c r="IZ701" s="1"/>
      <c r="JC701" s="1"/>
      <c r="JF701" s="1"/>
      <c r="JG701" s="1"/>
      <c r="JH701" s="1"/>
      <c r="JJ701" s="1"/>
      <c r="JP701" s="1"/>
      <c r="JQ701" s="1"/>
      <c r="JT701" s="1"/>
      <c r="KV701" s="1"/>
      <c r="KW701" s="1"/>
      <c r="KY701" s="1"/>
      <c r="KZ701" s="1"/>
      <c r="LA701" s="1"/>
      <c r="LB701" s="1"/>
      <c r="LC701" s="1"/>
      <c r="LD701" s="1"/>
      <c r="LO701" s="1"/>
      <c r="LP701" s="1"/>
      <c r="LZ701" s="1"/>
      <c r="MA701" s="1"/>
    </row>
    <row r="702" spans="4:339" ht="13" x14ac:dyDescent="0.15">
      <c r="D702" s="12"/>
      <c r="E702" s="12"/>
      <c r="I702" s="12"/>
      <c r="J702" s="13"/>
      <c r="BF702" s="1"/>
      <c r="BG702" s="1"/>
      <c r="BH702" s="1"/>
      <c r="BI702" s="1"/>
      <c r="BJ702" s="1"/>
      <c r="BK702" s="1"/>
      <c r="BL702" s="1"/>
      <c r="BM702" s="1"/>
      <c r="BN702" s="1"/>
      <c r="BO702" s="1"/>
      <c r="BP702" s="1"/>
      <c r="BQ702" s="1"/>
      <c r="BR702" s="1"/>
      <c r="BX702" s="1"/>
      <c r="CD702" s="1"/>
      <c r="CE702" s="1"/>
      <c r="CF702" s="1"/>
      <c r="CG702" s="1"/>
      <c r="CH702" s="1"/>
      <c r="CI702" s="1"/>
      <c r="CM702" s="2"/>
      <c r="CN702" s="1"/>
      <c r="CO702" s="1"/>
      <c r="CP702" s="1"/>
      <c r="CQ702" s="1"/>
      <c r="CV702" s="1"/>
      <c r="CW702" s="1"/>
      <c r="CX702" s="1"/>
      <c r="CY702" s="1"/>
      <c r="CZ702" s="1"/>
      <c r="DA702" s="1"/>
      <c r="DB702" s="1"/>
      <c r="DC702" s="1"/>
      <c r="DD702" s="1"/>
      <c r="DE702" s="1"/>
      <c r="DF702" s="1"/>
      <c r="DG702" s="1"/>
      <c r="DH702" s="1"/>
      <c r="DI702" s="1"/>
      <c r="DJ702" s="1"/>
      <c r="DK702" s="1"/>
      <c r="DM702" s="1"/>
      <c r="DQ702" s="1"/>
      <c r="DR702" s="1"/>
      <c r="DY702" s="1"/>
      <c r="DZ702" s="1"/>
      <c r="ED702" s="1"/>
      <c r="EK702" s="1"/>
      <c r="EL702" s="1"/>
      <c r="EM702" s="1"/>
      <c r="EN702" s="1"/>
      <c r="EQ702" s="1"/>
      <c r="ER702" s="1"/>
      <c r="ES702" s="1"/>
      <c r="EV702" s="1"/>
      <c r="EW702" s="1"/>
      <c r="EZ702" s="1"/>
      <c r="FA702" s="1"/>
      <c r="FD702" s="1"/>
      <c r="FG702" s="1"/>
      <c r="FH702" s="1"/>
      <c r="FI702" s="1"/>
      <c r="FJ702" s="1"/>
      <c r="FK702" s="1"/>
      <c r="FL702" s="1"/>
      <c r="FM702" s="1"/>
      <c r="FN702" s="1"/>
      <c r="FO702" s="1"/>
      <c r="FP702" s="1"/>
      <c r="FQ702" s="1"/>
      <c r="FR702" s="1"/>
      <c r="FS702" s="1"/>
      <c r="FT702" s="1"/>
      <c r="FU702" s="1"/>
      <c r="FV702" s="1"/>
      <c r="FW702" s="1"/>
      <c r="FX702" s="1"/>
      <c r="FY702" s="1"/>
      <c r="FZ702" s="1"/>
      <c r="GA702" s="1"/>
      <c r="GB702" s="1"/>
      <c r="GD702" s="1"/>
      <c r="GE702" s="1"/>
      <c r="GF702" s="1"/>
      <c r="GG702" s="1"/>
      <c r="GH702" s="1"/>
      <c r="GI702" s="1"/>
      <c r="GJ702" s="1"/>
      <c r="GK702" s="1"/>
      <c r="GL702" s="1"/>
      <c r="GM702" s="1"/>
      <c r="GN702" s="1"/>
      <c r="GO702" s="1"/>
      <c r="GP702" s="1"/>
      <c r="GR702" s="1"/>
      <c r="GY702" s="1"/>
      <c r="HF702" s="1"/>
      <c r="HH702" s="1"/>
      <c r="HN702" s="1"/>
      <c r="HT702" s="1"/>
      <c r="HY702" s="1"/>
      <c r="IC702" s="1"/>
      <c r="ID702" s="1"/>
      <c r="IE702" s="1"/>
      <c r="IR702" s="1"/>
      <c r="IS702" s="1"/>
      <c r="IZ702" s="1"/>
      <c r="JC702" s="1"/>
      <c r="JF702" s="1"/>
      <c r="JG702" s="1"/>
      <c r="JH702" s="1"/>
      <c r="JJ702" s="1"/>
      <c r="JN702" s="1"/>
      <c r="JP702" s="1"/>
      <c r="JQ702" s="1"/>
      <c r="JT702" s="1"/>
      <c r="KV702" s="1"/>
      <c r="KY702" s="1"/>
      <c r="KZ702" s="1"/>
      <c r="LA702" s="1"/>
      <c r="LB702" s="1"/>
      <c r="LC702" s="1"/>
      <c r="LD702" s="1"/>
      <c r="LO702" s="1"/>
      <c r="LP702" s="1"/>
      <c r="LZ702" s="1"/>
      <c r="MA702" s="1"/>
    </row>
    <row r="703" spans="4:339" ht="13" x14ac:dyDescent="0.15">
      <c r="D703" s="12"/>
      <c r="E703" s="12"/>
      <c r="I703" s="12"/>
      <c r="J703" s="13"/>
      <c r="BF703" s="1"/>
      <c r="BG703" s="1"/>
      <c r="BH703" s="1"/>
      <c r="BI703" s="1"/>
      <c r="BJ703" s="1"/>
      <c r="BK703" s="1"/>
      <c r="BL703" s="1"/>
      <c r="BM703" s="1"/>
      <c r="BN703" s="1"/>
      <c r="BO703" s="1"/>
      <c r="BP703" s="1"/>
      <c r="BQ703" s="1"/>
      <c r="BR703" s="1"/>
      <c r="BX703" s="1"/>
      <c r="CD703" s="1"/>
      <c r="CE703" s="1"/>
      <c r="CF703" s="1"/>
      <c r="CG703" s="1"/>
      <c r="CH703" s="1"/>
      <c r="CI703" s="1"/>
      <c r="CM703" s="2"/>
      <c r="CN703" s="1"/>
      <c r="CO703" s="1"/>
      <c r="CP703" s="1"/>
      <c r="CQ703" s="1"/>
      <c r="CV703" s="1"/>
      <c r="CW703" s="1"/>
      <c r="CX703" s="1"/>
      <c r="CY703" s="1"/>
      <c r="CZ703" s="1"/>
      <c r="DA703" s="1"/>
      <c r="DB703" s="1"/>
      <c r="DC703" s="1"/>
      <c r="DD703" s="1"/>
      <c r="DE703" s="1"/>
      <c r="DF703" s="1"/>
      <c r="DG703" s="1"/>
      <c r="DH703" s="1"/>
      <c r="DI703" s="1"/>
      <c r="DJ703" s="1"/>
      <c r="DK703" s="1"/>
      <c r="DM703" s="1"/>
      <c r="DQ703" s="1"/>
      <c r="DR703" s="1"/>
      <c r="DY703" s="1"/>
      <c r="DZ703" s="1"/>
      <c r="ED703" s="1"/>
      <c r="EK703" s="1"/>
      <c r="EL703" s="1"/>
      <c r="EM703" s="1"/>
      <c r="EN703" s="1"/>
      <c r="EQ703" s="1"/>
      <c r="ER703" s="1"/>
      <c r="ES703" s="1"/>
      <c r="EV703" s="1"/>
      <c r="EW703" s="1"/>
      <c r="EZ703" s="1"/>
      <c r="FA703" s="1"/>
      <c r="FD703" s="1"/>
      <c r="FG703" s="1"/>
      <c r="FH703" s="1"/>
      <c r="FI703" s="1"/>
      <c r="FJ703" s="1"/>
      <c r="FK703" s="1"/>
      <c r="FL703" s="1"/>
      <c r="FM703" s="1"/>
      <c r="FN703" s="1"/>
      <c r="FO703" s="1"/>
      <c r="FP703" s="1"/>
      <c r="FQ703" s="1"/>
      <c r="FR703" s="1"/>
      <c r="FS703" s="1"/>
      <c r="FT703" s="1"/>
      <c r="FU703" s="1"/>
      <c r="FV703" s="1"/>
      <c r="FW703" s="1"/>
      <c r="FX703" s="1"/>
      <c r="FY703" s="1"/>
      <c r="FZ703" s="1"/>
      <c r="GA703" s="1"/>
      <c r="GB703" s="1"/>
      <c r="GD703" s="1"/>
      <c r="GE703" s="1"/>
      <c r="GF703" s="1"/>
      <c r="GG703" s="1"/>
      <c r="GH703" s="1"/>
      <c r="GI703" s="1"/>
      <c r="GJ703" s="1"/>
      <c r="GK703" s="1"/>
      <c r="GL703" s="1"/>
      <c r="GM703" s="1"/>
      <c r="GN703" s="1"/>
      <c r="GO703" s="1"/>
      <c r="GP703" s="1"/>
      <c r="GR703" s="1"/>
      <c r="GY703" s="1"/>
      <c r="HF703" s="1"/>
      <c r="HH703" s="1"/>
      <c r="HN703" s="1"/>
      <c r="HT703" s="1"/>
      <c r="HY703" s="1"/>
      <c r="IC703" s="1"/>
      <c r="ID703" s="1"/>
      <c r="IE703" s="1"/>
      <c r="IR703" s="1"/>
      <c r="IS703" s="1"/>
      <c r="IZ703" s="1"/>
      <c r="JC703" s="1"/>
      <c r="JF703" s="1"/>
      <c r="JG703" s="1"/>
      <c r="JH703" s="1"/>
      <c r="JJ703" s="1"/>
      <c r="JN703" s="1"/>
      <c r="JP703" s="1"/>
      <c r="JQ703" s="1"/>
      <c r="JT703" s="1"/>
      <c r="KV703" s="1"/>
      <c r="KY703" s="1"/>
      <c r="KZ703" s="1"/>
      <c r="LA703" s="1"/>
      <c r="LB703" s="1"/>
      <c r="LC703" s="1"/>
      <c r="LD703" s="1"/>
      <c r="LO703" s="1"/>
      <c r="LP703" s="1"/>
      <c r="LZ703" s="1"/>
      <c r="MA703" s="1"/>
    </row>
    <row r="704" spans="4:339" ht="13" x14ac:dyDescent="0.15">
      <c r="D704" s="12"/>
      <c r="E704" s="12"/>
      <c r="I704" s="12"/>
      <c r="J704" s="13"/>
      <c r="BF704" s="1"/>
      <c r="BG704" s="1"/>
      <c r="BH704" s="1"/>
      <c r="BI704" s="1"/>
      <c r="BJ704" s="1"/>
      <c r="BK704" s="1"/>
      <c r="BL704" s="1"/>
      <c r="BM704" s="1"/>
      <c r="BN704" s="1"/>
      <c r="BO704" s="1"/>
      <c r="BP704" s="1"/>
      <c r="BQ704" s="1"/>
      <c r="BR704" s="1"/>
      <c r="BX704" s="1"/>
      <c r="CD704" s="1"/>
      <c r="CE704" s="1"/>
      <c r="CF704" s="1"/>
      <c r="CG704" s="1"/>
      <c r="CH704" s="1"/>
      <c r="CI704" s="1"/>
      <c r="CM704" s="2"/>
      <c r="CN704" s="1"/>
      <c r="CO704" s="1"/>
      <c r="CP704" s="1"/>
      <c r="CQ704" s="1"/>
      <c r="CV704" s="1"/>
      <c r="CW704" s="1"/>
      <c r="CX704" s="1"/>
      <c r="CY704" s="1"/>
      <c r="CZ704" s="1"/>
      <c r="DA704" s="1"/>
      <c r="DB704" s="1"/>
      <c r="DC704" s="1"/>
      <c r="DD704" s="1"/>
      <c r="DE704" s="1"/>
      <c r="DF704" s="1"/>
      <c r="DG704" s="1"/>
      <c r="DH704" s="1"/>
      <c r="DI704" s="1"/>
      <c r="DJ704" s="1"/>
      <c r="DK704" s="1"/>
      <c r="DM704" s="1"/>
      <c r="DQ704" s="1"/>
      <c r="DR704" s="1"/>
      <c r="DY704" s="1"/>
      <c r="DZ704" s="1"/>
      <c r="ED704" s="1"/>
      <c r="EK704" s="1"/>
      <c r="EL704" s="1"/>
      <c r="EM704" s="1"/>
      <c r="EN704" s="1"/>
      <c r="EQ704" s="1"/>
      <c r="ER704" s="1"/>
      <c r="ES704" s="1"/>
      <c r="EV704" s="1"/>
      <c r="EW704" s="1"/>
      <c r="EZ704" s="1"/>
      <c r="FA704" s="1"/>
      <c r="FD704" s="1"/>
      <c r="FG704" s="1"/>
      <c r="FH704" s="1"/>
      <c r="FI704" s="1"/>
      <c r="FJ704" s="1"/>
      <c r="FK704" s="1"/>
      <c r="FL704" s="1"/>
      <c r="FM704" s="1"/>
      <c r="FN704" s="1"/>
      <c r="FO704" s="1"/>
      <c r="FP704" s="1"/>
      <c r="FQ704" s="1"/>
      <c r="FR704" s="1"/>
      <c r="FS704" s="1"/>
      <c r="FT704" s="1"/>
      <c r="FU704" s="1"/>
      <c r="FV704" s="1"/>
      <c r="FW704" s="1"/>
      <c r="FX704" s="1"/>
      <c r="FY704" s="1"/>
      <c r="FZ704" s="1"/>
      <c r="GA704" s="1"/>
      <c r="GB704" s="1"/>
      <c r="GD704" s="1"/>
      <c r="GE704" s="1"/>
      <c r="GF704" s="1"/>
      <c r="GG704" s="1"/>
      <c r="GH704" s="1"/>
      <c r="GI704" s="1"/>
      <c r="GJ704" s="1"/>
      <c r="GK704" s="1"/>
      <c r="GL704" s="1"/>
      <c r="GM704" s="1"/>
      <c r="GN704" s="1"/>
      <c r="GO704" s="1"/>
      <c r="GP704" s="1"/>
      <c r="GR704" s="1"/>
      <c r="GY704" s="1"/>
      <c r="HF704" s="1"/>
      <c r="HH704" s="1"/>
      <c r="HN704" s="1"/>
      <c r="HT704" s="1"/>
      <c r="HY704" s="1"/>
      <c r="IC704" s="1"/>
      <c r="ID704" s="1"/>
      <c r="IE704" s="1"/>
      <c r="IR704" s="1"/>
      <c r="IS704" s="1"/>
      <c r="IZ704" s="1"/>
      <c r="JC704" s="1"/>
      <c r="JF704" s="1"/>
      <c r="JG704" s="1"/>
      <c r="JH704" s="1"/>
      <c r="JJ704" s="1"/>
      <c r="JN704" s="1"/>
      <c r="JP704" s="1"/>
      <c r="JQ704" s="1"/>
      <c r="JT704" s="1"/>
      <c r="KV704" s="1"/>
      <c r="KY704" s="1"/>
      <c r="KZ704" s="1"/>
      <c r="LA704" s="1"/>
      <c r="LB704" s="1"/>
      <c r="LC704" s="1"/>
      <c r="LD704" s="1"/>
      <c r="LO704" s="1"/>
      <c r="LP704" s="1"/>
      <c r="LZ704" s="1"/>
      <c r="MA704" s="1"/>
    </row>
    <row r="705" spans="4:342" ht="13" x14ac:dyDescent="0.15">
      <c r="D705" s="12"/>
      <c r="E705" s="12"/>
      <c r="I705" s="12"/>
      <c r="J705" s="13"/>
      <c r="BF705" s="1"/>
      <c r="BG705" s="1"/>
      <c r="BH705" s="1"/>
      <c r="BI705" s="1"/>
      <c r="BJ705" s="1"/>
      <c r="BK705" s="1"/>
      <c r="BL705" s="1"/>
      <c r="BM705" s="1"/>
      <c r="BN705" s="1"/>
      <c r="BO705" s="1"/>
      <c r="BP705" s="1"/>
      <c r="BQ705" s="1"/>
      <c r="BR705" s="1"/>
      <c r="BX705" s="1"/>
      <c r="CC705" s="1"/>
      <c r="CD705" s="1"/>
      <c r="CE705" s="1"/>
      <c r="CF705" s="1"/>
      <c r="CG705" s="1"/>
      <c r="CH705" s="1"/>
      <c r="CI705" s="1"/>
      <c r="CJ705" s="1"/>
      <c r="CK705" s="1"/>
      <c r="CM705" s="2"/>
      <c r="CN705" s="1"/>
      <c r="CO705" s="1"/>
      <c r="CP705" s="1"/>
      <c r="CQ705" s="1"/>
      <c r="CR705" s="1"/>
      <c r="CT705" s="1"/>
      <c r="CU705" s="1"/>
      <c r="CV705" s="1"/>
      <c r="CW705" s="1"/>
      <c r="CX705" s="1"/>
      <c r="CY705" s="1"/>
      <c r="CZ705" s="1"/>
      <c r="DA705" s="1"/>
      <c r="DB705" s="1"/>
      <c r="DC705" s="1"/>
      <c r="DD705" s="1"/>
      <c r="DE705" s="1"/>
      <c r="DF705" s="1"/>
      <c r="DG705" s="1"/>
      <c r="DH705" s="1"/>
      <c r="DI705" s="1"/>
      <c r="DJ705" s="1"/>
      <c r="DK705" s="1"/>
      <c r="DM705" s="1"/>
      <c r="DQ705" s="1"/>
      <c r="DR705" s="1"/>
      <c r="DY705" s="1"/>
      <c r="DZ705" s="1"/>
      <c r="ED705" s="1"/>
      <c r="EF705" s="1"/>
      <c r="EK705" s="1"/>
      <c r="EL705" s="1"/>
      <c r="EM705" s="1"/>
      <c r="EN705" s="1"/>
      <c r="EQ705" s="1"/>
      <c r="ER705" s="1"/>
      <c r="ES705" s="1"/>
      <c r="EV705" s="1"/>
      <c r="EW705" s="1"/>
      <c r="EZ705" s="1"/>
      <c r="FA705" s="1"/>
      <c r="FD705" s="1"/>
      <c r="FG705" s="1"/>
      <c r="FH705" s="1"/>
      <c r="FI705" s="1"/>
      <c r="FJ705" s="1"/>
      <c r="FK705" s="1"/>
      <c r="FM705" s="1"/>
      <c r="FN705" s="1"/>
      <c r="FO705" s="1"/>
      <c r="FP705" s="1"/>
      <c r="FQ705" s="1"/>
      <c r="FR705" s="1"/>
      <c r="FS705" s="1"/>
      <c r="FT705" s="1"/>
      <c r="FU705" s="1"/>
      <c r="FV705" s="1"/>
      <c r="FW705" s="1"/>
      <c r="FX705" s="1"/>
      <c r="FY705" s="1"/>
      <c r="FZ705" s="1"/>
      <c r="GA705" s="1"/>
      <c r="GB705" s="1"/>
      <c r="GD705" s="1"/>
      <c r="GE705" s="1"/>
      <c r="GF705" s="1"/>
      <c r="GG705" s="1"/>
      <c r="GH705" s="1"/>
      <c r="GI705" s="1"/>
      <c r="GJ705" s="1"/>
      <c r="GK705" s="1"/>
      <c r="GL705" s="1"/>
      <c r="GM705" s="1"/>
      <c r="GN705" s="1"/>
      <c r="GO705" s="1"/>
      <c r="GP705" s="1"/>
      <c r="GR705" s="1"/>
      <c r="GY705" s="1"/>
      <c r="HF705" s="1"/>
      <c r="HH705" s="1"/>
      <c r="HN705" s="1"/>
      <c r="HQ705" s="1"/>
      <c r="HX705" s="1"/>
      <c r="HY705" s="1"/>
      <c r="IA705" s="1"/>
      <c r="IC705" s="1"/>
      <c r="ID705" s="1"/>
      <c r="IE705" s="1"/>
      <c r="IF705" s="1"/>
      <c r="IG705" s="1"/>
      <c r="IH705" s="1"/>
      <c r="IJ705" s="1"/>
      <c r="IR705" s="1"/>
      <c r="IS705" s="1"/>
      <c r="IZ705" s="1"/>
      <c r="JC705" s="1"/>
      <c r="JF705" s="1"/>
      <c r="JG705" s="1"/>
      <c r="JH705" s="1"/>
      <c r="JJ705" s="1"/>
      <c r="JK705" s="1"/>
      <c r="JL705" s="3"/>
      <c r="JM705" s="1"/>
      <c r="JP705" s="1"/>
      <c r="JQ705" s="1"/>
      <c r="JR705" s="1"/>
      <c r="JT705" s="1"/>
      <c r="JW705" s="1"/>
      <c r="KS705" s="1"/>
      <c r="KT705" s="1"/>
      <c r="KU705" s="1"/>
      <c r="KV705" s="1"/>
      <c r="KY705" s="1"/>
      <c r="KZ705" s="1"/>
      <c r="LA705" s="1"/>
      <c r="LB705" s="1"/>
      <c r="LC705" s="1"/>
      <c r="LD705" s="1"/>
      <c r="LJ705" s="1"/>
      <c r="LO705" s="1"/>
      <c r="LP705" s="1"/>
      <c r="LZ705" s="1"/>
      <c r="MA705" s="1"/>
    </row>
    <row r="706" spans="4:342" ht="13" x14ac:dyDescent="0.15">
      <c r="D706" s="12"/>
      <c r="E706" s="12"/>
      <c r="I706" s="12"/>
      <c r="J706" s="13"/>
      <c r="BF706" s="1"/>
      <c r="BG706" s="1"/>
      <c r="BH706" s="1"/>
      <c r="BI706" s="1"/>
      <c r="BK706" s="1"/>
      <c r="BL706" s="1"/>
      <c r="BM706" s="1"/>
      <c r="BN706" s="1"/>
      <c r="BQ706" s="1"/>
      <c r="BR706" s="1"/>
      <c r="CD706" s="1"/>
      <c r="CE706" s="1"/>
      <c r="CF706" s="1"/>
      <c r="CH706" s="1"/>
      <c r="CI706" s="1"/>
      <c r="CM706" s="4"/>
      <c r="CN706" s="1"/>
      <c r="CO706" s="1"/>
      <c r="CQ706" s="1"/>
      <c r="CY706" s="1"/>
      <c r="DC706" s="1"/>
      <c r="DH706" s="1"/>
      <c r="DM706" s="1"/>
      <c r="DR706" s="1"/>
      <c r="ED706" s="1"/>
      <c r="EF706" s="1"/>
      <c r="EL706" s="1"/>
      <c r="EM706" s="1"/>
      <c r="EN706" s="1"/>
      <c r="EQ706" s="1"/>
      <c r="ER706" s="1"/>
      <c r="ES706" s="1"/>
      <c r="EV706" s="1"/>
      <c r="EW706" s="1"/>
      <c r="EZ706" s="1"/>
      <c r="FA706" s="1"/>
      <c r="FD706" s="1"/>
      <c r="FG706" s="1"/>
      <c r="FH706" s="1"/>
      <c r="FI706" s="1"/>
      <c r="FJ706" s="1"/>
      <c r="FL706" s="1"/>
      <c r="FM706" s="1"/>
      <c r="FN706" s="1"/>
      <c r="FO706" s="1"/>
      <c r="FP706" s="1"/>
      <c r="FQ706" s="1"/>
      <c r="FS706" s="1"/>
      <c r="FT706" s="1"/>
      <c r="FU706" s="1"/>
      <c r="FV706" s="1"/>
      <c r="FW706" s="1"/>
      <c r="FX706" s="1"/>
      <c r="FY706" s="1"/>
      <c r="FZ706" s="1"/>
      <c r="GA706" s="1"/>
      <c r="GB706" s="1"/>
      <c r="GD706" s="1"/>
      <c r="GE706" s="1"/>
      <c r="GF706" s="1"/>
      <c r="GG706" s="1"/>
      <c r="GH706" s="1"/>
      <c r="GI706" s="1"/>
      <c r="GJ706" s="1"/>
      <c r="GK706" s="1"/>
      <c r="GL706" s="1"/>
      <c r="GM706" s="1"/>
      <c r="GN706" s="1"/>
      <c r="GP706" s="1"/>
      <c r="GR706" s="1"/>
      <c r="GY706" s="1"/>
      <c r="HF706" s="1"/>
      <c r="IR706" s="1"/>
      <c r="IS706" s="1"/>
      <c r="IZ706" s="1"/>
      <c r="JF706" s="1"/>
      <c r="JJ706" s="1"/>
      <c r="JN706" s="1"/>
      <c r="JP706" s="1"/>
      <c r="JQ706" s="1"/>
      <c r="KZ706" s="1"/>
      <c r="LA706" s="1"/>
      <c r="LC706" s="1"/>
      <c r="LO706" s="1"/>
      <c r="LZ706" s="1"/>
      <c r="MA706" s="1"/>
    </row>
    <row r="707" spans="4:342" ht="13" x14ac:dyDescent="0.15">
      <c r="D707" s="12"/>
      <c r="E707" s="12"/>
      <c r="I707" s="12"/>
      <c r="J707" s="13"/>
      <c r="BF707" s="1"/>
      <c r="BG707" s="1"/>
      <c r="BH707" s="1"/>
      <c r="BI707" s="1"/>
      <c r="BK707" s="1"/>
      <c r="BL707" s="1"/>
      <c r="BM707" s="1"/>
      <c r="BN707" s="1"/>
      <c r="BO707" s="1"/>
      <c r="BP707" s="1"/>
      <c r="BQ707" s="1"/>
      <c r="BR707" s="1"/>
      <c r="CD707" s="1"/>
      <c r="CE707" s="1"/>
      <c r="CF707" s="1"/>
      <c r="CG707" s="1"/>
      <c r="CH707" s="1"/>
      <c r="CI707" s="1"/>
      <c r="CM707" s="2"/>
      <c r="CN707" s="1"/>
      <c r="CO707" s="1"/>
      <c r="CP707" s="1"/>
      <c r="CQ707" s="1"/>
      <c r="CX707" s="1"/>
      <c r="CY707" s="1"/>
      <c r="CZ707" s="1"/>
      <c r="DA707" s="1"/>
      <c r="DB707" s="1"/>
      <c r="DC707" s="1"/>
      <c r="DD707" s="1"/>
      <c r="DE707" s="1"/>
      <c r="DF707" s="1"/>
      <c r="DG707" s="1"/>
      <c r="DH707" s="1"/>
      <c r="DI707" s="1"/>
      <c r="DJ707" s="1"/>
      <c r="DK707" s="1"/>
      <c r="DM707" s="1"/>
      <c r="DQ707" s="1"/>
      <c r="DR707" s="1"/>
      <c r="DY707" s="1"/>
      <c r="DZ707" s="1"/>
      <c r="ED707" s="1"/>
      <c r="EF707" s="1"/>
      <c r="EK707" s="1"/>
      <c r="EL707" s="1"/>
      <c r="EM707" s="1"/>
      <c r="EN707" s="1"/>
      <c r="EQ707" s="1"/>
      <c r="ER707" s="1"/>
      <c r="ES707" s="1"/>
      <c r="EV707" s="1"/>
      <c r="EW707" s="1"/>
      <c r="EZ707" s="1"/>
      <c r="FA707" s="1"/>
      <c r="FD707" s="1"/>
      <c r="FG707" s="1"/>
      <c r="FH707" s="1"/>
      <c r="FI707" s="1"/>
      <c r="FJ707" s="1"/>
      <c r="FK707" s="1"/>
      <c r="FM707" s="1"/>
      <c r="FN707" s="1"/>
      <c r="FO707" s="1"/>
      <c r="FP707" s="1"/>
      <c r="FQ707" s="1"/>
      <c r="FR707" s="1"/>
      <c r="FS707" s="1"/>
      <c r="FT707" s="1"/>
      <c r="FU707" s="1"/>
      <c r="FV707" s="1"/>
      <c r="FW707" s="1"/>
      <c r="FX707" s="1"/>
      <c r="FY707" s="1"/>
      <c r="FZ707" s="1"/>
      <c r="GA707" s="1"/>
      <c r="GD707" s="1"/>
      <c r="GE707" s="1"/>
      <c r="GF707" s="1"/>
      <c r="GG707" s="1"/>
      <c r="GH707" s="1"/>
      <c r="GI707" s="1"/>
      <c r="GJ707" s="1"/>
      <c r="GK707" s="1"/>
      <c r="GL707" s="1"/>
      <c r="GM707" s="1"/>
      <c r="GN707" s="1"/>
      <c r="GP707" s="1"/>
      <c r="GR707" s="1"/>
      <c r="GY707" s="1"/>
      <c r="HF707" s="1"/>
      <c r="HN707" s="1"/>
      <c r="HY707" s="1"/>
      <c r="IC707" s="1"/>
      <c r="IE707" s="1"/>
      <c r="IR707" s="1"/>
      <c r="IS707" s="1"/>
      <c r="IW707" s="1"/>
      <c r="IZ707" s="1"/>
      <c r="JA707" s="1"/>
      <c r="JG707" s="1"/>
      <c r="JJ707" s="1"/>
      <c r="JN707" s="1"/>
      <c r="JP707" s="1"/>
      <c r="JQ707" s="1"/>
      <c r="KU707" s="1"/>
      <c r="KV707" s="1"/>
      <c r="KY707" s="1"/>
      <c r="KZ707" s="1"/>
      <c r="LA707" s="1"/>
      <c r="LB707" s="1"/>
      <c r="LC707" s="1"/>
      <c r="LD707" s="1"/>
      <c r="LO707" s="1"/>
      <c r="LP707" s="1"/>
      <c r="LZ707" s="1"/>
      <c r="MA707" s="1"/>
    </row>
    <row r="708" spans="4:342" ht="13" x14ac:dyDescent="0.15">
      <c r="D708" s="12"/>
      <c r="E708" s="12"/>
      <c r="I708" s="12"/>
      <c r="J708" s="13"/>
      <c r="BF708" s="1"/>
      <c r="BG708" s="1"/>
      <c r="BH708" s="1"/>
      <c r="BI708" s="1"/>
      <c r="BK708" s="1"/>
      <c r="BL708" s="1"/>
      <c r="BM708" s="1"/>
      <c r="BN708" s="1"/>
      <c r="BO708" s="1"/>
      <c r="BP708" s="1"/>
      <c r="BQ708" s="1"/>
      <c r="BR708" s="1"/>
      <c r="CD708" s="1"/>
      <c r="CE708" s="1"/>
      <c r="CF708" s="1"/>
      <c r="CG708" s="1"/>
      <c r="CH708" s="1"/>
      <c r="CI708" s="1"/>
      <c r="CM708" s="2"/>
      <c r="CN708" s="1"/>
      <c r="CO708" s="1"/>
      <c r="CP708" s="1"/>
      <c r="CQ708" s="1"/>
      <c r="CX708" s="1"/>
      <c r="CY708" s="1"/>
      <c r="CZ708" s="1"/>
      <c r="DA708" s="1"/>
      <c r="DB708" s="1"/>
      <c r="DC708" s="1"/>
      <c r="DD708" s="1"/>
      <c r="DE708" s="1"/>
      <c r="DF708" s="1"/>
      <c r="DG708" s="1"/>
      <c r="DH708" s="1"/>
      <c r="DI708" s="1"/>
      <c r="DJ708" s="1"/>
      <c r="DK708" s="1"/>
      <c r="DM708" s="1"/>
      <c r="DQ708" s="1"/>
      <c r="DR708" s="1"/>
      <c r="DY708" s="1"/>
      <c r="DZ708" s="1"/>
      <c r="ED708" s="1"/>
      <c r="EF708" s="1"/>
      <c r="EK708" s="1"/>
      <c r="EL708" s="1"/>
      <c r="EM708" s="1"/>
      <c r="EN708" s="1"/>
      <c r="EQ708" s="1"/>
      <c r="ER708" s="1"/>
      <c r="ES708" s="1"/>
      <c r="EV708" s="1"/>
      <c r="EW708" s="1"/>
      <c r="EZ708" s="1"/>
      <c r="FA708" s="1"/>
      <c r="FD708" s="1"/>
      <c r="FG708" s="1"/>
      <c r="FH708" s="1"/>
      <c r="FI708" s="1"/>
      <c r="FJ708" s="1"/>
      <c r="FK708" s="1"/>
      <c r="FM708" s="1"/>
      <c r="FN708" s="1"/>
      <c r="FO708" s="1"/>
      <c r="FP708" s="1"/>
      <c r="FQ708" s="1"/>
      <c r="FR708" s="1"/>
      <c r="FS708" s="1"/>
      <c r="FT708" s="1"/>
      <c r="FU708" s="1"/>
      <c r="FV708" s="1"/>
      <c r="FW708" s="1"/>
      <c r="FX708" s="1"/>
      <c r="FY708" s="1"/>
      <c r="FZ708" s="1"/>
      <c r="GA708" s="1"/>
      <c r="GD708" s="1"/>
      <c r="GE708" s="1"/>
      <c r="GF708" s="1"/>
      <c r="GG708" s="1"/>
      <c r="GH708" s="1"/>
      <c r="GI708" s="1"/>
      <c r="GJ708" s="1"/>
      <c r="GK708" s="1"/>
      <c r="GL708" s="1"/>
      <c r="GM708" s="1"/>
      <c r="GN708" s="1"/>
      <c r="GP708" s="1"/>
      <c r="GR708" s="1"/>
      <c r="GY708" s="1"/>
      <c r="HF708" s="1"/>
      <c r="HN708" s="1"/>
      <c r="HY708" s="1"/>
      <c r="IC708" s="1"/>
      <c r="IE708" s="1"/>
      <c r="IR708" s="1"/>
      <c r="IS708" s="1"/>
      <c r="IW708" s="1"/>
      <c r="IZ708" s="1"/>
      <c r="JA708" s="1"/>
      <c r="JG708" s="1"/>
      <c r="JJ708" s="1"/>
      <c r="JN708" s="1"/>
      <c r="JP708" s="1"/>
      <c r="JQ708" s="1"/>
      <c r="KU708" s="1"/>
      <c r="KV708" s="1"/>
      <c r="KY708" s="1"/>
      <c r="KZ708" s="1"/>
      <c r="LA708" s="1"/>
      <c r="LB708" s="1"/>
      <c r="LC708" s="1"/>
      <c r="LD708" s="1"/>
      <c r="LO708" s="1"/>
      <c r="LP708" s="1"/>
      <c r="LZ708" s="1"/>
      <c r="MA708" s="1"/>
    </row>
    <row r="709" spans="4:342" ht="13" x14ac:dyDescent="0.15">
      <c r="D709" s="12"/>
      <c r="E709" s="12"/>
      <c r="I709" s="12"/>
      <c r="J709" s="13"/>
      <c r="BF709" s="1"/>
      <c r="BG709" s="1"/>
      <c r="BH709" s="1"/>
      <c r="BI709" s="1"/>
      <c r="BK709" s="1"/>
      <c r="BL709" s="1"/>
      <c r="BM709" s="1"/>
      <c r="BN709" s="1"/>
      <c r="BO709" s="1"/>
      <c r="BP709" s="1"/>
      <c r="BQ709" s="1"/>
      <c r="BR709" s="1"/>
      <c r="CD709" s="1"/>
      <c r="CE709" s="1"/>
      <c r="CF709" s="1"/>
      <c r="CG709" s="1"/>
      <c r="CH709" s="1"/>
      <c r="CI709" s="1"/>
      <c r="CM709" s="2"/>
      <c r="CN709" s="1"/>
      <c r="CO709" s="1"/>
      <c r="CP709" s="1"/>
      <c r="CQ709" s="1"/>
      <c r="CX709" s="1"/>
      <c r="CY709" s="1"/>
      <c r="CZ709" s="1"/>
      <c r="DA709" s="1"/>
      <c r="DB709" s="1"/>
      <c r="DC709" s="1"/>
      <c r="DD709" s="1"/>
      <c r="DE709" s="1"/>
      <c r="DF709" s="1"/>
      <c r="DG709" s="1"/>
      <c r="DH709" s="1"/>
      <c r="DI709" s="1"/>
      <c r="DJ709" s="1"/>
      <c r="DK709" s="1"/>
      <c r="DM709" s="1"/>
      <c r="DQ709" s="1"/>
      <c r="DR709" s="1"/>
      <c r="DY709" s="1"/>
      <c r="DZ709" s="1"/>
      <c r="ED709" s="1"/>
      <c r="EF709" s="1"/>
      <c r="EK709" s="1"/>
      <c r="EL709" s="1"/>
      <c r="EM709" s="1"/>
      <c r="EN709" s="1"/>
      <c r="EQ709" s="1"/>
      <c r="ER709" s="1"/>
      <c r="ES709" s="1"/>
      <c r="EV709" s="1"/>
      <c r="EW709" s="1"/>
      <c r="EZ709" s="1"/>
      <c r="FA709" s="1"/>
      <c r="FD709" s="1"/>
      <c r="FG709" s="1"/>
      <c r="FH709" s="1"/>
      <c r="FI709" s="1"/>
      <c r="FJ709" s="1"/>
      <c r="FK709" s="1"/>
      <c r="FM709" s="1"/>
      <c r="FN709" s="1"/>
      <c r="FO709" s="1"/>
      <c r="FP709" s="1"/>
      <c r="FQ709" s="1"/>
      <c r="FR709" s="1"/>
      <c r="FS709" s="1"/>
      <c r="FT709" s="1"/>
      <c r="FU709" s="1"/>
      <c r="FV709" s="1"/>
      <c r="FW709" s="1"/>
      <c r="FX709" s="1"/>
      <c r="FY709" s="1"/>
      <c r="FZ709" s="1"/>
      <c r="GA709" s="1"/>
      <c r="GD709" s="1"/>
      <c r="GE709" s="1"/>
      <c r="GF709" s="1"/>
      <c r="GG709" s="1"/>
      <c r="GH709" s="1"/>
      <c r="GI709" s="1"/>
      <c r="GJ709" s="1"/>
      <c r="GK709" s="1"/>
      <c r="GL709" s="1"/>
      <c r="GM709" s="1"/>
      <c r="GN709" s="1"/>
      <c r="GP709" s="1"/>
      <c r="GR709" s="1"/>
      <c r="GY709" s="1"/>
      <c r="HF709" s="1"/>
      <c r="HN709" s="1"/>
      <c r="HY709" s="1"/>
      <c r="IC709" s="1"/>
      <c r="IE709" s="1"/>
      <c r="IR709" s="1"/>
      <c r="IS709" s="1"/>
      <c r="IW709" s="1"/>
      <c r="IZ709" s="1"/>
      <c r="JA709" s="1"/>
      <c r="JG709" s="1"/>
      <c r="JJ709" s="1"/>
      <c r="JN709" s="1"/>
      <c r="JP709" s="1"/>
      <c r="JQ709" s="1"/>
      <c r="KU709" s="1"/>
      <c r="KV709" s="1"/>
      <c r="KY709" s="1"/>
      <c r="KZ709" s="1"/>
      <c r="LA709" s="1"/>
      <c r="LB709" s="1"/>
      <c r="LC709" s="1"/>
      <c r="LD709" s="1"/>
      <c r="LO709" s="1"/>
      <c r="LP709" s="1"/>
      <c r="LZ709" s="1"/>
      <c r="MA709" s="1"/>
    </row>
    <row r="710" spans="4:342" ht="13" x14ac:dyDescent="0.15">
      <c r="D710" s="12"/>
      <c r="E710" s="12"/>
      <c r="I710" s="12"/>
      <c r="J710" s="13"/>
      <c r="BF710" s="1"/>
      <c r="BG710" s="1"/>
      <c r="BH710" s="1"/>
      <c r="BI710" s="1"/>
      <c r="BK710" s="1"/>
      <c r="BL710" s="1"/>
      <c r="BM710" s="1"/>
      <c r="BN710" s="1"/>
      <c r="BO710" s="1"/>
      <c r="BP710" s="1"/>
      <c r="BQ710" s="1"/>
      <c r="BR710" s="1"/>
      <c r="CD710" s="1"/>
      <c r="CE710" s="1"/>
      <c r="CF710" s="1"/>
      <c r="CG710" s="1"/>
      <c r="CH710" s="1"/>
      <c r="CI710" s="1"/>
      <c r="CM710" s="2"/>
      <c r="CN710" s="1"/>
      <c r="CO710" s="1"/>
      <c r="CP710" s="1"/>
      <c r="CQ710" s="1"/>
      <c r="CX710" s="1"/>
      <c r="CY710" s="1"/>
      <c r="CZ710" s="1"/>
      <c r="DA710" s="1"/>
      <c r="DB710" s="1"/>
      <c r="DC710" s="1"/>
      <c r="DD710" s="1"/>
      <c r="DE710" s="1"/>
      <c r="DF710" s="1"/>
      <c r="DG710" s="1"/>
      <c r="DH710" s="1"/>
      <c r="DI710" s="1"/>
      <c r="DJ710" s="1"/>
      <c r="DK710" s="1"/>
      <c r="DM710" s="1"/>
      <c r="DQ710" s="1"/>
      <c r="DR710" s="1"/>
      <c r="DY710" s="1"/>
      <c r="DZ710" s="1"/>
      <c r="ED710" s="1"/>
      <c r="EF710" s="1"/>
      <c r="EK710" s="1"/>
      <c r="EL710" s="1"/>
      <c r="EM710" s="1"/>
      <c r="EN710" s="1"/>
      <c r="EQ710" s="1"/>
      <c r="ER710" s="1"/>
      <c r="ES710" s="1"/>
      <c r="EV710" s="1"/>
      <c r="EW710" s="1"/>
      <c r="EZ710" s="1"/>
      <c r="FA710" s="1"/>
      <c r="FD710" s="1"/>
      <c r="FG710" s="1"/>
      <c r="FH710" s="1"/>
      <c r="FI710" s="1"/>
      <c r="FJ710" s="1"/>
      <c r="FK710" s="1"/>
      <c r="FM710" s="1"/>
      <c r="FN710" s="1"/>
      <c r="FO710" s="1"/>
      <c r="FP710" s="1"/>
      <c r="FQ710" s="1"/>
      <c r="FR710" s="1"/>
      <c r="FS710" s="1"/>
      <c r="FT710" s="1"/>
      <c r="FU710" s="1"/>
      <c r="FV710" s="1"/>
      <c r="FW710" s="1"/>
      <c r="FX710" s="1"/>
      <c r="FY710" s="1"/>
      <c r="FZ710" s="1"/>
      <c r="GA710" s="1"/>
      <c r="GD710" s="1"/>
      <c r="GE710" s="1"/>
      <c r="GF710" s="1"/>
      <c r="GG710" s="1"/>
      <c r="GH710" s="1"/>
      <c r="GI710" s="1"/>
      <c r="GJ710" s="1"/>
      <c r="GK710" s="1"/>
      <c r="GL710" s="1"/>
      <c r="GM710" s="1"/>
      <c r="GN710" s="1"/>
      <c r="GP710" s="1"/>
      <c r="GR710" s="1"/>
      <c r="GY710" s="1"/>
      <c r="HF710" s="1"/>
      <c r="HN710" s="1"/>
      <c r="HY710" s="1"/>
      <c r="IC710" s="1"/>
      <c r="IE710" s="1"/>
      <c r="IR710" s="1"/>
      <c r="IS710" s="1"/>
      <c r="IW710" s="1"/>
      <c r="IZ710" s="1"/>
      <c r="JA710" s="1"/>
      <c r="JG710" s="1"/>
      <c r="JJ710" s="1"/>
      <c r="JN710" s="1"/>
      <c r="JP710" s="1"/>
      <c r="JQ710" s="1"/>
      <c r="KU710" s="1"/>
      <c r="KV710" s="1"/>
      <c r="KY710" s="1"/>
      <c r="KZ710" s="1"/>
      <c r="LA710" s="1"/>
      <c r="LB710" s="1"/>
      <c r="LC710" s="1"/>
      <c r="LD710" s="1"/>
      <c r="LO710" s="1"/>
      <c r="LP710" s="1"/>
      <c r="LZ710" s="1"/>
      <c r="MA710" s="1"/>
    </row>
    <row r="711" spans="4:342" ht="13" x14ac:dyDescent="0.15">
      <c r="D711" s="12"/>
      <c r="E711" s="12"/>
      <c r="I711" s="12"/>
      <c r="J711" s="13"/>
      <c r="BF711" s="1"/>
      <c r="BG711" s="1"/>
      <c r="BH711" s="1"/>
      <c r="BI711" s="1"/>
      <c r="BK711" s="1"/>
      <c r="BL711" s="1"/>
      <c r="BM711" s="1"/>
      <c r="BN711" s="1"/>
      <c r="BP711" s="1"/>
      <c r="BQ711" s="1"/>
      <c r="BR711" s="1"/>
      <c r="CD711" s="1"/>
      <c r="CE711" s="1"/>
      <c r="CF711" s="1"/>
      <c r="CG711" s="1"/>
      <c r="CH711" s="1"/>
      <c r="CI711" s="1"/>
      <c r="CM711" s="2"/>
      <c r="CN711" s="1"/>
      <c r="CO711" s="1"/>
      <c r="CP711" s="1"/>
      <c r="CQ711" s="1"/>
      <c r="CS711" s="1"/>
      <c r="CV711" s="1"/>
      <c r="CW711" s="1"/>
      <c r="CX711" s="1"/>
      <c r="CY711" s="1"/>
      <c r="CZ711" s="1"/>
      <c r="DA711" s="1"/>
      <c r="DB711" s="1"/>
      <c r="DC711" s="1"/>
      <c r="DD711" s="1"/>
      <c r="DE711" s="1"/>
      <c r="DF711" s="1"/>
      <c r="DG711" s="1"/>
      <c r="DH711" s="1"/>
      <c r="DI711" s="1"/>
      <c r="DJ711" s="1"/>
      <c r="DK711" s="1"/>
      <c r="ED711" s="1"/>
      <c r="EK711" s="1"/>
      <c r="EL711" s="1"/>
      <c r="EM711" s="1"/>
      <c r="EN711" s="1"/>
      <c r="EQ711" s="1"/>
      <c r="ER711" s="1"/>
      <c r="ES711" s="1"/>
      <c r="EV711" s="1"/>
      <c r="EW711" s="1"/>
      <c r="EZ711" s="1"/>
      <c r="FA711" s="1"/>
      <c r="FD711" s="1"/>
      <c r="GD711" s="1"/>
      <c r="GE711" s="1"/>
      <c r="GF711" s="1"/>
      <c r="GG711" s="1"/>
      <c r="GH711" s="1"/>
      <c r="GI711" s="1"/>
      <c r="GP711" s="1"/>
      <c r="GV711" s="1"/>
      <c r="HF711" s="1"/>
      <c r="HH711" s="1"/>
      <c r="HN711" s="1"/>
      <c r="HQ711" s="1"/>
      <c r="HY711" s="1"/>
      <c r="IE711" s="1"/>
      <c r="IG711" s="1"/>
      <c r="IR711" s="1"/>
      <c r="IS711" s="1"/>
      <c r="IZ711" s="1"/>
      <c r="JF711" s="1"/>
      <c r="JG711" s="1"/>
      <c r="JH711" s="1"/>
      <c r="JJ711" s="1"/>
      <c r="JK711" s="1"/>
      <c r="JL711" s="3"/>
      <c r="JM711" s="1"/>
      <c r="JN711" s="1"/>
      <c r="JP711" s="1"/>
      <c r="JQ711" s="1"/>
      <c r="JR711" s="1"/>
      <c r="JT711" s="1"/>
      <c r="KW711" s="1"/>
      <c r="KY711" s="1"/>
      <c r="KZ711" s="1"/>
      <c r="LA711" s="1"/>
      <c r="LB711" s="1"/>
      <c r="LC711" s="1"/>
      <c r="LD711" s="1"/>
      <c r="LO711" s="1"/>
      <c r="LP711" s="1"/>
      <c r="LZ711" s="1"/>
      <c r="MA711" s="1"/>
      <c r="MB711" s="1"/>
      <c r="MC711" s="5"/>
      <c r="MD711" s="5"/>
    </row>
    <row r="712" spans="4:342" ht="13" x14ac:dyDescent="0.15">
      <c r="D712" s="12"/>
      <c r="E712" s="12"/>
      <c r="I712" s="12"/>
      <c r="J712" s="13"/>
      <c r="BF712" s="1"/>
      <c r="BG712" s="1"/>
      <c r="BH712" s="1"/>
      <c r="BI712" s="1"/>
      <c r="BK712" s="1"/>
      <c r="BL712" s="1"/>
      <c r="BM712" s="1"/>
      <c r="BN712" s="1"/>
      <c r="BP712" s="1"/>
      <c r="BQ712" s="1"/>
      <c r="BR712" s="1"/>
      <c r="CD712" s="1"/>
      <c r="CE712" s="1"/>
      <c r="CF712" s="1"/>
      <c r="CG712" s="1"/>
      <c r="CH712" s="1"/>
      <c r="CI712" s="1"/>
      <c r="CM712" s="2"/>
      <c r="CN712" s="1"/>
      <c r="CO712" s="1"/>
      <c r="CP712" s="1"/>
      <c r="CQ712" s="1"/>
      <c r="CS712" s="1"/>
      <c r="CV712" s="1"/>
      <c r="CW712" s="1"/>
      <c r="CX712" s="1"/>
      <c r="CY712" s="1"/>
      <c r="CZ712" s="1"/>
      <c r="DA712" s="1"/>
      <c r="DB712" s="1"/>
      <c r="DC712" s="1"/>
      <c r="DD712" s="1"/>
      <c r="DE712" s="1"/>
      <c r="DF712" s="1"/>
      <c r="DG712" s="1"/>
      <c r="DH712" s="1"/>
      <c r="DI712" s="1"/>
      <c r="DJ712" s="1"/>
      <c r="DK712" s="1"/>
      <c r="ED712" s="1"/>
      <c r="EK712" s="1"/>
      <c r="EL712" s="1"/>
      <c r="EM712" s="1"/>
      <c r="EN712" s="1"/>
      <c r="EQ712" s="1"/>
      <c r="ER712" s="1"/>
      <c r="ES712" s="1"/>
      <c r="EV712" s="1"/>
      <c r="EW712" s="1"/>
      <c r="EZ712" s="1"/>
      <c r="FA712" s="1"/>
      <c r="FD712" s="1"/>
      <c r="GD712" s="1"/>
      <c r="GE712" s="1"/>
      <c r="GF712" s="1"/>
      <c r="GG712" s="1"/>
      <c r="GH712" s="1"/>
      <c r="GI712" s="1"/>
      <c r="GP712" s="1"/>
      <c r="GV712" s="1"/>
      <c r="HF712" s="1"/>
      <c r="HH712" s="1"/>
      <c r="HN712" s="1"/>
      <c r="HQ712" s="1"/>
      <c r="HY712" s="1"/>
      <c r="IE712" s="1"/>
      <c r="IG712" s="1"/>
      <c r="IR712" s="1"/>
      <c r="IS712" s="1"/>
      <c r="IZ712" s="1"/>
      <c r="JF712" s="1"/>
      <c r="JG712" s="1"/>
      <c r="JH712" s="1"/>
      <c r="JJ712" s="1"/>
      <c r="JK712" s="1"/>
      <c r="JL712" s="3"/>
      <c r="JM712" s="1"/>
      <c r="JN712" s="1"/>
      <c r="JP712" s="1"/>
      <c r="JQ712" s="1"/>
      <c r="JR712" s="1"/>
      <c r="JT712" s="1"/>
      <c r="KW712" s="1"/>
      <c r="KY712" s="1"/>
      <c r="KZ712" s="1"/>
      <c r="LA712" s="1"/>
      <c r="LB712" s="1"/>
      <c r="LC712" s="1"/>
      <c r="LD712" s="1"/>
      <c r="LO712" s="1"/>
      <c r="LP712" s="1"/>
      <c r="LZ712" s="1"/>
      <c r="MA712" s="1"/>
      <c r="MB712" s="1"/>
      <c r="MC712" s="5"/>
      <c r="MD712" s="5"/>
    </row>
    <row r="713" spans="4:342" ht="13" x14ac:dyDescent="0.15">
      <c r="D713" s="12"/>
      <c r="E713" s="12"/>
      <c r="I713" s="12"/>
      <c r="J713" s="13"/>
      <c r="BF713" s="1"/>
      <c r="BG713" s="1"/>
      <c r="BH713" s="1"/>
      <c r="BI713" s="1"/>
      <c r="BK713" s="1"/>
      <c r="BL713" s="1"/>
      <c r="BM713" s="1"/>
      <c r="BN713" s="1"/>
      <c r="BP713" s="1"/>
      <c r="BQ713" s="1"/>
      <c r="BR713" s="1"/>
      <c r="CD713" s="1"/>
      <c r="CE713" s="1"/>
      <c r="CF713" s="1"/>
      <c r="CG713" s="1"/>
      <c r="CH713" s="1"/>
      <c r="CI713" s="1"/>
      <c r="CM713" s="2"/>
      <c r="CN713" s="1"/>
      <c r="CO713" s="1"/>
      <c r="CP713" s="1"/>
      <c r="CQ713" s="1"/>
      <c r="CS713" s="1"/>
      <c r="CV713" s="1"/>
      <c r="CW713" s="1"/>
      <c r="CX713" s="1"/>
      <c r="CY713" s="1"/>
      <c r="CZ713" s="1"/>
      <c r="DA713" s="1"/>
      <c r="DB713" s="1"/>
      <c r="DC713" s="1"/>
      <c r="DD713" s="1"/>
      <c r="DE713" s="1"/>
      <c r="DF713" s="1"/>
      <c r="DG713" s="1"/>
      <c r="DH713" s="1"/>
      <c r="DI713" s="1"/>
      <c r="DJ713" s="1"/>
      <c r="DK713" s="1"/>
      <c r="ED713" s="1"/>
      <c r="EK713" s="1"/>
      <c r="EL713" s="1"/>
      <c r="EM713" s="1"/>
      <c r="EN713" s="1"/>
      <c r="EQ713" s="1"/>
      <c r="ER713" s="1"/>
      <c r="ES713" s="1"/>
      <c r="EV713" s="1"/>
      <c r="EW713" s="1"/>
      <c r="EZ713" s="1"/>
      <c r="FA713" s="1"/>
      <c r="FD713" s="1"/>
      <c r="GD713" s="1"/>
      <c r="GE713" s="1"/>
      <c r="GF713" s="1"/>
      <c r="GG713" s="1"/>
      <c r="GH713" s="1"/>
      <c r="GI713" s="1"/>
      <c r="GP713" s="1"/>
      <c r="GV713" s="1"/>
      <c r="HF713" s="1"/>
      <c r="HH713" s="1"/>
      <c r="HN713" s="1"/>
      <c r="HQ713" s="1"/>
      <c r="HY713" s="1"/>
      <c r="IE713" s="1"/>
      <c r="IG713" s="1"/>
      <c r="IR713" s="1"/>
      <c r="IS713" s="1"/>
      <c r="IZ713" s="1"/>
      <c r="JF713" s="1"/>
      <c r="JG713" s="1"/>
      <c r="JH713" s="1"/>
      <c r="JJ713" s="1"/>
      <c r="JK713" s="1"/>
      <c r="JL713" s="3"/>
      <c r="JM713" s="1"/>
      <c r="JN713" s="1"/>
      <c r="JP713" s="1"/>
      <c r="JQ713" s="1"/>
      <c r="JR713" s="1"/>
      <c r="JT713" s="1"/>
      <c r="KW713" s="1"/>
      <c r="KY713" s="1"/>
      <c r="KZ713" s="1"/>
      <c r="LA713" s="1"/>
      <c r="LB713" s="1"/>
      <c r="LC713" s="1"/>
      <c r="LD713" s="1"/>
      <c r="LO713" s="1"/>
      <c r="LP713" s="1"/>
      <c r="LZ713" s="1"/>
      <c r="MA713" s="1"/>
      <c r="MB713" s="1"/>
      <c r="MC713" s="5"/>
      <c r="MD713" s="5"/>
    </row>
    <row r="714" spans="4:342" ht="13" x14ac:dyDescent="0.15">
      <c r="D714" s="12"/>
      <c r="E714" s="12"/>
      <c r="I714" s="12"/>
      <c r="J714" s="13"/>
      <c r="BF714" s="1"/>
      <c r="BG714" s="1"/>
      <c r="BH714" s="1"/>
      <c r="BI714" s="1"/>
      <c r="BK714" s="1"/>
      <c r="BL714" s="1"/>
      <c r="BM714" s="1"/>
      <c r="BN714" s="1"/>
      <c r="BO714" s="1"/>
      <c r="BP714" s="1"/>
      <c r="BQ714" s="1"/>
      <c r="BR714" s="1"/>
      <c r="CD714" s="1"/>
      <c r="CE714" s="1"/>
      <c r="CF714" s="1"/>
      <c r="CG714" s="1"/>
      <c r="CH714" s="1"/>
      <c r="CI714" s="1"/>
      <c r="CM714" s="2"/>
      <c r="CN714" s="1"/>
      <c r="CO714" s="1"/>
      <c r="CP714" s="1"/>
      <c r="CQ714" s="1"/>
      <c r="CX714" s="1"/>
      <c r="CY714" s="1"/>
      <c r="CZ714" s="1"/>
      <c r="DA714" s="1"/>
      <c r="DB714" s="1"/>
      <c r="DC714" s="1"/>
      <c r="DD714" s="1"/>
      <c r="DE714" s="1"/>
      <c r="DF714" s="1"/>
      <c r="DG714" s="1"/>
      <c r="DH714" s="1"/>
      <c r="DI714" s="1"/>
      <c r="DJ714" s="1"/>
      <c r="DK714" s="1"/>
      <c r="ED714" s="1"/>
      <c r="EK714" s="1"/>
      <c r="EL714" s="1"/>
      <c r="EM714" s="1"/>
      <c r="EN714" s="1"/>
      <c r="EQ714" s="1"/>
      <c r="ER714" s="1"/>
      <c r="ES714" s="1"/>
      <c r="EV714" s="1"/>
      <c r="EW714" s="1"/>
      <c r="EZ714" s="1"/>
      <c r="FA714" s="1"/>
      <c r="FD714" s="1"/>
      <c r="FH714" s="1"/>
      <c r="FI714" s="1"/>
      <c r="FJ714" s="1"/>
      <c r="FM714" s="1"/>
      <c r="FP714" s="1"/>
      <c r="FQ714" s="1"/>
      <c r="FR714" s="1"/>
      <c r="FS714" s="1"/>
      <c r="FT714" s="1"/>
      <c r="FU714" s="1"/>
      <c r="FV714" s="1"/>
      <c r="FW714" s="1"/>
      <c r="FX714" s="1"/>
      <c r="FY714" s="1"/>
      <c r="FZ714" s="1"/>
      <c r="GA714" s="1"/>
      <c r="GB714" s="1"/>
      <c r="GD714" s="1"/>
      <c r="GE714" s="1"/>
      <c r="GF714" s="1"/>
      <c r="GG714" s="1"/>
      <c r="GH714" s="1"/>
      <c r="GI714" s="1"/>
      <c r="GJ714" s="1"/>
      <c r="GK714" s="1"/>
      <c r="GL714" s="1"/>
      <c r="GM714" s="1"/>
      <c r="GN714" s="1"/>
      <c r="GP714" s="1"/>
      <c r="GR714" s="1"/>
      <c r="GV714" s="1"/>
      <c r="GY714" s="1"/>
      <c r="HF714" s="1"/>
      <c r="HN714" s="1"/>
      <c r="HY714" s="1"/>
      <c r="ID714" s="1"/>
      <c r="IE714" s="1"/>
      <c r="IR714" s="1"/>
      <c r="IS714" s="1"/>
      <c r="IY714" s="1"/>
      <c r="IZ714" s="1"/>
      <c r="JJ714" s="1"/>
      <c r="JP714" s="1"/>
      <c r="JQ714" s="1"/>
      <c r="KU714" s="1"/>
      <c r="KY714" s="1"/>
      <c r="KZ714" s="1"/>
      <c r="LA714" s="1"/>
      <c r="LB714" s="1"/>
      <c r="LC714" s="1"/>
      <c r="LD714" s="1"/>
      <c r="LO714" s="1"/>
      <c r="LP714" s="1"/>
      <c r="LZ714" s="1"/>
      <c r="MA714" s="1"/>
    </row>
    <row r="715" spans="4:342" ht="13" x14ac:dyDescent="0.15">
      <c r="D715" s="12"/>
      <c r="E715" s="12"/>
      <c r="I715" s="12"/>
      <c r="J715" s="13"/>
      <c r="BF715" s="1"/>
      <c r="BG715" s="1"/>
      <c r="BH715" s="1"/>
      <c r="BI715" s="1"/>
      <c r="BK715" s="1"/>
      <c r="BL715" s="1"/>
      <c r="BM715" s="1"/>
      <c r="BN715" s="1"/>
      <c r="BO715" s="1"/>
      <c r="BP715" s="1"/>
      <c r="BQ715" s="1"/>
      <c r="BR715" s="1"/>
      <c r="CD715" s="1"/>
      <c r="CE715" s="1"/>
      <c r="CF715" s="1"/>
      <c r="CG715" s="1"/>
      <c r="CH715" s="1"/>
      <c r="CI715" s="1"/>
      <c r="CM715" s="2"/>
      <c r="CN715" s="1"/>
      <c r="CO715" s="1"/>
      <c r="CP715" s="1"/>
      <c r="CQ715" s="1"/>
      <c r="CX715" s="1"/>
      <c r="CY715" s="1"/>
      <c r="CZ715" s="1"/>
      <c r="DA715" s="1"/>
      <c r="DB715" s="1"/>
      <c r="DC715" s="1"/>
      <c r="DD715" s="1"/>
      <c r="DE715" s="1"/>
      <c r="DF715" s="1"/>
      <c r="DG715" s="1"/>
      <c r="DH715" s="1"/>
      <c r="DI715" s="1"/>
      <c r="DJ715" s="1"/>
      <c r="DK715" s="1"/>
      <c r="ED715" s="1"/>
      <c r="EK715" s="1"/>
      <c r="EL715" s="1"/>
      <c r="EM715" s="1"/>
      <c r="EN715" s="1"/>
      <c r="EQ715" s="1"/>
      <c r="ER715" s="1"/>
      <c r="ES715" s="1"/>
      <c r="EV715" s="1"/>
      <c r="EW715" s="1"/>
      <c r="EZ715" s="1"/>
      <c r="FA715" s="1"/>
      <c r="FD715" s="1"/>
      <c r="FH715" s="1"/>
      <c r="FI715" s="1"/>
      <c r="FJ715" s="1"/>
      <c r="FM715" s="1"/>
      <c r="FP715" s="1"/>
      <c r="FQ715" s="1"/>
      <c r="FR715" s="1"/>
      <c r="FS715" s="1"/>
      <c r="FT715" s="1"/>
      <c r="FU715" s="1"/>
      <c r="FV715" s="1"/>
      <c r="FW715" s="1"/>
      <c r="FX715" s="1"/>
      <c r="FY715" s="1"/>
      <c r="FZ715" s="1"/>
      <c r="GA715" s="1"/>
      <c r="GB715" s="1"/>
      <c r="GD715" s="1"/>
      <c r="GE715" s="1"/>
      <c r="GF715" s="1"/>
      <c r="GG715" s="1"/>
      <c r="GH715" s="1"/>
      <c r="GI715" s="1"/>
      <c r="GJ715" s="1"/>
      <c r="GK715" s="1"/>
      <c r="GL715" s="1"/>
      <c r="GM715" s="1"/>
      <c r="GN715" s="1"/>
      <c r="GP715" s="1"/>
      <c r="GR715" s="1"/>
      <c r="GV715" s="1"/>
      <c r="GY715" s="1"/>
      <c r="HF715" s="1"/>
      <c r="HN715" s="1"/>
      <c r="HY715" s="1"/>
      <c r="ID715" s="1"/>
      <c r="IE715" s="1"/>
      <c r="IR715" s="1"/>
      <c r="IS715" s="1"/>
      <c r="IY715" s="1"/>
      <c r="IZ715" s="1"/>
      <c r="JJ715" s="1"/>
      <c r="JP715" s="1"/>
      <c r="JQ715" s="1"/>
      <c r="KU715" s="1"/>
      <c r="KY715" s="1"/>
      <c r="KZ715" s="1"/>
      <c r="LA715" s="1"/>
      <c r="LB715" s="1"/>
      <c r="LC715" s="1"/>
      <c r="LD715" s="1"/>
      <c r="LO715" s="1"/>
      <c r="LP715" s="1"/>
      <c r="LZ715" s="1"/>
      <c r="MA715" s="1"/>
    </row>
    <row r="716" spans="4:342" ht="13" x14ac:dyDescent="0.15">
      <c r="D716" s="12"/>
      <c r="E716" s="12"/>
      <c r="I716" s="12"/>
      <c r="J716" s="13"/>
      <c r="BF716" s="1"/>
      <c r="BG716" s="1"/>
      <c r="BH716" s="1"/>
      <c r="BI716" s="1"/>
      <c r="BK716" s="1"/>
      <c r="BL716" s="1"/>
      <c r="BM716" s="1"/>
      <c r="BN716" s="1"/>
      <c r="BO716" s="1"/>
      <c r="BP716" s="1"/>
      <c r="BQ716" s="1"/>
      <c r="BR716" s="1"/>
      <c r="CD716" s="1"/>
      <c r="CE716" s="1"/>
      <c r="CF716" s="1"/>
      <c r="CG716" s="1"/>
      <c r="CH716" s="1"/>
      <c r="CI716" s="1"/>
      <c r="CM716" s="2"/>
      <c r="CN716" s="1"/>
      <c r="CO716" s="1"/>
      <c r="CP716" s="1"/>
      <c r="CQ716" s="1"/>
      <c r="CX716" s="1"/>
      <c r="CY716" s="1"/>
      <c r="CZ716" s="1"/>
      <c r="DA716" s="1"/>
      <c r="DB716" s="1"/>
      <c r="DC716" s="1"/>
      <c r="DD716" s="1"/>
      <c r="DE716" s="1"/>
      <c r="DF716" s="1"/>
      <c r="DG716" s="1"/>
      <c r="DH716" s="1"/>
      <c r="DI716" s="1"/>
      <c r="DJ716" s="1"/>
      <c r="DK716" s="1"/>
      <c r="ED716" s="1"/>
      <c r="EK716" s="1"/>
      <c r="EL716" s="1"/>
      <c r="EM716" s="1"/>
      <c r="EN716" s="1"/>
      <c r="EQ716" s="1"/>
      <c r="ER716" s="1"/>
      <c r="ES716" s="1"/>
      <c r="EV716" s="1"/>
      <c r="EW716" s="1"/>
      <c r="EZ716" s="1"/>
      <c r="FA716" s="1"/>
      <c r="FD716" s="1"/>
      <c r="FH716" s="1"/>
      <c r="FI716" s="1"/>
      <c r="FJ716" s="1"/>
      <c r="FM716" s="1"/>
      <c r="FP716" s="1"/>
      <c r="FQ716" s="1"/>
      <c r="FR716" s="1"/>
      <c r="FS716" s="1"/>
      <c r="FT716" s="1"/>
      <c r="FU716" s="1"/>
      <c r="FV716" s="1"/>
      <c r="FW716" s="1"/>
      <c r="FX716" s="1"/>
      <c r="FY716" s="1"/>
      <c r="FZ716" s="1"/>
      <c r="GA716" s="1"/>
      <c r="GB716" s="1"/>
      <c r="GD716" s="1"/>
      <c r="GE716" s="1"/>
      <c r="GF716" s="1"/>
      <c r="GG716" s="1"/>
      <c r="GH716" s="1"/>
      <c r="GI716" s="1"/>
      <c r="GJ716" s="1"/>
      <c r="GK716" s="1"/>
      <c r="GL716" s="1"/>
      <c r="GM716" s="1"/>
      <c r="GN716" s="1"/>
      <c r="GP716" s="1"/>
      <c r="GR716" s="1"/>
      <c r="GV716" s="1"/>
      <c r="GY716" s="1"/>
      <c r="HF716" s="1"/>
      <c r="HN716" s="1"/>
      <c r="HY716" s="1"/>
      <c r="ID716" s="1"/>
      <c r="IE716" s="1"/>
      <c r="IR716" s="1"/>
      <c r="IS716" s="1"/>
      <c r="IY716" s="1"/>
      <c r="IZ716" s="1"/>
      <c r="JJ716" s="1"/>
      <c r="JP716" s="1"/>
      <c r="JQ716" s="1"/>
      <c r="KU716" s="1"/>
      <c r="KY716" s="1"/>
      <c r="KZ716" s="1"/>
      <c r="LA716" s="1"/>
      <c r="LB716" s="1"/>
      <c r="LC716" s="1"/>
      <c r="LD716" s="1"/>
      <c r="LO716" s="1"/>
      <c r="LP716" s="1"/>
      <c r="LZ716" s="1"/>
      <c r="MA716" s="1"/>
    </row>
    <row r="717" spans="4:342" ht="13" x14ac:dyDescent="0.15">
      <c r="D717" s="12"/>
      <c r="E717" s="12"/>
      <c r="I717" s="12"/>
      <c r="J717" s="13"/>
      <c r="BF717" s="1"/>
      <c r="BG717" s="1"/>
      <c r="BH717" s="1"/>
      <c r="BI717" s="1"/>
      <c r="BK717" s="1"/>
      <c r="BL717" s="1"/>
      <c r="BM717" s="1"/>
      <c r="BN717" s="1"/>
      <c r="BO717" s="1"/>
      <c r="BP717" s="1"/>
      <c r="BQ717" s="1"/>
      <c r="BR717" s="1"/>
      <c r="CD717" s="1"/>
      <c r="CE717" s="1"/>
      <c r="CF717" s="1"/>
      <c r="CG717" s="1"/>
      <c r="CH717" s="1"/>
      <c r="CI717" s="1"/>
      <c r="CM717" s="2"/>
      <c r="CN717" s="1"/>
      <c r="CO717" s="1"/>
      <c r="CP717" s="1"/>
      <c r="CQ717" s="1"/>
      <c r="CX717" s="1"/>
      <c r="CY717" s="1"/>
      <c r="CZ717" s="1"/>
      <c r="DA717" s="1"/>
      <c r="DB717" s="1"/>
      <c r="DC717" s="1"/>
      <c r="DD717" s="1"/>
      <c r="DE717" s="1"/>
      <c r="DF717" s="1"/>
      <c r="DG717" s="1"/>
      <c r="DH717" s="1"/>
      <c r="DI717" s="1"/>
      <c r="DJ717" s="1"/>
      <c r="DK717" s="1"/>
      <c r="ED717" s="1"/>
      <c r="EK717" s="1"/>
      <c r="EL717" s="1"/>
      <c r="EM717" s="1"/>
      <c r="EN717" s="1"/>
      <c r="EQ717" s="1"/>
      <c r="ER717" s="1"/>
      <c r="ES717" s="1"/>
      <c r="EV717" s="1"/>
      <c r="EW717" s="1"/>
      <c r="EZ717" s="1"/>
      <c r="FA717" s="1"/>
      <c r="FD717" s="1"/>
      <c r="FH717" s="1"/>
      <c r="FI717" s="1"/>
      <c r="FJ717" s="1"/>
      <c r="FM717" s="1"/>
      <c r="FP717" s="1"/>
      <c r="FQ717" s="1"/>
      <c r="FR717" s="1"/>
      <c r="FS717" s="1"/>
      <c r="FT717" s="1"/>
      <c r="FU717" s="1"/>
      <c r="FV717" s="1"/>
      <c r="FW717" s="1"/>
      <c r="FX717" s="1"/>
      <c r="FY717" s="1"/>
      <c r="FZ717" s="1"/>
      <c r="GA717" s="1"/>
      <c r="GB717" s="1"/>
      <c r="GD717" s="1"/>
      <c r="GE717" s="1"/>
      <c r="GF717" s="1"/>
      <c r="GG717" s="1"/>
      <c r="GH717" s="1"/>
      <c r="GI717" s="1"/>
      <c r="GJ717" s="1"/>
      <c r="GK717" s="1"/>
      <c r="GL717" s="1"/>
      <c r="GM717" s="1"/>
      <c r="GN717" s="1"/>
      <c r="GP717" s="1"/>
      <c r="GR717" s="1"/>
      <c r="GV717" s="1"/>
      <c r="GY717" s="1"/>
      <c r="HF717" s="1"/>
      <c r="HN717" s="1"/>
      <c r="HY717" s="1"/>
      <c r="ID717" s="1"/>
      <c r="IE717" s="1"/>
      <c r="IR717" s="1"/>
      <c r="IS717" s="1"/>
      <c r="IY717" s="1"/>
      <c r="IZ717" s="1"/>
      <c r="JJ717" s="1"/>
      <c r="JP717" s="1"/>
      <c r="JQ717" s="1"/>
      <c r="KU717" s="1"/>
      <c r="KY717" s="1"/>
      <c r="KZ717" s="1"/>
      <c r="LA717" s="1"/>
      <c r="LB717" s="1"/>
      <c r="LC717" s="1"/>
      <c r="LD717" s="1"/>
      <c r="LO717" s="1"/>
      <c r="LP717" s="1"/>
      <c r="LZ717" s="1"/>
      <c r="MA717" s="1"/>
    </row>
    <row r="718" spans="4:342" ht="13" x14ac:dyDescent="0.15">
      <c r="D718" s="12"/>
      <c r="E718" s="12"/>
      <c r="I718" s="12"/>
      <c r="J718" s="13"/>
      <c r="BF718" s="1"/>
      <c r="BG718" s="1"/>
      <c r="BH718" s="1"/>
      <c r="BI718" s="1"/>
      <c r="BK718" s="1"/>
      <c r="BL718" s="1"/>
      <c r="BM718" s="1"/>
      <c r="BN718" s="1"/>
      <c r="BO718" s="1"/>
      <c r="BP718" s="1"/>
      <c r="BQ718" s="1"/>
      <c r="BR718" s="1"/>
      <c r="BX718" s="1"/>
      <c r="CC718" s="1"/>
      <c r="CD718" s="1"/>
      <c r="CE718" s="1"/>
      <c r="CF718" s="1"/>
      <c r="CG718" s="1"/>
      <c r="CH718" s="1"/>
      <c r="CI718" s="1"/>
      <c r="CM718" s="2"/>
      <c r="CN718" s="1"/>
      <c r="CO718" s="1"/>
      <c r="CP718" s="1"/>
      <c r="CQ718" s="1"/>
      <c r="CS718" s="1"/>
      <c r="CT718" s="1"/>
      <c r="CU718" s="1"/>
      <c r="CV718" s="1"/>
      <c r="CW718" s="1"/>
      <c r="CX718" s="1"/>
      <c r="CY718" s="1"/>
      <c r="CZ718" s="1"/>
      <c r="DA718" s="1"/>
      <c r="DB718" s="1"/>
      <c r="DC718" s="1"/>
      <c r="DD718" s="1"/>
      <c r="DE718" s="1"/>
      <c r="DF718" s="1"/>
      <c r="DG718" s="1"/>
      <c r="DH718" s="1"/>
      <c r="DI718" s="1"/>
      <c r="DJ718" s="1"/>
      <c r="DK718" s="1"/>
      <c r="DM718" s="1"/>
      <c r="DQ718" s="1"/>
      <c r="DR718" s="1"/>
      <c r="DY718" s="1"/>
      <c r="DZ718" s="1"/>
      <c r="ED718" s="1"/>
      <c r="EK718" s="1"/>
      <c r="EL718" s="1"/>
      <c r="EM718" s="1"/>
      <c r="EN718" s="1"/>
      <c r="EQ718" s="1"/>
      <c r="ER718" s="1"/>
      <c r="ES718" s="1"/>
      <c r="EV718" s="1"/>
      <c r="EW718" s="1"/>
      <c r="EZ718" s="1"/>
      <c r="FA718" s="1"/>
      <c r="FD718" s="1"/>
      <c r="FG718" s="1"/>
      <c r="FH718" s="1"/>
      <c r="FI718" s="1"/>
      <c r="FJ718" s="1"/>
      <c r="FK718" s="1"/>
      <c r="FL718" s="1"/>
      <c r="FM718" s="1"/>
      <c r="FN718" s="1"/>
      <c r="FO718" s="1"/>
      <c r="FP718" s="1"/>
      <c r="FQ718" s="1"/>
      <c r="FR718" s="1"/>
      <c r="FS718" s="1"/>
      <c r="FT718" s="1"/>
      <c r="FU718" s="1"/>
      <c r="FV718" s="1"/>
      <c r="FW718" s="1"/>
      <c r="FX718" s="1"/>
      <c r="FY718" s="1"/>
      <c r="FZ718" s="1"/>
      <c r="GA718" s="1"/>
      <c r="GB718" s="1"/>
      <c r="GD718" s="1"/>
      <c r="GE718" s="1"/>
      <c r="GF718" s="1"/>
      <c r="GG718" s="1"/>
      <c r="GH718" s="1"/>
      <c r="GI718" s="1"/>
      <c r="GJ718" s="1"/>
      <c r="GK718" s="1"/>
      <c r="GL718" s="1"/>
      <c r="GM718" s="1"/>
      <c r="GN718" s="1"/>
      <c r="GO718" s="1"/>
      <c r="GP718" s="1"/>
      <c r="GR718" s="1"/>
      <c r="GY718" s="1"/>
      <c r="HF718" s="1"/>
      <c r="HH718" s="1"/>
      <c r="HN718" s="1"/>
      <c r="HQ718" s="1"/>
      <c r="HT718" s="1"/>
      <c r="HY718" s="1"/>
      <c r="IC718" s="1"/>
      <c r="IE718" s="1"/>
      <c r="IG718" s="1"/>
      <c r="IR718" s="1"/>
      <c r="IS718" s="1"/>
      <c r="IZ718" s="1"/>
      <c r="JC718" s="1"/>
      <c r="JG718" s="1"/>
      <c r="JH718" s="1"/>
      <c r="JI718" s="1"/>
      <c r="JJ718" s="1"/>
      <c r="JK718" s="1"/>
      <c r="JL718" s="3"/>
      <c r="JM718" s="1"/>
      <c r="JN718" s="1"/>
      <c r="JP718" s="1"/>
      <c r="JQ718" s="1"/>
      <c r="JR718" s="1"/>
      <c r="JT718" s="1"/>
      <c r="KV718" s="1"/>
      <c r="KY718" s="1"/>
      <c r="KZ718" s="1"/>
      <c r="LA718" s="1"/>
      <c r="LB718" s="1"/>
      <c r="LC718" s="1"/>
      <c r="LD718" s="1"/>
      <c r="LN718" s="1"/>
      <c r="LO718" s="1"/>
      <c r="LP718" s="1"/>
      <c r="LZ718" s="1"/>
      <c r="MA718" s="1"/>
    </row>
    <row r="719" spans="4:342" ht="13" x14ac:dyDescent="0.15">
      <c r="D719" s="12"/>
      <c r="E719" s="12"/>
      <c r="I719" s="12"/>
      <c r="J719" s="13"/>
      <c r="BF719" s="1"/>
      <c r="BG719" s="1"/>
      <c r="BH719" s="1"/>
      <c r="BI719" s="1"/>
      <c r="BK719" s="1"/>
      <c r="BL719" s="1"/>
      <c r="BM719" s="1"/>
      <c r="BN719" s="1"/>
      <c r="BO719" s="1"/>
      <c r="BP719" s="1"/>
      <c r="BQ719" s="1"/>
      <c r="BR719" s="1"/>
      <c r="BX719" s="1"/>
      <c r="CC719" s="1"/>
      <c r="CD719" s="1"/>
      <c r="CE719" s="1"/>
      <c r="CF719" s="1"/>
      <c r="CG719" s="1"/>
      <c r="CH719" s="1"/>
      <c r="CI719" s="1"/>
      <c r="CM719" s="2"/>
      <c r="CN719" s="1"/>
      <c r="CO719" s="1"/>
      <c r="CP719" s="1"/>
      <c r="CQ719" s="1"/>
      <c r="CS719" s="1"/>
      <c r="CT719" s="1"/>
      <c r="CU719" s="1"/>
      <c r="CV719" s="1"/>
      <c r="CW719" s="1"/>
      <c r="CX719" s="1"/>
      <c r="CY719" s="1"/>
      <c r="CZ719" s="1"/>
      <c r="DA719" s="1"/>
      <c r="DB719" s="1"/>
      <c r="DC719" s="1"/>
      <c r="DD719" s="1"/>
      <c r="DE719" s="1"/>
      <c r="DF719" s="1"/>
      <c r="DG719" s="1"/>
      <c r="DH719" s="1"/>
      <c r="DI719" s="1"/>
      <c r="DJ719" s="1"/>
      <c r="DK719" s="1"/>
      <c r="DM719" s="1"/>
      <c r="DQ719" s="1"/>
      <c r="DR719" s="1"/>
      <c r="DY719" s="1"/>
      <c r="DZ719" s="1"/>
      <c r="ED719" s="1"/>
      <c r="EK719" s="1"/>
      <c r="EL719" s="1"/>
      <c r="EM719" s="1"/>
      <c r="EN719" s="1"/>
      <c r="EQ719" s="1"/>
      <c r="ER719" s="1"/>
      <c r="ES719" s="1"/>
      <c r="EV719" s="1"/>
      <c r="EW719" s="1"/>
      <c r="EZ719" s="1"/>
      <c r="FA719" s="1"/>
      <c r="FD719" s="1"/>
      <c r="FG719" s="1"/>
      <c r="FH719" s="1"/>
      <c r="FI719" s="1"/>
      <c r="FJ719" s="1"/>
      <c r="FK719" s="1"/>
      <c r="FL719" s="1"/>
      <c r="FM719" s="1"/>
      <c r="FN719" s="1"/>
      <c r="FO719" s="1"/>
      <c r="FP719" s="1"/>
      <c r="FQ719" s="1"/>
      <c r="FR719" s="1"/>
      <c r="FS719" s="1"/>
      <c r="FT719" s="1"/>
      <c r="FU719" s="1"/>
      <c r="FV719" s="1"/>
      <c r="FW719" s="1"/>
      <c r="FX719" s="1"/>
      <c r="FY719" s="1"/>
      <c r="FZ719" s="1"/>
      <c r="GA719" s="1"/>
      <c r="GB719" s="1"/>
      <c r="GD719" s="1"/>
      <c r="GE719" s="1"/>
      <c r="GF719" s="1"/>
      <c r="GG719" s="1"/>
      <c r="GH719" s="1"/>
      <c r="GI719" s="1"/>
      <c r="GJ719" s="1"/>
      <c r="GK719" s="1"/>
      <c r="GL719" s="1"/>
      <c r="GM719" s="1"/>
      <c r="GN719" s="1"/>
      <c r="GO719" s="1"/>
      <c r="GP719" s="1"/>
      <c r="GR719" s="1"/>
      <c r="GY719" s="1"/>
      <c r="HF719" s="1"/>
      <c r="HH719" s="1"/>
      <c r="HN719" s="1"/>
      <c r="HQ719" s="1"/>
      <c r="HT719" s="1"/>
      <c r="HY719" s="1"/>
      <c r="IC719" s="1"/>
      <c r="IE719" s="1"/>
      <c r="IG719" s="1"/>
      <c r="IR719" s="1"/>
      <c r="IS719" s="1"/>
      <c r="IZ719" s="1"/>
      <c r="JC719" s="1"/>
      <c r="JG719" s="1"/>
      <c r="JH719" s="1"/>
      <c r="JI719" s="1"/>
      <c r="JJ719" s="1"/>
      <c r="JK719" s="1"/>
      <c r="JL719" s="3"/>
      <c r="JM719" s="1"/>
      <c r="JN719" s="1"/>
      <c r="JP719" s="1"/>
      <c r="JQ719" s="1"/>
      <c r="JR719" s="1"/>
      <c r="JT719" s="1"/>
      <c r="KV719" s="1"/>
      <c r="KY719" s="1"/>
      <c r="KZ719" s="1"/>
      <c r="LA719" s="1"/>
      <c r="LB719" s="1"/>
      <c r="LC719" s="1"/>
      <c r="LD719" s="1"/>
      <c r="LN719" s="1"/>
      <c r="LO719" s="1"/>
      <c r="LP719" s="1"/>
      <c r="LZ719" s="1"/>
      <c r="MA719" s="1"/>
    </row>
    <row r="720" spans="4:342" ht="13" x14ac:dyDescent="0.15">
      <c r="D720" s="12"/>
      <c r="E720" s="12"/>
      <c r="I720" s="12"/>
      <c r="J720" s="13"/>
      <c r="BF720" s="1"/>
      <c r="BG720" s="1"/>
      <c r="BH720" s="1"/>
      <c r="BI720" s="1"/>
      <c r="BK720" s="1"/>
      <c r="BL720" s="1"/>
      <c r="BM720" s="1"/>
      <c r="BN720" s="1"/>
      <c r="BO720" s="1"/>
      <c r="BP720" s="1"/>
      <c r="BQ720" s="1"/>
      <c r="BR720" s="1"/>
      <c r="BX720" s="1"/>
      <c r="CD720" s="1"/>
      <c r="CE720" s="1"/>
      <c r="CF720" s="1"/>
      <c r="CG720" s="1"/>
      <c r="CH720" s="1"/>
      <c r="CI720" s="1"/>
      <c r="CK720" s="1"/>
      <c r="CM720" s="2"/>
      <c r="CN720" s="1"/>
      <c r="CO720" s="1"/>
      <c r="CP720" s="1"/>
      <c r="CQ720" s="1"/>
      <c r="CR720" s="1"/>
      <c r="CS720" s="1"/>
      <c r="CT720" s="1"/>
      <c r="CU720" s="1"/>
      <c r="CV720" s="1"/>
      <c r="CW720" s="1"/>
      <c r="CX720" s="1"/>
      <c r="CY720" s="1"/>
      <c r="CZ720" s="1"/>
      <c r="DA720" s="1"/>
      <c r="DB720" s="1"/>
      <c r="DC720" s="1"/>
      <c r="DD720" s="1"/>
      <c r="DE720" s="1"/>
      <c r="DF720" s="1"/>
      <c r="DG720" s="1"/>
      <c r="DH720" s="1"/>
      <c r="DI720" s="1"/>
      <c r="DJ720" s="1"/>
      <c r="DK720" s="1"/>
      <c r="DM720" s="1"/>
      <c r="DQ720" s="1"/>
      <c r="DR720" s="1"/>
      <c r="DY720" s="1"/>
      <c r="DZ720" s="1"/>
      <c r="ED720" s="1"/>
      <c r="EF720" s="1"/>
      <c r="EK720" s="1"/>
      <c r="EL720" s="1"/>
      <c r="EM720" s="1"/>
      <c r="EN720" s="1"/>
      <c r="EQ720" s="1"/>
      <c r="ER720" s="1"/>
      <c r="ES720" s="1"/>
      <c r="EV720" s="1"/>
      <c r="EW720" s="1"/>
      <c r="EZ720" s="1"/>
      <c r="FA720" s="1"/>
      <c r="FD720" s="1"/>
      <c r="FH720" s="1"/>
      <c r="FJ720" s="1"/>
      <c r="FM720" s="1"/>
      <c r="FN720" s="1"/>
      <c r="FO720" s="1"/>
      <c r="FP720" s="1"/>
      <c r="FQ720" s="1"/>
      <c r="FR720" s="1"/>
      <c r="FS720" s="1"/>
      <c r="FT720" s="1"/>
      <c r="FU720" s="1"/>
      <c r="FV720" s="1"/>
      <c r="FW720" s="1"/>
      <c r="FX720" s="1"/>
      <c r="FY720" s="1"/>
      <c r="FZ720" s="1"/>
      <c r="GA720" s="1"/>
      <c r="GD720" s="1"/>
      <c r="GE720" s="1"/>
      <c r="GF720" s="1"/>
      <c r="GG720" s="1"/>
      <c r="GH720" s="1"/>
      <c r="GI720" s="1"/>
      <c r="GJ720" s="1"/>
      <c r="GK720" s="1"/>
      <c r="GL720" s="1"/>
      <c r="GM720" s="1"/>
      <c r="GN720" s="1"/>
      <c r="GO720" s="1"/>
      <c r="GP720" s="1"/>
      <c r="GR720" s="1"/>
      <c r="GY720" s="1"/>
      <c r="HF720" s="1"/>
      <c r="HH720" s="1"/>
      <c r="HN720" s="1"/>
      <c r="HT720" s="1"/>
      <c r="HY720" s="1"/>
      <c r="IC720" s="1"/>
      <c r="ID720" s="1"/>
      <c r="IE720" s="1"/>
      <c r="IR720" s="1"/>
      <c r="IS720" s="1"/>
      <c r="IZ720" s="1"/>
      <c r="JC720" s="1"/>
      <c r="JF720" s="1"/>
      <c r="JG720" s="1"/>
      <c r="JH720" s="1"/>
      <c r="JI720" s="1"/>
      <c r="JJ720" s="1"/>
      <c r="JN720" s="1"/>
      <c r="JP720" s="1"/>
      <c r="JQ720" s="1"/>
      <c r="KU720" s="1"/>
      <c r="KY720" s="1"/>
      <c r="KZ720" s="1"/>
      <c r="LA720" s="1"/>
      <c r="LB720" s="1"/>
      <c r="LC720" s="1"/>
      <c r="LD720" s="1"/>
      <c r="LO720" s="1"/>
      <c r="LP720" s="1"/>
      <c r="LW720" s="1"/>
      <c r="LZ720" s="1"/>
      <c r="MA720" s="1"/>
    </row>
    <row r="721" spans="4:342" ht="13" x14ac:dyDescent="0.15">
      <c r="D721" s="12"/>
      <c r="E721" s="12"/>
      <c r="I721" s="12"/>
      <c r="J721" s="13"/>
      <c r="BF721" s="1"/>
      <c r="BG721" s="1"/>
      <c r="BH721" s="1"/>
      <c r="BI721" s="1"/>
      <c r="BK721" s="1"/>
      <c r="BL721" s="1"/>
      <c r="BM721" s="1"/>
      <c r="BN721" s="1"/>
      <c r="BO721" s="1"/>
      <c r="BP721" s="1"/>
      <c r="BQ721" s="1"/>
      <c r="BR721" s="1"/>
      <c r="BX721" s="1"/>
      <c r="CD721" s="1"/>
      <c r="CE721" s="1"/>
      <c r="CF721" s="1"/>
      <c r="CG721" s="1"/>
      <c r="CH721" s="1"/>
      <c r="CI721" s="1"/>
      <c r="CK721" s="1"/>
      <c r="CM721" s="2"/>
      <c r="CN721" s="1"/>
      <c r="CO721" s="1"/>
      <c r="CP721" s="1"/>
      <c r="CQ721" s="1"/>
      <c r="CR721" s="1"/>
      <c r="CS721" s="1"/>
      <c r="CT721" s="1"/>
      <c r="CU721" s="1"/>
      <c r="CV721" s="1"/>
      <c r="CW721" s="1"/>
      <c r="CX721" s="1"/>
      <c r="CY721" s="1"/>
      <c r="CZ721" s="1"/>
      <c r="DA721" s="1"/>
      <c r="DB721" s="1"/>
      <c r="DC721" s="1"/>
      <c r="DD721" s="1"/>
      <c r="DE721" s="1"/>
      <c r="DF721" s="1"/>
      <c r="DG721" s="1"/>
      <c r="DH721" s="1"/>
      <c r="DI721" s="1"/>
      <c r="DJ721" s="1"/>
      <c r="DK721" s="1"/>
      <c r="DM721" s="1"/>
      <c r="DQ721" s="1"/>
      <c r="DR721" s="1"/>
      <c r="DY721" s="1"/>
      <c r="DZ721" s="1"/>
      <c r="ED721" s="1"/>
      <c r="EF721" s="1"/>
      <c r="EK721" s="1"/>
      <c r="EL721" s="1"/>
      <c r="EM721" s="1"/>
      <c r="EN721" s="1"/>
      <c r="EQ721" s="1"/>
      <c r="ER721" s="1"/>
      <c r="ES721" s="1"/>
      <c r="EV721" s="1"/>
      <c r="EW721" s="1"/>
      <c r="EZ721" s="1"/>
      <c r="FA721" s="1"/>
      <c r="FD721" s="1"/>
      <c r="FG721" s="1"/>
      <c r="FJ721" s="1"/>
      <c r="FL721" s="1"/>
      <c r="FP721" s="1"/>
      <c r="FS721" s="1"/>
      <c r="FV721" s="1"/>
      <c r="FW721" s="1"/>
      <c r="FX721" s="1"/>
      <c r="GA721" s="1"/>
      <c r="GD721" s="1"/>
      <c r="GE721" s="1"/>
      <c r="GF721" s="1"/>
      <c r="GG721" s="1"/>
      <c r="GH721" s="1"/>
      <c r="GI721" s="1"/>
      <c r="GJ721" s="1"/>
      <c r="GO721" s="1"/>
      <c r="GP721" s="1"/>
      <c r="GR721" s="1"/>
      <c r="HF721" s="1"/>
      <c r="HH721" s="1"/>
      <c r="HN721" s="1"/>
      <c r="HQ721" s="1"/>
      <c r="HT721" s="1"/>
      <c r="HX721" s="1"/>
      <c r="HY721" s="1"/>
      <c r="IC721" s="1"/>
      <c r="IE721" s="1"/>
      <c r="IG721" s="1"/>
      <c r="IH721" s="1"/>
      <c r="IJ721" s="1"/>
      <c r="IR721" s="1"/>
      <c r="IS721" s="1"/>
      <c r="IZ721" s="1"/>
      <c r="JC721" s="1"/>
      <c r="JF721" s="1"/>
      <c r="JG721" s="1"/>
      <c r="JH721" s="1"/>
      <c r="JI721" s="1"/>
      <c r="JJ721" s="1"/>
      <c r="JK721" s="1"/>
      <c r="JL721" s="3"/>
      <c r="JM721" s="1"/>
      <c r="JN721" s="1"/>
      <c r="JP721" s="1"/>
      <c r="JQ721" s="1"/>
      <c r="JR721" s="1"/>
      <c r="JT721" s="1"/>
      <c r="KV721" s="1"/>
      <c r="KW721" s="1"/>
      <c r="KY721" s="1"/>
      <c r="KZ721" s="1"/>
      <c r="LA721" s="1"/>
      <c r="LB721" s="1"/>
      <c r="LC721" s="1"/>
      <c r="LD721" s="1"/>
      <c r="LN721" s="1"/>
      <c r="LO721" s="1"/>
      <c r="LP721" s="1"/>
      <c r="LZ721" s="1"/>
      <c r="MA721" s="1"/>
    </row>
    <row r="722" spans="4:342" ht="13" x14ac:dyDescent="0.15">
      <c r="D722" s="12"/>
      <c r="E722" s="12"/>
      <c r="I722" s="12"/>
      <c r="J722" s="13"/>
      <c r="BF722" s="1"/>
      <c r="BG722" s="1"/>
      <c r="BH722" s="1"/>
      <c r="BI722" s="1"/>
      <c r="BK722" s="1"/>
      <c r="BL722" s="1"/>
      <c r="BM722" s="1"/>
      <c r="BN722" s="1"/>
      <c r="BO722" s="1"/>
      <c r="BP722" s="1"/>
      <c r="BQ722" s="1"/>
      <c r="BR722" s="1"/>
      <c r="BX722" s="1"/>
      <c r="CD722" s="1"/>
      <c r="CE722" s="1"/>
      <c r="CF722" s="1"/>
      <c r="CG722" s="1"/>
      <c r="CH722" s="1"/>
      <c r="CI722" s="1"/>
      <c r="CK722" s="1"/>
      <c r="CM722" s="2"/>
      <c r="CN722" s="1"/>
      <c r="CO722" s="1"/>
      <c r="CP722" s="1"/>
      <c r="CQ722" s="1"/>
      <c r="CR722" s="1"/>
      <c r="CS722" s="1"/>
      <c r="CT722" s="1"/>
      <c r="CU722" s="1"/>
      <c r="CV722" s="1"/>
      <c r="CW722" s="1"/>
      <c r="CX722" s="1"/>
      <c r="CY722" s="1"/>
      <c r="CZ722" s="1"/>
      <c r="DA722" s="1"/>
      <c r="DB722" s="1"/>
      <c r="DC722" s="1"/>
      <c r="DD722" s="1"/>
      <c r="DE722" s="1"/>
      <c r="DF722" s="1"/>
      <c r="DG722" s="1"/>
      <c r="DH722" s="1"/>
      <c r="DI722" s="1"/>
      <c r="DJ722" s="1"/>
      <c r="DK722" s="1"/>
      <c r="DM722" s="1"/>
      <c r="DQ722" s="1"/>
      <c r="DR722" s="1"/>
      <c r="DY722" s="1"/>
      <c r="DZ722" s="1"/>
      <c r="ED722" s="1"/>
      <c r="EF722" s="1"/>
      <c r="EK722" s="1"/>
      <c r="EL722" s="1"/>
      <c r="EM722" s="1"/>
      <c r="EN722" s="1"/>
      <c r="EQ722" s="1"/>
      <c r="ER722" s="1"/>
      <c r="ES722" s="1"/>
      <c r="EV722" s="1"/>
      <c r="EW722" s="1"/>
      <c r="EZ722" s="1"/>
      <c r="FA722" s="1"/>
      <c r="FD722" s="1"/>
      <c r="FG722" s="1"/>
      <c r="FJ722" s="1"/>
      <c r="FL722" s="1"/>
      <c r="FP722" s="1"/>
      <c r="FS722" s="1"/>
      <c r="FV722" s="1"/>
      <c r="FW722" s="1"/>
      <c r="FX722" s="1"/>
      <c r="GA722" s="1"/>
      <c r="GD722" s="1"/>
      <c r="GE722" s="1"/>
      <c r="GF722" s="1"/>
      <c r="GG722" s="1"/>
      <c r="GH722" s="1"/>
      <c r="GI722" s="1"/>
      <c r="GJ722" s="1"/>
      <c r="GO722" s="1"/>
      <c r="GP722" s="1"/>
      <c r="GR722" s="1"/>
      <c r="HF722" s="1"/>
      <c r="HH722" s="1"/>
      <c r="HN722" s="1"/>
      <c r="HQ722" s="1"/>
      <c r="HT722" s="1"/>
      <c r="HX722" s="1"/>
      <c r="HY722" s="1"/>
      <c r="IC722" s="1"/>
      <c r="IE722" s="1"/>
      <c r="IG722" s="1"/>
      <c r="IH722" s="1"/>
      <c r="IJ722" s="1"/>
      <c r="IR722" s="1"/>
      <c r="IS722" s="1"/>
      <c r="IZ722" s="1"/>
      <c r="JC722" s="1"/>
      <c r="JF722" s="1"/>
      <c r="JG722" s="1"/>
      <c r="JH722" s="1"/>
      <c r="JI722" s="1"/>
      <c r="JJ722" s="1"/>
      <c r="JK722" s="1"/>
      <c r="JL722" s="3"/>
      <c r="JM722" s="1"/>
      <c r="JN722" s="1"/>
      <c r="JP722" s="1"/>
      <c r="JQ722" s="1"/>
      <c r="JR722" s="1"/>
      <c r="JT722" s="1"/>
      <c r="KV722" s="1"/>
      <c r="KW722" s="1"/>
      <c r="KY722" s="1"/>
      <c r="KZ722" s="1"/>
      <c r="LA722" s="1"/>
      <c r="LB722" s="1"/>
      <c r="LC722" s="1"/>
      <c r="LD722" s="1"/>
      <c r="LN722" s="1"/>
      <c r="LO722" s="1"/>
      <c r="LP722" s="1"/>
      <c r="LZ722" s="1"/>
      <c r="MA722" s="1"/>
    </row>
    <row r="723" spans="4:342" ht="13" x14ac:dyDescent="0.15">
      <c r="D723" s="12"/>
      <c r="E723" s="12"/>
      <c r="I723" s="12"/>
      <c r="J723" s="13"/>
      <c r="BF723" s="1"/>
      <c r="BG723" s="1"/>
      <c r="BH723" s="1"/>
      <c r="BI723" s="1"/>
      <c r="BK723" s="1"/>
      <c r="BL723" s="1"/>
      <c r="BM723" s="1"/>
      <c r="BN723" s="1"/>
      <c r="BO723" s="1"/>
      <c r="BP723" s="1"/>
      <c r="BQ723" s="1"/>
      <c r="BR723" s="1"/>
      <c r="BX723" s="1"/>
      <c r="CD723" s="1"/>
      <c r="CE723" s="1"/>
      <c r="CF723" s="1"/>
      <c r="CG723" s="1"/>
      <c r="CH723" s="1"/>
      <c r="CI723" s="1"/>
      <c r="CK723" s="1"/>
      <c r="CM723" s="2"/>
      <c r="CN723" s="1"/>
      <c r="CO723" s="1"/>
      <c r="CP723" s="1"/>
      <c r="CQ723" s="1"/>
      <c r="CR723" s="1"/>
      <c r="CS723" s="1"/>
      <c r="CT723" s="1"/>
      <c r="CU723" s="1"/>
      <c r="CV723" s="1"/>
      <c r="CW723" s="1"/>
      <c r="CX723" s="1"/>
      <c r="CY723" s="1"/>
      <c r="CZ723" s="1"/>
      <c r="DA723" s="1"/>
      <c r="DB723" s="1"/>
      <c r="DC723" s="1"/>
      <c r="DD723" s="1"/>
      <c r="DE723" s="1"/>
      <c r="DF723" s="1"/>
      <c r="DG723" s="1"/>
      <c r="DH723" s="1"/>
      <c r="DI723" s="1"/>
      <c r="DJ723" s="1"/>
      <c r="DK723" s="1"/>
      <c r="DM723" s="1"/>
      <c r="DQ723" s="1"/>
      <c r="DR723" s="1"/>
      <c r="DY723" s="1"/>
      <c r="DZ723" s="1"/>
      <c r="ED723" s="1"/>
      <c r="EF723" s="1"/>
      <c r="EK723" s="1"/>
      <c r="EL723" s="1"/>
      <c r="EM723" s="1"/>
      <c r="EN723" s="1"/>
      <c r="EQ723" s="1"/>
      <c r="ER723" s="1"/>
      <c r="ES723" s="1"/>
      <c r="EV723" s="1"/>
      <c r="EW723" s="1"/>
      <c r="EZ723" s="1"/>
      <c r="FA723" s="1"/>
      <c r="FD723" s="1"/>
      <c r="FG723" s="1"/>
      <c r="FJ723" s="1"/>
      <c r="FL723" s="1"/>
      <c r="FP723" s="1"/>
      <c r="FS723" s="1"/>
      <c r="FV723" s="1"/>
      <c r="FW723" s="1"/>
      <c r="FX723" s="1"/>
      <c r="GA723" s="1"/>
      <c r="GD723" s="1"/>
      <c r="GE723" s="1"/>
      <c r="GF723" s="1"/>
      <c r="GG723" s="1"/>
      <c r="GH723" s="1"/>
      <c r="GI723" s="1"/>
      <c r="GJ723" s="1"/>
      <c r="GO723" s="1"/>
      <c r="GP723" s="1"/>
      <c r="GR723" s="1"/>
      <c r="HF723" s="1"/>
      <c r="HH723" s="1"/>
      <c r="HN723" s="1"/>
      <c r="HQ723" s="1"/>
      <c r="HT723" s="1"/>
      <c r="HX723" s="1"/>
      <c r="HY723" s="1"/>
      <c r="IC723" s="1"/>
      <c r="IE723" s="1"/>
      <c r="IG723" s="1"/>
      <c r="IH723" s="1"/>
      <c r="IJ723" s="1"/>
      <c r="IR723" s="1"/>
      <c r="IS723" s="1"/>
      <c r="IZ723" s="1"/>
      <c r="JC723" s="1"/>
      <c r="JF723" s="1"/>
      <c r="JG723" s="1"/>
      <c r="JH723" s="1"/>
      <c r="JI723" s="1"/>
      <c r="JJ723" s="1"/>
      <c r="JK723" s="1"/>
      <c r="JL723" s="3"/>
      <c r="JM723" s="1"/>
      <c r="JN723" s="1"/>
      <c r="JP723" s="1"/>
      <c r="JQ723" s="1"/>
      <c r="JR723" s="1"/>
      <c r="JT723" s="1"/>
      <c r="KV723" s="1"/>
      <c r="KW723" s="1"/>
      <c r="KY723" s="1"/>
      <c r="KZ723" s="1"/>
      <c r="LA723" s="1"/>
      <c r="LB723" s="1"/>
      <c r="LC723" s="1"/>
      <c r="LD723" s="1"/>
      <c r="LN723" s="1"/>
      <c r="LO723" s="1"/>
      <c r="LP723" s="1"/>
      <c r="LZ723" s="1"/>
      <c r="MA723" s="1"/>
    </row>
    <row r="724" spans="4:342" ht="13" x14ac:dyDescent="0.15">
      <c r="D724" s="12"/>
      <c r="E724" s="12"/>
      <c r="I724" s="12"/>
      <c r="J724" s="13"/>
      <c r="BF724" s="1"/>
      <c r="BG724" s="1"/>
      <c r="BH724" s="1"/>
      <c r="BI724" s="1"/>
      <c r="BK724" s="1"/>
      <c r="BL724" s="1"/>
      <c r="BM724" s="1"/>
      <c r="BN724" s="1"/>
      <c r="BO724" s="1"/>
      <c r="BP724" s="1"/>
      <c r="BQ724" s="1"/>
      <c r="BR724" s="1"/>
      <c r="BX724" s="1"/>
      <c r="CD724" s="1"/>
      <c r="CE724" s="1"/>
      <c r="CF724" s="1"/>
      <c r="CG724" s="1"/>
      <c r="CH724" s="1"/>
      <c r="CI724" s="1"/>
      <c r="CK724" s="1"/>
      <c r="CM724" s="2"/>
      <c r="CN724" s="1"/>
      <c r="CO724" s="1"/>
      <c r="CP724" s="1"/>
      <c r="CQ724" s="1"/>
      <c r="CR724" s="1"/>
      <c r="CS724" s="1"/>
      <c r="CT724" s="1"/>
      <c r="CU724" s="1"/>
      <c r="CV724" s="1"/>
      <c r="CW724" s="1"/>
      <c r="CX724" s="1"/>
      <c r="CY724" s="1"/>
      <c r="CZ724" s="1"/>
      <c r="DA724" s="1"/>
      <c r="DB724" s="1"/>
      <c r="DC724" s="1"/>
      <c r="DD724" s="1"/>
      <c r="DE724" s="1"/>
      <c r="DF724" s="1"/>
      <c r="DG724" s="1"/>
      <c r="DH724" s="1"/>
      <c r="DI724" s="1"/>
      <c r="DJ724" s="1"/>
      <c r="DK724" s="1"/>
      <c r="DM724" s="1"/>
      <c r="DQ724" s="1"/>
      <c r="DR724" s="1"/>
      <c r="DY724" s="1"/>
      <c r="DZ724" s="1"/>
      <c r="ED724" s="1"/>
      <c r="EF724" s="1"/>
      <c r="EK724" s="1"/>
      <c r="EL724" s="1"/>
      <c r="EM724" s="1"/>
      <c r="EN724" s="1"/>
      <c r="EQ724" s="1"/>
      <c r="ER724" s="1"/>
      <c r="ES724" s="1"/>
      <c r="EV724" s="1"/>
      <c r="EW724" s="1"/>
      <c r="EZ724" s="1"/>
      <c r="FA724" s="1"/>
      <c r="FD724" s="1"/>
      <c r="FG724" s="1"/>
      <c r="FJ724" s="1"/>
      <c r="FL724" s="1"/>
      <c r="FP724" s="1"/>
      <c r="FS724" s="1"/>
      <c r="FV724" s="1"/>
      <c r="FW724" s="1"/>
      <c r="FX724" s="1"/>
      <c r="GA724" s="1"/>
      <c r="GD724" s="1"/>
      <c r="GE724" s="1"/>
      <c r="GF724" s="1"/>
      <c r="GG724" s="1"/>
      <c r="GH724" s="1"/>
      <c r="GI724" s="1"/>
      <c r="GJ724" s="1"/>
      <c r="GO724" s="1"/>
      <c r="GP724" s="1"/>
      <c r="GR724" s="1"/>
      <c r="HF724" s="1"/>
      <c r="HH724" s="1"/>
      <c r="HN724" s="1"/>
      <c r="HQ724" s="1"/>
      <c r="HT724" s="1"/>
      <c r="HX724" s="1"/>
      <c r="HY724" s="1"/>
      <c r="IC724" s="1"/>
      <c r="IE724" s="1"/>
      <c r="IG724" s="1"/>
      <c r="IH724" s="1"/>
      <c r="IJ724" s="1"/>
      <c r="IR724" s="1"/>
      <c r="IS724" s="1"/>
      <c r="IZ724" s="1"/>
      <c r="JC724" s="1"/>
      <c r="JF724" s="1"/>
      <c r="JG724" s="1"/>
      <c r="JH724" s="1"/>
      <c r="JI724" s="1"/>
      <c r="JJ724" s="1"/>
      <c r="JK724" s="1"/>
      <c r="JL724" s="3"/>
      <c r="JM724" s="1"/>
      <c r="JN724" s="1"/>
      <c r="JP724" s="1"/>
      <c r="JQ724" s="1"/>
      <c r="JR724" s="1"/>
      <c r="JT724" s="1"/>
      <c r="KV724" s="1"/>
      <c r="KW724" s="1"/>
      <c r="KY724" s="1"/>
      <c r="KZ724" s="1"/>
      <c r="LA724" s="1"/>
      <c r="LB724" s="1"/>
      <c r="LC724" s="1"/>
      <c r="LD724" s="1"/>
      <c r="LN724" s="1"/>
      <c r="LO724" s="1"/>
      <c r="LP724" s="1"/>
      <c r="LZ724" s="1"/>
      <c r="MA724" s="1"/>
    </row>
    <row r="725" spans="4:342" ht="13" x14ac:dyDescent="0.15">
      <c r="D725" s="12"/>
      <c r="E725" s="12"/>
      <c r="I725" s="12"/>
      <c r="J725" s="13"/>
      <c r="BF725" s="1"/>
      <c r="BG725" s="1"/>
      <c r="BH725" s="1"/>
      <c r="BI725" s="1"/>
      <c r="BK725" s="1"/>
      <c r="BL725" s="1"/>
      <c r="BM725" s="1"/>
      <c r="BN725" s="1"/>
      <c r="BO725" s="1"/>
      <c r="BP725" s="1"/>
      <c r="BQ725" s="1"/>
      <c r="BR725" s="1"/>
      <c r="BX725" s="1"/>
      <c r="CD725" s="1"/>
      <c r="CE725" s="1"/>
      <c r="CF725" s="1"/>
      <c r="CG725" s="1"/>
      <c r="CH725" s="1"/>
      <c r="CI725" s="1"/>
      <c r="CK725" s="1"/>
      <c r="CM725" s="2"/>
      <c r="CN725" s="1"/>
      <c r="CO725" s="1"/>
      <c r="CP725" s="1"/>
      <c r="CQ725" s="1"/>
      <c r="CR725" s="1"/>
      <c r="CS725" s="1"/>
      <c r="CT725" s="1"/>
      <c r="CU725" s="1"/>
      <c r="CV725" s="1"/>
      <c r="CW725" s="1"/>
      <c r="CX725" s="1"/>
      <c r="CY725" s="1"/>
      <c r="CZ725" s="1"/>
      <c r="DA725" s="1"/>
      <c r="DB725" s="1"/>
      <c r="DC725" s="1"/>
      <c r="DD725" s="1"/>
      <c r="DE725" s="1"/>
      <c r="DF725" s="1"/>
      <c r="DG725" s="1"/>
      <c r="DH725" s="1"/>
      <c r="DI725" s="1"/>
      <c r="DJ725" s="1"/>
      <c r="DK725" s="1"/>
      <c r="DM725" s="1"/>
      <c r="DQ725" s="1"/>
      <c r="DR725" s="1"/>
      <c r="DY725" s="1"/>
      <c r="DZ725" s="1"/>
      <c r="ED725" s="1"/>
      <c r="EF725" s="1"/>
      <c r="EK725" s="1"/>
      <c r="EL725" s="1"/>
      <c r="EM725" s="1"/>
      <c r="EN725" s="1"/>
      <c r="EQ725" s="1"/>
      <c r="ER725" s="1"/>
      <c r="ES725" s="1"/>
      <c r="EV725" s="1"/>
      <c r="EW725" s="1"/>
      <c r="EZ725" s="1"/>
      <c r="FA725" s="1"/>
      <c r="FD725" s="1"/>
      <c r="FG725" s="1"/>
      <c r="FJ725" s="1"/>
      <c r="FL725" s="1"/>
      <c r="FP725" s="1"/>
      <c r="FS725" s="1"/>
      <c r="FV725" s="1"/>
      <c r="FW725" s="1"/>
      <c r="FX725" s="1"/>
      <c r="GA725" s="1"/>
      <c r="GD725" s="1"/>
      <c r="GE725" s="1"/>
      <c r="GF725" s="1"/>
      <c r="GG725" s="1"/>
      <c r="GH725" s="1"/>
      <c r="GI725" s="1"/>
      <c r="GJ725" s="1"/>
      <c r="GO725" s="1"/>
      <c r="GP725" s="1"/>
      <c r="GR725" s="1"/>
      <c r="HF725" s="1"/>
      <c r="HH725" s="1"/>
      <c r="HN725" s="1"/>
      <c r="HQ725" s="1"/>
      <c r="HT725" s="1"/>
      <c r="HX725" s="1"/>
      <c r="HY725" s="1"/>
      <c r="IC725" s="1"/>
      <c r="IE725" s="1"/>
      <c r="IG725" s="1"/>
      <c r="IH725" s="1"/>
      <c r="IJ725" s="1"/>
      <c r="IR725" s="1"/>
      <c r="IS725" s="1"/>
      <c r="IZ725" s="1"/>
      <c r="JC725" s="1"/>
      <c r="JF725" s="1"/>
      <c r="JG725" s="1"/>
      <c r="JH725" s="1"/>
      <c r="JI725" s="1"/>
      <c r="JJ725" s="1"/>
      <c r="JK725" s="1"/>
      <c r="JL725" s="3"/>
      <c r="JM725" s="1"/>
      <c r="JN725" s="1"/>
      <c r="JP725" s="1"/>
      <c r="JQ725" s="1"/>
      <c r="JR725" s="1"/>
      <c r="JT725" s="1"/>
      <c r="KV725" s="1"/>
      <c r="KW725" s="1"/>
      <c r="KY725" s="1"/>
      <c r="KZ725" s="1"/>
      <c r="LA725" s="1"/>
      <c r="LB725" s="1"/>
      <c r="LC725" s="1"/>
      <c r="LD725" s="1"/>
      <c r="LN725" s="1"/>
      <c r="LO725" s="1"/>
      <c r="LP725" s="1"/>
      <c r="LZ725" s="1"/>
      <c r="MA725" s="1"/>
    </row>
    <row r="726" spans="4:342" ht="13" x14ac:dyDescent="0.15">
      <c r="D726" s="12"/>
      <c r="E726" s="12"/>
      <c r="I726" s="12"/>
      <c r="J726" s="13"/>
      <c r="BF726" s="1"/>
      <c r="BG726" s="1"/>
      <c r="BH726" s="1"/>
      <c r="BI726" s="1"/>
      <c r="BJ726" s="1"/>
      <c r="BK726" s="1"/>
      <c r="BL726" s="1"/>
      <c r="BM726" s="1"/>
      <c r="BN726" s="1"/>
      <c r="BO726" s="1"/>
      <c r="BP726" s="1"/>
      <c r="BQ726" s="1"/>
      <c r="BR726" s="1"/>
      <c r="BX726" s="1"/>
      <c r="CC726" s="1"/>
      <c r="CD726" s="1"/>
      <c r="CE726" s="1"/>
      <c r="CF726" s="1"/>
      <c r="CG726" s="1"/>
      <c r="CH726" s="1"/>
      <c r="CI726" s="1"/>
      <c r="CJ726" s="1"/>
      <c r="CK726" s="1"/>
      <c r="CM726" s="2"/>
      <c r="CN726" s="1"/>
      <c r="CO726" s="1"/>
      <c r="CP726" s="1"/>
      <c r="CQ726" s="1"/>
      <c r="CR726" s="1"/>
      <c r="CT726" s="1"/>
      <c r="CU726" s="1"/>
      <c r="CV726" s="1"/>
      <c r="CW726" s="1"/>
      <c r="CX726" s="1"/>
      <c r="CY726" s="1"/>
      <c r="CZ726" s="1"/>
      <c r="DA726" s="1"/>
      <c r="DB726" s="1"/>
      <c r="DC726" s="1"/>
      <c r="DD726" s="1"/>
      <c r="DE726" s="1"/>
      <c r="DF726" s="1"/>
      <c r="DG726" s="1"/>
      <c r="DH726" s="1"/>
      <c r="DI726" s="1"/>
      <c r="DJ726" s="1"/>
      <c r="DK726" s="1"/>
      <c r="DM726" s="1"/>
      <c r="DR726" s="1"/>
      <c r="ED726" s="1"/>
      <c r="EK726" s="1"/>
      <c r="EL726" s="1"/>
      <c r="EM726" s="1"/>
      <c r="EN726" s="1"/>
      <c r="EQ726" s="1"/>
      <c r="ER726" s="1"/>
      <c r="ES726" s="1"/>
      <c r="EV726" s="1"/>
      <c r="EW726" s="1"/>
      <c r="EZ726" s="1"/>
      <c r="FA726" s="1"/>
      <c r="FD726" s="1"/>
      <c r="FG726" s="1"/>
      <c r="FH726" s="1"/>
      <c r="FJ726" s="1"/>
      <c r="FL726" s="1"/>
      <c r="FM726" s="1"/>
      <c r="FN726" s="1"/>
      <c r="FO726" s="1"/>
      <c r="FP726" s="1"/>
      <c r="FV726" s="1"/>
      <c r="FW726" s="1"/>
      <c r="FX726" s="1"/>
      <c r="FZ726" s="1"/>
      <c r="GA726" s="1"/>
      <c r="GD726" s="1"/>
      <c r="GE726" s="1"/>
      <c r="GF726" s="1"/>
      <c r="GG726" s="1"/>
      <c r="GH726" s="1"/>
      <c r="GI726" s="1"/>
      <c r="GJ726" s="1"/>
      <c r="GK726" s="1"/>
      <c r="GL726" s="1"/>
      <c r="GM726" s="1"/>
      <c r="GN726" s="1"/>
      <c r="GO726" s="1"/>
      <c r="GP726" s="1"/>
      <c r="GR726" s="1"/>
      <c r="GS726" s="1"/>
      <c r="GY726" s="1"/>
      <c r="HF726" s="1"/>
      <c r="HH726" s="1"/>
      <c r="HN726" s="1"/>
      <c r="HQ726" s="1"/>
      <c r="HT726" s="1"/>
      <c r="HY726" s="1"/>
      <c r="ID726" s="1"/>
      <c r="IE726" s="1"/>
      <c r="IK726" s="1"/>
      <c r="IR726" s="1"/>
      <c r="IS726" s="1"/>
      <c r="IY726" s="1"/>
      <c r="IZ726" s="1"/>
      <c r="JF726" s="1"/>
      <c r="JG726" s="1"/>
      <c r="JH726" s="1"/>
      <c r="JI726" s="1"/>
      <c r="JJ726" s="1"/>
      <c r="JN726" s="1"/>
      <c r="JP726" s="1"/>
      <c r="JQ726" s="1"/>
      <c r="JT726" s="1"/>
      <c r="JW726" s="1"/>
      <c r="KS726" s="1"/>
      <c r="KT726" s="1"/>
      <c r="KU726" s="1"/>
      <c r="KY726" s="1"/>
      <c r="KZ726" s="1"/>
      <c r="LA726" s="1"/>
      <c r="LB726" s="1"/>
      <c r="LC726" s="1"/>
      <c r="LD726" s="1"/>
      <c r="LO726" s="1"/>
      <c r="LP726" s="1"/>
      <c r="LZ726" s="1"/>
      <c r="MA726" s="1"/>
    </row>
    <row r="727" spans="4:342" ht="13" x14ac:dyDescent="0.15">
      <c r="D727" s="12"/>
      <c r="E727" s="12"/>
      <c r="I727" s="12"/>
      <c r="J727" s="13"/>
      <c r="BF727" s="1"/>
      <c r="BG727" s="1"/>
      <c r="BH727" s="1"/>
      <c r="BI727" s="1"/>
      <c r="BJ727" s="1"/>
      <c r="BK727" s="1"/>
      <c r="BL727" s="1"/>
      <c r="BM727" s="1"/>
      <c r="BN727" s="1"/>
      <c r="BO727" s="1"/>
      <c r="BP727" s="1"/>
      <c r="BQ727" s="1"/>
      <c r="BR727" s="1"/>
      <c r="BX727" s="1"/>
      <c r="CC727" s="1"/>
      <c r="CD727" s="1"/>
      <c r="CE727" s="1"/>
      <c r="CF727" s="1"/>
      <c r="CG727" s="1"/>
      <c r="CH727" s="1"/>
      <c r="CI727" s="1"/>
      <c r="CJ727" s="1"/>
      <c r="CK727" s="1"/>
      <c r="CM727" s="2"/>
      <c r="CN727" s="1"/>
      <c r="CO727" s="1"/>
      <c r="CP727" s="1"/>
      <c r="CQ727" s="1"/>
      <c r="CR727" s="1"/>
      <c r="CT727" s="1"/>
      <c r="CU727" s="1"/>
      <c r="CV727" s="1"/>
      <c r="CW727" s="1"/>
      <c r="CX727" s="1"/>
      <c r="CY727" s="1"/>
      <c r="CZ727" s="1"/>
      <c r="DA727" s="1"/>
      <c r="DB727" s="1"/>
      <c r="DC727" s="1"/>
      <c r="DD727" s="1"/>
      <c r="DE727" s="1"/>
      <c r="DF727" s="1"/>
      <c r="DG727" s="1"/>
      <c r="DH727" s="1"/>
      <c r="DI727" s="1"/>
      <c r="DJ727" s="1"/>
      <c r="DK727" s="1"/>
      <c r="DM727" s="1"/>
      <c r="DR727" s="1"/>
      <c r="ED727" s="1"/>
      <c r="EK727" s="1"/>
      <c r="EL727" s="1"/>
      <c r="EM727" s="1"/>
      <c r="EN727" s="1"/>
      <c r="EQ727" s="1"/>
      <c r="ER727" s="1"/>
      <c r="ES727" s="1"/>
      <c r="EV727" s="1"/>
      <c r="EW727" s="1"/>
      <c r="EZ727" s="1"/>
      <c r="FA727" s="1"/>
      <c r="FD727" s="1"/>
      <c r="FG727" s="1"/>
      <c r="FH727" s="1"/>
      <c r="FJ727" s="1"/>
      <c r="FL727" s="1"/>
      <c r="FM727" s="1"/>
      <c r="FN727" s="1"/>
      <c r="FO727" s="1"/>
      <c r="FP727" s="1"/>
      <c r="FV727" s="1"/>
      <c r="FW727" s="1"/>
      <c r="FX727" s="1"/>
      <c r="FZ727" s="1"/>
      <c r="GA727" s="1"/>
      <c r="GD727" s="1"/>
      <c r="GE727" s="1"/>
      <c r="GF727" s="1"/>
      <c r="GG727" s="1"/>
      <c r="GH727" s="1"/>
      <c r="GI727" s="1"/>
      <c r="GJ727" s="1"/>
      <c r="GK727" s="1"/>
      <c r="GL727" s="1"/>
      <c r="GM727" s="1"/>
      <c r="GN727" s="1"/>
      <c r="GO727" s="1"/>
      <c r="GP727" s="1"/>
      <c r="GR727" s="1"/>
      <c r="GS727" s="1"/>
      <c r="GY727" s="1"/>
      <c r="HF727" s="1"/>
      <c r="HH727" s="1"/>
      <c r="HN727" s="1"/>
      <c r="HQ727" s="1"/>
      <c r="HT727" s="1"/>
      <c r="HY727" s="1"/>
      <c r="ID727" s="1"/>
      <c r="IE727" s="1"/>
      <c r="IK727" s="1"/>
      <c r="IR727" s="1"/>
      <c r="IS727" s="1"/>
      <c r="IY727" s="1"/>
      <c r="IZ727" s="1"/>
      <c r="JF727" s="1"/>
      <c r="JG727" s="1"/>
      <c r="JH727" s="1"/>
      <c r="JI727" s="1"/>
      <c r="JJ727" s="1"/>
      <c r="JN727" s="1"/>
      <c r="JP727" s="1"/>
      <c r="JQ727" s="1"/>
      <c r="JT727" s="1"/>
      <c r="JW727" s="1"/>
      <c r="KS727" s="1"/>
      <c r="KT727" s="1"/>
      <c r="KU727" s="1"/>
      <c r="KY727" s="1"/>
      <c r="KZ727" s="1"/>
      <c r="LA727" s="1"/>
      <c r="LB727" s="1"/>
      <c r="LC727" s="1"/>
      <c r="LD727" s="1"/>
      <c r="LO727" s="1"/>
      <c r="LP727" s="1"/>
      <c r="LZ727" s="1"/>
      <c r="MA727" s="1"/>
    </row>
    <row r="728" spans="4:342" ht="13" x14ac:dyDescent="0.15">
      <c r="D728" s="12"/>
      <c r="E728" s="12"/>
      <c r="I728" s="12"/>
      <c r="J728" s="13"/>
      <c r="BF728" s="1"/>
      <c r="BG728" s="1"/>
      <c r="BH728" s="1"/>
      <c r="BI728" s="1"/>
      <c r="BJ728" s="1"/>
      <c r="BK728" s="1"/>
      <c r="BL728" s="1"/>
      <c r="BM728" s="1"/>
      <c r="BN728" s="1"/>
      <c r="BO728" s="1"/>
      <c r="BP728" s="1"/>
      <c r="BQ728" s="1"/>
      <c r="BR728" s="1"/>
      <c r="BX728" s="1"/>
      <c r="CD728" s="1"/>
      <c r="CE728" s="1"/>
      <c r="CF728" s="1"/>
      <c r="CH728" s="1"/>
      <c r="CI728" s="1"/>
      <c r="CM728" s="2"/>
      <c r="CN728" s="1"/>
      <c r="CO728" s="1"/>
      <c r="CP728" s="1"/>
      <c r="CQ728" s="1"/>
      <c r="CV728" s="1"/>
      <c r="CW728" s="1"/>
      <c r="CX728" s="1"/>
      <c r="CY728" s="1"/>
      <c r="CZ728" s="1"/>
      <c r="DA728" s="1"/>
      <c r="DB728" s="1"/>
      <c r="DC728" s="1"/>
      <c r="DD728" s="1"/>
      <c r="DE728" s="1"/>
      <c r="DF728" s="1"/>
      <c r="DG728" s="1"/>
      <c r="DH728" s="1"/>
      <c r="DI728" s="1"/>
      <c r="DJ728" s="1"/>
      <c r="DK728" s="1"/>
      <c r="DM728" s="1"/>
      <c r="DQ728" s="1"/>
      <c r="DR728" s="1"/>
      <c r="DY728" s="1"/>
      <c r="DZ728" s="1"/>
      <c r="ED728" s="1"/>
      <c r="EF728" s="1"/>
      <c r="EK728" s="1"/>
      <c r="EL728" s="1"/>
      <c r="EM728" s="1"/>
      <c r="EN728" s="1"/>
      <c r="EQ728" s="1"/>
      <c r="ER728" s="1"/>
      <c r="ES728" s="1"/>
      <c r="EV728" s="1"/>
      <c r="EW728" s="1"/>
      <c r="EZ728" s="1"/>
      <c r="FA728" s="1"/>
      <c r="FD728" s="1"/>
      <c r="FG728" s="1"/>
      <c r="FH728" s="1"/>
      <c r="FI728" s="1"/>
      <c r="FJ728" s="1"/>
      <c r="FM728" s="1"/>
      <c r="FN728" s="1"/>
      <c r="FO728" s="1"/>
      <c r="FP728" s="1"/>
      <c r="FQ728" s="1"/>
      <c r="FR728" s="1"/>
      <c r="FS728" s="1"/>
      <c r="FT728" s="1"/>
      <c r="FU728" s="1"/>
      <c r="FV728" s="1"/>
      <c r="FW728" s="1"/>
      <c r="FX728" s="1"/>
      <c r="FY728" s="1"/>
      <c r="FZ728" s="1"/>
      <c r="GA728" s="1"/>
      <c r="GD728" s="1"/>
      <c r="GE728" s="1"/>
      <c r="GF728" s="1"/>
      <c r="GG728" s="1"/>
      <c r="GH728" s="1"/>
      <c r="GI728" s="1"/>
      <c r="GJ728" s="1"/>
      <c r="GK728" s="1"/>
      <c r="GL728" s="1"/>
      <c r="GM728" s="1"/>
      <c r="GN728" s="1"/>
      <c r="GO728" s="1"/>
      <c r="GP728" s="1"/>
      <c r="GR728" s="1"/>
      <c r="GY728" s="1"/>
      <c r="HF728" s="1"/>
      <c r="HH728" s="1"/>
      <c r="HN728" s="1"/>
      <c r="HQ728" s="1"/>
      <c r="HT728" s="1"/>
      <c r="HY728" s="1"/>
      <c r="IE728" s="1"/>
      <c r="IG728" s="1"/>
      <c r="IH728" s="1"/>
      <c r="IJ728" s="1"/>
      <c r="IR728" s="1"/>
      <c r="IS728" s="1"/>
      <c r="IW728" s="1"/>
      <c r="IY728" s="1"/>
      <c r="IZ728" s="1"/>
      <c r="JA728" s="1"/>
      <c r="JC728" s="1"/>
      <c r="JF728" s="1"/>
      <c r="JG728" s="1"/>
      <c r="JH728" s="1"/>
      <c r="JI728" s="1"/>
      <c r="JJ728" s="1"/>
      <c r="JK728" s="1"/>
      <c r="JL728" s="3"/>
      <c r="JM728" s="1"/>
      <c r="JN728" s="1"/>
      <c r="JP728" s="1"/>
      <c r="JQ728" s="1"/>
      <c r="JR728" s="1"/>
      <c r="JT728" s="1"/>
      <c r="KU728" s="1"/>
      <c r="KV728" s="1"/>
      <c r="KW728" s="1"/>
      <c r="KY728" s="1"/>
      <c r="KZ728" s="1"/>
      <c r="LA728" s="1"/>
      <c r="LB728" s="1"/>
      <c r="LC728" s="1"/>
      <c r="LD728" s="1"/>
      <c r="LJ728" s="1"/>
      <c r="LO728" s="1"/>
      <c r="LP728" s="1"/>
      <c r="LZ728" s="1"/>
      <c r="MA728" s="1"/>
    </row>
    <row r="729" spans="4:342" ht="13" x14ac:dyDescent="0.15">
      <c r="D729" s="12"/>
      <c r="E729" s="12"/>
      <c r="I729" s="12"/>
      <c r="J729" s="13"/>
      <c r="BF729" s="1"/>
      <c r="BG729" s="1"/>
      <c r="BH729" s="1"/>
      <c r="BI729" s="1"/>
      <c r="BJ729" s="1"/>
      <c r="BK729" s="1"/>
      <c r="BL729" s="1"/>
      <c r="BM729" s="1"/>
      <c r="BN729" s="1"/>
      <c r="BP729" s="1"/>
      <c r="BQ729" s="1"/>
      <c r="BR729" s="1"/>
      <c r="CD729" s="1"/>
      <c r="CE729" s="1"/>
      <c r="CF729" s="1"/>
      <c r="CG729" s="1"/>
      <c r="CH729" s="1"/>
      <c r="CI729" s="1"/>
      <c r="CM729" s="2"/>
      <c r="CN729" s="1"/>
      <c r="CO729" s="1"/>
      <c r="CP729" s="1"/>
      <c r="CQ729" s="1"/>
      <c r="CS729" s="1"/>
      <c r="CT729" s="1"/>
      <c r="CU729" s="1"/>
      <c r="CV729" s="1"/>
      <c r="CW729" s="1"/>
      <c r="CX729" s="1"/>
      <c r="CY729" s="1"/>
      <c r="CZ729" s="1"/>
      <c r="DA729" s="1"/>
      <c r="DB729" s="1"/>
      <c r="DC729" s="1"/>
      <c r="DD729" s="1"/>
      <c r="DE729" s="1"/>
      <c r="DF729" s="1"/>
      <c r="DG729" s="1"/>
      <c r="DH729" s="1"/>
      <c r="DI729" s="1"/>
      <c r="DJ729" s="1"/>
      <c r="DK729" s="1"/>
      <c r="DM729" s="1"/>
      <c r="DR729" s="1"/>
      <c r="ED729" s="1"/>
      <c r="EF729" s="1"/>
      <c r="EK729" s="1"/>
      <c r="EL729" s="1"/>
      <c r="EM729" s="1"/>
      <c r="EN729" s="1"/>
      <c r="EQ729" s="1"/>
      <c r="ER729" s="1"/>
      <c r="ES729" s="1"/>
      <c r="EV729" s="1"/>
      <c r="EW729" s="1"/>
      <c r="EZ729" s="1"/>
      <c r="FA729" s="1"/>
      <c r="FD729" s="1"/>
      <c r="FG729" s="1"/>
      <c r="FH729" s="1"/>
      <c r="FI729" s="1"/>
      <c r="FJ729" s="1"/>
      <c r="FK729" s="1"/>
      <c r="FL729" s="1"/>
      <c r="FM729" s="1"/>
      <c r="FN729" s="1"/>
      <c r="FO729" s="1"/>
      <c r="FP729" s="1"/>
      <c r="FQ729" s="1"/>
      <c r="FR729" s="1"/>
      <c r="FS729" s="1"/>
      <c r="FU729" s="1"/>
      <c r="FV729" s="1"/>
      <c r="FW729" s="1"/>
      <c r="FX729" s="1"/>
      <c r="FY729" s="1"/>
      <c r="FZ729" s="1"/>
      <c r="GA729" s="1"/>
      <c r="GB729" s="1"/>
      <c r="GD729" s="1"/>
      <c r="GE729" s="1"/>
      <c r="GF729" s="1"/>
      <c r="GG729" s="1"/>
      <c r="GH729" s="1"/>
      <c r="GI729" s="1"/>
      <c r="GJ729" s="1"/>
      <c r="GK729" s="1"/>
      <c r="GL729" s="1"/>
      <c r="GM729" s="1"/>
      <c r="GN729" s="1"/>
      <c r="GO729" s="1"/>
      <c r="GP729" s="1"/>
      <c r="GR729" s="1"/>
      <c r="GY729" s="1"/>
      <c r="HF729" s="1"/>
      <c r="HH729" s="1"/>
      <c r="HN729" s="1"/>
      <c r="HQ729" s="1"/>
      <c r="HT729" s="1"/>
      <c r="HY729" s="1"/>
      <c r="ID729" s="1"/>
      <c r="IE729" s="1"/>
      <c r="IR729" s="1"/>
      <c r="IS729" s="1"/>
      <c r="IW729" s="1"/>
      <c r="IZ729" s="1"/>
      <c r="JA729" s="1"/>
      <c r="JC729" s="1"/>
      <c r="JF729" s="1"/>
      <c r="JG729" s="1"/>
      <c r="JH729" s="1"/>
      <c r="JJ729" s="1"/>
      <c r="JN729" s="1"/>
      <c r="JP729" s="1"/>
      <c r="JQ729" s="1"/>
      <c r="JT729" s="1"/>
      <c r="KV729" s="1"/>
      <c r="KY729" s="1"/>
      <c r="KZ729" s="1"/>
      <c r="LA729" s="1"/>
      <c r="LB729" s="1"/>
      <c r="LC729" s="1"/>
      <c r="LD729" s="1"/>
      <c r="LN729" s="1"/>
      <c r="LO729" s="1"/>
      <c r="LP729" s="1"/>
      <c r="LZ729" s="1"/>
      <c r="MA729" s="1"/>
      <c r="MB729" s="1"/>
      <c r="MC729" s="5"/>
      <c r="MD729" s="5"/>
    </row>
    <row r="730" spans="4:342" ht="13" x14ac:dyDescent="0.15">
      <c r="D730" s="12"/>
      <c r="E730" s="12"/>
      <c r="I730" s="12"/>
      <c r="J730" s="13"/>
      <c r="BF730" s="1"/>
      <c r="BG730" s="1"/>
      <c r="BH730" s="1"/>
      <c r="BI730" s="1"/>
      <c r="BJ730" s="1"/>
      <c r="BK730" s="1"/>
      <c r="BL730" s="1"/>
      <c r="BM730" s="1"/>
      <c r="BN730" s="1"/>
      <c r="BO730" s="1"/>
      <c r="BP730" s="1"/>
      <c r="BQ730" s="1"/>
      <c r="BR730" s="1"/>
      <c r="CD730" s="1"/>
      <c r="CE730" s="1"/>
      <c r="CF730" s="1"/>
      <c r="CG730" s="1"/>
      <c r="CH730" s="1"/>
      <c r="CI730" s="1"/>
      <c r="CM730" s="2"/>
      <c r="CN730" s="1"/>
      <c r="CO730" s="1"/>
      <c r="CP730" s="1"/>
      <c r="CQ730" s="1"/>
      <c r="CR730" s="1"/>
      <c r="CS730" s="1"/>
      <c r="CT730" s="1"/>
      <c r="CU730" s="1"/>
      <c r="CV730" s="1"/>
      <c r="CW730" s="1"/>
      <c r="CX730" s="1"/>
      <c r="CY730" s="1"/>
      <c r="CZ730" s="1"/>
      <c r="DA730" s="1"/>
      <c r="DB730" s="1"/>
      <c r="DC730" s="1"/>
      <c r="DD730" s="1"/>
      <c r="DE730" s="1"/>
      <c r="DF730" s="1"/>
      <c r="DG730" s="1"/>
      <c r="DH730" s="1"/>
      <c r="DI730" s="1"/>
      <c r="DJ730" s="1"/>
      <c r="DK730" s="1"/>
      <c r="ED730" s="1"/>
      <c r="EK730" s="1"/>
      <c r="EL730" s="1"/>
      <c r="EM730" s="1"/>
      <c r="EN730" s="1"/>
      <c r="EQ730" s="1"/>
      <c r="ER730" s="1"/>
      <c r="ES730" s="1"/>
      <c r="EV730" s="1"/>
      <c r="EW730" s="1"/>
      <c r="EZ730" s="1"/>
      <c r="FA730" s="1"/>
      <c r="FD730" s="1"/>
      <c r="FG730" s="1"/>
      <c r="FH730" s="1"/>
      <c r="FI730" s="1"/>
      <c r="FJ730" s="1"/>
      <c r="FK730" s="1"/>
      <c r="FL730" s="1"/>
      <c r="FM730" s="1"/>
      <c r="FN730" s="1"/>
      <c r="FO730" s="1"/>
      <c r="FP730" s="1"/>
      <c r="FQ730" s="1"/>
      <c r="FR730" s="1"/>
      <c r="FS730" s="1"/>
      <c r="FT730" s="1"/>
      <c r="FU730" s="1"/>
      <c r="FV730" s="1"/>
      <c r="FW730" s="1"/>
      <c r="FX730" s="1"/>
      <c r="FY730" s="1"/>
      <c r="FZ730" s="1"/>
      <c r="GA730" s="1"/>
      <c r="GB730" s="1"/>
      <c r="GD730" s="1"/>
      <c r="GE730" s="1"/>
      <c r="GF730" s="1"/>
      <c r="GG730" s="1"/>
      <c r="GH730" s="1"/>
      <c r="GI730" s="1"/>
      <c r="GJ730" s="1"/>
      <c r="GK730" s="1"/>
      <c r="GL730" s="1"/>
      <c r="GM730" s="1"/>
      <c r="GN730" s="1"/>
      <c r="GP730" s="1"/>
      <c r="GR730" s="1"/>
      <c r="GY730" s="1"/>
      <c r="HH730" s="1"/>
      <c r="HN730" s="1"/>
      <c r="HQ730" s="1"/>
      <c r="HT730" s="1"/>
      <c r="HY730" s="1"/>
      <c r="IC730" s="1"/>
      <c r="IE730" s="1"/>
      <c r="IG730" s="1"/>
      <c r="IR730" s="1"/>
      <c r="IS730" s="1"/>
      <c r="IY730" s="1"/>
      <c r="IZ730" s="1"/>
      <c r="JF730" s="1"/>
      <c r="JG730" s="1"/>
      <c r="JH730" s="1"/>
      <c r="JJ730" s="1"/>
      <c r="JK730" s="1"/>
      <c r="JL730" s="3"/>
      <c r="JM730" s="1"/>
      <c r="JN730" s="1"/>
      <c r="JP730" s="1"/>
      <c r="JQ730" s="1"/>
      <c r="JR730" s="1"/>
      <c r="KU730" s="1"/>
      <c r="KY730" s="1"/>
      <c r="KZ730" s="1"/>
      <c r="LA730" s="1"/>
      <c r="LB730" s="1"/>
      <c r="LC730" s="1"/>
      <c r="LD730" s="1"/>
      <c r="LO730" s="1"/>
      <c r="LP730" s="1"/>
      <c r="LZ730" s="1"/>
      <c r="MA730" s="1"/>
    </row>
    <row r="731" spans="4:342" ht="13" x14ac:dyDescent="0.15">
      <c r="D731" s="12"/>
      <c r="E731" s="12"/>
      <c r="I731" s="12"/>
      <c r="J731" s="13"/>
      <c r="BF731" s="1"/>
      <c r="BG731" s="1"/>
      <c r="BH731" s="1"/>
      <c r="BI731" s="1"/>
      <c r="BJ731" s="1"/>
      <c r="BK731" s="1"/>
      <c r="BL731" s="1"/>
      <c r="BM731" s="1"/>
      <c r="BN731" s="1"/>
      <c r="BO731" s="1"/>
      <c r="BP731" s="1"/>
      <c r="BQ731" s="1"/>
      <c r="BR731" s="1"/>
      <c r="CD731" s="1"/>
      <c r="CE731" s="1"/>
      <c r="CF731" s="1"/>
      <c r="CG731" s="1"/>
      <c r="CH731" s="1"/>
      <c r="CI731" s="1"/>
      <c r="CM731" s="2"/>
      <c r="CN731" s="1"/>
      <c r="CO731" s="1"/>
      <c r="CP731" s="1"/>
      <c r="CQ731" s="1"/>
      <c r="CR731" s="1"/>
      <c r="CS731" s="1"/>
      <c r="CT731" s="1"/>
      <c r="CU731" s="1"/>
      <c r="CV731" s="1"/>
      <c r="CW731" s="1"/>
      <c r="CX731" s="1"/>
      <c r="CY731" s="1"/>
      <c r="CZ731" s="1"/>
      <c r="DA731" s="1"/>
      <c r="DB731" s="1"/>
      <c r="DC731" s="1"/>
      <c r="DD731" s="1"/>
      <c r="DE731" s="1"/>
      <c r="DF731" s="1"/>
      <c r="DG731" s="1"/>
      <c r="DH731" s="1"/>
      <c r="DI731" s="1"/>
      <c r="DJ731" s="1"/>
      <c r="DK731" s="1"/>
      <c r="ED731" s="1"/>
      <c r="EK731" s="1"/>
      <c r="EL731" s="1"/>
      <c r="EM731" s="1"/>
      <c r="EN731" s="1"/>
      <c r="EQ731" s="1"/>
      <c r="ER731" s="1"/>
      <c r="ES731" s="1"/>
      <c r="EV731" s="1"/>
      <c r="EW731" s="1"/>
      <c r="EZ731" s="1"/>
      <c r="FA731" s="1"/>
      <c r="FD731" s="1"/>
      <c r="FG731" s="1"/>
      <c r="FH731" s="1"/>
      <c r="FI731" s="1"/>
      <c r="FJ731" s="1"/>
      <c r="FK731" s="1"/>
      <c r="FL731" s="1"/>
      <c r="FM731" s="1"/>
      <c r="FN731" s="1"/>
      <c r="FO731" s="1"/>
      <c r="FP731" s="1"/>
      <c r="FQ731" s="1"/>
      <c r="FR731" s="1"/>
      <c r="FS731" s="1"/>
      <c r="FT731" s="1"/>
      <c r="FU731" s="1"/>
      <c r="FV731" s="1"/>
      <c r="FW731" s="1"/>
      <c r="FX731" s="1"/>
      <c r="FY731" s="1"/>
      <c r="FZ731" s="1"/>
      <c r="GA731" s="1"/>
      <c r="GB731" s="1"/>
      <c r="GD731" s="1"/>
      <c r="GE731" s="1"/>
      <c r="GF731" s="1"/>
      <c r="GG731" s="1"/>
      <c r="GH731" s="1"/>
      <c r="GI731" s="1"/>
      <c r="GJ731" s="1"/>
      <c r="GK731" s="1"/>
      <c r="GL731" s="1"/>
      <c r="GM731" s="1"/>
      <c r="GN731" s="1"/>
      <c r="GP731" s="1"/>
      <c r="GR731" s="1"/>
      <c r="GY731" s="1"/>
      <c r="HH731" s="1"/>
      <c r="HN731" s="1"/>
      <c r="HQ731" s="1"/>
      <c r="HT731" s="1"/>
      <c r="HY731" s="1"/>
      <c r="IC731" s="1"/>
      <c r="IE731" s="1"/>
      <c r="IG731" s="1"/>
      <c r="IR731" s="1"/>
      <c r="IS731" s="1"/>
      <c r="IY731" s="1"/>
      <c r="IZ731" s="1"/>
      <c r="JF731" s="1"/>
      <c r="JG731" s="1"/>
      <c r="JH731" s="1"/>
      <c r="JJ731" s="1"/>
      <c r="JK731" s="1"/>
      <c r="JL731" s="3"/>
      <c r="JM731" s="1"/>
      <c r="JN731" s="1"/>
      <c r="JP731" s="1"/>
      <c r="JQ731" s="1"/>
      <c r="JR731" s="1"/>
      <c r="KU731" s="1"/>
      <c r="KY731" s="1"/>
      <c r="KZ731" s="1"/>
      <c r="LA731" s="1"/>
      <c r="LB731" s="1"/>
      <c r="LC731" s="1"/>
      <c r="LD731" s="1"/>
      <c r="LO731" s="1"/>
      <c r="LP731" s="1"/>
      <c r="LZ731" s="1"/>
      <c r="MA731" s="1"/>
    </row>
    <row r="732" spans="4:342" ht="13" x14ac:dyDescent="0.15">
      <c r="D732" s="12"/>
      <c r="E732" s="12"/>
      <c r="I732" s="12"/>
      <c r="J732" s="13"/>
      <c r="BF732" s="1"/>
      <c r="BG732" s="1"/>
      <c r="BH732" s="1"/>
      <c r="BI732" s="1"/>
      <c r="BJ732" s="1"/>
      <c r="BK732" s="1"/>
      <c r="BL732" s="1"/>
      <c r="BM732" s="1"/>
      <c r="BN732" s="1"/>
      <c r="BO732" s="1"/>
      <c r="BP732" s="1"/>
      <c r="BQ732" s="1"/>
      <c r="BR732" s="1"/>
      <c r="CD732" s="1"/>
      <c r="CE732" s="1"/>
      <c r="CF732" s="1"/>
      <c r="CG732" s="1"/>
      <c r="CH732" s="1"/>
      <c r="CI732" s="1"/>
      <c r="CM732" s="2"/>
      <c r="CN732" s="1"/>
      <c r="CO732" s="1"/>
      <c r="CP732" s="1"/>
      <c r="CQ732" s="1"/>
      <c r="CR732" s="1"/>
      <c r="CS732" s="1"/>
      <c r="CT732" s="1"/>
      <c r="CU732" s="1"/>
      <c r="CV732" s="1"/>
      <c r="CW732" s="1"/>
      <c r="CX732" s="1"/>
      <c r="CY732" s="1"/>
      <c r="CZ732" s="1"/>
      <c r="DA732" s="1"/>
      <c r="DB732" s="1"/>
      <c r="DC732" s="1"/>
      <c r="DD732" s="1"/>
      <c r="DE732" s="1"/>
      <c r="DF732" s="1"/>
      <c r="DG732" s="1"/>
      <c r="DH732" s="1"/>
      <c r="DI732" s="1"/>
      <c r="DJ732" s="1"/>
      <c r="DK732" s="1"/>
      <c r="ED732" s="1"/>
      <c r="EK732" s="1"/>
      <c r="EL732" s="1"/>
      <c r="EM732" s="1"/>
      <c r="EN732" s="1"/>
      <c r="EQ732" s="1"/>
      <c r="ER732" s="1"/>
      <c r="ES732" s="1"/>
      <c r="EV732" s="1"/>
      <c r="EW732" s="1"/>
      <c r="EZ732" s="1"/>
      <c r="FA732" s="1"/>
      <c r="FD732" s="1"/>
      <c r="FG732" s="1"/>
      <c r="FH732" s="1"/>
      <c r="FI732" s="1"/>
      <c r="FJ732" s="1"/>
      <c r="FK732" s="1"/>
      <c r="FL732" s="1"/>
      <c r="FM732" s="1"/>
      <c r="FN732" s="1"/>
      <c r="FO732" s="1"/>
      <c r="FP732" s="1"/>
      <c r="FQ732" s="1"/>
      <c r="FR732" s="1"/>
      <c r="FS732" s="1"/>
      <c r="FT732" s="1"/>
      <c r="FU732" s="1"/>
      <c r="FV732" s="1"/>
      <c r="FW732" s="1"/>
      <c r="FX732" s="1"/>
      <c r="FY732" s="1"/>
      <c r="FZ732" s="1"/>
      <c r="GA732" s="1"/>
      <c r="GB732" s="1"/>
      <c r="GD732" s="1"/>
      <c r="GE732" s="1"/>
      <c r="GF732" s="1"/>
      <c r="GG732" s="1"/>
      <c r="GH732" s="1"/>
      <c r="GI732" s="1"/>
      <c r="GJ732" s="1"/>
      <c r="GK732" s="1"/>
      <c r="GL732" s="1"/>
      <c r="GM732" s="1"/>
      <c r="GN732" s="1"/>
      <c r="GP732" s="1"/>
      <c r="GR732" s="1"/>
      <c r="GY732" s="1"/>
      <c r="HH732" s="1"/>
      <c r="HN732" s="1"/>
      <c r="HQ732" s="1"/>
      <c r="HT732" s="1"/>
      <c r="HY732" s="1"/>
      <c r="IC732" s="1"/>
      <c r="IE732" s="1"/>
      <c r="IG732" s="1"/>
      <c r="IR732" s="1"/>
      <c r="IS732" s="1"/>
      <c r="IY732" s="1"/>
      <c r="IZ732" s="1"/>
      <c r="JF732" s="1"/>
      <c r="JG732" s="1"/>
      <c r="JH732" s="1"/>
      <c r="JJ732" s="1"/>
      <c r="JK732" s="1"/>
      <c r="JL732" s="3"/>
      <c r="JM732" s="1"/>
      <c r="JN732" s="1"/>
      <c r="JP732" s="1"/>
      <c r="JQ732" s="1"/>
      <c r="JR732" s="1"/>
      <c r="KU732" s="1"/>
      <c r="KY732" s="1"/>
      <c r="KZ732" s="1"/>
      <c r="LA732" s="1"/>
      <c r="LB732" s="1"/>
      <c r="LC732" s="1"/>
      <c r="LD732" s="1"/>
      <c r="LO732" s="1"/>
      <c r="LP732" s="1"/>
      <c r="LZ732" s="1"/>
      <c r="MA732" s="1"/>
    </row>
    <row r="733" spans="4:342" ht="13" x14ac:dyDescent="0.15">
      <c r="D733" s="12"/>
      <c r="E733" s="12"/>
      <c r="I733" s="12"/>
      <c r="J733" s="13"/>
      <c r="BF733" s="1"/>
      <c r="BG733" s="1"/>
      <c r="BH733" s="1"/>
      <c r="BI733" s="1"/>
      <c r="BJ733" s="1"/>
      <c r="BK733" s="1"/>
      <c r="BL733" s="1"/>
      <c r="BM733" s="1"/>
      <c r="BN733" s="1"/>
      <c r="BO733" s="1"/>
      <c r="BP733" s="1"/>
      <c r="BQ733" s="1"/>
      <c r="BR733" s="1"/>
      <c r="CD733" s="1"/>
      <c r="CE733" s="1"/>
      <c r="CF733" s="1"/>
      <c r="CG733" s="1"/>
      <c r="CH733" s="1"/>
      <c r="CI733" s="1"/>
      <c r="CJ733" s="1"/>
      <c r="CK733" s="1"/>
      <c r="CM733" s="2"/>
      <c r="CN733" s="1"/>
      <c r="CO733" s="1"/>
      <c r="CP733" s="1"/>
      <c r="CQ733" s="1"/>
      <c r="CR733" s="1"/>
      <c r="CS733" s="1"/>
      <c r="CT733" s="1"/>
      <c r="CU733" s="1"/>
      <c r="CV733" s="1"/>
      <c r="CW733" s="1"/>
      <c r="CX733" s="1"/>
      <c r="CY733" s="1"/>
      <c r="CZ733" s="1"/>
      <c r="DA733" s="1"/>
      <c r="DB733" s="1"/>
      <c r="DC733" s="1"/>
      <c r="DD733" s="1"/>
      <c r="DE733" s="1"/>
      <c r="DF733" s="1"/>
      <c r="DG733" s="1"/>
      <c r="DH733" s="1"/>
      <c r="DI733" s="1"/>
      <c r="DJ733" s="1"/>
      <c r="DK733" s="1"/>
      <c r="DL733" s="1"/>
      <c r="DM733" s="1"/>
      <c r="DQ733" s="1"/>
      <c r="DR733" s="1"/>
      <c r="DY733" s="1"/>
      <c r="DZ733" s="1"/>
      <c r="ED733" s="1"/>
      <c r="EE733" s="1"/>
      <c r="EF733" s="1"/>
      <c r="EG733" s="1"/>
      <c r="EH733" s="1"/>
      <c r="EK733" s="1"/>
      <c r="EL733" s="1"/>
      <c r="EM733" s="1"/>
      <c r="EN733" s="1"/>
      <c r="EQ733" s="1"/>
      <c r="ER733" s="1"/>
      <c r="ES733" s="1"/>
      <c r="EV733" s="1"/>
      <c r="EW733" s="1"/>
      <c r="EY733" s="1"/>
      <c r="EZ733" s="1"/>
      <c r="FA733" s="1"/>
      <c r="FD733" s="1"/>
      <c r="FG733" s="1"/>
      <c r="FH733" s="1"/>
      <c r="FI733" s="1"/>
      <c r="FJ733" s="1"/>
      <c r="FM733" s="1"/>
      <c r="FN733" s="1"/>
      <c r="FO733" s="1"/>
      <c r="FP733" s="1"/>
      <c r="FQ733" s="1"/>
      <c r="FR733" s="1"/>
      <c r="FS733" s="1"/>
      <c r="FT733" s="1"/>
      <c r="FU733" s="1"/>
      <c r="FV733" s="1"/>
      <c r="FW733" s="1"/>
      <c r="FX733" s="1"/>
      <c r="FY733" s="1"/>
      <c r="FZ733" s="1"/>
      <c r="GA733" s="1"/>
      <c r="GB733" s="1"/>
      <c r="GD733" s="1"/>
      <c r="GE733" s="1"/>
      <c r="GF733" s="1"/>
      <c r="GG733" s="1"/>
      <c r="GH733" s="1"/>
      <c r="GI733" s="1"/>
      <c r="GJ733" s="1"/>
      <c r="GK733" s="1"/>
      <c r="GL733" s="1"/>
      <c r="GM733" s="1"/>
      <c r="GN733" s="1"/>
      <c r="GO733" s="1"/>
      <c r="GP733" s="1"/>
      <c r="GR733" s="1"/>
      <c r="GY733" s="1"/>
      <c r="HF733" s="1"/>
      <c r="HH733" s="1"/>
      <c r="HN733" s="1"/>
      <c r="HQ733" s="1"/>
      <c r="HT733" s="1"/>
      <c r="HX733" s="1"/>
      <c r="HY733" s="1"/>
      <c r="IC733" s="1"/>
      <c r="IE733" s="1"/>
      <c r="IG733" s="1"/>
      <c r="IJ733" s="1"/>
      <c r="IR733" s="1"/>
      <c r="IS733" s="1"/>
      <c r="IZ733" s="1"/>
      <c r="JC733" s="1"/>
      <c r="JF733" s="1"/>
      <c r="JG733" s="1"/>
      <c r="JH733" s="1"/>
      <c r="JJ733" s="1"/>
      <c r="JK733" s="1"/>
      <c r="JL733" s="3"/>
      <c r="JM733" s="1"/>
      <c r="JN733" s="1"/>
      <c r="JP733" s="1"/>
      <c r="JQ733" s="1"/>
      <c r="JR733" s="1"/>
      <c r="JT733" s="1"/>
      <c r="KW733" s="1"/>
      <c r="KY733" s="1"/>
      <c r="KZ733" s="1"/>
      <c r="LA733" s="1"/>
      <c r="LB733" s="1"/>
      <c r="LC733" s="1"/>
      <c r="LD733" s="1"/>
      <c r="LO733" s="1"/>
      <c r="LP733" s="1"/>
      <c r="LZ733" s="1"/>
      <c r="MA733" s="1"/>
    </row>
    <row r="734" spans="4:342" ht="13" x14ac:dyDescent="0.15">
      <c r="D734" s="12"/>
      <c r="E734" s="12"/>
      <c r="I734" s="12"/>
      <c r="J734" s="13"/>
      <c r="BF734" s="1"/>
      <c r="BG734" s="1"/>
      <c r="BH734" s="1"/>
      <c r="BI734" s="1"/>
      <c r="BJ734" s="1"/>
      <c r="BK734" s="1"/>
      <c r="BL734" s="1"/>
      <c r="BM734" s="1"/>
      <c r="BN734" s="1"/>
      <c r="BO734" s="1"/>
      <c r="BP734" s="1"/>
      <c r="BQ734" s="1"/>
      <c r="BR734" s="1"/>
      <c r="CD734" s="1"/>
      <c r="CE734" s="1"/>
      <c r="CF734" s="1"/>
      <c r="CG734" s="1"/>
      <c r="CH734" s="1"/>
      <c r="CI734" s="1"/>
      <c r="CJ734" s="1"/>
      <c r="CK734" s="1"/>
      <c r="CM734" s="2"/>
      <c r="CN734" s="1"/>
      <c r="CO734" s="1"/>
      <c r="CP734" s="1"/>
      <c r="CQ734" s="1"/>
      <c r="CR734" s="1"/>
      <c r="CS734" s="1"/>
      <c r="CT734" s="1"/>
      <c r="CU734" s="1"/>
      <c r="CV734" s="1"/>
      <c r="CW734" s="1"/>
      <c r="CX734" s="1"/>
      <c r="CY734" s="1"/>
      <c r="CZ734" s="1"/>
      <c r="DA734" s="1"/>
      <c r="DB734" s="1"/>
      <c r="DC734" s="1"/>
      <c r="DD734" s="1"/>
      <c r="DE734" s="1"/>
      <c r="DF734" s="1"/>
      <c r="DG734" s="1"/>
      <c r="DH734" s="1"/>
      <c r="DI734" s="1"/>
      <c r="DJ734" s="1"/>
      <c r="DK734" s="1"/>
      <c r="DL734" s="1"/>
      <c r="DM734" s="1"/>
      <c r="DQ734" s="1"/>
      <c r="DR734" s="1"/>
      <c r="DY734" s="1"/>
      <c r="DZ734" s="1"/>
      <c r="ED734" s="1"/>
      <c r="EE734" s="1"/>
      <c r="EF734" s="1"/>
      <c r="EG734" s="1"/>
      <c r="EH734" s="1"/>
      <c r="EK734" s="1"/>
      <c r="EL734" s="1"/>
      <c r="EM734" s="1"/>
      <c r="EN734" s="1"/>
      <c r="EQ734" s="1"/>
      <c r="ER734" s="1"/>
      <c r="ES734" s="1"/>
      <c r="EV734" s="1"/>
      <c r="EW734" s="1"/>
      <c r="EY734" s="1"/>
      <c r="EZ734" s="1"/>
      <c r="FA734" s="1"/>
      <c r="FD734" s="1"/>
      <c r="FG734" s="1"/>
      <c r="FH734" s="1"/>
      <c r="FI734" s="1"/>
      <c r="FJ734" s="1"/>
      <c r="FM734" s="1"/>
      <c r="FN734" s="1"/>
      <c r="FO734" s="1"/>
      <c r="FP734" s="1"/>
      <c r="FQ734" s="1"/>
      <c r="FR734" s="1"/>
      <c r="FS734" s="1"/>
      <c r="FT734" s="1"/>
      <c r="FU734" s="1"/>
      <c r="FV734" s="1"/>
      <c r="FW734" s="1"/>
      <c r="FX734" s="1"/>
      <c r="FY734" s="1"/>
      <c r="FZ734" s="1"/>
      <c r="GA734" s="1"/>
      <c r="GB734" s="1"/>
      <c r="GD734" s="1"/>
      <c r="GE734" s="1"/>
      <c r="GF734" s="1"/>
      <c r="GG734" s="1"/>
      <c r="GH734" s="1"/>
      <c r="GI734" s="1"/>
      <c r="GJ734" s="1"/>
      <c r="GK734" s="1"/>
      <c r="GL734" s="1"/>
      <c r="GM734" s="1"/>
      <c r="GN734" s="1"/>
      <c r="GO734" s="1"/>
      <c r="GP734" s="1"/>
      <c r="GR734" s="1"/>
      <c r="GY734" s="1"/>
      <c r="HF734" s="1"/>
      <c r="HH734" s="1"/>
      <c r="HN734" s="1"/>
      <c r="HQ734" s="1"/>
      <c r="HT734" s="1"/>
      <c r="HX734" s="1"/>
      <c r="HY734" s="1"/>
      <c r="IC734" s="1"/>
      <c r="IE734" s="1"/>
      <c r="IG734" s="1"/>
      <c r="IJ734" s="1"/>
      <c r="IR734" s="1"/>
      <c r="IS734" s="1"/>
      <c r="IZ734" s="1"/>
      <c r="JC734" s="1"/>
      <c r="JF734" s="1"/>
      <c r="JG734" s="1"/>
      <c r="JH734" s="1"/>
      <c r="JJ734" s="1"/>
      <c r="JK734" s="1"/>
      <c r="JL734" s="3"/>
      <c r="JM734" s="1"/>
      <c r="JN734" s="1"/>
      <c r="JP734" s="1"/>
      <c r="JQ734" s="1"/>
      <c r="JR734" s="1"/>
      <c r="JT734" s="1"/>
      <c r="KW734" s="1"/>
      <c r="KY734" s="1"/>
      <c r="KZ734" s="1"/>
      <c r="LA734" s="1"/>
      <c r="LB734" s="1"/>
      <c r="LC734" s="1"/>
      <c r="LD734" s="1"/>
      <c r="LO734" s="1"/>
      <c r="LP734" s="1"/>
      <c r="LZ734" s="1"/>
      <c r="MA734" s="1"/>
    </row>
    <row r="735" spans="4:342" ht="13" x14ac:dyDescent="0.15">
      <c r="D735" s="12"/>
      <c r="E735" s="12"/>
      <c r="I735" s="12"/>
      <c r="J735" s="13"/>
      <c r="BF735" s="1"/>
      <c r="BG735" s="1"/>
      <c r="BH735" s="1"/>
      <c r="BI735" s="1"/>
      <c r="BJ735" s="1"/>
      <c r="BK735" s="1"/>
      <c r="BL735" s="1"/>
      <c r="BM735" s="1"/>
      <c r="BN735" s="1"/>
      <c r="BO735" s="1"/>
      <c r="BP735" s="1"/>
      <c r="BQ735" s="1"/>
      <c r="BR735" s="1"/>
      <c r="CD735" s="1"/>
      <c r="CE735" s="1"/>
      <c r="CF735" s="1"/>
      <c r="CG735" s="1"/>
      <c r="CH735" s="1"/>
      <c r="CI735" s="1"/>
      <c r="CJ735" s="1"/>
      <c r="CK735" s="1"/>
      <c r="CM735" s="2"/>
      <c r="CN735" s="1"/>
      <c r="CO735" s="1"/>
      <c r="CP735" s="1"/>
      <c r="CQ735" s="1"/>
      <c r="CR735" s="1"/>
      <c r="CS735" s="1"/>
      <c r="CT735" s="1"/>
      <c r="CU735" s="1"/>
      <c r="CV735" s="1"/>
      <c r="CW735" s="1"/>
      <c r="CX735" s="1"/>
      <c r="CY735" s="1"/>
      <c r="CZ735" s="1"/>
      <c r="DA735" s="1"/>
      <c r="DB735" s="1"/>
      <c r="DC735" s="1"/>
      <c r="DD735" s="1"/>
      <c r="DE735" s="1"/>
      <c r="DF735" s="1"/>
      <c r="DG735" s="1"/>
      <c r="DH735" s="1"/>
      <c r="DI735" s="1"/>
      <c r="DJ735" s="1"/>
      <c r="DK735" s="1"/>
      <c r="DL735" s="1"/>
      <c r="DM735" s="1"/>
      <c r="DQ735" s="1"/>
      <c r="DR735" s="1"/>
      <c r="DY735" s="1"/>
      <c r="DZ735" s="1"/>
      <c r="ED735" s="1"/>
      <c r="EE735" s="1"/>
      <c r="EF735" s="1"/>
      <c r="EG735" s="1"/>
      <c r="EH735" s="1"/>
      <c r="EK735" s="1"/>
      <c r="EL735" s="1"/>
      <c r="EM735" s="1"/>
      <c r="EN735" s="1"/>
      <c r="EQ735" s="1"/>
      <c r="ER735" s="1"/>
      <c r="ES735" s="1"/>
      <c r="EV735" s="1"/>
      <c r="EW735" s="1"/>
      <c r="EY735" s="1"/>
      <c r="EZ735" s="1"/>
      <c r="FA735" s="1"/>
      <c r="FD735" s="1"/>
      <c r="FG735" s="1"/>
      <c r="FH735" s="1"/>
      <c r="FI735" s="1"/>
      <c r="FJ735" s="1"/>
      <c r="FM735" s="1"/>
      <c r="FN735" s="1"/>
      <c r="FO735" s="1"/>
      <c r="FP735" s="1"/>
      <c r="FQ735" s="1"/>
      <c r="FR735" s="1"/>
      <c r="FS735" s="1"/>
      <c r="FT735" s="1"/>
      <c r="FU735" s="1"/>
      <c r="FV735" s="1"/>
      <c r="FW735" s="1"/>
      <c r="FX735" s="1"/>
      <c r="FY735" s="1"/>
      <c r="FZ735" s="1"/>
      <c r="GA735" s="1"/>
      <c r="GB735" s="1"/>
      <c r="GD735" s="1"/>
      <c r="GE735" s="1"/>
      <c r="GF735" s="1"/>
      <c r="GG735" s="1"/>
      <c r="GH735" s="1"/>
      <c r="GI735" s="1"/>
      <c r="GJ735" s="1"/>
      <c r="GK735" s="1"/>
      <c r="GL735" s="1"/>
      <c r="GM735" s="1"/>
      <c r="GN735" s="1"/>
      <c r="GO735" s="1"/>
      <c r="GP735" s="1"/>
      <c r="GR735" s="1"/>
      <c r="GY735" s="1"/>
      <c r="HF735" s="1"/>
      <c r="HH735" s="1"/>
      <c r="HN735" s="1"/>
      <c r="HQ735" s="1"/>
      <c r="HT735" s="1"/>
      <c r="HX735" s="1"/>
      <c r="HY735" s="1"/>
      <c r="IC735" s="1"/>
      <c r="IE735" s="1"/>
      <c r="IG735" s="1"/>
      <c r="IJ735" s="1"/>
      <c r="IR735" s="1"/>
      <c r="IS735" s="1"/>
      <c r="IZ735" s="1"/>
      <c r="JC735" s="1"/>
      <c r="JF735" s="1"/>
      <c r="JG735" s="1"/>
      <c r="JH735" s="1"/>
      <c r="JJ735" s="1"/>
      <c r="JK735" s="1"/>
      <c r="JL735" s="3"/>
      <c r="JM735" s="1"/>
      <c r="JN735" s="1"/>
      <c r="JP735" s="1"/>
      <c r="JQ735" s="1"/>
      <c r="JR735" s="1"/>
      <c r="JT735" s="1"/>
      <c r="KW735" s="1"/>
      <c r="KY735" s="1"/>
      <c r="KZ735" s="1"/>
      <c r="LA735" s="1"/>
      <c r="LB735" s="1"/>
      <c r="LC735" s="1"/>
      <c r="LD735" s="1"/>
      <c r="LO735" s="1"/>
      <c r="LP735" s="1"/>
      <c r="LZ735" s="1"/>
      <c r="MA735" s="1"/>
    </row>
    <row r="736" spans="4:342" ht="13" x14ac:dyDescent="0.15">
      <c r="D736" s="12"/>
      <c r="E736" s="12"/>
      <c r="I736" s="12"/>
      <c r="J736" s="13"/>
      <c r="BF736" s="1"/>
      <c r="BG736" s="1"/>
      <c r="BH736" s="1"/>
      <c r="BI736" s="1"/>
      <c r="BJ736" s="1"/>
      <c r="BK736" s="1"/>
      <c r="BL736" s="1"/>
      <c r="BM736" s="1"/>
      <c r="BN736" s="1"/>
      <c r="BO736" s="1"/>
      <c r="BP736" s="1"/>
      <c r="BQ736" s="1"/>
      <c r="BR736" s="1"/>
      <c r="CD736" s="1"/>
      <c r="CE736" s="1"/>
      <c r="CF736" s="1"/>
      <c r="CG736" s="1"/>
      <c r="CH736" s="1"/>
      <c r="CI736" s="1"/>
      <c r="CJ736" s="1"/>
      <c r="CK736" s="1"/>
      <c r="CM736" s="2"/>
      <c r="CN736" s="1"/>
      <c r="CO736" s="1"/>
      <c r="CP736" s="1"/>
      <c r="CQ736" s="1"/>
      <c r="CR736" s="1"/>
      <c r="CS736" s="1"/>
      <c r="CT736" s="1"/>
      <c r="CU736" s="1"/>
      <c r="CV736" s="1"/>
      <c r="CW736" s="1"/>
      <c r="CX736" s="1"/>
      <c r="CY736" s="1"/>
      <c r="CZ736" s="1"/>
      <c r="DA736" s="1"/>
      <c r="DB736" s="1"/>
      <c r="DC736" s="1"/>
      <c r="DD736" s="1"/>
      <c r="DE736" s="1"/>
      <c r="DF736" s="1"/>
      <c r="DG736" s="1"/>
      <c r="DH736" s="1"/>
      <c r="DI736" s="1"/>
      <c r="DJ736" s="1"/>
      <c r="DK736" s="1"/>
      <c r="DL736" s="1"/>
      <c r="DM736" s="1"/>
      <c r="DQ736" s="1"/>
      <c r="DR736" s="1"/>
      <c r="DY736" s="1"/>
      <c r="DZ736" s="1"/>
      <c r="ED736" s="1"/>
      <c r="EE736" s="1"/>
      <c r="EF736" s="1"/>
      <c r="EG736" s="1"/>
      <c r="EH736" s="1"/>
      <c r="EK736" s="1"/>
      <c r="EL736" s="1"/>
      <c r="EM736" s="1"/>
      <c r="EN736" s="1"/>
      <c r="EQ736" s="1"/>
      <c r="ER736" s="1"/>
      <c r="ES736" s="1"/>
      <c r="EV736" s="1"/>
      <c r="EW736" s="1"/>
      <c r="EY736" s="1"/>
      <c r="EZ736" s="1"/>
      <c r="FA736" s="1"/>
      <c r="FD736" s="1"/>
      <c r="FG736" s="1"/>
      <c r="FH736" s="1"/>
      <c r="FI736" s="1"/>
      <c r="FJ736" s="1"/>
      <c r="FM736" s="1"/>
      <c r="FN736" s="1"/>
      <c r="FO736" s="1"/>
      <c r="FP736" s="1"/>
      <c r="FQ736" s="1"/>
      <c r="FR736" s="1"/>
      <c r="FS736" s="1"/>
      <c r="FT736" s="1"/>
      <c r="FU736" s="1"/>
      <c r="FV736" s="1"/>
      <c r="FW736" s="1"/>
      <c r="FX736" s="1"/>
      <c r="FY736" s="1"/>
      <c r="FZ736" s="1"/>
      <c r="GA736" s="1"/>
      <c r="GB736" s="1"/>
      <c r="GD736" s="1"/>
      <c r="GE736" s="1"/>
      <c r="GF736" s="1"/>
      <c r="GG736" s="1"/>
      <c r="GH736" s="1"/>
      <c r="GI736" s="1"/>
      <c r="GJ736" s="1"/>
      <c r="GK736" s="1"/>
      <c r="GL736" s="1"/>
      <c r="GM736" s="1"/>
      <c r="GN736" s="1"/>
      <c r="GO736" s="1"/>
      <c r="GP736" s="1"/>
      <c r="GR736" s="1"/>
      <c r="GY736" s="1"/>
      <c r="HF736" s="1"/>
      <c r="HH736" s="1"/>
      <c r="HN736" s="1"/>
      <c r="HQ736" s="1"/>
      <c r="HT736" s="1"/>
      <c r="HX736" s="1"/>
      <c r="HY736" s="1"/>
      <c r="IC736" s="1"/>
      <c r="IE736" s="1"/>
      <c r="IG736" s="1"/>
      <c r="IJ736" s="1"/>
      <c r="IR736" s="1"/>
      <c r="IS736" s="1"/>
      <c r="IZ736" s="1"/>
      <c r="JC736" s="1"/>
      <c r="JF736" s="1"/>
      <c r="JG736" s="1"/>
      <c r="JH736" s="1"/>
      <c r="JJ736" s="1"/>
      <c r="JK736" s="1"/>
      <c r="JL736" s="3"/>
      <c r="JM736" s="1"/>
      <c r="JN736" s="1"/>
      <c r="JP736" s="1"/>
      <c r="JQ736" s="1"/>
      <c r="JR736" s="1"/>
      <c r="JT736" s="1"/>
      <c r="KW736" s="1"/>
      <c r="KY736" s="1"/>
      <c r="KZ736" s="1"/>
      <c r="LA736" s="1"/>
      <c r="LB736" s="1"/>
      <c r="LC736" s="1"/>
      <c r="LD736" s="1"/>
      <c r="LO736" s="1"/>
      <c r="LP736" s="1"/>
      <c r="LZ736" s="1"/>
      <c r="MA736" s="1"/>
    </row>
    <row r="737" spans="4:339" ht="13" x14ac:dyDescent="0.15">
      <c r="D737" s="12"/>
      <c r="E737" s="12"/>
      <c r="I737" s="12"/>
      <c r="J737" s="13"/>
      <c r="BF737" s="1"/>
      <c r="BG737" s="1"/>
      <c r="BH737" s="1"/>
      <c r="BI737" s="1"/>
      <c r="BJ737" s="1"/>
      <c r="BK737" s="1"/>
      <c r="BL737" s="1"/>
      <c r="BM737" s="1"/>
      <c r="BN737" s="1"/>
      <c r="BO737" s="1"/>
      <c r="BP737" s="1"/>
      <c r="BQ737" s="1"/>
      <c r="BR737" s="1"/>
      <c r="CD737" s="1"/>
      <c r="CE737" s="1"/>
      <c r="CF737" s="1"/>
      <c r="CG737" s="1"/>
      <c r="CH737" s="1"/>
      <c r="CI737" s="1"/>
      <c r="CJ737" s="1"/>
      <c r="CK737" s="1"/>
      <c r="CM737" s="2"/>
      <c r="CN737" s="1"/>
      <c r="CO737" s="1"/>
      <c r="CP737" s="1"/>
      <c r="CQ737" s="1"/>
      <c r="CR737" s="1"/>
      <c r="CS737" s="1"/>
      <c r="CT737" s="1"/>
      <c r="CU737" s="1"/>
      <c r="CV737" s="1"/>
      <c r="CW737" s="1"/>
      <c r="CX737" s="1"/>
      <c r="CY737" s="1"/>
      <c r="CZ737" s="1"/>
      <c r="DA737" s="1"/>
      <c r="DB737" s="1"/>
      <c r="DC737" s="1"/>
      <c r="DD737" s="1"/>
      <c r="DE737" s="1"/>
      <c r="DF737" s="1"/>
      <c r="DG737" s="1"/>
      <c r="DH737" s="1"/>
      <c r="DI737" s="1"/>
      <c r="DJ737" s="1"/>
      <c r="DK737" s="1"/>
      <c r="DL737" s="1"/>
      <c r="DM737" s="1"/>
      <c r="DQ737" s="1"/>
      <c r="DR737" s="1"/>
      <c r="DY737" s="1"/>
      <c r="DZ737" s="1"/>
      <c r="ED737" s="1"/>
      <c r="EE737" s="1"/>
      <c r="EF737" s="1"/>
      <c r="EG737" s="1"/>
      <c r="EH737" s="1"/>
      <c r="EK737" s="1"/>
      <c r="EL737" s="1"/>
      <c r="EM737" s="1"/>
      <c r="EN737" s="1"/>
      <c r="EQ737" s="1"/>
      <c r="ER737" s="1"/>
      <c r="ES737" s="1"/>
      <c r="EV737" s="1"/>
      <c r="EW737" s="1"/>
      <c r="EY737" s="1"/>
      <c r="EZ737" s="1"/>
      <c r="FA737" s="1"/>
      <c r="FD737" s="1"/>
      <c r="FG737" s="1"/>
      <c r="FH737" s="1"/>
      <c r="FI737" s="1"/>
      <c r="FJ737" s="1"/>
      <c r="FM737" s="1"/>
      <c r="FN737" s="1"/>
      <c r="FO737" s="1"/>
      <c r="FP737" s="1"/>
      <c r="FQ737" s="1"/>
      <c r="FR737" s="1"/>
      <c r="FS737" s="1"/>
      <c r="FT737" s="1"/>
      <c r="FU737" s="1"/>
      <c r="FV737" s="1"/>
      <c r="FW737" s="1"/>
      <c r="FX737" s="1"/>
      <c r="FY737" s="1"/>
      <c r="FZ737" s="1"/>
      <c r="GA737" s="1"/>
      <c r="GB737" s="1"/>
      <c r="GD737" s="1"/>
      <c r="GE737" s="1"/>
      <c r="GF737" s="1"/>
      <c r="GG737" s="1"/>
      <c r="GH737" s="1"/>
      <c r="GI737" s="1"/>
      <c r="GJ737" s="1"/>
      <c r="GK737" s="1"/>
      <c r="GL737" s="1"/>
      <c r="GM737" s="1"/>
      <c r="GN737" s="1"/>
      <c r="GO737" s="1"/>
      <c r="GP737" s="1"/>
      <c r="GR737" s="1"/>
      <c r="GY737" s="1"/>
      <c r="HF737" s="1"/>
      <c r="HH737" s="1"/>
      <c r="HN737" s="1"/>
      <c r="HQ737" s="1"/>
      <c r="HT737" s="1"/>
      <c r="HX737" s="1"/>
      <c r="HY737" s="1"/>
      <c r="IC737" s="1"/>
      <c r="IE737" s="1"/>
      <c r="IG737" s="1"/>
      <c r="IJ737" s="1"/>
      <c r="IR737" s="1"/>
      <c r="IS737" s="1"/>
      <c r="IZ737" s="1"/>
      <c r="JC737" s="1"/>
      <c r="JF737" s="1"/>
      <c r="JG737" s="1"/>
      <c r="JH737" s="1"/>
      <c r="JJ737" s="1"/>
      <c r="JK737" s="1"/>
      <c r="JL737" s="3"/>
      <c r="JM737" s="1"/>
      <c r="JN737" s="1"/>
      <c r="JP737" s="1"/>
      <c r="JQ737" s="1"/>
      <c r="JR737" s="1"/>
      <c r="JT737" s="1"/>
      <c r="KW737" s="1"/>
      <c r="KY737" s="1"/>
      <c r="KZ737" s="1"/>
      <c r="LA737" s="1"/>
      <c r="LB737" s="1"/>
      <c r="LC737" s="1"/>
      <c r="LD737" s="1"/>
      <c r="LO737" s="1"/>
      <c r="LP737" s="1"/>
      <c r="LZ737" s="1"/>
      <c r="MA737" s="1"/>
    </row>
    <row r="738" spans="4:339" ht="13" x14ac:dyDescent="0.15">
      <c r="D738" s="12"/>
      <c r="E738" s="12"/>
      <c r="I738" s="12"/>
      <c r="J738" s="13"/>
      <c r="BF738" s="1"/>
      <c r="BG738" s="1"/>
      <c r="BH738" s="1"/>
      <c r="BI738" s="1"/>
      <c r="BJ738" s="1"/>
      <c r="BK738" s="1"/>
      <c r="BL738" s="1"/>
      <c r="BM738" s="1"/>
      <c r="BN738" s="1"/>
      <c r="BO738" s="1"/>
      <c r="BP738" s="1"/>
      <c r="BQ738" s="1"/>
      <c r="BR738" s="1"/>
      <c r="CD738" s="1"/>
      <c r="CE738" s="1"/>
      <c r="CF738" s="1"/>
      <c r="CG738" s="1"/>
      <c r="CH738" s="1"/>
      <c r="CI738" s="1"/>
      <c r="CJ738" s="1"/>
      <c r="CK738" s="1"/>
      <c r="CM738" s="2"/>
      <c r="CN738" s="1"/>
      <c r="CO738" s="1"/>
      <c r="CP738" s="1"/>
      <c r="CQ738" s="1"/>
      <c r="CR738" s="1"/>
      <c r="CS738" s="1"/>
      <c r="CT738" s="1"/>
      <c r="CU738" s="1"/>
      <c r="CV738" s="1"/>
      <c r="CW738" s="1"/>
      <c r="CX738" s="1"/>
      <c r="CY738" s="1"/>
      <c r="CZ738" s="1"/>
      <c r="DA738" s="1"/>
      <c r="DB738" s="1"/>
      <c r="DC738" s="1"/>
      <c r="DD738" s="1"/>
      <c r="DE738" s="1"/>
      <c r="DF738" s="1"/>
      <c r="DG738" s="1"/>
      <c r="DH738" s="1"/>
      <c r="DI738" s="1"/>
      <c r="DJ738" s="1"/>
      <c r="DK738" s="1"/>
      <c r="DL738" s="1"/>
      <c r="DM738" s="1"/>
      <c r="DQ738" s="1"/>
      <c r="DR738" s="1"/>
      <c r="DY738" s="1"/>
      <c r="DZ738" s="1"/>
      <c r="ED738" s="1"/>
      <c r="EE738" s="1"/>
      <c r="EF738" s="1"/>
      <c r="EG738" s="1"/>
      <c r="EH738" s="1"/>
      <c r="EK738" s="1"/>
      <c r="EL738" s="1"/>
      <c r="EM738" s="1"/>
      <c r="EN738" s="1"/>
      <c r="EQ738" s="1"/>
      <c r="ER738" s="1"/>
      <c r="ES738" s="1"/>
      <c r="EV738" s="1"/>
      <c r="EW738" s="1"/>
      <c r="EY738" s="1"/>
      <c r="EZ738" s="1"/>
      <c r="FA738" s="1"/>
      <c r="FD738" s="1"/>
      <c r="FG738" s="1"/>
      <c r="FH738" s="1"/>
      <c r="FI738" s="1"/>
      <c r="FJ738" s="1"/>
      <c r="FM738" s="1"/>
      <c r="FN738" s="1"/>
      <c r="FO738" s="1"/>
      <c r="FP738" s="1"/>
      <c r="FQ738" s="1"/>
      <c r="FR738" s="1"/>
      <c r="FS738" s="1"/>
      <c r="FT738" s="1"/>
      <c r="FU738" s="1"/>
      <c r="FV738" s="1"/>
      <c r="FW738" s="1"/>
      <c r="FX738" s="1"/>
      <c r="FY738" s="1"/>
      <c r="FZ738" s="1"/>
      <c r="GA738" s="1"/>
      <c r="GB738" s="1"/>
      <c r="GD738" s="1"/>
      <c r="GE738" s="1"/>
      <c r="GF738" s="1"/>
      <c r="GG738" s="1"/>
      <c r="GH738" s="1"/>
      <c r="GI738" s="1"/>
      <c r="GJ738" s="1"/>
      <c r="GK738" s="1"/>
      <c r="GL738" s="1"/>
      <c r="GM738" s="1"/>
      <c r="GN738" s="1"/>
      <c r="GO738" s="1"/>
      <c r="GP738" s="1"/>
      <c r="GR738" s="1"/>
      <c r="GY738" s="1"/>
      <c r="HF738" s="1"/>
      <c r="HH738" s="1"/>
      <c r="HN738" s="1"/>
      <c r="HQ738" s="1"/>
      <c r="HT738" s="1"/>
      <c r="HX738" s="1"/>
      <c r="HY738" s="1"/>
      <c r="IC738" s="1"/>
      <c r="IE738" s="1"/>
      <c r="IG738" s="1"/>
      <c r="IJ738" s="1"/>
      <c r="IR738" s="1"/>
      <c r="IS738" s="1"/>
      <c r="IZ738" s="1"/>
      <c r="JC738" s="1"/>
      <c r="JF738" s="1"/>
      <c r="JG738" s="1"/>
      <c r="JH738" s="1"/>
      <c r="JJ738" s="1"/>
      <c r="JK738" s="1"/>
      <c r="JL738" s="3"/>
      <c r="JM738" s="1"/>
      <c r="JN738" s="1"/>
      <c r="JP738" s="1"/>
      <c r="JQ738" s="1"/>
      <c r="JR738" s="1"/>
      <c r="JT738" s="1"/>
      <c r="KW738" s="1"/>
      <c r="KY738" s="1"/>
      <c r="KZ738" s="1"/>
      <c r="LA738" s="1"/>
      <c r="LB738" s="1"/>
      <c r="LC738" s="1"/>
      <c r="LD738" s="1"/>
      <c r="LO738" s="1"/>
      <c r="LP738" s="1"/>
      <c r="LZ738" s="1"/>
      <c r="MA738" s="1"/>
    </row>
    <row r="739" spans="4:339" ht="13" x14ac:dyDescent="0.15">
      <c r="D739" s="12"/>
      <c r="E739" s="12"/>
      <c r="I739" s="12"/>
      <c r="J739" s="13"/>
      <c r="BF739" s="1"/>
      <c r="BG739" s="1"/>
      <c r="BH739" s="1"/>
      <c r="BI739" s="1"/>
      <c r="BJ739" s="1"/>
      <c r="BK739" s="1"/>
      <c r="BL739" s="1"/>
      <c r="BM739" s="1"/>
      <c r="BN739" s="1"/>
      <c r="BO739" s="1"/>
      <c r="BP739" s="1"/>
      <c r="BQ739" s="1"/>
      <c r="BR739" s="1"/>
      <c r="CD739" s="1"/>
      <c r="CE739" s="1"/>
      <c r="CF739" s="1"/>
      <c r="CG739" s="1"/>
      <c r="CH739" s="1"/>
      <c r="CI739" s="1"/>
      <c r="CJ739" s="1"/>
      <c r="CK739" s="1"/>
      <c r="CM739" s="2"/>
      <c r="CN739" s="1"/>
      <c r="CO739" s="1"/>
      <c r="CP739" s="1"/>
      <c r="CQ739" s="1"/>
      <c r="CR739" s="1"/>
      <c r="CS739" s="1"/>
      <c r="CT739" s="1"/>
      <c r="CU739" s="1"/>
      <c r="CV739" s="1"/>
      <c r="CW739" s="1"/>
      <c r="CX739" s="1"/>
      <c r="CY739" s="1"/>
      <c r="CZ739" s="1"/>
      <c r="DA739" s="1"/>
      <c r="DB739" s="1"/>
      <c r="DC739" s="1"/>
      <c r="DD739" s="1"/>
      <c r="DE739" s="1"/>
      <c r="DF739" s="1"/>
      <c r="DG739" s="1"/>
      <c r="DH739" s="1"/>
      <c r="DI739" s="1"/>
      <c r="DJ739" s="1"/>
      <c r="DK739" s="1"/>
      <c r="DL739" s="1"/>
      <c r="DM739" s="1"/>
      <c r="DQ739" s="1"/>
      <c r="DR739" s="1"/>
      <c r="DY739" s="1"/>
      <c r="DZ739" s="1"/>
      <c r="ED739" s="1"/>
      <c r="EE739" s="1"/>
      <c r="EF739" s="1"/>
      <c r="EG739" s="1"/>
      <c r="EH739" s="1"/>
      <c r="EK739" s="1"/>
      <c r="EL739" s="1"/>
      <c r="EM739" s="1"/>
      <c r="EN739" s="1"/>
      <c r="EQ739" s="1"/>
      <c r="ER739" s="1"/>
      <c r="ES739" s="1"/>
      <c r="EV739" s="1"/>
      <c r="EW739" s="1"/>
      <c r="EY739" s="1"/>
      <c r="EZ739" s="1"/>
      <c r="FA739" s="1"/>
      <c r="FD739" s="1"/>
      <c r="FG739" s="1"/>
      <c r="FH739" s="1"/>
      <c r="FI739" s="1"/>
      <c r="FJ739" s="1"/>
      <c r="FM739" s="1"/>
      <c r="FN739" s="1"/>
      <c r="FO739" s="1"/>
      <c r="FP739" s="1"/>
      <c r="FQ739" s="1"/>
      <c r="FR739" s="1"/>
      <c r="FS739" s="1"/>
      <c r="FT739" s="1"/>
      <c r="FU739" s="1"/>
      <c r="FV739" s="1"/>
      <c r="FW739" s="1"/>
      <c r="FX739" s="1"/>
      <c r="FY739" s="1"/>
      <c r="FZ739" s="1"/>
      <c r="GA739" s="1"/>
      <c r="GB739" s="1"/>
      <c r="GD739" s="1"/>
      <c r="GE739" s="1"/>
      <c r="GF739" s="1"/>
      <c r="GG739" s="1"/>
      <c r="GH739" s="1"/>
      <c r="GI739" s="1"/>
      <c r="GJ739" s="1"/>
      <c r="GK739" s="1"/>
      <c r="GL739" s="1"/>
      <c r="GM739" s="1"/>
      <c r="GN739" s="1"/>
      <c r="GO739" s="1"/>
      <c r="GP739" s="1"/>
      <c r="GR739" s="1"/>
      <c r="GY739" s="1"/>
      <c r="HF739" s="1"/>
      <c r="HH739" s="1"/>
      <c r="HN739" s="1"/>
      <c r="HQ739" s="1"/>
      <c r="HT739" s="1"/>
      <c r="HX739" s="1"/>
      <c r="HY739" s="1"/>
      <c r="IC739" s="1"/>
      <c r="IE739" s="1"/>
      <c r="IG739" s="1"/>
      <c r="IJ739" s="1"/>
      <c r="IR739" s="1"/>
      <c r="IS739" s="1"/>
      <c r="IZ739" s="1"/>
      <c r="JC739" s="1"/>
      <c r="JF739" s="1"/>
      <c r="JG739" s="1"/>
      <c r="JH739" s="1"/>
      <c r="JJ739" s="1"/>
      <c r="JK739" s="1"/>
      <c r="JL739" s="3"/>
      <c r="JM739" s="1"/>
      <c r="JN739" s="1"/>
      <c r="JP739" s="1"/>
      <c r="JQ739" s="1"/>
      <c r="JR739" s="1"/>
      <c r="JT739" s="1"/>
      <c r="KW739" s="1"/>
      <c r="KY739" s="1"/>
      <c r="KZ739" s="1"/>
      <c r="LA739" s="1"/>
      <c r="LB739" s="1"/>
      <c r="LC739" s="1"/>
      <c r="LD739" s="1"/>
      <c r="LO739" s="1"/>
      <c r="LP739" s="1"/>
      <c r="LZ739" s="1"/>
      <c r="MA739" s="1"/>
    </row>
    <row r="740" spans="4:339" ht="13" x14ac:dyDescent="0.15">
      <c r="D740" s="12"/>
      <c r="E740" s="12"/>
      <c r="I740" s="12"/>
      <c r="J740" s="13"/>
      <c r="BF740" s="1"/>
      <c r="BG740" s="1"/>
      <c r="BH740" s="1"/>
      <c r="BI740" s="1"/>
      <c r="BJ740" s="1"/>
      <c r="BK740" s="1"/>
      <c r="BL740" s="1"/>
      <c r="BM740" s="1"/>
      <c r="BN740" s="1"/>
      <c r="BO740" s="1"/>
      <c r="BP740" s="1"/>
      <c r="BQ740" s="1"/>
      <c r="BR740" s="1"/>
      <c r="CD740" s="1"/>
      <c r="CE740" s="1"/>
      <c r="CF740" s="1"/>
      <c r="CG740" s="1"/>
      <c r="CH740" s="1"/>
      <c r="CI740" s="1"/>
      <c r="CJ740" s="1"/>
      <c r="CK740" s="1"/>
      <c r="CM740" s="2"/>
      <c r="CN740" s="1"/>
      <c r="CO740" s="1"/>
      <c r="CP740" s="1"/>
      <c r="CQ740" s="1"/>
      <c r="CR740" s="1"/>
      <c r="CS740" s="1"/>
      <c r="CT740" s="1"/>
      <c r="CU740" s="1"/>
      <c r="CV740" s="1"/>
      <c r="CW740" s="1"/>
      <c r="CX740" s="1"/>
      <c r="CY740" s="1"/>
      <c r="CZ740" s="1"/>
      <c r="DA740" s="1"/>
      <c r="DB740" s="1"/>
      <c r="DC740" s="1"/>
      <c r="DD740" s="1"/>
      <c r="DE740" s="1"/>
      <c r="DF740" s="1"/>
      <c r="DG740" s="1"/>
      <c r="DH740" s="1"/>
      <c r="DI740" s="1"/>
      <c r="DJ740" s="1"/>
      <c r="DK740" s="1"/>
      <c r="DL740" s="1"/>
      <c r="DM740" s="1"/>
      <c r="DQ740" s="1"/>
      <c r="DR740" s="1"/>
      <c r="DY740" s="1"/>
      <c r="DZ740" s="1"/>
      <c r="ED740" s="1"/>
      <c r="EE740" s="1"/>
      <c r="EF740" s="1"/>
      <c r="EG740" s="1"/>
      <c r="EH740" s="1"/>
      <c r="EK740" s="1"/>
      <c r="EL740" s="1"/>
      <c r="EM740" s="1"/>
      <c r="EN740" s="1"/>
      <c r="EQ740" s="1"/>
      <c r="ER740" s="1"/>
      <c r="ES740" s="1"/>
      <c r="EV740" s="1"/>
      <c r="EW740" s="1"/>
      <c r="EY740" s="1"/>
      <c r="EZ740" s="1"/>
      <c r="FA740" s="1"/>
      <c r="FD740" s="1"/>
      <c r="FG740" s="1"/>
      <c r="FH740" s="1"/>
      <c r="FI740" s="1"/>
      <c r="FJ740" s="1"/>
      <c r="FM740" s="1"/>
      <c r="FN740" s="1"/>
      <c r="FO740" s="1"/>
      <c r="FP740" s="1"/>
      <c r="FQ740" s="1"/>
      <c r="FR740" s="1"/>
      <c r="FS740" s="1"/>
      <c r="FT740" s="1"/>
      <c r="FU740" s="1"/>
      <c r="FV740" s="1"/>
      <c r="FW740" s="1"/>
      <c r="FX740" s="1"/>
      <c r="FY740" s="1"/>
      <c r="FZ740" s="1"/>
      <c r="GA740" s="1"/>
      <c r="GB740" s="1"/>
      <c r="GD740" s="1"/>
      <c r="GE740" s="1"/>
      <c r="GF740" s="1"/>
      <c r="GG740" s="1"/>
      <c r="GH740" s="1"/>
      <c r="GI740" s="1"/>
      <c r="GJ740" s="1"/>
      <c r="GK740" s="1"/>
      <c r="GL740" s="1"/>
      <c r="GM740" s="1"/>
      <c r="GN740" s="1"/>
      <c r="GO740" s="1"/>
      <c r="GP740" s="1"/>
      <c r="GR740" s="1"/>
      <c r="GY740" s="1"/>
      <c r="HF740" s="1"/>
      <c r="HH740" s="1"/>
      <c r="HN740" s="1"/>
      <c r="HQ740" s="1"/>
      <c r="HT740" s="1"/>
      <c r="HX740" s="1"/>
      <c r="HY740" s="1"/>
      <c r="IC740" s="1"/>
      <c r="IE740" s="1"/>
      <c r="IG740" s="1"/>
      <c r="IJ740" s="1"/>
      <c r="IR740" s="1"/>
      <c r="IS740" s="1"/>
      <c r="IZ740" s="1"/>
      <c r="JC740" s="1"/>
      <c r="JF740" s="1"/>
      <c r="JG740" s="1"/>
      <c r="JH740" s="1"/>
      <c r="JJ740" s="1"/>
      <c r="JK740" s="1"/>
      <c r="JL740" s="3"/>
      <c r="JM740" s="1"/>
      <c r="JN740" s="1"/>
      <c r="JP740" s="1"/>
      <c r="JQ740" s="1"/>
      <c r="JR740" s="1"/>
      <c r="JT740" s="1"/>
      <c r="KW740" s="1"/>
      <c r="KY740" s="1"/>
      <c r="KZ740" s="1"/>
      <c r="LA740" s="1"/>
      <c r="LB740" s="1"/>
      <c r="LC740" s="1"/>
      <c r="LD740" s="1"/>
      <c r="LO740" s="1"/>
      <c r="LP740" s="1"/>
      <c r="LZ740" s="1"/>
      <c r="MA740" s="1"/>
    </row>
    <row r="741" spans="4:339" ht="13" x14ac:dyDescent="0.15">
      <c r="D741" s="12"/>
      <c r="E741" s="12"/>
      <c r="I741" s="12"/>
      <c r="J741" s="13"/>
      <c r="BF741" s="1"/>
      <c r="BG741" s="1"/>
      <c r="BH741" s="1"/>
      <c r="BI741" s="1"/>
      <c r="BJ741" s="1"/>
      <c r="BK741" s="1"/>
      <c r="BL741" s="1"/>
      <c r="BM741" s="1"/>
      <c r="BN741" s="1"/>
      <c r="BO741" s="1"/>
      <c r="BP741" s="1"/>
      <c r="BQ741" s="1"/>
      <c r="BR741" s="1"/>
      <c r="CD741" s="1"/>
      <c r="CE741" s="1"/>
      <c r="CF741" s="1"/>
      <c r="CG741" s="1"/>
      <c r="CH741" s="1"/>
      <c r="CI741" s="1"/>
      <c r="CJ741" s="1"/>
      <c r="CK741" s="1"/>
      <c r="CM741" s="2"/>
      <c r="CN741" s="1"/>
      <c r="CO741" s="1"/>
      <c r="CP741" s="1"/>
      <c r="CQ741" s="1"/>
      <c r="CR741" s="1"/>
      <c r="CS741" s="1"/>
      <c r="CT741" s="1"/>
      <c r="CU741" s="1"/>
      <c r="CV741" s="1"/>
      <c r="CW741" s="1"/>
      <c r="CX741" s="1"/>
      <c r="CY741" s="1"/>
      <c r="CZ741" s="1"/>
      <c r="DA741" s="1"/>
      <c r="DB741" s="1"/>
      <c r="DC741" s="1"/>
      <c r="DD741" s="1"/>
      <c r="DE741" s="1"/>
      <c r="DF741" s="1"/>
      <c r="DG741" s="1"/>
      <c r="DH741" s="1"/>
      <c r="DI741" s="1"/>
      <c r="DJ741" s="1"/>
      <c r="DK741" s="1"/>
      <c r="DL741" s="1"/>
      <c r="DM741" s="1"/>
      <c r="DQ741" s="1"/>
      <c r="DR741" s="1"/>
      <c r="DY741" s="1"/>
      <c r="DZ741" s="1"/>
      <c r="ED741" s="1"/>
      <c r="EE741" s="1"/>
      <c r="EF741" s="1"/>
      <c r="EG741" s="1"/>
      <c r="EH741" s="1"/>
      <c r="EK741" s="1"/>
      <c r="EL741" s="1"/>
      <c r="EM741" s="1"/>
      <c r="EN741" s="1"/>
      <c r="EQ741" s="1"/>
      <c r="ER741" s="1"/>
      <c r="ES741" s="1"/>
      <c r="EV741" s="1"/>
      <c r="EW741" s="1"/>
      <c r="EY741" s="1"/>
      <c r="EZ741" s="1"/>
      <c r="FA741" s="1"/>
      <c r="FD741" s="1"/>
      <c r="FG741" s="1"/>
      <c r="FH741" s="1"/>
      <c r="FI741" s="1"/>
      <c r="FJ741" s="1"/>
      <c r="FM741" s="1"/>
      <c r="FN741" s="1"/>
      <c r="FO741" s="1"/>
      <c r="FP741" s="1"/>
      <c r="FQ741" s="1"/>
      <c r="FR741" s="1"/>
      <c r="FS741" s="1"/>
      <c r="FT741" s="1"/>
      <c r="FU741" s="1"/>
      <c r="FV741" s="1"/>
      <c r="FW741" s="1"/>
      <c r="FX741" s="1"/>
      <c r="FY741" s="1"/>
      <c r="FZ741" s="1"/>
      <c r="GA741" s="1"/>
      <c r="GB741" s="1"/>
      <c r="GD741" s="1"/>
      <c r="GE741" s="1"/>
      <c r="GF741" s="1"/>
      <c r="GG741" s="1"/>
      <c r="GH741" s="1"/>
      <c r="GI741" s="1"/>
      <c r="GJ741" s="1"/>
      <c r="GK741" s="1"/>
      <c r="GL741" s="1"/>
      <c r="GM741" s="1"/>
      <c r="GN741" s="1"/>
      <c r="GO741" s="1"/>
      <c r="GP741" s="1"/>
      <c r="GR741" s="1"/>
      <c r="GY741" s="1"/>
      <c r="HF741" s="1"/>
      <c r="HH741" s="1"/>
      <c r="HN741" s="1"/>
      <c r="HQ741" s="1"/>
      <c r="HT741" s="1"/>
      <c r="HX741" s="1"/>
      <c r="HY741" s="1"/>
      <c r="IC741" s="1"/>
      <c r="IE741" s="1"/>
      <c r="IG741" s="1"/>
      <c r="IJ741" s="1"/>
      <c r="IR741" s="1"/>
      <c r="IS741" s="1"/>
      <c r="IZ741" s="1"/>
      <c r="JC741" s="1"/>
      <c r="JF741" s="1"/>
      <c r="JG741" s="1"/>
      <c r="JH741" s="1"/>
      <c r="JJ741" s="1"/>
      <c r="JK741" s="1"/>
      <c r="JL741" s="3"/>
      <c r="JM741" s="1"/>
      <c r="JN741" s="1"/>
      <c r="JP741" s="1"/>
      <c r="JQ741" s="1"/>
      <c r="JR741" s="1"/>
      <c r="JT741" s="1"/>
      <c r="KW741" s="1"/>
      <c r="KY741" s="1"/>
      <c r="KZ741" s="1"/>
      <c r="LA741" s="1"/>
      <c r="LB741" s="1"/>
      <c r="LC741" s="1"/>
      <c r="LD741" s="1"/>
      <c r="LO741" s="1"/>
      <c r="LP741" s="1"/>
      <c r="LZ741" s="1"/>
      <c r="MA741" s="1"/>
    </row>
    <row r="742" spans="4:339" ht="13" x14ac:dyDescent="0.15">
      <c r="D742" s="12"/>
      <c r="E742" s="12"/>
      <c r="I742" s="12"/>
      <c r="J742" s="13"/>
      <c r="BF742" s="1"/>
      <c r="BG742" s="1"/>
      <c r="BH742" s="1"/>
      <c r="BI742" s="1"/>
      <c r="BJ742" s="1"/>
      <c r="BK742" s="1"/>
      <c r="BL742" s="1"/>
      <c r="BM742" s="1"/>
      <c r="BN742" s="1"/>
      <c r="BO742" s="1"/>
      <c r="BP742" s="1"/>
      <c r="BQ742" s="1"/>
      <c r="BR742" s="1"/>
      <c r="CD742" s="1"/>
      <c r="CE742" s="1"/>
      <c r="CF742" s="1"/>
      <c r="CG742" s="1"/>
      <c r="CH742" s="1"/>
      <c r="CI742" s="1"/>
      <c r="CJ742" s="1"/>
      <c r="CK742" s="1"/>
      <c r="CM742" s="2"/>
      <c r="CN742" s="1"/>
      <c r="CO742" s="1"/>
      <c r="CP742" s="1"/>
      <c r="CQ742" s="1"/>
      <c r="CR742" s="1"/>
      <c r="CS742" s="1"/>
      <c r="CT742" s="1"/>
      <c r="CU742" s="1"/>
      <c r="CV742" s="1"/>
      <c r="CW742" s="1"/>
      <c r="CX742" s="1"/>
      <c r="CY742" s="1"/>
      <c r="CZ742" s="1"/>
      <c r="DA742" s="1"/>
      <c r="DB742" s="1"/>
      <c r="DC742" s="1"/>
      <c r="DD742" s="1"/>
      <c r="DE742" s="1"/>
      <c r="DF742" s="1"/>
      <c r="DG742" s="1"/>
      <c r="DH742" s="1"/>
      <c r="DI742" s="1"/>
      <c r="DJ742" s="1"/>
      <c r="DK742" s="1"/>
      <c r="DL742" s="1"/>
      <c r="DM742" s="1"/>
      <c r="DQ742" s="1"/>
      <c r="DR742" s="1"/>
      <c r="DY742" s="1"/>
      <c r="DZ742" s="1"/>
      <c r="ED742" s="1"/>
      <c r="EE742" s="1"/>
      <c r="EF742" s="1"/>
      <c r="EG742" s="1"/>
      <c r="EH742" s="1"/>
      <c r="EK742" s="1"/>
      <c r="EL742" s="1"/>
      <c r="EM742" s="1"/>
      <c r="EN742" s="1"/>
      <c r="EQ742" s="1"/>
      <c r="ER742" s="1"/>
      <c r="ES742" s="1"/>
      <c r="EV742" s="1"/>
      <c r="EW742" s="1"/>
      <c r="EY742" s="1"/>
      <c r="EZ742" s="1"/>
      <c r="FA742" s="1"/>
      <c r="FD742" s="1"/>
      <c r="FG742" s="1"/>
      <c r="FH742" s="1"/>
      <c r="FI742" s="1"/>
      <c r="FJ742" s="1"/>
      <c r="FM742" s="1"/>
      <c r="FN742" s="1"/>
      <c r="FO742" s="1"/>
      <c r="FP742" s="1"/>
      <c r="FQ742" s="1"/>
      <c r="FR742" s="1"/>
      <c r="FS742" s="1"/>
      <c r="FT742" s="1"/>
      <c r="FU742" s="1"/>
      <c r="FV742" s="1"/>
      <c r="FW742" s="1"/>
      <c r="FX742" s="1"/>
      <c r="FY742" s="1"/>
      <c r="FZ742" s="1"/>
      <c r="GA742" s="1"/>
      <c r="GB742" s="1"/>
      <c r="GD742" s="1"/>
      <c r="GE742" s="1"/>
      <c r="GF742" s="1"/>
      <c r="GG742" s="1"/>
      <c r="GH742" s="1"/>
      <c r="GI742" s="1"/>
      <c r="GJ742" s="1"/>
      <c r="GK742" s="1"/>
      <c r="GL742" s="1"/>
      <c r="GM742" s="1"/>
      <c r="GN742" s="1"/>
      <c r="GO742" s="1"/>
      <c r="GP742" s="1"/>
      <c r="GR742" s="1"/>
      <c r="GY742" s="1"/>
      <c r="HF742" s="1"/>
      <c r="HH742" s="1"/>
      <c r="HN742" s="1"/>
      <c r="HQ742" s="1"/>
      <c r="HT742" s="1"/>
      <c r="HX742" s="1"/>
      <c r="HY742" s="1"/>
      <c r="IC742" s="1"/>
      <c r="IE742" s="1"/>
      <c r="IG742" s="1"/>
      <c r="IJ742" s="1"/>
      <c r="IR742" s="1"/>
      <c r="IS742" s="1"/>
      <c r="IZ742" s="1"/>
      <c r="JC742" s="1"/>
      <c r="JF742" s="1"/>
      <c r="JG742" s="1"/>
      <c r="JH742" s="1"/>
      <c r="JJ742" s="1"/>
      <c r="JK742" s="1"/>
      <c r="JL742" s="3"/>
      <c r="JM742" s="1"/>
      <c r="JN742" s="1"/>
      <c r="JP742" s="1"/>
      <c r="JQ742" s="1"/>
      <c r="JR742" s="1"/>
      <c r="JT742" s="1"/>
      <c r="KW742" s="1"/>
      <c r="KY742" s="1"/>
      <c r="KZ742" s="1"/>
      <c r="LA742" s="1"/>
      <c r="LB742" s="1"/>
      <c r="LC742" s="1"/>
      <c r="LD742" s="1"/>
      <c r="LO742" s="1"/>
      <c r="LP742" s="1"/>
      <c r="LZ742" s="1"/>
      <c r="MA742" s="1"/>
    </row>
    <row r="743" spans="4:339" ht="13" x14ac:dyDescent="0.15">
      <c r="D743" s="12"/>
      <c r="E743" s="12"/>
      <c r="I743" s="12"/>
      <c r="J743" s="13"/>
      <c r="BF743" s="1"/>
      <c r="BG743" s="1"/>
      <c r="BH743" s="1"/>
      <c r="BI743" s="1"/>
      <c r="BJ743" s="1"/>
      <c r="BK743" s="1"/>
      <c r="BL743" s="1"/>
      <c r="BM743" s="1"/>
      <c r="BN743" s="1"/>
      <c r="BO743" s="1"/>
      <c r="BP743" s="1"/>
      <c r="BQ743" s="1"/>
      <c r="BR743" s="1"/>
      <c r="CD743" s="1"/>
      <c r="CE743" s="1"/>
      <c r="CF743" s="1"/>
      <c r="CG743" s="1"/>
      <c r="CH743" s="1"/>
      <c r="CI743" s="1"/>
      <c r="CJ743" s="1"/>
      <c r="CK743" s="1"/>
      <c r="CM743" s="2"/>
      <c r="CN743" s="1"/>
      <c r="CO743" s="1"/>
      <c r="CP743" s="1"/>
      <c r="CQ743" s="1"/>
      <c r="CR743" s="1"/>
      <c r="CS743" s="1"/>
      <c r="CT743" s="1"/>
      <c r="CU743" s="1"/>
      <c r="CV743" s="1"/>
      <c r="CW743" s="1"/>
      <c r="CX743" s="1"/>
      <c r="CY743" s="1"/>
      <c r="CZ743" s="1"/>
      <c r="DA743" s="1"/>
      <c r="DB743" s="1"/>
      <c r="DC743" s="1"/>
      <c r="DD743" s="1"/>
      <c r="DE743" s="1"/>
      <c r="DF743" s="1"/>
      <c r="DG743" s="1"/>
      <c r="DH743" s="1"/>
      <c r="DI743" s="1"/>
      <c r="DJ743" s="1"/>
      <c r="DK743" s="1"/>
      <c r="DL743" s="1"/>
      <c r="DM743" s="1"/>
      <c r="DQ743" s="1"/>
      <c r="DR743" s="1"/>
      <c r="DY743" s="1"/>
      <c r="DZ743" s="1"/>
      <c r="ED743" s="1"/>
      <c r="EE743" s="1"/>
      <c r="EF743" s="1"/>
      <c r="EG743" s="1"/>
      <c r="EH743" s="1"/>
      <c r="EK743" s="1"/>
      <c r="EL743" s="1"/>
      <c r="EM743" s="1"/>
      <c r="EN743" s="1"/>
      <c r="EQ743" s="1"/>
      <c r="ER743" s="1"/>
      <c r="ES743" s="1"/>
      <c r="EV743" s="1"/>
      <c r="EW743" s="1"/>
      <c r="EY743" s="1"/>
      <c r="EZ743" s="1"/>
      <c r="FA743" s="1"/>
      <c r="FD743" s="1"/>
      <c r="FG743" s="1"/>
      <c r="FH743" s="1"/>
      <c r="FI743" s="1"/>
      <c r="FJ743" s="1"/>
      <c r="FM743" s="1"/>
      <c r="FN743" s="1"/>
      <c r="FO743" s="1"/>
      <c r="FP743" s="1"/>
      <c r="FQ743" s="1"/>
      <c r="FR743" s="1"/>
      <c r="FS743" s="1"/>
      <c r="FT743" s="1"/>
      <c r="FU743" s="1"/>
      <c r="FV743" s="1"/>
      <c r="FW743" s="1"/>
      <c r="FX743" s="1"/>
      <c r="FY743" s="1"/>
      <c r="FZ743" s="1"/>
      <c r="GA743" s="1"/>
      <c r="GB743" s="1"/>
      <c r="GD743" s="1"/>
      <c r="GE743" s="1"/>
      <c r="GF743" s="1"/>
      <c r="GG743" s="1"/>
      <c r="GH743" s="1"/>
      <c r="GI743" s="1"/>
      <c r="GJ743" s="1"/>
      <c r="GK743" s="1"/>
      <c r="GL743" s="1"/>
      <c r="GM743" s="1"/>
      <c r="GN743" s="1"/>
      <c r="GO743" s="1"/>
      <c r="GP743" s="1"/>
      <c r="GR743" s="1"/>
      <c r="GY743" s="1"/>
      <c r="HF743" s="1"/>
      <c r="HH743" s="1"/>
      <c r="HN743" s="1"/>
      <c r="HQ743" s="1"/>
      <c r="HT743" s="1"/>
      <c r="HX743" s="1"/>
      <c r="HY743" s="1"/>
      <c r="IC743" s="1"/>
      <c r="IE743" s="1"/>
      <c r="IG743" s="1"/>
      <c r="IJ743" s="1"/>
      <c r="IR743" s="1"/>
      <c r="IS743" s="1"/>
      <c r="IZ743" s="1"/>
      <c r="JC743" s="1"/>
      <c r="JF743" s="1"/>
      <c r="JG743" s="1"/>
      <c r="JH743" s="1"/>
      <c r="JJ743" s="1"/>
      <c r="JK743" s="1"/>
      <c r="JL743" s="3"/>
      <c r="JM743" s="1"/>
      <c r="JN743" s="1"/>
      <c r="JP743" s="1"/>
      <c r="JQ743" s="1"/>
      <c r="JR743" s="1"/>
      <c r="JT743" s="1"/>
      <c r="KW743" s="1"/>
      <c r="KY743" s="1"/>
      <c r="KZ743" s="1"/>
      <c r="LA743" s="1"/>
      <c r="LB743" s="1"/>
      <c r="LC743" s="1"/>
      <c r="LD743" s="1"/>
      <c r="LO743" s="1"/>
      <c r="LP743" s="1"/>
      <c r="LZ743" s="1"/>
      <c r="MA743" s="1"/>
    </row>
    <row r="744" spans="4:339" ht="13" x14ac:dyDescent="0.15">
      <c r="D744" s="12"/>
      <c r="E744" s="12"/>
      <c r="I744" s="12"/>
      <c r="J744" s="13"/>
      <c r="BF744" s="1"/>
      <c r="BG744" s="1"/>
      <c r="BH744" s="1"/>
      <c r="BI744" s="1"/>
      <c r="BJ744" s="1"/>
      <c r="BK744" s="1"/>
      <c r="BL744" s="1"/>
      <c r="BM744" s="1"/>
      <c r="BN744" s="1"/>
      <c r="BO744" s="1"/>
      <c r="BP744" s="1"/>
      <c r="BQ744" s="1"/>
      <c r="BR744" s="1"/>
      <c r="CD744" s="1"/>
      <c r="CE744" s="1"/>
      <c r="CF744" s="1"/>
      <c r="CG744" s="1"/>
      <c r="CH744" s="1"/>
      <c r="CI744" s="1"/>
      <c r="CJ744" s="1"/>
      <c r="CK744" s="1"/>
      <c r="CM744" s="2"/>
      <c r="CN744" s="1"/>
      <c r="CO744" s="1"/>
      <c r="CP744" s="1"/>
      <c r="CQ744" s="1"/>
      <c r="CR744" s="1"/>
      <c r="CS744" s="1"/>
      <c r="CT744" s="1"/>
      <c r="CU744" s="1"/>
      <c r="CV744" s="1"/>
      <c r="CW744" s="1"/>
      <c r="CX744" s="1"/>
      <c r="CY744" s="1"/>
      <c r="CZ744" s="1"/>
      <c r="DA744" s="1"/>
      <c r="DB744" s="1"/>
      <c r="DC744" s="1"/>
      <c r="DD744" s="1"/>
      <c r="DE744" s="1"/>
      <c r="DF744" s="1"/>
      <c r="DG744" s="1"/>
      <c r="DH744" s="1"/>
      <c r="DI744" s="1"/>
      <c r="DJ744" s="1"/>
      <c r="DK744" s="1"/>
      <c r="DL744" s="1"/>
      <c r="DM744" s="1"/>
      <c r="DQ744" s="1"/>
      <c r="DR744" s="1"/>
      <c r="DY744" s="1"/>
      <c r="DZ744" s="1"/>
      <c r="ED744" s="1"/>
      <c r="EE744" s="1"/>
      <c r="EF744" s="1"/>
      <c r="EG744" s="1"/>
      <c r="EH744" s="1"/>
      <c r="EK744" s="1"/>
      <c r="EL744" s="1"/>
      <c r="EM744" s="1"/>
      <c r="EN744" s="1"/>
      <c r="EQ744" s="1"/>
      <c r="ER744" s="1"/>
      <c r="ES744" s="1"/>
      <c r="EV744" s="1"/>
      <c r="EW744" s="1"/>
      <c r="EY744" s="1"/>
      <c r="EZ744" s="1"/>
      <c r="FA744" s="1"/>
      <c r="FD744" s="1"/>
      <c r="FG744" s="1"/>
      <c r="FH744" s="1"/>
      <c r="FI744" s="1"/>
      <c r="FJ744" s="1"/>
      <c r="FM744" s="1"/>
      <c r="FN744" s="1"/>
      <c r="FO744" s="1"/>
      <c r="FP744" s="1"/>
      <c r="FQ744" s="1"/>
      <c r="FR744" s="1"/>
      <c r="FS744" s="1"/>
      <c r="FT744" s="1"/>
      <c r="FU744" s="1"/>
      <c r="FV744" s="1"/>
      <c r="FW744" s="1"/>
      <c r="FX744" s="1"/>
      <c r="FY744" s="1"/>
      <c r="FZ744" s="1"/>
      <c r="GA744" s="1"/>
      <c r="GB744" s="1"/>
      <c r="GD744" s="1"/>
      <c r="GE744" s="1"/>
      <c r="GF744" s="1"/>
      <c r="GG744" s="1"/>
      <c r="GH744" s="1"/>
      <c r="GI744" s="1"/>
      <c r="GJ744" s="1"/>
      <c r="GK744" s="1"/>
      <c r="GL744" s="1"/>
      <c r="GM744" s="1"/>
      <c r="GN744" s="1"/>
      <c r="GO744" s="1"/>
      <c r="GP744" s="1"/>
      <c r="GR744" s="1"/>
      <c r="GY744" s="1"/>
      <c r="HF744" s="1"/>
      <c r="HH744" s="1"/>
      <c r="HN744" s="1"/>
      <c r="HQ744" s="1"/>
      <c r="HT744" s="1"/>
      <c r="HX744" s="1"/>
      <c r="HY744" s="1"/>
      <c r="IC744" s="1"/>
      <c r="IE744" s="1"/>
      <c r="IG744" s="1"/>
      <c r="IJ744" s="1"/>
      <c r="IR744" s="1"/>
      <c r="IS744" s="1"/>
      <c r="IZ744" s="1"/>
      <c r="JC744" s="1"/>
      <c r="JF744" s="1"/>
      <c r="JG744" s="1"/>
      <c r="JH744" s="1"/>
      <c r="JJ744" s="1"/>
      <c r="JK744" s="1"/>
      <c r="JL744" s="3"/>
      <c r="JM744" s="1"/>
      <c r="JN744" s="1"/>
      <c r="JP744" s="1"/>
      <c r="JQ744" s="1"/>
      <c r="JR744" s="1"/>
      <c r="JT744" s="1"/>
      <c r="KW744" s="1"/>
      <c r="KY744" s="1"/>
      <c r="KZ744" s="1"/>
      <c r="LA744" s="1"/>
      <c r="LB744" s="1"/>
      <c r="LC744" s="1"/>
      <c r="LD744" s="1"/>
      <c r="LO744" s="1"/>
      <c r="LP744" s="1"/>
      <c r="LZ744" s="1"/>
      <c r="MA744" s="1"/>
    </row>
    <row r="745" spans="4:339" ht="13" x14ac:dyDescent="0.15">
      <c r="D745" s="12"/>
      <c r="E745" s="12"/>
      <c r="I745" s="12"/>
      <c r="J745" s="13"/>
      <c r="BF745" s="1"/>
      <c r="BG745" s="1"/>
      <c r="BH745" s="1"/>
      <c r="BI745" s="1"/>
      <c r="BJ745" s="1"/>
      <c r="BK745" s="1"/>
      <c r="BL745" s="1"/>
      <c r="BM745" s="1"/>
      <c r="BN745" s="1"/>
      <c r="BO745" s="1"/>
      <c r="BP745" s="1"/>
      <c r="BQ745" s="1"/>
      <c r="BR745" s="1"/>
      <c r="CD745" s="1"/>
      <c r="CE745" s="1"/>
      <c r="CF745" s="1"/>
      <c r="CG745" s="1"/>
      <c r="CH745" s="1"/>
      <c r="CI745" s="1"/>
      <c r="CJ745" s="1"/>
      <c r="CK745" s="1"/>
      <c r="CM745" s="2"/>
      <c r="CN745" s="1"/>
      <c r="CO745" s="1"/>
      <c r="CP745" s="1"/>
      <c r="CQ745" s="1"/>
      <c r="CR745" s="1"/>
      <c r="CS745" s="1"/>
      <c r="CT745" s="1"/>
      <c r="CU745" s="1"/>
      <c r="CV745" s="1"/>
      <c r="CW745" s="1"/>
      <c r="CX745" s="1"/>
      <c r="CY745" s="1"/>
      <c r="CZ745" s="1"/>
      <c r="DA745" s="1"/>
      <c r="DB745" s="1"/>
      <c r="DC745" s="1"/>
      <c r="DD745" s="1"/>
      <c r="DE745" s="1"/>
      <c r="DF745" s="1"/>
      <c r="DG745" s="1"/>
      <c r="DH745" s="1"/>
      <c r="DI745" s="1"/>
      <c r="DJ745" s="1"/>
      <c r="DK745" s="1"/>
      <c r="DL745" s="1"/>
      <c r="DM745" s="1"/>
      <c r="DQ745" s="1"/>
      <c r="DR745" s="1"/>
      <c r="DY745" s="1"/>
      <c r="DZ745" s="1"/>
      <c r="ED745" s="1"/>
      <c r="EE745" s="1"/>
      <c r="EF745" s="1"/>
      <c r="EG745" s="1"/>
      <c r="EH745" s="1"/>
      <c r="EK745" s="1"/>
      <c r="EL745" s="1"/>
      <c r="EM745" s="1"/>
      <c r="EN745" s="1"/>
      <c r="EQ745" s="1"/>
      <c r="ER745" s="1"/>
      <c r="ES745" s="1"/>
      <c r="EV745" s="1"/>
      <c r="EW745" s="1"/>
      <c r="EY745" s="1"/>
      <c r="EZ745" s="1"/>
      <c r="FA745" s="1"/>
      <c r="FD745" s="1"/>
      <c r="FG745" s="1"/>
      <c r="FH745" s="1"/>
      <c r="FI745" s="1"/>
      <c r="FJ745" s="1"/>
      <c r="FM745" s="1"/>
      <c r="FN745" s="1"/>
      <c r="FO745" s="1"/>
      <c r="FP745" s="1"/>
      <c r="FQ745" s="1"/>
      <c r="FR745" s="1"/>
      <c r="FS745" s="1"/>
      <c r="FT745" s="1"/>
      <c r="FU745" s="1"/>
      <c r="FV745" s="1"/>
      <c r="FW745" s="1"/>
      <c r="FX745" s="1"/>
      <c r="FY745" s="1"/>
      <c r="FZ745" s="1"/>
      <c r="GA745" s="1"/>
      <c r="GB745" s="1"/>
      <c r="GD745" s="1"/>
      <c r="GE745" s="1"/>
      <c r="GF745" s="1"/>
      <c r="GG745" s="1"/>
      <c r="GH745" s="1"/>
      <c r="GI745" s="1"/>
      <c r="GJ745" s="1"/>
      <c r="GK745" s="1"/>
      <c r="GL745" s="1"/>
      <c r="GM745" s="1"/>
      <c r="GN745" s="1"/>
      <c r="GO745" s="1"/>
      <c r="GP745" s="1"/>
      <c r="GR745" s="1"/>
      <c r="GY745" s="1"/>
      <c r="HF745" s="1"/>
      <c r="HH745" s="1"/>
      <c r="HN745" s="1"/>
      <c r="HQ745" s="1"/>
      <c r="HT745" s="1"/>
      <c r="HX745" s="1"/>
      <c r="HY745" s="1"/>
      <c r="IC745" s="1"/>
      <c r="IE745" s="1"/>
      <c r="IG745" s="1"/>
      <c r="IJ745" s="1"/>
      <c r="IR745" s="1"/>
      <c r="IS745" s="1"/>
      <c r="IZ745" s="1"/>
      <c r="JC745" s="1"/>
      <c r="JF745" s="1"/>
      <c r="JG745" s="1"/>
      <c r="JH745" s="1"/>
      <c r="JJ745" s="1"/>
      <c r="JK745" s="1"/>
      <c r="JL745" s="3"/>
      <c r="JM745" s="1"/>
      <c r="JN745" s="1"/>
      <c r="JP745" s="1"/>
      <c r="JQ745" s="1"/>
      <c r="JR745" s="1"/>
      <c r="JT745" s="1"/>
      <c r="KW745" s="1"/>
      <c r="KY745" s="1"/>
      <c r="KZ745" s="1"/>
      <c r="LA745" s="1"/>
      <c r="LB745" s="1"/>
      <c r="LC745" s="1"/>
      <c r="LD745" s="1"/>
      <c r="LO745" s="1"/>
      <c r="LP745" s="1"/>
      <c r="LZ745" s="1"/>
      <c r="MA745" s="1"/>
    </row>
    <row r="746" spans="4:339" ht="13" x14ac:dyDescent="0.15">
      <c r="D746" s="12"/>
      <c r="E746" s="12"/>
      <c r="I746" s="12"/>
      <c r="J746" s="13"/>
      <c r="BF746" s="1"/>
      <c r="BG746" s="1"/>
      <c r="BH746" s="1"/>
      <c r="BI746" s="1"/>
      <c r="BJ746" s="1"/>
      <c r="BK746" s="1"/>
      <c r="BL746" s="1"/>
      <c r="BM746" s="1"/>
      <c r="BN746" s="1"/>
      <c r="BO746" s="1"/>
      <c r="BP746" s="1"/>
      <c r="BQ746" s="1"/>
      <c r="BR746" s="1"/>
      <c r="CD746" s="1"/>
      <c r="CE746" s="1"/>
      <c r="CF746" s="1"/>
      <c r="CG746" s="1"/>
      <c r="CH746" s="1"/>
      <c r="CI746" s="1"/>
      <c r="CJ746" s="1"/>
      <c r="CK746" s="1"/>
      <c r="CM746" s="2"/>
      <c r="CN746" s="1"/>
      <c r="CO746" s="1"/>
      <c r="CP746" s="1"/>
      <c r="CQ746" s="1"/>
      <c r="CR746" s="1"/>
      <c r="CS746" s="1"/>
      <c r="CT746" s="1"/>
      <c r="CU746" s="1"/>
      <c r="CV746" s="1"/>
      <c r="CW746" s="1"/>
      <c r="CX746" s="1"/>
      <c r="CY746" s="1"/>
      <c r="CZ746" s="1"/>
      <c r="DA746" s="1"/>
      <c r="DB746" s="1"/>
      <c r="DC746" s="1"/>
      <c r="DD746" s="1"/>
      <c r="DE746" s="1"/>
      <c r="DF746" s="1"/>
      <c r="DG746" s="1"/>
      <c r="DH746" s="1"/>
      <c r="DI746" s="1"/>
      <c r="DJ746" s="1"/>
      <c r="DK746" s="1"/>
      <c r="DL746" s="1"/>
      <c r="DM746" s="1"/>
      <c r="DQ746" s="1"/>
      <c r="DR746" s="1"/>
      <c r="DY746" s="1"/>
      <c r="DZ746" s="1"/>
      <c r="ED746" s="1"/>
      <c r="EE746" s="1"/>
      <c r="EF746" s="1"/>
      <c r="EG746" s="1"/>
      <c r="EH746" s="1"/>
      <c r="EK746" s="1"/>
      <c r="EL746" s="1"/>
      <c r="EM746" s="1"/>
      <c r="EN746" s="1"/>
      <c r="EQ746" s="1"/>
      <c r="ER746" s="1"/>
      <c r="ES746" s="1"/>
      <c r="EV746" s="1"/>
      <c r="EW746" s="1"/>
      <c r="EY746" s="1"/>
      <c r="EZ746" s="1"/>
      <c r="FA746" s="1"/>
      <c r="FD746" s="1"/>
      <c r="FG746" s="1"/>
      <c r="FH746" s="1"/>
      <c r="FI746" s="1"/>
      <c r="FJ746" s="1"/>
      <c r="FM746" s="1"/>
      <c r="FN746" s="1"/>
      <c r="FO746" s="1"/>
      <c r="FP746" s="1"/>
      <c r="FQ746" s="1"/>
      <c r="FR746" s="1"/>
      <c r="FS746" s="1"/>
      <c r="FT746" s="1"/>
      <c r="FU746" s="1"/>
      <c r="FV746" s="1"/>
      <c r="FW746" s="1"/>
      <c r="FX746" s="1"/>
      <c r="FY746" s="1"/>
      <c r="FZ746" s="1"/>
      <c r="GA746" s="1"/>
      <c r="GB746" s="1"/>
      <c r="GD746" s="1"/>
      <c r="GE746" s="1"/>
      <c r="GF746" s="1"/>
      <c r="GG746" s="1"/>
      <c r="GH746" s="1"/>
      <c r="GI746" s="1"/>
      <c r="GJ746" s="1"/>
      <c r="GK746" s="1"/>
      <c r="GL746" s="1"/>
      <c r="GM746" s="1"/>
      <c r="GN746" s="1"/>
      <c r="GO746" s="1"/>
      <c r="GP746" s="1"/>
      <c r="GR746" s="1"/>
      <c r="GY746" s="1"/>
      <c r="HF746" s="1"/>
      <c r="HH746" s="1"/>
      <c r="HN746" s="1"/>
      <c r="HQ746" s="1"/>
      <c r="HT746" s="1"/>
      <c r="HX746" s="1"/>
      <c r="HY746" s="1"/>
      <c r="IC746" s="1"/>
      <c r="IE746" s="1"/>
      <c r="IG746" s="1"/>
      <c r="IJ746" s="1"/>
      <c r="IR746" s="1"/>
      <c r="IS746" s="1"/>
      <c r="IZ746" s="1"/>
      <c r="JC746" s="1"/>
      <c r="JF746" s="1"/>
      <c r="JG746" s="1"/>
      <c r="JH746" s="1"/>
      <c r="JJ746" s="1"/>
      <c r="JK746" s="1"/>
      <c r="JL746" s="3"/>
      <c r="JM746" s="1"/>
      <c r="JN746" s="1"/>
      <c r="JP746" s="1"/>
      <c r="JQ746" s="1"/>
      <c r="JR746" s="1"/>
      <c r="JT746" s="1"/>
      <c r="KW746" s="1"/>
      <c r="KY746" s="1"/>
      <c r="KZ746" s="1"/>
      <c r="LA746" s="1"/>
      <c r="LB746" s="1"/>
      <c r="LC746" s="1"/>
      <c r="LD746" s="1"/>
      <c r="LO746" s="1"/>
      <c r="LP746" s="1"/>
      <c r="LZ746" s="1"/>
      <c r="MA746" s="1"/>
    </row>
    <row r="747" spans="4:339" ht="13" x14ac:dyDescent="0.15">
      <c r="D747" s="12"/>
      <c r="E747" s="12"/>
      <c r="I747" s="12"/>
      <c r="J747" s="13"/>
      <c r="BF747" s="1"/>
      <c r="BG747" s="1"/>
      <c r="BH747" s="1"/>
      <c r="BI747" s="1"/>
      <c r="BJ747" s="1"/>
      <c r="BK747" s="1"/>
      <c r="BL747" s="1"/>
      <c r="BM747" s="1"/>
      <c r="BN747" s="1"/>
      <c r="BO747" s="1"/>
      <c r="BP747" s="1"/>
      <c r="BQ747" s="1"/>
      <c r="BR747" s="1"/>
      <c r="CD747" s="1"/>
      <c r="CE747" s="1"/>
      <c r="CF747" s="1"/>
      <c r="CG747" s="1"/>
      <c r="CH747" s="1"/>
      <c r="CI747" s="1"/>
      <c r="CJ747" s="1"/>
      <c r="CK747" s="1"/>
      <c r="CM747" s="2"/>
      <c r="CN747" s="1"/>
      <c r="CO747" s="1"/>
      <c r="CP747" s="1"/>
      <c r="CQ747" s="1"/>
      <c r="CR747" s="1"/>
      <c r="CS747" s="1"/>
      <c r="CT747" s="1"/>
      <c r="CU747" s="1"/>
      <c r="CV747" s="1"/>
      <c r="CW747" s="1"/>
      <c r="CX747" s="1"/>
      <c r="CY747" s="1"/>
      <c r="CZ747" s="1"/>
      <c r="DA747" s="1"/>
      <c r="DB747" s="1"/>
      <c r="DC747" s="1"/>
      <c r="DD747" s="1"/>
      <c r="DE747" s="1"/>
      <c r="DF747" s="1"/>
      <c r="DG747" s="1"/>
      <c r="DH747" s="1"/>
      <c r="DI747" s="1"/>
      <c r="DJ747" s="1"/>
      <c r="DK747" s="1"/>
      <c r="DL747" s="1"/>
      <c r="DM747" s="1"/>
      <c r="DQ747" s="1"/>
      <c r="DR747" s="1"/>
      <c r="DY747" s="1"/>
      <c r="DZ747" s="1"/>
      <c r="ED747" s="1"/>
      <c r="EE747" s="1"/>
      <c r="EF747" s="1"/>
      <c r="EG747" s="1"/>
      <c r="EH747" s="1"/>
      <c r="EK747" s="1"/>
      <c r="EL747" s="1"/>
      <c r="EM747" s="1"/>
      <c r="EN747" s="1"/>
      <c r="EQ747" s="1"/>
      <c r="ER747" s="1"/>
      <c r="ES747" s="1"/>
      <c r="EV747" s="1"/>
      <c r="EW747" s="1"/>
      <c r="EY747" s="1"/>
      <c r="EZ747" s="1"/>
      <c r="FA747" s="1"/>
      <c r="FD747" s="1"/>
      <c r="FG747" s="1"/>
      <c r="FH747" s="1"/>
      <c r="FI747" s="1"/>
      <c r="FJ747" s="1"/>
      <c r="FM747" s="1"/>
      <c r="FN747" s="1"/>
      <c r="FO747" s="1"/>
      <c r="FP747" s="1"/>
      <c r="FQ747" s="1"/>
      <c r="FR747" s="1"/>
      <c r="FS747" s="1"/>
      <c r="FT747" s="1"/>
      <c r="FU747" s="1"/>
      <c r="FV747" s="1"/>
      <c r="FW747" s="1"/>
      <c r="FX747" s="1"/>
      <c r="FY747" s="1"/>
      <c r="FZ747" s="1"/>
      <c r="GA747" s="1"/>
      <c r="GB747" s="1"/>
      <c r="GD747" s="1"/>
      <c r="GE747" s="1"/>
      <c r="GF747" s="1"/>
      <c r="GG747" s="1"/>
      <c r="GH747" s="1"/>
      <c r="GI747" s="1"/>
      <c r="GJ747" s="1"/>
      <c r="GK747" s="1"/>
      <c r="GL747" s="1"/>
      <c r="GM747" s="1"/>
      <c r="GN747" s="1"/>
      <c r="GO747" s="1"/>
      <c r="GP747" s="1"/>
      <c r="GR747" s="1"/>
      <c r="GY747" s="1"/>
      <c r="HF747" s="1"/>
      <c r="HH747" s="1"/>
      <c r="HN747" s="1"/>
      <c r="HQ747" s="1"/>
      <c r="HT747" s="1"/>
      <c r="HX747" s="1"/>
      <c r="HY747" s="1"/>
      <c r="IC747" s="1"/>
      <c r="IE747" s="1"/>
      <c r="IG747" s="1"/>
      <c r="IJ747" s="1"/>
      <c r="IR747" s="1"/>
      <c r="IS747" s="1"/>
      <c r="IZ747" s="1"/>
      <c r="JC747" s="1"/>
      <c r="JF747" s="1"/>
      <c r="JG747" s="1"/>
      <c r="JH747" s="1"/>
      <c r="JJ747" s="1"/>
      <c r="JK747" s="1"/>
      <c r="JL747" s="3"/>
      <c r="JM747" s="1"/>
      <c r="JN747" s="1"/>
      <c r="JP747" s="1"/>
      <c r="JQ747" s="1"/>
      <c r="JR747" s="1"/>
      <c r="JT747" s="1"/>
      <c r="KW747" s="1"/>
      <c r="KY747" s="1"/>
      <c r="KZ747" s="1"/>
      <c r="LA747" s="1"/>
      <c r="LB747" s="1"/>
      <c r="LC747" s="1"/>
      <c r="LD747" s="1"/>
      <c r="LO747" s="1"/>
      <c r="LP747" s="1"/>
      <c r="LZ747" s="1"/>
      <c r="MA747" s="1"/>
    </row>
    <row r="748" spans="4:339" ht="13" x14ac:dyDescent="0.15">
      <c r="D748" s="12"/>
      <c r="E748" s="12"/>
      <c r="I748" s="12"/>
      <c r="J748" s="13"/>
      <c r="BF748" s="1"/>
      <c r="BG748" s="1"/>
      <c r="BH748" s="1"/>
      <c r="BI748" s="1"/>
      <c r="BJ748" s="1"/>
      <c r="BK748" s="1"/>
      <c r="BL748" s="1"/>
      <c r="BM748" s="1"/>
      <c r="BN748" s="1"/>
      <c r="BO748" s="1"/>
      <c r="BP748" s="1"/>
      <c r="BQ748" s="1"/>
      <c r="BR748" s="1"/>
      <c r="CD748" s="1"/>
      <c r="CE748" s="1"/>
      <c r="CF748" s="1"/>
      <c r="CG748" s="1"/>
      <c r="CH748" s="1"/>
      <c r="CI748" s="1"/>
      <c r="CJ748" s="1"/>
      <c r="CK748" s="1"/>
      <c r="CM748" s="2"/>
      <c r="CN748" s="1"/>
      <c r="CO748" s="1"/>
      <c r="CP748" s="1"/>
      <c r="CQ748" s="1"/>
      <c r="CR748" s="1"/>
      <c r="CS748" s="1"/>
      <c r="CT748" s="1"/>
      <c r="CU748" s="1"/>
      <c r="CV748" s="1"/>
      <c r="CW748" s="1"/>
      <c r="CX748" s="1"/>
      <c r="CY748" s="1"/>
      <c r="CZ748" s="1"/>
      <c r="DA748" s="1"/>
      <c r="DB748" s="1"/>
      <c r="DC748" s="1"/>
      <c r="DD748" s="1"/>
      <c r="DE748" s="1"/>
      <c r="DF748" s="1"/>
      <c r="DG748" s="1"/>
      <c r="DH748" s="1"/>
      <c r="DI748" s="1"/>
      <c r="DJ748" s="1"/>
      <c r="DK748" s="1"/>
      <c r="DL748" s="1"/>
      <c r="DM748" s="1"/>
      <c r="DQ748" s="1"/>
      <c r="DR748" s="1"/>
      <c r="DY748" s="1"/>
      <c r="DZ748" s="1"/>
      <c r="ED748" s="1"/>
      <c r="EE748" s="1"/>
      <c r="EF748" s="1"/>
      <c r="EG748" s="1"/>
      <c r="EH748" s="1"/>
      <c r="EK748" s="1"/>
      <c r="EL748" s="1"/>
      <c r="EM748" s="1"/>
      <c r="EN748" s="1"/>
      <c r="EQ748" s="1"/>
      <c r="ER748" s="1"/>
      <c r="ES748" s="1"/>
      <c r="EV748" s="1"/>
      <c r="EW748" s="1"/>
      <c r="EY748" s="1"/>
      <c r="EZ748" s="1"/>
      <c r="FA748" s="1"/>
      <c r="FD748" s="1"/>
      <c r="FG748" s="1"/>
      <c r="FH748" s="1"/>
      <c r="FI748" s="1"/>
      <c r="FJ748" s="1"/>
      <c r="FM748" s="1"/>
      <c r="FN748" s="1"/>
      <c r="FO748" s="1"/>
      <c r="FP748" s="1"/>
      <c r="FQ748" s="1"/>
      <c r="FR748" s="1"/>
      <c r="FS748" s="1"/>
      <c r="FT748" s="1"/>
      <c r="FU748" s="1"/>
      <c r="FV748" s="1"/>
      <c r="FW748" s="1"/>
      <c r="FX748" s="1"/>
      <c r="FY748" s="1"/>
      <c r="FZ748" s="1"/>
      <c r="GA748" s="1"/>
      <c r="GB748" s="1"/>
      <c r="GD748" s="1"/>
      <c r="GE748" s="1"/>
      <c r="GF748" s="1"/>
      <c r="GG748" s="1"/>
      <c r="GH748" s="1"/>
      <c r="GI748" s="1"/>
      <c r="GJ748" s="1"/>
      <c r="GK748" s="1"/>
      <c r="GL748" s="1"/>
      <c r="GM748" s="1"/>
      <c r="GN748" s="1"/>
      <c r="GO748" s="1"/>
      <c r="GP748" s="1"/>
      <c r="GR748" s="1"/>
      <c r="GY748" s="1"/>
      <c r="HF748" s="1"/>
      <c r="HH748" s="1"/>
      <c r="HN748" s="1"/>
      <c r="HQ748" s="1"/>
      <c r="HT748" s="1"/>
      <c r="HX748" s="1"/>
      <c r="HY748" s="1"/>
      <c r="IC748" s="1"/>
      <c r="IE748" s="1"/>
      <c r="IG748" s="1"/>
      <c r="IJ748" s="1"/>
      <c r="IR748" s="1"/>
      <c r="IS748" s="1"/>
      <c r="IZ748" s="1"/>
      <c r="JC748" s="1"/>
      <c r="JF748" s="1"/>
      <c r="JG748" s="1"/>
      <c r="JH748" s="1"/>
      <c r="JJ748" s="1"/>
      <c r="JK748" s="1"/>
      <c r="JL748" s="3"/>
      <c r="JM748" s="1"/>
      <c r="JN748" s="1"/>
      <c r="JP748" s="1"/>
      <c r="JQ748" s="1"/>
      <c r="JR748" s="1"/>
      <c r="JT748" s="1"/>
      <c r="KW748" s="1"/>
      <c r="KY748" s="1"/>
      <c r="KZ748" s="1"/>
      <c r="LA748" s="1"/>
      <c r="LB748" s="1"/>
      <c r="LC748" s="1"/>
      <c r="LD748" s="1"/>
      <c r="LO748" s="1"/>
      <c r="LP748" s="1"/>
      <c r="LZ748" s="1"/>
      <c r="MA748" s="1"/>
    </row>
    <row r="749" spans="4:339" ht="13" x14ac:dyDescent="0.15">
      <c r="D749" s="12"/>
      <c r="E749" s="12"/>
      <c r="I749" s="12"/>
      <c r="J749" s="13"/>
      <c r="BF749" s="1"/>
      <c r="BG749" s="1"/>
      <c r="BH749" s="1"/>
      <c r="BI749" s="1"/>
      <c r="BJ749" s="1"/>
      <c r="BK749" s="1"/>
      <c r="BL749" s="1"/>
      <c r="BM749" s="1"/>
      <c r="BN749" s="1"/>
      <c r="BO749" s="1"/>
      <c r="BP749" s="1"/>
      <c r="BQ749" s="1"/>
      <c r="BR749" s="1"/>
      <c r="CD749" s="1"/>
      <c r="CE749" s="1"/>
      <c r="CF749" s="1"/>
      <c r="CG749" s="1"/>
      <c r="CH749" s="1"/>
      <c r="CI749" s="1"/>
      <c r="CJ749" s="1"/>
      <c r="CK749" s="1"/>
      <c r="CM749" s="2"/>
      <c r="CN749" s="1"/>
      <c r="CO749" s="1"/>
      <c r="CP749" s="1"/>
      <c r="CQ749" s="1"/>
      <c r="CR749" s="1"/>
      <c r="CS749" s="1"/>
      <c r="CT749" s="1"/>
      <c r="CU749" s="1"/>
      <c r="CV749" s="1"/>
      <c r="CW749" s="1"/>
      <c r="CX749" s="1"/>
      <c r="CY749" s="1"/>
      <c r="CZ749" s="1"/>
      <c r="DA749" s="1"/>
      <c r="DB749" s="1"/>
      <c r="DC749" s="1"/>
      <c r="DD749" s="1"/>
      <c r="DE749" s="1"/>
      <c r="DF749" s="1"/>
      <c r="DG749" s="1"/>
      <c r="DH749" s="1"/>
      <c r="DI749" s="1"/>
      <c r="DJ749" s="1"/>
      <c r="DK749" s="1"/>
      <c r="DL749" s="1"/>
      <c r="DM749" s="1"/>
      <c r="DQ749" s="1"/>
      <c r="DR749" s="1"/>
      <c r="DY749" s="1"/>
      <c r="DZ749" s="1"/>
      <c r="ED749" s="1"/>
      <c r="EE749" s="1"/>
      <c r="EF749" s="1"/>
      <c r="EG749" s="1"/>
      <c r="EH749" s="1"/>
      <c r="EK749" s="1"/>
      <c r="EL749" s="1"/>
      <c r="EM749" s="1"/>
      <c r="EN749" s="1"/>
      <c r="EQ749" s="1"/>
      <c r="ER749" s="1"/>
      <c r="ES749" s="1"/>
      <c r="EV749" s="1"/>
      <c r="EW749" s="1"/>
      <c r="EY749" s="1"/>
      <c r="EZ749" s="1"/>
      <c r="FA749" s="1"/>
      <c r="FD749" s="1"/>
      <c r="FG749" s="1"/>
      <c r="FH749" s="1"/>
      <c r="FI749" s="1"/>
      <c r="FJ749" s="1"/>
      <c r="FM749" s="1"/>
      <c r="FN749" s="1"/>
      <c r="FO749" s="1"/>
      <c r="FP749" s="1"/>
      <c r="FQ749" s="1"/>
      <c r="FR749" s="1"/>
      <c r="FS749" s="1"/>
      <c r="FT749" s="1"/>
      <c r="FU749" s="1"/>
      <c r="FV749" s="1"/>
      <c r="FW749" s="1"/>
      <c r="FX749" s="1"/>
      <c r="FY749" s="1"/>
      <c r="FZ749" s="1"/>
      <c r="GA749" s="1"/>
      <c r="GB749" s="1"/>
      <c r="GD749" s="1"/>
      <c r="GE749" s="1"/>
      <c r="GF749" s="1"/>
      <c r="GG749" s="1"/>
      <c r="GH749" s="1"/>
      <c r="GI749" s="1"/>
      <c r="GJ749" s="1"/>
      <c r="GK749" s="1"/>
      <c r="GL749" s="1"/>
      <c r="GM749" s="1"/>
      <c r="GN749" s="1"/>
      <c r="GO749" s="1"/>
      <c r="GP749" s="1"/>
      <c r="GR749" s="1"/>
      <c r="GY749" s="1"/>
      <c r="HF749" s="1"/>
      <c r="HH749" s="1"/>
      <c r="HN749" s="1"/>
      <c r="HQ749" s="1"/>
      <c r="HT749" s="1"/>
      <c r="HX749" s="1"/>
      <c r="HY749" s="1"/>
      <c r="IC749" s="1"/>
      <c r="IE749" s="1"/>
      <c r="IG749" s="1"/>
      <c r="IJ749" s="1"/>
      <c r="IR749" s="1"/>
      <c r="IS749" s="1"/>
      <c r="IZ749" s="1"/>
      <c r="JC749" s="1"/>
      <c r="JF749" s="1"/>
      <c r="JG749" s="1"/>
      <c r="JH749" s="1"/>
      <c r="JJ749" s="1"/>
      <c r="JK749" s="1"/>
      <c r="JL749" s="3"/>
      <c r="JM749" s="1"/>
      <c r="JN749" s="1"/>
      <c r="JP749" s="1"/>
      <c r="JQ749" s="1"/>
      <c r="JR749" s="1"/>
      <c r="JT749" s="1"/>
      <c r="KW749" s="1"/>
      <c r="KY749" s="1"/>
      <c r="KZ749" s="1"/>
      <c r="LA749" s="1"/>
      <c r="LB749" s="1"/>
      <c r="LC749" s="1"/>
      <c r="LD749" s="1"/>
      <c r="LO749" s="1"/>
      <c r="LP749" s="1"/>
      <c r="LZ749" s="1"/>
      <c r="MA749" s="1"/>
    </row>
    <row r="750" spans="4:339" ht="13" x14ac:dyDescent="0.15">
      <c r="D750" s="12"/>
      <c r="E750" s="12"/>
      <c r="I750" s="12"/>
      <c r="J750" s="13"/>
      <c r="BF750" s="1"/>
      <c r="BG750" s="1"/>
      <c r="BH750" s="1"/>
      <c r="BI750" s="1"/>
      <c r="BJ750" s="1"/>
      <c r="BK750" s="1"/>
      <c r="BL750" s="1"/>
      <c r="BM750" s="1"/>
      <c r="BN750" s="1"/>
      <c r="BO750" s="1"/>
      <c r="BP750" s="1"/>
      <c r="BQ750" s="1"/>
      <c r="BR750" s="1"/>
      <c r="CD750" s="1"/>
      <c r="CE750" s="1"/>
      <c r="CF750" s="1"/>
      <c r="CG750" s="1"/>
      <c r="CH750" s="1"/>
      <c r="CI750" s="1"/>
      <c r="CJ750" s="1"/>
      <c r="CK750" s="1"/>
      <c r="CM750" s="2"/>
      <c r="CN750" s="1"/>
      <c r="CO750" s="1"/>
      <c r="CP750" s="1"/>
      <c r="CQ750" s="1"/>
      <c r="CR750" s="1"/>
      <c r="CS750" s="1"/>
      <c r="CT750" s="1"/>
      <c r="CU750" s="1"/>
      <c r="CV750" s="1"/>
      <c r="CW750" s="1"/>
      <c r="CX750" s="1"/>
      <c r="CY750" s="1"/>
      <c r="CZ750" s="1"/>
      <c r="DA750" s="1"/>
      <c r="DB750" s="1"/>
      <c r="DC750" s="1"/>
      <c r="DD750" s="1"/>
      <c r="DE750" s="1"/>
      <c r="DF750" s="1"/>
      <c r="DG750" s="1"/>
      <c r="DH750" s="1"/>
      <c r="DI750" s="1"/>
      <c r="DJ750" s="1"/>
      <c r="DK750" s="1"/>
      <c r="DL750" s="1"/>
      <c r="DM750" s="1"/>
      <c r="DQ750" s="1"/>
      <c r="DR750" s="1"/>
      <c r="DY750" s="1"/>
      <c r="DZ750" s="1"/>
      <c r="ED750" s="1"/>
      <c r="EE750" s="1"/>
      <c r="EF750" s="1"/>
      <c r="EG750" s="1"/>
      <c r="EH750" s="1"/>
      <c r="EK750" s="1"/>
      <c r="EL750" s="1"/>
      <c r="EM750" s="1"/>
      <c r="EN750" s="1"/>
      <c r="EQ750" s="1"/>
      <c r="ER750" s="1"/>
      <c r="ES750" s="1"/>
      <c r="EV750" s="1"/>
      <c r="EW750" s="1"/>
      <c r="EY750" s="1"/>
      <c r="EZ750" s="1"/>
      <c r="FA750" s="1"/>
      <c r="FD750" s="1"/>
      <c r="FG750" s="1"/>
      <c r="FH750" s="1"/>
      <c r="FI750" s="1"/>
      <c r="FJ750" s="1"/>
      <c r="FM750" s="1"/>
      <c r="FN750" s="1"/>
      <c r="FO750" s="1"/>
      <c r="FP750" s="1"/>
      <c r="FQ750" s="1"/>
      <c r="FR750" s="1"/>
      <c r="FS750" s="1"/>
      <c r="FT750" s="1"/>
      <c r="FU750" s="1"/>
      <c r="FV750" s="1"/>
      <c r="FW750" s="1"/>
      <c r="FX750" s="1"/>
      <c r="FY750" s="1"/>
      <c r="FZ750" s="1"/>
      <c r="GA750" s="1"/>
      <c r="GB750" s="1"/>
      <c r="GD750" s="1"/>
      <c r="GE750" s="1"/>
      <c r="GF750" s="1"/>
      <c r="GG750" s="1"/>
      <c r="GH750" s="1"/>
      <c r="GI750" s="1"/>
      <c r="GJ750" s="1"/>
      <c r="GK750" s="1"/>
      <c r="GL750" s="1"/>
      <c r="GM750" s="1"/>
      <c r="GN750" s="1"/>
      <c r="GO750" s="1"/>
      <c r="GP750" s="1"/>
      <c r="GR750" s="1"/>
      <c r="GY750" s="1"/>
      <c r="HF750" s="1"/>
      <c r="HH750" s="1"/>
      <c r="HN750" s="1"/>
      <c r="HQ750" s="1"/>
      <c r="HT750" s="1"/>
      <c r="HX750" s="1"/>
      <c r="HY750" s="1"/>
      <c r="IC750" s="1"/>
      <c r="IE750" s="1"/>
      <c r="IG750" s="1"/>
      <c r="IJ750" s="1"/>
      <c r="IR750" s="1"/>
      <c r="IS750" s="1"/>
      <c r="IZ750" s="1"/>
      <c r="JC750" s="1"/>
      <c r="JF750" s="1"/>
      <c r="JG750" s="1"/>
      <c r="JH750" s="1"/>
      <c r="JJ750" s="1"/>
      <c r="JK750" s="1"/>
      <c r="JL750" s="3"/>
      <c r="JM750" s="1"/>
      <c r="JN750" s="1"/>
      <c r="JP750" s="1"/>
      <c r="JQ750" s="1"/>
      <c r="JR750" s="1"/>
      <c r="JT750" s="1"/>
      <c r="KW750" s="1"/>
      <c r="KY750" s="1"/>
      <c r="KZ750" s="1"/>
      <c r="LA750" s="1"/>
      <c r="LB750" s="1"/>
      <c r="LC750" s="1"/>
      <c r="LD750" s="1"/>
      <c r="LO750" s="1"/>
      <c r="LP750" s="1"/>
      <c r="LZ750" s="1"/>
      <c r="MA750" s="1"/>
    </row>
    <row r="751" spans="4:339" ht="13" x14ac:dyDescent="0.15">
      <c r="D751" s="12"/>
      <c r="E751" s="12"/>
      <c r="I751" s="12"/>
      <c r="J751" s="13"/>
      <c r="BF751" s="1"/>
      <c r="BG751" s="1"/>
      <c r="BH751" s="1"/>
      <c r="BI751" s="1"/>
      <c r="BJ751" s="1"/>
      <c r="BK751" s="1"/>
      <c r="BL751" s="1"/>
      <c r="BM751" s="1"/>
      <c r="BN751" s="1"/>
      <c r="BO751" s="1"/>
      <c r="BP751" s="1"/>
      <c r="BQ751" s="1"/>
      <c r="BR751" s="1"/>
      <c r="CD751" s="1"/>
      <c r="CE751" s="1"/>
      <c r="CF751" s="1"/>
      <c r="CG751" s="1"/>
      <c r="CH751" s="1"/>
      <c r="CI751" s="1"/>
      <c r="CJ751" s="1"/>
      <c r="CK751" s="1"/>
      <c r="CM751" s="2"/>
      <c r="CN751" s="1"/>
      <c r="CO751" s="1"/>
      <c r="CP751" s="1"/>
      <c r="CQ751" s="1"/>
      <c r="CR751" s="1"/>
      <c r="CS751" s="1"/>
      <c r="CT751" s="1"/>
      <c r="CU751" s="1"/>
      <c r="CV751" s="1"/>
      <c r="CW751" s="1"/>
      <c r="CX751" s="1"/>
      <c r="CY751" s="1"/>
      <c r="CZ751" s="1"/>
      <c r="DA751" s="1"/>
      <c r="DB751" s="1"/>
      <c r="DC751" s="1"/>
      <c r="DD751" s="1"/>
      <c r="DE751" s="1"/>
      <c r="DF751" s="1"/>
      <c r="DG751" s="1"/>
      <c r="DH751" s="1"/>
      <c r="DI751" s="1"/>
      <c r="DJ751" s="1"/>
      <c r="DK751" s="1"/>
      <c r="DL751" s="1"/>
      <c r="DM751" s="1"/>
      <c r="DQ751" s="1"/>
      <c r="DR751" s="1"/>
      <c r="DY751" s="1"/>
      <c r="DZ751" s="1"/>
      <c r="ED751" s="1"/>
      <c r="EE751" s="1"/>
      <c r="EF751" s="1"/>
      <c r="EG751" s="1"/>
      <c r="EH751" s="1"/>
      <c r="EK751" s="1"/>
      <c r="EL751" s="1"/>
      <c r="EM751" s="1"/>
      <c r="EN751" s="1"/>
      <c r="EQ751" s="1"/>
      <c r="ER751" s="1"/>
      <c r="ES751" s="1"/>
      <c r="EV751" s="1"/>
      <c r="EW751" s="1"/>
      <c r="EY751" s="1"/>
      <c r="EZ751" s="1"/>
      <c r="FA751" s="1"/>
      <c r="FD751" s="1"/>
      <c r="FG751" s="1"/>
      <c r="FH751" s="1"/>
      <c r="FI751" s="1"/>
      <c r="FJ751" s="1"/>
      <c r="FM751" s="1"/>
      <c r="FN751" s="1"/>
      <c r="FO751" s="1"/>
      <c r="FP751" s="1"/>
      <c r="FQ751" s="1"/>
      <c r="FR751" s="1"/>
      <c r="FS751" s="1"/>
      <c r="FT751" s="1"/>
      <c r="FU751" s="1"/>
      <c r="FV751" s="1"/>
      <c r="FW751" s="1"/>
      <c r="FX751" s="1"/>
      <c r="FY751" s="1"/>
      <c r="FZ751" s="1"/>
      <c r="GA751" s="1"/>
      <c r="GB751" s="1"/>
      <c r="GD751" s="1"/>
      <c r="GE751" s="1"/>
      <c r="GF751" s="1"/>
      <c r="GG751" s="1"/>
      <c r="GH751" s="1"/>
      <c r="GI751" s="1"/>
      <c r="GJ751" s="1"/>
      <c r="GK751" s="1"/>
      <c r="GL751" s="1"/>
      <c r="GM751" s="1"/>
      <c r="GN751" s="1"/>
      <c r="GO751" s="1"/>
      <c r="GP751" s="1"/>
      <c r="GR751" s="1"/>
      <c r="GY751" s="1"/>
      <c r="HF751" s="1"/>
      <c r="HH751" s="1"/>
      <c r="HN751" s="1"/>
      <c r="HQ751" s="1"/>
      <c r="HT751" s="1"/>
      <c r="HX751" s="1"/>
      <c r="HY751" s="1"/>
      <c r="IC751" s="1"/>
      <c r="IE751" s="1"/>
      <c r="IG751" s="1"/>
      <c r="IJ751" s="1"/>
      <c r="IR751" s="1"/>
      <c r="IS751" s="1"/>
      <c r="IZ751" s="1"/>
      <c r="JC751" s="1"/>
      <c r="JF751" s="1"/>
      <c r="JG751" s="1"/>
      <c r="JH751" s="1"/>
      <c r="JJ751" s="1"/>
      <c r="JK751" s="1"/>
      <c r="JL751" s="3"/>
      <c r="JM751" s="1"/>
      <c r="JN751" s="1"/>
      <c r="JP751" s="1"/>
      <c r="JQ751" s="1"/>
      <c r="JR751" s="1"/>
      <c r="JT751" s="1"/>
      <c r="KW751" s="1"/>
      <c r="KY751" s="1"/>
      <c r="KZ751" s="1"/>
      <c r="LA751" s="1"/>
      <c r="LB751" s="1"/>
      <c r="LC751" s="1"/>
      <c r="LD751" s="1"/>
      <c r="LO751" s="1"/>
      <c r="LP751" s="1"/>
      <c r="LZ751" s="1"/>
      <c r="MA751" s="1"/>
    </row>
    <row r="752" spans="4:339" ht="13" x14ac:dyDescent="0.15">
      <c r="D752" s="12"/>
      <c r="E752" s="12"/>
      <c r="I752" s="12"/>
      <c r="J752" s="13"/>
      <c r="BF752" s="1"/>
      <c r="BG752" s="1"/>
      <c r="BH752" s="1"/>
      <c r="BI752" s="1"/>
      <c r="BJ752" s="1"/>
      <c r="BK752" s="1"/>
      <c r="BL752" s="1"/>
      <c r="BM752" s="1"/>
      <c r="BN752" s="1"/>
      <c r="BO752" s="1"/>
      <c r="BP752" s="1"/>
      <c r="BQ752" s="1"/>
      <c r="BR752" s="1"/>
      <c r="CD752" s="1"/>
      <c r="CE752" s="1"/>
      <c r="CF752" s="1"/>
      <c r="CG752" s="1"/>
      <c r="CH752" s="1"/>
      <c r="CI752" s="1"/>
      <c r="CJ752" s="1"/>
      <c r="CK752" s="1"/>
      <c r="CM752" s="2"/>
      <c r="CN752" s="1"/>
      <c r="CO752" s="1"/>
      <c r="CP752" s="1"/>
      <c r="CQ752" s="1"/>
      <c r="CR752" s="1"/>
      <c r="CS752" s="1"/>
      <c r="CT752" s="1"/>
      <c r="CU752" s="1"/>
      <c r="CV752" s="1"/>
      <c r="CW752" s="1"/>
      <c r="CX752" s="1"/>
      <c r="CY752" s="1"/>
      <c r="CZ752" s="1"/>
      <c r="DA752" s="1"/>
      <c r="DB752" s="1"/>
      <c r="DC752" s="1"/>
      <c r="DD752" s="1"/>
      <c r="DE752" s="1"/>
      <c r="DF752" s="1"/>
      <c r="DG752" s="1"/>
      <c r="DH752" s="1"/>
      <c r="DI752" s="1"/>
      <c r="DJ752" s="1"/>
      <c r="DK752" s="1"/>
      <c r="DL752" s="1"/>
      <c r="DM752" s="1"/>
      <c r="DQ752" s="1"/>
      <c r="DR752" s="1"/>
      <c r="DY752" s="1"/>
      <c r="DZ752" s="1"/>
      <c r="ED752" s="1"/>
      <c r="EE752" s="1"/>
      <c r="EF752" s="1"/>
      <c r="EG752" s="1"/>
      <c r="EH752" s="1"/>
      <c r="EK752" s="1"/>
      <c r="EL752" s="1"/>
      <c r="EM752" s="1"/>
      <c r="EN752" s="1"/>
      <c r="EQ752" s="1"/>
      <c r="ER752" s="1"/>
      <c r="ES752" s="1"/>
      <c r="EV752" s="1"/>
      <c r="EW752" s="1"/>
      <c r="EY752" s="1"/>
      <c r="EZ752" s="1"/>
      <c r="FA752" s="1"/>
      <c r="FD752" s="1"/>
      <c r="FG752" s="1"/>
      <c r="FH752" s="1"/>
      <c r="FI752" s="1"/>
      <c r="FJ752" s="1"/>
      <c r="FM752" s="1"/>
      <c r="FN752" s="1"/>
      <c r="FO752" s="1"/>
      <c r="FP752" s="1"/>
      <c r="FQ752" s="1"/>
      <c r="FR752" s="1"/>
      <c r="FS752" s="1"/>
      <c r="FT752" s="1"/>
      <c r="FU752" s="1"/>
      <c r="FV752" s="1"/>
      <c r="FW752" s="1"/>
      <c r="FX752" s="1"/>
      <c r="FY752" s="1"/>
      <c r="FZ752" s="1"/>
      <c r="GA752" s="1"/>
      <c r="GB752" s="1"/>
      <c r="GD752" s="1"/>
      <c r="GE752" s="1"/>
      <c r="GF752" s="1"/>
      <c r="GG752" s="1"/>
      <c r="GH752" s="1"/>
      <c r="GI752" s="1"/>
      <c r="GJ752" s="1"/>
      <c r="GK752" s="1"/>
      <c r="GL752" s="1"/>
      <c r="GM752" s="1"/>
      <c r="GN752" s="1"/>
      <c r="GO752" s="1"/>
      <c r="GP752" s="1"/>
      <c r="GR752" s="1"/>
      <c r="GY752" s="1"/>
      <c r="HF752" s="1"/>
      <c r="HH752" s="1"/>
      <c r="HN752" s="1"/>
      <c r="HQ752" s="1"/>
      <c r="HT752" s="1"/>
      <c r="HX752" s="1"/>
      <c r="HY752" s="1"/>
      <c r="IC752" s="1"/>
      <c r="IE752" s="1"/>
      <c r="IG752" s="1"/>
      <c r="IJ752" s="1"/>
      <c r="IR752" s="1"/>
      <c r="IS752" s="1"/>
      <c r="IZ752" s="1"/>
      <c r="JC752" s="1"/>
      <c r="JF752" s="1"/>
      <c r="JG752" s="1"/>
      <c r="JH752" s="1"/>
      <c r="JJ752" s="1"/>
      <c r="JK752" s="1"/>
      <c r="JL752" s="3"/>
      <c r="JM752" s="1"/>
      <c r="JN752" s="1"/>
      <c r="JP752" s="1"/>
      <c r="JQ752" s="1"/>
      <c r="JR752" s="1"/>
      <c r="JT752" s="1"/>
      <c r="KW752" s="1"/>
      <c r="KY752" s="1"/>
      <c r="KZ752" s="1"/>
      <c r="LA752" s="1"/>
      <c r="LB752" s="1"/>
      <c r="LC752" s="1"/>
      <c r="LD752" s="1"/>
      <c r="LO752" s="1"/>
      <c r="LP752" s="1"/>
      <c r="LZ752" s="1"/>
      <c r="MA752" s="1"/>
    </row>
    <row r="753" spans="4:339" ht="13" x14ac:dyDescent="0.15">
      <c r="D753" s="12"/>
      <c r="E753" s="12"/>
      <c r="I753" s="12"/>
      <c r="J753" s="13"/>
      <c r="BF753" s="1"/>
      <c r="BG753" s="1"/>
      <c r="BH753" s="1"/>
      <c r="BI753" s="1"/>
      <c r="BJ753" s="1"/>
      <c r="BK753" s="1"/>
      <c r="BL753" s="1"/>
      <c r="BM753" s="1"/>
      <c r="BN753" s="1"/>
      <c r="BO753" s="1"/>
      <c r="BP753" s="1"/>
      <c r="BQ753" s="1"/>
      <c r="BR753" s="1"/>
      <c r="CD753" s="1"/>
      <c r="CE753" s="1"/>
      <c r="CF753" s="1"/>
      <c r="CG753" s="1"/>
      <c r="CH753" s="1"/>
      <c r="CI753" s="1"/>
      <c r="CM753" s="2"/>
      <c r="CN753" s="1"/>
      <c r="CO753" s="1"/>
      <c r="CP753" s="1"/>
      <c r="CQ753" s="1"/>
      <c r="CX753" s="1"/>
      <c r="CY753" s="1"/>
      <c r="CZ753" s="1"/>
      <c r="DA753" s="1"/>
      <c r="DB753" s="1"/>
      <c r="DC753" s="1"/>
      <c r="DD753" s="1"/>
      <c r="DE753" s="1"/>
      <c r="DF753" s="1"/>
      <c r="DG753" s="1"/>
      <c r="DH753" s="1"/>
      <c r="DI753" s="1"/>
      <c r="DJ753" s="1"/>
      <c r="DK753" s="1"/>
      <c r="ED753" s="1"/>
      <c r="EK753" s="1"/>
      <c r="EL753" s="1"/>
      <c r="EM753" s="1"/>
      <c r="EN753" s="1"/>
      <c r="EQ753" s="1"/>
      <c r="ER753" s="1"/>
      <c r="ES753" s="1"/>
      <c r="EV753" s="1"/>
      <c r="EW753" s="1"/>
      <c r="EZ753" s="1"/>
      <c r="FA753" s="1"/>
      <c r="FD753" s="1"/>
      <c r="FG753" s="1"/>
      <c r="FH753" s="1"/>
      <c r="FI753" s="1"/>
      <c r="FJ753" s="1"/>
      <c r="FK753" s="1"/>
      <c r="FL753" s="1"/>
      <c r="FM753" s="1"/>
      <c r="FN753" s="1"/>
      <c r="FO753" s="1"/>
      <c r="FP753" s="1"/>
      <c r="FQ753" s="1"/>
      <c r="FS753" s="1"/>
      <c r="FV753" s="1"/>
      <c r="FW753" s="1"/>
      <c r="FX753" s="1"/>
      <c r="FY753" s="1"/>
      <c r="FZ753" s="1"/>
      <c r="GA753" s="1"/>
      <c r="GB753" s="1"/>
      <c r="GD753" s="1"/>
      <c r="GE753" s="1"/>
      <c r="GF753" s="1"/>
      <c r="GG753" s="1"/>
      <c r="GH753" s="1"/>
      <c r="GI753" s="1"/>
      <c r="GJ753" s="1"/>
      <c r="GK753" s="1"/>
      <c r="GL753" s="1"/>
      <c r="GM753" s="1"/>
      <c r="GN753" s="1"/>
      <c r="GP753" s="1"/>
      <c r="GR753" s="1"/>
      <c r="GY753" s="1"/>
      <c r="HF753" s="1"/>
      <c r="HH753" s="1"/>
      <c r="HN753" s="1"/>
      <c r="HY753" s="1"/>
      <c r="IE753" s="1"/>
      <c r="IR753" s="1"/>
      <c r="IS753" s="1"/>
      <c r="IW753" s="1"/>
      <c r="IZ753" s="1"/>
      <c r="JA753" s="1"/>
      <c r="JG753" s="1"/>
      <c r="JJ753" s="1"/>
      <c r="JN753" s="1"/>
      <c r="JP753" s="1"/>
      <c r="JQ753" s="1"/>
      <c r="KU753" s="1"/>
      <c r="KV753" s="1"/>
      <c r="KY753" s="1"/>
      <c r="KZ753" s="1"/>
      <c r="LA753" s="1"/>
      <c r="LB753" s="1"/>
      <c r="LC753" s="1"/>
      <c r="LD753" s="1"/>
      <c r="LO753" s="1"/>
      <c r="LP753" s="1"/>
      <c r="LZ753" s="1"/>
      <c r="MA753" s="1"/>
    </row>
    <row r="754" spans="4:339" ht="13" x14ac:dyDescent="0.15">
      <c r="D754" s="12"/>
      <c r="E754" s="12"/>
      <c r="I754" s="12"/>
      <c r="J754" s="13"/>
      <c r="BF754" s="1"/>
      <c r="BG754" s="1"/>
      <c r="BH754" s="1"/>
      <c r="BI754" s="1"/>
      <c r="BJ754" s="1"/>
      <c r="BK754" s="1"/>
      <c r="BL754" s="1"/>
      <c r="BM754" s="1"/>
      <c r="BN754" s="1"/>
      <c r="BO754" s="1"/>
      <c r="BP754" s="1"/>
      <c r="BQ754" s="1"/>
      <c r="BR754" s="1"/>
      <c r="CD754" s="1"/>
      <c r="CE754" s="1"/>
      <c r="CF754" s="1"/>
      <c r="CG754" s="1"/>
      <c r="CH754" s="1"/>
      <c r="CI754" s="1"/>
      <c r="CM754" s="2"/>
      <c r="CN754" s="1"/>
      <c r="CO754" s="1"/>
      <c r="CP754" s="1"/>
      <c r="CQ754" s="1"/>
      <c r="CX754" s="1"/>
      <c r="CY754" s="1"/>
      <c r="CZ754" s="1"/>
      <c r="DA754" s="1"/>
      <c r="DB754" s="1"/>
      <c r="DC754" s="1"/>
      <c r="DD754" s="1"/>
      <c r="DE754" s="1"/>
      <c r="DF754" s="1"/>
      <c r="DG754" s="1"/>
      <c r="DH754" s="1"/>
      <c r="DI754" s="1"/>
      <c r="DJ754" s="1"/>
      <c r="DK754" s="1"/>
      <c r="ED754" s="1"/>
      <c r="EK754" s="1"/>
      <c r="EL754" s="1"/>
      <c r="EM754" s="1"/>
      <c r="EN754" s="1"/>
      <c r="EQ754" s="1"/>
      <c r="ER754" s="1"/>
      <c r="ES754" s="1"/>
      <c r="EV754" s="1"/>
      <c r="EW754" s="1"/>
      <c r="EZ754" s="1"/>
      <c r="FA754" s="1"/>
      <c r="FD754" s="1"/>
      <c r="FG754" s="1"/>
      <c r="FH754" s="1"/>
      <c r="FI754" s="1"/>
      <c r="FJ754" s="1"/>
      <c r="FK754" s="1"/>
      <c r="FL754" s="1"/>
      <c r="FM754" s="1"/>
      <c r="FN754" s="1"/>
      <c r="FO754" s="1"/>
      <c r="FP754" s="1"/>
      <c r="FQ754" s="1"/>
      <c r="FS754" s="1"/>
      <c r="FV754" s="1"/>
      <c r="FW754" s="1"/>
      <c r="FX754" s="1"/>
      <c r="FY754" s="1"/>
      <c r="FZ754" s="1"/>
      <c r="GA754" s="1"/>
      <c r="GB754" s="1"/>
      <c r="GD754" s="1"/>
      <c r="GE754" s="1"/>
      <c r="GF754" s="1"/>
      <c r="GG754" s="1"/>
      <c r="GH754" s="1"/>
      <c r="GI754" s="1"/>
      <c r="GJ754" s="1"/>
      <c r="GK754" s="1"/>
      <c r="GL754" s="1"/>
      <c r="GM754" s="1"/>
      <c r="GN754" s="1"/>
      <c r="GP754" s="1"/>
      <c r="GR754" s="1"/>
      <c r="GY754" s="1"/>
      <c r="HF754" s="1"/>
      <c r="HH754" s="1"/>
      <c r="HN754" s="1"/>
      <c r="HY754" s="1"/>
      <c r="IE754" s="1"/>
      <c r="IR754" s="1"/>
      <c r="IS754" s="1"/>
      <c r="IW754" s="1"/>
      <c r="IZ754" s="1"/>
      <c r="JA754" s="1"/>
      <c r="JG754" s="1"/>
      <c r="JJ754" s="1"/>
      <c r="JN754" s="1"/>
      <c r="JP754" s="1"/>
      <c r="JQ754" s="1"/>
      <c r="KU754" s="1"/>
      <c r="KV754" s="1"/>
      <c r="KY754" s="1"/>
      <c r="KZ754" s="1"/>
      <c r="LA754" s="1"/>
      <c r="LB754" s="1"/>
      <c r="LC754" s="1"/>
      <c r="LD754" s="1"/>
      <c r="LO754" s="1"/>
      <c r="LP754" s="1"/>
      <c r="LZ754" s="1"/>
      <c r="MA754" s="1"/>
    </row>
    <row r="755" spans="4:339" ht="13" x14ac:dyDescent="0.15">
      <c r="D755" s="12"/>
      <c r="E755" s="12"/>
      <c r="I755" s="12"/>
      <c r="J755" s="13"/>
      <c r="BF755" s="1"/>
      <c r="BG755" s="1"/>
      <c r="BH755" s="1"/>
      <c r="BI755" s="1"/>
      <c r="BJ755" s="1"/>
      <c r="BK755" s="1"/>
      <c r="BL755" s="1"/>
      <c r="BM755" s="1"/>
      <c r="BN755" s="1"/>
      <c r="BO755" s="1"/>
      <c r="BP755" s="1"/>
      <c r="BQ755" s="1"/>
      <c r="BR755" s="1"/>
      <c r="BX755" s="1"/>
      <c r="CD755" s="1"/>
      <c r="CE755" s="1"/>
      <c r="CF755" s="1"/>
      <c r="CG755" s="1"/>
      <c r="CH755" s="1"/>
      <c r="CI755" s="1"/>
      <c r="CM755" s="2"/>
      <c r="CN755" s="1"/>
      <c r="CO755" s="1"/>
      <c r="CP755" s="1"/>
      <c r="CQ755" s="1"/>
      <c r="CS755" s="1"/>
      <c r="CT755" s="1"/>
      <c r="CU755" s="1"/>
      <c r="CV755" s="1"/>
      <c r="CW755" s="1"/>
      <c r="CX755" s="1"/>
      <c r="CY755" s="1"/>
      <c r="CZ755" s="1"/>
      <c r="DA755" s="1"/>
      <c r="DB755" s="1"/>
      <c r="DC755" s="1"/>
      <c r="DD755" s="1"/>
      <c r="DE755" s="1"/>
      <c r="DF755" s="1"/>
      <c r="DG755" s="1"/>
      <c r="DH755" s="1"/>
      <c r="DI755" s="1"/>
      <c r="DJ755" s="1"/>
      <c r="DK755" s="1"/>
      <c r="DM755" s="1"/>
      <c r="DQ755" s="1"/>
      <c r="DR755" s="1"/>
      <c r="DY755" s="1"/>
      <c r="DZ755" s="1"/>
      <c r="ED755" s="1"/>
      <c r="EK755" s="1"/>
      <c r="EL755" s="1"/>
      <c r="EM755" s="1"/>
      <c r="EN755" s="1"/>
      <c r="EQ755" s="1"/>
      <c r="ER755" s="1"/>
      <c r="ES755" s="1"/>
      <c r="EV755" s="1"/>
      <c r="EW755" s="1"/>
      <c r="EZ755" s="1"/>
      <c r="FA755" s="1"/>
      <c r="FD755" s="1"/>
      <c r="FH755" s="1"/>
      <c r="FJ755" s="1"/>
      <c r="FK755" s="1"/>
      <c r="FM755" s="1"/>
      <c r="FN755" s="1"/>
      <c r="FO755" s="1"/>
      <c r="FQ755" s="1"/>
      <c r="FR755" s="1"/>
      <c r="FS755" s="1"/>
      <c r="FU755" s="1"/>
      <c r="FV755" s="1"/>
      <c r="FW755" s="1"/>
      <c r="GA755" s="1"/>
      <c r="GD755" s="1"/>
      <c r="GE755" s="1"/>
      <c r="GF755" s="1"/>
      <c r="GG755" s="1"/>
      <c r="GH755" s="1"/>
      <c r="GI755" s="1"/>
      <c r="GJ755" s="1"/>
      <c r="GK755" s="1"/>
      <c r="GL755" s="1"/>
      <c r="GM755" s="1"/>
      <c r="GN755" s="1"/>
      <c r="GO755" s="1"/>
      <c r="GP755" s="1"/>
      <c r="GR755" s="1"/>
      <c r="GY755" s="1"/>
      <c r="HF755" s="1"/>
      <c r="HH755" s="1"/>
      <c r="HN755" s="1"/>
      <c r="HQ755" s="1"/>
      <c r="HR755" s="1"/>
      <c r="HS755" s="1"/>
      <c r="HT755" s="1"/>
      <c r="HY755" s="1"/>
      <c r="ID755" s="1"/>
      <c r="IE755" s="1"/>
      <c r="IR755" s="1"/>
      <c r="IS755" s="1"/>
      <c r="IW755" s="1"/>
      <c r="IY755" s="1"/>
      <c r="IZ755" s="1"/>
      <c r="JA755" s="1"/>
      <c r="JC755" s="1"/>
      <c r="JF755" s="1"/>
      <c r="JG755" s="1"/>
      <c r="JH755" s="1"/>
      <c r="JJ755" s="1"/>
      <c r="JN755" s="1"/>
      <c r="JP755" s="1"/>
      <c r="JQ755" s="1"/>
      <c r="KV755" s="1"/>
      <c r="KY755" s="1"/>
      <c r="KZ755" s="1"/>
      <c r="LA755" s="1"/>
      <c r="LB755" s="1"/>
      <c r="LC755" s="1"/>
      <c r="LD755" s="1"/>
      <c r="LF755" s="1"/>
      <c r="LN755" s="1"/>
      <c r="LO755" s="1"/>
      <c r="LP755" s="1"/>
      <c r="LZ755" s="1"/>
      <c r="MA755" s="1"/>
    </row>
    <row r="756" spans="4:339" ht="13" x14ac:dyDescent="0.15">
      <c r="D756" s="12"/>
      <c r="E756" s="12"/>
      <c r="I756" s="12"/>
      <c r="J756" s="13"/>
      <c r="BF756" s="1"/>
      <c r="BG756" s="1"/>
      <c r="BH756" s="1"/>
      <c r="BI756" s="1"/>
      <c r="BJ756" s="1"/>
      <c r="BK756" s="1"/>
      <c r="BL756" s="1"/>
      <c r="BM756" s="1"/>
      <c r="BN756" s="1"/>
      <c r="BO756" s="1"/>
      <c r="BP756" s="1"/>
      <c r="BQ756" s="1"/>
      <c r="BR756" s="1"/>
      <c r="BX756" s="1"/>
      <c r="CD756" s="1"/>
      <c r="CE756" s="1"/>
      <c r="CF756" s="1"/>
      <c r="CG756" s="1"/>
      <c r="CH756" s="1"/>
      <c r="CI756" s="1"/>
      <c r="CM756" s="2"/>
      <c r="CN756" s="1"/>
      <c r="CO756" s="1"/>
      <c r="CP756" s="1"/>
      <c r="CQ756" s="1"/>
      <c r="CS756" s="1"/>
      <c r="CT756" s="1"/>
      <c r="CU756" s="1"/>
      <c r="CV756" s="1"/>
      <c r="CW756" s="1"/>
      <c r="CX756" s="1"/>
      <c r="CY756" s="1"/>
      <c r="CZ756" s="1"/>
      <c r="DA756" s="1"/>
      <c r="DB756" s="1"/>
      <c r="DC756" s="1"/>
      <c r="DD756" s="1"/>
      <c r="DE756" s="1"/>
      <c r="DF756" s="1"/>
      <c r="DG756" s="1"/>
      <c r="DH756" s="1"/>
      <c r="DI756" s="1"/>
      <c r="DJ756" s="1"/>
      <c r="DK756" s="1"/>
      <c r="DM756" s="1"/>
      <c r="DQ756" s="1"/>
      <c r="DR756" s="1"/>
      <c r="DY756" s="1"/>
      <c r="DZ756" s="1"/>
      <c r="ED756" s="1"/>
      <c r="EK756" s="1"/>
      <c r="EL756" s="1"/>
      <c r="EM756" s="1"/>
      <c r="EN756" s="1"/>
      <c r="EQ756" s="1"/>
      <c r="ER756" s="1"/>
      <c r="ES756" s="1"/>
      <c r="EV756" s="1"/>
      <c r="EW756" s="1"/>
      <c r="EZ756" s="1"/>
      <c r="FA756" s="1"/>
      <c r="FD756" s="1"/>
      <c r="FH756" s="1"/>
      <c r="FJ756" s="1"/>
      <c r="FK756" s="1"/>
      <c r="FM756" s="1"/>
      <c r="FN756" s="1"/>
      <c r="FO756" s="1"/>
      <c r="FQ756" s="1"/>
      <c r="FR756" s="1"/>
      <c r="FS756" s="1"/>
      <c r="FU756" s="1"/>
      <c r="FV756" s="1"/>
      <c r="FW756" s="1"/>
      <c r="GA756" s="1"/>
      <c r="GD756" s="1"/>
      <c r="GE756" s="1"/>
      <c r="GF756" s="1"/>
      <c r="GG756" s="1"/>
      <c r="GH756" s="1"/>
      <c r="GI756" s="1"/>
      <c r="GJ756" s="1"/>
      <c r="GK756" s="1"/>
      <c r="GL756" s="1"/>
      <c r="GM756" s="1"/>
      <c r="GN756" s="1"/>
      <c r="GO756" s="1"/>
      <c r="GP756" s="1"/>
      <c r="GR756" s="1"/>
      <c r="GY756" s="1"/>
      <c r="HF756" s="1"/>
      <c r="HH756" s="1"/>
      <c r="HN756" s="1"/>
      <c r="HQ756" s="1"/>
      <c r="HR756" s="1"/>
      <c r="HS756" s="1"/>
      <c r="HT756" s="1"/>
      <c r="HY756" s="1"/>
      <c r="ID756" s="1"/>
      <c r="IE756" s="1"/>
      <c r="IR756" s="1"/>
      <c r="IS756" s="1"/>
      <c r="IW756" s="1"/>
      <c r="IY756" s="1"/>
      <c r="IZ756" s="1"/>
      <c r="JA756" s="1"/>
      <c r="JC756" s="1"/>
      <c r="JF756" s="1"/>
      <c r="JG756" s="1"/>
      <c r="JH756" s="1"/>
      <c r="JJ756" s="1"/>
      <c r="JN756" s="1"/>
      <c r="JP756" s="1"/>
      <c r="JQ756" s="1"/>
      <c r="KV756" s="1"/>
      <c r="KY756" s="1"/>
      <c r="KZ756" s="1"/>
      <c r="LA756" s="1"/>
      <c r="LB756" s="1"/>
      <c r="LC756" s="1"/>
      <c r="LD756" s="1"/>
      <c r="LF756" s="1"/>
      <c r="LN756" s="1"/>
      <c r="LO756" s="1"/>
      <c r="LP756" s="1"/>
      <c r="LZ756" s="1"/>
      <c r="MA756" s="1"/>
    </row>
    <row r="757" spans="4:339" ht="13" x14ac:dyDescent="0.15">
      <c r="D757" s="12"/>
      <c r="E757" s="12"/>
      <c r="I757" s="12"/>
      <c r="J757" s="13"/>
      <c r="BF757" s="1"/>
      <c r="BG757" s="1"/>
      <c r="BH757" s="1"/>
      <c r="BI757" s="1"/>
      <c r="BK757" s="1"/>
      <c r="BL757" s="1"/>
      <c r="BM757" s="1"/>
      <c r="BN757" s="1"/>
      <c r="BO757" s="1"/>
      <c r="BP757" s="1"/>
      <c r="BQ757" s="1"/>
      <c r="BR757" s="1"/>
      <c r="CD757" s="1"/>
      <c r="CE757" s="1"/>
      <c r="CF757" s="1"/>
      <c r="CG757" s="1"/>
      <c r="CH757" s="1"/>
      <c r="CI757" s="1"/>
      <c r="CM757" s="2"/>
      <c r="CN757" s="1"/>
      <c r="CO757" s="1"/>
      <c r="CP757" s="1"/>
      <c r="CQ757" s="1"/>
      <c r="CX757" s="1"/>
      <c r="CY757" s="1"/>
      <c r="CZ757" s="1"/>
      <c r="DA757" s="1"/>
      <c r="DB757" s="1"/>
      <c r="DC757" s="1"/>
      <c r="DD757" s="1"/>
      <c r="DE757" s="1"/>
      <c r="DF757" s="1"/>
      <c r="DG757" s="1"/>
      <c r="DH757" s="1"/>
      <c r="DI757" s="1"/>
      <c r="DJ757" s="1"/>
      <c r="DK757" s="1"/>
      <c r="DM757" s="1"/>
      <c r="DR757" s="1"/>
      <c r="ED757" s="1"/>
      <c r="EF757" s="1"/>
      <c r="EK757" s="1"/>
      <c r="EL757" s="1"/>
      <c r="EM757" s="1"/>
      <c r="EN757" s="1"/>
      <c r="EQ757" s="1"/>
      <c r="ER757" s="1"/>
      <c r="ES757" s="1"/>
      <c r="EV757" s="1"/>
      <c r="EW757" s="1"/>
      <c r="EX757" s="1"/>
      <c r="EZ757" s="1"/>
      <c r="FA757" s="1"/>
      <c r="FD757" s="1"/>
      <c r="FE757" s="1"/>
      <c r="FG757" s="1"/>
      <c r="FH757" s="1"/>
      <c r="FJ757" s="1"/>
      <c r="FL757" s="1"/>
      <c r="FM757" s="1"/>
      <c r="FP757" s="1"/>
      <c r="FQ757" s="1"/>
      <c r="FR757" s="1"/>
      <c r="FS757" s="1"/>
      <c r="FT757" s="1"/>
      <c r="FU757" s="1"/>
      <c r="FV757" s="1"/>
      <c r="FW757" s="1"/>
      <c r="FX757" s="1"/>
      <c r="FY757" s="1"/>
      <c r="FZ757" s="1"/>
      <c r="GA757" s="1"/>
      <c r="GD757" s="1"/>
      <c r="GE757" s="1"/>
      <c r="GF757" s="1"/>
      <c r="GG757" s="1"/>
      <c r="GH757" s="1"/>
      <c r="GI757" s="1"/>
      <c r="GJ757" s="1"/>
      <c r="GM757" s="1"/>
      <c r="GN757" s="1"/>
      <c r="GP757" s="1"/>
      <c r="GV757" s="1"/>
      <c r="HE757" s="1"/>
      <c r="HH757" s="1"/>
      <c r="HN757" s="1"/>
      <c r="HY757" s="1"/>
      <c r="IE757" s="1"/>
      <c r="IG757" s="1"/>
      <c r="IR757" s="1"/>
      <c r="IS757" s="1"/>
      <c r="IW757" s="1"/>
      <c r="IZ757" s="1"/>
      <c r="JF757" s="1"/>
      <c r="JJ757" s="1"/>
      <c r="JK757" s="1"/>
      <c r="JL757" s="3"/>
      <c r="JM757" s="1"/>
      <c r="JN757" s="1"/>
      <c r="JP757" s="1"/>
      <c r="JQ757" s="1"/>
      <c r="JR757" s="1"/>
      <c r="KU757" s="1"/>
      <c r="KY757" s="1"/>
      <c r="KZ757" s="1"/>
      <c r="LA757" s="1"/>
      <c r="LB757" s="1"/>
      <c r="LC757" s="1"/>
      <c r="LD757" s="1"/>
      <c r="LO757" s="1"/>
      <c r="LP757" s="1"/>
      <c r="LR757" s="1"/>
      <c r="LS757" s="1"/>
      <c r="LT757" s="1"/>
      <c r="LU757" s="1"/>
      <c r="LX757" s="1"/>
      <c r="LZ757" s="1"/>
      <c r="MA757" s="1"/>
    </row>
    <row r="758" spans="4:339" ht="13" x14ac:dyDescent="0.15">
      <c r="D758" s="12"/>
      <c r="E758" s="12"/>
      <c r="I758" s="12"/>
      <c r="J758" s="13"/>
      <c r="BF758" s="1"/>
      <c r="BG758" s="1"/>
      <c r="BH758" s="1"/>
      <c r="BI758" s="1"/>
      <c r="BK758" s="1"/>
      <c r="BL758" s="1"/>
      <c r="BM758" s="1"/>
      <c r="BN758" s="1"/>
      <c r="BO758" s="1"/>
      <c r="BP758" s="1"/>
      <c r="BQ758" s="1"/>
      <c r="BR758" s="1"/>
      <c r="BX758" s="1"/>
      <c r="CD758" s="1"/>
      <c r="CE758" s="1"/>
      <c r="CF758" s="1"/>
      <c r="CG758" s="1"/>
      <c r="CH758" s="1"/>
      <c r="CI758" s="1"/>
      <c r="CM758" s="2"/>
      <c r="CN758" s="1"/>
      <c r="CO758" s="1"/>
      <c r="CP758" s="1"/>
      <c r="CQ758" s="1"/>
      <c r="CS758" s="1"/>
      <c r="CT758" s="1"/>
      <c r="CU758" s="1"/>
      <c r="CV758" s="1"/>
      <c r="CW758" s="1"/>
      <c r="CX758" s="1"/>
      <c r="CY758" s="1"/>
      <c r="CZ758" s="1"/>
      <c r="DA758" s="1"/>
      <c r="DB758" s="1"/>
      <c r="DC758" s="1"/>
      <c r="DD758" s="1"/>
      <c r="DE758" s="1"/>
      <c r="DF758" s="1"/>
      <c r="DG758" s="1"/>
      <c r="DH758" s="1"/>
      <c r="DI758" s="1"/>
      <c r="DJ758" s="1"/>
      <c r="DK758" s="1"/>
      <c r="DM758" s="1"/>
      <c r="DQ758" s="1"/>
      <c r="DR758" s="1"/>
      <c r="DY758" s="1"/>
      <c r="DZ758" s="1"/>
      <c r="ED758" s="1"/>
      <c r="EK758" s="1"/>
      <c r="EL758" s="1"/>
      <c r="EM758" s="1"/>
      <c r="EN758" s="1"/>
      <c r="EQ758" s="1"/>
      <c r="ER758" s="1"/>
      <c r="ES758" s="1"/>
      <c r="EV758" s="1"/>
      <c r="EW758" s="1"/>
      <c r="EZ758" s="1"/>
      <c r="FA758" s="1"/>
      <c r="FD758" s="1"/>
      <c r="FG758" s="1"/>
      <c r="FH758" s="1"/>
      <c r="FI758" s="1"/>
      <c r="FJ758" s="1"/>
      <c r="FK758" s="1"/>
      <c r="FL758" s="1"/>
      <c r="FM758" s="1"/>
      <c r="FN758" s="1"/>
      <c r="FO758" s="1"/>
      <c r="FP758" s="1"/>
      <c r="FQ758" s="1"/>
      <c r="FR758" s="1"/>
      <c r="FS758" s="1"/>
      <c r="FT758" s="1"/>
      <c r="FU758" s="1"/>
      <c r="FV758" s="1"/>
      <c r="FW758" s="1"/>
      <c r="FX758" s="1"/>
      <c r="FY758" s="1"/>
      <c r="FZ758" s="1"/>
      <c r="GA758" s="1"/>
      <c r="GD758" s="1"/>
      <c r="GE758" s="1"/>
      <c r="GF758" s="1"/>
      <c r="GG758" s="1"/>
      <c r="GH758" s="1"/>
      <c r="GI758" s="1"/>
      <c r="GJ758" s="1"/>
      <c r="GK758" s="1"/>
      <c r="GL758" s="1"/>
      <c r="GM758" s="1"/>
      <c r="GN758" s="1"/>
      <c r="GO758" s="1"/>
      <c r="GP758" s="1"/>
      <c r="GR758" s="1"/>
      <c r="GY758" s="1"/>
      <c r="HF758" s="1"/>
      <c r="HH758" s="1"/>
      <c r="HN758" s="1"/>
      <c r="HT758" s="1"/>
      <c r="HY758" s="1"/>
      <c r="IC758" s="1"/>
      <c r="IE758" s="1"/>
      <c r="IG758" s="1"/>
      <c r="IR758" s="1"/>
      <c r="IS758" s="1"/>
      <c r="IZ758" s="1"/>
      <c r="JG758" s="1"/>
      <c r="JH758" s="1"/>
      <c r="JJ758" s="1"/>
      <c r="JK758" s="1"/>
      <c r="JL758" s="3"/>
      <c r="JM758" s="1"/>
      <c r="JP758" s="1"/>
      <c r="JQ758" s="1"/>
      <c r="JR758" s="1"/>
      <c r="JT758" s="1"/>
      <c r="KU758" s="1"/>
      <c r="KV758" s="1"/>
      <c r="KY758" s="1"/>
      <c r="KZ758" s="1"/>
      <c r="LA758" s="1"/>
      <c r="LB758" s="1"/>
      <c r="LC758" s="1"/>
      <c r="LD758" s="1"/>
      <c r="LO758" s="1"/>
      <c r="LP758" s="1"/>
      <c r="LZ758" s="1"/>
      <c r="MA758" s="1"/>
    </row>
    <row r="759" spans="4:339" ht="13" x14ac:dyDescent="0.15">
      <c r="D759" s="12"/>
      <c r="E759" s="12"/>
      <c r="I759" s="12"/>
      <c r="J759" s="13"/>
      <c r="BF759" s="1"/>
      <c r="BG759" s="1"/>
      <c r="BH759" s="1"/>
      <c r="BI759" s="1"/>
      <c r="BK759" s="1"/>
      <c r="BL759" s="1"/>
      <c r="BM759" s="1"/>
      <c r="BN759" s="1"/>
      <c r="BO759" s="1"/>
      <c r="BP759" s="1"/>
      <c r="BQ759" s="1"/>
      <c r="BR759" s="1"/>
      <c r="BX759" s="1"/>
      <c r="CD759" s="1"/>
      <c r="CE759" s="1"/>
      <c r="CF759" s="1"/>
      <c r="CG759" s="1"/>
      <c r="CH759" s="1"/>
      <c r="CI759" s="1"/>
      <c r="CM759" s="2"/>
      <c r="CN759" s="1"/>
      <c r="CO759" s="1"/>
      <c r="CP759" s="1"/>
      <c r="CQ759" s="1"/>
      <c r="CV759" s="1"/>
      <c r="CW759" s="1"/>
      <c r="CX759" s="1"/>
      <c r="CY759" s="1"/>
      <c r="CZ759" s="1"/>
      <c r="DA759" s="1"/>
      <c r="DB759" s="1"/>
      <c r="DC759" s="1"/>
      <c r="DD759" s="1"/>
      <c r="DE759" s="1"/>
      <c r="DF759" s="1"/>
      <c r="DG759" s="1"/>
      <c r="DH759" s="1"/>
      <c r="DI759" s="1"/>
      <c r="DJ759" s="1"/>
      <c r="DK759" s="1"/>
      <c r="DM759" s="1"/>
      <c r="DR759" s="1"/>
      <c r="ED759" s="1"/>
      <c r="EF759" s="1"/>
      <c r="EK759" s="1"/>
      <c r="EL759" s="1"/>
      <c r="EM759" s="1"/>
      <c r="EN759" s="1"/>
      <c r="EQ759" s="1"/>
      <c r="ER759" s="1"/>
      <c r="ES759" s="1"/>
      <c r="EV759" s="1"/>
      <c r="EW759" s="1"/>
      <c r="EZ759" s="1"/>
      <c r="FA759" s="1"/>
      <c r="FD759" s="1"/>
      <c r="FG759" s="1"/>
      <c r="FH759" s="1"/>
      <c r="FI759" s="1"/>
      <c r="FJ759" s="1"/>
      <c r="FK759" s="1"/>
      <c r="FL759" s="1"/>
      <c r="FM759" s="1"/>
      <c r="FN759" s="1"/>
      <c r="FO759" s="1"/>
      <c r="FP759" s="1"/>
      <c r="FQ759" s="1"/>
      <c r="FR759" s="1"/>
      <c r="FS759" s="1"/>
      <c r="FT759" s="1"/>
      <c r="FU759" s="1"/>
      <c r="FV759" s="1"/>
      <c r="FW759" s="1"/>
      <c r="FX759" s="1"/>
      <c r="FY759" s="1"/>
      <c r="FZ759" s="1"/>
      <c r="GA759" s="1"/>
      <c r="GB759" s="1"/>
      <c r="GD759" s="1"/>
      <c r="GE759" s="1"/>
      <c r="GF759" s="1"/>
      <c r="GG759" s="1"/>
      <c r="GH759" s="1"/>
      <c r="GI759" s="1"/>
      <c r="GJ759" s="1"/>
      <c r="GK759" s="1"/>
      <c r="GL759" s="1"/>
      <c r="GM759" s="1"/>
      <c r="GN759" s="1"/>
      <c r="GO759" s="1"/>
      <c r="GP759" s="1"/>
      <c r="GR759" s="1"/>
      <c r="GY759" s="1"/>
      <c r="HF759" s="1"/>
      <c r="HH759" s="1"/>
      <c r="HN759" s="1"/>
      <c r="HR759" s="1"/>
      <c r="HS759" s="1"/>
      <c r="HT759" s="1"/>
      <c r="HY759" s="1"/>
      <c r="IE759" s="1"/>
      <c r="IR759" s="1"/>
      <c r="IS759" s="1"/>
      <c r="IZ759" s="1"/>
      <c r="JC759" s="1"/>
      <c r="JF759" s="1"/>
      <c r="JG759" s="1"/>
      <c r="JJ759" s="1"/>
      <c r="JN759" s="1"/>
      <c r="JP759" s="1"/>
      <c r="JQ759" s="1"/>
      <c r="JT759" s="1"/>
      <c r="KU759" s="1"/>
      <c r="KV759" s="1"/>
      <c r="KW759" s="1"/>
      <c r="KY759" s="1"/>
      <c r="KZ759" s="1"/>
      <c r="LA759" s="1"/>
      <c r="LB759" s="1"/>
      <c r="LC759" s="1"/>
      <c r="LD759" s="1"/>
      <c r="LO759" s="1"/>
      <c r="LP759" s="1"/>
      <c r="LZ759" s="1"/>
      <c r="MA759" s="1"/>
    </row>
    <row r="760" spans="4:339" ht="13" x14ac:dyDescent="0.15">
      <c r="D760" s="12"/>
      <c r="E760" s="12"/>
      <c r="I760" s="12"/>
      <c r="J760" s="13"/>
      <c r="BF760" s="1"/>
      <c r="BG760" s="1"/>
      <c r="BH760" s="1"/>
      <c r="BI760" s="1"/>
      <c r="BJ760" s="1"/>
      <c r="BK760" s="1"/>
      <c r="BL760" s="1"/>
      <c r="BM760" s="1"/>
      <c r="BN760" s="1"/>
      <c r="BO760" s="1"/>
      <c r="BP760" s="1"/>
      <c r="BQ760" s="1"/>
      <c r="BR760" s="1"/>
      <c r="BX760" s="1"/>
      <c r="CC760" s="1"/>
      <c r="CD760" s="1"/>
      <c r="CE760" s="1"/>
      <c r="CF760" s="1"/>
      <c r="CG760" s="1"/>
      <c r="CH760" s="1"/>
      <c r="CI760" s="1"/>
      <c r="CJ760" s="1"/>
      <c r="CK760" s="1"/>
      <c r="CM760" s="2"/>
      <c r="CN760" s="1"/>
      <c r="CO760" s="1"/>
      <c r="CP760" s="1"/>
      <c r="CQ760" s="1"/>
      <c r="CS760" s="1"/>
      <c r="CT760" s="1"/>
      <c r="CU760" s="1"/>
      <c r="CV760" s="1"/>
      <c r="CW760" s="1"/>
      <c r="CX760" s="1"/>
      <c r="CY760" s="1"/>
      <c r="CZ760" s="1"/>
      <c r="DA760" s="1"/>
      <c r="DB760" s="1"/>
      <c r="DC760" s="1"/>
      <c r="DD760" s="1"/>
      <c r="DE760" s="1"/>
      <c r="DF760" s="1"/>
      <c r="DG760" s="1"/>
      <c r="DH760" s="1"/>
      <c r="DI760" s="1"/>
      <c r="DJ760" s="1"/>
      <c r="DK760" s="1"/>
      <c r="DM760" s="1"/>
      <c r="DQ760" s="1"/>
      <c r="DR760" s="1"/>
      <c r="DY760" s="1"/>
      <c r="DZ760" s="1"/>
      <c r="ED760" s="1"/>
      <c r="EK760" s="1"/>
      <c r="EL760" s="1"/>
      <c r="EM760" s="1"/>
      <c r="EN760" s="1"/>
      <c r="EQ760" s="1"/>
      <c r="ER760" s="1"/>
      <c r="ES760" s="1"/>
      <c r="EV760" s="1"/>
      <c r="EW760" s="1"/>
      <c r="EX760" s="1"/>
      <c r="EZ760" s="1"/>
      <c r="FA760" s="1"/>
      <c r="FD760" s="1"/>
      <c r="FG760" s="1"/>
      <c r="FH760" s="1"/>
      <c r="FI760" s="1"/>
      <c r="FJ760" s="1"/>
      <c r="FL760" s="1"/>
      <c r="FM760" s="1"/>
      <c r="FN760" s="1"/>
      <c r="FO760" s="1"/>
      <c r="FP760" s="1"/>
      <c r="FQ760" s="1"/>
      <c r="FS760" s="1"/>
      <c r="FU760" s="1"/>
      <c r="FV760" s="1"/>
      <c r="FX760" s="1"/>
      <c r="FZ760" s="1"/>
      <c r="GA760" s="1"/>
      <c r="GB760" s="1"/>
      <c r="GD760" s="1"/>
      <c r="GE760" s="1"/>
      <c r="GF760" s="1"/>
      <c r="GG760" s="1"/>
      <c r="GH760" s="1"/>
      <c r="GI760" s="1"/>
      <c r="GJ760" s="1"/>
      <c r="GK760" s="1"/>
      <c r="GL760" s="1"/>
      <c r="GM760" s="1"/>
      <c r="GN760" s="1"/>
      <c r="GO760" s="1"/>
      <c r="GP760" s="1"/>
      <c r="GR760" s="1"/>
      <c r="GY760" s="1"/>
      <c r="HF760" s="1"/>
      <c r="HH760" s="1"/>
      <c r="HT760" s="1"/>
      <c r="HY760" s="1"/>
      <c r="IA760" s="1"/>
      <c r="IC760" s="1"/>
      <c r="ID760" s="1"/>
      <c r="IE760" s="1"/>
      <c r="IK760" s="1"/>
      <c r="IR760" s="1"/>
      <c r="IS760" s="1"/>
      <c r="IZ760" s="1"/>
      <c r="JC760" s="1"/>
      <c r="JF760" s="1"/>
      <c r="JG760" s="1"/>
      <c r="JH760" s="1"/>
      <c r="JJ760" s="1"/>
      <c r="JN760" s="1"/>
      <c r="JP760" s="1"/>
      <c r="JQ760" s="1"/>
      <c r="JT760" s="1"/>
      <c r="JW760" s="1"/>
      <c r="KS760" s="1"/>
      <c r="KT760" s="1"/>
      <c r="KU760" s="1"/>
      <c r="KY760" s="1"/>
      <c r="KZ760" s="1"/>
      <c r="LA760" s="1"/>
      <c r="LB760" s="1"/>
      <c r="LC760" s="1"/>
      <c r="LD760" s="1"/>
      <c r="LF760" s="1"/>
      <c r="LO760" s="1"/>
      <c r="LP760" s="1"/>
      <c r="LZ760" s="1"/>
      <c r="MA760" s="1"/>
    </row>
    <row r="761" spans="4:339" ht="13" x14ac:dyDescent="0.15">
      <c r="D761" s="12"/>
      <c r="E761" s="12"/>
      <c r="I761" s="12"/>
      <c r="J761" s="13"/>
      <c r="BF761" s="1"/>
      <c r="BG761" s="1"/>
      <c r="BH761" s="1"/>
      <c r="BI761" s="1"/>
      <c r="BJ761" s="1"/>
      <c r="BK761" s="1"/>
      <c r="BL761" s="1"/>
      <c r="BM761" s="1"/>
      <c r="BN761" s="1"/>
      <c r="BO761" s="1"/>
      <c r="BP761" s="1"/>
      <c r="BQ761" s="1"/>
      <c r="BR761" s="1"/>
      <c r="BX761" s="1"/>
      <c r="CC761" s="1"/>
      <c r="CD761" s="1"/>
      <c r="CE761" s="1"/>
      <c r="CF761" s="1"/>
      <c r="CG761" s="1"/>
      <c r="CH761" s="1"/>
      <c r="CI761" s="1"/>
      <c r="CJ761" s="1"/>
      <c r="CK761" s="1"/>
      <c r="CM761" s="2"/>
      <c r="CN761" s="1"/>
      <c r="CO761" s="1"/>
      <c r="CP761" s="1"/>
      <c r="CQ761" s="1"/>
      <c r="CS761" s="1"/>
      <c r="CT761" s="1"/>
      <c r="CU761" s="1"/>
      <c r="CV761" s="1"/>
      <c r="CW761" s="1"/>
      <c r="CX761" s="1"/>
      <c r="CY761" s="1"/>
      <c r="CZ761" s="1"/>
      <c r="DA761" s="1"/>
      <c r="DB761" s="1"/>
      <c r="DC761" s="1"/>
      <c r="DD761" s="1"/>
      <c r="DE761" s="1"/>
      <c r="DF761" s="1"/>
      <c r="DG761" s="1"/>
      <c r="DH761" s="1"/>
      <c r="DI761" s="1"/>
      <c r="DJ761" s="1"/>
      <c r="DK761" s="1"/>
      <c r="DM761" s="1"/>
      <c r="DQ761" s="1"/>
      <c r="DR761" s="1"/>
      <c r="DY761" s="1"/>
      <c r="DZ761" s="1"/>
      <c r="ED761" s="1"/>
      <c r="EK761" s="1"/>
      <c r="EL761" s="1"/>
      <c r="EM761" s="1"/>
      <c r="EN761" s="1"/>
      <c r="EQ761" s="1"/>
      <c r="ER761" s="1"/>
      <c r="ES761" s="1"/>
      <c r="EV761" s="1"/>
      <c r="EW761" s="1"/>
      <c r="EX761" s="1"/>
      <c r="EZ761" s="1"/>
      <c r="FA761" s="1"/>
      <c r="FD761" s="1"/>
      <c r="FG761" s="1"/>
      <c r="FH761" s="1"/>
      <c r="FI761" s="1"/>
      <c r="FJ761" s="1"/>
      <c r="FL761" s="1"/>
      <c r="FM761" s="1"/>
      <c r="FN761" s="1"/>
      <c r="FO761" s="1"/>
      <c r="FP761" s="1"/>
      <c r="FQ761" s="1"/>
      <c r="FS761" s="1"/>
      <c r="FU761" s="1"/>
      <c r="FV761" s="1"/>
      <c r="FX761" s="1"/>
      <c r="FZ761" s="1"/>
      <c r="GA761" s="1"/>
      <c r="GB761" s="1"/>
      <c r="GD761" s="1"/>
      <c r="GE761" s="1"/>
      <c r="GF761" s="1"/>
      <c r="GG761" s="1"/>
      <c r="GH761" s="1"/>
      <c r="GI761" s="1"/>
      <c r="GJ761" s="1"/>
      <c r="GK761" s="1"/>
      <c r="GL761" s="1"/>
      <c r="GM761" s="1"/>
      <c r="GN761" s="1"/>
      <c r="GO761" s="1"/>
      <c r="GP761" s="1"/>
      <c r="GR761" s="1"/>
      <c r="GY761" s="1"/>
      <c r="HF761" s="1"/>
      <c r="HH761" s="1"/>
      <c r="HT761" s="1"/>
      <c r="HY761" s="1"/>
      <c r="IA761" s="1"/>
      <c r="IC761" s="1"/>
      <c r="ID761" s="1"/>
      <c r="IE761" s="1"/>
      <c r="IK761" s="1"/>
      <c r="IR761" s="1"/>
      <c r="IS761" s="1"/>
      <c r="IZ761" s="1"/>
      <c r="JC761" s="1"/>
      <c r="JF761" s="1"/>
      <c r="JG761" s="1"/>
      <c r="JH761" s="1"/>
      <c r="JJ761" s="1"/>
      <c r="JN761" s="1"/>
      <c r="JP761" s="1"/>
      <c r="JQ761" s="1"/>
      <c r="JT761" s="1"/>
      <c r="JW761" s="1"/>
      <c r="KS761" s="1"/>
      <c r="KT761" s="1"/>
      <c r="KU761" s="1"/>
      <c r="KY761" s="1"/>
      <c r="KZ761" s="1"/>
      <c r="LA761" s="1"/>
      <c r="LB761" s="1"/>
      <c r="LC761" s="1"/>
      <c r="LD761" s="1"/>
      <c r="LF761" s="1"/>
      <c r="LO761" s="1"/>
      <c r="LP761" s="1"/>
      <c r="LZ761" s="1"/>
      <c r="MA761" s="1"/>
    </row>
    <row r="762" spans="4:339" ht="13" x14ac:dyDescent="0.15">
      <c r="D762" s="12"/>
      <c r="E762" s="12"/>
      <c r="I762" s="12"/>
      <c r="J762" s="13"/>
      <c r="BF762" s="1"/>
      <c r="BG762" s="1"/>
      <c r="BH762" s="1"/>
      <c r="BI762" s="1"/>
      <c r="BJ762" s="1"/>
      <c r="BK762" s="1"/>
      <c r="BL762" s="1"/>
      <c r="BM762" s="1"/>
      <c r="BN762" s="1"/>
      <c r="BO762" s="1"/>
      <c r="BP762" s="1"/>
      <c r="BQ762" s="1"/>
      <c r="BR762" s="1"/>
      <c r="BX762" s="1"/>
      <c r="CC762" s="1"/>
      <c r="CD762" s="1"/>
      <c r="CE762" s="1"/>
      <c r="CF762" s="1"/>
      <c r="CG762" s="1"/>
      <c r="CH762" s="1"/>
      <c r="CI762" s="1"/>
      <c r="CJ762" s="1"/>
      <c r="CK762" s="1"/>
      <c r="CM762" s="2"/>
      <c r="CN762" s="1"/>
      <c r="CO762" s="1"/>
      <c r="CP762" s="1"/>
      <c r="CQ762" s="1"/>
      <c r="CS762" s="1"/>
      <c r="CT762" s="1"/>
      <c r="CU762" s="1"/>
      <c r="CV762" s="1"/>
      <c r="CW762" s="1"/>
      <c r="CX762" s="1"/>
      <c r="CY762" s="1"/>
      <c r="CZ762" s="1"/>
      <c r="DA762" s="1"/>
      <c r="DB762" s="1"/>
      <c r="DC762" s="1"/>
      <c r="DD762" s="1"/>
      <c r="DE762" s="1"/>
      <c r="DF762" s="1"/>
      <c r="DG762" s="1"/>
      <c r="DH762" s="1"/>
      <c r="DI762" s="1"/>
      <c r="DJ762" s="1"/>
      <c r="DK762" s="1"/>
      <c r="DM762" s="1"/>
      <c r="DQ762" s="1"/>
      <c r="DR762" s="1"/>
      <c r="DY762" s="1"/>
      <c r="DZ762" s="1"/>
      <c r="ED762" s="1"/>
      <c r="EK762" s="1"/>
      <c r="EL762" s="1"/>
      <c r="EM762" s="1"/>
      <c r="EN762" s="1"/>
      <c r="EQ762" s="1"/>
      <c r="ER762" s="1"/>
      <c r="ES762" s="1"/>
      <c r="EV762" s="1"/>
      <c r="EW762" s="1"/>
      <c r="EX762" s="1"/>
      <c r="EZ762" s="1"/>
      <c r="FA762" s="1"/>
      <c r="FD762" s="1"/>
      <c r="FG762" s="1"/>
      <c r="FH762" s="1"/>
      <c r="FI762" s="1"/>
      <c r="FJ762" s="1"/>
      <c r="FL762" s="1"/>
      <c r="FM762" s="1"/>
      <c r="FN762" s="1"/>
      <c r="FO762" s="1"/>
      <c r="FP762" s="1"/>
      <c r="FQ762" s="1"/>
      <c r="FS762" s="1"/>
      <c r="FU762" s="1"/>
      <c r="FV762" s="1"/>
      <c r="FX762" s="1"/>
      <c r="FZ762" s="1"/>
      <c r="GA762" s="1"/>
      <c r="GB762" s="1"/>
      <c r="GD762" s="1"/>
      <c r="GE762" s="1"/>
      <c r="GF762" s="1"/>
      <c r="GG762" s="1"/>
      <c r="GH762" s="1"/>
      <c r="GI762" s="1"/>
      <c r="GJ762" s="1"/>
      <c r="GK762" s="1"/>
      <c r="GL762" s="1"/>
      <c r="GM762" s="1"/>
      <c r="GN762" s="1"/>
      <c r="GO762" s="1"/>
      <c r="GP762" s="1"/>
      <c r="GR762" s="1"/>
      <c r="GY762" s="1"/>
      <c r="HF762" s="1"/>
      <c r="HH762" s="1"/>
      <c r="HT762" s="1"/>
      <c r="HY762" s="1"/>
      <c r="IA762" s="1"/>
      <c r="IC762" s="1"/>
      <c r="ID762" s="1"/>
      <c r="IE762" s="1"/>
      <c r="IK762" s="1"/>
      <c r="IR762" s="1"/>
      <c r="IS762" s="1"/>
      <c r="IZ762" s="1"/>
      <c r="JC762" s="1"/>
      <c r="JF762" s="1"/>
      <c r="JG762" s="1"/>
      <c r="JH762" s="1"/>
      <c r="JJ762" s="1"/>
      <c r="JN762" s="1"/>
      <c r="JP762" s="1"/>
      <c r="JQ762" s="1"/>
      <c r="JT762" s="1"/>
      <c r="JW762" s="1"/>
      <c r="KS762" s="1"/>
      <c r="KT762" s="1"/>
      <c r="KU762" s="1"/>
      <c r="KY762" s="1"/>
      <c r="KZ762" s="1"/>
      <c r="LA762" s="1"/>
      <c r="LB762" s="1"/>
      <c r="LC762" s="1"/>
      <c r="LD762" s="1"/>
      <c r="LF762" s="1"/>
      <c r="LO762" s="1"/>
      <c r="LP762" s="1"/>
      <c r="LZ762" s="1"/>
      <c r="MA762" s="1"/>
    </row>
    <row r="763" spans="4:339" ht="13" x14ac:dyDescent="0.15">
      <c r="D763" s="12"/>
      <c r="E763" s="12"/>
      <c r="I763" s="12"/>
      <c r="J763" s="13"/>
      <c r="BF763" s="1"/>
      <c r="BG763" s="1"/>
      <c r="BH763" s="1"/>
      <c r="BI763" s="1"/>
      <c r="BJ763" s="1"/>
      <c r="BK763" s="1"/>
      <c r="BL763" s="1"/>
      <c r="BM763" s="1"/>
      <c r="BN763" s="1"/>
      <c r="BO763" s="1"/>
      <c r="BP763" s="1"/>
      <c r="BQ763" s="1"/>
      <c r="BR763" s="1"/>
      <c r="BX763" s="1"/>
      <c r="CC763" s="1"/>
      <c r="CD763" s="1"/>
      <c r="CE763" s="1"/>
      <c r="CF763" s="1"/>
      <c r="CG763" s="1"/>
      <c r="CH763" s="1"/>
      <c r="CI763" s="1"/>
      <c r="CJ763" s="1"/>
      <c r="CK763" s="1"/>
      <c r="CM763" s="2"/>
      <c r="CN763" s="1"/>
      <c r="CO763" s="1"/>
      <c r="CP763" s="1"/>
      <c r="CQ763" s="1"/>
      <c r="CS763" s="1"/>
      <c r="CT763" s="1"/>
      <c r="CU763" s="1"/>
      <c r="CV763" s="1"/>
      <c r="CW763" s="1"/>
      <c r="CX763" s="1"/>
      <c r="CY763" s="1"/>
      <c r="CZ763" s="1"/>
      <c r="DA763" s="1"/>
      <c r="DB763" s="1"/>
      <c r="DC763" s="1"/>
      <c r="DD763" s="1"/>
      <c r="DE763" s="1"/>
      <c r="DF763" s="1"/>
      <c r="DG763" s="1"/>
      <c r="DH763" s="1"/>
      <c r="DI763" s="1"/>
      <c r="DJ763" s="1"/>
      <c r="DK763" s="1"/>
      <c r="DM763" s="1"/>
      <c r="DQ763" s="1"/>
      <c r="DR763" s="1"/>
      <c r="DY763" s="1"/>
      <c r="DZ763" s="1"/>
      <c r="ED763" s="1"/>
      <c r="EK763" s="1"/>
      <c r="EL763" s="1"/>
      <c r="EM763" s="1"/>
      <c r="EN763" s="1"/>
      <c r="EQ763" s="1"/>
      <c r="ER763" s="1"/>
      <c r="ES763" s="1"/>
      <c r="EV763" s="1"/>
      <c r="EW763" s="1"/>
      <c r="EX763" s="1"/>
      <c r="EZ763" s="1"/>
      <c r="FA763" s="1"/>
      <c r="FD763" s="1"/>
      <c r="FG763" s="1"/>
      <c r="FH763" s="1"/>
      <c r="FI763" s="1"/>
      <c r="FJ763" s="1"/>
      <c r="FL763" s="1"/>
      <c r="FM763" s="1"/>
      <c r="FN763" s="1"/>
      <c r="FO763" s="1"/>
      <c r="FP763" s="1"/>
      <c r="FQ763" s="1"/>
      <c r="FS763" s="1"/>
      <c r="FU763" s="1"/>
      <c r="FV763" s="1"/>
      <c r="FX763" s="1"/>
      <c r="FZ763" s="1"/>
      <c r="GA763" s="1"/>
      <c r="GB763" s="1"/>
      <c r="GD763" s="1"/>
      <c r="GE763" s="1"/>
      <c r="GF763" s="1"/>
      <c r="GG763" s="1"/>
      <c r="GH763" s="1"/>
      <c r="GI763" s="1"/>
      <c r="GJ763" s="1"/>
      <c r="GK763" s="1"/>
      <c r="GL763" s="1"/>
      <c r="GM763" s="1"/>
      <c r="GN763" s="1"/>
      <c r="GO763" s="1"/>
      <c r="GP763" s="1"/>
      <c r="GR763" s="1"/>
      <c r="GY763" s="1"/>
      <c r="HF763" s="1"/>
      <c r="HH763" s="1"/>
      <c r="HT763" s="1"/>
      <c r="HY763" s="1"/>
      <c r="IA763" s="1"/>
      <c r="IC763" s="1"/>
      <c r="ID763" s="1"/>
      <c r="IE763" s="1"/>
      <c r="IK763" s="1"/>
      <c r="IR763" s="1"/>
      <c r="IS763" s="1"/>
      <c r="IZ763" s="1"/>
      <c r="JC763" s="1"/>
      <c r="JF763" s="1"/>
      <c r="JG763" s="1"/>
      <c r="JH763" s="1"/>
      <c r="JJ763" s="1"/>
      <c r="JN763" s="1"/>
      <c r="JP763" s="1"/>
      <c r="JQ763" s="1"/>
      <c r="JT763" s="1"/>
      <c r="JW763" s="1"/>
      <c r="KS763" s="1"/>
      <c r="KT763" s="1"/>
      <c r="KU763" s="1"/>
      <c r="KY763" s="1"/>
      <c r="KZ763" s="1"/>
      <c r="LA763" s="1"/>
      <c r="LB763" s="1"/>
      <c r="LC763" s="1"/>
      <c r="LD763" s="1"/>
      <c r="LF763" s="1"/>
      <c r="LO763" s="1"/>
      <c r="LP763" s="1"/>
      <c r="LZ763" s="1"/>
      <c r="MA763" s="1"/>
    </row>
    <row r="764" spans="4:339" ht="13" x14ac:dyDescent="0.15">
      <c r="D764" s="12"/>
      <c r="E764" s="12"/>
      <c r="I764" s="12"/>
      <c r="J764" s="13"/>
      <c r="BF764" s="1"/>
      <c r="BG764" s="1"/>
      <c r="BH764" s="1"/>
      <c r="BI764" s="1"/>
      <c r="BJ764" s="1"/>
      <c r="BK764" s="1"/>
      <c r="BL764" s="1"/>
      <c r="BM764" s="1"/>
      <c r="BN764" s="1"/>
      <c r="BO764" s="1"/>
      <c r="BP764" s="1"/>
      <c r="BQ764" s="1"/>
      <c r="BR764" s="1"/>
      <c r="BX764" s="1"/>
      <c r="CC764" s="1"/>
      <c r="CD764" s="1"/>
      <c r="CE764" s="1"/>
      <c r="CF764" s="1"/>
      <c r="CG764" s="1"/>
      <c r="CH764" s="1"/>
      <c r="CI764" s="1"/>
      <c r="CJ764" s="1"/>
      <c r="CK764" s="1"/>
      <c r="CM764" s="2"/>
      <c r="CN764" s="1"/>
      <c r="CO764" s="1"/>
      <c r="CP764" s="1"/>
      <c r="CQ764" s="1"/>
      <c r="CS764" s="1"/>
      <c r="CT764" s="1"/>
      <c r="CU764" s="1"/>
      <c r="CV764" s="1"/>
      <c r="CW764" s="1"/>
      <c r="CX764" s="1"/>
      <c r="CY764" s="1"/>
      <c r="CZ764" s="1"/>
      <c r="DA764" s="1"/>
      <c r="DB764" s="1"/>
      <c r="DC764" s="1"/>
      <c r="DD764" s="1"/>
      <c r="DE764" s="1"/>
      <c r="DF764" s="1"/>
      <c r="DG764" s="1"/>
      <c r="DH764" s="1"/>
      <c r="DI764" s="1"/>
      <c r="DJ764" s="1"/>
      <c r="DK764" s="1"/>
      <c r="DM764" s="1"/>
      <c r="DQ764" s="1"/>
      <c r="DR764" s="1"/>
      <c r="DY764" s="1"/>
      <c r="DZ764" s="1"/>
      <c r="ED764" s="1"/>
      <c r="EK764" s="1"/>
      <c r="EL764" s="1"/>
      <c r="EM764" s="1"/>
      <c r="EN764" s="1"/>
      <c r="EQ764" s="1"/>
      <c r="ER764" s="1"/>
      <c r="ES764" s="1"/>
      <c r="EV764" s="1"/>
      <c r="EW764" s="1"/>
      <c r="EX764" s="1"/>
      <c r="EZ764" s="1"/>
      <c r="FA764" s="1"/>
      <c r="FD764" s="1"/>
      <c r="FG764" s="1"/>
      <c r="FH764" s="1"/>
      <c r="FI764" s="1"/>
      <c r="FJ764" s="1"/>
      <c r="FL764" s="1"/>
      <c r="FM764" s="1"/>
      <c r="FN764" s="1"/>
      <c r="FO764" s="1"/>
      <c r="FP764" s="1"/>
      <c r="FQ764" s="1"/>
      <c r="FS764" s="1"/>
      <c r="FU764" s="1"/>
      <c r="FV764" s="1"/>
      <c r="FX764" s="1"/>
      <c r="FZ764" s="1"/>
      <c r="GA764" s="1"/>
      <c r="GB764" s="1"/>
      <c r="GD764" s="1"/>
      <c r="GE764" s="1"/>
      <c r="GF764" s="1"/>
      <c r="GG764" s="1"/>
      <c r="GH764" s="1"/>
      <c r="GI764" s="1"/>
      <c r="GJ764" s="1"/>
      <c r="GK764" s="1"/>
      <c r="GL764" s="1"/>
      <c r="GM764" s="1"/>
      <c r="GN764" s="1"/>
      <c r="GO764" s="1"/>
      <c r="GP764" s="1"/>
      <c r="GR764" s="1"/>
      <c r="GY764" s="1"/>
      <c r="HF764" s="1"/>
      <c r="HH764" s="1"/>
      <c r="HT764" s="1"/>
      <c r="HY764" s="1"/>
      <c r="IA764" s="1"/>
      <c r="IC764" s="1"/>
      <c r="ID764" s="1"/>
      <c r="IE764" s="1"/>
      <c r="IK764" s="1"/>
      <c r="IR764" s="1"/>
      <c r="IS764" s="1"/>
      <c r="IZ764" s="1"/>
      <c r="JC764" s="1"/>
      <c r="JF764" s="1"/>
      <c r="JG764" s="1"/>
      <c r="JH764" s="1"/>
      <c r="JJ764" s="1"/>
      <c r="JN764" s="1"/>
      <c r="JP764" s="1"/>
      <c r="JQ764" s="1"/>
      <c r="JT764" s="1"/>
      <c r="JW764" s="1"/>
      <c r="KS764" s="1"/>
      <c r="KT764" s="1"/>
      <c r="KU764" s="1"/>
      <c r="KY764" s="1"/>
      <c r="KZ764" s="1"/>
      <c r="LA764" s="1"/>
      <c r="LB764" s="1"/>
      <c r="LC764" s="1"/>
      <c r="LD764" s="1"/>
      <c r="LF764" s="1"/>
      <c r="LO764" s="1"/>
      <c r="LP764" s="1"/>
      <c r="LZ764" s="1"/>
      <c r="MA764" s="1"/>
    </row>
    <row r="765" spans="4:339" ht="13" x14ac:dyDescent="0.15">
      <c r="D765" s="12"/>
      <c r="E765" s="12"/>
      <c r="I765" s="12"/>
      <c r="J765" s="13"/>
      <c r="BF765" s="1"/>
      <c r="BG765" s="1"/>
      <c r="BH765" s="1"/>
      <c r="BI765" s="1"/>
      <c r="BJ765" s="1"/>
      <c r="BK765" s="1"/>
      <c r="BL765" s="1"/>
      <c r="BM765" s="1"/>
      <c r="BN765" s="1"/>
      <c r="BO765" s="1"/>
      <c r="BP765" s="1"/>
      <c r="BQ765" s="1"/>
      <c r="BR765" s="1"/>
      <c r="BX765" s="1"/>
      <c r="CC765" s="1"/>
      <c r="CD765" s="1"/>
      <c r="CE765" s="1"/>
      <c r="CF765" s="1"/>
      <c r="CG765" s="1"/>
      <c r="CH765" s="1"/>
      <c r="CI765" s="1"/>
      <c r="CJ765" s="1"/>
      <c r="CK765" s="1"/>
      <c r="CM765" s="2"/>
      <c r="CN765" s="1"/>
      <c r="CO765" s="1"/>
      <c r="CP765" s="1"/>
      <c r="CQ765" s="1"/>
      <c r="CS765" s="1"/>
      <c r="CT765" s="1"/>
      <c r="CU765" s="1"/>
      <c r="CV765" s="1"/>
      <c r="CW765" s="1"/>
      <c r="CX765" s="1"/>
      <c r="CY765" s="1"/>
      <c r="CZ765" s="1"/>
      <c r="DA765" s="1"/>
      <c r="DB765" s="1"/>
      <c r="DC765" s="1"/>
      <c r="DD765" s="1"/>
      <c r="DE765" s="1"/>
      <c r="DF765" s="1"/>
      <c r="DG765" s="1"/>
      <c r="DH765" s="1"/>
      <c r="DI765" s="1"/>
      <c r="DJ765" s="1"/>
      <c r="DK765" s="1"/>
      <c r="DM765" s="1"/>
      <c r="DQ765" s="1"/>
      <c r="DR765" s="1"/>
      <c r="DY765" s="1"/>
      <c r="DZ765" s="1"/>
      <c r="ED765" s="1"/>
      <c r="EK765" s="1"/>
      <c r="EL765" s="1"/>
      <c r="EM765" s="1"/>
      <c r="EN765" s="1"/>
      <c r="EQ765" s="1"/>
      <c r="ER765" s="1"/>
      <c r="ES765" s="1"/>
      <c r="EV765" s="1"/>
      <c r="EW765" s="1"/>
      <c r="EX765" s="1"/>
      <c r="EZ765" s="1"/>
      <c r="FA765" s="1"/>
      <c r="FD765" s="1"/>
      <c r="FG765" s="1"/>
      <c r="FH765" s="1"/>
      <c r="FI765" s="1"/>
      <c r="FJ765" s="1"/>
      <c r="FL765" s="1"/>
      <c r="FM765" s="1"/>
      <c r="FN765" s="1"/>
      <c r="FO765" s="1"/>
      <c r="FP765" s="1"/>
      <c r="FQ765" s="1"/>
      <c r="FS765" s="1"/>
      <c r="FU765" s="1"/>
      <c r="FV765" s="1"/>
      <c r="FX765" s="1"/>
      <c r="FZ765" s="1"/>
      <c r="GA765" s="1"/>
      <c r="GB765" s="1"/>
      <c r="GD765" s="1"/>
      <c r="GE765" s="1"/>
      <c r="GF765" s="1"/>
      <c r="GG765" s="1"/>
      <c r="GH765" s="1"/>
      <c r="GI765" s="1"/>
      <c r="GJ765" s="1"/>
      <c r="GK765" s="1"/>
      <c r="GL765" s="1"/>
      <c r="GM765" s="1"/>
      <c r="GN765" s="1"/>
      <c r="GO765" s="1"/>
      <c r="GP765" s="1"/>
      <c r="GR765" s="1"/>
      <c r="GY765" s="1"/>
      <c r="HF765" s="1"/>
      <c r="HH765" s="1"/>
      <c r="HT765" s="1"/>
      <c r="HY765" s="1"/>
      <c r="IA765" s="1"/>
      <c r="IC765" s="1"/>
      <c r="ID765" s="1"/>
      <c r="IE765" s="1"/>
      <c r="IK765" s="1"/>
      <c r="IR765" s="1"/>
      <c r="IS765" s="1"/>
      <c r="IZ765" s="1"/>
      <c r="JC765" s="1"/>
      <c r="JF765" s="1"/>
      <c r="JG765" s="1"/>
      <c r="JH765" s="1"/>
      <c r="JJ765" s="1"/>
      <c r="JN765" s="1"/>
      <c r="JP765" s="1"/>
      <c r="JQ765" s="1"/>
      <c r="JT765" s="1"/>
      <c r="JW765" s="1"/>
      <c r="KS765" s="1"/>
      <c r="KT765" s="1"/>
      <c r="KU765" s="1"/>
      <c r="KY765" s="1"/>
      <c r="KZ765" s="1"/>
      <c r="LA765" s="1"/>
      <c r="LB765" s="1"/>
      <c r="LC765" s="1"/>
      <c r="LD765" s="1"/>
      <c r="LF765" s="1"/>
      <c r="LO765" s="1"/>
      <c r="LP765" s="1"/>
      <c r="LZ765" s="1"/>
      <c r="MA765" s="1"/>
    </row>
    <row r="766" spans="4:339" ht="13" x14ac:dyDescent="0.15">
      <c r="D766" s="12"/>
      <c r="E766" s="12"/>
      <c r="I766" s="12"/>
      <c r="J766" s="13"/>
      <c r="BF766" s="1"/>
      <c r="BG766" s="1"/>
      <c r="BH766" s="1"/>
      <c r="BI766" s="1"/>
      <c r="BJ766" s="1"/>
      <c r="BK766" s="1"/>
      <c r="BL766" s="1"/>
      <c r="BM766" s="1"/>
      <c r="BN766" s="1"/>
      <c r="BO766" s="1"/>
      <c r="BP766" s="1"/>
      <c r="BQ766" s="1"/>
      <c r="BR766" s="1"/>
      <c r="BX766" s="1"/>
      <c r="CC766" s="1"/>
      <c r="CD766" s="1"/>
      <c r="CE766" s="1"/>
      <c r="CF766" s="1"/>
      <c r="CG766" s="1"/>
      <c r="CH766" s="1"/>
      <c r="CI766" s="1"/>
      <c r="CJ766" s="1"/>
      <c r="CK766" s="1"/>
      <c r="CM766" s="2"/>
      <c r="CN766" s="1"/>
      <c r="CO766" s="1"/>
      <c r="CP766" s="1"/>
      <c r="CQ766" s="1"/>
      <c r="CS766" s="1"/>
      <c r="CT766" s="1"/>
      <c r="CU766" s="1"/>
      <c r="CV766" s="1"/>
      <c r="CW766" s="1"/>
      <c r="CX766" s="1"/>
      <c r="CY766" s="1"/>
      <c r="CZ766" s="1"/>
      <c r="DA766" s="1"/>
      <c r="DB766" s="1"/>
      <c r="DC766" s="1"/>
      <c r="DD766" s="1"/>
      <c r="DE766" s="1"/>
      <c r="DF766" s="1"/>
      <c r="DG766" s="1"/>
      <c r="DH766" s="1"/>
      <c r="DI766" s="1"/>
      <c r="DJ766" s="1"/>
      <c r="DK766" s="1"/>
      <c r="DM766" s="1"/>
      <c r="DQ766" s="1"/>
      <c r="DR766" s="1"/>
      <c r="DY766" s="1"/>
      <c r="DZ766" s="1"/>
      <c r="ED766" s="1"/>
      <c r="EK766" s="1"/>
      <c r="EL766" s="1"/>
      <c r="EM766" s="1"/>
      <c r="EN766" s="1"/>
      <c r="EQ766" s="1"/>
      <c r="ER766" s="1"/>
      <c r="ES766" s="1"/>
      <c r="EV766" s="1"/>
      <c r="EW766" s="1"/>
      <c r="EX766" s="1"/>
      <c r="EZ766" s="1"/>
      <c r="FA766" s="1"/>
      <c r="FD766" s="1"/>
      <c r="FG766" s="1"/>
      <c r="FH766" s="1"/>
      <c r="FI766" s="1"/>
      <c r="FJ766" s="1"/>
      <c r="FL766" s="1"/>
      <c r="FM766" s="1"/>
      <c r="FN766" s="1"/>
      <c r="FO766" s="1"/>
      <c r="FP766" s="1"/>
      <c r="FQ766" s="1"/>
      <c r="FS766" s="1"/>
      <c r="FU766" s="1"/>
      <c r="FV766" s="1"/>
      <c r="FX766" s="1"/>
      <c r="FZ766" s="1"/>
      <c r="GA766" s="1"/>
      <c r="GB766" s="1"/>
      <c r="GD766" s="1"/>
      <c r="GE766" s="1"/>
      <c r="GF766" s="1"/>
      <c r="GG766" s="1"/>
      <c r="GH766" s="1"/>
      <c r="GI766" s="1"/>
      <c r="GJ766" s="1"/>
      <c r="GK766" s="1"/>
      <c r="GL766" s="1"/>
      <c r="GM766" s="1"/>
      <c r="GN766" s="1"/>
      <c r="GO766" s="1"/>
      <c r="GP766" s="1"/>
      <c r="GR766" s="1"/>
      <c r="GY766" s="1"/>
      <c r="HF766" s="1"/>
      <c r="HH766" s="1"/>
      <c r="HT766" s="1"/>
      <c r="HY766" s="1"/>
      <c r="IA766" s="1"/>
      <c r="IC766" s="1"/>
      <c r="ID766" s="1"/>
      <c r="IE766" s="1"/>
      <c r="IK766" s="1"/>
      <c r="IR766" s="1"/>
      <c r="IS766" s="1"/>
      <c r="IZ766" s="1"/>
      <c r="JC766" s="1"/>
      <c r="JF766" s="1"/>
      <c r="JG766" s="1"/>
      <c r="JH766" s="1"/>
      <c r="JJ766" s="1"/>
      <c r="JN766" s="1"/>
      <c r="JP766" s="1"/>
      <c r="JQ766" s="1"/>
      <c r="JT766" s="1"/>
      <c r="JW766" s="1"/>
      <c r="KS766" s="1"/>
      <c r="KT766" s="1"/>
      <c r="KU766" s="1"/>
      <c r="KY766" s="1"/>
      <c r="KZ766" s="1"/>
      <c r="LA766" s="1"/>
      <c r="LB766" s="1"/>
      <c r="LC766" s="1"/>
      <c r="LD766" s="1"/>
      <c r="LF766" s="1"/>
      <c r="LO766" s="1"/>
      <c r="LP766" s="1"/>
      <c r="LZ766" s="1"/>
      <c r="MA766" s="1"/>
    </row>
    <row r="767" spans="4:339" ht="13" x14ac:dyDescent="0.15">
      <c r="D767" s="12"/>
      <c r="E767" s="12"/>
      <c r="I767" s="12"/>
      <c r="J767" s="13"/>
      <c r="BF767" s="1"/>
      <c r="BG767" s="1"/>
      <c r="BH767" s="1"/>
      <c r="BI767" s="1"/>
      <c r="BJ767" s="1"/>
      <c r="BK767" s="1"/>
      <c r="BL767" s="1"/>
      <c r="BM767" s="1"/>
      <c r="BN767" s="1"/>
      <c r="BO767" s="1"/>
      <c r="BP767" s="1"/>
      <c r="BQ767" s="1"/>
      <c r="BR767" s="1"/>
      <c r="BX767" s="1"/>
      <c r="CC767" s="1"/>
      <c r="CD767" s="1"/>
      <c r="CE767" s="1"/>
      <c r="CF767" s="1"/>
      <c r="CG767" s="1"/>
      <c r="CH767" s="1"/>
      <c r="CI767" s="1"/>
      <c r="CJ767" s="1"/>
      <c r="CK767" s="1"/>
      <c r="CM767" s="2"/>
      <c r="CN767" s="1"/>
      <c r="CO767" s="1"/>
      <c r="CP767" s="1"/>
      <c r="CQ767" s="1"/>
      <c r="CS767" s="1"/>
      <c r="CT767" s="1"/>
      <c r="CU767" s="1"/>
      <c r="CV767" s="1"/>
      <c r="CW767" s="1"/>
      <c r="CX767" s="1"/>
      <c r="CY767" s="1"/>
      <c r="CZ767" s="1"/>
      <c r="DA767" s="1"/>
      <c r="DB767" s="1"/>
      <c r="DC767" s="1"/>
      <c r="DD767" s="1"/>
      <c r="DE767" s="1"/>
      <c r="DF767" s="1"/>
      <c r="DG767" s="1"/>
      <c r="DH767" s="1"/>
      <c r="DI767" s="1"/>
      <c r="DJ767" s="1"/>
      <c r="DK767" s="1"/>
      <c r="DM767" s="1"/>
      <c r="DQ767" s="1"/>
      <c r="DR767" s="1"/>
      <c r="DY767" s="1"/>
      <c r="DZ767" s="1"/>
      <c r="ED767" s="1"/>
      <c r="EK767" s="1"/>
      <c r="EL767" s="1"/>
      <c r="EM767" s="1"/>
      <c r="EN767" s="1"/>
      <c r="EQ767" s="1"/>
      <c r="ER767" s="1"/>
      <c r="ES767" s="1"/>
      <c r="EV767" s="1"/>
      <c r="EW767" s="1"/>
      <c r="EX767" s="1"/>
      <c r="EZ767" s="1"/>
      <c r="FA767" s="1"/>
      <c r="FD767" s="1"/>
      <c r="FG767" s="1"/>
      <c r="FH767" s="1"/>
      <c r="FI767" s="1"/>
      <c r="FJ767" s="1"/>
      <c r="FL767" s="1"/>
      <c r="FM767" s="1"/>
      <c r="FN767" s="1"/>
      <c r="FO767" s="1"/>
      <c r="FP767" s="1"/>
      <c r="FQ767" s="1"/>
      <c r="FS767" s="1"/>
      <c r="FU767" s="1"/>
      <c r="FV767" s="1"/>
      <c r="FX767" s="1"/>
      <c r="FZ767" s="1"/>
      <c r="GA767" s="1"/>
      <c r="GB767" s="1"/>
      <c r="GD767" s="1"/>
      <c r="GE767" s="1"/>
      <c r="GF767" s="1"/>
      <c r="GG767" s="1"/>
      <c r="GH767" s="1"/>
      <c r="GI767" s="1"/>
      <c r="GJ767" s="1"/>
      <c r="GK767" s="1"/>
      <c r="GL767" s="1"/>
      <c r="GM767" s="1"/>
      <c r="GN767" s="1"/>
      <c r="GO767" s="1"/>
      <c r="GP767" s="1"/>
      <c r="GR767" s="1"/>
      <c r="GY767" s="1"/>
      <c r="HF767" s="1"/>
      <c r="HH767" s="1"/>
      <c r="HT767" s="1"/>
      <c r="HY767" s="1"/>
      <c r="IA767" s="1"/>
      <c r="IC767" s="1"/>
      <c r="ID767" s="1"/>
      <c r="IE767" s="1"/>
      <c r="IK767" s="1"/>
      <c r="IR767" s="1"/>
      <c r="IS767" s="1"/>
      <c r="IZ767" s="1"/>
      <c r="JC767" s="1"/>
      <c r="JF767" s="1"/>
      <c r="JG767" s="1"/>
      <c r="JH767" s="1"/>
      <c r="JJ767" s="1"/>
      <c r="JN767" s="1"/>
      <c r="JP767" s="1"/>
      <c r="JQ767" s="1"/>
      <c r="JT767" s="1"/>
      <c r="JW767" s="1"/>
      <c r="KS767" s="1"/>
      <c r="KT767" s="1"/>
      <c r="KU767" s="1"/>
      <c r="KY767" s="1"/>
      <c r="KZ767" s="1"/>
      <c r="LA767" s="1"/>
      <c r="LB767" s="1"/>
      <c r="LC767" s="1"/>
      <c r="LD767" s="1"/>
      <c r="LF767" s="1"/>
      <c r="LO767" s="1"/>
      <c r="LP767" s="1"/>
      <c r="LZ767" s="1"/>
      <c r="MA767" s="1"/>
    </row>
    <row r="768" spans="4:339" ht="13" x14ac:dyDescent="0.15">
      <c r="D768" s="12"/>
      <c r="E768" s="12"/>
      <c r="I768" s="12"/>
      <c r="J768" s="13"/>
      <c r="BF768" s="1"/>
      <c r="BG768" s="1"/>
      <c r="BH768" s="1"/>
      <c r="BI768" s="1"/>
      <c r="BJ768" s="1"/>
      <c r="BK768" s="1"/>
      <c r="BL768" s="1"/>
      <c r="BM768" s="1"/>
      <c r="BN768" s="1"/>
      <c r="BO768" s="1"/>
      <c r="BP768" s="1"/>
      <c r="BQ768" s="1"/>
      <c r="BR768" s="1"/>
      <c r="BX768" s="1"/>
      <c r="CC768" s="1"/>
      <c r="CD768" s="1"/>
      <c r="CE768" s="1"/>
      <c r="CF768" s="1"/>
      <c r="CG768" s="1"/>
      <c r="CH768" s="1"/>
      <c r="CI768" s="1"/>
      <c r="CJ768" s="1"/>
      <c r="CK768" s="1"/>
      <c r="CM768" s="2"/>
      <c r="CN768" s="1"/>
      <c r="CO768" s="1"/>
      <c r="CP768" s="1"/>
      <c r="CQ768" s="1"/>
      <c r="CS768" s="1"/>
      <c r="CT768" s="1"/>
      <c r="CU768" s="1"/>
      <c r="CV768" s="1"/>
      <c r="CW768" s="1"/>
      <c r="CX768" s="1"/>
      <c r="CY768" s="1"/>
      <c r="CZ768" s="1"/>
      <c r="DA768" s="1"/>
      <c r="DB768" s="1"/>
      <c r="DC768" s="1"/>
      <c r="DD768" s="1"/>
      <c r="DE768" s="1"/>
      <c r="DF768" s="1"/>
      <c r="DG768" s="1"/>
      <c r="DH768" s="1"/>
      <c r="DI768" s="1"/>
      <c r="DJ768" s="1"/>
      <c r="DK768" s="1"/>
      <c r="DM768" s="1"/>
      <c r="DQ768" s="1"/>
      <c r="DR768" s="1"/>
      <c r="DY768" s="1"/>
      <c r="DZ768" s="1"/>
      <c r="ED768" s="1"/>
      <c r="EK768" s="1"/>
      <c r="EL768" s="1"/>
      <c r="EM768" s="1"/>
      <c r="EN768" s="1"/>
      <c r="EQ768" s="1"/>
      <c r="ER768" s="1"/>
      <c r="ES768" s="1"/>
      <c r="EV768" s="1"/>
      <c r="EW768" s="1"/>
      <c r="EX768" s="1"/>
      <c r="EZ768" s="1"/>
      <c r="FA768" s="1"/>
      <c r="FD768" s="1"/>
      <c r="FG768" s="1"/>
      <c r="FH768" s="1"/>
      <c r="FI768" s="1"/>
      <c r="FJ768" s="1"/>
      <c r="FL768" s="1"/>
      <c r="FM768" s="1"/>
      <c r="FN768" s="1"/>
      <c r="FO768" s="1"/>
      <c r="FP768" s="1"/>
      <c r="FQ768" s="1"/>
      <c r="FS768" s="1"/>
      <c r="FU768" s="1"/>
      <c r="FV768" s="1"/>
      <c r="FX768" s="1"/>
      <c r="FZ768" s="1"/>
      <c r="GA768" s="1"/>
      <c r="GB768" s="1"/>
      <c r="GD768" s="1"/>
      <c r="GE768" s="1"/>
      <c r="GF768" s="1"/>
      <c r="GG768" s="1"/>
      <c r="GH768" s="1"/>
      <c r="GI768" s="1"/>
      <c r="GJ768" s="1"/>
      <c r="GK768" s="1"/>
      <c r="GL768" s="1"/>
      <c r="GM768" s="1"/>
      <c r="GN768" s="1"/>
      <c r="GO768" s="1"/>
      <c r="GP768" s="1"/>
      <c r="GR768" s="1"/>
      <c r="GY768" s="1"/>
      <c r="HF768" s="1"/>
      <c r="HH768" s="1"/>
      <c r="HT768" s="1"/>
      <c r="HY768" s="1"/>
      <c r="IA768" s="1"/>
      <c r="IC768" s="1"/>
      <c r="ID768" s="1"/>
      <c r="IE768" s="1"/>
      <c r="IK768" s="1"/>
      <c r="IR768" s="1"/>
      <c r="IS768" s="1"/>
      <c r="IZ768" s="1"/>
      <c r="JC768" s="1"/>
      <c r="JF768" s="1"/>
      <c r="JG768" s="1"/>
      <c r="JH768" s="1"/>
      <c r="JJ768" s="1"/>
      <c r="JN768" s="1"/>
      <c r="JP768" s="1"/>
      <c r="JQ768" s="1"/>
      <c r="JT768" s="1"/>
      <c r="JW768" s="1"/>
      <c r="KS768" s="1"/>
      <c r="KT768" s="1"/>
      <c r="KU768" s="1"/>
      <c r="KY768" s="1"/>
      <c r="KZ768" s="1"/>
      <c r="LA768" s="1"/>
      <c r="LB768" s="1"/>
      <c r="LC768" s="1"/>
      <c r="LD768" s="1"/>
      <c r="LF768" s="1"/>
      <c r="LO768" s="1"/>
      <c r="LP768" s="1"/>
      <c r="LZ768" s="1"/>
      <c r="MA768" s="1"/>
    </row>
    <row r="769" spans="4:339" ht="13" x14ac:dyDescent="0.15">
      <c r="D769" s="12"/>
      <c r="E769" s="12"/>
      <c r="I769" s="12"/>
      <c r="J769" s="13"/>
      <c r="BF769" s="1"/>
      <c r="BG769" s="1"/>
      <c r="BH769" s="1"/>
      <c r="BI769" s="1"/>
      <c r="BJ769" s="1"/>
      <c r="BK769" s="1"/>
      <c r="BL769" s="1"/>
      <c r="BM769" s="1"/>
      <c r="BN769" s="1"/>
      <c r="BO769" s="1"/>
      <c r="BP769" s="1"/>
      <c r="BQ769" s="1"/>
      <c r="BR769" s="1"/>
      <c r="BX769" s="1"/>
      <c r="CC769" s="1"/>
      <c r="CD769" s="1"/>
      <c r="CE769" s="1"/>
      <c r="CF769" s="1"/>
      <c r="CG769" s="1"/>
      <c r="CH769" s="1"/>
      <c r="CI769" s="1"/>
      <c r="CJ769" s="1"/>
      <c r="CK769" s="1"/>
      <c r="CM769" s="2"/>
      <c r="CN769" s="1"/>
      <c r="CO769" s="1"/>
      <c r="CP769" s="1"/>
      <c r="CQ769" s="1"/>
      <c r="CS769" s="1"/>
      <c r="CT769" s="1"/>
      <c r="CU769" s="1"/>
      <c r="CV769" s="1"/>
      <c r="CW769" s="1"/>
      <c r="CX769" s="1"/>
      <c r="CY769" s="1"/>
      <c r="CZ769" s="1"/>
      <c r="DA769" s="1"/>
      <c r="DB769" s="1"/>
      <c r="DC769" s="1"/>
      <c r="DD769" s="1"/>
      <c r="DE769" s="1"/>
      <c r="DF769" s="1"/>
      <c r="DG769" s="1"/>
      <c r="DH769" s="1"/>
      <c r="DI769" s="1"/>
      <c r="DJ769" s="1"/>
      <c r="DK769" s="1"/>
      <c r="DM769" s="1"/>
      <c r="DQ769" s="1"/>
      <c r="DR769" s="1"/>
      <c r="DY769" s="1"/>
      <c r="DZ769" s="1"/>
      <c r="ED769" s="1"/>
      <c r="EK769" s="1"/>
      <c r="EL769" s="1"/>
      <c r="EM769" s="1"/>
      <c r="EN769" s="1"/>
      <c r="EQ769" s="1"/>
      <c r="ER769" s="1"/>
      <c r="ES769" s="1"/>
      <c r="EV769" s="1"/>
      <c r="EW769" s="1"/>
      <c r="EX769" s="1"/>
      <c r="EZ769" s="1"/>
      <c r="FA769" s="1"/>
      <c r="FD769" s="1"/>
      <c r="FG769" s="1"/>
      <c r="FH769" s="1"/>
      <c r="FI769" s="1"/>
      <c r="FJ769" s="1"/>
      <c r="FL769" s="1"/>
      <c r="FM769" s="1"/>
      <c r="FN769" s="1"/>
      <c r="FO769" s="1"/>
      <c r="FP769" s="1"/>
      <c r="FQ769" s="1"/>
      <c r="FS769" s="1"/>
      <c r="FU769" s="1"/>
      <c r="FV769" s="1"/>
      <c r="FX769" s="1"/>
      <c r="FZ769" s="1"/>
      <c r="GA769" s="1"/>
      <c r="GB769" s="1"/>
      <c r="GD769" s="1"/>
      <c r="GE769" s="1"/>
      <c r="GF769" s="1"/>
      <c r="GG769" s="1"/>
      <c r="GH769" s="1"/>
      <c r="GI769" s="1"/>
      <c r="GJ769" s="1"/>
      <c r="GK769" s="1"/>
      <c r="GL769" s="1"/>
      <c r="GM769" s="1"/>
      <c r="GN769" s="1"/>
      <c r="GO769" s="1"/>
      <c r="GP769" s="1"/>
      <c r="GR769" s="1"/>
      <c r="GY769" s="1"/>
      <c r="HF769" s="1"/>
      <c r="HH769" s="1"/>
      <c r="HT769" s="1"/>
      <c r="HY769" s="1"/>
      <c r="IA769" s="1"/>
      <c r="IC769" s="1"/>
      <c r="ID769" s="1"/>
      <c r="IE769" s="1"/>
      <c r="IK769" s="1"/>
      <c r="IR769" s="1"/>
      <c r="IS769" s="1"/>
      <c r="IZ769" s="1"/>
      <c r="JC769" s="1"/>
      <c r="JF769" s="1"/>
      <c r="JG769" s="1"/>
      <c r="JH769" s="1"/>
      <c r="JJ769" s="1"/>
      <c r="JN769" s="1"/>
      <c r="JP769" s="1"/>
      <c r="JQ769" s="1"/>
      <c r="JT769" s="1"/>
      <c r="JW769" s="1"/>
      <c r="KS769" s="1"/>
      <c r="KT769" s="1"/>
      <c r="KU769" s="1"/>
      <c r="KY769" s="1"/>
      <c r="KZ769" s="1"/>
      <c r="LA769" s="1"/>
      <c r="LB769" s="1"/>
      <c r="LC769" s="1"/>
      <c r="LD769" s="1"/>
      <c r="LF769" s="1"/>
      <c r="LO769" s="1"/>
      <c r="LP769" s="1"/>
      <c r="LZ769" s="1"/>
      <c r="MA769" s="1"/>
    </row>
    <row r="770" spans="4:339" ht="13" x14ac:dyDescent="0.15">
      <c r="D770" s="12"/>
      <c r="E770" s="12"/>
      <c r="I770" s="12"/>
      <c r="J770" s="13"/>
      <c r="BF770" s="1"/>
      <c r="BG770" s="1"/>
      <c r="BH770" s="1"/>
      <c r="BI770" s="1"/>
      <c r="BJ770" s="1"/>
      <c r="BK770" s="1"/>
      <c r="BL770" s="1"/>
      <c r="BM770" s="1"/>
      <c r="BN770" s="1"/>
      <c r="BO770" s="1"/>
      <c r="BP770" s="1"/>
      <c r="BQ770" s="1"/>
      <c r="BR770" s="1"/>
      <c r="BX770" s="1"/>
      <c r="CC770" s="1"/>
      <c r="CD770" s="1"/>
      <c r="CE770" s="1"/>
      <c r="CF770" s="1"/>
      <c r="CG770" s="1"/>
      <c r="CH770" s="1"/>
      <c r="CI770" s="1"/>
      <c r="CJ770" s="1"/>
      <c r="CK770" s="1"/>
      <c r="CM770" s="2"/>
      <c r="CN770" s="1"/>
      <c r="CO770" s="1"/>
      <c r="CP770" s="1"/>
      <c r="CQ770" s="1"/>
      <c r="CS770" s="1"/>
      <c r="CT770" s="1"/>
      <c r="CU770" s="1"/>
      <c r="CV770" s="1"/>
      <c r="CW770" s="1"/>
      <c r="CX770" s="1"/>
      <c r="CY770" s="1"/>
      <c r="CZ770" s="1"/>
      <c r="DA770" s="1"/>
      <c r="DB770" s="1"/>
      <c r="DC770" s="1"/>
      <c r="DD770" s="1"/>
      <c r="DE770" s="1"/>
      <c r="DF770" s="1"/>
      <c r="DG770" s="1"/>
      <c r="DH770" s="1"/>
      <c r="DI770" s="1"/>
      <c r="DJ770" s="1"/>
      <c r="DK770" s="1"/>
      <c r="DM770" s="1"/>
      <c r="DQ770" s="1"/>
      <c r="DR770" s="1"/>
      <c r="DY770" s="1"/>
      <c r="DZ770" s="1"/>
      <c r="ED770" s="1"/>
      <c r="EK770" s="1"/>
      <c r="EL770" s="1"/>
      <c r="EM770" s="1"/>
      <c r="EN770" s="1"/>
      <c r="EQ770" s="1"/>
      <c r="ER770" s="1"/>
      <c r="ES770" s="1"/>
      <c r="EV770" s="1"/>
      <c r="EW770" s="1"/>
      <c r="EX770" s="1"/>
      <c r="EZ770" s="1"/>
      <c r="FA770" s="1"/>
      <c r="FD770" s="1"/>
      <c r="FG770" s="1"/>
      <c r="FH770" s="1"/>
      <c r="FI770" s="1"/>
      <c r="FJ770" s="1"/>
      <c r="FL770" s="1"/>
      <c r="FM770" s="1"/>
      <c r="FN770" s="1"/>
      <c r="FO770" s="1"/>
      <c r="FP770" s="1"/>
      <c r="FQ770" s="1"/>
      <c r="FS770" s="1"/>
      <c r="FU770" s="1"/>
      <c r="FV770" s="1"/>
      <c r="FX770" s="1"/>
      <c r="FZ770" s="1"/>
      <c r="GA770" s="1"/>
      <c r="GB770" s="1"/>
      <c r="GD770" s="1"/>
      <c r="GE770" s="1"/>
      <c r="GF770" s="1"/>
      <c r="GG770" s="1"/>
      <c r="GH770" s="1"/>
      <c r="GI770" s="1"/>
      <c r="GJ770" s="1"/>
      <c r="GK770" s="1"/>
      <c r="GL770" s="1"/>
      <c r="GM770" s="1"/>
      <c r="GN770" s="1"/>
      <c r="GO770" s="1"/>
      <c r="GP770" s="1"/>
      <c r="GR770" s="1"/>
      <c r="GY770" s="1"/>
      <c r="HF770" s="1"/>
      <c r="HH770" s="1"/>
      <c r="HT770" s="1"/>
      <c r="HY770" s="1"/>
      <c r="IA770" s="1"/>
      <c r="IC770" s="1"/>
      <c r="ID770" s="1"/>
      <c r="IE770" s="1"/>
      <c r="IK770" s="1"/>
      <c r="IR770" s="1"/>
      <c r="IS770" s="1"/>
      <c r="IZ770" s="1"/>
      <c r="JC770" s="1"/>
      <c r="JF770" s="1"/>
      <c r="JG770" s="1"/>
      <c r="JH770" s="1"/>
      <c r="JJ770" s="1"/>
      <c r="JN770" s="1"/>
      <c r="JP770" s="1"/>
      <c r="JQ770" s="1"/>
      <c r="JT770" s="1"/>
      <c r="JW770" s="1"/>
      <c r="KS770" s="1"/>
      <c r="KT770" s="1"/>
      <c r="KU770" s="1"/>
      <c r="KY770" s="1"/>
      <c r="KZ770" s="1"/>
      <c r="LA770" s="1"/>
      <c r="LB770" s="1"/>
      <c r="LC770" s="1"/>
      <c r="LD770" s="1"/>
      <c r="LF770" s="1"/>
      <c r="LO770" s="1"/>
      <c r="LP770" s="1"/>
      <c r="LZ770" s="1"/>
      <c r="MA770" s="1"/>
    </row>
    <row r="771" spans="4:339" ht="13" x14ac:dyDescent="0.15">
      <c r="D771" s="12"/>
      <c r="E771" s="12"/>
      <c r="I771" s="12"/>
      <c r="J771" s="13"/>
      <c r="BF771" s="1"/>
      <c r="BG771" s="1"/>
      <c r="BH771" s="1"/>
      <c r="BI771" s="1"/>
      <c r="BJ771" s="1"/>
      <c r="BK771" s="1"/>
      <c r="BL771" s="1"/>
      <c r="BM771" s="1"/>
      <c r="BN771" s="1"/>
      <c r="BO771" s="1"/>
      <c r="BP771" s="1"/>
      <c r="BQ771" s="1"/>
      <c r="BR771" s="1"/>
      <c r="BX771" s="1"/>
      <c r="CC771" s="1"/>
      <c r="CD771" s="1"/>
      <c r="CE771" s="1"/>
      <c r="CF771" s="1"/>
      <c r="CG771" s="1"/>
      <c r="CH771" s="1"/>
      <c r="CI771" s="1"/>
      <c r="CJ771" s="1"/>
      <c r="CK771" s="1"/>
      <c r="CM771" s="2"/>
      <c r="CN771" s="1"/>
      <c r="CO771" s="1"/>
      <c r="CP771" s="1"/>
      <c r="CQ771" s="1"/>
      <c r="CS771" s="1"/>
      <c r="CT771" s="1"/>
      <c r="CU771" s="1"/>
      <c r="CV771" s="1"/>
      <c r="CW771" s="1"/>
      <c r="CX771" s="1"/>
      <c r="CY771" s="1"/>
      <c r="CZ771" s="1"/>
      <c r="DA771" s="1"/>
      <c r="DB771" s="1"/>
      <c r="DC771" s="1"/>
      <c r="DD771" s="1"/>
      <c r="DE771" s="1"/>
      <c r="DF771" s="1"/>
      <c r="DG771" s="1"/>
      <c r="DH771" s="1"/>
      <c r="DI771" s="1"/>
      <c r="DJ771" s="1"/>
      <c r="DK771" s="1"/>
      <c r="DM771" s="1"/>
      <c r="DQ771" s="1"/>
      <c r="DR771" s="1"/>
      <c r="DY771" s="1"/>
      <c r="DZ771" s="1"/>
      <c r="ED771" s="1"/>
      <c r="EK771" s="1"/>
      <c r="EL771" s="1"/>
      <c r="EM771" s="1"/>
      <c r="EN771" s="1"/>
      <c r="EQ771" s="1"/>
      <c r="ER771" s="1"/>
      <c r="ES771" s="1"/>
      <c r="EV771" s="1"/>
      <c r="EW771" s="1"/>
      <c r="EX771" s="1"/>
      <c r="EZ771" s="1"/>
      <c r="FA771" s="1"/>
      <c r="FD771" s="1"/>
      <c r="FG771" s="1"/>
      <c r="FH771" s="1"/>
      <c r="FI771" s="1"/>
      <c r="FJ771" s="1"/>
      <c r="FL771" s="1"/>
      <c r="FM771" s="1"/>
      <c r="FN771" s="1"/>
      <c r="FO771" s="1"/>
      <c r="FP771" s="1"/>
      <c r="FQ771" s="1"/>
      <c r="FS771" s="1"/>
      <c r="FU771" s="1"/>
      <c r="FV771" s="1"/>
      <c r="FX771" s="1"/>
      <c r="FZ771" s="1"/>
      <c r="GA771" s="1"/>
      <c r="GB771" s="1"/>
      <c r="GD771" s="1"/>
      <c r="GE771" s="1"/>
      <c r="GF771" s="1"/>
      <c r="GG771" s="1"/>
      <c r="GH771" s="1"/>
      <c r="GI771" s="1"/>
      <c r="GJ771" s="1"/>
      <c r="GK771" s="1"/>
      <c r="GL771" s="1"/>
      <c r="GM771" s="1"/>
      <c r="GN771" s="1"/>
      <c r="GO771" s="1"/>
      <c r="GP771" s="1"/>
      <c r="GR771" s="1"/>
      <c r="GY771" s="1"/>
      <c r="HF771" s="1"/>
      <c r="HH771" s="1"/>
      <c r="HT771" s="1"/>
      <c r="HY771" s="1"/>
      <c r="IA771" s="1"/>
      <c r="IC771" s="1"/>
      <c r="ID771" s="1"/>
      <c r="IE771" s="1"/>
      <c r="IK771" s="1"/>
      <c r="IR771" s="1"/>
      <c r="IS771" s="1"/>
      <c r="IZ771" s="1"/>
      <c r="JC771" s="1"/>
      <c r="JF771" s="1"/>
      <c r="JG771" s="1"/>
      <c r="JH771" s="1"/>
      <c r="JJ771" s="1"/>
      <c r="JN771" s="1"/>
      <c r="JP771" s="1"/>
      <c r="JQ771" s="1"/>
      <c r="JT771" s="1"/>
      <c r="JW771" s="1"/>
      <c r="KS771" s="1"/>
      <c r="KT771" s="1"/>
      <c r="KU771" s="1"/>
      <c r="KY771" s="1"/>
      <c r="KZ771" s="1"/>
      <c r="LA771" s="1"/>
      <c r="LB771" s="1"/>
      <c r="LC771" s="1"/>
      <c r="LD771" s="1"/>
      <c r="LF771" s="1"/>
      <c r="LO771" s="1"/>
      <c r="LP771" s="1"/>
      <c r="LZ771" s="1"/>
      <c r="MA771" s="1"/>
    </row>
    <row r="772" spans="4:339" ht="13" x14ac:dyDescent="0.15">
      <c r="D772" s="12"/>
      <c r="E772" s="12"/>
      <c r="I772" s="12"/>
      <c r="J772" s="13"/>
      <c r="BF772" s="1"/>
      <c r="BG772" s="1"/>
      <c r="BH772" s="1"/>
      <c r="BI772" s="1"/>
      <c r="BJ772" s="1"/>
      <c r="BK772" s="1"/>
      <c r="BL772" s="1"/>
      <c r="BM772" s="1"/>
      <c r="BN772" s="1"/>
      <c r="BO772" s="1"/>
      <c r="BP772" s="1"/>
      <c r="BQ772" s="1"/>
      <c r="BR772" s="1"/>
      <c r="BX772" s="1"/>
      <c r="CC772" s="1"/>
      <c r="CD772" s="1"/>
      <c r="CE772" s="1"/>
      <c r="CF772" s="1"/>
      <c r="CG772" s="1"/>
      <c r="CH772" s="1"/>
      <c r="CI772" s="1"/>
      <c r="CJ772" s="1"/>
      <c r="CK772" s="1"/>
      <c r="CM772" s="2"/>
      <c r="CN772" s="1"/>
      <c r="CO772" s="1"/>
      <c r="CP772" s="1"/>
      <c r="CQ772" s="1"/>
      <c r="CS772" s="1"/>
      <c r="CT772" s="1"/>
      <c r="CU772" s="1"/>
      <c r="CV772" s="1"/>
      <c r="CW772" s="1"/>
      <c r="CX772" s="1"/>
      <c r="CY772" s="1"/>
      <c r="CZ772" s="1"/>
      <c r="DA772" s="1"/>
      <c r="DB772" s="1"/>
      <c r="DC772" s="1"/>
      <c r="DD772" s="1"/>
      <c r="DE772" s="1"/>
      <c r="DF772" s="1"/>
      <c r="DG772" s="1"/>
      <c r="DH772" s="1"/>
      <c r="DI772" s="1"/>
      <c r="DJ772" s="1"/>
      <c r="DK772" s="1"/>
      <c r="DM772" s="1"/>
      <c r="DQ772" s="1"/>
      <c r="DR772" s="1"/>
      <c r="DY772" s="1"/>
      <c r="DZ772" s="1"/>
      <c r="ED772" s="1"/>
      <c r="EK772" s="1"/>
      <c r="EL772" s="1"/>
      <c r="EM772" s="1"/>
      <c r="EN772" s="1"/>
      <c r="EQ772" s="1"/>
      <c r="ER772" s="1"/>
      <c r="ES772" s="1"/>
      <c r="EV772" s="1"/>
      <c r="EW772" s="1"/>
      <c r="EX772" s="1"/>
      <c r="EZ772" s="1"/>
      <c r="FA772" s="1"/>
      <c r="FD772" s="1"/>
      <c r="FG772" s="1"/>
      <c r="FH772" s="1"/>
      <c r="FI772" s="1"/>
      <c r="FJ772" s="1"/>
      <c r="FL772" s="1"/>
      <c r="FM772" s="1"/>
      <c r="FN772" s="1"/>
      <c r="FO772" s="1"/>
      <c r="FP772" s="1"/>
      <c r="FQ772" s="1"/>
      <c r="FS772" s="1"/>
      <c r="FU772" s="1"/>
      <c r="FV772" s="1"/>
      <c r="FX772" s="1"/>
      <c r="FZ772" s="1"/>
      <c r="GA772" s="1"/>
      <c r="GB772" s="1"/>
      <c r="GD772" s="1"/>
      <c r="GE772" s="1"/>
      <c r="GF772" s="1"/>
      <c r="GG772" s="1"/>
      <c r="GH772" s="1"/>
      <c r="GI772" s="1"/>
      <c r="GJ772" s="1"/>
      <c r="GK772" s="1"/>
      <c r="GL772" s="1"/>
      <c r="GM772" s="1"/>
      <c r="GN772" s="1"/>
      <c r="GO772" s="1"/>
      <c r="GP772" s="1"/>
      <c r="GR772" s="1"/>
      <c r="GY772" s="1"/>
      <c r="HF772" s="1"/>
      <c r="HH772" s="1"/>
      <c r="HT772" s="1"/>
      <c r="HY772" s="1"/>
      <c r="IA772" s="1"/>
      <c r="IC772" s="1"/>
      <c r="ID772" s="1"/>
      <c r="IE772" s="1"/>
      <c r="IK772" s="1"/>
      <c r="IR772" s="1"/>
      <c r="IS772" s="1"/>
      <c r="IZ772" s="1"/>
      <c r="JC772" s="1"/>
      <c r="JF772" s="1"/>
      <c r="JG772" s="1"/>
      <c r="JH772" s="1"/>
      <c r="JJ772" s="1"/>
      <c r="JN772" s="1"/>
      <c r="JP772" s="1"/>
      <c r="JQ772" s="1"/>
      <c r="JT772" s="1"/>
      <c r="JW772" s="1"/>
      <c r="KS772" s="1"/>
      <c r="KT772" s="1"/>
      <c r="KU772" s="1"/>
      <c r="KY772" s="1"/>
      <c r="KZ772" s="1"/>
      <c r="LA772" s="1"/>
      <c r="LB772" s="1"/>
      <c r="LC772" s="1"/>
      <c r="LD772" s="1"/>
      <c r="LF772" s="1"/>
      <c r="LO772" s="1"/>
      <c r="LP772" s="1"/>
      <c r="LZ772" s="1"/>
      <c r="MA772" s="1"/>
    </row>
    <row r="773" spans="4:339" ht="13" x14ac:dyDescent="0.15">
      <c r="D773" s="12"/>
      <c r="E773" s="12"/>
      <c r="I773" s="12"/>
      <c r="J773" s="13"/>
      <c r="BF773" s="1"/>
      <c r="BG773" s="1"/>
      <c r="BH773" s="1"/>
      <c r="BI773" s="1"/>
      <c r="BJ773" s="1"/>
      <c r="BK773" s="1"/>
      <c r="BL773" s="1"/>
      <c r="BM773" s="1"/>
      <c r="BN773" s="1"/>
      <c r="BO773" s="1"/>
      <c r="BP773" s="1"/>
      <c r="BQ773" s="1"/>
      <c r="BR773" s="1"/>
      <c r="BX773" s="1"/>
      <c r="CC773" s="1"/>
      <c r="CD773" s="1"/>
      <c r="CE773" s="1"/>
      <c r="CF773" s="1"/>
      <c r="CG773" s="1"/>
      <c r="CH773" s="1"/>
      <c r="CI773" s="1"/>
      <c r="CJ773" s="1"/>
      <c r="CK773" s="1"/>
      <c r="CM773" s="2"/>
      <c r="CN773" s="1"/>
      <c r="CO773" s="1"/>
      <c r="CP773" s="1"/>
      <c r="CQ773" s="1"/>
      <c r="CS773" s="1"/>
      <c r="CT773" s="1"/>
      <c r="CU773" s="1"/>
      <c r="CV773" s="1"/>
      <c r="CW773" s="1"/>
      <c r="CX773" s="1"/>
      <c r="CY773" s="1"/>
      <c r="CZ773" s="1"/>
      <c r="DA773" s="1"/>
      <c r="DB773" s="1"/>
      <c r="DC773" s="1"/>
      <c r="DD773" s="1"/>
      <c r="DE773" s="1"/>
      <c r="DF773" s="1"/>
      <c r="DG773" s="1"/>
      <c r="DH773" s="1"/>
      <c r="DI773" s="1"/>
      <c r="DJ773" s="1"/>
      <c r="DK773" s="1"/>
      <c r="DM773" s="1"/>
      <c r="DQ773" s="1"/>
      <c r="DR773" s="1"/>
      <c r="DY773" s="1"/>
      <c r="DZ773" s="1"/>
      <c r="ED773" s="1"/>
      <c r="EK773" s="1"/>
      <c r="EL773" s="1"/>
      <c r="EM773" s="1"/>
      <c r="EN773" s="1"/>
      <c r="EQ773" s="1"/>
      <c r="ER773" s="1"/>
      <c r="ES773" s="1"/>
      <c r="EV773" s="1"/>
      <c r="EW773" s="1"/>
      <c r="EX773" s="1"/>
      <c r="EZ773" s="1"/>
      <c r="FA773" s="1"/>
      <c r="FD773" s="1"/>
      <c r="FG773" s="1"/>
      <c r="FH773" s="1"/>
      <c r="FI773" s="1"/>
      <c r="FJ773" s="1"/>
      <c r="FL773" s="1"/>
      <c r="FM773" s="1"/>
      <c r="FN773" s="1"/>
      <c r="FO773" s="1"/>
      <c r="FP773" s="1"/>
      <c r="FQ773" s="1"/>
      <c r="FS773" s="1"/>
      <c r="FU773" s="1"/>
      <c r="FV773" s="1"/>
      <c r="FX773" s="1"/>
      <c r="FZ773" s="1"/>
      <c r="GA773" s="1"/>
      <c r="GB773" s="1"/>
      <c r="GD773" s="1"/>
      <c r="GE773" s="1"/>
      <c r="GF773" s="1"/>
      <c r="GG773" s="1"/>
      <c r="GH773" s="1"/>
      <c r="GI773" s="1"/>
      <c r="GJ773" s="1"/>
      <c r="GK773" s="1"/>
      <c r="GL773" s="1"/>
      <c r="GM773" s="1"/>
      <c r="GN773" s="1"/>
      <c r="GO773" s="1"/>
      <c r="GP773" s="1"/>
      <c r="GR773" s="1"/>
      <c r="GY773" s="1"/>
      <c r="HF773" s="1"/>
      <c r="HH773" s="1"/>
      <c r="HT773" s="1"/>
      <c r="HY773" s="1"/>
      <c r="IA773" s="1"/>
      <c r="IC773" s="1"/>
      <c r="ID773" s="1"/>
      <c r="IE773" s="1"/>
      <c r="IK773" s="1"/>
      <c r="IR773" s="1"/>
      <c r="IS773" s="1"/>
      <c r="IZ773" s="1"/>
      <c r="JC773" s="1"/>
      <c r="JF773" s="1"/>
      <c r="JG773" s="1"/>
      <c r="JH773" s="1"/>
      <c r="JJ773" s="1"/>
      <c r="JN773" s="1"/>
      <c r="JP773" s="1"/>
      <c r="JQ773" s="1"/>
      <c r="JT773" s="1"/>
      <c r="JW773" s="1"/>
      <c r="KS773" s="1"/>
      <c r="KT773" s="1"/>
      <c r="KU773" s="1"/>
      <c r="KY773" s="1"/>
      <c r="KZ773" s="1"/>
      <c r="LA773" s="1"/>
      <c r="LB773" s="1"/>
      <c r="LC773" s="1"/>
      <c r="LD773" s="1"/>
      <c r="LF773" s="1"/>
      <c r="LO773" s="1"/>
      <c r="LP773" s="1"/>
      <c r="LZ773" s="1"/>
      <c r="MA773" s="1"/>
    </row>
    <row r="774" spans="4:339" ht="13" x14ac:dyDescent="0.15">
      <c r="D774" s="12"/>
      <c r="E774" s="12"/>
      <c r="I774" s="12"/>
      <c r="J774" s="13"/>
      <c r="BF774" s="1"/>
      <c r="BG774" s="1"/>
      <c r="BH774" s="1"/>
      <c r="BI774" s="1"/>
      <c r="BJ774" s="1"/>
      <c r="BK774" s="1"/>
      <c r="BL774" s="1"/>
      <c r="BM774" s="1"/>
      <c r="BN774" s="1"/>
      <c r="BO774" s="1"/>
      <c r="BP774" s="1"/>
      <c r="BQ774" s="1"/>
      <c r="BR774" s="1"/>
      <c r="BX774" s="1"/>
      <c r="CC774" s="1"/>
      <c r="CD774" s="1"/>
      <c r="CE774" s="1"/>
      <c r="CF774" s="1"/>
      <c r="CG774" s="1"/>
      <c r="CH774" s="1"/>
      <c r="CI774" s="1"/>
      <c r="CJ774" s="1"/>
      <c r="CK774" s="1"/>
      <c r="CM774" s="2"/>
      <c r="CN774" s="1"/>
      <c r="CO774" s="1"/>
      <c r="CP774" s="1"/>
      <c r="CQ774" s="1"/>
      <c r="CS774" s="1"/>
      <c r="CT774" s="1"/>
      <c r="CU774" s="1"/>
      <c r="CV774" s="1"/>
      <c r="CW774" s="1"/>
      <c r="CX774" s="1"/>
      <c r="CY774" s="1"/>
      <c r="CZ774" s="1"/>
      <c r="DA774" s="1"/>
      <c r="DB774" s="1"/>
      <c r="DC774" s="1"/>
      <c r="DD774" s="1"/>
      <c r="DE774" s="1"/>
      <c r="DF774" s="1"/>
      <c r="DG774" s="1"/>
      <c r="DH774" s="1"/>
      <c r="DI774" s="1"/>
      <c r="DJ774" s="1"/>
      <c r="DK774" s="1"/>
      <c r="DM774" s="1"/>
      <c r="DQ774" s="1"/>
      <c r="DR774" s="1"/>
      <c r="DY774" s="1"/>
      <c r="DZ774" s="1"/>
      <c r="ED774" s="1"/>
      <c r="EK774" s="1"/>
      <c r="EL774" s="1"/>
      <c r="EM774" s="1"/>
      <c r="EN774" s="1"/>
      <c r="EQ774" s="1"/>
      <c r="ER774" s="1"/>
      <c r="ES774" s="1"/>
      <c r="EV774" s="1"/>
      <c r="EW774" s="1"/>
      <c r="EX774" s="1"/>
      <c r="EZ774" s="1"/>
      <c r="FA774" s="1"/>
      <c r="FD774" s="1"/>
      <c r="FG774" s="1"/>
      <c r="FH774" s="1"/>
      <c r="FI774" s="1"/>
      <c r="FJ774" s="1"/>
      <c r="FL774" s="1"/>
      <c r="FM774" s="1"/>
      <c r="FN774" s="1"/>
      <c r="FO774" s="1"/>
      <c r="FP774" s="1"/>
      <c r="FQ774" s="1"/>
      <c r="FS774" s="1"/>
      <c r="FU774" s="1"/>
      <c r="FV774" s="1"/>
      <c r="FX774" s="1"/>
      <c r="FZ774" s="1"/>
      <c r="GA774" s="1"/>
      <c r="GB774" s="1"/>
      <c r="GD774" s="1"/>
      <c r="GE774" s="1"/>
      <c r="GF774" s="1"/>
      <c r="GG774" s="1"/>
      <c r="GH774" s="1"/>
      <c r="GI774" s="1"/>
      <c r="GJ774" s="1"/>
      <c r="GK774" s="1"/>
      <c r="GL774" s="1"/>
      <c r="GM774" s="1"/>
      <c r="GN774" s="1"/>
      <c r="GO774" s="1"/>
      <c r="GP774" s="1"/>
      <c r="GR774" s="1"/>
      <c r="GY774" s="1"/>
      <c r="HF774" s="1"/>
      <c r="HH774" s="1"/>
      <c r="HT774" s="1"/>
      <c r="HY774" s="1"/>
      <c r="IA774" s="1"/>
      <c r="IC774" s="1"/>
      <c r="ID774" s="1"/>
      <c r="IE774" s="1"/>
      <c r="IK774" s="1"/>
      <c r="IR774" s="1"/>
      <c r="IS774" s="1"/>
      <c r="IZ774" s="1"/>
      <c r="JC774" s="1"/>
      <c r="JF774" s="1"/>
      <c r="JG774" s="1"/>
      <c r="JH774" s="1"/>
      <c r="JJ774" s="1"/>
      <c r="JN774" s="1"/>
      <c r="JP774" s="1"/>
      <c r="JQ774" s="1"/>
      <c r="JT774" s="1"/>
      <c r="JW774" s="1"/>
      <c r="KS774" s="1"/>
      <c r="KT774" s="1"/>
      <c r="KU774" s="1"/>
      <c r="KY774" s="1"/>
      <c r="KZ774" s="1"/>
      <c r="LA774" s="1"/>
      <c r="LB774" s="1"/>
      <c r="LC774" s="1"/>
      <c r="LD774" s="1"/>
      <c r="LF774" s="1"/>
      <c r="LO774" s="1"/>
      <c r="LP774" s="1"/>
      <c r="LZ774" s="1"/>
      <c r="MA774" s="1"/>
    </row>
    <row r="775" spans="4:339" ht="13" x14ac:dyDescent="0.15">
      <c r="D775" s="12"/>
      <c r="E775" s="12"/>
      <c r="I775" s="12"/>
      <c r="J775" s="13"/>
      <c r="BF775" s="1"/>
      <c r="BG775" s="1"/>
      <c r="BH775" s="1"/>
      <c r="BI775" s="1"/>
      <c r="BJ775" s="1"/>
      <c r="BK775" s="1"/>
      <c r="BL775" s="1"/>
      <c r="BM775" s="1"/>
      <c r="BN775" s="1"/>
      <c r="BO775" s="1"/>
      <c r="BP775" s="1"/>
      <c r="BQ775" s="1"/>
      <c r="BR775" s="1"/>
      <c r="BX775" s="1"/>
      <c r="CC775" s="1"/>
      <c r="CD775" s="1"/>
      <c r="CE775" s="1"/>
      <c r="CF775" s="1"/>
      <c r="CG775" s="1"/>
      <c r="CH775" s="1"/>
      <c r="CI775" s="1"/>
      <c r="CJ775" s="1"/>
      <c r="CK775" s="1"/>
      <c r="CM775" s="2"/>
      <c r="CN775" s="1"/>
      <c r="CO775" s="1"/>
      <c r="CP775" s="1"/>
      <c r="CQ775" s="1"/>
      <c r="CS775" s="1"/>
      <c r="CT775" s="1"/>
      <c r="CU775" s="1"/>
      <c r="CV775" s="1"/>
      <c r="CW775" s="1"/>
      <c r="CX775" s="1"/>
      <c r="CY775" s="1"/>
      <c r="CZ775" s="1"/>
      <c r="DA775" s="1"/>
      <c r="DB775" s="1"/>
      <c r="DC775" s="1"/>
      <c r="DD775" s="1"/>
      <c r="DE775" s="1"/>
      <c r="DF775" s="1"/>
      <c r="DG775" s="1"/>
      <c r="DH775" s="1"/>
      <c r="DI775" s="1"/>
      <c r="DJ775" s="1"/>
      <c r="DK775" s="1"/>
      <c r="DM775" s="1"/>
      <c r="DQ775" s="1"/>
      <c r="DR775" s="1"/>
      <c r="DY775" s="1"/>
      <c r="DZ775" s="1"/>
      <c r="ED775" s="1"/>
      <c r="EK775" s="1"/>
      <c r="EL775" s="1"/>
      <c r="EM775" s="1"/>
      <c r="EN775" s="1"/>
      <c r="EQ775" s="1"/>
      <c r="ER775" s="1"/>
      <c r="ES775" s="1"/>
      <c r="EV775" s="1"/>
      <c r="EW775" s="1"/>
      <c r="EX775" s="1"/>
      <c r="EZ775" s="1"/>
      <c r="FA775" s="1"/>
      <c r="FD775" s="1"/>
      <c r="FG775" s="1"/>
      <c r="FH775" s="1"/>
      <c r="FI775" s="1"/>
      <c r="FJ775" s="1"/>
      <c r="FL775" s="1"/>
      <c r="FM775" s="1"/>
      <c r="FN775" s="1"/>
      <c r="FO775" s="1"/>
      <c r="FP775" s="1"/>
      <c r="FQ775" s="1"/>
      <c r="FS775" s="1"/>
      <c r="FU775" s="1"/>
      <c r="FV775" s="1"/>
      <c r="FX775" s="1"/>
      <c r="FZ775" s="1"/>
      <c r="GA775" s="1"/>
      <c r="GB775" s="1"/>
      <c r="GD775" s="1"/>
      <c r="GE775" s="1"/>
      <c r="GF775" s="1"/>
      <c r="GG775" s="1"/>
      <c r="GH775" s="1"/>
      <c r="GI775" s="1"/>
      <c r="GJ775" s="1"/>
      <c r="GK775" s="1"/>
      <c r="GL775" s="1"/>
      <c r="GM775" s="1"/>
      <c r="GN775" s="1"/>
      <c r="GO775" s="1"/>
      <c r="GP775" s="1"/>
      <c r="GR775" s="1"/>
      <c r="GY775" s="1"/>
      <c r="HF775" s="1"/>
      <c r="HH775" s="1"/>
      <c r="HT775" s="1"/>
      <c r="HY775" s="1"/>
      <c r="IA775" s="1"/>
      <c r="IC775" s="1"/>
      <c r="ID775" s="1"/>
      <c r="IE775" s="1"/>
      <c r="IK775" s="1"/>
      <c r="IR775" s="1"/>
      <c r="IS775" s="1"/>
      <c r="IZ775" s="1"/>
      <c r="JC775" s="1"/>
      <c r="JF775" s="1"/>
      <c r="JG775" s="1"/>
      <c r="JH775" s="1"/>
      <c r="JJ775" s="1"/>
      <c r="JN775" s="1"/>
      <c r="JP775" s="1"/>
      <c r="JQ775" s="1"/>
      <c r="JT775" s="1"/>
      <c r="JW775" s="1"/>
      <c r="KS775" s="1"/>
      <c r="KT775" s="1"/>
      <c r="KU775" s="1"/>
      <c r="KY775" s="1"/>
      <c r="KZ775" s="1"/>
      <c r="LA775" s="1"/>
      <c r="LB775" s="1"/>
      <c r="LC775" s="1"/>
      <c r="LD775" s="1"/>
      <c r="LF775" s="1"/>
      <c r="LO775" s="1"/>
      <c r="LP775" s="1"/>
      <c r="LZ775" s="1"/>
      <c r="MA775" s="1"/>
    </row>
    <row r="776" spans="4:339" ht="13" x14ac:dyDescent="0.15">
      <c r="D776" s="12"/>
      <c r="E776" s="12"/>
      <c r="I776" s="12"/>
      <c r="J776" s="13"/>
      <c r="BF776" s="1"/>
      <c r="BG776" s="1"/>
      <c r="BH776" s="1"/>
      <c r="BI776" s="1"/>
      <c r="BJ776" s="1"/>
      <c r="BK776" s="1"/>
      <c r="BL776" s="1"/>
      <c r="BM776" s="1"/>
      <c r="BN776" s="1"/>
      <c r="BO776" s="1"/>
      <c r="BP776" s="1"/>
      <c r="BQ776" s="1"/>
      <c r="BR776" s="1"/>
      <c r="BX776" s="1"/>
      <c r="CC776" s="1"/>
      <c r="CD776" s="1"/>
      <c r="CE776" s="1"/>
      <c r="CF776" s="1"/>
      <c r="CG776" s="1"/>
      <c r="CH776" s="1"/>
      <c r="CI776" s="1"/>
      <c r="CJ776" s="1"/>
      <c r="CK776" s="1"/>
      <c r="CM776" s="2"/>
      <c r="CN776" s="1"/>
      <c r="CO776" s="1"/>
      <c r="CP776" s="1"/>
      <c r="CQ776" s="1"/>
      <c r="CS776" s="1"/>
      <c r="CT776" s="1"/>
      <c r="CU776" s="1"/>
      <c r="CV776" s="1"/>
      <c r="CW776" s="1"/>
      <c r="CX776" s="1"/>
      <c r="CY776" s="1"/>
      <c r="CZ776" s="1"/>
      <c r="DA776" s="1"/>
      <c r="DB776" s="1"/>
      <c r="DC776" s="1"/>
      <c r="DD776" s="1"/>
      <c r="DE776" s="1"/>
      <c r="DF776" s="1"/>
      <c r="DG776" s="1"/>
      <c r="DH776" s="1"/>
      <c r="DI776" s="1"/>
      <c r="DJ776" s="1"/>
      <c r="DK776" s="1"/>
      <c r="DM776" s="1"/>
      <c r="DQ776" s="1"/>
      <c r="DR776" s="1"/>
      <c r="DY776" s="1"/>
      <c r="DZ776" s="1"/>
      <c r="ED776" s="1"/>
      <c r="EK776" s="1"/>
      <c r="EL776" s="1"/>
      <c r="EM776" s="1"/>
      <c r="EN776" s="1"/>
      <c r="EQ776" s="1"/>
      <c r="ER776" s="1"/>
      <c r="ES776" s="1"/>
      <c r="EV776" s="1"/>
      <c r="EW776" s="1"/>
      <c r="EX776" s="1"/>
      <c r="EZ776" s="1"/>
      <c r="FA776" s="1"/>
      <c r="FD776" s="1"/>
      <c r="FG776" s="1"/>
      <c r="FH776" s="1"/>
      <c r="FI776" s="1"/>
      <c r="FJ776" s="1"/>
      <c r="FL776" s="1"/>
      <c r="FM776" s="1"/>
      <c r="FN776" s="1"/>
      <c r="FO776" s="1"/>
      <c r="FP776" s="1"/>
      <c r="FQ776" s="1"/>
      <c r="FS776" s="1"/>
      <c r="FU776" s="1"/>
      <c r="FV776" s="1"/>
      <c r="FX776" s="1"/>
      <c r="FZ776" s="1"/>
      <c r="GA776" s="1"/>
      <c r="GB776" s="1"/>
      <c r="GD776" s="1"/>
      <c r="GE776" s="1"/>
      <c r="GF776" s="1"/>
      <c r="GG776" s="1"/>
      <c r="GH776" s="1"/>
      <c r="GI776" s="1"/>
      <c r="GJ776" s="1"/>
      <c r="GK776" s="1"/>
      <c r="GL776" s="1"/>
      <c r="GM776" s="1"/>
      <c r="GN776" s="1"/>
      <c r="GO776" s="1"/>
      <c r="GP776" s="1"/>
      <c r="GR776" s="1"/>
      <c r="GY776" s="1"/>
      <c r="HF776" s="1"/>
      <c r="HH776" s="1"/>
      <c r="HT776" s="1"/>
      <c r="HY776" s="1"/>
      <c r="IA776" s="1"/>
      <c r="IC776" s="1"/>
      <c r="ID776" s="1"/>
      <c r="IE776" s="1"/>
      <c r="IK776" s="1"/>
      <c r="IR776" s="1"/>
      <c r="IS776" s="1"/>
      <c r="IZ776" s="1"/>
      <c r="JC776" s="1"/>
      <c r="JF776" s="1"/>
      <c r="JG776" s="1"/>
      <c r="JH776" s="1"/>
      <c r="JJ776" s="1"/>
      <c r="JN776" s="1"/>
      <c r="JP776" s="1"/>
      <c r="JQ776" s="1"/>
      <c r="JT776" s="1"/>
      <c r="JW776" s="1"/>
      <c r="KS776" s="1"/>
      <c r="KT776" s="1"/>
      <c r="KU776" s="1"/>
      <c r="KY776" s="1"/>
      <c r="KZ776" s="1"/>
      <c r="LA776" s="1"/>
      <c r="LB776" s="1"/>
      <c r="LC776" s="1"/>
      <c r="LD776" s="1"/>
      <c r="LF776" s="1"/>
      <c r="LO776" s="1"/>
      <c r="LP776" s="1"/>
      <c r="LZ776" s="1"/>
      <c r="MA776" s="1"/>
    </row>
    <row r="777" spans="4:339" ht="13" x14ac:dyDescent="0.15">
      <c r="D777" s="12"/>
      <c r="E777" s="12"/>
      <c r="I777" s="12"/>
      <c r="J777" s="13"/>
      <c r="BF777" s="1"/>
      <c r="BG777" s="1"/>
      <c r="BH777" s="1"/>
      <c r="BI777" s="1"/>
      <c r="BJ777" s="1"/>
      <c r="BK777" s="1"/>
      <c r="BL777" s="1"/>
      <c r="BM777" s="1"/>
      <c r="BN777" s="1"/>
      <c r="BO777" s="1"/>
      <c r="BP777" s="1"/>
      <c r="BQ777" s="1"/>
      <c r="BR777" s="1"/>
      <c r="BX777" s="1"/>
      <c r="CC777" s="1"/>
      <c r="CD777" s="1"/>
      <c r="CE777" s="1"/>
      <c r="CF777" s="1"/>
      <c r="CG777" s="1"/>
      <c r="CH777" s="1"/>
      <c r="CI777" s="1"/>
      <c r="CJ777" s="1"/>
      <c r="CK777" s="1"/>
      <c r="CM777" s="2"/>
      <c r="CN777" s="1"/>
      <c r="CO777" s="1"/>
      <c r="CP777" s="1"/>
      <c r="CQ777" s="1"/>
      <c r="CS777" s="1"/>
      <c r="CT777" s="1"/>
      <c r="CU777" s="1"/>
      <c r="CV777" s="1"/>
      <c r="CW777" s="1"/>
      <c r="CX777" s="1"/>
      <c r="CY777" s="1"/>
      <c r="CZ777" s="1"/>
      <c r="DA777" s="1"/>
      <c r="DB777" s="1"/>
      <c r="DC777" s="1"/>
      <c r="DD777" s="1"/>
      <c r="DE777" s="1"/>
      <c r="DF777" s="1"/>
      <c r="DG777" s="1"/>
      <c r="DH777" s="1"/>
      <c r="DI777" s="1"/>
      <c r="DJ777" s="1"/>
      <c r="DK777" s="1"/>
      <c r="DM777" s="1"/>
      <c r="DQ777" s="1"/>
      <c r="DR777" s="1"/>
      <c r="DY777" s="1"/>
      <c r="DZ777" s="1"/>
      <c r="ED777" s="1"/>
      <c r="EK777" s="1"/>
      <c r="EL777" s="1"/>
      <c r="EM777" s="1"/>
      <c r="EN777" s="1"/>
      <c r="EQ777" s="1"/>
      <c r="ER777" s="1"/>
      <c r="ES777" s="1"/>
      <c r="EV777" s="1"/>
      <c r="EW777" s="1"/>
      <c r="EX777" s="1"/>
      <c r="EZ777" s="1"/>
      <c r="FA777" s="1"/>
      <c r="FD777" s="1"/>
      <c r="FG777" s="1"/>
      <c r="FH777" s="1"/>
      <c r="FI777" s="1"/>
      <c r="FJ777" s="1"/>
      <c r="FL777" s="1"/>
      <c r="FM777" s="1"/>
      <c r="FN777" s="1"/>
      <c r="FO777" s="1"/>
      <c r="FP777" s="1"/>
      <c r="FQ777" s="1"/>
      <c r="FS777" s="1"/>
      <c r="FU777" s="1"/>
      <c r="FV777" s="1"/>
      <c r="FX777" s="1"/>
      <c r="FZ777" s="1"/>
      <c r="GA777" s="1"/>
      <c r="GB777" s="1"/>
      <c r="GD777" s="1"/>
      <c r="GE777" s="1"/>
      <c r="GF777" s="1"/>
      <c r="GG777" s="1"/>
      <c r="GH777" s="1"/>
      <c r="GI777" s="1"/>
      <c r="GJ777" s="1"/>
      <c r="GK777" s="1"/>
      <c r="GL777" s="1"/>
      <c r="GM777" s="1"/>
      <c r="GN777" s="1"/>
      <c r="GO777" s="1"/>
      <c r="GP777" s="1"/>
      <c r="GR777" s="1"/>
      <c r="GY777" s="1"/>
      <c r="HF777" s="1"/>
      <c r="HH777" s="1"/>
      <c r="HT777" s="1"/>
      <c r="HY777" s="1"/>
      <c r="IA777" s="1"/>
      <c r="IC777" s="1"/>
      <c r="ID777" s="1"/>
      <c r="IE777" s="1"/>
      <c r="IK777" s="1"/>
      <c r="IR777" s="1"/>
      <c r="IS777" s="1"/>
      <c r="IZ777" s="1"/>
      <c r="JC777" s="1"/>
      <c r="JF777" s="1"/>
      <c r="JG777" s="1"/>
      <c r="JH777" s="1"/>
      <c r="JJ777" s="1"/>
      <c r="JN777" s="1"/>
      <c r="JP777" s="1"/>
      <c r="JQ777" s="1"/>
      <c r="JT777" s="1"/>
      <c r="JW777" s="1"/>
      <c r="KS777" s="1"/>
      <c r="KT777" s="1"/>
      <c r="KU777" s="1"/>
      <c r="KY777" s="1"/>
      <c r="KZ777" s="1"/>
      <c r="LA777" s="1"/>
      <c r="LB777" s="1"/>
      <c r="LC777" s="1"/>
      <c r="LD777" s="1"/>
      <c r="LF777" s="1"/>
      <c r="LO777" s="1"/>
      <c r="LP777" s="1"/>
      <c r="LZ777" s="1"/>
      <c r="MA777" s="1"/>
    </row>
    <row r="778" spans="4:339" ht="13" x14ac:dyDescent="0.15">
      <c r="D778" s="12"/>
      <c r="E778" s="12"/>
      <c r="I778" s="12"/>
      <c r="J778" s="13"/>
      <c r="BF778" s="1"/>
      <c r="BG778" s="1"/>
      <c r="BH778" s="1"/>
      <c r="BI778" s="1"/>
      <c r="BJ778" s="1"/>
      <c r="BK778" s="1"/>
      <c r="BL778" s="1"/>
      <c r="BM778" s="1"/>
      <c r="BN778" s="1"/>
      <c r="BO778" s="1"/>
      <c r="BP778" s="1"/>
      <c r="BQ778" s="1"/>
      <c r="BR778" s="1"/>
      <c r="BX778" s="1"/>
      <c r="CC778" s="1"/>
      <c r="CD778" s="1"/>
      <c r="CE778" s="1"/>
      <c r="CF778" s="1"/>
      <c r="CG778" s="1"/>
      <c r="CH778" s="1"/>
      <c r="CI778" s="1"/>
      <c r="CJ778" s="1"/>
      <c r="CK778" s="1"/>
      <c r="CM778" s="2"/>
      <c r="CN778" s="1"/>
      <c r="CO778" s="1"/>
      <c r="CP778" s="1"/>
      <c r="CQ778" s="1"/>
      <c r="CS778" s="1"/>
      <c r="CT778" s="1"/>
      <c r="CU778" s="1"/>
      <c r="CV778" s="1"/>
      <c r="CW778" s="1"/>
      <c r="CX778" s="1"/>
      <c r="CY778" s="1"/>
      <c r="CZ778" s="1"/>
      <c r="DA778" s="1"/>
      <c r="DB778" s="1"/>
      <c r="DC778" s="1"/>
      <c r="DD778" s="1"/>
      <c r="DE778" s="1"/>
      <c r="DF778" s="1"/>
      <c r="DG778" s="1"/>
      <c r="DH778" s="1"/>
      <c r="DI778" s="1"/>
      <c r="DJ778" s="1"/>
      <c r="DK778" s="1"/>
      <c r="DM778" s="1"/>
      <c r="DQ778" s="1"/>
      <c r="DR778" s="1"/>
      <c r="DY778" s="1"/>
      <c r="DZ778" s="1"/>
      <c r="ED778" s="1"/>
      <c r="EK778" s="1"/>
      <c r="EL778" s="1"/>
      <c r="EM778" s="1"/>
      <c r="EN778" s="1"/>
      <c r="EQ778" s="1"/>
      <c r="ER778" s="1"/>
      <c r="ES778" s="1"/>
      <c r="EV778" s="1"/>
      <c r="EW778" s="1"/>
      <c r="EX778" s="1"/>
      <c r="EZ778" s="1"/>
      <c r="FA778" s="1"/>
      <c r="FD778" s="1"/>
      <c r="FG778" s="1"/>
      <c r="FH778" s="1"/>
      <c r="FI778" s="1"/>
      <c r="FJ778" s="1"/>
      <c r="FL778" s="1"/>
      <c r="FM778" s="1"/>
      <c r="FN778" s="1"/>
      <c r="FO778" s="1"/>
      <c r="FP778" s="1"/>
      <c r="FQ778" s="1"/>
      <c r="FS778" s="1"/>
      <c r="FU778" s="1"/>
      <c r="FV778" s="1"/>
      <c r="FX778" s="1"/>
      <c r="FZ778" s="1"/>
      <c r="GA778" s="1"/>
      <c r="GB778" s="1"/>
      <c r="GD778" s="1"/>
      <c r="GE778" s="1"/>
      <c r="GF778" s="1"/>
      <c r="GG778" s="1"/>
      <c r="GH778" s="1"/>
      <c r="GI778" s="1"/>
      <c r="GJ778" s="1"/>
      <c r="GK778" s="1"/>
      <c r="GL778" s="1"/>
      <c r="GM778" s="1"/>
      <c r="GN778" s="1"/>
      <c r="GO778" s="1"/>
      <c r="GP778" s="1"/>
      <c r="GR778" s="1"/>
      <c r="GY778" s="1"/>
      <c r="HF778" s="1"/>
      <c r="HH778" s="1"/>
      <c r="HT778" s="1"/>
      <c r="HY778" s="1"/>
      <c r="IA778" s="1"/>
      <c r="IC778" s="1"/>
      <c r="ID778" s="1"/>
      <c r="IE778" s="1"/>
      <c r="IK778" s="1"/>
      <c r="IR778" s="1"/>
      <c r="IS778" s="1"/>
      <c r="IZ778" s="1"/>
      <c r="JC778" s="1"/>
      <c r="JF778" s="1"/>
      <c r="JG778" s="1"/>
      <c r="JH778" s="1"/>
      <c r="JJ778" s="1"/>
      <c r="JN778" s="1"/>
      <c r="JP778" s="1"/>
      <c r="JQ778" s="1"/>
      <c r="JT778" s="1"/>
      <c r="JW778" s="1"/>
      <c r="KS778" s="1"/>
      <c r="KT778" s="1"/>
      <c r="KU778" s="1"/>
      <c r="KY778" s="1"/>
      <c r="KZ778" s="1"/>
      <c r="LA778" s="1"/>
      <c r="LB778" s="1"/>
      <c r="LC778" s="1"/>
      <c r="LD778" s="1"/>
      <c r="LF778" s="1"/>
      <c r="LO778" s="1"/>
      <c r="LP778" s="1"/>
      <c r="LZ778" s="1"/>
      <c r="MA778" s="1"/>
    </row>
    <row r="779" spans="4:339" ht="13" x14ac:dyDescent="0.15">
      <c r="D779" s="12"/>
      <c r="E779" s="12"/>
      <c r="I779" s="12"/>
      <c r="J779" s="13"/>
      <c r="BF779" s="1"/>
      <c r="BG779" s="1"/>
      <c r="BH779" s="1"/>
      <c r="BI779" s="1"/>
      <c r="BJ779" s="1"/>
      <c r="BK779" s="1"/>
      <c r="BL779" s="1"/>
      <c r="BM779" s="1"/>
      <c r="BN779" s="1"/>
      <c r="BO779" s="1"/>
      <c r="BP779" s="1"/>
      <c r="BQ779" s="1"/>
      <c r="BR779" s="1"/>
      <c r="BX779" s="1"/>
      <c r="CC779" s="1"/>
      <c r="CD779" s="1"/>
      <c r="CE779" s="1"/>
      <c r="CF779" s="1"/>
      <c r="CG779" s="1"/>
      <c r="CH779" s="1"/>
      <c r="CI779" s="1"/>
      <c r="CJ779" s="1"/>
      <c r="CK779" s="1"/>
      <c r="CM779" s="2"/>
      <c r="CN779" s="1"/>
      <c r="CO779" s="1"/>
      <c r="CP779" s="1"/>
      <c r="CQ779" s="1"/>
      <c r="CS779" s="1"/>
      <c r="CT779" s="1"/>
      <c r="CU779" s="1"/>
      <c r="CV779" s="1"/>
      <c r="CW779" s="1"/>
      <c r="CX779" s="1"/>
      <c r="CY779" s="1"/>
      <c r="CZ779" s="1"/>
      <c r="DA779" s="1"/>
      <c r="DB779" s="1"/>
      <c r="DC779" s="1"/>
      <c r="DD779" s="1"/>
      <c r="DE779" s="1"/>
      <c r="DF779" s="1"/>
      <c r="DG779" s="1"/>
      <c r="DH779" s="1"/>
      <c r="DI779" s="1"/>
      <c r="DJ779" s="1"/>
      <c r="DK779" s="1"/>
      <c r="DM779" s="1"/>
      <c r="DQ779" s="1"/>
      <c r="DR779" s="1"/>
      <c r="DY779" s="1"/>
      <c r="DZ779" s="1"/>
      <c r="ED779" s="1"/>
      <c r="EK779" s="1"/>
      <c r="EL779" s="1"/>
      <c r="EM779" s="1"/>
      <c r="EN779" s="1"/>
      <c r="EQ779" s="1"/>
      <c r="ER779" s="1"/>
      <c r="ES779" s="1"/>
      <c r="EV779" s="1"/>
      <c r="EW779" s="1"/>
      <c r="EX779" s="1"/>
      <c r="EZ779" s="1"/>
      <c r="FA779" s="1"/>
      <c r="FD779" s="1"/>
      <c r="FG779" s="1"/>
      <c r="FH779" s="1"/>
      <c r="FI779" s="1"/>
      <c r="FJ779" s="1"/>
      <c r="FL779" s="1"/>
      <c r="FM779" s="1"/>
      <c r="FN779" s="1"/>
      <c r="FO779" s="1"/>
      <c r="FP779" s="1"/>
      <c r="FQ779" s="1"/>
      <c r="FS779" s="1"/>
      <c r="FU779" s="1"/>
      <c r="FV779" s="1"/>
      <c r="FX779" s="1"/>
      <c r="FZ779" s="1"/>
      <c r="GA779" s="1"/>
      <c r="GB779" s="1"/>
      <c r="GD779" s="1"/>
      <c r="GE779" s="1"/>
      <c r="GF779" s="1"/>
      <c r="GG779" s="1"/>
      <c r="GH779" s="1"/>
      <c r="GI779" s="1"/>
      <c r="GJ779" s="1"/>
      <c r="GK779" s="1"/>
      <c r="GL779" s="1"/>
      <c r="GM779" s="1"/>
      <c r="GN779" s="1"/>
      <c r="GO779" s="1"/>
      <c r="GP779" s="1"/>
      <c r="GR779" s="1"/>
      <c r="GY779" s="1"/>
      <c r="HF779" s="1"/>
      <c r="HH779" s="1"/>
      <c r="HT779" s="1"/>
      <c r="HY779" s="1"/>
      <c r="IA779" s="1"/>
      <c r="IC779" s="1"/>
      <c r="ID779" s="1"/>
      <c r="IE779" s="1"/>
      <c r="IK779" s="1"/>
      <c r="IR779" s="1"/>
      <c r="IS779" s="1"/>
      <c r="IZ779" s="1"/>
      <c r="JC779" s="1"/>
      <c r="JF779" s="1"/>
      <c r="JG779" s="1"/>
      <c r="JH779" s="1"/>
      <c r="JJ779" s="1"/>
      <c r="JN779" s="1"/>
      <c r="JP779" s="1"/>
      <c r="JQ779" s="1"/>
      <c r="JT779" s="1"/>
      <c r="JW779" s="1"/>
      <c r="KS779" s="1"/>
      <c r="KT779" s="1"/>
      <c r="KU779" s="1"/>
      <c r="KY779" s="1"/>
      <c r="KZ779" s="1"/>
      <c r="LA779" s="1"/>
      <c r="LB779" s="1"/>
      <c r="LC779" s="1"/>
      <c r="LD779" s="1"/>
      <c r="LF779" s="1"/>
      <c r="LO779" s="1"/>
      <c r="LP779" s="1"/>
      <c r="LZ779" s="1"/>
      <c r="MA779" s="1"/>
    </row>
    <row r="780" spans="4:339" ht="13" x14ac:dyDescent="0.15">
      <c r="D780" s="12"/>
      <c r="E780" s="12"/>
      <c r="I780" s="12"/>
      <c r="J780" s="13"/>
      <c r="BF780" s="1"/>
      <c r="BG780" s="1"/>
      <c r="BH780" s="1"/>
      <c r="BI780" s="1"/>
      <c r="BJ780" s="1"/>
      <c r="BK780" s="1"/>
      <c r="BL780" s="1"/>
      <c r="BM780" s="1"/>
      <c r="BN780" s="1"/>
      <c r="BO780" s="1"/>
      <c r="BP780" s="1"/>
      <c r="BQ780" s="1"/>
      <c r="BR780" s="1"/>
      <c r="BX780" s="1"/>
      <c r="CC780" s="1"/>
      <c r="CD780" s="1"/>
      <c r="CE780" s="1"/>
      <c r="CF780" s="1"/>
      <c r="CG780" s="1"/>
      <c r="CH780" s="1"/>
      <c r="CI780" s="1"/>
      <c r="CJ780" s="1"/>
      <c r="CK780" s="1"/>
      <c r="CM780" s="2"/>
      <c r="CN780" s="1"/>
      <c r="CO780" s="1"/>
      <c r="CP780" s="1"/>
      <c r="CQ780" s="1"/>
      <c r="CS780" s="1"/>
      <c r="CT780" s="1"/>
      <c r="CU780" s="1"/>
      <c r="CV780" s="1"/>
      <c r="CW780" s="1"/>
      <c r="CX780" s="1"/>
      <c r="CY780" s="1"/>
      <c r="CZ780" s="1"/>
      <c r="DA780" s="1"/>
      <c r="DB780" s="1"/>
      <c r="DC780" s="1"/>
      <c r="DD780" s="1"/>
      <c r="DE780" s="1"/>
      <c r="DF780" s="1"/>
      <c r="DG780" s="1"/>
      <c r="DH780" s="1"/>
      <c r="DI780" s="1"/>
      <c r="DJ780" s="1"/>
      <c r="DK780" s="1"/>
      <c r="DM780" s="1"/>
      <c r="DQ780" s="1"/>
      <c r="DR780" s="1"/>
      <c r="DY780" s="1"/>
      <c r="DZ780" s="1"/>
      <c r="ED780" s="1"/>
      <c r="EK780" s="1"/>
      <c r="EL780" s="1"/>
      <c r="EM780" s="1"/>
      <c r="EN780" s="1"/>
      <c r="EQ780" s="1"/>
      <c r="ER780" s="1"/>
      <c r="ES780" s="1"/>
      <c r="EV780" s="1"/>
      <c r="EW780" s="1"/>
      <c r="EX780" s="1"/>
      <c r="EZ780" s="1"/>
      <c r="FA780" s="1"/>
      <c r="FD780" s="1"/>
      <c r="FG780" s="1"/>
      <c r="FH780" s="1"/>
      <c r="FI780" s="1"/>
      <c r="FJ780" s="1"/>
      <c r="FL780" s="1"/>
      <c r="FM780" s="1"/>
      <c r="FN780" s="1"/>
      <c r="FO780" s="1"/>
      <c r="FP780" s="1"/>
      <c r="FQ780" s="1"/>
      <c r="FS780" s="1"/>
      <c r="FU780" s="1"/>
      <c r="FV780" s="1"/>
      <c r="FX780" s="1"/>
      <c r="FZ780" s="1"/>
      <c r="GA780" s="1"/>
      <c r="GB780" s="1"/>
      <c r="GD780" s="1"/>
      <c r="GE780" s="1"/>
      <c r="GF780" s="1"/>
      <c r="GG780" s="1"/>
      <c r="GH780" s="1"/>
      <c r="GI780" s="1"/>
      <c r="GJ780" s="1"/>
      <c r="GK780" s="1"/>
      <c r="GL780" s="1"/>
      <c r="GM780" s="1"/>
      <c r="GN780" s="1"/>
      <c r="GO780" s="1"/>
      <c r="GP780" s="1"/>
      <c r="GR780" s="1"/>
      <c r="GY780" s="1"/>
      <c r="HF780" s="1"/>
      <c r="HH780" s="1"/>
      <c r="HT780" s="1"/>
      <c r="HY780" s="1"/>
      <c r="IA780" s="1"/>
      <c r="IC780" s="1"/>
      <c r="ID780" s="1"/>
      <c r="IE780" s="1"/>
      <c r="IK780" s="1"/>
      <c r="IR780" s="1"/>
      <c r="IS780" s="1"/>
      <c r="IZ780" s="1"/>
      <c r="JC780" s="1"/>
      <c r="JF780" s="1"/>
      <c r="JG780" s="1"/>
      <c r="JH780" s="1"/>
      <c r="JJ780" s="1"/>
      <c r="JN780" s="1"/>
      <c r="JP780" s="1"/>
      <c r="JQ780" s="1"/>
      <c r="JT780" s="1"/>
      <c r="JW780" s="1"/>
      <c r="KS780" s="1"/>
      <c r="KT780" s="1"/>
      <c r="KU780" s="1"/>
      <c r="KY780" s="1"/>
      <c r="KZ780" s="1"/>
      <c r="LA780" s="1"/>
      <c r="LB780" s="1"/>
      <c r="LC780" s="1"/>
      <c r="LD780" s="1"/>
      <c r="LF780" s="1"/>
      <c r="LO780" s="1"/>
      <c r="LP780" s="1"/>
      <c r="LZ780" s="1"/>
      <c r="MA780" s="1"/>
    </row>
    <row r="781" spans="4:339" ht="13" x14ac:dyDescent="0.15">
      <c r="D781" s="12"/>
      <c r="E781" s="12"/>
      <c r="I781" s="12"/>
      <c r="J781" s="13"/>
      <c r="BF781" s="1"/>
      <c r="BG781" s="1"/>
      <c r="BH781" s="1"/>
      <c r="BI781" s="1"/>
      <c r="BJ781" s="1"/>
      <c r="BK781" s="1"/>
      <c r="BL781" s="1"/>
      <c r="BM781" s="1"/>
      <c r="BN781" s="1"/>
      <c r="BO781" s="1"/>
      <c r="BP781" s="1"/>
      <c r="BQ781" s="1"/>
      <c r="BR781" s="1"/>
      <c r="BX781" s="1"/>
      <c r="CC781" s="1"/>
      <c r="CD781" s="1"/>
      <c r="CE781" s="1"/>
      <c r="CF781" s="1"/>
      <c r="CG781" s="1"/>
      <c r="CH781" s="1"/>
      <c r="CI781" s="1"/>
      <c r="CJ781" s="1"/>
      <c r="CK781" s="1"/>
      <c r="CM781" s="2"/>
      <c r="CN781" s="1"/>
      <c r="CO781" s="1"/>
      <c r="CP781" s="1"/>
      <c r="CQ781" s="1"/>
      <c r="CS781" s="1"/>
      <c r="CT781" s="1"/>
      <c r="CU781" s="1"/>
      <c r="CV781" s="1"/>
      <c r="CW781" s="1"/>
      <c r="CX781" s="1"/>
      <c r="CY781" s="1"/>
      <c r="CZ781" s="1"/>
      <c r="DA781" s="1"/>
      <c r="DB781" s="1"/>
      <c r="DC781" s="1"/>
      <c r="DD781" s="1"/>
      <c r="DE781" s="1"/>
      <c r="DF781" s="1"/>
      <c r="DG781" s="1"/>
      <c r="DH781" s="1"/>
      <c r="DI781" s="1"/>
      <c r="DJ781" s="1"/>
      <c r="DK781" s="1"/>
      <c r="DM781" s="1"/>
      <c r="DQ781" s="1"/>
      <c r="DR781" s="1"/>
      <c r="DY781" s="1"/>
      <c r="DZ781" s="1"/>
      <c r="ED781" s="1"/>
      <c r="EK781" s="1"/>
      <c r="EL781" s="1"/>
      <c r="EM781" s="1"/>
      <c r="EN781" s="1"/>
      <c r="EQ781" s="1"/>
      <c r="ER781" s="1"/>
      <c r="ES781" s="1"/>
      <c r="EV781" s="1"/>
      <c r="EW781" s="1"/>
      <c r="EX781" s="1"/>
      <c r="EZ781" s="1"/>
      <c r="FA781" s="1"/>
      <c r="FD781" s="1"/>
      <c r="FG781" s="1"/>
      <c r="FH781" s="1"/>
      <c r="FI781" s="1"/>
      <c r="FJ781" s="1"/>
      <c r="FL781" s="1"/>
      <c r="FM781" s="1"/>
      <c r="FN781" s="1"/>
      <c r="FO781" s="1"/>
      <c r="FP781" s="1"/>
      <c r="FQ781" s="1"/>
      <c r="FS781" s="1"/>
      <c r="FU781" s="1"/>
      <c r="FV781" s="1"/>
      <c r="FX781" s="1"/>
      <c r="FZ781" s="1"/>
      <c r="GA781" s="1"/>
      <c r="GB781" s="1"/>
      <c r="GD781" s="1"/>
      <c r="GE781" s="1"/>
      <c r="GF781" s="1"/>
      <c r="GG781" s="1"/>
      <c r="GH781" s="1"/>
      <c r="GI781" s="1"/>
      <c r="GJ781" s="1"/>
      <c r="GK781" s="1"/>
      <c r="GL781" s="1"/>
      <c r="GM781" s="1"/>
      <c r="GN781" s="1"/>
      <c r="GO781" s="1"/>
      <c r="GP781" s="1"/>
      <c r="GR781" s="1"/>
      <c r="GY781" s="1"/>
      <c r="HF781" s="1"/>
      <c r="HH781" s="1"/>
      <c r="HT781" s="1"/>
      <c r="HY781" s="1"/>
      <c r="IA781" s="1"/>
      <c r="IC781" s="1"/>
      <c r="ID781" s="1"/>
      <c r="IE781" s="1"/>
      <c r="IK781" s="1"/>
      <c r="IR781" s="1"/>
      <c r="IS781" s="1"/>
      <c r="IZ781" s="1"/>
      <c r="JC781" s="1"/>
      <c r="JF781" s="1"/>
      <c r="JG781" s="1"/>
      <c r="JH781" s="1"/>
      <c r="JJ781" s="1"/>
      <c r="JN781" s="1"/>
      <c r="JP781" s="1"/>
      <c r="JQ781" s="1"/>
      <c r="JT781" s="1"/>
      <c r="JW781" s="1"/>
      <c r="KS781" s="1"/>
      <c r="KT781" s="1"/>
      <c r="KU781" s="1"/>
      <c r="KY781" s="1"/>
      <c r="KZ781" s="1"/>
      <c r="LA781" s="1"/>
      <c r="LB781" s="1"/>
      <c r="LC781" s="1"/>
      <c r="LD781" s="1"/>
      <c r="LF781" s="1"/>
      <c r="LO781" s="1"/>
      <c r="LP781" s="1"/>
      <c r="LZ781" s="1"/>
      <c r="MA781" s="1"/>
    </row>
    <row r="782" spans="4:339" ht="13" x14ac:dyDescent="0.15">
      <c r="D782" s="12"/>
      <c r="E782" s="12"/>
      <c r="I782" s="12"/>
      <c r="J782" s="13"/>
      <c r="BF782" s="1"/>
      <c r="BG782" s="1"/>
      <c r="BH782" s="1"/>
      <c r="BI782" s="1"/>
      <c r="BJ782" s="1"/>
      <c r="BK782" s="1"/>
      <c r="BL782" s="1"/>
      <c r="BM782" s="1"/>
      <c r="BN782" s="1"/>
      <c r="BO782" s="1"/>
      <c r="BP782" s="1"/>
      <c r="BQ782" s="1"/>
      <c r="BR782" s="1"/>
      <c r="BX782" s="1"/>
      <c r="CC782" s="1"/>
      <c r="CD782" s="1"/>
      <c r="CE782" s="1"/>
      <c r="CF782" s="1"/>
      <c r="CG782" s="1"/>
      <c r="CH782" s="1"/>
      <c r="CI782" s="1"/>
      <c r="CJ782" s="1"/>
      <c r="CK782" s="1"/>
      <c r="CM782" s="2"/>
      <c r="CN782" s="1"/>
      <c r="CO782" s="1"/>
      <c r="CP782" s="1"/>
      <c r="CQ782" s="1"/>
      <c r="CS782" s="1"/>
      <c r="CT782" s="1"/>
      <c r="CU782" s="1"/>
      <c r="CV782" s="1"/>
      <c r="CW782" s="1"/>
      <c r="CX782" s="1"/>
      <c r="CY782" s="1"/>
      <c r="CZ782" s="1"/>
      <c r="DA782" s="1"/>
      <c r="DB782" s="1"/>
      <c r="DC782" s="1"/>
      <c r="DD782" s="1"/>
      <c r="DE782" s="1"/>
      <c r="DF782" s="1"/>
      <c r="DG782" s="1"/>
      <c r="DH782" s="1"/>
      <c r="DI782" s="1"/>
      <c r="DJ782" s="1"/>
      <c r="DK782" s="1"/>
      <c r="DM782" s="1"/>
      <c r="DQ782" s="1"/>
      <c r="DR782" s="1"/>
      <c r="DY782" s="1"/>
      <c r="DZ782" s="1"/>
      <c r="ED782" s="1"/>
      <c r="EK782" s="1"/>
      <c r="EL782" s="1"/>
      <c r="EM782" s="1"/>
      <c r="EN782" s="1"/>
      <c r="EQ782" s="1"/>
      <c r="ER782" s="1"/>
      <c r="ES782" s="1"/>
      <c r="EV782" s="1"/>
      <c r="EW782" s="1"/>
      <c r="EX782" s="1"/>
      <c r="EZ782" s="1"/>
      <c r="FA782" s="1"/>
      <c r="FD782" s="1"/>
      <c r="FG782" s="1"/>
      <c r="FH782" s="1"/>
      <c r="FI782" s="1"/>
      <c r="FJ782" s="1"/>
      <c r="FL782" s="1"/>
      <c r="FM782" s="1"/>
      <c r="FN782" s="1"/>
      <c r="FO782" s="1"/>
      <c r="FP782" s="1"/>
      <c r="FQ782" s="1"/>
      <c r="FS782" s="1"/>
      <c r="FU782" s="1"/>
      <c r="FV782" s="1"/>
      <c r="FX782" s="1"/>
      <c r="FZ782" s="1"/>
      <c r="GA782" s="1"/>
      <c r="GB782" s="1"/>
      <c r="GD782" s="1"/>
      <c r="GE782" s="1"/>
      <c r="GF782" s="1"/>
      <c r="GG782" s="1"/>
      <c r="GH782" s="1"/>
      <c r="GI782" s="1"/>
      <c r="GJ782" s="1"/>
      <c r="GK782" s="1"/>
      <c r="GL782" s="1"/>
      <c r="GM782" s="1"/>
      <c r="GN782" s="1"/>
      <c r="GO782" s="1"/>
      <c r="GP782" s="1"/>
      <c r="GR782" s="1"/>
      <c r="GY782" s="1"/>
      <c r="HF782" s="1"/>
      <c r="HH782" s="1"/>
      <c r="HT782" s="1"/>
      <c r="HY782" s="1"/>
      <c r="IA782" s="1"/>
      <c r="IC782" s="1"/>
      <c r="ID782" s="1"/>
      <c r="IE782" s="1"/>
      <c r="IK782" s="1"/>
      <c r="IR782" s="1"/>
      <c r="IS782" s="1"/>
      <c r="IZ782" s="1"/>
      <c r="JC782" s="1"/>
      <c r="JF782" s="1"/>
      <c r="JG782" s="1"/>
      <c r="JH782" s="1"/>
      <c r="JJ782" s="1"/>
      <c r="JN782" s="1"/>
      <c r="JP782" s="1"/>
      <c r="JQ782" s="1"/>
      <c r="JT782" s="1"/>
      <c r="JW782" s="1"/>
      <c r="KS782" s="1"/>
      <c r="KT782" s="1"/>
      <c r="KU782" s="1"/>
      <c r="KY782" s="1"/>
      <c r="KZ782" s="1"/>
      <c r="LA782" s="1"/>
      <c r="LB782" s="1"/>
      <c r="LC782" s="1"/>
      <c r="LD782" s="1"/>
      <c r="LF782" s="1"/>
      <c r="LO782" s="1"/>
      <c r="LP782" s="1"/>
      <c r="LZ782" s="1"/>
      <c r="MA782" s="1"/>
    </row>
    <row r="783" spans="4:339" ht="13" x14ac:dyDescent="0.15">
      <c r="D783" s="12"/>
      <c r="E783" s="12"/>
      <c r="I783" s="12"/>
      <c r="J783" s="13"/>
      <c r="BF783" s="1"/>
      <c r="BG783" s="1"/>
      <c r="BH783" s="1"/>
      <c r="BI783" s="1"/>
      <c r="BJ783" s="1"/>
      <c r="BK783" s="1"/>
      <c r="BL783" s="1"/>
      <c r="BM783" s="1"/>
      <c r="BN783" s="1"/>
      <c r="BO783" s="1"/>
      <c r="BP783" s="1"/>
      <c r="BQ783" s="1"/>
      <c r="BR783" s="1"/>
      <c r="BX783" s="1"/>
      <c r="CC783" s="1"/>
      <c r="CD783" s="1"/>
      <c r="CE783" s="1"/>
      <c r="CF783" s="1"/>
      <c r="CG783" s="1"/>
      <c r="CH783" s="1"/>
      <c r="CI783" s="1"/>
      <c r="CJ783" s="1"/>
      <c r="CK783" s="1"/>
      <c r="CM783" s="2"/>
      <c r="CN783" s="1"/>
      <c r="CO783" s="1"/>
      <c r="CP783" s="1"/>
      <c r="CQ783" s="1"/>
      <c r="CS783" s="1"/>
      <c r="CT783" s="1"/>
      <c r="CU783" s="1"/>
      <c r="CV783" s="1"/>
      <c r="CW783" s="1"/>
      <c r="CX783" s="1"/>
      <c r="CY783" s="1"/>
      <c r="CZ783" s="1"/>
      <c r="DA783" s="1"/>
      <c r="DB783" s="1"/>
      <c r="DC783" s="1"/>
      <c r="DD783" s="1"/>
      <c r="DE783" s="1"/>
      <c r="DF783" s="1"/>
      <c r="DG783" s="1"/>
      <c r="DH783" s="1"/>
      <c r="DI783" s="1"/>
      <c r="DJ783" s="1"/>
      <c r="DK783" s="1"/>
      <c r="DM783" s="1"/>
      <c r="DQ783" s="1"/>
      <c r="DR783" s="1"/>
      <c r="DY783" s="1"/>
      <c r="DZ783" s="1"/>
      <c r="ED783" s="1"/>
      <c r="EK783" s="1"/>
      <c r="EL783" s="1"/>
      <c r="EM783" s="1"/>
      <c r="EN783" s="1"/>
      <c r="EQ783" s="1"/>
      <c r="ER783" s="1"/>
      <c r="ES783" s="1"/>
      <c r="EV783" s="1"/>
      <c r="EW783" s="1"/>
      <c r="EX783" s="1"/>
      <c r="EZ783" s="1"/>
      <c r="FA783" s="1"/>
      <c r="FD783" s="1"/>
      <c r="FG783" s="1"/>
      <c r="FH783" s="1"/>
      <c r="FI783" s="1"/>
      <c r="FJ783" s="1"/>
      <c r="FL783" s="1"/>
      <c r="FM783" s="1"/>
      <c r="FN783" s="1"/>
      <c r="FO783" s="1"/>
      <c r="FP783" s="1"/>
      <c r="FQ783" s="1"/>
      <c r="FS783" s="1"/>
      <c r="FU783" s="1"/>
      <c r="FV783" s="1"/>
      <c r="FX783" s="1"/>
      <c r="FZ783" s="1"/>
      <c r="GA783" s="1"/>
      <c r="GB783" s="1"/>
      <c r="GD783" s="1"/>
      <c r="GE783" s="1"/>
      <c r="GF783" s="1"/>
      <c r="GG783" s="1"/>
      <c r="GH783" s="1"/>
      <c r="GI783" s="1"/>
      <c r="GJ783" s="1"/>
      <c r="GK783" s="1"/>
      <c r="GL783" s="1"/>
      <c r="GM783" s="1"/>
      <c r="GN783" s="1"/>
      <c r="GO783" s="1"/>
      <c r="GP783" s="1"/>
      <c r="GR783" s="1"/>
      <c r="GY783" s="1"/>
      <c r="HF783" s="1"/>
      <c r="HH783" s="1"/>
      <c r="HT783" s="1"/>
      <c r="HY783" s="1"/>
      <c r="IA783" s="1"/>
      <c r="IC783" s="1"/>
      <c r="ID783" s="1"/>
      <c r="IE783" s="1"/>
      <c r="IK783" s="1"/>
      <c r="IR783" s="1"/>
      <c r="IS783" s="1"/>
      <c r="IZ783" s="1"/>
      <c r="JC783" s="1"/>
      <c r="JF783" s="1"/>
      <c r="JG783" s="1"/>
      <c r="JH783" s="1"/>
      <c r="JJ783" s="1"/>
      <c r="JN783" s="1"/>
      <c r="JP783" s="1"/>
      <c r="JQ783" s="1"/>
      <c r="JT783" s="1"/>
      <c r="JW783" s="1"/>
      <c r="KS783" s="1"/>
      <c r="KT783" s="1"/>
      <c r="KU783" s="1"/>
      <c r="KY783" s="1"/>
      <c r="KZ783" s="1"/>
      <c r="LA783" s="1"/>
      <c r="LB783" s="1"/>
      <c r="LC783" s="1"/>
      <c r="LD783" s="1"/>
      <c r="LF783" s="1"/>
      <c r="LO783" s="1"/>
      <c r="LP783" s="1"/>
      <c r="LZ783" s="1"/>
      <c r="MA783" s="1"/>
    </row>
    <row r="784" spans="4:339" ht="13" x14ac:dyDescent="0.15">
      <c r="D784" s="12"/>
      <c r="E784" s="12"/>
      <c r="I784" s="12"/>
      <c r="J784" s="13"/>
      <c r="BF784" s="1"/>
      <c r="BG784" s="1"/>
      <c r="BH784" s="1"/>
      <c r="BI784" s="1"/>
      <c r="BJ784" s="1"/>
      <c r="BK784" s="1"/>
      <c r="BL784" s="1"/>
      <c r="BM784" s="1"/>
      <c r="BN784" s="1"/>
      <c r="BO784" s="1"/>
      <c r="BP784" s="1"/>
      <c r="BQ784" s="1"/>
      <c r="BR784" s="1"/>
      <c r="BX784" s="1"/>
      <c r="CC784" s="1"/>
      <c r="CD784" s="1"/>
      <c r="CE784" s="1"/>
      <c r="CF784" s="1"/>
      <c r="CG784" s="1"/>
      <c r="CH784" s="1"/>
      <c r="CI784" s="1"/>
      <c r="CJ784" s="1"/>
      <c r="CK784" s="1"/>
      <c r="CM784" s="2"/>
      <c r="CN784" s="1"/>
      <c r="CO784" s="1"/>
      <c r="CP784" s="1"/>
      <c r="CQ784" s="1"/>
      <c r="CS784" s="1"/>
      <c r="CT784" s="1"/>
      <c r="CU784" s="1"/>
      <c r="CV784" s="1"/>
      <c r="CW784" s="1"/>
      <c r="CX784" s="1"/>
      <c r="CY784" s="1"/>
      <c r="CZ784" s="1"/>
      <c r="DA784" s="1"/>
      <c r="DB784" s="1"/>
      <c r="DC784" s="1"/>
      <c r="DD784" s="1"/>
      <c r="DE784" s="1"/>
      <c r="DF784" s="1"/>
      <c r="DG784" s="1"/>
      <c r="DH784" s="1"/>
      <c r="DI784" s="1"/>
      <c r="DJ784" s="1"/>
      <c r="DK784" s="1"/>
      <c r="DM784" s="1"/>
      <c r="DQ784" s="1"/>
      <c r="DR784" s="1"/>
      <c r="DY784" s="1"/>
      <c r="DZ784" s="1"/>
      <c r="ED784" s="1"/>
      <c r="EK784" s="1"/>
      <c r="EL784" s="1"/>
      <c r="EM784" s="1"/>
      <c r="EN784" s="1"/>
      <c r="EQ784" s="1"/>
      <c r="ER784" s="1"/>
      <c r="ES784" s="1"/>
      <c r="EV784" s="1"/>
      <c r="EW784" s="1"/>
      <c r="EX784" s="1"/>
      <c r="EZ784" s="1"/>
      <c r="FA784" s="1"/>
      <c r="FD784" s="1"/>
      <c r="FG784" s="1"/>
      <c r="FH784" s="1"/>
      <c r="FI784" s="1"/>
      <c r="FJ784" s="1"/>
      <c r="FL784" s="1"/>
      <c r="FM784" s="1"/>
      <c r="FN784" s="1"/>
      <c r="FO784" s="1"/>
      <c r="FP784" s="1"/>
      <c r="FQ784" s="1"/>
      <c r="FS784" s="1"/>
      <c r="FU784" s="1"/>
      <c r="FV784" s="1"/>
      <c r="FX784" s="1"/>
      <c r="FZ784" s="1"/>
      <c r="GA784" s="1"/>
      <c r="GB784" s="1"/>
      <c r="GD784" s="1"/>
      <c r="GE784" s="1"/>
      <c r="GF784" s="1"/>
      <c r="GG784" s="1"/>
      <c r="GH784" s="1"/>
      <c r="GI784" s="1"/>
      <c r="GJ784" s="1"/>
      <c r="GK784" s="1"/>
      <c r="GL784" s="1"/>
      <c r="GM784" s="1"/>
      <c r="GN784" s="1"/>
      <c r="GO784" s="1"/>
      <c r="GP784" s="1"/>
      <c r="GR784" s="1"/>
      <c r="GY784" s="1"/>
      <c r="HF784" s="1"/>
      <c r="HH784" s="1"/>
      <c r="HT784" s="1"/>
      <c r="HY784" s="1"/>
      <c r="IA784" s="1"/>
      <c r="IC784" s="1"/>
      <c r="ID784" s="1"/>
      <c r="IE784" s="1"/>
      <c r="IK784" s="1"/>
      <c r="IR784" s="1"/>
      <c r="IS784" s="1"/>
      <c r="IZ784" s="1"/>
      <c r="JC784" s="1"/>
      <c r="JF784" s="1"/>
      <c r="JG784" s="1"/>
      <c r="JH784" s="1"/>
      <c r="JJ784" s="1"/>
      <c r="JN784" s="1"/>
      <c r="JP784" s="1"/>
      <c r="JQ784" s="1"/>
      <c r="JT784" s="1"/>
      <c r="JW784" s="1"/>
      <c r="KS784" s="1"/>
      <c r="KT784" s="1"/>
      <c r="KU784" s="1"/>
      <c r="KY784" s="1"/>
      <c r="KZ784" s="1"/>
      <c r="LA784" s="1"/>
      <c r="LB784" s="1"/>
      <c r="LC784" s="1"/>
      <c r="LD784" s="1"/>
      <c r="LF784" s="1"/>
      <c r="LO784" s="1"/>
      <c r="LP784" s="1"/>
      <c r="LZ784" s="1"/>
      <c r="MA784" s="1"/>
    </row>
    <row r="785" spans="4:339" ht="13" x14ac:dyDescent="0.15">
      <c r="D785" s="12"/>
      <c r="E785" s="12"/>
      <c r="I785" s="12"/>
      <c r="J785" s="13"/>
      <c r="BF785" s="1"/>
      <c r="BG785" s="1"/>
      <c r="BH785" s="1"/>
      <c r="BI785" s="1"/>
      <c r="BJ785" s="1"/>
      <c r="BK785" s="1"/>
      <c r="BL785" s="1"/>
      <c r="BM785" s="1"/>
      <c r="BN785" s="1"/>
      <c r="BO785" s="1"/>
      <c r="BP785" s="1"/>
      <c r="BQ785" s="1"/>
      <c r="BR785" s="1"/>
      <c r="BX785" s="1"/>
      <c r="CC785" s="1"/>
      <c r="CD785" s="1"/>
      <c r="CE785" s="1"/>
      <c r="CF785" s="1"/>
      <c r="CG785" s="1"/>
      <c r="CH785" s="1"/>
      <c r="CI785" s="1"/>
      <c r="CJ785" s="1"/>
      <c r="CK785" s="1"/>
      <c r="CM785" s="2"/>
      <c r="CN785" s="1"/>
      <c r="CO785" s="1"/>
      <c r="CP785" s="1"/>
      <c r="CQ785" s="1"/>
      <c r="CS785" s="1"/>
      <c r="CT785" s="1"/>
      <c r="CU785" s="1"/>
      <c r="CV785" s="1"/>
      <c r="CW785" s="1"/>
      <c r="CX785" s="1"/>
      <c r="CY785" s="1"/>
      <c r="CZ785" s="1"/>
      <c r="DA785" s="1"/>
      <c r="DB785" s="1"/>
      <c r="DC785" s="1"/>
      <c r="DD785" s="1"/>
      <c r="DE785" s="1"/>
      <c r="DF785" s="1"/>
      <c r="DG785" s="1"/>
      <c r="DH785" s="1"/>
      <c r="DI785" s="1"/>
      <c r="DJ785" s="1"/>
      <c r="DK785" s="1"/>
      <c r="DM785" s="1"/>
      <c r="DQ785" s="1"/>
      <c r="DR785" s="1"/>
      <c r="DY785" s="1"/>
      <c r="DZ785" s="1"/>
      <c r="ED785" s="1"/>
      <c r="EK785" s="1"/>
      <c r="EL785" s="1"/>
      <c r="EM785" s="1"/>
      <c r="EN785" s="1"/>
      <c r="EQ785" s="1"/>
      <c r="ER785" s="1"/>
      <c r="ES785" s="1"/>
      <c r="EV785" s="1"/>
      <c r="EW785" s="1"/>
      <c r="EX785" s="1"/>
      <c r="EZ785" s="1"/>
      <c r="FA785" s="1"/>
      <c r="FD785" s="1"/>
      <c r="FG785" s="1"/>
      <c r="FH785" s="1"/>
      <c r="FI785" s="1"/>
      <c r="FJ785" s="1"/>
      <c r="FL785" s="1"/>
      <c r="FM785" s="1"/>
      <c r="FN785" s="1"/>
      <c r="FO785" s="1"/>
      <c r="FP785" s="1"/>
      <c r="FQ785" s="1"/>
      <c r="FS785" s="1"/>
      <c r="FU785" s="1"/>
      <c r="FV785" s="1"/>
      <c r="FX785" s="1"/>
      <c r="FZ785" s="1"/>
      <c r="GA785" s="1"/>
      <c r="GB785" s="1"/>
      <c r="GD785" s="1"/>
      <c r="GE785" s="1"/>
      <c r="GF785" s="1"/>
      <c r="GG785" s="1"/>
      <c r="GH785" s="1"/>
      <c r="GI785" s="1"/>
      <c r="GJ785" s="1"/>
      <c r="GK785" s="1"/>
      <c r="GL785" s="1"/>
      <c r="GM785" s="1"/>
      <c r="GN785" s="1"/>
      <c r="GO785" s="1"/>
      <c r="GP785" s="1"/>
      <c r="GR785" s="1"/>
      <c r="GY785" s="1"/>
      <c r="HF785" s="1"/>
      <c r="HH785" s="1"/>
      <c r="HT785" s="1"/>
      <c r="HY785" s="1"/>
      <c r="IA785" s="1"/>
      <c r="IC785" s="1"/>
      <c r="ID785" s="1"/>
      <c r="IE785" s="1"/>
      <c r="IK785" s="1"/>
      <c r="IR785" s="1"/>
      <c r="IS785" s="1"/>
      <c r="IZ785" s="1"/>
      <c r="JC785" s="1"/>
      <c r="JF785" s="1"/>
      <c r="JG785" s="1"/>
      <c r="JH785" s="1"/>
      <c r="JJ785" s="1"/>
      <c r="JN785" s="1"/>
      <c r="JP785" s="1"/>
      <c r="JQ785" s="1"/>
      <c r="JT785" s="1"/>
      <c r="JW785" s="1"/>
      <c r="KS785" s="1"/>
      <c r="KT785" s="1"/>
      <c r="KU785" s="1"/>
      <c r="KY785" s="1"/>
      <c r="KZ785" s="1"/>
      <c r="LA785" s="1"/>
      <c r="LB785" s="1"/>
      <c r="LC785" s="1"/>
      <c r="LD785" s="1"/>
      <c r="LF785" s="1"/>
      <c r="LO785" s="1"/>
      <c r="LP785" s="1"/>
      <c r="LZ785" s="1"/>
      <c r="MA785" s="1"/>
    </row>
    <row r="786" spans="4:339" ht="13" x14ac:dyDescent="0.15">
      <c r="D786" s="12"/>
      <c r="E786" s="12"/>
      <c r="I786" s="12"/>
      <c r="J786" s="13"/>
      <c r="BF786" s="1"/>
      <c r="BG786" s="1"/>
      <c r="BH786" s="1"/>
      <c r="BI786" s="1"/>
      <c r="BJ786" s="1"/>
      <c r="BK786" s="1"/>
      <c r="BL786" s="1"/>
      <c r="BM786" s="1"/>
      <c r="BN786" s="1"/>
      <c r="BO786" s="1"/>
      <c r="BP786" s="1"/>
      <c r="BQ786" s="1"/>
      <c r="BR786" s="1"/>
      <c r="BX786" s="1"/>
      <c r="CC786" s="1"/>
      <c r="CD786" s="1"/>
      <c r="CE786" s="1"/>
      <c r="CF786" s="1"/>
      <c r="CG786" s="1"/>
      <c r="CH786" s="1"/>
      <c r="CI786" s="1"/>
      <c r="CJ786" s="1"/>
      <c r="CK786" s="1"/>
      <c r="CM786" s="2"/>
      <c r="CN786" s="1"/>
      <c r="CO786" s="1"/>
      <c r="CP786" s="1"/>
      <c r="CQ786" s="1"/>
      <c r="CS786" s="1"/>
      <c r="CT786" s="1"/>
      <c r="CU786" s="1"/>
      <c r="CV786" s="1"/>
      <c r="CW786" s="1"/>
      <c r="CX786" s="1"/>
      <c r="CY786" s="1"/>
      <c r="CZ786" s="1"/>
      <c r="DA786" s="1"/>
      <c r="DB786" s="1"/>
      <c r="DC786" s="1"/>
      <c r="DD786" s="1"/>
      <c r="DE786" s="1"/>
      <c r="DF786" s="1"/>
      <c r="DG786" s="1"/>
      <c r="DH786" s="1"/>
      <c r="DI786" s="1"/>
      <c r="DJ786" s="1"/>
      <c r="DK786" s="1"/>
      <c r="DM786" s="1"/>
      <c r="DQ786" s="1"/>
      <c r="DR786" s="1"/>
      <c r="DY786" s="1"/>
      <c r="DZ786" s="1"/>
      <c r="ED786" s="1"/>
      <c r="EK786" s="1"/>
      <c r="EL786" s="1"/>
      <c r="EM786" s="1"/>
      <c r="EN786" s="1"/>
      <c r="EQ786" s="1"/>
      <c r="ER786" s="1"/>
      <c r="ES786" s="1"/>
      <c r="EV786" s="1"/>
      <c r="EW786" s="1"/>
      <c r="EX786" s="1"/>
      <c r="EZ786" s="1"/>
      <c r="FA786" s="1"/>
      <c r="FD786" s="1"/>
      <c r="FG786" s="1"/>
      <c r="FH786" s="1"/>
      <c r="FI786" s="1"/>
      <c r="FJ786" s="1"/>
      <c r="FL786" s="1"/>
      <c r="FM786" s="1"/>
      <c r="FN786" s="1"/>
      <c r="FO786" s="1"/>
      <c r="FP786" s="1"/>
      <c r="FQ786" s="1"/>
      <c r="FS786" s="1"/>
      <c r="FU786" s="1"/>
      <c r="FV786" s="1"/>
      <c r="FX786" s="1"/>
      <c r="FZ786" s="1"/>
      <c r="GA786" s="1"/>
      <c r="GB786" s="1"/>
      <c r="GD786" s="1"/>
      <c r="GE786" s="1"/>
      <c r="GF786" s="1"/>
      <c r="GG786" s="1"/>
      <c r="GH786" s="1"/>
      <c r="GI786" s="1"/>
      <c r="GJ786" s="1"/>
      <c r="GK786" s="1"/>
      <c r="GL786" s="1"/>
      <c r="GM786" s="1"/>
      <c r="GN786" s="1"/>
      <c r="GO786" s="1"/>
      <c r="GP786" s="1"/>
      <c r="GR786" s="1"/>
      <c r="GY786" s="1"/>
      <c r="HF786" s="1"/>
      <c r="HH786" s="1"/>
      <c r="HT786" s="1"/>
      <c r="HY786" s="1"/>
      <c r="IA786" s="1"/>
      <c r="IC786" s="1"/>
      <c r="ID786" s="1"/>
      <c r="IE786" s="1"/>
      <c r="IK786" s="1"/>
      <c r="IR786" s="1"/>
      <c r="IS786" s="1"/>
      <c r="IZ786" s="1"/>
      <c r="JC786" s="1"/>
      <c r="JF786" s="1"/>
      <c r="JG786" s="1"/>
      <c r="JH786" s="1"/>
      <c r="JJ786" s="1"/>
      <c r="JN786" s="1"/>
      <c r="JP786" s="1"/>
      <c r="JQ786" s="1"/>
      <c r="JT786" s="1"/>
      <c r="JW786" s="1"/>
      <c r="KS786" s="1"/>
      <c r="KT786" s="1"/>
      <c r="KU786" s="1"/>
      <c r="KY786" s="1"/>
      <c r="KZ786" s="1"/>
      <c r="LA786" s="1"/>
      <c r="LB786" s="1"/>
      <c r="LC786" s="1"/>
      <c r="LD786" s="1"/>
      <c r="LF786" s="1"/>
      <c r="LO786" s="1"/>
      <c r="LP786" s="1"/>
      <c r="LZ786" s="1"/>
      <c r="MA786" s="1"/>
    </row>
    <row r="787" spans="4:339" ht="13" x14ac:dyDescent="0.15">
      <c r="D787" s="12"/>
      <c r="E787" s="12"/>
      <c r="I787" s="12"/>
      <c r="J787" s="13"/>
      <c r="BF787" s="1"/>
      <c r="BG787" s="1"/>
      <c r="BH787" s="1"/>
      <c r="BI787" s="1"/>
      <c r="BJ787" s="1"/>
      <c r="BK787" s="1"/>
      <c r="BL787" s="1"/>
      <c r="BM787" s="1"/>
      <c r="BN787" s="1"/>
      <c r="BO787" s="1"/>
      <c r="BP787" s="1"/>
      <c r="BQ787" s="1"/>
      <c r="BR787" s="1"/>
      <c r="BX787" s="1"/>
      <c r="CC787" s="1"/>
      <c r="CD787" s="1"/>
      <c r="CE787" s="1"/>
      <c r="CF787" s="1"/>
      <c r="CG787" s="1"/>
      <c r="CH787" s="1"/>
      <c r="CI787" s="1"/>
      <c r="CJ787" s="1"/>
      <c r="CK787" s="1"/>
      <c r="CM787" s="2"/>
      <c r="CN787" s="1"/>
      <c r="CO787" s="1"/>
      <c r="CP787" s="1"/>
      <c r="CQ787" s="1"/>
      <c r="CS787" s="1"/>
      <c r="CT787" s="1"/>
      <c r="CU787" s="1"/>
      <c r="CV787" s="1"/>
      <c r="CW787" s="1"/>
      <c r="CX787" s="1"/>
      <c r="CY787" s="1"/>
      <c r="CZ787" s="1"/>
      <c r="DA787" s="1"/>
      <c r="DB787" s="1"/>
      <c r="DC787" s="1"/>
      <c r="DD787" s="1"/>
      <c r="DE787" s="1"/>
      <c r="DF787" s="1"/>
      <c r="DG787" s="1"/>
      <c r="DH787" s="1"/>
      <c r="DI787" s="1"/>
      <c r="DJ787" s="1"/>
      <c r="DK787" s="1"/>
      <c r="DM787" s="1"/>
      <c r="DQ787" s="1"/>
      <c r="DR787" s="1"/>
      <c r="DY787" s="1"/>
      <c r="DZ787" s="1"/>
      <c r="ED787" s="1"/>
      <c r="EK787" s="1"/>
      <c r="EL787" s="1"/>
      <c r="EM787" s="1"/>
      <c r="EN787" s="1"/>
      <c r="EQ787" s="1"/>
      <c r="ER787" s="1"/>
      <c r="ES787" s="1"/>
      <c r="EV787" s="1"/>
      <c r="EW787" s="1"/>
      <c r="EX787" s="1"/>
      <c r="EZ787" s="1"/>
      <c r="FA787" s="1"/>
      <c r="FD787" s="1"/>
      <c r="FG787" s="1"/>
      <c r="FH787" s="1"/>
      <c r="FI787" s="1"/>
      <c r="FJ787" s="1"/>
      <c r="FL787" s="1"/>
      <c r="FM787" s="1"/>
      <c r="FN787" s="1"/>
      <c r="FO787" s="1"/>
      <c r="FP787" s="1"/>
      <c r="FQ787" s="1"/>
      <c r="FS787" s="1"/>
      <c r="FU787" s="1"/>
      <c r="FV787" s="1"/>
      <c r="FX787" s="1"/>
      <c r="FZ787" s="1"/>
      <c r="GA787" s="1"/>
      <c r="GB787" s="1"/>
      <c r="GD787" s="1"/>
      <c r="GE787" s="1"/>
      <c r="GF787" s="1"/>
      <c r="GG787" s="1"/>
      <c r="GH787" s="1"/>
      <c r="GI787" s="1"/>
      <c r="GJ787" s="1"/>
      <c r="GK787" s="1"/>
      <c r="GL787" s="1"/>
      <c r="GM787" s="1"/>
      <c r="GN787" s="1"/>
      <c r="GO787" s="1"/>
      <c r="GP787" s="1"/>
      <c r="GR787" s="1"/>
      <c r="GY787" s="1"/>
      <c r="HF787" s="1"/>
      <c r="HH787" s="1"/>
      <c r="HT787" s="1"/>
      <c r="HY787" s="1"/>
      <c r="IA787" s="1"/>
      <c r="IC787" s="1"/>
      <c r="ID787" s="1"/>
      <c r="IE787" s="1"/>
      <c r="IK787" s="1"/>
      <c r="IR787" s="1"/>
      <c r="IS787" s="1"/>
      <c r="IZ787" s="1"/>
      <c r="JC787" s="1"/>
      <c r="JF787" s="1"/>
      <c r="JG787" s="1"/>
      <c r="JH787" s="1"/>
      <c r="JJ787" s="1"/>
      <c r="JN787" s="1"/>
      <c r="JP787" s="1"/>
      <c r="JQ787" s="1"/>
      <c r="JT787" s="1"/>
      <c r="JW787" s="1"/>
      <c r="KS787" s="1"/>
      <c r="KT787" s="1"/>
      <c r="KU787" s="1"/>
      <c r="KY787" s="1"/>
      <c r="KZ787" s="1"/>
      <c r="LA787" s="1"/>
      <c r="LB787" s="1"/>
      <c r="LC787" s="1"/>
      <c r="LD787" s="1"/>
      <c r="LF787" s="1"/>
      <c r="LO787" s="1"/>
      <c r="LP787" s="1"/>
      <c r="LZ787" s="1"/>
      <c r="MA787" s="1"/>
    </row>
    <row r="788" spans="4:339" ht="13" x14ac:dyDescent="0.15">
      <c r="D788" s="12"/>
      <c r="E788" s="12"/>
      <c r="I788" s="12"/>
      <c r="J788" s="13"/>
      <c r="BF788" s="1"/>
      <c r="BG788" s="1"/>
      <c r="BH788" s="1"/>
      <c r="BI788" s="1"/>
      <c r="BJ788" s="1"/>
      <c r="BK788" s="1"/>
      <c r="BL788" s="1"/>
      <c r="BM788" s="1"/>
      <c r="BN788" s="1"/>
      <c r="BO788" s="1"/>
      <c r="BP788" s="1"/>
      <c r="BQ788" s="1"/>
      <c r="BR788" s="1"/>
      <c r="BX788" s="1"/>
      <c r="CC788" s="1"/>
      <c r="CD788" s="1"/>
      <c r="CE788" s="1"/>
      <c r="CF788" s="1"/>
      <c r="CG788" s="1"/>
      <c r="CH788" s="1"/>
      <c r="CI788" s="1"/>
      <c r="CJ788" s="1"/>
      <c r="CK788" s="1"/>
      <c r="CM788" s="2"/>
      <c r="CN788" s="1"/>
      <c r="CO788" s="1"/>
      <c r="CP788" s="1"/>
      <c r="CQ788" s="1"/>
      <c r="CS788" s="1"/>
      <c r="CT788" s="1"/>
      <c r="CU788" s="1"/>
      <c r="CV788" s="1"/>
      <c r="CW788" s="1"/>
      <c r="CX788" s="1"/>
      <c r="CY788" s="1"/>
      <c r="CZ788" s="1"/>
      <c r="DA788" s="1"/>
      <c r="DB788" s="1"/>
      <c r="DC788" s="1"/>
      <c r="DD788" s="1"/>
      <c r="DE788" s="1"/>
      <c r="DF788" s="1"/>
      <c r="DG788" s="1"/>
      <c r="DH788" s="1"/>
      <c r="DI788" s="1"/>
      <c r="DJ788" s="1"/>
      <c r="DK788" s="1"/>
      <c r="DM788" s="1"/>
      <c r="DQ788" s="1"/>
      <c r="DR788" s="1"/>
      <c r="DY788" s="1"/>
      <c r="DZ788" s="1"/>
      <c r="ED788" s="1"/>
      <c r="EK788" s="1"/>
      <c r="EL788" s="1"/>
      <c r="EM788" s="1"/>
      <c r="EN788" s="1"/>
      <c r="EQ788" s="1"/>
      <c r="ER788" s="1"/>
      <c r="ES788" s="1"/>
      <c r="EV788" s="1"/>
      <c r="EW788" s="1"/>
      <c r="EX788" s="1"/>
      <c r="EZ788" s="1"/>
      <c r="FA788" s="1"/>
      <c r="FD788" s="1"/>
      <c r="FG788" s="1"/>
      <c r="FH788" s="1"/>
      <c r="FI788" s="1"/>
      <c r="FJ788" s="1"/>
      <c r="FL788" s="1"/>
      <c r="FM788" s="1"/>
      <c r="FN788" s="1"/>
      <c r="FO788" s="1"/>
      <c r="FP788" s="1"/>
      <c r="FQ788" s="1"/>
      <c r="FS788" s="1"/>
      <c r="FU788" s="1"/>
      <c r="FV788" s="1"/>
      <c r="FX788" s="1"/>
      <c r="FZ788" s="1"/>
      <c r="GA788" s="1"/>
      <c r="GB788" s="1"/>
      <c r="GD788" s="1"/>
      <c r="GE788" s="1"/>
      <c r="GF788" s="1"/>
      <c r="GG788" s="1"/>
      <c r="GH788" s="1"/>
      <c r="GI788" s="1"/>
      <c r="GJ788" s="1"/>
      <c r="GK788" s="1"/>
      <c r="GL788" s="1"/>
      <c r="GM788" s="1"/>
      <c r="GN788" s="1"/>
      <c r="GO788" s="1"/>
      <c r="GP788" s="1"/>
      <c r="GR788" s="1"/>
      <c r="GY788" s="1"/>
      <c r="HF788" s="1"/>
      <c r="HH788" s="1"/>
      <c r="HT788" s="1"/>
      <c r="HY788" s="1"/>
      <c r="IA788" s="1"/>
      <c r="IC788" s="1"/>
      <c r="ID788" s="1"/>
      <c r="IE788" s="1"/>
      <c r="IK788" s="1"/>
      <c r="IR788" s="1"/>
      <c r="IS788" s="1"/>
      <c r="IZ788" s="1"/>
      <c r="JC788" s="1"/>
      <c r="JF788" s="1"/>
      <c r="JG788" s="1"/>
      <c r="JH788" s="1"/>
      <c r="JJ788" s="1"/>
      <c r="JN788" s="1"/>
      <c r="JP788" s="1"/>
      <c r="JQ788" s="1"/>
      <c r="JT788" s="1"/>
      <c r="JW788" s="1"/>
      <c r="KS788" s="1"/>
      <c r="KT788" s="1"/>
      <c r="KU788" s="1"/>
      <c r="KY788" s="1"/>
      <c r="KZ788" s="1"/>
      <c r="LA788" s="1"/>
      <c r="LB788" s="1"/>
      <c r="LC788" s="1"/>
      <c r="LD788" s="1"/>
      <c r="LF788" s="1"/>
      <c r="LO788" s="1"/>
      <c r="LP788" s="1"/>
      <c r="LZ788" s="1"/>
      <c r="MA788" s="1"/>
    </row>
    <row r="789" spans="4:339" ht="13" x14ac:dyDescent="0.15">
      <c r="D789" s="12"/>
      <c r="E789" s="12"/>
      <c r="I789" s="12"/>
      <c r="J789" s="13"/>
      <c r="BF789" s="1"/>
      <c r="BG789" s="1"/>
      <c r="BH789" s="1"/>
      <c r="BI789" s="1"/>
      <c r="BJ789" s="1"/>
      <c r="BK789" s="1"/>
      <c r="BL789" s="1"/>
      <c r="BM789" s="1"/>
      <c r="BN789" s="1"/>
      <c r="BO789" s="1"/>
      <c r="BP789" s="1"/>
      <c r="BQ789" s="1"/>
      <c r="BR789" s="1"/>
      <c r="BX789" s="1"/>
      <c r="CC789" s="1"/>
      <c r="CD789" s="1"/>
      <c r="CE789" s="1"/>
      <c r="CF789" s="1"/>
      <c r="CG789" s="1"/>
      <c r="CH789" s="1"/>
      <c r="CI789" s="1"/>
      <c r="CJ789" s="1"/>
      <c r="CK789" s="1"/>
      <c r="CM789" s="2"/>
      <c r="CN789" s="1"/>
      <c r="CO789" s="1"/>
      <c r="CP789" s="1"/>
      <c r="CQ789" s="1"/>
      <c r="CS789" s="1"/>
      <c r="CT789" s="1"/>
      <c r="CU789" s="1"/>
      <c r="CV789" s="1"/>
      <c r="CW789" s="1"/>
      <c r="CX789" s="1"/>
      <c r="CY789" s="1"/>
      <c r="CZ789" s="1"/>
      <c r="DA789" s="1"/>
      <c r="DB789" s="1"/>
      <c r="DC789" s="1"/>
      <c r="DD789" s="1"/>
      <c r="DE789" s="1"/>
      <c r="DF789" s="1"/>
      <c r="DG789" s="1"/>
      <c r="DH789" s="1"/>
      <c r="DI789" s="1"/>
      <c r="DJ789" s="1"/>
      <c r="DK789" s="1"/>
      <c r="DM789" s="1"/>
      <c r="DQ789" s="1"/>
      <c r="DR789" s="1"/>
      <c r="DY789" s="1"/>
      <c r="DZ789" s="1"/>
      <c r="ED789" s="1"/>
      <c r="EK789" s="1"/>
      <c r="EL789" s="1"/>
      <c r="EM789" s="1"/>
      <c r="EN789" s="1"/>
      <c r="EQ789" s="1"/>
      <c r="ER789" s="1"/>
      <c r="ES789" s="1"/>
      <c r="EV789" s="1"/>
      <c r="EW789" s="1"/>
      <c r="EX789" s="1"/>
      <c r="EZ789" s="1"/>
      <c r="FA789" s="1"/>
      <c r="FD789" s="1"/>
      <c r="FG789" s="1"/>
      <c r="FH789" s="1"/>
      <c r="FI789" s="1"/>
      <c r="FJ789" s="1"/>
      <c r="FL789" s="1"/>
      <c r="FM789" s="1"/>
      <c r="FN789" s="1"/>
      <c r="FO789" s="1"/>
      <c r="FP789" s="1"/>
      <c r="FQ789" s="1"/>
      <c r="FS789" s="1"/>
      <c r="FU789" s="1"/>
      <c r="FV789" s="1"/>
      <c r="FX789" s="1"/>
      <c r="FZ789" s="1"/>
      <c r="GA789" s="1"/>
      <c r="GB789" s="1"/>
      <c r="GD789" s="1"/>
      <c r="GE789" s="1"/>
      <c r="GF789" s="1"/>
      <c r="GG789" s="1"/>
      <c r="GH789" s="1"/>
      <c r="GI789" s="1"/>
      <c r="GJ789" s="1"/>
      <c r="GK789" s="1"/>
      <c r="GL789" s="1"/>
      <c r="GM789" s="1"/>
      <c r="GN789" s="1"/>
      <c r="GO789" s="1"/>
      <c r="GP789" s="1"/>
      <c r="GR789" s="1"/>
      <c r="GY789" s="1"/>
      <c r="HF789" s="1"/>
      <c r="HH789" s="1"/>
      <c r="HT789" s="1"/>
      <c r="HY789" s="1"/>
      <c r="IA789" s="1"/>
      <c r="IC789" s="1"/>
      <c r="ID789" s="1"/>
      <c r="IE789" s="1"/>
      <c r="IK789" s="1"/>
      <c r="IR789" s="1"/>
      <c r="IS789" s="1"/>
      <c r="IZ789" s="1"/>
      <c r="JC789" s="1"/>
      <c r="JF789" s="1"/>
      <c r="JG789" s="1"/>
      <c r="JH789" s="1"/>
      <c r="JJ789" s="1"/>
      <c r="JN789" s="1"/>
      <c r="JP789" s="1"/>
      <c r="JQ789" s="1"/>
      <c r="JT789" s="1"/>
      <c r="JW789" s="1"/>
      <c r="KS789" s="1"/>
      <c r="KT789" s="1"/>
      <c r="KU789" s="1"/>
      <c r="KY789" s="1"/>
      <c r="KZ789" s="1"/>
      <c r="LA789" s="1"/>
      <c r="LB789" s="1"/>
      <c r="LC789" s="1"/>
      <c r="LD789" s="1"/>
      <c r="LF789" s="1"/>
      <c r="LO789" s="1"/>
      <c r="LP789" s="1"/>
      <c r="LZ789" s="1"/>
      <c r="MA789" s="1"/>
    </row>
    <row r="790" spans="4:339" ht="13" x14ac:dyDescent="0.15">
      <c r="D790" s="12"/>
      <c r="E790" s="12"/>
      <c r="I790" s="12"/>
      <c r="J790" s="13"/>
      <c r="BF790" s="1"/>
      <c r="BG790" s="1"/>
      <c r="BH790" s="1"/>
      <c r="BI790" s="1"/>
      <c r="BJ790" s="1"/>
      <c r="BK790" s="1"/>
      <c r="BL790" s="1"/>
      <c r="BM790" s="1"/>
      <c r="BN790" s="1"/>
      <c r="BO790" s="1"/>
      <c r="BP790" s="1"/>
      <c r="BQ790" s="1"/>
      <c r="BR790" s="1"/>
      <c r="BX790" s="1"/>
      <c r="CC790" s="1"/>
      <c r="CD790" s="1"/>
      <c r="CE790" s="1"/>
      <c r="CF790" s="1"/>
      <c r="CG790" s="1"/>
      <c r="CH790" s="1"/>
      <c r="CI790" s="1"/>
      <c r="CJ790" s="1"/>
      <c r="CK790" s="1"/>
      <c r="CM790" s="2"/>
      <c r="CN790" s="1"/>
      <c r="CO790" s="1"/>
      <c r="CP790" s="1"/>
      <c r="CQ790" s="1"/>
      <c r="CS790" s="1"/>
      <c r="CT790" s="1"/>
      <c r="CU790" s="1"/>
      <c r="CV790" s="1"/>
      <c r="CW790" s="1"/>
      <c r="CX790" s="1"/>
      <c r="CY790" s="1"/>
      <c r="CZ790" s="1"/>
      <c r="DA790" s="1"/>
      <c r="DB790" s="1"/>
      <c r="DC790" s="1"/>
      <c r="DD790" s="1"/>
      <c r="DE790" s="1"/>
      <c r="DF790" s="1"/>
      <c r="DG790" s="1"/>
      <c r="DH790" s="1"/>
      <c r="DI790" s="1"/>
      <c r="DJ790" s="1"/>
      <c r="DK790" s="1"/>
      <c r="DM790" s="1"/>
      <c r="DQ790" s="1"/>
      <c r="DR790" s="1"/>
      <c r="DY790" s="1"/>
      <c r="DZ790" s="1"/>
      <c r="ED790" s="1"/>
      <c r="EK790" s="1"/>
      <c r="EL790" s="1"/>
      <c r="EM790" s="1"/>
      <c r="EN790" s="1"/>
      <c r="EQ790" s="1"/>
      <c r="ER790" s="1"/>
      <c r="ES790" s="1"/>
      <c r="EV790" s="1"/>
      <c r="EW790" s="1"/>
      <c r="EX790" s="1"/>
      <c r="EZ790" s="1"/>
      <c r="FA790" s="1"/>
      <c r="FD790" s="1"/>
      <c r="FG790" s="1"/>
      <c r="FH790" s="1"/>
      <c r="FI790" s="1"/>
      <c r="FJ790" s="1"/>
      <c r="FL790" s="1"/>
      <c r="FM790" s="1"/>
      <c r="FN790" s="1"/>
      <c r="FO790" s="1"/>
      <c r="FP790" s="1"/>
      <c r="FQ790" s="1"/>
      <c r="FS790" s="1"/>
      <c r="FU790" s="1"/>
      <c r="FV790" s="1"/>
      <c r="FX790" s="1"/>
      <c r="FZ790" s="1"/>
      <c r="GA790" s="1"/>
      <c r="GB790" s="1"/>
      <c r="GD790" s="1"/>
      <c r="GE790" s="1"/>
      <c r="GF790" s="1"/>
      <c r="GG790" s="1"/>
      <c r="GH790" s="1"/>
      <c r="GI790" s="1"/>
      <c r="GJ790" s="1"/>
      <c r="GK790" s="1"/>
      <c r="GL790" s="1"/>
      <c r="GM790" s="1"/>
      <c r="GN790" s="1"/>
      <c r="GO790" s="1"/>
      <c r="GP790" s="1"/>
      <c r="GR790" s="1"/>
      <c r="GY790" s="1"/>
      <c r="HF790" s="1"/>
      <c r="HH790" s="1"/>
      <c r="HT790" s="1"/>
      <c r="HY790" s="1"/>
      <c r="IA790" s="1"/>
      <c r="IC790" s="1"/>
      <c r="ID790" s="1"/>
      <c r="IE790" s="1"/>
      <c r="IK790" s="1"/>
      <c r="IR790" s="1"/>
      <c r="IS790" s="1"/>
      <c r="IZ790" s="1"/>
      <c r="JC790" s="1"/>
      <c r="JF790" s="1"/>
      <c r="JG790" s="1"/>
      <c r="JH790" s="1"/>
      <c r="JJ790" s="1"/>
      <c r="JN790" s="1"/>
      <c r="JP790" s="1"/>
      <c r="JQ790" s="1"/>
      <c r="JT790" s="1"/>
      <c r="JW790" s="1"/>
      <c r="KS790" s="1"/>
      <c r="KT790" s="1"/>
      <c r="KU790" s="1"/>
      <c r="KY790" s="1"/>
      <c r="KZ790" s="1"/>
      <c r="LA790" s="1"/>
      <c r="LB790" s="1"/>
      <c r="LC790" s="1"/>
      <c r="LD790" s="1"/>
      <c r="LF790" s="1"/>
      <c r="LO790" s="1"/>
      <c r="LP790" s="1"/>
      <c r="LZ790" s="1"/>
      <c r="MA790" s="1"/>
    </row>
    <row r="791" spans="4:339" ht="13" x14ac:dyDescent="0.15">
      <c r="D791" s="12"/>
      <c r="E791" s="12"/>
      <c r="I791" s="12"/>
      <c r="J791" s="13"/>
      <c r="BF791" s="1"/>
      <c r="BG791" s="1"/>
      <c r="BH791" s="1"/>
      <c r="BI791" s="1"/>
      <c r="BJ791" s="1"/>
      <c r="BK791" s="1"/>
      <c r="BL791" s="1"/>
      <c r="BM791" s="1"/>
      <c r="BN791" s="1"/>
      <c r="BO791" s="1"/>
      <c r="BP791" s="1"/>
      <c r="BQ791" s="1"/>
      <c r="BR791" s="1"/>
      <c r="BX791" s="1"/>
      <c r="CC791" s="1"/>
      <c r="CD791" s="1"/>
      <c r="CE791" s="1"/>
      <c r="CF791" s="1"/>
      <c r="CG791" s="1"/>
      <c r="CH791" s="1"/>
      <c r="CI791" s="1"/>
      <c r="CJ791" s="1"/>
      <c r="CK791" s="1"/>
      <c r="CM791" s="2"/>
      <c r="CN791" s="1"/>
      <c r="CO791" s="1"/>
      <c r="CP791" s="1"/>
      <c r="CQ791" s="1"/>
      <c r="CS791" s="1"/>
      <c r="CT791" s="1"/>
      <c r="CU791" s="1"/>
      <c r="CV791" s="1"/>
      <c r="CW791" s="1"/>
      <c r="CX791" s="1"/>
      <c r="CY791" s="1"/>
      <c r="CZ791" s="1"/>
      <c r="DA791" s="1"/>
      <c r="DB791" s="1"/>
      <c r="DC791" s="1"/>
      <c r="DD791" s="1"/>
      <c r="DE791" s="1"/>
      <c r="DF791" s="1"/>
      <c r="DG791" s="1"/>
      <c r="DH791" s="1"/>
      <c r="DI791" s="1"/>
      <c r="DJ791" s="1"/>
      <c r="DK791" s="1"/>
      <c r="DM791" s="1"/>
      <c r="DQ791" s="1"/>
      <c r="DR791" s="1"/>
      <c r="DY791" s="1"/>
      <c r="DZ791" s="1"/>
      <c r="ED791" s="1"/>
      <c r="EK791" s="1"/>
      <c r="EL791" s="1"/>
      <c r="EM791" s="1"/>
      <c r="EN791" s="1"/>
      <c r="EQ791" s="1"/>
      <c r="ER791" s="1"/>
      <c r="ES791" s="1"/>
      <c r="EV791" s="1"/>
      <c r="EW791" s="1"/>
      <c r="EX791" s="1"/>
      <c r="EZ791" s="1"/>
      <c r="FA791" s="1"/>
      <c r="FD791" s="1"/>
      <c r="FG791" s="1"/>
      <c r="FH791" s="1"/>
      <c r="FI791" s="1"/>
      <c r="FJ791" s="1"/>
      <c r="FL791" s="1"/>
      <c r="FM791" s="1"/>
      <c r="FN791" s="1"/>
      <c r="FO791" s="1"/>
      <c r="FP791" s="1"/>
      <c r="FQ791" s="1"/>
      <c r="FS791" s="1"/>
      <c r="FU791" s="1"/>
      <c r="FV791" s="1"/>
      <c r="FX791" s="1"/>
      <c r="FZ791" s="1"/>
      <c r="GA791" s="1"/>
      <c r="GB791" s="1"/>
      <c r="GD791" s="1"/>
      <c r="GE791" s="1"/>
      <c r="GF791" s="1"/>
      <c r="GG791" s="1"/>
      <c r="GH791" s="1"/>
      <c r="GI791" s="1"/>
      <c r="GJ791" s="1"/>
      <c r="GK791" s="1"/>
      <c r="GL791" s="1"/>
      <c r="GM791" s="1"/>
      <c r="GN791" s="1"/>
      <c r="GO791" s="1"/>
      <c r="GP791" s="1"/>
      <c r="GR791" s="1"/>
      <c r="GY791" s="1"/>
      <c r="HF791" s="1"/>
      <c r="HH791" s="1"/>
      <c r="HT791" s="1"/>
      <c r="HY791" s="1"/>
      <c r="IA791" s="1"/>
      <c r="IC791" s="1"/>
      <c r="ID791" s="1"/>
      <c r="IE791" s="1"/>
      <c r="IK791" s="1"/>
      <c r="IR791" s="1"/>
      <c r="IS791" s="1"/>
      <c r="IZ791" s="1"/>
      <c r="JC791" s="1"/>
      <c r="JF791" s="1"/>
      <c r="JG791" s="1"/>
      <c r="JH791" s="1"/>
      <c r="JJ791" s="1"/>
      <c r="JN791" s="1"/>
      <c r="JP791" s="1"/>
      <c r="JQ791" s="1"/>
      <c r="JT791" s="1"/>
      <c r="JW791" s="1"/>
      <c r="KS791" s="1"/>
      <c r="KT791" s="1"/>
      <c r="KU791" s="1"/>
      <c r="KY791" s="1"/>
      <c r="KZ791" s="1"/>
      <c r="LA791" s="1"/>
      <c r="LB791" s="1"/>
      <c r="LC791" s="1"/>
      <c r="LD791" s="1"/>
      <c r="LF791" s="1"/>
      <c r="LO791" s="1"/>
      <c r="LP791" s="1"/>
      <c r="LZ791" s="1"/>
      <c r="MA791" s="1"/>
    </row>
    <row r="792" spans="4:339" ht="13" x14ac:dyDescent="0.15">
      <c r="D792" s="12"/>
      <c r="E792" s="12"/>
      <c r="I792" s="12"/>
      <c r="J792" s="13"/>
      <c r="BF792" s="1"/>
      <c r="BG792" s="1"/>
      <c r="BH792" s="1"/>
      <c r="BI792" s="1"/>
      <c r="BJ792" s="1"/>
      <c r="BK792" s="1"/>
      <c r="BL792" s="1"/>
      <c r="BM792" s="1"/>
      <c r="BN792" s="1"/>
      <c r="BO792" s="1"/>
      <c r="BP792" s="1"/>
      <c r="BQ792" s="1"/>
      <c r="BR792" s="1"/>
      <c r="BX792" s="1"/>
      <c r="CC792" s="1"/>
      <c r="CD792" s="1"/>
      <c r="CE792" s="1"/>
      <c r="CF792" s="1"/>
      <c r="CG792" s="1"/>
      <c r="CH792" s="1"/>
      <c r="CI792" s="1"/>
      <c r="CJ792" s="1"/>
      <c r="CK792" s="1"/>
      <c r="CM792" s="2"/>
      <c r="CN792" s="1"/>
      <c r="CO792" s="1"/>
      <c r="CP792" s="1"/>
      <c r="CQ792" s="1"/>
      <c r="CS792" s="1"/>
      <c r="CT792" s="1"/>
      <c r="CU792" s="1"/>
      <c r="CV792" s="1"/>
      <c r="CW792" s="1"/>
      <c r="CX792" s="1"/>
      <c r="CY792" s="1"/>
      <c r="CZ792" s="1"/>
      <c r="DA792" s="1"/>
      <c r="DB792" s="1"/>
      <c r="DC792" s="1"/>
      <c r="DD792" s="1"/>
      <c r="DE792" s="1"/>
      <c r="DF792" s="1"/>
      <c r="DG792" s="1"/>
      <c r="DH792" s="1"/>
      <c r="DI792" s="1"/>
      <c r="DJ792" s="1"/>
      <c r="DK792" s="1"/>
      <c r="DM792" s="1"/>
      <c r="DQ792" s="1"/>
      <c r="DR792" s="1"/>
      <c r="DY792" s="1"/>
      <c r="DZ792" s="1"/>
      <c r="ED792" s="1"/>
      <c r="EK792" s="1"/>
      <c r="EL792" s="1"/>
      <c r="EM792" s="1"/>
      <c r="EN792" s="1"/>
      <c r="EQ792" s="1"/>
      <c r="ER792" s="1"/>
      <c r="ES792" s="1"/>
      <c r="EV792" s="1"/>
      <c r="EW792" s="1"/>
      <c r="EX792" s="1"/>
      <c r="EZ792" s="1"/>
      <c r="FA792" s="1"/>
      <c r="FD792" s="1"/>
      <c r="FG792" s="1"/>
      <c r="FH792" s="1"/>
      <c r="FI792" s="1"/>
      <c r="FJ792" s="1"/>
      <c r="FL792" s="1"/>
      <c r="FM792" s="1"/>
      <c r="FN792" s="1"/>
      <c r="FO792" s="1"/>
      <c r="FP792" s="1"/>
      <c r="FQ792" s="1"/>
      <c r="FS792" s="1"/>
      <c r="FU792" s="1"/>
      <c r="FV792" s="1"/>
      <c r="FX792" s="1"/>
      <c r="FZ792" s="1"/>
      <c r="GA792" s="1"/>
      <c r="GB792" s="1"/>
      <c r="GD792" s="1"/>
      <c r="GE792" s="1"/>
      <c r="GF792" s="1"/>
      <c r="GG792" s="1"/>
      <c r="GH792" s="1"/>
      <c r="GI792" s="1"/>
      <c r="GJ792" s="1"/>
      <c r="GK792" s="1"/>
      <c r="GL792" s="1"/>
      <c r="GM792" s="1"/>
      <c r="GN792" s="1"/>
      <c r="GO792" s="1"/>
      <c r="GP792" s="1"/>
      <c r="GR792" s="1"/>
      <c r="GY792" s="1"/>
      <c r="HF792" s="1"/>
      <c r="HH792" s="1"/>
      <c r="HT792" s="1"/>
      <c r="HY792" s="1"/>
      <c r="IA792" s="1"/>
      <c r="IC792" s="1"/>
      <c r="ID792" s="1"/>
      <c r="IE792" s="1"/>
      <c r="IK792" s="1"/>
      <c r="IR792" s="1"/>
      <c r="IS792" s="1"/>
      <c r="IZ792" s="1"/>
      <c r="JC792" s="1"/>
      <c r="JF792" s="1"/>
      <c r="JG792" s="1"/>
      <c r="JH792" s="1"/>
      <c r="JJ792" s="1"/>
      <c r="JN792" s="1"/>
      <c r="JP792" s="1"/>
      <c r="JQ792" s="1"/>
      <c r="JT792" s="1"/>
      <c r="JW792" s="1"/>
      <c r="KS792" s="1"/>
      <c r="KT792" s="1"/>
      <c r="KU792" s="1"/>
      <c r="KY792" s="1"/>
      <c r="KZ792" s="1"/>
      <c r="LA792" s="1"/>
      <c r="LB792" s="1"/>
      <c r="LC792" s="1"/>
      <c r="LD792" s="1"/>
      <c r="LF792" s="1"/>
      <c r="LO792" s="1"/>
      <c r="LP792" s="1"/>
      <c r="LZ792" s="1"/>
      <c r="MA792" s="1"/>
    </row>
    <row r="793" spans="4:339" ht="13" x14ac:dyDescent="0.15">
      <c r="D793" s="12"/>
      <c r="E793" s="12"/>
      <c r="I793" s="12"/>
      <c r="J793" s="13"/>
      <c r="BF793" s="1"/>
      <c r="BG793" s="1"/>
      <c r="BH793" s="1"/>
      <c r="BI793" s="1"/>
      <c r="BJ793" s="1"/>
      <c r="BK793" s="1"/>
      <c r="BL793" s="1"/>
      <c r="BM793" s="1"/>
      <c r="BN793" s="1"/>
      <c r="BO793" s="1"/>
      <c r="BP793" s="1"/>
      <c r="BQ793" s="1"/>
      <c r="BR793" s="1"/>
      <c r="BX793" s="1"/>
      <c r="CC793" s="1"/>
      <c r="CD793" s="1"/>
      <c r="CE793" s="1"/>
      <c r="CF793" s="1"/>
      <c r="CG793" s="1"/>
      <c r="CH793" s="1"/>
      <c r="CI793" s="1"/>
      <c r="CJ793" s="1"/>
      <c r="CK793" s="1"/>
      <c r="CM793" s="2"/>
      <c r="CN793" s="1"/>
      <c r="CO793" s="1"/>
      <c r="CP793" s="1"/>
      <c r="CQ793" s="1"/>
      <c r="CS793" s="1"/>
      <c r="CT793" s="1"/>
      <c r="CU793" s="1"/>
      <c r="CV793" s="1"/>
      <c r="CW793" s="1"/>
      <c r="CX793" s="1"/>
      <c r="CY793" s="1"/>
      <c r="CZ793" s="1"/>
      <c r="DA793" s="1"/>
      <c r="DB793" s="1"/>
      <c r="DC793" s="1"/>
      <c r="DD793" s="1"/>
      <c r="DE793" s="1"/>
      <c r="DF793" s="1"/>
      <c r="DG793" s="1"/>
      <c r="DH793" s="1"/>
      <c r="DI793" s="1"/>
      <c r="DJ793" s="1"/>
      <c r="DK793" s="1"/>
      <c r="DM793" s="1"/>
      <c r="DQ793" s="1"/>
      <c r="DR793" s="1"/>
      <c r="DY793" s="1"/>
      <c r="DZ793" s="1"/>
      <c r="ED793" s="1"/>
      <c r="EK793" s="1"/>
      <c r="EL793" s="1"/>
      <c r="EM793" s="1"/>
      <c r="EN793" s="1"/>
      <c r="EQ793" s="1"/>
      <c r="ER793" s="1"/>
      <c r="ES793" s="1"/>
      <c r="EV793" s="1"/>
      <c r="EW793" s="1"/>
      <c r="EX793" s="1"/>
      <c r="EZ793" s="1"/>
      <c r="FA793" s="1"/>
      <c r="FD793" s="1"/>
      <c r="FG793" s="1"/>
      <c r="FH793" s="1"/>
      <c r="FI793" s="1"/>
      <c r="FJ793" s="1"/>
      <c r="FL793" s="1"/>
      <c r="FM793" s="1"/>
      <c r="FN793" s="1"/>
      <c r="FO793" s="1"/>
      <c r="FP793" s="1"/>
      <c r="FQ793" s="1"/>
      <c r="FS793" s="1"/>
      <c r="FU793" s="1"/>
      <c r="FV793" s="1"/>
      <c r="FX793" s="1"/>
      <c r="FZ793" s="1"/>
      <c r="GA793" s="1"/>
      <c r="GB793" s="1"/>
      <c r="GD793" s="1"/>
      <c r="GE793" s="1"/>
      <c r="GF793" s="1"/>
      <c r="GG793" s="1"/>
      <c r="GH793" s="1"/>
      <c r="GI793" s="1"/>
      <c r="GJ793" s="1"/>
      <c r="GK793" s="1"/>
      <c r="GL793" s="1"/>
      <c r="GM793" s="1"/>
      <c r="GN793" s="1"/>
      <c r="GO793" s="1"/>
      <c r="GP793" s="1"/>
      <c r="GR793" s="1"/>
      <c r="GY793" s="1"/>
      <c r="HF793" s="1"/>
      <c r="HH793" s="1"/>
      <c r="HT793" s="1"/>
      <c r="HY793" s="1"/>
      <c r="IA793" s="1"/>
      <c r="IC793" s="1"/>
      <c r="ID793" s="1"/>
      <c r="IE793" s="1"/>
      <c r="IK793" s="1"/>
      <c r="IR793" s="1"/>
      <c r="IS793" s="1"/>
      <c r="IZ793" s="1"/>
      <c r="JC793" s="1"/>
      <c r="JF793" s="1"/>
      <c r="JG793" s="1"/>
      <c r="JH793" s="1"/>
      <c r="JJ793" s="1"/>
      <c r="JN793" s="1"/>
      <c r="JP793" s="1"/>
      <c r="JQ793" s="1"/>
      <c r="JT793" s="1"/>
      <c r="JW793" s="1"/>
      <c r="KS793" s="1"/>
      <c r="KT793" s="1"/>
      <c r="KU793" s="1"/>
      <c r="KY793" s="1"/>
      <c r="KZ793" s="1"/>
      <c r="LA793" s="1"/>
      <c r="LB793" s="1"/>
      <c r="LC793" s="1"/>
      <c r="LD793" s="1"/>
      <c r="LF793" s="1"/>
      <c r="LO793" s="1"/>
      <c r="LP793" s="1"/>
      <c r="LZ793" s="1"/>
      <c r="MA793" s="1"/>
    </row>
    <row r="794" spans="4:339" ht="13" x14ac:dyDescent="0.15">
      <c r="D794" s="12"/>
      <c r="E794" s="12"/>
      <c r="I794" s="12"/>
      <c r="J794" s="13"/>
      <c r="BF794" s="1"/>
      <c r="BG794" s="1"/>
      <c r="BH794" s="1"/>
      <c r="BI794" s="1"/>
      <c r="BJ794" s="1"/>
      <c r="BK794" s="1"/>
      <c r="BL794" s="1"/>
      <c r="BM794" s="1"/>
      <c r="BN794" s="1"/>
      <c r="BO794" s="1"/>
      <c r="BP794" s="1"/>
      <c r="BQ794" s="1"/>
      <c r="BR794" s="1"/>
      <c r="BX794" s="1"/>
      <c r="CC794" s="1"/>
      <c r="CD794" s="1"/>
      <c r="CE794" s="1"/>
      <c r="CF794" s="1"/>
      <c r="CG794" s="1"/>
      <c r="CH794" s="1"/>
      <c r="CI794" s="1"/>
      <c r="CJ794" s="1"/>
      <c r="CK794" s="1"/>
      <c r="CM794" s="2"/>
      <c r="CN794" s="1"/>
      <c r="CO794" s="1"/>
      <c r="CP794" s="1"/>
      <c r="CQ794" s="1"/>
      <c r="CS794" s="1"/>
      <c r="CT794" s="1"/>
      <c r="CU794" s="1"/>
      <c r="CV794" s="1"/>
      <c r="CW794" s="1"/>
      <c r="CX794" s="1"/>
      <c r="CY794" s="1"/>
      <c r="CZ794" s="1"/>
      <c r="DA794" s="1"/>
      <c r="DB794" s="1"/>
      <c r="DC794" s="1"/>
      <c r="DD794" s="1"/>
      <c r="DE794" s="1"/>
      <c r="DF794" s="1"/>
      <c r="DG794" s="1"/>
      <c r="DH794" s="1"/>
      <c r="DI794" s="1"/>
      <c r="DJ794" s="1"/>
      <c r="DK794" s="1"/>
      <c r="DM794" s="1"/>
      <c r="DQ794" s="1"/>
      <c r="DR794" s="1"/>
      <c r="DY794" s="1"/>
      <c r="DZ794" s="1"/>
      <c r="ED794" s="1"/>
      <c r="EK794" s="1"/>
      <c r="EL794" s="1"/>
      <c r="EM794" s="1"/>
      <c r="EN794" s="1"/>
      <c r="EQ794" s="1"/>
      <c r="ER794" s="1"/>
      <c r="ES794" s="1"/>
      <c r="EV794" s="1"/>
      <c r="EW794" s="1"/>
      <c r="EX794" s="1"/>
      <c r="EZ794" s="1"/>
      <c r="FA794" s="1"/>
      <c r="FD794" s="1"/>
      <c r="FG794" s="1"/>
      <c r="FH794" s="1"/>
      <c r="FI794" s="1"/>
      <c r="FJ794" s="1"/>
      <c r="FL794" s="1"/>
      <c r="FM794" s="1"/>
      <c r="FN794" s="1"/>
      <c r="FO794" s="1"/>
      <c r="FP794" s="1"/>
      <c r="FQ794" s="1"/>
      <c r="FS794" s="1"/>
      <c r="FU794" s="1"/>
      <c r="FV794" s="1"/>
      <c r="FX794" s="1"/>
      <c r="FZ794" s="1"/>
      <c r="GA794" s="1"/>
      <c r="GB794" s="1"/>
      <c r="GD794" s="1"/>
      <c r="GE794" s="1"/>
      <c r="GF794" s="1"/>
      <c r="GG794" s="1"/>
      <c r="GH794" s="1"/>
      <c r="GI794" s="1"/>
      <c r="GJ794" s="1"/>
      <c r="GK794" s="1"/>
      <c r="GL794" s="1"/>
      <c r="GM794" s="1"/>
      <c r="GN794" s="1"/>
      <c r="GO794" s="1"/>
      <c r="GP794" s="1"/>
      <c r="GR794" s="1"/>
      <c r="GY794" s="1"/>
      <c r="HF794" s="1"/>
      <c r="HH794" s="1"/>
      <c r="HT794" s="1"/>
      <c r="HY794" s="1"/>
      <c r="IA794" s="1"/>
      <c r="IC794" s="1"/>
      <c r="ID794" s="1"/>
      <c r="IE794" s="1"/>
      <c r="IK794" s="1"/>
      <c r="IR794" s="1"/>
      <c r="IS794" s="1"/>
      <c r="IZ794" s="1"/>
      <c r="JC794" s="1"/>
      <c r="JF794" s="1"/>
      <c r="JG794" s="1"/>
      <c r="JH794" s="1"/>
      <c r="JJ794" s="1"/>
      <c r="JN794" s="1"/>
      <c r="JP794" s="1"/>
      <c r="JQ794" s="1"/>
      <c r="JT794" s="1"/>
      <c r="JW794" s="1"/>
      <c r="KS794" s="1"/>
      <c r="KT794" s="1"/>
      <c r="KU794" s="1"/>
      <c r="KY794" s="1"/>
      <c r="KZ794" s="1"/>
      <c r="LA794" s="1"/>
      <c r="LB794" s="1"/>
      <c r="LC794" s="1"/>
      <c r="LD794" s="1"/>
      <c r="LF794" s="1"/>
      <c r="LO794" s="1"/>
      <c r="LP794" s="1"/>
      <c r="LZ794" s="1"/>
      <c r="MA794" s="1"/>
    </row>
    <row r="795" spans="4:339" ht="13" x14ac:dyDescent="0.15">
      <c r="D795" s="12"/>
      <c r="E795" s="12"/>
      <c r="I795" s="12"/>
      <c r="J795" s="13"/>
      <c r="BF795" s="1"/>
      <c r="BG795" s="1"/>
      <c r="BH795" s="1"/>
      <c r="BI795" s="1"/>
      <c r="BJ795" s="1"/>
      <c r="BK795" s="1"/>
      <c r="BL795" s="1"/>
      <c r="BM795" s="1"/>
      <c r="BN795" s="1"/>
      <c r="BO795" s="1"/>
      <c r="BP795" s="1"/>
      <c r="BQ795" s="1"/>
      <c r="BR795" s="1"/>
      <c r="BX795" s="1"/>
      <c r="CC795" s="1"/>
      <c r="CD795" s="1"/>
      <c r="CE795" s="1"/>
      <c r="CF795" s="1"/>
      <c r="CG795" s="1"/>
      <c r="CH795" s="1"/>
      <c r="CI795" s="1"/>
      <c r="CJ795" s="1"/>
      <c r="CK795" s="1"/>
      <c r="CM795" s="2"/>
      <c r="CN795" s="1"/>
      <c r="CO795" s="1"/>
      <c r="CP795" s="1"/>
      <c r="CQ795" s="1"/>
      <c r="CS795" s="1"/>
      <c r="CT795" s="1"/>
      <c r="CU795" s="1"/>
      <c r="CV795" s="1"/>
      <c r="CW795" s="1"/>
      <c r="CX795" s="1"/>
      <c r="CY795" s="1"/>
      <c r="CZ795" s="1"/>
      <c r="DA795" s="1"/>
      <c r="DB795" s="1"/>
      <c r="DC795" s="1"/>
      <c r="DD795" s="1"/>
      <c r="DE795" s="1"/>
      <c r="DF795" s="1"/>
      <c r="DG795" s="1"/>
      <c r="DH795" s="1"/>
      <c r="DI795" s="1"/>
      <c r="DJ795" s="1"/>
      <c r="DK795" s="1"/>
      <c r="DM795" s="1"/>
      <c r="DQ795" s="1"/>
      <c r="DR795" s="1"/>
      <c r="DY795" s="1"/>
      <c r="DZ795" s="1"/>
      <c r="ED795" s="1"/>
      <c r="EK795" s="1"/>
      <c r="EL795" s="1"/>
      <c r="EM795" s="1"/>
      <c r="EN795" s="1"/>
      <c r="EQ795" s="1"/>
      <c r="ER795" s="1"/>
      <c r="ES795" s="1"/>
      <c r="EV795" s="1"/>
      <c r="EW795" s="1"/>
      <c r="EX795" s="1"/>
      <c r="EZ795" s="1"/>
      <c r="FA795" s="1"/>
      <c r="FD795" s="1"/>
      <c r="FG795" s="1"/>
      <c r="FH795" s="1"/>
      <c r="FI795" s="1"/>
      <c r="FJ795" s="1"/>
      <c r="FL795" s="1"/>
      <c r="FM795" s="1"/>
      <c r="FN795" s="1"/>
      <c r="FO795" s="1"/>
      <c r="FP795" s="1"/>
      <c r="FQ795" s="1"/>
      <c r="FS795" s="1"/>
      <c r="FU795" s="1"/>
      <c r="FV795" s="1"/>
      <c r="FX795" s="1"/>
      <c r="FZ795" s="1"/>
      <c r="GA795" s="1"/>
      <c r="GB795" s="1"/>
      <c r="GD795" s="1"/>
      <c r="GE795" s="1"/>
      <c r="GF795" s="1"/>
      <c r="GG795" s="1"/>
      <c r="GH795" s="1"/>
      <c r="GI795" s="1"/>
      <c r="GJ795" s="1"/>
      <c r="GK795" s="1"/>
      <c r="GL795" s="1"/>
      <c r="GM795" s="1"/>
      <c r="GN795" s="1"/>
      <c r="GO795" s="1"/>
      <c r="GP795" s="1"/>
      <c r="GR795" s="1"/>
      <c r="GY795" s="1"/>
      <c r="HF795" s="1"/>
      <c r="HH795" s="1"/>
      <c r="HT795" s="1"/>
      <c r="HY795" s="1"/>
      <c r="IA795" s="1"/>
      <c r="IC795" s="1"/>
      <c r="ID795" s="1"/>
      <c r="IE795" s="1"/>
      <c r="IK795" s="1"/>
      <c r="IR795" s="1"/>
      <c r="IS795" s="1"/>
      <c r="IZ795" s="1"/>
      <c r="JC795" s="1"/>
      <c r="JF795" s="1"/>
      <c r="JG795" s="1"/>
      <c r="JH795" s="1"/>
      <c r="JJ795" s="1"/>
      <c r="JN795" s="1"/>
      <c r="JP795" s="1"/>
      <c r="JQ795" s="1"/>
      <c r="JT795" s="1"/>
      <c r="JW795" s="1"/>
      <c r="KS795" s="1"/>
      <c r="KT795" s="1"/>
      <c r="KU795" s="1"/>
      <c r="KY795" s="1"/>
      <c r="KZ795" s="1"/>
      <c r="LA795" s="1"/>
      <c r="LB795" s="1"/>
      <c r="LC795" s="1"/>
      <c r="LD795" s="1"/>
      <c r="LF795" s="1"/>
      <c r="LO795" s="1"/>
      <c r="LP795" s="1"/>
      <c r="LZ795" s="1"/>
      <c r="MA795" s="1"/>
    </row>
    <row r="796" spans="4:339" ht="13" x14ac:dyDescent="0.15">
      <c r="D796" s="12"/>
      <c r="E796" s="12"/>
      <c r="I796" s="12"/>
      <c r="J796" s="13"/>
      <c r="BF796" s="1"/>
      <c r="BG796" s="1"/>
      <c r="BH796" s="1"/>
      <c r="BI796" s="1"/>
      <c r="BJ796" s="1"/>
      <c r="BK796" s="1"/>
      <c r="BL796" s="1"/>
      <c r="BM796" s="1"/>
      <c r="BN796" s="1"/>
      <c r="BO796" s="1"/>
      <c r="BP796" s="1"/>
      <c r="BQ796" s="1"/>
      <c r="BR796" s="1"/>
      <c r="BX796" s="1"/>
      <c r="CC796" s="1"/>
      <c r="CD796" s="1"/>
      <c r="CE796" s="1"/>
      <c r="CF796" s="1"/>
      <c r="CG796" s="1"/>
      <c r="CH796" s="1"/>
      <c r="CI796" s="1"/>
      <c r="CJ796" s="1"/>
      <c r="CK796" s="1"/>
      <c r="CM796" s="2"/>
      <c r="CN796" s="1"/>
      <c r="CO796" s="1"/>
      <c r="CP796" s="1"/>
      <c r="CQ796" s="1"/>
      <c r="CS796" s="1"/>
      <c r="CT796" s="1"/>
      <c r="CU796" s="1"/>
      <c r="CV796" s="1"/>
      <c r="CW796" s="1"/>
      <c r="CX796" s="1"/>
      <c r="CY796" s="1"/>
      <c r="CZ796" s="1"/>
      <c r="DA796" s="1"/>
      <c r="DB796" s="1"/>
      <c r="DC796" s="1"/>
      <c r="DD796" s="1"/>
      <c r="DE796" s="1"/>
      <c r="DF796" s="1"/>
      <c r="DG796" s="1"/>
      <c r="DH796" s="1"/>
      <c r="DI796" s="1"/>
      <c r="DJ796" s="1"/>
      <c r="DK796" s="1"/>
      <c r="DM796" s="1"/>
      <c r="DQ796" s="1"/>
      <c r="DR796" s="1"/>
      <c r="DY796" s="1"/>
      <c r="DZ796" s="1"/>
      <c r="ED796" s="1"/>
      <c r="EK796" s="1"/>
      <c r="EL796" s="1"/>
      <c r="EM796" s="1"/>
      <c r="EN796" s="1"/>
      <c r="EQ796" s="1"/>
      <c r="ER796" s="1"/>
      <c r="ES796" s="1"/>
      <c r="EV796" s="1"/>
      <c r="EW796" s="1"/>
      <c r="EX796" s="1"/>
      <c r="EZ796" s="1"/>
      <c r="FA796" s="1"/>
      <c r="FD796" s="1"/>
      <c r="FG796" s="1"/>
      <c r="FH796" s="1"/>
      <c r="FI796" s="1"/>
      <c r="FJ796" s="1"/>
      <c r="FL796" s="1"/>
      <c r="FM796" s="1"/>
      <c r="FN796" s="1"/>
      <c r="FO796" s="1"/>
      <c r="FP796" s="1"/>
      <c r="FQ796" s="1"/>
      <c r="FS796" s="1"/>
      <c r="FU796" s="1"/>
      <c r="FV796" s="1"/>
      <c r="FX796" s="1"/>
      <c r="FZ796" s="1"/>
      <c r="GA796" s="1"/>
      <c r="GB796" s="1"/>
      <c r="GD796" s="1"/>
      <c r="GE796" s="1"/>
      <c r="GF796" s="1"/>
      <c r="GG796" s="1"/>
      <c r="GH796" s="1"/>
      <c r="GI796" s="1"/>
      <c r="GJ796" s="1"/>
      <c r="GK796" s="1"/>
      <c r="GL796" s="1"/>
      <c r="GM796" s="1"/>
      <c r="GN796" s="1"/>
      <c r="GO796" s="1"/>
      <c r="GP796" s="1"/>
      <c r="GR796" s="1"/>
      <c r="GY796" s="1"/>
      <c r="HF796" s="1"/>
      <c r="HH796" s="1"/>
      <c r="HT796" s="1"/>
      <c r="HY796" s="1"/>
      <c r="IA796" s="1"/>
      <c r="IC796" s="1"/>
      <c r="ID796" s="1"/>
      <c r="IE796" s="1"/>
      <c r="IK796" s="1"/>
      <c r="IR796" s="1"/>
      <c r="IS796" s="1"/>
      <c r="IZ796" s="1"/>
      <c r="JC796" s="1"/>
      <c r="JF796" s="1"/>
      <c r="JG796" s="1"/>
      <c r="JH796" s="1"/>
      <c r="JJ796" s="1"/>
      <c r="JN796" s="1"/>
      <c r="JP796" s="1"/>
      <c r="JQ796" s="1"/>
      <c r="JT796" s="1"/>
      <c r="JW796" s="1"/>
      <c r="KS796" s="1"/>
      <c r="KT796" s="1"/>
      <c r="KU796" s="1"/>
      <c r="KY796" s="1"/>
      <c r="KZ796" s="1"/>
      <c r="LA796" s="1"/>
      <c r="LB796" s="1"/>
      <c r="LC796" s="1"/>
      <c r="LD796" s="1"/>
      <c r="LF796" s="1"/>
      <c r="LO796" s="1"/>
      <c r="LP796" s="1"/>
      <c r="LZ796" s="1"/>
      <c r="MA796" s="1"/>
    </row>
    <row r="797" spans="4:339" ht="13" x14ac:dyDescent="0.15">
      <c r="D797" s="12"/>
      <c r="E797" s="12"/>
      <c r="I797" s="12"/>
      <c r="J797" s="13"/>
      <c r="BF797" s="1"/>
      <c r="BG797" s="1"/>
      <c r="BH797" s="1"/>
      <c r="BI797" s="1"/>
      <c r="BJ797" s="1"/>
      <c r="BK797" s="1"/>
      <c r="BL797" s="1"/>
      <c r="BM797" s="1"/>
      <c r="BN797" s="1"/>
      <c r="BO797" s="1"/>
      <c r="BP797" s="1"/>
      <c r="BQ797" s="1"/>
      <c r="BR797" s="1"/>
      <c r="BX797" s="1"/>
      <c r="CC797" s="1"/>
      <c r="CD797" s="1"/>
      <c r="CE797" s="1"/>
      <c r="CF797" s="1"/>
      <c r="CG797" s="1"/>
      <c r="CH797" s="1"/>
      <c r="CI797" s="1"/>
      <c r="CJ797" s="1"/>
      <c r="CK797" s="1"/>
      <c r="CM797" s="2"/>
      <c r="CN797" s="1"/>
      <c r="CO797" s="1"/>
      <c r="CP797" s="1"/>
      <c r="CQ797" s="1"/>
      <c r="CS797" s="1"/>
      <c r="CT797" s="1"/>
      <c r="CU797" s="1"/>
      <c r="CV797" s="1"/>
      <c r="CW797" s="1"/>
      <c r="CX797" s="1"/>
      <c r="CY797" s="1"/>
      <c r="CZ797" s="1"/>
      <c r="DA797" s="1"/>
      <c r="DB797" s="1"/>
      <c r="DC797" s="1"/>
      <c r="DD797" s="1"/>
      <c r="DE797" s="1"/>
      <c r="DF797" s="1"/>
      <c r="DG797" s="1"/>
      <c r="DH797" s="1"/>
      <c r="DI797" s="1"/>
      <c r="DJ797" s="1"/>
      <c r="DK797" s="1"/>
      <c r="DM797" s="1"/>
      <c r="DQ797" s="1"/>
      <c r="DR797" s="1"/>
      <c r="DY797" s="1"/>
      <c r="DZ797" s="1"/>
      <c r="ED797" s="1"/>
      <c r="EK797" s="1"/>
      <c r="EL797" s="1"/>
      <c r="EM797" s="1"/>
      <c r="EN797" s="1"/>
      <c r="EQ797" s="1"/>
      <c r="ER797" s="1"/>
      <c r="ES797" s="1"/>
      <c r="EV797" s="1"/>
      <c r="EW797" s="1"/>
      <c r="EX797" s="1"/>
      <c r="EZ797" s="1"/>
      <c r="FA797" s="1"/>
      <c r="FD797" s="1"/>
      <c r="FG797" s="1"/>
      <c r="FH797" s="1"/>
      <c r="FI797" s="1"/>
      <c r="FJ797" s="1"/>
      <c r="FL797" s="1"/>
      <c r="FM797" s="1"/>
      <c r="FN797" s="1"/>
      <c r="FO797" s="1"/>
      <c r="FP797" s="1"/>
      <c r="FQ797" s="1"/>
      <c r="FS797" s="1"/>
      <c r="FU797" s="1"/>
      <c r="FV797" s="1"/>
      <c r="FX797" s="1"/>
      <c r="FZ797" s="1"/>
      <c r="GA797" s="1"/>
      <c r="GB797" s="1"/>
      <c r="GD797" s="1"/>
      <c r="GE797" s="1"/>
      <c r="GF797" s="1"/>
      <c r="GG797" s="1"/>
      <c r="GH797" s="1"/>
      <c r="GI797" s="1"/>
      <c r="GJ797" s="1"/>
      <c r="GK797" s="1"/>
      <c r="GL797" s="1"/>
      <c r="GM797" s="1"/>
      <c r="GN797" s="1"/>
      <c r="GO797" s="1"/>
      <c r="GP797" s="1"/>
      <c r="GR797" s="1"/>
      <c r="GY797" s="1"/>
      <c r="HF797" s="1"/>
      <c r="HH797" s="1"/>
      <c r="HT797" s="1"/>
      <c r="HY797" s="1"/>
      <c r="IA797" s="1"/>
      <c r="IC797" s="1"/>
      <c r="ID797" s="1"/>
      <c r="IE797" s="1"/>
      <c r="IK797" s="1"/>
      <c r="IR797" s="1"/>
      <c r="IS797" s="1"/>
      <c r="IZ797" s="1"/>
      <c r="JC797" s="1"/>
      <c r="JF797" s="1"/>
      <c r="JG797" s="1"/>
      <c r="JH797" s="1"/>
      <c r="JJ797" s="1"/>
      <c r="JN797" s="1"/>
      <c r="JP797" s="1"/>
      <c r="JQ797" s="1"/>
      <c r="JT797" s="1"/>
      <c r="JW797" s="1"/>
      <c r="KS797" s="1"/>
      <c r="KT797" s="1"/>
      <c r="KU797" s="1"/>
      <c r="KY797" s="1"/>
      <c r="KZ797" s="1"/>
      <c r="LA797" s="1"/>
      <c r="LB797" s="1"/>
      <c r="LC797" s="1"/>
      <c r="LD797" s="1"/>
      <c r="LF797" s="1"/>
      <c r="LO797" s="1"/>
      <c r="LP797" s="1"/>
      <c r="LZ797" s="1"/>
      <c r="MA797" s="1"/>
    </row>
    <row r="798" spans="4:339" ht="13" x14ac:dyDescent="0.15">
      <c r="D798" s="12"/>
      <c r="E798" s="12"/>
      <c r="I798" s="12"/>
      <c r="J798" s="13"/>
      <c r="BF798" s="1"/>
      <c r="BG798" s="1"/>
      <c r="BH798" s="1"/>
      <c r="BI798" s="1"/>
      <c r="BJ798" s="1"/>
      <c r="BK798" s="1"/>
      <c r="BL798" s="1"/>
      <c r="BM798" s="1"/>
      <c r="BN798" s="1"/>
      <c r="BO798" s="1"/>
      <c r="BP798" s="1"/>
      <c r="BQ798" s="1"/>
      <c r="BR798" s="1"/>
      <c r="BX798" s="1"/>
      <c r="CC798" s="1"/>
      <c r="CD798" s="1"/>
      <c r="CE798" s="1"/>
      <c r="CF798" s="1"/>
      <c r="CG798" s="1"/>
      <c r="CH798" s="1"/>
      <c r="CI798" s="1"/>
      <c r="CJ798" s="1"/>
      <c r="CK798" s="1"/>
      <c r="CM798" s="2"/>
      <c r="CN798" s="1"/>
      <c r="CO798" s="1"/>
      <c r="CP798" s="1"/>
      <c r="CQ798" s="1"/>
      <c r="CS798" s="1"/>
      <c r="CT798" s="1"/>
      <c r="CU798" s="1"/>
      <c r="CV798" s="1"/>
      <c r="CW798" s="1"/>
      <c r="CX798" s="1"/>
      <c r="CY798" s="1"/>
      <c r="CZ798" s="1"/>
      <c r="DA798" s="1"/>
      <c r="DB798" s="1"/>
      <c r="DC798" s="1"/>
      <c r="DD798" s="1"/>
      <c r="DE798" s="1"/>
      <c r="DF798" s="1"/>
      <c r="DG798" s="1"/>
      <c r="DH798" s="1"/>
      <c r="DI798" s="1"/>
      <c r="DJ798" s="1"/>
      <c r="DK798" s="1"/>
      <c r="DM798" s="1"/>
      <c r="DQ798" s="1"/>
      <c r="DR798" s="1"/>
      <c r="DY798" s="1"/>
      <c r="DZ798" s="1"/>
      <c r="ED798" s="1"/>
      <c r="EK798" s="1"/>
      <c r="EL798" s="1"/>
      <c r="EM798" s="1"/>
      <c r="EN798" s="1"/>
      <c r="EQ798" s="1"/>
      <c r="ER798" s="1"/>
      <c r="ES798" s="1"/>
      <c r="EV798" s="1"/>
      <c r="EW798" s="1"/>
      <c r="EX798" s="1"/>
      <c r="EZ798" s="1"/>
      <c r="FA798" s="1"/>
      <c r="FD798" s="1"/>
      <c r="FG798" s="1"/>
      <c r="FH798" s="1"/>
      <c r="FI798" s="1"/>
      <c r="FJ798" s="1"/>
      <c r="FL798" s="1"/>
      <c r="FM798" s="1"/>
      <c r="FN798" s="1"/>
      <c r="FO798" s="1"/>
      <c r="FP798" s="1"/>
      <c r="FQ798" s="1"/>
      <c r="FS798" s="1"/>
      <c r="FU798" s="1"/>
      <c r="FV798" s="1"/>
      <c r="FX798" s="1"/>
      <c r="FZ798" s="1"/>
      <c r="GA798" s="1"/>
      <c r="GB798" s="1"/>
      <c r="GD798" s="1"/>
      <c r="GE798" s="1"/>
      <c r="GF798" s="1"/>
      <c r="GG798" s="1"/>
      <c r="GH798" s="1"/>
      <c r="GI798" s="1"/>
      <c r="GJ798" s="1"/>
      <c r="GK798" s="1"/>
      <c r="GL798" s="1"/>
      <c r="GM798" s="1"/>
      <c r="GN798" s="1"/>
      <c r="GO798" s="1"/>
      <c r="GP798" s="1"/>
      <c r="GR798" s="1"/>
      <c r="GY798" s="1"/>
      <c r="HF798" s="1"/>
      <c r="HH798" s="1"/>
      <c r="HT798" s="1"/>
      <c r="HY798" s="1"/>
      <c r="IA798" s="1"/>
      <c r="IC798" s="1"/>
      <c r="ID798" s="1"/>
      <c r="IE798" s="1"/>
      <c r="IK798" s="1"/>
      <c r="IR798" s="1"/>
      <c r="IS798" s="1"/>
      <c r="IZ798" s="1"/>
      <c r="JC798" s="1"/>
      <c r="JF798" s="1"/>
      <c r="JG798" s="1"/>
      <c r="JH798" s="1"/>
      <c r="JJ798" s="1"/>
      <c r="JN798" s="1"/>
      <c r="JP798" s="1"/>
      <c r="JQ798" s="1"/>
      <c r="JT798" s="1"/>
      <c r="JW798" s="1"/>
      <c r="KS798" s="1"/>
      <c r="KT798" s="1"/>
      <c r="KU798" s="1"/>
      <c r="KY798" s="1"/>
      <c r="KZ798" s="1"/>
      <c r="LA798" s="1"/>
      <c r="LB798" s="1"/>
      <c r="LC798" s="1"/>
      <c r="LD798" s="1"/>
      <c r="LF798" s="1"/>
      <c r="LO798" s="1"/>
      <c r="LP798" s="1"/>
      <c r="LZ798" s="1"/>
      <c r="MA798" s="1"/>
    </row>
    <row r="799" spans="4:339" ht="13" x14ac:dyDescent="0.15">
      <c r="D799" s="12"/>
      <c r="E799" s="12"/>
      <c r="I799" s="12"/>
      <c r="J799" s="13"/>
      <c r="BF799" s="1"/>
      <c r="BG799" s="1"/>
      <c r="BH799" s="1"/>
      <c r="BI799" s="1"/>
      <c r="BJ799" s="1"/>
      <c r="BK799" s="1"/>
      <c r="BL799" s="1"/>
      <c r="BM799" s="1"/>
      <c r="BN799" s="1"/>
      <c r="BO799" s="1"/>
      <c r="BP799" s="1"/>
      <c r="BQ799" s="1"/>
      <c r="BR799" s="1"/>
      <c r="BX799" s="1"/>
      <c r="CC799" s="1"/>
      <c r="CD799" s="1"/>
      <c r="CE799" s="1"/>
      <c r="CF799" s="1"/>
      <c r="CG799" s="1"/>
      <c r="CH799" s="1"/>
      <c r="CI799" s="1"/>
      <c r="CJ799" s="1"/>
      <c r="CK799" s="1"/>
      <c r="CM799" s="2"/>
      <c r="CN799" s="1"/>
      <c r="CO799" s="1"/>
      <c r="CP799" s="1"/>
      <c r="CQ799" s="1"/>
      <c r="CS799" s="1"/>
      <c r="CT799" s="1"/>
      <c r="CU799" s="1"/>
      <c r="CV799" s="1"/>
      <c r="CW799" s="1"/>
      <c r="CX799" s="1"/>
      <c r="CY799" s="1"/>
      <c r="CZ799" s="1"/>
      <c r="DA799" s="1"/>
      <c r="DB799" s="1"/>
      <c r="DC799" s="1"/>
      <c r="DD799" s="1"/>
      <c r="DE799" s="1"/>
      <c r="DF799" s="1"/>
      <c r="DG799" s="1"/>
      <c r="DH799" s="1"/>
      <c r="DI799" s="1"/>
      <c r="DJ799" s="1"/>
      <c r="DK799" s="1"/>
      <c r="DM799" s="1"/>
      <c r="DQ799" s="1"/>
      <c r="DR799" s="1"/>
      <c r="DY799" s="1"/>
      <c r="DZ799" s="1"/>
      <c r="ED799" s="1"/>
      <c r="EK799" s="1"/>
      <c r="EL799" s="1"/>
      <c r="EM799" s="1"/>
      <c r="EN799" s="1"/>
      <c r="EQ799" s="1"/>
      <c r="ER799" s="1"/>
      <c r="ES799" s="1"/>
      <c r="EV799" s="1"/>
      <c r="EW799" s="1"/>
      <c r="EX799" s="1"/>
      <c r="EZ799" s="1"/>
      <c r="FA799" s="1"/>
      <c r="FD799" s="1"/>
      <c r="FG799" s="1"/>
      <c r="FH799" s="1"/>
      <c r="FI799" s="1"/>
      <c r="FJ799" s="1"/>
      <c r="FL799" s="1"/>
      <c r="FM799" s="1"/>
      <c r="FN799" s="1"/>
      <c r="FO799" s="1"/>
      <c r="FP799" s="1"/>
      <c r="FQ799" s="1"/>
      <c r="FS799" s="1"/>
      <c r="FU799" s="1"/>
      <c r="FV799" s="1"/>
      <c r="FX799" s="1"/>
      <c r="FZ799" s="1"/>
      <c r="GA799" s="1"/>
      <c r="GB799" s="1"/>
      <c r="GD799" s="1"/>
      <c r="GE799" s="1"/>
      <c r="GF799" s="1"/>
      <c r="GG799" s="1"/>
      <c r="GH799" s="1"/>
      <c r="GI799" s="1"/>
      <c r="GJ799" s="1"/>
      <c r="GK799" s="1"/>
      <c r="GL799" s="1"/>
      <c r="GM799" s="1"/>
      <c r="GN799" s="1"/>
      <c r="GO799" s="1"/>
      <c r="GP799" s="1"/>
      <c r="GR799" s="1"/>
      <c r="GY799" s="1"/>
      <c r="HF799" s="1"/>
      <c r="HH799" s="1"/>
      <c r="HT799" s="1"/>
      <c r="HY799" s="1"/>
      <c r="IA799" s="1"/>
      <c r="IC799" s="1"/>
      <c r="ID799" s="1"/>
      <c r="IE799" s="1"/>
      <c r="IK799" s="1"/>
      <c r="IR799" s="1"/>
      <c r="IS799" s="1"/>
      <c r="IZ799" s="1"/>
      <c r="JC799" s="1"/>
      <c r="JF799" s="1"/>
      <c r="JG799" s="1"/>
      <c r="JH799" s="1"/>
      <c r="JJ799" s="1"/>
      <c r="JN799" s="1"/>
      <c r="JP799" s="1"/>
      <c r="JQ799" s="1"/>
      <c r="JT799" s="1"/>
      <c r="JW799" s="1"/>
      <c r="KS799" s="1"/>
      <c r="KT799" s="1"/>
      <c r="KU799" s="1"/>
      <c r="KY799" s="1"/>
      <c r="KZ799" s="1"/>
      <c r="LA799" s="1"/>
      <c r="LB799" s="1"/>
      <c r="LC799" s="1"/>
      <c r="LD799" s="1"/>
      <c r="LF799" s="1"/>
      <c r="LO799" s="1"/>
      <c r="LP799" s="1"/>
      <c r="LZ799" s="1"/>
      <c r="MA799" s="1"/>
    </row>
    <row r="800" spans="4:339" ht="13" x14ac:dyDescent="0.15">
      <c r="D800" s="12"/>
      <c r="E800" s="12"/>
      <c r="I800" s="12"/>
      <c r="J800" s="13"/>
      <c r="BF800" s="1"/>
      <c r="BG800" s="1"/>
      <c r="BH800" s="1"/>
      <c r="BI800" s="1"/>
      <c r="BJ800" s="1"/>
      <c r="BK800" s="1"/>
      <c r="BL800" s="1"/>
      <c r="BM800" s="1"/>
      <c r="BN800" s="1"/>
      <c r="BO800" s="1"/>
      <c r="BP800" s="1"/>
      <c r="BQ800" s="1"/>
      <c r="BR800" s="1"/>
      <c r="BX800" s="1"/>
      <c r="CC800" s="1"/>
      <c r="CD800" s="1"/>
      <c r="CE800" s="1"/>
      <c r="CF800" s="1"/>
      <c r="CG800" s="1"/>
      <c r="CH800" s="1"/>
      <c r="CI800" s="1"/>
      <c r="CJ800" s="1"/>
      <c r="CK800" s="1"/>
      <c r="CM800" s="2"/>
      <c r="CN800" s="1"/>
      <c r="CO800" s="1"/>
      <c r="CP800" s="1"/>
      <c r="CQ800" s="1"/>
      <c r="CS800" s="1"/>
      <c r="CT800" s="1"/>
      <c r="CU800" s="1"/>
      <c r="CV800" s="1"/>
      <c r="CW800" s="1"/>
      <c r="CX800" s="1"/>
      <c r="CY800" s="1"/>
      <c r="CZ800" s="1"/>
      <c r="DA800" s="1"/>
      <c r="DB800" s="1"/>
      <c r="DC800" s="1"/>
      <c r="DD800" s="1"/>
      <c r="DE800" s="1"/>
      <c r="DF800" s="1"/>
      <c r="DG800" s="1"/>
      <c r="DH800" s="1"/>
      <c r="DI800" s="1"/>
      <c r="DJ800" s="1"/>
      <c r="DK800" s="1"/>
      <c r="DM800" s="1"/>
      <c r="DQ800" s="1"/>
      <c r="DR800" s="1"/>
      <c r="DY800" s="1"/>
      <c r="DZ800" s="1"/>
      <c r="ED800" s="1"/>
      <c r="EK800" s="1"/>
      <c r="EL800" s="1"/>
      <c r="EM800" s="1"/>
      <c r="EN800" s="1"/>
      <c r="EQ800" s="1"/>
      <c r="ER800" s="1"/>
      <c r="ES800" s="1"/>
      <c r="EV800" s="1"/>
      <c r="EW800" s="1"/>
      <c r="EX800" s="1"/>
      <c r="EZ800" s="1"/>
      <c r="FA800" s="1"/>
      <c r="FD800" s="1"/>
      <c r="FG800" s="1"/>
      <c r="FH800" s="1"/>
      <c r="FI800" s="1"/>
      <c r="FJ800" s="1"/>
      <c r="FL800" s="1"/>
      <c r="FM800" s="1"/>
      <c r="FN800" s="1"/>
      <c r="FO800" s="1"/>
      <c r="FP800" s="1"/>
      <c r="FQ800" s="1"/>
      <c r="FS800" s="1"/>
      <c r="FU800" s="1"/>
      <c r="FV800" s="1"/>
      <c r="FX800" s="1"/>
      <c r="FZ800" s="1"/>
      <c r="GA800" s="1"/>
      <c r="GB800" s="1"/>
      <c r="GD800" s="1"/>
      <c r="GE800" s="1"/>
      <c r="GF800" s="1"/>
      <c r="GG800" s="1"/>
      <c r="GH800" s="1"/>
      <c r="GI800" s="1"/>
      <c r="GJ800" s="1"/>
      <c r="GK800" s="1"/>
      <c r="GL800" s="1"/>
      <c r="GM800" s="1"/>
      <c r="GN800" s="1"/>
      <c r="GO800" s="1"/>
      <c r="GP800" s="1"/>
      <c r="GR800" s="1"/>
      <c r="GY800" s="1"/>
      <c r="HF800" s="1"/>
      <c r="HH800" s="1"/>
      <c r="HT800" s="1"/>
      <c r="HY800" s="1"/>
      <c r="IA800" s="1"/>
      <c r="IC800" s="1"/>
      <c r="ID800" s="1"/>
      <c r="IE800" s="1"/>
      <c r="IK800" s="1"/>
      <c r="IR800" s="1"/>
      <c r="IS800" s="1"/>
      <c r="IZ800" s="1"/>
      <c r="JC800" s="1"/>
      <c r="JF800" s="1"/>
      <c r="JG800" s="1"/>
      <c r="JH800" s="1"/>
      <c r="JJ800" s="1"/>
      <c r="JN800" s="1"/>
      <c r="JP800" s="1"/>
      <c r="JQ800" s="1"/>
      <c r="JT800" s="1"/>
      <c r="JW800" s="1"/>
      <c r="KS800" s="1"/>
      <c r="KT800" s="1"/>
      <c r="KU800" s="1"/>
      <c r="KY800" s="1"/>
      <c r="KZ800" s="1"/>
      <c r="LA800" s="1"/>
      <c r="LB800" s="1"/>
      <c r="LC800" s="1"/>
      <c r="LD800" s="1"/>
      <c r="LF800" s="1"/>
      <c r="LO800" s="1"/>
      <c r="LP800" s="1"/>
      <c r="LZ800" s="1"/>
      <c r="MA800" s="1"/>
    </row>
    <row r="801" spans="4:342" ht="13" x14ac:dyDescent="0.15">
      <c r="D801" s="12"/>
      <c r="E801" s="12"/>
      <c r="I801" s="12"/>
      <c r="J801" s="13"/>
      <c r="BF801" s="1"/>
      <c r="BG801" s="1"/>
      <c r="BH801" s="1"/>
      <c r="BI801" s="1"/>
      <c r="BJ801" s="1"/>
      <c r="BK801" s="1"/>
      <c r="BL801" s="1"/>
      <c r="BM801" s="1"/>
      <c r="BN801" s="1"/>
      <c r="BO801" s="1"/>
      <c r="BP801" s="1"/>
      <c r="BQ801" s="1"/>
      <c r="BR801" s="1"/>
      <c r="BX801" s="1"/>
      <c r="CC801" s="1"/>
      <c r="CD801" s="1"/>
      <c r="CE801" s="1"/>
      <c r="CF801" s="1"/>
      <c r="CG801" s="1"/>
      <c r="CH801" s="1"/>
      <c r="CI801" s="1"/>
      <c r="CJ801" s="1"/>
      <c r="CK801" s="1"/>
      <c r="CM801" s="2"/>
      <c r="CN801" s="1"/>
      <c r="CO801" s="1"/>
      <c r="CP801" s="1"/>
      <c r="CQ801" s="1"/>
      <c r="CS801" s="1"/>
      <c r="CT801" s="1"/>
      <c r="CU801" s="1"/>
      <c r="CV801" s="1"/>
      <c r="CW801" s="1"/>
      <c r="CX801" s="1"/>
      <c r="CY801" s="1"/>
      <c r="CZ801" s="1"/>
      <c r="DA801" s="1"/>
      <c r="DB801" s="1"/>
      <c r="DC801" s="1"/>
      <c r="DD801" s="1"/>
      <c r="DE801" s="1"/>
      <c r="DF801" s="1"/>
      <c r="DG801" s="1"/>
      <c r="DH801" s="1"/>
      <c r="DI801" s="1"/>
      <c r="DJ801" s="1"/>
      <c r="DK801" s="1"/>
      <c r="DM801" s="1"/>
      <c r="DQ801" s="1"/>
      <c r="DR801" s="1"/>
      <c r="DY801" s="1"/>
      <c r="DZ801" s="1"/>
      <c r="ED801" s="1"/>
      <c r="EK801" s="1"/>
      <c r="EL801" s="1"/>
      <c r="EM801" s="1"/>
      <c r="EN801" s="1"/>
      <c r="EQ801" s="1"/>
      <c r="ER801" s="1"/>
      <c r="ES801" s="1"/>
      <c r="EV801" s="1"/>
      <c r="EW801" s="1"/>
      <c r="EX801" s="1"/>
      <c r="EZ801" s="1"/>
      <c r="FA801" s="1"/>
      <c r="FD801" s="1"/>
      <c r="FG801" s="1"/>
      <c r="FH801" s="1"/>
      <c r="FI801" s="1"/>
      <c r="FJ801" s="1"/>
      <c r="FL801" s="1"/>
      <c r="FM801" s="1"/>
      <c r="FN801" s="1"/>
      <c r="FO801" s="1"/>
      <c r="FP801" s="1"/>
      <c r="FQ801" s="1"/>
      <c r="FS801" s="1"/>
      <c r="FU801" s="1"/>
      <c r="FV801" s="1"/>
      <c r="FX801" s="1"/>
      <c r="FZ801" s="1"/>
      <c r="GA801" s="1"/>
      <c r="GB801" s="1"/>
      <c r="GD801" s="1"/>
      <c r="GE801" s="1"/>
      <c r="GF801" s="1"/>
      <c r="GG801" s="1"/>
      <c r="GH801" s="1"/>
      <c r="GI801" s="1"/>
      <c r="GJ801" s="1"/>
      <c r="GK801" s="1"/>
      <c r="GL801" s="1"/>
      <c r="GM801" s="1"/>
      <c r="GN801" s="1"/>
      <c r="GO801" s="1"/>
      <c r="GP801" s="1"/>
      <c r="GR801" s="1"/>
      <c r="GY801" s="1"/>
      <c r="HF801" s="1"/>
      <c r="HH801" s="1"/>
      <c r="HT801" s="1"/>
      <c r="HY801" s="1"/>
      <c r="IA801" s="1"/>
      <c r="IC801" s="1"/>
      <c r="ID801" s="1"/>
      <c r="IE801" s="1"/>
      <c r="IK801" s="1"/>
      <c r="IR801" s="1"/>
      <c r="IS801" s="1"/>
      <c r="IZ801" s="1"/>
      <c r="JC801" s="1"/>
      <c r="JF801" s="1"/>
      <c r="JG801" s="1"/>
      <c r="JH801" s="1"/>
      <c r="JJ801" s="1"/>
      <c r="JN801" s="1"/>
      <c r="JP801" s="1"/>
      <c r="JQ801" s="1"/>
      <c r="JT801" s="1"/>
      <c r="JW801" s="1"/>
      <c r="KS801" s="1"/>
      <c r="KT801" s="1"/>
      <c r="KU801" s="1"/>
      <c r="KY801" s="1"/>
      <c r="KZ801" s="1"/>
      <c r="LA801" s="1"/>
      <c r="LB801" s="1"/>
      <c r="LC801" s="1"/>
      <c r="LD801" s="1"/>
      <c r="LF801" s="1"/>
      <c r="LO801" s="1"/>
      <c r="LP801" s="1"/>
      <c r="LZ801" s="1"/>
      <c r="MA801" s="1"/>
    </row>
    <row r="802" spans="4:342" ht="13" x14ac:dyDescent="0.15">
      <c r="D802" s="12"/>
      <c r="E802" s="12"/>
      <c r="I802" s="12"/>
      <c r="J802" s="13"/>
      <c r="BF802" s="1"/>
      <c r="BG802" s="1"/>
      <c r="BH802" s="1"/>
      <c r="BI802" s="1"/>
      <c r="BJ802" s="1"/>
      <c r="BK802" s="1"/>
      <c r="BL802" s="1"/>
      <c r="BM802" s="1"/>
      <c r="BN802" s="1"/>
      <c r="BO802" s="1"/>
      <c r="BP802" s="1"/>
      <c r="BQ802" s="1"/>
      <c r="BR802" s="1"/>
      <c r="BX802" s="1"/>
      <c r="CC802" s="1"/>
      <c r="CD802" s="1"/>
      <c r="CE802" s="1"/>
      <c r="CF802" s="1"/>
      <c r="CG802" s="1"/>
      <c r="CH802" s="1"/>
      <c r="CI802" s="1"/>
      <c r="CJ802" s="1"/>
      <c r="CK802" s="1"/>
      <c r="CM802" s="2"/>
      <c r="CN802" s="1"/>
      <c r="CO802" s="1"/>
      <c r="CP802" s="1"/>
      <c r="CQ802" s="1"/>
      <c r="CS802" s="1"/>
      <c r="CT802" s="1"/>
      <c r="CU802" s="1"/>
      <c r="CV802" s="1"/>
      <c r="CW802" s="1"/>
      <c r="CX802" s="1"/>
      <c r="CY802" s="1"/>
      <c r="CZ802" s="1"/>
      <c r="DA802" s="1"/>
      <c r="DB802" s="1"/>
      <c r="DC802" s="1"/>
      <c r="DD802" s="1"/>
      <c r="DE802" s="1"/>
      <c r="DF802" s="1"/>
      <c r="DG802" s="1"/>
      <c r="DH802" s="1"/>
      <c r="DI802" s="1"/>
      <c r="DJ802" s="1"/>
      <c r="DK802" s="1"/>
      <c r="DM802" s="1"/>
      <c r="DQ802" s="1"/>
      <c r="DR802" s="1"/>
      <c r="DY802" s="1"/>
      <c r="DZ802" s="1"/>
      <c r="ED802" s="1"/>
      <c r="EK802" s="1"/>
      <c r="EL802" s="1"/>
      <c r="EM802" s="1"/>
      <c r="EN802" s="1"/>
      <c r="EQ802" s="1"/>
      <c r="ER802" s="1"/>
      <c r="ES802" s="1"/>
      <c r="EV802" s="1"/>
      <c r="EW802" s="1"/>
      <c r="EX802" s="1"/>
      <c r="EZ802" s="1"/>
      <c r="FA802" s="1"/>
      <c r="FD802" s="1"/>
      <c r="FG802" s="1"/>
      <c r="FH802" s="1"/>
      <c r="FI802" s="1"/>
      <c r="FJ802" s="1"/>
      <c r="FL802" s="1"/>
      <c r="FM802" s="1"/>
      <c r="FN802" s="1"/>
      <c r="FO802" s="1"/>
      <c r="FP802" s="1"/>
      <c r="FQ802" s="1"/>
      <c r="FS802" s="1"/>
      <c r="FU802" s="1"/>
      <c r="FV802" s="1"/>
      <c r="FX802" s="1"/>
      <c r="FZ802" s="1"/>
      <c r="GA802" s="1"/>
      <c r="GB802" s="1"/>
      <c r="GD802" s="1"/>
      <c r="GE802" s="1"/>
      <c r="GF802" s="1"/>
      <c r="GG802" s="1"/>
      <c r="GH802" s="1"/>
      <c r="GI802" s="1"/>
      <c r="GJ802" s="1"/>
      <c r="GK802" s="1"/>
      <c r="GL802" s="1"/>
      <c r="GM802" s="1"/>
      <c r="GN802" s="1"/>
      <c r="GO802" s="1"/>
      <c r="GP802" s="1"/>
      <c r="GR802" s="1"/>
      <c r="GY802" s="1"/>
      <c r="HF802" s="1"/>
      <c r="HH802" s="1"/>
      <c r="HT802" s="1"/>
      <c r="HY802" s="1"/>
      <c r="IA802" s="1"/>
      <c r="IC802" s="1"/>
      <c r="ID802" s="1"/>
      <c r="IE802" s="1"/>
      <c r="IK802" s="1"/>
      <c r="IR802" s="1"/>
      <c r="IS802" s="1"/>
      <c r="IZ802" s="1"/>
      <c r="JC802" s="1"/>
      <c r="JF802" s="1"/>
      <c r="JG802" s="1"/>
      <c r="JH802" s="1"/>
      <c r="JJ802" s="1"/>
      <c r="JN802" s="1"/>
      <c r="JP802" s="1"/>
      <c r="JQ802" s="1"/>
      <c r="JT802" s="1"/>
      <c r="JW802" s="1"/>
      <c r="KS802" s="1"/>
      <c r="KT802" s="1"/>
      <c r="KU802" s="1"/>
      <c r="KY802" s="1"/>
      <c r="KZ802" s="1"/>
      <c r="LA802" s="1"/>
      <c r="LB802" s="1"/>
      <c r="LC802" s="1"/>
      <c r="LD802" s="1"/>
      <c r="LF802" s="1"/>
      <c r="LO802" s="1"/>
      <c r="LP802" s="1"/>
      <c r="LZ802" s="1"/>
      <c r="MA802" s="1"/>
    </row>
    <row r="803" spans="4:342" ht="13" x14ac:dyDescent="0.15">
      <c r="D803" s="12"/>
      <c r="E803" s="12"/>
      <c r="I803" s="12"/>
      <c r="J803" s="13"/>
      <c r="BF803" s="1"/>
      <c r="BG803" s="1"/>
      <c r="BH803" s="1"/>
      <c r="BI803" s="1"/>
      <c r="BJ803" s="1"/>
      <c r="BK803" s="1"/>
      <c r="BL803" s="1"/>
      <c r="BM803" s="1"/>
      <c r="BN803" s="1"/>
      <c r="BO803" s="1"/>
      <c r="BP803" s="1"/>
      <c r="BQ803" s="1"/>
      <c r="BR803" s="1"/>
      <c r="BX803" s="1"/>
      <c r="CC803" s="1"/>
      <c r="CD803" s="1"/>
      <c r="CE803" s="1"/>
      <c r="CF803" s="1"/>
      <c r="CG803" s="1"/>
      <c r="CH803" s="1"/>
      <c r="CI803" s="1"/>
      <c r="CJ803" s="1"/>
      <c r="CK803" s="1"/>
      <c r="CM803" s="2"/>
      <c r="CN803" s="1"/>
      <c r="CO803" s="1"/>
      <c r="CP803" s="1"/>
      <c r="CQ803" s="1"/>
      <c r="CS803" s="1"/>
      <c r="CT803" s="1"/>
      <c r="CU803" s="1"/>
      <c r="CV803" s="1"/>
      <c r="CW803" s="1"/>
      <c r="CX803" s="1"/>
      <c r="CY803" s="1"/>
      <c r="CZ803" s="1"/>
      <c r="DA803" s="1"/>
      <c r="DB803" s="1"/>
      <c r="DC803" s="1"/>
      <c r="DD803" s="1"/>
      <c r="DE803" s="1"/>
      <c r="DF803" s="1"/>
      <c r="DG803" s="1"/>
      <c r="DH803" s="1"/>
      <c r="DI803" s="1"/>
      <c r="DJ803" s="1"/>
      <c r="DK803" s="1"/>
      <c r="DM803" s="1"/>
      <c r="DQ803" s="1"/>
      <c r="DR803" s="1"/>
      <c r="DY803" s="1"/>
      <c r="DZ803" s="1"/>
      <c r="ED803" s="1"/>
      <c r="EK803" s="1"/>
      <c r="EL803" s="1"/>
      <c r="EM803" s="1"/>
      <c r="EN803" s="1"/>
      <c r="EQ803" s="1"/>
      <c r="ER803" s="1"/>
      <c r="ES803" s="1"/>
      <c r="EV803" s="1"/>
      <c r="EW803" s="1"/>
      <c r="EX803" s="1"/>
      <c r="EZ803" s="1"/>
      <c r="FA803" s="1"/>
      <c r="FD803" s="1"/>
      <c r="FG803" s="1"/>
      <c r="FH803" s="1"/>
      <c r="FI803" s="1"/>
      <c r="FJ803" s="1"/>
      <c r="FL803" s="1"/>
      <c r="FM803" s="1"/>
      <c r="FN803" s="1"/>
      <c r="FO803" s="1"/>
      <c r="FP803" s="1"/>
      <c r="FQ803" s="1"/>
      <c r="FS803" s="1"/>
      <c r="FU803" s="1"/>
      <c r="FV803" s="1"/>
      <c r="FX803" s="1"/>
      <c r="FZ803" s="1"/>
      <c r="GA803" s="1"/>
      <c r="GB803" s="1"/>
      <c r="GD803" s="1"/>
      <c r="GE803" s="1"/>
      <c r="GF803" s="1"/>
      <c r="GG803" s="1"/>
      <c r="GH803" s="1"/>
      <c r="GI803" s="1"/>
      <c r="GJ803" s="1"/>
      <c r="GK803" s="1"/>
      <c r="GL803" s="1"/>
      <c r="GM803" s="1"/>
      <c r="GN803" s="1"/>
      <c r="GO803" s="1"/>
      <c r="GP803" s="1"/>
      <c r="GR803" s="1"/>
      <c r="GY803" s="1"/>
      <c r="HF803" s="1"/>
      <c r="HH803" s="1"/>
      <c r="HT803" s="1"/>
      <c r="HY803" s="1"/>
      <c r="IA803" s="1"/>
      <c r="IC803" s="1"/>
      <c r="ID803" s="1"/>
      <c r="IE803" s="1"/>
      <c r="IK803" s="1"/>
      <c r="IR803" s="1"/>
      <c r="IS803" s="1"/>
      <c r="IZ803" s="1"/>
      <c r="JC803" s="1"/>
      <c r="JF803" s="1"/>
      <c r="JG803" s="1"/>
      <c r="JH803" s="1"/>
      <c r="JJ803" s="1"/>
      <c r="JN803" s="1"/>
      <c r="JP803" s="1"/>
      <c r="JQ803" s="1"/>
      <c r="JT803" s="1"/>
      <c r="JW803" s="1"/>
      <c r="KS803" s="1"/>
      <c r="KT803" s="1"/>
      <c r="KU803" s="1"/>
      <c r="KY803" s="1"/>
      <c r="KZ803" s="1"/>
      <c r="LA803" s="1"/>
      <c r="LB803" s="1"/>
      <c r="LC803" s="1"/>
      <c r="LD803" s="1"/>
      <c r="LF803" s="1"/>
      <c r="LO803" s="1"/>
      <c r="LP803" s="1"/>
      <c r="LZ803" s="1"/>
      <c r="MA803" s="1"/>
    </row>
    <row r="804" spans="4:342" ht="13" x14ac:dyDescent="0.15">
      <c r="D804" s="12"/>
      <c r="E804" s="12"/>
      <c r="I804" s="12"/>
      <c r="J804" s="13"/>
      <c r="BF804" s="1"/>
      <c r="BG804" s="1"/>
      <c r="BH804" s="1"/>
      <c r="BI804" s="1"/>
      <c r="BJ804" s="1"/>
      <c r="BK804" s="1"/>
      <c r="BL804" s="1"/>
      <c r="BM804" s="1"/>
      <c r="BN804" s="1"/>
      <c r="BO804" s="1"/>
      <c r="BP804" s="1"/>
      <c r="BQ804" s="1"/>
      <c r="BR804" s="1"/>
      <c r="BX804" s="1"/>
      <c r="CC804" s="1"/>
      <c r="CD804" s="1"/>
      <c r="CE804" s="1"/>
      <c r="CF804" s="1"/>
      <c r="CG804" s="1"/>
      <c r="CH804" s="1"/>
      <c r="CI804" s="1"/>
      <c r="CJ804" s="1"/>
      <c r="CK804" s="1"/>
      <c r="CM804" s="2"/>
      <c r="CN804" s="1"/>
      <c r="CO804" s="1"/>
      <c r="CP804" s="1"/>
      <c r="CQ804" s="1"/>
      <c r="CS804" s="1"/>
      <c r="CT804" s="1"/>
      <c r="CU804" s="1"/>
      <c r="CV804" s="1"/>
      <c r="CW804" s="1"/>
      <c r="CX804" s="1"/>
      <c r="CY804" s="1"/>
      <c r="CZ804" s="1"/>
      <c r="DA804" s="1"/>
      <c r="DB804" s="1"/>
      <c r="DC804" s="1"/>
      <c r="DD804" s="1"/>
      <c r="DE804" s="1"/>
      <c r="DF804" s="1"/>
      <c r="DG804" s="1"/>
      <c r="DH804" s="1"/>
      <c r="DI804" s="1"/>
      <c r="DJ804" s="1"/>
      <c r="DK804" s="1"/>
      <c r="DM804" s="1"/>
      <c r="DQ804" s="1"/>
      <c r="DR804" s="1"/>
      <c r="DY804" s="1"/>
      <c r="DZ804" s="1"/>
      <c r="ED804" s="1"/>
      <c r="EK804" s="1"/>
      <c r="EL804" s="1"/>
      <c r="EM804" s="1"/>
      <c r="EN804" s="1"/>
      <c r="EQ804" s="1"/>
      <c r="ER804" s="1"/>
      <c r="ES804" s="1"/>
      <c r="EV804" s="1"/>
      <c r="EW804" s="1"/>
      <c r="EX804" s="1"/>
      <c r="EZ804" s="1"/>
      <c r="FA804" s="1"/>
      <c r="FD804" s="1"/>
      <c r="FG804" s="1"/>
      <c r="FH804" s="1"/>
      <c r="FI804" s="1"/>
      <c r="FJ804" s="1"/>
      <c r="FL804" s="1"/>
      <c r="FM804" s="1"/>
      <c r="FN804" s="1"/>
      <c r="FO804" s="1"/>
      <c r="FP804" s="1"/>
      <c r="FQ804" s="1"/>
      <c r="FS804" s="1"/>
      <c r="FU804" s="1"/>
      <c r="FV804" s="1"/>
      <c r="FX804" s="1"/>
      <c r="FZ804" s="1"/>
      <c r="GA804" s="1"/>
      <c r="GB804" s="1"/>
      <c r="GD804" s="1"/>
      <c r="GE804" s="1"/>
      <c r="GF804" s="1"/>
      <c r="GG804" s="1"/>
      <c r="GH804" s="1"/>
      <c r="GI804" s="1"/>
      <c r="GJ804" s="1"/>
      <c r="GK804" s="1"/>
      <c r="GL804" s="1"/>
      <c r="GM804" s="1"/>
      <c r="GN804" s="1"/>
      <c r="GO804" s="1"/>
      <c r="GP804" s="1"/>
      <c r="GR804" s="1"/>
      <c r="GY804" s="1"/>
      <c r="HF804" s="1"/>
      <c r="HH804" s="1"/>
      <c r="HT804" s="1"/>
      <c r="HY804" s="1"/>
      <c r="IA804" s="1"/>
      <c r="IC804" s="1"/>
      <c r="ID804" s="1"/>
      <c r="IE804" s="1"/>
      <c r="IK804" s="1"/>
      <c r="IR804" s="1"/>
      <c r="IS804" s="1"/>
      <c r="IZ804" s="1"/>
      <c r="JC804" s="1"/>
      <c r="JF804" s="1"/>
      <c r="JG804" s="1"/>
      <c r="JH804" s="1"/>
      <c r="JJ804" s="1"/>
      <c r="JN804" s="1"/>
      <c r="JP804" s="1"/>
      <c r="JQ804" s="1"/>
      <c r="JT804" s="1"/>
      <c r="JW804" s="1"/>
      <c r="KS804" s="1"/>
      <c r="KT804" s="1"/>
      <c r="KU804" s="1"/>
      <c r="KY804" s="1"/>
      <c r="KZ804" s="1"/>
      <c r="LA804" s="1"/>
      <c r="LB804" s="1"/>
      <c r="LC804" s="1"/>
      <c r="LD804" s="1"/>
      <c r="LF804" s="1"/>
      <c r="LO804" s="1"/>
      <c r="LP804" s="1"/>
      <c r="LZ804" s="1"/>
      <c r="MA804" s="1"/>
    </row>
    <row r="805" spans="4:342" ht="13" x14ac:dyDescent="0.15">
      <c r="D805" s="12"/>
      <c r="E805" s="12"/>
      <c r="I805" s="12"/>
      <c r="J805" s="13"/>
      <c r="BF805" s="1"/>
      <c r="BG805" s="1"/>
      <c r="BH805" s="1"/>
      <c r="BI805" s="1"/>
      <c r="BJ805" s="1"/>
      <c r="BK805" s="1"/>
      <c r="BL805" s="1"/>
      <c r="BM805" s="1"/>
      <c r="BN805" s="1"/>
      <c r="BO805" s="1"/>
      <c r="BP805" s="1"/>
      <c r="BQ805" s="1"/>
      <c r="BR805" s="1"/>
      <c r="BX805" s="1"/>
      <c r="CC805" s="1"/>
      <c r="CD805" s="1"/>
      <c r="CE805" s="1"/>
      <c r="CF805" s="1"/>
      <c r="CG805" s="1"/>
      <c r="CH805" s="1"/>
      <c r="CI805" s="1"/>
      <c r="CJ805" s="1"/>
      <c r="CK805" s="1"/>
      <c r="CM805" s="2"/>
      <c r="CN805" s="1"/>
      <c r="CO805" s="1"/>
      <c r="CP805" s="1"/>
      <c r="CQ805" s="1"/>
      <c r="CS805" s="1"/>
      <c r="CT805" s="1"/>
      <c r="CU805" s="1"/>
      <c r="CV805" s="1"/>
      <c r="CW805" s="1"/>
      <c r="CX805" s="1"/>
      <c r="CY805" s="1"/>
      <c r="CZ805" s="1"/>
      <c r="DA805" s="1"/>
      <c r="DB805" s="1"/>
      <c r="DC805" s="1"/>
      <c r="DD805" s="1"/>
      <c r="DE805" s="1"/>
      <c r="DF805" s="1"/>
      <c r="DG805" s="1"/>
      <c r="DH805" s="1"/>
      <c r="DI805" s="1"/>
      <c r="DJ805" s="1"/>
      <c r="DK805" s="1"/>
      <c r="DM805" s="1"/>
      <c r="DQ805" s="1"/>
      <c r="DR805" s="1"/>
      <c r="DY805" s="1"/>
      <c r="DZ805" s="1"/>
      <c r="ED805" s="1"/>
      <c r="EK805" s="1"/>
      <c r="EL805" s="1"/>
      <c r="EM805" s="1"/>
      <c r="EN805" s="1"/>
      <c r="EQ805" s="1"/>
      <c r="ER805" s="1"/>
      <c r="ES805" s="1"/>
      <c r="EV805" s="1"/>
      <c r="EW805" s="1"/>
      <c r="EX805" s="1"/>
      <c r="EZ805" s="1"/>
      <c r="FA805" s="1"/>
      <c r="FD805" s="1"/>
      <c r="FG805" s="1"/>
      <c r="FH805" s="1"/>
      <c r="FI805" s="1"/>
      <c r="FJ805" s="1"/>
      <c r="FL805" s="1"/>
      <c r="FM805" s="1"/>
      <c r="FN805" s="1"/>
      <c r="FO805" s="1"/>
      <c r="FP805" s="1"/>
      <c r="FQ805" s="1"/>
      <c r="FS805" s="1"/>
      <c r="FU805" s="1"/>
      <c r="FV805" s="1"/>
      <c r="FX805" s="1"/>
      <c r="FZ805" s="1"/>
      <c r="GA805" s="1"/>
      <c r="GB805" s="1"/>
      <c r="GD805" s="1"/>
      <c r="GE805" s="1"/>
      <c r="GF805" s="1"/>
      <c r="GG805" s="1"/>
      <c r="GH805" s="1"/>
      <c r="GI805" s="1"/>
      <c r="GJ805" s="1"/>
      <c r="GK805" s="1"/>
      <c r="GL805" s="1"/>
      <c r="GM805" s="1"/>
      <c r="GN805" s="1"/>
      <c r="GO805" s="1"/>
      <c r="GP805" s="1"/>
      <c r="GR805" s="1"/>
      <c r="GY805" s="1"/>
      <c r="HF805" s="1"/>
      <c r="HH805" s="1"/>
      <c r="HT805" s="1"/>
      <c r="HY805" s="1"/>
      <c r="IA805" s="1"/>
      <c r="IC805" s="1"/>
      <c r="ID805" s="1"/>
      <c r="IE805" s="1"/>
      <c r="IK805" s="1"/>
      <c r="IR805" s="1"/>
      <c r="IS805" s="1"/>
      <c r="IZ805" s="1"/>
      <c r="JC805" s="1"/>
      <c r="JF805" s="1"/>
      <c r="JG805" s="1"/>
      <c r="JH805" s="1"/>
      <c r="JJ805" s="1"/>
      <c r="JN805" s="1"/>
      <c r="JP805" s="1"/>
      <c r="JQ805" s="1"/>
      <c r="JT805" s="1"/>
      <c r="JW805" s="1"/>
      <c r="KS805" s="1"/>
      <c r="KT805" s="1"/>
      <c r="KU805" s="1"/>
      <c r="KY805" s="1"/>
      <c r="KZ805" s="1"/>
      <c r="LA805" s="1"/>
      <c r="LB805" s="1"/>
      <c r="LC805" s="1"/>
      <c r="LD805" s="1"/>
      <c r="LF805" s="1"/>
      <c r="LO805" s="1"/>
      <c r="LP805" s="1"/>
      <c r="LZ805" s="1"/>
      <c r="MA805" s="1"/>
    </row>
    <row r="806" spans="4:342" ht="13" x14ac:dyDescent="0.15">
      <c r="D806" s="12"/>
      <c r="E806" s="12"/>
      <c r="I806" s="12"/>
      <c r="J806" s="13"/>
      <c r="BF806" s="1"/>
      <c r="BG806" s="1"/>
      <c r="BH806" s="1"/>
      <c r="BI806" s="1"/>
      <c r="BJ806" s="1"/>
      <c r="BK806" s="1"/>
      <c r="BL806" s="1"/>
      <c r="BM806" s="1"/>
      <c r="BN806" s="1"/>
      <c r="BO806" s="1"/>
      <c r="BP806" s="1"/>
      <c r="BQ806" s="1"/>
      <c r="BR806" s="1"/>
      <c r="BX806" s="1"/>
      <c r="CC806" s="1"/>
      <c r="CD806" s="1"/>
      <c r="CE806" s="1"/>
      <c r="CF806" s="1"/>
      <c r="CG806" s="1"/>
      <c r="CH806" s="1"/>
      <c r="CI806" s="1"/>
      <c r="CJ806" s="1"/>
      <c r="CK806" s="1"/>
      <c r="CM806" s="2"/>
      <c r="CN806" s="1"/>
      <c r="CO806" s="1"/>
      <c r="CP806" s="1"/>
      <c r="CQ806" s="1"/>
      <c r="CS806" s="1"/>
      <c r="CT806" s="1"/>
      <c r="CU806" s="1"/>
      <c r="CV806" s="1"/>
      <c r="CW806" s="1"/>
      <c r="CX806" s="1"/>
      <c r="CY806" s="1"/>
      <c r="CZ806" s="1"/>
      <c r="DA806" s="1"/>
      <c r="DB806" s="1"/>
      <c r="DC806" s="1"/>
      <c r="DD806" s="1"/>
      <c r="DE806" s="1"/>
      <c r="DF806" s="1"/>
      <c r="DG806" s="1"/>
      <c r="DH806" s="1"/>
      <c r="DI806" s="1"/>
      <c r="DJ806" s="1"/>
      <c r="DK806" s="1"/>
      <c r="DM806" s="1"/>
      <c r="DQ806" s="1"/>
      <c r="DR806" s="1"/>
      <c r="DY806" s="1"/>
      <c r="DZ806" s="1"/>
      <c r="ED806" s="1"/>
      <c r="EK806" s="1"/>
      <c r="EL806" s="1"/>
      <c r="EM806" s="1"/>
      <c r="EN806" s="1"/>
      <c r="EQ806" s="1"/>
      <c r="ER806" s="1"/>
      <c r="ES806" s="1"/>
      <c r="EV806" s="1"/>
      <c r="EW806" s="1"/>
      <c r="EX806" s="1"/>
      <c r="EZ806" s="1"/>
      <c r="FA806" s="1"/>
      <c r="FD806" s="1"/>
      <c r="FG806" s="1"/>
      <c r="FH806" s="1"/>
      <c r="FI806" s="1"/>
      <c r="FJ806" s="1"/>
      <c r="FL806" s="1"/>
      <c r="FM806" s="1"/>
      <c r="FN806" s="1"/>
      <c r="FO806" s="1"/>
      <c r="FP806" s="1"/>
      <c r="FQ806" s="1"/>
      <c r="FS806" s="1"/>
      <c r="FU806" s="1"/>
      <c r="FV806" s="1"/>
      <c r="FX806" s="1"/>
      <c r="FZ806" s="1"/>
      <c r="GA806" s="1"/>
      <c r="GB806" s="1"/>
      <c r="GD806" s="1"/>
      <c r="GE806" s="1"/>
      <c r="GF806" s="1"/>
      <c r="GG806" s="1"/>
      <c r="GH806" s="1"/>
      <c r="GI806" s="1"/>
      <c r="GJ806" s="1"/>
      <c r="GK806" s="1"/>
      <c r="GL806" s="1"/>
      <c r="GM806" s="1"/>
      <c r="GN806" s="1"/>
      <c r="GO806" s="1"/>
      <c r="GP806" s="1"/>
      <c r="GR806" s="1"/>
      <c r="GY806" s="1"/>
      <c r="HF806" s="1"/>
      <c r="HH806" s="1"/>
      <c r="HT806" s="1"/>
      <c r="HY806" s="1"/>
      <c r="IA806" s="1"/>
      <c r="IC806" s="1"/>
      <c r="ID806" s="1"/>
      <c r="IE806" s="1"/>
      <c r="IK806" s="1"/>
      <c r="IR806" s="1"/>
      <c r="IS806" s="1"/>
      <c r="IZ806" s="1"/>
      <c r="JC806" s="1"/>
      <c r="JF806" s="1"/>
      <c r="JG806" s="1"/>
      <c r="JH806" s="1"/>
      <c r="JJ806" s="1"/>
      <c r="JN806" s="1"/>
      <c r="JP806" s="1"/>
      <c r="JQ806" s="1"/>
      <c r="JT806" s="1"/>
      <c r="JW806" s="1"/>
      <c r="KS806" s="1"/>
      <c r="KT806" s="1"/>
      <c r="KU806" s="1"/>
      <c r="KY806" s="1"/>
      <c r="KZ806" s="1"/>
      <c r="LA806" s="1"/>
      <c r="LB806" s="1"/>
      <c r="LC806" s="1"/>
      <c r="LD806" s="1"/>
      <c r="LF806" s="1"/>
      <c r="LO806" s="1"/>
      <c r="LP806" s="1"/>
      <c r="LZ806" s="1"/>
      <c r="MA806" s="1"/>
    </row>
    <row r="807" spans="4:342" ht="13" x14ac:dyDescent="0.15">
      <c r="D807" s="12"/>
      <c r="E807" s="12"/>
      <c r="I807" s="12"/>
      <c r="J807" s="13"/>
      <c r="BF807" s="1"/>
      <c r="BG807" s="1"/>
      <c r="BH807" s="1"/>
      <c r="BI807" s="1"/>
      <c r="BK807" s="1"/>
      <c r="BL807" s="1"/>
      <c r="BM807" s="1"/>
      <c r="BN807" s="1"/>
      <c r="BO807" s="1"/>
      <c r="BP807" s="1"/>
      <c r="BQ807" s="1"/>
      <c r="BR807" s="1"/>
      <c r="BX807" s="1"/>
      <c r="CD807" s="1"/>
      <c r="CE807" s="1"/>
      <c r="CF807" s="1"/>
      <c r="CG807" s="1"/>
      <c r="CH807" s="1"/>
      <c r="CI807" s="1"/>
      <c r="CJ807" s="1"/>
      <c r="CM807" s="2"/>
      <c r="CN807" s="1"/>
      <c r="CO807" s="1"/>
      <c r="CP807" s="1"/>
      <c r="CQ807" s="1"/>
      <c r="CS807" s="1"/>
      <c r="CV807" s="1"/>
      <c r="CW807" s="1"/>
      <c r="CX807" s="1"/>
      <c r="CY807" s="1"/>
      <c r="CZ807" s="1"/>
      <c r="DA807" s="1"/>
      <c r="DB807" s="1"/>
      <c r="DC807" s="1"/>
      <c r="DD807" s="1"/>
      <c r="DE807" s="1"/>
      <c r="DF807" s="1"/>
      <c r="DG807" s="1"/>
      <c r="DH807" s="1"/>
      <c r="DI807" s="1"/>
      <c r="DJ807" s="1"/>
      <c r="DK807" s="1"/>
      <c r="DM807" s="1"/>
      <c r="DQ807" s="1"/>
      <c r="DR807" s="1"/>
      <c r="DY807" s="1"/>
      <c r="DZ807" s="1"/>
      <c r="ED807" s="1"/>
      <c r="EF807" s="1"/>
      <c r="EK807" s="1"/>
      <c r="EL807" s="1"/>
      <c r="EM807" s="1"/>
      <c r="EN807" s="1"/>
      <c r="EQ807" s="1"/>
      <c r="ER807" s="1"/>
      <c r="ES807" s="1"/>
      <c r="EV807" s="1"/>
      <c r="EW807" s="1"/>
      <c r="EZ807" s="1"/>
      <c r="FA807" s="1"/>
      <c r="FD807" s="1"/>
      <c r="FG807" s="1"/>
      <c r="FH807" s="1"/>
      <c r="FI807" s="1"/>
      <c r="FJ807" s="1"/>
      <c r="FK807" s="1"/>
      <c r="FL807" s="1"/>
      <c r="FM807" s="1"/>
      <c r="FN807" s="1"/>
      <c r="FO807" s="1"/>
      <c r="FP807" s="1"/>
      <c r="FQ807" s="1"/>
      <c r="FR807" s="1"/>
      <c r="FS807" s="1"/>
      <c r="FT807" s="1"/>
      <c r="FU807" s="1"/>
      <c r="FV807" s="1"/>
      <c r="FW807" s="1"/>
      <c r="FX807" s="1"/>
      <c r="FY807" s="1"/>
      <c r="FZ807" s="1"/>
      <c r="GA807" s="1"/>
      <c r="GB807" s="1"/>
      <c r="GD807" s="1"/>
      <c r="GE807" s="1"/>
      <c r="GF807" s="1"/>
      <c r="GG807" s="1"/>
      <c r="GH807" s="1"/>
      <c r="GI807" s="1"/>
      <c r="GJ807" s="1"/>
      <c r="GK807" s="1"/>
      <c r="GL807" s="1"/>
      <c r="GM807" s="1"/>
      <c r="GN807" s="1"/>
      <c r="GO807" s="1"/>
      <c r="GP807" s="1"/>
      <c r="GR807" s="1"/>
      <c r="GY807" s="1"/>
      <c r="HF807" s="1"/>
      <c r="HH807" s="1"/>
      <c r="HN807" s="1"/>
      <c r="HR807" s="1"/>
      <c r="HS807" s="1"/>
      <c r="HT807" s="1"/>
      <c r="HY807" s="1"/>
      <c r="IC807" s="1"/>
      <c r="ID807" s="1"/>
      <c r="IE807" s="1"/>
      <c r="IG807" s="1"/>
      <c r="IH807" s="1"/>
      <c r="IR807" s="1"/>
      <c r="IS807" s="1"/>
      <c r="IZ807" s="1"/>
      <c r="JF807" s="1"/>
      <c r="JG807" s="1"/>
      <c r="JH807" s="1"/>
      <c r="JJ807" s="1"/>
      <c r="JK807" s="1"/>
      <c r="JL807" s="3"/>
      <c r="JM807" s="1"/>
      <c r="JN807" s="1"/>
      <c r="JP807" s="1"/>
      <c r="JQ807" s="1"/>
      <c r="JR807" s="1"/>
      <c r="KU807" s="1"/>
      <c r="KV807" s="1"/>
      <c r="KY807" s="1"/>
      <c r="KZ807" s="1"/>
      <c r="LA807" s="1"/>
      <c r="LB807" s="1"/>
      <c r="LC807" s="1"/>
      <c r="LD807" s="1"/>
      <c r="LN807" s="1"/>
      <c r="LO807" s="1"/>
      <c r="LP807" s="1"/>
      <c r="LZ807" s="1"/>
      <c r="MA807" s="1"/>
    </row>
    <row r="808" spans="4:342" ht="13" x14ac:dyDescent="0.15">
      <c r="D808" s="12"/>
      <c r="E808" s="12"/>
      <c r="I808" s="12"/>
      <c r="J808" s="13"/>
      <c r="BF808" s="1"/>
      <c r="BG808" s="1"/>
      <c r="BH808" s="1"/>
      <c r="BI808" s="1"/>
      <c r="BK808" s="1"/>
      <c r="BL808" s="1"/>
      <c r="BM808" s="1"/>
      <c r="BN808" s="1"/>
      <c r="BO808" s="1"/>
      <c r="BP808" s="1"/>
      <c r="BQ808" s="1"/>
      <c r="BR808" s="1"/>
      <c r="BX808" s="1"/>
      <c r="CD808" s="1"/>
      <c r="CE808" s="1"/>
      <c r="CF808" s="1"/>
      <c r="CG808" s="1"/>
      <c r="CH808" s="1"/>
      <c r="CI808" s="1"/>
      <c r="CJ808" s="1"/>
      <c r="CM808" s="2"/>
      <c r="CN808" s="1"/>
      <c r="CO808" s="1"/>
      <c r="CP808" s="1"/>
      <c r="CQ808" s="1"/>
      <c r="CS808" s="1"/>
      <c r="CV808" s="1"/>
      <c r="CW808" s="1"/>
      <c r="CX808" s="1"/>
      <c r="CY808" s="1"/>
      <c r="CZ808" s="1"/>
      <c r="DA808" s="1"/>
      <c r="DB808" s="1"/>
      <c r="DC808" s="1"/>
      <c r="DD808" s="1"/>
      <c r="DE808" s="1"/>
      <c r="DF808" s="1"/>
      <c r="DG808" s="1"/>
      <c r="DH808" s="1"/>
      <c r="DI808" s="1"/>
      <c r="DJ808" s="1"/>
      <c r="DK808" s="1"/>
      <c r="DM808" s="1"/>
      <c r="DQ808" s="1"/>
      <c r="DR808" s="1"/>
      <c r="DY808" s="1"/>
      <c r="DZ808" s="1"/>
      <c r="ED808" s="1"/>
      <c r="EF808" s="1"/>
      <c r="EK808" s="1"/>
      <c r="EL808" s="1"/>
      <c r="EM808" s="1"/>
      <c r="EN808" s="1"/>
      <c r="EQ808" s="1"/>
      <c r="ER808" s="1"/>
      <c r="ES808" s="1"/>
      <c r="EV808" s="1"/>
      <c r="EW808" s="1"/>
      <c r="EZ808" s="1"/>
      <c r="FA808" s="1"/>
      <c r="FD808" s="1"/>
      <c r="FG808" s="1"/>
      <c r="FH808" s="1"/>
      <c r="FI808" s="1"/>
      <c r="FJ808" s="1"/>
      <c r="FK808" s="1"/>
      <c r="FL808" s="1"/>
      <c r="FM808" s="1"/>
      <c r="FN808" s="1"/>
      <c r="FO808" s="1"/>
      <c r="FP808" s="1"/>
      <c r="FQ808" s="1"/>
      <c r="FR808" s="1"/>
      <c r="FS808" s="1"/>
      <c r="FT808" s="1"/>
      <c r="FU808" s="1"/>
      <c r="FV808" s="1"/>
      <c r="FW808" s="1"/>
      <c r="FX808" s="1"/>
      <c r="FY808" s="1"/>
      <c r="FZ808" s="1"/>
      <c r="GA808" s="1"/>
      <c r="GB808" s="1"/>
      <c r="GD808" s="1"/>
      <c r="GE808" s="1"/>
      <c r="GF808" s="1"/>
      <c r="GG808" s="1"/>
      <c r="GH808" s="1"/>
      <c r="GI808" s="1"/>
      <c r="GJ808" s="1"/>
      <c r="GK808" s="1"/>
      <c r="GL808" s="1"/>
      <c r="GM808" s="1"/>
      <c r="GN808" s="1"/>
      <c r="GO808" s="1"/>
      <c r="GP808" s="1"/>
      <c r="GR808" s="1"/>
      <c r="GY808" s="1"/>
      <c r="HF808" s="1"/>
      <c r="HH808" s="1"/>
      <c r="HN808" s="1"/>
      <c r="HR808" s="1"/>
      <c r="HS808" s="1"/>
      <c r="HT808" s="1"/>
      <c r="HY808" s="1"/>
      <c r="IC808" s="1"/>
      <c r="ID808" s="1"/>
      <c r="IE808" s="1"/>
      <c r="IG808" s="1"/>
      <c r="IH808" s="1"/>
      <c r="IR808" s="1"/>
      <c r="IS808" s="1"/>
      <c r="IZ808" s="1"/>
      <c r="JF808" s="1"/>
      <c r="JG808" s="1"/>
      <c r="JH808" s="1"/>
      <c r="JJ808" s="1"/>
      <c r="JK808" s="1"/>
      <c r="JL808" s="3"/>
      <c r="JM808" s="1"/>
      <c r="JN808" s="1"/>
      <c r="JP808" s="1"/>
      <c r="JQ808" s="1"/>
      <c r="JR808" s="1"/>
      <c r="KU808" s="1"/>
      <c r="KV808" s="1"/>
      <c r="KY808" s="1"/>
      <c r="KZ808" s="1"/>
      <c r="LA808" s="1"/>
      <c r="LB808" s="1"/>
      <c r="LC808" s="1"/>
      <c r="LD808" s="1"/>
      <c r="LN808" s="1"/>
      <c r="LO808" s="1"/>
      <c r="LP808" s="1"/>
      <c r="LZ808" s="1"/>
      <c r="MA808" s="1"/>
    </row>
    <row r="809" spans="4:342" ht="13" x14ac:dyDescent="0.15">
      <c r="D809" s="12"/>
      <c r="E809" s="12"/>
      <c r="I809" s="12"/>
      <c r="J809" s="13"/>
      <c r="BF809" s="1"/>
      <c r="BG809" s="1"/>
      <c r="BH809" s="1"/>
      <c r="BI809" s="1"/>
      <c r="BJ809" s="1"/>
      <c r="BK809" s="1"/>
      <c r="BL809" s="1"/>
      <c r="BM809" s="1"/>
      <c r="BN809" s="1"/>
      <c r="BO809" s="1"/>
      <c r="BP809" s="1"/>
      <c r="BQ809" s="1"/>
      <c r="BR809" s="1"/>
      <c r="BX809" s="1"/>
      <c r="CD809" s="1"/>
      <c r="CE809" s="1"/>
      <c r="CF809" s="1"/>
      <c r="CG809" s="1"/>
      <c r="CH809" s="1"/>
      <c r="CI809" s="1"/>
      <c r="CM809" s="4"/>
      <c r="CN809" s="1"/>
      <c r="CO809" s="1"/>
      <c r="CP809" s="1"/>
      <c r="CQ809" s="1"/>
      <c r="CR809" s="1"/>
      <c r="CS809" s="1"/>
      <c r="CT809" s="1"/>
      <c r="CU809" s="1"/>
      <c r="CV809" s="1"/>
      <c r="CW809" s="1"/>
      <c r="CX809" s="1"/>
      <c r="CY809" s="1"/>
      <c r="CZ809" s="1"/>
      <c r="DA809" s="1"/>
      <c r="DB809" s="1"/>
      <c r="DC809" s="1"/>
      <c r="DD809" s="1"/>
      <c r="DE809" s="1"/>
      <c r="DF809" s="1"/>
      <c r="DG809" s="1"/>
      <c r="DH809" s="1"/>
      <c r="DI809" s="1"/>
      <c r="DJ809" s="1"/>
      <c r="DK809" s="1"/>
      <c r="DM809" s="1"/>
      <c r="DQ809" s="1"/>
      <c r="DR809" s="1"/>
      <c r="DY809" s="1"/>
      <c r="DZ809" s="1"/>
      <c r="ED809" s="1"/>
      <c r="EF809" s="1"/>
      <c r="EK809" s="1"/>
      <c r="EL809" s="1"/>
      <c r="EM809" s="1"/>
      <c r="EN809" s="1"/>
      <c r="EQ809" s="1"/>
      <c r="ER809" s="1"/>
      <c r="ES809" s="1"/>
      <c r="EV809" s="1"/>
      <c r="EW809" s="1"/>
      <c r="EZ809" s="1"/>
      <c r="FA809" s="1"/>
      <c r="FD809" s="1"/>
      <c r="FG809" s="1"/>
      <c r="FH809" s="1"/>
      <c r="FI809" s="1"/>
      <c r="FJ809" s="1"/>
      <c r="FK809" s="1"/>
      <c r="FL809" s="1"/>
      <c r="FM809" s="1"/>
      <c r="FN809" s="1"/>
      <c r="FO809" s="1"/>
      <c r="FP809" s="1"/>
      <c r="FQ809" s="1"/>
      <c r="FR809" s="1"/>
      <c r="FS809" s="1"/>
      <c r="FT809" s="1"/>
      <c r="FU809" s="1"/>
      <c r="FV809" s="1"/>
      <c r="FW809" s="1"/>
      <c r="FX809" s="1"/>
      <c r="FY809" s="1"/>
      <c r="FZ809" s="1"/>
      <c r="GA809" s="1"/>
      <c r="GB809" s="1"/>
      <c r="GD809" s="1"/>
      <c r="GE809" s="1"/>
      <c r="GF809" s="1"/>
      <c r="GG809" s="1"/>
      <c r="GH809" s="1"/>
      <c r="GI809" s="1"/>
      <c r="GJ809" s="1"/>
      <c r="GK809" s="1"/>
      <c r="GL809" s="1"/>
      <c r="GM809" s="1"/>
      <c r="GN809" s="1"/>
      <c r="GO809" s="1"/>
      <c r="GP809" s="1"/>
      <c r="GR809" s="1"/>
      <c r="GY809" s="1"/>
      <c r="HF809" s="1"/>
      <c r="HH809" s="1"/>
      <c r="HN809" s="1"/>
      <c r="HQ809" s="1"/>
      <c r="HT809" s="1"/>
      <c r="HY809" s="1"/>
      <c r="IC809" s="1"/>
      <c r="ID809" s="1"/>
      <c r="IE809" s="1"/>
      <c r="IF809" s="1"/>
      <c r="IG809" s="1"/>
      <c r="II809" s="1"/>
      <c r="IJ809" s="1"/>
      <c r="IR809" s="1"/>
      <c r="IS809" s="1"/>
      <c r="IZ809" s="1"/>
      <c r="JC809" s="1"/>
      <c r="JF809" s="1"/>
      <c r="JG809" s="1"/>
      <c r="JH809" s="1"/>
      <c r="JI809" s="1"/>
      <c r="JJ809" s="1"/>
      <c r="JK809" s="1"/>
      <c r="JL809" s="3"/>
      <c r="JM809" s="1"/>
      <c r="JN809" s="1"/>
      <c r="JP809" s="1"/>
      <c r="JQ809" s="1"/>
      <c r="JR809" s="1"/>
      <c r="JT809" s="1"/>
      <c r="KU809" s="1"/>
      <c r="KV809" s="1"/>
      <c r="KW809" s="1"/>
      <c r="KY809" s="1"/>
      <c r="KZ809" s="1"/>
      <c r="LA809" s="1"/>
      <c r="LB809" s="1"/>
      <c r="LC809" s="1"/>
      <c r="LD809" s="1"/>
      <c r="LN809" s="1"/>
      <c r="LO809" s="1"/>
      <c r="LP809" s="1"/>
      <c r="LZ809" s="1"/>
      <c r="MA809" s="1"/>
    </row>
    <row r="810" spans="4:342" ht="13" x14ac:dyDescent="0.15">
      <c r="D810" s="12"/>
      <c r="E810" s="12"/>
      <c r="I810" s="12"/>
      <c r="J810" s="13"/>
      <c r="BF810" s="1"/>
      <c r="BG810" s="1"/>
      <c r="BH810" s="1"/>
      <c r="BI810" s="1"/>
      <c r="BJ810" s="1"/>
      <c r="BK810" s="1"/>
      <c r="BL810" s="1"/>
      <c r="BM810" s="1"/>
      <c r="BN810" s="1"/>
      <c r="BO810" s="1"/>
      <c r="BP810" s="1"/>
      <c r="BQ810" s="1"/>
      <c r="BR810" s="1"/>
      <c r="BX810" s="1"/>
      <c r="CD810" s="1"/>
      <c r="CE810" s="1"/>
      <c r="CF810" s="1"/>
      <c r="CG810" s="1"/>
      <c r="CH810" s="1"/>
      <c r="CI810" s="1"/>
      <c r="CM810" s="4"/>
      <c r="CN810" s="1"/>
      <c r="CO810" s="1"/>
      <c r="CP810" s="1"/>
      <c r="CQ810" s="1"/>
      <c r="CR810" s="1"/>
      <c r="CS810" s="1"/>
      <c r="CT810" s="1"/>
      <c r="CU810" s="1"/>
      <c r="CV810" s="1"/>
      <c r="CW810" s="1"/>
      <c r="CX810" s="1"/>
      <c r="CY810" s="1"/>
      <c r="CZ810" s="1"/>
      <c r="DA810" s="1"/>
      <c r="DB810" s="1"/>
      <c r="DC810" s="1"/>
      <c r="DD810" s="1"/>
      <c r="DE810" s="1"/>
      <c r="DF810" s="1"/>
      <c r="DG810" s="1"/>
      <c r="DH810" s="1"/>
      <c r="DI810" s="1"/>
      <c r="DJ810" s="1"/>
      <c r="DK810" s="1"/>
      <c r="DM810" s="1"/>
      <c r="DQ810" s="1"/>
      <c r="DR810" s="1"/>
      <c r="DY810" s="1"/>
      <c r="DZ810" s="1"/>
      <c r="ED810" s="1"/>
      <c r="EF810" s="1"/>
      <c r="EK810" s="1"/>
      <c r="EL810" s="1"/>
      <c r="EM810" s="1"/>
      <c r="EN810" s="1"/>
      <c r="EQ810" s="1"/>
      <c r="ER810" s="1"/>
      <c r="ES810" s="1"/>
      <c r="EV810" s="1"/>
      <c r="EW810" s="1"/>
      <c r="EZ810" s="1"/>
      <c r="FA810" s="1"/>
      <c r="FD810" s="1"/>
      <c r="FG810" s="1"/>
      <c r="FH810" s="1"/>
      <c r="FI810" s="1"/>
      <c r="FJ810" s="1"/>
      <c r="FK810" s="1"/>
      <c r="FL810" s="1"/>
      <c r="FM810" s="1"/>
      <c r="FN810" s="1"/>
      <c r="FO810" s="1"/>
      <c r="FP810" s="1"/>
      <c r="FQ810" s="1"/>
      <c r="FR810" s="1"/>
      <c r="FS810" s="1"/>
      <c r="FT810" s="1"/>
      <c r="FU810" s="1"/>
      <c r="FV810" s="1"/>
      <c r="FW810" s="1"/>
      <c r="FX810" s="1"/>
      <c r="FY810" s="1"/>
      <c r="FZ810" s="1"/>
      <c r="GA810" s="1"/>
      <c r="GB810" s="1"/>
      <c r="GD810" s="1"/>
      <c r="GE810" s="1"/>
      <c r="GF810" s="1"/>
      <c r="GG810" s="1"/>
      <c r="GH810" s="1"/>
      <c r="GI810" s="1"/>
      <c r="GJ810" s="1"/>
      <c r="GK810" s="1"/>
      <c r="GL810" s="1"/>
      <c r="GM810" s="1"/>
      <c r="GN810" s="1"/>
      <c r="GO810" s="1"/>
      <c r="GP810" s="1"/>
      <c r="GR810" s="1"/>
      <c r="GY810" s="1"/>
      <c r="HF810" s="1"/>
      <c r="HH810" s="1"/>
      <c r="HN810" s="1"/>
      <c r="HQ810" s="1"/>
      <c r="HT810" s="1"/>
      <c r="HY810" s="1"/>
      <c r="IC810" s="1"/>
      <c r="ID810" s="1"/>
      <c r="IE810" s="1"/>
      <c r="IF810" s="1"/>
      <c r="IG810" s="1"/>
      <c r="II810" s="1"/>
      <c r="IJ810" s="1"/>
      <c r="IR810" s="1"/>
      <c r="IS810" s="1"/>
      <c r="IZ810" s="1"/>
      <c r="JC810" s="1"/>
      <c r="JF810" s="1"/>
      <c r="JG810" s="1"/>
      <c r="JH810" s="1"/>
      <c r="JI810" s="1"/>
      <c r="JJ810" s="1"/>
      <c r="JK810" s="1"/>
      <c r="JL810" s="3"/>
      <c r="JM810" s="1"/>
      <c r="JN810" s="1"/>
      <c r="JP810" s="1"/>
      <c r="JQ810" s="1"/>
      <c r="JR810" s="1"/>
      <c r="JT810" s="1"/>
      <c r="KU810" s="1"/>
      <c r="KV810" s="1"/>
      <c r="KW810" s="1"/>
      <c r="KY810" s="1"/>
      <c r="KZ810" s="1"/>
      <c r="LA810" s="1"/>
      <c r="LB810" s="1"/>
      <c r="LC810" s="1"/>
      <c r="LD810" s="1"/>
      <c r="LN810" s="1"/>
      <c r="LO810" s="1"/>
      <c r="LP810" s="1"/>
      <c r="LZ810" s="1"/>
      <c r="MA810" s="1"/>
    </row>
    <row r="811" spans="4:342" ht="13" x14ac:dyDescent="0.15">
      <c r="D811" s="12"/>
      <c r="E811" s="12"/>
      <c r="I811" s="12"/>
      <c r="J811" s="13"/>
      <c r="BF811" s="1"/>
      <c r="BG811" s="1"/>
      <c r="BH811" s="1"/>
      <c r="BI811" s="1"/>
      <c r="BJ811" s="1"/>
      <c r="BK811" s="1"/>
      <c r="BL811" s="1"/>
      <c r="BM811" s="1"/>
      <c r="BN811" s="1"/>
      <c r="BO811" s="1"/>
      <c r="BP811" s="1"/>
      <c r="BQ811" s="1"/>
      <c r="BR811" s="1"/>
      <c r="BX811" s="1"/>
      <c r="CD811" s="1"/>
      <c r="CE811" s="1"/>
      <c r="CF811" s="1"/>
      <c r="CG811" s="1"/>
      <c r="CH811" s="1"/>
      <c r="CI811" s="1"/>
      <c r="CM811" s="4"/>
      <c r="CN811" s="1"/>
      <c r="CO811" s="1"/>
      <c r="CP811" s="1"/>
      <c r="CQ811" s="1"/>
      <c r="CR811" s="1"/>
      <c r="CS811" s="1"/>
      <c r="CT811" s="1"/>
      <c r="CU811" s="1"/>
      <c r="CV811" s="1"/>
      <c r="CW811" s="1"/>
      <c r="CX811" s="1"/>
      <c r="CY811" s="1"/>
      <c r="CZ811" s="1"/>
      <c r="DA811" s="1"/>
      <c r="DB811" s="1"/>
      <c r="DC811" s="1"/>
      <c r="DD811" s="1"/>
      <c r="DE811" s="1"/>
      <c r="DF811" s="1"/>
      <c r="DG811" s="1"/>
      <c r="DH811" s="1"/>
      <c r="DI811" s="1"/>
      <c r="DJ811" s="1"/>
      <c r="DK811" s="1"/>
      <c r="DM811" s="1"/>
      <c r="DQ811" s="1"/>
      <c r="DR811" s="1"/>
      <c r="DY811" s="1"/>
      <c r="DZ811" s="1"/>
      <c r="ED811" s="1"/>
      <c r="EF811" s="1"/>
      <c r="EK811" s="1"/>
      <c r="EL811" s="1"/>
      <c r="EM811" s="1"/>
      <c r="EN811" s="1"/>
      <c r="EQ811" s="1"/>
      <c r="ER811" s="1"/>
      <c r="ES811" s="1"/>
      <c r="EV811" s="1"/>
      <c r="EW811" s="1"/>
      <c r="EZ811" s="1"/>
      <c r="FA811" s="1"/>
      <c r="FD811" s="1"/>
      <c r="FG811" s="1"/>
      <c r="FH811" s="1"/>
      <c r="FI811" s="1"/>
      <c r="FJ811" s="1"/>
      <c r="FK811" s="1"/>
      <c r="FL811" s="1"/>
      <c r="FM811" s="1"/>
      <c r="FN811" s="1"/>
      <c r="FO811" s="1"/>
      <c r="FP811" s="1"/>
      <c r="FQ811" s="1"/>
      <c r="FR811" s="1"/>
      <c r="FS811" s="1"/>
      <c r="FT811" s="1"/>
      <c r="FU811" s="1"/>
      <c r="FV811" s="1"/>
      <c r="FW811" s="1"/>
      <c r="FX811" s="1"/>
      <c r="FY811" s="1"/>
      <c r="FZ811" s="1"/>
      <c r="GA811" s="1"/>
      <c r="GB811" s="1"/>
      <c r="GD811" s="1"/>
      <c r="GE811" s="1"/>
      <c r="GF811" s="1"/>
      <c r="GG811" s="1"/>
      <c r="GH811" s="1"/>
      <c r="GI811" s="1"/>
      <c r="GJ811" s="1"/>
      <c r="GK811" s="1"/>
      <c r="GL811" s="1"/>
      <c r="GM811" s="1"/>
      <c r="GN811" s="1"/>
      <c r="GO811" s="1"/>
      <c r="GP811" s="1"/>
      <c r="GR811" s="1"/>
      <c r="GY811" s="1"/>
      <c r="HF811" s="1"/>
      <c r="HH811" s="1"/>
      <c r="HN811" s="1"/>
      <c r="HQ811" s="1"/>
      <c r="HT811" s="1"/>
      <c r="HY811" s="1"/>
      <c r="IC811" s="1"/>
      <c r="ID811" s="1"/>
      <c r="IE811" s="1"/>
      <c r="IF811" s="1"/>
      <c r="IG811" s="1"/>
      <c r="II811" s="1"/>
      <c r="IJ811" s="1"/>
      <c r="IR811" s="1"/>
      <c r="IS811" s="1"/>
      <c r="IZ811" s="1"/>
      <c r="JC811" s="1"/>
      <c r="JF811" s="1"/>
      <c r="JG811" s="1"/>
      <c r="JH811" s="1"/>
      <c r="JI811" s="1"/>
      <c r="JJ811" s="1"/>
      <c r="JK811" s="1"/>
      <c r="JL811" s="3"/>
      <c r="JM811" s="1"/>
      <c r="JN811" s="1"/>
      <c r="JP811" s="1"/>
      <c r="JQ811" s="1"/>
      <c r="JR811" s="1"/>
      <c r="JT811" s="1"/>
      <c r="KU811" s="1"/>
      <c r="KV811" s="1"/>
      <c r="KW811" s="1"/>
      <c r="KY811" s="1"/>
      <c r="KZ811" s="1"/>
      <c r="LA811" s="1"/>
      <c r="LB811" s="1"/>
      <c r="LC811" s="1"/>
      <c r="LD811" s="1"/>
      <c r="LN811" s="1"/>
      <c r="LO811" s="1"/>
      <c r="LP811" s="1"/>
      <c r="LZ811" s="1"/>
      <c r="MA811" s="1"/>
    </row>
    <row r="812" spans="4:342" ht="13" x14ac:dyDescent="0.15">
      <c r="D812" s="12"/>
      <c r="E812" s="12"/>
      <c r="I812" s="12"/>
      <c r="J812" s="13"/>
      <c r="BF812" s="1"/>
      <c r="BG812" s="1"/>
      <c r="BH812" s="1"/>
      <c r="BI812" s="1"/>
      <c r="BJ812" s="1"/>
      <c r="BK812" s="1"/>
      <c r="BL812" s="1"/>
      <c r="BM812" s="1"/>
      <c r="BN812" s="1"/>
      <c r="BO812" s="1"/>
      <c r="BP812" s="1"/>
      <c r="BQ812" s="1"/>
      <c r="BR812" s="1"/>
      <c r="BX812" s="1"/>
      <c r="CD812" s="1"/>
      <c r="CE812" s="1"/>
      <c r="CF812" s="1"/>
      <c r="CG812" s="1"/>
      <c r="CH812" s="1"/>
      <c r="CI812" s="1"/>
      <c r="CM812" s="4"/>
      <c r="CN812" s="1"/>
      <c r="CO812" s="1"/>
      <c r="CP812" s="1"/>
      <c r="CQ812" s="1"/>
      <c r="CR812" s="1"/>
      <c r="CS812" s="1"/>
      <c r="CT812" s="1"/>
      <c r="CU812" s="1"/>
      <c r="CV812" s="1"/>
      <c r="CW812" s="1"/>
      <c r="CX812" s="1"/>
      <c r="CY812" s="1"/>
      <c r="CZ812" s="1"/>
      <c r="DA812" s="1"/>
      <c r="DB812" s="1"/>
      <c r="DC812" s="1"/>
      <c r="DD812" s="1"/>
      <c r="DE812" s="1"/>
      <c r="DF812" s="1"/>
      <c r="DG812" s="1"/>
      <c r="DH812" s="1"/>
      <c r="DI812" s="1"/>
      <c r="DJ812" s="1"/>
      <c r="DK812" s="1"/>
      <c r="DM812" s="1"/>
      <c r="DQ812" s="1"/>
      <c r="DR812" s="1"/>
      <c r="DY812" s="1"/>
      <c r="DZ812" s="1"/>
      <c r="ED812" s="1"/>
      <c r="EF812" s="1"/>
      <c r="EK812" s="1"/>
      <c r="EL812" s="1"/>
      <c r="EM812" s="1"/>
      <c r="EN812" s="1"/>
      <c r="EQ812" s="1"/>
      <c r="ER812" s="1"/>
      <c r="ES812" s="1"/>
      <c r="EV812" s="1"/>
      <c r="EW812" s="1"/>
      <c r="EZ812" s="1"/>
      <c r="FA812" s="1"/>
      <c r="FD812" s="1"/>
      <c r="FG812" s="1"/>
      <c r="FH812" s="1"/>
      <c r="FI812" s="1"/>
      <c r="FJ812" s="1"/>
      <c r="FK812" s="1"/>
      <c r="FL812" s="1"/>
      <c r="FM812" s="1"/>
      <c r="FN812" s="1"/>
      <c r="FO812" s="1"/>
      <c r="FP812" s="1"/>
      <c r="FQ812" s="1"/>
      <c r="FR812" s="1"/>
      <c r="FS812" s="1"/>
      <c r="FT812" s="1"/>
      <c r="FU812" s="1"/>
      <c r="FV812" s="1"/>
      <c r="FW812" s="1"/>
      <c r="FX812" s="1"/>
      <c r="FY812" s="1"/>
      <c r="FZ812" s="1"/>
      <c r="GA812" s="1"/>
      <c r="GB812" s="1"/>
      <c r="GD812" s="1"/>
      <c r="GE812" s="1"/>
      <c r="GF812" s="1"/>
      <c r="GG812" s="1"/>
      <c r="GH812" s="1"/>
      <c r="GI812" s="1"/>
      <c r="GJ812" s="1"/>
      <c r="GK812" s="1"/>
      <c r="GL812" s="1"/>
      <c r="GM812" s="1"/>
      <c r="GN812" s="1"/>
      <c r="GO812" s="1"/>
      <c r="GP812" s="1"/>
      <c r="GR812" s="1"/>
      <c r="GY812" s="1"/>
      <c r="HF812" s="1"/>
      <c r="HH812" s="1"/>
      <c r="HN812" s="1"/>
      <c r="HQ812" s="1"/>
      <c r="HT812" s="1"/>
      <c r="HY812" s="1"/>
      <c r="IC812" s="1"/>
      <c r="ID812" s="1"/>
      <c r="IE812" s="1"/>
      <c r="IF812" s="1"/>
      <c r="IG812" s="1"/>
      <c r="II812" s="1"/>
      <c r="IJ812" s="1"/>
      <c r="IR812" s="1"/>
      <c r="IS812" s="1"/>
      <c r="IZ812" s="1"/>
      <c r="JC812" s="1"/>
      <c r="JF812" s="1"/>
      <c r="JG812" s="1"/>
      <c r="JH812" s="1"/>
      <c r="JI812" s="1"/>
      <c r="JJ812" s="1"/>
      <c r="JK812" s="1"/>
      <c r="JL812" s="3"/>
      <c r="JM812" s="1"/>
      <c r="JN812" s="1"/>
      <c r="JP812" s="1"/>
      <c r="JQ812" s="1"/>
      <c r="JR812" s="1"/>
      <c r="JT812" s="1"/>
      <c r="KU812" s="1"/>
      <c r="KV812" s="1"/>
      <c r="KW812" s="1"/>
      <c r="KY812" s="1"/>
      <c r="KZ812" s="1"/>
      <c r="LA812" s="1"/>
      <c r="LB812" s="1"/>
      <c r="LC812" s="1"/>
      <c r="LD812" s="1"/>
      <c r="LN812" s="1"/>
      <c r="LO812" s="1"/>
      <c r="LP812" s="1"/>
      <c r="LZ812" s="1"/>
      <c r="MA812" s="1"/>
    </row>
    <row r="813" spans="4:342" ht="13" x14ac:dyDescent="0.15">
      <c r="D813" s="12"/>
      <c r="E813" s="12"/>
      <c r="I813" s="12"/>
      <c r="J813" s="13"/>
      <c r="BF813" s="1"/>
      <c r="BG813" s="1"/>
      <c r="BH813" s="1"/>
      <c r="BI813" s="1"/>
      <c r="BJ813" s="1"/>
      <c r="BK813" s="1"/>
      <c r="BL813" s="1"/>
      <c r="BM813" s="1"/>
      <c r="BN813" s="1"/>
      <c r="BO813" s="1"/>
      <c r="BP813" s="1"/>
      <c r="BQ813" s="1"/>
      <c r="BR813" s="1"/>
      <c r="BX813" s="1"/>
      <c r="CD813" s="1"/>
      <c r="CE813" s="1"/>
      <c r="CF813" s="1"/>
      <c r="CG813" s="1"/>
      <c r="CH813" s="1"/>
      <c r="CI813" s="1"/>
      <c r="CM813" s="4"/>
      <c r="CN813" s="1"/>
      <c r="CO813" s="1"/>
      <c r="CP813" s="1"/>
      <c r="CQ813" s="1"/>
      <c r="CR813" s="1"/>
      <c r="CS813" s="1"/>
      <c r="CT813" s="1"/>
      <c r="CU813" s="1"/>
      <c r="CV813" s="1"/>
      <c r="CW813" s="1"/>
      <c r="CX813" s="1"/>
      <c r="CY813" s="1"/>
      <c r="CZ813" s="1"/>
      <c r="DA813" s="1"/>
      <c r="DB813" s="1"/>
      <c r="DC813" s="1"/>
      <c r="DD813" s="1"/>
      <c r="DE813" s="1"/>
      <c r="DF813" s="1"/>
      <c r="DG813" s="1"/>
      <c r="DH813" s="1"/>
      <c r="DI813" s="1"/>
      <c r="DJ813" s="1"/>
      <c r="DK813" s="1"/>
      <c r="DM813" s="1"/>
      <c r="DQ813" s="1"/>
      <c r="DR813" s="1"/>
      <c r="DY813" s="1"/>
      <c r="DZ813" s="1"/>
      <c r="ED813" s="1"/>
      <c r="EF813" s="1"/>
      <c r="EK813" s="1"/>
      <c r="EL813" s="1"/>
      <c r="EM813" s="1"/>
      <c r="EN813" s="1"/>
      <c r="EQ813" s="1"/>
      <c r="ER813" s="1"/>
      <c r="ES813" s="1"/>
      <c r="EV813" s="1"/>
      <c r="EW813" s="1"/>
      <c r="EZ813" s="1"/>
      <c r="FA813" s="1"/>
      <c r="FD813" s="1"/>
      <c r="FG813" s="1"/>
      <c r="FH813" s="1"/>
      <c r="FI813" s="1"/>
      <c r="FJ813" s="1"/>
      <c r="FK813" s="1"/>
      <c r="FL813" s="1"/>
      <c r="FM813" s="1"/>
      <c r="FN813" s="1"/>
      <c r="FO813" s="1"/>
      <c r="FP813" s="1"/>
      <c r="FQ813" s="1"/>
      <c r="FR813" s="1"/>
      <c r="FS813" s="1"/>
      <c r="FT813" s="1"/>
      <c r="FU813" s="1"/>
      <c r="FV813" s="1"/>
      <c r="FW813" s="1"/>
      <c r="FX813" s="1"/>
      <c r="FY813" s="1"/>
      <c r="FZ813" s="1"/>
      <c r="GA813" s="1"/>
      <c r="GB813" s="1"/>
      <c r="GD813" s="1"/>
      <c r="GE813" s="1"/>
      <c r="GF813" s="1"/>
      <c r="GG813" s="1"/>
      <c r="GH813" s="1"/>
      <c r="GI813" s="1"/>
      <c r="GJ813" s="1"/>
      <c r="GK813" s="1"/>
      <c r="GL813" s="1"/>
      <c r="GM813" s="1"/>
      <c r="GN813" s="1"/>
      <c r="GO813" s="1"/>
      <c r="GP813" s="1"/>
      <c r="GR813" s="1"/>
      <c r="GY813" s="1"/>
      <c r="HF813" s="1"/>
      <c r="HH813" s="1"/>
      <c r="HN813" s="1"/>
      <c r="HQ813" s="1"/>
      <c r="HT813" s="1"/>
      <c r="HY813" s="1"/>
      <c r="IC813" s="1"/>
      <c r="ID813" s="1"/>
      <c r="IE813" s="1"/>
      <c r="IF813" s="1"/>
      <c r="IG813" s="1"/>
      <c r="II813" s="1"/>
      <c r="IJ813" s="1"/>
      <c r="IR813" s="1"/>
      <c r="IS813" s="1"/>
      <c r="IZ813" s="1"/>
      <c r="JC813" s="1"/>
      <c r="JF813" s="1"/>
      <c r="JG813" s="1"/>
      <c r="JH813" s="1"/>
      <c r="JI813" s="1"/>
      <c r="JJ813" s="1"/>
      <c r="JK813" s="1"/>
      <c r="JL813" s="3"/>
      <c r="JM813" s="1"/>
      <c r="JN813" s="1"/>
      <c r="JP813" s="1"/>
      <c r="JQ813" s="1"/>
      <c r="JR813" s="1"/>
      <c r="JT813" s="1"/>
      <c r="KU813" s="1"/>
      <c r="KV813" s="1"/>
      <c r="KW813" s="1"/>
      <c r="KY813" s="1"/>
      <c r="KZ813" s="1"/>
      <c r="LA813" s="1"/>
      <c r="LB813" s="1"/>
      <c r="LC813" s="1"/>
      <c r="LD813" s="1"/>
      <c r="LN813" s="1"/>
      <c r="LO813" s="1"/>
      <c r="LP813" s="1"/>
      <c r="LZ813" s="1"/>
      <c r="MA813" s="1"/>
    </row>
    <row r="814" spans="4:342" ht="13" x14ac:dyDescent="0.15">
      <c r="D814" s="12"/>
      <c r="E814" s="12"/>
      <c r="I814" s="12"/>
      <c r="J814" s="13"/>
      <c r="BF814" s="1"/>
      <c r="BG814" s="1"/>
      <c r="BH814" s="1"/>
      <c r="BI814" s="1"/>
      <c r="BJ814" s="1"/>
      <c r="BK814" s="1"/>
      <c r="BL814" s="1"/>
      <c r="BM814" s="1"/>
      <c r="BN814" s="1"/>
      <c r="BO814" s="1"/>
      <c r="BP814" s="1"/>
      <c r="BQ814" s="1"/>
      <c r="BR814" s="1"/>
      <c r="BX814" s="1"/>
      <c r="CD814" s="1"/>
      <c r="CE814" s="1"/>
      <c r="CF814" s="1"/>
      <c r="CG814" s="1"/>
      <c r="CH814" s="1"/>
      <c r="CI814" s="1"/>
      <c r="CM814" s="4"/>
      <c r="CN814" s="1"/>
      <c r="CO814" s="1"/>
      <c r="CP814" s="1"/>
      <c r="CQ814" s="1"/>
      <c r="CR814" s="1"/>
      <c r="CS814" s="1"/>
      <c r="CT814" s="1"/>
      <c r="CU814" s="1"/>
      <c r="CV814" s="1"/>
      <c r="CW814" s="1"/>
      <c r="CX814" s="1"/>
      <c r="CY814" s="1"/>
      <c r="CZ814" s="1"/>
      <c r="DA814" s="1"/>
      <c r="DB814" s="1"/>
      <c r="DC814" s="1"/>
      <c r="DD814" s="1"/>
      <c r="DE814" s="1"/>
      <c r="DF814" s="1"/>
      <c r="DG814" s="1"/>
      <c r="DH814" s="1"/>
      <c r="DI814" s="1"/>
      <c r="DJ814" s="1"/>
      <c r="DK814" s="1"/>
      <c r="DM814" s="1"/>
      <c r="DQ814" s="1"/>
      <c r="DR814" s="1"/>
      <c r="DY814" s="1"/>
      <c r="DZ814" s="1"/>
      <c r="ED814" s="1"/>
      <c r="EF814" s="1"/>
      <c r="EK814" s="1"/>
      <c r="EL814" s="1"/>
      <c r="EM814" s="1"/>
      <c r="EN814" s="1"/>
      <c r="EQ814" s="1"/>
      <c r="ER814" s="1"/>
      <c r="ES814" s="1"/>
      <c r="EV814" s="1"/>
      <c r="EW814" s="1"/>
      <c r="EZ814" s="1"/>
      <c r="FA814" s="1"/>
      <c r="FD814" s="1"/>
      <c r="FG814" s="1"/>
      <c r="FH814" s="1"/>
      <c r="FI814" s="1"/>
      <c r="FJ814" s="1"/>
      <c r="FK814" s="1"/>
      <c r="FL814" s="1"/>
      <c r="FM814" s="1"/>
      <c r="FN814" s="1"/>
      <c r="FO814" s="1"/>
      <c r="FP814" s="1"/>
      <c r="FQ814" s="1"/>
      <c r="FR814" s="1"/>
      <c r="FS814" s="1"/>
      <c r="FT814" s="1"/>
      <c r="FU814" s="1"/>
      <c r="FV814" s="1"/>
      <c r="FW814" s="1"/>
      <c r="FX814" s="1"/>
      <c r="FY814" s="1"/>
      <c r="FZ814" s="1"/>
      <c r="GA814" s="1"/>
      <c r="GB814" s="1"/>
      <c r="GD814" s="1"/>
      <c r="GE814" s="1"/>
      <c r="GF814" s="1"/>
      <c r="GG814" s="1"/>
      <c r="GH814" s="1"/>
      <c r="GI814" s="1"/>
      <c r="GJ814" s="1"/>
      <c r="GK814" s="1"/>
      <c r="GL814" s="1"/>
      <c r="GM814" s="1"/>
      <c r="GN814" s="1"/>
      <c r="GO814" s="1"/>
      <c r="GP814" s="1"/>
      <c r="GR814" s="1"/>
      <c r="GY814" s="1"/>
      <c r="HF814" s="1"/>
      <c r="HH814" s="1"/>
      <c r="HN814" s="1"/>
      <c r="HQ814" s="1"/>
      <c r="HT814" s="1"/>
      <c r="HY814" s="1"/>
      <c r="IC814" s="1"/>
      <c r="ID814" s="1"/>
      <c r="IE814" s="1"/>
      <c r="IF814" s="1"/>
      <c r="IG814" s="1"/>
      <c r="II814" s="1"/>
      <c r="IJ814" s="1"/>
      <c r="IR814" s="1"/>
      <c r="IS814" s="1"/>
      <c r="IZ814" s="1"/>
      <c r="JC814" s="1"/>
      <c r="JF814" s="1"/>
      <c r="JG814" s="1"/>
      <c r="JH814" s="1"/>
      <c r="JI814" s="1"/>
      <c r="JJ814" s="1"/>
      <c r="JK814" s="1"/>
      <c r="JL814" s="3"/>
      <c r="JM814" s="1"/>
      <c r="JN814" s="1"/>
      <c r="JP814" s="1"/>
      <c r="JQ814" s="1"/>
      <c r="JR814" s="1"/>
      <c r="JT814" s="1"/>
      <c r="KU814" s="1"/>
      <c r="KV814" s="1"/>
      <c r="KW814" s="1"/>
      <c r="KY814" s="1"/>
      <c r="KZ814" s="1"/>
      <c r="LA814" s="1"/>
      <c r="LB814" s="1"/>
      <c r="LC814" s="1"/>
      <c r="LD814" s="1"/>
      <c r="LN814" s="1"/>
      <c r="LO814" s="1"/>
      <c r="LP814" s="1"/>
      <c r="LZ814" s="1"/>
      <c r="MA814" s="1"/>
    </row>
    <row r="815" spans="4:342" ht="13" x14ac:dyDescent="0.15">
      <c r="D815" s="12"/>
      <c r="E815" s="12"/>
      <c r="I815" s="12"/>
      <c r="J815" s="13"/>
      <c r="BF815" s="1"/>
      <c r="BG815" s="1"/>
      <c r="BH815" s="1"/>
      <c r="BI815" s="1"/>
      <c r="BJ815" s="1"/>
      <c r="BK815" s="1"/>
      <c r="BL815" s="1"/>
      <c r="BM815" s="1"/>
      <c r="BN815" s="1"/>
      <c r="BO815" s="1"/>
      <c r="BP815" s="1"/>
      <c r="BQ815" s="1"/>
      <c r="BR815" s="1"/>
      <c r="BX815" s="1"/>
      <c r="CD815" s="1"/>
      <c r="CE815" s="1"/>
      <c r="CF815" s="1"/>
      <c r="CG815" s="1"/>
      <c r="CH815" s="1"/>
      <c r="CI815" s="1"/>
      <c r="CM815" s="2"/>
      <c r="CN815" s="1"/>
      <c r="CO815" s="1"/>
      <c r="CP815" s="1"/>
      <c r="CQ815" s="1"/>
      <c r="CR815" s="1"/>
      <c r="CS815" s="1"/>
      <c r="CT815" s="1"/>
      <c r="CU815" s="1"/>
      <c r="CV815" s="1"/>
      <c r="CW815" s="1"/>
      <c r="CX815" s="1"/>
      <c r="CY815" s="1"/>
      <c r="CZ815" s="1"/>
      <c r="DA815" s="1"/>
      <c r="DB815" s="1"/>
      <c r="DC815" s="1"/>
      <c r="DD815" s="1"/>
      <c r="DE815" s="1"/>
      <c r="DF815" s="1"/>
      <c r="DG815" s="1"/>
      <c r="DH815" s="1"/>
      <c r="DI815" s="1"/>
      <c r="DJ815" s="1"/>
      <c r="DK815" s="1"/>
      <c r="DM815" s="1"/>
      <c r="DQ815" s="1"/>
      <c r="DR815" s="1"/>
      <c r="DY815" s="1"/>
      <c r="DZ815" s="1"/>
      <c r="ED815" s="1"/>
      <c r="EF815" s="1"/>
      <c r="EK815" s="1"/>
      <c r="EL815" s="1"/>
      <c r="EM815" s="1"/>
      <c r="EN815" s="1"/>
      <c r="EQ815" s="1"/>
      <c r="ER815" s="1"/>
      <c r="ES815" s="1"/>
      <c r="EV815" s="1"/>
      <c r="EW815" s="1"/>
      <c r="EZ815" s="1"/>
      <c r="FA815" s="1"/>
      <c r="FD815" s="1"/>
      <c r="FH815" s="1"/>
      <c r="FJ815" s="1"/>
      <c r="FL815" s="1"/>
      <c r="FS815" s="1"/>
      <c r="FU815" s="1"/>
      <c r="FV815" s="1"/>
      <c r="FX815" s="1"/>
      <c r="GA815" s="1"/>
      <c r="GD815" s="1"/>
      <c r="GE815" s="1"/>
      <c r="GF815" s="1"/>
      <c r="GG815" s="1"/>
      <c r="GH815" s="1"/>
      <c r="GI815" s="1"/>
      <c r="GJ815" s="1"/>
      <c r="GK815" s="1"/>
      <c r="GL815" s="1"/>
      <c r="GM815" s="1"/>
      <c r="GN815" s="1"/>
      <c r="GO815" s="1"/>
      <c r="GP815" s="1"/>
      <c r="GY815" s="1"/>
      <c r="HF815" s="1"/>
      <c r="HH815" s="1"/>
      <c r="HN815" s="1"/>
      <c r="HR815" s="1"/>
      <c r="HS815" s="1"/>
      <c r="HT815" s="1"/>
      <c r="HY815" s="1"/>
      <c r="IE815" s="1"/>
      <c r="IR815" s="1"/>
      <c r="IS815" s="1"/>
      <c r="IZ815" s="1"/>
      <c r="JC815" s="1"/>
      <c r="JH815" s="1"/>
      <c r="JJ815" s="1"/>
      <c r="JN815" s="1"/>
      <c r="JP815" s="1"/>
      <c r="JQ815" s="1"/>
      <c r="KY815" s="1"/>
      <c r="KZ815" s="1"/>
      <c r="LA815" s="1"/>
      <c r="LB815" s="1"/>
      <c r="LC815" s="1"/>
      <c r="LD815" s="1"/>
      <c r="LO815" s="1"/>
      <c r="LP815" s="1"/>
      <c r="LZ815" s="1"/>
      <c r="MA815" s="1"/>
      <c r="MB815" s="1"/>
      <c r="MC815" s="5"/>
      <c r="MD815" s="5"/>
    </row>
    <row r="816" spans="4:342" ht="13" x14ac:dyDescent="0.15">
      <c r="D816" s="12"/>
      <c r="E816" s="12"/>
      <c r="I816" s="12"/>
      <c r="J816" s="13"/>
      <c r="BF816" s="1"/>
      <c r="BG816" s="1"/>
      <c r="BH816" s="1"/>
      <c r="BI816" s="1"/>
      <c r="BK816" s="1"/>
      <c r="BL816" s="1"/>
      <c r="BM816" s="1"/>
      <c r="BN816" s="1"/>
      <c r="BO816" s="1"/>
      <c r="BQ816" s="1"/>
      <c r="BR816" s="1"/>
      <c r="CD816" s="1"/>
      <c r="CE816" s="1"/>
      <c r="CF816" s="1"/>
      <c r="CH816" s="1"/>
      <c r="CI816" s="1"/>
      <c r="CM816" s="2"/>
      <c r="CN816" s="1"/>
      <c r="CO816" s="1"/>
      <c r="CQ816" s="1"/>
      <c r="CY816" s="1"/>
      <c r="DC816" s="1"/>
      <c r="DH816" s="1"/>
      <c r="DM816" s="1"/>
      <c r="DR816" s="1"/>
      <c r="ED816" s="1"/>
      <c r="EF816" s="1"/>
      <c r="EL816" s="1"/>
      <c r="EM816" s="1"/>
      <c r="EN816" s="1"/>
      <c r="EQ816" s="1"/>
      <c r="ER816" s="1"/>
      <c r="ES816" s="1"/>
      <c r="EV816" s="1"/>
      <c r="EW816" s="1"/>
      <c r="EZ816" s="1"/>
      <c r="FA816" s="1"/>
      <c r="FD816" s="1"/>
      <c r="FG816" s="1"/>
      <c r="FH816" s="1"/>
      <c r="FI816" s="1"/>
      <c r="FJ816" s="1"/>
      <c r="FL816" s="1"/>
      <c r="FM816" s="1"/>
      <c r="FN816" s="1"/>
      <c r="FO816" s="1"/>
      <c r="FP816" s="1"/>
      <c r="FQ816" s="1"/>
      <c r="FR816" s="1"/>
      <c r="FS816" s="1"/>
      <c r="FT816" s="1"/>
      <c r="FU816" s="1"/>
      <c r="FV816" s="1"/>
      <c r="FW816" s="1"/>
      <c r="FX816" s="1"/>
      <c r="FY816" s="1"/>
      <c r="FZ816" s="1"/>
      <c r="GA816" s="1"/>
      <c r="GD816" s="1"/>
      <c r="GE816" s="1"/>
      <c r="GF816" s="1"/>
      <c r="GG816" s="1"/>
      <c r="GH816" s="1"/>
      <c r="GI816" s="1"/>
      <c r="GJ816" s="1"/>
      <c r="GK816" s="1"/>
      <c r="GL816" s="1"/>
      <c r="GM816" s="1"/>
      <c r="GN816" s="1"/>
      <c r="GP816" s="1"/>
      <c r="GR816" s="1"/>
      <c r="GY816" s="1"/>
      <c r="HF816" s="1"/>
      <c r="HH816" s="1"/>
      <c r="HY816" s="1"/>
      <c r="IR816" s="1"/>
      <c r="IS816" s="1"/>
      <c r="IW816" s="1"/>
      <c r="IZ816" s="1"/>
      <c r="JA816" s="1"/>
      <c r="JJ816" s="1"/>
      <c r="JN816" s="1"/>
      <c r="JP816" s="1"/>
      <c r="JQ816" s="1"/>
      <c r="JT816" s="1"/>
      <c r="KU816" s="1"/>
      <c r="KZ816" s="1"/>
      <c r="LA816" s="1"/>
      <c r="LC816" s="1"/>
      <c r="LO816" s="1"/>
      <c r="LZ816" s="1"/>
      <c r="MA816" s="1"/>
    </row>
    <row r="817" spans="4:339" ht="13" x14ac:dyDescent="0.15">
      <c r="D817" s="12"/>
      <c r="E817" s="12"/>
      <c r="I817" s="12"/>
      <c r="J817" s="13"/>
      <c r="BF817" s="1"/>
      <c r="BG817" s="1"/>
      <c r="BH817" s="1"/>
      <c r="BI817" s="1"/>
      <c r="BK817" s="1"/>
      <c r="BL817" s="1"/>
      <c r="BM817" s="1"/>
      <c r="BN817" s="1"/>
      <c r="BO817" s="1"/>
      <c r="BP817" s="1"/>
      <c r="BQ817" s="1"/>
      <c r="BR817" s="1"/>
      <c r="BX817" s="1"/>
      <c r="CC817" s="1"/>
      <c r="CD817" s="1"/>
      <c r="CE817" s="1"/>
      <c r="CF817" s="1"/>
      <c r="CG817" s="1"/>
      <c r="CH817" s="1"/>
      <c r="CI817" s="1"/>
      <c r="CM817" s="2"/>
      <c r="CN817" s="1"/>
      <c r="CO817" s="1"/>
      <c r="CP817" s="1"/>
      <c r="CQ817" s="1"/>
      <c r="CS817" s="1"/>
      <c r="CT817" s="1"/>
      <c r="CU817" s="1"/>
      <c r="CV817" s="1"/>
      <c r="CW817" s="1"/>
      <c r="CX817" s="1"/>
      <c r="CY817" s="1"/>
      <c r="CZ817" s="1"/>
      <c r="DA817" s="1"/>
      <c r="DB817" s="1"/>
      <c r="DC817" s="1"/>
      <c r="DD817" s="1"/>
      <c r="DE817" s="1"/>
      <c r="DF817" s="1"/>
      <c r="DG817" s="1"/>
      <c r="DH817" s="1"/>
      <c r="DI817" s="1"/>
      <c r="DJ817" s="1"/>
      <c r="DK817" s="1"/>
      <c r="DM817" s="1"/>
      <c r="DQ817" s="1"/>
      <c r="DR817" s="1"/>
      <c r="DY817" s="1"/>
      <c r="DZ817" s="1"/>
      <c r="ED817" s="1"/>
      <c r="EK817" s="1"/>
      <c r="EL817" s="1"/>
      <c r="EM817" s="1"/>
      <c r="EN817" s="1"/>
      <c r="EQ817" s="1"/>
      <c r="ER817" s="1"/>
      <c r="ES817" s="1"/>
      <c r="EV817" s="1"/>
      <c r="EW817" s="1"/>
      <c r="EZ817" s="1"/>
      <c r="FA817" s="1"/>
      <c r="FD817" s="1"/>
      <c r="FE817" s="1"/>
      <c r="FF817" s="1"/>
      <c r="FG817" s="1"/>
      <c r="FH817" s="1"/>
      <c r="FI817" s="1"/>
      <c r="FJ817" s="1"/>
      <c r="FM817" s="1"/>
      <c r="FN817" s="1"/>
      <c r="FO817" s="1"/>
      <c r="FP817" s="1"/>
      <c r="FQ817" s="1"/>
      <c r="FR817" s="1"/>
      <c r="FS817" s="1"/>
      <c r="FV817" s="1"/>
      <c r="FW817" s="1"/>
      <c r="FX817" s="1"/>
      <c r="FY817" s="1"/>
      <c r="FZ817" s="1"/>
      <c r="GA817" s="1"/>
      <c r="GD817" s="1"/>
      <c r="GE817" s="1"/>
      <c r="GF817" s="1"/>
      <c r="GG817" s="1"/>
      <c r="GH817" s="1"/>
      <c r="GI817" s="1"/>
      <c r="GJ817" s="1"/>
      <c r="GK817" s="1"/>
      <c r="GL817" s="1"/>
      <c r="GM817" s="1"/>
      <c r="GN817" s="1"/>
      <c r="GO817" s="1"/>
      <c r="GP817" s="1"/>
      <c r="GR817" s="1"/>
      <c r="GV817" s="1"/>
      <c r="GY817" s="1"/>
      <c r="HF817" s="1"/>
      <c r="HH817" s="1"/>
      <c r="HN817" s="1"/>
      <c r="HQ817" s="1"/>
      <c r="HT817" s="1"/>
      <c r="HY817" s="1"/>
      <c r="ID817" s="1"/>
      <c r="IE817" s="1"/>
      <c r="IR817" s="1"/>
      <c r="IS817" s="1"/>
      <c r="IW817" s="1"/>
      <c r="IY817" s="1"/>
      <c r="IZ817" s="1"/>
      <c r="JA817" s="1"/>
      <c r="JC817" s="1"/>
      <c r="JF817" s="1"/>
      <c r="JG817" s="1"/>
      <c r="JH817" s="1"/>
      <c r="JJ817" s="1"/>
      <c r="JN817" s="1"/>
      <c r="JP817" s="1"/>
      <c r="JQ817" s="1"/>
      <c r="JT817" s="1"/>
      <c r="KW817" s="1"/>
      <c r="KY817" s="1"/>
      <c r="KZ817" s="1"/>
      <c r="LA817" s="1"/>
      <c r="LB817" s="1"/>
      <c r="LC817" s="1"/>
      <c r="LD817" s="1"/>
      <c r="LO817" s="1"/>
      <c r="LP817" s="1"/>
      <c r="LZ817" s="1"/>
      <c r="MA817" s="1"/>
    </row>
    <row r="818" spans="4:339" ht="13" x14ac:dyDescent="0.15">
      <c r="D818" s="12"/>
      <c r="E818" s="12"/>
      <c r="I818" s="12"/>
      <c r="J818" s="13"/>
      <c r="BF818" s="1"/>
      <c r="BG818" s="1"/>
      <c r="BH818" s="1"/>
      <c r="BI818" s="1"/>
      <c r="BK818" s="1"/>
      <c r="BL818" s="1"/>
      <c r="BM818" s="1"/>
      <c r="BN818" s="1"/>
      <c r="BO818" s="1"/>
      <c r="BP818" s="1"/>
      <c r="BQ818" s="1"/>
      <c r="BR818" s="1"/>
      <c r="BX818" s="1"/>
      <c r="CC818" s="1"/>
      <c r="CD818" s="1"/>
      <c r="CE818" s="1"/>
      <c r="CF818" s="1"/>
      <c r="CG818" s="1"/>
      <c r="CH818" s="1"/>
      <c r="CI818" s="1"/>
      <c r="CM818" s="2"/>
      <c r="CN818" s="1"/>
      <c r="CO818" s="1"/>
      <c r="CP818" s="1"/>
      <c r="CQ818" s="1"/>
      <c r="CS818" s="1"/>
      <c r="CT818" s="1"/>
      <c r="CU818" s="1"/>
      <c r="CV818" s="1"/>
      <c r="CW818" s="1"/>
      <c r="CX818" s="1"/>
      <c r="CY818" s="1"/>
      <c r="CZ818" s="1"/>
      <c r="DA818" s="1"/>
      <c r="DB818" s="1"/>
      <c r="DC818" s="1"/>
      <c r="DD818" s="1"/>
      <c r="DE818" s="1"/>
      <c r="DF818" s="1"/>
      <c r="DG818" s="1"/>
      <c r="DH818" s="1"/>
      <c r="DI818" s="1"/>
      <c r="DJ818" s="1"/>
      <c r="DK818" s="1"/>
      <c r="DM818" s="1"/>
      <c r="DQ818" s="1"/>
      <c r="DR818" s="1"/>
      <c r="DY818" s="1"/>
      <c r="DZ818" s="1"/>
      <c r="ED818" s="1"/>
      <c r="EK818" s="1"/>
      <c r="EL818" s="1"/>
      <c r="EM818" s="1"/>
      <c r="EN818" s="1"/>
      <c r="EQ818" s="1"/>
      <c r="ER818" s="1"/>
      <c r="ES818" s="1"/>
      <c r="EV818" s="1"/>
      <c r="EW818" s="1"/>
      <c r="EZ818" s="1"/>
      <c r="FA818" s="1"/>
      <c r="FD818" s="1"/>
      <c r="FE818" s="1"/>
      <c r="FF818" s="1"/>
      <c r="FG818" s="1"/>
      <c r="FH818" s="1"/>
      <c r="FI818" s="1"/>
      <c r="FJ818" s="1"/>
      <c r="FM818" s="1"/>
      <c r="FN818" s="1"/>
      <c r="FO818" s="1"/>
      <c r="FP818" s="1"/>
      <c r="FQ818" s="1"/>
      <c r="FR818" s="1"/>
      <c r="FS818" s="1"/>
      <c r="FV818" s="1"/>
      <c r="FW818" s="1"/>
      <c r="FX818" s="1"/>
      <c r="FY818" s="1"/>
      <c r="FZ818" s="1"/>
      <c r="GA818" s="1"/>
      <c r="GD818" s="1"/>
      <c r="GE818" s="1"/>
      <c r="GF818" s="1"/>
      <c r="GG818" s="1"/>
      <c r="GH818" s="1"/>
      <c r="GI818" s="1"/>
      <c r="GJ818" s="1"/>
      <c r="GK818" s="1"/>
      <c r="GL818" s="1"/>
      <c r="GM818" s="1"/>
      <c r="GN818" s="1"/>
      <c r="GO818" s="1"/>
      <c r="GP818" s="1"/>
      <c r="GR818" s="1"/>
      <c r="GV818" s="1"/>
      <c r="GY818" s="1"/>
      <c r="HF818" s="1"/>
      <c r="HH818" s="1"/>
      <c r="HN818" s="1"/>
      <c r="HQ818" s="1"/>
      <c r="HT818" s="1"/>
      <c r="HY818" s="1"/>
      <c r="ID818" s="1"/>
      <c r="IE818" s="1"/>
      <c r="IR818" s="1"/>
      <c r="IS818" s="1"/>
      <c r="IW818" s="1"/>
      <c r="IY818" s="1"/>
      <c r="IZ818" s="1"/>
      <c r="JA818" s="1"/>
      <c r="JC818" s="1"/>
      <c r="JF818" s="1"/>
      <c r="JG818" s="1"/>
      <c r="JH818" s="1"/>
      <c r="JJ818" s="1"/>
      <c r="JN818" s="1"/>
      <c r="JP818" s="1"/>
      <c r="JQ818" s="1"/>
      <c r="JT818" s="1"/>
      <c r="KW818" s="1"/>
      <c r="KY818" s="1"/>
      <c r="KZ818" s="1"/>
      <c r="LA818" s="1"/>
      <c r="LB818" s="1"/>
      <c r="LC818" s="1"/>
      <c r="LD818" s="1"/>
      <c r="LO818" s="1"/>
      <c r="LP818" s="1"/>
      <c r="LZ818" s="1"/>
      <c r="MA818" s="1"/>
    </row>
    <row r="819" spans="4:339" ht="13" x14ac:dyDescent="0.15">
      <c r="D819" s="12"/>
      <c r="E819" s="12"/>
      <c r="I819" s="12"/>
      <c r="J819" s="13"/>
      <c r="BF819" s="1"/>
      <c r="BG819" s="1"/>
      <c r="BH819" s="1"/>
      <c r="BI819" s="1"/>
      <c r="BK819" s="1"/>
      <c r="BL819" s="1"/>
      <c r="BM819" s="1"/>
      <c r="BN819" s="1"/>
      <c r="BO819" s="1"/>
      <c r="BP819" s="1"/>
      <c r="BQ819" s="1"/>
      <c r="BR819" s="1"/>
      <c r="BX819" s="1"/>
      <c r="CC819" s="1"/>
      <c r="CD819" s="1"/>
      <c r="CE819" s="1"/>
      <c r="CF819" s="1"/>
      <c r="CG819" s="1"/>
      <c r="CH819" s="1"/>
      <c r="CI819" s="1"/>
      <c r="CM819" s="2"/>
      <c r="CN819" s="1"/>
      <c r="CO819" s="1"/>
      <c r="CP819" s="1"/>
      <c r="CQ819" s="1"/>
      <c r="CS819" s="1"/>
      <c r="CT819" s="1"/>
      <c r="CU819" s="1"/>
      <c r="CV819" s="1"/>
      <c r="CW819" s="1"/>
      <c r="CX819" s="1"/>
      <c r="CY819" s="1"/>
      <c r="CZ819" s="1"/>
      <c r="DA819" s="1"/>
      <c r="DB819" s="1"/>
      <c r="DC819" s="1"/>
      <c r="DD819" s="1"/>
      <c r="DE819" s="1"/>
      <c r="DF819" s="1"/>
      <c r="DG819" s="1"/>
      <c r="DH819" s="1"/>
      <c r="DI819" s="1"/>
      <c r="DJ819" s="1"/>
      <c r="DK819" s="1"/>
      <c r="DM819" s="1"/>
      <c r="DQ819" s="1"/>
      <c r="DR819" s="1"/>
      <c r="DY819" s="1"/>
      <c r="DZ819" s="1"/>
      <c r="ED819" s="1"/>
      <c r="EK819" s="1"/>
      <c r="EL819" s="1"/>
      <c r="EM819" s="1"/>
      <c r="EN819" s="1"/>
      <c r="EQ819" s="1"/>
      <c r="ER819" s="1"/>
      <c r="ES819" s="1"/>
      <c r="EV819" s="1"/>
      <c r="EW819" s="1"/>
      <c r="EZ819" s="1"/>
      <c r="FA819" s="1"/>
      <c r="FD819" s="1"/>
      <c r="FE819" s="1"/>
      <c r="FF819" s="1"/>
      <c r="FG819" s="1"/>
      <c r="FH819" s="1"/>
      <c r="FI819" s="1"/>
      <c r="FJ819" s="1"/>
      <c r="FM819" s="1"/>
      <c r="FN819" s="1"/>
      <c r="FO819" s="1"/>
      <c r="FP819" s="1"/>
      <c r="FQ819" s="1"/>
      <c r="FR819" s="1"/>
      <c r="FS819" s="1"/>
      <c r="FV819" s="1"/>
      <c r="FW819" s="1"/>
      <c r="FX819" s="1"/>
      <c r="FY819" s="1"/>
      <c r="FZ819" s="1"/>
      <c r="GA819" s="1"/>
      <c r="GD819" s="1"/>
      <c r="GE819" s="1"/>
      <c r="GF819" s="1"/>
      <c r="GG819" s="1"/>
      <c r="GH819" s="1"/>
      <c r="GI819" s="1"/>
      <c r="GJ819" s="1"/>
      <c r="GK819" s="1"/>
      <c r="GL819" s="1"/>
      <c r="GM819" s="1"/>
      <c r="GN819" s="1"/>
      <c r="GO819" s="1"/>
      <c r="GP819" s="1"/>
      <c r="GR819" s="1"/>
      <c r="GV819" s="1"/>
      <c r="GY819" s="1"/>
      <c r="HF819" s="1"/>
      <c r="HH819" s="1"/>
      <c r="HN819" s="1"/>
      <c r="HQ819" s="1"/>
      <c r="HT819" s="1"/>
      <c r="HY819" s="1"/>
      <c r="ID819" s="1"/>
      <c r="IE819" s="1"/>
      <c r="IR819" s="1"/>
      <c r="IS819" s="1"/>
      <c r="IW819" s="1"/>
      <c r="IY819" s="1"/>
      <c r="IZ819" s="1"/>
      <c r="JA819" s="1"/>
      <c r="JC819" s="1"/>
      <c r="JF819" s="1"/>
      <c r="JG819" s="1"/>
      <c r="JH819" s="1"/>
      <c r="JJ819" s="1"/>
      <c r="JN819" s="1"/>
      <c r="JP819" s="1"/>
      <c r="JQ819" s="1"/>
      <c r="JT819" s="1"/>
      <c r="KW819" s="1"/>
      <c r="KY819" s="1"/>
      <c r="KZ819" s="1"/>
      <c r="LA819" s="1"/>
      <c r="LB819" s="1"/>
      <c r="LC819" s="1"/>
      <c r="LD819" s="1"/>
      <c r="LO819" s="1"/>
      <c r="LP819" s="1"/>
      <c r="LZ819" s="1"/>
      <c r="MA819" s="1"/>
    </row>
    <row r="820" spans="4:339" ht="13" x14ac:dyDescent="0.15">
      <c r="D820" s="12"/>
      <c r="E820" s="12"/>
      <c r="I820" s="12"/>
      <c r="J820" s="13"/>
      <c r="BF820" s="1"/>
      <c r="BG820" s="1"/>
      <c r="BH820" s="1"/>
      <c r="BI820" s="1"/>
      <c r="BK820" s="1"/>
      <c r="BL820" s="1"/>
      <c r="BM820" s="1"/>
      <c r="BN820" s="1"/>
      <c r="BO820" s="1"/>
      <c r="BP820" s="1"/>
      <c r="BQ820" s="1"/>
      <c r="BR820" s="1"/>
      <c r="BX820" s="1"/>
      <c r="CC820" s="1"/>
      <c r="CD820" s="1"/>
      <c r="CE820" s="1"/>
      <c r="CF820" s="1"/>
      <c r="CG820" s="1"/>
      <c r="CH820" s="1"/>
      <c r="CI820" s="1"/>
      <c r="CM820" s="2"/>
      <c r="CN820" s="1"/>
      <c r="CO820" s="1"/>
      <c r="CP820" s="1"/>
      <c r="CQ820" s="1"/>
      <c r="CS820" s="1"/>
      <c r="CT820" s="1"/>
      <c r="CU820" s="1"/>
      <c r="CV820" s="1"/>
      <c r="CW820" s="1"/>
      <c r="CX820" s="1"/>
      <c r="CY820" s="1"/>
      <c r="CZ820" s="1"/>
      <c r="DA820" s="1"/>
      <c r="DB820" s="1"/>
      <c r="DC820" s="1"/>
      <c r="DD820" s="1"/>
      <c r="DE820" s="1"/>
      <c r="DF820" s="1"/>
      <c r="DG820" s="1"/>
      <c r="DH820" s="1"/>
      <c r="DI820" s="1"/>
      <c r="DJ820" s="1"/>
      <c r="DK820" s="1"/>
      <c r="DM820" s="1"/>
      <c r="DQ820" s="1"/>
      <c r="DR820" s="1"/>
      <c r="DY820" s="1"/>
      <c r="DZ820" s="1"/>
      <c r="ED820" s="1"/>
      <c r="EK820" s="1"/>
      <c r="EL820" s="1"/>
      <c r="EM820" s="1"/>
      <c r="EN820" s="1"/>
      <c r="EQ820" s="1"/>
      <c r="ER820" s="1"/>
      <c r="ES820" s="1"/>
      <c r="EV820" s="1"/>
      <c r="EW820" s="1"/>
      <c r="EZ820" s="1"/>
      <c r="FA820" s="1"/>
      <c r="FD820" s="1"/>
      <c r="FE820" s="1"/>
      <c r="FF820" s="1"/>
      <c r="FG820" s="1"/>
      <c r="FH820" s="1"/>
      <c r="FI820" s="1"/>
      <c r="FJ820" s="1"/>
      <c r="FM820" s="1"/>
      <c r="FN820" s="1"/>
      <c r="FO820" s="1"/>
      <c r="FP820" s="1"/>
      <c r="FQ820" s="1"/>
      <c r="FR820" s="1"/>
      <c r="FS820" s="1"/>
      <c r="FV820" s="1"/>
      <c r="FW820" s="1"/>
      <c r="FX820" s="1"/>
      <c r="FY820" s="1"/>
      <c r="FZ820" s="1"/>
      <c r="GA820" s="1"/>
      <c r="GD820" s="1"/>
      <c r="GE820" s="1"/>
      <c r="GF820" s="1"/>
      <c r="GG820" s="1"/>
      <c r="GH820" s="1"/>
      <c r="GI820" s="1"/>
      <c r="GJ820" s="1"/>
      <c r="GK820" s="1"/>
      <c r="GL820" s="1"/>
      <c r="GM820" s="1"/>
      <c r="GN820" s="1"/>
      <c r="GO820" s="1"/>
      <c r="GP820" s="1"/>
      <c r="GR820" s="1"/>
      <c r="GV820" s="1"/>
      <c r="GY820" s="1"/>
      <c r="HF820" s="1"/>
      <c r="HH820" s="1"/>
      <c r="HN820" s="1"/>
      <c r="HQ820" s="1"/>
      <c r="HT820" s="1"/>
      <c r="HY820" s="1"/>
      <c r="ID820" s="1"/>
      <c r="IE820" s="1"/>
      <c r="IR820" s="1"/>
      <c r="IS820" s="1"/>
      <c r="IW820" s="1"/>
      <c r="IY820" s="1"/>
      <c r="IZ820" s="1"/>
      <c r="JA820" s="1"/>
      <c r="JC820" s="1"/>
      <c r="JF820" s="1"/>
      <c r="JG820" s="1"/>
      <c r="JH820" s="1"/>
      <c r="JJ820" s="1"/>
      <c r="JN820" s="1"/>
      <c r="JP820" s="1"/>
      <c r="JQ820" s="1"/>
      <c r="JT820" s="1"/>
      <c r="KW820" s="1"/>
      <c r="KY820" s="1"/>
      <c r="KZ820" s="1"/>
      <c r="LA820" s="1"/>
      <c r="LB820" s="1"/>
      <c r="LC820" s="1"/>
      <c r="LD820" s="1"/>
      <c r="LO820" s="1"/>
      <c r="LP820" s="1"/>
      <c r="LZ820" s="1"/>
      <c r="MA820" s="1"/>
    </row>
    <row r="821" spans="4:339" ht="13" x14ac:dyDescent="0.15">
      <c r="D821" s="12"/>
      <c r="E821" s="12"/>
      <c r="I821" s="12"/>
      <c r="J821" s="13"/>
      <c r="BF821" s="1"/>
      <c r="BG821" s="1"/>
      <c r="BH821" s="1"/>
      <c r="BI821" s="1"/>
      <c r="BK821" s="1"/>
      <c r="BL821" s="1"/>
      <c r="BM821" s="1"/>
      <c r="BN821" s="1"/>
      <c r="BO821" s="1"/>
      <c r="BP821" s="1"/>
      <c r="BQ821" s="1"/>
      <c r="BR821" s="1"/>
      <c r="BX821" s="1"/>
      <c r="CC821" s="1"/>
      <c r="CD821" s="1"/>
      <c r="CE821" s="1"/>
      <c r="CF821" s="1"/>
      <c r="CG821" s="1"/>
      <c r="CH821" s="1"/>
      <c r="CI821" s="1"/>
      <c r="CM821" s="2"/>
      <c r="CN821" s="1"/>
      <c r="CO821" s="1"/>
      <c r="CP821" s="1"/>
      <c r="CQ821" s="1"/>
      <c r="CS821" s="1"/>
      <c r="CT821" s="1"/>
      <c r="CU821" s="1"/>
      <c r="CV821" s="1"/>
      <c r="CW821" s="1"/>
      <c r="CX821" s="1"/>
      <c r="CY821" s="1"/>
      <c r="CZ821" s="1"/>
      <c r="DA821" s="1"/>
      <c r="DB821" s="1"/>
      <c r="DC821" s="1"/>
      <c r="DD821" s="1"/>
      <c r="DE821" s="1"/>
      <c r="DF821" s="1"/>
      <c r="DG821" s="1"/>
      <c r="DH821" s="1"/>
      <c r="DI821" s="1"/>
      <c r="DJ821" s="1"/>
      <c r="DK821" s="1"/>
      <c r="DM821" s="1"/>
      <c r="DQ821" s="1"/>
      <c r="DR821" s="1"/>
      <c r="DY821" s="1"/>
      <c r="DZ821" s="1"/>
      <c r="ED821" s="1"/>
      <c r="EK821" s="1"/>
      <c r="EL821" s="1"/>
      <c r="EM821" s="1"/>
      <c r="EN821" s="1"/>
      <c r="EQ821" s="1"/>
      <c r="ER821" s="1"/>
      <c r="ES821" s="1"/>
      <c r="EV821" s="1"/>
      <c r="EW821" s="1"/>
      <c r="EZ821" s="1"/>
      <c r="FA821" s="1"/>
      <c r="FD821" s="1"/>
      <c r="FE821" s="1"/>
      <c r="FF821" s="1"/>
      <c r="FG821" s="1"/>
      <c r="FH821" s="1"/>
      <c r="FI821" s="1"/>
      <c r="FJ821" s="1"/>
      <c r="FM821" s="1"/>
      <c r="FN821" s="1"/>
      <c r="FO821" s="1"/>
      <c r="FP821" s="1"/>
      <c r="FQ821" s="1"/>
      <c r="FR821" s="1"/>
      <c r="FS821" s="1"/>
      <c r="FV821" s="1"/>
      <c r="FW821" s="1"/>
      <c r="FX821" s="1"/>
      <c r="FY821" s="1"/>
      <c r="FZ821" s="1"/>
      <c r="GA821" s="1"/>
      <c r="GD821" s="1"/>
      <c r="GE821" s="1"/>
      <c r="GF821" s="1"/>
      <c r="GG821" s="1"/>
      <c r="GH821" s="1"/>
      <c r="GI821" s="1"/>
      <c r="GJ821" s="1"/>
      <c r="GK821" s="1"/>
      <c r="GL821" s="1"/>
      <c r="GM821" s="1"/>
      <c r="GN821" s="1"/>
      <c r="GO821" s="1"/>
      <c r="GP821" s="1"/>
      <c r="GR821" s="1"/>
      <c r="GV821" s="1"/>
      <c r="GY821" s="1"/>
      <c r="HF821" s="1"/>
      <c r="HH821" s="1"/>
      <c r="HN821" s="1"/>
      <c r="HQ821" s="1"/>
      <c r="HT821" s="1"/>
      <c r="HY821" s="1"/>
      <c r="ID821" s="1"/>
      <c r="IE821" s="1"/>
      <c r="IR821" s="1"/>
      <c r="IS821" s="1"/>
      <c r="IW821" s="1"/>
      <c r="IY821" s="1"/>
      <c r="IZ821" s="1"/>
      <c r="JA821" s="1"/>
      <c r="JC821" s="1"/>
      <c r="JF821" s="1"/>
      <c r="JG821" s="1"/>
      <c r="JH821" s="1"/>
      <c r="JJ821" s="1"/>
      <c r="JN821" s="1"/>
      <c r="JP821" s="1"/>
      <c r="JQ821" s="1"/>
      <c r="JT821" s="1"/>
      <c r="KW821" s="1"/>
      <c r="KY821" s="1"/>
      <c r="KZ821" s="1"/>
      <c r="LA821" s="1"/>
      <c r="LB821" s="1"/>
      <c r="LC821" s="1"/>
      <c r="LD821" s="1"/>
      <c r="LO821" s="1"/>
      <c r="LP821" s="1"/>
      <c r="LZ821" s="1"/>
      <c r="MA821" s="1"/>
    </row>
    <row r="822" spans="4:339" ht="13" x14ac:dyDescent="0.15">
      <c r="D822" s="12"/>
      <c r="E822" s="12"/>
      <c r="I822" s="12"/>
      <c r="J822" s="13"/>
      <c r="BF822" s="1"/>
      <c r="BG822" s="1"/>
      <c r="BH822" s="1"/>
      <c r="BI822" s="1"/>
      <c r="BK822" s="1"/>
      <c r="BL822" s="1"/>
      <c r="BM822" s="1"/>
      <c r="BN822" s="1"/>
      <c r="BO822" s="1"/>
      <c r="BP822" s="1"/>
      <c r="BQ822" s="1"/>
      <c r="BR822" s="1"/>
      <c r="BX822" s="1"/>
      <c r="CC822" s="1"/>
      <c r="CD822" s="1"/>
      <c r="CE822" s="1"/>
      <c r="CF822" s="1"/>
      <c r="CG822" s="1"/>
      <c r="CH822" s="1"/>
      <c r="CI822" s="1"/>
      <c r="CM822" s="2"/>
      <c r="CN822" s="1"/>
      <c r="CO822" s="1"/>
      <c r="CP822" s="1"/>
      <c r="CQ822" s="1"/>
      <c r="CS822" s="1"/>
      <c r="CT822" s="1"/>
      <c r="CU822" s="1"/>
      <c r="CV822" s="1"/>
      <c r="CW822" s="1"/>
      <c r="CX822" s="1"/>
      <c r="CY822" s="1"/>
      <c r="CZ822" s="1"/>
      <c r="DA822" s="1"/>
      <c r="DB822" s="1"/>
      <c r="DC822" s="1"/>
      <c r="DD822" s="1"/>
      <c r="DE822" s="1"/>
      <c r="DF822" s="1"/>
      <c r="DG822" s="1"/>
      <c r="DH822" s="1"/>
      <c r="DI822" s="1"/>
      <c r="DJ822" s="1"/>
      <c r="DK822" s="1"/>
      <c r="DM822" s="1"/>
      <c r="DQ822" s="1"/>
      <c r="DR822" s="1"/>
      <c r="DY822" s="1"/>
      <c r="DZ822" s="1"/>
      <c r="ED822" s="1"/>
      <c r="EK822" s="1"/>
      <c r="EL822" s="1"/>
      <c r="EM822" s="1"/>
      <c r="EN822" s="1"/>
      <c r="EQ822" s="1"/>
      <c r="ER822" s="1"/>
      <c r="ES822" s="1"/>
      <c r="EV822" s="1"/>
      <c r="EW822" s="1"/>
      <c r="EZ822" s="1"/>
      <c r="FA822" s="1"/>
      <c r="FD822" s="1"/>
      <c r="FE822" s="1"/>
      <c r="FF822" s="1"/>
      <c r="FG822" s="1"/>
      <c r="FH822" s="1"/>
      <c r="FI822" s="1"/>
      <c r="FJ822" s="1"/>
      <c r="FM822" s="1"/>
      <c r="FN822" s="1"/>
      <c r="FO822" s="1"/>
      <c r="FP822" s="1"/>
      <c r="FQ822" s="1"/>
      <c r="FR822" s="1"/>
      <c r="FS822" s="1"/>
      <c r="FV822" s="1"/>
      <c r="FW822" s="1"/>
      <c r="FX822" s="1"/>
      <c r="FY822" s="1"/>
      <c r="FZ822" s="1"/>
      <c r="GA822" s="1"/>
      <c r="GD822" s="1"/>
      <c r="GE822" s="1"/>
      <c r="GF822" s="1"/>
      <c r="GG822" s="1"/>
      <c r="GH822" s="1"/>
      <c r="GI822" s="1"/>
      <c r="GJ822" s="1"/>
      <c r="GK822" s="1"/>
      <c r="GL822" s="1"/>
      <c r="GM822" s="1"/>
      <c r="GN822" s="1"/>
      <c r="GO822" s="1"/>
      <c r="GP822" s="1"/>
      <c r="GR822" s="1"/>
      <c r="GV822" s="1"/>
      <c r="GY822" s="1"/>
      <c r="HF822" s="1"/>
      <c r="HH822" s="1"/>
      <c r="HN822" s="1"/>
      <c r="HQ822" s="1"/>
      <c r="HT822" s="1"/>
      <c r="HY822" s="1"/>
      <c r="ID822" s="1"/>
      <c r="IE822" s="1"/>
      <c r="IR822" s="1"/>
      <c r="IS822" s="1"/>
      <c r="IW822" s="1"/>
      <c r="IY822" s="1"/>
      <c r="IZ822" s="1"/>
      <c r="JA822" s="1"/>
      <c r="JC822" s="1"/>
      <c r="JF822" s="1"/>
      <c r="JG822" s="1"/>
      <c r="JH822" s="1"/>
      <c r="JJ822" s="1"/>
      <c r="JN822" s="1"/>
      <c r="JP822" s="1"/>
      <c r="JQ822" s="1"/>
      <c r="JT822" s="1"/>
      <c r="KW822" s="1"/>
      <c r="KY822" s="1"/>
      <c r="KZ822" s="1"/>
      <c r="LA822" s="1"/>
      <c r="LB822" s="1"/>
      <c r="LC822" s="1"/>
      <c r="LD822" s="1"/>
      <c r="LO822" s="1"/>
      <c r="LP822" s="1"/>
      <c r="LZ822" s="1"/>
      <c r="MA822" s="1"/>
    </row>
    <row r="823" spans="4:339" ht="13" x14ac:dyDescent="0.15">
      <c r="D823" s="12"/>
      <c r="E823" s="12"/>
      <c r="I823" s="12"/>
      <c r="J823" s="13"/>
      <c r="BF823" s="1"/>
      <c r="BG823" s="1"/>
      <c r="BH823" s="1"/>
      <c r="BI823" s="1"/>
      <c r="BK823" s="1"/>
      <c r="BL823" s="1"/>
      <c r="BM823" s="1"/>
      <c r="BN823" s="1"/>
      <c r="BO823" s="1"/>
      <c r="BP823" s="1"/>
      <c r="BQ823" s="1"/>
      <c r="BR823" s="1"/>
      <c r="BX823" s="1"/>
      <c r="CC823" s="1"/>
      <c r="CD823" s="1"/>
      <c r="CE823" s="1"/>
      <c r="CF823" s="1"/>
      <c r="CG823" s="1"/>
      <c r="CH823" s="1"/>
      <c r="CI823" s="1"/>
      <c r="CM823" s="2"/>
      <c r="CN823" s="1"/>
      <c r="CO823" s="1"/>
      <c r="CP823" s="1"/>
      <c r="CQ823" s="1"/>
      <c r="CS823" s="1"/>
      <c r="CT823" s="1"/>
      <c r="CU823" s="1"/>
      <c r="CV823" s="1"/>
      <c r="CW823" s="1"/>
      <c r="CX823" s="1"/>
      <c r="CY823" s="1"/>
      <c r="CZ823" s="1"/>
      <c r="DA823" s="1"/>
      <c r="DB823" s="1"/>
      <c r="DC823" s="1"/>
      <c r="DD823" s="1"/>
      <c r="DE823" s="1"/>
      <c r="DF823" s="1"/>
      <c r="DG823" s="1"/>
      <c r="DH823" s="1"/>
      <c r="DI823" s="1"/>
      <c r="DJ823" s="1"/>
      <c r="DK823" s="1"/>
      <c r="DM823" s="1"/>
      <c r="DQ823" s="1"/>
      <c r="DR823" s="1"/>
      <c r="DY823" s="1"/>
      <c r="DZ823" s="1"/>
      <c r="ED823" s="1"/>
      <c r="EK823" s="1"/>
      <c r="EL823" s="1"/>
      <c r="EM823" s="1"/>
      <c r="EN823" s="1"/>
      <c r="EQ823" s="1"/>
      <c r="ER823" s="1"/>
      <c r="ES823" s="1"/>
      <c r="EV823" s="1"/>
      <c r="EW823" s="1"/>
      <c r="EZ823" s="1"/>
      <c r="FA823" s="1"/>
      <c r="FD823" s="1"/>
      <c r="FE823" s="1"/>
      <c r="FF823" s="1"/>
      <c r="FG823" s="1"/>
      <c r="FH823" s="1"/>
      <c r="FI823" s="1"/>
      <c r="FJ823" s="1"/>
      <c r="FM823" s="1"/>
      <c r="FN823" s="1"/>
      <c r="FO823" s="1"/>
      <c r="FP823" s="1"/>
      <c r="FQ823" s="1"/>
      <c r="FR823" s="1"/>
      <c r="FS823" s="1"/>
      <c r="FV823" s="1"/>
      <c r="FW823" s="1"/>
      <c r="FX823" s="1"/>
      <c r="FY823" s="1"/>
      <c r="FZ823" s="1"/>
      <c r="GA823" s="1"/>
      <c r="GD823" s="1"/>
      <c r="GE823" s="1"/>
      <c r="GF823" s="1"/>
      <c r="GG823" s="1"/>
      <c r="GH823" s="1"/>
      <c r="GI823" s="1"/>
      <c r="GJ823" s="1"/>
      <c r="GK823" s="1"/>
      <c r="GL823" s="1"/>
      <c r="GM823" s="1"/>
      <c r="GN823" s="1"/>
      <c r="GO823" s="1"/>
      <c r="GP823" s="1"/>
      <c r="GR823" s="1"/>
      <c r="GV823" s="1"/>
      <c r="GY823" s="1"/>
      <c r="HF823" s="1"/>
      <c r="HH823" s="1"/>
      <c r="HN823" s="1"/>
      <c r="HQ823" s="1"/>
      <c r="HT823" s="1"/>
      <c r="HY823" s="1"/>
      <c r="ID823" s="1"/>
      <c r="IE823" s="1"/>
      <c r="IR823" s="1"/>
      <c r="IS823" s="1"/>
      <c r="IW823" s="1"/>
      <c r="IY823" s="1"/>
      <c r="IZ823" s="1"/>
      <c r="JA823" s="1"/>
      <c r="JC823" s="1"/>
      <c r="JF823" s="1"/>
      <c r="JG823" s="1"/>
      <c r="JH823" s="1"/>
      <c r="JJ823" s="1"/>
      <c r="JN823" s="1"/>
      <c r="JP823" s="1"/>
      <c r="JQ823" s="1"/>
      <c r="JT823" s="1"/>
      <c r="KW823" s="1"/>
      <c r="KY823" s="1"/>
      <c r="KZ823" s="1"/>
      <c r="LA823" s="1"/>
      <c r="LB823" s="1"/>
      <c r="LC823" s="1"/>
      <c r="LD823" s="1"/>
      <c r="LO823" s="1"/>
      <c r="LP823" s="1"/>
      <c r="LZ823" s="1"/>
      <c r="MA823" s="1"/>
    </row>
    <row r="824" spans="4:339" ht="13" x14ac:dyDescent="0.15">
      <c r="D824" s="12"/>
      <c r="E824" s="12"/>
      <c r="I824" s="12"/>
      <c r="J824" s="13"/>
      <c r="BF824" s="1"/>
      <c r="BG824" s="1"/>
      <c r="BH824" s="1"/>
      <c r="BI824" s="1"/>
      <c r="BK824" s="1"/>
      <c r="BL824" s="1"/>
      <c r="BM824" s="1"/>
      <c r="BN824" s="1"/>
      <c r="BO824" s="1"/>
      <c r="BP824" s="1"/>
      <c r="BQ824" s="1"/>
      <c r="BR824" s="1"/>
      <c r="BX824" s="1"/>
      <c r="CC824" s="1"/>
      <c r="CD824" s="1"/>
      <c r="CE824" s="1"/>
      <c r="CF824" s="1"/>
      <c r="CG824" s="1"/>
      <c r="CH824" s="1"/>
      <c r="CI824" s="1"/>
      <c r="CM824" s="2"/>
      <c r="CN824" s="1"/>
      <c r="CO824" s="1"/>
      <c r="CP824" s="1"/>
      <c r="CQ824" s="1"/>
      <c r="CS824" s="1"/>
      <c r="CT824" s="1"/>
      <c r="CU824" s="1"/>
      <c r="CV824" s="1"/>
      <c r="CW824" s="1"/>
      <c r="CX824" s="1"/>
      <c r="CY824" s="1"/>
      <c r="CZ824" s="1"/>
      <c r="DA824" s="1"/>
      <c r="DB824" s="1"/>
      <c r="DC824" s="1"/>
      <c r="DD824" s="1"/>
      <c r="DE824" s="1"/>
      <c r="DF824" s="1"/>
      <c r="DG824" s="1"/>
      <c r="DH824" s="1"/>
      <c r="DI824" s="1"/>
      <c r="DJ824" s="1"/>
      <c r="DK824" s="1"/>
      <c r="DM824" s="1"/>
      <c r="DQ824" s="1"/>
      <c r="DR824" s="1"/>
      <c r="DY824" s="1"/>
      <c r="DZ824" s="1"/>
      <c r="ED824" s="1"/>
      <c r="EK824" s="1"/>
      <c r="EL824" s="1"/>
      <c r="EM824" s="1"/>
      <c r="EN824" s="1"/>
      <c r="EQ824" s="1"/>
      <c r="ER824" s="1"/>
      <c r="ES824" s="1"/>
      <c r="EV824" s="1"/>
      <c r="EW824" s="1"/>
      <c r="EZ824" s="1"/>
      <c r="FA824" s="1"/>
      <c r="FD824" s="1"/>
      <c r="FE824" s="1"/>
      <c r="FF824" s="1"/>
      <c r="FG824" s="1"/>
      <c r="FH824" s="1"/>
      <c r="FI824" s="1"/>
      <c r="FJ824" s="1"/>
      <c r="FM824" s="1"/>
      <c r="FN824" s="1"/>
      <c r="FO824" s="1"/>
      <c r="FP824" s="1"/>
      <c r="FQ824" s="1"/>
      <c r="FR824" s="1"/>
      <c r="FS824" s="1"/>
      <c r="FV824" s="1"/>
      <c r="FW824" s="1"/>
      <c r="FX824" s="1"/>
      <c r="FY824" s="1"/>
      <c r="FZ824" s="1"/>
      <c r="GA824" s="1"/>
      <c r="GD824" s="1"/>
      <c r="GE824" s="1"/>
      <c r="GF824" s="1"/>
      <c r="GG824" s="1"/>
      <c r="GH824" s="1"/>
      <c r="GI824" s="1"/>
      <c r="GJ824" s="1"/>
      <c r="GK824" s="1"/>
      <c r="GL824" s="1"/>
      <c r="GM824" s="1"/>
      <c r="GN824" s="1"/>
      <c r="GO824" s="1"/>
      <c r="GP824" s="1"/>
      <c r="GR824" s="1"/>
      <c r="GV824" s="1"/>
      <c r="GY824" s="1"/>
      <c r="HF824" s="1"/>
      <c r="HH824" s="1"/>
      <c r="HN824" s="1"/>
      <c r="HQ824" s="1"/>
      <c r="HT824" s="1"/>
      <c r="HY824" s="1"/>
      <c r="ID824" s="1"/>
      <c r="IE824" s="1"/>
      <c r="IR824" s="1"/>
      <c r="IS824" s="1"/>
      <c r="IW824" s="1"/>
      <c r="IY824" s="1"/>
      <c r="IZ824" s="1"/>
      <c r="JA824" s="1"/>
      <c r="JC824" s="1"/>
      <c r="JF824" s="1"/>
      <c r="JG824" s="1"/>
      <c r="JH824" s="1"/>
      <c r="JJ824" s="1"/>
      <c r="JN824" s="1"/>
      <c r="JP824" s="1"/>
      <c r="JQ824" s="1"/>
      <c r="JT824" s="1"/>
      <c r="KW824" s="1"/>
      <c r="KY824" s="1"/>
      <c r="KZ824" s="1"/>
      <c r="LA824" s="1"/>
      <c r="LB824" s="1"/>
      <c r="LC824" s="1"/>
      <c r="LD824" s="1"/>
      <c r="LO824" s="1"/>
      <c r="LP824" s="1"/>
      <c r="LZ824" s="1"/>
      <c r="MA824" s="1"/>
    </row>
    <row r="825" spans="4:339" ht="13" x14ac:dyDescent="0.15">
      <c r="D825" s="12"/>
      <c r="E825" s="12"/>
      <c r="I825" s="12"/>
      <c r="J825" s="13"/>
      <c r="BF825" s="1"/>
      <c r="BG825" s="1"/>
      <c r="BH825" s="1"/>
      <c r="BI825" s="1"/>
      <c r="BK825" s="1"/>
      <c r="BL825" s="1"/>
      <c r="BM825" s="1"/>
      <c r="BN825" s="1"/>
      <c r="BO825" s="1"/>
      <c r="BP825" s="1"/>
      <c r="BQ825" s="1"/>
      <c r="BR825" s="1"/>
      <c r="BX825" s="1"/>
      <c r="CC825" s="1"/>
      <c r="CD825" s="1"/>
      <c r="CE825" s="1"/>
      <c r="CF825" s="1"/>
      <c r="CG825" s="1"/>
      <c r="CH825" s="1"/>
      <c r="CI825" s="1"/>
      <c r="CM825" s="2"/>
      <c r="CN825" s="1"/>
      <c r="CO825" s="1"/>
      <c r="CP825" s="1"/>
      <c r="CQ825" s="1"/>
      <c r="CS825" s="1"/>
      <c r="CT825" s="1"/>
      <c r="CU825" s="1"/>
      <c r="CV825" s="1"/>
      <c r="CW825" s="1"/>
      <c r="CX825" s="1"/>
      <c r="CY825" s="1"/>
      <c r="CZ825" s="1"/>
      <c r="DA825" s="1"/>
      <c r="DB825" s="1"/>
      <c r="DC825" s="1"/>
      <c r="DD825" s="1"/>
      <c r="DE825" s="1"/>
      <c r="DF825" s="1"/>
      <c r="DG825" s="1"/>
      <c r="DH825" s="1"/>
      <c r="DI825" s="1"/>
      <c r="DJ825" s="1"/>
      <c r="DK825" s="1"/>
      <c r="DM825" s="1"/>
      <c r="DQ825" s="1"/>
      <c r="DR825" s="1"/>
      <c r="DY825" s="1"/>
      <c r="DZ825" s="1"/>
      <c r="ED825" s="1"/>
      <c r="EK825" s="1"/>
      <c r="EL825" s="1"/>
      <c r="EM825" s="1"/>
      <c r="EN825" s="1"/>
      <c r="EQ825" s="1"/>
      <c r="ER825" s="1"/>
      <c r="ES825" s="1"/>
      <c r="EV825" s="1"/>
      <c r="EW825" s="1"/>
      <c r="EZ825" s="1"/>
      <c r="FA825" s="1"/>
      <c r="FD825" s="1"/>
      <c r="FE825" s="1"/>
      <c r="FF825" s="1"/>
      <c r="FG825" s="1"/>
      <c r="FH825" s="1"/>
      <c r="FI825" s="1"/>
      <c r="FJ825" s="1"/>
      <c r="FM825" s="1"/>
      <c r="FN825" s="1"/>
      <c r="FO825" s="1"/>
      <c r="FP825" s="1"/>
      <c r="FQ825" s="1"/>
      <c r="FR825" s="1"/>
      <c r="FS825" s="1"/>
      <c r="FV825" s="1"/>
      <c r="FW825" s="1"/>
      <c r="FX825" s="1"/>
      <c r="FY825" s="1"/>
      <c r="FZ825" s="1"/>
      <c r="GA825" s="1"/>
      <c r="GD825" s="1"/>
      <c r="GE825" s="1"/>
      <c r="GF825" s="1"/>
      <c r="GG825" s="1"/>
      <c r="GH825" s="1"/>
      <c r="GI825" s="1"/>
      <c r="GJ825" s="1"/>
      <c r="GK825" s="1"/>
      <c r="GL825" s="1"/>
      <c r="GM825" s="1"/>
      <c r="GN825" s="1"/>
      <c r="GO825" s="1"/>
      <c r="GP825" s="1"/>
      <c r="GR825" s="1"/>
      <c r="GV825" s="1"/>
      <c r="GY825" s="1"/>
      <c r="HF825" s="1"/>
      <c r="HH825" s="1"/>
      <c r="HN825" s="1"/>
      <c r="HQ825" s="1"/>
      <c r="HT825" s="1"/>
      <c r="HY825" s="1"/>
      <c r="ID825" s="1"/>
      <c r="IE825" s="1"/>
      <c r="IR825" s="1"/>
      <c r="IS825" s="1"/>
      <c r="IW825" s="1"/>
      <c r="IY825" s="1"/>
      <c r="IZ825" s="1"/>
      <c r="JA825" s="1"/>
      <c r="JC825" s="1"/>
      <c r="JF825" s="1"/>
      <c r="JG825" s="1"/>
      <c r="JH825" s="1"/>
      <c r="JJ825" s="1"/>
      <c r="JN825" s="1"/>
      <c r="JP825" s="1"/>
      <c r="JQ825" s="1"/>
      <c r="JT825" s="1"/>
      <c r="KW825" s="1"/>
      <c r="KY825" s="1"/>
      <c r="KZ825" s="1"/>
      <c r="LA825" s="1"/>
      <c r="LB825" s="1"/>
      <c r="LC825" s="1"/>
      <c r="LD825" s="1"/>
      <c r="LO825" s="1"/>
      <c r="LP825" s="1"/>
      <c r="LZ825" s="1"/>
      <c r="MA825" s="1"/>
    </row>
    <row r="826" spans="4:339" ht="13" x14ac:dyDescent="0.15">
      <c r="D826" s="12"/>
      <c r="E826" s="12"/>
      <c r="I826" s="12"/>
      <c r="J826" s="13"/>
      <c r="BF826" s="1"/>
      <c r="BG826" s="1"/>
      <c r="BH826" s="1"/>
      <c r="BI826" s="1"/>
      <c r="BJ826" s="1"/>
      <c r="BK826" s="1"/>
      <c r="BL826" s="1"/>
      <c r="BM826" s="1"/>
      <c r="BN826" s="1"/>
      <c r="BO826" s="1"/>
      <c r="BP826" s="1"/>
      <c r="BQ826" s="1"/>
      <c r="BR826" s="1"/>
      <c r="BX826" s="1"/>
      <c r="CD826" s="1"/>
      <c r="CE826" s="1"/>
      <c r="CF826" s="1"/>
      <c r="CG826" s="1"/>
      <c r="CH826" s="1"/>
      <c r="CI826" s="1"/>
      <c r="CM826" s="2"/>
      <c r="CN826" s="1"/>
      <c r="CO826" s="1"/>
      <c r="CP826" s="1"/>
      <c r="CQ826" s="1"/>
      <c r="CR826" s="1"/>
      <c r="CS826" s="1"/>
      <c r="CT826" s="1"/>
      <c r="CU826" s="1"/>
      <c r="CV826" s="1"/>
      <c r="CW826" s="1"/>
      <c r="CX826" s="1"/>
      <c r="CY826" s="1"/>
      <c r="CZ826" s="1"/>
      <c r="DA826" s="1"/>
      <c r="DB826" s="1"/>
      <c r="DC826" s="1"/>
      <c r="DD826" s="1"/>
      <c r="DE826" s="1"/>
      <c r="DF826" s="1"/>
      <c r="DG826" s="1"/>
      <c r="DH826" s="1"/>
      <c r="DI826" s="1"/>
      <c r="DJ826" s="1"/>
      <c r="DK826" s="1"/>
      <c r="DM826" s="1"/>
      <c r="DQ826" s="1"/>
      <c r="DR826" s="1"/>
      <c r="DY826" s="1"/>
      <c r="DZ826" s="1"/>
      <c r="ED826" s="1"/>
      <c r="EE826" s="1"/>
      <c r="EF826" s="1"/>
      <c r="EG826" s="1"/>
      <c r="EH826" s="1"/>
      <c r="EK826" s="1"/>
      <c r="EL826" s="1"/>
      <c r="EM826" s="1"/>
      <c r="EN826" s="1"/>
      <c r="EQ826" s="1"/>
      <c r="ER826" s="1"/>
      <c r="ES826" s="1"/>
      <c r="EV826" s="1"/>
      <c r="EW826" s="1"/>
      <c r="EY826" s="1"/>
      <c r="EZ826" s="1"/>
      <c r="FA826" s="1"/>
      <c r="FD826" s="1"/>
      <c r="FN826" s="1"/>
      <c r="FO826" s="1"/>
      <c r="FS826" s="1"/>
      <c r="GA826" s="1"/>
      <c r="GD826" s="1"/>
      <c r="GE826" s="1"/>
      <c r="GF826" s="1"/>
      <c r="GG826" s="1"/>
      <c r="GH826" s="1"/>
      <c r="GI826" s="1"/>
      <c r="GJ826" s="1"/>
      <c r="GN826" s="1"/>
      <c r="GO826" s="1"/>
      <c r="GP826" s="1"/>
      <c r="GR826" s="1"/>
      <c r="GV826" s="1"/>
      <c r="HE826" s="1"/>
      <c r="HF826" s="1"/>
      <c r="HH826" s="1"/>
      <c r="HN826" s="1"/>
      <c r="HT826" s="1"/>
      <c r="HY826" s="1"/>
      <c r="IE826" s="1"/>
      <c r="IF826" s="1"/>
      <c r="IG826" s="1"/>
      <c r="IJ826" s="1"/>
      <c r="IR826" s="1"/>
      <c r="IS826" s="1"/>
      <c r="IW826" s="1"/>
      <c r="IX826" s="1"/>
      <c r="IY826" s="1"/>
      <c r="IZ826" s="1"/>
      <c r="JB826" s="1"/>
      <c r="JC826" s="1"/>
      <c r="JF826" s="1"/>
      <c r="JG826" s="1"/>
      <c r="JH826" s="1"/>
      <c r="JJ826" s="1"/>
      <c r="JK826" s="1"/>
      <c r="JL826" s="3"/>
      <c r="JM826" s="1"/>
      <c r="JN826" s="1"/>
      <c r="JP826" s="1"/>
      <c r="JQ826" s="1"/>
      <c r="JR826" s="1"/>
      <c r="JT826" s="1"/>
      <c r="KW826" s="1"/>
      <c r="KY826" s="1"/>
      <c r="KZ826" s="1"/>
      <c r="LA826" s="1"/>
      <c r="LB826" s="1"/>
      <c r="LC826" s="1"/>
      <c r="LD826" s="1"/>
      <c r="LO826" s="1"/>
      <c r="LP826" s="1"/>
      <c r="LZ826" s="1"/>
      <c r="MA826" s="1"/>
    </row>
    <row r="827" spans="4:339" ht="13" x14ac:dyDescent="0.15">
      <c r="D827" s="12"/>
      <c r="E827" s="12"/>
      <c r="I827" s="12"/>
      <c r="J827" s="13"/>
      <c r="BF827" s="1"/>
      <c r="BG827" s="1"/>
      <c r="BH827" s="1"/>
      <c r="BI827" s="1"/>
      <c r="BJ827" s="1"/>
      <c r="BK827" s="1"/>
      <c r="BL827" s="1"/>
      <c r="BM827" s="1"/>
      <c r="BN827" s="1"/>
      <c r="BO827" s="1"/>
      <c r="BP827" s="1"/>
      <c r="BQ827" s="1"/>
      <c r="BR827" s="1"/>
      <c r="BX827" s="1"/>
      <c r="CD827" s="1"/>
      <c r="CE827" s="1"/>
      <c r="CF827" s="1"/>
      <c r="CG827" s="1"/>
      <c r="CH827" s="1"/>
      <c r="CI827" s="1"/>
      <c r="CM827" s="2"/>
      <c r="CN827" s="1"/>
      <c r="CO827" s="1"/>
      <c r="CP827" s="1"/>
      <c r="CQ827" s="1"/>
      <c r="CR827" s="1"/>
      <c r="CS827" s="1"/>
      <c r="CT827" s="1"/>
      <c r="CU827" s="1"/>
      <c r="CV827" s="1"/>
      <c r="CW827" s="1"/>
      <c r="CX827" s="1"/>
      <c r="CY827" s="1"/>
      <c r="CZ827" s="1"/>
      <c r="DA827" s="1"/>
      <c r="DB827" s="1"/>
      <c r="DC827" s="1"/>
      <c r="DD827" s="1"/>
      <c r="DE827" s="1"/>
      <c r="DF827" s="1"/>
      <c r="DG827" s="1"/>
      <c r="DH827" s="1"/>
      <c r="DI827" s="1"/>
      <c r="DJ827" s="1"/>
      <c r="DK827" s="1"/>
      <c r="DM827" s="1"/>
      <c r="DQ827" s="1"/>
      <c r="DR827" s="1"/>
      <c r="DY827" s="1"/>
      <c r="DZ827" s="1"/>
      <c r="ED827" s="1"/>
      <c r="EE827" s="1"/>
      <c r="EF827" s="1"/>
      <c r="EG827" s="1"/>
      <c r="EH827" s="1"/>
      <c r="EK827" s="1"/>
      <c r="EL827" s="1"/>
      <c r="EM827" s="1"/>
      <c r="EN827" s="1"/>
      <c r="EQ827" s="1"/>
      <c r="ER827" s="1"/>
      <c r="ES827" s="1"/>
      <c r="EV827" s="1"/>
      <c r="EW827" s="1"/>
      <c r="EY827" s="1"/>
      <c r="EZ827" s="1"/>
      <c r="FA827" s="1"/>
      <c r="FD827" s="1"/>
      <c r="FN827" s="1"/>
      <c r="FO827" s="1"/>
      <c r="FS827" s="1"/>
      <c r="GA827" s="1"/>
      <c r="GD827" s="1"/>
      <c r="GE827" s="1"/>
      <c r="GF827" s="1"/>
      <c r="GG827" s="1"/>
      <c r="GH827" s="1"/>
      <c r="GI827" s="1"/>
      <c r="GJ827" s="1"/>
      <c r="GN827" s="1"/>
      <c r="GO827" s="1"/>
      <c r="GP827" s="1"/>
      <c r="GR827" s="1"/>
      <c r="GV827" s="1"/>
      <c r="HE827" s="1"/>
      <c r="HF827" s="1"/>
      <c r="HH827" s="1"/>
      <c r="HN827" s="1"/>
      <c r="HT827" s="1"/>
      <c r="HY827" s="1"/>
      <c r="IE827" s="1"/>
      <c r="IF827" s="1"/>
      <c r="IG827" s="1"/>
      <c r="IJ827" s="1"/>
      <c r="IR827" s="1"/>
      <c r="IS827" s="1"/>
      <c r="IW827" s="1"/>
      <c r="IX827" s="1"/>
      <c r="IY827" s="1"/>
      <c r="IZ827" s="1"/>
      <c r="JB827" s="1"/>
      <c r="JC827" s="1"/>
      <c r="JF827" s="1"/>
      <c r="JG827" s="1"/>
      <c r="JH827" s="1"/>
      <c r="JJ827" s="1"/>
      <c r="JK827" s="1"/>
      <c r="JL827" s="3"/>
      <c r="JM827" s="1"/>
      <c r="JN827" s="1"/>
      <c r="JP827" s="1"/>
      <c r="JQ827" s="1"/>
      <c r="JR827" s="1"/>
      <c r="JT827" s="1"/>
      <c r="KW827" s="1"/>
      <c r="KY827" s="1"/>
      <c r="KZ827" s="1"/>
      <c r="LA827" s="1"/>
      <c r="LB827" s="1"/>
      <c r="LC827" s="1"/>
      <c r="LD827" s="1"/>
      <c r="LO827" s="1"/>
      <c r="LP827" s="1"/>
      <c r="LZ827" s="1"/>
      <c r="MA827" s="1"/>
    </row>
    <row r="828" spans="4:339" ht="13" x14ac:dyDescent="0.15">
      <c r="D828" s="12"/>
      <c r="E828" s="12"/>
      <c r="I828" s="12"/>
      <c r="J828" s="13"/>
      <c r="BF828" s="1"/>
      <c r="BG828" s="1"/>
      <c r="BH828" s="1"/>
      <c r="BI828" s="1"/>
      <c r="BK828" s="1"/>
      <c r="BL828" s="1"/>
      <c r="BM828" s="1"/>
      <c r="BN828" s="1"/>
      <c r="BO828" s="1"/>
      <c r="BP828" s="1"/>
      <c r="BQ828" s="1"/>
      <c r="BR828" s="1"/>
      <c r="CD828" s="1"/>
      <c r="CE828" s="1"/>
      <c r="CF828" s="1"/>
      <c r="CG828" s="1"/>
      <c r="CH828" s="1"/>
      <c r="CI828" s="1"/>
      <c r="CM828" s="2"/>
      <c r="CN828" s="1"/>
      <c r="CO828" s="1"/>
      <c r="CP828" s="1"/>
      <c r="CQ828" s="1"/>
      <c r="CS828" s="1"/>
      <c r="CT828" s="1"/>
      <c r="CU828" s="1"/>
      <c r="CV828" s="1"/>
      <c r="CW828" s="1"/>
      <c r="CX828" s="1"/>
      <c r="CY828" s="1"/>
      <c r="CZ828" s="1"/>
      <c r="DA828" s="1"/>
      <c r="DB828" s="1"/>
      <c r="DC828" s="1"/>
      <c r="DD828" s="1"/>
      <c r="DE828" s="1"/>
      <c r="DF828" s="1"/>
      <c r="DG828" s="1"/>
      <c r="DH828" s="1"/>
      <c r="DI828" s="1"/>
      <c r="DJ828" s="1"/>
      <c r="DK828" s="1"/>
      <c r="DM828" s="1"/>
      <c r="DR828" s="1"/>
      <c r="ED828" s="1"/>
      <c r="EF828" s="1"/>
      <c r="EK828" s="1"/>
      <c r="EL828" s="1"/>
      <c r="EM828" s="1"/>
      <c r="EN828" s="1"/>
      <c r="EQ828" s="1"/>
      <c r="ER828" s="1"/>
      <c r="ES828" s="1"/>
      <c r="EV828" s="1"/>
      <c r="EW828" s="1"/>
      <c r="EZ828" s="1"/>
      <c r="FA828" s="1"/>
      <c r="FD828" s="1"/>
      <c r="FG828" s="1"/>
      <c r="FH828" s="1"/>
      <c r="FJ828" s="1"/>
      <c r="FM828" s="1"/>
      <c r="FP828" s="1"/>
      <c r="FS828" s="1"/>
      <c r="FV828" s="1"/>
      <c r="FX828" s="1"/>
      <c r="FZ828" s="1"/>
      <c r="GA828" s="1"/>
      <c r="GD828" s="1"/>
      <c r="GE828" s="1"/>
      <c r="GF828" s="1"/>
      <c r="GG828" s="1"/>
      <c r="GH828" s="1"/>
      <c r="GI828" s="1"/>
      <c r="GJ828" s="1"/>
      <c r="GM828" s="1"/>
      <c r="GN828" s="1"/>
      <c r="GP828" s="1"/>
      <c r="GR828" s="1"/>
      <c r="HF828" s="1"/>
      <c r="HH828" s="1"/>
      <c r="HN828" s="1"/>
      <c r="HT828" s="1"/>
      <c r="HY828" s="1"/>
      <c r="IC828" s="1"/>
      <c r="ID828" s="1"/>
      <c r="IE828" s="1"/>
      <c r="IR828" s="1"/>
      <c r="IS828" s="1"/>
      <c r="IZ828" s="1"/>
      <c r="JC828" s="1"/>
      <c r="JF828" s="1"/>
      <c r="JG828" s="1"/>
      <c r="JH828" s="1"/>
      <c r="JJ828" s="1"/>
      <c r="JN828" s="1"/>
      <c r="JP828" s="1"/>
      <c r="JQ828" s="1"/>
      <c r="JT828" s="1"/>
      <c r="KY828" s="1"/>
      <c r="KZ828" s="1"/>
      <c r="LA828" s="1"/>
      <c r="LB828" s="1"/>
      <c r="LC828" s="1"/>
      <c r="LD828" s="1"/>
      <c r="LF828" s="1"/>
      <c r="LN828" s="1"/>
      <c r="LO828" s="1"/>
      <c r="LP828" s="1"/>
      <c r="LZ828" s="1"/>
      <c r="MA828" s="1"/>
    </row>
    <row r="829" spans="4:339" ht="13" x14ac:dyDescent="0.15">
      <c r="D829" s="12"/>
      <c r="E829" s="12"/>
      <c r="I829" s="12"/>
      <c r="J829" s="13"/>
      <c r="BF829" s="1"/>
      <c r="BG829" s="1"/>
      <c r="BH829" s="1"/>
      <c r="BI829" s="1"/>
      <c r="BK829" s="1"/>
      <c r="BL829" s="1"/>
      <c r="BM829" s="1"/>
      <c r="BN829" s="1"/>
      <c r="BO829" s="1"/>
      <c r="BP829" s="1"/>
      <c r="BQ829" s="1"/>
      <c r="BR829" s="1"/>
      <c r="CD829" s="1"/>
      <c r="CE829" s="1"/>
      <c r="CF829" s="1"/>
      <c r="CG829" s="1"/>
      <c r="CH829" s="1"/>
      <c r="CI829" s="1"/>
      <c r="CM829" s="2"/>
      <c r="CN829" s="1"/>
      <c r="CO829" s="1"/>
      <c r="CP829" s="1"/>
      <c r="CQ829" s="1"/>
      <c r="CS829" s="1"/>
      <c r="CT829" s="1"/>
      <c r="CU829" s="1"/>
      <c r="CV829" s="1"/>
      <c r="CW829" s="1"/>
      <c r="CX829" s="1"/>
      <c r="CY829" s="1"/>
      <c r="CZ829" s="1"/>
      <c r="DA829" s="1"/>
      <c r="DB829" s="1"/>
      <c r="DC829" s="1"/>
      <c r="DD829" s="1"/>
      <c r="DE829" s="1"/>
      <c r="DF829" s="1"/>
      <c r="DG829" s="1"/>
      <c r="DH829" s="1"/>
      <c r="DI829" s="1"/>
      <c r="DJ829" s="1"/>
      <c r="DK829" s="1"/>
      <c r="DM829" s="1"/>
      <c r="DR829" s="1"/>
      <c r="ED829" s="1"/>
      <c r="EF829" s="1"/>
      <c r="EK829" s="1"/>
      <c r="EL829" s="1"/>
      <c r="EM829" s="1"/>
      <c r="EN829" s="1"/>
      <c r="EQ829" s="1"/>
      <c r="ER829" s="1"/>
      <c r="ES829" s="1"/>
      <c r="EV829" s="1"/>
      <c r="EW829" s="1"/>
      <c r="EZ829" s="1"/>
      <c r="FA829" s="1"/>
      <c r="FD829" s="1"/>
      <c r="FG829" s="1"/>
      <c r="FH829" s="1"/>
      <c r="FJ829" s="1"/>
      <c r="FM829" s="1"/>
      <c r="FP829" s="1"/>
      <c r="FS829" s="1"/>
      <c r="FV829" s="1"/>
      <c r="FX829" s="1"/>
      <c r="FZ829" s="1"/>
      <c r="GA829" s="1"/>
      <c r="GD829" s="1"/>
      <c r="GE829" s="1"/>
      <c r="GF829" s="1"/>
      <c r="GG829" s="1"/>
      <c r="GH829" s="1"/>
      <c r="GI829" s="1"/>
      <c r="GJ829" s="1"/>
      <c r="GM829" s="1"/>
      <c r="GN829" s="1"/>
      <c r="GP829" s="1"/>
      <c r="GR829" s="1"/>
      <c r="HF829" s="1"/>
      <c r="HH829" s="1"/>
      <c r="HN829" s="1"/>
      <c r="HT829" s="1"/>
      <c r="HY829" s="1"/>
      <c r="IC829" s="1"/>
      <c r="ID829" s="1"/>
      <c r="IE829" s="1"/>
      <c r="IR829" s="1"/>
      <c r="IS829" s="1"/>
      <c r="IZ829" s="1"/>
      <c r="JC829" s="1"/>
      <c r="JF829" s="1"/>
      <c r="JG829" s="1"/>
      <c r="JH829" s="1"/>
      <c r="JJ829" s="1"/>
      <c r="JN829" s="1"/>
      <c r="JP829" s="1"/>
      <c r="JQ829" s="1"/>
      <c r="JT829" s="1"/>
      <c r="KY829" s="1"/>
      <c r="KZ829" s="1"/>
      <c r="LA829" s="1"/>
      <c r="LB829" s="1"/>
      <c r="LC829" s="1"/>
      <c r="LD829" s="1"/>
      <c r="LF829" s="1"/>
      <c r="LN829" s="1"/>
      <c r="LO829" s="1"/>
      <c r="LP829" s="1"/>
      <c r="LZ829" s="1"/>
      <c r="MA829" s="1"/>
    </row>
    <row r="830" spans="4:339" ht="13" x14ac:dyDescent="0.15">
      <c r="D830" s="12"/>
      <c r="E830" s="12"/>
      <c r="I830" s="12"/>
      <c r="J830" s="13"/>
      <c r="BF830" s="1"/>
      <c r="BG830" s="1"/>
      <c r="BH830" s="1"/>
      <c r="BI830" s="1"/>
      <c r="BK830" s="1"/>
      <c r="BL830" s="1"/>
      <c r="BM830" s="1"/>
      <c r="BN830" s="1"/>
      <c r="BO830" s="1"/>
      <c r="BP830" s="1"/>
      <c r="BQ830" s="1"/>
      <c r="BR830" s="1"/>
      <c r="CD830" s="1"/>
      <c r="CE830" s="1"/>
      <c r="CF830" s="1"/>
      <c r="CG830" s="1"/>
      <c r="CH830" s="1"/>
      <c r="CI830" s="1"/>
      <c r="CM830" s="2"/>
      <c r="CN830" s="1"/>
      <c r="CO830" s="1"/>
      <c r="CP830" s="1"/>
      <c r="CQ830" s="1"/>
      <c r="CS830" s="1"/>
      <c r="CT830" s="1"/>
      <c r="CU830" s="1"/>
      <c r="CV830" s="1"/>
      <c r="CW830" s="1"/>
      <c r="CX830" s="1"/>
      <c r="CY830" s="1"/>
      <c r="CZ830" s="1"/>
      <c r="DA830" s="1"/>
      <c r="DB830" s="1"/>
      <c r="DC830" s="1"/>
      <c r="DD830" s="1"/>
      <c r="DE830" s="1"/>
      <c r="DF830" s="1"/>
      <c r="DG830" s="1"/>
      <c r="DH830" s="1"/>
      <c r="DI830" s="1"/>
      <c r="DJ830" s="1"/>
      <c r="DK830" s="1"/>
      <c r="DM830" s="1"/>
      <c r="DR830" s="1"/>
      <c r="ED830" s="1"/>
      <c r="EF830" s="1"/>
      <c r="EK830" s="1"/>
      <c r="EL830" s="1"/>
      <c r="EM830" s="1"/>
      <c r="EN830" s="1"/>
      <c r="EQ830" s="1"/>
      <c r="ER830" s="1"/>
      <c r="ES830" s="1"/>
      <c r="EV830" s="1"/>
      <c r="EW830" s="1"/>
      <c r="EZ830" s="1"/>
      <c r="FA830" s="1"/>
      <c r="FD830" s="1"/>
      <c r="FG830" s="1"/>
      <c r="FH830" s="1"/>
      <c r="FJ830" s="1"/>
      <c r="FM830" s="1"/>
      <c r="FP830" s="1"/>
      <c r="FS830" s="1"/>
      <c r="FV830" s="1"/>
      <c r="FX830" s="1"/>
      <c r="FZ830" s="1"/>
      <c r="GA830" s="1"/>
      <c r="GD830" s="1"/>
      <c r="GE830" s="1"/>
      <c r="GF830" s="1"/>
      <c r="GG830" s="1"/>
      <c r="GH830" s="1"/>
      <c r="GI830" s="1"/>
      <c r="GJ830" s="1"/>
      <c r="GM830" s="1"/>
      <c r="GN830" s="1"/>
      <c r="GP830" s="1"/>
      <c r="GR830" s="1"/>
      <c r="HF830" s="1"/>
      <c r="HH830" s="1"/>
      <c r="HN830" s="1"/>
      <c r="HT830" s="1"/>
      <c r="HY830" s="1"/>
      <c r="IC830" s="1"/>
      <c r="ID830" s="1"/>
      <c r="IE830" s="1"/>
      <c r="IR830" s="1"/>
      <c r="IS830" s="1"/>
      <c r="IZ830" s="1"/>
      <c r="JC830" s="1"/>
      <c r="JF830" s="1"/>
      <c r="JG830" s="1"/>
      <c r="JH830" s="1"/>
      <c r="JJ830" s="1"/>
      <c r="JN830" s="1"/>
      <c r="JP830" s="1"/>
      <c r="JQ830" s="1"/>
      <c r="JT830" s="1"/>
      <c r="KY830" s="1"/>
      <c r="KZ830" s="1"/>
      <c r="LA830" s="1"/>
      <c r="LB830" s="1"/>
      <c r="LC830" s="1"/>
      <c r="LD830" s="1"/>
      <c r="LF830" s="1"/>
      <c r="LN830" s="1"/>
      <c r="LO830" s="1"/>
      <c r="LP830" s="1"/>
      <c r="LZ830" s="1"/>
      <c r="MA830" s="1"/>
    </row>
    <row r="831" spans="4:339" ht="13" x14ac:dyDescent="0.15">
      <c r="D831" s="12"/>
      <c r="E831" s="12"/>
      <c r="I831" s="12"/>
      <c r="J831" s="13"/>
      <c r="BF831" s="1"/>
      <c r="BG831" s="1"/>
      <c r="BH831" s="1"/>
      <c r="BI831" s="1"/>
      <c r="BK831" s="1"/>
      <c r="BL831" s="1"/>
      <c r="BM831" s="1"/>
      <c r="BN831" s="1"/>
      <c r="BO831" s="1"/>
      <c r="BP831" s="1"/>
      <c r="BQ831" s="1"/>
      <c r="BR831" s="1"/>
      <c r="CD831" s="1"/>
      <c r="CE831" s="1"/>
      <c r="CF831" s="1"/>
      <c r="CG831" s="1"/>
      <c r="CH831" s="1"/>
      <c r="CI831" s="1"/>
      <c r="CM831" s="2"/>
      <c r="CN831" s="1"/>
      <c r="CO831" s="1"/>
      <c r="CP831" s="1"/>
      <c r="CQ831" s="1"/>
      <c r="CS831" s="1"/>
      <c r="CT831" s="1"/>
      <c r="CU831" s="1"/>
      <c r="CV831" s="1"/>
      <c r="CW831" s="1"/>
      <c r="CX831" s="1"/>
      <c r="CY831" s="1"/>
      <c r="CZ831" s="1"/>
      <c r="DA831" s="1"/>
      <c r="DB831" s="1"/>
      <c r="DC831" s="1"/>
      <c r="DD831" s="1"/>
      <c r="DE831" s="1"/>
      <c r="DF831" s="1"/>
      <c r="DG831" s="1"/>
      <c r="DH831" s="1"/>
      <c r="DI831" s="1"/>
      <c r="DJ831" s="1"/>
      <c r="DK831" s="1"/>
      <c r="DM831" s="1"/>
      <c r="DR831" s="1"/>
      <c r="ED831" s="1"/>
      <c r="EF831" s="1"/>
      <c r="EK831" s="1"/>
      <c r="EL831" s="1"/>
      <c r="EM831" s="1"/>
      <c r="EN831" s="1"/>
      <c r="EQ831" s="1"/>
      <c r="ER831" s="1"/>
      <c r="ES831" s="1"/>
      <c r="EV831" s="1"/>
      <c r="EW831" s="1"/>
      <c r="EZ831" s="1"/>
      <c r="FA831" s="1"/>
      <c r="FD831" s="1"/>
      <c r="FG831" s="1"/>
      <c r="FH831" s="1"/>
      <c r="FJ831" s="1"/>
      <c r="FM831" s="1"/>
      <c r="FP831" s="1"/>
      <c r="FS831" s="1"/>
      <c r="FV831" s="1"/>
      <c r="FX831" s="1"/>
      <c r="FZ831" s="1"/>
      <c r="GA831" s="1"/>
      <c r="GD831" s="1"/>
      <c r="GE831" s="1"/>
      <c r="GF831" s="1"/>
      <c r="GG831" s="1"/>
      <c r="GH831" s="1"/>
      <c r="GI831" s="1"/>
      <c r="GJ831" s="1"/>
      <c r="GM831" s="1"/>
      <c r="GN831" s="1"/>
      <c r="GP831" s="1"/>
      <c r="GR831" s="1"/>
      <c r="HF831" s="1"/>
      <c r="HH831" s="1"/>
      <c r="HN831" s="1"/>
      <c r="HT831" s="1"/>
      <c r="HY831" s="1"/>
      <c r="IC831" s="1"/>
      <c r="ID831" s="1"/>
      <c r="IE831" s="1"/>
      <c r="IR831" s="1"/>
      <c r="IS831" s="1"/>
      <c r="IZ831" s="1"/>
      <c r="JC831" s="1"/>
      <c r="JF831" s="1"/>
      <c r="JG831" s="1"/>
      <c r="JH831" s="1"/>
      <c r="JJ831" s="1"/>
      <c r="JN831" s="1"/>
      <c r="JP831" s="1"/>
      <c r="JQ831" s="1"/>
      <c r="JT831" s="1"/>
      <c r="KY831" s="1"/>
      <c r="KZ831" s="1"/>
      <c r="LA831" s="1"/>
      <c r="LB831" s="1"/>
      <c r="LC831" s="1"/>
      <c r="LD831" s="1"/>
      <c r="LF831" s="1"/>
      <c r="LN831" s="1"/>
      <c r="LO831" s="1"/>
      <c r="LP831" s="1"/>
      <c r="LZ831" s="1"/>
      <c r="MA831" s="1"/>
    </row>
    <row r="832" spans="4:339" ht="13" x14ac:dyDescent="0.15">
      <c r="D832" s="12"/>
      <c r="E832" s="12"/>
      <c r="I832" s="12"/>
      <c r="J832" s="13"/>
      <c r="BF832" s="1"/>
      <c r="BG832" s="1"/>
      <c r="BH832" s="1"/>
      <c r="BI832" s="1"/>
      <c r="BK832" s="1"/>
      <c r="BL832" s="1"/>
      <c r="BM832" s="1"/>
      <c r="BN832" s="1"/>
      <c r="BO832" s="1"/>
      <c r="BP832" s="1"/>
      <c r="BQ832" s="1"/>
      <c r="BR832" s="1"/>
      <c r="CD832" s="1"/>
      <c r="CE832" s="1"/>
      <c r="CF832" s="1"/>
      <c r="CG832" s="1"/>
      <c r="CH832" s="1"/>
      <c r="CI832" s="1"/>
      <c r="CM832" s="2"/>
      <c r="CN832" s="1"/>
      <c r="CO832" s="1"/>
      <c r="CP832" s="1"/>
      <c r="CQ832" s="1"/>
      <c r="CS832" s="1"/>
      <c r="CT832" s="1"/>
      <c r="CU832" s="1"/>
      <c r="CV832" s="1"/>
      <c r="CW832" s="1"/>
      <c r="CX832" s="1"/>
      <c r="CY832" s="1"/>
      <c r="CZ832" s="1"/>
      <c r="DA832" s="1"/>
      <c r="DB832" s="1"/>
      <c r="DC832" s="1"/>
      <c r="DD832" s="1"/>
      <c r="DE832" s="1"/>
      <c r="DF832" s="1"/>
      <c r="DG832" s="1"/>
      <c r="DH832" s="1"/>
      <c r="DI832" s="1"/>
      <c r="DJ832" s="1"/>
      <c r="DK832" s="1"/>
      <c r="DM832" s="1"/>
      <c r="DR832" s="1"/>
      <c r="ED832" s="1"/>
      <c r="EF832" s="1"/>
      <c r="EK832" s="1"/>
      <c r="EL832" s="1"/>
      <c r="EM832" s="1"/>
      <c r="EN832" s="1"/>
      <c r="EQ832" s="1"/>
      <c r="ER832" s="1"/>
      <c r="ES832" s="1"/>
      <c r="EV832" s="1"/>
      <c r="EW832" s="1"/>
      <c r="EZ832" s="1"/>
      <c r="FA832" s="1"/>
      <c r="FD832" s="1"/>
      <c r="FG832" s="1"/>
      <c r="FH832" s="1"/>
      <c r="FJ832" s="1"/>
      <c r="FM832" s="1"/>
      <c r="FP832" s="1"/>
      <c r="FS832" s="1"/>
      <c r="FV832" s="1"/>
      <c r="FX832" s="1"/>
      <c r="FZ832" s="1"/>
      <c r="GA832" s="1"/>
      <c r="GD832" s="1"/>
      <c r="GE832" s="1"/>
      <c r="GF832" s="1"/>
      <c r="GG832" s="1"/>
      <c r="GH832" s="1"/>
      <c r="GI832" s="1"/>
      <c r="GJ832" s="1"/>
      <c r="GM832" s="1"/>
      <c r="GN832" s="1"/>
      <c r="GP832" s="1"/>
      <c r="GR832" s="1"/>
      <c r="HF832" s="1"/>
      <c r="HH832" s="1"/>
      <c r="HN832" s="1"/>
      <c r="HT832" s="1"/>
      <c r="HY832" s="1"/>
      <c r="IC832" s="1"/>
      <c r="ID832" s="1"/>
      <c r="IE832" s="1"/>
      <c r="IR832" s="1"/>
      <c r="IS832" s="1"/>
      <c r="IZ832" s="1"/>
      <c r="JC832" s="1"/>
      <c r="JF832" s="1"/>
      <c r="JG832" s="1"/>
      <c r="JH832" s="1"/>
      <c r="JJ832" s="1"/>
      <c r="JN832" s="1"/>
      <c r="JP832" s="1"/>
      <c r="JQ832" s="1"/>
      <c r="JT832" s="1"/>
      <c r="KY832" s="1"/>
      <c r="KZ832" s="1"/>
      <c r="LA832" s="1"/>
      <c r="LB832" s="1"/>
      <c r="LC832" s="1"/>
      <c r="LD832" s="1"/>
      <c r="LF832" s="1"/>
      <c r="LN832" s="1"/>
      <c r="LO832" s="1"/>
      <c r="LP832" s="1"/>
      <c r="LZ832" s="1"/>
      <c r="MA832" s="1"/>
    </row>
    <row r="833" spans="4:339" ht="13" x14ac:dyDescent="0.15">
      <c r="D833" s="12"/>
      <c r="E833" s="12"/>
      <c r="I833" s="12"/>
      <c r="J833" s="13"/>
      <c r="BF833" s="1"/>
      <c r="BG833" s="1"/>
      <c r="BH833" s="1"/>
      <c r="BI833" s="1"/>
      <c r="BK833" s="1"/>
      <c r="BL833" s="1"/>
      <c r="BM833" s="1"/>
      <c r="BN833" s="1"/>
      <c r="BO833" s="1"/>
      <c r="BP833" s="1"/>
      <c r="BQ833" s="1"/>
      <c r="BR833" s="1"/>
      <c r="CD833" s="1"/>
      <c r="CE833" s="1"/>
      <c r="CF833" s="1"/>
      <c r="CG833" s="1"/>
      <c r="CH833" s="1"/>
      <c r="CI833" s="1"/>
      <c r="CM833" s="2"/>
      <c r="CN833" s="1"/>
      <c r="CO833" s="1"/>
      <c r="CP833" s="1"/>
      <c r="CQ833" s="1"/>
      <c r="CS833" s="1"/>
      <c r="CT833" s="1"/>
      <c r="CU833" s="1"/>
      <c r="CV833" s="1"/>
      <c r="CW833" s="1"/>
      <c r="CX833" s="1"/>
      <c r="CY833" s="1"/>
      <c r="CZ833" s="1"/>
      <c r="DA833" s="1"/>
      <c r="DB833" s="1"/>
      <c r="DC833" s="1"/>
      <c r="DD833" s="1"/>
      <c r="DE833" s="1"/>
      <c r="DF833" s="1"/>
      <c r="DG833" s="1"/>
      <c r="DH833" s="1"/>
      <c r="DI833" s="1"/>
      <c r="DJ833" s="1"/>
      <c r="DK833" s="1"/>
      <c r="DM833" s="1"/>
      <c r="DR833" s="1"/>
      <c r="ED833" s="1"/>
      <c r="EF833" s="1"/>
      <c r="EK833" s="1"/>
      <c r="EL833" s="1"/>
      <c r="EM833" s="1"/>
      <c r="EN833" s="1"/>
      <c r="EQ833" s="1"/>
      <c r="ER833" s="1"/>
      <c r="ES833" s="1"/>
      <c r="EV833" s="1"/>
      <c r="EW833" s="1"/>
      <c r="EZ833" s="1"/>
      <c r="FA833" s="1"/>
      <c r="FD833" s="1"/>
      <c r="FG833" s="1"/>
      <c r="FH833" s="1"/>
      <c r="FJ833" s="1"/>
      <c r="FM833" s="1"/>
      <c r="FP833" s="1"/>
      <c r="FS833" s="1"/>
      <c r="FV833" s="1"/>
      <c r="FX833" s="1"/>
      <c r="FZ833" s="1"/>
      <c r="GA833" s="1"/>
      <c r="GD833" s="1"/>
      <c r="GE833" s="1"/>
      <c r="GF833" s="1"/>
      <c r="GG833" s="1"/>
      <c r="GH833" s="1"/>
      <c r="GI833" s="1"/>
      <c r="GJ833" s="1"/>
      <c r="GM833" s="1"/>
      <c r="GN833" s="1"/>
      <c r="GP833" s="1"/>
      <c r="GR833" s="1"/>
      <c r="HF833" s="1"/>
      <c r="HH833" s="1"/>
      <c r="HN833" s="1"/>
      <c r="HT833" s="1"/>
      <c r="HY833" s="1"/>
      <c r="IC833" s="1"/>
      <c r="ID833" s="1"/>
      <c r="IE833" s="1"/>
      <c r="IR833" s="1"/>
      <c r="IS833" s="1"/>
      <c r="IZ833" s="1"/>
      <c r="JC833" s="1"/>
      <c r="JF833" s="1"/>
      <c r="JG833" s="1"/>
      <c r="JH833" s="1"/>
      <c r="JJ833" s="1"/>
      <c r="JN833" s="1"/>
      <c r="JP833" s="1"/>
      <c r="JQ833" s="1"/>
      <c r="JT833" s="1"/>
      <c r="KY833" s="1"/>
      <c r="KZ833" s="1"/>
      <c r="LA833" s="1"/>
      <c r="LB833" s="1"/>
      <c r="LC833" s="1"/>
      <c r="LD833" s="1"/>
      <c r="LF833" s="1"/>
      <c r="LN833" s="1"/>
      <c r="LO833" s="1"/>
      <c r="LP833" s="1"/>
      <c r="LZ833" s="1"/>
      <c r="MA833" s="1"/>
    </row>
    <row r="834" spans="4:339" ht="13" x14ac:dyDescent="0.15">
      <c r="D834" s="12"/>
      <c r="E834" s="12"/>
      <c r="I834" s="12"/>
      <c r="J834" s="13"/>
      <c r="BF834" s="1"/>
      <c r="BG834" s="1"/>
      <c r="BH834" s="1"/>
      <c r="BI834" s="1"/>
      <c r="BK834" s="1"/>
      <c r="BL834" s="1"/>
      <c r="BM834" s="1"/>
      <c r="BN834" s="1"/>
      <c r="BO834" s="1"/>
      <c r="BP834" s="1"/>
      <c r="BQ834" s="1"/>
      <c r="BR834" s="1"/>
      <c r="CD834" s="1"/>
      <c r="CE834" s="1"/>
      <c r="CF834" s="1"/>
      <c r="CG834" s="1"/>
      <c r="CH834" s="1"/>
      <c r="CI834" s="1"/>
      <c r="CM834" s="2"/>
      <c r="CN834" s="1"/>
      <c r="CO834" s="1"/>
      <c r="CP834" s="1"/>
      <c r="CQ834" s="1"/>
      <c r="CS834" s="1"/>
      <c r="CT834" s="1"/>
      <c r="CU834" s="1"/>
      <c r="CV834" s="1"/>
      <c r="CW834" s="1"/>
      <c r="CX834" s="1"/>
      <c r="CY834" s="1"/>
      <c r="CZ834" s="1"/>
      <c r="DA834" s="1"/>
      <c r="DB834" s="1"/>
      <c r="DC834" s="1"/>
      <c r="DD834" s="1"/>
      <c r="DE834" s="1"/>
      <c r="DF834" s="1"/>
      <c r="DG834" s="1"/>
      <c r="DH834" s="1"/>
      <c r="DI834" s="1"/>
      <c r="DJ834" s="1"/>
      <c r="DK834" s="1"/>
      <c r="DM834" s="1"/>
      <c r="DR834" s="1"/>
      <c r="ED834" s="1"/>
      <c r="EF834" s="1"/>
      <c r="EK834" s="1"/>
      <c r="EL834" s="1"/>
      <c r="EM834" s="1"/>
      <c r="EN834" s="1"/>
      <c r="EQ834" s="1"/>
      <c r="ER834" s="1"/>
      <c r="ES834" s="1"/>
      <c r="EV834" s="1"/>
      <c r="EW834" s="1"/>
      <c r="EZ834" s="1"/>
      <c r="FA834" s="1"/>
      <c r="FD834" s="1"/>
      <c r="FG834" s="1"/>
      <c r="FH834" s="1"/>
      <c r="FJ834" s="1"/>
      <c r="FM834" s="1"/>
      <c r="FP834" s="1"/>
      <c r="FS834" s="1"/>
      <c r="FV834" s="1"/>
      <c r="FX834" s="1"/>
      <c r="FZ834" s="1"/>
      <c r="GA834" s="1"/>
      <c r="GD834" s="1"/>
      <c r="GE834" s="1"/>
      <c r="GF834" s="1"/>
      <c r="GG834" s="1"/>
      <c r="GH834" s="1"/>
      <c r="GI834" s="1"/>
      <c r="GJ834" s="1"/>
      <c r="GM834" s="1"/>
      <c r="GN834" s="1"/>
      <c r="GP834" s="1"/>
      <c r="GR834" s="1"/>
      <c r="HF834" s="1"/>
      <c r="HH834" s="1"/>
      <c r="HN834" s="1"/>
      <c r="HT834" s="1"/>
      <c r="HY834" s="1"/>
      <c r="IC834" s="1"/>
      <c r="ID834" s="1"/>
      <c r="IE834" s="1"/>
      <c r="IR834" s="1"/>
      <c r="IS834" s="1"/>
      <c r="IZ834" s="1"/>
      <c r="JC834" s="1"/>
      <c r="JF834" s="1"/>
      <c r="JG834" s="1"/>
      <c r="JH834" s="1"/>
      <c r="JJ834" s="1"/>
      <c r="JN834" s="1"/>
      <c r="JP834" s="1"/>
      <c r="JQ834" s="1"/>
      <c r="JT834" s="1"/>
      <c r="KY834" s="1"/>
      <c r="KZ834" s="1"/>
      <c r="LA834" s="1"/>
      <c r="LB834" s="1"/>
      <c r="LC834" s="1"/>
      <c r="LD834" s="1"/>
      <c r="LF834" s="1"/>
      <c r="LN834" s="1"/>
      <c r="LO834" s="1"/>
      <c r="LP834" s="1"/>
      <c r="LZ834" s="1"/>
      <c r="MA834" s="1"/>
    </row>
    <row r="835" spans="4:339" ht="13" x14ac:dyDescent="0.15">
      <c r="D835" s="12"/>
      <c r="E835" s="12"/>
      <c r="I835" s="12"/>
      <c r="J835" s="13"/>
      <c r="BF835" s="1"/>
      <c r="BG835" s="1"/>
      <c r="BH835" s="1"/>
      <c r="BI835" s="1"/>
      <c r="BK835" s="1"/>
      <c r="BL835" s="1"/>
      <c r="BM835" s="1"/>
      <c r="BN835" s="1"/>
      <c r="BO835" s="1"/>
      <c r="BP835" s="1"/>
      <c r="BQ835" s="1"/>
      <c r="BR835" s="1"/>
      <c r="BX835" s="1"/>
      <c r="CD835" s="1"/>
      <c r="CE835" s="1"/>
      <c r="CF835" s="1"/>
      <c r="CG835" s="1"/>
      <c r="CH835" s="1"/>
      <c r="CI835" s="1"/>
      <c r="CM835" s="4"/>
      <c r="CN835" s="1"/>
      <c r="CO835" s="1"/>
      <c r="CP835" s="1"/>
      <c r="CQ835" s="1"/>
      <c r="CR835" s="1"/>
      <c r="CS835" s="1"/>
      <c r="CT835" s="1"/>
      <c r="CU835" s="1"/>
      <c r="CV835" s="1"/>
      <c r="CW835" s="1"/>
      <c r="CX835" s="1"/>
      <c r="CY835" s="1"/>
      <c r="CZ835" s="1"/>
      <c r="DA835" s="1"/>
      <c r="DB835" s="1"/>
      <c r="DC835" s="1"/>
      <c r="DD835" s="1"/>
      <c r="DE835" s="1"/>
      <c r="DF835" s="1"/>
      <c r="DG835" s="1"/>
      <c r="DH835" s="1"/>
      <c r="DI835" s="1"/>
      <c r="DJ835" s="1"/>
      <c r="DK835" s="1"/>
      <c r="ED835" s="1"/>
      <c r="EK835" s="1"/>
      <c r="EL835" s="1"/>
      <c r="EM835" s="1"/>
      <c r="EN835" s="1"/>
      <c r="EQ835" s="1"/>
      <c r="ER835" s="1"/>
      <c r="ES835" s="1"/>
      <c r="EV835" s="1"/>
      <c r="EW835" s="1"/>
      <c r="EZ835" s="1"/>
      <c r="FA835" s="1"/>
      <c r="FD835" s="1"/>
      <c r="FG835" s="1"/>
      <c r="FH835" s="1"/>
      <c r="FI835" s="1"/>
      <c r="FJ835" s="1"/>
      <c r="FL835" s="1"/>
      <c r="FM835" s="1"/>
      <c r="FN835" s="1"/>
      <c r="FO835" s="1"/>
      <c r="FP835" s="1"/>
      <c r="FQ835" s="1"/>
      <c r="FS835" s="1"/>
      <c r="FT835" s="1"/>
      <c r="FU835" s="1"/>
      <c r="FV835" s="1"/>
      <c r="FW835" s="1"/>
      <c r="FX835" s="1"/>
      <c r="FY835" s="1"/>
      <c r="FZ835" s="1"/>
      <c r="GA835" s="1"/>
      <c r="GD835" s="1"/>
      <c r="GE835" s="1"/>
      <c r="GF835" s="1"/>
      <c r="GG835" s="1"/>
      <c r="GH835" s="1"/>
      <c r="GI835" s="1"/>
      <c r="GJ835" s="1"/>
      <c r="GK835" s="1"/>
      <c r="GL835" s="1"/>
      <c r="GM835" s="1"/>
      <c r="GN835" s="1"/>
      <c r="GO835" s="1"/>
      <c r="GP835" s="1"/>
      <c r="GS835" s="1"/>
      <c r="GY835" s="1"/>
      <c r="HF835" s="1"/>
      <c r="HH835" s="1"/>
      <c r="HN835" s="1"/>
      <c r="HR835" s="1"/>
      <c r="HS835" s="1"/>
      <c r="HT835" s="1"/>
      <c r="HY835" s="1"/>
      <c r="IA835" s="1"/>
      <c r="ID835" s="1"/>
      <c r="IE835" s="1"/>
      <c r="IK835" s="1"/>
      <c r="IR835" s="1"/>
      <c r="IS835" s="1"/>
      <c r="IZ835" s="1"/>
      <c r="JC835" s="1"/>
      <c r="JF835" s="1"/>
      <c r="JG835" s="1"/>
      <c r="JH835" s="1"/>
      <c r="JJ835" s="1"/>
      <c r="JN835" s="1"/>
      <c r="JP835" s="1"/>
      <c r="JQ835" s="1"/>
      <c r="JT835" s="1"/>
      <c r="KV835" s="1"/>
      <c r="KY835" s="1"/>
      <c r="KZ835" s="1"/>
      <c r="LA835" s="1"/>
      <c r="LB835" s="1"/>
      <c r="LC835" s="1"/>
      <c r="LD835" s="1"/>
      <c r="LF835" s="1"/>
      <c r="LN835" s="1"/>
      <c r="LO835" s="1"/>
      <c r="LP835" s="1"/>
      <c r="LZ835" s="1"/>
      <c r="MA835" s="1"/>
    </row>
    <row r="836" spans="4:339" ht="13" x14ac:dyDescent="0.15">
      <c r="D836" s="12"/>
      <c r="E836" s="12"/>
      <c r="I836" s="12"/>
      <c r="J836" s="13"/>
      <c r="BF836" s="1"/>
      <c r="BG836" s="1"/>
      <c r="BH836" s="1"/>
      <c r="BI836" s="1"/>
      <c r="BK836" s="1"/>
      <c r="BL836" s="1"/>
      <c r="BM836" s="1"/>
      <c r="BN836" s="1"/>
      <c r="BO836" s="1"/>
      <c r="BP836" s="1"/>
      <c r="BQ836" s="1"/>
      <c r="BR836" s="1"/>
      <c r="BX836" s="1"/>
      <c r="CD836" s="1"/>
      <c r="CE836" s="1"/>
      <c r="CF836" s="1"/>
      <c r="CG836" s="1"/>
      <c r="CH836" s="1"/>
      <c r="CI836" s="1"/>
      <c r="CM836" s="2"/>
      <c r="CN836" s="1"/>
      <c r="CO836" s="1"/>
      <c r="CP836" s="1"/>
      <c r="CQ836" s="1"/>
      <c r="CR836" s="1"/>
      <c r="CS836" s="1"/>
      <c r="CT836" s="1"/>
      <c r="CU836" s="1"/>
      <c r="CV836" s="1"/>
      <c r="CW836" s="1"/>
      <c r="CX836" s="1"/>
      <c r="CY836" s="1"/>
      <c r="CZ836" s="1"/>
      <c r="DA836" s="1"/>
      <c r="DB836" s="1"/>
      <c r="DC836" s="1"/>
      <c r="DD836" s="1"/>
      <c r="DE836" s="1"/>
      <c r="DF836" s="1"/>
      <c r="DG836" s="1"/>
      <c r="DH836" s="1"/>
      <c r="DI836" s="1"/>
      <c r="DJ836" s="1"/>
      <c r="DK836" s="1"/>
      <c r="DM836" s="1"/>
      <c r="DQ836" s="1"/>
      <c r="DR836" s="1"/>
      <c r="DY836" s="1"/>
      <c r="DZ836" s="1"/>
      <c r="ED836" s="1"/>
      <c r="EF836" s="1"/>
      <c r="EK836" s="1"/>
      <c r="EL836" s="1"/>
      <c r="EM836" s="1"/>
      <c r="EN836" s="1"/>
      <c r="EQ836" s="1"/>
      <c r="ER836" s="1"/>
      <c r="ES836" s="1"/>
      <c r="EV836" s="1"/>
      <c r="EW836" s="1"/>
      <c r="EZ836" s="1"/>
      <c r="FA836" s="1"/>
      <c r="FD836" s="1"/>
      <c r="FG836" s="1"/>
      <c r="FH836" s="1"/>
      <c r="FI836" s="1"/>
      <c r="FJ836" s="1"/>
      <c r="FK836" s="1"/>
      <c r="FL836" s="1"/>
      <c r="FM836" s="1"/>
      <c r="FN836" s="1"/>
      <c r="FO836" s="1"/>
      <c r="FP836" s="1"/>
      <c r="FQ836" s="1"/>
      <c r="FR836" s="1"/>
      <c r="FS836" s="1"/>
      <c r="FT836" s="1"/>
      <c r="FU836" s="1"/>
      <c r="FV836" s="1"/>
      <c r="FW836" s="1"/>
      <c r="FX836" s="1"/>
      <c r="FY836" s="1"/>
      <c r="FZ836" s="1"/>
      <c r="GA836" s="1"/>
      <c r="GB836" s="1"/>
      <c r="GD836" s="1"/>
      <c r="GE836" s="1"/>
      <c r="GF836" s="1"/>
      <c r="GG836" s="1"/>
      <c r="GH836" s="1"/>
      <c r="GI836" s="1"/>
      <c r="GJ836" s="1"/>
      <c r="GK836" s="1"/>
      <c r="GL836" s="1"/>
      <c r="GM836" s="1"/>
      <c r="GN836" s="1"/>
      <c r="GO836" s="1"/>
      <c r="GP836" s="1"/>
      <c r="GR836" s="1"/>
      <c r="GY836" s="1"/>
      <c r="HF836" s="1"/>
      <c r="HH836" s="1"/>
      <c r="HN836" s="1"/>
      <c r="HY836" s="1"/>
      <c r="IC836" s="1"/>
      <c r="IE836" s="1"/>
      <c r="IG836" s="1"/>
      <c r="IR836" s="1"/>
      <c r="IS836" s="1"/>
      <c r="IW836" s="1"/>
      <c r="IZ836" s="1"/>
      <c r="JA836" s="1"/>
      <c r="JG836" s="1"/>
      <c r="JH836" s="1"/>
      <c r="JI836" s="1"/>
      <c r="JJ836" s="1"/>
      <c r="JK836" s="1"/>
      <c r="JL836" s="3"/>
      <c r="JM836" s="1"/>
      <c r="JN836" s="1"/>
      <c r="JP836" s="1"/>
      <c r="JQ836" s="1"/>
      <c r="JR836" s="1"/>
      <c r="KU836" s="1"/>
      <c r="KY836" s="1"/>
      <c r="KZ836" s="1"/>
      <c r="LA836" s="1"/>
      <c r="LB836" s="1"/>
      <c r="LC836" s="1"/>
      <c r="LD836" s="1"/>
      <c r="LO836" s="1"/>
      <c r="LP836" s="1"/>
      <c r="LZ836" s="1"/>
      <c r="MA836" s="1"/>
    </row>
    <row r="837" spans="4:339" ht="13" x14ac:dyDescent="0.15">
      <c r="D837" s="12"/>
      <c r="E837" s="12"/>
      <c r="I837" s="12"/>
      <c r="J837" s="13"/>
      <c r="BF837" s="1"/>
      <c r="BG837" s="1"/>
      <c r="BH837" s="1"/>
      <c r="BI837" s="1"/>
      <c r="BK837" s="1"/>
      <c r="BL837" s="1"/>
      <c r="BM837" s="1"/>
      <c r="BN837" s="1"/>
      <c r="BO837" s="1"/>
      <c r="BP837" s="1"/>
      <c r="BQ837" s="1"/>
      <c r="BR837" s="1"/>
      <c r="BX837" s="1"/>
      <c r="CD837" s="1"/>
      <c r="CE837" s="1"/>
      <c r="CF837" s="1"/>
      <c r="CG837" s="1"/>
      <c r="CH837" s="1"/>
      <c r="CI837" s="1"/>
      <c r="CM837" s="2"/>
      <c r="CN837" s="1"/>
      <c r="CO837" s="1"/>
      <c r="CP837" s="1"/>
      <c r="CQ837" s="1"/>
      <c r="CR837" s="1"/>
      <c r="CS837" s="1"/>
      <c r="CT837" s="1"/>
      <c r="CU837" s="1"/>
      <c r="CV837" s="1"/>
      <c r="CW837" s="1"/>
      <c r="CX837" s="1"/>
      <c r="CY837" s="1"/>
      <c r="CZ837" s="1"/>
      <c r="DA837" s="1"/>
      <c r="DB837" s="1"/>
      <c r="DC837" s="1"/>
      <c r="DD837" s="1"/>
      <c r="DE837" s="1"/>
      <c r="DF837" s="1"/>
      <c r="DG837" s="1"/>
      <c r="DH837" s="1"/>
      <c r="DI837" s="1"/>
      <c r="DJ837" s="1"/>
      <c r="DK837" s="1"/>
      <c r="DM837" s="1"/>
      <c r="DQ837" s="1"/>
      <c r="DR837" s="1"/>
      <c r="DY837" s="1"/>
      <c r="DZ837" s="1"/>
      <c r="ED837" s="1"/>
      <c r="EE837" s="1"/>
      <c r="EF837" s="1"/>
      <c r="EG837" s="1"/>
      <c r="EH837" s="1"/>
      <c r="EK837" s="1"/>
      <c r="EL837" s="1"/>
      <c r="EM837" s="1"/>
      <c r="EN837" s="1"/>
      <c r="EQ837" s="1"/>
      <c r="ER837" s="1"/>
      <c r="ES837" s="1"/>
      <c r="EV837" s="1"/>
      <c r="EW837" s="1"/>
      <c r="EY837" s="1"/>
      <c r="EZ837" s="1"/>
      <c r="FA837" s="1"/>
      <c r="FD837" s="1"/>
      <c r="FH837" s="1"/>
      <c r="FJ837" s="1"/>
      <c r="FN837" s="1"/>
      <c r="FO837" s="1"/>
      <c r="FS837" s="1"/>
      <c r="FV837" s="1"/>
      <c r="FX837" s="1"/>
      <c r="GA837" s="1"/>
      <c r="GD837" s="1"/>
      <c r="GE837" s="1"/>
      <c r="GF837" s="1"/>
      <c r="GG837" s="1"/>
      <c r="GH837" s="1"/>
      <c r="GI837" s="1"/>
      <c r="GJ837" s="1"/>
      <c r="GL837" s="1"/>
      <c r="GM837" s="1"/>
      <c r="GN837" s="1"/>
      <c r="GP837" s="1"/>
      <c r="GY837" s="1"/>
      <c r="HF837" s="1"/>
      <c r="HH837" s="1"/>
      <c r="HN837" s="1"/>
      <c r="HT837" s="1"/>
      <c r="HY837" s="1"/>
      <c r="IE837" s="1"/>
      <c r="IG837" s="1"/>
      <c r="IJ837" s="1"/>
      <c r="IR837" s="1"/>
      <c r="IS837" s="1"/>
      <c r="IZ837" s="1"/>
      <c r="JC837" s="1"/>
      <c r="JG837" s="1"/>
      <c r="JH837" s="1"/>
      <c r="JI837" s="1"/>
      <c r="JJ837" s="1"/>
      <c r="JK837" s="1"/>
      <c r="JL837" s="3"/>
      <c r="JM837" s="1"/>
      <c r="JN837" s="1"/>
      <c r="JP837" s="1"/>
      <c r="JQ837" s="1"/>
      <c r="JR837" s="1"/>
      <c r="JT837" s="1"/>
      <c r="KY837" s="1"/>
      <c r="KZ837" s="1"/>
      <c r="LA837" s="1"/>
      <c r="LB837" s="1"/>
      <c r="LC837" s="1"/>
      <c r="LD837" s="1"/>
      <c r="LO837" s="1"/>
      <c r="LP837" s="1"/>
      <c r="LZ837" s="1"/>
      <c r="MA837" s="1"/>
    </row>
    <row r="838" spans="4:339" ht="13" x14ac:dyDescent="0.15">
      <c r="D838" s="12"/>
      <c r="E838" s="12"/>
      <c r="I838" s="12"/>
      <c r="J838" s="13"/>
      <c r="BF838" s="1"/>
      <c r="BG838" s="1"/>
      <c r="BH838" s="1"/>
      <c r="BI838" s="1"/>
      <c r="BK838" s="1"/>
      <c r="BL838" s="1"/>
      <c r="BM838" s="1"/>
      <c r="BN838" s="1"/>
      <c r="BO838" s="1"/>
      <c r="BP838" s="1"/>
      <c r="BQ838" s="1"/>
      <c r="BR838" s="1"/>
      <c r="BX838" s="1"/>
      <c r="CD838" s="1"/>
      <c r="CE838" s="1"/>
      <c r="CF838" s="1"/>
      <c r="CG838" s="1"/>
      <c r="CH838" s="1"/>
      <c r="CI838" s="1"/>
      <c r="CM838" s="2"/>
      <c r="CN838" s="1"/>
      <c r="CO838" s="1"/>
      <c r="CP838" s="1"/>
      <c r="CQ838" s="1"/>
      <c r="CR838" s="1"/>
      <c r="CT838" s="1"/>
      <c r="CU838" s="1"/>
      <c r="CV838" s="1"/>
      <c r="CW838" s="1"/>
      <c r="CX838" s="1"/>
      <c r="CY838" s="1"/>
      <c r="CZ838" s="1"/>
      <c r="DA838" s="1"/>
      <c r="DB838" s="1"/>
      <c r="DC838" s="1"/>
      <c r="DD838" s="1"/>
      <c r="DE838" s="1"/>
      <c r="DF838" s="1"/>
      <c r="DG838" s="1"/>
      <c r="DH838" s="1"/>
      <c r="DI838" s="1"/>
      <c r="DJ838" s="1"/>
      <c r="DK838" s="1"/>
      <c r="DM838" s="1"/>
      <c r="DQ838" s="1"/>
      <c r="DR838" s="1"/>
      <c r="DY838" s="1"/>
      <c r="DZ838" s="1"/>
      <c r="ED838" s="1"/>
      <c r="EF838" s="1"/>
      <c r="EK838" s="1"/>
      <c r="EL838" s="1"/>
      <c r="EM838" s="1"/>
      <c r="EN838" s="1"/>
      <c r="EQ838" s="1"/>
      <c r="ER838" s="1"/>
      <c r="ES838" s="1"/>
      <c r="EV838" s="1"/>
      <c r="EW838" s="1"/>
      <c r="EZ838" s="1"/>
      <c r="FA838" s="1"/>
      <c r="FD838" s="1"/>
      <c r="FG838" s="1"/>
      <c r="FH838" s="1"/>
      <c r="FI838" s="1"/>
      <c r="FJ838" s="1"/>
      <c r="FM838" s="1"/>
      <c r="FN838" s="1"/>
      <c r="FO838" s="1"/>
      <c r="FP838" s="1"/>
      <c r="FQ838" s="1"/>
      <c r="FR838" s="1"/>
      <c r="FS838" s="1"/>
      <c r="FT838" s="1"/>
      <c r="FU838" s="1"/>
      <c r="FV838" s="1"/>
      <c r="FW838" s="1"/>
      <c r="FX838" s="1"/>
      <c r="FY838" s="1"/>
      <c r="FZ838" s="1"/>
      <c r="GA838" s="1"/>
      <c r="GB838" s="1"/>
      <c r="GD838" s="1"/>
      <c r="GE838" s="1"/>
      <c r="GF838" s="1"/>
      <c r="GG838" s="1"/>
      <c r="GH838" s="1"/>
      <c r="GI838" s="1"/>
      <c r="GJ838" s="1"/>
      <c r="GK838" s="1"/>
      <c r="GL838" s="1"/>
      <c r="GM838" s="1"/>
      <c r="GN838" s="1"/>
      <c r="GO838" s="1"/>
      <c r="GP838" s="1"/>
      <c r="GR838" s="1"/>
      <c r="GY838" s="1"/>
      <c r="HF838" s="1"/>
      <c r="HH838" s="1"/>
      <c r="HN838" s="1"/>
      <c r="HT838" s="1"/>
      <c r="HY838" s="1"/>
      <c r="IE838" s="1"/>
      <c r="IF838" s="1"/>
      <c r="IG838" s="1"/>
      <c r="IJ838" s="1"/>
      <c r="IR838" s="1"/>
      <c r="IS838" s="1"/>
      <c r="IZ838" s="1"/>
      <c r="JC838" s="1"/>
      <c r="JF838" s="1"/>
      <c r="JG838" s="1"/>
      <c r="JH838" s="1"/>
      <c r="JI838" s="1"/>
      <c r="JJ838" s="1"/>
      <c r="JK838" s="1"/>
      <c r="JL838" s="3"/>
      <c r="JM838" s="1"/>
      <c r="JN838" s="1"/>
      <c r="JP838" s="1"/>
      <c r="JQ838" s="1"/>
      <c r="JR838" s="1"/>
      <c r="JT838" s="1"/>
      <c r="KY838" s="1"/>
      <c r="KZ838" s="1"/>
      <c r="LA838" s="1"/>
      <c r="LB838" s="1"/>
      <c r="LC838" s="1"/>
      <c r="LD838" s="1"/>
      <c r="LF838" s="1"/>
      <c r="LN838" s="1"/>
      <c r="LO838" s="1"/>
      <c r="LP838" s="1"/>
      <c r="LZ838" s="1"/>
      <c r="MA838" s="1"/>
    </row>
    <row r="839" spans="4:339" ht="13" x14ac:dyDescent="0.15">
      <c r="D839" s="12"/>
      <c r="E839" s="12"/>
      <c r="I839" s="12"/>
      <c r="J839" s="13"/>
      <c r="BF839" s="1"/>
      <c r="BG839" s="1"/>
      <c r="BH839" s="1"/>
      <c r="BI839" s="1"/>
      <c r="BK839" s="1"/>
      <c r="BL839" s="1"/>
      <c r="BM839" s="1"/>
      <c r="BN839" s="1"/>
      <c r="BO839" s="1"/>
      <c r="BP839" s="1"/>
      <c r="BQ839" s="1"/>
      <c r="BR839" s="1"/>
      <c r="CD839" s="1"/>
      <c r="CE839" s="1"/>
      <c r="CF839" s="1"/>
      <c r="CG839" s="1"/>
      <c r="CH839" s="1"/>
      <c r="CI839" s="1"/>
      <c r="CM839" s="2"/>
      <c r="CN839" s="1"/>
      <c r="CO839" s="1"/>
      <c r="CP839" s="1"/>
      <c r="CQ839" s="1"/>
      <c r="CS839" s="1"/>
      <c r="CT839" s="1"/>
      <c r="CU839" s="1"/>
      <c r="CV839" s="1"/>
      <c r="CW839" s="1"/>
      <c r="CX839" s="1"/>
      <c r="CY839" s="1"/>
      <c r="CZ839" s="1"/>
      <c r="DA839" s="1"/>
      <c r="DB839" s="1"/>
      <c r="DC839" s="1"/>
      <c r="DD839" s="1"/>
      <c r="DE839" s="1"/>
      <c r="DF839" s="1"/>
      <c r="DG839" s="1"/>
      <c r="DH839" s="1"/>
      <c r="DI839" s="1"/>
      <c r="DJ839" s="1"/>
      <c r="DK839" s="1"/>
      <c r="DM839" s="1"/>
      <c r="DR839" s="1"/>
      <c r="ED839" s="1"/>
      <c r="EF839" s="1"/>
      <c r="EK839" s="1"/>
      <c r="EL839" s="1"/>
      <c r="EM839" s="1"/>
      <c r="EN839" s="1"/>
      <c r="EQ839" s="1"/>
      <c r="ER839" s="1"/>
      <c r="ES839" s="1"/>
      <c r="EV839" s="1"/>
      <c r="EW839" s="1"/>
      <c r="EZ839" s="1"/>
      <c r="FA839" s="1"/>
      <c r="FD839" s="1"/>
      <c r="FF839" s="1"/>
      <c r="FG839" s="1"/>
      <c r="FH839" s="1"/>
      <c r="FI839" s="1"/>
      <c r="FJ839" s="1"/>
      <c r="FK839" s="1"/>
      <c r="FL839" s="1"/>
      <c r="FM839" s="1"/>
      <c r="FN839" s="1"/>
      <c r="FO839" s="1"/>
      <c r="FP839" s="1"/>
      <c r="FQ839" s="1"/>
      <c r="FR839" s="1"/>
      <c r="FS839" s="1"/>
      <c r="FT839" s="1"/>
      <c r="FV839" s="1"/>
      <c r="FW839" s="1"/>
      <c r="FX839" s="1"/>
      <c r="FY839" s="1"/>
      <c r="FZ839" s="1"/>
      <c r="GA839" s="1"/>
      <c r="GB839" s="1"/>
      <c r="GD839" s="1"/>
      <c r="GE839" s="1"/>
      <c r="GF839" s="1"/>
      <c r="GG839" s="1"/>
      <c r="GH839" s="1"/>
      <c r="GI839" s="1"/>
      <c r="GJ839" s="1"/>
      <c r="GL839" s="1"/>
      <c r="GM839" s="1"/>
      <c r="GN839" s="1"/>
      <c r="GO839" s="1"/>
      <c r="GP839" s="1"/>
      <c r="GR839" s="1"/>
      <c r="HF839" s="1"/>
      <c r="HH839" s="1"/>
      <c r="HN839" s="1"/>
      <c r="HT839" s="1"/>
      <c r="HY839" s="1"/>
      <c r="IC839" s="1"/>
      <c r="ID839" s="1"/>
      <c r="IE839" s="1"/>
      <c r="IR839" s="1"/>
      <c r="IS839" s="1"/>
      <c r="IZ839" s="1"/>
      <c r="JF839" s="1"/>
      <c r="JJ839" s="1"/>
      <c r="JN839" s="1"/>
      <c r="JP839" s="1"/>
      <c r="JQ839" s="1"/>
      <c r="JT839" s="1"/>
      <c r="KV839" s="1"/>
      <c r="KY839" s="1"/>
      <c r="KZ839" s="1"/>
      <c r="LA839" s="1"/>
      <c r="LB839" s="1"/>
      <c r="LC839" s="1"/>
      <c r="LD839" s="1"/>
      <c r="LF839" s="1"/>
      <c r="LN839" s="1"/>
      <c r="LO839" s="1"/>
      <c r="LP839" s="1"/>
      <c r="LZ839" s="1"/>
      <c r="MA839" s="1"/>
    </row>
    <row r="840" spans="4:339" ht="13" x14ac:dyDescent="0.15">
      <c r="D840" s="12"/>
      <c r="E840" s="12"/>
      <c r="I840" s="12"/>
      <c r="J840" s="13"/>
      <c r="BF840" s="1"/>
      <c r="BG840" s="1"/>
      <c r="BH840" s="1"/>
      <c r="BI840" s="1"/>
      <c r="BK840" s="1"/>
      <c r="BL840" s="1"/>
      <c r="BM840" s="1"/>
      <c r="BN840" s="1"/>
      <c r="BO840" s="1"/>
      <c r="BP840" s="1"/>
      <c r="BQ840" s="1"/>
      <c r="BR840" s="1"/>
      <c r="CD840" s="1"/>
      <c r="CE840" s="1"/>
      <c r="CF840" s="1"/>
      <c r="CG840" s="1"/>
      <c r="CH840" s="1"/>
      <c r="CI840" s="1"/>
      <c r="CM840" s="2"/>
      <c r="CN840" s="1"/>
      <c r="CO840" s="1"/>
      <c r="CP840" s="1"/>
      <c r="CQ840" s="1"/>
      <c r="CS840" s="1"/>
      <c r="CT840" s="1"/>
      <c r="CU840" s="1"/>
      <c r="CV840" s="1"/>
      <c r="CW840" s="1"/>
      <c r="CX840" s="1"/>
      <c r="CY840" s="1"/>
      <c r="CZ840" s="1"/>
      <c r="DA840" s="1"/>
      <c r="DB840" s="1"/>
      <c r="DC840" s="1"/>
      <c r="DD840" s="1"/>
      <c r="DE840" s="1"/>
      <c r="DF840" s="1"/>
      <c r="DG840" s="1"/>
      <c r="DH840" s="1"/>
      <c r="DI840" s="1"/>
      <c r="DJ840" s="1"/>
      <c r="DK840" s="1"/>
      <c r="DM840" s="1"/>
      <c r="DR840" s="1"/>
      <c r="ED840" s="1"/>
      <c r="EF840" s="1"/>
      <c r="EK840" s="1"/>
      <c r="EL840" s="1"/>
      <c r="EM840" s="1"/>
      <c r="EN840" s="1"/>
      <c r="EQ840" s="1"/>
      <c r="ER840" s="1"/>
      <c r="ES840" s="1"/>
      <c r="EV840" s="1"/>
      <c r="EW840" s="1"/>
      <c r="EZ840" s="1"/>
      <c r="FA840" s="1"/>
      <c r="FD840" s="1"/>
      <c r="FF840" s="1"/>
      <c r="FG840" s="1"/>
      <c r="FH840" s="1"/>
      <c r="FI840" s="1"/>
      <c r="FJ840" s="1"/>
      <c r="FK840" s="1"/>
      <c r="FL840" s="1"/>
      <c r="FM840" s="1"/>
      <c r="FN840" s="1"/>
      <c r="FO840" s="1"/>
      <c r="FP840" s="1"/>
      <c r="FQ840" s="1"/>
      <c r="FR840" s="1"/>
      <c r="FS840" s="1"/>
      <c r="FT840" s="1"/>
      <c r="FV840" s="1"/>
      <c r="FW840" s="1"/>
      <c r="FX840" s="1"/>
      <c r="FY840" s="1"/>
      <c r="FZ840" s="1"/>
      <c r="GA840" s="1"/>
      <c r="GB840" s="1"/>
      <c r="GD840" s="1"/>
      <c r="GE840" s="1"/>
      <c r="GF840" s="1"/>
      <c r="GG840" s="1"/>
      <c r="GH840" s="1"/>
      <c r="GI840" s="1"/>
      <c r="GJ840" s="1"/>
      <c r="GL840" s="1"/>
      <c r="GM840" s="1"/>
      <c r="GN840" s="1"/>
      <c r="GO840" s="1"/>
      <c r="GP840" s="1"/>
      <c r="GR840" s="1"/>
      <c r="HF840" s="1"/>
      <c r="HH840" s="1"/>
      <c r="HN840" s="1"/>
      <c r="HT840" s="1"/>
      <c r="HY840" s="1"/>
      <c r="IC840" s="1"/>
      <c r="ID840" s="1"/>
      <c r="IE840" s="1"/>
      <c r="IR840" s="1"/>
      <c r="IS840" s="1"/>
      <c r="IZ840" s="1"/>
      <c r="JF840" s="1"/>
      <c r="JJ840" s="1"/>
      <c r="JN840" s="1"/>
      <c r="JP840" s="1"/>
      <c r="JQ840" s="1"/>
      <c r="JT840" s="1"/>
      <c r="KV840" s="1"/>
      <c r="KY840" s="1"/>
      <c r="KZ840" s="1"/>
      <c r="LA840" s="1"/>
      <c r="LB840" s="1"/>
      <c r="LC840" s="1"/>
      <c r="LD840" s="1"/>
      <c r="LF840" s="1"/>
      <c r="LN840" s="1"/>
      <c r="LO840" s="1"/>
      <c r="LP840" s="1"/>
      <c r="LZ840" s="1"/>
      <c r="MA840" s="1"/>
    </row>
    <row r="841" spans="4:339" ht="13" x14ac:dyDescent="0.15">
      <c r="D841" s="12"/>
      <c r="E841" s="12"/>
      <c r="I841" s="12"/>
      <c r="J841" s="13"/>
      <c r="BF841" s="1"/>
      <c r="BG841" s="1"/>
      <c r="BH841" s="1"/>
      <c r="BI841" s="1"/>
      <c r="BK841" s="1"/>
      <c r="BL841" s="1"/>
      <c r="BM841" s="1"/>
      <c r="BN841" s="1"/>
      <c r="BO841" s="1"/>
      <c r="BP841" s="1"/>
      <c r="BQ841" s="1"/>
      <c r="BR841" s="1"/>
      <c r="CD841" s="1"/>
      <c r="CE841" s="1"/>
      <c r="CF841" s="1"/>
      <c r="CG841" s="1"/>
      <c r="CH841" s="1"/>
      <c r="CI841" s="1"/>
      <c r="CM841" s="2"/>
      <c r="CN841" s="1"/>
      <c r="CO841" s="1"/>
      <c r="CP841" s="1"/>
      <c r="CQ841" s="1"/>
      <c r="CS841" s="1"/>
      <c r="CT841" s="1"/>
      <c r="CU841" s="1"/>
      <c r="CV841" s="1"/>
      <c r="CW841" s="1"/>
      <c r="CX841" s="1"/>
      <c r="CY841" s="1"/>
      <c r="CZ841" s="1"/>
      <c r="DA841" s="1"/>
      <c r="DB841" s="1"/>
      <c r="DC841" s="1"/>
      <c r="DD841" s="1"/>
      <c r="DE841" s="1"/>
      <c r="DF841" s="1"/>
      <c r="DG841" s="1"/>
      <c r="DH841" s="1"/>
      <c r="DI841" s="1"/>
      <c r="DJ841" s="1"/>
      <c r="DK841" s="1"/>
      <c r="DM841" s="1"/>
      <c r="DR841" s="1"/>
      <c r="ED841" s="1"/>
      <c r="EF841" s="1"/>
      <c r="EK841" s="1"/>
      <c r="EL841" s="1"/>
      <c r="EM841" s="1"/>
      <c r="EN841" s="1"/>
      <c r="EQ841" s="1"/>
      <c r="ER841" s="1"/>
      <c r="ES841" s="1"/>
      <c r="EV841" s="1"/>
      <c r="EW841" s="1"/>
      <c r="EZ841" s="1"/>
      <c r="FA841" s="1"/>
      <c r="FD841" s="1"/>
      <c r="FF841" s="1"/>
      <c r="FG841" s="1"/>
      <c r="FH841" s="1"/>
      <c r="FI841" s="1"/>
      <c r="FJ841" s="1"/>
      <c r="FK841" s="1"/>
      <c r="FL841" s="1"/>
      <c r="FM841" s="1"/>
      <c r="FN841" s="1"/>
      <c r="FO841" s="1"/>
      <c r="FP841" s="1"/>
      <c r="FQ841" s="1"/>
      <c r="FR841" s="1"/>
      <c r="FS841" s="1"/>
      <c r="FT841" s="1"/>
      <c r="FV841" s="1"/>
      <c r="FW841" s="1"/>
      <c r="FX841" s="1"/>
      <c r="FY841" s="1"/>
      <c r="FZ841" s="1"/>
      <c r="GA841" s="1"/>
      <c r="GB841" s="1"/>
      <c r="GD841" s="1"/>
      <c r="GE841" s="1"/>
      <c r="GF841" s="1"/>
      <c r="GG841" s="1"/>
      <c r="GH841" s="1"/>
      <c r="GI841" s="1"/>
      <c r="GJ841" s="1"/>
      <c r="GL841" s="1"/>
      <c r="GM841" s="1"/>
      <c r="GN841" s="1"/>
      <c r="GO841" s="1"/>
      <c r="GP841" s="1"/>
      <c r="GR841" s="1"/>
      <c r="HF841" s="1"/>
      <c r="HH841" s="1"/>
      <c r="HN841" s="1"/>
      <c r="HT841" s="1"/>
      <c r="HY841" s="1"/>
      <c r="IC841" s="1"/>
      <c r="ID841" s="1"/>
      <c r="IE841" s="1"/>
      <c r="IR841" s="1"/>
      <c r="IS841" s="1"/>
      <c r="IZ841" s="1"/>
      <c r="JF841" s="1"/>
      <c r="JJ841" s="1"/>
      <c r="JN841" s="1"/>
      <c r="JP841" s="1"/>
      <c r="JQ841" s="1"/>
      <c r="JT841" s="1"/>
      <c r="KV841" s="1"/>
      <c r="KY841" s="1"/>
      <c r="KZ841" s="1"/>
      <c r="LA841" s="1"/>
      <c r="LB841" s="1"/>
      <c r="LC841" s="1"/>
      <c r="LD841" s="1"/>
      <c r="LF841" s="1"/>
      <c r="LN841" s="1"/>
      <c r="LO841" s="1"/>
      <c r="LP841" s="1"/>
      <c r="LZ841" s="1"/>
      <c r="MA841" s="1"/>
    </row>
    <row r="842" spans="4:339" ht="13" x14ac:dyDescent="0.15">
      <c r="D842" s="12"/>
      <c r="E842" s="12"/>
      <c r="I842" s="12"/>
      <c r="J842" s="13"/>
      <c r="BF842" s="1"/>
      <c r="BG842" s="1"/>
      <c r="BH842" s="1"/>
      <c r="BI842" s="1"/>
      <c r="BK842" s="1"/>
      <c r="BL842" s="1"/>
      <c r="BM842" s="1"/>
      <c r="BN842" s="1"/>
      <c r="BO842" s="1"/>
      <c r="BP842" s="1"/>
      <c r="BQ842" s="1"/>
      <c r="BR842" s="1"/>
      <c r="CD842" s="1"/>
      <c r="CE842" s="1"/>
      <c r="CF842" s="1"/>
      <c r="CG842" s="1"/>
      <c r="CH842" s="1"/>
      <c r="CI842" s="1"/>
      <c r="CM842" s="2"/>
      <c r="CN842" s="1"/>
      <c r="CO842" s="1"/>
      <c r="CP842" s="1"/>
      <c r="CQ842" s="1"/>
      <c r="CS842" s="1"/>
      <c r="CT842" s="1"/>
      <c r="CU842" s="1"/>
      <c r="CV842" s="1"/>
      <c r="CW842" s="1"/>
      <c r="CX842" s="1"/>
      <c r="CY842" s="1"/>
      <c r="CZ842" s="1"/>
      <c r="DA842" s="1"/>
      <c r="DB842" s="1"/>
      <c r="DC842" s="1"/>
      <c r="DD842" s="1"/>
      <c r="DE842" s="1"/>
      <c r="DF842" s="1"/>
      <c r="DG842" s="1"/>
      <c r="DH842" s="1"/>
      <c r="DI842" s="1"/>
      <c r="DJ842" s="1"/>
      <c r="DK842" s="1"/>
      <c r="DM842" s="1"/>
      <c r="DR842" s="1"/>
      <c r="ED842" s="1"/>
      <c r="EF842" s="1"/>
      <c r="EK842" s="1"/>
      <c r="EL842" s="1"/>
      <c r="EM842" s="1"/>
      <c r="EN842" s="1"/>
      <c r="EQ842" s="1"/>
      <c r="ER842" s="1"/>
      <c r="ES842" s="1"/>
      <c r="EV842" s="1"/>
      <c r="EW842" s="1"/>
      <c r="EZ842" s="1"/>
      <c r="FA842" s="1"/>
      <c r="FD842" s="1"/>
      <c r="FF842" s="1"/>
      <c r="FG842" s="1"/>
      <c r="FH842" s="1"/>
      <c r="FI842" s="1"/>
      <c r="FJ842" s="1"/>
      <c r="FK842" s="1"/>
      <c r="FL842" s="1"/>
      <c r="FM842" s="1"/>
      <c r="FN842" s="1"/>
      <c r="FO842" s="1"/>
      <c r="FP842" s="1"/>
      <c r="FQ842" s="1"/>
      <c r="FR842" s="1"/>
      <c r="FS842" s="1"/>
      <c r="FT842" s="1"/>
      <c r="FV842" s="1"/>
      <c r="FW842" s="1"/>
      <c r="FX842" s="1"/>
      <c r="FY842" s="1"/>
      <c r="FZ842" s="1"/>
      <c r="GA842" s="1"/>
      <c r="GB842" s="1"/>
      <c r="GD842" s="1"/>
      <c r="GE842" s="1"/>
      <c r="GF842" s="1"/>
      <c r="GG842" s="1"/>
      <c r="GH842" s="1"/>
      <c r="GI842" s="1"/>
      <c r="GJ842" s="1"/>
      <c r="GL842" s="1"/>
      <c r="GM842" s="1"/>
      <c r="GN842" s="1"/>
      <c r="GO842" s="1"/>
      <c r="GP842" s="1"/>
      <c r="GR842" s="1"/>
      <c r="HF842" s="1"/>
      <c r="HH842" s="1"/>
      <c r="HN842" s="1"/>
      <c r="HT842" s="1"/>
      <c r="HY842" s="1"/>
      <c r="IC842" s="1"/>
      <c r="ID842" s="1"/>
      <c r="IE842" s="1"/>
      <c r="IR842" s="1"/>
      <c r="IS842" s="1"/>
      <c r="IZ842" s="1"/>
      <c r="JF842" s="1"/>
      <c r="JJ842" s="1"/>
      <c r="JN842" s="1"/>
      <c r="JP842" s="1"/>
      <c r="JQ842" s="1"/>
      <c r="JT842" s="1"/>
      <c r="KV842" s="1"/>
      <c r="KY842" s="1"/>
      <c r="KZ842" s="1"/>
      <c r="LA842" s="1"/>
      <c r="LB842" s="1"/>
      <c r="LC842" s="1"/>
      <c r="LD842" s="1"/>
      <c r="LF842" s="1"/>
      <c r="LN842" s="1"/>
      <c r="LO842" s="1"/>
      <c r="LP842" s="1"/>
      <c r="LZ842" s="1"/>
      <c r="MA842" s="1"/>
    </row>
    <row r="843" spans="4:339" ht="13" x14ac:dyDescent="0.15">
      <c r="D843" s="12"/>
      <c r="E843" s="12"/>
      <c r="I843" s="12"/>
      <c r="J843" s="13"/>
      <c r="BF843" s="1"/>
      <c r="BG843" s="1"/>
      <c r="BH843" s="1"/>
      <c r="BI843" s="1"/>
      <c r="BK843" s="1"/>
      <c r="BL843" s="1"/>
      <c r="BM843" s="1"/>
      <c r="BN843" s="1"/>
      <c r="BO843" s="1"/>
      <c r="BP843" s="1"/>
      <c r="BQ843" s="1"/>
      <c r="BR843" s="1"/>
      <c r="CD843" s="1"/>
      <c r="CE843" s="1"/>
      <c r="CF843" s="1"/>
      <c r="CG843" s="1"/>
      <c r="CH843" s="1"/>
      <c r="CI843" s="1"/>
      <c r="CM843" s="2"/>
      <c r="CN843" s="1"/>
      <c r="CO843" s="1"/>
      <c r="CP843" s="1"/>
      <c r="CQ843" s="1"/>
      <c r="CS843" s="1"/>
      <c r="CT843" s="1"/>
      <c r="CU843" s="1"/>
      <c r="CV843" s="1"/>
      <c r="CW843" s="1"/>
      <c r="CX843" s="1"/>
      <c r="CY843" s="1"/>
      <c r="CZ843" s="1"/>
      <c r="DA843" s="1"/>
      <c r="DB843" s="1"/>
      <c r="DC843" s="1"/>
      <c r="DD843" s="1"/>
      <c r="DE843" s="1"/>
      <c r="DF843" s="1"/>
      <c r="DG843" s="1"/>
      <c r="DH843" s="1"/>
      <c r="DI843" s="1"/>
      <c r="DJ843" s="1"/>
      <c r="DK843" s="1"/>
      <c r="DM843" s="1"/>
      <c r="DR843" s="1"/>
      <c r="ED843" s="1"/>
      <c r="EF843" s="1"/>
      <c r="EK843" s="1"/>
      <c r="EL843" s="1"/>
      <c r="EM843" s="1"/>
      <c r="EN843" s="1"/>
      <c r="EQ843" s="1"/>
      <c r="ER843" s="1"/>
      <c r="ES843" s="1"/>
      <c r="EV843" s="1"/>
      <c r="EW843" s="1"/>
      <c r="EZ843" s="1"/>
      <c r="FA843" s="1"/>
      <c r="FD843" s="1"/>
      <c r="FF843" s="1"/>
      <c r="FG843" s="1"/>
      <c r="FH843" s="1"/>
      <c r="FI843" s="1"/>
      <c r="FJ843" s="1"/>
      <c r="FK843" s="1"/>
      <c r="FL843" s="1"/>
      <c r="FM843" s="1"/>
      <c r="FN843" s="1"/>
      <c r="FO843" s="1"/>
      <c r="FP843" s="1"/>
      <c r="FQ843" s="1"/>
      <c r="FR843" s="1"/>
      <c r="FS843" s="1"/>
      <c r="FT843" s="1"/>
      <c r="FV843" s="1"/>
      <c r="FW843" s="1"/>
      <c r="FX843" s="1"/>
      <c r="FY843" s="1"/>
      <c r="FZ843" s="1"/>
      <c r="GA843" s="1"/>
      <c r="GB843" s="1"/>
      <c r="GD843" s="1"/>
      <c r="GE843" s="1"/>
      <c r="GF843" s="1"/>
      <c r="GG843" s="1"/>
      <c r="GH843" s="1"/>
      <c r="GI843" s="1"/>
      <c r="GJ843" s="1"/>
      <c r="GL843" s="1"/>
      <c r="GM843" s="1"/>
      <c r="GN843" s="1"/>
      <c r="GO843" s="1"/>
      <c r="GP843" s="1"/>
      <c r="GR843" s="1"/>
      <c r="HF843" s="1"/>
      <c r="HH843" s="1"/>
      <c r="HN843" s="1"/>
      <c r="HT843" s="1"/>
      <c r="HY843" s="1"/>
      <c r="IC843" s="1"/>
      <c r="ID843" s="1"/>
      <c r="IE843" s="1"/>
      <c r="IR843" s="1"/>
      <c r="IS843" s="1"/>
      <c r="IZ843" s="1"/>
      <c r="JF843" s="1"/>
      <c r="JJ843" s="1"/>
      <c r="JN843" s="1"/>
      <c r="JP843" s="1"/>
      <c r="JQ843" s="1"/>
      <c r="JT843" s="1"/>
      <c r="KV843" s="1"/>
      <c r="KY843" s="1"/>
      <c r="KZ843" s="1"/>
      <c r="LA843" s="1"/>
      <c r="LB843" s="1"/>
      <c r="LC843" s="1"/>
      <c r="LD843" s="1"/>
      <c r="LF843" s="1"/>
      <c r="LN843" s="1"/>
      <c r="LO843" s="1"/>
      <c r="LP843" s="1"/>
      <c r="LZ843" s="1"/>
      <c r="MA843" s="1"/>
    </row>
    <row r="844" spans="4:339" ht="13" x14ac:dyDescent="0.15">
      <c r="D844" s="12"/>
      <c r="E844" s="12"/>
      <c r="I844" s="12"/>
      <c r="J844" s="13"/>
      <c r="BF844" s="1"/>
      <c r="BG844" s="1"/>
      <c r="BH844" s="1"/>
      <c r="BI844" s="1"/>
      <c r="BK844" s="1"/>
      <c r="BL844" s="1"/>
      <c r="BM844" s="1"/>
      <c r="BN844" s="1"/>
      <c r="BO844" s="1"/>
      <c r="BP844" s="1"/>
      <c r="BQ844" s="1"/>
      <c r="BR844" s="1"/>
      <c r="CD844" s="1"/>
      <c r="CE844" s="1"/>
      <c r="CF844" s="1"/>
      <c r="CG844" s="1"/>
      <c r="CH844" s="1"/>
      <c r="CI844" s="1"/>
      <c r="CM844" s="2"/>
      <c r="CN844" s="1"/>
      <c r="CO844" s="1"/>
      <c r="CP844" s="1"/>
      <c r="CQ844" s="1"/>
      <c r="CS844" s="1"/>
      <c r="CT844" s="1"/>
      <c r="CU844" s="1"/>
      <c r="CV844" s="1"/>
      <c r="CW844" s="1"/>
      <c r="CX844" s="1"/>
      <c r="CY844" s="1"/>
      <c r="CZ844" s="1"/>
      <c r="DA844" s="1"/>
      <c r="DB844" s="1"/>
      <c r="DC844" s="1"/>
      <c r="DD844" s="1"/>
      <c r="DE844" s="1"/>
      <c r="DF844" s="1"/>
      <c r="DG844" s="1"/>
      <c r="DH844" s="1"/>
      <c r="DI844" s="1"/>
      <c r="DJ844" s="1"/>
      <c r="DK844" s="1"/>
      <c r="DM844" s="1"/>
      <c r="DR844" s="1"/>
      <c r="ED844" s="1"/>
      <c r="EF844" s="1"/>
      <c r="EK844" s="1"/>
      <c r="EL844" s="1"/>
      <c r="EM844" s="1"/>
      <c r="EN844" s="1"/>
      <c r="EQ844" s="1"/>
      <c r="ER844" s="1"/>
      <c r="ES844" s="1"/>
      <c r="EV844" s="1"/>
      <c r="EW844" s="1"/>
      <c r="EZ844" s="1"/>
      <c r="FA844" s="1"/>
      <c r="FD844" s="1"/>
      <c r="FF844" s="1"/>
      <c r="FG844" s="1"/>
      <c r="FH844" s="1"/>
      <c r="FI844" s="1"/>
      <c r="FJ844" s="1"/>
      <c r="FK844" s="1"/>
      <c r="FL844" s="1"/>
      <c r="FM844" s="1"/>
      <c r="FN844" s="1"/>
      <c r="FO844" s="1"/>
      <c r="FP844" s="1"/>
      <c r="FQ844" s="1"/>
      <c r="FR844" s="1"/>
      <c r="FS844" s="1"/>
      <c r="FT844" s="1"/>
      <c r="FV844" s="1"/>
      <c r="FW844" s="1"/>
      <c r="FX844" s="1"/>
      <c r="FY844" s="1"/>
      <c r="FZ844" s="1"/>
      <c r="GA844" s="1"/>
      <c r="GB844" s="1"/>
      <c r="GD844" s="1"/>
      <c r="GE844" s="1"/>
      <c r="GF844" s="1"/>
      <c r="GG844" s="1"/>
      <c r="GH844" s="1"/>
      <c r="GI844" s="1"/>
      <c r="GJ844" s="1"/>
      <c r="GL844" s="1"/>
      <c r="GM844" s="1"/>
      <c r="GN844" s="1"/>
      <c r="GO844" s="1"/>
      <c r="GP844" s="1"/>
      <c r="GR844" s="1"/>
      <c r="HF844" s="1"/>
      <c r="HH844" s="1"/>
      <c r="HN844" s="1"/>
      <c r="HT844" s="1"/>
      <c r="HY844" s="1"/>
      <c r="IC844" s="1"/>
      <c r="ID844" s="1"/>
      <c r="IE844" s="1"/>
      <c r="IR844" s="1"/>
      <c r="IS844" s="1"/>
      <c r="IZ844" s="1"/>
      <c r="JF844" s="1"/>
      <c r="JJ844" s="1"/>
      <c r="JN844" s="1"/>
      <c r="JP844" s="1"/>
      <c r="JQ844" s="1"/>
      <c r="JT844" s="1"/>
      <c r="KV844" s="1"/>
      <c r="KY844" s="1"/>
      <c r="KZ844" s="1"/>
      <c r="LA844" s="1"/>
      <c r="LB844" s="1"/>
      <c r="LC844" s="1"/>
      <c r="LD844" s="1"/>
      <c r="LF844" s="1"/>
      <c r="LN844" s="1"/>
      <c r="LO844" s="1"/>
      <c r="LP844" s="1"/>
      <c r="LZ844" s="1"/>
      <c r="MA844" s="1"/>
    </row>
    <row r="845" spans="4:339" ht="13" x14ac:dyDescent="0.15">
      <c r="D845" s="12"/>
      <c r="E845" s="12"/>
      <c r="I845" s="12"/>
      <c r="J845" s="13"/>
      <c r="BF845" s="1"/>
      <c r="BG845" s="1"/>
      <c r="BH845" s="1"/>
      <c r="BI845" s="1"/>
      <c r="BK845" s="1"/>
      <c r="BL845" s="1"/>
      <c r="BM845" s="1"/>
      <c r="BN845" s="1"/>
      <c r="BO845" s="1"/>
      <c r="BP845" s="1"/>
      <c r="BQ845" s="1"/>
      <c r="BR845" s="1"/>
      <c r="CD845" s="1"/>
      <c r="CE845" s="1"/>
      <c r="CF845" s="1"/>
      <c r="CG845" s="1"/>
      <c r="CH845" s="1"/>
      <c r="CI845" s="1"/>
      <c r="CM845" s="2"/>
      <c r="CN845" s="1"/>
      <c r="CO845" s="1"/>
      <c r="CP845" s="1"/>
      <c r="CQ845" s="1"/>
      <c r="CS845" s="1"/>
      <c r="CT845" s="1"/>
      <c r="CU845" s="1"/>
      <c r="CV845" s="1"/>
      <c r="CW845" s="1"/>
      <c r="CX845" s="1"/>
      <c r="CY845" s="1"/>
      <c r="CZ845" s="1"/>
      <c r="DA845" s="1"/>
      <c r="DB845" s="1"/>
      <c r="DC845" s="1"/>
      <c r="DD845" s="1"/>
      <c r="DE845" s="1"/>
      <c r="DF845" s="1"/>
      <c r="DG845" s="1"/>
      <c r="DH845" s="1"/>
      <c r="DI845" s="1"/>
      <c r="DJ845" s="1"/>
      <c r="DK845" s="1"/>
      <c r="DM845" s="1"/>
      <c r="DR845" s="1"/>
      <c r="ED845" s="1"/>
      <c r="EF845" s="1"/>
      <c r="EK845" s="1"/>
      <c r="EL845" s="1"/>
      <c r="EM845" s="1"/>
      <c r="EN845" s="1"/>
      <c r="EQ845" s="1"/>
      <c r="ER845" s="1"/>
      <c r="ES845" s="1"/>
      <c r="EV845" s="1"/>
      <c r="EW845" s="1"/>
      <c r="EZ845" s="1"/>
      <c r="FA845" s="1"/>
      <c r="FD845" s="1"/>
      <c r="FF845" s="1"/>
      <c r="FG845" s="1"/>
      <c r="FH845" s="1"/>
      <c r="FI845" s="1"/>
      <c r="FJ845" s="1"/>
      <c r="FK845" s="1"/>
      <c r="FL845" s="1"/>
      <c r="FM845" s="1"/>
      <c r="FN845" s="1"/>
      <c r="FO845" s="1"/>
      <c r="FP845" s="1"/>
      <c r="FQ845" s="1"/>
      <c r="FR845" s="1"/>
      <c r="FS845" s="1"/>
      <c r="FT845" s="1"/>
      <c r="FV845" s="1"/>
      <c r="FW845" s="1"/>
      <c r="FX845" s="1"/>
      <c r="FY845" s="1"/>
      <c r="FZ845" s="1"/>
      <c r="GA845" s="1"/>
      <c r="GB845" s="1"/>
      <c r="GD845" s="1"/>
      <c r="GE845" s="1"/>
      <c r="GF845" s="1"/>
      <c r="GG845" s="1"/>
      <c r="GH845" s="1"/>
      <c r="GI845" s="1"/>
      <c r="GJ845" s="1"/>
      <c r="GL845" s="1"/>
      <c r="GM845" s="1"/>
      <c r="GN845" s="1"/>
      <c r="GO845" s="1"/>
      <c r="GP845" s="1"/>
      <c r="GR845" s="1"/>
      <c r="HF845" s="1"/>
      <c r="HH845" s="1"/>
      <c r="HN845" s="1"/>
      <c r="HT845" s="1"/>
      <c r="HY845" s="1"/>
      <c r="IC845" s="1"/>
      <c r="ID845" s="1"/>
      <c r="IE845" s="1"/>
      <c r="IR845" s="1"/>
      <c r="IS845" s="1"/>
      <c r="IZ845" s="1"/>
      <c r="JF845" s="1"/>
      <c r="JJ845" s="1"/>
      <c r="JN845" s="1"/>
      <c r="JP845" s="1"/>
      <c r="JQ845" s="1"/>
      <c r="JT845" s="1"/>
      <c r="KV845" s="1"/>
      <c r="KY845" s="1"/>
      <c r="KZ845" s="1"/>
      <c r="LA845" s="1"/>
      <c r="LB845" s="1"/>
      <c r="LC845" s="1"/>
      <c r="LD845" s="1"/>
      <c r="LF845" s="1"/>
      <c r="LN845" s="1"/>
      <c r="LO845" s="1"/>
      <c r="LP845" s="1"/>
      <c r="LZ845" s="1"/>
      <c r="MA845" s="1"/>
    </row>
    <row r="846" spans="4:339" ht="13" x14ac:dyDescent="0.15">
      <c r="D846" s="12"/>
      <c r="E846" s="12"/>
      <c r="I846" s="12"/>
      <c r="J846" s="13"/>
      <c r="BF846" s="1"/>
      <c r="BG846" s="1"/>
      <c r="BH846" s="1"/>
      <c r="BI846" s="1"/>
      <c r="BJ846" s="1"/>
      <c r="BK846" s="1"/>
      <c r="BL846" s="1"/>
      <c r="BM846" s="1"/>
      <c r="BN846" s="1"/>
      <c r="BP846" s="1"/>
      <c r="BQ846" s="1"/>
      <c r="BR846" s="1"/>
      <c r="CD846" s="1"/>
      <c r="CE846" s="1"/>
      <c r="CF846" s="1"/>
      <c r="CG846" s="1"/>
      <c r="CH846" s="1"/>
      <c r="CI846" s="1"/>
      <c r="CM846" s="2"/>
      <c r="CN846" s="1"/>
      <c r="CO846" s="1"/>
      <c r="CP846" s="1"/>
      <c r="CQ846" s="1"/>
      <c r="CX846" s="1"/>
      <c r="CY846" s="1"/>
      <c r="CZ846" s="1"/>
      <c r="DA846" s="1"/>
      <c r="DB846" s="1"/>
      <c r="DC846" s="1"/>
      <c r="DD846" s="1"/>
      <c r="DE846" s="1"/>
      <c r="DF846" s="1"/>
      <c r="DG846" s="1"/>
      <c r="DH846" s="1"/>
      <c r="DI846" s="1"/>
      <c r="DJ846" s="1"/>
      <c r="DK846" s="1"/>
      <c r="ED846" s="1"/>
      <c r="EK846" s="1"/>
      <c r="EL846" s="1"/>
      <c r="EM846" s="1"/>
      <c r="EN846" s="1"/>
      <c r="EQ846" s="1"/>
      <c r="ER846" s="1"/>
      <c r="ES846" s="1"/>
      <c r="EV846" s="1"/>
      <c r="EW846" s="1"/>
      <c r="EZ846" s="1"/>
      <c r="FA846" s="1"/>
      <c r="FD846" s="1"/>
      <c r="FP846" s="1"/>
      <c r="FX846" s="1"/>
      <c r="GA846" s="1"/>
      <c r="GD846" s="1"/>
      <c r="GE846" s="1"/>
      <c r="GF846" s="1"/>
      <c r="GG846" s="1"/>
      <c r="GH846" s="1"/>
      <c r="GI846" s="1"/>
      <c r="GJ846" s="1"/>
      <c r="GL846" s="1"/>
      <c r="GM846" s="1"/>
      <c r="GN846" s="1"/>
      <c r="GP846" s="1"/>
      <c r="GR846" s="1"/>
      <c r="GV846" s="1"/>
      <c r="HE846" s="1"/>
      <c r="HF846" s="1"/>
      <c r="IE846" s="1"/>
      <c r="IR846" s="1"/>
      <c r="IS846" s="1"/>
      <c r="IZ846" s="1"/>
      <c r="JJ846" s="1"/>
      <c r="JN846" s="1"/>
      <c r="JP846" s="1"/>
      <c r="JQ846" s="1"/>
      <c r="LZ846" s="1"/>
      <c r="MA846" s="1"/>
    </row>
    <row r="847" spans="4:339" ht="13" x14ac:dyDescent="0.15">
      <c r="D847" s="12"/>
      <c r="E847" s="12"/>
      <c r="I847" s="12"/>
      <c r="J847" s="13"/>
      <c r="BF847" s="1"/>
      <c r="BG847" s="1"/>
      <c r="BH847" s="1"/>
      <c r="BI847" s="1"/>
      <c r="BJ847" s="1"/>
      <c r="BK847" s="1"/>
      <c r="BL847" s="1"/>
      <c r="BM847" s="1"/>
      <c r="BN847" s="1"/>
      <c r="BO847" s="1"/>
      <c r="BP847" s="1"/>
      <c r="BQ847" s="1"/>
      <c r="BR847" s="1"/>
      <c r="CC847" s="1"/>
      <c r="CD847" s="1"/>
      <c r="CE847" s="1"/>
      <c r="CF847" s="1"/>
      <c r="CG847" s="1"/>
      <c r="CH847" s="1"/>
      <c r="CI847" s="1"/>
      <c r="CJ847" s="1"/>
      <c r="CK847" s="1"/>
      <c r="CM847" s="2"/>
      <c r="CN847" s="1"/>
      <c r="CO847" s="1"/>
      <c r="CP847" s="1"/>
      <c r="CQ847" s="1"/>
      <c r="CS847" s="1"/>
      <c r="CT847" s="1"/>
      <c r="CU847" s="1"/>
      <c r="CV847" s="1"/>
      <c r="CW847" s="1"/>
      <c r="CX847" s="1"/>
      <c r="CY847" s="1"/>
      <c r="CZ847" s="1"/>
      <c r="DA847" s="1"/>
      <c r="DB847" s="1"/>
      <c r="DC847" s="1"/>
      <c r="DD847" s="1"/>
      <c r="DE847" s="1"/>
      <c r="DF847" s="1"/>
      <c r="DG847" s="1"/>
      <c r="DH847" s="1"/>
      <c r="DI847" s="1"/>
      <c r="DJ847" s="1"/>
      <c r="DK847" s="1"/>
      <c r="DM847" s="1"/>
      <c r="DR847" s="1"/>
      <c r="ED847" s="1"/>
      <c r="EK847" s="1"/>
      <c r="EL847" s="1"/>
      <c r="EM847" s="1"/>
      <c r="EN847" s="1"/>
      <c r="EQ847" s="1"/>
      <c r="ER847" s="1"/>
      <c r="ES847" s="1"/>
      <c r="EV847" s="1"/>
      <c r="EW847" s="1"/>
      <c r="EZ847" s="1"/>
      <c r="FA847" s="1"/>
      <c r="FD847" s="1"/>
      <c r="FF847" s="1"/>
      <c r="FG847" s="1"/>
      <c r="FH847" s="1"/>
      <c r="FI847" s="1"/>
      <c r="FJ847" s="1"/>
      <c r="FK847" s="1"/>
      <c r="FM847" s="1"/>
      <c r="FN847" s="1"/>
      <c r="FO847" s="1"/>
      <c r="FP847" s="1"/>
      <c r="FQ847" s="1"/>
      <c r="FS847" s="1"/>
      <c r="FU847" s="1"/>
      <c r="FV847" s="1"/>
      <c r="FW847" s="1"/>
      <c r="FX847" s="1"/>
      <c r="FY847" s="1"/>
      <c r="FZ847" s="1"/>
      <c r="GA847" s="1"/>
      <c r="GD847" s="1"/>
      <c r="GE847" s="1"/>
      <c r="GF847" s="1"/>
      <c r="GG847" s="1"/>
      <c r="GH847" s="1"/>
      <c r="GI847" s="1"/>
      <c r="GJ847" s="1"/>
      <c r="GK847" s="1"/>
      <c r="GL847" s="1"/>
      <c r="GM847" s="1"/>
      <c r="GN847" s="1"/>
      <c r="GO847" s="1"/>
      <c r="GP847" s="1"/>
      <c r="GR847" s="1"/>
      <c r="GY847" s="1"/>
      <c r="HF847" s="1"/>
      <c r="HH847" s="1"/>
      <c r="HN847" s="1"/>
      <c r="HT847" s="1"/>
      <c r="HX847" s="1"/>
      <c r="HY847" s="1"/>
      <c r="IC847" s="1"/>
      <c r="ID847" s="1"/>
      <c r="IE847" s="1"/>
      <c r="IK847" s="1"/>
      <c r="IR847" s="1"/>
      <c r="IS847" s="1"/>
      <c r="IW847" s="1"/>
      <c r="IZ847" s="1"/>
      <c r="JA847" s="1"/>
      <c r="JC847" s="1"/>
      <c r="JF847" s="1"/>
      <c r="JG847" s="1"/>
      <c r="JH847" s="1"/>
      <c r="JJ847" s="1"/>
      <c r="JN847" s="1"/>
      <c r="JP847" s="1"/>
      <c r="JQ847" s="1"/>
      <c r="JT847" s="1"/>
      <c r="KU847" s="1"/>
      <c r="KV847" s="1"/>
      <c r="KW847" s="1"/>
      <c r="KY847" s="1"/>
      <c r="KZ847" s="1"/>
      <c r="LA847" s="1"/>
      <c r="LB847" s="1"/>
      <c r="LC847" s="1"/>
      <c r="LD847" s="1"/>
      <c r="LJ847" s="1"/>
      <c r="LN847" s="1"/>
      <c r="LO847" s="1"/>
      <c r="LP847" s="1"/>
      <c r="LZ847" s="1"/>
      <c r="MA847" s="1"/>
    </row>
    <row r="848" spans="4:339" ht="13" x14ac:dyDescent="0.15">
      <c r="D848" s="12"/>
      <c r="E848" s="12"/>
      <c r="I848" s="12"/>
      <c r="J848" s="13"/>
      <c r="BF848" s="1"/>
      <c r="BG848" s="1"/>
      <c r="BH848" s="1"/>
      <c r="BI848" s="1"/>
      <c r="BJ848" s="1"/>
      <c r="BK848" s="1"/>
      <c r="BL848" s="1"/>
      <c r="BM848" s="1"/>
      <c r="BN848" s="1"/>
      <c r="BO848" s="1"/>
      <c r="BP848" s="1"/>
      <c r="BQ848" s="1"/>
      <c r="BR848" s="1"/>
      <c r="CC848" s="1"/>
      <c r="CD848" s="1"/>
      <c r="CE848" s="1"/>
      <c r="CF848" s="1"/>
      <c r="CG848" s="1"/>
      <c r="CH848" s="1"/>
      <c r="CI848" s="1"/>
      <c r="CJ848" s="1"/>
      <c r="CK848" s="1"/>
      <c r="CM848" s="2"/>
      <c r="CN848" s="1"/>
      <c r="CO848" s="1"/>
      <c r="CP848" s="1"/>
      <c r="CQ848" s="1"/>
      <c r="CS848" s="1"/>
      <c r="CT848" s="1"/>
      <c r="CU848" s="1"/>
      <c r="CV848" s="1"/>
      <c r="CW848" s="1"/>
      <c r="CX848" s="1"/>
      <c r="CY848" s="1"/>
      <c r="CZ848" s="1"/>
      <c r="DA848" s="1"/>
      <c r="DB848" s="1"/>
      <c r="DC848" s="1"/>
      <c r="DD848" s="1"/>
      <c r="DE848" s="1"/>
      <c r="DF848" s="1"/>
      <c r="DG848" s="1"/>
      <c r="DH848" s="1"/>
      <c r="DI848" s="1"/>
      <c r="DJ848" s="1"/>
      <c r="DK848" s="1"/>
      <c r="DM848" s="1"/>
      <c r="DR848" s="1"/>
      <c r="ED848" s="1"/>
      <c r="EK848" s="1"/>
      <c r="EL848" s="1"/>
      <c r="EM848" s="1"/>
      <c r="EN848" s="1"/>
      <c r="EQ848" s="1"/>
      <c r="ER848" s="1"/>
      <c r="ES848" s="1"/>
      <c r="EV848" s="1"/>
      <c r="EW848" s="1"/>
      <c r="EZ848" s="1"/>
      <c r="FA848" s="1"/>
      <c r="FD848" s="1"/>
      <c r="FF848" s="1"/>
      <c r="FG848" s="1"/>
      <c r="FH848" s="1"/>
      <c r="FI848" s="1"/>
      <c r="FJ848" s="1"/>
      <c r="FK848" s="1"/>
      <c r="FM848" s="1"/>
      <c r="FN848" s="1"/>
      <c r="FO848" s="1"/>
      <c r="FP848" s="1"/>
      <c r="FQ848" s="1"/>
      <c r="FS848" s="1"/>
      <c r="FU848" s="1"/>
      <c r="FV848" s="1"/>
      <c r="FW848" s="1"/>
      <c r="FX848" s="1"/>
      <c r="FY848" s="1"/>
      <c r="FZ848" s="1"/>
      <c r="GA848" s="1"/>
      <c r="GD848" s="1"/>
      <c r="GE848" s="1"/>
      <c r="GF848" s="1"/>
      <c r="GG848" s="1"/>
      <c r="GH848" s="1"/>
      <c r="GI848" s="1"/>
      <c r="GJ848" s="1"/>
      <c r="GK848" s="1"/>
      <c r="GL848" s="1"/>
      <c r="GM848" s="1"/>
      <c r="GN848" s="1"/>
      <c r="GO848" s="1"/>
      <c r="GP848" s="1"/>
      <c r="GR848" s="1"/>
      <c r="GY848" s="1"/>
      <c r="HF848" s="1"/>
      <c r="HH848" s="1"/>
      <c r="HN848" s="1"/>
      <c r="HT848" s="1"/>
      <c r="HX848" s="1"/>
      <c r="HY848" s="1"/>
      <c r="IC848" s="1"/>
      <c r="ID848" s="1"/>
      <c r="IE848" s="1"/>
      <c r="IK848" s="1"/>
      <c r="IR848" s="1"/>
      <c r="IS848" s="1"/>
      <c r="IW848" s="1"/>
      <c r="IZ848" s="1"/>
      <c r="JA848" s="1"/>
      <c r="JC848" s="1"/>
      <c r="JF848" s="1"/>
      <c r="JG848" s="1"/>
      <c r="JH848" s="1"/>
      <c r="JJ848" s="1"/>
      <c r="JN848" s="1"/>
      <c r="JP848" s="1"/>
      <c r="JQ848" s="1"/>
      <c r="JT848" s="1"/>
      <c r="KU848" s="1"/>
      <c r="KV848" s="1"/>
      <c r="KW848" s="1"/>
      <c r="KY848" s="1"/>
      <c r="KZ848" s="1"/>
      <c r="LA848" s="1"/>
      <c r="LB848" s="1"/>
      <c r="LC848" s="1"/>
      <c r="LD848" s="1"/>
      <c r="LJ848" s="1"/>
      <c r="LN848" s="1"/>
      <c r="LO848" s="1"/>
      <c r="LP848" s="1"/>
      <c r="LZ848" s="1"/>
      <c r="MA848" s="1"/>
    </row>
    <row r="849" spans="4:339" ht="13" x14ac:dyDescent="0.15">
      <c r="D849" s="12"/>
      <c r="E849" s="12"/>
      <c r="I849" s="12"/>
      <c r="J849" s="13"/>
      <c r="BF849" s="1"/>
      <c r="BG849" s="1"/>
      <c r="BH849" s="1"/>
      <c r="BI849" s="1"/>
      <c r="BJ849" s="1"/>
      <c r="BK849" s="1"/>
      <c r="BL849" s="1"/>
      <c r="BM849" s="1"/>
      <c r="BN849" s="1"/>
      <c r="BO849" s="1"/>
      <c r="BP849" s="1"/>
      <c r="BQ849" s="1"/>
      <c r="BR849" s="1"/>
      <c r="CC849" s="1"/>
      <c r="CD849" s="1"/>
      <c r="CE849" s="1"/>
      <c r="CF849" s="1"/>
      <c r="CG849" s="1"/>
      <c r="CH849" s="1"/>
      <c r="CI849" s="1"/>
      <c r="CJ849" s="1"/>
      <c r="CK849" s="1"/>
      <c r="CM849" s="2"/>
      <c r="CN849" s="1"/>
      <c r="CO849" s="1"/>
      <c r="CP849" s="1"/>
      <c r="CQ849" s="1"/>
      <c r="CS849" s="1"/>
      <c r="CT849" s="1"/>
      <c r="CU849" s="1"/>
      <c r="CV849" s="1"/>
      <c r="CW849" s="1"/>
      <c r="CX849" s="1"/>
      <c r="CY849" s="1"/>
      <c r="CZ849" s="1"/>
      <c r="DA849" s="1"/>
      <c r="DB849" s="1"/>
      <c r="DC849" s="1"/>
      <c r="DD849" s="1"/>
      <c r="DE849" s="1"/>
      <c r="DF849" s="1"/>
      <c r="DG849" s="1"/>
      <c r="DH849" s="1"/>
      <c r="DI849" s="1"/>
      <c r="DJ849" s="1"/>
      <c r="DK849" s="1"/>
      <c r="DM849" s="1"/>
      <c r="DR849" s="1"/>
      <c r="ED849" s="1"/>
      <c r="EK849" s="1"/>
      <c r="EL849" s="1"/>
      <c r="EM849" s="1"/>
      <c r="EN849" s="1"/>
      <c r="EQ849" s="1"/>
      <c r="ER849" s="1"/>
      <c r="ES849" s="1"/>
      <c r="EV849" s="1"/>
      <c r="EW849" s="1"/>
      <c r="EZ849" s="1"/>
      <c r="FA849" s="1"/>
      <c r="FD849" s="1"/>
      <c r="FF849" s="1"/>
      <c r="FG849" s="1"/>
      <c r="FH849" s="1"/>
      <c r="FI849" s="1"/>
      <c r="FJ849" s="1"/>
      <c r="FK849" s="1"/>
      <c r="FM849" s="1"/>
      <c r="FN849" s="1"/>
      <c r="FO849" s="1"/>
      <c r="FP849" s="1"/>
      <c r="FQ849" s="1"/>
      <c r="FS849" s="1"/>
      <c r="FU849" s="1"/>
      <c r="FV849" s="1"/>
      <c r="FW849" s="1"/>
      <c r="FX849" s="1"/>
      <c r="FY849" s="1"/>
      <c r="FZ849" s="1"/>
      <c r="GA849" s="1"/>
      <c r="GD849" s="1"/>
      <c r="GE849" s="1"/>
      <c r="GF849" s="1"/>
      <c r="GG849" s="1"/>
      <c r="GH849" s="1"/>
      <c r="GI849" s="1"/>
      <c r="GJ849" s="1"/>
      <c r="GK849" s="1"/>
      <c r="GL849" s="1"/>
      <c r="GM849" s="1"/>
      <c r="GN849" s="1"/>
      <c r="GO849" s="1"/>
      <c r="GP849" s="1"/>
      <c r="GR849" s="1"/>
      <c r="GY849" s="1"/>
      <c r="HF849" s="1"/>
      <c r="HH849" s="1"/>
      <c r="HN849" s="1"/>
      <c r="HT849" s="1"/>
      <c r="HX849" s="1"/>
      <c r="HY849" s="1"/>
      <c r="IC849" s="1"/>
      <c r="ID849" s="1"/>
      <c r="IE849" s="1"/>
      <c r="IK849" s="1"/>
      <c r="IR849" s="1"/>
      <c r="IS849" s="1"/>
      <c r="IW849" s="1"/>
      <c r="IZ849" s="1"/>
      <c r="JA849" s="1"/>
      <c r="JC849" s="1"/>
      <c r="JF849" s="1"/>
      <c r="JG849" s="1"/>
      <c r="JH849" s="1"/>
      <c r="JJ849" s="1"/>
      <c r="JN849" s="1"/>
      <c r="JP849" s="1"/>
      <c r="JQ849" s="1"/>
      <c r="JT849" s="1"/>
      <c r="KU849" s="1"/>
      <c r="KV849" s="1"/>
      <c r="KW849" s="1"/>
      <c r="KY849" s="1"/>
      <c r="KZ849" s="1"/>
      <c r="LA849" s="1"/>
      <c r="LB849" s="1"/>
      <c r="LC849" s="1"/>
      <c r="LD849" s="1"/>
      <c r="LJ849" s="1"/>
      <c r="LN849" s="1"/>
      <c r="LO849" s="1"/>
      <c r="LP849" s="1"/>
      <c r="LZ849" s="1"/>
      <c r="MA849" s="1"/>
    </row>
    <row r="850" spans="4:339" ht="13" x14ac:dyDescent="0.15">
      <c r="D850" s="12"/>
      <c r="E850" s="12"/>
      <c r="I850" s="12"/>
      <c r="J850" s="13"/>
      <c r="BF850" s="1"/>
      <c r="BG850" s="1"/>
      <c r="BH850" s="1"/>
      <c r="BI850" s="1"/>
      <c r="BJ850" s="1"/>
      <c r="BK850" s="1"/>
      <c r="BL850" s="1"/>
      <c r="BM850" s="1"/>
      <c r="BN850" s="1"/>
      <c r="BO850" s="1"/>
      <c r="BP850" s="1"/>
      <c r="BQ850" s="1"/>
      <c r="BR850" s="1"/>
      <c r="CC850" s="1"/>
      <c r="CD850" s="1"/>
      <c r="CE850" s="1"/>
      <c r="CF850" s="1"/>
      <c r="CG850" s="1"/>
      <c r="CH850" s="1"/>
      <c r="CI850" s="1"/>
      <c r="CK850" s="1"/>
      <c r="CM850" s="2"/>
      <c r="CN850" s="1"/>
      <c r="CO850" s="1"/>
      <c r="CP850" s="1"/>
      <c r="CQ850" s="1"/>
      <c r="CV850" s="1"/>
      <c r="CW850" s="1"/>
      <c r="CX850" s="1"/>
      <c r="CY850" s="1"/>
      <c r="CZ850" s="1"/>
      <c r="DA850" s="1"/>
      <c r="DB850" s="1"/>
      <c r="DC850" s="1"/>
      <c r="DD850" s="1"/>
      <c r="DE850" s="1"/>
      <c r="DF850" s="1"/>
      <c r="DG850" s="1"/>
      <c r="DH850" s="1"/>
      <c r="DI850" s="1"/>
      <c r="DJ850" s="1"/>
      <c r="DK850" s="1"/>
      <c r="ED850" s="1"/>
      <c r="EF850" s="1"/>
      <c r="EK850" s="1"/>
      <c r="EL850" s="1"/>
      <c r="EM850" s="1"/>
      <c r="EN850" s="1"/>
      <c r="EQ850" s="1"/>
      <c r="ER850" s="1"/>
      <c r="ES850" s="1"/>
      <c r="EV850" s="1"/>
      <c r="EW850" s="1"/>
      <c r="EZ850" s="1"/>
      <c r="FA850" s="1"/>
      <c r="FD850" s="1"/>
      <c r="FJ850" s="1"/>
      <c r="FL850" s="1"/>
      <c r="FM850" s="1"/>
      <c r="FP850" s="1"/>
      <c r="FS850" s="1"/>
      <c r="FU850" s="1"/>
      <c r="FV850" s="1"/>
      <c r="GA850" s="1"/>
      <c r="GD850" s="1"/>
      <c r="GE850" s="1"/>
      <c r="GF850" s="1"/>
      <c r="GG850" s="1"/>
      <c r="GH850" s="1"/>
      <c r="GI850" s="1"/>
      <c r="GJ850" s="1"/>
      <c r="GM850" s="1"/>
      <c r="GN850" s="1"/>
      <c r="GP850" s="1"/>
      <c r="GV850" s="1"/>
      <c r="HF850" s="1"/>
      <c r="HH850" s="1"/>
      <c r="HN850" s="1"/>
      <c r="HT850" s="1"/>
      <c r="HY850" s="1"/>
      <c r="IE850" s="1"/>
      <c r="IG850" s="1"/>
      <c r="IH850" s="1"/>
      <c r="IJ850" s="1"/>
      <c r="IR850" s="1"/>
      <c r="IS850" s="1"/>
      <c r="IW850" s="1"/>
      <c r="IZ850" s="1"/>
      <c r="JG850" s="1"/>
      <c r="JJ850" s="1"/>
      <c r="JK850" s="1"/>
      <c r="JL850" s="6"/>
      <c r="JM850" s="1"/>
      <c r="JP850" s="1"/>
      <c r="JQ850" s="1"/>
      <c r="JR850" s="1"/>
      <c r="JT850" s="1"/>
      <c r="JW850" s="1"/>
      <c r="KS850" s="1"/>
      <c r="KT850" s="1"/>
      <c r="KW850" s="1"/>
      <c r="KY850" s="1"/>
      <c r="KZ850" s="1"/>
      <c r="LA850" s="1"/>
      <c r="LB850" s="1"/>
      <c r="LC850" s="1"/>
      <c r="LD850" s="1"/>
      <c r="LO850" s="1"/>
      <c r="LP850" s="1"/>
      <c r="LZ850" s="1"/>
      <c r="MA850" s="1"/>
    </row>
    <row r="851" spans="4:339" ht="13" x14ac:dyDescent="0.15">
      <c r="D851" s="12"/>
      <c r="E851" s="12"/>
      <c r="I851" s="12"/>
      <c r="J851" s="13"/>
      <c r="BF851" s="1"/>
      <c r="BG851" s="1"/>
      <c r="BH851" s="1"/>
      <c r="BI851" s="1"/>
      <c r="BJ851" s="1"/>
      <c r="BK851" s="1"/>
      <c r="BL851" s="1"/>
      <c r="BM851" s="1"/>
      <c r="BN851" s="1"/>
      <c r="BO851" s="1"/>
      <c r="BP851" s="1"/>
      <c r="BQ851" s="1"/>
      <c r="BR851" s="1"/>
      <c r="CC851" s="1"/>
      <c r="CD851" s="1"/>
      <c r="CE851" s="1"/>
      <c r="CF851" s="1"/>
      <c r="CG851" s="1"/>
      <c r="CH851" s="1"/>
      <c r="CI851" s="1"/>
      <c r="CK851" s="1"/>
      <c r="CM851" s="2"/>
      <c r="CN851" s="1"/>
      <c r="CO851" s="1"/>
      <c r="CP851" s="1"/>
      <c r="CQ851" s="1"/>
      <c r="CV851" s="1"/>
      <c r="CW851" s="1"/>
      <c r="CX851" s="1"/>
      <c r="CY851" s="1"/>
      <c r="CZ851" s="1"/>
      <c r="DA851" s="1"/>
      <c r="DB851" s="1"/>
      <c r="DC851" s="1"/>
      <c r="DD851" s="1"/>
      <c r="DE851" s="1"/>
      <c r="DF851" s="1"/>
      <c r="DG851" s="1"/>
      <c r="DH851" s="1"/>
      <c r="DI851" s="1"/>
      <c r="DJ851" s="1"/>
      <c r="DK851" s="1"/>
      <c r="ED851" s="1"/>
      <c r="EF851" s="1"/>
      <c r="EK851" s="1"/>
      <c r="EL851" s="1"/>
      <c r="EM851" s="1"/>
      <c r="EN851" s="1"/>
      <c r="EQ851" s="1"/>
      <c r="ER851" s="1"/>
      <c r="ES851" s="1"/>
      <c r="EV851" s="1"/>
      <c r="EW851" s="1"/>
      <c r="EZ851" s="1"/>
      <c r="FA851" s="1"/>
      <c r="FD851" s="1"/>
      <c r="FJ851" s="1"/>
      <c r="FL851" s="1"/>
      <c r="FM851" s="1"/>
      <c r="FP851" s="1"/>
      <c r="FS851" s="1"/>
      <c r="FU851" s="1"/>
      <c r="FV851" s="1"/>
      <c r="GA851" s="1"/>
      <c r="GD851" s="1"/>
      <c r="GE851" s="1"/>
      <c r="GF851" s="1"/>
      <c r="GG851" s="1"/>
      <c r="GH851" s="1"/>
      <c r="GI851" s="1"/>
      <c r="GJ851" s="1"/>
      <c r="GM851" s="1"/>
      <c r="GN851" s="1"/>
      <c r="GP851" s="1"/>
      <c r="GV851" s="1"/>
      <c r="HF851" s="1"/>
      <c r="HH851" s="1"/>
      <c r="HN851" s="1"/>
      <c r="HT851" s="1"/>
      <c r="HY851" s="1"/>
      <c r="IE851" s="1"/>
      <c r="IG851" s="1"/>
      <c r="IH851" s="1"/>
      <c r="IJ851" s="1"/>
      <c r="IR851" s="1"/>
      <c r="IS851" s="1"/>
      <c r="IW851" s="1"/>
      <c r="IZ851" s="1"/>
      <c r="JG851" s="1"/>
      <c r="JJ851" s="1"/>
      <c r="JK851" s="1"/>
      <c r="JL851" s="6"/>
      <c r="JM851" s="1"/>
      <c r="JP851" s="1"/>
      <c r="JQ851" s="1"/>
      <c r="JR851" s="1"/>
      <c r="JT851" s="1"/>
      <c r="JW851" s="1"/>
      <c r="KS851" s="1"/>
      <c r="KT851" s="1"/>
      <c r="KW851" s="1"/>
      <c r="KY851" s="1"/>
      <c r="KZ851" s="1"/>
      <c r="LA851" s="1"/>
      <c r="LB851" s="1"/>
      <c r="LC851" s="1"/>
      <c r="LD851" s="1"/>
      <c r="LO851" s="1"/>
      <c r="LP851" s="1"/>
      <c r="LZ851" s="1"/>
      <c r="MA851" s="1"/>
    </row>
    <row r="852" spans="4:339" ht="13" x14ac:dyDescent="0.15">
      <c r="D852" s="12"/>
      <c r="E852" s="12"/>
      <c r="I852" s="12"/>
      <c r="J852" s="13"/>
      <c r="BF852" s="1"/>
      <c r="BG852" s="1"/>
      <c r="BH852" s="1"/>
      <c r="BI852" s="1"/>
      <c r="BJ852" s="1"/>
      <c r="BK852" s="1"/>
      <c r="BL852" s="1"/>
      <c r="BM852" s="1"/>
      <c r="BN852" s="1"/>
      <c r="BO852" s="1"/>
      <c r="BP852" s="1"/>
      <c r="BQ852" s="1"/>
      <c r="BR852" s="1"/>
      <c r="CC852" s="1"/>
      <c r="CD852" s="1"/>
      <c r="CE852" s="1"/>
      <c r="CF852" s="1"/>
      <c r="CG852" s="1"/>
      <c r="CH852" s="1"/>
      <c r="CI852" s="1"/>
      <c r="CK852" s="1"/>
      <c r="CM852" s="2"/>
      <c r="CN852" s="1"/>
      <c r="CO852" s="1"/>
      <c r="CP852" s="1"/>
      <c r="CQ852" s="1"/>
      <c r="CV852" s="1"/>
      <c r="CW852" s="1"/>
      <c r="CX852" s="1"/>
      <c r="CY852" s="1"/>
      <c r="CZ852" s="1"/>
      <c r="DA852" s="1"/>
      <c r="DB852" s="1"/>
      <c r="DC852" s="1"/>
      <c r="DD852" s="1"/>
      <c r="DE852" s="1"/>
      <c r="DF852" s="1"/>
      <c r="DG852" s="1"/>
      <c r="DH852" s="1"/>
      <c r="DI852" s="1"/>
      <c r="DJ852" s="1"/>
      <c r="DK852" s="1"/>
      <c r="ED852" s="1"/>
      <c r="EF852" s="1"/>
      <c r="EK852" s="1"/>
      <c r="EL852" s="1"/>
      <c r="EM852" s="1"/>
      <c r="EN852" s="1"/>
      <c r="EQ852" s="1"/>
      <c r="ER852" s="1"/>
      <c r="ES852" s="1"/>
      <c r="EV852" s="1"/>
      <c r="EW852" s="1"/>
      <c r="EZ852" s="1"/>
      <c r="FA852" s="1"/>
      <c r="FD852" s="1"/>
      <c r="FJ852" s="1"/>
      <c r="FL852" s="1"/>
      <c r="FM852" s="1"/>
      <c r="FP852" s="1"/>
      <c r="FS852" s="1"/>
      <c r="FU852" s="1"/>
      <c r="FV852" s="1"/>
      <c r="GA852" s="1"/>
      <c r="GD852" s="1"/>
      <c r="GE852" s="1"/>
      <c r="GF852" s="1"/>
      <c r="GG852" s="1"/>
      <c r="GH852" s="1"/>
      <c r="GI852" s="1"/>
      <c r="GJ852" s="1"/>
      <c r="GM852" s="1"/>
      <c r="GN852" s="1"/>
      <c r="GP852" s="1"/>
      <c r="GV852" s="1"/>
      <c r="HF852" s="1"/>
      <c r="HH852" s="1"/>
      <c r="HN852" s="1"/>
      <c r="HT852" s="1"/>
      <c r="HY852" s="1"/>
      <c r="IE852" s="1"/>
      <c r="IG852" s="1"/>
      <c r="IH852" s="1"/>
      <c r="IJ852" s="1"/>
      <c r="IR852" s="1"/>
      <c r="IS852" s="1"/>
      <c r="IW852" s="1"/>
      <c r="IZ852" s="1"/>
      <c r="JG852" s="1"/>
      <c r="JJ852" s="1"/>
      <c r="JK852" s="1"/>
      <c r="JL852" s="6"/>
      <c r="JM852" s="1"/>
      <c r="JP852" s="1"/>
      <c r="JQ852" s="1"/>
      <c r="JR852" s="1"/>
      <c r="JT852" s="1"/>
      <c r="JW852" s="1"/>
      <c r="KS852" s="1"/>
      <c r="KT852" s="1"/>
      <c r="KW852" s="1"/>
      <c r="KY852" s="1"/>
      <c r="KZ852" s="1"/>
      <c r="LA852" s="1"/>
      <c r="LB852" s="1"/>
      <c r="LC852" s="1"/>
      <c r="LD852" s="1"/>
      <c r="LO852" s="1"/>
      <c r="LP852" s="1"/>
      <c r="LZ852" s="1"/>
      <c r="MA852" s="1"/>
    </row>
    <row r="853" spans="4:339" ht="13" x14ac:dyDescent="0.15">
      <c r="D853" s="12"/>
      <c r="E853" s="12"/>
      <c r="I853" s="12"/>
      <c r="J853" s="13"/>
      <c r="BF853" s="1"/>
      <c r="BG853" s="1"/>
      <c r="BH853" s="1"/>
      <c r="BI853" s="1"/>
      <c r="BJ853" s="1"/>
      <c r="BK853" s="1"/>
      <c r="BL853" s="1"/>
      <c r="BM853" s="1"/>
      <c r="BN853" s="1"/>
      <c r="BO853" s="1"/>
      <c r="BP853" s="1"/>
      <c r="BQ853" s="1"/>
      <c r="BR853" s="1"/>
      <c r="CC853" s="1"/>
      <c r="CD853" s="1"/>
      <c r="CE853" s="1"/>
      <c r="CF853" s="1"/>
      <c r="CG853" s="1"/>
      <c r="CH853" s="1"/>
      <c r="CI853" s="1"/>
      <c r="CK853" s="1"/>
      <c r="CM853" s="2"/>
      <c r="CN853" s="1"/>
      <c r="CO853" s="1"/>
      <c r="CP853" s="1"/>
      <c r="CQ853" s="1"/>
      <c r="CV853" s="1"/>
      <c r="CW853" s="1"/>
      <c r="CX853" s="1"/>
      <c r="CY853" s="1"/>
      <c r="CZ853" s="1"/>
      <c r="DA853" s="1"/>
      <c r="DB853" s="1"/>
      <c r="DC853" s="1"/>
      <c r="DD853" s="1"/>
      <c r="DE853" s="1"/>
      <c r="DF853" s="1"/>
      <c r="DG853" s="1"/>
      <c r="DH853" s="1"/>
      <c r="DI853" s="1"/>
      <c r="DJ853" s="1"/>
      <c r="DK853" s="1"/>
      <c r="ED853" s="1"/>
      <c r="EF853" s="1"/>
      <c r="EK853" s="1"/>
      <c r="EL853" s="1"/>
      <c r="EM853" s="1"/>
      <c r="EN853" s="1"/>
      <c r="EQ853" s="1"/>
      <c r="ER853" s="1"/>
      <c r="ES853" s="1"/>
      <c r="EV853" s="1"/>
      <c r="EW853" s="1"/>
      <c r="EZ853" s="1"/>
      <c r="FA853" s="1"/>
      <c r="FD853" s="1"/>
      <c r="FJ853" s="1"/>
      <c r="FL853" s="1"/>
      <c r="FM853" s="1"/>
      <c r="FP853" s="1"/>
      <c r="FS853" s="1"/>
      <c r="FU853" s="1"/>
      <c r="FV853" s="1"/>
      <c r="GA853" s="1"/>
      <c r="GD853" s="1"/>
      <c r="GE853" s="1"/>
      <c r="GF853" s="1"/>
      <c r="GG853" s="1"/>
      <c r="GH853" s="1"/>
      <c r="GI853" s="1"/>
      <c r="GJ853" s="1"/>
      <c r="GM853" s="1"/>
      <c r="GN853" s="1"/>
      <c r="GP853" s="1"/>
      <c r="GV853" s="1"/>
      <c r="HF853" s="1"/>
      <c r="HH853" s="1"/>
      <c r="HN853" s="1"/>
      <c r="HT853" s="1"/>
      <c r="HY853" s="1"/>
      <c r="IE853" s="1"/>
      <c r="IG853" s="1"/>
      <c r="IH853" s="1"/>
      <c r="IJ853" s="1"/>
      <c r="IR853" s="1"/>
      <c r="IS853" s="1"/>
      <c r="IW853" s="1"/>
      <c r="IZ853" s="1"/>
      <c r="JG853" s="1"/>
      <c r="JJ853" s="1"/>
      <c r="JK853" s="1"/>
      <c r="JL853" s="6"/>
      <c r="JM853" s="1"/>
      <c r="JP853" s="1"/>
      <c r="JQ853" s="1"/>
      <c r="JR853" s="1"/>
      <c r="JT853" s="1"/>
      <c r="JW853" s="1"/>
      <c r="KS853" s="1"/>
      <c r="KT853" s="1"/>
      <c r="KW853" s="1"/>
      <c r="KY853" s="1"/>
      <c r="KZ853" s="1"/>
      <c r="LA853" s="1"/>
      <c r="LB853" s="1"/>
      <c r="LC853" s="1"/>
      <c r="LD853" s="1"/>
      <c r="LO853" s="1"/>
      <c r="LP853" s="1"/>
      <c r="LZ853" s="1"/>
      <c r="MA853" s="1"/>
    </row>
    <row r="854" spans="4:339" ht="13" x14ac:dyDescent="0.15">
      <c r="D854" s="12"/>
      <c r="E854" s="12"/>
      <c r="I854" s="12"/>
      <c r="J854" s="13"/>
      <c r="BF854" s="1"/>
      <c r="BG854" s="1"/>
      <c r="BH854" s="1"/>
      <c r="BI854" s="1"/>
      <c r="BJ854" s="1"/>
      <c r="BK854" s="1"/>
      <c r="BL854" s="1"/>
      <c r="BM854" s="1"/>
      <c r="BN854" s="1"/>
      <c r="BO854" s="1"/>
      <c r="BP854" s="1"/>
      <c r="BQ854" s="1"/>
      <c r="BR854" s="1"/>
      <c r="CC854" s="1"/>
      <c r="CD854" s="1"/>
      <c r="CE854" s="1"/>
      <c r="CF854" s="1"/>
      <c r="CG854" s="1"/>
      <c r="CH854" s="1"/>
      <c r="CI854" s="1"/>
      <c r="CK854" s="1"/>
      <c r="CM854" s="2"/>
      <c r="CN854" s="1"/>
      <c r="CO854" s="1"/>
      <c r="CP854" s="1"/>
      <c r="CQ854" s="1"/>
      <c r="CV854" s="1"/>
      <c r="CW854" s="1"/>
      <c r="CX854" s="1"/>
      <c r="CY854" s="1"/>
      <c r="CZ854" s="1"/>
      <c r="DA854" s="1"/>
      <c r="DB854" s="1"/>
      <c r="DC854" s="1"/>
      <c r="DD854" s="1"/>
      <c r="DE854" s="1"/>
      <c r="DF854" s="1"/>
      <c r="DG854" s="1"/>
      <c r="DH854" s="1"/>
      <c r="DI854" s="1"/>
      <c r="DJ854" s="1"/>
      <c r="DK854" s="1"/>
      <c r="ED854" s="1"/>
      <c r="EF854" s="1"/>
      <c r="EK854" s="1"/>
      <c r="EL854" s="1"/>
      <c r="EM854" s="1"/>
      <c r="EN854" s="1"/>
      <c r="EQ854" s="1"/>
      <c r="ER854" s="1"/>
      <c r="ES854" s="1"/>
      <c r="EV854" s="1"/>
      <c r="EW854" s="1"/>
      <c r="EZ854" s="1"/>
      <c r="FA854" s="1"/>
      <c r="FD854" s="1"/>
      <c r="FJ854" s="1"/>
      <c r="FL854" s="1"/>
      <c r="FM854" s="1"/>
      <c r="FP854" s="1"/>
      <c r="FS854" s="1"/>
      <c r="FU854" s="1"/>
      <c r="FV854" s="1"/>
      <c r="GA854" s="1"/>
      <c r="GD854" s="1"/>
      <c r="GE854" s="1"/>
      <c r="GF854" s="1"/>
      <c r="GG854" s="1"/>
      <c r="GH854" s="1"/>
      <c r="GI854" s="1"/>
      <c r="GJ854" s="1"/>
      <c r="GM854" s="1"/>
      <c r="GN854" s="1"/>
      <c r="GP854" s="1"/>
      <c r="GV854" s="1"/>
      <c r="HF854" s="1"/>
      <c r="HH854" s="1"/>
      <c r="HN854" s="1"/>
      <c r="HT854" s="1"/>
      <c r="HY854" s="1"/>
      <c r="IE854" s="1"/>
      <c r="IG854" s="1"/>
      <c r="IH854" s="1"/>
      <c r="IJ854" s="1"/>
      <c r="IR854" s="1"/>
      <c r="IS854" s="1"/>
      <c r="IW854" s="1"/>
      <c r="IZ854" s="1"/>
      <c r="JG854" s="1"/>
      <c r="JJ854" s="1"/>
      <c r="JK854" s="1"/>
      <c r="JL854" s="6"/>
      <c r="JM854" s="1"/>
      <c r="JP854" s="1"/>
      <c r="JQ854" s="1"/>
      <c r="JR854" s="1"/>
      <c r="JT854" s="1"/>
      <c r="JW854" s="1"/>
      <c r="KS854" s="1"/>
      <c r="KT854" s="1"/>
      <c r="KW854" s="1"/>
      <c r="KY854" s="1"/>
      <c r="KZ854" s="1"/>
      <c r="LA854" s="1"/>
      <c r="LB854" s="1"/>
      <c r="LC854" s="1"/>
      <c r="LD854" s="1"/>
      <c r="LO854" s="1"/>
      <c r="LP854" s="1"/>
      <c r="LZ854" s="1"/>
      <c r="MA854" s="1"/>
    </row>
    <row r="855" spans="4:339" ht="13" x14ac:dyDescent="0.15">
      <c r="D855" s="12"/>
      <c r="E855" s="12"/>
      <c r="I855" s="12"/>
      <c r="J855" s="13"/>
      <c r="BF855" s="1"/>
      <c r="BG855" s="1"/>
      <c r="BH855" s="1"/>
      <c r="BI855" s="1"/>
      <c r="BJ855" s="1"/>
      <c r="BK855" s="1"/>
      <c r="BL855" s="1"/>
      <c r="BM855" s="1"/>
      <c r="BN855" s="1"/>
      <c r="BO855" s="1"/>
      <c r="BP855" s="1"/>
      <c r="BQ855" s="1"/>
      <c r="BR855" s="1"/>
      <c r="CC855" s="1"/>
      <c r="CD855" s="1"/>
      <c r="CE855" s="1"/>
      <c r="CF855" s="1"/>
      <c r="CG855" s="1"/>
      <c r="CH855" s="1"/>
      <c r="CI855" s="1"/>
      <c r="CM855" s="2"/>
      <c r="CN855" s="1"/>
      <c r="CO855" s="1"/>
      <c r="CP855" s="1"/>
      <c r="CQ855" s="1"/>
      <c r="CX855" s="1"/>
      <c r="CY855" s="1"/>
      <c r="CZ855" s="1"/>
      <c r="DA855" s="1"/>
      <c r="DB855" s="1"/>
      <c r="DC855" s="1"/>
      <c r="DD855" s="1"/>
      <c r="DE855" s="1"/>
      <c r="DF855" s="1"/>
      <c r="DG855" s="1"/>
      <c r="DH855" s="1"/>
      <c r="DI855" s="1"/>
      <c r="DJ855" s="1"/>
      <c r="DK855" s="1"/>
      <c r="ED855" s="1"/>
      <c r="EK855" s="1"/>
      <c r="EL855" s="1"/>
      <c r="EM855" s="1"/>
      <c r="EN855" s="1"/>
      <c r="EQ855" s="1"/>
      <c r="ER855" s="1"/>
      <c r="ES855" s="1"/>
      <c r="EV855" s="1"/>
      <c r="EW855" s="1"/>
      <c r="EX855" s="1"/>
      <c r="EZ855" s="1"/>
      <c r="FA855" s="1"/>
      <c r="FD855" s="1"/>
      <c r="FH855" s="1"/>
      <c r="FP855" s="1"/>
      <c r="FV855" s="1"/>
      <c r="FW855" s="1"/>
      <c r="FX855" s="1"/>
      <c r="GA855" s="1"/>
      <c r="GD855" s="1"/>
      <c r="GE855" s="1"/>
      <c r="GF855" s="1"/>
      <c r="GG855" s="1"/>
      <c r="GH855" s="1"/>
      <c r="GI855" s="1"/>
      <c r="GJ855" s="1"/>
      <c r="GK855" s="1"/>
      <c r="GL855" s="1"/>
      <c r="GM855" s="1"/>
      <c r="GN855" s="1"/>
      <c r="GP855" s="1"/>
      <c r="GR855" s="1"/>
      <c r="GY855" s="1"/>
      <c r="HF855" s="1"/>
      <c r="HH855" s="1"/>
      <c r="HN855" s="1"/>
      <c r="HQ855" s="1"/>
      <c r="HR855" s="1"/>
      <c r="HS855" s="1"/>
      <c r="HT855" s="1"/>
      <c r="HX855" s="1"/>
      <c r="HY855" s="1"/>
      <c r="ID855" s="1"/>
      <c r="IE855" s="1"/>
      <c r="IQ855" s="1"/>
      <c r="IR855" s="1"/>
      <c r="IS855" s="1"/>
      <c r="IZ855" s="1"/>
      <c r="JF855" s="1"/>
      <c r="JG855" s="1"/>
      <c r="JH855" s="1"/>
      <c r="JJ855" s="1"/>
      <c r="JN855" s="1"/>
      <c r="JP855" s="1"/>
      <c r="JQ855" s="1"/>
      <c r="JT855" s="1"/>
      <c r="JW855" s="1"/>
      <c r="KS855" s="1"/>
      <c r="KT855" s="1"/>
      <c r="KY855" s="1"/>
      <c r="KZ855" s="1"/>
      <c r="LA855" s="1"/>
      <c r="LB855" s="1"/>
      <c r="LC855" s="1"/>
      <c r="LD855" s="1"/>
      <c r="LO855" s="1"/>
      <c r="LP855" s="1"/>
      <c r="LZ855" s="1"/>
      <c r="MA855" s="1"/>
    </row>
    <row r="856" spans="4:339" ht="13" x14ac:dyDescent="0.15">
      <c r="D856" s="12"/>
      <c r="E856" s="12"/>
      <c r="I856" s="12"/>
      <c r="J856" s="13"/>
      <c r="BG856" s="1"/>
      <c r="BH856" s="1"/>
      <c r="BI856" s="1"/>
      <c r="BK856" s="1"/>
      <c r="BL856" s="1"/>
      <c r="BM856" s="1"/>
      <c r="BN856" s="1"/>
      <c r="BO856" s="1"/>
      <c r="BP856" s="1"/>
      <c r="BQ856" s="1"/>
      <c r="BR856" s="1"/>
      <c r="CD856" s="1"/>
      <c r="CE856" s="1"/>
      <c r="CF856" s="1"/>
      <c r="CG856" s="1"/>
      <c r="CH856" s="1"/>
      <c r="CI856" s="1"/>
      <c r="CK856" s="1"/>
      <c r="CM856" s="4"/>
      <c r="CN856" s="1"/>
      <c r="CO856" s="1"/>
      <c r="CP856" s="1"/>
      <c r="CQ856" s="1"/>
      <c r="CX856" s="1"/>
      <c r="CY856" s="1"/>
      <c r="CZ856" s="1"/>
      <c r="DA856" s="1"/>
      <c r="DB856" s="1"/>
      <c r="DC856" s="1"/>
      <c r="DD856" s="1"/>
      <c r="DE856" s="1"/>
      <c r="DF856" s="1"/>
      <c r="DG856" s="1"/>
      <c r="DH856" s="1"/>
      <c r="DI856" s="1"/>
      <c r="DJ856" s="1"/>
      <c r="DK856" s="1"/>
      <c r="ED856" s="1"/>
      <c r="EK856" s="1"/>
      <c r="EL856" s="1"/>
      <c r="EM856" s="1"/>
      <c r="EN856" s="1"/>
      <c r="EQ856" s="1"/>
      <c r="ER856" s="1"/>
      <c r="ES856" s="1"/>
      <c r="EV856" s="1"/>
      <c r="EW856" s="1"/>
      <c r="EZ856" s="1"/>
      <c r="FA856" s="1"/>
      <c r="FD856" s="1"/>
      <c r="GA856" s="1"/>
      <c r="GD856" s="1"/>
      <c r="GE856" s="1"/>
      <c r="GF856" s="1"/>
      <c r="GG856" s="1"/>
      <c r="GH856" s="1"/>
      <c r="GI856" s="1"/>
      <c r="GJ856" s="1"/>
      <c r="GK856" s="1"/>
      <c r="GL856" s="1"/>
      <c r="GM856" s="1"/>
      <c r="GN856" s="1"/>
      <c r="GP856" s="1"/>
      <c r="GY856" s="1"/>
      <c r="HF856" s="1"/>
      <c r="HN856" s="1"/>
      <c r="HY856" s="1"/>
      <c r="ID856" s="1"/>
      <c r="IE856" s="1"/>
      <c r="IR856" s="1"/>
      <c r="IS856" s="1"/>
      <c r="IW856" s="1"/>
      <c r="IZ856" s="1"/>
      <c r="JA856" s="1"/>
      <c r="JG856" s="1"/>
      <c r="JJ856" s="1"/>
      <c r="JP856" s="1"/>
      <c r="JQ856" s="1"/>
      <c r="KU856" s="1"/>
      <c r="KY856" s="1"/>
      <c r="KZ856" s="1"/>
      <c r="LA856" s="1"/>
      <c r="LB856" s="1"/>
      <c r="LZ856" s="1"/>
      <c r="MA856" s="1"/>
    </row>
    <row r="857" spans="4:339" ht="13" x14ac:dyDescent="0.15">
      <c r="D857" s="12"/>
      <c r="E857" s="12"/>
      <c r="I857" s="12"/>
      <c r="J857" s="13"/>
      <c r="BF857" s="1"/>
      <c r="BG857" s="1"/>
      <c r="BH857" s="1"/>
      <c r="BI857" s="1"/>
      <c r="BK857" s="1"/>
      <c r="BL857" s="1"/>
      <c r="BM857" s="1"/>
      <c r="BN857" s="1"/>
      <c r="BO857" s="1"/>
      <c r="BP857" s="1"/>
      <c r="BQ857" s="1"/>
      <c r="BR857" s="1"/>
      <c r="CC857" s="1"/>
      <c r="CD857" s="1"/>
      <c r="CE857" s="1"/>
      <c r="CF857" s="1"/>
      <c r="CG857" s="1"/>
      <c r="CH857" s="1"/>
      <c r="CI857" s="1"/>
      <c r="CK857" s="1"/>
      <c r="CM857" s="2"/>
      <c r="CN857" s="1"/>
      <c r="CO857" s="1"/>
      <c r="CP857" s="1"/>
      <c r="CQ857" s="1"/>
      <c r="CS857" s="1"/>
      <c r="CT857" s="1"/>
      <c r="CU857" s="1"/>
      <c r="CV857" s="1"/>
      <c r="CW857" s="1"/>
      <c r="CX857" s="1"/>
      <c r="CY857" s="1"/>
      <c r="CZ857" s="1"/>
      <c r="DA857" s="1"/>
      <c r="DB857" s="1"/>
      <c r="DC857" s="1"/>
      <c r="DD857" s="1"/>
      <c r="DE857" s="1"/>
      <c r="DF857" s="1"/>
      <c r="DG857" s="1"/>
      <c r="DH857" s="1"/>
      <c r="DI857" s="1"/>
      <c r="DJ857" s="1"/>
      <c r="DK857" s="1"/>
      <c r="DM857" s="1"/>
      <c r="DQ857" s="1"/>
      <c r="DR857" s="1"/>
      <c r="DY857" s="1"/>
      <c r="DZ857" s="1"/>
      <c r="ED857" s="1"/>
      <c r="EK857" s="1"/>
      <c r="EL857" s="1"/>
      <c r="EM857" s="1"/>
      <c r="EN857" s="1"/>
      <c r="EQ857" s="1"/>
      <c r="ER857" s="1"/>
      <c r="ES857" s="1"/>
      <c r="EV857" s="1"/>
      <c r="EW857" s="1"/>
      <c r="EZ857" s="1"/>
      <c r="FA857" s="1"/>
      <c r="FD857" s="1"/>
      <c r="FG857" s="1"/>
      <c r="FH857" s="1"/>
      <c r="FI857" s="1"/>
      <c r="FJ857" s="1"/>
      <c r="FL857" s="1"/>
      <c r="FM857" s="1"/>
      <c r="FN857" s="1"/>
      <c r="FO857" s="1"/>
      <c r="FP857" s="1"/>
      <c r="FS857" s="1"/>
      <c r="FT857" s="1"/>
      <c r="FU857" s="1"/>
      <c r="FV857" s="1"/>
      <c r="FW857" s="1"/>
      <c r="FX857" s="1"/>
      <c r="FY857" s="1"/>
      <c r="FZ857" s="1"/>
      <c r="GA857" s="1"/>
      <c r="GB857" s="1"/>
      <c r="GD857" s="1"/>
      <c r="GE857" s="1"/>
      <c r="GF857" s="1"/>
      <c r="GG857" s="1"/>
      <c r="GH857" s="1"/>
      <c r="GI857" s="1"/>
      <c r="GJ857" s="1"/>
      <c r="GK857" s="1"/>
      <c r="GL857" s="1"/>
      <c r="GM857" s="1"/>
      <c r="GN857" s="1"/>
      <c r="GO857" s="1"/>
      <c r="GP857" s="1"/>
      <c r="GY857" s="1"/>
      <c r="HF857" s="1"/>
      <c r="HH857" s="1"/>
      <c r="HT857" s="1"/>
      <c r="HY857" s="1"/>
      <c r="IA857" s="1"/>
      <c r="ID857" s="1"/>
      <c r="IE857" s="1"/>
      <c r="IR857" s="1"/>
      <c r="IS857" s="1"/>
      <c r="IZ857" s="1"/>
      <c r="JF857" s="1"/>
      <c r="JG857" s="1"/>
      <c r="JH857" s="1"/>
      <c r="JJ857" s="1"/>
      <c r="JP857" s="1"/>
      <c r="JQ857" s="1"/>
      <c r="JT857" s="1"/>
      <c r="JW857" s="1"/>
      <c r="KS857" s="1"/>
      <c r="KT857" s="1"/>
      <c r="KY857" s="1"/>
      <c r="KZ857" s="1"/>
      <c r="LA857" s="1"/>
      <c r="LB857" s="1"/>
      <c r="LC857" s="1"/>
      <c r="LD857" s="1"/>
      <c r="LO857" s="1"/>
      <c r="LP857" s="1"/>
      <c r="LZ857" s="1"/>
      <c r="MA857" s="1"/>
    </row>
    <row r="858" spans="4:339" ht="13" x14ac:dyDescent="0.15">
      <c r="D858" s="12"/>
      <c r="E858" s="12"/>
      <c r="I858" s="12"/>
      <c r="J858" s="13"/>
      <c r="BF858" s="1"/>
      <c r="BG858" s="1"/>
      <c r="BH858" s="1"/>
      <c r="BI858" s="1"/>
      <c r="BK858" s="1"/>
      <c r="BL858" s="1"/>
      <c r="BM858" s="1"/>
      <c r="BN858" s="1"/>
      <c r="BO858" s="1"/>
      <c r="BP858" s="1"/>
      <c r="BQ858" s="1"/>
      <c r="BR858" s="1"/>
      <c r="CC858" s="1"/>
      <c r="CD858" s="1"/>
      <c r="CE858" s="1"/>
      <c r="CF858" s="1"/>
      <c r="CG858" s="1"/>
      <c r="CH858" s="1"/>
      <c r="CI858" s="1"/>
      <c r="CK858" s="1"/>
      <c r="CM858" s="2"/>
      <c r="CN858" s="1"/>
      <c r="CO858" s="1"/>
      <c r="CP858" s="1"/>
      <c r="CQ858" s="1"/>
      <c r="CS858" s="1"/>
      <c r="CT858" s="1"/>
      <c r="CU858" s="1"/>
      <c r="CV858" s="1"/>
      <c r="CW858" s="1"/>
      <c r="CX858" s="1"/>
      <c r="CY858" s="1"/>
      <c r="CZ858" s="1"/>
      <c r="DA858" s="1"/>
      <c r="DB858" s="1"/>
      <c r="DC858" s="1"/>
      <c r="DD858" s="1"/>
      <c r="DE858" s="1"/>
      <c r="DF858" s="1"/>
      <c r="DG858" s="1"/>
      <c r="DH858" s="1"/>
      <c r="DI858" s="1"/>
      <c r="DJ858" s="1"/>
      <c r="DK858" s="1"/>
      <c r="DM858" s="1"/>
      <c r="DQ858" s="1"/>
      <c r="DR858" s="1"/>
      <c r="DY858" s="1"/>
      <c r="DZ858" s="1"/>
      <c r="ED858" s="1"/>
      <c r="EK858" s="1"/>
      <c r="EL858" s="1"/>
      <c r="EM858" s="1"/>
      <c r="EN858" s="1"/>
      <c r="EQ858" s="1"/>
      <c r="ER858" s="1"/>
      <c r="ES858" s="1"/>
      <c r="EV858" s="1"/>
      <c r="EW858" s="1"/>
      <c r="EZ858" s="1"/>
      <c r="FA858" s="1"/>
      <c r="FD858" s="1"/>
      <c r="FG858" s="1"/>
      <c r="FH858" s="1"/>
      <c r="FI858" s="1"/>
      <c r="FJ858" s="1"/>
      <c r="FL858" s="1"/>
      <c r="FM858" s="1"/>
      <c r="FN858" s="1"/>
      <c r="FO858" s="1"/>
      <c r="FP858" s="1"/>
      <c r="FS858" s="1"/>
      <c r="FT858" s="1"/>
      <c r="FU858" s="1"/>
      <c r="FV858" s="1"/>
      <c r="FW858" s="1"/>
      <c r="FX858" s="1"/>
      <c r="FY858" s="1"/>
      <c r="FZ858" s="1"/>
      <c r="GA858" s="1"/>
      <c r="GB858" s="1"/>
      <c r="GD858" s="1"/>
      <c r="GE858" s="1"/>
      <c r="GF858" s="1"/>
      <c r="GG858" s="1"/>
      <c r="GH858" s="1"/>
      <c r="GI858" s="1"/>
      <c r="GJ858" s="1"/>
      <c r="GK858" s="1"/>
      <c r="GL858" s="1"/>
      <c r="GM858" s="1"/>
      <c r="GN858" s="1"/>
      <c r="GO858" s="1"/>
      <c r="GP858" s="1"/>
      <c r="GY858" s="1"/>
      <c r="HF858" s="1"/>
      <c r="HH858" s="1"/>
      <c r="HT858" s="1"/>
      <c r="HY858" s="1"/>
      <c r="IA858" s="1"/>
      <c r="ID858" s="1"/>
      <c r="IE858" s="1"/>
      <c r="IR858" s="1"/>
      <c r="IS858" s="1"/>
      <c r="IZ858" s="1"/>
      <c r="JF858" s="1"/>
      <c r="JG858" s="1"/>
      <c r="JH858" s="1"/>
      <c r="JJ858" s="1"/>
      <c r="JP858" s="1"/>
      <c r="JQ858" s="1"/>
      <c r="JT858" s="1"/>
      <c r="JW858" s="1"/>
      <c r="KS858" s="1"/>
      <c r="KT858" s="1"/>
      <c r="KY858" s="1"/>
      <c r="KZ858" s="1"/>
      <c r="LA858" s="1"/>
      <c r="LB858" s="1"/>
      <c r="LC858" s="1"/>
      <c r="LD858" s="1"/>
      <c r="LO858" s="1"/>
      <c r="LP858" s="1"/>
      <c r="LZ858" s="1"/>
      <c r="MA858" s="1"/>
    </row>
    <row r="859" spans="4:339" ht="13" x14ac:dyDescent="0.15">
      <c r="D859" s="12"/>
      <c r="E859" s="12"/>
      <c r="I859" s="12"/>
      <c r="J859" s="13"/>
      <c r="BF859" s="1"/>
      <c r="BG859" s="1"/>
      <c r="BH859" s="1"/>
      <c r="BI859" s="1"/>
      <c r="BK859" s="1"/>
      <c r="BL859" s="1"/>
      <c r="BM859" s="1"/>
      <c r="BN859" s="1"/>
      <c r="BO859" s="1"/>
      <c r="BP859" s="1"/>
      <c r="BQ859" s="1"/>
      <c r="BR859" s="1"/>
      <c r="CC859" s="1"/>
      <c r="CD859" s="1"/>
      <c r="CE859" s="1"/>
      <c r="CF859" s="1"/>
      <c r="CG859" s="1"/>
      <c r="CH859" s="1"/>
      <c r="CI859" s="1"/>
      <c r="CK859" s="1"/>
      <c r="CM859" s="2"/>
      <c r="CN859" s="1"/>
      <c r="CO859" s="1"/>
      <c r="CP859" s="1"/>
      <c r="CQ859" s="1"/>
      <c r="CS859" s="1"/>
      <c r="CT859" s="1"/>
      <c r="CU859" s="1"/>
      <c r="CV859" s="1"/>
      <c r="CW859" s="1"/>
      <c r="CX859" s="1"/>
      <c r="CY859" s="1"/>
      <c r="CZ859" s="1"/>
      <c r="DA859" s="1"/>
      <c r="DB859" s="1"/>
      <c r="DC859" s="1"/>
      <c r="DD859" s="1"/>
      <c r="DE859" s="1"/>
      <c r="DF859" s="1"/>
      <c r="DG859" s="1"/>
      <c r="DH859" s="1"/>
      <c r="DI859" s="1"/>
      <c r="DJ859" s="1"/>
      <c r="DK859" s="1"/>
      <c r="DM859" s="1"/>
      <c r="DQ859" s="1"/>
      <c r="DR859" s="1"/>
      <c r="DY859" s="1"/>
      <c r="DZ859" s="1"/>
      <c r="ED859" s="1"/>
      <c r="EK859" s="1"/>
      <c r="EL859" s="1"/>
      <c r="EM859" s="1"/>
      <c r="EN859" s="1"/>
      <c r="EQ859" s="1"/>
      <c r="ER859" s="1"/>
      <c r="ES859" s="1"/>
      <c r="EV859" s="1"/>
      <c r="EW859" s="1"/>
      <c r="EZ859" s="1"/>
      <c r="FA859" s="1"/>
      <c r="FD859" s="1"/>
      <c r="FG859" s="1"/>
      <c r="FH859" s="1"/>
      <c r="FI859" s="1"/>
      <c r="FJ859" s="1"/>
      <c r="FL859" s="1"/>
      <c r="FM859" s="1"/>
      <c r="FN859" s="1"/>
      <c r="FO859" s="1"/>
      <c r="FP859" s="1"/>
      <c r="FS859" s="1"/>
      <c r="FT859" s="1"/>
      <c r="FU859" s="1"/>
      <c r="FV859" s="1"/>
      <c r="FW859" s="1"/>
      <c r="FX859" s="1"/>
      <c r="FY859" s="1"/>
      <c r="FZ859" s="1"/>
      <c r="GA859" s="1"/>
      <c r="GB859" s="1"/>
      <c r="GD859" s="1"/>
      <c r="GE859" s="1"/>
      <c r="GF859" s="1"/>
      <c r="GG859" s="1"/>
      <c r="GH859" s="1"/>
      <c r="GI859" s="1"/>
      <c r="GJ859" s="1"/>
      <c r="GK859" s="1"/>
      <c r="GL859" s="1"/>
      <c r="GM859" s="1"/>
      <c r="GN859" s="1"/>
      <c r="GO859" s="1"/>
      <c r="GP859" s="1"/>
      <c r="GY859" s="1"/>
      <c r="HF859" s="1"/>
      <c r="HH859" s="1"/>
      <c r="HT859" s="1"/>
      <c r="HY859" s="1"/>
      <c r="IA859" s="1"/>
      <c r="ID859" s="1"/>
      <c r="IE859" s="1"/>
      <c r="IR859" s="1"/>
      <c r="IS859" s="1"/>
      <c r="IZ859" s="1"/>
      <c r="JF859" s="1"/>
      <c r="JG859" s="1"/>
      <c r="JH859" s="1"/>
      <c r="JJ859" s="1"/>
      <c r="JP859" s="1"/>
      <c r="JQ859" s="1"/>
      <c r="JT859" s="1"/>
      <c r="JW859" s="1"/>
      <c r="KS859" s="1"/>
      <c r="KT859" s="1"/>
      <c r="KY859" s="1"/>
      <c r="KZ859" s="1"/>
      <c r="LA859" s="1"/>
      <c r="LB859" s="1"/>
      <c r="LC859" s="1"/>
      <c r="LD859" s="1"/>
      <c r="LO859" s="1"/>
      <c r="LP859" s="1"/>
      <c r="LZ859" s="1"/>
      <c r="MA859" s="1"/>
    </row>
    <row r="860" spans="4:339" ht="13" x14ac:dyDescent="0.15">
      <c r="D860" s="12"/>
      <c r="E860" s="12"/>
      <c r="I860" s="12"/>
      <c r="J860" s="13"/>
      <c r="BF860" s="1"/>
      <c r="BG860" s="1"/>
      <c r="BH860" s="1"/>
      <c r="BI860" s="1"/>
      <c r="BK860" s="1"/>
      <c r="BL860" s="1"/>
      <c r="BM860" s="1"/>
      <c r="BN860" s="1"/>
      <c r="BO860" s="1"/>
      <c r="BP860" s="1"/>
      <c r="BQ860" s="1"/>
      <c r="BR860" s="1"/>
      <c r="CC860" s="1"/>
      <c r="CD860" s="1"/>
      <c r="CE860" s="1"/>
      <c r="CF860" s="1"/>
      <c r="CG860" s="1"/>
      <c r="CH860" s="1"/>
      <c r="CI860" s="1"/>
      <c r="CK860" s="1"/>
      <c r="CM860" s="2"/>
      <c r="CN860" s="1"/>
      <c r="CO860" s="1"/>
      <c r="CP860" s="1"/>
      <c r="CQ860" s="1"/>
      <c r="CS860" s="1"/>
      <c r="CT860" s="1"/>
      <c r="CU860" s="1"/>
      <c r="CV860" s="1"/>
      <c r="CW860" s="1"/>
      <c r="CX860" s="1"/>
      <c r="CY860" s="1"/>
      <c r="CZ860" s="1"/>
      <c r="DA860" s="1"/>
      <c r="DB860" s="1"/>
      <c r="DC860" s="1"/>
      <c r="DD860" s="1"/>
      <c r="DE860" s="1"/>
      <c r="DF860" s="1"/>
      <c r="DG860" s="1"/>
      <c r="DH860" s="1"/>
      <c r="DI860" s="1"/>
      <c r="DJ860" s="1"/>
      <c r="DK860" s="1"/>
      <c r="DM860" s="1"/>
      <c r="DQ860" s="1"/>
      <c r="DR860" s="1"/>
      <c r="DY860" s="1"/>
      <c r="DZ860" s="1"/>
      <c r="ED860" s="1"/>
      <c r="EK860" s="1"/>
      <c r="EL860" s="1"/>
      <c r="EM860" s="1"/>
      <c r="EN860" s="1"/>
      <c r="EQ860" s="1"/>
      <c r="ER860" s="1"/>
      <c r="ES860" s="1"/>
      <c r="EV860" s="1"/>
      <c r="EW860" s="1"/>
      <c r="EZ860" s="1"/>
      <c r="FA860" s="1"/>
      <c r="FD860" s="1"/>
      <c r="FG860" s="1"/>
      <c r="FH860" s="1"/>
      <c r="FI860" s="1"/>
      <c r="FJ860" s="1"/>
      <c r="FL860" s="1"/>
      <c r="FM860" s="1"/>
      <c r="FN860" s="1"/>
      <c r="FO860" s="1"/>
      <c r="FP860" s="1"/>
      <c r="FS860" s="1"/>
      <c r="FT860" s="1"/>
      <c r="FU860" s="1"/>
      <c r="FV860" s="1"/>
      <c r="FW860" s="1"/>
      <c r="FX860" s="1"/>
      <c r="FY860" s="1"/>
      <c r="FZ860" s="1"/>
      <c r="GA860" s="1"/>
      <c r="GB860" s="1"/>
      <c r="GD860" s="1"/>
      <c r="GE860" s="1"/>
      <c r="GF860" s="1"/>
      <c r="GG860" s="1"/>
      <c r="GH860" s="1"/>
      <c r="GI860" s="1"/>
      <c r="GJ860" s="1"/>
      <c r="GK860" s="1"/>
      <c r="GL860" s="1"/>
      <c r="GM860" s="1"/>
      <c r="GN860" s="1"/>
      <c r="GO860" s="1"/>
      <c r="GP860" s="1"/>
      <c r="GY860" s="1"/>
      <c r="HF860" s="1"/>
      <c r="HH860" s="1"/>
      <c r="HT860" s="1"/>
      <c r="HY860" s="1"/>
      <c r="IA860" s="1"/>
      <c r="ID860" s="1"/>
      <c r="IE860" s="1"/>
      <c r="IR860" s="1"/>
      <c r="IS860" s="1"/>
      <c r="IZ860" s="1"/>
      <c r="JF860" s="1"/>
      <c r="JG860" s="1"/>
      <c r="JH860" s="1"/>
      <c r="JJ860" s="1"/>
      <c r="JP860" s="1"/>
      <c r="JQ860" s="1"/>
      <c r="JT860" s="1"/>
      <c r="JW860" s="1"/>
      <c r="KS860" s="1"/>
      <c r="KT860" s="1"/>
      <c r="KY860" s="1"/>
      <c r="KZ860" s="1"/>
      <c r="LA860" s="1"/>
      <c r="LB860" s="1"/>
      <c r="LC860" s="1"/>
      <c r="LD860" s="1"/>
      <c r="LO860" s="1"/>
      <c r="LP860" s="1"/>
      <c r="LZ860" s="1"/>
      <c r="MA860" s="1"/>
    </row>
    <row r="861" spans="4:339" ht="13" x14ac:dyDescent="0.15">
      <c r="D861" s="12"/>
      <c r="E861" s="12"/>
      <c r="I861" s="12"/>
      <c r="J861" s="13"/>
      <c r="BF861" s="1"/>
      <c r="BG861" s="1"/>
      <c r="BH861" s="1"/>
      <c r="BI861" s="1"/>
      <c r="BJ861" s="1"/>
      <c r="BK861" s="1"/>
      <c r="BL861" s="1"/>
      <c r="BM861" s="1"/>
      <c r="BN861" s="1"/>
      <c r="BO861" s="1"/>
      <c r="BP861" s="1"/>
      <c r="BQ861" s="1"/>
      <c r="BR861" s="1"/>
      <c r="CD861" s="1"/>
      <c r="CE861" s="1"/>
      <c r="CF861" s="1"/>
      <c r="CG861" s="1"/>
      <c r="CH861" s="1"/>
      <c r="CI861" s="1"/>
      <c r="CM861" s="2"/>
      <c r="CN861" s="1"/>
      <c r="CO861" s="1"/>
      <c r="CP861" s="1"/>
      <c r="CQ861" s="1"/>
      <c r="CR861" s="1"/>
      <c r="CS861" s="1"/>
      <c r="CT861" s="1"/>
      <c r="CU861" s="1"/>
      <c r="CV861" s="1"/>
      <c r="CW861" s="1"/>
      <c r="CX861" s="1"/>
      <c r="CY861" s="1"/>
      <c r="CZ861" s="1"/>
      <c r="DA861" s="1"/>
      <c r="DB861" s="1"/>
      <c r="DC861" s="1"/>
      <c r="DD861" s="1"/>
      <c r="DE861" s="1"/>
      <c r="DF861" s="1"/>
      <c r="DG861" s="1"/>
      <c r="DH861" s="1"/>
      <c r="DI861" s="1"/>
      <c r="DJ861" s="1"/>
      <c r="DK861" s="1"/>
      <c r="DM861" s="1"/>
      <c r="DR861" s="1"/>
      <c r="ED861" s="1"/>
      <c r="EF861" s="1"/>
      <c r="EK861" s="1"/>
      <c r="EL861" s="1"/>
      <c r="EM861" s="1"/>
      <c r="EN861" s="1"/>
      <c r="EQ861" s="1"/>
      <c r="ER861" s="1"/>
      <c r="ES861" s="1"/>
      <c r="EV861" s="1"/>
      <c r="EW861" s="1"/>
      <c r="EZ861" s="1"/>
      <c r="FA861" s="1"/>
      <c r="FD861" s="1"/>
      <c r="FG861" s="1"/>
      <c r="FH861" s="1"/>
      <c r="FI861" s="1"/>
      <c r="FJ861" s="1"/>
      <c r="FK861" s="1"/>
      <c r="FM861" s="1"/>
      <c r="FN861" s="1"/>
      <c r="FO861" s="1"/>
      <c r="FP861" s="1"/>
      <c r="FQ861" s="1"/>
      <c r="FR861" s="1"/>
      <c r="FS861" s="1"/>
      <c r="FT861" s="1"/>
      <c r="FU861" s="1"/>
      <c r="FV861" s="1"/>
      <c r="FW861" s="1"/>
      <c r="FX861" s="1"/>
      <c r="FY861" s="1"/>
      <c r="FZ861" s="1"/>
      <c r="GA861" s="1"/>
      <c r="GB861" s="1"/>
      <c r="GD861" s="1"/>
      <c r="GE861" s="1"/>
      <c r="GF861" s="1"/>
      <c r="GG861" s="1"/>
      <c r="GH861" s="1"/>
      <c r="GI861" s="1"/>
      <c r="GJ861" s="1"/>
      <c r="GK861" s="1"/>
      <c r="GL861" s="1"/>
      <c r="GM861" s="1"/>
      <c r="GN861" s="1"/>
      <c r="GP861" s="1"/>
      <c r="GR861" s="1"/>
      <c r="GY861" s="1"/>
      <c r="HF861" s="1"/>
      <c r="HH861" s="1"/>
      <c r="HN861" s="1"/>
      <c r="HQ861" s="1"/>
      <c r="HT861" s="1"/>
      <c r="HY861" s="1"/>
      <c r="IC861" s="1"/>
      <c r="ID861" s="1"/>
      <c r="IE861" s="1"/>
      <c r="IR861" s="1"/>
      <c r="IS861" s="1"/>
      <c r="IY861" s="1"/>
      <c r="IZ861" s="1"/>
      <c r="JC861" s="1"/>
      <c r="JF861" s="1"/>
      <c r="JG861" s="1"/>
      <c r="JJ861" s="1"/>
      <c r="JN861" s="1"/>
      <c r="JP861" s="1"/>
      <c r="JQ861" s="1"/>
      <c r="JT861" s="1"/>
      <c r="KU861" s="1"/>
      <c r="KY861" s="1"/>
      <c r="KZ861" s="1"/>
      <c r="LA861" s="1"/>
      <c r="LB861" s="1"/>
      <c r="LC861" s="1"/>
      <c r="LD861" s="1"/>
      <c r="LO861" s="1"/>
      <c r="LP861" s="1"/>
      <c r="LZ861" s="1"/>
      <c r="MA861" s="1"/>
    </row>
    <row r="862" spans="4:339" ht="13" x14ac:dyDescent="0.15">
      <c r="D862" s="12"/>
      <c r="E862" s="12"/>
      <c r="I862" s="12"/>
      <c r="J862" s="13"/>
      <c r="BF862" s="1"/>
      <c r="BG862" s="1"/>
      <c r="BH862" s="1"/>
      <c r="BI862" s="1"/>
      <c r="BJ862" s="1"/>
      <c r="BK862" s="1"/>
      <c r="BL862" s="1"/>
      <c r="BM862" s="1"/>
      <c r="BN862" s="1"/>
      <c r="BO862" s="1"/>
      <c r="BP862" s="1"/>
      <c r="BQ862" s="1"/>
      <c r="BR862" s="1"/>
      <c r="CD862" s="1"/>
      <c r="CE862" s="1"/>
      <c r="CF862" s="1"/>
      <c r="CG862" s="1"/>
      <c r="CH862" s="1"/>
      <c r="CI862" s="1"/>
      <c r="CM862" s="2"/>
      <c r="CN862" s="1"/>
      <c r="CO862" s="1"/>
      <c r="CP862" s="1"/>
      <c r="CQ862" s="1"/>
      <c r="CR862" s="1"/>
      <c r="CS862" s="1"/>
      <c r="CT862" s="1"/>
      <c r="CU862" s="1"/>
      <c r="CV862" s="1"/>
      <c r="CW862" s="1"/>
      <c r="CX862" s="1"/>
      <c r="CY862" s="1"/>
      <c r="CZ862" s="1"/>
      <c r="DA862" s="1"/>
      <c r="DB862" s="1"/>
      <c r="DC862" s="1"/>
      <c r="DD862" s="1"/>
      <c r="DE862" s="1"/>
      <c r="DF862" s="1"/>
      <c r="DG862" s="1"/>
      <c r="DH862" s="1"/>
      <c r="DI862" s="1"/>
      <c r="DJ862" s="1"/>
      <c r="DK862" s="1"/>
      <c r="DM862" s="1"/>
      <c r="DR862" s="1"/>
      <c r="ED862" s="1"/>
      <c r="EF862" s="1"/>
      <c r="EK862" s="1"/>
      <c r="EL862" s="1"/>
      <c r="EM862" s="1"/>
      <c r="EN862" s="1"/>
      <c r="EQ862" s="1"/>
      <c r="ER862" s="1"/>
      <c r="ES862" s="1"/>
      <c r="EV862" s="1"/>
      <c r="EW862" s="1"/>
      <c r="EZ862" s="1"/>
      <c r="FA862" s="1"/>
      <c r="FD862" s="1"/>
      <c r="FG862" s="1"/>
      <c r="FH862" s="1"/>
      <c r="FI862" s="1"/>
      <c r="FJ862" s="1"/>
      <c r="FK862" s="1"/>
      <c r="FM862" s="1"/>
      <c r="FN862" s="1"/>
      <c r="FO862" s="1"/>
      <c r="FP862" s="1"/>
      <c r="FQ862" s="1"/>
      <c r="FR862" s="1"/>
      <c r="FS862" s="1"/>
      <c r="FT862" s="1"/>
      <c r="FU862" s="1"/>
      <c r="FV862" s="1"/>
      <c r="FW862" s="1"/>
      <c r="FX862" s="1"/>
      <c r="FY862" s="1"/>
      <c r="FZ862" s="1"/>
      <c r="GA862" s="1"/>
      <c r="GB862" s="1"/>
      <c r="GD862" s="1"/>
      <c r="GE862" s="1"/>
      <c r="GF862" s="1"/>
      <c r="GG862" s="1"/>
      <c r="GH862" s="1"/>
      <c r="GI862" s="1"/>
      <c r="GJ862" s="1"/>
      <c r="GK862" s="1"/>
      <c r="GL862" s="1"/>
      <c r="GM862" s="1"/>
      <c r="GN862" s="1"/>
      <c r="GP862" s="1"/>
      <c r="GR862" s="1"/>
      <c r="GY862" s="1"/>
      <c r="HF862" s="1"/>
      <c r="HH862" s="1"/>
      <c r="HN862" s="1"/>
      <c r="HQ862" s="1"/>
      <c r="HT862" s="1"/>
      <c r="HY862" s="1"/>
      <c r="IC862" s="1"/>
      <c r="ID862" s="1"/>
      <c r="IE862" s="1"/>
      <c r="IR862" s="1"/>
      <c r="IS862" s="1"/>
      <c r="IY862" s="1"/>
      <c r="IZ862" s="1"/>
      <c r="JC862" s="1"/>
      <c r="JF862" s="1"/>
      <c r="JG862" s="1"/>
      <c r="JJ862" s="1"/>
      <c r="JN862" s="1"/>
      <c r="JP862" s="1"/>
      <c r="JQ862" s="1"/>
      <c r="JT862" s="1"/>
      <c r="KU862" s="1"/>
      <c r="KY862" s="1"/>
      <c r="KZ862" s="1"/>
      <c r="LA862" s="1"/>
      <c r="LB862" s="1"/>
      <c r="LC862" s="1"/>
      <c r="LD862" s="1"/>
      <c r="LO862" s="1"/>
      <c r="LP862" s="1"/>
      <c r="LZ862" s="1"/>
      <c r="MA862" s="1"/>
    </row>
    <row r="863" spans="4:339" ht="13" x14ac:dyDescent="0.15">
      <c r="D863" s="12"/>
      <c r="E863" s="12"/>
      <c r="I863" s="12"/>
      <c r="J863" s="13"/>
      <c r="BF863" s="1"/>
      <c r="BG863" s="1"/>
      <c r="BH863" s="1"/>
      <c r="BI863" s="1"/>
      <c r="BJ863" s="1"/>
      <c r="BK863" s="1"/>
      <c r="BL863" s="1"/>
      <c r="BM863" s="1"/>
      <c r="BN863" s="1"/>
      <c r="BO863" s="1"/>
      <c r="BP863" s="1"/>
      <c r="BQ863" s="1"/>
      <c r="BR863" s="1"/>
      <c r="CD863" s="1"/>
      <c r="CE863" s="1"/>
      <c r="CF863" s="1"/>
      <c r="CG863" s="1"/>
      <c r="CH863" s="1"/>
      <c r="CI863" s="1"/>
      <c r="CM863" s="2"/>
      <c r="CN863" s="1"/>
      <c r="CO863" s="1"/>
      <c r="CP863" s="1"/>
      <c r="CQ863" s="1"/>
      <c r="CR863" s="1"/>
      <c r="CS863" s="1"/>
      <c r="CT863" s="1"/>
      <c r="CU863" s="1"/>
      <c r="CV863" s="1"/>
      <c r="CW863" s="1"/>
      <c r="CX863" s="1"/>
      <c r="CY863" s="1"/>
      <c r="CZ863" s="1"/>
      <c r="DA863" s="1"/>
      <c r="DB863" s="1"/>
      <c r="DC863" s="1"/>
      <c r="DD863" s="1"/>
      <c r="DE863" s="1"/>
      <c r="DF863" s="1"/>
      <c r="DG863" s="1"/>
      <c r="DH863" s="1"/>
      <c r="DI863" s="1"/>
      <c r="DJ863" s="1"/>
      <c r="DK863" s="1"/>
      <c r="DM863" s="1"/>
      <c r="DR863" s="1"/>
      <c r="ED863" s="1"/>
      <c r="EF863" s="1"/>
      <c r="EK863" s="1"/>
      <c r="EL863" s="1"/>
      <c r="EM863" s="1"/>
      <c r="EN863" s="1"/>
      <c r="EQ863" s="1"/>
      <c r="ER863" s="1"/>
      <c r="ES863" s="1"/>
      <c r="EV863" s="1"/>
      <c r="EW863" s="1"/>
      <c r="EZ863" s="1"/>
      <c r="FA863" s="1"/>
      <c r="FD863" s="1"/>
      <c r="FG863" s="1"/>
      <c r="FH863" s="1"/>
      <c r="FI863" s="1"/>
      <c r="FJ863" s="1"/>
      <c r="FK863" s="1"/>
      <c r="FM863" s="1"/>
      <c r="FN863" s="1"/>
      <c r="FO863" s="1"/>
      <c r="FP863" s="1"/>
      <c r="FQ863" s="1"/>
      <c r="FR863" s="1"/>
      <c r="FS863" s="1"/>
      <c r="FT863" s="1"/>
      <c r="FU863" s="1"/>
      <c r="FV863" s="1"/>
      <c r="FW863" s="1"/>
      <c r="FX863" s="1"/>
      <c r="FY863" s="1"/>
      <c r="FZ863" s="1"/>
      <c r="GA863" s="1"/>
      <c r="GB863" s="1"/>
      <c r="GD863" s="1"/>
      <c r="GE863" s="1"/>
      <c r="GF863" s="1"/>
      <c r="GG863" s="1"/>
      <c r="GH863" s="1"/>
      <c r="GI863" s="1"/>
      <c r="GJ863" s="1"/>
      <c r="GK863" s="1"/>
      <c r="GL863" s="1"/>
      <c r="GM863" s="1"/>
      <c r="GN863" s="1"/>
      <c r="GP863" s="1"/>
      <c r="GR863" s="1"/>
      <c r="GY863" s="1"/>
      <c r="HF863" s="1"/>
      <c r="HH863" s="1"/>
      <c r="HN863" s="1"/>
      <c r="HQ863" s="1"/>
      <c r="HT863" s="1"/>
      <c r="HY863" s="1"/>
      <c r="IC863" s="1"/>
      <c r="ID863" s="1"/>
      <c r="IE863" s="1"/>
      <c r="IR863" s="1"/>
      <c r="IS863" s="1"/>
      <c r="IY863" s="1"/>
      <c r="IZ863" s="1"/>
      <c r="JC863" s="1"/>
      <c r="JF863" s="1"/>
      <c r="JG863" s="1"/>
      <c r="JJ863" s="1"/>
      <c r="JN863" s="1"/>
      <c r="JP863" s="1"/>
      <c r="JQ863" s="1"/>
      <c r="JT863" s="1"/>
      <c r="KU863" s="1"/>
      <c r="KY863" s="1"/>
      <c r="KZ863" s="1"/>
      <c r="LA863" s="1"/>
      <c r="LB863" s="1"/>
      <c r="LC863" s="1"/>
      <c r="LD863" s="1"/>
      <c r="LO863" s="1"/>
      <c r="LP863" s="1"/>
      <c r="LZ863" s="1"/>
      <c r="MA863" s="1"/>
    </row>
    <row r="864" spans="4:339" ht="13" x14ac:dyDescent="0.15">
      <c r="D864" s="12"/>
      <c r="E864" s="12"/>
      <c r="I864" s="12"/>
      <c r="J864" s="13"/>
      <c r="BF864" s="1"/>
      <c r="BG864" s="1"/>
      <c r="BH864" s="1"/>
      <c r="BI864" s="1"/>
      <c r="BJ864" s="1"/>
      <c r="BK864" s="1"/>
      <c r="BL864" s="1"/>
      <c r="BM864" s="1"/>
      <c r="BN864" s="1"/>
      <c r="BO864" s="1"/>
      <c r="BP864" s="1"/>
      <c r="BQ864" s="1"/>
      <c r="BR864" s="1"/>
      <c r="CD864" s="1"/>
      <c r="CE864" s="1"/>
      <c r="CF864" s="1"/>
      <c r="CG864" s="1"/>
      <c r="CH864" s="1"/>
      <c r="CI864" s="1"/>
      <c r="CM864" s="2"/>
      <c r="CN864" s="1"/>
      <c r="CO864" s="1"/>
      <c r="CP864" s="1"/>
      <c r="CQ864" s="1"/>
      <c r="CR864" s="1"/>
      <c r="CS864" s="1"/>
      <c r="CT864" s="1"/>
      <c r="CU864" s="1"/>
      <c r="CV864" s="1"/>
      <c r="CW864" s="1"/>
      <c r="CX864" s="1"/>
      <c r="CY864" s="1"/>
      <c r="CZ864" s="1"/>
      <c r="DA864" s="1"/>
      <c r="DB864" s="1"/>
      <c r="DC864" s="1"/>
      <c r="DD864" s="1"/>
      <c r="DE864" s="1"/>
      <c r="DF864" s="1"/>
      <c r="DG864" s="1"/>
      <c r="DH864" s="1"/>
      <c r="DI864" s="1"/>
      <c r="DJ864" s="1"/>
      <c r="DK864" s="1"/>
      <c r="DM864" s="1"/>
      <c r="DR864" s="1"/>
      <c r="ED864" s="1"/>
      <c r="EF864" s="1"/>
      <c r="EK864" s="1"/>
      <c r="EL864" s="1"/>
      <c r="EM864" s="1"/>
      <c r="EN864" s="1"/>
      <c r="EQ864" s="1"/>
      <c r="ER864" s="1"/>
      <c r="ES864" s="1"/>
      <c r="EV864" s="1"/>
      <c r="EW864" s="1"/>
      <c r="EZ864" s="1"/>
      <c r="FA864" s="1"/>
      <c r="FD864" s="1"/>
      <c r="FG864" s="1"/>
      <c r="FH864" s="1"/>
      <c r="FI864" s="1"/>
      <c r="FJ864" s="1"/>
      <c r="FK864" s="1"/>
      <c r="FM864" s="1"/>
      <c r="FN864" s="1"/>
      <c r="FO864" s="1"/>
      <c r="FP864" s="1"/>
      <c r="FQ864" s="1"/>
      <c r="FR864" s="1"/>
      <c r="FS864" s="1"/>
      <c r="FT864" s="1"/>
      <c r="FU864" s="1"/>
      <c r="FV864" s="1"/>
      <c r="FW864" s="1"/>
      <c r="FX864" s="1"/>
      <c r="FY864" s="1"/>
      <c r="FZ864" s="1"/>
      <c r="GA864" s="1"/>
      <c r="GB864" s="1"/>
      <c r="GD864" s="1"/>
      <c r="GE864" s="1"/>
      <c r="GF864" s="1"/>
      <c r="GG864" s="1"/>
      <c r="GH864" s="1"/>
      <c r="GI864" s="1"/>
      <c r="GJ864" s="1"/>
      <c r="GK864" s="1"/>
      <c r="GL864" s="1"/>
      <c r="GM864" s="1"/>
      <c r="GN864" s="1"/>
      <c r="GP864" s="1"/>
      <c r="GR864" s="1"/>
      <c r="GY864" s="1"/>
      <c r="HF864" s="1"/>
      <c r="HH864" s="1"/>
      <c r="HN864" s="1"/>
      <c r="HQ864" s="1"/>
      <c r="HT864" s="1"/>
      <c r="HY864" s="1"/>
      <c r="IC864" s="1"/>
      <c r="ID864" s="1"/>
      <c r="IE864" s="1"/>
      <c r="IR864" s="1"/>
      <c r="IS864" s="1"/>
      <c r="IY864" s="1"/>
      <c r="IZ864" s="1"/>
      <c r="JC864" s="1"/>
      <c r="JF864" s="1"/>
      <c r="JG864" s="1"/>
      <c r="JJ864" s="1"/>
      <c r="JN864" s="1"/>
      <c r="JP864" s="1"/>
      <c r="JQ864" s="1"/>
      <c r="JT864" s="1"/>
      <c r="KU864" s="1"/>
      <c r="KY864" s="1"/>
      <c r="KZ864" s="1"/>
      <c r="LA864" s="1"/>
      <c r="LB864" s="1"/>
      <c r="LC864" s="1"/>
      <c r="LD864" s="1"/>
      <c r="LO864" s="1"/>
      <c r="LP864" s="1"/>
      <c r="LZ864" s="1"/>
      <c r="MA864" s="1"/>
    </row>
    <row r="865" spans="4:339" ht="13" x14ac:dyDescent="0.15">
      <c r="D865" s="12"/>
      <c r="E865" s="12"/>
      <c r="I865" s="12"/>
      <c r="J865" s="13"/>
      <c r="BF865" s="1"/>
      <c r="BG865" s="1"/>
      <c r="BH865" s="1"/>
      <c r="BI865" s="1"/>
      <c r="BJ865" s="1"/>
      <c r="BK865" s="1"/>
      <c r="BL865" s="1"/>
      <c r="BM865" s="1"/>
      <c r="BN865" s="1"/>
      <c r="BO865" s="1"/>
      <c r="BP865" s="1"/>
      <c r="BQ865" s="1"/>
      <c r="BR865" s="1"/>
      <c r="CD865" s="1"/>
      <c r="CE865" s="1"/>
      <c r="CF865" s="1"/>
      <c r="CG865" s="1"/>
      <c r="CH865" s="1"/>
      <c r="CI865" s="1"/>
      <c r="CM865" s="2"/>
      <c r="CN865" s="1"/>
      <c r="CO865" s="1"/>
      <c r="CP865" s="1"/>
      <c r="CQ865" s="1"/>
      <c r="CR865" s="1"/>
      <c r="CS865" s="1"/>
      <c r="CT865" s="1"/>
      <c r="CU865" s="1"/>
      <c r="CV865" s="1"/>
      <c r="CW865" s="1"/>
      <c r="CX865" s="1"/>
      <c r="CY865" s="1"/>
      <c r="CZ865" s="1"/>
      <c r="DA865" s="1"/>
      <c r="DB865" s="1"/>
      <c r="DC865" s="1"/>
      <c r="DD865" s="1"/>
      <c r="DE865" s="1"/>
      <c r="DF865" s="1"/>
      <c r="DG865" s="1"/>
      <c r="DH865" s="1"/>
      <c r="DI865" s="1"/>
      <c r="DJ865" s="1"/>
      <c r="DK865" s="1"/>
      <c r="DM865" s="1"/>
      <c r="DR865" s="1"/>
      <c r="ED865" s="1"/>
      <c r="EF865" s="1"/>
      <c r="EK865" s="1"/>
      <c r="EL865" s="1"/>
      <c r="EM865" s="1"/>
      <c r="EN865" s="1"/>
      <c r="EQ865" s="1"/>
      <c r="ER865" s="1"/>
      <c r="ES865" s="1"/>
      <c r="EV865" s="1"/>
      <c r="EW865" s="1"/>
      <c r="EZ865" s="1"/>
      <c r="FA865" s="1"/>
      <c r="FD865" s="1"/>
      <c r="FG865" s="1"/>
      <c r="FH865" s="1"/>
      <c r="FI865" s="1"/>
      <c r="FJ865" s="1"/>
      <c r="FK865" s="1"/>
      <c r="FM865" s="1"/>
      <c r="FN865" s="1"/>
      <c r="FO865" s="1"/>
      <c r="FP865" s="1"/>
      <c r="FQ865" s="1"/>
      <c r="FR865" s="1"/>
      <c r="FS865" s="1"/>
      <c r="FT865" s="1"/>
      <c r="FU865" s="1"/>
      <c r="FV865" s="1"/>
      <c r="FW865" s="1"/>
      <c r="FX865" s="1"/>
      <c r="FY865" s="1"/>
      <c r="FZ865" s="1"/>
      <c r="GA865" s="1"/>
      <c r="GB865" s="1"/>
      <c r="GD865" s="1"/>
      <c r="GE865" s="1"/>
      <c r="GF865" s="1"/>
      <c r="GG865" s="1"/>
      <c r="GH865" s="1"/>
      <c r="GI865" s="1"/>
      <c r="GJ865" s="1"/>
      <c r="GK865" s="1"/>
      <c r="GL865" s="1"/>
      <c r="GM865" s="1"/>
      <c r="GN865" s="1"/>
      <c r="GP865" s="1"/>
      <c r="GR865" s="1"/>
      <c r="GY865" s="1"/>
      <c r="HF865" s="1"/>
      <c r="HH865" s="1"/>
      <c r="HN865" s="1"/>
      <c r="HQ865" s="1"/>
      <c r="HT865" s="1"/>
      <c r="HY865" s="1"/>
      <c r="IC865" s="1"/>
      <c r="ID865" s="1"/>
      <c r="IE865" s="1"/>
      <c r="IR865" s="1"/>
      <c r="IS865" s="1"/>
      <c r="IY865" s="1"/>
      <c r="IZ865" s="1"/>
      <c r="JC865" s="1"/>
      <c r="JF865" s="1"/>
      <c r="JG865" s="1"/>
      <c r="JJ865" s="1"/>
      <c r="JN865" s="1"/>
      <c r="JP865" s="1"/>
      <c r="JQ865" s="1"/>
      <c r="JT865" s="1"/>
      <c r="KU865" s="1"/>
      <c r="KY865" s="1"/>
      <c r="KZ865" s="1"/>
      <c r="LA865" s="1"/>
      <c r="LB865" s="1"/>
      <c r="LC865" s="1"/>
      <c r="LD865" s="1"/>
      <c r="LO865" s="1"/>
      <c r="LP865" s="1"/>
      <c r="LZ865" s="1"/>
      <c r="MA865" s="1"/>
    </row>
    <row r="866" spans="4:339" ht="13" x14ac:dyDescent="0.15">
      <c r="D866" s="12"/>
      <c r="E866" s="12"/>
      <c r="I866" s="12"/>
      <c r="J866" s="13"/>
      <c r="BF866" s="1"/>
      <c r="BG866" s="1"/>
      <c r="BH866" s="1"/>
      <c r="BI866" s="1"/>
      <c r="BJ866" s="1"/>
      <c r="BK866" s="1"/>
      <c r="BL866" s="1"/>
      <c r="BM866" s="1"/>
      <c r="BN866" s="1"/>
      <c r="BO866" s="1"/>
      <c r="BP866" s="1"/>
      <c r="BQ866" s="1"/>
      <c r="BR866" s="1"/>
      <c r="CD866" s="1"/>
      <c r="CE866" s="1"/>
      <c r="CF866" s="1"/>
      <c r="CG866" s="1"/>
      <c r="CH866" s="1"/>
      <c r="CI866" s="1"/>
      <c r="CM866" s="2"/>
      <c r="CN866" s="1"/>
      <c r="CO866" s="1"/>
      <c r="CP866" s="1"/>
      <c r="CQ866" s="1"/>
      <c r="CR866" s="1"/>
      <c r="CS866" s="1"/>
      <c r="CT866" s="1"/>
      <c r="CU866" s="1"/>
      <c r="CV866" s="1"/>
      <c r="CW866" s="1"/>
      <c r="CX866" s="1"/>
      <c r="CY866" s="1"/>
      <c r="CZ866" s="1"/>
      <c r="DA866" s="1"/>
      <c r="DB866" s="1"/>
      <c r="DC866" s="1"/>
      <c r="DD866" s="1"/>
      <c r="DE866" s="1"/>
      <c r="DF866" s="1"/>
      <c r="DG866" s="1"/>
      <c r="DH866" s="1"/>
      <c r="DI866" s="1"/>
      <c r="DJ866" s="1"/>
      <c r="DK866" s="1"/>
      <c r="DM866" s="1"/>
      <c r="DR866" s="1"/>
      <c r="ED866" s="1"/>
      <c r="EF866" s="1"/>
      <c r="EK866" s="1"/>
      <c r="EL866" s="1"/>
      <c r="EM866" s="1"/>
      <c r="EN866" s="1"/>
      <c r="EQ866" s="1"/>
      <c r="ER866" s="1"/>
      <c r="ES866" s="1"/>
      <c r="EV866" s="1"/>
      <c r="EW866" s="1"/>
      <c r="EZ866" s="1"/>
      <c r="FA866" s="1"/>
      <c r="FD866" s="1"/>
      <c r="FG866" s="1"/>
      <c r="FH866" s="1"/>
      <c r="FI866" s="1"/>
      <c r="FJ866" s="1"/>
      <c r="FK866" s="1"/>
      <c r="FM866" s="1"/>
      <c r="FN866" s="1"/>
      <c r="FO866" s="1"/>
      <c r="FP866" s="1"/>
      <c r="FQ866" s="1"/>
      <c r="FR866" s="1"/>
      <c r="FS866" s="1"/>
      <c r="FT866" s="1"/>
      <c r="FU866" s="1"/>
      <c r="FV866" s="1"/>
      <c r="FW866" s="1"/>
      <c r="FX866" s="1"/>
      <c r="FY866" s="1"/>
      <c r="FZ866" s="1"/>
      <c r="GA866" s="1"/>
      <c r="GB866" s="1"/>
      <c r="GD866" s="1"/>
      <c r="GE866" s="1"/>
      <c r="GF866" s="1"/>
      <c r="GG866" s="1"/>
      <c r="GH866" s="1"/>
      <c r="GI866" s="1"/>
      <c r="GJ866" s="1"/>
      <c r="GK866" s="1"/>
      <c r="GL866" s="1"/>
      <c r="GM866" s="1"/>
      <c r="GN866" s="1"/>
      <c r="GP866" s="1"/>
      <c r="GR866" s="1"/>
      <c r="GY866" s="1"/>
      <c r="HF866" s="1"/>
      <c r="HH866" s="1"/>
      <c r="HN866" s="1"/>
      <c r="HQ866" s="1"/>
      <c r="HT866" s="1"/>
      <c r="HY866" s="1"/>
      <c r="IC866" s="1"/>
      <c r="ID866" s="1"/>
      <c r="IE866" s="1"/>
      <c r="IR866" s="1"/>
      <c r="IS866" s="1"/>
      <c r="IY866" s="1"/>
      <c r="IZ866" s="1"/>
      <c r="JC866" s="1"/>
      <c r="JF866" s="1"/>
      <c r="JG866" s="1"/>
      <c r="JJ866" s="1"/>
      <c r="JN866" s="1"/>
      <c r="JP866" s="1"/>
      <c r="JQ866" s="1"/>
      <c r="JT866" s="1"/>
      <c r="KU866" s="1"/>
      <c r="KY866" s="1"/>
      <c r="KZ866" s="1"/>
      <c r="LA866" s="1"/>
      <c r="LB866" s="1"/>
      <c r="LC866" s="1"/>
      <c r="LD866" s="1"/>
      <c r="LO866" s="1"/>
      <c r="LP866" s="1"/>
      <c r="LZ866" s="1"/>
      <c r="MA866" s="1"/>
    </row>
    <row r="867" spans="4:339" ht="13" x14ac:dyDescent="0.15">
      <c r="D867" s="12"/>
      <c r="E867" s="12"/>
      <c r="I867" s="12"/>
      <c r="J867" s="13"/>
      <c r="BF867" s="1"/>
      <c r="BG867" s="1"/>
      <c r="BH867" s="1"/>
      <c r="BI867" s="1"/>
      <c r="BJ867" s="1"/>
      <c r="BK867" s="1"/>
      <c r="BL867" s="1"/>
      <c r="BM867" s="1"/>
      <c r="BN867" s="1"/>
      <c r="BO867" s="1"/>
      <c r="BP867" s="1"/>
      <c r="BQ867" s="1"/>
      <c r="BR867" s="1"/>
      <c r="CD867" s="1"/>
      <c r="CE867" s="1"/>
      <c r="CF867" s="1"/>
      <c r="CG867" s="1"/>
      <c r="CH867" s="1"/>
      <c r="CI867" s="1"/>
      <c r="CM867" s="2"/>
      <c r="CN867" s="1"/>
      <c r="CO867" s="1"/>
      <c r="CP867" s="1"/>
      <c r="CQ867" s="1"/>
      <c r="CR867" s="1"/>
      <c r="CS867" s="1"/>
      <c r="CT867" s="1"/>
      <c r="CU867" s="1"/>
      <c r="CV867" s="1"/>
      <c r="CW867" s="1"/>
      <c r="CX867" s="1"/>
      <c r="CY867" s="1"/>
      <c r="CZ867" s="1"/>
      <c r="DA867" s="1"/>
      <c r="DB867" s="1"/>
      <c r="DC867" s="1"/>
      <c r="DD867" s="1"/>
      <c r="DE867" s="1"/>
      <c r="DF867" s="1"/>
      <c r="DG867" s="1"/>
      <c r="DH867" s="1"/>
      <c r="DI867" s="1"/>
      <c r="DJ867" s="1"/>
      <c r="DK867" s="1"/>
      <c r="DM867" s="1"/>
      <c r="DR867" s="1"/>
      <c r="ED867" s="1"/>
      <c r="EF867" s="1"/>
      <c r="EK867" s="1"/>
      <c r="EL867" s="1"/>
      <c r="EM867" s="1"/>
      <c r="EN867" s="1"/>
      <c r="EQ867" s="1"/>
      <c r="ER867" s="1"/>
      <c r="ES867" s="1"/>
      <c r="EV867" s="1"/>
      <c r="EW867" s="1"/>
      <c r="EZ867" s="1"/>
      <c r="FA867" s="1"/>
      <c r="FD867" s="1"/>
      <c r="FG867" s="1"/>
      <c r="FH867" s="1"/>
      <c r="FI867" s="1"/>
      <c r="FJ867" s="1"/>
      <c r="FK867" s="1"/>
      <c r="FM867" s="1"/>
      <c r="FN867" s="1"/>
      <c r="FO867" s="1"/>
      <c r="FP867" s="1"/>
      <c r="FQ867" s="1"/>
      <c r="FR867" s="1"/>
      <c r="FS867" s="1"/>
      <c r="FT867" s="1"/>
      <c r="FU867" s="1"/>
      <c r="FV867" s="1"/>
      <c r="FW867" s="1"/>
      <c r="FX867" s="1"/>
      <c r="FY867" s="1"/>
      <c r="FZ867" s="1"/>
      <c r="GA867" s="1"/>
      <c r="GB867" s="1"/>
      <c r="GD867" s="1"/>
      <c r="GE867" s="1"/>
      <c r="GF867" s="1"/>
      <c r="GG867" s="1"/>
      <c r="GH867" s="1"/>
      <c r="GI867" s="1"/>
      <c r="GJ867" s="1"/>
      <c r="GK867" s="1"/>
      <c r="GL867" s="1"/>
      <c r="GM867" s="1"/>
      <c r="GN867" s="1"/>
      <c r="GP867" s="1"/>
      <c r="GR867" s="1"/>
      <c r="GY867" s="1"/>
      <c r="HF867" s="1"/>
      <c r="HH867" s="1"/>
      <c r="HN867" s="1"/>
      <c r="HQ867" s="1"/>
      <c r="HT867" s="1"/>
      <c r="HY867" s="1"/>
      <c r="IC867" s="1"/>
      <c r="ID867" s="1"/>
      <c r="IE867" s="1"/>
      <c r="IR867" s="1"/>
      <c r="IS867" s="1"/>
      <c r="IY867" s="1"/>
      <c r="IZ867" s="1"/>
      <c r="JC867" s="1"/>
      <c r="JF867" s="1"/>
      <c r="JG867" s="1"/>
      <c r="JJ867" s="1"/>
      <c r="JN867" s="1"/>
      <c r="JP867" s="1"/>
      <c r="JQ867" s="1"/>
      <c r="JT867" s="1"/>
      <c r="KU867" s="1"/>
      <c r="KY867" s="1"/>
      <c r="KZ867" s="1"/>
      <c r="LA867" s="1"/>
      <c r="LB867" s="1"/>
      <c r="LC867" s="1"/>
      <c r="LD867" s="1"/>
      <c r="LO867" s="1"/>
      <c r="LP867" s="1"/>
      <c r="LZ867" s="1"/>
      <c r="MA867" s="1"/>
    </row>
    <row r="868" spans="4:339" ht="13" x14ac:dyDescent="0.15">
      <c r="D868" s="12"/>
      <c r="E868" s="12"/>
      <c r="I868" s="12"/>
      <c r="J868" s="13"/>
      <c r="BF868" s="1"/>
      <c r="BG868" s="1"/>
      <c r="BH868" s="1"/>
      <c r="BI868" s="1"/>
      <c r="BJ868" s="1"/>
      <c r="BK868" s="1"/>
      <c r="BL868" s="1"/>
      <c r="BM868" s="1"/>
      <c r="BN868" s="1"/>
      <c r="BO868" s="1"/>
      <c r="BP868" s="1"/>
      <c r="BQ868" s="1"/>
      <c r="BR868" s="1"/>
      <c r="CD868" s="1"/>
      <c r="CE868" s="1"/>
      <c r="CF868" s="1"/>
      <c r="CG868" s="1"/>
      <c r="CH868" s="1"/>
      <c r="CI868" s="1"/>
      <c r="CM868" s="2"/>
      <c r="CN868" s="1"/>
      <c r="CO868" s="1"/>
      <c r="CP868" s="1"/>
      <c r="CQ868" s="1"/>
      <c r="CR868" s="1"/>
      <c r="CS868" s="1"/>
      <c r="CT868" s="1"/>
      <c r="CU868" s="1"/>
      <c r="CV868" s="1"/>
      <c r="CW868" s="1"/>
      <c r="CX868" s="1"/>
      <c r="CY868" s="1"/>
      <c r="CZ868" s="1"/>
      <c r="DA868" s="1"/>
      <c r="DB868" s="1"/>
      <c r="DC868" s="1"/>
      <c r="DD868" s="1"/>
      <c r="DE868" s="1"/>
      <c r="DF868" s="1"/>
      <c r="DG868" s="1"/>
      <c r="DH868" s="1"/>
      <c r="DI868" s="1"/>
      <c r="DJ868" s="1"/>
      <c r="DK868" s="1"/>
      <c r="DM868" s="1"/>
      <c r="DR868" s="1"/>
      <c r="ED868" s="1"/>
      <c r="EF868" s="1"/>
      <c r="EK868" s="1"/>
      <c r="EL868" s="1"/>
      <c r="EM868" s="1"/>
      <c r="EN868" s="1"/>
      <c r="EQ868" s="1"/>
      <c r="ER868" s="1"/>
      <c r="ES868" s="1"/>
      <c r="EV868" s="1"/>
      <c r="EW868" s="1"/>
      <c r="EZ868" s="1"/>
      <c r="FA868" s="1"/>
      <c r="FD868" s="1"/>
      <c r="FG868" s="1"/>
      <c r="FH868" s="1"/>
      <c r="FI868" s="1"/>
      <c r="FJ868" s="1"/>
      <c r="FK868" s="1"/>
      <c r="FM868" s="1"/>
      <c r="FN868" s="1"/>
      <c r="FO868" s="1"/>
      <c r="FP868" s="1"/>
      <c r="FQ868" s="1"/>
      <c r="FR868" s="1"/>
      <c r="FS868" s="1"/>
      <c r="FT868" s="1"/>
      <c r="FU868" s="1"/>
      <c r="FV868" s="1"/>
      <c r="FW868" s="1"/>
      <c r="FX868" s="1"/>
      <c r="FY868" s="1"/>
      <c r="FZ868" s="1"/>
      <c r="GA868" s="1"/>
      <c r="GB868" s="1"/>
      <c r="GD868" s="1"/>
      <c r="GE868" s="1"/>
      <c r="GF868" s="1"/>
      <c r="GG868" s="1"/>
      <c r="GH868" s="1"/>
      <c r="GI868" s="1"/>
      <c r="GJ868" s="1"/>
      <c r="GK868" s="1"/>
      <c r="GL868" s="1"/>
      <c r="GM868" s="1"/>
      <c r="GN868" s="1"/>
      <c r="GP868" s="1"/>
      <c r="GR868" s="1"/>
      <c r="GY868" s="1"/>
      <c r="HF868" s="1"/>
      <c r="HH868" s="1"/>
      <c r="HN868" s="1"/>
      <c r="HQ868" s="1"/>
      <c r="HT868" s="1"/>
      <c r="HY868" s="1"/>
      <c r="IC868" s="1"/>
      <c r="ID868" s="1"/>
      <c r="IE868" s="1"/>
      <c r="IR868" s="1"/>
      <c r="IS868" s="1"/>
      <c r="IY868" s="1"/>
      <c r="IZ868" s="1"/>
      <c r="JC868" s="1"/>
      <c r="JF868" s="1"/>
      <c r="JG868" s="1"/>
      <c r="JJ868" s="1"/>
      <c r="JN868" s="1"/>
      <c r="JP868" s="1"/>
      <c r="JQ868" s="1"/>
      <c r="JT868" s="1"/>
      <c r="KU868" s="1"/>
      <c r="KY868" s="1"/>
      <c r="KZ868" s="1"/>
      <c r="LA868" s="1"/>
      <c r="LB868" s="1"/>
      <c r="LC868" s="1"/>
      <c r="LD868" s="1"/>
      <c r="LO868" s="1"/>
      <c r="LP868" s="1"/>
      <c r="LZ868" s="1"/>
      <c r="MA868" s="1"/>
    </row>
    <row r="869" spans="4:339" ht="13" x14ac:dyDescent="0.15">
      <c r="D869" s="12"/>
      <c r="E869" s="12"/>
      <c r="I869" s="12"/>
      <c r="J869" s="13"/>
      <c r="BF869" s="1"/>
      <c r="BG869" s="1"/>
      <c r="BH869" s="1"/>
      <c r="BI869" s="1"/>
      <c r="BJ869" s="1"/>
      <c r="BK869" s="1"/>
      <c r="BL869" s="1"/>
      <c r="BM869" s="1"/>
      <c r="BN869" s="1"/>
      <c r="BO869" s="1"/>
      <c r="BP869" s="1"/>
      <c r="BQ869" s="1"/>
      <c r="BR869" s="1"/>
      <c r="CD869" s="1"/>
      <c r="CE869" s="1"/>
      <c r="CF869" s="1"/>
      <c r="CG869" s="1"/>
      <c r="CH869" s="1"/>
      <c r="CI869" s="1"/>
      <c r="CM869" s="2"/>
      <c r="CN869" s="1"/>
      <c r="CO869" s="1"/>
      <c r="CP869" s="1"/>
      <c r="CQ869" s="1"/>
      <c r="CR869" s="1"/>
      <c r="CS869" s="1"/>
      <c r="CT869" s="1"/>
      <c r="CU869" s="1"/>
      <c r="CV869" s="1"/>
      <c r="CW869" s="1"/>
      <c r="CX869" s="1"/>
      <c r="CY869" s="1"/>
      <c r="CZ869" s="1"/>
      <c r="DA869" s="1"/>
      <c r="DB869" s="1"/>
      <c r="DC869" s="1"/>
      <c r="DD869" s="1"/>
      <c r="DE869" s="1"/>
      <c r="DF869" s="1"/>
      <c r="DG869" s="1"/>
      <c r="DH869" s="1"/>
      <c r="DI869" s="1"/>
      <c r="DJ869" s="1"/>
      <c r="DK869" s="1"/>
      <c r="DM869" s="1"/>
      <c r="DR869" s="1"/>
      <c r="ED869" s="1"/>
      <c r="EF869" s="1"/>
      <c r="EK869" s="1"/>
      <c r="EL869" s="1"/>
      <c r="EM869" s="1"/>
      <c r="EN869" s="1"/>
      <c r="EQ869" s="1"/>
      <c r="ER869" s="1"/>
      <c r="ES869" s="1"/>
      <c r="EV869" s="1"/>
      <c r="EW869" s="1"/>
      <c r="EZ869" s="1"/>
      <c r="FA869" s="1"/>
      <c r="FD869" s="1"/>
      <c r="FG869" s="1"/>
      <c r="FH869" s="1"/>
      <c r="FI869" s="1"/>
      <c r="FJ869" s="1"/>
      <c r="FK869" s="1"/>
      <c r="FM869" s="1"/>
      <c r="FN869" s="1"/>
      <c r="FO869" s="1"/>
      <c r="FP869" s="1"/>
      <c r="FQ869" s="1"/>
      <c r="FR869" s="1"/>
      <c r="FS869" s="1"/>
      <c r="FT869" s="1"/>
      <c r="FU869" s="1"/>
      <c r="FV869" s="1"/>
      <c r="FW869" s="1"/>
      <c r="FX869" s="1"/>
      <c r="FY869" s="1"/>
      <c r="FZ869" s="1"/>
      <c r="GA869" s="1"/>
      <c r="GB869" s="1"/>
      <c r="GD869" s="1"/>
      <c r="GE869" s="1"/>
      <c r="GF869" s="1"/>
      <c r="GG869" s="1"/>
      <c r="GH869" s="1"/>
      <c r="GI869" s="1"/>
      <c r="GJ869" s="1"/>
      <c r="GK869" s="1"/>
      <c r="GL869" s="1"/>
      <c r="GM869" s="1"/>
      <c r="GN869" s="1"/>
      <c r="GP869" s="1"/>
      <c r="GR869" s="1"/>
      <c r="GY869" s="1"/>
      <c r="HF869" s="1"/>
      <c r="HH869" s="1"/>
      <c r="HN869" s="1"/>
      <c r="HQ869" s="1"/>
      <c r="HT869" s="1"/>
      <c r="HY869" s="1"/>
      <c r="IC869" s="1"/>
      <c r="ID869" s="1"/>
      <c r="IE869" s="1"/>
      <c r="IR869" s="1"/>
      <c r="IS869" s="1"/>
      <c r="IY869" s="1"/>
      <c r="IZ869" s="1"/>
      <c r="JC869" s="1"/>
      <c r="JF869" s="1"/>
      <c r="JG869" s="1"/>
      <c r="JJ869" s="1"/>
      <c r="JN869" s="1"/>
      <c r="JP869" s="1"/>
      <c r="JQ869" s="1"/>
      <c r="JT869" s="1"/>
      <c r="KU869" s="1"/>
      <c r="KY869" s="1"/>
      <c r="KZ869" s="1"/>
      <c r="LA869" s="1"/>
      <c r="LB869" s="1"/>
      <c r="LC869" s="1"/>
      <c r="LD869" s="1"/>
      <c r="LO869" s="1"/>
      <c r="LP869" s="1"/>
      <c r="LZ869" s="1"/>
      <c r="MA869" s="1"/>
    </row>
    <row r="870" spans="4:339" ht="13" x14ac:dyDescent="0.15">
      <c r="D870" s="12"/>
      <c r="E870" s="12"/>
      <c r="I870" s="12"/>
      <c r="J870" s="13"/>
      <c r="BF870" s="1"/>
      <c r="BG870" s="1"/>
      <c r="BH870" s="1"/>
      <c r="BI870" s="1"/>
      <c r="BJ870" s="1"/>
      <c r="BK870" s="1"/>
      <c r="BL870" s="1"/>
      <c r="BM870" s="1"/>
      <c r="BN870" s="1"/>
      <c r="BO870" s="1"/>
      <c r="BP870" s="1"/>
      <c r="BQ870" s="1"/>
      <c r="BR870" s="1"/>
      <c r="CD870" s="1"/>
      <c r="CE870" s="1"/>
      <c r="CF870" s="1"/>
      <c r="CG870" s="1"/>
      <c r="CH870" s="1"/>
      <c r="CI870" s="1"/>
      <c r="CM870" s="2"/>
      <c r="CN870" s="1"/>
      <c r="CO870" s="1"/>
      <c r="CP870" s="1"/>
      <c r="CQ870" s="1"/>
      <c r="CR870" s="1"/>
      <c r="CS870" s="1"/>
      <c r="CT870" s="1"/>
      <c r="CU870" s="1"/>
      <c r="CV870" s="1"/>
      <c r="CW870" s="1"/>
      <c r="CX870" s="1"/>
      <c r="CY870" s="1"/>
      <c r="CZ870" s="1"/>
      <c r="DA870" s="1"/>
      <c r="DB870" s="1"/>
      <c r="DC870" s="1"/>
      <c r="DD870" s="1"/>
      <c r="DE870" s="1"/>
      <c r="DF870" s="1"/>
      <c r="DG870" s="1"/>
      <c r="DH870" s="1"/>
      <c r="DI870" s="1"/>
      <c r="DJ870" s="1"/>
      <c r="DK870" s="1"/>
      <c r="DM870" s="1"/>
      <c r="DR870" s="1"/>
      <c r="ED870" s="1"/>
      <c r="EF870" s="1"/>
      <c r="EK870" s="1"/>
      <c r="EL870" s="1"/>
      <c r="EM870" s="1"/>
      <c r="EN870" s="1"/>
      <c r="EQ870" s="1"/>
      <c r="ER870" s="1"/>
      <c r="ES870" s="1"/>
      <c r="EV870" s="1"/>
      <c r="EW870" s="1"/>
      <c r="EZ870" s="1"/>
      <c r="FA870" s="1"/>
      <c r="FD870" s="1"/>
      <c r="FG870" s="1"/>
      <c r="FH870" s="1"/>
      <c r="FI870" s="1"/>
      <c r="FJ870" s="1"/>
      <c r="FK870" s="1"/>
      <c r="FM870" s="1"/>
      <c r="FN870" s="1"/>
      <c r="FO870" s="1"/>
      <c r="FP870" s="1"/>
      <c r="FQ870" s="1"/>
      <c r="FR870" s="1"/>
      <c r="FS870" s="1"/>
      <c r="FT870" s="1"/>
      <c r="FU870" s="1"/>
      <c r="FV870" s="1"/>
      <c r="FW870" s="1"/>
      <c r="FX870" s="1"/>
      <c r="FY870" s="1"/>
      <c r="FZ870" s="1"/>
      <c r="GA870" s="1"/>
      <c r="GB870" s="1"/>
      <c r="GD870" s="1"/>
      <c r="GE870" s="1"/>
      <c r="GF870" s="1"/>
      <c r="GG870" s="1"/>
      <c r="GH870" s="1"/>
      <c r="GI870" s="1"/>
      <c r="GJ870" s="1"/>
      <c r="GK870" s="1"/>
      <c r="GL870" s="1"/>
      <c r="GM870" s="1"/>
      <c r="GN870" s="1"/>
      <c r="GP870" s="1"/>
      <c r="GR870" s="1"/>
      <c r="GY870" s="1"/>
      <c r="HF870" s="1"/>
      <c r="HH870" s="1"/>
      <c r="HN870" s="1"/>
      <c r="HQ870" s="1"/>
      <c r="HT870" s="1"/>
      <c r="HY870" s="1"/>
      <c r="IC870" s="1"/>
      <c r="ID870" s="1"/>
      <c r="IE870" s="1"/>
      <c r="IR870" s="1"/>
      <c r="IS870" s="1"/>
      <c r="IY870" s="1"/>
      <c r="IZ870" s="1"/>
      <c r="JC870" s="1"/>
      <c r="JF870" s="1"/>
      <c r="JG870" s="1"/>
      <c r="JJ870" s="1"/>
      <c r="JN870" s="1"/>
      <c r="JP870" s="1"/>
      <c r="JQ870" s="1"/>
      <c r="JT870" s="1"/>
      <c r="KU870" s="1"/>
      <c r="KY870" s="1"/>
      <c r="KZ870" s="1"/>
      <c r="LA870" s="1"/>
      <c r="LB870" s="1"/>
      <c r="LC870" s="1"/>
      <c r="LD870" s="1"/>
      <c r="LO870" s="1"/>
      <c r="LP870" s="1"/>
      <c r="LZ870" s="1"/>
      <c r="MA870" s="1"/>
    </row>
    <row r="871" spans="4:339" ht="13" x14ac:dyDescent="0.15">
      <c r="D871" s="12"/>
      <c r="E871" s="12"/>
      <c r="I871" s="12"/>
      <c r="J871" s="13"/>
      <c r="BF871" s="1"/>
      <c r="BG871" s="1"/>
      <c r="BH871" s="1"/>
      <c r="BI871" s="1"/>
      <c r="BJ871" s="1"/>
      <c r="BK871" s="1"/>
      <c r="BL871" s="1"/>
      <c r="BM871" s="1"/>
      <c r="BN871" s="1"/>
      <c r="BO871" s="1"/>
      <c r="BP871" s="1"/>
      <c r="BQ871" s="1"/>
      <c r="BR871" s="1"/>
      <c r="CD871" s="1"/>
      <c r="CE871" s="1"/>
      <c r="CF871" s="1"/>
      <c r="CG871" s="1"/>
      <c r="CH871" s="1"/>
      <c r="CI871" s="1"/>
      <c r="CM871" s="2"/>
      <c r="CN871" s="1"/>
      <c r="CO871" s="1"/>
      <c r="CP871" s="1"/>
      <c r="CQ871" s="1"/>
      <c r="CR871" s="1"/>
      <c r="CS871" s="1"/>
      <c r="CT871" s="1"/>
      <c r="CU871" s="1"/>
      <c r="CV871" s="1"/>
      <c r="CW871" s="1"/>
      <c r="CX871" s="1"/>
      <c r="CY871" s="1"/>
      <c r="CZ871" s="1"/>
      <c r="DA871" s="1"/>
      <c r="DB871" s="1"/>
      <c r="DC871" s="1"/>
      <c r="DD871" s="1"/>
      <c r="DE871" s="1"/>
      <c r="DF871" s="1"/>
      <c r="DG871" s="1"/>
      <c r="DH871" s="1"/>
      <c r="DI871" s="1"/>
      <c r="DJ871" s="1"/>
      <c r="DK871" s="1"/>
      <c r="DM871" s="1"/>
      <c r="DR871" s="1"/>
      <c r="ED871" s="1"/>
      <c r="EF871" s="1"/>
      <c r="EK871" s="1"/>
      <c r="EL871" s="1"/>
      <c r="EM871" s="1"/>
      <c r="EN871" s="1"/>
      <c r="EQ871" s="1"/>
      <c r="ER871" s="1"/>
      <c r="ES871" s="1"/>
      <c r="EV871" s="1"/>
      <c r="EW871" s="1"/>
      <c r="EZ871" s="1"/>
      <c r="FA871" s="1"/>
      <c r="FD871" s="1"/>
      <c r="FG871" s="1"/>
      <c r="FH871" s="1"/>
      <c r="FI871" s="1"/>
      <c r="FJ871" s="1"/>
      <c r="FK871" s="1"/>
      <c r="FM871" s="1"/>
      <c r="FN871" s="1"/>
      <c r="FO871" s="1"/>
      <c r="FP871" s="1"/>
      <c r="FQ871" s="1"/>
      <c r="FR871" s="1"/>
      <c r="FS871" s="1"/>
      <c r="FT871" s="1"/>
      <c r="FU871" s="1"/>
      <c r="FV871" s="1"/>
      <c r="FW871" s="1"/>
      <c r="FX871" s="1"/>
      <c r="FY871" s="1"/>
      <c r="FZ871" s="1"/>
      <c r="GA871" s="1"/>
      <c r="GB871" s="1"/>
      <c r="GD871" s="1"/>
      <c r="GE871" s="1"/>
      <c r="GF871" s="1"/>
      <c r="GG871" s="1"/>
      <c r="GH871" s="1"/>
      <c r="GI871" s="1"/>
      <c r="GJ871" s="1"/>
      <c r="GK871" s="1"/>
      <c r="GL871" s="1"/>
      <c r="GM871" s="1"/>
      <c r="GN871" s="1"/>
      <c r="GP871" s="1"/>
      <c r="GR871" s="1"/>
      <c r="GY871" s="1"/>
      <c r="HF871" s="1"/>
      <c r="HH871" s="1"/>
      <c r="HN871" s="1"/>
      <c r="HQ871" s="1"/>
      <c r="HT871" s="1"/>
      <c r="HY871" s="1"/>
      <c r="IC871" s="1"/>
      <c r="ID871" s="1"/>
      <c r="IE871" s="1"/>
      <c r="IR871" s="1"/>
      <c r="IS871" s="1"/>
      <c r="IY871" s="1"/>
      <c r="IZ871" s="1"/>
      <c r="JC871" s="1"/>
      <c r="JF871" s="1"/>
      <c r="JG871" s="1"/>
      <c r="JJ871" s="1"/>
      <c r="JN871" s="1"/>
      <c r="JP871" s="1"/>
      <c r="JQ871" s="1"/>
      <c r="JT871" s="1"/>
      <c r="KU871" s="1"/>
      <c r="KY871" s="1"/>
      <c r="KZ871" s="1"/>
      <c r="LA871" s="1"/>
      <c r="LB871" s="1"/>
      <c r="LC871" s="1"/>
      <c r="LD871" s="1"/>
      <c r="LO871" s="1"/>
      <c r="LP871" s="1"/>
      <c r="LZ871" s="1"/>
      <c r="MA871" s="1"/>
    </row>
    <row r="872" spans="4:339" ht="13" x14ac:dyDescent="0.15">
      <c r="D872" s="12"/>
      <c r="E872" s="12"/>
      <c r="I872" s="12"/>
      <c r="J872" s="13"/>
      <c r="BF872" s="1"/>
      <c r="BG872" s="1"/>
      <c r="BH872" s="1"/>
      <c r="BI872" s="1"/>
      <c r="BJ872" s="1"/>
      <c r="BK872" s="1"/>
      <c r="BL872" s="1"/>
      <c r="BM872" s="1"/>
      <c r="BN872" s="1"/>
      <c r="BO872" s="1"/>
      <c r="BP872" s="1"/>
      <c r="BQ872" s="1"/>
      <c r="BR872" s="1"/>
      <c r="CD872" s="1"/>
      <c r="CE872" s="1"/>
      <c r="CF872" s="1"/>
      <c r="CG872" s="1"/>
      <c r="CH872" s="1"/>
      <c r="CI872" s="1"/>
      <c r="CM872" s="2"/>
      <c r="CN872" s="1"/>
      <c r="CO872" s="1"/>
      <c r="CP872" s="1"/>
      <c r="CQ872" s="1"/>
      <c r="CR872" s="1"/>
      <c r="CS872" s="1"/>
      <c r="CT872" s="1"/>
      <c r="CU872" s="1"/>
      <c r="CV872" s="1"/>
      <c r="CW872" s="1"/>
      <c r="CX872" s="1"/>
      <c r="CY872" s="1"/>
      <c r="CZ872" s="1"/>
      <c r="DA872" s="1"/>
      <c r="DB872" s="1"/>
      <c r="DC872" s="1"/>
      <c r="DD872" s="1"/>
      <c r="DE872" s="1"/>
      <c r="DF872" s="1"/>
      <c r="DG872" s="1"/>
      <c r="DH872" s="1"/>
      <c r="DI872" s="1"/>
      <c r="DJ872" s="1"/>
      <c r="DK872" s="1"/>
      <c r="DM872" s="1"/>
      <c r="DR872" s="1"/>
      <c r="ED872" s="1"/>
      <c r="EF872" s="1"/>
      <c r="EK872" s="1"/>
      <c r="EL872" s="1"/>
      <c r="EM872" s="1"/>
      <c r="EN872" s="1"/>
      <c r="EQ872" s="1"/>
      <c r="ER872" s="1"/>
      <c r="ES872" s="1"/>
      <c r="EV872" s="1"/>
      <c r="EW872" s="1"/>
      <c r="EZ872" s="1"/>
      <c r="FA872" s="1"/>
      <c r="FD872" s="1"/>
      <c r="FG872" s="1"/>
      <c r="FH872" s="1"/>
      <c r="FI872" s="1"/>
      <c r="FJ872" s="1"/>
      <c r="FK872" s="1"/>
      <c r="FM872" s="1"/>
      <c r="FN872" s="1"/>
      <c r="FO872" s="1"/>
      <c r="FP872" s="1"/>
      <c r="FQ872" s="1"/>
      <c r="FR872" s="1"/>
      <c r="FS872" s="1"/>
      <c r="FT872" s="1"/>
      <c r="FU872" s="1"/>
      <c r="FV872" s="1"/>
      <c r="FW872" s="1"/>
      <c r="FX872" s="1"/>
      <c r="FY872" s="1"/>
      <c r="FZ872" s="1"/>
      <c r="GA872" s="1"/>
      <c r="GB872" s="1"/>
      <c r="GD872" s="1"/>
      <c r="GE872" s="1"/>
      <c r="GF872" s="1"/>
      <c r="GG872" s="1"/>
      <c r="GH872" s="1"/>
      <c r="GI872" s="1"/>
      <c r="GJ872" s="1"/>
      <c r="GK872" s="1"/>
      <c r="GL872" s="1"/>
      <c r="GM872" s="1"/>
      <c r="GN872" s="1"/>
      <c r="GP872" s="1"/>
      <c r="GR872" s="1"/>
      <c r="GY872" s="1"/>
      <c r="HF872" s="1"/>
      <c r="HH872" s="1"/>
      <c r="HN872" s="1"/>
      <c r="HQ872" s="1"/>
      <c r="HT872" s="1"/>
      <c r="HY872" s="1"/>
      <c r="IC872" s="1"/>
      <c r="ID872" s="1"/>
      <c r="IE872" s="1"/>
      <c r="IR872" s="1"/>
      <c r="IS872" s="1"/>
      <c r="IY872" s="1"/>
      <c r="IZ872" s="1"/>
      <c r="JC872" s="1"/>
      <c r="JF872" s="1"/>
      <c r="JG872" s="1"/>
      <c r="JJ872" s="1"/>
      <c r="JN872" s="1"/>
      <c r="JP872" s="1"/>
      <c r="JQ872" s="1"/>
      <c r="JT872" s="1"/>
      <c r="KU872" s="1"/>
      <c r="KY872" s="1"/>
      <c r="KZ872" s="1"/>
      <c r="LA872" s="1"/>
      <c r="LB872" s="1"/>
      <c r="LC872" s="1"/>
      <c r="LD872" s="1"/>
      <c r="LO872" s="1"/>
      <c r="LP872" s="1"/>
      <c r="LZ872" s="1"/>
      <c r="MA872" s="1"/>
    </row>
    <row r="873" spans="4:339" ht="13" x14ac:dyDescent="0.15">
      <c r="D873" s="12"/>
      <c r="E873" s="12"/>
      <c r="I873" s="12"/>
      <c r="J873" s="13"/>
      <c r="BF873" s="1"/>
      <c r="BG873" s="1"/>
      <c r="BH873" s="1"/>
      <c r="BI873" s="1"/>
      <c r="BJ873" s="1"/>
      <c r="BK873" s="1"/>
      <c r="BL873" s="1"/>
      <c r="BM873" s="1"/>
      <c r="BN873" s="1"/>
      <c r="BO873" s="1"/>
      <c r="BP873" s="1"/>
      <c r="BQ873" s="1"/>
      <c r="BR873" s="1"/>
      <c r="CD873" s="1"/>
      <c r="CE873" s="1"/>
      <c r="CF873" s="1"/>
      <c r="CG873" s="1"/>
      <c r="CH873" s="1"/>
      <c r="CI873" s="1"/>
      <c r="CM873" s="2"/>
      <c r="CN873" s="1"/>
      <c r="CO873" s="1"/>
      <c r="CP873" s="1"/>
      <c r="CQ873" s="1"/>
      <c r="CR873" s="1"/>
      <c r="CS873" s="1"/>
      <c r="CT873" s="1"/>
      <c r="CU873" s="1"/>
      <c r="CV873" s="1"/>
      <c r="CW873" s="1"/>
      <c r="CX873" s="1"/>
      <c r="CY873" s="1"/>
      <c r="CZ873" s="1"/>
      <c r="DA873" s="1"/>
      <c r="DB873" s="1"/>
      <c r="DC873" s="1"/>
      <c r="DD873" s="1"/>
      <c r="DE873" s="1"/>
      <c r="DF873" s="1"/>
      <c r="DG873" s="1"/>
      <c r="DH873" s="1"/>
      <c r="DI873" s="1"/>
      <c r="DJ873" s="1"/>
      <c r="DK873" s="1"/>
      <c r="DM873" s="1"/>
      <c r="DR873" s="1"/>
      <c r="ED873" s="1"/>
      <c r="EF873" s="1"/>
      <c r="EK873" s="1"/>
      <c r="EL873" s="1"/>
      <c r="EM873" s="1"/>
      <c r="EN873" s="1"/>
      <c r="EQ873" s="1"/>
      <c r="ER873" s="1"/>
      <c r="ES873" s="1"/>
      <c r="EV873" s="1"/>
      <c r="EW873" s="1"/>
      <c r="EZ873" s="1"/>
      <c r="FA873" s="1"/>
      <c r="FD873" s="1"/>
      <c r="FG873" s="1"/>
      <c r="FH873" s="1"/>
      <c r="FI873" s="1"/>
      <c r="FJ873" s="1"/>
      <c r="FK873" s="1"/>
      <c r="FM873" s="1"/>
      <c r="FN873" s="1"/>
      <c r="FO873" s="1"/>
      <c r="FP873" s="1"/>
      <c r="FQ873" s="1"/>
      <c r="FR873" s="1"/>
      <c r="FS873" s="1"/>
      <c r="FT873" s="1"/>
      <c r="FU873" s="1"/>
      <c r="FV873" s="1"/>
      <c r="FW873" s="1"/>
      <c r="FX873" s="1"/>
      <c r="FY873" s="1"/>
      <c r="FZ873" s="1"/>
      <c r="GA873" s="1"/>
      <c r="GB873" s="1"/>
      <c r="GD873" s="1"/>
      <c r="GE873" s="1"/>
      <c r="GF873" s="1"/>
      <c r="GG873" s="1"/>
      <c r="GH873" s="1"/>
      <c r="GI873" s="1"/>
      <c r="GJ873" s="1"/>
      <c r="GK873" s="1"/>
      <c r="GL873" s="1"/>
      <c r="GM873" s="1"/>
      <c r="GN873" s="1"/>
      <c r="GP873" s="1"/>
      <c r="GR873" s="1"/>
      <c r="GY873" s="1"/>
      <c r="HF873" s="1"/>
      <c r="HH873" s="1"/>
      <c r="HN873" s="1"/>
      <c r="HQ873" s="1"/>
      <c r="HT873" s="1"/>
      <c r="HY873" s="1"/>
      <c r="IC873" s="1"/>
      <c r="ID873" s="1"/>
      <c r="IE873" s="1"/>
      <c r="IR873" s="1"/>
      <c r="IS873" s="1"/>
      <c r="IY873" s="1"/>
      <c r="IZ873" s="1"/>
      <c r="JC873" s="1"/>
      <c r="JF873" s="1"/>
      <c r="JG873" s="1"/>
      <c r="JJ873" s="1"/>
      <c r="JN873" s="1"/>
      <c r="JP873" s="1"/>
      <c r="JQ873" s="1"/>
      <c r="JT873" s="1"/>
      <c r="KU873" s="1"/>
      <c r="KY873" s="1"/>
      <c r="KZ873" s="1"/>
      <c r="LA873" s="1"/>
      <c r="LB873" s="1"/>
      <c r="LC873" s="1"/>
      <c r="LD873" s="1"/>
      <c r="LO873" s="1"/>
      <c r="LP873" s="1"/>
      <c r="LZ873" s="1"/>
      <c r="MA873" s="1"/>
    </row>
    <row r="874" spans="4:339" ht="13" x14ac:dyDescent="0.15">
      <c r="D874" s="12"/>
      <c r="E874" s="12"/>
      <c r="I874" s="12"/>
      <c r="J874" s="13"/>
      <c r="BF874" s="1"/>
      <c r="BG874" s="1"/>
      <c r="BH874" s="1"/>
      <c r="BI874" s="1"/>
      <c r="BJ874" s="1"/>
      <c r="BK874" s="1"/>
      <c r="BL874" s="1"/>
      <c r="BM874" s="1"/>
      <c r="BN874" s="1"/>
      <c r="BO874" s="1"/>
      <c r="BP874" s="1"/>
      <c r="BQ874" s="1"/>
      <c r="BR874" s="1"/>
      <c r="CD874" s="1"/>
      <c r="CE874" s="1"/>
      <c r="CF874" s="1"/>
      <c r="CG874" s="1"/>
      <c r="CH874" s="1"/>
      <c r="CI874" s="1"/>
      <c r="CM874" s="2"/>
      <c r="CN874" s="1"/>
      <c r="CO874" s="1"/>
      <c r="CP874" s="1"/>
      <c r="CQ874" s="1"/>
      <c r="CR874" s="1"/>
      <c r="CS874" s="1"/>
      <c r="CT874" s="1"/>
      <c r="CU874" s="1"/>
      <c r="CV874" s="1"/>
      <c r="CW874" s="1"/>
      <c r="CX874" s="1"/>
      <c r="CY874" s="1"/>
      <c r="CZ874" s="1"/>
      <c r="DA874" s="1"/>
      <c r="DB874" s="1"/>
      <c r="DC874" s="1"/>
      <c r="DD874" s="1"/>
      <c r="DE874" s="1"/>
      <c r="DF874" s="1"/>
      <c r="DG874" s="1"/>
      <c r="DH874" s="1"/>
      <c r="DI874" s="1"/>
      <c r="DJ874" s="1"/>
      <c r="DK874" s="1"/>
      <c r="DM874" s="1"/>
      <c r="DR874" s="1"/>
      <c r="ED874" s="1"/>
      <c r="EF874" s="1"/>
      <c r="EK874" s="1"/>
      <c r="EL874" s="1"/>
      <c r="EM874" s="1"/>
      <c r="EN874" s="1"/>
      <c r="EQ874" s="1"/>
      <c r="ER874" s="1"/>
      <c r="ES874" s="1"/>
      <c r="EV874" s="1"/>
      <c r="EW874" s="1"/>
      <c r="EZ874" s="1"/>
      <c r="FA874" s="1"/>
      <c r="FD874" s="1"/>
      <c r="FG874" s="1"/>
      <c r="FH874" s="1"/>
      <c r="FI874" s="1"/>
      <c r="FJ874" s="1"/>
      <c r="FK874" s="1"/>
      <c r="FM874" s="1"/>
      <c r="FN874" s="1"/>
      <c r="FO874" s="1"/>
      <c r="FP874" s="1"/>
      <c r="FQ874" s="1"/>
      <c r="FR874" s="1"/>
      <c r="FS874" s="1"/>
      <c r="FT874" s="1"/>
      <c r="FU874" s="1"/>
      <c r="FV874" s="1"/>
      <c r="FW874" s="1"/>
      <c r="FX874" s="1"/>
      <c r="FY874" s="1"/>
      <c r="FZ874" s="1"/>
      <c r="GA874" s="1"/>
      <c r="GB874" s="1"/>
      <c r="GD874" s="1"/>
      <c r="GE874" s="1"/>
      <c r="GF874" s="1"/>
      <c r="GG874" s="1"/>
      <c r="GH874" s="1"/>
      <c r="GI874" s="1"/>
      <c r="GJ874" s="1"/>
      <c r="GK874" s="1"/>
      <c r="GL874" s="1"/>
      <c r="GM874" s="1"/>
      <c r="GN874" s="1"/>
      <c r="GP874" s="1"/>
      <c r="GR874" s="1"/>
      <c r="GY874" s="1"/>
      <c r="HF874" s="1"/>
      <c r="HH874" s="1"/>
      <c r="HN874" s="1"/>
      <c r="HQ874" s="1"/>
      <c r="HT874" s="1"/>
      <c r="HY874" s="1"/>
      <c r="IC874" s="1"/>
      <c r="ID874" s="1"/>
      <c r="IE874" s="1"/>
      <c r="IR874" s="1"/>
      <c r="IS874" s="1"/>
      <c r="IY874" s="1"/>
      <c r="IZ874" s="1"/>
      <c r="JC874" s="1"/>
      <c r="JF874" s="1"/>
      <c r="JG874" s="1"/>
      <c r="JJ874" s="1"/>
      <c r="JN874" s="1"/>
      <c r="JP874" s="1"/>
      <c r="JQ874" s="1"/>
      <c r="JT874" s="1"/>
      <c r="KU874" s="1"/>
      <c r="KY874" s="1"/>
      <c r="KZ874" s="1"/>
      <c r="LA874" s="1"/>
      <c r="LB874" s="1"/>
      <c r="LC874" s="1"/>
      <c r="LD874" s="1"/>
      <c r="LO874" s="1"/>
      <c r="LP874" s="1"/>
      <c r="LZ874" s="1"/>
      <c r="MA874" s="1"/>
    </row>
    <row r="875" spans="4:339" ht="13" x14ac:dyDescent="0.15">
      <c r="D875" s="12"/>
      <c r="E875" s="12"/>
      <c r="I875" s="12"/>
      <c r="J875" s="13"/>
      <c r="BF875" s="1"/>
      <c r="BG875" s="1"/>
      <c r="BH875" s="1"/>
      <c r="BI875" s="1"/>
      <c r="BJ875" s="1"/>
      <c r="BK875" s="1"/>
      <c r="BL875" s="1"/>
      <c r="BM875" s="1"/>
      <c r="BN875" s="1"/>
      <c r="BO875" s="1"/>
      <c r="BP875" s="1"/>
      <c r="BQ875" s="1"/>
      <c r="BR875" s="1"/>
      <c r="CD875" s="1"/>
      <c r="CE875" s="1"/>
      <c r="CF875" s="1"/>
      <c r="CG875" s="1"/>
      <c r="CH875" s="1"/>
      <c r="CI875" s="1"/>
      <c r="CM875" s="2"/>
      <c r="CN875" s="1"/>
      <c r="CO875" s="1"/>
      <c r="CP875" s="1"/>
      <c r="CQ875" s="1"/>
      <c r="CR875" s="1"/>
      <c r="CS875" s="1"/>
      <c r="CT875" s="1"/>
      <c r="CU875" s="1"/>
      <c r="CV875" s="1"/>
      <c r="CW875" s="1"/>
      <c r="CX875" s="1"/>
      <c r="CY875" s="1"/>
      <c r="CZ875" s="1"/>
      <c r="DA875" s="1"/>
      <c r="DB875" s="1"/>
      <c r="DC875" s="1"/>
      <c r="DD875" s="1"/>
      <c r="DE875" s="1"/>
      <c r="DF875" s="1"/>
      <c r="DG875" s="1"/>
      <c r="DH875" s="1"/>
      <c r="DI875" s="1"/>
      <c r="DJ875" s="1"/>
      <c r="DK875" s="1"/>
      <c r="DM875" s="1"/>
      <c r="DR875" s="1"/>
      <c r="ED875" s="1"/>
      <c r="EF875" s="1"/>
      <c r="EK875" s="1"/>
      <c r="EL875" s="1"/>
      <c r="EM875" s="1"/>
      <c r="EN875" s="1"/>
      <c r="EQ875" s="1"/>
      <c r="ER875" s="1"/>
      <c r="ES875" s="1"/>
      <c r="EV875" s="1"/>
      <c r="EW875" s="1"/>
      <c r="EZ875" s="1"/>
      <c r="FA875" s="1"/>
      <c r="FD875" s="1"/>
      <c r="FG875" s="1"/>
      <c r="FH875" s="1"/>
      <c r="FI875" s="1"/>
      <c r="FJ875" s="1"/>
      <c r="FK875" s="1"/>
      <c r="FM875" s="1"/>
      <c r="FN875" s="1"/>
      <c r="FO875" s="1"/>
      <c r="FP875" s="1"/>
      <c r="FQ875" s="1"/>
      <c r="FR875" s="1"/>
      <c r="FS875" s="1"/>
      <c r="FT875" s="1"/>
      <c r="FU875" s="1"/>
      <c r="FV875" s="1"/>
      <c r="FW875" s="1"/>
      <c r="FX875" s="1"/>
      <c r="FY875" s="1"/>
      <c r="FZ875" s="1"/>
      <c r="GA875" s="1"/>
      <c r="GB875" s="1"/>
      <c r="GD875" s="1"/>
      <c r="GE875" s="1"/>
      <c r="GF875" s="1"/>
      <c r="GG875" s="1"/>
      <c r="GH875" s="1"/>
      <c r="GI875" s="1"/>
      <c r="GJ875" s="1"/>
      <c r="GK875" s="1"/>
      <c r="GL875" s="1"/>
      <c r="GM875" s="1"/>
      <c r="GN875" s="1"/>
      <c r="GP875" s="1"/>
      <c r="GR875" s="1"/>
      <c r="GY875" s="1"/>
      <c r="HF875" s="1"/>
      <c r="HH875" s="1"/>
      <c r="HN875" s="1"/>
      <c r="HQ875" s="1"/>
      <c r="HT875" s="1"/>
      <c r="HY875" s="1"/>
      <c r="IC875" s="1"/>
      <c r="ID875" s="1"/>
      <c r="IE875" s="1"/>
      <c r="IR875" s="1"/>
      <c r="IS875" s="1"/>
      <c r="IY875" s="1"/>
      <c r="IZ875" s="1"/>
      <c r="JC875" s="1"/>
      <c r="JF875" s="1"/>
      <c r="JG875" s="1"/>
      <c r="JJ875" s="1"/>
      <c r="JN875" s="1"/>
      <c r="JP875" s="1"/>
      <c r="JQ875" s="1"/>
      <c r="JT875" s="1"/>
      <c r="KU875" s="1"/>
      <c r="KY875" s="1"/>
      <c r="KZ875" s="1"/>
      <c r="LA875" s="1"/>
      <c r="LB875" s="1"/>
      <c r="LC875" s="1"/>
      <c r="LD875" s="1"/>
      <c r="LO875" s="1"/>
      <c r="LP875" s="1"/>
      <c r="LZ875" s="1"/>
      <c r="MA875" s="1"/>
    </row>
    <row r="876" spans="4:339" ht="13" x14ac:dyDescent="0.15">
      <c r="D876" s="12"/>
      <c r="E876" s="12"/>
      <c r="I876" s="12"/>
      <c r="J876" s="13"/>
      <c r="BF876" s="1"/>
      <c r="BG876" s="1"/>
      <c r="BH876" s="1"/>
      <c r="BI876" s="1"/>
      <c r="BJ876" s="1"/>
      <c r="BK876" s="1"/>
      <c r="BL876" s="1"/>
      <c r="BM876" s="1"/>
      <c r="BN876" s="1"/>
      <c r="BO876" s="1"/>
      <c r="BP876" s="1"/>
      <c r="BQ876" s="1"/>
      <c r="BR876" s="1"/>
      <c r="CD876" s="1"/>
      <c r="CE876" s="1"/>
      <c r="CF876" s="1"/>
      <c r="CG876" s="1"/>
      <c r="CH876" s="1"/>
      <c r="CI876" s="1"/>
      <c r="CM876" s="2"/>
      <c r="CN876" s="1"/>
      <c r="CO876" s="1"/>
      <c r="CP876" s="1"/>
      <c r="CQ876" s="1"/>
      <c r="CR876" s="1"/>
      <c r="CS876" s="1"/>
      <c r="CT876" s="1"/>
      <c r="CU876" s="1"/>
      <c r="CV876" s="1"/>
      <c r="CW876" s="1"/>
      <c r="CX876" s="1"/>
      <c r="CY876" s="1"/>
      <c r="CZ876" s="1"/>
      <c r="DA876" s="1"/>
      <c r="DB876" s="1"/>
      <c r="DC876" s="1"/>
      <c r="DD876" s="1"/>
      <c r="DE876" s="1"/>
      <c r="DF876" s="1"/>
      <c r="DG876" s="1"/>
      <c r="DH876" s="1"/>
      <c r="DI876" s="1"/>
      <c r="DJ876" s="1"/>
      <c r="DK876" s="1"/>
      <c r="DM876" s="1"/>
      <c r="DR876" s="1"/>
      <c r="ED876" s="1"/>
      <c r="EF876" s="1"/>
      <c r="EK876" s="1"/>
      <c r="EL876" s="1"/>
      <c r="EM876" s="1"/>
      <c r="EN876" s="1"/>
      <c r="EQ876" s="1"/>
      <c r="ER876" s="1"/>
      <c r="ES876" s="1"/>
      <c r="EV876" s="1"/>
      <c r="EW876" s="1"/>
      <c r="EZ876" s="1"/>
      <c r="FA876" s="1"/>
      <c r="FD876" s="1"/>
      <c r="FG876" s="1"/>
      <c r="FH876" s="1"/>
      <c r="FI876" s="1"/>
      <c r="FJ876" s="1"/>
      <c r="FK876" s="1"/>
      <c r="FM876" s="1"/>
      <c r="FN876" s="1"/>
      <c r="FO876" s="1"/>
      <c r="FP876" s="1"/>
      <c r="FQ876" s="1"/>
      <c r="FR876" s="1"/>
      <c r="FS876" s="1"/>
      <c r="FT876" s="1"/>
      <c r="FU876" s="1"/>
      <c r="FV876" s="1"/>
      <c r="FW876" s="1"/>
      <c r="FX876" s="1"/>
      <c r="FY876" s="1"/>
      <c r="FZ876" s="1"/>
      <c r="GA876" s="1"/>
      <c r="GB876" s="1"/>
      <c r="GD876" s="1"/>
      <c r="GE876" s="1"/>
      <c r="GF876" s="1"/>
      <c r="GG876" s="1"/>
      <c r="GH876" s="1"/>
      <c r="GI876" s="1"/>
      <c r="GJ876" s="1"/>
      <c r="GK876" s="1"/>
      <c r="GL876" s="1"/>
      <c r="GM876" s="1"/>
      <c r="GN876" s="1"/>
      <c r="GP876" s="1"/>
      <c r="GR876" s="1"/>
      <c r="GY876" s="1"/>
      <c r="HF876" s="1"/>
      <c r="HH876" s="1"/>
      <c r="HN876" s="1"/>
      <c r="HQ876" s="1"/>
      <c r="HT876" s="1"/>
      <c r="HY876" s="1"/>
      <c r="IC876" s="1"/>
      <c r="ID876" s="1"/>
      <c r="IE876" s="1"/>
      <c r="IR876" s="1"/>
      <c r="IS876" s="1"/>
      <c r="IY876" s="1"/>
      <c r="IZ876" s="1"/>
      <c r="JC876" s="1"/>
      <c r="JF876" s="1"/>
      <c r="JG876" s="1"/>
      <c r="JJ876" s="1"/>
      <c r="JN876" s="1"/>
      <c r="JP876" s="1"/>
      <c r="JQ876" s="1"/>
      <c r="JT876" s="1"/>
      <c r="KU876" s="1"/>
      <c r="KY876" s="1"/>
      <c r="KZ876" s="1"/>
      <c r="LA876" s="1"/>
      <c r="LB876" s="1"/>
      <c r="LC876" s="1"/>
      <c r="LD876" s="1"/>
      <c r="LO876" s="1"/>
      <c r="LP876" s="1"/>
      <c r="LZ876" s="1"/>
      <c r="MA876" s="1"/>
    </row>
    <row r="877" spans="4:339" ht="13" x14ac:dyDescent="0.15">
      <c r="D877" s="12"/>
      <c r="E877" s="12"/>
      <c r="I877" s="12"/>
      <c r="J877" s="13"/>
      <c r="BF877" s="1"/>
      <c r="BG877" s="1"/>
      <c r="BH877" s="1"/>
      <c r="BI877" s="1"/>
      <c r="BJ877" s="1"/>
      <c r="BK877" s="1"/>
      <c r="BL877" s="1"/>
      <c r="BM877" s="1"/>
      <c r="BN877" s="1"/>
      <c r="BO877" s="1"/>
      <c r="BP877" s="1"/>
      <c r="BQ877" s="1"/>
      <c r="BR877" s="1"/>
      <c r="CD877" s="1"/>
      <c r="CE877" s="1"/>
      <c r="CF877" s="1"/>
      <c r="CG877" s="1"/>
      <c r="CH877" s="1"/>
      <c r="CI877" s="1"/>
      <c r="CM877" s="2"/>
      <c r="CN877" s="1"/>
      <c r="CO877" s="1"/>
      <c r="CP877" s="1"/>
      <c r="CQ877" s="1"/>
      <c r="CR877" s="1"/>
      <c r="CS877" s="1"/>
      <c r="CT877" s="1"/>
      <c r="CU877" s="1"/>
      <c r="CV877" s="1"/>
      <c r="CW877" s="1"/>
      <c r="CX877" s="1"/>
      <c r="CY877" s="1"/>
      <c r="CZ877" s="1"/>
      <c r="DA877" s="1"/>
      <c r="DB877" s="1"/>
      <c r="DC877" s="1"/>
      <c r="DD877" s="1"/>
      <c r="DE877" s="1"/>
      <c r="DF877" s="1"/>
      <c r="DG877" s="1"/>
      <c r="DH877" s="1"/>
      <c r="DI877" s="1"/>
      <c r="DJ877" s="1"/>
      <c r="DK877" s="1"/>
      <c r="DM877" s="1"/>
      <c r="DR877" s="1"/>
      <c r="ED877" s="1"/>
      <c r="EF877" s="1"/>
      <c r="EK877" s="1"/>
      <c r="EL877" s="1"/>
      <c r="EM877" s="1"/>
      <c r="EN877" s="1"/>
      <c r="EQ877" s="1"/>
      <c r="ER877" s="1"/>
      <c r="ES877" s="1"/>
      <c r="EV877" s="1"/>
      <c r="EW877" s="1"/>
      <c r="EZ877" s="1"/>
      <c r="FA877" s="1"/>
      <c r="FD877" s="1"/>
      <c r="FG877" s="1"/>
      <c r="FH877" s="1"/>
      <c r="FI877" s="1"/>
      <c r="FJ877" s="1"/>
      <c r="FK877" s="1"/>
      <c r="FM877" s="1"/>
      <c r="FN877" s="1"/>
      <c r="FO877" s="1"/>
      <c r="FP877" s="1"/>
      <c r="FQ877" s="1"/>
      <c r="FR877" s="1"/>
      <c r="FS877" s="1"/>
      <c r="FT877" s="1"/>
      <c r="FU877" s="1"/>
      <c r="FV877" s="1"/>
      <c r="FW877" s="1"/>
      <c r="FX877" s="1"/>
      <c r="FY877" s="1"/>
      <c r="FZ877" s="1"/>
      <c r="GA877" s="1"/>
      <c r="GB877" s="1"/>
      <c r="GD877" s="1"/>
      <c r="GE877" s="1"/>
      <c r="GF877" s="1"/>
      <c r="GG877" s="1"/>
      <c r="GH877" s="1"/>
      <c r="GI877" s="1"/>
      <c r="GJ877" s="1"/>
      <c r="GK877" s="1"/>
      <c r="GL877" s="1"/>
      <c r="GM877" s="1"/>
      <c r="GN877" s="1"/>
      <c r="GP877" s="1"/>
      <c r="GR877" s="1"/>
      <c r="GY877" s="1"/>
      <c r="HF877" s="1"/>
      <c r="HH877" s="1"/>
      <c r="HN877" s="1"/>
      <c r="HQ877" s="1"/>
      <c r="HT877" s="1"/>
      <c r="HY877" s="1"/>
      <c r="IC877" s="1"/>
      <c r="ID877" s="1"/>
      <c r="IE877" s="1"/>
      <c r="IR877" s="1"/>
      <c r="IS877" s="1"/>
      <c r="IY877" s="1"/>
      <c r="IZ877" s="1"/>
      <c r="JC877" s="1"/>
      <c r="JF877" s="1"/>
      <c r="JG877" s="1"/>
      <c r="JJ877" s="1"/>
      <c r="JN877" s="1"/>
      <c r="JP877" s="1"/>
      <c r="JQ877" s="1"/>
      <c r="JT877" s="1"/>
      <c r="KU877" s="1"/>
      <c r="KY877" s="1"/>
      <c r="KZ877" s="1"/>
      <c r="LA877" s="1"/>
      <c r="LB877" s="1"/>
      <c r="LC877" s="1"/>
      <c r="LD877" s="1"/>
      <c r="LO877" s="1"/>
      <c r="LP877" s="1"/>
      <c r="LZ877" s="1"/>
      <c r="MA877" s="1"/>
    </row>
    <row r="878" spans="4:339" ht="13" x14ac:dyDescent="0.15">
      <c r="D878" s="12"/>
      <c r="E878" s="12"/>
      <c r="I878" s="12"/>
      <c r="J878" s="13"/>
      <c r="BF878" s="1"/>
      <c r="BG878" s="1"/>
      <c r="BH878" s="1"/>
      <c r="BI878" s="1"/>
      <c r="BJ878" s="1"/>
      <c r="BK878" s="1"/>
      <c r="BL878" s="1"/>
      <c r="BM878" s="1"/>
      <c r="BN878" s="1"/>
      <c r="BO878" s="1"/>
      <c r="BP878" s="1"/>
      <c r="BQ878" s="1"/>
      <c r="BR878" s="1"/>
      <c r="CD878" s="1"/>
      <c r="CE878" s="1"/>
      <c r="CF878" s="1"/>
      <c r="CG878" s="1"/>
      <c r="CH878" s="1"/>
      <c r="CI878" s="1"/>
      <c r="CM878" s="2"/>
      <c r="CN878" s="1"/>
      <c r="CO878" s="1"/>
      <c r="CP878" s="1"/>
      <c r="CQ878" s="1"/>
      <c r="CR878" s="1"/>
      <c r="CS878" s="1"/>
      <c r="CT878" s="1"/>
      <c r="CU878" s="1"/>
      <c r="CV878" s="1"/>
      <c r="CW878" s="1"/>
      <c r="CX878" s="1"/>
      <c r="CY878" s="1"/>
      <c r="CZ878" s="1"/>
      <c r="DA878" s="1"/>
      <c r="DB878" s="1"/>
      <c r="DC878" s="1"/>
      <c r="DD878" s="1"/>
      <c r="DE878" s="1"/>
      <c r="DF878" s="1"/>
      <c r="DG878" s="1"/>
      <c r="DH878" s="1"/>
      <c r="DI878" s="1"/>
      <c r="DJ878" s="1"/>
      <c r="DK878" s="1"/>
      <c r="DM878" s="1"/>
      <c r="DR878" s="1"/>
      <c r="ED878" s="1"/>
      <c r="EF878" s="1"/>
      <c r="EK878" s="1"/>
      <c r="EL878" s="1"/>
      <c r="EM878" s="1"/>
      <c r="EN878" s="1"/>
      <c r="EQ878" s="1"/>
      <c r="ER878" s="1"/>
      <c r="ES878" s="1"/>
      <c r="EV878" s="1"/>
      <c r="EW878" s="1"/>
      <c r="EZ878" s="1"/>
      <c r="FA878" s="1"/>
      <c r="FD878" s="1"/>
      <c r="FG878" s="1"/>
      <c r="FH878" s="1"/>
      <c r="FI878" s="1"/>
      <c r="FJ878" s="1"/>
      <c r="FK878" s="1"/>
      <c r="FM878" s="1"/>
      <c r="FN878" s="1"/>
      <c r="FO878" s="1"/>
      <c r="FP878" s="1"/>
      <c r="FQ878" s="1"/>
      <c r="FR878" s="1"/>
      <c r="FS878" s="1"/>
      <c r="FT878" s="1"/>
      <c r="FU878" s="1"/>
      <c r="FV878" s="1"/>
      <c r="FW878" s="1"/>
      <c r="FX878" s="1"/>
      <c r="FY878" s="1"/>
      <c r="FZ878" s="1"/>
      <c r="GA878" s="1"/>
      <c r="GB878" s="1"/>
      <c r="GD878" s="1"/>
      <c r="GE878" s="1"/>
      <c r="GF878" s="1"/>
      <c r="GG878" s="1"/>
      <c r="GH878" s="1"/>
      <c r="GI878" s="1"/>
      <c r="GJ878" s="1"/>
      <c r="GK878" s="1"/>
      <c r="GL878" s="1"/>
      <c r="GM878" s="1"/>
      <c r="GN878" s="1"/>
      <c r="GP878" s="1"/>
      <c r="GR878" s="1"/>
      <c r="GY878" s="1"/>
      <c r="HF878" s="1"/>
      <c r="HH878" s="1"/>
      <c r="HN878" s="1"/>
      <c r="HQ878" s="1"/>
      <c r="HT878" s="1"/>
      <c r="HY878" s="1"/>
      <c r="IC878" s="1"/>
      <c r="ID878" s="1"/>
      <c r="IE878" s="1"/>
      <c r="IR878" s="1"/>
      <c r="IS878" s="1"/>
      <c r="IY878" s="1"/>
      <c r="IZ878" s="1"/>
      <c r="JC878" s="1"/>
      <c r="JF878" s="1"/>
      <c r="JG878" s="1"/>
      <c r="JJ878" s="1"/>
      <c r="JN878" s="1"/>
      <c r="JP878" s="1"/>
      <c r="JQ878" s="1"/>
      <c r="JT878" s="1"/>
      <c r="KU878" s="1"/>
      <c r="KY878" s="1"/>
      <c r="KZ878" s="1"/>
      <c r="LA878" s="1"/>
      <c r="LB878" s="1"/>
      <c r="LC878" s="1"/>
      <c r="LD878" s="1"/>
      <c r="LO878" s="1"/>
      <c r="LP878" s="1"/>
      <c r="LZ878" s="1"/>
      <c r="MA878" s="1"/>
    </row>
    <row r="879" spans="4:339" ht="13" x14ac:dyDescent="0.15">
      <c r="D879" s="12"/>
      <c r="E879" s="12"/>
      <c r="I879" s="12"/>
      <c r="J879" s="13"/>
      <c r="BF879" s="1"/>
      <c r="BG879" s="1"/>
      <c r="BH879" s="1"/>
      <c r="BI879" s="1"/>
      <c r="BJ879" s="1"/>
      <c r="BK879" s="1"/>
      <c r="BL879" s="1"/>
      <c r="BM879" s="1"/>
      <c r="BN879" s="1"/>
      <c r="BO879" s="1"/>
      <c r="BP879" s="1"/>
      <c r="BQ879" s="1"/>
      <c r="BR879" s="1"/>
      <c r="CD879" s="1"/>
      <c r="CE879" s="1"/>
      <c r="CF879" s="1"/>
      <c r="CG879" s="1"/>
      <c r="CH879" s="1"/>
      <c r="CI879" s="1"/>
      <c r="CM879" s="2"/>
      <c r="CN879" s="1"/>
      <c r="CO879" s="1"/>
      <c r="CP879" s="1"/>
      <c r="CQ879" s="1"/>
      <c r="CR879" s="1"/>
      <c r="CS879" s="1"/>
      <c r="CT879" s="1"/>
      <c r="CU879" s="1"/>
      <c r="CV879" s="1"/>
      <c r="CW879" s="1"/>
      <c r="CX879" s="1"/>
      <c r="CY879" s="1"/>
      <c r="CZ879" s="1"/>
      <c r="DA879" s="1"/>
      <c r="DB879" s="1"/>
      <c r="DC879" s="1"/>
      <c r="DD879" s="1"/>
      <c r="DE879" s="1"/>
      <c r="DF879" s="1"/>
      <c r="DG879" s="1"/>
      <c r="DH879" s="1"/>
      <c r="DI879" s="1"/>
      <c r="DJ879" s="1"/>
      <c r="DK879" s="1"/>
      <c r="DM879" s="1"/>
      <c r="DR879" s="1"/>
      <c r="ED879" s="1"/>
      <c r="EF879" s="1"/>
      <c r="EK879" s="1"/>
      <c r="EL879" s="1"/>
      <c r="EM879" s="1"/>
      <c r="EN879" s="1"/>
      <c r="EQ879" s="1"/>
      <c r="ER879" s="1"/>
      <c r="ES879" s="1"/>
      <c r="EV879" s="1"/>
      <c r="EW879" s="1"/>
      <c r="EZ879" s="1"/>
      <c r="FA879" s="1"/>
      <c r="FD879" s="1"/>
      <c r="FG879" s="1"/>
      <c r="FH879" s="1"/>
      <c r="FI879" s="1"/>
      <c r="FJ879" s="1"/>
      <c r="FK879" s="1"/>
      <c r="FM879" s="1"/>
      <c r="FN879" s="1"/>
      <c r="FO879" s="1"/>
      <c r="FP879" s="1"/>
      <c r="FQ879" s="1"/>
      <c r="FR879" s="1"/>
      <c r="FS879" s="1"/>
      <c r="FT879" s="1"/>
      <c r="FU879" s="1"/>
      <c r="FV879" s="1"/>
      <c r="FW879" s="1"/>
      <c r="FX879" s="1"/>
      <c r="FY879" s="1"/>
      <c r="FZ879" s="1"/>
      <c r="GA879" s="1"/>
      <c r="GB879" s="1"/>
      <c r="GD879" s="1"/>
      <c r="GE879" s="1"/>
      <c r="GF879" s="1"/>
      <c r="GG879" s="1"/>
      <c r="GH879" s="1"/>
      <c r="GI879" s="1"/>
      <c r="GJ879" s="1"/>
      <c r="GK879" s="1"/>
      <c r="GL879" s="1"/>
      <c r="GM879" s="1"/>
      <c r="GN879" s="1"/>
      <c r="GP879" s="1"/>
      <c r="GR879" s="1"/>
      <c r="GY879" s="1"/>
      <c r="HF879" s="1"/>
      <c r="HH879" s="1"/>
      <c r="HN879" s="1"/>
      <c r="HQ879" s="1"/>
      <c r="HT879" s="1"/>
      <c r="HY879" s="1"/>
      <c r="IC879" s="1"/>
      <c r="ID879" s="1"/>
      <c r="IE879" s="1"/>
      <c r="IR879" s="1"/>
      <c r="IS879" s="1"/>
      <c r="IY879" s="1"/>
      <c r="IZ879" s="1"/>
      <c r="JC879" s="1"/>
      <c r="JF879" s="1"/>
      <c r="JG879" s="1"/>
      <c r="JJ879" s="1"/>
      <c r="JN879" s="1"/>
      <c r="JP879" s="1"/>
      <c r="JQ879" s="1"/>
      <c r="JT879" s="1"/>
      <c r="KU879" s="1"/>
      <c r="KY879" s="1"/>
      <c r="KZ879" s="1"/>
      <c r="LA879" s="1"/>
      <c r="LB879" s="1"/>
      <c r="LC879" s="1"/>
      <c r="LD879" s="1"/>
      <c r="LO879" s="1"/>
      <c r="LP879" s="1"/>
      <c r="LZ879" s="1"/>
      <c r="MA879" s="1"/>
    </row>
    <row r="880" spans="4:339" ht="13" x14ac:dyDescent="0.15">
      <c r="D880" s="12"/>
      <c r="E880" s="12"/>
      <c r="I880" s="12"/>
      <c r="J880" s="13"/>
      <c r="BF880" s="1"/>
      <c r="BG880" s="1"/>
      <c r="BH880" s="1"/>
      <c r="BI880" s="1"/>
      <c r="BJ880" s="1"/>
      <c r="BK880" s="1"/>
      <c r="BL880" s="1"/>
      <c r="BM880" s="1"/>
      <c r="BN880" s="1"/>
      <c r="BO880" s="1"/>
      <c r="BP880" s="1"/>
      <c r="BQ880" s="1"/>
      <c r="BR880" s="1"/>
      <c r="CD880" s="1"/>
      <c r="CE880" s="1"/>
      <c r="CF880" s="1"/>
      <c r="CG880" s="1"/>
      <c r="CH880" s="1"/>
      <c r="CI880" s="1"/>
      <c r="CM880" s="2"/>
      <c r="CN880" s="1"/>
      <c r="CO880" s="1"/>
      <c r="CP880" s="1"/>
      <c r="CQ880" s="1"/>
      <c r="CR880" s="1"/>
      <c r="CS880" s="1"/>
      <c r="CT880" s="1"/>
      <c r="CU880" s="1"/>
      <c r="CV880" s="1"/>
      <c r="CW880" s="1"/>
      <c r="CX880" s="1"/>
      <c r="CY880" s="1"/>
      <c r="CZ880" s="1"/>
      <c r="DA880" s="1"/>
      <c r="DB880" s="1"/>
      <c r="DC880" s="1"/>
      <c r="DD880" s="1"/>
      <c r="DE880" s="1"/>
      <c r="DF880" s="1"/>
      <c r="DG880" s="1"/>
      <c r="DH880" s="1"/>
      <c r="DI880" s="1"/>
      <c r="DJ880" s="1"/>
      <c r="DK880" s="1"/>
      <c r="DM880" s="1"/>
      <c r="DR880" s="1"/>
      <c r="ED880" s="1"/>
      <c r="EF880" s="1"/>
      <c r="EK880" s="1"/>
      <c r="EL880" s="1"/>
      <c r="EM880" s="1"/>
      <c r="EN880" s="1"/>
      <c r="EQ880" s="1"/>
      <c r="ER880" s="1"/>
      <c r="ES880" s="1"/>
      <c r="EV880" s="1"/>
      <c r="EW880" s="1"/>
      <c r="EZ880" s="1"/>
      <c r="FA880" s="1"/>
      <c r="FD880" s="1"/>
      <c r="FG880" s="1"/>
      <c r="FH880" s="1"/>
      <c r="FI880" s="1"/>
      <c r="FJ880" s="1"/>
      <c r="FK880" s="1"/>
      <c r="FM880" s="1"/>
      <c r="FN880" s="1"/>
      <c r="FO880" s="1"/>
      <c r="FP880" s="1"/>
      <c r="FQ880" s="1"/>
      <c r="FR880" s="1"/>
      <c r="FS880" s="1"/>
      <c r="FT880" s="1"/>
      <c r="FU880" s="1"/>
      <c r="FV880" s="1"/>
      <c r="FW880" s="1"/>
      <c r="FX880" s="1"/>
      <c r="FY880" s="1"/>
      <c r="FZ880" s="1"/>
      <c r="GA880" s="1"/>
      <c r="GB880" s="1"/>
      <c r="GD880" s="1"/>
      <c r="GE880" s="1"/>
      <c r="GF880" s="1"/>
      <c r="GG880" s="1"/>
      <c r="GH880" s="1"/>
      <c r="GI880" s="1"/>
      <c r="GJ880" s="1"/>
      <c r="GK880" s="1"/>
      <c r="GL880" s="1"/>
      <c r="GM880" s="1"/>
      <c r="GN880" s="1"/>
      <c r="GP880" s="1"/>
      <c r="GR880" s="1"/>
      <c r="GY880" s="1"/>
      <c r="HF880" s="1"/>
      <c r="HH880" s="1"/>
      <c r="HN880" s="1"/>
      <c r="HQ880" s="1"/>
      <c r="HT880" s="1"/>
      <c r="HY880" s="1"/>
      <c r="IC880" s="1"/>
      <c r="ID880" s="1"/>
      <c r="IE880" s="1"/>
      <c r="IR880" s="1"/>
      <c r="IS880" s="1"/>
      <c r="IY880" s="1"/>
      <c r="IZ880" s="1"/>
      <c r="JC880" s="1"/>
      <c r="JF880" s="1"/>
      <c r="JG880" s="1"/>
      <c r="JJ880" s="1"/>
      <c r="JN880" s="1"/>
      <c r="JP880" s="1"/>
      <c r="JQ880" s="1"/>
      <c r="JT880" s="1"/>
      <c r="KU880" s="1"/>
      <c r="KY880" s="1"/>
      <c r="KZ880" s="1"/>
      <c r="LA880" s="1"/>
      <c r="LB880" s="1"/>
      <c r="LC880" s="1"/>
      <c r="LD880" s="1"/>
      <c r="LO880" s="1"/>
      <c r="LP880" s="1"/>
      <c r="LZ880" s="1"/>
      <c r="MA880" s="1"/>
    </row>
    <row r="881" spans="4:339" ht="13" x14ac:dyDescent="0.15">
      <c r="D881" s="12"/>
      <c r="E881" s="12"/>
      <c r="I881" s="12"/>
      <c r="J881" s="13"/>
      <c r="BF881" s="1"/>
      <c r="BG881" s="1"/>
      <c r="BH881" s="1"/>
      <c r="BI881" s="1"/>
      <c r="BJ881" s="1"/>
      <c r="BK881" s="1"/>
      <c r="BL881" s="1"/>
      <c r="BM881" s="1"/>
      <c r="BN881" s="1"/>
      <c r="BP881" s="1"/>
      <c r="BQ881" s="1"/>
      <c r="BR881" s="1"/>
      <c r="BX881" s="1"/>
      <c r="CD881" s="1"/>
      <c r="CH881" s="1"/>
      <c r="CI881" s="1"/>
      <c r="CM881" s="2"/>
      <c r="CN881" s="1"/>
      <c r="CO881" s="1"/>
      <c r="CP881" s="1"/>
      <c r="CQ881" s="1"/>
      <c r="CX881" s="1"/>
      <c r="CY881" s="1"/>
      <c r="CZ881" s="1"/>
      <c r="DA881" s="1"/>
      <c r="DB881" s="1"/>
      <c r="DC881" s="1"/>
      <c r="DD881" s="1"/>
      <c r="DE881" s="1"/>
      <c r="DF881" s="1"/>
      <c r="DG881" s="1"/>
      <c r="DH881" s="1"/>
      <c r="DI881" s="1"/>
      <c r="DJ881" s="1"/>
      <c r="DK881" s="1"/>
      <c r="DM881" s="1"/>
      <c r="DR881" s="1"/>
      <c r="ED881" s="1"/>
      <c r="EK881" s="1"/>
      <c r="EL881" s="1"/>
      <c r="EM881" s="1"/>
      <c r="EN881" s="1"/>
      <c r="EQ881" s="1"/>
      <c r="ER881" s="1"/>
      <c r="ES881" s="1"/>
      <c r="EV881" s="1"/>
      <c r="EW881" s="1"/>
      <c r="EZ881" s="1"/>
      <c r="FA881" s="1"/>
      <c r="FD881" s="1"/>
      <c r="FG881" s="1"/>
      <c r="FH881" s="1"/>
      <c r="FI881" s="1"/>
      <c r="FJ881" s="1"/>
      <c r="FP881" s="1"/>
      <c r="FS881" s="1"/>
      <c r="FT881" s="1"/>
      <c r="FU881" s="1"/>
      <c r="FV881" s="1"/>
      <c r="FW881" s="1"/>
      <c r="FX881" s="1"/>
      <c r="FY881" s="1"/>
      <c r="FZ881" s="1"/>
      <c r="GA881" s="1"/>
      <c r="GD881" s="1"/>
      <c r="GE881" s="1"/>
      <c r="GF881" s="1"/>
      <c r="GG881" s="1"/>
      <c r="GH881" s="1"/>
      <c r="GI881" s="1"/>
      <c r="GJ881" s="1"/>
      <c r="GK881" s="1"/>
      <c r="GL881" s="1"/>
      <c r="GM881" s="1"/>
      <c r="GN881" s="1"/>
      <c r="GO881" s="1"/>
      <c r="GP881" s="1"/>
      <c r="GR881" s="1"/>
      <c r="GY881" s="1"/>
      <c r="HF881" s="1"/>
      <c r="HH881" s="1"/>
      <c r="IE881" s="1"/>
      <c r="IS881" s="1"/>
      <c r="IZ881" s="1"/>
      <c r="JJ881" s="1"/>
      <c r="JP881" s="1"/>
      <c r="JQ881" s="1"/>
      <c r="KY881" s="1"/>
      <c r="KZ881" s="1"/>
      <c r="LA881" s="1"/>
      <c r="LB881" s="1"/>
      <c r="LC881" s="1"/>
      <c r="LD881" s="1"/>
      <c r="LO881" s="1"/>
      <c r="LP881" s="1"/>
      <c r="LZ881" s="1"/>
    </row>
    <row r="882" spans="4:339" ht="13" x14ac:dyDescent="0.15">
      <c r="D882" s="12"/>
      <c r="E882" s="12"/>
      <c r="I882" s="12"/>
      <c r="J882" s="13"/>
      <c r="BF882" s="1"/>
      <c r="BG882" s="1"/>
      <c r="BH882" s="1"/>
      <c r="BI882" s="1"/>
      <c r="BJ882" s="1"/>
      <c r="BK882" s="1"/>
      <c r="BL882" s="1"/>
      <c r="BM882" s="1"/>
      <c r="BN882" s="1"/>
      <c r="BP882" s="1"/>
      <c r="BQ882" s="1"/>
      <c r="BR882" s="1"/>
      <c r="BX882" s="1"/>
      <c r="CD882" s="1"/>
      <c r="CH882" s="1"/>
      <c r="CI882" s="1"/>
      <c r="CM882" s="2"/>
      <c r="CN882" s="1"/>
      <c r="CO882" s="1"/>
      <c r="CP882" s="1"/>
      <c r="CQ882" s="1"/>
      <c r="CX882" s="1"/>
      <c r="CY882" s="1"/>
      <c r="CZ882" s="1"/>
      <c r="DA882" s="1"/>
      <c r="DB882" s="1"/>
      <c r="DC882" s="1"/>
      <c r="DD882" s="1"/>
      <c r="DE882" s="1"/>
      <c r="DF882" s="1"/>
      <c r="DG882" s="1"/>
      <c r="DH882" s="1"/>
      <c r="DI882" s="1"/>
      <c r="DJ882" s="1"/>
      <c r="DK882" s="1"/>
      <c r="DM882" s="1"/>
      <c r="DR882" s="1"/>
      <c r="ED882" s="1"/>
      <c r="EK882" s="1"/>
      <c r="EL882" s="1"/>
      <c r="EM882" s="1"/>
      <c r="EN882" s="1"/>
      <c r="EQ882" s="1"/>
      <c r="ER882" s="1"/>
      <c r="ES882" s="1"/>
      <c r="EV882" s="1"/>
      <c r="EW882" s="1"/>
      <c r="EZ882" s="1"/>
      <c r="FA882" s="1"/>
      <c r="FD882" s="1"/>
      <c r="FG882" s="1"/>
      <c r="FH882" s="1"/>
      <c r="FI882" s="1"/>
      <c r="FJ882" s="1"/>
      <c r="FP882" s="1"/>
      <c r="FS882" s="1"/>
      <c r="FT882" s="1"/>
      <c r="FU882" s="1"/>
      <c r="FV882" s="1"/>
      <c r="FW882" s="1"/>
      <c r="FX882" s="1"/>
      <c r="FY882" s="1"/>
      <c r="FZ882" s="1"/>
      <c r="GA882" s="1"/>
      <c r="GD882" s="1"/>
      <c r="GE882" s="1"/>
      <c r="GF882" s="1"/>
      <c r="GG882" s="1"/>
      <c r="GH882" s="1"/>
      <c r="GI882" s="1"/>
      <c r="GJ882" s="1"/>
      <c r="GK882" s="1"/>
      <c r="GL882" s="1"/>
      <c r="GM882" s="1"/>
      <c r="GN882" s="1"/>
      <c r="GO882" s="1"/>
      <c r="GP882" s="1"/>
      <c r="GR882" s="1"/>
      <c r="GY882" s="1"/>
      <c r="HF882" s="1"/>
      <c r="HH882" s="1"/>
      <c r="IE882" s="1"/>
      <c r="IS882" s="1"/>
      <c r="IZ882" s="1"/>
      <c r="JJ882" s="1"/>
      <c r="JP882" s="1"/>
      <c r="JQ882" s="1"/>
      <c r="KY882" s="1"/>
      <c r="KZ882" s="1"/>
      <c r="LA882" s="1"/>
      <c r="LB882" s="1"/>
      <c r="LC882" s="1"/>
      <c r="LD882" s="1"/>
      <c r="LO882" s="1"/>
      <c r="LP882" s="1"/>
      <c r="LZ882" s="1"/>
    </row>
    <row r="883" spans="4:339" ht="13" x14ac:dyDescent="0.15">
      <c r="D883" s="12"/>
      <c r="E883" s="12"/>
      <c r="I883" s="12"/>
      <c r="J883" s="13"/>
      <c r="BF883" s="1"/>
      <c r="BG883" s="1"/>
      <c r="BH883" s="1"/>
      <c r="BI883" s="1"/>
      <c r="BJ883" s="1"/>
      <c r="BK883" s="1"/>
      <c r="BL883" s="1"/>
      <c r="BM883" s="1"/>
      <c r="BN883" s="1"/>
      <c r="BO883" s="1"/>
      <c r="BQ883" s="1"/>
      <c r="BR883" s="1"/>
      <c r="CD883" s="1"/>
      <c r="CE883" s="1"/>
      <c r="CF883" s="1"/>
      <c r="CG883" s="1"/>
      <c r="CH883" s="1"/>
      <c r="CI883" s="1"/>
      <c r="CM883" s="2"/>
      <c r="CN883" s="1"/>
      <c r="CO883" s="1"/>
      <c r="ED883" s="1"/>
      <c r="EL883" s="1"/>
      <c r="EM883" s="1"/>
      <c r="EN883" s="1"/>
      <c r="EQ883" s="1"/>
      <c r="ER883" s="1"/>
      <c r="ES883" s="1"/>
      <c r="EV883" s="1"/>
      <c r="EW883" s="1"/>
      <c r="EX883" s="1"/>
      <c r="EZ883" s="1"/>
      <c r="FA883" s="1"/>
      <c r="FD883" s="1"/>
      <c r="FH883" s="1"/>
      <c r="FS883" s="1"/>
      <c r="FU883" s="1"/>
      <c r="FV883" s="1"/>
      <c r="FX883" s="1"/>
      <c r="GA883" s="1"/>
      <c r="GD883" s="1"/>
      <c r="GE883" s="1"/>
      <c r="GF883" s="1"/>
      <c r="GG883" s="1"/>
      <c r="GH883" s="1"/>
      <c r="GI883" s="1"/>
      <c r="GJ883" s="1"/>
      <c r="GK883" s="1"/>
      <c r="GL883" s="1"/>
      <c r="GM883" s="1"/>
      <c r="GN883" s="1"/>
      <c r="GP883" s="1"/>
      <c r="GY883" s="1"/>
      <c r="HF883" s="1"/>
      <c r="HY883" s="1"/>
      <c r="ID883" s="1"/>
      <c r="IS883" s="1"/>
      <c r="IW883" s="1"/>
      <c r="IY883" s="1"/>
      <c r="IZ883" s="1"/>
      <c r="JA883" s="1"/>
      <c r="JJ883" s="1"/>
      <c r="JN883" s="1"/>
      <c r="JP883" s="1"/>
      <c r="JQ883" s="1"/>
      <c r="JT883" s="1"/>
      <c r="KU883" s="1"/>
      <c r="KV883" s="1"/>
    </row>
    <row r="884" spans="4:339" ht="13" x14ac:dyDescent="0.15">
      <c r="D884" s="12"/>
      <c r="E884" s="12"/>
      <c r="I884" s="12"/>
      <c r="J884" s="13"/>
      <c r="BF884" s="1"/>
      <c r="BG884" s="1"/>
      <c r="BH884" s="1"/>
      <c r="BI884" s="1"/>
      <c r="BJ884" s="1"/>
      <c r="BK884" s="1"/>
      <c r="BL884" s="1"/>
      <c r="BM884" s="1"/>
      <c r="BN884" s="1"/>
      <c r="BO884" s="1"/>
      <c r="BP884" s="1"/>
      <c r="BQ884" s="1"/>
      <c r="BR884" s="1"/>
      <c r="BX884" s="1"/>
      <c r="CD884" s="1"/>
      <c r="CE884" s="1"/>
      <c r="CF884" s="1"/>
      <c r="CG884" s="1"/>
      <c r="CH884" s="1"/>
      <c r="CI884" s="1"/>
      <c r="CM884" s="2"/>
      <c r="CN884" s="1"/>
      <c r="CO884" s="1"/>
      <c r="CP884" s="1"/>
      <c r="CQ884" s="1"/>
      <c r="CS884" s="1"/>
      <c r="CT884" s="1"/>
      <c r="CU884" s="1"/>
      <c r="CV884" s="1"/>
      <c r="CW884" s="1"/>
      <c r="CX884" s="1"/>
      <c r="CY884" s="1"/>
      <c r="CZ884" s="1"/>
      <c r="DA884" s="1"/>
      <c r="DB884" s="1"/>
      <c r="DC884" s="1"/>
      <c r="DD884" s="1"/>
      <c r="DE884" s="1"/>
      <c r="DF884" s="1"/>
      <c r="DG884" s="1"/>
      <c r="DH884" s="1"/>
      <c r="DI884" s="1"/>
      <c r="DJ884" s="1"/>
      <c r="DK884" s="1"/>
      <c r="DM884" s="1"/>
      <c r="DQ884" s="1"/>
      <c r="DR884" s="1"/>
      <c r="DY884" s="1"/>
      <c r="DZ884" s="1"/>
      <c r="ED884" s="1"/>
      <c r="EK884" s="1"/>
      <c r="EL884" s="1"/>
      <c r="EM884" s="1"/>
      <c r="EN884" s="1"/>
      <c r="EQ884" s="1"/>
      <c r="ER884" s="1"/>
      <c r="ES884" s="1"/>
      <c r="EV884" s="1"/>
      <c r="EW884" s="1"/>
      <c r="EZ884" s="1"/>
      <c r="FA884" s="1"/>
      <c r="FD884" s="1"/>
      <c r="FH884" s="1"/>
      <c r="FI884" s="1"/>
      <c r="FJ884" s="1"/>
      <c r="FM884" s="1"/>
      <c r="FP884" s="1"/>
      <c r="FS884" s="1"/>
      <c r="FT884" s="1"/>
      <c r="FU884" s="1"/>
      <c r="FV884" s="1"/>
      <c r="FW884" s="1"/>
      <c r="FX884" s="1"/>
      <c r="FY884" s="1"/>
      <c r="FZ884" s="1"/>
      <c r="GA884" s="1"/>
      <c r="GD884" s="1"/>
      <c r="GE884" s="1"/>
      <c r="GF884" s="1"/>
      <c r="GG884" s="1"/>
      <c r="GH884" s="1"/>
      <c r="GI884" s="1"/>
      <c r="GJ884" s="1"/>
      <c r="GK884" s="1"/>
      <c r="GL884" s="1"/>
      <c r="GM884" s="1"/>
      <c r="GN884" s="1"/>
      <c r="GO884" s="1"/>
      <c r="GP884" s="1"/>
      <c r="GR884" s="1"/>
      <c r="GY884" s="1"/>
      <c r="HF884" s="1"/>
      <c r="HH884" s="1"/>
      <c r="HT884" s="1"/>
      <c r="HY884" s="1"/>
      <c r="IC884" s="1"/>
      <c r="ID884" s="1"/>
      <c r="IE884" s="1"/>
      <c r="IR884" s="1"/>
      <c r="IS884" s="1"/>
      <c r="IZ884" s="1"/>
      <c r="JC884" s="1"/>
      <c r="JF884" s="1"/>
      <c r="JG884" s="1"/>
      <c r="JI884" s="1"/>
      <c r="JJ884" s="1"/>
      <c r="JN884" s="1"/>
      <c r="JP884" s="1"/>
      <c r="JQ884" s="1"/>
      <c r="JT884" s="1"/>
      <c r="KV884" s="1"/>
      <c r="KY884" s="1"/>
      <c r="KZ884" s="1"/>
      <c r="LA884" s="1"/>
      <c r="LB884" s="1"/>
      <c r="LC884" s="1"/>
      <c r="LD884" s="1"/>
      <c r="LN884" s="1"/>
      <c r="LO884" s="1"/>
      <c r="LP884" s="1"/>
      <c r="LW884" s="1"/>
      <c r="LZ884" s="1"/>
      <c r="MA884" s="1"/>
    </row>
    <row r="885" spans="4:339" ht="13" x14ac:dyDescent="0.15">
      <c r="D885" s="12"/>
      <c r="E885" s="12"/>
      <c r="I885" s="12"/>
      <c r="J885" s="13"/>
      <c r="BF885" s="1"/>
      <c r="BG885" s="1"/>
      <c r="BH885" s="1"/>
      <c r="BI885" s="1"/>
      <c r="BJ885" s="1"/>
      <c r="BK885" s="1"/>
      <c r="BL885" s="1"/>
      <c r="BM885" s="1"/>
      <c r="BN885" s="1"/>
      <c r="BO885" s="1"/>
      <c r="BP885" s="1"/>
      <c r="BQ885" s="1"/>
      <c r="BR885" s="1"/>
      <c r="BX885" s="1"/>
      <c r="CD885" s="1"/>
      <c r="CE885" s="1"/>
      <c r="CF885" s="1"/>
      <c r="CG885" s="1"/>
      <c r="CH885" s="1"/>
      <c r="CI885" s="1"/>
      <c r="CM885" s="2"/>
      <c r="CN885" s="1"/>
      <c r="CO885" s="1"/>
      <c r="CP885" s="1"/>
      <c r="CQ885" s="1"/>
      <c r="CS885" s="1"/>
      <c r="CT885" s="1"/>
      <c r="CU885" s="1"/>
      <c r="CV885" s="1"/>
      <c r="CW885" s="1"/>
      <c r="CX885" s="1"/>
      <c r="CY885" s="1"/>
      <c r="CZ885" s="1"/>
      <c r="DA885" s="1"/>
      <c r="DB885" s="1"/>
      <c r="DC885" s="1"/>
      <c r="DD885" s="1"/>
      <c r="DE885" s="1"/>
      <c r="DF885" s="1"/>
      <c r="DG885" s="1"/>
      <c r="DH885" s="1"/>
      <c r="DI885" s="1"/>
      <c r="DJ885" s="1"/>
      <c r="DK885" s="1"/>
      <c r="DM885" s="1"/>
      <c r="DQ885" s="1"/>
      <c r="DR885" s="1"/>
      <c r="DY885" s="1"/>
      <c r="DZ885" s="1"/>
      <c r="ED885" s="1"/>
      <c r="EK885" s="1"/>
      <c r="EL885" s="1"/>
      <c r="EM885" s="1"/>
      <c r="EN885" s="1"/>
      <c r="EQ885" s="1"/>
      <c r="ER885" s="1"/>
      <c r="ES885" s="1"/>
      <c r="EV885" s="1"/>
      <c r="EW885" s="1"/>
      <c r="EZ885" s="1"/>
      <c r="FA885" s="1"/>
      <c r="FD885" s="1"/>
      <c r="FH885" s="1"/>
      <c r="FI885" s="1"/>
      <c r="FJ885" s="1"/>
      <c r="FM885" s="1"/>
      <c r="FP885" s="1"/>
      <c r="FS885" s="1"/>
      <c r="FT885" s="1"/>
      <c r="FU885" s="1"/>
      <c r="FV885" s="1"/>
      <c r="FW885" s="1"/>
      <c r="FX885" s="1"/>
      <c r="FY885" s="1"/>
      <c r="FZ885" s="1"/>
      <c r="GA885" s="1"/>
      <c r="GD885" s="1"/>
      <c r="GE885" s="1"/>
      <c r="GF885" s="1"/>
      <c r="GG885" s="1"/>
      <c r="GH885" s="1"/>
      <c r="GI885" s="1"/>
      <c r="GJ885" s="1"/>
      <c r="GK885" s="1"/>
      <c r="GL885" s="1"/>
      <c r="GM885" s="1"/>
      <c r="GN885" s="1"/>
      <c r="GO885" s="1"/>
      <c r="GP885" s="1"/>
      <c r="GR885" s="1"/>
      <c r="GY885" s="1"/>
      <c r="HF885" s="1"/>
      <c r="HH885" s="1"/>
      <c r="HT885" s="1"/>
      <c r="HY885" s="1"/>
      <c r="IC885" s="1"/>
      <c r="ID885" s="1"/>
      <c r="IE885" s="1"/>
      <c r="IR885" s="1"/>
      <c r="IS885" s="1"/>
      <c r="IZ885" s="1"/>
      <c r="JC885" s="1"/>
      <c r="JF885" s="1"/>
      <c r="JG885" s="1"/>
      <c r="JI885" s="1"/>
      <c r="JJ885" s="1"/>
      <c r="JN885" s="1"/>
      <c r="JP885" s="1"/>
      <c r="JQ885" s="1"/>
      <c r="JT885" s="1"/>
      <c r="KV885" s="1"/>
      <c r="KY885" s="1"/>
      <c r="KZ885" s="1"/>
      <c r="LA885" s="1"/>
      <c r="LB885" s="1"/>
      <c r="LC885" s="1"/>
      <c r="LD885" s="1"/>
      <c r="LN885" s="1"/>
      <c r="LO885" s="1"/>
      <c r="LP885" s="1"/>
      <c r="LW885" s="1"/>
      <c r="LZ885" s="1"/>
      <c r="MA885" s="1"/>
    </row>
    <row r="886" spans="4:339" ht="13" x14ac:dyDescent="0.15">
      <c r="D886" s="12"/>
      <c r="E886" s="12"/>
      <c r="I886" s="12"/>
      <c r="J886" s="13"/>
      <c r="BF886" s="1"/>
      <c r="BG886" s="1"/>
      <c r="BH886" s="1"/>
      <c r="BI886" s="1"/>
      <c r="BK886" s="1"/>
      <c r="BL886" s="1"/>
      <c r="BM886" s="1"/>
      <c r="BN886" s="1"/>
      <c r="BO886" s="1"/>
      <c r="BQ886" s="1"/>
      <c r="BR886" s="1"/>
      <c r="CD886" s="1"/>
      <c r="CE886" s="1"/>
      <c r="CF886" s="1"/>
      <c r="CH886" s="1"/>
      <c r="CI886" s="1"/>
      <c r="CM886" s="2"/>
      <c r="CN886" s="1"/>
      <c r="CO886" s="1"/>
      <c r="ED886" s="1"/>
      <c r="EL886" s="1"/>
      <c r="EM886" s="1"/>
      <c r="EN886" s="1"/>
      <c r="EQ886" s="1"/>
      <c r="ER886" s="1"/>
      <c r="ES886" s="1"/>
      <c r="EV886" s="1"/>
      <c r="EW886" s="1"/>
      <c r="EZ886" s="1"/>
      <c r="FA886" s="1"/>
      <c r="FD886" s="1"/>
      <c r="FJ886" s="1"/>
      <c r="FV886" s="1"/>
      <c r="FX886" s="1"/>
      <c r="FZ886" s="1"/>
      <c r="GA886" s="1"/>
      <c r="GD886" s="1"/>
      <c r="GE886" s="1"/>
      <c r="GF886" s="1"/>
      <c r="GG886" s="1"/>
      <c r="GH886" s="1"/>
      <c r="GI886" s="1"/>
      <c r="GJ886" s="1"/>
      <c r="GK886" s="1"/>
      <c r="GL886" s="1"/>
      <c r="GM886" s="1"/>
      <c r="GN886" s="1"/>
      <c r="GP886" s="1"/>
      <c r="GR886" s="1"/>
      <c r="GY886" s="1"/>
      <c r="HF886" s="1"/>
      <c r="HY886" s="1"/>
      <c r="IC886" s="1"/>
      <c r="IS886" s="1"/>
      <c r="IW886" s="1"/>
      <c r="IZ886" s="1"/>
      <c r="JG886" s="1"/>
      <c r="JJ886" s="1"/>
      <c r="JN886" s="1"/>
      <c r="JP886" s="1"/>
      <c r="JQ886" s="1"/>
      <c r="JT886" s="1"/>
    </row>
    <row r="887" spans="4:339" ht="13" x14ac:dyDescent="0.15">
      <c r="D887" s="12"/>
      <c r="E887" s="12"/>
      <c r="I887" s="12"/>
      <c r="J887" s="13"/>
      <c r="BF887" s="1"/>
      <c r="BG887" s="1"/>
      <c r="BH887" s="1"/>
      <c r="BI887" s="1"/>
      <c r="BK887" s="1"/>
      <c r="BL887" s="1"/>
      <c r="BM887" s="1"/>
      <c r="BN887" s="1"/>
      <c r="BO887" s="1"/>
      <c r="BP887" s="1"/>
      <c r="BQ887" s="1"/>
      <c r="BR887" s="1"/>
      <c r="BX887" s="1"/>
      <c r="CD887" s="1"/>
      <c r="CE887" s="1"/>
      <c r="CF887" s="1"/>
      <c r="CH887" s="1"/>
      <c r="CI887" s="1"/>
      <c r="CM887" s="2"/>
      <c r="CN887" s="1"/>
      <c r="CO887" s="1"/>
      <c r="CP887" s="1"/>
      <c r="CQ887" s="1"/>
      <c r="CR887" s="1"/>
      <c r="CT887" s="1"/>
      <c r="CU887" s="1"/>
      <c r="CV887" s="1"/>
      <c r="CW887" s="1"/>
      <c r="CX887" s="1"/>
      <c r="CY887" s="1"/>
      <c r="CZ887" s="1"/>
      <c r="DA887" s="1"/>
      <c r="DB887" s="1"/>
      <c r="DC887" s="1"/>
      <c r="DD887" s="1"/>
      <c r="DE887" s="1"/>
      <c r="DF887" s="1"/>
      <c r="DG887" s="1"/>
      <c r="DH887" s="1"/>
      <c r="DI887" s="1"/>
      <c r="DJ887" s="1"/>
      <c r="DK887" s="1"/>
      <c r="DM887" s="1"/>
      <c r="DR887" s="1"/>
      <c r="ED887" s="1"/>
      <c r="EK887" s="1"/>
      <c r="EL887" s="1"/>
      <c r="EM887" s="1"/>
      <c r="EN887" s="1"/>
      <c r="EQ887" s="1"/>
      <c r="ER887" s="1"/>
      <c r="ES887" s="1"/>
      <c r="EV887" s="1"/>
      <c r="EW887" s="1"/>
      <c r="EZ887" s="1"/>
      <c r="FA887" s="1"/>
      <c r="FD887" s="1"/>
      <c r="FG887" s="1"/>
      <c r="FH887" s="1"/>
      <c r="FI887" s="1"/>
      <c r="FJ887" s="1"/>
      <c r="FK887" s="1"/>
      <c r="FL887" s="1"/>
      <c r="FM887" s="1"/>
      <c r="FN887" s="1"/>
      <c r="FO887" s="1"/>
      <c r="FP887" s="1"/>
      <c r="FS887" s="1"/>
      <c r="FT887" s="1"/>
      <c r="FU887" s="1"/>
      <c r="FV887" s="1"/>
      <c r="FX887" s="1"/>
      <c r="FY887" s="1"/>
      <c r="FZ887" s="1"/>
      <c r="GA887" s="1"/>
      <c r="GD887" s="1"/>
      <c r="GE887" s="1"/>
      <c r="GF887" s="1"/>
      <c r="GG887" s="1"/>
      <c r="GH887" s="1"/>
      <c r="GI887" s="1"/>
      <c r="GJ887" s="1"/>
      <c r="GK887" s="1"/>
      <c r="GL887" s="1"/>
      <c r="GM887" s="1"/>
      <c r="GN887" s="1"/>
      <c r="GO887" s="1"/>
      <c r="GP887" s="1"/>
      <c r="GR887" s="1"/>
      <c r="GY887" s="1"/>
      <c r="HF887" s="1"/>
      <c r="HH887" s="1"/>
      <c r="HR887" s="1"/>
      <c r="HS887" s="1"/>
      <c r="HT887" s="1"/>
      <c r="HY887" s="1"/>
      <c r="IE887" s="1"/>
      <c r="IR887" s="1"/>
      <c r="IS887" s="1"/>
      <c r="IV887" s="1"/>
      <c r="IZ887" s="1"/>
      <c r="JC887" s="1"/>
      <c r="JF887" s="1"/>
      <c r="JG887" s="1"/>
      <c r="JI887" s="1"/>
      <c r="JJ887" s="1"/>
      <c r="JP887" s="1"/>
      <c r="JQ887" s="1"/>
      <c r="JT887" s="1"/>
      <c r="KW887" s="1"/>
      <c r="KY887" s="1"/>
      <c r="KZ887" s="1"/>
      <c r="LA887" s="1"/>
      <c r="LB887" s="1"/>
      <c r="LC887" s="1"/>
      <c r="LD887" s="1"/>
      <c r="LO887" s="1"/>
      <c r="LP887" s="1"/>
      <c r="LZ887" s="1"/>
      <c r="MA887" s="1"/>
    </row>
    <row r="888" spans="4:339" ht="13" x14ac:dyDescent="0.15">
      <c r="D888" s="12"/>
      <c r="E888" s="12"/>
      <c r="I888" s="12"/>
      <c r="J888" s="13"/>
      <c r="BF888" s="1"/>
      <c r="BG888" s="1"/>
      <c r="BH888" s="1"/>
      <c r="BI888" s="1"/>
      <c r="BK888" s="1"/>
      <c r="BL888" s="1"/>
      <c r="BM888" s="1"/>
      <c r="BN888" s="1"/>
      <c r="BO888" s="1"/>
      <c r="BP888" s="1"/>
      <c r="BQ888" s="1"/>
      <c r="BR888" s="1"/>
      <c r="BX888" s="1"/>
      <c r="CD888" s="1"/>
      <c r="CE888" s="1"/>
      <c r="CF888" s="1"/>
      <c r="CG888" s="1"/>
      <c r="CH888" s="1"/>
      <c r="CI888" s="1"/>
      <c r="CM888" s="2"/>
      <c r="CN888" s="1"/>
      <c r="CO888" s="1"/>
      <c r="CP888" s="1"/>
      <c r="CQ888" s="1"/>
      <c r="CR888" s="1"/>
      <c r="CS888" s="1"/>
      <c r="CT888" s="1"/>
      <c r="CU888" s="1"/>
      <c r="CV888" s="1"/>
      <c r="CW888" s="1"/>
      <c r="CX888" s="1"/>
      <c r="CY888" s="1"/>
      <c r="CZ888" s="1"/>
      <c r="DA888" s="1"/>
      <c r="DB888" s="1"/>
      <c r="DC888" s="1"/>
      <c r="DD888" s="1"/>
      <c r="DE888" s="1"/>
      <c r="DF888" s="1"/>
      <c r="DG888" s="1"/>
      <c r="DH888" s="1"/>
      <c r="DI888" s="1"/>
      <c r="DJ888" s="1"/>
      <c r="DK888" s="1"/>
      <c r="DM888" s="1"/>
      <c r="DQ888" s="1"/>
      <c r="DR888" s="1"/>
      <c r="DY888" s="1"/>
      <c r="DZ888" s="1"/>
      <c r="ED888" s="1"/>
      <c r="EE888" s="1"/>
      <c r="EF888" s="1"/>
      <c r="EG888" s="1"/>
      <c r="EH888" s="1"/>
      <c r="EK888" s="1"/>
      <c r="EL888" s="1"/>
      <c r="EM888" s="1"/>
      <c r="EN888" s="1"/>
      <c r="EQ888" s="1"/>
      <c r="ER888" s="1"/>
      <c r="ES888" s="1"/>
      <c r="EV888" s="1"/>
      <c r="EW888" s="1"/>
      <c r="EX888" s="1"/>
      <c r="EY888" s="1"/>
      <c r="EZ888" s="1"/>
      <c r="FA888" s="1"/>
      <c r="FD888" s="1"/>
      <c r="FJ888" s="1"/>
      <c r="GD888" s="1"/>
      <c r="GE888" s="1"/>
      <c r="GF888" s="1"/>
      <c r="GG888" s="1"/>
      <c r="GH888" s="1"/>
      <c r="GI888" s="1"/>
      <c r="GJ888" s="1"/>
      <c r="GO888" s="1"/>
      <c r="GP888" s="1"/>
      <c r="HH888" s="1"/>
      <c r="HT888" s="1"/>
      <c r="HY888" s="1"/>
      <c r="IE888" s="1"/>
      <c r="IG888" s="1"/>
      <c r="IJ888" s="1"/>
      <c r="IR888" s="1"/>
      <c r="IS888" s="1"/>
      <c r="IZ888" s="1"/>
      <c r="JC888" s="1"/>
      <c r="JF888" s="1"/>
      <c r="JG888" s="1"/>
      <c r="JH888" s="1"/>
      <c r="JI888" s="1"/>
      <c r="JJ888" s="1"/>
      <c r="JK888" s="1"/>
      <c r="JL888" s="3"/>
      <c r="JM888" s="1"/>
      <c r="JN888" s="1"/>
      <c r="JP888" s="1"/>
      <c r="JQ888" s="1"/>
      <c r="JR888" s="1"/>
      <c r="JT888" s="1"/>
      <c r="KU888" s="1"/>
      <c r="KV888" s="1"/>
      <c r="KW888" s="1"/>
      <c r="KY888" s="1"/>
      <c r="KZ888" s="1"/>
      <c r="LA888" s="1"/>
      <c r="LB888" s="1"/>
      <c r="LC888" s="1"/>
      <c r="LD888" s="1"/>
      <c r="LF888" s="1"/>
      <c r="LN888" s="1"/>
      <c r="LO888" s="1"/>
      <c r="LP888" s="1"/>
      <c r="LZ888" s="1"/>
      <c r="MA888" s="1"/>
    </row>
    <row r="889" spans="4:339" ht="13" x14ac:dyDescent="0.15">
      <c r="D889" s="12"/>
      <c r="E889" s="12"/>
      <c r="I889" s="12"/>
      <c r="J889" s="13"/>
      <c r="BF889" s="1"/>
      <c r="BG889" s="1"/>
      <c r="BH889" s="1"/>
      <c r="BI889" s="1"/>
      <c r="BK889" s="1"/>
      <c r="BL889" s="1"/>
      <c r="BM889" s="1"/>
      <c r="BN889" s="1"/>
      <c r="BO889" s="1"/>
      <c r="BP889" s="1"/>
      <c r="BQ889" s="1"/>
      <c r="BR889" s="1"/>
      <c r="BX889" s="1"/>
      <c r="CC889" s="1"/>
      <c r="CD889" s="1"/>
      <c r="CE889" s="1"/>
      <c r="CF889" s="1"/>
      <c r="CG889" s="1"/>
      <c r="CH889" s="1"/>
      <c r="CI889" s="1"/>
      <c r="CK889" s="1"/>
      <c r="CM889" s="2"/>
      <c r="CN889" s="1"/>
      <c r="CO889" s="1"/>
      <c r="CP889" s="1"/>
      <c r="CQ889" s="1"/>
      <c r="CX889" s="1"/>
      <c r="CY889" s="1"/>
      <c r="CZ889" s="1"/>
      <c r="DA889" s="1"/>
      <c r="DB889" s="1"/>
      <c r="DC889" s="1"/>
      <c r="DD889" s="1"/>
      <c r="DE889" s="1"/>
      <c r="DF889" s="1"/>
      <c r="DG889" s="1"/>
      <c r="DH889" s="1"/>
      <c r="DI889" s="1"/>
      <c r="DJ889" s="1"/>
      <c r="DK889" s="1"/>
      <c r="ED889" s="1"/>
      <c r="EK889" s="1"/>
      <c r="EL889" s="1"/>
      <c r="EM889" s="1"/>
      <c r="EN889" s="1"/>
      <c r="EQ889" s="1"/>
      <c r="ER889" s="1"/>
      <c r="ES889" s="1"/>
      <c r="EV889" s="1"/>
      <c r="EW889" s="1"/>
      <c r="EX889" s="1"/>
      <c r="EZ889" s="1"/>
      <c r="FA889" s="1"/>
      <c r="FD889" s="1"/>
      <c r="FG889" s="1"/>
      <c r="FH889" s="1"/>
      <c r="FI889" s="1"/>
      <c r="FJ889" s="1"/>
      <c r="FK889" s="1"/>
      <c r="FL889" s="1"/>
      <c r="FM889" s="1"/>
      <c r="FN889" s="1"/>
      <c r="FO889" s="1"/>
      <c r="FP889" s="1"/>
      <c r="FQ889" s="1"/>
      <c r="FR889" s="1"/>
      <c r="FS889" s="1"/>
      <c r="FT889" s="1"/>
      <c r="FU889" s="1"/>
      <c r="FV889" s="1"/>
      <c r="FW889" s="1"/>
      <c r="FX889" s="1"/>
      <c r="FY889" s="1"/>
      <c r="FZ889" s="1"/>
      <c r="GA889" s="1"/>
      <c r="GB889" s="1"/>
      <c r="GD889" s="1"/>
      <c r="GE889" s="1"/>
      <c r="GF889" s="1"/>
      <c r="GG889" s="1"/>
      <c r="GH889" s="1"/>
      <c r="GI889" s="1"/>
      <c r="GJ889" s="1"/>
      <c r="GK889" s="1"/>
      <c r="GL889" s="1"/>
      <c r="GM889" s="1"/>
      <c r="GN889" s="1"/>
      <c r="GO889" s="1"/>
      <c r="GP889" s="1"/>
      <c r="GR889" s="1"/>
      <c r="GW889" s="1"/>
      <c r="GY889" s="1"/>
      <c r="HF889" s="1"/>
      <c r="HH889" s="1"/>
      <c r="HN889" s="1"/>
      <c r="HQ889" s="1"/>
      <c r="HR889" s="1"/>
      <c r="HS889" s="1"/>
      <c r="HT889" s="1"/>
      <c r="HX889" s="1"/>
      <c r="HY889" s="1"/>
      <c r="IC889" s="1"/>
      <c r="ID889" s="1"/>
      <c r="IE889" s="1"/>
      <c r="IR889" s="1"/>
      <c r="IS889" s="1"/>
      <c r="IZ889" s="1"/>
      <c r="JC889" s="1"/>
      <c r="JF889" s="1"/>
      <c r="JG889" s="1"/>
      <c r="JH889" s="1"/>
      <c r="JI889" s="1"/>
      <c r="JJ889" s="1"/>
      <c r="JP889" s="1"/>
      <c r="JQ889" s="1"/>
      <c r="JT889" s="1"/>
      <c r="JW889" s="1"/>
      <c r="KS889" s="1"/>
      <c r="KT889" s="1"/>
      <c r="KU889" s="1"/>
      <c r="KY889" s="1"/>
      <c r="KZ889" s="1"/>
      <c r="LA889" s="1"/>
      <c r="LB889" s="1"/>
      <c r="LC889" s="1"/>
      <c r="LD889" s="1"/>
      <c r="LO889" s="1"/>
      <c r="LP889" s="1"/>
      <c r="LZ889" s="1"/>
      <c r="MA889" s="1"/>
    </row>
    <row r="890" spans="4:339" ht="13" x14ac:dyDescent="0.15">
      <c r="D890" s="12"/>
      <c r="E890" s="12"/>
      <c r="I890" s="12"/>
      <c r="J890" s="13"/>
      <c r="BF890" s="1"/>
      <c r="BG890" s="1"/>
      <c r="BH890" s="1"/>
      <c r="BI890" s="1"/>
      <c r="BK890" s="1"/>
      <c r="BL890" s="1"/>
      <c r="BM890" s="1"/>
      <c r="BN890" s="1"/>
      <c r="BO890" s="1"/>
      <c r="BP890" s="1"/>
      <c r="BQ890" s="1"/>
      <c r="BR890" s="1"/>
      <c r="BX890" s="1"/>
      <c r="CC890" s="1"/>
      <c r="CD890" s="1"/>
      <c r="CE890" s="1"/>
      <c r="CF890" s="1"/>
      <c r="CG890" s="1"/>
      <c r="CH890" s="1"/>
      <c r="CI890" s="1"/>
      <c r="CK890" s="1"/>
      <c r="CM890" s="2"/>
      <c r="CN890" s="1"/>
      <c r="CO890" s="1"/>
      <c r="CP890" s="1"/>
      <c r="CQ890" s="1"/>
      <c r="CX890" s="1"/>
      <c r="CY890" s="1"/>
      <c r="CZ890" s="1"/>
      <c r="DA890" s="1"/>
      <c r="DB890" s="1"/>
      <c r="DC890" s="1"/>
      <c r="DD890" s="1"/>
      <c r="DE890" s="1"/>
      <c r="DF890" s="1"/>
      <c r="DG890" s="1"/>
      <c r="DH890" s="1"/>
      <c r="DI890" s="1"/>
      <c r="DJ890" s="1"/>
      <c r="DK890" s="1"/>
      <c r="ED890" s="1"/>
      <c r="EK890" s="1"/>
      <c r="EL890" s="1"/>
      <c r="EM890" s="1"/>
      <c r="EN890" s="1"/>
      <c r="EQ890" s="1"/>
      <c r="ER890" s="1"/>
      <c r="ES890" s="1"/>
      <c r="EV890" s="1"/>
      <c r="EW890" s="1"/>
      <c r="EX890" s="1"/>
      <c r="EZ890" s="1"/>
      <c r="FA890" s="1"/>
      <c r="FD890" s="1"/>
      <c r="FG890" s="1"/>
      <c r="FH890" s="1"/>
      <c r="FI890" s="1"/>
      <c r="FJ890" s="1"/>
      <c r="FK890" s="1"/>
      <c r="FL890" s="1"/>
      <c r="FM890" s="1"/>
      <c r="FN890" s="1"/>
      <c r="FO890" s="1"/>
      <c r="FP890" s="1"/>
      <c r="FQ890" s="1"/>
      <c r="FR890" s="1"/>
      <c r="FS890" s="1"/>
      <c r="FT890" s="1"/>
      <c r="FU890" s="1"/>
      <c r="FV890" s="1"/>
      <c r="FW890" s="1"/>
      <c r="FX890" s="1"/>
      <c r="FY890" s="1"/>
      <c r="FZ890" s="1"/>
      <c r="GA890" s="1"/>
      <c r="GB890" s="1"/>
      <c r="GD890" s="1"/>
      <c r="GE890" s="1"/>
      <c r="GF890" s="1"/>
      <c r="GG890" s="1"/>
      <c r="GH890" s="1"/>
      <c r="GI890" s="1"/>
      <c r="GJ890" s="1"/>
      <c r="GK890" s="1"/>
      <c r="GL890" s="1"/>
      <c r="GM890" s="1"/>
      <c r="GN890" s="1"/>
      <c r="GO890" s="1"/>
      <c r="GP890" s="1"/>
      <c r="GR890" s="1"/>
      <c r="GW890" s="1"/>
      <c r="GY890" s="1"/>
      <c r="HF890" s="1"/>
      <c r="HH890" s="1"/>
      <c r="HN890" s="1"/>
      <c r="HQ890" s="1"/>
      <c r="HR890" s="1"/>
      <c r="HS890" s="1"/>
      <c r="HT890" s="1"/>
      <c r="HX890" s="1"/>
      <c r="HY890" s="1"/>
      <c r="IC890" s="1"/>
      <c r="ID890" s="1"/>
      <c r="IE890" s="1"/>
      <c r="IR890" s="1"/>
      <c r="IS890" s="1"/>
      <c r="IZ890" s="1"/>
      <c r="JC890" s="1"/>
      <c r="JF890" s="1"/>
      <c r="JG890" s="1"/>
      <c r="JH890" s="1"/>
      <c r="JI890" s="1"/>
      <c r="JJ890" s="1"/>
      <c r="JP890" s="1"/>
      <c r="JQ890" s="1"/>
      <c r="JT890" s="1"/>
      <c r="JW890" s="1"/>
      <c r="KS890" s="1"/>
      <c r="KT890" s="1"/>
      <c r="KU890" s="1"/>
      <c r="KY890" s="1"/>
      <c r="KZ890" s="1"/>
      <c r="LA890" s="1"/>
      <c r="LB890" s="1"/>
      <c r="LC890" s="1"/>
      <c r="LD890" s="1"/>
      <c r="LO890" s="1"/>
      <c r="LP890" s="1"/>
      <c r="LZ890" s="1"/>
      <c r="MA890" s="1"/>
    </row>
    <row r="891" spans="4:339" ht="13" x14ac:dyDescent="0.15">
      <c r="D891" s="12"/>
      <c r="E891" s="12"/>
      <c r="I891" s="12"/>
      <c r="J891" s="13"/>
      <c r="BF891" s="1"/>
      <c r="BG891" s="1"/>
      <c r="BH891" s="1"/>
      <c r="BI891" s="1"/>
      <c r="BK891" s="1"/>
      <c r="BL891" s="1"/>
      <c r="BM891" s="1"/>
      <c r="BN891" s="1"/>
      <c r="BO891" s="1"/>
      <c r="BP891" s="1"/>
      <c r="BQ891" s="1"/>
      <c r="BR891" s="1"/>
      <c r="BX891" s="1"/>
      <c r="CC891" s="1"/>
      <c r="CD891" s="1"/>
      <c r="CE891" s="1"/>
      <c r="CF891" s="1"/>
      <c r="CG891" s="1"/>
      <c r="CH891" s="1"/>
      <c r="CI891" s="1"/>
      <c r="CK891" s="1"/>
      <c r="CM891" s="2"/>
      <c r="CN891" s="1"/>
      <c r="CO891" s="1"/>
      <c r="CP891" s="1"/>
      <c r="CQ891" s="1"/>
      <c r="CX891" s="1"/>
      <c r="CY891" s="1"/>
      <c r="CZ891" s="1"/>
      <c r="DA891" s="1"/>
      <c r="DB891" s="1"/>
      <c r="DC891" s="1"/>
      <c r="DD891" s="1"/>
      <c r="DE891" s="1"/>
      <c r="DF891" s="1"/>
      <c r="DG891" s="1"/>
      <c r="DH891" s="1"/>
      <c r="DI891" s="1"/>
      <c r="DJ891" s="1"/>
      <c r="DK891" s="1"/>
      <c r="ED891" s="1"/>
      <c r="EK891" s="1"/>
      <c r="EL891" s="1"/>
      <c r="EM891" s="1"/>
      <c r="EN891" s="1"/>
      <c r="EQ891" s="1"/>
      <c r="ER891" s="1"/>
      <c r="ES891" s="1"/>
      <c r="EV891" s="1"/>
      <c r="EW891" s="1"/>
      <c r="EX891" s="1"/>
      <c r="EZ891" s="1"/>
      <c r="FA891" s="1"/>
      <c r="FD891" s="1"/>
      <c r="FG891" s="1"/>
      <c r="FH891" s="1"/>
      <c r="FI891" s="1"/>
      <c r="FJ891" s="1"/>
      <c r="FK891" s="1"/>
      <c r="FL891" s="1"/>
      <c r="FM891" s="1"/>
      <c r="FN891" s="1"/>
      <c r="FO891" s="1"/>
      <c r="FP891" s="1"/>
      <c r="FQ891" s="1"/>
      <c r="FR891" s="1"/>
      <c r="FS891" s="1"/>
      <c r="FT891" s="1"/>
      <c r="FU891" s="1"/>
      <c r="FV891" s="1"/>
      <c r="FW891" s="1"/>
      <c r="FX891" s="1"/>
      <c r="FY891" s="1"/>
      <c r="FZ891" s="1"/>
      <c r="GA891" s="1"/>
      <c r="GB891" s="1"/>
      <c r="GD891" s="1"/>
      <c r="GE891" s="1"/>
      <c r="GF891" s="1"/>
      <c r="GG891" s="1"/>
      <c r="GH891" s="1"/>
      <c r="GI891" s="1"/>
      <c r="GJ891" s="1"/>
      <c r="GK891" s="1"/>
      <c r="GL891" s="1"/>
      <c r="GM891" s="1"/>
      <c r="GN891" s="1"/>
      <c r="GO891" s="1"/>
      <c r="GP891" s="1"/>
      <c r="GR891" s="1"/>
      <c r="GW891" s="1"/>
      <c r="GY891" s="1"/>
      <c r="HF891" s="1"/>
      <c r="HH891" s="1"/>
      <c r="HN891" s="1"/>
      <c r="HQ891" s="1"/>
      <c r="HR891" s="1"/>
      <c r="HS891" s="1"/>
      <c r="HT891" s="1"/>
      <c r="HX891" s="1"/>
      <c r="HY891" s="1"/>
      <c r="IC891" s="1"/>
      <c r="ID891" s="1"/>
      <c r="IE891" s="1"/>
      <c r="IR891" s="1"/>
      <c r="IS891" s="1"/>
      <c r="IZ891" s="1"/>
      <c r="JC891" s="1"/>
      <c r="JF891" s="1"/>
      <c r="JG891" s="1"/>
      <c r="JH891" s="1"/>
      <c r="JI891" s="1"/>
      <c r="JJ891" s="1"/>
      <c r="JP891" s="1"/>
      <c r="JQ891" s="1"/>
      <c r="JT891" s="1"/>
      <c r="JW891" s="1"/>
      <c r="KS891" s="1"/>
      <c r="KT891" s="1"/>
      <c r="KU891" s="1"/>
      <c r="KY891" s="1"/>
      <c r="KZ891" s="1"/>
      <c r="LA891" s="1"/>
      <c r="LB891" s="1"/>
      <c r="LC891" s="1"/>
      <c r="LD891" s="1"/>
      <c r="LO891" s="1"/>
      <c r="LP891" s="1"/>
      <c r="LZ891" s="1"/>
      <c r="MA891" s="1"/>
    </row>
    <row r="892" spans="4:339" ht="13" x14ac:dyDescent="0.15">
      <c r="D892" s="12"/>
      <c r="E892" s="12"/>
      <c r="I892" s="12"/>
      <c r="J892" s="13"/>
      <c r="BF892" s="1"/>
      <c r="BG892" s="1"/>
      <c r="BH892" s="1"/>
      <c r="BI892" s="1"/>
      <c r="BK892" s="1"/>
      <c r="BL892" s="1"/>
      <c r="BM892" s="1"/>
      <c r="BN892" s="1"/>
      <c r="BO892" s="1"/>
      <c r="BP892" s="1"/>
      <c r="BQ892" s="1"/>
      <c r="BR892" s="1"/>
      <c r="BX892" s="1"/>
      <c r="CC892" s="1"/>
      <c r="CD892" s="1"/>
      <c r="CE892" s="1"/>
      <c r="CF892" s="1"/>
      <c r="CG892" s="1"/>
      <c r="CH892" s="1"/>
      <c r="CI892" s="1"/>
      <c r="CK892" s="1"/>
      <c r="CM892" s="2"/>
      <c r="CN892" s="1"/>
      <c r="CO892" s="1"/>
      <c r="CP892" s="1"/>
      <c r="CQ892" s="1"/>
      <c r="CX892" s="1"/>
      <c r="CY892" s="1"/>
      <c r="CZ892" s="1"/>
      <c r="DA892" s="1"/>
      <c r="DB892" s="1"/>
      <c r="DC892" s="1"/>
      <c r="DD892" s="1"/>
      <c r="DE892" s="1"/>
      <c r="DF892" s="1"/>
      <c r="DG892" s="1"/>
      <c r="DH892" s="1"/>
      <c r="DI892" s="1"/>
      <c r="DJ892" s="1"/>
      <c r="DK892" s="1"/>
      <c r="ED892" s="1"/>
      <c r="EK892" s="1"/>
      <c r="EL892" s="1"/>
      <c r="EM892" s="1"/>
      <c r="EN892" s="1"/>
      <c r="EQ892" s="1"/>
      <c r="ER892" s="1"/>
      <c r="ES892" s="1"/>
      <c r="EV892" s="1"/>
      <c r="EW892" s="1"/>
      <c r="EX892" s="1"/>
      <c r="EZ892" s="1"/>
      <c r="FA892" s="1"/>
      <c r="FD892" s="1"/>
      <c r="FG892" s="1"/>
      <c r="FH892" s="1"/>
      <c r="FI892" s="1"/>
      <c r="FJ892" s="1"/>
      <c r="FK892" s="1"/>
      <c r="FL892" s="1"/>
      <c r="FM892" s="1"/>
      <c r="FN892" s="1"/>
      <c r="FO892" s="1"/>
      <c r="FP892" s="1"/>
      <c r="FQ892" s="1"/>
      <c r="FR892" s="1"/>
      <c r="FS892" s="1"/>
      <c r="FT892" s="1"/>
      <c r="FU892" s="1"/>
      <c r="FV892" s="1"/>
      <c r="FW892" s="1"/>
      <c r="FX892" s="1"/>
      <c r="FY892" s="1"/>
      <c r="FZ892" s="1"/>
      <c r="GA892" s="1"/>
      <c r="GB892" s="1"/>
      <c r="GD892" s="1"/>
      <c r="GE892" s="1"/>
      <c r="GF892" s="1"/>
      <c r="GG892" s="1"/>
      <c r="GH892" s="1"/>
      <c r="GI892" s="1"/>
      <c r="GJ892" s="1"/>
      <c r="GK892" s="1"/>
      <c r="GL892" s="1"/>
      <c r="GM892" s="1"/>
      <c r="GN892" s="1"/>
      <c r="GO892" s="1"/>
      <c r="GP892" s="1"/>
      <c r="GR892" s="1"/>
      <c r="GW892" s="1"/>
      <c r="GY892" s="1"/>
      <c r="HF892" s="1"/>
      <c r="HH892" s="1"/>
      <c r="HN892" s="1"/>
      <c r="HQ892" s="1"/>
      <c r="HR892" s="1"/>
      <c r="HS892" s="1"/>
      <c r="HT892" s="1"/>
      <c r="HX892" s="1"/>
      <c r="HY892" s="1"/>
      <c r="IC892" s="1"/>
      <c r="ID892" s="1"/>
      <c r="IE892" s="1"/>
      <c r="IR892" s="1"/>
      <c r="IS892" s="1"/>
      <c r="IZ892" s="1"/>
      <c r="JC892" s="1"/>
      <c r="JF892" s="1"/>
      <c r="JG892" s="1"/>
      <c r="JH892" s="1"/>
      <c r="JI892" s="1"/>
      <c r="JJ892" s="1"/>
      <c r="JP892" s="1"/>
      <c r="JQ892" s="1"/>
      <c r="JT892" s="1"/>
      <c r="JW892" s="1"/>
      <c r="KS892" s="1"/>
      <c r="KT892" s="1"/>
      <c r="KU892" s="1"/>
      <c r="KY892" s="1"/>
      <c r="KZ892" s="1"/>
      <c r="LA892" s="1"/>
      <c r="LB892" s="1"/>
      <c r="LC892" s="1"/>
      <c r="LD892" s="1"/>
      <c r="LO892" s="1"/>
      <c r="LP892" s="1"/>
      <c r="LZ892" s="1"/>
      <c r="MA892" s="1"/>
    </row>
    <row r="893" spans="4:339" ht="13" x14ac:dyDescent="0.15">
      <c r="D893" s="12"/>
      <c r="E893" s="12"/>
      <c r="I893" s="12"/>
      <c r="J893" s="13"/>
      <c r="BF893" s="1"/>
      <c r="BG893" s="1"/>
      <c r="BH893" s="1"/>
      <c r="BI893" s="1"/>
      <c r="BK893" s="1"/>
      <c r="BL893" s="1"/>
      <c r="BM893" s="1"/>
      <c r="BN893" s="1"/>
      <c r="BO893" s="1"/>
      <c r="BP893" s="1"/>
      <c r="BQ893" s="1"/>
      <c r="BR893" s="1"/>
      <c r="BX893" s="1"/>
      <c r="CC893" s="1"/>
      <c r="CD893" s="1"/>
      <c r="CE893" s="1"/>
      <c r="CF893" s="1"/>
      <c r="CG893" s="1"/>
      <c r="CH893" s="1"/>
      <c r="CI893" s="1"/>
      <c r="CK893" s="1"/>
      <c r="CM893" s="2"/>
      <c r="CN893" s="1"/>
      <c r="CO893" s="1"/>
      <c r="CP893" s="1"/>
      <c r="CQ893" s="1"/>
      <c r="CX893" s="1"/>
      <c r="CY893" s="1"/>
      <c r="CZ893" s="1"/>
      <c r="DA893" s="1"/>
      <c r="DB893" s="1"/>
      <c r="DC893" s="1"/>
      <c r="DD893" s="1"/>
      <c r="DE893" s="1"/>
      <c r="DF893" s="1"/>
      <c r="DG893" s="1"/>
      <c r="DH893" s="1"/>
      <c r="DI893" s="1"/>
      <c r="DJ893" s="1"/>
      <c r="DK893" s="1"/>
      <c r="ED893" s="1"/>
      <c r="EK893" s="1"/>
      <c r="EL893" s="1"/>
      <c r="EM893" s="1"/>
      <c r="EN893" s="1"/>
      <c r="EQ893" s="1"/>
      <c r="ER893" s="1"/>
      <c r="ES893" s="1"/>
      <c r="EV893" s="1"/>
      <c r="EW893" s="1"/>
      <c r="EX893" s="1"/>
      <c r="EZ893" s="1"/>
      <c r="FA893" s="1"/>
      <c r="FD893" s="1"/>
      <c r="FG893" s="1"/>
      <c r="FH893" s="1"/>
      <c r="FI893" s="1"/>
      <c r="FJ893" s="1"/>
      <c r="FK893" s="1"/>
      <c r="FL893" s="1"/>
      <c r="FM893" s="1"/>
      <c r="FN893" s="1"/>
      <c r="FO893" s="1"/>
      <c r="FP893" s="1"/>
      <c r="FQ893" s="1"/>
      <c r="FR893" s="1"/>
      <c r="FS893" s="1"/>
      <c r="FT893" s="1"/>
      <c r="FU893" s="1"/>
      <c r="FV893" s="1"/>
      <c r="FW893" s="1"/>
      <c r="FX893" s="1"/>
      <c r="FY893" s="1"/>
      <c r="FZ893" s="1"/>
      <c r="GA893" s="1"/>
      <c r="GB893" s="1"/>
      <c r="GD893" s="1"/>
      <c r="GE893" s="1"/>
      <c r="GF893" s="1"/>
      <c r="GG893" s="1"/>
      <c r="GH893" s="1"/>
      <c r="GI893" s="1"/>
      <c r="GJ893" s="1"/>
      <c r="GK893" s="1"/>
      <c r="GL893" s="1"/>
      <c r="GM893" s="1"/>
      <c r="GN893" s="1"/>
      <c r="GO893" s="1"/>
      <c r="GP893" s="1"/>
      <c r="GR893" s="1"/>
      <c r="GW893" s="1"/>
      <c r="GY893" s="1"/>
      <c r="HF893" s="1"/>
      <c r="HH893" s="1"/>
      <c r="HN893" s="1"/>
      <c r="HQ893" s="1"/>
      <c r="HR893" s="1"/>
      <c r="HS893" s="1"/>
      <c r="HT893" s="1"/>
      <c r="HX893" s="1"/>
      <c r="HY893" s="1"/>
      <c r="IC893" s="1"/>
      <c r="ID893" s="1"/>
      <c r="IE893" s="1"/>
      <c r="IR893" s="1"/>
      <c r="IS893" s="1"/>
      <c r="IZ893" s="1"/>
      <c r="JC893" s="1"/>
      <c r="JF893" s="1"/>
      <c r="JG893" s="1"/>
      <c r="JH893" s="1"/>
      <c r="JI893" s="1"/>
      <c r="JJ893" s="1"/>
      <c r="JP893" s="1"/>
      <c r="JQ893" s="1"/>
      <c r="JT893" s="1"/>
      <c r="JW893" s="1"/>
      <c r="KS893" s="1"/>
      <c r="KT893" s="1"/>
      <c r="KU893" s="1"/>
      <c r="KY893" s="1"/>
      <c r="KZ893" s="1"/>
      <c r="LA893" s="1"/>
      <c r="LB893" s="1"/>
      <c r="LC893" s="1"/>
      <c r="LD893" s="1"/>
      <c r="LO893" s="1"/>
      <c r="LP893" s="1"/>
      <c r="LZ893" s="1"/>
      <c r="MA893" s="1"/>
    </row>
    <row r="894" spans="4:339" ht="13" x14ac:dyDescent="0.15">
      <c r="D894" s="12"/>
      <c r="E894" s="12"/>
      <c r="I894" s="12"/>
      <c r="J894" s="13"/>
      <c r="BF894" s="1"/>
      <c r="BG894" s="1"/>
      <c r="BH894" s="1"/>
      <c r="BI894" s="1"/>
      <c r="BK894" s="1"/>
      <c r="BL894" s="1"/>
      <c r="BM894" s="1"/>
      <c r="BN894" s="1"/>
      <c r="BO894" s="1"/>
      <c r="BQ894" s="1"/>
      <c r="BR894" s="1"/>
      <c r="CD894" s="1"/>
      <c r="CG894" s="1"/>
      <c r="CH894" s="1"/>
      <c r="CI894" s="1"/>
      <c r="CK894" s="1"/>
      <c r="CM894" s="2"/>
      <c r="CN894" s="1"/>
      <c r="CO894" s="1"/>
      <c r="ED894" s="1"/>
      <c r="EL894" s="1"/>
      <c r="EM894" s="1"/>
      <c r="EN894" s="1"/>
      <c r="EQ894" s="1"/>
      <c r="ER894" s="1"/>
      <c r="ES894" s="1"/>
      <c r="EV894" s="1"/>
      <c r="EW894" s="1"/>
      <c r="EZ894" s="1"/>
      <c r="FA894" s="1"/>
      <c r="FD894" s="1"/>
      <c r="FG894" s="1"/>
      <c r="FH894" s="1"/>
      <c r="FI894" s="1"/>
      <c r="FJ894" s="1"/>
      <c r="FK894" s="1"/>
      <c r="FL894" s="1"/>
      <c r="FM894" s="1"/>
      <c r="FN894" s="1"/>
      <c r="FO894" s="1"/>
      <c r="FP894" s="1"/>
      <c r="FQ894" s="1"/>
      <c r="FR894" s="1"/>
      <c r="FS894" s="1"/>
      <c r="FT894" s="1"/>
      <c r="FU894" s="1"/>
      <c r="FV894" s="1"/>
      <c r="FW894" s="1"/>
      <c r="FX894" s="1"/>
      <c r="FY894" s="1"/>
      <c r="FZ894" s="1"/>
      <c r="GA894" s="1"/>
      <c r="GB894" s="1"/>
      <c r="GD894" s="1"/>
      <c r="GE894" s="1"/>
      <c r="GF894" s="1"/>
      <c r="GG894" s="1"/>
      <c r="GH894" s="1"/>
      <c r="GI894" s="1"/>
      <c r="GJ894" s="1"/>
      <c r="GK894" s="1"/>
      <c r="GL894" s="1"/>
      <c r="GM894" s="1"/>
      <c r="GN894" s="1"/>
      <c r="GR894" s="1"/>
      <c r="GV894" s="1"/>
      <c r="GY894" s="1"/>
      <c r="HE894" s="1"/>
      <c r="HF894" s="1"/>
      <c r="HY894" s="1"/>
      <c r="IC894" s="1"/>
      <c r="IR894" s="1"/>
      <c r="IS894" s="1"/>
      <c r="IW894" s="1"/>
      <c r="IY894" s="1"/>
      <c r="IZ894" s="1"/>
      <c r="JA894" s="1"/>
      <c r="JC894" s="1"/>
      <c r="JH894" s="1"/>
      <c r="JJ894" s="1"/>
      <c r="JN894" s="1"/>
      <c r="JP894" s="1"/>
      <c r="JQ894" s="1"/>
      <c r="JU894" s="1"/>
      <c r="KU894" s="1"/>
      <c r="LM894" s="1"/>
      <c r="LQ894" s="1"/>
    </row>
    <row r="895" spans="4:339" ht="13" x14ac:dyDescent="0.15">
      <c r="D895" s="12"/>
      <c r="E895" s="12"/>
      <c r="I895" s="12"/>
      <c r="J895" s="13"/>
      <c r="BF895" s="1"/>
      <c r="BG895" s="1"/>
      <c r="BH895" s="1"/>
      <c r="BI895" s="1"/>
      <c r="BK895" s="1"/>
      <c r="BL895" s="1"/>
      <c r="BM895" s="1"/>
      <c r="BN895" s="1"/>
      <c r="BO895" s="1"/>
      <c r="BP895" s="1"/>
      <c r="BQ895" s="1"/>
      <c r="BR895" s="1"/>
      <c r="BX895" s="1"/>
      <c r="CD895" s="1"/>
      <c r="CE895" s="1"/>
      <c r="CF895" s="1"/>
      <c r="CG895" s="1"/>
      <c r="CH895" s="1"/>
      <c r="CI895" s="1"/>
      <c r="CM895" s="2"/>
      <c r="CN895" s="1"/>
      <c r="CO895" s="1"/>
      <c r="CP895" s="1"/>
      <c r="CQ895" s="1"/>
      <c r="CR895" s="1"/>
      <c r="CS895" s="1"/>
      <c r="CT895" s="1"/>
      <c r="CU895" s="1"/>
      <c r="CV895" s="1"/>
      <c r="CW895" s="1"/>
      <c r="CX895" s="1"/>
      <c r="CY895" s="1"/>
      <c r="CZ895" s="1"/>
      <c r="DA895" s="1"/>
      <c r="DB895" s="1"/>
      <c r="DC895" s="1"/>
      <c r="DD895" s="1"/>
      <c r="DE895" s="1"/>
      <c r="DF895" s="1"/>
      <c r="DG895" s="1"/>
      <c r="DH895" s="1"/>
      <c r="DI895" s="1"/>
      <c r="DJ895" s="1"/>
      <c r="DK895" s="1"/>
      <c r="ED895" s="1"/>
      <c r="EE895" s="1"/>
      <c r="EF895" s="1"/>
      <c r="EG895" s="1"/>
      <c r="EH895" s="1"/>
      <c r="EK895" s="1"/>
      <c r="EL895" s="1"/>
      <c r="EM895" s="1"/>
      <c r="EN895" s="1"/>
      <c r="EQ895" s="1"/>
      <c r="ER895" s="1"/>
      <c r="ES895" s="1"/>
      <c r="EV895" s="1"/>
      <c r="EW895" s="1"/>
      <c r="EY895" s="1"/>
      <c r="EZ895" s="1"/>
      <c r="FA895" s="1"/>
      <c r="FD895" s="1"/>
      <c r="GD895" s="1"/>
      <c r="GE895" s="1"/>
      <c r="GF895" s="1"/>
      <c r="GG895" s="1"/>
      <c r="GH895" s="1"/>
      <c r="GI895" s="1"/>
      <c r="GJ895" s="1"/>
      <c r="GO895" s="1"/>
      <c r="GP895" s="1"/>
      <c r="HH895" s="1"/>
      <c r="HT895" s="1"/>
      <c r="HY895" s="1"/>
      <c r="IC895" s="1"/>
      <c r="IE895" s="1"/>
      <c r="IG895" s="1"/>
      <c r="IJ895" s="1"/>
      <c r="IR895" s="1"/>
      <c r="IS895" s="1"/>
      <c r="IW895" s="1"/>
      <c r="IX895" s="1"/>
      <c r="IY895" s="1"/>
      <c r="IZ895" s="1"/>
      <c r="JB895" s="1"/>
      <c r="JC895" s="1"/>
      <c r="JF895" s="1"/>
      <c r="JG895" s="1"/>
      <c r="JH895" s="1"/>
      <c r="JJ895" s="1"/>
      <c r="JK895" s="1"/>
      <c r="JL895" s="6"/>
      <c r="JM895" s="1"/>
      <c r="JN895" s="1"/>
      <c r="JP895" s="1"/>
      <c r="JQ895" s="1"/>
      <c r="JR895" s="1"/>
      <c r="JT895" s="1"/>
      <c r="KU895" s="1"/>
      <c r="KW895" s="1"/>
      <c r="KY895" s="1"/>
      <c r="KZ895" s="1"/>
      <c r="LA895" s="1"/>
      <c r="LB895" s="1"/>
      <c r="LC895" s="1"/>
      <c r="LD895" s="1"/>
      <c r="LO895" s="1"/>
      <c r="LP895" s="1"/>
      <c r="LZ895" s="1"/>
      <c r="MA895" s="1"/>
    </row>
    <row r="896" spans="4:339" ht="13" x14ac:dyDescent="0.15">
      <c r="D896" s="12"/>
      <c r="E896" s="12"/>
      <c r="I896" s="12"/>
      <c r="J896" s="13"/>
      <c r="BF896" s="1"/>
      <c r="BG896" s="1"/>
      <c r="BH896" s="1"/>
      <c r="BI896" s="1"/>
      <c r="BK896" s="1"/>
      <c r="BL896" s="1"/>
      <c r="BM896" s="1"/>
      <c r="BN896" s="1"/>
      <c r="BO896" s="1"/>
      <c r="BP896" s="1"/>
      <c r="BQ896" s="1"/>
      <c r="BR896" s="1"/>
      <c r="BX896" s="1"/>
      <c r="CC896" s="1"/>
      <c r="CD896" s="1"/>
      <c r="CE896" s="1"/>
      <c r="CF896" s="1"/>
      <c r="CG896" s="1"/>
      <c r="CH896" s="1"/>
      <c r="CI896" s="1"/>
      <c r="CM896" s="2"/>
      <c r="CN896" s="1"/>
      <c r="CO896" s="1"/>
      <c r="CP896" s="1"/>
      <c r="CQ896" s="1"/>
      <c r="CR896" s="1"/>
      <c r="CS896" s="1"/>
      <c r="CT896" s="1"/>
      <c r="CU896" s="1"/>
      <c r="CV896" s="1"/>
      <c r="CW896" s="1"/>
      <c r="CX896" s="1"/>
      <c r="CY896" s="1"/>
      <c r="CZ896" s="1"/>
      <c r="DA896" s="1"/>
      <c r="DB896" s="1"/>
      <c r="DC896" s="1"/>
      <c r="DD896" s="1"/>
      <c r="DE896" s="1"/>
      <c r="DF896" s="1"/>
      <c r="DG896" s="1"/>
      <c r="DH896" s="1"/>
      <c r="DI896" s="1"/>
      <c r="DJ896" s="1"/>
      <c r="DK896" s="1"/>
      <c r="DM896" s="1"/>
      <c r="DQ896" s="1"/>
      <c r="DR896" s="1"/>
      <c r="DY896" s="1"/>
      <c r="DZ896" s="1"/>
      <c r="ED896" s="1"/>
      <c r="EE896" s="1"/>
      <c r="EF896" s="1"/>
      <c r="EG896" s="1"/>
      <c r="EH896" s="1"/>
      <c r="EK896" s="1"/>
      <c r="EL896" s="1"/>
      <c r="EM896" s="1"/>
      <c r="EN896" s="1"/>
      <c r="EQ896" s="1"/>
      <c r="ER896" s="1"/>
      <c r="ES896" s="1"/>
      <c r="EV896" s="1"/>
      <c r="EW896" s="1"/>
      <c r="EY896" s="1"/>
      <c r="EZ896" s="1"/>
      <c r="FA896" s="1"/>
      <c r="FD896" s="1"/>
      <c r="FE896" s="1"/>
      <c r="FG896" s="1"/>
      <c r="FH896" s="1"/>
      <c r="FI896" s="1"/>
      <c r="FJ896" s="1"/>
      <c r="FL896" s="1"/>
      <c r="FM896" s="1"/>
      <c r="FN896" s="1"/>
      <c r="FO896" s="1"/>
      <c r="FP896" s="1"/>
      <c r="FQ896" s="1"/>
      <c r="FS896" s="1"/>
      <c r="FT896" s="1"/>
      <c r="FU896" s="1"/>
      <c r="FV896" s="1"/>
      <c r="FW896" s="1"/>
      <c r="FX896" s="1"/>
      <c r="FZ896" s="1"/>
      <c r="GA896" s="1"/>
      <c r="GB896" s="1"/>
      <c r="GD896" s="1"/>
      <c r="GE896" s="1"/>
      <c r="GF896" s="1"/>
      <c r="GG896" s="1"/>
      <c r="GH896" s="1"/>
      <c r="GI896" s="1"/>
      <c r="GJ896" s="1"/>
      <c r="GK896" s="1"/>
      <c r="GL896" s="1"/>
      <c r="GM896" s="1"/>
      <c r="GN896" s="1"/>
      <c r="GO896" s="1"/>
      <c r="GP896" s="1"/>
      <c r="GR896" s="1"/>
      <c r="GY896" s="1"/>
      <c r="HF896" s="1"/>
      <c r="HH896" s="1"/>
      <c r="HN896" s="1"/>
      <c r="HT896" s="1"/>
      <c r="HY896" s="1"/>
      <c r="IC896" s="1"/>
      <c r="ID896" s="1"/>
      <c r="IE896" s="1"/>
      <c r="IG896" s="1"/>
      <c r="IJ896" s="1"/>
      <c r="IR896" s="1"/>
      <c r="IS896" s="1"/>
      <c r="IZ896" s="1"/>
      <c r="JC896" s="1"/>
      <c r="JF896" s="1"/>
      <c r="JG896" s="1"/>
      <c r="JH896" s="1"/>
      <c r="JI896" s="1"/>
      <c r="JJ896" s="1"/>
      <c r="JK896" s="1"/>
      <c r="JL896" s="3"/>
      <c r="JM896" s="1"/>
      <c r="JP896" s="1"/>
      <c r="JQ896" s="1"/>
      <c r="JR896" s="1"/>
      <c r="JT896" s="1"/>
      <c r="KV896" s="1"/>
      <c r="KW896" s="1"/>
      <c r="KY896" s="1"/>
      <c r="KZ896" s="1"/>
      <c r="LA896" s="1"/>
      <c r="LB896" s="1"/>
      <c r="LC896" s="1"/>
      <c r="LD896" s="1"/>
      <c r="LO896" s="1"/>
      <c r="LP896" s="1"/>
      <c r="LZ896" s="1"/>
      <c r="MA896" s="1"/>
    </row>
    <row r="897" spans="4:339" ht="13" x14ac:dyDescent="0.15">
      <c r="D897" s="12"/>
      <c r="E897" s="12"/>
      <c r="I897" s="12"/>
      <c r="J897" s="13"/>
      <c r="BG897" s="1"/>
      <c r="BH897" s="1"/>
      <c r="BI897" s="1"/>
      <c r="BJ897" s="1"/>
      <c r="BK897" s="1"/>
      <c r="BL897" s="1"/>
      <c r="BM897" s="1"/>
      <c r="BN897" s="1"/>
      <c r="BO897" s="1"/>
      <c r="BQ897" s="1"/>
      <c r="BR897" s="1"/>
      <c r="CD897" s="1"/>
      <c r="CE897" s="1"/>
      <c r="CF897" s="1"/>
      <c r="CH897" s="1"/>
      <c r="CI897" s="1"/>
      <c r="CM897" s="2"/>
      <c r="CN897" s="1"/>
      <c r="CO897" s="1"/>
      <c r="ED897" s="1"/>
      <c r="EL897" s="1"/>
      <c r="EM897" s="1"/>
      <c r="EN897" s="1"/>
      <c r="EQ897" s="1"/>
      <c r="ER897" s="1"/>
      <c r="ES897" s="1"/>
      <c r="EV897" s="1"/>
      <c r="EW897" s="1"/>
      <c r="EZ897" s="1"/>
      <c r="FA897" s="1"/>
      <c r="FD897" s="1"/>
      <c r="FG897" s="1"/>
      <c r="FH897" s="1"/>
      <c r="FJ897" s="1"/>
      <c r="FL897" s="1"/>
      <c r="FS897" s="1"/>
      <c r="FU897" s="1"/>
      <c r="FV897" s="1"/>
      <c r="FX897" s="1"/>
      <c r="GA897" s="1"/>
      <c r="GD897" s="1"/>
      <c r="GE897" s="1"/>
      <c r="GF897" s="1"/>
      <c r="GG897" s="1"/>
      <c r="GH897" s="1"/>
      <c r="GI897" s="1"/>
      <c r="GJ897" s="1"/>
      <c r="GM897" s="1"/>
      <c r="GN897" s="1"/>
      <c r="GV897" s="1"/>
      <c r="HE897" s="1"/>
      <c r="HY897" s="1"/>
      <c r="IS897" s="1"/>
      <c r="IW897" s="1"/>
      <c r="IZ897" s="1"/>
      <c r="JA897" s="1"/>
      <c r="JG897" s="1"/>
      <c r="JJ897" s="1"/>
      <c r="JP897" s="1"/>
      <c r="JQ897" s="1"/>
      <c r="JT897" s="1"/>
    </row>
    <row r="898" spans="4:339" ht="13" x14ac:dyDescent="0.15">
      <c r="D898" s="12"/>
      <c r="E898" s="12"/>
      <c r="I898" s="12"/>
      <c r="J898" s="13"/>
      <c r="BF898" s="1"/>
      <c r="BG898" s="1"/>
      <c r="BH898" s="1"/>
      <c r="BI898" s="1"/>
      <c r="BK898" s="1"/>
      <c r="BL898" s="1"/>
      <c r="BM898" s="1"/>
      <c r="BN898" s="1"/>
      <c r="BO898" s="1"/>
      <c r="BP898" s="1"/>
      <c r="BQ898" s="1"/>
      <c r="BR898" s="1"/>
      <c r="CD898" s="1"/>
      <c r="CE898" s="1"/>
      <c r="CF898" s="1"/>
      <c r="CG898" s="1"/>
      <c r="CH898" s="1"/>
      <c r="CI898" s="1"/>
      <c r="CM898" s="4"/>
      <c r="CN898" s="1"/>
      <c r="CO898" s="1"/>
      <c r="CP898" s="1"/>
      <c r="CQ898" s="1"/>
      <c r="CR898" s="1"/>
      <c r="CS898" s="1"/>
      <c r="CT898" s="1"/>
      <c r="CU898" s="1"/>
      <c r="CV898" s="1"/>
      <c r="CW898" s="1"/>
      <c r="CX898" s="1"/>
      <c r="CY898" s="1"/>
      <c r="CZ898" s="1"/>
      <c r="DA898" s="1"/>
      <c r="DB898" s="1"/>
      <c r="DC898" s="1"/>
      <c r="DD898" s="1"/>
      <c r="DE898" s="1"/>
      <c r="DF898" s="1"/>
      <c r="DG898" s="1"/>
      <c r="DH898" s="1"/>
      <c r="DI898" s="1"/>
      <c r="DJ898" s="1"/>
      <c r="DK898" s="1"/>
      <c r="DM898" s="1"/>
      <c r="DR898" s="1"/>
      <c r="ED898" s="1"/>
      <c r="EF898" s="1"/>
      <c r="EK898" s="1"/>
      <c r="EL898" s="1"/>
      <c r="EM898" s="1"/>
      <c r="EN898" s="1"/>
      <c r="EQ898" s="1"/>
      <c r="ER898" s="1"/>
      <c r="ES898" s="1"/>
      <c r="EV898" s="1"/>
      <c r="EW898" s="1"/>
      <c r="EZ898" s="1"/>
      <c r="FA898" s="1"/>
      <c r="FD898" s="1"/>
      <c r="FE898" s="1"/>
      <c r="FG898" s="1"/>
      <c r="FI898" s="1"/>
      <c r="FJ898" s="1"/>
      <c r="FL898" s="1"/>
      <c r="FM898" s="1"/>
      <c r="FN898" s="1"/>
      <c r="FO898" s="1"/>
      <c r="FP898" s="1"/>
      <c r="FQ898" s="1"/>
      <c r="FS898" s="1"/>
      <c r="FT898" s="1"/>
      <c r="FU898" s="1"/>
      <c r="FV898" s="1"/>
      <c r="FW898" s="1"/>
      <c r="FX898" s="1"/>
      <c r="FY898" s="1"/>
      <c r="FZ898" s="1"/>
      <c r="GA898" s="1"/>
      <c r="GD898" s="1"/>
      <c r="GE898" s="1"/>
      <c r="GF898" s="1"/>
      <c r="GG898" s="1"/>
      <c r="GH898" s="1"/>
      <c r="GI898" s="1"/>
      <c r="GJ898" s="1"/>
      <c r="GM898" s="1"/>
      <c r="GN898" s="1"/>
      <c r="GP898" s="1"/>
      <c r="GR898" s="1"/>
      <c r="GV898" s="1"/>
      <c r="HF898" s="1"/>
      <c r="HH898" s="1"/>
      <c r="HN898" s="1"/>
      <c r="HT898" s="1"/>
      <c r="HY898" s="1"/>
      <c r="IE898" s="1"/>
      <c r="IR898" s="1"/>
      <c r="IS898" s="1"/>
      <c r="IW898" s="1"/>
      <c r="IY898" s="1"/>
      <c r="IZ898" s="1"/>
      <c r="JA898" s="1"/>
      <c r="JC898" s="1"/>
      <c r="JF898" s="1"/>
      <c r="JG898" s="1"/>
      <c r="JH898" s="1"/>
      <c r="JJ898" s="1"/>
      <c r="JN898" s="1"/>
      <c r="JP898" s="1"/>
      <c r="JQ898" s="1"/>
      <c r="KY898" s="1"/>
      <c r="KZ898" s="1"/>
      <c r="LA898" s="1"/>
      <c r="LB898" s="1"/>
      <c r="LC898" s="1"/>
      <c r="LD898" s="1"/>
      <c r="LO898" s="1"/>
      <c r="LP898" s="1"/>
      <c r="LZ898" s="1"/>
      <c r="MA898" s="1"/>
    </row>
    <row r="899" spans="4:339" ht="13" x14ac:dyDescent="0.15">
      <c r="D899" s="12"/>
      <c r="E899" s="12"/>
      <c r="I899" s="12"/>
      <c r="J899" s="13"/>
      <c r="BF899" s="1"/>
      <c r="BG899" s="1"/>
      <c r="BH899" s="1"/>
      <c r="BI899" s="1"/>
      <c r="BK899" s="1"/>
      <c r="BL899" s="1"/>
      <c r="BM899" s="1"/>
      <c r="BN899" s="1"/>
      <c r="BO899" s="1"/>
      <c r="BQ899" s="1"/>
      <c r="BR899" s="1"/>
      <c r="CD899" s="1"/>
      <c r="CG899" s="1"/>
      <c r="CH899" s="1"/>
      <c r="CI899" s="1"/>
      <c r="CK899" s="1"/>
      <c r="CM899" s="2"/>
      <c r="CN899" s="1"/>
      <c r="CO899" s="1"/>
      <c r="ED899" s="1"/>
      <c r="EL899" s="1"/>
      <c r="EM899" s="1"/>
      <c r="EN899" s="1"/>
      <c r="EQ899" s="1"/>
      <c r="ER899" s="1"/>
      <c r="ES899" s="1"/>
      <c r="EV899" s="1"/>
      <c r="EW899" s="1"/>
      <c r="EX899" s="1"/>
      <c r="EZ899" s="1"/>
      <c r="FA899" s="1"/>
      <c r="FD899" s="1"/>
      <c r="FH899" s="1"/>
      <c r="FJ899" s="1"/>
      <c r="FP899" s="1"/>
      <c r="FS899" s="1"/>
      <c r="FU899" s="1"/>
      <c r="FV899" s="1"/>
      <c r="FW899" s="1"/>
      <c r="FX899" s="1"/>
      <c r="FZ899" s="1"/>
      <c r="GA899" s="1"/>
      <c r="GD899" s="1"/>
      <c r="GE899" s="1"/>
      <c r="GF899" s="1"/>
      <c r="GG899" s="1"/>
      <c r="GH899" s="1"/>
      <c r="GI899" s="1"/>
      <c r="GJ899" s="1"/>
      <c r="GK899" s="1"/>
      <c r="GL899" s="1"/>
      <c r="GM899" s="1"/>
      <c r="GN899" s="1"/>
      <c r="GP899" s="1"/>
      <c r="GR899" s="1"/>
      <c r="GY899" s="1"/>
      <c r="HF899" s="1"/>
      <c r="HQ899" s="1"/>
      <c r="HY899" s="1"/>
      <c r="IA899" s="1"/>
      <c r="IC899" s="1"/>
      <c r="IR899" s="1"/>
      <c r="IS899" s="1"/>
      <c r="IY899" s="1"/>
      <c r="IZ899" s="1"/>
      <c r="JC899" s="1"/>
      <c r="JG899" s="1"/>
      <c r="JJ899" s="1"/>
      <c r="JP899" s="1"/>
      <c r="JQ899" s="1"/>
      <c r="JT899" s="1"/>
      <c r="KU899" s="1"/>
      <c r="KV899" s="1"/>
    </row>
    <row r="900" spans="4:339" ht="13" x14ac:dyDescent="0.15">
      <c r="D900" s="12"/>
      <c r="E900" s="12"/>
      <c r="I900" s="12"/>
      <c r="J900" s="13"/>
      <c r="BF900" s="1"/>
      <c r="BG900" s="1"/>
      <c r="BH900" s="1"/>
      <c r="BI900" s="1"/>
      <c r="BK900" s="1"/>
      <c r="BL900" s="1"/>
      <c r="BM900" s="1"/>
      <c r="BN900" s="1"/>
      <c r="BO900" s="1"/>
      <c r="BP900" s="1"/>
      <c r="BQ900" s="1"/>
      <c r="BR900" s="1"/>
      <c r="BX900" s="1"/>
      <c r="CD900" s="1"/>
      <c r="CE900" s="1"/>
      <c r="CF900" s="1"/>
      <c r="CG900" s="1"/>
      <c r="CH900" s="1"/>
      <c r="CI900" s="1"/>
      <c r="CK900" s="1"/>
      <c r="CM900" s="2"/>
      <c r="CN900" s="1"/>
      <c r="CO900" s="1"/>
      <c r="CP900" s="1"/>
      <c r="CQ900" s="1"/>
      <c r="CS900" s="1"/>
      <c r="CT900" s="1"/>
      <c r="CU900" s="1"/>
      <c r="CV900" s="1"/>
      <c r="CW900" s="1"/>
      <c r="CX900" s="1"/>
      <c r="CY900" s="1"/>
      <c r="CZ900" s="1"/>
      <c r="DA900" s="1"/>
      <c r="DB900" s="1"/>
      <c r="DC900" s="1"/>
      <c r="DD900" s="1"/>
      <c r="DE900" s="1"/>
      <c r="DF900" s="1"/>
      <c r="DG900" s="1"/>
      <c r="DH900" s="1"/>
      <c r="DI900" s="1"/>
      <c r="DJ900" s="1"/>
      <c r="DK900" s="1"/>
      <c r="DM900" s="1"/>
      <c r="DQ900" s="1"/>
      <c r="DR900" s="1"/>
      <c r="DY900" s="1"/>
      <c r="DZ900" s="1"/>
      <c r="ED900" s="1"/>
      <c r="EF900" s="1"/>
      <c r="EK900" s="1"/>
      <c r="EL900" s="1"/>
      <c r="EM900" s="1"/>
      <c r="EN900" s="1"/>
      <c r="EQ900" s="1"/>
      <c r="ER900" s="1"/>
      <c r="ES900" s="1"/>
      <c r="EV900" s="1"/>
      <c r="EW900" s="1"/>
      <c r="EZ900" s="1"/>
      <c r="FA900" s="1"/>
      <c r="FD900" s="1"/>
      <c r="FH900" s="1"/>
      <c r="FI900" s="1"/>
      <c r="FJ900" s="1"/>
      <c r="FM900" s="1"/>
      <c r="FN900" s="1"/>
      <c r="FO900" s="1"/>
      <c r="FP900" s="1"/>
      <c r="FS900" s="1"/>
      <c r="FU900" s="1"/>
      <c r="FV900" s="1"/>
      <c r="FW900" s="1"/>
      <c r="FX900" s="1"/>
      <c r="FY900" s="1"/>
      <c r="FZ900" s="1"/>
      <c r="GA900" s="1"/>
      <c r="GD900" s="1"/>
      <c r="GE900" s="1"/>
      <c r="GF900" s="1"/>
      <c r="GG900" s="1"/>
      <c r="GH900" s="1"/>
      <c r="GI900" s="1"/>
      <c r="GJ900" s="1"/>
      <c r="GK900" s="1"/>
      <c r="GL900" s="1"/>
      <c r="GM900" s="1"/>
      <c r="GN900" s="1"/>
      <c r="GO900" s="1"/>
      <c r="GP900" s="1"/>
      <c r="GR900" s="1"/>
      <c r="GW900" s="1"/>
      <c r="GY900" s="1"/>
      <c r="HH900" s="1"/>
      <c r="HR900" s="1"/>
      <c r="HS900" s="1"/>
      <c r="HT900" s="1"/>
      <c r="HY900" s="1"/>
      <c r="ID900" s="1"/>
      <c r="IE900" s="1"/>
      <c r="IK900" s="1"/>
      <c r="IR900" s="1"/>
      <c r="IS900" s="1"/>
      <c r="IW900" s="1"/>
      <c r="IY900" s="1"/>
      <c r="IZ900" s="1"/>
      <c r="JA900" s="1"/>
      <c r="JC900" s="1"/>
      <c r="JF900" s="1"/>
      <c r="JG900" s="1"/>
      <c r="JH900" s="1"/>
      <c r="JJ900" s="1"/>
      <c r="JN900" s="1"/>
      <c r="JP900" s="1"/>
      <c r="JQ900" s="1"/>
      <c r="JT900" s="1"/>
      <c r="KV900" s="1"/>
      <c r="KY900" s="1"/>
      <c r="KZ900" s="1"/>
      <c r="LA900" s="1"/>
      <c r="LB900" s="1"/>
      <c r="LC900" s="1"/>
      <c r="LD900" s="1"/>
      <c r="LN900" s="1"/>
      <c r="LO900" s="1"/>
      <c r="LP900" s="1"/>
      <c r="LZ900" s="1"/>
      <c r="MA900" s="1"/>
    </row>
    <row r="901" spans="4:339" ht="13" x14ac:dyDescent="0.15">
      <c r="D901" s="12"/>
      <c r="E901" s="12"/>
      <c r="I901" s="12"/>
      <c r="J901" s="13"/>
      <c r="BF901" s="1"/>
      <c r="BG901" s="1"/>
      <c r="BH901" s="1"/>
      <c r="BI901" s="1"/>
      <c r="BK901" s="1"/>
      <c r="BL901" s="1"/>
      <c r="BM901" s="1"/>
      <c r="BN901" s="1"/>
      <c r="BO901" s="1"/>
      <c r="BP901" s="1"/>
      <c r="BQ901" s="1"/>
      <c r="BR901" s="1"/>
      <c r="BX901" s="1"/>
      <c r="CD901" s="1"/>
      <c r="CE901" s="1"/>
      <c r="CF901" s="1"/>
      <c r="CG901" s="1"/>
      <c r="CH901" s="1"/>
      <c r="CI901" s="1"/>
      <c r="CK901" s="1"/>
      <c r="CM901" s="2"/>
      <c r="CN901" s="1"/>
      <c r="CO901" s="1"/>
      <c r="CP901" s="1"/>
      <c r="CQ901" s="1"/>
      <c r="CS901" s="1"/>
      <c r="CT901" s="1"/>
      <c r="CU901" s="1"/>
      <c r="CV901" s="1"/>
      <c r="CW901" s="1"/>
      <c r="CX901" s="1"/>
      <c r="CY901" s="1"/>
      <c r="CZ901" s="1"/>
      <c r="DA901" s="1"/>
      <c r="DB901" s="1"/>
      <c r="DC901" s="1"/>
      <c r="DD901" s="1"/>
      <c r="DE901" s="1"/>
      <c r="DF901" s="1"/>
      <c r="DG901" s="1"/>
      <c r="DH901" s="1"/>
      <c r="DI901" s="1"/>
      <c r="DJ901" s="1"/>
      <c r="DK901" s="1"/>
      <c r="DM901" s="1"/>
      <c r="DQ901" s="1"/>
      <c r="DR901" s="1"/>
      <c r="DY901" s="1"/>
      <c r="DZ901" s="1"/>
      <c r="ED901" s="1"/>
      <c r="EF901" s="1"/>
      <c r="EK901" s="1"/>
      <c r="EL901" s="1"/>
      <c r="EM901" s="1"/>
      <c r="EN901" s="1"/>
      <c r="EQ901" s="1"/>
      <c r="ER901" s="1"/>
      <c r="ES901" s="1"/>
      <c r="EV901" s="1"/>
      <c r="EW901" s="1"/>
      <c r="EZ901" s="1"/>
      <c r="FA901" s="1"/>
      <c r="FD901" s="1"/>
      <c r="FH901" s="1"/>
      <c r="FI901" s="1"/>
      <c r="FJ901" s="1"/>
      <c r="FM901" s="1"/>
      <c r="FN901" s="1"/>
      <c r="FO901" s="1"/>
      <c r="FP901" s="1"/>
      <c r="FS901" s="1"/>
      <c r="FU901" s="1"/>
      <c r="FV901" s="1"/>
      <c r="FW901" s="1"/>
      <c r="FX901" s="1"/>
      <c r="FY901" s="1"/>
      <c r="FZ901" s="1"/>
      <c r="GA901" s="1"/>
      <c r="GD901" s="1"/>
      <c r="GE901" s="1"/>
      <c r="GF901" s="1"/>
      <c r="GG901" s="1"/>
      <c r="GH901" s="1"/>
      <c r="GI901" s="1"/>
      <c r="GJ901" s="1"/>
      <c r="GK901" s="1"/>
      <c r="GL901" s="1"/>
      <c r="GM901" s="1"/>
      <c r="GN901" s="1"/>
      <c r="GO901" s="1"/>
      <c r="GP901" s="1"/>
      <c r="GR901" s="1"/>
      <c r="GW901" s="1"/>
      <c r="GY901" s="1"/>
      <c r="HH901" s="1"/>
      <c r="HR901" s="1"/>
      <c r="HS901" s="1"/>
      <c r="HT901" s="1"/>
      <c r="HY901" s="1"/>
      <c r="ID901" s="1"/>
      <c r="IE901" s="1"/>
      <c r="IK901" s="1"/>
      <c r="IR901" s="1"/>
      <c r="IS901" s="1"/>
      <c r="IW901" s="1"/>
      <c r="IY901" s="1"/>
      <c r="IZ901" s="1"/>
      <c r="JA901" s="1"/>
      <c r="JC901" s="1"/>
      <c r="JF901" s="1"/>
      <c r="JG901" s="1"/>
      <c r="JH901" s="1"/>
      <c r="JJ901" s="1"/>
      <c r="JN901" s="1"/>
      <c r="JP901" s="1"/>
      <c r="JQ901" s="1"/>
      <c r="JT901" s="1"/>
      <c r="KV901" s="1"/>
      <c r="KY901" s="1"/>
      <c r="KZ901" s="1"/>
      <c r="LA901" s="1"/>
      <c r="LB901" s="1"/>
      <c r="LC901" s="1"/>
      <c r="LD901" s="1"/>
      <c r="LN901" s="1"/>
      <c r="LO901" s="1"/>
      <c r="LP901" s="1"/>
      <c r="LZ901" s="1"/>
      <c r="MA901" s="1"/>
    </row>
    <row r="902" spans="4:339" ht="13" x14ac:dyDescent="0.15">
      <c r="D902" s="12"/>
      <c r="E902" s="12"/>
      <c r="I902" s="12"/>
      <c r="J902" s="13"/>
      <c r="BF902" s="1"/>
      <c r="BG902" s="1"/>
      <c r="BH902" s="1"/>
      <c r="BI902" s="1"/>
      <c r="BK902" s="1"/>
      <c r="BL902" s="1"/>
      <c r="BM902" s="1"/>
      <c r="BN902" s="1"/>
      <c r="BO902" s="1"/>
      <c r="BP902" s="1"/>
      <c r="BQ902" s="1"/>
      <c r="BR902" s="1"/>
      <c r="BX902" s="1"/>
      <c r="CD902" s="1"/>
      <c r="CE902" s="1"/>
      <c r="CF902" s="1"/>
      <c r="CG902" s="1"/>
      <c r="CH902" s="1"/>
      <c r="CI902" s="1"/>
      <c r="CK902" s="1"/>
      <c r="CM902" s="2"/>
      <c r="CN902" s="1"/>
      <c r="CO902" s="1"/>
      <c r="CP902" s="1"/>
      <c r="CQ902" s="1"/>
      <c r="CS902" s="1"/>
      <c r="CT902" s="1"/>
      <c r="CU902" s="1"/>
      <c r="CV902" s="1"/>
      <c r="CW902" s="1"/>
      <c r="CX902" s="1"/>
      <c r="CY902" s="1"/>
      <c r="CZ902" s="1"/>
      <c r="DA902" s="1"/>
      <c r="DB902" s="1"/>
      <c r="DC902" s="1"/>
      <c r="DD902" s="1"/>
      <c r="DE902" s="1"/>
      <c r="DF902" s="1"/>
      <c r="DG902" s="1"/>
      <c r="DH902" s="1"/>
      <c r="DI902" s="1"/>
      <c r="DJ902" s="1"/>
      <c r="DK902" s="1"/>
      <c r="DM902" s="1"/>
      <c r="DQ902" s="1"/>
      <c r="DR902" s="1"/>
      <c r="DY902" s="1"/>
      <c r="DZ902" s="1"/>
      <c r="ED902" s="1"/>
      <c r="EF902" s="1"/>
      <c r="EK902" s="1"/>
      <c r="EL902" s="1"/>
      <c r="EM902" s="1"/>
      <c r="EN902" s="1"/>
      <c r="EQ902" s="1"/>
      <c r="ER902" s="1"/>
      <c r="ES902" s="1"/>
      <c r="EV902" s="1"/>
      <c r="EW902" s="1"/>
      <c r="EZ902" s="1"/>
      <c r="FA902" s="1"/>
      <c r="FD902" s="1"/>
      <c r="FH902" s="1"/>
      <c r="FI902" s="1"/>
      <c r="FJ902" s="1"/>
      <c r="FM902" s="1"/>
      <c r="FN902" s="1"/>
      <c r="FO902" s="1"/>
      <c r="FP902" s="1"/>
      <c r="FS902" s="1"/>
      <c r="FU902" s="1"/>
      <c r="FV902" s="1"/>
      <c r="FW902" s="1"/>
      <c r="FX902" s="1"/>
      <c r="FY902" s="1"/>
      <c r="FZ902" s="1"/>
      <c r="GA902" s="1"/>
      <c r="GD902" s="1"/>
      <c r="GE902" s="1"/>
      <c r="GF902" s="1"/>
      <c r="GG902" s="1"/>
      <c r="GH902" s="1"/>
      <c r="GI902" s="1"/>
      <c r="GJ902" s="1"/>
      <c r="GK902" s="1"/>
      <c r="GL902" s="1"/>
      <c r="GM902" s="1"/>
      <c r="GN902" s="1"/>
      <c r="GO902" s="1"/>
      <c r="GP902" s="1"/>
      <c r="GR902" s="1"/>
      <c r="GW902" s="1"/>
      <c r="GY902" s="1"/>
      <c r="HH902" s="1"/>
      <c r="HR902" s="1"/>
      <c r="HS902" s="1"/>
      <c r="HT902" s="1"/>
      <c r="HY902" s="1"/>
      <c r="ID902" s="1"/>
      <c r="IE902" s="1"/>
      <c r="IK902" s="1"/>
      <c r="IR902" s="1"/>
      <c r="IS902" s="1"/>
      <c r="IW902" s="1"/>
      <c r="IY902" s="1"/>
      <c r="IZ902" s="1"/>
      <c r="JA902" s="1"/>
      <c r="JC902" s="1"/>
      <c r="JF902" s="1"/>
      <c r="JG902" s="1"/>
      <c r="JH902" s="1"/>
      <c r="JJ902" s="1"/>
      <c r="JN902" s="1"/>
      <c r="JP902" s="1"/>
      <c r="JQ902" s="1"/>
      <c r="JT902" s="1"/>
      <c r="KV902" s="1"/>
      <c r="KY902" s="1"/>
      <c r="KZ902" s="1"/>
      <c r="LA902" s="1"/>
      <c r="LB902" s="1"/>
      <c r="LC902" s="1"/>
      <c r="LD902" s="1"/>
      <c r="LN902" s="1"/>
      <c r="LO902" s="1"/>
      <c r="LP902" s="1"/>
      <c r="LZ902" s="1"/>
      <c r="MA902" s="1"/>
    </row>
    <row r="903" spans="4:339" ht="13" x14ac:dyDescent="0.15">
      <c r="D903" s="12"/>
      <c r="E903" s="12"/>
      <c r="I903" s="12"/>
      <c r="J903" s="13"/>
      <c r="BF903" s="1"/>
      <c r="BG903" s="1"/>
      <c r="BH903" s="1"/>
      <c r="BI903" s="1"/>
      <c r="BK903" s="1"/>
      <c r="BL903" s="1"/>
      <c r="BM903" s="1"/>
      <c r="BN903" s="1"/>
      <c r="BO903" s="1"/>
      <c r="BP903" s="1"/>
      <c r="BQ903" s="1"/>
      <c r="BR903" s="1"/>
      <c r="BX903" s="1"/>
      <c r="CD903" s="1"/>
      <c r="CE903" s="1"/>
      <c r="CF903" s="1"/>
      <c r="CG903" s="1"/>
      <c r="CH903" s="1"/>
      <c r="CI903" s="1"/>
      <c r="CK903" s="1"/>
      <c r="CM903" s="2"/>
      <c r="CN903" s="1"/>
      <c r="CO903" s="1"/>
      <c r="CP903" s="1"/>
      <c r="CQ903" s="1"/>
      <c r="CS903" s="1"/>
      <c r="CT903" s="1"/>
      <c r="CU903" s="1"/>
      <c r="CV903" s="1"/>
      <c r="CW903" s="1"/>
      <c r="CX903" s="1"/>
      <c r="CY903" s="1"/>
      <c r="CZ903" s="1"/>
      <c r="DA903" s="1"/>
      <c r="DB903" s="1"/>
      <c r="DC903" s="1"/>
      <c r="DD903" s="1"/>
      <c r="DE903" s="1"/>
      <c r="DF903" s="1"/>
      <c r="DG903" s="1"/>
      <c r="DH903" s="1"/>
      <c r="DI903" s="1"/>
      <c r="DJ903" s="1"/>
      <c r="DK903" s="1"/>
      <c r="DM903" s="1"/>
      <c r="DQ903" s="1"/>
      <c r="DR903" s="1"/>
      <c r="DY903" s="1"/>
      <c r="DZ903" s="1"/>
      <c r="ED903" s="1"/>
      <c r="EF903" s="1"/>
      <c r="EK903" s="1"/>
      <c r="EL903" s="1"/>
      <c r="EM903" s="1"/>
      <c r="EN903" s="1"/>
      <c r="EQ903" s="1"/>
      <c r="ER903" s="1"/>
      <c r="ES903" s="1"/>
      <c r="EV903" s="1"/>
      <c r="EW903" s="1"/>
      <c r="EZ903" s="1"/>
      <c r="FA903" s="1"/>
      <c r="FD903" s="1"/>
      <c r="FH903" s="1"/>
      <c r="FI903" s="1"/>
      <c r="FJ903" s="1"/>
      <c r="FM903" s="1"/>
      <c r="FN903" s="1"/>
      <c r="FO903" s="1"/>
      <c r="FP903" s="1"/>
      <c r="FS903" s="1"/>
      <c r="FU903" s="1"/>
      <c r="FV903" s="1"/>
      <c r="FW903" s="1"/>
      <c r="FX903" s="1"/>
      <c r="FY903" s="1"/>
      <c r="FZ903" s="1"/>
      <c r="GA903" s="1"/>
      <c r="GD903" s="1"/>
      <c r="GE903" s="1"/>
      <c r="GF903" s="1"/>
      <c r="GG903" s="1"/>
      <c r="GH903" s="1"/>
      <c r="GI903" s="1"/>
      <c r="GJ903" s="1"/>
      <c r="GK903" s="1"/>
      <c r="GL903" s="1"/>
      <c r="GM903" s="1"/>
      <c r="GN903" s="1"/>
      <c r="GO903" s="1"/>
      <c r="GP903" s="1"/>
      <c r="GR903" s="1"/>
      <c r="GW903" s="1"/>
      <c r="GY903" s="1"/>
      <c r="HH903" s="1"/>
      <c r="HR903" s="1"/>
      <c r="HS903" s="1"/>
      <c r="HT903" s="1"/>
      <c r="HY903" s="1"/>
      <c r="ID903" s="1"/>
      <c r="IE903" s="1"/>
      <c r="IK903" s="1"/>
      <c r="IR903" s="1"/>
      <c r="IS903" s="1"/>
      <c r="IW903" s="1"/>
      <c r="IY903" s="1"/>
      <c r="IZ903" s="1"/>
      <c r="JA903" s="1"/>
      <c r="JC903" s="1"/>
      <c r="JF903" s="1"/>
      <c r="JG903" s="1"/>
      <c r="JH903" s="1"/>
      <c r="JJ903" s="1"/>
      <c r="JN903" s="1"/>
      <c r="JP903" s="1"/>
      <c r="JQ903" s="1"/>
      <c r="JT903" s="1"/>
      <c r="KV903" s="1"/>
      <c r="KY903" s="1"/>
      <c r="KZ903" s="1"/>
      <c r="LA903" s="1"/>
      <c r="LB903" s="1"/>
      <c r="LC903" s="1"/>
      <c r="LD903" s="1"/>
      <c r="LN903" s="1"/>
      <c r="LO903" s="1"/>
      <c r="LP903" s="1"/>
      <c r="LZ903" s="1"/>
      <c r="MA903" s="1"/>
    </row>
    <row r="904" spans="4:339" ht="13" x14ac:dyDescent="0.15">
      <c r="D904" s="12"/>
      <c r="E904" s="12"/>
      <c r="I904" s="12"/>
      <c r="J904" s="13"/>
      <c r="BF904" s="1"/>
      <c r="BG904" s="1"/>
      <c r="BH904" s="1"/>
      <c r="BI904" s="1"/>
      <c r="BK904" s="1"/>
      <c r="BL904" s="1"/>
      <c r="BM904" s="1"/>
      <c r="BN904" s="1"/>
      <c r="BO904" s="1"/>
      <c r="BP904" s="1"/>
      <c r="BQ904" s="1"/>
      <c r="BR904" s="1"/>
      <c r="BX904" s="1"/>
      <c r="CD904" s="1"/>
      <c r="CE904" s="1"/>
      <c r="CF904" s="1"/>
      <c r="CG904" s="1"/>
      <c r="CH904" s="1"/>
      <c r="CI904" s="1"/>
      <c r="CK904" s="1"/>
      <c r="CM904" s="2"/>
      <c r="CN904" s="1"/>
      <c r="CO904" s="1"/>
      <c r="CP904" s="1"/>
      <c r="CQ904" s="1"/>
      <c r="CS904" s="1"/>
      <c r="CT904" s="1"/>
      <c r="CU904" s="1"/>
      <c r="CV904" s="1"/>
      <c r="CW904" s="1"/>
      <c r="CX904" s="1"/>
      <c r="CY904" s="1"/>
      <c r="CZ904" s="1"/>
      <c r="DA904" s="1"/>
      <c r="DB904" s="1"/>
      <c r="DC904" s="1"/>
      <c r="DD904" s="1"/>
      <c r="DE904" s="1"/>
      <c r="DF904" s="1"/>
      <c r="DG904" s="1"/>
      <c r="DH904" s="1"/>
      <c r="DI904" s="1"/>
      <c r="DJ904" s="1"/>
      <c r="DK904" s="1"/>
      <c r="DM904" s="1"/>
      <c r="DQ904" s="1"/>
      <c r="DR904" s="1"/>
      <c r="DY904" s="1"/>
      <c r="DZ904" s="1"/>
      <c r="ED904" s="1"/>
      <c r="EF904" s="1"/>
      <c r="EK904" s="1"/>
      <c r="EL904" s="1"/>
      <c r="EM904" s="1"/>
      <c r="EN904" s="1"/>
      <c r="EQ904" s="1"/>
      <c r="ER904" s="1"/>
      <c r="ES904" s="1"/>
      <c r="EV904" s="1"/>
      <c r="EW904" s="1"/>
      <c r="EZ904" s="1"/>
      <c r="FA904" s="1"/>
      <c r="FD904" s="1"/>
      <c r="FH904" s="1"/>
      <c r="FI904" s="1"/>
      <c r="FJ904" s="1"/>
      <c r="FM904" s="1"/>
      <c r="FN904" s="1"/>
      <c r="FO904" s="1"/>
      <c r="FP904" s="1"/>
      <c r="FS904" s="1"/>
      <c r="FU904" s="1"/>
      <c r="FV904" s="1"/>
      <c r="FW904" s="1"/>
      <c r="FX904" s="1"/>
      <c r="FY904" s="1"/>
      <c r="FZ904" s="1"/>
      <c r="GA904" s="1"/>
      <c r="GD904" s="1"/>
      <c r="GE904" s="1"/>
      <c r="GF904" s="1"/>
      <c r="GG904" s="1"/>
      <c r="GH904" s="1"/>
      <c r="GI904" s="1"/>
      <c r="GJ904" s="1"/>
      <c r="GK904" s="1"/>
      <c r="GL904" s="1"/>
      <c r="GM904" s="1"/>
      <c r="GN904" s="1"/>
      <c r="GO904" s="1"/>
      <c r="GP904" s="1"/>
      <c r="GR904" s="1"/>
      <c r="GW904" s="1"/>
      <c r="GY904" s="1"/>
      <c r="HH904" s="1"/>
      <c r="HR904" s="1"/>
      <c r="HS904" s="1"/>
      <c r="HT904" s="1"/>
      <c r="HY904" s="1"/>
      <c r="ID904" s="1"/>
      <c r="IE904" s="1"/>
      <c r="IK904" s="1"/>
      <c r="IR904" s="1"/>
      <c r="IS904" s="1"/>
      <c r="IW904" s="1"/>
      <c r="IY904" s="1"/>
      <c r="IZ904" s="1"/>
      <c r="JA904" s="1"/>
      <c r="JC904" s="1"/>
      <c r="JF904" s="1"/>
      <c r="JG904" s="1"/>
      <c r="JH904" s="1"/>
      <c r="JJ904" s="1"/>
      <c r="JN904" s="1"/>
      <c r="JP904" s="1"/>
      <c r="JQ904" s="1"/>
      <c r="JT904" s="1"/>
      <c r="KV904" s="1"/>
      <c r="KY904" s="1"/>
      <c r="KZ904" s="1"/>
      <c r="LA904" s="1"/>
      <c r="LB904" s="1"/>
      <c r="LC904" s="1"/>
      <c r="LD904" s="1"/>
      <c r="LN904" s="1"/>
      <c r="LO904" s="1"/>
      <c r="LP904" s="1"/>
      <c r="LZ904" s="1"/>
      <c r="MA904" s="1"/>
    </row>
    <row r="905" spans="4:339" ht="13" x14ac:dyDescent="0.15">
      <c r="D905" s="12"/>
      <c r="E905" s="12"/>
      <c r="I905" s="12"/>
      <c r="J905" s="13"/>
      <c r="BF905" s="1"/>
      <c r="BG905" s="1"/>
      <c r="BH905" s="1"/>
      <c r="BI905" s="1"/>
      <c r="BK905" s="1"/>
      <c r="BL905" s="1"/>
      <c r="BM905" s="1"/>
      <c r="BN905" s="1"/>
      <c r="BO905" s="1"/>
      <c r="BP905" s="1"/>
      <c r="BQ905" s="1"/>
      <c r="BR905" s="1"/>
      <c r="BX905" s="1"/>
      <c r="CD905" s="1"/>
      <c r="CE905" s="1"/>
      <c r="CF905" s="1"/>
      <c r="CG905" s="1"/>
      <c r="CH905" s="1"/>
      <c r="CI905" s="1"/>
      <c r="CK905" s="1"/>
      <c r="CM905" s="2"/>
      <c r="CN905" s="1"/>
      <c r="CO905" s="1"/>
      <c r="CP905" s="1"/>
      <c r="CQ905" s="1"/>
      <c r="CS905" s="1"/>
      <c r="CT905" s="1"/>
      <c r="CU905" s="1"/>
      <c r="CV905" s="1"/>
      <c r="CW905" s="1"/>
      <c r="CX905" s="1"/>
      <c r="CY905" s="1"/>
      <c r="CZ905" s="1"/>
      <c r="DA905" s="1"/>
      <c r="DB905" s="1"/>
      <c r="DC905" s="1"/>
      <c r="DD905" s="1"/>
      <c r="DE905" s="1"/>
      <c r="DF905" s="1"/>
      <c r="DG905" s="1"/>
      <c r="DH905" s="1"/>
      <c r="DI905" s="1"/>
      <c r="DJ905" s="1"/>
      <c r="DK905" s="1"/>
      <c r="DM905" s="1"/>
      <c r="DQ905" s="1"/>
      <c r="DR905" s="1"/>
      <c r="DY905" s="1"/>
      <c r="DZ905" s="1"/>
      <c r="ED905" s="1"/>
      <c r="EF905" s="1"/>
      <c r="EK905" s="1"/>
      <c r="EL905" s="1"/>
      <c r="EM905" s="1"/>
      <c r="EN905" s="1"/>
      <c r="EQ905" s="1"/>
      <c r="ER905" s="1"/>
      <c r="ES905" s="1"/>
      <c r="EV905" s="1"/>
      <c r="EW905" s="1"/>
      <c r="EZ905" s="1"/>
      <c r="FA905" s="1"/>
      <c r="FD905" s="1"/>
      <c r="FH905" s="1"/>
      <c r="FI905" s="1"/>
      <c r="FJ905" s="1"/>
      <c r="FM905" s="1"/>
      <c r="FN905" s="1"/>
      <c r="FO905" s="1"/>
      <c r="FP905" s="1"/>
      <c r="FS905" s="1"/>
      <c r="FU905" s="1"/>
      <c r="FV905" s="1"/>
      <c r="FW905" s="1"/>
      <c r="FX905" s="1"/>
      <c r="FY905" s="1"/>
      <c r="FZ905" s="1"/>
      <c r="GA905" s="1"/>
      <c r="GD905" s="1"/>
      <c r="GE905" s="1"/>
      <c r="GF905" s="1"/>
      <c r="GG905" s="1"/>
      <c r="GH905" s="1"/>
      <c r="GI905" s="1"/>
      <c r="GJ905" s="1"/>
      <c r="GK905" s="1"/>
      <c r="GL905" s="1"/>
      <c r="GM905" s="1"/>
      <c r="GN905" s="1"/>
      <c r="GO905" s="1"/>
      <c r="GP905" s="1"/>
      <c r="GR905" s="1"/>
      <c r="GW905" s="1"/>
      <c r="GY905" s="1"/>
      <c r="HH905" s="1"/>
      <c r="HR905" s="1"/>
      <c r="HS905" s="1"/>
      <c r="HT905" s="1"/>
      <c r="HY905" s="1"/>
      <c r="ID905" s="1"/>
      <c r="IE905" s="1"/>
      <c r="IK905" s="1"/>
      <c r="IR905" s="1"/>
      <c r="IS905" s="1"/>
      <c r="IW905" s="1"/>
      <c r="IY905" s="1"/>
      <c r="IZ905" s="1"/>
      <c r="JA905" s="1"/>
      <c r="JC905" s="1"/>
      <c r="JF905" s="1"/>
      <c r="JG905" s="1"/>
      <c r="JH905" s="1"/>
      <c r="JJ905" s="1"/>
      <c r="JN905" s="1"/>
      <c r="JP905" s="1"/>
      <c r="JQ905" s="1"/>
      <c r="JT905" s="1"/>
      <c r="KV905" s="1"/>
      <c r="KY905" s="1"/>
      <c r="KZ905" s="1"/>
      <c r="LA905" s="1"/>
      <c r="LB905" s="1"/>
      <c r="LC905" s="1"/>
      <c r="LD905" s="1"/>
      <c r="LN905" s="1"/>
      <c r="LO905" s="1"/>
      <c r="LP905" s="1"/>
      <c r="LZ905" s="1"/>
      <c r="MA905" s="1"/>
    </row>
    <row r="906" spans="4:339" ht="13" x14ac:dyDescent="0.15">
      <c r="D906" s="12"/>
      <c r="E906" s="12"/>
      <c r="I906" s="12"/>
      <c r="J906" s="13"/>
      <c r="BF906" s="1"/>
      <c r="BG906" s="1"/>
      <c r="BH906" s="1"/>
      <c r="BI906" s="1"/>
      <c r="BK906" s="1"/>
      <c r="BL906" s="1"/>
      <c r="BM906" s="1"/>
      <c r="BN906" s="1"/>
      <c r="BO906" s="1"/>
      <c r="BP906" s="1"/>
      <c r="BQ906" s="1"/>
      <c r="BR906" s="1"/>
      <c r="BX906" s="1"/>
      <c r="CD906" s="1"/>
      <c r="CE906" s="1"/>
      <c r="CF906" s="1"/>
      <c r="CG906" s="1"/>
      <c r="CH906" s="1"/>
      <c r="CI906" s="1"/>
      <c r="CK906" s="1"/>
      <c r="CM906" s="2"/>
      <c r="CN906" s="1"/>
      <c r="CO906" s="1"/>
      <c r="CP906" s="1"/>
      <c r="CQ906" s="1"/>
      <c r="CS906" s="1"/>
      <c r="CT906" s="1"/>
      <c r="CU906" s="1"/>
      <c r="CV906" s="1"/>
      <c r="CW906" s="1"/>
      <c r="CX906" s="1"/>
      <c r="CY906" s="1"/>
      <c r="CZ906" s="1"/>
      <c r="DA906" s="1"/>
      <c r="DB906" s="1"/>
      <c r="DC906" s="1"/>
      <c r="DD906" s="1"/>
      <c r="DE906" s="1"/>
      <c r="DF906" s="1"/>
      <c r="DG906" s="1"/>
      <c r="DH906" s="1"/>
      <c r="DI906" s="1"/>
      <c r="DJ906" s="1"/>
      <c r="DK906" s="1"/>
      <c r="DM906" s="1"/>
      <c r="DQ906" s="1"/>
      <c r="DR906" s="1"/>
      <c r="DY906" s="1"/>
      <c r="DZ906" s="1"/>
      <c r="ED906" s="1"/>
      <c r="EF906" s="1"/>
      <c r="EK906" s="1"/>
      <c r="EL906" s="1"/>
      <c r="EM906" s="1"/>
      <c r="EN906" s="1"/>
      <c r="EQ906" s="1"/>
      <c r="ER906" s="1"/>
      <c r="ES906" s="1"/>
      <c r="EV906" s="1"/>
      <c r="EW906" s="1"/>
      <c r="EZ906" s="1"/>
      <c r="FA906" s="1"/>
      <c r="FD906" s="1"/>
      <c r="FH906" s="1"/>
      <c r="FI906" s="1"/>
      <c r="FJ906" s="1"/>
      <c r="FM906" s="1"/>
      <c r="FN906" s="1"/>
      <c r="FO906" s="1"/>
      <c r="FP906" s="1"/>
      <c r="FS906" s="1"/>
      <c r="FU906" s="1"/>
      <c r="FV906" s="1"/>
      <c r="FW906" s="1"/>
      <c r="FX906" s="1"/>
      <c r="FY906" s="1"/>
      <c r="FZ906" s="1"/>
      <c r="GA906" s="1"/>
      <c r="GD906" s="1"/>
      <c r="GE906" s="1"/>
      <c r="GF906" s="1"/>
      <c r="GG906" s="1"/>
      <c r="GH906" s="1"/>
      <c r="GI906" s="1"/>
      <c r="GJ906" s="1"/>
      <c r="GK906" s="1"/>
      <c r="GL906" s="1"/>
      <c r="GM906" s="1"/>
      <c r="GN906" s="1"/>
      <c r="GO906" s="1"/>
      <c r="GP906" s="1"/>
      <c r="GR906" s="1"/>
      <c r="GW906" s="1"/>
      <c r="GY906" s="1"/>
      <c r="HH906" s="1"/>
      <c r="HR906" s="1"/>
      <c r="HS906" s="1"/>
      <c r="HT906" s="1"/>
      <c r="HY906" s="1"/>
      <c r="ID906" s="1"/>
      <c r="IE906" s="1"/>
      <c r="IK906" s="1"/>
      <c r="IR906" s="1"/>
      <c r="IS906" s="1"/>
      <c r="IW906" s="1"/>
      <c r="IY906" s="1"/>
      <c r="IZ906" s="1"/>
      <c r="JA906" s="1"/>
      <c r="JC906" s="1"/>
      <c r="JF906" s="1"/>
      <c r="JG906" s="1"/>
      <c r="JH906" s="1"/>
      <c r="JJ906" s="1"/>
      <c r="JN906" s="1"/>
      <c r="JP906" s="1"/>
      <c r="JQ906" s="1"/>
      <c r="JT906" s="1"/>
      <c r="KV906" s="1"/>
      <c r="KY906" s="1"/>
      <c r="KZ906" s="1"/>
      <c r="LA906" s="1"/>
      <c r="LB906" s="1"/>
      <c r="LC906" s="1"/>
      <c r="LD906" s="1"/>
      <c r="LN906" s="1"/>
      <c r="LO906" s="1"/>
      <c r="LP906" s="1"/>
      <c r="LZ906" s="1"/>
      <c r="MA906" s="1"/>
    </row>
    <row r="907" spans="4:339" ht="13" x14ac:dyDescent="0.15">
      <c r="D907" s="12"/>
      <c r="E907" s="12"/>
      <c r="I907" s="12"/>
      <c r="J907" s="13"/>
      <c r="BF907" s="1"/>
      <c r="BG907" s="1"/>
      <c r="BH907" s="1"/>
      <c r="BI907" s="1"/>
      <c r="BK907" s="1"/>
      <c r="BL907" s="1"/>
      <c r="BM907" s="1"/>
      <c r="BN907" s="1"/>
      <c r="BO907" s="1"/>
      <c r="BP907" s="1"/>
      <c r="BQ907" s="1"/>
      <c r="BR907" s="1"/>
      <c r="BX907" s="1"/>
      <c r="CD907" s="1"/>
      <c r="CE907" s="1"/>
      <c r="CF907" s="1"/>
      <c r="CG907" s="1"/>
      <c r="CH907" s="1"/>
      <c r="CI907" s="1"/>
      <c r="CK907" s="1"/>
      <c r="CM907" s="2"/>
      <c r="CN907" s="1"/>
      <c r="CO907" s="1"/>
      <c r="CP907" s="1"/>
      <c r="CQ907" s="1"/>
      <c r="CS907" s="1"/>
      <c r="CT907" s="1"/>
      <c r="CU907" s="1"/>
      <c r="CV907" s="1"/>
      <c r="CW907" s="1"/>
      <c r="CX907" s="1"/>
      <c r="CY907" s="1"/>
      <c r="CZ907" s="1"/>
      <c r="DA907" s="1"/>
      <c r="DB907" s="1"/>
      <c r="DC907" s="1"/>
      <c r="DD907" s="1"/>
      <c r="DE907" s="1"/>
      <c r="DF907" s="1"/>
      <c r="DG907" s="1"/>
      <c r="DH907" s="1"/>
      <c r="DI907" s="1"/>
      <c r="DJ907" s="1"/>
      <c r="DK907" s="1"/>
      <c r="DM907" s="1"/>
      <c r="DQ907" s="1"/>
      <c r="DR907" s="1"/>
      <c r="DY907" s="1"/>
      <c r="DZ907" s="1"/>
      <c r="ED907" s="1"/>
      <c r="EF907" s="1"/>
      <c r="EK907" s="1"/>
      <c r="EL907" s="1"/>
      <c r="EM907" s="1"/>
      <c r="EN907" s="1"/>
      <c r="EQ907" s="1"/>
      <c r="ER907" s="1"/>
      <c r="ES907" s="1"/>
      <c r="EV907" s="1"/>
      <c r="EW907" s="1"/>
      <c r="EZ907" s="1"/>
      <c r="FA907" s="1"/>
      <c r="FD907" s="1"/>
      <c r="FH907" s="1"/>
      <c r="FI907" s="1"/>
      <c r="FJ907" s="1"/>
      <c r="FM907" s="1"/>
      <c r="FN907" s="1"/>
      <c r="FO907" s="1"/>
      <c r="FP907" s="1"/>
      <c r="FS907" s="1"/>
      <c r="FU907" s="1"/>
      <c r="FV907" s="1"/>
      <c r="FW907" s="1"/>
      <c r="FX907" s="1"/>
      <c r="FY907" s="1"/>
      <c r="FZ907" s="1"/>
      <c r="GA907" s="1"/>
      <c r="GD907" s="1"/>
      <c r="GE907" s="1"/>
      <c r="GF907" s="1"/>
      <c r="GG907" s="1"/>
      <c r="GH907" s="1"/>
      <c r="GI907" s="1"/>
      <c r="GJ907" s="1"/>
      <c r="GK907" s="1"/>
      <c r="GL907" s="1"/>
      <c r="GM907" s="1"/>
      <c r="GN907" s="1"/>
      <c r="GO907" s="1"/>
      <c r="GP907" s="1"/>
      <c r="GR907" s="1"/>
      <c r="GW907" s="1"/>
      <c r="GY907" s="1"/>
      <c r="HH907" s="1"/>
      <c r="HR907" s="1"/>
      <c r="HS907" s="1"/>
      <c r="HT907" s="1"/>
      <c r="HY907" s="1"/>
      <c r="ID907" s="1"/>
      <c r="IE907" s="1"/>
      <c r="IK907" s="1"/>
      <c r="IR907" s="1"/>
      <c r="IS907" s="1"/>
      <c r="IW907" s="1"/>
      <c r="IY907" s="1"/>
      <c r="IZ907" s="1"/>
      <c r="JA907" s="1"/>
      <c r="JC907" s="1"/>
      <c r="JF907" s="1"/>
      <c r="JG907" s="1"/>
      <c r="JH907" s="1"/>
      <c r="JJ907" s="1"/>
      <c r="JN907" s="1"/>
      <c r="JP907" s="1"/>
      <c r="JQ907" s="1"/>
      <c r="JT907" s="1"/>
      <c r="KV907" s="1"/>
      <c r="KY907" s="1"/>
      <c r="KZ907" s="1"/>
      <c r="LA907" s="1"/>
      <c r="LB907" s="1"/>
      <c r="LC907" s="1"/>
      <c r="LD907" s="1"/>
      <c r="LN907" s="1"/>
      <c r="LO907" s="1"/>
      <c r="LP907" s="1"/>
      <c r="LZ907" s="1"/>
      <c r="MA907" s="1"/>
    </row>
    <row r="908" spans="4:339" ht="13" x14ac:dyDescent="0.15">
      <c r="D908" s="12"/>
      <c r="E908" s="12"/>
      <c r="I908" s="12"/>
      <c r="J908" s="13"/>
      <c r="BF908" s="1"/>
      <c r="BG908" s="1"/>
      <c r="BH908" s="1"/>
      <c r="BI908" s="1"/>
      <c r="BK908" s="1"/>
      <c r="BL908" s="1"/>
      <c r="BM908" s="1"/>
      <c r="BN908" s="1"/>
      <c r="BO908" s="1"/>
      <c r="BP908" s="1"/>
      <c r="BQ908" s="1"/>
      <c r="BR908" s="1"/>
      <c r="BX908" s="1"/>
      <c r="CD908" s="1"/>
      <c r="CE908" s="1"/>
      <c r="CF908" s="1"/>
      <c r="CG908" s="1"/>
      <c r="CH908" s="1"/>
      <c r="CI908" s="1"/>
      <c r="CK908" s="1"/>
      <c r="CM908" s="2"/>
      <c r="CN908" s="1"/>
      <c r="CO908" s="1"/>
      <c r="CP908" s="1"/>
      <c r="CQ908" s="1"/>
      <c r="CS908" s="1"/>
      <c r="CT908" s="1"/>
      <c r="CU908" s="1"/>
      <c r="CV908" s="1"/>
      <c r="CW908" s="1"/>
      <c r="CX908" s="1"/>
      <c r="CY908" s="1"/>
      <c r="CZ908" s="1"/>
      <c r="DA908" s="1"/>
      <c r="DB908" s="1"/>
      <c r="DC908" s="1"/>
      <c r="DD908" s="1"/>
      <c r="DE908" s="1"/>
      <c r="DF908" s="1"/>
      <c r="DG908" s="1"/>
      <c r="DH908" s="1"/>
      <c r="DI908" s="1"/>
      <c r="DJ908" s="1"/>
      <c r="DK908" s="1"/>
      <c r="DM908" s="1"/>
      <c r="DQ908" s="1"/>
      <c r="DR908" s="1"/>
      <c r="DY908" s="1"/>
      <c r="DZ908" s="1"/>
      <c r="ED908" s="1"/>
      <c r="EF908" s="1"/>
      <c r="EK908" s="1"/>
      <c r="EL908" s="1"/>
      <c r="EM908" s="1"/>
      <c r="EN908" s="1"/>
      <c r="EQ908" s="1"/>
      <c r="ER908" s="1"/>
      <c r="ES908" s="1"/>
      <c r="EV908" s="1"/>
      <c r="EW908" s="1"/>
      <c r="EZ908" s="1"/>
      <c r="FA908" s="1"/>
      <c r="FD908" s="1"/>
      <c r="FH908" s="1"/>
      <c r="FI908" s="1"/>
      <c r="FJ908" s="1"/>
      <c r="FM908" s="1"/>
      <c r="FN908" s="1"/>
      <c r="FO908" s="1"/>
      <c r="FP908" s="1"/>
      <c r="FS908" s="1"/>
      <c r="FU908" s="1"/>
      <c r="FV908" s="1"/>
      <c r="FW908" s="1"/>
      <c r="FX908" s="1"/>
      <c r="FY908" s="1"/>
      <c r="FZ908" s="1"/>
      <c r="GA908" s="1"/>
      <c r="GD908" s="1"/>
      <c r="GE908" s="1"/>
      <c r="GF908" s="1"/>
      <c r="GG908" s="1"/>
      <c r="GH908" s="1"/>
      <c r="GI908" s="1"/>
      <c r="GJ908" s="1"/>
      <c r="GK908" s="1"/>
      <c r="GL908" s="1"/>
      <c r="GM908" s="1"/>
      <c r="GN908" s="1"/>
      <c r="GO908" s="1"/>
      <c r="GP908" s="1"/>
      <c r="GR908" s="1"/>
      <c r="GW908" s="1"/>
      <c r="GY908" s="1"/>
      <c r="HH908" s="1"/>
      <c r="HR908" s="1"/>
      <c r="HS908" s="1"/>
      <c r="HT908" s="1"/>
      <c r="HY908" s="1"/>
      <c r="ID908" s="1"/>
      <c r="IE908" s="1"/>
      <c r="IK908" s="1"/>
      <c r="IR908" s="1"/>
      <c r="IS908" s="1"/>
      <c r="IW908" s="1"/>
      <c r="IY908" s="1"/>
      <c r="IZ908" s="1"/>
      <c r="JA908" s="1"/>
      <c r="JC908" s="1"/>
      <c r="JF908" s="1"/>
      <c r="JG908" s="1"/>
      <c r="JH908" s="1"/>
      <c r="JJ908" s="1"/>
      <c r="JN908" s="1"/>
      <c r="JP908" s="1"/>
      <c r="JQ908" s="1"/>
      <c r="JT908" s="1"/>
      <c r="KV908" s="1"/>
      <c r="KY908" s="1"/>
      <c r="KZ908" s="1"/>
      <c r="LA908" s="1"/>
      <c r="LB908" s="1"/>
      <c r="LC908" s="1"/>
      <c r="LD908" s="1"/>
      <c r="LN908" s="1"/>
      <c r="LO908" s="1"/>
      <c r="LP908" s="1"/>
      <c r="LZ908" s="1"/>
      <c r="MA908" s="1"/>
    </row>
    <row r="909" spans="4:339" ht="13" x14ac:dyDescent="0.15">
      <c r="D909" s="12"/>
      <c r="E909" s="12"/>
      <c r="I909" s="12"/>
      <c r="J909" s="13"/>
      <c r="BF909" s="1"/>
      <c r="BG909" s="1"/>
      <c r="BH909" s="1"/>
      <c r="BI909" s="1"/>
      <c r="BJ909" s="1"/>
      <c r="BK909" s="1"/>
      <c r="BL909" s="1"/>
      <c r="BM909" s="1"/>
      <c r="BN909" s="1"/>
      <c r="BO909" s="1"/>
      <c r="BP909" s="1"/>
      <c r="BQ909" s="1"/>
      <c r="BR909" s="1"/>
      <c r="BX909" s="1"/>
      <c r="CC909" s="1"/>
      <c r="CD909" s="1"/>
      <c r="CE909" s="1"/>
      <c r="CF909" s="1"/>
      <c r="CG909" s="1"/>
      <c r="CH909" s="1"/>
      <c r="CI909" s="1"/>
      <c r="CJ909" s="1"/>
      <c r="CK909" s="1"/>
      <c r="CM909" s="2"/>
      <c r="CN909" s="1"/>
      <c r="CO909" s="1"/>
      <c r="CP909" s="1"/>
      <c r="CQ909" s="1"/>
      <c r="CR909" s="1"/>
      <c r="CS909" s="1"/>
      <c r="CT909" s="1"/>
      <c r="CU909" s="1"/>
      <c r="CV909" s="1"/>
      <c r="CW909" s="1"/>
      <c r="CX909" s="1"/>
      <c r="CY909" s="1"/>
      <c r="CZ909" s="1"/>
      <c r="DA909" s="1"/>
      <c r="DB909" s="1"/>
      <c r="DC909" s="1"/>
      <c r="DD909" s="1"/>
      <c r="DE909" s="1"/>
      <c r="DF909" s="1"/>
      <c r="DG909" s="1"/>
      <c r="DH909" s="1"/>
      <c r="DI909" s="1"/>
      <c r="DJ909" s="1"/>
      <c r="DK909" s="1"/>
      <c r="DM909" s="1"/>
      <c r="DQ909" s="1"/>
      <c r="DR909" s="1"/>
      <c r="DY909" s="1"/>
      <c r="DZ909" s="1"/>
      <c r="ED909" s="1"/>
      <c r="EE909" s="1"/>
      <c r="EF909" s="1"/>
      <c r="EG909" s="1"/>
      <c r="EH909" s="1"/>
      <c r="EK909" s="1"/>
      <c r="EL909" s="1"/>
      <c r="EM909" s="1"/>
      <c r="EN909" s="1"/>
      <c r="EQ909" s="1"/>
      <c r="ER909" s="1"/>
      <c r="ES909" s="1"/>
      <c r="EV909" s="1"/>
      <c r="EW909" s="1"/>
      <c r="EY909" s="1"/>
      <c r="EZ909" s="1"/>
      <c r="FA909" s="1"/>
      <c r="FD909" s="1"/>
      <c r="FG909" s="1"/>
      <c r="FH909" s="1"/>
      <c r="FI909" s="1"/>
      <c r="FJ909" s="1"/>
      <c r="FL909" s="1"/>
      <c r="FM909" s="1"/>
      <c r="FN909" s="1"/>
      <c r="FO909" s="1"/>
      <c r="FP909" s="1"/>
      <c r="FQ909" s="1"/>
      <c r="FS909" s="1"/>
      <c r="FT909" s="1"/>
      <c r="FU909" s="1"/>
      <c r="FV909" s="1"/>
      <c r="FW909" s="1"/>
      <c r="FX909" s="1"/>
      <c r="FY909" s="1"/>
      <c r="FZ909" s="1"/>
      <c r="GA909" s="1"/>
      <c r="GD909" s="1"/>
      <c r="GE909" s="1"/>
      <c r="GF909" s="1"/>
      <c r="GG909" s="1"/>
      <c r="GH909" s="1"/>
      <c r="GI909" s="1"/>
      <c r="GJ909" s="1"/>
      <c r="GK909" s="1"/>
      <c r="GL909" s="1"/>
      <c r="GM909" s="1"/>
      <c r="GN909" s="1"/>
      <c r="GO909" s="1"/>
      <c r="GP909" s="1"/>
      <c r="GR909" s="1"/>
      <c r="GY909" s="1"/>
      <c r="HF909" s="1"/>
      <c r="HH909" s="1"/>
      <c r="HQ909" s="1"/>
      <c r="HT909" s="1"/>
      <c r="HY909" s="1"/>
      <c r="IA909" s="1"/>
      <c r="IC909" s="1"/>
      <c r="ID909" s="1"/>
      <c r="IE909" s="1"/>
      <c r="IG909" s="1"/>
      <c r="IJ909" s="1"/>
      <c r="IK909" s="1"/>
      <c r="IR909" s="1"/>
      <c r="IS909" s="1"/>
      <c r="IZ909" s="1"/>
      <c r="JC909" s="1"/>
      <c r="JF909" s="1"/>
      <c r="JG909" s="1"/>
      <c r="JH909" s="1"/>
      <c r="JJ909" s="1"/>
      <c r="JK909" s="1"/>
      <c r="JL909" s="3"/>
      <c r="JM909" s="1"/>
      <c r="JN909" s="1"/>
      <c r="JP909" s="1"/>
      <c r="JQ909" s="1"/>
      <c r="JR909" s="1"/>
      <c r="JT909" s="1"/>
      <c r="JW909" s="1"/>
      <c r="KS909" s="1"/>
      <c r="KT909" s="1"/>
      <c r="KY909" s="1"/>
      <c r="KZ909" s="1"/>
      <c r="LA909" s="1"/>
      <c r="LB909" s="1"/>
      <c r="LC909" s="1"/>
      <c r="LD909" s="1"/>
      <c r="LO909" s="1"/>
      <c r="LP909" s="1"/>
      <c r="LZ909" s="1"/>
      <c r="MA909" s="1"/>
    </row>
    <row r="910" spans="4:339" ht="13" x14ac:dyDescent="0.15">
      <c r="D910" s="12"/>
      <c r="E910" s="12"/>
      <c r="I910" s="12"/>
      <c r="J910" s="13"/>
      <c r="BF910" s="1"/>
      <c r="BG910" s="1"/>
      <c r="BH910" s="1"/>
      <c r="BI910" s="1"/>
      <c r="BJ910" s="1"/>
      <c r="BK910" s="1"/>
      <c r="BL910" s="1"/>
      <c r="BM910" s="1"/>
      <c r="BN910" s="1"/>
      <c r="BO910" s="1"/>
      <c r="BP910" s="1"/>
      <c r="BQ910" s="1"/>
      <c r="BR910" s="1"/>
      <c r="BX910" s="1"/>
      <c r="CC910" s="1"/>
      <c r="CD910" s="1"/>
      <c r="CE910" s="1"/>
      <c r="CF910" s="1"/>
      <c r="CG910" s="1"/>
      <c r="CH910" s="1"/>
      <c r="CI910" s="1"/>
      <c r="CJ910" s="1"/>
      <c r="CK910" s="1"/>
      <c r="CM910" s="2"/>
      <c r="CN910" s="1"/>
      <c r="CO910" s="1"/>
      <c r="CP910" s="1"/>
      <c r="CQ910" s="1"/>
      <c r="CR910" s="1"/>
      <c r="CS910" s="1"/>
      <c r="CT910" s="1"/>
      <c r="CU910" s="1"/>
      <c r="CV910" s="1"/>
      <c r="CW910" s="1"/>
      <c r="CX910" s="1"/>
      <c r="CY910" s="1"/>
      <c r="CZ910" s="1"/>
      <c r="DA910" s="1"/>
      <c r="DB910" s="1"/>
      <c r="DC910" s="1"/>
      <c r="DD910" s="1"/>
      <c r="DE910" s="1"/>
      <c r="DF910" s="1"/>
      <c r="DG910" s="1"/>
      <c r="DH910" s="1"/>
      <c r="DI910" s="1"/>
      <c r="DJ910" s="1"/>
      <c r="DK910" s="1"/>
      <c r="DM910" s="1"/>
      <c r="DQ910" s="1"/>
      <c r="DR910" s="1"/>
      <c r="DY910" s="1"/>
      <c r="DZ910" s="1"/>
      <c r="ED910" s="1"/>
      <c r="EE910" s="1"/>
      <c r="EF910" s="1"/>
      <c r="EG910" s="1"/>
      <c r="EH910" s="1"/>
      <c r="EK910" s="1"/>
      <c r="EL910" s="1"/>
      <c r="EM910" s="1"/>
      <c r="EN910" s="1"/>
      <c r="EQ910" s="1"/>
      <c r="ER910" s="1"/>
      <c r="ES910" s="1"/>
      <c r="EV910" s="1"/>
      <c r="EW910" s="1"/>
      <c r="EY910" s="1"/>
      <c r="EZ910" s="1"/>
      <c r="FA910" s="1"/>
      <c r="FD910" s="1"/>
      <c r="FG910" s="1"/>
      <c r="FH910" s="1"/>
      <c r="FI910" s="1"/>
      <c r="FJ910" s="1"/>
      <c r="FL910" s="1"/>
      <c r="FM910" s="1"/>
      <c r="FN910" s="1"/>
      <c r="FO910" s="1"/>
      <c r="FP910" s="1"/>
      <c r="FQ910" s="1"/>
      <c r="FS910" s="1"/>
      <c r="FT910" s="1"/>
      <c r="FU910" s="1"/>
      <c r="FV910" s="1"/>
      <c r="FW910" s="1"/>
      <c r="FX910" s="1"/>
      <c r="FY910" s="1"/>
      <c r="FZ910" s="1"/>
      <c r="GA910" s="1"/>
      <c r="GD910" s="1"/>
      <c r="GE910" s="1"/>
      <c r="GF910" s="1"/>
      <c r="GG910" s="1"/>
      <c r="GH910" s="1"/>
      <c r="GI910" s="1"/>
      <c r="GJ910" s="1"/>
      <c r="GK910" s="1"/>
      <c r="GL910" s="1"/>
      <c r="GM910" s="1"/>
      <c r="GN910" s="1"/>
      <c r="GO910" s="1"/>
      <c r="GP910" s="1"/>
      <c r="GR910" s="1"/>
      <c r="GY910" s="1"/>
      <c r="HF910" s="1"/>
      <c r="HH910" s="1"/>
      <c r="HQ910" s="1"/>
      <c r="HT910" s="1"/>
      <c r="HY910" s="1"/>
      <c r="IA910" s="1"/>
      <c r="IC910" s="1"/>
      <c r="ID910" s="1"/>
      <c r="IE910" s="1"/>
      <c r="IG910" s="1"/>
      <c r="IJ910" s="1"/>
      <c r="IK910" s="1"/>
      <c r="IR910" s="1"/>
      <c r="IS910" s="1"/>
      <c r="IZ910" s="1"/>
      <c r="JC910" s="1"/>
      <c r="JF910" s="1"/>
      <c r="JG910" s="1"/>
      <c r="JH910" s="1"/>
      <c r="JJ910" s="1"/>
      <c r="JK910" s="1"/>
      <c r="JL910" s="3"/>
      <c r="JM910" s="1"/>
      <c r="JN910" s="1"/>
      <c r="JP910" s="1"/>
      <c r="JQ910" s="1"/>
      <c r="JR910" s="1"/>
      <c r="JT910" s="1"/>
      <c r="JW910" s="1"/>
      <c r="KS910" s="1"/>
      <c r="KT910" s="1"/>
      <c r="KY910" s="1"/>
      <c r="KZ910" s="1"/>
      <c r="LA910" s="1"/>
      <c r="LB910" s="1"/>
      <c r="LC910" s="1"/>
      <c r="LD910" s="1"/>
      <c r="LO910" s="1"/>
      <c r="LP910" s="1"/>
      <c r="LZ910" s="1"/>
      <c r="MA910" s="1"/>
    </row>
    <row r="911" spans="4:339" ht="13" x14ac:dyDescent="0.15">
      <c r="D911" s="12"/>
      <c r="E911" s="12"/>
      <c r="I911" s="12"/>
      <c r="J911" s="13"/>
      <c r="BF911" s="1"/>
      <c r="BG911" s="1"/>
      <c r="BH911" s="1"/>
      <c r="BI911" s="1"/>
      <c r="BJ911" s="1"/>
      <c r="BK911" s="1"/>
      <c r="BL911" s="1"/>
      <c r="BM911" s="1"/>
      <c r="BN911" s="1"/>
      <c r="BO911" s="1"/>
      <c r="BP911" s="1"/>
      <c r="BQ911" s="1"/>
      <c r="BR911" s="1"/>
      <c r="BX911" s="1"/>
      <c r="CC911" s="1"/>
      <c r="CD911" s="1"/>
      <c r="CE911" s="1"/>
      <c r="CF911" s="1"/>
      <c r="CG911" s="1"/>
      <c r="CH911" s="1"/>
      <c r="CI911" s="1"/>
      <c r="CJ911" s="1"/>
      <c r="CK911" s="1"/>
      <c r="CM911" s="2"/>
      <c r="CN911" s="1"/>
      <c r="CO911" s="1"/>
      <c r="CP911" s="1"/>
      <c r="CQ911" s="1"/>
      <c r="CR911" s="1"/>
      <c r="CS911" s="1"/>
      <c r="CT911" s="1"/>
      <c r="CU911" s="1"/>
      <c r="CV911" s="1"/>
      <c r="CW911" s="1"/>
      <c r="CX911" s="1"/>
      <c r="CY911" s="1"/>
      <c r="CZ911" s="1"/>
      <c r="DA911" s="1"/>
      <c r="DB911" s="1"/>
      <c r="DC911" s="1"/>
      <c r="DD911" s="1"/>
      <c r="DE911" s="1"/>
      <c r="DF911" s="1"/>
      <c r="DG911" s="1"/>
      <c r="DH911" s="1"/>
      <c r="DI911" s="1"/>
      <c r="DJ911" s="1"/>
      <c r="DK911" s="1"/>
      <c r="DM911" s="1"/>
      <c r="DQ911" s="1"/>
      <c r="DR911" s="1"/>
      <c r="DY911" s="1"/>
      <c r="DZ911" s="1"/>
      <c r="ED911" s="1"/>
      <c r="EE911" s="1"/>
      <c r="EF911" s="1"/>
      <c r="EG911" s="1"/>
      <c r="EH911" s="1"/>
      <c r="EK911" s="1"/>
      <c r="EL911" s="1"/>
      <c r="EM911" s="1"/>
      <c r="EN911" s="1"/>
      <c r="EQ911" s="1"/>
      <c r="ER911" s="1"/>
      <c r="ES911" s="1"/>
      <c r="EV911" s="1"/>
      <c r="EW911" s="1"/>
      <c r="EY911" s="1"/>
      <c r="EZ911" s="1"/>
      <c r="FA911" s="1"/>
      <c r="FD911" s="1"/>
      <c r="FG911" s="1"/>
      <c r="FH911" s="1"/>
      <c r="FI911" s="1"/>
      <c r="FJ911" s="1"/>
      <c r="FL911" s="1"/>
      <c r="FM911" s="1"/>
      <c r="FN911" s="1"/>
      <c r="FO911" s="1"/>
      <c r="FP911" s="1"/>
      <c r="FQ911" s="1"/>
      <c r="FS911" s="1"/>
      <c r="FT911" s="1"/>
      <c r="FU911" s="1"/>
      <c r="FV911" s="1"/>
      <c r="FW911" s="1"/>
      <c r="FX911" s="1"/>
      <c r="FY911" s="1"/>
      <c r="FZ911" s="1"/>
      <c r="GA911" s="1"/>
      <c r="GD911" s="1"/>
      <c r="GE911" s="1"/>
      <c r="GF911" s="1"/>
      <c r="GG911" s="1"/>
      <c r="GH911" s="1"/>
      <c r="GI911" s="1"/>
      <c r="GJ911" s="1"/>
      <c r="GK911" s="1"/>
      <c r="GL911" s="1"/>
      <c r="GM911" s="1"/>
      <c r="GN911" s="1"/>
      <c r="GO911" s="1"/>
      <c r="GP911" s="1"/>
      <c r="GR911" s="1"/>
      <c r="GY911" s="1"/>
      <c r="HF911" s="1"/>
      <c r="HH911" s="1"/>
      <c r="HQ911" s="1"/>
      <c r="HT911" s="1"/>
      <c r="HY911" s="1"/>
      <c r="IA911" s="1"/>
      <c r="IC911" s="1"/>
      <c r="ID911" s="1"/>
      <c r="IE911" s="1"/>
      <c r="IG911" s="1"/>
      <c r="IJ911" s="1"/>
      <c r="IK911" s="1"/>
      <c r="IR911" s="1"/>
      <c r="IS911" s="1"/>
      <c r="IZ911" s="1"/>
      <c r="JC911" s="1"/>
      <c r="JF911" s="1"/>
      <c r="JG911" s="1"/>
      <c r="JH911" s="1"/>
      <c r="JJ911" s="1"/>
      <c r="JK911" s="1"/>
      <c r="JL911" s="3"/>
      <c r="JM911" s="1"/>
      <c r="JN911" s="1"/>
      <c r="JP911" s="1"/>
      <c r="JQ911" s="1"/>
      <c r="JR911" s="1"/>
      <c r="JT911" s="1"/>
      <c r="JW911" s="1"/>
      <c r="KS911" s="1"/>
      <c r="KT911" s="1"/>
      <c r="KY911" s="1"/>
      <c r="KZ911" s="1"/>
      <c r="LA911" s="1"/>
      <c r="LB911" s="1"/>
      <c r="LC911" s="1"/>
      <c r="LD911" s="1"/>
      <c r="LO911" s="1"/>
      <c r="LP911" s="1"/>
      <c r="LZ911" s="1"/>
      <c r="MA911" s="1"/>
    </row>
    <row r="912" spans="4:339" ht="13" x14ac:dyDescent="0.15">
      <c r="D912" s="12"/>
      <c r="E912" s="12"/>
      <c r="I912" s="12"/>
      <c r="J912" s="13"/>
      <c r="BF912" s="1"/>
      <c r="BG912" s="1"/>
      <c r="BH912" s="1"/>
      <c r="BI912" s="1"/>
      <c r="BJ912" s="1"/>
      <c r="BK912" s="1"/>
      <c r="BL912" s="1"/>
      <c r="BM912" s="1"/>
      <c r="BN912" s="1"/>
      <c r="BO912" s="1"/>
      <c r="BP912" s="1"/>
      <c r="BQ912" s="1"/>
      <c r="BR912" s="1"/>
      <c r="BX912" s="1"/>
      <c r="CC912" s="1"/>
      <c r="CD912" s="1"/>
      <c r="CE912" s="1"/>
      <c r="CF912" s="1"/>
      <c r="CG912" s="1"/>
      <c r="CH912" s="1"/>
      <c r="CI912" s="1"/>
      <c r="CK912" s="1"/>
      <c r="CM912" s="2"/>
      <c r="CN912" s="1"/>
      <c r="CO912" s="1"/>
      <c r="CP912" s="1"/>
      <c r="CQ912" s="1"/>
      <c r="CR912" s="1"/>
      <c r="CS912" s="1"/>
      <c r="CT912" s="1"/>
      <c r="CU912" s="1"/>
      <c r="CV912" s="1"/>
      <c r="CW912" s="1"/>
      <c r="CX912" s="1"/>
      <c r="CY912" s="1"/>
      <c r="CZ912" s="1"/>
      <c r="DA912" s="1"/>
      <c r="DB912" s="1"/>
      <c r="DC912" s="1"/>
      <c r="DD912" s="1"/>
      <c r="DE912" s="1"/>
      <c r="DF912" s="1"/>
      <c r="DG912" s="1"/>
      <c r="DH912" s="1"/>
      <c r="DI912" s="1"/>
      <c r="DJ912" s="1"/>
      <c r="DK912" s="1"/>
      <c r="DM912" s="1"/>
      <c r="DQ912" s="1"/>
      <c r="DR912" s="1"/>
      <c r="DY912" s="1"/>
      <c r="DZ912" s="1"/>
      <c r="ED912" s="1"/>
      <c r="EE912" s="1"/>
      <c r="EF912" s="1"/>
      <c r="EG912" s="1"/>
      <c r="EH912" s="1"/>
      <c r="EK912" s="1"/>
      <c r="EL912" s="1"/>
      <c r="EM912" s="1"/>
      <c r="EN912" s="1"/>
      <c r="EQ912" s="1"/>
      <c r="ER912" s="1"/>
      <c r="ES912" s="1"/>
      <c r="EV912" s="1"/>
      <c r="EW912" s="1"/>
      <c r="EY912" s="1"/>
      <c r="EZ912" s="1"/>
      <c r="FA912" s="1"/>
      <c r="FD912" s="1"/>
      <c r="FE912" s="1"/>
      <c r="FF912" s="1"/>
      <c r="FG912" s="1"/>
      <c r="FH912" s="1"/>
      <c r="FI912" s="1"/>
      <c r="FJ912" s="1"/>
      <c r="FL912" s="1"/>
      <c r="FM912" s="1"/>
      <c r="FN912" s="1"/>
      <c r="FO912" s="1"/>
      <c r="FP912" s="1"/>
      <c r="FQ912" s="1"/>
      <c r="FR912" s="1"/>
      <c r="FS912" s="1"/>
      <c r="FT912" s="1"/>
      <c r="FU912" s="1"/>
      <c r="FV912" s="1"/>
      <c r="FW912" s="1"/>
      <c r="FX912" s="1"/>
      <c r="FY912" s="1"/>
      <c r="FZ912" s="1"/>
      <c r="GA912" s="1"/>
      <c r="GD912" s="1"/>
      <c r="GE912" s="1"/>
      <c r="GF912" s="1"/>
      <c r="GG912" s="1"/>
      <c r="GH912" s="1"/>
      <c r="GI912" s="1"/>
      <c r="GJ912" s="1"/>
      <c r="GK912" s="1"/>
      <c r="GL912" s="1"/>
      <c r="GM912" s="1"/>
      <c r="GN912" s="1"/>
      <c r="GP912" s="1"/>
      <c r="GR912" s="1"/>
      <c r="GV912" s="1"/>
      <c r="GY912" s="1"/>
      <c r="HF912" s="1"/>
      <c r="HH912" s="1"/>
      <c r="HN912" s="1"/>
      <c r="HR912" s="1"/>
      <c r="HS912" s="1"/>
      <c r="HT912" s="1"/>
      <c r="HY912" s="1"/>
      <c r="IA912" s="1"/>
      <c r="ID912" s="1"/>
      <c r="IE912" s="1"/>
      <c r="IF912" s="1"/>
      <c r="IG912" s="1"/>
      <c r="IJ912" s="1"/>
      <c r="IR912" s="1"/>
      <c r="IS912" s="1"/>
      <c r="IX912" s="1"/>
      <c r="IZ912" s="1"/>
      <c r="JB912" s="1"/>
      <c r="JC912" s="1"/>
      <c r="JF912" s="1"/>
      <c r="JG912" s="1"/>
      <c r="JH912" s="1"/>
      <c r="JJ912" s="1"/>
      <c r="JK912" s="1"/>
      <c r="JL912" s="3"/>
      <c r="JM912" s="1"/>
      <c r="JP912" s="1"/>
      <c r="JQ912" s="1"/>
      <c r="JR912" s="1"/>
      <c r="JT912" s="1"/>
      <c r="JW912" s="1"/>
      <c r="KS912" s="1"/>
      <c r="KT912" s="1"/>
      <c r="KU912" s="1"/>
      <c r="KV912" s="1"/>
      <c r="KW912" s="1"/>
      <c r="KY912" s="1"/>
      <c r="KZ912" s="1"/>
      <c r="LA912" s="1"/>
      <c r="LB912" s="1"/>
      <c r="LC912" s="1"/>
      <c r="LD912" s="1"/>
      <c r="LO912" s="1"/>
      <c r="LP912" s="1"/>
      <c r="LZ912" s="1"/>
      <c r="MA912" s="1"/>
    </row>
    <row r="913" spans="4:339" ht="13" x14ac:dyDescent="0.15">
      <c r="D913" s="12"/>
      <c r="E913" s="12"/>
      <c r="I913" s="12"/>
      <c r="J913" s="13"/>
      <c r="BF913" s="1"/>
      <c r="BG913" s="1"/>
      <c r="BH913" s="1"/>
      <c r="BI913" s="1"/>
      <c r="BJ913" s="1"/>
      <c r="BK913" s="1"/>
      <c r="BL913" s="1"/>
      <c r="BM913" s="1"/>
      <c r="BN913" s="1"/>
      <c r="BO913" s="1"/>
      <c r="BP913" s="1"/>
      <c r="BQ913" s="1"/>
      <c r="BR913" s="1"/>
      <c r="BX913" s="1"/>
      <c r="CC913" s="1"/>
      <c r="CD913" s="1"/>
      <c r="CE913" s="1"/>
      <c r="CF913" s="1"/>
      <c r="CG913" s="1"/>
      <c r="CH913" s="1"/>
      <c r="CI913" s="1"/>
      <c r="CK913" s="1"/>
      <c r="CM913" s="2"/>
      <c r="CN913" s="1"/>
      <c r="CO913" s="1"/>
      <c r="CP913" s="1"/>
      <c r="CQ913" s="1"/>
      <c r="CR913" s="1"/>
      <c r="CS913" s="1"/>
      <c r="CT913" s="1"/>
      <c r="CU913" s="1"/>
      <c r="CV913" s="1"/>
      <c r="CW913" s="1"/>
      <c r="CX913" s="1"/>
      <c r="CY913" s="1"/>
      <c r="CZ913" s="1"/>
      <c r="DA913" s="1"/>
      <c r="DB913" s="1"/>
      <c r="DC913" s="1"/>
      <c r="DD913" s="1"/>
      <c r="DE913" s="1"/>
      <c r="DF913" s="1"/>
      <c r="DG913" s="1"/>
      <c r="DH913" s="1"/>
      <c r="DI913" s="1"/>
      <c r="DJ913" s="1"/>
      <c r="DK913" s="1"/>
      <c r="DM913" s="1"/>
      <c r="DQ913" s="1"/>
      <c r="DR913" s="1"/>
      <c r="DY913" s="1"/>
      <c r="DZ913" s="1"/>
      <c r="ED913" s="1"/>
      <c r="EE913" s="1"/>
      <c r="EF913" s="1"/>
      <c r="EG913" s="1"/>
      <c r="EH913" s="1"/>
      <c r="EK913" s="1"/>
      <c r="EL913" s="1"/>
      <c r="EM913" s="1"/>
      <c r="EN913" s="1"/>
      <c r="EQ913" s="1"/>
      <c r="ER913" s="1"/>
      <c r="ES913" s="1"/>
      <c r="EV913" s="1"/>
      <c r="EW913" s="1"/>
      <c r="EY913" s="1"/>
      <c r="EZ913" s="1"/>
      <c r="FA913" s="1"/>
      <c r="FD913" s="1"/>
      <c r="FE913" s="1"/>
      <c r="FF913" s="1"/>
      <c r="FG913" s="1"/>
      <c r="FH913" s="1"/>
      <c r="FI913" s="1"/>
      <c r="FJ913" s="1"/>
      <c r="FL913" s="1"/>
      <c r="FM913" s="1"/>
      <c r="FN913" s="1"/>
      <c r="FO913" s="1"/>
      <c r="FP913" s="1"/>
      <c r="FQ913" s="1"/>
      <c r="FR913" s="1"/>
      <c r="FS913" s="1"/>
      <c r="FT913" s="1"/>
      <c r="FU913" s="1"/>
      <c r="FV913" s="1"/>
      <c r="FW913" s="1"/>
      <c r="FX913" s="1"/>
      <c r="FY913" s="1"/>
      <c r="FZ913" s="1"/>
      <c r="GA913" s="1"/>
      <c r="GD913" s="1"/>
      <c r="GE913" s="1"/>
      <c r="GF913" s="1"/>
      <c r="GG913" s="1"/>
      <c r="GH913" s="1"/>
      <c r="GI913" s="1"/>
      <c r="GJ913" s="1"/>
      <c r="GK913" s="1"/>
      <c r="GL913" s="1"/>
      <c r="GM913" s="1"/>
      <c r="GN913" s="1"/>
      <c r="GP913" s="1"/>
      <c r="GR913" s="1"/>
      <c r="GV913" s="1"/>
      <c r="GY913" s="1"/>
      <c r="HF913" s="1"/>
      <c r="HH913" s="1"/>
      <c r="HN913" s="1"/>
      <c r="HR913" s="1"/>
      <c r="HS913" s="1"/>
      <c r="HT913" s="1"/>
      <c r="HY913" s="1"/>
      <c r="IA913" s="1"/>
      <c r="ID913" s="1"/>
      <c r="IE913" s="1"/>
      <c r="IF913" s="1"/>
      <c r="IG913" s="1"/>
      <c r="IJ913" s="1"/>
      <c r="IR913" s="1"/>
      <c r="IS913" s="1"/>
      <c r="IX913" s="1"/>
      <c r="IZ913" s="1"/>
      <c r="JB913" s="1"/>
      <c r="JC913" s="1"/>
      <c r="JF913" s="1"/>
      <c r="JG913" s="1"/>
      <c r="JH913" s="1"/>
      <c r="JJ913" s="1"/>
      <c r="JK913" s="1"/>
      <c r="JL913" s="3"/>
      <c r="JM913" s="1"/>
      <c r="JP913" s="1"/>
      <c r="JQ913" s="1"/>
      <c r="JR913" s="1"/>
      <c r="JT913" s="1"/>
      <c r="JW913" s="1"/>
      <c r="KS913" s="1"/>
      <c r="KT913" s="1"/>
      <c r="KU913" s="1"/>
      <c r="KV913" s="1"/>
      <c r="KW913" s="1"/>
      <c r="KY913" s="1"/>
      <c r="KZ913" s="1"/>
      <c r="LA913" s="1"/>
      <c r="LB913" s="1"/>
      <c r="LC913" s="1"/>
      <c r="LD913" s="1"/>
      <c r="LO913" s="1"/>
      <c r="LP913" s="1"/>
      <c r="LZ913" s="1"/>
      <c r="MA913" s="1"/>
    </row>
    <row r="914" spans="4:339" ht="13" x14ac:dyDescent="0.15">
      <c r="D914" s="12"/>
      <c r="E914" s="12"/>
      <c r="I914" s="12"/>
      <c r="J914" s="13"/>
      <c r="BF914" s="1"/>
      <c r="BG914" s="1"/>
      <c r="BH914" s="1"/>
      <c r="BI914" s="1"/>
      <c r="BJ914" s="1"/>
      <c r="BK914" s="1"/>
      <c r="BL914" s="1"/>
      <c r="BM914" s="1"/>
      <c r="BN914" s="1"/>
      <c r="BO914" s="1"/>
      <c r="BP914" s="1"/>
      <c r="BQ914" s="1"/>
      <c r="BR914" s="1"/>
      <c r="BX914" s="1"/>
      <c r="CC914" s="1"/>
      <c r="CD914" s="1"/>
      <c r="CE914" s="1"/>
      <c r="CF914" s="1"/>
      <c r="CG914" s="1"/>
      <c r="CH914" s="1"/>
      <c r="CI914" s="1"/>
      <c r="CK914" s="1"/>
      <c r="CM914" s="2"/>
      <c r="CN914" s="1"/>
      <c r="CO914" s="1"/>
      <c r="CP914" s="1"/>
      <c r="CQ914" s="1"/>
      <c r="CR914" s="1"/>
      <c r="CS914" s="1"/>
      <c r="CT914" s="1"/>
      <c r="CU914" s="1"/>
      <c r="CV914" s="1"/>
      <c r="CW914" s="1"/>
      <c r="CX914" s="1"/>
      <c r="CY914" s="1"/>
      <c r="CZ914" s="1"/>
      <c r="DA914" s="1"/>
      <c r="DB914" s="1"/>
      <c r="DC914" s="1"/>
      <c r="DD914" s="1"/>
      <c r="DE914" s="1"/>
      <c r="DF914" s="1"/>
      <c r="DG914" s="1"/>
      <c r="DH914" s="1"/>
      <c r="DI914" s="1"/>
      <c r="DJ914" s="1"/>
      <c r="DK914" s="1"/>
      <c r="DM914" s="1"/>
      <c r="DQ914" s="1"/>
      <c r="DR914" s="1"/>
      <c r="DY914" s="1"/>
      <c r="DZ914" s="1"/>
      <c r="ED914" s="1"/>
      <c r="EE914" s="1"/>
      <c r="EF914" s="1"/>
      <c r="EG914" s="1"/>
      <c r="EH914" s="1"/>
      <c r="EK914" s="1"/>
      <c r="EL914" s="1"/>
      <c r="EM914" s="1"/>
      <c r="EN914" s="1"/>
      <c r="EQ914" s="1"/>
      <c r="ER914" s="1"/>
      <c r="ES914" s="1"/>
      <c r="EV914" s="1"/>
      <c r="EW914" s="1"/>
      <c r="EY914" s="1"/>
      <c r="EZ914" s="1"/>
      <c r="FA914" s="1"/>
      <c r="FD914" s="1"/>
      <c r="FE914" s="1"/>
      <c r="FF914" s="1"/>
      <c r="FG914" s="1"/>
      <c r="FH914" s="1"/>
      <c r="FI914" s="1"/>
      <c r="FJ914" s="1"/>
      <c r="FL914" s="1"/>
      <c r="FM914" s="1"/>
      <c r="FN914" s="1"/>
      <c r="FO914" s="1"/>
      <c r="FP914" s="1"/>
      <c r="FQ914" s="1"/>
      <c r="FR914" s="1"/>
      <c r="FS914" s="1"/>
      <c r="FT914" s="1"/>
      <c r="FU914" s="1"/>
      <c r="FV914" s="1"/>
      <c r="FW914" s="1"/>
      <c r="FX914" s="1"/>
      <c r="FY914" s="1"/>
      <c r="FZ914" s="1"/>
      <c r="GA914" s="1"/>
      <c r="GD914" s="1"/>
      <c r="GE914" s="1"/>
      <c r="GF914" s="1"/>
      <c r="GG914" s="1"/>
      <c r="GH914" s="1"/>
      <c r="GI914" s="1"/>
      <c r="GJ914" s="1"/>
      <c r="GK914" s="1"/>
      <c r="GL914" s="1"/>
      <c r="GM914" s="1"/>
      <c r="GN914" s="1"/>
      <c r="GP914" s="1"/>
      <c r="GR914" s="1"/>
      <c r="GV914" s="1"/>
      <c r="GY914" s="1"/>
      <c r="HF914" s="1"/>
      <c r="HH914" s="1"/>
      <c r="HN914" s="1"/>
      <c r="HR914" s="1"/>
      <c r="HS914" s="1"/>
      <c r="HT914" s="1"/>
      <c r="HY914" s="1"/>
      <c r="IA914" s="1"/>
      <c r="ID914" s="1"/>
      <c r="IE914" s="1"/>
      <c r="IF914" s="1"/>
      <c r="IG914" s="1"/>
      <c r="IJ914" s="1"/>
      <c r="IR914" s="1"/>
      <c r="IS914" s="1"/>
      <c r="IX914" s="1"/>
      <c r="IZ914" s="1"/>
      <c r="JB914" s="1"/>
      <c r="JC914" s="1"/>
      <c r="JF914" s="1"/>
      <c r="JG914" s="1"/>
      <c r="JH914" s="1"/>
      <c r="JJ914" s="1"/>
      <c r="JK914" s="1"/>
      <c r="JL914" s="3"/>
      <c r="JM914" s="1"/>
      <c r="JP914" s="1"/>
      <c r="JQ914" s="1"/>
      <c r="JR914" s="1"/>
      <c r="JT914" s="1"/>
      <c r="JW914" s="1"/>
      <c r="KS914" s="1"/>
      <c r="KT914" s="1"/>
      <c r="KU914" s="1"/>
      <c r="KV914" s="1"/>
      <c r="KW914" s="1"/>
      <c r="KY914" s="1"/>
      <c r="KZ914" s="1"/>
      <c r="LA914" s="1"/>
      <c r="LB914" s="1"/>
      <c r="LC914" s="1"/>
      <c r="LD914" s="1"/>
      <c r="LO914" s="1"/>
      <c r="LP914" s="1"/>
      <c r="LZ914" s="1"/>
      <c r="MA914" s="1"/>
    </row>
    <row r="915" spans="4:339" ht="13" x14ac:dyDescent="0.15">
      <c r="D915" s="12"/>
      <c r="E915" s="12"/>
      <c r="I915" s="12"/>
      <c r="J915" s="13"/>
      <c r="BF915" s="1"/>
      <c r="BG915" s="1"/>
      <c r="BH915" s="1"/>
      <c r="BI915" s="1"/>
      <c r="BJ915" s="1"/>
      <c r="BK915" s="1"/>
      <c r="BL915" s="1"/>
      <c r="BM915" s="1"/>
      <c r="BN915" s="1"/>
      <c r="BO915" s="1"/>
      <c r="BP915" s="1"/>
      <c r="BQ915" s="1"/>
      <c r="BR915" s="1"/>
      <c r="BX915" s="1"/>
      <c r="CC915" s="1"/>
      <c r="CD915" s="1"/>
      <c r="CE915" s="1"/>
      <c r="CF915" s="1"/>
      <c r="CG915" s="1"/>
      <c r="CH915" s="1"/>
      <c r="CI915" s="1"/>
      <c r="CK915" s="1"/>
      <c r="CM915" s="2"/>
      <c r="CN915" s="1"/>
      <c r="CO915" s="1"/>
      <c r="CP915" s="1"/>
      <c r="CQ915" s="1"/>
      <c r="CR915" s="1"/>
      <c r="CS915" s="1"/>
      <c r="CT915" s="1"/>
      <c r="CU915" s="1"/>
      <c r="CV915" s="1"/>
      <c r="CW915" s="1"/>
      <c r="CX915" s="1"/>
      <c r="CY915" s="1"/>
      <c r="CZ915" s="1"/>
      <c r="DA915" s="1"/>
      <c r="DB915" s="1"/>
      <c r="DC915" s="1"/>
      <c r="DD915" s="1"/>
      <c r="DE915" s="1"/>
      <c r="DF915" s="1"/>
      <c r="DG915" s="1"/>
      <c r="DH915" s="1"/>
      <c r="DI915" s="1"/>
      <c r="DJ915" s="1"/>
      <c r="DK915" s="1"/>
      <c r="DM915" s="1"/>
      <c r="DQ915" s="1"/>
      <c r="DR915" s="1"/>
      <c r="DY915" s="1"/>
      <c r="DZ915" s="1"/>
      <c r="ED915" s="1"/>
      <c r="EE915" s="1"/>
      <c r="EF915" s="1"/>
      <c r="EG915" s="1"/>
      <c r="EH915" s="1"/>
      <c r="EK915" s="1"/>
      <c r="EL915" s="1"/>
      <c r="EM915" s="1"/>
      <c r="EN915" s="1"/>
      <c r="EQ915" s="1"/>
      <c r="ER915" s="1"/>
      <c r="ES915" s="1"/>
      <c r="EV915" s="1"/>
      <c r="EW915" s="1"/>
      <c r="EY915" s="1"/>
      <c r="EZ915" s="1"/>
      <c r="FA915" s="1"/>
      <c r="FD915" s="1"/>
      <c r="FE915" s="1"/>
      <c r="FF915" s="1"/>
      <c r="FG915" s="1"/>
      <c r="FH915" s="1"/>
      <c r="FI915" s="1"/>
      <c r="FJ915" s="1"/>
      <c r="FL915" s="1"/>
      <c r="FM915" s="1"/>
      <c r="FN915" s="1"/>
      <c r="FO915" s="1"/>
      <c r="FP915" s="1"/>
      <c r="FQ915" s="1"/>
      <c r="FR915" s="1"/>
      <c r="FS915" s="1"/>
      <c r="FT915" s="1"/>
      <c r="FU915" s="1"/>
      <c r="FV915" s="1"/>
      <c r="FW915" s="1"/>
      <c r="FX915" s="1"/>
      <c r="FY915" s="1"/>
      <c r="FZ915" s="1"/>
      <c r="GA915" s="1"/>
      <c r="GD915" s="1"/>
      <c r="GE915" s="1"/>
      <c r="GF915" s="1"/>
      <c r="GG915" s="1"/>
      <c r="GH915" s="1"/>
      <c r="GI915" s="1"/>
      <c r="GJ915" s="1"/>
      <c r="GK915" s="1"/>
      <c r="GL915" s="1"/>
      <c r="GM915" s="1"/>
      <c r="GN915" s="1"/>
      <c r="GP915" s="1"/>
      <c r="GR915" s="1"/>
      <c r="GV915" s="1"/>
      <c r="GY915" s="1"/>
      <c r="HF915" s="1"/>
      <c r="HH915" s="1"/>
      <c r="HN915" s="1"/>
      <c r="HR915" s="1"/>
      <c r="HS915" s="1"/>
      <c r="HT915" s="1"/>
      <c r="HY915" s="1"/>
      <c r="IA915" s="1"/>
      <c r="ID915" s="1"/>
      <c r="IE915" s="1"/>
      <c r="IF915" s="1"/>
      <c r="IG915" s="1"/>
      <c r="IJ915" s="1"/>
      <c r="IR915" s="1"/>
      <c r="IS915" s="1"/>
      <c r="IX915" s="1"/>
      <c r="IZ915" s="1"/>
      <c r="JB915" s="1"/>
      <c r="JC915" s="1"/>
      <c r="JF915" s="1"/>
      <c r="JG915" s="1"/>
      <c r="JH915" s="1"/>
      <c r="JJ915" s="1"/>
      <c r="JK915" s="1"/>
      <c r="JL915" s="3"/>
      <c r="JM915" s="1"/>
      <c r="JP915" s="1"/>
      <c r="JQ915" s="1"/>
      <c r="JR915" s="1"/>
      <c r="JT915" s="1"/>
      <c r="JW915" s="1"/>
      <c r="KS915" s="1"/>
      <c r="KT915" s="1"/>
      <c r="KU915" s="1"/>
      <c r="KV915" s="1"/>
      <c r="KW915" s="1"/>
      <c r="KY915" s="1"/>
      <c r="KZ915" s="1"/>
      <c r="LA915" s="1"/>
      <c r="LB915" s="1"/>
      <c r="LC915" s="1"/>
      <c r="LD915" s="1"/>
      <c r="LO915" s="1"/>
      <c r="LP915" s="1"/>
      <c r="LZ915" s="1"/>
      <c r="MA915" s="1"/>
    </row>
    <row r="916" spans="4:339" ht="13" x14ac:dyDescent="0.15">
      <c r="D916" s="12"/>
      <c r="E916" s="12"/>
      <c r="I916" s="12"/>
      <c r="J916" s="13"/>
      <c r="BF916" s="1"/>
      <c r="BG916" s="1"/>
      <c r="BH916" s="1"/>
      <c r="BI916" s="1"/>
      <c r="BJ916" s="1"/>
      <c r="BK916" s="1"/>
      <c r="BL916" s="1"/>
      <c r="BM916" s="1"/>
      <c r="BN916" s="1"/>
      <c r="BO916" s="1"/>
      <c r="BP916" s="1"/>
      <c r="BQ916" s="1"/>
      <c r="BR916" s="1"/>
      <c r="BX916" s="1"/>
      <c r="CC916" s="1"/>
      <c r="CD916" s="1"/>
      <c r="CE916" s="1"/>
      <c r="CF916" s="1"/>
      <c r="CG916" s="1"/>
      <c r="CH916" s="1"/>
      <c r="CI916" s="1"/>
      <c r="CK916" s="1"/>
      <c r="CM916" s="2"/>
      <c r="CN916" s="1"/>
      <c r="CO916" s="1"/>
      <c r="CP916" s="1"/>
      <c r="CQ916" s="1"/>
      <c r="CR916" s="1"/>
      <c r="CS916" s="1"/>
      <c r="CT916" s="1"/>
      <c r="CU916" s="1"/>
      <c r="CV916" s="1"/>
      <c r="CW916" s="1"/>
      <c r="CX916" s="1"/>
      <c r="CY916" s="1"/>
      <c r="CZ916" s="1"/>
      <c r="DA916" s="1"/>
      <c r="DB916" s="1"/>
      <c r="DC916" s="1"/>
      <c r="DD916" s="1"/>
      <c r="DE916" s="1"/>
      <c r="DF916" s="1"/>
      <c r="DG916" s="1"/>
      <c r="DH916" s="1"/>
      <c r="DI916" s="1"/>
      <c r="DJ916" s="1"/>
      <c r="DK916" s="1"/>
      <c r="DM916" s="1"/>
      <c r="DQ916" s="1"/>
      <c r="DR916" s="1"/>
      <c r="DY916" s="1"/>
      <c r="DZ916" s="1"/>
      <c r="ED916" s="1"/>
      <c r="EE916" s="1"/>
      <c r="EF916" s="1"/>
      <c r="EG916" s="1"/>
      <c r="EH916" s="1"/>
      <c r="EK916" s="1"/>
      <c r="EL916" s="1"/>
      <c r="EM916" s="1"/>
      <c r="EN916" s="1"/>
      <c r="EQ916" s="1"/>
      <c r="ER916" s="1"/>
      <c r="ES916" s="1"/>
      <c r="EV916" s="1"/>
      <c r="EW916" s="1"/>
      <c r="EY916" s="1"/>
      <c r="EZ916" s="1"/>
      <c r="FA916" s="1"/>
      <c r="FD916" s="1"/>
      <c r="FE916" s="1"/>
      <c r="FF916" s="1"/>
      <c r="FG916" s="1"/>
      <c r="FH916" s="1"/>
      <c r="FI916" s="1"/>
      <c r="FJ916" s="1"/>
      <c r="FL916" s="1"/>
      <c r="FM916" s="1"/>
      <c r="FN916" s="1"/>
      <c r="FO916" s="1"/>
      <c r="FP916" s="1"/>
      <c r="FQ916" s="1"/>
      <c r="FR916" s="1"/>
      <c r="FS916" s="1"/>
      <c r="FT916" s="1"/>
      <c r="FU916" s="1"/>
      <c r="FV916" s="1"/>
      <c r="FW916" s="1"/>
      <c r="FX916" s="1"/>
      <c r="FY916" s="1"/>
      <c r="FZ916" s="1"/>
      <c r="GA916" s="1"/>
      <c r="GD916" s="1"/>
      <c r="GE916" s="1"/>
      <c r="GF916" s="1"/>
      <c r="GG916" s="1"/>
      <c r="GH916" s="1"/>
      <c r="GI916" s="1"/>
      <c r="GJ916" s="1"/>
      <c r="GK916" s="1"/>
      <c r="GL916" s="1"/>
      <c r="GM916" s="1"/>
      <c r="GN916" s="1"/>
      <c r="GP916" s="1"/>
      <c r="GR916" s="1"/>
      <c r="GV916" s="1"/>
      <c r="GY916" s="1"/>
      <c r="HF916" s="1"/>
      <c r="HH916" s="1"/>
      <c r="HN916" s="1"/>
      <c r="HR916" s="1"/>
      <c r="HS916" s="1"/>
      <c r="HT916" s="1"/>
      <c r="HY916" s="1"/>
      <c r="IA916" s="1"/>
      <c r="ID916" s="1"/>
      <c r="IE916" s="1"/>
      <c r="IF916" s="1"/>
      <c r="IG916" s="1"/>
      <c r="IJ916" s="1"/>
      <c r="IR916" s="1"/>
      <c r="IS916" s="1"/>
      <c r="IX916" s="1"/>
      <c r="IZ916" s="1"/>
      <c r="JB916" s="1"/>
      <c r="JC916" s="1"/>
      <c r="JF916" s="1"/>
      <c r="JG916" s="1"/>
      <c r="JH916" s="1"/>
      <c r="JJ916" s="1"/>
      <c r="JK916" s="1"/>
      <c r="JL916" s="3"/>
      <c r="JM916" s="1"/>
      <c r="JP916" s="1"/>
      <c r="JQ916" s="1"/>
      <c r="JR916" s="1"/>
      <c r="JT916" s="1"/>
      <c r="JW916" s="1"/>
      <c r="KS916" s="1"/>
      <c r="KT916" s="1"/>
      <c r="KU916" s="1"/>
      <c r="KV916" s="1"/>
      <c r="KW916" s="1"/>
      <c r="KY916" s="1"/>
      <c r="KZ916" s="1"/>
      <c r="LA916" s="1"/>
      <c r="LB916" s="1"/>
      <c r="LC916" s="1"/>
      <c r="LD916" s="1"/>
      <c r="LO916" s="1"/>
      <c r="LP916" s="1"/>
      <c r="LZ916" s="1"/>
      <c r="MA916" s="1"/>
    </row>
    <row r="917" spans="4:339" ht="13" x14ac:dyDescent="0.15">
      <c r="D917" s="12"/>
      <c r="E917" s="12"/>
      <c r="I917" s="12"/>
      <c r="J917" s="13"/>
      <c r="BF917" s="1"/>
      <c r="BG917" s="1"/>
      <c r="BH917" s="1"/>
      <c r="BI917" s="1"/>
      <c r="BJ917" s="1"/>
      <c r="BK917" s="1"/>
      <c r="BL917" s="1"/>
      <c r="BM917" s="1"/>
      <c r="BN917" s="1"/>
      <c r="BO917" s="1"/>
      <c r="BP917" s="1"/>
      <c r="BQ917" s="1"/>
      <c r="BR917" s="1"/>
      <c r="CD917" s="1"/>
      <c r="CE917" s="1"/>
      <c r="CF917" s="1"/>
      <c r="CG917" s="1"/>
      <c r="CH917" s="1"/>
      <c r="CI917" s="1"/>
      <c r="CK917" s="1"/>
      <c r="CM917" s="2"/>
      <c r="CN917" s="1"/>
      <c r="CO917" s="1"/>
      <c r="CP917" s="1"/>
      <c r="CQ917" s="1"/>
      <c r="CR917" s="1"/>
      <c r="CS917" s="1"/>
      <c r="CT917" s="1"/>
      <c r="CU917" s="1"/>
      <c r="CV917" s="1"/>
      <c r="CW917" s="1"/>
      <c r="CX917" s="1"/>
      <c r="CY917" s="1"/>
      <c r="CZ917" s="1"/>
      <c r="DA917" s="1"/>
      <c r="DB917" s="1"/>
      <c r="DC917" s="1"/>
      <c r="DD917" s="1"/>
      <c r="DE917" s="1"/>
      <c r="DF917" s="1"/>
      <c r="DG917" s="1"/>
      <c r="DH917" s="1"/>
      <c r="DI917" s="1"/>
      <c r="DJ917" s="1"/>
      <c r="DK917" s="1"/>
      <c r="ED917" s="1"/>
      <c r="EF917" s="1"/>
      <c r="EK917" s="1"/>
      <c r="EL917" s="1"/>
      <c r="EM917" s="1"/>
      <c r="EN917" s="1"/>
      <c r="EQ917" s="1"/>
      <c r="ER917" s="1"/>
      <c r="ES917" s="1"/>
      <c r="EV917" s="1"/>
      <c r="EW917" s="1"/>
      <c r="EX917" s="1"/>
      <c r="EZ917" s="1"/>
      <c r="FA917" s="1"/>
      <c r="FD917" s="1"/>
      <c r="FF917" s="1"/>
      <c r="FG917" s="1"/>
      <c r="FH917" s="1"/>
      <c r="FI917" s="1"/>
      <c r="FJ917" s="1"/>
      <c r="FN917" s="1"/>
      <c r="FO917" s="1"/>
      <c r="FP917" s="1"/>
      <c r="FQ917" s="1"/>
      <c r="FS917" s="1"/>
      <c r="FT917" s="1"/>
      <c r="FU917" s="1"/>
      <c r="FV917" s="1"/>
      <c r="FX917" s="1"/>
      <c r="GA917" s="1"/>
      <c r="GD917" s="1"/>
      <c r="GE917" s="1"/>
      <c r="GF917" s="1"/>
      <c r="GG917" s="1"/>
      <c r="GH917" s="1"/>
      <c r="GI917" s="1"/>
      <c r="GJ917" s="1"/>
      <c r="GL917" s="1"/>
      <c r="GM917" s="1"/>
      <c r="GN917" s="1"/>
      <c r="GP917" s="1"/>
      <c r="GR917" s="1"/>
      <c r="GV917" s="1"/>
      <c r="GY917" s="1"/>
      <c r="HF917" s="1"/>
      <c r="HH917" s="1"/>
      <c r="HN917" s="1"/>
      <c r="HQ917" s="1"/>
      <c r="HT917" s="1"/>
      <c r="HY917" s="1"/>
      <c r="IA917" s="1"/>
      <c r="ID917" s="1"/>
      <c r="IE917" s="1"/>
      <c r="IG917" s="1"/>
      <c r="IJ917" s="1"/>
      <c r="IR917" s="1"/>
      <c r="IS917" s="1"/>
      <c r="IY917" s="1"/>
      <c r="IZ917" s="1"/>
      <c r="JC917" s="1"/>
      <c r="JF917" s="1"/>
      <c r="JG917" s="1"/>
      <c r="JH917" s="1"/>
      <c r="JJ917" s="1"/>
      <c r="JK917" s="1"/>
      <c r="JL917" s="3"/>
      <c r="JM917" s="1"/>
      <c r="JN917" s="1"/>
      <c r="JP917" s="1"/>
      <c r="JQ917" s="1"/>
      <c r="JR917" s="1"/>
      <c r="JT917" s="1"/>
      <c r="KW917" s="1"/>
      <c r="KY917" s="1"/>
      <c r="KZ917" s="1"/>
      <c r="LA917" s="1"/>
      <c r="LB917" s="1"/>
      <c r="LC917" s="1"/>
      <c r="LD917" s="1"/>
      <c r="LO917" s="1"/>
      <c r="LP917" s="1"/>
      <c r="LZ917" s="1"/>
      <c r="MA917" s="1"/>
    </row>
    <row r="918" spans="4:339" ht="13" x14ac:dyDescent="0.15">
      <c r="D918" s="12"/>
      <c r="E918" s="12"/>
      <c r="I918" s="12"/>
      <c r="J918" s="13"/>
      <c r="BF918" s="1"/>
      <c r="BG918" s="1"/>
      <c r="BH918" s="1"/>
      <c r="BI918" s="1"/>
      <c r="BJ918" s="1"/>
      <c r="BK918" s="1"/>
      <c r="BL918" s="1"/>
      <c r="BM918" s="1"/>
      <c r="BN918" s="1"/>
      <c r="BO918" s="1"/>
      <c r="BP918" s="1"/>
      <c r="BQ918" s="1"/>
      <c r="BR918" s="1"/>
      <c r="CD918" s="1"/>
      <c r="CE918" s="1"/>
      <c r="CF918" s="1"/>
      <c r="CG918" s="1"/>
      <c r="CH918" s="1"/>
      <c r="CI918" s="1"/>
      <c r="CK918" s="1"/>
      <c r="CM918" s="2"/>
      <c r="CN918" s="1"/>
      <c r="CO918" s="1"/>
      <c r="CP918" s="1"/>
      <c r="CQ918" s="1"/>
      <c r="CR918" s="1"/>
      <c r="CS918" s="1"/>
      <c r="CT918" s="1"/>
      <c r="CU918" s="1"/>
      <c r="CV918" s="1"/>
      <c r="CW918" s="1"/>
      <c r="CX918" s="1"/>
      <c r="CY918" s="1"/>
      <c r="CZ918" s="1"/>
      <c r="DA918" s="1"/>
      <c r="DB918" s="1"/>
      <c r="DC918" s="1"/>
      <c r="DD918" s="1"/>
      <c r="DE918" s="1"/>
      <c r="DF918" s="1"/>
      <c r="DG918" s="1"/>
      <c r="DH918" s="1"/>
      <c r="DI918" s="1"/>
      <c r="DJ918" s="1"/>
      <c r="DK918" s="1"/>
      <c r="ED918" s="1"/>
      <c r="EF918" s="1"/>
      <c r="EK918" s="1"/>
      <c r="EL918" s="1"/>
      <c r="EM918" s="1"/>
      <c r="EN918" s="1"/>
      <c r="EQ918" s="1"/>
      <c r="ER918" s="1"/>
      <c r="ES918" s="1"/>
      <c r="EV918" s="1"/>
      <c r="EW918" s="1"/>
      <c r="EX918" s="1"/>
      <c r="EZ918" s="1"/>
      <c r="FA918" s="1"/>
      <c r="FD918" s="1"/>
      <c r="FF918" s="1"/>
      <c r="FG918" s="1"/>
      <c r="FH918" s="1"/>
      <c r="FI918" s="1"/>
      <c r="FJ918" s="1"/>
      <c r="FN918" s="1"/>
      <c r="FO918" s="1"/>
      <c r="FP918" s="1"/>
      <c r="FQ918" s="1"/>
      <c r="FS918" s="1"/>
      <c r="FT918" s="1"/>
      <c r="FU918" s="1"/>
      <c r="FV918" s="1"/>
      <c r="FX918" s="1"/>
      <c r="GA918" s="1"/>
      <c r="GD918" s="1"/>
      <c r="GE918" s="1"/>
      <c r="GF918" s="1"/>
      <c r="GG918" s="1"/>
      <c r="GH918" s="1"/>
      <c r="GI918" s="1"/>
      <c r="GJ918" s="1"/>
      <c r="GL918" s="1"/>
      <c r="GM918" s="1"/>
      <c r="GN918" s="1"/>
      <c r="GP918" s="1"/>
      <c r="GR918" s="1"/>
      <c r="GV918" s="1"/>
      <c r="GY918" s="1"/>
      <c r="HF918" s="1"/>
      <c r="HH918" s="1"/>
      <c r="HN918" s="1"/>
      <c r="HQ918" s="1"/>
      <c r="HT918" s="1"/>
      <c r="HY918" s="1"/>
      <c r="IA918" s="1"/>
      <c r="ID918" s="1"/>
      <c r="IE918" s="1"/>
      <c r="IG918" s="1"/>
      <c r="IJ918" s="1"/>
      <c r="IR918" s="1"/>
      <c r="IS918" s="1"/>
      <c r="IY918" s="1"/>
      <c r="IZ918" s="1"/>
      <c r="JC918" s="1"/>
      <c r="JF918" s="1"/>
      <c r="JG918" s="1"/>
      <c r="JH918" s="1"/>
      <c r="JJ918" s="1"/>
      <c r="JK918" s="1"/>
      <c r="JL918" s="3"/>
      <c r="JM918" s="1"/>
      <c r="JN918" s="1"/>
      <c r="JP918" s="1"/>
      <c r="JQ918" s="1"/>
      <c r="JR918" s="1"/>
      <c r="JT918" s="1"/>
      <c r="KW918" s="1"/>
      <c r="KY918" s="1"/>
      <c r="KZ918" s="1"/>
      <c r="LA918" s="1"/>
      <c r="LB918" s="1"/>
      <c r="LC918" s="1"/>
      <c r="LD918" s="1"/>
      <c r="LO918" s="1"/>
      <c r="LP918" s="1"/>
      <c r="LZ918" s="1"/>
      <c r="MA918" s="1"/>
    </row>
    <row r="919" spans="4:339" ht="13" x14ac:dyDescent="0.15">
      <c r="D919" s="12"/>
      <c r="E919" s="12"/>
      <c r="I919" s="12"/>
      <c r="J919" s="13"/>
      <c r="BF919" s="1"/>
      <c r="BG919" s="1"/>
      <c r="BH919" s="1"/>
      <c r="BI919" s="1"/>
      <c r="BJ919" s="1"/>
      <c r="BK919" s="1"/>
      <c r="BL919" s="1"/>
      <c r="BM919" s="1"/>
      <c r="BN919" s="1"/>
      <c r="BO919" s="1"/>
      <c r="BP919" s="1"/>
      <c r="BQ919" s="1"/>
      <c r="BR919" s="1"/>
      <c r="CD919" s="1"/>
      <c r="CE919" s="1"/>
      <c r="CF919" s="1"/>
      <c r="CG919" s="1"/>
      <c r="CH919" s="1"/>
      <c r="CI919" s="1"/>
      <c r="CK919" s="1"/>
      <c r="CM919" s="2"/>
      <c r="CN919" s="1"/>
      <c r="CO919" s="1"/>
      <c r="CP919" s="1"/>
      <c r="CQ919" s="1"/>
      <c r="CR919" s="1"/>
      <c r="CS919" s="1"/>
      <c r="CT919" s="1"/>
      <c r="CU919" s="1"/>
      <c r="CV919" s="1"/>
      <c r="CW919" s="1"/>
      <c r="CX919" s="1"/>
      <c r="CY919" s="1"/>
      <c r="CZ919" s="1"/>
      <c r="DA919" s="1"/>
      <c r="DB919" s="1"/>
      <c r="DC919" s="1"/>
      <c r="DD919" s="1"/>
      <c r="DE919" s="1"/>
      <c r="DF919" s="1"/>
      <c r="DG919" s="1"/>
      <c r="DH919" s="1"/>
      <c r="DI919" s="1"/>
      <c r="DJ919" s="1"/>
      <c r="DK919" s="1"/>
      <c r="ED919" s="1"/>
      <c r="EF919" s="1"/>
      <c r="EK919" s="1"/>
      <c r="EL919" s="1"/>
      <c r="EM919" s="1"/>
      <c r="EN919" s="1"/>
      <c r="EQ919" s="1"/>
      <c r="ER919" s="1"/>
      <c r="ES919" s="1"/>
      <c r="EV919" s="1"/>
      <c r="EW919" s="1"/>
      <c r="EX919" s="1"/>
      <c r="EZ919" s="1"/>
      <c r="FA919" s="1"/>
      <c r="FD919" s="1"/>
      <c r="FF919" s="1"/>
      <c r="FG919" s="1"/>
      <c r="FH919" s="1"/>
      <c r="FI919" s="1"/>
      <c r="FJ919" s="1"/>
      <c r="FN919" s="1"/>
      <c r="FO919" s="1"/>
      <c r="FP919" s="1"/>
      <c r="FQ919" s="1"/>
      <c r="FS919" s="1"/>
      <c r="FT919" s="1"/>
      <c r="FU919" s="1"/>
      <c r="FV919" s="1"/>
      <c r="FX919" s="1"/>
      <c r="GA919" s="1"/>
      <c r="GD919" s="1"/>
      <c r="GE919" s="1"/>
      <c r="GF919" s="1"/>
      <c r="GG919" s="1"/>
      <c r="GH919" s="1"/>
      <c r="GI919" s="1"/>
      <c r="GJ919" s="1"/>
      <c r="GL919" s="1"/>
      <c r="GM919" s="1"/>
      <c r="GN919" s="1"/>
      <c r="GP919" s="1"/>
      <c r="GR919" s="1"/>
      <c r="GV919" s="1"/>
      <c r="GY919" s="1"/>
      <c r="HF919" s="1"/>
      <c r="HH919" s="1"/>
      <c r="HN919" s="1"/>
      <c r="HQ919" s="1"/>
      <c r="HT919" s="1"/>
      <c r="HY919" s="1"/>
      <c r="IA919" s="1"/>
      <c r="ID919" s="1"/>
      <c r="IE919" s="1"/>
      <c r="IG919" s="1"/>
      <c r="IJ919" s="1"/>
      <c r="IR919" s="1"/>
      <c r="IS919" s="1"/>
      <c r="IY919" s="1"/>
      <c r="IZ919" s="1"/>
      <c r="JC919" s="1"/>
      <c r="JF919" s="1"/>
      <c r="JG919" s="1"/>
      <c r="JH919" s="1"/>
      <c r="JJ919" s="1"/>
      <c r="JK919" s="1"/>
      <c r="JL919" s="3"/>
      <c r="JM919" s="1"/>
      <c r="JN919" s="1"/>
      <c r="JP919" s="1"/>
      <c r="JQ919" s="1"/>
      <c r="JR919" s="1"/>
      <c r="JT919" s="1"/>
      <c r="KW919" s="1"/>
      <c r="KY919" s="1"/>
      <c r="KZ919" s="1"/>
      <c r="LA919" s="1"/>
      <c r="LB919" s="1"/>
      <c r="LC919" s="1"/>
      <c r="LD919" s="1"/>
      <c r="LO919" s="1"/>
      <c r="LP919" s="1"/>
      <c r="LZ919" s="1"/>
      <c r="MA919" s="1"/>
    </row>
    <row r="920" spans="4:339" ht="13" x14ac:dyDescent="0.15">
      <c r="D920" s="12"/>
      <c r="E920" s="12"/>
      <c r="I920" s="12"/>
      <c r="J920" s="13"/>
      <c r="BF920" s="1"/>
      <c r="BG920" s="1"/>
      <c r="BH920" s="1"/>
      <c r="BI920" s="1"/>
      <c r="BJ920" s="1"/>
      <c r="BK920" s="1"/>
      <c r="BL920" s="1"/>
      <c r="BM920" s="1"/>
      <c r="BN920" s="1"/>
      <c r="BO920" s="1"/>
      <c r="BP920" s="1"/>
      <c r="BQ920" s="1"/>
      <c r="BR920" s="1"/>
      <c r="CD920" s="1"/>
      <c r="CE920" s="1"/>
      <c r="CF920" s="1"/>
      <c r="CG920" s="1"/>
      <c r="CH920" s="1"/>
      <c r="CI920" s="1"/>
      <c r="CK920" s="1"/>
      <c r="CM920" s="2"/>
      <c r="CN920" s="1"/>
      <c r="CO920" s="1"/>
      <c r="CP920" s="1"/>
      <c r="CQ920" s="1"/>
      <c r="CR920" s="1"/>
      <c r="CS920" s="1"/>
      <c r="CT920" s="1"/>
      <c r="CU920" s="1"/>
      <c r="CV920" s="1"/>
      <c r="CW920" s="1"/>
      <c r="CX920" s="1"/>
      <c r="CY920" s="1"/>
      <c r="CZ920" s="1"/>
      <c r="DA920" s="1"/>
      <c r="DB920" s="1"/>
      <c r="DC920" s="1"/>
      <c r="DD920" s="1"/>
      <c r="DE920" s="1"/>
      <c r="DF920" s="1"/>
      <c r="DG920" s="1"/>
      <c r="DH920" s="1"/>
      <c r="DI920" s="1"/>
      <c r="DJ920" s="1"/>
      <c r="DK920" s="1"/>
      <c r="ED920" s="1"/>
      <c r="EF920" s="1"/>
      <c r="EK920" s="1"/>
      <c r="EL920" s="1"/>
      <c r="EM920" s="1"/>
      <c r="EN920" s="1"/>
      <c r="EQ920" s="1"/>
      <c r="ER920" s="1"/>
      <c r="ES920" s="1"/>
      <c r="EV920" s="1"/>
      <c r="EW920" s="1"/>
      <c r="EX920" s="1"/>
      <c r="EZ920" s="1"/>
      <c r="FA920" s="1"/>
      <c r="FD920" s="1"/>
      <c r="FF920" s="1"/>
      <c r="FG920" s="1"/>
      <c r="FH920" s="1"/>
      <c r="FI920" s="1"/>
      <c r="FJ920" s="1"/>
      <c r="FN920" s="1"/>
      <c r="FO920" s="1"/>
      <c r="FP920" s="1"/>
      <c r="FQ920" s="1"/>
      <c r="FS920" s="1"/>
      <c r="FT920" s="1"/>
      <c r="FU920" s="1"/>
      <c r="FV920" s="1"/>
      <c r="FX920" s="1"/>
      <c r="GA920" s="1"/>
      <c r="GD920" s="1"/>
      <c r="GE920" s="1"/>
      <c r="GF920" s="1"/>
      <c r="GG920" s="1"/>
      <c r="GH920" s="1"/>
      <c r="GI920" s="1"/>
      <c r="GJ920" s="1"/>
      <c r="GL920" s="1"/>
      <c r="GM920" s="1"/>
      <c r="GN920" s="1"/>
      <c r="GP920" s="1"/>
      <c r="GR920" s="1"/>
      <c r="GV920" s="1"/>
      <c r="GY920" s="1"/>
      <c r="HF920" s="1"/>
      <c r="HH920" s="1"/>
      <c r="HN920" s="1"/>
      <c r="HQ920" s="1"/>
      <c r="HT920" s="1"/>
      <c r="HY920" s="1"/>
      <c r="IA920" s="1"/>
      <c r="ID920" s="1"/>
      <c r="IE920" s="1"/>
      <c r="IG920" s="1"/>
      <c r="IJ920" s="1"/>
      <c r="IR920" s="1"/>
      <c r="IS920" s="1"/>
      <c r="IY920" s="1"/>
      <c r="IZ920" s="1"/>
      <c r="JC920" s="1"/>
      <c r="JF920" s="1"/>
      <c r="JG920" s="1"/>
      <c r="JH920" s="1"/>
      <c r="JJ920" s="1"/>
      <c r="JK920" s="1"/>
      <c r="JL920" s="3"/>
      <c r="JM920" s="1"/>
      <c r="JN920" s="1"/>
      <c r="JP920" s="1"/>
      <c r="JQ920" s="1"/>
      <c r="JR920" s="1"/>
      <c r="JT920" s="1"/>
      <c r="KW920" s="1"/>
      <c r="KY920" s="1"/>
      <c r="KZ920" s="1"/>
      <c r="LA920" s="1"/>
      <c r="LB920" s="1"/>
      <c r="LC920" s="1"/>
      <c r="LD920" s="1"/>
      <c r="LO920" s="1"/>
      <c r="LP920" s="1"/>
      <c r="LZ920" s="1"/>
      <c r="MA920" s="1"/>
    </row>
    <row r="921" spans="4:339" ht="13" x14ac:dyDescent="0.15">
      <c r="D921" s="12"/>
      <c r="E921" s="12"/>
      <c r="I921" s="12"/>
      <c r="J921" s="13"/>
      <c r="BF921" s="1"/>
      <c r="BG921" s="1"/>
      <c r="BH921" s="1"/>
      <c r="BI921" s="1"/>
      <c r="BJ921" s="1"/>
      <c r="BK921" s="1"/>
      <c r="BL921" s="1"/>
      <c r="BM921" s="1"/>
      <c r="BN921" s="1"/>
      <c r="BO921" s="1"/>
      <c r="BP921" s="1"/>
      <c r="BQ921" s="1"/>
      <c r="BR921" s="1"/>
      <c r="CD921" s="1"/>
      <c r="CE921" s="1"/>
      <c r="CF921" s="1"/>
      <c r="CG921" s="1"/>
      <c r="CH921" s="1"/>
      <c r="CI921" s="1"/>
      <c r="CK921" s="1"/>
      <c r="CM921" s="2"/>
      <c r="CN921" s="1"/>
      <c r="CO921" s="1"/>
      <c r="CP921" s="1"/>
      <c r="CQ921" s="1"/>
      <c r="CR921" s="1"/>
      <c r="CS921" s="1"/>
      <c r="CT921" s="1"/>
      <c r="CU921" s="1"/>
      <c r="CV921" s="1"/>
      <c r="CW921" s="1"/>
      <c r="CX921" s="1"/>
      <c r="CY921" s="1"/>
      <c r="CZ921" s="1"/>
      <c r="DA921" s="1"/>
      <c r="DB921" s="1"/>
      <c r="DC921" s="1"/>
      <c r="DD921" s="1"/>
      <c r="DE921" s="1"/>
      <c r="DF921" s="1"/>
      <c r="DG921" s="1"/>
      <c r="DH921" s="1"/>
      <c r="DI921" s="1"/>
      <c r="DJ921" s="1"/>
      <c r="DK921" s="1"/>
      <c r="ED921" s="1"/>
      <c r="EF921" s="1"/>
      <c r="EK921" s="1"/>
      <c r="EL921" s="1"/>
      <c r="EM921" s="1"/>
      <c r="EN921" s="1"/>
      <c r="EQ921" s="1"/>
      <c r="ER921" s="1"/>
      <c r="ES921" s="1"/>
      <c r="EV921" s="1"/>
      <c r="EW921" s="1"/>
      <c r="EX921" s="1"/>
      <c r="EZ921" s="1"/>
      <c r="FA921" s="1"/>
      <c r="FD921" s="1"/>
      <c r="FF921" s="1"/>
      <c r="FG921" s="1"/>
      <c r="FH921" s="1"/>
      <c r="FI921" s="1"/>
      <c r="FJ921" s="1"/>
      <c r="FN921" s="1"/>
      <c r="FO921" s="1"/>
      <c r="FP921" s="1"/>
      <c r="FQ921" s="1"/>
      <c r="FS921" s="1"/>
      <c r="FT921" s="1"/>
      <c r="FU921" s="1"/>
      <c r="FV921" s="1"/>
      <c r="FX921" s="1"/>
      <c r="GA921" s="1"/>
      <c r="GD921" s="1"/>
      <c r="GE921" s="1"/>
      <c r="GF921" s="1"/>
      <c r="GG921" s="1"/>
      <c r="GH921" s="1"/>
      <c r="GI921" s="1"/>
      <c r="GJ921" s="1"/>
      <c r="GL921" s="1"/>
      <c r="GM921" s="1"/>
      <c r="GN921" s="1"/>
      <c r="GP921" s="1"/>
      <c r="GR921" s="1"/>
      <c r="GV921" s="1"/>
      <c r="GY921" s="1"/>
      <c r="HF921" s="1"/>
      <c r="HH921" s="1"/>
      <c r="HN921" s="1"/>
      <c r="HQ921" s="1"/>
      <c r="HT921" s="1"/>
      <c r="HY921" s="1"/>
      <c r="IA921" s="1"/>
      <c r="ID921" s="1"/>
      <c r="IE921" s="1"/>
      <c r="IG921" s="1"/>
      <c r="IJ921" s="1"/>
      <c r="IR921" s="1"/>
      <c r="IS921" s="1"/>
      <c r="IY921" s="1"/>
      <c r="IZ921" s="1"/>
      <c r="JC921" s="1"/>
      <c r="JF921" s="1"/>
      <c r="JG921" s="1"/>
      <c r="JH921" s="1"/>
      <c r="JJ921" s="1"/>
      <c r="JK921" s="1"/>
      <c r="JL921" s="3"/>
      <c r="JM921" s="1"/>
      <c r="JN921" s="1"/>
      <c r="JP921" s="1"/>
      <c r="JQ921" s="1"/>
      <c r="JR921" s="1"/>
      <c r="JT921" s="1"/>
      <c r="KW921" s="1"/>
      <c r="KY921" s="1"/>
      <c r="KZ921" s="1"/>
      <c r="LA921" s="1"/>
      <c r="LB921" s="1"/>
      <c r="LC921" s="1"/>
      <c r="LD921" s="1"/>
      <c r="LO921" s="1"/>
      <c r="LP921" s="1"/>
      <c r="LZ921" s="1"/>
      <c r="MA921" s="1"/>
    </row>
    <row r="922" spans="4:339" ht="13" x14ac:dyDescent="0.15">
      <c r="D922" s="12"/>
      <c r="E922" s="12"/>
      <c r="I922" s="12"/>
      <c r="J922" s="13"/>
      <c r="BF922" s="1"/>
      <c r="BG922" s="1"/>
      <c r="BH922" s="1"/>
      <c r="BI922" s="1"/>
      <c r="BJ922" s="1"/>
      <c r="BK922" s="1"/>
      <c r="BL922" s="1"/>
      <c r="BM922" s="1"/>
      <c r="BN922" s="1"/>
      <c r="BO922" s="1"/>
      <c r="BP922" s="1"/>
      <c r="BQ922" s="1"/>
      <c r="BR922" s="1"/>
      <c r="CD922" s="1"/>
      <c r="CE922" s="1"/>
      <c r="CF922" s="1"/>
      <c r="CG922" s="1"/>
      <c r="CH922" s="1"/>
      <c r="CI922" s="1"/>
      <c r="CK922" s="1"/>
      <c r="CM922" s="2"/>
      <c r="CN922" s="1"/>
      <c r="CO922" s="1"/>
      <c r="CP922" s="1"/>
      <c r="CQ922" s="1"/>
      <c r="CR922" s="1"/>
      <c r="CS922" s="1"/>
      <c r="CT922" s="1"/>
      <c r="CU922" s="1"/>
      <c r="CV922" s="1"/>
      <c r="CW922" s="1"/>
      <c r="CX922" s="1"/>
      <c r="CY922" s="1"/>
      <c r="CZ922" s="1"/>
      <c r="DA922" s="1"/>
      <c r="DB922" s="1"/>
      <c r="DC922" s="1"/>
      <c r="DD922" s="1"/>
      <c r="DE922" s="1"/>
      <c r="DF922" s="1"/>
      <c r="DG922" s="1"/>
      <c r="DH922" s="1"/>
      <c r="DI922" s="1"/>
      <c r="DJ922" s="1"/>
      <c r="DK922" s="1"/>
      <c r="ED922" s="1"/>
      <c r="EF922" s="1"/>
      <c r="EK922" s="1"/>
      <c r="EL922" s="1"/>
      <c r="EM922" s="1"/>
      <c r="EN922" s="1"/>
      <c r="EQ922" s="1"/>
      <c r="ER922" s="1"/>
      <c r="ES922" s="1"/>
      <c r="EV922" s="1"/>
      <c r="EW922" s="1"/>
      <c r="EX922" s="1"/>
      <c r="EZ922" s="1"/>
      <c r="FA922" s="1"/>
      <c r="FD922" s="1"/>
      <c r="FF922" s="1"/>
      <c r="FG922" s="1"/>
      <c r="FH922" s="1"/>
      <c r="FI922" s="1"/>
      <c r="FJ922" s="1"/>
      <c r="FN922" s="1"/>
      <c r="FO922" s="1"/>
      <c r="FP922" s="1"/>
      <c r="FQ922" s="1"/>
      <c r="FS922" s="1"/>
      <c r="FT922" s="1"/>
      <c r="FU922" s="1"/>
      <c r="FV922" s="1"/>
      <c r="FX922" s="1"/>
      <c r="GA922" s="1"/>
      <c r="GD922" s="1"/>
      <c r="GE922" s="1"/>
      <c r="GF922" s="1"/>
      <c r="GG922" s="1"/>
      <c r="GH922" s="1"/>
      <c r="GI922" s="1"/>
      <c r="GJ922" s="1"/>
      <c r="GL922" s="1"/>
      <c r="GM922" s="1"/>
      <c r="GN922" s="1"/>
      <c r="GP922" s="1"/>
      <c r="GR922" s="1"/>
      <c r="GV922" s="1"/>
      <c r="GY922" s="1"/>
      <c r="HF922" s="1"/>
      <c r="HH922" s="1"/>
      <c r="HN922" s="1"/>
      <c r="HQ922" s="1"/>
      <c r="HT922" s="1"/>
      <c r="HY922" s="1"/>
      <c r="IA922" s="1"/>
      <c r="ID922" s="1"/>
      <c r="IE922" s="1"/>
      <c r="IG922" s="1"/>
      <c r="IJ922" s="1"/>
      <c r="IR922" s="1"/>
      <c r="IS922" s="1"/>
      <c r="IY922" s="1"/>
      <c r="IZ922" s="1"/>
      <c r="JC922" s="1"/>
      <c r="JF922" s="1"/>
      <c r="JG922" s="1"/>
      <c r="JH922" s="1"/>
      <c r="JJ922" s="1"/>
      <c r="JK922" s="1"/>
      <c r="JL922" s="3"/>
      <c r="JM922" s="1"/>
      <c r="JN922" s="1"/>
      <c r="JP922" s="1"/>
      <c r="JQ922" s="1"/>
      <c r="JR922" s="1"/>
      <c r="JT922" s="1"/>
      <c r="KW922" s="1"/>
      <c r="KY922" s="1"/>
      <c r="KZ922" s="1"/>
      <c r="LA922" s="1"/>
      <c r="LB922" s="1"/>
      <c r="LC922" s="1"/>
      <c r="LD922" s="1"/>
      <c r="LO922" s="1"/>
      <c r="LP922" s="1"/>
      <c r="LZ922" s="1"/>
      <c r="MA922" s="1"/>
    </row>
    <row r="923" spans="4:339" ht="13" x14ac:dyDescent="0.15">
      <c r="D923" s="12"/>
      <c r="E923" s="12"/>
      <c r="I923" s="12"/>
      <c r="J923" s="13"/>
      <c r="BF923" s="1"/>
      <c r="BG923" s="1"/>
      <c r="BH923" s="1"/>
      <c r="BI923" s="1"/>
      <c r="BJ923" s="1"/>
      <c r="BK923" s="1"/>
      <c r="BL923" s="1"/>
      <c r="BM923" s="1"/>
      <c r="BN923" s="1"/>
      <c r="BO923" s="1"/>
      <c r="BP923" s="1"/>
      <c r="BQ923" s="1"/>
      <c r="BR923" s="1"/>
      <c r="CD923" s="1"/>
      <c r="CE923" s="1"/>
      <c r="CF923" s="1"/>
      <c r="CG923" s="1"/>
      <c r="CH923" s="1"/>
      <c r="CI923" s="1"/>
      <c r="CK923" s="1"/>
      <c r="CM923" s="2"/>
      <c r="CN923" s="1"/>
      <c r="CO923" s="1"/>
      <c r="CP923" s="1"/>
      <c r="CQ923" s="1"/>
      <c r="CR923" s="1"/>
      <c r="CS923" s="1"/>
      <c r="CT923" s="1"/>
      <c r="CU923" s="1"/>
      <c r="CV923" s="1"/>
      <c r="CW923" s="1"/>
      <c r="CX923" s="1"/>
      <c r="CY923" s="1"/>
      <c r="CZ923" s="1"/>
      <c r="DA923" s="1"/>
      <c r="DB923" s="1"/>
      <c r="DC923" s="1"/>
      <c r="DD923" s="1"/>
      <c r="DE923" s="1"/>
      <c r="DF923" s="1"/>
      <c r="DG923" s="1"/>
      <c r="DH923" s="1"/>
      <c r="DI923" s="1"/>
      <c r="DJ923" s="1"/>
      <c r="DK923" s="1"/>
      <c r="ED923" s="1"/>
      <c r="EF923" s="1"/>
      <c r="EK923" s="1"/>
      <c r="EL923" s="1"/>
      <c r="EM923" s="1"/>
      <c r="EN923" s="1"/>
      <c r="EQ923" s="1"/>
      <c r="ER923" s="1"/>
      <c r="ES923" s="1"/>
      <c r="EV923" s="1"/>
      <c r="EW923" s="1"/>
      <c r="EX923" s="1"/>
      <c r="EZ923" s="1"/>
      <c r="FA923" s="1"/>
      <c r="FD923" s="1"/>
      <c r="FF923" s="1"/>
      <c r="FG923" s="1"/>
      <c r="FH923" s="1"/>
      <c r="FI923" s="1"/>
      <c r="FJ923" s="1"/>
      <c r="FN923" s="1"/>
      <c r="FO923" s="1"/>
      <c r="FP923" s="1"/>
      <c r="FQ923" s="1"/>
      <c r="FS923" s="1"/>
      <c r="FT923" s="1"/>
      <c r="FU923" s="1"/>
      <c r="FV923" s="1"/>
      <c r="FX923" s="1"/>
      <c r="GA923" s="1"/>
      <c r="GD923" s="1"/>
      <c r="GE923" s="1"/>
      <c r="GF923" s="1"/>
      <c r="GG923" s="1"/>
      <c r="GH923" s="1"/>
      <c r="GI923" s="1"/>
      <c r="GJ923" s="1"/>
      <c r="GL923" s="1"/>
      <c r="GM923" s="1"/>
      <c r="GN923" s="1"/>
      <c r="GP923" s="1"/>
      <c r="GR923" s="1"/>
      <c r="GV923" s="1"/>
      <c r="GY923" s="1"/>
      <c r="HF923" s="1"/>
      <c r="HH923" s="1"/>
      <c r="HN923" s="1"/>
      <c r="HQ923" s="1"/>
      <c r="HT923" s="1"/>
      <c r="HY923" s="1"/>
      <c r="IA923" s="1"/>
      <c r="ID923" s="1"/>
      <c r="IE923" s="1"/>
      <c r="IG923" s="1"/>
      <c r="IJ923" s="1"/>
      <c r="IR923" s="1"/>
      <c r="IS923" s="1"/>
      <c r="IY923" s="1"/>
      <c r="IZ923" s="1"/>
      <c r="JC923" s="1"/>
      <c r="JF923" s="1"/>
      <c r="JG923" s="1"/>
      <c r="JH923" s="1"/>
      <c r="JJ923" s="1"/>
      <c r="JK923" s="1"/>
      <c r="JL923" s="3"/>
      <c r="JM923" s="1"/>
      <c r="JN923" s="1"/>
      <c r="JP923" s="1"/>
      <c r="JQ923" s="1"/>
      <c r="JR923" s="1"/>
      <c r="JT923" s="1"/>
      <c r="KW923" s="1"/>
      <c r="KY923" s="1"/>
      <c r="KZ923" s="1"/>
      <c r="LA923" s="1"/>
      <c r="LB923" s="1"/>
      <c r="LC923" s="1"/>
      <c r="LD923" s="1"/>
      <c r="LO923" s="1"/>
      <c r="LP923" s="1"/>
      <c r="LZ923" s="1"/>
      <c r="MA923" s="1"/>
    </row>
    <row r="924" spans="4:339" ht="13" x14ac:dyDescent="0.15">
      <c r="D924" s="12"/>
      <c r="E924" s="12"/>
      <c r="I924" s="12"/>
      <c r="J924" s="13"/>
      <c r="BF924" s="1"/>
      <c r="BG924" s="1"/>
      <c r="BH924" s="1"/>
      <c r="BI924" s="1"/>
      <c r="BJ924" s="1"/>
      <c r="BK924" s="1"/>
      <c r="BL924" s="1"/>
      <c r="BM924" s="1"/>
      <c r="BN924" s="1"/>
      <c r="BO924" s="1"/>
      <c r="BP924" s="1"/>
      <c r="BQ924" s="1"/>
      <c r="BR924" s="1"/>
      <c r="BX924" s="1"/>
      <c r="CD924" s="1"/>
      <c r="CE924" s="1"/>
      <c r="CF924" s="1"/>
      <c r="CG924" s="1"/>
      <c r="CH924" s="1"/>
      <c r="CI924" s="1"/>
      <c r="CM924" s="2"/>
      <c r="CN924" s="1"/>
      <c r="CO924" s="1"/>
      <c r="CP924" s="1"/>
      <c r="CQ924" s="1"/>
      <c r="CX924" s="1"/>
      <c r="CY924" s="1"/>
      <c r="CZ924" s="1"/>
      <c r="DA924" s="1"/>
      <c r="DB924" s="1"/>
      <c r="DC924" s="1"/>
      <c r="DD924" s="1"/>
      <c r="DE924" s="1"/>
      <c r="DF924" s="1"/>
      <c r="DG924" s="1"/>
      <c r="DH924" s="1"/>
      <c r="DI924" s="1"/>
      <c r="DJ924" s="1"/>
      <c r="DK924" s="1"/>
      <c r="DM924" s="1"/>
      <c r="DR924" s="1"/>
      <c r="ED924" s="1"/>
      <c r="EF924" s="1"/>
      <c r="EK924" s="1"/>
      <c r="EL924" s="1"/>
      <c r="EM924" s="1"/>
      <c r="EN924" s="1"/>
      <c r="EQ924" s="1"/>
      <c r="ER924" s="1"/>
      <c r="ES924" s="1"/>
      <c r="EV924" s="1"/>
      <c r="EW924" s="1"/>
      <c r="EZ924" s="1"/>
      <c r="FA924" s="1"/>
      <c r="FD924" s="1"/>
      <c r="FG924" s="1"/>
      <c r="FH924" s="1"/>
      <c r="FJ924" s="1"/>
      <c r="FM924" s="1"/>
      <c r="FN924" s="1"/>
      <c r="FO924" s="1"/>
      <c r="FP924" s="1"/>
      <c r="FQ924" s="1"/>
      <c r="FR924" s="1"/>
      <c r="FS924" s="1"/>
      <c r="FT924" s="1"/>
      <c r="FU924" s="1"/>
      <c r="FV924" s="1"/>
      <c r="FW924" s="1"/>
      <c r="FX924" s="1"/>
      <c r="FY924" s="1"/>
      <c r="FZ924" s="1"/>
      <c r="GA924" s="1"/>
      <c r="GB924" s="1"/>
      <c r="GD924" s="1"/>
      <c r="GE924" s="1"/>
      <c r="GF924" s="1"/>
      <c r="GG924" s="1"/>
      <c r="GH924" s="1"/>
      <c r="GI924" s="1"/>
      <c r="GJ924" s="1"/>
      <c r="GK924" s="1"/>
      <c r="GL924" s="1"/>
      <c r="GM924" s="1"/>
      <c r="GN924" s="1"/>
      <c r="GP924" s="1"/>
      <c r="GR924" s="1"/>
      <c r="GS924" s="1"/>
      <c r="GY924" s="1"/>
      <c r="HF924" s="1"/>
      <c r="HH924" s="1"/>
      <c r="HN924" s="1"/>
      <c r="HY924" s="1"/>
      <c r="IE924" s="1"/>
      <c r="IR924" s="1"/>
      <c r="IS924" s="1"/>
      <c r="IW924" s="1"/>
      <c r="IZ924" s="1"/>
      <c r="JA924" s="1"/>
      <c r="JC924" s="1"/>
      <c r="JG924" s="1"/>
      <c r="JJ924" s="1"/>
      <c r="JN924" s="1"/>
      <c r="JP924" s="1"/>
      <c r="JQ924" s="1"/>
      <c r="KU924" s="1"/>
      <c r="KV924" s="1"/>
      <c r="KY924" s="1"/>
      <c r="KZ924" s="1"/>
      <c r="LA924" s="1"/>
      <c r="LB924" s="1"/>
      <c r="LC924" s="1"/>
      <c r="LD924" s="1"/>
      <c r="LO924" s="1"/>
      <c r="LP924" s="1"/>
      <c r="LZ924" s="1"/>
      <c r="MA924" s="1"/>
    </row>
    <row r="925" spans="4:339" ht="13" x14ac:dyDescent="0.15">
      <c r="D925" s="12"/>
      <c r="E925" s="12"/>
      <c r="I925" s="12"/>
      <c r="J925" s="13"/>
      <c r="BF925" s="1"/>
      <c r="BG925" s="1"/>
      <c r="BH925" s="1"/>
      <c r="BI925" s="1"/>
      <c r="BK925" s="1"/>
      <c r="BL925" s="1"/>
      <c r="BM925" s="1"/>
      <c r="BN925" s="1"/>
      <c r="BO925" s="1"/>
      <c r="BP925" s="1"/>
      <c r="BQ925" s="1"/>
      <c r="BR925" s="1"/>
      <c r="CD925" s="1"/>
      <c r="CE925" s="1"/>
      <c r="CF925" s="1"/>
      <c r="CG925" s="1"/>
      <c r="CH925" s="1"/>
      <c r="CI925" s="1"/>
      <c r="CM925" s="2"/>
      <c r="CN925" s="1"/>
      <c r="CO925" s="1"/>
      <c r="CP925" s="1"/>
      <c r="CQ925" s="1"/>
      <c r="CX925" s="1"/>
      <c r="CY925" s="1"/>
      <c r="CZ925" s="1"/>
      <c r="DA925" s="1"/>
      <c r="DB925" s="1"/>
      <c r="DC925" s="1"/>
      <c r="DD925" s="1"/>
      <c r="DE925" s="1"/>
      <c r="DF925" s="1"/>
      <c r="DG925" s="1"/>
      <c r="DH925" s="1"/>
      <c r="DI925" s="1"/>
      <c r="DJ925" s="1"/>
      <c r="DK925" s="1"/>
      <c r="ED925" s="1"/>
      <c r="EK925" s="1"/>
      <c r="EL925" s="1"/>
      <c r="EM925" s="1"/>
      <c r="EN925" s="1"/>
      <c r="EQ925" s="1"/>
      <c r="ER925" s="1"/>
      <c r="ES925" s="1"/>
      <c r="EV925" s="1"/>
      <c r="EW925" s="1"/>
      <c r="EZ925" s="1"/>
      <c r="FA925" s="1"/>
      <c r="FD925" s="1"/>
      <c r="FG925" s="1"/>
      <c r="FH925" s="1"/>
      <c r="FJ925" s="1"/>
      <c r="FM925" s="1"/>
      <c r="FN925" s="1"/>
      <c r="FO925" s="1"/>
      <c r="FP925" s="1"/>
      <c r="FS925" s="1"/>
      <c r="FT925" s="1"/>
      <c r="FU925" s="1"/>
      <c r="FV925" s="1"/>
      <c r="FW925" s="1"/>
      <c r="FX925" s="1"/>
      <c r="FY925" s="1"/>
      <c r="FZ925" s="1"/>
      <c r="GA925" s="1"/>
      <c r="GD925" s="1"/>
      <c r="GE925" s="1"/>
      <c r="GF925" s="1"/>
      <c r="GG925" s="1"/>
      <c r="GH925" s="1"/>
      <c r="GI925" s="1"/>
      <c r="GJ925" s="1"/>
      <c r="GK925" s="1"/>
      <c r="GL925" s="1"/>
      <c r="GM925" s="1"/>
      <c r="GN925" s="1"/>
      <c r="GP925" s="1"/>
      <c r="GR925" s="1"/>
      <c r="GY925" s="1"/>
      <c r="HF925" s="1"/>
      <c r="HH925" s="1"/>
      <c r="HN925" s="1"/>
      <c r="HQ925" s="1"/>
      <c r="HY925" s="1"/>
      <c r="IC925" s="1"/>
      <c r="IE925" s="1"/>
      <c r="IG925" s="1"/>
      <c r="IR925" s="1"/>
      <c r="IS925" s="1"/>
      <c r="IY925" s="1"/>
      <c r="IZ925" s="1"/>
      <c r="JF925" s="1"/>
      <c r="JG925" s="1"/>
      <c r="JJ925" s="1"/>
      <c r="JK925" s="1"/>
      <c r="JL925" s="3"/>
      <c r="JM925" s="1"/>
      <c r="JN925" s="1"/>
      <c r="JP925" s="1"/>
      <c r="JQ925" s="1"/>
      <c r="JR925" s="1"/>
      <c r="KU925" s="1"/>
      <c r="KY925" s="1"/>
      <c r="KZ925" s="1"/>
      <c r="LA925" s="1"/>
      <c r="LB925" s="1"/>
      <c r="LC925" s="1"/>
      <c r="LD925" s="1"/>
      <c r="LO925" s="1"/>
      <c r="LP925" s="1"/>
      <c r="LZ925" s="1"/>
      <c r="MA925" s="1"/>
    </row>
    <row r="926" spans="4:339" ht="13" x14ac:dyDescent="0.15">
      <c r="D926" s="12"/>
      <c r="E926" s="12"/>
      <c r="I926" s="12"/>
      <c r="J926" s="13"/>
      <c r="BF926" s="1"/>
      <c r="BG926" s="1"/>
      <c r="BH926" s="1"/>
      <c r="BI926" s="1"/>
      <c r="BK926" s="1"/>
      <c r="BL926" s="1"/>
      <c r="BM926" s="1"/>
      <c r="BN926" s="1"/>
      <c r="BO926" s="1"/>
      <c r="BP926" s="1"/>
      <c r="BQ926" s="1"/>
      <c r="BR926" s="1"/>
      <c r="CD926" s="1"/>
      <c r="CE926" s="1"/>
      <c r="CF926" s="1"/>
      <c r="CG926" s="1"/>
      <c r="CH926" s="1"/>
      <c r="CI926" s="1"/>
      <c r="CM926" s="2"/>
      <c r="CN926" s="1"/>
      <c r="CO926" s="1"/>
      <c r="CP926" s="1"/>
      <c r="CQ926" s="1"/>
      <c r="CS926" s="1"/>
      <c r="CV926" s="1"/>
      <c r="CW926" s="1"/>
      <c r="CX926" s="1"/>
      <c r="CY926" s="1"/>
      <c r="CZ926" s="1"/>
      <c r="DA926" s="1"/>
      <c r="DB926" s="1"/>
      <c r="DC926" s="1"/>
      <c r="DD926" s="1"/>
      <c r="DE926" s="1"/>
      <c r="DF926" s="1"/>
      <c r="DG926" s="1"/>
      <c r="DH926" s="1"/>
      <c r="DI926" s="1"/>
      <c r="DJ926" s="1"/>
      <c r="DK926" s="1"/>
      <c r="DM926" s="1"/>
      <c r="DQ926" s="1"/>
      <c r="DR926" s="1"/>
      <c r="DY926" s="1"/>
      <c r="DZ926" s="1"/>
      <c r="ED926" s="1"/>
      <c r="EF926" s="1"/>
      <c r="EK926" s="1"/>
      <c r="EL926" s="1"/>
      <c r="EM926" s="1"/>
      <c r="EN926" s="1"/>
      <c r="EQ926" s="1"/>
      <c r="ER926" s="1"/>
      <c r="ES926" s="1"/>
      <c r="EV926" s="1"/>
      <c r="EW926" s="1"/>
      <c r="EZ926" s="1"/>
      <c r="FA926" s="1"/>
      <c r="FD926" s="1"/>
      <c r="FG926" s="1"/>
      <c r="FH926" s="1"/>
      <c r="FI926" s="1"/>
      <c r="FJ926" s="1"/>
      <c r="FK926" s="1"/>
      <c r="FM926" s="1"/>
      <c r="FN926" s="1"/>
      <c r="FO926" s="1"/>
      <c r="FP926" s="1"/>
      <c r="FQ926" s="1"/>
      <c r="FR926" s="1"/>
      <c r="FS926" s="1"/>
      <c r="FT926" s="1"/>
      <c r="FU926" s="1"/>
      <c r="FV926" s="1"/>
      <c r="FW926" s="1"/>
      <c r="FX926" s="1"/>
      <c r="FY926" s="1"/>
      <c r="FZ926" s="1"/>
      <c r="GA926" s="1"/>
      <c r="GB926" s="1"/>
      <c r="GD926" s="1"/>
      <c r="GE926" s="1"/>
      <c r="GF926" s="1"/>
      <c r="GG926" s="1"/>
      <c r="GH926" s="1"/>
      <c r="GI926" s="1"/>
      <c r="GJ926" s="1"/>
      <c r="GK926" s="1"/>
      <c r="GL926" s="1"/>
      <c r="GM926" s="1"/>
      <c r="GN926" s="1"/>
      <c r="GO926" s="1"/>
      <c r="GP926" s="1"/>
      <c r="GR926" s="1"/>
      <c r="GS926" s="1"/>
      <c r="GY926" s="1"/>
      <c r="HF926" s="1"/>
      <c r="HH926" s="1"/>
      <c r="HN926" s="1"/>
      <c r="HY926" s="1"/>
      <c r="IC926" s="1"/>
      <c r="IE926" s="1"/>
      <c r="IR926" s="1"/>
      <c r="IS926" s="1"/>
      <c r="IW926" s="1"/>
      <c r="IY926" s="1"/>
      <c r="IZ926" s="1"/>
      <c r="JA926" s="1"/>
      <c r="JF926" s="1"/>
      <c r="JH926" s="1"/>
      <c r="JJ926" s="1"/>
      <c r="JN926" s="1"/>
      <c r="JP926" s="1"/>
      <c r="JQ926" s="1"/>
      <c r="KU926" s="1"/>
      <c r="KV926" s="1"/>
      <c r="KY926" s="1"/>
      <c r="KZ926" s="1"/>
      <c r="LA926" s="1"/>
      <c r="LB926" s="1"/>
      <c r="LC926" s="1"/>
      <c r="LD926" s="1"/>
      <c r="LO926" s="1"/>
      <c r="LP926" s="1"/>
      <c r="LW926" s="1"/>
      <c r="LZ926" s="1"/>
      <c r="MA926" s="1"/>
    </row>
    <row r="927" spans="4:339" ht="13" x14ac:dyDescent="0.15">
      <c r="D927" s="12"/>
      <c r="E927" s="12"/>
      <c r="I927" s="12"/>
      <c r="J927" s="13"/>
      <c r="BF927" s="1"/>
      <c r="BG927" s="1"/>
      <c r="BH927" s="1"/>
      <c r="BI927" s="1"/>
      <c r="BJ927" s="1"/>
      <c r="BK927" s="1"/>
      <c r="BL927" s="1"/>
      <c r="BM927" s="1"/>
      <c r="BN927" s="1"/>
      <c r="BO927" s="1"/>
      <c r="BP927" s="1"/>
      <c r="BQ927" s="1"/>
      <c r="BR927" s="1"/>
      <c r="CD927" s="1"/>
      <c r="CE927" s="1"/>
      <c r="CF927" s="1"/>
      <c r="CG927" s="1"/>
      <c r="CH927" s="1"/>
      <c r="CI927" s="1"/>
      <c r="CM927" s="2"/>
      <c r="CN927" s="1"/>
      <c r="CO927" s="1"/>
      <c r="CP927" s="1"/>
      <c r="CQ927" s="1"/>
      <c r="CS927" s="1"/>
      <c r="CT927" s="1"/>
      <c r="CU927" s="1"/>
      <c r="CV927" s="1"/>
      <c r="CW927" s="1"/>
      <c r="CX927" s="1"/>
      <c r="CY927" s="1"/>
      <c r="CZ927" s="1"/>
      <c r="DA927" s="1"/>
      <c r="DB927" s="1"/>
      <c r="DC927" s="1"/>
      <c r="DD927" s="1"/>
      <c r="DE927" s="1"/>
      <c r="DF927" s="1"/>
      <c r="DG927" s="1"/>
      <c r="DH927" s="1"/>
      <c r="DI927" s="1"/>
      <c r="DJ927" s="1"/>
      <c r="DK927" s="1"/>
      <c r="ED927" s="1"/>
      <c r="EK927" s="1"/>
      <c r="EL927" s="1"/>
      <c r="EM927" s="1"/>
      <c r="EN927" s="1"/>
      <c r="EQ927" s="1"/>
      <c r="ER927" s="1"/>
      <c r="ES927" s="1"/>
      <c r="EV927" s="1"/>
      <c r="EW927" s="1"/>
      <c r="EZ927" s="1"/>
      <c r="FA927" s="1"/>
      <c r="FD927" s="1"/>
      <c r="FG927" s="1"/>
      <c r="FH927" s="1"/>
      <c r="FI927" s="1"/>
      <c r="FJ927" s="1"/>
      <c r="FM927" s="1"/>
      <c r="FN927" s="1"/>
      <c r="FO927" s="1"/>
      <c r="FP927" s="1"/>
      <c r="FQ927" s="1"/>
      <c r="FS927" s="1"/>
      <c r="FT927" s="1"/>
      <c r="FU927" s="1"/>
      <c r="FV927" s="1"/>
      <c r="FW927" s="1"/>
      <c r="FX927" s="1"/>
      <c r="FY927" s="1"/>
      <c r="FZ927" s="1"/>
      <c r="GA927" s="1"/>
      <c r="GD927" s="1"/>
      <c r="GE927" s="1"/>
      <c r="GF927" s="1"/>
      <c r="GG927" s="1"/>
      <c r="GH927" s="1"/>
      <c r="GI927" s="1"/>
      <c r="GJ927" s="1"/>
      <c r="GM927" s="1"/>
      <c r="GN927" s="1"/>
      <c r="GP927" s="1"/>
      <c r="GR927" s="1"/>
      <c r="GV927" s="1"/>
      <c r="HE927" s="1"/>
      <c r="HT927" s="1"/>
      <c r="HY927" s="1"/>
      <c r="IC927" s="1"/>
      <c r="ID927" s="1"/>
      <c r="IE927" s="1"/>
      <c r="IR927" s="1"/>
      <c r="IS927" s="1"/>
      <c r="IZ927" s="1"/>
      <c r="JF927" s="1"/>
      <c r="JG927" s="1"/>
      <c r="JH927" s="1"/>
      <c r="JJ927" s="1"/>
      <c r="JP927" s="1"/>
      <c r="JQ927" s="1"/>
      <c r="KU927" s="1"/>
      <c r="KY927" s="1"/>
      <c r="KZ927" s="1"/>
      <c r="LA927" s="1"/>
      <c r="LB927" s="1"/>
      <c r="LC927" s="1"/>
      <c r="LD927" s="1"/>
      <c r="LO927" s="1"/>
      <c r="LP927" s="1"/>
      <c r="LZ927" s="1"/>
      <c r="MA927" s="1"/>
    </row>
    <row r="928" spans="4:339" ht="13" x14ac:dyDescent="0.15">
      <c r="D928" s="12"/>
      <c r="E928" s="12"/>
      <c r="I928" s="12"/>
      <c r="J928" s="13"/>
      <c r="BF928" s="1"/>
      <c r="BG928" s="1"/>
      <c r="BH928" s="1"/>
      <c r="BI928" s="1"/>
      <c r="BK928" s="1"/>
      <c r="BL928" s="1"/>
      <c r="BM928" s="1"/>
      <c r="BN928" s="1"/>
      <c r="BO928" s="1"/>
      <c r="BP928" s="1"/>
      <c r="BQ928" s="1"/>
      <c r="BR928" s="1"/>
      <c r="CD928" s="1"/>
      <c r="CE928" s="1"/>
      <c r="CF928" s="1"/>
      <c r="CG928" s="1"/>
      <c r="CH928" s="1"/>
      <c r="CI928" s="1"/>
      <c r="CM928" s="4"/>
      <c r="CN928" s="1"/>
      <c r="CO928" s="1"/>
      <c r="CP928" s="1"/>
      <c r="CQ928" s="1"/>
      <c r="CX928" s="1"/>
      <c r="CY928" s="1"/>
      <c r="CZ928" s="1"/>
      <c r="DA928" s="1"/>
      <c r="DB928" s="1"/>
      <c r="DC928" s="1"/>
      <c r="DD928" s="1"/>
      <c r="DE928" s="1"/>
      <c r="DF928" s="1"/>
      <c r="DG928" s="1"/>
      <c r="DH928" s="1"/>
      <c r="DI928" s="1"/>
      <c r="DJ928" s="1"/>
      <c r="DK928" s="1"/>
      <c r="ED928" s="1"/>
      <c r="EK928" s="1"/>
      <c r="EL928" s="1"/>
      <c r="EM928" s="1"/>
      <c r="EN928" s="1"/>
      <c r="EQ928" s="1"/>
      <c r="ER928" s="1"/>
      <c r="ES928" s="1"/>
      <c r="EV928" s="1"/>
      <c r="EW928" s="1"/>
      <c r="EZ928" s="1"/>
      <c r="FA928" s="1"/>
      <c r="FD928" s="1"/>
      <c r="FN928" s="1"/>
      <c r="FO928" s="1"/>
      <c r="FX928" s="1"/>
      <c r="GD928" s="1"/>
      <c r="GE928" s="1"/>
      <c r="GF928" s="1"/>
      <c r="GG928" s="1"/>
      <c r="GH928" s="1"/>
      <c r="GI928" s="1"/>
      <c r="GJ928" s="1"/>
      <c r="GN928" s="1"/>
      <c r="GP928" s="1"/>
      <c r="GV928" s="1"/>
      <c r="HE928" s="1"/>
      <c r="HF928" s="1"/>
      <c r="HH928" s="1"/>
      <c r="HN928" s="1"/>
      <c r="HY928" s="1"/>
      <c r="IE928" s="1"/>
      <c r="IR928" s="1"/>
      <c r="IS928" s="1"/>
      <c r="IZ928" s="1"/>
      <c r="JJ928" s="1"/>
      <c r="JN928" s="1"/>
      <c r="JP928" s="1"/>
      <c r="JQ928" s="1"/>
      <c r="LR928" s="1"/>
      <c r="LS928" s="1"/>
      <c r="LT928" s="1"/>
      <c r="LU928" s="1"/>
      <c r="LZ928" s="1"/>
      <c r="MA928" s="1"/>
    </row>
    <row r="929" spans="4:339" ht="13" x14ac:dyDescent="0.15">
      <c r="D929" s="12"/>
      <c r="E929" s="12"/>
      <c r="I929" s="12"/>
      <c r="J929" s="13"/>
      <c r="BF929" s="1"/>
      <c r="BG929" s="1"/>
      <c r="BH929" s="1"/>
      <c r="BI929" s="1"/>
      <c r="BJ929" s="1"/>
      <c r="BK929" s="1"/>
      <c r="BL929" s="1"/>
      <c r="BM929" s="1"/>
      <c r="BN929" s="1"/>
      <c r="BO929" s="1"/>
      <c r="BP929" s="1"/>
      <c r="BQ929" s="1"/>
      <c r="BR929" s="1"/>
      <c r="CD929" s="1"/>
      <c r="CE929" s="1"/>
      <c r="CF929" s="1"/>
      <c r="CG929" s="1"/>
      <c r="CH929" s="1"/>
      <c r="CI929" s="1"/>
      <c r="CM929" s="2"/>
      <c r="CN929" s="1"/>
      <c r="CO929" s="1"/>
      <c r="CQ929" s="1"/>
      <c r="CY929" s="1"/>
      <c r="DC929" s="1"/>
      <c r="DH929" s="1"/>
      <c r="DM929" s="1"/>
      <c r="DR929" s="1"/>
      <c r="ED929" s="1"/>
      <c r="EF929" s="1"/>
      <c r="EK929" s="1"/>
      <c r="EL929" s="1"/>
      <c r="EM929" s="1"/>
      <c r="EN929" s="1"/>
      <c r="EQ929" s="1"/>
      <c r="ER929" s="1"/>
      <c r="ES929" s="1"/>
      <c r="EV929" s="1"/>
      <c r="EW929" s="1"/>
      <c r="EZ929" s="1"/>
      <c r="FA929" s="1"/>
      <c r="FD929" s="1"/>
      <c r="FG929" s="1"/>
      <c r="FH929" s="1"/>
      <c r="FI929" s="1"/>
      <c r="FJ929" s="1"/>
      <c r="FL929" s="1"/>
      <c r="FM929" s="1"/>
      <c r="FN929" s="1"/>
      <c r="FO929" s="1"/>
      <c r="FP929" s="1"/>
      <c r="FQ929" s="1"/>
      <c r="FS929" s="1"/>
      <c r="FT929" s="1"/>
      <c r="FU929" s="1"/>
      <c r="FV929" s="1"/>
      <c r="FW929" s="1"/>
      <c r="FX929" s="1"/>
      <c r="FY929" s="1"/>
      <c r="FZ929" s="1"/>
      <c r="GA929" s="1"/>
      <c r="GB929" s="1"/>
      <c r="GD929" s="1"/>
      <c r="GE929" s="1"/>
      <c r="GF929" s="1"/>
      <c r="GG929" s="1"/>
      <c r="GH929" s="1"/>
      <c r="GI929" s="1"/>
      <c r="GJ929" s="1"/>
      <c r="GK929" s="1"/>
      <c r="GL929" s="1"/>
      <c r="GM929" s="1"/>
      <c r="GN929" s="1"/>
      <c r="GP929" s="1"/>
      <c r="GR929" s="1"/>
      <c r="GY929" s="1"/>
      <c r="HF929" s="1"/>
      <c r="HH929" s="1"/>
      <c r="IR929" s="1"/>
      <c r="IS929" s="1"/>
      <c r="IZ929" s="1"/>
      <c r="JF929" s="1"/>
      <c r="JJ929" s="1"/>
      <c r="JN929" s="1"/>
      <c r="JP929" s="1"/>
      <c r="JQ929" s="1"/>
      <c r="JT929" s="1"/>
      <c r="KV929" s="1"/>
      <c r="KY929" s="1"/>
      <c r="KZ929" s="1"/>
      <c r="LA929" s="1"/>
      <c r="LB929" s="1"/>
      <c r="LC929" s="1"/>
      <c r="LD929" s="1"/>
      <c r="LO929" s="1"/>
      <c r="LP929" s="1"/>
      <c r="LZ929" s="1"/>
      <c r="MA929" s="1"/>
    </row>
    <row r="930" spans="4:339" ht="13" x14ac:dyDescent="0.15">
      <c r="D930" s="12"/>
      <c r="E930" s="12"/>
      <c r="I930" s="12"/>
      <c r="J930" s="13"/>
      <c r="BF930" s="1"/>
      <c r="BG930" s="1"/>
      <c r="BH930" s="1"/>
      <c r="BI930" s="1"/>
      <c r="BK930" s="1"/>
      <c r="BL930" s="1"/>
      <c r="BM930" s="1"/>
      <c r="BN930" s="1"/>
      <c r="BO930" s="1"/>
      <c r="BP930" s="1"/>
      <c r="BQ930" s="1"/>
      <c r="BR930" s="1"/>
      <c r="BX930" s="1"/>
      <c r="CD930" s="1"/>
      <c r="CE930" s="1"/>
      <c r="CF930" s="1"/>
      <c r="CG930" s="1"/>
      <c r="CH930" s="1"/>
      <c r="CI930" s="1"/>
      <c r="CM930" s="2"/>
      <c r="CN930" s="1"/>
      <c r="CO930" s="1"/>
      <c r="CP930" s="1"/>
      <c r="CQ930" s="1"/>
      <c r="CS930" s="1"/>
      <c r="CT930" s="1"/>
      <c r="CU930" s="1"/>
      <c r="CV930" s="1"/>
      <c r="CW930" s="1"/>
      <c r="CX930" s="1"/>
      <c r="CY930" s="1"/>
      <c r="CZ930" s="1"/>
      <c r="DA930" s="1"/>
      <c r="DB930" s="1"/>
      <c r="DC930" s="1"/>
      <c r="DD930" s="1"/>
      <c r="DE930" s="1"/>
      <c r="DF930" s="1"/>
      <c r="DG930" s="1"/>
      <c r="DH930" s="1"/>
      <c r="DI930" s="1"/>
      <c r="DJ930" s="1"/>
      <c r="DK930" s="1"/>
      <c r="DM930" s="1"/>
      <c r="DQ930" s="1"/>
      <c r="DR930" s="1"/>
      <c r="DY930" s="1"/>
      <c r="DZ930" s="1"/>
      <c r="ED930" s="1"/>
      <c r="EF930" s="1"/>
      <c r="EK930" s="1"/>
      <c r="EL930" s="1"/>
      <c r="EM930" s="1"/>
      <c r="EN930" s="1"/>
      <c r="EQ930" s="1"/>
      <c r="ER930" s="1"/>
      <c r="ES930" s="1"/>
      <c r="EV930" s="1"/>
      <c r="EW930" s="1"/>
      <c r="EZ930" s="1"/>
      <c r="FA930" s="1"/>
      <c r="FD930" s="1"/>
      <c r="FG930" s="1"/>
      <c r="FH930" s="1"/>
      <c r="FI930" s="1"/>
      <c r="FJ930" s="1"/>
      <c r="FK930" s="1"/>
      <c r="FM930" s="1"/>
      <c r="FN930" s="1"/>
      <c r="FO930" s="1"/>
      <c r="FP930" s="1"/>
      <c r="FQ930" s="1"/>
      <c r="FR930" s="1"/>
      <c r="FS930" s="1"/>
      <c r="FT930" s="1"/>
      <c r="FU930" s="1"/>
      <c r="FV930" s="1"/>
      <c r="FW930" s="1"/>
      <c r="FX930" s="1"/>
      <c r="FY930" s="1"/>
      <c r="FZ930" s="1"/>
      <c r="GA930" s="1"/>
      <c r="GD930" s="1"/>
      <c r="GE930" s="1"/>
      <c r="GF930" s="1"/>
      <c r="GG930" s="1"/>
      <c r="GH930" s="1"/>
      <c r="GI930" s="1"/>
      <c r="GJ930" s="1"/>
      <c r="GK930" s="1"/>
      <c r="GL930" s="1"/>
      <c r="GM930" s="1"/>
      <c r="GN930" s="1"/>
      <c r="GO930" s="1"/>
      <c r="GP930" s="1"/>
      <c r="GR930" s="1"/>
      <c r="GY930" s="1"/>
      <c r="HF930" s="1"/>
      <c r="HH930" s="1"/>
      <c r="HQ930" s="1"/>
      <c r="HY930" s="1"/>
      <c r="IC930" s="1"/>
      <c r="ID930" s="1"/>
      <c r="IE930" s="1"/>
      <c r="IR930" s="1"/>
      <c r="IS930" s="1"/>
      <c r="IY930" s="1"/>
      <c r="IZ930" s="1"/>
      <c r="JC930" s="1"/>
      <c r="JF930" s="1"/>
      <c r="JG930" s="1"/>
      <c r="JH930" s="1"/>
      <c r="JJ930" s="1"/>
      <c r="JN930" s="1"/>
      <c r="JP930" s="1"/>
      <c r="JQ930" s="1"/>
      <c r="JT930" s="1"/>
      <c r="KU930" s="1"/>
      <c r="KV930" s="1"/>
      <c r="KW930" s="1"/>
      <c r="KY930" s="1"/>
      <c r="KZ930" s="1"/>
      <c r="LA930" s="1"/>
      <c r="LB930" s="1"/>
      <c r="LC930" s="1"/>
      <c r="LD930" s="1"/>
      <c r="LN930" s="1"/>
      <c r="LO930" s="1"/>
      <c r="LP930" s="1"/>
      <c r="LZ930" s="1"/>
      <c r="MA930" s="1"/>
    </row>
    <row r="931" spans="4:339" ht="13" x14ac:dyDescent="0.15">
      <c r="D931" s="12"/>
      <c r="E931" s="12"/>
      <c r="I931" s="12"/>
      <c r="J931" s="13"/>
      <c r="BF931" s="1"/>
      <c r="BG931" s="1"/>
      <c r="BH931" s="1"/>
      <c r="BI931" s="1"/>
      <c r="BK931" s="1"/>
      <c r="BL931" s="1"/>
      <c r="BM931" s="1"/>
      <c r="BN931" s="1"/>
      <c r="BO931" s="1"/>
      <c r="BP931" s="1"/>
      <c r="BQ931" s="1"/>
      <c r="BR931" s="1"/>
      <c r="BX931" s="1"/>
      <c r="CD931" s="1"/>
      <c r="CE931" s="1"/>
      <c r="CF931" s="1"/>
      <c r="CG931" s="1"/>
      <c r="CH931" s="1"/>
      <c r="CI931" s="1"/>
      <c r="CM931" s="2"/>
      <c r="CN931" s="1"/>
      <c r="CO931" s="1"/>
      <c r="CP931" s="1"/>
      <c r="CQ931" s="1"/>
      <c r="CS931" s="1"/>
      <c r="CT931" s="1"/>
      <c r="CU931" s="1"/>
      <c r="CV931" s="1"/>
      <c r="CW931" s="1"/>
      <c r="CX931" s="1"/>
      <c r="CY931" s="1"/>
      <c r="CZ931" s="1"/>
      <c r="DA931" s="1"/>
      <c r="DB931" s="1"/>
      <c r="DC931" s="1"/>
      <c r="DD931" s="1"/>
      <c r="DE931" s="1"/>
      <c r="DF931" s="1"/>
      <c r="DG931" s="1"/>
      <c r="DH931" s="1"/>
      <c r="DI931" s="1"/>
      <c r="DJ931" s="1"/>
      <c r="DK931" s="1"/>
      <c r="DM931" s="1"/>
      <c r="DQ931" s="1"/>
      <c r="DR931" s="1"/>
      <c r="DY931" s="1"/>
      <c r="DZ931" s="1"/>
      <c r="ED931" s="1"/>
      <c r="EF931" s="1"/>
      <c r="EK931" s="1"/>
      <c r="EL931" s="1"/>
      <c r="EM931" s="1"/>
      <c r="EN931" s="1"/>
      <c r="EQ931" s="1"/>
      <c r="ER931" s="1"/>
      <c r="ES931" s="1"/>
      <c r="EV931" s="1"/>
      <c r="EW931" s="1"/>
      <c r="EZ931" s="1"/>
      <c r="FA931" s="1"/>
      <c r="FD931" s="1"/>
      <c r="FG931" s="1"/>
      <c r="FH931" s="1"/>
      <c r="FI931" s="1"/>
      <c r="FJ931" s="1"/>
      <c r="FK931" s="1"/>
      <c r="FM931" s="1"/>
      <c r="FN931" s="1"/>
      <c r="FO931" s="1"/>
      <c r="FP931" s="1"/>
      <c r="FQ931" s="1"/>
      <c r="FR931" s="1"/>
      <c r="FS931" s="1"/>
      <c r="FT931" s="1"/>
      <c r="FU931" s="1"/>
      <c r="FV931" s="1"/>
      <c r="FW931" s="1"/>
      <c r="FX931" s="1"/>
      <c r="FY931" s="1"/>
      <c r="FZ931" s="1"/>
      <c r="GA931" s="1"/>
      <c r="GD931" s="1"/>
      <c r="GE931" s="1"/>
      <c r="GF931" s="1"/>
      <c r="GG931" s="1"/>
      <c r="GH931" s="1"/>
      <c r="GI931" s="1"/>
      <c r="GJ931" s="1"/>
      <c r="GK931" s="1"/>
      <c r="GL931" s="1"/>
      <c r="GM931" s="1"/>
      <c r="GN931" s="1"/>
      <c r="GO931" s="1"/>
      <c r="GP931" s="1"/>
      <c r="GR931" s="1"/>
      <c r="GY931" s="1"/>
      <c r="HF931" s="1"/>
      <c r="HH931" s="1"/>
      <c r="HQ931" s="1"/>
      <c r="HY931" s="1"/>
      <c r="IC931" s="1"/>
      <c r="ID931" s="1"/>
      <c r="IE931" s="1"/>
      <c r="IR931" s="1"/>
      <c r="IS931" s="1"/>
      <c r="IY931" s="1"/>
      <c r="IZ931" s="1"/>
      <c r="JC931" s="1"/>
      <c r="JF931" s="1"/>
      <c r="JG931" s="1"/>
      <c r="JH931" s="1"/>
      <c r="JJ931" s="1"/>
      <c r="JN931" s="1"/>
      <c r="JP931" s="1"/>
      <c r="JQ931" s="1"/>
      <c r="JT931" s="1"/>
      <c r="KU931" s="1"/>
      <c r="KV931" s="1"/>
      <c r="KW931" s="1"/>
      <c r="KY931" s="1"/>
      <c r="KZ931" s="1"/>
      <c r="LA931" s="1"/>
      <c r="LB931" s="1"/>
      <c r="LC931" s="1"/>
      <c r="LD931" s="1"/>
      <c r="LN931" s="1"/>
      <c r="LO931" s="1"/>
      <c r="LP931" s="1"/>
      <c r="LZ931" s="1"/>
      <c r="MA931" s="1"/>
    </row>
    <row r="932" spans="4:339" ht="13" x14ac:dyDescent="0.15">
      <c r="D932" s="12"/>
      <c r="E932" s="12"/>
      <c r="I932" s="12"/>
      <c r="J932" s="13"/>
      <c r="BF932" s="1"/>
      <c r="BG932" s="1"/>
      <c r="BH932" s="1"/>
      <c r="BI932" s="1"/>
      <c r="BK932" s="1"/>
      <c r="BL932" s="1"/>
      <c r="BM932" s="1"/>
      <c r="BN932" s="1"/>
      <c r="BO932" s="1"/>
      <c r="BP932" s="1"/>
      <c r="BQ932" s="1"/>
      <c r="BR932" s="1"/>
      <c r="BX932" s="1"/>
      <c r="CD932" s="1"/>
      <c r="CE932" s="1"/>
      <c r="CF932" s="1"/>
      <c r="CG932" s="1"/>
      <c r="CH932" s="1"/>
      <c r="CI932" s="1"/>
      <c r="CM932" s="2"/>
      <c r="CN932" s="1"/>
      <c r="CO932" s="1"/>
      <c r="CP932" s="1"/>
      <c r="CQ932" s="1"/>
      <c r="CS932" s="1"/>
      <c r="CT932" s="1"/>
      <c r="CU932" s="1"/>
      <c r="CV932" s="1"/>
      <c r="CW932" s="1"/>
      <c r="CX932" s="1"/>
      <c r="CY932" s="1"/>
      <c r="CZ932" s="1"/>
      <c r="DA932" s="1"/>
      <c r="DB932" s="1"/>
      <c r="DC932" s="1"/>
      <c r="DD932" s="1"/>
      <c r="DE932" s="1"/>
      <c r="DF932" s="1"/>
      <c r="DG932" s="1"/>
      <c r="DH932" s="1"/>
      <c r="DI932" s="1"/>
      <c r="DJ932" s="1"/>
      <c r="DK932" s="1"/>
      <c r="DM932" s="1"/>
      <c r="DQ932" s="1"/>
      <c r="DR932" s="1"/>
      <c r="DY932" s="1"/>
      <c r="DZ932" s="1"/>
      <c r="ED932" s="1"/>
      <c r="EF932" s="1"/>
      <c r="EK932" s="1"/>
      <c r="EL932" s="1"/>
      <c r="EM932" s="1"/>
      <c r="EN932" s="1"/>
      <c r="EQ932" s="1"/>
      <c r="ER932" s="1"/>
      <c r="ES932" s="1"/>
      <c r="EV932" s="1"/>
      <c r="EW932" s="1"/>
      <c r="EZ932" s="1"/>
      <c r="FA932" s="1"/>
      <c r="FD932" s="1"/>
      <c r="FG932" s="1"/>
      <c r="FH932" s="1"/>
      <c r="FI932" s="1"/>
      <c r="FJ932" s="1"/>
      <c r="FK932" s="1"/>
      <c r="FM932" s="1"/>
      <c r="FN932" s="1"/>
      <c r="FO932" s="1"/>
      <c r="FP932" s="1"/>
      <c r="FQ932" s="1"/>
      <c r="FR932" s="1"/>
      <c r="FS932" s="1"/>
      <c r="FT932" s="1"/>
      <c r="FU932" s="1"/>
      <c r="FV932" s="1"/>
      <c r="FW932" s="1"/>
      <c r="FX932" s="1"/>
      <c r="FY932" s="1"/>
      <c r="FZ932" s="1"/>
      <c r="GA932" s="1"/>
      <c r="GD932" s="1"/>
      <c r="GE932" s="1"/>
      <c r="GF932" s="1"/>
      <c r="GG932" s="1"/>
      <c r="GH932" s="1"/>
      <c r="GI932" s="1"/>
      <c r="GJ932" s="1"/>
      <c r="GK932" s="1"/>
      <c r="GL932" s="1"/>
      <c r="GM932" s="1"/>
      <c r="GN932" s="1"/>
      <c r="GO932" s="1"/>
      <c r="GP932" s="1"/>
      <c r="GR932" s="1"/>
      <c r="GY932" s="1"/>
      <c r="HF932" s="1"/>
      <c r="HH932" s="1"/>
      <c r="HQ932" s="1"/>
      <c r="HY932" s="1"/>
      <c r="IC932" s="1"/>
      <c r="ID932" s="1"/>
      <c r="IE932" s="1"/>
      <c r="IR932" s="1"/>
      <c r="IS932" s="1"/>
      <c r="IY932" s="1"/>
      <c r="IZ932" s="1"/>
      <c r="JC932" s="1"/>
      <c r="JF932" s="1"/>
      <c r="JG932" s="1"/>
      <c r="JH932" s="1"/>
      <c r="JJ932" s="1"/>
      <c r="JN932" s="1"/>
      <c r="JP932" s="1"/>
      <c r="JQ932" s="1"/>
      <c r="JT932" s="1"/>
      <c r="KU932" s="1"/>
      <c r="KV932" s="1"/>
      <c r="KW932" s="1"/>
      <c r="KY932" s="1"/>
      <c r="KZ932" s="1"/>
      <c r="LA932" s="1"/>
      <c r="LB932" s="1"/>
      <c r="LC932" s="1"/>
      <c r="LD932" s="1"/>
      <c r="LN932" s="1"/>
      <c r="LO932" s="1"/>
      <c r="LP932" s="1"/>
      <c r="LZ932" s="1"/>
      <c r="MA932" s="1"/>
    </row>
    <row r="933" spans="4:339" ht="13" x14ac:dyDescent="0.15">
      <c r="D933" s="12"/>
      <c r="E933" s="12"/>
      <c r="I933" s="12"/>
      <c r="J933" s="13"/>
      <c r="BF933" s="1"/>
      <c r="BG933" s="1"/>
      <c r="BH933" s="1"/>
      <c r="BI933" s="1"/>
      <c r="BJ933" s="1"/>
      <c r="BK933" s="1"/>
      <c r="BL933" s="1"/>
      <c r="BM933" s="1"/>
      <c r="BN933" s="1"/>
      <c r="BO933" s="1"/>
      <c r="BP933" s="1"/>
      <c r="BQ933" s="1"/>
      <c r="BR933" s="1"/>
      <c r="BX933" s="1"/>
      <c r="CD933" s="1"/>
      <c r="CE933" s="1"/>
      <c r="CF933" s="1"/>
      <c r="CG933" s="1"/>
      <c r="CH933" s="1"/>
      <c r="CI933" s="1"/>
      <c r="CK933" s="1"/>
      <c r="CM933" s="2"/>
      <c r="CN933" s="1"/>
      <c r="CO933" s="1"/>
      <c r="CP933" s="1"/>
      <c r="CQ933" s="1"/>
      <c r="CR933" s="1"/>
      <c r="CS933" s="1"/>
      <c r="CT933" s="1"/>
      <c r="CU933" s="1"/>
      <c r="CV933" s="1"/>
      <c r="CW933" s="1"/>
      <c r="CX933" s="1"/>
      <c r="CY933" s="1"/>
      <c r="CZ933" s="1"/>
      <c r="DA933" s="1"/>
      <c r="DB933" s="1"/>
      <c r="DC933" s="1"/>
      <c r="DD933" s="1"/>
      <c r="DE933" s="1"/>
      <c r="DF933" s="1"/>
      <c r="DG933" s="1"/>
      <c r="DH933" s="1"/>
      <c r="DI933" s="5"/>
      <c r="DJ933" s="1"/>
      <c r="DK933" s="1"/>
      <c r="DM933" s="1"/>
      <c r="DQ933" s="1"/>
      <c r="DR933" s="1"/>
      <c r="DY933" s="1"/>
      <c r="DZ933" s="1"/>
      <c r="ED933" s="1"/>
      <c r="EE933" s="1"/>
      <c r="EF933" s="1"/>
      <c r="EG933" s="1"/>
      <c r="EH933" s="1"/>
      <c r="EK933" s="1"/>
      <c r="EL933" s="1"/>
      <c r="EM933" s="1"/>
      <c r="EN933" s="1"/>
      <c r="EQ933" s="1"/>
      <c r="ER933" s="1"/>
      <c r="ES933" s="1"/>
      <c r="EV933" s="1"/>
      <c r="EW933" s="1"/>
      <c r="EY933" s="1"/>
      <c r="EZ933" s="1"/>
      <c r="FA933" s="1"/>
      <c r="FD933" s="1"/>
      <c r="FF933" s="1"/>
      <c r="FG933" s="1"/>
      <c r="FH933" s="1"/>
      <c r="FJ933" s="1"/>
      <c r="FL933" s="1"/>
      <c r="FN933" s="1"/>
      <c r="FO933" s="1"/>
      <c r="FP933" s="1"/>
      <c r="FQ933" s="1"/>
      <c r="FR933" s="1"/>
      <c r="FS933" s="1"/>
      <c r="FT933" s="1"/>
      <c r="FV933" s="1"/>
      <c r="FW933" s="1"/>
      <c r="FX933" s="1"/>
      <c r="FZ933" s="1"/>
      <c r="GA933" s="1"/>
      <c r="GD933" s="1"/>
      <c r="GE933" s="1"/>
      <c r="GF933" s="1"/>
      <c r="GG933" s="1"/>
      <c r="GH933" s="1"/>
      <c r="GI933" s="1"/>
      <c r="GJ933" s="1"/>
      <c r="GK933" s="1"/>
      <c r="GL933" s="1"/>
      <c r="GM933" s="1"/>
      <c r="GN933" s="1"/>
      <c r="GO933" s="1"/>
      <c r="GP933" s="1"/>
      <c r="GR933" s="1"/>
      <c r="GY933" s="1"/>
      <c r="HF933" s="1"/>
      <c r="HH933" s="1"/>
      <c r="HN933" s="1"/>
      <c r="HR933" s="1"/>
      <c r="HS933" s="1"/>
      <c r="HT933" s="1"/>
      <c r="HY933" s="1"/>
      <c r="IE933" s="1"/>
      <c r="IG933" s="1"/>
      <c r="IJ933" s="1"/>
      <c r="IR933" s="1"/>
      <c r="IS933" s="1"/>
      <c r="IY933" s="1"/>
      <c r="IZ933" s="1"/>
      <c r="JC933" s="1"/>
      <c r="JF933" s="1"/>
      <c r="JG933" s="1"/>
      <c r="JH933" s="1"/>
      <c r="JI933" s="1"/>
      <c r="JJ933" s="1"/>
      <c r="JK933" s="1"/>
      <c r="JL933" s="3"/>
      <c r="JM933" s="1"/>
      <c r="JN933" s="1"/>
      <c r="JP933" s="1"/>
      <c r="JQ933" s="1"/>
      <c r="JR933" s="1"/>
      <c r="JT933" s="1"/>
      <c r="KU933" s="1"/>
      <c r="KY933" s="1"/>
      <c r="KZ933" s="1"/>
      <c r="LA933" s="1"/>
      <c r="LB933" s="1"/>
      <c r="LC933" s="1"/>
      <c r="LD933" s="1"/>
      <c r="LO933" s="1"/>
      <c r="LP933" s="1"/>
      <c r="LZ933" s="1"/>
      <c r="MA933" s="1"/>
    </row>
    <row r="934" spans="4:339" ht="13" x14ac:dyDescent="0.15">
      <c r="D934" s="12"/>
      <c r="E934" s="12"/>
      <c r="I934" s="12"/>
      <c r="J934" s="13"/>
      <c r="BF934" s="1"/>
      <c r="BG934" s="1"/>
      <c r="BH934" s="1"/>
      <c r="BI934" s="1"/>
      <c r="BJ934" s="1"/>
      <c r="BK934" s="1"/>
      <c r="BL934" s="1"/>
      <c r="BM934" s="1"/>
      <c r="BN934" s="1"/>
      <c r="BO934" s="1"/>
      <c r="BP934" s="1"/>
      <c r="BQ934" s="1"/>
      <c r="BR934" s="1"/>
      <c r="BX934" s="1"/>
      <c r="CD934" s="1"/>
      <c r="CE934" s="1"/>
      <c r="CF934" s="1"/>
      <c r="CG934" s="1"/>
      <c r="CH934" s="1"/>
      <c r="CI934" s="1"/>
      <c r="CK934" s="1"/>
      <c r="CM934" s="2"/>
      <c r="CN934" s="1"/>
      <c r="CO934" s="1"/>
      <c r="CP934" s="1"/>
      <c r="CQ934" s="1"/>
      <c r="CR934" s="1"/>
      <c r="CS934" s="1"/>
      <c r="CT934" s="1"/>
      <c r="CU934" s="1"/>
      <c r="CV934" s="1"/>
      <c r="CW934" s="1"/>
      <c r="CX934" s="1"/>
      <c r="CY934" s="1"/>
      <c r="CZ934" s="1"/>
      <c r="DA934" s="1"/>
      <c r="DB934" s="1"/>
      <c r="DC934" s="1"/>
      <c r="DD934" s="1"/>
      <c r="DE934" s="1"/>
      <c r="DF934" s="1"/>
      <c r="DG934" s="1"/>
      <c r="DH934" s="1"/>
      <c r="DI934" s="5"/>
      <c r="DJ934" s="1"/>
      <c r="DK934" s="1"/>
      <c r="DM934" s="1"/>
      <c r="DQ934" s="1"/>
      <c r="DR934" s="1"/>
      <c r="DY934" s="1"/>
      <c r="DZ934" s="1"/>
      <c r="ED934" s="1"/>
      <c r="EE934" s="1"/>
      <c r="EF934" s="1"/>
      <c r="EG934" s="1"/>
      <c r="EH934" s="1"/>
      <c r="EK934" s="1"/>
      <c r="EL934" s="1"/>
      <c r="EM934" s="1"/>
      <c r="EN934" s="1"/>
      <c r="EQ934" s="1"/>
      <c r="ER934" s="1"/>
      <c r="ES934" s="1"/>
      <c r="EV934" s="1"/>
      <c r="EW934" s="1"/>
      <c r="EY934" s="1"/>
      <c r="EZ934" s="1"/>
      <c r="FA934" s="1"/>
      <c r="FD934" s="1"/>
      <c r="FF934" s="1"/>
      <c r="FG934" s="1"/>
      <c r="FH934" s="1"/>
      <c r="FJ934" s="1"/>
      <c r="FL934" s="1"/>
      <c r="FN934" s="1"/>
      <c r="FO934" s="1"/>
      <c r="FP934" s="1"/>
      <c r="FQ934" s="1"/>
      <c r="FR934" s="1"/>
      <c r="FS934" s="1"/>
      <c r="FT934" s="1"/>
      <c r="FV934" s="1"/>
      <c r="FW934" s="1"/>
      <c r="FX934" s="1"/>
      <c r="FZ934" s="1"/>
      <c r="GA934" s="1"/>
      <c r="GD934" s="1"/>
      <c r="GE934" s="1"/>
      <c r="GF934" s="1"/>
      <c r="GG934" s="1"/>
      <c r="GH934" s="1"/>
      <c r="GI934" s="1"/>
      <c r="GJ934" s="1"/>
      <c r="GK934" s="1"/>
      <c r="GL934" s="1"/>
      <c r="GM934" s="1"/>
      <c r="GN934" s="1"/>
      <c r="GO934" s="1"/>
      <c r="GP934" s="1"/>
      <c r="GR934" s="1"/>
      <c r="GY934" s="1"/>
      <c r="HF934" s="1"/>
      <c r="HH934" s="1"/>
      <c r="HN934" s="1"/>
      <c r="HR934" s="1"/>
      <c r="HS934" s="1"/>
      <c r="HT934" s="1"/>
      <c r="HY934" s="1"/>
      <c r="IE934" s="1"/>
      <c r="IG934" s="1"/>
      <c r="IJ934" s="1"/>
      <c r="IR934" s="1"/>
      <c r="IS934" s="1"/>
      <c r="IY934" s="1"/>
      <c r="IZ934" s="1"/>
      <c r="JC934" s="1"/>
      <c r="JF934" s="1"/>
      <c r="JG934" s="1"/>
      <c r="JH934" s="1"/>
      <c r="JI934" s="1"/>
      <c r="JJ934" s="1"/>
      <c r="JK934" s="1"/>
      <c r="JL934" s="3"/>
      <c r="JM934" s="1"/>
      <c r="JN934" s="1"/>
      <c r="JP934" s="1"/>
      <c r="JQ934" s="1"/>
      <c r="JR934" s="1"/>
      <c r="JT934" s="1"/>
      <c r="KU934" s="1"/>
      <c r="KY934" s="1"/>
      <c r="KZ934" s="1"/>
      <c r="LA934" s="1"/>
      <c r="LB934" s="1"/>
      <c r="LC934" s="1"/>
      <c r="LD934" s="1"/>
      <c r="LO934" s="1"/>
      <c r="LP934" s="1"/>
      <c r="LZ934" s="1"/>
      <c r="MA934" s="1"/>
    </row>
    <row r="935" spans="4:339" ht="13" x14ac:dyDescent="0.15">
      <c r="D935" s="12"/>
      <c r="E935" s="12"/>
      <c r="I935" s="12"/>
      <c r="J935" s="13"/>
      <c r="BF935" s="1"/>
      <c r="BG935" s="1"/>
      <c r="BH935" s="1"/>
      <c r="BI935" s="1"/>
      <c r="BK935" s="1"/>
      <c r="BL935" s="1"/>
      <c r="BM935" s="1"/>
      <c r="BN935" s="1"/>
      <c r="BO935" s="1"/>
      <c r="BP935" s="1"/>
      <c r="BQ935" s="1"/>
      <c r="BR935" s="1"/>
      <c r="CD935" s="1"/>
      <c r="CE935" s="1"/>
      <c r="CF935" s="1"/>
      <c r="CG935" s="1"/>
      <c r="CH935" s="1"/>
      <c r="CI935" s="1"/>
      <c r="CM935" s="2"/>
      <c r="CN935" s="1"/>
      <c r="CO935" s="1"/>
      <c r="CP935" s="1"/>
      <c r="CQ935" s="1"/>
      <c r="CR935" s="1"/>
      <c r="CS935" s="1"/>
      <c r="CT935" s="1"/>
      <c r="CU935" s="1"/>
      <c r="CV935" s="1"/>
      <c r="CW935" s="1"/>
      <c r="CX935" s="1"/>
      <c r="CY935" s="1"/>
      <c r="CZ935" s="1"/>
      <c r="DA935" s="1"/>
      <c r="DB935" s="1"/>
      <c r="DC935" s="1"/>
      <c r="DD935" s="1"/>
      <c r="DE935" s="1"/>
      <c r="DF935" s="1"/>
      <c r="DG935" s="1"/>
      <c r="DH935" s="1"/>
      <c r="DI935" s="1"/>
      <c r="DJ935" s="1"/>
      <c r="DK935" s="1"/>
      <c r="DM935" s="1"/>
      <c r="DR935" s="1"/>
      <c r="ED935" s="1"/>
      <c r="EF935" s="1"/>
      <c r="EK935" s="1"/>
      <c r="EL935" s="1"/>
      <c r="EM935" s="1"/>
      <c r="EN935" s="1"/>
      <c r="EQ935" s="1"/>
      <c r="ER935" s="1"/>
      <c r="ES935" s="1"/>
      <c r="EV935" s="1"/>
      <c r="EW935" s="1"/>
      <c r="EZ935" s="1"/>
      <c r="FA935" s="1"/>
      <c r="FD935" s="1"/>
      <c r="FG935" s="1"/>
      <c r="FH935" s="1"/>
      <c r="FJ935" s="1"/>
      <c r="FP935" s="1"/>
      <c r="FQ935" s="1"/>
      <c r="FS935" s="1"/>
      <c r="FX935" s="1"/>
      <c r="GA935" s="1"/>
      <c r="GD935" s="1"/>
      <c r="GE935" s="1"/>
      <c r="GF935" s="1"/>
      <c r="GG935" s="1"/>
      <c r="GH935" s="1"/>
      <c r="GI935" s="1"/>
      <c r="GJ935" s="1"/>
      <c r="GO935" s="1"/>
      <c r="GP935" s="1"/>
      <c r="HH935" s="1"/>
      <c r="HN935" s="1"/>
      <c r="HT935" s="1"/>
      <c r="HY935" s="1"/>
      <c r="IE935" s="1"/>
      <c r="IR935" s="1"/>
      <c r="IS935" s="1"/>
      <c r="IZ935" s="1"/>
      <c r="JC935" s="1"/>
      <c r="JF935" s="1"/>
      <c r="JG935" s="1"/>
      <c r="JH935" s="1"/>
      <c r="JI935" s="1"/>
      <c r="JJ935" s="1"/>
      <c r="JN935" s="1"/>
      <c r="JP935" s="1"/>
      <c r="JQ935" s="1"/>
      <c r="JT935" s="1"/>
      <c r="KU935" s="1"/>
      <c r="KV935" s="1"/>
      <c r="KW935" s="1"/>
      <c r="KY935" s="1"/>
      <c r="KZ935" s="1"/>
      <c r="LA935" s="1"/>
      <c r="LB935" s="1"/>
      <c r="LC935" s="1"/>
      <c r="LD935" s="1"/>
      <c r="LO935" s="1"/>
      <c r="LP935" s="1"/>
      <c r="LZ935" s="1"/>
      <c r="MA935" s="1"/>
    </row>
    <row r="936" spans="4:339" ht="13" x14ac:dyDescent="0.15">
      <c r="D936" s="12"/>
      <c r="E936" s="12"/>
      <c r="I936" s="12"/>
      <c r="J936" s="13"/>
      <c r="BF936" s="1"/>
      <c r="BG936" s="1"/>
      <c r="BH936" s="1"/>
      <c r="BI936" s="1"/>
      <c r="BK936" s="1"/>
      <c r="BL936" s="1"/>
      <c r="BM936" s="1"/>
      <c r="BN936" s="1"/>
      <c r="BO936" s="1"/>
      <c r="BP936" s="1"/>
      <c r="BQ936" s="1"/>
      <c r="BR936" s="1"/>
      <c r="CD936" s="1"/>
      <c r="CE936" s="1"/>
      <c r="CF936" s="1"/>
      <c r="CG936" s="1"/>
      <c r="CH936" s="1"/>
      <c r="CI936" s="1"/>
      <c r="CM936" s="2"/>
      <c r="CN936" s="1"/>
      <c r="CO936" s="1"/>
      <c r="CP936" s="1"/>
      <c r="CQ936" s="1"/>
      <c r="CS936" s="1"/>
      <c r="CT936" s="1"/>
      <c r="CU936" s="1"/>
      <c r="CV936" s="1"/>
      <c r="CW936" s="1"/>
      <c r="CX936" s="1"/>
      <c r="CY936" s="1"/>
      <c r="CZ936" s="1"/>
      <c r="DA936" s="1"/>
      <c r="DB936" s="1"/>
      <c r="DC936" s="1"/>
      <c r="DD936" s="1"/>
      <c r="DE936" s="1"/>
      <c r="DF936" s="1"/>
      <c r="DG936" s="1"/>
      <c r="DH936" s="1"/>
      <c r="DI936" s="1"/>
      <c r="DJ936" s="1"/>
      <c r="DK936" s="1"/>
      <c r="DM936" s="1"/>
      <c r="DR936" s="1"/>
      <c r="ED936" s="1"/>
      <c r="EF936" s="1"/>
      <c r="EK936" s="1"/>
      <c r="EL936" s="1"/>
      <c r="EM936" s="1"/>
      <c r="EN936" s="1"/>
      <c r="EQ936" s="1"/>
      <c r="ER936" s="1"/>
      <c r="ES936" s="1"/>
      <c r="EV936" s="1"/>
      <c r="EW936" s="1"/>
      <c r="EZ936" s="1"/>
      <c r="FA936" s="1"/>
      <c r="FD936" s="1"/>
      <c r="FG936" s="1"/>
      <c r="FH936" s="1"/>
      <c r="FI936" s="1"/>
      <c r="FJ936" s="1"/>
      <c r="FK936" s="1"/>
      <c r="FL936" s="1"/>
      <c r="FM936" s="1"/>
      <c r="FN936" s="1"/>
      <c r="FO936" s="1"/>
      <c r="FP936" s="1"/>
      <c r="FQ936" s="1"/>
      <c r="FR936" s="1"/>
      <c r="FS936" s="1"/>
      <c r="FT936" s="1"/>
      <c r="FU936" s="1"/>
      <c r="FV936" s="1"/>
      <c r="FW936" s="1"/>
      <c r="FX936" s="1"/>
      <c r="FY936" s="1"/>
      <c r="FZ936" s="1"/>
      <c r="GA936" s="1"/>
      <c r="GB936" s="1"/>
      <c r="GD936" s="1"/>
      <c r="GE936" s="1"/>
      <c r="GF936" s="1"/>
      <c r="GG936" s="1"/>
      <c r="GH936" s="1"/>
      <c r="GI936" s="1"/>
      <c r="GJ936" s="1"/>
      <c r="GK936" s="1"/>
      <c r="GL936" s="1"/>
      <c r="GM936" s="1"/>
      <c r="GN936" s="1"/>
      <c r="GP936" s="1"/>
      <c r="GR936" s="1"/>
      <c r="GY936" s="1"/>
      <c r="HF936" s="1"/>
      <c r="HH936" s="1"/>
      <c r="HN936" s="1"/>
      <c r="HT936" s="1"/>
      <c r="HY936" s="1"/>
      <c r="IA936" s="1"/>
      <c r="IC936" s="1"/>
      <c r="IE936" s="1"/>
      <c r="IR936" s="1"/>
      <c r="IS936" s="1"/>
      <c r="IZ936" s="1"/>
      <c r="JC936" s="1"/>
      <c r="JF936" s="1"/>
      <c r="JG936" s="1"/>
      <c r="JH936" s="1"/>
      <c r="JJ936" s="1"/>
      <c r="JN936" s="1"/>
      <c r="JP936" s="1"/>
      <c r="JQ936" s="1"/>
      <c r="JT936" s="1"/>
      <c r="JU936" s="1"/>
      <c r="KU936" s="1"/>
      <c r="KV936" s="1"/>
      <c r="KY936" s="1"/>
      <c r="KZ936" s="1"/>
      <c r="LA936" s="1"/>
      <c r="LB936" s="1"/>
      <c r="LC936" s="1"/>
      <c r="LD936" s="1"/>
      <c r="LO936" s="1"/>
      <c r="LP936" s="1"/>
      <c r="LW936" s="1"/>
      <c r="LZ936" s="1"/>
      <c r="MA936" s="1"/>
    </row>
    <row r="937" spans="4:339" ht="13" x14ac:dyDescent="0.15">
      <c r="D937" s="12"/>
      <c r="E937" s="12"/>
      <c r="I937" s="12"/>
      <c r="J937" s="13"/>
      <c r="BF937" s="1"/>
      <c r="BG937" s="1"/>
      <c r="BH937" s="1"/>
      <c r="BI937" s="1"/>
      <c r="BJ937" s="1"/>
      <c r="BK937" s="1"/>
      <c r="BL937" s="1"/>
      <c r="BM937" s="1"/>
      <c r="BN937" s="1"/>
      <c r="BO937" s="1"/>
      <c r="BP937" s="1"/>
      <c r="BQ937" s="1"/>
      <c r="BR937" s="1"/>
      <c r="BX937" s="1"/>
      <c r="CD937" s="1"/>
      <c r="CE937" s="1"/>
      <c r="CF937" s="1"/>
      <c r="CG937" s="1"/>
      <c r="CH937" s="1"/>
      <c r="CI937" s="1"/>
      <c r="CM937" s="2"/>
      <c r="CN937" s="1"/>
      <c r="CO937" s="1"/>
      <c r="CP937" s="1"/>
      <c r="CQ937" s="1"/>
      <c r="CR937" s="1"/>
      <c r="CS937" s="1"/>
      <c r="CT937" s="1"/>
      <c r="CU937" s="1"/>
      <c r="CV937" s="1"/>
      <c r="CW937" s="1"/>
      <c r="CX937" s="1"/>
      <c r="CY937" s="1"/>
      <c r="CZ937" s="1"/>
      <c r="DA937" s="1"/>
      <c r="DB937" s="1"/>
      <c r="DC937" s="1"/>
      <c r="DD937" s="1"/>
      <c r="DE937" s="1"/>
      <c r="DF937" s="1"/>
      <c r="DG937" s="1"/>
      <c r="DH937" s="1"/>
      <c r="DI937" s="1"/>
      <c r="DJ937" s="1"/>
      <c r="DK937" s="1"/>
      <c r="DM937" s="1"/>
      <c r="DQ937" s="1"/>
      <c r="DR937" s="1"/>
      <c r="DY937" s="1"/>
      <c r="DZ937" s="1"/>
      <c r="ED937" s="1"/>
      <c r="EE937" s="1"/>
      <c r="EF937" s="1"/>
      <c r="EG937" s="1"/>
      <c r="EH937" s="1"/>
      <c r="EK937" s="1"/>
      <c r="EL937" s="1"/>
      <c r="EM937" s="1"/>
      <c r="EN937" s="1"/>
      <c r="EQ937" s="1"/>
      <c r="ER937" s="1"/>
      <c r="ES937" s="1"/>
      <c r="EV937" s="1"/>
      <c r="EW937" s="1"/>
      <c r="EY937" s="1"/>
      <c r="EZ937" s="1"/>
      <c r="FA937" s="1"/>
      <c r="FD937" s="1"/>
      <c r="FE937" s="1"/>
      <c r="FH937" s="1"/>
      <c r="FP937" s="1"/>
      <c r="FQ937" s="1"/>
      <c r="FS937" s="1"/>
      <c r="FV937" s="1"/>
      <c r="FX937" s="1"/>
      <c r="GA937" s="1"/>
      <c r="GD937" s="1"/>
      <c r="GE937" s="1"/>
      <c r="GF937" s="1"/>
      <c r="GG937" s="1"/>
      <c r="GH937" s="1"/>
      <c r="GI937" s="1"/>
      <c r="GJ937" s="1"/>
      <c r="GO937" s="1"/>
      <c r="GP937" s="1"/>
      <c r="GR937" s="1"/>
      <c r="HF937" s="1"/>
      <c r="HH937" s="1"/>
      <c r="HQ937" s="1"/>
      <c r="HT937" s="1"/>
      <c r="HY937" s="1"/>
      <c r="ID937" s="1"/>
      <c r="IE937" s="1"/>
      <c r="IF937" s="1"/>
      <c r="IG937" s="1"/>
      <c r="IJ937" s="1"/>
      <c r="IR937" s="1"/>
      <c r="IS937" s="1"/>
      <c r="IY937" s="1"/>
      <c r="IZ937" s="1"/>
      <c r="JC937" s="1"/>
      <c r="JF937" s="1"/>
      <c r="JG937" s="1"/>
      <c r="JH937" s="1"/>
      <c r="JJ937" s="1"/>
      <c r="JK937" s="1"/>
      <c r="JL937" s="3"/>
      <c r="JM937" s="1"/>
      <c r="JN937" s="1"/>
      <c r="JP937" s="1"/>
      <c r="JQ937" s="1"/>
      <c r="JR937" s="1"/>
      <c r="JT937" s="1"/>
      <c r="KU937" s="1"/>
      <c r="KV937" s="1"/>
      <c r="KY937" s="1"/>
      <c r="KZ937" s="1"/>
      <c r="LA937" s="1"/>
      <c r="LB937" s="1"/>
      <c r="LC937" s="1"/>
      <c r="LD937" s="1"/>
      <c r="LN937" s="1"/>
      <c r="LO937" s="1"/>
      <c r="LP937" s="1"/>
      <c r="LZ937" s="1"/>
      <c r="MA937" s="1"/>
    </row>
    <row r="938" spans="4:339" ht="13" x14ac:dyDescent="0.15">
      <c r="D938" s="12"/>
      <c r="E938" s="12"/>
      <c r="I938" s="12"/>
      <c r="J938" s="13"/>
      <c r="BF938" s="1"/>
      <c r="BG938" s="1"/>
      <c r="BH938" s="1"/>
      <c r="BI938" s="1"/>
      <c r="BJ938" s="1"/>
      <c r="BK938" s="1"/>
      <c r="BL938" s="1"/>
      <c r="BM938" s="1"/>
      <c r="BN938" s="1"/>
      <c r="BO938" s="1"/>
      <c r="BP938" s="1"/>
      <c r="BQ938" s="1"/>
      <c r="BR938" s="1"/>
      <c r="BX938" s="1"/>
      <c r="CD938" s="1"/>
      <c r="CE938" s="1"/>
      <c r="CF938" s="1"/>
      <c r="CG938" s="1"/>
      <c r="CH938" s="1"/>
      <c r="CI938" s="1"/>
      <c r="CM938" s="2"/>
      <c r="CN938" s="1"/>
      <c r="CO938" s="1"/>
      <c r="CP938" s="1"/>
      <c r="CQ938" s="1"/>
      <c r="CR938" s="1"/>
      <c r="CT938" s="1"/>
      <c r="CU938" s="1"/>
      <c r="CV938" s="1"/>
      <c r="CW938" s="1"/>
      <c r="CX938" s="1"/>
      <c r="CY938" s="1"/>
      <c r="CZ938" s="1"/>
      <c r="DA938" s="1"/>
      <c r="DB938" s="1"/>
      <c r="DC938" s="1"/>
      <c r="DD938" s="1"/>
      <c r="DE938" s="1"/>
      <c r="DF938" s="1"/>
      <c r="DG938" s="1"/>
      <c r="DH938" s="1"/>
      <c r="DI938" s="1"/>
      <c r="DJ938" s="1"/>
      <c r="DK938" s="1"/>
      <c r="DM938" s="1"/>
      <c r="DQ938" s="1"/>
      <c r="DR938" s="1"/>
      <c r="DY938" s="1"/>
      <c r="DZ938" s="1"/>
      <c r="ED938" s="1"/>
      <c r="EF938" s="1"/>
      <c r="EK938" s="1"/>
      <c r="EL938" s="1"/>
      <c r="EM938" s="1"/>
      <c r="EN938" s="1"/>
      <c r="EQ938" s="1"/>
      <c r="ER938" s="1"/>
      <c r="ES938" s="1"/>
      <c r="EV938" s="1"/>
      <c r="EW938" s="1"/>
      <c r="EZ938" s="1"/>
      <c r="FA938" s="1"/>
      <c r="FD938" s="1"/>
      <c r="FG938" s="1"/>
      <c r="FH938" s="1"/>
      <c r="FI938" s="1"/>
      <c r="FJ938" s="1"/>
      <c r="FK938" s="1"/>
      <c r="FL938" s="1"/>
      <c r="FM938" s="1"/>
      <c r="FN938" s="1"/>
      <c r="FO938" s="1"/>
      <c r="FP938" s="1"/>
      <c r="FQ938" s="1"/>
      <c r="FR938" s="1"/>
      <c r="FS938" s="1"/>
      <c r="FT938" s="1"/>
      <c r="FU938" s="1"/>
      <c r="FV938" s="1"/>
      <c r="FW938" s="1"/>
      <c r="FX938" s="1"/>
      <c r="FY938" s="1"/>
      <c r="FZ938" s="1"/>
      <c r="GA938" s="1"/>
      <c r="GB938" s="1"/>
      <c r="GD938" s="1"/>
      <c r="GE938" s="1"/>
      <c r="GF938" s="1"/>
      <c r="GG938" s="1"/>
      <c r="GH938" s="1"/>
      <c r="GI938" s="1"/>
      <c r="GJ938" s="1"/>
      <c r="GK938" s="1"/>
      <c r="GL938" s="1"/>
      <c r="GM938" s="1"/>
      <c r="GN938" s="1"/>
      <c r="GO938" s="1"/>
      <c r="GP938" s="1"/>
      <c r="GR938" s="1"/>
      <c r="GY938" s="1"/>
      <c r="HF938" s="1"/>
      <c r="HH938" s="1"/>
      <c r="HN938" s="1"/>
      <c r="HT938" s="1"/>
      <c r="HY938" s="1"/>
      <c r="IE938" s="1"/>
      <c r="IR938" s="1"/>
      <c r="IS938" s="1"/>
      <c r="IW938" s="1"/>
      <c r="IZ938" s="1"/>
      <c r="JA938" s="1"/>
      <c r="JC938" s="1"/>
      <c r="JF938" s="1"/>
      <c r="JG938" s="1"/>
      <c r="JJ938" s="1"/>
      <c r="JN938" s="1"/>
      <c r="JP938" s="1"/>
      <c r="JQ938" s="1"/>
      <c r="KU938" s="1"/>
      <c r="KV938" s="1"/>
      <c r="KY938" s="1"/>
      <c r="KZ938" s="1"/>
      <c r="LA938" s="1"/>
      <c r="LB938" s="1"/>
      <c r="LC938" s="1"/>
      <c r="LD938" s="1"/>
      <c r="LO938" s="1"/>
      <c r="LP938" s="1"/>
      <c r="LZ938" s="1"/>
      <c r="MA938" s="1"/>
    </row>
    <row r="939" spans="4:339" ht="13" x14ac:dyDescent="0.15">
      <c r="D939" s="12"/>
      <c r="E939" s="12"/>
      <c r="I939" s="12"/>
      <c r="J939" s="13"/>
      <c r="BF939" s="1"/>
      <c r="BG939" s="1"/>
      <c r="BH939" s="1"/>
      <c r="BI939" s="1"/>
      <c r="BK939" s="1"/>
      <c r="BL939" s="1"/>
      <c r="BM939" s="1"/>
      <c r="BN939" s="1"/>
      <c r="BO939" s="1"/>
      <c r="BP939" s="1"/>
      <c r="BQ939" s="1"/>
      <c r="BR939" s="1"/>
      <c r="CD939" s="1"/>
      <c r="CE939" s="1"/>
      <c r="CF939" s="1"/>
      <c r="CG939" s="1"/>
      <c r="CH939" s="1"/>
      <c r="CI939" s="1"/>
      <c r="CM939" s="2"/>
      <c r="CN939" s="1"/>
      <c r="CO939" s="1"/>
      <c r="CP939" s="1"/>
      <c r="CQ939" s="1"/>
      <c r="CS939" s="1"/>
      <c r="CT939" s="1"/>
      <c r="CU939" s="1"/>
      <c r="CV939" s="1"/>
      <c r="CW939" s="1"/>
      <c r="CX939" s="1"/>
      <c r="CY939" s="1"/>
      <c r="CZ939" s="1"/>
      <c r="DA939" s="1"/>
      <c r="DB939" s="1"/>
      <c r="DC939" s="1"/>
      <c r="DD939" s="1"/>
      <c r="DE939" s="1"/>
      <c r="DF939" s="1"/>
      <c r="DG939" s="1"/>
      <c r="DH939" s="1"/>
      <c r="DI939" s="1"/>
      <c r="DJ939" s="1"/>
      <c r="DK939" s="1"/>
      <c r="DM939" s="1"/>
      <c r="DR939" s="1"/>
      <c r="ED939" s="1"/>
      <c r="EF939" s="1"/>
      <c r="EK939" s="1"/>
      <c r="EL939" s="1"/>
      <c r="EM939" s="1"/>
      <c r="EN939" s="1"/>
      <c r="EQ939" s="1"/>
      <c r="ER939" s="1"/>
      <c r="ES939" s="1"/>
      <c r="EV939" s="1"/>
      <c r="EW939" s="1"/>
      <c r="EX939" s="1"/>
      <c r="EZ939" s="1"/>
      <c r="FA939" s="1"/>
      <c r="FD939" s="1"/>
      <c r="FG939" s="1"/>
      <c r="FH939" s="1"/>
      <c r="FI939" s="1"/>
      <c r="FJ939" s="1"/>
      <c r="FK939" s="1"/>
      <c r="FL939" s="1"/>
      <c r="FM939" s="1"/>
      <c r="FN939" s="1"/>
      <c r="FO939" s="1"/>
      <c r="FP939" s="1"/>
      <c r="FQ939" s="1"/>
      <c r="FR939" s="1"/>
      <c r="FS939" s="1"/>
      <c r="FT939" s="1"/>
      <c r="FU939" s="1"/>
      <c r="FV939" s="1"/>
      <c r="FW939" s="1"/>
      <c r="FX939" s="1"/>
      <c r="FZ939" s="1"/>
      <c r="GA939" s="1"/>
      <c r="GB939" s="1"/>
      <c r="GD939" s="1"/>
      <c r="GE939" s="1"/>
      <c r="GF939" s="1"/>
      <c r="GG939" s="1"/>
      <c r="GH939" s="1"/>
      <c r="GI939" s="1"/>
      <c r="GJ939" s="1"/>
      <c r="GK939" s="1"/>
      <c r="GL939" s="1"/>
      <c r="GM939" s="1"/>
      <c r="GN939" s="1"/>
      <c r="GO939" s="1"/>
      <c r="GP939" s="1"/>
      <c r="GR939" s="1"/>
      <c r="GV939" s="1"/>
      <c r="GY939" s="1"/>
      <c r="HH939" s="1"/>
      <c r="HN939" s="1"/>
      <c r="HR939" s="1"/>
      <c r="HS939" s="1"/>
      <c r="HT939" s="1"/>
      <c r="HY939" s="1"/>
      <c r="IC939" s="1"/>
      <c r="ID939" s="1"/>
      <c r="IE939" s="1"/>
      <c r="IR939" s="1"/>
      <c r="IS939" s="1"/>
      <c r="IZ939" s="1"/>
      <c r="JH939" s="1"/>
      <c r="JI939" s="1"/>
      <c r="JJ939" s="1"/>
      <c r="JN939" s="1"/>
      <c r="JP939" s="1"/>
      <c r="JQ939" s="1"/>
      <c r="KU939" s="1"/>
      <c r="KV939" s="1"/>
      <c r="KY939" s="1"/>
      <c r="KZ939" s="1"/>
      <c r="LA939" s="1"/>
      <c r="LB939" s="1"/>
      <c r="LC939" s="1"/>
      <c r="LD939" s="1"/>
      <c r="LO939" s="1"/>
      <c r="LP939" s="1"/>
      <c r="LZ939" s="1"/>
      <c r="MA939" s="1"/>
    </row>
    <row r="940" spans="4:339" ht="13" x14ac:dyDescent="0.15">
      <c r="D940" s="12"/>
      <c r="E940" s="12"/>
      <c r="I940" s="12"/>
      <c r="J940" s="13"/>
      <c r="BF940" s="1"/>
      <c r="BG940" s="1"/>
      <c r="BH940" s="1"/>
      <c r="BI940" s="1"/>
      <c r="BK940" s="1"/>
      <c r="BL940" s="1"/>
      <c r="BM940" s="1"/>
      <c r="BN940" s="1"/>
      <c r="BO940" s="1"/>
      <c r="BP940" s="1"/>
      <c r="BQ940" s="1"/>
      <c r="BR940" s="1"/>
      <c r="CD940" s="1"/>
      <c r="CE940" s="1"/>
      <c r="CF940" s="1"/>
      <c r="CG940" s="1"/>
      <c r="CH940" s="1"/>
      <c r="CI940" s="1"/>
      <c r="CM940" s="2"/>
      <c r="CN940" s="1"/>
      <c r="CO940" s="1"/>
      <c r="CP940" s="1"/>
      <c r="CQ940" s="1"/>
      <c r="CS940" s="1"/>
      <c r="CT940" s="1"/>
      <c r="CU940" s="1"/>
      <c r="CV940" s="1"/>
      <c r="CW940" s="1"/>
      <c r="CX940" s="1"/>
      <c r="CY940" s="1"/>
      <c r="CZ940" s="1"/>
      <c r="DA940" s="1"/>
      <c r="DB940" s="1"/>
      <c r="DC940" s="1"/>
      <c r="DD940" s="1"/>
      <c r="DE940" s="1"/>
      <c r="DF940" s="1"/>
      <c r="DG940" s="1"/>
      <c r="DH940" s="1"/>
      <c r="DI940" s="1"/>
      <c r="DJ940" s="1"/>
      <c r="DK940" s="1"/>
      <c r="DM940" s="1"/>
      <c r="DR940" s="1"/>
      <c r="ED940" s="1"/>
      <c r="EF940" s="1"/>
      <c r="EK940" s="1"/>
      <c r="EL940" s="1"/>
      <c r="EM940" s="1"/>
      <c r="EN940" s="1"/>
      <c r="EQ940" s="1"/>
      <c r="ER940" s="1"/>
      <c r="ES940" s="1"/>
      <c r="EV940" s="1"/>
      <c r="EW940" s="1"/>
      <c r="EX940" s="1"/>
      <c r="EZ940" s="1"/>
      <c r="FA940" s="1"/>
      <c r="FD940" s="1"/>
      <c r="FG940" s="1"/>
      <c r="FH940" s="1"/>
      <c r="FI940" s="1"/>
      <c r="FJ940" s="1"/>
      <c r="FK940" s="1"/>
      <c r="FL940" s="1"/>
      <c r="FM940" s="1"/>
      <c r="FN940" s="1"/>
      <c r="FO940" s="1"/>
      <c r="FP940" s="1"/>
      <c r="FQ940" s="1"/>
      <c r="FR940" s="1"/>
      <c r="FS940" s="1"/>
      <c r="FT940" s="1"/>
      <c r="FU940" s="1"/>
      <c r="FV940" s="1"/>
      <c r="FW940" s="1"/>
      <c r="FX940" s="1"/>
      <c r="FZ940" s="1"/>
      <c r="GA940" s="1"/>
      <c r="GB940" s="1"/>
      <c r="GD940" s="1"/>
      <c r="GE940" s="1"/>
      <c r="GF940" s="1"/>
      <c r="GG940" s="1"/>
      <c r="GH940" s="1"/>
      <c r="GI940" s="1"/>
      <c r="GJ940" s="1"/>
      <c r="GK940" s="1"/>
      <c r="GL940" s="1"/>
      <c r="GM940" s="1"/>
      <c r="GN940" s="1"/>
      <c r="GO940" s="1"/>
      <c r="GP940" s="1"/>
      <c r="GR940" s="1"/>
      <c r="GV940" s="1"/>
      <c r="GY940" s="1"/>
      <c r="HH940" s="1"/>
      <c r="HN940" s="1"/>
      <c r="HR940" s="1"/>
      <c r="HS940" s="1"/>
      <c r="HT940" s="1"/>
      <c r="HY940" s="1"/>
      <c r="IC940" s="1"/>
      <c r="ID940" s="1"/>
      <c r="IE940" s="1"/>
      <c r="IR940" s="1"/>
      <c r="IS940" s="1"/>
      <c r="IZ940" s="1"/>
      <c r="JH940" s="1"/>
      <c r="JI940" s="1"/>
      <c r="JJ940" s="1"/>
      <c r="JN940" s="1"/>
      <c r="JP940" s="1"/>
      <c r="JQ940" s="1"/>
      <c r="KU940" s="1"/>
      <c r="KV940" s="1"/>
      <c r="KY940" s="1"/>
      <c r="KZ940" s="1"/>
      <c r="LA940" s="1"/>
      <c r="LB940" s="1"/>
      <c r="LC940" s="1"/>
      <c r="LD940" s="1"/>
      <c r="LO940" s="1"/>
      <c r="LP940" s="1"/>
      <c r="LZ940" s="1"/>
      <c r="MA940" s="1"/>
    </row>
    <row r="941" spans="4:339" ht="13" x14ac:dyDescent="0.15">
      <c r="D941" s="12"/>
      <c r="E941" s="12"/>
      <c r="I941" s="12"/>
      <c r="J941" s="13"/>
      <c r="BF941" s="1"/>
      <c r="BG941" s="1"/>
      <c r="BH941" s="1"/>
      <c r="BI941" s="1"/>
      <c r="BK941" s="1"/>
      <c r="BL941" s="1"/>
      <c r="BM941" s="1"/>
      <c r="BN941" s="1"/>
      <c r="BO941" s="1"/>
      <c r="BP941" s="1"/>
      <c r="BQ941" s="1"/>
      <c r="BR941" s="1"/>
      <c r="CD941" s="1"/>
      <c r="CE941" s="1"/>
      <c r="CF941" s="1"/>
      <c r="CG941" s="1"/>
      <c r="CH941" s="1"/>
      <c r="CI941" s="1"/>
      <c r="CM941" s="2"/>
      <c r="CN941" s="1"/>
      <c r="CO941" s="1"/>
      <c r="CP941" s="1"/>
      <c r="CQ941" s="1"/>
      <c r="CS941" s="1"/>
      <c r="CT941" s="1"/>
      <c r="CU941" s="1"/>
      <c r="CV941" s="1"/>
      <c r="CW941" s="1"/>
      <c r="CX941" s="1"/>
      <c r="CY941" s="1"/>
      <c r="CZ941" s="1"/>
      <c r="DA941" s="1"/>
      <c r="DB941" s="1"/>
      <c r="DC941" s="1"/>
      <c r="DD941" s="1"/>
      <c r="DE941" s="1"/>
      <c r="DF941" s="1"/>
      <c r="DG941" s="1"/>
      <c r="DH941" s="1"/>
      <c r="DI941" s="1"/>
      <c r="DJ941" s="1"/>
      <c r="DK941" s="1"/>
      <c r="DM941" s="1"/>
      <c r="DR941" s="1"/>
      <c r="ED941" s="1"/>
      <c r="EF941" s="1"/>
      <c r="EK941" s="1"/>
      <c r="EL941" s="1"/>
      <c r="EM941" s="1"/>
      <c r="EN941" s="1"/>
      <c r="EQ941" s="1"/>
      <c r="ER941" s="1"/>
      <c r="ES941" s="1"/>
      <c r="EV941" s="1"/>
      <c r="EW941" s="1"/>
      <c r="EX941" s="1"/>
      <c r="EZ941" s="1"/>
      <c r="FA941" s="1"/>
      <c r="FD941" s="1"/>
      <c r="FG941" s="1"/>
      <c r="FH941" s="1"/>
      <c r="FI941" s="1"/>
      <c r="FJ941" s="1"/>
      <c r="FK941" s="1"/>
      <c r="FL941" s="1"/>
      <c r="FM941" s="1"/>
      <c r="FN941" s="1"/>
      <c r="FO941" s="1"/>
      <c r="FP941" s="1"/>
      <c r="FQ941" s="1"/>
      <c r="FR941" s="1"/>
      <c r="FS941" s="1"/>
      <c r="FT941" s="1"/>
      <c r="FU941" s="1"/>
      <c r="FV941" s="1"/>
      <c r="FW941" s="1"/>
      <c r="FX941" s="1"/>
      <c r="FZ941" s="1"/>
      <c r="GA941" s="1"/>
      <c r="GB941" s="1"/>
      <c r="GD941" s="1"/>
      <c r="GE941" s="1"/>
      <c r="GF941" s="1"/>
      <c r="GG941" s="1"/>
      <c r="GH941" s="1"/>
      <c r="GI941" s="1"/>
      <c r="GJ941" s="1"/>
      <c r="GK941" s="1"/>
      <c r="GL941" s="1"/>
      <c r="GM941" s="1"/>
      <c r="GN941" s="1"/>
      <c r="GO941" s="1"/>
      <c r="GP941" s="1"/>
      <c r="GR941" s="1"/>
      <c r="GV941" s="1"/>
      <c r="GY941" s="1"/>
      <c r="HH941" s="1"/>
      <c r="HN941" s="1"/>
      <c r="HR941" s="1"/>
      <c r="HS941" s="1"/>
      <c r="HT941" s="1"/>
      <c r="HY941" s="1"/>
      <c r="IC941" s="1"/>
      <c r="ID941" s="1"/>
      <c r="IE941" s="1"/>
      <c r="IR941" s="1"/>
      <c r="IS941" s="1"/>
      <c r="IZ941" s="1"/>
      <c r="JH941" s="1"/>
      <c r="JI941" s="1"/>
      <c r="JJ941" s="1"/>
      <c r="JN941" s="1"/>
      <c r="JP941" s="1"/>
      <c r="JQ941" s="1"/>
      <c r="KU941" s="1"/>
      <c r="KV941" s="1"/>
      <c r="KY941" s="1"/>
      <c r="KZ941" s="1"/>
      <c r="LA941" s="1"/>
      <c r="LB941" s="1"/>
      <c r="LC941" s="1"/>
      <c r="LD941" s="1"/>
      <c r="LO941" s="1"/>
      <c r="LP941" s="1"/>
      <c r="LZ941" s="1"/>
      <c r="MA941" s="1"/>
    </row>
    <row r="942" spans="4:339" ht="13" x14ac:dyDescent="0.15">
      <c r="D942" s="12"/>
      <c r="E942" s="12"/>
      <c r="I942" s="12"/>
      <c r="J942" s="13"/>
      <c r="BF942" s="1"/>
      <c r="BG942" s="1"/>
      <c r="BH942" s="1"/>
      <c r="BI942" s="1"/>
      <c r="BK942" s="1"/>
      <c r="BL942" s="1"/>
      <c r="BM942" s="1"/>
      <c r="BN942" s="1"/>
      <c r="BO942" s="1"/>
      <c r="BP942" s="1"/>
      <c r="BQ942" s="1"/>
      <c r="BR942" s="1"/>
      <c r="CD942" s="1"/>
      <c r="CE942" s="1"/>
      <c r="CF942" s="1"/>
      <c r="CG942" s="1"/>
      <c r="CH942" s="1"/>
      <c r="CI942" s="1"/>
      <c r="CM942" s="2"/>
      <c r="CN942" s="1"/>
      <c r="CO942" s="1"/>
      <c r="CP942" s="1"/>
      <c r="CQ942" s="1"/>
      <c r="CS942" s="1"/>
      <c r="CT942" s="1"/>
      <c r="CU942" s="1"/>
      <c r="CV942" s="1"/>
      <c r="CW942" s="1"/>
      <c r="CX942" s="1"/>
      <c r="CY942" s="1"/>
      <c r="CZ942" s="1"/>
      <c r="DA942" s="1"/>
      <c r="DB942" s="1"/>
      <c r="DC942" s="1"/>
      <c r="DD942" s="1"/>
      <c r="DE942" s="1"/>
      <c r="DF942" s="1"/>
      <c r="DG942" s="1"/>
      <c r="DH942" s="1"/>
      <c r="DI942" s="1"/>
      <c r="DJ942" s="1"/>
      <c r="DK942" s="1"/>
      <c r="DM942" s="1"/>
      <c r="DR942" s="1"/>
      <c r="ED942" s="1"/>
      <c r="EF942" s="1"/>
      <c r="EK942" s="1"/>
      <c r="EL942" s="1"/>
      <c r="EM942" s="1"/>
      <c r="EN942" s="1"/>
      <c r="EQ942" s="1"/>
      <c r="ER942" s="1"/>
      <c r="ES942" s="1"/>
      <c r="EV942" s="1"/>
      <c r="EW942" s="1"/>
      <c r="EX942" s="1"/>
      <c r="EZ942" s="1"/>
      <c r="FA942" s="1"/>
      <c r="FD942" s="1"/>
      <c r="FG942" s="1"/>
      <c r="FH942" s="1"/>
      <c r="FI942" s="1"/>
      <c r="FJ942" s="1"/>
      <c r="FK942" s="1"/>
      <c r="FL942" s="1"/>
      <c r="FM942" s="1"/>
      <c r="FN942" s="1"/>
      <c r="FO942" s="1"/>
      <c r="FP942" s="1"/>
      <c r="FQ942" s="1"/>
      <c r="FR942" s="1"/>
      <c r="FS942" s="1"/>
      <c r="FT942" s="1"/>
      <c r="FU942" s="1"/>
      <c r="FV942" s="1"/>
      <c r="FW942" s="1"/>
      <c r="FX942" s="1"/>
      <c r="FZ942" s="1"/>
      <c r="GA942" s="1"/>
      <c r="GB942" s="1"/>
      <c r="GD942" s="1"/>
      <c r="GE942" s="1"/>
      <c r="GF942" s="1"/>
      <c r="GG942" s="1"/>
      <c r="GH942" s="1"/>
      <c r="GI942" s="1"/>
      <c r="GJ942" s="1"/>
      <c r="GK942" s="1"/>
      <c r="GL942" s="1"/>
      <c r="GM942" s="1"/>
      <c r="GN942" s="1"/>
      <c r="GO942" s="1"/>
      <c r="GP942" s="1"/>
      <c r="GR942" s="1"/>
      <c r="GV942" s="1"/>
      <c r="GY942" s="1"/>
      <c r="HH942" s="1"/>
      <c r="HN942" s="1"/>
      <c r="HR942" s="1"/>
      <c r="HS942" s="1"/>
      <c r="HT942" s="1"/>
      <c r="HY942" s="1"/>
      <c r="IC942" s="1"/>
      <c r="ID942" s="1"/>
      <c r="IE942" s="1"/>
      <c r="IR942" s="1"/>
      <c r="IS942" s="1"/>
      <c r="IZ942" s="1"/>
      <c r="JH942" s="1"/>
      <c r="JI942" s="1"/>
      <c r="JJ942" s="1"/>
      <c r="JN942" s="1"/>
      <c r="JP942" s="1"/>
      <c r="JQ942" s="1"/>
      <c r="KU942" s="1"/>
      <c r="KV942" s="1"/>
      <c r="KY942" s="1"/>
      <c r="KZ942" s="1"/>
      <c r="LA942" s="1"/>
      <c r="LB942" s="1"/>
      <c r="LC942" s="1"/>
      <c r="LD942" s="1"/>
      <c r="LO942" s="1"/>
      <c r="LP942" s="1"/>
      <c r="LZ942" s="1"/>
      <c r="MA942" s="1"/>
    </row>
    <row r="943" spans="4:339" ht="13" x14ac:dyDescent="0.15">
      <c r="D943" s="12"/>
      <c r="E943" s="12"/>
      <c r="I943" s="12"/>
      <c r="J943" s="13"/>
      <c r="BF943" s="1"/>
      <c r="BG943" s="1"/>
      <c r="BH943" s="1"/>
      <c r="BI943" s="1"/>
      <c r="BK943" s="1"/>
      <c r="BL943" s="1"/>
      <c r="BM943" s="1"/>
      <c r="BN943" s="1"/>
      <c r="BO943" s="1"/>
      <c r="BP943" s="1"/>
      <c r="BQ943" s="1"/>
      <c r="BR943" s="1"/>
      <c r="CD943" s="1"/>
      <c r="CE943" s="1"/>
      <c r="CF943" s="1"/>
      <c r="CG943" s="1"/>
      <c r="CH943" s="1"/>
      <c r="CI943" s="1"/>
      <c r="CM943" s="2"/>
      <c r="CN943" s="1"/>
      <c r="CO943" s="1"/>
      <c r="CP943" s="1"/>
      <c r="CQ943" s="1"/>
      <c r="CS943" s="1"/>
      <c r="CT943" s="1"/>
      <c r="CU943" s="1"/>
      <c r="CV943" s="1"/>
      <c r="CW943" s="1"/>
      <c r="CX943" s="1"/>
      <c r="CY943" s="1"/>
      <c r="CZ943" s="1"/>
      <c r="DA943" s="1"/>
      <c r="DB943" s="1"/>
      <c r="DC943" s="1"/>
      <c r="DD943" s="1"/>
      <c r="DE943" s="1"/>
      <c r="DF943" s="1"/>
      <c r="DG943" s="1"/>
      <c r="DH943" s="1"/>
      <c r="DI943" s="1"/>
      <c r="DJ943" s="1"/>
      <c r="DK943" s="1"/>
      <c r="DM943" s="1"/>
      <c r="DR943" s="1"/>
      <c r="ED943" s="1"/>
      <c r="EF943" s="1"/>
      <c r="EK943" s="1"/>
      <c r="EL943" s="1"/>
      <c r="EM943" s="1"/>
      <c r="EN943" s="1"/>
      <c r="EQ943" s="1"/>
      <c r="ER943" s="1"/>
      <c r="ES943" s="1"/>
      <c r="EV943" s="1"/>
      <c r="EW943" s="1"/>
      <c r="EX943" s="1"/>
      <c r="EZ943" s="1"/>
      <c r="FA943" s="1"/>
      <c r="FD943" s="1"/>
      <c r="FG943" s="1"/>
      <c r="FH943" s="1"/>
      <c r="FI943" s="1"/>
      <c r="FJ943" s="1"/>
      <c r="FK943" s="1"/>
      <c r="FL943" s="1"/>
      <c r="FM943" s="1"/>
      <c r="FN943" s="1"/>
      <c r="FO943" s="1"/>
      <c r="FP943" s="1"/>
      <c r="FQ943" s="1"/>
      <c r="FR943" s="1"/>
      <c r="FS943" s="1"/>
      <c r="FT943" s="1"/>
      <c r="FU943" s="1"/>
      <c r="FV943" s="1"/>
      <c r="FW943" s="1"/>
      <c r="FX943" s="1"/>
      <c r="FZ943" s="1"/>
      <c r="GA943" s="1"/>
      <c r="GB943" s="1"/>
      <c r="GD943" s="1"/>
      <c r="GE943" s="1"/>
      <c r="GF943" s="1"/>
      <c r="GG943" s="1"/>
      <c r="GH943" s="1"/>
      <c r="GI943" s="1"/>
      <c r="GJ943" s="1"/>
      <c r="GK943" s="1"/>
      <c r="GL943" s="1"/>
      <c r="GM943" s="1"/>
      <c r="GN943" s="1"/>
      <c r="GO943" s="1"/>
      <c r="GP943" s="1"/>
      <c r="GR943" s="1"/>
      <c r="GV943" s="1"/>
      <c r="GY943" s="1"/>
      <c r="HH943" s="1"/>
      <c r="HN943" s="1"/>
      <c r="HR943" s="1"/>
      <c r="HS943" s="1"/>
      <c r="HT943" s="1"/>
      <c r="HY943" s="1"/>
      <c r="IC943" s="1"/>
      <c r="ID943" s="1"/>
      <c r="IE943" s="1"/>
      <c r="IR943" s="1"/>
      <c r="IS943" s="1"/>
      <c r="IZ943" s="1"/>
      <c r="JH943" s="1"/>
      <c r="JI943" s="1"/>
      <c r="JJ943" s="1"/>
      <c r="JN943" s="1"/>
      <c r="JP943" s="1"/>
      <c r="JQ943" s="1"/>
      <c r="KU943" s="1"/>
      <c r="KV943" s="1"/>
      <c r="KY943" s="1"/>
      <c r="KZ943" s="1"/>
      <c r="LA943" s="1"/>
      <c r="LB943" s="1"/>
      <c r="LC943" s="1"/>
      <c r="LD943" s="1"/>
      <c r="LO943" s="1"/>
      <c r="LP943" s="1"/>
      <c r="LZ943" s="1"/>
      <c r="MA943" s="1"/>
    </row>
    <row r="944" spans="4:339" ht="13" x14ac:dyDescent="0.15">
      <c r="D944" s="12"/>
      <c r="E944" s="12"/>
      <c r="I944" s="12"/>
      <c r="J944" s="13"/>
      <c r="BF944" s="1"/>
      <c r="BG944" s="1"/>
      <c r="BH944" s="1"/>
      <c r="BI944" s="1"/>
      <c r="BK944" s="1"/>
      <c r="BL944" s="1"/>
      <c r="BM944" s="1"/>
      <c r="BN944" s="1"/>
      <c r="BO944" s="1"/>
      <c r="BP944" s="1"/>
      <c r="BQ944" s="1"/>
      <c r="BR944" s="1"/>
      <c r="CD944" s="1"/>
      <c r="CE944" s="1"/>
      <c r="CF944" s="1"/>
      <c r="CG944" s="1"/>
      <c r="CH944" s="1"/>
      <c r="CI944" s="1"/>
      <c r="CM944" s="2"/>
      <c r="CN944" s="1"/>
      <c r="CO944" s="1"/>
      <c r="CP944" s="1"/>
      <c r="CQ944" s="1"/>
      <c r="CS944" s="1"/>
      <c r="CT944" s="1"/>
      <c r="CU944" s="1"/>
      <c r="CV944" s="1"/>
      <c r="CW944" s="1"/>
      <c r="CX944" s="1"/>
      <c r="CY944" s="1"/>
      <c r="CZ944" s="1"/>
      <c r="DA944" s="1"/>
      <c r="DB944" s="1"/>
      <c r="DC944" s="1"/>
      <c r="DD944" s="1"/>
      <c r="DE944" s="1"/>
      <c r="DF944" s="1"/>
      <c r="DG944" s="1"/>
      <c r="DH944" s="1"/>
      <c r="DI944" s="1"/>
      <c r="DJ944" s="1"/>
      <c r="DK944" s="1"/>
      <c r="DM944" s="1"/>
      <c r="DR944" s="1"/>
      <c r="ED944" s="1"/>
      <c r="EF944" s="1"/>
      <c r="EK944" s="1"/>
      <c r="EL944" s="1"/>
      <c r="EM944" s="1"/>
      <c r="EN944" s="1"/>
      <c r="EQ944" s="1"/>
      <c r="ER944" s="1"/>
      <c r="ES944" s="1"/>
      <c r="EV944" s="1"/>
      <c r="EW944" s="1"/>
      <c r="EX944" s="1"/>
      <c r="EZ944" s="1"/>
      <c r="FA944" s="1"/>
      <c r="FD944" s="1"/>
      <c r="FG944" s="1"/>
      <c r="FH944" s="1"/>
      <c r="FI944" s="1"/>
      <c r="FJ944" s="1"/>
      <c r="FK944" s="1"/>
      <c r="FL944" s="1"/>
      <c r="FM944" s="1"/>
      <c r="FN944" s="1"/>
      <c r="FO944" s="1"/>
      <c r="FP944" s="1"/>
      <c r="FQ944" s="1"/>
      <c r="FR944" s="1"/>
      <c r="FS944" s="1"/>
      <c r="FT944" s="1"/>
      <c r="FU944" s="1"/>
      <c r="FV944" s="1"/>
      <c r="FW944" s="1"/>
      <c r="FX944" s="1"/>
      <c r="FZ944" s="1"/>
      <c r="GA944" s="1"/>
      <c r="GB944" s="1"/>
      <c r="GD944" s="1"/>
      <c r="GE944" s="1"/>
      <c r="GF944" s="1"/>
      <c r="GG944" s="1"/>
      <c r="GH944" s="1"/>
      <c r="GI944" s="1"/>
      <c r="GJ944" s="1"/>
      <c r="GK944" s="1"/>
      <c r="GL944" s="1"/>
      <c r="GM944" s="1"/>
      <c r="GN944" s="1"/>
      <c r="GO944" s="1"/>
      <c r="GP944" s="1"/>
      <c r="GR944" s="1"/>
      <c r="GV944" s="1"/>
      <c r="GY944" s="1"/>
      <c r="HH944" s="1"/>
      <c r="HN944" s="1"/>
      <c r="HR944" s="1"/>
      <c r="HS944" s="1"/>
      <c r="HT944" s="1"/>
      <c r="HY944" s="1"/>
      <c r="IC944" s="1"/>
      <c r="ID944" s="1"/>
      <c r="IE944" s="1"/>
      <c r="IR944" s="1"/>
      <c r="IS944" s="1"/>
      <c r="IZ944" s="1"/>
      <c r="JH944" s="1"/>
      <c r="JI944" s="1"/>
      <c r="JJ944" s="1"/>
      <c r="JN944" s="1"/>
      <c r="JP944" s="1"/>
      <c r="JQ944" s="1"/>
      <c r="KU944" s="1"/>
      <c r="KV944" s="1"/>
      <c r="KY944" s="1"/>
      <c r="KZ944" s="1"/>
      <c r="LA944" s="1"/>
      <c r="LB944" s="1"/>
      <c r="LC944" s="1"/>
      <c r="LD944" s="1"/>
      <c r="LO944" s="1"/>
      <c r="LP944" s="1"/>
      <c r="LZ944" s="1"/>
      <c r="MA944" s="1"/>
    </row>
    <row r="945" spans="4:339" ht="13" x14ac:dyDescent="0.15">
      <c r="D945" s="12"/>
      <c r="E945" s="12"/>
      <c r="I945" s="12"/>
      <c r="J945" s="13"/>
      <c r="BF945" s="1"/>
      <c r="BG945" s="1"/>
      <c r="BH945" s="1"/>
      <c r="BI945" s="1"/>
      <c r="BK945" s="1"/>
      <c r="BL945" s="1"/>
      <c r="BM945" s="1"/>
      <c r="BN945" s="1"/>
      <c r="BO945" s="1"/>
      <c r="BP945" s="1"/>
      <c r="BQ945" s="1"/>
      <c r="BR945" s="1"/>
      <c r="CD945" s="1"/>
      <c r="CE945" s="1"/>
      <c r="CF945" s="1"/>
      <c r="CG945" s="1"/>
      <c r="CH945" s="1"/>
      <c r="CI945" s="1"/>
      <c r="CM945" s="2"/>
      <c r="CN945" s="1"/>
      <c r="CO945" s="1"/>
      <c r="CP945" s="1"/>
      <c r="CQ945" s="1"/>
      <c r="CS945" s="1"/>
      <c r="CT945" s="1"/>
      <c r="CU945" s="1"/>
      <c r="CV945" s="1"/>
      <c r="CW945" s="1"/>
      <c r="CX945" s="1"/>
      <c r="CY945" s="1"/>
      <c r="CZ945" s="1"/>
      <c r="DA945" s="1"/>
      <c r="DB945" s="1"/>
      <c r="DC945" s="1"/>
      <c r="DD945" s="1"/>
      <c r="DE945" s="1"/>
      <c r="DF945" s="1"/>
      <c r="DG945" s="1"/>
      <c r="DH945" s="1"/>
      <c r="DI945" s="1"/>
      <c r="DJ945" s="1"/>
      <c r="DK945" s="1"/>
      <c r="DM945" s="1"/>
      <c r="DR945" s="1"/>
      <c r="ED945" s="1"/>
      <c r="EF945" s="1"/>
      <c r="EK945" s="1"/>
      <c r="EL945" s="1"/>
      <c r="EM945" s="1"/>
      <c r="EN945" s="1"/>
      <c r="EQ945" s="1"/>
      <c r="ER945" s="1"/>
      <c r="ES945" s="1"/>
      <c r="EV945" s="1"/>
      <c r="EW945" s="1"/>
      <c r="EX945" s="1"/>
      <c r="EZ945" s="1"/>
      <c r="FA945" s="1"/>
      <c r="FD945" s="1"/>
      <c r="FG945" s="1"/>
      <c r="FH945" s="1"/>
      <c r="FI945" s="1"/>
      <c r="FJ945" s="1"/>
      <c r="FK945" s="1"/>
      <c r="FL945" s="1"/>
      <c r="FM945" s="1"/>
      <c r="FN945" s="1"/>
      <c r="FO945" s="1"/>
      <c r="FP945" s="1"/>
      <c r="FQ945" s="1"/>
      <c r="FR945" s="1"/>
      <c r="FS945" s="1"/>
      <c r="FT945" s="1"/>
      <c r="FU945" s="1"/>
      <c r="FV945" s="1"/>
      <c r="FW945" s="1"/>
      <c r="FX945" s="1"/>
      <c r="FZ945" s="1"/>
      <c r="GA945" s="1"/>
      <c r="GB945" s="1"/>
      <c r="GD945" s="1"/>
      <c r="GE945" s="1"/>
      <c r="GF945" s="1"/>
      <c r="GG945" s="1"/>
      <c r="GH945" s="1"/>
      <c r="GI945" s="1"/>
      <c r="GJ945" s="1"/>
      <c r="GK945" s="1"/>
      <c r="GL945" s="1"/>
      <c r="GM945" s="1"/>
      <c r="GN945" s="1"/>
      <c r="GO945" s="1"/>
      <c r="GP945" s="1"/>
      <c r="GR945" s="1"/>
      <c r="GV945" s="1"/>
      <c r="GY945" s="1"/>
      <c r="HH945" s="1"/>
      <c r="HN945" s="1"/>
      <c r="HR945" s="1"/>
      <c r="HS945" s="1"/>
      <c r="HT945" s="1"/>
      <c r="HY945" s="1"/>
      <c r="IC945" s="1"/>
      <c r="ID945" s="1"/>
      <c r="IE945" s="1"/>
      <c r="IR945" s="1"/>
      <c r="IS945" s="1"/>
      <c r="IZ945" s="1"/>
      <c r="JH945" s="1"/>
      <c r="JI945" s="1"/>
      <c r="JJ945" s="1"/>
      <c r="JN945" s="1"/>
      <c r="JP945" s="1"/>
      <c r="JQ945" s="1"/>
      <c r="KU945" s="1"/>
      <c r="KV945" s="1"/>
      <c r="KY945" s="1"/>
      <c r="KZ945" s="1"/>
      <c r="LA945" s="1"/>
      <c r="LB945" s="1"/>
      <c r="LC945" s="1"/>
      <c r="LD945" s="1"/>
      <c r="LO945" s="1"/>
      <c r="LP945" s="1"/>
      <c r="LZ945" s="1"/>
      <c r="MA945" s="1"/>
    </row>
    <row r="946" spans="4:339" ht="13" x14ac:dyDescent="0.15">
      <c r="D946" s="12"/>
      <c r="E946" s="12"/>
      <c r="I946" s="12"/>
      <c r="J946" s="13"/>
      <c r="BF946" s="1"/>
      <c r="BG946" s="1"/>
      <c r="BH946" s="1"/>
      <c r="BI946" s="1"/>
      <c r="BK946" s="1"/>
      <c r="BL946" s="1"/>
      <c r="BM946" s="1"/>
      <c r="BN946" s="1"/>
      <c r="BO946" s="1"/>
      <c r="BP946" s="1"/>
      <c r="BQ946" s="1"/>
      <c r="BR946" s="1"/>
      <c r="CD946" s="1"/>
      <c r="CE946" s="1"/>
      <c r="CF946" s="1"/>
      <c r="CG946" s="1"/>
      <c r="CH946" s="1"/>
      <c r="CI946" s="1"/>
      <c r="CM946" s="2"/>
      <c r="CN946" s="1"/>
      <c r="CO946" s="1"/>
      <c r="CP946" s="1"/>
      <c r="CQ946" s="1"/>
      <c r="CS946" s="1"/>
      <c r="CT946" s="1"/>
      <c r="CU946" s="1"/>
      <c r="CV946" s="1"/>
      <c r="CW946" s="1"/>
      <c r="CX946" s="1"/>
      <c r="CY946" s="1"/>
      <c r="CZ946" s="1"/>
      <c r="DA946" s="1"/>
      <c r="DB946" s="1"/>
      <c r="DC946" s="1"/>
      <c r="DD946" s="1"/>
      <c r="DE946" s="1"/>
      <c r="DF946" s="1"/>
      <c r="DG946" s="1"/>
      <c r="DH946" s="1"/>
      <c r="DI946" s="1"/>
      <c r="DJ946" s="1"/>
      <c r="DK946" s="1"/>
      <c r="DM946" s="1"/>
      <c r="DR946" s="1"/>
      <c r="ED946" s="1"/>
      <c r="EF946" s="1"/>
      <c r="EK946" s="1"/>
      <c r="EL946" s="1"/>
      <c r="EM946" s="1"/>
      <c r="EN946" s="1"/>
      <c r="EQ946" s="1"/>
      <c r="ER946" s="1"/>
      <c r="ES946" s="1"/>
      <c r="EV946" s="1"/>
      <c r="EW946" s="1"/>
      <c r="EX946" s="1"/>
      <c r="EZ946" s="1"/>
      <c r="FA946" s="1"/>
      <c r="FD946" s="1"/>
      <c r="FG946" s="1"/>
      <c r="FH946" s="1"/>
      <c r="FI946" s="1"/>
      <c r="FJ946" s="1"/>
      <c r="FK946" s="1"/>
      <c r="FL946" s="1"/>
      <c r="FM946" s="1"/>
      <c r="FN946" s="1"/>
      <c r="FO946" s="1"/>
      <c r="FP946" s="1"/>
      <c r="FQ946" s="1"/>
      <c r="FR946" s="1"/>
      <c r="FS946" s="1"/>
      <c r="FT946" s="1"/>
      <c r="FU946" s="1"/>
      <c r="FV946" s="1"/>
      <c r="FW946" s="1"/>
      <c r="FX946" s="1"/>
      <c r="FZ946" s="1"/>
      <c r="GA946" s="1"/>
      <c r="GB946" s="1"/>
      <c r="GD946" s="1"/>
      <c r="GE946" s="1"/>
      <c r="GF946" s="1"/>
      <c r="GG946" s="1"/>
      <c r="GH946" s="1"/>
      <c r="GI946" s="1"/>
      <c r="GJ946" s="1"/>
      <c r="GK946" s="1"/>
      <c r="GL946" s="1"/>
      <c r="GM946" s="1"/>
      <c r="GN946" s="1"/>
      <c r="GO946" s="1"/>
      <c r="GP946" s="1"/>
      <c r="GR946" s="1"/>
      <c r="GV946" s="1"/>
      <c r="GY946" s="1"/>
      <c r="HH946" s="1"/>
      <c r="HN946" s="1"/>
      <c r="HR946" s="1"/>
      <c r="HS946" s="1"/>
      <c r="HT946" s="1"/>
      <c r="HY946" s="1"/>
      <c r="IC946" s="1"/>
      <c r="ID946" s="1"/>
      <c r="IE946" s="1"/>
      <c r="IR946" s="1"/>
      <c r="IS946" s="1"/>
      <c r="IZ946" s="1"/>
      <c r="JH946" s="1"/>
      <c r="JI946" s="1"/>
      <c r="JJ946" s="1"/>
      <c r="JN946" s="1"/>
      <c r="JP946" s="1"/>
      <c r="JQ946" s="1"/>
      <c r="KU946" s="1"/>
      <c r="KV946" s="1"/>
      <c r="KY946" s="1"/>
      <c r="KZ946" s="1"/>
      <c r="LA946" s="1"/>
      <c r="LB946" s="1"/>
      <c r="LC946" s="1"/>
      <c r="LD946" s="1"/>
      <c r="LO946" s="1"/>
      <c r="LP946" s="1"/>
      <c r="LZ946" s="1"/>
      <c r="MA946" s="1"/>
    </row>
    <row r="947" spans="4:339" ht="13" x14ac:dyDescent="0.15">
      <c r="D947" s="12"/>
      <c r="E947" s="12"/>
      <c r="I947" s="12"/>
      <c r="J947" s="13"/>
      <c r="BF947" s="1"/>
      <c r="BG947" s="1"/>
      <c r="BH947" s="1"/>
      <c r="BI947" s="1"/>
      <c r="BK947" s="1"/>
      <c r="BL947" s="1"/>
      <c r="BM947" s="1"/>
      <c r="BN947" s="1"/>
      <c r="BO947" s="1"/>
      <c r="BP947" s="1"/>
      <c r="BQ947" s="1"/>
      <c r="BR947" s="1"/>
      <c r="CD947" s="1"/>
      <c r="CE947" s="1"/>
      <c r="CF947" s="1"/>
      <c r="CG947" s="1"/>
      <c r="CH947" s="1"/>
      <c r="CI947" s="1"/>
      <c r="CM947" s="2"/>
      <c r="CN947" s="1"/>
      <c r="CO947" s="1"/>
      <c r="CP947" s="1"/>
      <c r="CQ947" s="1"/>
      <c r="CS947" s="1"/>
      <c r="CT947" s="1"/>
      <c r="CU947" s="1"/>
      <c r="CV947" s="1"/>
      <c r="CW947" s="1"/>
      <c r="CX947" s="1"/>
      <c r="CY947" s="1"/>
      <c r="CZ947" s="1"/>
      <c r="DA947" s="1"/>
      <c r="DB947" s="1"/>
      <c r="DC947" s="1"/>
      <c r="DD947" s="1"/>
      <c r="DE947" s="1"/>
      <c r="DF947" s="1"/>
      <c r="DG947" s="1"/>
      <c r="DH947" s="1"/>
      <c r="DI947" s="1"/>
      <c r="DJ947" s="1"/>
      <c r="DK947" s="1"/>
      <c r="DM947" s="1"/>
      <c r="DR947" s="1"/>
      <c r="ED947" s="1"/>
      <c r="EF947" s="1"/>
      <c r="EK947" s="1"/>
      <c r="EL947" s="1"/>
      <c r="EM947" s="1"/>
      <c r="EN947" s="1"/>
      <c r="EQ947" s="1"/>
      <c r="ER947" s="1"/>
      <c r="ES947" s="1"/>
      <c r="EV947" s="1"/>
      <c r="EW947" s="1"/>
      <c r="EX947" s="1"/>
      <c r="EZ947" s="1"/>
      <c r="FA947" s="1"/>
      <c r="FD947" s="1"/>
      <c r="FG947" s="1"/>
      <c r="FH947" s="1"/>
      <c r="FI947" s="1"/>
      <c r="FJ947" s="1"/>
      <c r="FK947" s="1"/>
      <c r="FL947" s="1"/>
      <c r="FM947" s="1"/>
      <c r="FN947" s="1"/>
      <c r="FO947" s="1"/>
      <c r="FP947" s="1"/>
      <c r="FQ947" s="1"/>
      <c r="FR947" s="1"/>
      <c r="FS947" s="1"/>
      <c r="FT947" s="1"/>
      <c r="FU947" s="1"/>
      <c r="FV947" s="1"/>
      <c r="FW947" s="1"/>
      <c r="FX947" s="1"/>
      <c r="FZ947" s="1"/>
      <c r="GA947" s="1"/>
      <c r="GB947" s="1"/>
      <c r="GD947" s="1"/>
      <c r="GE947" s="1"/>
      <c r="GF947" s="1"/>
      <c r="GG947" s="1"/>
      <c r="GH947" s="1"/>
      <c r="GI947" s="1"/>
      <c r="GJ947" s="1"/>
      <c r="GK947" s="1"/>
      <c r="GL947" s="1"/>
      <c r="GM947" s="1"/>
      <c r="GN947" s="1"/>
      <c r="GO947" s="1"/>
      <c r="GP947" s="1"/>
      <c r="GR947" s="1"/>
      <c r="GV947" s="1"/>
      <c r="GY947" s="1"/>
      <c r="HH947" s="1"/>
      <c r="HN947" s="1"/>
      <c r="HR947" s="1"/>
      <c r="HS947" s="1"/>
      <c r="HT947" s="1"/>
      <c r="HY947" s="1"/>
      <c r="IC947" s="1"/>
      <c r="ID947" s="1"/>
      <c r="IE947" s="1"/>
      <c r="IR947" s="1"/>
      <c r="IS947" s="1"/>
      <c r="IZ947" s="1"/>
      <c r="JH947" s="1"/>
      <c r="JI947" s="1"/>
      <c r="JJ947" s="1"/>
      <c r="JN947" s="1"/>
      <c r="JP947" s="1"/>
      <c r="JQ947" s="1"/>
      <c r="KU947" s="1"/>
      <c r="KV947" s="1"/>
      <c r="KY947" s="1"/>
      <c r="KZ947" s="1"/>
      <c r="LA947" s="1"/>
      <c r="LB947" s="1"/>
      <c r="LC947" s="1"/>
      <c r="LD947" s="1"/>
      <c r="LO947" s="1"/>
      <c r="LP947" s="1"/>
      <c r="LZ947" s="1"/>
      <c r="MA947" s="1"/>
    </row>
    <row r="948" spans="4:339" ht="13" x14ac:dyDescent="0.15">
      <c r="D948" s="12"/>
      <c r="E948" s="12"/>
      <c r="I948" s="12"/>
      <c r="J948" s="13"/>
      <c r="BF948" s="1"/>
      <c r="BG948" s="1"/>
      <c r="BH948" s="1"/>
      <c r="BI948" s="1"/>
      <c r="BK948" s="1"/>
      <c r="BL948" s="1"/>
      <c r="BM948" s="1"/>
      <c r="BN948" s="1"/>
      <c r="BP948" s="1"/>
      <c r="BQ948" s="1"/>
      <c r="BR948" s="1"/>
      <c r="BX948" s="1"/>
      <c r="CD948" s="1"/>
      <c r="CE948" s="1"/>
      <c r="CF948" s="1"/>
      <c r="CG948" s="1"/>
      <c r="CH948" s="1"/>
      <c r="CI948" s="1"/>
      <c r="CM948" s="2"/>
      <c r="CN948" s="1"/>
      <c r="CO948" s="1"/>
      <c r="CP948" s="1"/>
      <c r="CQ948" s="1"/>
      <c r="CR948" s="1"/>
      <c r="CS948" s="1"/>
      <c r="CT948" s="1"/>
      <c r="CU948" s="1"/>
      <c r="CV948" s="1"/>
      <c r="CW948" s="1"/>
      <c r="CX948" s="1"/>
      <c r="CY948" s="1"/>
      <c r="CZ948" s="1"/>
      <c r="DA948" s="1"/>
      <c r="DB948" s="1"/>
      <c r="DC948" s="1"/>
      <c r="DD948" s="1"/>
      <c r="DE948" s="1"/>
      <c r="DF948" s="1"/>
      <c r="DG948" s="1"/>
      <c r="DH948" s="1"/>
      <c r="DI948" s="1"/>
      <c r="DJ948" s="1"/>
      <c r="DK948" s="1"/>
      <c r="DM948" s="1"/>
      <c r="DQ948" s="1"/>
      <c r="DR948" s="1"/>
      <c r="DY948" s="1"/>
      <c r="DZ948" s="1"/>
      <c r="ED948" s="1"/>
      <c r="EK948" s="1"/>
      <c r="EL948" s="1"/>
      <c r="EM948" s="1"/>
      <c r="EN948" s="1"/>
      <c r="EQ948" s="1"/>
      <c r="ER948" s="1"/>
      <c r="ES948" s="1"/>
      <c r="EV948" s="1"/>
      <c r="EW948" s="1"/>
      <c r="EZ948" s="1"/>
      <c r="FA948" s="1"/>
      <c r="FD948" s="1"/>
      <c r="FG948" s="1"/>
      <c r="FH948" s="1"/>
      <c r="FI948" s="1"/>
      <c r="FJ948" s="1"/>
      <c r="FK948" s="1"/>
      <c r="FM948" s="1"/>
      <c r="FN948" s="1"/>
      <c r="FO948" s="1"/>
      <c r="FP948" s="1"/>
      <c r="FQ948" s="1"/>
      <c r="FR948" s="1"/>
      <c r="FS948" s="1"/>
      <c r="FT948" s="1"/>
      <c r="FV948" s="1"/>
      <c r="FW948" s="1"/>
      <c r="FX948" s="1"/>
      <c r="FY948" s="1"/>
      <c r="FZ948" s="1"/>
      <c r="GA948" s="1"/>
      <c r="GB948" s="1"/>
      <c r="GD948" s="1"/>
      <c r="GE948" s="1"/>
      <c r="GF948" s="1"/>
      <c r="GG948" s="1"/>
      <c r="GH948" s="1"/>
      <c r="GI948" s="1"/>
      <c r="GJ948" s="1"/>
      <c r="GK948" s="1"/>
      <c r="GL948" s="1"/>
      <c r="GM948" s="1"/>
      <c r="GN948" s="1"/>
      <c r="GO948" s="1"/>
      <c r="GP948" s="1"/>
      <c r="GR948" s="1"/>
      <c r="GY948" s="1"/>
      <c r="HH948" s="1"/>
      <c r="HY948" s="1"/>
      <c r="IC948" s="1"/>
      <c r="IE948" s="1"/>
      <c r="IR948" s="1"/>
      <c r="IS948" s="1"/>
      <c r="IY948" s="1"/>
      <c r="IZ948" s="1"/>
      <c r="JC948" s="1"/>
      <c r="JF948" s="1"/>
      <c r="JG948" s="1"/>
      <c r="JH948" s="1"/>
      <c r="JJ948" s="1"/>
      <c r="JN948" s="1"/>
      <c r="JP948" s="1"/>
      <c r="JQ948" s="1"/>
      <c r="JS948" s="1"/>
      <c r="JT948" s="1"/>
      <c r="KU948" s="1"/>
      <c r="KV948" s="1"/>
      <c r="KY948" s="1"/>
      <c r="KZ948" s="1"/>
      <c r="LA948" s="1"/>
      <c r="LB948" s="1"/>
      <c r="LC948" s="1"/>
      <c r="LD948" s="1"/>
      <c r="LO948" s="1"/>
      <c r="LP948" s="1"/>
      <c r="LZ948" s="1"/>
      <c r="MA948" s="1"/>
    </row>
    <row r="949" spans="4:339" ht="13" x14ac:dyDescent="0.15">
      <c r="D949" s="12"/>
      <c r="E949" s="12"/>
      <c r="I949" s="12"/>
      <c r="J949" s="13"/>
      <c r="BF949" s="1"/>
      <c r="BG949" s="1"/>
      <c r="BH949" s="1"/>
      <c r="BI949" s="1"/>
      <c r="BK949" s="1"/>
      <c r="BL949" s="1"/>
      <c r="BM949" s="1"/>
      <c r="BN949" s="1"/>
      <c r="BP949" s="1"/>
      <c r="BQ949" s="1"/>
      <c r="BR949" s="1"/>
      <c r="BX949" s="1"/>
      <c r="CD949" s="1"/>
      <c r="CE949" s="1"/>
      <c r="CF949" s="1"/>
      <c r="CG949" s="1"/>
      <c r="CH949" s="1"/>
      <c r="CI949" s="1"/>
      <c r="CM949" s="2"/>
      <c r="CN949" s="1"/>
      <c r="CO949" s="1"/>
      <c r="CP949" s="1"/>
      <c r="CQ949" s="1"/>
      <c r="CR949" s="1"/>
      <c r="CS949" s="1"/>
      <c r="CT949" s="1"/>
      <c r="CU949" s="1"/>
      <c r="CV949" s="1"/>
      <c r="CW949" s="1"/>
      <c r="CX949" s="1"/>
      <c r="CY949" s="1"/>
      <c r="CZ949" s="1"/>
      <c r="DA949" s="1"/>
      <c r="DB949" s="1"/>
      <c r="DC949" s="1"/>
      <c r="DD949" s="1"/>
      <c r="DE949" s="1"/>
      <c r="DF949" s="1"/>
      <c r="DG949" s="1"/>
      <c r="DH949" s="1"/>
      <c r="DI949" s="1"/>
      <c r="DJ949" s="1"/>
      <c r="DK949" s="1"/>
      <c r="DM949" s="1"/>
      <c r="DQ949" s="1"/>
      <c r="DR949" s="1"/>
      <c r="DY949" s="1"/>
      <c r="DZ949" s="1"/>
      <c r="ED949" s="1"/>
      <c r="EK949" s="1"/>
      <c r="EL949" s="1"/>
      <c r="EM949" s="1"/>
      <c r="EN949" s="1"/>
      <c r="EQ949" s="1"/>
      <c r="ER949" s="1"/>
      <c r="ES949" s="1"/>
      <c r="EV949" s="1"/>
      <c r="EW949" s="1"/>
      <c r="EZ949" s="1"/>
      <c r="FA949" s="1"/>
      <c r="FD949" s="1"/>
      <c r="FG949" s="1"/>
      <c r="FH949" s="1"/>
      <c r="FI949" s="1"/>
      <c r="FJ949" s="1"/>
      <c r="FK949" s="1"/>
      <c r="FM949" s="1"/>
      <c r="FN949" s="1"/>
      <c r="FO949" s="1"/>
      <c r="FP949" s="1"/>
      <c r="FQ949" s="1"/>
      <c r="FR949" s="1"/>
      <c r="FS949" s="1"/>
      <c r="FT949" s="1"/>
      <c r="FV949" s="1"/>
      <c r="FW949" s="1"/>
      <c r="FX949" s="1"/>
      <c r="FY949" s="1"/>
      <c r="FZ949" s="1"/>
      <c r="GA949" s="1"/>
      <c r="GB949" s="1"/>
      <c r="GD949" s="1"/>
      <c r="GE949" s="1"/>
      <c r="GF949" s="1"/>
      <c r="GG949" s="1"/>
      <c r="GH949" s="1"/>
      <c r="GI949" s="1"/>
      <c r="GJ949" s="1"/>
      <c r="GK949" s="1"/>
      <c r="GL949" s="1"/>
      <c r="GM949" s="1"/>
      <c r="GN949" s="1"/>
      <c r="GO949" s="1"/>
      <c r="GP949" s="1"/>
      <c r="GR949" s="1"/>
      <c r="GY949" s="1"/>
      <c r="HH949" s="1"/>
      <c r="HY949" s="1"/>
      <c r="IC949" s="1"/>
      <c r="IE949" s="1"/>
      <c r="IR949" s="1"/>
      <c r="IS949" s="1"/>
      <c r="IY949" s="1"/>
      <c r="IZ949" s="1"/>
      <c r="JC949" s="1"/>
      <c r="JF949" s="1"/>
      <c r="JG949" s="1"/>
      <c r="JH949" s="1"/>
      <c r="JJ949" s="1"/>
      <c r="JN949" s="1"/>
      <c r="JP949" s="1"/>
      <c r="JQ949" s="1"/>
      <c r="JS949" s="1"/>
      <c r="JT949" s="1"/>
      <c r="KU949" s="1"/>
      <c r="KV949" s="1"/>
      <c r="KY949" s="1"/>
      <c r="KZ949" s="1"/>
      <c r="LA949" s="1"/>
      <c r="LB949" s="1"/>
      <c r="LC949" s="1"/>
      <c r="LD949" s="1"/>
      <c r="LO949" s="1"/>
      <c r="LP949" s="1"/>
      <c r="LZ949" s="1"/>
      <c r="MA949" s="1"/>
    </row>
    <row r="950" spans="4:339" ht="13" x14ac:dyDescent="0.15">
      <c r="D950" s="12"/>
      <c r="E950" s="12"/>
      <c r="I950" s="12"/>
      <c r="J950" s="13"/>
      <c r="BF950" s="1"/>
      <c r="BG950" s="1"/>
      <c r="BH950" s="1"/>
      <c r="BI950" s="1"/>
      <c r="BK950" s="1"/>
      <c r="BL950" s="1"/>
      <c r="BM950" s="1"/>
      <c r="BN950" s="1"/>
      <c r="BP950" s="1"/>
      <c r="BQ950" s="1"/>
      <c r="BR950" s="1"/>
      <c r="BX950" s="1"/>
      <c r="CD950" s="1"/>
      <c r="CE950" s="1"/>
      <c r="CF950" s="1"/>
      <c r="CG950" s="1"/>
      <c r="CH950" s="1"/>
      <c r="CI950" s="1"/>
      <c r="CM950" s="2"/>
      <c r="CN950" s="1"/>
      <c r="CO950" s="1"/>
      <c r="CP950" s="1"/>
      <c r="CQ950" s="1"/>
      <c r="CR950" s="1"/>
      <c r="CS950" s="1"/>
      <c r="CT950" s="1"/>
      <c r="CU950" s="1"/>
      <c r="CV950" s="1"/>
      <c r="CW950" s="1"/>
      <c r="CX950" s="1"/>
      <c r="CY950" s="1"/>
      <c r="CZ950" s="1"/>
      <c r="DA950" s="1"/>
      <c r="DB950" s="1"/>
      <c r="DC950" s="1"/>
      <c r="DD950" s="1"/>
      <c r="DE950" s="1"/>
      <c r="DF950" s="1"/>
      <c r="DG950" s="1"/>
      <c r="DH950" s="1"/>
      <c r="DI950" s="1"/>
      <c r="DJ950" s="1"/>
      <c r="DK950" s="1"/>
      <c r="DM950" s="1"/>
      <c r="DQ950" s="1"/>
      <c r="DR950" s="1"/>
      <c r="DY950" s="1"/>
      <c r="DZ950" s="1"/>
      <c r="ED950" s="1"/>
      <c r="EK950" s="1"/>
      <c r="EL950" s="1"/>
      <c r="EM950" s="1"/>
      <c r="EN950" s="1"/>
      <c r="EQ950" s="1"/>
      <c r="ER950" s="1"/>
      <c r="ES950" s="1"/>
      <c r="EV950" s="1"/>
      <c r="EW950" s="1"/>
      <c r="EZ950" s="1"/>
      <c r="FA950" s="1"/>
      <c r="FD950" s="1"/>
      <c r="FG950" s="1"/>
      <c r="FH950" s="1"/>
      <c r="FI950" s="1"/>
      <c r="FJ950" s="1"/>
      <c r="FK950" s="1"/>
      <c r="FM950" s="1"/>
      <c r="FN950" s="1"/>
      <c r="FO950" s="1"/>
      <c r="FP950" s="1"/>
      <c r="FQ950" s="1"/>
      <c r="FR950" s="1"/>
      <c r="FS950" s="1"/>
      <c r="FT950" s="1"/>
      <c r="FV950" s="1"/>
      <c r="FW950" s="1"/>
      <c r="FX950" s="1"/>
      <c r="FY950" s="1"/>
      <c r="FZ950" s="1"/>
      <c r="GA950" s="1"/>
      <c r="GB950" s="1"/>
      <c r="GD950" s="1"/>
      <c r="GE950" s="1"/>
      <c r="GF950" s="1"/>
      <c r="GG950" s="1"/>
      <c r="GH950" s="1"/>
      <c r="GI950" s="1"/>
      <c r="GJ950" s="1"/>
      <c r="GK950" s="1"/>
      <c r="GL950" s="1"/>
      <c r="GM950" s="1"/>
      <c r="GN950" s="1"/>
      <c r="GO950" s="1"/>
      <c r="GP950" s="1"/>
      <c r="GR950" s="1"/>
      <c r="GY950" s="1"/>
      <c r="HH950" s="1"/>
      <c r="HY950" s="1"/>
      <c r="IC950" s="1"/>
      <c r="IE950" s="1"/>
      <c r="IR950" s="1"/>
      <c r="IS950" s="1"/>
      <c r="IY950" s="1"/>
      <c r="IZ950" s="1"/>
      <c r="JC950" s="1"/>
      <c r="JF950" s="1"/>
      <c r="JG950" s="1"/>
      <c r="JH950" s="1"/>
      <c r="JJ950" s="1"/>
      <c r="JN950" s="1"/>
      <c r="JP950" s="1"/>
      <c r="JQ950" s="1"/>
      <c r="JS950" s="1"/>
      <c r="JT950" s="1"/>
      <c r="KU950" s="1"/>
      <c r="KV950" s="1"/>
      <c r="KY950" s="1"/>
      <c r="KZ950" s="1"/>
      <c r="LA950" s="1"/>
      <c r="LB950" s="1"/>
      <c r="LC950" s="1"/>
      <c r="LD950" s="1"/>
      <c r="LO950" s="1"/>
      <c r="LP950" s="1"/>
      <c r="LZ950" s="1"/>
      <c r="MA950" s="1"/>
    </row>
    <row r="951" spans="4:339" ht="13" x14ac:dyDescent="0.15">
      <c r="D951" s="12"/>
      <c r="E951" s="12"/>
      <c r="I951" s="12"/>
      <c r="J951" s="13"/>
      <c r="BF951" s="1"/>
      <c r="BG951" s="1"/>
      <c r="BH951" s="1"/>
      <c r="BI951" s="1"/>
      <c r="BK951" s="1"/>
      <c r="BL951" s="1"/>
      <c r="BM951" s="1"/>
      <c r="BN951" s="1"/>
      <c r="BP951" s="1"/>
      <c r="BQ951" s="1"/>
      <c r="BR951" s="1"/>
      <c r="BX951" s="1"/>
      <c r="CD951" s="1"/>
      <c r="CE951" s="1"/>
      <c r="CF951" s="1"/>
      <c r="CG951" s="1"/>
      <c r="CH951" s="1"/>
      <c r="CI951" s="1"/>
      <c r="CM951" s="2"/>
      <c r="CN951" s="1"/>
      <c r="CO951" s="1"/>
      <c r="CP951" s="1"/>
      <c r="CQ951" s="1"/>
      <c r="CR951" s="1"/>
      <c r="CS951" s="1"/>
      <c r="CT951" s="1"/>
      <c r="CU951" s="1"/>
      <c r="CV951" s="1"/>
      <c r="CW951" s="1"/>
      <c r="CX951" s="1"/>
      <c r="CY951" s="1"/>
      <c r="CZ951" s="1"/>
      <c r="DA951" s="1"/>
      <c r="DB951" s="1"/>
      <c r="DC951" s="1"/>
      <c r="DD951" s="1"/>
      <c r="DE951" s="1"/>
      <c r="DF951" s="1"/>
      <c r="DG951" s="1"/>
      <c r="DH951" s="1"/>
      <c r="DI951" s="1"/>
      <c r="DJ951" s="1"/>
      <c r="DK951" s="1"/>
      <c r="DM951" s="1"/>
      <c r="DQ951" s="1"/>
      <c r="DR951" s="1"/>
      <c r="DY951" s="1"/>
      <c r="DZ951" s="1"/>
      <c r="ED951" s="1"/>
      <c r="EK951" s="1"/>
      <c r="EL951" s="1"/>
      <c r="EM951" s="1"/>
      <c r="EN951" s="1"/>
      <c r="EQ951" s="1"/>
      <c r="ER951" s="1"/>
      <c r="ES951" s="1"/>
      <c r="EV951" s="1"/>
      <c r="EW951" s="1"/>
      <c r="EZ951" s="1"/>
      <c r="FA951" s="1"/>
      <c r="FD951" s="1"/>
      <c r="FG951" s="1"/>
      <c r="FH951" s="1"/>
      <c r="FI951" s="1"/>
      <c r="FJ951" s="1"/>
      <c r="FK951" s="1"/>
      <c r="FM951" s="1"/>
      <c r="FN951" s="1"/>
      <c r="FO951" s="1"/>
      <c r="FP951" s="1"/>
      <c r="FQ951" s="1"/>
      <c r="FR951" s="1"/>
      <c r="FS951" s="1"/>
      <c r="FT951" s="1"/>
      <c r="FV951" s="1"/>
      <c r="FW951" s="1"/>
      <c r="FX951" s="1"/>
      <c r="FY951" s="1"/>
      <c r="FZ951" s="1"/>
      <c r="GA951" s="1"/>
      <c r="GB951" s="1"/>
      <c r="GD951" s="1"/>
      <c r="GE951" s="1"/>
      <c r="GF951" s="1"/>
      <c r="GG951" s="1"/>
      <c r="GH951" s="1"/>
      <c r="GI951" s="1"/>
      <c r="GJ951" s="1"/>
      <c r="GK951" s="1"/>
      <c r="GL951" s="1"/>
      <c r="GM951" s="1"/>
      <c r="GN951" s="1"/>
      <c r="GO951" s="1"/>
      <c r="GP951" s="1"/>
      <c r="GR951" s="1"/>
      <c r="GY951" s="1"/>
      <c r="HH951" s="1"/>
      <c r="HY951" s="1"/>
      <c r="IC951" s="1"/>
      <c r="IE951" s="1"/>
      <c r="IR951" s="1"/>
      <c r="IS951" s="1"/>
      <c r="IY951" s="1"/>
      <c r="IZ951" s="1"/>
      <c r="JC951" s="1"/>
      <c r="JF951" s="1"/>
      <c r="JG951" s="1"/>
      <c r="JH951" s="1"/>
      <c r="JJ951" s="1"/>
      <c r="JN951" s="1"/>
      <c r="JP951" s="1"/>
      <c r="JQ951" s="1"/>
      <c r="JS951" s="1"/>
      <c r="JT951" s="1"/>
      <c r="KU951" s="1"/>
      <c r="KV951" s="1"/>
      <c r="KY951" s="1"/>
      <c r="KZ951" s="1"/>
      <c r="LA951" s="1"/>
      <c r="LB951" s="1"/>
      <c r="LC951" s="1"/>
      <c r="LD951" s="1"/>
      <c r="LO951" s="1"/>
      <c r="LP951" s="1"/>
      <c r="LZ951" s="1"/>
      <c r="MA951" s="1"/>
    </row>
    <row r="952" spans="4:339" ht="13" x14ac:dyDescent="0.15">
      <c r="D952" s="12"/>
      <c r="E952" s="12"/>
      <c r="I952" s="12"/>
      <c r="J952" s="13"/>
      <c r="BF952" s="1"/>
      <c r="BG952" s="1"/>
      <c r="BH952" s="1"/>
      <c r="BI952" s="1"/>
      <c r="BK952" s="1"/>
      <c r="BL952" s="1"/>
      <c r="BM952" s="1"/>
      <c r="BN952" s="1"/>
      <c r="BP952" s="1"/>
      <c r="BQ952" s="1"/>
      <c r="BR952" s="1"/>
      <c r="BX952" s="1"/>
      <c r="CD952" s="1"/>
      <c r="CE952" s="1"/>
      <c r="CF952" s="1"/>
      <c r="CG952" s="1"/>
      <c r="CH952" s="1"/>
      <c r="CI952" s="1"/>
      <c r="CM952" s="2"/>
      <c r="CN952" s="1"/>
      <c r="CO952" s="1"/>
      <c r="CP952" s="1"/>
      <c r="CQ952" s="1"/>
      <c r="CR952" s="1"/>
      <c r="CS952" s="1"/>
      <c r="CT952" s="1"/>
      <c r="CU952" s="1"/>
      <c r="CV952" s="1"/>
      <c r="CW952" s="1"/>
      <c r="CX952" s="1"/>
      <c r="CY952" s="1"/>
      <c r="CZ952" s="1"/>
      <c r="DA952" s="1"/>
      <c r="DB952" s="1"/>
      <c r="DC952" s="1"/>
      <c r="DD952" s="1"/>
      <c r="DE952" s="1"/>
      <c r="DF952" s="1"/>
      <c r="DG952" s="1"/>
      <c r="DH952" s="1"/>
      <c r="DI952" s="1"/>
      <c r="DJ952" s="1"/>
      <c r="DK952" s="1"/>
      <c r="DM952" s="1"/>
      <c r="DQ952" s="1"/>
      <c r="DR952" s="1"/>
      <c r="DY952" s="1"/>
      <c r="DZ952" s="1"/>
      <c r="ED952" s="1"/>
      <c r="EK952" s="1"/>
      <c r="EL952" s="1"/>
      <c r="EM952" s="1"/>
      <c r="EN952" s="1"/>
      <c r="EQ952" s="1"/>
      <c r="ER952" s="1"/>
      <c r="ES952" s="1"/>
      <c r="EV952" s="1"/>
      <c r="EW952" s="1"/>
      <c r="EZ952" s="1"/>
      <c r="FA952" s="1"/>
      <c r="FD952" s="1"/>
      <c r="FG952" s="1"/>
      <c r="FH952" s="1"/>
      <c r="FI952" s="1"/>
      <c r="FJ952" s="1"/>
      <c r="FK952" s="1"/>
      <c r="FM952" s="1"/>
      <c r="FN952" s="1"/>
      <c r="FO952" s="1"/>
      <c r="FP952" s="1"/>
      <c r="FQ952" s="1"/>
      <c r="FR952" s="1"/>
      <c r="FS952" s="1"/>
      <c r="FT952" s="1"/>
      <c r="FV952" s="1"/>
      <c r="FW952" s="1"/>
      <c r="FX952" s="1"/>
      <c r="FY952" s="1"/>
      <c r="FZ952" s="1"/>
      <c r="GA952" s="1"/>
      <c r="GB952" s="1"/>
      <c r="GD952" s="1"/>
      <c r="GE952" s="1"/>
      <c r="GF952" s="1"/>
      <c r="GG952" s="1"/>
      <c r="GH952" s="1"/>
      <c r="GI952" s="1"/>
      <c r="GJ952" s="1"/>
      <c r="GK952" s="1"/>
      <c r="GL952" s="1"/>
      <c r="GM952" s="1"/>
      <c r="GN952" s="1"/>
      <c r="GO952" s="1"/>
      <c r="GP952" s="1"/>
      <c r="GR952" s="1"/>
      <c r="GY952" s="1"/>
      <c r="HH952" s="1"/>
      <c r="HY952" s="1"/>
      <c r="IC952" s="1"/>
      <c r="IE952" s="1"/>
      <c r="IR952" s="1"/>
      <c r="IS952" s="1"/>
      <c r="IY952" s="1"/>
      <c r="IZ952" s="1"/>
      <c r="JC952" s="1"/>
      <c r="JF952" s="1"/>
      <c r="JG952" s="1"/>
      <c r="JH952" s="1"/>
      <c r="JJ952" s="1"/>
      <c r="JN952" s="1"/>
      <c r="JP952" s="1"/>
      <c r="JQ952" s="1"/>
      <c r="JS952" s="1"/>
      <c r="JT952" s="1"/>
      <c r="KU952" s="1"/>
      <c r="KV952" s="1"/>
      <c r="KY952" s="1"/>
      <c r="KZ952" s="1"/>
      <c r="LA952" s="1"/>
      <c r="LB952" s="1"/>
      <c r="LC952" s="1"/>
      <c r="LD952" s="1"/>
      <c r="LO952" s="1"/>
      <c r="LP952" s="1"/>
      <c r="LZ952" s="1"/>
      <c r="MA952" s="1"/>
    </row>
    <row r="953" spans="4:339" ht="13" x14ac:dyDescent="0.15">
      <c r="D953" s="12"/>
      <c r="E953" s="12"/>
      <c r="I953" s="12"/>
      <c r="J953" s="13"/>
      <c r="BF953" s="1"/>
      <c r="BG953" s="1"/>
      <c r="BH953" s="1"/>
      <c r="BI953" s="1"/>
      <c r="BK953" s="1"/>
      <c r="BL953" s="1"/>
      <c r="BM953" s="1"/>
      <c r="BN953" s="1"/>
      <c r="BP953" s="1"/>
      <c r="BQ953" s="1"/>
      <c r="BR953" s="1"/>
      <c r="BX953" s="1"/>
      <c r="CD953" s="1"/>
      <c r="CE953" s="1"/>
      <c r="CF953" s="1"/>
      <c r="CG953" s="1"/>
      <c r="CH953" s="1"/>
      <c r="CI953" s="1"/>
      <c r="CM953" s="2"/>
      <c r="CN953" s="1"/>
      <c r="CO953" s="1"/>
      <c r="CP953" s="1"/>
      <c r="CQ953" s="1"/>
      <c r="CR953" s="1"/>
      <c r="CS953" s="1"/>
      <c r="CT953" s="1"/>
      <c r="CU953" s="1"/>
      <c r="CV953" s="1"/>
      <c r="CW953" s="1"/>
      <c r="CX953" s="1"/>
      <c r="CY953" s="1"/>
      <c r="CZ953" s="1"/>
      <c r="DA953" s="1"/>
      <c r="DB953" s="1"/>
      <c r="DC953" s="1"/>
      <c r="DD953" s="1"/>
      <c r="DE953" s="1"/>
      <c r="DF953" s="1"/>
      <c r="DG953" s="1"/>
      <c r="DH953" s="1"/>
      <c r="DI953" s="1"/>
      <c r="DJ953" s="1"/>
      <c r="DK953" s="1"/>
      <c r="DM953" s="1"/>
      <c r="DQ953" s="1"/>
      <c r="DR953" s="1"/>
      <c r="DY953" s="1"/>
      <c r="DZ953" s="1"/>
      <c r="ED953" s="1"/>
      <c r="EK953" s="1"/>
      <c r="EL953" s="1"/>
      <c r="EM953" s="1"/>
      <c r="EN953" s="1"/>
      <c r="EQ953" s="1"/>
      <c r="ER953" s="1"/>
      <c r="ES953" s="1"/>
      <c r="EV953" s="1"/>
      <c r="EW953" s="1"/>
      <c r="EZ953" s="1"/>
      <c r="FA953" s="1"/>
      <c r="FD953" s="1"/>
      <c r="FG953" s="1"/>
      <c r="FH953" s="1"/>
      <c r="FI953" s="1"/>
      <c r="FJ953" s="1"/>
      <c r="FK953" s="1"/>
      <c r="FM953" s="1"/>
      <c r="FN953" s="1"/>
      <c r="FO953" s="1"/>
      <c r="FP953" s="1"/>
      <c r="FQ953" s="1"/>
      <c r="FR953" s="1"/>
      <c r="FS953" s="1"/>
      <c r="FT953" s="1"/>
      <c r="FV953" s="1"/>
      <c r="FW953" s="1"/>
      <c r="FX953" s="1"/>
      <c r="FY953" s="1"/>
      <c r="FZ953" s="1"/>
      <c r="GA953" s="1"/>
      <c r="GB953" s="1"/>
      <c r="GD953" s="1"/>
      <c r="GE953" s="1"/>
      <c r="GF953" s="1"/>
      <c r="GG953" s="1"/>
      <c r="GH953" s="1"/>
      <c r="GI953" s="1"/>
      <c r="GJ953" s="1"/>
      <c r="GK953" s="1"/>
      <c r="GL953" s="1"/>
      <c r="GM953" s="1"/>
      <c r="GN953" s="1"/>
      <c r="GO953" s="1"/>
      <c r="GP953" s="1"/>
      <c r="GR953" s="1"/>
      <c r="GY953" s="1"/>
      <c r="HH953" s="1"/>
      <c r="HY953" s="1"/>
      <c r="IC953" s="1"/>
      <c r="IE953" s="1"/>
      <c r="IR953" s="1"/>
      <c r="IS953" s="1"/>
      <c r="IY953" s="1"/>
      <c r="IZ953" s="1"/>
      <c r="JC953" s="1"/>
      <c r="JF953" s="1"/>
      <c r="JG953" s="1"/>
      <c r="JH953" s="1"/>
      <c r="JJ953" s="1"/>
      <c r="JN953" s="1"/>
      <c r="JP953" s="1"/>
      <c r="JQ953" s="1"/>
      <c r="JS953" s="1"/>
      <c r="JT953" s="1"/>
      <c r="KU953" s="1"/>
      <c r="KV953" s="1"/>
      <c r="KY953" s="1"/>
      <c r="KZ953" s="1"/>
      <c r="LA953" s="1"/>
      <c r="LB953" s="1"/>
      <c r="LC953" s="1"/>
      <c r="LD953" s="1"/>
      <c r="LO953" s="1"/>
      <c r="LP953" s="1"/>
      <c r="LZ953" s="1"/>
      <c r="MA953" s="1"/>
    </row>
    <row r="954" spans="4:339" ht="13" x14ac:dyDescent="0.15">
      <c r="D954" s="12"/>
      <c r="E954" s="12"/>
      <c r="I954" s="12"/>
      <c r="J954" s="13"/>
      <c r="BF954" s="1"/>
      <c r="BG954" s="1"/>
      <c r="BH954" s="1"/>
      <c r="BI954" s="1"/>
      <c r="BJ954" s="1"/>
      <c r="BK954" s="1"/>
      <c r="BL954" s="1"/>
      <c r="BM954" s="1"/>
      <c r="BN954" s="1"/>
      <c r="BO954" s="1"/>
      <c r="BP954" s="1"/>
      <c r="BQ954" s="1"/>
      <c r="BR954" s="1"/>
      <c r="CD954" s="1"/>
      <c r="CE954" s="1"/>
      <c r="CF954" s="1"/>
      <c r="CG954" s="1"/>
      <c r="CH954" s="1"/>
      <c r="CI954" s="1"/>
      <c r="CM954" s="2"/>
      <c r="CN954" s="1"/>
      <c r="CO954" s="1"/>
      <c r="CP954" s="1"/>
      <c r="CQ954" s="1"/>
      <c r="CR954" s="1"/>
      <c r="CS954" s="1"/>
      <c r="CT954" s="1"/>
      <c r="CU954" s="1"/>
      <c r="CV954" s="1"/>
      <c r="CW954" s="1"/>
      <c r="CX954" s="1"/>
      <c r="CY954" s="1"/>
      <c r="CZ954" s="1"/>
      <c r="DA954" s="1"/>
      <c r="DB954" s="1"/>
      <c r="DC954" s="1"/>
      <c r="DD954" s="1"/>
      <c r="DE954" s="1"/>
      <c r="DF954" s="1"/>
      <c r="DG954" s="1"/>
      <c r="DH954" s="1"/>
      <c r="DI954" s="1"/>
      <c r="DJ954" s="1"/>
      <c r="DK954" s="1"/>
      <c r="ED954" s="1"/>
      <c r="EK954" s="1"/>
      <c r="EL954" s="1"/>
      <c r="EM954" s="1"/>
      <c r="EN954" s="1"/>
      <c r="EQ954" s="1"/>
      <c r="ER954" s="1"/>
      <c r="ES954" s="1"/>
      <c r="EV954" s="1"/>
      <c r="EW954" s="1"/>
      <c r="EZ954" s="1"/>
      <c r="FA954" s="1"/>
      <c r="FD954" s="1"/>
      <c r="FG954" s="1"/>
      <c r="FH954" s="1"/>
      <c r="FI954" s="1"/>
      <c r="FJ954" s="1"/>
      <c r="FK954" s="1"/>
      <c r="FL954" s="1"/>
      <c r="FM954" s="1"/>
      <c r="FN954" s="1"/>
      <c r="FO954" s="1"/>
      <c r="FP954" s="1"/>
      <c r="FQ954" s="1"/>
      <c r="FR954" s="1"/>
      <c r="FS954" s="1"/>
      <c r="FT954" s="1"/>
      <c r="FU954" s="1"/>
      <c r="FV954" s="1"/>
      <c r="FW954" s="1"/>
      <c r="FX954" s="1"/>
      <c r="FY954" s="1"/>
      <c r="FZ954" s="1"/>
      <c r="GA954" s="1"/>
      <c r="GB954" s="1"/>
      <c r="GD954" s="1"/>
      <c r="GE954" s="1"/>
      <c r="GF954" s="1"/>
      <c r="GG954" s="1"/>
      <c r="GH954" s="1"/>
      <c r="GI954" s="1"/>
      <c r="GJ954" s="1"/>
      <c r="GK954" s="1"/>
      <c r="GL954" s="1"/>
      <c r="GM954" s="1"/>
      <c r="GN954" s="1"/>
      <c r="GP954" s="1"/>
      <c r="GR954" s="1"/>
      <c r="GY954" s="1"/>
      <c r="HF954" s="1"/>
      <c r="HH954" s="1"/>
      <c r="HN954" s="1"/>
      <c r="HT954" s="1"/>
      <c r="HY954" s="1"/>
      <c r="IC954" s="1"/>
      <c r="IE954" s="1"/>
      <c r="IR954" s="1"/>
      <c r="IS954" s="1"/>
      <c r="IZ954" s="1"/>
      <c r="JC954" s="1"/>
      <c r="JG954" s="1"/>
      <c r="JH954" s="1"/>
      <c r="JJ954" s="1"/>
      <c r="JN954" s="1"/>
      <c r="JP954" s="1"/>
      <c r="JQ954" s="1"/>
      <c r="JT954" s="1"/>
      <c r="KU954" s="1"/>
      <c r="KV954" s="1"/>
      <c r="KY954" s="1"/>
      <c r="KZ954" s="1"/>
      <c r="LA954" s="1"/>
      <c r="LB954" s="1"/>
      <c r="LC954" s="1"/>
      <c r="LD954" s="1"/>
      <c r="LO954" s="1"/>
      <c r="LP954" s="1"/>
      <c r="LZ954" s="1"/>
      <c r="MA954" s="1"/>
    </row>
    <row r="955" spans="4:339" ht="13" x14ac:dyDescent="0.15">
      <c r="D955" s="12"/>
      <c r="E955" s="12"/>
      <c r="I955" s="12"/>
      <c r="J955" s="13"/>
      <c r="BF955" s="1"/>
      <c r="BG955" s="1"/>
      <c r="BH955" s="1"/>
      <c r="BI955" s="1"/>
      <c r="BJ955" s="1"/>
      <c r="BK955" s="1"/>
      <c r="BL955" s="1"/>
      <c r="BM955" s="1"/>
      <c r="BN955" s="1"/>
      <c r="BO955" s="1"/>
      <c r="BP955" s="1"/>
      <c r="BQ955" s="1"/>
      <c r="BR955" s="1"/>
      <c r="BX955" s="1"/>
      <c r="CD955" s="1"/>
      <c r="CE955" s="1"/>
      <c r="CF955" s="1"/>
      <c r="CG955" s="1"/>
      <c r="CH955" s="1"/>
      <c r="CI955" s="1"/>
      <c r="CM955" s="2"/>
      <c r="CN955" s="1"/>
      <c r="CO955" s="1"/>
      <c r="CP955" s="1"/>
      <c r="CQ955" s="1"/>
      <c r="CS955" s="1"/>
      <c r="CT955" s="1"/>
      <c r="CU955" s="1"/>
      <c r="CV955" s="1"/>
      <c r="CW955" s="1"/>
      <c r="CX955" s="1"/>
      <c r="CY955" s="1"/>
      <c r="CZ955" s="1"/>
      <c r="DA955" s="1"/>
      <c r="DB955" s="1"/>
      <c r="DC955" s="1"/>
      <c r="DD955" s="1"/>
      <c r="DE955" s="1"/>
      <c r="DF955" s="1"/>
      <c r="DG955" s="1"/>
      <c r="DH955" s="1"/>
      <c r="DI955" s="1"/>
      <c r="DJ955" s="1"/>
      <c r="DK955" s="1"/>
      <c r="DM955" s="1"/>
      <c r="DQ955" s="1"/>
      <c r="DR955" s="1"/>
      <c r="DY955" s="1"/>
      <c r="DZ955" s="1"/>
      <c r="ED955" s="1"/>
      <c r="EF955" s="1"/>
      <c r="EK955" s="1"/>
      <c r="EL955" s="1"/>
      <c r="EM955" s="1"/>
      <c r="EN955" s="1"/>
      <c r="EQ955" s="1"/>
      <c r="ER955" s="1"/>
      <c r="ES955" s="1"/>
      <c r="EV955" s="1"/>
      <c r="EW955" s="1"/>
      <c r="EX955" s="1"/>
      <c r="EZ955" s="1"/>
      <c r="FA955" s="1"/>
      <c r="FD955" s="1"/>
      <c r="FG955" s="1"/>
      <c r="FH955" s="1"/>
      <c r="FI955" s="1"/>
      <c r="FJ955" s="1"/>
      <c r="FK955" s="1"/>
      <c r="FM955" s="1"/>
      <c r="FN955" s="1"/>
      <c r="FO955" s="1"/>
      <c r="FP955" s="1"/>
      <c r="FQ955" s="1"/>
      <c r="FR955" s="1"/>
      <c r="FS955" s="1"/>
      <c r="FT955" s="1"/>
      <c r="FU955" s="1"/>
      <c r="FV955" s="1"/>
      <c r="FW955" s="1"/>
      <c r="FX955" s="1"/>
      <c r="FY955" s="1"/>
      <c r="FZ955" s="1"/>
      <c r="GA955" s="1"/>
      <c r="GB955" s="1"/>
      <c r="GD955" s="1"/>
      <c r="GE955" s="1"/>
      <c r="GF955" s="1"/>
      <c r="GG955" s="1"/>
      <c r="GH955" s="1"/>
      <c r="GI955" s="1"/>
      <c r="GJ955" s="1"/>
      <c r="GK955" s="1"/>
      <c r="GL955" s="1"/>
      <c r="GM955" s="1"/>
      <c r="GN955" s="1"/>
      <c r="GO955" s="1"/>
      <c r="GP955" s="1"/>
      <c r="GR955" s="1"/>
      <c r="GY955" s="1"/>
      <c r="HF955" s="1"/>
      <c r="HH955" s="1"/>
      <c r="HQ955" s="1"/>
      <c r="HR955" s="1"/>
      <c r="HS955" s="1"/>
      <c r="HT955" s="1"/>
      <c r="HY955" s="1"/>
      <c r="IE955" s="1"/>
      <c r="IR955" s="1"/>
      <c r="IS955" s="1"/>
      <c r="IZ955" s="1"/>
      <c r="JC955" s="1"/>
      <c r="JF955" s="1"/>
      <c r="JG955" s="1"/>
      <c r="JH955" s="1"/>
      <c r="JJ955" s="1"/>
      <c r="JN955" s="1"/>
      <c r="JO955" s="1"/>
      <c r="JP955" s="1"/>
      <c r="JQ955" s="1"/>
      <c r="JT955" s="1"/>
      <c r="KV955" s="1"/>
      <c r="KY955" s="1"/>
      <c r="KZ955" s="1"/>
      <c r="LA955" s="1"/>
      <c r="LB955" s="1"/>
      <c r="LC955" s="1"/>
      <c r="LD955" s="1"/>
      <c r="LN955" s="1"/>
      <c r="LO955" s="1"/>
      <c r="LP955" s="1"/>
      <c r="LZ955" s="1"/>
      <c r="MA955" s="1"/>
    </row>
    <row r="956" spans="4:339" ht="13" x14ac:dyDescent="0.15">
      <c r="D956" s="12"/>
      <c r="E956" s="12"/>
      <c r="I956" s="12"/>
      <c r="J956" s="13"/>
      <c r="BF956" s="1"/>
      <c r="BG956" s="1"/>
      <c r="BH956" s="1"/>
      <c r="BI956" s="1"/>
      <c r="BJ956" s="1"/>
      <c r="BK956" s="1"/>
      <c r="BL956" s="1"/>
      <c r="BM956" s="1"/>
      <c r="BN956" s="1"/>
      <c r="BO956" s="1"/>
      <c r="BP956" s="1"/>
      <c r="BQ956" s="1"/>
      <c r="BR956" s="1"/>
      <c r="BX956" s="1"/>
      <c r="CD956" s="1"/>
      <c r="CE956" s="1"/>
      <c r="CF956" s="1"/>
      <c r="CG956" s="1"/>
      <c r="CH956" s="1"/>
      <c r="CI956" s="1"/>
      <c r="CM956" s="2"/>
      <c r="CN956" s="1"/>
      <c r="CO956" s="1"/>
      <c r="CP956" s="1"/>
      <c r="CQ956" s="1"/>
      <c r="CS956" s="1"/>
      <c r="CT956" s="1"/>
      <c r="CU956" s="1"/>
      <c r="CV956" s="1"/>
      <c r="CW956" s="1"/>
      <c r="CX956" s="1"/>
      <c r="CY956" s="1"/>
      <c r="CZ956" s="1"/>
      <c r="DA956" s="1"/>
      <c r="DB956" s="1"/>
      <c r="DC956" s="1"/>
      <c r="DD956" s="1"/>
      <c r="DE956" s="1"/>
      <c r="DF956" s="1"/>
      <c r="DG956" s="1"/>
      <c r="DH956" s="1"/>
      <c r="DI956" s="1"/>
      <c r="DJ956" s="1"/>
      <c r="DK956" s="1"/>
      <c r="DM956" s="1"/>
      <c r="DQ956" s="1"/>
      <c r="DR956" s="1"/>
      <c r="DY956" s="1"/>
      <c r="DZ956" s="1"/>
      <c r="ED956" s="1"/>
      <c r="EF956" s="1"/>
      <c r="EK956" s="1"/>
      <c r="EL956" s="1"/>
      <c r="EM956" s="1"/>
      <c r="EN956" s="1"/>
      <c r="EQ956" s="1"/>
      <c r="ER956" s="1"/>
      <c r="ES956" s="1"/>
      <c r="EV956" s="1"/>
      <c r="EW956" s="1"/>
      <c r="EX956" s="1"/>
      <c r="EZ956" s="1"/>
      <c r="FA956" s="1"/>
      <c r="FD956" s="1"/>
      <c r="FG956" s="1"/>
      <c r="FH956" s="1"/>
      <c r="FI956" s="1"/>
      <c r="FJ956" s="1"/>
      <c r="FK956" s="1"/>
      <c r="FM956" s="1"/>
      <c r="FN956" s="1"/>
      <c r="FO956" s="1"/>
      <c r="FP956" s="1"/>
      <c r="FQ956" s="1"/>
      <c r="FR956" s="1"/>
      <c r="FS956" s="1"/>
      <c r="FT956" s="1"/>
      <c r="FU956" s="1"/>
      <c r="FV956" s="1"/>
      <c r="FW956" s="1"/>
      <c r="FX956" s="1"/>
      <c r="FY956" s="1"/>
      <c r="FZ956" s="1"/>
      <c r="GA956" s="1"/>
      <c r="GB956" s="1"/>
      <c r="GD956" s="1"/>
      <c r="GE956" s="1"/>
      <c r="GF956" s="1"/>
      <c r="GG956" s="1"/>
      <c r="GH956" s="1"/>
      <c r="GI956" s="1"/>
      <c r="GJ956" s="1"/>
      <c r="GK956" s="1"/>
      <c r="GL956" s="1"/>
      <c r="GM956" s="1"/>
      <c r="GN956" s="1"/>
      <c r="GO956" s="1"/>
      <c r="GP956" s="1"/>
      <c r="GR956" s="1"/>
      <c r="GY956" s="1"/>
      <c r="HF956" s="1"/>
      <c r="HH956" s="1"/>
      <c r="HQ956" s="1"/>
      <c r="HR956" s="1"/>
      <c r="HS956" s="1"/>
      <c r="HT956" s="1"/>
      <c r="HY956" s="1"/>
      <c r="IE956" s="1"/>
      <c r="IR956" s="1"/>
      <c r="IS956" s="1"/>
      <c r="IZ956" s="1"/>
      <c r="JC956" s="1"/>
      <c r="JF956" s="1"/>
      <c r="JG956" s="1"/>
      <c r="JH956" s="1"/>
      <c r="JJ956" s="1"/>
      <c r="JN956" s="1"/>
      <c r="JO956" s="1"/>
      <c r="JP956" s="1"/>
      <c r="JQ956" s="1"/>
      <c r="JT956" s="1"/>
      <c r="KV956" s="1"/>
      <c r="KY956" s="1"/>
      <c r="KZ956" s="1"/>
      <c r="LA956" s="1"/>
      <c r="LB956" s="1"/>
      <c r="LC956" s="1"/>
      <c r="LD956" s="1"/>
      <c r="LN956" s="1"/>
      <c r="LO956" s="1"/>
      <c r="LP956" s="1"/>
      <c r="LZ956" s="1"/>
      <c r="MA956" s="1"/>
    </row>
    <row r="957" spans="4:339" ht="13" x14ac:dyDescent="0.15">
      <c r="D957" s="12"/>
      <c r="E957" s="12"/>
      <c r="I957" s="12"/>
      <c r="J957" s="13"/>
      <c r="BF957" s="1"/>
      <c r="BG957" s="1"/>
      <c r="BH957" s="1"/>
      <c r="BI957" s="1"/>
      <c r="BJ957" s="1"/>
      <c r="BK957" s="1"/>
      <c r="BL957" s="1"/>
      <c r="BM957" s="1"/>
      <c r="BN957" s="1"/>
      <c r="BO957" s="1"/>
      <c r="BP957" s="1"/>
      <c r="BQ957" s="1"/>
      <c r="BR957" s="1"/>
      <c r="BX957" s="1"/>
      <c r="CD957" s="1"/>
      <c r="CE957" s="1"/>
      <c r="CF957" s="1"/>
      <c r="CG957" s="1"/>
      <c r="CH957" s="1"/>
      <c r="CI957" s="1"/>
      <c r="CM957" s="2"/>
      <c r="CN957" s="1"/>
      <c r="CO957" s="1"/>
      <c r="CP957" s="1"/>
      <c r="CQ957" s="1"/>
      <c r="CS957" s="1"/>
      <c r="CT957" s="1"/>
      <c r="CU957" s="1"/>
      <c r="CV957" s="1"/>
      <c r="CW957" s="1"/>
      <c r="CX957" s="1"/>
      <c r="CY957" s="1"/>
      <c r="CZ957" s="1"/>
      <c r="DA957" s="1"/>
      <c r="DB957" s="1"/>
      <c r="DC957" s="1"/>
      <c r="DD957" s="1"/>
      <c r="DE957" s="1"/>
      <c r="DF957" s="1"/>
      <c r="DG957" s="1"/>
      <c r="DH957" s="1"/>
      <c r="DI957" s="1"/>
      <c r="DJ957" s="1"/>
      <c r="DK957" s="1"/>
      <c r="DM957" s="1"/>
      <c r="DQ957" s="1"/>
      <c r="DR957" s="1"/>
      <c r="DY957" s="1"/>
      <c r="DZ957" s="1"/>
      <c r="ED957" s="1"/>
      <c r="EF957" s="1"/>
      <c r="EK957" s="1"/>
      <c r="EL957" s="1"/>
      <c r="EM957" s="1"/>
      <c r="EN957" s="1"/>
      <c r="EQ957" s="1"/>
      <c r="ER957" s="1"/>
      <c r="ES957" s="1"/>
      <c r="EV957" s="1"/>
      <c r="EW957" s="1"/>
      <c r="EX957" s="1"/>
      <c r="EZ957" s="1"/>
      <c r="FA957" s="1"/>
      <c r="FD957" s="1"/>
      <c r="FG957" s="1"/>
      <c r="FH957" s="1"/>
      <c r="FI957" s="1"/>
      <c r="FJ957" s="1"/>
      <c r="FK957" s="1"/>
      <c r="FM957" s="1"/>
      <c r="FN957" s="1"/>
      <c r="FO957" s="1"/>
      <c r="FP957" s="1"/>
      <c r="FQ957" s="1"/>
      <c r="FR957" s="1"/>
      <c r="FS957" s="1"/>
      <c r="FT957" s="1"/>
      <c r="FU957" s="1"/>
      <c r="FV957" s="1"/>
      <c r="FW957" s="1"/>
      <c r="FX957" s="1"/>
      <c r="FY957" s="1"/>
      <c r="FZ957" s="1"/>
      <c r="GA957" s="1"/>
      <c r="GB957" s="1"/>
      <c r="GD957" s="1"/>
      <c r="GE957" s="1"/>
      <c r="GF957" s="1"/>
      <c r="GG957" s="1"/>
      <c r="GH957" s="1"/>
      <c r="GI957" s="1"/>
      <c r="GJ957" s="1"/>
      <c r="GK957" s="1"/>
      <c r="GL957" s="1"/>
      <c r="GM957" s="1"/>
      <c r="GN957" s="1"/>
      <c r="GO957" s="1"/>
      <c r="GP957" s="1"/>
      <c r="GR957" s="1"/>
      <c r="GY957" s="1"/>
      <c r="HF957" s="1"/>
      <c r="HH957" s="1"/>
      <c r="HQ957" s="1"/>
      <c r="HR957" s="1"/>
      <c r="HS957" s="1"/>
      <c r="HT957" s="1"/>
      <c r="HY957" s="1"/>
      <c r="IE957" s="1"/>
      <c r="IR957" s="1"/>
      <c r="IS957" s="1"/>
      <c r="IZ957" s="1"/>
      <c r="JC957" s="1"/>
      <c r="JF957" s="1"/>
      <c r="JG957" s="1"/>
      <c r="JH957" s="1"/>
      <c r="JJ957" s="1"/>
      <c r="JN957" s="1"/>
      <c r="JO957" s="1"/>
      <c r="JP957" s="1"/>
      <c r="JQ957" s="1"/>
      <c r="JT957" s="1"/>
      <c r="KV957" s="1"/>
      <c r="KY957" s="1"/>
      <c r="KZ957" s="1"/>
      <c r="LA957" s="1"/>
      <c r="LB957" s="1"/>
      <c r="LC957" s="1"/>
      <c r="LD957" s="1"/>
      <c r="LN957" s="1"/>
      <c r="LO957" s="1"/>
      <c r="LP957" s="1"/>
      <c r="LZ957" s="1"/>
      <c r="MA957" s="1"/>
    </row>
    <row r="958" spans="4:339" ht="13" x14ac:dyDescent="0.15">
      <c r="D958" s="12"/>
      <c r="E958" s="12"/>
      <c r="I958" s="12"/>
      <c r="J958" s="13"/>
      <c r="BF958" s="1"/>
      <c r="BG958" s="1"/>
      <c r="BH958" s="1"/>
      <c r="BI958" s="1"/>
      <c r="BJ958" s="1"/>
      <c r="BK958" s="1"/>
      <c r="BL958" s="1"/>
      <c r="BM958" s="1"/>
      <c r="BN958" s="1"/>
      <c r="BO958" s="1"/>
      <c r="BP958" s="1"/>
      <c r="BQ958" s="1"/>
      <c r="BR958" s="1"/>
      <c r="BX958" s="1"/>
      <c r="CD958" s="1"/>
      <c r="CE958" s="1"/>
      <c r="CF958" s="1"/>
      <c r="CG958" s="1"/>
      <c r="CH958" s="1"/>
      <c r="CI958" s="1"/>
      <c r="CM958" s="2"/>
      <c r="CN958" s="1"/>
      <c r="CO958" s="1"/>
      <c r="CP958" s="1"/>
      <c r="CQ958" s="1"/>
      <c r="CS958" s="1"/>
      <c r="CT958" s="1"/>
      <c r="CU958" s="1"/>
      <c r="CV958" s="1"/>
      <c r="CW958" s="1"/>
      <c r="CX958" s="1"/>
      <c r="CY958" s="1"/>
      <c r="CZ958" s="1"/>
      <c r="DA958" s="1"/>
      <c r="DB958" s="1"/>
      <c r="DC958" s="1"/>
      <c r="DD958" s="1"/>
      <c r="DE958" s="1"/>
      <c r="DF958" s="1"/>
      <c r="DG958" s="1"/>
      <c r="DH958" s="1"/>
      <c r="DI958" s="1"/>
      <c r="DJ958" s="1"/>
      <c r="DK958" s="1"/>
      <c r="DM958" s="1"/>
      <c r="DQ958" s="1"/>
      <c r="DR958" s="1"/>
      <c r="DY958" s="1"/>
      <c r="DZ958" s="1"/>
      <c r="ED958" s="1"/>
      <c r="EF958" s="1"/>
      <c r="EK958" s="1"/>
      <c r="EL958" s="1"/>
      <c r="EM958" s="1"/>
      <c r="EN958" s="1"/>
      <c r="EQ958" s="1"/>
      <c r="ER958" s="1"/>
      <c r="ES958" s="1"/>
      <c r="EV958" s="1"/>
      <c r="EW958" s="1"/>
      <c r="EX958" s="1"/>
      <c r="EZ958" s="1"/>
      <c r="FA958" s="1"/>
      <c r="FD958" s="1"/>
      <c r="FG958" s="1"/>
      <c r="FH958" s="1"/>
      <c r="FI958" s="1"/>
      <c r="FJ958" s="1"/>
      <c r="FK958" s="1"/>
      <c r="FM958" s="1"/>
      <c r="FN958" s="1"/>
      <c r="FO958" s="1"/>
      <c r="FP958" s="1"/>
      <c r="FQ958" s="1"/>
      <c r="FR958" s="1"/>
      <c r="FS958" s="1"/>
      <c r="FT958" s="1"/>
      <c r="FU958" s="1"/>
      <c r="FV958" s="1"/>
      <c r="FW958" s="1"/>
      <c r="FX958" s="1"/>
      <c r="FY958" s="1"/>
      <c r="FZ958" s="1"/>
      <c r="GA958" s="1"/>
      <c r="GB958" s="1"/>
      <c r="GD958" s="1"/>
      <c r="GE958" s="1"/>
      <c r="GF958" s="1"/>
      <c r="GG958" s="1"/>
      <c r="GH958" s="1"/>
      <c r="GI958" s="1"/>
      <c r="GJ958" s="1"/>
      <c r="GK958" s="1"/>
      <c r="GL958" s="1"/>
      <c r="GM958" s="1"/>
      <c r="GN958" s="1"/>
      <c r="GO958" s="1"/>
      <c r="GP958" s="1"/>
      <c r="GR958" s="1"/>
      <c r="GY958" s="1"/>
      <c r="HF958" s="1"/>
      <c r="HH958" s="1"/>
      <c r="HQ958" s="1"/>
      <c r="HR958" s="1"/>
      <c r="HS958" s="1"/>
      <c r="HT958" s="1"/>
      <c r="HY958" s="1"/>
      <c r="IE958" s="1"/>
      <c r="IR958" s="1"/>
      <c r="IS958" s="1"/>
      <c r="IZ958" s="1"/>
      <c r="JC958" s="1"/>
      <c r="JF958" s="1"/>
      <c r="JG958" s="1"/>
      <c r="JH958" s="1"/>
      <c r="JJ958" s="1"/>
      <c r="JN958" s="1"/>
      <c r="JO958" s="1"/>
      <c r="JP958" s="1"/>
      <c r="JQ958" s="1"/>
      <c r="JT958" s="1"/>
      <c r="KV958" s="1"/>
      <c r="KY958" s="1"/>
      <c r="KZ958" s="1"/>
      <c r="LA958" s="1"/>
      <c r="LB958" s="1"/>
      <c r="LC958" s="1"/>
      <c r="LD958" s="1"/>
      <c r="LN958" s="1"/>
      <c r="LO958" s="1"/>
      <c r="LP958" s="1"/>
      <c r="LZ958" s="1"/>
      <c r="MA958" s="1"/>
    </row>
    <row r="959" spans="4:339" ht="13" x14ac:dyDescent="0.15">
      <c r="D959" s="12"/>
      <c r="E959" s="12"/>
      <c r="I959" s="12"/>
      <c r="J959" s="13"/>
      <c r="BF959" s="1"/>
      <c r="BG959" s="1"/>
      <c r="BH959" s="1"/>
      <c r="BI959" s="1"/>
      <c r="BJ959" s="1"/>
      <c r="BK959" s="1"/>
      <c r="BL959" s="1"/>
      <c r="BM959" s="1"/>
      <c r="BN959" s="1"/>
      <c r="BO959" s="1"/>
      <c r="BP959" s="1"/>
      <c r="BQ959" s="1"/>
      <c r="BR959" s="1"/>
      <c r="BX959" s="1"/>
      <c r="CD959" s="1"/>
      <c r="CE959" s="1"/>
      <c r="CF959" s="1"/>
      <c r="CG959" s="1"/>
      <c r="CH959" s="1"/>
      <c r="CI959" s="1"/>
      <c r="CM959" s="2"/>
      <c r="CN959" s="1"/>
      <c r="CO959" s="1"/>
      <c r="CP959" s="1"/>
      <c r="CQ959" s="1"/>
      <c r="CS959" s="1"/>
      <c r="CT959" s="1"/>
      <c r="CU959" s="1"/>
      <c r="CV959" s="1"/>
      <c r="CW959" s="1"/>
      <c r="CX959" s="1"/>
      <c r="CY959" s="1"/>
      <c r="CZ959" s="1"/>
      <c r="DA959" s="1"/>
      <c r="DB959" s="1"/>
      <c r="DC959" s="1"/>
      <c r="DD959" s="1"/>
      <c r="DE959" s="1"/>
      <c r="DF959" s="1"/>
      <c r="DG959" s="1"/>
      <c r="DH959" s="1"/>
      <c r="DI959" s="1"/>
      <c r="DJ959" s="1"/>
      <c r="DK959" s="1"/>
      <c r="DM959" s="1"/>
      <c r="DQ959" s="1"/>
      <c r="DR959" s="1"/>
      <c r="DY959" s="1"/>
      <c r="DZ959" s="1"/>
      <c r="ED959" s="1"/>
      <c r="EF959" s="1"/>
      <c r="EK959" s="1"/>
      <c r="EL959" s="1"/>
      <c r="EM959" s="1"/>
      <c r="EN959" s="1"/>
      <c r="EQ959" s="1"/>
      <c r="ER959" s="1"/>
      <c r="ES959" s="1"/>
      <c r="EV959" s="1"/>
      <c r="EW959" s="1"/>
      <c r="EX959" s="1"/>
      <c r="EZ959" s="1"/>
      <c r="FA959" s="1"/>
      <c r="FD959" s="1"/>
      <c r="FG959" s="1"/>
      <c r="FH959" s="1"/>
      <c r="FI959" s="1"/>
      <c r="FJ959" s="1"/>
      <c r="FK959" s="1"/>
      <c r="FM959" s="1"/>
      <c r="FN959" s="1"/>
      <c r="FO959" s="1"/>
      <c r="FP959" s="1"/>
      <c r="FQ959" s="1"/>
      <c r="FR959" s="1"/>
      <c r="FS959" s="1"/>
      <c r="FT959" s="1"/>
      <c r="FU959" s="1"/>
      <c r="FV959" s="1"/>
      <c r="FW959" s="1"/>
      <c r="FX959" s="1"/>
      <c r="FY959" s="1"/>
      <c r="FZ959" s="1"/>
      <c r="GA959" s="1"/>
      <c r="GB959" s="1"/>
      <c r="GD959" s="1"/>
      <c r="GE959" s="1"/>
      <c r="GF959" s="1"/>
      <c r="GG959" s="1"/>
      <c r="GH959" s="1"/>
      <c r="GI959" s="1"/>
      <c r="GJ959" s="1"/>
      <c r="GK959" s="1"/>
      <c r="GL959" s="1"/>
      <c r="GM959" s="1"/>
      <c r="GN959" s="1"/>
      <c r="GO959" s="1"/>
      <c r="GP959" s="1"/>
      <c r="GR959" s="1"/>
      <c r="GY959" s="1"/>
      <c r="HF959" s="1"/>
      <c r="HH959" s="1"/>
      <c r="HQ959" s="1"/>
      <c r="HR959" s="1"/>
      <c r="HS959" s="1"/>
      <c r="HT959" s="1"/>
      <c r="HY959" s="1"/>
      <c r="IE959" s="1"/>
      <c r="IR959" s="1"/>
      <c r="IS959" s="1"/>
      <c r="IZ959" s="1"/>
      <c r="JC959" s="1"/>
      <c r="JF959" s="1"/>
      <c r="JG959" s="1"/>
      <c r="JH959" s="1"/>
      <c r="JJ959" s="1"/>
      <c r="JN959" s="1"/>
      <c r="JO959" s="1"/>
      <c r="JP959" s="1"/>
      <c r="JQ959" s="1"/>
      <c r="JT959" s="1"/>
      <c r="KV959" s="1"/>
      <c r="KY959" s="1"/>
      <c r="KZ959" s="1"/>
      <c r="LA959" s="1"/>
      <c r="LB959" s="1"/>
      <c r="LC959" s="1"/>
      <c r="LD959" s="1"/>
      <c r="LN959" s="1"/>
      <c r="LO959" s="1"/>
      <c r="LP959" s="1"/>
      <c r="LZ959" s="1"/>
      <c r="MA959" s="1"/>
    </row>
    <row r="960" spans="4:339" ht="13" x14ac:dyDescent="0.15">
      <c r="D960" s="12"/>
      <c r="E960" s="12"/>
      <c r="I960" s="12"/>
      <c r="J960" s="13"/>
      <c r="BF960" s="1"/>
      <c r="BG960" s="1"/>
      <c r="BH960" s="1"/>
      <c r="BI960" s="1"/>
      <c r="BJ960" s="1"/>
      <c r="BK960" s="1"/>
      <c r="BL960" s="1"/>
      <c r="BM960" s="1"/>
      <c r="BN960" s="1"/>
      <c r="BO960" s="1"/>
      <c r="BP960" s="1"/>
      <c r="BQ960" s="1"/>
      <c r="BR960" s="1"/>
      <c r="BX960" s="1"/>
      <c r="CD960" s="1"/>
      <c r="CE960" s="1"/>
      <c r="CF960" s="1"/>
      <c r="CG960" s="1"/>
      <c r="CH960" s="1"/>
      <c r="CI960" s="1"/>
      <c r="CM960" s="2"/>
      <c r="CN960" s="1"/>
      <c r="CO960" s="1"/>
      <c r="CP960" s="1"/>
      <c r="CQ960" s="1"/>
      <c r="CS960" s="1"/>
      <c r="CT960" s="1"/>
      <c r="CU960" s="1"/>
      <c r="CV960" s="1"/>
      <c r="CW960" s="1"/>
      <c r="CX960" s="1"/>
      <c r="CY960" s="1"/>
      <c r="CZ960" s="1"/>
      <c r="DA960" s="1"/>
      <c r="DB960" s="1"/>
      <c r="DC960" s="1"/>
      <c r="DD960" s="1"/>
      <c r="DE960" s="1"/>
      <c r="DF960" s="1"/>
      <c r="DG960" s="1"/>
      <c r="DH960" s="1"/>
      <c r="DI960" s="1"/>
      <c r="DJ960" s="1"/>
      <c r="DK960" s="1"/>
      <c r="DM960" s="1"/>
      <c r="DQ960" s="1"/>
      <c r="DR960" s="1"/>
      <c r="DY960" s="1"/>
      <c r="DZ960" s="1"/>
      <c r="ED960" s="1"/>
      <c r="EF960" s="1"/>
      <c r="EK960" s="1"/>
      <c r="EL960" s="1"/>
      <c r="EM960" s="1"/>
      <c r="EN960" s="1"/>
      <c r="EQ960" s="1"/>
      <c r="ER960" s="1"/>
      <c r="ES960" s="1"/>
      <c r="EV960" s="1"/>
      <c r="EW960" s="1"/>
      <c r="EX960" s="1"/>
      <c r="EZ960" s="1"/>
      <c r="FA960" s="1"/>
      <c r="FD960" s="1"/>
      <c r="FG960" s="1"/>
      <c r="FH960" s="1"/>
      <c r="FI960" s="1"/>
      <c r="FJ960" s="1"/>
      <c r="FK960" s="1"/>
      <c r="FM960" s="1"/>
      <c r="FN960" s="1"/>
      <c r="FO960" s="1"/>
      <c r="FP960" s="1"/>
      <c r="FQ960" s="1"/>
      <c r="FR960" s="1"/>
      <c r="FS960" s="1"/>
      <c r="FT960" s="1"/>
      <c r="FU960" s="1"/>
      <c r="FV960" s="1"/>
      <c r="FW960" s="1"/>
      <c r="FX960" s="1"/>
      <c r="FY960" s="1"/>
      <c r="FZ960" s="1"/>
      <c r="GA960" s="1"/>
      <c r="GB960" s="1"/>
      <c r="GD960" s="1"/>
      <c r="GE960" s="1"/>
      <c r="GF960" s="1"/>
      <c r="GG960" s="1"/>
      <c r="GH960" s="1"/>
      <c r="GI960" s="1"/>
      <c r="GJ960" s="1"/>
      <c r="GK960" s="1"/>
      <c r="GL960" s="1"/>
      <c r="GM960" s="1"/>
      <c r="GN960" s="1"/>
      <c r="GO960" s="1"/>
      <c r="GP960" s="1"/>
      <c r="GR960" s="1"/>
      <c r="GY960" s="1"/>
      <c r="HF960" s="1"/>
      <c r="HH960" s="1"/>
      <c r="HQ960" s="1"/>
      <c r="HR960" s="1"/>
      <c r="HS960" s="1"/>
      <c r="HT960" s="1"/>
      <c r="HY960" s="1"/>
      <c r="IE960" s="1"/>
      <c r="IR960" s="1"/>
      <c r="IS960" s="1"/>
      <c r="IZ960" s="1"/>
      <c r="JC960" s="1"/>
      <c r="JF960" s="1"/>
      <c r="JG960" s="1"/>
      <c r="JH960" s="1"/>
      <c r="JJ960" s="1"/>
      <c r="JN960" s="1"/>
      <c r="JO960" s="1"/>
      <c r="JP960" s="1"/>
      <c r="JQ960" s="1"/>
      <c r="JT960" s="1"/>
      <c r="KV960" s="1"/>
      <c r="KY960" s="1"/>
      <c r="KZ960" s="1"/>
      <c r="LA960" s="1"/>
      <c r="LB960" s="1"/>
      <c r="LC960" s="1"/>
      <c r="LD960" s="1"/>
      <c r="LN960" s="1"/>
      <c r="LO960" s="1"/>
      <c r="LP960" s="1"/>
      <c r="LZ960" s="1"/>
      <c r="MA960" s="1"/>
    </row>
    <row r="961" spans="4:339" ht="13" x14ac:dyDescent="0.15">
      <c r="D961" s="12"/>
      <c r="E961" s="12"/>
      <c r="I961" s="12"/>
      <c r="J961" s="13"/>
      <c r="BF961" s="1"/>
      <c r="BG961" s="1"/>
      <c r="BH961" s="1"/>
      <c r="BI961" s="1"/>
      <c r="BJ961" s="1"/>
      <c r="BK961" s="1"/>
      <c r="BL961" s="1"/>
      <c r="BM961" s="1"/>
      <c r="BN961" s="1"/>
      <c r="BO961" s="1"/>
      <c r="BP961" s="1"/>
      <c r="BQ961" s="1"/>
      <c r="BR961" s="1"/>
      <c r="BX961" s="1"/>
      <c r="CD961" s="1"/>
      <c r="CE961" s="1"/>
      <c r="CF961" s="1"/>
      <c r="CG961" s="1"/>
      <c r="CH961" s="1"/>
      <c r="CI961" s="1"/>
      <c r="CM961" s="2"/>
      <c r="CN961" s="1"/>
      <c r="CO961" s="1"/>
      <c r="CP961" s="1"/>
      <c r="CQ961" s="1"/>
      <c r="CS961" s="1"/>
      <c r="CT961" s="1"/>
      <c r="CU961" s="1"/>
      <c r="CV961" s="1"/>
      <c r="CW961" s="1"/>
      <c r="CX961" s="1"/>
      <c r="CY961" s="1"/>
      <c r="CZ961" s="1"/>
      <c r="DA961" s="1"/>
      <c r="DB961" s="1"/>
      <c r="DC961" s="1"/>
      <c r="DD961" s="1"/>
      <c r="DE961" s="1"/>
      <c r="DF961" s="1"/>
      <c r="DG961" s="1"/>
      <c r="DH961" s="1"/>
      <c r="DI961" s="1"/>
      <c r="DJ961" s="1"/>
      <c r="DK961" s="1"/>
      <c r="DM961" s="1"/>
      <c r="DQ961" s="1"/>
      <c r="DR961" s="1"/>
      <c r="DY961" s="1"/>
      <c r="DZ961" s="1"/>
      <c r="ED961" s="1"/>
      <c r="EF961" s="1"/>
      <c r="EK961" s="1"/>
      <c r="EL961" s="1"/>
      <c r="EM961" s="1"/>
      <c r="EN961" s="1"/>
      <c r="EQ961" s="1"/>
      <c r="ER961" s="1"/>
      <c r="ES961" s="1"/>
      <c r="EV961" s="1"/>
      <c r="EW961" s="1"/>
      <c r="EX961" s="1"/>
      <c r="EZ961" s="1"/>
      <c r="FA961" s="1"/>
      <c r="FD961" s="1"/>
      <c r="FG961" s="1"/>
      <c r="FH961" s="1"/>
      <c r="FI961" s="1"/>
      <c r="FJ961" s="1"/>
      <c r="FK961" s="1"/>
      <c r="FM961" s="1"/>
      <c r="FN961" s="1"/>
      <c r="FO961" s="1"/>
      <c r="FP961" s="1"/>
      <c r="FQ961" s="1"/>
      <c r="FR961" s="1"/>
      <c r="FS961" s="1"/>
      <c r="FT961" s="1"/>
      <c r="FU961" s="1"/>
      <c r="FV961" s="1"/>
      <c r="FW961" s="1"/>
      <c r="FX961" s="1"/>
      <c r="FY961" s="1"/>
      <c r="FZ961" s="1"/>
      <c r="GA961" s="1"/>
      <c r="GB961" s="1"/>
      <c r="GD961" s="1"/>
      <c r="GE961" s="1"/>
      <c r="GF961" s="1"/>
      <c r="GG961" s="1"/>
      <c r="GH961" s="1"/>
      <c r="GI961" s="1"/>
      <c r="GJ961" s="1"/>
      <c r="GK961" s="1"/>
      <c r="GL961" s="1"/>
      <c r="GM961" s="1"/>
      <c r="GN961" s="1"/>
      <c r="GO961" s="1"/>
      <c r="GP961" s="1"/>
      <c r="GR961" s="1"/>
      <c r="GY961" s="1"/>
      <c r="HF961" s="1"/>
      <c r="HH961" s="1"/>
      <c r="HQ961" s="1"/>
      <c r="HR961" s="1"/>
      <c r="HS961" s="1"/>
      <c r="HT961" s="1"/>
      <c r="HY961" s="1"/>
      <c r="IE961" s="1"/>
      <c r="IR961" s="1"/>
      <c r="IS961" s="1"/>
      <c r="IZ961" s="1"/>
      <c r="JC961" s="1"/>
      <c r="JF961" s="1"/>
      <c r="JG961" s="1"/>
      <c r="JH961" s="1"/>
      <c r="JJ961" s="1"/>
      <c r="JN961" s="1"/>
      <c r="JO961" s="1"/>
      <c r="JP961" s="1"/>
      <c r="JQ961" s="1"/>
      <c r="JT961" s="1"/>
      <c r="KV961" s="1"/>
      <c r="KY961" s="1"/>
      <c r="KZ961" s="1"/>
      <c r="LA961" s="1"/>
      <c r="LB961" s="1"/>
      <c r="LC961" s="1"/>
      <c r="LD961" s="1"/>
      <c r="LN961" s="1"/>
      <c r="LO961" s="1"/>
      <c r="LP961" s="1"/>
      <c r="LZ961" s="1"/>
      <c r="MA961" s="1"/>
    </row>
    <row r="962" spans="4:339" ht="13" x14ac:dyDescent="0.15">
      <c r="D962" s="12"/>
      <c r="E962" s="12"/>
      <c r="I962" s="12"/>
      <c r="J962" s="13"/>
      <c r="BF962" s="1"/>
      <c r="BG962" s="1"/>
      <c r="BH962" s="1"/>
      <c r="BI962" s="1"/>
      <c r="BJ962" s="1"/>
      <c r="BK962" s="1"/>
      <c r="BL962" s="1"/>
      <c r="BM962" s="1"/>
      <c r="BN962" s="1"/>
      <c r="BO962" s="1"/>
      <c r="BP962" s="1"/>
      <c r="BQ962" s="1"/>
      <c r="BR962" s="1"/>
      <c r="BX962" s="1"/>
      <c r="CD962" s="1"/>
      <c r="CE962" s="1"/>
      <c r="CF962" s="1"/>
      <c r="CG962" s="1"/>
      <c r="CH962" s="1"/>
      <c r="CI962" s="1"/>
      <c r="CM962" s="2"/>
      <c r="CN962" s="1"/>
      <c r="CO962" s="1"/>
      <c r="CP962" s="1"/>
      <c r="CQ962" s="1"/>
      <c r="CS962" s="1"/>
      <c r="CT962" s="1"/>
      <c r="CU962" s="1"/>
      <c r="CV962" s="1"/>
      <c r="CW962" s="1"/>
      <c r="CX962" s="1"/>
      <c r="CY962" s="1"/>
      <c r="CZ962" s="1"/>
      <c r="DA962" s="1"/>
      <c r="DB962" s="1"/>
      <c r="DC962" s="1"/>
      <c r="DD962" s="1"/>
      <c r="DE962" s="1"/>
      <c r="DF962" s="1"/>
      <c r="DG962" s="1"/>
      <c r="DH962" s="1"/>
      <c r="DI962" s="1"/>
      <c r="DJ962" s="1"/>
      <c r="DK962" s="1"/>
      <c r="DM962" s="1"/>
      <c r="DQ962" s="1"/>
      <c r="DR962" s="1"/>
      <c r="DY962" s="1"/>
      <c r="DZ962" s="1"/>
      <c r="ED962" s="1"/>
      <c r="EF962" s="1"/>
      <c r="EK962" s="1"/>
      <c r="EL962" s="1"/>
      <c r="EM962" s="1"/>
      <c r="EN962" s="1"/>
      <c r="EQ962" s="1"/>
      <c r="ER962" s="1"/>
      <c r="ES962" s="1"/>
      <c r="EV962" s="1"/>
      <c r="EW962" s="1"/>
      <c r="EX962" s="1"/>
      <c r="EZ962" s="1"/>
      <c r="FA962" s="1"/>
      <c r="FD962" s="1"/>
      <c r="FG962" s="1"/>
      <c r="FH962" s="1"/>
      <c r="FI962" s="1"/>
      <c r="FJ962" s="1"/>
      <c r="FK962" s="1"/>
      <c r="FM962" s="1"/>
      <c r="FN962" s="1"/>
      <c r="FO962" s="1"/>
      <c r="FP962" s="1"/>
      <c r="FQ962" s="1"/>
      <c r="FR962" s="1"/>
      <c r="FS962" s="1"/>
      <c r="FT962" s="1"/>
      <c r="FU962" s="1"/>
      <c r="FV962" s="1"/>
      <c r="FW962" s="1"/>
      <c r="FX962" s="1"/>
      <c r="FY962" s="1"/>
      <c r="FZ962" s="1"/>
      <c r="GA962" s="1"/>
      <c r="GB962" s="1"/>
      <c r="GD962" s="1"/>
      <c r="GE962" s="1"/>
      <c r="GF962" s="1"/>
      <c r="GG962" s="1"/>
      <c r="GH962" s="1"/>
      <c r="GI962" s="1"/>
      <c r="GJ962" s="1"/>
      <c r="GK962" s="1"/>
      <c r="GL962" s="1"/>
      <c r="GM962" s="1"/>
      <c r="GN962" s="1"/>
      <c r="GO962" s="1"/>
      <c r="GP962" s="1"/>
      <c r="GR962" s="1"/>
      <c r="GY962" s="1"/>
      <c r="HF962" s="1"/>
      <c r="HH962" s="1"/>
      <c r="HQ962" s="1"/>
      <c r="HR962" s="1"/>
      <c r="HS962" s="1"/>
      <c r="HT962" s="1"/>
      <c r="HY962" s="1"/>
      <c r="IE962" s="1"/>
      <c r="IR962" s="1"/>
      <c r="IS962" s="1"/>
      <c r="IZ962" s="1"/>
      <c r="JC962" s="1"/>
      <c r="JF962" s="1"/>
      <c r="JG962" s="1"/>
      <c r="JH962" s="1"/>
      <c r="JJ962" s="1"/>
      <c r="JN962" s="1"/>
      <c r="JO962" s="1"/>
      <c r="JP962" s="1"/>
      <c r="JQ962" s="1"/>
      <c r="JT962" s="1"/>
      <c r="KV962" s="1"/>
      <c r="KY962" s="1"/>
      <c r="KZ962" s="1"/>
      <c r="LA962" s="1"/>
      <c r="LB962" s="1"/>
      <c r="LC962" s="1"/>
      <c r="LD962" s="1"/>
      <c r="LN962" s="1"/>
      <c r="LO962" s="1"/>
      <c r="LP962" s="1"/>
      <c r="LZ962" s="1"/>
      <c r="MA962" s="1"/>
    </row>
    <row r="963" spans="4:339" ht="13" x14ac:dyDescent="0.15">
      <c r="D963" s="12"/>
      <c r="E963" s="12"/>
      <c r="I963" s="12"/>
      <c r="J963" s="13"/>
      <c r="BF963" s="1"/>
      <c r="BG963" s="1"/>
      <c r="BH963" s="1"/>
      <c r="BI963" s="1"/>
      <c r="BJ963" s="1"/>
      <c r="BK963" s="1"/>
      <c r="BL963" s="1"/>
      <c r="BM963" s="1"/>
      <c r="BN963" s="1"/>
      <c r="BO963" s="1"/>
      <c r="BP963" s="1"/>
      <c r="BQ963" s="1"/>
      <c r="BR963" s="1"/>
      <c r="BX963" s="1"/>
      <c r="CD963" s="1"/>
      <c r="CE963" s="1"/>
      <c r="CF963" s="1"/>
      <c r="CG963" s="1"/>
      <c r="CH963" s="1"/>
      <c r="CI963" s="1"/>
      <c r="CM963" s="2"/>
      <c r="CN963" s="1"/>
      <c r="CO963" s="1"/>
      <c r="CP963" s="1"/>
      <c r="CQ963" s="1"/>
      <c r="CS963" s="1"/>
      <c r="CT963" s="1"/>
      <c r="CU963" s="1"/>
      <c r="CV963" s="1"/>
      <c r="CW963" s="1"/>
      <c r="CX963" s="1"/>
      <c r="CY963" s="1"/>
      <c r="CZ963" s="1"/>
      <c r="DA963" s="1"/>
      <c r="DB963" s="1"/>
      <c r="DC963" s="1"/>
      <c r="DD963" s="1"/>
      <c r="DE963" s="1"/>
      <c r="DF963" s="1"/>
      <c r="DG963" s="1"/>
      <c r="DH963" s="1"/>
      <c r="DI963" s="1"/>
      <c r="DJ963" s="1"/>
      <c r="DK963" s="1"/>
      <c r="DM963" s="1"/>
      <c r="DQ963" s="1"/>
      <c r="DR963" s="1"/>
      <c r="DY963" s="1"/>
      <c r="DZ963" s="1"/>
      <c r="ED963" s="1"/>
      <c r="EF963" s="1"/>
      <c r="EK963" s="1"/>
      <c r="EL963" s="1"/>
      <c r="EM963" s="1"/>
      <c r="EN963" s="1"/>
      <c r="EQ963" s="1"/>
      <c r="ER963" s="1"/>
      <c r="ES963" s="1"/>
      <c r="EV963" s="1"/>
      <c r="EW963" s="1"/>
      <c r="EX963" s="1"/>
      <c r="EZ963" s="1"/>
      <c r="FA963" s="1"/>
      <c r="FD963" s="1"/>
      <c r="FG963" s="1"/>
      <c r="FH963" s="1"/>
      <c r="FI963" s="1"/>
      <c r="FJ963" s="1"/>
      <c r="FK963" s="1"/>
      <c r="FM963" s="1"/>
      <c r="FN963" s="1"/>
      <c r="FO963" s="1"/>
      <c r="FP963" s="1"/>
      <c r="FQ963" s="1"/>
      <c r="FR963" s="1"/>
      <c r="FS963" s="1"/>
      <c r="FT963" s="1"/>
      <c r="FU963" s="1"/>
      <c r="FV963" s="1"/>
      <c r="FW963" s="1"/>
      <c r="FX963" s="1"/>
      <c r="FY963" s="1"/>
      <c r="FZ963" s="1"/>
      <c r="GA963" s="1"/>
      <c r="GB963" s="1"/>
      <c r="GD963" s="1"/>
      <c r="GE963" s="1"/>
      <c r="GF963" s="1"/>
      <c r="GG963" s="1"/>
      <c r="GH963" s="1"/>
      <c r="GI963" s="1"/>
      <c r="GJ963" s="1"/>
      <c r="GK963" s="1"/>
      <c r="GL963" s="1"/>
      <c r="GM963" s="1"/>
      <c r="GN963" s="1"/>
      <c r="GO963" s="1"/>
      <c r="GP963" s="1"/>
      <c r="GR963" s="1"/>
      <c r="GY963" s="1"/>
      <c r="HF963" s="1"/>
      <c r="HH963" s="1"/>
      <c r="HQ963" s="1"/>
      <c r="HR963" s="1"/>
      <c r="HS963" s="1"/>
      <c r="HT963" s="1"/>
      <c r="HY963" s="1"/>
      <c r="IE963" s="1"/>
      <c r="IR963" s="1"/>
      <c r="IS963" s="1"/>
      <c r="IZ963" s="1"/>
      <c r="JC963" s="1"/>
      <c r="JF963" s="1"/>
      <c r="JG963" s="1"/>
      <c r="JH963" s="1"/>
      <c r="JJ963" s="1"/>
      <c r="JN963" s="1"/>
      <c r="JO963" s="1"/>
      <c r="JP963" s="1"/>
      <c r="JQ963" s="1"/>
      <c r="JT963" s="1"/>
      <c r="KV963" s="1"/>
      <c r="KY963" s="1"/>
      <c r="KZ963" s="1"/>
      <c r="LA963" s="1"/>
      <c r="LB963" s="1"/>
      <c r="LC963" s="1"/>
      <c r="LD963" s="1"/>
      <c r="LN963" s="1"/>
      <c r="LO963" s="1"/>
      <c r="LP963" s="1"/>
      <c r="LZ963" s="1"/>
      <c r="MA963" s="1"/>
    </row>
    <row r="964" spans="4:339" ht="13" x14ac:dyDescent="0.15">
      <c r="D964" s="12"/>
      <c r="E964" s="12"/>
      <c r="I964" s="12"/>
      <c r="J964" s="13"/>
      <c r="BF964" s="1"/>
      <c r="BG964" s="1"/>
      <c r="BH964" s="1"/>
      <c r="BI964" s="1"/>
      <c r="BJ964" s="1"/>
      <c r="BK964" s="1"/>
      <c r="BL964" s="1"/>
      <c r="BM964" s="1"/>
      <c r="BN964" s="1"/>
      <c r="BO964" s="1"/>
      <c r="BP964" s="1"/>
      <c r="BQ964" s="1"/>
      <c r="BR964" s="1"/>
      <c r="BX964" s="1"/>
      <c r="CD964" s="1"/>
      <c r="CE964" s="1"/>
      <c r="CF964" s="1"/>
      <c r="CG964" s="1"/>
      <c r="CH964" s="1"/>
      <c r="CI964" s="1"/>
      <c r="CM964" s="2"/>
      <c r="CN964" s="1"/>
      <c r="CO964" s="1"/>
      <c r="CP964" s="1"/>
      <c r="CQ964" s="1"/>
      <c r="CS964" s="1"/>
      <c r="CT964" s="1"/>
      <c r="CU964" s="1"/>
      <c r="CV964" s="1"/>
      <c r="CW964" s="1"/>
      <c r="CX964" s="1"/>
      <c r="CY964" s="1"/>
      <c r="CZ964" s="1"/>
      <c r="DA964" s="1"/>
      <c r="DB964" s="1"/>
      <c r="DC964" s="1"/>
      <c r="DD964" s="1"/>
      <c r="DE964" s="1"/>
      <c r="DF964" s="1"/>
      <c r="DG964" s="1"/>
      <c r="DH964" s="1"/>
      <c r="DI964" s="1"/>
      <c r="DJ964" s="1"/>
      <c r="DK964" s="1"/>
      <c r="DM964" s="1"/>
      <c r="DQ964" s="1"/>
      <c r="DR964" s="1"/>
      <c r="DY964" s="1"/>
      <c r="DZ964" s="1"/>
      <c r="ED964" s="1"/>
      <c r="EF964" s="1"/>
      <c r="EK964" s="1"/>
      <c r="EL964" s="1"/>
      <c r="EM964" s="1"/>
      <c r="EN964" s="1"/>
      <c r="EQ964" s="1"/>
      <c r="ER964" s="1"/>
      <c r="ES964" s="1"/>
      <c r="EV964" s="1"/>
      <c r="EW964" s="1"/>
      <c r="EX964" s="1"/>
      <c r="EZ964" s="1"/>
      <c r="FA964" s="1"/>
      <c r="FD964" s="1"/>
      <c r="FG964" s="1"/>
      <c r="FH964" s="1"/>
      <c r="FI964" s="1"/>
      <c r="FJ964" s="1"/>
      <c r="FK964" s="1"/>
      <c r="FM964" s="1"/>
      <c r="FN964" s="1"/>
      <c r="FO964" s="1"/>
      <c r="FP964" s="1"/>
      <c r="FQ964" s="1"/>
      <c r="FR964" s="1"/>
      <c r="FS964" s="1"/>
      <c r="FT964" s="1"/>
      <c r="FU964" s="1"/>
      <c r="FV964" s="1"/>
      <c r="FW964" s="1"/>
      <c r="FX964" s="1"/>
      <c r="FY964" s="1"/>
      <c r="FZ964" s="1"/>
      <c r="GA964" s="1"/>
      <c r="GB964" s="1"/>
      <c r="GD964" s="1"/>
      <c r="GE964" s="1"/>
      <c r="GF964" s="1"/>
      <c r="GG964" s="1"/>
      <c r="GH964" s="1"/>
      <c r="GI964" s="1"/>
      <c r="GJ964" s="1"/>
      <c r="GK964" s="1"/>
      <c r="GL964" s="1"/>
      <c r="GM964" s="1"/>
      <c r="GN964" s="1"/>
      <c r="GO964" s="1"/>
      <c r="GP964" s="1"/>
      <c r="GR964" s="1"/>
      <c r="GY964" s="1"/>
      <c r="HF964" s="1"/>
      <c r="HH964" s="1"/>
      <c r="HQ964" s="1"/>
      <c r="HR964" s="1"/>
      <c r="HS964" s="1"/>
      <c r="HT964" s="1"/>
      <c r="HY964" s="1"/>
      <c r="IE964" s="1"/>
      <c r="IR964" s="1"/>
      <c r="IS964" s="1"/>
      <c r="IZ964" s="1"/>
      <c r="JC964" s="1"/>
      <c r="JF964" s="1"/>
      <c r="JG964" s="1"/>
      <c r="JH964" s="1"/>
      <c r="JJ964" s="1"/>
      <c r="JN964" s="1"/>
      <c r="JO964" s="1"/>
      <c r="JP964" s="1"/>
      <c r="JQ964" s="1"/>
      <c r="JT964" s="1"/>
      <c r="KV964" s="1"/>
      <c r="KY964" s="1"/>
      <c r="KZ964" s="1"/>
      <c r="LA964" s="1"/>
      <c r="LB964" s="1"/>
      <c r="LC964" s="1"/>
      <c r="LD964" s="1"/>
      <c r="LN964" s="1"/>
      <c r="LO964" s="1"/>
      <c r="LP964" s="1"/>
      <c r="LZ964" s="1"/>
      <c r="MA964" s="1"/>
    </row>
    <row r="965" spans="4:339" ht="13" x14ac:dyDescent="0.15">
      <c r="D965" s="12"/>
      <c r="E965" s="12"/>
      <c r="I965" s="12"/>
      <c r="J965" s="13"/>
      <c r="BF965" s="1"/>
      <c r="BG965" s="1"/>
      <c r="BH965" s="1"/>
      <c r="BI965" s="1"/>
      <c r="BJ965" s="1"/>
      <c r="BK965" s="1"/>
      <c r="BL965" s="1"/>
      <c r="BM965" s="1"/>
      <c r="BN965" s="1"/>
      <c r="BO965" s="1"/>
      <c r="BP965" s="1"/>
      <c r="BQ965" s="1"/>
      <c r="BR965" s="1"/>
      <c r="BX965" s="1"/>
      <c r="CD965" s="1"/>
      <c r="CE965" s="1"/>
      <c r="CF965" s="1"/>
      <c r="CG965" s="1"/>
      <c r="CH965" s="1"/>
      <c r="CI965" s="1"/>
      <c r="CM965" s="2"/>
      <c r="CN965" s="1"/>
      <c r="CO965" s="1"/>
      <c r="CP965" s="1"/>
      <c r="CQ965" s="1"/>
      <c r="CS965" s="1"/>
      <c r="CT965" s="1"/>
      <c r="CU965" s="1"/>
      <c r="CV965" s="1"/>
      <c r="CW965" s="1"/>
      <c r="CX965" s="1"/>
      <c r="CY965" s="1"/>
      <c r="CZ965" s="1"/>
      <c r="DA965" s="1"/>
      <c r="DB965" s="1"/>
      <c r="DC965" s="1"/>
      <c r="DD965" s="1"/>
      <c r="DE965" s="1"/>
      <c r="DF965" s="1"/>
      <c r="DG965" s="1"/>
      <c r="DH965" s="1"/>
      <c r="DI965" s="1"/>
      <c r="DJ965" s="1"/>
      <c r="DK965" s="1"/>
      <c r="DM965" s="1"/>
      <c r="DQ965" s="1"/>
      <c r="DR965" s="1"/>
      <c r="DY965" s="1"/>
      <c r="DZ965" s="1"/>
      <c r="ED965" s="1"/>
      <c r="EF965" s="1"/>
      <c r="EK965" s="1"/>
      <c r="EL965" s="1"/>
      <c r="EM965" s="1"/>
      <c r="EN965" s="1"/>
      <c r="EQ965" s="1"/>
      <c r="ER965" s="1"/>
      <c r="ES965" s="1"/>
      <c r="EV965" s="1"/>
      <c r="EW965" s="1"/>
      <c r="EX965" s="1"/>
      <c r="EZ965" s="1"/>
      <c r="FA965" s="1"/>
      <c r="FD965" s="1"/>
      <c r="FG965" s="1"/>
      <c r="FH965" s="1"/>
      <c r="FI965" s="1"/>
      <c r="FJ965" s="1"/>
      <c r="FK965" s="1"/>
      <c r="FM965" s="1"/>
      <c r="FN965" s="1"/>
      <c r="FO965" s="1"/>
      <c r="FP965" s="1"/>
      <c r="FQ965" s="1"/>
      <c r="FR965" s="1"/>
      <c r="FS965" s="1"/>
      <c r="FT965" s="1"/>
      <c r="FU965" s="1"/>
      <c r="FV965" s="1"/>
      <c r="FW965" s="1"/>
      <c r="FX965" s="1"/>
      <c r="FY965" s="1"/>
      <c r="FZ965" s="1"/>
      <c r="GA965" s="1"/>
      <c r="GB965" s="1"/>
      <c r="GD965" s="1"/>
      <c r="GE965" s="1"/>
      <c r="GF965" s="1"/>
      <c r="GG965" s="1"/>
      <c r="GH965" s="1"/>
      <c r="GI965" s="1"/>
      <c r="GJ965" s="1"/>
      <c r="GK965" s="1"/>
      <c r="GL965" s="1"/>
      <c r="GM965" s="1"/>
      <c r="GN965" s="1"/>
      <c r="GO965" s="1"/>
      <c r="GP965" s="1"/>
      <c r="GR965" s="1"/>
      <c r="GY965" s="1"/>
      <c r="HF965" s="1"/>
      <c r="HH965" s="1"/>
      <c r="HQ965" s="1"/>
      <c r="HR965" s="1"/>
      <c r="HS965" s="1"/>
      <c r="HT965" s="1"/>
      <c r="HY965" s="1"/>
      <c r="IE965" s="1"/>
      <c r="IR965" s="1"/>
      <c r="IS965" s="1"/>
      <c r="IZ965" s="1"/>
      <c r="JC965" s="1"/>
      <c r="JF965" s="1"/>
      <c r="JG965" s="1"/>
      <c r="JH965" s="1"/>
      <c r="JJ965" s="1"/>
      <c r="JN965" s="1"/>
      <c r="JO965" s="1"/>
      <c r="JP965" s="1"/>
      <c r="JQ965" s="1"/>
      <c r="JT965" s="1"/>
      <c r="KV965" s="1"/>
      <c r="KY965" s="1"/>
      <c r="KZ965" s="1"/>
      <c r="LA965" s="1"/>
      <c r="LB965" s="1"/>
      <c r="LC965" s="1"/>
      <c r="LD965" s="1"/>
      <c r="LN965" s="1"/>
      <c r="LO965" s="1"/>
      <c r="LP965" s="1"/>
      <c r="LZ965" s="1"/>
      <c r="MA965" s="1"/>
    </row>
    <row r="966" spans="4:339" ht="13" x14ac:dyDescent="0.15">
      <c r="D966" s="12"/>
      <c r="E966" s="12"/>
      <c r="I966" s="12"/>
      <c r="J966" s="13"/>
      <c r="BF966" s="1"/>
      <c r="BG966" s="1"/>
      <c r="BH966" s="1"/>
      <c r="BI966" s="1"/>
      <c r="BJ966" s="1"/>
      <c r="BK966" s="1"/>
      <c r="BL966" s="1"/>
      <c r="BM966" s="1"/>
      <c r="BN966" s="1"/>
      <c r="BO966" s="1"/>
      <c r="BP966" s="1"/>
      <c r="BQ966" s="1"/>
      <c r="BR966" s="1"/>
      <c r="BX966" s="1"/>
      <c r="CD966" s="1"/>
      <c r="CE966" s="1"/>
      <c r="CF966" s="1"/>
      <c r="CG966" s="1"/>
      <c r="CH966" s="1"/>
      <c r="CI966" s="1"/>
      <c r="CM966" s="2"/>
      <c r="CN966" s="1"/>
      <c r="CO966" s="1"/>
      <c r="CP966" s="1"/>
      <c r="CQ966" s="1"/>
      <c r="CS966" s="1"/>
      <c r="CT966" s="1"/>
      <c r="CU966" s="1"/>
      <c r="CV966" s="1"/>
      <c r="CW966" s="1"/>
      <c r="CX966" s="1"/>
      <c r="CY966" s="1"/>
      <c r="CZ966" s="1"/>
      <c r="DA966" s="1"/>
      <c r="DB966" s="1"/>
      <c r="DC966" s="1"/>
      <c r="DD966" s="1"/>
      <c r="DE966" s="1"/>
      <c r="DF966" s="1"/>
      <c r="DG966" s="1"/>
      <c r="DH966" s="1"/>
      <c r="DI966" s="1"/>
      <c r="DJ966" s="1"/>
      <c r="DK966" s="1"/>
      <c r="DM966" s="1"/>
      <c r="DQ966" s="1"/>
      <c r="DR966" s="1"/>
      <c r="DY966" s="1"/>
      <c r="DZ966" s="1"/>
      <c r="ED966" s="1"/>
      <c r="EF966" s="1"/>
      <c r="EK966" s="1"/>
      <c r="EL966" s="1"/>
      <c r="EM966" s="1"/>
      <c r="EN966" s="1"/>
      <c r="EQ966" s="1"/>
      <c r="ER966" s="1"/>
      <c r="ES966" s="1"/>
      <c r="EV966" s="1"/>
      <c r="EW966" s="1"/>
      <c r="EX966" s="1"/>
      <c r="EZ966" s="1"/>
      <c r="FA966" s="1"/>
      <c r="FD966" s="1"/>
      <c r="FG966" s="1"/>
      <c r="FH966" s="1"/>
      <c r="FI966" s="1"/>
      <c r="FJ966" s="1"/>
      <c r="FK966" s="1"/>
      <c r="FM966" s="1"/>
      <c r="FN966" s="1"/>
      <c r="FO966" s="1"/>
      <c r="FP966" s="1"/>
      <c r="FQ966" s="1"/>
      <c r="FR966" s="1"/>
      <c r="FS966" s="1"/>
      <c r="FT966" s="1"/>
      <c r="FU966" s="1"/>
      <c r="FV966" s="1"/>
      <c r="FW966" s="1"/>
      <c r="FX966" s="1"/>
      <c r="FY966" s="1"/>
      <c r="FZ966" s="1"/>
      <c r="GA966" s="1"/>
      <c r="GB966" s="1"/>
      <c r="GD966" s="1"/>
      <c r="GE966" s="1"/>
      <c r="GF966" s="1"/>
      <c r="GG966" s="1"/>
      <c r="GH966" s="1"/>
      <c r="GI966" s="1"/>
      <c r="GJ966" s="1"/>
      <c r="GK966" s="1"/>
      <c r="GL966" s="1"/>
      <c r="GM966" s="1"/>
      <c r="GN966" s="1"/>
      <c r="GO966" s="1"/>
      <c r="GP966" s="1"/>
      <c r="GR966" s="1"/>
      <c r="GY966" s="1"/>
      <c r="HF966" s="1"/>
      <c r="HH966" s="1"/>
      <c r="HQ966" s="1"/>
      <c r="HR966" s="1"/>
      <c r="HS966" s="1"/>
      <c r="HT966" s="1"/>
      <c r="HY966" s="1"/>
      <c r="IE966" s="1"/>
      <c r="IR966" s="1"/>
      <c r="IS966" s="1"/>
      <c r="IZ966" s="1"/>
      <c r="JC966" s="1"/>
      <c r="JF966" s="1"/>
      <c r="JG966" s="1"/>
      <c r="JH966" s="1"/>
      <c r="JJ966" s="1"/>
      <c r="JN966" s="1"/>
      <c r="JO966" s="1"/>
      <c r="JP966" s="1"/>
      <c r="JQ966" s="1"/>
      <c r="JT966" s="1"/>
      <c r="KV966" s="1"/>
      <c r="KY966" s="1"/>
      <c r="KZ966" s="1"/>
      <c r="LA966" s="1"/>
      <c r="LB966" s="1"/>
      <c r="LC966" s="1"/>
      <c r="LD966" s="1"/>
      <c r="LN966" s="1"/>
      <c r="LO966" s="1"/>
      <c r="LP966" s="1"/>
      <c r="LZ966" s="1"/>
      <c r="MA966" s="1"/>
    </row>
    <row r="967" spans="4:339" ht="13" x14ac:dyDescent="0.15">
      <c r="D967" s="12"/>
      <c r="E967" s="12"/>
      <c r="I967" s="12"/>
      <c r="J967" s="13"/>
      <c r="BF967" s="1"/>
      <c r="BG967" s="1"/>
      <c r="BH967" s="1"/>
      <c r="BI967" s="1"/>
      <c r="BJ967" s="1"/>
      <c r="BK967" s="1"/>
      <c r="BL967" s="1"/>
      <c r="BM967" s="1"/>
      <c r="BN967" s="1"/>
      <c r="BO967" s="1"/>
      <c r="BP967" s="1"/>
      <c r="BQ967" s="1"/>
      <c r="BR967" s="1"/>
      <c r="BX967" s="1"/>
      <c r="CD967" s="1"/>
      <c r="CE967" s="1"/>
      <c r="CF967" s="1"/>
      <c r="CG967" s="1"/>
      <c r="CH967" s="1"/>
      <c r="CI967" s="1"/>
      <c r="CM967" s="2"/>
      <c r="CN967" s="1"/>
      <c r="CO967" s="1"/>
      <c r="CP967" s="1"/>
      <c r="CQ967" s="1"/>
      <c r="CS967" s="1"/>
      <c r="CT967" s="1"/>
      <c r="CU967" s="1"/>
      <c r="CV967" s="1"/>
      <c r="CW967" s="1"/>
      <c r="CX967" s="1"/>
      <c r="CY967" s="1"/>
      <c r="CZ967" s="1"/>
      <c r="DA967" s="1"/>
      <c r="DB967" s="1"/>
      <c r="DC967" s="1"/>
      <c r="DD967" s="1"/>
      <c r="DE967" s="1"/>
      <c r="DF967" s="1"/>
      <c r="DG967" s="1"/>
      <c r="DH967" s="1"/>
      <c r="DI967" s="1"/>
      <c r="DJ967" s="1"/>
      <c r="DK967" s="1"/>
      <c r="DM967" s="1"/>
      <c r="DQ967" s="1"/>
      <c r="DR967" s="1"/>
      <c r="DY967" s="1"/>
      <c r="DZ967" s="1"/>
      <c r="ED967" s="1"/>
      <c r="EF967" s="1"/>
      <c r="EK967" s="1"/>
      <c r="EL967" s="1"/>
      <c r="EM967" s="1"/>
      <c r="EN967" s="1"/>
      <c r="EQ967" s="1"/>
      <c r="ER967" s="1"/>
      <c r="ES967" s="1"/>
      <c r="EV967" s="1"/>
      <c r="EW967" s="1"/>
      <c r="EX967" s="1"/>
      <c r="EZ967" s="1"/>
      <c r="FA967" s="1"/>
      <c r="FD967" s="1"/>
      <c r="FG967" s="1"/>
      <c r="FH967" s="1"/>
      <c r="FI967" s="1"/>
      <c r="FJ967" s="1"/>
      <c r="FK967" s="1"/>
      <c r="FM967" s="1"/>
      <c r="FN967" s="1"/>
      <c r="FO967" s="1"/>
      <c r="FP967" s="1"/>
      <c r="FQ967" s="1"/>
      <c r="FR967" s="1"/>
      <c r="FS967" s="1"/>
      <c r="FT967" s="1"/>
      <c r="FU967" s="1"/>
      <c r="FV967" s="1"/>
      <c r="FW967" s="1"/>
      <c r="FX967" s="1"/>
      <c r="FY967" s="1"/>
      <c r="FZ967" s="1"/>
      <c r="GA967" s="1"/>
      <c r="GB967" s="1"/>
      <c r="GD967" s="1"/>
      <c r="GE967" s="1"/>
      <c r="GF967" s="1"/>
      <c r="GG967" s="1"/>
      <c r="GH967" s="1"/>
      <c r="GI967" s="1"/>
      <c r="GJ967" s="1"/>
      <c r="GK967" s="1"/>
      <c r="GL967" s="1"/>
      <c r="GM967" s="1"/>
      <c r="GN967" s="1"/>
      <c r="GO967" s="1"/>
      <c r="GP967" s="1"/>
      <c r="GR967" s="1"/>
      <c r="GY967" s="1"/>
      <c r="HF967" s="1"/>
      <c r="HH967" s="1"/>
      <c r="HQ967" s="1"/>
      <c r="HR967" s="1"/>
      <c r="HS967" s="1"/>
      <c r="HT967" s="1"/>
      <c r="HY967" s="1"/>
      <c r="IE967" s="1"/>
      <c r="IR967" s="1"/>
      <c r="IS967" s="1"/>
      <c r="IZ967" s="1"/>
      <c r="JC967" s="1"/>
      <c r="JF967" s="1"/>
      <c r="JG967" s="1"/>
      <c r="JH967" s="1"/>
      <c r="JJ967" s="1"/>
      <c r="JN967" s="1"/>
      <c r="JO967" s="1"/>
      <c r="JP967" s="1"/>
      <c r="JQ967" s="1"/>
      <c r="JT967" s="1"/>
      <c r="KV967" s="1"/>
      <c r="KY967" s="1"/>
      <c r="KZ967" s="1"/>
      <c r="LA967" s="1"/>
      <c r="LB967" s="1"/>
      <c r="LC967" s="1"/>
      <c r="LD967" s="1"/>
      <c r="LN967" s="1"/>
      <c r="LO967" s="1"/>
      <c r="LP967" s="1"/>
      <c r="LZ967" s="1"/>
      <c r="MA967" s="1"/>
    </row>
    <row r="968" spans="4:339" ht="13" x14ac:dyDescent="0.15">
      <c r="D968" s="12"/>
      <c r="E968" s="12"/>
      <c r="I968" s="12"/>
      <c r="J968" s="13"/>
      <c r="BF968" s="1"/>
      <c r="BG968" s="1"/>
      <c r="BH968" s="1"/>
      <c r="BI968" s="1"/>
      <c r="BJ968" s="1"/>
      <c r="BK968" s="1"/>
      <c r="BL968" s="1"/>
      <c r="BM968" s="1"/>
      <c r="BN968" s="1"/>
      <c r="BO968" s="1"/>
      <c r="BP968" s="1"/>
      <c r="BQ968" s="1"/>
      <c r="BR968" s="1"/>
      <c r="BX968" s="1"/>
      <c r="CD968" s="1"/>
      <c r="CE968" s="1"/>
      <c r="CF968" s="1"/>
      <c r="CG968" s="1"/>
      <c r="CH968" s="1"/>
      <c r="CI968" s="1"/>
      <c r="CM968" s="2"/>
      <c r="CN968" s="1"/>
      <c r="CO968" s="1"/>
      <c r="CP968" s="1"/>
      <c r="CQ968" s="1"/>
      <c r="CS968" s="1"/>
      <c r="CT968" s="1"/>
      <c r="CU968" s="1"/>
      <c r="CV968" s="1"/>
      <c r="CW968" s="1"/>
      <c r="CX968" s="1"/>
      <c r="CY968" s="1"/>
      <c r="CZ968" s="1"/>
      <c r="DA968" s="1"/>
      <c r="DB968" s="1"/>
      <c r="DC968" s="1"/>
      <c r="DD968" s="1"/>
      <c r="DE968" s="1"/>
      <c r="DF968" s="1"/>
      <c r="DG968" s="1"/>
      <c r="DH968" s="1"/>
      <c r="DI968" s="1"/>
      <c r="DJ968" s="1"/>
      <c r="DK968" s="1"/>
      <c r="DM968" s="1"/>
      <c r="DQ968" s="1"/>
      <c r="DR968" s="1"/>
      <c r="DY968" s="1"/>
      <c r="DZ968" s="1"/>
      <c r="ED968" s="1"/>
      <c r="EF968" s="1"/>
      <c r="EK968" s="1"/>
      <c r="EL968" s="1"/>
      <c r="EM968" s="1"/>
      <c r="EN968" s="1"/>
      <c r="EQ968" s="1"/>
      <c r="ER968" s="1"/>
      <c r="ES968" s="1"/>
      <c r="EV968" s="1"/>
      <c r="EW968" s="1"/>
      <c r="EX968" s="1"/>
      <c r="EZ968" s="1"/>
      <c r="FA968" s="1"/>
      <c r="FD968" s="1"/>
      <c r="FG968" s="1"/>
      <c r="FH968" s="1"/>
      <c r="FI968" s="1"/>
      <c r="FJ968" s="1"/>
      <c r="FK968" s="1"/>
      <c r="FM968" s="1"/>
      <c r="FN968" s="1"/>
      <c r="FO968" s="1"/>
      <c r="FP968" s="1"/>
      <c r="FQ968" s="1"/>
      <c r="FR968" s="1"/>
      <c r="FS968" s="1"/>
      <c r="FT968" s="1"/>
      <c r="FU968" s="1"/>
      <c r="FV968" s="1"/>
      <c r="FW968" s="1"/>
      <c r="FX968" s="1"/>
      <c r="FY968" s="1"/>
      <c r="FZ968" s="1"/>
      <c r="GA968" s="1"/>
      <c r="GB968" s="1"/>
      <c r="GD968" s="1"/>
      <c r="GE968" s="1"/>
      <c r="GF968" s="1"/>
      <c r="GG968" s="1"/>
      <c r="GH968" s="1"/>
      <c r="GI968" s="1"/>
      <c r="GJ968" s="1"/>
      <c r="GK968" s="1"/>
      <c r="GL968" s="1"/>
      <c r="GM968" s="1"/>
      <c r="GN968" s="1"/>
      <c r="GO968" s="1"/>
      <c r="GP968" s="1"/>
      <c r="GR968" s="1"/>
      <c r="GY968" s="1"/>
      <c r="HF968" s="1"/>
      <c r="HH968" s="1"/>
      <c r="HQ968" s="1"/>
      <c r="HR968" s="1"/>
      <c r="HS968" s="1"/>
      <c r="HT968" s="1"/>
      <c r="HY968" s="1"/>
      <c r="IE968" s="1"/>
      <c r="IR968" s="1"/>
      <c r="IS968" s="1"/>
      <c r="IZ968" s="1"/>
      <c r="JC968" s="1"/>
      <c r="JF968" s="1"/>
      <c r="JG968" s="1"/>
      <c r="JH968" s="1"/>
      <c r="JJ968" s="1"/>
      <c r="JN968" s="1"/>
      <c r="JO968" s="1"/>
      <c r="JP968" s="1"/>
      <c r="JQ968" s="1"/>
      <c r="JT968" s="1"/>
      <c r="KV968" s="1"/>
      <c r="KY968" s="1"/>
      <c r="KZ968" s="1"/>
      <c r="LA968" s="1"/>
      <c r="LB968" s="1"/>
      <c r="LC968" s="1"/>
      <c r="LD968" s="1"/>
      <c r="LN968" s="1"/>
      <c r="LO968" s="1"/>
      <c r="LP968" s="1"/>
      <c r="LZ968" s="1"/>
      <c r="MA968" s="1"/>
    </row>
    <row r="969" spans="4:339" ht="13" x14ac:dyDescent="0.15">
      <c r="D969" s="12"/>
      <c r="E969" s="12"/>
      <c r="I969" s="12"/>
      <c r="J969" s="13"/>
      <c r="BF969" s="1"/>
      <c r="BG969" s="1"/>
      <c r="BH969" s="1"/>
      <c r="BI969" s="1"/>
      <c r="BJ969" s="1"/>
      <c r="BK969" s="1"/>
      <c r="BL969" s="1"/>
      <c r="BM969" s="1"/>
      <c r="BN969" s="1"/>
      <c r="BO969" s="1"/>
      <c r="BP969" s="1"/>
      <c r="BQ969" s="1"/>
      <c r="BR969" s="1"/>
      <c r="BX969" s="1"/>
      <c r="CD969" s="1"/>
      <c r="CE969" s="1"/>
      <c r="CF969" s="1"/>
      <c r="CG969" s="1"/>
      <c r="CH969" s="1"/>
      <c r="CI969" s="1"/>
      <c r="CM969" s="2"/>
      <c r="CN969" s="1"/>
      <c r="CO969" s="1"/>
      <c r="CP969" s="1"/>
      <c r="CQ969" s="1"/>
      <c r="CS969" s="1"/>
      <c r="CT969" s="1"/>
      <c r="CU969" s="1"/>
      <c r="CV969" s="1"/>
      <c r="CW969" s="1"/>
      <c r="CX969" s="1"/>
      <c r="CY969" s="1"/>
      <c r="CZ969" s="1"/>
      <c r="DA969" s="1"/>
      <c r="DB969" s="1"/>
      <c r="DC969" s="1"/>
      <c r="DD969" s="1"/>
      <c r="DE969" s="1"/>
      <c r="DF969" s="1"/>
      <c r="DG969" s="1"/>
      <c r="DH969" s="1"/>
      <c r="DI969" s="1"/>
      <c r="DJ969" s="1"/>
      <c r="DK969" s="1"/>
      <c r="DM969" s="1"/>
      <c r="DQ969" s="1"/>
      <c r="DR969" s="1"/>
      <c r="DY969" s="1"/>
      <c r="DZ969" s="1"/>
      <c r="ED969" s="1"/>
      <c r="EF969" s="1"/>
      <c r="EK969" s="1"/>
      <c r="EL969" s="1"/>
      <c r="EM969" s="1"/>
      <c r="EN969" s="1"/>
      <c r="EQ969" s="1"/>
      <c r="ER969" s="1"/>
      <c r="ES969" s="1"/>
      <c r="EV969" s="1"/>
      <c r="EW969" s="1"/>
      <c r="EX969" s="1"/>
      <c r="EZ969" s="1"/>
      <c r="FA969" s="1"/>
      <c r="FD969" s="1"/>
      <c r="FG969" s="1"/>
      <c r="FH969" s="1"/>
      <c r="FI969" s="1"/>
      <c r="FJ969" s="1"/>
      <c r="FK969" s="1"/>
      <c r="FM969" s="1"/>
      <c r="FN969" s="1"/>
      <c r="FO969" s="1"/>
      <c r="FP969" s="1"/>
      <c r="FQ969" s="1"/>
      <c r="FR969" s="1"/>
      <c r="FS969" s="1"/>
      <c r="FT969" s="1"/>
      <c r="FU969" s="1"/>
      <c r="FV969" s="1"/>
      <c r="FW969" s="1"/>
      <c r="FX969" s="1"/>
      <c r="FY969" s="1"/>
      <c r="FZ969" s="1"/>
      <c r="GA969" s="1"/>
      <c r="GB969" s="1"/>
      <c r="GD969" s="1"/>
      <c r="GE969" s="1"/>
      <c r="GF969" s="1"/>
      <c r="GG969" s="1"/>
      <c r="GH969" s="1"/>
      <c r="GI969" s="1"/>
      <c r="GJ969" s="1"/>
      <c r="GK969" s="1"/>
      <c r="GL969" s="1"/>
      <c r="GM969" s="1"/>
      <c r="GN969" s="1"/>
      <c r="GO969" s="1"/>
      <c r="GP969" s="1"/>
      <c r="GR969" s="1"/>
      <c r="GY969" s="1"/>
      <c r="HF969" s="1"/>
      <c r="HH969" s="1"/>
      <c r="HQ969" s="1"/>
      <c r="HR969" s="1"/>
      <c r="HS969" s="1"/>
      <c r="HT969" s="1"/>
      <c r="HY969" s="1"/>
      <c r="IE969" s="1"/>
      <c r="IR969" s="1"/>
      <c r="IS969" s="1"/>
      <c r="IZ969" s="1"/>
      <c r="JC969" s="1"/>
      <c r="JF969" s="1"/>
      <c r="JG969" s="1"/>
      <c r="JH969" s="1"/>
      <c r="JJ969" s="1"/>
      <c r="JN969" s="1"/>
      <c r="JO969" s="1"/>
      <c r="JP969" s="1"/>
      <c r="JQ969" s="1"/>
      <c r="JT969" s="1"/>
      <c r="KV969" s="1"/>
      <c r="KY969" s="1"/>
      <c r="KZ969" s="1"/>
      <c r="LA969" s="1"/>
      <c r="LB969" s="1"/>
      <c r="LC969" s="1"/>
      <c r="LD969" s="1"/>
      <c r="LN969" s="1"/>
      <c r="LO969" s="1"/>
      <c r="LP969" s="1"/>
      <c r="LZ969" s="1"/>
      <c r="MA969" s="1"/>
    </row>
    <row r="970" spans="4:339" ht="13" x14ac:dyDescent="0.15">
      <c r="D970" s="12"/>
      <c r="E970" s="12"/>
      <c r="I970" s="12"/>
      <c r="J970" s="13"/>
      <c r="BF970" s="1"/>
      <c r="BG970" s="1"/>
      <c r="BH970" s="1"/>
      <c r="BI970" s="1"/>
      <c r="BJ970" s="1"/>
      <c r="BK970" s="1"/>
      <c r="BL970" s="1"/>
      <c r="BM970" s="1"/>
      <c r="BN970" s="1"/>
      <c r="BO970" s="1"/>
      <c r="BP970" s="1"/>
      <c r="BQ970" s="1"/>
      <c r="BR970" s="1"/>
      <c r="BX970" s="1"/>
      <c r="CD970" s="1"/>
      <c r="CE970" s="1"/>
      <c r="CF970" s="1"/>
      <c r="CG970" s="1"/>
      <c r="CH970" s="1"/>
      <c r="CI970" s="1"/>
      <c r="CM970" s="2"/>
      <c r="CN970" s="1"/>
      <c r="CO970" s="1"/>
      <c r="CP970" s="1"/>
      <c r="CQ970" s="1"/>
      <c r="CS970" s="1"/>
      <c r="CT970" s="1"/>
      <c r="CU970" s="1"/>
      <c r="CV970" s="1"/>
      <c r="CW970" s="1"/>
      <c r="CX970" s="1"/>
      <c r="CY970" s="1"/>
      <c r="CZ970" s="1"/>
      <c r="DA970" s="1"/>
      <c r="DB970" s="1"/>
      <c r="DC970" s="1"/>
      <c r="DD970" s="1"/>
      <c r="DE970" s="1"/>
      <c r="DF970" s="1"/>
      <c r="DG970" s="1"/>
      <c r="DH970" s="1"/>
      <c r="DI970" s="1"/>
      <c r="DJ970" s="1"/>
      <c r="DK970" s="1"/>
      <c r="DM970" s="1"/>
      <c r="DQ970" s="1"/>
      <c r="DR970" s="1"/>
      <c r="DY970" s="1"/>
      <c r="DZ970" s="1"/>
      <c r="ED970" s="1"/>
      <c r="EF970" s="1"/>
      <c r="EK970" s="1"/>
      <c r="EL970" s="1"/>
      <c r="EM970" s="1"/>
      <c r="EN970" s="1"/>
      <c r="EQ970" s="1"/>
      <c r="ER970" s="1"/>
      <c r="ES970" s="1"/>
      <c r="EV970" s="1"/>
      <c r="EW970" s="1"/>
      <c r="EX970" s="1"/>
      <c r="EZ970" s="1"/>
      <c r="FA970" s="1"/>
      <c r="FD970" s="1"/>
      <c r="FG970" s="1"/>
      <c r="FH970" s="1"/>
      <c r="FI970" s="1"/>
      <c r="FJ970" s="1"/>
      <c r="FK970" s="1"/>
      <c r="FM970" s="1"/>
      <c r="FN970" s="1"/>
      <c r="FO970" s="1"/>
      <c r="FP970" s="1"/>
      <c r="FQ970" s="1"/>
      <c r="FR970" s="1"/>
      <c r="FS970" s="1"/>
      <c r="FT970" s="1"/>
      <c r="FU970" s="1"/>
      <c r="FV970" s="1"/>
      <c r="FW970" s="1"/>
      <c r="FX970" s="1"/>
      <c r="FY970" s="1"/>
      <c r="FZ970" s="1"/>
      <c r="GA970" s="1"/>
      <c r="GB970" s="1"/>
      <c r="GD970" s="1"/>
      <c r="GE970" s="1"/>
      <c r="GF970" s="1"/>
      <c r="GG970" s="1"/>
      <c r="GH970" s="1"/>
      <c r="GI970" s="1"/>
      <c r="GJ970" s="1"/>
      <c r="GK970" s="1"/>
      <c r="GL970" s="1"/>
      <c r="GM970" s="1"/>
      <c r="GN970" s="1"/>
      <c r="GO970" s="1"/>
      <c r="GP970" s="1"/>
      <c r="GR970" s="1"/>
      <c r="GY970" s="1"/>
      <c r="HF970" s="1"/>
      <c r="HH970" s="1"/>
      <c r="HQ970" s="1"/>
      <c r="HR970" s="1"/>
      <c r="HS970" s="1"/>
      <c r="HT970" s="1"/>
      <c r="HY970" s="1"/>
      <c r="IE970" s="1"/>
      <c r="IR970" s="1"/>
      <c r="IS970" s="1"/>
      <c r="IZ970" s="1"/>
      <c r="JC970" s="1"/>
      <c r="JF970" s="1"/>
      <c r="JG970" s="1"/>
      <c r="JH970" s="1"/>
      <c r="JJ970" s="1"/>
      <c r="JN970" s="1"/>
      <c r="JO970" s="1"/>
      <c r="JP970" s="1"/>
      <c r="JQ970" s="1"/>
      <c r="JT970" s="1"/>
      <c r="KV970" s="1"/>
      <c r="KY970" s="1"/>
      <c r="KZ970" s="1"/>
      <c r="LA970" s="1"/>
      <c r="LB970" s="1"/>
      <c r="LC970" s="1"/>
      <c r="LD970" s="1"/>
      <c r="LN970" s="1"/>
      <c r="LO970" s="1"/>
      <c r="LP970" s="1"/>
      <c r="LZ970" s="1"/>
      <c r="MA970" s="1"/>
    </row>
    <row r="971" spans="4:339" ht="13" x14ac:dyDescent="0.15">
      <c r="D971" s="12"/>
      <c r="E971" s="12"/>
      <c r="I971" s="12"/>
      <c r="J971" s="13"/>
      <c r="BF971" s="1"/>
      <c r="BG971" s="1"/>
      <c r="BH971" s="1"/>
      <c r="BI971" s="1"/>
      <c r="BJ971" s="1"/>
      <c r="BK971" s="1"/>
      <c r="BL971" s="1"/>
      <c r="BM971" s="1"/>
      <c r="BN971" s="1"/>
      <c r="BO971" s="1"/>
      <c r="BP971" s="1"/>
      <c r="BQ971" s="1"/>
      <c r="BR971" s="1"/>
      <c r="BX971" s="1"/>
      <c r="CD971" s="1"/>
      <c r="CE971" s="1"/>
      <c r="CF971" s="1"/>
      <c r="CG971" s="1"/>
      <c r="CH971" s="1"/>
      <c r="CI971" s="1"/>
      <c r="CM971" s="2"/>
      <c r="CN971" s="1"/>
      <c r="CO971" s="1"/>
      <c r="CP971" s="1"/>
      <c r="CQ971" s="1"/>
      <c r="CS971" s="1"/>
      <c r="CT971" s="1"/>
      <c r="CU971" s="1"/>
      <c r="CV971" s="1"/>
      <c r="CW971" s="1"/>
      <c r="CX971" s="1"/>
      <c r="CY971" s="1"/>
      <c r="CZ971" s="1"/>
      <c r="DA971" s="1"/>
      <c r="DB971" s="1"/>
      <c r="DC971" s="1"/>
      <c r="DD971" s="1"/>
      <c r="DE971" s="1"/>
      <c r="DF971" s="1"/>
      <c r="DG971" s="1"/>
      <c r="DH971" s="1"/>
      <c r="DI971" s="1"/>
      <c r="DJ971" s="1"/>
      <c r="DK971" s="1"/>
      <c r="DM971" s="1"/>
      <c r="DQ971" s="1"/>
      <c r="DR971" s="1"/>
      <c r="DY971" s="1"/>
      <c r="DZ971" s="1"/>
      <c r="ED971" s="1"/>
      <c r="EF971" s="1"/>
      <c r="EK971" s="1"/>
      <c r="EL971" s="1"/>
      <c r="EM971" s="1"/>
      <c r="EN971" s="1"/>
      <c r="EQ971" s="1"/>
      <c r="ER971" s="1"/>
      <c r="ES971" s="1"/>
      <c r="EV971" s="1"/>
      <c r="EW971" s="1"/>
      <c r="EX971" s="1"/>
      <c r="EZ971" s="1"/>
      <c r="FA971" s="1"/>
      <c r="FD971" s="1"/>
      <c r="FG971" s="1"/>
      <c r="FH971" s="1"/>
      <c r="FI971" s="1"/>
      <c r="FJ971" s="1"/>
      <c r="FK971" s="1"/>
      <c r="FM971" s="1"/>
      <c r="FN971" s="1"/>
      <c r="FO971" s="1"/>
      <c r="FP971" s="1"/>
      <c r="FQ971" s="1"/>
      <c r="FR971" s="1"/>
      <c r="FS971" s="1"/>
      <c r="FT971" s="1"/>
      <c r="FU971" s="1"/>
      <c r="FV971" s="1"/>
      <c r="FW971" s="1"/>
      <c r="FX971" s="1"/>
      <c r="FY971" s="1"/>
      <c r="FZ971" s="1"/>
      <c r="GA971" s="1"/>
      <c r="GB971" s="1"/>
      <c r="GD971" s="1"/>
      <c r="GE971" s="1"/>
      <c r="GF971" s="1"/>
      <c r="GG971" s="1"/>
      <c r="GH971" s="1"/>
      <c r="GI971" s="1"/>
      <c r="GJ971" s="1"/>
      <c r="GK971" s="1"/>
      <c r="GL971" s="1"/>
      <c r="GM971" s="1"/>
      <c r="GN971" s="1"/>
      <c r="GO971" s="1"/>
      <c r="GP971" s="1"/>
      <c r="GR971" s="1"/>
      <c r="GY971" s="1"/>
      <c r="HF971" s="1"/>
      <c r="HH971" s="1"/>
      <c r="HQ971" s="1"/>
      <c r="HR971" s="1"/>
      <c r="HS971" s="1"/>
      <c r="HT971" s="1"/>
      <c r="HY971" s="1"/>
      <c r="IE971" s="1"/>
      <c r="IR971" s="1"/>
      <c r="IS971" s="1"/>
      <c r="IZ971" s="1"/>
      <c r="JC971" s="1"/>
      <c r="JF971" s="1"/>
      <c r="JG971" s="1"/>
      <c r="JH971" s="1"/>
      <c r="JJ971" s="1"/>
      <c r="JN971" s="1"/>
      <c r="JO971" s="1"/>
      <c r="JP971" s="1"/>
      <c r="JQ971" s="1"/>
      <c r="JT971" s="1"/>
      <c r="KV971" s="1"/>
      <c r="KY971" s="1"/>
      <c r="KZ971" s="1"/>
      <c r="LA971" s="1"/>
      <c r="LB971" s="1"/>
      <c r="LC971" s="1"/>
      <c r="LD971" s="1"/>
      <c r="LN971" s="1"/>
      <c r="LO971" s="1"/>
      <c r="LP971" s="1"/>
      <c r="LZ971" s="1"/>
      <c r="MA971" s="1"/>
    </row>
    <row r="972" spans="4:339" ht="13" x14ac:dyDescent="0.15">
      <c r="D972" s="12"/>
      <c r="E972" s="12"/>
      <c r="I972" s="12"/>
      <c r="J972" s="13"/>
      <c r="BF972" s="1"/>
      <c r="BG972" s="1"/>
      <c r="BH972" s="1"/>
      <c r="BI972" s="1"/>
      <c r="BJ972" s="1"/>
      <c r="BK972" s="1"/>
      <c r="BL972" s="1"/>
      <c r="BM972" s="1"/>
      <c r="BN972" s="1"/>
      <c r="BO972" s="1"/>
      <c r="BP972" s="1"/>
      <c r="BQ972" s="1"/>
      <c r="BR972" s="1"/>
      <c r="BX972" s="1"/>
      <c r="CD972" s="1"/>
      <c r="CE972" s="1"/>
      <c r="CF972" s="1"/>
      <c r="CG972" s="1"/>
      <c r="CH972" s="1"/>
      <c r="CI972" s="1"/>
      <c r="CM972" s="2"/>
      <c r="CN972" s="1"/>
      <c r="CO972" s="1"/>
      <c r="CP972" s="1"/>
      <c r="CQ972" s="1"/>
      <c r="CS972" s="1"/>
      <c r="CT972" s="1"/>
      <c r="CU972" s="1"/>
      <c r="CV972" s="1"/>
      <c r="CW972" s="1"/>
      <c r="CX972" s="1"/>
      <c r="CY972" s="1"/>
      <c r="CZ972" s="1"/>
      <c r="DA972" s="1"/>
      <c r="DB972" s="1"/>
      <c r="DC972" s="1"/>
      <c r="DD972" s="1"/>
      <c r="DE972" s="1"/>
      <c r="DF972" s="1"/>
      <c r="DG972" s="1"/>
      <c r="DH972" s="1"/>
      <c r="DI972" s="1"/>
      <c r="DJ972" s="1"/>
      <c r="DK972" s="1"/>
      <c r="DM972" s="1"/>
      <c r="DQ972" s="1"/>
      <c r="DR972" s="1"/>
      <c r="DY972" s="1"/>
      <c r="DZ972" s="1"/>
      <c r="ED972" s="1"/>
      <c r="EF972" s="1"/>
      <c r="EK972" s="1"/>
      <c r="EL972" s="1"/>
      <c r="EM972" s="1"/>
      <c r="EN972" s="1"/>
      <c r="EQ972" s="1"/>
      <c r="ER972" s="1"/>
      <c r="ES972" s="1"/>
      <c r="EV972" s="1"/>
      <c r="EW972" s="1"/>
      <c r="EX972" s="1"/>
      <c r="EZ972" s="1"/>
      <c r="FA972" s="1"/>
      <c r="FD972" s="1"/>
      <c r="FG972" s="1"/>
      <c r="FH972" s="1"/>
      <c r="FI972" s="1"/>
      <c r="FJ972" s="1"/>
      <c r="FK972" s="1"/>
      <c r="FM972" s="1"/>
      <c r="FN972" s="1"/>
      <c r="FO972" s="1"/>
      <c r="FP972" s="1"/>
      <c r="FQ972" s="1"/>
      <c r="FR972" s="1"/>
      <c r="FS972" s="1"/>
      <c r="FT972" s="1"/>
      <c r="FU972" s="1"/>
      <c r="FV972" s="1"/>
      <c r="FW972" s="1"/>
      <c r="FX972" s="1"/>
      <c r="FY972" s="1"/>
      <c r="FZ972" s="1"/>
      <c r="GA972" s="1"/>
      <c r="GB972" s="1"/>
      <c r="GD972" s="1"/>
      <c r="GE972" s="1"/>
      <c r="GF972" s="1"/>
      <c r="GG972" s="1"/>
      <c r="GH972" s="1"/>
      <c r="GI972" s="1"/>
      <c r="GJ972" s="1"/>
      <c r="GK972" s="1"/>
      <c r="GL972" s="1"/>
      <c r="GM972" s="1"/>
      <c r="GN972" s="1"/>
      <c r="GO972" s="1"/>
      <c r="GP972" s="1"/>
      <c r="GR972" s="1"/>
      <c r="GY972" s="1"/>
      <c r="HF972" s="1"/>
      <c r="HH972" s="1"/>
      <c r="HQ972" s="1"/>
      <c r="HR972" s="1"/>
      <c r="HS972" s="1"/>
      <c r="HT972" s="1"/>
      <c r="HY972" s="1"/>
      <c r="IE972" s="1"/>
      <c r="IR972" s="1"/>
      <c r="IS972" s="1"/>
      <c r="IZ972" s="1"/>
      <c r="JC972" s="1"/>
      <c r="JF972" s="1"/>
      <c r="JG972" s="1"/>
      <c r="JH972" s="1"/>
      <c r="JJ972" s="1"/>
      <c r="JN972" s="1"/>
      <c r="JO972" s="1"/>
      <c r="JP972" s="1"/>
      <c r="JQ972" s="1"/>
      <c r="JT972" s="1"/>
      <c r="KV972" s="1"/>
      <c r="KY972" s="1"/>
      <c r="KZ972" s="1"/>
      <c r="LA972" s="1"/>
      <c r="LB972" s="1"/>
      <c r="LC972" s="1"/>
      <c r="LD972" s="1"/>
      <c r="LN972" s="1"/>
      <c r="LO972" s="1"/>
      <c r="LP972" s="1"/>
      <c r="LZ972" s="1"/>
      <c r="MA972" s="1"/>
    </row>
    <row r="973" spans="4:339" ht="13" x14ac:dyDescent="0.15">
      <c r="D973" s="12"/>
      <c r="E973" s="12"/>
      <c r="I973" s="12"/>
      <c r="J973" s="13"/>
      <c r="BF973" s="1"/>
      <c r="BG973" s="1"/>
      <c r="BH973" s="1"/>
      <c r="BI973" s="1"/>
      <c r="BJ973" s="1"/>
      <c r="BK973" s="1"/>
      <c r="BL973" s="1"/>
      <c r="BM973" s="1"/>
      <c r="BN973" s="1"/>
      <c r="BO973" s="1"/>
      <c r="BP973" s="1"/>
      <c r="BQ973" s="1"/>
      <c r="BR973" s="1"/>
      <c r="BX973" s="1"/>
      <c r="CD973" s="1"/>
      <c r="CE973" s="1"/>
      <c r="CF973" s="1"/>
      <c r="CG973" s="1"/>
      <c r="CH973" s="1"/>
      <c r="CI973" s="1"/>
      <c r="CM973" s="2"/>
      <c r="CN973" s="1"/>
      <c r="CO973" s="1"/>
      <c r="CP973" s="1"/>
      <c r="CQ973" s="1"/>
      <c r="CS973" s="1"/>
      <c r="CT973" s="1"/>
      <c r="CU973" s="1"/>
      <c r="CV973" s="1"/>
      <c r="CW973" s="1"/>
      <c r="CX973" s="1"/>
      <c r="CY973" s="1"/>
      <c r="CZ973" s="1"/>
      <c r="DA973" s="1"/>
      <c r="DB973" s="1"/>
      <c r="DC973" s="1"/>
      <c r="DD973" s="1"/>
      <c r="DE973" s="1"/>
      <c r="DF973" s="1"/>
      <c r="DG973" s="1"/>
      <c r="DH973" s="1"/>
      <c r="DI973" s="1"/>
      <c r="DJ973" s="1"/>
      <c r="DK973" s="1"/>
      <c r="DM973" s="1"/>
      <c r="DQ973" s="1"/>
      <c r="DR973" s="1"/>
      <c r="DY973" s="1"/>
      <c r="DZ973" s="1"/>
      <c r="ED973" s="1"/>
      <c r="EF973" s="1"/>
      <c r="EK973" s="1"/>
      <c r="EL973" s="1"/>
      <c r="EM973" s="1"/>
      <c r="EN973" s="1"/>
      <c r="EQ973" s="1"/>
      <c r="ER973" s="1"/>
      <c r="ES973" s="1"/>
      <c r="EV973" s="1"/>
      <c r="EW973" s="1"/>
      <c r="EX973" s="1"/>
      <c r="EZ973" s="1"/>
      <c r="FA973" s="1"/>
      <c r="FD973" s="1"/>
      <c r="FG973" s="1"/>
      <c r="FH973" s="1"/>
      <c r="FI973" s="1"/>
      <c r="FJ973" s="1"/>
      <c r="FK973" s="1"/>
      <c r="FM973" s="1"/>
      <c r="FN973" s="1"/>
      <c r="FO973" s="1"/>
      <c r="FP973" s="1"/>
      <c r="FQ973" s="1"/>
      <c r="FR973" s="1"/>
      <c r="FS973" s="1"/>
      <c r="FT973" s="1"/>
      <c r="FU973" s="1"/>
      <c r="FV973" s="1"/>
      <c r="FW973" s="1"/>
      <c r="FX973" s="1"/>
      <c r="FY973" s="1"/>
      <c r="FZ973" s="1"/>
      <c r="GA973" s="1"/>
      <c r="GB973" s="1"/>
      <c r="GD973" s="1"/>
      <c r="GE973" s="1"/>
      <c r="GF973" s="1"/>
      <c r="GG973" s="1"/>
      <c r="GH973" s="1"/>
      <c r="GI973" s="1"/>
      <c r="GJ973" s="1"/>
      <c r="GK973" s="1"/>
      <c r="GL973" s="1"/>
      <c r="GM973" s="1"/>
      <c r="GN973" s="1"/>
      <c r="GO973" s="1"/>
      <c r="GP973" s="1"/>
      <c r="GR973" s="1"/>
      <c r="GY973" s="1"/>
      <c r="HF973" s="1"/>
      <c r="HH973" s="1"/>
      <c r="HQ973" s="1"/>
      <c r="HR973" s="1"/>
      <c r="HS973" s="1"/>
      <c r="HT973" s="1"/>
      <c r="HY973" s="1"/>
      <c r="IE973" s="1"/>
      <c r="IR973" s="1"/>
      <c r="IS973" s="1"/>
      <c r="IZ973" s="1"/>
      <c r="JC973" s="1"/>
      <c r="JF973" s="1"/>
      <c r="JG973" s="1"/>
      <c r="JH973" s="1"/>
      <c r="JJ973" s="1"/>
      <c r="JN973" s="1"/>
      <c r="JO973" s="1"/>
      <c r="JP973" s="1"/>
      <c r="JQ973" s="1"/>
      <c r="JT973" s="1"/>
      <c r="KV973" s="1"/>
      <c r="KY973" s="1"/>
      <c r="KZ973" s="1"/>
      <c r="LA973" s="1"/>
      <c r="LB973" s="1"/>
      <c r="LC973" s="1"/>
      <c r="LD973" s="1"/>
      <c r="LN973" s="1"/>
      <c r="LO973" s="1"/>
      <c r="LP973" s="1"/>
      <c r="LZ973" s="1"/>
      <c r="MA973" s="1"/>
    </row>
    <row r="974" spans="4:339" ht="13" x14ac:dyDescent="0.15">
      <c r="D974" s="12"/>
      <c r="E974" s="12"/>
      <c r="I974" s="12"/>
      <c r="J974" s="13"/>
      <c r="BF974" s="1"/>
      <c r="BG974" s="1"/>
      <c r="BH974" s="1"/>
      <c r="BI974" s="1"/>
      <c r="BJ974" s="1"/>
      <c r="BK974" s="1"/>
      <c r="BL974" s="1"/>
      <c r="BM974" s="1"/>
      <c r="BN974" s="1"/>
      <c r="BO974" s="1"/>
      <c r="BP974" s="1"/>
      <c r="BQ974" s="1"/>
      <c r="BR974" s="1"/>
      <c r="BX974" s="1"/>
      <c r="CD974" s="1"/>
      <c r="CE974" s="1"/>
      <c r="CF974" s="1"/>
      <c r="CG974" s="1"/>
      <c r="CH974" s="1"/>
      <c r="CI974" s="1"/>
      <c r="CM974" s="4"/>
      <c r="CN974" s="1"/>
      <c r="CO974" s="1"/>
      <c r="CP974" s="1"/>
      <c r="CQ974" s="1"/>
      <c r="CR974" s="1"/>
      <c r="CT974" s="1"/>
      <c r="CU974" s="1"/>
      <c r="CV974" s="1"/>
      <c r="CW974" s="1"/>
      <c r="CX974" s="1"/>
      <c r="CY974" s="1"/>
      <c r="CZ974" s="1"/>
      <c r="DA974" s="1"/>
      <c r="DB974" s="1"/>
      <c r="DC974" s="1"/>
      <c r="DD974" s="1"/>
      <c r="DE974" s="1"/>
      <c r="DF974" s="1"/>
      <c r="DG974" s="1"/>
      <c r="DH974" s="1"/>
      <c r="DI974" s="1"/>
      <c r="DJ974" s="1"/>
      <c r="DK974" s="1"/>
      <c r="DM974" s="1"/>
      <c r="DQ974" s="1"/>
      <c r="DR974" s="1"/>
      <c r="DY974" s="1"/>
      <c r="DZ974" s="1"/>
      <c r="ED974" s="1"/>
      <c r="EF974" s="1"/>
      <c r="EK974" s="1"/>
      <c r="EL974" s="1"/>
      <c r="EM974" s="1"/>
      <c r="EN974" s="1"/>
      <c r="EQ974" s="1"/>
      <c r="ER974" s="1"/>
      <c r="ES974" s="1"/>
      <c r="EV974" s="1"/>
      <c r="EW974" s="1"/>
      <c r="EZ974" s="1"/>
      <c r="FA974" s="1"/>
      <c r="FD974" s="1"/>
      <c r="FH974" s="1"/>
      <c r="FJ974" s="1"/>
      <c r="FP974" s="1"/>
      <c r="FS974" s="1"/>
      <c r="FV974" s="1"/>
      <c r="FX974" s="1"/>
      <c r="FY974" s="1"/>
      <c r="GA974" s="1"/>
      <c r="GD974" s="1"/>
      <c r="GE974" s="1"/>
      <c r="GF974" s="1"/>
      <c r="GG974" s="1"/>
      <c r="GH974" s="1"/>
      <c r="GI974" s="1"/>
      <c r="GJ974" s="1"/>
      <c r="GL974" s="1"/>
      <c r="GM974" s="1"/>
      <c r="GN974" s="1"/>
      <c r="GO974" s="1"/>
      <c r="GP974" s="1"/>
      <c r="GY974" s="1"/>
      <c r="HF974" s="1"/>
      <c r="HH974" s="1"/>
      <c r="HN974" s="1"/>
      <c r="HR974" s="1"/>
      <c r="HS974" s="1"/>
      <c r="HT974" s="1"/>
      <c r="HX974" s="1"/>
      <c r="HY974" s="1"/>
      <c r="ID974" s="1"/>
      <c r="IE974" s="1"/>
      <c r="IG974" s="1"/>
      <c r="IJ974" s="1"/>
      <c r="IR974" s="1"/>
      <c r="IS974" s="1"/>
      <c r="IW974" s="1"/>
      <c r="IZ974" s="1"/>
      <c r="JA974" s="1"/>
      <c r="JC974" s="1"/>
      <c r="JG974" s="1"/>
      <c r="JJ974" s="1"/>
      <c r="JK974" s="1"/>
      <c r="JL974" s="3"/>
      <c r="JM974" s="1"/>
      <c r="JP974" s="1"/>
      <c r="JQ974" s="1"/>
      <c r="JR974" s="1"/>
      <c r="KW974" s="1"/>
      <c r="KY974" s="1"/>
      <c r="KZ974" s="1"/>
      <c r="LA974" s="1"/>
      <c r="LB974" s="1"/>
      <c r="LC974" s="1"/>
      <c r="LD974" s="1"/>
      <c r="LO974" s="1"/>
      <c r="LP974" s="1"/>
      <c r="LZ974" s="1"/>
      <c r="MA974" s="1"/>
    </row>
    <row r="975" spans="4:339" ht="13" x14ac:dyDescent="0.15">
      <c r="D975" s="12"/>
      <c r="E975" s="12"/>
      <c r="I975" s="12"/>
      <c r="J975" s="13"/>
      <c r="BF975" s="1"/>
      <c r="BG975" s="1"/>
      <c r="BH975" s="1"/>
      <c r="BI975" s="1"/>
      <c r="BJ975" s="1"/>
      <c r="BK975" s="1"/>
      <c r="BL975" s="1"/>
      <c r="BM975" s="1"/>
      <c r="BN975" s="1"/>
      <c r="BO975" s="1"/>
      <c r="BP975" s="1"/>
      <c r="BQ975" s="1"/>
      <c r="BR975" s="1"/>
      <c r="CD975" s="1"/>
      <c r="CE975" s="1"/>
      <c r="CF975" s="1"/>
      <c r="CG975" s="1"/>
      <c r="CH975" s="1"/>
      <c r="CI975" s="1"/>
      <c r="CM975" s="2"/>
      <c r="CN975" s="1"/>
      <c r="CO975" s="1"/>
      <c r="CP975" s="1"/>
      <c r="CQ975" s="1"/>
      <c r="CX975" s="1"/>
      <c r="CY975" s="1"/>
      <c r="CZ975" s="1"/>
      <c r="DA975" s="1"/>
      <c r="DB975" s="1"/>
      <c r="DC975" s="1"/>
      <c r="DD975" s="1"/>
      <c r="DE975" s="1"/>
      <c r="DF975" s="1"/>
      <c r="DG975" s="1"/>
      <c r="DH975" s="1"/>
      <c r="DI975" s="1"/>
      <c r="DJ975" s="1"/>
      <c r="DK975" s="1"/>
      <c r="DM975" s="1"/>
      <c r="DQ975" s="1"/>
      <c r="DR975" s="1"/>
      <c r="DY975" s="1"/>
      <c r="DZ975" s="1"/>
      <c r="ED975" s="1"/>
      <c r="EF975" s="1"/>
      <c r="EK975" s="1"/>
      <c r="EL975" s="1"/>
      <c r="EM975" s="1"/>
      <c r="EN975" s="1"/>
      <c r="EQ975" s="1"/>
      <c r="ER975" s="1"/>
      <c r="ES975" s="1"/>
      <c r="EV975" s="1"/>
      <c r="EW975" s="1"/>
      <c r="EZ975" s="1"/>
      <c r="FA975" s="1"/>
      <c r="FD975" s="1"/>
      <c r="FG975" s="1"/>
      <c r="FH975" s="1"/>
      <c r="FI975" s="1"/>
      <c r="FJ975" s="1"/>
      <c r="FK975" s="1"/>
      <c r="FL975" s="1"/>
      <c r="FM975" s="1"/>
      <c r="FN975" s="1"/>
      <c r="FO975" s="1"/>
      <c r="FP975" s="1"/>
      <c r="FQ975" s="1"/>
      <c r="FR975" s="1"/>
      <c r="FS975" s="1"/>
      <c r="FT975" s="1"/>
      <c r="FU975" s="1"/>
      <c r="FV975" s="1"/>
      <c r="FW975" s="1"/>
      <c r="FX975" s="1"/>
      <c r="FY975" s="1"/>
      <c r="FZ975" s="1"/>
      <c r="GA975" s="1"/>
      <c r="GB975" s="1"/>
      <c r="GD975" s="1"/>
      <c r="GE975" s="1"/>
      <c r="GF975" s="1"/>
      <c r="GG975" s="1"/>
      <c r="GH975" s="1"/>
      <c r="GI975" s="1"/>
      <c r="GJ975" s="1"/>
      <c r="GK975" s="1"/>
      <c r="GL975" s="1"/>
      <c r="GM975" s="1"/>
      <c r="GN975" s="1"/>
      <c r="GP975" s="1"/>
      <c r="GR975" s="1"/>
      <c r="GY975" s="1"/>
      <c r="HF975" s="1"/>
      <c r="HH975" s="1"/>
      <c r="HN975" s="1"/>
      <c r="HT975" s="1"/>
      <c r="HY975" s="1"/>
      <c r="IE975" s="1"/>
      <c r="IG975" s="1"/>
      <c r="IH975" s="1"/>
      <c r="IJ975" s="1"/>
      <c r="IR975" s="1"/>
      <c r="IS975" s="1"/>
      <c r="IW975" s="1"/>
      <c r="IX975" s="1"/>
      <c r="IZ975" s="1"/>
      <c r="JB975" s="1"/>
      <c r="JC975" s="1"/>
      <c r="JF975" s="1"/>
      <c r="JG975" s="1"/>
      <c r="JJ975" s="1"/>
      <c r="JK975" s="1"/>
      <c r="JL975" s="3"/>
      <c r="JM975" s="1"/>
      <c r="JN975" s="1"/>
      <c r="JP975" s="1"/>
      <c r="JQ975" s="1"/>
      <c r="JR975" s="1"/>
      <c r="JT975" s="1"/>
      <c r="KU975" s="1"/>
      <c r="KV975" s="1"/>
      <c r="KW975" s="1"/>
      <c r="KY975" s="1"/>
      <c r="KZ975" s="1"/>
      <c r="LA975" s="1"/>
      <c r="LB975" s="1"/>
      <c r="LC975" s="1"/>
      <c r="LD975" s="1"/>
      <c r="LO975" s="1"/>
      <c r="LP975" s="1"/>
      <c r="LZ975" s="1"/>
      <c r="MA975" s="1"/>
    </row>
    <row r="976" spans="4:339" ht="13" x14ac:dyDescent="0.15">
      <c r="D976" s="12"/>
      <c r="E976" s="12"/>
      <c r="I976" s="12"/>
      <c r="J976" s="13"/>
      <c r="BF976" s="1"/>
      <c r="BG976" s="1"/>
      <c r="BH976" s="1"/>
      <c r="BI976" s="1"/>
      <c r="BK976" s="1"/>
      <c r="BL976" s="1"/>
      <c r="BM976" s="1"/>
      <c r="BN976" s="1"/>
      <c r="BO976" s="1"/>
      <c r="BP976" s="1"/>
      <c r="BQ976" s="1"/>
      <c r="BR976" s="1"/>
      <c r="CD976" s="1"/>
      <c r="CE976" s="1"/>
      <c r="CF976" s="1"/>
      <c r="CG976" s="1"/>
      <c r="CH976" s="1"/>
      <c r="CI976" s="1"/>
      <c r="CM976" s="2"/>
      <c r="CN976" s="1"/>
      <c r="CO976" s="1"/>
      <c r="CP976" s="1"/>
      <c r="CQ976" s="1"/>
      <c r="CR976" s="1"/>
      <c r="CS976" s="1"/>
      <c r="CT976" s="1"/>
      <c r="CU976" s="1"/>
      <c r="CV976" s="1"/>
      <c r="CW976" s="1"/>
      <c r="CX976" s="1"/>
      <c r="CY976" s="1"/>
      <c r="CZ976" s="1"/>
      <c r="DA976" s="1"/>
      <c r="DB976" s="1"/>
      <c r="DC976" s="1"/>
      <c r="DD976" s="1"/>
      <c r="DE976" s="1"/>
      <c r="DF976" s="1"/>
      <c r="DG976" s="1"/>
      <c r="DH976" s="1"/>
      <c r="DI976" s="1"/>
      <c r="DJ976" s="1"/>
      <c r="DK976" s="1"/>
      <c r="ED976" s="1"/>
      <c r="EK976" s="1"/>
      <c r="EL976" s="1"/>
      <c r="EM976" s="1"/>
      <c r="EN976" s="1"/>
      <c r="EQ976" s="1"/>
      <c r="ER976" s="1"/>
      <c r="ES976" s="1"/>
      <c r="EV976" s="1"/>
      <c r="EW976" s="1"/>
      <c r="EZ976" s="1"/>
      <c r="FA976" s="1"/>
      <c r="FD976" s="1"/>
      <c r="FG976" s="1"/>
      <c r="FH976" s="1"/>
      <c r="FI976" s="1"/>
      <c r="FJ976" s="1"/>
      <c r="FM976" s="1"/>
      <c r="FN976" s="1"/>
      <c r="FO976" s="1"/>
      <c r="FP976" s="1"/>
      <c r="FQ976" s="1"/>
      <c r="FR976" s="1"/>
      <c r="FS976" s="1"/>
      <c r="FT976" s="1"/>
      <c r="FU976" s="1"/>
      <c r="FV976" s="1"/>
      <c r="FX976" s="1"/>
      <c r="FY976" s="1"/>
      <c r="FZ976" s="1"/>
      <c r="GA976" s="1"/>
      <c r="GD976" s="1"/>
      <c r="GE976" s="1"/>
      <c r="GF976" s="1"/>
      <c r="GG976" s="1"/>
      <c r="GH976" s="1"/>
      <c r="GI976" s="1"/>
      <c r="GJ976" s="1"/>
      <c r="GK976" s="1"/>
      <c r="GL976" s="1"/>
      <c r="GM976" s="1"/>
      <c r="GN976" s="1"/>
      <c r="GO976" s="1"/>
      <c r="GP976" s="1"/>
      <c r="GR976" s="1"/>
      <c r="GY976" s="1"/>
      <c r="HF976" s="1"/>
      <c r="HH976" s="1"/>
      <c r="HN976" s="1"/>
      <c r="HQ976" s="1"/>
      <c r="HY976" s="1"/>
      <c r="ID976" s="1"/>
      <c r="IE976" s="1"/>
      <c r="IG976" s="1"/>
      <c r="IR976" s="1"/>
      <c r="IS976" s="1"/>
      <c r="IW976" s="1"/>
      <c r="IY976" s="1"/>
      <c r="IZ976" s="1"/>
      <c r="JA976" s="1"/>
      <c r="JC976" s="1"/>
      <c r="JF976" s="1"/>
      <c r="JG976" s="1"/>
      <c r="JH976" s="1"/>
      <c r="JJ976" s="1"/>
      <c r="JK976" s="1"/>
      <c r="JL976" s="3"/>
      <c r="JM976" s="1"/>
      <c r="JN976" s="1"/>
      <c r="JP976" s="1"/>
      <c r="JQ976" s="1"/>
      <c r="JR976" s="1"/>
      <c r="JT976" s="1"/>
      <c r="KV976" s="1"/>
      <c r="KY976" s="1"/>
      <c r="KZ976" s="1"/>
      <c r="LA976" s="1"/>
      <c r="LB976" s="1"/>
      <c r="LC976" s="1"/>
      <c r="LD976" s="1"/>
      <c r="LF976" s="1"/>
      <c r="LN976" s="1"/>
      <c r="LO976" s="1"/>
      <c r="LP976" s="1"/>
      <c r="LZ976" s="1"/>
      <c r="MA976" s="1"/>
    </row>
    <row r="977" spans="4:339" ht="13" x14ac:dyDescent="0.15">
      <c r="D977" s="12"/>
      <c r="E977" s="12"/>
      <c r="I977" s="12"/>
      <c r="J977" s="13"/>
      <c r="BF977" s="1"/>
      <c r="BG977" s="1"/>
      <c r="BH977" s="1"/>
      <c r="BI977" s="1"/>
      <c r="BK977" s="1"/>
      <c r="BL977" s="1"/>
      <c r="BM977" s="1"/>
      <c r="BN977" s="1"/>
      <c r="BO977" s="1"/>
      <c r="BP977" s="1"/>
      <c r="BQ977" s="1"/>
      <c r="BR977" s="1"/>
      <c r="CD977" s="1"/>
      <c r="CE977" s="1"/>
      <c r="CF977" s="1"/>
      <c r="CG977" s="1"/>
      <c r="CH977" s="1"/>
      <c r="CI977" s="1"/>
      <c r="CM977" s="2"/>
      <c r="CN977" s="1"/>
      <c r="CO977" s="1"/>
      <c r="CP977" s="1"/>
      <c r="CQ977" s="1"/>
      <c r="CR977" s="1"/>
      <c r="CS977" s="1"/>
      <c r="CT977" s="1"/>
      <c r="CU977" s="1"/>
      <c r="CV977" s="1"/>
      <c r="CW977" s="1"/>
      <c r="CX977" s="1"/>
      <c r="CY977" s="1"/>
      <c r="CZ977" s="1"/>
      <c r="DA977" s="1"/>
      <c r="DB977" s="1"/>
      <c r="DC977" s="1"/>
      <c r="DD977" s="1"/>
      <c r="DE977" s="1"/>
      <c r="DF977" s="1"/>
      <c r="DG977" s="1"/>
      <c r="DH977" s="1"/>
      <c r="DI977" s="1"/>
      <c r="DJ977" s="1"/>
      <c r="DK977" s="1"/>
      <c r="ED977" s="1"/>
      <c r="EK977" s="1"/>
      <c r="EL977" s="1"/>
      <c r="EM977" s="1"/>
      <c r="EN977" s="1"/>
      <c r="EQ977" s="1"/>
      <c r="ER977" s="1"/>
      <c r="ES977" s="1"/>
      <c r="EV977" s="1"/>
      <c r="EW977" s="1"/>
      <c r="EZ977" s="1"/>
      <c r="FA977" s="1"/>
      <c r="FD977" s="1"/>
      <c r="FG977" s="1"/>
      <c r="FH977" s="1"/>
      <c r="FI977" s="1"/>
      <c r="FJ977" s="1"/>
      <c r="FM977" s="1"/>
      <c r="FN977" s="1"/>
      <c r="FO977" s="1"/>
      <c r="FP977" s="1"/>
      <c r="FQ977" s="1"/>
      <c r="FR977" s="1"/>
      <c r="FS977" s="1"/>
      <c r="FT977" s="1"/>
      <c r="FU977" s="1"/>
      <c r="FV977" s="1"/>
      <c r="FX977" s="1"/>
      <c r="FY977" s="1"/>
      <c r="FZ977" s="1"/>
      <c r="GA977" s="1"/>
      <c r="GD977" s="1"/>
      <c r="GE977" s="1"/>
      <c r="GF977" s="1"/>
      <c r="GG977" s="1"/>
      <c r="GH977" s="1"/>
      <c r="GI977" s="1"/>
      <c r="GJ977" s="1"/>
      <c r="GK977" s="1"/>
      <c r="GL977" s="1"/>
      <c r="GM977" s="1"/>
      <c r="GN977" s="1"/>
      <c r="GO977" s="1"/>
      <c r="GP977" s="1"/>
      <c r="GR977" s="1"/>
      <c r="GY977" s="1"/>
      <c r="HF977" s="1"/>
      <c r="HH977" s="1"/>
      <c r="HN977" s="1"/>
      <c r="HQ977" s="1"/>
      <c r="HY977" s="1"/>
      <c r="ID977" s="1"/>
      <c r="IE977" s="1"/>
      <c r="IG977" s="1"/>
      <c r="IR977" s="1"/>
      <c r="IS977" s="1"/>
      <c r="IW977" s="1"/>
      <c r="IY977" s="1"/>
      <c r="IZ977" s="1"/>
      <c r="JA977" s="1"/>
      <c r="JC977" s="1"/>
      <c r="JF977" s="1"/>
      <c r="JG977" s="1"/>
      <c r="JH977" s="1"/>
      <c r="JJ977" s="1"/>
      <c r="JK977" s="1"/>
      <c r="JL977" s="3"/>
      <c r="JM977" s="1"/>
      <c r="JN977" s="1"/>
      <c r="JP977" s="1"/>
      <c r="JQ977" s="1"/>
      <c r="JR977" s="1"/>
      <c r="JT977" s="1"/>
      <c r="KV977" s="1"/>
      <c r="KY977" s="1"/>
      <c r="KZ977" s="1"/>
      <c r="LA977" s="1"/>
      <c r="LB977" s="1"/>
      <c r="LC977" s="1"/>
      <c r="LD977" s="1"/>
      <c r="LF977" s="1"/>
      <c r="LN977" s="1"/>
      <c r="LO977" s="1"/>
      <c r="LP977" s="1"/>
      <c r="LZ977" s="1"/>
      <c r="MA977" s="1"/>
    </row>
    <row r="978" spans="4:339" ht="13" x14ac:dyDescent="0.15">
      <c r="D978" s="12"/>
      <c r="E978" s="12"/>
      <c r="I978" s="12"/>
      <c r="J978" s="13"/>
      <c r="BF978" s="1"/>
      <c r="BG978" s="1"/>
      <c r="BH978" s="1"/>
      <c r="BI978" s="1"/>
      <c r="BK978" s="1"/>
      <c r="BL978" s="1"/>
      <c r="BM978" s="1"/>
      <c r="BN978" s="1"/>
      <c r="BO978" s="1"/>
      <c r="BP978" s="1"/>
      <c r="BQ978" s="1"/>
      <c r="BR978" s="1"/>
      <c r="CD978" s="1"/>
      <c r="CE978" s="1"/>
      <c r="CF978" s="1"/>
      <c r="CG978" s="1"/>
      <c r="CH978" s="1"/>
      <c r="CI978" s="1"/>
      <c r="CM978" s="2"/>
      <c r="CN978" s="1"/>
      <c r="CO978" s="1"/>
      <c r="CP978" s="1"/>
      <c r="CQ978" s="1"/>
      <c r="CR978" s="1"/>
      <c r="CS978" s="1"/>
      <c r="CT978" s="1"/>
      <c r="CU978" s="1"/>
      <c r="CV978" s="1"/>
      <c r="CW978" s="1"/>
      <c r="CX978" s="1"/>
      <c r="CY978" s="1"/>
      <c r="CZ978" s="1"/>
      <c r="DA978" s="1"/>
      <c r="DB978" s="1"/>
      <c r="DC978" s="1"/>
      <c r="DD978" s="1"/>
      <c r="DE978" s="1"/>
      <c r="DF978" s="1"/>
      <c r="DG978" s="1"/>
      <c r="DH978" s="1"/>
      <c r="DI978" s="1"/>
      <c r="DJ978" s="1"/>
      <c r="DK978" s="1"/>
      <c r="ED978" s="1"/>
      <c r="EK978" s="1"/>
      <c r="EL978" s="1"/>
      <c r="EM978" s="1"/>
      <c r="EN978" s="1"/>
      <c r="EQ978" s="1"/>
      <c r="ER978" s="1"/>
      <c r="ES978" s="1"/>
      <c r="EV978" s="1"/>
      <c r="EW978" s="1"/>
      <c r="EZ978" s="1"/>
      <c r="FA978" s="1"/>
      <c r="FD978" s="1"/>
      <c r="FG978" s="1"/>
      <c r="FH978" s="1"/>
      <c r="FI978" s="1"/>
      <c r="FJ978" s="1"/>
      <c r="FM978" s="1"/>
      <c r="FN978" s="1"/>
      <c r="FO978" s="1"/>
      <c r="FP978" s="1"/>
      <c r="FQ978" s="1"/>
      <c r="FR978" s="1"/>
      <c r="FS978" s="1"/>
      <c r="FT978" s="1"/>
      <c r="FU978" s="1"/>
      <c r="FV978" s="1"/>
      <c r="FX978" s="1"/>
      <c r="FY978" s="1"/>
      <c r="FZ978" s="1"/>
      <c r="GA978" s="1"/>
      <c r="GD978" s="1"/>
      <c r="GE978" s="1"/>
      <c r="GF978" s="1"/>
      <c r="GG978" s="1"/>
      <c r="GH978" s="1"/>
      <c r="GI978" s="1"/>
      <c r="GJ978" s="1"/>
      <c r="GK978" s="1"/>
      <c r="GL978" s="1"/>
      <c r="GM978" s="1"/>
      <c r="GN978" s="1"/>
      <c r="GO978" s="1"/>
      <c r="GP978" s="1"/>
      <c r="GR978" s="1"/>
      <c r="GY978" s="1"/>
      <c r="HF978" s="1"/>
      <c r="HH978" s="1"/>
      <c r="HN978" s="1"/>
      <c r="HQ978" s="1"/>
      <c r="HY978" s="1"/>
      <c r="ID978" s="1"/>
      <c r="IE978" s="1"/>
      <c r="IG978" s="1"/>
      <c r="IR978" s="1"/>
      <c r="IS978" s="1"/>
      <c r="IW978" s="1"/>
      <c r="IY978" s="1"/>
      <c r="IZ978" s="1"/>
      <c r="JA978" s="1"/>
      <c r="JC978" s="1"/>
      <c r="JF978" s="1"/>
      <c r="JG978" s="1"/>
      <c r="JH978" s="1"/>
      <c r="JJ978" s="1"/>
      <c r="JK978" s="1"/>
      <c r="JL978" s="3"/>
      <c r="JM978" s="1"/>
      <c r="JN978" s="1"/>
      <c r="JP978" s="1"/>
      <c r="JQ978" s="1"/>
      <c r="JR978" s="1"/>
      <c r="JT978" s="1"/>
      <c r="KV978" s="1"/>
      <c r="KY978" s="1"/>
      <c r="KZ978" s="1"/>
      <c r="LA978" s="1"/>
      <c r="LB978" s="1"/>
      <c r="LC978" s="1"/>
      <c r="LD978" s="1"/>
      <c r="LF978" s="1"/>
      <c r="LN978" s="1"/>
      <c r="LO978" s="1"/>
      <c r="LP978" s="1"/>
      <c r="LZ978" s="1"/>
      <c r="MA978" s="1"/>
    </row>
    <row r="979" spans="4:339" ht="13" x14ac:dyDescent="0.15">
      <c r="D979" s="12"/>
      <c r="E979" s="12"/>
      <c r="I979" s="12"/>
      <c r="J979" s="13"/>
      <c r="BF979" s="1"/>
      <c r="BG979" s="1"/>
      <c r="BH979" s="1"/>
      <c r="BI979" s="1"/>
      <c r="BK979" s="1"/>
      <c r="BL979" s="1"/>
      <c r="BM979" s="1"/>
      <c r="BN979" s="1"/>
      <c r="BO979" s="1"/>
      <c r="BP979" s="1"/>
      <c r="BQ979" s="1"/>
      <c r="BR979" s="1"/>
      <c r="CD979" s="1"/>
      <c r="CE979" s="1"/>
      <c r="CF979" s="1"/>
      <c r="CG979" s="1"/>
      <c r="CH979" s="1"/>
      <c r="CI979" s="1"/>
      <c r="CM979" s="2"/>
      <c r="CN979" s="1"/>
      <c r="CO979" s="1"/>
      <c r="CP979" s="1"/>
      <c r="CQ979" s="1"/>
      <c r="CR979" s="1"/>
      <c r="CS979" s="1"/>
      <c r="CT979" s="1"/>
      <c r="CU979" s="1"/>
      <c r="CV979" s="1"/>
      <c r="CW979" s="1"/>
      <c r="CX979" s="1"/>
      <c r="CY979" s="1"/>
      <c r="CZ979" s="1"/>
      <c r="DA979" s="1"/>
      <c r="DB979" s="1"/>
      <c r="DC979" s="1"/>
      <c r="DD979" s="1"/>
      <c r="DE979" s="1"/>
      <c r="DF979" s="1"/>
      <c r="DG979" s="1"/>
      <c r="DH979" s="1"/>
      <c r="DI979" s="1"/>
      <c r="DJ979" s="1"/>
      <c r="DK979" s="1"/>
      <c r="ED979" s="1"/>
      <c r="EK979" s="1"/>
      <c r="EL979" s="1"/>
      <c r="EM979" s="1"/>
      <c r="EN979" s="1"/>
      <c r="EQ979" s="1"/>
      <c r="ER979" s="1"/>
      <c r="ES979" s="1"/>
      <c r="EV979" s="1"/>
      <c r="EW979" s="1"/>
      <c r="EZ979" s="1"/>
      <c r="FA979" s="1"/>
      <c r="FD979" s="1"/>
      <c r="FG979" s="1"/>
      <c r="FH979" s="1"/>
      <c r="FI979" s="1"/>
      <c r="FJ979" s="1"/>
      <c r="FM979" s="1"/>
      <c r="FN979" s="1"/>
      <c r="FO979" s="1"/>
      <c r="FP979" s="1"/>
      <c r="FQ979" s="1"/>
      <c r="FR979" s="1"/>
      <c r="FS979" s="1"/>
      <c r="FT979" s="1"/>
      <c r="FU979" s="1"/>
      <c r="FV979" s="1"/>
      <c r="FX979" s="1"/>
      <c r="FY979" s="1"/>
      <c r="FZ979" s="1"/>
      <c r="GA979" s="1"/>
      <c r="GD979" s="1"/>
      <c r="GE979" s="1"/>
      <c r="GF979" s="1"/>
      <c r="GG979" s="1"/>
      <c r="GH979" s="1"/>
      <c r="GI979" s="1"/>
      <c r="GJ979" s="1"/>
      <c r="GK979" s="1"/>
      <c r="GL979" s="1"/>
      <c r="GM979" s="1"/>
      <c r="GN979" s="1"/>
      <c r="GO979" s="1"/>
      <c r="GP979" s="1"/>
      <c r="GR979" s="1"/>
      <c r="GY979" s="1"/>
      <c r="HF979" s="1"/>
      <c r="HH979" s="1"/>
      <c r="HN979" s="1"/>
      <c r="HQ979" s="1"/>
      <c r="HY979" s="1"/>
      <c r="ID979" s="1"/>
      <c r="IE979" s="1"/>
      <c r="IG979" s="1"/>
      <c r="IR979" s="1"/>
      <c r="IS979" s="1"/>
      <c r="IW979" s="1"/>
      <c r="IY979" s="1"/>
      <c r="IZ979" s="1"/>
      <c r="JA979" s="1"/>
      <c r="JC979" s="1"/>
      <c r="JF979" s="1"/>
      <c r="JG979" s="1"/>
      <c r="JH979" s="1"/>
      <c r="JJ979" s="1"/>
      <c r="JK979" s="1"/>
      <c r="JL979" s="3"/>
      <c r="JM979" s="1"/>
      <c r="JN979" s="1"/>
      <c r="JP979" s="1"/>
      <c r="JQ979" s="1"/>
      <c r="JR979" s="1"/>
      <c r="JT979" s="1"/>
      <c r="KV979" s="1"/>
      <c r="KY979" s="1"/>
      <c r="KZ979" s="1"/>
      <c r="LA979" s="1"/>
      <c r="LB979" s="1"/>
      <c r="LC979" s="1"/>
      <c r="LD979" s="1"/>
      <c r="LF979" s="1"/>
      <c r="LN979" s="1"/>
      <c r="LO979" s="1"/>
      <c r="LP979" s="1"/>
      <c r="LZ979" s="1"/>
      <c r="MA979" s="1"/>
    </row>
    <row r="980" spans="4:339" ht="13" x14ac:dyDescent="0.15">
      <c r="D980" s="12"/>
      <c r="E980" s="12"/>
      <c r="I980" s="12"/>
      <c r="J980" s="13"/>
      <c r="BF980" s="1"/>
      <c r="BG980" s="1"/>
      <c r="BH980" s="1"/>
      <c r="BI980" s="1"/>
      <c r="BK980" s="1"/>
      <c r="BL980" s="1"/>
      <c r="BM980" s="1"/>
      <c r="BN980" s="1"/>
      <c r="BO980" s="1"/>
      <c r="BP980" s="1"/>
      <c r="BQ980" s="1"/>
      <c r="BR980" s="1"/>
      <c r="CD980" s="1"/>
      <c r="CE980" s="1"/>
      <c r="CF980" s="1"/>
      <c r="CG980" s="1"/>
      <c r="CH980" s="1"/>
      <c r="CI980" s="1"/>
      <c r="CM980" s="2"/>
      <c r="CN980" s="1"/>
      <c r="CO980" s="1"/>
      <c r="CP980" s="1"/>
      <c r="CQ980" s="1"/>
      <c r="CR980" s="1"/>
      <c r="CS980" s="1"/>
      <c r="CT980" s="1"/>
      <c r="CU980" s="1"/>
      <c r="CV980" s="1"/>
      <c r="CW980" s="1"/>
      <c r="CX980" s="1"/>
      <c r="CY980" s="1"/>
      <c r="CZ980" s="1"/>
      <c r="DA980" s="1"/>
      <c r="DB980" s="1"/>
      <c r="DC980" s="1"/>
      <c r="DD980" s="1"/>
      <c r="DE980" s="1"/>
      <c r="DF980" s="1"/>
      <c r="DG980" s="1"/>
      <c r="DH980" s="1"/>
      <c r="DI980" s="1"/>
      <c r="DJ980" s="1"/>
      <c r="DK980" s="1"/>
      <c r="ED980" s="1"/>
      <c r="EK980" s="1"/>
      <c r="EL980" s="1"/>
      <c r="EM980" s="1"/>
      <c r="EN980" s="1"/>
      <c r="EQ980" s="1"/>
      <c r="ER980" s="1"/>
      <c r="ES980" s="1"/>
      <c r="EV980" s="1"/>
      <c r="EW980" s="1"/>
      <c r="EZ980" s="1"/>
      <c r="FA980" s="1"/>
      <c r="FD980" s="1"/>
      <c r="FG980" s="1"/>
      <c r="FH980" s="1"/>
      <c r="FI980" s="1"/>
      <c r="FJ980" s="1"/>
      <c r="FM980" s="1"/>
      <c r="FN980" s="1"/>
      <c r="FO980" s="1"/>
      <c r="FP980" s="1"/>
      <c r="FQ980" s="1"/>
      <c r="FR980" s="1"/>
      <c r="FS980" s="1"/>
      <c r="FT980" s="1"/>
      <c r="FU980" s="1"/>
      <c r="FV980" s="1"/>
      <c r="FX980" s="1"/>
      <c r="FY980" s="1"/>
      <c r="FZ980" s="1"/>
      <c r="GA980" s="1"/>
      <c r="GD980" s="1"/>
      <c r="GE980" s="1"/>
      <c r="GF980" s="1"/>
      <c r="GG980" s="1"/>
      <c r="GH980" s="1"/>
      <c r="GI980" s="1"/>
      <c r="GJ980" s="1"/>
      <c r="GK980" s="1"/>
      <c r="GL980" s="1"/>
      <c r="GM980" s="1"/>
      <c r="GN980" s="1"/>
      <c r="GO980" s="1"/>
      <c r="GP980" s="1"/>
      <c r="GR980" s="1"/>
      <c r="GY980" s="1"/>
      <c r="HF980" s="1"/>
      <c r="HH980" s="1"/>
      <c r="HN980" s="1"/>
      <c r="HQ980" s="1"/>
      <c r="HY980" s="1"/>
      <c r="ID980" s="1"/>
      <c r="IE980" s="1"/>
      <c r="IG980" s="1"/>
      <c r="IR980" s="1"/>
      <c r="IS980" s="1"/>
      <c r="IW980" s="1"/>
      <c r="IY980" s="1"/>
      <c r="IZ980" s="1"/>
      <c r="JA980" s="1"/>
      <c r="JC980" s="1"/>
      <c r="JF980" s="1"/>
      <c r="JG980" s="1"/>
      <c r="JH980" s="1"/>
      <c r="JJ980" s="1"/>
      <c r="JK980" s="1"/>
      <c r="JL980" s="3"/>
      <c r="JM980" s="1"/>
      <c r="JN980" s="1"/>
      <c r="JP980" s="1"/>
      <c r="JQ980" s="1"/>
      <c r="JR980" s="1"/>
      <c r="JT980" s="1"/>
      <c r="KV980" s="1"/>
      <c r="KY980" s="1"/>
      <c r="KZ980" s="1"/>
      <c r="LA980" s="1"/>
      <c r="LB980" s="1"/>
      <c r="LC980" s="1"/>
      <c r="LD980" s="1"/>
      <c r="LF980" s="1"/>
      <c r="LN980" s="1"/>
      <c r="LO980" s="1"/>
      <c r="LP980" s="1"/>
      <c r="LZ980" s="1"/>
      <c r="MA980" s="1"/>
    </row>
    <row r="981" spans="4:339" ht="13" x14ac:dyDescent="0.15">
      <c r="D981" s="12"/>
      <c r="E981" s="12"/>
      <c r="I981" s="12"/>
      <c r="J981" s="13"/>
      <c r="BF981" s="1"/>
      <c r="BG981" s="1"/>
      <c r="BH981" s="1"/>
      <c r="BI981" s="1"/>
      <c r="BK981" s="1"/>
      <c r="BL981" s="1"/>
      <c r="BM981" s="1"/>
      <c r="BN981" s="1"/>
      <c r="BO981" s="1"/>
      <c r="BP981" s="1"/>
      <c r="BQ981" s="1"/>
      <c r="BR981" s="1"/>
      <c r="BX981" s="1"/>
      <c r="CD981" s="1"/>
      <c r="CE981" s="1"/>
      <c r="CF981" s="1"/>
      <c r="CG981" s="1"/>
      <c r="CH981" s="1"/>
      <c r="CI981" s="1"/>
      <c r="CM981" s="2"/>
      <c r="CN981" s="1"/>
      <c r="CO981" s="1"/>
      <c r="CP981" s="1"/>
      <c r="CQ981" s="1"/>
      <c r="CR981" s="1"/>
      <c r="CS981" s="1"/>
      <c r="CT981" s="1"/>
      <c r="CU981" s="1"/>
      <c r="CV981" s="1"/>
      <c r="CW981" s="1"/>
      <c r="CX981" s="1"/>
      <c r="CY981" s="1"/>
      <c r="CZ981" s="1"/>
      <c r="DA981" s="1"/>
      <c r="DB981" s="1"/>
      <c r="DC981" s="1"/>
      <c r="DD981" s="1"/>
      <c r="DE981" s="1"/>
      <c r="DF981" s="1"/>
      <c r="DG981" s="1"/>
      <c r="DH981" s="1"/>
      <c r="DI981" s="1"/>
      <c r="DJ981" s="1"/>
      <c r="DK981" s="1"/>
      <c r="DM981" s="1"/>
      <c r="DQ981" s="1"/>
      <c r="DR981" s="1"/>
      <c r="DY981" s="1"/>
      <c r="DZ981" s="1"/>
      <c r="ED981" s="1"/>
      <c r="EK981" s="1"/>
      <c r="EL981" s="1"/>
      <c r="EM981" s="1"/>
      <c r="EN981" s="1"/>
      <c r="EQ981" s="1"/>
      <c r="ER981" s="1"/>
      <c r="ES981" s="1"/>
      <c r="EV981" s="1"/>
      <c r="EW981" s="1"/>
      <c r="EZ981" s="1"/>
      <c r="FA981" s="1"/>
      <c r="FD981" s="1"/>
      <c r="FG981" s="1"/>
      <c r="FH981" s="1"/>
      <c r="FI981" s="1"/>
      <c r="FJ981" s="1"/>
      <c r="FL981" s="1"/>
      <c r="FM981" s="1"/>
      <c r="FN981" s="1"/>
      <c r="FO981" s="1"/>
      <c r="FP981" s="1"/>
      <c r="FQ981" s="1"/>
      <c r="FR981" s="1"/>
      <c r="FS981" s="1"/>
      <c r="FT981" s="1"/>
      <c r="FU981" s="1"/>
      <c r="FV981" s="1"/>
      <c r="FW981" s="1"/>
      <c r="FX981" s="1"/>
      <c r="FY981" s="1"/>
      <c r="FZ981" s="1"/>
      <c r="GA981" s="1"/>
      <c r="GD981" s="1"/>
      <c r="GE981" s="1"/>
      <c r="GF981" s="1"/>
      <c r="GG981" s="1"/>
      <c r="GH981" s="1"/>
      <c r="GI981" s="1"/>
      <c r="GJ981" s="1"/>
      <c r="GK981" s="1"/>
      <c r="GL981" s="1"/>
      <c r="GM981" s="1"/>
      <c r="GN981" s="1"/>
      <c r="GO981" s="1"/>
      <c r="GP981" s="1"/>
      <c r="GR981" s="1"/>
      <c r="GY981" s="1"/>
      <c r="HF981" s="1"/>
      <c r="HH981" s="1"/>
      <c r="HN981" s="1"/>
      <c r="HT981" s="1"/>
      <c r="HY981" s="1"/>
      <c r="IC981" s="1"/>
      <c r="ID981" s="1"/>
      <c r="IE981" s="1"/>
      <c r="IG981" s="1"/>
      <c r="IR981" s="1"/>
      <c r="IS981" s="1"/>
      <c r="IW981" s="1"/>
      <c r="IY981" s="1"/>
      <c r="IZ981" s="1"/>
      <c r="JC981" s="1"/>
      <c r="JF981" s="1"/>
      <c r="JG981" s="1"/>
      <c r="JH981" s="1"/>
      <c r="JI981" s="1"/>
      <c r="JJ981" s="1"/>
      <c r="JK981" s="1"/>
      <c r="JL981" s="3"/>
      <c r="JM981" s="1"/>
      <c r="JN981" s="1"/>
      <c r="JP981" s="1"/>
      <c r="JQ981" s="1"/>
      <c r="JR981" s="1"/>
      <c r="JT981" s="1"/>
      <c r="KU981" s="1"/>
      <c r="KW981" s="1"/>
      <c r="KY981" s="1"/>
      <c r="KZ981" s="1"/>
      <c r="LA981" s="1"/>
      <c r="LB981" s="1"/>
      <c r="LC981" s="1"/>
      <c r="LD981" s="1"/>
      <c r="LF981" s="1"/>
      <c r="LN981" s="1"/>
      <c r="LO981" s="1"/>
      <c r="LP981" s="1"/>
      <c r="LZ981" s="1"/>
      <c r="MA981" s="1"/>
    </row>
    <row r="982" spans="4:339" ht="13" x14ac:dyDescent="0.15">
      <c r="D982" s="12"/>
      <c r="E982" s="12"/>
      <c r="I982" s="12"/>
      <c r="J982" s="13"/>
      <c r="BF982" s="1"/>
      <c r="BG982" s="1"/>
      <c r="BH982" s="1"/>
      <c r="BI982" s="1"/>
      <c r="BK982" s="1"/>
      <c r="BL982" s="1"/>
      <c r="BM982" s="1"/>
      <c r="BN982" s="1"/>
      <c r="BO982" s="1"/>
      <c r="BP982" s="1"/>
      <c r="BQ982" s="1"/>
      <c r="BR982" s="1"/>
      <c r="BX982" s="1"/>
      <c r="CD982" s="1"/>
      <c r="CE982" s="1"/>
      <c r="CF982" s="1"/>
      <c r="CG982" s="1"/>
      <c r="CH982" s="1"/>
      <c r="CI982" s="1"/>
      <c r="CM982" s="2"/>
      <c r="CN982" s="1"/>
      <c r="CO982" s="1"/>
      <c r="CP982" s="1"/>
      <c r="CQ982" s="1"/>
      <c r="CR982" s="1"/>
      <c r="CS982" s="1"/>
      <c r="CT982" s="1"/>
      <c r="CU982" s="1"/>
      <c r="CV982" s="1"/>
      <c r="CW982" s="1"/>
      <c r="CX982" s="1"/>
      <c r="CY982" s="1"/>
      <c r="CZ982" s="1"/>
      <c r="DA982" s="1"/>
      <c r="DB982" s="1"/>
      <c r="DC982" s="1"/>
      <c r="DD982" s="1"/>
      <c r="DE982" s="1"/>
      <c r="DF982" s="1"/>
      <c r="DG982" s="1"/>
      <c r="DH982" s="1"/>
      <c r="DI982" s="1"/>
      <c r="DJ982" s="1"/>
      <c r="DK982" s="1"/>
      <c r="DM982" s="1"/>
      <c r="DQ982" s="1"/>
      <c r="DR982" s="1"/>
      <c r="DY982" s="1"/>
      <c r="DZ982" s="1"/>
      <c r="ED982" s="1"/>
      <c r="EK982" s="1"/>
      <c r="EL982" s="1"/>
      <c r="EM982" s="1"/>
      <c r="EN982" s="1"/>
      <c r="EQ982" s="1"/>
      <c r="ER982" s="1"/>
      <c r="ES982" s="1"/>
      <c r="EV982" s="1"/>
      <c r="EW982" s="1"/>
      <c r="EZ982" s="1"/>
      <c r="FA982" s="1"/>
      <c r="FD982" s="1"/>
      <c r="FG982" s="1"/>
      <c r="FH982" s="1"/>
      <c r="FI982" s="1"/>
      <c r="FJ982" s="1"/>
      <c r="FL982" s="1"/>
      <c r="FM982" s="1"/>
      <c r="FN982" s="1"/>
      <c r="FO982" s="1"/>
      <c r="FP982" s="1"/>
      <c r="FQ982" s="1"/>
      <c r="FR982" s="1"/>
      <c r="FS982" s="1"/>
      <c r="FT982" s="1"/>
      <c r="FU982" s="1"/>
      <c r="FV982" s="1"/>
      <c r="FW982" s="1"/>
      <c r="FX982" s="1"/>
      <c r="FY982" s="1"/>
      <c r="FZ982" s="1"/>
      <c r="GA982" s="1"/>
      <c r="GD982" s="1"/>
      <c r="GE982" s="1"/>
      <c r="GF982" s="1"/>
      <c r="GG982" s="1"/>
      <c r="GH982" s="1"/>
      <c r="GI982" s="1"/>
      <c r="GJ982" s="1"/>
      <c r="GK982" s="1"/>
      <c r="GL982" s="1"/>
      <c r="GM982" s="1"/>
      <c r="GN982" s="1"/>
      <c r="GO982" s="1"/>
      <c r="GP982" s="1"/>
      <c r="GR982" s="1"/>
      <c r="GY982" s="1"/>
      <c r="HF982" s="1"/>
      <c r="HH982" s="1"/>
      <c r="HN982" s="1"/>
      <c r="HT982" s="1"/>
      <c r="HY982" s="1"/>
      <c r="IC982" s="1"/>
      <c r="ID982" s="1"/>
      <c r="IE982" s="1"/>
      <c r="IG982" s="1"/>
      <c r="IR982" s="1"/>
      <c r="IS982" s="1"/>
      <c r="IW982" s="1"/>
      <c r="IY982" s="1"/>
      <c r="IZ982" s="1"/>
      <c r="JC982" s="1"/>
      <c r="JF982" s="1"/>
      <c r="JG982" s="1"/>
      <c r="JH982" s="1"/>
      <c r="JI982" s="1"/>
      <c r="JJ982" s="1"/>
      <c r="JK982" s="1"/>
      <c r="JL982" s="3"/>
      <c r="JM982" s="1"/>
      <c r="JN982" s="1"/>
      <c r="JP982" s="1"/>
      <c r="JQ982" s="1"/>
      <c r="JR982" s="1"/>
      <c r="JT982" s="1"/>
      <c r="KU982" s="1"/>
      <c r="KW982" s="1"/>
      <c r="KY982" s="1"/>
      <c r="KZ982" s="1"/>
      <c r="LA982" s="1"/>
      <c r="LB982" s="1"/>
      <c r="LC982" s="1"/>
      <c r="LD982" s="1"/>
      <c r="LF982" s="1"/>
      <c r="LN982" s="1"/>
      <c r="LO982" s="1"/>
      <c r="LP982" s="1"/>
      <c r="LZ982" s="1"/>
      <c r="MA982" s="1"/>
    </row>
    <row r="983" spans="4:339" ht="13" x14ac:dyDescent="0.15">
      <c r="D983" s="12"/>
      <c r="E983" s="12"/>
      <c r="I983" s="12"/>
      <c r="J983" s="13"/>
      <c r="BF983" s="1"/>
      <c r="BG983" s="1"/>
      <c r="BH983" s="1"/>
      <c r="BI983" s="1"/>
      <c r="BK983" s="1"/>
      <c r="BL983" s="1"/>
      <c r="BM983" s="1"/>
      <c r="BN983" s="1"/>
      <c r="BO983" s="1"/>
      <c r="BP983" s="1"/>
      <c r="BQ983" s="1"/>
      <c r="BR983" s="1"/>
      <c r="BX983" s="1"/>
      <c r="CD983" s="1"/>
      <c r="CE983" s="1"/>
      <c r="CF983" s="1"/>
      <c r="CG983" s="1"/>
      <c r="CH983" s="1"/>
      <c r="CI983" s="1"/>
      <c r="CM983" s="2"/>
      <c r="CN983" s="1"/>
      <c r="CO983" s="1"/>
      <c r="CP983" s="1"/>
      <c r="CQ983" s="1"/>
      <c r="CR983" s="1"/>
      <c r="CS983" s="1"/>
      <c r="CT983" s="1"/>
      <c r="CU983" s="1"/>
      <c r="CV983" s="1"/>
      <c r="CW983" s="1"/>
      <c r="CX983" s="1"/>
      <c r="CY983" s="1"/>
      <c r="CZ983" s="1"/>
      <c r="DA983" s="1"/>
      <c r="DB983" s="1"/>
      <c r="DC983" s="1"/>
      <c r="DD983" s="1"/>
      <c r="DE983" s="1"/>
      <c r="DF983" s="1"/>
      <c r="DG983" s="1"/>
      <c r="DH983" s="1"/>
      <c r="DI983" s="1"/>
      <c r="DJ983" s="1"/>
      <c r="DK983" s="1"/>
      <c r="DM983" s="1"/>
      <c r="DQ983" s="1"/>
      <c r="DR983" s="1"/>
      <c r="DY983" s="1"/>
      <c r="DZ983" s="1"/>
      <c r="ED983" s="1"/>
      <c r="EK983" s="1"/>
      <c r="EL983" s="1"/>
      <c r="EM983" s="1"/>
      <c r="EN983" s="1"/>
      <c r="EQ983" s="1"/>
      <c r="ER983" s="1"/>
      <c r="ES983" s="1"/>
      <c r="EV983" s="1"/>
      <c r="EW983" s="1"/>
      <c r="EZ983" s="1"/>
      <c r="FA983" s="1"/>
      <c r="FD983" s="1"/>
      <c r="FG983" s="1"/>
      <c r="FH983" s="1"/>
      <c r="FI983" s="1"/>
      <c r="FJ983" s="1"/>
      <c r="FL983" s="1"/>
      <c r="FM983" s="1"/>
      <c r="FN983" s="1"/>
      <c r="FO983" s="1"/>
      <c r="FP983" s="1"/>
      <c r="FQ983" s="1"/>
      <c r="FR983" s="1"/>
      <c r="FS983" s="1"/>
      <c r="FT983" s="1"/>
      <c r="FU983" s="1"/>
      <c r="FV983" s="1"/>
      <c r="FW983" s="1"/>
      <c r="FX983" s="1"/>
      <c r="FY983" s="1"/>
      <c r="FZ983" s="1"/>
      <c r="GA983" s="1"/>
      <c r="GD983" s="1"/>
      <c r="GE983" s="1"/>
      <c r="GF983" s="1"/>
      <c r="GG983" s="1"/>
      <c r="GH983" s="1"/>
      <c r="GI983" s="1"/>
      <c r="GJ983" s="1"/>
      <c r="GK983" s="1"/>
      <c r="GL983" s="1"/>
      <c r="GM983" s="1"/>
      <c r="GN983" s="1"/>
      <c r="GO983" s="1"/>
      <c r="GP983" s="1"/>
      <c r="GR983" s="1"/>
      <c r="GY983" s="1"/>
      <c r="HF983" s="1"/>
      <c r="HH983" s="1"/>
      <c r="HN983" s="1"/>
      <c r="HT983" s="1"/>
      <c r="HY983" s="1"/>
      <c r="IC983" s="1"/>
      <c r="ID983" s="1"/>
      <c r="IE983" s="1"/>
      <c r="IG983" s="1"/>
      <c r="IR983" s="1"/>
      <c r="IS983" s="1"/>
      <c r="IW983" s="1"/>
      <c r="IY983" s="1"/>
      <c r="IZ983" s="1"/>
      <c r="JC983" s="1"/>
      <c r="JF983" s="1"/>
      <c r="JG983" s="1"/>
      <c r="JH983" s="1"/>
      <c r="JI983" s="1"/>
      <c r="JJ983" s="1"/>
      <c r="JK983" s="1"/>
      <c r="JL983" s="3"/>
      <c r="JM983" s="1"/>
      <c r="JN983" s="1"/>
      <c r="JP983" s="1"/>
      <c r="JQ983" s="1"/>
      <c r="JR983" s="1"/>
      <c r="JT983" s="1"/>
      <c r="KU983" s="1"/>
      <c r="KW983" s="1"/>
      <c r="KY983" s="1"/>
      <c r="KZ983" s="1"/>
      <c r="LA983" s="1"/>
      <c r="LB983" s="1"/>
      <c r="LC983" s="1"/>
      <c r="LD983" s="1"/>
      <c r="LF983" s="1"/>
      <c r="LN983" s="1"/>
      <c r="LO983" s="1"/>
      <c r="LP983" s="1"/>
      <c r="LZ983" s="1"/>
      <c r="MA983" s="1"/>
    </row>
    <row r="984" spans="4:339" ht="13" x14ac:dyDescent="0.15">
      <c r="D984" s="12"/>
      <c r="E984" s="12"/>
      <c r="I984" s="12"/>
      <c r="J984" s="13"/>
      <c r="BF984" s="1"/>
      <c r="BG984" s="1"/>
      <c r="BH984" s="1"/>
      <c r="BI984" s="1"/>
      <c r="BK984" s="1"/>
      <c r="BL984" s="1"/>
      <c r="BM984" s="1"/>
      <c r="BN984" s="1"/>
      <c r="BO984" s="1"/>
      <c r="BP984" s="1"/>
      <c r="BQ984" s="1"/>
      <c r="BR984" s="1"/>
      <c r="BX984" s="1"/>
      <c r="CD984" s="1"/>
      <c r="CE984" s="1"/>
      <c r="CF984" s="1"/>
      <c r="CG984" s="1"/>
      <c r="CH984" s="1"/>
      <c r="CI984" s="1"/>
      <c r="CM984" s="2"/>
      <c r="CN984" s="1"/>
      <c r="CO984" s="1"/>
      <c r="CP984" s="1"/>
      <c r="CQ984" s="1"/>
      <c r="CR984" s="1"/>
      <c r="CS984" s="1"/>
      <c r="CT984" s="1"/>
      <c r="CU984" s="1"/>
      <c r="CV984" s="1"/>
      <c r="CW984" s="1"/>
      <c r="CX984" s="1"/>
      <c r="CY984" s="1"/>
      <c r="CZ984" s="1"/>
      <c r="DA984" s="1"/>
      <c r="DB984" s="1"/>
      <c r="DC984" s="1"/>
      <c r="DD984" s="1"/>
      <c r="DE984" s="1"/>
      <c r="DF984" s="1"/>
      <c r="DG984" s="1"/>
      <c r="DH984" s="1"/>
      <c r="DI984" s="1"/>
      <c r="DJ984" s="1"/>
      <c r="DK984" s="1"/>
      <c r="DM984" s="1"/>
      <c r="DQ984" s="1"/>
      <c r="DR984" s="1"/>
      <c r="DY984" s="1"/>
      <c r="DZ984" s="1"/>
      <c r="ED984" s="1"/>
      <c r="EK984" s="1"/>
      <c r="EL984" s="1"/>
      <c r="EM984" s="1"/>
      <c r="EN984" s="1"/>
      <c r="EQ984" s="1"/>
      <c r="ER984" s="1"/>
      <c r="ES984" s="1"/>
      <c r="EV984" s="1"/>
      <c r="EW984" s="1"/>
      <c r="EZ984" s="1"/>
      <c r="FA984" s="1"/>
      <c r="FD984" s="1"/>
      <c r="FG984" s="1"/>
      <c r="FH984" s="1"/>
      <c r="FI984" s="1"/>
      <c r="FJ984" s="1"/>
      <c r="FL984" s="1"/>
      <c r="FM984" s="1"/>
      <c r="FN984" s="1"/>
      <c r="FO984" s="1"/>
      <c r="FP984" s="1"/>
      <c r="FQ984" s="1"/>
      <c r="FR984" s="1"/>
      <c r="FS984" s="1"/>
      <c r="FT984" s="1"/>
      <c r="FU984" s="1"/>
      <c r="FV984" s="1"/>
      <c r="FW984" s="1"/>
      <c r="FX984" s="1"/>
      <c r="FY984" s="1"/>
      <c r="FZ984" s="1"/>
      <c r="GA984" s="1"/>
      <c r="GD984" s="1"/>
      <c r="GE984" s="1"/>
      <c r="GF984" s="1"/>
      <c r="GG984" s="1"/>
      <c r="GH984" s="1"/>
      <c r="GI984" s="1"/>
      <c r="GJ984" s="1"/>
      <c r="GK984" s="1"/>
      <c r="GL984" s="1"/>
      <c r="GM984" s="1"/>
      <c r="GN984" s="1"/>
      <c r="GO984" s="1"/>
      <c r="GP984" s="1"/>
      <c r="GR984" s="1"/>
      <c r="GY984" s="1"/>
      <c r="HF984" s="1"/>
      <c r="HH984" s="1"/>
      <c r="HN984" s="1"/>
      <c r="HT984" s="1"/>
      <c r="HY984" s="1"/>
      <c r="IC984" s="1"/>
      <c r="ID984" s="1"/>
      <c r="IE984" s="1"/>
      <c r="IG984" s="1"/>
      <c r="IR984" s="1"/>
      <c r="IS984" s="1"/>
      <c r="IW984" s="1"/>
      <c r="IY984" s="1"/>
      <c r="IZ984" s="1"/>
      <c r="JC984" s="1"/>
      <c r="JF984" s="1"/>
      <c r="JG984" s="1"/>
      <c r="JH984" s="1"/>
      <c r="JI984" s="1"/>
      <c r="JJ984" s="1"/>
      <c r="JK984" s="1"/>
      <c r="JL984" s="3"/>
      <c r="JM984" s="1"/>
      <c r="JN984" s="1"/>
      <c r="JP984" s="1"/>
      <c r="JQ984" s="1"/>
      <c r="JR984" s="1"/>
      <c r="JT984" s="1"/>
      <c r="KU984" s="1"/>
      <c r="KW984" s="1"/>
      <c r="KY984" s="1"/>
      <c r="KZ984" s="1"/>
      <c r="LA984" s="1"/>
      <c r="LB984" s="1"/>
      <c r="LC984" s="1"/>
      <c r="LD984" s="1"/>
      <c r="LF984" s="1"/>
      <c r="LN984" s="1"/>
      <c r="LO984" s="1"/>
      <c r="LP984" s="1"/>
      <c r="LZ984" s="1"/>
      <c r="MA984" s="1"/>
    </row>
    <row r="985" spans="4:339" ht="13" x14ac:dyDescent="0.15">
      <c r="D985" s="12"/>
      <c r="E985" s="12"/>
      <c r="I985" s="12"/>
      <c r="J985" s="13"/>
      <c r="BF985" s="1"/>
      <c r="BG985" s="1"/>
      <c r="BH985" s="1"/>
      <c r="BI985" s="1"/>
      <c r="BK985" s="1"/>
      <c r="BL985" s="1"/>
      <c r="BM985" s="1"/>
      <c r="BN985" s="1"/>
      <c r="BO985" s="1"/>
      <c r="BP985" s="1"/>
      <c r="BQ985" s="1"/>
      <c r="BR985" s="1"/>
      <c r="BX985" s="1"/>
      <c r="CD985" s="1"/>
      <c r="CE985" s="1"/>
      <c r="CF985" s="1"/>
      <c r="CG985" s="1"/>
      <c r="CH985" s="1"/>
      <c r="CI985" s="1"/>
      <c r="CM985" s="2"/>
      <c r="CN985" s="1"/>
      <c r="CO985" s="1"/>
      <c r="CP985" s="1"/>
      <c r="CQ985" s="1"/>
      <c r="CR985" s="1"/>
      <c r="CS985" s="1"/>
      <c r="CT985" s="1"/>
      <c r="CU985" s="1"/>
      <c r="CV985" s="1"/>
      <c r="CW985" s="1"/>
      <c r="CX985" s="1"/>
      <c r="CY985" s="1"/>
      <c r="CZ985" s="1"/>
      <c r="DA985" s="1"/>
      <c r="DB985" s="1"/>
      <c r="DC985" s="1"/>
      <c r="DD985" s="1"/>
      <c r="DE985" s="1"/>
      <c r="DF985" s="1"/>
      <c r="DG985" s="1"/>
      <c r="DH985" s="1"/>
      <c r="DI985" s="1"/>
      <c r="DJ985" s="1"/>
      <c r="DK985" s="1"/>
      <c r="DM985" s="1"/>
      <c r="DQ985" s="1"/>
      <c r="DR985" s="1"/>
      <c r="DY985" s="1"/>
      <c r="DZ985" s="1"/>
      <c r="ED985" s="1"/>
      <c r="EK985" s="1"/>
      <c r="EL985" s="1"/>
      <c r="EM985" s="1"/>
      <c r="EN985" s="1"/>
      <c r="EQ985" s="1"/>
      <c r="ER985" s="1"/>
      <c r="ES985" s="1"/>
      <c r="EV985" s="1"/>
      <c r="EW985" s="1"/>
      <c r="EZ985" s="1"/>
      <c r="FA985" s="1"/>
      <c r="FD985" s="1"/>
      <c r="FG985" s="1"/>
      <c r="FH985" s="1"/>
      <c r="FI985" s="1"/>
      <c r="FJ985" s="1"/>
      <c r="FL985" s="1"/>
      <c r="FM985" s="1"/>
      <c r="FN985" s="1"/>
      <c r="FO985" s="1"/>
      <c r="FP985" s="1"/>
      <c r="FQ985" s="1"/>
      <c r="FR985" s="1"/>
      <c r="FS985" s="1"/>
      <c r="FT985" s="1"/>
      <c r="FU985" s="1"/>
      <c r="FV985" s="1"/>
      <c r="FW985" s="1"/>
      <c r="FX985" s="1"/>
      <c r="FY985" s="1"/>
      <c r="FZ985" s="1"/>
      <c r="GA985" s="1"/>
      <c r="GD985" s="1"/>
      <c r="GE985" s="1"/>
      <c r="GF985" s="1"/>
      <c r="GG985" s="1"/>
      <c r="GH985" s="1"/>
      <c r="GI985" s="1"/>
      <c r="GJ985" s="1"/>
      <c r="GK985" s="1"/>
      <c r="GL985" s="1"/>
      <c r="GM985" s="1"/>
      <c r="GN985" s="1"/>
      <c r="GO985" s="1"/>
      <c r="GP985" s="1"/>
      <c r="GR985" s="1"/>
      <c r="GY985" s="1"/>
      <c r="HF985" s="1"/>
      <c r="HH985" s="1"/>
      <c r="HN985" s="1"/>
      <c r="HT985" s="1"/>
      <c r="HY985" s="1"/>
      <c r="IC985" s="1"/>
      <c r="ID985" s="1"/>
      <c r="IE985" s="1"/>
      <c r="IG985" s="1"/>
      <c r="IR985" s="1"/>
      <c r="IS985" s="1"/>
      <c r="IW985" s="1"/>
      <c r="IY985" s="1"/>
      <c r="IZ985" s="1"/>
      <c r="JC985" s="1"/>
      <c r="JF985" s="1"/>
      <c r="JG985" s="1"/>
      <c r="JH985" s="1"/>
      <c r="JI985" s="1"/>
      <c r="JJ985" s="1"/>
      <c r="JK985" s="1"/>
      <c r="JL985" s="3"/>
      <c r="JM985" s="1"/>
      <c r="JN985" s="1"/>
      <c r="JP985" s="1"/>
      <c r="JQ985" s="1"/>
      <c r="JR985" s="1"/>
      <c r="JT985" s="1"/>
      <c r="KU985" s="1"/>
      <c r="KW985" s="1"/>
      <c r="KY985" s="1"/>
      <c r="KZ985" s="1"/>
      <c r="LA985" s="1"/>
      <c r="LB985" s="1"/>
      <c r="LC985" s="1"/>
      <c r="LD985" s="1"/>
      <c r="LF985" s="1"/>
      <c r="LN985" s="1"/>
      <c r="LO985" s="1"/>
      <c r="LP985" s="1"/>
      <c r="LZ985" s="1"/>
      <c r="MA985" s="1"/>
    </row>
    <row r="986" spans="4:339" ht="13" x14ac:dyDescent="0.15">
      <c r="D986" s="12"/>
      <c r="E986" s="12"/>
      <c r="I986" s="12"/>
      <c r="J986" s="13"/>
      <c r="BF986" s="1"/>
      <c r="BG986" s="1"/>
      <c r="BH986" s="1"/>
      <c r="BI986" s="1"/>
      <c r="BK986" s="1"/>
      <c r="BL986" s="1"/>
      <c r="BM986" s="1"/>
      <c r="BN986" s="1"/>
      <c r="BO986" s="1"/>
      <c r="BP986" s="1"/>
      <c r="BQ986" s="1"/>
      <c r="BR986" s="1"/>
      <c r="BX986" s="1"/>
      <c r="CD986" s="1"/>
      <c r="CE986" s="1"/>
      <c r="CF986" s="1"/>
      <c r="CG986" s="1"/>
      <c r="CH986" s="1"/>
      <c r="CI986" s="1"/>
      <c r="CM986" s="2"/>
      <c r="CN986" s="1"/>
      <c r="CO986" s="1"/>
      <c r="CP986" s="1"/>
      <c r="CQ986" s="1"/>
      <c r="CR986" s="1"/>
      <c r="CS986" s="1"/>
      <c r="CT986" s="1"/>
      <c r="CU986" s="1"/>
      <c r="CV986" s="1"/>
      <c r="CW986" s="1"/>
      <c r="CX986" s="1"/>
      <c r="CY986" s="1"/>
      <c r="CZ986" s="1"/>
      <c r="DA986" s="1"/>
      <c r="DB986" s="1"/>
      <c r="DC986" s="1"/>
      <c r="DD986" s="1"/>
      <c r="DE986" s="1"/>
      <c r="DF986" s="1"/>
      <c r="DG986" s="1"/>
      <c r="DH986" s="1"/>
      <c r="DI986" s="1"/>
      <c r="DJ986" s="1"/>
      <c r="DK986" s="1"/>
      <c r="DM986" s="1"/>
      <c r="DQ986" s="1"/>
      <c r="DR986" s="1"/>
      <c r="DY986" s="1"/>
      <c r="DZ986" s="1"/>
      <c r="ED986" s="1"/>
      <c r="EK986" s="1"/>
      <c r="EL986" s="1"/>
      <c r="EM986" s="1"/>
      <c r="EN986" s="1"/>
      <c r="EQ986" s="1"/>
      <c r="ER986" s="1"/>
      <c r="ES986" s="1"/>
      <c r="EV986" s="1"/>
      <c r="EW986" s="1"/>
      <c r="EZ986" s="1"/>
      <c r="FA986" s="1"/>
      <c r="FD986" s="1"/>
      <c r="FG986" s="1"/>
      <c r="FH986" s="1"/>
      <c r="FI986" s="1"/>
      <c r="FJ986" s="1"/>
      <c r="FL986" s="1"/>
      <c r="FM986" s="1"/>
      <c r="FN986" s="1"/>
      <c r="FO986" s="1"/>
      <c r="FP986" s="1"/>
      <c r="FQ986" s="1"/>
      <c r="FR986" s="1"/>
      <c r="FS986" s="1"/>
      <c r="FT986" s="1"/>
      <c r="FU986" s="1"/>
      <c r="FV986" s="1"/>
      <c r="FW986" s="1"/>
      <c r="FX986" s="1"/>
      <c r="FY986" s="1"/>
      <c r="FZ986" s="1"/>
      <c r="GA986" s="1"/>
      <c r="GD986" s="1"/>
      <c r="GE986" s="1"/>
      <c r="GF986" s="1"/>
      <c r="GG986" s="1"/>
      <c r="GH986" s="1"/>
      <c r="GI986" s="1"/>
      <c r="GJ986" s="1"/>
      <c r="GK986" s="1"/>
      <c r="GL986" s="1"/>
      <c r="GM986" s="1"/>
      <c r="GN986" s="1"/>
      <c r="GO986" s="1"/>
      <c r="GP986" s="1"/>
      <c r="GR986" s="1"/>
      <c r="GY986" s="1"/>
      <c r="HF986" s="1"/>
      <c r="HH986" s="1"/>
      <c r="HN986" s="1"/>
      <c r="HT986" s="1"/>
      <c r="HY986" s="1"/>
      <c r="IC986" s="1"/>
      <c r="ID986" s="1"/>
      <c r="IE986" s="1"/>
      <c r="IG986" s="1"/>
      <c r="IR986" s="1"/>
      <c r="IS986" s="1"/>
      <c r="IW986" s="1"/>
      <c r="IY986" s="1"/>
      <c r="IZ986" s="1"/>
      <c r="JC986" s="1"/>
      <c r="JF986" s="1"/>
      <c r="JG986" s="1"/>
      <c r="JH986" s="1"/>
      <c r="JI986" s="1"/>
      <c r="JJ986" s="1"/>
      <c r="JK986" s="1"/>
      <c r="JL986" s="3"/>
      <c r="JM986" s="1"/>
      <c r="JN986" s="1"/>
      <c r="JP986" s="1"/>
      <c r="JQ986" s="1"/>
      <c r="JR986" s="1"/>
      <c r="JT986" s="1"/>
      <c r="KU986" s="1"/>
      <c r="KW986" s="1"/>
      <c r="KY986" s="1"/>
      <c r="KZ986" s="1"/>
      <c r="LA986" s="1"/>
      <c r="LB986" s="1"/>
      <c r="LC986" s="1"/>
      <c r="LD986" s="1"/>
      <c r="LF986" s="1"/>
      <c r="LN986" s="1"/>
      <c r="LO986" s="1"/>
      <c r="LP986" s="1"/>
      <c r="LZ986" s="1"/>
      <c r="MA986" s="1"/>
    </row>
    <row r="987" spans="4:339" ht="13" x14ac:dyDescent="0.15">
      <c r="D987" s="12"/>
      <c r="E987" s="12"/>
      <c r="I987" s="12"/>
      <c r="J987" s="13"/>
      <c r="BF987" s="1"/>
      <c r="BG987" s="1"/>
      <c r="BH987" s="1"/>
      <c r="BI987" s="1"/>
      <c r="BK987" s="1"/>
      <c r="BL987" s="1"/>
      <c r="BM987" s="1"/>
      <c r="BN987" s="1"/>
      <c r="BO987" s="1"/>
      <c r="BP987" s="1"/>
      <c r="BQ987" s="1"/>
      <c r="BR987" s="1"/>
      <c r="BX987" s="1"/>
      <c r="CD987" s="1"/>
      <c r="CE987" s="1"/>
      <c r="CF987" s="1"/>
      <c r="CG987" s="1"/>
      <c r="CH987" s="1"/>
      <c r="CI987" s="1"/>
      <c r="CM987" s="2"/>
      <c r="CN987" s="1"/>
      <c r="CO987" s="1"/>
      <c r="CP987" s="1"/>
      <c r="CQ987" s="1"/>
      <c r="CR987" s="1"/>
      <c r="CS987" s="1"/>
      <c r="CT987" s="1"/>
      <c r="CU987" s="1"/>
      <c r="CV987" s="1"/>
      <c r="CW987" s="1"/>
      <c r="CX987" s="1"/>
      <c r="CY987" s="1"/>
      <c r="CZ987" s="1"/>
      <c r="DA987" s="1"/>
      <c r="DB987" s="1"/>
      <c r="DC987" s="1"/>
      <c r="DD987" s="1"/>
      <c r="DE987" s="1"/>
      <c r="DF987" s="1"/>
      <c r="DG987" s="1"/>
      <c r="DH987" s="1"/>
      <c r="DI987" s="1"/>
      <c r="DJ987" s="1"/>
      <c r="DK987" s="1"/>
      <c r="DM987" s="1"/>
      <c r="DQ987" s="1"/>
      <c r="DR987" s="1"/>
      <c r="DY987" s="1"/>
      <c r="DZ987" s="1"/>
      <c r="ED987" s="1"/>
      <c r="EE987" s="1"/>
      <c r="EF987" s="1"/>
      <c r="EG987" s="1"/>
      <c r="EH987" s="1"/>
      <c r="EK987" s="1"/>
      <c r="EL987" s="1"/>
      <c r="EM987" s="1"/>
      <c r="EN987" s="1"/>
      <c r="EQ987" s="1"/>
      <c r="ER987" s="1"/>
      <c r="ES987" s="1"/>
      <c r="EV987" s="1"/>
      <c r="EW987" s="1"/>
      <c r="EY987" s="1"/>
      <c r="EZ987" s="1"/>
      <c r="FA987" s="1"/>
      <c r="FD987" s="1"/>
      <c r="FG987" s="1"/>
      <c r="FH987" s="1"/>
      <c r="FI987" s="1"/>
      <c r="FJ987" s="1"/>
      <c r="FK987" s="1"/>
      <c r="FL987" s="1"/>
      <c r="FM987" s="1"/>
      <c r="FN987" s="1"/>
      <c r="FO987" s="1"/>
      <c r="FP987" s="1"/>
      <c r="FQ987" s="1"/>
      <c r="FR987" s="1"/>
      <c r="FS987" s="1"/>
      <c r="FT987" s="1"/>
      <c r="FU987" s="1"/>
      <c r="FV987" s="1"/>
      <c r="FW987" s="1"/>
      <c r="FX987" s="1"/>
      <c r="FY987" s="1"/>
      <c r="FZ987" s="1"/>
      <c r="GA987" s="1"/>
      <c r="GB987" s="1"/>
      <c r="GD987" s="1"/>
      <c r="GE987" s="1"/>
      <c r="GF987" s="1"/>
      <c r="GG987" s="1"/>
      <c r="GH987" s="1"/>
      <c r="GI987" s="1"/>
      <c r="GJ987" s="1"/>
      <c r="GK987" s="1"/>
      <c r="GL987" s="1"/>
      <c r="GM987" s="1"/>
      <c r="GN987" s="1"/>
      <c r="GP987" s="1"/>
      <c r="GR987" s="1"/>
      <c r="GY987" s="1"/>
      <c r="HF987" s="1"/>
      <c r="HH987" s="1"/>
      <c r="HN987" s="1"/>
      <c r="HQ987" s="1"/>
      <c r="HT987" s="1"/>
      <c r="HY987" s="1"/>
      <c r="IC987" s="1"/>
      <c r="ID987" s="1"/>
      <c r="IE987" s="1"/>
      <c r="IF987" s="1"/>
      <c r="IG987" s="1"/>
      <c r="IJ987" s="1"/>
      <c r="IR987" s="1"/>
      <c r="IS987" s="1"/>
      <c r="IZ987" s="1"/>
      <c r="JC987" s="1"/>
      <c r="JF987" s="1"/>
      <c r="JG987" s="1"/>
      <c r="JH987" s="1"/>
      <c r="JJ987" s="1"/>
      <c r="JK987" s="1"/>
      <c r="JL987" s="3"/>
      <c r="JM987" s="1"/>
      <c r="JN987" s="1"/>
      <c r="JP987" s="1"/>
      <c r="JQ987" s="1"/>
      <c r="JR987" s="1"/>
      <c r="JT987" s="1"/>
      <c r="KU987" s="1"/>
      <c r="KV987" s="1"/>
      <c r="KW987" s="1"/>
      <c r="KY987" s="1"/>
      <c r="KZ987" s="1"/>
      <c r="LA987" s="1"/>
      <c r="LB987" s="1"/>
      <c r="LC987" s="1"/>
      <c r="LD987" s="1"/>
      <c r="LG987" s="1"/>
      <c r="LH987" s="5"/>
      <c r="LK987" s="1"/>
      <c r="LL987" s="1"/>
      <c r="LO987" s="1"/>
      <c r="LP987" s="1"/>
      <c r="LZ987" s="1"/>
      <c r="MA987" s="1"/>
    </row>
    <row r="988" spans="4:339" ht="13" x14ac:dyDescent="0.15">
      <c r="D988" s="12"/>
      <c r="E988" s="12"/>
      <c r="I988" s="12"/>
      <c r="J988" s="13"/>
      <c r="BF988" s="1"/>
      <c r="BG988" s="1"/>
      <c r="BH988" s="1"/>
      <c r="BI988" s="1"/>
      <c r="BJ988" s="1"/>
      <c r="BK988" s="1"/>
      <c r="BL988" s="1"/>
      <c r="BM988" s="1"/>
      <c r="BN988" s="1"/>
      <c r="BO988" s="1"/>
      <c r="BQ988" s="1"/>
      <c r="BR988" s="1"/>
      <c r="CD988" s="1"/>
      <c r="CE988" s="1"/>
      <c r="CF988" s="1"/>
      <c r="CH988" s="1"/>
      <c r="CI988" s="1"/>
      <c r="CM988" s="2"/>
      <c r="CN988" s="1"/>
      <c r="CO988" s="1"/>
      <c r="CQ988" s="1"/>
      <c r="CY988" s="1"/>
      <c r="DC988" s="1"/>
      <c r="DH988" s="1"/>
      <c r="DM988" s="1"/>
      <c r="DR988" s="1"/>
      <c r="ED988" s="1"/>
      <c r="EF988" s="1"/>
      <c r="EL988" s="1"/>
      <c r="EM988" s="1"/>
      <c r="EN988" s="1"/>
      <c r="EQ988" s="1"/>
      <c r="ER988" s="1"/>
      <c r="ES988" s="1"/>
      <c r="EV988" s="1"/>
      <c r="EW988" s="1"/>
      <c r="EZ988" s="1"/>
      <c r="FA988" s="1"/>
      <c r="FD988" s="1"/>
      <c r="FG988" s="1"/>
      <c r="FH988" s="1"/>
      <c r="FJ988" s="1"/>
      <c r="FM988" s="1"/>
      <c r="FN988" s="1"/>
      <c r="FO988" s="1"/>
      <c r="FP988" s="1"/>
      <c r="FQ988" s="1"/>
      <c r="FR988" s="1"/>
      <c r="FS988" s="1"/>
      <c r="FT988" s="1"/>
      <c r="FU988" s="1"/>
      <c r="FV988" s="1"/>
      <c r="FX988" s="1"/>
      <c r="GA988" s="1"/>
      <c r="GD988" s="1"/>
      <c r="GE988" s="1"/>
      <c r="GF988" s="1"/>
      <c r="GG988" s="1"/>
      <c r="GH988" s="1"/>
      <c r="GI988" s="1"/>
      <c r="GJ988" s="1"/>
      <c r="GK988" s="1"/>
      <c r="GL988" s="1"/>
      <c r="GM988" s="1"/>
      <c r="GN988" s="1"/>
      <c r="GP988" s="1"/>
      <c r="GR988" s="1"/>
      <c r="GS988" s="1"/>
      <c r="GV988" s="1"/>
      <c r="GY988" s="1"/>
      <c r="HF988" s="1"/>
      <c r="HQ988" s="1"/>
      <c r="HY988" s="1"/>
      <c r="ID988" s="1"/>
      <c r="IR988" s="1"/>
      <c r="IS988" s="1"/>
      <c r="IW988" s="1"/>
      <c r="IZ988" s="1"/>
      <c r="JF988" s="1"/>
      <c r="JG988" s="1"/>
      <c r="JJ988" s="1"/>
      <c r="JN988" s="1"/>
      <c r="JP988" s="1"/>
      <c r="JQ988" s="1"/>
      <c r="JT988" s="1"/>
      <c r="KU988" s="1"/>
      <c r="KZ988" s="1"/>
      <c r="LA988" s="1"/>
      <c r="LC988" s="1"/>
      <c r="LO988" s="1"/>
      <c r="LZ988" s="1"/>
      <c r="MA988" s="1"/>
    </row>
    <row r="989" spans="4:339" ht="13" x14ac:dyDescent="0.15">
      <c r="D989" s="12"/>
      <c r="E989" s="12"/>
      <c r="I989" s="12"/>
      <c r="J989" s="13"/>
      <c r="BF989" s="1"/>
      <c r="BG989" s="1"/>
      <c r="BH989" s="1"/>
      <c r="BI989" s="1"/>
      <c r="BJ989" s="1"/>
      <c r="BK989" s="1"/>
      <c r="BL989" s="1"/>
      <c r="BM989" s="1"/>
      <c r="BN989" s="1"/>
      <c r="BO989" s="1"/>
      <c r="BP989" s="1"/>
      <c r="BQ989" s="1"/>
      <c r="BR989" s="1"/>
      <c r="BX989" s="1"/>
      <c r="CD989" s="1"/>
      <c r="CG989" s="1"/>
      <c r="CH989" s="1"/>
      <c r="CI989" s="1"/>
      <c r="CM989" s="2"/>
      <c r="CN989" s="1"/>
      <c r="CO989" s="1"/>
      <c r="CP989" s="1"/>
      <c r="CQ989" s="1"/>
      <c r="CR989" s="1"/>
      <c r="CS989" s="1"/>
      <c r="CT989" s="1"/>
      <c r="CU989" s="1"/>
      <c r="CV989" s="1"/>
      <c r="CW989" s="1"/>
      <c r="CX989" s="1"/>
      <c r="CY989" s="1"/>
      <c r="CZ989" s="1"/>
      <c r="DA989" s="1"/>
      <c r="DB989" s="1"/>
      <c r="DC989" s="1"/>
      <c r="DD989" s="1"/>
      <c r="DE989" s="1"/>
      <c r="DF989" s="1"/>
      <c r="DG989" s="1"/>
      <c r="DH989" s="1"/>
      <c r="DI989" s="1"/>
      <c r="DJ989" s="1"/>
      <c r="DK989" s="1"/>
      <c r="DM989" s="1"/>
      <c r="DQ989" s="1"/>
      <c r="DR989" s="1"/>
      <c r="DY989" s="1"/>
      <c r="DZ989" s="1"/>
      <c r="ED989" s="1"/>
      <c r="EK989" s="1"/>
      <c r="EL989" s="1"/>
      <c r="EM989" s="1"/>
      <c r="EN989" s="1"/>
      <c r="EQ989" s="1"/>
      <c r="ER989" s="1"/>
      <c r="ES989" s="1"/>
      <c r="EV989" s="1"/>
      <c r="EW989" s="1"/>
      <c r="EZ989" s="1"/>
      <c r="FA989" s="1"/>
      <c r="FD989" s="1"/>
      <c r="FJ989" s="1"/>
      <c r="FS989" s="1"/>
      <c r="FT989" s="1"/>
      <c r="FV989" s="1"/>
      <c r="FX989" s="1"/>
      <c r="FZ989" s="1"/>
      <c r="GA989" s="1"/>
      <c r="GD989" s="1"/>
      <c r="GE989" s="1"/>
      <c r="GF989" s="1"/>
      <c r="GG989" s="1"/>
      <c r="GH989" s="1"/>
      <c r="GI989" s="1"/>
      <c r="GJ989" s="1"/>
      <c r="GL989" s="1"/>
      <c r="GM989" s="1"/>
      <c r="GN989" s="1"/>
      <c r="GO989" s="1"/>
      <c r="GP989" s="1"/>
      <c r="GR989" s="1"/>
      <c r="GY989" s="1"/>
      <c r="HF989" s="1"/>
      <c r="HH989" s="1"/>
      <c r="HN989" s="1"/>
      <c r="HR989" s="1"/>
      <c r="HS989" s="1"/>
      <c r="HT989" s="1"/>
      <c r="HY989" s="1"/>
      <c r="ID989" s="1"/>
      <c r="IE989" s="1"/>
      <c r="IS989" s="1"/>
      <c r="IY989" s="1"/>
      <c r="IZ989" s="1"/>
      <c r="JC989" s="1"/>
      <c r="JF989" s="1"/>
      <c r="JG989" s="1"/>
      <c r="JH989" s="1"/>
      <c r="JJ989" s="1"/>
      <c r="JN989" s="1"/>
      <c r="JP989" s="1"/>
      <c r="JQ989" s="1"/>
      <c r="JT989" s="1"/>
      <c r="KV989" s="1"/>
      <c r="KY989" s="1"/>
      <c r="KZ989" s="1"/>
      <c r="LA989" s="1"/>
      <c r="LB989" s="1"/>
      <c r="LC989" s="1"/>
      <c r="LD989" s="1"/>
      <c r="LO989" s="1"/>
      <c r="LP989" s="1"/>
      <c r="LZ989" s="1"/>
      <c r="MA989" s="1"/>
    </row>
    <row r="990" spans="4:339" ht="13" x14ac:dyDescent="0.15">
      <c r="D990" s="12"/>
      <c r="E990" s="12"/>
      <c r="I990" s="12"/>
      <c r="J990" s="13"/>
      <c r="BF990" s="1"/>
      <c r="BG990" s="1"/>
      <c r="BH990" s="1"/>
      <c r="BI990" s="1"/>
      <c r="BK990" s="1"/>
      <c r="BL990" s="1"/>
      <c r="BM990" s="1"/>
      <c r="BN990" s="1"/>
      <c r="BO990" s="1"/>
      <c r="BP990" s="1"/>
      <c r="BQ990" s="1"/>
      <c r="BR990" s="1"/>
      <c r="BX990" s="1"/>
      <c r="CD990" s="1"/>
      <c r="CE990" s="1"/>
      <c r="CF990" s="1"/>
      <c r="CG990" s="1"/>
      <c r="CH990" s="1"/>
      <c r="CI990" s="1"/>
      <c r="CJ990" s="1"/>
      <c r="CM990" s="2"/>
      <c r="CN990" s="1"/>
      <c r="CO990" s="1"/>
      <c r="CP990" s="1"/>
      <c r="CQ990" s="1"/>
      <c r="CR990" s="1"/>
      <c r="CS990" s="1"/>
      <c r="CT990" s="1"/>
      <c r="CU990" s="1"/>
      <c r="CV990" s="1"/>
      <c r="CW990" s="1"/>
      <c r="CX990" s="1"/>
      <c r="CY990" s="1"/>
      <c r="CZ990" s="1"/>
      <c r="DA990" s="1"/>
      <c r="DB990" s="1"/>
      <c r="DC990" s="1"/>
      <c r="DD990" s="1"/>
      <c r="DE990" s="1"/>
      <c r="DF990" s="1"/>
      <c r="DG990" s="1"/>
      <c r="DH990" s="1"/>
      <c r="DI990" s="1"/>
      <c r="DJ990" s="1"/>
      <c r="DK990" s="1"/>
      <c r="ED990" s="1"/>
      <c r="EE990" s="1"/>
      <c r="EF990" s="1"/>
      <c r="EG990" s="1"/>
      <c r="EH990" s="1"/>
      <c r="EK990" s="1"/>
      <c r="EL990" s="1"/>
      <c r="EM990" s="1"/>
      <c r="EN990" s="1"/>
      <c r="EQ990" s="1"/>
      <c r="ER990" s="1"/>
      <c r="ES990" s="1"/>
      <c r="EV990" s="1"/>
      <c r="EW990" s="1"/>
      <c r="EY990" s="1"/>
      <c r="EZ990" s="1"/>
      <c r="FA990" s="1"/>
      <c r="FD990" s="1"/>
      <c r="FH990" s="1"/>
      <c r="FJ990" s="1"/>
      <c r="FP990" s="1"/>
      <c r="FS990" s="1"/>
      <c r="FU990" s="1"/>
      <c r="FV990" s="1"/>
      <c r="FW990" s="1"/>
      <c r="FX990" s="1"/>
      <c r="FZ990" s="1"/>
      <c r="GA990" s="1"/>
      <c r="GD990" s="1"/>
      <c r="GE990" s="1"/>
      <c r="GF990" s="1"/>
      <c r="GG990" s="1"/>
      <c r="GH990" s="1"/>
      <c r="GI990" s="1"/>
      <c r="GJ990" s="1"/>
      <c r="GK990" s="1"/>
      <c r="GL990" s="1"/>
      <c r="GM990" s="1"/>
      <c r="GN990" s="1"/>
      <c r="GP990" s="1"/>
      <c r="GR990" s="1"/>
      <c r="GY990" s="1"/>
      <c r="HF990" s="1"/>
      <c r="HH990" s="1"/>
      <c r="HN990" s="1"/>
      <c r="HT990" s="1"/>
      <c r="HY990" s="1"/>
      <c r="IC990" s="1"/>
      <c r="ID990" s="1"/>
      <c r="IE990" s="1"/>
      <c r="IG990" s="1"/>
      <c r="IJ990" s="1"/>
      <c r="IR990" s="1"/>
      <c r="IS990" s="1"/>
      <c r="IZ990" s="1"/>
      <c r="JF990" s="1"/>
      <c r="JH990" s="1"/>
      <c r="JJ990" s="1"/>
      <c r="JK990" s="1"/>
      <c r="JL990" s="3"/>
      <c r="JM990" s="1"/>
      <c r="JP990" s="1"/>
      <c r="JQ990" s="1"/>
      <c r="JR990" s="1"/>
      <c r="KU990" s="1"/>
      <c r="KV990" s="1"/>
      <c r="KY990" s="1"/>
      <c r="KZ990" s="1"/>
      <c r="LA990" s="1"/>
      <c r="LB990" s="1"/>
      <c r="LC990" s="1"/>
      <c r="LD990" s="1"/>
      <c r="LO990" s="1"/>
      <c r="LP990" s="1"/>
      <c r="LZ990" s="1"/>
      <c r="MA990" s="1"/>
    </row>
    <row r="991" spans="4:339" ht="13" x14ac:dyDescent="0.15">
      <c r="D991" s="12"/>
      <c r="E991" s="12"/>
      <c r="I991" s="12"/>
      <c r="J991" s="13"/>
      <c r="BF991" s="1"/>
      <c r="BG991" s="1"/>
      <c r="BH991" s="1"/>
      <c r="BI991" s="1"/>
      <c r="BK991" s="1"/>
      <c r="BL991" s="1"/>
      <c r="BM991" s="1"/>
      <c r="BN991" s="1"/>
      <c r="BO991" s="1"/>
      <c r="BP991" s="1"/>
      <c r="BQ991" s="1"/>
      <c r="BR991" s="1"/>
      <c r="BX991" s="1"/>
      <c r="CD991" s="1"/>
      <c r="CE991" s="1"/>
      <c r="CF991" s="1"/>
      <c r="CG991" s="1"/>
      <c r="CH991" s="1"/>
      <c r="CI991" s="1"/>
      <c r="CJ991" s="1"/>
      <c r="CM991" s="2"/>
      <c r="CN991" s="1"/>
      <c r="CO991" s="1"/>
      <c r="CP991" s="1"/>
      <c r="CQ991" s="1"/>
      <c r="CR991" s="1"/>
      <c r="CS991" s="1"/>
      <c r="CT991" s="1"/>
      <c r="CU991" s="1"/>
      <c r="CV991" s="1"/>
      <c r="CW991" s="1"/>
      <c r="CX991" s="1"/>
      <c r="CY991" s="1"/>
      <c r="CZ991" s="1"/>
      <c r="DA991" s="1"/>
      <c r="DB991" s="1"/>
      <c r="DC991" s="1"/>
      <c r="DD991" s="1"/>
      <c r="DE991" s="1"/>
      <c r="DF991" s="1"/>
      <c r="DG991" s="1"/>
      <c r="DH991" s="1"/>
      <c r="DI991" s="1"/>
      <c r="DJ991" s="1"/>
      <c r="DK991" s="1"/>
      <c r="ED991" s="1"/>
      <c r="EE991" s="1"/>
      <c r="EF991" s="1"/>
      <c r="EG991" s="1"/>
      <c r="EH991" s="1"/>
      <c r="EK991" s="1"/>
      <c r="EL991" s="1"/>
      <c r="EM991" s="1"/>
      <c r="EN991" s="1"/>
      <c r="EQ991" s="1"/>
      <c r="ER991" s="1"/>
      <c r="ES991" s="1"/>
      <c r="EV991" s="1"/>
      <c r="EW991" s="1"/>
      <c r="EY991" s="1"/>
      <c r="EZ991" s="1"/>
      <c r="FA991" s="1"/>
      <c r="FD991" s="1"/>
      <c r="FH991" s="1"/>
      <c r="FJ991" s="1"/>
      <c r="FP991" s="1"/>
      <c r="FS991" s="1"/>
      <c r="FU991" s="1"/>
      <c r="FV991" s="1"/>
      <c r="FW991" s="1"/>
      <c r="FX991" s="1"/>
      <c r="FZ991" s="1"/>
      <c r="GA991" s="1"/>
      <c r="GD991" s="1"/>
      <c r="GE991" s="1"/>
      <c r="GF991" s="1"/>
      <c r="GG991" s="1"/>
      <c r="GH991" s="1"/>
      <c r="GI991" s="1"/>
      <c r="GJ991" s="1"/>
      <c r="GK991" s="1"/>
      <c r="GL991" s="1"/>
      <c r="GM991" s="1"/>
      <c r="GN991" s="1"/>
      <c r="GP991" s="1"/>
      <c r="GR991" s="1"/>
      <c r="GY991" s="1"/>
      <c r="HF991" s="1"/>
      <c r="HH991" s="1"/>
      <c r="HN991" s="1"/>
      <c r="HT991" s="1"/>
      <c r="HY991" s="1"/>
      <c r="IC991" s="1"/>
      <c r="ID991" s="1"/>
      <c r="IE991" s="1"/>
      <c r="IG991" s="1"/>
      <c r="IJ991" s="1"/>
      <c r="IR991" s="1"/>
      <c r="IS991" s="1"/>
      <c r="IZ991" s="1"/>
      <c r="JF991" s="1"/>
      <c r="JH991" s="1"/>
      <c r="JJ991" s="1"/>
      <c r="JK991" s="1"/>
      <c r="JL991" s="3"/>
      <c r="JM991" s="1"/>
      <c r="JP991" s="1"/>
      <c r="JQ991" s="1"/>
      <c r="JR991" s="1"/>
      <c r="KU991" s="1"/>
      <c r="KV991" s="1"/>
      <c r="KY991" s="1"/>
      <c r="KZ991" s="1"/>
      <c r="LA991" s="1"/>
      <c r="LB991" s="1"/>
      <c r="LC991" s="1"/>
      <c r="LD991" s="1"/>
      <c r="LO991" s="1"/>
      <c r="LP991" s="1"/>
      <c r="LZ991" s="1"/>
      <c r="MA991" s="1"/>
    </row>
    <row r="992" spans="4:339" ht="13" x14ac:dyDescent="0.15">
      <c r="D992" s="12"/>
      <c r="E992" s="12"/>
      <c r="I992" s="12"/>
      <c r="J992" s="13"/>
      <c r="BF992" s="1"/>
      <c r="BG992" s="1"/>
      <c r="BH992" s="1"/>
      <c r="BI992" s="1"/>
      <c r="BK992" s="1"/>
      <c r="BL992" s="1"/>
      <c r="BM992" s="1"/>
      <c r="BN992" s="1"/>
      <c r="BO992" s="1"/>
      <c r="BP992" s="1"/>
      <c r="BQ992" s="1"/>
      <c r="BR992" s="1"/>
      <c r="BX992" s="1"/>
      <c r="CD992" s="1"/>
      <c r="CE992" s="1"/>
      <c r="CF992" s="1"/>
      <c r="CG992" s="1"/>
      <c r="CH992" s="1"/>
      <c r="CI992" s="1"/>
      <c r="CJ992" s="1"/>
      <c r="CM992" s="2"/>
      <c r="CN992" s="1"/>
      <c r="CO992" s="1"/>
      <c r="CP992" s="1"/>
      <c r="CQ992" s="1"/>
      <c r="CR992" s="1"/>
      <c r="CS992" s="1"/>
      <c r="CT992" s="1"/>
      <c r="CU992" s="1"/>
      <c r="CV992" s="1"/>
      <c r="CW992" s="1"/>
      <c r="CX992" s="1"/>
      <c r="CY992" s="1"/>
      <c r="CZ992" s="1"/>
      <c r="DA992" s="1"/>
      <c r="DB992" s="1"/>
      <c r="DC992" s="1"/>
      <c r="DD992" s="1"/>
      <c r="DE992" s="1"/>
      <c r="DF992" s="1"/>
      <c r="DG992" s="1"/>
      <c r="DH992" s="1"/>
      <c r="DI992" s="1"/>
      <c r="DJ992" s="1"/>
      <c r="DK992" s="1"/>
      <c r="ED992" s="1"/>
      <c r="EE992" s="1"/>
      <c r="EF992" s="1"/>
      <c r="EG992" s="1"/>
      <c r="EH992" s="1"/>
      <c r="EK992" s="1"/>
      <c r="EL992" s="1"/>
      <c r="EM992" s="1"/>
      <c r="EN992" s="1"/>
      <c r="EQ992" s="1"/>
      <c r="ER992" s="1"/>
      <c r="ES992" s="1"/>
      <c r="EV992" s="1"/>
      <c r="EW992" s="1"/>
      <c r="EY992" s="1"/>
      <c r="EZ992" s="1"/>
      <c r="FA992" s="1"/>
      <c r="FD992" s="1"/>
      <c r="FH992" s="1"/>
      <c r="FJ992" s="1"/>
      <c r="FP992" s="1"/>
      <c r="FS992" s="1"/>
      <c r="FU992" s="1"/>
      <c r="FV992" s="1"/>
      <c r="FW992" s="1"/>
      <c r="FX992" s="1"/>
      <c r="FZ992" s="1"/>
      <c r="GA992" s="1"/>
      <c r="GD992" s="1"/>
      <c r="GE992" s="1"/>
      <c r="GF992" s="1"/>
      <c r="GG992" s="1"/>
      <c r="GH992" s="1"/>
      <c r="GI992" s="1"/>
      <c r="GJ992" s="1"/>
      <c r="GK992" s="1"/>
      <c r="GL992" s="1"/>
      <c r="GM992" s="1"/>
      <c r="GN992" s="1"/>
      <c r="GP992" s="1"/>
      <c r="GR992" s="1"/>
      <c r="GY992" s="1"/>
      <c r="HF992" s="1"/>
      <c r="HH992" s="1"/>
      <c r="HN992" s="1"/>
      <c r="HT992" s="1"/>
      <c r="HY992" s="1"/>
      <c r="IC992" s="1"/>
      <c r="ID992" s="1"/>
      <c r="IE992" s="1"/>
      <c r="IG992" s="1"/>
      <c r="IJ992" s="1"/>
      <c r="IR992" s="1"/>
      <c r="IS992" s="1"/>
      <c r="IZ992" s="1"/>
      <c r="JF992" s="1"/>
      <c r="JH992" s="1"/>
      <c r="JJ992" s="1"/>
      <c r="JK992" s="1"/>
      <c r="JL992" s="3"/>
      <c r="JM992" s="1"/>
      <c r="JP992" s="1"/>
      <c r="JQ992" s="1"/>
      <c r="JR992" s="1"/>
      <c r="KU992" s="1"/>
      <c r="KV992" s="1"/>
      <c r="KY992" s="1"/>
      <c r="KZ992" s="1"/>
      <c r="LA992" s="1"/>
      <c r="LB992" s="1"/>
      <c r="LC992" s="1"/>
      <c r="LD992" s="1"/>
      <c r="LO992" s="1"/>
      <c r="LP992" s="1"/>
      <c r="LZ992" s="1"/>
      <c r="MA992" s="1"/>
    </row>
    <row r="993" spans="4:339" ht="13" x14ac:dyDescent="0.15">
      <c r="D993" s="12"/>
      <c r="E993" s="12"/>
      <c r="I993" s="12"/>
      <c r="J993" s="13"/>
      <c r="BF993" s="1"/>
      <c r="BG993" s="1"/>
      <c r="BH993" s="1"/>
      <c r="BI993" s="1"/>
      <c r="BK993" s="1"/>
      <c r="BL993" s="1"/>
      <c r="BM993" s="1"/>
      <c r="BN993" s="1"/>
      <c r="BO993" s="1"/>
      <c r="BP993" s="1"/>
      <c r="BQ993" s="1"/>
      <c r="BR993" s="1"/>
      <c r="BX993" s="1"/>
      <c r="CD993" s="1"/>
      <c r="CE993" s="1"/>
      <c r="CF993" s="1"/>
      <c r="CG993" s="1"/>
      <c r="CH993" s="1"/>
      <c r="CI993" s="1"/>
      <c r="CJ993" s="1"/>
      <c r="CM993" s="2"/>
      <c r="CN993" s="1"/>
      <c r="CO993" s="1"/>
      <c r="CP993" s="1"/>
      <c r="CQ993" s="1"/>
      <c r="CR993" s="1"/>
      <c r="CS993" s="1"/>
      <c r="CT993" s="1"/>
      <c r="CU993" s="1"/>
      <c r="CV993" s="1"/>
      <c r="CW993" s="1"/>
      <c r="CX993" s="1"/>
      <c r="CY993" s="1"/>
      <c r="CZ993" s="1"/>
      <c r="DA993" s="1"/>
      <c r="DB993" s="1"/>
      <c r="DC993" s="1"/>
      <c r="DD993" s="1"/>
      <c r="DE993" s="1"/>
      <c r="DF993" s="1"/>
      <c r="DG993" s="1"/>
      <c r="DH993" s="1"/>
      <c r="DI993" s="1"/>
      <c r="DJ993" s="1"/>
      <c r="DK993" s="1"/>
      <c r="ED993" s="1"/>
      <c r="EE993" s="1"/>
      <c r="EF993" s="1"/>
      <c r="EG993" s="1"/>
      <c r="EH993" s="1"/>
      <c r="EK993" s="1"/>
      <c r="EL993" s="1"/>
      <c r="EM993" s="1"/>
      <c r="EN993" s="1"/>
      <c r="EQ993" s="1"/>
      <c r="ER993" s="1"/>
      <c r="ES993" s="1"/>
      <c r="EV993" s="1"/>
      <c r="EW993" s="1"/>
      <c r="EY993" s="1"/>
      <c r="EZ993" s="1"/>
      <c r="FA993" s="1"/>
      <c r="FD993" s="1"/>
      <c r="FH993" s="1"/>
      <c r="FJ993" s="1"/>
      <c r="FP993" s="1"/>
      <c r="FS993" s="1"/>
      <c r="FU993" s="1"/>
      <c r="FV993" s="1"/>
      <c r="FW993" s="1"/>
      <c r="FX993" s="1"/>
      <c r="FZ993" s="1"/>
      <c r="GA993" s="1"/>
      <c r="GD993" s="1"/>
      <c r="GE993" s="1"/>
      <c r="GF993" s="1"/>
      <c r="GG993" s="1"/>
      <c r="GH993" s="1"/>
      <c r="GI993" s="1"/>
      <c r="GJ993" s="1"/>
      <c r="GK993" s="1"/>
      <c r="GL993" s="1"/>
      <c r="GM993" s="1"/>
      <c r="GN993" s="1"/>
      <c r="GP993" s="1"/>
      <c r="GR993" s="1"/>
      <c r="GY993" s="1"/>
      <c r="HF993" s="1"/>
      <c r="HH993" s="1"/>
      <c r="HN993" s="1"/>
      <c r="HT993" s="1"/>
      <c r="HY993" s="1"/>
      <c r="IC993" s="1"/>
      <c r="ID993" s="1"/>
      <c r="IE993" s="1"/>
      <c r="IG993" s="1"/>
      <c r="IJ993" s="1"/>
      <c r="IR993" s="1"/>
      <c r="IS993" s="1"/>
      <c r="IZ993" s="1"/>
      <c r="JF993" s="1"/>
      <c r="JH993" s="1"/>
      <c r="JJ993" s="1"/>
      <c r="JK993" s="1"/>
      <c r="JL993" s="3"/>
      <c r="JM993" s="1"/>
      <c r="JP993" s="1"/>
      <c r="JQ993" s="1"/>
      <c r="JR993" s="1"/>
      <c r="KU993" s="1"/>
      <c r="KV993" s="1"/>
      <c r="KY993" s="1"/>
      <c r="KZ993" s="1"/>
      <c r="LA993" s="1"/>
      <c r="LB993" s="1"/>
      <c r="LC993" s="1"/>
      <c r="LD993" s="1"/>
      <c r="LO993" s="1"/>
      <c r="LP993" s="1"/>
      <c r="LZ993" s="1"/>
      <c r="MA993" s="1"/>
    </row>
    <row r="994" spans="4:339" ht="13" x14ac:dyDescent="0.15">
      <c r="D994" s="12"/>
      <c r="E994" s="12"/>
      <c r="I994" s="12"/>
      <c r="J994" s="13"/>
      <c r="BF994" s="1"/>
      <c r="BG994" s="1"/>
      <c r="BH994" s="1"/>
      <c r="BI994" s="1"/>
      <c r="BK994" s="1"/>
      <c r="BL994" s="1"/>
      <c r="BM994" s="1"/>
      <c r="BN994" s="1"/>
      <c r="BO994" s="1"/>
      <c r="BP994" s="1"/>
      <c r="BQ994" s="1"/>
      <c r="BR994" s="1"/>
      <c r="BX994" s="1"/>
      <c r="CD994" s="1"/>
      <c r="CE994" s="1"/>
      <c r="CF994" s="1"/>
      <c r="CG994" s="1"/>
      <c r="CH994" s="1"/>
      <c r="CI994" s="1"/>
      <c r="CJ994" s="1"/>
      <c r="CM994" s="2"/>
      <c r="CN994" s="1"/>
      <c r="CO994" s="1"/>
      <c r="CP994" s="1"/>
      <c r="CQ994" s="1"/>
      <c r="CR994" s="1"/>
      <c r="CS994" s="1"/>
      <c r="CT994" s="1"/>
      <c r="CU994" s="1"/>
      <c r="CV994" s="1"/>
      <c r="CW994" s="1"/>
      <c r="CX994" s="1"/>
      <c r="CY994" s="1"/>
      <c r="CZ994" s="1"/>
      <c r="DA994" s="1"/>
      <c r="DB994" s="1"/>
      <c r="DC994" s="1"/>
      <c r="DD994" s="1"/>
      <c r="DE994" s="1"/>
      <c r="DF994" s="1"/>
      <c r="DG994" s="1"/>
      <c r="DH994" s="1"/>
      <c r="DI994" s="1"/>
      <c r="DJ994" s="1"/>
      <c r="DK994" s="1"/>
      <c r="ED994" s="1"/>
      <c r="EE994" s="1"/>
      <c r="EF994" s="1"/>
      <c r="EG994" s="1"/>
      <c r="EH994" s="1"/>
      <c r="EK994" s="1"/>
      <c r="EL994" s="1"/>
      <c r="EM994" s="1"/>
      <c r="EN994" s="1"/>
      <c r="EQ994" s="1"/>
      <c r="ER994" s="1"/>
      <c r="ES994" s="1"/>
      <c r="EV994" s="1"/>
      <c r="EW994" s="1"/>
      <c r="EY994" s="1"/>
      <c r="EZ994" s="1"/>
      <c r="FA994" s="1"/>
      <c r="FD994" s="1"/>
      <c r="FH994" s="1"/>
      <c r="FJ994" s="1"/>
      <c r="FP994" s="1"/>
      <c r="FS994" s="1"/>
      <c r="FU994" s="1"/>
      <c r="FV994" s="1"/>
      <c r="FW994" s="1"/>
      <c r="FX994" s="1"/>
      <c r="FZ994" s="1"/>
      <c r="GA994" s="1"/>
      <c r="GD994" s="1"/>
      <c r="GE994" s="1"/>
      <c r="GF994" s="1"/>
      <c r="GG994" s="1"/>
      <c r="GH994" s="1"/>
      <c r="GI994" s="1"/>
      <c r="GJ994" s="1"/>
      <c r="GK994" s="1"/>
      <c r="GL994" s="1"/>
      <c r="GM994" s="1"/>
      <c r="GN994" s="1"/>
      <c r="GP994" s="1"/>
      <c r="GR994" s="1"/>
      <c r="GY994" s="1"/>
      <c r="HF994" s="1"/>
      <c r="HH994" s="1"/>
      <c r="HN994" s="1"/>
      <c r="HT994" s="1"/>
      <c r="HY994" s="1"/>
      <c r="IC994" s="1"/>
      <c r="ID994" s="1"/>
      <c r="IE994" s="1"/>
      <c r="IG994" s="1"/>
      <c r="IJ994" s="1"/>
      <c r="IR994" s="1"/>
      <c r="IS994" s="1"/>
      <c r="IZ994" s="1"/>
      <c r="JF994" s="1"/>
      <c r="JH994" s="1"/>
      <c r="JJ994" s="1"/>
      <c r="JK994" s="1"/>
      <c r="JL994" s="3"/>
      <c r="JM994" s="1"/>
      <c r="JP994" s="1"/>
      <c r="JQ994" s="1"/>
      <c r="JR994" s="1"/>
      <c r="KU994" s="1"/>
      <c r="KV994" s="1"/>
      <c r="KY994" s="1"/>
      <c r="KZ994" s="1"/>
      <c r="LA994" s="1"/>
      <c r="LB994" s="1"/>
      <c r="LC994" s="1"/>
      <c r="LD994" s="1"/>
      <c r="LO994" s="1"/>
      <c r="LP994" s="1"/>
      <c r="LZ994" s="1"/>
      <c r="MA994" s="1"/>
    </row>
    <row r="995" spans="4:339" ht="13" x14ac:dyDescent="0.15">
      <c r="D995" s="12"/>
      <c r="E995" s="12"/>
      <c r="I995" s="12"/>
      <c r="J995" s="13"/>
      <c r="BF995" s="1"/>
      <c r="BG995" s="1"/>
      <c r="BH995" s="1"/>
      <c r="BI995" s="1"/>
      <c r="BK995" s="1"/>
      <c r="BL995" s="1"/>
      <c r="BM995" s="1"/>
      <c r="BN995" s="1"/>
      <c r="BO995" s="1"/>
      <c r="BP995" s="1"/>
      <c r="BQ995" s="1"/>
      <c r="BR995" s="1"/>
      <c r="BX995" s="1"/>
      <c r="CD995" s="1"/>
      <c r="CE995" s="1"/>
      <c r="CF995" s="1"/>
      <c r="CG995" s="1"/>
      <c r="CH995" s="1"/>
      <c r="CI995" s="1"/>
      <c r="CJ995" s="1"/>
      <c r="CM995" s="2"/>
      <c r="CN995" s="1"/>
      <c r="CO995" s="1"/>
      <c r="CP995" s="1"/>
      <c r="CQ995" s="1"/>
      <c r="CR995" s="1"/>
      <c r="CS995" s="1"/>
      <c r="CT995" s="1"/>
      <c r="CU995" s="1"/>
      <c r="CV995" s="1"/>
      <c r="CW995" s="1"/>
      <c r="CX995" s="1"/>
      <c r="CY995" s="1"/>
      <c r="CZ995" s="1"/>
      <c r="DA995" s="1"/>
      <c r="DB995" s="1"/>
      <c r="DC995" s="1"/>
      <c r="DD995" s="1"/>
      <c r="DE995" s="1"/>
      <c r="DF995" s="1"/>
      <c r="DG995" s="1"/>
      <c r="DH995" s="1"/>
      <c r="DI995" s="1"/>
      <c r="DJ995" s="1"/>
      <c r="DK995" s="1"/>
      <c r="ED995" s="1"/>
      <c r="EE995" s="1"/>
      <c r="EF995" s="1"/>
      <c r="EG995" s="1"/>
      <c r="EH995" s="1"/>
      <c r="EK995" s="1"/>
      <c r="EL995" s="1"/>
      <c r="EM995" s="1"/>
      <c r="EN995" s="1"/>
      <c r="EQ995" s="1"/>
      <c r="ER995" s="1"/>
      <c r="ES995" s="1"/>
      <c r="EV995" s="1"/>
      <c r="EW995" s="1"/>
      <c r="EY995" s="1"/>
      <c r="EZ995" s="1"/>
      <c r="FA995" s="1"/>
      <c r="FD995" s="1"/>
      <c r="FH995" s="1"/>
      <c r="FJ995" s="1"/>
      <c r="FP995" s="1"/>
      <c r="FS995" s="1"/>
      <c r="FU995" s="1"/>
      <c r="FV995" s="1"/>
      <c r="FW995" s="1"/>
      <c r="FX995" s="1"/>
      <c r="FZ995" s="1"/>
      <c r="GA995" s="1"/>
      <c r="GD995" s="1"/>
      <c r="GE995" s="1"/>
      <c r="GF995" s="1"/>
      <c r="GG995" s="1"/>
      <c r="GH995" s="1"/>
      <c r="GI995" s="1"/>
      <c r="GJ995" s="1"/>
      <c r="GK995" s="1"/>
      <c r="GL995" s="1"/>
      <c r="GM995" s="1"/>
      <c r="GN995" s="1"/>
      <c r="GP995" s="1"/>
      <c r="GR995" s="1"/>
      <c r="GY995" s="1"/>
      <c r="HF995" s="1"/>
      <c r="HH995" s="1"/>
      <c r="HN995" s="1"/>
      <c r="HT995" s="1"/>
      <c r="HY995" s="1"/>
      <c r="IC995" s="1"/>
      <c r="ID995" s="1"/>
      <c r="IE995" s="1"/>
      <c r="IG995" s="1"/>
      <c r="IJ995" s="1"/>
      <c r="IR995" s="1"/>
      <c r="IS995" s="1"/>
      <c r="IZ995" s="1"/>
      <c r="JF995" s="1"/>
      <c r="JH995" s="1"/>
      <c r="JJ995" s="1"/>
      <c r="JK995" s="1"/>
      <c r="JL995" s="3"/>
      <c r="JM995" s="1"/>
      <c r="JP995" s="1"/>
      <c r="JQ995" s="1"/>
      <c r="JR995" s="1"/>
      <c r="KU995" s="1"/>
      <c r="KV995" s="1"/>
      <c r="KY995" s="1"/>
      <c r="KZ995" s="1"/>
      <c r="LA995" s="1"/>
      <c r="LB995" s="1"/>
      <c r="LC995" s="1"/>
      <c r="LD995" s="1"/>
      <c r="LO995" s="1"/>
      <c r="LP995" s="1"/>
      <c r="LZ995" s="1"/>
      <c r="MA995" s="1"/>
    </row>
    <row r="996" spans="4:339" ht="13" x14ac:dyDescent="0.15">
      <c r="D996" s="12"/>
      <c r="E996" s="12"/>
      <c r="I996" s="12"/>
      <c r="J996" s="13"/>
      <c r="BF996" s="1"/>
      <c r="BG996" s="1"/>
      <c r="BH996" s="1"/>
      <c r="BI996" s="1"/>
      <c r="BK996" s="1"/>
      <c r="BL996" s="1"/>
      <c r="BM996" s="1"/>
      <c r="BN996" s="1"/>
      <c r="BO996" s="1"/>
      <c r="BP996" s="1"/>
      <c r="BQ996" s="1"/>
      <c r="BR996" s="1"/>
      <c r="BX996" s="1"/>
      <c r="CD996" s="1"/>
      <c r="CE996" s="1"/>
      <c r="CF996" s="1"/>
      <c r="CG996" s="1"/>
      <c r="CH996" s="1"/>
      <c r="CI996" s="1"/>
      <c r="CJ996" s="1"/>
      <c r="CM996" s="2"/>
      <c r="CN996" s="1"/>
      <c r="CO996" s="1"/>
      <c r="CP996" s="1"/>
      <c r="CQ996" s="1"/>
      <c r="CR996" s="1"/>
      <c r="CS996" s="1"/>
      <c r="CT996" s="1"/>
      <c r="CU996" s="1"/>
      <c r="CV996" s="1"/>
      <c r="CW996" s="1"/>
      <c r="CX996" s="1"/>
      <c r="CY996" s="1"/>
      <c r="CZ996" s="1"/>
      <c r="DA996" s="1"/>
      <c r="DB996" s="1"/>
      <c r="DC996" s="1"/>
      <c r="DD996" s="1"/>
      <c r="DE996" s="1"/>
      <c r="DF996" s="1"/>
      <c r="DG996" s="1"/>
      <c r="DH996" s="1"/>
      <c r="DI996" s="1"/>
      <c r="DJ996" s="1"/>
      <c r="DK996" s="1"/>
      <c r="ED996" s="1"/>
      <c r="EE996" s="1"/>
      <c r="EF996" s="1"/>
      <c r="EG996" s="1"/>
      <c r="EH996" s="1"/>
      <c r="EK996" s="1"/>
      <c r="EL996" s="1"/>
      <c r="EM996" s="1"/>
      <c r="EN996" s="1"/>
      <c r="EQ996" s="1"/>
      <c r="ER996" s="1"/>
      <c r="ES996" s="1"/>
      <c r="EV996" s="1"/>
      <c r="EW996" s="1"/>
      <c r="EY996" s="1"/>
      <c r="EZ996" s="1"/>
      <c r="FA996" s="1"/>
      <c r="FD996" s="1"/>
      <c r="FH996" s="1"/>
      <c r="FJ996" s="1"/>
      <c r="FP996" s="1"/>
      <c r="FS996" s="1"/>
      <c r="FU996" s="1"/>
      <c r="FV996" s="1"/>
      <c r="FW996" s="1"/>
      <c r="FX996" s="1"/>
      <c r="FZ996" s="1"/>
      <c r="GA996" s="1"/>
      <c r="GD996" s="1"/>
      <c r="GE996" s="1"/>
      <c r="GF996" s="1"/>
      <c r="GG996" s="1"/>
      <c r="GH996" s="1"/>
      <c r="GI996" s="1"/>
      <c r="GJ996" s="1"/>
      <c r="GK996" s="1"/>
      <c r="GL996" s="1"/>
      <c r="GM996" s="1"/>
      <c r="GN996" s="1"/>
      <c r="GP996" s="1"/>
      <c r="GR996" s="1"/>
      <c r="GY996" s="1"/>
      <c r="HF996" s="1"/>
      <c r="HH996" s="1"/>
      <c r="HN996" s="1"/>
      <c r="HT996" s="1"/>
      <c r="HY996" s="1"/>
      <c r="IC996" s="1"/>
      <c r="ID996" s="1"/>
      <c r="IE996" s="1"/>
      <c r="IG996" s="1"/>
      <c r="IJ996" s="1"/>
      <c r="IR996" s="1"/>
      <c r="IS996" s="1"/>
      <c r="IZ996" s="1"/>
      <c r="JF996" s="1"/>
      <c r="JH996" s="1"/>
      <c r="JJ996" s="1"/>
      <c r="JK996" s="1"/>
      <c r="JL996" s="3"/>
      <c r="JM996" s="1"/>
      <c r="JP996" s="1"/>
      <c r="JQ996" s="1"/>
      <c r="JR996" s="1"/>
      <c r="KU996" s="1"/>
      <c r="KV996" s="1"/>
      <c r="KY996" s="1"/>
      <c r="KZ996" s="1"/>
      <c r="LA996" s="1"/>
      <c r="LB996" s="1"/>
      <c r="LC996" s="1"/>
      <c r="LD996" s="1"/>
      <c r="LO996" s="1"/>
      <c r="LP996" s="1"/>
      <c r="LZ996" s="1"/>
      <c r="MA996" s="1"/>
    </row>
    <row r="997" spans="4:339" ht="13" x14ac:dyDescent="0.15">
      <c r="D997" s="12"/>
      <c r="E997" s="12"/>
      <c r="I997" s="12"/>
      <c r="J997" s="13"/>
      <c r="BF997" s="1"/>
      <c r="BG997" s="1"/>
      <c r="BH997" s="1"/>
      <c r="BI997" s="1"/>
      <c r="BK997" s="1"/>
      <c r="BL997" s="1"/>
      <c r="BM997" s="1"/>
      <c r="BN997" s="1"/>
      <c r="BO997" s="1"/>
      <c r="BP997" s="1"/>
      <c r="BQ997" s="1"/>
      <c r="BR997" s="1"/>
      <c r="BX997" s="1"/>
      <c r="CD997" s="1"/>
      <c r="CE997" s="1"/>
      <c r="CF997" s="1"/>
      <c r="CG997" s="1"/>
      <c r="CH997" s="1"/>
      <c r="CI997" s="1"/>
      <c r="CJ997" s="1"/>
      <c r="CM997" s="2"/>
      <c r="CN997" s="1"/>
      <c r="CO997" s="1"/>
      <c r="CP997" s="1"/>
      <c r="CQ997" s="1"/>
      <c r="CR997" s="1"/>
      <c r="CS997" s="1"/>
      <c r="CT997" s="1"/>
      <c r="CU997" s="1"/>
      <c r="CV997" s="1"/>
      <c r="CW997" s="1"/>
      <c r="CX997" s="1"/>
      <c r="CY997" s="1"/>
      <c r="CZ997" s="1"/>
      <c r="DA997" s="1"/>
      <c r="DB997" s="1"/>
      <c r="DC997" s="1"/>
      <c r="DD997" s="1"/>
      <c r="DE997" s="1"/>
      <c r="DF997" s="1"/>
      <c r="DG997" s="1"/>
      <c r="DH997" s="1"/>
      <c r="DI997" s="1"/>
      <c r="DJ997" s="1"/>
      <c r="DK997" s="1"/>
      <c r="ED997" s="1"/>
      <c r="EE997" s="1"/>
      <c r="EF997" s="1"/>
      <c r="EG997" s="1"/>
      <c r="EH997" s="1"/>
      <c r="EK997" s="1"/>
      <c r="EL997" s="1"/>
      <c r="EM997" s="1"/>
      <c r="EN997" s="1"/>
      <c r="EQ997" s="1"/>
      <c r="ER997" s="1"/>
      <c r="ES997" s="1"/>
      <c r="EV997" s="1"/>
      <c r="EW997" s="1"/>
      <c r="EY997" s="1"/>
      <c r="EZ997" s="1"/>
      <c r="FA997" s="1"/>
      <c r="FD997" s="1"/>
      <c r="FH997" s="1"/>
      <c r="FJ997" s="1"/>
      <c r="FP997" s="1"/>
      <c r="FS997" s="1"/>
      <c r="FU997" s="1"/>
      <c r="FV997" s="1"/>
      <c r="FW997" s="1"/>
      <c r="FX997" s="1"/>
      <c r="FZ997" s="1"/>
      <c r="GA997" s="1"/>
      <c r="GD997" s="1"/>
      <c r="GE997" s="1"/>
      <c r="GF997" s="1"/>
      <c r="GG997" s="1"/>
      <c r="GH997" s="1"/>
      <c r="GI997" s="1"/>
      <c r="GJ997" s="1"/>
      <c r="GK997" s="1"/>
      <c r="GL997" s="1"/>
      <c r="GM997" s="1"/>
      <c r="GN997" s="1"/>
      <c r="GP997" s="1"/>
      <c r="GR997" s="1"/>
      <c r="GY997" s="1"/>
      <c r="HF997" s="1"/>
      <c r="HH997" s="1"/>
      <c r="HN997" s="1"/>
      <c r="HT997" s="1"/>
      <c r="HY997" s="1"/>
      <c r="IC997" s="1"/>
      <c r="ID997" s="1"/>
      <c r="IE997" s="1"/>
      <c r="IG997" s="1"/>
      <c r="IJ997" s="1"/>
      <c r="IR997" s="1"/>
      <c r="IS997" s="1"/>
      <c r="IZ997" s="1"/>
      <c r="JF997" s="1"/>
      <c r="JH997" s="1"/>
      <c r="JJ997" s="1"/>
      <c r="JK997" s="1"/>
      <c r="JL997" s="3"/>
      <c r="JM997" s="1"/>
      <c r="JP997" s="1"/>
      <c r="JQ997" s="1"/>
      <c r="JR997" s="1"/>
      <c r="KU997" s="1"/>
      <c r="KV997" s="1"/>
      <c r="KY997" s="1"/>
      <c r="KZ997" s="1"/>
      <c r="LA997" s="1"/>
      <c r="LB997" s="1"/>
      <c r="LC997" s="1"/>
      <c r="LD997" s="1"/>
      <c r="LO997" s="1"/>
      <c r="LP997" s="1"/>
      <c r="LZ997" s="1"/>
      <c r="MA997" s="1"/>
    </row>
    <row r="998" spans="4:339" ht="13" x14ac:dyDescent="0.15">
      <c r="D998" s="12"/>
      <c r="E998" s="12"/>
      <c r="I998" s="12"/>
      <c r="J998" s="13"/>
      <c r="BF998" s="1"/>
      <c r="BG998" s="1"/>
      <c r="BH998" s="1"/>
      <c r="BI998" s="1"/>
      <c r="BK998" s="1"/>
      <c r="BL998" s="1"/>
      <c r="BM998" s="1"/>
      <c r="BN998" s="1"/>
      <c r="BO998" s="1"/>
      <c r="BP998" s="1"/>
      <c r="BQ998" s="1"/>
      <c r="BR998" s="1"/>
      <c r="BX998" s="1"/>
      <c r="CD998" s="1"/>
      <c r="CE998" s="1"/>
      <c r="CF998" s="1"/>
      <c r="CG998" s="1"/>
      <c r="CH998" s="1"/>
      <c r="CI998" s="1"/>
      <c r="CJ998" s="1"/>
      <c r="CM998" s="2"/>
      <c r="CN998" s="1"/>
      <c r="CO998" s="1"/>
      <c r="CP998" s="1"/>
      <c r="CQ998" s="1"/>
      <c r="CR998" s="1"/>
      <c r="CS998" s="1"/>
      <c r="CT998" s="1"/>
      <c r="CU998" s="1"/>
      <c r="CV998" s="1"/>
      <c r="CW998" s="1"/>
      <c r="CX998" s="1"/>
      <c r="CY998" s="1"/>
      <c r="CZ998" s="1"/>
      <c r="DA998" s="1"/>
      <c r="DB998" s="1"/>
      <c r="DC998" s="1"/>
      <c r="DD998" s="1"/>
      <c r="DE998" s="1"/>
      <c r="DF998" s="1"/>
      <c r="DG998" s="1"/>
      <c r="DH998" s="1"/>
      <c r="DI998" s="1"/>
      <c r="DJ998" s="1"/>
      <c r="DK998" s="1"/>
      <c r="ED998" s="1"/>
      <c r="EE998" s="1"/>
      <c r="EF998" s="1"/>
      <c r="EG998" s="1"/>
      <c r="EH998" s="1"/>
      <c r="EK998" s="1"/>
      <c r="EL998" s="1"/>
      <c r="EM998" s="1"/>
      <c r="EN998" s="1"/>
      <c r="EQ998" s="1"/>
      <c r="ER998" s="1"/>
      <c r="ES998" s="1"/>
      <c r="EV998" s="1"/>
      <c r="EW998" s="1"/>
      <c r="EY998" s="1"/>
      <c r="EZ998" s="1"/>
      <c r="FA998" s="1"/>
      <c r="FD998" s="1"/>
      <c r="FH998" s="1"/>
      <c r="FJ998" s="1"/>
      <c r="FP998" s="1"/>
      <c r="FS998" s="1"/>
      <c r="FU998" s="1"/>
      <c r="FV998" s="1"/>
      <c r="FW998" s="1"/>
      <c r="FX998" s="1"/>
      <c r="FZ998" s="1"/>
      <c r="GA998" s="1"/>
      <c r="GD998" s="1"/>
      <c r="GE998" s="1"/>
      <c r="GF998" s="1"/>
      <c r="GG998" s="1"/>
      <c r="GH998" s="1"/>
      <c r="GI998" s="1"/>
      <c r="GJ998" s="1"/>
      <c r="GK998" s="1"/>
      <c r="GL998" s="1"/>
      <c r="GM998" s="1"/>
      <c r="GN998" s="1"/>
      <c r="GP998" s="1"/>
      <c r="GR998" s="1"/>
      <c r="GY998" s="1"/>
      <c r="HF998" s="1"/>
      <c r="HH998" s="1"/>
      <c r="HN998" s="1"/>
      <c r="HT998" s="1"/>
      <c r="HY998" s="1"/>
      <c r="IC998" s="1"/>
      <c r="ID998" s="1"/>
      <c r="IE998" s="1"/>
      <c r="IG998" s="1"/>
      <c r="IJ998" s="1"/>
      <c r="IR998" s="1"/>
      <c r="IS998" s="1"/>
      <c r="IZ998" s="1"/>
      <c r="JF998" s="1"/>
      <c r="JH998" s="1"/>
      <c r="JJ998" s="1"/>
      <c r="JK998" s="1"/>
      <c r="JL998" s="3"/>
      <c r="JM998" s="1"/>
      <c r="JP998" s="1"/>
      <c r="JQ998" s="1"/>
      <c r="JR998" s="1"/>
      <c r="KU998" s="1"/>
      <c r="KV998" s="1"/>
      <c r="KY998" s="1"/>
      <c r="KZ998" s="1"/>
      <c r="LA998" s="1"/>
      <c r="LB998" s="1"/>
      <c r="LC998" s="1"/>
      <c r="LD998" s="1"/>
      <c r="LO998" s="1"/>
      <c r="LP998" s="1"/>
      <c r="LZ998" s="1"/>
      <c r="MA998" s="1"/>
    </row>
    <row r="999" spans="4:339" ht="13" x14ac:dyDescent="0.15">
      <c r="D999" s="12"/>
      <c r="E999" s="12"/>
      <c r="I999" s="12"/>
      <c r="J999" s="13"/>
      <c r="BF999" s="1"/>
      <c r="BG999" s="1"/>
      <c r="BH999" s="1"/>
      <c r="BI999" s="1"/>
      <c r="BK999" s="1"/>
      <c r="BL999" s="1"/>
      <c r="BM999" s="1"/>
      <c r="BN999" s="1"/>
      <c r="BO999" s="1"/>
      <c r="BP999" s="1"/>
      <c r="BQ999" s="1"/>
      <c r="BR999" s="1"/>
      <c r="BX999" s="1"/>
      <c r="CD999" s="1"/>
      <c r="CE999" s="1"/>
      <c r="CF999" s="1"/>
      <c r="CG999" s="1"/>
      <c r="CH999" s="1"/>
      <c r="CI999" s="1"/>
      <c r="CJ999" s="1"/>
      <c r="CM999" s="2"/>
      <c r="CN999" s="1"/>
      <c r="CO999" s="1"/>
      <c r="CP999" s="1"/>
      <c r="CQ999" s="1"/>
      <c r="CR999" s="1"/>
      <c r="CS999" s="1"/>
      <c r="CT999" s="1"/>
      <c r="CU999" s="1"/>
      <c r="CV999" s="1"/>
      <c r="CW999" s="1"/>
      <c r="CX999" s="1"/>
      <c r="CY999" s="1"/>
      <c r="CZ999" s="1"/>
      <c r="DA999" s="1"/>
      <c r="DB999" s="1"/>
      <c r="DC999" s="1"/>
      <c r="DD999" s="1"/>
      <c r="DE999" s="1"/>
      <c r="DF999" s="1"/>
      <c r="DG999" s="1"/>
      <c r="DH999" s="1"/>
      <c r="DI999" s="1"/>
      <c r="DJ999" s="1"/>
      <c r="DK999" s="1"/>
      <c r="ED999" s="1"/>
      <c r="EE999" s="1"/>
      <c r="EF999" s="1"/>
      <c r="EG999" s="1"/>
      <c r="EH999" s="1"/>
      <c r="EK999" s="1"/>
      <c r="EL999" s="1"/>
      <c r="EM999" s="1"/>
      <c r="EN999" s="1"/>
      <c r="EQ999" s="1"/>
      <c r="ER999" s="1"/>
      <c r="ES999" s="1"/>
      <c r="EV999" s="1"/>
      <c r="EW999" s="1"/>
      <c r="EY999" s="1"/>
      <c r="EZ999" s="1"/>
      <c r="FA999" s="1"/>
      <c r="FD999" s="1"/>
      <c r="FH999" s="1"/>
      <c r="FJ999" s="1"/>
      <c r="FP999" s="1"/>
      <c r="FS999" s="1"/>
      <c r="FU999" s="1"/>
      <c r="FV999" s="1"/>
      <c r="FW999" s="1"/>
      <c r="FX999" s="1"/>
      <c r="FZ999" s="1"/>
      <c r="GA999" s="1"/>
      <c r="GD999" s="1"/>
      <c r="GE999" s="1"/>
      <c r="GF999" s="1"/>
      <c r="GG999" s="1"/>
      <c r="GH999" s="1"/>
      <c r="GI999" s="1"/>
      <c r="GJ999" s="1"/>
      <c r="GK999" s="1"/>
      <c r="GL999" s="1"/>
      <c r="GM999" s="1"/>
      <c r="GN999" s="1"/>
      <c r="GP999" s="1"/>
      <c r="GR999" s="1"/>
      <c r="GY999" s="1"/>
      <c r="HF999" s="1"/>
      <c r="HH999" s="1"/>
      <c r="HN999" s="1"/>
      <c r="HT999" s="1"/>
      <c r="HY999" s="1"/>
      <c r="IC999" s="1"/>
      <c r="ID999" s="1"/>
      <c r="IE999" s="1"/>
      <c r="IG999" s="1"/>
      <c r="IJ999" s="1"/>
      <c r="IR999" s="1"/>
      <c r="IS999" s="1"/>
      <c r="IZ999" s="1"/>
      <c r="JF999" s="1"/>
      <c r="JH999" s="1"/>
      <c r="JJ999" s="1"/>
      <c r="JK999" s="1"/>
      <c r="JL999" s="3"/>
      <c r="JM999" s="1"/>
      <c r="JP999" s="1"/>
      <c r="JQ999" s="1"/>
      <c r="JR999" s="1"/>
      <c r="KU999" s="1"/>
      <c r="KV999" s="1"/>
      <c r="KY999" s="1"/>
      <c r="KZ999" s="1"/>
      <c r="LA999" s="1"/>
      <c r="LB999" s="1"/>
      <c r="LC999" s="1"/>
      <c r="LD999" s="1"/>
      <c r="LO999" s="1"/>
      <c r="LP999" s="1"/>
      <c r="LZ999" s="1"/>
      <c r="MA999" s="1"/>
    </row>
    <row r="1000" spans="4:339" ht="13" x14ac:dyDescent="0.15">
      <c r="D1000" s="12"/>
      <c r="E1000" s="12"/>
      <c r="I1000" s="12"/>
      <c r="J1000" s="13"/>
      <c r="BF1000" s="1"/>
      <c r="BG1000" s="1"/>
      <c r="BH1000" s="1"/>
      <c r="BI1000" s="1"/>
      <c r="BK1000" s="1"/>
      <c r="BL1000" s="1"/>
      <c r="BM1000" s="1"/>
      <c r="BN1000" s="1"/>
      <c r="BO1000" s="1"/>
      <c r="BP1000" s="1"/>
      <c r="BQ1000" s="1"/>
      <c r="BR1000" s="1"/>
      <c r="BX1000" s="1"/>
      <c r="CD1000" s="1"/>
      <c r="CE1000" s="1"/>
      <c r="CF1000" s="1"/>
      <c r="CG1000" s="1"/>
      <c r="CH1000" s="1"/>
      <c r="CI1000" s="1"/>
      <c r="CJ1000" s="1"/>
      <c r="CM1000" s="2"/>
      <c r="CN1000" s="1"/>
      <c r="CO1000" s="1"/>
      <c r="CP1000" s="1"/>
      <c r="CQ1000" s="1"/>
      <c r="CR1000" s="1"/>
      <c r="CS1000" s="1"/>
      <c r="CT1000" s="1"/>
      <c r="CU1000" s="1"/>
      <c r="CV1000" s="1"/>
      <c r="CW1000" s="1"/>
      <c r="CX1000" s="1"/>
      <c r="CY1000" s="1"/>
      <c r="CZ1000" s="1"/>
      <c r="DA1000" s="1"/>
      <c r="DB1000" s="1"/>
      <c r="DC1000" s="1"/>
      <c r="DD1000" s="1"/>
      <c r="DE1000" s="1"/>
      <c r="DF1000" s="1"/>
      <c r="DG1000" s="1"/>
      <c r="DH1000" s="1"/>
      <c r="DI1000" s="1"/>
      <c r="DJ1000" s="1"/>
      <c r="DK1000" s="1"/>
      <c r="ED1000" s="1"/>
      <c r="EE1000" s="1"/>
      <c r="EF1000" s="1"/>
      <c r="EG1000" s="1"/>
      <c r="EH1000" s="1"/>
      <c r="EK1000" s="1"/>
      <c r="EL1000" s="1"/>
      <c r="EM1000" s="1"/>
      <c r="EN1000" s="1"/>
      <c r="EQ1000" s="1"/>
      <c r="ER1000" s="1"/>
      <c r="ES1000" s="1"/>
      <c r="EV1000" s="1"/>
      <c r="EW1000" s="1"/>
      <c r="EY1000" s="1"/>
      <c r="EZ1000" s="1"/>
      <c r="FA1000" s="1"/>
      <c r="FD1000" s="1"/>
      <c r="FH1000" s="1"/>
      <c r="FJ1000" s="1"/>
      <c r="FP1000" s="1"/>
      <c r="FS1000" s="1"/>
      <c r="FU1000" s="1"/>
      <c r="FV1000" s="1"/>
      <c r="FW1000" s="1"/>
      <c r="FX1000" s="1"/>
      <c r="FZ1000" s="1"/>
      <c r="GA1000" s="1"/>
      <c r="GD1000" s="1"/>
      <c r="GE1000" s="1"/>
      <c r="GF1000" s="1"/>
      <c r="GG1000" s="1"/>
      <c r="GH1000" s="1"/>
      <c r="GI1000" s="1"/>
      <c r="GJ1000" s="1"/>
      <c r="GK1000" s="1"/>
      <c r="GL1000" s="1"/>
      <c r="GM1000" s="1"/>
      <c r="GN1000" s="1"/>
      <c r="GP1000" s="1"/>
      <c r="GR1000" s="1"/>
      <c r="GY1000" s="1"/>
      <c r="HF1000" s="1"/>
      <c r="HH1000" s="1"/>
      <c r="HN1000" s="1"/>
      <c r="HT1000" s="1"/>
      <c r="HY1000" s="1"/>
      <c r="IC1000" s="1"/>
      <c r="ID1000" s="1"/>
      <c r="IE1000" s="1"/>
      <c r="IG1000" s="1"/>
      <c r="IJ1000" s="1"/>
      <c r="IR1000" s="1"/>
      <c r="IS1000" s="1"/>
      <c r="IZ1000" s="1"/>
      <c r="JF1000" s="1"/>
      <c r="JH1000" s="1"/>
      <c r="JJ1000" s="1"/>
      <c r="JK1000" s="1"/>
      <c r="JL1000" s="3"/>
      <c r="JM1000" s="1"/>
      <c r="JP1000" s="1"/>
      <c r="JQ1000" s="1"/>
      <c r="JR1000" s="1"/>
      <c r="KU1000" s="1"/>
      <c r="KV1000" s="1"/>
      <c r="KY1000" s="1"/>
      <c r="KZ1000" s="1"/>
      <c r="LA1000" s="1"/>
      <c r="LB1000" s="1"/>
      <c r="LC1000" s="1"/>
      <c r="LD1000" s="1"/>
      <c r="LO1000" s="1"/>
      <c r="LP1000" s="1"/>
      <c r="LZ1000" s="1"/>
      <c r="MA1000" s="1"/>
    </row>
    <row r="1001" spans="4:339" ht="13" x14ac:dyDescent="0.15">
      <c r="D1001" s="12"/>
      <c r="E1001" s="12"/>
      <c r="I1001" s="12"/>
      <c r="J1001" s="13"/>
      <c r="BF1001" s="1"/>
      <c r="BG1001" s="1"/>
      <c r="BH1001" s="1"/>
      <c r="BI1001" s="1"/>
      <c r="BK1001" s="1"/>
      <c r="BL1001" s="1"/>
      <c r="BM1001" s="1"/>
      <c r="BN1001" s="1"/>
      <c r="BO1001" s="1"/>
      <c r="BP1001" s="1"/>
      <c r="BQ1001" s="1"/>
      <c r="BR1001" s="1"/>
      <c r="BX1001" s="1"/>
      <c r="CD1001" s="1"/>
      <c r="CE1001" s="1"/>
      <c r="CF1001" s="1"/>
      <c r="CG1001" s="1"/>
      <c r="CH1001" s="1"/>
      <c r="CI1001" s="1"/>
      <c r="CJ1001" s="1"/>
      <c r="CM1001" s="2"/>
      <c r="CN1001" s="1"/>
      <c r="CO1001" s="1"/>
      <c r="CP1001" s="1"/>
      <c r="CQ1001" s="1"/>
      <c r="CR1001" s="1"/>
      <c r="CS1001" s="1"/>
      <c r="CT1001" s="1"/>
      <c r="CU1001" s="1"/>
      <c r="CV1001" s="1"/>
      <c r="CW1001" s="1"/>
      <c r="CX1001" s="1"/>
      <c r="CY1001" s="1"/>
      <c r="CZ1001" s="1"/>
      <c r="DA1001" s="1"/>
      <c r="DB1001" s="1"/>
      <c r="DC1001" s="1"/>
      <c r="DD1001" s="1"/>
      <c r="DE1001" s="1"/>
      <c r="DF1001" s="1"/>
      <c r="DG1001" s="1"/>
      <c r="DH1001" s="1"/>
      <c r="DI1001" s="1"/>
      <c r="DJ1001" s="1"/>
      <c r="DK1001" s="1"/>
      <c r="ED1001" s="1"/>
      <c r="EE1001" s="1"/>
      <c r="EF1001" s="1"/>
      <c r="EG1001" s="1"/>
      <c r="EH1001" s="1"/>
      <c r="EK1001" s="1"/>
      <c r="EL1001" s="1"/>
      <c r="EM1001" s="1"/>
      <c r="EN1001" s="1"/>
      <c r="EQ1001" s="1"/>
      <c r="ER1001" s="1"/>
      <c r="ES1001" s="1"/>
      <c r="EV1001" s="1"/>
      <c r="EW1001" s="1"/>
      <c r="EY1001" s="1"/>
      <c r="EZ1001" s="1"/>
      <c r="FA1001" s="1"/>
      <c r="FD1001" s="1"/>
      <c r="FH1001" s="1"/>
      <c r="FJ1001" s="1"/>
      <c r="FP1001" s="1"/>
      <c r="FS1001" s="1"/>
      <c r="FU1001" s="1"/>
      <c r="FV1001" s="1"/>
      <c r="FW1001" s="1"/>
      <c r="FX1001" s="1"/>
      <c r="FZ1001" s="1"/>
      <c r="GA1001" s="1"/>
      <c r="GD1001" s="1"/>
      <c r="GE1001" s="1"/>
      <c r="GF1001" s="1"/>
      <c r="GG1001" s="1"/>
      <c r="GH1001" s="1"/>
      <c r="GI1001" s="1"/>
      <c r="GJ1001" s="1"/>
      <c r="GK1001" s="1"/>
      <c r="GL1001" s="1"/>
      <c r="GM1001" s="1"/>
      <c r="GN1001" s="1"/>
      <c r="GP1001" s="1"/>
      <c r="GR1001" s="1"/>
      <c r="GY1001" s="1"/>
      <c r="HF1001" s="1"/>
      <c r="HH1001" s="1"/>
      <c r="HN1001" s="1"/>
      <c r="HT1001" s="1"/>
      <c r="HY1001" s="1"/>
      <c r="IC1001" s="1"/>
      <c r="ID1001" s="1"/>
      <c r="IE1001" s="1"/>
      <c r="IG1001" s="1"/>
      <c r="IJ1001" s="1"/>
      <c r="IR1001" s="1"/>
      <c r="IS1001" s="1"/>
      <c r="IZ1001" s="1"/>
      <c r="JF1001" s="1"/>
      <c r="JH1001" s="1"/>
      <c r="JJ1001" s="1"/>
      <c r="JK1001" s="1"/>
      <c r="JL1001" s="3"/>
      <c r="JM1001" s="1"/>
      <c r="JP1001" s="1"/>
      <c r="JQ1001" s="1"/>
      <c r="JR1001" s="1"/>
      <c r="KU1001" s="1"/>
      <c r="KV1001" s="1"/>
      <c r="KY1001" s="1"/>
      <c r="KZ1001" s="1"/>
      <c r="LA1001" s="1"/>
      <c r="LB1001" s="1"/>
      <c r="LC1001" s="1"/>
      <c r="LD1001" s="1"/>
      <c r="LO1001" s="1"/>
      <c r="LP1001" s="1"/>
      <c r="LZ1001" s="1"/>
      <c r="MA1001" s="1"/>
    </row>
    <row r="1002" spans="4:339" ht="13" x14ac:dyDescent="0.15">
      <c r="D1002" s="12"/>
      <c r="E1002" s="12"/>
      <c r="I1002" s="12"/>
      <c r="J1002" s="13"/>
      <c r="BF1002" s="1"/>
      <c r="BG1002" s="1"/>
      <c r="BH1002" s="1"/>
      <c r="BI1002" s="1"/>
      <c r="BJ1002" s="1"/>
      <c r="BK1002" s="1"/>
      <c r="BL1002" s="1"/>
      <c r="BM1002" s="1"/>
      <c r="BN1002" s="1"/>
      <c r="BP1002" s="1"/>
      <c r="BQ1002" s="1"/>
      <c r="BR1002" s="1"/>
      <c r="CD1002" s="1"/>
      <c r="CE1002" s="1"/>
      <c r="CF1002" s="1"/>
      <c r="CG1002" s="1"/>
      <c r="CM1002" s="4"/>
      <c r="CO1002" s="1"/>
      <c r="CP1002" s="1"/>
      <c r="CQ1002" s="1"/>
      <c r="CR1002" s="1"/>
      <c r="CS1002" s="1"/>
      <c r="CT1002" s="1"/>
      <c r="CU1002" s="1"/>
      <c r="CV1002" s="1"/>
      <c r="CW1002" s="1"/>
      <c r="CX1002" s="1"/>
      <c r="CY1002" s="1"/>
      <c r="CZ1002" s="1"/>
      <c r="DA1002" s="1"/>
      <c r="DB1002" s="1"/>
      <c r="DC1002" s="1"/>
      <c r="DD1002" s="1"/>
      <c r="DE1002" s="1"/>
      <c r="DF1002" s="1"/>
      <c r="DG1002" s="1"/>
      <c r="DH1002" s="1"/>
      <c r="DI1002" s="1"/>
      <c r="DJ1002" s="1"/>
      <c r="DK1002" s="1"/>
      <c r="ED1002" s="1"/>
      <c r="EK1002" s="1"/>
      <c r="EL1002" s="1"/>
      <c r="EM1002" s="1"/>
      <c r="EN1002" s="1"/>
      <c r="EQ1002" s="1"/>
      <c r="ER1002" s="1"/>
      <c r="ES1002" s="1"/>
      <c r="EV1002" s="1"/>
      <c r="EW1002" s="1"/>
      <c r="EZ1002" s="1"/>
      <c r="GJ1002" s="1"/>
      <c r="GK1002" s="1"/>
      <c r="GL1002" s="1"/>
      <c r="GM1002" s="1"/>
      <c r="GN1002" s="1"/>
      <c r="GP1002" s="1"/>
      <c r="GU1002" s="1"/>
      <c r="GY1002" s="1"/>
      <c r="HF1002" s="1"/>
      <c r="HH1002" s="1"/>
      <c r="HN1002" s="1"/>
      <c r="HT1002" s="1"/>
      <c r="HY1002" s="1"/>
      <c r="IC1002" s="1"/>
      <c r="IE1002" s="1"/>
      <c r="IS1002" s="1"/>
      <c r="IY1002" s="1"/>
      <c r="IZ1002" s="1"/>
      <c r="JC1002" s="1"/>
      <c r="JH1002" s="1"/>
      <c r="JJ1002" s="1"/>
      <c r="JN1002" s="1"/>
      <c r="JP1002" s="1"/>
      <c r="JQ1002" s="1"/>
      <c r="KU1002" s="1"/>
      <c r="KV1002" s="1"/>
      <c r="KY1002" s="1"/>
      <c r="KZ1002" s="1"/>
      <c r="LA1002" s="1"/>
      <c r="LB1002" s="1"/>
      <c r="LC1002" s="1"/>
      <c r="LD1002" s="1"/>
      <c r="LF1002" s="1"/>
      <c r="LN1002" s="1"/>
      <c r="LO1002" s="1"/>
      <c r="LP1002" s="1"/>
      <c r="LZ1002" s="1"/>
      <c r="MA1002" s="1"/>
    </row>
    <row r="1003" spans="4:339" ht="13" x14ac:dyDescent="0.15">
      <c r="D1003" s="12"/>
      <c r="E1003" s="12"/>
      <c r="I1003" s="12"/>
      <c r="J1003" s="13"/>
      <c r="BG1003" s="1"/>
      <c r="BH1003" s="1"/>
      <c r="BI1003" s="1"/>
      <c r="BJ1003" s="1"/>
      <c r="BK1003" s="1"/>
      <c r="BL1003" s="1"/>
      <c r="BM1003" s="1"/>
      <c r="BN1003" s="1"/>
      <c r="BO1003" s="1"/>
      <c r="BP1003" s="1"/>
      <c r="BQ1003" s="1"/>
      <c r="BR1003" s="1"/>
      <c r="CD1003" s="1"/>
      <c r="CE1003" s="1"/>
      <c r="CF1003" s="1"/>
      <c r="CG1003" s="1"/>
      <c r="CK1003" s="1"/>
      <c r="CM1003" s="2"/>
      <c r="CP1003" s="1"/>
      <c r="CQ1003" s="1"/>
      <c r="CV1003" s="1"/>
      <c r="CW1003" s="1"/>
      <c r="CX1003" s="1"/>
      <c r="CY1003" s="1"/>
      <c r="CZ1003" s="1"/>
      <c r="DA1003" s="1"/>
      <c r="DB1003" s="1"/>
      <c r="DC1003" s="1"/>
      <c r="DD1003" s="1"/>
      <c r="DE1003" s="1"/>
      <c r="DF1003" s="1"/>
      <c r="DG1003" s="1"/>
      <c r="DH1003" s="1"/>
      <c r="DI1003" s="1"/>
      <c r="DJ1003" s="1"/>
      <c r="DK1003" s="1"/>
      <c r="DM1003" s="1"/>
      <c r="DQ1003" s="1"/>
      <c r="DR1003" s="1"/>
      <c r="DY1003" s="1"/>
      <c r="DZ1003" s="1"/>
      <c r="ED1003" s="1"/>
      <c r="EK1003" s="1"/>
      <c r="EL1003" s="1"/>
      <c r="EM1003" s="1"/>
      <c r="EN1003" s="1"/>
      <c r="EQ1003" s="1"/>
      <c r="ER1003" s="1"/>
      <c r="ES1003" s="1"/>
      <c r="EV1003" s="1"/>
      <c r="EW1003" s="1"/>
      <c r="EZ1003" s="1"/>
      <c r="GO1003" s="1"/>
      <c r="GP1003" s="1"/>
      <c r="HF1003" s="1"/>
      <c r="HH1003" s="1"/>
      <c r="HN1003" s="1"/>
      <c r="HQ1003" s="1"/>
      <c r="HY1003" s="1"/>
      <c r="IE1003" s="1"/>
      <c r="IR1003" s="1"/>
      <c r="IS1003" s="1"/>
      <c r="IW1003" s="1"/>
      <c r="IZ1003" s="1"/>
      <c r="JA1003" s="1"/>
      <c r="JC1003" s="1"/>
      <c r="JG1003" s="1"/>
      <c r="JJ1003" s="1"/>
      <c r="JP1003" s="1"/>
      <c r="JQ1003" s="1"/>
      <c r="KW1003" s="1"/>
      <c r="KY1003" s="1"/>
      <c r="KZ1003" s="1"/>
      <c r="LA1003" s="1"/>
      <c r="LB1003" s="1"/>
      <c r="LZ1003" s="1"/>
      <c r="MA1003" s="1"/>
    </row>
    <row r="1004" spans="4:339" ht="13" x14ac:dyDescent="0.15">
      <c r="D1004" s="12"/>
      <c r="E1004" s="12"/>
      <c r="I1004" s="12"/>
      <c r="J1004" s="13"/>
      <c r="BG1004" s="1"/>
      <c r="BH1004" s="1"/>
      <c r="BI1004" s="1"/>
      <c r="BJ1004" s="1"/>
      <c r="BK1004" s="1"/>
      <c r="BL1004" s="1"/>
      <c r="BM1004" s="1"/>
      <c r="BN1004" s="1"/>
      <c r="BO1004" s="1"/>
      <c r="BP1004" s="1"/>
      <c r="BQ1004" s="1"/>
      <c r="BR1004" s="1"/>
      <c r="CD1004" s="1"/>
      <c r="CE1004" s="1"/>
      <c r="CF1004" s="1"/>
      <c r="CG1004" s="1"/>
      <c r="CK1004" s="1"/>
      <c r="CM1004" s="2"/>
      <c r="CP1004" s="1"/>
      <c r="CQ1004" s="1"/>
      <c r="CV1004" s="1"/>
      <c r="CW1004" s="1"/>
      <c r="CX1004" s="1"/>
      <c r="CY1004" s="1"/>
      <c r="CZ1004" s="1"/>
      <c r="DA1004" s="1"/>
      <c r="DB1004" s="1"/>
      <c r="DC1004" s="1"/>
      <c r="DD1004" s="1"/>
      <c r="DE1004" s="1"/>
      <c r="DF1004" s="1"/>
      <c r="DG1004" s="1"/>
      <c r="DH1004" s="1"/>
      <c r="DI1004" s="1"/>
      <c r="DJ1004" s="1"/>
      <c r="DK1004" s="1"/>
      <c r="DM1004" s="1"/>
      <c r="DQ1004" s="1"/>
      <c r="DR1004" s="1"/>
      <c r="DY1004" s="1"/>
      <c r="DZ1004" s="1"/>
      <c r="ED1004" s="1"/>
      <c r="EK1004" s="1"/>
      <c r="EL1004" s="1"/>
      <c r="EM1004" s="1"/>
      <c r="EN1004" s="1"/>
      <c r="EQ1004" s="1"/>
      <c r="ER1004" s="1"/>
      <c r="ES1004" s="1"/>
      <c r="EV1004" s="1"/>
      <c r="EW1004" s="1"/>
      <c r="EZ1004" s="1"/>
      <c r="GO1004" s="1"/>
      <c r="GP1004" s="1"/>
      <c r="HF1004" s="1"/>
      <c r="HH1004" s="1"/>
      <c r="HN1004" s="1"/>
      <c r="HQ1004" s="1"/>
      <c r="HY1004" s="1"/>
      <c r="IE1004" s="1"/>
      <c r="IR1004" s="1"/>
      <c r="IS1004" s="1"/>
      <c r="IW1004" s="1"/>
      <c r="IZ1004" s="1"/>
      <c r="JA1004" s="1"/>
      <c r="JC1004" s="1"/>
      <c r="JG1004" s="1"/>
      <c r="JJ1004" s="1"/>
      <c r="JP1004" s="1"/>
      <c r="JQ1004" s="1"/>
      <c r="KW1004" s="1"/>
      <c r="KY1004" s="1"/>
      <c r="KZ1004" s="1"/>
      <c r="LA1004" s="1"/>
      <c r="LB1004" s="1"/>
      <c r="LZ1004" s="1"/>
      <c r="MA1004" s="1"/>
    </row>
    <row r="1005" spans="4:339" ht="13" x14ac:dyDescent="0.15">
      <c r="D1005" s="12"/>
      <c r="E1005" s="12"/>
      <c r="I1005" s="12"/>
      <c r="J1005" s="13"/>
      <c r="BG1005" s="1"/>
      <c r="BH1005" s="1"/>
      <c r="BI1005" s="1"/>
      <c r="BJ1005" s="1"/>
      <c r="BK1005" s="1"/>
      <c r="BL1005" s="1"/>
      <c r="BM1005" s="1"/>
      <c r="BN1005" s="1"/>
      <c r="BO1005" s="1"/>
      <c r="BP1005" s="1"/>
      <c r="BQ1005" s="1"/>
      <c r="BR1005" s="1"/>
      <c r="CD1005" s="1"/>
      <c r="CE1005" s="1"/>
      <c r="CF1005" s="1"/>
      <c r="CG1005" s="1"/>
      <c r="CK1005" s="1"/>
      <c r="CM1005" s="2"/>
      <c r="CP1005" s="1"/>
      <c r="CQ1005" s="1"/>
      <c r="CV1005" s="1"/>
      <c r="CW1005" s="1"/>
      <c r="CX1005" s="1"/>
      <c r="CY1005" s="1"/>
      <c r="CZ1005" s="1"/>
      <c r="DA1005" s="1"/>
      <c r="DB1005" s="1"/>
      <c r="DC1005" s="1"/>
      <c r="DD1005" s="1"/>
      <c r="DE1005" s="1"/>
      <c r="DF1005" s="1"/>
      <c r="DG1005" s="1"/>
      <c r="DH1005" s="1"/>
      <c r="DI1005" s="1"/>
      <c r="DJ1005" s="1"/>
      <c r="DK1005" s="1"/>
      <c r="DM1005" s="1"/>
      <c r="DQ1005" s="1"/>
      <c r="DR1005" s="1"/>
      <c r="DY1005" s="1"/>
      <c r="DZ1005" s="1"/>
      <c r="ED1005" s="1"/>
      <c r="EK1005" s="1"/>
      <c r="EL1005" s="1"/>
      <c r="EM1005" s="1"/>
      <c r="EN1005" s="1"/>
      <c r="EQ1005" s="1"/>
      <c r="ER1005" s="1"/>
      <c r="ES1005" s="1"/>
      <c r="EV1005" s="1"/>
      <c r="EW1005" s="1"/>
      <c r="EZ1005" s="1"/>
      <c r="GO1005" s="1"/>
      <c r="GP1005" s="1"/>
      <c r="HF1005" s="1"/>
      <c r="HH1005" s="1"/>
      <c r="HN1005" s="1"/>
      <c r="HQ1005" s="1"/>
      <c r="HY1005" s="1"/>
      <c r="IE1005" s="1"/>
      <c r="IR1005" s="1"/>
      <c r="IS1005" s="1"/>
      <c r="IW1005" s="1"/>
      <c r="IZ1005" s="1"/>
      <c r="JA1005" s="1"/>
      <c r="JC1005" s="1"/>
      <c r="JG1005" s="1"/>
      <c r="JJ1005" s="1"/>
      <c r="JP1005" s="1"/>
      <c r="JQ1005" s="1"/>
      <c r="KW1005" s="1"/>
      <c r="KY1005" s="1"/>
      <c r="KZ1005" s="1"/>
      <c r="LA1005" s="1"/>
      <c r="LB1005" s="1"/>
      <c r="LZ1005" s="1"/>
      <c r="MA1005" s="1"/>
    </row>
    <row r="1006" spans="4:339" ht="13" x14ac:dyDescent="0.15">
      <c r="D1006" s="12"/>
      <c r="E1006" s="12"/>
      <c r="I1006" s="12"/>
      <c r="J1006" s="13"/>
      <c r="BG1006" s="1"/>
      <c r="BH1006" s="1"/>
      <c r="BI1006" s="1"/>
      <c r="BJ1006" s="1"/>
      <c r="BK1006" s="1"/>
      <c r="BL1006" s="1"/>
      <c r="BM1006" s="1"/>
      <c r="BN1006" s="1"/>
      <c r="BO1006" s="1"/>
      <c r="BP1006" s="1"/>
      <c r="BQ1006" s="1"/>
      <c r="BR1006" s="1"/>
      <c r="CD1006" s="1"/>
      <c r="CE1006" s="1"/>
      <c r="CF1006" s="1"/>
      <c r="CG1006" s="1"/>
      <c r="CK1006" s="1"/>
      <c r="CM1006" s="2"/>
      <c r="CP1006" s="1"/>
      <c r="CQ1006" s="1"/>
      <c r="CV1006" s="1"/>
      <c r="CW1006" s="1"/>
      <c r="CX1006" s="1"/>
      <c r="CY1006" s="1"/>
      <c r="CZ1006" s="1"/>
      <c r="DA1006" s="1"/>
      <c r="DB1006" s="1"/>
      <c r="DC1006" s="1"/>
      <c r="DD1006" s="1"/>
      <c r="DE1006" s="1"/>
      <c r="DF1006" s="1"/>
      <c r="DG1006" s="1"/>
      <c r="DH1006" s="1"/>
      <c r="DI1006" s="1"/>
      <c r="DJ1006" s="1"/>
      <c r="DK1006" s="1"/>
      <c r="DM1006" s="1"/>
      <c r="DQ1006" s="1"/>
      <c r="DR1006" s="1"/>
      <c r="DY1006" s="1"/>
      <c r="DZ1006" s="1"/>
      <c r="ED1006" s="1"/>
      <c r="EK1006" s="1"/>
      <c r="EL1006" s="1"/>
      <c r="EM1006" s="1"/>
      <c r="EN1006" s="1"/>
      <c r="EQ1006" s="1"/>
      <c r="ER1006" s="1"/>
      <c r="ES1006" s="1"/>
      <c r="EV1006" s="1"/>
      <c r="EW1006" s="1"/>
      <c r="EZ1006" s="1"/>
      <c r="GO1006" s="1"/>
      <c r="GP1006" s="1"/>
      <c r="HF1006" s="1"/>
      <c r="HH1006" s="1"/>
      <c r="HN1006" s="1"/>
      <c r="HQ1006" s="1"/>
      <c r="HY1006" s="1"/>
      <c r="IE1006" s="1"/>
      <c r="IR1006" s="1"/>
      <c r="IS1006" s="1"/>
      <c r="IW1006" s="1"/>
      <c r="IZ1006" s="1"/>
      <c r="JA1006" s="1"/>
      <c r="JC1006" s="1"/>
      <c r="JG1006" s="1"/>
      <c r="JJ1006" s="1"/>
      <c r="JP1006" s="1"/>
      <c r="JQ1006" s="1"/>
      <c r="KW1006" s="1"/>
      <c r="KY1006" s="1"/>
      <c r="KZ1006" s="1"/>
      <c r="LA1006" s="1"/>
      <c r="LB1006" s="1"/>
      <c r="LZ1006" s="1"/>
      <c r="MA1006" s="1"/>
    </row>
    <row r="1007" spans="4:339" ht="13" x14ac:dyDescent="0.15">
      <c r="D1007" s="12"/>
      <c r="E1007" s="12"/>
      <c r="I1007" s="12"/>
      <c r="J1007" s="13"/>
      <c r="BG1007" s="1"/>
      <c r="BH1007" s="1"/>
      <c r="BI1007" s="1"/>
      <c r="BJ1007" s="1"/>
      <c r="BK1007" s="1"/>
      <c r="BL1007" s="1"/>
      <c r="BM1007" s="1"/>
      <c r="BN1007" s="1"/>
      <c r="BO1007" s="1"/>
      <c r="BP1007" s="1"/>
      <c r="BQ1007" s="1"/>
      <c r="BR1007" s="1"/>
      <c r="CD1007" s="1"/>
      <c r="CE1007" s="1"/>
      <c r="CF1007" s="1"/>
      <c r="CG1007" s="1"/>
      <c r="CK1007" s="1"/>
      <c r="CM1007" s="2"/>
      <c r="CP1007" s="1"/>
      <c r="CQ1007" s="1"/>
      <c r="CV1007" s="1"/>
      <c r="CW1007" s="1"/>
      <c r="CX1007" s="1"/>
      <c r="CY1007" s="1"/>
      <c r="CZ1007" s="1"/>
      <c r="DA1007" s="1"/>
      <c r="DB1007" s="1"/>
      <c r="DC1007" s="1"/>
      <c r="DD1007" s="1"/>
      <c r="DE1007" s="1"/>
      <c r="DF1007" s="1"/>
      <c r="DG1007" s="1"/>
      <c r="DH1007" s="1"/>
      <c r="DI1007" s="1"/>
      <c r="DJ1007" s="1"/>
      <c r="DK1007" s="1"/>
      <c r="DM1007" s="1"/>
      <c r="DQ1007" s="1"/>
      <c r="DR1007" s="1"/>
      <c r="DY1007" s="1"/>
      <c r="DZ1007" s="1"/>
      <c r="ED1007" s="1"/>
      <c r="EK1007" s="1"/>
      <c r="EL1007" s="1"/>
      <c r="EM1007" s="1"/>
      <c r="EN1007" s="1"/>
      <c r="EQ1007" s="1"/>
      <c r="ER1007" s="1"/>
      <c r="ES1007" s="1"/>
      <c r="EV1007" s="1"/>
      <c r="EW1007" s="1"/>
      <c r="EZ1007" s="1"/>
      <c r="GO1007" s="1"/>
      <c r="GP1007" s="1"/>
      <c r="HF1007" s="1"/>
      <c r="HH1007" s="1"/>
      <c r="HN1007" s="1"/>
      <c r="HQ1007" s="1"/>
      <c r="HY1007" s="1"/>
      <c r="IE1007" s="1"/>
      <c r="IR1007" s="1"/>
      <c r="IS1007" s="1"/>
      <c r="IW1007" s="1"/>
      <c r="IZ1007" s="1"/>
      <c r="JA1007" s="1"/>
      <c r="JC1007" s="1"/>
      <c r="JG1007" s="1"/>
      <c r="JJ1007" s="1"/>
      <c r="JP1007" s="1"/>
      <c r="JQ1007" s="1"/>
      <c r="KW1007" s="1"/>
      <c r="KY1007" s="1"/>
      <c r="KZ1007" s="1"/>
      <c r="LA1007" s="1"/>
      <c r="LB1007" s="1"/>
      <c r="LZ1007" s="1"/>
      <c r="MA1007" s="1"/>
    </row>
    <row r="1008" spans="4:339" ht="13" x14ac:dyDescent="0.15">
      <c r="D1008" s="12"/>
      <c r="E1008" s="12"/>
      <c r="I1008" s="12"/>
      <c r="J1008" s="13"/>
      <c r="BG1008" s="1"/>
      <c r="BH1008" s="1"/>
      <c r="BI1008" s="1"/>
      <c r="BJ1008" s="1"/>
      <c r="BK1008" s="1"/>
      <c r="BL1008" s="1"/>
      <c r="BM1008" s="1"/>
      <c r="BN1008" s="1"/>
      <c r="BO1008" s="1"/>
      <c r="BP1008" s="1"/>
      <c r="BQ1008" s="1"/>
      <c r="BR1008" s="1"/>
      <c r="CD1008" s="1"/>
      <c r="CE1008" s="1"/>
      <c r="CF1008" s="1"/>
      <c r="CG1008" s="1"/>
      <c r="CK1008" s="1"/>
      <c r="CM1008" s="2"/>
      <c r="CP1008" s="1"/>
      <c r="CQ1008" s="1"/>
      <c r="CV1008" s="1"/>
      <c r="CW1008" s="1"/>
      <c r="CX1008" s="1"/>
      <c r="CY1008" s="1"/>
      <c r="CZ1008" s="1"/>
      <c r="DA1008" s="1"/>
      <c r="DB1008" s="1"/>
      <c r="DC1008" s="1"/>
      <c r="DD1008" s="1"/>
      <c r="DE1008" s="1"/>
      <c r="DF1008" s="1"/>
      <c r="DG1008" s="1"/>
      <c r="DH1008" s="1"/>
      <c r="DI1008" s="1"/>
      <c r="DJ1008" s="1"/>
      <c r="DK1008" s="1"/>
      <c r="DM1008" s="1"/>
      <c r="DQ1008" s="1"/>
      <c r="DR1008" s="1"/>
      <c r="DY1008" s="1"/>
      <c r="DZ1008" s="1"/>
      <c r="ED1008" s="1"/>
      <c r="EK1008" s="1"/>
      <c r="EL1008" s="1"/>
      <c r="EM1008" s="1"/>
      <c r="EN1008" s="1"/>
      <c r="EQ1008" s="1"/>
      <c r="ER1008" s="1"/>
      <c r="ES1008" s="1"/>
      <c r="EV1008" s="1"/>
      <c r="EW1008" s="1"/>
      <c r="EZ1008" s="1"/>
      <c r="GO1008" s="1"/>
      <c r="GP1008" s="1"/>
      <c r="HF1008" s="1"/>
      <c r="HH1008" s="1"/>
      <c r="HN1008" s="1"/>
      <c r="HQ1008" s="1"/>
      <c r="HY1008" s="1"/>
      <c r="IE1008" s="1"/>
      <c r="IR1008" s="1"/>
      <c r="IS1008" s="1"/>
      <c r="IW1008" s="1"/>
      <c r="IZ1008" s="1"/>
      <c r="JA1008" s="1"/>
      <c r="JC1008" s="1"/>
      <c r="JG1008" s="1"/>
      <c r="JJ1008" s="1"/>
      <c r="JP1008" s="1"/>
      <c r="JQ1008" s="1"/>
      <c r="KW1008" s="1"/>
      <c r="KY1008" s="1"/>
      <c r="KZ1008" s="1"/>
      <c r="LA1008" s="1"/>
      <c r="LB1008" s="1"/>
      <c r="LZ1008" s="1"/>
      <c r="MA1008" s="1"/>
    </row>
    <row r="1009" spans="4:339" ht="13" x14ac:dyDescent="0.15">
      <c r="D1009" s="12"/>
      <c r="E1009" s="12"/>
      <c r="I1009" s="12"/>
      <c r="J1009" s="13"/>
      <c r="BG1009" s="1"/>
      <c r="BH1009" s="1"/>
      <c r="BI1009" s="1"/>
      <c r="BJ1009" s="1"/>
      <c r="BK1009" s="1"/>
      <c r="BL1009" s="1"/>
      <c r="BM1009" s="1"/>
      <c r="BN1009" s="1"/>
      <c r="BO1009" s="1"/>
      <c r="BP1009" s="1"/>
      <c r="BQ1009" s="1"/>
      <c r="BR1009" s="1"/>
      <c r="CD1009" s="1"/>
      <c r="CE1009" s="1"/>
      <c r="CF1009" s="1"/>
      <c r="CG1009" s="1"/>
      <c r="CK1009" s="1"/>
      <c r="CM1009" s="2"/>
      <c r="CP1009" s="1"/>
      <c r="CQ1009" s="1"/>
      <c r="CV1009" s="1"/>
      <c r="CW1009" s="1"/>
      <c r="CX1009" s="1"/>
      <c r="CY1009" s="1"/>
      <c r="CZ1009" s="1"/>
      <c r="DA1009" s="1"/>
      <c r="DB1009" s="1"/>
      <c r="DC1009" s="1"/>
      <c r="DD1009" s="1"/>
      <c r="DE1009" s="1"/>
      <c r="DF1009" s="1"/>
      <c r="DG1009" s="1"/>
      <c r="DH1009" s="1"/>
      <c r="DI1009" s="1"/>
      <c r="DJ1009" s="1"/>
      <c r="DK1009" s="1"/>
      <c r="DM1009" s="1"/>
      <c r="DQ1009" s="1"/>
      <c r="DR1009" s="1"/>
      <c r="DY1009" s="1"/>
      <c r="DZ1009" s="1"/>
      <c r="ED1009" s="1"/>
      <c r="EK1009" s="1"/>
      <c r="EL1009" s="1"/>
      <c r="EM1009" s="1"/>
      <c r="EN1009" s="1"/>
      <c r="EQ1009" s="1"/>
      <c r="ER1009" s="1"/>
      <c r="ES1009" s="1"/>
      <c r="EV1009" s="1"/>
      <c r="EW1009" s="1"/>
      <c r="EZ1009" s="1"/>
      <c r="GO1009" s="1"/>
      <c r="GP1009" s="1"/>
      <c r="HF1009" s="1"/>
      <c r="HH1009" s="1"/>
      <c r="HN1009" s="1"/>
      <c r="HQ1009" s="1"/>
      <c r="HY1009" s="1"/>
      <c r="IE1009" s="1"/>
      <c r="IR1009" s="1"/>
      <c r="IS1009" s="1"/>
      <c r="IW1009" s="1"/>
      <c r="IZ1009" s="1"/>
      <c r="JA1009" s="1"/>
      <c r="JC1009" s="1"/>
      <c r="JG1009" s="1"/>
      <c r="JJ1009" s="1"/>
      <c r="JP1009" s="1"/>
      <c r="JQ1009" s="1"/>
      <c r="KW1009" s="1"/>
      <c r="KY1009" s="1"/>
      <c r="KZ1009" s="1"/>
      <c r="LA1009" s="1"/>
      <c r="LB1009" s="1"/>
      <c r="LZ1009" s="1"/>
      <c r="MA1009" s="1"/>
    </row>
    <row r="1010" spans="4:339" ht="13" x14ac:dyDescent="0.15">
      <c r="D1010" s="12"/>
      <c r="E1010" s="12"/>
      <c r="I1010" s="12"/>
      <c r="J1010" s="13"/>
      <c r="BG1010" s="1"/>
      <c r="BH1010" s="1"/>
      <c r="BI1010" s="1"/>
      <c r="BJ1010" s="1"/>
      <c r="BK1010" s="1"/>
      <c r="BL1010" s="1"/>
      <c r="BM1010" s="1"/>
      <c r="BN1010" s="1"/>
      <c r="BO1010" s="1"/>
      <c r="BP1010" s="1"/>
      <c r="BQ1010" s="1"/>
      <c r="BR1010" s="1"/>
      <c r="CD1010" s="1"/>
      <c r="CE1010" s="1"/>
      <c r="CF1010" s="1"/>
      <c r="CG1010" s="1"/>
      <c r="CK1010" s="1"/>
      <c r="CM1010" s="2"/>
      <c r="CP1010" s="1"/>
      <c r="CQ1010" s="1"/>
      <c r="CV1010" s="1"/>
      <c r="CW1010" s="1"/>
      <c r="CX1010" s="1"/>
      <c r="CY1010" s="1"/>
      <c r="CZ1010" s="1"/>
      <c r="DA1010" s="1"/>
      <c r="DB1010" s="1"/>
      <c r="DC1010" s="1"/>
      <c r="DD1010" s="1"/>
      <c r="DE1010" s="1"/>
      <c r="DF1010" s="1"/>
      <c r="DG1010" s="1"/>
      <c r="DH1010" s="1"/>
      <c r="DI1010" s="1"/>
      <c r="DJ1010" s="1"/>
      <c r="DK1010" s="1"/>
      <c r="DM1010" s="1"/>
      <c r="DQ1010" s="1"/>
      <c r="DR1010" s="1"/>
      <c r="DY1010" s="1"/>
      <c r="DZ1010" s="1"/>
      <c r="ED1010" s="1"/>
      <c r="EK1010" s="1"/>
      <c r="EL1010" s="1"/>
      <c r="EM1010" s="1"/>
      <c r="EN1010" s="1"/>
      <c r="EQ1010" s="1"/>
      <c r="ER1010" s="1"/>
      <c r="ES1010" s="1"/>
      <c r="EV1010" s="1"/>
      <c r="EW1010" s="1"/>
      <c r="EZ1010" s="1"/>
      <c r="GO1010" s="1"/>
      <c r="GP1010" s="1"/>
      <c r="HF1010" s="1"/>
      <c r="HH1010" s="1"/>
      <c r="HN1010" s="1"/>
      <c r="HQ1010" s="1"/>
      <c r="HY1010" s="1"/>
      <c r="IE1010" s="1"/>
      <c r="IR1010" s="1"/>
      <c r="IS1010" s="1"/>
      <c r="IW1010" s="1"/>
      <c r="IZ1010" s="1"/>
      <c r="JA1010" s="1"/>
      <c r="JC1010" s="1"/>
      <c r="JG1010" s="1"/>
      <c r="JJ1010" s="1"/>
      <c r="JP1010" s="1"/>
      <c r="JQ1010" s="1"/>
      <c r="KW1010" s="1"/>
      <c r="KY1010" s="1"/>
      <c r="KZ1010" s="1"/>
      <c r="LA1010" s="1"/>
      <c r="LB1010" s="1"/>
      <c r="LZ1010" s="1"/>
      <c r="MA1010" s="1"/>
    </row>
    <row r="1011" spans="4:339" ht="13" x14ac:dyDescent="0.15">
      <c r="D1011" s="12"/>
      <c r="E1011" s="12"/>
      <c r="I1011" s="12"/>
      <c r="J1011" s="13"/>
      <c r="BG1011" s="1"/>
      <c r="BH1011" s="1"/>
      <c r="BI1011" s="1"/>
      <c r="BJ1011" s="1"/>
      <c r="BK1011" s="1"/>
      <c r="BL1011" s="1"/>
      <c r="BM1011" s="1"/>
      <c r="BN1011" s="1"/>
      <c r="BO1011" s="1"/>
      <c r="BP1011" s="1"/>
      <c r="BQ1011" s="1"/>
      <c r="BR1011" s="1"/>
      <c r="CD1011" s="1"/>
      <c r="CE1011" s="1"/>
      <c r="CF1011" s="1"/>
      <c r="CG1011" s="1"/>
      <c r="CK1011" s="1"/>
      <c r="CM1011" s="2"/>
      <c r="CP1011" s="1"/>
      <c r="CQ1011" s="1"/>
      <c r="CV1011" s="1"/>
      <c r="CW1011" s="1"/>
      <c r="CX1011" s="1"/>
      <c r="CY1011" s="1"/>
      <c r="CZ1011" s="1"/>
      <c r="DA1011" s="1"/>
      <c r="DB1011" s="1"/>
      <c r="DC1011" s="1"/>
      <c r="DD1011" s="1"/>
      <c r="DE1011" s="1"/>
      <c r="DF1011" s="1"/>
      <c r="DG1011" s="1"/>
      <c r="DH1011" s="1"/>
      <c r="DI1011" s="1"/>
      <c r="DJ1011" s="1"/>
      <c r="DK1011" s="1"/>
      <c r="DM1011" s="1"/>
      <c r="DQ1011" s="1"/>
      <c r="DR1011" s="1"/>
      <c r="DY1011" s="1"/>
      <c r="DZ1011" s="1"/>
      <c r="ED1011" s="1"/>
      <c r="EK1011" s="1"/>
      <c r="EL1011" s="1"/>
      <c r="EM1011" s="1"/>
      <c r="EN1011" s="1"/>
      <c r="EQ1011" s="1"/>
      <c r="ER1011" s="1"/>
      <c r="ES1011" s="1"/>
      <c r="EV1011" s="1"/>
      <c r="EW1011" s="1"/>
      <c r="EZ1011" s="1"/>
      <c r="GO1011" s="1"/>
      <c r="GP1011" s="1"/>
      <c r="HF1011" s="1"/>
      <c r="HH1011" s="1"/>
      <c r="HN1011" s="1"/>
      <c r="HQ1011" s="1"/>
      <c r="HY1011" s="1"/>
      <c r="IE1011" s="1"/>
      <c r="IR1011" s="1"/>
      <c r="IS1011" s="1"/>
      <c r="IW1011" s="1"/>
      <c r="IZ1011" s="1"/>
      <c r="JA1011" s="1"/>
      <c r="JC1011" s="1"/>
      <c r="JG1011" s="1"/>
      <c r="JJ1011" s="1"/>
      <c r="JP1011" s="1"/>
      <c r="JQ1011" s="1"/>
      <c r="KW1011" s="1"/>
      <c r="KY1011" s="1"/>
      <c r="KZ1011" s="1"/>
      <c r="LA1011" s="1"/>
      <c r="LB1011" s="1"/>
      <c r="LZ1011" s="1"/>
      <c r="MA1011" s="1"/>
    </row>
    <row r="1012" spans="4:339" ht="13" x14ac:dyDescent="0.15">
      <c r="D1012" s="12"/>
      <c r="E1012" s="12"/>
      <c r="I1012" s="12"/>
      <c r="J1012" s="13"/>
      <c r="BG1012" s="1"/>
      <c r="BH1012" s="1"/>
      <c r="BI1012" s="1"/>
      <c r="BJ1012" s="1"/>
      <c r="BK1012" s="1"/>
      <c r="BL1012" s="1"/>
      <c r="BM1012" s="1"/>
      <c r="BN1012" s="1"/>
      <c r="BO1012" s="1"/>
      <c r="BP1012" s="1"/>
      <c r="BQ1012" s="1"/>
      <c r="BR1012" s="1"/>
      <c r="CD1012" s="1"/>
      <c r="CE1012" s="1"/>
      <c r="CF1012" s="1"/>
      <c r="CG1012" s="1"/>
      <c r="CK1012" s="1"/>
      <c r="CM1012" s="2"/>
      <c r="CP1012" s="1"/>
      <c r="CQ1012" s="1"/>
      <c r="CV1012" s="1"/>
      <c r="CW1012" s="1"/>
      <c r="CX1012" s="1"/>
      <c r="CY1012" s="1"/>
      <c r="CZ1012" s="1"/>
      <c r="DA1012" s="1"/>
      <c r="DB1012" s="1"/>
      <c r="DC1012" s="1"/>
      <c r="DD1012" s="1"/>
      <c r="DE1012" s="1"/>
      <c r="DF1012" s="1"/>
      <c r="DG1012" s="1"/>
      <c r="DH1012" s="1"/>
      <c r="DI1012" s="1"/>
      <c r="DJ1012" s="1"/>
      <c r="DK1012" s="1"/>
      <c r="DM1012" s="1"/>
      <c r="DQ1012" s="1"/>
      <c r="DR1012" s="1"/>
      <c r="DY1012" s="1"/>
      <c r="DZ1012" s="1"/>
      <c r="ED1012" s="1"/>
      <c r="EK1012" s="1"/>
      <c r="EL1012" s="1"/>
      <c r="EM1012" s="1"/>
      <c r="EN1012" s="1"/>
      <c r="EQ1012" s="1"/>
      <c r="ER1012" s="1"/>
      <c r="ES1012" s="1"/>
      <c r="EV1012" s="1"/>
      <c r="EW1012" s="1"/>
      <c r="EZ1012" s="1"/>
      <c r="GO1012" s="1"/>
      <c r="GP1012" s="1"/>
      <c r="HF1012" s="1"/>
      <c r="HH1012" s="1"/>
      <c r="HN1012" s="1"/>
      <c r="HQ1012" s="1"/>
      <c r="HY1012" s="1"/>
      <c r="IE1012" s="1"/>
      <c r="IR1012" s="1"/>
      <c r="IS1012" s="1"/>
      <c r="IW1012" s="1"/>
      <c r="IZ1012" s="1"/>
      <c r="JA1012" s="1"/>
      <c r="JC1012" s="1"/>
      <c r="JG1012" s="1"/>
      <c r="JJ1012" s="1"/>
      <c r="JP1012" s="1"/>
      <c r="JQ1012" s="1"/>
      <c r="KW1012" s="1"/>
      <c r="KY1012" s="1"/>
      <c r="KZ1012" s="1"/>
      <c r="LA1012" s="1"/>
      <c r="LB1012" s="1"/>
      <c r="LZ1012" s="1"/>
      <c r="MA1012" s="1"/>
    </row>
    <row r="1013" spans="4:339" ht="13" x14ac:dyDescent="0.15">
      <c r="D1013" s="12"/>
      <c r="E1013" s="12"/>
      <c r="I1013" s="12"/>
      <c r="J1013" s="13"/>
      <c r="BG1013" s="1"/>
      <c r="BH1013" s="1"/>
      <c r="BI1013" s="1"/>
      <c r="BJ1013" s="1"/>
      <c r="BK1013" s="1"/>
      <c r="BL1013" s="1"/>
      <c r="BM1013" s="1"/>
      <c r="BN1013" s="1"/>
      <c r="BO1013" s="1"/>
      <c r="BP1013" s="1"/>
      <c r="BQ1013" s="1"/>
      <c r="BR1013" s="1"/>
      <c r="CD1013" s="1"/>
      <c r="CE1013" s="1"/>
      <c r="CF1013" s="1"/>
      <c r="CG1013" s="1"/>
      <c r="CK1013" s="1"/>
      <c r="CM1013" s="2"/>
      <c r="CP1013" s="1"/>
      <c r="CQ1013" s="1"/>
      <c r="CV1013" s="1"/>
      <c r="CW1013" s="1"/>
      <c r="CX1013" s="1"/>
      <c r="CY1013" s="1"/>
      <c r="CZ1013" s="1"/>
      <c r="DA1013" s="1"/>
      <c r="DB1013" s="1"/>
      <c r="DC1013" s="1"/>
      <c r="DD1013" s="1"/>
      <c r="DE1013" s="1"/>
      <c r="DF1013" s="1"/>
      <c r="DG1013" s="1"/>
      <c r="DH1013" s="1"/>
      <c r="DI1013" s="1"/>
      <c r="DJ1013" s="1"/>
      <c r="DK1013" s="1"/>
      <c r="DM1013" s="1"/>
      <c r="DQ1013" s="1"/>
      <c r="DR1013" s="1"/>
      <c r="DY1013" s="1"/>
      <c r="DZ1013" s="1"/>
      <c r="ED1013" s="1"/>
      <c r="EK1013" s="1"/>
      <c r="EL1013" s="1"/>
      <c r="EM1013" s="1"/>
      <c r="EN1013" s="1"/>
      <c r="EQ1013" s="1"/>
      <c r="ER1013" s="1"/>
      <c r="ES1013" s="1"/>
      <c r="EV1013" s="1"/>
      <c r="EW1013" s="1"/>
      <c r="EZ1013" s="1"/>
      <c r="GO1013" s="1"/>
      <c r="GP1013" s="1"/>
      <c r="HF1013" s="1"/>
      <c r="HH1013" s="1"/>
      <c r="HN1013" s="1"/>
      <c r="HQ1013" s="1"/>
      <c r="HY1013" s="1"/>
      <c r="IE1013" s="1"/>
      <c r="IR1013" s="1"/>
      <c r="IS1013" s="1"/>
      <c r="IW1013" s="1"/>
      <c r="IZ1013" s="1"/>
      <c r="JA1013" s="1"/>
      <c r="JC1013" s="1"/>
      <c r="JG1013" s="1"/>
      <c r="JJ1013" s="1"/>
      <c r="JP1013" s="1"/>
      <c r="JQ1013" s="1"/>
      <c r="KW1013" s="1"/>
      <c r="KY1013" s="1"/>
      <c r="KZ1013" s="1"/>
      <c r="LA1013" s="1"/>
      <c r="LB1013" s="1"/>
      <c r="LZ1013" s="1"/>
      <c r="MA1013" s="1"/>
    </row>
    <row r="1014" spans="4:339" ht="13" x14ac:dyDescent="0.15">
      <c r="D1014" s="12"/>
      <c r="E1014" s="12"/>
      <c r="I1014" s="12"/>
      <c r="J1014" s="13"/>
      <c r="BG1014" s="1"/>
      <c r="BH1014" s="1"/>
      <c r="BI1014" s="1"/>
      <c r="BJ1014" s="1"/>
      <c r="BK1014" s="1"/>
      <c r="BL1014" s="1"/>
      <c r="BM1014" s="1"/>
      <c r="BN1014" s="1"/>
      <c r="BO1014" s="1"/>
      <c r="BP1014" s="1"/>
      <c r="BQ1014" s="1"/>
      <c r="BR1014" s="1"/>
      <c r="CD1014" s="1"/>
      <c r="CE1014" s="1"/>
      <c r="CF1014" s="1"/>
      <c r="CG1014" s="1"/>
      <c r="CK1014" s="1"/>
      <c r="CM1014" s="2"/>
      <c r="CP1014" s="1"/>
      <c r="CQ1014" s="1"/>
      <c r="CV1014" s="1"/>
      <c r="CW1014" s="1"/>
      <c r="CX1014" s="1"/>
      <c r="CY1014" s="1"/>
      <c r="CZ1014" s="1"/>
      <c r="DA1014" s="1"/>
      <c r="DB1014" s="1"/>
      <c r="DC1014" s="1"/>
      <c r="DD1014" s="1"/>
      <c r="DE1014" s="1"/>
      <c r="DF1014" s="1"/>
      <c r="DG1014" s="1"/>
      <c r="DH1014" s="1"/>
      <c r="DI1014" s="1"/>
      <c r="DJ1014" s="1"/>
      <c r="DK1014" s="1"/>
      <c r="DM1014" s="1"/>
      <c r="DQ1014" s="1"/>
      <c r="DR1014" s="1"/>
      <c r="DY1014" s="1"/>
      <c r="DZ1014" s="1"/>
      <c r="ED1014" s="1"/>
      <c r="EK1014" s="1"/>
      <c r="EL1014" s="1"/>
      <c r="EM1014" s="1"/>
      <c r="EN1014" s="1"/>
      <c r="EQ1014" s="1"/>
      <c r="ER1014" s="1"/>
      <c r="ES1014" s="1"/>
      <c r="EV1014" s="1"/>
      <c r="EW1014" s="1"/>
      <c r="EZ1014" s="1"/>
      <c r="GO1014" s="1"/>
      <c r="GP1014" s="1"/>
      <c r="HF1014" s="1"/>
      <c r="HH1014" s="1"/>
      <c r="HN1014" s="1"/>
      <c r="HQ1014" s="1"/>
      <c r="HY1014" s="1"/>
      <c r="IE1014" s="1"/>
      <c r="IR1014" s="1"/>
      <c r="IS1014" s="1"/>
      <c r="IW1014" s="1"/>
      <c r="IZ1014" s="1"/>
      <c r="JA1014" s="1"/>
      <c r="JC1014" s="1"/>
      <c r="JG1014" s="1"/>
      <c r="JJ1014" s="1"/>
      <c r="JP1014" s="1"/>
      <c r="JQ1014" s="1"/>
      <c r="KW1014" s="1"/>
      <c r="KY1014" s="1"/>
      <c r="KZ1014" s="1"/>
      <c r="LA1014" s="1"/>
      <c r="LB1014" s="1"/>
      <c r="LZ1014" s="1"/>
      <c r="MA1014" s="1"/>
    </row>
    <row r="1015" spans="4:339" ht="13" x14ac:dyDescent="0.15">
      <c r="D1015" s="12"/>
      <c r="E1015" s="12"/>
      <c r="I1015" s="12"/>
      <c r="J1015" s="13"/>
      <c r="BF1015" s="1"/>
      <c r="BG1015" s="1"/>
      <c r="BH1015" s="1"/>
      <c r="BI1015" s="1"/>
      <c r="BJ1015" s="1"/>
      <c r="BK1015" s="1"/>
      <c r="BL1015" s="1"/>
      <c r="BM1015" s="1"/>
      <c r="BN1015" s="1"/>
      <c r="BO1015" s="1"/>
      <c r="BP1015" s="1"/>
      <c r="BQ1015" s="1"/>
      <c r="BR1015" s="1"/>
      <c r="BX1015" s="1"/>
      <c r="CD1015" s="1"/>
      <c r="CG1015" s="1"/>
      <c r="CM1015" s="2"/>
      <c r="CO1015" s="1"/>
      <c r="CP1015" s="1"/>
      <c r="CQ1015" s="1"/>
      <c r="CR1015" s="1"/>
      <c r="CS1015" s="1"/>
      <c r="CT1015" s="1"/>
      <c r="CU1015" s="1"/>
      <c r="CV1015" s="1"/>
      <c r="CW1015" s="1"/>
      <c r="CX1015" s="1"/>
      <c r="CY1015" s="1"/>
      <c r="CZ1015" s="1"/>
      <c r="DA1015" s="1"/>
      <c r="DB1015" s="1"/>
      <c r="DC1015" s="1"/>
      <c r="DD1015" s="1"/>
      <c r="DE1015" s="1"/>
      <c r="DF1015" s="1"/>
      <c r="DG1015" s="1"/>
      <c r="DH1015" s="1"/>
      <c r="DI1015" s="1"/>
      <c r="DJ1015" s="1"/>
      <c r="DK1015" s="1"/>
      <c r="DM1015" s="1"/>
      <c r="DQ1015" s="1"/>
      <c r="DR1015" s="1"/>
      <c r="DY1015" s="1"/>
      <c r="DZ1015" s="1"/>
      <c r="ED1015" s="1"/>
      <c r="EE1015" s="1"/>
      <c r="EF1015" s="1"/>
      <c r="EG1015" s="1"/>
      <c r="EH1015" s="1"/>
      <c r="EK1015" s="1"/>
      <c r="EL1015" s="1"/>
      <c r="EM1015" s="1"/>
      <c r="EN1015" s="1"/>
      <c r="EQ1015" s="1"/>
      <c r="ER1015" s="1"/>
      <c r="ES1015" s="1"/>
      <c r="EV1015" s="1"/>
      <c r="EW1015" s="1"/>
      <c r="EY1015" s="1"/>
      <c r="EZ1015" s="1"/>
      <c r="GJ1015" s="1"/>
      <c r="GK1015" s="1"/>
      <c r="GL1015" s="1"/>
      <c r="GM1015" s="1"/>
      <c r="GN1015" s="1"/>
      <c r="GO1015" s="1"/>
      <c r="GP1015" s="1"/>
      <c r="GU1015" s="1"/>
      <c r="GY1015" s="1"/>
      <c r="HF1015" s="1"/>
      <c r="HH1015" s="1"/>
      <c r="HN1015" s="1"/>
      <c r="HR1015" s="1"/>
      <c r="HS1015" s="1"/>
      <c r="HT1015" s="1"/>
      <c r="HY1015" s="1"/>
      <c r="IE1015" s="1"/>
      <c r="IG1015" s="1"/>
      <c r="IJ1015" s="1"/>
      <c r="IR1015" s="1"/>
      <c r="IS1015" s="1"/>
      <c r="IZ1015" s="1"/>
      <c r="JG1015" s="1"/>
      <c r="JJ1015" s="1"/>
      <c r="JK1015" s="1"/>
      <c r="JL1015" s="3"/>
      <c r="JM1015" s="1"/>
      <c r="JN1015" s="1"/>
      <c r="JP1015" s="1"/>
      <c r="JQ1015" s="1"/>
      <c r="JR1015" s="1"/>
      <c r="KV1015" s="1"/>
      <c r="KW1015" s="1"/>
      <c r="KY1015" s="1"/>
      <c r="KZ1015" s="1"/>
      <c r="LA1015" s="1"/>
      <c r="LB1015" s="1"/>
      <c r="LC1015" s="1"/>
      <c r="LD1015" s="1"/>
      <c r="LO1015" s="1"/>
      <c r="LP1015" s="1"/>
      <c r="LZ1015" s="1"/>
      <c r="MA1015" s="1"/>
    </row>
    <row r="1016" spans="4:339" ht="13" x14ac:dyDescent="0.15">
      <c r="D1016" s="12"/>
      <c r="E1016" s="12"/>
      <c r="I1016" s="12"/>
      <c r="J1016" s="13"/>
      <c r="BF1016" s="1"/>
      <c r="BG1016" s="1"/>
      <c r="BH1016" s="1"/>
      <c r="BI1016" s="1"/>
      <c r="BK1016" s="1"/>
      <c r="BL1016" s="1"/>
      <c r="BM1016" s="1"/>
      <c r="BN1016" s="1"/>
      <c r="BO1016" s="1"/>
      <c r="BP1016" s="1"/>
      <c r="BQ1016" s="1"/>
      <c r="BR1016" s="1"/>
      <c r="CD1016" s="1"/>
      <c r="CE1016" s="1"/>
      <c r="CF1016" s="1"/>
      <c r="CG1016" s="1"/>
      <c r="CK1016" s="1"/>
      <c r="CM1016" s="2"/>
      <c r="CO1016" s="1"/>
      <c r="CP1016" s="1"/>
      <c r="CQ1016" s="1"/>
      <c r="CR1016" s="1"/>
      <c r="CT1016" s="1"/>
      <c r="CU1016" s="1"/>
      <c r="CV1016" s="1"/>
      <c r="CW1016" s="1"/>
      <c r="CX1016" s="1"/>
      <c r="CY1016" s="1"/>
      <c r="CZ1016" s="1"/>
      <c r="DA1016" s="1"/>
      <c r="DB1016" s="1"/>
      <c r="DC1016" s="1"/>
      <c r="DD1016" s="1"/>
      <c r="DE1016" s="1"/>
      <c r="DF1016" s="1"/>
      <c r="DG1016" s="1"/>
      <c r="DH1016" s="1"/>
      <c r="DI1016" s="1"/>
      <c r="DJ1016" s="1"/>
      <c r="DK1016" s="1"/>
      <c r="DM1016" s="1"/>
      <c r="DR1016" s="1"/>
      <c r="ED1016" s="1"/>
      <c r="EK1016" s="1"/>
      <c r="EL1016" s="1"/>
      <c r="EM1016" s="1"/>
      <c r="EN1016" s="1"/>
      <c r="EQ1016" s="1"/>
      <c r="ER1016" s="1"/>
      <c r="ES1016" s="1"/>
      <c r="EV1016" s="1"/>
      <c r="EW1016" s="1"/>
      <c r="EZ1016" s="1"/>
      <c r="GJ1016" s="1"/>
      <c r="GK1016" s="1"/>
      <c r="GL1016" s="1"/>
      <c r="GM1016" s="1"/>
      <c r="GN1016" s="1"/>
      <c r="GO1016" s="1"/>
      <c r="GP1016" s="1"/>
      <c r="GU1016" s="1"/>
      <c r="GV1016" s="1"/>
      <c r="GY1016" s="1"/>
      <c r="HE1016" s="1"/>
      <c r="HF1016" s="1"/>
      <c r="HY1016" s="1"/>
      <c r="IC1016" s="1"/>
      <c r="IE1016" s="1"/>
      <c r="IR1016" s="1"/>
      <c r="IS1016" s="1"/>
      <c r="IW1016" s="1"/>
      <c r="IY1016" s="1"/>
      <c r="IZ1016" s="1"/>
      <c r="JC1016" s="1"/>
      <c r="JF1016" s="1"/>
      <c r="JG1016" s="1"/>
      <c r="JJ1016" s="1"/>
      <c r="JN1016" s="1"/>
      <c r="JP1016" s="1"/>
      <c r="JQ1016" s="1"/>
      <c r="JT1016" s="1"/>
      <c r="KU1016" s="1"/>
      <c r="KW1016" s="1"/>
      <c r="KY1016" s="1"/>
      <c r="KZ1016" s="1"/>
      <c r="LA1016" s="1"/>
      <c r="LB1016" s="1"/>
      <c r="LC1016" s="1"/>
      <c r="LD1016" s="1"/>
      <c r="LO1016" s="1"/>
      <c r="LP1016" s="1"/>
      <c r="LZ1016" s="1"/>
      <c r="MA1016" s="1"/>
    </row>
    <row r="1017" spans="4:339" ht="13" x14ac:dyDescent="0.15">
      <c r="D1017" s="12"/>
      <c r="E1017" s="12"/>
      <c r="I1017" s="12"/>
      <c r="J1017" s="13"/>
      <c r="BF1017" s="1"/>
      <c r="BG1017" s="1"/>
      <c r="BH1017" s="1"/>
      <c r="BI1017" s="1"/>
      <c r="BJ1017" s="1"/>
      <c r="BK1017" s="1"/>
      <c r="BL1017" s="1"/>
      <c r="BM1017" s="1"/>
      <c r="BN1017" s="1"/>
      <c r="BO1017" s="1"/>
      <c r="BP1017" s="1"/>
      <c r="BQ1017" s="1"/>
      <c r="BR1017" s="1"/>
      <c r="CD1017" s="1"/>
      <c r="CE1017" s="1"/>
      <c r="CF1017" s="1"/>
      <c r="CG1017" s="1"/>
      <c r="CM1017" s="2"/>
      <c r="CO1017" s="1"/>
      <c r="CP1017" s="1"/>
      <c r="CQ1017" s="1"/>
      <c r="CS1017" s="1"/>
      <c r="CT1017" s="1"/>
      <c r="CU1017" s="1"/>
      <c r="CV1017" s="1"/>
      <c r="CW1017" s="1"/>
      <c r="CX1017" s="1"/>
      <c r="CY1017" s="1"/>
      <c r="CZ1017" s="1"/>
      <c r="DA1017" s="1"/>
      <c r="DB1017" s="1"/>
      <c r="DC1017" s="1"/>
      <c r="DD1017" s="1"/>
      <c r="DE1017" s="1"/>
      <c r="DF1017" s="1"/>
      <c r="DG1017" s="1"/>
      <c r="DH1017" s="1"/>
      <c r="DI1017" s="1"/>
      <c r="DJ1017" s="1"/>
      <c r="DK1017" s="1"/>
      <c r="DM1017" s="1"/>
      <c r="DQ1017" s="1"/>
      <c r="DR1017" s="1"/>
      <c r="DY1017" s="1"/>
      <c r="DZ1017" s="1"/>
      <c r="ED1017" s="1"/>
      <c r="EK1017" s="1"/>
      <c r="EL1017" s="1"/>
      <c r="EM1017" s="1"/>
      <c r="EN1017" s="1"/>
      <c r="EQ1017" s="1"/>
      <c r="ER1017" s="1"/>
      <c r="ES1017" s="1"/>
      <c r="EV1017" s="1"/>
      <c r="EW1017" s="1"/>
      <c r="EZ1017" s="1"/>
      <c r="GJ1017" s="1"/>
      <c r="GK1017" s="1"/>
      <c r="GL1017" s="1"/>
      <c r="GM1017" s="1"/>
      <c r="GN1017" s="1"/>
      <c r="GO1017" s="1"/>
      <c r="GP1017" s="1"/>
      <c r="GU1017" s="1"/>
      <c r="GV1017" s="1"/>
      <c r="GY1017" s="1"/>
      <c r="HE1017" s="1"/>
      <c r="HY1017" s="1"/>
      <c r="IE1017" s="1"/>
      <c r="IS1017" s="1"/>
      <c r="IW1017" s="1"/>
      <c r="IZ1017" s="1"/>
      <c r="JJ1017" s="1"/>
      <c r="JP1017" s="1"/>
      <c r="JQ1017" s="1"/>
      <c r="KU1017" s="1"/>
      <c r="KY1017" s="1"/>
      <c r="KZ1017" s="1"/>
      <c r="LA1017" s="1"/>
      <c r="LB1017" s="1"/>
      <c r="LC1017" s="1"/>
      <c r="LD1017" s="1"/>
      <c r="LO1017" s="1"/>
      <c r="LP1017" s="1"/>
      <c r="LZ1017" s="1"/>
    </row>
    <row r="1018" spans="4:339" ht="13" x14ac:dyDescent="0.15">
      <c r="D1018" s="12"/>
      <c r="E1018" s="12"/>
      <c r="I1018" s="12"/>
      <c r="J1018" s="13"/>
      <c r="BF1018" s="1"/>
      <c r="BG1018" s="1"/>
      <c r="BH1018" s="1"/>
      <c r="BI1018" s="1"/>
      <c r="BJ1018" s="1"/>
      <c r="BK1018" s="1"/>
      <c r="BL1018" s="1"/>
      <c r="BM1018" s="1"/>
      <c r="BN1018" s="1"/>
      <c r="BO1018" s="1"/>
      <c r="BP1018" s="1"/>
      <c r="BQ1018" s="1"/>
      <c r="BR1018" s="1"/>
      <c r="CD1018" s="1"/>
      <c r="CE1018" s="1"/>
      <c r="CF1018" s="1"/>
      <c r="CG1018" s="1"/>
      <c r="CM1018" s="2"/>
      <c r="CO1018" s="1"/>
      <c r="CP1018" s="1"/>
      <c r="CQ1018" s="1"/>
      <c r="CS1018" s="1"/>
      <c r="CT1018" s="1"/>
      <c r="CU1018" s="1"/>
      <c r="CV1018" s="1"/>
      <c r="CW1018" s="1"/>
      <c r="CX1018" s="1"/>
      <c r="CY1018" s="1"/>
      <c r="CZ1018" s="1"/>
      <c r="DA1018" s="1"/>
      <c r="DB1018" s="1"/>
      <c r="DC1018" s="1"/>
      <c r="DD1018" s="1"/>
      <c r="DE1018" s="1"/>
      <c r="DF1018" s="1"/>
      <c r="DG1018" s="1"/>
      <c r="DH1018" s="1"/>
      <c r="DI1018" s="1"/>
      <c r="DJ1018" s="1"/>
      <c r="DK1018" s="1"/>
      <c r="DM1018" s="1"/>
      <c r="DQ1018" s="1"/>
      <c r="DR1018" s="1"/>
      <c r="DY1018" s="1"/>
      <c r="DZ1018" s="1"/>
      <c r="ED1018" s="1"/>
      <c r="EK1018" s="1"/>
      <c r="EL1018" s="1"/>
      <c r="EM1018" s="1"/>
      <c r="EN1018" s="1"/>
      <c r="EQ1018" s="1"/>
      <c r="ER1018" s="1"/>
      <c r="ES1018" s="1"/>
      <c r="EV1018" s="1"/>
      <c r="EW1018" s="1"/>
      <c r="EZ1018" s="1"/>
      <c r="GJ1018" s="1"/>
      <c r="GK1018" s="1"/>
      <c r="GL1018" s="1"/>
      <c r="GM1018" s="1"/>
      <c r="GN1018" s="1"/>
      <c r="GO1018" s="1"/>
      <c r="GP1018" s="1"/>
      <c r="GU1018" s="1"/>
      <c r="GV1018" s="1"/>
      <c r="GY1018" s="1"/>
      <c r="HE1018" s="1"/>
      <c r="HY1018" s="1"/>
      <c r="IE1018" s="1"/>
      <c r="IS1018" s="1"/>
      <c r="IW1018" s="1"/>
      <c r="IZ1018" s="1"/>
      <c r="JJ1018" s="1"/>
      <c r="JP1018" s="1"/>
      <c r="JQ1018" s="1"/>
      <c r="KU1018" s="1"/>
      <c r="KY1018" s="1"/>
      <c r="KZ1018" s="1"/>
      <c r="LA1018" s="1"/>
      <c r="LB1018" s="1"/>
      <c r="LC1018" s="1"/>
      <c r="LD1018" s="1"/>
      <c r="LO1018" s="1"/>
      <c r="LP1018" s="1"/>
      <c r="LZ1018" s="1"/>
    </row>
    <row r="1019" spans="4:339" ht="13" x14ac:dyDescent="0.15">
      <c r="D1019" s="12"/>
      <c r="E1019" s="12"/>
      <c r="I1019" s="12"/>
      <c r="J1019" s="13"/>
      <c r="BF1019" s="1"/>
      <c r="BG1019" s="1"/>
      <c r="BH1019" s="1"/>
      <c r="BI1019" s="1"/>
      <c r="BK1019" s="1"/>
      <c r="BL1019" s="1"/>
      <c r="BM1019" s="1"/>
      <c r="BN1019" s="1"/>
      <c r="BO1019" s="1"/>
      <c r="BP1019" s="1"/>
      <c r="BQ1019" s="1"/>
      <c r="BR1019" s="1"/>
      <c r="CD1019" s="1"/>
      <c r="CE1019" s="1"/>
      <c r="CF1019" s="1"/>
      <c r="CG1019" s="1"/>
      <c r="CM1019" s="2"/>
      <c r="CO1019" s="1"/>
      <c r="CP1019" s="1"/>
      <c r="CQ1019" s="1"/>
      <c r="CR1019" s="1"/>
      <c r="CS1019" s="1"/>
      <c r="CT1019" s="1"/>
      <c r="CU1019" s="1"/>
      <c r="CV1019" s="1"/>
      <c r="CW1019" s="1"/>
      <c r="CX1019" s="1"/>
      <c r="CY1019" s="1"/>
      <c r="CZ1019" s="1"/>
      <c r="DA1019" s="1"/>
      <c r="DB1019" s="1"/>
      <c r="DC1019" s="1"/>
      <c r="DD1019" s="1"/>
      <c r="DE1019" s="1"/>
      <c r="DF1019" s="1"/>
      <c r="DG1019" s="1"/>
      <c r="DH1019" s="1"/>
      <c r="DI1019" s="1"/>
      <c r="DJ1019" s="1"/>
      <c r="DK1019" s="1"/>
      <c r="DM1019" s="1"/>
      <c r="DQ1019" s="1"/>
      <c r="DR1019" s="1"/>
      <c r="DY1019" s="1"/>
      <c r="DZ1019" s="1"/>
      <c r="ED1019" s="1"/>
      <c r="EE1019" s="1"/>
      <c r="EF1019" s="1"/>
      <c r="EG1019" s="1"/>
      <c r="EH1019" s="1"/>
      <c r="EK1019" s="1"/>
      <c r="EL1019" s="1"/>
      <c r="EM1019" s="1"/>
      <c r="EN1019" s="1"/>
      <c r="EQ1019" s="1"/>
      <c r="ER1019" s="1"/>
      <c r="ES1019" s="1"/>
      <c r="EV1019" s="1"/>
      <c r="EW1019" s="1"/>
      <c r="EY1019" s="1"/>
      <c r="EZ1019" s="1"/>
      <c r="GJ1019" s="1"/>
      <c r="GK1019" s="1"/>
      <c r="GL1019" s="1"/>
      <c r="GM1019" s="1"/>
      <c r="GN1019" s="1"/>
      <c r="GO1019" s="1"/>
      <c r="GP1019" s="1"/>
      <c r="GU1019" s="1"/>
      <c r="GV1019" s="1"/>
      <c r="GY1019" s="1"/>
      <c r="HF1019" s="1"/>
      <c r="HH1019" s="1"/>
      <c r="HT1019" s="1"/>
      <c r="HY1019" s="1"/>
      <c r="IC1019" s="1"/>
      <c r="IE1019" s="1"/>
      <c r="IF1019" s="1"/>
      <c r="IG1019" s="1"/>
      <c r="IJ1019" s="1"/>
      <c r="IR1019" s="1"/>
      <c r="IS1019" s="1"/>
      <c r="IW1019" s="1"/>
      <c r="IZ1019" s="1"/>
      <c r="JA1019" s="1"/>
      <c r="JG1019" s="1"/>
      <c r="JH1019" s="1"/>
      <c r="JJ1019" s="1"/>
      <c r="JK1019" s="1"/>
      <c r="JL1019" s="3"/>
      <c r="JM1019" s="1"/>
      <c r="JN1019" s="1"/>
      <c r="JP1019" s="1"/>
      <c r="JQ1019" s="1"/>
      <c r="JR1019" s="1"/>
      <c r="JT1019" s="1"/>
      <c r="KU1019" s="1"/>
      <c r="KW1019" s="1"/>
      <c r="KY1019" s="1"/>
      <c r="KZ1019" s="1"/>
      <c r="LA1019" s="1"/>
      <c r="LB1019" s="1"/>
      <c r="LC1019" s="1"/>
      <c r="LD1019" s="1"/>
      <c r="LF1019" s="1"/>
      <c r="LN1019" s="1"/>
      <c r="LO1019" s="1"/>
      <c r="LP1019" s="1"/>
      <c r="LZ1019" s="1"/>
      <c r="MA1019" s="1"/>
    </row>
    <row r="1020" spans="4:339" ht="13" x14ac:dyDescent="0.15">
      <c r="D1020" s="12"/>
      <c r="E1020" s="12"/>
      <c r="I1020" s="12"/>
      <c r="J1020" s="13"/>
      <c r="BF1020" s="1"/>
      <c r="BG1020" s="1"/>
      <c r="BH1020" s="1"/>
      <c r="BI1020" s="1"/>
      <c r="BK1020" s="1"/>
      <c r="BL1020" s="1"/>
      <c r="BM1020" s="1"/>
      <c r="BN1020" s="1"/>
      <c r="BO1020" s="1"/>
      <c r="BP1020" s="1"/>
      <c r="BQ1020" s="1"/>
      <c r="BR1020" s="1"/>
      <c r="CD1020" s="1"/>
      <c r="CE1020" s="1"/>
      <c r="CF1020" s="1"/>
      <c r="CG1020" s="1"/>
      <c r="CM1020" s="2"/>
      <c r="CO1020" s="1"/>
      <c r="CP1020" s="1"/>
      <c r="CQ1020" s="1"/>
      <c r="CR1020" s="1"/>
      <c r="CS1020" s="1"/>
      <c r="CT1020" s="1"/>
      <c r="CU1020" s="1"/>
      <c r="CV1020" s="1"/>
      <c r="CW1020" s="1"/>
      <c r="CX1020" s="1"/>
      <c r="CY1020" s="1"/>
      <c r="CZ1020" s="1"/>
      <c r="DA1020" s="1"/>
      <c r="DB1020" s="1"/>
      <c r="DC1020" s="1"/>
      <c r="DD1020" s="1"/>
      <c r="DE1020" s="1"/>
      <c r="DF1020" s="1"/>
      <c r="DG1020" s="1"/>
      <c r="DH1020" s="1"/>
      <c r="DI1020" s="1"/>
      <c r="DJ1020" s="1"/>
      <c r="DK1020" s="1"/>
      <c r="DM1020" s="1"/>
      <c r="DQ1020" s="1"/>
      <c r="DR1020" s="1"/>
      <c r="DY1020" s="1"/>
      <c r="DZ1020" s="1"/>
      <c r="ED1020" s="1"/>
      <c r="EE1020" s="1"/>
      <c r="EF1020" s="1"/>
      <c r="EG1020" s="1"/>
      <c r="EH1020" s="1"/>
      <c r="EK1020" s="1"/>
      <c r="EL1020" s="1"/>
      <c r="EM1020" s="1"/>
      <c r="EN1020" s="1"/>
      <c r="EQ1020" s="1"/>
      <c r="ER1020" s="1"/>
      <c r="ES1020" s="1"/>
      <c r="EV1020" s="1"/>
      <c r="EW1020" s="1"/>
      <c r="EY1020" s="1"/>
      <c r="EZ1020" s="1"/>
      <c r="GJ1020" s="1"/>
      <c r="GK1020" s="1"/>
      <c r="GL1020" s="1"/>
      <c r="GM1020" s="1"/>
      <c r="GN1020" s="1"/>
      <c r="GO1020" s="1"/>
      <c r="GP1020" s="1"/>
      <c r="GU1020" s="1"/>
      <c r="GV1020" s="1"/>
      <c r="GY1020" s="1"/>
      <c r="HF1020" s="1"/>
      <c r="HH1020" s="1"/>
      <c r="HT1020" s="1"/>
      <c r="HY1020" s="1"/>
      <c r="IC1020" s="1"/>
      <c r="IE1020" s="1"/>
      <c r="IF1020" s="1"/>
      <c r="IG1020" s="1"/>
      <c r="IJ1020" s="1"/>
      <c r="IR1020" s="1"/>
      <c r="IS1020" s="1"/>
      <c r="IW1020" s="1"/>
      <c r="IZ1020" s="1"/>
      <c r="JA1020" s="1"/>
      <c r="JG1020" s="1"/>
      <c r="JH1020" s="1"/>
      <c r="JJ1020" s="1"/>
      <c r="JK1020" s="1"/>
      <c r="JL1020" s="3"/>
      <c r="JM1020" s="1"/>
      <c r="JN1020" s="1"/>
      <c r="JP1020" s="1"/>
      <c r="JQ1020" s="1"/>
      <c r="JR1020" s="1"/>
      <c r="JT1020" s="1"/>
      <c r="KU1020" s="1"/>
      <c r="KW1020" s="1"/>
      <c r="KY1020" s="1"/>
      <c r="KZ1020" s="1"/>
      <c r="LA1020" s="1"/>
      <c r="LB1020" s="1"/>
      <c r="LC1020" s="1"/>
      <c r="LD1020" s="1"/>
      <c r="LF1020" s="1"/>
      <c r="LN1020" s="1"/>
      <c r="LO1020" s="1"/>
      <c r="LP1020" s="1"/>
      <c r="LZ1020" s="1"/>
      <c r="MA1020" s="1"/>
    </row>
    <row r="1021" spans="4:339" ht="13" x14ac:dyDescent="0.15">
      <c r="D1021" s="12"/>
      <c r="E1021" s="12"/>
      <c r="I1021" s="12"/>
      <c r="J1021" s="13"/>
      <c r="BF1021" s="1"/>
      <c r="BG1021" s="1"/>
      <c r="BH1021" s="1"/>
      <c r="BI1021" s="1"/>
      <c r="BK1021" s="1"/>
      <c r="BL1021" s="1"/>
      <c r="BM1021" s="1"/>
      <c r="BN1021" s="1"/>
      <c r="BO1021" s="1"/>
      <c r="BP1021" s="1"/>
      <c r="BQ1021" s="1"/>
      <c r="BR1021" s="1"/>
      <c r="CD1021" s="1"/>
      <c r="CE1021" s="1"/>
      <c r="CF1021" s="1"/>
      <c r="CG1021" s="1"/>
      <c r="CM1021" s="2"/>
      <c r="CO1021" s="1"/>
      <c r="CP1021" s="1"/>
      <c r="CQ1021" s="1"/>
      <c r="CR1021" s="1"/>
      <c r="CS1021" s="1"/>
      <c r="CT1021" s="1"/>
      <c r="CU1021" s="1"/>
      <c r="CV1021" s="1"/>
      <c r="CW1021" s="1"/>
      <c r="CX1021" s="1"/>
      <c r="CY1021" s="1"/>
      <c r="CZ1021" s="1"/>
      <c r="DA1021" s="1"/>
      <c r="DB1021" s="1"/>
      <c r="DC1021" s="1"/>
      <c r="DD1021" s="1"/>
      <c r="DE1021" s="1"/>
      <c r="DF1021" s="1"/>
      <c r="DG1021" s="1"/>
      <c r="DH1021" s="1"/>
      <c r="DI1021" s="1"/>
      <c r="DJ1021" s="1"/>
      <c r="DK1021" s="1"/>
      <c r="DM1021" s="1"/>
      <c r="DQ1021" s="1"/>
      <c r="DR1021" s="1"/>
      <c r="DY1021" s="1"/>
      <c r="DZ1021" s="1"/>
      <c r="ED1021" s="1"/>
      <c r="EE1021" s="1"/>
      <c r="EF1021" s="1"/>
      <c r="EG1021" s="1"/>
      <c r="EH1021" s="1"/>
      <c r="EK1021" s="1"/>
      <c r="EL1021" s="1"/>
      <c r="EM1021" s="1"/>
      <c r="EN1021" s="1"/>
      <c r="EQ1021" s="1"/>
      <c r="ER1021" s="1"/>
      <c r="ES1021" s="1"/>
      <c r="EV1021" s="1"/>
      <c r="EW1021" s="1"/>
      <c r="EY1021" s="1"/>
      <c r="EZ1021" s="1"/>
      <c r="GJ1021" s="1"/>
      <c r="GK1021" s="1"/>
      <c r="GL1021" s="1"/>
      <c r="GM1021" s="1"/>
      <c r="GN1021" s="1"/>
      <c r="GO1021" s="1"/>
      <c r="GP1021" s="1"/>
      <c r="GU1021" s="1"/>
      <c r="GV1021" s="1"/>
      <c r="GY1021" s="1"/>
      <c r="HF1021" s="1"/>
      <c r="HH1021" s="1"/>
      <c r="HT1021" s="1"/>
      <c r="HY1021" s="1"/>
      <c r="IC1021" s="1"/>
      <c r="IE1021" s="1"/>
      <c r="IF1021" s="1"/>
      <c r="IG1021" s="1"/>
      <c r="IJ1021" s="1"/>
      <c r="IR1021" s="1"/>
      <c r="IS1021" s="1"/>
      <c r="IW1021" s="1"/>
      <c r="IZ1021" s="1"/>
      <c r="JA1021" s="1"/>
      <c r="JG1021" s="1"/>
      <c r="JH1021" s="1"/>
      <c r="JJ1021" s="1"/>
      <c r="JK1021" s="1"/>
      <c r="JL1021" s="3"/>
      <c r="JM1021" s="1"/>
      <c r="JN1021" s="1"/>
      <c r="JP1021" s="1"/>
      <c r="JQ1021" s="1"/>
      <c r="JR1021" s="1"/>
      <c r="JT1021" s="1"/>
      <c r="KU1021" s="1"/>
      <c r="KW1021" s="1"/>
      <c r="KY1021" s="1"/>
      <c r="KZ1021" s="1"/>
      <c r="LA1021" s="1"/>
      <c r="LB1021" s="1"/>
      <c r="LC1021" s="1"/>
      <c r="LD1021" s="1"/>
      <c r="LF1021" s="1"/>
      <c r="LN1021" s="1"/>
      <c r="LO1021" s="1"/>
      <c r="LP1021" s="1"/>
      <c r="LZ1021" s="1"/>
      <c r="MA1021" s="1"/>
    </row>
    <row r="1022" spans="4:339" ht="13" x14ac:dyDescent="0.15">
      <c r="D1022" s="12"/>
      <c r="E1022" s="12"/>
      <c r="I1022" s="12"/>
      <c r="J1022" s="13"/>
      <c r="BF1022" s="1"/>
      <c r="BG1022" s="1"/>
      <c r="BH1022" s="1"/>
      <c r="BI1022" s="1"/>
      <c r="BK1022" s="1"/>
      <c r="BL1022" s="1"/>
      <c r="BM1022" s="1"/>
      <c r="BN1022" s="1"/>
      <c r="BO1022" s="1"/>
      <c r="BP1022" s="1"/>
      <c r="BQ1022" s="1"/>
      <c r="BR1022" s="1"/>
      <c r="CD1022" s="1"/>
      <c r="CE1022" s="1"/>
      <c r="CF1022" s="1"/>
      <c r="CG1022" s="1"/>
      <c r="CM1022" s="2"/>
      <c r="CO1022" s="1"/>
      <c r="CP1022" s="1"/>
      <c r="CQ1022" s="1"/>
      <c r="CR1022" s="1"/>
      <c r="CS1022" s="1"/>
      <c r="CT1022" s="1"/>
      <c r="CU1022" s="1"/>
      <c r="CV1022" s="1"/>
      <c r="CW1022" s="1"/>
      <c r="CX1022" s="1"/>
      <c r="CY1022" s="1"/>
      <c r="CZ1022" s="1"/>
      <c r="DA1022" s="1"/>
      <c r="DB1022" s="1"/>
      <c r="DC1022" s="1"/>
      <c r="DD1022" s="1"/>
      <c r="DE1022" s="1"/>
      <c r="DF1022" s="1"/>
      <c r="DG1022" s="1"/>
      <c r="DH1022" s="1"/>
      <c r="DI1022" s="1"/>
      <c r="DJ1022" s="1"/>
      <c r="DK1022" s="1"/>
      <c r="DM1022" s="1"/>
      <c r="DQ1022" s="1"/>
      <c r="DR1022" s="1"/>
      <c r="DY1022" s="1"/>
      <c r="DZ1022" s="1"/>
      <c r="ED1022" s="1"/>
      <c r="EE1022" s="1"/>
      <c r="EF1022" s="1"/>
      <c r="EG1022" s="1"/>
      <c r="EH1022" s="1"/>
      <c r="EK1022" s="1"/>
      <c r="EL1022" s="1"/>
      <c r="EM1022" s="1"/>
      <c r="EN1022" s="1"/>
      <c r="EQ1022" s="1"/>
      <c r="ER1022" s="1"/>
      <c r="ES1022" s="1"/>
      <c r="EV1022" s="1"/>
      <c r="EW1022" s="1"/>
      <c r="EY1022" s="1"/>
      <c r="EZ1022" s="1"/>
      <c r="GJ1022" s="1"/>
      <c r="GK1022" s="1"/>
      <c r="GL1022" s="1"/>
      <c r="GM1022" s="1"/>
      <c r="GN1022" s="1"/>
      <c r="GO1022" s="1"/>
      <c r="GP1022" s="1"/>
      <c r="GU1022" s="1"/>
      <c r="GV1022" s="1"/>
      <c r="GY1022" s="1"/>
      <c r="HF1022" s="1"/>
      <c r="HH1022" s="1"/>
      <c r="HT1022" s="1"/>
      <c r="HY1022" s="1"/>
      <c r="IC1022" s="1"/>
      <c r="IE1022" s="1"/>
      <c r="IF1022" s="1"/>
      <c r="IG1022" s="1"/>
      <c r="IJ1022" s="1"/>
      <c r="IR1022" s="1"/>
      <c r="IS1022" s="1"/>
      <c r="IW1022" s="1"/>
      <c r="IZ1022" s="1"/>
      <c r="JA1022" s="1"/>
      <c r="JG1022" s="1"/>
      <c r="JH1022" s="1"/>
      <c r="JJ1022" s="1"/>
      <c r="JK1022" s="1"/>
      <c r="JL1022" s="3"/>
      <c r="JM1022" s="1"/>
      <c r="JN1022" s="1"/>
      <c r="JP1022" s="1"/>
      <c r="JQ1022" s="1"/>
      <c r="JR1022" s="1"/>
      <c r="JT1022" s="1"/>
      <c r="KU1022" s="1"/>
      <c r="KW1022" s="1"/>
      <c r="KY1022" s="1"/>
      <c r="KZ1022" s="1"/>
      <c r="LA1022" s="1"/>
      <c r="LB1022" s="1"/>
      <c r="LC1022" s="1"/>
      <c r="LD1022" s="1"/>
      <c r="LF1022" s="1"/>
      <c r="LN1022" s="1"/>
      <c r="LO1022" s="1"/>
      <c r="LP1022" s="1"/>
      <c r="LZ1022" s="1"/>
      <c r="MA1022" s="1"/>
    </row>
    <row r="1023" spans="4:339" ht="13" x14ac:dyDescent="0.15">
      <c r="D1023" s="12"/>
      <c r="E1023" s="12"/>
      <c r="I1023" s="12"/>
      <c r="J1023" s="13"/>
      <c r="BF1023" s="1"/>
      <c r="BG1023" s="1"/>
      <c r="BH1023" s="1"/>
      <c r="BI1023" s="1"/>
      <c r="BK1023" s="1"/>
      <c r="BL1023" s="1"/>
      <c r="BM1023" s="1"/>
      <c r="BN1023" s="1"/>
      <c r="BO1023" s="1"/>
      <c r="BP1023" s="1"/>
      <c r="BQ1023" s="1"/>
      <c r="BR1023" s="1"/>
      <c r="CD1023" s="1"/>
      <c r="CE1023" s="1"/>
      <c r="CF1023" s="1"/>
      <c r="CG1023" s="1"/>
      <c r="CM1023" s="2"/>
      <c r="CO1023" s="1"/>
      <c r="CP1023" s="1"/>
      <c r="CQ1023" s="1"/>
      <c r="CR1023" s="1"/>
      <c r="CS1023" s="1"/>
      <c r="CT1023" s="1"/>
      <c r="CU1023" s="1"/>
      <c r="CV1023" s="1"/>
      <c r="CW1023" s="1"/>
      <c r="CX1023" s="1"/>
      <c r="CY1023" s="1"/>
      <c r="CZ1023" s="1"/>
      <c r="DA1023" s="1"/>
      <c r="DB1023" s="1"/>
      <c r="DC1023" s="1"/>
      <c r="DD1023" s="1"/>
      <c r="DE1023" s="1"/>
      <c r="DF1023" s="1"/>
      <c r="DG1023" s="1"/>
      <c r="DH1023" s="1"/>
      <c r="DI1023" s="1"/>
      <c r="DJ1023" s="1"/>
      <c r="DK1023" s="1"/>
      <c r="DM1023" s="1"/>
      <c r="DQ1023" s="1"/>
      <c r="DR1023" s="1"/>
      <c r="DY1023" s="1"/>
      <c r="DZ1023" s="1"/>
      <c r="ED1023" s="1"/>
      <c r="EE1023" s="1"/>
      <c r="EF1023" s="1"/>
      <c r="EG1023" s="1"/>
      <c r="EH1023" s="1"/>
      <c r="EK1023" s="1"/>
      <c r="EL1023" s="1"/>
      <c r="EM1023" s="1"/>
      <c r="EN1023" s="1"/>
      <c r="EQ1023" s="1"/>
      <c r="ER1023" s="1"/>
      <c r="ES1023" s="1"/>
      <c r="EV1023" s="1"/>
      <c r="EW1023" s="1"/>
      <c r="EY1023" s="1"/>
      <c r="EZ1023" s="1"/>
      <c r="GJ1023" s="1"/>
      <c r="GK1023" s="1"/>
      <c r="GL1023" s="1"/>
      <c r="GM1023" s="1"/>
      <c r="GN1023" s="1"/>
      <c r="GO1023" s="1"/>
      <c r="GP1023" s="1"/>
      <c r="GU1023" s="1"/>
      <c r="GV1023" s="1"/>
      <c r="GY1023" s="1"/>
      <c r="HF1023" s="1"/>
      <c r="HH1023" s="1"/>
      <c r="HT1023" s="1"/>
      <c r="HY1023" s="1"/>
      <c r="IC1023" s="1"/>
      <c r="IE1023" s="1"/>
      <c r="IF1023" s="1"/>
      <c r="IG1023" s="1"/>
      <c r="IJ1023" s="1"/>
      <c r="IR1023" s="1"/>
      <c r="IS1023" s="1"/>
      <c r="IW1023" s="1"/>
      <c r="IZ1023" s="1"/>
      <c r="JA1023" s="1"/>
      <c r="JG1023" s="1"/>
      <c r="JH1023" s="1"/>
      <c r="JJ1023" s="1"/>
      <c r="JK1023" s="1"/>
      <c r="JL1023" s="3"/>
      <c r="JM1023" s="1"/>
      <c r="JN1023" s="1"/>
      <c r="JP1023" s="1"/>
      <c r="JQ1023" s="1"/>
      <c r="JR1023" s="1"/>
      <c r="JT1023" s="1"/>
      <c r="KU1023" s="1"/>
      <c r="KW1023" s="1"/>
      <c r="KY1023" s="1"/>
      <c r="KZ1023" s="1"/>
      <c r="LA1023" s="1"/>
      <c r="LB1023" s="1"/>
      <c r="LC1023" s="1"/>
      <c r="LD1023" s="1"/>
      <c r="LF1023" s="1"/>
      <c r="LN1023" s="1"/>
      <c r="LO1023" s="1"/>
      <c r="LP1023" s="1"/>
      <c r="LZ1023" s="1"/>
      <c r="MA1023" s="1"/>
    </row>
    <row r="1024" spans="4:339" ht="13" x14ac:dyDescent="0.15">
      <c r="D1024" s="12"/>
      <c r="E1024" s="12"/>
      <c r="I1024" s="12"/>
      <c r="J1024" s="13"/>
      <c r="BF1024" s="1"/>
      <c r="BG1024" s="1"/>
      <c r="BH1024" s="1"/>
      <c r="BI1024" s="1"/>
      <c r="BK1024" s="1"/>
      <c r="BL1024" s="1"/>
      <c r="BM1024" s="1"/>
      <c r="BN1024" s="1"/>
      <c r="BO1024" s="1"/>
      <c r="BP1024" s="1"/>
      <c r="BQ1024" s="1"/>
      <c r="BR1024" s="1"/>
      <c r="CD1024" s="1"/>
      <c r="CE1024" s="1"/>
      <c r="CF1024" s="1"/>
      <c r="CG1024" s="1"/>
      <c r="CM1024" s="2"/>
      <c r="CO1024" s="1"/>
      <c r="CP1024" s="1"/>
      <c r="CQ1024" s="1"/>
      <c r="CR1024" s="1"/>
      <c r="CS1024" s="1"/>
      <c r="CT1024" s="1"/>
      <c r="CU1024" s="1"/>
      <c r="CV1024" s="1"/>
      <c r="CW1024" s="1"/>
      <c r="CX1024" s="1"/>
      <c r="CY1024" s="1"/>
      <c r="CZ1024" s="1"/>
      <c r="DA1024" s="1"/>
      <c r="DB1024" s="1"/>
      <c r="DC1024" s="1"/>
      <c r="DD1024" s="1"/>
      <c r="DE1024" s="1"/>
      <c r="DF1024" s="1"/>
      <c r="DG1024" s="1"/>
      <c r="DH1024" s="1"/>
      <c r="DI1024" s="1"/>
      <c r="DJ1024" s="1"/>
      <c r="DK1024" s="1"/>
      <c r="DM1024" s="1"/>
      <c r="DQ1024" s="1"/>
      <c r="DR1024" s="1"/>
      <c r="DY1024" s="1"/>
      <c r="DZ1024" s="1"/>
      <c r="ED1024" s="1"/>
      <c r="EE1024" s="1"/>
      <c r="EF1024" s="1"/>
      <c r="EG1024" s="1"/>
      <c r="EH1024" s="1"/>
      <c r="EK1024" s="1"/>
      <c r="EL1024" s="1"/>
      <c r="EM1024" s="1"/>
      <c r="EN1024" s="1"/>
      <c r="EQ1024" s="1"/>
      <c r="ER1024" s="1"/>
      <c r="ES1024" s="1"/>
      <c r="EV1024" s="1"/>
      <c r="EW1024" s="1"/>
      <c r="EY1024" s="1"/>
      <c r="EZ1024" s="1"/>
      <c r="GJ1024" s="1"/>
      <c r="GK1024" s="1"/>
      <c r="GL1024" s="1"/>
      <c r="GM1024" s="1"/>
      <c r="GN1024" s="1"/>
      <c r="GO1024" s="1"/>
      <c r="GP1024" s="1"/>
      <c r="GU1024" s="1"/>
      <c r="GV1024" s="1"/>
      <c r="GY1024" s="1"/>
      <c r="HF1024" s="1"/>
      <c r="HH1024" s="1"/>
      <c r="HT1024" s="1"/>
      <c r="HY1024" s="1"/>
      <c r="IC1024" s="1"/>
      <c r="IE1024" s="1"/>
      <c r="IF1024" s="1"/>
      <c r="IG1024" s="1"/>
      <c r="IJ1024" s="1"/>
      <c r="IR1024" s="1"/>
      <c r="IS1024" s="1"/>
      <c r="IW1024" s="1"/>
      <c r="IZ1024" s="1"/>
      <c r="JA1024" s="1"/>
      <c r="JG1024" s="1"/>
      <c r="JH1024" s="1"/>
      <c r="JJ1024" s="1"/>
      <c r="JK1024" s="1"/>
      <c r="JL1024" s="3"/>
      <c r="JM1024" s="1"/>
      <c r="JN1024" s="1"/>
      <c r="JP1024" s="1"/>
      <c r="JQ1024" s="1"/>
      <c r="JR1024" s="1"/>
      <c r="JT1024" s="1"/>
      <c r="KU1024" s="1"/>
      <c r="KW1024" s="1"/>
      <c r="KY1024" s="1"/>
      <c r="KZ1024" s="1"/>
      <c r="LA1024" s="1"/>
      <c r="LB1024" s="1"/>
      <c r="LC1024" s="1"/>
      <c r="LD1024" s="1"/>
      <c r="LF1024" s="1"/>
      <c r="LN1024" s="1"/>
      <c r="LO1024" s="1"/>
      <c r="LP1024" s="1"/>
      <c r="LZ1024" s="1"/>
      <c r="MA1024" s="1"/>
    </row>
    <row r="1025" spans="4:339" ht="13" x14ac:dyDescent="0.15">
      <c r="D1025" s="12"/>
      <c r="E1025" s="12"/>
      <c r="I1025" s="12"/>
      <c r="J1025" s="13"/>
      <c r="BF1025" s="1"/>
      <c r="BG1025" s="1"/>
      <c r="BH1025" s="1"/>
      <c r="BI1025" s="1"/>
      <c r="BK1025" s="1"/>
      <c r="BL1025" s="1"/>
      <c r="BM1025" s="1"/>
      <c r="BN1025" s="1"/>
      <c r="BO1025" s="1"/>
      <c r="BP1025" s="1"/>
      <c r="BQ1025" s="1"/>
      <c r="BR1025" s="1"/>
      <c r="CD1025" s="1"/>
      <c r="CE1025" s="1"/>
      <c r="CF1025" s="1"/>
      <c r="CG1025" s="1"/>
      <c r="CM1025" s="2"/>
      <c r="CO1025" s="1"/>
      <c r="CP1025" s="1"/>
      <c r="CQ1025" s="1"/>
      <c r="CR1025" s="1"/>
      <c r="CS1025" s="1"/>
      <c r="CT1025" s="1"/>
      <c r="CU1025" s="1"/>
      <c r="CV1025" s="1"/>
      <c r="CW1025" s="1"/>
      <c r="CX1025" s="1"/>
      <c r="CY1025" s="1"/>
      <c r="CZ1025" s="1"/>
      <c r="DA1025" s="1"/>
      <c r="DB1025" s="1"/>
      <c r="DC1025" s="1"/>
      <c r="DD1025" s="1"/>
      <c r="DE1025" s="1"/>
      <c r="DF1025" s="1"/>
      <c r="DG1025" s="1"/>
      <c r="DH1025" s="1"/>
      <c r="DI1025" s="1"/>
      <c r="DJ1025" s="1"/>
      <c r="DK1025" s="1"/>
      <c r="DM1025" s="1"/>
      <c r="DQ1025" s="1"/>
      <c r="DR1025" s="1"/>
      <c r="DY1025" s="1"/>
      <c r="DZ1025" s="1"/>
      <c r="ED1025" s="1"/>
      <c r="EE1025" s="1"/>
      <c r="EF1025" s="1"/>
      <c r="EG1025" s="1"/>
      <c r="EH1025" s="1"/>
      <c r="EK1025" s="1"/>
      <c r="EL1025" s="1"/>
      <c r="EM1025" s="1"/>
      <c r="EN1025" s="1"/>
      <c r="EQ1025" s="1"/>
      <c r="ER1025" s="1"/>
      <c r="ES1025" s="1"/>
      <c r="EV1025" s="1"/>
      <c r="EW1025" s="1"/>
      <c r="EY1025" s="1"/>
      <c r="EZ1025" s="1"/>
      <c r="GJ1025" s="1"/>
      <c r="GK1025" s="1"/>
      <c r="GL1025" s="1"/>
      <c r="GM1025" s="1"/>
      <c r="GN1025" s="1"/>
      <c r="GO1025" s="1"/>
      <c r="GP1025" s="1"/>
      <c r="GU1025" s="1"/>
      <c r="GV1025" s="1"/>
      <c r="GY1025" s="1"/>
      <c r="HF1025" s="1"/>
      <c r="HH1025" s="1"/>
      <c r="HT1025" s="1"/>
      <c r="HY1025" s="1"/>
      <c r="IC1025" s="1"/>
      <c r="IE1025" s="1"/>
      <c r="IF1025" s="1"/>
      <c r="IG1025" s="1"/>
      <c r="IJ1025" s="1"/>
      <c r="IR1025" s="1"/>
      <c r="IS1025" s="1"/>
      <c r="IW1025" s="1"/>
      <c r="IZ1025" s="1"/>
      <c r="JA1025" s="1"/>
      <c r="JG1025" s="1"/>
      <c r="JH1025" s="1"/>
      <c r="JJ1025" s="1"/>
      <c r="JK1025" s="1"/>
      <c r="JL1025" s="3"/>
      <c r="JM1025" s="1"/>
      <c r="JN1025" s="1"/>
      <c r="JP1025" s="1"/>
      <c r="JQ1025" s="1"/>
      <c r="JR1025" s="1"/>
      <c r="JT1025" s="1"/>
      <c r="KU1025" s="1"/>
      <c r="KW1025" s="1"/>
      <c r="KY1025" s="1"/>
      <c r="KZ1025" s="1"/>
      <c r="LA1025" s="1"/>
      <c r="LB1025" s="1"/>
      <c r="LC1025" s="1"/>
      <c r="LD1025" s="1"/>
      <c r="LF1025" s="1"/>
      <c r="LN1025" s="1"/>
      <c r="LO1025" s="1"/>
      <c r="LP1025" s="1"/>
      <c r="LZ1025" s="1"/>
      <c r="MA1025" s="1"/>
    </row>
    <row r="1026" spans="4:339" ht="13" x14ac:dyDescent="0.15">
      <c r="D1026" s="12"/>
      <c r="E1026" s="12"/>
      <c r="I1026" s="12"/>
      <c r="J1026" s="13"/>
      <c r="BF1026" s="1"/>
      <c r="BG1026" s="1"/>
      <c r="BH1026" s="1"/>
      <c r="BI1026" s="1"/>
      <c r="BK1026" s="1"/>
      <c r="BL1026" s="1"/>
      <c r="BM1026" s="1"/>
      <c r="BN1026" s="1"/>
      <c r="BO1026" s="1"/>
      <c r="BP1026" s="1"/>
      <c r="BQ1026" s="1"/>
      <c r="BR1026" s="1"/>
      <c r="CD1026" s="1"/>
      <c r="CE1026" s="1"/>
      <c r="CF1026" s="1"/>
      <c r="CG1026" s="1"/>
      <c r="CM1026" s="2"/>
      <c r="CO1026" s="1"/>
      <c r="CP1026" s="1"/>
      <c r="CQ1026" s="1"/>
      <c r="CR1026" s="1"/>
      <c r="CS1026" s="1"/>
      <c r="CT1026" s="1"/>
      <c r="CU1026" s="1"/>
      <c r="CV1026" s="1"/>
      <c r="CW1026" s="1"/>
      <c r="CX1026" s="1"/>
      <c r="CY1026" s="1"/>
      <c r="CZ1026" s="1"/>
      <c r="DA1026" s="1"/>
      <c r="DB1026" s="1"/>
      <c r="DC1026" s="1"/>
      <c r="DD1026" s="1"/>
      <c r="DE1026" s="1"/>
      <c r="DF1026" s="1"/>
      <c r="DG1026" s="1"/>
      <c r="DH1026" s="1"/>
      <c r="DI1026" s="1"/>
      <c r="DJ1026" s="1"/>
      <c r="DK1026" s="1"/>
      <c r="DM1026" s="1"/>
      <c r="DQ1026" s="1"/>
      <c r="DR1026" s="1"/>
      <c r="DY1026" s="1"/>
      <c r="DZ1026" s="1"/>
      <c r="ED1026" s="1"/>
      <c r="EE1026" s="1"/>
      <c r="EF1026" s="1"/>
      <c r="EG1026" s="1"/>
      <c r="EH1026" s="1"/>
      <c r="EK1026" s="1"/>
      <c r="EL1026" s="1"/>
      <c r="EM1026" s="1"/>
      <c r="EN1026" s="1"/>
      <c r="EQ1026" s="1"/>
      <c r="ER1026" s="1"/>
      <c r="ES1026" s="1"/>
      <c r="EV1026" s="1"/>
      <c r="EW1026" s="1"/>
      <c r="EY1026" s="1"/>
      <c r="EZ1026" s="1"/>
      <c r="GJ1026" s="1"/>
      <c r="GK1026" s="1"/>
      <c r="GL1026" s="1"/>
      <c r="GM1026" s="1"/>
      <c r="GN1026" s="1"/>
      <c r="GO1026" s="1"/>
      <c r="GP1026" s="1"/>
      <c r="GU1026" s="1"/>
      <c r="GV1026" s="1"/>
      <c r="GY1026" s="1"/>
      <c r="HF1026" s="1"/>
      <c r="HH1026" s="1"/>
      <c r="HT1026" s="1"/>
      <c r="HY1026" s="1"/>
      <c r="IC1026" s="1"/>
      <c r="IE1026" s="1"/>
      <c r="IF1026" s="1"/>
      <c r="IG1026" s="1"/>
      <c r="IJ1026" s="1"/>
      <c r="IR1026" s="1"/>
      <c r="IS1026" s="1"/>
      <c r="IW1026" s="1"/>
      <c r="IZ1026" s="1"/>
      <c r="JA1026" s="1"/>
      <c r="JG1026" s="1"/>
      <c r="JH1026" s="1"/>
      <c r="JJ1026" s="1"/>
      <c r="JK1026" s="1"/>
      <c r="JL1026" s="3"/>
      <c r="JM1026" s="1"/>
      <c r="JN1026" s="1"/>
      <c r="JP1026" s="1"/>
      <c r="JQ1026" s="1"/>
      <c r="JR1026" s="1"/>
      <c r="JT1026" s="1"/>
      <c r="KU1026" s="1"/>
      <c r="KW1026" s="1"/>
      <c r="KY1026" s="1"/>
      <c r="KZ1026" s="1"/>
      <c r="LA1026" s="1"/>
      <c r="LB1026" s="1"/>
      <c r="LC1026" s="1"/>
      <c r="LD1026" s="1"/>
      <c r="LF1026" s="1"/>
      <c r="LN1026" s="1"/>
      <c r="LO1026" s="1"/>
      <c r="LP1026" s="1"/>
      <c r="LZ1026" s="1"/>
      <c r="MA1026" s="1"/>
    </row>
    <row r="1027" spans="4:339" ht="13" x14ac:dyDescent="0.15">
      <c r="D1027" s="12"/>
      <c r="E1027" s="12"/>
      <c r="I1027" s="12"/>
      <c r="J1027" s="13"/>
      <c r="BF1027" s="1"/>
      <c r="BG1027" s="1"/>
      <c r="BH1027" s="1"/>
      <c r="BI1027" s="1"/>
      <c r="BK1027" s="1"/>
      <c r="BL1027" s="1"/>
      <c r="BM1027" s="1"/>
      <c r="BN1027" s="1"/>
      <c r="BO1027" s="1"/>
      <c r="BP1027" s="1"/>
      <c r="BQ1027" s="1"/>
      <c r="BR1027" s="1"/>
      <c r="CD1027" s="1"/>
      <c r="CE1027" s="1"/>
      <c r="CF1027" s="1"/>
      <c r="CG1027" s="1"/>
      <c r="CM1027" s="2"/>
      <c r="CO1027" s="1"/>
      <c r="CP1027" s="1"/>
      <c r="CQ1027" s="1"/>
      <c r="CR1027" s="1"/>
      <c r="CS1027" s="1"/>
      <c r="CT1027" s="1"/>
      <c r="CU1027" s="1"/>
      <c r="CV1027" s="1"/>
      <c r="CW1027" s="1"/>
      <c r="CX1027" s="1"/>
      <c r="CY1027" s="1"/>
      <c r="CZ1027" s="1"/>
      <c r="DA1027" s="1"/>
      <c r="DB1027" s="1"/>
      <c r="DC1027" s="1"/>
      <c r="DD1027" s="1"/>
      <c r="DE1027" s="1"/>
      <c r="DF1027" s="1"/>
      <c r="DG1027" s="1"/>
      <c r="DH1027" s="1"/>
      <c r="DI1027" s="1"/>
      <c r="DJ1027" s="1"/>
      <c r="DK1027" s="1"/>
      <c r="DM1027" s="1"/>
      <c r="DQ1027" s="1"/>
      <c r="DR1027" s="1"/>
      <c r="DY1027" s="1"/>
      <c r="DZ1027" s="1"/>
      <c r="ED1027" s="1"/>
      <c r="EE1027" s="1"/>
      <c r="EF1027" s="1"/>
      <c r="EG1027" s="1"/>
      <c r="EH1027" s="1"/>
      <c r="EK1027" s="1"/>
      <c r="EL1027" s="1"/>
      <c r="EM1027" s="1"/>
      <c r="EN1027" s="1"/>
      <c r="EQ1027" s="1"/>
      <c r="ER1027" s="1"/>
      <c r="ES1027" s="1"/>
      <c r="EV1027" s="1"/>
      <c r="EW1027" s="1"/>
      <c r="EY1027" s="1"/>
      <c r="EZ1027" s="1"/>
      <c r="GJ1027" s="1"/>
      <c r="GK1027" s="1"/>
      <c r="GL1027" s="1"/>
      <c r="GM1027" s="1"/>
      <c r="GN1027" s="1"/>
      <c r="GO1027" s="1"/>
      <c r="GP1027" s="1"/>
      <c r="GU1027" s="1"/>
      <c r="GV1027" s="1"/>
      <c r="GY1027" s="1"/>
      <c r="HF1027" s="1"/>
      <c r="HH1027" s="1"/>
      <c r="HT1027" s="1"/>
      <c r="HY1027" s="1"/>
      <c r="IC1027" s="1"/>
      <c r="IE1027" s="1"/>
      <c r="IF1027" s="1"/>
      <c r="IG1027" s="1"/>
      <c r="IJ1027" s="1"/>
      <c r="IR1027" s="1"/>
      <c r="IS1027" s="1"/>
      <c r="IW1027" s="1"/>
      <c r="IZ1027" s="1"/>
      <c r="JA1027" s="1"/>
      <c r="JG1027" s="1"/>
      <c r="JH1027" s="1"/>
      <c r="JJ1027" s="1"/>
      <c r="JK1027" s="1"/>
      <c r="JL1027" s="3"/>
      <c r="JM1027" s="1"/>
      <c r="JN1027" s="1"/>
      <c r="JP1027" s="1"/>
      <c r="JQ1027" s="1"/>
      <c r="JR1027" s="1"/>
      <c r="JT1027" s="1"/>
      <c r="KU1027" s="1"/>
      <c r="KW1027" s="1"/>
      <c r="KY1027" s="1"/>
      <c r="KZ1027" s="1"/>
      <c r="LA1027" s="1"/>
      <c r="LB1027" s="1"/>
      <c r="LC1027" s="1"/>
      <c r="LD1027" s="1"/>
      <c r="LF1027" s="1"/>
      <c r="LN1027" s="1"/>
      <c r="LO1027" s="1"/>
      <c r="LP1027" s="1"/>
      <c r="LZ1027" s="1"/>
      <c r="MA1027" s="1"/>
    </row>
    <row r="1028" spans="4:339" ht="13" x14ac:dyDescent="0.15">
      <c r="D1028" s="12"/>
      <c r="E1028" s="12"/>
      <c r="I1028" s="12"/>
      <c r="J1028" s="13"/>
      <c r="BF1028" s="1"/>
      <c r="BG1028" s="1"/>
      <c r="BH1028" s="1"/>
      <c r="BI1028" s="1"/>
      <c r="BK1028" s="1"/>
      <c r="BL1028" s="1"/>
      <c r="BM1028" s="1"/>
      <c r="BN1028" s="1"/>
      <c r="BO1028" s="1"/>
      <c r="BP1028" s="1"/>
      <c r="BQ1028" s="1"/>
      <c r="BR1028" s="1"/>
      <c r="CD1028" s="1"/>
      <c r="CE1028" s="1"/>
      <c r="CF1028" s="1"/>
      <c r="CG1028" s="1"/>
      <c r="CM1028" s="2"/>
      <c r="CO1028" s="1"/>
      <c r="CP1028" s="1"/>
      <c r="CQ1028" s="1"/>
      <c r="CR1028" s="1"/>
      <c r="CS1028" s="1"/>
      <c r="CT1028" s="1"/>
      <c r="CU1028" s="1"/>
      <c r="CV1028" s="1"/>
      <c r="CW1028" s="1"/>
      <c r="CX1028" s="1"/>
      <c r="CY1028" s="1"/>
      <c r="CZ1028" s="1"/>
      <c r="DA1028" s="1"/>
      <c r="DB1028" s="1"/>
      <c r="DC1028" s="1"/>
      <c r="DD1028" s="1"/>
      <c r="DE1028" s="1"/>
      <c r="DF1028" s="1"/>
      <c r="DG1028" s="1"/>
      <c r="DH1028" s="1"/>
      <c r="DI1028" s="1"/>
      <c r="DJ1028" s="1"/>
      <c r="DK1028" s="1"/>
      <c r="DM1028" s="1"/>
      <c r="DQ1028" s="1"/>
      <c r="DR1028" s="1"/>
      <c r="DY1028" s="1"/>
      <c r="DZ1028" s="1"/>
      <c r="ED1028" s="1"/>
      <c r="EE1028" s="1"/>
      <c r="EF1028" s="1"/>
      <c r="EG1028" s="1"/>
      <c r="EH1028" s="1"/>
      <c r="EK1028" s="1"/>
      <c r="EL1028" s="1"/>
      <c r="EM1028" s="1"/>
      <c r="EN1028" s="1"/>
      <c r="EQ1028" s="1"/>
      <c r="ER1028" s="1"/>
      <c r="ES1028" s="1"/>
      <c r="EV1028" s="1"/>
      <c r="EW1028" s="1"/>
      <c r="EY1028" s="1"/>
      <c r="EZ1028" s="1"/>
      <c r="GJ1028" s="1"/>
      <c r="GK1028" s="1"/>
      <c r="GL1028" s="1"/>
      <c r="GM1028" s="1"/>
      <c r="GN1028" s="1"/>
      <c r="GO1028" s="1"/>
      <c r="GP1028" s="1"/>
      <c r="GU1028" s="1"/>
      <c r="GV1028" s="1"/>
      <c r="GY1028" s="1"/>
      <c r="HF1028" s="1"/>
      <c r="HH1028" s="1"/>
      <c r="HT1028" s="1"/>
      <c r="HY1028" s="1"/>
      <c r="IC1028" s="1"/>
      <c r="IE1028" s="1"/>
      <c r="IF1028" s="1"/>
      <c r="IG1028" s="1"/>
      <c r="IJ1028" s="1"/>
      <c r="IR1028" s="1"/>
      <c r="IS1028" s="1"/>
      <c r="IW1028" s="1"/>
      <c r="IZ1028" s="1"/>
      <c r="JA1028" s="1"/>
      <c r="JG1028" s="1"/>
      <c r="JH1028" s="1"/>
      <c r="JJ1028" s="1"/>
      <c r="JK1028" s="1"/>
      <c r="JL1028" s="3"/>
      <c r="JM1028" s="1"/>
      <c r="JN1028" s="1"/>
      <c r="JP1028" s="1"/>
      <c r="JQ1028" s="1"/>
      <c r="JR1028" s="1"/>
      <c r="JT1028" s="1"/>
      <c r="KU1028" s="1"/>
      <c r="KW1028" s="1"/>
      <c r="KY1028" s="1"/>
      <c r="KZ1028" s="1"/>
      <c r="LA1028" s="1"/>
      <c r="LB1028" s="1"/>
      <c r="LC1028" s="1"/>
      <c r="LD1028" s="1"/>
      <c r="LF1028" s="1"/>
      <c r="LN1028" s="1"/>
      <c r="LO1028" s="1"/>
      <c r="LP1028" s="1"/>
      <c r="LZ1028" s="1"/>
      <c r="MA1028" s="1"/>
    </row>
    <row r="1029" spans="4:339" ht="13" x14ac:dyDescent="0.15">
      <c r="D1029" s="12"/>
      <c r="E1029" s="12"/>
      <c r="I1029" s="12"/>
      <c r="J1029" s="13"/>
      <c r="BF1029" s="1"/>
      <c r="BG1029" s="1"/>
      <c r="BH1029" s="1"/>
      <c r="BI1029" s="1"/>
      <c r="BK1029" s="1"/>
      <c r="BL1029" s="1"/>
      <c r="BM1029" s="1"/>
      <c r="BN1029" s="1"/>
      <c r="BO1029" s="1"/>
      <c r="BP1029" s="1"/>
      <c r="BQ1029" s="1"/>
      <c r="BR1029" s="1"/>
      <c r="CD1029" s="1"/>
      <c r="CE1029" s="1"/>
      <c r="CF1029" s="1"/>
      <c r="CG1029" s="1"/>
      <c r="CM1029" s="2"/>
      <c r="CO1029" s="1"/>
      <c r="CP1029" s="1"/>
      <c r="CQ1029" s="1"/>
      <c r="CR1029" s="1"/>
      <c r="CS1029" s="1"/>
      <c r="CT1029" s="1"/>
      <c r="CU1029" s="1"/>
      <c r="CV1029" s="1"/>
      <c r="CW1029" s="1"/>
      <c r="CX1029" s="1"/>
      <c r="CY1029" s="1"/>
      <c r="CZ1029" s="1"/>
      <c r="DA1029" s="1"/>
      <c r="DB1029" s="1"/>
      <c r="DC1029" s="1"/>
      <c r="DD1029" s="1"/>
      <c r="DE1029" s="1"/>
      <c r="DF1029" s="1"/>
      <c r="DG1029" s="1"/>
      <c r="DH1029" s="1"/>
      <c r="DI1029" s="1"/>
      <c r="DJ1029" s="1"/>
      <c r="DK1029" s="1"/>
      <c r="DM1029" s="1"/>
      <c r="DQ1029" s="1"/>
      <c r="DR1029" s="1"/>
      <c r="DY1029" s="1"/>
      <c r="DZ1029" s="1"/>
      <c r="ED1029" s="1"/>
      <c r="EE1029" s="1"/>
      <c r="EF1029" s="1"/>
      <c r="EG1029" s="1"/>
      <c r="EH1029" s="1"/>
      <c r="EK1029" s="1"/>
      <c r="EL1029" s="1"/>
      <c r="EM1029" s="1"/>
      <c r="EN1029" s="1"/>
      <c r="EQ1029" s="1"/>
      <c r="ER1029" s="1"/>
      <c r="ES1029" s="1"/>
      <c r="EV1029" s="1"/>
      <c r="EW1029" s="1"/>
      <c r="EY1029" s="1"/>
      <c r="EZ1029" s="1"/>
      <c r="GJ1029" s="1"/>
      <c r="GK1029" s="1"/>
      <c r="GL1029" s="1"/>
      <c r="GM1029" s="1"/>
      <c r="GN1029" s="1"/>
      <c r="GO1029" s="1"/>
      <c r="GP1029" s="1"/>
      <c r="GU1029" s="1"/>
      <c r="GV1029" s="1"/>
      <c r="GY1029" s="1"/>
      <c r="HF1029" s="1"/>
      <c r="HH1029" s="1"/>
      <c r="HT1029" s="1"/>
      <c r="HY1029" s="1"/>
      <c r="IC1029" s="1"/>
      <c r="IE1029" s="1"/>
      <c r="IF1029" s="1"/>
      <c r="IG1029" s="1"/>
      <c r="IJ1029" s="1"/>
      <c r="IR1029" s="1"/>
      <c r="IS1029" s="1"/>
      <c r="IW1029" s="1"/>
      <c r="IZ1029" s="1"/>
      <c r="JA1029" s="1"/>
      <c r="JG1029" s="1"/>
      <c r="JH1029" s="1"/>
      <c r="JJ1029" s="1"/>
      <c r="JK1029" s="1"/>
      <c r="JL1029" s="3"/>
      <c r="JM1029" s="1"/>
      <c r="JN1029" s="1"/>
      <c r="JP1029" s="1"/>
      <c r="JQ1029" s="1"/>
      <c r="JR1029" s="1"/>
      <c r="JT1029" s="1"/>
      <c r="KU1029" s="1"/>
      <c r="KW1029" s="1"/>
      <c r="KY1029" s="1"/>
      <c r="KZ1029" s="1"/>
      <c r="LA1029" s="1"/>
      <c r="LB1029" s="1"/>
      <c r="LC1029" s="1"/>
      <c r="LD1029" s="1"/>
      <c r="LF1029" s="1"/>
      <c r="LN1029" s="1"/>
      <c r="LO1029" s="1"/>
      <c r="LP1029" s="1"/>
      <c r="LZ1029" s="1"/>
      <c r="MA1029" s="1"/>
    </row>
    <row r="1030" spans="4:339" ht="13" x14ac:dyDescent="0.15">
      <c r="D1030" s="12"/>
      <c r="E1030" s="12"/>
      <c r="I1030" s="12"/>
      <c r="J1030" s="13"/>
      <c r="BF1030" s="1"/>
      <c r="BG1030" s="1"/>
      <c r="BH1030" s="1"/>
      <c r="BI1030" s="1"/>
      <c r="BK1030" s="1"/>
      <c r="BL1030" s="1"/>
      <c r="BM1030" s="1"/>
      <c r="BN1030" s="1"/>
      <c r="BO1030" s="1"/>
      <c r="BP1030" s="1"/>
      <c r="BQ1030" s="1"/>
      <c r="BR1030" s="1"/>
      <c r="CD1030" s="1"/>
      <c r="CE1030" s="1"/>
      <c r="CF1030" s="1"/>
      <c r="CG1030" s="1"/>
      <c r="CM1030" s="2"/>
      <c r="CO1030" s="1"/>
      <c r="CP1030" s="1"/>
      <c r="CQ1030" s="1"/>
      <c r="CR1030" s="1"/>
      <c r="CS1030" s="1"/>
      <c r="CT1030" s="1"/>
      <c r="CU1030" s="1"/>
      <c r="CV1030" s="1"/>
      <c r="CW1030" s="1"/>
      <c r="CX1030" s="1"/>
      <c r="CY1030" s="1"/>
      <c r="CZ1030" s="1"/>
      <c r="DA1030" s="1"/>
      <c r="DB1030" s="1"/>
      <c r="DC1030" s="1"/>
      <c r="DD1030" s="1"/>
      <c r="DE1030" s="1"/>
      <c r="DF1030" s="1"/>
      <c r="DG1030" s="1"/>
      <c r="DH1030" s="1"/>
      <c r="DI1030" s="1"/>
      <c r="DJ1030" s="1"/>
      <c r="DK1030" s="1"/>
      <c r="DM1030" s="1"/>
      <c r="DQ1030" s="1"/>
      <c r="DR1030" s="1"/>
      <c r="DY1030" s="1"/>
      <c r="DZ1030" s="1"/>
      <c r="ED1030" s="1"/>
      <c r="EE1030" s="1"/>
      <c r="EF1030" s="1"/>
      <c r="EG1030" s="1"/>
      <c r="EH1030" s="1"/>
      <c r="EK1030" s="1"/>
      <c r="EL1030" s="1"/>
      <c r="EM1030" s="1"/>
      <c r="EN1030" s="1"/>
      <c r="EQ1030" s="1"/>
      <c r="ER1030" s="1"/>
      <c r="ES1030" s="1"/>
      <c r="EV1030" s="1"/>
      <c r="EW1030" s="1"/>
      <c r="EY1030" s="1"/>
      <c r="EZ1030" s="1"/>
      <c r="GJ1030" s="1"/>
      <c r="GK1030" s="1"/>
      <c r="GL1030" s="1"/>
      <c r="GM1030" s="1"/>
      <c r="GN1030" s="1"/>
      <c r="GO1030" s="1"/>
      <c r="GP1030" s="1"/>
      <c r="GU1030" s="1"/>
      <c r="GV1030" s="1"/>
      <c r="GY1030" s="1"/>
      <c r="HF1030" s="1"/>
      <c r="HH1030" s="1"/>
      <c r="HT1030" s="1"/>
      <c r="HY1030" s="1"/>
      <c r="IC1030" s="1"/>
      <c r="IE1030" s="1"/>
      <c r="IF1030" s="1"/>
      <c r="IG1030" s="1"/>
      <c r="IJ1030" s="1"/>
      <c r="IR1030" s="1"/>
      <c r="IS1030" s="1"/>
      <c r="IW1030" s="1"/>
      <c r="IZ1030" s="1"/>
      <c r="JA1030" s="1"/>
      <c r="JG1030" s="1"/>
      <c r="JH1030" s="1"/>
      <c r="JJ1030" s="1"/>
      <c r="JK1030" s="1"/>
      <c r="JL1030" s="3"/>
      <c r="JM1030" s="1"/>
      <c r="JN1030" s="1"/>
      <c r="JP1030" s="1"/>
      <c r="JQ1030" s="1"/>
      <c r="JR1030" s="1"/>
      <c r="JT1030" s="1"/>
      <c r="KU1030" s="1"/>
      <c r="KW1030" s="1"/>
      <c r="KY1030" s="1"/>
      <c r="KZ1030" s="1"/>
      <c r="LA1030" s="1"/>
      <c r="LB1030" s="1"/>
      <c r="LC1030" s="1"/>
      <c r="LD1030" s="1"/>
      <c r="LF1030" s="1"/>
      <c r="LN1030" s="1"/>
      <c r="LO1030" s="1"/>
      <c r="LP1030" s="1"/>
      <c r="LZ1030" s="1"/>
      <c r="MA1030" s="1"/>
    </row>
    <row r="1031" spans="4:339" ht="13" x14ac:dyDescent="0.15">
      <c r="D1031" s="12"/>
      <c r="E1031" s="12"/>
      <c r="I1031" s="12"/>
      <c r="J1031" s="13"/>
      <c r="BF1031" s="1"/>
      <c r="BG1031" s="1"/>
      <c r="BH1031" s="1"/>
      <c r="BI1031" s="1"/>
      <c r="BK1031" s="1"/>
      <c r="BL1031" s="1"/>
      <c r="BM1031" s="1"/>
      <c r="BN1031" s="1"/>
      <c r="BO1031" s="1"/>
      <c r="BP1031" s="1"/>
      <c r="BQ1031" s="1"/>
      <c r="BR1031" s="1"/>
      <c r="CD1031" s="1"/>
      <c r="CE1031" s="1"/>
      <c r="CF1031" s="1"/>
      <c r="CG1031" s="1"/>
      <c r="CM1031" s="2"/>
      <c r="CO1031" s="1"/>
      <c r="CP1031" s="1"/>
      <c r="CQ1031" s="1"/>
      <c r="CR1031" s="1"/>
      <c r="CS1031" s="1"/>
      <c r="CT1031" s="1"/>
      <c r="CU1031" s="1"/>
      <c r="CV1031" s="1"/>
      <c r="CW1031" s="1"/>
      <c r="CX1031" s="1"/>
      <c r="CY1031" s="1"/>
      <c r="CZ1031" s="1"/>
      <c r="DA1031" s="1"/>
      <c r="DB1031" s="1"/>
      <c r="DC1031" s="1"/>
      <c r="DD1031" s="1"/>
      <c r="DE1031" s="1"/>
      <c r="DF1031" s="1"/>
      <c r="DG1031" s="1"/>
      <c r="DH1031" s="1"/>
      <c r="DI1031" s="1"/>
      <c r="DJ1031" s="1"/>
      <c r="DK1031" s="1"/>
      <c r="DM1031" s="1"/>
      <c r="DQ1031" s="1"/>
      <c r="DR1031" s="1"/>
      <c r="DY1031" s="1"/>
      <c r="DZ1031" s="1"/>
      <c r="ED1031" s="1"/>
      <c r="EE1031" s="1"/>
      <c r="EF1031" s="1"/>
      <c r="EG1031" s="1"/>
      <c r="EH1031" s="1"/>
      <c r="EK1031" s="1"/>
      <c r="EL1031" s="1"/>
      <c r="EM1031" s="1"/>
      <c r="EN1031" s="1"/>
      <c r="EQ1031" s="1"/>
      <c r="ER1031" s="1"/>
      <c r="ES1031" s="1"/>
      <c r="EV1031" s="1"/>
      <c r="EW1031" s="1"/>
      <c r="EY1031" s="1"/>
      <c r="EZ1031" s="1"/>
      <c r="GJ1031" s="1"/>
      <c r="GK1031" s="1"/>
      <c r="GL1031" s="1"/>
      <c r="GM1031" s="1"/>
      <c r="GN1031" s="1"/>
      <c r="GO1031" s="1"/>
      <c r="GP1031" s="1"/>
      <c r="GU1031" s="1"/>
      <c r="GV1031" s="1"/>
      <c r="GY1031" s="1"/>
      <c r="HF1031" s="1"/>
      <c r="HH1031" s="1"/>
      <c r="HT1031" s="1"/>
      <c r="HY1031" s="1"/>
      <c r="IC1031" s="1"/>
      <c r="IE1031" s="1"/>
      <c r="IF1031" s="1"/>
      <c r="IG1031" s="1"/>
      <c r="IJ1031" s="1"/>
      <c r="IR1031" s="1"/>
      <c r="IS1031" s="1"/>
      <c r="IW1031" s="1"/>
      <c r="IZ1031" s="1"/>
      <c r="JA1031" s="1"/>
      <c r="JG1031" s="1"/>
      <c r="JH1031" s="1"/>
      <c r="JJ1031" s="1"/>
      <c r="JK1031" s="1"/>
      <c r="JL1031" s="3"/>
      <c r="JM1031" s="1"/>
      <c r="JN1031" s="1"/>
      <c r="JP1031" s="1"/>
      <c r="JQ1031" s="1"/>
      <c r="JR1031" s="1"/>
      <c r="JT1031" s="1"/>
      <c r="KU1031" s="1"/>
      <c r="KW1031" s="1"/>
      <c r="KY1031" s="1"/>
      <c r="KZ1031" s="1"/>
      <c r="LA1031" s="1"/>
      <c r="LB1031" s="1"/>
      <c r="LC1031" s="1"/>
      <c r="LD1031" s="1"/>
      <c r="LF1031" s="1"/>
      <c r="LN1031" s="1"/>
      <c r="LO1031" s="1"/>
      <c r="LP1031" s="1"/>
      <c r="LZ1031" s="1"/>
      <c r="MA1031" s="1"/>
    </row>
    <row r="1032" spans="4:339" ht="13" x14ac:dyDescent="0.15">
      <c r="D1032" s="12"/>
      <c r="E1032" s="12"/>
      <c r="I1032" s="12"/>
      <c r="J1032" s="13"/>
      <c r="BF1032" s="1"/>
      <c r="BG1032" s="1"/>
      <c r="BH1032" s="1"/>
      <c r="BI1032" s="1"/>
      <c r="BJ1032" s="1"/>
      <c r="BK1032" s="1"/>
      <c r="BL1032" s="1"/>
      <c r="BM1032" s="1"/>
      <c r="BN1032" s="1"/>
      <c r="BO1032" s="1"/>
      <c r="BP1032" s="1"/>
      <c r="BQ1032" s="1"/>
      <c r="BR1032" s="1"/>
      <c r="BX1032" s="1"/>
      <c r="CD1032" s="1"/>
      <c r="CE1032" s="1"/>
      <c r="CF1032" s="1"/>
      <c r="CG1032" s="1"/>
      <c r="CK1032" s="1"/>
      <c r="CM1032" s="2"/>
      <c r="CO1032" s="1"/>
      <c r="CP1032" s="1"/>
      <c r="CQ1032" s="1"/>
      <c r="CV1032" s="1"/>
      <c r="CW1032" s="1"/>
      <c r="CX1032" s="1"/>
      <c r="CY1032" s="1"/>
      <c r="CZ1032" s="1"/>
      <c r="DA1032" s="1"/>
      <c r="DB1032" s="1"/>
      <c r="DC1032" s="1"/>
      <c r="DD1032" s="1"/>
      <c r="DE1032" s="1"/>
      <c r="DF1032" s="1"/>
      <c r="DG1032" s="1"/>
      <c r="DH1032" s="1"/>
      <c r="DI1032" s="1"/>
      <c r="DJ1032" s="1"/>
      <c r="DK1032" s="1"/>
      <c r="DM1032" s="1"/>
      <c r="DQ1032" s="1"/>
      <c r="DR1032" s="1"/>
      <c r="DY1032" s="1"/>
      <c r="DZ1032" s="1"/>
      <c r="ED1032" s="1"/>
      <c r="EF1032" s="1"/>
      <c r="EK1032" s="1"/>
      <c r="EL1032" s="1"/>
      <c r="EM1032" s="1"/>
      <c r="EN1032" s="1"/>
      <c r="EQ1032" s="1"/>
      <c r="ER1032" s="1"/>
      <c r="ES1032" s="1"/>
      <c r="EV1032" s="1"/>
      <c r="EW1032" s="1"/>
      <c r="EZ1032" s="1"/>
      <c r="GJ1032" s="1"/>
      <c r="GK1032" s="1"/>
      <c r="GL1032" s="1"/>
      <c r="GM1032" s="1"/>
      <c r="GN1032" s="1"/>
      <c r="GO1032" s="1"/>
      <c r="GP1032" s="1"/>
      <c r="GU1032" s="1"/>
      <c r="GV1032" s="1"/>
      <c r="GY1032" s="1"/>
      <c r="HF1032" s="1"/>
      <c r="HH1032" s="1"/>
      <c r="HT1032" s="1"/>
      <c r="HY1032" s="1"/>
      <c r="IA1032" s="1"/>
      <c r="IC1032" s="1"/>
      <c r="IE1032" s="1"/>
      <c r="IR1032" s="1"/>
      <c r="IS1032" s="1"/>
      <c r="IW1032" s="1"/>
      <c r="IY1032" s="1"/>
      <c r="IZ1032" s="1"/>
      <c r="JA1032" s="1"/>
      <c r="JC1032" s="1"/>
      <c r="JF1032" s="1"/>
      <c r="JG1032" s="1"/>
      <c r="JH1032" s="1"/>
      <c r="JJ1032" s="1"/>
      <c r="JN1032" s="1"/>
      <c r="JP1032" s="1"/>
      <c r="JQ1032" s="1"/>
      <c r="JT1032" s="1"/>
      <c r="KU1032" s="1"/>
      <c r="KY1032" s="1"/>
      <c r="KZ1032" s="1"/>
      <c r="LA1032" s="1"/>
      <c r="LB1032" s="1"/>
      <c r="LC1032" s="1"/>
      <c r="LD1032" s="1"/>
      <c r="LO1032" s="1"/>
      <c r="LP1032" s="1"/>
      <c r="LZ1032" s="1"/>
      <c r="MA1032" s="1"/>
    </row>
    <row r="1033" spans="4:339" ht="13" x14ac:dyDescent="0.15">
      <c r="D1033" s="12"/>
      <c r="E1033" s="12"/>
      <c r="I1033" s="12"/>
      <c r="J1033" s="13"/>
      <c r="BF1033" s="1"/>
      <c r="BG1033" s="1"/>
      <c r="BH1033" s="1"/>
      <c r="BI1033" s="1"/>
      <c r="BK1033" s="1"/>
      <c r="BL1033" s="1"/>
      <c r="BM1033" s="1"/>
      <c r="BN1033" s="1"/>
      <c r="BO1033" s="1"/>
      <c r="BP1033" s="1"/>
      <c r="BQ1033" s="1"/>
      <c r="BR1033" s="1"/>
      <c r="CD1033" s="1"/>
      <c r="CE1033" s="1"/>
      <c r="CF1033" s="1"/>
      <c r="CG1033" s="1"/>
      <c r="CM1033" s="2"/>
      <c r="CP1033" s="1"/>
      <c r="CQ1033" s="1"/>
      <c r="CR1033" s="1"/>
      <c r="CS1033" s="1"/>
      <c r="CT1033" s="1"/>
      <c r="CU1033" s="1"/>
      <c r="CV1033" s="1"/>
      <c r="CW1033" s="1"/>
      <c r="CX1033" s="1"/>
      <c r="CY1033" s="1"/>
      <c r="CZ1033" s="1"/>
      <c r="DA1033" s="1"/>
      <c r="DB1033" s="1"/>
      <c r="DC1033" s="1"/>
      <c r="DD1033" s="1"/>
      <c r="DE1033" s="1"/>
      <c r="DF1033" s="1"/>
      <c r="DG1033" s="1"/>
      <c r="DH1033" s="1"/>
      <c r="DI1033" s="1"/>
      <c r="DJ1033" s="1"/>
      <c r="DK1033" s="1"/>
      <c r="ED1033" s="1"/>
      <c r="EE1033" s="1"/>
      <c r="EF1033" s="1"/>
      <c r="EG1033" s="1"/>
      <c r="EH1033" s="1"/>
      <c r="EK1033" s="1"/>
      <c r="EL1033" s="1"/>
      <c r="EM1033" s="1"/>
      <c r="EN1033" s="1"/>
      <c r="EQ1033" s="1"/>
      <c r="ER1033" s="1"/>
      <c r="ES1033" s="1"/>
      <c r="EV1033" s="1"/>
      <c r="EW1033" s="1"/>
      <c r="EY1033" s="1"/>
      <c r="EZ1033" s="1"/>
      <c r="GP1033" s="1"/>
      <c r="HF1033" s="1"/>
      <c r="HN1033" s="1"/>
      <c r="HQ1033" s="1"/>
      <c r="HT1033" s="1"/>
      <c r="HY1033" s="1"/>
      <c r="ID1033" s="1"/>
      <c r="IE1033" s="1"/>
      <c r="IG1033" s="1"/>
      <c r="IJ1033" s="1"/>
      <c r="IR1033" s="1"/>
      <c r="IS1033" s="1"/>
      <c r="IX1033" s="1"/>
      <c r="IZ1033" s="1"/>
      <c r="JB1033" s="1"/>
      <c r="JF1033" s="1"/>
      <c r="JG1033" s="1"/>
      <c r="JH1033" s="1"/>
      <c r="JJ1033" s="1"/>
      <c r="JK1033" s="1"/>
      <c r="JL1033" s="3"/>
      <c r="JM1033" s="1"/>
      <c r="JN1033" s="1"/>
      <c r="JP1033" s="1"/>
      <c r="JQ1033" s="1"/>
      <c r="JR1033" s="1"/>
      <c r="KY1033" s="1"/>
      <c r="KZ1033" s="1"/>
      <c r="LA1033" s="1"/>
      <c r="LB1033" s="1"/>
      <c r="LC1033" s="1"/>
      <c r="LD1033" s="1"/>
      <c r="LO1033" s="1"/>
      <c r="LP1033" s="1"/>
      <c r="LZ1033" s="1"/>
      <c r="MA1033" s="1"/>
    </row>
    <row r="1034" spans="4:339" ht="13" x14ac:dyDescent="0.15">
      <c r="D1034" s="12"/>
      <c r="E1034" s="12"/>
      <c r="I1034" s="12"/>
      <c r="J1034" s="13"/>
      <c r="BF1034" s="1"/>
      <c r="BG1034" s="1"/>
      <c r="BH1034" s="1"/>
      <c r="BI1034" s="1"/>
      <c r="BK1034" s="1"/>
      <c r="BL1034" s="1"/>
      <c r="BM1034" s="1"/>
      <c r="BN1034" s="1"/>
      <c r="BO1034" s="1"/>
      <c r="BP1034" s="1"/>
      <c r="BQ1034" s="1"/>
      <c r="BR1034" s="1"/>
      <c r="BX1034" s="1"/>
      <c r="CD1034" s="1"/>
      <c r="CE1034" s="1"/>
      <c r="CF1034" s="1"/>
      <c r="CM1034" s="2"/>
      <c r="CP1034" s="1"/>
      <c r="CQ1034" s="1"/>
      <c r="CR1034" s="1"/>
      <c r="CS1034" s="1"/>
      <c r="CT1034" s="1"/>
      <c r="CU1034" s="1"/>
      <c r="CV1034" s="1"/>
      <c r="CW1034" s="1"/>
      <c r="CX1034" s="1"/>
      <c r="CY1034" s="1"/>
      <c r="CZ1034" s="1"/>
      <c r="DA1034" s="1"/>
      <c r="DB1034" s="1"/>
      <c r="DC1034" s="1"/>
      <c r="DD1034" s="1"/>
      <c r="DE1034" s="1"/>
      <c r="DF1034" s="1"/>
      <c r="DG1034" s="1"/>
      <c r="DH1034" s="1"/>
      <c r="DI1034" s="1"/>
      <c r="DJ1034" s="1"/>
      <c r="DK1034" s="1"/>
      <c r="DM1034" s="1"/>
      <c r="DR1034" s="1"/>
      <c r="ED1034" s="1"/>
      <c r="EK1034" s="1"/>
      <c r="EL1034" s="1"/>
      <c r="EM1034" s="1"/>
      <c r="EN1034" s="1"/>
      <c r="EQ1034" s="1"/>
      <c r="ER1034" s="1"/>
      <c r="ES1034" s="1"/>
      <c r="EV1034" s="1"/>
      <c r="EW1034" s="1"/>
      <c r="EZ1034" s="1"/>
      <c r="GO1034" s="1"/>
      <c r="GP1034" s="1"/>
      <c r="HF1034" s="1"/>
      <c r="HH1034" s="1"/>
      <c r="HN1034" s="1"/>
      <c r="HY1034" s="1"/>
      <c r="IC1034" s="1"/>
      <c r="ID1034" s="1"/>
      <c r="IE1034" s="1"/>
      <c r="IR1034" s="1"/>
      <c r="IS1034" s="1"/>
      <c r="IZ1034" s="1"/>
      <c r="JC1034" s="1"/>
      <c r="JF1034" s="1"/>
      <c r="JG1034" s="1"/>
      <c r="JJ1034" s="1"/>
      <c r="JN1034" s="1"/>
      <c r="JP1034" s="1"/>
      <c r="JQ1034" s="1"/>
      <c r="KU1034" s="1"/>
      <c r="KW1034" s="1"/>
      <c r="KY1034" s="1"/>
      <c r="KZ1034" s="1"/>
      <c r="LA1034" s="1"/>
      <c r="LB1034" s="1"/>
      <c r="LC1034" s="1"/>
      <c r="LD1034" s="1"/>
      <c r="LJ1034" s="1"/>
      <c r="LO1034" s="1"/>
      <c r="LP1034" s="1"/>
      <c r="LZ1034" s="1"/>
      <c r="MA1034" s="1"/>
    </row>
    <row r="1035" spans="4:339" ht="13" x14ac:dyDescent="0.15">
      <c r="D1035" s="12"/>
      <c r="E1035" s="12"/>
      <c r="I1035" s="12"/>
      <c r="J1035" s="13"/>
      <c r="BF1035" s="1"/>
      <c r="BG1035" s="1"/>
      <c r="BH1035" s="1"/>
      <c r="BI1035" s="1"/>
      <c r="BK1035" s="1"/>
      <c r="BL1035" s="1"/>
      <c r="BM1035" s="1"/>
      <c r="BN1035" s="1"/>
      <c r="BO1035" s="1"/>
      <c r="BP1035" s="1"/>
      <c r="BQ1035" s="1"/>
      <c r="BR1035" s="1"/>
      <c r="BX1035" s="1"/>
      <c r="CD1035" s="1"/>
      <c r="CE1035" s="1"/>
      <c r="CF1035" s="1"/>
      <c r="CM1035" s="2"/>
      <c r="CP1035" s="1"/>
      <c r="CQ1035" s="1"/>
      <c r="CR1035" s="1"/>
      <c r="CS1035" s="1"/>
      <c r="CT1035" s="1"/>
      <c r="CU1035" s="1"/>
      <c r="CV1035" s="1"/>
      <c r="CW1035" s="1"/>
      <c r="CX1035" s="1"/>
      <c r="CY1035" s="1"/>
      <c r="CZ1035" s="1"/>
      <c r="DA1035" s="1"/>
      <c r="DB1035" s="1"/>
      <c r="DC1035" s="1"/>
      <c r="DD1035" s="1"/>
      <c r="DE1035" s="1"/>
      <c r="DF1035" s="1"/>
      <c r="DG1035" s="1"/>
      <c r="DH1035" s="1"/>
      <c r="DI1035" s="1"/>
      <c r="DJ1035" s="1"/>
      <c r="DK1035" s="1"/>
      <c r="DM1035" s="1"/>
      <c r="DR1035" s="1"/>
      <c r="ED1035" s="1"/>
      <c r="EK1035" s="1"/>
      <c r="EL1035" s="1"/>
      <c r="EM1035" s="1"/>
      <c r="EN1035" s="1"/>
      <c r="EQ1035" s="1"/>
      <c r="ER1035" s="1"/>
      <c r="ES1035" s="1"/>
      <c r="EV1035" s="1"/>
      <c r="EW1035" s="1"/>
      <c r="EZ1035" s="1"/>
      <c r="GO1035" s="1"/>
      <c r="GP1035" s="1"/>
      <c r="HF1035" s="1"/>
      <c r="HH1035" s="1"/>
      <c r="HN1035" s="1"/>
      <c r="HY1035" s="1"/>
      <c r="IC1035" s="1"/>
      <c r="ID1035" s="1"/>
      <c r="IE1035" s="1"/>
      <c r="IR1035" s="1"/>
      <c r="IS1035" s="1"/>
      <c r="IZ1035" s="1"/>
      <c r="JC1035" s="1"/>
      <c r="JF1035" s="1"/>
      <c r="JG1035" s="1"/>
      <c r="JJ1035" s="1"/>
      <c r="JN1035" s="1"/>
      <c r="JP1035" s="1"/>
      <c r="JQ1035" s="1"/>
      <c r="KU1035" s="1"/>
      <c r="KW1035" s="1"/>
      <c r="KY1035" s="1"/>
      <c r="KZ1035" s="1"/>
      <c r="LA1035" s="1"/>
      <c r="LB1035" s="1"/>
      <c r="LC1035" s="1"/>
      <c r="LD1035" s="1"/>
      <c r="LJ1035" s="1"/>
      <c r="LO1035" s="1"/>
      <c r="LP1035" s="1"/>
      <c r="LZ1035" s="1"/>
      <c r="MA1035" s="1"/>
    </row>
    <row r="1036" spans="4:339" ht="13" x14ac:dyDescent="0.15">
      <c r="D1036" s="12"/>
      <c r="E1036" s="12"/>
      <c r="I1036" s="12"/>
      <c r="J1036" s="13"/>
      <c r="BF1036" s="1"/>
      <c r="BG1036" s="1"/>
      <c r="BH1036" s="1"/>
      <c r="BI1036" s="1"/>
      <c r="BJ1036" s="1"/>
      <c r="BK1036" s="1"/>
      <c r="BL1036" s="1"/>
      <c r="BM1036" s="1"/>
      <c r="BN1036" s="1"/>
      <c r="BO1036" s="1"/>
      <c r="BP1036" s="1"/>
      <c r="BQ1036" s="1"/>
      <c r="BR1036" s="1"/>
      <c r="CD1036" s="1"/>
      <c r="CE1036" s="1"/>
      <c r="CF1036" s="1"/>
      <c r="CG1036" s="1"/>
      <c r="CM1036" s="2"/>
      <c r="CP1036" s="1"/>
      <c r="CQ1036" s="1"/>
      <c r="CS1036" s="1"/>
      <c r="CT1036" s="1"/>
      <c r="CU1036" s="1"/>
      <c r="CV1036" s="1"/>
      <c r="CW1036" s="1"/>
      <c r="CX1036" s="1"/>
      <c r="CY1036" s="1"/>
      <c r="CZ1036" s="1"/>
      <c r="DA1036" s="1"/>
      <c r="DB1036" s="1"/>
      <c r="DC1036" s="1"/>
      <c r="DD1036" s="1"/>
      <c r="DE1036" s="1"/>
      <c r="DF1036" s="1"/>
      <c r="DG1036" s="1"/>
      <c r="DH1036" s="1"/>
      <c r="DI1036" s="1"/>
      <c r="DJ1036" s="1"/>
      <c r="DK1036" s="1"/>
      <c r="ED1036" s="1"/>
      <c r="EF1036" s="1"/>
      <c r="EK1036" s="1"/>
      <c r="EL1036" s="1"/>
      <c r="EM1036" s="1"/>
      <c r="EN1036" s="1"/>
      <c r="EQ1036" s="1"/>
      <c r="ER1036" s="1"/>
      <c r="ES1036" s="1"/>
      <c r="EV1036" s="1"/>
      <c r="EW1036" s="1"/>
      <c r="EZ1036" s="1"/>
      <c r="GO1036" s="1"/>
      <c r="GP1036" s="1"/>
      <c r="HF1036" s="1"/>
      <c r="HH1036" s="1"/>
      <c r="HN1036" s="1"/>
      <c r="HQ1036" s="1"/>
      <c r="HR1036" s="1"/>
      <c r="HS1036" s="1"/>
      <c r="HT1036" s="1"/>
      <c r="HY1036" s="1"/>
      <c r="IE1036" s="1"/>
      <c r="IF1036" s="1"/>
      <c r="IG1036" s="1"/>
      <c r="IH1036" s="1"/>
      <c r="IR1036" s="1"/>
      <c r="IS1036" s="1"/>
      <c r="IW1036" s="1"/>
      <c r="IY1036" s="1"/>
      <c r="IZ1036" s="1"/>
      <c r="JA1036" s="1"/>
      <c r="JC1036" s="1"/>
      <c r="JF1036" s="1"/>
      <c r="JG1036" s="1"/>
      <c r="JH1036" s="1"/>
      <c r="JJ1036" s="1"/>
      <c r="JK1036" s="1"/>
      <c r="JL1036" s="3"/>
      <c r="JM1036" s="1"/>
      <c r="JP1036" s="1"/>
      <c r="JQ1036" s="1"/>
      <c r="JR1036" s="1"/>
      <c r="JT1036" s="1"/>
      <c r="KY1036" s="1"/>
      <c r="KZ1036" s="1"/>
      <c r="LA1036" s="1"/>
      <c r="LB1036" s="1"/>
      <c r="LC1036" s="1"/>
      <c r="LD1036" s="1"/>
      <c r="LO1036" s="1"/>
      <c r="LP1036" s="1"/>
      <c r="LZ1036" s="1"/>
    </row>
    <row r="1037" spans="4:339" ht="13" x14ac:dyDescent="0.15">
      <c r="D1037" s="12"/>
      <c r="E1037" s="12"/>
      <c r="I1037" s="12"/>
      <c r="J1037" s="13"/>
      <c r="BF1037" s="1"/>
      <c r="BG1037" s="1"/>
      <c r="BH1037" s="1"/>
      <c r="BI1037" s="1"/>
      <c r="BJ1037" s="1"/>
      <c r="BK1037" s="1"/>
      <c r="BL1037" s="1"/>
      <c r="BM1037" s="1"/>
      <c r="BN1037" s="1"/>
      <c r="BO1037" s="1"/>
      <c r="BP1037" s="1"/>
      <c r="BQ1037" s="1"/>
      <c r="BR1037" s="1"/>
      <c r="CD1037" s="1"/>
      <c r="CE1037" s="1"/>
      <c r="CF1037" s="1"/>
      <c r="CG1037" s="1"/>
      <c r="CM1037" s="2"/>
      <c r="CP1037" s="1"/>
      <c r="CQ1037" s="1"/>
      <c r="CS1037" s="1"/>
      <c r="CT1037" s="1"/>
      <c r="CU1037" s="1"/>
      <c r="CV1037" s="1"/>
      <c r="CW1037" s="1"/>
      <c r="CX1037" s="1"/>
      <c r="CY1037" s="1"/>
      <c r="CZ1037" s="1"/>
      <c r="DA1037" s="1"/>
      <c r="DB1037" s="1"/>
      <c r="DC1037" s="1"/>
      <c r="DD1037" s="1"/>
      <c r="DE1037" s="1"/>
      <c r="DF1037" s="1"/>
      <c r="DG1037" s="1"/>
      <c r="DH1037" s="1"/>
      <c r="DI1037" s="1"/>
      <c r="DJ1037" s="1"/>
      <c r="DK1037" s="1"/>
      <c r="ED1037" s="1"/>
      <c r="EF1037" s="1"/>
      <c r="EK1037" s="1"/>
      <c r="EL1037" s="1"/>
      <c r="EM1037" s="1"/>
      <c r="EN1037" s="1"/>
      <c r="EQ1037" s="1"/>
      <c r="ER1037" s="1"/>
      <c r="ES1037" s="1"/>
      <c r="EV1037" s="1"/>
      <c r="EW1037" s="1"/>
      <c r="EZ1037" s="1"/>
      <c r="GO1037" s="1"/>
      <c r="GP1037" s="1"/>
      <c r="HF1037" s="1"/>
      <c r="HH1037" s="1"/>
      <c r="HN1037" s="1"/>
      <c r="HQ1037" s="1"/>
      <c r="HR1037" s="1"/>
      <c r="HS1037" s="1"/>
      <c r="HT1037" s="1"/>
      <c r="HY1037" s="1"/>
      <c r="IE1037" s="1"/>
      <c r="IF1037" s="1"/>
      <c r="IG1037" s="1"/>
      <c r="IH1037" s="1"/>
      <c r="IR1037" s="1"/>
      <c r="IS1037" s="1"/>
      <c r="IW1037" s="1"/>
      <c r="IY1037" s="1"/>
      <c r="IZ1037" s="1"/>
      <c r="JA1037" s="1"/>
      <c r="JC1037" s="1"/>
      <c r="JF1037" s="1"/>
      <c r="JG1037" s="1"/>
      <c r="JH1037" s="1"/>
      <c r="JJ1037" s="1"/>
      <c r="JK1037" s="1"/>
      <c r="JL1037" s="3"/>
      <c r="JM1037" s="1"/>
      <c r="JP1037" s="1"/>
      <c r="JQ1037" s="1"/>
      <c r="JR1037" s="1"/>
      <c r="JT1037" s="1"/>
      <c r="KY1037" s="1"/>
      <c r="KZ1037" s="1"/>
      <c r="LA1037" s="1"/>
      <c r="LB1037" s="1"/>
      <c r="LC1037" s="1"/>
      <c r="LD1037" s="1"/>
      <c r="LO1037" s="1"/>
      <c r="LP1037" s="1"/>
      <c r="LZ1037" s="1"/>
    </row>
    <row r="1038" spans="4:339" ht="13" x14ac:dyDescent="0.15">
      <c r="D1038" s="12"/>
      <c r="E1038" s="12"/>
      <c r="I1038" s="12"/>
      <c r="J1038" s="13"/>
      <c r="BF1038" s="1"/>
      <c r="BG1038" s="1"/>
      <c r="BH1038" s="1"/>
      <c r="BI1038" s="1"/>
      <c r="BJ1038" s="1"/>
      <c r="BK1038" s="1"/>
      <c r="BL1038" s="1"/>
      <c r="BM1038" s="1"/>
      <c r="BN1038" s="1"/>
      <c r="BO1038" s="1"/>
      <c r="BP1038" s="1"/>
      <c r="BQ1038" s="1"/>
      <c r="BR1038" s="1"/>
      <c r="CD1038" s="1"/>
      <c r="CE1038" s="1"/>
      <c r="CF1038" s="1"/>
      <c r="CG1038" s="1"/>
      <c r="CM1038" s="2"/>
      <c r="CP1038" s="1"/>
      <c r="CQ1038" s="1"/>
      <c r="CS1038" s="1"/>
      <c r="CT1038" s="1"/>
      <c r="CU1038" s="1"/>
      <c r="CV1038" s="1"/>
      <c r="CW1038" s="1"/>
      <c r="CX1038" s="1"/>
      <c r="CY1038" s="1"/>
      <c r="CZ1038" s="1"/>
      <c r="DA1038" s="1"/>
      <c r="DB1038" s="1"/>
      <c r="DC1038" s="1"/>
      <c r="DD1038" s="1"/>
      <c r="DE1038" s="1"/>
      <c r="DF1038" s="1"/>
      <c r="DG1038" s="1"/>
      <c r="DH1038" s="1"/>
      <c r="DI1038" s="1"/>
      <c r="DJ1038" s="1"/>
      <c r="DK1038" s="1"/>
      <c r="ED1038" s="1"/>
      <c r="EF1038" s="1"/>
      <c r="EK1038" s="1"/>
      <c r="EL1038" s="1"/>
      <c r="EM1038" s="1"/>
      <c r="EN1038" s="1"/>
      <c r="EQ1038" s="1"/>
      <c r="ER1038" s="1"/>
      <c r="ES1038" s="1"/>
      <c r="EV1038" s="1"/>
      <c r="EW1038" s="1"/>
      <c r="EZ1038" s="1"/>
      <c r="GO1038" s="1"/>
      <c r="GP1038" s="1"/>
      <c r="HF1038" s="1"/>
      <c r="HH1038" s="1"/>
      <c r="HN1038" s="1"/>
      <c r="HQ1038" s="1"/>
      <c r="HR1038" s="1"/>
      <c r="HS1038" s="1"/>
      <c r="HT1038" s="1"/>
      <c r="HY1038" s="1"/>
      <c r="IE1038" s="1"/>
      <c r="IF1038" s="1"/>
      <c r="IG1038" s="1"/>
      <c r="IH1038" s="1"/>
      <c r="IR1038" s="1"/>
      <c r="IS1038" s="1"/>
      <c r="IW1038" s="1"/>
      <c r="IY1038" s="1"/>
      <c r="IZ1038" s="1"/>
      <c r="JA1038" s="1"/>
      <c r="JC1038" s="1"/>
      <c r="JF1038" s="1"/>
      <c r="JG1038" s="1"/>
      <c r="JH1038" s="1"/>
      <c r="JJ1038" s="1"/>
      <c r="JK1038" s="1"/>
      <c r="JL1038" s="3"/>
      <c r="JM1038" s="1"/>
      <c r="JP1038" s="1"/>
      <c r="JQ1038" s="1"/>
      <c r="JR1038" s="1"/>
      <c r="JT1038" s="1"/>
      <c r="KY1038" s="1"/>
      <c r="KZ1038" s="1"/>
      <c r="LA1038" s="1"/>
      <c r="LB1038" s="1"/>
      <c r="LC1038" s="1"/>
      <c r="LD1038" s="1"/>
      <c r="LO1038" s="1"/>
      <c r="LP1038" s="1"/>
      <c r="LZ1038" s="1"/>
    </row>
    <row r="1039" spans="4:339" ht="13" x14ac:dyDescent="0.15">
      <c r="D1039" s="12"/>
      <c r="E1039" s="12"/>
      <c r="I1039" s="12"/>
      <c r="J1039" s="13"/>
      <c r="BF1039" s="1"/>
      <c r="BG1039" s="1"/>
      <c r="BH1039" s="1"/>
      <c r="BI1039" s="1"/>
      <c r="BJ1039" s="1"/>
      <c r="BK1039" s="1"/>
      <c r="BL1039" s="1"/>
      <c r="BM1039" s="1"/>
      <c r="BN1039" s="1"/>
      <c r="BO1039" s="1"/>
      <c r="BP1039" s="1"/>
      <c r="BQ1039" s="1"/>
      <c r="BR1039" s="1"/>
      <c r="CD1039" s="1"/>
      <c r="CE1039" s="1"/>
      <c r="CF1039" s="1"/>
      <c r="CG1039" s="1"/>
      <c r="CM1039" s="2"/>
      <c r="CP1039" s="1"/>
      <c r="CQ1039" s="1"/>
      <c r="CS1039" s="1"/>
      <c r="CT1039" s="1"/>
      <c r="CU1039" s="1"/>
      <c r="CV1039" s="1"/>
      <c r="CW1039" s="1"/>
      <c r="CX1039" s="1"/>
      <c r="CY1039" s="1"/>
      <c r="CZ1039" s="1"/>
      <c r="DA1039" s="1"/>
      <c r="DB1039" s="1"/>
      <c r="DC1039" s="1"/>
      <c r="DD1039" s="1"/>
      <c r="DE1039" s="1"/>
      <c r="DF1039" s="1"/>
      <c r="DG1039" s="1"/>
      <c r="DH1039" s="1"/>
      <c r="DI1039" s="1"/>
      <c r="DJ1039" s="1"/>
      <c r="DK1039" s="1"/>
      <c r="ED1039" s="1"/>
      <c r="EF1039" s="1"/>
      <c r="EK1039" s="1"/>
      <c r="EL1039" s="1"/>
      <c r="EM1039" s="1"/>
      <c r="EN1039" s="1"/>
      <c r="EQ1039" s="1"/>
      <c r="ER1039" s="1"/>
      <c r="ES1039" s="1"/>
      <c r="EV1039" s="1"/>
      <c r="EW1039" s="1"/>
      <c r="EZ1039" s="1"/>
      <c r="GO1039" s="1"/>
      <c r="GP1039" s="1"/>
      <c r="HF1039" s="1"/>
      <c r="HH1039" s="1"/>
      <c r="HN1039" s="1"/>
      <c r="HQ1039" s="1"/>
      <c r="HR1039" s="1"/>
      <c r="HS1039" s="1"/>
      <c r="HT1039" s="1"/>
      <c r="HY1039" s="1"/>
      <c r="IE1039" s="1"/>
      <c r="IF1039" s="1"/>
      <c r="IG1039" s="1"/>
      <c r="IH1039" s="1"/>
      <c r="IR1039" s="1"/>
      <c r="IS1039" s="1"/>
      <c r="IW1039" s="1"/>
      <c r="IY1039" s="1"/>
      <c r="IZ1039" s="1"/>
      <c r="JA1039" s="1"/>
      <c r="JC1039" s="1"/>
      <c r="JF1039" s="1"/>
      <c r="JG1039" s="1"/>
      <c r="JH1039" s="1"/>
      <c r="JJ1039" s="1"/>
      <c r="JK1039" s="1"/>
      <c r="JL1039" s="3"/>
      <c r="JM1039" s="1"/>
      <c r="JP1039" s="1"/>
      <c r="JQ1039" s="1"/>
      <c r="JR1039" s="1"/>
      <c r="JT1039" s="1"/>
      <c r="KY1039" s="1"/>
      <c r="KZ1039" s="1"/>
      <c r="LA1039" s="1"/>
      <c r="LB1039" s="1"/>
      <c r="LC1039" s="1"/>
      <c r="LD1039" s="1"/>
      <c r="LO1039" s="1"/>
      <c r="LP1039" s="1"/>
      <c r="LZ1039" s="1"/>
    </row>
    <row r="1040" spans="4:339" ht="13" x14ac:dyDescent="0.15">
      <c r="D1040" s="12"/>
      <c r="E1040" s="12"/>
      <c r="I1040" s="12"/>
      <c r="J1040" s="13"/>
      <c r="BF1040" s="1"/>
      <c r="BG1040" s="1"/>
      <c r="BH1040" s="1"/>
      <c r="BI1040" s="1"/>
      <c r="BJ1040" s="1"/>
      <c r="BK1040" s="1"/>
      <c r="BL1040" s="1"/>
      <c r="BM1040" s="1"/>
      <c r="BN1040" s="1"/>
      <c r="BP1040" s="1"/>
      <c r="BQ1040" s="1"/>
      <c r="BR1040" s="1"/>
      <c r="CD1040" s="1"/>
      <c r="CM1040" s="4"/>
      <c r="CP1040" s="1"/>
      <c r="CQ1040" s="1"/>
      <c r="CX1040" s="1"/>
      <c r="CY1040" s="1"/>
      <c r="CZ1040" s="1"/>
      <c r="DA1040" s="1"/>
      <c r="DB1040" s="1"/>
      <c r="DC1040" s="1"/>
      <c r="DD1040" s="1"/>
      <c r="DE1040" s="1"/>
      <c r="DF1040" s="1"/>
      <c r="DG1040" s="1"/>
      <c r="DH1040" s="1"/>
      <c r="DI1040" s="1"/>
      <c r="DJ1040" s="1"/>
      <c r="DK1040" s="1"/>
      <c r="ED1040" s="1"/>
      <c r="EK1040" s="1"/>
      <c r="EL1040" s="1"/>
      <c r="EM1040" s="1"/>
      <c r="EN1040" s="1"/>
      <c r="EQ1040" s="1"/>
      <c r="ER1040" s="1"/>
      <c r="ES1040" s="1"/>
      <c r="EV1040" s="1"/>
      <c r="EW1040" s="1"/>
      <c r="EZ1040" s="1"/>
      <c r="GP1040" s="1"/>
      <c r="HF1040" s="1"/>
      <c r="IE1040" s="1"/>
      <c r="IS1040" s="1"/>
      <c r="IZ1040" s="1"/>
      <c r="JJ1040" s="1"/>
      <c r="JP1040" s="1"/>
      <c r="JQ1040" s="1"/>
      <c r="KU1040" s="1"/>
      <c r="KY1040" s="1"/>
      <c r="KZ1040" s="1"/>
      <c r="LA1040" s="1"/>
      <c r="LB1040" s="1"/>
      <c r="LC1040" s="1"/>
      <c r="LD1040" s="1"/>
      <c r="LO1040" s="1"/>
      <c r="LP1040" s="1"/>
      <c r="LZ1040" s="1"/>
      <c r="MA1040" s="1"/>
    </row>
    <row r="1041" spans="4:339" ht="13" x14ac:dyDescent="0.15">
      <c r="D1041" s="12"/>
      <c r="E1041" s="12"/>
      <c r="I1041" s="12"/>
      <c r="J1041" s="13"/>
      <c r="BF1041" s="1"/>
      <c r="BG1041" s="1"/>
      <c r="BH1041" s="1"/>
      <c r="BI1041" s="1"/>
      <c r="BJ1041" s="1"/>
      <c r="BK1041" s="1"/>
      <c r="BL1041" s="1"/>
      <c r="BM1041" s="1"/>
      <c r="BN1041" s="1"/>
      <c r="BP1041" s="1"/>
      <c r="BQ1041" s="1"/>
      <c r="BR1041" s="1"/>
      <c r="CD1041" s="1"/>
      <c r="CM1041" s="4"/>
      <c r="CP1041" s="1"/>
      <c r="CQ1041" s="1"/>
      <c r="CX1041" s="1"/>
      <c r="CY1041" s="1"/>
      <c r="CZ1041" s="1"/>
      <c r="DA1041" s="1"/>
      <c r="DB1041" s="1"/>
      <c r="DC1041" s="1"/>
      <c r="DD1041" s="1"/>
      <c r="DE1041" s="1"/>
      <c r="DF1041" s="1"/>
      <c r="DG1041" s="1"/>
      <c r="DH1041" s="1"/>
      <c r="DI1041" s="1"/>
      <c r="DJ1041" s="1"/>
      <c r="DK1041" s="1"/>
      <c r="ED1041" s="1"/>
      <c r="EK1041" s="1"/>
      <c r="EL1041" s="1"/>
      <c r="EM1041" s="1"/>
      <c r="EN1041" s="1"/>
      <c r="EQ1041" s="1"/>
      <c r="ER1041" s="1"/>
      <c r="ES1041" s="1"/>
      <c r="EV1041" s="1"/>
      <c r="EW1041" s="1"/>
      <c r="EZ1041" s="1"/>
      <c r="GP1041" s="1"/>
      <c r="HF1041" s="1"/>
      <c r="IE1041" s="1"/>
      <c r="IS1041" s="1"/>
      <c r="IZ1041" s="1"/>
      <c r="JJ1041" s="1"/>
      <c r="JP1041" s="1"/>
      <c r="JQ1041" s="1"/>
      <c r="KU1041" s="1"/>
      <c r="KY1041" s="1"/>
      <c r="KZ1041" s="1"/>
      <c r="LA1041" s="1"/>
      <c r="LB1041" s="1"/>
      <c r="LC1041" s="1"/>
      <c r="LD1041" s="1"/>
      <c r="LO1041" s="1"/>
      <c r="LP1041" s="1"/>
      <c r="LZ1041" s="1"/>
      <c r="MA1041" s="1"/>
    </row>
    <row r="1042" spans="4:339" ht="13" x14ac:dyDescent="0.15">
      <c r="D1042" s="12"/>
      <c r="E1042" s="12"/>
      <c r="I1042" s="12"/>
      <c r="J1042" s="13"/>
      <c r="BF1042" s="1"/>
      <c r="BG1042" s="1"/>
      <c r="BH1042" s="1"/>
      <c r="BI1042" s="1"/>
      <c r="BK1042" s="1"/>
      <c r="BL1042" s="1"/>
      <c r="BM1042" s="1"/>
      <c r="BN1042" s="1"/>
      <c r="BO1042" s="1"/>
      <c r="BP1042" s="1"/>
      <c r="BQ1042" s="1"/>
      <c r="BR1042" s="1"/>
      <c r="BX1042" s="1"/>
      <c r="CD1042" s="1"/>
      <c r="CE1042" s="1"/>
      <c r="CF1042" s="1"/>
      <c r="CM1042" s="2"/>
      <c r="CP1042" s="1"/>
      <c r="CQ1042" s="1"/>
      <c r="CR1042" s="1"/>
      <c r="CS1042" s="1"/>
      <c r="CT1042" s="1"/>
      <c r="CU1042" s="1"/>
      <c r="CV1042" s="1"/>
      <c r="CW1042" s="1"/>
      <c r="CX1042" s="1"/>
      <c r="CY1042" s="1"/>
      <c r="CZ1042" s="1"/>
      <c r="DA1042" s="1"/>
      <c r="DB1042" s="1"/>
      <c r="DC1042" s="1"/>
      <c r="DD1042" s="1"/>
      <c r="DE1042" s="1"/>
      <c r="DF1042" s="1"/>
      <c r="DG1042" s="1"/>
      <c r="DH1042" s="1"/>
      <c r="DI1042" s="1"/>
      <c r="DJ1042" s="1"/>
      <c r="DK1042" s="1"/>
      <c r="DM1042" s="1"/>
      <c r="DQ1042" s="1"/>
      <c r="DR1042" s="1"/>
      <c r="DY1042" s="1"/>
      <c r="DZ1042" s="1"/>
      <c r="ED1042" s="1"/>
      <c r="EE1042" s="1"/>
      <c r="EF1042" s="1"/>
      <c r="EG1042" s="1"/>
      <c r="EH1042" s="1"/>
      <c r="EK1042" s="1"/>
      <c r="EL1042" s="1"/>
      <c r="EM1042" s="1"/>
      <c r="EN1042" s="1"/>
      <c r="EQ1042" s="1"/>
      <c r="ER1042" s="1"/>
      <c r="ES1042" s="1"/>
      <c r="EV1042" s="1"/>
      <c r="EW1042" s="1"/>
      <c r="EX1042" s="1"/>
      <c r="EY1042" s="1"/>
      <c r="EZ1042" s="1"/>
      <c r="FF1042" s="1"/>
      <c r="FS1042" s="1"/>
      <c r="FW1042" s="1"/>
      <c r="FX1042" s="1"/>
      <c r="GO1042" s="1"/>
      <c r="GP1042" s="1"/>
      <c r="HF1042" s="1"/>
      <c r="HH1042" s="1"/>
      <c r="HN1042" s="1"/>
      <c r="HQ1042" s="1"/>
      <c r="HT1042" s="1"/>
      <c r="HY1042" s="1"/>
      <c r="ID1042" s="1"/>
      <c r="IE1042" s="1"/>
      <c r="IG1042" s="1"/>
      <c r="IJ1042" s="1"/>
      <c r="IS1042" s="1"/>
      <c r="IZ1042" s="1"/>
      <c r="JF1042" s="1"/>
      <c r="JG1042" s="1"/>
      <c r="JH1042" s="1"/>
      <c r="JJ1042" s="1"/>
      <c r="JK1042" s="1"/>
      <c r="JL1042" s="3"/>
      <c r="JM1042" s="1"/>
      <c r="JN1042" s="1"/>
      <c r="JP1042" s="1"/>
      <c r="JQ1042" s="1"/>
      <c r="JR1042" s="1"/>
      <c r="KW1042" s="1"/>
      <c r="KY1042" s="1"/>
      <c r="KZ1042" s="1"/>
      <c r="LA1042" s="1"/>
      <c r="LB1042" s="1"/>
      <c r="LC1042" s="1"/>
      <c r="LD1042" s="1"/>
      <c r="LO1042" s="1"/>
      <c r="LP1042" s="1"/>
      <c r="LZ1042" s="1"/>
      <c r="MA1042" s="1"/>
    </row>
    <row r="1043" spans="4:339" ht="13" x14ac:dyDescent="0.15">
      <c r="D1043" s="12"/>
      <c r="E1043" s="12"/>
      <c r="I1043" s="12"/>
      <c r="J1043" s="13"/>
      <c r="BG1043" s="1"/>
      <c r="BH1043" s="1"/>
      <c r="BI1043" s="1"/>
      <c r="BK1043" s="1"/>
      <c r="BL1043" s="1"/>
      <c r="BM1043" s="1"/>
      <c r="BN1043" s="1"/>
      <c r="BQ1043" s="1"/>
      <c r="BR1043" s="1"/>
      <c r="CD1043" s="1"/>
      <c r="CM1043" s="4"/>
      <c r="ED1043" s="1"/>
      <c r="EL1043" s="1"/>
      <c r="EM1043" s="1"/>
      <c r="EN1043" s="1"/>
      <c r="EQ1043" s="1"/>
      <c r="ER1043" s="1"/>
      <c r="ES1043" s="1"/>
      <c r="EV1043" s="1"/>
      <c r="EW1043" s="1"/>
      <c r="EX1043" s="1"/>
      <c r="EZ1043" s="1"/>
      <c r="GP1043" s="1"/>
      <c r="HH1043" s="1"/>
      <c r="HY1043" s="1"/>
      <c r="IS1043" s="1"/>
      <c r="IW1043" s="1"/>
      <c r="IZ1043" s="1"/>
      <c r="JA1043" s="1"/>
      <c r="JJ1043" s="1"/>
      <c r="JN1043" s="1"/>
      <c r="JP1043" s="1"/>
      <c r="JQ1043" s="1"/>
      <c r="JT1043" s="1"/>
    </row>
    <row r="1044" spans="4:339" ht="13" x14ac:dyDescent="0.15">
      <c r="D1044" s="12"/>
      <c r="E1044" s="12"/>
      <c r="I1044" s="12"/>
      <c r="J1044" s="13"/>
      <c r="BG1044" s="1"/>
      <c r="BH1044" s="1"/>
      <c r="BI1044" s="1"/>
      <c r="BK1044" s="1"/>
      <c r="BL1044" s="1"/>
      <c r="BM1044" s="1"/>
      <c r="BN1044" s="1"/>
      <c r="BQ1044" s="1"/>
      <c r="BR1044" s="1"/>
      <c r="CD1044" s="1"/>
      <c r="CM1044" s="4"/>
      <c r="ED1044" s="1"/>
      <c r="EL1044" s="1"/>
      <c r="EM1044" s="1"/>
      <c r="EN1044" s="1"/>
      <c r="EQ1044" s="1"/>
      <c r="ER1044" s="1"/>
      <c r="ES1044" s="1"/>
      <c r="EV1044" s="1"/>
      <c r="EW1044" s="1"/>
      <c r="EX1044" s="1"/>
      <c r="EZ1044" s="1"/>
      <c r="GP1044" s="1"/>
      <c r="HH1044" s="1"/>
      <c r="HY1044" s="1"/>
      <c r="IS1044" s="1"/>
      <c r="IW1044" s="1"/>
      <c r="IZ1044" s="1"/>
      <c r="JA1044" s="1"/>
      <c r="JJ1044" s="1"/>
      <c r="JN1044" s="1"/>
      <c r="JP1044" s="1"/>
      <c r="JQ1044" s="1"/>
      <c r="JT1044" s="1"/>
    </row>
    <row r="1045" spans="4:339" ht="13" x14ac:dyDescent="0.15">
      <c r="D1045" s="12"/>
      <c r="E1045" s="12"/>
      <c r="I1045" s="12"/>
      <c r="J1045" s="13"/>
      <c r="BG1045" s="1"/>
      <c r="BH1045" s="1"/>
      <c r="BI1045" s="1"/>
      <c r="BK1045" s="1"/>
      <c r="BL1045" s="1"/>
      <c r="BM1045" s="1"/>
      <c r="BN1045" s="1"/>
      <c r="BO1045" s="1"/>
      <c r="BP1045" s="1"/>
      <c r="BQ1045" s="1"/>
      <c r="BR1045" s="1"/>
      <c r="CD1045" s="1"/>
      <c r="CE1045" s="1"/>
      <c r="CF1045" s="1"/>
      <c r="CG1045" s="1"/>
      <c r="CM1045" s="2"/>
      <c r="CP1045" s="1"/>
      <c r="CQ1045" s="1"/>
      <c r="CS1045" s="1"/>
      <c r="CT1045" s="1"/>
      <c r="CU1045" s="1"/>
      <c r="CV1045" s="1"/>
      <c r="CW1045" s="1"/>
      <c r="CX1045" s="1"/>
      <c r="CY1045" s="1"/>
      <c r="CZ1045" s="1"/>
      <c r="DA1045" s="1"/>
      <c r="DB1045" s="1"/>
      <c r="DC1045" s="1"/>
      <c r="DD1045" s="1"/>
      <c r="DE1045" s="1"/>
      <c r="DF1045" s="1"/>
      <c r="DG1045" s="1"/>
      <c r="DH1045" s="1"/>
      <c r="DI1045" s="1"/>
      <c r="DJ1045" s="1"/>
      <c r="DK1045" s="1"/>
      <c r="DM1045" s="1"/>
      <c r="DQ1045" s="1"/>
      <c r="DR1045" s="1"/>
      <c r="DY1045" s="1"/>
      <c r="DZ1045" s="1"/>
      <c r="ED1045" s="1"/>
      <c r="EK1045" s="1"/>
      <c r="EL1045" s="1"/>
      <c r="EM1045" s="1"/>
      <c r="EN1045" s="1"/>
      <c r="EQ1045" s="1"/>
      <c r="ER1045" s="1"/>
      <c r="ES1045" s="1"/>
      <c r="EV1045" s="1"/>
      <c r="EW1045" s="1"/>
      <c r="EZ1045" s="1"/>
      <c r="GP1045" s="1"/>
      <c r="GV1045" s="1"/>
      <c r="HE1045" s="1"/>
      <c r="HY1045" s="1"/>
      <c r="IC1045" s="1"/>
      <c r="IE1045" s="1"/>
      <c r="IR1045" s="1"/>
      <c r="IS1045" s="1"/>
      <c r="IW1045" s="1"/>
      <c r="IY1045" s="1"/>
      <c r="IZ1045" s="1"/>
      <c r="JG1045" s="1"/>
      <c r="JJ1045" s="1"/>
      <c r="JP1045" s="1"/>
      <c r="JQ1045" s="1"/>
      <c r="KY1045" s="1"/>
      <c r="KZ1045" s="1"/>
      <c r="LA1045" s="1"/>
      <c r="LB1045" s="1"/>
      <c r="LC1045" s="1"/>
      <c r="LD1045" s="1"/>
      <c r="LO1045" s="1"/>
      <c r="LP1045" s="1"/>
      <c r="LZ1045" s="1"/>
      <c r="MA1045" s="1"/>
    </row>
    <row r="1046" spans="4:339" ht="13" x14ac:dyDescent="0.15">
      <c r="D1046" s="12"/>
      <c r="E1046" s="12"/>
      <c r="I1046" s="12"/>
      <c r="J1046" s="13"/>
      <c r="BF1046" s="1"/>
      <c r="BG1046" s="1"/>
      <c r="BH1046" s="1"/>
      <c r="BI1046" s="1"/>
      <c r="BK1046" s="1"/>
      <c r="BL1046" s="1"/>
      <c r="BM1046" s="1"/>
      <c r="BN1046" s="1"/>
      <c r="BO1046" s="1"/>
      <c r="BP1046" s="1"/>
      <c r="BQ1046" s="1"/>
      <c r="BR1046" s="1"/>
      <c r="CD1046" s="1"/>
      <c r="CE1046" s="1"/>
      <c r="CF1046" s="1"/>
      <c r="CG1046" s="1"/>
      <c r="CM1046" s="2"/>
      <c r="CP1046" s="1"/>
      <c r="CQ1046" s="1"/>
      <c r="CX1046" s="1"/>
      <c r="CY1046" s="1"/>
      <c r="CZ1046" s="1"/>
      <c r="DA1046" s="1"/>
      <c r="DB1046" s="1"/>
      <c r="DC1046" s="1"/>
      <c r="DD1046" s="1"/>
      <c r="DE1046" s="1"/>
      <c r="DF1046" s="1"/>
      <c r="DG1046" s="1"/>
      <c r="DH1046" s="1"/>
      <c r="DI1046" s="1"/>
      <c r="DJ1046" s="1"/>
      <c r="DK1046" s="1"/>
      <c r="DM1046" s="1"/>
      <c r="DR1046" s="1"/>
      <c r="ED1046" s="1"/>
      <c r="EF1046" s="1"/>
      <c r="EK1046" s="1"/>
      <c r="EL1046" s="1"/>
      <c r="EM1046" s="1"/>
      <c r="EN1046" s="1"/>
      <c r="EQ1046" s="1"/>
      <c r="ER1046" s="1"/>
      <c r="ES1046" s="1"/>
      <c r="EV1046" s="1"/>
      <c r="EW1046" s="1"/>
      <c r="EZ1046" s="1"/>
      <c r="GP1046" s="1"/>
      <c r="HY1046" s="1"/>
      <c r="ID1046" s="1"/>
      <c r="IE1046" s="1"/>
      <c r="IR1046" s="1"/>
      <c r="IS1046" s="1"/>
      <c r="IW1046" s="1"/>
      <c r="IZ1046" s="1"/>
      <c r="JA1046" s="1"/>
      <c r="JF1046" s="1"/>
      <c r="JG1046" s="1"/>
      <c r="JH1046" s="1"/>
      <c r="JJ1046" s="1"/>
      <c r="JN1046" s="1"/>
      <c r="JP1046" s="1"/>
      <c r="JQ1046" s="1"/>
      <c r="JT1046" s="1"/>
      <c r="KV1046" s="1"/>
      <c r="KZ1046" s="1"/>
      <c r="LA1046" s="1"/>
      <c r="LC1046" s="1"/>
      <c r="LO1046" s="1"/>
      <c r="LZ1046" s="1"/>
      <c r="MA1046" s="1"/>
    </row>
    <row r="1047" spans="4:339" ht="13" x14ac:dyDescent="0.15">
      <c r="D1047" s="12"/>
      <c r="E1047" s="12"/>
      <c r="I1047" s="12"/>
      <c r="J1047" s="13"/>
      <c r="BF1047" s="1"/>
      <c r="BG1047" s="1"/>
      <c r="BH1047" s="1"/>
      <c r="BI1047" s="1"/>
      <c r="BK1047" s="1"/>
      <c r="BL1047" s="1"/>
      <c r="BM1047" s="1"/>
      <c r="BN1047" s="1"/>
      <c r="BO1047" s="1"/>
      <c r="BP1047" s="1"/>
      <c r="BQ1047" s="1"/>
      <c r="BR1047" s="1"/>
      <c r="CD1047" s="1"/>
      <c r="CE1047" s="1"/>
      <c r="CF1047" s="1"/>
      <c r="CG1047" s="1"/>
      <c r="CM1047" s="2"/>
      <c r="CP1047" s="1"/>
      <c r="CQ1047" s="1"/>
      <c r="CX1047" s="1"/>
      <c r="CY1047" s="1"/>
      <c r="CZ1047" s="1"/>
      <c r="DA1047" s="1"/>
      <c r="DB1047" s="1"/>
      <c r="DC1047" s="1"/>
      <c r="DD1047" s="1"/>
      <c r="DE1047" s="1"/>
      <c r="DF1047" s="1"/>
      <c r="DG1047" s="1"/>
      <c r="DH1047" s="1"/>
      <c r="DI1047" s="1"/>
      <c r="DJ1047" s="1"/>
      <c r="DK1047" s="1"/>
      <c r="DM1047" s="1"/>
      <c r="DR1047" s="1"/>
      <c r="ED1047" s="1"/>
      <c r="EF1047" s="1"/>
      <c r="EK1047" s="1"/>
      <c r="EL1047" s="1"/>
      <c r="EM1047" s="1"/>
      <c r="EN1047" s="1"/>
      <c r="EQ1047" s="1"/>
      <c r="ER1047" s="1"/>
      <c r="ES1047" s="1"/>
      <c r="EV1047" s="1"/>
      <c r="EW1047" s="1"/>
      <c r="EZ1047" s="1"/>
      <c r="GP1047" s="1"/>
      <c r="HY1047" s="1"/>
      <c r="ID1047" s="1"/>
      <c r="IE1047" s="1"/>
      <c r="IR1047" s="1"/>
      <c r="IS1047" s="1"/>
      <c r="IW1047" s="1"/>
      <c r="IZ1047" s="1"/>
      <c r="JA1047" s="1"/>
      <c r="JF1047" s="1"/>
      <c r="JG1047" s="1"/>
      <c r="JH1047" s="1"/>
      <c r="JJ1047" s="1"/>
      <c r="JN1047" s="1"/>
      <c r="JP1047" s="1"/>
      <c r="JQ1047" s="1"/>
      <c r="JT1047" s="1"/>
      <c r="KV1047" s="1"/>
      <c r="KZ1047" s="1"/>
      <c r="LA1047" s="1"/>
      <c r="LC1047" s="1"/>
      <c r="LO1047" s="1"/>
      <c r="LZ1047" s="1"/>
      <c r="MA1047" s="1"/>
    </row>
    <row r="1048" spans="4:339" ht="13" x14ac:dyDescent="0.15">
      <c r="D1048" s="12"/>
      <c r="E1048" s="12"/>
      <c r="I1048" s="12"/>
      <c r="J1048" s="13"/>
      <c r="BF1048" s="1"/>
      <c r="BG1048" s="1"/>
      <c r="BH1048" s="1"/>
      <c r="BI1048" s="1"/>
      <c r="BK1048" s="1"/>
      <c r="BL1048" s="1"/>
      <c r="BM1048" s="1"/>
      <c r="BN1048" s="1"/>
      <c r="BO1048" s="1"/>
      <c r="BP1048" s="1"/>
      <c r="BQ1048" s="1"/>
      <c r="BR1048" s="1"/>
      <c r="CD1048" s="1"/>
      <c r="CE1048" s="1"/>
      <c r="CF1048" s="1"/>
      <c r="CG1048" s="1"/>
      <c r="CM1048" s="2"/>
      <c r="CP1048" s="1"/>
      <c r="CQ1048" s="1"/>
      <c r="CX1048" s="1"/>
      <c r="CY1048" s="1"/>
      <c r="CZ1048" s="1"/>
      <c r="DA1048" s="1"/>
      <c r="DB1048" s="1"/>
      <c r="DC1048" s="1"/>
      <c r="DD1048" s="1"/>
      <c r="DE1048" s="1"/>
      <c r="DF1048" s="1"/>
      <c r="DG1048" s="1"/>
      <c r="DH1048" s="1"/>
      <c r="DI1048" s="1"/>
      <c r="DJ1048" s="1"/>
      <c r="DK1048" s="1"/>
      <c r="DM1048" s="1"/>
      <c r="DR1048" s="1"/>
      <c r="ED1048" s="1"/>
      <c r="EF1048" s="1"/>
      <c r="EK1048" s="1"/>
      <c r="EL1048" s="1"/>
      <c r="EM1048" s="1"/>
      <c r="EN1048" s="1"/>
      <c r="EQ1048" s="1"/>
      <c r="ER1048" s="1"/>
      <c r="ES1048" s="1"/>
      <c r="EV1048" s="1"/>
      <c r="EW1048" s="1"/>
      <c r="EZ1048" s="1"/>
      <c r="GP1048" s="1"/>
      <c r="HY1048" s="1"/>
      <c r="ID1048" s="1"/>
      <c r="IE1048" s="1"/>
      <c r="IR1048" s="1"/>
      <c r="IS1048" s="1"/>
      <c r="IW1048" s="1"/>
      <c r="IZ1048" s="1"/>
      <c r="JA1048" s="1"/>
      <c r="JF1048" s="1"/>
      <c r="JG1048" s="1"/>
      <c r="JH1048" s="1"/>
      <c r="JJ1048" s="1"/>
      <c r="JN1048" s="1"/>
      <c r="JP1048" s="1"/>
      <c r="JQ1048" s="1"/>
      <c r="JT1048" s="1"/>
      <c r="KV1048" s="1"/>
      <c r="KZ1048" s="1"/>
      <c r="LA1048" s="1"/>
      <c r="LC1048" s="1"/>
      <c r="LO1048" s="1"/>
      <c r="LZ1048" s="1"/>
      <c r="MA1048" s="1"/>
    </row>
    <row r="1049" spans="4:339" ht="13" x14ac:dyDescent="0.15">
      <c r="D1049" s="12"/>
      <c r="E1049" s="12"/>
      <c r="I1049" s="12"/>
      <c r="J1049" s="13"/>
      <c r="BF1049" s="1"/>
      <c r="BG1049" s="1"/>
      <c r="BH1049" s="1"/>
      <c r="BI1049" s="1"/>
      <c r="BK1049" s="1"/>
      <c r="BL1049" s="1"/>
      <c r="BM1049" s="1"/>
      <c r="BN1049" s="1"/>
      <c r="BO1049" s="1"/>
      <c r="BP1049" s="1"/>
      <c r="BQ1049" s="1"/>
      <c r="BR1049" s="1"/>
      <c r="CD1049" s="1"/>
      <c r="CE1049" s="1"/>
      <c r="CF1049" s="1"/>
      <c r="CG1049" s="1"/>
      <c r="CM1049" s="2"/>
      <c r="CP1049" s="1"/>
      <c r="CQ1049" s="1"/>
      <c r="CX1049" s="1"/>
      <c r="CY1049" s="1"/>
      <c r="CZ1049" s="1"/>
      <c r="DA1049" s="1"/>
      <c r="DB1049" s="1"/>
      <c r="DC1049" s="1"/>
      <c r="DD1049" s="1"/>
      <c r="DE1049" s="1"/>
      <c r="DF1049" s="1"/>
      <c r="DG1049" s="1"/>
      <c r="DH1049" s="1"/>
      <c r="DI1049" s="1"/>
      <c r="DJ1049" s="1"/>
      <c r="DK1049" s="1"/>
      <c r="DM1049" s="1"/>
      <c r="DR1049" s="1"/>
      <c r="ED1049" s="1"/>
      <c r="EF1049" s="1"/>
      <c r="EK1049" s="1"/>
      <c r="EL1049" s="1"/>
      <c r="EM1049" s="1"/>
      <c r="EN1049" s="1"/>
      <c r="EQ1049" s="1"/>
      <c r="ER1049" s="1"/>
      <c r="ES1049" s="1"/>
      <c r="EV1049" s="1"/>
      <c r="EW1049" s="1"/>
      <c r="EZ1049" s="1"/>
      <c r="GP1049" s="1"/>
      <c r="HY1049" s="1"/>
      <c r="ID1049" s="1"/>
      <c r="IE1049" s="1"/>
      <c r="IR1049" s="1"/>
      <c r="IS1049" s="1"/>
      <c r="IW1049" s="1"/>
      <c r="IZ1049" s="1"/>
      <c r="JA1049" s="1"/>
      <c r="JF1049" s="1"/>
      <c r="JG1049" s="1"/>
      <c r="JH1049" s="1"/>
      <c r="JJ1049" s="1"/>
      <c r="JN1049" s="1"/>
      <c r="JP1049" s="1"/>
      <c r="JQ1049" s="1"/>
      <c r="JT1049" s="1"/>
      <c r="KV1049" s="1"/>
      <c r="KZ1049" s="1"/>
      <c r="LA1049" s="1"/>
      <c r="LC1049" s="1"/>
      <c r="LO1049" s="1"/>
      <c r="LZ1049" s="1"/>
      <c r="MA1049" s="1"/>
    </row>
    <row r="1050" spans="4:339" ht="13" x14ac:dyDescent="0.15">
      <c r="D1050" s="12"/>
      <c r="E1050" s="12"/>
      <c r="I1050" s="12"/>
      <c r="J1050" s="13"/>
      <c r="BF1050" s="1"/>
      <c r="BG1050" s="1"/>
      <c r="BH1050" s="1"/>
      <c r="BI1050" s="1"/>
      <c r="BK1050" s="1"/>
      <c r="BL1050" s="1"/>
      <c r="BM1050" s="1"/>
      <c r="BN1050" s="1"/>
      <c r="BO1050" s="1"/>
      <c r="BP1050" s="1"/>
      <c r="BQ1050" s="1"/>
      <c r="BR1050" s="1"/>
      <c r="CD1050" s="1"/>
      <c r="CE1050" s="1"/>
      <c r="CF1050" s="1"/>
      <c r="CG1050" s="1"/>
      <c r="CM1050" s="2"/>
      <c r="CP1050" s="1"/>
      <c r="CQ1050" s="1"/>
      <c r="CX1050" s="1"/>
      <c r="CY1050" s="1"/>
      <c r="CZ1050" s="1"/>
      <c r="DA1050" s="1"/>
      <c r="DB1050" s="1"/>
      <c r="DC1050" s="1"/>
      <c r="DD1050" s="1"/>
      <c r="DE1050" s="1"/>
      <c r="DF1050" s="1"/>
      <c r="DG1050" s="1"/>
      <c r="DH1050" s="1"/>
      <c r="DI1050" s="1"/>
      <c r="DJ1050" s="1"/>
      <c r="DK1050" s="1"/>
      <c r="DM1050" s="1"/>
      <c r="DR1050" s="1"/>
      <c r="ED1050" s="1"/>
      <c r="EF1050" s="1"/>
      <c r="EK1050" s="1"/>
      <c r="EL1050" s="1"/>
      <c r="EM1050" s="1"/>
      <c r="EN1050" s="1"/>
      <c r="EQ1050" s="1"/>
      <c r="ER1050" s="1"/>
      <c r="ES1050" s="1"/>
      <c r="EV1050" s="1"/>
      <c r="EW1050" s="1"/>
      <c r="EZ1050" s="1"/>
      <c r="GP1050" s="1"/>
      <c r="HY1050" s="1"/>
      <c r="ID1050" s="1"/>
      <c r="IE1050" s="1"/>
      <c r="IR1050" s="1"/>
      <c r="IS1050" s="1"/>
      <c r="IW1050" s="1"/>
      <c r="IZ1050" s="1"/>
      <c r="JA1050" s="1"/>
      <c r="JF1050" s="1"/>
      <c r="JG1050" s="1"/>
      <c r="JH1050" s="1"/>
      <c r="JJ1050" s="1"/>
      <c r="JN1050" s="1"/>
      <c r="JP1050" s="1"/>
      <c r="JQ1050" s="1"/>
      <c r="JT1050" s="1"/>
      <c r="KV1050" s="1"/>
      <c r="KZ1050" s="1"/>
      <c r="LA1050" s="1"/>
      <c r="LC1050" s="1"/>
      <c r="LO1050" s="1"/>
      <c r="LZ1050" s="1"/>
      <c r="MA1050" s="1"/>
    </row>
    <row r="1051" spans="4:339" ht="13" x14ac:dyDescent="0.15">
      <c r="D1051" s="12"/>
      <c r="E1051" s="12"/>
      <c r="I1051" s="12"/>
      <c r="J1051" s="13"/>
      <c r="BF1051" s="1"/>
      <c r="BG1051" s="1"/>
      <c r="BH1051" s="1"/>
      <c r="BI1051" s="1"/>
      <c r="BK1051" s="1"/>
      <c r="BL1051" s="1"/>
      <c r="BM1051" s="1"/>
      <c r="BN1051" s="1"/>
      <c r="BO1051" s="1"/>
      <c r="BP1051" s="1"/>
      <c r="BQ1051" s="1"/>
      <c r="BR1051" s="1"/>
      <c r="CD1051" s="1"/>
      <c r="CE1051" s="1"/>
      <c r="CF1051" s="1"/>
      <c r="CG1051" s="1"/>
      <c r="CM1051" s="2"/>
      <c r="CP1051" s="1"/>
      <c r="CQ1051" s="1"/>
      <c r="CX1051" s="1"/>
      <c r="CY1051" s="1"/>
      <c r="CZ1051" s="1"/>
      <c r="DA1051" s="1"/>
      <c r="DB1051" s="1"/>
      <c r="DC1051" s="1"/>
      <c r="DD1051" s="1"/>
      <c r="DE1051" s="1"/>
      <c r="DF1051" s="1"/>
      <c r="DG1051" s="1"/>
      <c r="DH1051" s="1"/>
      <c r="DI1051" s="1"/>
      <c r="DJ1051" s="1"/>
      <c r="DK1051" s="1"/>
      <c r="DM1051" s="1"/>
      <c r="DR1051" s="1"/>
      <c r="ED1051" s="1"/>
      <c r="EF1051" s="1"/>
      <c r="EK1051" s="1"/>
      <c r="EL1051" s="1"/>
      <c r="EM1051" s="1"/>
      <c r="EN1051" s="1"/>
      <c r="EQ1051" s="1"/>
      <c r="ER1051" s="1"/>
      <c r="ES1051" s="1"/>
      <c r="EV1051" s="1"/>
      <c r="EW1051" s="1"/>
      <c r="EZ1051" s="1"/>
      <c r="GP1051" s="1"/>
      <c r="HY1051" s="1"/>
      <c r="ID1051" s="1"/>
      <c r="IE1051" s="1"/>
      <c r="IR1051" s="1"/>
      <c r="IS1051" s="1"/>
      <c r="IW1051" s="1"/>
      <c r="IZ1051" s="1"/>
      <c r="JA1051" s="1"/>
      <c r="JF1051" s="1"/>
      <c r="JG1051" s="1"/>
      <c r="JH1051" s="1"/>
      <c r="JJ1051" s="1"/>
      <c r="JN1051" s="1"/>
      <c r="JP1051" s="1"/>
      <c r="JQ1051" s="1"/>
      <c r="JT1051" s="1"/>
      <c r="KV1051" s="1"/>
      <c r="KZ1051" s="1"/>
      <c r="LA1051" s="1"/>
      <c r="LC1051" s="1"/>
      <c r="LO1051" s="1"/>
      <c r="LZ1051" s="1"/>
      <c r="MA1051" s="1"/>
    </row>
    <row r="1052" spans="4:339" ht="13" x14ac:dyDescent="0.15">
      <c r="D1052" s="12"/>
      <c r="E1052" s="12"/>
      <c r="I1052" s="12"/>
      <c r="J1052" s="13"/>
      <c r="BF1052" s="1"/>
      <c r="BG1052" s="1"/>
      <c r="BH1052" s="1"/>
      <c r="BI1052" s="1"/>
      <c r="BK1052" s="1"/>
      <c r="BL1052" s="1"/>
      <c r="BM1052" s="1"/>
      <c r="BN1052" s="1"/>
      <c r="BO1052" s="1"/>
      <c r="BP1052" s="1"/>
      <c r="BQ1052" s="1"/>
      <c r="BR1052" s="1"/>
      <c r="CD1052" s="1"/>
      <c r="CE1052" s="1"/>
      <c r="CF1052" s="1"/>
      <c r="CG1052" s="1"/>
      <c r="CM1052" s="2"/>
      <c r="CP1052" s="1"/>
      <c r="CQ1052" s="1"/>
      <c r="CX1052" s="1"/>
      <c r="CY1052" s="1"/>
      <c r="CZ1052" s="1"/>
      <c r="DA1052" s="1"/>
      <c r="DB1052" s="1"/>
      <c r="DC1052" s="1"/>
      <c r="DD1052" s="1"/>
      <c r="DE1052" s="1"/>
      <c r="DF1052" s="1"/>
      <c r="DG1052" s="1"/>
      <c r="DH1052" s="1"/>
      <c r="DI1052" s="1"/>
      <c r="DJ1052" s="1"/>
      <c r="DK1052" s="1"/>
      <c r="DM1052" s="1"/>
      <c r="DR1052" s="1"/>
      <c r="ED1052" s="1"/>
      <c r="EF1052" s="1"/>
      <c r="EK1052" s="1"/>
      <c r="EL1052" s="1"/>
      <c r="EM1052" s="1"/>
      <c r="EN1052" s="1"/>
      <c r="EQ1052" s="1"/>
      <c r="ER1052" s="1"/>
      <c r="ES1052" s="1"/>
      <c r="EV1052" s="1"/>
      <c r="EW1052" s="1"/>
      <c r="EZ1052" s="1"/>
      <c r="GP1052" s="1"/>
      <c r="HY1052" s="1"/>
      <c r="ID1052" s="1"/>
      <c r="IE1052" s="1"/>
      <c r="IR1052" s="1"/>
      <c r="IS1052" s="1"/>
      <c r="IW1052" s="1"/>
      <c r="IZ1052" s="1"/>
      <c r="JA1052" s="1"/>
      <c r="JF1052" s="1"/>
      <c r="JG1052" s="1"/>
      <c r="JH1052" s="1"/>
      <c r="JJ1052" s="1"/>
      <c r="JN1052" s="1"/>
      <c r="JP1052" s="1"/>
      <c r="JQ1052" s="1"/>
      <c r="JT1052" s="1"/>
      <c r="KV1052" s="1"/>
      <c r="KZ1052" s="1"/>
      <c r="LA1052" s="1"/>
      <c r="LC1052" s="1"/>
      <c r="LO1052" s="1"/>
      <c r="LZ1052" s="1"/>
      <c r="MA1052" s="1"/>
    </row>
    <row r="1053" spans="4:339" ht="13" x14ac:dyDescent="0.15">
      <c r="D1053" s="12"/>
      <c r="E1053" s="12"/>
      <c r="I1053" s="12"/>
      <c r="J1053" s="13"/>
      <c r="BF1053" s="1"/>
      <c r="BG1053" s="1"/>
      <c r="BH1053" s="1"/>
      <c r="BI1053" s="1"/>
      <c r="BK1053" s="1"/>
      <c r="BL1053" s="1"/>
      <c r="BM1053" s="1"/>
      <c r="BN1053" s="1"/>
      <c r="BO1053" s="1"/>
      <c r="BP1053" s="1"/>
      <c r="BQ1053" s="1"/>
      <c r="BR1053" s="1"/>
      <c r="BX1053" s="1"/>
      <c r="CC1053" s="1"/>
      <c r="CD1053" s="1"/>
      <c r="CE1053" s="1"/>
      <c r="CF1053" s="1"/>
      <c r="CG1053" s="1"/>
      <c r="CM1053" s="2"/>
      <c r="CP1053" s="1"/>
      <c r="CQ1053" s="1"/>
      <c r="CS1053" s="1"/>
      <c r="CT1053" s="1"/>
      <c r="CU1053" s="1"/>
      <c r="CV1053" s="1"/>
      <c r="CW1053" s="1"/>
      <c r="CX1053" s="1"/>
      <c r="CY1053" s="1"/>
      <c r="CZ1053" s="1"/>
      <c r="DA1053" s="1"/>
      <c r="DB1053" s="1"/>
      <c r="DC1053" s="1"/>
      <c r="DD1053" s="1"/>
      <c r="DE1053" s="1"/>
      <c r="DF1053" s="1"/>
      <c r="DG1053" s="1"/>
      <c r="DH1053" s="1"/>
      <c r="DI1053" s="1"/>
      <c r="DJ1053" s="1"/>
      <c r="DK1053" s="1"/>
      <c r="DM1053" s="1"/>
      <c r="DQ1053" s="1"/>
      <c r="DR1053" s="1"/>
      <c r="DY1053" s="1"/>
      <c r="DZ1053" s="1"/>
      <c r="ED1053" s="1"/>
      <c r="EK1053" s="1"/>
      <c r="EL1053" s="1"/>
      <c r="EM1053" s="1"/>
      <c r="EN1053" s="1"/>
      <c r="EQ1053" s="1"/>
      <c r="ER1053" s="1"/>
      <c r="ES1053" s="1"/>
      <c r="EV1053" s="1"/>
      <c r="EW1053" s="1"/>
      <c r="EZ1053" s="1"/>
      <c r="GO1053" s="1"/>
      <c r="GP1053" s="1"/>
      <c r="GV1053" s="1"/>
      <c r="HH1053" s="1"/>
      <c r="HQ1053" s="1"/>
      <c r="HT1053" s="1"/>
      <c r="HY1053" s="1"/>
      <c r="ID1053" s="1"/>
      <c r="IE1053" s="1"/>
      <c r="IK1053" s="1"/>
      <c r="IR1053" s="1"/>
      <c r="IS1053" s="1"/>
      <c r="IW1053" s="1"/>
      <c r="IY1053" s="1"/>
      <c r="IZ1053" s="1"/>
      <c r="JF1053" s="1"/>
      <c r="JG1053" s="1"/>
      <c r="JH1053" s="1"/>
      <c r="JJ1053" s="1"/>
      <c r="JP1053" s="1"/>
      <c r="JQ1053" s="1"/>
      <c r="JW1053" s="1"/>
      <c r="KS1053" s="1"/>
      <c r="KT1053" s="1"/>
      <c r="KY1053" s="1"/>
      <c r="KZ1053" s="1"/>
      <c r="LA1053" s="1"/>
      <c r="LB1053" s="1"/>
      <c r="LC1053" s="1"/>
      <c r="LD1053" s="1"/>
      <c r="LO1053" s="1"/>
      <c r="LP1053" s="1"/>
      <c r="LZ1053" s="1"/>
      <c r="MA1053" s="1"/>
    </row>
    <row r="1054" spans="4:339" ht="13" x14ac:dyDescent="0.15">
      <c r="D1054" s="12"/>
      <c r="E1054" s="12"/>
      <c r="I1054" s="12"/>
      <c r="J1054" s="13"/>
      <c r="BF1054" s="1"/>
      <c r="BG1054" s="1"/>
      <c r="BH1054" s="1"/>
      <c r="BI1054" s="1"/>
      <c r="BK1054" s="1"/>
      <c r="BL1054" s="1"/>
      <c r="BM1054" s="1"/>
      <c r="BN1054" s="1"/>
      <c r="BO1054" s="1"/>
      <c r="BP1054" s="1"/>
      <c r="BQ1054" s="1"/>
      <c r="BR1054" s="1"/>
      <c r="BX1054" s="1"/>
      <c r="CC1054" s="1"/>
      <c r="CD1054" s="1"/>
      <c r="CE1054" s="1"/>
      <c r="CF1054" s="1"/>
      <c r="CG1054" s="1"/>
      <c r="CM1054" s="2"/>
      <c r="CP1054" s="1"/>
      <c r="CQ1054" s="1"/>
      <c r="CS1054" s="1"/>
      <c r="CT1054" s="1"/>
      <c r="CU1054" s="1"/>
      <c r="CV1054" s="1"/>
      <c r="CW1054" s="1"/>
      <c r="CX1054" s="1"/>
      <c r="CY1054" s="1"/>
      <c r="CZ1054" s="1"/>
      <c r="DA1054" s="1"/>
      <c r="DB1054" s="1"/>
      <c r="DC1054" s="1"/>
      <c r="DD1054" s="1"/>
      <c r="DE1054" s="1"/>
      <c r="DF1054" s="1"/>
      <c r="DG1054" s="1"/>
      <c r="DH1054" s="1"/>
      <c r="DI1054" s="1"/>
      <c r="DJ1054" s="1"/>
      <c r="DK1054" s="1"/>
      <c r="DM1054" s="1"/>
      <c r="DQ1054" s="1"/>
      <c r="DR1054" s="1"/>
      <c r="DY1054" s="1"/>
      <c r="DZ1054" s="1"/>
      <c r="ED1054" s="1"/>
      <c r="EK1054" s="1"/>
      <c r="EL1054" s="1"/>
      <c r="EM1054" s="1"/>
      <c r="EN1054" s="1"/>
      <c r="EQ1054" s="1"/>
      <c r="ER1054" s="1"/>
      <c r="ES1054" s="1"/>
      <c r="EV1054" s="1"/>
      <c r="EW1054" s="1"/>
      <c r="EZ1054" s="1"/>
      <c r="GO1054" s="1"/>
      <c r="GP1054" s="1"/>
      <c r="GV1054" s="1"/>
      <c r="HH1054" s="1"/>
      <c r="HQ1054" s="1"/>
      <c r="HT1054" s="1"/>
      <c r="HY1054" s="1"/>
      <c r="ID1054" s="1"/>
      <c r="IE1054" s="1"/>
      <c r="IK1054" s="1"/>
      <c r="IR1054" s="1"/>
      <c r="IS1054" s="1"/>
      <c r="IW1054" s="1"/>
      <c r="IY1054" s="1"/>
      <c r="IZ1054" s="1"/>
      <c r="JF1054" s="1"/>
      <c r="JG1054" s="1"/>
      <c r="JH1054" s="1"/>
      <c r="JJ1054" s="1"/>
      <c r="JP1054" s="1"/>
      <c r="JQ1054" s="1"/>
      <c r="JW1054" s="1"/>
      <c r="KS1054" s="1"/>
      <c r="KT1054" s="1"/>
      <c r="KY1054" s="1"/>
      <c r="KZ1054" s="1"/>
      <c r="LA1054" s="1"/>
      <c r="LB1054" s="1"/>
      <c r="LC1054" s="1"/>
      <c r="LD1054" s="1"/>
      <c r="LO1054" s="1"/>
      <c r="LP1054" s="1"/>
      <c r="LZ1054" s="1"/>
      <c r="MA1054" s="1"/>
    </row>
    <row r="1055" spans="4:339" ht="13" x14ac:dyDescent="0.15">
      <c r="D1055" s="12"/>
      <c r="E1055" s="12"/>
      <c r="I1055" s="12"/>
      <c r="J1055" s="13"/>
      <c r="BF1055" s="1"/>
      <c r="BG1055" s="1"/>
      <c r="BH1055" s="1"/>
      <c r="BI1055" s="1"/>
      <c r="BJ1055" s="1"/>
      <c r="BK1055" s="1"/>
      <c r="BL1055" s="1"/>
      <c r="BM1055" s="1"/>
      <c r="BN1055" s="1"/>
      <c r="BO1055" s="1"/>
      <c r="BP1055" s="1"/>
      <c r="BQ1055" s="1"/>
      <c r="BR1055" s="1"/>
      <c r="BX1055" s="1"/>
      <c r="CD1055" s="1"/>
      <c r="CE1055" s="1"/>
      <c r="CF1055" s="1"/>
      <c r="CM1055" s="2"/>
      <c r="CP1055" s="1"/>
      <c r="CQ1055" s="1"/>
      <c r="CS1055" s="1"/>
      <c r="CT1055" s="1"/>
      <c r="CU1055" s="1"/>
      <c r="CV1055" s="1"/>
      <c r="CW1055" s="1"/>
      <c r="CX1055" s="1"/>
      <c r="CY1055" s="1"/>
      <c r="CZ1055" s="1"/>
      <c r="DA1055" s="1"/>
      <c r="DB1055" s="1"/>
      <c r="DC1055" s="1"/>
      <c r="DD1055" s="1"/>
      <c r="DE1055" s="1"/>
      <c r="DF1055" s="1"/>
      <c r="DG1055" s="1"/>
      <c r="DH1055" s="1"/>
      <c r="DI1055" s="1"/>
      <c r="DJ1055" s="1"/>
      <c r="DK1055" s="1"/>
      <c r="DM1055" s="1"/>
      <c r="DR1055" s="1"/>
      <c r="ED1055" s="1"/>
      <c r="EF1055" s="1"/>
      <c r="EK1055" s="1"/>
      <c r="EL1055" s="1"/>
      <c r="EM1055" s="1"/>
      <c r="EN1055" s="1"/>
      <c r="EQ1055" s="1"/>
      <c r="ER1055" s="1"/>
      <c r="ES1055" s="1"/>
      <c r="EV1055" s="1"/>
      <c r="EW1055" s="1"/>
      <c r="EZ1055" s="1"/>
      <c r="GO1055" s="1"/>
      <c r="GP1055" s="1"/>
      <c r="GV1055" s="1"/>
      <c r="HF1055" s="1"/>
      <c r="HH1055" s="1"/>
      <c r="HN1055" s="1"/>
      <c r="HT1055" s="1"/>
      <c r="HY1055" s="1"/>
      <c r="IE1055" s="1"/>
      <c r="IJ1055" s="1"/>
      <c r="IS1055" s="1"/>
      <c r="IZ1055" s="1"/>
      <c r="JG1055" s="1"/>
      <c r="JH1055" s="1"/>
      <c r="JI1055" s="1"/>
      <c r="JJ1055" s="1"/>
      <c r="JN1055" s="1"/>
      <c r="JP1055" s="1"/>
      <c r="JQ1055" s="1"/>
      <c r="JT1055" s="1"/>
      <c r="KV1055" s="1"/>
      <c r="KW1055" s="1"/>
      <c r="KY1055" s="1"/>
      <c r="KZ1055" s="1"/>
      <c r="LA1055" s="1"/>
      <c r="LB1055" s="1"/>
      <c r="LC1055" s="1"/>
      <c r="LD1055" s="1"/>
      <c r="LF1055" s="1"/>
      <c r="LO1055" s="1"/>
      <c r="LP1055" s="1"/>
      <c r="LZ1055" s="1"/>
      <c r="MA1055" s="1"/>
    </row>
    <row r="1056" spans="4:339" ht="13" x14ac:dyDescent="0.15">
      <c r="D1056" s="12"/>
      <c r="E1056" s="12"/>
      <c r="I1056" s="12"/>
      <c r="J1056" s="13"/>
      <c r="BF1056" s="1"/>
      <c r="BG1056" s="1"/>
      <c r="BH1056" s="1"/>
      <c r="BI1056" s="1"/>
      <c r="BJ1056" s="1"/>
      <c r="BK1056" s="1"/>
      <c r="BL1056" s="1"/>
      <c r="BM1056" s="1"/>
      <c r="BN1056" s="1"/>
      <c r="BO1056" s="1"/>
      <c r="BQ1056" s="1"/>
      <c r="BR1056" s="1"/>
      <c r="CD1056" s="1"/>
      <c r="CE1056" s="1"/>
      <c r="CF1056" s="1"/>
      <c r="CM1056" s="2"/>
      <c r="ED1056" s="1"/>
      <c r="EL1056" s="1"/>
      <c r="EM1056" s="1"/>
      <c r="EN1056" s="1"/>
      <c r="EQ1056" s="1"/>
      <c r="ER1056" s="1"/>
      <c r="ES1056" s="1"/>
      <c r="EV1056" s="1"/>
      <c r="EW1056" s="1"/>
      <c r="EZ1056" s="1"/>
      <c r="GP1056" s="1"/>
      <c r="GX1056" s="1"/>
      <c r="HF1056" s="1"/>
      <c r="HY1056" s="1"/>
      <c r="IC1056" s="1"/>
      <c r="ID1056" s="1"/>
      <c r="IR1056" s="1"/>
      <c r="IS1056" s="1"/>
      <c r="IZ1056" s="1"/>
      <c r="JF1056" s="1"/>
      <c r="JG1056" s="1"/>
      <c r="JJ1056" s="1"/>
      <c r="JP1056" s="1"/>
      <c r="JQ1056" s="1"/>
      <c r="JT1056" s="1"/>
      <c r="KU1056" s="1"/>
    </row>
    <row r="1057" spans="4:339" ht="13" x14ac:dyDescent="0.15">
      <c r="D1057" s="12"/>
      <c r="E1057" s="12"/>
      <c r="I1057" s="12"/>
      <c r="J1057" s="13"/>
      <c r="BF1057" s="1"/>
      <c r="BG1057" s="1"/>
      <c r="BH1057" s="1"/>
      <c r="BI1057" s="1"/>
      <c r="BJ1057" s="1"/>
      <c r="BK1057" s="1"/>
      <c r="BL1057" s="1"/>
      <c r="BM1057" s="1"/>
      <c r="BN1057" s="1"/>
      <c r="BO1057" s="1"/>
      <c r="BQ1057" s="1"/>
      <c r="BR1057" s="1"/>
      <c r="CD1057" s="1"/>
      <c r="CE1057" s="1"/>
      <c r="CF1057" s="1"/>
      <c r="CM1057" s="2"/>
      <c r="ED1057" s="1"/>
      <c r="EL1057" s="1"/>
      <c r="EM1057" s="1"/>
      <c r="EN1057" s="1"/>
      <c r="EQ1057" s="1"/>
      <c r="ER1057" s="1"/>
      <c r="ES1057" s="1"/>
      <c r="EV1057" s="1"/>
      <c r="EW1057" s="1"/>
      <c r="EZ1057" s="1"/>
      <c r="GP1057" s="1"/>
      <c r="GX1057" s="1"/>
      <c r="HF1057" s="1"/>
      <c r="HY1057" s="1"/>
      <c r="IC1057" s="1"/>
      <c r="ID1057" s="1"/>
      <c r="IR1057" s="1"/>
      <c r="IS1057" s="1"/>
      <c r="IZ1057" s="1"/>
      <c r="JF1057" s="1"/>
      <c r="JG1057" s="1"/>
      <c r="JJ1057" s="1"/>
      <c r="JP1057" s="1"/>
      <c r="JQ1057" s="1"/>
      <c r="JT1057" s="1"/>
      <c r="KU1057" s="1"/>
    </row>
    <row r="1058" spans="4:339" ht="13" x14ac:dyDescent="0.15">
      <c r="D1058" s="12"/>
      <c r="E1058" s="12"/>
      <c r="I1058" s="12"/>
      <c r="J1058" s="13"/>
      <c r="BF1058" s="1"/>
      <c r="BG1058" s="1"/>
      <c r="BH1058" s="1"/>
      <c r="BI1058" s="1"/>
      <c r="BK1058" s="1"/>
      <c r="BL1058" s="1"/>
      <c r="BM1058" s="1"/>
      <c r="BN1058" s="1"/>
      <c r="BO1058" s="1"/>
      <c r="BP1058" s="1"/>
      <c r="BQ1058" s="1"/>
      <c r="BR1058" s="1"/>
      <c r="CD1058" s="1"/>
      <c r="CM1058" s="2"/>
      <c r="CP1058" s="1"/>
      <c r="CQ1058" s="1"/>
      <c r="CR1058" s="1"/>
      <c r="CT1058" s="1"/>
      <c r="CU1058" s="1"/>
      <c r="CV1058" s="1"/>
      <c r="CW1058" s="1"/>
      <c r="CX1058" s="1"/>
      <c r="CY1058" s="1"/>
      <c r="CZ1058" s="1"/>
      <c r="DA1058" s="1"/>
      <c r="DB1058" s="1"/>
      <c r="DC1058" s="1"/>
      <c r="DD1058" s="1"/>
      <c r="DE1058" s="1"/>
      <c r="DF1058" s="1"/>
      <c r="DG1058" s="1"/>
      <c r="DH1058" s="1"/>
      <c r="DI1058" s="1"/>
      <c r="DJ1058" s="1"/>
      <c r="DK1058" s="1"/>
      <c r="DM1058" s="1"/>
      <c r="DR1058" s="1"/>
      <c r="ED1058" s="1"/>
      <c r="EK1058" s="1"/>
      <c r="EL1058" s="1"/>
      <c r="EM1058" s="1"/>
      <c r="EN1058" s="1"/>
      <c r="EQ1058" s="1"/>
      <c r="ER1058" s="1"/>
      <c r="ES1058" s="1"/>
      <c r="EV1058" s="1"/>
      <c r="EW1058" s="1"/>
      <c r="EZ1058" s="1"/>
      <c r="GO1058" s="1"/>
      <c r="GP1058" s="1"/>
      <c r="GX1058" s="1"/>
      <c r="HF1058" s="1"/>
      <c r="HY1058" s="1"/>
      <c r="IC1058" s="1"/>
      <c r="ID1058" s="1"/>
      <c r="IE1058" s="1"/>
      <c r="IS1058" s="1"/>
      <c r="IW1058" s="1"/>
      <c r="IY1058" s="1"/>
      <c r="IZ1058" s="1"/>
      <c r="JA1058" s="1"/>
      <c r="JF1058" s="1"/>
      <c r="JH1058" s="1"/>
      <c r="JI1058" s="1"/>
      <c r="JJ1058" s="1"/>
      <c r="JN1058" s="1"/>
      <c r="JP1058" s="1"/>
      <c r="JQ1058" s="1"/>
      <c r="JT1058" s="1"/>
      <c r="JU1058" s="1"/>
      <c r="KU1058" s="1"/>
      <c r="KW1058" s="1"/>
      <c r="KY1058" s="1"/>
      <c r="KZ1058" s="1"/>
      <c r="LA1058" s="1"/>
      <c r="LB1058" s="1"/>
      <c r="LC1058" s="1"/>
      <c r="LD1058" s="1"/>
      <c r="LJ1058" s="1"/>
      <c r="LO1058" s="1"/>
      <c r="LP1058" s="1"/>
      <c r="LZ1058" s="1"/>
      <c r="MA1058" s="1"/>
    </row>
    <row r="1059" spans="4:339" ht="13" x14ac:dyDescent="0.15">
      <c r="D1059" s="12"/>
      <c r="E1059" s="12"/>
      <c r="I1059" s="12"/>
      <c r="J1059" s="13"/>
      <c r="BF1059" s="1"/>
      <c r="BG1059" s="1"/>
      <c r="BH1059" s="1"/>
      <c r="BI1059" s="1"/>
      <c r="BK1059" s="1"/>
      <c r="BL1059" s="1"/>
      <c r="BM1059" s="1"/>
      <c r="BN1059" s="1"/>
      <c r="BO1059" s="1"/>
      <c r="BP1059" s="1"/>
      <c r="BQ1059" s="1"/>
      <c r="BR1059" s="1"/>
      <c r="CD1059" s="1"/>
      <c r="CM1059" s="2"/>
      <c r="CP1059" s="1"/>
      <c r="CQ1059" s="1"/>
      <c r="CR1059" s="1"/>
      <c r="CT1059" s="1"/>
      <c r="CU1059" s="1"/>
      <c r="CV1059" s="1"/>
      <c r="CW1059" s="1"/>
      <c r="CX1059" s="1"/>
      <c r="CY1059" s="1"/>
      <c r="CZ1059" s="1"/>
      <c r="DA1059" s="1"/>
      <c r="DB1059" s="1"/>
      <c r="DC1059" s="1"/>
      <c r="DD1059" s="1"/>
      <c r="DE1059" s="1"/>
      <c r="DF1059" s="1"/>
      <c r="DG1059" s="1"/>
      <c r="DH1059" s="1"/>
      <c r="DI1059" s="1"/>
      <c r="DJ1059" s="1"/>
      <c r="DK1059" s="1"/>
      <c r="DM1059" s="1"/>
      <c r="DR1059" s="1"/>
      <c r="ED1059" s="1"/>
      <c r="EK1059" s="1"/>
      <c r="EL1059" s="1"/>
      <c r="EM1059" s="1"/>
      <c r="EN1059" s="1"/>
      <c r="EQ1059" s="1"/>
      <c r="ER1059" s="1"/>
      <c r="ES1059" s="1"/>
      <c r="EV1059" s="1"/>
      <c r="EW1059" s="1"/>
      <c r="EZ1059" s="1"/>
      <c r="GO1059" s="1"/>
      <c r="GP1059" s="1"/>
      <c r="GX1059" s="1"/>
      <c r="HF1059" s="1"/>
      <c r="HY1059" s="1"/>
      <c r="IC1059" s="1"/>
      <c r="ID1059" s="1"/>
      <c r="IE1059" s="1"/>
      <c r="IS1059" s="1"/>
      <c r="IW1059" s="1"/>
      <c r="IY1059" s="1"/>
      <c r="IZ1059" s="1"/>
      <c r="JA1059" s="1"/>
      <c r="JF1059" s="1"/>
      <c r="JH1059" s="1"/>
      <c r="JI1059" s="1"/>
      <c r="JJ1059" s="1"/>
      <c r="JN1059" s="1"/>
      <c r="JP1059" s="1"/>
      <c r="JQ1059" s="1"/>
      <c r="JT1059" s="1"/>
      <c r="JU1059" s="1"/>
      <c r="KU1059" s="1"/>
      <c r="KW1059" s="1"/>
      <c r="KY1059" s="1"/>
      <c r="KZ1059" s="1"/>
      <c r="LA1059" s="1"/>
      <c r="LB1059" s="1"/>
      <c r="LC1059" s="1"/>
      <c r="LD1059" s="1"/>
      <c r="LJ1059" s="1"/>
      <c r="LO1059" s="1"/>
      <c r="LP1059" s="1"/>
      <c r="LZ1059" s="1"/>
      <c r="MA1059" s="1"/>
    </row>
    <row r="1060" spans="4:339" ht="13" x14ac:dyDescent="0.15">
      <c r="D1060" s="12"/>
      <c r="E1060" s="12"/>
      <c r="I1060" s="12"/>
      <c r="J1060" s="13"/>
      <c r="BF1060" s="1"/>
      <c r="BG1060" s="1"/>
      <c r="BH1060" s="1"/>
      <c r="BI1060" s="1"/>
      <c r="BJ1060" s="1"/>
      <c r="BK1060" s="1"/>
      <c r="BL1060" s="1"/>
      <c r="BM1060" s="1"/>
      <c r="BN1060" s="1"/>
      <c r="BO1060" s="1"/>
      <c r="BP1060" s="1"/>
      <c r="BQ1060" s="1"/>
      <c r="BR1060" s="1"/>
      <c r="BX1060" s="1"/>
      <c r="CD1060" s="1"/>
      <c r="CE1060" s="1"/>
      <c r="CF1060" s="1"/>
      <c r="CG1060" s="1"/>
      <c r="CM1060" s="2"/>
      <c r="CP1060" s="1"/>
      <c r="CQ1060" s="1"/>
      <c r="CR1060" s="1"/>
      <c r="CS1060" s="1"/>
      <c r="CT1060" s="1"/>
      <c r="CU1060" s="1"/>
      <c r="CV1060" s="1"/>
      <c r="CW1060" s="1"/>
      <c r="CX1060" s="1"/>
      <c r="CY1060" s="1"/>
      <c r="CZ1060" s="1"/>
      <c r="DA1060" s="1"/>
      <c r="DB1060" s="1"/>
      <c r="DC1060" s="1"/>
      <c r="DD1060" s="1"/>
      <c r="DE1060" s="1"/>
      <c r="DF1060" s="1"/>
      <c r="DG1060" s="1"/>
      <c r="DH1060" s="1"/>
      <c r="DI1060" s="1"/>
      <c r="DJ1060" s="1"/>
      <c r="DK1060" s="1"/>
      <c r="ED1060" s="1"/>
      <c r="EK1060" s="1"/>
      <c r="EL1060" s="1"/>
      <c r="EM1060" s="1"/>
      <c r="EN1060" s="1"/>
      <c r="EQ1060" s="1"/>
      <c r="ER1060" s="1"/>
      <c r="ES1060" s="1"/>
      <c r="EV1060" s="1"/>
      <c r="EW1060" s="1"/>
      <c r="EZ1060" s="1"/>
      <c r="GO1060" s="1"/>
      <c r="GP1060" s="1"/>
      <c r="HF1060" s="1"/>
      <c r="HH1060" s="1"/>
      <c r="HN1060" s="1"/>
      <c r="HT1060" s="1"/>
      <c r="HY1060" s="1"/>
      <c r="IE1060" s="1"/>
      <c r="IR1060" s="1"/>
      <c r="IS1060" s="1"/>
      <c r="IW1060" s="1"/>
      <c r="IZ1060" s="1"/>
      <c r="JA1060" s="1"/>
      <c r="JG1060" s="1"/>
      <c r="JH1060" s="1"/>
      <c r="JJ1060" s="1"/>
      <c r="JP1060" s="1"/>
      <c r="JQ1060" s="1"/>
      <c r="KU1060" s="1"/>
      <c r="KY1060" s="1"/>
      <c r="KZ1060" s="1"/>
      <c r="LA1060" s="1"/>
      <c r="LB1060" s="1"/>
      <c r="LC1060" s="1"/>
      <c r="LD1060" s="1"/>
      <c r="LO1060" s="1"/>
      <c r="LP1060" s="1"/>
      <c r="LZ1060" s="1"/>
      <c r="MA1060" s="1"/>
    </row>
    <row r="1061" spans="4:339" ht="13" x14ac:dyDescent="0.15">
      <c r="D1061" s="12"/>
      <c r="E1061" s="12"/>
      <c r="I1061" s="12"/>
      <c r="J1061" s="13"/>
      <c r="BF1061" s="1"/>
      <c r="BG1061" s="1"/>
      <c r="BH1061" s="1"/>
      <c r="BI1061" s="1"/>
      <c r="BJ1061" s="1"/>
      <c r="BK1061" s="1"/>
      <c r="BL1061" s="1"/>
      <c r="BM1061" s="1"/>
      <c r="BN1061" s="1"/>
      <c r="BO1061" s="1"/>
      <c r="BP1061" s="1"/>
      <c r="BQ1061" s="1"/>
      <c r="BR1061" s="1"/>
      <c r="BX1061" s="1"/>
      <c r="CD1061" s="1"/>
      <c r="CE1061" s="1"/>
      <c r="CF1061" s="1"/>
      <c r="CG1061" s="1"/>
      <c r="CM1061" s="2"/>
      <c r="CP1061" s="1"/>
      <c r="CQ1061" s="1"/>
      <c r="CR1061" s="1"/>
      <c r="CS1061" s="1"/>
      <c r="CT1061" s="1"/>
      <c r="CU1061" s="1"/>
      <c r="CV1061" s="1"/>
      <c r="CW1061" s="1"/>
      <c r="CX1061" s="1"/>
      <c r="CY1061" s="1"/>
      <c r="CZ1061" s="1"/>
      <c r="DA1061" s="1"/>
      <c r="DB1061" s="1"/>
      <c r="DC1061" s="1"/>
      <c r="DD1061" s="1"/>
      <c r="DE1061" s="1"/>
      <c r="DF1061" s="1"/>
      <c r="DG1061" s="1"/>
      <c r="DH1061" s="1"/>
      <c r="DI1061" s="1"/>
      <c r="DJ1061" s="1"/>
      <c r="DK1061" s="1"/>
      <c r="ED1061" s="1"/>
      <c r="EK1061" s="1"/>
      <c r="EL1061" s="1"/>
      <c r="EM1061" s="1"/>
      <c r="EN1061" s="1"/>
      <c r="EQ1061" s="1"/>
      <c r="ER1061" s="1"/>
      <c r="ES1061" s="1"/>
      <c r="EV1061" s="1"/>
      <c r="EW1061" s="1"/>
      <c r="EZ1061" s="1"/>
      <c r="GO1061" s="1"/>
      <c r="GP1061" s="1"/>
      <c r="HF1061" s="1"/>
      <c r="HH1061" s="1"/>
      <c r="HN1061" s="1"/>
      <c r="HT1061" s="1"/>
      <c r="HY1061" s="1"/>
      <c r="IE1061" s="1"/>
      <c r="IR1061" s="1"/>
      <c r="IS1061" s="1"/>
      <c r="IW1061" s="1"/>
      <c r="IZ1061" s="1"/>
      <c r="JA1061" s="1"/>
      <c r="JG1061" s="1"/>
      <c r="JH1061" s="1"/>
      <c r="JJ1061" s="1"/>
      <c r="JP1061" s="1"/>
      <c r="JQ1061" s="1"/>
      <c r="KU1061" s="1"/>
      <c r="KY1061" s="1"/>
      <c r="KZ1061" s="1"/>
      <c r="LA1061" s="1"/>
      <c r="LB1061" s="1"/>
      <c r="LC1061" s="1"/>
      <c r="LD1061" s="1"/>
      <c r="LO1061" s="1"/>
      <c r="LP1061" s="1"/>
      <c r="LZ1061" s="1"/>
      <c r="MA1061" s="1"/>
    </row>
    <row r="1062" spans="4:339" ht="13" x14ac:dyDescent="0.15">
      <c r="D1062" s="12"/>
      <c r="E1062" s="12"/>
      <c r="I1062" s="12"/>
      <c r="J1062" s="13"/>
      <c r="BF1062" s="1"/>
      <c r="BG1062" s="1"/>
      <c r="BH1062" s="1"/>
      <c r="BI1062" s="1"/>
      <c r="BK1062" s="1"/>
      <c r="BL1062" s="1"/>
      <c r="BM1062" s="1"/>
      <c r="BN1062" s="1"/>
      <c r="BO1062" s="1"/>
      <c r="BP1062" s="1"/>
      <c r="BQ1062" s="1"/>
      <c r="BR1062" s="1"/>
      <c r="BX1062" s="1"/>
      <c r="CC1062" s="1"/>
      <c r="CD1062" s="1"/>
      <c r="CE1062" s="1"/>
      <c r="CF1062" s="1"/>
      <c r="CG1062" s="1"/>
      <c r="CM1062" s="2"/>
      <c r="CP1062" s="1"/>
      <c r="CQ1062" s="1"/>
      <c r="CR1062" s="1"/>
      <c r="CS1062" s="1"/>
      <c r="CT1062" s="1"/>
      <c r="CU1062" s="1"/>
      <c r="CV1062" s="1"/>
      <c r="CW1062" s="1"/>
      <c r="CX1062" s="1"/>
      <c r="CY1062" s="1"/>
      <c r="CZ1062" s="1"/>
      <c r="DA1062" s="1"/>
      <c r="DB1062" s="1"/>
      <c r="DC1062" s="1"/>
      <c r="DD1062" s="1"/>
      <c r="DE1062" s="1"/>
      <c r="DF1062" s="1"/>
      <c r="DG1062" s="1"/>
      <c r="DH1062" s="1"/>
      <c r="DI1062" s="1"/>
      <c r="DJ1062" s="1"/>
      <c r="DK1062" s="1"/>
      <c r="DM1062" s="1"/>
      <c r="DQ1062" s="1"/>
      <c r="DR1062" s="1"/>
      <c r="DY1062" s="1"/>
      <c r="DZ1062" s="1"/>
      <c r="ED1062" s="1"/>
      <c r="EE1062" s="1"/>
      <c r="EF1062" s="1"/>
      <c r="EG1062" s="1"/>
      <c r="EH1062" s="1"/>
      <c r="EK1062" s="1"/>
      <c r="EL1062" s="1"/>
      <c r="EM1062" s="1"/>
      <c r="EN1062" s="1"/>
      <c r="EQ1062" s="1"/>
      <c r="ER1062" s="1"/>
      <c r="ES1062" s="1"/>
      <c r="EV1062" s="1"/>
      <c r="EW1062" s="1"/>
      <c r="EY1062" s="1"/>
      <c r="EZ1062" s="1"/>
      <c r="FF1062" s="1"/>
      <c r="FJ1062" s="1"/>
      <c r="FX1062" s="1"/>
      <c r="GO1062" s="1"/>
      <c r="GP1062" s="1"/>
      <c r="HF1062" s="1"/>
      <c r="HH1062" s="1"/>
      <c r="HN1062" s="1"/>
      <c r="HT1062" s="1"/>
      <c r="HY1062" s="1"/>
      <c r="ID1062" s="1"/>
      <c r="IE1062" s="1"/>
      <c r="IF1062" s="1"/>
      <c r="IG1062" s="1"/>
      <c r="IJ1062" s="1"/>
      <c r="IR1062" s="1"/>
      <c r="IS1062" s="1"/>
      <c r="IW1062" s="1"/>
      <c r="IX1062" s="1"/>
      <c r="IZ1062" s="1"/>
      <c r="JB1062" s="1"/>
      <c r="JC1062" s="1"/>
      <c r="JF1062" s="1"/>
      <c r="JG1062" s="1"/>
      <c r="JH1062" s="1"/>
      <c r="JJ1062" s="1"/>
      <c r="JK1062" s="1"/>
      <c r="JL1062" s="3"/>
      <c r="JM1062" s="1"/>
      <c r="JP1062" s="1"/>
      <c r="JQ1062" s="1"/>
      <c r="JR1062" s="1"/>
      <c r="JT1062" s="1"/>
      <c r="JW1062" s="1"/>
      <c r="KS1062" s="1"/>
      <c r="KT1062" s="1"/>
      <c r="KY1062" s="1"/>
      <c r="KZ1062" s="1"/>
      <c r="LA1062" s="1"/>
      <c r="LB1062" s="1"/>
      <c r="LC1062" s="1"/>
      <c r="LD1062" s="1"/>
      <c r="LO1062" s="1"/>
      <c r="LP1062" s="1"/>
      <c r="LZ1062" s="1"/>
      <c r="MA1062" s="1"/>
    </row>
    <row r="1063" spans="4:339" ht="13" x14ac:dyDescent="0.15">
      <c r="D1063" s="12"/>
      <c r="E1063" s="12"/>
      <c r="I1063" s="12"/>
      <c r="J1063" s="13"/>
      <c r="BF1063" s="1"/>
      <c r="BG1063" s="1"/>
      <c r="BH1063" s="1"/>
      <c r="BI1063" s="1"/>
      <c r="BK1063" s="1"/>
      <c r="BL1063" s="1"/>
      <c r="BM1063" s="1"/>
      <c r="BN1063" s="1"/>
      <c r="BO1063" s="1"/>
      <c r="BP1063" s="1"/>
      <c r="BQ1063" s="1"/>
      <c r="BR1063" s="1"/>
      <c r="BX1063" s="1"/>
      <c r="CC1063" s="1"/>
      <c r="CD1063" s="1"/>
      <c r="CE1063" s="1"/>
      <c r="CF1063" s="1"/>
      <c r="CG1063" s="1"/>
      <c r="CM1063" s="2"/>
      <c r="CP1063" s="1"/>
      <c r="CQ1063" s="1"/>
      <c r="CR1063" s="1"/>
      <c r="CS1063" s="1"/>
      <c r="CT1063" s="1"/>
      <c r="CU1063" s="1"/>
      <c r="CV1063" s="1"/>
      <c r="CW1063" s="1"/>
      <c r="CX1063" s="1"/>
      <c r="CY1063" s="1"/>
      <c r="CZ1063" s="1"/>
      <c r="DA1063" s="1"/>
      <c r="DB1063" s="1"/>
      <c r="DC1063" s="1"/>
      <c r="DD1063" s="1"/>
      <c r="DE1063" s="1"/>
      <c r="DF1063" s="1"/>
      <c r="DG1063" s="1"/>
      <c r="DH1063" s="1"/>
      <c r="DI1063" s="1"/>
      <c r="DJ1063" s="1"/>
      <c r="DK1063" s="1"/>
      <c r="DM1063" s="1"/>
      <c r="DQ1063" s="1"/>
      <c r="DR1063" s="1"/>
      <c r="DY1063" s="1"/>
      <c r="DZ1063" s="1"/>
      <c r="ED1063" s="1"/>
      <c r="EE1063" s="1"/>
      <c r="EF1063" s="1"/>
      <c r="EG1063" s="1"/>
      <c r="EH1063" s="1"/>
      <c r="EK1063" s="1"/>
      <c r="EL1063" s="1"/>
      <c r="EM1063" s="1"/>
      <c r="EN1063" s="1"/>
      <c r="EQ1063" s="1"/>
      <c r="ER1063" s="1"/>
      <c r="ES1063" s="1"/>
      <c r="EV1063" s="1"/>
      <c r="EW1063" s="1"/>
      <c r="EY1063" s="1"/>
      <c r="EZ1063" s="1"/>
      <c r="FF1063" s="1"/>
      <c r="FJ1063" s="1"/>
      <c r="FX1063" s="1"/>
      <c r="GO1063" s="1"/>
      <c r="GP1063" s="1"/>
      <c r="HF1063" s="1"/>
      <c r="HH1063" s="1"/>
      <c r="HN1063" s="1"/>
      <c r="HT1063" s="1"/>
      <c r="HY1063" s="1"/>
      <c r="ID1063" s="1"/>
      <c r="IE1063" s="1"/>
      <c r="IF1063" s="1"/>
      <c r="IG1063" s="1"/>
      <c r="IJ1063" s="1"/>
      <c r="IR1063" s="1"/>
      <c r="IS1063" s="1"/>
      <c r="IW1063" s="1"/>
      <c r="IX1063" s="1"/>
      <c r="IZ1063" s="1"/>
      <c r="JB1063" s="1"/>
      <c r="JC1063" s="1"/>
      <c r="JF1063" s="1"/>
      <c r="JG1063" s="1"/>
      <c r="JH1063" s="1"/>
      <c r="JJ1063" s="1"/>
      <c r="JK1063" s="1"/>
      <c r="JL1063" s="3"/>
      <c r="JM1063" s="1"/>
      <c r="JP1063" s="1"/>
      <c r="JQ1063" s="1"/>
      <c r="JR1063" s="1"/>
      <c r="JT1063" s="1"/>
      <c r="JW1063" s="1"/>
      <c r="KS1063" s="1"/>
      <c r="KT1063" s="1"/>
      <c r="KY1063" s="1"/>
      <c r="KZ1063" s="1"/>
      <c r="LA1063" s="1"/>
      <c r="LB1063" s="1"/>
      <c r="LC1063" s="1"/>
      <c r="LD1063" s="1"/>
      <c r="LO1063" s="1"/>
      <c r="LP1063" s="1"/>
      <c r="LZ1063" s="1"/>
      <c r="MA1063" s="1"/>
    </row>
    <row r="1064" spans="4:339" ht="13" x14ac:dyDescent="0.15">
      <c r="D1064" s="12"/>
      <c r="E1064" s="12"/>
      <c r="I1064" s="12"/>
      <c r="J1064" s="13"/>
      <c r="BF1064" s="1"/>
      <c r="BG1064" s="1"/>
      <c r="BH1064" s="1"/>
      <c r="BI1064" s="1"/>
      <c r="BK1064" s="1"/>
      <c r="BL1064" s="1"/>
      <c r="BM1064" s="1"/>
      <c r="BN1064" s="1"/>
      <c r="BO1064" s="1"/>
      <c r="BP1064" s="1"/>
      <c r="BQ1064" s="1"/>
      <c r="BR1064" s="1"/>
      <c r="BX1064" s="1"/>
      <c r="CC1064" s="1"/>
      <c r="CD1064" s="1"/>
      <c r="CE1064" s="1"/>
      <c r="CF1064" s="1"/>
      <c r="CG1064" s="1"/>
      <c r="CM1064" s="2"/>
      <c r="CP1064" s="1"/>
      <c r="CQ1064" s="1"/>
      <c r="CR1064" s="1"/>
      <c r="CS1064" s="1"/>
      <c r="CT1064" s="1"/>
      <c r="CU1064" s="1"/>
      <c r="CV1064" s="1"/>
      <c r="CW1064" s="1"/>
      <c r="CX1064" s="1"/>
      <c r="CY1064" s="1"/>
      <c r="CZ1064" s="1"/>
      <c r="DA1064" s="1"/>
      <c r="DB1064" s="1"/>
      <c r="DC1064" s="1"/>
      <c r="DD1064" s="1"/>
      <c r="DE1064" s="1"/>
      <c r="DF1064" s="1"/>
      <c r="DG1064" s="1"/>
      <c r="DH1064" s="1"/>
      <c r="DI1064" s="1"/>
      <c r="DJ1064" s="1"/>
      <c r="DK1064" s="1"/>
      <c r="DM1064" s="1"/>
      <c r="DQ1064" s="1"/>
      <c r="DR1064" s="1"/>
      <c r="DY1064" s="1"/>
      <c r="DZ1064" s="1"/>
      <c r="ED1064" s="1"/>
      <c r="EE1064" s="1"/>
      <c r="EF1064" s="1"/>
      <c r="EG1064" s="1"/>
      <c r="EH1064" s="1"/>
      <c r="EK1064" s="1"/>
      <c r="EL1064" s="1"/>
      <c r="EM1064" s="1"/>
      <c r="EN1064" s="1"/>
      <c r="EQ1064" s="1"/>
      <c r="ER1064" s="1"/>
      <c r="ES1064" s="1"/>
      <c r="EV1064" s="1"/>
      <c r="EW1064" s="1"/>
      <c r="EY1064" s="1"/>
      <c r="EZ1064" s="1"/>
      <c r="FF1064" s="1"/>
      <c r="FJ1064" s="1"/>
      <c r="FX1064" s="1"/>
      <c r="GO1064" s="1"/>
      <c r="GP1064" s="1"/>
      <c r="HF1064" s="1"/>
      <c r="HH1064" s="1"/>
      <c r="HN1064" s="1"/>
      <c r="HT1064" s="1"/>
      <c r="HY1064" s="1"/>
      <c r="ID1064" s="1"/>
      <c r="IE1064" s="1"/>
      <c r="IF1064" s="1"/>
      <c r="IG1064" s="1"/>
      <c r="IJ1064" s="1"/>
      <c r="IR1064" s="1"/>
      <c r="IS1064" s="1"/>
      <c r="IW1064" s="1"/>
      <c r="IX1064" s="1"/>
      <c r="IZ1064" s="1"/>
      <c r="JB1064" s="1"/>
      <c r="JC1064" s="1"/>
      <c r="JF1064" s="1"/>
      <c r="JG1064" s="1"/>
      <c r="JH1064" s="1"/>
      <c r="JJ1064" s="1"/>
      <c r="JK1064" s="1"/>
      <c r="JL1064" s="3"/>
      <c r="JM1064" s="1"/>
      <c r="JP1064" s="1"/>
      <c r="JQ1064" s="1"/>
      <c r="JR1064" s="1"/>
      <c r="JT1064" s="1"/>
      <c r="JW1064" s="1"/>
      <c r="KS1064" s="1"/>
      <c r="KT1064" s="1"/>
      <c r="KY1064" s="1"/>
      <c r="KZ1064" s="1"/>
      <c r="LA1064" s="1"/>
      <c r="LB1064" s="1"/>
      <c r="LC1064" s="1"/>
      <c r="LD1064" s="1"/>
      <c r="LO1064" s="1"/>
      <c r="LP1064" s="1"/>
      <c r="LZ1064" s="1"/>
      <c r="MA1064" s="1"/>
    </row>
    <row r="1065" spans="4:339" ht="13" x14ac:dyDescent="0.15">
      <c r="D1065" s="12"/>
      <c r="E1065" s="12"/>
      <c r="I1065" s="12"/>
      <c r="J1065" s="13"/>
      <c r="BF1065" s="1"/>
      <c r="BG1065" s="1"/>
      <c r="BH1065" s="1"/>
      <c r="BI1065" s="1"/>
      <c r="BJ1065" s="1"/>
      <c r="BK1065" s="1"/>
      <c r="BL1065" s="1"/>
      <c r="BM1065" s="1"/>
      <c r="BN1065" s="1"/>
      <c r="BO1065" s="1"/>
      <c r="BP1065" s="1"/>
      <c r="BQ1065" s="1"/>
      <c r="BR1065" s="1"/>
      <c r="BX1065" s="1"/>
      <c r="CD1065" s="1"/>
      <c r="CE1065" s="1"/>
      <c r="CF1065" s="1"/>
      <c r="CG1065" s="1"/>
      <c r="CM1065" s="2"/>
      <c r="CP1065" s="1"/>
      <c r="CQ1065" s="1"/>
      <c r="CR1065" s="1"/>
      <c r="CS1065" s="1"/>
      <c r="CT1065" s="1"/>
      <c r="CU1065" s="1"/>
      <c r="CV1065" s="1"/>
      <c r="CW1065" s="1"/>
      <c r="CX1065" s="1"/>
      <c r="CY1065" s="1"/>
      <c r="CZ1065" s="1"/>
      <c r="DA1065" s="1"/>
      <c r="DB1065" s="1"/>
      <c r="DC1065" s="1"/>
      <c r="DD1065" s="1"/>
      <c r="DE1065" s="1"/>
      <c r="DF1065" s="1"/>
      <c r="DG1065" s="1"/>
      <c r="DH1065" s="1"/>
      <c r="DI1065" s="1"/>
      <c r="DJ1065" s="1"/>
      <c r="DK1065" s="1"/>
      <c r="DM1065" s="1"/>
      <c r="DQ1065" s="1"/>
      <c r="DR1065" s="1"/>
      <c r="DY1065" s="1"/>
      <c r="DZ1065" s="1"/>
      <c r="ED1065" s="1"/>
      <c r="EK1065" s="1"/>
      <c r="EL1065" s="1"/>
      <c r="EM1065" s="1"/>
      <c r="EN1065" s="1"/>
      <c r="EQ1065" s="1"/>
      <c r="ER1065" s="1"/>
      <c r="ES1065" s="1"/>
      <c r="EV1065" s="1"/>
      <c r="EW1065" s="1"/>
      <c r="EZ1065" s="1"/>
      <c r="GO1065" s="1"/>
      <c r="GP1065" s="1"/>
      <c r="HH1065" s="1"/>
      <c r="HN1065" s="1"/>
      <c r="HQ1065" s="1"/>
      <c r="HT1065" s="1"/>
      <c r="HY1065" s="1"/>
      <c r="IC1065" s="1"/>
      <c r="IE1065" s="1"/>
      <c r="IG1065" s="1"/>
      <c r="IS1065" s="1"/>
      <c r="IW1065" s="1"/>
      <c r="IY1065" s="1"/>
      <c r="IZ1065" s="1"/>
      <c r="JA1065" s="1"/>
      <c r="JH1065" s="1"/>
      <c r="JI1065" s="1"/>
      <c r="JJ1065" s="1"/>
      <c r="JK1065" s="1"/>
      <c r="JL1065" s="3"/>
      <c r="JM1065" s="1"/>
      <c r="JN1065" s="1"/>
      <c r="JP1065" s="1"/>
      <c r="JQ1065" s="1"/>
      <c r="JR1065" s="1"/>
      <c r="KU1065" s="1"/>
      <c r="KV1065" s="1"/>
      <c r="KY1065" s="1"/>
      <c r="KZ1065" s="1"/>
      <c r="LA1065" s="1"/>
      <c r="LB1065" s="1"/>
      <c r="LC1065" s="1"/>
      <c r="LD1065" s="1"/>
      <c r="LN1065" s="1"/>
      <c r="LO1065" s="1"/>
      <c r="LP1065" s="1"/>
      <c r="LZ1065" s="1"/>
      <c r="MA1065" s="1"/>
    </row>
    <row r="1066" spans="4:339" ht="13" x14ac:dyDescent="0.15">
      <c r="D1066" s="12"/>
      <c r="E1066" s="12"/>
      <c r="I1066" s="12"/>
      <c r="J1066" s="13"/>
      <c r="BF1066" s="1"/>
      <c r="BG1066" s="1"/>
      <c r="BH1066" s="1"/>
      <c r="BI1066" s="1"/>
      <c r="BJ1066" s="1"/>
      <c r="BK1066" s="1"/>
      <c r="BL1066" s="1"/>
      <c r="BM1066" s="1"/>
      <c r="BN1066" s="1"/>
      <c r="BO1066" s="1"/>
      <c r="BP1066" s="1"/>
      <c r="BQ1066" s="1"/>
      <c r="BR1066" s="1"/>
      <c r="BX1066" s="1"/>
      <c r="CD1066" s="1"/>
      <c r="CE1066" s="1"/>
      <c r="CF1066" s="1"/>
      <c r="CG1066" s="1"/>
      <c r="CM1066" s="2"/>
      <c r="CP1066" s="1"/>
      <c r="CQ1066" s="1"/>
      <c r="CR1066" s="1"/>
      <c r="CS1066" s="1"/>
      <c r="CT1066" s="1"/>
      <c r="CU1066" s="1"/>
      <c r="CV1066" s="1"/>
      <c r="CW1066" s="1"/>
      <c r="CX1066" s="1"/>
      <c r="CY1066" s="1"/>
      <c r="CZ1066" s="1"/>
      <c r="DA1066" s="1"/>
      <c r="DB1066" s="1"/>
      <c r="DC1066" s="1"/>
      <c r="DD1066" s="1"/>
      <c r="DE1066" s="1"/>
      <c r="DF1066" s="1"/>
      <c r="DG1066" s="1"/>
      <c r="DH1066" s="1"/>
      <c r="DI1066" s="1"/>
      <c r="DJ1066" s="1"/>
      <c r="DK1066" s="1"/>
      <c r="DM1066" s="1"/>
      <c r="DQ1066" s="1"/>
      <c r="DR1066" s="1"/>
      <c r="DY1066" s="1"/>
      <c r="DZ1066" s="1"/>
      <c r="ED1066" s="1"/>
      <c r="EK1066" s="1"/>
      <c r="EL1066" s="1"/>
      <c r="EM1066" s="1"/>
      <c r="EN1066" s="1"/>
      <c r="EQ1066" s="1"/>
      <c r="ER1066" s="1"/>
      <c r="ES1066" s="1"/>
      <c r="EV1066" s="1"/>
      <c r="EW1066" s="1"/>
      <c r="EZ1066" s="1"/>
      <c r="GO1066" s="1"/>
      <c r="GP1066" s="1"/>
      <c r="HH1066" s="1"/>
      <c r="HN1066" s="1"/>
      <c r="HQ1066" s="1"/>
      <c r="HT1066" s="1"/>
      <c r="HY1066" s="1"/>
      <c r="IC1066" s="1"/>
      <c r="IE1066" s="1"/>
      <c r="IG1066" s="1"/>
      <c r="IS1066" s="1"/>
      <c r="IW1066" s="1"/>
      <c r="IY1066" s="1"/>
      <c r="IZ1066" s="1"/>
      <c r="JA1066" s="1"/>
      <c r="JH1066" s="1"/>
      <c r="JI1066" s="1"/>
      <c r="JJ1066" s="1"/>
      <c r="JK1066" s="1"/>
      <c r="JL1066" s="3"/>
      <c r="JM1066" s="1"/>
      <c r="JN1066" s="1"/>
      <c r="JP1066" s="1"/>
      <c r="JQ1066" s="1"/>
      <c r="JR1066" s="1"/>
      <c r="KU1066" s="1"/>
      <c r="KV1066" s="1"/>
      <c r="KY1066" s="1"/>
      <c r="KZ1066" s="1"/>
      <c r="LA1066" s="1"/>
      <c r="LB1066" s="1"/>
      <c r="LC1066" s="1"/>
      <c r="LD1066" s="1"/>
      <c r="LN1066" s="1"/>
      <c r="LO1066" s="1"/>
      <c r="LP1066" s="1"/>
      <c r="LZ1066" s="1"/>
      <c r="MA1066" s="1"/>
    </row>
    <row r="1067" spans="4:339" ht="13" x14ac:dyDescent="0.15">
      <c r="D1067" s="12"/>
      <c r="E1067" s="12"/>
      <c r="I1067" s="12"/>
      <c r="J1067" s="13"/>
      <c r="BF1067" s="1"/>
      <c r="BG1067" s="1"/>
      <c r="BH1067" s="1"/>
      <c r="BI1067" s="1"/>
      <c r="BJ1067" s="1"/>
      <c r="BK1067" s="1"/>
      <c r="BL1067" s="1"/>
      <c r="BM1067" s="1"/>
      <c r="BN1067" s="1"/>
      <c r="BO1067" s="1"/>
      <c r="BP1067" s="1"/>
      <c r="BQ1067" s="1"/>
      <c r="BR1067" s="1"/>
      <c r="BX1067" s="1"/>
      <c r="CD1067" s="1"/>
      <c r="CE1067" s="1"/>
      <c r="CF1067" s="1"/>
      <c r="CG1067" s="1"/>
      <c r="CM1067" s="2"/>
      <c r="CP1067" s="1"/>
      <c r="CQ1067" s="1"/>
      <c r="CR1067" s="1"/>
      <c r="CS1067" s="1"/>
      <c r="CT1067" s="1"/>
      <c r="CU1067" s="1"/>
      <c r="CV1067" s="1"/>
      <c r="CW1067" s="1"/>
      <c r="CX1067" s="1"/>
      <c r="CY1067" s="1"/>
      <c r="CZ1067" s="1"/>
      <c r="DA1067" s="1"/>
      <c r="DB1067" s="1"/>
      <c r="DC1067" s="1"/>
      <c r="DD1067" s="1"/>
      <c r="DE1067" s="1"/>
      <c r="DF1067" s="1"/>
      <c r="DG1067" s="1"/>
      <c r="DH1067" s="1"/>
      <c r="DI1067" s="1"/>
      <c r="DJ1067" s="1"/>
      <c r="DK1067" s="1"/>
      <c r="DM1067" s="1"/>
      <c r="DQ1067" s="1"/>
      <c r="DR1067" s="1"/>
      <c r="DY1067" s="1"/>
      <c r="DZ1067" s="1"/>
      <c r="ED1067" s="1"/>
      <c r="EK1067" s="1"/>
      <c r="EL1067" s="1"/>
      <c r="EM1067" s="1"/>
      <c r="EN1067" s="1"/>
      <c r="EQ1067" s="1"/>
      <c r="ER1067" s="1"/>
      <c r="ES1067" s="1"/>
      <c r="EV1067" s="1"/>
      <c r="EW1067" s="1"/>
      <c r="EZ1067" s="1"/>
      <c r="GO1067" s="1"/>
      <c r="GP1067" s="1"/>
      <c r="HH1067" s="1"/>
      <c r="HN1067" s="1"/>
      <c r="HQ1067" s="1"/>
      <c r="HT1067" s="1"/>
      <c r="HY1067" s="1"/>
      <c r="IC1067" s="1"/>
      <c r="IE1067" s="1"/>
      <c r="IG1067" s="1"/>
      <c r="IS1067" s="1"/>
      <c r="IW1067" s="1"/>
      <c r="IY1067" s="1"/>
      <c r="IZ1067" s="1"/>
      <c r="JA1067" s="1"/>
      <c r="JH1067" s="1"/>
      <c r="JI1067" s="1"/>
      <c r="JJ1067" s="1"/>
      <c r="JK1067" s="1"/>
      <c r="JL1067" s="3"/>
      <c r="JM1067" s="1"/>
      <c r="JN1067" s="1"/>
      <c r="JP1067" s="1"/>
      <c r="JQ1067" s="1"/>
      <c r="JR1067" s="1"/>
      <c r="KU1067" s="1"/>
      <c r="KV1067" s="1"/>
      <c r="KY1067" s="1"/>
      <c r="KZ1067" s="1"/>
      <c r="LA1067" s="1"/>
      <c r="LB1067" s="1"/>
      <c r="LC1067" s="1"/>
      <c r="LD1067" s="1"/>
      <c r="LN1067" s="1"/>
      <c r="LO1067" s="1"/>
      <c r="LP1067" s="1"/>
      <c r="LZ1067" s="1"/>
      <c r="MA1067" s="1"/>
    </row>
    <row r="1068" spans="4:339" ht="13" x14ac:dyDescent="0.15">
      <c r="D1068" s="12"/>
      <c r="E1068" s="12"/>
      <c r="I1068" s="12"/>
      <c r="J1068" s="13"/>
      <c r="BF1068" s="1"/>
      <c r="BG1068" s="1"/>
      <c r="BH1068" s="1"/>
      <c r="BI1068" s="1"/>
      <c r="BJ1068" s="1"/>
      <c r="BK1068" s="1"/>
      <c r="BL1068" s="1"/>
      <c r="BM1068" s="1"/>
      <c r="BN1068" s="1"/>
      <c r="BO1068" s="1"/>
      <c r="BP1068" s="1"/>
      <c r="BQ1068" s="1"/>
      <c r="BR1068" s="1"/>
      <c r="BX1068" s="1"/>
      <c r="CD1068" s="1"/>
      <c r="CE1068" s="1"/>
      <c r="CF1068" s="1"/>
      <c r="CG1068" s="1"/>
      <c r="CM1068" s="2"/>
      <c r="CP1068" s="1"/>
      <c r="CQ1068" s="1"/>
      <c r="CR1068" s="1"/>
      <c r="CS1068" s="1"/>
      <c r="CT1068" s="1"/>
      <c r="CU1068" s="1"/>
      <c r="CV1068" s="1"/>
      <c r="CW1068" s="1"/>
      <c r="CX1068" s="1"/>
      <c r="CY1068" s="1"/>
      <c r="CZ1068" s="1"/>
      <c r="DA1068" s="1"/>
      <c r="DB1068" s="1"/>
      <c r="DC1068" s="1"/>
      <c r="DD1068" s="1"/>
      <c r="DE1068" s="1"/>
      <c r="DF1068" s="1"/>
      <c r="DG1068" s="1"/>
      <c r="DH1068" s="1"/>
      <c r="DI1068" s="1"/>
      <c r="DJ1068" s="1"/>
      <c r="DK1068" s="1"/>
      <c r="DM1068" s="1"/>
      <c r="DQ1068" s="1"/>
      <c r="DR1068" s="1"/>
      <c r="DY1068" s="1"/>
      <c r="DZ1068" s="1"/>
      <c r="ED1068" s="1"/>
      <c r="EK1068" s="1"/>
      <c r="EL1068" s="1"/>
      <c r="EM1068" s="1"/>
      <c r="EN1068" s="1"/>
      <c r="EQ1068" s="1"/>
      <c r="ER1068" s="1"/>
      <c r="ES1068" s="1"/>
      <c r="EV1068" s="1"/>
      <c r="EW1068" s="1"/>
      <c r="EZ1068" s="1"/>
      <c r="GO1068" s="1"/>
      <c r="GP1068" s="1"/>
      <c r="HH1068" s="1"/>
      <c r="HN1068" s="1"/>
      <c r="HQ1068" s="1"/>
      <c r="HT1068" s="1"/>
      <c r="HY1068" s="1"/>
      <c r="IC1068" s="1"/>
      <c r="IE1068" s="1"/>
      <c r="IG1068" s="1"/>
      <c r="IS1068" s="1"/>
      <c r="IW1068" s="1"/>
      <c r="IY1068" s="1"/>
      <c r="IZ1068" s="1"/>
      <c r="JA1068" s="1"/>
      <c r="JH1068" s="1"/>
      <c r="JI1068" s="1"/>
      <c r="JJ1068" s="1"/>
      <c r="JK1068" s="1"/>
      <c r="JL1068" s="3"/>
      <c r="JM1068" s="1"/>
      <c r="JN1068" s="1"/>
      <c r="JP1068" s="1"/>
      <c r="JQ1068" s="1"/>
      <c r="JR1068" s="1"/>
      <c r="KU1068" s="1"/>
      <c r="KV1068" s="1"/>
      <c r="KY1068" s="1"/>
      <c r="KZ1068" s="1"/>
      <c r="LA1068" s="1"/>
      <c r="LB1068" s="1"/>
      <c r="LC1068" s="1"/>
      <c r="LD1068" s="1"/>
      <c r="LN1068" s="1"/>
      <c r="LO1068" s="1"/>
      <c r="LP1068" s="1"/>
      <c r="LZ1068" s="1"/>
      <c r="MA1068" s="1"/>
    </row>
    <row r="1069" spans="4:339" ht="13" x14ac:dyDescent="0.15">
      <c r="D1069" s="12"/>
      <c r="E1069" s="12"/>
      <c r="I1069" s="12"/>
      <c r="J1069" s="13"/>
      <c r="BF1069" s="1"/>
      <c r="BG1069" s="1"/>
      <c r="BH1069" s="1"/>
      <c r="BI1069" s="1"/>
      <c r="BJ1069" s="1"/>
      <c r="BK1069" s="1"/>
      <c r="BL1069" s="1"/>
      <c r="BM1069" s="1"/>
      <c r="BN1069" s="1"/>
      <c r="BO1069" s="1"/>
      <c r="BP1069" s="1"/>
      <c r="BQ1069" s="1"/>
      <c r="BR1069" s="1"/>
      <c r="BX1069" s="1"/>
      <c r="CD1069" s="1"/>
      <c r="CE1069" s="1"/>
      <c r="CF1069" s="1"/>
      <c r="CG1069" s="1"/>
      <c r="CM1069" s="2"/>
      <c r="CP1069" s="1"/>
      <c r="CQ1069" s="1"/>
      <c r="CR1069" s="1"/>
      <c r="CS1069" s="1"/>
      <c r="CT1069" s="1"/>
      <c r="CU1069" s="1"/>
      <c r="CV1069" s="1"/>
      <c r="CW1069" s="1"/>
      <c r="CX1069" s="1"/>
      <c r="CY1069" s="1"/>
      <c r="CZ1069" s="1"/>
      <c r="DA1069" s="1"/>
      <c r="DB1069" s="1"/>
      <c r="DC1069" s="1"/>
      <c r="DD1069" s="1"/>
      <c r="DE1069" s="1"/>
      <c r="DF1069" s="1"/>
      <c r="DG1069" s="1"/>
      <c r="DH1069" s="1"/>
      <c r="DI1069" s="1"/>
      <c r="DJ1069" s="1"/>
      <c r="DK1069" s="1"/>
      <c r="DM1069" s="1"/>
      <c r="DQ1069" s="1"/>
      <c r="DR1069" s="1"/>
      <c r="DY1069" s="1"/>
      <c r="DZ1069" s="1"/>
      <c r="ED1069" s="1"/>
      <c r="EK1069" s="1"/>
      <c r="EL1069" s="1"/>
      <c r="EM1069" s="1"/>
      <c r="EN1069" s="1"/>
      <c r="EQ1069" s="1"/>
      <c r="ER1069" s="1"/>
      <c r="ES1069" s="1"/>
      <c r="EV1069" s="1"/>
      <c r="EW1069" s="1"/>
      <c r="EZ1069" s="1"/>
      <c r="GO1069" s="1"/>
      <c r="GP1069" s="1"/>
      <c r="HH1069" s="1"/>
      <c r="HN1069" s="1"/>
      <c r="HQ1069" s="1"/>
      <c r="HT1069" s="1"/>
      <c r="HY1069" s="1"/>
      <c r="IC1069" s="1"/>
      <c r="IE1069" s="1"/>
      <c r="IG1069" s="1"/>
      <c r="IS1069" s="1"/>
      <c r="IW1069" s="1"/>
      <c r="IY1069" s="1"/>
      <c r="IZ1069" s="1"/>
      <c r="JA1069" s="1"/>
      <c r="JH1069" s="1"/>
      <c r="JI1069" s="1"/>
      <c r="JJ1069" s="1"/>
      <c r="JK1069" s="1"/>
      <c r="JL1069" s="3"/>
      <c r="JM1069" s="1"/>
      <c r="JN1069" s="1"/>
      <c r="JP1069" s="1"/>
      <c r="JQ1069" s="1"/>
      <c r="JR1069" s="1"/>
      <c r="KU1069" s="1"/>
      <c r="KV1069" s="1"/>
      <c r="KY1069" s="1"/>
      <c r="KZ1069" s="1"/>
      <c r="LA1069" s="1"/>
      <c r="LB1069" s="1"/>
      <c r="LC1069" s="1"/>
      <c r="LD1069" s="1"/>
      <c r="LN1069" s="1"/>
      <c r="LO1069" s="1"/>
      <c r="LP1069" s="1"/>
      <c r="LZ1069" s="1"/>
      <c r="MA1069" s="1"/>
    </row>
    <row r="1070" spans="4:339" ht="13" x14ac:dyDescent="0.15">
      <c r="D1070" s="12"/>
      <c r="E1070" s="12"/>
      <c r="I1070" s="12"/>
      <c r="J1070" s="13"/>
      <c r="BF1070" s="1"/>
      <c r="BG1070" s="1"/>
      <c r="BH1070" s="1"/>
      <c r="BI1070" s="1"/>
      <c r="BJ1070" s="1"/>
      <c r="BK1070" s="1"/>
      <c r="BL1070" s="1"/>
      <c r="BM1070" s="1"/>
      <c r="BN1070" s="1"/>
      <c r="BO1070" s="1"/>
      <c r="BP1070" s="1"/>
      <c r="BQ1070" s="1"/>
      <c r="BR1070" s="1"/>
      <c r="BX1070" s="1"/>
      <c r="CD1070" s="1"/>
      <c r="CE1070" s="1"/>
      <c r="CF1070" s="1"/>
      <c r="CG1070" s="1"/>
      <c r="CM1070" s="2"/>
      <c r="CP1070" s="1"/>
      <c r="CQ1070" s="1"/>
      <c r="CR1070" s="1"/>
      <c r="CS1070" s="1"/>
      <c r="CT1070" s="1"/>
      <c r="CU1070" s="1"/>
      <c r="CV1070" s="1"/>
      <c r="CW1070" s="1"/>
      <c r="CX1070" s="1"/>
      <c r="CY1070" s="1"/>
      <c r="CZ1070" s="1"/>
      <c r="DA1070" s="1"/>
      <c r="DB1070" s="1"/>
      <c r="DC1070" s="1"/>
      <c r="DD1070" s="1"/>
      <c r="DE1070" s="1"/>
      <c r="DF1070" s="1"/>
      <c r="DG1070" s="1"/>
      <c r="DH1070" s="1"/>
      <c r="DI1070" s="1"/>
      <c r="DJ1070" s="1"/>
      <c r="DK1070" s="1"/>
      <c r="DM1070" s="1"/>
      <c r="DQ1070" s="1"/>
      <c r="DR1070" s="1"/>
      <c r="DY1070" s="1"/>
      <c r="DZ1070" s="1"/>
      <c r="ED1070" s="1"/>
      <c r="EK1070" s="1"/>
      <c r="EL1070" s="1"/>
      <c r="EM1070" s="1"/>
      <c r="EN1070" s="1"/>
      <c r="EQ1070" s="1"/>
      <c r="ER1070" s="1"/>
      <c r="ES1070" s="1"/>
      <c r="EV1070" s="1"/>
      <c r="EW1070" s="1"/>
      <c r="EZ1070" s="1"/>
      <c r="GO1070" s="1"/>
      <c r="GP1070" s="1"/>
      <c r="HH1070" s="1"/>
      <c r="HN1070" s="1"/>
      <c r="HQ1070" s="1"/>
      <c r="HT1070" s="1"/>
      <c r="HY1070" s="1"/>
      <c r="IC1070" s="1"/>
      <c r="IE1070" s="1"/>
      <c r="IG1070" s="1"/>
      <c r="IS1070" s="1"/>
      <c r="IW1070" s="1"/>
      <c r="IY1070" s="1"/>
      <c r="IZ1070" s="1"/>
      <c r="JA1070" s="1"/>
      <c r="JH1070" s="1"/>
      <c r="JI1070" s="1"/>
      <c r="JJ1070" s="1"/>
      <c r="JK1070" s="1"/>
      <c r="JL1070" s="3"/>
      <c r="JM1070" s="1"/>
      <c r="JN1070" s="1"/>
      <c r="JP1070" s="1"/>
      <c r="JQ1070" s="1"/>
      <c r="JR1070" s="1"/>
      <c r="KU1070" s="1"/>
      <c r="KV1070" s="1"/>
      <c r="KY1070" s="1"/>
      <c r="KZ1070" s="1"/>
      <c r="LA1070" s="1"/>
      <c r="LB1070" s="1"/>
      <c r="LC1070" s="1"/>
      <c r="LD1070" s="1"/>
      <c r="LN1070" s="1"/>
      <c r="LO1070" s="1"/>
      <c r="LP1070" s="1"/>
      <c r="LZ1070" s="1"/>
      <c r="MA1070" s="1"/>
    </row>
    <row r="1071" spans="4:339" ht="13" x14ac:dyDescent="0.15">
      <c r="D1071" s="12"/>
      <c r="E1071" s="12"/>
      <c r="I1071" s="12"/>
      <c r="J1071" s="13"/>
      <c r="BF1071" s="1"/>
      <c r="BG1071" s="1"/>
      <c r="BH1071" s="1"/>
      <c r="BI1071" s="1"/>
      <c r="BJ1071" s="1"/>
      <c r="BK1071" s="1"/>
      <c r="BL1071" s="1"/>
      <c r="BM1071" s="1"/>
      <c r="BN1071" s="1"/>
      <c r="BO1071" s="1"/>
      <c r="BP1071" s="1"/>
      <c r="BQ1071" s="1"/>
      <c r="BR1071" s="1"/>
      <c r="BX1071" s="1"/>
      <c r="CD1071" s="1"/>
      <c r="CE1071" s="1"/>
      <c r="CF1071" s="1"/>
      <c r="CG1071" s="1"/>
      <c r="CM1071" s="2"/>
      <c r="CP1071" s="1"/>
      <c r="CQ1071" s="1"/>
      <c r="CR1071" s="1"/>
      <c r="CS1071" s="1"/>
      <c r="CT1071" s="1"/>
      <c r="CU1071" s="1"/>
      <c r="CV1071" s="1"/>
      <c r="CW1071" s="1"/>
      <c r="CX1071" s="1"/>
      <c r="CY1071" s="1"/>
      <c r="CZ1071" s="1"/>
      <c r="DA1071" s="1"/>
      <c r="DB1071" s="1"/>
      <c r="DC1071" s="1"/>
      <c r="DD1071" s="1"/>
      <c r="DE1071" s="1"/>
      <c r="DF1071" s="1"/>
      <c r="DG1071" s="1"/>
      <c r="DH1071" s="1"/>
      <c r="DI1071" s="1"/>
      <c r="DJ1071" s="1"/>
      <c r="DK1071" s="1"/>
      <c r="DM1071" s="1"/>
      <c r="DQ1071" s="1"/>
      <c r="DR1071" s="1"/>
      <c r="DY1071" s="1"/>
      <c r="DZ1071" s="1"/>
      <c r="ED1071" s="1"/>
      <c r="EK1071" s="1"/>
      <c r="EL1071" s="1"/>
      <c r="EM1071" s="1"/>
      <c r="EN1071" s="1"/>
      <c r="EQ1071" s="1"/>
      <c r="ER1071" s="1"/>
      <c r="ES1071" s="1"/>
      <c r="EV1071" s="1"/>
      <c r="EW1071" s="1"/>
      <c r="EZ1071" s="1"/>
      <c r="GO1071" s="1"/>
      <c r="GP1071" s="1"/>
      <c r="HH1071" s="1"/>
      <c r="HN1071" s="1"/>
      <c r="HQ1071" s="1"/>
      <c r="HT1071" s="1"/>
      <c r="HY1071" s="1"/>
      <c r="IC1071" s="1"/>
      <c r="IE1071" s="1"/>
      <c r="IG1071" s="1"/>
      <c r="IS1071" s="1"/>
      <c r="IW1071" s="1"/>
      <c r="IY1071" s="1"/>
      <c r="IZ1071" s="1"/>
      <c r="JA1071" s="1"/>
      <c r="JH1071" s="1"/>
      <c r="JI1071" s="1"/>
      <c r="JJ1071" s="1"/>
      <c r="JK1071" s="1"/>
      <c r="JL1071" s="3"/>
      <c r="JM1071" s="1"/>
      <c r="JN1071" s="1"/>
      <c r="JP1071" s="1"/>
      <c r="JQ1071" s="1"/>
      <c r="JR1071" s="1"/>
      <c r="KU1071" s="1"/>
      <c r="KV1071" s="1"/>
      <c r="KY1071" s="1"/>
      <c r="KZ1071" s="1"/>
      <c r="LA1071" s="1"/>
      <c r="LB1071" s="1"/>
      <c r="LC1071" s="1"/>
      <c r="LD1071" s="1"/>
      <c r="LN1071" s="1"/>
      <c r="LO1071" s="1"/>
      <c r="LP1071" s="1"/>
      <c r="LZ1071" s="1"/>
      <c r="MA1071" s="1"/>
    </row>
    <row r="1072" spans="4:339" ht="13" x14ac:dyDescent="0.15">
      <c r="D1072" s="12"/>
      <c r="E1072" s="12"/>
      <c r="I1072" s="12"/>
      <c r="J1072" s="13"/>
      <c r="BF1072" s="1"/>
      <c r="BG1072" s="1"/>
      <c r="BH1072" s="1"/>
      <c r="BI1072" s="1"/>
      <c r="BJ1072" s="1"/>
      <c r="BK1072" s="1"/>
      <c r="BL1072" s="1"/>
      <c r="BM1072" s="1"/>
      <c r="BN1072" s="1"/>
      <c r="BO1072" s="1"/>
      <c r="BP1072" s="1"/>
      <c r="BQ1072" s="1"/>
      <c r="BR1072" s="1"/>
      <c r="BX1072" s="1"/>
      <c r="CD1072" s="1"/>
      <c r="CE1072" s="1"/>
      <c r="CF1072" s="1"/>
      <c r="CG1072" s="1"/>
      <c r="CM1072" s="2"/>
      <c r="CP1072" s="1"/>
      <c r="CQ1072" s="1"/>
      <c r="CR1072" s="1"/>
      <c r="CS1072" s="1"/>
      <c r="CT1072" s="1"/>
      <c r="CU1072" s="1"/>
      <c r="CV1072" s="1"/>
      <c r="CW1072" s="1"/>
      <c r="CX1072" s="1"/>
      <c r="CY1072" s="1"/>
      <c r="CZ1072" s="1"/>
      <c r="DA1072" s="1"/>
      <c r="DB1072" s="1"/>
      <c r="DC1072" s="1"/>
      <c r="DD1072" s="1"/>
      <c r="DE1072" s="1"/>
      <c r="DF1072" s="1"/>
      <c r="DG1072" s="1"/>
      <c r="DH1072" s="1"/>
      <c r="DI1072" s="1"/>
      <c r="DJ1072" s="1"/>
      <c r="DK1072" s="1"/>
      <c r="DM1072" s="1"/>
      <c r="DQ1072" s="1"/>
      <c r="DR1072" s="1"/>
      <c r="DY1072" s="1"/>
      <c r="DZ1072" s="1"/>
      <c r="ED1072" s="1"/>
      <c r="EK1072" s="1"/>
      <c r="EL1072" s="1"/>
      <c r="EM1072" s="1"/>
      <c r="EN1072" s="1"/>
      <c r="EQ1072" s="1"/>
      <c r="ER1072" s="1"/>
      <c r="ES1072" s="1"/>
      <c r="EV1072" s="1"/>
      <c r="EW1072" s="1"/>
      <c r="EZ1072" s="1"/>
      <c r="GO1072" s="1"/>
      <c r="GP1072" s="1"/>
      <c r="HH1072" s="1"/>
      <c r="HN1072" s="1"/>
      <c r="HQ1072" s="1"/>
      <c r="HT1072" s="1"/>
      <c r="HY1072" s="1"/>
      <c r="IC1072" s="1"/>
      <c r="IE1072" s="1"/>
      <c r="IG1072" s="1"/>
      <c r="IS1072" s="1"/>
      <c r="IW1072" s="1"/>
      <c r="IY1072" s="1"/>
      <c r="IZ1072" s="1"/>
      <c r="JA1072" s="1"/>
      <c r="JH1072" s="1"/>
      <c r="JI1072" s="1"/>
      <c r="JJ1072" s="1"/>
      <c r="JK1072" s="1"/>
      <c r="JL1072" s="3"/>
      <c r="JM1072" s="1"/>
      <c r="JN1072" s="1"/>
      <c r="JP1072" s="1"/>
      <c r="JQ1072" s="1"/>
      <c r="JR1072" s="1"/>
      <c r="KU1072" s="1"/>
      <c r="KV1072" s="1"/>
      <c r="KY1072" s="1"/>
      <c r="KZ1072" s="1"/>
      <c r="LA1072" s="1"/>
      <c r="LB1072" s="1"/>
      <c r="LC1072" s="1"/>
      <c r="LD1072" s="1"/>
      <c r="LN1072" s="1"/>
      <c r="LO1072" s="1"/>
      <c r="LP1072" s="1"/>
      <c r="LZ1072" s="1"/>
      <c r="MA1072" s="1"/>
    </row>
    <row r="1073" spans="4:339" ht="13" x14ac:dyDescent="0.15">
      <c r="D1073" s="12"/>
      <c r="E1073" s="12"/>
      <c r="I1073" s="12"/>
      <c r="J1073" s="13"/>
      <c r="BF1073" s="1"/>
      <c r="BG1073" s="1"/>
      <c r="BH1073" s="1"/>
      <c r="BI1073" s="1"/>
      <c r="BJ1073" s="1"/>
      <c r="BK1073" s="1"/>
      <c r="BL1073" s="1"/>
      <c r="BM1073" s="1"/>
      <c r="BN1073" s="1"/>
      <c r="BO1073" s="1"/>
      <c r="BP1073" s="1"/>
      <c r="BQ1073" s="1"/>
      <c r="BR1073" s="1"/>
      <c r="BX1073" s="1"/>
      <c r="CD1073" s="1"/>
      <c r="CE1073" s="1"/>
      <c r="CF1073" s="1"/>
      <c r="CG1073" s="1"/>
      <c r="CM1073" s="2"/>
      <c r="CP1073" s="1"/>
      <c r="CQ1073" s="1"/>
      <c r="CR1073" s="1"/>
      <c r="CS1073" s="1"/>
      <c r="CT1073" s="1"/>
      <c r="CU1073" s="1"/>
      <c r="CV1073" s="1"/>
      <c r="CW1073" s="1"/>
      <c r="CX1073" s="1"/>
      <c r="CY1073" s="1"/>
      <c r="CZ1073" s="1"/>
      <c r="DA1073" s="1"/>
      <c r="DB1073" s="1"/>
      <c r="DC1073" s="1"/>
      <c r="DD1073" s="1"/>
      <c r="DE1073" s="1"/>
      <c r="DF1073" s="1"/>
      <c r="DG1073" s="1"/>
      <c r="DH1073" s="1"/>
      <c r="DI1073" s="1"/>
      <c r="DJ1073" s="1"/>
      <c r="DK1073" s="1"/>
      <c r="DM1073" s="1"/>
      <c r="DQ1073" s="1"/>
      <c r="DR1073" s="1"/>
      <c r="DY1073" s="1"/>
      <c r="DZ1073" s="1"/>
      <c r="ED1073" s="1"/>
      <c r="EK1073" s="1"/>
      <c r="EL1073" s="1"/>
      <c r="EM1073" s="1"/>
      <c r="EN1073" s="1"/>
      <c r="EQ1073" s="1"/>
      <c r="ER1073" s="1"/>
      <c r="ES1073" s="1"/>
      <c r="EV1073" s="1"/>
      <c r="EW1073" s="1"/>
      <c r="EZ1073" s="1"/>
      <c r="GO1073" s="1"/>
      <c r="GP1073" s="1"/>
      <c r="HH1073" s="1"/>
      <c r="HN1073" s="1"/>
      <c r="HQ1073" s="1"/>
      <c r="HT1073" s="1"/>
      <c r="HY1073" s="1"/>
      <c r="IC1073" s="1"/>
      <c r="IE1073" s="1"/>
      <c r="IG1073" s="1"/>
      <c r="IS1073" s="1"/>
      <c r="IW1073" s="1"/>
      <c r="IY1073" s="1"/>
      <c r="IZ1073" s="1"/>
      <c r="JA1073" s="1"/>
      <c r="JH1073" s="1"/>
      <c r="JI1073" s="1"/>
      <c r="JJ1073" s="1"/>
      <c r="JK1073" s="1"/>
      <c r="JL1073" s="3"/>
      <c r="JM1073" s="1"/>
      <c r="JN1073" s="1"/>
      <c r="JP1073" s="1"/>
      <c r="JQ1073" s="1"/>
      <c r="JR1073" s="1"/>
      <c r="KU1073" s="1"/>
      <c r="KV1073" s="1"/>
      <c r="KY1073" s="1"/>
      <c r="KZ1073" s="1"/>
      <c r="LA1073" s="1"/>
      <c r="LB1073" s="1"/>
      <c r="LC1073" s="1"/>
      <c r="LD1073" s="1"/>
      <c r="LN1073" s="1"/>
      <c r="LO1073" s="1"/>
      <c r="LP1073" s="1"/>
      <c r="LZ1073" s="1"/>
      <c r="MA1073" s="1"/>
    </row>
    <row r="1074" spans="4:339" ht="13" x14ac:dyDescent="0.15">
      <c r="D1074" s="12"/>
      <c r="E1074" s="12"/>
      <c r="I1074" s="12"/>
      <c r="J1074" s="13"/>
      <c r="BF1074" s="1"/>
      <c r="BG1074" s="1"/>
      <c r="BH1074" s="1"/>
      <c r="BI1074" s="1"/>
      <c r="BK1074" s="1"/>
      <c r="BL1074" s="1"/>
      <c r="BM1074" s="1"/>
      <c r="BN1074" s="1"/>
      <c r="BO1074" s="1"/>
      <c r="BP1074" s="1"/>
      <c r="BQ1074" s="1"/>
      <c r="BR1074" s="1"/>
      <c r="CD1074" s="1"/>
      <c r="CE1074" s="1"/>
      <c r="CF1074" s="1"/>
      <c r="CG1074" s="1"/>
      <c r="CM1074" s="2"/>
      <c r="CP1074" s="1"/>
      <c r="CQ1074" s="1"/>
      <c r="CR1074" s="1"/>
      <c r="CS1074" s="1"/>
      <c r="CT1074" s="1"/>
      <c r="CU1074" s="1"/>
      <c r="CV1074" s="1"/>
      <c r="CW1074" s="1"/>
      <c r="CX1074" s="1"/>
      <c r="CY1074" s="1"/>
      <c r="CZ1074" s="1"/>
      <c r="DA1074" s="1"/>
      <c r="DB1074" s="1"/>
      <c r="DC1074" s="1"/>
      <c r="DD1074" s="1"/>
      <c r="DE1074" s="1"/>
      <c r="DF1074" s="1"/>
      <c r="DG1074" s="1"/>
      <c r="DH1074" s="1"/>
      <c r="DI1074" s="1"/>
      <c r="DJ1074" s="1"/>
      <c r="DK1074" s="1"/>
      <c r="ED1074" s="1"/>
      <c r="EK1074" s="1"/>
      <c r="EL1074" s="1"/>
      <c r="EM1074" s="1"/>
      <c r="EN1074" s="1"/>
      <c r="EQ1074" s="1"/>
      <c r="ER1074" s="1"/>
      <c r="ES1074" s="1"/>
      <c r="EV1074" s="1"/>
      <c r="EW1074" s="1"/>
      <c r="EZ1074" s="1"/>
      <c r="GP1074" s="1"/>
      <c r="HF1074" s="1"/>
      <c r="HY1074" s="1"/>
      <c r="ID1074" s="1"/>
      <c r="IE1074" s="1"/>
      <c r="IR1074" s="1"/>
      <c r="IS1074" s="1"/>
      <c r="IZ1074" s="1"/>
      <c r="JF1074" s="1"/>
      <c r="JH1074" s="1"/>
      <c r="JJ1074" s="1"/>
      <c r="JN1074" s="1"/>
      <c r="JP1074" s="1"/>
      <c r="JQ1074" s="1"/>
      <c r="KU1074" s="1"/>
      <c r="KY1074" s="1"/>
      <c r="KZ1074" s="1"/>
      <c r="LA1074" s="1"/>
      <c r="LB1074" s="1"/>
      <c r="LC1074" s="1"/>
      <c r="LD1074" s="1"/>
      <c r="LO1074" s="1"/>
      <c r="LP1074" s="1"/>
      <c r="LZ1074" s="1"/>
      <c r="MA1074" s="1"/>
    </row>
    <row r="1075" spans="4:339" ht="13" x14ac:dyDescent="0.15">
      <c r="D1075" s="12"/>
      <c r="E1075" s="12"/>
      <c r="I1075" s="12"/>
      <c r="J1075" s="13"/>
      <c r="BF1075" s="1"/>
      <c r="BG1075" s="1"/>
      <c r="BH1075" s="1"/>
      <c r="BI1075" s="1"/>
      <c r="BK1075" s="1"/>
      <c r="BL1075" s="1"/>
      <c r="BM1075" s="1"/>
      <c r="BN1075" s="1"/>
      <c r="BO1075" s="1"/>
      <c r="BP1075" s="1"/>
      <c r="BQ1075" s="1"/>
      <c r="BR1075" s="1"/>
      <c r="CD1075" s="1"/>
      <c r="CE1075" s="1"/>
      <c r="CF1075" s="1"/>
      <c r="CG1075" s="1"/>
      <c r="CM1075" s="2"/>
      <c r="CP1075" s="1"/>
      <c r="CQ1075" s="1"/>
      <c r="CR1075" s="1"/>
      <c r="CS1075" s="1"/>
      <c r="CT1075" s="1"/>
      <c r="CU1075" s="1"/>
      <c r="CV1075" s="1"/>
      <c r="CW1075" s="1"/>
      <c r="CX1075" s="1"/>
      <c r="CY1075" s="1"/>
      <c r="CZ1075" s="1"/>
      <c r="DA1075" s="1"/>
      <c r="DB1075" s="1"/>
      <c r="DC1075" s="1"/>
      <c r="DD1075" s="1"/>
      <c r="DE1075" s="1"/>
      <c r="DF1075" s="1"/>
      <c r="DG1075" s="1"/>
      <c r="DH1075" s="1"/>
      <c r="DI1075" s="1"/>
      <c r="DJ1075" s="1"/>
      <c r="DK1075" s="1"/>
      <c r="ED1075" s="1"/>
      <c r="EK1075" s="1"/>
      <c r="EL1075" s="1"/>
      <c r="EM1075" s="1"/>
      <c r="EN1075" s="1"/>
      <c r="EQ1075" s="1"/>
      <c r="ER1075" s="1"/>
      <c r="ES1075" s="1"/>
      <c r="EV1075" s="1"/>
      <c r="EW1075" s="1"/>
      <c r="EZ1075" s="1"/>
      <c r="GP1075" s="1"/>
      <c r="HF1075" s="1"/>
      <c r="HY1075" s="1"/>
      <c r="ID1075" s="1"/>
      <c r="IE1075" s="1"/>
      <c r="IR1075" s="1"/>
      <c r="IS1075" s="1"/>
      <c r="IZ1075" s="1"/>
      <c r="JF1075" s="1"/>
      <c r="JH1075" s="1"/>
      <c r="JJ1075" s="1"/>
      <c r="JN1075" s="1"/>
      <c r="JP1075" s="1"/>
      <c r="JQ1075" s="1"/>
      <c r="KU1075" s="1"/>
      <c r="KY1075" s="1"/>
      <c r="KZ1075" s="1"/>
      <c r="LA1075" s="1"/>
      <c r="LB1075" s="1"/>
      <c r="LC1075" s="1"/>
      <c r="LD1075" s="1"/>
      <c r="LO1075" s="1"/>
      <c r="LP1075" s="1"/>
      <c r="LZ1075" s="1"/>
      <c r="MA1075" s="1"/>
    </row>
    <row r="1076" spans="4:339" ht="13" x14ac:dyDescent="0.15">
      <c r="D1076" s="12"/>
      <c r="E1076" s="12"/>
      <c r="I1076" s="12"/>
      <c r="J1076" s="13"/>
      <c r="BF1076" s="1"/>
      <c r="BG1076" s="1"/>
      <c r="BH1076" s="1"/>
      <c r="BI1076" s="1"/>
      <c r="BK1076" s="1"/>
      <c r="BL1076" s="1"/>
      <c r="BM1076" s="1"/>
      <c r="BN1076" s="1"/>
      <c r="BO1076" s="1"/>
      <c r="BP1076" s="1"/>
      <c r="BQ1076" s="1"/>
      <c r="BR1076" s="1"/>
      <c r="CD1076" s="1"/>
      <c r="CE1076" s="1"/>
      <c r="CF1076" s="1"/>
      <c r="CG1076" s="1"/>
      <c r="CM1076" s="2"/>
      <c r="CP1076" s="1"/>
      <c r="CQ1076" s="1"/>
      <c r="CR1076" s="1"/>
      <c r="CS1076" s="1"/>
      <c r="CT1076" s="1"/>
      <c r="CU1076" s="1"/>
      <c r="CV1076" s="1"/>
      <c r="CW1076" s="1"/>
      <c r="CX1076" s="1"/>
      <c r="CY1076" s="1"/>
      <c r="CZ1076" s="1"/>
      <c r="DA1076" s="1"/>
      <c r="DB1076" s="1"/>
      <c r="DC1076" s="1"/>
      <c r="DD1076" s="1"/>
      <c r="DE1076" s="1"/>
      <c r="DF1076" s="1"/>
      <c r="DG1076" s="1"/>
      <c r="DH1076" s="1"/>
      <c r="DI1076" s="1"/>
      <c r="DJ1076" s="1"/>
      <c r="DK1076" s="1"/>
      <c r="ED1076" s="1"/>
      <c r="EK1076" s="1"/>
      <c r="EL1076" s="1"/>
      <c r="EM1076" s="1"/>
      <c r="EN1076" s="1"/>
      <c r="EQ1076" s="1"/>
      <c r="ER1076" s="1"/>
      <c r="ES1076" s="1"/>
      <c r="EV1076" s="1"/>
      <c r="EW1076" s="1"/>
      <c r="EZ1076" s="1"/>
      <c r="GP1076" s="1"/>
      <c r="HF1076" s="1"/>
      <c r="HY1076" s="1"/>
      <c r="ID1076" s="1"/>
      <c r="IE1076" s="1"/>
      <c r="IR1076" s="1"/>
      <c r="IS1076" s="1"/>
      <c r="IZ1076" s="1"/>
      <c r="JF1076" s="1"/>
      <c r="JH1076" s="1"/>
      <c r="JJ1076" s="1"/>
      <c r="JN1076" s="1"/>
      <c r="JP1076" s="1"/>
      <c r="JQ1076" s="1"/>
      <c r="KU1076" s="1"/>
      <c r="KY1076" s="1"/>
      <c r="KZ1076" s="1"/>
      <c r="LA1076" s="1"/>
      <c r="LB1076" s="1"/>
      <c r="LC1076" s="1"/>
      <c r="LD1076" s="1"/>
      <c r="LO1076" s="1"/>
      <c r="LP1076" s="1"/>
      <c r="LZ1076" s="1"/>
      <c r="MA1076" s="1"/>
    </row>
    <row r="1077" spans="4:339" ht="13" x14ac:dyDescent="0.15">
      <c r="D1077" s="12"/>
      <c r="E1077" s="12"/>
      <c r="I1077" s="12"/>
      <c r="J1077" s="13"/>
      <c r="BF1077" s="1"/>
      <c r="BG1077" s="1"/>
      <c r="BH1077" s="1"/>
      <c r="BI1077" s="1"/>
      <c r="BK1077" s="1"/>
      <c r="BL1077" s="1"/>
      <c r="BM1077" s="1"/>
      <c r="BN1077" s="1"/>
      <c r="BO1077" s="1"/>
      <c r="BP1077" s="1"/>
      <c r="BQ1077" s="1"/>
      <c r="BR1077" s="1"/>
      <c r="CD1077" s="1"/>
      <c r="CE1077" s="1"/>
      <c r="CF1077" s="1"/>
      <c r="CG1077" s="1"/>
      <c r="CM1077" s="2"/>
      <c r="CP1077" s="1"/>
      <c r="CQ1077" s="1"/>
      <c r="CR1077" s="1"/>
      <c r="CS1077" s="1"/>
      <c r="CT1077" s="1"/>
      <c r="CU1077" s="1"/>
      <c r="CV1077" s="1"/>
      <c r="CW1077" s="1"/>
      <c r="CX1077" s="1"/>
      <c r="CY1077" s="1"/>
      <c r="CZ1077" s="1"/>
      <c r="DA1077" s="1"/>
      <c r="DB1077" s="1"/>
      <c r="DC1077" s="1"/>
      <c r="DD1077" s="1"/>
      <c r="DE1077" s="1"/>
      <c r="DF1077" s="1"/>
      <c r="DG1077" s="1"/>
      <c r="DH1077" s="1"/>
      <c r="DI1077" s="1"/>
      <c r="DJ1077" s="1"/>
      <c r="DK1077" s="1"/>
      <c r="ED1077" s="1"/>
      <c r="EK1077" s="1"/>
      <c r="EL1077" s="1"/>
      <c r="EM1077" s="1"/>
      <c r="EN1077" s="1"/>
      <c r="EQ1077" s="1"/>
      <c r="ER1077" s="1"/>
      <c r="ES1077" s="1"/>
      <c r="EV1077" s="1"/>
      <c r="EW1077" s="1"/>
      <c r="EZ1077" s="1"/>
      <c r="GP1077" s="1"/>
      <c r="HF1077" s="1"/>
      <c r="HY1077" s="1"/>
      <c r="ID1077" s="1"/>
      <c r="IE1077" s="1"/>
      <c r="IR1077" s="1"/>
      <c r="IS1077" s="1"/>
      <c r="IZ1077" s="1"/>
      <c r="JF1077" s="1"/>
      <c r="JH1077" s="1"/>
      <c r="JJ1077" s="1"/>
      <c r="JN1077" s="1"/>
      <c r="JP1077" s="1"/>
      <c r="JQ1077" s="1"/>
      <c r="KU1077" s="1"/>
      <c r="KY1077" s="1"/>
      <c r="KZ1077" s="1"/>
      <c r="LA1077" s="1"/>
      <c r="LB1077" s="1"/>
      <c r="LC1077" s="1"/>
      <c r="LD1077" s="1"/>
      <c r="LO1077" s="1"/>
      <c r="LP1077" s="1"/>
      <c r="LZ1077" s="1"/>
      <c r="MA1077" s="1"/>
    </row>
    <row r="1078" spans="4:339" ht="13" x14ac:dyDescent="0.15">
      <c r="D1078" s="12"/>
      <c r="E1078" s="12"/>
      <c r="I1078" s="12"/>
      <c r="J1078" s="13"/>
      <c r="BF1078" s="1"/>
      <c r="BG1078" s="1"/>
      <c r="BH1078" s="1"/>
      <c r="BI1078" s="1"/>
      <c r="BK1078" s="1"/>
      <c r="BL1078" s="1"/>
      <c r="BM1078" s="1"/>
      <c r="BN1078" s="1"/>
      <c r="BO1078" s="1"/>
      <c r="BQ1078" s="1"/>
      <c r="BR1078" s="1"/>
      <c r="CD1078" s="1"/>
      <c r="CE1078" s="1"/>
      <c r="CF1078" s="1"/>
      <c r="CM1078" s="2"/>
      <c r="ED1078" s="1"/>
      <c r="EL1078" s="1"/>
      <c r="EM1078" s="1"/>
      <c r="EN1078" s="1"/>
      <c r="EQ1078" s="1"/>
      <c r="ER1078" s="1"/>
      <c r="ES1078" s="1"/>
      <c r="EV1078" s="1"/>
      <c r="EW1078" s="1"/>
      <c r="EZ1078" s="1"/>
      <c r="GP1078" s="1"/>
      <c r="GX1078" s="1"/>
      <c r="HF1078" s="1"/>
      <c r="HY1078" s="1"/>
      <c r="IC1078" s="1"/>
      <c r="ID1078" s="1"/>
      <c r="IS1078" s="1"/>
      <c r="IV1078" s="1"/>
      <c r="IW1078" s="1"/>
      <c r="IZ1078" s="1"/>
      <c r="JA1078" s="1"/>
      <c r="JG1078" s="1"/>
      <c r="JJ1078" s="1"/>
      <c r="JN1078" s="1"/>
      <c r="JP1078" s="1"/>
      <c r="JQ1078" s="1"/>
      <c r="JT1078" s="1"/>
      <c r="KU1078" s="1"/>
      <c r="KV1078" s="1"/>
    </row>
    <row r="1079" spans="4:339" ht="13" x14ac:dyDescent="0.15">
      <c r="D1079" s="12"/>
      <c r="E1079" s="12"/>
      <c r="I1079" s="12"/>
      <c r="J1079" s="13"/>
      <c r="BF1079" s="1"/>
      <c r="BG1079" s="1"/>
      <c r="BH1079" s="1"/>
      <c r="BI1079" s="1"/>
      <c r="BK1079" s="1"/>
      <c r="BL1079" s="1"/>
      <c r="BM1079" s="1"/>
      <c r="BN1079" s="1"/>
      <c r="BO1079" s="1"/>
      <c r="BQ1079" s="1"/>
      <c r="BR1079" s="1"/>
      <c r="CD1079" s="1"/>
      <c r="CE1079" s="1"/>
      <c r="CF1079" s="1"/>
      <c r="CM1079" s="2"/>
      <c r="ED1079" s="1"/>
      <c r="EL1079" s="1"/>
      <c r="EM1079" s="1"/>
      <c r="EN1079" s="1"/>
      <c r="EQ1079" s="1"/>
      <c r="ER1079" s="1"/>
      <c r="ES1079" s="1"/>
      <c r="EV1079" s="1"/>
      <c r="EW1079" s="1"/>
      <c r="EZ1079" s="1"/>
      <c r="GP1079" s="1"/>
      <c r="GX1079" s="1"/>
      <c r="HF1079" s="1"/>
      <c r="HY1079" s="1"/>
      <c r="IC1079" s="1"/>
      <c r="ID1079" s="1"/>
      <c r="IS1079" s="1"/>
      <c r="IV1079" s="1"/>
      <c r="IW1079" s="1"/>
      <c r="IZ1079" s="1"/>
      <c r="JA1079" s="1"/>
      <c r="JG1079" s="1"/>
      <c r="JJ1079" s="1"/>
      <c r="JN1079" s="1"/>
      <c r="JP1079" s="1"/>
      <c r="JQ1079" s="1"/>
      <c r="JT1079" s="1"/>
      <c r="KU1079" s="1"/>
      <c r="KV1079" s="1"/>
    </row>
    <row r="1080" spans="4:339" ht="13" x14ac:dyDescent="0.15">
      <c r="D1080" s="12"/>
      <c r="E1080" s="12"/>
      <c r="I1080" s="12"/>
      <c r="J1080" s="13"/>
      <c r="BF1080" s="1"/>
      <c r="BG1080" s="1"/>
      <c r="BH1080" s="1"/>
      <c r="BI1080" s="1"/>
      <c r="BK1080" s="1"/>
      <c r="BL1080" s="1"/>
      <c r="BM1080" s="1"/>
      <c r="BN1080" s="1"/>
      <c r="BO1080" s="1"/>
      <c r="BP1080" s="1"/>
      <c r="BQ1080" s="1"/>
      <c r="BR1080" s="1"/>
      <c r="BX1080" s="1"/>
      <c r="CD1080" s="1"/>
      <c r="CE1080" s="1"/>
      <c r="CF1080" s="1"/>
      <c r="CG1080" s="1"/>
      <c r="CM1080" s="2"/>
      <c r="CP1080" s="1"/>
      <c r="CQ1080" s="1"/>
      <c r="CS1080" s="1"/>
      <c r="CT1080" s="1"/>
      <c r="CU1080" s="1"/>
      <c r="CV1080" s="1"/>
      <c r="CW1080" s="1"/>
      <c r="CX1080" s="1"/>
      <c r="CY1080" s="1"/>
      <c r="CZ1080" s="1"/>
      <c r="DA1080" s="1"/>
      <c r="DB1080" s="1"/>
      <c r="DC1080" s="1"/>
      <c r="DD1080" s="1"/>
      <c r="DE1080" s="1"/>
      <c r="DF1080" s="1"/>
      <c r="DG1080" s="1"/>
      <c r="DH1080" s="1"/>
      <c r="DI1080" s="1"/>
      <c r="DJ1080" s="1"/>
      <c r="DK1080" s="1"/>
      <c r="DQ1080" s="1"/>
      <c r="DR1080" s="1"/>
      <c r="DY1080" s="1"/>
      <c r="DZ1080" s="1"/>
      <c r="ED1080" s="1"/>
      <c r="EK1080" s="1"/>
      <c r="EL1080" s="1"/>
      <c r="EM1080" s="1"/>
      <c r="EN1080" s="1"/>
      <c r="EQ1080" s="1"/>
      <c r="ER1080" s="1"/>
      <c r="ES1080" s="1"/>
      <c r="EV1080" s="1"/>
      <c r="EW1080" s="1"/>
      <c r="EZ1080" s="1"/>
      <c r="FF1080" s="1"/>
      <c r="FS1080" s="1"/>
      <c r="GO1080" s="1"/>
      <c r="GP1080" s="1"/>
      <c r="HF1080" s="1"/>
      <c r="HH1080" s="1"/>
      <c r="HN1080" s="1"/>
      <c r="HT1080" s="1"/>
      <c r="HY1080" s="1"/>
      <c r="IC1080" s="1"/>
      <c r="IE1080" s="1"/>
      <c r="IS1080" s="1"/>
      <c r="IY1080" s="1"/>
      <c r="IZ1080" s="1"/>
      <c r="JF1080" s="1"/>
      <c r="JG1080" s="1"/>
      <c r="JH1080" s="1"/>
      <c r="JI1080" s="1"/>
      <c r="JJ1080" s="1"/>
      <c r="JN1080" s="1"/>
      <c r="JP1080" s="1"/>
      <c r="JQ1080" s="1"/>
      <c r="KU1080" s="1"/>
      <c r="KV1080" s="1"/>
      <c r="KY1080" s="1"/>
      <c r="KZ1080" s="1"/>
      <c r="LA1080" s="1"/>
      <c r="LB1080" s="1"/>
      <c r="LC1080" s="1"/>
      <c r="LD1080" s="1"/>
      <c r="LF1080" s="1"/>
      <c r="LG1080" s="1"/>
      <c r="LH1080" s="5"/>
      <c r="LK1080" s="1"/>
      <c r="LL1080" s="1"/>
      <c r="LO1080" s="1"/>
      <c r="LP1080" s="1"/>
      <c r="LZ1080" s="1"/>
      <c r="MA1080" s="1"/>
    </row>
    <row r="1081" spans="4:339" ht="13" x14ac:dyDescent="0.15">
      <c r="D1081" s="12"/>
      <c r="E1081" s="12"/>
      <c r="I1081" s="12"/>
      <c r="J1081" s="13"/>
      <c r="BF1081" s="1"/>
      <c r="BG1081" s="1"/>
      <c r="BH1081" s="1"/>
      <c r="BI1081" s="1"/>
      <c r="BK1081" s="1"/>
      <c r="BL1081" s="1"/>
      <c r="BM1081" s="1"/>
      <c r="BN1081" s="1"/>
      <c r="BO1081" s="1"/>
      <c r="BP1081" s="1"/>
      <c r="BQ1081" s="1"/>
      <c r="BR1081" s="1"/>
      <c r="BX1081" s="1"/>
      <c r="CD1081" s="1"/>
      <c r="CE1081" s="1"/>
      <c r="CF1081" s="1"/>
      <c r="CG1081" s="1"/>
      <c r="CM1081" s="2"/>
      <c r="CP1081" s="1"/>
      <c r="CQ1081" s="1"/>
      <c r="CS1081" s="1"/>
      <c r="CT1081" s="1"/>
      <c r="CU1081" s="1"/>
      <c r="CV1081" s="1"/>
      <c r="CW1081" s="1"/>
      <c r="CX1081" s="1"/>
      <c r="CY1081" s="1"/>
      <c r="CZ1081" s="1"/>
      <c r="DA1081" s="1"/>
      <c r="DB1081" s="1"/>
      <c r="DC1081" s="1"/>
      <c r="DD1081" s="1"/>
      <c r="DE1081" s="1"/>
      <c r="DF1081" s="1"/>
      <c r="DG1081" s="1"/>
      <c r="DH1081" s="1"/>
      <c r="DI1081" s="1"/>
      <c r="DJ1081" s="1"/>
      <c r="DK1081" s="1"/>
      <c r="DQ1081" s="1"/>
      <c r="DR1081" s="1"/>
      <c r="DY1081" s="1"/>
      <c r="DZ1081" s="1"/>
      <c r="ED1081" s="1"/>
      <c r="EK1081" s="1"/>
      <c r="EL1081" s="1"/>
      <c r="EM1081" s="1"/>
      <c r="EN1081" s="1"/>
      <c r="EQ1081" s="1"/>
      <c r="ER1081" s="1"/>
      <c r="ES1081" s="1"/>
      <c r="EV1081" s="1"/>
      <c r="EW1081" s="1"/>
      <c r="EZ1081" s="1"/>
      <c r="FF1081" s="1"/>
      <c r="FS1081" s="1"/>
      <c r="GO1081" s="1"/>
      <c r="GP1081" s="1"/>
      <c r="HF1081" s="1"/>
      <c r="HH1081" s="1"/>
      <c r="HN1081" s="1"/>
      <c r="HT1081" s="1"/>
      <c r="HY1081" s="1"/>
      <c r="IC1081" s="1"/>
      <c r="IE1081" s="1"/>
      <c r="IS1081" s="1"/>
      <c r="IY1081" s="1"/>
      <c r="IZ1081" s="1"/>
      <c r="JF1081" s="1"/>
      <c r="JG1081" s="1"/>
      <c r="JH1081" s="1"/>
      <c r="JI1081" s="1"/>
      <c r="JJ1081" s="1"/>
      <c r="JN1081" s="1"/>
      <c r="JP1081" s="1"/>
      <c r="JQ1081" s="1"/>
      <c r="KU1081" s="1"/>
      <c r="KV1081" s="1"/>
      <c r="KY1081" s="1"/>
      <c r="KZ1081" s="1"/>
      <c r="LA1081" s="1"/>
      <c r="LB1081" s="1"/>
      <c r="LC1081" s="1"/>
      <c r="LD1081" s="1"/>
      <c r="LF1081" s="1"/>
      <c r="LG1081" s="1"/>
      <c r="LH1081" s="5"/>
      <c r="LK1081" s="1"/>
      <c r="LL1081" s="1"/>
      <c r="LO1081" s="1"/>
      <c r="LP1081" s="1"/>
      <c r="LZ1081" s="1"/>
      <c r="MA1081" s="1"/>
    </row>
    <row r="1082" spans="4:339" ht="13" x14ac:dyDescent="0.15">
      <c r="D1082" s="12"/>
      <c r="E1082" s="12"/>
      <c r="I1082" s="12"/>
      <c r="J1082" s="13"/>
      <c r="BF1082" s="1"/>
      <c r="BG1082" s="1"/>
      <c r="BH1082" s="1"/>
      <c r="BI1082" s="1"/>
      <c r="BK1082" s="1"/>
      <c r="BL1082" s="1"/>
      <c r="BM1082" s="1"/>
      <c r="BN1082" s="1"/>
      <c r="BO1082" s="1"/>
      <c r="BP1082" s="1"/>
      <c r="BQ1082" s="1"/>
      <c r="BR1082" s="1"/>
      <c r="CD1082" s="1"/>
      <c r="CE1082" s="1"/>
      <c r="CF1082" s="1"/>
      <c r="CG1082" s="1"/>
      <c r="CM1082" s="2"/>
      <c r="CP1082" s="1"/>
      <c r="CQ1082" s="1"/>
      <c r="CR1082" s="1"/>
      <c r="CS1082" s="1"/>
      <c r="CT1082" s="1"/>
      <c r="CU1082" s="1"/>
      <c r="CV1082" s="1"/>
      <c r="CW1082" s="1"/>
      <c r="CX1082" s="1"/>
      <c r="CY1082" s="1"/>
      <c r="CZ1082" s="1"/>
      <c r="DA1082" s="1"/>
      <c r="DB1082" s="1"/>
      <c r="DC1082" s="1"/>
      <c r="DD1082" s="1"/>
      <c r="DE1082" s="1"/>
      <c r="DF1082" s="1"/>
      <c r="DG1082" s="1"/>
      <c r="DH1082" s="1"/>
      <c r="DI1082" s="1"/>
      <c r="DJ1082" s="1"/>
      <c r="DK1082" s="1"/>
      <c r="ED1082" s="1"/>
      <c r="EK1082" s="1"/>
      <c r="EL1082" s="1"/>
      <c r="EM1082" s="1"/>
      <c r="EN1082" s="1"/>
      <c r="EQ1082" s="1"/>
      <c r="ER1082" s="1"/>
      <c r="ES1082" s="1"/>
      <c r="EV1082" s="1"/>
      <c r="EW1082" s="1"/>
      <c r="EZ1082" s="1"/>
      <c r="GP1082" s="1"/>
      <c r="HH1082" s="1"/>
      <c r="HN1082" s="1"/>
      <c r="HT1082" s="1"/>
      <c r="HY1082" s="1"/>
      <c r="IE1082" s="1"/>
      <c r="IR1082" s="1"/>
      <c r="IS1082" s="1"/>
      <c r="IW1082" s="1"/>
      <c r="IZ1082" s="1"/>
      <c r="JC1082" s="1"/>
      <c r="JF1082" s="1"/>
      <c r="JG1082" s="1"/>
      <c r="JH1082" s="1"/>
      <c r="JJ1082" s="1"/>
      <c r="JP1082" s="1"/>
      <c r="JQ1082" s="1"/>
      <c r="JT1082" s="1"/>
      <c r="JW1082" s="1"/>
      <c r="KS1082" s="1"/>
      <c r="KT1082" s="1"/>
      <c r="KY1082" s="1"/>
      <c r="KZ1082" s="1"/>
      <c r="LA1082" s="1"/>
      <c r="LB1082" s="1"/>
      <c r="LC1082" s="1"/>
      <c r="LD1082" s="1"/>
      <c r="LO1082" s="1"/>
      <c r="LP1082" s="1"/>
      <c r="LZ1082" s="1"/>
      <c r="MA1082" s="1"/>
    </row>
    <row r="1083" spans="4:339" ht="13" x14ac:dyDescent="0.15">
      <c r="D1083" s="12"/>
      <c r="E1083" s="12"/>
      <c r="I1083" s="12"/>
      <c r="J1083" s="13"/>
      <c r="BF1083" s="1"/>
      <c r="BG1083" s="1"/>
      <c r="BH1083" s="1"/>
      <c r="BI1083" s="1"/>
      <c r="BK1083" s="1"/>
      <c r="BL1083" s="1"/>
      <c r="BM1083" s="1"/>
      <c r="BN1083" s="1"/>
      <c r="BO1083" s="1"/>
      <c r="BP1083" s="1"/>
      <c r="BQ1083" s="1"/>
      <c r="BR1083" s="1"/>
      <c r="CD1083" s="1"/>
      <c r="CE1083" s="1"/>
      <c r="CF1083" s="1"/>
      <c r="CM1083" s="2"/>
      <c r="CP1083" s="1"/>
      <c r="CQ1083" s="1"/>
      <c r="CR1083" s="1"/>
      <c r="CS1083" s="1"/>
      <c r="CT1083" s="1"/>
      <c r="CU1083" s="1"/>
      <c r="CV1083" s="1"/>
      <c r="CW1083" s="1"/>
      <c r="CX1083" s="1"/>
      <c r="CY1083" s="1"/>
      <c r="CZ1083" s="1"/>
      <c r="DA1083" s="1"/>
      <c r="DB1083" s="1"/>
      <c r="DC1083" s="1"/>
      <c r="DD1083" s="1"/>
      <c r="DE1083" s="1"/>
      <c r="DF1083" s="1"/>
      <c r="DG1083" s="1"/>
      <c r="DH1083" s="1"/>
      <c r="DI1083" s="1"/>
      <c r="DJ1083" s="1"/>
      <c r="DK1083" s="1"/>
      <c r="DQ1083" s="1"/>
      <c r="DR1083" s="1"/>
      <c r="DY1083" s="1"/>
      <c r="DZ1083" s="1"/>
      <c r="ED1083" s="1"/>
      <c r="EE1083" s="1"/>
      <c r="EF1083" s="1"/>
      <c r="EG1083" s="1"/>
      <c r="EH1083" s="1"/>
      <c r="EK1083" s="1"/>
      <c r="EL1083" s="1"/>
      <c r="EM1083" s="1"/>
      <c r="EN1083" s="1"/>
      <c r="EQ1083" s="1"/>
      <c r="ER1083" s="1"/>
      <c r="ES1083" s="1"/>
      <c r="EV1083" s="1"/>
      <c r="EW1083" s="1"/>
      <c r="EY1083" s="1"/>
      <c r="EZ1083" s="1"/>
      <c r="GP1083" s="1"/>
      <c r="HH1083" s="1"/>
      <c r="HN1083" s="1"/>
      <c r="HQ1083" s="1"/>
      <c r="HT1083" s="1"/>
      <c r="HY1083" s="1"/>
      <c r="IC1083" s="1"/>
      <c r="ID1083" s="1"/>
      <c r="IE1083" s="1"/>
      <c r="IG1083" s="1"/>
      <c r="IJ1083" s="1"/>
      <c r="IR1083" s="1"/>
      <c r="IS1083" s="1"/>
      <c r="IW1083" s="1"/>
      <c r="IX1083" s="1"/>
      <c r="IZ1083" s="1"/>
      <c r="JB1083" s="1"/>
      <c r="JF1083" s="1"/>
      <c r="JG1083" s="1"/>
      <c r="JH1083" s="1"/>
      <c r="JJ1083" s="1"/>
      <c r="JK1083" s="1"/>
      <c r="JL1083" s="3"/>
      <c r="JM1083" s="1"/>
      <c r="JN1083" s="1"/>
      <c r="JP1083" s="1"/>
      <c r="JQ1083" s="1"/>
      <c r="JR1083" s="1"/>
      <c r="KU1083" s="1"/>
      <c r="KV1083" s="1"/>
      <c r="KY1083" s="1"/>
      <c r="KZ1083" s="1"/>
      <c r="LA1083" s="1"/>
      <c r="LB1083" s="1"/>
      <c r="LC1083" s="1"/>
      <c r="LD1083" s="1"/>
      <c r="LO1083" s="1"/>
      <c r="LP1083" s="1"/>
      <c r="LZ1083" s="1"/>
      <c r="MA1083" s="1"/>
    </row>
    <row r="1084" spans="4:339" ht="13" x14ac:dyDescent="0.15">
      <c r="D1084" s="12"/>
      <c r="E1084" s="12"/>
      <c r="I1084" s="12"/>
      <c r="J1084" s="13"/>
      <c r="BF1084" s="1"/>
      <c r="BG1084" s="1"/>
      <c r="BH1084" s="1"/>
      <c r="BI1084" s="1"/>
      <c r="BK1084" s="1"/>
      <c r="BL1084" s="1"/>
      <c r="BM1084" s="1"/>
      <c r="BN1084" s="1"/>
      <c r="BO1084" s="1"/>
      <c r="BP1084" s="1"/>
      <c r="BQ1084" s="1"/>
      <c r="BR1084" s="1"/>
      <c r="CD1084" s="1"/>
      <c r="CE1084" s="1"/>
      <c r="CF1084" s="1"/>
      <c r="CM1084" s="2"/>
      <c r="CP1084" s="1"/>
      <c r="CQ1084" s="1"/>
      <c r="CR1084" s="1"/>
      <c r="CS1084" s="1"/>
      <c r="CT1084" s="1"/>
      <c r="CU1084" s="1"/>
      <c r="CV1084" s="1"/>
      <c r="CW1084" s="1"/>
      <c r="CX1084" s="1"/>
      <c r="CY1084" s="1"/>
      <c r="CZ1084" s="1"/>
      <c r="DA1084" s="1"/>
      <c r="DB1084" s="1"/>
      <c r="DC1084" s="1"/>
      <c r="DD1084" s="1"/>
      <c r="DE1084" s="1"/>
      <c r="DF1084" s="1"/>
      <c r="DG1084" s="1"/>
      <c r="DH1084" s="1"/>
      <c r="DI1084" s="1"/>
      <c r="DJ1084" s="1"/>
      <c r="DK1084" s="1"/>
      <c r="DQ1084" s="1"/>
      <c r="DR1084" s="1"/>
      <c r="DY1084" s="1"/>
      <c r="DZ1084" s="1"/>
      <c r="ED1084" s="1"/>
      <c r="EE1084" s="1"/>
      <c r="EF1084" s="1"/>
      <c r="EG1084" s="1"/>
      <c r="EH1084" s="1"/>
      <c r="EK1084" s="1"/>
      <c r="EL1084" s="1"/>
      <c r="EM1084" s="1"/>
      <c r="EN1084" s="1"/>
      <c r="EQ1084" s="1"/>
      <c r="ER1084" s="1"/>
      <c r="ES1084" s="1"/>
      <c r="EV1084" s="1"/>
      <c r="EW1084" s="1"/>
      <c r="EY1084" s="1"/>
      <c r="EZ1084" s="1"/>
      <c r="GP1084" s="1"/>
      <c r="HH1084" s="1"/>
      <c r="HN1084" s="1"/>
      <c r="HQ1084" s="1"/>
      <c r="HT1084" s="1"/>
      <c r="HY1084" s="1"/>
      <c r="IC1084" s="1"/>
      <c r="ID1084" s="1"/>
      <c r="IE1084" s="1"/>
      <c r="IG1084" s="1"/>
      <c r="IJ1084" s="1"/>
      <c r="IR1084" s="1"/>
      <c r="IS1084" s="1"/>
      <c r="IW1084" s="1"/>
      <c r="IX1084" s="1"/>
      <c r="IZ1084" s="1"/>
      <c r="JB1084" s="1"/>
      <c r="JF1084" s="1"/>
      <c r="JG1084" s="1"/>
      <c r="JH1084" s="1"/>
      <c r="JJ1084" s="1"/>
      <c r="JK1084" s="1"/>
      <c r="JL1084" s="3"/>
      <c r="JM1084" s="1"/>
      <c r="JN1084" s="1"/>
      <c r="JP1084" s="1"/>
      <c r="JQ1084" s="1"/>
      <c r="JR1084" s="1"/>
      <c r="KU1084" s="1"/>
      <c r="KV1084" s="1"/>
      <c r="KY1084" s="1"/>
      <c r="KZ1084" s="1"/>
      <c r="LA1084" s="1"/>
      <c r="LB1084" s="1"/>
      <c r="LC1084" s="1"/>
      <c r="LD1084" s="1"/>
      <c r="LO1084" s="1"/>
      <c r="LP1084" s="1"/>
      <c r="LZ1084" s="1"/>
      <c r="MA1084" s="1"/>
    </row>
    <row r="1085" spans="4:339" ht="13" x14ac:dyDescent="0.15">
      <c r="D1085" s="12"/>
      <c r="E1085" s="12"/>
      <c r="I1085" s="12"/>
      <c r="J1085" s="13"/>
      <c r="BF1085" s="1"/>
      <c r="BG1085" s="1"/>
      <c r="BH1085" s="1"/>
      <c r="BI1085" s="1"/>
      <c r="BK1085" s="1"/>
      <c r="BL1085" s="1"/>
      <c r="BM1085" s="1"/>
      <c r="BN1085" s="1"/>
      <c r="BO1085" s="1"/>
      <c r="BP1085" s="1"/>
      <c r="BQ1085" s="1"/>
      <c r="BR1085" s="1"/>
      <c r="CD1085" s="1"/>
      <c r="CE1085" s="1"/>
      <c r="CF1085" s="1"/>
      <c r="CM1085" s="2"/>
      <c r="CP1085" s="1"/>
      <c r="CQ1085" s="1"/>
      <c r="CR1085" s="1"/>
      <c r="CS1085" s="1"/>
      <c r="CT1085" s="1"/>
      <c r="CU1085" s="1"/>
      <c r="CV1085" s="1"/>
      <c r="CW1085" s="1"/>
      <c r="CX1085" s="1"/>
      <c r="CY1085" s="1"/>
      <c r="CZ1085" s="1"/>
      <c r="DA1085" s="1"/>
      <c r="DB1085" s="1"/>
      <c r="DC1085" s="1"/>
      <c r="DD1085" s="1"/>
      <c r="DE1085" s="1"/>
      <c r="DF1085" s="1"/>
      <c r="DG1085" s="1"/>
      <c r="DH1085" s="1"/>
      <c r="DI1085" s="1"/>
      <c r="DJ1085" s="1"/>
      <c r="DK1085" s="1"/>
      <c r="DQ1085" s="1"/>
      <c r="DR1085" s="1"/>
      <c r="DY1085" s="1"/>
      <c r="DZ1085" s="1"/>
      <c r="ED1085" s="1"/>
      <c r="EE1085" s="1"/>
      <c r="EF1085" s="1"/>
      <c r="EG1085" s="1"/>
      <c r="EH1085" s="1"/>
      <c r="EK1085" s="1"/>
      <c r="EL1085" s="1"/>
      <c r="EM1085" s="1"/>
      <c r="EN1085" s="1"/>
      <c r="EQ1085" s="1"/>
      <c r="ER1085" s="1"/>
      <c r="ES1085" s="1"/>
      <c r="EV1085" s="1"/>
      <c r="EW1085" s="1"/>
      <c r="EY1085" s="1"/>
      <c r="EZ1085" s="1"/>
      <c r="GP1085" s="1"/>
      <c r="HH1085" s="1"/>
      <c r="HN1085" s="1"/>
      <c r="HQ1085" s="1"/>
      <c r="HT1085" s="1"/>
      <c r="HY1085" s="1"/>
      <c r="IC1085" s="1"/>
      <c r="ID1085" s="1"/>
      <c r="IE1085" s="1"/>
      <c r="IG1085" s="1"/>
      <c r="IJ1085" s="1"/>
      <c r="IR1085" s="1"/>
      <c r="IS1085" s="1"/>
      <c r="IW1085" s="1"/>
      <c r="IX1085" s="1"/>
      <c r="IZ1085" s="1"/>
      <c r="JB1085" s="1"/>
      <c r="JF1085" s="1"/>
      <c r="JG1085" s="1"/>
      <c r="JH1085" s="1"/>
      <c r="JJ1085" s="1"/>
      <c r="JK1085" s="1"/>
      <c r="JL1085" s="3"/>
      <c r="JM1085" s="1"/>
      <c r="JN1085" s="1"/>
      <c r="JP1085" s="1"/>
      <c r="JQ1085" s="1"/>
      <c r="JR1085" s="1"/>
      <c r="KU1085" s="1"/>
      <c r="KV1085" s="1"/>
      <c r="KY1085" s="1"/>
      <c r="KZ1085" s="1"/>
      <c r="LA1085" s="1"/>
      <c r="LB1085" s="1"/>
      <c r="LC1085" s="1"/>
      <c r="LD1085" s="1"/>
      <c r="LO1085" s="1"/>
      <c r="LP1085" s="1"/>
      <c r="LZ1085" s="1"/>
      <c r="MA1085" s="1"/>
    </row>
    <row r="1086" spans="4:339" ht="13" x14ac:dyDescent="0.15">
      <c r="D1086" s="12"/>
      <c r="E1086" s="12"/>
      <c r="I1086" s="12"/>
      <c r="J1086" s="13"/>
      <c r="BG1086" s="1"/>
      <c r="BH1086" s="1"/>
      <c r="BI1086" s="1"/>
      <c r="BJ1086" s="1"/>
      <c r="BK1086" s="1"/>
      <c r="BL1086" s="1"/>
      <c r="BM1086" s="1"/>
      <c r="BN1086" s="1"/>
      <c r="BO1086" s="1"/>
      <c r="BQ1086" s="1"/>
      <c r="BR1086" s="1"/>
      <c r="CD1086" s="1"/>
      <c r="CE1086" s="1"/>
      <c r="CF1086" s="1"/>
      <c r="CM1086" s="2"/>
      <c r="ED1086" s="1"/>
      <c r="EL1086" s="1"/>
      <c r="EM1086" s="1"/>
      <c r="EN1086" s="1"/>
      <c r="EQ1086" s="1"/>
      <c r="ER1086" s="1"/>
      <c r="ES1086" s="1"/>
      <c r="EV1086" s="1"/>
      <c r="EW1086" s="1"/>
      <c r="EZ1086" s="1"/>
      <c r="GP1086" s="1"/>
      <c r="HF1086" s="1"/>
      <c r="HY1086" s="1"/>
      <c r="IQ1086" s="1"/>
      <c r="IS1086" s="1"/>
      <c r="IW1086" s="1"/>
      <c r="IZ1086" s="1"/>
      <c r="JA1086" s="1"/>
      <c r="JJ1086" s="1"/>
      <c r="JP1086" s="1"/>
      <c r="JQ1086" s="1"/>
      <c r="LR1086" s="1"/>
      <c r="LS1086" s="1"/>
      <c r="LT1086" s="1"/>
      <c r="LU1086" s="1"/>
    </row>
    <row r="1087" spans="4:339" ht="13" x14ac:dyDescent="0.15">
      <c r="D1087" s="12"/>
      <c r="E1087" s="12"/>
      <c r="I1087" s="12"/>
      <c r="J1087" s="13"/>
      <c r="BG1087" s="1"/>
      <c r="BH1087" s="1"/>
      <c r="BI1087" s="1"/>
      <c r="BJ1087" s="1"/>
      <c r="BK1087" s="1"/>
      <c r="BL1087" s="1"/>
      <c r="BM1087" s="1"/>
      <c r="BN1087" s="1"/>
      <c r="BO1087" s="1"/>
      <c r="BQ1087" s="1"/>
      <c r="BR1087" s="1"/>
      <c r="CD1087" s="1"/>
      <c r="CE1087" s="1"/>
      <c r="CF1087" s="1"/>
      <c r="CM1087" s="2"/>
      <c r="ED1087" s="1"/>
      <c r="EL1087" s="1"/>
      <c r="EM1087" s="1"/>
      <c r="EN1087" s="1"/>
      <c r="EQ1087" s="1"/>
      <c r="ER1087" s="1"/>
      <c r="ES1087" s="1"/>
      <c r="EV1087" s="1"/>
      <c r="EW1087" s="1"/>
      <c r="EZ1087" s="1"/>
      <c r="GP1087" s="1"/>
      <c r="HF1087" s="1"/>
      <c r="HY1087" s="1"/>
      <c r="IQ1087" s="1"/>
      <c r="IS1087" s="1"/>
      <c r="IW1087" s="1"/>
      <c r="IZ1087" s="1"/>
      <c r="JA1087" s="1"/>
      <c r="JJ1087" s="1"/>
      <c r="JP1087" s="1"/>
      <c r="JQ1087" s="1"/>
      <c r="LR1087" s="1"/>
      <c r="LS1087" s="1"/>
      <c r="LT1087" s="1"/>
      <c r="LU1087" s="1"/>
    </row>
    <row r="1088" spans="4:339" ht="13" x14ac:dyDescent="0.15">
      <c r="D1088" s="12"/>
      <c r="E1088" s="12"/>
      <c r="I1088" s="12"/>
      <c r="J1088" s="13"/>
      <c r="BG1088" s="1"/>
      <c r="BH1088" s="1"/>
      <c r="BI1088" s="1"/>
      <c r="BJ1088" s="1"/>
      <c r="BK1088" s="1"/>
      <c r="BL1088" s="1"/>
      <c r="BM1088" s="1"/>
      <c r="BN1088" s="1"/>
      <c r="BO1088" s="1"/>
      <c r="BQ1088" s="1"/>
      <c r="BR1088" s="1"/>
      <c r="CD1088" s="1"/>
      <c r="CE1088" s="1"/>
      <c r="CF1088" s="1"/>
      <c r="CM1088" s="2"/>
      <c r="ED1088" s="1"/>
      <c r="EL1088" s="1"/>
      <c r="EM1088" s="1"/>
      <c r="EN1088" s="1"/>
      <c r="EQ1088" s="1"/>
      <c r="ER1088" s="1"/>
      <c r="ES1088" s="1"/>
      <c r="EV1088" s="1"/>
      <c r="EW1088" s="1"/>
      <c r="EZ1088" s="1"/>
      <c r="GP1088" s="1"/>
      <c r="HF1088" s="1"/>
      <c r="HY1088" s="1"/>
      <c r="IQ1088" s="1"/>
      <c r="IS1088" s="1"/>
      <c r="IW1088" s="1"/>
      <c r="IZ1088" s="1"/>
      <c r="JA1088" s="1"/>
      <c r="JJ1088" s="1"/>
      <c r="JP1088" s="1"/>
      <c r="JQ1088" s="1"/>
      <c r="LR1088" s="1"/>
      <c r="LS1088" s="1"/>
      <c r="LT1088" s="1"/>
      <c r="LU1088" s="1"/>
    </row>
    <row r="1089" spans="4:339" ht="13" x14ac:dyDescent="0.15">
      <c r="D1089" s="12"/>
      <c r="E1089" s="12"/>
      <c r="I1089" s="12"/>
      <c r="J1089" s="13"/>
      <c r="BF1089" s="1"/>
      <c r="BG1089" s="1"/>
      <c r="BH1089" s="1"/>
      <c r="BI1089" s="1"/>
      <c r="BJ1089" s="1"/>
      <c r="BK1089" s="1"/>
      <c r="BL1089" s="1"/>
      <c r="BM1089" s="1"/>
      <c r="BN1089" s="1"/>
      <c r="BO1089" s="1"/>
      <c r="BP1089" s="1"/>
      <c r="BQ1089" s="1"/>
      <c r="BR1089" s="1"/>
      <c r="CD1089" s="1"/>
      <c r="CE1089" s="1"/>
      <c r="CF1089" s="1"/>
      <c r="CG1089" s="1"/>
      <c r="CM1089" s="2"/>
      <c r="CP1089" s="1"/>
      <c r="CQ1089" s="1"/>
      <c r="CR1089" s="1"/>
      <c r="CS1089" s="1"/>
      <c r="CT1089" s="1"/>
      <c r="CU1089" s="1"/>
      <c r="CV1089" s="1"/>
      <c r="CW1089" s="1"/>
      <c r="CX1089" s="1"/>
      <c r="CY1089" s="1"/>
      <c r="CZ1089" s="1"/>
      <c r="DA1089" s="1"/>
      <c r="DB1089" s="1"/>
      <c r="DC1089" s="1"/>
      <c r="DD1089" s="1"/>
      <c r="DE1089" s="1"/>
      <c r="DF1089" s="1"/>
      <c r="DG1089" s="1"/>
      <c r="DH1089" s="1"/>
      <c r="DI1089" s="1"/>
      <c r="DJ1089" s="1"/>
      <c r="DK1089" s="1"/>
      <c r="ED1089" s="1"/>
      <c r="EK1089" s="1"/>
      <c r="EL1089" s="1"/>
      <c r="EM1089" s="1"/>
      <c r="EN1089" s="1"/>
      <c r="EQ1089" s="1"/>
      <c r="ER1089" s="1"/>
      <c r="ES1089" s="1"/>
      <c r="EV1089" s="1"/>
      <c r="EW1089" s="1"/>
      <c r="EZ1089" s="1"/>
      <c r="GO1089" s="1"/>
      <c r="GP1089" s="1"/>
      <c r="HF1089" s="1"/>
      <c r="HH1089" s="1"/>
      <c r="HN1089" s="1"/>
      <c r="HT1089" s="1"/>
      <c r="HY1089" s="1"/>
      <c r="IC1089" s="1"/>
      <c r="IE1089" s="1"/>
      <c r="IR1089" s="1"/>
      <c r="IS1089" s="1"/>
      <c r="IZ1089" s="1"/>
      <c r="JC1089" s="1"/>
      <c r="JF1089" s="1"/>
      <c r="JG1089" s="1"/>
      <c r="JH1089" s="1"/>
      <c r="JJ1089" s="1"/>
      <c r="JN1089" s="1"/>
      <c r="JP1089" s="1"/>
      <c r="JQ1089" s="1"/>
      <c r="JT1089" s="1"/>
      <c r="KU1089" s="1"/>
      <c r="KY1089" s="1"/>
      <c r="KZ1089" s="1"/>
      <c r="LA1089" s="1"/>
      <c r="LB1089" s="1"/>
      <c r="LC1089" s="1"/>
      <c r="LD1089" s="1"/>
      <c r="LO1089" s="1"/>
      <c r="LP1089" s="1"/>
      <c r="LZ1089" s="1"/>
      <c r="MA1089" s="1"/>
    </row>
    <row r="1090" spans="4:339" ht="13" x14ac:dyDescent="0.15">
      <c r="D1090" s="12"/>
      <c r="E1090" s="12"/>
      <c r="I1090" s="12"/>
      <c r="J1090" s="13"/>
      <c r="BF1090" s="1"/>
      <c r="BG1090" s="1"/>
      <c r="BH1090" s="1"/>
      <c r="BI1090" s="1"/>
      <c r="BJ1090" s="1"/>
      <c r="BK1090" s="1"/>
      <c r="BL1090" s="1"/>
      <c r="BM1090" s="1"/>
      <c r="BN1090" s="1"/>
      <c r="BO1090" s="1"/>
      <c r="BQ1090" s="1"/>
      <c r="BR1090" s="1"/>
      <c r="CD1090" s="1"/>
      <c r="CE1090" s="1"/>
      <c r="CF1090" s="1"/>
      <c r="CM1090" s="2"/>
      <c r="ED1090" s="1"/>
      <c r="EL1090" s="1"/>
      <c r="EM1090" s="1"/>
      <c r="EN1090" s="1"/>
      <c r="EQ1090" s="1"/>
      <c r="ER1090" s="1"/>
      <c r="ES1090" s="1"/>
      <c r="EV1090" s="1"/>
      <c r="EW1090" s="1"/>
      <c r="EZ1090" s="1"/>
      <c r="GP1090" s="1"/>
      <c r="HF1090" s="1"/>
      <c r="HY1090" s="1"/>
      <c r="HZ1090" s="1"/>
      <c r="IC1090" s="1"/>
      <c r="IN1090" s="1"/>
      <c r="IS1090" s="1"/>
      <c r="IW1090" s="1"/>
      <c r="IY1090" s="1"/>
      <c r="IZ1090" s="1"/>
      <c r="JA1090" s="1"/>
      <c r="JF1090" s="1"/>
      <c r="JG1090" s="1"/>
      <c r="JH1090" s="1"/>
      <c r="JJ1090" s="1"/>
      <c r="JN1090" s="1"/>
      <c r="JP1090" s="1"/>
      <c r="JQ1090" s="1"/>
      <c r="JT1090" s="1"/>
      <c r="JU1090" s="1"/>
      <c r="KU1090" s="1"/>
      <c r="KV1090" s="1"/>
      <c r="LZ1090" s="1"/>
    </row>
    <row r="1091" spans="4:339" ht="13" x14ac:dyDescent="0.15">
      <c r="D1091" s="12"/>
      <c r="E1091" s="12"/>
      <c r="I1091" s="12"/>
      <c r="J1091" s="13"/>
      <c r="BF1091" s="1"/>
      <c r="BG1091" s="1"/>
      <c r="BH1091" s="1"/>
      <c r="BI1091" s="1"/>
      <c r="BJ1091" s="1"/>
      <c r="BK1091" s="1"/>
      <c r="BL1091" s="1"/>
      <c r="BM1091" s="1"/>
      <c r="BN1091" s="1"/>
      <c r="BO1091" s="1"/>
      <c r="BQ1091" s="1"/>
      <c r="BR1091" s="1"/>
      <c r="CD1091" s="1"/>
      <c r="CE1091" s="1"/>
      <c r="CF1091" s="1"/>
      <c r="CM1091" s="2"/>
      <c r="ED1091" s="1"/>
      <c r="EL1091" s="1"/>
      <c r="EM1091" s="1"/>
      <c r="EN1091" s="1"/>
      <c r="EQ1091" s="1"/>
      <c r="ER1091" s="1"/>
      <c r="ES1091" s="1"/>
      <c r="EV1091" s="1"/>
      <c r="EW1091" s="1"/>
      <c r="EZ1091" s="1"/>
      <c r="GP1091" s="1"/>
      <c r="HF1091" s="1"/>
      <c r="HY1091" s="1"/>
      <c r="HZ1091" s="1"/>
      <c r="IC1091" s="1"/>
      <c r="IN1091" s="1"/>
      <c r="IS1091" s="1"/>
      <c r="IW1091" s="1"/>
      <c r="IY1091" s="1"/>
      <c r="IZ1091" s="1"/>
      <c r="JA1091" s="1"/>
      <c r="JF1091" s="1"/>
      <c r="JG1091" s="1"/>
      <c r="JH1091" s="1"/>
      <c r="JJ1091" s="1"/>
      <c r="JN1091" s="1"/>
      <c r="JP1091" s="1"/>
      <c r="JQ1091" s="1"/>
      <c r="JT1091" s="1"/>
      <c r="JU1091" s="1"/>
      <c r="KU1091" s="1"/>
      <c r="KV1091" s="1"/>
      <c r="LZ1091" s="1"/>
    </row>
    <row r="1092" spans="4:339" ht="13" x14ac:dyDescent="0.15">
      <c r="D1092" s="12"/>
      <c r="E1092" s="12"/>
      <c r="I1092" s="12"/>
      <c r="J1092" s="13"/>
      <c r="BF1092" s="1"/>
      <c r="BG1092" s="1"/>
      <c r="BH1092" s="1"/>
      <c r="BI1092" s="1"/>
      <c r="BJ1092" s="1"/>
      <c r="BK1092" s="1"/>
      <c r="BL1092" s="1"/>
      <c r="BM1092" s="1"/>
      <c r="BN1092" s="1"/>
      <c r="BO1092" s="1"/>
      <c r="BQ1092" s="1"/>
      <c r="BR1092" s="1"/>
      <c r="CD1092" s="1"/>
      <c r="CE1092" s="1"/>
      <c r="CF1092" s="1"/>
      <c r="CM1092" s="2"/>
      <c r="ED1092" s="1"/>
      <c r="EL1092" s="1"/>
      <c r="EM1092" s="1"/>
      <c r="EN1092" s="1"/>
      <c r="EQ1092" s="1"/>
      <c r="ER1092" s="1"/>
      <c r="ES1092" s="1"/>
      <c r="EV1092" s="1"/>
      <c r="EW1092" s="1"/>
      <c r="EZ1092" s="1"/>
      <c r="GP1092" s="1"/>
      <c r="HF1092" s="1"/>
      <c r="HY1092" s="1"/>
      <c r="HZ1092" s="1"/>
      <c r="IC1092" s="1"/>
      <c r="IN1092" s="1"/>
      <c r="IS1092" s="1"/>
      <c r="IW1092" s="1"/>
      <c r="IY1092" s="1"/>
      <c r="IZ1092" s="1"/>
      <c r="JA1092" s="1"/>
      <c r="JF1092" s="1"/>
      <c r="JG1092" s="1"/>
      <c r="JH1092" s="1"/>
      <c r="JJ1092" s="1"/>
      <c r="JN1092" s="1"/>
      <c r="JP1092" s="1"/>
      <c r="JQ1092" s="1"/>
      <c r="JT1092" s="1"/>
      <c r="JU1092" s="1"/>
      <c r="KU1092" s="1"/>
      <c r="KV1092" s="1"/>
      <c r="LZ1092" s="1"/>
    </row>
    <row r="1093" spans="4:339" ht="13" x14ac:dyDescent="0.15">
      <c r="D1093" s="12"/>
      <c r="E1093" s="12"/>
      <c r="I1093" s="12"/>
      <c r="J1093" s="13"/>
      <c r="BF1093" s="1"/>
      <c r="BG1093" s="1"/>
      <c r="BH1093" s="1"/>
      <c r="BI1093" s="1"/>
      <c r="BK1093" s="1"/>
      <c r="BL1093" s="1"/>
      <c r="BM1093" s="1"/>
      <c r="BN1093" s="1"/>
      <c r="BO1093" s="1"/>
      <c r="BP1093" s="1"/>
      <c r="BQ1093" s="1"/>
      <c r="BR1093" s="1"/>
      <c r="CD1093" s="1"/>
      <c r="CE1093" s="1"/>
      <c r="CF1093" s="1"/>
      <c r="CG1093" s="1"/>
      <c r="CM1093" s="2"/>
      <c r="CP1093" s="1"/>
      <c r="CQ1093" s="1"/>
      <c r="CX1093" s="1"/>
      <c r="CY1093" s="1"/>
      <c r="CZ1093" s="1"/>
      <c r="DA1093" s="1"/>
      <c r="DB1093" s="1"/>
      <c r="DC1093" s="1"/>
      <c r="DD1093" s="1"/>
      <c r="DE1093" s="1"/>
      <c r="DF1093" s="1"/>
      <c r="DG1093" s="1"/>
      <c r="DH1093" s="1"/>
      <c r="DI1093" s="1"/>
      <c r="DJ1093" s="1"/>
      <c r="DK1093" s="1"/>
      <c r="DM1093" s="1"/>
      <c r="DR1093" s="1"/>
      <c r="ED1093" s="1"/>
      <c r="EF1093" s="1"/>
      <c r="EK1093" s="1"/>
      <c r="EL1093" s="1"/>
      <c r="EM1093" s="1"/>
      <c r="EN1093" s="1"/>
      <c r="EQ1093" s="1"/>
      <c r="ER1093" s="1"/>
      <c r="ES1093" s="1"/>
      <c r="EV1093" s="1"/>
      <c r="EW1093" s="1"/>
      <c r="EZ1093" s="1"/>
      <c r="GP1093" s="1"/>
      <c r="HF1093" s="1"/>
      <c r="HH1093" s="1"/>
      <c r="HQ1093" s="1"/>
      <c r="HT1093" s="1"/>
      <c r="HY1093" s="1"/>
      <c r="IC1093" s="1"/>
      <c r="ID1093" s="1"/>
      <c r="IE1093" s="1"/>
      <c r="IR1093" s="1"/>
      <c r="IS1093" s="1"/>
      <c r="IY1093" s="1"/>
      <c r="IZ1093" s="1"/>
      <c r="JG1093" s="1"/>
      <c r="JJ1093" s="1"/>
      <c r="JN1093" s="1"/>
      <c r="JP1093" s="1"/>
      <c r="JQ1093" s="1"/>
      <c r="KU1093" s="1"/>
      <c r="KY1093" s="1"/>
      <c r="KZ1093" s="1"/>
      <c r="LA1093" s="1"/>
      <c r="LB1093" s="1"/>
      <c r="LC1093" s="1"/>
      <c r="LD1093" s="1"/>
      <c r="LN1093" s="1"/>
      <c r="LO1093" s="1"/>
      <c r="LP1093" s="1"/>
      <c r="LZ1093" s="1"/>
      <c r="MA1093" s="1"/>
    </row>
    <row r="1094" spans="4:339" ht="13" x14ac:dyDescent="0.15">
      <c r="D1094" s="12"/>
      <c r="E1094" s="12"/>
      <c r="I1094" s="12"/>
      <c r="J1094" s="13"/>
      <c r="BF1094" s="1"/>
      <c r="BG1094" s="1"/>
      <c r="BH1094" s="1"/>
      <c r="BI1094" s="1"/>
      <c r="BK1094" s="1"/>
      <c r="BL1094" s="1"/>
      <c r="BM1094" s="1"/>
      <c r="BN1094" s="1"/>
      <c r="BO1094" s="1"/>
      <c r="BP1094" s="1"/>
      <c r="BQ1094" s="1"/>
      <c r="BR1094" s="1"/>
      <c r="CD1094" s="1"/>
      <c r="CE1094" s="1"/>
      <c r="CF1094" s="1"/>
      <c r="CG1094" s="1"/>
      <c r="CM1094" s="2"/>
      <c r="CP1094" s="1"/>
      <c r="CQ1094" s="1"/>
      <c r="CX1094" s="1"/>
      <c r="CY1094" s="1"/>
      <c r="CZ1094" s="1"/>
      <c r="DA1094" s="1"/>
      <c r="DB1094" s="1"/>
      <c r="DC1094" s="1"/>
      <c r="DD1094" s="1"/>
      <c r="DE1094" s="1"/>
      <c r="DF1094" s="1"/>
      <c r="DG1094" s="1"/>
      <c r="DH1094" s="1"/>
      <c r="DI1094" s="1"/>
      <c r="DJ1094" s="1"/>
      <c r="DK1094" s="1"/>
      <c r="DM1094" s="1"/>
      <c r="DR1094" s="1"/>
      <c r="ED1094" s="1"/>
      <c r="EF1094" s="1"/>
      <c r="EK1094" s="1"/>
      <c r="EL1094" s="1"/>
      <c r="EM1094" s="1"/>
      <c r="EN1094" s="1"/>
      <c r="EQ1094" s="1"/>
      <c r="ER1094" s="1"/>
      <c r="ES1094" s="1"/>
      <c r="EV1094" s="1"/>
      <c r="EW1094" s="1"/>
      <c r="EZ1094" s="1"/>
      <c r="GP1094" s="1"/>
      <c r="HF1094" s="1"/>
      <c r="HH1094" s="1"/>
      <c r="HQ1094" s="1"/>
      <c r="HT1094" s="1"/>
      <c r="HY1094" s="1"/>
      <c r="IC1094" s="1"/>
      <c r="ID1094" s="1"/>
      <c r="IE1094" s="1"/>
      <c r="IR1094" s="1"/>
      <c r="IS1094" s="1"/>
      <c r="IY1094" s="1"/>
      <c r="IZ1094" s="1"/>
      <c r="JG1094" s="1"/>
      <c r="JJ1094" s="1"/>
      <c r="JN1094" s="1"/>
      <c r="JP1094" s="1"/>
      <c r="JQ1094" s="1"/>
      <c r="KU1094" s="1"/>
      <c r="KY1094" s="1"/>
      <c r="KZ1094" s="1"/>
      <c r="LA1094" s="1"/>
      <c r="LB1094" s="1"/>
      <c r="LC1094" s="1"/>
      <c r="LD1094" s="1"/>
      <c r="LN1094" s="1"/>
      <c r="LO1094" s="1"/>
      <c r="LP1094" s="1"/>
      <c r="LZ1094" s="1"/>
      <c r="MA1094" s="1"/>
    </row>
    <row r="1095" spans="4:339" ht="13" x14ac:dyDescent="0.15">
      <c r="D1095" s="12"/>
      <c r="E1095" s="12"/>
      <c r="I1095" s="12"/>
      <c r="J1095" s="13"/>
      <c r="BF1095" s="1"/>
      <c r="BG1095" s="1"/>
      <c r="BH1095" s="1"/>
      <c r="BI1095" s="1"/>
      <c r="BK1095" s="1"/>
      <c r="BL1095" s="1"/>
      <c r="BM1095" s="1"/>
      <c r="BN1095" s="1"/>
      <c r="BO1095" s="1"/>
      <c r="BP1095" s="1"/>
      <c r="BQ1095" s="1"/>
      <c r="BR1095" s="1"/>
      <c r="CD1095" s="1"/>
      <c r="CE1095" s="1"/>
      <c r="CF1095" s="1"/>
      <c r="CG1095" s="1"/>
      <c r="CM1095" s="2"/>
      <c r="CP1095" s="1"/>
      <c r="CQ1095" s="1"/>
      <c r="CX1095" s="1"/>
      <c r="CY1095" s="1"/>
      <c r="CZ1095" s="1"/>
      <c r="DA1095" s="1"/>
      <c r="DB1095" s="1"/>
      <c r="DC1095" s="1"/>
      <c r="DD1095" s="1"/>
      <c r="DE1095" s="1"/>
      <c r="DF1095" s="1"/>
      <c r="DG1095" s="1"/>
      <c r="DH1095" s="1"/>
      <c r="DI1095" s="1"/>
      <c r="DJ1095" s="1"/>
      <c r="DK1095" s="1"/>
      <c r="ED1095" s="1"/>
      <c r="EK1095" s="1"/>
      <c r="EL1095" s="1"/>
      <c r="EM1095" s="1"/>
      <c r="EN1095" s="1"/>
      <c r="EQ1095" s="1"/>
      <c r="ER1095" s="1"/>
      <c r="ES1095" s="1"/>
      <c r="EV1095" s="1"/>
      <c r="EW1095" s="1"/>
      <c r="EZ1095" s="1"/>
      <c r="GP1095" s="1"/>
      <c r="HF1095" s="1"/>
      <c r="HY1095" s="1"/>
      <c r="IC1095" s="1"/>
      <c r="IE1095" s="1"/>
      <c r="IR1095" s="1"/>
      <c r="IS1095" s="1"/>
      <c r="IW1095" s="1"/>
      <c r="IZ1095" s="1"/>
      <c r="JA1095" s="1"/>
      <c r="JF1095" s="1"/>
      <c r="JG1095" s="1"/>
      <c r="JH1095" s="1"/>
      <c r="JJ1095" s="1"/>
      <c r="JN1095" s="1"/>
      <c r="JP1095" s="1"/>
      <c r="JQ1095" s="1"/>
      <c r="KU1095" s="1"/>
      <c r="KY1095" s="1"/>
      <c r="KZ1095" s="1"/>
      <c r="LA1095" s="1"/>
      <c r="LB1095" s="1"/>
      <c r="LC1095" s="1"/>
      <c r="LD1095" s="1"/>
      <c r="LO1095" s="1"/>
      <c r="LP1095" s="1"/>
      <c r="LZ1095" s="1"/>
      <c r="MA1095" s="1"/>
    </row>
    <row r="1096" spans="4:339" ht="13" x14ac:dyDescent="0.15">
      <c r="D1096" s="12"/>
      <c r="E1096" s="12"/>
      <c r="I1096" s="12"/>
      <c r="J1096" s="13"/>
      <c r="BF1096" s="1"/>
      <c r="BG1096" s="1"/>
      <c r="BH1096" s="1"/>
      <c r="BI1096" s="1"/>
      <c r="BJ1096" s="1"/>
      <c r="BK1096" s="1"/>
      <c r="BL1096" s="1"/>
      <c r="BM1096" s="1"/>
      <c r="BN1096" s="1"/>
      <c r="BO1096" s="1"/>
      <c r="BP1096" s="1"/>
      <c r="BQ1096" s="1"/>
      <c r="BR1096" s="1"/>
      <c r="BX1096" s="1"/>
      <c r="CD1096" s="1"/>
      <c r="CE1096" s="1"/>
      <c r="CF1096" s="1"/>
      <c r="CG1096" s="1"/>
      <c r="CK1096" s="1"/>
      <c r="CM1096" s="2"/>
      <c r="CP1096" s="1"/>
      <c r="CQ1096" s="1"/>
      <c r="CR1096" s="1"/>
      <c r="CS1096" s="1"/>
      <c r="CT1096" s="1"/>
      <c r="CU1096" s="1"/>
      <c r="CV1096" s="1"/>
      <c r="CW1096" s="1"/>
      <c r="CX1096" s="1"/>
      <c r="CY1096" s="1"/>
      <c r="CZ1096" s="1"/>
      <c r="DA1096" s="1"/>
      <c r="DB1096" s="1"/>
      <c r="DC1096" s="1"/>
      <c r="DD1096" s="1"/>
      <c r="DE1096" s="1"/>
      <c r="DF1096" s="1"/>
      <c r="DG1096" s="1"/>
      <c r="DH1096" s="1"/>
      <c r="DI1096" s="1"/>
      <c r="DJ1096" s="1"/>
      <c r="DK1096" s="1"/>
      <c r="ED1096" s="1"/>
      <c r="EE1096" s="1"/>
      <c r="EF1096" s="1"/>
      <c r="EG1096" s="1"/>
      <c r="EH1096" s="1"/>
      <c r="EK1096" s="1"/>
      <c r="EL1096" s="1"/>
      <c r="EM1096" s="1"/>
      <c r="EN1096" s="1"/>
      <c r="EQ1096" s="1"/>
      <c r="ER1096" s="1"/>
      <c r="ES1096" s="1"/>
      <c r="EV1096" s="1"/>
      <c r="EW1096" s="1"/>
      <c r="EY1096" s="1"/>
      <c r="EZ1096" s="1"/>
      <c r="GO1096" s="1"/>
      <c r="GP1096" s="1"/>
      <c r="HF1096" s="1"/>
      <c r="HH1096" s="1"/>
      <c r="HY1096" s="1"/>
      <c r="IA1096" s="1"/>
      <c r="ID1096" s="1"/>
      <c r="IE1096" s="1"/>
      <c r="IG1096" s="1"/>
      <c r="IJ1096" s="1"/>
      <c r="IR1096" s="1"/>
      <c r="IS1096" s="1"/>
      <c r="IW1096" s="1"/>
      <c r="IZ1096" s="1"/>
      <c r="JA1096" s="1"/>
      <c r="JG1096" s="1"/>
      <c r="JH1096" s="1"/>
      <c r="JJ1096" s="1"/>
      <c r="JK1096" s="1"/>
      <c r="JL1096" s="3"/>
      <c r="JM1096" s="1"/>
      <c r="JN1096" s="1"/>
      <c r="JP1096" s="1"/>
      <c r="JQ1096" s="1"/>
      <c r="JR1096" s="1"/>
      <c r="JT1096" s="1"/>
      <c r="KU1096" s="1"/>
      <c r="KV1096" s="1"/>
      <c r="KY1096" s="1"/>
      <c r="KZ1096" s="1"/>
      <c r="LA1096" s="1"/>
      <c r="LB1096" s="1"/>
      <c r="LC1096" s="1"/>
      <c r="LD1096" s="1"/>
      <c r="LO1096" s="1"/>
      <c r="LP1096" s="1"/>
      <c r="LZ1096" s="1"/>
      <c r="MA1096" s="1"/>
    </row>
    <row r="1097" spans="4:339" ht="13" x14ac:dyDescent="0.15">
      <c r="D1097" s="12"/>
      <c r="E1097" s="12"/>
      <c r="I1097" s="12"/>
      <c r="J1097" s="13"/>
      <c r="BF1097" s="1"/>
      <c r="BG1097" s="1"/>
      <c r="BH1097" s="1"/>
      <c r="BI1097" s="1"/>
      <c r="BJ1097" s="1"/>
      <c r="BK1097" s="1"/>
      <c r="BL1097" s="1"/>
      <c r="BM1097" s="1"/>
      <c r="BN1097" s="1"/>
      <c r="BO1097" s="1"/>
      <c r="BP1097" s="1"/>
      <c r="BQ1097" s="1"/>
      <c r="BR1097" s="1"/>
      <c r="BX1097" s="1"/>
      <c r="CD1097" s="1"/>
      <c r="CE1097" s="1"/>
      <c r="CF1097" s="1"/>
      <c r="CG1097" s="1"/>
      <c r="CK1097" s="1"/>
      <c r="CM1097" s="2"/>
      <c r="CP1097" s="1"/>
      <c r="CQ1097" s="1"/>
      <c r="CR1097" s="1"/>
      <c r="CS1097" s="1"/>
      <c r="CT1097" s="1"/>
      <c r="CU1097" s="1"/>
      <c r="CV1097" s="1"/>
      <c r="CW1097" s="1"/>
      <c r="CX1097" s="1"/>
      <c r="CY1097" s="1"/>
      <c r="CZ1097" s="1"/>
      <c r="DA1097" s="1"/>
      <c r="DB1097" s="1"/>
      <c r="DC1097" s="1"/>
      <c r="DD1097" s="1"/>
      <c r="DE1097" s="1"/>
      <c r="DF1097" s="1"/>
      <c r="DG1097" s="1"/>
      <c r="DH1097" s="1"/>
      <c r="DI1097" s="1"/>
      <c r="DJ1097" s="1"/>
      <c r="DK1097" s="1"/>
      <c r="ED1097" s="1"/>
      <c r="EE1097" s="1"/>
      <c r="EF1097" s="1"/>
      <c r="EG1097" s="1"/>
      <c r="EH1097" s="1"/>
      <c r="EK1097" s="1"/>
      <c r="EL1097" s="1"/>
      <c r="EM1097" s="1"/>
      <c r="EN1097" s="1"/>
      <c r="EQ1097" s="1"/>
      <c r="ER1097" s="1"/>
      <c r="ES1097" s="1"/>
      <c r="EV1097" s="1"/>
      <c r="EW1097" s="1"/>
      <c r="EY1097" s="1"/>
      <c r="EZ1097" s="1"/>
      <c r="GO1097" s="1"/>
      <c r="GP1097" s="1"/>
      <c r="HF1097" s="1"/>
      <c r="HH1097" s="1"/>
      <c r="HY1097" s="1"/>
      <c r="IA1097" s="1"/>
      <c r="ID1097" s="1"/>
      <c r="IE1097" s="1"/>
      <c r="IG1097" s="1"/>
      <c r="IJ1097" s="1"/>
      <c r="IR1097" s="1"/>
      <c r="IS1097" s="1"/>
      <c r="IW1097" s="1"/>
      <c r="IZ1097" s="1"/>
      <c r="JA1097" s="1"/>
      <c r="JG1097" s="1"/>
      <c r="JH1097" s="1"/>
      <c r="JJ1097" s="1"/>
      <c r="JK1097" s="1"/>
      <c r="JL1097" s="3"/>
      <c r="JM1097" s="1"/>
      <c r="JN1097" s="1"/>
      <c r="JP1097" s="1"/>
      <c r="JQ1097" s="1"/>
      <c r="JR1097" s="1"/>
      <c r="JT1097" s="1"/>
      <c r="KU1097" s="1"/>
      <c r="KV1097" s="1"/>
      <c r="KY1097" s="1"/>
      <c r="KZ1097" s="1"/>
      <c r="LA1097" s="1"/>
      <c r="LB1097" s="1"/>
      <c r="LC1097" s="1"/>
      <c r="LD1097" s="1"/>
      <c r="LO1097" s="1"/>
      <c r="LP1097" s="1"/>
      <c r="LZ1097" s="1"/>
      <c r="MA1097" s="1"/>
    </row>
    <row r="1098" spans="4:339" ht="13" x14ac:dyDescent="0.15">
      <c r="D1098" s="12"/>
      <c r="E1098" s="12"/>
      <c r="I1098" s="12"/>
      <c r="J1098" s="13"/>
      <c r="BF1098" s="1"/>
      <c r="BG1098" s="1"/>
      <c r="BH1098" s="1"/>
      <c r="BI1098" s="1"/>
      <c r="BJ1098" s="1"/>
      <c r="BK1098" s="1"/>
      <c r="BL1098" s="1"/>
      <c r="BM1098" s="1"/>
      <c r="BN1098" s="1"/>
      <c r="BO1098" s="1"/>
      <c r="BP1098" s="1"/>
      <c r="BQ1098" s="1"/>
      <c r="BR1098" s="1"/>
      <c r="BX1098" s="1"/>
      <c r="CD1098" s="1"/>
      <c r="CE1098" s="1"/>
      <c r="CF1098" s="1"/>
      <c r="CG1098" s="1"/>
      <c r="CK1098" s="1"/>
      <c r="CM1098" s="2"/>
      <c r="CP1098" s="1"/>
      <c r="CQ1098" s="1"/>
      <c r="CR1098" s="1"/>
      <c r="CS1098" s="1"/>
      <c r="CT1098" s="1"/>
      <c r="CU1098" s="1"/>
      <c r="CV1098" s="1"/>
      <c r="CW1098" s="1"/>
      <c r="CX1098" s="1"/>
      <c r="CY1098" s="1"/>
      <c r="CZ1098" s="1"/>
      <c r="DA1098" s="1"/>
      <c r="DB1098" s="1"/>
      <c r="DC1098" s="1"/>
      <c r="DD1098" s="1"/>
      <c r="DE1098" s="1"/>
      <c r="DF1098" s="1"/>
      <c r="DG1098" s="1"/>
      <c r="DH1098" s="1"/>
      <c r="DI1098" s="1"/>
      <c r="DJ1098" s="1"/>
      <c r="DK1098" s="1"/>
      <c r="ED1098" s="1"/>
      <c r="EE1098" s="1"/>
      <c r="EF1098" s="1"/>
      <c r="EG1098" s="1"/>
      <c r="EH1098" s="1"/>
      <c r="EK1098" s="1"/>
      <c r="EL1098" s="1"/>
      <c r="EM1098" s="1"/>
      <c r="EN1098" s="1"/>
      <c r="EQ1098" s="1"/>
      <c r="ER1098" s="1"/>
      <c r="ES1098" s="1"/>
      <c r="EV1098" s="1"/>
      <c r="EW1098" s="1"/>
      <c r="EY1098" s="1"/>
      <c r="EZ1098" s="1"/>
      <c r="GO1098" s="1"/>
      <c r="GP1098" s="1"/>
      <c r="HF1098" s="1"/>
      <c r="HH1098" s="1"/>
      <c r="HY1098" s="1"/>
      <c r="IA1098" s="1"/>
      <c r="ID1098" s="1"/>
      <c r="IE1098" s="1"/>
      <c r="IG1098" s="1"/>
      <c r="IJ1098" s="1"/>
      <c r="IR1098" s="1"/>
      <c r="IS1098" s="1"/>
      <c r="IW1098" s="1"/>
      <c r="IZ1098" s="1"/>
      <c r="JA1098" s="1"/>
      <c r="JG1098" s="1"/>
      <c r="JH1098" s="1"/>
      <c r="JJ1098" s="1"/>
      <c r="JK1098" s="1"/>
      <c r="JL1098" s="3"/>
      <c r="JM1098" s="1"/>
      <c r="JN1098" s="1"/>
      <c r="JP1098" s="1"/>
      <c r="JQ1098" s="1"/>
      <c r="JR1098" s="1"/>
      <c r="JT1098" s="1"/>
      <c r="KU1098" s="1"/>
      <c r="KV1098" s="1"/>
      <c r="KY1098" s="1"/>
      <c r="KZ1098" s="1"/>
      <c r="LA1098" s="1"/>
      <c r="LB1098" s="1"/>
      <c r="LC1098" s="1"/>
      <c r="LD1098" s="1"/>
      <c r="LO1098" s="1"/>
      <c r="LP1098" s="1"/>
      <c r="LZ1098" s="1"/>
      <c r="MA1098" s="1"/>
    </row>
    <row r="1099" spans="4:339" ht="13" x14ac:dyDescent="0.15">
      <c r="D1099" s="12"/>
      <c r="E1099" s="12"/>
      <c r="I1099" s="12"/>
      <c r="J1099" s="13"/>
      <c r="BF1099" s="1"/>
      <c r="BG1099" s="1"/>
      <c r="BH1099" s="1"/>
      <c r="BI1099" s="1"/>
      <c r="BJ1099" s="1"/>
      <c r="BK1099" s="1"/>
      <c r="BL1099" s="1"/>
      <c r="BM1099" s="1"/>
      <c r="BN1099" s="1"/>
      <c r="BO1099" s="1"/>
      <c r="BP1099" s="1"/>
      <c r="BQ1099" s="1"/>
      <c r="BR1099" s="1"/>
      <c r="BX1099" s="1"/>
      <c r="CD1099" s="1"/>
      <c r="CE1099" s="1"/>
      <c r="CF1099" s="1"/>
      <c r="CG1099" s="1"/>
      <c r="CK1099" s="1"/>
      <c r="CM1099" s="2"/>
      <c r="CP1099" s="1"/>
      <c r="CQ1099" s="1"/>
      <c r="CR1099" s="1"/>
      <c r="CS1099" s="1"/>
      <c r="CT1099" s="1"/>
      <c r="CU1099" s="1"/>
      <c r="CV1099" s="1"/>
      <c r="CW1099" s="1"/>
      <c r="CX1099" s="1"/>
      <c r="CY1099" s="1"/>
      <c r="CZ1099" s="1"/>
      <c r="DA1099" s="1"/>
      <c r="DB1099" s="1"/>
      <c r="DC1099" s="1"/>
      <c r="DD1099" s="1"/>
      <c r="DE1099" s="1"/>
      <c r="DF1099" s="1"/>
      <c r="DG1099" s="1"/>
      <c r="DH1099" s="1"/>
      <c r="DI1099" s="1"/>
      <c r="DJ1099" s="1"/>
      <c r="DK1099" s="1"/>
      <c r="ED1099" s="1"/>
      <c r="EE1099" s="1"/>
      <c r="EF1099" s="1"/>
      <c r="EG1099" s="1"/>
      <c r="EH1099" s="1"/>
      <c r="EK1099" s="1"/>
      <c r="EL1099" s="1"/>
      <c r="EM1099" s="1"/>
      <c r="EN1099" s="1"/>
      <c r="EQ1099" s="1"/>
      <c r="ER1099" s="1"/>
      <c r="ES1099" s="1"/>
      <c r="EV1099" s="1"/>
      <c r="EW1099" s="1"/>
      <c r="EY1099" s="1"/>
      <c r="EZ1099" s="1"/>
      <c r="GO1099" s="1"/>
      <c r="GP1099" s="1"/>
      <c r="HF1099" s="1"/>
      <c r="HH1099" s="1"/>
      <c r="HY1099" s="1"/>
      <c r="IA1099" s="1"/>
      <c r="ID1099" s="1"/>
      <c r="IE1099" s="1"/>
      <c r="IG1099" s="1"/>
      <c r="IJ1099" s="1"/>
      <c r="IR1099" s="1"/>
      <c r="IS1099" s="1"/>
      <c r="IW1099" s="1"/>
      <c r="IZ1099" s="1"/>
      <c r="JA1099" s="1"/>
      <c r="JG1099" s="1"/>
      <c r="JH1099" s="1"/>
      <c r="JJ1099" s="1"/>
      <c r="JK1099" s="1"/>
      <c r="JL1099" s="3"/>
      <c r="JM1099" s="1"/>
      <c r="JN1099" s="1"/>
      <c r="JP1099" s="1"/>
      <c r="JQ1099" s="1"/>
      <c r="JR1099" s="1"/>
      <c r="JT1099" s="1"/>
      <c r="KU1099" s="1"/>
      <c r="KV1099" s="1"/>
      <c r="KY1099" s="1"/>
      <c r="KZ1099" s="1"/>
      <c r="LA1099" s="1"/>
      <c r="LB1099" s="1"/>
      <c r="LC1099" s="1"/>
      <c r="LD1099" s="1"/>
      <c r="LO1099" s="1"/>
      <c r="LP1099" s="1"/>
      <c r="LZ1099" s="1"/>
      <c r="MA1099" s="1"/>
    </row>
    <row r="1100" spans="4:339" ht="13" x14ac:dyDescent="0.15">
      <c r="D1100" s="12"/>
      <c r="E1100" s="12"/>
      <c r="I1100" s="12"/>
      <c r="J1100" s="13"/>
      <c r="BF1100" s="1"/>
      <c r="BG1100" s="1"/>
      <c r="BH1100" s="1"/>
      <c r="BI1100" s="1"/>
      <c r="BJ1100" s="1"/>
      <c r="BK1100" s="1"/>
      <c r="BL1100" s="1"/>
      <c r="BM1100" s="1"/>
      <c r="BN1100" s="1"/>
      <c r="BO1100" s="1"/>
      <c r="BP1100" s="1"/>
      <c r="BQ1100" s="1"/>
      <c r="BR1100" s="1"/>
      <c r="BX1100" s="1"/>
      <c r="CD1100" s="1"/>
      <c r="CE1100" s="1"/>
      <c r="CF1100" s="1"/>
      <c r="CG1100" s="1"/>
      <c r="CK1100" s="1"/>
      <c r="CM1100" s="2"/>
      <c r="CP1100" s="1"/>
      <c r="CQ1100" s="1"/>
      <c r="CR1100" s="1"/>
      <c r="CS1100" s="1"/>
      <c r="CT1100" s="1"/>
      <c r="CU1100" s="1"/>
      <c r="CV1100" s="1"/>
      <c r="CW1100" s="1"/>
      <c r="CX1100" s="1"/>
      <c r="CY1100" s="1"/>
      <c r="CZ1100" s="1"/>
      <c r="DA1100" s="1"/>
      <c r="DB1100" s="1"/>
      <c r="DC1100" s="1"/>
      <c r="DD1100" s="1"/>
      <c r="DE1100" s="1"/>
      <c r="DF1100" s="1"/>
      <c r="DG1100" s="1"/>
      <c r="DH1100" s="1"/>
      <c r="DI1100" s="1"/>
      <c r="DJ1100" s="1"/>
      <c r="DK1100" s="1"/>
      <c r="ED1100" s="1"/>
      <c r="EE1100" s="1"/>
      <c r="EF1100" s="1"/>
      <c r="EG1100" s="1"/>
      <c r="EH1100" s="1"/>
      <c r="EK1100" s="1"/>
      <c r="EL1100" s="1"/>
      <c r="EM1100" s="1"/>
      <c r="EN1100" s="1"/>
      <c r="EQ1100" s="1"/>
      <c r="ER1100" s="1"/>
      <c r="ES1100" s="1"/>
      <c r="EV1100" s="1"/>
      <c r="EW1100" s="1"/>
      <c r="EY1100" s="1"/>
      <c r="EZ1100" s="1"/>
      <c r="GO1100" s="1"/>
      <c r="GP1100" s="1"/>
      <c r="HF1100" s="1"/>
      <c r="HH1100" s="1"/>
      <c r="HY1100" s="1"/>
      <c r="IA1100" s="1"/>
      <c r="ID1100" s="1"/>
      <c r="IE1100" s="1"/>
      <c r="IG1100" s="1"/>
      <c r="IJ1100" s="1"/>
      <c r="IR1100" s="1"/>
      <c r="IS1100" s="1"/>
      <c r="IW1100" s="1"/>
      <c r="IZ1100" s="1"/>
      <c r="JA1100" s="1"/>
      <c r="JG1100" s="1"/>
      <c r="JH1100" s="1"/>
      <c r="JJ1100" s="1"/>
      <c r="JK1100" s="1"/>
      <c r="JL1100" s="3"/>
      <c r="JM1100" s="1"/>
      <c r="JN1100" s="1"/>
      <c r="JP1100" s="1"/>
      <c r="JQ1100" s="1"/>
      <c r="JR1100" s="1"/>
      <c r="JT1100" s="1"/>
      <c r="KU1100" s="1"/>
      <c r="KV1100" s="1"/>
      <c r="KY1100" s="1"/>
      <c r="KZ1100" s="1"/>
      <c r="LA1100" s="1"/>
      <c r="LB1100" s="1"/>
      <c r="LC1100" s="1"/>
      <c r="LD1100" s="1"/>
      <c r="LO1100" s="1"/>
      <c r="LP1100" s="1"/>
      <c r="LZ1100" s="1"/>
      <c r="MA1100" s="1"/>
    </row>
    <row r="1101" spans="4:339" ht="13" x14ac:dyDescent="0.15">
      <c r="D1101" s="12"/>
      <c r="E1101" s="12"/>
      <c r="I1101" s="12"/>
      <c r="J1101" s="13"/>
      <c r="BF1101" s="1"/>
      <c r="BG1101" s="1"/>
      <c r="BH1101" s="1"/>
      <c r="BI1101" s="1"/>
      <c r="BJ1101" s="1"/>
      <c r="BK1101" s="1"/>
      <c r="BL1101" s="1"/>
      <c r="BM1101" s="1"/>
      <c r="BN1101" s="1"/>
      <c r="BP1101" s="1"/>
      <c r="BQ1101" s="1"/>
      <c r="BR1101" s="1"/>
      <c r="BX1101" s="1"/>
      <c r="CD1101" s="1"/>
      <c r="CE1101" s="1"/>
      <c r="CF1101" s="1"/>
      <c r="CG1101" s="1"/>
      <c r="CM1101" s="2"/>
      <c r="CP1101" s="1"/>
      <c r="CQ1101" s="1"/>
      <c r="CR1101" s="1"/>
      <c r="CS1101" s="1"/>
      <c r="CT1101" s="1"/>
      <c r="CU1101" s="1"/>
      <c r="CV1101" s="1"/>
      <c r="CW1101" s="1"/>
      <c r="CX1101" s="1"/>
      <c r="CY1101" s="1"/>
      <c r="CZ1101" s="1"/>
      <c r="DA1101" s="1"/>
      <c r="DB1101" s="1"/>
      <c r="DC1101" s="1"/>
      <c r="DD1101" s="1"/>
      <c r="DE1101" s="1"/>
      <c r="DF1101" s="1"/>
      <c r="DG1101" s="1"/>
      <c r="DH1101" s="1"/>
      <c r="DI1101" s="1"/>
      <c r="DJ1101" s="1"/>
      <c r="DK1101" s="1"/>
      <c r="DL1101" s="1"/>
      <c r="DM1101" s="1"/>
      <c r="DQ1101" s="1"/>
      <c r="DR1101" s="1"/>
      <c r="DY1101" s="1"/>
      <c r="DZ1101" s="1"/>
      <c r="ED1101" s="1"/>
      <c r="EE1101" s="1"/>
      <c r="EF1101" s="1"/>
      <c r="EG1101" s="1"/>
      <c r="EH1101" s="1"/>
      <c r="EK1101" s="1"/>
      <c r="EL1101" s="1"/>
      <c r="EM1101" s="1"/>
      <c r="EN1101" s="1"/>
      <c r="EQ1101" s="1"/>
      <c r="ER1101" s="1"/>
      <c r="ES1101" s="1"/>
      <c r="EV1101" s="1"/>
      <c r="EW1101" s="1"/>
      <c r="EY1101" s="1"/>
      <c r="EZ1101" s="1"/>
      <c r="GO1101" s="1"/>
      <c r="GP1101" s="1"/>
      <c r="HF1101" s="1"/>
      <c r="HH1101" s="1"/>
      <c r="HQ1101" s="1"/>
      <c r="HT1101" s="1"/>
      <c r="HY1101" s="1"/>
      <c r="IE1101" s="1"/>
      <c r="IG1101" s="1"/>
      <c r="IJ1101" s="1"/>
      <c r="IS1101" s="1"/>
      <c r="IZ1101" s="1"/>
      <c r="JF1101" s="1"/>
      <c r="JG1101" s="1"/>
      <c r="JJ1101" s="1"/>
      <c r="JK1101" s="1"/>
      <c r="JL1101" s="3"/>
      <c r="JM1101" s="1"/>
      <c r="JP1101" s="1"/>
      <c r="JQ1101" s="1"/>
      <c r="JR1101" s="1"/>
      <c r="KU1101" s="1"/>
      <c r="KY1101" s="1"/>
      <c r="KZ1101" s="1"/>
      <c r="LA1101" s="1"/>
      <c r="LB1101" s="1"/>
      <c r="LC1101" s="1"/>
      <c r="LD1101" s="1"/>
      <c r="LO1101" s="1"/>
      <c r="LP1101" s="1"/>
      <c r="LZ1101" s="1"/>
      <c r="MA1101" s="1"/>
    </row>
    <row r="1102" spans="4:339" ht="13" x14ac:dyDescent="0.15">
      <c r="D1102" s="12"/>
      <c r="E1102" s="12"/>
      <c r="I1102" s="12"/>
      <c r="J1102" s="13"/>
      <c r="BF1102" s="1"/>
      <c r="BG1102" s="1"/>
      <c r="BH1102" s="1"/>
      <c r="BI1102" s="1"/>
      <c r="BJ1102" s="1"/>
      <c r="BK1102" s="1"/>
      <c r="BL1102" s="1"/>
      <c r="BM1102" s="1"/>
      <c r="BN1102" s="1"/>
      <c r="BP1102" s="1"/>
      <c r="BQ1102" s="1"/>
      <c r="BR1102" s="1"/>
      <c r="BX1102" s="1"/>
      <c r="CD1102" s="1"/>
      <c r="CE1102" s="1"/>
      <c r="CF1102" s="1"/>
      <c r="CG1102" s="1"/>
      <c r="CM1102" s="2"/>
      <c r="CP1102" s="1"/>
      <c r="CQ1102" s="1"/>
      <c r="CR1102" s="1"/>
      <c r="CS1102" s="1"/>
      <c r="CT1102" s="1"/>
      <c r="CU1102" s="1"/>
      <c r="CV1102" s="1"/>
      <c r="CW1102" s="1"/>
      <c r="CX1102" s="1"/>
      <c r="CY1102" s="1"/>
      <c r="CZ1102" s="1"/>
      <c r="DA1102" s="1"/>
      <c r="DB1102" s="1"/>
      <c r="DC1102" s="1"/>
      <c r="DD1102" s="1"/>
      <c r="DE1102" s="1"/>
      <c r="DF1102" s="1"/>
      <c r="DG1102" s="1"/>
      <c r="DH1102" s="1"/>
      <c r="DI1102" s="1"/>
      <c r="DJ1102" s="1"/>
      <c r="DK1102" s="1"/>
      <c r="DL1102" s="1"/>
      <c r="DM1102" s="1"/>
      <c r="DQ1102" s="1"/>
      <c r="DR1102" s="1"/>
      <c r="DY1102" s="1"/>
      <c r="DZ1102" s="1"/>
      <c r="ED1102" s="1"/>
      <c r="EE1102" s="1"/>
      <c r="EF1102" s="1"/>
      <c r="EG1102" s="1"/>
      <c r="EH1102" s="1"/>
      <c r="EK1102" s="1"/>
      <c r="EL1102" s="1"/>
      <c r="EM1102" s="1"/>
      <c r="EN1102" s="1"/>
      <c r="EQ1102" s="1"/>
      <c r="ER1102" s="1"/>
      <c r="ES1102" s="1"/>
      <c r="EV1102" s="1"/>
      <c r="EW1102" s="1"/>
      <c r="EY1102" s="1"/>
      <c r="EZ1102" s="1"/>
      <c r="GO1102" s="1"/>
      <c r="GP1102" s="1"/>
      <c r="HF1102" s="1"/>
      <c r="HH1102" s="1"/>
      <c r="HQ1102" s="1"/>
      <c r="HT1102" s="1"/>
      <c r="HY1102" s="1"/>
      <c r="IE1102" s="1"/>
      <c r="IG1102" s="1"/>
      <c r="IJ1102" s="1"/>
      <c r="IS1102" s="1"/>
      <c r="IZ1102" s="1"/>
      <c r="JF1102" s="1"/>
      <c r="JG1102" s="1"/>
      <c r="JJ1102" s="1"/>
      <c r="JK1102" s="1"/>
      <c r="JL1102" s="3"/>
      <c r="JM1102" s="1"/>
      <c r="JP1102" s="1"/>
      <c r="JQ1102" s="1"/>
      <c r="JR1102" s="1"/>
      <c r="KU1102" s="1"/>
      <c r="KY1102" s="1"/>
      <c r="KZ1102" s="1"/>
      <c r="LA1102" s="1"/>
      <c r="LB1102" s="1"/>
      <c r="LC1102" s="1"/>
      <c r="LD1102" s="1"/>
      <c r="LO1102" s="1"/>
      <c r="LP1102" s="1"/>
      <c r="LZ1102" s="1"/>
      <c r="MA1102" s="1"/>
    </row>
    <row r="1103" spans="4:339" ht="13" x14ac:dyDescent="0.15">
      <c r="D1103" s="12"/>
      <c r="E1103" s="12"/>
      <c r="I1103" s="12"/>
      <c r="J1103" s="13"/>
      <c r="BF1103" s="1"/>
      <c r="BG1103" s="1"/>
      <c r="BH1103" s="1"/>
      <c r="BI1103" s="1"/>
      <c r="BJ1103" s="1"/>
      <c r="BK1103" s="1"/>
      <c r="BL1103" s="1"/>
      <c r="BM1103" s="1"/>
      <c r="BN1103" s="1"/>
      <c r="BP1103" s="1"/>
      <c r="BQ1103" s="1"/>
      <c r="BR1103" s="1"/>
      <c r="BX1103" s="1"/>
      <c r="CD1103" s="1"/>
      <c r="CE1103" s="1"/>
      <c r="CF1103" s="1"/>
      <c r="CG1103" s="1"/>
      <c r="CM1103" s="2"/>
      <c r="CP1103" s="1"/>
      <c r="CQ1103" s="1"/>
      <c r="CR1103" s="1"/>
      <c r="CS1103" s="1"/>
      <c r="CT1103" s="1"/>
      <c r="CU1103" s="1"/>
      <c r="CV1103" s="1"/>
      <c r="CW1103" s="1"/>
      <c r="CX1103" s="1"/>
      <c r="CY1103" s="1"/>
      <c r="CZ1103" s="1"/>
      <c r="DA1103" s="1"/>
      <c r="DB1103" s="1"/>
      <c r="DC1103" s="1"/>
      <c r="DD1103" s="1"/>
      <c r="DE1103" s="1"/>
      <c r="DF1103" s="1"/>
      <c r="DG1103" s="1"/>
      <c r="DH1103" s="1"/>
      <c r="DI1103" s="1"/>
      <c r="DJ1103" s="1"/>
      <c r="DK1103" s="1"/>
      <c r="DL1103" s="1"/>
      <c r="DM1103" s="1"/>
      <c r="DQ1103" s="1"/>
      <c r="DR1103" s="1"/>
      <c r="DY1103" s="1"/>
      <c r="DZ1103" s="1"/>
      <c r="ED1103" s="1"/>
      <c r="EE1103" s="1"/>
      <c r="EF1103" s="1"/>
      <c r="EG1103" s="1"/>
      <c r="EH1103" s="1"/>
      <c r="EK1103" s="1"/>
      <c r="EL1103" s="1"/>
      <c r="EM1103" s="1"/>
      <c r="EN1103" s="1"/>
      <c r="EQ1103" s="1"/>
      <c r="ER1103" s="1"/>
      <c r="ES1103" s="1"/>
      <c r="EV1103" s="1"/>
      <c r="EW1103" s="1"/>
      <c r="EY1103" s="1"/>
      <c r="EZ1103" s="1"/>
      <c r="GO1103" s="1"/>
      <c r="GP1103" s="1"/>
      <c r="HF1103" s="1"/>
      <c r="HH1103" s="1"/>
      <c r="HQ1103" s="1"/>
      <c r="HT1103" s="1"/>
      <c r="HY1103" s="1"/>
      <c r="IE1103" s="1"/>
      <c r="IG1103" s="1"/>
      <c r="IJ1103" s="1"/>
      <c r="IS1103" s="1"/>
      <c r="IZ1103" s="1"/>
      <c r="JF1103" s="1"/>
      <c r="JG1103" s="1"/>
      <c r="JJ1103" s="1"/>
      <c r="JK1103" s="1"/>
      <c r="JL1103" s="3"/>
      <c r="JM1103" s="1"/>
      <c r="JP1103" s="1"/>
      <c r="JQ1103" s="1"/>
      <c r="JR1103" s="1"/>
      <c r="KU1103" s="1"/>
      <c r="KY1103" s="1"/>
      <c r="KZ1103" s="1"/>
      <c r="LA1103" s="1"/>
      <c r="LB1103" s="1"/>
      <c r="LC1103" s="1"/>
      <c r="LD1103" s="1"/>
      <c r="LO1103" s="1"/>
      <c r="LP1103" s="1"/>
      <c r="LZ1103" s="1"/>
      <c r="MA1103" s="1"/>
    </row>
    <row r="1104" spans="4:339" ht="13" x14ac:dyDescent="0.15">
      <c r="D1104" s="12"/>
      <c r="E1104" s="12"/>
      <c r="I1104" s="12"/>
      <c r="J1104" s="13"/>
      <c r="BF1104" s="1"/>
      <c r="BG1104" s="1"/>
      <c r="BH1104" s="1"/>
      <c r="BI1104" s="1"/>
      <c r="BJ1104" s="1"/>
      <c r="BK1104" s="1"/>
      <c r="BL1104" s="1"/>
      <c r="BM1104" s="1"/>
      <c r="BN1104" s="1"/>
      <c r="BP1104" s="1"/>
      <c r="BQ1104" s="1"/>
      <c r="BR1104" s="1"/>
      <c r="BX1104" s="1"/>
      <c r="CD1104" s="1"/>
      <c r="CE1104" s="1"/>
      <c r="CF1104" s="1"/>
      <c r="CG1104" s="1"/>
      <c r="CM1104" s="2"/>
      <c r="CP1104" s="1"/>
      <c r="CQ1104" s="1"/>
      <c r="CR1104" s="1"/>
      <c r="CS1104" s="1"/>
      <c r="CT1104" s="1"/>
      <c r="CU1104" s="1"/>
      <c r="CV1104" s="1"/>
      <c r="CW1104" s="1"/>
      <c r="CX1104" s="1"/>
      <c r="CY1104" s="1"/>
      <c r="CZ1104" s="1"/>
      <c r="DA1104" s="1"/>
      <c r="DB1104" s="1"/>
      <c r="DC1104" s="1"/>
      <c r="DD1104" s="1"/>
      <c r="DE1104" s="1"/>
      <c r="DF1104" s="1"/>
      <c r="DG1104" s="1"/>
      <c r="DH1104" s="1"/>
      <c r="DI1104" s="1"/>
      <c r="DJ1104" s="1"/>
      <c r="DK1104" s="1"/>
      <c r="DL1104" s="1"/>
      <c r="DM1104" s="1"/>
      <c r="DQ1104" s="1"/>
      <c r="DR1104" s="1"/>
      <c r="DY1104" s="1"/>
      <c r="DZ1104" s="1"/>
      <c r="ED1104" s="1"/>
      <c r="EE1104" s="1"/>
      <c r="EF1104" s="1"/>
      <c r="EG1104" s="1"/>
      <c r="EH1104" s="1"/>
      <c r="EK1104" s="1"/>
      <c r="EL1104" s="1"/>
      <c r="EM1104" s="1"/>
      <c r="EN1104" s="1"/>
      <c r="EQ1104" s="1"/>
      <c r="ER1104" s="1"/>
      <c r="ES1104" s="1"/>
      <c r="EV1104" s="1"/>
      <c r="EW1104" s="1"/>
      <c r="EY1104" s="1"/>
      <c r="EZ1104" s="1"/>
      <c r="GO1104" s="1"/>
      <c r="GP1104" s="1"/>
      <c r="HF1104" s="1"/>
      <c r="HH1104" s="1"/>
      <c r="HQ1104" s="1"/>
      <c r="HT1104" s="1"/>
      <c r="HY1104" s="1"/>
      <c r="IE1104" s="1"/>
      <c r="IG1104" s="1"/>
      <c r="IJ1104" s="1"/>
      <c r="IS1104" s="1"/>
      <c r="IZ1104" s="1"/>
      <c r="JF1104" s="1"/>
      <c r="JG1104" s="1"/>
      <c r="JJ1104" s="1"/>
      <c r="JK1104" s="1"/>
      <c r="JL1104" s="3"/>
      <c r="JM1104" s="1"/>
      <c r="JP1104" s="1"/>
      <c r="JQ1104" s="1"/>
      <c r="JR1104" s="1"/>
      <c r="KU1104" s="1"/>
      <c r="KY1104" s="1"/>
      <c r="KZ1104" s="1"/>
      <c r="LA1104" s="1"/>
      <c r="LB1104" s="1"/>
      <c r="LC1104" s="1"/>
      <c r="LD1104" s="1"/>
      <c r="LO1104" s="1"/>
      <c r="LP1104" s="1"/>
      <c r="LZ1104" s="1"/>
      <c r="MA1104" s="1"/>
    </row>
    <row r="1105" spans="4:339" ht="13" x14ac:dyDescent="0.15">
      <c r="D1105" s="12"/>
      <c r="E1105" s="12"/>
      <c r="I1105" s="12"/>
      <c r="J1105" s="13"/>
      <c r="BF1105" s="1"/>
      <c r="BG1105" s="1"/>
      <c r="BH1105" s="1"/>
      <c r="BI1105" s="1"/>
      <c r="BJ1105" s="1"/>
      <c r="BK1105" s="1"/>
      <c r="BL1105" s="1"/>
      <c r="BM1105" s="1"/>
      <c r="BN1105" s="1"/>
      <c r="BP1105" s="1"/>
      <c r="BQ1105" s="1"/>
      <c r="BR1105" s="1"/>
      <c r="BX1105" s="1"/>
      <c r="CD1105" s="1"/>
      <c r="CE1105" s="1"/>
      <c r="CF1105" s="1"/>
      <c r="CG1105" s="1"/>
      <c r="CM1105" s="2"/>
      <c r="CP1105" s="1"/>
      <c r="CQ1105" s="1"/>
      <c r="CR1105" s="1"/>
      <c r="CS1105" s="1"/>
      <c r="CT1105" s="1"/>
      <c r="CU1105" s="1"/>
      <c r="CV1105" s="1"/>
      <c r="CW1105" s="1"/>
      <c r="CX1105" s="1"/>
      <c r="CY1105" s="1"/>
      <c r="CZ1105" s="1"/>
      <c r="DA1105" s="1"/>
      <c r="DB1105" s="1"/>
      <c r="DC1105" s="1"/>
      <c r="DD1105" s="1"/>
      <c r="DE1105" s="1"/>
      <c r="DF1105" s="1"/>
      <c r="DG1105" s="1"/>
      <c r="DH1105" s="1"/>
      <c r="DI1105" s="1"/>
      <c r="DJ1105" s="1"/>
      <c r="DK1105" s="1"/>
      <c r="DL1105" s="1"/>
      <c r="DM1105" s="1"/>
      <c r="DQ1105" s="1"/>
      <c r="DR1105" s="1"/>
      <c r="DY1105" s="1"/>
      <c r="DZ1105" s="1"/>
      <c r="ED1105" s="1"/>
      <c r="EE1105" s="1"/>
      <c r="EF1105" s="1"/>
      <c r="EG1105" s="1"/>
      <c r="EH1105" s="1"/>
      <c r="EK1105" s="1"/>
      <c r="EL1105" s="1"/>
      <c r="EM1105" s="1"/>
      <c r="EN1105" s="1"/>
      <c r="EQ1105" s="1"/>
      <c r="ER1105" s="1"/>
      <c r="ES1105" s="1"/>
      <c r="EV1105" s="1"/>
      <c r="EW1105" s="1"/>
      <c r="EY1105" s="1"/>
      <c r="EZ1105" s="1"/>
      <c r="GO1105" s="1"/>
      <c r="GP1105" s="1"/>
      <c r="HF1105" s="1"/>
      <c r="HH1105" s="1"/>
      <c r="HQ1105" s="1"/>
      <c r="HT1105" s="1"/>
      <c r="HY1105" s="1"/>
      <c r="IE1105" s="1"/>
      <c r="IG1105" s="1"/>
      <c r="IJ1105" s="1"/>
      <c r="IS1105" s="1"/>
      <c r="IZ1105" s="1"/>
      <c r="JF1105" s="1"/>
      <c r="JG1105" s="1"/>
      <c r="JJ1105" s="1"/>
      <c r="JK1105" s="1"/>
      <c r="JL1105" s="3"/>
      <c r="JM1105" s="1"/>
      <c r="JP1105" s="1"/>
      <c r="JQ1105" s="1"/>
      <c r="JR1105" s="1"/>
      <c r="KU1105" s="1"/>
      <c r="KY1105" s="1"/>
      <c r="KZ1105" s="1"/>
      <c r="LA1105" s="1"/>
      <c r="LB1105" s="1"/>
      <c r="LC1105" s="1"/>
      <c r="LD1105" s="1"/>
      <c r="LO1105" s="1"/>
      <c r="LP1105" s="1"/>
      <c r="LZ1105" s="1"/>
      <c r="MA1105" s="1"/>
    </row>
    <row r="1106" spans="4:339" ht="13" x14ac:dyDescent="0.15">
      <c r="D1106" s="12"/>
      <c r="E1106" s="12"/>
      <c r="I1106" s="12"/>
      <c r="J1106" s="13"/>
      <c r="BF1106" s="1"/>
      <c r="BG1106" s="1"/>
      <c r="BH1106" s="1"/>
      <c r="BI1106" s="1"/>
      <c r="BJ1106" s="1"/>
      <c r="BK1106" s="1"/>
      <c r="BL1106" s="1"/>
      <c r="BM1106" s="1"/>
      <c r="BN1106" s="1"/>
      <c r="BP1106" s="1"/>
      <c r="BQ1106" s="1"/>
      <c r="BR1106" s="1"/>
      <c r="BX1106" s="1"/>
      <c r="CD1106" s="1"/>
      <c r="CE1106" s="1"/>
      <c r="CF1106" s="1"/>
      <c r="CG1106" s="1"/>
      <c r="CM1106" s="2"/>
      <c r="CP1106" s="1"/>
      <c r="CQ1106" s="1"/>
      <c r="CR1106" s="1"/>
      <c r="CS1106" s="1"/>
      <c r="CT1106" s="1"/>
      <c r="CU1106" s="1"/>
      <c r="CV1106" s="1"/>
      <c r="CW1106" s="1"/>
      <c r="CX1106" s="1"/>
      <c r="CY1106" s="1"/>
      <c r="CZ1106" s="1"/>
      <c r="DA1106" s="1"/>
      <c r="DB1106" s="1"/>
      <c r="DC1106" s="1"/>
      <c r="DD1106" s="1"/>
      <c r="DE1106" s="1"/>
      <c r="DF1106" s="1"/>
      <c r="DG1106" s="1"/>
      <c r="DH1106" s="1"/>
      <c r="DI1106" s="1"/>
      <c r="DJ1106" s="1"/>
      <c r="DK1106" s="1"/>
      <c r="DL1106" s="1"/>
      <c r="DM1106" s="1"/>
      <c r="DQ1106" s="1"/>
      <c r="DR1106" s="1"/>
      <c r="DY1106" s="1"/>
      <c r="DZ1106" s="1"/>
      <c r="ED1106" s="1"/>
      <c r="EE1106" s="1"/>
      <c r="EF1106" s="1"/>
      <c r="EG1106" s="1"/>
      <c r="EH1106" s="1"/>
      <c r="EK1106" s="1"/>
      <c r="EL1106" s="1"/>
      <c r="EM1106" s="1"/>
      <c r="EN1106" s="1"/>
      <c r="EQ1106" s="1"/>
      <c r="ER1106" s="1"/>
      <c r="ES1106" s="1"/>
      <c r="EV1106" s="1"/>
      <c r="EW1106" s="1"/>
      <c r="EY1106" s="1"/>
      <c r="EZ1106" s="1"/>
      <c r="GO1106" s="1"/>
      <c r="GP1106" s="1"/>
      <c r="HF1106" s="1"/>
      <c r="HH1106" s="1"/>
      <c r="HQ1106" s="1"/>
      <c r="HT1106" s="1"/>
      <c r="HY1106" s="1"/>
      <c r="IE1106" s="1"/>
      <c r="IG1106" s="1"/>
      <c r="IJ1106" s="1"/>
      <c r="IS1106" s="1"/>
      <c r="IZ1106" s="1"/>
      <c r="JF1106" s="1"/>
      <c r="JG1106" s="1"/>
      <c r="JJ1106" s="1"/>
      <c r="JK1106" s="1"/>
      <c r="JL1106" s="3"/>
      <c r="JM1106" s="1"/>
      <c r="JP1106" s="1"/>
      <c r="JQ1106" s="1"/>
      <c r="JR1106" s="1"/>
      <c r="KU1106" s="1"/>
      <c r="KY1106" s="1"/>
      <c r="KZ1106" s="1"/>
      <c r="LA1106" s="1"/>
      <c r="LB1106" s="1"/>
      <c r="LC1106" s="1"/>
      <c r="LD1106" s="1"/>
      <c r="LO1106" s="1"/>
      <c r="LP1106" s="1"/>
      <c r="LZ1106" s="1"/>
      <c r="MA1106" s="1"/>
    </row>
    <row r="1107" spans="4:339" ht="13" x14ac:dyDescent="0.15">
      <c r="D1107" s="12"/>
      <c r="E1107" s="12"/>
      <c r="I1107" s="12"/>
      <c r="J1107" s="13"/>
      <c r="BF1107" s="1"/>
      <c r="BG1107" s="1"/>
      <c r="BH1107" s="1"/>
      <c r="BI1107" s="1"/>
      <c r="BJ1107" s="1"/>
      <c r="BK1107" s="1"/>
      <c r="BL1107" s="1"/>
      <c r="BM1107" s="1"/>
      <c r="BN1107" s="1"/>
      <c r="BP1107" s="1"/>
      <c r="BQ1107" s="1"/>
      <c r="BR1107" s="1"/>
      <c r="BX1107" s="1"/>
      <c r="CD1107" s="1"/>
      <c r="CE1107" s="1"/>
      <c r="CF1107" s="1"/>
      <c r="CG1107" s="1"/>
      <c r="CM1107" s="2"/>
      <c r="CP1107" s="1"/>
      <c r="CQ1107" s="1"/>
      <c r="CR1107" s="1"/>
      <c r="CS1107" s="1"/>
      <c r="CT1107" s="1"/>
      <c r="CU1107" s="1"/>
      <c r="CV1107" s="1"/>
      <c r="CW1107" s="1"/>
      <c r="CX1107" s="1"/>
      <c r="CY1107" s="1"/>
      <c r="CZ1107" s="1"/>
      <c r="DA1107" s="1"/>
      <c r="DB1107" s="1"/>
      <c r="DC1107" s="1"/>
      <c r="DD1107" s="1"/>
      <c r="DE1107" s="1"/>
      <c r="DF1107" s="1"/>
      <c r="DG1107" s="1"/>
      <c r="DH1107" s="1"/>
      <c r="DI1107" s="1"/>
      <c r="DJ1107" s="1"/>
      <c r="DK1107" s="1"/>
      <c r="DL1107" s="1"/>
      <c r="DM1107" s="1"/>
      <c r="DQ1107" s="1"/>
      <c r="DR1107" s="1"/>
      <c r="DY1107" s="1"/>
      <c r="DZ1107" s="1"/>
      <c r="ED1107" s="1"/>
      <c r="EE1107" s="1"/>
      <c r="EF1107" s="1"/>
      <c r="EG1107" s="1"/>
      <c r="EH1107" s="1"/>
      <c r="EK1107" s="1"/>
      <c r="EL1107" s="1"/>
      <c r="EM1107" s="1"/>
      <c r="EN1107" s="1"/>
      <c r="EQ1107" s="1"/>
      <c r="ER1107" s="1"/>
      <c r="ES1107" s="1"/>
      <c r="EV1107" s="1"/>
      <c r="EW1107" s="1"/>
      <c r="EY1107" s="1"/>
      <c r="EZ1107" s="1"/>
      <c r="GO1107" s="1"/>
      <c r="GP1107" s="1"/>
      <c r="HF1107" s="1"/>
      <c r="HH1107" s="1"/>
      <c r="HQ1107" s="1"/>
      <c r="HT1107" s="1"/>
      <c r="HY1107" s="1"/>
      <c r="IE1107" s="1"/>
      <c r="IG1107" s="1"/>
      <c r="IJ1107" s="1"/>
      <c r="IS1107" s="1"/>
      <c r="IZ1107" s="1"/>
      <c r="JF1107" s="1"/>
      <c r="JG1107" s="1"/>
      <c r="JJ1107" s="1"/>
      <c r="JK1107" s="1"/>
      <c r="JL1107" s="3"/>
      <c r="JM1107" s="1"/>
      <c r="JP1107" s="1"/>
      <c r="JQ1107" s="1"/>
      <c r="JR1107" s="1"/>
      <c r="KU1107" s="1"/>
      <c r="KY1107" s="1"/>
      <c r="KZ1107" s="1"/>
      <c r="LA1107" s="1"/>
      <c r="LB1107" s="1"/>
      <c r="LC1107" s="1"/>
      <c r="LD1107" s="1"/>
      <c r="LO1107" s="1"/>
      <c r="LP1107" s="1"/>
      <c r="LZ1107" s="1"/>
      <c r="MA1107" s="1"/>
    </row>
    <row r="1108" spans="4:339" ht="13" x14ac:dyDescent="0.15">
      <c r="D1108" s="12"/>
      <c r="E1108" s="12"/>
      <c r="I1108" s="12"/>
      <c r="J1108" s="13"/>
      <c r="BF1108" s="1"/>
      <c r="BG1108" s="1"/>
      <c r="BH1108" s="1"/>
      <c r="BI1108" s="1"/>
      <c r="BJ1108" s="1"/>
      <c r="BK1108" s="1"/>
      <c r="BL1108" s="1"/>
      <c r="BM1108" s="1"/>
      <c r="BN1108" s="1"/>
      <c r="BP1108" s="1"/>
      <c r="BQ1108" s="1"/>
      <c r="BR1108" s="1"/>
      <c r="BX1108" s="1"/>
      <c r="CD1108" s="1"/>
      <c r="CE1108" s="1"/>
      <c r="CF1108" s="1"/>
      <c r="CG1108" s="1"/>
      <c r="CM1108" s="2"/>
      <c r="CP1108" s="1"/>
      <c r="CQ1108" s="1"/>
      <c r="CR1108" s="1"/>
      <c r="CS1108" s="1"/>
      <c r="CT1108" s="1"/>
      <c r="CU1108" s="1"/>
      <c r="CV1108" s="1"/>
      <c r="CW1108" s="1"/>
      <c r="CX1108" s="1"/>
      <c r="CY1108" s="1"/>
      <c r="CZ1108" s="1"/>
      <c r="DA1108" s="1"/>
      <c r="DB1108" s="1"/>
      <c r="DC1108" s="1"/>
      <c r="DD1108" s="1"/>
      <c r="DE1108" s="1"/>
      <c r="DF1108" s="1"/>
      <c r="DG1108" s="1"/>
      <c r="DH1108" s="1"/>
      <c r="DI1108" s="1"/>
      <c r="DJ1108" s="1"/>
      <c r="DK1108" s="1"/>
      <c r="DL1108" s="1"/>
      <c r="DM1108" s="1"/>
      <c r="DQ1108" s="1"/>
      <c r="DR1108" s="1"/>
      <c r="DY1108" s="1"/>
      <c r="DZ1108" s="1"/>
      <c r="ED1108" s="1"/>
      <c r="EE1108" s="1"/>
      <c r="EF1108" s="1"/>
      <c r="EG1108" s="1"/>
      <c r="EH1108" s="1"/>
      <c r="EK1108" s="1"/>
      <c r="EL1108" s="1"/>
      <c r="EM1108" s="1"/>
      <c r="EN1108" s="1"/>
      <c r="EQ1108" s="1"/>
      <c r="ER1108" s="1"/>
      <c r="ES1108" s="1"/>
      <c r="EV1108" s="1"/>
      <c r="EW1108" s="1"/>
      <c r="EY1108" s="1"/>
      <c r="EZ1108" s="1"/>
      <c r="GO1108" s="1"/>
      <c r="GP1108" s="1"/>
      <c r="HF1108" s="1"/>
      <c r="HH1108" s="1"/>
      <c r="HQ1108" s="1"/>
      <c r="HT1108" s="1"/>
      <c r="HY1108" s="1"/>
      <c r="IE1108" s="1"/>
      <c r="IG1108" s="1"/>
      <c r="IJ1108" s="1"/>
      <c r="IS1108" s="1"/>
      <c r="IZ1108" s="1"/>
      <c r="JF1108" s="1"/>
      <c r="JG1108" s="1"/>
      <c r="JJ1108" s="1"/>
      <c r="JK1108" s="1"/>
      <c r="JL1108" s="3"/>
      <c r="JM1108" s="1"/>
      <c r="JP1108" s="1"/>
      <c r="JQ1108" s="1"/>
      <c r="JR1108" s="1"/>
      <c r="KU1108" s="1"/>
      <c r="KY1108" s="1"/>
      <c r="KZ1108" s="1"/>
      <c r="LA1108" s="1"/>
      <c r="LB1108" s="1"/>
      <c r="LC1108" s="1"/>
      <c r="LD1108" s="1"/>
      <c r="LO1108" s="1"/>
      <c r="LP1108" s="1"/>
      <c r="LZ1108" s="1"/>
      <c r="MA1108" s="1"/>
    </row>
    <row r="1109" spans="4:339" ht="13" x14ac:dyDescent="0.15">
      <c r="D1109" s="12"/>
      <c r="E1109" s="12"/>
      <c r="I1109" s="12"/>
      <c r="J1109" s="13"/>
      <c r="BF1109" s="1"/>
      <c r="BG1109" s="1"/>
      <c r="BH1109" s="1"/>
      <c r="BI1109" s="1"/>
      <c r="BJ1109" s="1"/>
      <c r="BK1109" s="1"/>
      <c r="BL1109" s="1"/>
      <c r="BM1109" s="1"/>
      <c r="BN1109" s="1"/>
      <c r="BP1109" s="1"/>
      <c r="BQ1109" s="1"/>
      <c r="BR1109" s="1"/>
      <c r="BX1109" s="1"/>
      <c r="CD1109" s="1"/>
      <c r="CE1109" s="1"/>
      <c r="CF1109" s="1"/>
      <c r="CG1109" s="1"/>
      <c r="CM1109" s="2"/>
      <c r="CP1109" s="1"/>
      <c r="CQ1109" s="1"/>
      <c r="CR1109" s="1"/>
      <c r="CS1109" s="1"/>
      <c r="CT1109" s="1"/>
      <c r="CU1109" s="1"/>
      <c r="CV1109" s="1"/>
      <c r="CW1109" s="1"/>
      <c r="CX1109" s="1"/>
      <c r="CY1109" s="1"/>
      <c r="CZ1109" s="1"/>
      <c r="DA1109" s="1"/>
      <c r="DB1109" s="1"/>
      <c r="DC1109" s="1"/>
      <c r="DD1109" s="1"/>
      <c r="DE1109" s="1"/>
      <c r="DF1109" s="1"/>
      <c r="DG1109" s="1"/>
      <c r="DH1109" s="1"/>
      <c r="DI1109" s="1"/>
      <c r="DJ1109" s="1"/>
      <c r="DK1109" s="1"/>
      <c r="DL1109" s="1"/>
      <c r="DM1109" s="1"/>
      <c r="DQ1109" s="1"/>
      <c r="DR1109" s="1"/>
      <c r="DY1109" s="1"/>
      <c r="DZ1109" s="1"/>
      <c r="ED1109" s="1"/>
      <c r="EE1109" s="1"/>
      <c r="EF1109" s="1"/>
      <c r="EG1109" s="1"/>
      <c r="EH1109" s="1"/>
      <c r="EK1109" s="1"/>
      <c r="EL1109" s="1"/>
      <c r="EM1109" s="1"/>
      <c r="EN1109" s="1"/>
      <c r="EQ1109" s="1"/>
      <c r="ER1109" s="1"/>
      <c r="ES1109" s="1"/>
      <c r="EV1109" s="1"/>
      <c r="EW1109" s="1"/>
      <c r="EY1109" s="1"/>
      <c r="EZ1109" s="1"/>
      <c r="GO1109" s="1"/>
      <c r="GP1109" s="1"/>
      <c r="HF1109" s="1"/>
      <c r="HH1109" s="1"/>
      <c r="HQ1109" s="1"/>
      <c r="HT1109" s="1"/>
      <c r="HY1109" s="1"/>
      <c r="IE1109" s="1"/>
      <c r="IG1109" s="1"/>
      <c r="IJ1109" s="1"/>
      <c r="IS1109" s="1"/>
      <c r="IZ1109" s="1"/>
      <c r="JF1109" s="1"/>
      <c r="JG1109" s="1"/>
      <c r="JJ1109" s="1"/>
      <c r="JK1109" s="1"/>
      <c r="JL1109" s="3"/>
      <c r="JM1109" s="1"/>
      <c r="JP1109" s="1"/>
      <c r="JQ1109" s="1"/>
      <c r="JR1109" s="1"/>
      <c r="KU1109" s="1"/>
      <c r="KY1109" s="1"/>
      <c r="KZ1109" s="1"/>
      <c r="LA1109" s="1"/>
      <c r="LB1109" s="1"/>
      <c r="LC1109" s="1"/>
      <c r="LD1109" s="1"/>
      <c r="LO1109" s="1"/>
      <c r="LP1109" s="1"/>
      <c r="LZ1109" s="1"/>
      <c r="MA1109" s="1"/>
    </row>
    <row r="1110" spans="4:339" ht="13" x14ac:dyDescent="0.15">
      <c r="D1110" s="12"/>
      <c r="E1110" s="12"/>
      <c r="I1110" s="12"/>
      <c r="J1110" s="13"/>
      <c r="BF1110" s="1"/>
      <c r="BG1110" s="1"/>
      <c r="BH1110" s="1"/>
      <c r="BI1110" s="1"/>
      <c r="BJ1110" s="1"/>
      <c r="BK1110" s="1"/>
      <c r="BL1110" s="1"/>
      <c r="BM1110" s="1"/>
      <c r="BN1110" s="1"/>
      <c r="BP1110" s="1"/>
      <c r="BQ1110" s="1"/>
      <c r="BR1110" s="1"/>
      <c r="BX1110" s="1"/>
      <c r="CD1110" s="1"/>
      <c r="CE1110" s="1"/>
      <c r="CF1110" s="1"/>
      <c r="CG1110" s="1"/>
      <c r="CM1110" s="2"/>
      <c r="CP1110" s="1"/>
      <c r="CQ1110" s="1"/>
      <c r="CR1110" s="1"/>
      <c r="CS1110" s="1"/>
      <c r="CT1110" s="1"/>
      <c r="CU1110" s="1"/>
      <c r="CV1110" s="1"/>
      <c r="CW1110" s="1"/>
      <c r="CX1110" s="1"/>
      <c r="CY1110" s="1"/>
      <c r="CZ1110" s="1"/>
      <c r="DA1110" s="1"/>
      <c r="DB1110" s="1"/>
      <c r="DC1110" s="1"/>
      <c r="DD1110" s="1"/>
      <c r="DE1110" s="1"/>
      <c r="DF1110" s="1"/>
      <c r="DG1110" s="1"/>
      <c r="DH1110" s="1"/>
      <c r="DI1110" s="1"/>
      <c r="DJ1110" s="1"/>
      <c r="DK1110" s="1"/>
      <c r="DL1110" s="1"/>
      <c r="DM1110" s="1"/>
      <c r="DQ1110" s="1"/>
      <c r="DR1110" s="1"/>
      <c r="DY1110" s="1"/>
      <c r="DZ1110" s="1"/>
      <c r="ED1110" s="1"/>
      <c r="EE1110" s="1"/>
      <c r="EF1110" s="1"/>
      <c r="EG1110" s="1"/>
      <c r="EH1110" s="1"/>
      <c r="EK1110" s="1"/>
      <c r="EL1110" s="1"/>
      <c r="EM1110" s="1"/>
      <c r="EN1110" s="1"/>
      <c r="EQ1110" s="1"/>
      <c r="ER1110" s="1"/>
      <c r="ES1110" s="1"/>
      <c r="EV1110" s="1"/>
      <c r="EW1110" s="1"/>
      <c r="EY1110" s="1"/>
      <c r="EZ1110" s="1"/>
      <c r="GO1110" s="1"/>
      <c r="GP1110" s="1"/>
      <c r="HF1110" s="1"/>
      <c r="HH1110" s="1"/>
      <c r="HQ1110" s="1"/>
      <c r="HT1110" s="1"/>
      <c r="HY1110" s="1"/>
      <c r="IE1110" s="1"/>
      <c r="IG1110" s="1"/>
      <c r="IJ1110" s="1"/>
      <c r="IS1110" s="1"/>
      <c r="IZ1110" s="1"/>
      <c r="JF1110" s="1"/>
      <c r="JG1110" s="1"/>
      <c r="JJ1110" s="1"/>
      <c r="JK1110" s="1"/>
      <c r="JL1110" s="3"/>
      <c r="JM1110" s="1"/>
      <c r="JP1110" s="1"/>
      <c r="JQ1110" s="1"/>
      <c r="JR1110" s="1"/>
      <c r="KU1110" s="1"/>
      <c r="KY1110" s="1"/>
      <c r="KZ1110" s="1"/>
      <c r="LA1110" s="1"/>
      <c r="LB1110" s="1"/>
      <c r="LC1110" s="1"/>
      <c r="LD1110" s="1"/>
      <c r="LO1110" s="1"/>
      <c r="LP1110" s="1"/>
      <c r="LZ1110" s="1"/>
      <c r="MA1110" s="1"/>
    </row>
    <row r="1111" spans="4:339" ht="13" x14ac:dyDescent="0.15">
      <c r="D1111" s="12"/>
      <c r="E1111" s="12"/>
      <c r="I1111" s="12"/>
      <c r="J1111" s="13"/>
      <c r="BF1111" s="1"/>
      <c r="BG1111" s="1"/>
      <c r="BH1111" s="1"/>
      <c r="BI1111" s="1"/>
      <c r="BJ1111" s="1"/>
      <c r="BK1111" s="1"/>
      <c r="BL1111" s="1"/>
      <c r="BM1111" s="1"/>
      <c r="BN1111" s="1"/>
      <c r="BP1111" s="1"/>
      <c r="BQ1111" s="1"/>
      <c r="BR1111" s="1"/>
      <c r="BX1111" s="1"/>
      <c r="CD1111" s="1"/>
      <c r="CE1111" s="1"/>
      <c r="CF1111" s="1"/>
      <c r="CG1111" s="1"/>
      <c r="CM1111" s="2"/>
      <c r="CP1111" s="1"/>
      <c r="CQ1111" s="1"/>
      <c r="CR1111" s="1"/>
      <c r="CS1111" s="1"/>
      <c r="CT1111" s="1"/>
      <c r="CU1111" s="1"/>
      <c r="CV1111" s="1"/>
      <c r="CW1111" s="1"/>
      <c r="CX1111" s="1"/>
      <c r="CY1111" s="1"/>
      <c r="CZ1111" s="1"/>
      <c r="DA1111" s="1"/>
      <c r="DB1111" s="1"/>
      <c r="DC1111" s="1"/>
      <c r="DD1111" s="1"/>
      <c r="DE1111" s="1"/>
      <c r="DF1111" s="1"/>
      <c r="DG1111" s="1"/>
      <c r="DH1111" s="1"/>
      <c r="DI1111" s="1"/>
      <c r="DJ1111" s="1"/>
      <c r="DK1111" s="1"/>
      <c r="DL1111" s="1"/>
      <c r="DM1111" s="1"/>
      <c r="DQ1111" s="1"/>
      <c r="DR1111" s="1"/>
      <c r="DY1111" s="1"/>
      <c r="DZ1111" s="1"/>
      <c r="ED1111" s="1"/>
      <c r="EE1111" s="1"/>
      <c r="EF1111" s="1"/>
      <c r="EG1111" s="1"/>
      <c r="EH1111" s="1"/>
      <c r="EK1111" s="1"/>
      <c r="EL1111" s="1"/>
      <c r="EM1111" s="1"/>
      <c r="EN1111" s="1"/>
      <c r="EQ1111" s="1"/>
      <c r="ER1111" s="1"/>
      <c r="ES1111" s="1"/>
      <c r="EV1111" s="1"/>
      <c r="EW1111" s="1"/>
      <c r="EY1111" s="1"/>
      <c r="EZ1111" s="1"/>
      <c r="GO1111" s="1"/>
      <c r="GP1111" s="1"/>
      <c r="HF1111" s="1"/>
      <c r="HH1111" s="1"/>
      <c r="HQ1111" s="1"/>
      <c r="HT1111" s="1"/>
      <c r="HY1111" s="1"/>
      <c r="IE1111" s="1"/>
      <c r="IG1111" s="1"/>
      <c r="IJ1111" s="1"/>
      <c r="IS1111" s="1"/>
      <c r="IZ1111" s="1"/>
      <c r="JF1111" s="1"/>
      <c r="JG1111" s="1"/>
      <c r="JJ1111" s="1"/>
      <c r="JK1111" s="1"/>
      <c r="JL1111" s="3"/>
      <c r="JM1111" s="1"/>
      <c r="JP1111" s="1"/>
      <c r="JQ1111" s="1"/>
      <c r="JR1111" s="1"/>
      <c r="KU1111" s="1"/>
      <c r="KY1111" s="1"/>
      <c r="KZ1111" s="1"/>
      <c r="LA1111" s="1"/>
      <c r="LB1111" s="1"/>
      <c r="LC1111" s="1"/>
      <c r="LD1111" s="1"/>
      <c r="LO1111" s="1"/>
      <c r="LP1111" s="1"/>
      <c r="LZ1111" s="1"/>
      <c r="MA1111" s="1"/>
    </row>
    <row r="1112" spans="4:339" ht="13" x14ac:dyDescent="0.15">
      <c r="D1112" s="12"/>
      <c r="E1112" s="12"/>
      <c r="I1112" s="12"/>
      <c r="J1112" s="13"/>
      <c r="BF1112" s="1"/>
      <c r="BG1112" s="1"/>
      <c r="BH1112" s="1"/>
      <c r="BI1112" s="1"/>
      <c r="BJ1112" s="1"/>
      <c r="BK1112" s="1"/>
      <c r="BL1112" s="1"/>
      <c r="BM1112" s="1"/>
      <c r="BN1112" s="1"/>
      <c r="BP1112" s="1"/>
      <c r="BQ1112" s="1"/>
      <c r="BR1112" s="1"/>
      <c r="BX1112" s="1"/>
      <c r="CD1112" s="1"/>
      <c r="CE1112" s="1"/>
      <c r="CF1112" s="1"/>
      <c r="CG1112" s="1"/>
      <c r="CM1112" s="2"/>
      <c r="CP1112" s="1"/>
      <c r="CQ1112" s="1"/>
      <c r="CR1112" s="1"/>
      <c r="CS1112" s="1"/>
      <c r="CT1112" s="1"/>
      <c r="CU1112" s="1"/>
      <c r="CV1112" s="1"/>
      <c r="CW1112" s="1"/>
      <c r="CX1112" s="1"/>
      <c r="CY1112" s="1"/>
      <c r="CZ1112" s="1"/>
      <c r="DA1112" s="1"/>
      <c r="DB1112" s="1"/>
      <c r="DC1112" s="1"/>
      <c r="DD1112" s="1"/>
      <c r="DE1112" s="1"/>
      <c r="DF1112" s="1"/>
      <c r="DG1112" s="1"/>
      <c r="DH1112" s="1"/>
      <c r="DI1112" s="1"/>
      <c r="DJ1112" s="1"/>
      <c r="DK1112" s="1"/>
      <c r="DL1112" s="1"/>
      <c r="DM1112" s="1"/>
      <c r="DQ1112" s="1"/>
      <c r="DR1112" s="1"/>
      <c r="DY1112" s="1"/>
      <c r="DZ1112" s="1"/>
      <c r="ED1112" s="1"/>
      <c r="EE1112" s="1"/>
      <c r="EF1112" s="1"/>
      <c r="EG1112" s="1"/>
      <c r="EH1112" s="1"/>
      <c r="EK1112" s="1"/>
      <c r="EL1112" s="1"/>
      <c r="EM1112" s="1"/>
      <c r="EN1112" s="1"/>
      <c r="EQ1112" s="1"/>
      <c r="ER1112" s="1"/>
      <c r="ES1112" s="1"/>
      <c r="EV1112" s="1"/>
      <c r="EW1112" s="1"/>
      <c r="EY1112" s="1"/>
      <c r="EZ1112" s="1"/>
      <c r="GO1112" s="1"/>
      <c r="GP1112" s="1"/>
      <c r="HF1112" s="1"/>
      <c r="HH1112" s="1"/>
      <c r="HQ1112" s="1"/>
      <c r="HT1112" s="1"/>
      <c r="HY1112" s="1"/>
      <c r="IE1112" s="1"/>
      <c r="IG1112" s="1"/>
      <c r="IJ1112" s="1"/>
      <c r="IS1112" s="1"/>
      <c r="IZ1112" s="1"/>
      <c r="JF1112" s="1"/>
      <c r="JG1112" s="1"/>
      <c r="JJ1112" s="1"/>
      <c r="JK1112" s="1"/>
      <c r="JL1112" s="3"/>
      <c r="JM1112" s="1"/>
      <c r="JP1112" s="1"/>
      <c r="JQ1112" s="1"/>
      <c r="JR1112" s="1"/>
      <c r="KU1112" s="1"/>
      <c r="KY1112" s="1"/>
      <c r="KZ1112" s="1"/>
      <c r="LA1112" s="1"/>
      <c r="LB1112" s="1"/>
      <c r="LC1112" s="1"/>
      <c r="LD1112" s="1"/>
      <c r="LO1112" s="1"/>
      <c r="LP1112" s="1"/>
      <c r="LZ1112" s="1"/>
      <c r="MA1112" s="1"/>
    </row>
    <row r="1113" spans="4:339" ht="13" x14ac:dyDescent="0.15">
      <c r="D1113" s="12"/>
      <c r="E1113" s="12"/>
      <c r="I1113" s="12"/>
      <c r="J1113" s="13"/>
      <c r="BF1113" s="1"/>
      <c r="BG1113" s="1"/>
      <c r="BH1113" s="1"/>
      <c r="BI1113" s="1"/>
      <c r="BJ1113" s="1"/>
      <c r="BK1113" s="1"/>
      <c r="BL1113" s="1"/>
      <c r="BM1113" s="1"/>
      <c r="BN1113" s="1"/>
      <c r="BP1113" s="1"/>
      <c r="BQ1113" s="1"/>
      <c r="BR1113" s="1"/>
      <c r="BX1113" s="1"/>
      <c r="CD1113" s="1"/>
      <c r="CE1113" s="1"/>
      <c r="CF1113" s="1"/>
      <c r="CG1113" s="1"/>
      <c r="CM1113" s="2"/>
      <c r="CP1113" s="1"/>
      <c r="CQ1113" s="1"/>
      <c r="CR1113" s="1"/>
      <c r="CS1113" s="1"/>
      <c r="CT1113" s="1"/>
      <c r="CU1113" s="1"/>
      <c r="CV1113" s="1"/>
      <c r="CW1113" s="1"/>
      <c r="CX1113" s="1"/>
      <c r="CY1113" s="1"/>
      <c r="CZ1113" s="1"/>
      <c r="DA1113" s="1"/>
      <c r="DB1113" s="1"/>
      <c r="DC1113" s="1"/>
      <c r="DD1113" s="1"/>
      <c r="DE1113" s="1"/>
      <c r="DF1113" s="1"/>
      <c r="DG1113" s="1"/>
      <c r="DH1113" s="1"/>
      <c r="DI1113" s="1"/>
      <c r="DJ1113" s="1"/>
      <c r="DK1113" s="1"/>
      <c r="DL1113" s="1"/>
      <c r="DM1113" s="1"/>
      <c r="DQ1113" s="1"/>
      <c r="DR1113" s="1"/>
      <c r="DY1113" s="1"/>
      <c r="DZ1113" s="1"/>
      <c r="ED1113" s="1"/>
      <c r="EE1113" s="1"/>
      <c r="EF1113" s="1"/>
      <c r="EG1113" s="1"/>
      <c r="EH1113" s="1"/>
      <c r="EK1113" s="1"/>
      <c r="EL1113" s="1"/>
      <c r="EM1113" s="1"/>
      <c r="EN1113" s="1"/>
      <c r="EQ1113" s="1"/>
      <c r="ER1113" s="1"/>
      <c r="ES1113" s="1"/>
      <c r="EV1113" s="1"/>
      <c r="EW1113" s="1"/>
      <c r="EY1113" s="1"/>
      <c r="EZ1113" s="1"/>
      <c r="GO1113" s="1"/>
      <c r="GP1113" s="1"/>
      <c r="HF1113" s="1"/>
      <c r="HH1113" s="1"/>
      <c r="HQ1113" s="1"/>
      <c r="HT1113" s="1"/>
      <c r="HY1113" s="1"/>
      <c r="IE1113" s="1"/>
      <c r="IG1113" s="1"/>
      <c r="IJ1113" s="1"/>
      <c r="IS1113" s="1"/>
      <c r="IZ1113" s="1"/>
      <c r="JF1113" s="1"/>
      <c r="JG1113" s="1"/>
      <c r="JJ1113" s="1"/>
      <c r="JK1113" s="1"/>
      <c r="JL1113" s="3"/>
      <c r="JM1113" s="1"/>
      <c r="JP1113" s="1"/>
      <c r="JQ1113" s="1"/>
      <c r="JR1113" s="1"/>
      <c r="KU1113" s="1"/>
      <c r="KY1113" s="1"/>
      <c r="KZ1113" s="1"/>
      <c r="LA1113" s="1"/>
      <c r="LB1113" s="1"/>
      <c r="LC1113" s="1"/>
      <c r="LD1113" s="1"/>
      <c r="LO1113" s="1"/>
      <c r="LP1113" s="1"/>
      <c r="LZ1113" s="1"/>
      <c r="MA1113" s="1"/>
    </row>
    <row r="1114" spans="4:339" ht="13" x14ac:dyDescent="0.15">
      <c r="D1114" s="12"/>
      <c r="E1114" s="12"/>
      <c r="I1114" s="12"/>
      <c r="J1114" s="13"/>
      <c r="BF1114" s="1"/>
      <c r="BG1114" s="1"/>
      <c r="BH1114" s="1"/>
      <c r="BI1114" s="1"/>
      <c r="BJ1114" s="1"/>
      <c r="BK1114" s="1"/>
      <c r="BL1114" s="1"/>
      <c r="BM1114" s="1"/>
      <c r="BN1114" s="1"/>
      <c r="BP1114" s="1"/>
      <c r="BQ1114" s="1"/>
      <c r="BR1114" s="1"/>
      <c r="BX1114" s="1"/>
      <c r="CD1114" s="1"/>
      <c r="CE1114" s="1"/>
      <c r="CF1114" s="1"/>
      <c r="CG1114" s="1"/>
      <c r="CM1114" s="2"/>
      <c r="CP1114" s="1"/>
      <c r="CQ1114" s="1"/>
      <c r="CR1114" s="1"/>
      <c r="CS1114" s="1"/>
      <c r="CT1114" s="1"/>
      <c r="CU1114" s="1"/>
      <c r="CV1114" s="1"/>
      <c r="CW1114" s="1"/>
      <c r="CX1114" s="1"/>
      <c r="CY1114" s="1"/>
      <c r="CZ1114" s="1"/>
      <c r="DA1114" s="1"/>
      <c r="DB1114" s="1"/>
      <c r="DC1114" s="1"/>
      <c r="DD1114" s="1"/>
      <c r="DE1114" s="1"/>
      <c r="DF1114" s="1"/>
      <c r="DG1114" s="1"/>
      <c r="DH1114" s="1"/>
      <c r="DI1114" s="1"/>
      <c r="DJ1114" s="1"/>
      <c r="DK1114" s="1"/>
      <c r="DL1114" s="1"/>
      <c r="DM1114" s="1"/>
      <c r="DQ1114" s="1"/>
      <c r="DR1114" s="1"/>
      <c r="DY1114" s="1"/>
      <c r="DZ1114" s="1"/>
      <c r="ED1114" s="1"/>
      <c r="EE1114" s="1"/>
      <c r="EF1114" s="1"/>
      <c r="EG1114" s="1"/>
      <c r="EH1114" s="1"/>
      <c r="EK1114" s="1"/>
      <c r="EL1114" s="1"/>
      <c r="EM1114" s="1"/>
      <c r="EN1114" s="1"/>
      <c r="EQ1114" s="1"/>
      <c r="ER1114" s="1"/>
      <c r="ES1114" s="1"/>
      <c r="EV1114" s="1"/>
      <c r="EW1114" s="1"/>
      <c r="EY1114" s="1"/>
      <c r="EZ1114" s="1"/>
      <c r="GO1114" s="1"/>
      <c r="GP1114" s="1"/>
      <c r="HF1114" s="1"/>
      <c r="HH1114" s="1"/>
      <c r="HQ1114" s="1"/>
      <c r="HT1114" s="1"/>
      <c r="HY1114" s="1"/>
      <c r="IE1114" s="1"/>
      <c r="IG1114" s="1"/>
      <c r="IJ1114" s="1"/>
      <c r="IS1114" s="1"/>
      <c r="IZ1114" s="1"/>
      <c r="JF1114" s="1"/>
      <c r="JG1114" s="1"/>
      <c r="JJ1114" s="1"/>
      <c r="JK1114" s="1"/>
      <c r="JL1114" s="3"/>
      <c r="JM1114" s="1"/>
      <c r="JP1114" s="1"/>
      <c r="JQ1114" s="1"/>
      <c r="JR1114" s="1"/>
      <c r="KU1114" s="1"/>
      <c r="KY1114" s="1"/>
      <c r="KZ1114" s="1"/>
      <c r="LA1114" s="1"/>
      <c r="LB1114" s="1"/>
      <c r="LC1114" s="1"/>
      <c r="LD1114" s="1"/>
      <c r="LO1114" s="1"/>
      <c r="LP1114" s="1"/>
      <c r="LZ1114" s="1"/>
      <c r="MA1114" s="1"/>
    </row>
    <row r="1115" spans="4:339" ht="13" x14ac:dyDescent="0.15">
      <c r="D1115" s="12"/>
      <c r="E1115" s="12"/>
      <c r="I1115" s="12"/>
      <c r="J1115" s="13"/>
      <c r="BF1115" s="1"/>
      <c r="BG1115" s="1"/>
      <c r="BH1115" s="1"/>
      <c r="BI1115" s="1"/>
      <c r="BJ1115" s="1"/>
      <c r="BK1115" s="1"/>
      <c r="BL1115" s="1"/>
      <c r="BM1115" s="1"/>
      <c r="BN1115" s="1"/>
      <c r="BP1115" s="1"/>
      <c r="BQ1115" s="1"/>
      <c r="BR1115" s="1"/>
      <c r="BX1115" s="1"/>
      <c r="CD1115" s="1"/>
      <c r="CE1115" s="1"/>
      <c r="CF1115" s="1"/>
      <c r="CG1115" s="1"/>
      <c r="CM1115" s="2"/>
      <c r="CP1115" s="1"/>
      <c r="CQ1115" s="1"/>
      <c r="CR1115" s="1"/>
      <c r="CS1115" s="1"/>
      <c r="CT1115" s="1"/>
      <c r="CU1115" s="1"/>
      <c r="CV1115" s="1"/>
      <c r="CW1115" s="1"/>
      <c r="CX1115" s="1"/>
      <c r="CY1115" s="1"/>
      <c r="CZ1115" s="1"/>
      <c r="DA1115" s="1"/>
      <c r="DB1115" s="1"/>
      <c r="DC1115" s="1"/>
      <c r="DD1115" s="1"/>
      <c r="DE1115" s="1"/>
      <c r="DF1115" s="1"/>
      <c r="DG1115" s="1"/>
      <c r="DH1115" s="1"/>
      <c r="DI1115" s="1"/>
      <c r="DJ1115" s="1"/>
      <c r="DK1115" s="1"/>
      <c r="DL1115" s="1"/>
      <c r="DM1115" s="1"/>
      <c r="DQ1115" s="1"/>
      <c r="DR1115" s="1"/>
      <c r="DY1115" s="1"/>
      <c r="DZ1115" s="1"/>
      <c r="ED1115" s="1"/>
      <c r="EE1115" s="1"/>
      <c r="EF1115" s="1"/>
      <c r="EG1115" s="1"/>
      <c r="EH1115" s="1"/>
      <c r="EK1115" s="1"/>
      <c r="EL1115" s="1"/>
      <c r="EM1115" s="1"/>
      <c r="EN1115" s="1"/>
      <c r="EQ1115" s="1"/>
      <c r="ER1115" s="1"/>
      <c r="ES1115" s="1"/>
      <c r="EV1115" s="1"/>
      <c r="EW1115" s="1"/>
      <c r="EY1115" s="1"/>
      <c r="EZ1115" s="1"/>
      <c r="GO1115" s="1"/>
      <c r="GP1115" s="1"/>
      <c r="HF1115" s="1"/>
      <c r="HH1115" s="1"/>
      <c r="HQ1115" s="1"/>
      <c r="HT1115" s="1"/>
      <c r="HY1115" s="1"/>
      <c r="IE1115" s="1"/>
      <c r="IG1115" s="1"/>
      <c r="IJ1115" s="1"/>
      <c r="IS1115" s="1"/>
      <c r="IZ1115" s="1"/>
      <c r="JF1115" s="1"/>
      <c r="JG1115" s="1"/>
      <c r="JJ1115" s="1"/>
      <c r="JK1115" s="1"/>
      <c r="JL1115" s="3"/>
      <c r="JM1115" s="1"/>
      <c r="JP1115" s="1"/>
      <c r="JQ1115" s="1"/>
      <c r="JR1115" s="1"/>
      <c r="KU1115" s="1"/>
      <c r="KY1115" s="1"/>
      <c r="KZ1115" s="1"/>
      <c r="LA1115" s="1"/>
      <c r="LB1115" s="1"/>
      <c r="LC1115" s="1"/>
      <c r="LD1115" s="1"/>
      <c r="LO1115" s="1"/>
      <c r="LP1115" s="1"/>
      <c r="LZ1115" s="1"/>
      <c r="MA1115" s="1"/>
    </row>
    <row r="1116" spans="4:339" ht="13" x14ac:dyDescent="0.15">
      <c r="D1116" s="12"/>
      <c r="E1116" s="12"/>
      <c r="I1116" s="12"/>
      <c r="J1116" s="13"/>
      <c r="BF1116" s="1"/>
      <c r="BG1116" s="1"/>
      <c r="BH1116" s="1"/>
      <c r="BI1116" s="1"/>
      <c r="BJ1116" s="1"/>
      <c r="BK1116" s="1"/>
      <c r="BL1116" s="1"/>
      <c r="BM1116" s="1"/>
      <c r="BN1116" s="1"/>
      <c r="BP1116" s="1"/>
      <c r="BQ1116" s="1"/>
      <c r="BR1116" s="1"/>
      <c r="BX1116" s="1"/>
      <c r="CD1116" s="1"/>
      <c r="CE1116" s="1"/>
      <c r="CF1116" s="1"/>
      <c r="CG1116" s="1"/>
      <c r="CM1116" s="2"/>
      <c r="CP1116" s="1"/>
      <c r="CQ1116" s="1"/>
      <c r="CR1116" s="1"/>
      <c r="CS1116" s="1"/>
      <c r="CT1116" s="1"/>
      <c r="CU1116" s="1"/>
      <c r="CV1116" s="1"/>
      <c r="CW1116" s="1"/>
      <c r="CX1116" s="1"/>
      <c r="CY1116" s="1"/>
      <c r="CZ1116" s="1"/>
      <c r="DA1116" s="1"/>
      <c r="DB1116" s="1"/>
      <c r="DC1116" s="1"/>
      <c r="DD1116" s="1"/>
      <c r="DE1116" s="1"/>
      <c r="DF1116" s="1"/>
      <c r="DG1116" s="1"/>
      <c r="DH1116" s="1"/>
      <c r="DI1116" s="1"/>
      <c r="DJ1116" s="1"/>
      <c r="DK1116" s="1"/>
      <c r="DL1116" s="1"/>
      <c r="DM1116" s="1"/>
      <c r="DQ1116" s="1"/>
      <c r="DR1116" s="1"/>
      <c r="DY1116" s="1"/>
      <c r="DZ1116" s="1"/>
      <c r="ED1116" s="1"/>
      <c r="EE1116" s="1"/>
      <c r="EF1116" s="1"/>
      <c r="EG1116" s="1"/>
      <c r="EH1116" s="1"/>
      <c r="EK1116" s="1"/>
      <c r="EL1116" s="1"/>
      <c r="EM1116" s="1"/>
      <c r="EN1116" s="1"/>
      <c r="EQ1116" s="1"/>
      <c r="ER1116" s="1"/>
      <c r="ES1116" s="1"/>
      <c r="EV1116" s="1"/>
      <c r="EW1116" s="1"/>
      <c r="EY1116" s="1"/>
      <c r="EZ1116" s="1"/>
      <c r="GO1116" s="1"/>
      <c r="GP1116" s="1"/>
      <c r="HF1116" s="1"/>
      <c r="HH1116" s="1"/>
      <c r="HQ1116" s="1"/>
      <c r="HT1116" s="1"/>
      <c r="HY1116" s="1"/>
      <c r="IE1116" s="1"/>
      <c r="IG1116" s="1"/>
      <c r="IJ1116" s="1"/>
      <c r="IS1116" s="1"/>
      <c r="IZ1116" s="1"/>
      <c r="JF1116" s="1"/>
      <c r="JG1116" s="1"/>
      <c r="JJ1116" s="1"/>
      <c r="JK1116" s="1"/>
      <c r="JL1116" s="3"/>
      <c r="JM1116" s="1"/>
      <c r="JP1116" s="1"/>
      <c r="JQ1116" s="1"/>
      <c r="JR1116" s="1"/>
      <c r="KU1116" s="1"/>
      <c r="KY1116" s="1"/>
      <c r="KZ1116" s="1"/>
      <c r="LA1116" s="1"/>
      <c r="LB1116" s="1"/>
      <c r="LC1116" s="1"/>
      <c r="LD1116" s="1"/>
      <c r="LO1116" s="1"/>
      <c r="LP1116" s="1"/>
      <c r="LZ1116" s="1"/>
      <c r="MA1116" s="1"/>
    </row>
    <row r="1117" spans="4:339" ht="13" x14ac:dyDescent="0.15">
      <c r="D1117" s="12"/>
      <c r="E1117" s="12"/>
      <c r="I1117" s="12"/>
      <c r="J1117" s="13"/>
      <c r="BF1117" s="1"/>
      <c r="BG1117" s="1"/>
      <c r="BH1117" s="1"/>
      <c r="BI1117" s="1"/>
      <c r="BK1117" s="1"/>
      <c r="BL1117" s="1"/>
      <c r="BM1117" s="1"/>
      <c r="BN1117" s="1"/>
      <c r="BO1117" s="1"/>
      <c r="BP1117" s="1"/>
      <c r="BQ1117" s="1"/>
      <c r="BR1117" s="1"/>
      <c r="BX1117" s="1"/>
      <c r="CD1117" s="1"/>
      <c r="CE1117" s="1"/>
      <c r="CF1117" s="1"/>
      <c r="CG1117" s="1"/>
      <c r="CM1117" s="2"/>
      <c r="CP1117" s="1"/>
      <c r="CQ1117" s="1"/>
      <c r="CR1117" s="1"/>
      <c r="CS1117" s="1"/>
      <c r="CT1117" s="1"/>
      <c r="CU1117" s="1"/>
      <c r="CV1117" s="1"/>
      <c r="CW1117" s="1"/>
      <c r="CX1117" s="1"/>
      <c r="CY1117" s="1"/>
      <c r="CZ1117" s="1"/>
      <c r="DA1117" s="1"/>
      <c r="DB1117" s="1"/>
      <c r="DC1117" s="1"/>
      <c r="DD1117" s="1"/>
      <c r="DE1117" s="1"/>
      <c r="DF1117" s="1"/>
      <c r="DG1117" s="1"/>
      <c r="DH1117" s="1"/>
      <c r="DI1117" s="1"/>
      <c r="DJ1117" s="1"/>
      <c r="DK1117" s="1"/>
      <c r="DL1117" s="1"/>
      <c r="DM1117" s="1"/>
      <c r="DQ1117" s="1"/>
      <c r="DR1117" s="1"/>
      <c r="DY1117" s="1"/>
      <c r="DZ1117" s="1"/>
      <c r="ED1117" s="1"/>
      <c r="EE1117" s="1"/>
      <c r="EF1117" s="1"/>
      <c r="EG1117" s="1"/>
      <c r="EH1117" s="1"/>
      <c r="EK1117" s="1"/>
      <c r="EL1117" s="1"/>
      <c r="EM1117" s="1"/>
      <c r="EN1117" s="1"/>
      <c r="EQ1117" s="1"/>
      <c r="ER1117" s="1"/>
      <c r="ES1117" s="1"/>
      <c r="EV1117" s="1"/>
      <c r="EW1117" s="1"/>
      <c r="EY1117" s="1"/>
      <c r="EZ1117" s="1"/>
      <c r="GO1117" s="1"/>
      <c r="GP1117" s="1"/>
      <c r="HF1117" s="1"/>
      <c r="HN1117" s="1"/>
      <c r="HT1117" s="1"/>
      <c r="HY1117" s="1"/>
      <c r="ID1117" s="1"/>
      <c r="IE1117" s="1"/>
      <c r="IG1117" s="1"/>
      <c r="IJ1117" s="1"/>
      <c r="IQ1117" s="1"/>
      <c r="IR1117" s="1"/>
      <c r="IS1117" s="1"/>
      <c r="IW1117" s="1"/>
      <c r="IX1117" s="1"/>
      <c r="IY1117" s="1"/>
      <c r="IZ1117" s="1"/>
      <c r="JB1117" s="1"/>
      <c r="JF1117" s="1"/>
      <c r="JG1117" s="1"/>
      <c r="JH1117" s="1"/>
      <c r="JI1117" s="1"/>
      <c r="JJ1117" s="1"/>
      <c r="JK1117" s="1"/>
      <c r="JL1117" s="3"/>
      <c r="JM1117" s="1"/>
      <c r="JN1117" s="1"/>
      <c r="JP1117" s="1"/>
      <c r="JQ1117" s="1"/>
      <c r="JR1117" s="1"/>
      <c r="KY1117" s="1"/>
      <c r="KZ1117" s="1"/>
      <c r="LA1117" s="1"/>
      <c r="LB1117" s="1"/>
      <c r="LC1117" s="1"/>
      <c r="LD1117" s="1"/>
      <c r="LF1117" s="1"/>
      <c r="LO1117" s="1"/>
      <c r="LP1117" s="1"/>
      <c r="LZ1117" s="1"/>
      <c r="MA1117" s="1"/>
    </row>
    <row r="1118" spans="4:339" ht="13" x14ac:dyDescent="0.15">
      <c r="D1118" s="12"/>
      <c r="E1118" s="12"/>
      <c r="I1118" s="12"/>
      <c r="J1118" s="13"/>
      <c r="BF1118" s="1"/>
      <c r="BG1118" s="1"/>
      <c r="BH1118" s="1"/>
      <c r="BI1118" s="1"/>
      <c r="BK1118" s="1"/>
      <c r="BL1118" s="1"/>
      <c r="BM1118" s="1"/>
      <c r="BN1118" s="1"/>
      <c r="BO1118" s="1"/>
      <c r="BP1118" s="1"/>
      <c r="BQ1118" s="1"/>
      <c r="BR1118" s="1"/>
      <c r="CD1118" s="1"/>
      <c r="CE1118" s="1"/>
      <c r="CF1118" s="1"/>
      <c r="CG1118" s="1"/>
      <c r="CM1118" s="2"/>
      <c r="CP1118" s="1"/>
      <c r="CQ1118" s="1"/>
      <c r="CS1118" s="1"/>
      <c r="CT1118" s="1"/>
      <c r="CU1118" s="1"/>
      <c r="CV1118" s="1"/>
      <c r="CW1118" s="1"/>
      <c r="CX1118" s="1"/>
      <c r="CY1118" s="1"/>
      <c r="CZ1118" s="1"/>
      <c r="DA1118" s="1"/>
      <c r="DB1118" s="1"/>
      <c r="DC1118" s="1"/>
      <c r="DD1118" s="1"/>
      <c r="DE1118" s="1"/>
      <c r="DF1118" s="1"/>
      <c r="DG1118" s="1"/>
      <c r="DH1118" s="1"/>
      <c r="DI1118" s="1"/>
      <c r="DJ1118" s="1"/>
      <c r="DK1118" s="1"/>
      <c r="ED1118" s="1"/>
      <c r="EK1118" s="1"/>
      <c r="EL1118" s="1"/>
      <c r="EM1118" s="1"/>
      <c r="EN1118" s="1"/>
      <c r="EQ1118" s="1"/>
      <c r="ER1118" s="1"/>
      <c r="ES1118" s="1"/>
      <c r="EV1118" s="1"/>
      <c r="EW1118" s="1"/>
      <c r="EZ1118" s="1"/>
      <c r="GO1118" s="1"/>
      <c r="GP1118" s="1"/>
      <c r="HF1118" s="1"/>
      <c r="HY1118" s="1"/>
      <c r="IE1118" s="1"/>
      <c r="IG1118" s="1"/>
      <c r="IH1118" s="1"/>
      <c r="IR1118" s="1"/>
      <c r="IS1118" s="1"/>
      <c r="IZ1118" s="1"/>
      <c r="JF1118" s="1"/>
      <c r="JG1118" s="1"/>
      <c r="JH1118" s="1"/>
      <c r="JJ1118" s="1"/>
      <c r="JK1118" s="1"/>
      <c r="JL1118" s="3"/>
      <c r="JM1118" s="1"/>
      <c r="JN1118" s="1"/>
      <c r="JP1118" s="1"/>
      <c r="JQ1118" s="1"/>
      <c r="JR1118" s="1"/>
      <c r="KU1118" s="1"/>
      <c r="KY1118" s="1"/>
      <c r="KZ1118" s="1"/>
      <c r="LA1118" s="1"/>
      <c r="LB1118" s="1"/>
      <c r="LC1118" s="1"/>
      <c r="LD1118" s="1"/>
      <c r="LF1118" s="1"/>
      <c r="LN1118" s="1"/>
      <c r="LO1118" s="1"/>
      <c r="LP1118" s="1"/>
      <c r="LZ1118" s="1"/>
      <c r="MA1118" s="1"/>
    </row>
    <row r="1119" spans="4:339" ht="13" x14ac:dyDescent="0.15">
      <c r="D1119" s="12"/>
      <c r="E1119" s="12"/>
      <c r="I1119" s="12"/>
      <c r="J1119" s="13"/>
      <c r="BF1119" s="1"/>
      <c r="BG1119" s="1"/>
      <c r="BH1119" s="1"/>
      <c r="BI1119" s="1"/>
      <c r="BK1119" s="1"/>
      <c r="BL1119" s="1"/>
      <c r="BM1119" s="1"/>
      <c r="BN1119" s="1"/>
      <c r="BO1119" s="1"/>
      <c r="BQ1119" s="1"/>
      <c r="BR1119" s="1"/>
      <c r="CD1119" s="1"/>
      <c r="CE1119" s="1"/>
      <c r="CF1119" s="1"/>
      <c r="CM1119" s="2"/>
      <c r="ED1119" s="1"/>
      <c r="EL1119" s="1"/>
      <c r="EM1119" s="1"/>
      <c r="EN1119" s="1"/>
      <c r="EQ1119" s="1"/>
      <c r="ER1119" s="1"/>
      <c r="ES1119" s="1"/>
      <c r="EV1119" s="1"/>
      <c r="EW1119" s="1"/>
      <c r="EX1119" s="1"/>
      <c r="EZ1119" s="1"/>
      <c r="FE1119" s="1"/>
      <c r="FF1119" s="1"/>
      <c r="FJ1119" s="1"/>
      <c r="FS1119" s="1"/>
      <c r="FW1119" s="1"/>
      <c r="FX1119" s="1"/>
      <c r="GP1119" s="1"/>
      <c r="HF1119" s="1"/>
      <c r="HY1119" s="1"/>
      <c r="ID1119" s="1"/>
      <c r="IS1119" s="1"/>
      <c r="IY1119" s="1"/>
      <c r="IZ1119" s="1"/>
      <c r="JG1119" s="1"/>
      <c r="JJ1119" s="1"/>
      <c r="JN1119" s="1"/>
      <c r="JP1119" s="1"/>
      <c r="JQ1119" s="1"/>
      <c r="JT1119" s="1"/>
      <c r="KU1119" s="1"/>
    </row>
    <row r="1120" spans="4:339" ht="13" x14ac:dyDescent="0.15">
      <c r="D1120" s="12"/>
      <c r="E1120" s="12"/>
      <c r="I1120" s="12"/>
      <c r="J1120" s="13"/>
      <c r="BF1120" s="1"/>
      <c r="BG1120" s="1"/>
      <c r="BH1120" s="1"/>
      <c r="BI1120" s="1"/>
      <c r="BJ1120" s="1"/>
      <c r="BK1120" s="1"/>
      <c r="BL1120" s="1"/>
      <c r="BM1120" s="1"/>
      <c r="BN1120" s="1"/>
      <c r="BO1120" s="1"/>
      <c r="BP1120" s="1"/>
      <c r="BQ1120" s="1"/>
      <c r="BR1120" s="1"/>
      <c r="CD1120" s="1"/>
      <c r="CE1120" s="1"/>
      <c r="CF1120" s="1"/>
      <c r="CG1120" s="1"/>
      <c r="CM1120" s="2"/>
      <c r="CP1120" s="1"/>
      <c r="CQ1120" s="1"/>
      <c r="CR1120" s="1"/>
      <c r="CT1120" s="1"/>
      <c r="CU1120" s="1"/>
      <c r="CV1120" s="1"/>
      <c r="CW1120" s="1"/>
      <c r="CX1120" s="1"/>
      <c r="CY1120" s="1"/>
      <c r="CZ1120" s="1"/>
      <c r="DA1120" s="1"/>
      <c r="DB1120" s="1"/>
      <c r="DC1120" s="1"/>
      <c r="DD1120" s="1"/>
      <c r="DE1120" s="1"/>
      <c r="DF1120" s="1"/>
      <c r="DG1120" s="1"/>
      <c r="DH1120" s="1"/>
      <c r="DI1120" s="1"/>
      <c r="DJ1120" s="1"/>
      <c r="DK1120" s="1"/>
      <c r="DM1120" s="1"/>
      <c r="DQ1120" s="1"/>
      <c r="DR1120" s="1"/>
      <c r="DY1120" s="1"/>
      <c r="DZ1120" s="1"/>
      <c r="ED1120" s="1"/>
      <c r="EK1120" s="1"/>
      <c r="EL1120" s="1"/>
      <c r="EM1120" s="1"/>
      <c r="EN1120" s="1"/>
      <c r="EQ1120" s="1"/>
      <c r="ER1120" s="1"/>
      <c r="ES1120" s="1"/>
      <c r="EV1120" s="1"/>
      <c r="EW1120" s="1"/>
      <c r="EZ1120" s="1"/>
      <c r="GO1120" s="1"/>
      <c r="GP1120" s="1"/>
      <c r="HF1120" s="1"/>
      <c r="HN1120" s="1"/>
      <c r="HT1120" s="1"/>
      <c r="HY1120" s="1"/>
      <c r="IC1120" s="1"/>
      <c r="IE1120" s="1"/>
      <c r="IG1120" s="1"/>
      <c r="IH1120" s="1"/>
      <c r="IR1120" s="1"/>
      <c r="IS1120" s="1"/>
      <c r="IW1120" s="1"/>
      <c r="IZ1120" s="1"/>
      <c r="JA1120" s="1"/>
      <c r="JJ1120" s="1"/>
      <c r="JK1120" s="1"/>
      <c r="JL1120" s="3"/>
      <c r="JM1120" s="1"/>
      <c r="JN1120" s="1"/>
      <c r="JP1120" s="1"/>
      <c r="JQ1120" s="1"/>
      <c r="JR1120" s="1"/>
      <c r="KU1120" s="1"/>
      <c r="KY1120" s="1"/>
      <c r="KZ1120" s="1"/>
      <c r="LA1120" s="1"/>
      <c r="LB1120" s="1"/>
      <c r="LC1120" s="1"/>
      <c r="LD1120" s="1"/>
      <c r="LO1120" s="1"/>
      <c r="LP1120" s="1"/>
      <c r="LZ1120" s="1"/>
      <c r="MA1120" s="1"/>
    </row>
    <row r="1121" spans="4:339" ht="13" x14ac:dyDescent="0.15">
      <c r="D1121" s="12"/>
      <c r="E1121" s="12"/>
      <c r="I1121" s="12"/>
      <c r="J1121" s="13"/>
      <c r="BF1121" s="1"/>
      <c r="BG1121" s="1"/>
      <c r="BH1121" s="1"/>
      <c r="BI1121" s="1"/>
      <c r="BJ1121" s="1"/>
      <c r="BK1121" s="1"/>
      <c r="BL1121" s="1"/>
      <c r="BM1121" s="1"/>
      <c r="BN1121" s="1"/>
      <c r="BO1121" s="1"/>
      <c r="BP1121" s="1"/>
      <c r="BQ1121" s="1"/>
      <c r="BR1121" s="1"/>
      <c r="BX1121" s="1"/>
      <c r="CD1121" s="1"/>
      <c r="CE1121" s="1"/>
      <c r="CF1121" s="1"/>
      <c r="CK1121" s="1"/>
      <c r="CM1121" s="2"/>
      <c r="CP1121" s="1"/>
      <c r="CQ1121" s="1"/>
      <c r="CR1121" s="1"/>
      <c r="CS1121" s="1"/>
      <c r="CT1121" s="1"/>
      <c r="CU1121" s="1"/>
      <c r="CV1121" s="1"/>
      <c r="CW1121" s="1"/>
      <c r="CX1121" s="1"/>
      <c r="CY1121" s="1"/>
      <c r="CZ1121" s="1"/>
      <c r="DA1121" s="1"/>
      <c r="DB1121" s="1"/>
      <c r="DC1121" s="1"/>
      <c r="DD1121" s="1"/>
      <c r="DE1121" s="1"/>
      <c r="DF1121" s="1"/>
      <c r="DG1121" s="1"/>
      <c r="DH1121" s="1"/>
      <c r="DI1121" s="1"/>
      <c r="DJ1121" s="1"/>
      <c r="DK1121" s="1"/>
      <c r="DM1121" s="1"/>
      <c r="DQ1121" s="1"/>
      <c r="DR1121" s="1"/>
      <c r="DY1121" s="1"/>
      <c r="DZ1121" s="1"/>
      <c r="ED1121" s="1"/>
      <c r="EE1121" s="1"/>
      <c r="EF1121" s="1"/>
      <c r="EG1121" s="1"/>
      <c r="EH1121" s="1"/>
      <c r="EK1121" s="1"/>
      <c r="EL1121" s="1"/>
      <c r="EM1121" s="1"/>
      <c r="EN1121" s="1"/>
      <c r="EQ1121" s="1"/>
      <c r="ER1121" s="1"/>
      <c r="ES1121" s="1"/>
      <c r="EV1121" s="1"/>
      <c r="EW1121" s="1"/>
      <c r="EY1121" s="1"/>
      <c r="EZ1121" s="1"/>
      <c r="FE1121" s="1"/>
      <c r="FF1121" s="1"/>
      <c r="FJ1121" s="1"/>
      <c r="FS1121" s="1"/>
      <c r="FW1121" s="1"/>
      <c r="FX1121" s="1"/>
      <c r="GP1121" s="1"/>
      <c r="HF1121" s="1"/>
      <c r="HH1121" s="1"/>
      <c r="HY1121" s="1"/>
      <c r="ID1121" s="1"/>
      <c r="IE1121" s="1"/>
      <c r="IG1121" s="1"/>
      <c r="IJ1121" s="1"/>
      <c r="IS1121" s="1"/>
      <c r="IW1121" s="1"/>
      <c r="IX1121" s="1"/>
      <c r="IY1121" s="1"/>
      <c r="IZ1121" s="1"/>
      <c r="JB1121" s="1"/>
      <c r="JG1121" s="1"/>
      <c r="JH1121" s="1"/>
      <c r="JJ1121" s="1"/>
      <c r="JK1121" s="1"/>
      <c r="JL1121" s="6"/>
      <c r="JM1121" s="1"/>
      <c r="JN1121" s="1"/>
      <c r="JP1121" s="1"/>
      <c r="JQ1121" s="1"/>
      <c r="JR1121" s="1"/>
      <c r="JT1121" s="1"/>
      <c r="JV1121" s="1"/>
      <c r="KU1121" s="1"/>
      <c r="KV1121" s="1"/>
      <c r="KY1121" s="1"/>
      <c r="KZ1121" s="1"/>
      <c r="LA1121" s="1"/>
      <c r="LB1121" s="1"/>
      <c r="LC1121" s="1"/>
      <c r="LD1121" s="1"/>
      <c r="LO1121" s="1"/>
      <c r="LP1121" s="1"/>
      <c r="LZ1121" s="1"/>
      <c r="MA1121" s="1"/>
    </row>
    <row r="1122" spans="4:339" ht="13" x14ac:dyDescent="0.15">
      <c r="D1122" s="12"/>
      <c r="E1122" s="12"/>
      <c r="I1122" s="12"/>
      <c r="J1122" s="13"/>
      <c r="BF1122" s="1"/>
      <c r="BG1122" s="1"/>
      <c r="BH1122" s="1"/>
      <c r="BI1122" s="1"/>
      <c r="BJ1122" s="1"/>
      <c r="BK1122" s="1"/>
      <c r="BL1122" s="1"/>
      <c r="BM1122" s="1"/>
      <c r="BN1122" s="1"/>
      <c r="BO1122" s="1"/>
      <c r="BP1122" s="1"/>
      <c r="BQ1122" s="1"/>
      <c r="BR1122" s="1"/>
      <c r="BX1122" s="1"/>
      <c r="CD1122" s="1"/>
      <c r="CE1122" s="1"/>
      <c r="CF1122" s="1"/>
      <c r="CK1122" s="1"/>
      <c r="CM1122" s="2"/>
      <c r="CP1122" s="1"/>
      <c r="CQ1122" s="1"/>
      <c r="CR1122" s="1"/>
      <c r="CS1122" s="1"/>
      <c r="CT1122" s="1"/>
      <c r="CU1122" s="1"/>
      <c r="CV1122" s="1"/>
      <c r="CW1122" s="1"/>
      <c r="CX1122" s="1"/>
      <c r="CY1122" s="1"/>
      <c r="CZ1122" s="1"/>
      <c r="DA1122" s="1"/>
      <c r="DB1122" s="1"/>
      <c r="DC1122" s="1"/>
      <c r="DD1122" s="1"/>
      <c r="DE1122" s="1"/>
      <c r="DF1122" s="1"/>
      <c r="DG1122" s="1"/>
      <c r="DH1122" s="1"/>
      <c r="DI1122" s="1"/>
      <c r="DJ1122" s="1"/>
      <c r="DK1122" s="1"/>
      <c r="DM1122" s="1"/>
      <c r="DQ1122" s="1"/>
      <c r="DR1122" s="1"/>
      <c r="DY1122" s="1"/>
      <c r="DZ1122" s="1"/>
      <c r="ED1122" s="1"/>
      <c r="EE1122" s="1"/>
      <c r="EF1122" s="1"/>
      <c r="EG1122" s="1"/>
      <c r="EH1122" s="1"/>
      <c r="EK1122" s="1"/>
      <c r="EL1122" s="1"/>
      <c r="EM1122" s="1"/>
      <c r="EN1122" s="1"/>
      <c r="EQ1122" s="1"/>
      <c r="ER1122" s="1"/>
      <c r="ES1122" s="1"/>
      <c r="EV1122" s="1"/>
      <c r="EW1122" s="1"/>
      <c r="EY1122" s="1"/>
      <c r="EZ1122" s="1"/>
      <c r="FE1122" s="1"/>
      <c r="FF1122" s="1"/>
      <c r="FJ1122" s="1"/>
      <c r="FS1122" s="1"/>
      <c r="FW1122" s="1"/>
      <c r="FX1122" s="1"/>
      <c r="GP1122" s="1"/>
      <c r="HF1122" s="1"/>
      <c r="HH1122" s="1"/>
      <c r="HY1122" s="1"/>
      <c r="ID1122" s="1"/>
      <c r="IE1122" s="1"/>
      <c r="IG1122" s="1"/>
      <c r="IJ1122" s="1"/>
      <c r="IS1122" s="1"/>
      <c r="IW1122" s="1"/>
      <c r="IX1122" s="1"/>
      <c r="IY1122" s="1"/>
      <c r="IZ1122" s="1"/>
      <c r="JB1122" s="1"/>
      <c r="JG1122" s="1"/>
      <c r="JH1122" s="1"/>
      <c r="JJ1122" s="1"/>
      <c r="JK1122" s="1"/>
      <c r="JL1122" s="6"/>
      <c r="JM1122" s="1"/>
      <c r="JN1122" s="1"/>
      <c r="JP1122" s="1"/>
      <c r="JQ1122" s="1"/>
      <c r="JR1122" s="1"/>
      <c r="JT1122" s="1"/>
      <c r="JV1122" s="1"/>
      <c r="KU1122" s="1"/>
      <c r="KV1122" s="1"/>
      <c r="KY1122" s="1"/>
      <c r="KZ1122" s="1"/>
      <c r="LA1122" s="1"/>
      <c r="LB1122" s="1"/>
      <c r="LC1122" s="1"/>
      <c r="LD1122" s="1"/>
      <c r="LO1122" s="1"/>
      <c r="LP1122" s="1"/>
      <c r="LZ1122" s="1"/>
      <c r="MA1122" s="1"/>
    </row>
    <row r="1123" spans="4:339" ht="13" x14ac:dyDescent="0.15">
      <c r="D1123" s="12"/>
      <c r="E1123" s="12"/>
      <c r="I1123" s="12"/>
      <c r="J1123" s="13"/>
      <c r="BF1123" s="1"/>
      <c r="BG1123" s="1"/>
      <c r="BH1123" s="1"/>
      <c r="BI1123" s="1"/>
      <c r="BJ1123" s="1"/>
      <c r="BK1123" s="1"/>
      <c r="BL1123" s="1"/>
      <c r="BM1123" s="1"/>
      <c r="BN1123" s="1"/>
      <c r="BO1123" s="1"/>
      <c r="BP1123" s="1"/>
      <c r="BQ1123" s="1"/>
      <c r="BR1123" s="1"/>
      <c r="BX1123" s="1"/>
      <c r="CD1123" s="1"/>
      <c r="CE1123" s="1"/>
      <c r="CF1123" s="1"/>
      <c r="CK1123" s="1"/>
      <c r="CM1123" s="2"/>
      <c r="CP1123" s="1"/>
      <c r="CQ1123" s="1"/>
      <c r="CR1123" s="1"/>
      <c r="CS1123" s="1"/>
      <c r="CT1123" s="1"/>
      <c r="CU1123" s="1"/>
      <c r="CV1123" s="1"/>
      <c r="CW1123" s="1"/>
      <c r="CX1123" s="1"/>
      <c r="CY1123" s="1"/>
      <c r="CZ1123" s="1"/>
      <c r="DA1123" s="1"/>
      <c r="DB1123" s="1"/>
      <c r="DC1123" s="1"/>
      <c r="DD1123" s="1"/>
      <c r="DE1123" s="1"/>
      <c r="DF1123" s="1"/>
      <c r="DG1123" s="1"/>
      <c r="DH1123" s="1"/>
      <c r="DI1123" s="1"/>
      <c r="DJ1123" s="1"/>
      <c r="DK1123" s="1"/>
      <c r="DM1123" s="1"/>
      <c r="DQ1123" s="1"/>
      <c r="DR1123" s="1"/>
      <c r="DY1123" s="1"/>
      <c r="DZ1123" s="1"/>
      <c r="ED1123" s="1"/>
      <c r="EE1123" s="1"/>
      <c r="EF1123" s="1"/>
      <c r="EG1123" s="1"/>
      <c r="EH1123" s="1"/>
      <c r="EK1123" s="1"/>
      <c r="EL1123" s="1"/>
      <c r="EM1123" s="1"/>
      <c r="EN1123" s="1"/>
      <c r="EQ1123" s="1"/>
      <c r="ER1123" s="1"/>
      <c r="ES1123" s="1"/>
      <c r="EV1123" s="1"/>
      <c r="EW1123" s="1"/>
      <c r="EY1123" s="1"/>
      <c r="EZ1123" s="1"/>
      <c r="FE1123" s="1"/>
      <c r="FF1123" s="1"/>
      <c r="FJ1123" s="1"/>
      <c r="FS1123" s="1"/>
      <c r="FW1123" s="1"/>
      <c r="FX1123" s="1"/>
      <c r="GP1123" s="1"/>
      <c r="HF1123" s="1"/>
      <c r="HH1123" s="1"/>
      <c r="HY1123" s="1"/>
      <c r="ID1123" s="1"/>
      <c r="IE1123" s="1"/>
      <c r="IG1123" s="1"/>
      <c r="IJ1123" s="1"/>
      <c r="IS1123" s="1"/>
      <c r="IW1123" s="1"/>
      <c r="IX1123" s="1"/>
      <c r="IY1123" s="1"/>
      <c r="IZ1123" s="1"/>
      <c r="JB1123" s="1"/>
      <c r="JG1123" s="1"/>
      <c r="JH1123" s="1"/>
      <c r="JJ1123" s="1"/>
      <c r="JK1123" s="1"/>
      <c r="JL1123" s="6"/>
      <c r="JM1123" s="1"/>
      <c r="JN1123" s="1"/>
      <c r="JP1123" s="1"/>
      <c r="JQ1123" s="1"/>
      <c r="JR1123" s="1"/>
      <c r="JT1123" s="1"/>
      <c r="JV1123" s="1"/>
      <c r="KU1123" s="1"/>
      <c r="KV1123" s="1"/>
      <c r="KY1123" s="1"/>
      <c r="KZ1123" s="1"/>
      <c r="LA1123" s="1"/>
      <c r="LB1123" s="1"/>
      <c r="LC1123" s="1"/>
      <c r="LD1123" s="1"/>
      <c r="LO1123" s="1"/>
      <c r="LP1123" s="1"/>
      <c r="LZ1123" s="1"/>
      <c r="MA1123" s="1"/>
    </row>
    <row r="1124" spans="4:339" ht="13" x14ac:dyDescent="0.15">
      <c r="D1124" s="12"/>
      <c r="E1124" s="12"/>
      <c r="I1124" s="12"/>
      <c r="J1124" s="13"/>
      <c r="BF1124" s="1"/>
      <c r="BG1124" s="1"/>
      <c r="BH1124" s="1"/>
      <c r="BI1124" s="1"/>
      <c r="BJ1124" s="1"/>
      <c r="BK1124" s="1"/>
      <c r="BL1124" s="1"/>
      <c r="BM1124" s="1"/>
      <c r="BN1124" s="1"/>
      <c r="BO1124" s="1"/>
      <c r="BP1124" s="1"/>
      <c r="BQ1124" s="1"/>
      <c r="BR1124" s="1"/>
      <c r="BX1124" s="1"/>
      <c r="CD1124" s="1"/>
      <c r="CE1124" s="1"/>
      <c r="CF1124" s="1"/>
      <c r="CK1124" s="1"/>
      <c r="CM1124" s="2"/>
      <c r="CP1124" s="1"/>
      <c r="CQ1124" s="1"/>
      <c r="CR1124" s="1"/>
      <c r="CS1124" s="1"/>
      <c r="CT1124" s="1"/>
      <c r="CU1124" s="1"/>
      <c r="CV1124" s="1"/>
      <c r="CW1124" s="1"/>
      <c r="CX1124" s="1"/>
      <c r="CY1124" s="1"/>
      <c r="CZ1124" s="1"/>
      <c r="DA1124" s="1"/>
      <c r="DB1124" s="1"/>
      <c r="DC1124" s="1"/>
      <c r="DD1124" s="1"/>
      <c r="DE1124" s="1"/>
      <c r="DF1124" s="1"/>
      <c r="DG1124" s="1"/>
      <c r="DH1124" s="1"/>
      <c r="DI1124" s="1"/>
      <c r="DJ1124" s="1"/>
      <c r="DK1124" s="1"/>
      <c r="DM1124" s="1"/>
      <c r="DQ1124" s="1"/>
      <c r="DR1124" s="1"/>
      <c r="DY1124" s="1"/>
      <c r="DZ1124" s="1"/>
      <c r="ED1124" s="1"/>
      <c r="EE1124" s="1"/>
      <c r="EF1124" s="1"/>
      <c r="EG1124" s="1"/>
      <c r="EH1124" s="1"/>
      <c r="EK1124" s="1"/>
      <c r="EL1124" s="1"/>
      <c r="EM1124" s="1"/>
      <c r="EN1124" s="1"/>
      <c r="EQ1124" s="1"/>
      <c r="ER1124" s="1"/>
      <c r="ES1124" s="1"/>
      <c r="EV1124" s="1"/>
      <c r="EW1124" s="1"/>
      <c r="EY1124" s="1"/>
      <c r="EZ1124" s="1"/>
      <c r="FE1124" s="1"/>
      <c r="FF1124" s="1"/>
      <c r="FJ1124" s="1"/>
      <c r="FS1124" s="1"/>
      <c r="FW1124" s="1"/>
      <c r="FX1124" s="1"/>
      <c r="GP1124" s="1"/>
      <c r="HF1124" s="1"/>
      <c r="HH1124" s="1"/>
      <c r="HY1124" s="1"/>
      <c r="ID1124" s="1"/>
      <c r="IE1124" s="1"/>
      <c r="IG1124" s="1"/>
      <c r="IJ1124" s="1"/>
      <c r="IS1124" s="1"/>
      <c r="IW1124" s="1"/>
      <c r="IX1124" s="1"/>
      <c r="IY1124" s="1"/>
      <c r="IZ1124" s="1"/>
      <c r="JB1124" s="1"/>
      <c r="JG1124" s="1"/>
      <c r="JH1124" s="1"/>
      <c r="JJ1124" s="1"/>
      <c r="JK1124" s="1"/>
      <c r="JL1124" s="6"/>
      <c r="JM1124" s="1"/>
      <c r="JN1124" s="1"/>
      <c r="JP1124" s="1"/>
      <c r="JQ1124" s="1"/>
      <c r="JR1124" s="1"/>
      <c r="JT1124" s="1"/>
      <c r="JV1124" s="1"/>
      <c r="KU1124" s="1"/>
      <c r="KV1124" s="1"/>
      <c r="KY1124" s="1"/>
      <c r="KZ1124" s="1"/>
      <c r="LA1124" s="1"/>
      <c r="LB1124" s="1"/>
      <c r="LC1124" s="1"/>
      <c r="LD1124" s="1"/>
      <c r="LO1124" s="1"/>
      <c r="LP1124" s="1"/>
      <c r="LZ1124" s="1"/>
      <c r="MA1124" s="1"/>
    </row>
    <row r="1125" spans="4:339" ht="13" x14ac:dyDescent="0.15">
      <c r="D1125" s="12"/>
      <c r="E1125" s="12"/>
      <c r="I1125" s="12"/>
      <c r="J1125" s="13"/>
      <c r="BF1125" s="1"/>
      <c r="BG1125" s="1"/>
      <c r="BH1125" s="1"/>
      <c r="BI1125" s="1"/>
      <c r="BJ1125" s="1"/>
      <c r="BK1125" s="1"/>
      <c r="BL1125" s="1"/>
      <c r="BM1125" s="1"/>
      <c r="BN1125" s="1"/>
      <c r="BO1125" s="1"/>
      <c r="BP1125" s="1"/>
      <c r="BQ1125" s="1"/>
      <c r="BR1125" s="1"/>
      <c r="BX1125" s="1"/>
      <c r="CD1125" s="1"/>
      <c r="CE1125" s="1"/>
      <c r="CF1125" s="1"/>
      <c r="CK1125" s="1"/>
      <c r="CM1125" s="2"/>
      <c r="CP1125" s="1"/>
      <c r="CQ1125" s="1"/>
      <c r="CR1125" s="1"/>
      <c r="CS1125" s="1"/>
      <c r="CT1125" s="1"/>
      <c r="CU1125" s="1"/>
      <c r="CV1125" s="1"/>
      <c r="CW1125" s="1"/>
      <c r="CX1125" s="1"/>
      <c r="CY1125" s="1"/>
      <c r="CZ1125" s="1"/>
      <c r="DA1125" s="1"/>
      <c r="DB1125" s="1"/>
      <c r="DC1125" s="1"/>
      <c r="DD1125" s="1"/>
      <c r="DE1125" s="1"/>
      <c r="DF1125" s="1"/>
      <c r="DG1125" s="1"/>
      <c r="DH1125" s="1"/>
      <c r="DI1125" s="1"/>
      <c r="DJ1125" s="1"/>
      <c r="DK1125" s="1"/>
      <c r="DM1125" s="1"/>
      <c r="DQ1125" s="1"/>
      <c r="DR1125" s="1"/>
      <c r="DY1125" s="1"/>
      <c r="DZ1125" s="1"/>
      <c r="ED1125" s="1"/>
      <c r="EE1125" s="1"/>
      <c r="EF1125" s="1"/>
      <c r="EG1125" s="1"/>
      <c r="EH1125" s="1"/>
      <c r="EK1125" s="1"/>
      <c r="EL1125" s="1"/>
      <c r="EM1125" s="1"/>
      <c r="EN1125" s="1"/>
      <c r="EQ1125" s="1"/>
      <c r="ER1125" s="1"/>
      <c r="ES1125" s="1"/>
      <c r="EV1125" s="1"/>
      <c r="EW1125" s="1"/>
      <c r="EY1125" s="1"/>
      <c r="EZ1125" s="1"/>
      <c r="FE1125" s="1"/>
      <c r="FF1125" s="1"/>
      <c r="FJ1125" s="1"/>
      <c r="FS1125" s="1"/>
      <c r="FW1125" s="1"/>
      <c r="FX1125" s="1"/>
      <c r="GP1125" s="1"/>
      <c r="HF1125" s="1"/>
      <c r="HH1125" s="1"/>
      <c r="HY1125" s="1"/>
      <c r="ID1125" s="1"/>
      <c r="IE1125" s="1"/>
      <c r="IG1125" s="1"/>
      <c r="IJ1125" s="1"/>
      <c r="IS1125" s="1"/>
      <c r="IW1125" s="1"/>
      <c r="IX1125" s="1"/>
      <c r="IY1125" s="1"/>
      <c r="IZ1125" s="1"/>
      <c r="JB1125" s="1"/>
      <c r="JG1125" s="1"/>
      <c r="JH1125" s="1"/>
      <c r="JJ1125" s="1"/>
      <c r="JK1125" s="1"/>
      <c r="JL1125" s="6"/>
      <c r="JM1125" s="1"/>
      <c r="JN1125" s="1"/>
      <c r="JP1125" s="1"/>
      <c r="JQ1125" s="1"/>
      <c r="JR1125" s="1"/>
      <c r="JT1125" s="1"/>
      <c r="JV1125" s="1"/>
      <c r="KU1125" s="1"/>
      <c r="KV1125" s="1"/>
      <c r="KY1125" s="1"/>
      <c r="KZ1125" s="1"/>
      <c r="LA1125" s="1"/>
      <c r="LB1125" s="1"/>
      <c r="LC1125" s="1"/>
      <c r="LD1125" s="1"/>
      <c r="LO1125" s="1"/>
      <c r="LP1125" s="1"/>
      <c r="LZ1125" s="1"/>
      <c r="MA1125" s="1"/>
    </row>
    <row r="1126" spans="4:339" ht="13" x14ac:dyDescent="0.15">
      <c r="D1126" s="12"/>
      <c r="E1126" s="12"/>
      <c r="I1126" s="12"/>
      <c r="J1126" s="13"/>
      <c r="BF1126" s="1"/>
      <c r="BG1126" s="1"/>
      <c r="BH1126" s="1"/>
      <c r="BI1126" s="1"/>
      <c r="BJ1126" s="1"/>
      <c r="BK1126" s="1"/>
      <c r="BL1126" s="1"/>
      <c r="BM1126" s="1"/>
      <c r="BN1126" s="1"/>
      <c r="BO1126" s="1"/>
      <c r="BP1126" s="1"/>
      <c r="BQ1126" s="1"/>
      <c r="BR1126" s="1"/>
      <c r="BX1126" s="1"/>
      <c r="CD1126" s="1"/>
      <c r="CE1126" s="1"/>
      <c r="CF1126" s="1"/>
      <c r="CK1126" s="1"/>
      <c r="CM1126" s="2"/>
      <c r="CP1126" s="1"/>
      <c r="CQ1126" s="1"/>
      <c r="CR1126" s="1"/>
      <c r="CS1126" s="1"/>
      <c r="CT1126" s="1"/>
      <c r="CU1126" s="1"/>
      <c r="CV1126" s="1"/>
      <c r="CW1126" s="1"/>
      <c r="CX1126" s="1"/>
      <c r="CY1126" s="1"/>
      <c r="CZ1126" s="1"/>
      <c r="DA1126" s="1"/>
      <c r="DB1126" s="1"/>
      <c r="DC1126" s="1"/>
      <c r="DD1126" s="1"/>
      <c r="DE1126" s="1"/>
      <c r="DF1126" s="1"/>
      <c r="DG1126" s="1"/>
      <c r="DH1126" s="1"/>
      <c r="DI1126" s="1"/>
      <c r="DJ1126" s="1"/>
      <c r="DK1126" s="1"/>
      <c r="DM1126" s="1"/>
      <c r="DQ1126" s="1"/>
      <c r="DR1126" s="1"/>
      <c r="DY1126" s="1"/>
      <c r="DZ1126" s="1"/>
      <c r="ED1126" s="1"/>
      <c r="EE1126" s="1"/>
      <c r="EF1126" s="1"/>
      <c r="EG1126" s="1"/>
      <c r="EH1126" s="1"/>
      <c r="EK1126" s="1"/>
      <c r="EL1126" s="1"/>
      <c r="EM1126" s="1"/>
      <c r="EN1126" s="1"/>
      <c r="EQ1126" s="1"/>
      <c r="ER1126" s="1"/>
      <c r="ES1126" s="1"/>
      <c r="EV1126" s="1"/>
      <c r="EW1126" s="1"/>
      <c r="EY1126" s="1"/>
      <c r="EZ1126" s="1"/>
      <c r="FE1126" s="1"/>
      <c r="FF1126" s="1"/>
      <c r="FJ1126" s="1"/>
      <c r="FS1126" s="1"/>
      <c r="FW1126" s="1"/>
      <c r="FX1126" s="1"/>
      <c r="GP1126" s="1"/>
      <c r="HF1126" s="1"/>
      <c r="HH1126" s="1"/>
      <c r="HY1126" s="1"/>
      <c r="ID1126" s="1"/>
      <c r="IE1126" s="1"/>
      <c r="IG1126" s="1"/>
      <c r="IJ1126" s="1"/>
      <c r="IS1126" s="1"/>
      <c r="IW1126" s="1"/>
      <c r="IX1126" s="1"/>
      <c r="IY1126" s="1"/>
      <c r="IZ1126" s="1"/>
      <c r="JB1126" s="1"/>
      <c r="JG1126" s="1"/>
      <c r="JH1126" s="1"/>
      <c r="JJ1126" s="1"/>
      <c r="JK1126" s="1"/>
      <c r="JL1126" s="6"/>
      <c r="JM1126" s="1"/>
      <c r="JN1126" s="1"/>
      <c r="JP1126" s="1"/>
      <c r="JQ1126" s="1"/>
      <c r="JR1126" s="1"/>
      <c r="JT1126" s="1"/>
      <c r="JV1126" s="1"/>
      <c r="KU1126" s="1"/>
      <c r="KV1126" s="1"/>
      <c r="KY1126" s="1"/>
      <c r="KZ1126" s="1"/>
      <c r="LA1126" s="1"/>
      <c r="LB1126" s="1"/>
      <c r="LC1126" s="1"/>
      <c r="LD1126" s="1"/>
      <c r="LO1126" s="1"/>
      <c r="LP1126" s="1"/>
      <c r="LZ1126" s="1"/>
      <c r="MA1126" s="1"/>
    </row>
    <row r="1127" spans="4:339" ht="13" x14ac:dyDescent="0.15">
      <c r="D1127" s="12"/>
      <c r="E1127" s="12"/>
      <c r="I1127" s="12"/>
      <c r="J1127" s="13"/>
      <c r="BF1127" s="1"/>
      <c r="BG1127" s="1"/>
      <c r="BH1127" s="1"/>
      <c r="BI1127" s="1"/>
      <c r="BJ1127" s="1"/>
      <c r="BK1127" s="1"/>
      <c r="BL1127" s="1"/>
      <c r="BM1127" s="1"/>
      <c r="BN1127" s="1"/>
      <c r="BO1127" s="1"/>
      <c r="BP1127" s="1"/>
      <c r="BQ1127" s="1"/>
      <c r="BR1127" s="1"/>
      <c r="BX1127" s="1"/>
      <c r="CD1127" s="1"/>
      <c r="CE1127" s="1"/>
      <c r="CF1127" s="1"/>
      <c r="CK1127" s="1"/>
      <c r="CM1127" s="2"/>
      <c r="CP1127" s="1"/>
      <c r="CQ1127" s="1"/>
      <c r="CR1127" s="1"/>
      <c r="CS1127" s="1"/>
      <c r="CT1127" s="1"/>
      <c r="CU1127" s="1"/>
      <c r="CV1127" s="1"/>
      <c r="CW1127" s="1"/>
      <c r="CX1127" s="1"/>
      <c r="CY1127" s="1"/>
      <c r="CZ1127" s="1"/>
      <c r="DA1127" s="1"/>
      <c r="DB1127" s="1"/>
      <c r="DC1127" s="1"/>
      <c r="DD1127" s="1"/>
      <c r="DE1127" s="1"/>
      <c r="DF1127" s="1"/>
      <c r="DG1127" s="1"/>
      <c r="DH1127" s="1"/>
      <c r="DI1127" s="1"/>
      <c r="DJ1127" s="1"/>
      <c r="DK1127" s="1"/>
      <c r="DM1127" s="1"/>
      <c r="DQ1127" s="1"/>
      <c r="DR1127" s="1"/>
      <c r="DY1127" s="1"/>
      <c r="DZ1127" s="1"/>
      <c r="ED1127" s="1"/>
      <c r="EE1127" s="1"/>
      <c r="EF1127" s="1"/>
      <c r="EG1127" s="1"/>
      <c r="EH1127" s="1"/>
      <c r="EK1127" s="1"/>
      <c r="EL1127" s="1"/>
      <c r="EM1127" s="1"/>
      <c r="EN1127" s="1"/>
      <c r="EQ1127" s="1"/>
      <c r="ER1127" s="1"/>
      <c r="ES1127" s="1"/>
      <c r="EV1127" s="1"/>
      <c r="EW1127" s="1"/>
      <c r="EY1127" s="1"/>
      <c r="EZ1127" s="1"/>
      <c r="FE1127" s="1"/>
      <c r="FF1127" s="1"/>
      <c r="FJ1127" s="1"/>
      <c r="FS1127" s="1"/>
      <c r="FW1127" s="1"/>
      <c r="FX1127" s="1"/>
      <c r="GP1127" s="1"/>
      <c r="HF1127" s="1"/>
      <c r="HH1127" s="1"/>
      <c r="HY1127" s="1"/>
      <c r="ID1127" s="1"/>
      <c r="IE1127" s="1"/>
      <c r="IG1127" s="1"/>
      <c r="IJ1127" s="1"/>
      <c r="IS1127" s="1"/>
      <c r="IW1127" s="1"/>
      <c r="IX1127" s="1"/>
      <c r="IY1127" s="1"/>
      <c r="IZ1127" s="1"/>
      <c r="JB1127" s="1"/>
      <c r="JG1127" s="1"/>
      <c r="JH1127" s="1"/>
      <c r="JJ1127" s="1"/>
      <c r="JK1127" s="1"/>
      <c r="JL1127" s="6"/>
      <c r="JM1127" s="1"/>
      <c r="JN1127" s="1"/>
      <c r="JP1127" s="1"/>
      <c r="JQ1127" s="1"/>
      <c r="JR1127" s="1"/>
      <c r="JT1127" s="1"/>
      <c r="JV1127" s="1"/>
      <c r="KU1127" s="1"/>
      <c r="KV1127" s="1"/>
      <c r="KY1127" s="1"/>
      <c r="KZ1127" s="1"/>
      <c r="LA1127" s="1"/>
      <c r="LB1127" s="1"/>
      <c r="LC1127" s="1"/>
      <c r="LD1127" s="1"/>
      <c r="LO1127" s="1"/>
      <c r="LP1127" s="1"/>
      <c r="LZ1127" s="1"/>
      <c r="MA1127" s="1"/>
    </row>
    <row r="1128" spans="4:339" ht="13" x14ac:dyDescent="0.15">
      <c r="D1128" s="12"/>
      <c r="E1128" s="12"/>
      <c r="I1128" s="12"/>
      <c r="J1128" s="13"/>
      <c r="BF1128" s="1"/>
      <c r="BG1128" s="1"/>
      <c r="BH1128" s="1"/>
      <c r="BI1128" s="1"/>
      <c r="BJ1128" s="1"/>
      <c r="BK1128" s="1"/>
      <c r="BL1128" s="1"/>
      <c r="BM1128" s="1"/>
      <c r="BN1128" s="1"/>
      <c r="BO1128" s="1"/>
      <c r="BQ1128" s="1"/>
      <c r="BR1128" s="1"/>
      <c r="CD1128" s="1"/>
      <c r="CE1128" s="1"/>
      <c r="CF1128" s="1"/>
      <c r="CM1128" s="2"/>
      <c r="ED1128" s="1"/>
      <c r="EL1128" s="1"/>
      <c r="EM1128" s="1"/>
      <c r="EN1128" s="1"/>
      <c r="EQ1128" s="1"/>
      <c r="ER1128" s="1"/>
      <c r="ES1128" s="1"/>
      <c r="EV1128" s="1"/>
      <c r="EW1128" s="1"/>
      <c r="EZ1128" s="1"/>
      <c r="GP1128" s="1"/>
      <c r="HF1128" s="1"/>
      <c r="HL1128" s="1"/>
      <c r="HY1128" s="1"/>
      <c r="IS1128" s="1"/>
      <c r="IZ1128" s="1"/>
      <c r="JG1128" s="1"/>
      <c r="JH1128" s="1"/>
      <c r="JJ1128" s="1"/>
      <c r="JP1128" s="1"/>
      <c r="JQ1128" s="1"/>
      <c r="JT1128" s="1"/>
      <c r="KU1128" s="1"/>
    </row>
    <row r="1129" spans="4:339" ht="13" x14ac:dyDescent="0.15">
      <c r="D1129" s="12"/>
      <c r="E1129" s="12"/>
      <c r="I1129" s="12"/>
      <c r="J1129" s="13"/>
      <c r="BF1129" s="1"/>
      <c r="BG1129" s="1"/>
      <c r="BH1129" s="1"/>
      <c r="BI1129" s="1"/>
      <c r="BK1129" s="1"/>
      <c r="BL1129" s="1"/>
      <c r="BM1129" s="1"/>
      <c r="BN1129" s="1"/>
      <c r="BO1129" s="1"/>
      <c r="BQ1129" s="1"/>
      <c r="BR1129" s="1"/>
      <c r="CD1129" s="1"/>
      <c r="CE1129" s="1"/>
      <c r="CF1129" s="1"/>
      <c r="CM1129" s="2"/>
      <c r="ED1129" s="1"/>
      <c r="EL1129" s="1"/>
      <c r="EM1129" s="1"/>
      <c r="EN1129" s="1"/>
      <c r="EQ1129" s="1"/>
      <c r="ER1129" s="1"/>
      <c r="ES1129" s="1"/>
      <c r="EV1129" s="1"/>
      <c r="EW1129" s="1"/>
      <c r="EZ1129" s="1"/>
      <c r="GP1129" s="1"/>
      <c r="HF1129" s="1"/>
      <c r="HY1129" s="1"/>
      <c r="IC1129" s="1"/>
      <c r="IR1129" s="1"/>
      <c r="IS1129" s="1"/>
      <c r="IW1129" s="1"/>
      <c r="IZ1129" s="1"/>
      <c r="JG1129" s="1"/>
      <c r="JH1129" s="1"/>
      <c r="JJ1129" s="1"/>
      <c r="JN1129" s="1"/>
      <c r="JP1129" s="1"/>
      <c r="JQ1129" s="1"/>
      <c r="JU1129" s="1"/>
      <c r="KU1129" s="1"/>
      <c r="LQ1129" s="1"/>
      <c r="LR1129" s="1"/>
      <c r="LS1129" s="1"/>
      <c r="LT1129" s="1"/>
      <c r="LU1129" s="1"/>
    </row>
    <row r="1130" spans="4:339" ht="13" x14ac:dyDescent="0.15">
      <c r="D1130" s="12"/>
      <c r="E1130" s="12"/>
      <c r="I1130" s="12"/>
      <c r="J1130" s="13"/>
      <c r="BF1130" s="1"/>
      <c r="BG1130" s="1"/>
      <c r="BH1130" s="1"/>
      <c r="BI1130" s="1"/>
      <c r="BK1130" s="1"/>
      <c r="BL1130" s="1"/>
      <c r="BM1130" s="1"/>
      <c r="BN1130" s="1"/>
      <c r="BO1130" s="1"/>
      <c r="BQ1130" s="1"/>
      <c r="BR1130" s="1"/>
      <c r="CD1130" s="1"/>
      <c r="CE1130" s="1"/>
      <c r="CF1130" s="1"/>
      <c r="CM1130" s="2"/>
      <c r="ED1130" s="1"/>
      <c r="EL1130" s="1"/>
      <c r="EM1130" s="1"/>
      <c r="EN1130" s="1"/>
      <c r="EQ1130" s="1"/>
      <c r="ER1130" s="1"/>
      <c r="ES1130" s="1"/>
      <c r="EV1130" s="1"/>
      <c r="EW1130" s="1"/>
      <c r="EZ1130" s="1"/>
      <c r="GP1130" s="1"/>
      <c r="HF1130" s="1"/>
      <c r="HY1130" s="1"/>
      <c r="IC1130" s="1"/>
      <c r="IR1130" s="1"/>
      <c r="IS1130" s="1"/>
      <c r="IW1130" s="1"/>
      <c r="IZ1130" s="1"/>
      <c r="JG1130" s="1"/>
      <c r="JH1130" s="1"/>
      <c r="JJ1130" s="1"/>
      <c r="JN1130" s="1"/>
      <c r="JP1130" s="1"/>
      <c r="JQ1130" s="1"/>
      <c r="JU1130" s="1"/>
      <c r="KU1130" s="1"/>
      <c r="LQ1130" s="1"/>
      <c r="LR1130" s="1"/>
      <c r="LS1130" s="1"/>
      <c r="LT1130" s="1"/>
      <c r="LU1130" s="1"/>
    </row>
    <row r="1131" spans="4:339" ht="13" x14ac:dyDescent="0.15">
      <c r="D1131" s="12"/>
      <c r="E1131" s="12"/>
      <c r="I1131" s="12"/>
      <c r="J1131" s="13"/>
      <c r="BF1131" s="1"/>
      <c r="BG1131" s="1"/>
      <c r="BH1131" s="1"/>
      <c r="BI1131" s="1"/>
      <c r="BJ1131" s="1"/>
      <c r="BK1131" s="1"/>
      <c r="BL1131" s="1"/>
      <c r="BM1131" s="1"/>
      <c r="BN1131" s="1"/>
      <c r="BO1131" s="1"/>
      <c r="BP1131" s="1"/>
      <c r="BQ1131" s="1"/>
      <c r="BR1131" s="1"/>
      <c r="BX1131" s="1"/>
      <c r="CD1131" s="1"/>
      <c r="CE1131" s="1"/>
      <c r="CF1131" s="1"/>
      <c r="CG1131" s="1"/>
      <c r="CM1131" s="2"/>
      <c r="CP1131" s="1"/>
      <c r="CQ1131" s="1"/>
      <c r="CR1131" s="1"/>
      <c r="CS1131" s="1"/>
      <c r="CT1131" s="1"/>
      <c r="CU1131" s="1"/>
      <c r="CV1131" s="1"/>
      <c r="CW1131" s="1"/>
      <c r="CX1131" s="1"/>
      <c r="CY1131" s="1"/>
      <c r="CZ1131" s="1"/>
      <c r="DA1131" s="1"/>
      <c r="DB1131" s="1"/>
      <c r="DC1131" s="1"/>
      <c r="DD1131" s="1"/>
      <c r="DE1131" s="1"/>
      <c r="DF1131" s="1"/>
      <c r="DG1131" s="1"/>
      <c r="DH1131" s="1"/>
      <c r="DI1131" s="1"/>
      <c r="DJ1131" s="1"/>
      <c r="DK1131" s="1"/>
      <c r="DM1131" s="1"/>
      <c r="DQ1131" s="1"/>
      <c r="DR1131" s="1"/>
      <c r="DY1131" s="1"/>
      <c r="DZ1131" s="1"/>
      <c r="ED1131" s="1"/>
      <c r="EE1131" s="1"/>
      <c r="EF1131" s="1"/>
      <c r="EG1131" s="1"/>
      <c r="EH1131" s="1"/>
      <c r="EK1131" s="1"/>
      <c r="EL1131" s="1"/>
      <c r="EM1131" s="1"/>
      <c r="EN1131" s="1"/>
      <c r="EQ1131" s="1"/>
      <c r="ER1131" s="1"/>
      <c r="ES1131" s="1"/>
      <c r="EV1131" s="1"/>
      <c r="EW1131" s="1"/>
      <c r="EY1131" s="1"/>
      <c r="EZ1131" s="1"/>
      <c r="GO1131" s="1"/>
      <c r="GP1131" s="1"/>
      <c r="HH1131" s="1"/>
      <c r="HN1131" s="1"/>
      <c r="HT1131" s="1"/>
      <c r="HX1131" s="1"/>
      <c r="HY1131" s="1"/>
      <c r="IA1131" s="1"/>
      <c r="IE1131" s="1"/>
      <c r="IG1131" s="1"/>
      <c r="IJ1131" s="1"/>
      <c r="IK1131" s="1"/>
      <c r="IR1131" s="1"/>
      <c r="IS1131" s="1"/>
      <c r="IZ1131" s="1"/>
      <c r="JF1131" s="1"/>
      <c r="JG1131" s="1"/>
      <c r="JH1131" s="1"/>
      <c r="JJ1131" s="1"/>
      <c r="JK1131" s="1"/>
      <c r="JL1131" s="3"/>
      <c r="JM1131" s="1"/>
      <c r="JN1131" s="1"/>
      <c r="JP1131" s="1"/>
      <c r="JQ1131" s="1"/>
      <c r="JR1131" s="1"/>
      <c r="JT1131" s="1"/>
      <c r="KU1131" s="1"/>
      <c r="KV1131" s="1"/>
      <c r="KY1131" s="1"/>
      <c r="KZ1131" s="1"/>
      <c r="LA1131" s="1"/>
      <c r="LB1131" s="1"/>
      <c r="LC1131" s="1"/>
      <c r="LD1131" s="1"/>
      <c r="LF1131" s="1"/>
      <c r="LO1131" s="1"/>
      <c r="LP1131" s="1"/>
      <c r="LZ1131" s="1"/>
      <c r="MA1131" s="1"/>
    </row>
    <row r="1132" spans="4:339" ht="13" x14ac:dyDescent="0.15">
      <c r="D1132" s="12"/>
      <c r="E1132" s="12"/>
      <c r="I1132" s="12"/>
      <c r="J1132" s="13"/>
      <c r="BF1132" s="1"/>
      <c r="BG1132" s="1"/>
      <c r="BH1132" s="1"/>
      <c r="BI1132" s="1"/>
      <c r="BJ1132" s="1"/>
      <c r="BK1132" s="1"/>
      <c r="BL1132" s="1"/>
      <c r="BM1132" s="1"/>
      <c r="BN1132" s="1"/>
      <c r="BO1132" s="1"/>
      <c r="BP1132" s="1"/>
      <c r="BQ1132" s="1"/>
      <c r="BR1132" s="1"/>
      <c r="BX1132" s="1"/>
      <c r="CD1132" s="1"/>
      <c r="CE1132" s="1"/>
      <c r="CF1132" s="1"/>
      <c r="CG1132" s="1"/>
      <c r="CM1132" s="2"/>
      <c r="CP1132" s="1"/>
      <c r="CQ1132" s="1"/>
      <c r="CR1132" s="1"/>
      <c r="CS1132" s="1"/>
      <c r="CT1132" s="1"/>
      <c r="CU1132" s="1"/>
      <c r="CV1132" s="1"/>
      <c r="CW1132" s="1"/>
      <c r="CX1132" s="1"/>
      <c r="CY1132" s="1"/>
      <c r="CZ1132" s="1"/>
      <c r="DA1132" s="1"/>
      <c r="DB1132" s="1"/>
      <c r="DC1132" s="1"/>
      <c r="DD1132" s="1"/>
      <c r="DE1132" s="1"/>
      <c r="DF1132" s="1"/>
      <c r="DG1132" s="1"/>
      <c r="DH1132" s="1"/>
      <c r="DI1132" s="1"/>
      <c r="DJ1132" s="1"/>
      <c r="DK1132" s="1"/>
      <c r="DM1132" s="1"/>
      <c r="DQ1132" s="1"/>
      <c r="DR1132" s="1"/>
      <c r="DY1132" s="1"/>
      <c r="DZ1132" s="1"/>
      <c r="ED1132" s="1"/>
      <c r="EE1132" s="1"/>
      <c r="EF1132" s="1"/>
      <c r="EG1132" s="1"/>
      <c r="EH1132" s="1"/>
      <c r="EK1132" s="1"/>
      <c r="EL1132" s="1"/>
      <c r="EM1132" s="1"/>
      <c r="EN1132" s="1"/>
      <c r="EQ1132" s="1"/>
      <c r="ER1132" s="1"/>
      <c r="ES1132" s="1"/>
      <c r="EV1132" s="1"/>
      <c r="EW1132" s="1"/>
      <c r="EY1132" s="1"/>
      <c r="EZ1132" s="1"/>
      <c r="GO1132" s="1"/>
      <c r="GP1132" s="1"/>
      <c r="HH1132" s="1"/>
      <c r="HN1132" s="1"/>
      <c r="HT1132" s="1"/>
      <c r="HX1132" s="1"/>
      <c r="HY1132" s="1"/>
      <c r="IA1132" s="1"/>
      <c r="IE1132" s="1"/>
      <c r="IG1132" s="1"/>
      <c r="IJ1132" s="1"/>
      <c r="IK1132" s="1"/>
      <c r="IR1132" s="1"/>
      <c r="IS1132" s="1"/>
      <c r="IZ1132" s="1"/>
      <c r="JF1132" s="1"/>
      <c r="JG1132" s="1"/>
      <c r="JH1132" s="1"/>
      <c r="JJ1132" s="1"/>
      <c r="JK1132" s="1"/>
      <c r="JL1132" s="3"/>
      <c r="JM1132" s="1"/>
      <c r="JN1132" s="1"/>
      <c r="JP1132" s="1"/>
      <c r="JQ1132" s="1"/>
      <c r="JR1132" s="1"/>
      <c r="JT1132" s="1"/>
      <c r="KU1132" s="1"/>
      <c r="KV1132" s="1"/>
      <c r="KY1132" s="1"/>
      <c r="KZ1132" s="1"/>
      <c r="LA1132" s="1"/>
      <c r="LB1132" s="1"/>
      <c r="LC1132" s="1"/>
      <c r="LD1132" s="1"/>
      <c r="LF1132" s="1"/>
      <c r="LO1132" s="1"/>
      <c r="LP1132" s="1"/>
      <c r="LZ1132" s="1"/>
      <c r="MA1132" s="1"/>
    </row>
    <row r="1133" spans="4:339" ht="13" x14ac:dyDescent="0.15">
      <c r="D1133" s="12"/>
      <c r="E1133" s="12"/>
      <c r="I1133" s="12"/>
      <c r="J1133" s="13"/>
      <c r="BF1133" s="1"/>
      <c r="BG1133" s="1"/>
      <c r="BH1133" s="1"/>
      <c r="BI1133" s="1"/>
      <c r="BJ1133" s="1"/>
      <c r="BK1133" s="1"/>
      <c r="BL1133" s="1"/>
      <c r="BM1133" s="1"/>
      <c r="BN1133" s="1"/>
      <c r="BO1133" s="1"/>
      <c r="BP1133" s="1"/>
      <c r="BQ1133" s="1"/>
      <c r="BR1133" s="1"/>
      <c r="BX1133" s="1"/>
      <c r="CD1133" s="1"/>
      <c r="CE1133" s="1"/>
      <c r="CF1133" s="1"/>
      <c r="CG1133" s="1"/>
      <c r="CM1133" s="2"/>
      <c r="CP1133" s="1"/>
      <c r="CQ1133" s="1"/>
      <c r="CR1133" s="1"/>
      <c r="CS1133" s="1"/>
      <c r="CT1133" s="1"/>
      <c r="CU1133" s="1"/>
      <c r="CV1133" s="1"/>
      <c r="CW1133" s="1"/>
      <c r="CX1133" s="1"/>
      <c r="CY1133" s="1"/>
      <c r="CZ1133" s="1"/>
      <c r="DA1133" s="1"/>
      <c r="DB1133" s="1"/>
      <c r="DC1133" s="1"/>
      <c r="DD1133" s="1"/>
      <c r="DE1133" s="1"/>
      <c r="DF1133" s="1"/>
      <c r="DG1133" s="1"/>
      <c r="DH1133" s="1"/>
      <c r="DI1133" s="1"/>
      <c r="DJ1133" s="1"/>
      <c r="DK1133" s="1"/>
      <c r="DM1133" s="1"/>
      <c r="DQ1133" s="1"/>
      <c r="DR1133" s="1"/>
      <c r="DY1133" s="1"/>
      <c r="DZ1133" s="1"/>
      <c r="ED1133" s="1"/>
      <c r="EE1133" s="1"/>
      <c r="EF1133" s="1"/>
      <c r="EG1133" s="1"/>
      <c r="EH1133" s="1"/>
      <c r="EK1133" s="1"/>
      <c r="EL1133" s="1"/>
      <c r="EM1133" s="1"/>
      <c r="EN1133" s="1"/>
      <c r="EQ1133" s="1"/>
      <c r="ER1133" s="1"/>
      <c r="ES1133" s="1"/>
      <c r="EV1133" s="1"/>
      <c r="EW1133" s="1"/>
      <c r="EY1133" s="1"/>
      <c r="EZ1133" s="1"/>
      <c r="GO1133" s="1"/>
      <c r="GP1133" s="1"/>
      <c r="HH1133" s="1"/>
      <c r="HN1133" s="1"/>
      <c r="HT1133" s="1"/>
      <c r="HX1133" s="1"/>
      <c r="HY1133" s="1"/>
      <c r="IA1133" s="1"/>
      <c r="IE1133" s="1"/>
      <c r="IG1133" s="1"/>
      <c r="IJ1133" s="1"/>
      <c r="IK1133" s="1"/>
      <c r="IR1133" s="1"/>
      <c r="IS1133" s="1"/>
      <c r="IZ1133" s="1"/>
      <c r="JF1133" s="1"/>
      <c r="JG1133" s="1"/>
      <c r="JH1133" s="1"/>
      <c r="JJ1133" s="1"/>
      <c r="JK1133" s="1"/>
      <c r="JL1133" s="3"/>
      <c r="JM1133" s="1"/>
      <c r="JN1133" s="1"/>
      <c r="JP1133" s="1"/>
      <c r="JQ1133" s="1"/>
      <c r="JR1133" s="1"/>
      <c r="JT1133" s="1"/>
      <c r="KU1133" s="1"/>
      <c r="KV1133" s="1"/>
      <c r="KY1133" s="1"/>
      <c r="KZ1133" s="1"/>
      <c r="LA1133" s="1"/>
      <c r="LB1133" s="1"/>
      <c r="LC1133" s="1"/>
      <c r="LD1133" s="1"/>
      <c r="LF1133" s="1"/>
      <c r="LO1133" s="1"/>
      <c r="LP1133" s="1"/>
      <c r="LZ1133" s="1"/>
      <c r="MA1133" s="1"/>
    </row>
    <row r="1134" spans="4:339" ht="13" x14ac:dyDescent="0.15">
      <c r="D1134" s="12"/>
      <c r="E1134" s="12"/>
      <c r="I1134" s="12"/>
      <c r="J1134" s="13"/>
      <c r="BF1134" s="1"/>
      <c r="BG1134" s="1"/>
      <c r="BH1134" s="1"/>
      <c r="BI1134" s="1"/>
      <c r="BJ1134" s="1"/>
      <c r="BK1134" s="1"/>
      <c r="BL1134" s="1"/>
      <c r="BM1134" s="1"/>
      <c r="BN1134" s="1"/>
      <c r="BO1134" s="1"/>
      <c r="BP1134" s="1"/>
      <c r="BQ1134" s="1"/>
      <c r="BR1134" s="1"/>
      <c r="BX1134" s="1"/>
      <c r="CD1134" s="1"/>
      <c r="CE1134" s="1"/>
      <c r="CF1134" s="1"/>
      <c r="CG1134" s="1"/>
      <c r="CM1134" s="2"/>
      <c r="CP1134" s="1"/>
      <c r="CQ1134" s="1"/>
      <c r="CR1134" s="1"/>
      <c r="CS1134" s="1"/>
      <c r="CT1134" s="1"/>
      <c r="CU1134" s="1"/>
      <c r="CV1134" s="1"/>
      <c r="CW1134" s="1"/>
      <c r="CX1134" s="1"/>
      <c r="CY1134" s="1"/>
      <c r="CZ1134" s="1"/>
      <c r="DA1134" s="1"/>
      <c r="DB1134" s="1"/>
      <c r="DC1134" s="1"/>
      <c r="DD1134" s="1"/>
      <c r="DE1134" s="1"/>
      <c r="DF1134" s="1"/>
      <c r="DG1134" s="1"/>
      <c r="DH1134" s="1"/>
      <c r="DI1134" s="1"/>
      <c r="DJ1134" s="1"/>
      <c r="DK1134" s="1"/>
      <c r="DM1134" s="1"/>
      <c r="DQ1134" s="1"/>
      <c r="DR1134" s="1"/>
      <c r="DY1134" s="1"/>
      <c r="DZ1134" s="1"/>
      <c r="ED1134" s="1"/>
      <c r="EE1134" s="1"/>
      <c r="EF1134" s="1"/>
      <c r="EG1134" s="1"/>
      <c r="EH1134" s="1"/>
      <c r="EK1134" s="1"/>
      <c r="EL1134" s="1"/>
      <c r="EM1134" s="1"/>
      <c r="EN1134" s="1"/>
      <c r="EQ1134" s="1"/>
      <c r="ER1134" s="1"/>
      <c r="ES1134" s="1"/>
      <c r="EV1134" s="1"/>
      <c r="EW1134" s="1"/>
      <c r="EY1134" s="1"/>
      <c r="EZ1134" s="1"/>
      <c r="GO1134" s="1"/>
      <c r="GP1134" s="1"/>
      <c r="HH1134" s="1"/>
      <c r="HN1134" s="1"/>
      <c r="HT1134" s="1"/>
      <c r="HX1134" s="1"/>
      <c r="HY1134" s="1"/>
      <c r="IA1134" s="1"/>
      <c r="IE1134" s="1"/>
      <c r="IG1134" s="1"/>
      <c r="IJ1134" s="1"/>
      <c r="IK1134" s="1"/>
      <c r="IR1134" s="1"/>
      <c r="IS1134" s="1"/>
      <c r="IZ1134" s="1"/>
      <c r="JF1134" s="1"/>
      <c r="JG1134" s="1"/>
      <c r="JH1134" s="1"/>
      <c r="JJ1134" s="1"/>
      <c r="JK1134" s="1"/>
      <c r="JL1134" s="3"/>
      <c r="JM1134" s="1"/>
      <c r="JN1134" s="1"/>
      <c r="JP1134" s="1"/>
      <c r="JQ1134" s="1"/>
      <c r="JR1134" s="1"/>
      <c r="JT1134" s="1"/>
      <c r="KU1134" s="1"/>
      <c r="KV1134" s="1"/>
      <c r="KY1134" s="1"/>
      <c r="KZ1134" s="1"/>
      <c r="LA1134" s="1"/>
      <c r="LB1134" s="1"/>
      <c r="LC1134" s="1"/>
      <c r="LD1134" s="1"/>
      <c r="LF1134" s="1"/>
      <c r="LO1134" s="1"/>
      <c r="LP1134" s="1"/>
      <c r="LZ1134" s="1"/>
      <c r="MA1134" s="1"/>
    </row>
    <row r="1135" spans="4:339" ht="13" x14ac:dyDescent="0.15">
      <c r="D1135" s="12"/>
      <c r="E1135" s="12"/>
      <c r="I1135" s="12"/>
      <c r="J1135" s="13"/>
      <c r="BF1135" s="1"/>
      <c r="BG1135" s="1"/>
      <c r="BH1135" s="1"/>
      <c r="BI1135" s="1"/>
      <c r="BJ1135" s="1"/>
      <c r="BK1135" s="1"/>
      <c r="BL1135" s="1"/>
      <c r="BM1135" s="1"/>
      <c r="BN1135" s="1"/>
      <c r="BO1135" s="1"/>
      <c r="BP1135" s="1"/>
      <c r="BQ1135" s="1"/>
      <c r="BR1135" s="1"/>
      <c r="BX1135" s="1"/>
      <c r="CD1135" s="1"/>
      <c r="CE1135" s="1"/>
      <c r="CF1135" s="1"/>
      <c r="CG1135" s="1"/>
      <c r="CM1135" s="2"/>
      <c r="CP1135" s="1"/>
      <c r="CQ1135" s="1"/>
      <c r="CR1135" s="1"/>
      <c r="CS1135" s="1"/>
      <c r="CT1135" s="1"/>
      <c r="CU1135" s="1"/>
      <c r="CV1135" s="1"/>
      <c r="CW1135" s="1"/>
      <c r="CX1135" s="1"/>
      <c r="CY1135" s="1"/>
      <c r="CZ1135" s="1"/>
      <c r="DA1135" s="1"/>
      <c r="DB1135" s="1"/>
      <c r="DC1135" s="1"/>
      <c r="DD1135" s="1"/>
      <c r="DE1135" s="1"/>
      <c r="DF1135" s="1"/>
      <c r="DG1135" s="1"/>
      <c r="DH1135" s="1"/>
      <c r="DI1135" s="1"/>
      <c r="DJ1135" s="1"/>
      <c r="DK1135" s="1"/>
      <c r="DM1135" s="1"/>
      <c r="DQ1135" s="1"/>
      <c r="DR1135" s="1"/>
      <c r="DY1135" s="1"/>
      <c r="DZ1135" s="1"/>
      <c r="ED1135" s="1"/>
      <c r="EE1135" s="1"/>
      <c r="EF1135" s="1"/>
      <c r="EG1135" s="1"/>
      <c r="EH1135" s="1"/>
      <c r="EK1135" s="1"/>
      <c r="EL1135" s="1"/>
      <c r="EM1135" s="1"/>
      <c r="EN1135" s="1"/>
      <c r="EQ1135" s="1"/>
      <c r="ER1135" s="1"/>
      <c r="ES1135" s="1"/>
      <c r="EV1135" s="1"/>
      <c r="EW1135" s="1"/>
      <c r="EY1135" s="1"/>
      <c r="EZ1135" s="1"/>
      <c r="GO1135" s="1"/>
      <c r="GP1135" s="1"/>
      <c r="HH1135" s="1"/>
      <c r="HN1135" s="1"/>
      <c r="HT1135" s="1"/>
      <c r="HX1135" s="1"/>
      <c r="HY1135" s="1"/>
      <c r="IA1135" s="1"/>
      <c r="IE1135" s="1"/>
      <c r="IG1135" s="1"/>
      <c r="IJ1135" s="1"/>
      <c r="IK1135" s="1"/>
      <c r="IR1135" s="1"/>
      <c r="IS1135" s="1"/>
      <c r="IZ1135" s="1"/>
      <c r="JF1135" s="1"/>
      <c r="JG1135" s="1"/>
      <c r="JH1135" s="1"/>
      <c r="JJ1135" s="1"/>
      <c r="JK1135" s="1"/>
      <c r="JL1135" s="3"/>
      <c r="JM1135" s="1"/>
      <c r="JN1135" s="1"/>
      <c r="JP1135" s="1"/>
      <c r="JQ1135" s="1"/>
      <c r="JR1135" s="1"/>
      <c r="JT1135" s="1"/>
      <c r="KU1135" s="1"/>
      <c r="KV1135" s="1"/>
      <c r="KY1135" s="1"/>
      <c r="KZ1135" s="1"/>
      <c r="LA1135" s="1"/>
      <c r="LB1135" s="1"/>
      <c r="LC1135" s="1"/>
      <c r="LD1135" s="1"/>
      <c r="LF1135" s="1"/>
      <c r="LO1135" s="1"/>
      <c r="LP1135" s="1"/>
      <c r="LZ1135" s="1"/>
      <c r="MA1135" s="1"/>
    </row>
    <row r="1136" spans="4:339" ht="13" x14ac:dyDescent="0.15">
      <c r="D1136" s="12"/>
      <c r="E1136" s="12"/>
      <c r="I1136" s="12"/>
      <c r="J1136" s="13"/>
      <c r="BF1136" s="1"/>
      <c r="BG1136" s="1"/>
      <c r="BH1136" s="1"/>
      <c r="BI1136" s="1"/>
      <c r="BJ1136" s="1"/>
      <c r="BK1136" s="1"/>
      <c r="BL1136" s="1"/>
      <c r="BM1136" s="1"/>
      <c r="BN1136" s="1"/>
      <c r="BO1136" s="1"/>
      <c r="BP1136" s="1"/>
      <c r="BQ1136" s="1"/>
      <c r="BR1136" s="1"/>
      <c r="BX1136" s="1"/>
      <c r="CD1136" s="1"/>
      <c r="CE1136" s="1"/>
      <c r="CF1136" s="1"/>
      <c r="CG1136" s="1"/>
      <c r="CM1136" s="2"/>
      <c r="CP1136" s="1"/>
      <c r="CQ1136" s="1"/>
      <c r="CR1136" s="1"/>
      <c r="CS1136" s="1"/>
      <c r="CT1136" s="1"/>
      <c r="CU1136" s="1"/>
      <c r="CV1136" s="1"/>
      <c r="CW1136" s="1"/>
      <c r="CX1136" s="1"/>
      <c r="CY1136" s="1"/>
      <c r="CZ1136" s="1"/>
      <c r="DA1136" s="1"/>
      <c r="DB1136" s="1"/>
      <c r="DC1136" s="1"/>
      <c r="DD1136" s="1"/>
      <c r="DE1136" s="1"/>
      <c r="DF1136" s="1"/>
      <c r="DG1136" s="1"/>
      <c r="DH1136" s="1"/>
      <c r="DI1136" s="1"/>
      <c r="DJ1136" s="1"/>
      <c r="DK1136" s="1"/>
      <c r="DM1136" s="1"/>
      <c r="DQ1136" s="1"/>
      <c r="DR1136" s="1"/>
      <c r="DY1136" s="1"/>
      <c r="DZ1136" s="1"/>
      <c r="ED1136" s="1"/>
      <c r="EE1136" s="1"/>
      <c r="EF1136" s="1"/>
      <c r="EG1136" s="1"/>
      <c r="EH1136" s="1"/>
      <c r="EK1136" s="1"/>
      <c r="EL1136" s="1"/>
      <c r="EM1136" s="1"/>
      <c r="EN1136" s="1"/>
      <c r="EQ1136" s="1"/>
      <c r="ER1136" s="1"/>
      <c r="ES1136" s="1"/>
      <c r="EV1136" s="1"/>
      <c r="EW1136" s="1"/>
      <c r="EY1136" s="1"/>
      <c r="EZ1136" s="1"/>
      <c r="GO1136" s="1"/>
      <c r="GP1136" s="1"/>
      <c r="HH1136" s="1"/>
      <c r="HN1136" s="1"/>
      <c r="HT1136" s="1"/>
      <c r="HX1136" s="1"/>
      <c r="HY1136" s="1"/>
      <c r="IA1136" s="1"/>
      <c r="IE1136" s="1"/>
      <c r="IG1136" s="1"/>
      <c r="IJ1136" s="1"/>
      <c r="IK1136" s="1"/>
      <c r="IR1136" s="1"/>
      <c r="IS1136" s="1"/>
      <c r="IZ1136" s="1"/>
      <c r="JF1136" s="1"/>
      <c r="JG1136" s="1"/>
      <c r="JH1136" s="1"/>
      <c r="JJ1136" s="1"/>
      <c r="JK1136" s="1"/>
      <c r="JL1136" s="3"/>
      <c r="JM1136" s="1"/>
      <c r="JN1136" s="1"/>
      <c r="JP1136" s="1"/>
      <c r="JQ1136" s="1"/>
      <c r="JR1136" s="1"/>
      <c r="JT1136" s="1"/>
      <c r="KU1136" s="1"/>
      <c r="KV1136" s="1"/>
      <c r="KY1136" s="1"/>
      <c r="KZ1136" s="1"/>
      <c r="LA1136" s="1"/>
      <c r="LB1136" s="1"/>
      <c r="LC1136" s="1"/>
      <c r="LD1136" s="1"/>
      <c r="LF1136" s="1"/>
      <c r="LO1136" s="1"/>
      <c r="LP1136" s="1"/>
      <c r="LZ1136" s="1"/>
      <c r="MA1136" s="1"/>
    </row>
    <row r="1137" spans="4:339" ht="13" x14ac:dyDescent="0.15">
      <c r="D1137" s="12"/>
      <c r="E1137" s="12"/>
      <c r="I1137" s="12"/>
      <c r="J1137" s="13"/>
      <c r="BF1137" s="1"/>
      <c r="BG1137" s="1"/>
      <c r="BH1137" s="1"/>
      <c r="BI1137" s="1"/>
      <c r="BJ1137" s="1"/>
      <c r="BK1137" s="1"/>
      <c r="BL1137" s="1"/>
      <c r="BM1137" s="1"/>
      <c r="BN1137" s="1"/>
      <c r="BO1137" s="1"/>
      <c r="BP1137" s="1"/>
      <c r="BQ1137" s="1"/>
      <c r="BR1137" s="1"/>
      <c r="BX1137" s="1"/>
      <c r="CD1137" s="1"/>
      <c r="CE1137" s="1"/>
      <c r="CF1137" s="1"/>
      <c r="CG1137" s="1"/>
      <c r="CM1137" s="2"/>
      <c r="CP1137" s="1"/>
      <c r="CQ1137" s="1"/>
      <c r="CR1137" s="1"/>
      <c r="CS1137" s="1"/>
      <c r="CT1137" s="1"/>
      <c r="CU1137" s="1"/>
      <c r="CV1137" s="1"/>
      <c r="CW1137" s="1"/>
      <c r="CX1137" s="1"/>
      <c r="CY1137" s="1"/>
      <c r="CZ1137" s="1"/>
      <c r="DA1137" s="1"/>
      <c r="DB1137" s="1"/>
      <c r="DC1137" s="1"/>
      <c r="DD1137" s="1"/>
      <c r="DE1137" s="1"/>
      <c r="DF1137" s="1"/>
      <c r="DG1137" s="1"/>
      <c r="DH1137" s="1"/>
      <c r="DI1137" s="1"/>
      <c r="DJ1137" s="1"/>
      <c r="DK1137" s="1"/>
      <c r="DM1137" s="1"/>
      <c r="DQ1137" s="1"/>
      <c r="DR1137" s="1"/>
      <c r="DY1137" s="1"/>
      <c r="DZ1137" s="1"/>
      <c r="ED1137" s="1"/>
      <c r="EE1137" s="1"/>
      <c r="EF1137" s="1"/>
      <c r="EG1137" s="1"/>
      <c r="EH1137" s="1"/>
      <c r="EK1137" s="1"/>
      <c r="EL1137" s="1"/>
      <c r="EM1137" s="1"/>
      <c r="EN1137" s="1"/>
      <c r="EQ1137" s="1"/>
      <c r="ER1137" s="1"/>
      <c r="ES1137" s="1"/>
      <c r="EV1137" s="1"/>
      <c r="EW1137" s="1"/>
      <c r="EY1137" s="1"/>
      <c r="EZ1137" s="1"/>
      <c r="GO1137" s="1"/>
      <c r="GP1137" s="1"/>
      <c r="HH1137" s="1"/>
      <c r="HN1137" s="1"/>
      <c r="HT1137" s="1"/>
      <c r="HX1137" s="1"/>
      <c r="HY1137" s="1"/>
      <c r="IA1137" s="1"/>
      <c r="IE1137" s="1"/>
      <c r="IG1137" s="1"/>
      <c r="IJ1137" s="1"/>
      <c r="IK1137" s="1"/>
      <c r="IR1137" s="1"/>
      <c r="IS1137" s="1"/>
      <c r="IZ1137" s="1"/>
      <c r="JF1137" s="1"/>
      <c r="JG1137" s="1"/>
      <c r="JH1137" s="1"/>
      <c r="JJ1137" s="1"/>
      <c r="JK1137" s="1"/>
      <c r="JL1137" s="3"/>
      <c r="JM1137" s="1"/>
      <c r="JN1137" s="1"/>
      <c r="JP1137" s="1"/>
      <c r="JQ1137" s="1"/>
      <c r="JR1137" s="1"/>
      <c r="JT1137" s="1"/>
      <c r="KU1137" s="1"/>
      <c r="KV1137" s="1"/>
      <c r="KY1137" s="1"/>
      <c r="KZ1137" s="1"/>
      <c r="LA1137" s="1"/>
      <c r="LB1137" s="1"/>
      <c r="LC1137" s="1"/>
      <c r="LD1137" s="1"/>
      <c r="LF1137" s="1"/>
      <c r="LO1137" s="1"/>
      <c r="LP1137" s="1"/>
      <c r="LZ1137" s="1"/>
      <c r="MA1137" s="1"/>
    </row>
    <row r="1138" spans="4:339" ht="13" x14ac:dyDescent="0.15">
      <c r="D1138" s="12"/>
      <c r="E1138" s="12"/>
      <c r="I1138" s="12"/>
      <c r="J1138" s="13"/>
      <c r="BF1138" s="1"/>
      <c r="BG1138" s="1"/>
      <c r="BH1138" s="1"/>
      <c r="BI1138" s="1"/>
      <c r="BJ1138" s="1"/>
      <c r="BK1138" s="1"/>
      <c r="BL1138" s="1"/>
      <c r="BM1138" s="1"/>
      <c r="BN1138" s="1"/>
      <c r="BO1138" s="1"/>
      <c r="BP1138" s="1"/>
      <c r="BQ1138" s="1"/>
      <c r="BR1138" s="1"/>
      <c r="BX1138" s="1"/>
      <c r="CD1138" s="1"/>
      <c r="CE1138" s="1"/>
      <c r="CF1138" s="1"/>
      <c r="CG1138" s="1"/>
      <c r="CM1138" s="2"/>
      <c r="CP1138" s="1"/>
      <c r="CQ1138" s="1"/>
      <c r="CR1138" s="1"/>
      <c r="CS1138" s="1"/>
      <c r="CT1138" s="1"/>
      <c r="CU1138" s="1"/>
      <c r="CV1138" s="1"/>
      <c r="CW1138" s="1"/>
      <c r="CX1138" s="1"/>
      <c r="CY1138" s="1"/>
      <c r="CZ1138" s="1"/>
      <c r="DA1138" s="1"/>
      <c r="DB1138" s="1"/>
      <c r="DC1138" s="1"/>
      <c r="DD1138" s="1"/>
      <c r="DE1138" s="1"/>
      <c r="DF1138" s="1"/>
      <c r="DG1138" s="1"/>
      <c r="DH1138" s="1"/>
      <c r="DI1138" s="1"/>
      <c r="DJ1138" s="1"/>
      <c r="DK1138" s="1"/>
      <c r="DM1138" s="1"/>
      <c r="DQ1138" s="1"/>
      <c r="DR1138" s="1"/>
      <c r="DY1138" s="1"/>
      <c r="DZ1138" s="1"/>
      <c r="ED1138" s="1"/>
      <c r="EE1138" s="1"/>
      <c r="EF1138" s="1"/>
      <c r="EG1138" s="1"/>
      <c r="EH1138" s="1"/>
      <c r="EK1138" s="1"/>
      <c r="EL1138" s="1"/>
      <c r="EM1138" s="1"/>
      <c r="EN1138" s="1"/>
      <c r="EQ1138" s="1"/>
      <c r="ER1138" s="1"/>
      <c r="ES1138" s="1"/>
      <c r="EV1138" s="1"/>
      <c r="EW1138" s="1"/>
      <c r="EY1138" s="1"/>
      <c r="EZ1138" s="1"/>
      <c r="GO1138" s="1"/>
      <c r="GP1138" s="1"/>
      <c r="HH1138" s="1"/>
      <c r="HN1138" s="1"/>
      <c r="HT1138" s="1"/>
      <c r="HX1138" s="1"/>
      <c r="HY1138" s="1"/>
      <c r="IA1138" s="1"/>
      <c r="IE1138" s="1"/>
      <c r="IG1138" s="1"/>
      <c r="IJ1138" s="1"/>
      <c r="IK1138" s="1"/>
      <c r="IR1138" s="1"/>
      <c r="IS1138" s="1"/>
      <c r="IZ1138" s="1"/>
      <c r="JF1138" s="1"/>
      <c r="JG1138" s="1"/>
      <c r="JH1138" s="1"/>
      <c r="JJ1138" s="1"/>
      <c r="JK1138" s="1"/>
      <c r="JL1138" s="3"/>
      <c r="JM1138" s="1"/>
      <c r="JN1138" s="1"/>
      <c r="JP1138" s="1"/>
      <c r="JQ1138" s="1"/>
      <c r="JR1138" s="1"/>
      <c r="JT1138" s="1"/>
      <c r="KU1138" s="1"/>
      <c r="KV1138" s="1"/>
      <c r="KY1138" s="1"/>
      <c r="KZ1138" s="1"/>
      <c r="LA1138" s="1"/>
      <c r="LB1138" s="1"/>
      <c r="LC1138" s="1"/>
      <c r="LD1138" s="1"/>
      <c r="LF1138" s="1"/>
      <c r="LO1138" s="1"/>
      <c r="LP1138" s="1"/>
      <c r="LZ1138" s="1"/>
      <c r="MA1138" s="1"/>
    </row>
    <row r="1139" spans="4:339" ht="13" x14ac:dyDescent="0.15">
      <c r="D1139" s="12"/>
      <c r="E1139" s="12"/>
      <c r="I1139" s="12"/>
      <c r="J1139" s="13"/>
      <c r="BF1139" s="1"/>
      <c r="BG1139" s="1"/>
      <c r="BH1139" s="1"/>
      <c r="BI1139" s="1"/>
      <c r="BK1139" s="1"/>
      <c r="BL1139" s="1"/>
      <c r="BM1139" s="1"/>
      <c r="BN1139" s="1"/>
      <c r="BO1139" s="1"/>
      <c r="BP1139" s="1"/>
      <c r="BQ1139" s="1"/>
      <c r="BR1139" s="1"/>
      <c r="CD1139" s="1"/>
      <c r="CE1139" s="1"/>
      <c r="CF1139" s="1"/>
      <c r="CG1139" s="1"/>
      <c r="CM1139" s="2"/>
      <c r="CP1139" s="1"/>
      <c r="CQ1139" s="1"/>
      <c r="CR1139" s="1"/>
      <c r="CS1139" s="1"/>
      <c r="CT1139" s="1"/>
      <c r="CU1139" s="1"/>
      <c r="CV1139" s="1"/>
      <c r="CW1139" s="1"/>
      <c r="CX1139" s="1"/>
      <c r="CY1139" s="1"/>
      <c r="CZ1139" s="1"/>
      <c r="DA1139" s="1"/>
      <c r="DB1139" s="1"/>
      <c r="DC1139" s="1"/>
      <c r="DD1139" s="1"/>
      <c r="DE1139" s="1"/>
      <c r="DF1139" s="1"/>
      <c r="DG1139" s="1"/>
      <c r="DH1139" s="1"/>
      <c r="DI1139" s="1"/>
      <c r="DJ1139" s="1"/>
      <c r="DK1139" s="1"/>
      <c r="ED1139" s="1"/>
      <c r="EK1139" s="1"/>
      <c r="EL1139" s="1"/>
      <c r="EM1139" s="1"/>
      <c r="EN1139" s="1"/>
      <c r="EQ1139" s="1"/>
      <c r="ER1139" s="1"/>
      <c r="ES1139" s="1"/>
      <c r="EV1139" s="1"/>
      <c r="EW1139" s="1"/>
      <c r="EZ1139" s="1"/>
      <c r="FE1139" s="1"/>
      <c r="FF1139" s="1"/>
      <c r="FJ1139" s="1"/>
      <c r="FS1139" s="1"/>
      <c r="FW1139" s="1"/>
      <c r="FX1139" s="1"/>
      <c r="GP1139" s="1"/>
      <c r="HY1139" s="1"/>
      <c r="IC1139" s="1"/>
      <c r="IE1139" s="1"/>
      <c r="IR1139" s="1"/>
      <c r="IS1139" s="1"/>
      <c r="IW1139" s="1"/>
      <c r="IZ1139" s="1"/>
      <c r="JA1139" s="1"/>
      <c r="JF1139" s="1"/>
      <c r="JG1139" s="1"/>
      <c r="JH1139" s="1"/>
      <c r="JJ1139" s="1"/>
      <c r="JN1139" s="1"/>
      <c r="JP1139" s="1"/>
      <c r="JQ1139" s="1"/>
      <c r="KU1139" s="1"/>
      <c r="KY1139" s="1"/>
      <c r="KZ1139" s="1"/>
      <c r="LA1139" s="1"/>
      <c r="LB1139" s="1"/>
      <c r="LC1139" s="1"/>
      <c r="LD1139" s="1"/>
      <c r="LO1139" s="1"/>
      <c r="LP1139" s="1"/>
      <c r="LZ1139" s="1"/>
      <c r="MA1139" s="1"/>
    </row>
    <row r="1140" spans="4:339" ht="13" x14ac:dyDescent="0.15">
      <c r="D1140" s="12"/>
      <c r="E1140" s="12"/>
      <c r="I1140" s="12"/>
      <c r="J1140" s="13"/>
      <c r="BF1140" s="1"/>
      <c r="BG1140" s="1"/>
      <c r="BH1140" s="1"/>
      <c r="BI1140" s="1"/>
      <c r="BK1140" s="1"/>
      <c r="BL1140" s="1"/>
      <c r="BM1140" s="1"/>
      <c r="BN1140" s="1"/>
      <c r="BO1140" s="1"/>
      <c r="BP1140" s="1"/>
      <c r="BQ1140" s="1"/>
      <c r="BR1140" s="1"/>
      <c r="CD1140" s="1"/>
      <c r="CE1140" s="1"/>
      <c r="CF1140" s="1"/>
      <c r="CG1140" s="1"/>
      <c r="CM1140" s="2"/>
      <c r="CP1140" s="1"/>
      <c r="CQ1140" s="1"/>
      <c r="CR1140" s="1"/>
      <c r="CS1140" s="1"/>
      <c r="CT1140" s="1"/>
      <c r="CU1140" s="1"/>
      <c r="CV1140" s="1"/>
      <c r="CW1140" s="1"/>
      <c r="CX1140" s="1"/>
      <c r="CY1140" s="1"/>
      <c r="CZ1140" s="1"/>
      <c r="DA1140" s="1"/>
      <c r="DB1140" s="1"/>
      <c r="DC1140" s="1"/>
      <c r="DD1140" s="1"/>
      <c r="DE1140" s="1"/>
      <c r="DF1140" s="1"/>
      <c r="DG1140" s="1"/>
      <c r="DH1140" s="1"/>
      <c r="DI1140" s="1"/>
      <c r="DJ1140" s="1"/>
      <c r="DK1140" s="1"/>
      <c r="ED1140" s="1"/>
      <c r="EK1140" s="1"/>
      <c r="EL1140" s="1"/>
      <c r="EM1140" s="1"/>
      <c r="EN1140" s="1"/>
      <c r="EQ1140" s="1"/>
      <c r="ER1140" s="1"/>
      <c r="ES1140" s="1"/>
      <c r="EV1140" s="1"/>
      <c r="EW1140" s="1"/>
      <c r="EZ1140" s="1"/>
      <c r="FE1140" s="1"/>
      <c r="FF1140" s="1"/>
      <c r="FJ1140" s="1"/>
      <c r="FS1140" s="1"/>
      <c r="FW1140" s="1"/>
      <c r="FX1140" s="1"/>
      <c r="GP1140" s="1"/>
      <c r="HY1140" s="1"/>
      <c r="IC1140" s="1"/>
      <c r="IE1140" s="1"/>
      <c r="IR1140" s="1"/>
      <c r="IS1140" s="1"/>
      <c r="IW1140" s="1"/>
      <c r="IZ1140" s="1"/>
      <c r="JA1140" s="1"/>
      <c r="JF1140" s="1"/>
      <c r="JG1140" s="1"/>
      <c r="JH1140" s="1"/>
      <c r="JJ1140" s="1"/>
      <c r="JN1140" s="1"/>
      <c r="JP1140" s="1"/>
      <c r="JQ1140" s="1"/>
      <c r="KU1140" s="1"/>
      <c r="KY1140" s="1"/>
      <c r="KZ1140" s="1"/>
      <c r="LA1140" s="1"/>
      <c r="LB1140" s="1"/>
      <c r="LC1140" s="1"/>
      <c r="LD1140" s="1"/>
      <c r="LO1140" s="1"/>
      <c r="LP1140" s="1"/>
      <c r="LZ1140" s="1"/>
      <c r="MA1140" s="1"/>
    </row>
    <row r="1141" spans="4:339" ht="13" x14ac:dyDescent="0.15">
      <c r="D1141" s="12"/>
      <c r="E1141" s="12"/>
      <c r="I1141" s="12"/>
      <c r="J1141" s="13"/>
      <c r="BF1141" s="1"/>
      <c r="BG1141" s="1"/>
      <c r="BH1141" s="1"/>
      <c r="BI1141" s="1"/>
      <c r="BK1141" s="1"/>
      <c r="BL1141" s="1"/>
      <c r="BM1141" s="1"/>
      <c r="BN1141" s="1"/>
      <c r="BO1141" s="1"/>
      <c r="BP1141" s="1"/>
      <c r="BQ1141" s="1"/>
      <c r="BR1141" s="1"/>
      <c r="BX1141" s="1"/>
      <c r="CC1141" s="1"/>
      <c r="CD1141" s="1"/>
      <c r="CE1141" s="1"/>
      <c r="CF1141" s="1"/>
      <c r="CG1141" s="1"/>
      <c r="CK1141" s="1"/>
      <c r="CM1141" s="2"/>
      <c r="CP1141" s="1"/>
      <c r="CQ1141" s="1"/>
      <c r="CX1141" s="1"/>
      <c r="CY1141" s="1"/>
      <c r="CZ1141" s="1"/>
      <c r="DA1141" s="1"/>
      <c r="DB1141" s="1"/>
      <c r="DC1141" s="1"/>
      <c r="DD1141" s="1"/>
      <c r="DE1141" s="1"/>
      <c r="DF1141" s="1"/>
      <c r="DG1141" s="1"/>
      <c r="DH1141" s="1"/>
      <c r="DI1141" s="1"/>
      <c r="DJ1141" s="1"/>
      <c r="DK1141" s="1"/>
      <c r="DM1141" s="1"/>
      <c r="DQ1141" s="1"/>
      <c r="DR1141" s="1"/>
      <c r="DY1141" s="1"/>
      <c r="DZ1141" s="1"/>
      <c r="ED1141" s="1"/>
      <c r="EK1141" s="1"/>
      <c r="EL1141" s="1"/>
      <c r="EM1141" s="1"/>
      <c r="EN1141" s="1"/>
      <c r="EQ1141" s="1"/>
      <c r="ER1141" s="1"/>
      <c r="ES1141" s="1"/>
      <c r="EV1141" s="1"/>
      <c r="EW1141" s="1"/>
      <c r="EZ1141" s="1"/>
      <c r="GP1141" s="1"/>
      <c r="HT1141" s="1"/>
      <c r="HY1141" s="1"/>
      <c r="ID1141" s="1"/>
      <c r="IE1141" s="1"/>
      <c r="IR1141" s="1"/>
      <c r="IS1141" s="1"/>
      <c r="IZ1141" s="1"/>
      <c r="JC1141" s="1"/>
      <c r="JF1141" s="1"/>
      <c r="JG1141" s="1"/>
      <c r="JH1141" s="1"/>
      <c r="JJ1141" s="1"/>
      <c r="JN1141" s="1"/>
      <c r="JP1141" s="1"/>
      <c r="JQ1141" s="1"/>
      <c r="JT1141" s="1"/>
      <c r="KY1141" s="1"/>
      <c r="KZ1141" s="1"/>
      <c r="LA1141" s="1"/>
      <c r="LB1141" s="1"/>
      <c r="LC1141" s="1"/>
      <c r="LD1141" s="1"/>
      <c r="LO1141" s="1"/>
      <c r="LP1141" s="1"/>
      <c r="LZ1141" s="1"/>
      <c r="MA1141" s="1"/>
    </row>
    <row r="1142" spans="4:339" ht="13" x14ac:dyDescent="0.15">
      <c r="D1142" s="12"/>
      <c r="E1142" s="12"/>
      <c r="I1142" s="12"/>
      <c r="J1142" s="13"/>
      <c r="BF1142" s="1"/>
      <c r="BG1142" s="1"/>
      <c r="BH1142" s="1"/>
      <c r="BI1142" s="1"/>
      <c r="BK1142" s="1"/>
      <c r="BL1142" s="1"/>
      <c r="BM1142" s="1"/>
      <c r="BN1142" s="1"/>
      <c r="BO1142" s="1"/>
      <c r="BP1142" s="1"/>
      <c r="BQ1142" s="1"/>
      <c r="BR1142" s="1"/>
      <c r="BX1142" s="1"/>
      <c r="CC1142" s="1"/>
      <c r="CD1142" s="1"/>
      <c r="CE1142" s="1"/>
      <c r="CF1142" s="1"/>
      <c r="CG1142" s="1"/>
      <c r="CK1142" s="1"/>
      <c r="CM1142" s="2"/>
      <c r="CP1142" s="1"/>
      <c r="CQ1142" s="1"/>
      <c r="CX1142" s="1"/>
      <c r="CY1142" s="1"/>
      <c r="CZ1142" s="1"/>
      <c r="DA1142" s="1"/>
      <c r="DB1142" s="1"/>
      <c r="DC1142" s="1"/>
      <c r="DD1142" s="1"/>
      <c r="DE1142" s="1"/>
      <c r="DF1142" s="1"/>
      <c r="DG1142" s="1"/>
      <c r="DH1142" s="1"/>
      <c r="DI1142" s="1"/>
      <c r="DJ1142" s="1"/>
      <c r="DK1142" s="1"/>
      <c r="DM1142" s="1"/>
      <c r="DQ1142" s="1"/>
      <c r="DR1142" s="1"/>
      <c r="DY1142" s="1"/>
      <c r="DZ1142" s="1"/>
      <c r="ED1142" s="1"/>
      <c r="EK1142" s="1"/>
      <c r="EL1142" s="1"/>
      <c r="EM1142" s="1"/>
      <c r="EN1142" s="1"/>
      <c r="EQ1142" s="1"/>
      <c r="ER1142" s="1"/>
      <c r="ES1142" s="1"/>
      <c r="EV1142" s="1"/>
      <c r="EW1142" s="1"/>
      <c r="EZ1142" s="1"/>
      <c r="GP1142" s="1"/>
      <c r="HT1142" s="1"/>
      <c r="HY1142" s="1"/>
      <c r="ID1142" s="1"/>
      <c r="IE1142" s="1"/>
      <c r="IR1142" s="1"/>
      <c r="IS1142" s="1"/>
      <c r="IZ1142" s="1"/>
      <c r="JC1142" s="1"/>
      <c r="JF1142" s="1"/>
      <c r="JG1142" s="1"/>
      <c r="JH1142" s="1"/>
      <c r="JJ1142" s="1"/>
      <c r="JN1142" s="1"/>
      <c r="JP1142" s="1"/>
      <c r="JQ1142" s="1"/>
      <c r="JT1142" s="1"/>
      <c r="KY1142" s="1"/>
      <c r="KZ1142" s="1"/>
      <c r="LA1142" s="1"/>
      <c r="LB1142" s="1"/>
      <c r="LC1142" s="1"/>
      <c r="LD1142" s="1"/>
      <c r="LO1142" s="1"/>
      <c r="LP1142" s="1"/>
      <c r="LZ1142" s="1"/>
      <c r="MA1142" s="1"/>
    </row>
    <row r="1143" spans="4:339" ht="13" x14ac:dyDescent="0.15">
      <c r="D1143" s="12"/>
      <c r="E1143" s="12"/>
      <c r="I1143" s="12"/>
      <c r="J1143" s="13"/>
      <c r="BF1143" s="1"/>
      <c r="BG1143" s="1"/>
      <c r="BH1143" s="1"/>
      <c r="BI1143" s="1"/>
      <c r="BK1143" s="1"/>
      <c r="BL1143" s="1"/>
      <c r="BM1143" s="1"/>
      <c r="BN1143" s="1"/>
      <c r="BO1143" s="1"/>
      <c r="BP1143" s="1"/>
      <c r="BQ1143" s="1"/>
      <c r="BR1143" s="1"/>
      <c r="BX1143" s="1"/>
      <c r="CC1143" s="1"/>
      <c r="CD1143" s="1"/>
      <c r="CE1143" s="1"/>
      <c r="CF1143" s="1"/>
      <c r="CG1143" s="1"/>
      <c r="CK1143" s="1"/>
      <c r="CM1143" s="2"/>
      <c r="CP1143" s="1"/>
      <c r="CQ1143" s="1"/>
      <c r="CX1143" s="1"/>
      <c r="CY1143" s="1"/>
      <c r="CZ1143" s="1"/>
      <c r="DA1143" s="1"/>
      <c r="DB1143" s="1"/>
      <c r="DC1143" s="1"/>
      <c r="DD1143" s="1"/>
      <c r="DE1143" s="1"/>
      <c r="DF1143" s="1"/>
      <c r="DG1143" s="1"/>
      <c r="DH1143" s="1"/>
      <c r="DI1143" s="1"/>
      <c r="DJ1143" s="1"/>
      <c r="DK1143" s="1"/>
      <c r="DM1143" s="1"/>
      <c r="DQ1143" s="1"/>
      <c r="DR1143" s="1"/>
      <c r="DY1143" s="1"/>
      <c r="DZ1143" s="1"/>
      <c r="ED1143" s="1"/>
      <c r="EK1143" s="1"/>
      <c r="EL1143" s="1"/>
      <c r="EM1143" s="1"/>
      <c r="EN1143" s="1"/>
      <c r="EQ1143" s="1"/>
      <c r="ER1143" s="1"/>
      <c r="ES1143" s="1"/>
      <c r="EV1143" s="1"/>
      <c r="EW1143" s="1"/>
      <c r="EZ1143" s="1"/>
      <c r="GP1143" s="1"/>
      <c r="HT1143" s="1"/>
      <c r="HY1143" s="1"/>
      <c r="ID1143" s="1"/>
      <c r="IE1143" s="1"/>
      <c r="IR1143" s="1"/>
      <c r="IS1143" s="1"/>
      <c r="IZ1143" s="1"/>
      <c r="JC1143" s="1"/>
      <c r="JF1143" s="1"/>
      <c r="JG1143" s="1"/>
      <c r="JH1143" s="1"/>
      <c r="JJ1143" s="1"/>
      <c r="JN1143" s="1"/>
      <c r="JP1143" s="1"/>
      <c r="JQ1143" s="1"/>
      <c r="JT1143" s="1"/>
      <c r="KY1143" s="1"/>
      <c r="KZ1143" s="1"/>
      <c r="LA1143" s="1"/>
      <c r="LB1143" s="1"/>
      <c r="LC1143" s="1"/>
      <c r="LD1143" s="1"/>
      <c r="LO1143" s="1"/>
      <c r="LP1143" s="1"/>
      <c r="LZ1143" s="1"/>
      <c r="MA1143" s="1"/>
    </row>
    <row r="1144" spans="4:339" ht="13" x14ac:dyDescent="0.15">
      <c r="D1144" s="12"/>
      <c r="E1144" s="12"/>
      <c r="I1144" s="12"/>
      <c r="J1144" s="13"/>
      <c r="BF1144" s="1"/>
      <c r="BG1144" s="1"/>
      <c r="BH1144" s="1"/>
      <c r="BI1144" s="1"/>
      <c r="BK1144" s="1"/>
      <c r="BL1144" s="1"/>
      <c r="BM1144" s="1"/>
      <c r="BN1144" s="1"/>
      <c r="BO1144" s="1"/>
      <c r="BP1144" s="1"/>
      <c r="BQ1144" s="1"/>
      <c r="BR1144" s="1"/>
      <c r="BX1144" s="1"/>
      <c r="CC1144" s="1"/>
      <c r="CD1144" s="1"/>
      <c r="CE1144" s="1"/>
      <c r="CF1144" s="1"/>
      <c r="CG1144" s="1"/>
      <c r="CK1144" s="1"/>
      <c r="CM1144" s="2"/>
      <c r="CP1144" s="1"/>
      <c r="CQ1144" s="1"/>
      <c r="CX1144" s="1"/>
      <c r="CY1144" s="1"/>
      <c r="CZ1144" s="1"/>
      <c r="DA1144" s="1"/>
      <c r="DB1144" s="1"/>
      <c r="DC1144" s="1"/>
      <c r="DD1144" s="1"/>
      <c r="DE1144" s="1"/>
      <c r="DF1144" s="1"/>
      <c r="DG1144" s="1"/>
      <c r="DH1144" s="1"/>
      <c r="DI1144" s="1"/>
      <c r="DJ1144" s="1"/>
      <c r="DK1144" s="1"/>
      <c r="DM1144" s="1"/>
      <c r="DQ1144" s="1"/>
      <c r="DR1144" s="1"/>
      <c r="DY1144" s="1"/>
      <c r="DZ1144" s="1"/>
      <c r="ED1144" s="1"/>
      <c r="EK1144" s="1"/>
      <c r="EL1144" s="1"/>
      <c r="EM1144" s="1"/>
      <c r="EN1144" s="1"/>
      <c r="EQ1144" s="1"/>
      <c r="ER1144" s="1"/>
      <c r="ES1144" s="1"/>
      <c r="EV1144" s="1"/>
      <c r="EW1144" s="1"/>
      <c r="EZ1144" s="1"/>
      <c r="GP1144" s="1"/>
      <c r="HT1144" s="1"/>
      <c r="HY1144" s="1"/>
      <c r="ID1144" s="1"/>
      <c r="IE1144" s="1"/>
      <c r="IR1144" s="1"/>
      <c r="IS1144" s="1"/>
      <c r="IZ1144" s="1"/>
      <c r="JC1144" s="1"/>
      <c r="JF1144" s="1"/>
      <c r="JG1144" s="1"/>
      <c r="JH1144" s="1"/>
      <c r="JJ1144" s="1"/>
      <c r="JN1144" s="1"/>
      <c r="JP1144" s="1"/>
      <c r="JQ1144" s="1"/>
      <c r="JT1144" s="1"/>
      <c r="KY1144" s="1"/>
      <c r="KZ1144" s="1"/>
      <c r="LA1144" s="1"/>
      <c r="LB1144" s="1"/>
      <c r="LC1144" s="1"/>
      <c r="LD1144" s="1"/>
      <c r="LO1144" s="1"/>
      <c r="LP1144" s="1"/>
      <c r="LZ1144" s="1"/>
      <c r="MA1144" s="1"/>
    </row>
    <row r="1145" spans="4:339" ht="13" x14ac:dyDescent="0.15">
      <c r="D1145" s="12"/>
      <c r="E1145" s="12"/>
      <c r="I1145" s="12"/>
      <c r="J1145" s="13"/>
      <c r="BF1145" s="1"/>
      <c r="BG1145" s="1"/>
      <c r="BH1145" s="1"/>
      <c r="BI1145" s="1"/>
      <c r="BK1145" s="1"/>
      <c r="BL1145" s="1"/>
      <c r="BM1145" s="1"/>
      <c r="BN1145" s="1"/>
      <c r="BO1145" s="1"/>
      <c r="BP1145" s="1"/>
      <c r="BQ1145" s="1"/>
      <c r="BR1145" s="1"/>
      <c r="CD1145" s="1"/>
      <c r="CE1145" s="1"/>
      <c r="CF1145" s="1"/>
      <c r="CG1145" s="1"/>
      <c r="CM1145" s="2"/>
      <c r="CP1145" s="1"/>
      <c r="CQ1145" s="1"/>
      <c r="CR1145" s="1"/>
      <c r="CS1145" s="1"/>
      <c r="CT1145" s="1"/>
      <c r="CU1145" s="1"/>
      <c r="CV1145" s="1"/>
      <c r="CW1145" s="1"/>
      <c r="CX1145" s="1"/>
      <c r="CY1145" s="1"/>
      <c r="CZ1145" s="1"/>
      <c r="DA1145" s="1"/>
      <c r="DB1145" s="1"/>
      <c r="DC1145" s="1"/>
      <c r="DD1145" s="1"/>
      <c r="DE1145" s="1"/>
      <c r="DF1145" s="1"/>
      <c r="DG1145" s="1"/>
      <c r="DH1145" s="1"/>
      <c r="DI1145" s="1"/>
      <c r="DJ1145" s="1"/>
      <c r="DK1145" s="1"/>
      <c r="ED1145" s="1"/>
      <c r="EK1145" s="1"/>
      <c r="EL1145" s="1"/>
      <c r="EM1145" s="1"/>
      <c r="EN1145" s="1"/>
      <c r="EQ1145" s="1"/>
      <c r="ER1145" s="1"/>
      <c r="ES1145" s="1"/>
      <c r="EV1145" s="1"/>
      <c r="EW1145" s="1"/>
      <c r="EZ1145" s="1"/>
      <c r="FE1145" s="1"/>
      <c r="FF1145" s="1"/>
      <c r="FS1145" s="1"/>
      <c r="FW1145" s="1"/>
      <c r="FX1145" s="1"/>
      <c r="GO1145" s="1"/>
      <c r="GP1145" s="1"/>
      <c r="HQ1145" s="1"/>
      <c r="HT1145" s="1"/>
      <c r="HY1145" s="1"/>
      <c r="IE1145" s="1"/>
      <c r="IR1145" s="1"/>
      <c r="IS1145" s="1"/>
      <c r="IW1145" s="1"/>
      <c r="IY1145" s="1"/>
      <c r="IZ1145" s="1"/>
      <c r="JA1145" s="1"/>
      <c r="JH1145" s="1"/>
      <c r="JJ1145" s="1"/>
      <c r="JN1145" s="1"/>
      <c r="JP1145" s="1"/>
      <c r="JQ1145" s="1"/>
      <c r="KU1145" s="1"/>
      <c r="KV1145" s="1"/>
      <c r="KY1145" s="1"/>
      <c r="KZ1145" s="1"/>
      <c r="LA1145" s="1"/>
      <c r="LB1145" s="1"/>
      <c r="LC1145" s="1"/>
      <c r="LD1145" s="1"/>
      <c r="LF1145" s="1"/>
      <c r="LN1145" s="1"/>
      <c r="LO1145" s="1"/>
      <c r="LP1145" s="1"/>
      <c r="LZ1145" s="1"/>
      <c r="MA1145" s="1"/>
    </row>
    <row r="1146" spans="4:339" ht="13" x14ac:dyDescent="0.15">
      <c r="D1146" s="12"/>
      <c r="E1146" s="12"/>
      <c r="I1146" s="12"/>
      <c r="J1146" s="13"/>
      <c r="BF1146" s="1"/>
      <c r="BG1146" s="1"/>
      <c r="BH1146" s="1"/>
      <c r="BI1146" s="1"/>
      <c r="BK1146" s="1"/>
      <c r="BL1146" s="1"/>
      <c r="BM1146" s="1"/>
      <c r="BN1146" s="1"/>
      <c r="BO1146" s="1"/>
      <c r="BP1146" s="1"/>
      <c r="BQ1146" s="1"/>
      <c r="BR1146" s="1"/>
      <c r="CD1146" s="1"/>
      <c r="CE1146" s="1"/>
      <c r="CF1146" s="1"/>
      <c r="CG1146" s="1"/>
      <c r="CM1146" s="2"/>
      <c r="CP1146" s="1"/>
      <c r="CQ1146" s="1"/>
      <c r="CR1146" s="1"/>
      <c r="CS1146" s="1"/>
      <c r="CT1146" s="1"/>
      <c r="CU1146" s="1"/>
      <c r="CV1146" s="1"/>
      <c r="CW1146" s="1"/>
      <c r="CX1146" s="1"/>
      <c r="CY1146" s="1"/>
      <c r="CZ1146" s="1"/>
      <c r="DA1146" s="1"/>
      <c r="DB1146" s="1"/>
      <c r="DC1146" s="1"/>
      <c r="DD1146" s="1"/>
      <c r="DE1146" s="1"/>
      <c r="DF1146" s="1"/>
      <c r="DG1146" s="1"/>
      <c r="DH1146" s="1"/>
      <c r="DI1146" s="1"/>
      <c r="DJ1146" s="1"/>
      <c r="DK1146" s="1"/>
      <c r="ED1146" s="1"/>
      <c r="EK1146" s="1"/>
      <c r="EL1146" s="1"/>
      <c r="EM1146" s="1"/>
      <c r="EN1146" s="1"/>
      <c r="EQ1146" s="1"/>
      <c r="ER1146" s="1"/>
      <c r="ES1146" s="1"/>
      <c r="EV1146" s="1"/>
      <c r="EW1146" s="1"/>
      <c r="EZ1146" s="1"/>
      <c r="FE1146" s="1"/>
      <c r="FF1146" s="1"/>
      <c r="FS1146" s="1"/>
      <c r="FW1146" s="1"/>
      <c r="FX1146" s="1"/>
      <c r="GO1146" s="1"/>
      <c r="GP1146" s="1"/>
      <c r="HQ1146" s="1"/>
      <c r="HT1146" s="1"/>
      <c r="HY1146" s="1"/>
      <c r="IE1146" s="1"/>
      <c r="IR1146" s="1"/>
      <c r="IS1146" s="1"/>
      <c r="IW1146" s="1"/>
      <c r="IY1146" s="1"/>
      <c r="IZ1146" s="1"/>
      <c r="JA1146" s="1"/>
      <c r="JH1146" s="1"/>
      <c r="JJ1146" s="1"/>
      <c r="JN1146" s="1"/>
      <c r="JP1146" s="1"/>
      <c r="JQ1146" s="1"/>
      <c r="KU1146" s="1"/>
      <c r="KV1146" s="1"/>
      <c r="KY1146" s="1"/>
      <c r="KZ1146" s="1"/>
      <c r="LA1146" s="1"/>
      <c r="LB1146" s="1"/>
      <c r="LC1146" s="1"/>
      <c r="LD1146" s="1"/>
      <c r="LF1146" s="1"/>
      <c r="LN1146" s="1"/>
      <c r="LO1146" s="1"/>
      <c r="LP1146" s="1"/>
      <c r="LZ1146" s="1"/>
      <c r="MA1146" s="1"/>
    </row>
    <row r="1147" spans="4:339" ht="13" x14ac:dyDescent="0.15">
      <c r="D1147" s="12"/>
      <c r="E1147" s="12"/>
      <c r="I1147" s="12"/>
      <c r="J1147" s="13"/>
      <c r="BF1147" s="1"/>
      <c r="BG1147" s="1"/>
      <c r="BH1147" s="1"/>
      <c r="BI1147" s="1"/>
      <c r="BK1147" s="1"/>
      <c r="BL1147" s="1"/>
      <c r="BM1147" s="1"/>
      <c r="BN1147" s="1"/>
      <c r="BO1147" s="1"/>
      <c r="BP1147" s="1"/>
      <c r="BQ1147" s="1"/>
      <c r="BR1147" s="1"/>
      <c r="CD1147" s="1"/>
      <c r="CE1147" s="1"/>
      <c r="CF1147" s="1"/>
      <c r="CG1147" s="1"/>
      <c r="CM1147" s="2"/>
      <c r="CP1147" s="1"/>
      <c r="CQ1147" s="1"/>
      <c r="CR1147" s="1"/>
      <c r="CS1147" s="1"/>
      <c r="CT1147" s="1"/>
      <c r="CU1147" s="1"/>
      <c r="CV1147" s="1"/>
      <c r="CW1147" s="1"/>
      <c r="CX1147" s="1"/>
      <c r="CY1147" s="1"/>
      <c r="CZ1147" s="1"/>
      <c r="DA1147" s="1"/>
      <c r="DB1147" s="1"/>
      <c r="DC1147" s="1"/>
      <c r="DD1147" s="1"/>
      <c r="DE1147" s="1"/>
      <c r="DF1147" s="1"/>
      <c r="DG1147" s="1"/>
      <c r="DH1147" s="1"/>
      <c r="DI1147" s="1"/>
      <c r="DJ1147" s="1"/>
      <c r="DK1147" s="1"/>
      <c r="ED1147" s="1"/>
      <c r="EK1147" s="1"/>
      <c r="EL1147" s="1"/>
      <c r="EM1147" s="1"/>
      <c r="EN1147" s="1"/>
      <c r="EQ1147" s="1"/>
      <c r="ER1147" s="1"/>
      <c r="ES1147" s="1"/>
      <c r="EV1147" s="1"/>
      <c r="EW1147" s="1"/>
      <c r="EZ1147" s="1"/>
      <c r="FE1147" s="1"/>
      <c r="FF1147" s="1"/>
      <c r="FS1147" s="1"/>
      <c r="FW1147" s="1"/>
      <c r="FX1147" s="1"/>
      <c r="GO1147" s="1"/>
      <c r="GP1147" s="1"/>
      <c r="HQ1147" s="1"/>
      <c r="HT1147" s="1"/>
      <c r="HY1147" s="1"/>
      <c r="IE1147" s="1"/>
      <c r="IR1147" s="1"/>
      <c r="IS1147" s="1"/>
      <c r="IW1147" s="1"/>
      <c r="IY1147" s="1"/>
      <c r="IZ1147" s="1"/>
      <c r="JA1147" s="1"/>
      <c r="JH1147" s="1"/>
      <c r="JJ1147" s="1"/>
      <c r="JN1147" s="1"/>
      <c r="JP1147" s="1"/>
      <c r="JQ1147" s="1"/>
      <c r="KU1147" s="1"/>
      <c r="KV1147" s="1"/>
      <c r="KY1147" s="1"/>
      <c r="KZ1147" s="1"/>
      <c r="LA1147" s="1"/>
      <c r="LB1147" s="1"/>
      <c r="LC1147" s="1"/>
      <c r="LD1147" s="1"/>
      <c r="LF1147" s="1"/>
      <c r="LN1147" s="1"/>
      <c r="LO1147" s="1"/>
      <c r="LP1147" s="1"/>
      <c r="LZ1147" s="1"/>
      <c r="MA1147" s="1"/>
    </row>
    <row r="1148" spans="4:339" ht="13" x14ac:dyDescent="0.15">
      <c r="D1148" s="12"/>
      <c r="E1148" s="12"/>
      <c r="I1148" s="12"/>
      <c r="J1148" s="13"/>
      <c r="BF1148" s="1"/>
      <c r="BG1148" s="1"/>
      <c r="BH1148" s="1"/>
      <c r="BI1148" s="1"/>
      <c r="BK1148" s="1"/>
      <c r="BL1148" s="1"/>
      <c r="BM1148" s="1"/>
      <c r="BN1148" s="1"/>
      <c r="BO1148" s="1"/>
      <c r="BP1148" s="1"/>
      <c r="BQ1148" s="1"/>
      <c r="BR1148" s="1"/>
      <c r="CD1148" s="1"/>
      <c r="CE1148" s="1"/>
      <c r="CF1148" s="1"/>
      <c r="CG1148" s="1"/>
      <c r="CM1148" s="2"/>
      <c r="CP1148" s="1"/>
      <c r="CQ1148" s="1"/>
      <c r="CR1148" s="1"/>
      <c r="CS1148" s="1"/>
      <c r="CT1148" s="1"/>
      <c r="CU1148" s="1"/>
      <c r="CV1148" s="1"/>
      <c r="CW1148" s="1"/>
      <c r="CX1148" s="1"/>
      <c r="CY1148" s="1"/>
      <c r="CZ1148" s="1"/>
      <c r="DA1148" s="1"/>
      <c r="DB1148" s="1"/>
      <c r="DC1148" s="1"/>
      <c r="DD1148" s="1"/>
      <c r="DE1148" s="1"/>
      <c r="DF1148" s="1"/>
      <c r="DG1148" s="1"/>
      <c r="DH1148" s="1"/>
      <c r="DI1148" s="1"/>
      <c r="DJ1148" s="1"/>
      <c r="DK1148" s="1"/>
      <c r="ED1148" s="1"/>
      <c r="EK1148" s="1"/>
      <c r="EL1148" s="1"/>
      <c r="EM1148" s="1"/>
      <c r="EN1148" s="1"/>
      <c r="EQ1148" s="1"/>
      <c r="ER1148" s="1"/>
      <c r="ES1148" s="1"/>
      <c r="EV1148" s="1"/>
      <c r="EW1148" s="1"/>
      <c r="EZ1148" s="1"/>
      <c r="FE1148" s="1"/>
      <c r="FF1148" s="1"/>
      <c r="FS1148" s="1"/>
      <c r="FW1148" s="1"/>
      <c r="FX1148" s="1"/>
      <c r="GO1148" s="1"/>
      <c r="GP1148" s="1"/>
      <c r="HQ1148" s="1"/>
      <c r="HT1148" s="1"/>
      <c r="HY1148" s="1"/>
      <c r="IE1148" s="1"/>
      <c r="IR1148" s="1"/>
      <c r="IS1148" s="1"/>
      <c r="IW1148" s="1"/>
      <c r="IY1148" s="1"/>
      <c r="IZ1148" s="1"/>
      <c r="JA1148" s="1"/>
      <c r="JH1148" s="1"/>
      <c r="JJ1148" s="1"/>
      <c r="JN1148" s="1"/>
      <c r="JP1148" s="1"/>
      <c r="JQ1148" s="1"/>
      <c r="KU1148" s="1"/>
      <c r="KV1148" s="1"/>
      <c r="KY1148" s="1"/>
      <c r="KZ1148" s="1"/>
      <c r="LA1148" s="1"/>
      <c r="LB1148" s="1"/>
      <c r="LC1148" s="1"/>
      <c r="LD1148" s="1"/>
      <c r="LF1148" s="1"/>
      <c r="LN1148" s="1"/>
      <c r="LO1148" s="1"/>
      <c r="LP1148" s="1"/>
      <c r="LZ1148" s="1"/>
      <c r="MA1148" s="1"/>
    </row>
    <row r="1149" spans="4:339" ht="13" x14ac:dyDescent="0.15">
      <c r="D1149" s="12"/>
      <c r="E1149" s="12"/>
      <c r="I1149" s="12"/>
      <c r="J1149" s="13"/>
      <c r="BF1149" s="1"/>
      <c r="BG1149" s="1"/>
      <c r="BH1149" s="1"/>
      <c r="BI1149" s="1"/>
      <c r="BK1149" s="1"/>
      <c r="BL1149" s="1"/>
      <c r="BM1149" s="1"/>
      <c r="BN1149" s="1"/>
      <c r="BO1149" s="1"/>
      <c r="BP1149" s="1"/>
      <c r="BQ1149" s="1"/>
      <c r="BR1149" s="1"/>
      <c r="CD1149" s="1"/>
      <c r="CE1149" s="1"/>
      <c r="CF1149" s="1"/>
      <c r="CG1149" s="1"/>
      <c r="CM1149" s="2"/>
      <c r="CP1149" s="1"/>
      <c r="CQ1149" s="1"/>
      <c r="CR1149" s="1"/>
      <c r="CS1149" s="1"/>
      <c r="CT1149" s="1"/>
      <c r="CU1149" s="1"/>
      <c r="CV1149" s="1"/>
      <c r="CW1149" s="1"/>
      <c r="CX1149" s="1"/>
      <c r="CY1149" s="1"/>
      <c r="CZ1149" s="1"/>
      <c r="DA1149" s="1"/>
      <c r="DB1149" s="1"/>
      <c r="DC1149" s="1"/>
      <c r="DD1149" s="1"/>
      <c r="DE1149" s="1"/>
      <c r="DF1149" s="1"/>
      <c r="DG1149" s="1"/>
      <c r="DH1149" s="1"/>
      <c r="DI1149" s="1"/>
      <c r="DJ1149" s="1"/>
      <c r="DK1149" s="1"/>
      <c r="ED1149" s="1"/>
      <c r="EK1149" s="1"/>
      <c r="EL1149" s="1"/>
      <c r="EM1149" s="1"/>
      <c r="EN1149" s="1"/>
      <c r="EQ1149" s="1"/>
      <c r="ER1149" s="1"/>
      <c r="ES1149" s="1"/>
      <c r="EV1149" s="1"/>
      <c r="EW1149" s="1"/>
      <c r="EZ1149" s="1"/>
      <c r="FE1149" s="1"/>
      <c r="FF1149" s="1"/>
      <c r="FS1149" s="1"/>
      <c r="FW1149" s="1"/>
      <c r="FX1149" s="1"/>
      <c r="GO1149" s="1"/>
      <c r="GP1149" s="1"/>
      <c r="HQ1149" s="1"/>
      <c r="HT1149" s="1"/>
      <c r="HY1149" s="1"/>
      <c r="IE1149" s="1"/>
      <c r="IR1149" s="1"/>
      <c r="IS1149" s="1"/>
      <c r="IW1149" s="1"/>
      <c r="IY1149" s="1"/>
      <c r="IZ1149" s="1"/>
      <c r="JA1149" s="1"/>
      <c r="JH1149" s="1"/>
      <c r="JJ1149" s="1"/>
      <c r="JN1149" s="1"/>
      <c r="JP1149" s="1"/>
      <c r="JQ1149" s="1"/>
      <c r="KU1149" s="1"/>
      <c r="KV1149" s="1"/>
      <c r="KY1149" s="1"/>
      <c r="KZ1149" s="1"/>
      <c r="LA1149" s="1"/>
      <c r="LB1149" s="1"/>
      <c r="LC1149" s="1"/>
      <c r="LD1149" s="1"/>
      <c r="LF1149" s="1"/>
      <c r="LN1149" s="1"/>
      <c r="LO1149" s="1"/>
      <c r="LP1149" s="1"/>
      <c r="LZ1149" s="1"/>
      <c r="MA1149" s="1"/>
    </row>
    <row r="1150" spans="4:339" ht="13" x14ac:dyDescent="0.15">
      <c r="D1150" s="12"/>
      <c r="E1150" s="12"/>
      <c r="I1150" s="12"/>
      <c r="J1150" s="13"/>
      <c r="BF1150" s="1"/>
      <c r="BG1150" s="1"/>
      <c r="BH1150" s="1"/>
      <c r="BI1150" s="1"/>
      <c r="BK1150" s="1"/>
      <c r="BL1150" s="1"/>
      <c r="BM1150" s="1"/>
      <c r="BN1150" s="1"/>
      <c r="BO1150" s="1"/>
      <c r="BP1150" s="1"/>
      <c r="BQ1150" s="1"/>
      <c r="BR1150" s="1"/>
      <c r="CD1150" s="1"/>
      <c r="CE1150" s="1"/>
      <c r="CF1150" s="1"/>
      <c r="CG1150" s="1"/>
      <c r="CM1150" s="2"/>
      <c r="CP1150" s="1"/>
      <c r="CQ1150" s="1"/>
      <c r="CR1150" s="1"/>
      <c r="CS1150" s="1"/>
      <c r="CT1150" s="1"/>
      <c r="CU1150" s="1"/>
      <c r="CV1150" s="1"/>
      <c r="CW1150" s="1"/>
      <c r="CX1150" s="1"/>
      <c r="CY1150" s="1"/>
      <c r="CZ1150" s="1"/>
      <c r="DA1150" s="1"/>
      <c r="DB1150" s="1"/>
      <c r="DC1150" s="1"/>
      <c r="DD1150" s="1"/>
      <c r="DE1150" s="1"/>
      <c r="DF1150" s="1"/>
      <c r="DG1150" s="1"/>
      <c r="DH1150" s="1"/>
      <c r="DI1150" s="1"/>
      <c r="DJ1150" s="1"/>
      <c r="DK1150" s="1"/>
      <c r="ED1150" s="1"/>
      <c r="EK1150" s="1"/>
      <c r="EL1150" s="1"/>
      <c r="EM1150" s="1"/>
      <c r="EN1150" s="1"/>
      <c r="EQ1150" s="1"/>
      <c r="ER1150" s="1"/>
      <c r="ES1150" s="1"/>
      <c r="EV1150" s="1"/>
      <c r="EW1150" s="1"/>
      <c r="EZ1150" s="1"/>
      <c r="FE1150" s="1"/>
      <c r="FF1150" s="1"/>
      <c r="FS1150" s="1"/>
      <c r="FW1150" s="1"/>
      <c r="FX1150" s="1"/>
      <c r="GO1150" s="1"/>
      <c r="GP1150" s="1"/>
      <c r="HQ1150" s="1"/>
      <c r="HT1150" s="1"/>
      <c r="HY1150" s="1"/>
      <c r="IE1150" s="1"/>
      <c r="IR1150" s="1"/>
      <c r="IS1150" s="1"/>
      <c r="IW1150" s="1"/>
      <c r="IY1150" s="1"/>
      <c r="IZ1150" s="1"/>
      <c r="JA1150" s="1"/>
      <c r="JH1150" s="1"/>
      <c r="JJ1150" s="1"/>
      <c r="JN1150" s="1"/>
      <c r="JP1150" s="1"/>
      <c r="JQ1150" s="1"/>
      <c r="KU1150" s="1"/>
      <c r="KV1150" s="1"/>
      <c r="KY1150" s="1"/>
      <c r="KZ1150" s="1"/>
      <c r="LA1150" s="1"/>
      <c r="LB1150" s="1"/>
      <c r="LC1150" s="1"/>
      <c r="LD1150" s="1"/>
      <c r="LF1150" s="1"/>
      <c r="LN1150" s="1"/>
      <c r="LO1150" s="1"/>
      <c r="LP1150" s="1"/>
      <c r="LZ1150" s="1"/>
      <c r="MA1150" s="1"/>
    </row>
    <row r="1151" spans="4:339" ht="13" x14ac:dyDescent="0.15">
      <c r="D1151" s="12"/>
      <c r="E1151" s="12"/>
      <c r="I1151" s="12"/>
      <c r="J1151" s="13"/>
      <c r="BF1151" s="1"/>
      <c r="BG1151" s="1"/>
      <c r="BH1151" s="1"/>
      <c r="BI1151" s="1"/>
      <c r="BK1151" s="1"/>
      <c r="BL1151" s="1"/>
      <c r="BM1151" s="1"/>
      <c r="BN1151" s="1"/>
      <c r="BO1151" s="1"/>
      <c r="BP1151" s="1"/>
      <c r="BQ1151" s="1"/>
      <c r="BR1151" s="1"/>
      <c r="CD1151" s="1"/>
      <c r="CE1151" s="1"/>
      <c r="CF1151" s="1"/>
      <c r="CG1151" s="1"/>
      <c r="CM1151" s="2"/>
      <c r="CP1151" s="1"/>
      <c r="CQ1151" s="1"/>
      <c r="CR1151" s="1"/>
      <c r="CS1151" s="1"/>
      <c r="CT1151" s="1"/>
      <c r="CU1151" s="1"/>
      <c r="CV1151" s="1"/>
      <c r="CW1151" s="1"/>
      <c r="CX1151" s="1"/>
      <c r="CY1151" s="1"/>
      <c r="CZ1151" s="1"/>
      <c r="DA1151" s="1"/>
      <c r="DB1151" s="1"/>
      <c r="DC1151" s="1"/>
      <c r="DD1151" s="1"/>
      <c r="DE1151" s="1"/>
      <c r="DF1151" s="1"/>
      <c r="DG1151" s="1"/>
      <c r="DH1151" s="1"/>
      <c r="DI1151" s="1"/>
      <c r="DJ1151" s="1"/>
      <c r="DK1151" s="1"/>
      <c r="ED1151" s="1"/>
      <c r="EK1151" s="1"/>
      <c r="EL1151" s="1"/>
      <c r="EM1151" s="1"/>
      <c r="EN1151" s="1"/>
      <c r="EQ1151" s="1"/>
      <c r="ER1151" s="1"/>
      <c r="ES1151" s="1"/>
      <c r="EV1151" s="1"/>
      <c r="EW1151" s="1"/>
      <c r="EZ1151" s="1"/>
      <c r="FE1151" s="1"/>
      <c r="FF1151" s="1"/>
      <c r="FS1151" s="1"/>
      <c r="FW1151" s="1"/>
      <c r="FX1151" s="1"/>
      <c r="GO1151" s="1"/>
      <c r="GP1151" s="1"/>
      <c r="HQ1151" s="1"/>
      <c r="HT1151" s="1"/>
      <c r="HY1151" s="1"/>
      <c r="IE1151" s="1"/>
      <c r="IR1151" s="1"/>
      <c r="IS1151" s="1"/>
      <c r="IW1151" s="1"/>
      <c r="IY1151" s="1"/>
      <c r="IZ1151" s="1"/>
      <c r="JA1151" s="1"/>
      <c r="JH1151" s="1"/>
      <c r="JJ1151" s="1"/>
      <c r="JN1151" s="1"/>
      <c r="JP1151" s="1"/>
      <c r="JQ1151" s="1"/>
      <c r="KU1151" s="1"/>
      <c r="KV1151" s="1"/>
      <c r="KY1151" s="1"/>
      <c r="KZ1151" s="1"/>
      <c r="LA1151" s="1"/>
      <c r="LB1151" s="1"/>
      <c r="LC1151" s="1"/>
      <c r="LD1151" s="1"/>
      <c r="LF1151" s="1"/>
      <c r="LN1151" s="1"/>
      <c r="LO1151" s="1"/>
      <c r="LP1151" s="1"/>
      <c r="LZ1151" s="1"/>
      <c r="MA1151" s="1"/>
    </row>
    <row r="1152" spans="4:339" ht="13" x14ac:dyDescent="0.15">
      <c r="D1152" s="12"/>
      <c r="E1152" s="12"/>
      <c r="I1152" s="12"/>
      <c r="J1152" s="13"/>
      <c r="BF1152" s="1"/>
      <c r="BG1152" s="1"/>
      <c r="BH1152" s="1"/>
      <c r="BI1152" s="1"/>
      <c r="BK1152" s="1"/>
      <c r="BL1152" s="1"/>
      <c r="BM1152" s="1"/>
      <c r="BN1152" s="1"/>
      <c r="BO1152" s="1"/>
      <c r="BP1152" s="1"/>
      <c r="BQ1152" s="1"/>
      <c r="BR1152" s="1"/>
      <c r="CD1152" s="1"/>
      <c r="CE1152" s="1"/>
      <c r="CF1152" s="1"/>
      <c r="CG1152" s="1"/>
      <c r="CM1152" s="2"/>
      <c r="CP1152" s="1"/>
      <c r="CQ1152" s="1"/>
      <c r="CR1152" s="1"/>
      <c r="CS1152" s="1"/>
      <c r="CT1152" s="1"/>
      <c r="CU1152" s="1"/>
      <c r="CV1152" s="1"/>
      <c r="CW1152" s="1"/>
      <c r="CX1152" s="1"/>
      <c r="CY1152" s="1"/>
      <c r="CZ1152" s="1"/>
      <c r="DA1152" s="1"/>
      <c r="DB1152" s="1"/>
      <c r="DC1152" s="1"/>
      <c r="DD1152" s="1"/>
      <c r="DE1152" s="1"/>
      <c r="DF1152" s="1"/>
      <c r="DG1152" s="1"/>
      <c r="DH1152" s="1"/>
      <c r="DI1152" s="1"/>
      <c r="DJ1152" s="1"/>
      <c r="DK1152" s="1"/>
      <c r="ED1152" s="1"/>
      <c r="EK1152" s="1"/>
      <c r="EL1152" s="1"/>
      <c r="EM1152" s="1"/>
      <c r="EN1152" s="1"/>
      <c r="EQ1152" s="1"/>
      <c r="ER1152" s="1"/>
      <c r="ES1152" s="1"/>
      <c r="EV1152" s="1"/>
      <c r="EW1152" s="1"/>
      <c r="EZ1152" s="1"/>
      <c r="FE1152" s="1"/>
      <c r="FF1152" s="1"/>
      <c r="FS1152" s="1"/>
      <c r="FW1152" s="1"/>
      <c r="FX1152" s="1"/>
      <c r="GO1152" s="1"/>
      <c r="GP1152" s="1"/>
      <c r="HQ1152" s="1"/>
      <c r="HT1152" s="1"/>
      <c r="HY1152" s="1"/>
      <c r="IE1152" s="1"/>
      <c r="IR1152" s="1"/>
      <c r="IS1152" s="1"/>
      <c r="IW1152" s="1"/>
      <c r="IY1152" s="1"/>
      <c r="IZ1152" s="1"/>
      <c r="JA1152" s="1"/>
      <c r="JH1152" s="1"/>
      <c r="JJ1152" s="1"/>
      <c r="JN1152" s="1"/>
      <c r="JP1152" s="1"/>
      <c r="JQ1152" s="1"/>
      <c r="KU1152" s="1"/>
      <c r="KV1152" s="1"/>
      <c r="KY1152" s="1"/>
      <c r="KZ1152" s="1"/>
      <c r="LA1152" s="1"/>
      <c r="LB1152" s="1"/>
      <c r="LC1152" s="1"/>
      <c r="LD1152" s="1"/>
      <c r="LF1152" s="1"/>
      <c r="LN1152" s="1"/>
      <c r="LO1152" s="1"/>
      <c r="LP1152" s="1"/>
      <c r="LZ1152" s="1"/>
      <c r="MA1152" s="1"/>
    </row>
    <row r="1153" spans="4:339" ht="13" x14ac:dyDescent="0.15">
      <c r="D1153" s="12"/>
      <c r="E1153" s="12"/>
      <c r="I1153" s="12"/>
      <c r="J1153" s="13"/>
      <c r="BF1153" s="1"/>
      <c r="BG1153" s="1"/>
      <c r="BH1153" s="1"/>
      <c r="BI1153" s="1"/>
      <c r="BK1153" s="1"/>
      <c r="BL1153" s="1"/>
      <c r="BM1153" s="1"/>
      <c r="BN1153" s="1"/>
      <c r="BO1153" s="1"/>
      <c r="BP1153" s="1"/>
      <c r="BQ1153" s="1"/>
      <c r="BR1153" s="1"/>
      <c r="CD1153" s="1"/>
      <c r="CE1153" s="1"/>
      <c r="CF1153" s="1"/>
      <c r="CG1153" s="1"/>
      <c r="CM1153" s="2"/>
      <c r="CP1153" s="1"/>
      <c r="CQ1153" s="1"/>
      <c r="CR1153" s="1"/>
      <c r="CS1153" s="1"/>
      <c r="CT1153" s="1"/>
      <c r="CU1153" s="1"/>
      <c r="CV1153" s="1"/>
      <c r="CW1153" s="1"/>
      <c r="CX1153" s="1"/>
      <c r="CY1153" s="1"/>
      <c r="CZ1153" s="1"/>
      <c r="DA1153" s="1"/>
      <c r="DB1153" s="1"/>
      <c r="DC1153" s="1"/>
      <c r="DD1153" s="1"/>
      <c r="DE1153" s="1"/>
      <c r="DF1153" s="1"/>
      <c r="DG1153" s="1"/>
      <c r="DH1153" s="1"/>
      <c r="DI1153" s="1"/>
      <c r="DJ1153" s="1"/>
      <c r="DK1153" s="1"/>
      <c r="ED1153" s="1"/>
      <c r="EK1153" s="1"/>
      <c r="EL1153" s="1"/>
      <c r="EM1153" s="1"/>
      <c r="EN1153" s="1"/>
      <c r="EQ1153" s="1"/>
      <c r="ER1153" s="1"/>
      <c r="ES1153" s="1"/>
      <c r="EV1153" s="1"/>
      <c r="EW1153" s="1"/>
      <c r="EZ1153" s="1"/>
      <c r="FE1153" s="1"/>
      <c r="FF1153" s="1"/>
      <c r="FS1153" s="1"/>
      <c r="FW1153" s="1"/>
      <c r="FX1153" s="1"/>
      <c r="GO1153" s="1"/>
      <c r="GP1153" s="1"/>
      <c r="HQ1153" s="1"/>
      <c r="HT1153" s="1"/>
      <c r="HY1153" s="1"/>
      <c r="IE1153" s="1"/>
      <c r="IR1153" s="1"/>
      <c r="IS1153" s="1"/>
      <c r="IW1153" s="1"/>
      <c r="IY1153" s="1"/>
      <c r="IZ1153" s="1"/>
      <c r="JA1153" s="1"/>
      <c r="JH1153" s="1"/>
      <c r="JJ1153" s="1"/>
      <c r="JN1153" s="1"/>
      <c r="JP1153" s="1"/>
      <c r="JQ1153" s="1"/>
      <c r="KU1153" s="1"/>
      <c r="KV1153" s="1"/>
      <c r="KY1153" s="1"/>
      <c r="KZ1153" s="1"/>
      <c r="LA1153" s="1"/>
      <c r="LB1153" s="1"/>
      <c r="LC1153" s="1"/>
      <c r="LD1153" s="1"/>
      <c r="LF1153" s="1"/>
      <c r="LN1153" s="1"/>
      <c r="LO1153" s="1"/>
      <c r="LP1153" s="1"/>
      <c r="LZ1153" s="1"/>
      <c r="MA1153" s="1"/>
    </row>
    <row r="1154" spans="4:339" ht="13" x14ac:dyDescent="0.15">
      <c r="D1154" s="12"/>
      <c r="E1154" s="12"/>
      <c r="I1154" s="12"/>
      <c r="J1154" s="13"/>
      <c r="BF1154" s="1"/>
      <c r="BG1154" s="1"/>
      <c r="BH1154" s="1"/>
      <c r="BI1154" s="1"/>
      <c r="BK1154" s="1"/>
      <c r="BL1154" s="1"/>
      <c r="BM1154" s="1"/>
      <c r="BN1154" s="1"/>
      <c r="BO1154" s="1"/>
      <c r="BP1154" s="1"/>
      <c r="BQ1154" s="1"/>
      <c r="BR1154" s="1"/>
      <c r="CD1154" s="1"/>
      <c r="CE1154" s="1"/>
      <c r="CF1154" s="1"/>
      <c r="CG1154" s="1"/>
      <c r="CM1154" s="2"/>
      <c r="CP1154" s="1"/>
      <c r="CQ1154" s="1"/>
      <c r="CR1154" s="1"/>
      <c r="CS1154" s="1"/>
      <c r="CT1154" s="1"/>
      <c r="CU1154" s="1"/>
      <c r="CV1154" s="1"/>
      <c r="CW1154" s="1"/>
      <c r="CX1154" s="1"/>
      <c r="CY1154" s="1"/>
      <c r="CZ1154" s="1"/>
      <c r="DA1154" s="1"/>
      <c r="DB1154" s="1"/>
      <c r="DC1154" s="1"/>
      <c r="DD1154" s="1"/>
      <c r="DE1154" s="1"/>
      <c r="DF1154" s="1"/>
      <c r="DG1154" s="1"/>
      <c r="DH1154" s="1"/>
      <c r="DI1154" s="1"/>
      <c r="DJ1154" s="1"/>
      <c r="DK1154" s="1"/>
      <c r="ED1154" s="1"/>
      <c r="EK1154" s="1"/>
      <c r="EL1154" s="1"/>
      <c r="EM1154" s="1"/>
      <c r="EN1154" s="1"/>
      <c r="EQ1154" s="1"/>
      <c r="ER1154" s="1"/>
      <c r="ES1154" s="1"/>
      <c r="EV1154" s="1"/>
      <c r="EW1154" s="1"/>
      <c r="EZ1154" s="1"/>
      <c r="FE1154" s="1"/>
      <c r="FF1154" s="1"/>
      <c r="FS1154" s="1"/>
      <c r="FW1154" s="1"/>
      <c r="FX1154" s="1"/>
      <c r="GO1154" s="1"/>
      <c r="GP1154" s="1"/>
      <c r="HQ1154" s="1"/>
      <c r="HT1154" s="1"/>
      <c r="HY1154" s="1"/>
      <c r="IE1154" s="1"/>
      <c r="IR1154" s="1"/>
      <c r="IS1154" s="1"/>
      <c r="IW1154" s="1"/>
      <c r="IY1154" s="1"/>
      <c r="IZ1154" s="1"/>
      <c r="JA1154" s="1"/>
      <c r="JH1154" s="1"/>
      <c r="JJ1154" s="1"/>
      <c r="JN1154" s="1"/>
      <c r="JP1154" s="1"/>
      <c r="JQ1154" s="1"/>
      <c r="KU1154" s="1"/>
      <c r="KV1154" s="1"/>
      <c r="KY1154" s="1"/>
      <c r="KZ1154" s="1"/>
      <c r="LA1154" s="1"/>
      <c r="LB1154" s="1"/>
      <c r="LC1154" s="1"/>
      <c r="LD1154" s="1"/>
      <c r="LF1154" s="1"/>
      <c r="LN1154" s="1"/>
      <c r="LO1154" s="1"/>
      <c r="LP1154" s="1"/>
      <c r="LZ1154" s="1"/>
      <c r="MA1154" s="1"/>
    </row>
    <row r="1155" spans="4:339" ht="13" x14ac:dyDescent="0.15">
      <c r="D1155" s="12"/>
      <c r="E1155" s="12"/>
      <c r="I1155" s="12"/>
      <c r="J1155" s="13"/>
      <c r="BF1155" s="1"/>
      <c r="BG1155" s="1"/>
      <c r="BH1155" s="1"/>
      <c r="BI1155" s="1"/>
      <c r="BK1155" s="1"/>
      <c r="BL1155" s="1"/>
      <c r="BM1155" s="1"/>
      <c r="BN1155" s="1"/>
      <c r="BO1155" s="1"/>
      <c r="BP1155" s="1"/>
      <c r="BQ1155" s="1"/>
      <c r="BR1155" s="1"/>
      <c r="CD1155" s="1"/>
      <c r="CE1155" s="1"/>
      <c r="CF1155" s="1"/>
      <c r="CG1155" s="1"/>
      <c r="CM1155" s="2"/>
      <c r="CP1155" s="1"/>
      <c r="CQ1155" s="1"/>
      <c r="CR1155" s="1"/>
      <c r="CS1155" s="1"/>
      <c r="CT1155" s="1"/>
      <c r="CU1155" s="1"/>
      <c r="CV1155" s="1"/>
      <c r="CW1155" s="1"/>
      <c r="CX1155" s="1"/>
      <c r="CY1155" s="1"/>
      <c r="CZ1155" s="1"/>
      <c r="DA1155" s="1"/>
      <c r="DB1155" s="1"/>
      <c r="DC1155" s="1"/>
      <c r="DD1155" s="1"/>
      <c r="DE1155" s="1"/>
      <c r="DF1155" s="1"/>
      <c r="DG1155" s="1"/>
      <c r="DH1155" s="1"/>
      <c r="DI1155" s="1"/>
      <c r="DJ1155" s="1"/>
      <c r="DK1155" s="1"/>
      <c r="ED1155" s="1"/>
      <c r="EK1155" s="1"/>
      <c r="EL1155" s="1"/>
      <c r="EM1155" s="1"/>
      <c r="EN1155" s="1"/>
      <c r="EQ1155" s="1"/>
      <c r="ER1155" s="1"/>
      <c r="ES1155" s="1"/>
      <c r="EV1155" s="1"/>
      <c r="EW1155" s="1"/>
      <c r="EZ1155" s="1"/>
      <c r="FE1155" s="1"/>
      <c r="FF1155" s="1"/>
      <c r="FS1155" s="1"/>
      <c r="FW1155" s="1"/>
      <c r="FX1155" s="1"/>
      <c r="GO1155" s="1"/>
      <c r="GP1155" s="1"/>
      <c r="HQ1155" s="1"/>
      <c r="HT1155" s="1"/>
      <c r="HY1155" s="1"/>
      <c r="IE1155" s="1"/>
      <c r="IR1155" s="1"/>
      <c r="IS1155" s="1"/>
      <c r="IW1155" s="1"/>
      <c r="IY1155" s="1"/>
      <c r="IZ1155" s="1"/>
      <c r="JA1155" s="1"/>
      <c r="JH1155" s="1"/>
      <c r="JJ1155" s="1"/>
      <c r="JN1155" s="1"/>
      <c r="JP1155" s="1"/>
      <c r="JQ1155" s="1"/>
      <c r="KU1155" s="1"/>
      <c r="KV1155" s="1"/>
      <c r="KY1155" s="1"/>
      <c r="KZ1155" s="1"/>
      <c r="LA1155" s="1"/>
      <c r="LB1155" s="1"/>
      <c r="LC1155" s="1"/>
      <c r="LD1155" s="1"/>
      <c r="LF1155" s="1"/>
      <c r="LN1155" s="1"/>
      <c r="LO1155" s="1"/>
      <c r="LP1155" s="1"/>
      <c r="LZ1155" s="1"/>
      <c r="MA1155" s="1"/>
    </row>
    <row r="1156" spans="4:339" ht="13" x14ac:dyDescent="0.15">
      <c r="D1156" s="12"/>
      <c r="E1156" s="12"/>
      <c r="I1156" s="12"/>
      <c r="J1156" s="13"/>
      <c r="BF1156" s="1"/>
      <c r="BG1156" s="1"/>
      <c r="BH1156" s="1"/>
      <c r="BI1156" s="1"/>
      <c r="BK1156" s="1"/>
      <c r="BL1156" s="1"/>
      <c r="BM1156" s="1"/>
      <c r="BN1156" s="1"/>
      <c r="BO1156" s="1"/>
      <c r="BP1156" s="1"/>
      <c r="BQ1156" s="1"/>
      <c r="BR1156" s="1"/>
      <c r="CD1156" s="1"/>
      <c r="CE1156" s="1"/>
      <c r="CF1156" s="1"/>
      <c r="CG1156" s="1"/>
      <c r="CM1156" s="2"/>
      <c r="CP1156" s="1"/>
      <c r="CQ1156" s="1"/>
      <c r="CR1156" s="1"/>
      <c r="CS1156" s="1"/>
      <c r="CT1156" s="1"/>
      <c r="CU1156" s="1"/>
      <c r="CV1156" s="1"/>
      <c r="CW1156" s="1"/>
      <c r="CX1156" s="1"/>
      <c r="CY1156" s="1"/>
      <c r="CZ1156" s="1"/>
      <c r="DA1156" s="1"/>
      <c r="DB1156" s="1"/>
      <c r="DC1156" s="1"/>
      <c r="DD1156" s="1"/>
      <c r="DE1156" s="1"/>
      <c r="DF1156" s="1"/>
      <c r="DG1156" s="1"/>
      <c r="DH1156" s="1"/>
      <c r="DI1156" s="1"/>
      <c r="DJ1156" s="1"/>
      <c r="DK1156" s="1"/>
      <c r="ED1156" s="1"/>
      <c r="EK1156" s="1"/>
      <c r="EL1156" s="1"/>
      <c r="EM1156" s="1"/>
      <c r="EN1156" s="1"/>
      <c r="EQ1156" s="1"/>
      <c r="ER1156" s="1"/>
      <c r="ES1156" s="1"/>
      <c r="EV1156" s="1"/>
      <c r="EW1156" s="1"/>
      <c r="EZ1156" s="1"/>
      <c r="FE1156" s="1"/>
      <c r="FF1156" s="1"/>
      <c r="FS1156" s="1"/>
      <c r="FW1156" s="1"/>
      <c r="FX1156" s="1"/>
      <c r="GO1156" s="1"/>
      <c r="GP1156" s="1"/>
      <c r="HQ1156" s="1"/>
      <c r="HT1156" s="1"/>
      <c r="HY1156" s="1"/>
      <c r="IE1156" s="1"/>
      <c r="IR1156" s="1"/>
      <c r="IS1156" s="1"/>
      <c r="IW1156" s="1"/>
      <c r="IY1156" s="1"/>
      <c r="IZ1156" s="1"/>
      <c r="JA1156" s="1"/>
      <c r="JH1156" s="1"/>
      <c r="JJ1156" s="1"/>
      <c r="JN1156" s="1"/>
      <c r="JP1156" s="1"/>
      <c r="JQ1156" s="1"/>
      <c r="KU1156" s="1"/>
      <c r="KV1156" s="1"/>
      <c r="KY1156" s="1"/>
      <c r="KZ1156" s="1"/>
      <c r="LA1156" s="1"/>
      <c r="LB1156" s="1"/>
      <c r="LC1156" s="1"/>
      <c r="LD1156" s="1"/>
      <c r="LF1156" s="1"/>
      <c r="LN1156" s="1"/>
      <c r="LO1156" s="1"/>
      <c r="LP1156" s="1"/>
      <c r="LZ1156" s="1"/>
      <c r="MA1156" s="1"/>
    </row>
    <row r="1157" spans="4:339" ht="13" x14ac:dyDescent="0.15">
      <c r="D1157" s="12"/>
      <c r="E1157" s="12"/>
      <c r="I1157" s="12"/>
      <c r="J1157" s="13"/>
      <c r="BF1157" s="1"/>
      <c r="BG1157" s="1"/>
      <c r="BH1157" s="1"/>
      <c r="BI1157" s="1"/>
      <c r="BK1157" s="1"/>
      <c r="BL1157" s="1"/>
      <c r="BM1157" s="1"/>
      <c r="BN1157" s="1"/>
      <c r="BO1157" s="1"/>
      <c r="BP1157" s="1"/>
      <c r="BQ1157" s="1"/>
      <c r="BR1157" s="1"/>
      <c r="CD1157" s="1"/>
      <c r="CE1157" s="1"/>
      <c r="CF1157" s="1"/>
      <c r="CG1157" s="1"/>
      <c r="CM1157" s="2"/>
      <c r="CP1157" s="1"/>
      <c r="CQ1157" s="1"/>
      <c r="CR1157" s="1"/>
      <c r="CS1157" s="1"/>
      <c r="CT1157" s="1"/>
      <c r="CU1157" s="1"/>
      <c r="CV1157" s="1"/>
      <c r="CW1157" s="1"/>
      <c r="CX1157" s="1"/>
      <c r="CY1157" s="1"/>
      <c r="CZ1157" s="1"/>
      <c r="DA1157" s="1"/>
      <c r="DB1157" s="1"/>
      <c r="DC1157" s="1"/>
      <c r="DD1157" s="1"/>
      <c r="DE1157" s="1"/>
      <c r="DF1157" s="1"/>
      <c r="DG1157" s="1"/>
      <c r="DH1157" s="1"/>
      <c r="DI1157" s="1"/>
      <c r="DJ1157" s="1"/>
      <c r="DK1157" s="1"/>
      <c r="ED1157" s="1"/>
      <c r="EK1157" s="1"/>
      <c r="EL1157" s="1"/>
      <c r="EM1157" s="1"/>
      <c r="EN1157" s="1"/>
      <c r="EQ1157" s="1"/>
      <c r="ER1157" s="1"/>
      <c r="ES1157" s="1"/>
      <c r="EV1157" s="1"/>
      <c r="EW1157" s="1"/>
      <c r="EZ1157" s="1"/>
      <c r="FE1157" s="1"/>
      <c r="FF1157" s="1"/>
      <c r="FS1157" s="1"/>
      <c r="FW1157" s="1"/>
      <c r="FX1157" s="1"/>
      <c r="GO1157" s="1"/>
      <c r="GP1157" s="1"/>
      <c r="HQ1157" s="1"/>
      <c r="HT1157" s="1"/>
      <c r="HY1157" s="1"/>
      <c r="IE1157" s="1"/>
      <c r="IR1157" s="1"/>
      <c r="IS1157" s="1"/>
      <c r="IW1157" s="1"/>
      <c r="IY1157" s="1"/>
      <c r="IZ1157" s="1"/>
      <c r="JA1157" s="1"/>
      <c r="JH1157" s="1"/>
      <c r="JJ1157" s="1"/>
      <c r="JN1157" s="1"/>
      <c r="JP1157" s="1"/>
      <c r="JQ1157" s="1"/>
      <c r="KU1157" s="1"/>
      <c r="KV1157" s="1"/>
      <c r="KY1157" s="1"/>
      <c r="KZ1157" s="1"/>
      <c r="LA1157" s="1"/>
      <c r="LB1157" s="1"/>
      <c r="LC1157" s="1"/>
      <c r="LD1157" s="1"/>
      <c r="LF1157" s="1"/>
      <c r="LN1157" s="1"/>
      <c r="LO1157" s="1"/>
      <c r="LP1157" s="1"/>
      <c r="LZ1157" s="1"/>
      <c r="MA1157" s="1"/>
    </row>
    <row r="1158" spans="4:339" ht="13" x14ac:dyDescent="0.15">
      <c r="D1158" s="12"/>
      <c r="E1158" s="12"/>
      <c r="I1158" s="12"/>
      <c r="J1158" s="13"/>
      <c r="BF1158" s="1"/>
      <c r="BG1158" s="1"/>
      <c r="BH1158" s="1"/>
      <c r="BI1158" s="1"/>
      <c r="BK1158" s="1"/>
      <c r="BL1158" s="1"/>
      <c r="BM1158" s="1"/>
      <c r="BN1158" s="1"/>
      <c r="BO1158" s="1"/>
      <c r="BP1158" s="1"/>
      <c r="BQ1158" s="1"/>
      <c r="BR1158" s="1"/>
      <c r="CD1158" s="1"/>
      <c r="CE1158" s="1"/>
      <c r="CF1158" s="1"/>
      <c r="CG1158" s="1"/>
      <c r="CM1158" s="2"/>
      <c r="CP1158" s="1"/>
      <c r="CQ1158" s="1"/>
      <c r="CR1158" s="1"/>
      <c r="CS1158" s="1"/>
      <c r="CT1158" s="1"/>
      <c r="CU1158" s="1"/>
      <c r="CV1158" s="1"/>
      <c r="CW1158" s="1"/>
      <c r="CX1158" s="1"/>
      <c r="CY1158" s="1"/>
      <c r="CZ1158" s="1"/>
      <c r="DA1158" s="1"/>
      <c r="DB1158" s="1"/>
      <c r="DC1158" s="1"/>
      <c r="DD1158" s="1"/>
      <c r="DE1158" s="1"/>
      <c r="DF1158" s="1"/>
      <c r="DG1158" s="1"/>
      <c r="DH1158" s="1"/>
      <c r="DI1158" s="1"/>
      <c r="DJ1158" s="1"/>
      <c r="DK1158" s="1"/>
      <c r="ED1158" s="1"/>
      <c r="EK1158" s="1"/>
      <c r="EL1158" s="1"/>
      <c r="EM1158" s="1"/>
      <c r="EN1158" s="1"/>
      <c r="EQ1158" s="1"/>
      <c r="ER1158" s="1"/>
      <c r="ES1158" s="1"/>
      <c r="EV1158" s="1"/>
      <c r="EW1158" s="1"/>
      <c r="EZ1158" s="1"/>
      <c r="FE1158" s="1"/>
      <c r="FF1158" s="1"/>
      <c r="FS1158" s="1"/>
      <c r="FW1158" s="1"/>
      <c r="FX1158" s="1"/>
      <c r="GO1158" s="1"/>
      <c r="GP1158" s="1"/>
      <c r="HQ1158" s="1"/>
      <c r="HT1158" s="1"/>
      <c r="HY1158" s="1"/>
      <c r="IE1158" s="1"/>
      <c r="IR1158" s="1"/>
      <c r="IS1158" s="1"/>
      <c r="IW1158" s="1"/>
      <c r="IY1158" s="1"/>
      <c r="IZ1158" s="1"/>
      <c r="JA1158" s="1"/>
      <c r="JH1158" s="1"/>
      <c r="JJ1158" s="1"/>
      <c r="JN1158" s="1"/>
      <c r="JP1158" s="1"/>
      <c r="JQ1158" s="1"/>
      <c r="KU1158" s="1"/>
      <c r="KV1158" s="1"/>
      <c r="KY1158" s="1"/>
      <c r="KZ1158" s="1"/>
      <c r="LA1158" s="1"/>
      <c r="LB1158" s="1"/>
      <c r="LC1158" s="1"/>
      <c r="LD1158" s="1"/>
      <c r="LF1158" s="1"/>
      <c r="LN1158" s="1"/>
      <c r="LO1158" s="1"/>
      <c r="LP1158" s="1"/>
      <c r="LZ1158" s="1"/>
      <c r="MA1158" s="1"/>
    </row>
    <row r="1159" spans="4:339" ht="13" x14ac:dyDescent="0.15">
      <c r="D1159" s="12"/>
      <c r="E1159" s="12"/>
      <c r="I1159" s="12"/>
      <c r="J1159" s="13"/>
      <c r="BF1159" s="1"/>
      <c r="BG1159" s="1"/>
      <c r="BH1159" s="1"/>
      <c r="BI1159" s="1"/>
      <c r="BK1159" s="1"/>
      <c r="BL1159" s="1"/>
      <c r="BM1159" s="1"/>
      <c r="BN1159" s="1"/>
      <c r="BO1159" s="1"/>
      <c r="BP1159" s="1"/>
      <c r="BQ1159" s="1"/>
      <c r="BR1159" s="1"/>
      <c r="CD1159" s="1"/>
      <c r="CE1159" s="1"/>
      <c r="CF1159" s="1"/>
      <c r="CG1159" s="1"/>
      <c r="CM1159" s="2"/>
      <c r="CP1159" s="1"/>
      <c r="CQ1159" s="1"/>
      <c r="CR1159" s="1"/>
      <c r="CS1159" s="1"/>
      <c r="CT1159" s="1"/>
      <c r="CU1159" s="1"/>
      <c r="CV1159" s="1"/>
      <c r="CW1159" s="1"/>
      <c r="CX1159" s="1"/>
      <c r="CY1159" s="1"/>
      <c r="CZ1159" s="1"/>
      <c r="DA1159" s="1"/>
      <c r="DB1159" s="1"/>
      <c r="DC1159" s="1"/>
      <c r="DD1159" s="1"/>
      <c r="DE1159" s="1"/>
      <c r="DF1159" s="1"/>
      <c r="DG1159" s="1"/>
      <c r="DH1159" s="1"/>
      <c r="DI1159" s="1"/>
      <c r="DJ1159" s="1"/>
      <c r="DK1159" s="1"/>
      <c r="ED1159" s="1"/>
      <c r="EK1159" s="1"/>
      <c r="EL1159" s="1"/>
      <c r="EM1159" s="1"/>
      <c r="EN1159" s="1"/>
      <c r="EQ1159" s="1"/>
      <c r="ER1159" s="1"/>
      <c r="ES1159" s="1"/>
      <c r="EV1159" s="1"/>
      <c r="EW1159" s="1"/>
      <c r="EZ1159" s="1"/>
      <c r="FE1159" s="1"/>
      <c r="FF1159" s="1"/>
      <c r="FS1159" s="1"/>
      <c r="FW1159" s="1"/>
      <c r="FX1159" s="1"/>
      <c r="GO1159" s="1"/>
      <c r="GP1159" s="1"/>
      <c r="HQ1159" s="1"/>
      <c r="HT1159" s="1"/>
      <c r="HY1159" s="1"/>
      <c r="IE1159" s="1"/>
      <c r="IR1159" s="1"/>
      <c r="IS1159" s="1"/>
      <c r="IW1159" s="1"/>
      <c r="IY1159" s="1"/>
      <c r="IZ1159" s="1"/>
      <c r="JA1159" s="1"/>
      <c r="JH1159" s="1"/>
      <c r="JJ1159" s="1"/>
      <c r="JN1159" s="1"/>
      <c r="JP1159" s="1"/>
      <c r="JQ1159" s="1"/>
      <c r="KU1159" s="1"/>
      <c r="KV1159" s="1"/>
      <c r="KY1159" s="1"/>
      <c r="KZ1159" s="1"/>
      <c r="LA1159" s="1"/>
      <c r="LB1159" s="1"/>
      <c r="LC1159" s="1"/>
      <c r="LD1159" s="1"/>
      <c r="LF1159" s="1"/>
      <c r="LN1159" s="1"/>
      <c r="LO1159" s="1"/>
      <c r="LP1159" s="1"/>
      <c r="LZ1159" s="1"/>
      <c r="MA1159" s="1"/>
    </row>
    <row r="1160" spans="4:339" ht="13" x14ac:dyDescent="0.15">
      <c r="D1160" s="12"/>
      <c r="E1160" s="12"/>
      <c r="I1160" s="12"/>
      <c r="J1160" s="13"/>
      <c r="BF1160" s="1"/>
      <c r="BG1160" s="1"/>
      <c r="BH1160" s="1"/>
      <c r="BI1160" s="1"/>
      <c r="BK1160" s="1"/>
      <c r="BL1160" s="1"/>
      <c r="BM1160" s="1"/>
      <c r="BN1160" s="1"/>
      <c r="BO1160" s="1"/>
      <c r="BP1160" s="1"/>
      <c r="BQ1160" s="1"/>
      <c r="BR1160" s="1"/>
      <c r="CD1160" s="1"/>
      <c r="CE1160" s="1"/>
      <c r="CF1160" s="1"/>
      <c r="CG1160" s="1"/>
      <c r="CM1160" s="2"/>
      <c r="CP1160" s="1"/>
      <c r="CQ1160" s="1"/>
      <c r="CR1160" s="1"/>
      <c r="CS1160" s="1"/>
      <c r="CT1160" s="1"/>
      <c r="CU1160" s="1"/>
      <c r="CV1160" s="1"/>
      <c r="CW1160" s="1"/>
      <c r="CX1160" s="1"/>
      <c r="CY1160" s="1"/>
      <c r="CZ1160" s="1"/>
      <c r="DA1160" s="1"/>
      <c r="DB1160" s="1"/>
      <c r="DC1160" s="1"/>
      <c r="DD1160" s="1"/>
      <c r="DE1160" s="1"/>
      <c r="DF1160" s="1"/>
      <c r="DG1160" s="1"/>
      <c r="DH1160" s="1"/>
      <c r="DI1160" s="1"/>
      <c r="DJ1160" s="1"/>
      <c r="DK1160" s="1"/>
      <c r="ED1160" s="1"/>
      <c r="EK1160" s="1"/>
      <c r="EL1160" s="1"/>
      <c r="EM1160" s="1"/>
      <c r="EN1160" s="1"/>
      <c r="EQ1160" s="1"/>
      <c r="ER1160" s="1"/>
      <c r="ES1160" s="1"/>
      <c r="EV1160" s="1"/>
      <c r="EW1160" s="1"/>
      <c r="EZ1160" s="1"/>
      <c r="FE1160" s="1"/>
      <c r="FF1160" s="1"/>
      <c r="FS1160" s="1"/>
      <c r="FW1160" s="1"/>
      <c r="FX1160" s="1"/>
      <c r="GO1160" s="1"/>
      <c r="GP1160" s="1"/>
      <c r="HQ1160" s="1"/>
      <c r="HT1160" s="1"/>
      <c r="HY1160" s="1"/>
      <c r="IE1160" s="1"/>
      <c r="IR1160" s="1"/>
      <c r="IS1160" s="1"/>
      <c r="IW1160" s="1"/>
      <c r="IY1160" s="1"/>
      <c r="IZ1160" s="1"/>
      <c r="JA1160" s="1"/>
      <c r="JH1160" s="1"/>
      <c r="JJ1160" s="1"/>
      <c r="JN1160" s="1"/>
      <c r="JP1160" s="1"/>
      <c r="JQ1160" s="1"/>
      <c r="KU1160" s="1"/>
      <c r="KV1160" s="1"/>
      <c r="KY1160" s="1"/>
      <c r="KZ1160" s="1"/>
      <c r="LA1160" s="1"/>
      <c r="LB1160" s="1"/>
      <c r="LC1160" s="1"/>
      <c r="LD1160" s="1"/>
      <c r="LF1160" s="1"/>
      <c r="LN1160" s="1"/>
      <c r="LO1160" s="1"/>
      <c r="LP1160" s="1"/>
      <c r="LZ1160" s="1"/>
      <c r="MA1160" s="1"/>
    </row>
    <row r="1161" spans="4:339" ht="13" x14ac:dyDescent="0.15">
      <c r="D1161" s="12"/>
      <c r="E1161" s="12"/>
      <c r="I1161" s="12"/>
      <c r="J1161" s="13"/>
      <c r="BF1161" s="1"/>
      <c r="BG1161" s="1"/>
      <c r="BH1161" s="1"/>
      <c r="BI1161" s="1"/>
      <c r="BK1161" s="1"/>
      <c r="BL1161" s="1"/>
      <c r="BM1161" s="1"/>
      <c r="BN1161" s="1"/>
      <c r="BO1161" s="1"/>
      <c r="BP1161" s="1"/>
      <c r="BQ1161" s="1"/>
      <c r="BR1161" s="1"/>
      <c r="CD1161" s="1"/>
      <c r="CE1161" s="1"/>
      <c r="CF1161" s="1"/>
      <c r="CG1161" s="1"/>
      <c r="CM1161" s="2"/>
      <c r="CP1161" s="1"/>
      <c r="CQ1161" s="1"/>
      <c r="CR1161" s="1"/>
      <c r="CS1161" s="1"/>
      <c r="CT1161" s="1"/>
      <c r="CU1161" s="1"/>
      <c r="CV1161" s="1"/>
      <c r="CW1161" s="1"/>
      <c r="CX1161" s="1"/>
      <c r="CY1161" s="1"/>
      <c r="CZ1161" s="1"/>
      <c r="DA1161" s="1"/>
      <c r="DB1161" s="1"/>
      <c r="DC1161" s="1"/>
      <c r="DD1161" s="1"/>
      <c r="DE1161" s="1"/>
      <c r="DF1161" s="1"/>
      <c r="DG1161" s="1"/>
      <c r="DH1161" s="1"/>
      <c r="DI1161" s="1"/>
      <c r="DJ1161" s="1"/>
      <c r="DK1161" s="1"/>
      <c r="ED1161" s="1"/>
      <c r="EK1161" s="1"/>
      <c r="EL1161" s="1"/>
      <c r="EM1161" s="1"/>
      <c r="EN1161" s="1"/>
      <c r="EQ1161" s="1"/>
      <c r="ER1161" s="1"/>
      <c r="ES1161" s="1"/>
      <c r="EV1161" s="1"/>
      <c r="EW1161" s="1"/>
      <c r="EZ1161" s="1"/>
      <c r="FE1161" s="1"/>
      <c r="FF1161" s="1"/>
      <c r="FS1161" s="1"/>
      <c r="FW1161" s="1"/>
      <c r="FX1161" s="1"/>
      <c r="GO1161" s="1"/>
      <c r="GP1161" s="1"/>
      <c r="HQ1161" s="1"/>
      <c r="HT1161" s="1"/>
      <c r="HY1161" s="1"/>
      <c r="IE1161" s="1"/>
      <c r="IR1161" s="1"/>
      <c r="IS1161" s="1"/>
      <c r="IW1161" s="1"/>
      <c r="IY1161" s="1"/>
      <c r="IZ1161" s="1"/>
      <c r="JA1161" s="1"/>
      <c r="JH1161" s="1"/>
      <c r="JJ1161" s="1"/>
      <c r="JN1161" s="1"/>
      <c r="JP1161" s="1"/>
      <c r="JQ1161" s="1"/>
      <c r="KU1161" s="1"/>
      <c r="KV1161" s="1"/>
      <c r="KY1161" s="1"/>
      <c r="KZ1161" s="1"/>
      <c r="LA1161" s="1"/>
      <c r="LB1161" s="1"/>
      <c r="LC1161" s="1"/>
      <c r="LD1161" s="1"/>
      <c r="LF1161" s="1"/>
      <c r="LN1161" s="1"/>
      <c r="LO1161" s="1"/>
      <c r="LP1161" s="1"/>
      <c r="LZ1161" s="1"/>
      <c r="MA1161" s="1"/>
    </row>
    <row r="1162" spans="4:339" ht="13" x14ac:dyDescent="0.15">
      <c r="D1162" s="12"/>
      <c r="E1162" s="12"/>
      <c r="I1162" s="12"/>
      <c r="J1162" s="13"/>
      <c r="BF1162" s="1"/>
      <c r="BG1162" s="1"/>
      <c r="BH1162" s="1"/>
      <c r="BI1162" s="1"/>
      <c r="BK1162" s="1"/>
      <c r="BL1162" s="1"/>
      <c r="BM1162" s="1"/>
      <c r="BN1162" s="1"/>
      <c r="BO1162" s="1"/>
      <c r="BP1162" s="1"/>
      <c r="BQ1162" s="1"/>
      <c r="BR1162" s="1"/>
      <c r="CD1162" s="1"/>
      <c r="CE1162" s="1"/>
      <c r="CF1162" s="1"/>
      <c r="CG1162" s="1"/>
      <c r="CM1162" s="2"/>
      <c r="CP1162" s="1"/>
      <c r="CQ1162" s="1"/>
      <c r="CR1162" s="1"/>
      <c r="CS1162" s="1"/>
      <c r="CT1162" s="1"/>
      <c r="CU1162" s="1"/>
      <c r="CV1162" s="1"/>
      <c r="CW1162" s="1"/>
      <c r="CX1162" s="1"/>
      <c r="CY1162" s="1"/>
      <c r="CZ1162" s="1"/>
      <c r="DA1162" s="1"/>
      <c r="DB1162" s="1"/>
      <c r="DC1162" s="1"/>
      <c r="DD1162" s="1"/>
      <c r="DE1162" s="1"/>
      <c r="DF1162" s="1"/>
      <c r="DG1162" s="1"/>
      <c r="DH1162" s="1"/>
      <c r="DI1162" s="1"/>
      <c r="DJ1162" s="1"/>
      <c r="DK1162" s="1"/>
      <c r="ED1162" s="1"/>
      <c r="EK1162" s="1"/>
      <c r="EL1162" s="1"/>
      <c r="EM1162" s="1"/>
      <c r="EN1162" s="1"/>
      <c r="EQ1162" s="1"/>
      <c r="ER1162" s="1"/>
      <c r="ES1162" s="1"/>
      <c r="EV1162" s="1"/>
      <c r="EW1162" s="1"/>
      <c r="EZ1162" s="1"/>
      <c r="FE1162" s="1"/>
      <c r="FF1162" s="1"/>
      <c r="FS1162" s="1"/>
      <c r="FW1162" s="1"/>
      <c r="FX1162" s="1"/>
      <c r="GO1162" s="1"/>
      <c r="GP1162" s="1"/>
      <c r="HQ1162" s="1"/>
      <c r="HT1162" s="1"/>
      <c r="HY1162" s="1"/>
      <c r="IE1162" s="1"/>
      <c r="IR1162" s="1"/>
      <c r="IS1162" s="1"/>
      <c r="IW1162" s="1"/>
      <c r="IY1162" s="1"/>
      <c r="IZ1162" s="1"/>
      <c r="JA1162" s="1"/>
      <c r="JH1162" s="1"/>
      <c r="JJ1162" s="1"/>
      <c r="JN1162" s="1"/>
      <c r="JP1162" s="1"/>
      <c r="JQ1162" s="1"/>
      <c r="KU1162" s="1"/>
      <c r="KV1162" s="1"/>
      <c r="KY1162" s="1"/>
      <c r="KZ1162" s="1"/>
      <c r="LA1162" s="1"/>
      <c r="LB1162" s="1"/>
      <c r="LC1162" s="1"/>
      <c r="LD1162" s="1"/>
      <c r="LF1162" s="1"/>
      <c r="LN1162" s="1"/>
      <c r="LO1162" s="1"/>
      <c r="LP1162" s="1"/>
      <c r="LZ1162" s="1"/>
      <c r="MA1162" s="1"/>
    </row>
    <row r="1163" spans="4:339" ht="13" x14ac:dyDescent="0.15">
      <c r="D1163" s="12"/>
      <c r="E1163" s="12"/>
      <c r="I1163" s="12"/>
      <c r="J1163" s="13"/>
      <c r="BF1163" s="1"/>
      <c r="BG1163" s="1"/>
      <c r="BH1163" s="1"/>
      <c r="BI1163" s="1"/>
      <c r="BK1163" s="1"/>
      <c r="BL1163" s="1"/>
      <c r="BM1163" s="1"/>
      <c r="BN1163" s="1"/>
      <c r="BO1163" s="1"/>
      <c r="BP1163" s="1"/>
      <c r="BQ1163" s="1"/>
      <c r="BR1163" s="1"/>
      <c r="CD1163" s="1"/>
      <c r="CE1163" s="1"/>
      <c r="CF1163" s="1"/>
      <c r="CG1163" s="1"/>
      <c r="CM1163" s="2"/>
      <c r="CP1163" s="1"/>
      <c r="CQ1163" s="1"/>
      <c r="CR1163" s="1"/>
      <c r="CS1163" s="1"/>
      <c r="CT1163" s="1"/>
      <c r="CU1163" s="1"/>
      <c r="CV1163" s="1"/>
      <c r="CW1163" s="1"/>
      <c r="CX1163" s="1"/>
      <c r="CY1163" s="1"/>
      <c r="CZ1163" s="1"/>
      <c r="DA1163" s="1"/>
      <c r="DB1163" s="1"/>
      <c r="DC1163" s="1"/>
      <c r="DD1163" s="1"/>
      <c r="DE1163" s="1"/>
      <c r="DF1163" s="1"/>
      <c r="DG1163" s="1"/>
      <c r="DH1163" s="1"/>
      <c r="DI1163" s="1"/>
      <c r="DJ1163" s="1"/>
      <c r="DK1163" s="1"/>
      <c r="ED1163" s="1"/>
      <c r="EK1163" s="1"/>
      <c r="EL1163" s="1"/>
      <c r="EM1163" s="1"/>
      <c r="EN1163" s="1"/>
      <c r="EQ1163" s="1"/>
      <c r="ER1163" s="1"/>
      <c r="ES1163" s="1"/>
      <c r="EV1163" s="1"/>
      <c r="EW1163" s="1"/>
      <c r="EZ1163" s="1"/>
      <c r="FE1163" s="1"/>
      <c r="FF1163" s="1"/>
      <c r="FS1163" s="1"/>
      <c r="FW1163" s="1"/>
      <c r="FX1163" s="1"/>
      <c r="GO1163" s="1"/>
      <c r="GP1163" s="1"/>
      <c r="HQ1163" s="1"/>
      <c r="HT1163" s="1"/>
      <c r="HY1163" s="1"/>
      <c r="IE1163" s="1"/>
      <c r="IR1163" s="1"/>
      <c r="IS1163" s="1"/>
      <c r="IW1163" s="1"/>
      <c r="IY1163" s="1"/>
      <c r="IZ1163" s="1"/>
      <c r="JA1163" s="1"/>
      <c r="JH1163" s="1"/>
      <c r="JJ1163" s="1"/>
      <c r="JN1163" s="1"/>
      <c r="JP1163" s="1"/>
      <c r="JQ1163" s="1"/>
      <c r="KU1163" s="1"/>
      <c r="KV1163" s="1"/>
      <c r="KY1163" s="1"/>
      <c r="KZ1163" s="1"/>
      <c r="LA1163" s="1"/>
      <c r="LB1163" s="1"/>
      <c r="LC1163" s="1"/>
      <c r="LD1163" s="1"/>
      <c r="LF1163" s="1"/>
      <c r="LN1163" s="1"/>
      <c r="LO1163" s="1"/>
      <c r="LP1163" s="1"/>
      <c r="LZ1163" s="1"/>
      <c r="MA1163" s="1"/>
    </row>
    <row r="1164" spans="4:339" ht="13" x14ac:dyDescent="0.15">
      <c r="D1164" s="12"/>
      <c r="E1164" s="12"/>
      <c r="I1164" s="12"/>
      <c r="J1164" s="13"/>
      <c r="BF1164" s="1"/>
      <c r="BG1164" s="1"/>
      <c r="BH1164" s="1"/>
      <c r="BI1164" s="1"/>
      <c r="BK1164" s="1"/>
      <c r="BL1164" s="1"/>
      <c r="BM1164" s="1"/>
      <c r="BN1164" s="1"/>
      <c r="BO1164" s="1"/>
      <c r="BP1164" s="1"/>
      <c r="BQ1164" s="1"/>
      <c r="BR1164" s="1"/>
      <c r="CD1164" s="1"/>
      <c r="CE1164" s="1"/>
      <c r="CF1164" s="1"/>
      <c r="CG1164" s="1"/>
      <c r="CM1164" s="2"/>
      <c r="CP1164" s="1"/>
      <c r="CQ1164" s="1"/>
      <c r="CR1164" s="1"/>
      <c r="CS1164" s="1"/>
      <c r="CT1164" s="1"/>
      <c r="CU1164" s="1"/>
      <c r="CV1164" s="1"/>
      <c r="CW1164" s="1"/>
      <c r="CX1164" s="1"/>
      <c r="CY1164" s="1"/>
      <c r="CZ1164" s="1"/>
      <c r="DA1164" s="1"/>
      <c r="DB1164" s="1"/>
      <c r="DC1164" s="1"/>
      <c r="DD1164" s="1"/>
      <c r="DE1164" s="1"/>
      <c r="DF1164" s="1"/>
      <c r="DG1164" s="1"/>
      <c r="DH1164" s="1"/>
      <c r="DI1164" s="1"/>
      <c r="DJ1164" s="1"/>
      <c r="DK1164" s="1"/>
      <c r="ED1164" s="1"/>
      <c r="EK1164" s="1"/>
      <c r="EL1164" s="1"/>
      <c r="EM1164" s="1"/>
      <c r="EN1164" s="1"/>
      <c r="EQ1164" s="1"/>
      <c r="ER1164" s="1"/>
      <c r="ES1164" s="1"/>
      <c r="EV1164" s="1"/>
      <c r="EW1164" s="1"/>
      <c r="EZ1164" s="1"/>
      <c r="FE1164" s="1"/>
      <c r="FF1164" s="1"/>
      <c r="FS1164" s="1"/>
      <c r="FW1164" s="1"/>
      <c r="FX1164" s="1"/>
      <c r="GO1164" s="1"/>
      <c r="GP1164" s="1"/>
      <c r="HQ1164" s="1"/>
      <c r="HT1164" s="1"/>
      <c r="HY1164" s="1"/>
      <c r="IE1164" s="1"/>
      <c r="IR1164" s="1"/>
      <c r="IS1164" s="1"/>
      <c r="IW1164" s="1"/>
      <c r="IY1164" s="1"/>
      <c r="IZ1164" s="1"/>
      <c r="JA1164" s="1"/>
      <c r="JH1164" s="1"/>
      <c r="JJ1164" s="1"/>
      <c r="JN1164" s="1"/>
      <c r="JP1164" s="1"/>
      <c r="JQ1164" s="1"/>
      <c r="KU1164" s="1"/>
      <c r="KV1164" s="1"/>
      <c r="KY1164" s="1"/>
      <c r="KZ1164" s="1"/>
      <c r="LA1164" s="1"/>
      <c r="LB1164" s="1"/>
      <c r="LC1164" s="1"/>
      <c r="LD1164" s="1"/>
      <c r="LF1164" s="1"/>
      <c r="LN1164" s="1"/>
      <c r="LO1164" s="1"/>
      <c r="LP1164" s="1"/>
      <c r="LZ1164" s="1"/>
      <c r="MA1164" s="1"/>
    </row>
    <row r="1165" spans="4:339" ht="13" x14ac:dyDescent="0.15">
      <c r="D1165" s="12"/>
      <c r="E1165" s="12"/>
      <c r="I1165" s="12"/>
      <c r="J1165" s="13"/>
      <c r="BF1165" s="1"/>
      <c r="BG1165" s="1"/>
      <c r="BH1165" s="1"/>
      <c r="BI1165" s="1"/>
      <c r="BK1165" s="1"/>
      <c r="BL1165" s="1"/>
      <c r="BM1165" s="1"/>
      <c r="BN1165" s="1"/>
      <c r="BO1165" s="1"/>
      <c r="BP1165" s="1"/>
      <c r="BQ1165" s="1"/>
      <c r="BR1165" s="1"/>
      <c r="CD1165" s="1"/>
      <c r="CE1165" s="1"/>
      <c r="CF1165" s="1"/>
      <c r="CG1165" s="1"/>
      <c r="CM1165" s="2"/>
      <c r="CP1165" s="1"/>
      <c r="CQ1165" s="1"/>
      <c r="CR1165" s="1"/>
      <c r="CS1165" s="1"/>
      <c r="CT1165" s="1"/>
      <c r="CU1165" s="1"/>
      <c r="CV1165" s="1"/>
      <c r="CW1165" s="1"/>
      <c r="CX1165" s="1"/>
      <c r="CY1165" s="1"/>
      <c r="CZ1165" s="1"/>
      <c r="DA1165" s="1"/>
      <c r="DB1165" s="1"/>
      <c r="DC1165" s="1"/>
      <c r="DD1165" s="1"/>
      <c r="DE1165" s="1"/>
      <c r="DF1165" s="1"/>
      <c r="DG1165" s="1"/>
      <c r="DH1165" s="1"/>
      <c r="DI1165" s="1"/>
      <c r="DJ1165" s="1"/>
      <c r="DK1165" s="1"/>
      <c r="ED1165" s="1"/>
      <c r="EK1165" s="1"/>
      <c r="EL1165" s="1"/>
      <c r="EM1165" s="1"/>
      <c r="EN1165" s="1"/>
      <c r="EQ1165" s="1"/>
      <c r="ER1165" s="1"/>
      <c r="ES1165" s="1"/>
      <c r="EV1165" s="1"/>
      <c r="EW1165" s="1"/>
      <c r="EZ1165" s="1"/>
      <c r="FE1165" s="1"/>
      <c r="FF1165" s="1"/>
      <c r="FS1165" s="1"/>
      <c r="FW1165" s="1"/>
      <c r="FX1165" s="1"/>
      <c r="GO1165" s="1"/>
      <c r="GP1165" s="1"/>
      <c r="HQ1165" s="1"/>
      <c r="HT1165" s="1"/>
      <c r="HY1165" s="1"/>
      <c r="IE1165" s="1"/>
      <c r="IR1165" s="1"/>
      <c r="IS1165" s="1"/>
      <c r="IW1165" s="1"/>
      <c r="IY1165" s="1"/>
      <c r="IZ1165" s="1"/>
      <c r="JA1165" s="1"/>
      <c r="JH1165" s="1"/>
      <c r="JJ1165" s="1"/>
      <c r="JN1165" s="1"/>
      <c r="JP1165" s="1"/>
      <c r="JQ1165" s="1"/>
      <c r="KU1165" s="1"/>
      <c r="KV1165" s="1"/>
      <c r="KY1165" s="1"/>
      <c r="KZ1165" s="1"/>
      <c r="LA1165" s="1"/>
      <c r="LB1165" s="1"/>
      <c r="LC1165" s="1"/>
      <c r="LD1165" s="1"/>
      <c r="LF1165" s="1"/>
      <c r="LN1165" s="1"/>
      <c r="LO1165" s="1"/>
      <c r="LP1165" s="1"/>
      <c r="LZ1165" s="1"/>
      <c r="MA1165" s="1"/>
    </row>
    <row r="1166" spans="4:339" ht="13" x14ac:dyDescent="0.15">
      <c r="D1166" s="12"/>
      <c r="E1166" s="12"/>
      <c r="I1166" s="12"/>
      <c r="J1166" s="13"/>
      <c r="BF1166" s="1"/>
      <c r="BG1166" s="1"/>
      <c r="BH1166" s="1"/>
      <c r="BI1166" s="1"/>
      <c r="BK1166" s="1"/>
      <c r="BL1166" s="1"/>
      <c r="BM1166" s="1"/>
      <c r="BN1166" s="1"/>
      <c r="BO1166" s="1"/>
      <c r="BP1166" s="1"/>
      <c r="BQ1166" s="1"/>
      <c r="BR1166" s="1"/>
      <c r="CD1166" s="1"/>
      <c r="CE1166" s="1"/>
      <c r="CF1166" s="1"/>
      <c r="CM1166" s="2"/>
      <c r="CP1166" s="1"/>
      <c r="CQ1166" s="1"/>
      <c r="CS1166" s="1"/>
      <c r="CT1166" s="1"/>
      <c r="CU1166" s="1"/>
      <c r="CV1166" s="1"/>
      <c r="CW1166" s="1"/>
      <c r="CX1166" s="1"/>
      <c r="CY1166" s="1"/>
      <c r="CZ1166" s="1"/>
      <c r="DA1166" s="1"/>
      <c r="DB1166" s="1"/>
      <c r="DC1166" s="1"/>
      <c r="DD1166" s="1"/>
      <c r="DE1166" s="1"/>
      <c r="DF1166" s="1"/>
      <c r="DG1166" s="1"/>
      <c r="DH1166" s="1"/>
      <c r="DI1166" s="1"/>
      <c r="DJ1166" s="1"/>
      <c r="DK1166" s="1"/>
      <c r="DM1166" s="1"/>
      <c r="DQ1166" s="1"/>
      <c r="DR1166" s="1"/>
      <c r="DY1166" s="1"/>
      <c r="DZ1166" s="1"/>
      <c r="ED1166" s="1"/>
      <c r="EK1166" s="1"/>
      <c r="EL1166" s="1"/>
      <c r="EM1166" s="1"/>
      <c r="EN1166" s="1"/>
      <c r="EQ1166" s="1"/>
      <c r="ER1166" s="1"/>
      <c r="ES1166" s="1"/>
      <c r="EV1166" s="1"/>
      <c r="EW1166" s="1"/>
      <c r="EZ1166" s="1"/>
      <c r="GO1166" s="1"/>
      <c r="GP1166" s="1"/>
      <c r="HY1166" s="1"/>
      <c r="IB1166" s="1"/>
      <c r="IE1166" s="1"/>
      <c r="IS1166" s="1"/>
      <c r="IW1166" s="1"/>
      <c r="IZ1166" s="1"/>
      <c r="JH1166" s="1"/>
      <c r="JJ1166" s="1"/>
      <c r="JN1166" s="1"/>
      <c r="JP1166" s="1"/>
      <c r="JQ1166" s="1"/>
      <c r="KY1166" s="1"/>
      <c r="KZ1166" s="1"/>
      <c r="LA1166" s="1"/>
      <c r="LB1166" s="1"/>
      <c r="LR1166" s="1"/>
      <c r="LS1166" s="1"/>
      <c r="LT1166" s="1"/>
      <c r="LU1166" s="1"/>
      <c r="LZ1166" s="1"/>
      <c r="MA1166" s="1"/>
    </row>
    <row r="1167" spans="4:339" ht="13" x14ac:dyDescent="0.15">
      <c r="D1167" s="12"/>
      <c r="E1167" s="12"/>
      <c r="I1167" s="12"/>
      <c r="J1167" s="13"/>
      <c r="BF1167" s="1"/>
      <c r="BG1167" s="1"/>
      <c r="BH1167" s="1"/>
      <c r="BI1167" s="1"/>
      <c r="BK1167" s="1"/>
      <c r="BL1167" s="1"/>
      <c r="BM1167" s="1"/>
      <c r="BN1167" s="1"/>
      <c r="BO1167" s="1"/>
      <c r="BP1167" s="1"/>
      <c r="BQ1167" s="1"/>
      <c r="BR1167" s="1"/>
      <c r="CD1167" s="1"/>
      <c r="CE1167" s="1"/>
      <c r="CF1167" s="1"/>
      <c r="CG1167" s="1"/>
      <c r="CM1167" s="2"/>
      <c r="CP1167" s="1"/>
      <c r="CQ1167" s="1"/>
      <c r="CR1167" s="1"/>
      <c r="CS1167" s="1"/>
      <c r="CT1167" s="1"/>
      <c r="CU1167" s="1"/>
      <c r="CV1167" s="1"/>
      <c r="CW1167" s="1"/>
      <c r="CX1167" s="1"/>
      <c r="CY1167" s="1"/>
      <c r="CZ1167" s="1"/>
      <c r="DA1167" s="1"/>
      <c r="DB1167" s="1"/>
      <c r="DC1167" s="1"/>
      <c r="DD1167" s="1"/>
      <c r="DE1167" s="1"/>
      <c r="DF1167" s="1"/>
      <c r="DG1167" s="1"/>
      <c r="DH1167" s="1"/>
      <c r="DI1167" s="1"/>
      <c r="DJ1167" s="1"/>
      <c r="DK1167" s="1"/>
      <c r="ED1167" s="1"/>
      <c r="EK1167" s="1"/>
      <c r="EL1167" s="1"/>
      <c r="EM1167" s="1"/>
      <c r="EN1167" s="1"/>
      <c r="EQ1167" s="1"/>
      <c r="ER1167" s="1"/>
      <c r="ES1167" s="1"/>
      <c r="EV1167" s="1"/>
      <c r="EW1167" s="1"/>
      <c r="EZ1167" s="1"/>
      <c r="GP1167" s="1"/>
      <c r="HG1167" s="1"/>
      <c r="HQ1167" s="1"/>
      <c r="HT1167" s="1"/>
      <c r="HY1167" s="1"/>
      <c r="IC1167" s="1"/>
      <c r="IE1167" s="1"/>
      <c r="IS1167" s="1"/>
      <c r="IY1167" s="1"/>
      <c r="IZ1167" s="1"/>
      <c r="JF1167" s="1"/>
      <c r="JG1167" s="1"/>
      <c r="JH1167" s="1"/>
      <c r="JJ1167" s="1"/>
      <c r="JN1167" s="1"/>
      <c r="JP1167" s="1"/>
      <c r="JQ1167" s="1"/>
      <c r="KU1167" s="1"/>
      <c r="KV1167" s="1"/>
      <c r="KY1167" s="1"/>
      <c r="KZ1167" s="1"/>
      <c r="LA1167" s="1"/>
      <c r="LB1167" s="1"/>
      <c r="LC1167" s="1"/>
      <c r="LD1167" s="1"/>
      <c r="LN1167" s="1"/>
      <c r="LO1167" s="1"/>
      <c r="LP1167" s="1"/>
      <c r="LZ1167" s="1"/>
      <c r="MA1167" s="1"/>
    </row>
    <row r="1168" spans="4:339" ht="13" x14ac:dyDescent="0.15">
      <c r="D1168" s="12"/>
      <c r="E1168" s="12"/>
      <c r="I1168" s="12"/>
      <c r="J1168" s="13"/>
      <c r="BF1168" s="1"/>
      <c r="BG1168" s="1"/>
      <c r="BH1168" s="1"/>
      <c r="BI1168" s="1"/>
      <c r="BK1168" s="1"/>
      <c r="BL1168" s="1"/>
      <c r="BM1168" s="1"/>
      <c r="BN1168" s="1"/>
      <c r="BO1168" s="1"/>
      <c r="BP1168" s="1"/>
      <c r="BQ1168" s="1"/>
      <c r="BR1168" s="1"/>
      <c r="CD1168" s="1"/>
      <c r="CE1168" s="1"/>
      <c r="CF1168" s="1"/>
      <c r="CG1168" s="1"/>
      <c r="CM1168" s="2"/>
      <c r="CP1168" s="1"/>
      <c r="CQ1168" s="1"/>
      <c r="CR1168" s="1"/>
      <c r="CS1168" s="1"/>
      <c r="CT1168" s="1"/>
      <c r="CU1168" s="1"/>
      <c r="CV1168" s="1"/>
      <c r="CW1168" s="1"/>
      <c r="CX1168" s="1"/>
      <c r="CY1168" s="1"/>
      <c r="CZ1168" s="1"/>
      <c r="DA1168" s="1"/>
      <c r="DB1168" s="1"/>
      <c r="DC1168" s="1"/>
      <c r="DD1168" s="1"/>
      <c r="DE1168" s="1"/>
      <c r="DF1168" s="1"/>
      <c r="DG1168" s="1"/>
      <c r="DH1168" s="1"/>
      <c r="DI1168" s="1"/>
      <c r="DJ1168" s="1"/>
      <c r="DK1168" s="1"/>
      <c r="ED1168" s="1"/>
      <c r="EK1168" s="1"/>
      <c r="EL1168" s="1"/>
      <c r="EM1168" s="1"/>
      <c r="EN1168" s="1"/>
      <c r="EQ1168" s="1"/>
      <c r="ER1168" s="1"/>
      <c r="ES1168" s="1"/>
      <c r="EV1168" s="1"/>
      <c r="EW1168" s="1"/>
      <c r="EZ1168" s="1"/>
      <c r="GP1168" s="1"/>
      <c r="HG1168" s="1"/>
      <c r="HQ1168" s="1"/>
      <c r="HT1168" s="1"/>
      <c r="HY1168" s="1"/>
      <c r="IC1168" s="1"/>
      <c r="IE1168" s="1"/>
      <c r="IS1168" s="1"/>
      <c r="IY1168" s="1"/>
      <c r="IZ1168" s="1"/>
      <c r="JF1168" s="1"/>
      <c r="JG1168" s="1"/>
      <c r="JH1168" s="1"/>
      <c r="JJ1168" s="1"/>
      <c r="JN1168" s="1"/>
      <c r="JP1168" s="1"/>
      <c r="JQ1168" s="1"/>
      <c r="KU1168" s="1"/>
      <c r="KV1168" s="1"/>
      <c r="KY1168" s="1"/>
      <c r="KZ1168" s="1"/>
      <c r="LA1168" s="1"/>
      <c r="LB1168" s="1"/>
      <c r="LC1168" s="1"/>
      <c r="LD1168" s="1"/>
      <c r="LN1168" s="1"/>
      <c r="LO1168" s="1"/>
      <c r="LP1168" s="1"/>
      <c r="LZ1168" s="1"/>
      <c r="MA1168" s="1"/>
    </row>
    <row r="1169" spans="4:339" ht="13" x14ac:dyDescent="0.15">
      <c r="D1169" s="12"/>
      <c r="E1169" s="12"/>
      <c r="I1169" s="12"/>
      <c r="J1169" s="13"/>
      <c r="BG1169" s="1"/>
      <c r="BH1169" s="1"/>
      <c r="BI1169" s="1"/>
      <c r="BJ1169" s="1"/>
      <c r="BK1169" s="1"/>
      <c r="BL1169" s="1"/>
      <c r="BM1169" s="1"/>
      <c r="BN1169" s="1"/>
      <c r="BO1169" s="1"/>
      <c r="BP1169" s="1"/>
      <c r="BQ1169" s="1"/>
      <c r="BR1169" s="1"/>
      <c r="CC1169" s="1"/>
      <c r="CD1169" s="1"/>
      <c r="CE1169" s="1"/>
      <c r="CF1169" s="1"/>
      <c r="CG1169" s="1"/>
      <c r="CK1169" s="1"/>
      <c r="CM1169" s="2"/>
      <c r="CP1169" s="1"/>
      <c r="CQ1169" s="1"/>
      <c r="CX1169" s="1"/>
      <c r="CY1169" s="1"/>
      <c r="CZ1169" s="1"/>
      <c r="DA1169" s="1"/>
      <c r="DB1169" s="1"/>
      <c r="DC1169" s="1"/>
      <c r="DD1169" s="1"/>
      <c r="DE1169" s="1"/>
      <c r="DF1169" s="1"/>
      <c r="DG1169" s="1"/>
      <c r="DH1169" s="1"/>
      <c r="DI1169" s="1"/>
      <c r="DJ1169" s="1"/>
      <c r="DK1169" s="1"/>
      <c r="DM1169" s="1"/>
      <c r="DR1169" s="1"/>
      <c r="ED1169" s="1"/>
      <c r="EK1169" s="1"/>
      <c r="EL1169" s="1"/>
      <c r="EM1169" s="1"/>
      <c r="EN1169" s="1"/>
      <c r="EQ1169" s="1"/>
      <c r="ER1169" s="1"/>
      <c r="ES1169" s="1"/>
      <c r="EV1169" s="1"/>
      <c r="EW1169" s="1"/>
      <c r="EZ1169" s="1"/>
      <c r="GP1169" s="1"/>
      <c r="HH1169" s="1"/>
      <c r="HQ1169" s="1"/>
      <c r="HY1169" s="1"/>
      <c r="IE1169" s="1"/>
      <c r="IR1169" s="1"/>
      <c r="IS1169" s="1"/>
      <c r="IW1169" s="1"/>
      <c r="IZ1169" s="1"/>
      <c r="JF1169" s="1"/>
      <c r="JG1169" s="1"/>
      <c r="JI1169" s="1"/>
      <c r="JJ1169" s="1"/>
      <c r="JP1169" s="1"/>
      <c r="JQ1169" s="1"/>
      <c r="JT1169" s="1"/>
      <c r="KW1169" s="1"/>
      <c r="KZ1169" s="1"/>
      <c r="LC1169" s="1"/>
      <c r="LD1169" s="1"/>
      <c r="LF1169" s="1"/>
      <c r="LN1169" s="1"/>
      <c r="LO1169" s="1"/>
      <c r="LP1169" s="1"/>
      <c r="LZ1169" s="1"/>
      <c r="MA1169" s="1"/>
    </row>
    <row r="1170" spans="4:339" ht="13" x14ac:dyDescent="0.15">
      <c r="D1170" s="12"/>
      <c r="E1170" s="12"/>
      <c r="I1170" s="12"/>
      <c r="J1170" s="13"/>
      <c r="BF1170" s="1"/>
      <c r="BG1170" s="1"/>
      <c r="BH1170" s="1"/>
      <c r="BI1170" s="1"/>
      <c r="BK1170" s="1"/>
      <c r="BL1170" s="1"/>
      <c r="BM1170" s="1"/>
      <c r="BN1170" s="1"/>
      <c r="BO1170" s="1"/>
      <c r="BP1170" s="1"/>
      <c r="BQ1170" s="1"/>
      <c r="BR1170" s="1"/>
      <c r="CD1170" s="1"/>
      <c r="CE1170" s="1"/>
      <c r="CF1170" s="1"/>
      <c r="CG1170" s="1"/>
      <c r="CM1170" s="2"/>
      <c r="CP1170" s="1"/>
      <c r="CQ1170" s="1"/>
      <c r="CS1170" s="1"/>
      <c r="CT1170" s="1"/>
      <c r="CU1170" s="1"/>
      <c r="CV1170" s="1"/>
      <c r="CW1170" s="1"/>
      <c r="CX1170" s="1"/>
      <c r="CY1170" s="1"/>
      <c r="CZ1170" s="1"/>
      <c r="DA1170" s="1"/>
      <c r="DB1170" s="1"/>
      <c r="DC1170" s="1"/>
      <c r="DD1170" s="1"/>
      <c r="DE1170" s="1"/>
      <c r="DF1170" s="1"/>
      <c r="DG1170" s="1"/>
      <c r="DH1170" s="1"/>
      <c r="DI1170" s="1"/>
      <c r="DJ1170" s="1"/>
      <c r="DK1170" s="1"/>
      <c r="ED1170" s="1"/>
      <c r="EK1170" s="1"/>
      <c r="EL1170" s="1"/>
      <c r="EM1170" s="1"/>
      <c r="EN1170" s="1"/>
      <c r="EQ1170" s="1"/>
      <c r="ER1170" s="1"/>
      <c r="ES1170" s="1"/>
      <c r="EV1170" s="1"/>
      <c r="EW1170" s="1"/>
      <c r="EZ1170" s="1"/>
      <c r="GO1170" s="1"/>
      <c r="GP1170" s="1"/>
      <c r="HG1170" s="1"/>
      <c r="HH1170" s="1"/>
      <c r="HN1170" s="1"/>
      <c r="HY1170" s="1"/>
      <c r="IE1170" s="1"/>
      <c r="IS1170" s="1"/>
      <c r="IZ1170" s="1"/>
      <c r="JH1170" s="1"/>
      <c r="JJ1170" s="1"/>
      <c r="JP1170" s="1"/>
      <c r="JQ1170" s="1"/>
      <c r="KY1170" s="1"/>
      <c r="KZ1170" s="1"/>
      <c r="LA1170" s="1"/>
      <c r="LB1170" s="1"/>
      <c r="LC1170" s="1"/>
      <c r="LD1170" s="1"/>
      <c r="LO1170" s="1"/>
      <c r="LP1170" s="1"/>
      <c r="LZ1170" s="1"/>
      <c r="MA1170" s="1"/>
    </row>
    <row r="1171" spans="4:339" ht="13" x14ac:dyDescent="0.15">
      <c r="D1171" s="12"/>
      <c r="E1171" s="12"/>
      <c r="I1171" s="12"/>
      <c r="J1171" s="13"/>
      <c r="BF1171" s="1"/>
      <c r="BG1171" s="1"/>
      <c r="BH1171" s="1"/>
      <c r="BI1171" s="1"/>
      <c r="BK1171" s="1"/>
      <c r="BL1171" s="1"/>
      <c r="BM1171" s="1"/>
      <c r="BN1171" s="1"/>
      <c r="BO1171" s="1"/>
      <c r="BP1171" s="1"/>
      <c r="BQ1171" s="1"/>
      <c r="BR1171" s="1"/>
      <c r="CD1171" s="1"/>
      <c r="CE1171" s="1"/>
      <c r="CF1171" s="1"/>
      <c r="CG1171" s="1"/>
      <c r="CM1171" s="2"/>
      <c r="CP1171" s="1"/>
      <c r="CQ1171" s="1"/>
      <c r="CS1171" s="1"/>
      <c r="CT1171" s="1"/>
      <c r="CU1171" s="1"/>
      <c r="CV1171" s="1"/>
      <c r="CW1171" s="1"/>
      <c r="CX1171" s="1"/>
      <c r="CY1171" s="1"/>
      <c r="CZ1171" s="1"/>
      <c r="DA1171" s="1"/>
      <c r="DB1171" s="1"/>
      <c r="DC1171" s="1"/>
      <c r="DD1171" s="1"/>
      <c r="DE1171" s="1"/>
      <c r="DF1171" s="1"/>
      <c r="DG1171" s="1"/>
      <c r="DH1171" s="1"/>
      <c r="DI1171" s="1"/>
      <c r="DJ1171" s="1"/>
      <c r="DK1171" s="1"/>
      <c r="ED1171" s="1"/>
      <c r="EK1171" s="1"/>
      <c r="EL1171" s="1"/>
      <c r="EM1171" s="1"/>
      <c r="EN1171" s="1"/>
      <c r="EQ1171" s="1"/>
      <c r="ER1171" s="1"/>
      <c r="ES1171" s="1"/>
      <c r="EV1171" s="1"/>
      <c r="EW1171" s="1"/>
      <c r="EZ1171" s="1"/>
      <c r="GO1171" s="1"/>
      <c r="GP1171" s="1"/>
      <c r="HG1171" s="1"/>
      <c r="HH1171" s="1"/>
      <c r="HN1171" s="1"/>
      <c r="HY1171" s="1"/>
      <c r="IE1171" s="1"/>
      <c r="IS1171" s="1"/>
      <c r="IZ1171" s="1"/>
      <c r="JH1171" s="1"/>
      <c r="JJ1171" s="1"/>
      <c r="JP1171" s="1"/>
      <c r="JQ1171" s="1"/>
      <c r="KY1171" s="1"/>
      <c r="KZ1171" s="1"/>
      <c r="LA1171" s="1"/>
      <c r="LB1171" s="1"/>
      <c r="LC1171" s="1"/>
      <c r="LD1171" s="1"/>
      <c r="LO1171" s="1"/>
      <c r="LP1171" s="1"/>
      <c r="LZ1171" s="1"/>
      <c r="MA1171" s="1"/>
    </row>
    <row r="1172" spans="4:339" ht="13" x14ac:dyDescent="0.15">
      <c r="D1172" s="12"/>
      <c r="E1172" s="12"/>
      <c r="I1172" s="12"/>
      <c r="J1172" s="13"/>
      <c r="BF1172" s="1"/>
      <c r="BG1172" s="1"/>
      <c r="BH1172" s="1"/>
      <c r="BI1172" s="1"/>
      <c r="BK1172" s="1"/>
      <c r="BL1172" s="1"/>
      <c r="BM1172" s="1"/>
      <c r="BN1172" s="1"/>
      <c r="BO1172" s="1"/>
      <c r="BP1172" s="1"/>
      <c r="BQ1172" s="1"/>
      <c r="BR1172" s="1"/>
      <c r="CD1172" s="1"/>
      <c r="CE1172" s="1"/>
      <c r="CF1172" s="1"/>
      <c r="CG1172" s="1"/>
      <c r="CM1172" s="2"/>
      <c r="CP1172" s="1"/>
      <c r="CQ1172" s="1"/>
      <c r="CS1172" s="1"/>
      <c r="CT1172" s="1"/>
      <c r="CU1172" s="1"/>
      <c r="CV1172" s="1"/>
      <c r="CW1172" s="1"/>
      <c r="CX1172" s="1"/>
      <c r="CY1172" s="1"/>
      <c r="CZ1172" s="1"/>
      <c r="DA1172" s="1"/>
      <c r="DB1172" s="1"/>
      <c r="DC1172" s="1"/>
      <c r="DD1172" s="1"/>
      <c r="DE1172" s="1"/>
      <c r="DF1172" s="1"/>
      <c r="DG1172" s="1"/>
      <c r="DH1172" s="1"/>
      <c r="DI1172" s="1"/>
      <c r="DJ1172" s="1"/>
      <c r="DK1172" s="1"/>
      <c r="ED1172" s="1"/>
      <c r="EK1172" s="1"/>
      <c r="EL1172" s="1"/>
      <c r="EM1172" s="1"/>
      <c r="EN1172" s="1"/>
      <c r="EQ1172" s="1"/>
      <c r="ER1172" s="1"/>
      <c r="ES1172" s="1"/>
      <c r="EV1172" s="1"/>
      <c r="EW1172" s="1"/>
      <c r="EZ1172" s="1"/>
      <c r="GO1172" s="1"/>
      <c r="GP1172" s="1"/>
      <c r="HG1172" s="1"/>
      <c r="HH1172" s="1"/>
      <c r="HN1172" s="1"/>
      <c r="HY1172" s="1"/>
      <c r="IE1172" s="1"/>
      <c r="IS1172" s="1"/>
      <c r="IZ1172" s="1"/>
      <c r="JH1172" s="1"/>
      <c r="JJ1172" s="1"/>
      <c r="JP1172" s="1"/>
      <c r="JQ1172" s="1"/>
      <c r="KY1172" s="1"/>
      <c r="KZ1172" s="1"/>
      <c r="LA1172" s="1"/>
      <c r="LB1172" s="1"/>
      <c r="LC1172" s="1"/>
      <c r="LD1172" s="1"/>
      <c r="LO1172" s="1"/>
      <c r="LP1172" s="1"/>
      <c r="LZ1172" s="1"/>
      <c r="MA1172" s="1"/>
    </row>
    <row r="1173" spans="4:339" ht="13" x14ac:dyDescent="0.15">
      <c r="D1173" s="12"/>
      <c r="E1173" s="12"/>
      <c r="I1173" s="12"/>
      <c r="J1173" s="13"/>
      <c r="BF1173" s="1"/>
      <c r="BG1173" s="1"/>
      <c r="BH1173" s="1"/>
      <c r="BI1173" s="1"/>
      <c r="BK1173" s="1"/>
      <c r="BL1173" s="1"/>
      <c r="BM1173" s="1"/>
      <c r="BN1173" s="1"/>
      <c r="BO1173" s="1"/>
      <c r="BP1173" s="1"/>
      <c r="BQ1173" s="1"/>
      <c r="BR1173" s="1"/>
      <c r="BX1173" s="1"/>
      <c r="CD1173" s="1"/>
      <c r="CE1173" s="1"/>
      <c r="CF1173" s="1"/>
      <c r="CM1173" s="2"/>
      <c r="CP1173" s="1"/>
      <c r="CQ1173" s="1"/>
      <c r="CX1173" s="1"/>
      <c r="CY1173" s="1"/>
      <c r="CZ1173" s="1"/>
      <c r="DA1173" s="1"/>
      <c r="DB1173" s="1"/>
      <c r="DC1173" s="1"/>
      <c r="DD1173" s="1"/>
      <c r="DE1173" s="1"/>
      <c r="DF1173" s="1"/>
      <c r="DG1173" s="1"/>
      <c r="DH1173" s="1"/>
      <c r="DI1173" s="1"/>
      <c r="DJ1173" s="1"/>
      <c r="DK1173" s="1"/>
      <c r="ED1173" s="1"/>
      <c r="EK1173" s="1"/>
      <c r="EL1173" s="1"/>
      <c r="EM1173" s="1"/>
      <c r="EN1173" s="1"/>
      <c r="EQ1173" s="1"/>
      <c r="ER1173" s="1"/>
      <c r="ES1173" s="1"/>
      <c r="EV1173" s="1"/>
      <c r="EW1173" s="1"/>
      <c r="EZ1173" s="1"/>
      <c r="GP1173" s="1"/>
      <c r="HH1173" s="1"/>
      <c r="HT1173" s="1"/>
      <c r="HY1173" s="1"/>
      <c r="IE1173" s="1"/>
      <c r="IS1173" s="1"/>
      <c r="IW1173" s="1"/>
      <c r="IY1173" s="1"/>
      <c r="IZ1173" s="1"/>
      <c r="JG1173" s="1"/>
      <c r="JJ1173" s="1"/>
      <c r="JN1173" s="1"/>
      <c r="JP1173" s="1"/>
      <c r="JQ1173" s="1"/>
      <c r="KU1173" s="1"/>
      <c r="KW1173" s="1"/>
      <c r="KY1173" s="1"/>
      <c r="KZ1173" s="1"/>
      <c r="LA1173" s="1"/>
      <c r="LB1173" s="1"/>
      <c r="LC1173" s="1"/>
      <c r="LD1173" s="1"/>
      <c r="LO1173" s="1"/>
      <c r="LP1173" s="1"/>
      <c r="LZ1173" s="1"/>
      <c r="MA1173" s="1"/>
    </row>
    <row r="1174" spans="4:339" ht="13" x14ac:dyDescent="0.15">
      <c r="D1174" s="12"/>
      <c r="E1174" s="12"/>
      <c r="I1174" s="12"/>
      <c r="J1174" s="13"/>
      <c r="BF1174" s="1"/>
      <c r="BG1174" s="1"/>
      <c r="BH1174" s="1"/>
      <c r="BI1174" s="1"/>
      <c r="BK1174" s="1"/>
      <c r="BL1174" s="1"/>
      <c r="BM1174" s="1"/>
      <c r="BN1174" s="1"/>
      <c r="BO1174" s="1"/>
      <c r="BP1174" s="1"/>
      <c r="BQ1174" s="1"/>
      <c r="BR1174" s="1"/>
      <c r="BX1174" s="1"/>
      <c r="CD1174" s="1"/>
      <c r="CE1174" s="1"/>
      <c r="CF1174" s="1"/>
      <c r="CM1174" s="2"/>
      <c r="CP1174" s="1"/>
      <c r="CQ1174" s="1"/>
      <c r="CX1174" s="1"/>
      <c r="CY1174" s="1"/>
      <c r="CZ1174" s="1"/>
      <c r="DA1174" s="1"/>
      <c r="DB1174" s="1"/>
      <c r="DC1174" s="1"/>
      <c r="DD1174" s="1"/>
      <c r="DE1174" s="1"/>
      <c r="DF1174" s="1"/>
      <c r="DG1174" s="1"/>
      <c r="DH1174" s="1"/>
      <c r="DI1174" s="1"/>
      <c r="DJ1174" s="1"/>
      <c r="DK1174" s="1"/>
      <c r="ED1174" s="1"/>
      <c r="EK1174" s="1"/>
      <c r="EL1174" s="1"/>
      <c r="EM1174" s="1"/>
      <c r="EN1174" s="1"/>
      <c r="EQ1174" s="1"/>
      <c r="ER1174" s="1"/>
      <c r="ES1174" s="1"/>
      <c r="EV1174" s="1"/>
      <c r="EW1174" s="1"/>
      <c r="EZ1174" s="1"/>
      <c r="GP1174" s="1"/>
      <c r="HH1174" s="1"/>
      <c r="HT1174" s="1"/>
      <c r="HY1174" s="1"/>
      <c r="IE1174" s="1"/>
      <c r="IS1174" s="1"/>
      <c r="IW1174" s="1"/>
      <c r="IY1174" s="1"/>
      <c r="IZ1174" s="1"/>
      <c r="JG1174" s="1"/>
      <c r="JJ1174" s="1"/>
      <c r="JN1174" s="1"/>
      <c r="JP1174" s="1"/>
      <c r="JQ1174" s="1"/>
      <c r="KU1174" s="1"/>
      <c r="KW1174" s="1"/>
      <c r="KY1174" s="1"/>
      <c r="KZ1174" s="1"/>
      <c r="LA1174" s="1"/>
      <c r="LB1174" s="1"/>
      <c r="LC1174" s="1"/>
      <c r="LD1174" s="1"/>
      <c r="LO1174" s="1"/>
      <c r="LP1174" s="1"/>
      <c r="LZ1174" s="1"/>
      <c r="MA1174" s="1"/>
    </row>
    <row r="1175" spans="4:339" ht="13" x14ac:dyDescent="0.15">
      <c r="D1175" s="12"/>
      <c r="E1175" s="12"/>
      <c r="I1175" s="12"/>
      <c r="J1175" s="13"/>
      <c r="BF1175" s="1"/>
      <c r="BG1175" s="1"/>
      <c r="BH1175" s="1"/>
      <c r="BI1175" s="1"/>
      <c r="BK1175" s="1"/>
      <c r="BL1175" s="1"/>
      <c r="BM1175" s="1"/>
      <c r="BN1175" s="1"/>
      <c r="BO1175" s="1"/>
      <c r="BP1175" s="1"/>
      <c r="BQ1175" s="1"/>
      <c r="BR1175" s="1"/>
      <c r="BX1175" s="1"/>
      <c r="CD1175" s="1"/>
      <c r="CE1175" s="1"/>
      <c r="CF1175" s="1"/>
      <c r="CG1175" s="1"/>
      <c r="CM1175" s="2"/>
      <c r="CP1175" s="1"/>
      <c r="CQ1175" s="1"/>
      <c r="CR1175" s="1"/>
      <c r="CS1175" s="1"/>
      <c r="CT1175" s="1"/>
      <c r="CU1175" s="1"/>
      <c r="CV1175" s="1"/>
      <c r="CW1175" s="1"/>
      <c r="CX1175" s="1"/>
      <c r="CY1175" s="1"/>
      <c r="CZ1175" s="1"/>
      <c r="DA1175" s="1"/>
      <c r="DB1175" s="1"/>
      <c r="DC1175" s="1"/>
      <c r="DD1175" s="1"/>
      <c r="DE1175" s="1"/>
      <c r="DF1175" s="1"/>
      <c r="DG1175" s="1"/>
      <c r="DH1175" s="1"/>
      <c r="DI1175" s="1"/>
      <c r="DJ1175" s="1"/>
      <c r="DK1175" s="1"/>
      <c r="DM1175" s="1"/>
      <c r="DQ1175" s="1"/>
      <c r="DR1175" s="1"/>
      <c r="DY1175" s="1"/>
      <c r="DZ1175" s="1"/>
      <c r="ED1175" s="1"/>
      <c r="EK1175" s="1"/>
      <c r="EL1175" s="1"/>
      <c r="EM1175" s="1"/>
      <c r="EN1175" s="1"/>
      <c r="EQ1175" s="1"/>
      <c r="ER1175" s="1"/>
      <c r="ES1175" s="1"/>
      <c r="EV1175" s="1"/>
      <c r="EW1175" s="1"/>
      <c r="EZ1175" s="1"/>
      <c r="GP1175" s="1"/>
      <c r="HH1175" s="1"/>
      <c r="HN1175" s="1"/>
      <c r="HQ1175" s="1"/>
      <c r="HT1175" s="1"/>
      <c r="HY1175" s="1"/>
      <c r="ID1175" s="1"/>
      <c r="IE1175" s="1"/>
      <c r="IR1175" s="1"/>
      <c r="IS1175" s="1"/>
      <c r="IW1175" s="1"/>
      <c r="IY1175" s="1"/>
      <c r="IZ1175" s="1"/>
      <c r="JA1175" s="1"/>
      <c r="JC1175" s="1"/>
      <c r="JF1175" s="1"/>
      <c r="JH1175" s="1"/>
      <c r="JI1175" s="1"/>
      <c r="JJ1175" s="1"/>
      <c r="JN1175" s="1"/>
      <c r="JP1175" s="1"/>
      <c r="JQ1175" s="1"/>
      <c r="JT1175" s="1"/>
      <c r="KV1175" s="1"/>
      <c r="KY1175" s="1"/>
      <c r="KZ1175" s="1"/>
      <c r="LA1175" s="1"/>
      <c r="LB1175" s="1"/>
      <c r="LC1175" s="1"/>
      <c r="LD1175" s="1"/>
      <c r="LO1175" s="1"/>
      <c r="LP1175" s="1"/>
      <c r="LZ1175" s="1"/>
      <c r="MA1175" s="1"/>
    </row>
    <row r="1176" spans="4:339" ht="13" x14ac:dyDescent="0.15">
      <c r="D1176" s="12"/>
      <c r="E1176" s="12"/>
      <c r="I1176" s="12"/>
      <c r="J1176" s="13"/>
      <c r="BG1176" s="1"/>
      <c r="BH1176" s="1"/>
      <c r="BI1176" s="1"/>
      <c r="BJ1176" s="1"/>
      <c r="BK1176" s="1"/>
      <c r="BL1176" s="1"/>
      <c r="BM1176" s="1"/>
      <c r="BN1176" s="1"/>
      <c r="BP1176" s="1"/>
      <c r="BQ1176" s="1"/>
      <c r="BR1176" s="1"/>
      <c r="BX1176" s="1"/>
      <c r="CD1176" s="1"/>
      <c r="CM1176" s="2"/>
      <c r="CP1176" s="1"/>
      <c r="CQ1176" s="1"/>
      <c r="CR1176" s="1"/>
      <c r="CT1176" s="1"/>
      <c r="CU1176" s="1"/>
      <c r="CV1176" s="1"/>
      <c r="CW1176" s="1"/>
      <c r="CX1176" s="1"/>
      <c r="CY1176" s="1"/>
      <c r="CZ1176" s="1"/>
      <c r="DA1176" s="1"/>
      <c r="DB1176" s="1"/>
      <c r="DC1176" s="1"/>
      <c r="DD1176" s="1"/>
      <c r="DE1176" s="1"/>
      <c r="DF1176" s="1"/>
      <c r="DG1176" s="1"/>
      <c r="DH1176" s="1"/>
      <c r="DI1176" s="1"/>
      <c r="DJ1176" s="1"/>
      <c r="DK1176" s="1"/>
      <c r="ED1176" s="1"/>
      <c r="EK1176" s="1"/>
      <c r="EL1176" s="1"/>
      <c r="EM1176" s="1"/>
      <c r="EN1176" s="1"/>
      <c r="EQ1176" s="1"/>
      <c r="ER1176" s="1"/>
      <c r="ES1176" s="1"/>
      <c r="EV1176" s="1"/>
      <c r="EW1176" s="1"/>
      <c r="EZ1176" s="1"/>
      <c r="GO1176" s="1"/>
      <c r="GP1176" s="1"/>
      <c r="IE1176" s="1"/>
      <c r="IS1176" s="1"/>
      <c r="IZ1176" s="1"/>
      <c r="JH1176" s="1"/>
      <c r="JJ1176" s="1"/>
      <c r="JP1176" s="1"/>
      <c r="JQ1176" s="1"/>
      <c r="KY1176" s="1"/>
      <c r="KZ1176" s="1"/>
      <c r="LA1176" s="1"/>
      <c r="LB1176" s="1"/>
      <c r="LC1176" s="1"/>
      <c r="LD1176" s="1"/>
      <c r="LO1176" s="1"/>
      <c r="LP1176" s="1"/>
      <c r="LY1176" s="1"/>
      <c r="LZ1176" s="1"/>
      <c r="MA1176" s="1"/>
    </row>
    <row r="1177" spans="4:339" ht="13" x14ac:dyDescent="0.15">
      <c r="D1177" s="12"/>
      <c r="E1177" s="12"/>
      <c r="I1177" s="12"/>
      <c r="J1177" s="13"/>
      <c r="BF1177" s="1"/>
      <c r="BG1177" s="1"/>
      <c r="BH1177" s="1"/>
      <c r="BI1177" s="1"/>
      <c r="BK1177" s="1"/>
      <c r="BL1177" s="1"/>
      <c r="BM1177" s="1"/>
      <c r="BN1177" s="1"/>
      <c r="BO1177" s="1"/>
      <c r="BP1177" s="1"/>
      <c r="BQ1177" s="1"/>
      <c r="BR1177" s="1"/>
      <c r="CD1177" s="1"/>
      <c r="CE1177" s="1"/>
      <c r="CF1177" s="1"/>
      <c r="CG1177" s="1"/>
      <c r="CK1177" s="1"/>
      <c r="CM1177" s="2"/>
      <c r="CP1177" s="1"/>
      <c r="CQ1177" s="1"/>
      <c r="CR1177" s="1"/>
      <c r="CS1177" s="1"/>
      <c r="CT1177" s="1"/>
      <c r="CU1177" s="1"/>
      <c r="CV1177" s="1"/>
      <c r="CW1177" s="1"/>
      <c r="CX1177" s="1"/>
      <c r="CY1177" s="1"/>
      <c r="CZ1177" s="1"/>
      <c r="DA1177" s="1"/>
      <c r="DB1177" s="1"/>
      <c r="DC1177" s="1"/>
      <c r="DD1177" s="1"/>
      <c r="DE1177" s="1"/>
      <c r="DF1177" s="1"/>
      <c r="DG1177" s="1"/>
      <c r="DH1177" s="1"/>
      <c r="DI1177" s="1"/>
      <c r="DJ1177" s="1"/>
      <c r="DK1177" s="1"/>
      <c r="DL1177" s="1"/>
      <c r="DM1177" s="1"/>
      <c r="DQ1177" s="1"/>
      <c r="DR1177" s="1"/>
      <c r="DY1177" s="1"/>
      <c r="DZ1177" s="1"/>
      <c r="ED1177" s="1"/>
      <c r="EE1177" s="1"/>
      <c r="EF1177" s="1"/>
      <c r="EG1177" s="1"/>
      <c r="EH1177" s="1"/>
      <c r="EK1177" s="1"/>
      <c r="EL1177" s="1"/>
      <c r="EM1177" s="1"/>
      <c r="EN1177" s="1"/>
      <c r="EQ1177" s="1"/>
      <c r="ER1177" s="1"/>
      <c r="ES1177" s="1"/>
      <c r="EV1177" s="1"/>
      <c r="EW1177" s="1"/>
      <c r="EY1177" s="1"/>
      <c r="EZ1177" s="1"/>
      <c r="GP1177" s="1"/>
      <c r="HT1177" s="1"/>
      <c r="HY1177" s="1"/>
      <c r="IE1177" s="1"/>
      <c r="IG1177" s="1"/>
      <c r="IJ1177" s="1"/>
      <c r="IR1177" s="1"/>
      <c r="IS1177" s="1"/>
      <c r="IX1177" s="1"/>
      <c r="IY1177" s="1"/>
      <c r="IZ1177" s="1"/>
      <c r="JB1177" s="1"/>
      <c r="JF1177" s="1"/>
      <c r="JG1177" s="1"/>
      <c r="JH1177" s="1"/>
      <c r="JJ1177" s="1"/>
      <c r="JK1177" s="1"/>
      <c r="JL1177" s="3"/>
      <c r="JM1177" s="1"/>
      <c r="JN1177" s="1"/>
      <c r="JP1177" s="1"/>
      <c r="JQ1177" s="1"/>
      <c r="JR1177" s="1"/>
      <c r="JV1177" s="1"/>
      <c r="KY1177" s="1"/>
      <c r="KZ1177" s="1"/>
      <c r="LA1177" s="1"/>
      <c r="LB1177" s="1"/>
      <c r="LC1177" s="1"/>
      <c r="LD1177" s="1"/>
      <c r="LG1177" s="1"/>
      <c r="LH1177" s="5"/>
      <c r="LK1177" s="1"/>
      <c r="LL1177" s="1"/>
      <c r="LO1177" s="1"/>
      <c r="LP1177" s="1"/>
      <c r="LZ1177" s="1"/>
      <c r="MA1177" s="1"/>
    </row>
    <row r="1178" spans="4:339" ht="13" x14ac:dyDescent="0.15">
      <c r="D1178" s="12"/>
      <c r="E1178" s="12"/>
      <c r="I1178" s="12"/>
      <c r="J1178" s="13"/>
      <c r="BF1178" s="1"/>
      <c r="BG1178" s="1"/>
      <c r="BH1178" s="1"/>
      <c r="BI1178" s="1"/>
      <c r="BK1178" s="1"/>
      <c r="BL1178" s="1"/>
      <c r="BM1178" s="1"/>
      <c r="BN1178" s="1"/>
      <c r="BO1178" s="1"/>
      <c r="BP1178" s="1"/>
      <c r="BQ1178" s="1"/>
      <c r="BR1178" s="1"/>
      <c r="CD1178" s="1"/>
      <c r="CE1178" s="1"/>
      <c r="CF1178" s="1"/>
      <c r="CG1178" s="1"/>
      <c r="CK1178" s="1"/>
      <c r="CM1178" s="2"/>
      <c r="CP1178" s="1"/>
      <c r="CQ1178" s="1"/>
      <c r="CR1178" s="1"/>
      <c r="CS1178" s="1"/>
      <c r="CT1178" s="1"/>
      <c r="CU1178" s="1"/>
      <c r="CV1178" s="1"/>
      <c r="CW1178" s="1"/>
      <c r="CX1178" s="1"/>
      <c r="CY1178" s="1"/>
      <c r="CZ1178" s="1"/>
      <c r="DA1178" s="1"/>
      <c r="DB1178" s="1"/>
      <c r="DC1178" s="1"/>
      <c r="DD1178" s="1"/>
      <c r="DE1178" s="1"/>
      <c r="DF1178" s="1"/>
      <c r="DG1178" s="1"/>
      <c r="DH1178" s="1"/>
      <c r="DI1178" s="1"/>
      <c r="DJ1178" s="1"/>
      <c r="DK1178" s="1"/>
      <c r="DL1178" s="1"/>
      <c r="DM1178" s="1"/>
      <c r="DQ1178" s="1"/>
      <c r="DR1178" s="1"/>
      <c r="DY1178" s="1"/>
      <c r="DZ1178" s="1"/>
      <c r="ED1178" s="1"/>
      <c r="EE1178" s="1"/>
      <c r="EF1178" s="1"/>
      <c r="EG1178" s="1"/>
      <c r="EH1178" s="1"/>
      <c r="EK1178" s="1"/>
      <c r="EL1178" s="1"/>
      <c r="EM1178" s="1"/>
      <c r="EN1178" s="1"/>
      <c r="EQ1178" s="1"/>
      <c r="ER1178" s="1"/>
      <c r="ES1178" s="1"/>
      <c r="EV1178" s="1"/>
      <c r="EW1178" s="1"/>
      <c r="EY1178" s="1"/>
      <c r="EZ1178" s="1"/>
      <c r="GP1178" s="1"/>
      <c r="HT1178" s="1"/>
      <c r="HY1178" s="1"/>
      <c r="IE1178" s="1"/>
      <c r="IG1178" s="1"/>
      <c r="IJ1178" s="1"/>
      <c r="IR1178" s="1"/>
      <c r="IS1178" s="1"/>
      <c r="IX1178" s="1"/>
      <c r="IY1178" s="1"/>
      <c r="IZ1178" s="1"/>
      <c r="JB1178" s="1"/>
      <c r="JF1178" s="1"/>
      <c r="JG1178" s="1"/>
      <c r="JH1178" s="1"/>
      <c r="JJ1178" s="1"/>
      <c r="JK1178" s="1"/>
      <c r="JL1178" s="3"/>
      <c r="JM1178" s="1"/>
      <c r="JN1178" s="1"/>
      <c r="JP1178" s="1"/>
      <c r="JQ1178" s="1"/>
      <c r="JR1178" s="1"/>
      <c r="JV1178" s="1"/>
      <c r="KY1178" s="1"/>
      <c r="KZ1178" s="1"/>
      <c r="LA1178" s="1"/>
      <c r="LB1178" s="1"/>
      <c r="LC1178" s="1"/>
      <c r="LD1178" s="1"/>
      <c r="LG1178" s="1"/>
      <c r="LH1178" s="5"/>
      <c r="LK1178" s="1"/>
      <c r="LL1178" s="1"/>
      <c r="LO1178" s="1"/>
      <c r="LP1178" s="1"/>
      <c r="LZ1178" s="1"/>
      <c r="MA1178" s="1"/>
    </row>
    <row r="1179" spans="4:339" ht="13" x14ac:dyDescent="0.15">
      <c r="D1179" s="12"/>
      <c r="E1179" s="12"/>
      <c r="I1179" s="12"/>
      <c r="J1179" s="13"/>
      <c r="BF1179" s="1"/>
      <c r="BG1179" s="1"/>
      <c r="BH1179" s="1"/>
      <c r="BI1179" s="1"/>
      <c r="BK1179" s="1"/>
      <c r="BL1179" s="1"/>
      <c r="BM1179" s="1"/>
      <c r="BN1179" s="1"/>
      <c r="BO1179" s="1"/>
      <c r="BP1179" s="1"/>
      <c r="BQ1179" s="1"/>
      <c r="BR1179" s="1"/>
      <c r="CD1179" s="1"/>
      <c r="CE1179" s="1"/>
      <c r="CF1179" s="1"/>
      <c r="CG1179" s="1"/>
      <c r="CK1179" s="1"/>
      <c r="CM1179" s="2"/>
      <c r="CP1179" s="1"/>
      <c r="CQ1179" s="1"/>
      <c r="CR1179" s="1"/>
      <c r="CS1179" s="1"/>
      <c r="CT1179" s="1"/>
      <c r="CU1179" s="1"/>
      <c r="CV1179" s="1"/>
      <c r="CW1179" s="1"/>
      <c r="CX1179" s="1"/>
      <c r="CY1179" s="1"/>
      <c r="CZ1179" s="1"/>
      <c r="DA1179" s="1"/>
      <c r="DB1179" s="1"/>
      <c r="DC1179" s="1"/>
      <c r="DD1179" s="1"/>
      <c r="DE1179" s="1"/>
      <c r="DF1179" s="1"/>
      <c r="DG1179" s="1"/>
      <c r="DH1179" s="1"/>
      <c r="DI1179" s="1"/>
      <c r="DJ1179" s="1"/>
      <c r="DK1179" s="1"/>
      <c r="DL1179" s="1"/>
      <c r="DM1179" s="1"/>
      <c r="DQ1179" s="1"/>
      <c r="DR1179" s="1"/>
      <c r="DY1179" s="1"/>
      <c r="DZ1179" s="1"/>
      <c r="ED1179" s="1"/>
      <c r="EE1179" s="1"/>
      <c r="EF1179" s="1"/>
      <c r="EG1179" s="1"/>
      <c r="EH1179" s="1"/>
      <c r="EK1179" s="1"/>
      <c r="EL1179" s="1"/>
      <c r="EM1179" s="1"/>
      <c r="EN1179" s="1"/>
      <c r="EQ1179" s="1"/>
      <c r="ER1179" s="1"/>
      <c r="ES1179" s="1"/>
      <c r="EV1179" s="1"/>
      <c r="EW1179" s="1"/>
      <c r="EY1179" s="1"/>
      <c r="EZ1179" s="1"/>
      <c r="GP1179" s="1"/>
      <c r="HT1179" s="1"/>
      <c r="HY1179" s="1"/>
      <c r="IE1179" s="1"/>
      <c r="IG1179" s="1"/>
      <c r="IJ1179" s="1"/>
      <c r="IR1179" s="1"/>
      <c r="IS1179" s="1"/>
      <c r="IX1179" s="1"/>
      <c r="IY1179" s="1"/>
      <c r="IZ1179" s="1"/>
      <c r="JB1179" s="1"/>
      <c r="JF1179" s="1"/>
      <c r="JG1179" s="1"/>
      <c r="JH1179" s="1"/>
      <c r="JJ1179" s="1"/>
      <c r="JK1179" s="1"/>
      <c r="JL1179" s="3"/>
      <c r="JM1179" s="1"/>
      <c r="JN1179" s="1"/>
      <c r="JP1179" s="1"/>
      <c r="JQ1179" s="1"/>
      <c r="JR1179" s="1"/>
      <c r="JV1179" s="1"/>
      <c r="KY1179" s="1"/>
      <c r="KZ1179" s="1"/>
      <c r="LA1179" s="1"/>
      <c r="LB1179" s="1"/>
      <c r="LC1179" s="1"/>
      <c r="LD1179" s="1"/>
      <c r="LG1179" s="1"/>
      <c r="LH1179" s="5"/>
      <c r="LK1179" s="1"/>
      <c r="LL1179" s="1"/>
      <c r="LO1179" s="1"/>
      <c r="LP1179" s="1"/>
      <c r="LZ1179" s="1"/>
      <c r="MA1179" s="1"/>
    </row>
    <row r="1180" spans="4:339" ht="13" x14ac:dyDescent="0.15">
      <c r="D1180" s="12"/>
      <c r="E1180" s="12"/>
      <c r="I1180" s="12"/>
      <c r="J1180" s="13"/>
      <c r="BF1180" s="1"/>
      <c r="BG1180" s="1"/>
      <c r="BH1180" s="1"/>
      <c r="BI1180" s="1"/>
      <c r="BK1180" s="1"/>
      <c r="BL1180" s="1"/>
      <c r="BM1180" s="1"/>
      <c r="BN1180" s="1"/>
      <c r="BO1180" s="1"/>
      <c r="BP1180" s="1"/>
      <c r="BQ1180" s="1"/>
      <c r="BR1180" s="1"/>
      <c r="CD1180" s="1"/>
      <c r="CE1180" s="1"/>
      <c r="CF1180" s="1"/>
      <c r="CG1180" s="1"/>
      <c r="CK1180" s="1"/>
      <c r="CM1180" s="2"/>
      <c r="CP1180" s="1"/>
      <c r="CQ1180" s="1"/>
      <c r="CR1180" s="1"/>
      <c r="CS1180" s="1"/>
      <c r="CT1180" s="1"/>
      <c r="CU1180" s="1"/>
      <c r="CV1180" s="1"/>
      <c r="CW1180" s="1"/>
      <c r="CX1180" s="1"/>
      <c r="CY1180" s="1"/>
      <c r="CZ1180" s="1"/>
      <c r="DA1180" s="1"/>
      <c r="DB1180" s="1"/>
      <c r="DC1180" s="1"/>
      <c r="DD1180" s="1"/>
      <c r="DE1180" s="1"/>
      <c r="DF1180" s="1"/>
      <c r="DG1180" s="1"/>
      <c r="DH1180" s="1"/>
      <c r="DI1180" s="1"/>
      <c r="DJ1180" s="1"/>
      <c r="DK1180" s="1"/>
      <c r="DL1180" s="1"/>
      <c r="DM1180" s="1"/>
      <c r="DQ1180" s="1"/>
      <c r="DR1180" s="1"/>
      <c r="DY1180" s="1"/>
      <c r="DZ1180" s="1"/>
      <c r="ED1180" s="1"/>
      <c r="EE1180" s="1"/>
      <c r="EF1180" s="1"/>
      <c r="EG1180" s="1"/>
      <c r="EH1180" s="1"/>
      <c r="EK1180" s="1"/>
      <c r="EL1180" s="1"/>
      <c r="EM1180" s="1"/>
      <c r="EN1180" s="1"/>
      <c r="EQ1180" s="1"/>
      <c r="ER1180" s="1"/>
      <c r="ES1180" s="1"/>
      <c r="EV1180" s="1"/>
      <c r="EW1180" s="1"/>
      <c r="EY1180" s="1"/>
      <c r="EZ1180" s="1"/>
      <c r="GP1180" s="1"/>
      <c r="HT1180" s="1"/>
      <c r="HY1180" s="1"/>
      <c r="IE1180" s="1"/>
      <c r="IG1180" s="1"/>
      <c r="IJ1180" s="1"/>
      <c r="IR1180" s="1"/>
      <c r="IS1180" s="1"/>
      <c r="IX1180" s="1"/>
      <c r="IY1180" s="1"/>
      <c r="IZ1180" s="1"/>
      <c r="JB1180" s="1"/>
      <c r="JF1180" s="1"/>
      <c r="JG1180" s="1"/>
      <c r="JH1180" s="1"/>
      <c r="JJ1180" s="1"/>
      <c r="JK1180" s="1"/>
      <c r="JL1180" s="3"/>
      <c r="JM1180" s="1"/>
      <c r="JN1180" s="1"/>
      <c r="JP1180" s="1"/>
      <c r="JQ1180" s="1"/>
      <c r="JR1180" s="1"/>
      <c r="JV1180" s="1"/>
      <c r="KY1180" s="1"/>
      <c r="KZ1180" s="1"/>
      <c r="LA1180" s="1"/>
      <c r="LB1180" s="1"/>
      <c r="LC1180" s="1"/>
      <c r="LD1180" s="1"/>
      <c r="LG1180" s="1"/>
      <c r="LH1180" s="5"/>
      <c r="LK1180" s="1"/>
      <c r="LL1180" s="1"/>
      <c r="LO1180" s="1"/>
      <c r="LP1180" s="1"/>
      <c r="LZ1180" s="1"/>
      <c r="MA1180" s="1"/>
    </row>
    <row r="1181" spans="4:339" ht="13" x14ac:dyDescent="0.15">
      <c r="D1181" s="12"/>
      <c r="E1181" s="12"/>
      <c r="I1181" s="12"/>
      <c r="J1181" s="13"/>
      <c r="BF1181" s="1"/>
      <c r="BG1181" s="1"/>
      <c r="BH1181" s="1"/>
      <c r="BI1181" s="1"/>
      <c r="BK1181" s="1"/>
      <c r="BL1181" s="1"/>
      <c r="BM1181" s="1"/>
      <c r="BN1181" s="1"/>
      <c r="BO1181" s="1"/>
      <c r="BP1181" s="1"/>
      <c r="BQ1181" s="1"/>
      <c r="BR1181" s="1"/>
      <c r="CD1181" s="1"/>
      <c r="CE1181" s="1"/>
      <c r="CF1181" s="1"/>
      <c r="CG1181" s="1"/>
      <c r="CK1181" s="1"/>
      <c r="CM1181" s="2"/>
      <c r="CP1181" s="1"/>
      <c r="CQ1181" s="1"/>
      <c r="CR1181" s="1"/>
      <c r="CS1181" s="1"/>
      <c r="CT1181" s="1"/>
      <c r="CU1181" s="1"/>
      <c r="CV1181" s="1"/>
      <c r="CW1181" s="1"/>
      <c r="CX1181" s="1"/>
      <c r="CY1181" s="1"/>
      <c r="CZ1181" s="1"/>
      <c r="DA1181" s="1"/>
      <c r="DB1181" s="1"/>
      <c r="DC1181" s="1"/>
      <c r="DD1181" s="1"/>
      <c r="DE1181" s="1"/>
      <c r="DF1181" s="1"/>
      <c r="DG1181" s="1"/>
      <c r="DH1181" s="1"/>
      <c r="DI1181" s="1"/>
      <c r="DJ1181" s="1"/>
      <c r="DK1181" s="1"/>
      <c r="DL1181" s="1"/>
      <c r="DM1181" s="1"/>
      <c r="DQ1181" s="1"/>
      <c r="DR1181" s="1"/>
      <c r="DY1181" s="1"/>
      <c r="DZ1181" s="1"/>
      <c r="ED1181" s="1"/>
      <c r="EE1181" s="1"/>
      <c r="EF1181" s="1"/>
      <c r="EG1181" s="1"/>
      <c r="EH1181" s="1"/>
      <c r="EK1181" s="1"/>
      <c r="EL1181" s="1"/>
      <c r="EM1181" s="1"/>
      <c r="EN1181" s="1"/>
      <c r="EQ1181" s="1"/>
      <c r="ER1181" s="1"/>
      <c r="ES1181" s="1"/>
      <c r="EV1181" s="1"/>
      <c r="EW1181" s="1"/>
      <c r="EY1181" s="1"/>
      <c r="EZ1181" s="1"/>
      <c r="GP1181" s="1"/>
      <c r="HT1181" s="1"/>
      <c r="HY1181" s="1"/>
      <c r="IE1181" s="1"/>
      <c r="IG1181" s="1"/>
      <c r="IJ1181" s="1"/>
      <c r="IR1181" s="1"/>
      <c r="IS1181" s="1"/>
      <c r="IX1181" s="1"/>
      <c r="IY1181" s="1"/>
      <c r="IZ1181" s="1"/>
      <c r="JB1181" s="1"/>
      <c r="JF1181" s="1"/>
      <c r="JG1181" s="1"/>
      <c r="JH1181" s="1"/>
      <c r="JJ1181" s="1"/>
      <c r="JK1181" s="1"/>
      <c r="JL1181" s="3"/>
      <c r="JM1181" s="1"/>
      <c r="JN1181" s="1"/>
      <c r="JP1181" s="1"/>
      <c r="JQ1181" s="1"/>
      <c r="JR1181" s="1"/>
      <c r="JV1181" s="1"/>
      <c r="KY1181" s="1"/>
      <c r="KZ1181" s="1"/>
      <c r="LA1181" s="1"/>
      <c r="LB1181" s="1"/>
      <c r="LC1181" s="1"/>
      <c r="LD1181" s="1"/>
      <c r="LG1181" s="1"/>
      <c r="LH1181" s="5"/>
      <c r="LK1181" s="1"/>
      <c r="LL1181" s="1"/>
      <c r="LO1181" s="1"/>
      <c r="LP1181" s="1"/>
      <c r="LZ1181" s="1"/>
      <c r="MA1181" s="1"/>
    </row>
    <row r="1182" spans="4:339" ht="13" x14ac:dyDescent="0.15">
      <c r="D1182" s="12"/>
      <c r="E1182" s="12"/>
      <c r="I1182" s="12"/>
      <c r="J1182" s="13"/>
      <c r="BF1182" s="1"/>
      <c r="BG1182" s="1"/>
      <c r="BH1182" s="1"/>
      <c r="BI1182" s="1"/>
      <c r="BK1182" s="1"/>
      <c r="BL1182" s="1"/>
      <c r="BM1182" s="1"/>
      <c r="BN1182" s="1"/>
      <c r="BO1182" s="1"/>
      <c r="BP1182" s="1"/>
      <c r="BQ1182" s="1"/>
      <c r="BR1182" s="1"/>
      <c r="CD1182" s="1"/>
      <c r="CE1182" s="1"/>
      <c r="CF1182" s="1"/>
      <c r="CG1182" s="1"/>
      <c r="CM1182" s="2"/>
      <c r="CP1182" s="1"/>
      <c r="CQ1182" s="1"/>
      <c r="CS1182" s="1"/>
      <c r="CV1182" s="1"/>
      <c r="CW1182" s="1"/>
      <c r="CX1182" s="1"/>
      <c r="CY1182" s="1"/>
      <c r="CZ1182" s="1"/>
      <c r="DA1182" s="1"/>
      <c r="DB1182" s="1"/>
      <c r="DC1182" s="1"/>
      <c r="DD1182" s="1"/>
      <c r="DE1182" s="1"/>
      <c r="DF1182" s="1"/>
      <c r="DG1182" s="1"/>
      <c r="DH1182" s="1"/>
      <c r="DI1182" s="1"/>
      <c r="DJ1182" s="1"/>
      <c r="DK1182" s="1"/>
      <c r="DM1182" s="1"/>
      <c r="DQ1182" s="1"/>
      <c r="DR1182" s="1"/>
      <c r="DY1182" s="1"/>
      <c r="DZ1182" s="1"/>
      <c r="ED1182" s="1"/>
      <c r="EF1182" s="1"/>
      <c r="EK1182" s="1"/>
      <c r="EL1182" s="1"/>
      <c r="EM1182" s="1"/>
      <c r="EN1182" s="1"/>
      <c r="EQ1182" s="1"/>
      <c r="ER1182" s="1"/>
      <c r="ES1182" s="1"/>
      <c r="EV1182" s="1"/>
      <c r="EW1182" s="1"/>
      <c r="EZ1182" s="1"/>
      <c r="FE1182" s="1"/>
      <c r="FF1182" s="1"/>
      <c r="FJ1182" s="1"/>
      <c r="FS1182" s="1"/>
      <c r="GP1182" s="1"/>
      <c r="HH1182" s="1"/>
      <c r="HY1182" s="1"/>
      <c r="IC1182" s="1"/>
      <c r="IE1182" s="1"/>
      <c r="IG1182" s="1"/>
      <c r="IJ1182" s="1"/>
      <c r="IR1182" s="1"/>
      <c r="IS1182" s="1"/>
      <c r="IW1182" s="1"/>
      <c r="IX1182" s="1"/>
      <c r="IZ1182" s="1"/>
      <c r="JA1182" s="1"/>
      <c r="JF1182" s="1"/>
      <c r="JG1182" s="1"/>
      <c r="JH1182" s="1"/>
      <c r="JJ1182" s="1"/>
      <c r="JK1182" s="1"/>
      <c r="JL1182" s="6"/>
      <c r="JM1182" s="1"/>
      <c r="JN1182" s="1"/>
      <c r="JP1182" s="1"/>
      <c r="JQ1182" s="1"/>
      <c r="JR1182" s="1"/>
      <c r="KV1182" s="1"/>
      <c r="KY1182" s="1"/>
      <c r="KZ1182" s="1"/>
      <c r="LA1182" s="1"/>
      <c r="LB1182" s="1"/>
      <c r="LC1182" s="1"/>
      <c r="LD1182" s="1"/>
      <c r="LF1182" s="1"/>
      <c r="LN1182" s="1"/>
      <c r="LO1182" s="1"/>
      <c r="LP1182" s="1"/>
      <c r="LZ1182" s="1"/>
      <c r="MA1182" s="1"/>
    </row>
    <row r="1183" spans="4:339" ht="13" x14ac:dyDescent="0.15">
      <c r="D1183" s="12"/>
      <c r="E1183" s="12"/>
      <c r="I1183" s="12"/>
      <c r="J1183" s="13"/>
      <c r="BF1183" s="1"/>
      <c r="BG1183" s="1"/>
      <c r="BH1183" s="1"/>
      <c r="BI1183" s="1"/>
      <c r="BJ1183" s="1"/>
      <c r="BK1183" s="1"/>
      <c r="BL1183" s="1"/>
      <c r="BM1183" s="1"/>
      <c r="BN1183" s="1"/>
      <c r="BO1183" s="1"/>
      <c r="BP1183" s="1"/>
      <c r="BQ1183" s="1"/>
      <c r="BR1183" s="1"/>
      <c r="BX1183" s="1"/>
      <c r="CC1183" s="1"/>
      <c r="CD1183" s="1"/>
      <c r="CE1183" s="1"/>
      <c r="CF1183" s="1"/>
      <c r="CG1183" s="1"/>
      <c r="CM1183" s="2"/>
      <c r="CP1183" s="1"/>
      <c r="CQ1183" s="1"/>
      <c r="CV1183" s="1"/>
      <c r="CW1183" s="1"/>
      <c r="CX1183" s="1"/>
      <c r="CY1183" s="1"/>
      <c r="CZ1183" s="1"/>
      <c r="DA1183" s="1"/>
      <c r="DB1183" s="1"/>
      <c r="DC1183" s="1"/>
      <c r="DD1183" s="1"/>
      <c r="DE1183" s="1"/>
      <c r="DF1183" s="1"/>
      <c r="DG1183" s="1"/>
      <c r="DH1183" s="1"/>
      <c r="DI1183" s="1"/>
      <c r="DJ1183" s="1"/>
      <c r="DK1183" s="1"/>
      <c r="DM1183" s="1"/>
      <c r="DQ1183" s="1"/>
      <c r="DR1183" s="1"/>
      <c r="DY1183" s="1"/>
      <c r="DZ1183" s="1"/>
      <c r="ED1183" s="1"/>
      <c r="EK1183" s="1"/>
      <c r="EL1183" s="1"/>
      <c r="EM1183" s="1"/>
      <c r="EN1183" s="1"/>
      <c r="EQ1183" s="1"/>
      <c r="ER1183" s="1"/>
      <c r="ES1183" s="1"/>
      <c r="EV1183" s="1"/>
      <c r="EW1183" s="1"/>
      <c r="EZ1183" s="1"/>
      <c r="GO1183" s="1"/>
      <c r="GP1183" s="1"/>
      <c r="HH1183" s="1"/>
      <c r="HT1183" s="1"/>
      <c r="HY1183" s="1"/>
      <c r="IE1183" s="1"/>
      <c r="IK1183" s="1"/>
      <c r="IR1183" s="1"/>
      <c r="IS1183" s="1"/>
      <c r="IW1183" s="1"/>
      <c r="IZ1183" s="1"/>
      <c r="JA1183" s="1"/>
      <c r="JC1183" s="1"/>
      <c r="JF1183" s="1"/>
      <c r="JG1183" s="1"/>
      <c r="JH1183" s="1"/>
      <c r="JJ1183" s="1"/>
      <c r="JN1183" s="1"/>
      <c r="JP1183" s="1"/>
      <c r="JQ1183" s="1"/>
      <c r="JW1183" s="1"/>
      <c r="KS1183" s="1"/>
      <c r="KT1183" s="1"/>
      <c r="KW1183" s="1"/>
      <c r="KY1183" s="1"/>
      <c r="KZ1183" s="1"/>
      <c r="LA1183" s="1"/>
      <c r="LB1183" s="1"/>
      <c r="LC1183" s="1"/>
      <c r="LD1183" s="1"/>
      <c r="LO1183" s="1"/>
      <c r="LP1183" s="1"/>
      <c r="LZ1183" s="1"/>
      <c r="MA1183" s="1"/>
    </row>
    <row r="1184" spans="4:339" ht="13" x14ac:dyDescent="0.15">
      <c r="D1184" s="12"/>
      <c r="E1184" s="12"/>
      <c r="I1184" s="12"/>
      <c r="J1184" s="13"/>
      <c r="BF1184" s="1"/>
      <c r="BG1184" s="1"/>
      <c r="BH1184" s="1"/>
      <c r="BI1184" s="1"/>
      <c r="BJ1184" s="1"/>
      <c r="BK1184" s="1"/>
      <c r="BL1184" s="1"/>
      <c r="BM1184" s="1"/>
      <c r="BN1184" s="1"/>
      <c r="BO1184" s="1"/>
      <c r="BP1184" s="1"/>
      <c r="BQ1184" s="1"/>
      <c r="BR1184" s="1"/>
      <c r="BX1184" s="1"/>
      <c r="CC1184" s="1"/>
      <c r="CD1184" s="1"/>
      <c r="CE1184" s="1"/>
      <c r="CF1184" s="1"/>
      <c r="CG1184" s="1"/>
      <c r="CM1184" s="2"/>
      <c r="CP1184" s="1"/>
      <c r="CQ1184" s="1"/>
      <c r="CV1184" s="1"/>
      <c r="CW1184" s="1"/>
      <c r="CX1184" s="1"/>
      <c r="CY1184" s="1"/>
      <c r="CZ1184" s="1"/>
      <c r="DA1184" s="1"/>
      <c r="DB1184" s="1"/>
      <c r="DC1184" s="1"/>
      <c r="DD1184" s="1"/>
      <c r="DE1184" s="1"/>
      <c r="DF1184" s="1"/>
      <c r="DG1184" s="1"/>
      <c r="DH1184" s="1"/>
      <c r="DI1184" s="1"/>
      <c r="DJ1184" s="1"/>
      <c r="DK1184" s="1"/>
      <c r="DM1184" s="1"/>
      <c r="DQ1184" s="1"/>
      <c r="DR1184" s="1"/>
      <c r="DY1184" s="1"/>
      <c r="DZ1184" s="1"/>
      <c r="ED1184" s="1"/>
      <c r="EK1184" s="1"/>
      <c r="EL1184" s="1"/>
      <c r="EM1184" s="1"/>
      <c r="EN1184" s="1"/>
      <c r="EQ1184" s="1"/>
      <c r="ER1184" s="1"/>
      <c r="ES1184" s="1"/>
      <c r="EV1184" s="1"/>
      <c r="EW1184" s="1"/>
      <c r="EZ1184" s="1"/>
      <c r="GO1184" s="1"/>
      <c r="GP1184" s="1"/>
      <c r="HH1184" s="1"/>
      <c r="HT1184" s="1"/>
      <c r="HY1184" s="1"/>
      <c r="IE1184" s="1"/>
      <c r="IK1184" s="1"/>
      <c r="IR1184" s="1"/>
      <c r="IS1184" s="1"/>
      <c r="IW1184" s="1"/>
      <c r="IZ1184" s="1"/>
      <c r="JA1184" s="1"/>
      <c r="JC1184" s="1"/>
      <c r="JF1184" s="1"/>
      <c r="JG1184" s="1"/>
      <c r="JH1184" s="1"/>
      <c r="JJ1184" s="1"/>
      <c r="JN1184" s="1"/>
      <c r="JP1184" s="1"/>
      <c r="JQ1184" s="1"/>
      <c r="JW1184" s="1"/>
      <c r="KS1184" s="1"/>
      <c r="KT1184" s="1"/>
      <c r="KW1184" s="1"/>
      <c r="KY1184" s="1"/>
      <c r="KZ1184" s="1"/>
      <c r="LA1184" s="1"/>
      <c r="LB1184" s="1"/>
      <c r="LC1184" s="1"/>
      <c r="LD1184" s="1"/>
      <c r="LO1184" s="1"/>
      <c r="LP1184" s="1"/>
      <c r="LZ1184" s="1"/>
      <c r="MA1184" s="1"/>
    </row>
    <row r="1185" spans="4:339" ht="13" x14ac:dyDescent="0.15">
      <c r="D1185" s="12"/>
      <c r="E1185" s="12"/>
      <c r="I1185" s="12"/>
      <c r="J1185" s="13"/>
      <c r="BF1185" s="1"/>
      <c r="BG1185" s="1"/>
      <c r="BH1185" s="1"/>
      <c r="BI1185" s="1"/>
      <c r="BJ1185" s="1"/>
      <c r="BK1185" s="1"/>
      <c r="BL1185" s="1"/>
      <c r="BM1185" s="1"/>
      <c r="BN1185" s="1"/>
      <c r="BO1185" s="1"/>
      <c r="BP1185" s="1"/>
      <c r="BQ1185" s="1"/>
      <c r="BR1185" s="1"/>
      <c r="BX1185" s="1"/>
      <c r="CC1185" s="1"/>
      <c r="CD1185" s="1"/>
      <c r="CE1185" s="1"/>
      <c r="CF1185" s="1"/>
      <c r="CG1185" s="1"/>
      <c r="CM1185" s="2"/>
      <c r="CP1185" s="1"/>
      <c r="CQ1185" s="1"/>
      <c r="CV1185" s="1"/>
      <c r="CW1185" s="1"/>
      <c r="CX1185" s="1"/>
      <c r="CY1185" s="1"/>
      <c r="CZ1185" s="1"/>
      <c r="DA1185" s="1"/>
      <c r="DB1185" s="1"/>
      <c r="DC1185" s="1"/>
      <c r="DD1185" s="1"/>
      <c r="DE1185" s="1"/>
      <c r="DF1185" s="1"/>
      <c r="DG1185" s="1"/>
      <c r="DH1185" s="1"/>
      <c r="DI1185" s="1"/>
      <c r="DJ1185" s="1"/>
      <c r="DK1185" s="1"/>
      <c r="DM1185" s="1"/>
      <c r="DQ1185" s="1"/>
      <c r="DR1185" s="1"/>
      <c r="DY1185" s="1"/>
      <c r="DZ1185" s="1"/>
      <c r="ED1185" s="1"/>
      <c r="EK1185" s="1"/>
      <c r="EL1185" s="1"/>
      <c r="EM1185" s="1"/>
      <c r="EN1185" s="1"/>
      <c r="EQ1185" s="1"/>
      <c r="ER1185" s="1"/>
      <c r="ES1185" s="1"/>
      <c r="EV1185" s="1"/>
      <c r="EW1185" s="1"/>
      <c r="EZ1185" s="1"/>
      <c r="GO1185" s="1"/>
      <c r="GP1185" s="1"/>
      <c r="HH1185" s="1"/>
      <c r="HT1185" s="1"/>
      <c r="HY1185" s="1"/>
      <c r="IE1185" s="1"/>
      <c r="IK1185" s="1"/>
      <c r="IR1185" s="1"/>
      <c r="IS1185" s="1"/>
      <c r="IW1185" s="1"/>
      <c r="IZ1185" s="1"/>
      <c r="JA1185" s="1"/>
      <c r="JC1185" s="1"/>
      <c r="JF1185" s="1"/>
      <c r="JG1185" s="1"/>
      <c r="JH1185" s="1"/>
      <c r="JJ1185" s="1"/>
      <c r="JN1185" s="1"/>
      <c r="JP1185" s="1"/>
      <c r="JQ1185" s="1"/>
      <c r="JW1185" s="1"/>
      <c r="KS1185" s="1"/>
      <c r="KT1185" s="1"/>
      <c r="KW1185" s="1"/>
      <c r="KY1185" s="1"/>
      <c r="KZ1185" s="1"/>
      <c r="LA1185" s="1"/>
      <c r="LB1185" s="1"/>
      <c r="LC1185" s="1"/>
      <c r="LD1185" s="1"/>
      <c r="LO1185" s="1"/>
      <c r="LP1185" s="1"/>
      <c r="LZ1185" s="1"/>
      <c r="MA1185" s="1"/>
    </row>
    <row r="1186" spans="4:339" ht="13" x14ac:dyDescent="0.15">
      <c r="D1186" s="12"/>
      <c r="E1186" s="12"/>
      <c r="I1186" s="12"/>
      <c r="J1186" s="13"/>
      <c r="BG1186" s="1"/>
      <c r="BH1186" s="1"/>
      <c r="BI1186" s="1"/>
      <c r="BJ1186" s="1"/>
      <c r="BK1186" s="1"/>
      <c r="BL1186" s="1"/>
      <c r="BM1186" s="1"/>
      <c r="BN1186" s="1"/>
      <c r="BO1186" s="1"/>
      <c r="BP1186" s="1"/>
      <c r="BQ1186" s="1"/>
      <c r="BR1186" s="1"/>
      <c r="BX1186" s="1"/>
      <c r="CC1186" s="1"/>
      <c r="CD1186" s="1"/>
      <c r="CE1186" s="1"/>
      <c r="CF1186" s="1"/>
      <c r="CG1186" s="1"/>
      <c r="CM1186" s="2"/>
      <c r="CP1186" s="1"/>
      <c r="CQ1186" s="1"/>
      <c r="CX1186" s="1"/>
      <c r="CY1186" s="1"/>
      <c r="CZ1186" s="1"/>
      <c r="DA1186" s="1"/>
      <c r="DB1186" s="1"/>
      <c r="DC1186" s="1"/>
      <c r="DD1186" s="1"/>
      <c r="DE1186" s="1"/>
      <c r="DF1186" s="1"/>
      <c r="DG1186" s="1"/>
      <c r="DH1186" s="1"/>
      <c r="DI1186" s="1"/>
      <c r="DJ1186" s="1"/>
      <c r="DK1186" s="1"/>
      <c r="DM1186" s="1"/>
      <c r="DQ1186" s="1"/>
      <c r="DR1186" s="1"/>
      <c r="DY1186" s="1"/>
      <c r="DZ1186" s="1"/>
      <c r="ED1186" s="1"/>
      <c r="EK1186" s="1"/>
      <c r="EL1186" s="1"/>
      <c r="EM1186" s="1"/>
      <c r="EN1186" s="1"/>
      <c r="EQ1186" s="1"/>
      <c r="ER1186" s="1"/>
      <c r="ES1186" s="1"/>
      <c r="EV1186" s="1"/>
      <c r="EW1186" s="1"/>
      <c r="EZ1186" s="1"/>
      <c r="GP1186" s="1"/>
      <c r="HH1186" s="1"/>
      <c r="HY1186" s="1"/>
      <c r="IE1186" s="1"/>
      <c r="IR1186" s="1"/>
      <c r="IS1186" s="1"/>
      <c r="IZ1186" s="1"/>
      <c r="JC1186" s="1"/>
      <c r="JF1186" s="1"/>
      <c r="JG1186" s="1"/>
      <c r="JH1186" s="1"/>
      <c r="JJ1186" s="1"/>
      <c r="JP1186" s="1"/>
      <c r="JQ1186" s="1"/>
      <c r="JW1186" s="1"/>
      <c r="KS1186" s="1"/>
      <c r="KT1186" s="1"/>
      <c r="KU1186" s="1"/>
      <c r="KY1186" s="1"/>
      <c r="KZ1186" s="1"/>
      <c r="LA1186" s="1"/>
      <c r="LB1186" s="1"/>
      <c r="LC1186" s="1"/>
      <c r="LD1186" s="1"/>
      <c r="LO1186" s="1"/>
      <c r="LP1186" s="1"/>
      <c r="LZ1186" s="1"/>
      <c r="MA1186" s="1"/>
    </row>
    <row r="1187" spans="4:339" ht="13" x14ac:dyDescent="0.15">
      <c r="D1187" s="12"/>
      <c r="E1187" s="12"/>
      <c r="I1187" s="12"/>
      <c r="J1187" s="13"/>
      <c r="BG1187" s="1"/>
      <c r="BH1187" s="1"/>
      <c r="BI1187" s="1"/>
      <c r="BJ1187" s="1"/>
      <c r="BK1187" s="1"/>
      <c r="BL1187" s="1"/>
      <c r="BM1187" s="1"/>
      <c r="BN1187" s="1"/>
      <c r="BO1187" s="1"/>
      <c r="BP1187" s="1"/>
      <c r="BQ1187" s="1"/>
      <c r="BR1187" s="1"/>
      <c r="BX1187" s="1"/>
      <c r="CC1187" s="1"/>
      <c r="CD1187" s="1"/>
      <c r="CE1187" s="1"/>
      <c r="CF1187" s="1"/>
      <c r="CG1187" s="1"/>
      <c r="CM1187" s="2"/>
      <c r="CP1187" s="1"/>
      <c r="CQ1187" s="1"/>
      <c r="CX1187" s="1"/>
      <c r="CY1187" s="1"/>
      <c r="CZ1187" s="1"/>
      <c r="DA1187" s="1"/>
      <c r="DB1187" s="1"/>
      <c r="DC1187" s="1"/>
      <c r="DD1187" s="1"/>
      <c r="DE1187" s="1"/>
      <c r="DF1187" s="1"/>
      <c r="DG1187" s="1"/>
      <c r="DH1187" s="1"/>
      <c r="DI1187" s="1"/>
      <c r="DJ1187" s="1"/>
      <c r="DK1187" s="1"/>
      <c r="DM1187" s="1"/>
      <c r="DQ1187" s="1"/>
      <c r="DR1187" s="1"/>
      <c r="DY1187" s="1"/>
      <c r="DZ1187" s="1"/>
      <c r="ED1187" s="1"/>
      <c r="EK1187" s="1"/>
      <c r="EL1187" s="1"/>
      <c r="EM1187" s="1"/>
      <c r="EN1187" s="1"/>
      <c r="EQ1187" s="1"/>
      <c r="ER1187" s="1"/>
      <c r="ES1187" s="1"/>
      <c r="EV1187" s="1"/>
      <c r="EW1187" s="1"/>
      <c r="EZ1187" s="1"/>
      <c r="GP1187" s="1"/>
      <c r="HH1187" s="1"/>
      <c r="HY1187" s="1"/>
      <c r="IE1187" s="1"/>
      <c r="IR1187" s="1"/>
      <c r="IS1187" s="1"/>
      <c r="IZ1187" s="1"/>
      <c r="JC1187" s="1"/>
      <c r="JF1187" s="1"/>
      <c r="JG1187" s="1"/>
      <c r="JH1187" s="1"/>
      <c r="JJ1187" s="1"/>
      <c r="JP1187" s="1"/>
      <c r="JQ1187" s="1"/>
      <c r="JW1187" s="1"/>
      <c r="KS1187" s="1"/>
      <c r="KT1187" s="1"/>
      <c r="KU1187" s="1"/>
      <c r="KY1187" s="1"/>
      <c r="KZ1187" s="1"/>
      <c r="LA1187" s="1"/>
      <c r="LB1187" s="1"/>
      <c r="LC1187" s="1"/>
      <c r="LD1187" s="1"/>
      <c r="LO1187" s="1"/>
      <c r="LP1187" s="1"/>
      <c r="LZ1187" s="1"/>
      <c r="MA1187" s="1"/>
    </row>
    <row r="1188" spans="4:339" ht="13" x14ac:dyDescent="0.15">
      <c r="D1188" s="12"/>
      <c r="E1188" s="12"/>
      <c r="I1188" s="12"/>
      <c r="J1188" s="13"/>
      <c r="BG1188" s="1"/>
      <c r="BH1188" s="1"/>
      <c r="BI1188" s="1"/>
      <c r="BJ1188" s="1"/>
      <c r="BK1188" s="1"/>
      <c r="BL1188" s="1"/>
      <c r="BM1188" s="1"/>
      <c r="BN1188" s="1"/>
      <c r="BO1188" s="1"/>
      <c r="BP1188" s="1"/>
      <c r="BQ1188" s="1"/>
      <c r="BR1188" s="1"/>
      <c r="BX1188" s="1"/>
      <c r="CC1188" s="1"/>
      <c r="CD1188" s="1"/>
      <c r="CE1188" s="1"/>
      <c r="CF1188" s="1"/>
      <c r="CG1188" s="1"/>
      <c r="CM1188" s="2"/>
      <c r="CP1188" s="1"/>
      <c r="CQ1188" s="1"/>
      <c r="CX1188" s="1"/>
      <c r="CY1188" s="1"/>
      <c r="CZ1188" s="1"/>
      <c r="DA1188" s="1"/>
      <c r="DB1188" s="1"/>
      <c r="DC1188" s="1"/>
      <c r="DD1188" s="1"/>
      <c r="DE1188" s="1"/>
      <c r="DF1188" s="1"/>
      <c r="DG1188" s="1"/>
      <c r="DH1188" s="1"/>
      <c r="DI1188" s="1"/>
      <c r="DJ1188" s="1"/>
      <c r="DK1188" s="1"/>
      <c r="DM1188" s="1"/>
      <c r="DQ1188" s="1"/>
      <c r="DR1188" s="1"/>
      <c r="DY1188" s="1"/>
      <c r="DZ1188" s="1"/>
      <c r="ED1188" s="1"/>
      <c r="EK1188" s="1"/>
      <c r="EL1188" s="1"/>
      <c r="EM1188" s="1"/>
      <c r="EN1188" s="1"/>
      <c r="EQ1188" s="1"/>
      <c r="ER1188" s="1"/>
      <c r="ES1188" s="1"/>
      <c r="EV1188" s="1"/>
      <c r="EW1188" s="1"/>
      <c r="EZ1188" s="1"/>
      <c r="GP1188" s="1"/>
      <c r="HH1188" s="1"/>
      <c r="HY1188" s="1"/>
      <c r="IE1188" s="1"/>
      <c r="IR1188" s="1"/>
      <c r="IS1188" s="1"/>
      <c r="IZ1188" s="1"/>
      <c r="JC1188" s="1"/>
      <c r="JF1188" s="1"/>
      <c r="JG1188" s="1"/>
      <c r="JH1188" s="1"/>
      <c r="JJ1188" s="1"/>
      <c r="JP1188" s="1"/>
      <c r="JQ1188" s="1"/>
      <c r="JW1188" s="1"/>
      <c r="KS1188" s="1"/>
      <c r="KT1188" s="1"/>
      <c r="KU1188" s="1"/>
      <c r="KY1188" s="1"/>
      <c r="KZ1188" s="1"/>
      <c r="LA1188" s="1"/>
      <c r="LB1188" s="1"/>
      <c r="LC1188" s="1"/>
      <c r="LD1188" s="1"/>
      <c r="LO1188" s="1"/>
      <c r="LP1188" s="1"/>
      <c r="LZ1188" s="1"/>
      <c r="MA1188" s="1"/>
    </row>
    <row r="1189" spans="4:339" ht="13" x14ac:dyDescent="0.15">
      <c r="D1189" s="12"/>
      <c r="E1189" s="12"/>
      <c r="I1189" s="12"/>
      <c r="J1189" s="13"/>
      <c r="BG1189" s="1"/>
      <c r="BH1189" s="1"/>
      <c r="BI1189" s="1"/>
      <c r="BJ1189" s="1"/>
      <c r="BK1189" s="1"/>
      <c r="BL1189" s="1"/>
      <c r="BM1189" s="1"/>
      <c r="BN1189" s="1"/>
      <c r="BO1189" s="1"/>
      <c r="BP1189" s="1"/>
      <c r="BQ1189" s="1"/>
      <c r="BR1189" s="1"/>
      <c r="BX1189" s="1"/>
      <c r="CC1189" s="1"/>
      <c r="CD1189" s="1"/>
      <c r="CE1189" s="1"/>
      <c r="CF1189" s="1"/>
      <c r="CG1189" s="1"/>
      <c r="CM1189" s="2"/>
      <c r="CP1189" s="1"/>
      <c r="CQ1189" s="1"/>
      <c r="CX1189" s="1"/>
      <c r="CY1189" s="1"/>
      <c r="CZ1189" s="1"/>
      <c r="DA1189" s="1"/>
      <c r="DB1189" s="1"/>
      <c r="DC1189" s="1"/>
      <c r="DD1189" s="1"/>
      <c r="DE1189" s="1"/>
      <c r="DF1189" s="1"/>
      <c r="DG1189" s="1"/>
      <c r="DH1189" s="1"/>
      <c r="DI1189" s="1"/>
      <c r="DJ1189" s="1"/>
      <c r="DK1189" s="1"/>
      <c r="DM1189" s="1"/>
      <c r="DQ1189" s="1"/>
      <c r="DR1189" s="1"/>
      <c r="DY1189" s="1"/>
      <c r="DZ1189" s="1"/>
      <c r="ED1189" s="1"/>
      <c r="EK1189" s="1"/>
      <c r="EL1189" s="1"/>
      <c r="EM1189" s="1"/>
      <c r="EN1189" s="1"/>
      <c r="EQ1189" s="1"/>
      <c r="ER1189" s="1"/>
      <c r="ES1189" s="1"/>
      <c r="EV1189" s="1"/>
      <c r="EW1189" s="1"/>
      <c r="EZ1189" s="1"/>
      <c r="GP1189" s="1"/>
      <c r="HH1189" s="1"/>
      <c r="HY1189" s="1"/>
      <c r="IE1189" s="1"/>
      <c r="IR1189" s="1"/>
      <c r="IS1189" s="1"/>
      <c r="IZ1189" s="1"/>
      <c r="JC1189" s="1"/>
      <c r="JF1189" s="1"/>
      <c r="JG1189" s="1"/>
      <c r="JH1189" s="1"/>
      <c r="JJ1189" s="1"/>
      <c r="JP1189" s="1"/>
      <c r="JQ1189" s="1"/>
      <c r="JW1189" s="1"/>
      <c r="KS1189" s="1"/>
      <c r="KT1189" s="1"/>
      <c r="KU1189" s="1"/>
      <c r="KY1189" s="1"/>
      <c r="KZ1189" s="1"/>
      <c r="LA1189" s="1"/>
      <c r="LB1189" s="1"/>
      <c r="LC1189" s="1"/>
      <c r="LD1189" s="1"/>
      <c r="LO1189" s="1"/>
      <c r="LP1189" s="1"/>
      <c r="LZ1189" s="1"/>
      <c r="MA1189" s="1"/>
    </row>
    <row r="1190" spans="4:339" ht="13" x14ac:dyDescent="0.15">
      <c r="D1190" s="12"/>
      <c r="E1190" s="12"/>
      <c r="I1190" s="12"/>
      <c r="J1190" s="13"/>
      <c r="BG1190" s="1"/>
      <c r="BH1190" s="1"/>
      <c r="BI1190" s="1"/>
      <c r="BJ1190" s="1"/>
      <c r="BK1190" s="1"/>
      <c r="BL1190" s="1"/>
      <c r="BM1190" s="1"/>
      <c r="BN1190" s="1"/>
      <c r="BO1190" s="1"/>
      <c r="BP1190" s="1"/>
      <c r="BQ1190" s="1"/>
      <c r="BR1190" s="1"/>
      <c r="BX1190" s="1"/>
      <c r="CC1190" s="1"/>
      <c r="CD1190" s="1"/>
      <c r="CE1190" s="1"/>
      <c r="CF1190" s="1"/>
      <c r="CG1190" s="1"/>
      <c r="CM1190" s="2"/>
      <c r="CP1190" s="1"/>
      <c r="CQ1190" s="1"/>
      <c r="CX1190" s="1"/>
      <c r="CY1190" s="1"/>
      <c r="CZ1190" s="1"/>
      <c r="DA1190" s="1"/>
      <c r="DB1190" s="1"/>
      <c r="DC1190" s="1"/>
      <c r="DD1190" s="1"/>
      <c r="DE1190" s="1"/>
      <c r="DF1190" s="1"/>
      <c r="DG1190" s="1"/>
      <c r="DH1190" s="1"/>
      <c r="DI1190" s="1"/>
      <c r="DJ1190" s="1"/>
      <c r="DK1190" s="1"/>
      <c r="DM1190" s="1"/>
      <c r="DQ1190" s="1"/>
      <c r="DR1190" s="1"/>
      <c r="DY1190" s="1"/>
      <c r="DZ1190" s="1"/>
      <c r="ED1190" s="1"/>
      <c r="EK1190" s="1"/>
      <c r="EL1190" s="1"/>
      <c r="EM1190" s="1"/>
      <c r="EN1190" s="1"/>
      <c r="EQ1190" s="1"/>
      <c r="ER1190" s="1"/>
      <c r="ES1190" s="1"/>
      <c r="EV1190" s="1"/>
      <c r="EW1190" s="1"/>
      <c r="EZ1190" s="1"/>
      <c r="GP1190" s="1"/>
      <c r="HH1190" s="1"/>
      <c r="HY1190" s="1"/>
      <c r="IE1190" s="1"/>
      <c r="IR1190" s="1"/>
      <c r="IS1190" s="1"/>
      <c r="IZ1190" s="1"/>
      <c r="JC1190" s="1"/>
      <c r="JF1190" s="1"/>
      <c r="JG1190" s="1"/>
      <c r="JH1190" s="1"/>
      <c r="JJ1190" s="1"/>
      <c r="JP1190" s="1"/>
      <c r="JQ1190" s="1"/>
      <c r="JW1190" s="1"/>
      <c r="KS1190" s="1"/>
      <c r="KT1190" s="1"/>
      <c r="KU1190" s="1"/>
      <c r="KY1190" s="1"/>
      <c r="KZ1190" s="1"/>
      <c r="LA1190" s="1"/>
      <c r="LB1190" s="1"/>
      <c r="LC1190" s="1"/>
      <c r="LD1190" s="1"/>
      <c r="LO1190" s="1"/>
      <c r="LP1190" s="1"/>
      <c r="LZ1190" s="1"/>
      <c r="MA1190" s="1"/>
    </row>
    <row r="1191" spans="4:339" ht="13" x14ac:dyDescent="0.15">
      <c r="D1191" s="12"/>
      <c r="E1191" s="12"/>
      <c r="I1191" s="12"/>
      <c r="J1191" s="13"/>
      <c r="BF1191" s="1"/>
      <c r="BG1191" s="1"/>
      <c r="BH1191" s="1"/>
      <c r="BI1191" s="1"/>
      <c r="BJ1191" s="1"/>
      <c r="BK1191" s="1"/>
      <c r="BL1191" s="1"/>
      <c r="BM1191" s="1"/>
      <c r="BN1191" s="1"/>
      <c r="BO1191" s="1"/>
      <c r="BP1191" s="1"/>
      <c r="BQ1191" s="1"/>
      <c r="BR1191" s="1"/>
      <c r="BX1191" s="1"/>
      <c r="CC1191" s="1"/>
      <c r="CD1191" s="1"/>
      <c r="CE1191" s="1"/>
      <c r="CF1191" s="1"/>
      <c r="CG1191" s="1"/>
      <c r="CJ1191" s="1"/>
      <c r="CK1191" s="1"/>
      <c r="CM1191" s="2"/>
      <c r="CP1191" s="1"/>
      <c r="CQ1191" s="1"/>
      <c r="CS1191" s="1"/>
      <c r="CT1191" s="1"/>
      <c r="CU1191" s="1"/>
      <c r="CV1191" s="1"/>
      <c r="CW1191" s="1"/>
      <c r="CX1191" s="1"/>
      <c r="CY1191" s="1"/>
      <c r="CZ1191" s="1"/>
      <c r="DA1191" s="1"/>
      <c r="DB1191" s="1"/>
      <c r="DC1191" s="1"/>
      <c r="DD1191" s="1"/>
      <c r="DE1191" s="1"/>
      <c r="DF1191" s="1"/>
      <c r="DG1191" s="1"/>
      <c r="DH1191" s="1"/>
      <c r="DI1191" s="1"/>
      <c r="DJ1191" s="1"/>
      <c r="DK1191" s="1"/>
      <c r="DQ1191" s="1"/>
      <c r="DR1191" s="1"/>
      <c r="DY1191" s="1"/>
      <c r="DZ1191" s="1"/>
      <c r="ED1191" s="1"/>
      <c r="EK1191" s="1"/>
      <c r="EL1191" s="1"/>
      <c r="EM1191" s="1"/>
      <c r="EN1191" s="1"/>
      <c r="EQ1191" s="1"/>
      <c r="ER1191" s="1"/>
      <c r="ES1191" s="1"/>
      <c r="EV1191" s="1"/>
      <c r="EW1191" s="1"/>
      <c r="EZ1191" s="1"/>
      <c r="GO1191" s="1"/>
      <c r="GP1191" s="1"/>
      <c r="HH1191" s="1"/>
      <c r="HY1191" s="1"/>
      <c r="IC1191" s="1"/>
      <c r="ID1191" s="1"/>
      <c r="IE1191" s="1"/>
      <c r="IK1191" s="1"/>
      <c r="IR1191" s="1"/>
      <c r="IS1191" s="1"/>
      <c r="IW1191" s="1"/>
      <c r="IZ1191" s="1"/>
      <c r="JA1191" s="1"/>
      <c r="JC1191" s="1"/>
      <c r="JF1191" s="1"/>
      <c r="JG1191" s="1"/>
      <c r="JH1191" s="1"/>
      <c r="JJ1191" s="1"/>
      <c r="JN1191" s="1"/>
      <c r="JP1191" s="1"/>
      <c r="JQ1191" s="1"/>
      <c r="JT1191" s="1"/>
      <c r="JW1191" s="1"/>
      <c r="KS1191" s="1"/>
      <c r="KT1191" s="1"/>
      <c r="KU1191" s="1"/>
      <c r="KV1191" s="1"/>
      <c r="KY1191" s="1"/>
      <c r="KZ1191" s="1"/>
      <c r="LA1191" s="1"/>
      <c r="LB1191" s="1"/>
      <c r="LC1191" s="1"/>
      <c r="LD1191" s="1"/>
      <c r="LF1191" s="1"/>
      <c r="LN1191" s="1"/>
      <c r="LO1191" s="1"/>
      <c r="LP1191" s="1"/>
      <c r="LZ1191" s="1"/>
      <c r="MA1191" s="1"/>
    </row>
    <row r="1192" spans="4:339" ht="13" x14ac:dyDescent="0.15">
      <c r="D1192" s="12"/>
      <c r="E1192" s="12"/>
      <c r="I1192" s="12"/>
      <c r="J1192" s="13"/>
      <c r="BF1192" s="1"/>
      <c r="BG1192" s="1"/>
      <c r="BH1192" s="1"/>
      <c r="BI1192" s="1"/>
      <c r="BJ1192" s="1"/>
      <c r="BK1192" s="1"/>
      <c r="BL1192" s="1"/>
      <c r="BM1192" s="1"/>
      <c r="BN1192" s="1"/>
      <c r="BO1192" s="1"/>
      <c r="BP1192" s="1"/>
      <c r="BQ1192" s="1"/>
      <c r="BR1192" s="1"/>
      <c r="BX1192" s="1"/>
      <c r="CC1192" s="1"/>
      <c r="CD1192" s="1"/>
      <c r="CE1192" s="1"/>
      <c r="CF1192" s="1"/>
      <c r="CG1192" s="1"/>
      <c r="CJ1192" s="1"/>
      <c r="CK1192" s="1"/>
      <c r="CM1192" s="2"/>
      <c r="CP1192" s="1"/>
      <c r="CQ1192" s="1"/>
      <c r="CS1192" s="1"/>
      <c r="CT1192" s="1"/>
      <c r="CU1192" s="1"/>
      <c r="CV1192" s="1"/>
      <c r="CW1192" s="1"/>
      <c r="CX1192" s="1"/>
      <c r="CY1192" s="1"/>
      <c r="CZ1192" s="1"/>
      <c r="DA1192" s="1"/>
      <c r="DB1192" s="1"/>
      <c r="DC1192" s="1"/>
      <c r="DD1192" s="1"/>
      <c r="DE1192" s="1"/>
      <c r="DF1192" s="1"/>
      <c r="DG1192" s="1"/>
      <c r="DH1192" s="1"/>
      <c r="DI1192" s="1"/>
      <c r="DJ1192" s="1"/>
      <c r="DK1192" s="1"/>
      <c r="DQ1192" s="1"/>
      <c r="DR1192" s="1"/>
      <c r="DY1192" s="1"/>
      <c r="DZ1192" s="1"/>
      <c r="ED1192" s="1"/>
      <c r="EK1192" s="1"/>
      <c r="EL1192" s="1"/>
      <c r="EM1192" s="1"/>
      <c r="EN1192" s="1"/>
      <c r="EQ1192" s="1"/>
      <c r="ER1192" s="1"/>
      <c r="ES1192" s="1"/>
      <c r="EV1192" s="1"/>
      <c r="EW1192" s="1"/>
      <c r="EZ1192" s="1"/>
      <c r="GO1192" s="1"/>
      <c r="GP1192" s="1"/>
      <c r="HH1192" s="1"/>
      <c r="HY1192" s="1"/>
      <c r="IC1192" s="1"/>
      <c r="ID1192" s="1"/>
      <c r="IE1192" s="1"/>
      <c r="IK1192" s="1"/>
      <c r="IR1192" s="1"/>
      <c r="IS1192" s="1"/>
      <c r="IW1192" s="1"/>
      <c r="IZ1192" s="1"/>
      <c r="JA1192" s="1"/>
      <c r="JC1192" s="1"/>
      <c r="JF1192" s="1"/>
      <c r="JG1192" s="1"/>
      <c r="JH1192" s="1"/>
      <c r="JJ1192" s="1"/>
      <c r="JN1192" s="1"/>
      <c r="JP1192" s="1"/>
      <c r="JQ1192" s="1"/>
      <c r="JT1192" s="1"/>
      <c r="JW1192" s="1"/>
      <c r="KS1192" s="1"/>
      <c r="KT1192" s="1"/>
      <c r="KU1192" s="1"/>
      <c r="KV1192" s="1"/>
      <c r="KY1192" s="1"/>
      <c r="KZ1192" s="1"/>
      <c r="LA1192" s="1"/>
      <c r="LB1192" s="1"/>
      <c r="LC1192" s="1"/>
      <c r="LD1192" s="1"/>
      <c r="LF1192" s="1"/>
      <c r="LN1192" s="1"/>
      <c r="LO1192" s="1"/>
      <c r="LP1192" s="1"/>
      <c r="LZ1192" s="1"/>
      <c r="MA1192" s="1"/>
    </row>
    <row r="1193" spans="4:339" ht="13" x14ac:dyDescent="0.15">
      <c r="D1193" s="12"/>
      <c r="E1193" s="12"/>
      <c r="I1193" s="12"/>
      <c r="J1193" s="13"/>
      <c r="BF1193" s="1"/>
      <c r="BG1193" s="1"/>
      <c r="BH1193" s="1"/>
      <c r="BI1193" s="1"/>
      <c r="BJ1193" s="1"/>
      <c r="BK1193" s="1"/>
      <c r="BL1193" s="1"/>
      <c r="BM1193" s="1"/>
      <c r="BN1193" s="1"/>
      <c r="BO1193" s="1"/>
      <c r="BP1193" s="1"/>
      <c r="BQ1193" s="1"/>
      <c r="BR1193" s="1"/>
      <c r="BX1193" s="1"/>
      <c r="CC1193" s="1"/>
      <c r="CD1193" s="1"/>
      <c r="CE1193" s="1"/>
      <c r="CF1193" s="1"/>
      <c r="CG1193" s="1"/>
      <c r="CJ1193" s="1"/>
      <c r="CK1193" s="1"/>
      <c r="CM1193" s="2"/>
      <c r="CP1193" s="1"/>
      <c r="CQ1193" s="1"/>
      <c r="CS1193" s="1"/>
      <c r="CT1193" s="1"/>
      <c r="CU1193" s="1"/>
      <c r="CV1193" s="1"/>
      <c r="CW1193" s="1"/>
      <c r="CX1193" s="1"/>
      <c r="CY1193" s="1"/>
      <c r="CZ1193" s="1"/>
      <c r="DA1193" s="1"/>
      <c r="DB1193" s="1"/>
      <c r="DC1193" s="1"/>
      <c r="DD1193" s="1"/>
      <c r="DE1193" s="1"/>
      <c r="DF1193" s="1"/>
      <c r="DG1193" s="1"/>
      <c r="DH1193" s="1"/>
      <c r="DI1193" s="1"/>
      <c r="DJ1193" s="1"/>
      <c r="DK1193" s="1"/>
      <c r="DQ1193" s="1"/>
      <c r="DR1193" s="1"/>
      <c r="DY1193" s="1"/>
      <c r="DZ1193" s="1"/>
      <c r="ED1193" s="1"/>
      <c r="EK1193" s="1"/>
      <c r="EL1193" s="1"/>
      <c r="EM1193" s="1"/>
      <c r="EN1193" s="1"/>
      <c r="EQ1193" s="1"/>
      <c r="ER1193" s="1"/>
      <c r="ES1193" s="1"/>
      <c r="EV1193" s="1"/>
      <c r="EW1193" s="1"/>
      <c r="EZ1193" s="1"/>
      <c r="GO1193" s="1"/>
      <c r="GP1193" s="1"/>
      <c r="HH1193" s="1"/>
      <c r="HY1193" s="1"/>
      <c r="IC1193" s="1"/>
      <c r="ID1193" s="1"/>
      <c r="IE1193" s="1"/>
      <c r="IK1193" s="1"/>
      <c r="IR1193" s="1"/>
      <c r="IS1193" s="1"/>
      <c r="IW1193" s="1"/>
      <c r="IZ1193" s="1"/>
      <c r="JA1193" s="1"/>
      <c r="JC1193" s="1"/>
      <c r="JF1193" s="1"/>
      <c r="JG1193" s="1"/>
      <c r="JH1193" s="1"/>
      <c r="JJ1193" s="1"/>
      <c r="JN1193" s="1"/>
      <c r="JP1193" s="1"/>
      <c r="JQ1193" s="1"/>
      <c r="JT1193" s="1"/>
      <c r="JW1193" s="1"/>
      <c r="KS1193" s="1"/>
      <c r="KT1193" s="1"/>
      <c r="KU1193" s="1"/>
      <c r="KV1193" s="1"/>
      <c r="KY1193" s="1"/>
      <c r="KZ1193" s="1"/>
      <c r="LA1193" s="1"/>
      <c r="LB1193" s="1"/>
      <c r="LC1193" s="1"/>
      <c r="LD1193" s="1"/>
      <c r="LF1193" s="1"/>
      <c r="LN1193" s="1"/>
      <c r="LO1193" s="1"/>
      <c r="LP1193" s="1"/>
      <c r="LZ1193" s="1"/>
      <c r="MA1193" s="1"/>
    </row>
    <row r="1194" spans="4:339" ht="13" x14ac:dyDescent="0.15">
      <c r="D1194" s="12"/>
      <c r="E1194" s="12"/>
      <c r="I1194" s="12"/>
      <c r="J1194" s="13"/>
      <c r="BF1194" s="1"/>
      <c r="BG1194" s="1"/>
      <c r="BH1194" s="1"/>
      <c r="BI1194" s="1"/>
      <c r="BJ1194" s="1"/>
      <c r="BK1194" s="1"/>
      <c r="BL1194" s="1"/>
      <c r="BM1194" s="1"/>
      <c r="BN1194" s="1"/>
      <c r="BO1194" s="1"/>
      <c r="BP1194" s="1"/>
      <c r="BQ1194" s="1"/>
      <c r="BR1194" s="1"/>
      <c r="CD1194" s="1"/>
      <c r="CE1194" s="1"/>
      <c r="CF1194" s="1"/>
      <c r="CG1194" s="1"/>
      <c r="CM1194" s="2"/>
      <c r="CP1194" s="1"/>
      <c r="CQ1194" s="1"/>
      <c r="CR1194" s="1"/>
      <c r="CS1194" s="1"/>
      <c r="CT1194" s="1"/>
      <c r="CU1194" s="1"/>
      <c r="CV1194" s="1"/>
      <c r="CW1194" s="1"/>
      <c r="CX1194" s="1"/>
      <c r="CY1194" s="1"/>
      <c r="CZ1194" s="1"/>
      <c r="DA1194" s="1"/>
      <c r="DB1194" s="1"/>
      <c r="DC1194" s="1"/>
      <c r="DD1194" s="1"/>
      <c r="DE1194" s="1"/>
      <c r="DF1194" s="1"/>
      <c r="DG1194" s="1"/>
      <c r="DH1194" s="1"/>
      <c r="DI1194" s="1"/>
      <c r="DJ1194" s="1"/>
      <c r="DK1194" s="1"/>
      <c r="ED1194" s="1"/>
      <c r="EK1194" s="1"/>
      <c r="EL1194" s="1"/>
      <c r="EM1194" s="1"/>
      <c r="EN1194" s="1"/>
      <c r="EQ1194" s="1"/>
      <c r="ER1194" s="1"/>
      <c r="ES1194" s="1"/>
      <c r="EV1194" s="1"/>
      <c r="EW1194" s="1"/>
      <c r="EZ1194" s="1"/>
      <c r="GO1194" s="1"/>
      <c r="GP1194" s="1"/>
      <c r="HY1194" s="1"/>
      <c r="IE1194" s="1"/>
      <c r="IR1194" s="1"/>
      <c r="IS1194" s="1"/>
      <c r="IW1194" s="1"/>
      <c r="IZ1194" s="1"/>
      <c r="JG1194" s="1"/>
      <c r="JH1194" s="1"/>
      <c r="JJ1194" s="1"/>
      <c r="JP1194" s="1"/>
      <c r="JQ1194" s="1"/>
      <c r="LC1194" s="1"/>
      <c r="LD1194" s="1"/>
      <c r="LO1194" s="1"/>
      <c r="LP1194" s="1"/>
      <c r="LZ1194" s="1"/>
      <c r="MA1194" s="1"/>
    </row>
    <row r="1195" spans="4:339" ht="13" x14ac:dyDescent="0.15">
      <c r="D1195" s="12"/>
      <c r="E1195" s="12"/>
      <c r="I1195" s="12"/>
      <c r="J1195" s="13"/>
      <c r="BF1195" s="1"/>
      <c r="BG1195" s="1"/>
      <c r="BH1195" s="1"/>
      <c r="BI1195" s="1"/>
      <c r="BJ1195" s="1"/>
      <c r="BK1195" s="1"/>
      <c r="BL1195" s="1"/>
      <c r="BM1195" s="1"/>
      <c r="BN1195" s="1"/>
      <c r="BO1195" s="1"/>
      <c r="BP1195" s="1"/>
      <c r="BQ1195" s="1"/>
      <c r="BR1195" s="1"/>
      <c r="CD1195" s="1"/>
      <c r="CE1195" s="1"/>
      <c r="CF1195" s="1"/>
      <c r="CG1195" s="1"/>
      <c r="CM1195" s="2"/>
      <c r="CP1195" s="1"/>
      <c r="CQ1195" s="1"/>
      <c r="CX1195" s="1"/>
      <c r="CY1195" s="1"/>
      <c r="CZ1195" s="1"/>
      <c r="DA1195" s="1"/>
      <c r="DB1195" s="1"/>
      <c r="DC1195" s="1"/>
      <c r="DD1195" s="1"/>
      <c r="DE1195" s="1"/>
      <c r="DF1195" s="1"/>
      <c r="DG1195" s="1"/>
      <c r="DH1195" s="1"/>
      <c r="DI1195" s="1"/>
      <c r="DJ1195" s="1"/>
      <c r="DK1195" s="1"/>
      <c r="ED1195" s="1"/>
      <c r="EK1195" s="1"/>
      <c r="EL1195" s="1"/>
      <c r="EM1195" s="1"/>
      <c r="EN1195" s="1"/>
      <c r="EQ1195" s="1"/>
      <c r="ER1195" s="1"/>
      <c r="ES1195" s="1"/>
      <c r="EV1195" s="1"/>
      <c r="EW1195" s="1"/>
      <c r="EZ1195" s="1"/>
      <c r="GP1195" s="1"/>
      <c r="HY1195" s="1"/>
      <c r="IC1195" s="1"/>
      <c r="ID1195" s="1"/>
      <c r="IE1195" s="1"/>
      <c r="IR1195" s="1"/>
      <c r="IS1195" s="1"/>
      <c r="IW1195" s="1"/>
      <c r="IZ1195" s="1"/>
      <c r="JA1195" s="1"/>
      <c r="JG1195" s="1"/>
      <c r="JJ1195" s="1"/>
      <c r="JN1195" s="1"/>
      <c r="JP1195" s="1"/>
      <c r="JQ1195" s="1"/>
      <c r="KU1195" s="1"/>
      <c r="KV1195" s="1"/>
      <c r="KY1195" s="1"/>
      <c r="KZ1195" s="1"/>
      <c r="LA1195" s="1"/>
      <c r="LB1195" s="1"/>
      <c r="LC1195" s="1"/>
      <c r="LD1195" s="1"/>
      <c r="LO1195" s="1"/>
      <c r="LP1195" s="1"/>
      <c r="LZ1195" s="1"/>
      <c r="MA1195" s="1"/>
    </row>
    <row r="1196" spans="4:339" ht="13" x14ac:dyDescent="0.15">
      <c r="D1196" s="12"/>
      <c r="E1196" s="12"/>
      <c r="I1196" s="12"/>
      <c r="J1196" s="13"/>
      <c r="BF1196" s="1"/>
      <c r="BG1196" s="1"/>
      <c r="BH1196" s="1"/>
      <c r="BI1196" s="1"/>
      <c r="BK1196" s="1"/>
      <c r="BL1196" s="1"/>
      <c r="BM1196" s="1"/>
      <c r="BN1196" s="1"/>
      <c r="BO1196" s="1"/>
      <c r="BP1196" s="1"/>
      <c r="BQ1196" s="1"/>
      <c r="BR1196" s="1"/>
      <c r="CD1196" s="1"/>
      <c r="CE1196" s="1"/>
      <c r="CF1196" s="1"/>
      <c r="CG1196" s="1"/>
      <c r="CM1196" s="2"/>
      <c r="CP1196" s="1"/>
      <c r="CQ1196" s="1"/>
      <c r="CX1196" s="1"/>
      <c r="CY1196" s="1"/>
      <c r="CZ1196" s="1"/>
      <c r="DA1196" s="1"/>
      <c r="DB1196" s="1"/>
      <c r="DC1196" s="1"/>
      <c r="DD1196" s="1"/>
      <c r="DE1196" s="1"/>
      <c r="DF1196" s="1"/>
      <c r="DG1196" s="1"/>
      <c r="DH1196" s="1"/>
      <c r="DI1196" s="1"/>
      <c r="DJ1196" s="1"/>
      <c r="DK1196" s="1"/>
      <c r="ED1196" s="1"/>
      <c r="EK1196" s="1"/>
      <c r="EL1196" s="1"/>
      <c r="EM1196" s="1"/>
      <c r="EN1196" s="1"/>
      <c r="EQ1196" s="1"/>
      <c r="ER1196" s="1"/>
      <c r="ES1196" s="1"/>
      <c r="EV1196" s="1"/>
      <c r="EW1196" s="1"/>
      <c r="EX1196" s="1"/>
      <c r="EZ1196" s="1"/>
      <c r="GO1196" s="1"/>
      <c r="GP1196" s="1"/>
      <c r="HY1196" s="1"/>
      <c r="ID1196" s="1"/>
      <c r="IE1196" s="1"/>
      <c r="IG1196" s="1"/>
      <c r="IR1196" s="1"/>
      <c r="IS1196" s="1"/>
      <c r="IY1196" s="1"/>
      <c r="IZ1196" s="1"/>
      <c r="JF1196" s="1"/>
      <c r="JG1196" s="1"/>
      <c r="JH1196" s="1"/>
      <c r="JJ1196" s="1"/>
      <c r="JK1196" s="1"/>
      <c r="JL1196" s="3"/>
      <c r="JM1196" s="1"/>
      <c r="JN1196" s="1"/>
      <c r="JP1196" s="1"/>
      <c r="JQ1196" s="1"/>
      <c r="JR1196" s="1"/>
      <c r="KU1196" s="1"/>
      <c r="KZ1196" s="1"/>
      <c r="LC1196" s="1"/>
      <c r="LD1196" s="1"/>
      <c r="LO1196" s="1"/>
      <c r="LP1196" s="1"/>
      <c r="LZ1196" s="1"/>
      <c r="MA1196" s="1"/>
    </row>
    <row r="1197" spans="4:339" ht="13" x14ac:dyDescent="0.15">
      <c r="D1197" s="12"/>
      <c r="E1197" s="12"/>
      <c r="I1197" s="12"/>
      <c r="J1197" s="13"/>
      <c r="BG1197" s="1"/>
      <c r="BH1197" s="1"/>
      <c r="BI1197" s="1"/>
      <c r="BK1197" s="1"/>
      <c r="BL1197" s="1"/>
      <c r="BM1197" s="1"/>
      <c r="BN1197" s="1"/>
      <c r="BO1197" s="1"/>
      <c r="BP1197" s="1"/>
      <c r="BQ1197" s="1"/>
      <c r="BR1197" s="1"/>
      <c r="BX1197" s="1"/>
      <c r="CD1197" s="1"/>
      <c r="CE1197" s="1"/>
      <c r="CF1197" s="1"/>
      <c r="CG1197" s="1"/>
      <c r="CM1197" s="2"/>
      <c r="CP1197" s="1"/>
      <c r="CQ1197" s="1"/>
      <c r="CX1197" s="1"/>
      <c r="CY1197" s="1"/>
      <c r="CZ1197" s="1"/>
      <c r="DA1197" s="1"/>
      <c r="DB1197" s="1"/>
      <c r="DC1197" s="1"/>
      <c r="DD1197" s="1"/>
      <c r="DE1197" s="1"/>
      <c r="DF1197" s="1"/>
      <c r="DG1197" s="1"/>
      <c r="DH1197" s="1"/>
      <c r="DI1197" s="1"/>
      <c r="DJ1197" s="1"/>
      <c r="DK1197" s="1"/>
      <c r="DM1197" s="1"/>
      <c r="DQ1197" s="1"/>
      <c r="DR1197" s="1"/>
      <c r="DY1197" s="1"/>
      <c r="DZ1197" s="1"/>
      <c r="ED1197" s="1"/>
      <c r="EK1197" s="1"/>
      <c r="EL1197" s="1"/>
      <c r="EM1197" s="1"/>
      <c r="EN1197" s="1"/>
      <c r="EQ1197" s="1"/>
      <c r="ER1197" s="1"/>
      <c r="ES1197" s="1"/>
      <c r="EV1197" s="1"/>
      <c r="EW1197" s="1"/>
      <c r="EZ1197" s="1"/>
      <c r="GO1197" s="1"/>
      <c r="GP1197" s="1"/>
      <c r="HY1197" s="1"/>
      <c r="IE1197" s="1"/>
      <c r="IR1197" s="1"/>
      <c r="IS1197" s="1"/>
      <c r="IW1197" s="1"/>
      <c r="IY1197" s="1"/>
      <c r="IZ1197" s="1"/>
      <c r="JA1197" s="1"/>
      <c r="JF1197" s="1"/>
      <c r="JG1197" s="1"/>
      <c r="JH1197" s="1"/>
      <c r="JJ1197" s="1"/>
      <c r="JN1197" s="1"/>
      <c r="JP1197" s="1"/>
      <c r="JQ1197" s="1"/>
      <c r="KV1197" s="1"/>
      <c r="KY1197" s="1"/>
      <c r="KZ1197" s="1"/>
      <c r="LA1197" s="1"/>
      <c r="LB1197" s="1"/>
      <c r="LC1197" s="1"/>
      <c r="LD1197" s="1"/>
      <c r="LF1197" s="1"/>
      <c r="LO1197" s="1"/>
      <c r="LP1197" s="1"/>
      <c r="LZ1197" s="1"/>
      <c r="MA1197" s="1"/>
    </row>
    <row r="1198" spans="4:339" ht="13" x14ac:dyDescent="0.15">
      <c r="D1198" s="12"/>
      <c r="E1198" s="12"/>
      <c r="I1198" s="12"/>
      <c r="J1198" s="13"/>
      <c r="BG1198" s="1"/>
      <c r="BH1198" s="1"/>
      <c r="BI1198" s="1"/>
      <c r="BK1198" s="1"/>
      <c r="BL1198" s="1"/>
      <c r="BM1198" s="1"/>
      <c r="BN1198" s="1"/>
      <c r="BP1198" s="1"/>
      <c r="BQ1198" s="1"/>
      <c r="BR1198" s="1"/>
      <c r="CD1198" s="1"/>
      <c r="CE1198" s="1"/>
      <c r="CF1198" s="1"/>
      <c r="CG1198" s="1"/>
      <c r="CM1198" s="2"/>
      <c r="CP1198" s="1"/>
      <c r="CQ1198" s="1"/>
      <c r="CS1198" s="1"/>
      <c r="CT1198" s="1"/>
      <c r="CU1198" s="1"/>
      <c r="CV1198" s="1"/>
      <c r="CW1198" s="1"/>
      <c r="CX1198" s="1"/>
      <c r="CY1198" s="1"/>
      <c r="CZ1198" s="1"/>
      <c r="DA1198" s="1"/>
      <c r="DB1198" s="1"/>
      <c r="DC1198" s="1"/>
      <c r="DD1198" s="1"/>
      <c r="DE1198" s="1"/>
      <c r="DF1198" s="1"/>
      <c r="DG1198" s="1"/>
      <c r="DH1198" s="1"/>
      <c r="DI1198" s="1"/>
      <c r="DJ1198" s="1"/>
      <c r="DK1198" s="1"/>
      <c r="ED1198" s="1"/>
      <c r="EK1198" s="1"/>
      <c r="EL1198" s="1"/>
      <c r="EM1198" s="1"/>
      <c r="EN1198" s="1"/>
      <c r="EQ1198" s="1"/>
      <c r="ER1198" s="1"/>
      <c r="ES1198" s="1"/>
      <c r="EV1198" s="1"/>
      <c r="EW1198" s="1"/>
      <c r="EZ1198" s="1"/>
      <c r="GP1198" s="1"/>
      <c r="HY1198" s="1"/>
      <c r="IE1198" s="1"/>
      <c r="IS1198" s="1"/>
      <c r="IW1198" s="1"/>
      <c r="IY1198" s="1"/>
      <c r="IZ1198" s="1"/>
      <c r="JA1198" s="1"/>
      <c r="JF1198" s="1"/>
      <c r="JH1198" s="1"/>
      <c r="JJ1198" s="1"/>
      <c r="JN1198" s="1"/>
      <c r="JP1198" s="1"/>
      <c r="JQ1198" s="1"/>
      <c r="KU1198" s="1"/>
      <c r="KY1198" s="1"/>
      <c r="KZ1198" s="1"/>
      <c r="LA1198" s="1"/>
      <c r="LB1198" s="1"/>
      <c r="LC1198" s="1"/>
      <c r="LD1198" s="1"/>
      <c r="LG1198" s="1"/>
      <c r="LH1198" s="5"/>
      <c r="LN1198" s="1"/>
      <c r="LO1198" s="1"/>
      <c r="LP1198" s="1"/>
      <c r="LZ1198" s="1"/>
      <c r="MA1198" s="1"/>
    </row>
    <row r="1199" spans="4:339" ht="13" x14ac:dyDescent="0.15">
      <c r="D1199" s="12"/>
      <c r="E1199" s="12"/>
      <c r="I1199" s="12"/>
      <c r="J1199" s="13"/>
      <c r="BG1199" s="1"/>
      <c r="BH1199" s="1"/>
      <c r="BI1199" s="1"/>
      <c r="BJ1199" s="1"/>
      <c r="BK1199" s="1"/>
      <c r="BL1199" s="1"/>
      <c r="BM1199" s="1"/>
      <c r="BN1199" s="1"/>
      <c r="BO1199" s="1"/>
      <c r="BP1199" s="1"/>
      <c r="BQ1199" s="1"/>
      <c r="BR1199" s="1"/>
      <c r="BX1199" s="1"/>
      <c r="CD1199" s="1"/>
      <c r="CE1199" s="1"/>
      <c r="CF1199" s="1"/>
      <c r="CG1199" s="1"/>
      <c r="CM1199" s="2"/>
      <c r="CP1199" s="1"/>
      <c r="CQ1199" s="1"/>
      <c r="CX1199" s="1"/>
      <c r="CY1199" s="1"/>
      <c r="CZ1199" s="1"/>
      <c r="DA1199" s="1"/>
      <c r="DB1199" s="1"/>
      <c r="DC1199" s="1"/>
      <c r="DD1199" s="1"/>
      <c r="DE1199" s="1"/>
      <c r="DF1199" s="1"/>
      <c r="DG1199" s="1"/>
      <c r="DH1199" s="1"/>
      <c r="DI1199" s="1"/>
      <c r="DJ1199" s="1"/>
      <c r="DK1199" s="1"/>
      <c r="DM1199" s="1"/>
      <c r="DQ1199" s="1"/>
      <c r="DR1199" s="1"/>
      <c r="DY1199" s="1"/>
      <c r="DZ1199" s="1"/>
      <c r="ED1199" s="1"/>
      <c r="EK1199" s="1"/>
      <c r="EL1199" s="1"/>
      <c r="EM1199" s="1"/>
      <c r="EN1199" s="1"/>
      <c r="EQ1199" s="1"/>
      <c r="ER1199" s="1"/>
      <c r="ES1199" s="1"/>
      <c r="EV1199" s="1"/>
      <c r="EW1199" s="1"/>
      <c r="EZ1199" s="1"/>
      <c r="GO1199" s="1"/>
      <c r="GP1199" s="1"/>
      <c r="HH1199" s="1"/>
      <c r="HY1199" s="1"/>
      <c r="ID1199" s="1"/>
      <c r="IE1199" s="1"/>
      <c r="IR1199" s="1"/>
      <c r="IS1199" s="1"/>
      <c r="IW1199" s="1"/>
      <c r="IZ1199" s="1"/>
      <c r="JA1199" s="1"/>
      <c r="JC1199" s="1"/>
      <c r="JF1199" s="1"/>
      <c r="JG1199" s="1"/>
      <c r="JH1199" s="1"/>
      <c r="JJ1199" s="1"/>
      <c r="JN1199" s="1"/>
      <c r="JP1199" s="1"/>
      <c r="JQ1199" s="1"/>
      <c r="KW1199" s="1"/>
      <c r="KY1199" s="1"/>
      <c r="KZ1199" s="1"/>
      <c r="LA1199" s="1"/>
      <c r="LB1199" s="1"/>
      <c r="LC1199" s="1"/>
      <c r="LD1199" s="1"/>
      <c r="LZ1199" s="1"/>
      <c r="MA1199" s="1"/>
    </row>
    <row r="1200" spans="4:339" ht="13" x14ac:dyDescent="0.15">
      <c r="D1200" s="12"/>
      <c r="E1200" s="12"/>
      <c r="I1200" s="12"/>
      <c r="J1200" s="13"/>
      <c r="BF1200" s="1"/>
      <c r="BG1200" s="1"/>
      <c r="BH1200" s="1"/>
      <c r="BI1200" s="1"/>
      <c r="BK1200" s="1"/>
      <c r="BL1200" s="1"/>
      <c r="BM1200" s="1"/>
      <c r="BN1200" s="1"/>
      <c r="BO1200" s="1"/>
      <c r="BP1200" s="1"/>
      <c r="BQ1200" s="1"/>
      <c r="BR1200" s="1"/>
      <c r="CD1200" s="1"/>
      <c r="CE1200" s="1"/>
      <c r="CF1200" s="1"/>
      <c r="CG1200" s="1"/>
      <c r="CM1200" s="2"/>
      <c r="CP1200" s="1"/>
      <c r="CQ1200" s="1"/>
      <c r="CS1200" s="1"/>
      <c r="CT1200" s="1"/>
      <c r="CU1200" s="1"/>
      <c r="CV1200" s="1"/>
      <c r="CW1200" s="1"/>
      <c r="CX1200" s="1"/>
      <c r="CY1200" s="1"/>
      <c r="CZ1200" s="1"/>
      <c r="DA1200" s="1"/>
      <c r="DB1200" s="1"/>
      <c r="DC1200" s="1"/>
      <c r="DD1200" s="1"/>
      <c r="DE1200" s="1"/>
      <c r="DF1200" s="1"/>
      <c r="DG1200" s="1"/>
      <c r="DH1200" s="1"/>
      <c r="DI1200" s="1"/>
      <c r="DJ1200" s="1"/>
      <c r="DK1200" s="1"/>
      <c r="ED1200" s="1"/>
      <c r="EK1200" s="1"/>
      <c r="EL1200" s="1"/>
      <c r="EM1200" s="1"/>
      <c r="EN1200" s="1"/>
      <c r="EQ1200" s="1"/>
      <c r="ER1200" s="1"/>
      <c r="ES1200" s="1"/>
      <c r="EV1200" s="1"/>
      <c r="EW1200" s="1"/>
      <c r="EZ1200" s="1"/>
      <c r="GP1200" s="1"/>
      <c r="HH1200" s="1"/>
      <c r="HY1200" s="1"/>
      <c r="IE1200" s="1"/>
      <c r="IS1200" s="1"/>
      <c r="IZ1200" s="1"/>
      <c r="JC1200" s="1"/>
      <c r="JF1200" s="1"/>
      <c r="JG1200" s="1"/>
      <c r="JJ1200" s="1"/>
      <c r="JP1200" s="1"/>
      <c r="JQ1200" s="1"/>
      <c r="KY1200" s="1"/>
      <c r="KZ1200" s="1"/>
      <c r="LA1200" s="1"/>
      <c r="LB1200" s="1"/>
      <c r="LC1200" s="1"/>
      <c r="LD1200" s="1"/>
      <c r="LM1200" s="1"/>
      <c r="LO1200" s="1"/>
      <c r="LP1200" s="1"/>
      <c r="LZ1200" s="1"/>
    </row>
    <row r="1201" spans="4:342" ht="13" x14ac:dyDescent="0.15">
      <c r="D1201" s="12"/>
      <c r="E1201" s="12"/>
      <c r="I1201" s="12"/>
      <c r="J1201" s="13"/>
      <c r="BF1201" s="1"/>
      <c r="BG1201" s="1"/>
      <c r="BH1201" s="1"/>
      <c r="BI1201" s="1"/>
      <c r="BJ1201" s="1"/>
      <c r="BK1201" s="1"/>
      <c r="BL1201" s="1"/>
      <c r="BM1201" s="1"/>
      <c r="BN1201" s="1"/>
      <c r="BO1201" s="1"/>
      <c r="BP1201" s="1"/>
      <c r="BQ1201" s="1"/>
      <c r="BR1201" s="1"/>
      <c r="CD1201" s="1"/>
      <c r="CE1201" s="1"/>
      <c r="CF1201" s="1"/>
      <c r="CG1201" s="1"/>
      <c r="CM1201" s="2"/>
      <c r="CP1201" s="1"/>
      <c r="CQ1201" s="1"/>
      <c r="CR1201" s="1"/>
      <c r="CS1201" s="1"/>
      <c r="CT1201" s="1"/>
      <c r="CU1201" s="1"/>
      <c r="CV1201" s="1"/>
      <c r="CW1201" s="1"/>
      <c r="CX1201" s="1"/>
      <c r="CY1201" s="1"/>
      <c r="CZ1201" s="1"/>
      <c r="DA1201" s="1"/>
      <c r="DB1201" s="1"/>
      <c r="DC1201" s="1"/>
      <c r="DD1201" s="1"/>
      <c r="DE1201" s="1"/>
      <c r="DF1201" s="1"/>
      <c r="DG1201" s="1"/>
      <c r="DH1201" s="1"/>
      <c r="DI1201" s="1"/>
      <c r="DJ1201" s="1"/>
      <c r="DK1201" s="1"/>
      <c r="ED1201" s="1"/>
      <c r="EE1201" s="1"/>
      <c r="EF1201" s="1"/>
      <c r="EG1201" s="1"/>
      <c r="EH1201" s="1"/>
      <c r="EK1201" s="1"/>
      <c r="EL1201" s="1"/>
      <c r="EM1201" s="1"/>
      <c r="EN1201" s="1"/>
      <c r="EQ1201" s="1"/>
      <c r="ER1201" s="1"/>
      <c r="ES1201" s="1"/>
      <c r="EV1201" s="1"/>
      <c r="EW1201" s="1"/>
      <c r="EY1201" s="1"/>
      <c r="EZ1201" s="1"/>
      <c r="GO1201" s="1"/>
      <c r="GP1201" s="1"/>
      <c r="HY1201" s="1"/>
      <c r="IC1201" s="1"/>
      <c r="IE1201" s="1"/>
      <c r="IF1201" s="1"/>
      <c r="IG1201" s="1"/>
      <c r="IJ1201" s="1"/>
      <c r="IR1201" s="1"/>
      <c r="IS1201" s="1"/>
      <c r="IW1201" s="1"/>
      <c r="IZ1201" s="1"/>
      <c r="JA1201" s="1"/>
      <c r="JG1201" s="1"/>
      <c r="JH1201" s="1"/>
      <c r="JJ1201" s="1"/>
      <c r="JK1201" s="1"/>
      <c r="JL1201" s="3"/>
      <c r="JM1201" s="1"/>
      <c r="JN1201" s="1"/>
      <c r="JP1201" s="1"/>
      <c r="JQ1201" s="1"/>
      <c r="JR1201" s="1"/>
      <c r="KV1201" s="1"/>
      <c r="KY1201" s="1"/>
      <c r="KZ1201" s="1"/>
      <c r="LA1201" s="1"/>
      <c r="LB1201" s="1"/>
      <c r="LC1201" s="1"/>
      <c r="LD1201" s="1"/>
      <c r="LO1201" s="1"/>
      <c r="LP1201" s="1"/>
      <c r="LZ1201" s="1"/>
      <c r="MA1201" s="1"/>
    </row>
    <row r="1202" spans="4:342" ht="13" x14ac:dyDescent="0.15">
      <c r="D1202" s="12"/>
      <c r="E1202" s="12"/>
      <c r="I1202" s="12"/>
      <c r="J1202" s="13"/>
      <c r="BG1202" s="1"/>
      <c r="BH1202" s="1"/>
      <c r="BI1202" s="1"/>
      <c r="BJ1202" s="1"/>
      <c r="BK1202" s="1"/>
      <c r="BL1202" s="1"/>
      <c r="BM1202" s="1"/>
      <c r="BN1202" s="1"/>
      <c r="BP1202" s="1"/>
      <c r="BQ1202" s="1"/>
      <c r="BR1202" s="1"/>
      <c r="CD1202" s="1"/>
      <c r="CE1202" s="1"/>
      <c r="CF1202" s="1"/>
      <c r="CG1202" s="1"/>
      <c r="CM1202" s="2"/>
      <c r="CP1202" s="1"/>
      <c r="CQ1202" s="1"/>
      <c r="CS1202" s="1"/>
      <c r="CT1202" s="1"/>
      <c r="CU1202" s="1"/>
      <c r="CV1202" s="1"/>
      <c r="CW1202" s="1"/>
      <c r="CX1202" s="1"/>
      <c r="CY1202" s="1"/>
      <c r="CZ1202" s="1"/>
      <c r="DA1202" s="1"/>
      <c r="DB1202" s="1"/>
      <c r="DC1202" s="1"/>
      <c r="DD1202" s="1"/>
      <c r="DE1202" s="1"/>
      <c r="DF1202" s="1"/>
      <c r="DG1202" s="1"/>
      <c r="DH1202" s="1"/>
      <c r="DI1202" s="1"/>
      <c r="DJ1202" s="1"/>
      <c r="DK1202" s="1"/>
      <c r="ED1202" s="1"/>
      <c r="EK1202" s="1"/>
      <c r="EL1202" s="1"/>
      <c r="EM1202" s="1"/>
      <c r="EN1202" s="1"/>
      <c r="EQ1202" s="1"/>
      <c r="ER1202" s="1"/>
      <c r="ES1202" s="1"/>
      <c r="EV1202" s="1"/>
      <c r="EW1202" s="1"/>
      <c r="EZ1202" s="1"/>
      <c r="GP1202" s="1"/>
      <c r="HY1202" s="1"/>
      <c r="IE1202" s="1"/>
      <c r="IR1202" s="1"/>
      <c r="IS1202" s="1"/>
      <c r="IZ1202" s="1"/>
      <c r="JC1202" s="1"/>
      <c r="JF1202" s="1"/>
      <c r="JG1202" s="1"/>
      <c r="JH1202" s="1"/>
      <c r="JJ1202" s="1"/>
      <c r="JP1202" s="1"/>
      <c r="JQ1202" s="1"/>
      <c r="KY1202" s="1"/>
      <c r="KZ1202" s="1"/>
      <c r="LA1202" s="1"/>
      <c r="LB1202" s="1"/>
      <c r="LC1202" s="1"/>
      <c r="LD1202" s="1"/>
      <c r="LM1202" s="1"/>
      <c r="LO1202" s="1"/>
      <c r="LP1202" s="1"/>
      <c r="LZ1202" s="1"/>
      <c r="MB1202" s="1"/>
      <c r="MC1202" s="5"/>
      <c r="MD1202" s="5"/>
    </row>
    <row r="1203" spans="4:342" ht="13" x14ac:dyDescent="0.15">
      <c r="D1203" s="12"/>
      <c r="E1203" s="12"/>
      <c r="I1203" s="12"/>
      <c r="J1203" s="13"/>
      <c r="BG1203" s="1"/>
      <c r="BH1203" s="1"/>
      <c r="BI1203" s="1"/>
      <c r="BJ1203" s="1"/>
      <c r="BK1203" s="1"/>
      <c r="BL1203" s="1"/>
      <c r="BM1203" s="1"/>
      <c r="BN1203" s="1"/>
      <c r="BP1203" s="1"/>
      <c r="BQ1203" s="1"/>
      <c r="BR1203" s="1"/>
      <c r="CD1203" s="1"/>
      <c r="CE1203" s="1"/>
      <c r="CF1203" s="1"/>
      <c r="CG1203" s="1"/>
      <c r="CM1203" s="2"/>
      <c r="CP1203" s="1"/>
      <c r="CQ1203" s="1"/>
      <c r="CS1203" s="1"/>
      <c r="CT1203" s="1"/>
      <c r="CU1203" s="1"/>
      <c r="CV1203" s="1"/>
      <c r="CW1203" s="1"/>
      <c r="CX1203" s="1"/>
      <c r="CY1203" s="1"/>
      <c r="CZ1203" s="1"/>
      <c r="DA1203" s="1"/>
      <c r="DB1203" s="1"/>
      <c r="DC1203" s="1"/>
      <c r="DD1203" s="1"/>
      <c r="DE1203" s="1"/>
      <c r="DF1203" s="1"/>
      <c r="DG1203" s="1"/>
      <c r="DH1203" s="1"/>
      <c r="DI1203" s="1"/>
      <c r="DJ1203" s="1"/>
      <c r="DK1203" s="1"/>
      <c r="ED1203" s="1"/>
      <c r="EK1203" s="1"/>
      <c r="EL1203" s="1"/>
      <c r="EM1203" s="1"/>
      <c r="EN1203" s="1"/>
      <c r="EQ1203" s="1"/>
      <c r="ER1203" s="1"/>
      <c r="ES1203" s="1"/>
      <c r="EV1203" s="1"/>
      <c r="EW1203" s="1"/>
      <c r="EZ1203" s="1"/>
      <c r="GP1203" s="1"/>
      <c r="HY1203" s="1"/>
      <c r="IE1203" s="1"/>
      <c r="IR1203" s="1"/>
      <c r="IS1203" s="1"/>
      <c r="IZ1203" s="1"/>
      <c r="JC1203" s="1"/>
      <c r="JF1203" s="1"/>
      <c r="JG1203" s="1"/>
      <c r="JH1203" s="1"/>
      <c r="JJ1203" s="1"/>
      <c r="JP1203" s="1"/>
      <c r="JQ1203" s="1"/>
      <c r="KY1203" s="1"/>
      <c r="KZ1203" s="1"/>
      <c r="LA1203" s="1"/>
      <c r="LB1203" s="1"/>
      <c r="LC1203" s="1"/>
      <c r="LD1203" s="1"/>
      <c r="LM1203" s="1"/>
      <c r="LO1203" s="1"/>
      <c r="LP1203" s="1"/>
      <c r="LZ1203" s="1"/>
      <c r="MB1203" s="1"/>
      <c r="MC1203" s="5"/>
      <c r="MD1203" s="5"/>
    </row>
    <row r="1204" spans="4:342" ht="13" x14ac:dyDescent="0.15">
      <c r="D1204" s="12"/>
      <c r="E1204" s="12"/>
      <c r="I1204" s="12"/>
      <c r="J1204" s="13"/>
      <c r="BG1204" s="1"/>
      <c r="BH1204" s="1"/>
      <c r="BI1204" s="1"/>
      <c r="BJ1204" s="1"/>
      <c r="BK1204" s="1"/>
      <c r="BL1204" s="1"/>
      <c r="BM1204" s="1"/>
      <c r="BN1204" s="1"/>
      <c r="BP1204" s="1"/>
      <c r="BQ1204" s="1"/>
      <c r="BR1204" s="1"/>
      <c r="CD1204" s="1"/>
      <c r="CE1204" s="1"/>
      <c r="CF1204" s="1"/>
      <c r="CG1204" s="1"/>
      <c r="CM1204" s="2"/>
      <c r="CP1204" s="1"/>
      <c r="CQ1204" s="1"/>
      <c r="CS1204" s="1"/>
      <c r="CT1204" s="1"/>
      <c r="CU1204" s="1"/>
      <c r="CV1204" s="1"/>
      <c r="CW1204" s="1"/>
      <c r="CX1204" s="1"/>
      <c r="CY1204" s="1"/>
      <c r="CZ1204" s="1"/>
      <c r="DA1204" s="1"/>
      <c r="DB1204" s="1"/>
      <c r="DC1204" s="1"/>
      <c r="DD1204" s="1"/>
      <c r="DE1204" s="1"/>
      <c r="DF1204" s="1"/>
      <c r="DG1204" s="1"/>
      <c r="DH1204" s="1"/>
      <c r="DI1204" s="1"/>
      <c r="DJ1204" s="1"/>
      <c r="DK1204" s="1"/>
      <c r="ED1204" s="1"/>
      <c r="EK1204" s="1"/>
      <c r="EL1204" s="1"/>
      <c r="EM1204" s="1"/>
      <c r="EN1204" s="1"/>
      <c r="EQ1204" s="1"/>
      <c r="ER1204" s="1"/>
      <c r="ES1204" s="1"/>
      <c r="EV1204" s="1"/>
      <c r="EW1204" s="1"/>
      <c r="EZ1204" s="1"/>
      <c r="GP1204" s="1"/>
      <c r="HY1204" s="1"/>
      <c r="IE1204" s="1"/>
      <c r="IR1204" s="1"/>
      <c r="IS1204" s="1"/>
      <c r="IZ1204" s="1"/>
      <c r="JC1204" s="1"/>
      <c r="JF1204" s="1"/>
      <c r="JG1204" s="1"/>
      <c r="JH1204" s="1"/>
      <c r="JJ1204" s="1"/>
      <c r="JP1204" s="1"/>
      <c r="JQ1204" s="1"/>
      <c r="KY1204" s="1"/>
      <c r="KZ1204" s="1"/>
      <c r="LA1204" s="1"/>
      <c r="LB1204" s="1"/>
      <c r="LC1204" s="1"/>
      <c r="LD1204" s="1"/>
      <c r="LM1204" s="1"/>
      <c r="LO1204" s="1"/>
      <c r="LP1204" s="1"/>
      <c r="LZ1204" s="1"/>
      <c r="MB1204" s="1"/>
      <c r="MC1204" s="5"/>
      <c r="MD1204" s="5"/>
    </row>
    <row r="1205" spans="4:342" ht="13" x14ac:dyDescent="0.15">
      <c r="D1205" s="12"/>
      <c r="E1205" s="12"/>
      <c r="I1205" s="12"/>
      <c r="J1205" s="13"/>
      <c r="BG1205" s="1"/>
      <c r="BH1205" s="1"/>
      <c r="BI1205" s="1"/>
      <c r="BJ1205" s="1"/>
      <c r="BK1205" s="1"/>
      <c r="BL1205" s="1"/>
      <c r="BM1205" s="1"/>
      <c r="BN1205" s="1"/>
      <c r="BQ1205" s="1"/>
      <c r="BR1205" s="1"/>
      <c r="CD1205" s="1"/>
      <c r="CE1205" s="1"/>
      <c r="CF1205" s="1"/>
      <c r="CM1205" s="4"/>
      <c r="ED1205" s="1"/>
      <c r="EL1205" s="1"/>
      <c r="EM1205" s="1"/>
      <c r="EN1205" s="1"/>
      <c r="EQ1205" s="1"/>
      <c r="ER1205" s="1"/>
      <c r="ES1205" s="1"/>
      <c r="EV1205" s="1"/>
      <c r="EW1205" s="1"/>
      <c r="EZ1205" s="1"/>
      <c r="GP1205" s="1"/>
      <c r="IR1205" s="1"/>
      <c r="IS1205" s="1"/>
      <c r="IZ1205" s="1"/>
      <c r="JJ1205" s="1"/>
      <c r="JN1205" s="1"/>
      <c r="JP1205" s="1"/>
      <c r="JQ1205" s="1"/>
    </row>
    <row r="1206" spans="4:342" ht="13" x14ac:dyDescent="0.15">
      <c r="D1206" s="12"/>
      <c r="E1206" s="12"/>
      <c r="I1206" s="12"/>
      <c r="J1206" s="13"/>
      <c r="BF1206" s="1"/>
      <c r="BG1206" s="1"/>
      <c r="BH1206" s="1"/>
      <c r="BI1206" s="1"/>
      <c r="BK1206" s="1"/>
      <c r="BL1206" s="1"/>
      <c r="BM1206" s="1"/>
      <c r="BN1206" s="1"/>
      <c r="BO1206" s="1"/>
      <c r="BP1206" s="1"/>
      <c r="BQ1206" s="1"/>
      <c r="BR1206" s="1"/>
      <c r="BX1206" s="1"/>
      <c r="CD1206" s="1"/>
      <c r="CE1206" s="1"/>
      <c r="CF1206" s="1"/>
      <c r="CM1206" s="2"/>
      <c r="CP1206" s="1"/>
      <c r="CQ1206" s="1"/>
      <c r="CR1206" s="1"/>
      <c r="CS1206" s="1"/>
      <c r="CT1206" s="1"/>
      <c r="CU1206" s="1"/>
      <c r="CV1206" s="1"/>
      <c r="CW1206" s="1"/>
      <c r="CX1206" s="1"/>
      <c r="CY1206" s="1"/>
      <c r="CZ1206" s="1"/>
      <c r="DA1206" s="1"/>
      <c r="DB1206" s="1"/>
      <c r="DC1206" s="1"/>
      <c r="DD1206" s="1"/>
      <c r="DE1206" s="1"/>
      <c r="DF1206" s="1"/>
      <c r="DG1206" s="1"/>
      <c r="DH1206" s="1"/>
      <c r="DI1206" s="1"/>
      <c r="DJ1206" s="1"/>
      <c r="DK1206" s="1"/>
      <c r="DM1206" s="1"/>
      <c r="DQ1206" s="1"/>
      <c r="DR1206" s="1"/>
      <c r="DY1206" s="1"/>
      <c r="DZ1206" s="1"/>
      <c r="ED1206" s="1"/>
      <c r="EK1206" s="1"/>
      <c r="EL1206" s="1"/>
      <c r="EM1206" s="1"/>
      <c r="EN1206" s="1"/>
      <c r="EQ1206" s="1"/>
      <c r="ER1206" s="1"/>
      <c r="ES1206" s="1"/>
      <c r="EV1206" s="1"/>
      <c r="EW1206" s="1"/>
      <c r="EZ1206" s="1"/>
      <c r="GO1206" s="1"/>
      <c r="GP1206" s="1"/>
      <c r="HH1206" s="1"/>
      <c r="HY1206" s="1"/>
      <c r="ID1206" s="1"/>
      <c r="IE1206" s="1"/>
      <c r="IS1206" s="1"/>
      <c r="IV1206" s="1"/>
      <c r="IY1206" s="1"/>
      <c r="IZ1206" s="1"/>
      <c r="JF1206" s="1"/>
      <c r="JG1206" s="1"/>
      <c r="JH1206" s="1"/>
      <c r="JJ1206" s="1"/>
      <c r="JN1206" s="1"/>
      <c r="JP1206" s="1"/>
      <c r="JQ1206" s="1"/>
      <c r="JT1206" s="1"/>
      <c r="KV1206" s="1"/>
      <c r="KY1206" s="1"/>
      <c r="KZ1206" s="1"/>
      <c r="LA1206" s="1"/>
      <c r="LB1206" s="1"/>
      <c r="LC1206" s="1"/>
      <c r="LD1206" s="1"/>
      <c r="LO1206" s="1"/>
      <c r="LP1206" s="1"/>
      <c r="LZ1206" s="1"/>
      <c r="MA1206" s="1"/>
    </row>
    <row r="1207" spans="4:342" ht="13" x14ac:dyDescent="0.15">
      <c r="D1207" s="12"/>
      <c r="E1207" s="12"/>
      <c r="I1207" s="12"/>
      <c r="J1207" s="13"/>
      <c r="BF1207" s="1"/>
      <c r="BG1207" s="1"/>
      <c r="BH1207" s="1"/>
      <c r="BI1207" s="1"/>
      <c r="BJ1207" s="1"/>
      <c r="BK1207" s="1"/>
      <c r="BL1207" s="1"/>
      <c r="BM1207" s="1"/>
      <c r="BN1207" s="1"/>
      <c r="BO1207" s="1"/>
      <c r="BQ1207" s="1"/>
      <c r="BR1207" s="1"/>
      <c r="CD1207" s="1"/>
      <c r="CE1207" s="1"/>
      <c r="CF1207" s="1"/>
      <c r="CG1207" s="1"/>
      <c r="CM1207" s="2"/>
      <c r="ED1207" s="1"/>
      <c r="EL1207" s="1"/>
      <c r="EM1207" s="1"/>
      <c r="EN1207" s="1"/>
      <c r="EQ1207" s="1"/>
      <c r="ER1207" s="1"/>
      <c r="ES1207" s="1"/>
      <c r="EV1207" s="1"/>
      <c r="EW1207" s="1"/>
      <c r="EZ1207" s="1"/>
      <c r="GP1207" s="1"/>
      <c r="HH1207" s="1"/>
      <c r="HY1207" s="1"/>
      <c r="ID1207" s="1"/>
      <c r="IS1207" s="1"/>
      <c r="IW1207" s="1"/>
      <c r="IZ1207" s="1"/>
      <c r="JA1207" s="1"/>
      <c r="JG1207" s="1"/>
      <c r="JJ1207" s="1"/>
      <c r="JP1207" s="1"/>
      <c r="JQ1207" s="1"/>
      <c r="JT1207" s="1"/>
    </row>
    <row r="1208" spans="4:342" ht="13" x14ac:dyDescent="0.15">
      <c r="D1208" s="12"/>
      <c r="E1208" s="12"/>
      <c r="I1208" s="12"/>
      <c r="J1208" s="13"/>
      <c r="BF1208" s="1"/>
      <c r="BG1208" s="1"/>
      <c r="BH1208" s="1"/>
      <c r="BI1208" s="1"/>
      <c r="BK1208" s="1"/>
      <c r="BL1208" s="1"/>
      <c r="BM1208" s="1"/>
      <c r="BN1208" s="1"/>
      <c r="BO1208" s="1"/>
      <c r="BP1208" s="1"/>
      <c r="BQ1208" s="1"/>
      <c r="BR1208" s="1"/>
      <c r="BX1208" s="1"/>
      <c r="CD1208" s="1"/>
      <c r="CE1208" s="1"/>
      <c r="CF1208" s="1"/>
      <c r="CG1208" s="1"/>
      <c r="CM1208" s="2"/>
      <c r="CP1208" s="1"/>
      <c r="CQ1208" s="1"/>
      <c r="CR1208" s="1"/>
      <c r="CS1208" s="1"/>
      <c r="CT1208" s="1"/>
      <c r="CU1208" s="1"/>
      <c r="CV1208" s="1"/>
      <c r="CW1208" s="1"/>
      <c r="CX1208" s="1"/>
      <c r="CY1208" s="1"/>
      <c r="CZ1208" s="1"/>
      <c r="DA1208" s="1"/>
      <c r="DB1208" s="1"/>
      <c r="DC1208" s="1"/>
      <c r="DD1208" s="1"/>
      <c r="DE1208" s="1"/>
      <c r="DF1208" s="1"/>
      <c r="DG1208" s="1"/>
      <c r="DH1208" s="1"/>
      <c r="DI1208" s="1"/>
      <c r="DJ1208" s="1"/>
      <c r="DK1208" s="1"/>
      <c r="DM1208" s="1"/>
      <c r="DQ1208" s="1"/>
      <c r="DR1208" s="1"/>
      <c r="DY1208" s="1"/>
      <c r="DZ1208" s="1"/>
      <c r="ED1208" s="1"/>
      <c r="EE1208" s="1"/>
      <c r="EF1208" s="1"/>
      <c r="EG1208" s="1"/>
      <c r="EH1208" s="1"/>
      <c r="EK1208" s="1"/>
      <c r="EL1208" s="1"/>
      <c r="EM1208" s="1"/>
      <c r="EN1208" s="1"/>
      <c r="EQ1208" s="1"/>
      <c r="ER1208" s="1"/>
      <c r="ES1208" s="1"/>
      <c r="EV1208" s="1"/>
      <c r="EW1208" s="1"/>
      <c r="EY1208" s="1"/>
      <c r="EZ1208" s="1"/>
      <c r="GO1208" s="1"/>
      <c r="GP1208" s="1"/>
      <c r="HH1208" s="1"/>
      <c r="HY1208" s="1"/>
      <c r="IC1208" s="1"/>
      <c r="IE1208" s="1"/>
      <c r="IG1208" s="1"/>
      <c r="IJ1208" s="1"/>
      <c r="IR1208" s="1"/>
      <c r="IS1208" s="1"/>
      <c r="IY1208" s="1"/>
      <c r="IZ1208" s="1"/>
      <c r="JC1208" s="1"/>
      <c r="JF1208" s="1"/>
      <c r="JG1208" s="1"/>
      <c r="JH1208" s="1"/>
      <c r="JI1208" s="1"/>
      <c r="JJ1208" s="1"/>
      <c r="JK1208" s="1"/>
      <c r="JL1208" s="3"/>
      <c r="JM1208" s="1"/>
      <c r="JN1208" s="1"/>
      <c r="JP1208" s="1"/>
      <c r="JQ1208" s="1"/>
      <c r="JR1208" s="1"/>
      <c r="JT1208" s="1"/>
      <c r="KU1208" s="1"/>
      <c r="KV1208" s="1"/>
      <c r="KW1208" s="1"/>
      <c r="KY1208" s="1"/>
      <c r="KZ1208" s="1"/>
      <c r="LA1208" s="1"/>
      <c r="LB1208" s="1"/>
      <c r="LC1208" s="1"/>
      <c r="LD1208" s="1"/>
      <c r="LF1208" s="1"/>
      <c r="LN1208" s="1"/>
      <c r="LO1208" s="1"/>
      <c r="LP1208" s="1"/>
      <c r="LZ1208" s="1"/>
      <c r="MA1208" s="1"/>
    </row>
    <row r="1209" spans="4:342" ht="13" x14ac:dyDescent="0.15">
      <c r="D1209" s="12"/>
      <c r="E1209" s="12"/>
      <c r="I1209" s="12"/>
      <c r="J1209" s="13"/>
      <c r="BF1209" s="1"/>
      <c r="BG1209" s="1"/>
      <c r="BH1209" s="1"/>
      <c r="BI1209" s="1"/>
      <c r="BK1209" s="1"/>
      <c r="BL1209" s="1"/>
      <c r="BM1209" s="1"/>
      <c r="BN1209" s="1"/>
      <c r="BO1209" s="1"/>
      <c r="BP1209" s="1"/>
      <c r="BQ1209" s="1"/>
      <c r="BR1209" s="1"/>
      <c r="BX1209" s="1"/>
      <c r="CD1209" s="1"/>
      <c r="CE1209" s="1"/>
      <c r="CF1209" s="1"/>
      <c r="CG1209" s="1"/>
      <c r="CM1209" s="2"/>
      <c r="CP1209" s="1"/>
      <c r="CQ1209" s="1"/>
      <c r="CR1209" s="1"/>
      <c r="CS1209" s="1"/>
      <c r="CT1209" s="1"/>
      <c r="CU1209" s="1"/>
      <c r="CV1209" s="1"/>
      <c r="CW1209" s="1"/>
      <c r="CX1209" s="1"/>
      <c r="CY1209" s="1"/>
      <c r="CZ1209" s="1"/>
      <c r="DA1209" s="1"/>
      <c r="DB1209" s="1"/>
      <c r="DC1209" s="1"/>
      <c r="DD1209" s="1"/>
      <c r="DE1209" s="1"/>
      <c r="DF1209" s="1"/>
      <c r="DG1209" s="1"/>
      <c r="DH1209" s="1"/>
      <c r="DI1209" s="1"/>
      <c r="DJ1209" s="1"/>
      <c r="DK1209" s="1"/>
      <c r="DM1209" s="1"/>
      <c r="DQ1209" s="1"/>
      <c r="DR1209" s="1"/>
      <c r="DY1209" s="1"/>
      <c r="DZ1209" s="1"/>
      <c r="ED1209" s="1"/>
      <c r="EE1209" s="1"/>
      <c r="EF1209" s="1"/>
      <c r="EG1209" s="1"/>
      <c r="EH1209" s="1"/>
      <c r="EK1209" s="1"/>
      <c r="EL1209" s="1"/>
      <c r="EM1209" s="1"/>
      <c r="EN1209" s="1"/>
      <c r="EQ1209" s="1"/>
      <c r="ER1209" s="1"/>
      <c r="ES1209" s="1"/>
      <c r="EV1209" s="1"/>
      <c r="EW1209" s="1"/>
      <c r="EY1209" s="1"/>
      <c r="EZ1209" s="1"/>
      <c r="GO1209" s="1"/>
      <c r="GP1209" s="1"/>
      <c r="HH1209" s="1"/>
      <c r="HY1209" s="1"/>
      <c r="IC1209" s="1"/>
      <c r="IE1209" s="1"/>
      <c r="IG1209" s="1"/>
      <c r="IJ1209" s="1"/>
      <c r="IR1209" s="1"/>
      <c r="IS1209" s="1"/>
      <c r="IY1209" s="1"/>
      <c r="IZ1209" s="1"/>
      <c r="JC1209" s="1"/>
      <c r="JF1209" s="1"/>
      <c r="JG1209" s="1"/>
      <c r="JH1209" s="1"/>
      <c r="JI1209" s="1"/>
      <c r="JJ1209" s="1"/>
      <c r="JK1209" s="1"/>
      <c r="JL1209" s="3"/>
      <c r="JM1209" s="1"/>
      <c r="JN1209" s="1"/>
      <c r="JP1209" s="1"/>
      <c r="JQ1209" s="1"/>
      <c r="JR1209" s="1"/>
      <c r="JT1209" s="1"/>
      <c r="KU1209" s="1"/>
      <c r="KV1209" s="1"/>
      <c r="KW1209" s="1"/>
      <c r="KY1209" s="1"/>
      <c r="KZ1209" s="1"/>
      <c r="LA1209" s="1"/>
      <c r="LB1209" s="1"/>
      <c r="LC1209" s="1"/>
      <c r="LD1209" s="1"/>
      <c r="LF1209" s="1"/>
      <c r="LN1209" s="1"/>
      <c r="LO1209" s="1"/>
      <c r="LP1209" s="1"/>
      <c r="LZ1209" s="1"/>
      <c r="MA1209" s="1"/>
    </row>
    <row r="1210" spans="4:342" ht="13" x14ac:dyDescent="0.15">
      <c r="D1210" s="12"/>
      <c r="E1210" s="12"/>
      <c r="I1210" s="12"/>
      <c r="J1210" s="13"/>
      <c r="BF1210" s="1"/>
      <c r="BG1210" s="1"/>
      <c r="BH1210" s="1"/>
      <c r="BI1210" s="1"/>
      <c r="BK1210" s="1"/>
      <c r="BL1210" s="1"/>
      <c r="BM1210" s="1"/>
      <c r="BN1210" s="1"/>
      <c r="BO1210" s="1"/>
      <c r="BP1210" s="1"/>
      <c r="BQ1210" s="1"/>
      <c r="BR1210" s="1"/>
      <c r="BX1210" s="1"/>
      <c r="CD1210" s="1"/>
      <c r="CE1210" s="1"/>
      <c r="CF1210" s="1"/>
      <c r="CG1210" s="1"/>
      <c r="CM1210" s="2"/>
      <c r="CP1210" s="1"/>
      <c r="CQ1210" s="1"/>
      <c r="CR1210" s="1"/>
      <c r="CS1210" s="1"/>
      <c r="CT1210" s="1"/>
      <c r="CU1210" s="1"/>
      <c r="CV1210" s="1"/>
      <c r="CW1210" s="1"/>
      <c r="CX1210" s="1"/>
      <c r="CY1210" s="1"/>
      <c r="CZ1210" s="1"/>
      <c r="DA1210" s="1"/>
      <c r="DB1210" s="1"/>
      <c r="DC1210" s="1"/>
      <c r="DD1210" s="1"/>
      <c r="DE1210" s="1"/>
      <c r="DF1210" s="1"/>
      <c r="DG1210" s="1"/>
      <c r="DH1210" s="1"/>
      <c r="DI1210" s="1"/>
      <c r="DJ1210" s="1"/>
      <c r="DK1210" s="1"/>
      <c r="DM1210" s="1"/>
      <c r="DQ1210" s="1"/>
      <c r="DR1210" s="1"/>
      <c r="DY1210" s="1"/>
      <c r="DZ1210" s="1"/>
      <c r="ED1210" s="1"/>
      <c r="EE1210" s="1"/>
      <c r="EF1210" s="1"/>
      <c r="EG1210" s="1"/>
      <c r="EH1210" s="1"/>
      <c r="EK1210" s="1"/>
      <c r="EL1210" s="1"/>
      <c r="EM1210" s="1"/>
      <c r="EN1210" s="1"/>
      <c r="EQ1210" s="1"/>
      <c r="ER1210" s="1"/>
      <c r="ES1210" s="1"/>
      <c r="EV1210" s="1"/>
      <c r="EW1210" s="1"/>
      <c r="EY1210" s="1"/>
      <c r="EZ1210" s="1"/>
      <c r="GO1210" s="1"/>
      <c r="GP1210" s="1"/>
      <c r="HH1210" s="1"/>
      <c r="HY1210" s="1"/>
      <c r="IC1210" s="1"/>
      <c r="IE1210" s="1"/>
      <c r="IG1210" s="1"/>
      <c r="IJ1210" s="1"/>
      <c r="IR1210" s="1"/>
      <c r="IS1210" s="1"/>
      <c r="IY1210" s="1"/>
      <c r="IZ1210" s="1"/>
      <c r="JC1210" s="1"/>
      <c r="JF1210" s="1"/>
      <c r="JG1210" s="1"/>
      <c r="JH1210" s="1"/>
      <c r="JI1210" s="1"/>
      <c r="JJ1210" s="1"/>
      <c r="JK1210" s="1"/>
      <c r="JL1210" s="3"/>
      <c r="JM1210" s="1"/>
      <c r="JN1210" s="1"/>
      <c r="JP1210" s="1"/>
      <c r="JQ1210" s="1"/>
      <c r="JR1210" s="1"/>
      <c r="JT1210" s="1"/>
      <c r="KU1210" s="1"/>
      <c r="KV1210" s="1"/>
      <c r="KW1210" s="1"/>
      <c r="KY1210" s="1"/>
      <c r="KZ1210" s="1"/>
      <c r="LA1210" s="1"/>
      <c r="LB1210" s="1"/>
      <c r="LC1210" s="1"/>
      <c r="LD1210" s="1"/>
      <c r="LF1210" s="1"/>
      <c r="LN1210" s="1"/>
      <c r="LO1210" s="1"/>
      <c r="LP1210" s="1"/>
      <c r="LZ1210" s="1"/>
      <c r="MA1210" s="1"/>
    </row>
    <row r="1211" spans="4:342" ht="13" x14ac:dyDescent="0.15">
      <c r="D1211" s="12"/>
      <c r="E1211" s="12"/>
      <c r="I1211" s="12"/>
      <c r="J1211" s="13"/>
      <c r="BF1211" s="1"/>
      <c r="BG1211" s="1"/>
      <c r="BH1211" s="1"/>
      <c r="BI1211" s="1"/>
      <c r="BK1211" s="1"/>
      <c r="BL1211" s="1"/>
      <c r="BM1211" s="1"/>
      <c r="BN1211" s="1"/>
      <c r="BO1211" s="1"/>
      <c r="BP1211" s="1"/>
      <c r="BQ1211" s="1"/>
      <c r="BR1211" s="1"/>
      <c r="BX1211" s="1"/>
      <c r="CD1211" s="1"/>
      <c r="CE1211" s="1"/>
      <c r="CF1211" s="1"/>
      <c r="CG1211" s="1"/>
      <c r="CM1211" s="2"/>
      <c r="CP1211" s="1"/>
      <c r="CQ1211" s="1"/>
      <c r="CR1211" s="1"/>
      <c r="CS1211" s="1"/>
      <c r="CT1211" s="1"/>
      <c r="CU1211" s="1"/>
      <c r="CV1211" s="1"/>
      <c r="CW1211" s="1"/>
      <c r="CX1211" s="1"/>
      <c r="CY1211" s="1"/>
      <c r="CZ1211" s="1"/>
      <c r="DA1211" s="1"/>
      <c r="DB1211" s="1"/>
      <c r="DC1211" s="1"/>
      <c r="DD1211" s="1"/>
      <c r="DE1211" s="1"/>
      <c r="DF1211" s="1"/>
      <c r="DG1211" s="1"/>
      <c r="DH1211" s="1"/>
      <c r="DI1211" s="1"/>
      <c r="DJ1211" s="1"/>
      <c r="DK1211" s="1"/>
      <c r="DM1211" s="1"/>
      <c r="DQ1211" s="1"/>
      <c r="DR1211" s="1"/>
      <c r="DY1211" s="1"/>
      <c r="DZ1211" s="1"/>
      <c r="ED1211" s="1"/>
      <c r="EE1211" s="1"/>
      <c r="EF1211" s="1"/>
      <c r="EG1211" s="1"/>
      <c r="EH1211" s="1"/>
      <c r="EK1211" s="1"/>
      <c r="EL1211" s="1"/>
      <c r="EM1211" s="1"/>
      <c r="EN1211" s="1"/>
      <c r="EQ1211" s="1"/>
      <c r="ER1211" s="1"/>
      <c r="ES1211" s="1"/>
      <c r="EV1211" s="1"/>
      <c r="EW1211" s="1"/>
      <c r="EY1211" s="1"/>
      <c r="EZ1211" s="1"/>
      <c r="GO1211" s="1"/>
      <c r="GP1211" s="1"/>
      <c r="HH1211" s="1"/>
      <c r="HY1211" s="1"/>
      <c r="IC1211" s="1"/>
      <c r="IE1211" s="1"/>
      <c r="IG1211" s="1"/>
      <c r="IJ1211" s="1"/>
      <c r="IR1211" s="1"/>
      <c r="IS1211" s="1"/>
      <c r="IY1211" s="1"/>
      <c r="IZ1211" s="1"/>
      <c r="JC1211" s="1"/>
      <c r="JF1211" s="1"/>
      <c r="JG1211" s="1"/>
      <c r="JH1211" s="1"/>
      <c r="JI1211" s="1"/>
      <c r="JJ1211" s="1"/>
      <c r="JK1211" s="1"/>
      <c r="JL1211" s="3"/>
      <c r="JM1211" s="1"/>
      <c r="JN1211" s="1"/>
      <c r="JP1211" s="1"/>
      <c r="JQ1211" s="1"/>
      <c r="JR1211" s="1"/>
      <c r="JT1211" s="1"/>
      <c r="KU1211" s="1"/>
      <c r="KV1211" s="1"/>
      <c r="KW1211" s="1"/>
      <c r="KY1211" s="1"/>
      <c r="KZ1211" s="1"/>
      <c r="LA1211" s="1"/>
      <c r="LB1211" s="1"/>
      <c r="LC1211" s="1"/>
      <c r="LD1211" s="1"/>
      <c r="LF1211" s="1"/>
      <c r="LN1211" s="1"/>
      <c r="LO1211" s="1"/>
      <c r="LP1211" s="1"/>
      <c r="LZ1211" s="1"/>
      <c r="MA1211" s="1"/>
    </row>
    <row r="1212" spans="4:342" ht="13" x14ac:dyDescent="0.15">
      <c r="D1212" s="12"/>
      <c r="E1212" s="12"/>
      <c r="I1212" s="12"/>
      <c r="J1212" s="13"/>
      <c r="BF1212" s="1"/>
      <c r="BG1212" s="1"/>
      <c r="BH1212" s="1"/>
      <c r="BI1212" s="1"/>
      <c r="BK1212" s="1"/>
      <c r="BL1212" s="1"/>
      <c r="BM1212" s="1"/>
      <c r="BN1212" s="1"/>
      <c r="BO1212" s="1"/>
      <c r="BP1212" s="1"/>
      <c r="BQ1212" s="1"/>
      <c r="BR1212" s="1"/>
      <c r="BX1212" s="1"/>
      <c r="CD1212" s="1"/>
      <c r="CE1212" s="1"/>
      <c r="CF1212" s="1"/>
      <c r="CG1212" s="1"/>
      <c r="CM1212" s="2"/>
      <c r="CP1212" s="1"/>
      <c r="CQ1212" s="1"/>
      <c r="CR1212" s="1"/>
      <c r="CS1212" s="1"/>
      <c r="CT1212" s="1"/>
      <c r="CU1212" s="1"/>
      <c r="CV1212" s="1"/>
      <c r="CW1212" s="1"/>
      <c r="CX1212" s="1"/>
      <c r="CY1212" s="1"/>
      <c r="CZ1212" s="1"/>
      <c r="DA1212" s="1"/>
      <c r="DB1212" s="1"/>
      <c r="DC1212" s="1"/>
      <c r="DD1212" s="1"/>
      <c r="DE1212" s="1"/>
      <c r="DF1212" s="1"/>
      <c r="DG1212" s="1"/>
      <c r="DH1212" s="1"/>
      <c r="DI1212" s="1"/>
      <c r="DJ1212" s="1"/>
      <c r="DK1212" s="1"/>
      <c r="DM1212" s="1"/>
      <c r="DQ1212" s="1"/>
      <c r="DR1212" s="1"/>
      <c r="DY1212" s="1"/>
      <c r="DZ1212" s="1"/>
      <c r="ED1212" s="1"/>
      <c r="EE1212" s="1"/>
      <c r="EF1212" s="1"/>
      <c r="EG1212" s="1"/>
      <c r="EH1212" s="1"/>
      <c r="EK1212" s="1"/>
      <c r="EL1212" s="1"/>
      <c r="EM1212" s="1"/>
      <c r="EN1212" s="1"/>
      <c r="EQ1212" s="1"/>
      <c r="ER1212" s="1"/>
      <c r="ES1212" s="1"/>
      <c r="EV1212" s="1"/>
      <c r="EW1212" s="1"/>
      <c r="EY1212" s="1"/>
      <c r="EZ1212" s="1"/>
      <c r="GO1212" s="1"/>
      <c r="GP1212" s="1"/>
      <c r="HH1212" s="1"/>
      <c r="HY1212" s="1"/>
      <c r="IC1212" s="1"/>
      <c r="IE1212" s="1"/>
      <c r="IG1212" s="1"/>
      <c r="IJ1212" s="1"/>
      <c r="IR1212" s="1"/>
      <c r="IS1212" s="1"/>
      <c r="IY1212" s="1"/>
      <c r="IZ1212" s="1"/>
      <c r="JC1212" s="1"/>
      <c r="JF1212" s="1"/>
      <c r="JG1212" s="1"/>
      <c r="JH1212" s="1"/>
      <c r="JI1212" s="1"/>
      <c r="JJ1212" s="1"/>
      <c r="JK1212" s="1"/>
      <c r="JL1212" s="3"/>
      <c r="JM1212" s="1"/>
      <c r="JN1212" s="1"/>
      <c r="JP1212" s="1"/>
      <c r="JQ1212" s="1"/>
      <c r="JR1212" s="1"/>
      <c r="JT1212" s="1"/>
      <c r="KU1212" s="1"/>
      <c r="KV1212" s="1"/>
      <c r="KW1212" s="1"/>
      <c r="KY1212" s="1"/>
      <c r="KZ1212" s="1"/>
      <c r="LA1212" s="1"/>
      <c r="LB1212" s="1"/>
      <c r="LC1212" s="1"/>
      <c r="LD1212" s="1"/>
      <c r="LF1212" s="1"/>
      <c r="LN1212" s="1"/>
      <c r="LO1212" s="1"/>
      <c r="LP1212" s="1"/>
      <c r="LZ1212" s="1"/>
      <c r="MA1212" s="1"/>
    </row>
    <row r="1213" spans="4:342" ht="13" x14ac:dyDescent="0.15">
      <c r="D1213" s="12"/>
      <c r="E1213" s="12"/>
      <c r="I1213" s="12"/>
      <c r="J1213" s="13"/>
      <c r="BF1213" s="1"/>
      <c r="BG1213" s="1"/>
      <c r="BH1213" s="1"/>
      <c r="BI1213" s="1"/>
      <c r="BK1213" s="1"/>
      <c r="BL1213" s="1"/>
      <c r="BM1213" s="1"/>
      <c r="BN1213" s="1"/>
      <c r="BO1213" s="1"/>
      <c r="BP1213" s="1"/>
      <c r="BQ1213" s="1"/>
      <c r="BR1213" s="1"/>
      <c r="BX1213" s="1"/>
      <c r="CD1213" s="1"/>
      <c r="CE1213" s="1"/>
      <c r="CF1213" s="1"/>
      <c r="CG1213" s="1"/>
      <c r="CM1213" s="2"/>
      <c r="CP1213" s="1"/>
      <c r="CQ1213" s="1"/>
      <c r="CR1213" s="1"/>
      <c r="CS1213" s="1"/>
      <c r="CT1213" s="1"/>
      <c r="CU1213" s="1"/>
      <c r="CV1213" s="1"/>
      <c r="CW1213" s="1"/>
      <c r="CX1213" s="1"/>
      <c r="CY1213" s="1"/>
      <c r="CZ1213" s="1"/>
      <c r="DA1213" s="1"/>
      <c r="DB1213" s="1"/>
      <c r="DC1213" s="1"/>
      <c r="DD1213" s="1"/>
      <c r="DE1213" s="1"/>
      <c r="DF1213" s="1"/>
      <c r="DG1213" s="1"/>
      <c r="DH1213" s="1"/>
      <c r="DI1213" s="1"/>
      <c r="DJ1213" s="1"/>
      <c r="DK1213" s="1"/>
      <c r="DM1213" s="1"/>
      <c r="DQ1213" s="1"/>
      <c r="DR1213" s="1"/>
      <c r="DY1213" s="1"/>
      <c r="DZ1213" s="1"/>
      <c r="ED1213" s="1"/>
      <c r="EE1213" s="1"/>
      <c r="EF1213" s="1"/>
      <c r="EG1213" s="1"/>
      <c r="EH1213" s="1"/>
      <c r="EK1213" s="1"/>
      <c r="EL1213" s="1"/>
      <c r="EM1213" s="1"/>
      <c r="EN1213" s="1"/>
      <c r="EQ1213" s="1"/>
      <c r="ER1213" s="1"/>
      <c r="ES1213" s="1"/>
      <c r="EV1213" s="1"/>
      <c r="EW1213" s="1"/>
      <c r="EY1213" s="1"/>
      <c r="EZ1213" s="1"/>
      <c r="GO1213" s="1"/>
      <c r="GP1213" s="1"/>
      <c r="HH1213" s="1"/>
      <c r="HY1213" s="1"/>
      <c r="IC1213" s="1"/>
      <c r="IE1213" s="1"/>
      <c r="IG1213" s="1"/>
      <c r="IJ1213" s="1"/>
      <c r="IR1213" s="1"/>
      <c r="IS1213" s="1"/>
      <c r="IY1213" s="1"/>
      <c r="IZ1213" s="1"/>
      <c r="JC1213" s="1"/>
      <c r="JF1213" s="1"/>
      <c r="JG1213" s="1"/>
      <c r="JH1213" s="1"/>
      <c r="JI1213" s="1"/>
      <c r="JJ1213" s="1"/>
      <c r="JK1213" s="1"/>
      <c r="JL1213" s="3"/>
      <c r="JM1213" s="1"/>
      <c r="JN1213" s="1"/>
      <c r="JP1213" s="1"/>
      <c r="JQ1213" s="1"/>
      <c r="JR1213" s="1"/>
      <c r="JT1213" s="1"/>
      <c r="KU1213" s="1"/>
      <c r="KV1213" s="1"/>
      <c r="KW1213" s="1"/>
      <c r="KY1213" s="1"/>
      <c r="KZ1213" s="1"/>
      <c r="LA1213" s="1"/>
      <c r="LB1213" s="1"/>
      <c r="LC1213" s="1"/>
      <c r="LD1213" s="1"/>
      <c r="LF1213" s="1"/>
      <c r="LN1213" s="1"/>
      <c r="LO1213" s="1"/>
      <c r="LP1213" s="1"/>
      <c r="LZ1213" s="1"/>
      <c r="MA1213" s="1"/>
    </row>
    <row r="1214" spans="4:342" ht="13" x14ac:dyDescent="0.15">
      <c r="D1214" s="12"/>
      <c r="E1214" s="12"/>
      <c r="I1214" s="12"/>
      <c r="J1214" s="13"/>
      <c r="BF1214" s="1"/>
      <c r="BG1214" s="1"/>
      <c r="BH1214" s="1"/>
      <c r="BI1214" s="1"/>
      <c r="BK1214" s="1"/>
      <c r="BL1214" s="1"/>
      <c r="BM1214" s="1"/>
      <c r="BN1214" s="1"/>
      <c r="BO1214" s="1"/>
      <c r="BP1214" s="1"/>
      <c r="BQ1214" s="1"/>
      <c r="BR1214" s="1"/>
      <c r="BX1214" s="1"/>
      <c r="CD1214" s="1"/>
      <c r="CE1214" s="1"/>
      <c r="CF1214" s="1"/>
      <c r="CG1214" s="1"/>
      <c r="CM1214" s="2"/>
      <c r="CP1214" s="1"/>
      <c r="CQ1214" s="1"/>
      <c r="CR1214" s="1"/>
      <c r="CS1214" s="1"/>
      <c r="CT1214" s="1"/>
      <c r="CU1214" s="1"/>
      <c r="CV1214" s="1"/>
      <c r="CW1214" s="1"/>
      <c r="CX1214" s="1"/>
      <c r="CY1214" s="1"/>
      <c r="CZ1214" s="1"/>
      <c r="DA1214" s="1"/>
      <c r="DB1214" s="1"/>
      <c r="DC1214" s="1"/>
      <c r="DD1214" s="1"/>
      <c r="DE1214" s="1"/>
      <c r="DF1214" s="1"/>
      <c r="DG1214" s="1"/>
      <c r="DH1214" s="1"/>
      <c r="DI1214" s="1"/>
      <c r="DJ1214" s="1"/>
      <c r="DK1214" s="1"/>
      <c r="DM1214" s="1"/>
      <c r="DQ1214" s="1"/>
      <c r="DR1214" s="1"/>
      <c r="DY1214" s="1"/>
      <c r="DZ1214" s="1"/>
      <c r="ED1214" s="1"/>
      <c r="EE1214" s="1"/>
      <c r="EF1214" s="1"/>
      <c r="EG1214" s="1"/>
      <c r="EH1214" s="1"/>
      <c r="EK1214" s="1"/>
      <c r="EL1214" s="1"/>
      <c r="EM1214" s="1"/>
      <c r="EN1214" s="1"/>
      <c r="EQ1214" s="1"/>
      <c r="ER1214" s="1"/>
      <c r="ES1214" s="1"/>
      <c r="EV1214" s="1"/>
      <c r="EW1214" s="1"/>
      <c r="EY1214" s="1"/>
      <c r="EZ1214" s="1"/>
      <c r="GO1214" s="1"/>
      <c r="GP1214" s="1"/>
      <c r="HH1214" s="1"/>
      <c r="HY1214" s="1"/>
      <c r="IC1214" s="1"/>
      <c r="IE1214" s="1"/>
      <c r="IG1214" s="1"/>
      <c r="IJ1214" s="1"/>
      <c r="IR1214" s="1"/>
      <c r="IS1214" s="1"/>
      <c r="IY1214" s="1"/>
      <c r="IZ1214" s="1"/>
      <c r="JC1214" s="1"/>
      <c r="JF1214" s="1"/>
      <c r="JG1214" s="1"/>
      <c r="JH1214" s="1"/>
      <c r="JI1214" s="1"/>
      <c r="JJ1214" s="1"/>
      <c r="JK1214" s="1"/>
      <c r="JL1214" s="3"/>
      <c r="JM1214" s="1"/>
      <c r="JN1214" s="1"/>
      <c r="JP1214" s="1"/>
      <c r="JQ1214" s="1"/>
      <c r="JR1214" s="1"/>
      <c r="JT1214" s="1"/>
      <c r="KU1214" s="1"/>
      <c r="KV1214" s="1"/>
      <c r="KW1214" s="1"/>
      <c r="KY1214" s="1"/>
      <c r="KZ1214" s="1"/>
      <c r="LA1214" s="1"/>
      <c r="LB1214" s="1"/>
      <c r="LC1214" s="1"/>
      <c r="LD1214" s="1"/>
      <c r="LF1214" s="1"/>
      <c r="LN1214" s="1"/>
      <c r="LO1214" s="1"/>
      <c r="LP1214" s="1"/>
      <c r="LZ1214" s="1"/>
      <c r="MA1214" s="1"/>
    </row>
    <row r="1215" spans="4:342" ht="13" x14ac:dyDescent="0.15">
      <c r="D1215" s="12"/>
      <c r="E1215" s="12"/>
      <c r="I1215" s="12"/>
      <c r="J1215" s="13"/>
      <c r="BF1215" s="1"/>
      <c r="BG1215" s="1"/>
      <c r="BH1215" s="1"/>
      <c r="BI1215" s="1"/>
      <c r="BK1215" s="1"/>
      <c r="BL1215" s="1"/>
      <c r="BM1215" s="1"/>
      <c r="BN1215" s="1"/>
      <c r="BO1215" s="1"/>
      <c r="BP1215" s="1"/>
      <c r="BQ1215" s="1"/>
      <c r="BR1215" s="1"/>
      <c r="BX1215" s="1"/>
      <c r="CD1215" s="1"/>
      <c r="CE1215" s="1"/>
      <c r="CF1215" s="1"/>
      <c r="CG1215" s="1"/>
      <c r="CM1215" s="2"/>
      <c r="CP1215" s="1"/>
      <c r="CQ1215" s="1"/>
      <c r="CR1215" s="1"/>
      <c r="CS1215" s="1"/>
      <c r="CT1215" s="1"/>
      <c r="CU1215" s="1"/>
      <c r="CV1215" s="1"/>
      <c r="CW1215" s="1"/>
      <c r="CX1215" s="1"/>
      <c r="CY1215" s="1"/>
      <c r="CZ1215" s="1"/>
      <c r="DA1215" s="1"/>
      <c r="DB1215" s="1"/>
      <c r="DC1215" s="1"/>
      <c r="DD1215" s="1"/>
      <c r="DE1215" s="1"/>
      <c r="DF1215" s="1"/>
      <c r="DG1215" s="1"/>
      <c r="DH1215" s="1"/>
      <c r="DI1215" s="1"/>
      <c r="DJ1215" s="1"/>
      <c r="DK1215" s="1"/>
      <c r="DM1215" s="1"/>
      <c r="DQ1215" s="1"/>
      <c r="DR1215" s="1"/>
      <c r="DY1215" s="1"/>
      <c r="DZ1215" s="1"/>
      <c r="ED1215" s="1"/>
      <c r="EE1215" s="1"/>
      <c r="EF1215" s="1"/>
      <c r="EG1215" s="1"/>
      <c r="EH1215" s="1"/>
      <c r="EK1215" s="1"/>
      <c r="EL1215" s="1"/>
      <c r="EM1215" s="1"/>
      <c r="EN1215" s="1"/>
      <c r="EQ1215" s="1"/>
      <c r="ER1215" s="1"/>
      <c r="ES1215" s="1"/>
      <c r="EV1215" s="1"/>
      <c r="EW1215" s="1"/>
      <c r="EY1215" s="1"/>
      <c r="EZ1215" s="1"/>
      <c r="GO1215" s="1"/>
      <c r="GP1215" s="1"/>
      <c r="HH1215" s="1"/>
      <c r="HY1215" s="1"/>
      <c r="IC1215" s="1"/>
      <c r="IE1215" s="1"/>
      <c r="IG1215" s="1"/>
      <c r="IJ1215" s="1"/>
      <c r="IR1215" s="1"/>
      <c r="IS1215" s="1"/>
      <c r="IY1215" s="1"/>
      <c r="IZ1215" s="1"/>
      <c r="JC1215" s="1"/>
      <c r="JF1215" s="1"/>
      <c r="JG1215" s="1"/>
      <c r="JH1215" s="1"/>
      <c r="JI1215" s="1"/>
      <c r="JJ1215" s="1"/>
      <c r="JK1215" s="1"/>
      <c r="JL1215" s="3"/>
      <c r="JM1215" s="1"/>
      <c r="JN1215" s="1"/>
      <c r="JP1215" s="1"/>
      <c r="JQ1215" s="1"/>
      <c r="JR1215" s="1"/>
      <c r="JT1215" s="1"/>
      <c r="KU1215" s="1"/>
      <c r="KV1215" s="1"/>
      <c r="KW1215" s="1"/>
      <c r="KY1215" s="1"/>
      <c r="KZ1215" s="1"/>
      <c r="LA1215" s="1"/>
      <c r="LB1215" s="1"/>
      <c r="LC1215" s="1"/>
      <c r="LD1215" s="1"/>
      <c r="LF1215" s="1"/>
      <c r="LN1215" s="1"/>
      <c r="LO1215" s="1"/>
      <c r="LP1215" s="1"/>
      <c r="LZ1215" s="1"/>
      <c r="MA1215" s="1"/>
    </row>
    <row r="1216" spans="4:342" ht="13" x14ac:dyDescent="0.15">
      <c r="D1216" s="12"/>
      <c r="E1216" s="12"/>
      <c r="I1216" s="12"/>
      <c r="J1216" s="13"/>
      <c r="BF1216" s="1"/>
      <c r="BG1216" s="1"/>
      <c r="BH1216" s="1"/>
      <c r="BI1216" s="1"/>
      <c r="BK1216" s="1"/>
      <c r="BL1216" s="1"/>
      <c r="BM1216" s="1"/>
      <c r="BN1216" s="1"/>
      <c r="BO1216" s="1"/>
      <c r="BP1216" s="1"/>
      <c r="BQ1216" s="1"/>
      <c r="BR1216" s="1"/>
      <c r="BX1216" s="1"/>
      <c r="CD1216" s="1"/>
      <c r="CE1216" s="1"/>
      <c r="CF1216" s="1"/>
      <c r="CG1216" s="1"/>
      <c r="CM1216" s="2"/>
      <c r="CP1216" s="1"/>
      <c r="CQ1216" s="1"/>
      <c r="CR1216" s="1"/>
      <c r="CS1216" s="1"/>
      <c r="CT1216" s="1"/>
      <c r="CU1216" s="1"/>
      <c r="CV1216" s="1"/>
      <c r="CW1216" s="1"/>
      <c r="CX1216" s="1"/>
      <c r="CY1216" s="1"/>
      <c r="CZ1216" s="1"/>
      <c r="DA1216" s="1"/>
      <c r="DB1216" s="1"/>
      <c r="DC1216" s="1"/>
      <c r="DD1216" s="1"/>
      <c r="DE1216" s="1"/>
      <c r="DF1216" s="1"/>
      <c r="DG1216" s="1"/>
      <c r="DH1216" s="1"/>
      <c r="DI1216" s="1"/>
      <c r="DJ1216" s="1"/>
      <c r="DK1216" s="1"/>
      <c r="DM1216" s="1"/>
      <c r="DQ1216" s="1"/>
      <c r="DR1216" s="1"/>
      <c r="DY1216" s="1"/>
      <c r="DZ1216" s="1"/>
      <c r="ED1216" s="1"/>
      <c r="EE1216" s="1"/>
      <c r="EF1216" s="1"/>
      <c r="EG1216" s="1"/>
      <c r="EH1216" s="1"/>
      <c r="EK1216" s="1"/>
      <c r="EL1216" s="1"/>
      <c r="EM1216" s="1"/>
      <c r="EN1216" s="1"/>
      <c r="EQ1216" s="1"/>
      <c r="ER1216" s="1"/>
      <c r="ES1216" s="1"/>
      <c r="EV1216" s="1"/>
      <c r="EW1216" s="1"/>
      <c r="EY1216" s="1"/>
      <c r="EZ1216" s="1"/>
      <c r="GO1216" s="1"/>
      <c r="GP1216" s="1"/>
      <c r="HH1216" s="1"/>
      <c r="HY1216" s="1"/>
      <c r="IC1216" s="1"/>
      <c r="IE1216" s="1"/>
      <c r="IG1216" s="1"/>
      <c r="IJ1216" s="1"/>
      <c r="IR1216" s="1"/>
      <c r="IS1216" s="1"/>
      <c r="IY1216" s="1"/>
      <c r="IZ1216" s="1"/>
      <c r="JC1216" s="1"/>
      <c r="JF1216" s="1"/>
      <c r="JG1216" s="1"/>
      <c r="JH1216" s="1"/>
      <c r="JI1216" s="1"/>
      <c r="JJ1216" s="1"/>
      <c r="JK1216" s="1"/>
      <c r="JL1216" s="3"/>
      <c r="JM1216" s="1"/>
      <c r="JN1216" s="1"/>
      <c r="JP1216" s="1"/>
      <c r="JQ1216" s="1"/>
      <c r="JR1216" s="1"/>
      <c r="JT1216" s="1"/>
      <c r="KU1216" s="1"/>
      <c r="KV1216" s="1"/>
      <c r="KW1216" s="1"/>
      <c r="KY1216" s="1"/>
      <c r="KZ1216" s="1"/>
      <c r="LA1216" s="1"/>
      <c r="LB1216" s="1"/>
      <c r="LC1216" s="1"/>
      <c r="LD1216" s="1"/>
      <c r="LF1216" s="1"/>
      <c r="LN1216" s="1"/>
      <c r="LO1216" s="1"/>
      <c r="LP1216" s="1"/>
      <c r="LZ1216" s="1"/>
      <c r="MA1216" s="1"/>
    </row>
    <row r="1217" spans="4:339" ht="13" x14ac:dyDescent="0.15">
      <c r="D1217" s="12"/>
      <c r="E1217" s="12"/>
      <c r="I1217" s="12"/>
      <c r="J1217" s="13"/>
      <c r="BF1217" s="1"/>
      <c r="BG1217" s="1"/>
      <c r="BH1217" s="1"/>
      <c r="BI1217" s="1"/>
      <c r="BK1217" s="1"/>
      <c r="BL1217" s="1"/>
      <c r="BM1217" s="1"/>
      <c r="BN1217" s="1"/>
      <c r="BO1217" s="1"/>
      <c r="BP1217" s="1"/>
      <c r="BQ1217" s="1"/>
      <c r="BR1217" s="1"/>
      <c r="BX1217" s="1"/>
      <c r="CD1217" s="1"/>
      <c r="CE1217" s="1"/>
      <c r="CF1217" s="1"/>
      <c r="CG1217" s="1"/>
      <c r="CM1217" s="2"/>
      <c r="CP1217" s="1"/>
      <c r="CQ1217" s="1"/>
      <c r="CS1217" s="1"/>
      <c r="CT1217" s="1"/>
      <c r="CU1217" s="1"/>
      <c r="CV1217" s="1"/>
      <c r="CW1217" s="1"/>
      <c r="CX1217" s="1"/>
      <c r="CY1217" s="1"/>
      <c r="CZ1217" s="1"/>
      <c r="DA1217" s="1"/>
      <c r="DB1217" s="1"/>
      <c r="DC1217" s="1"/>
      <c r="DD1217" s="1"/>
      <c r="DE1217" s="1"/>
      <c r="DF1217" s="1"/>
      <c r="DG1217" s="1"/>
      <c r="DH1217" s="1"/>
      <c r="DI1217" s="1"/>
      <c r="DJ1217" s="1"/>
      <c r="DK1217" s="1"/>
      <c r="ED1217" s="1"/>
      <c r="EK1217" s="1"/>
      <c r="EL1217" s="1"/>
      <c r="EM1217" s="1"/>
      <c r="EN1217" s="1"/>
      <c r="EQ1217" s="1"/>
      <c r="ER1217" s="1"/>
      <c r="ES1217" s="1"/>
      <c r="EV1217" s="1"/>
      <c r="EW1217" s="1"/>
      <c r="EZ1217" s="1"/>
      <c r="GO1217" s="1"/>
      <c r="GP1217" s="1"/>
      <c r="HY1217" s="1"/>
      <c r="ID1217" s="1"/>
      <c r="IE1217" s="1"/>
      <c r="IS1217" s="1"/>
      <c r="IY1217" s="1"/>
      <c r="IZ1217" s="1"/>
      <c r="JC1217" s="1"/>
      <c r="JF1217" s="1"/>
      <c r="JG1217" s="1"/>
      <c r="JH1217" s="1"/>
      <c r="JJ1217" s="1"/>
      <c r="JN1217" s="1"/>
      <c r="JP1217" s="1"/>
      <c r="JQ1217" s="1"/>
      <c r="JT1217" s="1"/>
      <c r="KW1217" s="1"/>
      <c r="KY1217" s="1"/>
      <c r="KZ1217" s="1"/>
      <c r="LA1217" s="1"/>
      <c r="LB1217" s="1"/>
      <c r="LC1217" s="1"/>
      <c r="LD1217" s="1"/>
      <c r="LN1217" s="1"/>
      <c r="LO1217" s="1"/>
      <c r="LP1217" s="1"/>
      <c r="LZ1217" s="1"/>
      <c r="MA1217" s="1"/>
    </row>
    <row r="1218" spans="4:339" ht="13" x14ac:dyDescent="0.15">
      <c r="D1218" s="12"/>
      <c r="E1218" s="12"/>
      <c r="I1218" s="12"/>
      <c r="J1218" s="13"/>
      <c r="BF1218" s="1"/>
      <c r="BG1218" s="1"/>
      <c r="BH1218" s="1"/>
      <c r="BI1218" s="1"/>
      <c r="BK1218" s="1"/>
      <c r="BL1218" s="1"/>
      <c r="BM1218" s="1"/>
      <c r="BN1218" s="1"/>
      <c r="BO1218" s="1"/>
      <c r="BP1218" s="1"/>
      <c r="BQ1218" s="1"/>
      <c r="BR1218" s="1"/>
      <c r="BX1218" s="1"/>
      <c r="CD1218" s="1"/>
      <c r="CE1218" s="1"/>
      <c r="CF1218" s="1"/>
      <c r="CG1218" s="1"/>
      <c r="CM1218" s="2"/>
      <c r="CP1218" s="1"/>
      <c r="CQ1218" s="1"/>
      <c r="CS1218" s="1"/>
      <c r="CT1218" s="1"/>
      <c r="CU1218" s="1"/>
      <c r="CV1218" s="1"/>
      <c r="CW1218" s="1"/>
      <c r="CX1218" s="1"/>
      <c r="CY1218" s="1"/>
      <c r="CZ1218" s="1"/>
      <c r="DA1218" s="1"/>
      <c r="DB1218" s="1"/>
      <c r="DC1218" s="1"/>
      <c r="DD1218" s="1"/>
      <c r="DE1218" s="1"/>
      <c r="DF1218" s="1"/>
      <c r="DG1218" s="1"/>
      <c r="DH1218" s="1"/>
      <c r="DI1218" s="1"/>
      <c r="DJ1218" s="1"/>
      <c r="DK1218" s="1"/>
      <c r="ED1218" s="1"/>
      <c r="EK1218" s="1"/>
      <c r="EL1218" s="1"/>
      <c r="EM1218" s="1"/>
      <c r="EN1218" s="1"/>
      <c r="EQ1218" s="1"/>
      <c r="ER1218" s="1"/>
      <c r="ES1218" s="1"/>
      <c r="EV1218" s="1"/>
      <c r="EW1218" s="1"/>
      <c r="EZ1218" s="1"/>
      <c r="GO1218" s="1"/>
      <c r="GP1218" s="1"/>
      <c r="HY1218" s="1"/>
      <c r="ID1218" s="1"/>
      <c r="IE1218" s="1"/>
      <c r="IS1218" s="1"/>
      <c r="IY1218" s="1"/>
      <c r="IZ1218" s="1"/>
      <c r="JC1218" s="1"/>
      <c r="JF1218" s="1"/>
      <c r="JG1218" s="1"/>
      <c r="JH1218" s="1"/>
      <c r="JJ1218" s="1"/>
      <c r="JN1218" s="1"/>
      <c r="JP1218" s="1"/>
      <c r="JQ1218" s="1"/>
      <c r="JT1218" s="1"/>
      <c r="KW1218" s="1"/>
      <c r="KY1218" s="1"/>
      <c r="KZ1218" s="1"/>
      <c r="LA1218" s="1"/>
      <c r="LB1218" s="1"/>
      <c r="LC1218" s="1"/>
      <c r="LD1218" s="1"/>
      <c r="LN1218" s="1"/>
      <c r="LO1218" s="1"/>
      <c r="LP1218" s="1"/>
      <c r="LZ1218" s="1"/>
      <c r="MA1218" s="1"/>
    </row>
    <row r="1219" spans="4:339" ht="13" x14ac:dyDescent="0.15">
      <c r="D1219" s="12"/>
      <c r="E1219" s="12"/>
      <c r="I1219" s="12"/>
      <c r="J1219" s="13"/>
      <c r="BF1219" s="1"/>
      <c r="BG1219" s="1"/>
      <c r="BH1219" s="1"/>
      <c r="BI1219" s="1"/>
      <c r="BK1219" s="1"/>
      <c r="BL1219" s="1"/>
      <c r="BM1219" s="1"/>
      <c r="BN1219" s="1"/>
      <c r="BO1219" s="1"/>
      <c r="BP1219" s="1"/>
      <c r="BQ1219" s="1"/>
      <c r="BR1219" s="1"/>
      <c r="BX1219" s="1"/>
      <c r="CD1219" s="1"/>
      <c r="CE1219" s="1"/>
      <c r="CF1219" s="1"/>
      <c r="CG1219" s="1"/>
      <c r="CM1219" s="2"/>
      <c r="CP1219" s="1"/>
      <c r="CQ1219" s="1"/>
      <c r="CS1219" s="1"/>
      <c r="CT1219" s="1"/>
      <c r="CU1219" s="1"/>
      <c r="CV1219" s="1"/>
      <c r="CW1219" s="1"/>
      <c r="CX1219" s="1"/>
      <c r="CY1219" s="1"/>
      <c r="CZ1219" s="1"/>
      <c r="DA1219" s="1"/>
      <c r="DB1219" s="1"/>
      <c r="DC1219" s="1"/>
      <c r="DD1219" s="1"/>
      <c r="DE1219" s="1"/>
      <c r="DF1219" s="1"/>
      <c r="DG1219" s="1"/>
      <c r="DH1219" s="1"/>
      <c r="DI1219" s="1"/>
      <c r="DJ1219" s="1"/>
      <c r="DK1219" s="1"/>
      <c r="ED1219" s="1"/>
      <c r="EK1219" s="1"/>
      <c r="EL1219" s="1"/>
      <c r="EM1219" s="1"/>
      <c r="EN1219" s="1"/>
      <c r="EQ1219" s="1"/>
      <c r="ER1219" s="1"/>
      <c r="ES1219" s="1"/>
      <c r="EV1219" s="1"/>
      <c r="EW1219" s="1"/>
      <c r="EZ1219" s="1"/>
      <c r="GO1219" s="1"/>
      <c r="GP1219" s="1"/>
      <c r="HY1219" s="1"/>
      <c r="ID1219" s="1"/>
      <c r="IE1219" s="1"/>
      <c r="IS1219" s="1"/>
      <c r="IY1219" s="1"/>
      <c r="IZ1219" s="1"/>
      <c r="JC1219" s="1"/>
      <c r="JF1219" s="1"/>
      <c r="JG1219" s="1"/>
      <c r="JH1219" s="1"/>
      <c r="JJ1219" s="1"/>
      <c r="JN1219" s="1"/>
      <c r="JP1219" s="1"/>
      <c r="JQ1219" s="1"/>
      <c r="JT1219" s="1"/>
      <c r="KW1219" s="1"/>
      <c r="KY1219" s="1"/>
      <c r="KZ1219" s="1"/>
      <c r="LA1219" s="1"/>
      <c r="LB1219" s="1"/>
      <c r="LC1219" s="1"/>
      <c r="LD1219" s="1"/>
      <c r="LN1219" s="1"/>
      <c r="LO1219" s="1"/>
      <c r="LP1219" s="1"/>
      <c r="LZ1219" s="1"/>
      <c r="MA1219" s="1"/>
    </row>
    <row r="1220" spans="4:339" ht="13" x14ac:dyDescent="0.15">
      <c r="D1220" s="12"/>
      <c r="E1220" s="12"/>
      <c r="I1220" s="12"/>
      <c r="J1220" s="13"/>
      <c r="BF1220" s="1"/>
      <c r="BG1220" s="1"/>
      <c r="BH1220" s="1"/>
      <c r="BI1220" s="1"/>
      <c r="BK1220" s="1"/>
      <c r="BL1220" s="1"/>
      <c r="BM1220" s="1"/>
      <c r="BN1220" s="1"/>
      <c r="BO1220" s="1"/>
      <c r="BP1220" s="1"/>
      <c r="BQ1220" s="1"/>
      <c r="BR1220" s="1"/>
      <c r="BX1220" s="1"/>
      <c r="CD1220" s="1"/>
      <c r="CE1220" s="1"/>
      <c r="CF1220" s="1"/>
      <c r="CG1220" s="1"/>
      <c r="CM1220" s="2"/>
      <c r="CP1220" s="1"/>
      <c r="CQ1220" s="1"/>
      <c r="CS1220" s="1"/>
      <c r="CT1220" s="1"/>
      <c r="CU1220" s="1"/>
      <c r="CV1220" s="1"/>
      <c r="CW1220" s="1"/>
      <c r="CX1220" s="1"/>
      <c r="CY1220" s="1"/>
      <c r="CZ1220" s="1"/>
      <c r="DA1220" s="1"/>
      <c r="DB1220" s="1"/>
      <c r="DC1220" s="1"/>
      <c r="DD1220" s="1"/>
      <c r="DE1220" s="1"/>
      <c r="DF1220" s="1"/>
      <c r="DG1220" s="1"/>
      <c r="DH1220" s="1"/>
      <c r="DI1220" s="1"/>
      <c r="DJ1220" s="1"/>
      <c r="DK1220" s="1"/>
      <c r="ED1220" s="1"/>
      <c r="EK1220" s="1"/>
      <c r="EL1220" s="1"/>
      <c r="EM1220" s="1"/>
      <c r="EN1220" s="1"/>
      <c r="EQ1220" s="1"/>
      <c r="ER1220" s="1"/>
      <c r="ES1220" s="1"/>
      <c r="EV1220" s="1"/>
      <c r="EW1220" s="1"/>
      <c r="EZ1220" s="1"/>
      <c r="GO1220" s="1"/>
      <c r="GP1220" s="1"/>
      <c r="HY1220" s="1"/>
      <c r="ID1220" s="1"/>
      <c r="IE1220" s="1"/>
      <c r="IS1220" s="1"/>
      <c r="IY1220" s="1"/>
      <c r="IZ1220" s="1"/>
      <c r="JC1220" s="1"/>
      <c r="JF1220" s="1"/>
      <c r="JG1220" s="1"/>
      <c r="JH1220" s="1"/>
      <c r="JJ1220" s="1"/>
      <c r="JN1220" s="1"/>
      <c r="JP1220" s="1"/>
      <c r="JQ1220" s="1"/>
      <c r="JT1220" s="1"/>
      <c r="KW1220" s="1"/>
      <c r="KY1220" s="1"/>
      <c r="KZ1220" s="1"/>
      <c r="LA1220" s="1"/>
      <c r="LB1220" s="1"/>
      <c r="LC1220" s="1"/>
      <c r="LD1220" s="1"/>
      <c r="LN1220" s="1"/>
      <c r="LO1220" s="1"/>
      <c r="LP1220" s="1"/>
      <c r="LZ1220" s="1"/>
      <c r="MA1220" s="1"/>
    </row>
    <row r="1221" spans="4:339" ht="13" x14ac:dyDescent="0.15">
      <c r="D1221" s="12"/>
      <c r="E1221" s="12"/>
      <c r="I1221" s="12"/>
      <c r="J1221" s="13"/>
      <c r="BF1221" s="1"/>
      <c r="BG1221" s="1"/>
      <c r="BH1221" s="1"/>
      <c r="BI1221" s="1"/>
      <c r="BK1221" s="1"/>
      <c r="BL1221" s="1"/>
      <c r="BM1221" s="1"/>
      <c r="BN1221" s="1"/>
      <c r="BO1221" s="1"/>
      <c r="BP1221" s="1"/>
      <c r="BQ1221" s="1"/>
      <c r="BR1221" s="1"/>
      <c r="BX1221" s="1"/>
      <c r="CD1221" s="1"/>
      <c r="CE1221" s="1"/>
      <c r="CF1221" s="1"/>
      <c r="CM1221" s="4"/>
      <c r="CP1221" s="1"/>
      <c r="CQ1221" s="1"/>
      <c r="CR1221" s="1"/>
      <c r="CS1221" s="1"/>
      <c r="CT1221" s="1"/>
      <c r="CU1221" s="1"/>
      <c r="CV1221" s="1"/>
      <c r="CW1221" s="1"/>
      <c r="CX1221" s="1"/>
      <c r="CY1221" s="1"/>
      <c r="CZ1221" s="1"/>
      <c r="DA1221" s="1"/>
      <c r="DB1221" s="1"/>
      <c r="DC1221" s="1"/>
      <c r="DD1221" s="1"/>
      <c r="DE1221" s="1"/>
      <c r="DF1221" s="1"/>
      <c r="DG1221" s="1"/>
      <c r="DH1221" s="1"/>
      <c r="DI1221" s="1"/>
      <c r="DJ1221" s="1"/>
      <c r="DK1221" s="1"/>
      <c r="ED1221" s="1"/>
      <c r="EK1221" s="1"/>
      <c r="EL1221" s="1"/>
      <c r="EM1221" s="1"/>
      <c r="EN1221" s="1"/>
      <c r="EQ1221" s="1"/>
      <c r="ER1221" s="1"/>
      <c r="ES1221" s="1"/>
      <c r="EV1221" s="1"/>
      <c r="EW1221" s="1"/>
      <c r="EZ1221" s="1"/>
      <c r="GO1221" s="1"/>
      <c r="GP1221" s="1"/>
      <c r="HH1221" s="1"/>
      <c r="HY1221" s="1"/>
      <c r="IE1221" s="1"/>
      <c r="IS1221" s="1"/>
      <c r="IY1221" s="1"/>
      <c r="IZ1221" s="1"/>
      <c r="JC1221" s="1"/>
      <c r="JF1221" s="1"/>
      <c r="JG1221" s="1"/>
      <c r="JJ1221" s="1"/>
      <c r="JN1221" s="1"/>
      <c r="JP1221" s="1"/>
      <c r="JQ1221" s="1"/>
      <c r="JT1221" s="1"/>
      <c r="KV1221" s="1"/>
      <c r="KW1221" s="1"/>
      <c r="KY1221" s="1"/>
      <c r="KZ1221" s="1"/>
      <c r="LA1221" s="1"/>
      <c r="LB1221" s="1"/>
      <c r="LC1221" s="1"/>
      <c r="LD1221" s="1"/>
      <c r="LF1221" s="1"/>
      <c r="LN1221" s="1"/>
      <c r="LO1221" s="1"/>
      <c r="LP1221" s="1"/>
      <c r="LZ1221" s="1"/>
      <c r="MA1221" s="1"/>
    </row>
    <row r="1222" spans="4:339" ht="13" x14ac:dyDescent="0.15">
      <c r="D1222" s="12"/>
      <c r="E1222" s="12"/>
      <c r="I1222" s="12"/>
      <c r="J1222" s="13"/>
      <c r="BF1222" s="1"/>
      <c r="BG1222" s="1"/>
      <c r="BH1222" s="1"/>
      <c r="BI1222" s="1"/>
      <c r="BJ1222" s="1"/>
      <c r="BK1222" s="1"/>
      <c r="BL1222" s="1"/>
      <c r="BM1222" s="1"/>
      <c r="BN1222" s="1"/>
      <c r="BO1222" s="1"/>
      <c r="BP1222" s="1"/>
      <c r="BQ1222" s="1"/>
      <c r="BR1222" s="1"/>
      <c r="CD1222" s="1"/>
      <c r="CE1222" s="1"/>
      <c r="CF1222" s="1"/>
      <c r="CM1222" s="2"/>
      <c r="CP1222" s="1"/>
      <c r="CQ1222" s="1"/>
      <c r="CV1222" s="1"/>
      <c r="CW1222" s="1"/>
      <c r="CX1222" s="1"/>
      <c r="CY1222" s="1"/>
      <c r="CZ1222" s="1"/>
      <c r="DA1222" s="1"/>
      <c r="DB1222" s="1"/>
      <c r="DC1222" s="1"/>
      <c r="DD1222" s="1"/>
      <c r="DE1222" s="1"/>
      <c r="DF1222" s="1"/>
      <c r="DG1222" s="1"/>
      <c r="DH1222" s="1"/>
      <c r="DI1222" s="1"/>
      <c r="DJ1222" s="1"/>
      <c r="DK1222" s="1"/>
      <c r="DM1222" s="1"/>
      <c r="DQ1222" s="1"/>
      <c r="DR1222" s="1"/>
      <c r="DY1222" s="1"/>
      <c r="DZ1222" s="1"/>
      <c r="ED1222" s="1"/>
      <c r="EF1222" s="1"/>
      <c r="EK1222" s="1"/>
      <c r="EL1222" s="1"/>
      <c r="EM1222" s="1"/>
      <c r="EN1222" s="1"/>
      <c r="EQ1222" s="1"/>
      <c r="ER1222" s="1"/>
      <c r="ES1222" s="1"/>
      <c r="EV1222" s="1"/>
      <c r="EW1222" s="1"/>
      <c r="EZ1222" s="1"/>
      <c r="FE1222" s="1"/>
      <c r="FF1222" s="1"/>
      <c r="FJ1222" s="1"/>
      <c r="FS1222" s="1"/>
      <c r="FW1222" s="1"/>
      <c r="FX1222" s="1"/>
      <c r="GP1222" s="1"/>
      <c r="HH1222" s="1"/>
      <c r="HY1222" s="1"/>
      <c r="IE1222" s="1"/>
      <c r="IG1222" s="1"/>
      <c r="IJ1222" s="1"/>
      <c r="IR1222" s="1"/>
      <c r="IS1222" s="1"/>
      <c r="IX1222" s="1"/>
      <c r="IZ1222" s="1"/>
      <c r="JC1222" s="1"/>
      <c r="JF1222" s="1"/>
      <c r="JG1222" s="1"/>
      <c r="JH1222" s="1"/>
      <c r="JJ1222" s="1"/>
      <c r="JK1222" s="1"/>
      <c r="JL1222" s="6"/>
      <c r="JM1222" s="1"/>
      <c r="JN1222" s="1"/>
      <c r="JP1222" s="1"/>
      <c r="JQ1222" s="1"/>
      <c r="JR1222" s="1"/>
      <c r="JT1222" s="1"/>
      <c r="KW1222" s="1"/>
      <c r="KY1222" s="1"/>
      <c r="KZ1222" s="1"/>
      <c r="LA1222" s="1"/>
      <c r="LB1222" s="1"/>
      <c r="LC1222" s="1"/>
      <c r="LD1222" s="1"/>
      <c r="LO1222" s="1"/>
      <c r="LP1222" s="1"/>
      <c r="LZ1222" s="1"/>
      <c r="MA1222" s="1"/>
    </row>
    <row r="1223" spans="4:339" ht="13" x14ac:dyDescent="0.15">
      <c r="D1223" s="12"/>
      <c r="E1223" s="12"/>
      <c r="I1223" s="12"/>
      <c r="J1223" s="13"/>
      <c r="BF1223" s="1"/>
      <c r="BG1223" s="1"/>
      <c r="BH1223" s="1"/>
      <c r="BI1223" s="1"/>
      <c r="BJ1223" s="1"/>
      <c r="BK1223" s="1"/>
      <c r="BL1223" s="1"/>
      <c r="BM1223" s="1"/>
      <c r="BN1223" s="1"/>
      <c r="BO1223" s="1"/>
      <c r="BP1223" s="1"/>
      <c r="BQ1223" s="1"/>
      <c r="BR1223" s="1"/>
      <c r="CD1223" s="1"/>
      <c r="CE1223" s="1"/>
      <c r="CF1223" s="1"/>
      <c r="CM1223" s="2"/>
      <c r="CP1223" s="1"/>
      <c r="CQ1223" s="1"/>
      <c r="CV1223" s="1"/>
      <c r="CW1223" s="1"/>
      <c r="CX1223" s="1"/>
      <c r="CY1223" s="1"/>
      <c r="CZ1223" s="1"/>
      <c r="DA1223" s="1"/>
      <c r="DB1223" s="1"/>
      <c r="DC1223" s="1"/>
      <c r="DD1223" s="1"/>
      <c r="DE1223" s="1"/>
      <c r="DF1223" s="1"/>
      <c r="DG1223" s="1"/>
      <c r="DH1223" s="1"/>
      <c r="DI1223" s="1"/>
      <c r="DJ1223" s="1"/>
      <c r="DK1223" s="1"/>
      <c r="DM1223" s="1"/>
      <c r="DQ1223" s="1"/>
      <c r="DR1223" s="1"/>
      <c r="DY1223" s="1"/>
      <c r="DZ1223" s="1"/>
      <c r="ED1223" s="1"/>
      <c r="EF1223" s="1"/>
      <c r="EK1223" s="1"/>
      <c r="EL1223" s="1"/>
      <c r="EM1223" s="1"/>
      <c r="EN1223" s="1"/>
      <c r="EQ1223" s="1"/>
      <c r="ER1223" s="1"/>
      <c r="ES1223" s="1"/>
      <c r="EV1223" s="1"/>
      <c r="EW1223" s="1"/>
      <c r="EZ1223" s="1"/>
      <c r="FE1223" s="1"/>
      <c r="FF1223" s="1"/>
      <c r="FJ1223" s="1"/>
      <c r="FS1223" s="1"/>
      <c r="FW1223" s="1"/>
      <c r="FX1223" s="1"/>
      <c r="GP1223" s="1"/>
      <c r="HH1223" s="1"/>
      <c r="HY1223" s="1"/>
      <c r="IE1223" s="1"/>
      <c r="IG1223" s="1"/>
      <c r="IJ1223" s="1"/>
      <c r="IR1223" s="1"/>
      <c r="IS1223" s="1"/>
      <c r="IX1223" s="1"/>
      <c r="IZ1223" s="1"/>
      <c r="JC1223" s="1"/>
      <c r="JF1223" s="1"/>
      <c r="JG1223" s="1"/>
      <c r="JH1223" s="1"/>
      <c r="JJ1223" s="1"/>
      <c r="JK1223" s="1"/>
      <c r="JL1223" s="6"/>
      <c r="JM1223" s="1"/>
      <c r="JN1223" s="1"/>
      <c r="JP1223" s="1"/>
      <c r="JQ1223" s="1"/>
      <c r="JR1223" s="1"/>
      <c r="JT1223" s="1"/>
      <c r="KW1223" s="1"/>
      <c r="KY1223" s="1"/>
      <c r="KZ1223" s="1"/>
      <c r="LA1223" s="1"/>
      <c r="LB1223" s="1"/>
      <c r="LC1223" s="1"/>
      <c r="LD1223" s="1"/>
      <c r="LO1223" s="1"/>
      <c r="LP1223" s="1"/>
      <c r="LZ1223" s="1"/>
      <c r="MA1223" s="1"/>
    </row>
    <row r="1224" spans="4:339" ht="13" x14ac:dyDescent="0.15">
      <c r="D1224" s="12"/>
      <c r="E1224" s="12"/>
      <c r="I1224" s="12"/>
      <c r="J1224" s="13"/>
      <c r="BG1224" s="1"/>
      <c r="BH1224" s="1"/>
      <c r="BI1224" s="1"/>
      <c r="BK1224" s="1"/>
      <c r="BL1224" s="1"/>
      <c r="BM1224" s="1"/>
      <c r="BN1224" s="1"/>
      <c r="BO1224" s="1"/>
      <c r="BP1224" s="1"/>
      <c r="BQ1224" s="1"/>
      <c r="BR1224" s="1"/>
      <c r="CC1224" s="1"/>
      <c r="CD1224" s="1"/>
      <c r="CE1224" s="1"/>
      <c r="CF1224" s="1"/>
      <c r="CG1224" s="1"/>
      <c r="CM1224" s="2"/>
      <c r="CP1224" s="1"/>
      <c r="CQ1224" s="1"/>
      <c r="CS1224" s="1"/>
      <c r="CT1224" s="1"/>
      <c r="CU1224" s="1"/>
      <c r="CV1224" s="1"/>
      <c r="CW1224" s="1"/>
      <c r="CX1224" s="1"/>
      <c r="CY1224" s="1"/>
      <c r="CZ1224" s="1"/>
      <c r="DA1224" s="1"/>
      <c r="DB1224" s="1"/>
      <c r="DC1224" s="1"/>
      <c r="DD1224" s="1"/>
      <c r="DE1224" s="1"/>
      <c r="DF1224" s="1"/>
      <c r="DG1224" s="1"/>
      <c r="DH1224" s="1"/>
      <c r="DI1224" s="1"/>
      <c r="DJ1224" s="1"/>
      <c r="DK1224" s="1"/>
      <c r="DQ1224" s="1"/>
      <c r="DR1224" s="1"/>
      <c r="DY1224" s="1"/>
      <c r="DZ1224" s="1"/>
      <c r="ED1224" s="1"/>
      <c r="EK1224" s="1"/>
      <c r="EL1224" s="1"/>
      <c r="EM1224" s="1"/>
      <c r="EN1224" s="1"/>
      <c r="EQ1224" s="1"/>
      <c r="ER1224" s="1"/>
      <c r="ES1224" s="1"/>
      <c r="EV1224" s="1"/>
      <c r="EW1224" s="1"/>
      <c r="EZ1224" s="1"/>
      <c r="HY1224" s="1"/>
      <c r="IE1224" s="1"/>
      <c r="IR1224" s="1"/>
      <c r="IS1224" s="1"/>
      <c r="IZ1224" s="1"/>
      <c r="JF1224" s="1"/>
      <c r="JJ1224" s="1"/>
      <c r="JP1224" s="1"/>
      <c r="JQ1224" s="1"/>
      <c r="JW1224" s="1"/>
      <c r="KS1224" s="1"/>
      <c r="KT1224" s="1"/>
      <c r="KZ1224" s="1"/>
      <c r="LC1224" s="1"/>
      <c r="LD1224" s="1"/>
      <c r="LO1224" s="1"/>
      <c r="LP1224" s="1"/>
      <c r="LZ1224" s="1"/>
      <c r="MA1224" s="1"/>
    </row>
    <row r="1225" spans="4:339" ht="13" x14ac:dyDescent="0.15">
      <c r="D1225" s="12"/>
      <c r="E1225" s="12"/>
      <c r="I1225" s="12"/>
      <c r="J1225" s="13"/>
      <c r="BG1225" s="1"/>
      <c r="BH1225" s="1"/>
      <c r="BI1225" s="1"/>
      <c r="BK1225" s="1"/>
      <c r="BL1225" s="1"/>
      <c r="BM1225" s="1"/>
      <c r="BN1225" s="1"/>
      <c r="BO1225" s="1"/>
      <c r="BP1225" s="1"/>
      <c r="BQ1225" s="1"/>
      <c r="BR1225" s="1"/>
      <c r="CC1225" s="1"/>
      <c r="CD1225" s="1"/>
      <c r="CE1225" s="1"/>
      <c r="CF1225" s="1"/>
      <c r="CG1225" s="1"/>
      <c r="CM1225" s="2"/>
      <c r="CP1225" s="1"/>
      <c r="CQ1225" s="1"/>
      <c r="CS1225" s="1"/>
      <c r="CT1225" s="1"/>
      <c r="CU1225" s="1"/>
      <c r="CV1225" s="1"/>
      <c r="CW1225" s="1"/>
      <c r="CX1225" s="1"/>
      <c r="CY1225" s="1"/>
      <c r="CZ1225" s="1"/>
      <c r="DA1225" s="1"/>
      <c r="DB1225" s="1"/>
      <c r="DC1225" s="1"/>
      <c r="DD1225" s="1"/>
      <c r="DE1225" s="1"/>
      <c r="DF1225" s="1"/>
      <c r="DG1225" s="1"/>
      <c r="DH1225" s="1"/>
      <c r="DI1225" s="1"/>
      <c r="DJ1225" s="1"/>
      <c r="DK1225" s="1"/>
      <c r="DQ1225" s="1"/>
      <c r="DR1225" s="1"/>
      <c r="DY1225" s="1"/>
      <c r="DZ1225" s="1"/>
      <c r="ED1225" s="1"/>
      <c r="EK1225" s="1"/>
      <c r="EL1225" s="1"/>
      <c r="EM1225" s="1"/>
      <c r="EN1225" s="1"/>
      <c r="EQ1225" s="1"/>
      <c r="ER1225" s="1"/>
      <c r="ES1225" s="1"/>
      <c r="EV1225" s="1"/>
      <c r="EW1225" s="1"/>
      <c r="EZ1225" s="1"/>
      <c r="HY1225" s="1"/>
      <c r="IE1225" s="1"/>
      <c r="IR1225" s="1"/>
      <c r="IS1225" s="1"/>
      <c r="IZ1225" s="1"/>
      <c r="JF1225" s="1"/>
      <c r="JJ1225" s="1"/>
      <c r="JP1225" s="1"/>
      <c r="JQ1225" s="1"/>
      <c r="JW1225" s="1"/>
      <c r="KS1225" s="1"/>
      <c r="KT1225" s="1"/>
      <c r="KZ1225" s="1"/>
      <c r="LC1225" s="1"/>
      <c r="LD1225" s="1"/>
      <c r="LO1225" s="1"/>
      <c r="LP1225" s="1"/>
      <c r="LZ1225" s="1"/>
      <c r="MA1225" s="1"/>
    </row>
    <row r="1226" spans="4:339" ht="13" x14ac:dyDescent="0.15">
      <c r="D1226" s="12"/>
      <c r="E1226" s="12"/>
      <c r="I1226" s="12"/>
      <c r="J1226" s="13"/>
      <c r="BG1226" s="1"/>
      <c r="BH1226" s="1"/>
      <c r="BI1226" s="1"/>
      <c r="BK1226" s="1"/>
      <c r="BL1226" s="1"/>
      <c r="BM1226" s="1"/>
      <c r="BN1226" s="1"/>
      <c r="BO1226" s="1"/>
      <c r="BP1226" s="1"/>
      <c r="BQ1226" s="1"/>
      <c r="BR1226" s="1"/>
      <c r="CC1226" s="1"/>
      <c r="CD1226" s="1"/>
      <c r="CE1226" s="1"/>
      <c r="CF1226" s="1"/>
      <c r="CG1226" s="1"/>
      <c r="CM1226" s="2"/>
      <c r="CP1226" s="1"/>
      <c r="CQ1226" s="1"/>
      <c r="CS1226" s="1"/>
      <c r="CT1226" s="1"/>
      <c r="CU1226" s="1"/>
      <c r="CV1226" s="1"/>
      <c r="CW1226" s="1"/>
      <c r="CX1226" s="1"/>
      <c r="CY1226" s="1"/>
      <c r="CZ1226" s="1"/>
      <c r="DA1226" s="1"/>
      <c r="DB1226" s="1"/>
      <c r="DC1226" s="1"/>
      <c r="DD1226" s="1"/>
      <c r="DE1226" s="1"/>
      <c r="DF1226" s="1"/>
      <c r="DG1226" s="1"/>
      <c r="DH1226" s="1"/>
      <c r="DI1226" s="1"/>
      <c r="DJ1226" s="1"/>
      <c r="DK1226" s="1"/>
      <c r="DQ1226" s="1"/>
      <c r="DR1226" s="1"/>
      <c r="DY1226" s="1"/>
      <c r="DZ1226" s="1"/>
      <c r="ED1226" s="1"/>
      <c r="EK1226" s="1"/>
      <c r="EL1226" s="1"/>
      <c r="EM1226" s="1"/>
      <c r="EN1226" s="1"/>
      <c r="EQ1226" s="1"/>
      <c r="ER1226" s="1"/>
      <c r="ES1226" s="1"/>
      <c r="EV1226" s="1"/>
      <c r="EW1226" s="1"/>
      <c r="EZ1226" s="1"/>
      <c r="HY1226" s="1"/>
      <c r="IE1226" s="1"/>
      <c r="IR1226" s="1"/>
      <c r="IS1226" s="1"/>
      <c r="IZ1226" s="1"/>
      <c r="JF1226" s="1"/>
      <c r="JJ1226" s="1"/>
      <c r="JP1226" s="1"/>
      <c r="JQ1226" s="1"/>
      <c r="JW1226" s="1"/>
      <c r="KS1226" s="1"/>
      <c r="KT1226" s="1"/>
      <c r="KZ1226" s="1"/>
      <c r="LC1226" s="1"/>
      <c r="LD1226" s="1"/>
      <c r="LO1226" s="1"/>
      <c r="LP1226" s="1"/>
      <c r="LZ1226" s="1"/>
      <c r="MA1226" s="1"/>
    </row>
    <row r="1227" spans="4:339" ht="13" x14ac:dyDescent="0.15">
      <c r="D1227" s="12"/>
      <c r="E1227" s="12"/>
      <c r="I1227" s="12"/>
      <c r="J1227" s="13"/>
      <c r="BG1227" s="1"/>
      <c r="BH1227" s="1"/>
      <c r="BI1227" s="1"/>
      <c r="BK1227" s="1"/>
      <c r="BL1227" s="1"/>
      <c r="BM1227" s="1"/>
      <c r="BN1227" s="1"/>
      <c r="BO1227" s="1"/>
      <c r="BP1227" s="1"/>
      <c r="BQ1227" s="1"/>
      <c r="BR1227" s="1"/>
      <c r="CC1227" s="1"/>
      <c r="CD1227" s="1"/>
      <c r="CE1227" s="1"/>
      <c r="CF1227" s="1"/>
      <c r="CG1227" s="1"/>
      <c r="CM1227" s="2"/>
      <c r="CP1227" s="1"/>
      <c r="CQ1227" s="1"/>
      <c r="CS1227" s="1"/>
      <c r="CT1227" s="1"/>
      <c r="CU1227" s="1"/>
      <c r="CV1227" s="1"/>
      <c r="CW1227" s="1"/>
      <c r="CX1227" s="1"/>
      <c r="CY1227" s="1"/>
      <c r="CZ1227" s="1"/>
      <c r="DA1227" s="1"/>
      <c r="DB1227" s="1"/>
      <c r="DC1227" s="1"/>
      <c r="DD1227" s="1"/>
      <c r="DE1227" s="1"/>
      <c r="DF1227" s="1"/>
      <c r="DG1227" s="1"/>
      <c r="DH1227" s="1"/>
      <c r="DI1227" s="1"/>
      <c r="DJ1227" s="1"/>
      <c r="DK1227" s="1"/>
      <c r="DQ1227" s="1"/>
      <c r="DR1227" s="1"/>
      <c r="DY1227" s="1"/>
      <c r="DZ1227" s="1"/>
      <c r="ED1227" s="1"/>
      <c r="EK1227" s="1"/>
      <c r="EL1227" s="1"/>
      <c r="EM1227" s="1"/>
      <c r="EN1227" s="1"/>
      <c r="EQ1227" s="1"/>
      <c r="ER1227" s="1"/>
      <c r="ES1227" s="1"/>
      <c r="EV1227" s="1"/>
      <c r="EW1227" s="1"/>
      <c r="EZ1227" s="1"/>
      <c r="HY1227" s="1"/>
      <c r="IE1227" s="1"/>
      <c r="IR1227" s="1"/>
      <c r="IS1227" s="1"/>
      <c r="IZ1227" s="1"/>
      <c r="JF1227" s="1"/>
      <c r="JJ1227" s="1"/>
      <c r="JP1227" s="1"/>
      <c r="JQ1227" s="1"/>
      <c r="JW1227" s="1"/>
      <c r="KS1227" s="1"/>
      <c r="KT1227" s="1"/>
      <c r="KZ1227" s="1"/>
      <c r="LC1227" s="1"/>
      <c r="LD1227" s="1"/>
      <c r="LO1227" s="1"/>
      <c r="LP1227" s="1"/>
      <c r="LZ1227" s="1"/>
      <c r="MA1227" s="1"/>
    </row>
    <row r="1228" spans="4:339" ht="13" x14ac:dyDescent="0.15">
      <c r="D1228" s="12"/>
      <c r="E1228" s="12"/>
      <c r="I1228" s="12"/>
      <c r="J1228" s="13"/>
      <c r="BG1228" s="1"/>
      <c r="BH1228" s="1"/>
      <c r="BI1228" s="1"/>
      <c r="BK1228" s="1"/>
      <c r="BL1228" s="1"/>
      <c r="BM1228" s="1"/>
      <c r="BN1228" s="1"/>
      <c r="BO1228" s="1"/>
      <c r="BP1228" s="1"/>
      <c r="BQ1228" s="1"/>
      <c r="BR1228" s="1"/>
      <c r="CC1228" s="1"/>
      <c r="CD1228" s="1"/>
      <c r="CE1228" s="1"/>
      <c r="CF1228" s="1"/>
      <c r="CG1228" s="1"/>
      <c r="CM1228" s="2"/>
      <c r="CP1228" s="1"/>
      <c r="CQ1228" s="1"/>
      <c r="CS1228" s="1"/>
      <c r="CT1228" s="1"/>
      <c r="CU1228" s="1"/>
      <c r="CV1228" s="1"/>
      <c r="CW1228" s="1"/>
      <c r="CX1228" s="1"/>
      <c r="CY1228" s="1"/>
      <c r="CZ1228" s="1"/>
      <c r="DA1228" s="1"/>
      <c r="DB1228" s="1"/>
      <c r="DC1228" s="1"/>
      <c r="DD1228" s="1"/>
      <c r="DE1228" s="1"/>
      <c r="DF1228" s="1"/>
      <c r="DG1228" s="1"/>
      <c r="DH1228" s="1"/>
      <c r="DI1228" s="1"/>
      <c r="DJ1228" s="1"/>
      <c r="DK1228" s="1"/>
      <c r="DQ1228" s="1"/>
      <c r="DR1228" s="1"/>
      <c r="DY1228" s="1"/>
      <c r="DZ1228" s="1"/>
      <c r="ED1228" s="1"/>
      <c r="EK1228" s="1"/>
      <c r="EL1228" s="1"/>
      <c r="EM1228" s="1"/>
      <c r="EN1228" s="1"/>
      <c r="EQ1228" s="1"/>
      <c r="ER1228" s="1"/>
      <c r="ES1228" s="1"/>
      <c r="EV1228" s="1"/>
      <c r="EW1228" s="1"/>
      <c r="EZ1228" s="1"/>
      <c r="HY1228" s="1"/>
      <c r="IE1228" s="1"/>
      <c r="IR1228" s="1"/>
      <c r="IS1228" s="1"/>
      <c r="IZ1228" s="1"/>
      <c r="JF1228" s="1"/>
      <c r="JJ1228" s="1"/>
      <c r="JP1228" s="1"/>
      <c r="JQ1228" s="1"/>
      <c r="JW1228" s="1"/>
      <c r="KS1228" s="1"/>
      <c r="KT1228" s="1"/>
      <c r="KZ1228" s="1"/>
      <c r="LC1228" s="1"/>
      <c r="LD1228" s="1"/>
      <c r="LO1228" s="1"/>
      <c r="LP1228" s="1"/>
      <c r="LZ1228" s="1"/>
      <c r="MA1228" s="1"/>
    </row>
    <row r="1229" spans="4:339" ht="13" x14ac:dyDescent="0.15">
      <c r="D1229" s="12"/>
      <c r="E1229" s="12"/>
      <c r="I1229" s="12"/>
      <c r="J1229" s="13"/>
      <c r="BG1229" s="1"/>
      <c r="BH1229" s="1"/>
      <c r="BI1229" s="1"/>
      <c r="BK1229" s="1"/>
      <c r="BL1229" s="1"/>
      <c r="BM1229" s="1"/>
      <c r="BN1229" s="1"/>
      <c r="BO1229" s="1"/>
      <c r="BP1229" s="1"/>
      <c r="BQ1229" s="1"/>
      <c r="BR1229" s="1"/>
      <c r="CC1229" s="1"/>
      <c r="CD1229" s="1"/>
      <c r="CE1229" s="1"/>
      <c r="CF1229" s="1"/>
      <c r="CG1229" s="1"/>
      <c r="CM1229" s="2"/>
      <c r="CP1229" s="1"/>
      <c r="CQ1229" s="1"/>
      <c r="CS1229" s="1"/>
      <c r="CT1229" s="1"/>
      <c r="CU1229" s="1"/>
      <c r="CV1229" s="1"/>
      <c r="CW1229" s="1"/>
      <c r="CX1229" s="1"/>
      <c r="CY1229" s="1"/>
      <c r="CZ1229" s="1"/>
      <c r="DA1229" s="1"/>
      <c r="DB1229" s="1"/>
      <c r="DC1229" s="1"/>
      <c r="DD1229" s="1"/>
      <c r="DE1229" s="1"/>
      <c r="DF1229" s="1"/>
      <c r="DG1229" s="1"/>
      <c r="DH1229" s="1"/>
      <c r="DI1229" s="1"/>
      <c r="DJ1229" s="1"/>
      <c r="DK1229" s="1"/>
      <c r="DQ1229" s="1"/>
      <c r="DR1229" s="1"/>
      <c r="DY1229" s="1"/>
      <c r="DZ1229" s="1"/>
      <c r="ED1229" s="1"/>
      <c r="EK1229" s="1"/>
      <c r="EL1229" s="1"/>
      <c r="EM1229" s="1"/>
      <c r="EN1229" s="1"/>
      <c r="EQ1229" s="1"/>
      <c r="ER1229" s="1"/>
      <c r="ES1229" s="1"/>
      <c r="EV1229" s="1"/>
      <c r="EW1229" s="1"/>
      <c r="EZ1229" s="1"/>
      <c r="HY1229" s="1"/>
      <c r="IE1229" s="1"/>
      <c r="IR1229" s="1"/>
      <c r="IS1229" s="1"/>
      <c r="IZ1229" s="1"/>
      <c r="JF1229" s="1"/>
      <c r="JJ1229" s="1"/>
      <c r="JP1229" s="1"/>
      <c r="JQ1229" s="1"/>
      <c r="JW1229" s="1"/>
      <c r="KS1229" s="1"/>
      <c r="KT1229" s="1"/>
      <c r="KZ1229" s="1"/>
      <c r="LC1229" s="1"/>
      <c r="LD1229" s="1"/>
      <c r="LO1229" s="1"/>
      <c r="LP1229" s="1"/>
      <c r="LZ1229" s="1"/>
      <c r="MA1229" s="1"/>
    </row>
    <row r="1230" spans="4:339" ht="13" x14ac:dyDescent="0.15">
      <c r="D1230" s="12"/>
      <c r="E1230" s="12"/>
      <c r="I1230" s="12"/>
      <c r="J1230" s="13"/>
      <c r="BF1230" s="1"/>
      <c r="BG1230" s="1"/>
      <c r="BH1230" s="1"/>
      <c r="BI1230" s="1"/>
      <c r="BK1230" s="1"/>
      <c r="BL1230" s="1"/>
      <c r="BM1230" s="1"/>
      <c r="BN1230" s="1"/>
      <c r="BO1230" s="1"/>
      <c r="BP1230" s="1"/>
      <c r="BQ1230" s="1"/>
      <c r="BR1230" s="1"/>
      <c r="CD1230" s="1"/>
      <c r="CE1230" s="1"/>
      <c r="CF1230" s="1"/>
      <c r="CG1230" s="1"/>
      <c r="CM1230" s="2"/>
      <c r="CP1230" s="1"/>
      <c r="CQ1230" s="1"/>
      <c r="CR1230" s="1"/>
      <c r="CS1230" s="1"/>
      <c r="CT1230" s="1"/>
      <c r="CU1230" s="1"/>
      <c r="CV1230" s="1"/>
      <c r="CW1230" s="1"/>
      <c r="CX1230" s="1"/>
      <c r="CY1230" s="1"/>
      <c r="CZ1230" s="1"/>
      <c r="DA1230" s="1"/>
      <c r="DB1230" s="1"/>
      <c r="DC1230" s="1"/>
      <c r="DD1230" s="1"/>
      <c r="DE1230" s="1"/>
      <c r="DF1230" s="1"/>
      <c r="DG1230" s="1"/>
      <c r="DH1230" s="1"/>
      <c r="DI1230" s="1"/>
      <c r="DJ1230" s="1"/>
      <c r="DK1230" s="1"/>
      <c r="DL1230" s="1"/>
      <c r="DM1230" s="1"/>
      <c r="DQ1230" s="1"/>
      <c r="DR1230" s="1"/>
      <c r="DY1230" s="1"/>
      <c r="DZ1230" s="1"/>
      <c r="ED1230" s="1"/>
      <c r="EE1230" s="1"/>
      <c r="EF1230" s="1"/>
      <c r="EG1230" s="1"/>
      <c r="EH1230" s="1"/>
      <c r="EK1230" s="1"/>
      <c r="EL1230" s="1"/>
      <c r="EM1230" s="1"/>
      <c r="EN1230" s="1"/>
      <c r="EQ1230" s="1"/>
      <c r="ER1230" s="1"/>
      <c r="ES1230" s="1"/>
      <c r="EV1230" s="1"/>
      <c r="EW1230" s="1"/>
      <c r="EY1230" s="1"/>
      <c r="EZ1230" s="1"/>
      <c r="GP1230" s="1"/>
      <c r="HY1230" s="1"/>
      <c r="IE1230" s="1"/>
      <c r="IG1230" s="1"/>
      <c r="IJ1230" s="1"/>
      <c r="IR1230" s="1"/>
      <c r="IS1230" s="1"/>
      <c r="IY1230" s="1"/>
      <c r="IZ1230" s="1"/>
      <c r="JF1230" s="1"/>
      <c r="JG1230" s="1"/>
      <c r="JH1230" s="1"/>
      <c r="JJ1230" s="1"/>
      <c r="JK1230" s="1"/>
      <c r="JL1230" s="3"/>
      <c r="JM1230" s="1"/>
      <c r="JN1230" s="1"/>
      <c r="JP1230" s="1"/>
      <c r="JQ1230" s="1"/>
      <c r="JR1230" s="1"/>
      <c r="KY1230" s="1"/>
      <c r="KZ1230" s="1"/>
      <c r="LA1230" s="1"/>
      <c r="LB1230" s="1"/>
      <c r="LC1230" s="1"/>
      <c r="LD1230" s="1"/>
      <c r="LO1230" s="1"/>
      <c r="LP1230" s="1"/>
      <c r="LZ1230" s="1"/>
      <c r="MA1230" s="1"/>
    </row>
    <row r="1231" spans="4:339" ht="13" x14ac:dyDescent="0.15">
      <c r="D1231" s="12"/>
      <c r="E1231" s="12"/>
      <c r="I1231" s="12"/>
      <c r="J1231" s="13"/>
      <c r="BF1231" s="1"/>
      <c r="BG1231" s="1"/>
      <c r="BH1231" s="1"/>
      <c r="BI1231" s="1"/>
      <c r="BK1231" s="1"/>
      <c r="BL1231" s="1"/>
      <c r="BM1231" s="1"/>
      <c r="BN1231" s="1"/>
      <c r="BO1231" s="1"/>
      <c r="BP1231" s="1"/>
      <c r="BQ1231" s="1"/>
      <c r="BR1231" s="1"/>
      <c r="CD1231" s="1"/>
      <c r="CE1231" s="1"/>
      <c r="CF1231" s="1"/>
      <c r="CG1231" s="1"/>
      <c r="CM1231" s="2"/>
      <c r="CP1231" s="1"/>
      <c r="CQ1231" s="1"/>
      <c r="CR1231" s="1"/>
      <c r="CS1231" s="1"/>
      <c r="CT1231" s="1"/>
      <c r="CU1231" s="1"/>
      <c r="CV1231" s="1"/>
      <c r="CW1231" s="1"/>
      <c r="CX1231" s="1"/>
      <c r="CY1231" s="1"/>
      <c r="CZ1231" s="1"/>
      <c r="DA1231" s="1"/>
      <c r="DB1231" s="1"/>
      <c r="DC1231" s="1"/>
      <c r="DD1231" s="1"/>
      <c r="DE1231" s="1"/>
      <c r="DF1231" s="1"/>
      <c r="DG1231" s="1"/>
      <c r="DH1231" s="1"/>
      <c r="DI1231" s="1"/>
      <c r="DJ1231" s="1"/>
      <c r="DK1231" s="1"/>
      <c r="DL1231" s="1"/>
      <c r="DM1231" s="1"/>
      <c r="DQ1231" s="1"/>
      <c r="DR1231" s="1"/>
      <c r="DY1231" s="1"/>
      <c r="DZ1231" s="1"/>
      <c r="ED1231" s="1"/>
      <c r="EE1231" s="1"/>
      <c r="EF1231" s="1"/>
      <c r="EG1231" s="1"/>
      <c r="EH1231" s="1"/>
      <c r="EK1231" s="1"/>
      <c r="EL1231" s="1"/>
      <c r="EM1231" s="1"/>
      <c r="EN1231" s="1"/>
      <c r="EQ1231" s="1"/>
      <c r="ER1231" s="1"/>
      <c r="ES1231" s="1"/>
      <c r="EV1231" s="1"/>
      <c r="EW1231" s="1"/>
      <c r="EY1231" s="1"/>
      <c r="EZ1231" s="1"/>
      <c r="GP1231" s="1"/>
      <c r="HY1231" s="1"/>
      <c r="IE1231" s="1"/>
      <c r="IG1231" s="1"/>
      <c r="IJ1231" s="1"/>
      <c r="IR1231" s="1"/>
      <c r="IS1231" s="1"/>
      <c r="IY1231" s="1"/>
      <c r="IZ1231" s="1"/>
      <c r="JF1231" s="1"/>
      <c r="JG1231" s="1"/>
      <c r="JH1231" s="1"/>
      <c r="JJ1231" s="1"/>
      <c r="JK1231" s="1"/>
      <c r="JL1231" s="3"/>
      <c r="JM1231" s="1"/>
      <c r="JN1231" s="1"/>
      <c r="JP1231" s="1"/>
      <c r="JQ1231" s="1"/>
      <c r="JR1231" s="1"/>
      <c r="KY1231" s="1"/>
      <c r="KZ1231" s="1"/>
      <c r="LA1231" s="1"/>
      <c r="LB1231" s="1"/>
      <c r="LC1231" s="1"/>
      <c r="LD1231" s="1"/>
      <c r="LO1231" s="1"/>
      <c r="LP1231" s="1"/>
      <c r="LZ1231" s="1"/>
      <c r="MA1231" s="1"/>
    </row>
    <row r="1232" spans="4:339" ht="13" x14ac:dyDescent="0.15">
      <c r="D1232" s="12"/>
      <c r="E1232" s="12"/>
      <c r="I1232" s="12"/>
      <c r="J1232" s="13"/>
      <c r="BF1232" s="1"/>
      <c r="BG1232" s="1"/>
      <c r="BH1232" s="1"/>
      <c r="BI1232" s="1"/>
      <c r="BK1232" s="1"/>
      <c r="BL1232" s="1"/>
      <c r="BM1232" s="1"/>
      <c r="BN1232" s="1"/>
      <c r="BO1232" s="1"/>
      <c r="BP1232" s="1"/>
      <c r="BQ1232" s="1"/>
      <c r="BR1232" s="1"/>
      <c r="CD1232" s="1"/>
      <c r="CE1232" s="1"/>
      <c r="CF1232" s="1"/>
      <c r="CG1232" s="1"/>
      <c r="CM1232" s="2"/>
      <c r="CP1232" s="1"/>
      <c r="CQ1232" s="1"/>
      <c r="CR1232" s="1"/>
      <c r="CS1232" s="1"/>
      <c r="CT1232" s="1"/>
      <c r="CU1232" s="1"/>
      <c r="CV1232" s="1"/>
      <c r="CW1232" s="1"/>
      <c r="CX1232" s="1"/>
      <c r="CY1232" s="1"/>
      <c r="CZ1232" s="1"/>
      <c r="DA1232" s="1"/>
      <c r="DB1232" s="1"/>
      <c r="DC1232" s="1"/>
      <c r="DD1232" s="1"/>
      <c r="DE1232" s="1"/>
      <c r="DF1232" s="1"/>
      <c r="DG1232" s="1"/>
      <c r="DH1232" s="1"/>
      <c r="DI1232" s="1"/>
      <c r="DJ1232" s="1"/>
      <c r="DK1232" s="1"/>
      <c r="DL1232" s="1"/>
      <c r="DM1232" s="1"/>
      <c r="DQ1232" s="1"/>
      <c r="DR1232" s="1"/>
      <c r="DY1232" s="1"/>
      <c r="DZ1232" s="1"/>
      <c r="ED1232" s="1"/>
      <c r="EE1232" s="1"/>
      <c r="EF1232" s="1"/>
      <c r="EG1232" s="1"/>
      <c r="EH1232" s="1"/>
      <c r="EK1232" s="1"/>
      <c r="EL1232" s="1"/>
      <c r="EM1232" s="1"/>
      <c r="EN1232" s="1"/>
      <c r="EQ1232" s="1"/>
      <c r="ER1232" s="1"/>
      <c r="ES1232" s="1"/>
      <c r="EV1232" s="1"/>
      <c r="EW1232" s="1"/>
      <c r="EY1232" s="1"/>
      <c r="EZ1232" s="1"/>
      <c r="GP1232" s="1"/>
      <c r="HY1232" s="1"/>
      <c r="IE1232" s="1"/>
      <c r="IG1232" s="1"/>
      <c r="IJ1232" s="1"/>
      <c r="IR1232" s="1"/>
      <c r="IS1232" s="1"/>
      <c r="IY1232" s="1"/>
      <c r="IZ1232" s="1"/>
      <c r="JF1232" s="1"/>
      <c r="JG1232" s="1"/>
      <c r="JH1232" s="1"/>
      <c r="JJ1232" s="1"/>
      <c r="JK1232" s="1"/>
      <c r="JL1232" s="3"/>
      <c r="JM1232" s="1"/>
      <c r="JN1232" s="1"/>
      <c r="JP1232" s="1"/>
      <c r="JQ1232" s="1"/>
      <c r="JR1232" s="1"/>
      <c r="KY1232" s="1"/>
      <c r="KZ1232" s="1"/>
      <c r="LA1232" s="1"/>
      <c r="LB1232" s="1"/>
      <c r="LC1232" s="1"/>
      <c r="LD1232" s="1"/>
      <c r="LO1232" s="1"/>
      <c r="LP1232" s="1"/>
      <c r="LZ1232" s="1"/>
      <c r="MA1232" s="1"/>
    </row>
    <row r="1233" spans="4:342" ht="13" x14ac:dyDescent="0.15">
      <c r="D1233" s="12"/>
      <c r="E1233" s="12"/>
      <c r="I1233" s="12"/>
      <c r="J1233" s="13"/>
      <c r="BF1233" s="1"/>
      <c r="BG1233" s="1"/>
      <c r="BH1233" s="1"/>
      <c r="BI1233" s="1"/>
      <c r="BK1233" s="1"/>
      <c r="BL1233" s="1"/>
      <c r="BM1233" s="1"/>
      <c r="BN1233" s="1"/>
      <c r="BO1233" s="1"/>
      <c r="BP1233" s="1"/>
      <c r="BQ1233" s="1"/>
      <c r="BR1233" s="1"/>
      <c r="CD1233" s="1"/>
      <c r="CE1233" s="1"/>
      <c r="CF1233" s="1"/>
      <c r="CG1233" s="1"/>
      <c r="CM1233" s="2"/>
      <c r="CP1233" s="1"/>
      <c r="CQ1233" s="1"/>
      <c r="CR1233" s="1"/>
      <c r="CS1233" s="1"/>
      <c r="CT1233" s="1"/>
      <c r="CU1233" s="1"/>
      <c r="CV1233" s="1"/>
      <c r="CW1233" s="1"/>
      <c r="CX1233" s="1"/>
      <c r="CY1233" s="1"/>
      <c r="CZ1233" s="1"/>
      <c r="DA1233" s="1"/>
      <c r="DB1233" s="1"/>
      <c r="DC1233" s="1"/>
      <c r="DD1233" s="1"/>
      <c r="DE1233" s="1"/>
      <c r="DF1233" s="1"/>
      <c r="DG1233" s="1"/>
      <c r="DH1233" s="1"/>
      <c r="DI1233" s="1"/>
      <c r="DJ1233" s="1"/>
      <c r="DK1233" s="1"/>
      <c r="DL1233" s="1"/>
      <c r="DM1233" s="1"/>
      <c r="DQ1233" s="1"/>
      <c r="DR1233" s="1"/>
      <c r="DY1233" s="1"/>
      <c r="DZ1233" s="1"/>
      <c r="ED1233" s="1"/>
      <c r="EE1233" s="1"/>
      <c r="EF1233" s="1"/>
      <c r="EG1233" s="1"/>
      <c r="EH1233" s="1"/>
      <c r="EK1233" s="1"/>
      <c r="EL1233" s="1"/>
      <c r="EM1233" s="1"/>
      <c r="EN1233" s="1"/>
      <c r="EQ1233" s="1"/>
      <c r="ER1233" s="1"/>
      <c r="ES1233" s="1"/>
      <c r="EV1233" s="1"/>
      <c r="EW1233" s="1"/>
      <c r="EY1233" s="1"/>
      <c r="EZ1233" s="1"/>
      <c r="GP1233" s="1"/>
      <c r="HY1233" s="1"/>
      <c r="IE1233" s="1"/>
      <c r="IG1233" s="1"/>
      <c r="IJ1233" s="1"/>
      <c r="IR1233" s="1"/>
      <c r="IS1233" s="1"/>
      <c r="IY1233" s="1"/>
      <c r="IZ1233" s="1"/>
      <c r="JF1233" s="1"/>
      <c r="JG1233" s="1"/>
      <c r="JH1233" s="1"/>
      <c r="JJ1233" s="1"/>
      <c r="JK1233" s="1"/>
      <c r="JL1233" s="3"/>
      <c r="JM1233" s="1"/>
      <c r="JN1233" s="1"/>
      <c r="JP1233" s="1"/>
      <c r="JQ1233" s="1"/>
      <c r="JR1233" s="1"/>
      <c r="KY1233" s="1"/>
      <c r="KZ1233" s="1"/>
      <c r="LA1233" s="1"/>
      <c r="LB1233" s="1"/>
      <c r="LC1233" s="1"/>
      <c r="LD1233" s="1"/>
      <c r="LO1233" s="1"/>
      <c r="LP1233" s="1"/>
      <c r="LZ1233" s="1"/>
      <c r="MA1233" s="1"/>
    </row>
    <row r="1234" spans="4:342" ht="13" x14ac:dyDescent="0.15">
      <c r="D1234" s="12"/>
      <c r="E1234" s="12"/>
      <c r="I1234" s="12"/>
      <c r="J1234" s="13"/>
      <c r="BF1234" s="1"/>
      <c r="BG1234" s="1"/>
      <c r="BH1234" s="1"/>
      <c r="BI1234" s="1"/>
      <c r="BK1234" s="1"/>
      <c r="BL1234" s="1"/>
      <c r="BM1234" s="1"/>
      <c r="BN1234" s="1"/>
      <c r="BO1234" s="1"/>
      <c r="BP1234" s="1"/>
      <c r="BQ1234" s="1"/>
      <c r="BR1234" s="1"/>
      <c r="CD1234" s="1"/>
      <c r="CE1234" s="1"/>
      <c r="CF1234" s="1"/>
      <c r="CG1234" s="1"/>
      <c r="CK1234" s="1"/>
      <c r="CM1234" s="2"/>
      <c r="CP1234" s="1"/>
      <c r="CQ1234" s="1"/>
      <c r="CR1234" s="1"/>
      <c r="CS1234" s="1"/>
      <c r="CT1234" s="1"/>
      <c r="CU1234" s="1"/>
      <c r="CV1234" s="1"/>
      <c r="CW1234" s="1"/>
      <c r="CX1234" s="1"/>
      <c r="CY1234" s="1"/>
      <c r="CZ1234" s="1"/>
      <c r="DA1234" s="1"/>
      <c r="DB1234" s="1"/>
      <c r="DC1234" s="1"/>
      <c r="DD1234" s="1"/>
      <c r="DE1234" s="1"/>
      <c r="DF1234" s="1"/>
      <c r="DG1234" s="1"/>
      <c r="DH1234" s="1"/>
      <c r="DI1234" s="1"/>
      <c r="DJ1234" s="1"/>
      <c r="DK1234" s="1"/>
      <c r="DM1234" s="1"/>
      <c r="DQ1234" s="1"/>
      <c r="DR1234" s="1"/>
      <c r="DY1234" s="1"/>
      <c r="DZ1234" s="1"/>
      <c r="ED1234" s="1"/>
      <c r="EK1234" s="1"/>
      <c r="EL1234" s="1"/>
      <c r="EM1234" s="1"/>
      <c r="EN1234" s="1"/>
      <c r="EQ1234" s="1"/>
      <c r="ER1234" s="1"/>
      <c r="ES1234" s="1"/>
      <c r="EV1234" s="1"/>
      <c r="EW1234" s="1"/>
      <c r="EZ1234" s="1"/>
      <c r="GO1234" s="1"/>
      <c r="GP1234" s="1"/>
      <c r="HH1234" s="1"/>
      <c r="HY1234" s="1"/>
      <c r="IC1234" s="1"/>
      <c r="ID1234" s="1"/>
      <c r="IE1234" s="1"/>
      <c r="IR1234" s="1"/>
      <c r="IS1234" s="1"/>
      <c r="IW1234" s="1"/>
      <c r="IY1234" s="1"/>
      <c r="IZ1234" s="1"/>
      <c r="JA1234" s="1"/>
      <c r="JC1234" s="1"/>
      <c r="JF1234" s="1"/>
      <c r="JG1234" s="1"/>
      <c r="JH1234" s="1"/>
      <c r="JJ1234" s="1"/>
      <c r="JN1234" s="1"/>
      <c r="JP1234" s="1"/>
      <c r="JQ1234" s="1"/>
      <c r="JT1234" s="1"/>
      <c r="KV1234" s="1"/>
      <c r="KY1234" s="1"/>
      <c r="KZ1234" s="1"/>
      <c r="LA1234" s="1"/>
      <c r="LB1234" s="1"/>
      <c r="LC1234" s="1"/>
      <c r="LD1234" s="1"/>
      <c r="LO1234" s="1"/>
      <c r="LP1234" s="1"/>
      <c r="LZ1234" s="1"/>
      <c r="MA1234" s="1"/>
    </row>
    <row r="1235" spans="4:342" ht="13" x14ac:dyDescent="0.15">
      <c r="D1235" s="12"/>
      <c r="E1235" s="12"/>
      <c r="I1235" s="12"/>
      <c r="J1235" s="13"/>
      <c r="BF1235" s="1"/>
      <c r="BG1235" s="1"/>
      <c r="BH1235" s="1"/>
      <c r="BI1235" s="1"/>
      <c r="BK1235" s="1"/>
      <c r="BL1235" s="1"/>
      <c r="BM1235" s="1"/>
      <c r="BN1235" s="1"/>
      <c r="BO1235" s="1"/>
      <c r="BP1235" s="1"/>
      <c r="BQ1235" s="1"/>
      <c r="BR1235" s="1"/>
      <c r="CD1235" s="1"/>
      <c r="CE1235" s="1"/>
      <c r="CF1235" s="1"/>
      <c r="CG1235" s="1"/>
      <c r="CK1235" s="1"/>
      <c r="CM1235" s="2"/>
      <c r="CP1235" s="1"/>
      <c r="CQ1235" s="1"/>
      <c r="CR1235" s="1"/>
      <c r="CS1235" s="1"/>
      <c r="CT1235" s="1"/>
      <c r="CU1235" s="1"/>
      <c r="CV1235" s="1"/>
      <c r="CW1235" s="1"/>
      <c r="CX1235" s="1"/>
      <c r="CY1235" s="1"/>
      <c r="CZ1235" s="1"/>
      <c r="DA1235" s="1"/>
      <c r="DB1235" s="1"/>
      <c r="DC1235" s="1"/>
      <c r="DD1235" s="1"/>
      <c r="DE1235" s="1"/>
      <c r="DF1235" s="1"/>
      <c r="DG1235" s="1"/>
      <c r="DH1235" s="1"/>
      <c r="DI1235" s="1"/>
      <c r="DJ1235" s="1"/>
      <c r="DK1235" s="1"/>
      <c r="DM1235" s="1"/>
      <c r="DQ1235" s="1"/>
      <c r="DR1235" s="1"/>
      <c r="DY1235" s="1"/>
      <c r="DZ1235" s="1"/>
      <c r="ED1235" s="1"/>
      <c r="EK1235" s="1"/>
      <c r="EL1235" s="1"/>
      <c r="EM1235" s="1"/>
      <c r="EN1235" s="1"/>
      <c r="EQ1235" s="1"/>
      <c r="ER1235" s="1"/>
      <c r="ES1235" s="1"/>
      <c r="EV1235" s="1"/>
      <c r="EW1235" s="1"/>
      <c r="EZ1235" s="1"/>
      <c r="GO1235" s="1"/>
      <c r="GP1235" s="1"/>
      <c r="HH1235" s="1"/>
      <c r="HY1235" s="1"/>
      <c r="IC1235" s="1"/>
      <c r="ID1235" s="1"/>
      <c r="IE1235" s="1"/>
      <c r="IR1235" s="1"/>
      <c r="IS1235" s="1"/>
      <c r="IW1235" s="1"/>
      <c r="IY1235" s="1"/>
      <c r="IZ1235" s="1"/>
      <c r="JA1235" s="1"/>
      <c r="JC1235" s="1"/>
      <c r="JF1235" s="1"/>
      <c r="JG1235" s="1"/>
      <c r="JH1235" s="1"/>
      <c r="JJ1235" s="1"/>
      <c r="JN1235" s="1"/>
      <c r="JP1235" s="1"/>
      <c r="JQ1235" s="1"/>
      <c r="JT1235" s="1"/>
      <c r="KV1235" s="1"/>
      <c r="KY1235" s="1"/>
      <c r="KZ1235" s="1"/>
      <c r="LA1235" s="1"/>
      <c r="LB1235" s="1"/>
      <c r="LC1235" s="1"/>
      <c r="LD1235" s="1"/>
      <c r="LO1235" s="1"/>
      <c r="LP1235" s="1"/>
      <c r="LZ1235" s="1"/>
      <c r="MA1235" s="1"/>
    </row>
    <row r="1236" spans="4:342" ht="13" x14ac:dyDescent="0.15">
      <c r="D1236" s="12"/>
      <c r="E1236" s="12"/>
      <c r="I1236" s="12"/>
      <c r="J1236" s="13"/>
      <c r="BF1236" s="1"/>
      <c r="BG1236" s="1"/>
      <c r="BH1236" s="1"/>
      <c r="BI1236" s="1"/>
      <c r="BK1236" s="1"/>
      <c r="BL1236" s="1"/>
      <c r="BM1236" s="1"/>
      <c r="BN1236" s="1"/>
      <c r="BO1236" s="1"/>
      <c r="BP1236" s="1"/>
      <c r="BQ1236" s="1"/>
      <c r="BR1236" s="1"/>
      <c r="CD1236" s="1"/>
      <c r="CE1236" s="1"/>
      <c r="CF1236" s="1"/>
      <c r="CG1236" s="1"/>
      <c r="CK1236" s="1"/>
      <c r="CM1236" s="2"/>
      <c r="CP1236" s="1"/>
      <c r="CQ1236" s="1"/>
      <c r="CR1236" s="1"/>
      <c r="CS1236" s="1"/>
      <c r="CT1236" s="1"/>
      <c r="CU1236" s="1"/>
      <c r="CV1236" s="1"/>
      <c r="CW1236" s="1"/>
      <c r="CX1236" s="1"/>
      <c r="CY1236" s="1"/>
      <c r="CZ1236" s="1"/>
      <c r="DA1236" s="1"/>
      <c r="DB1236" s="1"/>
      <c r="DC1236" s="1"/>
      <c r="DD1236" s="1"/>
      <c r="DE1236" s="1"/>
      <c r="DF1236" s="1"/>
      <c r="DG1236" s="1"/>
      <c r="DH1236" s="1"/>
      <c r="DI1236" s="1"/>
      <c r="DJ1236" s="1"/>
      <c r="DK1236" s="1"/>
      <c r="DM1236" s="1"/>
      <c r="DQ1236" s="1"/>
      <c r="DR1236" s="1"/>
      <c r="DY1236" s="1"/>
      <c r="DZ1236" s="1"/>
      <c r="ED1236" s="1"/>
      <c r="EK1236" s="1"/>
      <c r="EL1236" s="1"/>
      <c r="EM1236" s="1"/>
      <c r="EN1236" s="1"/>
      <c r="EQ1236" s="1"/>
      <c r="ER1236" s="1"/>
      <c r="ES1236" s="1"/>
      <c r="EV1236" s="1"/>
      <c r="EW1236" s="1"/>
      <c r="EZ1236" s="1"/>
      <c r="GO1236" s="1"/>
      <c r="GP1236" s="1"/>
      <c r="HH1236" s="1"/>
      <c r="HY1236" s="1"/>
      <c r="IC1236" s="1"/>
      <c r="ID1236" s="1"/>
      <c r="IE1236" s="1"/>
      <c r="IR1236" s="1"/>
      <c r="IS1236" s="1"/>
      <c r="IW1236" s="1"/>
      <c r="IY1236" s="1"/>
      <c r="IZ1236" s="1"/>
      <c r="JA1236" s="1"/>
      <c r="JC1236" s="1"/>
      <c r="JF1236" s="1"/>
      <c r="JG1236" s="1"/>
      <c r="JH1236" s="1"/>
      <c r="JJ1236" s="1"/>
      <c r="JN1236" s="1"/>
      <c r="JP1236" s="1"/>
      <c r="JQ1236" s="1"/>
      <c r="JT1236" s="1"/>
      <c r="KV1236" s="1"/>
      <c r="KY1236" s="1"/>
      <c r="KZ1236" s="1"/>
      <c r="LA1236" s="1"/>
      <c r="LB1236" s="1"/>
      <c r="LC1236" s="1"/>
      <c r="LD1236" s="1"/>
      <c r="LO1236" s="1"/>
      <c r="LP1236" s="1"/>
      <c r="LZ1236" s="1"/>
      <c r="MA1236" s="1"/>
    </row>
    <row r="1237" spans="4:342" ht="13" x14ac:dyDescent="0.15">
      <c r="D1237" s="12"/>
      <c r="E1237" s="12"/>
      <c r="I1237" s="12"/>
      <c r="J1237" s="13"/>
      <c r="BG1237" s="1"/>
      <c r="BH1237" s="1"/>
      <c r="BI1237" s="1"/>
      <c r="BJ1237" s="1"/>
      <c r="BK1237" s="1"/>
      <c r="BL1237" s="1"/>
      <c r="BM1237" s="1"/>
      <c r="BN1237" s="1"/>
      <c r="BO1237" s="1"/>
      <c r="BP1237" s="1"/>
      <c r="BQ1237" s="1"/>
      <c r="BR1237" s="1"/>
      <c r="CD1237" s="1"/>
      <c r="CE1237" s="1"/>
      <c r="CF1237" s="1"/>
      <c r="CM1237" s="2"/>
      <c r="CP1237" s="1"/>
      <c r="CQ1237" s="1"/>
      <c r="CR1237" s="1"/>
      <c r="CS1237" s="1"/>
      <c r="CT1237" s="1"/>
      <c r="CU1237" s="1"/>
      <c r="CV1237" s="1"/>
      <c r="CW1237" s="1"/>
      <c r="CX1237" s="1"/>
      <c r="CY1237" s="1"/>
      <c r="CZ1237" s="1"/>
      <c r="DA1237" s="1"/>
      <c r="DB1237" s="1"/>
      <c r="DC1237" s="1"/>
      <c r="DD1237" s="1"/>
      <c r="DE1237" s="1"/>
      <c r="DF1237" s="1"/>
      <c r="DG1237" s="1"/>
      <c r="DH1237" s="1"/>
      <c r="DI1237" s="1"/>
      <c r="DJ1237" s="1"/>
      <c r="DK1237" s="1"/>
      <c r="DM1237" s="1"/>
      <c r="DR1237" s="1"/>
      <c r="ED1237" s="1"/>
      <c r="EE1237" s="1"/>
      <c r="EF1237" s="1"/>
      <c r="EG1237" s="1"/>
      <c r="EH1237" s="1"/>
      <c r="EK1237" s="1"/>
      <c r="EL1237" s="1"/>
      <c r="EM1237" s="1"/>
      <c r="EN1237" s="1"/>
      <c r="EQ1237" s="1"/>
      <c r="ER1237" s="1"/>
      <c r="ES1237" s="1"/>
      <c r="EV1237" s="1"/>
      <c r="EW1237" s="1"/>
      <c r="EY1237" s="1"/>
      <c r="EZ1237" s="1"/>
      <c r="GO1237" s="1"/>
      <c r="GP1237" s="1"/>
      <c r="HH1237" s="1"/>
      <c r="HY1237" s="1"/>
      <c r="IE1237" s="1"/>
      <c r="IG1237" s="1"/>
      <c r="IJ1237" s="1"/>
      <c r="IR1237" s="1"/>
      <c r="IS1237" s="1"/>
      <c r="IW1237" s="1"/>
      <c r="IY1237" s="1"/>
      <c r="IZ1237" s="1"/>
      <c r="JA1237" s="1"/>
      <c r="JH1237" s="1"/>
      <c r="JJ1237" s="1"/>
      <c r="JK1237" s="1"/>
      <c r="JL1237" s="3"/>
      <c r="JM1237" s="1"/>
      <c r="JP1237" s="1"/>
      <c r="JQ1237" s="1"/>
      <c r="JR1237" s="1"/>
      <c r="KY1237" s="1"/>
      <c r="KZ1237" s="1"/>
      <c r="LA1237" s="1"/>
      <c r="LB1237" s="1"/>
      <c r="LC1237" s="1"/>
      <c r="LD1237" s="1"/>
      <c r="LO1237" s="1"/>
      <c r="LP1237" s="1"/>
      <c r="LZ1237" s="1"/>
      <c r="MA1237" s="1"/>
    </row>
    <row r="1238" spans="4:342" ht="13" x14ac:dyDescent="0.15">
      <c r="D1238" s="12"/>
      <c r="E1238" s="12"/>
      <c r="I1238" s="12"/>
      <c r="J1238" s="13"/>
      <c r="BG1238" s="1"/>
      <c r="BH1238" s="1"/>
      <c r="BI1238" s="1"/>
      <c r="BJ1238" s="1"/>
      <c r="BK1238" s="1"/>
      <c r="BL1238" s="1"/>
      <c r="BM1238" s="1"/>
      <c r="BN1238" s="1"/>
      <c r="BO1238" s="1"/>
      <c r="BP1238" s="1"/>
      <c r="BQ1238" s="1"/>
      <c r="BR1238" s="1"/>
      <c r="CD1238" s="1"/>
      <c r="CE1238" s="1"/>
      <c r="CF1238" s="1"/>
      <c r="CM1238" s="2"/>
      <c r="CP1238" s="1"/>
      <c r="CQ1238" s="1"/>
      <c r="CR1238" s="1"/>
      <c r="CS1238" s="1"/>
      <c r="CT1238" s="1"/>
      <c r="CU1238" s="1"/>
      <c r="CV1238" s="1"/>
      <c r="CW1238" s="1"/>
      <c r="CX1238" s="1"/>
      <c r="CY1238" s="1"/>
      <c r="CZ1238" s="1"/>
      <c r="DA1238" s="1"/>
      <c r="DB1238" s="1"/>
      <c r="DC1238" s="1"/>
      <c r="DD1238" s="1"/>
      <c r="DE1238" s="1"/>
      <c r="DF1238" s="1"/>
      <c r="DG1238" s="1"/>
      <c r="DH1238" s="1"/>
      <c r="DI1238" s="1"/>
      <c r="DJ1238" s="1"/>
      <c r="DK1238" s="1"/>
      <c r="DM1238" s="1"/>
      <c r="DR1238" s="1"/>
      <c r="ED1238" s="1"/>
      <c r="EE1238" s="1"/>
      <c r="EF1238" s="1"/>
      <c r="EG1238" s="1"/>
      <c r="EH1238" s="1"/>
      <c r="EK1238" s="1"/>
      <c r="EL1238" s="1"/>
      <c r="EM1238" s="1"/>
      <c r="EN1238" s="1"/>
      <c r="EQ1238" s="1"/>
      <c r="ER1238" s="1"/>
      <c r="ES1238" s="1"/>
      <c r="EV1238" s="1"/>
      <c r="EW1238" s="1"/>
      <c r="EY1238" s="1"/>
      <c r="EZ1238" s="1"/>
      <c r="GO1238" s="1"/>
      <c r="GP1238" s="1"/>
      <c r="HH1238" s="1"/>
      <c r="HY1238" s="1"/>
      <c r="IE1238" s="1"/>
      <c r="IG1238" s="1"/>
      <c r="IJ1238" s="1"/>
      <c r="IR1238" s="1"/>
      <c r="IS1238" s="1"/>
      <c r="IW1238" s="1"/>
      <c r="IY1238" s="1"/>
      <c r="IZ1238" s="1"/>
      <c r="JA1238" s="1"/>
      <c r="JH1238" s="1"/>
      <c r="JJ1238" s="1"/>
      <c r="JK1238" s="1"/>
      <c r="JL1238" s="3"/>
      <c r="JM1238" s="1"/>
      <c r="JP1238" s="1"/>
      <c r="JQ1238" s="1"/>
      <c r="JR1238" s="1"/>
      <c r="KY1238" s="1"/>
      <c r="KZ1238" s="1"/>
      <c r="LA1238" s="1"/>
      <c r="LB1238" s="1"/>
      <c r="LC1238" s="1"/>
      <c r="LD1238" s="1"/>
      <c r="LO1238" s="1"/>
      <c r="LP1238" s="1"/>
      <c r="LZ1238" s="1"/>
      <c r="MA1238" s="1"/>
    </row>
    <row r="1239" spans="4:342" ht="13" x14ac:dyDescent="0.15">
      <c r="D1239" s="12"/>
      <c r="E1239" s="12"/>
      <c r="I1239" s="12"/>
      <c r="J1239" s="13"/>
      <c r="BG1239" s="1"/>
      <c r="BH1239" s="1"/>
      <c r="BI1239" s="1"/>
      <c r="BK1239" s="1"/>
      <c r="BL1239" s="1"/>
      <c r="BM1239" s="1"/>
      <c r="BN1239" s="1"/>
      <c r="BO1239" s="1"/>
      <c r="BQ1239" s="1"/>
      <c r="BR1239" s="1"/>
      <c r="CD1239" s="1"/>
      <c r="CE1239" s="1"/>
      <c r="CF1239" s="1"/>
      <c r="CM1239" s="2"/>
      <c r="ED1239" s="1"/>
      <c r="EL1239" s="1"/>
      <c r="EM1239" s="1"/>
      <c r="EN1239" s="1"/>
      <c r="EQ1239" s="1"/>
      <c r="ER1239" s="1"/>
      <c r="ES1239" s="1"/>
      <c r="EV1239" s="1"/>
      <c r="EW1239" s="1"/>
      <c r="EZ1239" s="1"/>
      <c r="GP1239" s="1"/>
      <c r="HY1239" s="1"/>
      <c r="ID1239" s="1"/>
      <c r="IR1239" s="1"/>
      <c r="IS1239" s="1"/>
      <c r="IZ1239" s="1"/>
      <c r="JC1239" s="1"/>
      <c r="JJ1239" s="1"/>
      <c r="JP1239" s="1"/>
      <c r="JQ1239" s="1"/>
      <c r="JT1239" s="1"/>
      <c r="KU1239" s="1"/>
      <c r="LM1239" s="1"/>
      <c r="LZ1239" s="1"/>
    </row>
    <row r="1240" spans="4:342" ht="13" x14ac:dyDescent="0.15">
      <c r="D1240" s="12"/>
      <c r="E1240" s="12"/>
      <c r="I1240" s="12"/>
      <c r="J1240" s="13"/>
      <c r="BF1240" s="1"/>
      <c r="BG1240" s="1"/>
      <c r="BH1240" s="1"/>
      <c r="BI1240" s="1"/>
      <c r="BK1240" s="1"/>
      <c r="BL1240" s="1"/>
      <c r="BM1240" s="1"/>
      <c r="BN1240" s="1"/>
      <c r="BO1240" s="1"/>
      <c r="BP1240" s="1"/>
      <c r="BQ1240" s="1"/>
      <c r="BR1240" s="1"/>
      <c r="CD1240" s="1"/>
      <c r="CE1240" s="1"/>
      <c r="CF1240" s="1"/>
      <c r="CG1240" s="1"/>
      <c r="CM1240" s="2"/>
      <c r="CP1240" s="1"/>
      <c r="CQ1240" s="1"/>
      <c r="CV1240" s="1"/>
      <c r="CW1240" s="1"/>
      <c r="CX1240" s="1"/>
      <c r="CY1240" s="1"/>
      <c r="CZ1240" s="1"/>
      <c r="DA1240" s="1"/>
      <c r="DB1240" s="1"/>
      <c r="DC1240" s="1"/>
      <c r="DD1240" s="1"/>
      <c r="DE1240" s="1"/>
      <c r="DF1240" s="1"/>
      <c r="DG1240" s="1"/>
      <c r="DH1240" s="1"/>
      <c r="DI1240" s="1"/>
      <c r="DJ1240" s="1"/>
      <c r="DK1240" s="1"/>
      <c r="ED1240" s="1"/>
      <c r="EK1240" s="1"/>
      <c r="EL1240" s="1"/>
      <c r="EM1240" s="1"/>
      <c r="EN1240" s="1"/>
      <c r="EQ1240" s="1"/>
      <c r="ER1240" s="1"/>
      <c r="ES1240" s="1"/>
      <c r="EV1240" s="1"/>
      <c r="EW1240" s="1"/>
      <c r="EZ1240" s="1"/>
      <c r="GO1240" s="1"/>
      <c r="GP1240" s="1"/>
      <c r="HY1240" s="1"/>
      <c r="IE1240" s="1"/>
      <c r="IR1240" s="1"/>
      <c r="IS1240" s="1"/>
      <c r="IW1240" s="1"/>
      <c r="IZ1240" s="1"/>
      <c r="JA1240" s="1"/>
      <c r="JH1240" s="1"/>
      <c r="JJ1240" s="1"/>
      <c r="JN1240" s="1"/>
      <c r="JP1240" s="1"/>
      <c r="JQ1240" s="1"/>
      <c r="KU1240" s="1"/>
      <c r="KV1240" s="1"/>
      <c r="KY1240" s="1"/>
      <c r="KZ1240" s="1"/>
      <c r="LA1240" s="1"/>
      <c r="LB1240" s="1"/>
      <c r="LC1240" s="1"/>
      <c r="LD1240" s="1"/>
      <c r="LO1240" s="1"/>
      <c r="LP1240" s="1"/>
      <c r="LZ1240" s="1"/>
      <c r="MA1240" s="1"/>
    </row>
    <row r="1241" spans="4:342" ht="13" x14ac:dyDescent="0.15">
      <c r="D1241" s="12"/>
      <c r="E1241" s="12"/>
      <c r="I1241" s="12"/>
      <c r="J1241" s="13"/>
      <c r="BF1241" s="1"/>
      <c r="BG1241" s="1"/>
      <c r="BH1241" s="1"/>
      <c r="BI1241" s="1"/>
      <c r="BK1241" s="1"/>
      <c r="BL1241" s="1"/>
      <c r="BM1241" s="1"/>
      <c r="BN1241" s="1"/>
      <c r="BO1241" s="1"/>
      <c r="BQ1241" s="1"/>
      <c r="BR1241" s="1"/>
      <c r="CD1241" s="1"/>
      <c r="CE1241" s="1"/>
      <c r="CF1241" s="1"/>
      <c r="CG1241" s="1"/>
      <c r="CM1241" s="2"/>
      <c r="ED1241" s="1"/>
      <c r="EL1241" s="1"/>
      <c r="EM1241" s="1"/>
      <c r="EN1241" s="1"/>
      <c r="EQ1241" s="1"/>
      <c r="ER1241" s="1"/>
      <c r="ES1241" s="1"/>
      <c r="EV1241" s="1"/>
      <c r="EW1241" s="1"/>
      <c r="EZ1241" s="1"/>
      <c r="GP1241" s="1"/>
      <c r="HY1241" s="1"/>
      <c r="IC1241" s="1"/>
      <c r="IR1241" s="1"/>
      <c r="IS1241" s="1"/>
      <c r="IZ1241" s="1"/>
      <c r="JF1241" s="1"/>
      <c r="JG1241" s="1"/>
      <c r="JJ1241" s="1"/>
      <c r="JN1241" s="1"/>
      <c r="JP1241" s="1"/>
      <c r="JQ1241" s="1"/>
      <c r="JT1241" s="1"/>
    </row>
    <row r="1242" spans="4:342" ht="13" x14ac:dyDescent="0.15">
      <c r="D1242" s="12"/>
      <c r="E1242" s="12"/>
      <c r="I1242" s="12"/>
      <c r="J1242" s="13"/>
      <c r="BF1242" s="1"/>
      <c r="BG1242" s="1"/>
      <c r="BH1242" s="1"/>
      <c r="BI1242" s="1"/>
      <c r="BJ1242" s="1"/>
      <c r="BK1242" s="1"/>
      <c r="BL1242" s="1"/>
      <c r="BM1242" s="1"/>
      <c r="BN1242" s="1"/>
      <c r="BO1242" s="1"/>
      <c r="BQ1242" s="1"/>
      <c r="BR1242" s="1"/>
      <c r="CD1242" s="1"/>
      <c r="CE1242" s="1"/>
      <c r="CF1242" s="1"/>
      <c r="CM1242" s="2"/>
      <c r="ED1242" s="1"/>
      <c r="EL1242" s="1"/>
      <c r="EM1242" s="1"/>
      <c r="EN1242" s="1"/>
      <c r="EQ1242" s="1"/>
      <c r="ER1242" s="1"/>
      <c r="ES1242" s="1"/>
      <c r="EV1242" s="1"/>
      <c r="EW1242" s="1"/>
      <c r="EZ1242" s="1"/>
      <c r="GP1242" s="1"/>
      <c r="HY1242" s="1"/>
      <c r="IC1242" s="1"/>
      <c r="IR1242" s="1"/>
      <c r="IS1242" s="1"/>
      <c r="IW1242" s="1"/>
      <c r="IZ1242" s="1"/>
      <c r="JC1242" s="1"/>
      <c r="JG1242" s="1"/>
      <c r="JJ1242" s="1"/>
      <c r="JN1242" s="1"/>
      <c r="JP1242" s="1"/>
      <c r="JQ1242" s="1"/>
      <c r="JT1242" s="1"/>
      <c r="LM1242" s="1"/>
    </row>
    <row r="1243" spans="4:342" ht="13" x14ac:dyDescent="0.15">
      <c r="D1243" s="12"/>
      <c r="E1243" s="12"/>
      <c r="I1243" s="12"/>
      <c r="J1243" s="13"/>
      <c r="BF1243" s="1"/>
      <c r="BG1243" s="1"/>
      <c r="BH1243" s="1"/>
      <c r="BI1243" s="1"/>
      <c r="BJ1243" s="1"/>
      <c r="BK1243" s="1"/>
      <c r="BL1243" s="1"/>
      <c r="BM1243" s="1"/>
      <c r="BN1243" s="1"/>
      <c r="BO1243" s="1"/>
      <c r="BQ1243" s="1"/>
      <c r="BR1243" s="1"/>
      <c r="CD1243" s="1"/>
      <c r="CE1243" s="1"/>
      <c r="CF1243" s="1"/>
      <c r="CM1243" s="2"/>
      <c r="ED1243" s="1"/>
      <c r="EL1243" s="1"/>
      <c r="EM1243" s="1"/>
      <c r="EN1243" s="1"/>
      <c r="EQ1243" s="1"/>
      <c r="ER1243" s="1"/>
      <c r="ES1243" s="1"/>
      <c r="EV1243" s="1"/>
      <c r="EW1243" s="1"/>
      <c r="EZ1243" s="1"/>
      <c r="GP1243" s="1"/>
      <c r="HY1243" s="1"/>
      <c r="IS1243" s="1"/>
      <c r="IZ1243" s="1"/>
      <c r="JJ1243" s="1"/>
      <c r="JP1243" s="1"/>
      <c r="JQ1243" s="1"/>
      <c r="KU1243" s="1"/>
    </row>
    <row r="1244" spans="4:342" ht="13" x14ac:dyDescent="0.15">
      <c r="D1244" s="12"/>
      <c r="E1244" s="12"/>
      <c r="I1244" s="12"/>
      <c r="J1244" s="13"/>
      <c r="BG1244" s="1"/>
      <c r="BH1244" s="1"/>
      <c r="BI1244" s="1"/>
      <c r="BK1244" s="1"/>
      <c r="BL1244" s="1"/>
      <c r="BM1244" s="1"/>
      <c r="BN1244" s="1"/>
      <c r="BO1244" s="1"/>
      <c r="BQ1244" s="1"/>
      <c r="BR1244" s="1"/>
      <c r="CD1244" s="1"/>
      <c r="CM1244" s="2"/>
      <c r="ED1244" s="1"/>
      <c r="EL1244" s="1"/>
      <c r="EM1244" s="1"/>
      <c r="EN1244" s="1"/>
      <c r="EQ1244" s="1"/>
      <c r="ER1244" s="1"/>
      <c r="ES1244" s="1"/>
      <c r="EV1244" s="1"/>
      <c r="EW1244" s="1"/>
      <c r="EZ1244" s="1"/>
      <c r="IS1244" s="1"/>
      <c r="IZ1244" s="1"/>
      <c r="JC1244" s="1"/>
      <c r="JG1244" s="1"/>
      <c r="JJ1244" s="1"/>
      <c r="JP1244" s="1"/>
      <c r="JQ1244" s="1"/>
      <c r="LM1244" s="1"/>
      <c r="LZ1244" s="1"/>
    </row>
    <row r="1245" spans="4:342" ht="13" x14ac:dyDescent="0.15">
      <c r="D1245" s="12"/>
      <c r="E1245" s="12"/>
      <c r="I1245" s="12"/>
      <c r="J1245" s="13"/>
      <c r="BF1245" s="1"/>
      <c r="BG1245" s="1"/>
      <c r="BH1245" s="1"/>
      <c r="BI1245" s="1"/>
      <c r="BJ1245" s="1"/>
      <c r="BK1245" s="1"/>
      <c r="BL1245" s="1"/>
      <c r="BM1245" s="1"/>
      <c r="BN1245" s="1"/>
      <c r="BO1245" s="1"/>
      <c r="BP1245" s="1"/>
      <c r="BQ1245" s="1"/>
      <c r="BR1245" s="1"/>
      <c r="BX1245" s="1"/>
      <c r="CD1245" s="1"/>
      <c r="CE1245" s="1"/>
      <c r="CF1245" s="1"/>
      <c r="CM1245" s="2"/>
      <c r="CP1245" s="1"/>
      <c r="CQ1245" s="1"/>
      <c r="CR1245" s="1"/>
      <c r="CS1245" s="1"/>
      <c r="CT1245" s="1"/>
      <c r="CU1245" s="1"/>
      <c r="CV1245" s="1"/>
      <c r="CW1245" s="1"/>
      <c r="CX1245" s="1"/>
      <c r="CY1245" s="1"/>
      <c r="CZ1245" s="1"/>
      <c r="DA1245" s="1"/>
      <c r="DB1245" s="1"/>
      <c r="DC1245" s="1"/>
      <c r="DD1245" s="1"/>
      <c r="DE1245" s="1"/>
      <c r="DF1245" s="1"/>
      <c r="DG1245" s="1"/>
      <c r="DH1245" s="1"/>
      <c r="DI1245" s="1"/>
      <c r="DJ1245" s="1"/>
      <c r="DK1245" s="1"/>
      <c r="DL1245" s="1"/>
      <c r="DM1245" s="1"/>
      <c r="DQ1245" s="1"/>
      <c r="DR1245" s="1"/>
      <c r="DY1245" s="1"/>
      <c r="DZ1245" s="1"/>
      <c r="ED1245" s="1"/>
      <c r="EE1245" s="1"/>
      <c r="EF1245" s="1"/>
      <c r="EG1245" s="1"/>
      <c r="EH1245" s="1"/>
      <c r="EK1245" s="1"/>
      <c r="EL1245" s="1"/>
      <c r="EM1245" s="1"/>
      <c r="EN1245" s="1"/>
      <c r="EQ1245" s="1"/>
      <c r="ER1245" s="1"/>
      <c r="ES1245" s="1"/>
      <c r="EV1245" s="1"/>
      <c r="EW1245" s="1"/>
      <c r="EY1245" s="1"/>
      <c r="EZ1245" s="1"/>
      <c r="FW1245" s="1"/>
      <c r="FX1245" s="1"/>
      <c r="GO1245" s="1"/>
      <c r="GP1245" s="1"/>
      <c r="HH1245" s="1"/>
      <c r="HY1245" s="1"/>
      <c r="ID1245" s="1"/>
      <c r="IE1245" s="1"/>
      <c r="IG1245" s="1"/>
      <c r="IJ1245" s="1"/>
      <c r="IR1245" s="1"/>
      <c r="IS1245" s="1"/>
      <c r="IY1245" s="1"/>
      <c r="IZ1245" s="1"/>
      <c r="JC1245" s="1"/>
      <c r="JF1245" s="1"/>
      <c r="JG1245" s="1"/>
      <c r="JH1245" s="1"/>
      <c r="JJ1245" s="1"/>
      <c r="JK1245" s="1"/>
      <c r="JL1245" s="3"/>
      <c r="JM1245" s="1"/>
      <c r="JN1245" s="1"/>
      <c r="JP1245" s="1"/>
      <c r="JQ1245" s="1"/>
      <c r="JR1245" s="1"/>
      <c r="JT1245" s="1"/>
      <c r="KW1245" s="1"/>
      <c r="KY1245" s="1"/>
      <c r="KZ1245" s="1"/>
      <c r="LA1245" s="1"/>
      <c r="LB1245" s="1"/>
      <c r="LC1245" s="1"/>
      <c r="LD1245" s="1"/>
      <c r="LO1245" s="1"/>
      <c r="LP1245" s="1"/>
      <c r="LZ1245" s="1"/>
      <c r="MA1245" s="1"/>
    </row>
    <row r="1246" spans="4:342" ht="13" x14ac:dyDescent="0.15">
      <c r="D1246" s="12"/>
      <c r="E1246" s="12"/>
      <c r="I1246" s="12"/>
      <c r="J1246" s="13"/>
      <c r="BF1246" s="1"/>
      <c r="BG1246" s="1"/>
      <c r="BH1246" s="1"/>
      <c r="BI1246" s="1"/>
      <c r="BK1246" s="1"/>
      <c r="BL1246" s="1"/>
      <c r="BM1246" s="1"/>
      <c r="BN1246" s="1"/>
      <c r="BO1246" s="1"/>
      <c r="BP1246" s="1"/>
      <c r="BQ1246" s="1"/>
      <c r="BR1246" s="1"/>
      <c r="CD1246" s="1"/>
      <c r="CE1246" s="1"/>
      <c r="CF1246" s="1"/>
      <c r="CG1246" s="1"/>
      <c r="CM1246" s="2"/>
      <c r="CP1246" s="1"/>
      <c r="CQ1246" s="1"/>
      <c r="CR1246" s="1"/>
      <c r="CS1246" s="1"/>
      <c r="CT1246" s="1"/>
      <c r="CU1246" s="1"/>
      <c r="CV1246" s="1"/>
      <c r="CW1246" s="1"/>
      <c r="CX1246" s="1"/>
      <c r="CY1246" s="1"/>
      <c r="CZ1246" s="1"/>
      <c r="DA1246" s="1"/>
      <c r="DB1246" s="1"/>
      <c r="DC1246" s="1"/>
      <c r="DD1246" s="1"/>
      <c r="DE1246" s="1"/>
      <c r="DF1246" s="1"/>
      <c r="DG1246" s="1"/>
      <c r="DH1246" s="1"/>
      <c r="DI1246" s="1"/>
      <c r="DJ1246" s="1"/>
      <c r="DK1246" s="1"/>
      <c r="DQ1246" s="1"/>
      <c r="DR1246" s="1"/>
      <c r="DY1246" s="1"/>
      <c r="DZ1246" s="1"/>
      <c r="ED1246" s="1"/>
      <c r="EE1246" s="1"/>
      <c r="EF1246" s="1"/>
      <c r="EG1246" s="1"/>
      <c r="EH1246" s="1"/>
      <c r="EK1246" s="1"/>
      <c r="EL1246" s="1"/>
      <c r="EM1246" s="1"/>
      <c r="EN1246" s="1"/>
      <c r="EQ1246" s="1"/>
      <c r="ER1246" s="1"/>
      <c r="ES1246" s="1"/>
      <c r="EV1246" s="1"/>
      <c r="EW1246" s="1"/>
      <c r="EY1246" s="1"/>
      <c r="EZ1246" s="1"/>
      <c r="GO1246" s="1"/>
      <c r="GP1246" s="1"/>
      <c r="HY1246" s="1"/>
      <c r="IE1246" s="1"/>
      <c r="IG1246" s="1"/>
      <c r="IJ1246" s="1"/>
      <c r="IR1246" s="1"/>
      <c r="IS1246" s="1"/>
      <c r="IW1246" s="1"/>
      <c r="IX1246" s="1"/>
      <c r="IZ1246" s="1"/>
      <c r="JB1246" s="1"/>
      <c r="JF1246" s="1"/>
      <c r="JG1246" s="1"/>
      <c r="JJ1246" s="1"/>
      <c r="JK1246" s="1"/>
      <c r="JL1246" s="3"/>
      <c r="JM1246" s="1"/>
      <c r="JN1246" s="1"/>
      <c r="JP1246" s="1"/>
      <c r="JQ1246" s="1"/>
      <c r="JR1246" s="1"/>
      <c r="KY1246" s="1"/>
      <c r="KZ1246" s="1"/>
      <c r="LA1246" s="1"/>
      <c r="LB1246" s="1"/>
      <c r="LC1246" s="1"/>
      <c r="LD1246" s="1"/>
      <c r="LO1246" s="1"/>
      <c r="LP1246" s="1"/>
      <c r="LZ1246" s="1"/>
      <c r="MA1246" s="1"/>
    </row>
    <row r="1247" spans="4:342" ht="13" x14ac:dyDescent="0.15">
      <c r="D1247" s="12"/>
      <c r="E1247" s="12"/>
      <c r="I1247" s="12"/>
      <c r="J1247" s="13"/>
      <c r="BF1247" s="1"/>
      <c r="BG1247" s="1"/>
      <c r="BH1247" s="1"/>
      <c r="BI1247" s="1"/>
      <c r="BK1247" s="1"/>
      <c r="BL1247" s="1"/>
      <c r="BM1247" s="1"/>
      <c r="BN1247" s="1"/>
      <c r="BO1247" s="1"/>
      <c r="BP1247" s="1"/>
      <c r="BQ1247" s="1"/>
      <c r="BR1247" s="1"/>
      <c r="CD1247" s="1"/>
      <c r="CE1247" s="1"/>
      <c r="CF1247" s="1"/>
      <c r="CG1247" s="1"/>
      <c r="CM1247" s="2"/>
      <c r="CP1247" s="1"/>
      <c r="CQ1247" s="1"/>
      <c r="CR1247" s="1"/>
      <c r="CS1247" s="1"/>
      <c r="CT1247" s="1"/>
      <c r="CU1247" s="1"/>
      <c r="CV1247" s="1"/>
      <c r="CW1247" s="1"/>
      <c r="CX1247" s="1"/>
      <c r="CY1247" s="1"/>
      <c r="CZ1247" s="1"/>
      <c r="DA1247" s="1"/>
      <c r="DB1247" s="1"/>
      <c r="DC1247" s="1"/>
      <c r="DD1247" s="1"/>
      <c r="DE1247" s="1"/>
      <c r="DF1247" s="1"/>
      <c r="DG1247" s="1"/>
      <c r="DH1247" s="1"/>
      <c r="DI1247" s="1"/>
      <c r="DJ1247" s="1"/>
      <c r="DK1247" s="1"/>
      <c r="DQ1247" s="1"/>
      <c r="DR1247" s="1"/>
      <c r="DY1247" s="1"/>
      <c r="DZ1247" s="1"/>
      <c r="ED1247" s="1"/>
      <c r="EE1247" s="1"/>
      <c r="EF1247" s="1"/>
      <c r="EG1247" s="1"/>
      <c r="EH1247" s="1"/>
      <c r="EK1247" s="1"/>
      <c r="EL1247" s="1"/>
      <c r="EM1247" s="1"/>
      <c r="EN1247" s="1"/>
      <c r="EQ1247" s="1"/>
      <c r="ER1247" s="1"/>
      <c r="ES1247" s="1"/>
      <c r="EV1247" s="1"/>
      <c r="EW1247" s="1"/>
      <c r="EY1247" s="1"/>
      <c r="EZ1247" s="1"/>
      <c r="GO1247" s="1"/>
      <c r="GP1247" s="1"/>
      <c r="HY1247" s="1"/>
      <c r="IE1247" s="1"/>
      <c r="IG1247" s="1"/>
      <c r="IJ1247" s="1"/>
      <c r="IR1247" s="1"/>
      <c r="IS1247" s="1"/>
      <c r="IW1247" s="1"/>
      <c r="IX1247" s="1"/>
      <c r="IZ1247" s="1"/>
      <c r="JB1247" s="1"/>
      <c r="JF1247" s="1"/>
      <c r="JG1247" s="1"/>
      <c r="JJ1247" s="1"/>
      <c r="JK1247" s="1"/>
      <c r="JL1247" s="3"/>
      <c r="JM1247" s="1"/>
      <c r="JN1247" s="1"/>
      <c r="JP1247" s="1"/>
      <c r="JQ1247" s="1"/>
      <c r="JR1247" s="1"/>
      <c r="KY1247" s="1"/>
      <c r="KZ1247" s="1"/>
      <c r="LA1247" s="1"/>
      <c r="LB1247" s="1"/>
      <c r="LC1247" s="1"/>
      <c r="LD1247" s="1"/>
      <c r="LO1247" s="1"/>
      <c r="LP1247" s="1"/>
      <c r="LZ1247" s="1"/>
      <c r="MA1247" s="1"/>
    </row>
    <row r="1248" spans="4:342" ht="13" x14ac:dyDescent="0.15">
      <c r="D1248" s="12"/>
      <c r="E1248" s="12"/>
      <c r="I1248" s="12"/>
      <c r="J1248" s="13"/>
      <c r="BF1248" s="1"/>
      <c r="BG1248" s="1"/>
      <c r="BH1248" s="1"/>
      <c r="BI1248" s="1"/>
      <c r="BK1248" s="1"/>
      <c r="BL1248" s="1"/>
      <c r="BM1248" s="1"/>
      <c r="BN1248" s="1"/>
      <c r="BO1248" s="1"/>
      <c r="BP1248" s="1"/>
      <c r="BQ1248" s="1"/>
      <c r="BR1248" s="1"/>
      <c r="BX1248" s="1"/>
      <c r="CD1248" s="1"/>
      <c r="CE1248" s="1"/>
      <c r="CF1248" s="1"/>
      <c r="CG1248" s="1"/>
      <c r="CM1248" s="2"/>
      <c r="CP1248" s="1"/>
      <c r="CQ1248" s="1"/>
      <c r="CS1248" s="1"/>
      <c r="CT1248" s="1"/>
      <c r="CU1248" s="1"/>
      <c r="CV1248" s="1"/>
      <c r="CW1248" s="1"/>
      <c r="CX1248" s="1"/>
      <c r="CY1248" s="1"/>
      <c r="CZ1248" s="1"/>
      <c r="DA1248" s="1"/>
      <c r="DB1248" s="1"/>
      <c r="DC1248" s="1"/>
      <c r="DD1248" s="1"/>
      <c r="DE1248" s="1"/>
      <c r="DF1248" s="1"/>
      <c r="DG1248" s="1"/>
      <c r="DH1248" s="1"/>
      <c r="DI1248" s="1"/>
      <c r="DJ1248" s="1"/>
      <c r="DK1248" s="1"/>
      <c r="DM1248" s="1"/>
      <c r="DQ1248" s="1"/>
      <c r="DR1248" s="1"/>
      <c r="DY1248" s="1"/>
      <c r="DZ1248" s="1"/>
      <c r="ED1248" s="1"/>
      <c r="EK1248" s="1"/>
      <c r="EL1248" s="1"/>
      <c r="EM1248" s="1"/>
      <c r="EN1248" s="1"/>
      <c r="EQ1248" s="1"/>
      <c r="ER1248" s="1"/>
      <c r="ES1248" s="1"/>
      <c r="EV1248" s="1"/>
      <c r="EW1248" s="1"/>
      <c r="EZ1248" s="1"/>
      <c r="GP1248" s="1"/>
      <c r="HY1248" s="1"/>
      <c r="IE1248" s="1"/>
      <c r="IR1248" s="1"/>
      <c r="IS1248" s="1"/>
      <c r="IZ1248" s="1"/>
      <c r="JC1248" s="1"/>
      <c r="JF1248" s="1"/>
      <c r="JG1248" s="1"/>
      <c r="JH1248" s="1"/>
      <c r="JJ1248" s="1"/>
      <c r="JN1248" s="1"/>
      <c r="JP1248" s="1"/>
      <c r="JQ1248" s="1"/>
      <c r="LM1248" s="1"/>
      <c r="LO1248" s="1"/>
      <c r="LP1248" s="1"/>
      <c r="LZ1248" s="1"/>
      <c r="MA1248" s="1"/>
      <c r="MB1248" s="1"/>
      <c r="MC1248" s="5"/>
      <c r="MD1248" s="5"/>
    </row>
    <row r="1249" spans="4:339" ht="13" x14ac:dyDescent="0.15">
      <c r="D1249" s="12"/>
      <c r="E1249" s="12"/>
      <c r="I1249" s="12"/>
      <c r="J1249" s="13"/>
      <c r="BF1249" s="1"/>
      <c r="BG1249" s="1"/>
      <c r="BH1249" s="1"/>
      <c r="BI1249" s="1"/>
      <c r="BK1249" s="1"/>
      <c r="BL1249" s="1"/>
      <c r="BM1249" s="1"/>
      <c r="BN1249" s="1"/>
      <c r="BO1249" s="1"/>
      <c r="BP1249" s="1"/>
      <c r="BQ1249" s="1"/>
      <c r="BR1249" s="1"/>
      <c r="CD1249" s="1"/>
      <c r="CE1249" s="1"/>
      <c r="CF1249" s="1"/>
      <c r="CG1249" s="1"/>
      <c r="CJ1249" s="1"/>
      <c r="CM1249" s="4"/>
      <c r="CP1249" s="1"/>
      <c r="CQ1249" s="1"/>
      <c r="CR1249" s="1"/>
      <c r="CT1249" s="1"/>
      <c r="CU1249" s="1"/>
      <c r="CV1249" s="1"/>
      <c r="CW1249" s="1"/>
      <c r="CX1249" s="1"/>
      <c r="CY1249" s="1"/>
      <c r="CZ1249" s="1"/>
      <c r="DA1249" s="1"/>
      <c r="DB1249" s="1"/>
      <c r="DC1249" s="1"/>
      <c r="DD1249" s="1"/>
      <c r="DE1249" s="1"/>
      <c r="DF1249" s="1"/>
      <c r="DG1249" s="1"/>
      <c r="DH1249" s="1"/>
      <c r="DI1249" s="1"/>
      <c r="DJ1249" s="1"/>
      <c r="DK1249" s="1"/>
      <c r="DM1249" s="1"/>
      <c r="DR1249" s="1"/>
      <c r="ED1249" s="1"/>
      <c r="EK1249" s="1"/>
      <c r="EL1249" s="1"/>
      <c r="EM1249" s="1"/>
      <c r="EN1249" s="1"/>
      <c r="EQ1249" s="1"/>
      <c r="ER1249" s="1"/>
      <c r="ES1249" s="1"/>
      <c r="EV1249" s="1"/>
      <c r="EW1249" s="1"/>
      <c r="EZ1249" s="1"/>
      <c r="GO1249" s="1"/>
      <c r="GP1249" s="1"/>
      <c r="HY1249" s="1"/>
      <c r="IA1249" s="1"/>
      <c r="IE1249" s="1"/>
      <c r="IR1249" s="1"/>
      <c r="IS1249" s="1"/>
      <c r="IY1249" s="1"/>
      <c r="IZ1249" s="1"/>
      <c r="JC1249" s="1"/>
      <c r="JF1249" s="1"/>
      <c r="JG1249" s="1"/>
      <c r="JJ1249" s="1"/>
      <c r="JN1249" s="1"/>
      <c r="JP1249" s="1"/>
      <c r="JQ1249" s="1"/>
      <c r="KU1249" s="1"/>
      <c r="KW1249" s="1"/>
      <c r="KY1249" s="1"/>
      <c r="KZ1249" s="1"/>
      <c r="LA1249" s="1"/>
      <c r="LB1249" s="1"/>
      <c r="LC1249" s="1"/>
      <c r="LD1249" s="1"/>
      <c r="LO1249" s="1"/>
      <c r="LP1249" s="1"/>
      <c r="LZ1249" s="1"/>
      <c r="MA1249" s="1"/>
    </row>
    <row r="1250" spans="4:339" ht="13" x14ac:dyDescent="0.15">
      <c r="D1250" s="12"/>
      <c r="E1250" s="12"/>
      <c r="I1250" s="12"/>
      <c r="J1250" s="13"/>
      <c r="BF1250" s="1"/>
      <c r="BG1250" s="1"/>
      <c r="BH1250" s="1"/>
      <c r="BI1250" s="1"/>
      <c r="BK1250" s="1"/>
      <c r="BL1250" s="1"/>
      <c r="BM1250" s="1"/>
      <c r="BN1250" s="1"/>
      <c r="BO1250" s="1"/>
      <c r="BP1250" s="1"/>
      <c r="BQ1250" s="1"/>
      <c r="BR1250" s="1"/>
      <c r="BX1250" s="1"/>
      <c r="CD1250" s="1"/>
      <c r="CM1250" s="2"/>
      <c r="CQ1250" s="1"/>
      <c r="CY1250" s="1"/>
      <c r="DC1250" s="1"/>
      <c r="DH1250" s="1"/>
      <c r="DM1250" s="1"/>
      <c r="DR1250" s="1"/>
      <c r="ED1250" s="1"/>
      <c r="EF1250" s="1"/>
      <c r="EK1250" s="1"/>
      <c r="EL1250" s="1"/>
      <c r="EM1250" s="1"/>
      <c r="EN1250" s="1"/>
      <c r="EQ1250" s="1"/>
      <c r="ER1250" s="1"/>
      <c r="ES1250" s="1"/>
      <c r="EV1250" s="1"/>
      <c r="EW1250" s="1"/>
      <c r="EZ1250" s="1"/>
      <c r="FE1250" s="1"/>
      <c r="FF1250" s="1"/>
      <c r="FJ1250" s="1"/>
      <c r="FS1250" s="1"/>
      <c r="FW1250" s="1"/>
      <c r="FX1250" s="1"/>
      <c r="GP1250" s="1"/>
      <c r="HH1250" s="1"/>
      <c r="HY1250" s="1"/>
      <c r="ID1250" s="1"/>
      <c r="IJ1250" s="1"/>
      <c r="IS1250" s="1"/>
      <c r="IW1250" s="1"/>
      <c r="IZ1250" s="1"/>
      <c r="JA1250" s="1"/>
      <c r="JF1250" s="1"/>
      <c r="JG1250" s="1"/>
      <c r="JJ1250" s="1"/>
      <c r="JN1250" s="1"/>
      <c r="JP1250" s="1"/>
      <c r="JQ1250" s="1"/>
      <c r="JT1250" s="1"/>
      <c r="KW1250" s="1"/>
      <c r="KY1250" s="1"/>
      <c r="KZ1250" s="1"/>
      <c r="LA1250" s="1"/>
      <c r="LB1250" s="1"/>
      <c r="LZ1250" s="1"/>
      <c r="MA1250" s="1"/>
    </row>
    <row r="1251" spans="4:339" ht="13" x14ac:dyDescent="0.15">
      <c r="D1251" s="12"/>
      <c r="E1251" s="12"/>
      <c r="I1251" s="12"/>
      <c r="J1251" s="13"/>
      <c r="BF1251" s="1"/>
      <c r="BG1251" s="1"/>
      <c r="BH1251" s="1"/>
      <c r="BI1251" s="1"/>
      <c r="BK1251" s="1"/>
      <c r="BL1251" s="1"/>
      <c r="BM1251" s="1"/>
      <c r="BN1251" s="1"/>
      <c r="BO1251" s="1"/>
      <c r="BQ1251" s="1"/>
      <c r="BR1251" s="1"/>
      <c r="CD1251" s="1"/>
      <c r="CE1251" s="1"/>
      <c r="CF1251" s="1"/>
      <c r="CM1251" s="4"/>
      <c r="ED1251" s="1"/>
      <c r="EL1251" s="1"/>
      <c r="EM1251" s="1"/>
      <c r="EN1251" s="1"/>
      <c r="EQ1251" s="1"/>
      <c r="ER1251" s="1"/>
      <c r="ES1251" s="1"/>
      <c r="EV1251" s="1"/>
      <c r="EW1251" s="1"/>
      <c r="EZ1251" s="1"/>
      <c r="GP1251" s="1"/>
      <c r="HY1251" s="1"/>
      <c r="IC1251" s="1"/>
      <c r="IS1251" s="1"/>
      <c r="IZ1251" s="1"/>
      <c r="JF1251" s="1"/>
      <c r="JJ1251" s="1"/>
      <c r="JP1251" s="1"/>
      <c r="JQ1251" s="1"/>
      <c r="KU1251" s="1"/>
    </row>
    <row r="1252" spans="4:339" ht="13" x14ac:dyDescent="0.15">
      <c r="D1252" s="12"/>
      <c r="E1252" s="12"/>
      <c r="I1252" s="12"/>
      <c r="J1252" s="13"/>
      <c r="BF1252" s="1"/>
      <c r="BG1252" s="1"/>
      <c r="BH1252" s="1"/>
      <c r="BI1252" s="1"/>
      <c r="BJ1252" s="1"/>
      <c r="BK1252" s="1"/>
      <c r="BL1252" s="1"/>
      <c r="BM1252" s="1"/>
      <c r="BN1252" s="1"/>
      <c r="BP1252" s="1"/>
      <c r="BQ1252" s="1"/>
      <c r="BR1252" s="1"/>
      <c r="BX1252" s="1"/>
      <c r="CD1252" s="1"/>
      <c r="CE1252" s="1"/>
      <c r="CF1252" s="1"/>
      <c r="CG1252" s="1"/>
      <c r="CM1252" s="2"/>
      <c r="CP1252" s="1"/>
      <c r="CQ1252" s="1"/>
      <c r="CR1252" s="1"/>
      <c r="CS1252" s="1"/>
      <c r="CT1252" s="1"/>
      <c r="CU1252" s="1"/>
      <c r="CV1252" s="1"/>
      <c r="CW1252" s="1"/>
      <c r="CX1252" s="1"/>
      <c r="CY1252" s="1"/>
      <c r="CZ1252" s="1"/>
      <c r="DA1252" s="1"/>
      <c r="DB1252" s="1"/>
      <c r="DC1252" s="1"/>
      <c r="DD1252" s="1"/>
      <c r="DE1252" s="1"/>
      <c r="DF1252" s="1"/>
      <c r="DG1252" s="1"/>
      <c r="DH1252" s="1"/>
      <c r="DI1252" s="1"/>
      <c r="DJ1252" s="1"/>
      <c r="DK1252" s="1"/>
      <c r="DM1252" s="1"/>
      <c r="DQ1252" s="1"/>
      <c r="DR1252" s="1"/>
      <c r="DY1252" s="1"/>
      <c r="DZ1252" s="1"/>
      <c r="ED1252" s="1"/>
      <c r="EK1252" s="1"/>
      <c r="EL1252" s="1"/>
      <c r="EM1252" s="1"/>
      <c r="EN1252" s="1"/>
      <c r="EQ1252" s="1"/>
      <c r="ER1252" s="1"/>
      <c r="ES1252" s="1"/>
      <c r="EV1252" s="1"/>
      <c r="EW1252" s="1"/>
      <c r="EZ1252" s="1"/>
      <c r="GO1252" s="1"/>
      <c r="GP1252" s="1"/>
      <c r="HH1252" s="1"/>
      <c r="HY1252" s="1"/>
      <c r="IC1252" s="1"/>
      <c r="ID1252" s="1"/>
      <c r="IE1252" s="1"/>
      <c r="IR1252" s="1"/>
      <c r="IS1252" s="1"/>
      <c r="IZ1252" s="1"/>
      <c r="JC1252" s="1"/>
      <c r="JF1252" s="1"/>
      <c r="JG1252" s="1"/>
      <c r="JH1252" s="1"/>
      <c r="JJ1252" s="1"/>
      <c r="JN1252" s="1"/>
      <c r="JP1252" s="1"/>
      <c r="JQ1252" s="1"/>
      <c r="JT1252" s="1"/>
      <c r="KU1252" s="1"/>
      <c r="KV1252" s="1"/>
      <c r="KW1252" s="1"/>
      <c r="KY1252" s="1"/>
      <c r="KZ1252" s="1"/>
      <c r="LA1252" s="1"/>
      <c r="LB1252" s="1"/>
      <c r="LC1252" s="1"/>
      <c r="LD1252" s="1"/>
      <c r="LN1252" s="1"/>
      <c r="LO1252" s="1"/>
      <c r="LP1252" s="1"/>
      <c r="LZ1252" s="1"/>
      <c r="MA1252" s="1"/>
    </row>
    <row r="1253" spans="4:339" ht="13" x14ac:dyDescent="0.15">
      <c r="D1253" s="12"/>
      <c r="E1253" s="12"/>
      <c r="I1253" s="12"/>
      <c r="J1253" s="13"/>
      <c r="BG1253" s="1"/>
      <c r="BH1253" s="1"/>
      <c r="BI1253" s="1"/>
      <c r="BK1253" s="1"/>
      <c r="BL1253" s="1"/>
      <c r="BM1253" s="1"/>
      <c r="BN1253" s="1"/>
      <c r="BO1253" s="1"/>
      <c r="BP1253" s="1"/>
      <c r="BQ1253" s="1"/>
      <c r="BR1253" s="1"/>
      <c r="BX1253" s="1"/>
      <c r="CD1253" s="1"/>
      <c r="CE1253" s="1"/>
      <c r="CF1253" s="1"/>
      <c r="CG1253" s="1"/>
      <c r="CM1253" s="2"/>
      <c r="CP1253" s="1"/>
      <c r="CQ1253" s="1"/>
      <c r="CR1253" s="1"/>
      <c r="CS1253" s="1"/>
      <c r="CT1253" s="1"/>
      <c r="CU1253" s="1"/>
      <c r="CV1253" s="1"/>
      <c r="CW1253" s="1"/>
      <c r="CX1253" s="1"/>
      <c r="CY1253" s="1"/>
      <c r="CZ1253" s="1"/>
      <c r="DA1253" s="1"/>
      <c r="DB1253" s="1"/>
      <c r="DC1253" s="1"/>
      <c r="DD1253" s="1"/>
      <c r="DE1253" s="1"/>
      <c r="DF1253" s="1"/>
      <c r="DG1253" s="1"/>
      <c r="DH1253" s="1"/>
      <c r="DI1253" s="1"/>
      <c r="DJ1253" s="1"/>
      <c r="DK1253" s="1"/>
      <c r="DM1253" s="1"/>
      <c r="DQ1253" s="1"/>
      <c r="DR1253" s="1"/>
      <c r="DY1253" s="1"/>
      <c r="DZ1253" s="1"/>
      <c r="ED1253" s="1"/>
      <c r="EK1253" s="1"/>
      <c r="EL1253" s="1"/>
      <c r="EM1253" s="1"/>
      <c r="EN1253" s="1"/>
      <c r="EQ1253" s="1"/>
      <c r="ER1253" s="1"/>
      <c r="ES1253" s="1"/>
      <c r="EV1253" s="1"/>
      <c r="EW1253" s="1"/>
      <c r="EZ1253" s="1"/>
      <c r="GP1253" s="1"/>
      <c r="HY1253" s="1"/>
      <c r="IE1253" s="1"/>
      <c r="IR1253" s="1"/>
      <c r="IS1253" s="1"/>
      <c r="IW1253" s="1"/>
      <c r="IZ1253" s="1"/>
      <c r="JA1253" s="1"/>
      <c r="JJ1253" s="1"/>
      <c r="JP1253" s="1"/>
      <c r="JQ1253" s="1"/>
      <c r="KY1253" s="1"/>
      <c r="KZ1253" s="1"/>
      <c r="LA1253" s="1"/>
      <c r="LB1253" s="1"/>
      <c r="LC1253" s="1"/>
      <c r="LD1253" s="1"/>
      <c r="LO1253" s="1"/>
      <c r="LP1253" s="1"/>
      <c r="LZ1253" s="1"/>
      <c r="MA1253" s="1"/>
    </row>
    <row r="1254" spans="4:339" ht="13" x14ac:dyDescent="0.15">
      <c r="D1254" s="12"/>
      <c r="E1254" s="12"/>
      <c r="I1254" s="12"/>
      <c r="J1254" s="13"/>
      <c r="BF1254" s="1"/>
      <c r="BG1254" s="1"/>
      <c r="BH1254" s="1"/>
      <c r="BI1254" s="1"/>
      <c r="BK1254" s="1"/>
      <c r="BL1254" s="1"/>
      <c r="BM1254" s="1"/>
      <c r="BN1254" s="1"/>
      <c r="BO1254" s="1"/>
      <c r="BP1254" s="1"/>
      <c r="BQ1254" s="1"/>
      <c r="BR1254" s="1"/>
      <c r="CD1254" s="1"/>
      <c r="CE1254" s="1"/>
      <c r="CF1254" s="1"/>
      <c r="CG1254" s="1"/>
      <c r="CM1254" s="2"/>
      <c r="CP1254" s="1"/>
      <c r="CQ1254" s="1"/>
      <c r="CR1254" s="1"/>
      <c r="CS1254" s="1"/>
      <c r="CT1254" s="1"/>
      <c r="CU1254" s="1"/>
      <c r="CV1254" s="1"/>
      <c r="CW1254" s="1"/>
      <c r="CX1254" s="1"/>
      <c r="CY1254" s="1"/>
      <c r="CZ1254" s="1"/>
      <c r="DA1254" s="1"/>
      <c r="DB1254" s="1"/>
      <c r="DC1254" s="1"/>
      <c r="DD1254" s="1"/>
      <c r="DE1254" s="1"/>
      <c r="DF1254" s="1"/>
      <c r="DG1254" s="1"/>
      <c r="DH1254" s="1"/>
      <c r="DI1254" s="1"/>
      <c r="DJ1254" s="1"/>
      <c r="DK1254" s="1"/>
      <c r="ED1254" s="1"/>
      <c r="EK1254" s="1"/>
      <c r="EL1254" s="1"/>
      <c r="EM1254" s="1"/>
      <c r="EN1254" s="1"/>
      <c r="EQ1254" s="1"/>
      <c r="ER1254" s="1"/>
      <c r="ES1254" s="1"/>
      <c r="EV1254" s="1"/>
      <c r="EW1254" s="1"/>
      <c r="EZ1254" s="1"/>
      <c r="GP1254" s="1"/>
      <c r="HH1254" s="1"/>
      <c r="HY1254" s="1"/>
      <c r="IE1254" s="1"/>
      <c r="IR1254" s="1"/>
      <c r="IS1254" s="1"/>
      <c r="IZ1254" s="1"/>
      <c r="JC1254" s="1"/>
      <c r="JF1254" s="1"/>
      <c r="JG1254" s="1"/>
      <c r="JH1254" s="1"/>
      <c r="JJ1254" s="1"/>
      <c r="JN1254" s="1"/>
      <c r="JP1254" s="1"/>
      <c r="JQ1254" s="1"/>
      <c r="JT1254" s="1"/>
      <c r="KV1254" s="1"/>
      <c r="KW1254" s="1"/>
      <c r="KY1254" s="1"/>
      <c r="KZ1254" s="1"/>
      <c r="LA1254" s="1"/>
      <c r="LB1254" s="1"/>
      <c r="LC1254" s="1"/>
      <c r="LD1254" s="1"/>
      <c r="LO1254" s="1"/>
      <c r="LP1254" s="1"/>
      <c r="LZ1254" s="1"/>
      <c r="MA1254" s="1"/>
    </row>
    <row r="1255" spans="4:339" ht="13" x14ac:dyDescent="0.15">
      <c r="D1255" s="12"/>
      <c r="E1255" s="12"/>
      <c r="I1255" s="12"/>
      <c r="J1255" s="13"/>
      <c r="BF1255" s="1"/>
      <c r="BG1255" s="1"/>
      <c r="BH1255" s="1"/>
      <c r="BI1255" s="1"/>
      <c r="BK1255" s="1"/>
      <c r="BL1255" s="1"/>
      <c r="BM1255" s="1"/>
      <c r="BN1255" s="1"/>
      <c r="BO1255" s="1"/>
      <c r="BP1255" s="1"/>
      <c r="BQ1255" s="1"/>
      <c r="BR1255" s="1"/>
      <c r="CD1255" s="1"/>
      <c r="CE1255" s="1"/>
      <c r="CF1255" s="1"/>
      <c r="CG1255" s="1"/>
      <c r="CM1255" s="2"/>
      <c r="CP1255" s="1"/>
      <c r="CQ1255" s="1"/>
      <c r="CR1255" s="1"/>
      <c r="CS1255" s="1"/>
      <c r="CT1255" s="1"/>
      <c r="CU1255" s="1"/>
      <c r="CV1255" s="1"/>
      <c r="CW1255" s="1"/>
      <c r="CX1255" s="1"/>
      <c r="CY1255" s="1"/>
      <c r="CZ1255" s="1"/>
      <c r="DA1255" s="1"/>
      <c r="DB1255" s="1"/>
      <c r="DC1255" s="1"/>
      <c r="DD1255" s="1"/>
      <c r="DE1255" s="1"/>
      <c r="DF1255" s="1"/>
      <c r="DG1255" s="1"/>
      <c r="DH1255" s="1"/>
      <c r="DI1255" s="1"/>
      <c r="DJ1255" s="1"/>
      <c r="DK1255" s="1"/>
      <c r="ED1255" s="1"/>
      <c r="EK1255" s="1"/>
      <c r="EL1255" s="1"/>
      <c r="EM1255" s="1"/>
      <c r="EN1255" s="1"/>
      <c r="EQ1255" s="1"/>
      <c r="ER1255" s="1"/>
      <c r="ES1255" s="1"/>
      <c r="EV1255" s="1"/>
      <c r="EW1255" s="1"/>
      <c r="EZ1255" s="1"/>
      <c r="GP1255" s="1"/>
      <c r="HH1255" s="1"/>
      <c r="HY1255" s="1"/>
      <c r="IE1255" s="1"/>
      <c r="IR1255" s="1"/>
      <c r="IS1255" s="1"/>
      <c r="IZ1255" s="1"/>
      <c r="JC1255" s="1"/>
      <c r="JF1255" s="1"/>
      <c r="JG1255" s="1"/>
      <c r="JH1255" s="1"/>
      <c r="JJ1255" s="1"/>
      <c r="JN1255" s="1"/>
      <c r="JP1255" s="1"/>
      <c r="JQ1255" s="1"/>
      <c r="JT1255" s="1"/>
      <c r="KV1255" s="1"/>
      <c r="KW1255" s="1"/>
      <c r="KY1255" s="1"/>
      <c r="KZ1255" s="1"/>
      <c r="LA1255" s="1"/>
      <c r="LB1255" s="1"/>
      <c r="LC1255" s="1"/>
      <c r="LD1255" s="1"/>
      <c r="LO1255" s="1"/>
      <c r="LP1255" s="1"/>
      <c r="LZ1255" s="1"/>
      <c r="MA1255" s="1"/>
    </row>
    <row r="1256" spans="4:339" ht="13" x14ac:dyDescent="0.15">
      <c r="D1256" s="12"/>
      <c r="E1256" s="12"/>
      <c r="I1256" s="12"/>
      <c r="J1256" s="13"/>
      <c r="BF1256" s="1"/>
      <c r="BG1256" s="1"/>
      <c r="BH1256" s="1"/>
      <c r="BI1256" s="1"/>
      <c r="BK1256" s="1"/>
      <c r="BL1256" s="1"/>
      <c r="BM1256" s="1"/>
      <c r="BN1256" s="1"/>
      <c r="BO1256" s="1"/>
      <c r="BP1256" s="1"/>
      <c r="BQ1256" s="1"/>
      <c r="BR1256" s="1"/>
      <c r="CD1256" s="1"/>
      <c r="CE1256" s="1"/>
      <c r="CF1256" s="1"/>
      <c r="CG1256" s="1"/>
      <c r="CM1256" s="2"/>
      <c r="CP1256" s="1"/>
      <c r="CQ1256" s="1"/>
      <c r="CR1256" s="1"/>
      <c r="CS1256" s="1"/>
      <c r="CT1256" s="1"/>
      <c r="CU1256" s="1"/>
      <c r="CV1256" s="1"/>
      <c r="CW1256" s="1"/>
      <c r="CX1256" s="1"/>
      <c r="CY1256" s="1"/>
      <c r="CZ1256" s="1"/>
      <c r="DA1256" s="1"/>
      <c r="DB1256" s="1"/>
      <c r="DC1256" s="1"/>
      <c r="DD1256" s="1"/>
      <c r="DE1256" s="1"/>
      <c r="DF1256" s="1"/>
      <c r="DG1256" s="1"/>
      <c r="DH1256" s="1"/>
      <c r="DI1256" s="1"/>
      <c r="DJ1256" s="1"/>
      <c r="DK1256" s="1"/>
      <c r="ED1256" s="1"/>
      <c r="EK1256" s="1"/>
      <c r="EL1256" s="1"/>
      <c r="EM1256" s="1"/>
      <c r="EN1256" s="1"/>
      <c r="EQ1256" s="1"/>
      <c r="ER1256" s="1"/>
      <c r="ES1256" s="1"/>
      <c r="EV1256" s="1"/>
      <c r="EW1256" s="1"/>
      <c r="EZ1256" s="1"/>
      <c r="GP1256" s="1"/>
      <c r="HH1256" s="1"/>
      <c r="HY1256" s="1"/>
      <c r="IE1256" s="1"/>
      <c r="IR1256" s="1"/>
      <c r="IS1256" s="1"/>
      <c r="IZ1256" s="1"/>
      <c r="JC1256" s="1"/>
      <c r="JF1256" s="1"/>
      <c r="JG1256" s="1"/>
      <c r="JH1256" s="1"/>
      <c r="JJ1256" s="1"/>
      <c r="JN1256" s="1"/>
      <c r="JP1256" s="1"/>
      <c r="JQ1256" s="1"/>
      <c r="JT1256" s="1"/>
      <c r="KV1256" s="1"/>
      <c r="KW1256" s="1"/>
      <c r="KY1256" s="1"/>
      <c r="KZ1256" s="1"/>
      <c r="LA1256" s="1"/>
      <c r="LB1256" s="1"/>
      <c r="LC1256" s="1"/>
      <c r="LD1256" s="1"/>
      <c r="LO1256" s="1"/>
      <c r="LP1256" s="1"/>
      <c r="LZ1256" s="1"/>
      <c r="MA1256" s="1"/>
    </row>
    <row r="1257" spans="4:339" ht="13" x14ac:dyDescent="0.15">
      <c r="D1257" s="12"/>
      <c r="E1257" s="12"/>
      <c r="I1257" s="12"/>
      <c r="J1257" s="13"/>
      <c r="BF1257" s="1"/>
      <c r="BG1257" s="1"/>
      <c r="BH1257" s="1"/>
      <c r="BI1257" s="1"/>
      <c r="BK1257" s="1"/>
      <c r="BL1257" s="1"/>
      <c r="BM1257" s="1"/>
      <c r="BN1257" s="1"/>
      <c r="BO1257" s="1"/>
      <c r="BP1257" s="1"/>
      <c r="BQ1257" s="1"/>
      <c r="BR1257" s="1"/>
      <c r="CD1257" s="1"/>
      <c r="CE1257" s="1"/>
      <c r="CF1257" s="1"/>
      <c r="CG1257" s="1"/>
      <c r="CM1257" s="2"/>
      <c r="CP1257" s="1"/>
      <c r="CQ1257" s="1"/>
      <c r="CR1257" s="1"/>
      <c r="CS1257" s="1"/>
      <c r="CT1257" s="1"/>
      <c r="CU1257" s="1"/>
      <c r="CV1257" s="1"/>
      <c r="CW1257" s="1"/>
      <c r="CX1257" s="1"/>
      <c r="CY1257" s="1"/>
      <c r="CZ1257" s="1"/>
      <c r="DA1257" s="1"/>
      <c r="DB1257" s="1"/>
      <c r="DC1257" s="1"/>
      <c r="DD1257" s="1"/>
      <c r="DE1257" s="1"/>
      <c r="DF1257" s="1"/>
      <c r="DG1257" s="1"/>
      <c r="DH1257" s="1"/>
      <c r="DI1257" s="1"/>
      <c r="DJ1257" s="1"/>
      <c r="DK1257" s="1"/>
      <c r="ED1257" s="1"/>
      <c r="EK1257" s="1"/>
      <c r="EL1257" s="1"/>
      <c r="EM1257" s="1"/>
      <c r="EN1257" s="1"/>
      <c r="EQ1257" s="1"/>
      <c r="ER1257" s="1"/>
      <c r="ES1257" s="1"/>
      <c r="EV1257" s="1"/>
      <c r="EW1257" s="1"/>
      <c r="EZ1257" s="1"/>
      <c r="GP1257" s="1"/>
      <c r="HH1257" s="1"/>
      <c r="HY1257" s="1"/>
      <c r="IE1257" s="1"/>
      <c r="IR1257" s="1"/>
      <c r="IS1257" s="1"/>
      <c r="IZ1257" s="1"/>
      <c r="JC1257" s="1"/>
      <c r="JF1257" s="1"/>
      <c r="JG1257" s="1"/>
      <c r="JH1257" s="1"/>
      <c r="JJ1257" s="1"/>
      <c r="JN1257" s="1"/>
      <c r="JP1257" s="1"/>
      <c r="JQ1257" s="1"/>
      <c r="JT1257" s="1"/>
      <c r="KV1257" s="1"/>
      <c r="KW1257" s="1"/>
      <c r="KY1257" s="1"/>
      <c r="KZ1257" s="1"/>
      <c r="LA1257" s="1"/>
      <c r="LB1257" s="1"/>
      <c r="LC1257" s="1"/>
      <c r="LD1257" s="1"/>
      <c r="LO1257" s="1"/>
      <c r="LP1257" s="1"/>
      <c r="LZ1257" s="1"/>
      <c r="MA1257" s="1"/>
    </row>
    <row r="1258" spans="4:339" ht="13" x14ac:dyDescent="0.15">
      <c r="D1258" s="12"/>
      <c r="E1258" s="12"/>
      <c r="I1258" s="12"/>
      <c r="J1258" s="13"/>
      <c r="BF1258" s="1"/>
      <c r="BG1258" s="1"/>
      <c r="BH1258" s="1"/>
      <c r="BI1258" s="1"/>
      <c r="BK1258" s="1"/>
      <c r="BL1258" s="1"/>
      <c r="BM1258" s="1"/>
      <c r="BN1258" s="1"/>
      <c r="BO1258" s="1"/>
      <c r="BP1258" s="1"/>
      <c r="BQ1258" s="1"/>
      <c r="BR1258" s="1"/>
      <c r="CD1258" s="1"/>
      <c r="CE1258" s="1"/>
      <c r="CF1258" s="1"/>
      <c r="CG1258" s="1"/>
      <c r="CM1258" s="2"/>
      <c r="CP1258" s="1"/>
      <c r="CQ1258" s="1"/>
      <c r="CR1258" s="1"/>
      <c r="CS1258" s="1"/>
      <c r="CT1258" s="1"/>
      <c r="CU1258" s="1"/>
      <c r="CV1258" s="1"/>
      <c r="CW1258" s="1"/>
      <c r="CX1258" s="1"/>
      <c r="CY1258" s="1"/>
      <c r="CZ1258" s="1"/>
      <c r="DA1258" s="1"/>
      <c r="DB1258" s="1"/>
      <c r="DC1258" s="1"/>
      <c r="DD1258" s="1"/>
      <c r="DE1258" s="1"/>
      <c r="DF1258" s="1"/>
      <c r="DG1258" s="1"/>
      <c r="DH1258" s="1"/>
      <c r="DI1258" s="1"/>
      <c r="DJ1258" s="1"/>
      <c r="DK1258" s="1"/>
      <c r="ED1258" s="1"/>
      <c r="EK1258" s="1"/>
      <c r="EL1258" s="1"/>
      <c r="EM1258" s="1"/>
      <c r="EN1258" s="1"/>
      <c r="EQ1258" s="1"/>
      <c r="ER1258" s="1"/>
      <c r="ES1258" s="1"/>
      <c r="EV1258" s="1"/>
      <c r="EW1258" s="1"/>
      <c r="EZ1258" s="1"/>
      <c r="GP1258" s="1"/>
      <c r="HH1258" s="1"/>
      <c r="HY1258" s="1"/>
      <c r="IE1258" s="1"/>
      <c r="IR1258" s="1"/>
      <c r="IS1258" s="1"/>
      <c r="IZ1258" s="1"/>
      <c r="JC1258" s="1"/>
      <c r="JF1258" s="1"/>
      <c r="JG1258" s="1"/>
      <c r="JH1258" s="1"/>
      <c r="JJ1258" s="1"/>
      <c r="JN1258" s="1"/>
      <c r="JP1258" s="1"/>
      <c r="JQ1258" s="1"/>
      <c r="JT1258" s="1"/>
      <c r="KV1258" s="1"/>
      <c r="KW1258" s="1"/>
      <c r="KY1258" s="1"/>
      <c r="KZ1258" s="1"/>
      <c r="LA1258" s="1"/>
      <c r="LB1258" s="1"/>
      <c r="LC1258" s="1"/>
      <c r="LD1258" s="1"/>
      <c r="LO1258" s="1"/>
      <c r="LP1258" s="1"/>
      <c r="LZ1258" s="1"/>
      <c r="MA1258" s="1"/>
    </row>
    <row r="1259" spans="4:339" ht="13" x14ac:dyDescent="0.15">
      <c r="D1259" s="12"/>
      <c r="E1259" s="12"/>
      <c r="I1259" s="12"/>
      <c r="J1259" s="13"/>
      <c r="BF1259" s="1"/>
      <c r="BG1259" s="1"/>
      <c r="BH1259" s="1"/>
      <c r="BI1259" s="1"/>
      <c r="BK1259" s="1"/>
      <c r="BL1259" s="1"/>
      <c r="BM1259" s="1"/>
      <c r="BN1259" s="1"/>
      <c r="BO1259" s="1"/>
      <c r="BP1259" s="1"/>
      <c r="BQ1259" s="1"/>
      <c r="BR1259" s="1"/>
      <c r="CD1259" s="1"/>
      <c r="CE1259" s="1"/>
      <c r="CF1259" s="1"/>
      <c r="CG1259" s="1"/>
      <c r="CM1259" s="2"/>
      <c r="CP1259" s="1"/>
      <c r="CQ1259" s="1"/>
      <c r="CR1259" s="1"/>
      <c r="CS1259" s="1"/>
      <c r="CT1259" s="1"/>
      <c r="CU1259" s="1"/>
      <c r="CV1259" s="1"/>
      <c r="CW1259" s="1"/>
      <c r="CX1259" s="1"/>
      <c r="CY1259" s="1"/>
      <c r="CZ1259" s="1"/>
      <c r="DA1259" s="1"/>
      <c r="DB1259" s="1"/>
      <c r="DC1259" s="1"/>
      <c r="DD1259" s="1"/>
      <c r="DE1259" s="1"/>
      <c r="DF1259" s="1"/>
      <c r="DG1259" s="1"/>
      <c r="DH1259" s="1"/>
      <c r="DI1259" s="1"/>
      <c r="DJ1259" s="1"/>
      <c r="DK1259" s="1"/>
      <c r="ED1259" s="1"/>
      <c r="EK1259" s="1"/>
      <c r="EL1259" s="1"/>
      <c r="EM1259" s="1"/>
      <c r="EN1259" s="1"/>
      <c r="EQ1259" s="1"/>
      <c r="ER1259" s="1"/>
      <c r="ES1259" s="1"/>
      <c r="EV1259" s="1"/>
      <c r="EW1259" s="1"/>
      <c r="EZ1259" s="1"/>
      <c r="GP1259" s="1"/>
      <c r="HH1259" s="1"/>
      <c r="HY1259" s="1"/>
      <c r="IE1259" s="1"/>
      <c r="IR1259" s="1"/>
      <c r="IS1259" s="1"/>
      <c r="IZ1259" s="1"/>
      <c r="JC1259" s="1"/>
      <c r="JF1259" s="1"/>
      <c r="JG1259" s="1"/>
      <c r="JH1259" s="1"/>
      <c r="JJ1259" s="1"/>
      <c r="JN1259" s="1"/>
      <c r="JP1259" s="1"/>
      <c r="JQ1259" s="1"/>
      <c r="JT1259" s="1"/>
      <c r="KV1259" s="1"/>
      <c r="KW1259" s="1"/>
      <c r="KY1259" s="1"/>
      <c r="KZ1259" s="1"/>
      <c r="LA1259" s="1"/>
      <c r="LB1259" s="1"/>
      <c r="LC1259" s="1"/>
      <c r="LD1259" s="1"/>
      <c r="LO1259" s="1"/>
      <c r="LP1259" s="1"/>
      <c r="LZ1259" s="1"/>
      <c r="MA1259" s="1"/>
    </row>
    <row r="1260" spans="4:339" ht="13" x14ac:dyDescent="0.15">
      <c r="D1260" s="12"/>
      <c r="E1260" s="12"/>
      <c r="I1260" s="12"/>
      <c r="J1260" s="13"/>
      <c r="BF1260" s="1"/>
      <c r="BG1260" s="1"/>
      <c r="BH1260" s="1"/>
      <c r="BI1260" s="1"/>
      <c r="BK1260" s="1"/>
      <c r="BL1260" s="1"/>
      <c r="BM1260" s="1"/>
      <c r="BN1260" s="1"/>
      <c r="BO1260" s="1"/>
      <c r="BP1260" s="1"/>
      <c r="BQ1260" s="1"/>
      <c r="BR1260" s="1"/>
      <c r="CD1260" s="1"/>
      <c r="CE1260" s="1"/>
      <c r="CF1260" s="1"/>
      <c r="CG1260" s="1"/>
      <c r="CM1260" s="2"/>
      <c r="CP1260" s="1"/>
      <c r="CQ1260" s="1"/>
      <c r="CR1260" s="1"/>
      <c r="CS1260" s="1"/>
      <c r="CT1260" s="1"/>
      <c r="CU1260" s="1"/>
      <c r="CV1260" s="1"/>
      <c r="CW1260" s="1"/>
      <c r="CX1260" s="1"/>
      <c r="CY1260" s="1"/>
      <c r="CZ1260" s="1"/>
      <c r="DA1260" s="1"/>
      <c r="DB1260" s="1"/>
      <c r="DC1260" s="1"/>
      <c r="DD1260" s="1"/>
      <c r="DE1260" s="1"/>
      <c r="DF1260" s="1"/>
      <c r="DG1260" s="1"/>
      <c r="DH1260" s="1"/>
      <c r="DI1260" s="1"/>
      <c r="DJ1260" s="1"/>
      <c r="DK1260" s="1"/>
      <c r="ED1260" s="1"/>
      <c r="EK1260" s="1"/>
      <c r="EL1260" s="1"/>
      <c r="EM1260" s="1"/>
      <c r="EN1260" s="1"/>
      <c r="EQ1260" s="1"/>
      <c r="ER1260" s="1"/>
      <c r="ES1260" s="1"/>
      <c r="EV1260" s="1"/>
      <c r="EW1260" s="1"/>
      <c r="EZ1260" s="1"/>
      <c r="GP1260" s="1"/>
      <c r="HH1260" s="1"/>
      <c r="HY1260" s="1"/>
      <c r="IE1260" s="1"/>
      <c r="IR1260" s="1"/>
      <c r="IS1260" s="1"/>
      <c r="IZ1260" s="1"/>
      <c r="JC1260" s="1"/>
      <c r="JF1260" s="1"/>
      <c r="JG1260" s="1"/>
      <c r="JH1260" s="1"/>
      <c r="JJ1260" s="1"/>
      <c r="JN1260" s="1"/>
      <c r="JP1260" s="1"/>
      <c r="JQ1260" s="1"/>
      <c r="JT1260" s="1"/>
      <c r="KV1260" s="1"/>
      <c r="KW1260" s="1"/>
      <c r="KY1260" s="1"/>
      <c r="KZ1260" s="1"/>
      <c r="LA1260" s="1"/>
      <c r="LB1260" s="1"/>
      <c r="LC1260" s="1"/>
      <c r="LD1260" s="1"/>
      <c r="LO1260" s="1"/>
      <c r="LP1260" s="1"/>
      <c r="LZ1260" s="1"/>
      <c r="MA1260" s="1"/>
    </row>
    <row r="1261" spans="4:339" ht="13" x14ac:dyDescent="0.15">
      <c r="D1261" s="12"/>
      <c r="E1261" s="12"/>
      <c r="I1261" s="12"/>
      <c r="J1261" s="13"/>
      <c r="BF1261" s="1"/>
      <c r="BG1261" s="1"/>
      <c r="BH1261" s="1"/>
      <c r="BI1261" s="1"/>
      <c r="BK1261" s="1"/>
      <c r="BL1261" s="1"/>
      <c r="BM1261" s="1"/>
      <c r="BN1261" s="1"/>
      <c r="BO1261" s="1"/>
      <c r="BP1261" s="1"/>
      <c r="BQ1261" s="1"/>
      <c r="BR1261" s="1"/>
      <c r="CD1261" s="1"/>
      <c r="CE1261" s="1"/>
      <c r="CF1261" s="1"/>
      <c r="CG1261" s="1"/>
      <c r="CM1261" s="2"/>
      <c r="CP1261" s="1"/>
      <c r="CQ1261" s="1"/>
      <c r="CR1261" s="1"/>
      <c r="CS1261" s="1"/>
      <c r="CT1261" s="1"/>
      <c r="CU1261" s="1"/>
      <c r="CV1261" s="1"/>
      <c r="CW1261" s="1"/>
      <c r="CX1261" s="1"/>
      <c r="CY1261" s="1"/>
      <c r="CZ1261" s="1"/>
      <c r="DA1261" s="1"/>
      <c r="DB1261" s="1"/>
      <c r="DC1261" s="1"/>
      <c r="DD1261" s="1"/>
      <c r="DE1261" s="1"/>
      <c r="DF1261" s="1"/>
      <c r="DG1261" s="1"/>
      <c r="DH1261" s="1"/>
      <c r="DI1261" s="1"/>
      <c r="DJ1261" s="1"/>
      <c r="DK1261" s="1"/>
      <c r="ED1261" s="1"/>
      <c r="EK1261" s="1"/>
      <c r="EL1261" s="1"/>
      <c r="EM1261" s="1"/>
      <c r="EN1261" s="1"/>
      <c r="EQ1261" s="1"/>
      <c r="ER1261" s="1"/>
      <c r="ES1261" s="1"/>
      <c r="EV1261" s="1"/>
      <c r="EW1261" s="1"/>
      <c r="EZ1261" s="1"/>
      <c r="GP1261" s="1"/>
      <c r="HH1261" s="1"/>
      <c r="HY1261" s="1"/>
      <c r="IE1261" s="1"/>
      <c r="IR1261" s="1"/>
      <c r="IS1261" s="1"/>
      <c r="IZ1261" s="1"/>
      <c r="JC1261" s="1"/>
      <c r="JF1261" s="1"/>
      <c r="JG1261" s="1"/>
      <c r="JH1261" s="1"/>
      <c r="JJ1261" s="1"/>
      <c r="JN1261" s="1"/>
      <c r="JP1261" s="1"/>
      <c r="JQ1261" s="1"/>
      <c r="JT1261" s="1"/>
      <c r="KV1261" s="1"/>
      <c r="KW1261" s="1"/>
      <c r="KY1261" s="1"/>
      <c r="KZ1261" s="1"/>
      <c r="LA1261" s="1"/>
      <c r="LB1261" s="1"/>
      <c r="LC1261" s="1"/>
      <c r="LD1261" s="1"/>
      <c r="LO1261" s="1"/>
      <c r="LP1261" s="1"/>
      <c r="LZ1261" s="1"/>
      <c r="MA1261" s="1"/>
    </row>
    <row r="1262" spans="4:339" ht="13" x14ac:dyDescent="0.15">
      <c r="D1262" s="12"/>
      <c r="E1262" s="12"/>
      <c r="I1262" s="12"/>
      <c r="J1262" s="13"/>
      <c r="BF1262" s="1"/>
      <c r="BG1262" s="1"/>
      <c r="BH1262" s="1"/>
      <c r="BI1262" s="1"/>
      <c r="BK1262" s="1"/>
      <c r="BL1262" s="1"/>
      <c r="BM1262" s="1"/>
      <c r="BN1262" s="1"/>
      <c r="BO1262" s="1"/>
      <c r="BP1262" s="1"/>
      <c r="BQ1262" s="1"/>
      <c r="BR1262" s="1"/>
      <c r="CD1262" s="1"/>
      <c r="CE1262" s="1"/>
      <c r="CF1262" s="1"/>
      <c r="CG1262" s="1"/>
      <c r="CM1262" s="2"/>
      <c r="CP1262" s="1"/>
      <c r="CQ1262" s="1"/>
      <c r="CR1262" s="1"/>
      <c r="CS1262" s="1"/>
      <c r="CT1262" s="1"/>
      <c r="CU1262" s="1"/>
      <c r="CV1262" s="1"/>
      <c r="CW1262" s="1"/>
      <c r="CX1262" s="1"/>
      <c r="CY1262" s="1"/>
      <c r="CZ1262" s="1"/>
      <c r="DA1262" s="1"/>
      <c r="DB1262" s="1"/>
      <c r="DC1262" s="1"/>
      <c r="DD1262" s="1"/>
      <c r="DE1262" s="1"/>
      <c r="DF1262" s="1"/>
      <c r="DG1262" s="1"/>
      <c r="DH1262" s="1"/>
      <c r="DI1262" s="1"/>
      <c r="DJ1262" s="1"/>
      <c r="DK1262" s="1"/>
      <c r="ED1262" s="1"/>
      <c r="EK1262" s="1"/>
      <c r="EL1262" s="1"/>
      <c r="EM1262" s="1"/>
      <c r="EN1262" s="1"/>
      <c r="EQ1262" s="1"/>
      <c r="ER1262" s="1"/>
      <c r="ES1262" s="1"/>
      <c r="EV1262" s="1"/>
      <c r="EW1262" s="1"/>
      <c r="EZ1262" s="1"/>
      <c r="GP1262" s="1"/>
      <c r="HH1262" s="1"/>
      <c r="HY1262" s="1"/>
      <c r="IE1262" s="1"/>
      <c r="IR1262" s="1"/>
      <c r="IS1262" s="1"/>
      <c r="IZ1262" s="1"/>
      <c r="JC1262" s="1"/>
      <c r="JF1262" s="1"/>
      <c r="JG1262" s="1"/>
      <c r="JH1262" s="1"/>
      <c r="JJ1262" s="1"/>
      <c r="JN1262" s="1"/>
      <c r="JP1262" s="1"/>
      <c r="JQ1262" s="1"/>
      <c r="JT1262" s="1"/>
      <c r="KV1262" s="1"/>
      <c r="KW1262" s="1"/>
      <c r="KY1262" s="1"/>
      <c r="KZ1262" s="1"/>
      <c r="LA1262" s="1"/>
      <c r="LB1262" s="1"/>
      <c r="LC1262" s="1"/>
      <c r="LD1262" s="1"/>
      <c r="LO1262" s="1"/>
      <c r="LP1262" s="1"/>
      <c r="LZ1262" s="1"/>
      <c r="MA1262" s="1"/>
    </row>
    <row r="1263" spans="4:339" ht="13" x14ac:dyDescent="0.15">
      <c r="D1263" s="12"/>
      <c r="E1263" s="12"/>
      <c r="I1263" s="12"/>
      <c r="J1263" s="13"/>
      <c r="BF1263" s="1"/>
      <c r="BG1263" s="1"/>
      <c r="BH1263" s="1"/>
      <c r="BI1263" s="1"/>
      <c r="BK1263" s="1"/>
      <c r="BL1263" s="1"/>
      <c r="BM1263" s="1"/>
      <c r="BN1263" s="1"/>
      <c r="BO1263" s="1"/>
      <c r="BP1263" s="1"/>
      <c r="BQ1263" s="1"/>
      <c r="BR1263" s="1"/>
      <c r="CD1263" s="1"/>
      <c r="CE1263" s="1"/>
      <c r="CF1263" s="1"/>
      <c r="CG1263" s="1"/>
      <c r="CM1263" s="2"/>
      <c r="CP1263" s="1"/>
      <c r="CQ1263" s="1"/>
      <c r="CR1263" s="1"/>
      <c r="CS1263" s="1"/>
      <c r="CT1263" s="1"/>
      <c r="CU1263" s="1"/>
      <c r="CV1263" s="1"/>
      <c r="CW1263" s="1"/>
      <c r="CX1263" s="1"/>
      <c r="CY1263" s="1"/>
      <c r="CZ1263" s="1"/>
      <c r="DA1263" s="1"/>
      <c r="DB1263" s="1"/>
      <c r="DC1263" s="1"/>
      <c r="DD1263" s="1"/>
      <c r="DE1263" s="1"/>
      <c r="DF1263" s="1"/>
      <c r="DG1263" s="1"/>
      <c r="DH1263" s="1"/>
      <c r="DI1263" s="1"/>
      <c r="DJ1263" s="1"/>
      <c r="DK1263" s="1"/>
      <c r="ED1263" s="1"/>
      <c r="EK1263" s="1"/>
      <c r="EL1263" s="1"/>
      <c r="EM1263" s="1"/>
      <c r="EN1263" s="1"/>
      <c r="EQ1263" s="1"/>
      <c r="ER1263" s="1"/>
      <c r="ES1263" s="1"/>
      <c r="EV1263" s="1"/>
      <c r="EW1263" s="1"/>
      <c r="EZ1263" s="1"/>
      <c r="GP1263" s="1"/>
      <c r="HH1263" s="1"/>
      <c r="HY1263" s="1"/>
      <c r="IE1263" s="1"/>
      <c r="IR1263" s="1"/>
      <c r="IS1263" s="1"/>
      <c r="IZ1263" s="1"/>
      <c r="JC1263" s="1"/>
      <c r="JF1263" s="1"/>
      <c r="JG1263" s="1"/>
      <c r="JH1263" s="1"/>
      <c r="JJ1263" s="1"/>
      <c r="JN1263" s="1"/>
      <c r="JP1263" s="1"/>
      <c r="JQ1263" s="1"/>
      <c r="JT1263" s="1"/>
      <c r="KV1263" s="1"/>
      <c r="KW1263" s="1"/>
      <c r="KY1263" s="1"/>
      <c r="KZ1263" s="1"/>
      <c r="LA1263" s="1"/>
      <c r="LB1263" s="1"/>
      <c r="LC1263" s="1"/>
      <c r="LD1263" s="1"/>
      <c r="LO1263" s="1"/>
      <c r="LP1263" s="1"/>
      <c r="LZ1263" s="1"/>
      <c r="MA1263" s="1"/>
    </row>
    <row r="1264" spans="4:339" ht="13" x14ac:dyDescent="0.15">
      <c r="D1264" s="12"/>
      <c r="E1264" s="12"/>
      <c r="I1264" s="12"/>
      <c r="J1264" s="13"/>
      <c r="BF1264" s="1"/>
      <c r="BG1264" s="1"/>
      <c r="BH1264" s="1"/>
      <c r="BI1264" s="1"/>
      <c r="BK1264" s="1"/>
      <c r="BL1264" s="1"/>
      <c r="BM1264" s="1"/>
      <c r="BN1264" s="1"/>
      <c r="BO1264" s="1"/>
      <c r="BP1264" s="1"/>
      <c r="BQ1264" s="1"/>
      <c r="BR1264" s="1"/>
      <c r="CD1264" s="1"/>
      <c r="CE1264" s="1"/>
      <c r="CF1264" s="1"/>
      <c r="CG1264" s="1"/>
      <c r="CM1264" s="2"/>
      <c r="CP1264" s="1"/>
      <c r="CQ1264" s="1"/>
      <c r="CR1264" s="1"/>
      <c r="CS1264" s="1"/>
      <c r="CT1264" s="1"/>
      <c r="CU1264" s="1"/>
      <c r="CV1264" s="1"/>
      <c r="CW1264" s="1"/>
      <c r="CX1264" s="1"/>
      <c r="CY1264" s="1"/>
      <c r="CZ1264" s="1"/>
      <c r="DA1264" s="1"/>
      <c r="DB1264" s="1"/>
      <c r="DC1264" s="1"/>
      <c r="DD1264" s="1"/>
      <c r="DE1264" s="1"/>
      <c r="DF1264" s="1"/>
      <c r="DG1264" s="1"/>
      <c r="DH1264" s="1"/>
      <c r="DI1264" s="1"/>
      <c r="DJ1264" s="1"/>
      <c r="DK1264" s="1"/>
      <c r="ED1264" s="1"/>
      <c r="EK1264" s="1"/>
      <c r="EL1264" s="1"/>
      <c r="EM1264" s="1"/>
      <c r="EN1264" s="1"/>
      <c r="EQ1264" s="1"/>
      <c r="ER1264" s="1"/>
      <c r="ES1264" s="1"/>
      <c r="EV1264" s="1"/>
      <c r="EW1264" s="1"/>
      <c r="EZ1264" s="1"/>
      <c r="GP1264" s="1"/>
      <c r="HH1264" s="1"/>
      <c r="HY1264" s="1"/>
      <c r="IE1264" s="1"/>
      <c r="IR1264" s="1"/>
      <c r="IS1264" s="1"/>
      <c r="IZ1264" s="1"/>
      <c r="JC1264" s="1"/>
      <c r="JF1264" s="1"/>
      <c r="JG1264" s="1"/>
      <c r="JH1264" s="1"/>
      <c r="JJ1264" s="1"/>
      <c r="JN1264" s="1"/>
      <c r="JP1264" s="1"/>
      <c r="JQ1264" s="1"/>
      <c r="JT1264" s="1"/>
      <c r="KV1264" s="1"/>
      <c r="KW1264" s="1"/>
      <c r="KY1264" s="1"/>
      <c r="KZ1264" s="1"/>
      <c r="LA1264" s="1"/>
      <c r="LB1264" s="1"/>
      <c r="LC1264" s="1"/>
      <c r="LD1264" s="1"/>
      <c r="LO1264" s="1"/>
      <c r="LP1264" s="1"/>
      <c r="LZ1264" s="1"/>
      <c r="MA1264" s="1"/>
    </row>
    <row r="1265" spans="4:339" ht="13" x14ac:dyDescent="0.15">
      <c r="D1265" s="12"/>
      <c r="E1265" s="12"/>
      <c r="I1265" s="12"/>
      <c r="J1265" s="13"/>
      <c r="BF1265" s="1"/>
      <c r="BG1265" s="1"/>
      <c r="BH1265" s="1"/>
      <c r="BI1265" s="1"/>
      <c r="BK1265" s="1"/>
      <c r="BL1265" s="1"/>
      <c r="BM1265" s="1"/>
      <c r="BN1265" s="1"/>
      <c r="BO1265" s="1"/>
      <c r="BP1265" s="1"/>
      <c r="BQ1265" s="1"/>
      <c r="BR1265" s="1"/>
      <c r="CD1265" s="1"/>
      <c r="CE1265" s="1"/>
      <c r="CF1265" s="1"/>
      <c r="CG1265" s="1"/>
      <c r="CM1265" s="2"/>
      <c r="CP1265" s="1"/>
      <c r="CQ1265" s="1"/>
      <c r="CR1265" s="1"/>
      <c r="CS1265" s="1"/>
      <c r="CT1265" s="1"/>
      <c r="CU1265" s="1"/>
      <c r="CV1265" s="1"/>
      <c r="CW1265" s="1"/>
      <c r="CX1265" s="1"/>
      <c r="CY1265" s="1"/>
      <c r="CZ1265" s="1"/>
      <c r="DA1265" s="1"/>
      <c r="DB1265" s="1"/>
      <c r="DC1265" s="1"/>
      <c r="DD1265" s="1"/>
      <c r="DE1265" s="1"/>
      <c r="DF1265" s="1"/>
      <c r="DG1265" s="1"/>
      <c r="DH1265" s="1"/>
      <c r="DI1265" s="1"/>
      <c r="DJ1265" s="1"/>
      <c r="DK1265" s="1"/>
      <c r="ED1265" s="1"/>
      <c r="EK1265" s="1"/>
      <c r="EL1265" s="1"/>
      <c r="EM1265" s="1"/>
      <c r="EN1265" s="1"/>
      <c r="EQ1265" s="1"/>
      <c r="ER1265" s="1"/>
      <c r="ES1265" s="1"/>
      <c r="EV1265" s="1"/>
      <c r="EW1265" s="1"/>
      <c r="EZ1265" s="1"/>
      <c r="GP1265" s="1"/>
      <c r="HH1265" s="1"/>
      <c r="HY1265" s="1"/>
      <c r="IE1265" s="1"/>
      <c r="IR1265" s="1"/>
      <c r="IS1265" s="1"/>
      <c r="IZ1265" s="1"/>
      <c r="JC1265" s="1"/>
      <c r="JF1265" s="1"/>
      <c r="JG1265" s="1"/>
      <c r="JH1265" s="1"/>
      <c r="JJ1265" s="1"/>
      <c r="JN1265" s="1"/>
      <c r="JP1265" s="1"/>
      <c r="JQ1265" s="1"/>
      <c r="JT1265" s="1"/>
      <c r="KV1265" s="1"/>
      <c r="KW1265" s="1"/>
      <c r="KY1265" s="1"/>
      <c r="KZ1265" s="1"/>
      <c r="LA1265" s="1"/>
      <c r="LB1265" s="1"/>
      <c r="LC1265" s="1"/>
      <c r="LD1265" s="1"/>
      <c r="LO1265" s="1"/>
      <c r="LP1265" s="1"/>
      <c r="LZ1265" s="1"/>
      <c r="MA1265" s="1"/>
    </row>
    <row r="1266" spans="4:339" ht="13" x14ac:dyDescent="0.15">
      <c r="D1266" s="12"/>
      <c r="E1266" s="12"/>
      <c r="I1266" s="12"/>
      <c r="J1266" s="13"/>
      <c r="BF1266" s="1"/>
      <c r="BG1266" s="1"/>
      <c r="BH1266" s="1"/>
      <c r="BI1266" s="1"/>
      <c r="BK1266" s="1"/>
      <c r="BL1266" s="1"/>
      <c r="BM1266" s="1"/>
      <c r="BN1266" s="1"/>
      <c r="BO1266" s="1"/>
      <c r="BP1266" s="1"/>
      <c r="BQ1266" s="1"/>
      <c r="BR1266" s="1"/>
      <c r="CD1266" s="1"/>
      <c r="CE1266" s="1"/>
      <c r="CF1266" s="1"/>
      <c r="CG1266" s="1"/>
      <c r="CM1266" s="2"/>
      <c r="CP1266" s="1"/>
      <c r="CQ1266" s="1"/>
      <c r="CR1266" s="1"/>
      <c r="CS1266" s="1"/>
      <c r="CT1266" s="1"/>
      <c r="CU1266" s="1"/>
      <c r="CV1266" s="1"/>
      <c r="CW1266" s="1"/>
      <c r="CX1266" s="1"/>
      <c r="CY1266" s="1"/>
      <c r="CZ1266" s="1"/>
      <c r="DA1266" s="1"/>
      <c r="DB1266" s="1"/>
      <c r="DC1266" s="1"/>
      <c r="DD1266" s="1"/>
      <c r="DE1266" s="1"/>
      <c r="DF1266" s="1"/>
      <c r="DG1266" s="1"/>
      <c r="DH1266" s="1"/>
      <c r="DI1266" s="1"/>
      <c r="DJ1266" s="1"/>
      <c r="DK1266" s="1"/>
      <c r="ED1266" s="1"/>
      <c r="EK1266" s="1"/>
      <c r="EL1266" s="1"/>
      <c r="EM1266" s="1"/>
      <c r="EN1266" s="1"/>
      <c r="EQ1266" s="1"/>
      <c r="ER1266" s="1"/>
      <c r="ES1266" s="1"/>
      <c r="EV1266" s="1"/>
      <c r="EW1266" s="1"/>
      <c r="EZ1266" s="1"/>
      <c r="GP1266" s="1"/>
      <c r="HH1266" s="1"/>
      <c r="HY1266" s="1"/>
      <c r="IE1266" s="1"/>
      <c r="IR1266" s="1"/>
      <c r="IS1266" s="1"/>
      <c r="IZ1266" s="1"/>
      <c r="JC1266" s="1"/>
      <c r="JF1266" s="1"/>
      <c r="JG1266" s="1"/>
      <c r="JH1266" s="1"/>
      <c r="JJ1266" s="1"/>
      <c r="JN1266" s="1"/>
      <c r="JP1266" s="1"/>
      <c r="JQ1266" s="1"/>
      <c r="JT1266" s="1"/>
      <c r="KV1266" s="1"/>
      <c r="KW1266" s="1"/>
      <c r="KY1266" s="1"/>
      <c r="KZ1266" s="1"/>
      <c r="LA1266" s="1"/>
      <c r="LB1266" s="1"/>
      <c r="LC1266" s="1"/>
      <c r="LD1266" s="1"/>
      <c r="LO1266" s="1"/>
      <c r="LP1266" s="1"/>
      <c r="LZ1266" s="1"/>
      <c r="MA1266" s="1"/>
    </row>
    <row r="1267" spans="4:339" ht="13" x14ac:dyDescent="0.15">
      <c r="D1267" s="12"/>
      <c r="E1267" s="12"/>
      <c r="I1267" s="12"/>
      <c r="J1267" s="13"/>
      <c r="BF1267" s="1"/>
      <c r="BG1267" s="1"/>
      <c r="BH1267" s="1"/>
      <c r="BI1267" s="1"/>
      <c r="BK1267" s="1"/>
      <c r="BL1267" s="1"/>
      <c r="BM1267" s="1"/>
      <c r="BN1267" s="1"/>
      <c r="BO1267" s="1"/>
      <c r="BP1267" s="1"/>
      <c r="BQ1267" s="1"/>
      <c r="BR1267" s="1"/>
      <c r="CD1267" s="1"/>
      <c r="CE1267" s="1"/>
      <c r="CF1267" s="1"/>
      <c r="CG1267" s="1"/>
      <c r="CM1267" s="2"/>
      <c r="CP1267" s="1"/>
      <c r="CQ1267" s="1"/>
      <c r="CR1267" s="1"/>
      <c r="CS1267" s="1"/>
      <c r="CT1267" s="1"/>
      <c r="CU1267" s="1"/>
      <c r="CV1267" s="1"/>
      <c r="CW1267" s="1"/>
      <c r="CX1267" s="1"/>
      <c r="CY1267" s="1"/>
      <c r="CZ1267" s="1"/>
      <c r="DA1267" s="1"/>
      <c r="DB1267" s="1"/>
      <c r="DC1267" s="1"/>
      <c r="DD1267" s="1"/>
      <c r="DE1267" s="1"/>
      <c r="DF1267" s="1"/>
      <c r="DG1267" s="1"/>
      <c r="DH1267" s="1"/>
      <c r="DI1267" s="1"/>
      <c r="DJ1267" s="1"/>
      <c r="DK1267" s="1"/>
      <c r="ED1267" s="1"/>
      <c r="EK1267" s="1"/>
      <c r="EL1267" s="1"/>
      <c r="EM1267" s="1"/>
      <c r="EN1267" s="1"/>
      <c r="EQ1267" s="1"/>
      <c r="ER1267" s="1"/>
      <c r="ES1267" s="1"/>
      <c r="EV1267" s="1"/>
      <c r="EW1267" s="1"/>
      <c r="EZ1267" s="1"/>
      <c r="GP1267" s="1"/>
      <c r="HH1267" s="1"/>
      <c r="HY1267" s="1"/>
      <c r="IE1267" s="1"/>
      <c r="IR1267" s="1"/>
      <c r="IS1267" s="1"/>
      <c r="IZ1267" s="1"/>
      <c r="JC1267" s="1"/>
      <c r="JF1267" s="1"/>
      <c r="JG1267" s="1"/>
      <c r="JH1267" s="1"/>
      <c r="JJ1267" s="1"/>
      <c r="JN1267" s="1"/>
      <c r="JP1267" s="1"/>
      <c r="JQ1267" s="1"/>
      <c r="JT1267" s="1"/>
      <c r="KV1267" s="1"/>
      <c r="KW1267" s="1"/>
      <c r="KY1267" s="1"/>
      <c r="KZ1267" s="1"/>
      <c r="LA1267" s="1"/>
      <c r="LB1267" s="1"/>
      <c r="LC1267" s="1"/>
      <c r="LD1267" s="1"/>
      <c r="LO1267" s="1"/>
      <c r="LP1267" s="1"/>
      <c r="LZ1267" s="1"/>
      <c r="MA1267" s="1"/>
    </row>
    <row r="1268" spans="4:339" ht="13" x14ac:dyDescent="0.15">
      <c r="D1268" s="12"/>
      <c r="E1268" s="12"/>
      <c r="I1268" s="12"/>
      <c r="J1268" s="13"/>
      <c r="BF1268" s="1"/>
      <c r="BG1268" s="1"/>
      <c r="BH1268" s="1"/>
      <c r="BI1268" s="1"/>
      <c r="BK1268" s="1"/>
      <c r="BL1268" s="1"/>
      <c r="BM1268" s="1"/>
      <c r="BN1268" s="1"/>
      <c r="BO1268" s="1"/>
      <c r="BP1268" s="1"/>
      <c r="BQ1268" s="1"/>
      <c r="BR1268" s="1"/>
      <c r="CD1268" s="1"/>
      <c r="CE1268" s="1"/>
      <c r="CF1268" s="1"/>
      <c r="CG1268" s="1"/>
      <c r="CM1268" s="2"/>
      <c r="CP1268" s="1"/>
      <c r="CQ1268" s="1"/>
      <c r="CR1268" s="1"/>
      <c r="CS1268" s="1"/>
      <c r="CT1268" s="1"/>
      <c r="CU1268" s="1"/>
      <c r="CV1268" s="1"/>
      <c r="CW1268" s="1"/>
      <c r="CX1268" s="1"/>
      <c r="CY1268" s="1"/>
      <c r="CZ1268" s="1"/>
      <c r="DA1268" s="1"/>
      <c r="DB1268" s="1"/>
      <c r="DC1268" s="1"/>
      <c r="DD1268" s="1"/>
      <c r="DE1268" s="1"/>
      <c r="DF1268" s="1"/>
      <c r="DG1268" s="1"/>
      <c r="DH1268" s="1"/>
      <c r="DI1268" s="1"/>
      <c r="DJ1268" s="1"/>
      <c r="DK1268" s="1"/>
      <c r="ED1268" s="1"/>
      <c r="EK1268" s="1"/>
      <c r="EL1268" s="1"/>
      <c r="EM1268" s="1"/>
      <c r="EN1268" s="1"/>
      <c r="EQ1268" s="1"/>
      <c r="ER1268" s="1"/>
      <c r="ES1268" s="1"/>
      <c r="EV1268" s="1"/>
      <c r="EW1268" s="1"/>
      <c r="EZ1268" s="1"/>
      <c r="GP1268" s="1"/>
      <c r="HH1268" s="1"/>
      <c r="HY1268" s="1"/>
      <c r="IE1268" s="1"/>
      <c r="IR1268" s="1"/>
      <c r="IS1268" s="1"/>
      <c r="IZ1268" s="1"/>
      <c r="JC1268" s="1"/>
      <c r="JF1268" s="1"/>
      <c r="JG1268" s="1"/>
      <c r="JH1268" s="1"/>
      <c r="JJ1268" s="1"/>
      <c r="JN1268" s="1"/>
      <c r="JP1268" s="1"/>
      <c r="JQ1268" s="1"/>
      <c r="JT1268" s="1"/>
      <c r="KV1268" s="1"/>
      <c r="KW1268" s="1"/>
      <c r="KY1268" s="1"/>
      <c r="KZ1268" s="1"/>
      <c r="LA1268" s="1"/>
      <c r="LB1268" s="1"/>
      <c r="LC1268" s="1"/>
      <c r="LD1268" s="1"/>
      <c r="LO1268" s="1"/>
      <c r="LP1268" s="1"/>
      <c r="LZ1268" s="1"/>
      <c r="MA1268" s="1"/>
    </row>
    <row r="1269" spans="4:339" ht="13" x14ac:dyDescent="0.15">
      <c r="D1269" s="12"/>
      <c r="E1269" s="12"/>
      <c r="I1269" s="12"/>
      <c r="J1269" s="13"/>
      <c r="BF1269" s="1"/>
      <c r="BG1269" s="1"/>
      <c r="BH1269" s="1"/>
      <c r="BI1269" s="1"/>
      <c r="BK1269" s="1"/>
      <c r="BL1269" s="1"/>
      <c r="BM1269" s="1"/>
      <c r="BN1269" s="1"/>
      <c r="BO1269" s="1"/>
      <c r="BP1269" s="1"/>
      <c r="BQ1269" s="1"/>
      <c r="BR1269" s="1"/>
      <c r="CD1269" s="1"/>
      <c r="CE1269" s="1"/>
      <c r="CF1269" s="1"/>
      <c r="CG1269" s="1"/>
      <c r="CM1269" s="2"/>
      <c r="CP1269" s="1"/>
      <c r="CQ1269" s="1"/>
      <c r="CR1269" s="1"/>
      <c r="CS1269" s="1"/>
      <c r="CT1269" s="1"/>
      <c r="CU1269" s="1"/>
      <c r="CV1269" s="1"/>
      <c r="CW1269" s="1"/>
      <c r="CX1269" s="1"/>
      <c r="CY1269" s="1"/>
      <c r="CZ1269" s="1"/>
      <c r="DA1269" s="1"/>
      <c r="DB1269" s="1"/>
      <c r="DC1269" s="1"/>
      <c r="DD1269" s="1"/>
      <c r="DE1269" s="1"/>
      <c r="DF1269" s="1"/>
      <c r="DG1269" s="1"/>
      <c r="DH1269" s="1"/>
      <c r="DI1269" s="1"/>
      <c r="DJ1269" s="1"/>
      <c r="DK1269" s="1"/>
      <c r="ED1269" s="1"/>
      <c r="EK1269" s="1"/>
      <c r="EL1269" s="1"/>
      <c r="EM1269" s="1"/>
      <c r="EN1269" s="1"/>
      <c r="EQ1269" s="1"/>
      <c r="ER1269" s="1"/>
      <c r="ES1269" s="1"/>
      <c r="EV1269" s="1"/>
      <c r="EW1269" s="1"/>
      <c r="EZ1269" s="1"/>
      <c r="GP1269" s="1"/>
      <c r="HH1269" s="1"/>
      <c r="HY1269" s="1"/>
      <c r="IE1269" s="1"/>
      <c r="IR1269" s="1"/>
      <c r="IS1269" s="1"/>
      <c r="IZ1269" s="1"/>
      <c r="JC1269" s="1"/>
      <c r="JF1269" s="1"/>
      <c r="JG1269" s="1"/>
      <c r="JH1269" s="1"/>
      <c r="JJ1269" s="1"/>
      <c r="JN1269" s="1"/>
      <c r="JP1269" s="1"/>
      <c r="JQ1269" s="1"/>
      <c r="JT1269" s="1"/>
      <c r="KV1269" s="1"/>
      <c r="KW1269" s="1"/>
      <c r="KY1269" s="1"/>
      <c r="KZ1269" s="1"/>
      <c r="LA1269" s="1"/>
      <c r="LB1269" s="1"/>
      <c r="LC1269" s="1"/>
      <c r="LD1269" s="1"/>
      <c r="LO1269" s="1"/>
      <c r="LP1269" s="1"/>
      <c r="LZ1269" s="1"/>
      <c r="MA1269" s="1"/>
    </row>
    <row r="1270" spans="4:339" ht="13" x14ac:dyDescent="0.15">
      <c r="D1270" s="12"/>
      <c r="E1270" s="12"/>
      <c r="I1270" s="12"/>
      <c r="J1270" s="13"/>
      <c r="BF1270" s="1"/>
      <c r="BG1270" s="1"/>
      <c r="BH1270" s="1"/>
      <c r="BI1270" s="1"/>
      <c r="BK1270" s="1"/>
      <c r="BL1270" s="1"/>
      <c r="BM1270" s="1"/>
      <c r="BN1270" s="1"/>
      <c r="BO1270" s="1"/>
      <c r="BP1270" s="1"/>
      <c r="BQ1270" s="1"/>
      <c r="BR1270" s="1"/>
      <c r="CD1270" s="1"/>
      <c r="CE1270" s="1"/>
      <c r="CF1270" s="1"/>
      <c r="CG1270" s="1"/>
      <c r="CM1270" s="2"/>
      <c r="CP1270" s="1"/>
      <c r="CQ1270" s="1"/>
      <c r="CR1270" s="1"/>
      <c r="CS1270" s="1"/>
      <c r="CT1270" s="1"/>
      <c r="CU1270" s="1"/>
      <c r="CV1270" s="1"/>
      <c r="CW1270" s="1"/>
      <c r="CX1270" s="1"/>
      <c r="CY1270" s="1"/>
      <c r="CZ1270" s="1"/>
      <c r="DA1270" s="1"/>
      <c r="DB1270" s="1"/>
      <c r="DC1270" s="1"/>
      <c r="DD1270" s="1"/>
      <c r="DE1270" s="1"/>
      <c r="DF1270" s="1"/>
      <c r="DG1270" s="1"/>
      <c r="DH1270" s="1"/>
      <c r="DI1270" s="1"/>
      <c r="DJ1270" s="1"/>
      <c r="DK1270" s="1"/>
      <c r="ED1270" s="1"/>
      <c r="EK1270" s="1"/>
      <c r="EL1270" s="1"/>
      <c r="EM1270" s="1"/>
      <c r="EN1270" s="1"/>
      <c r="EQ1270" s="1"/>
      <c r="ER1270" s="1"/>
      <c r="ES1270" s="1"/>
      <c r="EV1270" s="1"/>
      <c r="EW1270" s="1"/>
      <c r="EZ1270" s="1"/>
      <c r="GP1270" s="1"/>
      <c r="HH1270" s="1"/>
      <c r="HY1270" s="1"/>
      <c r="IE1270" s="1"/>
      <c r="IR1270" s="1"/>
      <c r="IS1270" s="1"/>
      <c r="IZ1270" s="1"/>
      <c r="JC1270" s="1"/>
      <c r="JF1270" s="1"/>
      <c r="JG1270" s="1"/>
      <c r="JH1270" s="1"/>
      <c r="JJ1270" s="1"/>
      <c r="JN1270" s="1"/>
      <c r="JP1270" s="1"/>
      <c r="JQ1270" s="1"/>
      <c r="JT1270" s="1"/>
      <c r="KV1270" s="1"/>
      <c r="KW1270" s="1"/>
      <c r="KY1270" s="1"/>
      <c r="KZ1270" s="1"/>
      <c r="LA1270" s="1"/>
      <c r="LB1270" s="1"/>
      <c r="LC1270" s="1"/>
      <c r="LD1270" s="1"/>
      <c r="LO1270" s="1"/>
      <c r="LP1270" s="1"/>
      <c r="LZ1270" s="1"/>
      <c r="MA1270" s="1"/>
    </row>
    <row r="1271" spans="4:339" ht="13" x14ac:dyDescent="0.15">
      <c r="D1271" s="12"/>
      <c r="E1271" s="12"/>
      <c r="I1271" s="12"/>
      <c r="J1271" s="13"/>
      <c r="BF1271" s="1"/>
      <c r="BG1271" s="1"/>
      <c r="BH1271" s="1"/>
      <c r="BI1271" s="1"/>
      <c r="BK1271" s="1"/>
      <c r="BL1271" s="1"/>
      <c r="BM1271" s="1"/>
      <c r="BN1271" s="1"/>
      <c r="BO1271" s="1"/>
      <c r="BP1271" s="1"/>
      <c r="BQ1271" s="1"/>
      <c r="BR1271" s="1"/>
      <c r="CD1271" s="1"/>
      <c r="CE1271" s="1"/>
      <c r="CF1271" s="1"/>
      <c r="CG1271" s="1"/>
      <c r="CM1271" s="2"/>
      <c r="CP1271" s="1"/>
      <c r="CQ1271" s="1"/>
      <c r="CR1271" s="1"/>
      <c r="CS1271" s="1"/>
      <c r="CT1271" s="1"/>
      <c r="CU1271" s="1"/>
      <c r="CV1271" s="1"/>
      <c r="CW1271" s="1"/>
      <c r="CX1271" s="1"/>
      <c r="CY1271" s="1"/>
      <c r="CZ1271" s="1"/>
      <c r="DA1271" s="1"/>
      <c r="DB1271" s="1"/>
      <c r="DC1271" s="1"/>
      <c r="DD1271" s="1"/>
      <c r="DE1271" s="1"/>
      <c r="DF1271" s="1"/>
      <c r="DG1271" s="1"/>
      <c r="DH1271" s="1"/>
      <c r="DI1271" s="1"/>
      <c r="DJ1271" s="1"/>
      <c r="DK1271" s="1"/>
      <c r="ED1271" s="1"/>
      <c r="EK1271" s="1"/>
      <c r="EL1271" s="1"/>
      <c r="EM1271" s="1"/>
      <c r="EN1271" s="1"/>
      <c r="EQ1271" s="1"/>
      <c r="ER1271" s="1"/>
      <c r="ES1271" s="1"/>
      <c r="EV1271" s="1"/>
      <c r="EW1271" s="1"/>
      <c r="EZ1271" s="1"/>
      <c r="GP1271" s="1"/>
      <c r="HH1271" s="1"/>
      <c r="HY1271" s="1"/>
      <c r="IE1271" s="1"/>
      <c r="IR1271" s="1"/>
      <c r="IS1271" s="1"/>
      <c r="IZ1271" s="1"/>
      <c r="JC1271" s="1"/>
      <c r="JF1271" s="1"/>
      <c r="JG1271" s="1"/>
      <c r="JH1271" s="1"/>
      <c r="JJ1271" s="1"/>
      <c r="JN1271" s="1"/>
      <c r="JP1271" s="1"/>
      <c r="JQ1271" s="1"/>
      <c r="JT1271" s="1"/>
      <c r="KV1271" s="1"/>
      <c r="KW1271" s="1"/>
      <c r="KY1271" s="1"/>
      <c r="KZ1271" s="1"/>
      <c r="LA1271" s="1"/>
      <c r="LB1271" s="1"/>
      <c r="LC1271" s="1"/>
      <c r="LD1271" s="1"/>
      <c r="LO1271" s="1"/>
      <c r="LP1271" s="1"/>
      <c r="LZ1271" s="1"/>
      <c r="MA1271" s="1"/>
    </row>
    <row r="1272" spans="4:339" ht="13" x14ac:dyDescent="0.15">
      <c r="D1272" s="12"/>
      <c r="E1272" s="12"/>
      <c r="I1272" s="12"/>
      <c r="J1272" s="13"/>
      <c r="BF1272" s="1"/>
      <c r="BG1272" s="1"/>
      <c r="BH1272" s="1"/>
      <c r="BI1272" s="1"/>
      <c r="BK1272" s="1"/>
      <c r="BL1272" s="1"/>
      <c r="BM1272" s="1"/>
      <c r="BN1272" s="1"/>
      <c r="BO1272" s="1"/>
      <c r="BP1272" s="1"/>
      <c r="BQ1272" s="1"/>
      <c r="BR1272" s="1"/>
      <c r="CD1272" s="1"/>
      <c r="CE1272" s="1"/>
      <c r="CF1272" s="1"/>
      <c r="CG1272" s="1"/>
      <c r="CM1272" s="2"/>
      <c r="CP1272" s="1"/>
      <c r="CQ1272" s="1"/>
      <c r="CR1272" s="1"/>
      <c r="CS1272" s="1"/>
      <c r="CT1272" s="1"/>
      <c r="CU1272" s="1"/>
      <c r="CV1272" s="1"/>
      <c r="CW1272" s="1"/>
      <c r="CX1272" s="1"/>
      <c r="CY1272" s="1"/>
      <c r="CZ1272" s="1"/>
      <c r="DA1272" s="1"/>
      <c r="DB1272" s="1"/>
      <c r="DC1272" s="1"/>
      <c r="DD1272" s="1"/>
      <c r="DE1272" s="1"/>
      <c r="DF1272" s="1"/>
      <c r="DG1272" s="1"/>
      <c r="DH1272" s="1"/>
      <c r="DI1272" s="1"/>
      <c r="DJ1272" s="1"/>
      <c r="DK1272" s="1"/>
      <c r="ED1272" s="1"/>
      <c r="EK1272" s="1"/>
      <c r="EL1272" s="1"/>
      <c r="EM1272" s="1"/>
      <c r="EN1272" s="1"/>
      <c r="EQ1272" s="1"/>
      <c r="ER1272" s="1"/>
      <c r="ES1272" s="1"/>
      <c r="EV1272" s="1"/>
      <c r="EW1272" s="1"/>
      <c r="EZ1272" s="1"/>
      <c r="GP1272" s="1"/>
      <c r="HH1272" s="1"/>
      <c r="HY1272" s="1"/>
      <c r="IE1272" s="1"/>
      <c r="IR1272" s="1"/>
      <c r="IS1272" s="1"/>
      <c r="IZ1272" s="1"/>
      <c r="JC1272" s="1"/>
      <c r="JF1272" s="1"/>
      <c r="JG1272" s="1"/>
      <c r="JH1272" s="1"/>
      <c r="JJ1272" s="1"/>
      <c r="JN1272" s="1"/>
      <c r="JP1272" s="1"/>
      <c r="JQ1272" s="1"/>
      <c r="JT1272" s="1"/>
      <c r="KV1272" s="1"/>
      <c r="KW1272" s="1"/>
      <c r="KY1272" s="1"/>
      <c r="KZ1272" s="1"/>
      <c r="LA1272" s="1"/>
      <c r="LB1272" s="1"/>
      <c r="LC1272" s="1"/>
      <c r="LD1272" s="1"/>
      <c r="LO1272" s="1"/>
      <c r="LP1272" s="1"/>
      <c r="LZ1272" s="1"/>
      <c r="MA1272" s="1"/>
    </row>
    <row r="1273" spans="4:339" ht="13" x14ac:dyDescent="0.15">
      <c r="D1273" s="12"/>
      <c r="E1273" s="12"/>
      <c r="I1273" s="12"/>
      <c r="J1273" s="13"/>
      <c r="BF1273" s="1"/>
      <c r="BG1273" s="1"/>
      <c r="BH1273" s="1"/>
      <c r="BI1273" s="1"/>
      <c r="BK1273" s="1"/>
      <c r="BL1273" s="1"/>
      <c r="BM1273" s="1"/>
      <c r="BN1273" s="1"/>
      <c r="BO1273" s="1"/>
      <c r="BP1273" s="1"/>
      <c r="BQ1273" s="1"/>
      <c r="BR1273" s="1"/>
      <c r="CD1273" s="1"/>
      <c r="CE1273" s="1"/>
      <c r="CF1273" s="1"/>
      <c r="CG1273" s="1"/>
      <c r="CM1273" s="2"/>
      <c r="CP1273" s="1"/>
      <c r="CQ1273" s="1"/>
      <c r="CR1273" s="1"/>
      <c r="CS1273" s="1"/>
      <c r="CT1273" s="1"/>
      <c r="CU1273" s="1"/>
      <c r="CV1273" s="1"/>
      <c r="CW1273" s="1"/>
      <c r="CX1273" s="1"/>
      <c r="CY1273" s="1"/>
      <c r="CZ1273" s="1"/>
      <c r="DA1273" s="1"/>
      <c r="DB1273" s="1"/>
      <c r="DC1273" s="1"/>
      <c r="DD1273" s="1"/>
      <c r="DE1273" s="1"/>
      <c r="DF1273" s="1"/>
      <c r="DG1273" s="1"/>
      <c r="DH1273" s="1"/>
      <c r="DI1273" s="1"/>
      <c r="DJ1273" s="1"/>
      <c r="DK1273" s="1"/>
      <c r="ED1273" s="1"/>
      <c r="EK1273" s="1"/>
      <c r="EL1273" s="1"/>
      <c r="EM1273" s="1"/>
      <c r="EN1273" s="1"/>
      <c r="EQ1273" s="1"/>
      <c r="ER1273" s="1"/>
      <c r="ES1273" s="1"/>
      <c r="EV1273" s="1"/>
      <c r="EW1273" s="1"/>
      <c r="EZ1273" s="1"/>
      <c r="GP1273" s="1"/>
      <c r="HH1273" s="1"/>
      <c r="HY1273" s="1"/>
      <c r="IE1273" s="1"/>
      <c r="IR1273" s="1"/>
      <c r="IS1273" s="1"/>
      <c r="IZ1273" s="1"/>
      <c r="JC1273" s="1"/>
      <c r="JF1273" s="1"/>
      <c r="JG1273" s="1"/>
      <c r="JH1273" s="1"/>
      <c r="JJ1273" s="1"/>
      <c r="JN1273" s="1"/>
      <c r="JP1273" s="1"/>
      <c r="JQ1273" s="1"/>
      <c r="JT1273" s="1"/>
      <c r="KV1273" s="1"/>
      <c r="KW1273" s="1"/>
      <c r="KY1273" s="1"/>
      <c r="KZ1273" s="1"/>
      <c r="LA1273" s="1"/>
      <c r="LB1273" s="1"/>
      <c r="LC1273" s="1"/>
      <c r="LD1273" s="1"/>
      <c r="LO1273" s="1"/>
      <c r="LP1273" s="1"/>
      <c r="LZ1273" s="1"/>
      <c r="MA1273" s="1"/>
    </row>
    <row r="1274" spans="4:339" ht="13" x14ac:dyDescent="0.15">
      <c r="D1274" s="12"/>
      <c r="E1274" s="12"/>
      <c r="I1274" s="12"/>
      <c r="J1274" s="13"/>
      <c r="BF1274" s="1"/>
      <c r="BG1274" s="1"/>
      <c r="BH1274" s="1"/>
      <c r="BI1274" s="1"/>
      <c r="BK1274" s="1"/>
      <c r="BL1274" s="1"/>
      <c r="BM1274" s="1"/>
      <c r="BN1274" s="1"/>
      <c r="BO1274" s="1"/>
      <c r="BP1274" s="1"/>
      <c r="BQ1274" s="1"/>
      <c r="BR1274" s="1"/>
      <c r="CD1274" s="1"/>
      <c r="CE1274" s="1"/>
      <c r="CF1274" s="1"/>
      <c r="CG1274" s="1"/>
      <c r="CM1274" s="2"/>
      <c r="CP1274" s="1"/>
      <c r="CQ1274" s="1"/>
      <c r="CR1274" s="1"/>
      <c r="CS1274" s="1"/>
      <c r="CT1274" s="1"/>
      <c r="CU1274" s="1"/>
      <c r="CV1274" s="1"/>
      <c r="CW1274" s="1"/>
      <c r="CX1274" s="1"/>
      <c r="CY1274" s="1"/>
      <c r="CZ1274" s="1"/>
      <c r="DA1274" s="1"/>
      <c r="DB1274" s="1"/>
      <c r="DC1274" s="1"/>
      <c r="DD1274" s="1"/>
      <c r="DE1274" s="1"/>
      <c r="DF1274" s="1"/>
      <c r="DG1274" s="1"/>
      <c r="DH1274" s="1"/>
      <c r="DI1274" s="1"/>
      <c r="DJ1274" s="1"/>
      <c r="DK1274" s="1"/>
      <c r="ED1274" s="1"/>
      <c r="EK1274" s="1"/>
      <c r="EL1274" s="1"/>
      <c r="EM1274" s="1"/>
      <c r="EN1274" s="1"/>
      <c r="EQ1274" s="1"/>
      <c r="ER1274" s="1"/>
      <c r="ES1274" s="1"/>
      <c r="EV1274" s="1"/>
      <c r="EW1274" s="1"/>
      <c r="EZ1274" s="1"/>
      <c r="GP1274" s="1"/>
      <c r="HH1274" s="1"/>
      <c r="HY1274" s="1"/>
      <c r="IE1274" s="1"/>
      <c r="IR1274" s="1"/>
      <c r="IS1274" s="1"/>
      <c r="IZ1274" s="1"/>
      <c r="JC1274" s="1"/>
      <c r="JF1274" s="1"/>
      <c r="JG1274" s="1"/>
      <c r="JH1274" s="1"/>
      <c r="JJ1274" s="1"/>
      <c r="JN1274" s="1"/>
      <c r="JP1274" s="1"/>
      <c r="JQ1274" s="1"/>
      <c r="JT1274" s="1"/>
      <c r="KV1274" s="1"/>
      <c r="KW1274" s="1"/>
      <c r="KY1274" s="1"/>
      <c r="KZ1274" s="1"/>
      <c r="LA1274" s="1"/>
      <c r="LB1274" s="1"/>
      <c r="LC1274" s="1"/>
      <c r="LD1274" s="1"/>
      <c r="LO1274" s="1"/>
      <c r="LP1274" s="1"/>
      <c r="LZ1274" s="1"/>
      <c r="MA1274" s="1"/>
    </row>
    <row r="1275" spans="4:339" ht="13" x14ac:dyDescent="0.15">
      <c r="D1275" s="12"/>
      <c r="E1275" s="12"/>
      <c r="I1275" s="12"/>
      <c r="J1275" s="13"/>
      <c r="BF1275" s="1"/>
      <c r="BG1275" s="1"/>
      <c r="BH1275" s="1"/>
      <c r="BI1275" s="1"/>
      <c r="BK1275" s="1"/>
      <c r="BL1275" s="1"/>
      <c r="BM1275" s="1"/>
      <c r="BN1275" s="1"/>
      <c r="BO1275" s="1"/>
      <c r="BP1275" s="1"/>
      <c r="BQ1275" s="1"/>
      <c r="BR1275" s="1"/>
      <c r="CD1275" s="1"/>
      <c r="CE1275" s="1"/>
      <c r="CF1275" s="1"/>
      <c r="CG1275" s="1"/>
      <c r="CM1275" s="2"/>
      <c r="CP1275" s="1"/>
      <c r="CQ1275" s="1"/>
      <c r="CR1275" s="1"/>
      <c r="CS1275" s="1"/>
      <c r="CT1275" s="1"/>
      <c r="CU1275" s="1"/>
      <c r="CV1275" s="1"/>
      <c r="CW1275" s="1"/>
      <c r="CX1275" s="1"/>
      <c r="CY1275" s="1"/>
      <c r="CZ1275" s="1"/>
      <c r="DA1275" s="1"/>
      <c r="DB1275" s="1"/>
      <c r="DC1275" s="1"/>
      <c r="DD1275" s="1"/>
      <c r="DE1275" s="1"/>
      <c r="DF1275" s="1"/>
      <c r="DG1275" s="1"/>
      <c r="DH1275" s="1"/>
      <c r="DI1275" s="1"/>
      <c r="DJ1275" s="1"/>
      <c r="DK1275" s="1"/>
      <c r="ED1275" s="1"/>
      <c r="EK1275" s="1"/>
      <c r="EL1275" s="1"/>
      <c r="EM1275" s="1"/>
      <c r="EN1275" s="1"/>
      <c r="EQ1275" s="1"/>
      <c r="ER1275" s="1"/>
      <c r="ES1275" s="1"/>
      <c r="EV1275" s="1"/>
      <c r="EW1275" s="1"/>
      <c r="EZ1275" s="1"/>
      <c r="GP1275" s="1"/>
      <c r="HH1275" s="1"/>
      <c r="HY1275" s="1"/>
      <c r="IE1275" s="1"/>
      <c r="IR1275" s="1"/>
      <c r="IS1275" s="1"/>
      <c r="IZ1275" s="1"/>
      <c r="JC1275" s="1"/>
      <c r="JF1275" s="1"/>
      <c r="JG1275" s="1"/>
      <c r="JH1275" s="1"/>
      <c r="JJ1275" s="1"/>
      <c r="JN1275" s="1"/>
      <c r="JP1275" s="1"/>
      <c r="JQ1275" s="1"/>
      <c r="JT1275" s="1"/>
      <c r="KV1275" s="1"/>
      <c r="KW1275" s="1"/>
      <c r="KY1275" s="1"/>
      <c r="KZ1275" s="1"/>
      <c r="LA1275" s="1"/>
      <c r="LB1275" s="1"/>
      <c r="LC1275" s="1"/>
      <c r="LD1275" s="1"/>
      <c r="LO1275" s="1"/>
      <c r="LP1275" s="1"/>
      <c r="LZ1275" s="1"/>
      <c r="MA1275" s="1"/>
    </row>
    <row r="1276" spans="4:339" ht="13" x14ac:dyDescent="0.15">
      <c r="D1276" s="12"/>
      <c r="E1276" s="12"/>
      <c r="I1276" s="12"/>
      <c r="J1276" s="13"/>
      <c r="BF1276" s="1"/>
      <c r="BG1276" s="1"/>
      <c r="BH1276" s="1"/>
      <c r="BI1276" s="1"/>
      <c r="BK1276" s="1"/>
      <c r="BL1276" s="1"/>
      <c r="BM1276" s="1"/>
      <c r="BN1276" s="1"/>
      <c r="BO1276" s="1"/>
      <c r="BP1276" s="1"/>
      <c r="BQ1276" s="1"/>
      <c r="BR1276" s="1"/>
      <c r="CD1276" s="1"/>
      <c r="CE1276" s="1"/>
      <c r="CF1276" s="1"/>
      <c r="CG1276" s="1"/>
      <c r="CM1276" s="2"/>
      <c r="CP1276" s="1"/>
      <c r="CQ1276" s="1"/>
      <c r="CR1276" s="1"/>
      <c r="CS1276" s="1"/>
      <c r="CT1276" s="1"/>
      <c r="CU1276" s="1"/>
      <c r="CV1276" s="1"/>
      <c r="CW1276" s="1"/>
      <c r="CX1276" s="1"/>
      <c r="CY1276" s="1"/>
      <c r="CZ1276" s="1"/>
      <c r="DA1276" s="1"/>
      <c r="DB1276" s="1"/>
      <c r="DC1276" s="1"/>
      <c r="DD1276" s="1"/>
      <c r="DE1276" s="1"/>
      <c r="DF1276" s="1"/>
      <c r="DG1276" s="1"/>
      <c r="DH1276" s="1"/>
      <c r="DI1276" s="1"/>
      <c r="DJ1276" s="1"/>
      <c r="DK1276" s="1"/>
      <c r="ED1276" s="1"/>
      <c r="EK1276" s="1"/>
      <c r="EL1276" s="1"/>
      <c r="EM1276" s="1"/>
      <c r="EN1276" s="1"/>
      <c r="EQ1276" s="1"/>
      <c r="ER1276" s="1"/>
      <c r="ES1276" s="1"/>
      <c r="EV1276" s="1"/>
      <c r="EW1276" s="1"/>
      <c r="EZ1276" s="1"/>
      <c r="GP1276" s="1"/>
      <c r="HH1276" s="1"/>
      <c r="HY1276" s="1"/>
      <c r="IE1276" s="1"/>
      <c r="IR1276" s="1"/>
      <c r="IS1276" s="1"/>
      <c r="IZ1276" s="1"/>
      <c r="JC1276" s="1"/>
      <c r="JF1276" s="1"/>
      <c r="JG1276" s="1"/>
      <c r="JH1276" s="1"/>
      <c r="JJ1276" s="1"/>
      <c r="JN1276" s="1"/>
      <c r="JP1276" s="1"/>
      <c r="JQ1276" s="1"/>
      <c r="JT1276" s="1"/>
      <c r="KV1276" s="1"/>
      <c r="KW1276" s="1"/>
      <c r="KY1276" s="1"/>
      <c r="KZ1276" s="1"/>
      <c r="LA1276" s="1"/>
      <c r="LB1276" s="1"/>
      <c r="LC1276" s="1"/>
      <c r="LD1276" s="1"/>
      <c r="LO1276" s="1"/>
      <c r="LP1276" s="1"/>
      <c r="LZ1276" s="1"/>
      <c r="MA1276" s="1"/>
    </row>
    <row r="1277" spans="4:339" ht="13" x14ac:dyDescent="0.15">
      <c r="D1277" s="12"/>
      <c r="E1277" s="12"/>
      <c r="I1277" s="12"/>
      <c r="J1277" s="13"/>
      <c r="BF1277" s="1"/>
      <c r="BG1277" s="1"/>
      <c r="BH1277" s="1"/>
      <c r="BI1277" s="1"/>
      <c r="BK1277" s="1"/>
      <c r="BL1277" s="1"/>
      <c r="BM1277" s="1"/>
      <c r="BN1277" s="1"/>
      <c r="BO1277" s="1"/>
      <c r="BP1277" s="1"/>
      <c r="BQ1277" s="1"/>
      <c r="BR1277" s="1"/>
      <c r="CD1277" s="1"/>
      <c r="CE1277" s="1"/>
      <c r="CF1277" s="1"/>
      <c r="CG1277" s="1"/>
      <c r="CM1277" s="2"/>
      <c r="CP1277" s="1"/>
      <c r="CQ1277" s="1"/>
      <c r="CR1277" s="1"/>
      <c r="CS1277" s="1"/>
      <c r="CT1277" s="1"/>
      <c r="CU1277" s="1"/>
      <c r="CV1277" s="1"/>
      <c r="CW1277" s="1"/>
      <c r="CX1277" s="1"/>
      <c r="CY1277" s="1"/>
      <c r="CZ1277" s="1"/>
      <c r="DA1277" s="1"/>
      <c r="DB1277" s="1"/>
      <c r="DC1277" s="1"/>
      <c r="DD1277" s="1"/>
      <c r="DE1277" s="1"/>
      <c r="DF1277" s="1"/>
      <c r="DG1277" s="1"/>
      <c r="DH1277" s="1"/>
      <c r="DI1277" s="1"/>
      <c r="DJ1277" s="1"/>
      <c r="DK1277" s="1"/>
      <c r="ED1277" s="1"/>
      <c r="EK1277" s="1"/>
      <c r="EL1277" s="1"/>
      <c r="EM1277" s="1"/>
      <c r="EN1277" s="1"/>
      <c r="EQ1277" s="1"/>
      <c r="ER1277" s="1"/>
      <c r="ES1277" s="1"/>
      <c r="EV1277" s="1"/>
      <c r="EW1277" s="1"/>
      <c r="EZ1277" s="1"/>
      <c r="GP1277" s="1"/>
      <c r="HH1277" s="1"/>
      <c r="HY1277" s="1"/>
      <c r="IE1277" s="1"/>
      <c r="IR1277" s="1"/>
      <c r="IS1277" s="1"/>
      <c r="IZ1277" s="1"/>
      <c r="JC1277" s="1"/>
      <c r="JF1277" s="1"/>
      <c r="JG1277" s="1"/>
      <c r="JH1277" s="1"/>
      <c r="JJ1277" s="1"/>
      <c r="JN1277" s="1"/>
      <c r="JP1277" s="1"/>
      <c r="JQ1277" s="1"/>
      <c r="JT1277" s="1"/>
      <c r="KV1277" s="1"/>
      <c r="KW1277" s="1"/>
      <c r="KY1277" s="1"/>
      <c r="KZ1277" s="1"/>
      <c r="LA1277" s="1"/>
      <c r="LB1277" s="1"/>
      <c r="LC1277" s="1"/>
      <c r="LD1277" s="1"/>
      <c r="LO1277" s="1"/>
      <c r="LP1277" s="1"/>
      <c r="LZ1277" s="1"/>
      <c r="MA1277" s="1"/>
    </row>
    <row r="1278" spans="4:339" ht="13" x14ac:dyDescent="0.15">
      <c r="D1278" s="12"/>
      <c r="E1278" s="12"/>
      <c r="I1278" s="12"/>
      <c r="J1278" s="13"/>
      <c r="BF1278" s="1"/>
      <c r="BG1278" s="1"/>
      <c r="BH1278" s="1"/>
      <c r="BI1278" s="1"/>
      <c r="BK1278" s="1"/>
      <c r="BL1278" s="1"/>
      <c r="BM1278" s="1"/>
      <c r="BN1278" s="1"/>
      <c r="BO1278" s="1"/>
      <c r="BP1278" s="1"/>
      <c r="BQ1278" s="1"/>
      <c r="BR1278" s="1"/>
      <c r="CD1278" s="1"/>
      <c r="CE1278" s="1"/>
      <c r="CF1278" s="1"/>
      <c r="CG1278" s="1"/>
      <c r="CM1278" s="2"/>
      <c r="CP1278" s="1"/>
      <c r="CQ1278" s="1"/>
      <c r="CR1278" s="1"/>
      <c r="CS1278" s="1"/>
      <c r="CT1278" s="1"/>
      <c r="CU1278" s="1"/>
      <c r="CV1278" s="1"/>
      <c r="CW1278" s="1"/>
      <c r="CX1278" s="1"/>
      <c r="CY1278" s="1"/>
      <c r="CZ1278" s="1"/>
      <c r="DA1278" s="1"/>
      <c r="DB1278" s="1"/>
      <c r="DC1278" s="1"/>
      <c r="DD1278" s="1"/>
      <c r="DE1278" s="1"/>
      <c r="DF1278" s="1"/>
      <c r="DG1278" s="1"/>
      <c r="DH1278" s="1"/>
      <c r="DI1278" s="1"/>
      <c r="DJ1278" s="1"/>
      <c r="DK1278" s="1"/>
      <c r="ED1278" s="1"/>
      <c r="EK1278" s="1"/>
      <c r="EL1278" s="1"/>
      <c r="EM1278" s="1"/>
      <c r="EN1278" s="1"/>
      <c r="EQ1278" s="1"/>
      <c r="ER1278" s="1"/>
      <c r="ES1278" s="1"/>
      <c r="EV1278" s="1"/>
      <c r="EW1278" s="1"/>
      <c r="EZ1278" s="1"/>
      <c r="GP1278" s="1"/>
      <c r="HH1278" s="1"/>
      <c r="HY1278" s="1"/>
      <c r="IE1278" s="1"/>
      <c r="IR1278" s="1"/>
      <c r="IS1278" s="1"/>
      <c r="IZ1278" s="1"/>
      <c r="JC1278" s="1"/>
      <c r="JF1278" s="1"/>
      <c r="JG1278" s="1"/>
      <c r="JH1278" s="1"/>
      <c r="JJ1278" s="1"/>
      <c r="JN1278" s="1"/>
      <c r="JP1278" s="1"/>
      <c r="JQ1278" s="1"/>
      <c r="JT1278" s="1"/>
      <c r="KV1278" s="1"/>
      <c r="KW1278" s="1"/>
      <c r="KY1278" s="1"/>
      <c r="KZ1278" s="1"/>
      <c r="LA1278" s="1"/>
      <c r="LB1278" s="1"/>
      <c r="LC1278" s="1"/>
      <c r="LD1278" s="1"/>
      <c r="LO1278" s="1"/>
      <c r="LP1278" s="1"/>
      <c r="LZ1278" s="1"/>
      <c r="MA1278" s="1"/>
    </row>
    <row r="1279" spans="4:339" ht="13" x14ac:dyDescent="0.15">
      <c r="D1279" s="12"/>
      <c r="E1279" s="12"/>
      <c r="I1279" s="12"/>
      <c r="J1279" s="13"/>
      <c r="BF1279" s="1"/>
      <c r="BG1279" s="1"/>
      <c r="BH1279" s="1"/>
      <c r="BI1279" s="1"/>
      <c r="BK1279" s="1"/>
      <c r="BL1279" s="1"/>
      <c r="BM1279" s="1"/>
      <c r="BN1279" s="1"/>
      <c r="BO1279" s="1"/>
      <c r="BP1279" s="1"/>
      <c r="BQ1279" s="1"/>
      <c r="BR1279" s="1"/>
      <c r="CD1279" s="1"/>
      <c r="CE1279" s="1"/>
      <c r="CF1279" s="1"/>
      <c r="CG1279" s="1"/>
      <c r="CM1279" s="2"/>
      <c r="CP1279" s="1"/>
      <c r="CQ1279" s="1"/>
      <c r="CR1279" s="1"/>
      <c r="CS1279" s="1"/>
      <c r="CT1279" s="1"/>
      <c r="CU1279" s="1"/>
      <c r="CV1279" s="1"/>
      <c r="CW1279" s="1"/>
      <c r="CX1279" s="1"/>
      <c r="CY1279" s="1"/>
      <c r="CZ1279" s="1"/>
      <c r="DA1279" s="1"/>
      <c r="DB1279" s="1"/>
      <c r="DC1279" s="1"/>
      <c r="DD1279" s="1"/>
      <c r="DE1279" s="1"/>
      <c r="DF1279" s="1"/>
      <c r="DG1279" s="1"/>
      <c r="DH1279" s="1"/>
      <c r="DI1279" s="1"/>
      <c r="DJ1279" s="1"/>
      <c r="DK1279" s="1"/>
      <c r="ED1279" s="1"/>
      <c r="EK1279" s="1"/>
      <c r="EL1279" s="1"/>
      <c r="EM1279" s="1"/>
      <c r="EN1279" s="1"/>
      <c r="EQ1279" s="1"/>
      <c r="ER1279" s="1"/>
      <c r="ES1279" s="1"/>
      <c r="EV1279" s="1"/>
      <c r="EW1279" s="1"/>
      <c r="EZ1279" s="1"/>
      <c r="GP1279" s="1"/>
      <c r="HH1279" s="1"/>
      <c r="HY1279" s="1"/>
      <c r="IE1279" s="1"/>
      <c r="IR1279" s="1"/>
      <c r="IS1279" s="1"/>
      <c r="IZ1279" s="1"/>
      <c r="JC1279" s="1"/>
      <c r="JF1279" s="1"/>
      <c r="JG1279" s="1"/>
      <c r="JH1279" s="1"/>
      <c r="JJ1279" s="1"/>
      <c r="JN1279" s="1"/>
      <c r="JP1279" s="1"/>
      <c r="JQ1279" s="1"/>
      <c r="JT1279" s="1"/>
      <c r="KV1279" s="1"/>
      <c r="KW1279" s="1"/>
      <c r="KY1279" s="1"/>
      <c r="KZ1279" s="1"/>
      <c r="LA1279" s="1"/>
      <c r="LB1279" s="1"/>
      <c r="LC1279" s="1"/>
      <c r="LD1279" s="1"/>
      <c r="LO1279" s="1"/>
      <c r="LP1279" s="1"/>
      <c r="LZ1279" s="1"/>
      <c r="MA1279" s="1"/>
    </row>
    <row r="1280" spans="4:339" ht="13" x14ac:dyDescent="0.15">
      <c r="D1280" s="12"/>
      <c r="E1280" s="12"/>
      <c r="I1280" s="12"/>
      <c r="J1280" s="13"/>
      <c r="BF1280" s="1"/>
      <c r="BG1280" s="1"/>
      <c r="BH1280" s="1"/>
      <c r="BI1280" s="1"/>
      <c r="BK1280" s="1"/>
      <c r="BL1280" s="1"/>
      <c r="BM1280" s="1"/>
      <c r="BN1280" s="1"/>
      <c r="BO1280" s="1"/>
      <c r="BP1280" s="1"/>
      <c r="BQ1280" s="1"/>
      <c r="BR1280" s="1"/>
      <c r="CD1280" s="1"/>
      <c r="CE1280" s="1"/>
      <c r="CF1280" s="1"/>
      <c r="CG1280" s="1"/>
      <c r="CM1280" s="2"/>
      <c r="CP1280" s="1"/>
      <c r="CQ1280" s="1"/>
      <c r="CR1280" s="1"/>
      <c r="CS1280" s="1"/>
      <c r="CT1280" s="1"/>
      <c r="CU1280" s="1"/>
      <c r="CV1280" s="1"/>
      <c r="CW1280" s="1"/>
      <c r="CX1280" s="1"/>
      <c r="CY1280" s="1"/>
      <c r="CZ1280" s="1"/>
      <c r="DA1280" s="1"/>
      <c r="DB1280" s="1"/>
      <c r="DC1280" s="1"/>
      <c r="DD1280" s="1"/>
      <c r="DE1280" s="1"/>
      <c r="DF1280" s="1"/>
      <c r="DG1280" s="1"/>
      <c r="DH1280" s="1"/>
      <c r="DI1280" s="1"/>
      <c r="DJ1280" s="1"/>
      <c r="DK1280" s="1"/>
      <c r="ED1280" s="1"/>
      <c r="EK1280" s="1"/>
      <c r="EL1280" s="1"/>
      <c r="EM1280" s="1"/>
      <c r="EN1280" s="1"/>
      <c r="EQ1280" s="1"/>
      <c r="ER1280" s="1"/>
      <c r="ES1280" s="1"/>
      <c r="EV1280" s="1"/>
      <c r="EW1280" s="1"/>
      <c r="EZ1280" s="1"/>
      <c r="GP1280" s="1"/>
      <c r="HH1280" s="1"/>
      <c r="HY1280" s="1"/>
      <c r="IE1280" s="1"/>
      <c r="IR1280" s="1"/>
      <c r="IS1280" s="1"/>
      <c r="IZ1280" s="1"/>
      <c r="JC1280" s="1"/>
      <c r="JF1280" s="1"/>
      <c r="JG1280" s="1"/>
      <c r="JH1280" s="1"/>
      <c r="JJ1280" s="1"/>
      <c r="JN1280" s="1"/>
      <c r="JP1280" s="1"/>
      <c r="JQ1280" s="1"/>
      <c r="JT1280" s="1"/>
      <c r="KV1280" s="1"/>
      <c r="KW1280" s="1"/>
      <c r="KY1280" s="1"/>
      <c r="KZ1280" s="1"/>
      <c r="LA1280" s="1"/>
      <c r="LB1280" s="1"/>
      <c r="LC1280" s="1"/>
      <c r="LD1280" s="1"/>
      <c r="LO1280" s="1"/>
      <c r="LP1280" s="1"/>
      <c r="LZ1280" s="1"/>
      <c r="MA1280" s="1"/>
    </row>
    <row r="1281" spans="4:339" ht="13" x14ac:dyDescent="0.15">
      <c r="D1281" s="12"/>
      <c r="E1281" s="12"/>
      <c r="I1281" s="12"/>
      <c r="J1281" s="13"/>
      <c r="BF1281" s="1"/>
      <c r="BG1281" s="1"/>
      <c r="BH1281" s="1"/>
      <c r="BI1281" s="1"/>
      <c r="BK1281" s="1"/>
      <c r="BL1281" s="1"/>
      <c r="BM1281" s="1"/>
      <c r="BN1281" s="1"/>
      <c r="BO1281" s="1"/>
      <c r="BP1281" s="1"/>
      <c r="BQ1281" s="1"/>
      <c r="BR1281" s="1"/>
      <c r="CD1281" s="1"/>
      <c r="CE1281" s="1"/>
      <c r="CF1281" s="1"/>
      <c r="CG1281" s="1"/>
      <c r="CM1281" s="2"/>
      <c r="CP1281" s="1"/>
      <c r="CQ1281" s="1"/>
      <c r="CR1281" s="1"/>
      <c r="CS1281" s="1"/>
      <c r="CT1281" s="1"/>
      <c r="CU1281" s="1"/>
      <c r="CV1281" s="1"/>
      <c r="CW1281" s="1"/>
      <c r="CX1281" s="1"/>
      <c r="CY1281" s="1"/>
      <c r="CZ1281" s="1"/>
      <c r="DA1281" s="1"/>
      <c r="DB1281" s="1"/>
      <c r="DC1281" s="1"/>
      <c r="DD1281" s="1"/>
      <c r="DE1281" s="1"/>
      <c r="DF1281" s="1"/>
      <c r="DG1281" s="1"/>
      <c r="DH1281" s="1"/>
      <c r="DI1281" s="1"/>
      <c r="DJ1281" s="1"/>
      <c r="DK1281" s="1"/>
      <c r="ED1281" s="1"/>
      <c r="EK1281" s="1"/>
      <c r="EL1281" s="1"/>
      <c r="EM1281" s="1"/>
      <c r="EN1281" s="1"/>
      <c r="EQ1281" s="1"/>
      <c r="ER1281" s="1"/>
      <c r="ES1281" s="1"/>
      <c r="EV1281" s="1"/>
      <c r="EW1281" s="1"/>
      <c r="EZ1281" s="1"/>
      <c r="GP1281" s="1"/>
      <c r="HH1281" s="1"/>
      <c r="HY1281" s="1"/>
      <c r="IE1281" s="1"/>
      <c r="IR1281" s="1"/>
      <c r="IS1281" s="1"/>
      <c r="IZ1281" s="1"/>
      <c r="JC1281" s="1"/>
      <c r="JF1281" s="1"/>
      <c r="JG1281" s="1"/>
      <c r="JH1281" s="1"/>
      <c r="JJ1281" s="1"/>
      <c r="JN1281" s="1"/>
      <c r="JP1281" s="1"/>
      <c r="JQ1281" s="1"/>
      <c r="JT1281" s="1"/>
      <c r="KV1281" s="1"/>
      <c r="KW1281" s="1"/>
      <c r="KY1281" s="1"/>
      <c r="KZ1281" s="1"/>
      <c r="LA1281" s="1"/>
      <c r="LB1281" s="1"/>
      <c r="LC1281" s="1"/>
      <c r="LD1281" s="1"/>
      <c r="LO1281" s="1"/>
      <c r="LP1281" s="1"/>
      <c r="LZ1281" s="1"/>
      <c r="MA1281" s="1"/>
    </row>
    <row r="1282" spans="4:339" ht="13" x14ac:dyDescent="0.15">
      <c r="D1282" s="12"/>
      <c r="E1282" s="12"/>
      <c r="I1282" s="12"/>
      <c r="J1282" s="13"/>
      <c r="BF1282" s="1"/>
      <c r="BG1282" s="1"/>
      <c r="BH1282" s="1"/>
      <c r="BI1282" s="1"/>
      <c r="BK1282" s="1"/>
      <c r="BL1282" s="1"/>
      <c r="BM1282" s="1"/>
      <c r="BN1282" s="1"/>
      <c r="BO1282" s="1"/>
      <c r="BP1282" s="1"/>
      <c r="BQ1282" s="1"/>
      <c r="BR1282" s="1"/>
      <c r="CD1282" s="1"/>
      <c r="CE1282" s="1"/>
      <c r="CF1282" s="1"/>
      <c r="CG1282" s="1"/>
      <c r="CM1282" s="2"/>
      <c r="CP1282" s="1"/>
      <c r="CQ1282" s="1"/>
      <c r="CR1282" s="1"/>
      <c r="CS1282" s="1"/>
      <c r="CT1282" s="1"/>
      <c r="CU1282" s="1"/>
      <c r="CV1282" s="1"/>
      <c r="CW1282" s="1"/>
      <c r="CX1282" s="1"/>
      <c r="CY1282" s="1"/>
      <c r="CZ1282" s="1"/>
      <c r="DA1282" s="1"/>
      <c r="DB1282" s="1"/>
      <c r="DC1282" s="1"/>
      <c r="DD1282" s="1"/>
      <c r="DE1282" s="1"/>
      <c r="DF1282" s="1"/>
      <c r="DG1282" s="1"/>
      <c r="DH1282" s="1"/>
      <c r="DI1282" s="1"/>
      <c r="DJ1282" s="1"/>
      <c r="DK1282" s="1"/>
      <c r="ED1282" s="1"/>
      <c r="EK1282" s="1"/>
      <c r="EL1282" s="1"/>
      <c r="EM1282" s="1"/>
      <c r="EN1282" s="1"/>
      <c r="EQ1282" s="1"/>
      <c r="ER1282" s="1"/>
      <c r="ES1282" s="1"/>
      <c r="EV1282" s="1"/>
      <c r="EW1282" s="1"/>
      <c r="EZ1282" s="1"/>
      <c r="GP1282" s="1"/>
      <c r="HH1282" s="1"/>
      <c r="HY1282" s="1"/>
      <c r="IE1282" s="1"/>
      <c r="IR1282" s="1"/>
      <c r="IS1282" s="1"/>
      <c r="IZ1282" s="1"/>
      <c r="JC1282" s="1"/>
      <c r="JF1282" s="1"/>
      <c r="JG1282" s="1"/>
      <c r="JH1282" s="1"/>
      <c r="JJ1282" s="1"/>
      <c r="JN1282" s="1"/>
      <c r="JP1282" s="1"/>
      <c r="JQ1282" s="1"/>
      <c r="JT1282" s="1"/>
      <c r="KV1282" s="1"/>
      <c r="KW1282" s="1"/>
      <c r="KY1282" s="1"/>
      <c r="KZ1282" s="1"/>
      <c r="LA1282" s="1"/>
      <c r="LB1282" s="1"/>
      <c r="LC1282" s="1"/>
      <c r="LD1282" s="1"/>
      <c r="LO1282" s="1"/>
      <c r="LP1282" s="1"/>
      <c r="LZ1282" s="1"/>
      <c r="MA1282" s="1"/>
    </row>
    <row r="1283" spans="4:339" ht="13" x14ac:dyDescent="0.15">
      <c r="D1283" s="12"/>
      <c r="E1283" s="12"/>
      <c r="I1283" s="12"/>
      <c r="J1283" s="13"/>
      <c r="BF1283" s="1"/>
      <c r="BG1283" s="1"/>
      <c r="BH1283" s="1"/>
      <c r="BI1283" s="1"/>
      <c r="BK1283" s="1"/>
      <c r="BL1283" s="1"/>
      <c r="BM1283" s="1"/>
      <c r="BN1283" s="1"/>
      <c r="BO1283" s="1"/>
      <c r="BP1283" s="1"/>
      <c r="BQ1283" s="1"/>
      <c r="BR1283" s="1"/>
      <c r="CD1283" s="1"/>
      <c r="CE1283" s="1"/>
      <c r="CF1283" s="1"/>
      <c r="CG1283" s="1"/>
      <c r="CM1283" s="2"/>
      <c r="CP1283" s="1"/>
      <c r="CQ1283" s="1"/>
      <c r="CR1283" s="1"/>
      <c r="CS1283" s="1"/>
      <c r="CT1283" s="1"/>
      <c r="CU1283" s="1"/>
      <c r="CV1283" s="1"/>
      <c r="CW1283" s="1"/>
      <c r="CX1283" s="1"/>
      <c r="CY1283" s="1"/>
      <c r="CZ1283" s="1"/>
      <c r="DA1283" s="1"/>
      <c r="DB1283" s="1"/>
      <c r="DC1283" s="1"/>
      <c r="DD1283" s="1"/>
      <c r="DE1283" s="1"/>
      <c r="DF1283" s="1"/>
      <c r="DG1283" s="1"/>
      <c r="DH1283" s="1"/>
      <c r="DI1283" s="1"/>
      <c r="DJ1283" s="1"/>
      <c r="DK1283" s="1"/>
      <c r="ED1283" s="1"/>
      <c r="EK1283" s="1"/>
      <c r="EL1283" s="1"/>
      <c r="EM1283" s="1"/>
      <c r="EN1283" s="1"/>
      <c r="EQ1283" s="1"/>
      <c r="ER1283" s="1"/>
      <c r="ES1283" s="1"/>
      <c r="EV1283" s="1"/>
      <c r="EW1283" s="1"/>
      <c r="EZ1283" s="1"/>
      <c r="GP1283" s="1"/>
      <c r="HH1283" s="1"/>
      <c r="HY1283" s="1"/>
      <c r="IE1283" s="1"/>
      <c r="IR1283" s="1"/>
      <c r="IS1283" s="1"/>
      <c r="IZ1283" s="1"/>
      <c r="JC1283" s="1"/>
      <c r="JF1283" s="1"/>
      <c r="JG1283" s="1"/>
      <c r="JH1283" s="1"/>
      <c r="JJ1283" s="1"/>
      <c r="JN1283" s="1"/>
      <c r="JP1283" s="1"/>
      <c r="JQ1283" s="1"/>
      <c r="JT1283" s="1"/>
      <c r="KV1283" s="1"/>
      <c r="KW1283" s="1"/>
      <c r="KY1283" s="1"/>
      <c r="KZ1283" s="1"/>
      <c r="LA1283" s="1"/>
      <c r="LB1283" s="1"/>
      <c r="LC1283" s="1"/>
      <c r="LD1283" s="1"/>
      <c r="LO1283" s="1"/>
      <c r="LP1283" s="1"/>
      <c r="LZ1283" s="1"/>
      <c r="MA1283" s="1"/>
    </row>
    <row r="1284" spans="4:339" ht="13" x14ac:dyDescent="0.15">
      <c r="D1284" s="12"/>
      <c r="E1284" s="12"/>
      <c r="I1284" s="12"/>
      <c r="J1284" s="13"/>
      <c r="BF1284" s="1"/>
      <c r="BG1284" s="1"/>
      <c r="BH1284" s="1"/>
      <c r="BI1284" s="1"/>
      <c r="BK1284" s="1"/>
      <c r="BL1284" s="1"/>
      <c r="BM1284" s="1"/>
      <c r="BN1284" s="1"/>
      <c r="BO1284" s="1"/>
      <c r="BP1284" s="1"/>
      <c r="BQ1284" s="1"/>
      <c r="BR1284" s="1"/>
      <c r="CD1284" s="1"/>
      <c r="CE1284" s="1"/>
      <c r="CF1284" s="1"/>
      <c r="CG1284" s="1"/>
      <c r="CM1284" s="2"/>
      <c r="CP1284" s="1"/>
      <c r="CQ1284" s="1"/>
      <c r="CR1284" s="1"/>
      <c r="CS1284" s="1"/>
      <c r="CT1284" s="1"/>
      <c r="CU1284" s="1"/>
      <c r="CV1284" s="1"/>
      <c r="CW1284" s="1"/>
      <c r="CX1284" s="1"/>
      <c r="CY1284" s="1"/>
      <c r="CZ1284" s="1"/>
      <c r="DA1284" s="1"/>
      <c r="DB1284" s="1"/>
      <c r="DC1284" s="1"/>
      <c r="DD1284" s="1"/>
      <c r="DE1284" s="1"/>
      <c r="DF1284" s="1"/>
      <c r="DG1284" s="1"/>
      <c r="DH1284" s="1"/>
      <c r="DI1284" s="1"/>
      <c r="DJ1284" s="1"/>
      <c r="DK1284" s="1"/>
      <c r="ED1284" s="1"/>
      <c r="EK1284" s="1"/>
      <c r="EL1284" s="1"/>
      <c r="EM1284" s="1"/>
      <c r="EN1284" s="1"/>
      <c r="EQ1284" s="1"/>
      <c r="ER1284" s="1"/>
      <c r="ES1284" s="1"/>
      <c r="EV1284" s="1"/>
      <c r="EW1284" s="1"/>
      <c r="EZ1284" s="1"/>
      <c r="GP1284" s="1"/>
      <c r="HH1284" s="1"/>
      <c r="HY1284" s="1"/>
      <c r="IE1284" s="1"/>
      <c r="IR1284" s="1"/>
      <c r="IS1284" s="1"/>
      <c r="IZ1284" s="1"/>
      <c r="JC1284" s="1"/>
      <c r="JF1284" s="1"/>
      <c r="JG1284" s="1"/>
      <c r="JH1284" s="1"/>
      <c r="JJ1284" s="1"/>
      <c r="JN1284" s="1"/>
      <c r="JP1284" s="1"/>
      <c r="JQ1284" s="1"/>
      <c r="JT1284" s="1"/>
      <c r="KV1284" s="1"/>
      <c r="KW1284" s="1"/>
      <c r="KY1284" s="1"/>
      <c r="KZ1284" s="1"/>
      <c r="LA1284" s="1"/>
      <c r="LB1284" s="1"/>
      <c r="LC1284" s="1"/>
      <c r="LD1284" s="1"/>
      <c r="LO1284" s="1"/>
      <c r="LP1284" s="1"/>
      <c r="LZ1284" s="1"/>
      <c r="MA1284" s="1"/>
    </row>
    <row r="1285" spans="4:339" ht="13" x14ac:dyDescent="0.15">
      <c r="D1285" s="12"/>
      <c r="E1285" s="12"/>
      <c r="I1285" s="12"/>
      <c r="J1285" s="13"/>
      <c r="BF1285" s="1"/>
      <c r="BG1285" s="1"/>
      <c r="BH1285" s="1"/>
      <c r="BI1285" s="1"/>
      <c r="BK1285" s="1"/>
      <c r="BL1285" s="1"/>
      <c r="BM1285" s="1"/>
      <c r="BN1285" s="1"/>
      <c r="BO1285" s="1"/>
      <c r="BP1285" s="1"/>
      <c r="BQ1285" s="1"/>
      <c r="BR1285" s="1"/>
      <c r="CD1285" s="1"/>
      <c r="CE1285" s="1"/>
      <c r="CF1285" s="1"/>
      <c r="CG1285" s="1"/>
      <c r="CM1285" s="2"/>
      <c r="CP1285" s="1"/>
      <c r="CQ1285" s="1"/>
      <c r="CR1285" s="1"/>
      <c r="CS1285" s="1"/>
      <c r="CT1285" s="1"/>
      <c r="CU1285" s="1"/>
      <c r="CV1285" s="1"/>
      <c r="CW1285" s="1"/>
      <c r="CX1285" s="1"/>
      <c r="CY1285" s="1"/>
      <c r="CZ1285" s="1"/>
      <c r="DA1285" s="1"/>
      <c r="DB1285" s="1"/>
      <c r="DC1285" s="1"/>
      <c r="DD1285" s="1"/>
      <c r="DE1285" s="1"/>
      <c r="DF1285" s="1"/>
      <c r="DG1285" s="1"/>
      <c r="DH1285" s="1"/>
      <c r="DI1285" s="1"/>
      <c r="DJ1285" s="1"/>
      <c r="DK1285" s="1"/>
      <c r="ED1285" s="1"/>
      <c r="EK1285" s="1"/>
      <c r="EL1285" s="1"/>
      <c r="EM1285" s="1"/>
      <c r="EN1285" s="1"/>
      <c r="EQ1285" s="1"/>
      <c r="ER1285" s="1"/>
      <c r="ES1285" s="1"/>
      <c r="EV1285" s="1"/>
      <c r="EW1285" s="1"/>
      <c r="EZ1285" s="1"/>
      <c r="GP1285" s="1"/>
      <c r="HH1285" s="1"/>
      <c r="HY1285" s="1"/>
      <c r="IE1285" s="1"/>
      <c r="IR1285" s="1"/>
      <c r="IS1285" s="1"/>
      <c r="IZ1285" s="1"/>
      <c r="JC1285" s="1"/>
      <c r="JF1285" s="1"/>
      <c r="JG1285" s="1"/>
      <c r="JH1285" s="1"/>
      <c r="JJ1285" s="1"/>
      <c r="JN1285" s="1"/>
      <c r="JP1285" s="1"/>
      <c r="JQ1285" s="1"/>
      <c r="JT1285" s="1"/>
      <c r="KV1285" s="1"/>
      <c r="KW1285" s="1"/>
      <c r="KY1285" s="1"/>
      <c r="KZ1285" s="1"/>
      <c r="LA1285" s="1"/>
      <c r="LB1285" s="1"/>
      <c r="LC1285" s="1"/>
      <c r="LD1285" s="1"/>
      <c r="LO1285" s="1"/>
      <c r="LP1285" s="1"/>
      <c r="LZ1285" s="1"/>
      <c r="MA1285" s="1"/>
    </row>
    <row r="1286" spans="4:339" ht="13" x14ac:dyDescent="0.15">
      <c r="D1286" s="12"/>
      <c r="E1286" s="12"/>
      <c r="I1286" s="12"/>
      <c r="J1286" s="13"/>
      <c r="BF1286" s="1"/>
      <c r="BG1286" s="1"/>
      <c r="BH1286" s="1"/>
      <c r="BI1286" s="1"/>
      <c r="BK1286" s="1"/>
      <c r="BL1286" s="1"/>
      <c r="BM1286" s="1"/>
      <c r="BN1286" s="1"/>
      <c r="BO1286" s="1"/>
      <c r="BP1286" s="1"/>
      <c r="BQ1286" s="1"/>
      <c r="BR1286" s="1"/>
      <c r="CD1286" s="1"/>
      <c r="CE1286" s="1"/>
      <c r="CF1286" s="1"/>
      <c r="CG1286" s="1"/>
      <c r="CM1286" s="2"/>
      <c r="CP1286" s="1"/>
      <c r="CQ1286" s="1"/>
      <c r="CR1286" s="1"/>
      <c r="CS1286" s="1"/>
      <c r="CT1286" s="1"/>
      <c r="CU1286" s="1"/>
      <c r="CV1286" s="1"/>
      <c r="CW1286" s="1"/>
      <c r="CX1286" s="1"/>
      <c r="CY1286" s="1"/>
      <c r="CZ1286" s="1"/>
      <c r="DA1286" s="1"/>
      <c r="DB1286" s="1"/>
      <c r="DC1286" s="1"/>
      <c r="DD1286" s="1"/>
      <c r="DE1286" s="1"/>
      <c r="DF1286" s="1"/>
      <c r="DG1286" s="1"/>
      <c r="DH1286" s="1"/>
      <c r="DI1286" s="1"/>
      <c r="DJ1286" s="1"/>
      <c r="DK1286" s="1"/>
      <c r="ED1286" s="1"/>
      <c r="EK1286" s="1"/>
      <c r="EL1286" s="1"/>
      <c r="EM1286" s="1"/>
      <c r="EN1286" s="1"/>
      <c r="EQ1286" s="1"/>
      <c r="ER1286" s="1"/>
      <c r="ES1286" s="1"/>
      <c r="EV1286" s="1"/>
      <c r="EW1286" s="1"/>
      <c r="EZ1286" s="1"/>
      <c r="GP1286" s="1"/>
      <c r="HH1286" s="1"/>
      <c r="HY1286" s="1"/>
      <c r="IE1286" s="1"/>
      <c r="IR1286" s="1"/>
      <c r="IS1286" s="1"/>
      <c r="IZ1286" s="1"/>
      <c r="JC1286" s="1"/>
      <c r="JF1286" s="1"/>
      <c r="JG1286" s="1"/>
      <c r="JH1286" s="1"/>
      <c r="JJ1286" s="1"/>
      <c r="JN1286" s="1"/>
      <c r="JP1286" s="1"/>
      <c r="JQ1286" s="1"/>
      <c r="JT1286" s="1"/>
      <c r="KV1286" s="1"/>
      <c r="KW1286" s="1"/>
      <c r="KY1286" s="1"/>
      <c r="KZ1286" s="1"/>
      <c r="LA1286" s="1"/>
      <c r="LB1286" s="1"/>
      <c r="LC1286" s="1"/>
      <c r="LD1286" s="1"/>
      <c r="LO1286" s="1"/>
      <c r="LP1286" s="1"/>
      <c r="LZ1286" s="1"/>
      <c r="MA1286" s="1"/>
    </row>
    <row r="1287" spans="4:339" ht="13" x14ac:dyDescent="0.15">
      <c r="D1287" s="12"/>
      <c r="E1287" s="12"/>
      <c r="I1287" s="12"/>
      <c r="J1287" s="13"/>
      <c r="BF1287" s="1"/>
      <c r="BG1287" s="1"/>
      <c r="BH1287" s="1"/>
      <c r="BI1287" s="1"/>
      <c r="BK1287" s="1"/>
      <c r="BL1287" s="1"/>
      <c r="BM1287" s="1"/>
      <c r="BN1287" s="1"/>
      <c r="BO1287" s="1"/>
      <c r="BP1287" s="1"/>
      <c r="BQ1287" s="1"/>
      <c r="BR1287" s="1"/>
      <c r="CD1287" s="1"/>
      <c r="CE1287" s="1"/>
      <c r="CF1287" s="1"/>
      <c r="CG1287" s="1"/>
      <c r="CM1287" s="2"/>
      <c r="CP1287" s="1"/>
      <c r="CQ1287" s="1"/>
      <c r="CR1287" s="1"/>
      <c r="CS1287" s="1"/>
      <c r="CT1287" s="1"/>
      <c r="CU1287" s="1"/>
      <c r="CV1287" s="1"/>
      <c r="CW1287" s="1"/>
      <c r="CX1287" s="1"/>
      <c r="CY1287" s="1"/>
      <c r="CZ1287" s="1"/>
      <c r="DA1287" s="1"/>
      <c r="DB1287" s="1"/>
      <c r="DC1287" s="1"/>
      <c r="DD1287" s="1"/>
      <c r="DE1287" s="1"/>
      <c r="DF1287" s="1"/>
      <c r="DG1287" s="1"/>
      <c r="DH1287" s="1"/>
      <c r="DI1287" s="1"/>
      <c r="DJ1287" s="1"/>
      <c r="DK1287" s="1"/>
      <c r="ED1287" s="1"/>
      <c r="EK1287" s="1"/>
      <c r="EL1287" s="1"/>
      <c r="EM1287" s="1"/>
      <c r="EN1287" s="1"/>
      <c r="EQ1287" s="1"/>
      <c r="ER1287" s="1"/>
      <c r="ES1287" s="1"/>
      <c r="EV1287" s="1"/>
      <c r="EW1287" s="1"/>
      <c r="EZ1287" s="1"/>
      <c r="GP1287" s="1"/>
      <c r="HH1287" s="1"/>
      <c r="HY1287" s="1"/>
      <c r="IE1287" s="1"/>
      <c r="IR1287" s="1"/>
      <c r="IS1287" s="1"/>
      <c r="IZ1287" s="1"/>
      <c r="JC1287" s="1"/>
      <c r="JF1287" s="1"/>
      <c r="JG1287" s="1"/>
      <c r="JH1287" s="1"/>
      <c r="JJ1287" s="1"/>
      <c r="JN1287" s="1"/>
      <c r="JP1287" s="1"/>
      <c r="JQ1287" s="1"/>
      <c r="JT1287" s="1"/>
      <c r="KV1287" s="1"/>
      <c r="KW1287" s="1"/>
      <c r="KY1287" s="1"/>
      <c r="KZ1287" s="1"/>
      <c r="LA1287" s="1"/>
      <c r="LB1287" s="1"/>
      <c r="LC1287" s="1"/>
      <c r="LD1287" s="1"/>
      <c r="LO1287" s="1"/>
      <c r="LP1287" s="1"/>
      <c r="LZ1287" s="1"/>
      <c r="MA1287" s="1"/>
    </row>
    <row r="1288" spans="4:339" ht="13" x14ac:dyDescent="0.15">
      <c r="D1288" s="12"/>
      <c r="E1288" s="12"/>
      <c r="I1288" s="12"/>
      <c r="J1288" s="13"/>
      <c r="BF1288" s="1"/>
      <c r="BG1288" s="1"/>
      <c r="BH1288" s="1"/>
      <c r="BI1288" s="1"/>
      <c r="BK1288" s="1"/>
      <c r="BL1288" s="1"/>
      <c r="BM1288" s="1"/>
      <c r="BN1288" s="1"/>
      <c r="BO1288" s="1"/>
      <c r="BP1288" s="1"/>
      <c r="BQ1288" s="1"/>
      <c r="BR1288" s="1"/>
      <c r="CD1288" s="1"/>
      <c r="CE1288" s="1"/>
      <c r="CF1288" s="1"/>
      <c r="CG1288" s="1"/>
      <c r="CM1288" s="2"/>
      <c r="CP1288" s="1"/>
      <c r="CQ1288" s="1"/>
      <c r="CR1288" s="1"/>
      <c r="CS1288" s="1"/>
      <c r="CT1288" s="1"/>
      <c r="CU1288" s="1"/>
      <c r="CV1288" s="1"/>
      <c r="CW1288" s="1"/>
      <c r="CX1288" s="1"/>
      <c r="CY1288" s="1"/>
      <c r="CZ1288" s="1"/>
      <c r="DA1288" s="1"/>
      <c r="DB1288" s="1"/>
      <c r="DC1288" s="1"/>
      <c r="DD1288" s="1"/>
      <c r="DE1288" s="1"/>
      <c r="DF1288" s="1"/>
      <c r="DG1288" s="1"/>
      <c r="DH1288" s="1"/>
      <c r="DI1288" s="1"/>
      <c r="DJ1288" s="1"/>
      <c r="DK1288" s="1"/>
      <c r="ED1288" s="1"/>
      <c r="EK1288" s="1"/>
      <c r="EL1288" s="1"/>
      <c r="EM1288" s="1"/>
      <c r="EN1288" s="1"/>
      <c r="EQ1288" s="1"/>
      <c r="ER1288" s="1"/>
      <c r="ES1288" s="1"/>
      <c r="EV1288" s="1"/>
      <c r="EW1288" s="1"/>
      <c r="EZ1288" s="1"/>
      <c r="GP1288" s="1"/>
      <c r="HH1288" s="1"/>
      <c r="HY1288" s="1"/>
      <c r="IE1288" s="1"/>
      <c r="IR1288" s="1"/>
      <c r="IS1288" s="1"/>
      <c r="IZ1288" s="1"/>
      <c r="JC1288" s="1"/>
      <c r="JF1288" s="1"/>
      <c r="JG1288" s="1"/>
      <c r="JH1288" s="1"/>
      <c r="JJ1288" s="1"/>
      <c r="JN1288" s="1"/>
      <c r="JP1288" s="1"/>
      <c r="JQ1288" s="1"/>
      <c r="JT1288" s="1"/>
      <c r="KV1288" s="1"/>
      <c r="KW1288" s="1"/>
      <c r="KY1288" s="1"/>
      <c r="KZ1288" s="1"/>
      <c r="LA1288" s="1"/>
      <c r="LB1288" s="1"/>
      <c r="LC1288" s="1"/>
      <c r="LD1288" s="1"/>
      <c r="LO1288" s="1"/>
      <c r="LP1288" s="1"/>
      <c r="LZ1288" s="1"/>
      <c r="MA1288" s="1"/>
    </row>
    <row r="1289" spans="4:339" ht="13" x14ac:dyDescent="0.15">
      <c r="D1289" s="12"/>
      <c r="E1289" s="12"/>
      <c r="I1289" s="12"/>
      <c r="J1289" s="13"/>
      <c r="BF1289" s="1"/>
      <c r="BG1289" s="1"/>
      <c r="BH1289" s="1"/>
      <c r="BI1289" s="1"/>
      <c r="BK1289" s="1"/>
      <c r="BL1289" s="1"/>
      <c r="BM1289" s="1"/>
      <c r="BN1289" s="1"/>
      <c r="BO1289" s="1"/>
      <c r="BP1289" s="1"/>
      <c r="BQ1289" s="1"/>
      <c r="BR1289" s="1"/>
      <c r="CD1289" s="1"/>
      <c r="CE1289" s="1"/>
      <c r="CF1289" s="1"/>
      <c r="CG1289" s="1"/>
      <c r="CM1289" s="2"/>
      <c r="CP1289" s="1"/>
      <c r="CQ1289" s="1"/>
      <c r="CR1289" s="1"/>
      <c r="CS1289" s="1"/>
      <c r="CT1289" s="1"/>
      <c r="CU1289" s="1"/>
      <c r="CV1289" s="1"/>
      <c r="CW1289" s="1"/>
      <c r="CX1289" s="1"/>
      <c r="CY1289" s="1"/>
      <c r="CZ1289" s="1"/>
      <c r="DA1289" s="1"/>
      <c r="DB1289" s="1"/>
      <c r="DC1289" s="1"/>
      <c r="DD1289" s="1"/>
      <c r="DE1289" s="1"/>
      <c r="DF1289" s="1"/>
      <c r="DG1289" s="1"/>
      <c r="DH1289" s="1"/>
      <c r="DI1289" s="1"/>
      <c r="DJ1289" s="1"/>
      <c r="DK1289" s="1"/>
      <c r="ED1289" s="1"/>
      <c r="EK1289" s="1"/>
      <c r="EL1289" s="1"/>
      <c r="EM1289" s="1"/>
      <c r="EN1289" s="1"/>
      <c r="EQ1289" s="1"/>
      <c r="ER1289" s="1"/>
      <c r="ES1289" s="1"/>
      <c r="EV1289" s="1"/>
      <c r="EW1289" s="1"/>
      <c r="EZ1289" s="1"/>
      <c r="GP1289" s="1"/>
      <c r="HH1289" s="1"/>
      <c r="HY1289" s="1"/>
      <c r="IE1289" s="1"/>
      <c r="IR1289" s="1"/>
      <c r="IS1289" s="1"/>
      <c r="IZ1289" s="1"/>
      <c r="JC1289" s="1"/>
      <c r="JF1289" s="1"/>
      <c r="JG1289" s="1"/>
      <c r="JH1289" s="1"/>
      <c r="JJ1289" s="1"/>
      <c r="JN1289" s="1"/>
      <c r="JP1289" s="1"/>
      <c r="JQ1289" s="1"/>
      <c r="JT1289" s="1"/>
      <c r="KV1289" s="1"/>
      <c r="KW1289" s="1"/>
      <c r="KY1289" s="1"/>
      <c r="KZ1289" s="1"/>
      <c r="LA1289" s="1"/>
      <c r="LB1289" s="1"/>
      <c r="LC1289" s="1"/>
      <c r="LD1289" s="1"/>
      <c r="LO1289" s="1"/>
      <c r="LP1289" s="1"/>
      <c r="LZ1289" s="1"/>
      <c r="MA1289" s="1"/>
    </row>
    <row r="1290" spans="4:339" ht="13" x14ac:dyDescent="0.15">
      <c r="D1290" s="12"/>
      <c r="E1290" s="12"/>
      <c r="I1290" s="12"/>
      <c r="J1290" s="13"/>
      <c r="BF1290" s="1"/>
      <c r="BG1290" s="1"/>
      <c r="BH1290" s="1"/>
      <c r="BI1290" s="1"/>
      <c r="BK1290" s="1"/>
      <c r="BL1290" s="1"/>
      <c r="BM1290" s="1"/>
      <c r="BN1290" s="1"/>
      <c r="BO1290" s="1"/>
      <c r="BP1290" s="1"/>
      <c r="BQ1290" s="1"/>
      <c r="BR1290" s="1"/>
      <c r="CD1290" s="1"/>
      <c r="CE1290" s="1"/>
      <c r="CF1290" s="1"/>
      <c r="CG1290" s="1"/>
      <c r="CM1290" s="2"/>
      <c r="CP1290" s="1"/>
      <c r="CQ1290" s="1"/>
      <c r="CR1290" s="1"/>
      <c r="CS1290" s="1"/>
      <c r="CT1290" s="1"/>
      <c r="CU1290" s="1"/>
      <c r="CV1290" s="1"/>
      <c r="CW1290" s="1"/>
      <c r="CX1290" s="1"/>
      <c r="CY1290" s="1"/>
      <c r="CZ1290" s="1"/>
      <c r="DA1290" s="1"/>
      <c r="DB1290" s="1"/>
      <c r="DC1290" s="1"/>
      <c r="DD1290" s="1"/>
      <c r="DE1290" s="1"/>
      <c r="DF1290" s="1"/>
      <c r="DG1290" s="1"/>
      <c r="DH1290" s="1"/>
      <c r="DI1290" s="1"/>
      <c r="DJ1290" s="1"/>
      <c r="DK1290" s="1"/>
      <c r="ED1290" s="1"/>
      <c r="EK1290" s="1"/>
      <c r="EL1290" s="1"/>
      <c r="EM1290" s="1"/>
      <c r="EN1290" s="1"/>
      <c r="EQ1290" s="1"/>
      <c r="ER1290" s="1"/>
      <c r="ES1290" s="1"/>
      <c r="EV1290" s="1"/>
      <c r="EW1290" s="1"/>
      <c r="EZ1290" s="1"/>
      <c r="GP1290" s="1"/>
      <c r="HH1290" s="1"/>
      <c r="HY1290" s="1"/>
      <c r="IE1290" s="1"/>
      <c r="IR1290" s="1"/>
      <c r="IS1290" s="1"/>
      <c r="IZ1290" s="1"/>
      <c r="JC1290" s="1"/>
      <c r="JF1290" s="1"/>
      <c r="JG1290" s="1"/>
      <c r="JH1290" s="1"/>
      <c r="JJ1290" s="1"/>
      <c r="JN1290" s="1"/>
      <c r="JP1290" s="1"/>
      <c r="JQ1290" s="1"/>
      <c r="JT1290" s="1"/>
      <c r="KV1290" s="1"/>
      <c r="KW1290" s="1"/>
      <c r="KY1290" s="1"/>
      <c r="KZ1290" s="1"/>
      <c r="LA1290" s="1"/>
      <c r="LB1290" s="1"/>
      <c r="LC1290" s="1"/>
      <c r="LD1290" s="1"/>
      <c r="LO1290" s="1"/>
      <c r="LP1290" s="1"/>
      <c r="LZ1290" s="1"/>
      <c r="MA1290" s="1"/>
    </row>
    <row r="1291" spans="4:339" ht="13" x14ac:dyDescent="0.15">
      <c r="D1291" s="12"/>
      <c r="E1291" s="12"/>
      <c r="I1291" s="12"/>
      <c r="J1291" s="13"/>
      <c r="BF1291" s="1"/>
      <c r="BG1291" s="1"/>
      <c r="BH1291" s="1"/>
      <c r="BI1291" s="1"/>
      <c r="BK1291" s="1"/>
      <c r="BL1291" s="1"/>
      <c r="BM1291" s="1"/>
      <c r="BN1291" s="1"/>
      <c r="BO1291" s="1"/>
      <c r="BP1291" s="1"/>
      <c r="BQ1291" s="1"/>
      <c r="BR1291" s="1"/>
      <c r="CD1291" s="1"/>
      <c r="CE1291" s="1"/>
      <c r="CF1291" s="1"/>
      <c r="CG1291" s="1"/>
      <c r="CM1291" s="2"/>
      <c r="CP1291" s="1"/>
      <c r="CQ1291" s="1"/>
      <c r="CR1291" s="1"/>
      <c r="CS1291" s="1"/>
      <c r="CT1291" s="1"/>
      <c r="CU1291" s="1"/>
      <c r="CV1291" s="1"/>
      <c r="CW1291" s="1"/>
      <c r="CX1291" s="1"/>
      <c r="CY1291" s="1"/>
      <c r="CZ1291" s="1"/>
      <c r="DA1291" s="1"/>
      <c r="DB1291" s="1"/>
      <c r="DC1291" s="1"/>
      <c r="DD1291" s="1"/>
      <c r="DE1291" s="1"/>
      <c r="DF1291" s="1"/>
      <c r="DG1291" s="1"/>
      <c r="DH1291" s="1"/>
      <c r="DI1291" s="1"/>
      <c r="DJ1291" s="1"/>
      <c r="DK1291" s="1"/>
      <c r="ED1291" s="1"/>
      <c r="EK1291" s="1"/>
      <c r="EL1291" s="1"/>
      <c r="EM1291" s="1"/>
      <c r="EN1291" s="1"/>
      <c r="EQ1291" s="1"/>
      <c r="ER1291" s="1"/>
      <c r="ES1291" s="1"/>
      <c r="EV1291" s="1"/>
      <c r="EW1291" s="1"/>
      <c r="EZ1291" s="1"/>
      <c r="GP1291" s="1"/>
      <c r="HH1291" s="1"/>
      <c r="HY1291" s="1"/>
      <c r="IE1291" s="1"/>
      <c r="IR1291" s="1"/>
      <c r="IS1291" s="1"/>
      <c r="IZ1291" s="1"/>
      <c r="JC1291" s="1"/>
      <c r="JF1291" s="1"/>
      <c r="JG1291" s="1"/>
      <c r="JH1291" s="1"/>
      <c r="JJ1291" s="1"/>
      <c r="JN1291" s="1"/>
      <c r="JP1291" s="1"/>
      <c r="JQ1291" s="1"/>
      <c r="JT1291" s="1"/>
      <c r="KV1291" s="1"/>
      <c r="KW1291" s="1"/>
      <c r="KY1291" s="1"/>
      <c r="KZ1291" s="1"/>
      <c r="LA1291" s="1"/>
      <c r="LB1291" s="1"/>
      <c r="LC1291" s="1"/>
      <c r="LD1291" s="1"/>
      <c r="LO1291" s="1"/>
      <c r="LP1291" s="1"/>
      <c r="LZ1291" s="1"/>
      <c r="MA1291" s="1"/>
    </row>
    <row r="1292" spans="4:339" ht="13" x14ac:dyDescent="0.15">
      <c r="D1292" s="12"/>
      <c r="E1292" s="12"/>
      <c r="I1292" s="12"/>
      <c r="J1292" s="13"/>
      <c r="BF1292" s="1"/>
      <c r="BG1292" s="1"/>
      <c r="BH1292" s="1"/>
      <c r="BI1292" s="1"/>
      <c r="BK1292" s="1"/>
      <c r="BL1292" s="1"/>
      <c r="BM1292" s="1"/>
      <c r="BN1292" s="1"/>
      <c r="BO1292" s="1"/>
      <c r="BP1292" s="1"/>
      <c r="BQ1292" s="1"/>
      <c r="BR1292" s="1"/>
      <c r="CD1292" s="1"/>
      <c r="CE1292" s="1"/>
      <c r="CF1292" s="1"/>
      <c r="CG1292" s="1"/>
      <c r="CM1292" s="2"/>
      <c r="CP1292" s="1"/>
      <c r="CQ1292" s="1"/>
      <c r="CR1292" s="1"/>
      <c r="CS1292" s="1"/>
      <c r="CT1292" s="1"/>
      <c r="CU1292" s="1"/>
      <c r="CV1292" s="1"/>
      <c r="CW1292" s="1"/>
      <c r="CX1292" s="1"/>
      <c r="CY1292" s="1"/>
      <c r="CZ1292" s="1"/>
      <c r="DA1292" s="1"/>
      <c r="DB1292" s="1"/>
      <c r="DC1292" s="1"/>
      <c r="DD1292" s="1"/>
      <c r="DE1292" s="1"/>
      <c r="DF1292" s="1"/>
      <c r="DG1292" s="1"/>
      <c r="DH1292" s="1"/>
      <c r="DI1292" s="1"/>
      <c r="DJ1292" s="1"/>
      <c r="DK1292" s="1"/>
      <c r="ED1292" s="1"/>
      <c r="EK1292" s="1"/>
      <c r="EL1292" s="1"/>
      <c r="EM1292" s="1"/>
      <c r="EN1292" s="1"/>
      <c r="EQ1292" s="1"/>
      <c r="ER1292" s="1"/>
      <c r="ES1292" s="1"/>
      <c r="EV1292" s="1"/>
      <c r="EW1292" s="1"/>
      <c r="EZ1292" s="1"/>
      <c r="GP1292" s="1"/>
      <c r="HH1292" s="1"/>
      <c r="HY1292" s="1"/>
      <c r="IE1292" s="1"/>
      <c r="IR1292" s="1"/>
      <c r="IS1292" s="1"/>
      <c r="IZ1292" s="1"/>
      <c r="JC1292" s="1"/>
      <c r="JF1292" s="1"/>
      <c r="JG1292" s="1"/>
      <c r="JH1292" s="1"/>
      <c r="JJ1292" s="1"/>
      <c r="JN1292" s="1"/>
      <c r="JP1292" s="1"/>
      <c r="JQ1292" s="1"/>
      <c r="JT1292" s="1"/>
      <c r="KV1292" s="1"/>
      <c r="KW1292" s="1"/>
      <c r="KY1292" s="1"/>
      <c r="KZ1292" s="1"/>
      <c r="LA1292" s="1"/>
      <c r="LB1292" s="1"/>
      <c r="LC1292" s="1"/>
      <c r="LD1292" s="1"/>
      <c r="LO1292" s="1"/>
      <c r="LP1292" s="1"/>
      <c r="LZ1292" s="1"/>
      <c r="MA1292" s="1"/>
    </row>
    <row r="1293" spans="4:339" ht="13" x14ac:dyDescent="0.15">
      <c r="D1293" s="12"/>
      <c r="E1293" s="12"/>
      <c r="I1293" s="12"/>
      <c r="J1293" s="13"/>
      <c r="BF1293" s="1"/>
      <c r="BG1293" s="1"/>
      <c r="BH1293" s="1"/>
      <c r="BI1293" s="1"/>
      <c r="BK1293" s="1"/>
      <c r="BL1293" s="1"/>
      <c r="BM1293" s="1"/>
      <c r="BN1293" s="1"/>
      <c r="BO1293" s="1"/>
      <c r="BP1293" s="1"/>
      <c r="BQ1293" s="1"/>
      <c r="BR1293" s="1"/>
      <c r="CD1293" s="1"/>
      <c r="CE1293" s="1"/>
      <c r="CF1293" s="1"/>
      <c r="CG1293" s="1"/>
      <c r="CM1293" s="2"/>
      <c r="CP1293" s="1"/>
      <c r="CQ1293" s="1"/>
      <c r="CR1293" s="1"/>
      <c r="CS1293" s="1"/>
      <c r="CT1293" s="1"/>
      <c r="CU1293" s="1"/>
      <c r="CV1293" s="1"/>
      <c r="CW1293" s="1"/>
      <c r="CX1293" s="1"/>
      <c r="CY1293" s="1"/>
      <c r="CZ1293" s="1"/>
      <c r="DA1293" s="1"/>
      <c r="DB1293" s="1"/>
      <c r="DC1293" s="1"/>
      <c r="DD1293" s="1"/>
      <c r="DE1293" s="1"/>
      <c r="DF1293" s="1"/>
      <c r="DG1293" s="1"/>
      <c r="DH1293" s="1"/>
      <c r="DI1293" s="1"/>
      <c r="DJ1293" s="1"/>
      <c r="DK1293" s="1"/>
      <c r="ED1293" s="1"/>
      <c r="EK1293" s="1"/>
      <c r="EL1293" s="1"/>
      <c r="EM1293" s="1"/>
      <c r="EN1293" s="1"/>
      <c r="EQ1293" s="1"/>
      <c r="ER1293" s="1"/>
      <c r="ES1293" s="1"/>
      <c r="EV1293" s="1"/>
      <c r="EW1293" s="1"/>
      <c r="EZ1293" s="1"/>
      <c r="GP1293" s="1"/>
      <c r="HH1293" s="1"/>
      <c r="HY1293" s="1"/>
      <c r="IE1293" s="1"/>
      <c r="IR1293" s="1"/>
      <c r="IS1293" s="1"/>
      <c r="IZ1293" s="1"/>
      <c r="JC1293" s="1"/>
      <c r="JF1293" s="1"/>
      <c r="JG1293" s="1"/>
      <c r="JH1293" s="1"/>
      <c r="JJ1293" s="1"/>
      <c r="JN1293" s="1"/>
      <c r="JP1293" s="1"/>
      <c r="JQ1293" s="1"/>
      <c r="JT1293" s="1"/>
      <c r="KV1293" s="1"/>
      <c r="KW1293" s="1"/>
      <c r="KY1293" s="1"/>
      <c r="KZ1293" s="1"/>
      <c r="LA1293" s="1"/>
      <c r="LB1293" s="1"/>
      <c r="LC1293" s="1"/>
      <c r="LD1293" s="1"/>
      <c r="LO1293" s="1"/>
      <c r="LP1293" s="1"/>
      <c r="LZ1293" s="1"/>
      <c r="MA1293" s="1"/>
    </row>
    <row r="1294" spans="4:339" ht="13" x14ac:dyDescent="0.15">
      <c r="D1294" s="12"/>
      <c r="E1294" s="12"/>
      <c r="I1294" s="12"/>
      <c r="J1294" s="13"/>
      <c r="BF1294" s="1"/>
      <c r="BG1294" s="1"/>
      <c r="BH1294" s="1"/>
      <c r="BI1294" s="1"/>
      <c r="BK1294" s="1"/>
      <c r="BL1294" s="1"/>
      <c r="BM1294" s="1"/>
      <c r="BN1294" s="1"/>
      <c r="BO1294" s="1"/>
      <c r="BP1294" s="1"/>
      <c r="BQ1294" s="1"/>
      <c r="BR1294" s="1"/>
      <c r="CD1294" s="1"/>
      <c r="CE1294" s="1"/>
      <c r="CF1294" s="1"/>
      <c r="CG1294" s="1"/>
      <c r="CM1294" s="2"/>
      <c r="CP1294" s="1"/>
      <c r="CQ1294" s="1"/>
      <c r="CR1294" s="1"/>
      <c r="CS1294" s="1"/>
      <c r="CT1294" s="1"/>
      <c r="CU1294" s="1"/>
      <c r="CV1294" s="1"/>
      <c r="CW1294" s="1"/>
      <c r="CX1294" s="1"/>
      <c r="CY1294" s="1"/>
      <c r="CZ1294" s="1"/>
      <c r="DA1294" s="1"/>
      <c r="DB1294" s="1"/>
      <c r="DC1294" s="1"/>
      <c r="DD1294" s="1"/>
      <c r="DE1294" s="1"/>
      <c r="DF1294" s="1"/>
      <c r="DG1294" s="1"/>
      <c r="DH1294" s="1"/>
      <c r="DI1294" s="1"/>
      <c r="DJ1294" s="1"/>
      <c r="DK1294" s="1"/>
      <c r="ED1294" s="1"/>
      <c r="EK1294" s="1"/>
      <c r="EL1294" s="1"/>
      <c r="EM1294" s="1"/>
      <c r="EN1294" s="1"/>
      <c r="EQ1294" s="1"/>
      <c r="ER1294" s="1"/>
      <c r="ES1294" s="1"/>
      <c r="EV1294" s="1"/>
      <c r="EW1294" s="1"/>
      <c r="EZ1294" s="1"/>
      <c r="GP1294" s="1"/>
      <c r="HH1294" s="1"/>
      <c r="HY1294" s="1"/>
      <c r="IE1294" s="1"/>
      <c r="IR1294" s="1"/>
      <c r="IS1294" s="1"/>
      <c r="IZ1294" s="1"/>
      <c r="JC1294" s="1"/>
      <c r="JF1294" s="1"/>
      <c r="JG1294" s="1"/>
      <c r="JH1294" s="1"/>
      <c r="JJ1294" s="1"/>
      <c r="JN1294" s="1"/>
      <c r="JP1294" s="1"/>
      <c r="JQ1294" s="1"/>
      <c r="JT1294" s="1"/>
      <c r="KV1294" s="1"/>
      <c r="KW1294" s="1"/>
      <c r="KY1294" s="1"/>
      <c r="KZ1294" s="1"/>
      <c r="LA1294" s="1"/>
      <c r="LB1294" s="1"/>
      <c r="LC1294" s="1"/>
      <c r="LD1294" s="1"/>
      <c r="LO1294" s="1"/>
      <c r="LP1294" s="1"/>
      <c r="LZ1294" s="1"/>
      <c r="MA1294" s="1"/>
    </row>
    <row r="1295" spans="4:339" ht="13" x14ac:dyDescent="0.15">
      <c r="D1295" s="12"/>
      <c r="E1295" s="12"/>
      <c r="I1295" s="12"/>
      <c r="J1295" s="13"/>
      <c r="BF1295" s="1"/>
      <c r="BG1295" s="1"/>
      <c r="BH1295" s="1"/>
      <c r="BI1295" s="1"/>
      <c r="BK1295" s="1"/>
      <c r="BL1295" s="1"/>
      <c r="BM1295" s="1"/>
      <c r="BN1295" s="1"/>
      <c r="BO1295" s="1"/>
      <c r="BP1295" s="1"/>
      <c r="BQ1295" s="1"/>
      <c r="BR1295" s="1"/>
      <c r="CD1295" s="1"/>
      <c r="CE1295" s="1"/>
      <c r="CF1295" s="1"/>
      <c r="CG1295" s="1"/>
      <c r="CM1295" s="2"/>
      <c r="CP1295" s="1"/>
      <c r="CQ1295" s="1"/>
      <c r="CR1295" s="1"/>
      <c r="CS1295" s="1"/>
      <c r="CT1295" s="1"/>
      <c r="CU1295" s="1"/>
      <c r="CV1295" s="1"/>
      <c r="CW1295" s="1"/>
      <c r="CX1295" s="1"/>
      <c r="CY1295" s="1"/>
      <c r="CZ1295" s="1"/>
      <c r="DA1295" s="1"/>
      <c r="DB1295" s="1"/>
      <c r="DC1295" s="1"/>
      <c r="DD1295" s="1"/>
      <c r="DE1295" s="1"/>
      <c r="DF1295" s="1"/>
      <c r="DG1295" s="1"/>
      <c r="DH1295" s="1"/>
      <c r="DI1295" s="1"/>
      <c r="DJ1295" s="1"/>
      <c r="DK1295" s="1"/>
      <c r="ED1295" s="1"/>
      <c r="EK1295" s="1"/>
      <c r="EL1295" s="1"/>
      <c r="EM1295" s="1"/>
      <c r="EN1295" s="1"/>
      <c r="EQ1295" s="1"/>
      <c r="ER1295" s="1"/>
      <c r="ES1295" s="1"/>
      <c r="EV1295" s="1"/>
      <c r="EW1295" s="1"/>
      <c r="EZ1295" s="1"/>
      <c r="GP1295" s="1"/>
      <c r="HH1295" s="1"/>
      <c r="HY1295" s="1"/>
      <c r="IE1295" s="1"/>
      <c r="IR1295" s="1"/>
      <c r="IS1295" s="1"/>
      <c r="IZ1295" s="1"/>
      <c r="JC1295" s="1"/>
      <c r="JF1295" s="1"/>
      <c r="JG1295" s="1"/>
      <c r="JH1295" s="1"/>
      <c r="JJ1295" s="1"/>
      <c r="JN1295" s="1"/>
      <c r="JP1295" s="1"/>
      <c r="JQ1295" s="1"/>
      <c r="JT1295" s="1"/>
      <c r="KV1295" s="1"/>
      <c r="KW1295" s="1"/>
      <c r="KY1295" s="1"/>
      <c r="KZ1295" s="1"/>
      <c r="LA1295" s="1"/>
      <c r="LB1295" s="1"/>
      <c r="LC1295" s="1"/>
      <c r="LD1295" s="1"/>
      <c r="LO1295" s="1"/>
      <c r="LP1295" s="1"/>
      <c r="LZ1295" s="1"/>
      <c r="MA1295" s="1"/>
    </row>
    <row r="1296" spans="4:339" ht="13" x14ac:dyDescent="0.15">
      <c r="D1296" s="12"/>
      <c r="E1296" s="12"/>
      <c r="I1296" s="12"/>
      <c r="J1296" s="13"/>
      <c r="BF1296" s="1"/>
      <c r="BG1296" s="1"/>
      <c r="BH1296" s="1"/>
      <c r="BI1296" s="1"/>
      <c r="BK1296" s="1"/>
      <c r="BL1296" s="1"/>
      <c r="BM1296" s="1"/>
      <c r="BN1296" s="1"/>
      <c r="BO1296" s="1"/>
      <c r="BP1296" s="1"/>
      <c r="BQ1296" s="1"/>
      <c r="BR1296" s="1"/>
      <c r="CD1296" s="1"/>
      <c r="CE1296" s="1"/>
      <c r="CF1296" s="1"/>
      <c r="CG1296" s="1"/>
      <c r="CM1296" s="2"/>
      <c r="CP1296" s="1"/>
      <c r="CQ1296" s="1"/>
      <c r="CR1296" s="1"/>
      <c r="CS1296" s="1"/>
      <c r="CT1296" s="1"/>
      <c r="CU1296" s="1"/>
      <c r="CV1296" s="1"/>
      <c r="CW1296" s="1"/>
      <c r="CX1296" s="1"/>
      <c r="CY1296" s="1"/>
      <c r="CZ1296" s="1"/>
      <c r="DA1296" s="1"/>
      <c r="DB1296" s="1"/>
      <c r="DC1296" s="1"/>
      <c r="DD1296" s="1"/>
      <c r="DE1296" s="1"/>
      <c r="DF1296" s="1"/>
      <c r="DG1296" s="1"/>
      <c r="DH1296" s="1"/>
      <c r="DI1296" s="1"/>
      <c r="DJ1296" s="1"/>
      <c r="DK1296" s="1"/>
      <c r="ED1296" s="1"/>
      <c r="EK1296" s="1"/>
      <c r="EL1296" s="1"/>
      <c r="EM1296" s="1"/>
      <c r="EN1296" s="1"/>
      <c r="EQ1296" s="1"/>
      <c r="ER1296" s="1"/>
      <c r="ES1296" s="1"/>
      <c r="EV1296" s="1"/>
      <c r="EW1296" s="1"/>
      <c r="EZ1296" s="1"/>
      <c r="GP1296" s="1"/>
      <c r="HH1296" s="1"/>
      <c r="HY1296" s="1"/>
      <c r="IE1296" s="1"/>
      <c r="IR1296" s="1"/>
      <c r="IS1296" s="1"/>
      <c r="IZ1296" s="1"/>
      <c r="JC1296" s="1"/>
      <c r="JF1296" s="1"/>
      <c r="JG1296" s="1"/>
      <c r="JH1296" s="1"/>
      <c r="JJ1296" s="1"/>
      <c r="JN1296" s="1"/>
      <c r="JP1296" s="1"/>
      <c r="JQ1296" s="1"/>
      <c r="JT1296" s="1"/>
      <c r="KV1296" s="1"/>
      <c r="KW1296" s="1"/>
      <c r="KY1296" s="1"/>
      <c r="KZ1296" s="1"/>
      <c r="LA1296" s="1"/>
      <c r="LB1296" s="1"/>
      <c r="LC1296" s="1"/>
      <c r="LD1296" s="1"/>
      <c r="LO1296" s="1"/>
      <c r="LP1296" s="1"/>
      <c r="LZ1296" s="1"/>
      <c r="MA1296" s="1"/>
    </row>
    <row r="1297" spans="4:339" ht="13" x14ac:dyDescent="0.15">
      <c r="D1297" s="12"/>
      <c r="E1297" s="12"/>
      <c r="I1297" s="12"/>
      <c r="J1297" s="13"/>
      <c r="BF1297" s="1"/>
      <c r="BG1297" s="1"/>
      <c r="BH1297" s="1"/>
      <c r="BI1297" s="1"/>
      <c r="BK1297" s="1"/>
      <c r="BL1297" s="1"/>
      <c r="BM1297" s="1"/>
      <c r="BN1297" s="1"/>
      <c r="BO1297" s="1"/>
      <c r="BP1297" s="1"/>
      <c r="BQ1297" s="1"/>
      <c r="BR1297" s="1"/>
      <c r="CD1297" s="1"/>
      <c r="CE1297" s="1"/>
      <c r="CF1297" s="1"/>
      <c r="CG1297" s="1"/>
      <c r="CM1297" s="2"/>
      <c r="CP1297" s="1"/>
      <c r="CQ1297" s="1"/>
      <c r="CR1297" s="1"/>
      <c r="CS1297" s="1"/>
      <c r="CT1297" s="1"/>
      <c r="CU1297" s="1"/>
      <c r="CV1297" s="1"/>
      <c r="CW1297" s="1"/>
      <c r="CX1297" s="1"/>
      <c r="CY1297" s="1"/>
      <c r="CZ1297" s="1"/>
      <c r="DA1297" s="1"/>
      <c r="DB1297" s="1"/>
      <c r="DC1297" s="1"/>
      <c r="DD1297" s="1"/>
      <c r="DE1297" s="1"/>
      <c r="DF1297" s="1"/>
      <c r="DG1297" s="1"/>
      <c r="DH1297" s="1"/>
      <c r="DI1297" s="1"/>
      <c r="DJ1297" s="1"/>
      <c r="DK1297" s="1"/>
      <c r="ED1297" s="1"/>
      <c r="EK1297" s="1"/>
      <c r="EL1297" s="1"/>
      <c r="EM1297" s="1"/>
      <c r="EN1297" s="1"/>
      <c r="EQ1297" s="1"/>
      <c r="ER1297" s="1"/>
      <c r="ES1297" s="1"/>
      <c r="EV1297" s="1"/>
      <c r="EW1297" s="1"/>
      <c r="EZ1297" s="1"/>
      <c r="GP1297" s="1"/>
      <c r="HH1297" s="1"/>
      <c r="HY1297" s="1"/>
      <c r="IE1297" s="1"/>
      <c r="IR1297" s="1"/>
      <c r="IS1297" s="1"/>
      <c r="IZ1297" s="1"/>
      <c r="JC1297" s="1"/>
      <c r="JF1297" s="1"/>
      <c r="JG1297" s="1"/>
      <c r="JH1297" s="1"/>
      <c r="JJ1297" s="1"/>
      <c r="JN1297" s="1"/>
      <c r="JP1297" s="1"/>
      <c r="JQ1297" s="1"/>
      <c r="JT1297" s="1"/>
      <c r="KV1297" s="1"/>
      <c r="KW1297" s="1"/>
      <c r="KY1297" s="1"/>
      <c r="KZ1297" s="1"/>
      <c r="LA1297" s="1"/>
      <c r="LB1297" s="1"/>
      <c r="LC1297" s="1"/>
      <c r="LD1297" s="1"/>
      <c r="LO1297" s="1"/>
      <c r="LP1297" s="1"/>
      <c r="LZ1297" s="1"/>
      <c r="MA1297" s="1"/>
    </row>
    <row r="1298" spans="4:339" ht="13" x14ac:dyDescent="0.15">
      <c r="D1298" s="12"/>
      <c r="E1298" s="12"/>
      <c r="I1298" s="12"/>
      <c r="J1298" s="13"/>
      <c r="BF1298" s="1"/>
      <c r="BG1298" s="1"/>
      <c r="BH1298" s="1"/>
      <c r="BI1298" s="1"/>
      <c r="BK1298" s="1"/>
      <c r="BL1298" s="1"/>
      <c r="BM1298" s="1"/>
      <c r="BN1298" s="1"/>
      <c r="BO1298" s="1"/>
      <c r="BP1298" s="1"/>
      <c r="BQ1298" s="1"/>
      <c r="BR1298" s="1"/>
      <c r="CD1298" s="1"/>
      <c r="CE1298" s="1"/>
      <c r="CF1298" s="1"/>
      <c r="CG1298" s="1"/>
      <c r="CM1298" s="2"/>
      <c r="CP1298" s="1"/>
      <c r="CQ1298" s="1"/>
      <c r="CR1298" s="1"/>
      <c r="CS1298" s="1"/>
      <c r="CT1298" s="1"/>
      <c r="CU1298" s="1"/>
      <c r="CV1298" s="1"/>
      <c r="CW1298" s="1"/>
      <c r="CX1298" s="1"/>
      <c r="CY1298" s="1"/>
      <c r="CZ1298" s="1"/>
      <c r="DA1298" s="1"/>
      <c r="DB1298" s="1"/>
      <c r="DC1298" s="1"/>
      <c r="DD1298" s="1"/>
      <c r="DE1298" s="1"/>
      <c r="DF1298" s="1"/>
      <c r="DG1298" s="1"/>
      <c r="DH1298" s="1"/>
      <c r="DI1298" s="1"/>
      <c r="DJ1298" s="1"/>
      <c r="DK1298" s="1"/>
      <c r="ED1298" s="1"/>
      <c r="EK1298" s="1"/>
      <c r="EL1298" s="1"/>
      <c r="EM1298" s="1"/>
      <c r="EN1298" s="1"/>
      <c r="EQ1298" s="1"/>
      <c r="ER1298" s="1"/>
      <c r="ES1298" s="1"/>
      <c r="EV1298" s="1"/>
      <c r="EW1298" s="1"/>
      <c r="EZ1298" s="1"/>
      <c r="GP1298" s="1"/>
      <c r="HH1298" s="1"/>
      <c r="HY1298" s="1"/>
      <c r="IE1298" s="1"/>
      <c r="IR1298" s="1"/>
      <c r="IS1298" s="1"/>
      <c r="IZ1298" s="1"/>
      <c r="JC1298" s="1"/>
      <c r="JF1298" s="1"/>
      <c r="JG1298" s="1"/>
      <c r="JH1298" s="1"/>
      <c r="JJ1298" s="1"/>
      <c r="JN1298" s="1"/>
      <c r="JP1298" s="1"/>
      <c r="JQ1298" s="1"/>
      <c r="JT1298" s="1"/>
      <c r="KV1298" s="1"/>
      <c r="KW1298" s="1"/>
      <c r="KY1298" s="1"/>
      <c r="KZ1298" s="1"/>
      <c r="LA1298" s="1"/>
      <c r="LB1298" s="1"/>
      <c r="LC1298" s="1"/>
      <c r="LD1298" s="1"/>
      <c r="LO1298" s="1"/>
      <c r="LP1298" s="1"/>
      <c r="LZ1298" s="1"/>
      <c r="MA1298" s="1"/>
    </row>
    <row r="1299" spans="4:339" ht="13" x14ac:dyDescent="0.15">
      <c r="D1299" s="12"/>
      <c r="E1299" s="12"/>
      <c r="I1299" s="12"/>
      <c r="J1299" s="13"/>
      <c r="BF1299" s="1"/>
      <c r="BG1299" s="1"/>
      <c r="BH1299" s="1"/>
      <c r="BI1299" s="1"/>
      <c r="BK1299" s="1"/>
      <c r="BL1299" s="1"/>
      <c r="BM1299" s="1"/>
      <c r="BN1299" s="1"/>
      <c r="BO1299" s="1"/>
      <c r="BP1299" s="1"/>
      <c r="BQ1299" s="1"/>
      <c r="BR1299" s="1"/>
      <c r="CD1299" s="1"/>
      <c r="CE1299" s="1"/>
      <c r="CF1299" s="1"/>
      <c r="CG1299" s="1"/>
      <c r="CM1299" s="2"/>
      <c r="CP1299" s="1"/>
      <c r="CQ1299" s="1"/>
      <c r="CR1299" s="1"/>
      <c r="CS1299" s="1"/>
      <c r="CT1299" s="1"/>
      <c r="CU1299" s="1"/>
      <c r="CV1299" s="1"/>
      <c r="CW1299" s="1"/>
      <c r="CX1299" s="1"/>
      <c r="CY1299" s="1"/>
      <c r="CZ1299" s="1"/>
      <c r="DA1299" s="1"/>
      <c r="DB1299" s="1"/>
      <c r="DC1299" s="1"/>
      <c r="DD1299" s="1"/>
      <c r="DE1299" s="1"/>
      <c r="DF1299" s="1"/>
      <c r="DG1299" s="1"/>
      <c r="DH1299" s="1"/>
      <c r="DI1299" s="1"/>
      <c r="DJ1299" s="1"/>
      <c r="DK1299" s="1"/>
      <c r="ED1299" s="1"/>
      <c r="EK1299" s="1"/>
      <c r="EL1299" s="1"/>
      <c r="EM1299" s="1"/>
      <c r="EN1299" s="1"/>
      <c r="EQ1299" s="1"/>
      <c r="ER1299" s="1"/>
      <c r="ES1299" s="1"/>
      <c r="EV1299" s="1"/>
      <c r="EW1299" s="1"/>
      <c r="EZ1299" s="1"/>
      <c r="GP1299" s="1"/>
      <c r="HH1299" s="1"/>
      <c r="HY1299" s="1"/>
      <c r="IE1299" s="1"/>
      <c r="IR1299" s="1"/>
      <c r="IS1299" s="1"/>
      <c r="IZ1299" s="1"/>
      <c r="JC1299" s="1"/>
      <c r="JF1299" s="1"/>
      <c r="JG1299" s="1"/>
      <c r="JH1299" s="1"/>
      <c r="JJ1299" s="1"/>
      <c r="JN1299" s="1"/>
      <c r="JP1299" s="1"/>
      <c r="JQ1299" s="1"/>
      <c r="JT1299" s="1"/>
      <c r="KV1299" s="1"/>
      <c r="KW1299" s="1"/>
      <c r="KY1299" s="1"/>
      <c r="KZ1299" s="1"/>
      <c r="LA1299" s="1"/>
      <c r="LB1299" s="1"/>
      <c r="LC1299" s="1"/>
      <c r="LD1299" s="1"/>
      <c r="LO1299" s="1"/>
      <c r="LP1299" s="1"/>
      <c r="LZ1299" s="1"/>
      <c r="MA1299" s="1"/>
    </row>
    <row r="1300" spans="4:339" ht="13" x14ac:dyDescent="0.15">
      <c r="D1300" s="12"/>
      <c r="E1300" s="12"/>
      <c r="I1300" s="12"/>
      <c r="J1300" s="13"/>
      <c r="BF1300" s="1"/>
      <c r="BG1300" s="1"/>
      <c r="BH1300" s="1"/>
      <c r="BI1300" s="1"/>
      <c r="BK1300" s="1"/>
      <c r="BL1300" s="1"/>
      <c r="BM1300" s="1"/>
      <c r="BN1300" s="1"/>
      <c r="BO1300" s="1"/>
      <c r="BP1300" s="1"/>
      <c r="BQ1300" s="1"/>
      <c r="BR1300" s="1"/>
      <c r="CD1300" s="1"/>
      <c r="CE1300" s="1"/>
      <c r="CF1300" s="1"/>
      <c r="CG1300" s="1"/>
      <c r="CM1300" s="2"/>
      <c r="CP1300" s="1"/>
      <c r="CQ1300" s="1"/>
      <c r="CR1300" s="1"/>
      <c r="CS1300" s="1"/>
      <c r="CT1300" s="1"/>
      <c r="CU1300" s="1"/>
      <c r="CV1300" s="1"/>
      <c r="CW1300" s="1"/>
      <c r="CX1300" s="1"/>
      <c r="CY1300" s="1"/>
      <c r="CZ1300" s="1"/>
      <c r="DA1300" s="1"/>
      <c r="DB1300" s="1"/>
      <c r="DC1300" s="1"/>
      <c r="DD1300" s="1"/>
      <c r="DE1300" s="1"/>
      <c r="DF1300" s="1"/>
      <c r="DG1300" s="1"/>
      <c r="DH1300" s="1"/>
      <c r="DI1300" s="1"/>
      <c r="DJ1300" s="1"/>
      <c r="DK1300" s="1"/>
      <c r="ED1300" s="1"/>
      <c r="EK1300" s="1"/>
      <c r="EL1300" s="1"/>
      <c r="EM1300" s="1"/>
      <c r="EN1300" s="1"/>
      <c r="EQ1300" s="1"/>
      <c r="ER1300" s="1"/>
      <c r="ES1300" s="1"/>
      <c r="EV1300" s="1"/>
      <c r="EW1300" s="1"/>
      <c r="EZ1300" s="1"/>
      <c r="GP1300" s="1"/>
      <c r="HH1300" s="1"/>
      <c r="HY1300" s="1"/>
      <c r="IE1300" s="1"/>
      <c r="IR1300" s="1"/>
      <c r="IS1300" s="1"/>
      <c r="IZ1300" s="1"/>
      <c r="JC1300" s="1"/>
      <c r="JF1300" s="1"/>
      <c r="JG1300" s="1"/>
      <c r="JH1300" s="1"/>
      <c r="JJ1300" s="1"/>
      <c r="JN1300" s="1"/>
      <c r="JP1300" s="1"/>
      <c r="JQ1300" s="1"/>
      <c r="JT1300" s="1"/>
      <c r="KV1300" s="1"/>
      <c r="KW1300" s="1"/>
      <c r="KY1300" s="1"/>
      <c r="KZ1300" s="1"/>
      <c r="LA1300" s="1"/>
      <c r="LB1300" s="1"/>
      <c r="LC1300" s="1"/>
      <c r="LD1300" s="1"/>
      <c r="LO1300" s="1"/>
      <c r="LP1300" s="1"/>
      <c r="LZ1300" s="1"/>
      <c r="MA1300" s="1"/>
    </row>
    <row r="1301" spans="4:339" ht="13" x14ac:dyDescent="0.15">
      <c r="D1301" s="12"/>
      <c r="E1301" s="12"/>
      <c r="I1301" s="12"/>
      <c r="J1301" s="13"/>
      <c r="BF1301" s="1"/>
      <c r="BG1301" s="1"/>
      <c r="BH1301" s="1"/>
      <c r="BI1301" s="1"/>
      <c r="BK1301" s="1"/>
      <c r="BL1301" s="1"/>
      <c r="BM1301" s="1"/>
      <c r="BN1301" s="1"/>
      <c r="BO1301" s="1"/>
      <c r="BP1301" s="1"/>
      <c r="BQ1301" s="1"/>
      <c r="BR1301" s="1"/>
      <c r="CD1301" s="1"/>
      <c r="CE1301" s="1"/>
      <c r="CF1301" s="1"/>
      <c r="CG1301" s="1"/>
      <c r="CM1301" s="2"/>
      <c r="CP1301" s="1"/>
      <c r="CQ1301" s="1"/>
      <c r="CR1301" s="1"/>
      <c r="CS1301" s="1"/>
      <c r="CT1301" s="1"/>
      <c r="CU1301" s="1"/>
      <c r="CV1301" s="1"/>
      <c r="CW1301" s="1"/>
      <c r="CX1301" s="1"/>
      <c r="CY1301" s="1"/>
      <c r="CZ1301" s="1"/>
      <c r="DA1301" s="1"/>
      <c r="DB1301" s="1"/>
      <c r="DC1301" s="1"/>
      <c r="DD1301" s="1"/>
      <c r="DE1301" s="1"/>
      <c r="DF1301" s="1"/>
      <c r="DG1301" s="1"/>
      <c r="DH1301" s="1"/>
      <c r="DI1301" s="1"/>
      <c r="DJ1301" s="1"/>
      <c r="DK1301" s="1"/>
      <c r="ED1301" s="1"/>
      <c r="EK1301" s="1"/>
      <c r="EL1301" s="1"/>
      <c r="EM1301" s="1"/>
      <c r="EN1301" s="1"/>
      <c r="EQ1301" s="1"/>
      <c r="ER1301" s="1"/>
      <c r="ES1301" s="1"/>
      <c r="EV1301" s="1"/>
      <c r="EW1301" s="1"/>
      <c r="EZ1301" s="1"/>
      <c r="GP1301" s="1"/>
      <c r="HH1301" s="1"/>
      <c r="HY1301" s="1"/>
      <c r="IE1301" s="1"/>
      <c r="IR1301" s="1"/>
      <c r="IS1301" s="1"/>
      <c r="IZ1301" s="1"/>
      <c r="JC1301" s="1"/>
      <c r="JF1301" s="1"/>
      <c r="JG1301" s="1"/>
      <c r="JH1301" s="1"/>
      <c r="JJ1301" s="1"/>
      <c r="JN1301" s="1"/>
      <c r="JP1301" s="1"/>
      <c r="JQ1301" s="1"/>
      <c r="JT1301" s="1"/>
      <c r="KV1301" s="1"/>
      <c r="KW1301" s="1"/>
      <c r="KY1301" s="1"/>
      <c r="KZ1301" s="1"/>
      <c r="LA1301" s="1"/>
      <c r="LB1301" s="1"/>
      <c r="LC1301" s="1"/>
      <c r="LD1301" s="1"/>
      <c r="LO1301" s="1"/>
      <c r="LP1301" s="1"/>
      <c r="LZ1301" s="1"/>
      <c r="MA1301" s="1"/>
    </row>
    <row r="1302" spans="4:339" ht="13" x14ac:dyDescent="0.15">
      <c r="D1302" s="12"/>
      <c r="E1302" s="12"/>
      <c r="I1302" s="12"/>
      <c r="J1302" s="13"/>
      <c r="BF1302" s="1"/>
      <c r="BG1302" s="1"/>
      <c r="BH1302" s="1"/>
      <c r="BI1302" s="1"/>
      <c r="BK1302" s="1"/>
      <c r="BL1302" s="1"/>
      <c r="BM1302" s="1"/>
      <c r="BN1302" s="1"/>
      <c r="BO1302" s="1"/>
      <c r="BP1302" s="1"/>
      <c r="BQ1302" s="1"/>
      <c r="BR1302" s="1"/>
      <c r="CD1302" s="1"/>
      <c r="CE1302" s="1"/>
      <c r="CF1302" s="1"/>
      <c r="CG1302" s="1"/>
      <c r="CM1302" s="2"/>
      <c r="CP1302" s="1"/>
      <c r="CQ1302" s="1"/>
      <c r="CR1302" s="1"/>
      <c r="CS1302" s="1"/>
      <c r="CT1302" s="1"/>
      <c r="CU1302" s="1"/>
      <c r="CV1302" s="1"/>
      <c r="CW1302" s="1"/>
      <c r="CX1302" s="1"/>
      <c r="CY1302" s="1"/>
      <c r="CZ1302" s="1"/>
      <c r="DA1302" s="1"/>
      <c r="DB1302" s="1"/>
      <c r="DC1302" s="1"/>
      <c r="DD1302" s="1"/>
      <c r="DE1302" s="1"/>
      <c r="DF1302" s="1"/>
      <c r="DG1302" s="1"/>
      <c r="DH1302" s="1"/>
      <c r="DI1302" s="1"/>
      <c r="DJ1302" s="1"/>
      <c r="DK1302" s="1"/>
      <c r="ED1302" s="1"/>
      <c r="EK1302" s="1"/>
      <c r="EL1302" s="1"/>
      <c r="EM1302" s="1"/>
      <c r="EN1302" s="1"/>
      <c r="EQ1302" s="1"/>
      <c r="ER1302" s="1"/>
      <c r="ES1302" s="1"/>
      <c r="EV1302" s="1"/>
      <c r="EW1302" s="1"/>
      <c r="EZ1302" s="1"/>
      <c r="GP1302" s="1"/>
      <c r="HH1302" s="1"/>
      <c r="HY1302" s="1"/>
      <c r="IE1302" s="1"/>
      <c r="IR1302" s="1"/>
      <c r="IS1302" s="1"/>
      <c r="IZ1302" s="1"/>
      <c r="JC1302" s="1"/>
      <c r="JF1302" s="1"/>
      <c r="JG1302" s="1"/>
      <c r="JH1302" s="1"/>
      <c r="JJ1302" s="1"/>
      <c r="JN1302" s="1"/>
      <c r="JP1302" s="1"/>
      <c r="JQ1302" s="1"/>
      <c r="JT1302" s="1"/>
      <c r="KV1302" s="1"/>
      <c r="KW1302" s="1"/>
      <c r="KY1302" s="1"/>
      <c r="KZ1302" s="1"/>
      <c r="LA1302" s="1"/>
      <c r="LB1302" s="1"/>
      <c r="LC1302" s="1"/>
      <c r="LD1302" s="1"/>
      <c r="LO1302" s="1"/>
      <c r="LP1302" s="1"/>
      <c r="LZ1302" s="1"/>
      <c r="MA1302" s="1"/>
    </row>
    <row r="1303" spans="4:339" ht="13" x14ac:dyDescent="0.15">
      <c r="D1303" s="12"/>
      <c r="E1303" s="12"/>
      <c r="I1303" s="12"/>
      <c r="J1303" s="13"/>
      <c r="BF1303" s="1"/>
      <c r="BG1303" s="1"/>
      <c r="BH1303" s="1"/>
      <c r="BI1303" s="1"/>
      <c r="BK1303" s="1"/>
      <c r="BL1303" s="1"/>
      <c r="BM1303" s="1"/>
      <c r="BN1303" s="1"/>
      <c r="BO1303" s="1"/>
      <c r="BP1303" s="1"/>
      <c r="BQ1303" s="1"/>
      <c r="BR1303" s="1"/>
      <c r="CD1303" s="1"/>
      <c r="CE1303" s="1"/>
      <c r="CF1303" s="1"/>
      <c r="CG1303" s="1"/>
      <c r="CM1303" s="2"/>
      <c r="CP1303" s="1"/>
      <c r="CQ1303" s="1"/>
      <c r="CR1303" s="1"/>
      <c r="CS1303" s="1"/>
      <c r="CT1303" s="1"/>
      <c r="CU1303" s="1"/>
      <c r="CV1303" s="1"/>
      <c r="CW1303" s="1"/>
      <c r="CX1303" s="1"/>
      <c r="CY1303" s="1"/>
      <c r="CZ1303" s="1"/>
      <c r="DA1303" s="1"/>
      <c r="DB1303" s="1"/>
      <c r="DC1303" s="1"/>
      <c r="DD1303" s="1"/>
      <c r="DE1303" s="1"/>
      <c r="DF1303" s="1"/>
      <c r="DG1303" s="1"/>
      <c r="DH1303" s="1"/>
      <c r="DI1303" s="1"/>
      <c r="DJ1303" s="1"/>
      <c r="DK1303" s="1"/>
      <c r="ED1303" s="1"/>
      <c r="EK1303" s="1"/>
      <c r="EL1303" s="1"/>
      <c r="EM1303" s="1"/>
      <c r="EN1303" s="1"/>
      <c r="EQ1303" s="1"/>
      <c r="ER1303" s="1"/>
      <c r="ES1303" s="1"/>
      <c r="EV1303" s="1"/>
      <c r="EW1303" s="1"/>
      <c r="EZ1303" s="1"/>
      <c r="GP1303" s="1"/>
      <c r="HH1303" s="1"/>
      <c r="HY1303" s="1"/>
      <c r="IE1303" s="1"/>
      <c r="IR1303" s="1"/>
      <c r="IS1303" s="1"/>
      <c r="IZ1303" s="1"/>
      <c r="JC1303" s="1"/>
      <c r="JF1303" s="1"/>
      <c r="JG1303" s="1"/>
      <c r="JH1303" s="1"/>
      <c r="JJ1303" s="1"/>
      <c r="JN1303" s="1"/>
      <c r="JP1303" s="1"/>
      <c r="JQ1303" s="1"/>
      <c r="JT1303" s="1"/>
      <c r="KV1303" s="1"/>
      <c r="KW1303" s="1"/>
      <c r="KY1303" s="1"/>
      <c r="KZ1303" s="1"/>
      <c r="LA1303" s="1"/>
      <c r="LB1303" s="1"/>
      <c r="LC1303" s="1"/>
      <c r="LD1303" s="1"/>
      <c r="LO1303" s="1"/>
      <c r="LP1303" s="1"/>
      <c r="LZ1303" s="1"/>
      <c r="MA1303" s="1"/>
    </row>
    <row r="1304" spans="4:339" ht="13" x14ac:dyDescent="0.15">
      <c r="D1304" s="12"/>
      <c r="E1304" s="12"/>
      <c r="I1304" s="12"/>
      <c r="J1304" s="13"/>
      <c r="BF1304" s="1"/>
      <c r="BG1304" s="1"/>
      <c r="BH1304" s="1"/>
      <c r="BI1304" s="1"/>
      <c r="BK1304" s="1"/>
      <c r="BL1304" s="1"/>
      <c r="BM1304" s="1"/>
      <c r="BN1304" s="1"/>
      <c r="BO1304" s="1"/>
      <c r="BP1304" s="1"/>
      <c r="BQ1304" s="1"/>
      <c r="BR1304" s="1"/>
      <c r="CD1304" s="1"/>
      <c r="CE1304" s="1"/>
      <c r="CF1304" s="1"/>
      <c r="CG1304" s="1"/>
      <c r="CM1304" s="2"/>
      <c r="CP1304" s="1"/>
      <c r="CQ1304" s="1"/>
      <c r="CR1304" s="1"/>
      <c r="CS1304" s="1"/>
      <c r="CT1304" s="1"/>
      <c r="CU1304" s="1"/>
      <c r="CV1304" s="1"/>
      <c r="CW1304" s="1"/>
      <c r="CX1304" s="1"/>
      <c r="CY1304" s="1"/>
      <c r="CZ1304" s="1"/>
      <c r="DA1304" s="1"/>
      <c r="DB1304" s="1"/>
      <c r="DC1304" s="1"/>
      <c r="DD1304" s="1"/>
      <c r="DE1304" s="1"/>
      <c r="DF1304" s="1"/>
      <c r="DG1304" s="1"/>
      <c r="DH1304" s="1"/>
      <c r="DI1304" s="1"/>
      <c r="DJ1304" s="1"/>
      <c r="DK1304" s="1"/>
      <c r="ED1304" s="1"/>
      <c r="EK1304" s="1"/>
      <c r="EL1304" s="1"/>
      <c r="EM1304" s="1"/>
      <c r="EN1304" s="1"/>
      <c r="EQ1304" s="1"/>
      <c r="ER1304" s="1"/>
      <c r="ES1304" s="1"/>
      <c r="EV1304" s="1"/>
      <c r="EW1304" s="1"/>
      <c r="EZ1304" s="1"/>
      <c r="GP1304" s="1"/>
      <c r="HH1304" s="1"/>
      <c r="HY1304" s="1"/>
      <c r="IE1304" s="1"/>
      <c r="IR1304" s="1"/>
      <c r="IS1304" s="1"/>
      <c r="IZ1304" s="1"/>
      <c r="JC1304" s="1"/>
      <c r="JF1304" s="1"/>
      <c r="JG1304" s="1"/>
      <c r="JH1304" s="1"/>
      <c r="JJ1304" s="1"/>
      <c r="JN1304" s="1"/>
      <c r="JP1304" s="1"/>
      <c r="JQ1304" s="1"/>
      <c r="JT1304" s="1"/>
      <c r="KV1304" s="1"/>
      <c r="KW1304" s="1"/>
      <c r="KY1304" s="1"/>
      <c r="KZ1304" s="1"/>
      <c r="LA1304" s="1"/>
      <c r="LB1304" s="1"/>
      <c r="LC1304" s="1"/>
      <c r="LD1304" s="1"/>
      <c r="LO1304" s="1"/>
      <c r="LP1304" s="1"/>
      <c r="LZ1304" s="1"/>
      <c r="MA1304" s="1"/>
    </row>
    <row r="1305" spans="4:339" ht="13" x14ac:dyDescent="0.15">
      <c r="D1305" s="12"/>
      <c r="E1305" s="12"/>
      <c r="I1305" s="12"/>
      <c r="J1305" s="13"/>
      <c r="BF1305" s="1"/>
      <c r="BG1305" s="1"/>
      <c r="BH1305" s="1"/>
      <c r="BI1305" s="1"/>
      <c r="BK1305" s="1"/>
      <c r="BL1305" s="1"/>
      <c r="BM1305" s="1"/>
      <c r="BN1305" s="1"/>
      <c r="BO1305" s="1"/>
      <c r="BP1305" s="1"/>
      <c r="BQ1305" s="1"/>
      <c r="BR1305" s="1"/>
      <c r="CD1305" s="1"/>
      <c r="CE1305" s="1"/>
      <c r="CF1305" s="1"/>
      <c r="CG1305" s="1"/>
      <c r="CM1305" s="2"/>
      <c r="CP1305" s="1"/>
      <c r="CQ1305" s="1"/>
      <c r="CR1305" s="1"/>
      <c r="CS1305" s="1"/>
      <c r="CT1305" s="1"/>
      <c r="CU1305" s="1"/>
      <c r="CV1305" s="1"/>
      <c r="CW1305" s="1"/>
      <c r="CX1305" s="1"/>
      <c r="CY1305" s="1"/>
      <c r="CZ1305" s="1"/>
      <c r="DA1305" s="1"/>
      <c r="DB1305" s="1"/>
      <c r="DC1305" s="1"/>
      <c r="DD1305" s="1"/>
      <c r="DE1305" s="1"/>
      <c r="DF1305" s="1"/>
      <c r="DG1305" s="1"/>
      <c r="DH1305" s="1"/>
      <c r="DI1305" s="1"/>
      <c r="DJ1305" s="1"/>
      <c r="DK1305" s="1"/>
      <c r="ED1305" s="1"/>
      <c r="EK1305" s="1"/>
      <c r="EL1305" s="1"/>
      <c r="EM1305" s="1"/>
      <c r="EN1305" s="1"/>
      <c r="EQ1305" s="1"/>
      <c r="ER1305" s="1"/>
      <c r="ES1305" s="1"/>
      <c r="EV1305" s="1"/>
      <c r="EW1305" s="1"/>
      <c r="EZ1305" s="1"/>
      <c r="GP1305" s="1"/>
      <c r="HH1305" s="1"/>
      <c r="HY1305" s="1"/>
      <c r="IE1305" s="1"/>
      <c r="IR1305" s="1"/>
      <c r="IS1305" s="1"/>
      <c r="IZ1305" s="1"/>
      <c r="JC1305" s="1"/>
      <c r="JF1305" s="1"/>
      <c r="JG1305" s="1"/>
      <c r="JH1305" s="1"/>
      <c r="JJ1305" s="1"/>
      <c r="JN1305" s="1"/>
      <c r="JP1305" s="1"/>
      <c r="JQ1305" s="1"/>
      <c r="JT1305" s="1"/>
      <c r="KV1305" s="1"/>
      <c r="KW1305" s="1"/>
      <c r="KY1305" s="1"/>
      <c r="KZ1305" s="1"/>
      <c r="LA1305" s="1"/>
      <c r="LB1305" s="1"/>
      <c r="LC1305" s="1"/>
      <c r="LD1305" s="1"/>
      <c r="LO1305" s="1"/>
      <c r="LP1305" s="1"/>
      <c r="LZ1305" s="1"/>
      <c r="MA1305" s="1"/>
    </row>
    <row r="1306" spans="4:339" ht="13" x14ac:dyDescent="0.15">
      <c r="D1306" s="12"/>
      <c r="E1306" s="12"/>
      <c r="I1306" s="12"/>
      <c r="J1306" s="13"/>
      <c r="BF1306" s="1"/>
      <c r="BG1306" s="1"/>
      <c r="BH1306" s="1"/>
      <c r="BI1306" s="1"/>
      <c r="BK1306" s="1"/>
      <c r="BL1306" s="1"/>
      <c r="BM1306" s="1"/>
      <c r="BN1306" s="1"/>
      <c r="BO1306" s="1"/>
      <c r="BP1306" s="1"/>
      <c r="BQ1306" s="1"/>
      <c r="BR1306" s="1"/>
      <c r="CD1306" s="1"/>
      <c r="CE1306" s="1"/>
      <c r="CF1306" s="1"/>
      <c r="CG1306" s="1"/>
      <c r="CM1306" s="2"/>
      <c r="CP1306" s="1"/>
      <c r="CQ1306" s="1"/>
      <c r="CR1306" s="1"/>
      <c r="CS1306" s="1"/>
      <c r="CT1306" s="1"/>
      <c r="CU1306" s="1"/>
      <c r="CV1306" s="1"/>
      <c r="CW1306" s="1"/>
      <c r="CX1306" s="1"/>
      <c r="CY1306" s="1"/>
      <c r="CZ1306" s="1"/>
      <c r="DA1306" s="1"/>
      <c r="DB1306" s="1"/>
      <c r="DC1306" s="1"/>
      <c r="DD1306" s="1"/>
      <c r="DE1306" s="1"/>
      <c r="DF1306" s="1"/>
      <c r="DG1306" s="1"/>
      <c r="DH1306" s="1"/>
      <c r="DI1306" s="1"/>
      <c r="DJ1306" s="1"/>
      <c r="DK1306" s="1"/>
      <c r="ED1306" s="1"/>
      <c r="EK1306" s="1"/>
      <c r="EL1306" s="1"/>
      <c r="EM1306" s="1"/>
      <c r="EN1306" s="1"/>
      <c r="EQ1306" s="1"/>
      <c r="ER1306" s="1"/>
      <c r="ES1306" s="1"/>
      <c r="EV1306" s="1"/>
      <c r="EW1306" s="1"/>
      <c r="EZ1306" s="1"/>
      <c r="GP1306" s="1"/>
      <c r="HH1306" s="1"/>
      <c r="HY1306" s="1"/>
      <c r="IE1306" s="1"/>
      <c r="IR1306" s="1"/>
      <c r="IS1306" s="1"/>
      <c r="IZ1306" s="1"/>
      <c r="JC1306" s="1"/>
      <c r="JF1306" s="1"/>
      <c r="JG1306" s="1"/>
      <c r="JH1306" s="1"/>
      <c r="JJ1306" s="1"/>
      <c r="JN1306" s="1"/>
      <c r="JP1306" s="1"/>
      <c r="JQ1306" s="1"/>
      <c r="JT1306" s="1"/>
      <c r="KV1306" s="1"/>
      <c r="KW1306" s="1"/>
      <c r="KY1306" s="1"/>
      <c r="KZ1306" s="1"/>
      <c r="LA1306" s="1"/>
      <c r="LB1306" s="1"/>
      <c r="LC1306" s="1"/>
      <c r="LD1306" s="1"/>
      <c r="LO1306" s="1"/>
      <c r="LP1306" s="1"/>
      <c r="LZ1306" s="1"/>
      <c r="MA1306" s="1"/>
    </row>
    <row r="1307" spans="4:339" ht="13" x14ac:dyDescent="0.15">
      <c r="D1307" s="12"/>
      <c r="E1307" s="12"/>
      <c r="I1307" s="12"/>
      <c r="J1307" s="13"/>
      <c r="BF1307" s="1"/>
      <c r="BG1307" s="1"/>
      <c r="BH1307" s="1"/>
      <c r="BI1307" s="1"/>
      <c r="BK1307" s="1"/>
      <c r="BL1307" s="1"/>
      <c r="BM1307" s="1"/>
      <c r="BN1307" s="1"/>
      <c r="BO1307" s="1"/>
      <c r="BP1307" s="1"/>
      <c r="BQ1307" s="1"/>
      <c r="BR1307" s="1"/>
      <c r="CD1307" s="1"/>
      <c r="CE1307" s="1"/>
      <c r="CF1307" s="1"/>
      <c r="CG1307" s="1"/>
      <c r="CM1307" s="2"/>
      <c r="CP1307" s="1"/>
      <c r="CQ1307" s="1"/>
      <c r="CR1307" s="1"/>
      <c r="CS1307" s="1"/>
      <c r="CT1307" s="1"/>
      <c r="CU1307" s="1"/>
      <c r="CV1307" s="1"/>
      <c r="CW1307" s="1"/>
      <c r="CX1307" s="1"/>
      <c r="CY1307" s="1"/>
      <c r="CZ1307" s="1"/>
      <c r="DA1307" s="1"/>
      <c r="DB1307" s="1"/>
      <c r="DC1307" s="1"/>
      <c r="DD1307" s="1"/>
      <c r="DE1307" s="1"/>
      <c r="DF1307" s="1"/>
      <c r="DG1307" s="1"/>
      <c r="DH1307" s="1"/>
      <c r="DI1307" s="1"/>
      <c r="DJ1307" s="1"/>
      <c r="DK1307" s="1"/>
      <c r="ED1307" s="1"/>
      <c r="EK1307" s="1"/>
      <c r="EL1307" s="1"/>
      <c r="EM1307" s="1"/>
      <c r="EN1307" s="1"/>
      <c r="EQ1307" s="1"/>
      <c r="ER1307" s="1"/>
      <c r="ES1307" s="1"/>
      <c r="EV1307" s="1"/>
      <c r="EW1307" s="1"/>
      <c r="EZ1307" s="1"/>
      <c r="GP1307" s="1"/>
      <c r="HH1307" s="1"/>
      <c r="HY1307" s="1"/>
      <c r="IE1307" s="1"/>
      <c r="IR1307" s="1"/>
      <c r="IS1307" s="1"/>
      <c r="IZ1307" s="1"/>
      <c r="JC1307" s="1"/>
      <c r="JF1307" s="1"/>
      <c r="JG1307" s="1"/>
      <c r="JH1307" s="1"/>
      <c r="JJ1307" s="1"/>
      <c r="JN1307" s="1"/>
      <c r="JP1307" s="1"/>
      <c r="JQ1307" s="1"/>
      <c r="JT1307" s="1"/>
      <c r="KV1307" s="1"/>
      <c r="KW1307" s="1"/>
      <c r="KY1307" s="1"/>
      <c r="KZ1307" s="1"/>
      <c r="LA1307" s="1"/>
      <c r="LB1307" s="1"/>
      <c r="LC1307" s="1"/>
      <c r="LD1307" s="1"/>
      <c r="LO1307" s="1"/>
      <c r="LP1307" s="1"/>
      <c r="LZ1307" s="1"/>
      <c r="MA1307" s="1"/>
    </row>
    <row r="1308" spans="4:339" ht="13" x14ac:dyDescent="0.15">
      <c r="D1308" s="12"/>
      <c r="E1308" s="12"/>
      <c r="I1308" s="12"/>
      <c r="J1308" s="13"/>
      <c r="BF1308" s="1"/>
      <c r="BG1308" s="1"/>
      <c r="BH1308" s="1"/>
      <c r="BI1308" s="1"/>
      <c r="BK1308" s="1"/>
      <c r="BL1308" s="1"/>
      <c r="BM1308" s="1"/>
      <c r="BN1308" s="1"/>
      <c r="BO1308" s="1"/>
      <c r="BP1308" s="1"/>
      <c r="BQ1308" s="1"/>
      <c r="BR1308" s="1"/>
      <c r="BX1308" s="1"/>
      <c r="CD1308" s="1"/>
      <c r="CE1308" s="1"/>
      <c r="CF1308" s="1"/>
      <c r="CJ1308" s="1"/>
      <c r="CM1308" s="2"/>
      <c r="CP1308" s="1"/>
      <c r="CQ1308" s="1"/>
      <c r="CX1308" s="1"/>
      <c r="CY1308" s="1"/>
      <c r="CZ1308" s="1"/>
      <c r="DA1308" s="1"/>
      <c r="DB1308" s="1"/>
      <c r="DC1308" s="1"/>
      <c r="DD1308" s="1"/>
      <c r="DE1308" s="1"/>
      <c r="DF1308" s="1"/>
      <c r="DG1308" s="1"/>
      <c r="DH1308" s="1"/>
      <c r="DI1308" s="1"/>
      <c r="DJ1308" s="1"/>
      <c r="DK1308" s="1"/>
      <c r="DM1308" s="1"/>
      <c r="DQ1308" s="1"/>
      <c r="DR1308" s="1"/>
      <c r="DY1308" s="1"/>
      <c r="DZ1308" s="1"/>
      <c r="ED1308" s="1"/>
      <c r="EK1308" s="1"/>
      <c r="EL1308" s="1"/>
      <c r="EM1308" s="1"/>
      <c r="EN1308" s="1"/>
      <c r="EQ1308" s="1"/>
      <c r="ER1308" s="1"/>
      <c r="ES1308" s="1"/>
      <c r="EV1308" s="1"/>
      <c r="EW1308" s="1"/>
      <c r="EZ1308" s="1"/>
      <c r="GP1308" s="1"/>
      <c r="HH1308" s="1"/>
      <c r="HY1308" s="1"/>
      <c r="IC1308" s="1"/>
      <c r="ID1308" s="1"/>
      <c r="IE1308" s="1"/>
      <c r="IR1308" s="1"/>
      <c r="IS1308" s="1"/>
      <c r="IY1308" s="1"/>
      <c r="IZ1308" s="1"/>
      <c r="JC1308" s="1"/>
      <c r="JF1308" s="1"/>
      <c r="JG1308" s="1"/>
      <c r="JJ1308" s="1"/>
      <c r="JN1308" s="1"/>
      <c r="JO1308" s="1"/>
      <c r="JP1308" s="1"/>
      <c r="JQ1308" s="1"/>
      <c r="KY1308" s="1"/>
      <c r="KZ1308" s="1"/>
      <c r="LA1308" s="1"/>
      <c r="LB1308" s="1"/>
      <c r="LC1308" s="1"/>
      <c r="LD1308" s="1"/>
      <c r="LO1308" s="1"/>
      <c r="LP1308" s="1"/>
      <c r="LZ1308" s="1"/>
      <c r="MA1308" s="1"/>
    </row>
    <row r="1309" spans="4:339" ht="13" x14ac:dyDescent="0.15">
      <c r="D1309" s="12"/>
      <c r="E1309" s="12"/>
      <c r="I1309" s="12"/>
      <c r="J1309" s="13"/>
      <c r="BF1309" s="1"/>
      <c r="BG1309" s="1"/>
      <c r="BH1309" s="1"/>
      <c r="BI1309" s="1"/>
      <c r="BK1309" s="1"/>
      <c r="BL1309" s="1"/>
      <c r="BM1309" s="1"/>
      <c r="BN1309" s="1"/>
      <c r="BO1309" s="1"/>
      <c r="BP1309" s="1"/>
      <c r="BQ1309" s="1"/>
      <c r="BR1309" s="1"/>
      <c r="BX1309" s="1"/>
      <c r="CD1309" s="1"/>
      <c r="CE1309" s="1"/>
      <c r="CF1309" s="1"/>
      <c r="CJ1309" s="1"/>
      <c r="CM1309" s="2"/>
      <c r="CP1309" s="1"/>
      <c r="CQ1309" s="1"/>
      <c r="CX1309" s="1"/>
      <c r="CY1309" s="1"/>
      <c r="CZ1309" s="1"/>
      <c r="DA1309" s="1"/>
      <c r="DB1309" s="1"/>
      <c r="DC1309" s="1"/>
      <c r="DD1309" s="1"/>
      <c r="DE1309" s="1"/>
      <c r="DF1309" s="1"/>
      <c r="DG1309" s="1"/>
      <c r="DH1309" s="1"/>
      <c r="DI1309" s="1"/>
      <c r="DJ1309" s="1"/>
      <c r="DK1309" s="1"/>
      <c r="DM1309" s="1"/>
      <c r="DQ1309" s="1"/>
      <c r="DR1309" s="1"/>
      <c r="DY1309" s="1"/>
      <c r="DZ1309" s="1"/>
      <c r="ED1309" s="1"/>
      <c r="EK1309" s="1"/>
      <c r="EL1309" s="1"/>
      <c r="EM1309" s="1"/>
      <c r="EN1309" s="1"/>
      <c r="EQ1309" s="1"/>
      <c r="ER1309" s="1"/>
      <c r="ES1309" s="1"/>
      <c r="EV1309" s="1"/>
      <c r="EW1309" s="1"/>
      <c r="EZ1309" s="1"/>
      <c r="GP1309" s="1"/>
      <c r="HH1309" s="1"/>
      <c r="HY1309" s="1"/>
      <c r="IC1309" s="1"/>
      <c r="ID1309" s="1"/>
      <c r="IE1309" s="1"/>
      <c r="IR1309" s="1"/>
      <c r="IS1309" s="1"/>
      <c r="IY1309" s="1"/>
      <c r="IZ1309" s="1"/>
      <c r="JC1309" s="1"/>
      <c r="JF1309" s="1"/>
      <c r="JG1309" s="1"/>
      <c r="JJ1309" s="1"/>
      <c r="JN1309" s="1"/>
      <c r="JO1309" s="1"/>
      <c r="JP1309" s="1"/>
      <c r="JQ1309" s="1"/>
      <c r="KY1309" s="1"/>
      <c r="KZ1309" s="1"/>
      <c r="LA1309" s="1"/>
      <c r="LB1309" s="1"/>
      <c r="LC1309" s="1"/>
      <c r="LD1309" s="1"/>
      <c r="LO1309" s="1"/>
      <c r="LP1309" s="1"/>
      <c r="LZ1309" s="1"/>
      <c r="MA1309" s="1"/>
    </row>
    <row r="1310" spans="4:339" ht="13" x14ac:dyDescent="0.15">
      <c r="D1310" s="12"/>
      <c r="E1310" s="12"/>
      <c r="I1310" s="12"/>
      <c r="J1310" s="13"/>
      <c r="BF1310" s="1"/>
      <c r="BG1310" s="1"/>
      <c r="BH1310" s="1"/>
      <c r="BI1310" s="1"/>
      <c r="BK1310" s="1"/>
      <c r="BL1310" s="1"/>
      <c r="BM1310" s="1"/>
      <c r="BN1310" s="1"/>
      <c r="BO1310" s="1"/>
      <c r="BP1310" s="1"/>
      <c r="BQ1310" s="1"/>
      <c r="BR1310" s="1"/>
      <c r="BX1310" s="1"/>
      <c r="CD1310" s="1"/>
      <c r="CE1310" s="1"/>
      <c r="CF1310" s="1"/>
      <c r="CJ1310" s="1"/>
      <c r="CM1310" s="2"/>
      <c r="CP1310" s="1"/>
      <c r="CQ1310" s="1"/>
      <c r="CX1310" s="1"/>
      <c r="CY1310" s="1"/>
      <c r="CZ1310" s="1"/>
      <c r="DA1310" s="1"/>
      <c r="DB1310" s="1"/>
      <c r="DC1310" s="1"/>
      <c r="DD1310" s="1"/>
      <c r="DE1310" s="1"/>
      <c r="DF1310" s="1"/>
      <c r="DG1310" s="1"/>
      <c r="DH1310" s="1"/>
      <c r="DI1310" s="1"/>
      <c r="DJ1310" s="1"/>
      <c r="DK1310" s="1"/>
      <c r="DM1310" s="1"/>
      <c r="DQ1310" s="1"/>
      <c r="DR1310" s="1"/>
      <c r="DY1310" s="1"/>
      <c r="DZ1310" s="1"/>
      <c r="ED1310" s="1"/>
      <c r="EK1310" s="1"/>
      <c r="EL1310" s="1"/>
      <c r="EM1310" s="1"/>
      <c r="EN1310" s="1"/>
      <c r="EQ1310" s="1"/>
      <c r="ER1310" s="1"/>
      <c r="ES1310" s="1"/>
      <c r="EV1310" s="1"/>
      <c r="EW1310" s="1"/>
      <c r="EZ1310" s="1"/>
      <c r="GP1310" s="1"/>
      <c r="HH1310" s="1"/>
      <c r="HY1310" s="1"/>
      <c r="IC1310" s="1"/>
      <c r="ID1310" s="1"/>
      <c r="IE1310" s="1"/>
      <c r="IR1310" s="1"/>
      <c r="IS1310" s="1"/>
      <c r="IY1310" s="1"/>
      <c r="IZ1310" s="1"/>
      <c r="JC1310" s="1"/>
      <c r="JF1310" s="1"/>
      <c r="JG1310" s="1"/>
      <c r="JJ1310" s="1"/>
      <c r="JN1310" s="1"/>
      <c r="JO1310" s="1"/>
      <c r="JP1310" s="1"/>
      <c r="JQ1310" s="1"/>
      <c r="KY1310" s="1"/>
      <c r="KZ1310" s="1"/>
      <c r="LA1310" s="1"/>
      <c r="LB1310" s="1"/>
      <c r="LC1310" s="1"/>
      <c r="LD1310" s="1"/>
      <c r="LO1310" s="1"/>
      <c r="LP1310" s="1"/>
      <c r="LZ1310" s="1"/>
      <c r="MA1310" s="1"/>
    </row>
    <row r="1311" spans="4:339" ht="13" x14ac:dyDescent="0.15">
      <c r="D1311" s="12"/>
      <c r="E1311" s="12"/>
      <c r="I1311" s="12"/>
      <c r="J1311" s="13"/>
      <c r="BF1311" s="1"/>
      <c r="BG1311" s="1"/>
      <c r="BH1311" s="1"/>
      <c r="BI1311" s="1"/>
      <c r="BK1311" s="1"/>
      <c r="BL1311" s="1"/>
      <c r="BM1311" s="1"/>
      <c r="BN1311" s="1"/>
      <c r="BO1311" s="1"/>
      <c r="BP1311" s="1"/>
      <c r="BQ1311" s="1"/>
      <c r="BR1311" s="1"/>
      <c r="BX1311" s="1"/>
      <c r="CD1311" s="1"/>
      <c r="CE1311" s="1"/>
      <c r="CF1311" s="1"/>
      <c r="CJ1311" s="1"/>
      <c r="CM1311" s="2"/>
      <c r="CP1311" s="1"/>
      <c r="CQ1311" s="1"/>
      <c r="CX1311" s="1"/>
      <c r="CY1311" s="1"/>
      <c r="CZ1311" s="1"/>
      <c r="DA1311" s="1"/>
      <c r="DB1311" s="1"/>
      <c r="DC1311" s="1"/>
      <c r="DD1311" s="1"/>
      <c r="DE1311" s="1"/>
      <c r="DF1311" s="1"/>
      <c r="DG1311" s="1"/>
      <c r="DH1311" s="1"/>
      <c r="DI1311" s="1"/>
      <c r="DJ1311" s="1"/>
      <c r="DK1311" s="1"/>
      <c r="DM1311" s="1"/>
      <c r="DQ1311" s="1"/>
      <c r="DR1311" s="1"/>
      <c r="DY1311" s="1"/>
      <c r="DZ1311" s="1"/>
      <c r="ED1311" s="1"/>
      <c r="EK1311" s="1"/>
      <c r="EL1311" s="1"/>
      <c r="EM1311" s="1"/>
      <c r="EN1311" s="1"/>
      <c r="EQ1311" s="1"/>
      <c r="ER1311" s="1"/>
      <c r="ES1311" s="1"/>
      <c r="EV1311" s="1"/>
      <c r="EW1311" s="1"/>
      <c r="EZ1311" s="1"/>
      <c r="GP1311" s="1"/>
      <c r="HH1311" s="1"/>
      <c r="HY1311" s="1"/>
      <c r="IC1311" s="1"/>
      <c r="ID1311" s="1"/>
      <c r="IE1311" s="1"/>
      <c r="IR1311" s="1"/>
      <c r="IS1311" s="1"/>
      <c r="IY1311" s="1"/>
      <c r="IZ1311" s="1"/>
      <c r="JC1311" s="1"/>
      <c r="JF1311" s="1"/>
      <c r="JG1311" s="1"/>
      <c r="JJ1311" s="1"/>
      <c r="JN1311" s="1"/>
      <c r="JO1311" s="1"/>
      <c r="JP1311" s="1"/>
      <c r="JQ1311" s="1"/>
      <c r="KY1311" s="1"/>
      <c r="KZ1311" s="1"/>
      <c r="LA1311" s="1"/>
      <c r="LB1311" s="1"/>
      <c r="LC1311" s="1"/>
      <c r="LD1311" s="1"/>
      <c r="LO1311" s="1"/>
      <c r="LP1311" s="1"/>
      <c r="LZ1311" s="1"/>
      <c r="MA1311" s="1"/>
    </row>
    <row r="1312" spans="4:339" ht="13" x14ac:dyDescent="0.15">
      <c r="D1312" s="12"/>
      <c r="E1312" s="12"/>
      <c r="I1312" s="12"/>
      <c r="J1312" s="13"/>
      <c r="BF1312" s="1"/>
      <c r="BG1312" s="1"/>
      <c r="BH1312" s="1"/>
      <c r="BI1312" s="1"/>
      <c r="BK1312" s="1"/>
      <c r="BL1312" s="1"/>
      <c r="BM1312" s="1"/>
      <c r="BN1312" s="1"/>
      <c r="BO1312" s="1"/>
      <c r="BP1312" s="1"/>
      <c r="BQ1312" s="1"/>
      <c r="BR1312" s="1"/>
      <c r="BX1312" s="1"/>
      <c r="CD1312" s="1"/>
      <c r="CE1312" s="1"/>
      <c r="CF1312" s="1"/>
      <c r="CJ1312" s="1"/>
      <c r="CM1312" s="2"/>
      <c r="CP1312" s="1"/>
      <c r="CQ1312" s="1"/>
      <c r="CX1312" s="1"/>
      <c r="CY1312" s="1"/>
      <c r="CZ1312" s="1"/>
      <c r="DA1312" s="1"/>
      <c r="DB1312" s="1"/>
      <c r="DC1312" s="1"/>
      <c r="DD1312" s="1"/>
      <c r="DE1312" s="1"/>
      <c r="DF1312" s="1"/>
      <c r="DG1312" s="1"/>
      <c r="DH1312" s="1"/>
      <c r="DI1312" s="1"/>
      <c r="DJ1312" s="1"/>
      <c r="DK1312" s="1"/>
      <c r="DM1312" s="1"/>
      <c r="DQ1312" s="1"/>
      <c r="DR1312" s="1"/>
      <c r="DY1312" s="1"/>
      <c r="DZ1312" s="1"/>
      <c r="ED1312" s="1"/>
      <c r="EK1312" s="1"/>
      <c r="EL1312" s="1"/>
      <c r="EM1312" s="1"/>
      <c r="EN1312" s="1"/>
      <c r="EQ1312" s="1"/>
      <c r="ER1312" s="1"/>
      <c r="ES1312" s="1"/>
      <c r="EV1312" s="1"/>
      <c r="EW1312" s="1"/>
      <c r="EZ1312" s="1"/>
      <c r="GP1312" s="1"/>
      <c r="HH1312" s="1"/>
      <c r="HY1312" s="1"/>
      <c r="IC1312" s="1"/>
      <c r="ID1312" s="1"/>
      <c r="IE1312" s="1"/>
      <c r="IR1312" s="1"/>
      <c r="IS1312" s="1"/>
      <c r="IY1312" s="1"/>
      <c r="IZ1312" s="1"/>
      <c r="JC1312" s="1"/>
      <c r="JF1312" s="1"/>
      <c r="JG1312" s="1"/>
      <c r="JJ1312" s="1"/>
      <c r="JN1312" s="1"/>
      <c r="JO1312" s="1"/>
      <c r="JP1312" s="1"/>
      <c r="JQ1312" s="1"/>
      <c r="KY1312" s="1"/>
      <c r="KZ1312" s="1"/>
      <c r="LA1312" s="1"/>
      <c r="LB1312" s="1"/>
      <c r="LC1312" s="1"/>
      <c r="LD1312" s="1"/>
      <c r="LO1312" s="1"/>
      <c r="LP1312" s="1"/>
      <c r="LZ1312" s="1"/>
      <c r="MA1312" s="1"/>
    </row>
    <row r="1313" spans="4:339" ht="13" x14ac:dyDescent="0.15">
      <c r="D1313" s="12"/>
      <c r="E1313" s="12"/>
      <c r="I1313" s="12"/>
      <c r="J1313" s="13"/>
      <c r="BF1313" s="1"/>
      <c r="BG1313" s="1"/>
      <c r="BH1313" s="1"/>
      <c r="BI1313" s="1"/>
      <c r="BK1313" s="1"/>
      <c r="BL1313" s="1"/>
      <c r="BM1313" s="1"/>
      <c r="BN1313" s="1"/>
      <c r="BO1313" s="1"/>
      <c r="BP1313" s="1"/>
      <c r="BQ1313" s="1"/>
      <c r="BR1313" s="1"/>
      <c r="BX1313" s="1"/>
      <c r="CD1313" s="1"/>
      <c r="CE1313" s="1"/>
      <c r="CF1313" s="1"/>
      <c r="CJ1313" s="1"/>
      <c r="CM1313" s="2"/>
      <c r="CP1313" s="1"/>
      <c r="CQ1313" s="1"/>
      <c r="CX1313" s="1"/>
      <c r="CY1313" s="1"/>
      <c r="CZ1313" s="1"/>
      <c r="DA1313" s="1"/>
      <c r="DB1313" s="1"/>
      <c r="DC1313" s="1"/>
      <c r="DD1313" s="1"/>
      <c r="DE1313" s="1"/>
      <c r="DF1313" s="1"/>
      <c r="DG1313" s="1"/>
      <c r="DH1313" s="1"/>
      <c r="DI1313" s="1"/>
      <c r="DJ1313" s="1"/>
      <c r="DK1313" s="1"/>
      <c r="DM1313" s="1"/>
      <c r="DQ1313" s="1"/>
      <c r="DR1313" s="1"/>
      <c r="DY1313" s="1"/>
      <c r="DZ1313" s="1"/>
      <c r="ED1313" s="1"/>
      <c r="EK1313" s="1"/>
      <c r="EL1313" s="1"/>
      <c r="EM1313" s="1"/>
      <c r="EN1313" s="1"/>
      <c r="EQ1313" s="1"/>
      <c r="ER1313" s="1"/>
      <c r="ES1313" s="1"/>
      <c r="EV1313" s="1"/>
      <c r="EW1313" s="1"/>
      <c r="EZ1313" s="1"/>
      <c r="GP1313" s="1"/>
      <c r="HH1313" s="1"/>
      <c r="HY1313" s="1"/>
      <c r="IC1313" s="1"/>
      <c r="ID1313" s="1"/>
      <c r="IE1313" s="1"/>
      <c r="IR1313" s="1"/>
      <c r="IS1313" s="1"/>
      <c r="IY1313" s="1"/>
      <c r="IZ1313" s="1"/>
      <c r="JC1313" s="1"/>
      <c r="JF1313" s="1"/>
      <c r="JG1313" s="1"/>
      <c r="JJ1313" s="1"/>
      <c r="JN1313" s="1"/>
      <c r="JO1313" s="1"/>
      <c r="JP1313" s="1"/>
      <c r="JQ1313" s="1"/>
      <c r="KY1313" s="1"/>
      <c r="KZ1313" s="1"/>
      <c r="LA1313" s="1"/>
      <c r="LB1313" s="1"/>
      <c r="LC1313" s="1"/>
      <c r="LD1313" s="1"/>
      <c r="LO1313" s="1"/>
      <c r="LP1313" s="1"/>
      <c r="LZ1313" s="1"/>
      <c r="MA1313" s="1"/>
    </row>
    <row r="1314" spans="4:339" ht="13" x14ac:dyDescent="0.15">
      <c r="D1314" s="12"/>
      <c r="E1314" s="12"/>
      <c r="I1314" s="12"/>
      <c r="J1314" s="13"/>
      <c r="BF1314" s="1"/>
      <c r="BG1314" s="1"/>
      <c r="BH1314" s="1"/>
      <c r="BI1314" s="1"/>
      <c r="BK1314" s="1"/>
      <c r="BL1314" s="1"/>
      <c r="BM1314" s="1"/>
      <c r="BN1314" s="1"/>
      <c r="BO1314" s="1"/>
      <c r="BP1314" s="1"/>
      <c r="BQ1314" s="1"/>
      <c r="BR1314" s="1"/>
      <c r="BX1314" s="1"/>
      <c r="CD1314" s="1"/>
      <c r="CE1314" s="1"/>
      <c r="CF1314" s="1"/>
      <c r="CJ1314" s="1"/>
      <c r="CM1314" s="2"/>
      <c r="CP1314" s="1"/>
      <c r="CQ1314" s="1"/>
      <c r="CX1314" s="1"/>
      <c r="CY1314" s="1"/>
      <c r="CZ1314" s="1"/>
      <c r="DA1314" s="1"/>
      <c r="DB1314" s="1"/>
      <c r="DC1314" s="1"/>
      <c r="DD1314" s="1"/>
      <c r="DE1314" s="1"/>
      <c r="DF1314" s="1"/>
      <c r="DG1314" s="1"/>
      <c r="DH1314" s="1"/>
      <c r="DI1314" s="1"/>
      <c r="DJ1314" s="1"/>
      <c r="DK1314" s="1"/>
      <c r="DM1314" s="1"/>
      <c r="DQ1314" s="1"/>
      <c r="DR1314" s="1"/>
      <c r="DY1314" s="1"/>
      <c r="DZ1314" s="1"/>
      <c r="ED1314" s="1"/>
      <c r="EK1314" s="1"/>
      <c r="EL1314" s="1"/>
      <c r="EM1314" s="1"/>
      <c r="EN1314" s="1"/>
      <c r="EQ1314" s="1"/>
      <c r="ER1314" s="1"/>
      <c r="ES1314" s="1"/>
      <c r="EV1314" s="1"/>
      <c r="EW1314" s="1"/>
      <c r="EZ1314" s="1"/>
      <c r="GP1314" s="1"/>
      <c r="HH1314" s="1"/>
      <c r="HY1314" s="1"/>
      <c r="IC1314" s="1"/>
      <c r="ID1314" s="1"/>
      <c r="IE1314" s="1"/>
      <c r="IR1314" s="1"/>
      <c r="IS1314" s="1"/>
      <c r="IY1314" s="1"/>
      <c r="IZ1314" s="1"/>
      <c r="JC1314" s="1"/>
      <c r="JF1314" s="1"/>
      <c r="JG1314" s="1"/>
      <c r="JJ1314" s="1"/>
      <c r="JN1314" s="1"/>
      <c r="JO1314" s="1"/>
      <c r="JP1314" s="1"/>
      <c r="JQ1314" s="1"/>
      <c r="KY1314" s="1"/>
      <c r="KZ1314" s="1"/>
      <c r="LA1314" s="1"/>
      <c r="LB1314" s="1"/>
      <c r="LC1314" s="1"/>
      <c r="LD1314" s="1"/>
      <c r="LO1314" s="1"/>
      <c r="LP1314" s="1"/>
      <c r="LZ1314" s="1"/>
      <c r="MA1314" s="1"/>
    </row>
    <row r="1315" spans="4:339" ht="13" x14ac:dyDescent="0.15">
      <c r="D1315" s="12"/>
      <c r="E1315" s="12"/>
      <c r="I1315" s="12"/>
      <c r="J1315" s="13"/>
      <c r="BF1315" s="1"/>
      <c r="BG1315" s="1"/>
      <c r="BH1315" s="1"/>
      <c r="BI1315" s="1"/>
      <c r="BK1315" s="1"/>
      <c r="BL1315" s="1"/>
      <c r="BM1315" s="1"/>
      <c r="BN1315" s="1"/>
      <c r="BO1315" s="1"/>
      <c r="BP1315" s="1"/>
      <c r="BQ1315" s="1"/>
      <c r="BR1315" s="1"/>
      <c r="BX1315" s="1"/>
      <c r="CD1315" s="1"/>
      <c r="CE1315" s="1"/>
      <c r="CF1315" s="1"/>
      <c r="CJ1315" s="1"/>
      <c r="CM1315" s="2"/>
      <c r="CP1315" s="1"/>
      <c r="CQ1315" s="1"/>
      <c r="CX1315" s="1"/>
      <c r="CY1315" s="1"/>
      <c r="CZ1315" s="1"/>
      <c r="DA1315" s="1"/>
      <c r="DB1315" s="1"/>
      <c r="DC1315" s="1"/>
      <c r="DD1315" s="1"/>
      <c r="DE1315" s="1"/>
      <c r="DF1315" s="1"/>
      <c r="DG1315" s="1"/>
      <c r="DH1315" s="1"/>
      <c r="DI1315" s="1"/>
      <c r="DJ1315" s="1"/>
      <c r="DK1315" s="1"/>
      <c r="DM1315" s="1"/>
      <c r="DQ1315" s="1"/>
      <c r="DR1315" s="1"/>
      <c r="DY1315" s="1"/>
      <c r="DZ1315" s="1"/>
      <c r="ED1315" s="1"/>
      <c r="EK1315" s="1"/>
      <c r="EL1315" s="1"/>
      <c r="EM1315" s="1"/>
      <c r="EN1315" s="1"/>
      <c r="EQ1315" s="1"/>
      <c r="ER1315" s="1"/>
      <c r="ES1315" s="1"/>
      <c r="EV1315" s="1"/>
      <c r="EW1315" s="1"/>
      <c r="EZ1315" s="1"/>
      <c r="GP1315" s="1"/>
      <c r="HH1315" s="1"/>
      <c r="HY1315" s="1"/>
      <c r="IC1315" s="1"/>
      <c r="ID1315" s="1"/>
      <c r="IE1315" s="1"/>
      <c r="IR1315" s="1"/>
      <c r="IS1315" s="1"/>
      <c r="IY1315" s="1"/>
      <c r="IZ1315" s="1"/>
      <c r="JC1315" s="1"/>
      <c r="JF1315" s="1"/>
      <c r="JG1315" s="1"/>
      <c r="JJ1315" s="1"/>
      <c r="JN1315" s="1"/>
      <c r="JO1315" s="1"/>
      <c r="JP1315" s="1"/>
      <c r="JQ1315" s="1"/>
      <c r="KY1315" s="1"/>
      <c r="KZ1315" s="1"/>
      <c r="LA1315" s="1"/>
      <c r="LB1315" s="1"/>
      <c r="LC1315" s="1"/>
      <c r="LD1315" s="1"/>
      <c r="LO1315" s="1"/>
      <c r="LP1315" s="1"/>
      <c r="LZ1315" s="1"/>
      <c r="MA1315" s="1"/>
    </row>
    <row r="1316" spans="4:339" ht="13" x14ac:dyDescent="0.15">
      <c r="D1316" s="12"/>
      <c r="E1316" s="12"/>
      <c r="I1316" s="12"/>
      <c r="J1316" s="13"/>
      <c r="BF1316" s="1"/>
      <c r="BG1316" s="1"/>
      <c r="BH1316" s="1"/>
      <c r="BI1316" s="1"/>
      <c r="BK1316" s="1"/>
      <c r="BL1316" s="1"/>
      <c r="BM1316" s="1"/>
      <c r="BN1316" s="1"/>
      <c r="BO1316" s="1"/>
      <c r="BP1316" s="1"/>
      <c r="BQ1316" s="1"/>
      <c r="BR1316" s="1"/>
      <c r="BX1316" s="1"/>
      <c r="CD1316" s="1"/>
      <c r="CE1316" s="1"/>
      <c r="CF1316" s="1"/>
      <c r="CJ1316" s="1"/>
      <c r="CM1316" s="2"/>
      <c r="CP1316" s="1"/>
      <c r="CQ1316" s="1"/>
      <c r="CX1316" s="1"/>
      <c r="CY1316" s="1"/>
      <c r="CZ1316" s="1"/>
      <c r="DA1316" s="1"/>
      <c r="DB1316" s="1"/>
      <c r="DC1316" s="1"/>
      <c r="DD1316" s="1"/>
      <c r="DE1316" s="1"/>
      <c r="DF1316" s="1"/>
      <c r="DG1316" s="1"/>
      <c r="DH1316" s="1"/>
      <c r="DI1316" s="1"/>
      <c r="DJ1316" s="1"/>
      <c r="DK1316" s="1"/>
      <c r="DM1316" s="1"/>
      <c r="DQ1316" s="1"/>
      <c r="DR1316" s="1"/>
      <c r="DY1316" s="1"/>
      <c r="DZ1316" s="1"/>
      <c r="ED1316" s="1"/>
      <c r="EK1316" s="1"/>
      <c r="EL1316" s="1"/>
      <c r="EM1316" s="1"/>
      <c r="EN1316" s="1"/>
      <c r="EQ1316" s="1"/>
      <c r="ER1316" s="1"/>
      <c r="ES1316" s="1"/>
      <c r="EV1316" s="1"/>
      <c r="EW1316" s="1"/>
      <c r="EZ1316" s="1"/>
      <c r="GP1316" s="1"/>
      <c r="HH1316" s="1"/>
      <c r="HY1316" s="1"/>
      <c r="IC1316" s="1"/>
      <c r="ID1316" s="1"/>
      <c r="IE1316" s="1"/>
      <c r="IR1316" s="1"/>
      <c r="IS1316" s="1"/>
      <c r="IY1316" s="1"/>
      <c r="IZ1316" s="1"/>
      <c r="JC1316" s="1"/>
      <c r="JF1316" s="1"/>
      <c r="JG1316" s="1"/>
      <c r="JJ1316" s="1"/>
      <c r="JN1316" s="1"/>
      <c r="JO1316" s="1"/>
      <c r="JP1316" s="1"/>
      <c r="JQ1316" s="1"/>
      <c r="KY1316" s="1"/>
      <c r="KZ1316" s="1"/>
      <c r="LA1316" s="1"/>
      <c r="LB1316" s="1"/>
      <c r="LC1316" s="1"/>
      <c r="LD1316" s="1"/>
      <c r="LO1316" s="1"/>
      <c r="LP1316" s="1"/>
      <c r="LZ1316" s="1"/>
      <c r="MA1316" s="1"/>
    </row>
    <row r="1317" spans="4:339" ht="13" x14ac:dyDescent="0.15">
      <c r="D1317" s="12"/>
      <c r="E1317" s="12"/>
      <c r="I1317" s="12"/>
      <c r="J1317" s="13"/>
      <c r="BF1317" s="1"/>
      <c r="BG1317" s="1"/>
      <c r="BH1317" s="1"/>
      <c r="BI1317" s="1"/>
      <c r="BK1317" s="1"/>
      <c r="BL1317" s="1"/>
      <c r="BM1317" s="1"/>
      <c r="BN1317" s="1"/>
      <c r="BO1317" s="1"/>
      <c r="BP1317" s="1"/>
      <c r="BQ1317" s="1"/>
      <c r="BR1317" s="1"/>
      <c r="BX1317" s="1"/>
      <c r="CD1317" s="1"/>
      <c r="CE1317" s="1"/>
      <c r="CF1317" s="1"/>
      <c r="CJ1317" s="1"/>
      <c r="CM1317" s="2"/>
      <c r="CP1317" s="1"/>
      <c r="CQ1317" s="1"/>
      <c r="CX1317" s="1"/>
      <c r="CY1317" s="1"/>
      <c r="CZ1317" s="1"/>
      <c r="DA1317" s="1"/>
      <c r="DB1317" s="1"/>
      <c r="DC1317" s="1"/>
      <c r="DD1317" s="1"/>
      <c r="DE1317" s="1"/>
      <c r="DF1317" s="1"/>
      <c r="DG1317" s="1"/>
      <c r="DH1317" s="1"/>
      <c r="DI1317" s="1"/>
      <c r="DJ1317" s="1"/>
      <c r="DK1317" s="1"/>
      <c r="DM1317" s="1"/>
      <c r="DQ1317" s="1"/>
      <c r="DR1317" s="1"/>
      <c r="DY1317" s="1"/>
      <c r="DZ1317" s="1"/>
      <c r="ED1317" s="1"/>
      <c r="EK1317" s="1"/>
      <c r="EL1317" s="1"/>
      <c r="EM1317" s="1"/>
      <c r="EN1317" s="1"/>
      <c r="EQ1317" s="1"/>
      <c r="ER1317" s="1"/>
      <c r="ES1317" s="1"/>
      <c r="EV1317" s="1"/>
      <c r="EW1317" s="1"/>
      <c r="EZ1317" s="1"/>
      <c r="GP1317" s="1"/>
      <c r="HH1317" s="1"/>
      <c r="HY1317" s="1"/>
      <c r="IC1317" s="1"/>
      <c r="ID1317" s="1"/>
      <c r="IE1317" s="1"/>
      <c r="IR1317" s="1"/>
      <c r="IS1317" s="1"/>
      <c r="IY1317" s="1"/>
      <c r="IZ1317" s="1"/>
      <c r="JC1317" s="1"/>
      <c r="JF1317" s="1"/>
      <c r="JG1317" s="1"/>
      <c r="JJ1317" s="1"/>
      <c r="JN1317" s="1"/>
      <c r="JO1317" s="1"/>
      <c r="JP1317" s="1"/>
      <c r="JQ1317" s="1"/>
      <c r="KY1317" s="1"/>
      <c r="KZ1317" s="1"/>
      <c r="LA1317" s="1"/>
      <c r="LB1317" s="1"/>
      <c r="LC1317" s="1"/>
      <c r="LD1317" s="1"/>
      <c r="LO1317" s="1"/>
      <c r="LP1317" s="1"/>
      <c r="LZ1317" s="1"/>
      <c r="MA1317" s="1"/>
    </row>
    <row r="1318" spans="4:339" ht="13" x14ac:dyDescent="0.15">
      <c r="D1318" s="12"/>
      <c r="E1318" s="12"/>
      <c r="I1318" s="12"/>
      <c r="J1318" s="13"/>
      <c r="BF1318" s="1"/>
      <c r="BG1318" s="1"/>
      <c r="BH1318" s="1"/>
      <c r="BI1318" s="1"/>
      <c r="BK1318" s="1"/>
      <c r="BL1318" s="1"/>
      <c r="BM1318" s="1"/>
      <c r="BN1318" s="1"/>
      <c r="BO1318" s="1"/>
      <c r="BP1318" s="1"/>
      <c r="BQ1318" s="1"/>
      <c r="BR1318" s="1"/>
      <c r="BX1318" s="1"/>
      <c r="CD1318" s="1"/>
      <c r="CE1318" s="1"/>
      <c r="CF1318" s="1"/>
      <c r="CJ1318" s="1"/>
      <c r="CM1318" s="2"/>
      <c r="CP1318" s="1"/>
      <c r="CQ1318" s="1"/>
      <c r="CX1318" s="1"/>
      <c r="CY1318" s="1"/>
      <c r="CZ1318" s="1"/>
      <c r="DA1318" s="1"/>
      <c r="DB1318" s="1"/>
      <c r="DC1318" s="1"/>
      <c r="DD1318" s="1"/>
      <c r="DE1318" s="1"/>
      <c r="DF1318" s="1"/>
      <c r="DG1318" s="1"/>
      <c r="DH1318" s="1"/>
      <c r="DI1318" s="1"/>
      <c r="DJ1318" s="1"/>
      <c r="DK1318" s="1"/>
      <c r="DM1318" s="1"/>
      <c r="DQ1318" s="1"/>
      <c r="DR1318" s="1"/>
      <c r="DY1318" s="1"/>
      <c r="DZ1318" s="1"/>
      <c r="ED1318" s="1"/>
      <c r="EK1318" s="1"/>
      <c r="EL1318" s="1"/>
      <c r="EM1318" s="1"/>
      <c r="EN1318" s="1"/>
      <c r="EQ1318" s="1"/>
      <c r="ER1318" s="1"/>
      <c r="ES1318" s="1"/>
      <c r="EV1318" s="1"/>
      <c r="EW1318" s="1"/>
      <c r="EZ1318" s="1"/>
      <c r="GP1318" s="1"/>
      <c r="HH1318" s="1"/>
      <c r="HY1318" s="1"/>
      <c r="IC1318" s="1"/>
      <c r="ID1318" s="1"/>
      <c r="IE1318" s="1"/>
      <c r="IR1318" s="1"/>
      <c r="IS1318" s="1"/>
      <c r="IY1318" s="1"/>
      <c r="IZ1318" s="1"/>
      <c r="JC1318" s="1"/>
      <c r="JF1318" s="1"/>
      <c r="JG1318" s="1"/>
      <c r="JJ1318" s="1"/>
      <c r="JN1318" s="1"/>
      <c r="JO1318" s="1"/>
      <c r="JP1318" s="1"/>
      <c r="JQ1318" s="1"/>
      <c r="KY1318" s="1"/>
      <c r="KZ1318" s="1"/>
      <c r="LA1318" s="1"/>
      <c r="LB1318" s="1"/>
      <c r="LC1318" s="1"/>
      <c r="LD1318" s="1"/>
      <c r="LO1318" s="1"/>
      <c r="LP1318" s="1"/>
      <c r="LZ1318" s="1"/>
      <c r="MA1318" s="1"/>
    </row>
    <row r="1319" spans="4:339" ht="13" x14ac:dyDescent="0.15">
      <c r="D1319" s="12"/>
      <c r="E1319" s="12"/>
      <c r="I1319" s="12"/>
      <c r="J1319" s="13"/>
      <c r="BF1319" s="1"/>
      <c r="BG1319" s="1"/>
      <c r="BH1319" s="1"/>
      <c r="BI1319" s="1"/>
      <c r="BK1319" s="1"/>
      <c r="BL1319" s="1"/>
      <c r="BM1319" s="1"/>
      <c r="BN1319" s="1"/>
      <c r="BO1319" s="1"/>
      <c r="BP1319" s="1"/>
      <c r="BQ1319" s="1"/>
      <c r="BR1319" s="1"/>
      <c r="BX1319" s="1"/>
      <c r="CD1319" s="1"/>
      <c r="CE1319" s="1"/>
      <c r="CF1319" s="1"/>
      <c r="CJ1319" s="1"/>
      <c r="CM1319" s="2"/>
      <c r="CP1319" s="1"/>
      <c r="CQ1319" s="1"/>
      <c r="CX1319" s="1"/>
      <c r="CY1319" s="1"/>
      <c r="CZ1319" s="1"/>
      <c r="DA1319" s="1"/>
      <c r="DB1319" s="1"/>
      <c r="DC1319" s="1"/>
      <c r="DD1319" s="1"/>
      <c r="DE1319" s="1"/>
      <c r="DF1319" s="1"/>
      <c r="DG1319" s="1"/>
      <c r="DH1319" s="1"/>
      <c r="DI1319" s="1"/>
      <c r="DJ1319" s="1"/>
      <c r="DK1319" s="1"/>
      <c r="DM1319" s="1"/>
      <c r="DQ1319" s="1"/>
      <c r="DR1319" s="1"/>
      <c r="DY1319" s="1"/>
      <c r="DZ1319" s="1"/>
      <c r="ED1319" s="1"/>
      <c r="EK1319" s="1"/>
      <c r="EL1319" s="1"/>
      <c r="EM1319" s="1"/>
      <c r="EN1319" s="1"/>
      <c r="EQ1319" s="1"/>
      <c r="ER1319" s="1"/>
      <c r="ES1319" s="1"/>
      <c r="EV1319" s="1"/>
      <c r="EW1319" s="1"/>
      <c r="EZ1319" s="1"/>
      <c r="GP1319" s="1"/>
      <c r="HH1319" s="1"/>
      <c r="HY1319" s="1"/>
      <c r="IC1319" s="1"/>
      <c r="ID1319" s="1"/>
      <c r="IE1319" s="1"/>
      <c r="IR1319" s="1"/>
      <c r="IS1319" s="1"/>
      <c r="IY1319" s="1"/>
      <c r="IZ1319" s="1"/>
      <c r="JC1319" s="1"/>
      <c r="JF1319" s="1"/>
      <c r="JG1319" s="1"/>
      <c r="JJ1319" s="1"/>
      <c r="JN1319" s="1"/>
      <c r="JO1319" s="1"/>
      <c r="JP1319" s="1"/>
      <c r="JQ1319" s="1"/>
      <c r="KY1319" s="1"/>
      <c r="KZ1319" s="1"/>
      <c r="LA1319" s="1"/>
      <c r="LB1319" s="1"/>
      <c r="LC1319" s="1"/>
      <c r="LD1319" s="1"/>
      <c r="LO1319" s="1"/>
      <c r="LP1319" s="1"/>
      <c r="LZ1319" s="1"/>
      <c r="MA1319" s="1"/>
    </row>
    <row r="1320" spans="4:339" ht="13" x14ac:dyDescent="0.15">
      <c r="D1320" s="12"/>
      <c r="E1320" s="12"/>
      <c r="I1320" s="12"/>
      <c r="J1320" s="13"/>
      <c r="BF1320" s="1"/>
      <c r="BG1320" s="1"/>
      <c r="BH1320" s="1"/>
      <c r="BI1320" s="1"/>
      <c r="BK1320" s="1"/>
      <c r="BL1320" s="1"/>
      <c r="BM1320" s="1"/>
      <c r="BN1320" s="1"/>
      <c r="BO1320" s="1"/>
      <c r="BP1320" s="1"/>
      <c r="BQ1320" s="1"/>
      <c r="BR1320" s="1"/>
      <c r="BX1320" s="1"/>
      <c r="CD1320" s="1"/>
      <c r="CE1320" s="1"/>
      <c r="CF1320" s="1"/>
      <c r="CJ1320" s="1"/>
      <c r="CM1320" s="2"/>
      <c r="CP1320" s="1"/>
      <c r="CQ1320" s="1"/>
      <c r="CX1320" s="1"/>
      <c r="CY1320" s="1"/>
      <c r="CZ1320" s="1"/>
      <c r="DA1320" s="1"/>
      <c r="DB1320" s="1"/>
      <c r="DC1320" s="1"/>
      <c r="DD1320" s="1"/>
      <c r="DE1320" s="1"/>
      <c r="DF1320" s="1"/>
      <c r="DG1320" s="1"/>
      <c r="DH1320" s="1"/>
      <c r="DI1320" s="1"/>
      <c r="DJ1320" s="1"/>
      <c r="DK1320" s="1"/>
      <c r="DM1320" s="1"/>
      <c r="DQ1320" s="1"/>
      <c r="DR1320" s="1"/>
      <c r="DY1320" s="1"/>
      <c r="DZ1320" s="1"/>
      <c r="ED1320" s="1"/>
      <c r="EK1320" s="1"/>
      <c r="EL1320" s="1"/>
      <c r="EM1320" s="1"/>
      <c r="EN1320" s="1"/>
      <c r="EQ1320" s="1"/>
      <c r="ER1320" s="1"/>
      <c r="ES1320" s="1"/>
      <c r="EV1320" s="1"/>
      <c r="EW1320" s="1"/>
      <c r="EZ1320" s="1"/>
      <c r="GP1320" s="1"/>
      <c r="HH1320" s="1"/>
      <c r="HY1320" s="1"/>
      <c r="IC1320" s="1"/>
      <c r="ID1320" s="1"/>
      <c r="IE1320" s="1"/>
      <c r="IR1320" s="1"/>
      <c r="IS1320" s="1"/>
      <c r="IY1320" s="1"/>
      <c r="IZ1320" s="1"/>
      <c r="JC1320" s="1"/>
      <c r="JF1320" s="1"/>
      <c r="JG1320" s="1"/>
      <c r="JJ1320" s="1"/>
      <c r="JN1320" s="1"/>
      <c r="JO1320" s="1"/>
      <c r="JP1320" s="1"/>
      <c r="JQ1320" s="1"/>
      <c r="KY1320" s="1"/>
      <c r="KZ1320" s="1"/>
      <c r="LA1320" s="1"/>
      <c r="LB1320" s="1"/>
      <c r="LC1320" s="1"/>
      <c r="LD1320" s="1"/>
      <c r="LO1320" s="1"/>
      <c r="LP1320" s="1"/>
      <c r="LZ1320" s="1"/>
      <c r="MA1320" s="1"/>
    </row>
    <row r="1321" spans="4:339" ht="13" x14ac:dyDescent="0.15">
      <c r="D1321" s="12"/>
      <c r="E1321" s="12"/>
      <c r="I1321" s="12"/>
      <c r="J1321" s="13"/>
      <c r="BF1321" s="1"/>
      <c r="BG1321" s="1"/>
      <c r="BH1321" s="1"/>
      <c r="BI1321" s="1"/>
      <c r="BK1321" s="1"/>
      <c r="BL1321" s="1"/>
      <c r="BM1321" s="1"/>
      <c r="BN1321" s="1"/>
      <c r="BO1321" s="1"/>
      <c r="BP1321" s="1"/>
      <c r="BQ1321" s="1"/>
      <c r="BR1321" s="1"/>
      <c r="BX1321" s="1"/>
      <c r="CD1321" s="1"/>
      <c r="CE1321" s="1"/>
      <c r="CF1321" s="1"/>
      <c r="CJ1321" s="1"/>
      <c r="CM1321" s="2"/>
      <c r="CP1321" s="1"/>
      <c r="CQ1321" s="1"/>
      <c r="CX1321" s="1"/>
      <c r="CY1321" s="1"/>
      <c r="CZ1321" s="1"/>
      <c r="DA1321" s="1"/>
      <c r="DB1321" s="1"/>
      <c r="DC1321" s="1"/>
      <c r="DD1321" s="1"/>
      <c r="DE1321" s="1"/>
      <c r="DF1321" s="1"/>
      <c r="DG1321" s="1"/>
      <c r="DH1321" s="1"/>
      <c r="DI1321" s="1"/>
      <c r="DJ1321" s="1"/>
      <c r="DK1321" s="1"/>
      <c r="DM1321" s="1"/>
      <c r="DQ1321" s="1"/>
      <c r="DR1321" s="1"/>
      <c r="DY1321" s="1"/>
      <c r="DZ1321" s="1"/>
      <c r="ED1321" s="1"/>
      <c r="EK1321" s="1"/>
      <c r="EL1321" s="1"/>
      <c r="EM1321" s="1"/>
      <c r="EN1321" s="1"/>
      <c r="EQ1321" s="1"/>
      <c r="ER1321" s="1"/>
      <c r="ES1321" s="1"/>
      <c r="EV1321" s="1"/>
      <c r="EW1321" s="1"/>
      <c r="EZ1321" s="1"/>
      <c r="GP1321" s="1"/>
      <c r="HH1321" s="1"/>
      <c r="HY1321" s="1"/>
      <c r="IC1321" s="1"/>
      <c r="ID1321" s="1"/>
      <c r="IE1321" s="1"/>
      <c r="IR1321" s="1"/>
      <c r="IS1321" s="1"/>
      <c r="IY1321" s="1"/>
      <c r="IZ1321" s="1"/>
      <c r="JC1321" s="1"/>
      <c r="JF1321" s="1"/>
      <c r="JG1321" s="1"/>
      <c r="JJ1321" s="1"/>
      <c r="JN1321" s="1"/>
      <c r="JO1321" s="1"/>
      <c r="JP1321" s="1"/>
      <c r="JQ1321" s="1"/>
      <c r="KY1321" s="1"/>
      <c r="KZ1321" s="1"/>
      <c r="LA1321" s="1"/>
      <c r="LB1321" s="1"/>
      <c r="LC1321" s="1"/>
      <c r="LD1321" s="1"/>
      <c r="LO1321" s="1"/>
      <c r="LP1321" s="1"/>
      <c r="LZ1321" s="1"/>
      <c r="MA1321" s="1"/>
    </row>
    <row r="1322" spans="4:339" ht="13" x14ac:dyDescent="0.15">
      <c r="D1322" s="12"/>
      <c r="E1322" s="12"/>
      <c r="I1322" s="12"/>
      <c r="J1322" s="13"/>
      <c r="BF1322" s="1"/>
      <c r="BG1322" s="1"/>
      <c r="BH1322" s="1"/>
      <c r="BI1322" s="1"/>
      <c r="BK1322" s="1"/>
      <c r="BL1322" s="1"/>
      <c r="BM1322" s="1"/>
      <c r="BN1322" s="1"/>
      <c r="BO1322" s="1"/>
      <c r="BP1322" s="1"/>
      <c r="BQ1322" s="1"/>
      <c r="BR1322" s="1"/>
      <c r="BX1322" s="1"/>
      <c r="CD1322" s="1"/>
      <c r="CE1322" s="1"/>
      <c r="CF1322" s="1"/>
      <c r="CJ1322" s="1"/>
      <c r="CM1322" s="2"/>
      <c r="CP1322" s="1"/>
      <c r="CQ1322" s="1"/>
      <c r="CX1322" s="1"/>
      <c r="CY1322" s="1"/>
      <c r="CZ1322" s="1"/>
      <c r="DA1322" s="1"/>
      <c r="DB1322" s="1"/>
      <c r="DC1322" s="1"/>
      <c r="DD1322" s="1"/>
      <c r="DE1322" s="1"/>
      <c r="DF1322" s="1"/>
      <c r="DG1322" s="1"/>
      <c r="DH1322" s="1"/>
      <c r="DI1322" s="1"/>
      <c r="DJ1322" s="1"/>
      <c r="DK1322" s="1"/>
      <c r="DM1322" s="1"/>
      <c r="DQ1322" s="1"/>
      <c r="DR1322" s="1"/>
      <c r="DY1322" s="1"/>
      <c r="DZ1322" s="1"/>
      <c r="ED1322" s="1"/>
      <c r="EK1322" s="1"/>
      <c r="EL1322" s="1"/>
      <c r="EM1322" s="1"/>
      <c r="EN1322" s="1"/>
      <c r="EQ1322" s="1"/>
      <c r="ER1322" s="1"/>
      <c r="ES1322" s="1"/>
      <c r="EV1322" s="1"/>
      <c r="EW1322" s="1"/>
      <c r="EZ1322" s="1"/>
      <c r="GP1322" s="1"/>
      <c r="HH1322" s="1"/>
      <c r="HY1322" s="1"/>
      <c r="IC1322" s="1"/>
      <c r="ID1322" s="1"/>
      <c r="IE1322" s="1"/>
      <c r="IR1322" s="1"/>
      <c r="IS1322" s="1"/>
      <c r="IY1322" s="1"/>
      <c r="IZ1322" s="1"/>
      <c r="JC1322" s="1"/>
      <c r="JF1322" s="1"/>
      <c r="JG1322" s="1"/>
      <c r="JJ1322" s="1"/>
      <c r="JN1322" s="1"/>
      <c r="JO1322" s="1"/>
      <c r="JP1322" s="1"/>
      <c r="JQ1322" s="1"/>
      <c r="KY1322" s="1"/>
      <c r="KZ1322" s="1"/>
      <c r="LA1322" s="1"/>
      <c r="LB1322" s="1"/>
      <c r="LC1322" s="1"/>
      <c r="LD1322" s="1"/>
      <c r="LO1322" s="1"/>
      <c r="LP1322" s="1"/>
      <c r="LZ1322" s="1"/>
      <c r="MA1322" s="1"/>
    </row>
    <row r="1323" spans="4:339" ht="13" x14ac:dyDescent="0.15">
      <c r="D1323" s="12"/>
      <c r="E1323" s="12"/>
      <c r="I1323" s="12"/>
      <c r="J1323" s="13"/>
      <c r="BF1323" s="1"/>
      <c r="BG1323" s="1"/>
      <c r="BH1323" s="1"/>
      <c r="BI1323" s="1"/>
      <c r="BK1323" s="1"/>
      <c r="BL1323" s="1"/>
      <c r="BM1323" s="1"/>
      <c r="BN1323" s="1"/>
      <c r="BO1323" s="1"/>
      <c r="BP1323" s="1"/>
      <c r="BQ1323" s="1"/>
      <c r="BR1323" s="1"/>
      <c r="BX1323" s="1"/>
      <c r="CD1323" s="1"/>
      <c r="CE1323" s="1"/>
      <c r="CF1323" s="1"/>
      <c r="CJ1323" s="1"/>
      <c r="CM1323" s="2"/>
      <c r="CP1323" s="1"/>
      <c r="CQ1323" s="1"/>
      <c r="CX1323" s="1"/>
      <c r="CY1323" s="1"/>
      <c r="CZ1323" s="1"/>
      <c r="DA1323" s="1"/>
      <c r="DB1323" s="1"/>
      <c r="DC1323" s="1"/>
      <c r="DD1323" s="1"/>
      <c r="DE1323" s="1"/>
      <c r="DF1323" s="1"/>
      <c r="DG1323" s="1"/>
      <c r="DH1323" s="1"/>
      <c r="DI1323" s="1"/>
      <c r="DJ1323" s="1"/>
      <c r="DK1323" s="1"/>
      <c r="DM1323" s="1"/>
      <c r="DQ1323" s="1"/>
      <c r="DR1323" s="1"/>
      <c r="DY1323" s="1"/>
      <c r="DZ1323" s="1"/>
      <c r="ED1323" s="1"/>
      <c r="EK1323" s="1"/>
      <c r="EL1323" s="1"/>
      <c r="EM1323" s="1"/>
      <c r="EN1323" s="1"/>
      <c r="EQ1323" s="1"/>
      <c r="ER1323" s="1"/>
      <c r="ES1323" s="1"/>
      <c r="EV1323" s="1"/>
      <c r="EW1323" s="1"/>
      <c r="EZ1323" s="1"/>
      <c r="GP1323" s="1"/>
      <c r="HH1323" s="1"/>
      <c r="HY1323" s="1"/>
      <c r="IC1323" s="1"/>
      <c r="ID1323" s="1"/>
      <c r="IE1323" s="1"/>
      <c r="IR1323" s="1"/>
      <c r="IS1323" s="1"/>
      <c r="IY1323" s="1"/>
      <c r="IZ1323" s="1"/>
      <c r="JC1323" s="1"/>
      <c r="JF1323" s="1"/>
      <c r="JG1323" s="1"/>
      <c r="JJ1323" s="1"/>
      <c r="JN1323" s="1"/>
      <c r="JO1323" s="1"/>
      <c r="JP1323" s="1"/>
      <c r="JQ1323" s="1"/>
      <c r="KY1323" s="1"/>
      <c r="KZ1323" s="1"/>
      <c r="LA1323" s="1"/>
      <c r="LB1323" s="1"/>
      <c r="LC1323" s="1"/>
      <c r="LD1323" s="1"/>
      <c r="LO1323" s="1"/>
      <c r="LP1323" s="1"/>
      <c r="LZ1323" s="1"/>
      <c r="MA1323" s="1"/>
    </row>
    <row r="1324" spans="4:339" ht="13" x14ac:dyDescent="0.15">
      <c r="D1324" s="12"/>
      <c r="E1324" s="12"/>
      <c r="I1324" s="12"/>
      <c r="J1324" s="13"/>
      <c r="BF1324" s="1"/>
      <c r="BG1324" s="1"/>
      <c r="BH1324" s="1"/>
      <c r="BI1324" s="1"/>
      <c r="BK1324" s="1"/>
      <c r="BL1324" s="1"/>
      <c r="BM1324" s="1"/>
      <c r="BN1324" s="1"/>
      <c r="BO1324" s="1"/>
      <c r="BP1324" s="1"/>
      <c r="BQ1324" s="1"/>
      <c r="BR1324" s="1"/>
      <c r="BX1324" s="1"/>
      <c r="CD1324" s="1"/>
      <c r="CE1324" s="1"/>
      <c r="CF1324" s="1"/>
      <c r="CJ1324" s="1"/>
      <c r="CM1324" s="2"/>
      <c r="CP1324" s="1"/>
      <c r="CQ1324" s="1"/>
      <c r="CX1324" s="1"/>
      <c r="CY1324" s="1"/>
      <c r="CZ1324" s="1"/>
      <c r="DA1324" s="1"/>
      <c r="DB1324" s="1"/>
      <c r="DC1324" s="1"/>
      <c r="DD1324" s="1"/>
      <c r="DE1324" s="1"/>
      <c r="DF1324" s="1"/>
      <c r="DG1324" s="1"/>
      <c r="DH1324" s="1"/>
      <c r="DI1324" s="1"/>
      <c r="DJ1324" s="1"/>
      <c r="DK1324" s="1"/>
      <c r="DM1324" s="1"/>
      <c r="DQ1324" s="1"/>
      <c r="DR1324" s="1"/>
      <c r="DY1324" s="1"/>
      <c r="DZ1324" s="1"/>
      <c r="ED1324" s="1"/>
      <c r="EK1324" s="1"/>
      <c r="EL1324" s="1"/>
      <c r="EM1324" s="1"/>
      <c r="EN1324" s="1"/>
      <c r="EQ1324" s="1"/>
      <c r="ER1324" s="1"/>
      <c r="ES1324" s="1"/>
      <c r="EV1324" s="1"/>
      <c r="EW1324" s="1"/>
      <c r="EZ1324" s="1"/>
      <c r="GP1324" s="1"/>
      <c r="HH1324" s="1"/>
      <c r="HY1324" s="1"/>
      <c r="IC1324" s="1"/>
      <c r="ID1324" s="1"/>
      <c r="IE1324" s="1"/>
      <c r="IR1324" s="1"/>
      <c r="IS1324" s="1"/>
      <c r="IY1324" s="1"/>
      <c r="IZ1324" s="1"/>
      <c r="JC1324" s="1"/>
      <c r="JF1324" s="1"/>
      <c r="JG1324" s="1"/>
      <c r="JJ1324" s="1"/>
      <c r="JN1324" s="1"/>
      <c r="JO1324" s="1"/>
      <c r="JP1324" s="1"/>
      <c r="JQ1324" s="1"/>
      <c r="KY1324" s="1"/>
      <c r="KZ1324" s="1"/>
      <c r="LA1324" s="1"/>
      <c r="LB1324" s="1"/>
      <c r="LC1324" s="1"/>
      <c r="LD1324" s="1"/>
      <c r="LO1324" s="1"/>
      <c r="LP1324" s="1"/>
      <c r="LZ1324" s="1"/>
      <c r="MA1324" s="1"/>
    </row>
    <row r="1325" spans="4:339" ht="13" x14ac:dyDescent="0.15">
      <c r="D1325" s="12"/>
      <c r="E1325" s="12"/>
      <c r="I1325" s="12"/>
      <c r="J1325" s="13"/>
      <c r="BF1325" s="1"/>
      <c r="BG1325" s="1"/>
      <c r="BH1325" s="1"/>
      <c r="BI1325" s="1"/>
      <c r="BK1325" s="1"/>
      <c r="BL1325" s="1"/>
      <c r="BM1325" s="1"/>
      <c r="BN1325" s="1"/>
      <c r="BO1325" s="1"/>
      <c r="BP1325" s="1"/>
      <c r="BQ1325" s="1"/>
      <c r="BR1325" s="1"/>
      <c r="BX1325" s="1"/>
      <c r="CD1325" s="1"/>
      <c r="CE1325" s="1"/>
      <c r="CF1325" s="1"/>
      <c r="CJ1325" s="1"/>
      <c r="CM1325" s="2"/>
      <c r="CP1325" s="1"/>
      <c r="CQ1325" s="1"/>
      <c r="CX1325" s="1"/>
      <c r="CY1325" s="1"/>
      <c r="CZ1325" s="1"/>
      <c r="DA1325" s="1"/>
      <c r="DB1325" s="1"/>
      <c r="DC1325" s="1"/>
      <c r="DD1325" s="1"/>
      <c r="DE1325" s="1"/>
      <c r="DF1325" s="1"/>
      <c r="DG1325" s="1"/>
      <c r="DH1325" s="1"/>
      <c r="DI1325" s="1"/>
      <c r="DJ1325" s="1"/>
      <c r="DK1325" s="1"/>
      <c r="DM1325" s="1"/>
      <c r="DQ1325" s="1"/>
      <c r="DR1325" s="1"/>
      <c r="DY1325" s="1"/>
      <c r="DZ1325" s="1"/>
      <c r="ED1325" s="1"/>
      <c r="EK1325" s="1"/>
      <c r="EL1325" s="1"/>
      <c r="EM1325" s="1"/>
      <c r="EN1325" s="1"/>
      <c r="EQ1325" s="1"/>
      <c r="ER1325" s="1"/>
      <c r="ES1325" s="1"/>
      <c r="EV1325" s="1"/>
      <c r="EW1325" s="1"/>
      <c r="EZ1325" s="1"/>
      <c r="GP1325" s="1"/>
      <c r="HH1325" s="1"/>
      <c r="HY1325" s="1"/>
      <c r="IC1325" s="1"/>
      <c r="ID1325" s="1"/>
      <c r="IE1325" s="1"/>
      <c r="IR1325" s="1"/>
      <c r="IS1325" s="1"/>
      <c r="IY1325" s="1"/>
      <c r="IZ1325" s="1"/>
      <c r="JC1325" s="1"/>
      <c r="JF1325" s="1"/>
      <c r="JG1325" s="1"/>
      <c r="JJ1325" s="1"/>
      <c r="JN1325" s="1"/>
      <c r="JO1325" s="1"/>
      <c r="JP1325" s="1"/>
      <c r="JQ1325" s="1"/>
      <c r="KY1325" s="1"/>
      <c r="KZ1325" s="1"/>
      <c r="LA1325" s="1"/>
      <c r="LB1325" s="1"/>
      <c r="LC1325" s="1"/>
      <c r="LD1325" s="1"/>
      <c r="LO1325" s="1"/>
      <c r="LP1325" s="1"/>
      <c r="LZ1325" s="1"/>
      <c r="MA1325" s="1"/>
    </row>
    <row r="1326" spans="4:339" ht="13" x14ac:dyDescent="0.15">
      <c r="D1326" s="12"/>
      <c r="E1326" s="12"/>
      <c r="I1326" s="12"/>
      <c r="J1326" s="13"/>
      <c r="BF1326" s="1"/>
      <c r="BG1326" s="1"/>
      <c r="BH1326" s="1"/>
      <c r="BI1326" s="1"/>
      <c r="BK1326" s="1"/>
      <c r="BL1326" s="1"/>
      <c r="BM1326" s="1"/>
      <c r="BN1326" s="1"/>
      <c r="BO1326" s="1"/>
      <c r="BP1326" s="1"/>
      <c r="BQ1326" s="1"/>
      <c r="BR1326" s="1"/>
      <c r="BX1326" s="1"/>
      <c r="CD1326" s="1"/>
      <c r="CE1326" s="1"/>
      <c r="CF1326" s="1"/>
      <c r="CJ1326" s="1"/>
      <c r="CM1326" s="2"/>
      <c r="CP1326" s="1"/>
      <c r="CQ1326" s="1"/>
      <c r="CX1326" s="1"/>
      <c r="CY1326" s="1"/>
      <c r="CZ1326" s="1"/>
      <c r="DA1326" s="1"/>
      <c r="DB1326" s="1"/>
      <c r="DC1326" s="1"/>
      <c r="DD1326" s="1"/>
      <c r="DE1326" s="1"/>
      <c r="DF1326" s="1"/>
      <c r="DG1326" s="1"/>
      <c r="DH1326" s="1"/>
      <c r="DI1326" s="1"/>
      <c r="DJ1326" s="1"/>
      <c r="DK1326" s="1"/>
      <c r="DM1326" s="1"/>
      <c r="DQ1326" s="1"/>
      <c r="DR1326" s="1"/>
      <c r="DY1326" s="1"/>
      <c r="DZ1326" s="1"/>
      <c r="ED1326" s="1"/>
      <c r="EK1326" s="1"/>
      <c r="EL1326" s="1"/>
      <c r="EM1326" s="1"/>
      <c r="EN1326" s="1"/>
      <c r="EQ1326" s="1"/>
      <c r="ER1326" s="1"/>
      <c r="ES1326" s="1"/>
      <c r="EV1326" s="1"/>
      <c r="EW1326" s="1"/>
      <c r="EZ1326" s="1"/>
      <c r="GP1326" s="1"/>
      <c r="HH1326" s="1"/>
      <c r="HY1326" s="1"/>
      <c r="IC1326" s="1"/>
      <c r="ID1326" s="1"/>
      <c r="IE1326" s="1"/>
      <c r="IR1326" s="1"/>
      <c r="IS1326" s="1"/>
      <c r="IY1326" s="1"/>
      <c r="IZ1326" s="1"/>
      <c r="JC1326" s="1"/>
      <c r="JF1326" s="1"/>
      <c r="JG1326" s="1"/>
      <c r="JJ1326" s="1"/>
      <c r="JN1326" s="1"/>
      <c r="JO1326" s="1"/>
      <c r="JP1326" s="1"/>
      <c r="JQ1326" s="1"/>
      <c r="KY1326" s="1"/>
      <c r="KZ1326" s="1"/>
      <c r="LA1326" s="1"/>
      <c r="LB1326" s="1"/>
      <c r="LC1326" s="1"/>
      <c r="LD1326" s="1"/>
      <c r="LO1326" s="1"/>
      <c r="LP1326" s="1"/>
      <c r="LZ1326" s="1"/>
      <c r="MA1326" s="1"/>
    </row>
    <row r="1327" spans="4:339" ht="13" x14ac:dyDescent="0.15">
      <c r="D1327" s="12"/>
      <c r="E1327" s="12"/>
      <c r="I1327" s="12"/>
      <c r="J1327" s="13"/>
      <c r="BF1327" s="1"/>
      <c r="BG1327" s="1"/>
      <c r="BH1327" s="1"/>
      <c r="BI1327" s="1"/>
      <c r="BK1327" s="1"/>
      <c r="BL1327" s="1"/>
      <c r="BM1327" s="1"/>
      <c r="BN1327" s="1"/>
      <c r="BO1327" s="1"/>
      <c r="BP1327" s="1"/>
      <c r="BQ1327" s="1"/>
      <c r="BR1327" s="1"/>
      <c r="BX1327" s="1"/>
      <c r="CD1327" s="1"/>
      <c r="CE1327" s="1"/>
      <c r="CF1327" s="1"/>
      <c r="CJ1327" s="1"/>
      <c r="CM1327" s="2"/>
      <c r="CP1327" s="1"/>
      <c r="CQ1327" s="1"/>
      <c r="CX1327" s="1"/>
      <c r="CY1327" s="1"/>
      <c r="CZ1327" s="1"/>
      <c r="DA1327" s="1"/>
      <c r="DB1327" s="1"/>
      <c r="DC1327" s="1"/>
      <c r="DD1327" s="1"/>
      <c r="DE1327" s="1"/>
      <c r="DF1327" s="1"/>
      <c r="DG1327" s="1"/>
      <c r="DH1327" s="1"/>
      <c r="DI1327" s="1"/>
      <c r="DJ1327" s="1"/>
      <c r="DK1327" s="1"/>
      <c r="DM1327" s="1"/>
      <c r="DQ1327" s="1"/>
      <c r="DR1327" s="1"/>
      <c r="DY1327" s="1"/>
      <c r="DZ1327" s="1"/>
      <c r="ED1327" s="1"/>
      <c r="EK1327" s="1"/>
      <c r="EL1327" s="1"/>
      <c r="EM1327" s="1"/>
      <c r="EN1327" s="1"/>
      <c r="EQ1327" s="1"/>
      <c r="ER1327" s="1"/>
      <c r="ES1327" s="1"/>
      <c r="EV1327" s="1"/>
      <c r="EW1327" s="1"/>
      <c r="EZ1327" s="1"/>
      <c r="GP1327" s="1"/>
      <c r="HH1327" s="1"/>
      <c r="HY1327" s="1"/>
      <c r="IC1327" s="1"/>
      <c r="ID1327" s="1"/>
      <c r="IE1327" s="1"/>
      <c r="IR1327" s="1"/>
      <c r="IS1327" s="1"/>
      <c r="IY1327" s="1"/>
      <c r="IZ1327" s="1"/>
      <c r="JC1327" s="1"/>
      <c r="JF1327" s="1"/>
      <c r="JG1327" s="1"/>
      <c r="JJ1327" s="1"/>
      <c r="JN1327" s="1"/>
      <c r="JO1327" s="1"/>
      <c r="JP1327" s="1"/>
      <c r="JQ1327" s="1"/>
      <c r="KY1327" s="1"/>
      <c r="KZ1327" s="1"/>
      <c r="LA1327" s="1"/>
      <c r="LB1327" s="1"/>
      <c r="LC1327" s="1"/>
      <c r="LD1327" s="1"/>
      <c r="LO1327" s="1"/>
      <c r="LP1327" s="1"/>
      <c r="LZ1327" s="1"/>
      <c r="MA1327" s="1"/>
    </row>
    <row r="1328" spans="4:339" ht="13" x14ac:dyDescent="0.15">
      <c r="D1328" s="12"/>
      <c r="E1328" s="12"/>
      <c r="I1328" s="12"/>
      <c r="J1328" s="13"/>
      <c r="BF1328" s="1"/>
      <c r="BG1328" s="1"/>
      <c r="BH1328" s="1"/>
      <c r="BI1328" s="1"/>
      <c r="BK1328" s="1"/>
      <c r="BL1328" s="1"/>
      <c r="BM1328" s="1"/>
      <c r="BN1328" s="1"/>
      <c r="BO1328" s="1"/>
      <c r="BQ1328" s="1"/>
      <c r="BR1328" s="1"/>
      <c r="CD1328" s="1"/>
      <c r="CM1328" s="4"/>
      <c r="ED1328" s="1"/>
      <c r="EL1328" s="1"/>
      <c r="EM1328" s="1"/>
      <c r="EN1328" s="1"/>
      <c r="EQ1328" s="1"/>
      <c r="ER1328" s="1"/>
      <c r="ES1328" s="1"/>
      <c r="EV1328" s="1"/>
      <c r="EW1328" s="1"/>
      <c r="EZ1328" s="1"/>
      <c r="GP1328" s="1"/>
      <c r="HY1328" s="1"/>
      <c r="IS1328" s="1"/>
      <c r="IY1328" s="1"/>
      <c r="IZ1328" s="1"/>
      <c r="JJ1328" s="1"/>
      <c r="JN1328" s="1"/>
      <c r="JP1328" s="1"/>
      <c r="JQ1328" s="1"/>
      <c r="JT1328" s="1"/>
    </row>
    <row r="1329" spans="4:339" ht="13" x14ac:dyDescent="0.15">
      <c r="D1329" s="12"/>
      <c r="E1329" s="12"/>
      <c r="I1329" s="12"/>
      <c r="J1329" s="13"/>
      <c r="BF1329" s="1"/>
      <c r="BG1329" s="1"/>
      <c r="BH1329" s="1"/>
      <c r="BI1329" s="1"/>
      <c r="BK1329" s="1"/>
      <c r="BL1329" s="1"/>
      <c r="BM1329" s="1"/>
      <c r="BN1329" s="1"/>
      <c r="BO1329" s="1"/>
      <c r="BP1329" s="1"/>
      <c r="BQ1329" s="1"/>
      <c r="BR1329" s="1"/>
      <c r="CD1329" s="1"/>
      <c r="CE1329" s="1"/>
      <c r="CF1329" s="1"/>
      <c r="CG1329" s="1"/>
      <c r="CM1329" s="2"/>
      <c r="CQ1329" s="1"/>
      <c r="CY1329" s="1"/>
      <c r="DC1329" s="1"/>
      <c r="DH1329" s="1"/>
      <c r="ED1329" s="1"/>
      <c r="EK1329" s="1"/>
      <c r="EL1329" s="1"/>
      <c r="EM1329" s="1"/>
      <c r="EN1329" s="1"/>
      <c r="EQ1329" s="1"/>
      <c r="ER1329" s="1"/>
      <c r="ES1329" s="1"/>
      <c r="EV1329" s="1"/>
      <c r="EW1329" s="1"/>
      <c r="EZ1329" s="1"/>
      <c r="GP1329" s="1"/>
      <c r="HX1329" s="1"/>
      <c r="HY1329" s="1"/>
      <c r="IS1329" s="1"/>
      <c r="IZ1329" s="1"/>
      <c r="JH1329" s="1"/>
      <c r="JJ1329" s="1"/>
      <c r="JN1329" s="1"/>
      <c r="JP1329" s="1"/>
      <c r="JQ1329" s="1"/>
      <c r="JT1329" s="1"/>
      <c r="KU1329" s="1"/>
      <c r="KW1329" s="1"/>
      <c r="KY1329" s="1"/>
      <c r="KZ1329" s="1"/>
      <c r="LA1329" s="1"/>
      <c r="LB1329" s="1"/>
      <c r="LC1329" s="1"/>
      <c r="LD1329" s="1"/>
      <c r="LJ1329" s="1"/>
      <c r="LO1329" s="1"/>
      <c r="LP1329" s="1"/>
      <c r="LZ1329" s="1"/>
      <c r="MA1329" s="1"/>
    </row>
    <row r="1330" spans="4:339" ht="13" x14ac:dyDescent="0.15">
      <c r="D1330" s="12"/>
      <c r="E1330" s="12"/>
      <c r="I1330" s="12"/>
      <c r="J1330" s="13"/>
      <c r="BF1330" s="1"/>
      <c r="BG1330" s="1"/>
      <c r="BH1330" s="1"/>
      <c r="BI1330" s="1"/>
      <c r="BJ1330" s="1"/>
      <c r="BK1330" s="1"/>
      <c r="BL1330" s="1"/>
      <c r="BM1330" s="1"/>
      <c r="BN1330" s="1"/>
      <c r="BO1330" s="1"/>
      <c r="BP1330" s="1"/>
      <c r="BQ1330" s="1"/>
      <c r="BR1330" s="1"/>
      <c r="BX1330" s="1"/>
      <c r="CD1330" s="1"/>
      <c r="CE1330" s="1"/>
      <c r="CF1330" s="1"/>
      <c r="CK1330" s="1"/>
      <c r="CM1330" s="2"/>
      <c r="CP1330" s="1"/>
      <c r="CQ1330" s="1"/>
      <c r="CR1330" s="1"/>
      <c r="CS1330" s="1"/>
      <c r="CT1330" s="1"/>
      <c r="CU1330" s="1"/>
      <c r="CV1330" s="1"/>
      <c r="CW1330" s="1"/>
      <c r="CX1330" s="1"/>
      <c r="CY1330" s="1"/>
      <c r="CZ1330" s="1"/>
      <c r="DA1330" s="1"/>
      <c r="DB1330" s="1"/>
      <c r="DC1330" s="1"/>
      <c r="DD1330" s="1"/>
      <c r="DE1330" s="1"/>
      <c r="DF1330" s="1"/>
      <c r="DG1330" s="1"/>
      <c r="DH1330" s="1"/>
      <c r="DI1330" s="1"/>
      <c r="DJ1330" s="1"/>
      <c r="DK1330" s="1"/>
      <c r="DM1330" s="1"/>
      <c r="DQ1330" s="1"/>
      <c r="DR1330" s="1"/>
      <c r="DY1330" s="1"/>
      <c r="DZ1330" s="1"/>
      <c r="ED1330" s="1"/>
      <c r="EK1330" s="1"/>
      <c r="EL1330" s="1"/>
      <c r="EM1330" s="1"/>
      <c r="EN1330" s="1"/>
      <c r="EQ1330" s="1"/>
      <c r="ER1330" s="1"/>
      <c r="ES1330" s="1"/>
      <c r="EV1330" s="1"/>
      <c r="EW1330" s="1"/>
      <c r="EZ1330" s="1"/>
      <c r="GO1330" s="1"/>
      <c r="GP1330" s="1"/>
      <c r="HH1330" s="1"/>
      <c r="HY1330" s="1"/>
      <c r="ID1330" s="1"/>
      <c r="IE1330" s="1"/>
      <c r="IS1330" s="1"/>
      <c r="IZ1330" s="1"/>
      <c r="JC1330" s="1"/>
      <c r="JF1330" s="1"/>
      <c r="JG1330" s="1"/>
      <c r="JH1330" s="1"/>
      <c r="JI1330" s="1"/>
      <c r="JJ1330" s="1"/>
      <c r="JP1330" s="1"/>
      <c r="JQ1330" s="1"/>
      <c r="JT1330" s="1"/>
      <c r="KU1330" s="1"/>
      <c r="KW1330" s="1"/>
      <c r="KY1330" s="1"/>
      <c r="KZ1330" s="1"/>
      <c r="LA1330" s="1"/>
      <c r="LB1330" s="1"/>
      <c r="LC1330" s="1"/>
      <c r="LD1330" s="1"/>
      <c r="LF1330" s="1"/>
      <c r="LN1330" s="1"/>
      <c r="LO1330" s="1"/>
      <c r="LP1330" s="1"/>
      <c r="LZ1330" s="1"/>
      <c r="MA1330" s="1"/>
    </row>
    <row r="1331" spans="4:339" ht="13" x14ac:dyDescent="0.15">
      <c r="D1331" s="12"/>
      <c r="E1331" s="12"/>
      <c r="I1331" s="12"/>
      <c r="J1331" s="13"/>
      <c r="BF1331" s="1"/>
      <c r="BG1331" s="1"/>
      <c r="BH1331" s="1"/>
      <c r="BI1331" s="1"/>
      <c r="BJ1331" s="1"/>
      <c r="BK1331" s="1"/>
      <c r="BL1331" s="1"/>
      <c r="BM1331" s="1"/>
      <c r="BN1331" s="1"/>
      <c r="BO1331" s="1"/>
      <c r="BP1331" s="1"/>
      <c r="BQ1331" s="1"/>
      <c r="BR1331" s="1"/>
      <c r="CD1331" s="1"/>
      <c r="CG1331" s="1"/>
      <c r="CM1331" s="2"/>
      <c r="CP1331" s="1"/>
      <c r="CQ1331" s="1"/>
      <c r="CX1331" s="1"/>
      <c r="CY1331" s="1"/>
      <c r="CZ1331" s="1"/>
      <c r="DA1331" s="1"/>
      <c r="DB1331" s="1"/>
      <c r="DC1331" s="1"/>
      <c r="DD1331" s="1"/>
      <c r="DE1331" s="1"/>
      <c r="DF1331" s="1"/>
      <c r="DG1331" s="1"/>
      <c r="DH1331" s="1"/>
      <c r="DI1331" s="1"/>
      <c r="DJ1331" s="1"/>
      <c r="DK1331" s="1"/>
      <c r="ED1331" s="1"/>
      <c r="EK1331" s="1"/>
      <c r="EL1331" s="1"/>
      <c r="EM1331" s="1"/>
      <c r="EN1331" s="1"/>
      <c r="EQ1331" s="1"/>
      <c r="ER1331" s="1"/>
      <c r="ES1331" s="1"/>
      <c r="EV1331" s="1"/>
      <c r="EW1331" s="1"/>
      <c r="EZ1331" s="1"/>
      <c r="GO1331" s="1"/>
      <c r="GP1331" s="1"/>
      <c r="HH1331" s="1"/>
      <c r="HY1331" s="1"/>
      <c r="ID1331" s="1"/>
      <c r="IE1331" s="1"/>
      <c r="IK1331" s="1"/>
      <c r="IS1331" s="1"/>
      <c r="IW1331" s="1"/>
      <c r="IY1331" s="1"/>
      <c r="IZ1331" s="1"/>
      <c r="JA1331" s="1"/>
      <c r="JF1331" s="1"/>
      <c r="JG1331" s="1"/>
      <c r="JH1331" s="1"/>
      <c r="JJ1331" s="1"/>
      <c r="JN1331" s="1"/>
      <c r="JP1331" s="1"/>
      <c r="JQ1331" s="1"/>
      <c r="KU1331" s="1"/>
      <c r="KV1331" s="1"/>
      <c r="KY1331" s="1"/>
      <c r="KZ1331" s="1"/>
      <c r="LA1331" s="1"/>
      <c r="LB1331" s="1"/>
      <c r="LC1331" s="1"/>
      <c r="LD1331" s="1"/>
      <c r="LO1331" s="1"/>
      <c r="LP1331" s="1"/>
      <c r="LZ1331" s="1"/>
      <c r="MA1331" s="1"/>
    </row>
    <row r="1332" spans="4:339" ht="13" x14ac:dyDescent="0.15">
      <c r="D1332" s="12"/>
      <c r="E1332" s="12"/>
      <c r="I1332" s="12"/>
      <c r="J1332" s="13"/>
      <c r="BF1332" s="1"/>
      <c r="BG1332" s="1"/>
      <c r="BH1332" s="1"/>
      <c r="BI1332" s="1"/>
      <c r="BJ1332" s="1"/>
      <c r="BK1332" s="1"/>
      <c r="BL1332" s="1"/>
      <c r="BM1332" s="1"/>
      <c r="BN1332" s="1"/>
      <c r="BO1332" s="1"/>
      <c r="BP1332" s="1"/>
      <c r="BQ1332" s="1"/>
      <c r="BR1332" s="1"/>
      <c r="CD1332" s="1"/>
      <c r="CG1332" s="1"/>
      <c r="CM1332" s="2"/>
      <c r="CP1332" s="1"/>
      <c r="CQ1332" s="1"/>
      <c r="CX1332" s="1"/>
      <c r="CY1332" s="1"/>
      <c r="CZ1332" s="1"/>
      <c r="DA1332" s="1"/>
      <c r="DB1332" s="1"/>
      <c r="DC1332" s="1"/>
      <c r="DD1332" s="1"/>
      <c r="DE1332" s="1"/>
      <c r="DF1332" s="1"/>
      <c r="DG1332" s="1"/>
      <c r="DH1332" s="1"/>
      <c r="DI1332" s="1"/>
      <c r="DJ1332" s="1"/>
      <c r="DK1332" s="1"/>
      <c r="ED1332" s="1"/>
      <c r="EK1332" s="1"/>
      <c r="EL1332" s="1"/>
      <c r="EM1332" s="1"/>
      <c r="EN1332" s="1"/>
      <c r="EQ1332" s="1"/>
      <c r="ER1332" s="1"/>
      <c r="ES1332" s="1"/>
      <c r="EV1332" s="1"/>
      <c r="EW1332" s="1"/>
      <c r="EZ1332" s="1"/>
      <c r="GO1332" s="1"/>
      <c r="GP1332" s="1"/>
      <c r="HH1332" s="1"/>
      <c r="HY1332" s="1"/>
      <c r="ID1332" s="1"/>
      <c r="IE1332" s="1"/>
      <c r="IK1332" s="1"/>
      <c r="IS1332" s="1"/>
      <c r="IW1332" s="1"/>
      <c r="IY1332" s="1"/>
      <c r="IZ1332" s="1"/>
      <c r="JA1332" s="1"/>
      <c r="JF1332" s="1"/>
      <c r="JG1332" s="1"/>
      <c r="JH1332" s="1"/>
      <c r="JJ1332" s="1"/>
      <c r="JN1332" s="1"/>
      <c r="JP1332" s="1"/>
      <c r="JQ1332" s="1"/>
      <c r="KU1332" s="1"/>
      <c r="KV1332" s="1"/>
      <c r="KY1332" s="1"/>
      <c r="KZ1332" s="1"/>
      <c r="LA1332" s="1"/>
      <c r="LB1332" s="1"/>
      <c r="LC1332" s="1"/>
      <c r="LD1332" s="1"/>
      <c r="LO1332" s="1"/>
      <c r="LP1332" s="1"/>
      <c r="LZ1332" s="1"/>
      <c r="MA1332" s="1"/>
    </row>
    <row r="1333" spans="4:339" ht="13" x14ac:dyDescent="0.15">
      <c r="D1333" s="12"/>
      <c r="E1333" s="12"/>
      <c r="I1333" s="12"/>
      <c r="J1333" s="13"/>
      <c r="BF1333" s="1"/>
      <c r="BG1333" s="1"/>
      <c r="BH1333" s="1"/>
      <c r="BI1333" s="1"/>
      <c r="BJ1333" s="1"/>
      <c r="BK1333" s="1"/>
      <c r="BL1333" s="1"/>
      <c r="BM1333" s="1"/>
      <c r="BN1333" s="1"/>
      <c r="BO1333" s="1"/>
      <c r="BP1333" s="1"/>
      <c r="BQ1333" s="1"/>
      <c r="BR1333" s="1"/>
      <c r="CD1333" s="1"/>
      <c r="CG1333" s="1"/>
      <c r="CM1333" s="2"/>
      <c r="CP1333" s="1"/>
      <c r="CQ1333" s="1"/>
      <c r="CX1333" s="1"/>
      <c r="CY1333" s="1"/>
      <c r="CZ1333" s="1"/>
      <c r="DA1333" s="1"/>
      <c r="DB1333" s="1"/>
      <c r="DC1333" s="1"/>
      <c r="DD1333" s="1"/>
      <c r="DE1333" s="1"/>
      <c r="DF1333" s="1"/>
      <c r="DG1333" s="1"/>
      <c r="DH1333" s="1"/>
      <c r="DI1333" s="1"/>
      <c r="DJ1333" s="1"/>
      <c r="DK1333" s="1"/>
      <c r="ED1333" s="1"/>
      <c r="EK1333" s="1"/>
      <c r="EL1333" s="1"/>
      <c r="EM1333" s="1"/>
      <c r="EN1333" s="1"/>
      <c r="EQ1333" s="1"/>
      <c r="ER1333" s="1"/>
      <c r="ES1333" s="1"/>
      <c r="EV1333" s="1"/>
      <c r="EW1333" s="1"/>
      <c r="EZ1333" s="1"/>
      <c r="GO1333" s="1"/>
      <c r="GP1333" s="1"/>
      <c r="HH1333" s="1"/>
      <c r="HY1333" s="1"/>
      <c r="ID1333" s="1"/>
      <c r="IE1333" s="1"/>
      <c r="IK1333" s="1"/>
      <c r="IS1333" s="1"/>
      <c r="IW1333" s="1"/>
      <c r="IY1333" s="1"/>
      <c r="IZ1333" s="1"/>
      <c r="JA1333" s="1"/>
      <c r="JF1333" s="1"/>
      <c r="JG1333" s="1"/>
      <c r="JH1333" s="1"/>
      <c r="JJ1333" s="1"/>
      <c r="JN1333" s="1"/>
      <c r="JP1333" s="1"/>
      <c r="JQ1333" s="1"/>
      <c r="KU1333" s="1"/>
      <c r="KV1333" s="1"/>
      <c r="KY1333" s="1"/>
      <c r="KZ1333" s="1"/>
      <c r="LA1333" s="1"/>
      <c r="LB1333" s="1"/>
      <c r="LC1333" s="1"/>
      <c r="LD1333" s="1"/>
      <c r="LO1333" s="1"/>
      <c r="LP1333" s="1"/>
      <c r="LZ1333" s="1"/>
      <c r="MA1333" s="1"/>
    </row>
    <row r="1334" spans="4:339" ht="13" x14ac:dyDescent="0.15">
      <c r="D1334" s="12"/>
      <c r="E1334" s="12"/>
      <c r="I1334" s="12"/>
      <c r="J1334" s="13"/>
      <c r="BF1334" s="1"/>
      <c r="BG1334" s="1"/>
      <c r="BH1334" s="1"/>
      <c r="BI1334" s="1"/>
      <c r="BK1334" s="1"/>
      <c r="BL1334" s="1"/>
      <c r="BM1334" s="1"/>
      <c r="BN1334" s="1"/>
      <c r="BO1334" s="1"/>
      <c r="BP1334" s="1"/>
      <c r="BQ1334" s="1"/>
      <c r="BR1334" s="1"/>
      <c r="CD1334" s="1"/>
      <c r="CE1334" s="1"/>
      <c r="CF1334" s="1"/>
      <c r="CM1334" s="2"/>
      <c r="CP1334" s="1"/>
      <c r="CQ1334" s="1"/>
      <c r="CR1334" s="1"/>
      <c r="CT1334" s="1"/>
      <c r="CU1334" s="1"/>
      <c r="CV1334" s="1"/>
      <c r="CW1334" s="1"/>
      <c r="CX1334" s="1"/>
      <c r="CY1334" s="1"/>
      <c r="CZ1334" s="1"/>
      <c r="DA1334" s="1"/>
      <c r="DB1334" s="1"/>
      <c r="DC1334" s="1"/>
      <c r="DD1334" s="1"/>
      <c r="DE1334" s="1"/>
      <c r="DF1334" s="1"/>
      <c r="DG1334" s="1"/>
      <c r="DH1334" s="1"/>
      <c r="DI1334" s="1"/>
      <c r="DJ1334" s="1"/>
      <c r="DK1334" s="1"/>
      <c r="ED1334" s="1"/>
      <c r="EK1334" s="1"/>
      <c r="EL1334" s="1"/>
      <c r="EM1334" s="1"/>
      <c r="EN1334" s="1"/>
      <c r="EQ1334" s="1"/>
      <c r="ER1334" s="1"/>
      <c r="ES1334" s="1"/>
      <c r="EV1334" s="1"/>
      <c r="EW1334" s="1"/>
      <c r="EZ1334" s="1"/>
      <c r="GP1334" s="1"/>
      <c r="HY1334" s="1"/>
      <c r="ID1334" s="1"/>
      <c r="IE1334" s="1"/>
      <c r="IR1334" s="1"/>
      <c r="IS1334" s="1"/>
      <c r="IZ1334" s="1"/>
      <c r="JG1334" s="1"/>
      <c r="JJ1334" s="1"/>
      <c r="JP1334" s="1"/>
      <c r="JQ1334" s="1"/>
      <c r="KU1334" s="1"/>
      <c r="KV1334" s="1"/>
      <c r="LZ1334" s="1"/>
      <c r="MA1334" s="1"/>
    </row>
    <row r="1335" spans="4:339" ht="13" x14ac:dyDescent="0.15">
      <c r="D1335" s="12"/>
      <c r="E1335" s="12"/>
      <c r="I1335" s="12"/>
      <c r="J1335" s="13"/>
      <c r="BF1335" s="1"/>
      <c r="BG1335" s="1"/>
      <c r="BH1335" s="1"/>
      <c r="BI1335" s="1"/>
      <c r="BK1335" s="1"/>
      <c r="BL1335" s="1"/>
      <c r="BM1335" s="1"/>
      <c r="BN1335" s="1"/>
      <c r="BO1335" s="1"/>
      <c r="BP1335" s="1"/>
      <c r="BQ1335" s="1"/>
      <c r="BR1335" s="1"/>
      <c r="CD1335" s="1"/>
      <c r="CE1335" s="1"/>
      <c r="CF1335" s="1"/>
      <c r="CG1335" s="1"/>
      <c r="CM1335" s="2"/>
      <c r="CP1335" s="1"/>
      <c r="CQ1335" s="1"/>
      <c r="CR1335" s="1"/>
      <c r="CS1335" s="1"/>
      <c r="CT1335" s="1"/>
      <c r="CU1335" s="1"/>
      <c r="CV1335" s="1"/>
      <c r="CW1335" s="1"/>
      <c r="CX1335" s="1"/>
      <c r="CY1335" s="1"/>
      <c r="CZ1335" s="1"/>
      <c r="DA1335" s="1"/>
      <c r="DB1335" s="1"/>
      <c r="DC1335" s="1"/>
      <c r="DD1335" s="1"/>
      <c r="DE1335" s="1"/>
      <c r="DF1335" s="1"/>
      <c r="DG1335" s="1"/>
      <c r="DH1335" s="1"/>
      <c r="DI1335" s="1"/>
      <c r="DJ1335" s="1"/>
      <c r="DK1335" s="1"/>
      <c r="ED1335" s="1"/>
      <c r="EK1335" s="1"/>
      <c r="EL1335" s="1"/>
      <c r="EM1335" s="1"/>
      <c r="EN1335" s="1"/>
      <c r="EQ1335" s="1"/>
      <c r="ER1335" s="1"/>
      <c r="ES1335" s="1"/>
      <c r="EV1335" s="1"/>
      <c r="EW1335" s="1"/>
      <c r="EZ1335" s="1"/>
      <c r="GO1335" s="1"/>
      <c r="GP1335" s="1"/>
      <c r="HH1335" s="1"/>
      <c r="HY1335" s="1"/>
      <c r="IE1335" s="1"/>
      <c r="IR1335" s="1"/>
      <c r="IS1335" s="1"/>
      <c r="IW1335" s="1"/>
      <c r="IZ1335" s="1"/>
      <c r="JA1335" s="1"/>
      <c r="JD1335" s="1"/>
      <c r="JE1335" s="1"/>
      <c r="JG1335" s="1"/>
      <c r="JJ1335" s="1"/>
      <c r="JN1335" s="1"/>
      <c r="JP1335" s="1"/>
      <c r="JQ1335" s="1"/>
      <c r="JV1335" s="1"/>
      <c r="KV1335" s="1"/>
      <c r="KY1335" s="1"/>
      <c r="KZ1335" s="1"/>
      <c r="LA1335" s="1"/>
      <c r="LB1335" s="1"/>
      <c r="LC1335" s="1"/>
      <c r="LD1335" s="1"/>
      <c r="LO1335" s="1"/>
      <c r="LP1335" s="1"/>
      <c r="LZ1335" s="1"/>
      <c r="MA1335" s="1"/>
    </row>
    <row r="1336" spans="4:339" ht="13" x14ac:dyDescent="0.15">
      <c r="D1336" s="12"/>
      <c r="E1336" s="12"/>
      <c r="I1336" s="12"/>
      <c r="J1336" s="13"/>
      <c r="BF1336" s="1"/>
      <c r="BG1336" s="1"/>
      <c r="BH1336" s="1"/>
      <c r="BI1336" s="1"/>
      <c r="BJ1336" s="1"/>
      <c r="BK1336" s="1"/>
      <c r="BL1336" s="1"/>
      <c r="BM1336" s="1"/>
      <c r="BN1336" s="1"/>
      <c r="BO1336" s="1"/>
      <c r="BP1336" s="1"/>
      <c r="BQ1336" s="1"/>
      <c r="BR1336" s="1"/>
      <c r="BX1336" s="1"/>
      <c r="CD1336" s="1"/>
      <c r="CE1336" s="1"/>
      <c r="CF1336" s="1"/>
      <c r="CG1336" s="1"/>
      <c r="CM1336" s="2"/>
      <c r="CP1336" s="1"/>
      <c r="CQ1336" s="1"/>
      <c r="CX1336" s="1"/>
      <c r="CY1336" s="1"/>
      <c r="CZ1336" s="1"/>
      <c r="DA1336" s="1"/>
      <c r="DB1336" s="1"/>
      <c r="DC1336" s="1"/>
      <c r="DD1336" s="1"/>
      <c r="DE1336" s="1"/>
      <c r="DF1336" s="1"/>
      <c r="DG1336" s="1"/>
      <c r="DH1336" s="1"/>
      <c r="DI1336" s="1"/>
      <c r="DJ1336" s="1"/>
      <c r="DK1336" s="1"/>
      <c r="ED1336" s="1"/>
      <c r="EK1336" s="1"/>
      <c r="EL1336" s="1"/>
      <c r="EM1336" s="1"/>
      <c r="EN1336" s="1"/>
      <c r="EQ1336" s="1"/>
      <c r="ER1336" s="1"/>
      <c r="ES1336" s="1"/>
      <c r="EV1336" s="1"/>
      <c r="EW1336" s="1"/>
      <c r="EZ1336" s="1"/>
      <c r="GP1336" s="1"/>
      <c r="HH1336" s="1"/>
      <c r="HX1336" s="1"/>
      <c r="HY1336" s="1"/>
      <c r="IE1336" s="1"/>
      <c r="IR1336" s="1"/>
      <c r="IS1336" s="1"/>
      <c r="IW1336" s="1"/>
      <c r="IZ1336" s="1"/>
      <c r="JA1336" s="1"/>
      <c r="JC1336" s="1"/>
      <c r="JF1336" s="1"/>
      <c r="JG1336" s="1"/>
      <c r="JH1336" s="1"/>
      <c r="JJ1336" s="1"/>
      <c r="JN1336" s="1"/>
      <c r="JP1336" s="1"/>
      <c r="JQ1336" s="1"/>
      <c r="JT1336" s="1"/>
      <c r="KU1336" s="1"/>
      <c r="KV1336" s="1"/>
      <c r="KY1336" s="1"/>
      <c r="KZ1336" s="1"/>
      <c r="LA1336" s="1"/>
      <c r="LB1336" s="1"/>
      <c r="LC1336" s="1"/>
      <c r="LD1336" s="1"/>
      <c r="LF1336" s="1"/>
      <c r="LO1336" s="1"/>
      <c r="LP1336" s="1"/>
      <c r="LZ1336" s="1"/>
      <c r="MA1336" s="1"/>
    </row>
    <row r="1337" spans="4:339" ht="13" x14ac:dyDescent="0.15">
      <c r="D1337" s="12"/>
      <c r="E1337" s="12"/>
      <c r="I1337" s="12"/>
      <c r="J1337" s="13"/>
      <c r="BF1337" s="1"/>
      <c r="BG1337" s="1"/>
      <c r="BH1337" s="1"/>
      <c r="BI1337" s="1"/>
      <c r="BJ1337" s="1"/>
      <c r="BK1337" s="1"/>
      <c r="BL1337" s="1"/>
      <c r="BM1337" s="1"/>
      <c r="BN1337" s="1"/>
      <c r="BO1337" s="1"/>
      <c r="BP1337" s="1"/>
      <c r="BQ1337" s="1"/>
      <c r="BR1337" s="1"/>
      <c r="BX1337" s="1"/>
      <c r="CD1337" s="1"/>
      <c r="CE1337" s="1"/>
      <c r="CF1337" s="1"/>
      <c r="CG1337" s="1"/>
      <c r="CM1337" s="2"/>
      <c r="CP1337" s="1"/>
      <c r="CQ1337" s="1"/>
      <c r="CX1337" s="1"/>
      <c r="CY1337" s="1"/>
      <c r="CZ1337" s="1"/>
      <c r="DA1337" s="1"/>
      <c r="DB1337" s="1"/>
      <c r="DC1337" s="1"/>
      <c r="DD1337" s="1"/>
      <c r="DE1337" s="1"/>
      <c r="DF1337" s="1"/>
      <c r="DG1337" s="1"/>
      <c r="DH1337" s="1"/>
      <c r="DI1337" s="1"/>
      <c r="DJ1337" s="1"/>
      <c r="DK1337" s="1"/>
      <c r="ED1337" s="1"/>
      <c r="EK1337" s="1"/>
      <c r="EL1337" s="1"/>
      <c r="EM1337" s="1"/>
      <c r="EN1337" s="1"/>
      <c r="EQ1337" s="1"/>
      <c r="ER1337" s="1"/>
      <c r="ES1337" s="1"/>
      <c r="EV1337" s="1"/>
      <c r="EW1337" s="1"/>
      <c r="EZ1337" s="1"/>
      <c r="GP1337" s="1"/>
      <c r="HH1337" s="1"/>
      <c r="HX1337" s="1"/>
      <c r="HY1337" s="1"/>
      <c r="IE1337" s="1"/>
      <c r="IR1337" s="1"/>
      <c r="IS1337" s="1"/>
      <c r="IW1337" s="1"/>
      <c r="IZ1337" s="1"/>
      <c r="JA1337" s="1"/>
      <c r="JC1337" s="1"/>
      <c r="JF1337" s="1"/>
      <c r="JG1337" s="1"/>
      <c r="JH1337" s="1"/>
      <c r="JJ1337" s="1"/>
      <c r="JN1337" s="1"/>
      <c r="JP1337" s="1"/>
      <c r="JQ1337" s="1"/>
      <c r="JT1337" s="1"/>
      <c r="KU1337" s="1"/>
      <c r="KV1337" s="1"/>
      <c r="KY1337" s="1"/>
      <c r="KZ1337" s="1"/>
      <c r="LA1337" s="1"/>
      <c r="LB1337" s="1"/>
      <c r="LC1337" s="1"/>
      <c r="LD1337" s="1"/>
      <c r="LF1337" s="1"/>
      <c r="LO1337" s="1"/>
      <c r="LP1337" s="1"/>
      <c r="LZ1337" s="1"/>
      <c r="MA1337" s="1"/>
    </row>
    <row r="1338" spans="4:339" ht="13" x14ac:dyDescent="0.15">
      <c r="D1338" s="12"/>
      <c r="E1338" s="12"/>
      <c r="I1338" s="12"/>
      <c r="J1338" s="13"/>
      <c r="BF1338" s="1"/>
      <c r="BG1338" s="1"/>
      <c r="BH1338" s="1"/>
      <c r="BI1338" s="1"/>
      <c r="BK1338" s="1"/>
      <c r="BL1338" s="1"/>
      <c r="BM1338" s="1"/>
      <c r="BN1338" s="1"/>
      <c r="BO1338" s="1"/>
      <c r="BP1338" s="1"/>
      <c r="BQ1338" s="1"/>
      <c r="BR1338" s="1"/>
      <c r="CD1338" s="1"/>
      <c r="CE1338" s="1"/>
      <c r="CF1338" s="1"/>
      <c r="CG1338" s="1"/>
      <c r="CM1338" s="2"/>
      <c r="CP1338" s="1"/>
      <c r="CQ1338" s="1"/>
      <c r="CR1338" s="1"/>
      <c r="CS1338" s="1"/>
      <c r="CT1338" s="1"/>
      <c r="CU1338" s="1"/>
      <c r="CV1338" s="1"/>
      <c r="CW1338" s="1"/>
      <c r="CX1338" s="1"/>
      <c r="CY1338" s="1"/>
      <c r="CZ1338" s="1"/>
      <c r="DA1338" s="1"/>
      <c r="DB1338" s="1"/>
      <c r="DC1338" s="1"/>
      <c r="DD1338" s="1"/>
      <c r="DE1338" s="1"/>
      <c r="DF1338" s="1"/>
      <c r="DG1338" s="1"/>
      <c r="DH1338" s="1"/>
      <c r="DI1338" s="1"/>
      <c r="DJ1338" s="1"/>
      <c r="DK1338" s="1"/>
      <c r="ED1338" s="1"/>
      <c r="EK1338" s="1"/>
      <c r="EL1338" s="1"/>
      <c r="EM1338" s="1"/>
      <c r="EN1338" s="1"/>
      <c r="EQ1338" s="1"/>
      <c r="ER1338" s="1"/>
      <c r="ES1338" s="1"/>
      <c r="EV1338" s="1"/>
      <c r="EW1338" s="1"/>
      <c r="EZ1338" s="1"/>
      <c r="GP1338" s="1"/>
      <c r="HH1338" s="1"/>
      <c r="HY1338" s="1"/>
      <c r="IC1338" s="1"/>
      <c r="IE1338" s="1"/>
      <c r="IK1338" s="1"/>
      <c r="IR1338" s="1"/>
      <c r="IS1338" s="1"/>
      <c r="IY1338" s="1"/>
      <c r="IZ1338" s="1"/>
      <c r="JC1338" s="1"/>
      <c r="JF1338" s="1"/>
      <c r="JG1338" s="1"/>
      <c r="JH1338" s="1"/>
      <c r="JJ1338" s="1"/>
      <c r="JN1338" s="1"/>
      <c r="JP1338" s="1"/>
      <c r="JQ1338" s="1"/>
      <c r="JT1338" s="1"/>
      <c r="KU1338" s="1"/>
      <c r="KV1338" s="1"/>
      <c r="KW1338" s="1"/>
      <c r="KY1338" s="1"/>
      <c r="KZ1338" s="1"/>
      <c r="LA1338" s="1"/>
      <c r="LB1338" s="1"/>
      <c r="LC1338" s="1"/>
      <c r="LD1338" s="1"/>
      <c r="LN1338" s="1"/>
      <c r="LO1338" s="1"/>
      <c r="LP1338" s="1"/>
      <c r="LZ1338" s="1"/>
      <c r="MA1338" s="1"/>
    </row>
    <row r="1339" spans="4:339" ht="13" x14ac:dyDescent="0.15">
      <c r="D1339" s="12"/>
      <c r="E1339" s="12"/>
      <c r="I1339" s="12"/>
      <c r="J1339" s="13"/>
      <c r="BF1339" s="1"/>
      <c r="BG1339" s="1"/>
      <c r="BH1339" s="1"/>
      <c r="BI1339" s="1"/>
      <c r="BK1339" s="1"/>
      <c r="BL1339" s="1"/>
      <c r="BM1339" s="1"/>
      <c r="BN1339" s="1"/>
      <c r="BO1339" s="1"/>
      <c r="BP1339" s="1"/>
      <c r="BQ1339" s="1"/>
      <c r="BR1339" s="1"/>
      <c r="CD1339" s="1"/>
      <c r="CE1339" s="1"/>
      <c r="CF1339" s="1"/>
      <c r="CG1339" s="1"/>
      <c r="CM1339" s="2"/>
      <c r="CP1339" s="1"/>
      <c r="CQ1339" s="1"/>
      <c r="CR1339" s="1"/>
      <c r="CS1339" s="1"/>
      <c r="CT1339" s="1"/>
      <c r="CU1339" s="1"/>
      <c r="CV1339" s="1"/>
      <c r="CW1339" s="1"/>
      <c r="CX1339" s="1"/>
      <c r="CY1339" s="1"/>
      <c r="CZ1339" s="1"/>
      <c r="DA1339" s="1"/>
      <c r="DB1339" s="1"/>
      <c r="DC1339" s="1"/>
      <c r="DD1339" s="1"/>
      <c r="DE1339" s="1"/>
      <c r="DF1339" s="1"/>
      <c r="DG1339" s="1"/>
      <c r="DH1339" s="1"/>
      <c r="DI1339" s="1"/>
      <c r="DJ1339" s="1"/>
      <c r="DK1339" s="1"/>
      <c r="ED1339" s="1"/>
      <c r="EK1339" s="1"/>
      <c r="EL1339" s="1"/>
      <c r="EM1339" s="1"/>
      <c r="EN1339" s="1"/>
      <c r="EQ1339" s="1"/>
      <c r="ER1339" s="1"/>
      <c r="ES1339" s="1"/>
      <c r="EV1339" s="1"/>
      <c r="EW1339" s="1"/>
      <c r="EZ1339" s="1"/>
      <c r="GP1339" s="1"/>
      <c r="HH1339" s="1"/>
      <c r="HY1339" s="1"/>
      <c r="IC1339" s="1"/>
      <c r="IE1339" s="1"/>
      <c r="IK1339" s="1"/>
      <c r="IR1339" s="1"/>
      <c r="IS1339" s="1"/>
      <c r="IY1339" s="1"/>
      <c r="IZ1339" s="1"/>
      <c r="JC1339" s="1"/>
      <c r="JF1339" s="1"/>
      <c r="JG1339" s="1"/>
      <c r="JH1339" s="1"/>
      <c r="JJ1339" s="1"/>
      <c r="JN1339" s="1"/>
      <c r="JP1339" s="1"/>
      <c r="JQ1339" s="1"/>
      <c r="JT1339" s="1"/>
      <c r="KU1339" s="1"/>
      <c r="KV1339" s="1"/>
      <c r="KW1339" s="1"/>
      <c r="KY1339" s="1"/>
      <c r="KZ1339" s="1"/>
      <c r="LA1339" s="1"/>
      <c r="LB1339" s="1"/>
      <c r="LC1339" s="1"/>
      <c r="LD1339" s="1"/>
      <c r="LN1339" s="1"/>
      <c r="LO1339" s="1"/>
      <c r="LP1339" s="1"/>
      <c r="LZ1339" s="1"/>
      <c r="MA1339" s="1"/>
    </row>
    <row r="1340" spans="4:339" ht="13" x14ac:dyDescent="0.15">
      <c r="D1340" s="12"/>
      <c r="E1340" s="12"/>
      <c r="I1340" s="12"/>
      <c r="J1340" s="13"/>
      <c r="BF1340" s="1"/>
      <c r="BG1340" s="1"/>
      <c r="BH1340" s="1"/>
      <c r="BI1340" s="1"/>
      <c r="BK1340" s="1"/>
      <c r="BL1340" s="1"/>
      <c r="BM1340" s="1"/>
      <c r="BN1340" s="1"/>
      <c r="BO1340" s="1"/>
      <c r="BP1340" s="1"/>
      <c r="BQ1340" s="1"/>
      <c r="BR1340" s="1"/>
      <c r="CD1340" s="1"/>
      <c r="CE1340" s="1"/>
      <c r="CF1340" s="1"/>
      <c r="CG1340" s="1"/>
      <c r="CM1340" s="2"/>
      <c r="CP1340" s="1"/>
      <c r="CQ1340" s="1"/>
      <c r="CR1340" s="1"/>
      <c r="CS1340" s="1"/>
      <c r="CT1340" s="1"/>
      <c r="CU1340" s="1"/>
      <c r="CV1340" s="1"/>
      <c r="CW1340" s="1"/>
      <c r="CX1340" s="1"/>
      <c r="CY1340" s="1"/>
      <c r="CZ1340" s="1"/>
      <c r="DA1340" s="1"/>
      <c r="DB1340" s="1"/>
      <c r="DC1340" s="1"/>
      <c r="DD1340" s="1"/>
      <c r="DE1340" s="1"/>
      <c r="DF1340" s="1"/>
      <c r="DG1340" s="1"/>
      <c r="DH1340" s="1"/>
      <c r="DI1340" s="1"/>
      <c r="DJ1340" s="1"/>
      <c r="DK1340" s="1"/>
      <c r="ED1340" s="1"/>
      <c r="EK1340" s="1"/>
      <c r="EL1340" s="1"/>
      <c r="EM1340" s="1"/>
      <c r="EN1340" s="1"/>
      <c r="EQ1340" s="1"/>
      <c r="ER1340" s="1"/>
      <c r="ES1340" s="1"/>
      <c r="EV1340" s="1"/>
      <c r="EW1340" s="1"/>
      <c r="EZ1340" s="1"/>
      <c r="GP1340" s="1"/>
      <c r="HH1340" s="1"/>
      <c r="HY1340" s="1"/>
      <c r="IC1340" s="1"/>
      <c r="IE1340" s="1"/>
      <c r="IK1340" s="1"/>
      <c r="IR1340" s="1"/>
      <c r="IS1340" s="1"/>
      <c r="IY1340" s="1"/>
      <c r="IZ1340" s="1"/>
      <c r="JC1340" s="1"/>
      <c r="JF1340" s="1"/>
      <c r="JG1340" s="1"/>
      <c r="JH1340" s="1"/>
      <c r="JJ1340" s="1"/>
      <c r="JN1340" s="1"/>
      <c r="JP1340" s="1"/>
      <c r="JQ1340" s="1"/>
      <c r="JT1340" s="1"/>
      <c r="KU1340" s="1"/>
      <c r="KV1340" s="1"/>
      <c r="KW1340" s="1"/>
      <c r="KY1340" s="1"/>
      <c r="KZ1340" s="1"/>
      <c r="LA1340" s="1"/>
      <c r="LB1340" s="1"/>
      <c r="LC1340" s="1"/>
      <c r="LD1340" s="1"/>
      <c r="LN1340" s="1"/>
      <c r="LO1340" s="1"/>
      <c r="LP1340" s="1"/>
      <c r="LZ1340" s="1"/>
      <c r="MA1340" s="1"/>
    </row>
    <row r="1341" spans="4:339" ht="13" x14ac:dyDescent="0.15">
      <c r="D1341" s="12"/>
      <c r="E1341" s="12"/>
      <c r="I1341" s="12"/>
      <c r="J1341" s="13"/>
      <c r="BF1341" s="1"/>
      <c r="BG1341" s="1"/>
      <c r="BH1341" s="1"/>
      <c r="BI1341" s="1"/>
      <c r="BK1341" s="1"/>
      <c r="BL1341" s="1"/>
      <c r="BM1341" s="1"/>
      <c r="BN1341" s="1"/>
      <c r="BO1341" s="1"/>
      <c r="BQ1341" s="1"/>
      <c r="BR1341" s="1"/>
      <c r="CD1341" s="1"/>
      <c r="CE1341" s="1"/>
      <c r="CF1341" s="1"/>
      <c r="CM1341" s="2"/>
      <c r="ED1341" s="1"/>
      <c r="EL1341" s="1"/>
      <c r="EM1341" s="1"/>
      <c r="EN1341" s="1"/>
      <c r="EQ1341" s="1"/>
      <c r="ER1341" s="1"/>
      <c r="ES1341" s="1"/>
      <c r="EV1341" s="1"/>
      <c r="EW1341" s="1"/>
      <c r="EZ1341" s="1"/>
      <c r="GP1341" s="1"/>
      <c r="HY1341" s="1"/>
      <c r="HZ1341" s="1"/>
      <c r="IC1341" s="1"/>
      <c r="IS1341" s="1"/>
      <c r="IW1341" s="1"/>
      <c r="IZ1341" s="1"/>
      <c r="JF1341" s="1"/>
      <c r="JG1341" s="1"/>
      <c r="JH1341" s="1"/>
      <c r="JJ1341" s="1"/>
      <c r="JP1341" s="1"/>
      <c r="JQ1341" s="1"/>
      <c r="JT1341" s="1"/>
      <c r="JU1341" s="1"/>
      <c r="KU1341" s="1"/>
      <c r="KV1341" s="1"/>
    </row>
    <row r="1342" spans="4:339" ht="13" x14ac:dyDescent="0.15">
      <c r="D1342" s="12"/>
      <c r="E1342" s="12"/>
      <c r="I1342" s="12"/>
      <c r="J1342" s="13"/>
      <c r="BF1342" s="1"/>
      <c r="BG1342" s="1"/>
      <c r="BH1342" s="1"/>
      <c r="BI1342" s="1"/>
      <c r="BK1342" s="1"/>
      <c r="BL1342" s="1"/>
      <c r="BM1342" s="1"/>
      <c r="BN1342" s="1"/>
      <c r="BO1342" s="1"/>
      <c r="BQ1342" s="1"/>
      <c r="BR1342" s="1"/>
      <c r="CD1342" s="1"/>
      <c r="CE1342" s="1"/>
      <c r="CF1342" s="1"/>
      <c r="CM1342" s="2"/>
      <c r="ED1342" s="1"/>
      <c r="EL1342" s="1"/>
      <c r="EM1342" s="1"/>
      <c r="EN1342" s="1"/>
      <c r="EQ1342" s="1"/>
      <c r="ER1342" s="1"/>
      <c r="ES1342" s="1"/>
      <c r="EV1342" s="1"/>
      <c r="EW1342" s="1"/>
      <c r="EZ1342" s="1"/>
      <c r="GP1342" s="1"/>
      <c r="HY1342" s="1"/>
      <c r="IS1342" s="1"/>
      <c r="IZ1342" s="1"/>
      <c r="JC1342" s="1"/>
      <c r="JJ1342" s="1"/>
      <c r="JP1342" s="1"/>
      <c r="JQ1342" s="1"/>
      <c r="JU1342" s="1"/>
      <c r="LM1342" s="1"/>
      <c r="LZ1342" s="1"/>
    </row>
    <row r="1343" spans="4:339" ht="13" x14ac:dyDescent="0.15">
      <c r="D1343" s="12"/>
      <c r="E1343" s="12"/>
      <c r="I1343" s="12"/>
      <c r="J1343" s="13"/>
      <c r="BG1343" s="1"/>
      <c r="BH1343" s="1"/>
      <c r="BI1343" s="1"/>
      <c r="BK1343" s="1"/>
      <c r="BL1343" s="1"/>
      <c r="BM1343" s="1"/>
      <c r="BN1343" s="1"/>
      <c r="BO1343" s="1"/>
      <c r="BP1343" s="1"/>
      <c r="BQ1343" s="1"/>
      <c r="BR1343" s="1"/>
      <c r="CD1343" s="1"/>
      <c r="CE1343" s="1"/>
      <c r="CF1343" s="1"/>
      <c r="CG1343" s="1"/>
      <c r="CM1343" s="2"/>
      <c r="CP1343" s="1"/>
      <c r="CQ1343" s="1"/>
      <c r="CV1343" s="1"/>
      <c r="CW1343" s="1"/>
      <c r="CX1343" s="1"/>
      <c r="CY1343" s="1"/>
      <c r="CZ1343" s="1"/>
      <c r="DA1343" s="1"/>
      <c r="DB1343" s="1"/>
      <c r="DC1343" s="1"/>
      <c r="DD1343" s="1"/>
      <c r="DE1343" s="1"/>
      <c r="DF1343" s="1"/>
      <c r="DG1343" s="1"/>
      <c r="DH1343" s="1"/>
      <c r="DI1343" s="1"/>
      <c r="DJ1343" s="1"/>
      <c r="DK1343" s="1"/>
      <c r="DQ1343" s="1"/>
      <c r="DR1343" s="1"/>
      <c r="DY1343" s="1"/>
      <c r="DZ1343" s="1"/>
      <c r="ED1343" s="1"/>
      <c r="EK1343" s="1"/>
      <c r="EL1343" s="1"/>
      <c r="EM1343" s="1"/>
      <c r="EN1343" s="1"/>
      <c r="EQ1343" s="1"/>
      <c r="ER1343" s="1"/>
      <c r="ES1343" s="1"/>
      <c r="EV1343" s="1"/>
      <c r="EW1343" s="1"/>
      <c r="EZ1343" s="1"/>
      <c r="GO1343" s="1"/>
      <c r="GP1343" s="1"/>
      <c r="HY1343" s="1"/>
      <c r="IE1343" s="1"/>
      <c r="IS1343" s="1"/>
      <c r="IY1343" s="1"/>
      <c r="IZ1343" s="1"/>
      <c r="JJ1343" s="1"/>
      <c r="JN1343" s="1"/>
      <c r="JP1343" s="1"/>
      <c r="JQ1343" s="1"/>
      <c r="KY1343" s="1"/>
      <c r="KZ1343" s="1"/>
      <c r="LA1343" s="1"/>
      <c r="LB1343" s="1"/>
      <c r="LC1343" s="1"/>
      <c r="LD1343" s="1"/>
      <c r="LO1343" s="1"/>
      <c r="LP1343" s="1"/>
      <c r="LZ1343" s="1"/>
      <c r="MA1343" s="1"/>
    </row>
    <row r="1344" spans="4:339" ht="13" x14ac:dyDescent="0.15">
      <c r="D1344" s="12"/>
      <c r="E1344" s="12"/>
      <c r="I1344" s="12"/>
      <c r="J1344" s="13"/>
      <c r="BF1344" s="1"/>
      <c r="BG1344" s="1"/>
      <c r="BH1344" s="1"/>
      <c r="BI1344" s="1"/>
      <c r="BK1344" s="1"/>
      <c r="BL1344" s="1"/>
      <c r="BM1344" s="1"/>
      <c r="BN1344" s="1"/>
      <c r="BO1344" s="1"/>
      <c r="BP1344" s="1"/>
      <c r="BQ1344" s="1"/>
      <c r="BR1344" s="1"/>
      <c r="BX1344" s="1"/>
      <c r="CD1344" s="1"/>
      <c r="CE1344" s="1"/>
      <c r="CF1344" s="1"/>
      <c r="CM1344" s="2"/>
      <c r="CP1344" s="1"/>
      <c r="CQ1344" s="1"/>
      <c r="CS1344" s="1"/>
      <c r="CT1344" s="1"/>
      <c r="CU1344" s="1"/>
      <c r="CV1344" s="1"/>
      <c r="CW1344" s="1"/>
      <c r="CX1344" s="1"/>
      <c r="CY1344" s="1"/>
      <c r="CZ1344" s="1"/>
      <c r="DA1344" s="1"/>
      <c r="DB1344" s="1"/>
      <c r="DC1344" s="1"/>
      <c r="DD1344" s="1"/>
      <c r="DE1344" s="1"/>
      <c r="DF1344" s="1"/>
      <c r="DG1344" s="1"/>
      <c r="DH1344" s="1"/>
      <c r="DI1344" s="1"/>
      <c r="DJ1344" s="1"/>
      <c r="DK1344" s="1"/>
      <c r="DM1344" s="1"/>
      <c r="DQ1344" s="1"/>
      <c r="DR1344" s="1"/>
      <c r="DY1344" s="1"/>
      <c r="DZ1344" s="1"/>
      <c r="ED1344" s="1"/>
      <c r="EK1344" s="1"/>
      <c r="EL1344" s="1"/>
      <c r="EM1344" s="1"/>
      <c r="EN1344" s="1"/>
      <c r="EQ1344" s="1"/>
      <c r="ER1344" s="1"/>
      <c r="ES1344" s="1"/>
      <c r="EV1344" s="1"/>
      <c r="EW1344" s="1"/>
      <c r="EZ1344" s="1"/>
      <c r="GO1344" s="1"/>
      <c r="GP1344" s="1"/>
      <c r="HY1344" s="1"/>
      <c r="HZ1344" s="1"/>
      <c r="IE1344" s="1"/>
      <c r="IS1344" s="1"/>
      <c r="IY1344" s="1"/>
      <c r="IZ1344" s="1"/>
      <c r="JC1344" s="1"/>
      <c r="JF1344" s="1"/>
      <c r="JG1344" s="1"/>
      <c r="JJ1344" s="1"/>
      <c r="JN1344" s="1"/>
      <c r="JP1344" s="1"/>
      <c r="JQ1344" s="1"/>
      <c r="JT1344" s="1"/>
      <c r="KU1344" s="1"/>
      <c r="KV1344" s="1"/>
      <c r="KW1344" s="1"/>
      <c r="KY1344" s="1"/>
      <c r="KZ1344" s="1"/>
      <c r="LA1344" s="1"/>
      <c r="LB1344" s="1"/>
      <c r="LC1344" s="1"/>
      <c r="LD1344" s="1"/>
      <c r="LO1344" s="1"/>
      <c r="LP1344" s="1"/>
      <c r="LZ1344" s="1"/>
      <c r="MA1344" s="1"/>
    </row>
    <row r="1345" spans="4:339" ht="13" x14ac:dyDescent="0.15">
      <c r="D1345" s="12"/>
      <c r="E1345" s="12"/>
      <c r="I1345" s="12"/>
      <c r="J1345" s="13"/>
      <c r="BG1345" s="1"/>
      <c r="BH1345" s="1"/>
      <c r="BI1345" s="1"/>
      <c r="BK1345" s="1"/>
      <c r="BL1345" s="1"/>
      <c r="BM1345" s="1"/>
      <c r="BN1345" s="1"/>
      <c r="BO1345" s="1"/>
      <c r="BQ1345" s="1"/>
      <c r="BR1345" s="1"/>
      <c r="CD1345" s="1"/>
      <c r="CE1345" s="1"/>
      <c r="CF1345" s="1"/>
      <c r="CM1345" s="2"/>
      <c r="ED1345" s="1"/>
      <c r="EL1345" s="1"/>
      <c r="EM1345" s="1"/>
      <c r="EN1345" s="1"/>
      <c r="EQ1345" s="1"/>
      <c r="ER1345" s="1"/>
      <c r="ES1345" s="1"/>
      <c r="EV1345" s="1"/>
      <c r="EW1345" s="1"/>
      <c r="EZ1345" s="1"/>
      <c r="GP1345" s="1"/>
      <c r="HY1345" s="1"/>
      <c r="HZ1345" s="1"/>
      <c r="ID1345" s="1"/>
      <c r="IS1345" s="1"/>
      <c r="IZ1345" s="1"/>
      <c r="JG1345" s="1"/>
      <c r="JH1345" s="1"/>
      <c r="JJ1345" s="1"/>
      <c r="JP1345" s="1"/>
      <c r="JQ1345" s="1"/>
      <c r="JT1345" s="1"/>
      <c r="JU1345" s="1"/>
      <c r="KU1345" s="1"/>
      <c r="LR1345" s="1"/>
      <c r="LS1345" s="1"/>
      <c r="LT1345" s="1"/>
      <c r="LU1345" s="1"/>
    </row>
    <row r="1346" spans="4:339" ht="13" x14ac:dyDescent="0.15">
      <c r="D1346" s="12"/>
      <c r="E1346" s="12"/>
      <c r="I1346" s="12"/>
      <c r="J1346" s="13"/>
      <c r="BF1346" s="1"/>
      <c r="BG1346" s="1"/>
      <c r="BH1346" s="1"/>
      <c r="BI1346" s="1"/>
      <c r="BJ1346" s="1"/>
      <c r="BK1346" s="1"/>
      <c r="BL1346" s="1"/>
      <c r="BM1346" s="1"/>
      <c r="BN1346" s="1"/>
      <c r="BO1346" s="1"/>
      <c r="BP1346" s="1"/>
      <c r="BQ1346" s="1"/>
      <c r="BR1346" s="1"/>
      <c r="BX1346" s="1"/>
      <c r="CD1346" s="1"/>
      <c r="CK1346" s="1"/>
      <c r="CM1346" s="2"/>
      <c r="CP1346" s="1"/>
      <c r="CQ1346" s="1"/>
      <c r="CX1346" s="1"/>
      <c r="CY1346" s="1"/>
      <c r="CZ1346" s="1"/>
      <c r="DA1346" s="1"/>
      <c r="DB1346" s="1"/>
      <c r="DC1346" s="1"/>
      <c r="DD1346" s="1"/>
      <c r="DE1346" s="1"/>
      <c r="DF1346" s="1"/>
      <c r="DG1346" s="1"/>
      <c r="DH1346" s="1"/>
      <c r="DI1346" s="1"/>
      <c r="DJ1346" s="1"/>
      <c r="DK1346" s="1"/>
      <c r="DM1346" s="1"/>
      <c r="DQ1346" s="1"/>
      <c r="DR1346" s="1"/>
      <c r="DY1346" s="1"/>
      <c r="DZ1346" s="1"/>
      <c r="ED1346" s="1"/>
      <c r="EK1346" s="1"/>
      <c r="EL1346" s="1"/>
      <c r="EM1346" s="1"/>
      <c r="EN1346" s="1"/>
      <c r="EQ1346" s="1"/>
      <c r="ER1346" s="1"/>
      <c r="ES1346" s="1"/>
      <c r="EV1346" s="1"/>
      <c r="EW1346" s="1"/>
      <c r="EZ1346" s="1"/>
      <c r="GP1346" s="1"/>
      <c r="HH1346" s="1"/>
      <c r="HY1346" s="1"/>
      <c r="ID1346" s="1"/>
      <c r="IE1346" s="1"/>
      <c r="IR1346" s="1"/>
      <c r="IS1346" s="1"/>
      <c r="IW1346" s="1"/>
      <c r="IZ1346" s="1"/>
      <c r="JA1346" s="1"/>
      <c r="JF1346" s="1"/>
      <c r="JG1346" s="1"/>
      <c r="JH1346" s="1"/>
      <c r="JJ1346" s="1"/>
      <c r="JP1346" s="1"/>
      <c r="JQ1346" s="1"/>
      <c r="KU1346" s="1"/>
      <c r="KV1346" s="1"/>
      <c r="KW1346" s="1"/>
      <c r="KY1346" s="1"/>
      <c r="KZ1346" s="1"/>
      <c r="LA1346" s="1"/>
      <c r="LB1346" s="1"/>
      <c r="LC1346" s="1"/>
      <c r="LD1346" s="1"/>
      <c r="LO1346" s="1"/>
      <c r="LP1346" s="1"/>
      <c r="LZ1346" s="1"/>
      <c r="MA1346" s="1"/>
    </row>
    <row r="1347" spans="4:339" ht="13" x14ac:dyDescent="0.15">
      <c r="D1347" s="12"/>
      <c r="E1347" s="12"/>
      <c r="I1347" s="12"/>
      <c r="J1347" s="13"/>
      <c r="BF1347" s="1"/>
      <c r="BG1347" s="1"/>
      <c r="BH1347" s="1"/>
      <c r="BI1347" s="1"/>
      <c r="BK1347" s="1"/>
      <c r="BL1347" s="1"/>
      <c r="BM1347" s="1"/>
      <c r="BN1347" s="1"/>
      <c r="BQ1347" s="1"/>
      <c r="BR1347" s="1"/>
      <c r="CD1347" s="1"/>
      <c r="CE1347" s="1"/>
      <c r="CF1347" s="1"/>
      <c r="CM1347" s="2"/>
      <c r="ED1347" s="1"/>
      <c r="EL1347" s="1"/>
      <c r="EM1347" s="1"/>
      <c r="EN1347" s="1"/>
      <c r="EQ1347" s="1"/>
      <c r="ER1347" s="1"/>
      <c r="ES1347" s="1"/>
      <c r="EV1347" s="1"/>
      <c r="EW1347" s="1"/>
      <c r="EZ1347" s="1"/>
      <c r="GP1347" s="1"/>
      <c r="IC1347" s="1"/>
      <c r="IR1347" s="1"/>
      <c r="IS1347" s="1"/>
      <c r="IW1347" s="1"/>
      <c r="IZ1347" s="1"/>
      <c r="JA1347" s="1"/>
      <c r="JG1347" s="1"/>
      <c r="JH1347" s="1"/>
      <c r="JJ1347" s="1"/>
      <c r="JP1347" s="1"/>
      <c r="JQ1347" s="1"/>
      <c r="JT1347" s="1"/>
      <c r="KV1347" s="1"/>
    </row>
    <row r="1348" spans="4:339" ht="13" x14ac:dyDescent="0.15">
      <c r="D1348" s="12"/>
      <c r="E1348" s="12"/>
      <c r="I1348" s="12"/>
      <c r="J1348" s="13"/>
      <c r="BF1348" s="1"/>
      <c r="BG1348" s="1"/>
      <c r="BH1348" s="1"/>
      <c r="BI1348" s="1"/>
      <c r="BK1348" s="1"/>
      <c r="BL1348" s="1"/>
      <c r="BM1348" s="1"/>
      <c r="BN1348" s="1"/>
      <c r="BQ1348" s="1"/>
      <c r="BR1348" s="1"/>
      <c r="CD1348" s="1"/>
      <c r="CE1348" s="1"/>
      <c r="CF1348" s="1"/>
      <c r="CM1348" s="2"/>
      <c r="ED1348" s="1"/>
      <c r="EL1348" s="1"/>
      <c r="EM1348" s="1"/>
      <c r="EN1348" s="1"/>
      <c r="EQ1348" s="1"/>
      <c r="ER1348" s="1"/>
      <c r="ES1348" s="1"/>
      <c r="EV1348" s="1"/>
      <c r="EW1348" s="1"/>
      <c r="EZ1348" s="1"/>
      <c r="GP1348" s="1"/>
      <c r="IC1348" s="1"/>
      <c r="IR1348" s="1"/>
      <c r="IS1348" s="1"/>
      <c r="IW1348" s="1"/>
      <c r="IZ1348" s="1"/>
      <c r="JA1348" s="1"/>
      <c r="JG1348" s="1"/>
      <c r="JH1348" s="1"/>
      <c r="JJ1348" s="1"/>
      <c r="JP1348" s="1"/>
      <c r="JQ1348" s="1"/>
      <c r="JT1348" s="1"/>
      <c r="KV1348" s="1"/>
    </row>
    <row r="1349" spans="4:339" ht="13" x14ac:dyDescent="0.15">
      <c r="D1349" s="12"/>
      <c r="E1349" s="12"/>
      <c r="I1349" s="12"/>
      <c r="J1349" s="13"/>
      <c r="BF1349" s="1"/>
      <c r="BG1349" s="1"/>
      <c r="BH1349" s="1"/>
      <c r="BI1349" s="1"/>
      <c r="BK1349" s="1"/>
      <c r="BL1349" s="1"/>
      <c r="BM1349" s="1"/>
      <c r="BN1349" s="1"/>
      <c r="BQ1349" s="1"/>
      <c r="BR1349" s="1"/>
      <c r="CD1349" s="1"/>
      <c r="CE1349" s="1"/>
      <c r="CF1349" s="1"/>
      <c r="CM1349" s="2"/>
      <c r="ED1349" s="1"/>
      <c r="EL1349" s="1"/>
      <c r="EM1349" s="1"/>
      <c r="EN1349" s="1"/>
      <c r="EQ1349" s="1"/>
      <c r="ER1349" s="1"/>
      <c r="ES1349" s="1"/>
      <c r="EV1349" s="1"/>
      <c r="EW1349" s="1"/>
      <c r="EZ1349" s="1"/>
      <c r="GP1349" s="1"/>
      <c r="IC1349" s="1"/>
      <c r="IR1349" s="1"/>
      <c r="IS1349" s="1"/>
      <c r="IW1349" s="1"/>
      <c r="IZ1349" s="1"/>
      <c r="JA1349" s="1"/>
      <c r="JG1349" s="1"/>
      <c r="JH1349" s="1"/>
      <c r="JJ1349" s="1"/>
      <c r="JP1349" s="1"/>
      <c r="JQ1349" s="1"/>
      <c r="JT1349" s="1"/>
      <c r="KV1349" s="1"/>
    </row>
    <row r="1350" spans="4:339" ht="13" x14ac:dyDescent="0.15">
      <c r="D1350" s="12"/>
      <c r="E1350" s="12"/>
      <c r="I1350" s="12"/>
      <c r="J1350" s="13"/>
      <c r="BF1350" s="1"/>
      <c r="BG1350" s="1"/>
      <c r="BH1350" s="1"/>
      <c r="BI1350" s="1"/>
      <c r="BK1350" s="1"/>
      <c r="BL1350" s="1"/>
      <c r="BM1350" s="1"/>
      <c r="BN1350" s="1"/>
      <c r="BQ1350" s="1"/>
      <c r="BR1350" s="1"/>
      <c r="CD1350" s="1"/>
      <c r="CE1350" s="1"/>
      <c r="CF1350" s="1"/>
      <c r="CM1350" s="2"/>
      <c r="ED1350" s="1"/>
      <c r="EL1350" s="1"/>
      <c r="EM1350" s="1"/>
      <c r="EN1350" s="1"/>
      <c r="EQ1350" s="1"/>
      <c r="ER1350" s="1"/>
      <c r="ES1350" s="1"/>
      <c r="EV1350" s="1"/>
      <c r="EW1350" s="1"/>
      <c r="EZ1350" s="1"/>
      <c r="GP1350" s="1"/>
      <c r="IC1350" s="1"/>
      <c r="IR1350" s="1"/>
      <c r="IS1350" s="1"/>
      <c r="IW1350" s="1"/>
      <c r="IZ1350" s="1"/>
      <c r="JA1350" s="1"/>
      <c r="JG1350" s="1"/>
      <c r="JH1350" s="1"/>
      <c r="JJ1350" s="1"/>
      <c r="JP1350" s="1"/>
      <c r="JQ1350" s="1"/>
      <c r="JT1350" s="1"/>
      <c r="KV1350" s="1"/>
    </row>
    <row r="1351" spans="4:339" ht="13" x14ac:dyDescent="0.15">
      <c r="D1351" s="12"/>
      <c r="E1351" s="12"/>
      <c r="I1351" s="12"/>
      <c r="J1351" s="13"/>
      <c r="BF1351" s="1"/>
      <c r="BG1351" s="1"/>
      <c r="BH1351" s="1"/>
      <c r="BI1351" s="1"/>
      <c r="BK1351" s="1"/>
      <c r="BL1351" s="1"/>
      <c r="BM1351" s="1"/>
      <c r="BN1351" s="1"/>
      <c r="BQ1351" s="1"/>
      <c r="BR1351" s="1"/>
      <c r="CD1351" s="1"/>
      <c r="CE1351" s="1"/>
      <c r="CF1351" s="1"/>
      <c r="CM1351" s="2"/>
      <c r="ED1351" s="1"/>
      <c r="EL1351" s="1"/>
      <c r="EM1351" s="1"/>
      <c r="EN1351" s="1"/>
      <c r="EQ1351" s="1"/>
      <c r="ER1351" s="1"/>
      <c r="ES1351" s="1"/>
      <c r="EV1351" s="1"/>
      <c r="EW1351" s="1"/>
      <c r="EZ1351" s="1"/>
      <c r="GP1351" s="1"/>
      <c r="IC1351" s="1"/>
      <c r="IR1351" s="1"/>
      <c r="IS1351" s="1"/>
      <c r="IW1351" s="1"/>
      <c r="IZ1351" s="1"/>
      <c r="JA1351" s="1"/>
      <c r="JG1351" s="1"/>
      <c r="JH1351" s="1"/>
      <c r="JJ1351" s="1"/>
      <c r="JP1351" s="1"/>
      <c r="JQ1351" s="1"/>
      <c r="JT1351" s="1"/>
      <c r="KV1351" s="1"/>
    </row>
    <row r="1352" spans="4:339" ht="13" x14ac:dyDescent="0.15">
      <c r="D1352" s="12"/>
      <c r="E1352" s="12"/>
      <c r="I1352" s="12"/>
      <c r="J1352" s="13"/>
      <c r="BF1352" s="1"/>
      <c r="BG1352" s="1"/>
      <c r="BH1352" s="1"/>
      <c r="BI1352" s="1"/>
      <c r="BK1352" s="1"/>
      <c r="BL1352" s="1"/>
      <c r="BM1352" s="1"/>
      <c r="BN1352" s="1"/>
      <c r="BQ1352" s="1"/>
      <c r="BR1352" s="1"/>
      <c r="CD1352" s="1"/>
      <c r="CE1352" s="1"/>
      <c r="CF1352" s="1"/>
      <c r="CM1352" s="2"/>
      <c r="ED1352" s="1"/>
      <c r="EL1352" s="1"/>
      <c r="EM1352" s="1"/>
      <c r="EN1352" s="1"/>
      <c r="EQ1352" s="1"/>
      <c r="ER1352" s="1"/>
      <c r="ES1352" s="1"/>
      <c r="EV1352" s="1"/>
      <c r="EW1352" s="1"/>
      <c r="EZ1352" s="1"/>
      <c r="GP1352" s="1"/>
      <c r="IC1352" s="1"/>
      <c r="IR1352" s="1"/>
      <c r="IS1352" s="1"/>
      <c r="IW1352" s="1"/>
      <c r="IZ1352" s="1"/>
      <c r="JA1352" s="1"/>
      <c r="JG1352" s="1"/>
      <c r="JH1352" s="1"/>
      <c r="JJ1352" s="1"/>
      <c r="JP1352" s="1"/>
      <c r="JQ1352" s="1"/>
      <c r="JT1352" s="1"/>
      <c r="KV1352" s="1"/>
    </row>
    <row r="1353" spans="4:339" ht="13" x14ac:dyDescent="0.15">
      <c r="D1353" s="12"/>
      <c r="E1353" s="12"/>
      <c r="I1353" s="12"/>
      <c r="J1353" s="13"/>
      <c r="BF1353" s="1"/>
      <c r="BG1353" s="1"/>
      <c r="BH1353" s="1"/>
      <c r="BI1353" s="1"/>
      <c r="BK1353" s="1"/>
      <c r="BL1353" s="1"/>
      <c r="BM1353" s="1"/>
      <c r="BN1353" s="1"/>
      <c r="BQ1353" s="1"/>
      <c r="BR1353" s="1"/>
      <c r="CD1353" s="1"/>
      <c r="CE1353" s="1"/>
      <c r="CF1353" s="1"/>
      <c r="CM1353" s="2"/>
      <c r="ED1353" s="1"/>
      <c r="EL1353" s="1"/>
      <c r="EM1353" s="1"/>
      <c r="EN1353" s="1"/>
      <c r="EQ1353" s="1"/>
      <c r="ER1353" s="1"/>
      <c r="ES1353" s="1"/>
      <c r="EV1353" s="1"/>
      <c r="EW1353" s="1"/>
      <c r="EZ1353" s="1"/>
      <c r="GP1353" s="1"/>
      <c r="IC1353" s="1"/>
      <c r="IR1353" s="1"/>
      <c r="IS1353" s="1"/>
      <c r="IW1353" s="1"/>
      <c r="IZ1353" s="1"/>
      <c r="JA1353" s="1"/>
      <c r="JG1353" s="1"/>
      <c r="JH1353" s="1"/>
      <c r="JJ1353" s="1"/>
      <c r="JP1353" s="1"/>
      <c r="JQ1353" s="1"/>
      <c r="JT1353" s="1"/>
      <c r="KV1353" s="1"/>
    </row>
    <row r="1354" spans="4:339" ht="13" x14ac:dyDescent="0.15">
      <c r="D1354" s="12"/>
      <c r="E1354" s="12"/>
      <c r="I1354" s="12"/>
      <c r="J1354" s="13"/>
      <c r="BF1354" s="1"/>
      <c r="BG1354" s="1"/>
      <c r="BH1354" s="1"/>
      <c r="BI1354" s="1"/>
      <c r="BK1354" s="1"/>
      <c r="BL1354" s="1"/>
      <c r="BM1354" s="1"/>
      <c r="BN1354" s="1"/>
      <c r="BQ1354" s="1"/>
      <c r="BR1354" s="1"/>
      <c r="CD1354" s="1"/>
      <c r="CE1354" s="1"/>
      <c r="CF1354" s="1"/>
      <c r="CM1354" s="2"/>
      <c r="ED1354" s="1"/>
      <c r="EL1354" s="1"/>
      <c r="EM1354" s="1"/>
      <c r="EN1354" s="1"/>
      <c r="EQ1354" s="1"/>
      <c r="ER1354" s="1"/>
      <c r="ES1354" s="1"/>
      <c r="EV1354" s="1"/>
      <c r="EW1354" s="1"/>
      <c r="EZ1354" s="1"/>
      <c r="GP1354" s="1"/>
      <c r="IC1354" s="1"/>
      <c r="IR1354" s="1"/>
      <c r="IS1354" s="1"/>
      <c r="IW1354" s="1"/>
      <c r="IZ1354" s="1"/>
      <c r="JA1354" s="1"/>
      <c r="JG1354" s="1"/>
      <c r="JH1354" s="1"/>
      <c r="JJ1354" s="1"/>
      <c r="JP1354" s="1"/>
      <c r="JQ1354" s="1"/>
      <c r="JT1354" s="1"/>
      <c r="KV1354" s="1"/>
    </row>
    <row r="1355" spans="4:339" ht="13" x14ac:dyDescent="0.15">
      <c r="D1355" s="12"/>
      <c r="E1355" s="12"/>
      <c r="I1355" s="12"/>
      <c r="J1355" s="13"/>
      <c r="BF1355" s="1"/>
      <c r="BG1355" s="1"/>
      <c r="BH1355" s="1"/>
      <c r="BI1355" s="1"/>
      <c r="BK1355" s="1"/>
      <c r="BL1355" s="1"/>
      <c r="BM1355" s="1"/>
      <c r="BN1355" s="1"/>
      <c r="BQ1355" s="1"/>
      <c r="BR1355" s="1"/>
      <c r="CD1355" s="1"/>
      <c r="CE1355" s="1"/>
      <c r="CF1355" s="1"/>
      <c r="CM1355" s="2"/>
      <c r="ED1355" s="1"/>
      <c r="EL1355" s="1"/>
      <c r="EM1355" s="1"/>
      <c r="EN1355" s="1"/>
      <c r="EQ1355" s="1"/>
      <c r="ER1355" s="1"/>
      <c r="ES1355" s="1"/>
      <c r="EV1355" s="1"/>
      <c r="EW1355" s="1"/>
      <c r="EZ1355" s="1"/>
      <c r="GP1355" s="1"/>
      <c r="IC1355" s="1"/>
      <c r="IR1355" s="1"/>
      <c r="IS1355" s="1"/>
      <c r="IW1355" s="1"/>
      <c r="IZ1355" s="1"/>
      <c r="JA1355" s="1"/>
      <c r="JG1355" s="1"/>
      <c r="JH1355" s="1"/>
      <c r="JJ1355" s="1"/>
      <c r="JP1355" s="1"/>
      <c r="JQ1355" s="1"/>
      <c r="JT1355" s="1"/>
      <c r="KV1355" s="1"/>
    </row>
    <row r="1356" spans="4:339" ht="13" x14ac:dyDescent="0.15">
      <c r="D1356" s="12"/>
      <c r="E1356" s="12"/>
      <c r="I1356" s="12"/>
      <c r="J1356" s="13"/>
      <c r="BF1356" s="1"/>
      <c r="BG1356" s="1"/>
      <c r="BH1356" s="1"/>
      <c r="BI1356" s="1"/>
      <c r="BK1356" s="1"/>
      <c r="BL1356" s="1"/>
      <c r="BM1356" s="1"/>
      <c r="BN1356" s="1"/>
      <c r="BQ1356" s="1"/>
      <c r="BR1356" s="1"/>
      <c r="CD1356" s="1"/>
      <c r="CE1356" s="1"/>
      <c r="CF1356" s="1"/>
      <c r="CM1356" s="2"/>
      <c r="ED1356" s="1"/>
      <c r="EL1356" s="1"/>
      <c r="EM1356" s="1"/>
      <c r="EN1356" s="1"/>
      <c r="EQ1356" s="1"/>
      <c r="ER1356" s="1"/>
      <c r="ES1356" s="1"/>
      <c r="EV1356" s="1"/>
      <c r="EW1356" s="1"/>
      <c r="EZ1356" s="1"/>
      <c r="GP1356" s="1"/>
      <c r="IC1356" s="1"/>
      <c r="IR1356" s="1"/>
      <c r="IS1356" s="1"/>
      <c r="IW1356" s="1"/>
      <c r="IZ1356" s="1"/>
      <c r="JA1356" s="1"/>
      <c r="JG1356" s="1"/>
      <c r="JH1356" s="1"/>
      <c r="JJ1356" s="1"/>
      <c r="JP1356" s="1"/>
      <c r="JQ1356" s="1"/>
      <c r="JT1356" s="1"/>
      <c r="KV1356" s="1"/>
    </row>
    <row r="1357" spans="4:339" ht="13" x14ac:dyDescent="0.15">
      <c r="D1357" s="12"/>
      <c r="E1357" s="12"/>
      <c r="I1357" s="12"/>
      <c r="J1357" s="13"/>
      <c r="BF1357" s="1"/>
      <c r="BG1357" s="1"/>
      <c r="BH1357" s="1"/>
      <c r="BI1357" s="1"/>
      <c r="BK1357" s="1"/>
      <c r="BL1357" s="1"/>
      <c r="BM1357" s="1"/>
      <c r="BN1357" s="1"/>
      <c r="BQ1357" s="1"/>
      <c r="BR1357" s="1"/>
      <c r="CD1357" s="1"/>
      <c r="CE1357" s="1"/>
      <c r="CF1357" s="1"/>
      <c r="CM1357" s="2"/>
      <c r="ED1357" s="1"/>
      <c r="EL1357" s="1"/>
      <c r="EM1357" s="1"/>
      <c r="EN1357" s="1"/>
      <c r="EQ1357" s="1"/>
      <c r="ER1357" s="1"/>
      <c r="ES1357" s="1"/>
      <c r="EV1357" s="1"/>
      <c r="EW1357" s="1"/>
      <c r="EZ1357" s="1"/>
      <c r="GP1357" s="1"/>
      <c r="IC1357" s="1"/>
      <c r="IR1357" s="1"/>
      <c r="IS1357" s="1"/>
      <c r="IW1357" s="1"/>
      <c r="IZ1357" s="1"/>
      <c r="JA1357" s="1"/>
      <c r="JG1357" s="1"/>
      <c r="JH1357" s="1"/>
      <c r="JJ1357" s="1"/>
      <c r="JP1357" s="1"/>
      <c r="JQ1357" s="1"/>
      <c r="JT1357" s="1"/>
      <c r="KV1357" s="1"/>
    </row>
    <row r="1358" spans="4:339" ht="13" x14ac:dyDescent="0.15">
      <c r="D1358" s="12"/>
      <c r="E1358" s="12"/>
      <c r="I1358" s="12"/>
      <c r="J1358" s="13"/>
      <c r="BF1358" s="1"/>
      <c r="BG1358" s="1"/>
      <c r="BH1358" s="1"/>
      <c r="BI1358" s="1"/>
      <c r="BK1358" s="1"/>
      <c r="BL1358" s="1"/>
      <c r="BM1358" s="1"/>
      <c r="BN1358" s="1"/>
      <c r="BQ1358" s="1"/>
      <c r="BR1358" s="1"/>
      <c r="CD1358" s="1"/>
      <c r="CE1358" s="1"/>
      <c r="CF1358" s="1"/>
      <c r="CM1358" s="2"/>
      <c r="ED1358" s="1"/>
      <c r="EL1358" s="1"/>
      <c r="EM1358" s="1"/>
      <c r="EN1358" s="1"/>
      <c r="EQ1358" s="1"/>
      <c r="ER1358" s="1"/>
      <c r="ES1358" s="1"/>
      <c r="EV1358" s="1"/>
      <c r="EW1358" s="1"/>
      <c r="EZ1358" s="1"/>
      <c r="GP1358" s="1"/>
      <c r="IC1358" s="1"/>
      <c r="IR1358" s="1"/>
      <c r="IS1358" s="1"/>
      <c r="IW1358" s="1"/>
      <c r="IZ1358" s="1"/>
      <c r="JA1358" s="1"/>
      <c r="JG1358" s="1"/>
      <c r="JH1358" s="1"/>
      <c r="JJ1358" s="1"/>
      <c r="JP1358" s="1"/>
      <c r="JQ1358" s="1"/>
      <c r="JT1358" s="1"/>
      <c r="KV1358" s="1"/>
    </row>
    <row r="1359" spans="4:339" ht="13" x14ac:dyDescent="0.15">
      <c r="D1359" s="12"/>
      <c r="E1359" s="12"/>
      <c r="I1359" s="12"/>
      <c r="J1359" s="13"/>
      <c r="BF1359" s="1"/>
      <c r="BG1359" s="1"/>
      <c r="BH1359" s="1"/>
      <c r="BI1359" s="1"/>
      <c r="BK1359" s="1"/>
      <c r="BL1359" s="1"/>
      <c r="BM1359" s="1"/>
      <c r="BN1359" s="1"/>
      <c r="BQ1359" s="1"/>
      <c r="BR1359" s="1"/>
      <c r="CD1359" s="1"/>
      <c r="CE1359" s="1"/>
      <c r="CF1359" s="1"/>
      <c r="CM1359" s="2"/>
      <c r="ED1359" s="1"/>
      <c r="EL1359" s="1"/>
      <c r="EM1359" s="1"/>
      <c r="EN1359" s="1"/>
      <c r="EQ1359" s="1"/>
      <c r="ER1359" s="1"/>
      <c r="ES1359" s="1"/>
      <c r="EV1359" s="1"/>
      <c r="EW1359" s="1"/>
      <c r="EZ1359" s="1"/>
      <c r="GP1359" s="1"/>
      <c r="IC1359" s="1"/>
      <c r="IR1359" s="1"/>
      <c r="IS1359" s="1"/>
      <c r="IW1359" s="1"/>
      <c r="IZ1359" s="1"/>
      <c r="JA1359" s="1"/>
      <c r="JG1359" s="1"/>
      <c r="JH1359" s="1"/>
      <c r="JJ1359" s="1"/>
      <c r="JP1359" s="1"/>
      <c r="JQ1359" s="1"/>
      <c r="JT1359" s="1"/>
      <c r="KV1359" s="1"/>
    </row>
    <row r="1360" spans="4:339" ht="13" x14ac:dyDescent="0.15">
      <c r="D1360" s="12"/>
      <c r="E1360" s="12"/>
      <c r="I1360" s="12"/>
      <c r="J1360" s="13"/>
      <c r="BF1360" s="1"/>
      <c r="BG1360" s="1"/>
      <c r="BH1360" s="1"/>
      <c r="BI1360" s="1"/>
      <c r="BK1360" s="1"/>
      <c r="BL1360" s="1"/>
      <c r="BM1360" s="1"/>
      <c r="BN1360" s="1"/>
      <c r="BQ1360" s="1"/>
      <c r="BR1360" s="1"/>
      <c r="CD1360" s="1"/>
      <c r="CE1360" s="1"/>
      <c r="CF1360" s="1"/>
      <c r="CM1360" s="2"/>
      <c r="ED1360" s="1"/>
      <c r="EL1360" s="1"/>
      <c r="EM1360" s="1"/>
      <c r="EN1360" s="1"/>
      <c r="EQ1360" s="1"/>
      <c r="ER1360" s="1"/>
      <c r="ES1360" s="1"/>
      <c r="EV1360" s="1"/>
      <c r="EW1360" s="1"/>
      <c r="EZ1360" s="1"/>
      <c r="GP1360" s="1"/>
      <c r="IC1360" s="1"/>
      <c r="IR1360" s="1"/>
      <c r="IS1360" s="1"/>
      <c r="IW1360" s="1"/>
      <c r="IZ1360" s="1"/>
      <c r="JA1360" s="1"/>
      <c r="JG1360" s="1"/>
      <c r="JH1360" s="1"/>
      <c r="JJ1360" s="1"/>
      <c r="JP1360" s="1"/>
      <c r="JQ1360" s="1"/>
      <c r="JT1360" s="1"/>
      <c r="KV1360" s="1"/>
    </row>
    <row r="1361" spans="4:339" ht="13" x14ac:dyDescent="0.15">
      <c r="D1361" s="12"/>
      <c r="E1361" s="12"/>
      <c r="I1361" s="12"/>
      <c r="J1361" s="13"/>
      <c r="BF1361" s="1"/>
      <c r="BG1361" s="1"/>
      <c r="BH1361" s="1"/>
      <c r="BI1361" s="1"/>
      <c r="BK1361" s="1"/>
      <c r="BL1361" s="1"/>
      <c r="BM1361" s="1"/>
      <c r="BN1361" s="1"/>
      <c r="BQ1361" s="1"/>
      <c r="BR1361" s="1"/>
      <c r="CD1361" s="1"/>
      <c r="CE1361" s="1"/>
      <c r="CF1361" s="1"/>
      <c r="CM1361" s="2"/>
      <c r="ED1361" s="1"/>
      <c r="EL1361" s="1"/>
      <c r="EM1361" s="1"/>
      <c r="EN1361" s="1"/>
      <c r="EQ1361" s="1"/>
      <c r="ER1361" s="1"/>
      <c r="ES1361" s="1"/>
      <c r="EV1361" s="1"/>
      <c r="EW1361" s="1"/>
      <c r="EZ1361" s="1"/>
      <c r="GP1361" s="1"/>
      <c r="IC1361" s="1"/>
      <c r="IR1361" s="1"/>
      <c r="IS1361" s="1"/>
      <c r="IW1361" s="1"/>
      <c r="IZ1361" s="1"/>
      <c r="JA1361" s="1"/>
      <c r="JG1361" s="1"/>
      <c r="JH1361" s="1"/>
      <c r="JJ1361" s="1"/>
      <c r="JP1361" s="1"/>
      <c r="JQ1361" s="1"/>
      <c r="JT1361" s="1"/>
      <c r="KV1361" s="1"/>
    </row>
    <row r="1362" spans="4:339" ht="13" x14ac:dyDescent="0.15">
      <c r="D1362" s="12"/>
      <c r="E1362" s="12"/>
      <c r="I1362" s="12"/>
      <c r="J1362" s="13"/>
      <c r="BF1362" s="1"/>
      <c r="BG1362" s="1"/>
      <c r="BH1362" s="1"/>
      <c r="BI1362" s="1"/>
      <c r="BK1362" s="1"/>
      <c r="BL1362" s="1"/>
      <c r="BM1362" s="1"/>
      <c r="BN1362" s="1"/>
      <c r="BQ1362" s="1"/>
      <c r="BR1362" s="1"/>
      <c r="CD1362" s="1"/>
      <c r="CE1362" s="1"/>
      <c r="CF1362" s="1"/>
      <c r="CM1362" s="2"/>
      <c r="ED1362" s="1"/>
      <c r="EL1362" s="1"/>
      <c r="EM1362" s="1"/>
      <c r="EN1362" s="1"/>
      <c r="EQ1362" s="1"/>
      <c r="ER1362" s="1"/>
      <c r="ES1362" s="1"/>
      <c r="EV1362" s="1"/>
      <c r="EW1362" s="1"/>
      <c r="EZ1362" s="1"/>
      <c r="GP1362" s="1"/>
      <c r="IC1362" s="1"/>
      <c r="IR1362" s="1"/>
      <c r="IS1362" s="1"/>
      <c r="IW1362" s="1"/>
      <c r="IZ1362" s="1"/>
      <c r="JA1362" s="1"/>
      <c r="JG1362" s="1"/>
      <c r="JH1362" s="1"/>
      <c r="JJ1362" s="1"/>
      <c r="JP1362" s="1"/>
      <c r="JQ1362" s="1"/>
      <c r="JT1362" s="1"/>
      <c r="KV1362" s="1"/>
    </row>
    <row r="1363" spans="4:339" ht="13" x14ac:dyDescent="0.15">
      <c r="D1363" s="12"/>
      <c r="E1363" s="12"/>
      <c r="I1363" s="12"/>
      <c r="J1363" s="13"/>
      <c r="BF1363" s="1"/>
      <c r="BG1363" s="1"/>
      <c r="BH1363" s="1"/>
      <c r="BI1363" s="1"/>
      <c r="BK1363" s="1"/>
      <c r="BL1363" s="1"/>
      <c r="BM1363" s="1"/>
      <c r="BN1363" s="1"/>
      <c r="BQ1363" s="1"/>
      <c r="BR1363" s="1"/>
      <c r="CD1363" s="1"/>
      <c r="CE1363" s="1"/>
      <c r="CF1363" s="1"/>
      <c r="CM1363" s="2"/>
      <c r="ED1363" s="1"/>
      <c r="EL1363" s="1"/>
      <c r="EM1363" s="1"/>
      <c r="EN1363" s="1"/>
      <c r="EQ1363" s="1"/>
      <c r="ER1363" s="1"/>
      <c r="ES1363" s="1"/>
      <c r="EV1363" s="1"/>
      <c r="EW1363" s="1"/>
      <c r="EZ1363" s="1"/>
      <c r="GP1363" s="1"/>
      <c r="IC1363" s="1"/>
      <c r="IR1363" s="1"/>
      <c r="IS1363" s="1"/>
      <c r="IW1363" s="1"/>
      <c r="IZ1363" s="1"/>
      <c r="JA1363" s="1"/>
      <c r="JG1363" s="1"/>
      <c r="JH1363" s="1"/>
      <c r="JJ1363" s="1"/>
      <c r="JP1363" s="1"/>
      <c r="JQ1363" s="1"/>
      <c r="JT1363" s="1"/>
      <c r="KV1363" s="1"/>
    </row>
    <row r="1364" spans="4:339" ht="13" x14ac:dyDescent="0.15">
      <c r="D1364" s="12"/>
      <c r="E1364" s="12"/>
      <c r="I1364" s="12"/>
      <c r="J1364" s="13"/>
      <c r="BF1364" s="1"/>
      <c r="BG1364" s="1"/>
      <c r="BH1364" s="1"/>
      <c r="BI1364" s="1"/>
      <c r="BK1364" s="1"/>
      <c r="BL1364" s="1"/>
      <c r="BM1364" s="1"/>
      <c r="BN1364" s="1"/>
      <c r="BQ1364" s="1"/>
      <c r="BR1364" s="1"/>
      <c r="CD1364" s="1"/>
      <c r="CE1364" s="1"/>
      <c r="CF1364" s="1"/>
      <c r="CM1364" s="2"/>
      <c r="ED1364" s="1"/>
      <c r="EL1364" s="1"/>
      <c r="EM1364" s="1"/>
      <c r="EN1364" s="1"/>
      <c r="EQ1364" s="1"/>
      <c r="ER1364" s="1"/>
      <c r="ES1364" s="1"/>
      <c r="EV1364" s="1"/>
      <c r="EW1364" s="1"/>
      <c r="EZ1364" s="1"/>
      <c r="GP1364" s="1"/>
      <c r="IC1364" s="1"/>
      <c r="IR1364" s="1"/>
      <c r="IS1364" s="1"/>
      <c r="IW1364" s="1"/>
      <c r="IZ1364" s="1"/>
      <c r="JA1364" s="1"/>
      <c r="JG1364" s="1"/>
      <c r="JH1364" s="1"/>
      <c r="JJ1364" s="1"/>
      <c r="JP1364" s="1"/>
      <c r="JQ1364" s="1"/>
      <c r="JT1364" s="1"/>
      <c r="KV1364" s="1"/>
    </row>
    <row r="1365" spans="4:339" ht="13" x14ac:dyDescent="0.15">
      <c r="D1365" s="12"/>
      <c r="E1365" s="12"/>
      <c r="I1365" s="12"/>
      <c r="J1365" s="13"/>
      <c r="BF1365" s="1"/>
      <c r="BG1365" s="1"/>
      <c r="BH1365" s="1"/>
      <c r="BI1365" s="1"/>
      <c r="BK1365" s="1"/>
      <c r="BL1365" s="1"/>
      <c r="BM1365" s="1"/>
      <c r="BN1365" s="1"/>
      <c r="BO1365" s="1"/>
      <c r="BQ1365" s="1"/>
      <c r="BR1365" s="1"/>
      <c r="CD1365" s="1"/>
      <c r="CE1365" s="1"/>
      <c r="CF1365" s="1"/>
      <c r="CG1365" s="1"/>
      <c r="CM1365" s="2"/>
      <c r="ED1365" s="1"/>
      <c r="EL1365" s="1"/>
      <c r="EM1365" s="1"/>
      <c r="EN1365" s="1"/>
      <c r="EQ1365" s="1"/>
      <c r="ER1365" s="1"/>
      <c r="ES1365" s="1"/>
      <c r="EV1365" s="1"/>
      <c r="EW1365" s="1"/>
      <c r="EZ1365" s="1"/>
      <c r="GP1365" s="1"/>
      <c r="HY1365" s="1"/>
      <c r="IC1365" s="1"/>
      <c r="ID1365" s="1"/>
      <c r="IR1365" s="1"/>
      <c r="IS1365" s="1"/>
      <c r="IZ1365" s="1"/>
      <c r="JF1365" s="1"/>
      <c r="JJ1365" s="1"/>
      <c r="JN1365" s="1"/>
      <c r="JP1365" s="1"/>
      <c r="JQ1365" s="1"/>
      <c r="JT1365" s="1"/>
      <c r="KV1365" s="1"/>
    </row>
    <row r="1366" spans="4:339" ht="13" x14ac:dyDescent="0.15">
      <c r="D1366" s="12"/>
      <c r="E1366" s="12"/>
      <c r="I1366" s="12"/>
      <c r="J1366" s="13"/>
      <c r="BF1366" s="1"/>
      <c r="BG1366" s="1"/>
      <c r="BH1366" s="1"/>
      <c r="BI1366" s="1"/>
      <c r="BK1366" s="1"/>
      <c r="BL1366" s="1"/>
      <c r="BM1366" s="1"/>
      <c r="BN1366" s="1"/>
      <c r="BO1366" s="1"/>
      <c r="BQ1366" s="1"/>
      <c r="BR1366" s="1"/>
      <c r="CD1366" s="1"/>
      <c r="CE1366" s="1"/>
      <c r="CF1366" s="1"/>
      <c r="CG1366" s="1"/>
      <c r="CM1366" s="2"/>
      <c r="ED1366" s="1"/>
      <c r="EL1366" s="1"/>
      <c r="EM1366" s="1"/>
      <c r="EN1366" s="1"/>
      <c r="EQ1366" s="1"/>
      <c r="ER1366" s="1"/>
      <c r="ES1366" s="1"/>
      <c r="EV1366" s="1"/>
      <c r="EW1366" s="1"/>
      <c r="EZ1366" s="1"/>
      <c r="GP1366" s="1"/>
      <c r="HY1366" s="1"/>
      <c r="IC1366" s="1"/>
      <c r="ID1366" s="1"/>
      <c r="IR1366" s="1"/>
      <c r="IS1366" s="1"/>
      <c r="IZ1366" s="1"/>
      <c r="JF1366" s="1"/>
      <c r="JJ1366" s="1"/>
      <c r="JN1366" s="1"/>
      <c r="JP1366" s="1"/>
      <c r="JQ1366" s="1"/>
      <c r="JT1366" s="1"/>
      <c r="KV1366" s="1"/>
    </row>
    <row r="1367" spans="4:339" ht="13" x14ac:dyDescent="0.15">
      <c r="D1367" s="12"/>
      <c r="E1367" s="12"/>
      <c r="I1367" s="12"/>
      <c r="J1367" s="13"/>
      <c r="BG1367" s="1"/>
      <c r="BH1367" s="1"/>
      <c r="BI1367" s="1"/>
      <c r="BK1367" s="1"/>
      <c r="BL1367" s="1"/>
      <c r="BM1367" s="1"/>
      <c r="BN1367" s="1"/>
      <c r="BP1367" s="1"/>
      <c r="BQ1367" s="1"/>
      <c r="BR1367" s="1"/>
      <c r="CD1367" s="1"/>
      <c r="CE1367" s="1"/>
      <c r="CF1367" s="1"/>
      <c r="CG1367" s="1"/>
      <c r="CM1367" s="2"/>
      <c r="CP1367" s="1"/>
      <c r="CQ1367" s="1"/>
      <c r="CR1367" s="1"/>
      <c r="CT1367" s="1"/>
      <c r="CU1367" s="1"/>
      <c r="CV1367" s="1"/>
      <c r="CW1367" s="1"/>
      <c r="CX1367" s="1"/>
      <c r="CY1367" s="1"/>
      <c r="CZ1367" s="1"/>
      <c r="DA1367" s="1"/>
      <c r="DB1367" s="1"/>
      <c r="DC1367" s="1"/>
      <c r="DD1367" s="1"/>
      <c r="DE1367" s="1"/>
      <c r="DF1367" s="1"/>
      <c r="DG1367" s="1"/>
      <c r="DH1367" s="1"/>
      <c r="DI1367" s="1"/>
      <c r="DJ1367" s="1"/>
      <c r="DK1367" s="1"/>
      <c r="DM1367" s="1"/>
      <c r="DQ1367" s="1"/>
      <c r="DR1367" s="1"/>
      <c r="DY1367" s="1"/>
      <c r="DZ1367" s="1"/>
      <c r="ED1367" s="1"/>
      <c r="EK1367" s="1"/>
      <c r="EL1367" s="1"/>
      <c r="EM1367" s="1"/>
      <c r="EN1367" s="1"/>
      <c r="EQ1367" s="1"/>
      <c r="ER1367" s="1"/>
      <c r="ES1367" s="1"/>
      <c r="EV1367" s="1"/>
      <c r="EW1367" s="1"/>
      <c r="EZ1367" s="1"/>
      <c r="GP1367" s="1"/>
      <c r="HY1367" s="1"/>
      <c r="IE1367" s="1"/>
      <c r="IR1367" s="1"/>
      <c r="IS1367" s="1"/>
      <c r="IY1367" s="1"/>
      <c r="IZ1367" s="1"/>
      <c r="JC1367" s="1"/>
      <c r="JG1367" s="1"/>
      <c r="JJ1367" s="1"/>
      <c r="JP1367" s="1"/>
      <c r="JQ1367" s="1"/>
      <c r="KV1367" s="1"/>
      <c r="KY1367" s="1"/>
      <c r="KZ1367" s="1"/>
      <c r="LA1367" s="1"/>
      <c r="LB1367" s="1"/>
      <c r="LC1367" s="1"/>
      <c r="LD1367" s="1"/>
      <c r="LM1367" s="1"/>
      <c r="LO1367" s="1"/>
      <c r="LP1367" s="1"/>
      <c r="LZ1367" s="1"/>
    </row>
    <row r="1368" spans="4:339" ht="13" x14ac:dyDescent="0.15">
      <c r="D1368" s="12"/>
      <c r="E1368" s="12"/>
      <c r="I1368" s="12"/>
      <c r="J1368" s="13"/>
      <c r="BG1368" s="1"/>
      <c r="BH1368" s="1"/>
      <c r="BI1368" s="1"/>
      <c r="BJ1368" s="1"/>
      <c r="BK1368" s="1"/>
      <c r="BL1368" s="1"/>
      <c r="BM1368" s="1"/>
      <c r="BN1368" s="1"/>
      <c r="BO1368" s="1"/>
      <c r="BP1368" s="1"/>
      <c r="BQ1368" s="1"/>
      <c r="BR1368" s="1"/>
      <c r="CC1368" s="1"/>
      <c r="CD1368" s="1"/>
      <c r="CE1368" s="1"/>
      <c r="CF1368" s="1"/>
      <c r="CG1368" s="1"/>
      <c r="CK1368" s="1"/>
      <c r="CM1368" s="2"/>
      <c r="CP1368" s="1"/>
      <c r="CQ1368" s="1"/>
      <c r="CS1368" s="1"/>
      <c r="CT1368" s="1"/>
      <c r="CU1368" s="1"/>
      <c r="CV1368" s="1"/>
      <c r="CW1368" s="1"/>
      <c r="CX1368" s="1"/>
      <c r="CY1368" s="1"/>
      <c r="CZ1368" s="1"/>
      <c r="DA1368" s="1"/>
      <c r="DB1368" s="1"/>
      <c r="DC1368" s="1"/>
      <c r="DD1368" s="1"/>
      <c r="DE1368" s="1"/>
      <c r="DF1368" s="1"/>
      <c r="DG1368" s="1"/>
      <c r="DH1368" s="1"/>
      <c r="DI1368" s="1"/>
      <c r="DJ1368" s="1"/>
      <c r="DK1368" s="1"/>
      <c r="ED1368" s="1"/>
      <c r="EK1368" s="1"/>
      <c r="EL1368" s="1"/>
      <c r="EM1368" s="1"/>
      <c r="EN1368" s="1"/>
      <c r="EQ1368" s="1"/>
      <c r="ER1368" s="1"/>
      <c r="ES1368" s="1"/>
      <c r="EV1368" s="1"/>
      <c r="EW1368" s="1"/>
      <c r="EZ1368" s="1"/>
      <c r="GO1368" s="1"/>
      <c r="GP1368" s="1"/>
      <c r="HY1368" s="1"/>
      <c r="IE1368" s="1"/>
      <c r="IS1368" s="1"/>
      <c r="IY1368" s="1"/>
      <c r="IZ1368" s="1"/>
      <c r="JF1368" s="1"/>
      <c r="JH1368" s="1"/>
      <c r="JJ1368" s="1"/>
      <c r="JN1368" s="1"/>
      <c r="JP1368" s="1"/>
      <c r="JQ1368" s="1"/>
      <c r="JW1368" s="1"/>
      <c r="KS1368" s="1"/>
      <c r="KT1368" s="1"/>
      <c r="KV1368" s="1"/>
      <c r="KY1368" s="1"/>
      <c r="KZ1368" s="1"/>
      <c r="LA1368" s="1"/>
      <c r="LB1368" s="1"/>
      <c r="LC1368" s="1"/>
      <c r="LD1368" s="1"/>
      <c r="LO1368" s="1"/>
      <c r="LP1368" s="1"/>
      <c r="LZ1368" s="1"/>
      <c r="MA1368" s="1"/>
    </row>
    <row r="1369" spans="4:339" ht="13" x14ac:dyDescent="0.15">
      <c r="D1369" s="12"/>
      <c r="E1369" s="12"/>
      <c r="I1369" s="12"/>
      <c r="J1369" s="13"/>
      <c r="BG1369" s="1"/>
      <c r="BH1369" s="1"/>
      <c r="BI1369" s="1"/>
      <c r="BJ1369" s="1"/>
      <c r="BK1369" s="1"/>
      <c r="BL1369" s="1"/>
      <c r="BM1369" s="1"/>
      <c r="BN1369" s="1"/>
      <c r="BO1369" s="1"/>
      <c r="BP1369" s="1"/>
      <c r="BQ1369" s="1"/>
      <c r="BR1369" s="1"/>
      <c r="CC1369" s="1"/>
      <c r="CD1369" s="1"/>
      <c r="CE1369" s="1"/>
      <c r="CF1369" s="1"/>
      <c r="CG1369" s="1"/>
      <c r="CK1369" s="1"/>
      <c r="CM1369" s="2"/>
      <c r="CP1369" s="1"/>
      <c r="CQ1369" s="1"/>
      <c r="CS1369" s="1"/>
      <c r="CT1369" s="1"/>
      <c r="CU1369" s="1"/>
      <c r="CV1369" s="1"/>
      <c r="CW1369" s="1"/>
      <c r="CX1369" s="1"/>
      <c r="CY1369" s="1"/>
      <c r="CZ1369" s="1"/>
      <c r="DA1369" s="1"/>
      <c r="DB1369" s="1"/>
      <c r="DC1369" s="1"/>
      <c r="DD1369" s="1"/>
      <c r="DE1369" s="1"/>
      <c r="DF1369" s="1"/>
      <c r="DG1369" s="1"/>
      <c r="DH1369" s="1"/>
      <c r="DI1369" s="1"/>
      <c r="DJ1369" s="1"/>
      <c r="DK1369" s="1"/>
      <c r="ED1369" s="1"/>
      <c r="EK1369" s="1"/>
      <c r="EL1369" s="1"/>
      <c r="EM1369" s="1"/>
      <c r="EN1369" s="1"/>
      <c r="EQ1369" s="1"/>
      <c r="ER1369" s="1"/>
      <c r="ES1369" s="1"/>
      <c r="EV1369" s="1"/>
      <c r="EW1369" s="1"/>
      <c r="EZ1369" s="1"/>
      <c r="GO1369" s="1"/>
      <c r="GP1369" s="1"/>
      <c r="HY1369" s="1"/>
      <c r="IE1369" s="1"/>
      <c r="IS1369" s="1"/>
      <c r="IY1369" s="1"/>
      <c r="IZ1369" s="1"/>
      <c r="JF1369" s="1"/>
      <c r="JH1369" s="1"/>
      <c r="JJ1369" s="1"/>
      <c r="JN1369" s="1"/>
      <c r="JP1369" s="1"/>
      <c r="JQ1369" s="1"/>
      <c r="JW1369" s="1"/>
      <c r="KS1369" s="1"/>
      <c r="KT1369" s="1"/>
      <c r="KV1369" s="1"/>
      <c r="KY1369" s="1"/>
      <c r="KZ1369" s="1"/>
      <c r="LA1369" s="1"/>
      <c r="LB1369" s="1"/>
      <c r="LC1369" s="1"/>
      <c r="LD1369" s="1"/>
      <c r="LO1369" s="1"/>
      <c r="LP1369" s="1"/>
      <c r="LZ1369" s="1"/>
      <c r="MA1369" s="1"/>
    </row>
    <row r="1370" spans="4:339" ht="13" x14ac:dyDescent="0.15">
      <c r="D1370" s="12"/>
      <c r="E1370" s="12"/>
      <c r="I1370" s="12"/>
      <c r="J1370" s="13"/>
      <c r="BG1370" s="1"/>
      <c r="BH1370" s="1"/>
      <c r="BI1370" s="1"/>
      <c r="BJ1370" s="1"/>
      <c r="BK1370" s="1"/>
      <c r="BL1370" s="1"/>
      <c r="BM1370" s="1"/>
      <c r="BN1370" s="1"/>
      <c r="BO1370" s="1"/>
      <c r="BP1370" s="1"/>
      <c r="BQ1370" s="1"/>
      <c r="BR1370" s="1"/>
      <c r="CC1370" s="1"/>
      <c r="CD1370" s="1"/>
      <c r="CE1370" s="1"/>
      <c r="CF1370" s="1"/>
      <c r="CG1370" s="1"/>
      <c r="CK1370" s="1"/>
      <c r="CM1370" s="2"/>
      <c r="CP1370" s="1"/>
      <c r="CQ1370" s="1"/>
      <c r="CS1370" s="1"/>
      <c r="CT1370" s="1"/>
      <c r="CU1370" s="1"/>
      <c r="CV1370" s="1"/>
      <c r="CW1370" s="1"/>
      <c r="CX1370" s="1"/>
      <c r="CY1370" s="1"/>
      <c r="CZ1370" s="1"/>
      <c r="DA1370" s="1"/>
      <c r="DB1370" s="1"/>
      <c r="DC1370" s="1"/>
      <c r="DD1370" s="1"/>
      <c r="DE1370" s="1"/>
      <c r="DF1370" s="1"/>
      <c r="DG1370" s="1"/>
      <c r="DH1370" s="1"/>
      <c r="DI1370" s="1"/>
      <c r="DJ1370" s="1"/>
      <c r="DK1370" s="1"/>
      <c r="ED1370" s="1"/>
      <c r="EK1370" s="1"/>
      <c r="EL1370" s="1"/>
      <c r="EM1370" s="1"/>
      <c r="EN1370" s="1"/>
      <c r="EQ1370" s="1"/>
      <c r="ER1370" s="1"/>
      <c r="ES1370" s="1"/>
      <c r="EV1370" s="1"/>
      <c r="EW1370" s="1"/>
      <c r="EZ1370" s="1"/>
      <c r="GO1370" s="1"/>
      <c r="GP1370" s="1"/>
      <c r="HY1370" s="1"/>
      <c r="IE1370" s="1"/>
      <c r="IS1370" s="1"/>
      <c r="IY1370" s="1"/>
      <c r="IZ1370" s="1"/>
      <c r="JF1370" s="1"/>
      <c r="JH1370" s="1"/>
      <c r="JJ1370" s="1"/>
      <c r="JN1370" s="1"/>
      <c r="JP1370" s="1"/>
      <c r="JQ1370" s="1"/>
      <c r="JW1370" s="1"/>
      <c r="KS1370" s="1"/>
      <c r="KT1370" s="1"/>
      <c r="KV1370" s="1"/>
      <c r="KY1370" s="1"/>
      <c r="KZ1370" s="1"/>
      <c r="LA1370" s="1"/>
      <c r="LB1370" s="1"/>
      <c r="LC1370" s="1"/>
      <c r="LD1370" s="1"/>
      <c r="LO1370" s="1"/>
      <c r="LP1370" s="1"/>
      <c r="LZ1370" s="1"/>
      <c r="MA1370" s="1"/>
    </row>
    <row r="1371" spans="4:339" ht="13" x14ac:dyDescent="0.15">
      <c r="D1371" s="12"/>
      <c r="E1371" s="12"/>
      <c r="I1371" s="12"/>
      <c r="J1371" s="13"/>
      <c r="BG1371" s="1"/>
      <c r="BH1371" s="1"/>
      <c r="BI1371" s="1"/>
      <c r="BJ1371" s="1"/>
      <c r="BK1371" s="1"/>
      <c r="BL1371" s="1"/>
      <c r="BM1371" s="1"/>
      <c r="BN1371" s="1"/>
      <c r="BO1371" s="1"/>
      <c r="BP1371" s="1"/>
      <c r="BQ1371" s="1"/>
      <c r="BR1371" s="1"/>
      <c r="CC1371" s="1"/>
      <c r="CD1371" s="1"/>
      <c r="CE1371" s="1"/>
      <c r="CF1371" s="1"/>
      <c r="CG1371" s="1"/>
      <c r="CK1371" s="1"/>
      <c r="CM1371" s="2"/>
      <c r="CP1371" s="1"/>
      <c r="CQ1371" s="1"/>
      <c r="CS1371" s="1"/>
      <c r="CT1371" s="1"/>
      <c r="CU1371" s="1"/>
      <c r="CV1371" s="1"/>
      <c r="CW1371" s="1"/>
      <c r="CX1371" s="1"/>
      <c r="CY1371" s="1"/>
      <c r="CZ1371" s="1"/>
      <c r="DA1371" s="1"/>
      <c r="DB1371" s="1"/>
      <c r="DC1371" s="1"/>
      <c r="DD1371" s="1"/>
      <c r="DE1371" s="1"/>
      <c r="DF1371" s="1"/>
      <c r="DG1371" s="1"/>
      <c r="DH1371" s="1"/>
      <c r="DI1371" s="1"/>
      <c r="DJ1371" s="1"/>
      <c r="DK1371" s="1"/>
      <c r="ED1371" s="1"/>
      <c r="EK1371" s="1"/>
      <c r="EL1371" s="1"/>
      <c r="EM1371" s="1"/>
      <c r="EN1371" s="1"/>
      <c r="EQ1371" s="1"/>
      <c r="ER1371" s="1"/>
      <c r="ES1371" s="1"/>
      <c r="EV1371" s="1"/>
      <c r="EW1371" s="1"/>
      <c r="EZ1371" s="1"/>
      <c r="GO1371" s="1"/>
      <c r="GP1371" s="1"/>
      <c r="HY1371" s="1"/>
      <c r="IE1371" s="1"/>
      <c r="IS1371" s="1"/>
      <c r="IY1371" s="1"/>
      <c r="IZ1371" s="1"/>
      <c r="JF1371" s="1"/>
      <c r="JH1371" s="1"/>
      <c r="JJ1371" s="1"/>
      <c r="JN1371" s="1"/>
      <c r="JP1371" s="1"/>
      <c r="JQ1371" s="1"/>
      <c r="JW1371" s="1"/>
      <c r="KS1371" s="1"/>
      <c r="KT1371" s="1"/>
      <c r="KV1371" s="1"/>
      <c r="KY1371" s="1"/>
      <c r="KZ1371" s="1"/>
      <c r="LA1371" s="1"/>
      <c r="LB1371" s="1"/>
      <c r="LC1371" s="1"/>
      <c r="LD1371" s="1"/>
      <c r="LO1371" s="1"/>
      <c r="LP1371" s="1"/>
      <c r="LZ1371" s="1"/>
      <c r="MA1371" s="1"/>
    </row>
    <row r="1372" spans="4:339" ht="13" x14ac:dyDescent="0.15">
      <c r="D1372" s="12"/>
      <c r="E1372" s="12"/>
      <c r="I1372" s="12"/>
      <c r="J1372" s="13"/>
      <c r="BG1372" s="1"/>
      <c r="BH1372" s="1"/>
      <c r="BI1372" s="1"/>
      <c r="BJ1372" s="1"/>
      <c r="BK1372" s="1"/>
      <c r="BL1372" s="1"/>
      <c r="BM1372" s="1"/>
      <c r="BN1372" s="1"/>
      <c r="BO1372" s="1"/>
      <c r="BP1372" s="1"/>
      <c r="BQ1372" s="1"/>
      <c r="BR1372" s="1"/>
      <c r="CC1372" s="1"/>
      <c r="CD1372" s="1"/>
      <c r="CE1372" s="1"/>
      <c r="CF1372" s="1"/>
      <c r="CG1372" s="1"/>
      <c r="CK1372" s="1"/>
      <c r="CM1372" s="2"/>
      <c r="CP1372" s="1"/>
      <c r="CQ1372" s="1"/>
      <c r="CS1372" s="1"/>
      <c r="CT1372" s="1"/>
      <c r="CU1372" s="1"/>
      <c r="CV1372" s="1"/>
      <c r="CW1372" s="1"/>
      <c r="CX1372" s="1"/>
      <c r="CY1372" s="1"/>
      <c r="CZ1372" s="1"/>
      <c r="DA1372" s="1"/>
      <c r="DB1372" s="1"/>
      <c r="DC1372" s="1"/>
      <c r="DD1372" s="1"/>
      <c r="DE1372" s="1"/>
      <c r="DF1372" s="1"/>
      <c r="DG1372" s="1"/>
      <c r="DH1372" s="1"/>
      <c r="DI1372" s="1"/>
      <c r="DJ1372" s="1"/>
      <c r="DK1372" s="1"/>
      <c r="ED1372" s="1"/>
      <c r="EK1372" s="1"/>
      <c r="EL1372" s="1"/>
      <c r="EM1372" s="1"/>
      <c r="EN1372" s="1"/>
      <c r="EQ1372" s="1"/>
      <c r="ER1372" s="1"/>
      <c r="ES1372" s="1"/>
      <c r="EV1372" s="1"/>
      <c r="EW1372" s="1"/>
      <c r="EZ1372" s="1"/>
      <c r="GO1372" s="1"/>
      <c r="GP1372" s="1"/>
      <c r="HY1372" s="1"/>
      <c r="IE1372" s="1"/>
      <c r="IS1372" s="1"/>
      <c r="IY1372" s="1"/>
      <c r="IZ1372" s="1"/>
      <c r="JF1372" s="1"/>
      <c r="JH1372" s="1"/>
      <c r="JJ1372" s="1"/>
      <c r="JN1372" s="1"/>
      <c r="JP1372" s="1"/>
      <c r="JQ1372" s="1"/>
      <c r="JW1372" s="1"/>
      <c r="KS1372" s="1"/>
      <c r="KT1372" s="1"/>
      <c r="KV1372" s="1"/>
      <c r="KY1372" s="1"/>
      <c r="KZ1372" s="1"/>
      <c r="LA1372" s="1"/>
      <c r="LB1372" s="1"/>
      <c r="LC1372" s="1"/>
      <c r="LD1372" s="1"/>
      <c r="LO1372" s="1"/>
      <c r="LP1372" s="1"/>
      <c r="LZ1372" s="1"/>
      <c r="MA1372" s="1"/>
    </row>
    <row r="1373" spans="4:339" ht="13" x14ac:dyDescent="0.15">
      <c r="D1373" s="12"/>
      <c r="E1373" s="12"/>
      <c r="I1373" s="12"/>
      <c r="J1373" s="13"/>
      <c r="BG1373" s="1"/>
      <c r="BH1373" s="1"/>
      <c r="BI1373" s="1"/>
      <c r="BJ1373" s="1"/>
      <c r="BK1373" s="1"/>
      <c r="BL1373" s="1"/>
      <c r="BM1373" s="1"/>
      <c r="BN1373" s="1"/>
      <c r="BO1373" s="1"/>
      <c r="BP1373" s="1"/>
      <c r="BQ1373" s="1"/>
      <c r="BR1373" s="1"/>
      <c r="CC1373" s="1"/>
      <c r="CD1373" s="1"/>
      <c r="CE1373" s="1"/>
      <c r="CF1373" s="1"/>
      <c r="CG1373" s="1"/>
      <c r="CK1373" s="1"/>
      <c r="CM1373" s="2"/>
      <c r="CP1373" s="1"/>
      <c r="CQ1373" s="1"/>
      <c r="CS1373" s="1"/>
      <c r="CT1373" s="1"/>
      <c r="CU1373" s="1"/>
      <c r="CV1373" s="1"/>
      <c r="CW1373" s="1"/>
      <c r="CX1373" s="1"/>
      <c r="CY1373" s="1"/>
      <c r="CZ1373" s="1"/>
      <c r="DA1373" s="1"/>
      <c r="DB1373" s="1"/>
      <c r="DC1373" s="1"/>
      <c r="DD1373" s="1"/>
      <c r="DE1373" s="1"/>
      <c r="DF1373" s="1"/>
      <c r="DG1373" s="1"/>
      <c r="DH1373" s="1"/>
      <c r="DI1373" s="1"/>
      <c r="DJ1373" s="1"/>
      <c r="DK1373" s="1"/>
      <c r="ED1373" s="1"/>
      <c r="EK1373" s="1"/>
      <c r="EL1373" s="1"/>
      <c r="EM1373" s="1"/>
      <c r="EN1373" s="1"/>
      <c r="EQ1373" s="1"/>
      <c r="ER1373" s="1"/>
      <c r="ES1373" s="1"/>
      <c r="EV1373" s="1"/>
      <c r="EW1373" s="1"/>
      <c r="EZ1373" s="1"/>
      <c r="GO1373" s="1"/>
      <c r="GP1373" s="1"/>
      <c r="HY1373" s="1"/>
      <c r="IE1373" s="1"/>
      <c r="IS1373" s="1"/>
      <c r="IY1373" s="1"/>
      <c r="IZ1373" s="1"/>
      <c r="JF1373" s="1"/>
      <c r="JH1373" s="1"/>
      <c r="JJ1373" s="1"/>
      <c r="JN1373" s="1"/>
      <c r="JP1373" s="1"/>
      <c r="JQ1373" s="1"/>
      <c r="JW1373" s="1"/>
      <c r="KS1373" s="1"/>
      <c r="KT1373" s="1"/>
      <c r="KV1373" s="1"/>
      <c r="KY1373" s="1"/>
      <c r="KZ1373" s="1"/>
      <c r="LA1373" s="1"/>
      <c r="LB1373" s="1"/>
      <c r="LC1373" s="1"/>
      <c r="LD1373" s="1"/>
      <c r="LO1373" s="1"/>
      <c r="LP1373" s="1"/>
      <c r="LZ1373" s="1"/>
      <c r="MA1373" s="1"/>
    </row>
    <row r="1374" spans="4:339" ht="13" x14ac:dyDescent="0.15">
      <c r="D1374" s="12"/>
      <c r="E1374" s="12"/>
      <c r="I1374" s="12"/>
      <c r="J1374" s="13"/>
      <c r="BG1374" s="1"/>
      <c r="BH1374" s="1"/>
      <c r="BI1374" s="1"/>
      <c r="BJ1374" s="1"/>
      <c r="BK1374" s="1"/>
      <c r="BL1374" s="1"/>
      <c r="BM1374" s="1"/>
      <c r="BN1374" s="1"/>
      <c r="BO1374" s="1"/>
      <c r="BP1374" s="1"/>
      <c r="BQ1374" s="1"/>
      <c r="BR1374" s="1"/>
      <c r="CC1374" s="1"/>
      <c r="CD1374" s="1"/>
      <c r="CE1374" s="1"/>
      <c r="CF1374" s="1"/>
      <c r="CG1374" s="1"/>
      <c r="CK1374" s="1"/>
      <c r="CM1374" s="2"/>
      <c r="CP1374" s="1"/>
      <c r="CQ1374" s="1"/>
      <c r="CS1374" s="1"/>
      <c r="CT1374" s="1"/>
      <c r="CU1374" s="1"/>
      <c r="CV1374" s="1"/>
      <c r="CW1374" s="1"/>
      <c r="CX1374" s="1"/>
      <c r="CY1374" s="1"/>
      <c r="CZ1374" s="1"/>
      <c r="DA1374" s="1"/>
      <c r="DB1374" s="1"/>
      <c r="DC1374" s="1"/>
      <c r="DD1374" s="1"/>
      <c r="DE1374" s="1"/>
      <c r="DF1374" s="1"/>
      <c r="DG1374" s="1"/>
      <c r="DH1374" s="1"/>
      <c r="DI1374" s="1"/>
      <c r="DJ1374" s="1"/>
      <c r="DK1374" s="1"/>
      <c r="ED1374" s="1"/>
      <c r="EK1374" s="1"/>
      <c r="EL1374" s="1"/>
      <c r="EM1374" s="1"/>
      <c r="EN1374" s="1"/>
      <c r="EQ1374" s="1"/>
      <c r="ER1374" s="1"/>
      <c r="ES1374" s="1"/>
      <c r="EV1374" s="1"/>
      <c r="EW1374" s="1"/>
      <c r="EZ1374" s="1"/>
      <c r="GO1374" s="1"/>
      <c r="GP1374" s="1"/>
      <c r="HY1374" s="1"/>
      <c r="IE1374" s="1"/>
      <c r="IS1374" s="1"/>
      <c r="IY1374" s="1"/>
      <c r="IZ1374" s="1"/>
      <c r="JF1374" s="1"/>
      <c r="JH1374" s="1"/>
      <c r="JJ1374" s="1"/>
      <c r="JN1374" s="1"/>
      <c r="JP1374" s="1"/>
      <c r="JQ1374" s="1"/>
      <c r="JW1374" s="1"/>
      <c r="KS1374" s="1"/>
      <c r="KT1374" s="1"/>
      <c r="KV1374" s="1"/>
      <c r="KY1374" s="1"/>
      <c r="KZ1374" s="1"/>
      <c r="LA1374" s="1"/>
      <c r="LB1374" s="1"/>
      <c r="LC1374" s="1"/>
      <c r="LD1374" s="1"/>
      <c r="LO1374" s="1"/>
      <c r="LP1374" s="1"/>
      <c r="LZ1374" s="1"/>
      <c r="MA1374" s="1"/>
    </row>
    <row r="1375" spans="4:339" ht="13" x14ac:dyDescent="0.15">
      <c r="D1375" s="12"/>
      <c r="E1375" s="12"/>
      <c r="I1375" s="12"/>
      <c r="J1375" s="13"/>
      <c r="BF1375" s="1"/>
      <c r="BG1375" s="1"/>
      <c r="BH1375" s="1"/>
      <c r="BI1375" s="1"/>
      <c r="BK1375" s="1"/>
      <c r="BL1375" s="1"/>
      <c r="BM1375" s="1"/>
      <c r="BN1375" s="1"/>
      <c r="BO1375" s="1"/>
      <c r="BP1375" s="1"/>
      <c r="BQ1375" s="1"/>
      <c r="BR1375" s="1"/>
      <c r="BX1375" s="1"/>
      <c r="CD1375" s="1"/>
      <c r="CE1375" s="1"/>
      <c r="CF1375" s="1"/>
      <c r="CG1375" s="1"/>
      <c r="CM1375" s="2"/>
      <c r="CP1375" s="1"/>
      <c r="CQ1375" s="1"/>
      <c r="CR1375" s="1"/>
      <c r="CS1375" s="1"/>
      <c r="CT1375" s="1"/>
      <c r="CU1375" s="1"/>
      <c r="CV1375" s="1"/>
      <c r="CW1375" s="1"/>
      <c r="CX1375" s="1"/>
      <c r="CY1375" s="1"/>
      <c r="CZ1375" s="1"/>
      <c r="DA1375" s="1"/>
      <c r="DB1375" s="1"/>
      <c r="DC1375" s="1"/>
      <c r="DD1375" s="1"/>
      <c r="DE1375" s="1"/>
      <c r="DF1375" s="1"/>
      <c r="DG1375" s="1"/>
      <c r="DH1375" s="1"/>
      <c r="DI1375" s="1"/>
      <c r="DJ1375" s="1"/>
      <c r="DK1375" s="1"/>
      <c r="DM1375" s="1"/>
      <c r="DQ1375" s="1"/>
      <c r="DR1375" s="1"/>
      <c r="DY1375" s="1"/>
      <c r="DZ1375" s="1"/>
      <c r="ED1375" s="1"/>
      <c r="EK1375" s="1"/>
      <c r="EL1375" s="1"/>
      <c r="EM1375" s="1"/>
      <c r="EN1375" s="1"/>
      <c r="EQ1375" s="1"/>
      <c r="ER1375" s="1"/>
      <c r="ES1375" s="1"/>
      <c r="EV1375" s="1"/>
      <c r="EW1375" s="1"/>
      <c r="EZ1375" s="1"/>
      <c r="GO1375" s="1"/>
      <c r="GP1375" s="1"/>
      <c r="HH1375" s="1"/>
      <c r="HY1375" s="1"/>
      <c r="IC1375" s="1"/>
      <c r="IE1375" s="1"/>
      <c r="IR1375" s="1"/>
      <c r="IS1375" s="1"/>
      <c r="IW1375" s="1"/>
      <c r="IY1375" s="1"/>
      <c r="IZ1375" s="1"/>
      <c r="JA1375" s="1"/>
      <c r="JG1375" s="1"/>
      <c r="JH1375" s="1"/>
      <c r="JI1375" s="1"/>
      <c r="JJ1375" s="1"/>
      <c r="JN1375" s="1"/>
      <c r="JP1375" s="1"/>
      <c r="JQ1375" s="1"/>
      <c r="KU1375" s="1"/>
      <c r="KV1375" s="1"/>
      <c r="KY1375" s="1"/>
      <c r="KZ1375" s="1"/>
      <c r="LA1375" s="1"/>
      <c r="LB1375" s="1"/>
      <c r="LC1375" s="1"/>
      <c r="LD1375" s="1"/>
      <c r="LO1375" s="1"/>
      <c r="LP1375" s="1"/>
      <c r="LZ1375" s="1"/>
      <c r="MA1375" s="1"/>
    </row>
    <row r="1376" spans="4:339" ht="13" x14ac:dyDescent="0.15">
      <c r="D1376" s="12"/>
      <c r="E1376" s="12"/>
      <c r="I1376" s="12"/>
      <c r="J1376" s="13"/>
      <c r="BF1376" s="1"/>
      <c r="BG1376" s="1"/>
      <c r="BH1376" s="1"/>
      <c r="BI1376" s="1"/>
      <c r="BJ1376" s="1"/>
      <c r="BK1376" s="1"/>
      <c r="BL1376" s="1"/>
      <c r="BM1376" s="1"/>
      <c r="BN1376" s="1"/>
      <c r="BO1376" s="1"/>
      <c r="BP1376" s="1"/>
      <c r="BQ1376" s="1"/>
      <c r="BR1376" s="1"/>
      <c r="CD1376" s="1"/>
      <c r="CG1376" s="1"/>
      <c r="CM1376" s="2"/>
      <c r="CQ1376" s="1"/>
      <c r="CY1376" s="1"/>
      <c r="DC1376" s="1"/>
      <c r="DH1376" s="1"/>
      <c r="DR1376" s="1"/>
      <c r="ED1376" s="1"/>
      <c r="EK1376" s="1"/>
      <c r="EL1376" s="1"/>
      <c r="EM1376" s="1"/>
      <c r="EN1376" s="1"/>
      <c r="EQ1376" s="1"/>
      <c r="ER1376" s="1"/>
      <c r="ES1376" s="1"/>
      <c r="EV1376" s="1"/>
      <c r="EW1376" s="1"/>
      <c r="EZ1376" s="1"/>
      <c r="FF1376" s="1"/>
      <c r="FJ1376" s="1"/>
      <c r="FS1376" s="1"/>
      <c r="FW1376" s="1"/>
      <c r="FX1376" s="1"/>
      <c r="GP1376" s="1"/>
      <c r="HY1376" s="1"/>
      <c r="IS1376" s="1"/>
      <c r="IW1376" s="1"/>
      <c r="IZ1376" s="1"/>
      <c r="JJ1376" s="1"/>
      <c r="JN1376" s="1"/>
      <c r="JP1376" s="1"/>
      <c r="JQ1376" s="1"/>
      <c r="KU1376" s="1"/>
      <c r="KY1376" s="1"/>
      <c r="KZ1376" s="1"/>
      <c r="LA1376" s="1"/>
      <c r="LB1376" s="1"/>
      <c r="LC1376" s="1"/>
      <c r="LD1376" s="1"/>
      <c r="LO1376" s="1"/>
      <c r="LP1376" s="1"/>
      <c r="LZ1376" s="1"/>
      <c r="MA1376" s="1"/>
    </row>
    <row r="1377" spans="4:339" ht="13" x14ac:dyDescent="0.15">
      <c r="D1377" s="12"/>
      <c r="E1377" s="12"/>
      <c r="I1377" s="12"/>
      <c r="J1377" s="13"/>
      <c r="BF1377" s="1"/>
      <c r="BG1377" s="1"/>
      <c r="BH1377" s="1"/>
      <c r="BI1377" s="1"/>
      <c r="BJ1377" s="1"/>
      <c r="BK1377" s="1"/>
      <c r="BL1377" s="1"/>
      <c r="BM1377" s="1"/>
      <c r="BN1377" s="1"/>
      <c r="BO1377" s="1"/>
      <c r="BP1377" s="1"/>
      <c r="BQ1377" s="1"/>
      <c r="BR1377" s="1"/>
      <c r="CD1377" s="1"/>
      <c r="CG1377" s="1"/>
      <c r="CM1377" s="2"/>
      <c r="CQ1377" s="1"/>
      <c r="CY1377" s="1"/>
      <c r="DC1377" s="1"/>
      <c r="DH1377" s="1"/>
      <c r="DR1377" s="1"/>
      <c r="ED1377" s="1"/>
      <c r="EK1377" s="1"/>
      <c r="EL1377" s="1"/>
      <c r="EM1377" s="1"/>
      <c r="EN1377" s="1"/>
      <c r="EQ1377" s="1"/>
      <c r="ER1377" s="1"/>
      <c r="ES1377" s="1"/>
      <c r="EV1377" s="1"/>
      <c r="EW1377" s="1"/>
      <c r="EZ1377" s="1"/>
      <c r="FF1377" s="1"/>
      <c r="FJ1377" s="1"/>
      <c r="FS1377" s="1"/>
      <c r="FW1377" s="1"/>
      <c r="FX1377" s="1"/>
      <c r="GP1377" s="1"/>
      <c r="HY1377" s="1"/>
      <c r="IS1377" s="1"/>
      <c r="IW1377" s="1"/>
      <c r="IZ1377" s="1"/>
      <c r="JJ1377" s="1"/>
      <c r="JN1377" s="1"/>
      <c r="JP1377" s="1"/>
      <c r="JQ1377" s="1"/>
      <c r="KU1377" s="1"/>
      <c r="KY1377" s="1"/>
      <c r="KZ1377" s="1"/>
      <c r="LA1377" s="1"/>
      <c r="LB1377" s="1"/>
      <c r="LC1377" s="1"/>
      <c r="LD1377" s="1"/>
      <c r="LO1377" s="1"/>
      <c r="LP1377" s="1"/>
      <c r="LZ1377" s="1"/>
      <c r="MA1377" s="1"/>
    </row>
    <row r="1378" spans="4:339" ht="13" x14ac:dyDescent="0.15">
      <c r="D1378" s="12"/>
      <c r="E1378" s="12"/>
      <c r="I1378" s="12"/>
      <c r="J1378" s="13"/>
      <c r="BF1378" s="1"/>
      <c r="BG1378" s="1"/>
      <c r="BH1378" s="1"/>
      <c r="BI1378" s="1"/>
      <c r="BJ1378" s="1"/>
      <c r="BK1378" s="1"/>
      <c r="BL1378" s="1"/>
      <c r="BM1378" s="1"/>
      <c r="BN1378" s="1"/>
      <c r="BO1378" s="1"/>
      <c r="BP1378" s="1"/>
      <c r="BQ1378" s="1"/>
      <c r="BR1378" s="1"/>
      <c r="CD1378" s="1"/>
      <c r="CG1378" s="1"/>
      <c r="CM1378" s="2"/>
      <c r="CQ1378" s="1"/>
      <c r="CY1378" s="1"/>
      <c r="DC1378" s="1"/>
      <c r="DH1378" s="1"/>
      <c r="DR1378" s="1"/>
      <c r="ED1378" s="1"/>
      <c r="EK1378" s="1"/>
      <c r="EL1378" s="1"/>
      <c r="EM1378" s="1"/>
      <c r="EN1378" s="1"/>
      <c r="EQ1378" s="1"/>
      <c r="ER1378" s="1"/>
      <c r="ES1378" s="1"/>
      <c r="EV1378" s="1"/>
      <c r="EW1378" s="1"/>
      <c r="EZ1378" s="1"/>
      <c r="FF1378" s="1"/>
      <c r="FJ1378" s="1"/>
      <c r="FS1378" s="1"/>
      <c r="FW1378" s="1"/>
      <c r="FX1378" s="1"/>
      <c r="GP1378" s="1"/>
      <c r="HY1378" s="1"/>
      <c r="IS1378" s="1"/>
      <c r="IW1378" s="1"/>
      <c r="IZ1378" s="1"/>
      <c r="JJ1378" s="1"/>
      <c r="JN1378" s="1"/>
      <c r="JP1378" s="1"/>
      <c r="JQ1378" s="1"/>
      <c r="KU1378" s="1"/>
      <c r="KY1378" s="1"/>
      <c r="KZ1378" s="1"/>
      <c r="LA1378" s="1"/>
      <c r="LB1378" s="1"/>
      <c r="LC1378" s="1"/>
      <c r="LD1378" s="1"/>
      <c r="LO1378" s="1"/>
      <c r="LP1378" s="1"/>
      <c r="LZ1378" s="1"/>
      <c r="MA1378" s="1"/>
    </row>
    <row r="1379" spans="4:339" ht="13" x14ac:dyDescent="0.15">
      <c r="D1379" s="12"/>
      <c r="E1379" s="12"/>
      <c r="I1379" s="12"/>
      <c r="J1379" s="13"/>
      <c r="BF1379" s="1"/>
      <c r="BG1379" s="1"/>
      <c r="BH1379" s="1"/>
      <c r="BI1379" s="1"/>
      <c r="BJ1379" s="1"/>
      <c r="BK1379" s="1"/>
      <c r="BL1379" s="1"/>
      <c r="BM1379" s="1"/>
      <c r="BN1379" s="1"/>
      <c r="BO1379" s="1"/>
      <c r="BP1379" s="1"/>
      <c r="BQ1379" s="1"/>
      <c r="BR1379" s="1"/>
      <c r="CD1379" s="1"/>
      <c r="CE1379" s="1"/>
      <c r="CF1379" s="1"/>
      <c r="CG1379" s="1"/>
      <c r="CM1379" s="2"/>
      <c r="CP1379" s="1"/>
      <c r="CQ1379" s="1"/>
      <c r="CR1379" s="1"/>
      <c r="CS1379" s="1"/>
      <c r="CT1379" s="1"/>
      <c r="CU1379" s="1"/>
      <c r="CV1379" s="1"/>
      <c r="CW1379" s="1"/>
      <c r="CX1379" s="1"/>
      <c r="CY1379" s="1"/>
      <c r="CZ1379" s="1"/>
      <c r="DA1379" s="1"/>
      <c r="DB1379" s="1"/>
      <c r="DC1379" s="1"/>
      <c r="DD1379" s="1"/>
      <c r="DE1379" s="1"/>
      <c r="DF1379" s="1"/>
      <c r="DG1379" s="1"/>
      <c r="DH1379" s="1"/>
      <c r="DI1379" s="1"/>
      <c r="DJ1379" s="1"/>
      <c r="DK1379" s="1"/>
      <c r="DQ1379" s="1"/>
      <c r="DR1379" s="1"/>
      <c r="DY1379" s="1"/>
      <c r="DZ1379" s="1"/>
      <c r="ED1379" s="1"/>
      <c r="EE1379" s="1"/>
      <c r="EF1379" s="1"/>
      <c r="EG1379" s="1"/>
      <c r="EH1379" s="1"/>
      <c r="EK1379" s="1"/>
      <c r="EL1379" s="1"/>
      <c r="EM1379" s="1"/>
      <c r="EN1379" s="1"/>
      <c r="EQ1379" s="1"/>
      <c r="ER1379" s="1"/>
      <c r="ES1379" s="1"/>
      <c r="EV1379" s="1"/>
      <c r="EW1379" s="1"/>
      <c r="EY1379" s="1"/>
      <c r="EZ1379" s="1"/>
      <c r="GP1379" s="1"/>
      <c r="HY1379" s="1"/>
      <c r="IC1379" s="1"/>
      <c r="ID1379" s="1"/>
      <c r="IE1379" s="1"/>
      <c r="IG1379" s="1"/>
      <c r="IJ1379" s="1"/>
      <c r="IR1379" s="1"/>
      <c r="IS1379" s="1"/>
      <c r="IZ1379" s="1"/>
      <c r="JG1379" s="1"/>
      <c r="JH1379" s="1"/>
      <c r="JJ1379" s="1"/>
      <c r="JK1379" s="1"/>
      <c r="JL1379" s="3"/>
      <c r="JM1379" s="1"/>
      <c r="JN1379" s="1"/>
      <c r="JP1379" s="1"/>
      <c r="JQ1379" s="1"/>
      <c r="JR1379" s="1"/>
      <c r="KU1379" s="1"/>
      <c r="KY1379" s="1"/>
      <c r="KZ1379" s="1"/>
      <c r="LA1379" s="1"/>
      <c r="LB1379" s="1"/>
      <c r="LC1379" s="1"/>
      <c r="LD1379" s="1"/>
      <c r="LO1379" s="1"/>
      <c r="LP1379" s="1"/>
      <c r="LZ1379" s="1"/>
      <c r="MA1379" s="1"/>
    </row>
    <row r="1380" spans="4:339" ht="13" x14ac:dyDescent="0.15">
      <c r="D1380" s="12"/>
      <c r="E1380" s="12"/>
      <c r="I1380" s="12"/>
      <c r="J1380" s="13"/>
      <c r="BF1380" s="1"/>
      <c r="BG1380" s="1"/>
      <c r="BH1380" s="1"/>
      <c r="BI1380" s="1"/>
      <c r="BJ1380" s="1"/>
      <c r="BK1380" s="1"/>
      <c r="BL1380" s="1"/>
      <c r="BM1380" s="1"/>
      <c r="BN1380" s="1"/>
      <c r="BO1380" s="1"/>
      <c r="BP1380" s="1"/>
      <c r="BQ1380" s="1"/>
      <c r="BR1380" s="1"/>
      <c r="CD1380" s="1"/>
      <c r="CE1380" s="1"/>
      <c r="CF1380" s="1"/>
      <c r="CG1380" s="1"/>
      <c r="CM1380" s="2"/>
      <c r="CP1380" s="1"/>
      <c r="CQ1380" s="1"/>
      <c r="CR1380" s="1"/>
      <c r="CS1380" s="1"/>
      <c r="CT1380" s="1"/>
      <c r="CU1380" s="1"/>
      <c r="CV1380" s="1"/>
      <c r="CW1380" s="1"/>
      <c r="CX1380" s="1"/>
      <c r="CY1380" s="1"/>
      <c r="CZ1380" s="1"/>
      <c r="DA1380" s="1"/>
      <c r="DB1380" s="1"/>
      <c r="DC1380" s="1"/>
      <c r="DD1380" s="1"/>
      <c r="DE1380" s="1"/>
      <c r="DF1380" s="1"/>
      <c r="DG1380" s="1"/>
      <c r="DH1380" s="1"/>
      <c r="DI1380" s="1"/>
      <c r="DJ1380" s="1"/>
      <c r="DK1380" s="1"/>
      <c r="DQ1380" s="1"/>
      <c r="DR1380" s="1"/>
      <c r="DY1380" s="1"/>
      <c r="DZ1380" s="1"/>
      <c r="ED1380" s="1"/>
      <c r="EE1380" s="1"/>
      <c r="EF1380" s="1"/>
      <c r="EG1380" s="1"/>
      <c r="EH1380" s="1"/>
      <c r="EK1380" s="1"/>
      <c r="EL1380" s="1"/>
      <c r="EM1380" s="1"/>
      <c r="EN1380" s="1"/>
      <c r="EQ1380" s="1"/>
      <c r="ER1380" s="1"/>
      <c r="ES1380" s="1"/>
      <c r="EV1380" s="1"/>
      <c r="EW1380" s="1"/>
      <c r="EY1380" s="1"/>
      <c r="EZ1380" s="1"/>
      <c r="GP1380" s="1"/>
      <c r="HY1380" s="1"/>
      <c r="IC1380" s="1"/>
      <c r="ID1380" s="1"/>
      <c r="IE1380" s="1"/>
      <c r="IG1380" s="1"/>
      <c r="IJ1380" s="1"/>
      <c r="IR1380" s="1"/>
      <c r="IS1380" s="1"/>
      <c r="IZ1380" s="1"/>
      <c r="JG1380" s="1"/>
      <c r="JH1380" s="1"/>
      <c r="JJ1380" s="1"/>
      <c r="JK1380" s="1"/>
      <c r="JL1380" s="3"/>
      <c r="JM1380" s="1"/>
      <c r="JN1380" s="1"/>
      <c r="JP1380" s="1"/>
      <c r="JQ1380" s="1"/>
      <c r="JR1380" s="1"/>
      <c r="KU1380" s="1"/>
      <c r="KY1380" s="1"/>
      <c r="KZ1380" s="1"/>
      <c r="LA1380" s="1"/>
      <c r="LB1380" s="1"/>
      <c r="LC1380" s="1"/>
      <c r="LD1380" s="1"/>
      <c r="LO1380" s="1"/>
      <c r="LP1380" s="1"/>
      <c r="LZ1380" s="1"/>
      <c r="MA1380" s="1"/>
    </row>
    <row r="1381" spans="4:339" ht="13" x14ac:dyDescent="0.15">
      <c r="D1381" s="12"/>
      <c r="E1381" s="12"/>
      <c r="I1381" s="12"/>
      <c r="J1381" s="13"/>
      <c r="BF1381" s="1"/>
      <c r="BG1381" s="1"/>
      <c r="BH1381" s="1"/>
      <c r="BI1381" s="1"/>
      <c r="BJ1381" s="1"/>
      <c r="BK1381" s="1"/>
      <c r="BL1381" s="1"/>
      <c r="BM1381" s="1"/>
      <c r="BN1381" s="1"/>
      <c r="BO1381" s="1"/>
      <c r="BP1381" s="1"/>
      <c r="BQ1381" s="1"/>
      <c r="BR1381" s="1"/>
      <c r="CD1381" s="1"/>
      <c r="CE1381" s="1"/>
      <c r="CF1381" s="1"/>
      <c r="CG1381" s="1"/>
      <c r="CM1381" s="2"/>
      <c r="CP1381" s="1"/>
      <c r="CQ1381" s="1"/>
      <c r="CR1381" s="1"/>
      <c r="CS1381" s="1"/>
      <c r="CT1381" s="1"/>
      <c r="CU1381" s="1"/>
      <c r="CV1381" s="1"/>
      <c r="CW1381" s="1"/>
      <c r="CX1381" s="1"/>
      <c r="CY1381" s="1"/>
      <c r="CZ1381" s="1"/>
      <c r="DA1381" s="1"/>
      <c r="DB1381" s="1"/>
      <c r="DC1381" s="1"/>
      <c r="DD1381" s="1"/>
      <c r="DE1381" s="1"/>
      <c r="DF1381" s="1"/>
      <c r="DG1381" s="1"/>
      <c r="DH1381" s="1"/>
      <c r="DI1381" s="1"/>
      <c r="DJ1381" s="1"/>
      <c r="DK1381" s="1"/>
      <c r="DQ1381" s="1"/>
      <c r="DR1381" s="1"/>
      <c r="DY1381" s="1"/>
      <c r="DZ1381" s="1"/>
      <c r="ED1381" s="1"/>
      <c r="EE1381" s="1"/>
      <c r="EF1381" s="1"/>
      <c r="EG1381" s="1"/>
      <c r="EH1381" s="1"/>
      <c r="EK1381" s="1"/>
      <c r="EL1381" s="1"/>
      <c r="EM1381" s="1"/>
      <c r="EN1381" s="1"/>
      <c r="EQ1381" s="1"/>
      <c r="ER1381" s="1"/>
      <c r="ES1381" s="1"/>
      <c r="EV1381" s="1"/>
      <c r="EW1381" s="1"/>
      <c r="EY1381" s="1"/>
      <c r="EZ1381" s="1"/>
      <c r="GP1381" s="1"/>
      <c r="HY1381" s="1"/>
      <c r="IC1381" s="1"/>
      <c r="ID1381" s="1"/>
      <c r="IE1381" s="1"/>
      <c r="IG1381" s="1"/>
      <c r="IJ1381" s="1"/>
      <c r="IR1381" s="1"/>
      <c r="IS1381" s="1"/>
      <c r="IZ1381" s="1"/>
      <c r="JG1381" s="1"/>
      <c r="JH1381" s="1"/>
      <c r="JJ1381" s="1"/>
      <c r="JK1381" s="1"/>
      <c r="JL1381" s="3"/>
      <c r="JM1381" s="1"/>
      <c r="JN1381" s="1"/>
      <c r="JP1381" s="1"/>
      <c r="JQ1381" s="1"/>
      <c r="JR1381" s="1"/>
      <c r="KU1381" s="1"/>
      <c r="KY1381" s="1"/>
      <c r="KZ1381" s="1"/>
      <c r="LA1381" s="1"/>
      <c r="LB1381" s="1"/>
      <c r="LC1381" s="1"/>
      <c r="LD1381" s="1"/>
      <c r="LO1381" s="1"/>
      <c r="LP1381" s="1"/>
      <c r="LZ1381" s="1"/>
      <c r="MA1381" s="1"/>
    </row>
    <row r="1382" spans="4:339" ht="13" x14ac:dyDescent="0.15">
      <c r="D1382" s="12"/>
      <c r="E1382" s="12"/>
      <c r="I1382" s="12"/>
      <c r="J1382" s="13"/>
      <c r="BF1382" s="1"/>
      <c r="BG1382" s="1"/>
      <c r="BH1382" s="1"/>
      <c r="BI1382" s="1"/>
      <c r="BJ1382" s="1"/>
      <c r="BK1382" s="1"/>
      <c r="BL1382" s="1"/>
      <c r="BM1382" s="1"/>
      <c r="BN1382" s="1"/>
      <c r="BO1382" s="1"/>
      <c r="BP1382" s="1"/>
      <c r="BQ1382" s="1"/>
      <c r="BR1382" s="1"/>
      <c r="CD1382" s="1"/>
      <c r="CE1382" s="1"/>
      <c r="CF1382" s="1"/>
      <c r="CG1382" s="1"/>
      <c r="CM1382" s="2"/>
      <c r="CP1382" s="1"/>
      <c r="CQ1382" s="1"/>
      <c r="CR1382" s="1"/>
      <c r="CS1382" s="1"/>
      <c r="CT1382" s="1"/>
      <c r="CU1382" s="1"/>
      <c r="CV1382" s="1"/>
      <c r="CW1382" s="1"/>
      <c r="CX1382" s="1"/>
      <c r="CY1382" s="1"/>
      <c r="CZ1382" s="1"/>
      <c r="DA1382" s="1"/>
      <c r="DB1382" s="1"/>
      <c r="DC1382" s="1"/>
      <c r="DD1382" s="1"/>
      <c r="DE1382" s="1"/>
      <c r="DF1382" s="1"/>
      <c r="DG1382" s="1"/>
      <c r="DH1382" s="1"/>
      <c r="DI1382" s="1"/>
      <c r="DJ1382" s="1"/>
      <c r="DK1382" s="1"/>
      <c r="DQ1382" s="1"/>
      <c r="DR1382" s="1"/>
      <c r="DY1382" s="1"/>
      <c r="DZ1382" s="1"/>
      <c r="ED1382" s="1"/>
      <c r="EE1382" s="1"/>
      <c r="EF1382" s="1"/>
      <c r="EG1382" s="1"/>
      <c r="EH1382" s="1"/>
      <c r="EK1382" s="1"/>
      <c r="EL1382" s="1"/>
      <c r="EM1382" s="1"/>
      <c r="EN1382" s="1"/>
      <c r="EQ1382" s="1"/>
      <c r="ER1382" s="1"/>
      <c r="ES1382" s="1"/>
      <c r="EV1382" s="1"/>
      <c r="EW1382" s="1"/>
      <c r="EY1382" s="1"/>
      <c r="EZ1382" s="1"/>
      <c r="GP1382" s="1"/>
      <c r="HY1382" s="1"/>
      <c r="IC1382" s="1"/>
      <c r="ID1382" s="1"/>
      <c r="IE1382" s="1"/>
      <c r="IG1382" s="1"/>
      <c r="IJ1382" s="1"/>
      <c r="IR1382" s="1"/>
      <c r="IS1382" s="1"/>
      <c r="IZ1382" s="1"/>
      <c r="JG1382" s="1"/>
      <c r="JH1382" s="1"/>
      <c r="JJ1382" s="1"/>
      <c r="JK1382" s="1"/>
      <c r="JL1382" s="3"/>
      <c r="JM1382" s="1"/>
      <c r="JN1382" s="1"/>
      <c r="JP1382" s="1"/>
      <c r="JQ1382" s="1"/>
      <c r="JR1382" s="1"/>
      <c r="KU1382" s="1"/>
      <c r="KY1382" s="1"/>
      <c r="KZ1382" s="1"/>
      <c r="LA1382" s="1"/>
      <c r="LB1382" s="1"/>
      <c r="LC1382" s="1"/>
      <c r="LD1382" s="1"/>
      <c r="LO1382" s="1"/>
      <c r="LP1382" s="1"/>
      <c r="LZ1382" s="1"/>
      <c r="MA1382" s="1"/>
    </row>
    <row r="1383" spans="4:339" ht="13" x14ac:dyDescent="0.15">
      <c r="D1383" s="12"/>
      <c r="E1383" s="12"/>
      <c r="I1383" s="12"/>
      <c r="J1383" s="13"/>
      <c r="BF1383" s="1"/>
      <c r="BG1383" s="1"/>
      <c r="BH1383" s="1"/>
      <c r="BI1383" s="1"/>
      <c r="BJ1383" s="1"/>
      <c r="BK1383" s="1"/>
      <c r="BL1383" s="1"/>
      <c r="BM1383" s="1"/>
      <c r="BN1383" s="1"/>
      <c r="BO1383" s="1"/>
      <c r="BP1383" s="1"/>
      <c r="BQ1383" s="1"/>
      <c r="BR1383" s="1"/>
      <c r="CD1383" s="1"/>
      <c r="CE1383" s="1"/>
      <c r="CF1383" s="1"/>
      <c r="CG1383" s="1"/>
      <c r="CM1383" s="2"/>
      <c r="CP1383" s="1"/>
      <c r="CQ1383" s="1"/>
      <c r="CR1383" s="1"/>
      <c r="CS1383" s="1"/>
      <c r="CT1383" s="1"/>
      <c r="CU1383" s="1"/>
      <c r="CV1383" s="1"/>
      <c r="CW1383" s="1"/>
      <c r="CX1383" s="1"/>
      <c r="CY1383" s="1"/>
      <c r="CZ1383" s="1"/>
      <c r="DA1383" s="1"/>
      <c r="DB1383" s="1"/>
      <c r="DC1383" s="1"/>
      <c r="DD1383" s="1"/>
      <c r="DE1383" s="1"/>
      <c r="DF1383" s="1"/>
      <c r="DG1383" s="1"/>
      <c r="DH1383" s="1"/>
      <c r="DI1383" s="1"/>
      <c r="DJ1383" s="1"/>
      <c r="DK1383" s="1"/>
      <c r="DQ1383" s="1"/>
      <c r="DR1383" s="1"/>
      <c r="DY1383" s="1"/>
      <c r="DZ1383" s="1"/>
      <c r="ED1383" s="1"/>
      <c r="EE1383" s="1"/>
      <c r="EF1383" s="1"/>
      <c r="EG1383" s="1"/>
      <c r="EH1383" s="1"/>
      <c r="EK1383" s="1"/>
      <c r="EL1383" s="1"/>
      <c r="EM1383" s="1"/>
      <c r="EN1383" s="1"/>
      <c r="EQ1383" s="1"/>
      <c r="ER1383" s="1"/>
      <c r="ES1383" s="1"/>
      <c r="EV1383" s="1"/>
      <c r="EW1383" s="1"/>
      <c r="EY1383" s="1"/>
      <c r="EZ1383" s="1"/>
      <c r="GP1383" s="1"/>
      <c r="HY1383" s="1"/>
      <c r="IC1383" s="1"/>
      <c r="ID1383" s="1"/>
      <c r="IE1383" s="1"/>
      <c r="IG1383" s="1"/>
      <c r="IJ1383" s="1"/>
      <c r="IR1383" s="1"/>
      <c r="IS1383" s="1"/>
      <c r="IZ1383" s="1"/>
      <c r="JG1383" s="1"/>
      <c r="JH1383" s="1"/>
      <c r="JJ1383" s="1"/>
      <c r="JK1383" s="1"/>
      <c r="JL1383" s="3"/>
      <c r="JM1383" s="1"/>
      <c r="JN1383" s="1"/>
      <c r="JP1383" s="1"/>
      <c r="JQ1383" s="1"/>
      <c r="JR1383" s="1"/>
      <c r="KU1383" s="1"/>
      <c r="KY1383" s="1"/>
      <c r="KZ1383" s="1"/>
      <c r="LA1383" s="1"/>
      <c r="LB1383" s="1"/>
      <c r="LC1383" s="1"/>
      <c r="LD1383" s="1"/>
      <c r="LO1383" s="1"/>
      <c r="LP1383" s="1"/>
      <c r="LZ1383" s="1"/>
      <c r="MA1383" s="1"/>
    </row>
    <row r="1384" spans="4:339" ht="13" x14ac:dyDescent="0.15">
      <c r="D1384" s="12"/>
      <c r="E1384" s="12"/>
      <c r="I1384" s="12"/>
      <c r="J1384" s="13"/>
      <c r="BF1384" s="1"/>
      <c r="BG1384" s="1"/>
      <c r="BH1384" s="1"/>
      <c r="BI1384" s="1"/>
      <c r="BJ1384" s="1"/>
      <c r="BK1384" s="1"/>
      <c r="BL1384" s="1"/>
      <c r="BM1384" s="1"/>
      <c r="BN1384" s="1"/>
      <c r="BO1384" s="1"/>
      <c r="BP1384" s="1"/>
      <c r="BQ1384" s="1"/>
      <c r="BR1384" s="1"/>
      <c r="CD1384" s="1"/>
      <c r="CE1384" s="1"/>
      <c r="CF1384" s="1"/>
      <c r="CG1384" s="1"/>
      <c r="CM1384" s="2"/>
      <c r="CP1384" s="1"/>
      <c r="CQ1384" s="1"/>
      <c r="CR1384" s="1"/>
      <c r="CS1384" s="1"/>
      <c r="CT1384" s="1"/>
      <c r="CU1384" s="1"/>
      <c r="CV1384" s="1"/>
      <c r="CW1384" s="1"/>
      <c r="CX1384" s="1"/>
      <c r="CY1384" s="1"/>
      <c r="CZ1384" s="1"/>
      <c r="DA1384" s="1"/>
      <c r="DB1384" s="1"/>
      <c r="DC1384" s="1"/>
      <c r="DD1384" s="1"/>
      <c r="DE1384" s="1"/>
      <c r="DF1384" s="1"/>
      <c r="DG1384" s="1"/>
      <c r="DH1384" s="1"/>
      <c r="DI1384" s="1"/>
      <c r="DJ1384" s="1"/>
      <c r="DK1384" s="1"/>
      <c r="DQ1384" s="1"/>
      <c r="DR1384" s="1"/>
      <c r="DY1384" s="1"/>
      <c r="DZ1384" s="1"/>
      <c r="ED1384" s="1"/>
      <c r="EE1384" s="1"/>
      <c r="EF1384" s="1"/>
      <c r="EG1384" s="1"/>
      <c r="EH1384" s="1"/>
      <c r="EK1384" s="1"/>
      <c r="EL1384" s="1"/>
      <c r="EM1384" s="1"/>
      <c r="EN1384" s="1"/>
      <c r="EQ1384" s="1"/>
      <c r="ER1384" s="1"/>
      <c r="ES1384" s="1"/>
      <c r="EV1384" s="1"/>
      <c r="EW1384" s="1"/>
      <c r="EY1384" s="1"/>
      <c r="EZ1384" s="1"/>
      <c r="GP1384" s="1"/>
      <c r="HY1384" s="1"/>
      <c r="IC1384" s="1"/>
      <c r="ID1384" s="1"/>
      <c r="IE1384" s="1"/>
      <c r="IG1384" s="1"/>
      <c r="IJ1384" s="1"/>
      <c r="IR1384" s="1"/>
      <c r="IS1384" s="1"/>
      <c r="IZ1384" s="1"/>
      <c r="JG1384" s="1"/>
      <c r="JH1384" s="1"/>
      <c r="JJ1384" s="1"/>
      <c r="JK1384" s="1"/>
      <c r="JL1384" s="3"/>
      <c r="JM1384" s="1"/>
      <c r="JN1384" s="1"/>
      <c r="JP1384" s="1"/>
      <c r="JQ1384" s="1"/>
      <c r="JR1384" s="1"/>
      <c r="KU1384" s="1"/>
      <c r="KY1384" s="1"/>
      <c r="KZ1384" s="1"/>
      <c r="LA1384" s="1"/>
      <c r="LB1384" s="1"/>
      <c r="LC1384" s="1"/>
      <c r="LD1384" s="1"/>
      <c r="LO1384" s="1"/>
      <c r="LP1384" s="1"/>
      <c r="LZ1384" s="1"/>
      <c r="MA1384" s="1"/>
    </row>
    <row r="1385" spans="4:339" ht="13" x14ac:dyDescent="0.15">
      <c r="D1385" s="12"/>
      <c r="E1385" s="12"/>
      <c r="I1385" s="12"/>
      <c r="J1385" s="13"/>
      <c r="BF1385" s="1"/>
      <c r="BG1385" s="1"/>
      <c r="BH1385" s="1"/>
      <c r="BI1385" s="1"/>
      <c r="BJ1385" s="1"/>
      <c r="BK1385" s="1"/>
      <c r="BL1385" s="1"/>
      <c r="BM1385" s="1"/>
      <c r="BN1385" s="1"/>
      <c r="BO1385" s="1"/>
      <c r="BP1385" s="1"/>
      <c r="BQ1385" s="1"/>
      <c r="BR1385" s="1"/>
      <c r="CD1385" s="1"/>
      <c r="CE1385" s="1"/>
      <c r="CF1385" s="1"/>
      <c r="CG1385" s="1"/>
      <c r="CM1385" s="2"/>
      <c r="CP1385" s="1"/>
      <c r="CQ1385" s="1"/>
      <c r="CR1385" s="1"/>
      <c r="CS1385" s="1"/>
      <c r="CT1385" s="1"/>
      <c r="CU1385" s="1"/>
      <c r="CV1385" s="1"/>
      <c r="CW1385" s="1"/>
      <c r="CX1385" s="1"/>
      <c r="CY1385" s="1"/>
      <c r="CZ1385" s="1"/>
      <c r="DA1385" s="1"/>
      <c r="DB1385" s="1"/>
      <c r="DC1385" s="1"/>
      <c r="DD1385" s="1"/>
      <c r="DE1385" s="1"/>
      <c r="DF1385" s="1"/>
      <c r="DG1385" s="1"/>
      <c r="DH1385" s="1"/>
      <c r="DI1385" s="1"/>
      <c r="DJ1385" s="1"/>
      <c r="DK1385" s="1"/>
      <c r="DQ1385" s="1"/>
      <c r="DR1385" s="1"/>
      <c r="DY1385" s="1"/>
      <c r="DZ1385" s="1"/>
      <c r="ED1385" s="1"/>
      <c r="EE1385" s="1"/>
      <c r="EF1385" s="1"/>
      <c r="EG1385" s="1"/>
      <c r="EH1385" s="1"/>
      <c r="EK1385" s="1"/>
      <c r="EL1385" s="1"/>
      <c r="EM1385" s="1"/>
      <c r="EN1385" s="1"/>
      <c r="EQ1385" s="1"/>
      <c r="ER1385" s="1"/>
      <c r="ES1385" s="1"/>
      <c r="EV1385" s="1"/>
      <c r="EW1385" s="1"/>
      <c r="EY1385" s="1"/>
      <c r="EZ1385" s="1"/>
      <c r="GP1385" s="1"/>
      <c r="HY1385" s="1"/>
      <c r="IC1385" s="1"/>
      <c r="ID1385" s="1"/>
      <c r="IE1385" s="1"/>
      <c r="IG1385" s="1"/>
      <c r="IJ1385" s="1"/>
      <c r="IR1385" s="1"/>
      <c r="IS1385" s="1"/>
      <c r="IZ1385" s="1"/>
      <c r="JG1385" s="1"/>
      <c r="JH1385" s="1"/>
      <c r="JJ1385" s="1"/>
      <c r="JK1385" s="1"/>
      <c r="JL1385" s="3"/>
      <c r="JM1385" s="1"/>
      <c r="JN1385" s="1"/>
      <c r="JP1385" s="1"/>
      <c r="JQ1385" s="1"/>
      <c r="JR1385" s="1"/>
      <c r="KU1385" s="1"/>
      <c r="KY1385" s="1"/>
      <c r="KZ1385" s="1"/>
      <c r="LA1385" s="1"/>
      <c r="LB1385" s="1"/>
      <c r="LC1385" s="1"/>
      <c r="LD1385" s="1"/>
      <c r="LO1385" s="1"/>
      <c r="LP1385" s="1"/>
      <c r="LZ1385" s="1"/>
      <c r="MA1385" s="1"/>
    </row>
    <row r="1386" spans="4:339" ht="13" x14ac:dyDescent="0.15">
      <c r="D1386" s="12"/>
      <c r="E1386" s="12"/>
      <c r="I1386" s="12"/>
      <c r="J1386" s="13"/>
      <c r="BF1386" s="1"/>
      <c r="BG1386" s="1"/>
      <c r="BH1386" s="1"/>
      <c r="BI1386" s="1"/>
      <c r="BJ1386" s="1"/>
      <c r="BK1386" s="1"/>
      <c r="BL1386" s="1"/>
      <c r="BM1386" s="1"/>
      <c r="BN1386" s="1"/>
      <c r="BO1386" s="1"/>
      <c r="BP1386" s="1"/>
      <c r="BQ1386" s="1"/>
      <c r="BR1386" s="1"/>
      <c r="CD1386" s="1"/>
      <c r="CE1386" s="1"/>
      <c r="CF1386" s="1"/>
      <c r="CG1386" s="1"/>
      <c r="CM1386" s="2"/>
      <c r="CP1386" s="1"/>
      <c r="CQ1386" s="1"/>
      <c r="CR1386" s="1"/>
      <c r="CS1386" s="1"/>
      <c r="CT1386" s="1"/>
      <c r="CU1386" s="1"/>
      <c r="CV1386" s="1"/>
      <c r="CW1386" s="1"/>
      <c r="CX1386" s="1"/>
      <c r="CY1386" s="1"/>
      <c r="CZ1386" s="1"/>
      <c r="DA1386" s="1"/>
      <c r="DB1386" s="1"/>
      <c r="DC1386" s="1"/>
      <c r="DD1386" s="1"/>
      <c r="DE1386" s="1"/>
      <c r="DF1386" s="1"/>
      <c r="DG1386" s="1"/>
      <c r="DH1386" s="1"/>
      <c r="DI1386" s="1"/>
      <c r="DJ1386" s="1"/>
      <c r="DK1386" s="1"/>
      <c r="DQ1386" s="1"/>
      <c r="DR1386" s="1"/>
      <c r="DY1386" s="1"/>
      <c r="DZ1386" s="1"/>
      <c r="ED1386" s="1"/>
      <c r="EE1386" s="1"/>
      <c r="EF1386" s="1"/>
      <c r="EG1386" s="1"/>
      <c r="EH1386" s="1"/>
      <c r="EK1386" s="1"/>
      <c r="EL1386" s="1"/>
      <c r="EM1386" s="1"/>
      <c r="EN1386" s="1"/>
      <c r="EQ1386" s="1"/>
      <c r="ER1386" s="1"/>
      <c r="ES1386" s="1"/>
      <c r="EV1386" s="1"/>
      <c r="EW1386" s="1"/>
      <c r="EY1386" s="1"/>
      <c r="EZ1386" s="1"/>
      <c r="GP1386" s="1"/>
      <c r="HY1386" s="1"/>
      <c r="IC1386" s="1"/>
      <c r="ID1386" s="1"/>
      <c r="IE1386" s="1"/>
      <c r="IG1386" s="1"/>
      <c r="IJ1386" s="1"/>
      <c r="IR1386" s="1"/>
      <c r="IS1386" s="1"/>
      <c r="IZ1386" s="1"/>
      <c r="JG1386" s="1"/>
      <c r="JH1386" s="1"/>
      <c r="JJ1386" s="1"/>
      <c r="JK1386" s="1"/>
      <c r="JL1386" s="3"/>
      <c r="JM1386" s="1"/>
      <c r="JN1386" s="1"/>
      <c r="JP1386" s="1"/>
      <c r="JQ1386" s="1"/>
      <c r="JR1386" s="1"/>
      <c r="KU1386" s="1"/>
      <c r="KY1386" s="1"/>
      <c r="KZ1386" s="1"/>
      <c r="LA1386" s="1"/>
      <c r="LB1386" s="1"/>
      <c r="LC1386" s="1"/>
      <c r="LD1386" s="1"/>
      <c r="LO1386" s="1"/>
      <c r="LP1386" s="1"/>
      <c r="LZ1386" s="1"/>
      <c r="MA1386" s="1"/>
    </row>
    <row r="1387" spans="4:339" ht="13" x14ac:dyDescent="0.15">
      <c r="D1387" s="12"/>
      <c r="E1387" s="12"/>
      <c r="I1387" s="12"/>
      <c r="J1387" s="13"/>
      <c r="BF1387" s="1"/>
      <c r="BG1387" s="1"/>
      <c r="BH1387" s="1"/>
      <c r="BI1387" s="1"/>
      <c r="BJ1387" s="1"/>
      <c r="BK1387" s="1"/>
      <c r="BL1387" s="1"/>
      <c r="BM1387" s="1"/>
      <c r="BN1387" s="1"/>
      <c r="BO1387" s="1"/>
      <c r="BP1387" s="1"/>
      <c r="BQ1387" s="1"/>
      <c r="BR1387" s="1"/>
      <c r="CD1387" s="1"/>
      <c r="CE1387" s="1"/>
      <c r="CF1387" s="1"/>
      <c r="CG1387" s="1"/>
      <c r="CM1387" s="2"/>
      <c r="CP1387" s="1"/>
      <c r="CQ1387" s="1"/>
      <c r="CR1387" s="1"/>
      <c r="CS1387" s="1"/>
      <c r="CT1387" s="1"/>
      <c r="CU1387" s="1"/>
      <c r="CV1387" s="1"/>
      <c r="CW1387" s="1"/>
      <c r="CX1387" s="1"/>
      <c r="CY1387" s="1"/>
      <c r="CZ1387" s="1"/>
      <c r="DA1387" s="1"/>
      <c r="DB1387" s="1"/>
      <c r="DC1387" s="1"/>
      <c r="DD1387" s="1"/>
      <c r="DE1387" s="1"/>
      <c r="DF1387" s="1"/>
      <c r="DG1387" s="1"/>
      <c r="DH1387" s="1"/>
      <c r="DI1387" s="1"/>
      <c r="DJ1387" s="1"/>
      <c r="DK1387" s="1"/>
      <c r="DQ1387" s="1"/>
      <c r="DR1387" s="1"/>
      <c r="DY1387" s="1"/>
      <c r="DZ1387" s="1"/>
      <c r="ED1387" s="1"/>
      <c r="EE1387" s="1"/>
      <c r="EF1387" s="1"/>
      <c r="EG1387" s="1"/>
      <c r="EH1387" s="1"/>
      <c r="EK1387" s="1"/>
      <c r="EL1387" s="1"/>
      <c r="EM1387" s="1"/>
      <c r="EN1387" s="1"/>
      <c r="EQ1387" s="1"/>
      <c r="ER1387" s="1"/>
      <c r="ES1387" s="1"/>
      <c r="EV1387" s="1"/>
      <c r="EW1387" s="1"/>
      <c r="EY1387" s="1"/>
      <c r="EZ1387" s="1"/>
      <c r="GP1387" s="1"/>
      <c r="HY1387" s="1"/>
      <c r="IC1387" s="1"/>
      <c r="ID1387" s="1"/>
      <c r="IE1387" s="1"/>
      <c r="IG1387" s="1"/>
      <c r="IJ1387" s="1"/>
      <c r="IR1387" s="1"/>
      <c r="IS1387" s="1"/>
      <c r="IZ1387" s="1"/>
      <c r="JG1387" s="1"/>
      <c r="JH1387" s="1"/>
      <c r="JJ1387" s="1"/>
      <c r="JK1387" s="1"/>
      <c r="JL1387" s="3"/>
      <c r="JM1387" s="1"/>
      <c r="JN1387" s="1"/>
      <c r="JP1387" s="1"/>
      <c r="JQ1387" s="1"/>
      <c r="JR1387" s="1"/>
      <c r="KU1387" s="1"/>
      <c r="KY1387" s="1"/>
      <c r="KZ1387" s="1"/>
      <c r="LA1387" s="1"/>
      <c r="LB1387" s="1"/>
      <c r="LC1387" s="1"/>
      <c r="LD1387" s="1"/>
      <c r="LO1387" s="1"/>
      <c r="LP1387" s="1"/>
      <c r="LZ1387" s="1"/>
      <c r="MA1387" s="1"/>
    </row>
    <row r="1388" spans="4:339" ht="13" x14ac:dyDescent="0.15">
      <c r="D1388" s="12"/>
      <c r="E1388" s="12"/>
      <c r="I1388" s="12"/>
      <c r="J1388" s="13"/>
      <c r="BF1388" s="1"/>
      <c r="BG1388" s="1"/>
      <c r="BH1388" s="1"/>
      <c r="BI1388" s="1"/>
      <c r="BJ1388" s="1"/>
      <c r="BK1388" s="1"/>
      <c r="BL1388" s="1"/>
      <c r="BM1388" s="1"/>
      <c r="BN1388" s="1"/>
      <c r="BO1388" s="1"/>
      <c r="BP1388" s="1"/>
      <c r="BQ1388" s="1"/>
      <c r="BR1388" s="1"/>
      <c r="CD1388" s="1"/>
      <c r="CE1388" s="1"/>
      <c r="CF1388" s="1"/>
      <c r="CG1388" s="1"/>
      <c r="CM1388" s="2"/>
      <c r="CP1388" s="1"/>
      <c r="CQ1388" s="1"/>
      <c r="CR1388" s="1"/>
      <c r="CS1388" s="1"/>
      <c r="CT1388" s="1"/>
      <c r="CU1388" s="1"/>
      <c r="CV1388" s="1"/>
      <c r="CW1388" s="1"/>
      <c r="CX1388" s="1"/>
      <c r="CY1388" s="1"/>
      <c r="CZ1388" s="1"/>
      <c r="DA1388" s="1"/>
      <c r="DB1388" s="1"/>
      <c r="DC1388" s="1"/>
      <c r="DD1388" s="1"/>
      <c r="DE1388" s="1"/>
      <c r="DF1388" s="1"/>
      <c r="DG1388" s="1"/>
      <c r="DH1388" s="1"/>
      <c r="DI1388" s="1"/>
      <c r="DJ1388" s="1"/>
      <c r="DK1388" s="1"/>
      <c r="DQ1388" s="1"/>
      <c r="DR1388" s="1"/>
      <c r="DY1388" s="1"/>
      <c r="DZ1388" s="1"/>
      <c r="ED1388" s="1"/>
      <c r="EE1388" s="1"/>
      <c r="EF1388" s="1"/>
      <c r="EG1388" s="1"/>
      <c r="EH1388" s="1"/>
      <c r="EK1388" s="1"/>
      <c r="EL1388" s="1"/>
      <c r="EM1388" s="1"/>
      <c r="EN1388" s="1"/>
      <c r="EQ1388" s="1"/>
      <c r="ER1388" s="1"/>
      <c r="ES1388" s="1"/>
      <c r="EV1388" s="1"/>
      <c r="EW1388" s="1"/>
      <c r="EY1388" s="1"/>
      <c r="EZ1388" s="1"/>
      <c r="GP1388" s="1"/>
      <c r="HY1388" s="1"/>
      <c r="IC1388" s="1"/>
      <c r="ID1388" s="1"/>
      <c r="IE1388" s="1"/>
      <c r="IG1388" s="1"/>
      <c r="IJ1388" s="1"/>
      <c r="IR1388" s="1"/>
      <c r="IS1388" s="1"/>
      <c r="IZ1388" s="1"/>
      <c r="JG1388" s="1"/>
      <c r="JH1388" s="1"/>
      <c r="JJ1388" s="1"/>
      <c r="JK1388" s="1"/>
      <c r="JL1388" s="3"/>
      <c r="JM1388" s="1"/>
      <c r="JN1388" s="1"/>
      <c r="JP1388" s="1"/>
      <c r="JQ1388" s="1"/>
      <c r="JR1388" s="1"/>
      <c r="KU1388" s="1"/>
      <c r="KY1388" s="1"/>
      <c r="KZ1388" s="1"/>
      <c r="LA1388" s="1"/>
      <c r="LB1388" s="1"/>
      <c r="LC1388" s="1"/>
      <c r="LD1388" s="1"/>
      <c r="LO1388" s="1"/>
      <c r="LP1388" s="1"/>
      <c r="LZ1388" s="1"/>
      <c r="MA1388" s="1"/>
    </row>
    <row r="1389" spans="4:339" ht="13" x14ac:dyDescent="0.15">
      <c r="D1389" s="12"/>
      <c r="E1389" s="12"/>
      <c r="I1389" s="12"/>
      <c r="J1389" s="13"/>
      <c r="BF1389" s="1"/>
      <c r="BG1389" s="1"/>
      <c r="BH1389" s="1"/>
      <c r="BI1389" s="1"/>
      <c r="BJ1389" s="1"/>
      <c r="BK1389" s="1"/>
      <c r="BL1389" s="1"/>
      <c r="BM1389" s="1"/>
      <c r="BN1389" s="1"/>
      <c r="BO1389" s="1"/>
      <c r="BP1389" s="1"/>
      <c r="BQ1389" s="1"/>
      <c r="BR1389" s="1"/>
      <c r="CD1389" s="1"/>
      <c r="CE1389" s="1"/>
      <c r="CF1389" s="1"/>
      <c r="CG1389" s="1"/>
      <c r="CM1389" s="2"/>
      <c r="CP1389" s="1"/>
      <c r="CQ1389" s="1"/>
      <c r="CR1389" s="1"/>
      <c r="CS1389" s="1"/>
      <c r="CT1389" s="1"/>
      <c r="CU1389" s="1"/>
      <c r="CV1389" s="1"/>
      <c r="CW1389" s="1"/>
      <c r="CX1389" s="1"/>
      <c r="CY1389" s="1"/>
      <c r="CZ1389" s="1"/>
      <c r="DA1389" s="1"/>
      <c r="DB1389" s="1"/>
      <c r="DC1389" s="1"/>
      <c r="DD1389" s="1"/>
      <c r="DE1389" s="1"/>
      <c r="DF1389" s="1"/>
      <c r="DG1389" s="1"/>
      <c r="DH1389" s="1"/>
      <c r="DI1389" s="1"/>
      <c r="DJ1389" s="1"/>
      <c r="DK1389" s="1"/>
      <c r="DQ1389" s="1"/>
      <c r="DR1389" s="1"/>
      <c r="DY1389" s="1"/>
      <c r="DZ1389" s="1"/>
      <c r="ED1389" s="1"/>
      <c r="EE1389" s="1"/>
      <c r="EF1389" s="1"/>
      <c r="EG1389" s="1"/>
      <c r="EH1389" s="1"/>
      <c r="EK1389" s="1"/>
      <c r="EL1389" s="1"/>
      <c r="EM1389" s="1"/>
      <c r="EN1389" s="1"/>
      <c r="EQ1389" s="1"/>
      <c r="ER1389" s="1"/>
      <c r="ES1389" s="1"/>
      <c r="EV1389" s="1"/>
      <c r="EW1389" s="1"/>
      <c r="EY1389" s="1"/>
      <c r="EZ1389" s="1"/>
      <c r="GP1389" s="1"/>
      <c r="HY1389" s="1"/>
      <c r="IC1389" s="1"/>
      <c r="ID1389" s="1"/>
      <c r="IE1389" s="1"/>
      <c r="IG1389" s="1"/>
      <c r="IJ1389" s="1"/>
      <c r="IR1389" s="1"/>
      <c r="IS1389" s="1"/>
      <c r="IZ1389" s="1"/>
      <c r="JG1389" s="1"/>
      <c r="JH1389" s="1"/>
      <c r="JJ1389" s="1"/>
      <c r="JK1389" s="1"/>
      <c r="JL1389" s="3"/>
      <c r="JM1389" s="1"/>
      <c r="JN1389" s="1"/>
      <c r="JP1389" s="1"/>
      <c r="JQ1389" s="1"/>
      <c r="JR1389" s="1"/>
      <c r="KU1389" s="1"/>
      <c r="KY1389" s="1"/>
      <c r="KZ1389" s="1"/>
      <c r="LA1389" s="1"/>
      <c r="LB1389" s="1"/>
      <c r="LC1389" s="1"/>
      <c r="LD1389" s="1"/>
      <c r="LO1389" s="1"/>
      <c r="LP1389" s="1"/>
      <c r="LZ1389" s="1"/>
      <c r="MA1389" s="1"/>
    </row>
    <row r="1390" spans="4:339" ht="13" x14ac:dyDescent="0.15">
      <c r="D1390" s="12"/>
      <c r="E1390" s="12"/>
      <c r="I1390" s="12"/>
      <c r="J1390" s="13"/>
      <c r="BF1390" s="1"/>
      <c r="BG1390" s="1"/>
      <c r="BH1390" s="1"/>
      <c r="BI1390" s="1"/>
      <c r="BJ1390" s="1"/>
      <c r="BK1390" s="1"/>
      <c r="BL1390" s="1"/>
      <c r="BM1390" s="1"/>
      <c r="BN1390" s="1"/>
      <c r="BO1390" s="1"/>
      <c r="BP1390" s="1"/>
      <c r="BQ1390" s="1"/>
      <c r="BR1390" s="1"/>
      <c r="CD1390" s="1"/>
      <c r="CE1390" s="1"/>
      <c r="CF1390" s="1"/>
      <c r="CG1390" s="1"/>
      <c r="CM1390" s="2"/>
      <c r="CP1390" s="1"/>
      <c r="CQ1390" s="1"/>
      <c r="CR1390" s="1"/>
      <c r="CS1390" s="1"/>
      <c r="CT1390" s="1"/>
      <c r="CU1390" s="1"/>
      <c r="CV1390" s="1"/>
      <c r="CW1390" s="1"/>
      <c r="CX1390" s="1"/>
      <c r="CY1390" s="1"/>
      <c r="CZ1390" s="1"/>
      <c r="DA1390" s="1"/>
      <c r="DB1390" s="1"/>
      <c r="DC1390" s="1"/>
      <c r="DD1390" s="1"/>
      <c r="DE1390" s="1"/>
      <c r="DF1390" s="1"/>
      <c r="DG1390" s="1"/>
      <c r="DH1390" s="1"/>
      <c r="DI1390" s="1"/>
      <c r="DJ1390" s="1"/>
      <c r="DK1390" s="1"/>
      <c r="DQ1390" s="1"/>
      <c r="DR1390" s="1"/>
      <c r="DY1390" s="1"/>
      <c r="DZ1390" s="1"/>
      <c r="ED1390" s="1"/>
      <c r="EE1390" s="1"/>
      <c r="EF1390" s="1"/>
      <c r="EG1390" s="1"/>
      <c r="EH1390" s="1"/>
      <c r="EK1390" s="1"/>
      <c r="EL1390" s="1"/>
      <c r="EM1390" s="1"/>
      <c r="EN1390" s="1"/>
      <c r="EQ1390" s="1"/>
      <c r="ER1390" s="1"/>
      <c r="ES1390" s="1"/>
      <c r="EV1390" s="1"/>
      <c r="EW1390" s="1"/>
      <c r="EY1390" s="1"/>
      <c r="EZ1390" s="1"/>
      <c r="GP1390" s="1"/>
      <c r="HY1390" s="1"/>
      <c r="IC1390" s="1"/>
      <c r="ID1390" s="1"/>
      <c r="IE1390" s="1"/>
      <c r="IG1390" s="1"/>
      <c r="IJ1390" s="1"/>
      <c r="IR1390" s="1"/>
      <c r="IS1390" s="1"/>
      <c r="IZ1390" s="1"/>
      <c r="JG1390" s="1"/>
      <c r="JH1390" s="1"/>
      <c r="JJ1390" s="1"/>
      <c r="JK1390" s="1"/>
      <c r="JL1390" s="3"/>
      <c r="JM1390" s="1"/>
      <c r="JN1390" s="1"/>
      <c r="JP1390" s="1"/>
      <c r="JQ1390" s="1"/>
      <c r="JR1390" s="1"/>
      <c r="KU1390" s="1"/>
      <c r="KY1390" s="1"/>
      <c r="KZ1390" s="1"/>
      <c r="LA1390" s="1"/>
      <c r="LB1390" s="1"/>
      <c r="LC1390" s="1"/>
      <c r="LD1390" s="1"/>
      <c r="LO1390" s="1"/>
      <c r="LP1390" s="1"/>
      <c r="LZ1390" s="1"/>
      <c r="MA1390" s="1"/>
    </row>
    <row r="1391" spans="4:339" ht="13" x14ac:dyDescent="0.15">
      <c r="D1391" s="12"/>
      <c r="E1391" s="12"/>
      <c r="I1391" s="12"/>
      <c r="J1391" s="13"/>
      <c r="BF1391" s="1"/>
      <c r="BG1391" s="1"/>
      <c r="BH1391" s="1"/>
      <c r="BI1391" s="1"/>
      <c r="BJ1391" s="1"/>
      <c r="BK1391" s="1"/>
      <c r="BL1391" s="1"/>
      <c r="BM1391" s="1"/>
      <c r="BN1391" s="1"/>
      <c r="BO1391" s="1"/>
      <c r="BP1391" s="1"/>
      <c r="BQ1391" s="1"/>
      <c r="BR1391" s="1"/>
      <c r="CD1391" s="1"/>
      <c r="CE1391" s="1"/>
      <c r="CF1391" s="1"/>
      <c r="CG1391" s="1"/>
      <c r="CM1391" s="2"/>
      <c r="CP1391" s="1"/>
      <c r="CQ1391" s="1"/>
      <c r="CR1391" s="1"/>
      <c r="CS1391" s="1"/>
      <c r="CT1391" s="1"/>
      <c r="CU1391" s="1"/>
      <c r="CV1391" s="1"/>
      <c r="CW1391" s="1"/>
      <c r="CX1391" s="1"/>
      <c r="CY1391" s="1"/>
      <c r="CZ1391" s="1"/>
      <c r="DA1391" s="1"/>
      <c r="DB1391" s="1"/>
      <c r="DC1391" s="1"/>
      <c r="DD1391" s="1"/>
      <c r="DE1391" s="1"/>
      <c r="DF1391" s="1"/>
      <c r="DG1391" s="1"/>
      <c r="DH1391" s="1"/>
      <c r="DI1391" s="1"/>
      <c r="DJ1391" s="1"/>
      <c r="DK1391" s="1"/>
      <c r="DQ1391" s="1"/>
      <c r="DR1391" s="1"/>
      <c r="DY1391" s="1"/>
      <c r="DZ1391" s="1"/>
      <c r="ED1391" s="1"/>
      <c r="EE1391" s="1"/>
      <c r="EF1391" s="1"/>
      <c r="EG1391" s="1"/>
      <c r="EH1391" s="1"/>
      <c r="EK1391" s="1"/>
      <c r="EL1391" s="1"/>
      <c r="EM1391" s="1"/>
      <c r="EN1391" s="1"/>
      <c r="EQ1391" s="1"/>
      <c r="ER1391" s="1"/>
      <c r="ES1391" s="1"/>
      <c r="EV1391" s="1"/>
      <c r="EW1391" s="1"/>
      <c r="EY1391" s="1"/>
      <c r="EZ1391" s="1"/>
      <c r="GP1391" s="1"/>
      <c r="HY1391" s="1"/>
      <c r="IC1391" s="1"/>
      <c r="ID1391" s="1"/>
      <c r="IE1391" s="1"/>
      <c r="IG1391" s="1"/>
      <c r="IJ1391" s="1"/>
      <c r="IR1391" s="1"/>
      <c r="IS1391" s="1"/>
      <c r="IZ1391" s="1"/>
      <c r="JG1391" s="1"/>
      <c r="JH1391" s="1"/>
      <c r="JJ1391" s="1"/>
      <c r="JK1391" s="1"/>
      <c r="JL1391" s="3"/>
      <c r="JM1391" s="1"/>
      <c r="JN1391" s="1"/>
      <c r="JP1391" s="1"/>
      <c r="JQ1391" s="1"/>
      <c r="JR1391" s="1"/>
      <c r="KU1391" s="1"/>
      <c r="KY1391" s="1"/>
      <c r="KZ1391" s="1"/>
      <c r="LA1391" s="1"/>
      <c r="LB1391" s="1"/>
      <c r="LC1391" s="1"/>
      <c r="LD1391" s="1"/>
      <c r="LO1391" s="1"/>
      <c r="LP1391" s="1"/>
      <c r="LZ1391" s="1"/>
      <c r="MA1391" s="1"/>
    </row>
    <row r="1392" spans="4:339" ht="13" x14ac:dyDescent="0.15">
      <c r="D1392" s="12"/>
      <c r="E1392" s="12"/>
      <c r="I1392" s="12"/>
      <c r="J1392" s="13"/>
      <c r="BF1392" s="1"/>
      <c r="BG1392" s="1"/>
      <c r="BH1392" s="1"/>
      <c r="BI1392" s="1"/>
      <c r="BJ1392" s="1"/>
      <c r="BK1392" s="1"/>
      <c r="BL1392" s="1"/>
      <c r="BM1392" s="1"/>
      <c r="BN1392" s="1"/>
      <c r="BO1392" s="1"/>
      <c r="BP1392" s="1"/>
      <c r="BQ1392" s="1"/>
      <c r="BR1392" s="1"/>
      <c r="CD1392" s="1"/>
      <c r="CE1392" s="1"/>
      <c r="CF1392" s="1"/>
      <c r="CG1392" s="1"/>
      <c r="CM1392" s="2"/>
      <c r="CP1392" s="1"/>
      <c r="CQ1392" s="1"/>
      <c r="CR1392" s="1"/>
      <c r="CS1392" s="1"/>
      <c r="CT1392" s="1"/>
      <c r="CU1392" s="1"/>
      <c r="CV1392" s="1"/>
      <c r="CW1392" s="1"/>
      <c r="CX1392" s="1"/>
      <c r="CY1392" s="1"/>
      <c r="CZ1392" s="1"/>
      <c r="DA1392" s="1"/>
      <c r="DB1392" s="1"/>
      <c r="DC1392" s="1"/>
      <c r="DD1392" s="1"/>
      <c r="DE1392" s="1"/>
      <c r="DF1392" s="1"/>
      <c r="DG1392" s="1"/>
      <c r="DH1392" s="1"/>
      <c r="DI1392" s="1"/>
      <c r="DJ1392" s="1"/>
      <c r="DK1392" s="1"/>
      <c r="DQ1392" s="1"/>
      <c r="DR1392" s="1"/>
      <c r="DY1392" s="1"/>
      <c r="DZ1392" s="1"/>
      <c r="ED1392" s="1"/>
      <c r="EE1392" s="1"/>
      <c r="EF1392" s="1"/>
      <c r="EG1392" s="1"/>
      <c r="EH1392" s="1"/>
      <c r="EK1392" s="1"/>
      <c r="EL1392" s="1"/>
      <c r="EM1392" s="1"/>
      <c r="EN1392" s="1"/>
      <c r="EQ1392" s="1"/>
      <c r="ER1392" s="1"/>
      <c r="ES1392" s="1"/>
      <c r="EV1392" s="1"/>
      <c r="EW1392" s="1"/>
      <c r="EY1392" s="1"/>
      <c r="EZ1392" s="1"/>
      <c r="GP1392" s="1"/>
      <c r="HY1392" s="1"/>
      <c r="IC1392" s="1"/>
      <c r="ID1392" s="1"/>
      <c r="IE1392" s="1"/>
      <c r="IG1392" s="1"/>
      <c r="IJ1392" s="1"/>
      <c r="IR1392" s="1"/>
      <c r="IS1392" s="1"/>
      <c r="IZ1392" s="1"/>
      <c r="JG1392" s="1"/>
      <c r="JH1392" s="1"/>
      <c r="JJ1392" s="1"/>
      <c r="JK1392" s="1"/>
      <c r="JL1392" s="3"/>
      <c r="JM1392" s="1"/>
      <c r="JN1392" s="1"/>
      <c r="JP1392" s="1"/>
      <c r="JQ1392" s="1"/>
      <c r="JR1392" s="1"/>
      <c r="KU1392" s="1"/>
      <c r="KY1392" s="1"/>
      <c r="KZ1392" s="1"/>
      <c r="LA1392" s="1"/>
      <c r="LB1392" s="1"/>
      <c r="LC1392" s="1"/>
      <c r="LD1392" s="1"/>
      <c r="LO1392" s="1"/>
      <c r="LP1392" s="1"/>
      <c r="LZ1392" s="1"/>
      <c r="MA1392" s="1"/>
    </row>
    <row r="1393" spans="4:339" ht="13" x14ac:dyDescent="0.15">
      <c r="D1393" s="12"/>
      <c r="E1393" s="12"/>
      <c r="I1393" s="12"/>
      <c r="J1393" s="13"/>
      <c r="BF1393" s="1"/>
      <c r="BG1393" s="1"/>
      <c r="BH1393" s="1"/>
      <c r="BI1393" s="1"/>
      <c r="BJ1393" s="1"/>
      <c r="BK1393" s="1"/>
      <c r="BL1393" s="1"/>
      <c r="BM1393" s="1"/>
      <c r="BN1393" s="1"/>
      <c r="BO1393" s="1"/>
      <c r="BP1393" s="1"/>
      <c r="BQ1393" s="1"/>
      <c r="BR1393" s="1"/>
      <c r="CD1393" s="1"/>
      <c r="CE1393" s="1"/>
      <c r="CF1393" s="1"/>
      <c r="CG1393" s="1"/>
      <c r="CM1393" s="2"/>
      <c r="CP1393" s="1"/>
      <c r="CQ1393" s="1"/>
      <c r="CR1393" s="1"/>
      <c r="CS1393" s="1"/>
      <c r="CT1393" s="1"/>
      <c r="CU1393" s="1"/>
      <c r="CV1393" s="1"/>
      <c r="CW1393" s="1"/>
      <c r="CX1393" s="1"/>
      <c r="CY1393" s="1"/>
      <c r="CZ1393" s="1"/>
      <c r="DA1393" s="1"/>
      <c r="DB1393" s="1"/>
      <c r="DC1393" s="1"/>
      <c r="DD1393" s="1"/>
      <c r="DE1393" s="1"/>
      <c r="DF1393" s="1"/>
      <c r="DG1393" s="1"/>
      <c r="DH1393" s="1"/>
      <c r="DI1393" s="1"/>
      <c r="DJ1393" s="1"/>
      <c r="DK1393" s="1"/>
      <c r="DQ1393" s="1"/>
      <c r="DR1393" s="1"/>
      <c r="DY1393" s="1"/>
      <c r="DZ1393" s="1"/>
      <c r="ED1393" s="1"/>
      <c r="EE1393" s="1"/>
      <c r="EF1393" s="1"/>
      <c r="EG1393" s="1"/>
      <c r="EH1393" s="1"/>
      <c r="EK1393" s="1"/>
      <c r="EL1393" s="1"/>
      <c r="EM1393" s="1"/>
      <c r="EN1393" s="1"/>
      <c r="EQ1393" s="1"/>
      <c r="ER1393" s="1"/>
      <c r="ES1393" s="1"/>
      <c r="EV1393" s="1"/>
      <c r="EW1393" s="1"/>
      <c r="EY1393" s="1"/>
      <c r="EZ1393" s="1"/>
      <c r="GP1393" s="1"/>
      <c r="HY1393" s="1"/>
      <c r="IC1393" s="1"/>
      <c r="ID1393" s="1"/>
      <c r="IE1393" s="1"/>
      <c r="IG1393" s="1"/>
      <c r="IJ1393" s="1"/>
      <c r="IR1393" s="1"/>
      <c r="IS1393" s="1"/>
      <c r="IZ1393" s="1"/>
      <c r="JG1393" s="1"/>
      <c r="JH1393" s="1"/>
      <c r="JJ1393" s="1"/>
      <c r="JK1393" s="1"/>
      <c r="JL1393" s="3"/>
      <c r="JM1393" s="1"/>
      <c r="JN1393" s="1"/>
      <c r="JP1393" s="1"/>
      <c r="JQ1393" s="1"/>
      <c r="JR1393" s="1"/>
      <c r="KU1393" s="1"/>
      <c r="KY1393" s="1"/>
      <c r="KZ1393" s="1"/>
      <c r="LA1393" s="1"/>
      <c r="LB1393" s="1"/>
      <c r="LC1393" s="1"/>
      <c r="LD1393" s="1"/>
      <c r="LO1393" s="1"/>
      <c r="LP1393" s="1"/>
      <c r="LZ1393" s="1"/>
      <c r="MA1393" s="1"/>
    </row>
    <row r="1394" spans="4:339" ht="13" x14ac:dyDescent="0.15">
      <c r="D1394" s="12"/>
      <c r="E1394" s="12"/>
      <c r="I1394" s="12"/>
      <c r="J1394" s="13"/>
      <c r="BF1394" s="1"/>
      <c r="BG1394" s="1"/>
      <c r="BH1394" s="1"/>
      <c r="BI1394" s="1"/>
      <c r="BJ1394" s="1"/>
      <c r="BK1394" s="1"/>
      <c r="BL1394" s="1"/>
      <c r="BM1394" s="1"/>
      <c r="BN1394" s="1"/>
      <c r="BO1394" s="1"/>
      <c r="BP1394" s="1"/>
      <c r="BQ1394" s="1"/>
      <c r="BR1394" s="1"/>
      <c r="CD1394" s="1"/>
      <c r="CE1394" s="1"/>
      <c r="CF1394" s="1"/>
      <c r="CG1394" s="1"/>
      <c r="CM1394" s="2"/>
      <c r="CP1394" s="1"/>
      <c r="CQ1394" s="1"/>
      <c r="CR1394" s="1"/>
      <c r="CS1394" s="1"/>
      <c r="CT1394" s="1"/>
      <c r="CU1394" s="1"/>
      <c r="CV1394" s="1"/>
      <c r="CW1394" s="1"/>
      <c r="CX1394" s="1"/>
      <c r="CY1394" s="1"/>
      <c r="CZ1394" s="1"/>
      <c r="DA1394" s="1"/>
      <c r="DB1394" s="1"/>
      <c r="DC1394" s="1"/>
      <c r="DD1394" s="1"/>
      <c r="DE1394" s="1"/>
      <c r="DF1394" s="1"/>
      <c r="DG1394" s="1"/>
      <c r="DH1394" s="1"/>
      <c r="DI1394" s="1"/>
      <c r="DJ1394" s="1"/>
      <c r="DK1394" s="1"/>
      <c r="DQ1394" s="1"/>
      <c r="DR1394" s="1"/>
      <c r="DY1394" s="1"/>
      <c r="DZ1394" s="1"/>
      <c r="ED1394" s="1"/>
      <c r="EE1394" s="1"/>
      <c r="EF1394" s="1"/>
      <c r="EG1394" s="1"/>
      <c r="EH1394" s="1"/>
      <c r="EK1394" s="1"/>
      <c r="EL1394" s="1"/>
      <c r="EM1394" s="1"/>
      <c r="EN1394" s="1"/>
      <c r="EQ1394" s="1"/>
      <c r="ER1394" s="1"/>
      <c r="ES1394" s="1"/>
      <c r="EV1394" s="1"/>
      <c r="EW1394" s="1"/>
      <c r="EY1394" s="1"/>
      <c r="EZ1394" s="1"/>
      <c r="GP1394" s="1"/>
      <c r="HY1394" s="1"/>
      <c r="IC1394" s="1"/>
      <c r="ID1394" s="1"/>
      <c r="IE1394" s="1"/>
      <c r="IG1394" s="1"/>
      <c r="IJ1394" s="1"/>
      <c r="IR1394" s="1"/>
      <c r="IS1394" s="1"/>
      <c r="IZ1394" s="1"/>
      <c r="JG1394" s="1"/>
      <c r="JH1394" s="1"/>
      <c r="JJ1394" s="1"/>
      <c r="JK1394" s="1"/>
      <c r="JL1394" s="3"/>
      <c r="JM1394" s="1"/>
      <c r="JN1394" s="1"/>
      <c r="JP1394" s="1"/>
      <c r="JQ1394" s="1"/>
      <c r="JR1394" s="1"/>
      <c r="KU1394" s="1"/>
      <c r="KY1394" s="1"/>
      <c r="KZ1394" s="1"/>
      <c r="LA1394" s="1"/>
      <c r="LB1394" s="1"/>
      <c r="LC1394" s="1"/>
      <c r="LD1394" s="1"/>
      <c r="LO1394" s="1"/>
      <c r="LP1394" s="1"/>
      <c r="LZ1394" s="1"/>
      <c r="MA1394" s="1"/>
    </row>
    <row r="1395" spans="4:339" ht="13" x14ac:dyDescent="0.15">
      <c r="D1395" s="12"/>
      <c r="E1395" s="12"/>
      <c r="I1395" s="12"/>
      <c r="J1395" s="13"/>
      <c r="BF1395" s="1"/>
      <c r="BG1395" s="1"/>
      <c r="BH1395" s="1"/>
      <c r="BI1395" s="1"/>
      <c r="BJ1395" s="1"/>
      <c r="BK1395" s="1"/>
      <c r="BL1395" s="1"/>
      <c r="BM1395" s="1"/>
      <c r="BN1395" s="1"/>
      <c r="BO1395" s="1"/>
      <c r="BP1395" s="1"/>
      <c r="BQ1395" s="1"/>
      <c r="BR1395" s="1"/>
      <c r="CD1395" s="1"/>
      <c r="CE1395" s="1"/>
      <c r="CF1395" s="1"/>
      <c r="CG1395" s="1"/>
      <c r="CM1395" s="2"/>
      <c r="CP1395" s="1"/>
      <c r="CQ1395" s="1"/>
      <c r="CR1395" s="1"/>
      <c r="CS1395" s="1"/>
      <c r="CT1395" s="1"/>
      <c r="CU1395" s="1"/>
      <c r="CV1395" s="1"/>
      <c r="CW1395" s="1"/>
      <c r="CX1395" s="1"/>
      <c r="CY1395" s="1"/>
      <c r="CZ1395" s="1"/>
      <c r="DA1395" s="1"/>
      <c r="DB1395" s="1"/>
      <c r="DC1395" s="1"/>
      <c r="DD1395" s="1"/>
      <c r="DE1395" s="1"/>
      <c r="DF1395" s="1"/>
      <c r="DG1395" s="1"/>
      <c r="DH1395" s="1"/>
      <c r="DI1395" s="1"/>
      <c r="DJ1395" s="1"/>
      <c r="DK1395" s="1"/>
      <c r="DQ1395" s="1"/>
      <c r="DR1395" s="1"/>
      <c r="DY1395" s="1"/>
      <c r="DZ1395" s="1"/>
      <c r="ED1395" s="1"/>
      <c r="EE1395" s="1"/>
      <c r="EF1395" s="1"/>
      <c r="EG1395" s="1"/>
      <c r="EH1395" s="1"/>
      <c r="EK1395" s="1"/>
      <c r="EL1395" s="1"/>
      <c r="EM1395" s="1"/>
      <c r="EN1395" s="1"/>
      <c r="EQ1395" s="1"/>
      <c r="ER1395" s="1"/>
      <c r="ES1395" s="1"/>
      <c r="EV1395" s="1"/>
      <c r="EW1395" s="1"/>
      <c r="EY1395" s="1"/>
      <c r="EZ1395" s="1"/>
      <c r="GP1395" s="1"/>
      <c r="HY1395" s="1"/>
      <c r="IC1395" s="1"/>
      <c r="ID1395" s="1"/>
      <c r="IE1395" s="1"/>
      <c r="IG1395" s="1"/>
      <c r="IJ1395" s="1"/>
      <c r="IR1395" s="1"/>
      <c r="IS1395" s="1"/>
      <c r="IZ1395" s="1"/>
      <c r="JG1395" s="1"/>
      <c r="JH1395" s="1"/>
      <c r="JJ1395" s="1"/>
      <c r="JK1395" s="1"/>
      <c r="JL1395" s="3"/>
      <c r="JM1395" s="1"/>
      <c r="JN1395" s="1"/>
      <c r="JP1395" s="1"/>
      <c r="JQ1395" s="1"/>
      <c r="JR1395" s="1"/>
      <c r="KU1395" s="1"/>
      <c r="KY1395" s="1"/>
      <c r="KZ1395" s="1"/>
      <c r="LA1395" s="1"/>
      <c r="LB1395" s="1"/>
      <c r="LC1395" s="1"/>
      <c r="LD1395" s="1"/>
      <c r="LO1395" s="1"/>
      <c r="LP1395" s="1"/>
      <c r="LZ1395" s="1"/>
      <c r="MA1395" s="1"/>
    </row>
    <row r="1396" spans="4:339" ht="13" x14ac:dyDescent="0.15">
      <c r="D1396" s="12"/>
      <c r="E1396" s="12"/>
      <c r="I1396" s="12"/>
      <c r="J1396" s="13"/>
      <c r="BF1396" s="1"/>
      <c r="BG1396" s="1"/>
      <c r="BH1396" s="1"/>
      <c r="BI1396" s="1"/>
      <c r="BJ1396" s="1"/>
      <c r="BK1396" s="1"/>
      <c r="BL1396" s="1"/>
      <c r="BM1396" s="1"/>
      <c r="BN1396" s="1"/>
      <c r="BO1396" s="1"/>
      <c r="BP1396" s="1"/>
      <c r="BQ1396" s="1"/>
      <c r="BR1396" s="1"/>
      <c r="CD1396" s="1"/>
      <c r="CE1396" s="1"/>
      <c r="CF1396" s="1"/>
      <c r="CG1396" s="1"/>
      <c r="CM1396" s="2"/>
      <c r="CP1396" s="1"/>
      <c r="CQ1396" s="1"/>
      <c r="CR1396" s="1"/>
      <c r="CS1396" s="1"/>
      <c r="CT1396" s="1"/>
      <c r="CU1396" s="1"/>
      <c r="CV1396" s="1"/>
      <c r="CW1396" s="1"/>
      <c r="CX1396" s="1"/>
      <c r="CY1396" s="1"/>
      <c r="CZ1396" s="1"/>
      <c r="DA1396" s="1"/>
      <c r="DB1396" s="1"/>
      <c r="DC1396" s="1"/>
      <c r="DD1396" s="1"/>
      <c r="DE1396" s="1"/>
      <c r="DF1396" s="1"/>
      <c r="DG1396" s="1"/>
      <c r="DH1396" s="1"/>
      <c r="DI1396" s="1"/>
      <c r="DJ1396" s="1"/>
      <c r="DK1396" s="1"/>
      <c r="DQ1396" s="1"/>
      <c r="DR1396" s="1"/>
      <c r="DY1396" s="1"/>
      <c r="DZ1396" s="1"/>
      <c r="ED1396" s="1"/>
      <c r="EE1396" s="1"/>
      <c r="EF1396" s="1"/>
      <c r="EG1396" s="1"/>
      <c r="EH1396" s="1"/>
      <c r="EK1396" s="1"/>
      <c r="EL1396" s="1"/>
      <c r="EM1396" s="1"/>
      <c r="EN1396" s="1"/>
      <c r="EQ1396" s="1"/>
      <c r="ER1396" s="1"/>
      <c r="ES1396" s="1"/>
      <c r="EV1396" s="1"/>
      <c r="EW1396" s="1"/>
      <c r="EY1396" s="1"/>
      <c r="EZ1396" s="1"/>
      <c r="GP1396" s="1"/>
      <c r="HY1396" s="1"/>
      <c r="IC1396" s="1"/>
      <c r="ID1396" s="1"/>
      <c r="IE1396" s="1"/>
      <c r="IG1396" s="1"/>
      <c r="IJ1396" s="1"/>
      <c r="IR1396" s="1"/>
      <c r="IS1396" s="1"/>
      <c r="IZ1396" s="1"/>
      <c r="JG1396" s="1"/>
      <c r="JH1396" s="1"/>
      <c r="JJ1396" s="1"/>
      <c r="JK1396" s="1"/>
      <c r="JL1396" s="3"/>
      <c r="JM1396" s="1"/>
      <c r="JN1396" s="1"/>
      <c r="JP1396" s="1"/>
      <c r="JQ1396" s="1"/>
      <c r="JR1396" s="1"/>
      <c r="KU1396" s="1"/>
      <c r="KY1396" s="1"/>
      <c r="KZ1396" s="1"/>
      <c r="LA1396" s="1"/>
      <c r="LB1396" s="1"/>
      <c r="LC1396" s="1"/>
      <c r="LD1396" s="1"/>
      <c r="LO1396" s="1"/>
      <c r="LP1396" s="1"/>
      <c r="LZ1396" s="1"/>
      <c r="MA1396" s="1"/>
    </row>
    <row r="1397" spans="4:339" ht="13" x14ac:dyDescent="0.15">
      <c r="D1397" s="12"/>
      <c r="E1397" s="12"/>
      <c r="I1397" s="12"/>
      <c r="J1397" s="13"/>
      <c r="BF1397" s="1"/>
      <c r="BG1397" s="1"/>
      <c r="BH1397" s="1"/>
      <c r="BI1397" s="1"/>
      <c r="BJ1397" s="1"/>
      <c r="BK1397" s="1"/>
      <c r="BL1397" s="1"/>
      <c r="BM1397" s="1"/>
      <c r="BN1397" s="1"/>
      <c r="BO1397" s="1"/>
      <c r="BP1397" s="1"/>
      <c r="BQ1397" s="1"/>
      <c r="BR1397" s="1"/>
      <c r="CD1397" s="1"/>
      <c r="CE1397" s="1"/>
      <c r="CF1397" s="1"/>
      <c r="CG1397" s="1"/>
      <c r="CM1397" s="2"/>
      <c r="CP1397" s="1"/>
      <c r="CQ1397" s="1"/>
      <c r="CR1397" s="1"/>
      <c r="CS1397" s="1"/>
      <c r="CT1397" s="1"/>
      <c r="CU1397" s="1"/>
      <c r="CV1397" s="1"/>
      <c r="CW1397" s="1"/>
      <c r="CX1397" s="1"/>
      <c r="CY1397" s="1"/>
      <c r="CZ1397" s="1"/>
      <c r="DA1397" s="1"/>
      <c r="DB1397" s="1"/>
      <c r="DC1397" s="1"/>
      <c r="DD1397" s="1"/>
      <c r="DE1397" s="1"/>
      <c r="DF1397" s="1"/>
      <c r="DG1397" s="1"/>
      <c r="DH1397" s="1"/>
      <c r="DI1397" s="1"/>
      <c r="DJ1397" s="1"/>
      <c r="DK1397" s="1"/>
      <c r="DQ1397" s="1"/>
      <c r="DR1397" s="1"/>
      <c r="DY1397" s="1"/>
      <c r="DZ1397" s="1"/>
      <c r="ED1397" s="1"/>
      <c r="EE1397" s="1"/>
      <c r="EF1397" s="1"/>
      <c r="EG1397" s="1"/>
      <c r="EH1397" s="1"/>
      <c r="EK1397" s="1"/>
      <c r="EL1397" s="1"/>
      <c r="EM1397" s="1"/>
      <c r="EN1397" s="1"/>
      <c r="EQ1397" s="1"/>
      <c r="ER1397" s="1"/>
      <c r="ES1397" s="1"/>
      <c r="EV1397" s="1"/>
      <c r="EW1397" s="1"/>
      <c r="EY1397" s="1"/>
      <c r="EZ1397" s="1"/>
      <c r="GP1397" s="1"/>
      <c r="HY1397" s="1"/>
      <c r="IC1397" s="1"/>
      <c r="ID1397" s="1"/>
      <c r="IE1397" s="1"/>
      <c r="IG1397" s="1"/>
      <c r="IJ1397" s="1"/>
      <c r="IR1397" s="1"/>
      <c r="IS1397" s="1"/>
      <c r="IZ1397" s="1"/>
      <c r="JG1397" s="1"/>
      <c r="JH1397" s="1"/>
      <c r="JJ1397" s="1"/>
      <c r="JK1397" s="1"/>
      <c r="JL1397" s="3"/>
      <c r="JM1397" s="1"/>
      <c r="JN1397" s="1"/>
      <c r="JP1397" s="1"/>
      <c r="JQ1397" s="1"/>
      <c r="JR1397" s="1"/>
      <c r="KU1397" s="1"/>
      <c r="KY1397" s="1"/>
      <c r="KZ1397" s="1"/>
      <c r="LA1397" s="1"/>
      <c r="LB1397" s="1"/>
      <c r="LC1397" s="1"/>
      <c r="LD1397" s="1"/>
      <c r="LO1397" s="1"/>
      <c r="LP1397" s="1"/>
      <c r="LZ1397" s="1"/>
      <c r="MA1397" s="1"/>
    </row>
    <row r="1398" spans="4:339" ht="13" x14ac:dyDescent="0.15">
      <c r="D1398" s="12"/>
      <c r="E1398" s="12"/>
      <c r="I1398" s="12"/>
      <c r="J1398" s="13"/>
      <c r="BF1398" s="1"/>
      <c r="BG1398" s="1"/>
      <c r="BH1398" s="1"/>
      <c r="BI1398" s="1"/>
      <c r="BK1398" s="1"/>
      <c r="BL1398" s="1"/>
      <c r="BM1398" s="1"/>
      <c r="BN1398" s="1"/>
      <c r="BO1398" s="1"/>
      <c r="BP1398" s="1"/>
      <c r="BQ1398" s="1"/>
      <c r="BR1398" s="1"/>
      <c r="CD1398" s="1"/>
      <c r="CE1398" s="1"/>
      <c r="CF1398" s="1"/>
      <c r="CM1398" s="2"/>
      <c r="CP1398" s="1"/>
      <c r="CQ1398" s="1"/>
      <c r="CR1398" s="1"/>
      <c r="CS1398" s="1"/>
      <c r="CT1398" s="1"/>
      <c r="CU1398" s="1"/>
      <c r="CV1398" s="1"/>
      <c r="CW1398" s="1"/>
      <c r="CX1398" s="1"/>
      <c r="CY1398" s="1"/>
      <c r="CZ1398" s="1"/>
      <c r="DA1398" s="1"/>
      <c r="DB1398" s="1"/>
      <c r="DC1398" s="1"/>
      <c r="DD1398" s="1"/>
      <c r="DE1398" s="1"/>
      <c r="DF1398" s="1"/>
      <c r="DG1398" s="1"/>
      <c r="DH1398" s="1"/>
      <c r="DI1398" s="1"/>
      <c r="DJ1398" s="1"/>
      <c r="DK1398" s="1"/>
      <c r="ED1398" s="1"/>
      <c r="EF1398" s="1"/>
      <c r="EK1398" s="1"/>
      <c r="EL1398" s="1"/>
      <c r="EM1398" s="1"/>
      <c r="EN1398" s="1"/>
      <c r="EQ1398" s="1"/>
      <c r="ER1398" s="1"/>
      <c r="ES1398" s="1"/>
      <c r="EV1398" s="1"/>
      <c r="EW1398" s="1"/>
      <c r="EZ1398" s="1"/>
      <c r="GO1398" s="1"/>
      <c r="GP1398" s="1"/>
      <c r="HY1398" s="1"/>
      <c r="ID1398" s="1"/>
      <c r="IE1398" s="1"/>
      <c r="IG1398" s="1"/>
      <c r="IH1398" s="1"/>
      <c r="IJ1398" s="1"/>
      <c r="IS1398" s="1"/>
      <c r="IW1398" s="1"/>
      <c r="IZ1398" s="1"/>
      <c r="JC1398" s="1"/>
      <c r="JF1398" s="1"/>
      <c r="JG1398" s="1"/>
      <c r="JH1398" s="1"/>
      <c r="JJ1398" s="1"/>
      <c r="JK1398" s="1"/>
      <c r="JL1398" s="3"/>
      <c r="JM1398" s="1"/>
      <c r="JN1398" s="1"/>
      <c r="JP1398" s="1"/>
      <c r="JQ1398" s="1"/>
      <c r="JR1398" s="1"/>
      <c r="KU1398" s="1"/>
      <c r="KV1398" s="1"/>
      <c r="KY1398" s="1"/>
      <c r="KZ1398" s="1"/>
      <c r="LA1398" s="1"/>
      <c r="LB1398" s="1"/>
      <c r="LC1398" s="1"/>
      <c r="LD1398" s="1"/>
      <c r="LO1398" s="1"/>
      <c r="LP1398" s="1"/>
      <c r="LZ1398" s="1"/>
      <c r="MA1398" s="1"/>
    </row>
    <row r="1399" spans="4:339" ht="13" x14ac:dyDescent="0.15">
      <c r="D1399" s="12"/>
      <c r="E1399" s="12"/>
      <c r="I1399" s="12"/>
      <c r="J1399" s="13"/>
      <c r="BF1399" s="1"/>
      <c r="BG1399" s="1"/>
      <c r="BH1399" s="1"/>
      <c r="BI1399" s="1"/>
      <c r="BJ1399" s="1"/>
      <c r="BK1399" s="1"/>
      <c r="BL1399" s="1"/>
      <c r="BM1399" s="1"/>
      <c r="BN1399" s="1"/>
      <c r="BO1399" s="1"/>
      <c r="BQ1399" s="1"/>
      <c r="BR1399" s="1"/>
      <c r="CD1399" s="1"/>
      <c r="CM1399" s="4"/>
      <c r="ED1399" s="1"/>
      <c r="EL1399" s="1"/>
      <c r="EM1399" s="1"/>
      <c r="EN1399" s="1"/>
      <c r="EQ1399" s="1"/>
      <c r="ER1399" s="1"/>
      <c r="ES1399" s="1"/>
      <c r="EV1399" s="1"/>
      <c r="EW1399" s="1"/>
      <c r="EZ1399" s="1"/>
      <c r="GP1399" s="1"/>
      <c r="HY1399" s="1"/>
      <c r="IS1399" s="1"/>
      <c r="IZ1399" s="1"/>
      <c r="JC1399" s="1"/>
      <c r="JJ1399" s="1"/>
      <c r="JP1399" s="1"/>
      <c r="JQ1399" s="1"/>
      <c r="LM1399" s="1"/>
      <c r="LZ1399" s="1"/>
    </row>
    <row r="1400" spans="4:339" ht="13" x14ac:dyDescent="0.15">
      <c r="D1400" s="12"/>
      <c r="E1400" s="12"/>
      <c r="I1400" s="12"/>
      <c r="J1400" s="13"/>
      <c r="BF1400" s="1"/>
      <c r="BG1400" s="1"/>
      <c r="BH1400" s="1"/>
      <c r="BI1400" s="1"/>
      <c r="BK1400" s="1"/>
      <c r="BL1400" s="1"/>
      <c r="BM1400" s="1"/>
      <c r="BN1400" s="1"/>
      <c r="BO1400" s="1"/>
      <c r="BQ1400" s="1"/>
      <c r="BR1400" s="1"/>
      <c r="CD1400" s="1"/>
      <c r="CE1400" s="1"/>
      <c r="CF1400" s="1"/>
      <c r="CM1400" s="2"/>
      <c r="ED1400" s="1"/>
      <c r="EL1400" s="1"/>
      <c r="EM1400" s="1"/>
      <c r="EN1400" s="1"/>
      <c r="EQ1400" s="1"/>
      <c r="ER1400" s="1"/>
      <c r="ES1400" s="1"/>
      <c r="EV1400" s="1"/>
      <c r="EW1400" s="1"/>
      <c r="EZ1400" s="1"/>
      <c r="GP1400" s="1"/>
      <c r="HY1400" s="1"/>
      <c r="IR1400" s="1"/>
      <c r="IS1400" s="1"/>
      <c r="IZ1400" s="1"/>
      <c r="JF1400" s="1"/>
      <c r="JJ1400" s="1"/>
      <c r="JN1400" s="1"/>
      <c r="JP1400" s="1"/>
      <c r="JQ1400" s="1"/>
      <c r="JT1400" s="1"/>
      <c r="KU1400" s="1"/>
    </row>
    <row r="1401" spans="4:339" ht="13" x14ac:dyDescent="0.15">
      <c r="D1401" s="12"/>
      <c r="E1401" s="12"/>
      <c r="I1401" s="12"/>
      <c r="J1401" s="13"/>
      <c r="BF1401" s="1"/>
      <c r="BG1401" s="1"/>
      <c r="BH1401" s="1"/>
      <c r="BI1401" s="1"/>
      <c r="BK1401" s="1"/>
      <c r="BL1401" s="1"/>
      <c r="BM1401" s="1"/>
      <c r="BN1401" s="1"/>
      <c r="BO1401" s="1"/>
      <c r="BP1401" s="1"/>
      <c r="BQ1401" s="1"/>
      <c r="BR1401" s="1"/>
      <c r="BX1401" s="1"/>
      <c r="CC1401" s="1"/>
      <c r="CD1401" s="1"/>
      <c r="CE1401" s="1"/>
      <c r="CF1401" s="1"/>
      <c r="CG1401" s="1"/>
      <c r="CK1401" s="1"/>
      <c r="CM1401" s="2"/>
      <c r="CP1401" s="1"/>
      <c r="CQ1401" s="1"/>
      <c r="CX1401" s="1"/>
      <c r="CY1401" s="1"/>
      <c r="CZ1401" s="1"/>
      <c r="DA1401" s="1"/>
      <c r="DB1401" s="1"/>
      <c r="DC1401" s="1"/>
      <c r="DD1401" s="1"/>
      <c r="DE1401" s="1"/>
      <c r="DF1401" s="1"/>
      <c r="DG1401" s="1"/>
      <c r="DH1401" s="1"/>
      <c r="DI1401" s="1"/>
      <c r="DJ1401" s="1"/>
      <c r="DK1401" s="1"/>
      <c r="DM1401" s="1"/>
      <c r="DQ1401" s="1"/>
      <c r="DR1401" s="1"/>
      <c r="DY1401" s="1"/>
      <c r="DZ1401" s="1"/>
      <c r="ED1401" s="1"/>
      <c r="EK1401" s="1"/>
      <c r="EL1401" s="1"/>
      <c r="EM1401" s="1"/>
      <c r="EN1401" s="1"/>
      <c r="EQ1401" s="1"/>
      <c r="ER1401" s="1"/>
      <c r="ES1401" s="1"/>
      <c r="EV1401" s="1"/>
      <c r="EW1401" s="1"/>
      <c r="EZ1401" s="1"/>
      <c r="GP1401" s="1"/>
      <c r="HH1401" s="1"/>
      <c r="HY1401" s="1"/>
      <c r="IE1401" s="1"/>
      <c r="IR1401" s="1"/>
      <c r="IS1401" s="1"/>
      <c r="IW1401" s="1"/>
      <c r="IY1401" s="1"/>
      <c r="IZ1401" s="1"/>
      <c r="JC1401" s="1"/>
      <c r="JF1401" s="1"/>
      <c r="JG1401" s="1"/>
      <c r="JH1401" s="1"/>
      <c r="JJ1401" s="1"/>
      <c r="JN1401" s="1"/>
      <c r="JP1401" s="1"/>
      <c r="JQ1401" s="1"/>
      <c r="JT1401" s="1"/>
      <c r="JW1401" s="1"/>
      <c r="KS1401" s="1"/>
      <c r="KT1401" s="1"/>
      <c r="KU1401" s="1"/>
      <c r="KV1401" s="1"/>
      <c r="KY1401" s="1"/>
      <c r="KZ1401" s="1"/>
      <c r="LA1401" s="1"/>
      <c r="LB1401" s="1"/>
      <c r="LC1401" s="1"/>
      <c r="LD1401" s="1"/>
      <c r="LO1401" s="1"/>
      <c r="LP1401" s="1"/>
      <c r="LZ1401" s="1"/>
      <c r="MA1401" s="1"/>
    </row>
    <row r="1402" spans="4:339" ht="13" x14ac:dyDescent="0.15">
      <c r="D1402" s="12"/>
      <c r="E1402" s="12"/>
      <c r="I1402" s="12"/>
      <c r="J1402" s="13"/>
      <c r="BF1402" s="1"/>
      <c r="BG1402" s="1"/>
      <c r="BH1402" s="1"/>
      <c r="BI1402" s="1"/>
      <c r="BJ1402" s="1"/>
      <c r="BK1402" s="1"/>
      <c r="BL1402" s="1"/>
      <c r="BM1402" s="1"/>
      <c r="BN1402" s="1"/>
      <c r="BO1402" s="1"/>
      <c r="BP1402" s="1"/>
      <c r="BQ1402" s="1"/>
      <c r="BR1402" s="1"/>
      <c r="CD1402" s="1"/>
      <c r="CE1402" s="1"/>
      <c r="CF1402" s="1"/>
      <c r="CG1402" s="1"/>
      <c r="CM1402" s="2"/>
      <c r="CP1402" s="1"/>
      <c r="CQ1402" s="1"/>
      <c r="CR1402" s="1"/>
      <c r="CS1402" s="1"/>
      <c r="CT1402" s="1"/>
      <c r="CU1402" s="1"/>
      <c r="CV1402" s="1"/>
      <c r="CW1402" s="1"/>
      <c r="CX1402" s="1"/>
      <c r="CY1402" s="1"/>
      <c r="CZ1402" s="1"/>
      <c r="DA1402" s="1"/>
      <c r="DB1402" s="1"/>
      <c r="DC1402" s="1"/>
      <c r="DD1402" s="1"/>
      <c r="DE1402" s="1"/>
      <c r="DF1402" s="1"/>
      <c r="DG1402" s="1"/>
      <c r="DH1402" s="1"/>
      <c r="DI1402" s="1"/>
      <c r="DJ1402" s="1"/>
      <c r="DK1402" s="1"/>
      <c r="DM1402" s="1"/>
      <c r="DQ1402" s="1"/>
      <c r="DR1402" s="1"/>
      <c r="DY1402" s="1"/>
      <c r="DZ1402" s="1"/>
      <c r="ED1402" s="1"/>
      <c r="EK1402" s="1"/>
      <c r="EL1402" s="1"/>
      <c r="EM1402" s="1"/>
      <c r="EN1402" s="1"/>
      <c r="EQ1402" s="1"/>
      <c r="ER1402" s="1"/>
      <c r="ES1402" s="1"/>
      <c r="EV1402" s="1"/>
      <c r="EW1402" s="1"/>
      <c r="EZ1402" s="1"/>
      <c r="GO1402" s="1"/>
      <c r="GP1402" s="1"/>
      <c r="HH1402" s="1"/>
      <c r="HY1402" s="1"/>
      <c r="IC1402" s="1"/>
      <c r="IE1402" s="1"/>
      <c r="IS1402" s="1"/>
      <c r="IZ1402" s="1"/>
      <c r="JC1402" s="1"/>
      <c r="JF1402" s="1"/>
      <c r="JG1402" s="1"/>
      <c r="JH1402" s="1"/>
      <c r="JI1402" s="1"/>
      <c r="JJ1402" s="1"/>
      <c r="JP1402" s="1"/>
      <c r="JQ1402" s="1"/>
      <c r="JT1402" s="1"/>
      <c r="KU1402" s="1"/>
      <c r="KW1402" s="1"/>
      <c r="KY1402" s="1"/>
      <c r="KZ1402" s="1"/>
      <c r="LA1402" s="1"/>
      <c r="LB1402" s="1"/>
      <c r="LC1402" s="1"/>
      <c r="LD1402" s="1"/>
      <c r="LF1402" s="1"/>
      <c r="LN1402" s="1"/>
      <c r="LO1402" s="1"/>
      <c r="LP1402" s="1"/>
      <c r="LZ1402" s="1"/>
      <c r="MA1402" s="1"/>
    </row>
    <row r="1403" spans="4:339" ht="13" x14ac:dyDescent="0.15">
      <c r="D1403" s="12"/>
      <c r="E1403" s="12"/>
      <c r="I1403" s="12"/>
      <c r="J1403" s="13"/>
      <c r="BF1403" s="1"/>
      <c r="BG1403" s="1"/>
      <c r="BH1403" s="1"/>
      <c r="BI1403" s="1"/>
      <c r="BK1403" s="1"/>
      <c r="BL1403" s="1"/>
      <c r="BM1403" s="1"/>
      <c r="BN1403" s="1"/>
      <c r="BO1403" s="1"/>
      <c r="BP1403" s="1"/>
      <c r="BQ1403" s="1"/>
      <c r="BR1403" s="1"/>
      <c r="CD1403" s="1"/>
      <c r="CE1403" s="1"/>
      <c r="CF1403" s="1"/>
      <c r="CG1403" s="1"/>
      <c r="CM1403" s="4"/>
      <c r="CP1403" s="1"/>
      <c r="CQ1403" s="1"/>
      <c r="CR1403" s="1"/>
      <c r="CS1403" s="1"/>
      <c r="CT1403" s="1"/>
      <c r="CU1403" s="1"/>
      <c r="CV1403" s="1"/>
      <c r="CW1403" s="1"/>
      <c r="CX1403" s="1"/>
      <c r="CY1403" s="1"/>
      <c r="CZ1403" s="1"/>
      <c r="DA1403" s="1"/>
      <c r="DB1403" s="1"/>
      <c r="DC1403" s="1"/>
      <c r="DD1403" s="1"/>
      <c r="DE1403" s="1"/>
      <c r="DF1403" s="1"/>
      <c r="DG1403" s="1"/>
      <c r="DH1403" s="1"/>
      <c r="DI1403" s="1"/>
      <c r="DJ1403" s="1"/>
      <c r="DK1403" s="1"/>
      <c r="DM1403" s="1"/>
      <c r="DQ1403" s="1"/>
      <c r="DR1403" s="1"/>
      <c r="DY1403" s="1"/>
      <c r="DZ1403" s="1"/>
      <c r="ED1403" s="1"/>
      <c r="EK1403" s="1"/>
      <c r="EL1403" s="1"/>
      <c r="EM1403" s="1"/>
      <c r="EN1403" s="1"/>
      <c r="EQ1403" s="1"/>
      <c r="ER1403" s="1"/>
      <c r="ES1403" s="1"/>
      <c r="EV1403" s="1"/>
      <c r="EW1403" s="1"/>
      <c r="EZ1403" s="1"/>
      <c r="FJ1403" s="1"/>
      <c r="FW1403" s="1"/>
      <c r="FX1403" s="1"/>
      <c r="GO1403" s="1"/>
      <c r="GP1403" s="1"/>
      <c r="HY1403" s="1"/>
      <c r="IC1403" s="1"/>
      <c r="IE1403" s="1"/>
      <c r="IR1403" s="1"/>
      <c r="IS1403" s="1"/>
      <c r="IW1403" s="1"/>
      <c r="IY1403" s="1"/>
      <c r="IZ1403" s="1"/>
      <c r="JA1403" s="1"/>
      <c r="JC1403" s="1"/>
      <c r="JF1403" s="1"/>
      <c r="JG1403" s="1"/>
      <c r="JH1403" s="1"/>
      <c r="JJ1403" s="1"/>
      <c r="JP1403" s="1"/>
      <c r="JQ1403" s="1"/>
      <c r="JV1403" s="1"/>
      <c r="KU1403" s="1"/>
      <c r="KV1403" s="1"/>
      <c r="KW1403" s="1"/>
      <c r="KY1403" s="1"/>
      <c r="KZ1403" s="1"/>
      <c r="LA1403" s="1"/>
      <c r="LB1403" s="1"/>
      <c r="LC1403" s="1"/>
      <c r="LD1403" s="1"/>
      <c r="LF1403" s="1"/>
      <c r="LN1403" s="1"/>
      <c r="LO1403" s="1"/>
      <c r="LP1403" s="1"/>
      <c r="LZ1403" s="1"/>
      <c r="MA1403" s="1"/>
    </row>
    <row r="1404" spans="4:339" ht="13" x14ac:dyDescent="0.15">
      <c r="D1404" s="12"/>
      <c r="E1404" s="12"/>
      <c r="I1404" s="12"/>
      <c r="J1404" s="13"/>
      <c r="BF1404" s="1"/>
      <c r="BG1404" s="1"/>
      <c r="BH1404" s="1"/>
      <c r="BI1404" s="1"/>
      <c r="BK1404" s="1"/>
      <c r="BL1404" s="1"/>
      <c r="BM1404" s="1"/>
      <c r="BN1404" s="1"/>
      <c r="BO1404" s="1"/>
      <c r="BP1404" s="1"/>
      <c r="BQ1404" s="1"/>
      <c r="BR1404" s="1"/>
      <c r="CD1404" s="1"/>
      <c r="CE1404" s="1"/>
      <c r="CF1404" s="1"/>
      <c r="CG1404" s="1"/>
      <c r="CM1404" s="4"/>
      <c r="CP1404" s="1"/>
      <c r="CQ1404" s="1"/>
      <c r="CR1404" s="1"/>
      <c r="CS1404" s="1"/>
      <c r="CT1404" s="1"/>
      <c r="CU1404" s="1"/>
      <c r="CV1404" s="1"/>
      <c r="CW1404" s="1"/>
      <c r="CX1404" s="1"/>
      <c r="CY1404" s="1"/>
      <c r="CZ1404" s="1"/>
      <c r="DA1404" s="1"/>
      <c r="DB1404" s="1"/>
      <c r="DC1404" s="1"/>
      <c r="DD1404" s="1"/>
      <c r="DE1404" s="1"/>
      <c r="DF1404" s="1"/>
      <c r="DG1404" s="1"/>
      <c r="DH1404" s="1"/>
      <c r="DI1404" s="1"/>
      <c r="DJ1404" s="1"/>
      <c r="DK1404" s="1"/>
      <c r="DM1404" s="1"/>
      <c r="DQ1404" s="1"/>
      <c r="DR1404" s="1"/>
      <c r="DY1404" s="1"/>
      <c r="DZ1404" s="1"/>
      <c r="ED1404" s="1"/>
      <c r="EK1404" s="1"/>
      <c r="EL1404" s="1"/>
      <c r="EM1404" s="1"/>
      <c r="EN1404" s="1"/>
      <c r="EQ1404" s="1"/>
      <c r="ER1404" s="1"/>
      <c r="ES1404" s="1"/>
      <c r="EV1404" s="1"/>
      <c r="EW1404" s="1"/>
      <c r="EZ1404" s="1"/>
      <c r="FJ1404" s="1"/>
      <c r="FW1404" s="1"/>
      <c r="FX1404" s="1"/>
      <c r="GO1404" s="1"/>
      <c r="GP1404" s="1"/>
      <c r="HY1404" s="1"/>
      <c r="IC1404" s="1"/>
      <c r="IE1404" s="1"/>
      <c r="IR1404" s="1"/>
      <c r="IS1404" s="1"/>
      <c r="IW1404" s="1"/>
      <c r="IY1404" s="1"/>
      <c r="IZ1404" s="1"/>
      <c r="JA1404" s="1"/>
      <c r="JC1404" s="1"/>
      <c r="JF1404" s="1"/>
      <c r="JG1404" s="1"/>
      <c r="JH1404" s="1"/>
      <c r="JJ1404" s="1"/>
      <c r="JP1404" s="1"/>
      <c r="JQ1404" s="1"/>
      <c r="JV1404" s="1"/>
      <c r="KU1404" s="1"/>
      <c r="KV1404" s="1"/>
      <c r="KW1404" s="1"/>
      <c r="KY1404" s="1"/>
      <c r="KZ1404" s="1"/>
      <c r="LA1404" s="1"/>
      <c r="LB1404" s="1"/>
      <c r="LC1404" s="1"/>
      <c r="LD1404" s="1"/>
      <c r="LF1404" s="1"/>
      <c r="LN1404" s="1"/>
      <c r="LO1404" s="1"/>
      <c r="LP1404" s="1"/>
      <c r="LZ1404" s="1"/>
      <c r="MA1404" s="1"/>
    </row>
    <row r="1405" spans="4:339" ht="13" x14ac:dyDescent="0.15">
      <c r="D1405" s="12"/>
      <c r="E1405" s="12"/>
      <c r="I1405" s="12"/>
      <c r="J1405" s="13"/>
      <c r="BF1405" s="1"/>
      <c r="BG1405" s="1"/>
      <c r="BH1405" s="1"/>
      <c r="BI1405" s="1"/>
      <c r="BK1405" s="1"/>
      <c r="BL1405" s="1"/>
      <c r="BM1405" s="1"/>
      <c r="BN1405" s="1"/>
      <c r="BO1405" s="1"/>
      <c r="BP1405" s="1"/>
      <c r="BQ1405" s="1"/>
      <c r="BR1405" s="1"/>
      <c r="CD1405" s="1"/>
      <c r="CE1405" s="1"/>
      <c r="CF1405" s="1"/>
      <c r="CG1405" s="1"/>
      <c r="CM1405" s="4"/>
      <c r="CP1405" s="1"/>
      <c r="CQ1405" s="1"/>
      <c r="CR1405" s="1"/>
      <c r="CS1405" s="1"/>
      <c r="CT1405" s="1"/>
      <c r="CU1405" s="1"/>
      <c r="CV1405" s="1"/>
      <c r="CW1405" s="1"/>
      <c r="CX1405" s="1"/>
      <c r="CY1405" s="1"/>
      <c r="CZ1405" s="1"/>
      <c r="DA1405" s="1"/>
      <c r="DB1405" s="1"/>
      <c r="DC1405" s="1"/>
      <c r="DD1405" s="1"/>
      <c r="DE1405" s="1"/>
      <c r="DF1405" s="1"/>
      <c r="DG1405" s="1"/>
      <c r="DH1405" s="1"/>
      <c r="DI1405" s="1"/>
      <c r="DJ1405" s="1"/>
      <c r="DK1405" s="1"/>
      <c r="DM1405" s="1"/>
      <c r="DQ1405" s="1"/>
      <c r="DR1405" s="1"/>
      <c r="DY1405" s="1"/>
      <c r="DZ1405" s="1"/>
      <c r="ED1405" s="1"/>
      <c r="EK1405" s="1"/>
      <c r="EL1405" s="1"/>
      <c r="EM1405" s="1"/>
      <c r="EN1405" s="1"/>
      <c r="EQ1405" s="1"/>
      <c r="ER1405" s="1"/>
      <c r="ES1405" s="1"/>
      <c r="EV1405" s="1"/>
      <c r="EW1405" s="1"/>
      <c r="EZ1405" s="1"/>
      <c r="FJ1405" s="1"/>
      <c r="FW1405" s="1"/>
      <c r="FX1405" s="1"/>
      <c r="GO1405" s="1"/>
      <c r="GP1405" s="1"/>
      <c r="HY1405" s="1"/>
      <c r="IC1405" s="1"/>
      <c r="IE1405" s="1"/>
      <c r="IR1405" s="1"/>
      <c r="IS1405" s="1"/>
      <c r="IW1405" s="1"/>
      <c r="IY1405" s="1"/>
      <c r="IZ1405" s="1"/>
      <c r="JA1405" s="1"/>
      <c r="JC1405" s="1"/>
      <c r="JF1405" s="1"/>
      <c r="JG1405" s="1"/>
      <c r="JH1405" s="1"/>
      <c r="JJ1405" s="1"/>
      <c r="JP1405" s="1"/>
      <c r="JQ1405" s="1"/>
      <c r="JV1405" s="1"/>
      <c r="KU1405" s="1"/>
      <c r="KV1405" s="1"/>
      <c r="KW1405" s="1"/>
      <c r="KY1405" s="1"/>
      <c r="KZ1405" s="1"/>
      <c r="LA1405" s="1"/>
      <c r="LB1405" s="1"/>
      <c r="LC1405" s="1"/>
      <c r="LD1405" s="1"/>
      <c r="LF1405" s="1"/>
      <c r="LN1405" s="1"/>
      <c r="LO1405" s="1"/>
      <c r="LP1405" s="1"/>
      <c r="LZ1405" s="1"/>
      <c r="MA1405" s="1"/>
    </row>
    <row r="1406" spans="4:339" ht="13" x14ac:dyDescent="0.15">
      <c r="D1406" s="12"/>
      <c r="E1406" s="12"/>
      <c r="I1406" s="12"/>
      <c r="J1406" s="13"/>
      <c r="BF1406" s="1"/>
      <c r="BG1406" s="1"/>
      <c r="BH1406" s="1"/>
      <c r="BI1406" s="1"/>
      <c r="BK1406" s="1"/>
      <c r="BL1406" s="1"/>
      <c r="BM1406" s="1"/>
      <c r="BN1406" s="1"/>
      <c r="BO1406" s="1"/>
      <c r="BP1406" s="1"/>
      <c r="BQ1406" s="1"/>
      <c r="BR1406" s="1"/>
      <c r="CD1406" s="1"/>
      <c r="CE1406" s="1"/>
      <c r="CF1406" s="1"/>
      <c r="CG1406" s="1"/>
      <c r="CM1406" s="4"/>
      <c r="CP1406" s="1"/>
      <c r="CQ1406" s="1"/>
      <c r="CR1406" s="1"/>
      <c r="CS1406" s="1"/>
      <c r="CT1406" s="1"/>
      <c r="CU1406" s="1"/>
      <c r="CV1406" s="1"/>
      <c r="CW1406" s="1"/>
      <c r="CX1406" s="1"/>
      <c r="CY1406" s="1"/>
      <c r="CZ1406" s="1"/>
      <c r="DA1406" s="1"/>
      <c r="DB1406" s="1"/>
      <c r="DC1406" s="1"/>
      <c r="DD1406" s="1"/>
      <c r="DE1406" s="1"/>
      <c r="DF1406" s="1"/>
      <c r="DG1406" s="1"/>
      <c r="DH1406" s="1"/>
      <c r="DI1406" s="1"/>
      <c r="DJ1406" s="1"/>
      <c r="DK1406" s="1"/>
      <c r="DM1406" s="1"/>
      <c r="DQ1406" s="1"/>
      <c r="DR1406" s="1"/>
      <c r="DY1406" s="1"/>
      <c r="DZ1406" s="1"/>
      <c r="ED1406" s="1"/>
      <c r="EK1406" s="1"/>
      <c r="EL1406" s="1"/>
      <c r="EM1406" s="1"/>
      <c r="EN1406" s="1"/>
      <c r="EQ1406" s="1"/>
      <c r="ER1406" s="1"/>
      <c r="ES1406" s="1"/>
      <c r="EV1406" s="1"/>
      <c r="EW1406" s="1"/>
      <c r="EZ1406" s="1"/>
      <c r="FJ1406" s="1"/>
      <c r="FW1406" s="1"/>
      <c r="FX1406" s="1"/>
      <c r="GO1406" s="1"/>
      <c r="GP1406" s="1"/>
      <c r="HY1406" s="1"/>
      <c r="IC1406" s="1"/>
      <c r="IE1406" s="1"/>
      <c r="IR1406" s="1"/>
      <c r="IS1406" s="1"/>
      <c r="IW1406" s="1"/>
      <c r="IY1406" s="1"/>
      <c r="IZ1406" s="1"/>
      <c r="JA1406" s="1"/>
      <c r="JC1406" s="1"/>
      <c r="JF1406" s="1"/>
      <c r="JG1406" s="1"/>
      <c r="JH1406" s="1"/>
      <c r="JJ1406" s="1"/>
      <c r="JP1406" s="1"/>
      <c r="JQ1406" s="1"/>
      <c r="JV1406" s="1"/>
      <c r="KU1406" s="1"/>
      <c r="KV1406" s="1"/>
      <c r="KW1406" s="1"/>
      <c r="KY1406" s="1"/>
      <c r="KZ1406" s="1"/>
      <c r="LA1406" s="1"/>
      <c r="LB1406" s="1"/>
      <c r="LC1406" s="1"/>
      <c r="LD1406" s="1"/>
      <c r="LF1406" s="1"/>
      <c r="LN1406" s="1"/>
      <c r="LO1406" s="1"/>
      <c r="LP1406" s="1"/>
      <c r="LZ1406" s="1"/>
      <c r="MA1406" s="1"/>
    </row>
    <row r="1407" spans="4:339" ht="13" x14ac:dyDescent="0.15">
      <c r="D1407" s="12"/>
      <c r="E1407" s="12"/>
      <c r="I1407" s="12"/>
      <c r="J1407" s="13"/>
      <c r="BF1407" s="1"/>
      <c r="BG1407" s="1"/>
      <c r="BH1407" s="1"/>
      <c r="BI1407" s="1"/>
      <c r="BK1407" s="1"/>
      <c r="BL1407" s="1"/>
      <c r="BM1407" s="1"/>
      <c r="BN1407" s="1"/>
      <c r="BO1407" s="1"/>
      <c r="BP1407" s="1"/>
      <c r="BQ1407" s="1"/>
      <c r="BR1407" s="1"/>
      <c r="CD1407" s="1"/>
      <c r="CE1407" s="1"/>
      <c r="CF1407" s="1"/>
      <c r="CG1407" s="1"/>
      <c r="CM1407" s="4"/>
      <c r="CP1407" s="1"/>
      <c r="CQ1407" s="1"/>
      <c r="CR1407" s="1"/>
      <c r="CS1407" s="1"/>
      <c r="CT1407" s="1"/>
      <c r="CU1407" s="1"/>
      <c r="CV1407" s="1"/>
      <c r="CW1407" s="1"/>
      <c r="CX1407" s="1"/>
      <c r="CY1407" s="1"/>
      <c r="CZ1407" s="1"/>
      <c r="DA1407" s="1"/>
      <c r="DB1407" s="1"/>
      <c r="DC1407" s="1"/>
      <c r="DD1407" s="1"/>
      <c r="DE1407" s="1"/>
      <c r="DF1407" s="1"/>
      <c r="DG1407" s="1"/>
      <c r="DH1407" s="1"/>
      <c r="DI1407" s="1"/>
      <c r="DJ1407" s="1"/>
      <c r="DK1407" s="1"/>
      <c r="DM1407" s="1"/>
      <c r="DQ1407" s="1"/>
      <c r="DR1407" s="1"/>
      <c r="DY1407" s="1"/>
      <c r="DZ1407" s="1"/>
      <c r="ED1407" s="1"/>
      <c r="EK1407" s="1"/>
      <c r="EL1407" s="1"/>
      <c r="EM1407" s="1"/>
      <c r="EN1407" s="1"/>
      <c r="EQ1407" s="1"/>
      <c r="ER1407" s="1"/>
      <c r="ES1407" s="1"/>
      <c r="EV1407" s="1"/>
      <c r="EW1407" s="1"/>
      <c r="EZ1407" s="1"/>
      <c r="FJ1407" s="1"/>
      <c r="FW1407" s="1"/>
      <c r="FX1407" s="1"/>
      <c r="GO1407" s="1"/>
      <c r="GP1407" s="1"/>
      <c r="HY1407" s="1"/>
      <c r="IC1407" s="1"/>
      <c r="IE1407" s="1"/>
      <c r="IR1407" s="1"/>
      <c r="IS1407" s="1"/>
      <c r="IW1407" s="1"/>
      <c r="IY1407" s="1"/>
      <c r="IZ1407" s="1"/>
      <c r="JA1407" s="1"/>
      <c r="JC1407" s="1"/>
      <c r="JF1407" s="1"/>
      <c r="JG1407" s="1"/>
      <c r="JH1407" s="1"/>
      <c r="JJ1407" s="1"/>
      <c r="JP1407" s="1"/>
      <c r="JQ1407" s="1"/>
      <c r="JV1407" s="1"/>
      <c r="KU1407" s="1"/>
      <c r="KV1407" s="1"/>
      <c r="KW1407" s="1"/>
      <c r="KY1407" s="1"/>
      <c r="KZ1407" s="1"/>
      <c r="LA1407" s="1"/>
      <c r="LB1407" s="1"/>
      <c r="LC1407" s="1"/>
      <c r="LD1407" s="1"/>
      <c r="LF1407" s="1"/>
      <c r="LN1407" s="1"/>
      <c r="LO1407" s="1"/>
      <c r="LP1407" s="1"/>
      <c r="LZ1407" s="1"/>
      <c r="MA1407" s="1"/>
    </row>
    <row r="1408" spans="4:339" ht="13" x14ac:dyDescent="0.15">
      <c r="D1408" s="12"/>
      <c r="E1408" s="12"/>
      <c r="I1408" s="12"/>
      <c r="J1408" s="13"/>
      <c r="BF1408" s="1"/>
      <c r="BG1408" s="1"/>
      <c r="BH1408" s="1"/>
      <c r="BI1408" s="1"/>
      <c r="BK1408" s="1"/>
      <c r="BL1408" s="1"/>
      <c r="BM1408" s="1"/>
      <c r="BN1408" s="1"/>
      <c r="BO1408" s="1"/>
      <c r="BP1408" s="1"/>
      <c r="BQ1408" s="1"/>
      <c r="BR1408" s="1"/>
      <c r="CD1408" s="1"/>
      <c r="CE1408" s="1"/>
      <c r="CF1408" s="1"/>
      <c r="CG1408" s="1"/>
      <c r="CM1408" s="4"/>
      <c r="CP1408" s="1"/>
      <c r="CQ1408" s="1"/>
      <c r="CR1408" s="1"/>
      <c r="CS1408" s="1"/>
      <c r="CT1408" s="1"/>
      <c r="CU1408" s="1"/>
      <c r="CV1408" s="1"/>
      <c r="CW1408" s="1"/>
      <c r="CX1408" s="1"/>
      <c r="CY1408" s="1"/>
      <c r="CZ1408" s="1"/>
      <c r="DA1408" s="1"/>
      <c r="DB1408" s="1"/>
      <c r="DC1408" s="1"/>
      <c r="DD1408" s="1"/>
      <c r="DE1408" s="1"/>
      <c r="DF1408" s="1"/>
      <c r="DG1408" s="1"/>
      <c r="DH1408" s="1"/>
      <c r="DI1408" s="1"/>
      <c r="DJ1408" s="1"/>
      <c r="DK1408" s="1"/>
      <c r="DM1408" s="1"/>
      <c r="DQ1408" s="1"/>
      <c r="DR1408" s="1"/>
      <c r="DY1408" s="1"/>
      <c r="DZ1408" s="1"/>
      <c r="ED1408" s="1"/>
      <c r="EK1408" s="1"/>
      <c r="EL1408" s="1"/>
      <c r="EM1408" s="1"/>
      <c r="EN1408" s="1"/>
      <c r="EQ1408" s="1"/>
      <c r="ER1408" s="1"/>
      <c r="ES1408" s="1"/>
      <c r="EV1408" s="1"/>
      <c r="EW1408" s="1"/>
      <c r="EZ1408" s="1"/>
      <c r="FJ1408" s="1"/>
      <c r="FW1408" s="1"/>
      <c r="FX1408" s="1"/>
      <c r="GO1408" s="1"/>
      <c r="GP1408" s="1"/>
      <c r="HY1408" s="1"/>
      <c r="IC1408" s="1"/>
      <c r="IE1408" s="1"/>
      <c r="IR1408" s="1"/>
      <c r="IS1408" s="1"/>
      <c r="IW1408" s="1"/>
      <c r="IY1408" s="1"/>
      <c r="IZ1408" s="1"/>
      <c r="JA1408" s="1"/>
      <c r="JC1408" s="1"/>
      <c r="JF1408" s="1"/>
      <c r="JG1408" s="1"/>
      <c r="JH1408" s="1"/>
      <c r="JJ1408" s="1"/>
      <c r="JP1408" s="1"/>
      <c r="JQ1408" s="1"/>
      <c r="JV1408" s="1"/>
      <c r="KU1408" s="1"/>
      <c r="KV1408" s="1"/>
      <c r="KW1408" s="1"/>
      <c r="KY1408" s="1"/>
      <c r="KZ1408" s="1"/>
      <c r="LA1408" s="1"/>
      <c r="LB1408" s="1"/>
      <c r="LC1408" s="1"/>
      <c r="LD1408" s="1"/>
      <c r="LF1408" s="1"/>
      <c r="LN1408" s="1"/>
      <c r="LO1408" s="1"/>
      <c r="LP1408" s="1"/>
      <c r="LZ1408" s="1"/>
      <c r="MA1408" s="1"/>
    </row>
    <row r="1409" spans="4:339" ht="13" x14ac:dyDescent="0.15">
      <c r="D1409" s="12"/>
      <c r="E1409" s="12"/>
      <c r="I1409" s="12"/>
      <c r="J1409" s="13"/>
      <c r="BF1409" s="1"/>
      <c r="BG1409" s="1"/>
      <c r="BH1409" s="1"/>
      <c r="BI1409" s="1"/>
      <c r="BK1409" s="1"/>
      <c r="BL1409" s="1"/>
      <c r="BM1409" s="1"/>
      <c r="BN1409" s="1"/>
      <c r="BO1409" s="1"/>
      <c r="BP1409" s="1"/>
      <c r="BQ1409" s="1"/>
      <c r="BR1409" s="1"/>
      <c r="CD1409" s="1"/>
      <c r="CE1409" s="1"/>
      <c r="CF1409" s="1"/>
      <c r="CG1409" s="1"/>
      <c r="CM1409" s="4"/>
      <c r="CP1409" s="1"/>
      <c r="CQ1409" s="1"/>
      <c r="CR1409" s="1"/>
      <c r="CS1409" s="1"/>
      <c r="CT1409" s="1"/>
      <c r="CU1409" s="1"/>
      <c r="CV1409" s="1"/>
      <c r="CW1409" s="1"/>
      <c r="CX1409" s="1"/>
      <c r="CY1409" s="1"/>
      <c r="CZ1409" s="1"/>
      <c r="DA1409" s="1"/>
      <c r="DB1409" s="1"/>
      <c r="DC1409" s="1"/>
      <c r="DD1409" s="1"/>
      <c r="DE1409" s="1"/>
      <c r="DF1409" s="1"/>
      <c r="DG1409" s="1"/>
      <c r="DH1409" s="1"/>
      <c r="DI1409" s="1"/>
      <c r="DJ1409" s="1"/>
      <c r="DK1409" s="1"/>
      <c r="DM1409" s="1"/>
      <c r="DQ1409" s="1"/>
      <c r="DR1409" s="1"/>
      <c r="DY1409" s="1"/>
      <c r="DZ1409" s="1"/>
      <c r="ED1409" s="1"/>
      <c r="EK1409" s="1"/>
      <c r="EL1409" s="1"/>
      <c r="EM1409" s="1"/>
      <c r="EN1409" s="1"/>
      <c r="EQ1409" s="1"/>
      <c r="ER1409" s="1"/>
      <c r="ES1409" s="1"/>
      <c r="EV1409" s="1"/>
      <c r="EW1409" s="1"/>
      <c r="EZ1409" s="1"/>
      <c r="FJ1409" s="1"/>
      <c r="FW1409" s="1"/>
      <c r="FX1409" s="1"/>
      <c r="GO1409" s="1"/>
      <c r="GP1409" s="1"/>
      <c r="HY1409" s="1"/>
      <c r="IC1409" s="1"/>
      <c r="IE1409" s="1"/>
      <c r="IR1409" s="1"/>
      <c r="IS1409" s="1"/>
      <c r="IW1409" s="1"/>
      <c r="IY1409" s="1"/>
      <c r="IZ1409" s="1"/>
      <c r="JA1409" s="1"/>
      <c r="JC1409" s="1"/>
      <c r="JF1409" s="1"/>
      <c r="JG1409" s="1"/>
      <c r="JH1409" s="1"/>
      <c r="JJ1409" s="1"/>
      <c r="JP1409" s="1"/>
      <c r="JQ1409" s="1"/>
      <c r="JV1409" s="1"/>
      <c r="KU1409" s="1"/>
      <c r="KV1409" s="1"/>
      <c r="KW1409" s="1"/>
      <c r="KY1409" s="1"/>
      <c r="KZ1409" s="1"/>
      <c r="LA1409" s="1"/>
      <c r="LB1409" s="1"/>
      <c r="LC1409" s="1"/>
      <c r="LD1409" s="1"/>
      <c r="LF1409" s="1"/>
      <c r="LN1409" s="1"/>
      <c r="LO1409" s="1"/>
      <c r="LP1409" s="1"/>
      <c r="LZ1409" s="1"/>
      <c r="MA1409" s="1"/>
    </row>
    <row r="1410" spans="4:339" ht="13" x14ac:dyDescent="0.15">
      <c r="D1410" s="12"/>
      <c r="E1410" s="12"/>
      <c r="I1410" s="12"/>
      <c r="J1410" s="13"/>
      <c r="BF1410" s="1"/>
      <c r="BG1410" s="1"/>
      <c r="BH1410" s="1"/>
      <c r="BI1410" s="1"/>
      <c r="BK1410" s="1"/>
      <c r="BL1410" s="1"/>
      <c r="BM1410" s="1"/>
      <c r="BN1410" s="1"/>
      <c r="BO1410" s="1"/>
      <c r="BP1410" s="1"/>
      <c r="BQ1410" s="1"/>
      <c r="BR1410" s="1"/>
      <c r="CD1410" s="1"/>
      <c r="CE1410" s="1"/>
      <c r="CF1410" s="1"/>
      <c r="CG1410" s="1"/>
      <c r="CM1410" s="4"/>
      <c r="CP1410" s="1"/>
      <c r="CQ1410" s="1"/>
      <c r="CR1410" s="1"/>
      <c r="CS1410" s="1"/>
      <c r="CT1410" s="1"/>
      <c r="CU1410" s="1"/>
      <c r="CV1410" s="1"/>
      <c r="CW1410" s="1"/>
      <c r="CX1410" s="1"/>
      <c r="CY1410" s="1"/>
      <c r="CZ1410" s="1"/>
      <c r="DA1410" s="1"/>
      <c r="DB1410" s="1"/>
      <c r="DC1410" s="1"/>
      <c r="DD1410" s="1"/>
      <c r="DE1410" s="1"/>
      <c r="DF1410" s="1"/>
      <c r="DG1410" s="1"/>
      <c r="DH1410" s="1"/>
      <c r="DI1410" s="1"/>
      <c r="DJ1410" s="1"/>
      <c r="DK1410" s="1"/>
      <c r="DM1410" s="1"/>
      <c r="DQ1410" s="1"/>
      <c r="DR1410" s="1"/>
      <c r="DY1410" s="1"/>
      <c r="DZ1410" s="1"/>
      <c r="ED1410" s="1"/>
      <c r="EK1410" s="1"/>
      <c r="EL1410" s="1"/>
      <c r="EM1410" s="1"/>
      <c r="EN1410" s="1"/>
      <c r="EQ1410" s="1"/>
      <c r="ER1410" s="1"/>
      <c r="ES1410" s="1"/>
      <c r="EV1410" s="1"/>
      <c r="EW1410" s="1"/>
      <c r="EZ1410" s="1"/>
      <c r="FJ1410" s="1"/>
      <c r="FW1410" s="1"/>
      <c r="FX1410" s="1"/>
      <c r="GO1410" s="1"/>
      <c r="GP1410" s="1"/>
      <c r="HY1410" s="1"/>
      <c r="IC1410" s="1"/>
      <c r="IE1410" s="1"/>
      <c r="IR1410" s="1"/>
      <c r="IS1410" s="1"/>
      <c r="IW1410" s="1"/>
      <c r="IY1410" s="1"/>
      <c r="IZ1410" s="1"/>
      <c r="JA1410" s="1"/>
      <c r="JC1410" s="1"/>
      <c r="JF1410" s="1"/>
      <c r="JG1410" s="1"/>
      <c r="JH1410" s="1"/>
      <c r="JJ1410" s="1"/>
      <c r="JP1410" s="1"/>
      <c r="JQ1410" s="1"/>
      <c r="JV1410" s="1"/>
      <c r="KU1410" s="1"/>
      <c r="KV1410" s="1"/>
      <c r="KW1410" s="1"/>
      <c r="KY1410" s="1"/>
      <c r="KZ1410" s="1"/>
      <c r="LA1410" s="1"/>
      <c r="LB1410" s="1"/>
      <c r="LC1410" s="1"/>
      <c r="LD1410" s="1"/>
      <c r="LF1410" s="1"/>
      <c r="LN1410" s="1"/>
      <c r="LO1410" s="1"/>
      <c r="LP1410" s="1"/>
      <c r="LZ1410" s="1"/>
      <c r="MA1410" s="1"/>
    </row>
    <row r="1411" spans="4:339" ht="13" x14ac:dyDescent="0.15">
      <c r="D1411" s="12"/>
      <c r="E1411" s="12"/>
      <c r="I1411" s="12"/>
      <c r="J1411" s="13"/>
      <c r="BF1411" s="1"/>
      <c r="BG1411" s="1"/>
      <c r="BH1411" s="1"/>
      <c r="BI1411" s="1"/>
      <c r="BK1411" s="1"/>
      <c r="BL1411" s="1"/>
      <c r="BM1411" s="1"/>
      <c r="BN1411" s="1"/>
      <c r="BO1411" s="1"/>
      <c r="BQ1411" s="1"/>
      <c r="BR1411" s="1"/>
      <c r="CD1411" s="1"/>
      <c r="CE1411" s="1"/>
      <c r="CF1411" s="1"/>
      <c r="CM1411" s="2"/>
      <c r="ED1411" s="1"/>
      <c r="EL1411" s="1"/>
      <c r="EM1411" s="1"/>
      <c r="EN1411" s="1"/>
      <c r="EQ1411" s="1"/>
      <c r="ER1411" s="1"/>
      <c r="ES1411" s="1"/>
      <c r="EV1411" s="1"/>
      <c r="EW1411" s="1"/>
      <c r="EZ1411" s="1"/>
      <c r="HY1411" s="1"/>
      <c r="IC1411" s="1"/>
      <c r="IR1411" s="1"/>
      <c r="IS1411" s="1"/>
      <c r="IZ1411" s="1"/>
      <c r="JJ1411" s="1"/>
      <c r="JN1411" s="1"/>
      <c r="JP1411" s="1"/>
      <c r="JQ1411" s="1"/>
      <c r="KU1411" s="1"/>
    </row>
    <row r="1412" spans="4:339" ht="13" x14ac:dyDescent="0.15">
      <c r="D1412" s="12"/>
      <c r="E1412" s="12"/>
      <c r="I1412" s="12"/>
      <c r="J1412" s="13"/>
      <c r="BF1412" s="1"/>
      <c r="BG1412" s="1"/>
      <c r="BH1412" s="1"/>
      <c r="BI1412" s="1"/>
      <c r="BK1412" s="1"/>
      <c r="BL1412" s="1"/>
      <c r="BM1412" s="1"/>
      <c r="BN1412" s="1"/>
      <c r="BO1412" s="1"/>
      <c r="BQ1412" s="1"/>
      <c r="BR1412" s="1"/>
      <c r="CD1412" s="1"/>
      <c r="CE1412" s="1"/>
      <c r="CF1412" s="1"/>
      <c r="CM1412" s="2"/>
      <c r="ED1412" s="1"/>
      <c r="EL1412" s="1"/>
      <c r="EM1412" s="1"/>
      <c r="EN1412" s="1"/>
      <c r="EQ1412" s="1"/>
      <c r="ER1412" s="1"/>
      <c r="ES1412" s="1"/>
      <c r="EV1412" s="1"/>
      <c r="EW1412" s="1"/>
      <c r="EZ1412" s="1"/>
      <c r="HY1412" s="1"/>
      <c r="IC1412" s="1"/>
      <c r="IR1412" s="1"/>
      <c r="IS1412" s="1"/>
      <c r="IZ1412" s="1"/>
      <c r="JJ1412" s="1"/>
      <c r="JN1412" s="1"/>
      <c r="JP1412" s="1"/>
      <c r="JQ1412" s="1"/>
      <c r="KU1412" s="1"/>
    </row>
    <row r="1413" spans="4:339" ht="13" x14ac:dyDescent="0.15">
      <c r="D1413" s="12"/>
      <c r="E1413" s="12"/>
      <c r="I1413" s="12"/>
      <c r="J1413" s="13"/>
      <c r="BF1413" s="1"/>
      <c r="BG1413" s="1"/>
      <c r="BH1413" s="1"/>
      <c r="BI1413" s="1"/>
      <c r="BK1413" s="1"/>
      <c r="BL1413" s="1"/>
      <c r="BM1413" s="1"/>
      <c r="BN1413" s="1"/>
      <c r="BO1413" s="1"/>
      <c r="BP1413" s="1"/>
      <c r="BQ1413" s="1"/>
      <c r="BR1413" s="1"/>
      <c r="CC1413" s="1"/>
      <c r="CD1413" s="1"/>
      <c r="CE1413" s="1"/>
      <c r="CF1413" s="1"/>
      <c r="CG1413" s="1"/>
      <c r="CJ1413" s="1"/>
      <c r="CK1413" s="1"/>
      <c r="CM1413" s="2"/>
      <c r="CP1413" s="1"/>
      <c r="CQ1413" s="1"/>
      <c r="CR1413" s="1"/>
      <c r="CS1413" s="1"/>
      <c r="CT1413" s="1"/>
      <c r="CU1413" s="1"/>
      <c r="CV1413" s="1"/>
      <c r="CW1413" s="1"/>
      <c r="CX1413" s="1"/>
      <c r="CY1413" s="1"/>
      <c r="CZ1413" s="1"/>
      <c r="DA1413" s="1"/>
      <c r="DB1413" s="1"/>
      <c r="DC1413" s="1"/>
      <c r="DD1413" s="1"/>
      <c r="DE1413" s="1"/>
      <c r="DF1413" s="1"/>
      <c r="DG1413" s="1"/>
      <c r="DH1413" s="1"/>
      <c r="DI1413" s="1"/>
      <c r="DJ1413" s="1"/>
      <c r="DK1413" s="1"/>
      <c r="DQ1413" s="1"/>
      <c r="DR1413" s="1"/>
      <c r="DY1413" s="1"/>
      <c r="DZ1413" s="1"/>
      <c r="ED1413" s="1"/>
      <c r="EE1413" s="1"/>
      <c r="EF1413" s="1"/>
      <c r="EG1413" s="1"/>
      <c r="EH1413" s="1"/>
      <c r="EK1413" s="1"/>
      <c r="EL1413" s="1"/>
      <c r="EM1413" s="1"/>
      <c r="EN1413" s="1"/>
      <c r="EQ1413" s="1"/>
      <c r="ER1413" s="1"/>
      <c r="ES1413" s="1"/>
      <c r="EV1413" s="1"/>
      <c r="EW1413" s="1"/>
      <c r="EY1413" s="1"/>
      <c r="EZ1413" s="1"/>
      <c r="GO1413" s="1"/>
      <c r="GP1413" s="1"/>
      <c r="HY1413" s="1"/>
      <c r="ID1413" s="1"/>
      <c r="IE1413" s="1"/>
      <c r="IG1413" s="1"/>
      <c r="IJ1413" s="1"/>
      <c r="IR1413" s="1"/>
      <c r="IS1413" s="1"/>
      <c r="IX1413" s="1"/>
      <c r="IZ1413" s="1"/>
      <c r="JB1413" s="1"/>
      <c r="JG1413" s="1"/>
      <c r="JH1413" s="1"/>
      <c r="JJ1413" s="1"/>
      <c r="JK1413" s="1"/>
      <c r="JL1413" s="3"/>
      <c r="JM1413" s="1"/>
      <c r="JN1413" s="1"/>
      <c r="JP1413" s="1"/>
      <c r="JQ1413" s="1"/>
      <c r="JR1413" s="1"/>
      <c r="KV1413" s="1"/>
      <c r="KY1413" s="1"/>
      <c r="KZ1413" s="1"/>
      <c r="LA1413" s="1"/>
      <c r="LB1413" s="1"/>
      <c r="LC1413" s="1"/>
      <c r="LD1413" s="1"/>
      <c r="LO1413" s="1"/>
      <c r="LP1413" s="1"/>
      <c r="LZ1413" s="1"/>
      <c r="MA1413" s="1"/>
    </row>
    <row r="1414" spans="4:339" ht="13" x14ac:dyDescent="0.15">
      <c r="D1414" s="12"/>
      <c r="E1414" s="12"/>
      <c r="I1414" s="12"/>
      <c r="J1414" s="13"/>
      <c r="BF1414" s="1"/>
      <c r="BG1414" s="1"/>
      <c r="BH1414" s="1"/>
      <c r="BI1414" s="1"/>
      <c r="BK1414" s="1"/>
      <c r="BL1414" s="1"/>
      <c r="BM1414" s="1"/>
      <c r="BN1414" s="1"/>
      <c r="BO1414" s="1"/>
      <c r="BP1414" s="1"/>
      <c r="BQ1414" s="1"/>
      <c r="BR1414" s="1"/>
      <c r="CD1414" s="1"/>
      <c r="CE1414" s="1"/>
      <c r="CF1414" s="1"/>
      <c r="CG1414" s="1"/>
      <c r="CK1414" s="1"/>
      <c r="CM1414" s="2"/>
      <c r="CP1414" s="1"/>
      <c r="CQ1414" s="1"/>
      <c r="CR1414" s="1"/>
      <c r="CS1414" s="1"/>
      <c r="CT1414" s="1"/>
      <c r="CU1414" s="1"/>
      <c r="CV1414" s="1"/>
      <c r="CW1414" s="1"/>
      <c r="CX1414" s="1"/>
      <c r="CY1414" s="1"/>
      <c r="CZ1414" s="1"/>
      <c r="DA1414" s="1"/>
      <c r="DB1414" s="1"/>
      <c r="DC1414" s="1"/>
      <c r="DD1414" s="1"/>
      <c r="DE1414" s="1"/>
      <c r="DF1414" s="1"/>
      <c r="DG1414" s="1"/>
      <c r="DH1414" s="1"/>
      <c r="DI1414" s="1"/>
      <c r="DJ1414" s="1"/>
      <c r="DK1414" s="1"/>
      <c r="DM1414" s="1"/>
      <c r="DQ1414" s="1"/>
      <c r="DR1414" s="1"/>
      <c r="DY1414" s="1"/>
      <c r="DZ1414" s="1"/>
      <c r="ED1414" s="1"/>
      <c r="EK1414" s="1"/>
      <c r="EL1414" s="1"/>
      <c r="EM1414" s="1"/>
      <c r="EN1414" s="1"/>
      <c r="EQ1414" s="1"/>
      <c r="ER1414" s="1"/>
      <c r="ES1414" s="1"/>
      <c r="EV1414" s="1"/>
      <c r="EW1414" s="1"/>
      <c r="EZ1414" s="1"/>
      <c r="GO1414" s="1"/>
      <c r="GP1414" s="1"/>
      <c r="HY1414" s="1"/>
      <c r="ID1414" s="1"/>
      <c r="IE1414" s="1"/>
      <c r="IR1414" s="1"/>
      <c r="IS1414" s="1"/>
      <c r="IW1414" s="1"/>
      <c r="IY1414" s="1"/>
      <c r="IZ1414" s="1"/>
      <c r="JA1414" s="1"/>
      <c r="JF1414" s="1"/>
      <c r="JG1414" s="1"/>
      <c r="JH1414" s="1"/>
      <c r="JJ1414" s="1"/>
      <c r="JN1414" s="1"/>
      <c r="JP1414" s="1"/>
      <c r="JQ1414" s="1"/>
      <c r="KY1414" s="1"/>
      <c r="KZ1414" s="1"/>
      <c r="LA1414" s="1"/>
      <c r="LB1414" s="1"/>
      <c r="LC1414" s="1"/>
      <c r="LD1414" s="1"/>
      <c r="LF1414" s="1"/>
      <c r="LN1414" s="1"/>
      <c r="LO1414" s="1"/>
      <c r="LP1414" s="1"/>
      <c r="LZ1414" s="1"/>
      <c r="MA1414" s="1"/>
    </row>
    <row r="1415" spans="4:339" ht="13" x14ac:dyDescent="0.15">
      <c r="D1415" s="12"/>
      <c r="E1415" s="12"/>
      <c r="I1415" s="12"/>
      <c r="J1415" s="13"/>
      <c r="BF1415" s="1"/>
      <c r="BG1415" s="1"/>
      <c r="BH1415" s="1"/>
      <c r="BI1415" s="1"/>
      <c r="BK1415" s="1"/>
      <c r="BL1415" s="1"/>
      <c r="BM1415" s="1"/>
      <c r="BN1415" s="1"/>
      <c r="BO1415" s="1"/>
      <c r="BP1415" s="1"/>
      <c r="BQ1415" s="1"/>
      <c r="BR1415" s="1"/>
      <c r="CD1415" s="1"/>
      <c r="CE1415" s="1"/>
      <c r="CF1415" s="1"/>
      <c r="CG1415" s="1"/>
      <c r="CK1415" s="1"/>
      <c r="CM1415" s="2"/>
      <c r="CP1415" s="1"/>
      <c r="CQ1415" s="1"/>
      <c r="CR1415" s="1"/>
      <c r="CS1415" s="1"/>
      <c r="CT1415" s="1"/>
      <c r="CU1415" s="1"/>
      <c r="CV1415" s="1"/>
      <c r="CW1415" s="1"/>
      <c r="CX1415" s="1"/>
      <c r="CY1415" s="1"/>
      <c r="CZ1415" s="1"/>
      <c r="DA1415" s="1"/>
      <c r="DB1415" s="1"/>
      <c r="DC1415" s="1"/>
      <c r="DD1415" s="1"/>
      <c r="DE1415" s="1"/>
      <c r="DF1415" s="1"/>
      <c r="DG1415" s="1"/>
      <c r="DH1415" s="1"/>
      <c r="DI1415" s="1"/>
      <c r="DJ1415" s="1"/>
      <c r="DK1415" s="1"/>
      <c r="DM1415" s="1"/>
      <c r="DQ1415" s="1"/>
      <c r="DR1415" s="1"/>
      <c r="DY1415" s="1"/>
      <c r="DZ1415" s="1"/>
      <c r="ED1415" s="1"/>
      <c r="EK1415" s="1"/>
      <c r="EL1415" s="1"/>
      <c r="EM1415" s="1"/>
      <c r="EN1415" s="1"/>
      <c r="EQ1415" s="1"/>
      <c r="ER1415" s="1"/>
      <c r="ES1415" s="1"/>
      <c r="EV1415" s="1"/>
      <c r="EW1415" s="1"/>
      <c r="EZ1415" s="1"/>
      <c r="GO1415" s="1"/>
      <c r="GP1415" s="1"/>
      <c r="HY1415" s="1"/>
      <c r="ID1415" s="1"/>
      <c r="IE1415" s="1"/>
      <c r="IR1415" s="1"/>
      <c r="IS1415" s="1"/>
      <c r="IW1415" s="1"/>
      <c r="IY1415" s="1"/>
      <c r="IZ1415" s="1"/>
      <c r="JA1415" s="1"/>
      <c r="JF1415" s="1"/>
      <c r="JG1415" s="1"/>
      <c r="JH1415" s="1"/>
      <c r="JJ1415" s="1"/>
      <c r="JN1415" s="1"/>
      <c r="JP1415" s="1"/>
      <c r="JQ1415" s="1"/>
      <c r="KY1415" s="1"/>
      <c r="KZ1415" s="1"/>
      <c r="LA1415" s="1"/>
      <c r="LB1415" s="1"/>
      <c r="LC1415" s="1"/>
      <c r="LD1415" s="1"/>
      <c r="LF1415" s="1"/>
      <c r="LN1415" s="1"/>
      <c r="LO1415" s="1"/>
      <c r="LP1415" s="1"/>
      <c r="LZ1415" s="1"/>
      <c r="MA1415" s="1"/>
    </row>
    <row r="1416" spans="4:339" ht="13" x14ac:dyDescent="0.15">
      <c r="D1416" s="12"/>
      <c r="E1416" s="12"/>
      <c r="I1416" s="12"/>
      <c r="J1416" s="13"/>
      <c r="BF1416" s="1"/>
      <c r="BG1416" s="1"/>
      <c r="BH1416" s="1"/>
      <c r="BI1416" s="1"/>
      <c r="BK1416" s="1"/>
      <c r="BL1416" s="1"/>
      <c r="BM1416" s="1"/>
      <c r="BN1416" s="1"/>
      <c r="BO1416" s="1"/>
      <c r="BP1416" s="1"/>
      <c r="BQ1416" s="1"/>
      <c r="BR1416" s="1"/>
      <c r="CD1416" s="1"/>
      <c r="CE1416" s="1"/>
      <c r="CF1416" s="1"/>
      <c r="CG1416" s="1"/>
      <c r="CK1416" s="1"/>
      <c r="CM1416" s="2"/>
      <c r="CP1416" s="1"/>
      <c r="CQ1416" s="1"/>
      <c r="CR1416" s="1"/>
      <c r="CS1416" s="1"/>
      <c r="CT1416" s="1"/>
      <c r="CU1416" s="1"/>
      <c r="CV1416" s="1"/>
      <c r="CW1416" s="1"/>
      <c r="CX1416" s="1"/>
      <c r="CY1416" s="1"/>
      <c r="CZ1416" s="1"/>
      <c r="DA1416" s="1"/>
      <c r="DB1416" s="1"/>
      <c r="DC1416" s="1"/>
      <c r="DD1416" s="1"/>
      <c r="DE1416" s="1"/>
      <c r="DF1416" s="1"/>
      <c r="DG1416" s="1"/>
      <c r="DH1416" s="1"/>
      <c r="DI1416" s="1"/>
      <c r="DJ1416" s="1"/>
      <c r="DK1416" s="1"/>
      <c r="DM1416" s="1"/>
      <c r="DQ1416" s="1"/>
      <c r="DR1416" s="1"/>
      <c r="DY1416" s="1"/>
      <c r="DZ1416" s="1"/>
      <c r="ED1416" s="1"/>
      <c r="EK1416" s="1"/>
      <c r="EL1416" s="1"/>
      <c r="EM1416" s="1"/>
      <c r="EN1416" s="1"/>
      <c r="EQ1416" s="1"/>
      <c r="ER1416" s="1"/>
      <c r="ES1416" s="1"/>
      <c r="EV1416" s="1"/>
      <c r="EW1416" s="1"/>
      <c r="EZ1416" s="1"/>
      <c r="GO1416" s="1"/>
      <c r="GP1416" s="1"/>
      <c r="HY1416" s="1"/>
      <c r="ID1416" s="1"/>
      <c r="IE1416" s="1"/>
      <c r="IR1416" s="1"/>
      <c r="IS1416" s="1"/>
      <c r="IW1416" s="1"/>
      <c r="IY1416" s="1"/>
      <c r="IZ1416" s="1"/>
      <c r="JA1416" s="1"/>
      <c r="JF1416" s="1"/>
      <c r="JG1416" s="1"/>
      <c r="JH1416" s="1"/>
      <c r="JJ1416" s="1"/>
      <c r="JN1416" s="1"/>
      <c r="JP1416" s="1"/>
      <c r="JQ1416" s="1"/>
      <c r="KY1416" s="1"/>
      <c r="KZ1416" s="1"/>
      <c r="LA1416" s="1"/>
      <c r="LB1416" s="1"/>
      <c r="LC1416" s="1"/>
      <c r="LD1416" s="1"/>
      <c r="LF1416" s="1"/>
      <c r="LN1416" s="1"/>
      <c r="LO1416" s="1"/>
      <c r="LP1416" s="1"/>
      <c r="LZ1416" s="1"/>
      <c r="MA1416" s="1"/>
    </row>
    <row r="1417" spans="4:339" ht="13" x14ac:dyDescent="0.15">
      <c r="D1417" s="12"/>
      <c r="E1417" s="12"/>
      <c r="I1417" s="12"/>
      <c r="J1417" s="13"/>
      <c r="BF1417" s="1"/>
      <c r="BG1417" s="1"/>
      <c r="BH1417" s="1"/>
      <c r="BI1417" s="1"/>
      <c r="BK1417" s="1"/>
      <c r="BL1417" s="1"/>
      <c r="BM1417" s="1"/>
      <c r="BN1417" s="1"/>
      <c r="BO1417" s="1"/>
      <c r="BP1417" s="1"/>
      <c r="BQ1417" s="1"/>
      <c r="BR1417" s="1"/>
      <c r="CD1417" s="1"/>
      <c r="CE1417" s="1"/>
      <c r="CF1417" s="1"/>
      <c r="CG1417" s="1"/>
      <c r="CK1417" s="1"/>
      <c r="CM1417" s="2"/>
      <c r="CP1417" s="1"/>
      <c r="CQ1417" s="1"/>
      <c r="CR1417" s="1"/>
      <c r="CS1417" s="1"/>
      <c r="CT1417" s="1"/>
      <c r="CU1417" s="1"/>
      <c r="CV1417" s="1"/>
      <c r="CW1417" s="1"/>
      <c r="CX1417" s="1"/>
      <c r="CY1417" s="1"/>
      <c r="CZ1417" s="1"/>
      <c r="DA1417" s="1"/>
      <c r="DB1417" s="1"/>
      <c r="DC1417" s="1"/>
      <c r="DD1417" s="1"/>
      <c r="DE1417" s="1"/>
      <c r="DF1417" s="1"/>
      <c r="DG1417" s="1"/>
      <c r="DH1417" s="1"/>
      <c r="DI1417" s="1"/>
      <c r="DJ1417" s="1"/>
      <c r="DK1417" s="1"/>
      <c r="DM1417" s="1"/>
      <c r="DQ1417" s="1"/>
      <c r="DR1417" s="1"/>
      <c r="DY1417" s="1"/>
      <c r="DZ1417" s="1"/>
      <c r="ED1417" s="1"/>
      <c r="EK1417" s="1"/>
      <c r="EL1417" s="1"/>
      <c r="EM1417" s="1"/>
      <c r="EN1417" s="1"/>
      <c r="EQ1417" s="1"/>
      <c r="ER1417" s="1"/>
      <c r="ES1417" s="1"/>
      <c r="EV1417" s="1"/>
      <c r="EW1417" s="1"/>
      <c r="EZ1417" s="1"/>
      <c r="GO1417" s="1"/>
      <c r="GP1417" s="1"/>
      <c r="HY1417" s="1"/>
      <c r="ID1417" s="1"/>
      <c r="IE1417" s="1"/>
      <c r="IR1417" s="1"/>
      <c r="IS1417" s="1"/>
      <c r="IW1417" s="1"/>
      <c r="IY1417" s="1"/>
      <c r="IZ1417" s="1"/>
      <c r="JA1417" s="1"/>
      <c r="JF1417" s="1"/>
      <c r="JG1417" s="1"/>
      <c r="JH1417" s="1"/>
      <c r="JJ1417" s="1"/>
      <c r="JN1417" s="1"/>
      <c r="JP1417" s="1"/>
      <c r="JQ1417" s="1"/>
      <c r="KY1417" s="1"/>
      <c r="KZ1417" s="1"/>
      <c r="LA1417" s="1"/>
      <c r="LB1417" s="1"/>
      <c r="LC1417" s="1"/>
      <c r="LD1417" s="1"/>
      <c r="LF1417" s="1"/>
      <c r="LN1417" s="1"/>
      <c r="LO1417" s="1"/>
      <c r="LP1417" s="1"/>
      <c r="LZ1417" s="1"/>
      <c r="MA1417" s="1"/>
    </row>
    <row r="1418" spans="4:339" ht="13" x14ac:dyDescent="0.15">
      <c r="D1418" s="12"/>
      <c r="E1418" s="12"/>
      <c r="I1418" s="12"/>
      <c r="J1418" s="13"/>
      <c r="BF1418" s="1"/>
      <c r="BG1418" s="1"/>
      <c r="BH1418" s="1"/>
      <c r="BI1418" s="1"/>
      <c r="BK1418" s="1"/>
      <c r="BL1418" s="1"/>
      <c r="BM1418" s="1"/>
      <c r="BN1418" s="1"/>
      <c r="BO1418" s="1"/>
      <c r="BP1418" s="1"/>
      <c r="BQ1418" s="1"/>
      <c r="BR1418" s="1"/>
      <c r="CD1418" s="1"/>
      <c r="CE1418" s="1"/>
      <c r="CF1418" s="1"/>
      <c r="CG1418" s="1"/>
      <c r="CK1418" s="1"/>
      <c r="CM1418" s="2"/>
      <c r="CP1418" s="1"/>
      <c r="CQ1418" s="1"/>
      <c r="CR1418" s="1"/>
      <c r="CS1418" s="1"/>
      <c r="CT1418" s="1"/>
      <c r="CU1418" s="1"/>
      <c r="CV1418" s="1"/>
      <c r="CW1418" s="1"/>
      <c r="CX1418" s="1"/>
      <c r="CY1418" s="1"/>
      <c r="CZ1418" s="1"/>
      <c r="DA1418" s="1"/>
      <c r="DB1418" s="1"/>
      <c r="DC1418" s="1"/>
      <c r="DD1418" s="1"/>
      <c r="DE1418" s="1"/>
      <c r="DF1418" s="1"/>
      <c r="DG1418" s="1"/>
      <c r="DH1418" s="1"/>
      <c r="DI1418" s="1"/>
      <c r="DJ1418" s="1"/>
      <c r="DK1418" s="1"/>
      <c r="DM1418" s="1"/>
      <c r="DQ1418" s="1"/>
      <c r="DR1418" s="1"/>
      <c r="DY1418" s="1"/>
      <c r="DZ1418" s="1"/>
      <c r="ED1418" s="1"/>
      <c r="EK1418" s="1"/>
      <c r="EL1418" s="1"/>
      <c r="EM1418" s="1"/>
      <c r="EN1418" s="1"/>
      <c r="EQ1418" s="1"/>
      <c r="ER1418" s="1"/>
      <c r="ES1418" s="1"/>
      <c r="EV1418" s="1"/>
      <c r="EW1418" s="1"/>
      <c r="EZ1418" s="1"/>
      <c r="GO1418" s="1"/>
      <c r="GP1418" s="1"/>
      <c r="HY1418" s="1"/>
      <c r="ID1418" s="1"/>
      <c r="IE1418" s="1"/>
      <c r="IR1418" s="1"/>
      <c r="IS1418" s="1"/>
      <c r="IW1418" s="1"/>
      <c r="IY1418" s="1"/>
      <c r="IZ1418" s="1"/>
      <c r="JA1418" s="1"/>
      <c r="JF1418" s="1"/>
      <c r="JG1418" s="1"/>
      <c r="JH1418" s="1"/>
      <c r="JJ1418" s="1"/>
      <c r="JN1418" s="1"/>
      <c r="JP1418" s="1"/>
      <c r="JQ1418" s="1"/>
      <c r="KY1418" s="1"/>
      <c r="KZ1418" s="1"/>
      <c r="LA1418" s="1"/>
      <c r="LB1418" s="1"/>
      <c r="LC1418" s="1"/>
      <c r="LD1418" s="1"/>
      <c r="LF1418" s="1"/>
      <c r="LN1418" s="1"/>
      <c r="LO1418" s="1"/>
      <c r="LP1418" s="1"/>
      <c r="LZ1418" s="1"/>
      <c r="MA1418" s="1"/>
    </row>
    <row r="1419" spans="4:339" ht="13" x14ac:dyDescent="0.15">
      <c r="D1419" s="12"/>
      <c r="E1419" s="12"/>
      <c r="I1419" s="12"/>
      <c r="J1419" s="13"/>
      <c r="BF1419" s="1"/>
      <c r="BG1419" s="1"/>
      <c r="BH1419" s="1"/>
      <c r="BI1419" s="1"/>
      <c r="BK1419" s="1"/>
      <c r="BL1419" s="1"/>
      <c r="BM1419" s="1"/>
      <c r="BN1419" s="1"/>
      <c r="BO1419" s="1"/>
      <c r="BP1419" s="1"/>
      <c r="BQ1419" s="1"/>
      <c r="BR1419" s="1"/>
      <c r="CD1419" s="1"/>
      <c r="CE1419" s="1"/>
      <c r="CF1419" s="1"/>
      <c r="CG1419" s="1"/>
      <c r="CK1419" s="1"/>
      <c r="CM1419" s="2"/>
      <c r="CP1419" s="1"/>
      <c r="CQ1419" s="1"/>
      <c r="CR1419" s="1"/>
      <c r="CS1419" s="1"/>
      <c r="CT1419" s="1"/>
      <c r="CU1419" s="1"/>
      <c r="CV1419" s="1"/>
      <c r="CW1419" s="1"/>
      <c r="CX1419" s="1"/>
      <c r="CY1419" s="1"/>
      <c r="CZ1419" s="1"/>
      <c r="DA1419" s="1"/>
      <c r="DB1419" s="1"/>
      <c r="DC1419" s="1"/>
      <c r="DD1419" s="1"/>
      <c r="DE1419" s="1"/>
      <c r="DF1419" s="1"/>
      <c r="DG1419" s="1"/>
      <c r="DH1419" s="1"/>
      <c r="DI1419" s="1"/>
      <c r="DJ1419" s="1"/>
      <c r="DK1419" s="1"/>
      <c r="DM1419" s="1"/>
      <c r="DQ1419" s="1"/>
      <c r="DR1419" s="1"/>
      <c r="DY1419" s="1"/>
      <c r="DZ1419" s="1"/>
      <c r="ED1419" s="1"/>
      <c r="EK1419" s="1"/>
      <c r="EL1419" s="1"/>
      <c r="EM1419" s="1"/>
      <c r="EN1419" s="1"/>
      <c r="EQ1419" s="1"/>
      <c r="ER1419" s="1"/>
      <c r="ES1419" s="1"/>
      <c r="EV1419" s="1"/>
      <c r="EW1419" s="1"/>
      <c r="EZ1419" s="1"/>
      <c r="GO1419" s="1"/>
      <c r="GP1419" s="1"/>
      <c r="HY1419" s="1"/>
      <c r="ID1419" s="1"/>
      <c r="IE1419" s="1"/>
      <c r="IR1419" s="1"/>
      <c r="IS1419" s="1"/>
      <c r="IW1419" s="1"/>
      <c r="IY1419" s="1"/>
      <c r="IZ1419" s="1"/>
      <c r="JA1419" s="1"/>
      <c r="JF1419" s="1"/>
      <c r="JG1419" s="1"/>
      <c r="JH1419" s="1"/>
      <c r="JJ1419" s="1"/>
      <c r="JN1419" s="1"/>
      <c r="JP1419" s="1"/>
      <c r="JQ1419" s="1"/>
      <c r="KY1419" s="1"/>
      <c r="KZ1419" s="1"/>
      <c r="LA1419" s="1"/>
      <c r="LB1419" s="1"/>
      <c r="LC1419" s="1"/>
      <c r="LD1419" s="1"/>
      <c r="LF1419" s="1"/>
      <c r="LN1419" s="1"/>
      <c r="LO1419" s="1"/>
      <c r="LP1419" s="1"/>
      <c r="LZ1419" s="1"/>
      <c r="MA1419" s="1"/>
    </row>
    <row r="1420" spans="4:339" ht="13" x14ac:dyDescent="0.15">
      <c r="D1420" s="12"/>
      <c r="E1420" s="12"/>
      <c r="I1420" s="12"/>
      <c r="J1420" s="13"/>
      <c r="BF1420" s="1"/>
      <c r="BG1420" s="1"/>
      <c r="BH1420" s="1"/>
      <c r="BI1420" s="1"/>
      <c r="BJ1420" s="1"/>
      <c r="BK1420" s="1"/>
      <c r="BL1420" s="1"/>
      <c r="BM1420" s="1"/>
      <c r="BN1420" s="1"/>
      <c r="BO1420" s="1"/>
      <c r="BP1420" s="1"/>
      <c r="BQ1420" s="1"/>
      <c r="BR1420" s="1"/>
      <c r="BX1420" s="1"/>
      <c r="CD1420" s="1"/>
      <c r="CG1420" s="1"/>
      <c r="CM1420" s="2"/>
      <c r="CP1420" s="1"/>
      <c r="CQ1420" s="1"/>
      <c r="CX1420" s="1"/>
      <c r="CY1420" s="1"/>
      <c r="CZ1420" s="1"/>
      <c r="DA1420" s="1"/>
      <c r="DB1420" s="1"/>
      <c r="DC1420" s="1"/>
      <c r="DD1420" s="1"/>
      <c r="DE1420" s="1"/>
      <c r="DF1420" s="1"/>
      <c r="DG1420" s="1"/>
      <c r="DH1420" s="1"/>
      <c r="DI1420" s="1"/>
      <c r="DJ1420" s="1"/>
      <c r="DK1420" s="1"/>
      <c r="DM1420" s="1"/>
      <c r="DQ1420" s="1"/>
      <c r="DR1420" s="1"/>
      <c r="DY1420" s="1"/>
      <c r="DZ1420" s="1"/>
      <c r="ED1420" s="1"/>
      <c r="EK1420" s="1"/>
      <c r="EL1420" s="1"/>
      <c r="EM1420" s="1"/>
      <c r="EN1420" s="1"/>
      <c r="EQ1420" s="1"/>
      <c r="ER1420" s="1"/>
      <c r="ES1420" s="1"/>
      <c r="EV1420" s="1"/>
      <c r="EW1420" s="1"/>
      <c r="EZ1420" s="1"/>
      <c r="FE1420" s="1"/>
      <c r="FF1420" s="1"/>
      <c r="FJ1420" s="1"/>
      <c r="FS1420" s="1"/>
      <c r="FW1420" s="1"/>
      <c r="FX1420" s="1"/>
      <c r="GP1420" s="1"/>
      <c r="HH1420" s="1"/>
      <c r="HY1420" s="1"/>
      <c r="IC1420" s="1"/>
      <c r="ID1420" s="1"/>
      <c r="IE1420" s="1"/>
      <c r="IR1420" s="1"/>
      <c r="IS1420" s="1"/>
      <c r="IZ1420" s="1"/>
      <c r="JG1420" s="1"/>
      <c r="JJ1420" s="1"/>
      <c r="JN1420" s="1"/>
      <c r="JP1420" s="1"/>
      <c r="JQ1420" s="1"/>
      <c r="KU1420" s="1"/>
      <c r="KV1420" s="1"/>
      <c r="KY1420" s="1"/>
      <c r="KZ1420" s="1"/>
      <c r="LA1420" s="1"/>
      <c r="LB1420" s="1"/>
      <c r="LC1420" s="1"/>
      <c r="LD1420" s="1"/>
      <c r="LO1420" s="1"/>
      <c r="LP1420" s="1"/>
      <c r="LZ1420" s="1"/>
      <c r="MA1420" s="1"/>
    </row>
    <row r="1421" spans="4:339" ht="13" x14ac:dyDescent="0.15">
      <c r="D1421" s="12"/>
      <c r="E1421" s="12"/>
      <c r="I1421" s="12"/>
      <c r="J1421" s="13"/>
      <c r="BF1421" s="1"/>
      <c r="BG1421" s="1"/>
      <c r="BH1421" s="1"/>
      <c r="BI1421" s="1"/>
      <c r="BJ1421" s="1"/>
      <c r="BK1421" s="1"/>
      <c r="BL1421" s="1"/>
      <c r="BM1421" s="1"/>
      <c r="BN1421" s="1"/>
      <c r="BO1421" s="1"/>
      <c r="BP1421" s="1"/>
      <c r="BQ1421" s="1"/>
      <c r="BR1421" s="1"/>
      <c r="CD1421" s="1"/>
      <c r="CM1421" s="2"/>
      <c r="CP1421" s="1"/>
      <c r="CQ1421" s="1"/>
      <c r="CR1421" s="1"/>
      <c r="CS1421" s="1"/>
      <c r="CT1421" s="1"/>
      <c r="CU1421" s="1"/>
      <c r="CV1421" s="1"/>
      <c r="CW1421" s="1"/>
      <c r="CX1421" s="1"/>
      <c r="CY1421" s="1"/>
      <c r="CZ1421" s="1"/>
      <c r="DA1421" s="1"/>
      <c r="DB1421" s="1"/>
      <c r="DC1421" s="1"/>
      <c r="DD1421" s="1"/>
      <c r="DE1421" s="1"/>
      <c r="DF1421" s="1"/>
      <c r="DG1421" s="1"/>
      <c r="DH1421" s="1"/>
      <c r="DI1421" s="1"/>
      <c r="DJ1421" s="1"/>
      <c r="DK1421" s="1"/>
      <c r="ED1421" s="1"/>
      <c r="EK1421" s="1"/>
      <c r="EL1421" s="1"/>
      <c r="EM1421" s="1"/>
      <c r="EN1421" s="1"/>
      <c r="EQ1421" s="1"/>
      <c r="ER1421" s="1"/>
      <c r="ES1421" s="1"/>
      <c r="EV1421" s="1"/>
      <c r="EW1421" s="1"/>
      <c r="EZ1421" s="1"/>
      <c r="GO1421" s="1"/>
      <c r="GP1421" s="1"/>
      <c r="HH1421" s="1"/>
      <c r="HY1421" s="1"/>
      <c r="IC1421" s="1"/>
      <c r="ID1421" s="1"/>
      <c r="IE1421" s="1"/>
      <c r="IS1421" s="1"/>
      <c r="IZ1421" s="1"/>
      <c r="JH1421" s="1"/>
      <c r="JJ1421" s="1"/>
      <c r="JP1421" s="1"/>
      <c r="JQ1421" s="1"/>
      <c r="JT1421" s="1"/>
      <c r="KU1421" s="1"/>
      <c r="LZ1421" s="1"/>
      <c r="MA1421" s="1"/>
    </row>
    <row r="1422" spans="4:339" ht="13" x14ac:dyDescent="0.15">
      <c r="D1422" s="12"/>
      <c r="E1422" s="12"/>
      <c r="I1422" s="12"/>
      <c r="J1422" s="13"/>
      <c r="BF1422" s="1"/>
      <c r="BG1422" s="1"/>
      <c r="BH1422" s="1"/>
      <c r="BI1422" s="1"/>
      <c r="BK1422" s="1"/>
      <c r="BL1422" s="1"/>
      <c r="BM1422" s="1"/>
      <c r="BN1422" s="1"/>
      <c r="BO1422" s="1"/>
      <c r="BP1422" s="1"/>
      <c r="BQ1422" s="1"/>
      <c r="BR1422" s="1"/>
      <c r="BX1422" s="1"/>
      <c r="CD1422" s="1"/>
      <c r="CM1422" s="2"/>
      <c r="CP1422" s="1"/>
      <c r="CQ1422" s="1"/>
      <c r="CS1422" s="1"/>
      <c r="CT1422" s="1"/>
      <c r="CU1422" s="1"/>
      <c r="CV1422" s="1"/>
      <c r="CW1422" s="1"/>
      <c r="CX1422" s="1"/>
      <c r="CY1422" s="1"/>
      <c r="CZ1422" s="1"/>
      <c r="DA1422" s="1"/>
      <c r="DB1422" s="1"/>
      <c r="DC1422" s="1"/>
      <c r="DD1422" s="1"/>
      <c r="DE1422" s="1"/>
      <c r="DF1422" s="1"/>
      <c r="DG1422" s="1"/>
      <c r="DH1422" s="1"/>
      <c r="DI1422" s="1"/>
      <c r="DJ1422" s="1"/>
      <c r="DK1422" s="1"/>
      <c r="DM1422" s="1"/>
      <c r="DQ1422" s="1"/>
      <c r="DR1422" s="1"/>
      <c r="DY1422" s="1"/>
      <c r="DZ1422" s="1"/>
      <c r="ED1422" s="1"/>
      <c r="EK1422" s="1"/>
      <c r="EL1422" s="1"/>
      <c r="EM1422" s="1"/>
      <c r="EN1422" s="1"/>
      <c r="EQ1422" s="1"/>
      <c r="ER1422" s="1"/>
      <c r="ES1422" s="1"/>
      <c r="EV1422" s="1"/>
      <c r="EW1422" s="1"/>
      <c r="EZ1422" s="1"/>
      <c r="GO1422" s="1"/>
      <c r="GP1422" s="1"/>
      <c r="HH1422" s="1"/>
      <c r="HY1422" s="1"/>
      <c r="ID1422" s="1"/>
      <c r="IE1422" s="1"/>
      <c r="IS1422" s="1"/>
      <c r="IW1422" s="1"/>
      <c r="IZ1422" s="1"/>
      <c r="JA1422" s="1"/>
      <c r="JJ1422" s="1"/>
      <c r="JP1422" s="1"/>
      <c r="JQ1422" s="1"/>
      <c r="KU1422" s="1"/>
      <c r="KY1422" s="1"/>
      <c r="KZ1422" s="1"/>
      <c r="LA1422" s="1"/>
      <c r="LB1422" s="1"/>
      <c r="LC1422" s="1"/>
      <c r="LD1422" s="1"/>
      <c r="LO1422" s="1"/>
      <c r="LP1422" s="1"/>
      <c r="LZ1422" s="1"/>
      <c r="MA1422" s="1"/>
    </row>
    <row r="1423" spans="4:339" ht="13" x14ac:dyDescent="0.15">
      <c r="D1423" s="12"/>
      <c r="E1423" s="12"/>
      <c r="I1423" s="12"/>
      <c r="J1423" s="13"/>
      <c r="BF1423" s="1"/>
      <c r="BG1423" s="1"/>
      <c r="BH1423" s="1"/>
      <c r="BI1423" s="1"/>
      <c r="BK1423" s="1"/>
      <c r="BL1423" s="1"/>
      <c r="BM1423" s="1"/>
      <c r="BN1423" s="1"/>
      <c r="BO1423" s="1"/>
      <c r="BP1423" s="1"/>
      <c r="BQ1423" s="1"/>
      <c r="BR1423" s="1"/>
      <c r="CC1423" s="1"/>
      <c r="CD1423" s="1"/>
      <c r="CE1423" s="1"/>
      <c r="CF1423" s="1"/>
      <c r="CG1423" s="1"/>
      <c r="CK1423" s="1"/>
      <c r="CM1423" s="4"/>
      <c r="CP1423" s="1"/>
      <c r="CQ1423" s="1"/>
      <c r="CR1423" s="1"/>
      <c r="CS1423" s="1"/>
      <c r="CT1423" s="1"/>
      <c r="CU1423" s="1"/>
      <c r="CV1423" s="1"/>
      <c r="CW1423" s="1"/>
      <c r="CX1423" s="1"/>
      <c r="CY1423" s="1"/>
      <c r="CZ1423" s="1"/>
      <c r="DA1423" s="1"/>
      <c r="DB1423" s="1"/>
      <c r="DC1423" s="1"/>
      <c r="DD1423" s="1"/>
      <c r="DE1423" s="1"/>
      <c r="DF1423" s="1"/>
      <c r="DG1423" s="1"/>
      <c r="DH1423" s="1"/>
      <c r="DI1423" s="1"/>
      <c r="DJ1423" s="1"/>
      <c r="DK1423" s="1"/>
      <c r="DQ1423" s="1"/>
      <c r="DR1423" s="1"/>
      <c r="DY1423" s="1"/>
      <c r="DZ1423" s="1"/>
      <c r="ED1423" s="1"/>
      <c r="EK1423" s="1"/>
      <c r="EL1423" s="1"/>
      <c r="EM1423" s="1"/>
      <c r="EN1423" s="1"/>
      <c r="EQ1423" s="1"/>
      <c r="ER1423" s="1"/>
      <c r="ES1423" s="1"/>
      <c r="EV1423" s="1"/>
      <c r="EW1423" s="1"/>
      <c r="EZ1423" s="1"/>
      <c r="GO1423" s="1"/>
      <c r="GP1423" s="1"/>
      <c r="HH1423" s="1"/>
      <c r="HY1423" s="1"/>
      <c r="IC1423" s="1"/>
      <c r="ID1423" s="1"/>
      <c r="IE1423" s="1"/>
      <c r="IK1423" s="1"/>
      <c r="IR1423" s="1"/>
      <c r="IS1423" s="1"/>
      <c r="IT1423" s="1"/>
      <c r="IW1423" s="1"/>
      <c r="IZ1423" s="1"/>
      <c r="JF1423" s="1"/>
      <c r="JG1423" s="1"/>
      <c r="JH1423" s="1"/>
      <c r="JJ1423" s="1"/>
      <c r="JN1423" s="1"/>
      <c r="JP1423" s="1"/>
      <c r="JQ1423" s="1"/>
      <c r="KY1423" s="1"/>
      <c r="KZ1423" s="1"/>
      <c r="LA1423" s="1"/>
      <c r="LB1423" s="1"/>
      <c r="LC1423" s="1"/>
      <c r="LD1423" s="1"/>
      <c r="LO1423" s="1"/>
      <c r="LP1423" s="1"/>
      <c r="LZ1423" s="1"/>
      <c r="MA1423" s="1"/>
    </row>
    <row r="1424" spans="4:339" ht="13" x14ac:dyDescent="0.15">
      <c r="D1424" s="12"/>
      <c r="E1424" s="12"/>
      <c r="I1424" s="12"/>
      <c r="J1424" s="13"/>
      <c r="BF1424" s="1"/>
      <c r="BG1424" s="1"/>
      <c r="BH1424" s="1"/>
      <c r="BI1424" s="1"/>
      <c r="BK1424" s="1"/>
      <c r="BL1424" s="1"/>
      <c r="BM1424" s="1"/>
      <c r="BN1424" s="1"/>
      <c r="BO1424" s="1"/>
      <c r="BP1424" s="1"/>
      <c r="BQ1424" s="1"/>
      <c r="BR1424" s="1"/>
      <c r="CD1424" s="1"/>
      <c r="CE1424" s="1"/>
      <c r="CF1424" s="1"/>
      <c r="CG1424" s="1"/>
      <c r="CK1424" s="1"/>
      <c r="CM1424" s="2"/>
      <c r="CP1424" s="1"/>
      <c r="CQ1424" s="1"/>
      <c r="CR1424" s="1"/>
      <c r="CS1424" s="1"/>
      <c r="CT1424" s="1"/>
      <c r="CU1424" s="1"/>
      <c r="CV1424" s="1"/>
      <c r="CW1424" s="1"/>
      <c r="CX1424" s="1"/>
      <c r="CY1424" s="1"/>
      <c r="CZ1424" s="1"/>
      <c r="DA1424" s="1"/>
      <c r="DB1424" s="1"/>
      <c r="DC1424" s="1"/>
      <c r="DD1424" s="1"/>
      <c r="DE1424" s="1"/>
      <c r="DF1424" s="1"/>
      <c r="DG1424" s="1"/>
      <c r="DH1424" s="1"/>
      <c r="DI1424" s="1"/>
      <c r="DJ1424" s="1"/>
      <c r="DK1424" s="1"/>
      <c r="DQ1424" s="1"/>
      <c r="DR1424" s="1"/>
      <c r="DY1424" s="1"/>
      <c r="DZ1424" s="1"/>
      <c r="ED1424" s="1"/>
      <c r="EE1424" s="1"/>
      <c r="EF1424" s="1"/>
      <c r="EG1424" s="1"/>
      <c r="EH1424" s="1"/>
      <c r="EK1424" s="1"/>
      <c r="EL1424" s="1"/>
      <c r="EM1424" s="1"/>
      <c r="EN1424" s="1"/>
      <c r="EQ1424" s="1"/>
      <c r="ER1424" s="1"/>
      <c r="ES1424" s="1"/>
      <c r="EV1424" s="1"/>
      <c r="EW1424" s="1"/>
      <c r="EY1424" s="1"/>
      <c r="EZ1424" s="1"/>
      <c r="HY1424" s="1"/>
      <c r="ID1424" s="1"/>
      <c r="IE1424" s="1"/>
      <c r="IG1424" s="1"/>
      <c r="IJ1424" s="1"/>
      <c r="IR1424" s="1"/>
      <c r="IS1424" s="1"/>
      <c r="IW1424" s="1"/>
      <c r="IZ1424" s="1"/>
      <c r="JA1424" s="1"/>
      <c r="JJ1424" s="1"/>
      <c r="JK1424" s="1"/>
      <c r="JL1424" s="3"/>
      <c r="JM1424" s="1"/>
      <c r="JN1424" s="1"/>
      <c r="JP1424" s="1"/>
      <c r="JQ1424" s="1"/>
      <c r="JR1424" s="1"/>
      <c r="KY1424" s="1"/>
      <c r="KZ1424" s="1"/>
      <c r="LA1424" s="1"/>
      <c r="LB1424" s="1"/>
      <c r="LC1424" s="1"/>
      <c r="LD1424" s="1"/>
      <c r="LO1424" s="1"/>
      <c r="LP1424" s="1"/>
      <c r="LZ1424" s="1"/>
      <c r="MA1424" s="1"/>
    </row>
    <row r="1425" spans="4:339" ht="13" x14ac:dyDescent="0.15">
      <c r="D1425" s="12"/>
      <c r="E1425" s="12"/>
      <c r="I1425" s="12"/>
      <c r="J1425" s="13"/>
      <c r="BF1425" s="1"/>
      <c r="BG1425" s="1"/>
      <c r="BH1425" s="1"/>
      <c r="BI1425" s="1"/>
      <c r="BJ1425" s="1"/>
      <c r="BK1425" s="1"/>
      <c r="BL1425" s="1"/>
      <c r="BM1425" s="1"/>
      <c r="BN1425" s="1"/>
      <c r="BO1425" s="1"/>
      <c r="BP1425" s="1"/>
      <c r="BQ1425" s="1"/>
      <c r="BR1425" s="1"/>
      <c r="CD1425" s="1"/>
      <c r="CE1425" s="1"/>
      <c r="CF1425" s="1"/>
      <c r="CM1425" s="4"/>
      <c r="CP1425" s="1"/>
      <c r="CQ1425" s="1"/>
      <c r="CR1425" s="1"/>
      <c r="CT1425" s="1"/>
      <c r="CU1425" s="1"/>
      <c r="CV1425" s="1"/>
      <c r="CW1425" s="1"/>
      <c r="CX1425" s="1"/>
      <c r="CY1425" s="1"/>
      <c r="CZ1425" s="1"/>
      <c r="DA1425" s="1"/>
      <c r="DB1425" s="1"/>
      <c r="DC1425" s="1"/>
      <c r="DD1425" s="1"/>
      <c r="DE1425" s="1"/>
      <c r="DF1425" s="1"/>
      <c r="DG1425" s="1"/>
      <c r="DH1425" s="1"/>
      <c r="DI1425" s="1"/>
      <c r="DJ1425" s="1"/>
      <c r="DK1425" s="1"/>
      <c r="ED1425" s="1"/>
      <c r="EK1425" s="1"/>
      <c r="EL1425" s="1"/>
      <c r="EM1425" s="1"/>
      <c r="EN1425" s="1"/>
      <c r="EQ1425" s="1"/>
      <c r="ER1425" s="1"/>
      <c r="ES1425" s="1"/>
      <c r="EV1425" s="1"/>
      <c r="EW1425" s="1"/>
      <c r="EZ1425" s="1"/>
      <c r="GP1425" s="1"/>
      <c r="HY1425" s="1"/>
      <c r="IC1425" s="1"/>
      <c r="ID1425" s="1"/>
      <c r="IE1425" s="1"/>
      <c r="IS1425" s="1"/>
      <c r="IW1425" s="1"/>
      <c r="IY1425" s="1"/>
      <c r="IZ1425" s="1"/>
      <c r="JA1425" s="1"/>
      <c r="JC1425" s="1"/>
      <c r="JF1425" s="1"/>
      <c r="JG1425" s="1"/>
      <c r="JH1425" s="1"/>
      <c r="JJ1425" s="1"/>
      <c r="JN1425" s="1"/>
      <c r="JP1425" s="1"/>
      <c r="JQ1425" s="1"/>
      <c r="JT1425" s="1"/>
      <c r="KU1425" s="1"/>
      <c r="KV1425" s="1"/>
      <c r="KW1425" s="1"/>
      <c r="KY1425" s="1"/>
      <c r="KZ1425" s="1"/>
      <c r="LA1425" s="1"/>
      <c r="LB1425" s="1"/>
      <c r="LC1425" s="1"/>
      <c r="LD1425" s="1"/>
      <c r="LO1425" s="1"/>
      <c r="LP1425" s="1"/>
      <c r="LZ1425" s="1"/>
      <c r="MA1425" s="1"/>
    </row>
    <row r="1426" spans="4:339" ht="13" x14ac:dyDescent="0.15">
      <c r="D1426" s="12"/>
      <c r="E1426" s="12"/>
      <c r="I1426" s="12"/>
      <c r="J1426" s="13"/>
      <c r="BF1426" s="1"/>
      <c r="BG1426" s="1"/>
      <c r="BH1426" s="1"/>
      <c r="BI1426" s="1"/>
      <c r="BJ1426" s="1"/>
      <c r="BK1426" s="1"/>
      <c r="BL1426" s="1"/>
      <c r="BM1426" s="1"/>
      <c r="BN1426" s="1"/>
      <c r="BO1426" s="1"/>
      <c r="BP1426" s="1"/>
      <c r="BQ1426" s="1"/>
      <c r="BR1426" s="1"/>
      <c r="CD1426" s="1"/>
      <c r="CE1426" s="1"/>
      <c r="CF1426" s="1"/>
      <c r="CG1426" s="1"/>
      <c r="CM1426" s="2"/>
      <c r="CP1426" s="1"/>
      <c r="CQ1426" s="1"/>
      <c r="CR1426" s="1"/>
      <c r="CS1426" s="1"/>
      <c r="CT1426" s="1"/>
      <c r="CU1426" s="1"/>
      <c r="CV1426" s="1"/>
      <c r="CW1426" s="1"/>
      <c r="CX1426" s="1"/>
      <c r="CY1426" s="1"/>
      <c r="CZ1426" s="1"/>
      <c r="DA1426" s="1"/>
      <c r="DB1426" s="1"/>
      <c r="DC1426" s="1"/>
      <c r="DD1426" s="1"/>
      <c r="DE1426" s="1"/>
      <c r="DF1426" s="1"/>
      <c r="DG1426" s="1"/>
      <c r="DH1426" s="1"/>
      <c r="DI1426" s="1"/>
      <c r="DJ1426" s="1"/>
      <c r="DK1426" s="1"/>
      <c r="DQ1426" s="1"/>
      <c r="DR1426" s="1"/>
      <c r="DY1426" s="1"/>
      <c r="DZ1426" s="1"/>
      <c r="ED1426" s="1"/>
      <c r="EF1426" s="1"/>
      <c r="EK1426" s="1"/>
      <c r="EL1426" s="1"/>
      <c r="EM1426" s="1"/>
      <c r="EN1426" s="1"/>
      <c r="EQ1426" s="1"/>
      <c r="ER1426" s="1"/>
      <c r="ES1426" s="1"/>
      <c r="EV1426" s="1"/>
      <c r="EW1426" s="1"/>
      <c r="EZ1426" s="1"/>
      <c r="FE1426" s="1"/>
      <c r="FF1426" s="1"/>
      <c r="FJ1426" s="1"/>
      <c r="FS1426" s="1"/>
      <c r="FW1426" s="1"/>
      <c r="FX1426" s="1"/>
      <c r="GO1426" s="1"/>
      <c r="GP1426" s="1"/>
      <c r="HY1426" s="1"/>
      <c r="ID1426" s="1"/>
      <c r="IE1426" s="1"/>
      <c r="IG1426" s="1"/>
      <c r="IH1426" s="1"/>
      <c r="IJ1426" s="1"/>
      <c r="IR1426" s="1"/>
      <c r="IS1426" s="1"/>
      <c r="IW1426" s="1"/>
      <c r="IX1426" s="1"/>
      <c r="IZ1426" s="1"/>
      <c r="JB1426" s="1"/>
      <c r="JF1426" s="1"/>
      <c r="JG1426" s="1"/>
      <c r="JH1426" s="1"/>
      <c r="JJ1426" s="1"/>
      <c r="JK1426" s="1"/>
      <c r="JL1426" s="3"/>
      <c r="JM1426" s="1"/>
      <c r="JP1426" s="1"/>
      <c r="JQ1426" s="1"/>
      <c r="JR1426" s="1"/>
      <c r="KU1426" s="1"/>
      <c r="KV1426" s="1"/>
      <c r="KY1426" s="1"/>
      <c r="KZ1426" s="1"/>
      <c r="LA1426" s="1"/>
      <c r="LB1426" s="1"/>
      <c r="LC1426" s="1"/>
      <c r="LD1426" s="1"/>
      <c r="LO1426" s="1"/>
      <c r="LP1426" s="1"/>
      <c r="LZ1426" s="1"/>
      <c r="MA1426" s="1"/>
    </row>
    <row r="1427" spans="4:339" ht="13" x14ac:dyDescent="0.15">
      <c r="D1427" s="12"/>
      <c r="E1427" s="12"/>
      <c r="I1427" s="12"/>
      <c r="J1427" s="13"/>
      <c r="BF1427" s="1"/>
      <c r="BG1427" s="1"/>
      <c r="BH1427" s="1"/>
      <c r="BI1427" s="1"/>
      <c r="BJ1427" s="1"/>
      <c r="BK1427" s="1"/>
      <c r="BL1427" s="1"/>
      <c r="BM1427" s="1"/>
      <c r="BN1427" s="1"/>
      <c r="BO1427" s="1"/>
      <c r="BP1427" s="1"/>
      <c r="BQ1427" s="1"/>
      <c r="BR1427" s="1"/>
      <c r="CD1427" s="1"/>
      <c r="CE1427" s="1"/>
      <c r="CF1427" s="1"/>
      <c r="CG1427" s="1"/>
      <c r="CM1427" s="2"/>
      <c r="CP1427" s="1"/>
      <c r="CQ1427" s="1"/>
      <c r="CR1427" s="1"/>
      <c r="CS1427" s="1"/>
      <c r="CT1427" s="1"/>
      <c r="CU1427" s="1"/>
      <c r="CV1427" s="1"/>
      <c r="CW1427" s="1"/>
      <c r="CX1427" s="1"/>
      <c r="CY1427" s="1"/>
      <c r="CZ1427" s="1"/>
      <c r="DA1427" s="1"/>
      <c r="DB1427" s="1"/>
      <c r="DC1427" s="1"/>
      <c r="DD1427" s="1"/>
      <c r="DE1427" s="1"/>
      <c r="DF1427" s="1"/>
      <c r="DG1427" s="1"/>
      <c r="DH1427" s="1"/>
      <c r="DI1427" s="1"/>
      <c r="DJ1427" s="1"/>
      <c r="DK1427" s="1"/>
      <c r="DQ1427" s="1"/>
      <c r="DR1427" s="1"/>
      <c r="DY1427" s="1"/>
      <c r="DZ1427" s="1"/>
      <c r="ED1427" s="1"/>
      <c r="EF1427" s="1"/>
      <c r="EK1427" s="1"/>
      <c r="EL1427" s="1"/>
      <c r="EM1427" s="1"/>
      <c r="EN1427" s="1"/>
      <c r="EQ1427" s="1"/>
      <c r="ER1427" s="1"/>
      <c r="ES1427" s="1"/>
      <c r="EV1427" s="1"/>
      <c r="EW1427" s="1"/>
      <c r="EZ1427" s="1"/>
      <c r="FE1427" s="1"/>
      <c r="FF1427" s="1"/>
      <c r="FJ1427" s="1"/>
      <c r="FS1427" s="1"/>
      <c r="FW1427" s="1"/>
      <c r="FX1427" s="1"/>
      <c r="GO1427" s="1"/>
      <c r="GP1427" s="1"/>
      <c r="HY1427" s="1"/>
      <c r="ID1427" s="1"/>
      <c r="IE1427" s="1"/>
      <c r="IG1427" s="1"/>
      <c r="IH1427" s="1"/>
      <c r="IJ1427" s="1"/>
      <c r="IR1427" s="1"/>
      <c r="IS1427" s="1"/>
      <c r="IW1427" s="1"/>
      <c r="IX1427" s="1"/>
      <c r="IZ1427" s="1"/>
      <c r="JB1427" s="1"/>
      <c r="JF1427" s="1"/>
      <c r="JG1427" s="1"/>
      <c r="JH1427" s="1"/>
      <c r="JJ1427" s="1"/>
      <c r="JK1427" s="1"/>
      <c r="JL1427" s="3"/>
      <c r="JM1427" s="1"/>
      <c r="JP1427" s="1"/>
      <c r="JQ1427" s="1"/>
      <c r="JR1427" s="1"/>
      <c r="KU1427" s="1"/>
      <c r="KV1427" s="1"/>
      <c r="KY1427" s="1"/>
      <c r="KZ1427" s="1"/>
      <c r="LA1427" s="1"/>
      <c r="LB1427" s="1"/>
      <c r="LC1427" s="1"/>
      <c r="LD1427" s="1"/>
      <c r="LO1427" s="1"/>
      <c r="LP1427" s="1"/>
      <c r="LZ1427" s="1"/>
      <c r="MA1427" s="1"/>
    </row>
    <row r="1428" spans="4:339" ht="13" x14ac:dyDescent="0.15">
      <c r="D1428" s="12"/>
      <c r="E1428" s="12"/>
      <c r="I1428" s="12"/>
      <c r="J1428" s="13"/>
      <c r="BF1428" s="1"/>
      <c r="BG1428" s="1"/>
      <c r="BH1428" s="1"/>
      <c r="BI1428" s="1"/>
      <c r="BJ1428" s="1"/>
      <c r="BK1428" s="1"/>
      <c r="BL1428" s="1"/>
      <c r="BM1428" s="1"/>
      <c r="BN1428" s="1"/>
      <c r="BO1428" s="1"/>
      <c r="BP1428" s="1"/>
      <c r="BQ1428" s="1"/>
      <c r="BR1428" s="1"/>
      <c r="CD1428" s="1"/>
      <c r="CE1428" s="1"/>
      <c r="CF1428" s="1"/>
      <c r="CG1428" s="1"/>
      <c r="CM1428" s="2"/>
      <c r="CP1428" s="1"/>
      <c r="CQ1428" s="1"/>
      <c r="CR1428" s="1"/>
      <c r="CS1428" s="1"/>
      <c r="CT1428" s="1"/>
      <c r="CU1428" s="1"/>
      <c r="CV1428" s="1"/>
      <c r="CW1428" s="1"/>
      <c r="CX1428" s="1"/>
      <c r="CY1428" s="1"/>
      <c r="CZ1428" s="1"/>
      <c r="DA1428" s="1"/>
      <c r="DB1428" s="1"/>
      <c r="DC1428" s="1"/>
      <c r="DD1428" s="1"/>
      <c r="DE1428" s="1"/>
      <c r="DF1428" s="1"/>
      <c r="DG1428" s="1"/>
      <c r="DH1428" s="1"/>
      <c r="DI1428" s="1"/>
      <c r="DJ1428" s="1"/>
      <c r="DK1428" s="1"/>
      <c r="DQ1428" s="1"/>
      <c r="DR1428" s="1"/>
      <c r="DY1428" s="1"/>
      <c r="DZ1428" s="1"/>
      <c r="ED1428" s="1"/>
      <c r="EF1428" s="1"/>
      <c r="EK1428" s="1"/>
      <c r="EL1428" s="1"/>
      <c r="EM1428" s="1"/>
      <c r="EN1428" s="1"/>
      <c r="EQ1428" s="1"/>
      <c r="ER1428" s="1"/>
      <c r="ES1428" s="1"/>
      <c r="EV1428" s="1"/>
      <c r="EW1428" s="1"/>
      <c r="EZ1428" s="1"/>
      <c r="FE1428" s="1"/>
      <c r="FF1428" s="1"/>
      <c r="FJ1428" s="1"/>
      <c r="FS1428" s="1"/>
      <c r="FW1428" s="1"/>
      <c r="FX1428" s="1"/>
      <c r="GO1428" s="1"/>
      <c r="GP1428" s="1"/>
      <c r="HY1428" s="1"/>
      <c r="ID1428" s="1"/>
      <c r="IE1428" s="1"/>
      <c r="IG1428" s="1"/>
      <c r="IH1428" s="1"/>
      <c r="IJ1428" s="1"/>
      <c r="IR1428" s="1"/>
      <c r="IS1428" s="1"/>
      <c r="IW1428" s="1"/>
      <c r="IX1428" s="1"/>
      <c r="IZ1428" s="1"/>
      <c r="JB1428" s="1"/>
      <c r="JF1428" s="1"/>
      <c r="JG1428" s="1"/>
      <c r="JH1428" s="1"/>
      <c r="JJ1428" s="1"/>
      <c r="JK1428" s="1"/>
      <c r="JL1428" s="3"/>
      <c r="JM1428" s="1"/>
      <c r="JP1428" s="1"/>
      <c r="JQ1428" s="1"/>
      <c r="JR1428" s="1"/>
      <c r="KU1428" s="1"/>
      <c r="KV1428" s="1"/>
      <c r="KY1428" s="1"/>
      <c r="KZ1428" s="1"/>
      <c r="LA1428" s="1"/>
      <c r="LB1428" s="1"/>
      <c r="LC1428" s="1"/>
      <c r="LD1428" s="1"/>
      <c r="LO1428" s="1"/>
      <c r="LP1428" s="1"/>
      <c r="LZ1428" s="1"/>
      <c r="MA1428" s="1"/>
    </row>
    <row r="1429" spans="4:339" ht="13" x14ac:dyDescent="0.15">
      <c r="D1429" s="12"/>
      <c r="E1429" s="12"/>
      <c r="I1429" s="12"/>
      <c r="J1429" s="13"/>
      <c r="BF1429" s="1"/>
      <c r="BG1429" s="1"/>
      <c r="BH1429" s="1"/>
      <c r="BI1429" s="1"/>
      <c r="BJ1429" s="1"/>
      <c r="BK1429" s="1"/>
      <c r="BL1429" s="1"/>
      <c r="BM1429" s="1"/>
      <c r="BN1429" s="1"/>
      <c r="BO1429" s="1"/>
      <c r="BP1429" s="1"/>
      <c r="BQ1429" s="1"/>
      <c r="BR1429" s="1"/>
      <c r="CD1429" s="1"/>
      <c r="CE1429" s="1"/>
      <c r="CF1429" s="1"/>
      <c r="CG1429" s="1"/>
      <c r="CM1429" s="4"/>
      <c r="CP1429" s="1"/>
      <c r="CQ1429" s="1"/>
      <c r="CX1429" s="1"/>
      <c r="CY1429" s="1"/>
      <c r="CZ1429" s="1"/>
      <c r="DA1429" s="1"/>
      <c r="DB1429" s="1"/>
      <c r="DC1429" s="1"/>
      <c r="DD1429" s="1"/>
      <c r="DE1429" s="1"/>
      <c r="DF1429" s="1"/>
      <c r="DG1429" s="1"/>
      <c r="DH1429" s="1"/>
      <c r="DI1429" s="1"/>
      <c r="DJ1429" s="1"/>
      <c r="DK1429" s="1"/>
      <c r="ED1429" s="1"/>
      <c r="EK1429" s="1"/>
      <c r="EL1429" s="1"/>
      <c r="EM1429" s="1"/>
      <c r="EN1429" s="1"/>
      <c r="EQ1429" s="1"/>
      <c r="ER1429" s="1"/>
      <c r="ES1429" s="1"/>
      <c r="EV1429" s="1"/>
      <c r="EW1429" s="1"/>
      <c r="EZ1429" s="1"/>
      <c r="FE1429" s="1"/>
      <c r="FF1429" s="1"/>
      <c r="FJ1429" s="1"/>
      <c r="FS1429" s="1"/>
      <c r="FW1429" s="1"/>
      <c r="FX1429" s="1"/>
      <c r="GP1429" s="1"/>
      <c r="HY1429" s="1"/>
      <c r="ID1429" s="1"/>
      <c r="IE1429" s="1"/>
      <c r="IS1429" s="1"/>
      <c r="IW1429" s="1"/>
      <c r="IZ1429" s="1"/>
      <c r="JA1429" s="1"/>
      <c r="JG1429" s="1"/>
      <c r="JH1429" s="1"/>
      <c r="JJ1429" s="1"/>
      <c r="JN1429" s="1"/>
      <c r="JP1429" s="1"/>
      <c r="JQ1429" s="1"/>
      <c r="KU1429" s="1"/>
      <c r="KY1429" s="1"/>
      <c r="KZ1429" s="1"/>
      <c r="LA1429" s="1"/>
      <c r="LB1429" s="1"/>
      <c r="LC1429" s="1"/>
      <c r="LD1429" s="1"/>
      <c r="LO1429" s="1"/>
      <c r="LP1429" s="1"/>
      <c r="LZ1429" s="1"/>
      <c r="MA1429" s="1"/>
    </row>
    <row r="1430" spans="4:339" ht="13" x14ac:dyDescent="0.15">
      <c r="D1430" s="12"/>
      <c r="E1430" s="12"/>
      <c r="I1430" s="12"/>
      <c r="J1430" s="13"/>
      <c r="BF1430" s="1"/>
      <c r="BG1430" s="1"/>
      <c r="BH1430" s="1"/>
      <c r="BI1430" s="1"/>
      <c r="BJ1430" s="1"/>
      <c r="BK1430" s="1"/>
      <c r="BL1430" s="1"/>
      <c r="BM1430" s="1"/>
      <c r="BN1430" s="1"/>
      <c r="BO1430" s="1"/>
      <c r="BP1430" s="1"/>
      <c r="BQ1430" s="1"/>
      <c r="BR1430" s="1"/>
      <c r="CD1430" s="1"/>
      <c r="CE1430" s="1"/>
      <c r="CF1430" s="1"/>
      <c r="CG1430" s="1"/>
      <c r="CM1430" s="4"/>
      <c r="CP1430" s="1"/>
      <c r="CQ1430" s="1"/>
      <c r="CX1430" s="1"/>
      <c r="CY1430" s="1"/>
      <c r="CZ1430" s="1"/>
      <c r="DA1430" s="1"/>
      <c r="DB1430" s="1"/>
      <c r="DC1430" s="1"/>
      <c r="DD1430" s="1"/>
      <c r="DE1430" s="1"/>
      <c r="DF1430" s="1"/>
      <c r="DG1430" s="1"/>
      <c r="DH1430" s="1"/>
      <c r="DI1430" s="1"/>
      <c r="DJ1430" s="1"/>
      <c r="DK1430" s="1"/>
      <c r="ED1430" s="1"/>
      <c r="EK1430" s="1"/>
      <c r="EL1430" s="1"/>
      <c r="EM1430" s="1"/>
      <c r="EN1430" s="1"/>
      <c r="EQ1430" s="1"/>
      <c r="ER1430" s="1"/>
      <c r="ES1430" s="1"/>
      <c r="EV1430" s="1"/>
      <c r="EW1430" s="1"/>
      <c r="EZ1430" s="1"/>
      <c r="FE1430" s="1"/>
      <c r="FF1430" s="1"/>
      <c r="FJ1430" s="1"/>
      <c r="FS1430" s="1"/>
      <c r="FW1430" s="1"/>
      <c r="FX1430" s="1"/>
      <c r="GP1430" s="1"/>
      <c r="HY1430" s="1"/>
      <c r="ID1430" s="1"/>
      <c r="IE1430" s="1"/>
      <c r="IS1430" s="1"/>
      <c r="IW1430" s="1"/>
      <c r="IZ1430" s="1"/>
      <c r="JA1430" s="1"/>
      <c r="JG1430" s="1"/>
      <c r="JH1430" s="1"/>
      <c r="JJ1430" s="1"/>
      <c r="JN1430" s="1"/>
      <c r="JP1430" s="1"/>
      <c r="JQ1430" s="1"/>
      <c r="KU1430" s="1"/>
      <c r="KY1430" s="1"/>
      <c r="KZ1430" s="1"/>
      <c r="LA1430" s="1"/>
      <c r="LB1430" s="1"/>
      <c r="LC1430" s="1"/>
      <c r="LD1430" s="1"/>
      <c r="LO1430" s="1"/>
      <c r="LP1430" s="1"/>
      <c r="LZ1430" s="1"/>
      <c r="MA1430" s="1"/>
    </row>
    <row r="1431" spans="4:339" ht="13" x14ac:dyDescent="0.15">
      <c r="D1431" s="12"/>
      <c r="E1431" s="12"/>
      <c r="I1431" s="12"/>
      <c r="J1431" s="13"/>
      <c r="BF1431" s="1"/>
      <c r="BG1431" s="1"/>
      <c r="BH1431" s="1"/>
      <c r="BI1431" s="1"/>
      <c r="BJ1431" s="1"/>
      <c r="BK1431" s="1"/>
      <c r="BL1431" s="1"/>
      <c r="BM1431" s="1"/>
      <c r="BN1431" s="1"/>
      <c r="BO1431" s="1"/>
      <c r="BP1431" s="1"/>
      <c r="BQ1431" s="1"/>
      <c r="BR1431" s="1"/>
      <c r="CD1431" s="1"/>
      <c r="CE1431" s="1"/>
      <c r="CF1431" s="1"/>
      <c r="CG1431" s="1"/>
      <c r="CM1431" s="4"/>
      <c r="CP1431" s="1"/>
      <c r="CQ1431" s="1"/>
      <c r="CX1431" s="1"/>
      <c r="CY1431" s="1"/>
      <c r="CZ1431" s="1"/>
      <c r="DA1431" s="1"/>
      <c r="DB1431" s="1"/>
      <c r="DC1431" s="1"/>
      <c r="DD1431" s="1"/>
      <c r="DE1431" s="1"/>
      <c r="DF1431" s="1"/>
      <c r="DG1431" s="1"/>
      <c r="DH1431" s="1"/>
      <c r="DI1431" s="1"/>
      <c r="DJ1431" s="1"/>
      <c r="DK1431" s="1"/>
      <c r="ED1431" s="1"/>
      <c r="EK1431" s="1"/>
      <c r="EL1431" s="1"/>
      <c r="EM1431" s="1"/>
      <c r="EN1431" s="1"/>
      <c r="EQ1431" s="1"/>
      <c r="ER1431" s="1"/>
      <c r="ES1431" s="1"/>
      <c r="EV1431" s="1"/>
      <c r="EW1431" s="1"/>
      <c r="EZ1431" s="1"/>
      <c r="FE1431" s="1"/>
      <c r="FF1431" s="1"/>
      <c r="FJ1431" s="1"/>
      <c r="FS1431" s="1"/>
      <c r="FW1431" s="1"/>
      <c r="FX1431" s="1"/>
      <c r="GP1431" s="1"/>
      <c r="HY1431" s="1"/>
      <c r="ID1431" s="1"/>
      <c r="IE1431" s="1"/>
      <c r="IS1431" s="1"/>
      <c r="IW1431" s="1"/>
      <c r="IZ1431" s="1"/>
      <c r="JA1431" s="1"/>
      <c r="JG1431" s="1"/>
      <c r="JH1431" s="1"/>
      <c r="JJ1431" s="1"/>
      <c r="JN1431" s="1"/>
      <c r="JP1431" s="1"/>
      <c r="JQ1431" s="1"/>
      <c r="KU1431" s="1"/>
      <c r="KY1431" s="1"/>
      <c r="KZ1431" s="1"/>
      <c r="LA1431" s="1"/>
      <c r="LB1431" s="1"/>
      <c r="LC1431" s="1"/>
      <c r="LD1431" s="1"/>
      <c r="LO1431" s="1"/>
      <c r="LP1431" s="1"/>
      <c r="LZ1431" s="1"/>
      <c r="MA1431" s="1"/>
    </row>
    <row r="1432" spans="4:339" ht="13" x14ac:dyDescent="0.15">
      <c r="D1432" s="12"/>
      <c r="E1432" s="12"/>
      <c r="I1432" s="12"/>
      <c r="J1432" s="13"/>
      <c r="BF1432" s="1"/>
      <c r="BG1432" s="1"/>
      <c r="BH1432" s="1"/>
      <c r="BI1432" s="1"/>
      <c r="BJ1432" s="1"/>
      <c r="BK1432" s="1"/>
      <c r="BL1432" s="1"/>
      <c r="BM1432" s="1"/>
      <c r="BN1432" s="1"/>
      <c r="BO1432" s="1"/>
      <c r="BP1432" s="1"/>
      <c r="BQ1432" s="1"/>
      <c r="BR1432" s="1"/>
      <c r="CD1432" s="1"/>
      <c r="CE1432" s="1"/>
      <c r="CF1432" s="1"/>
      <c r="CG1432" s="1"/>
      <c r="CM1432" s="4"/>
      <c r="CP1432" s="1"/>
      <c r="CQ1432" s="1"/>
      <c r="CX1432" s="1"/>
      <c r="CY1432" s="1"/>
      <c r="CZ1432" s="1"/>
      <c r="DA1432" s="1"/>
      <c r="DB1432" s="1"/>
      <c r="DC1432" s="1"/>
      <c r="DD1432" s="1"/>
      <c r="DE1432" s="1"/>
      <c r="DF1432" s="1"/>
      <c r="DG1432" s="1"/>
      <c r="DH1432" s="1"/>
      <c r="DI1432" s="1"/>
      <c r="DJ1432" s="1"/>
      <c r="DK1432" s="1"/>
      <c r="ED1432" s="1"/>
      <c r="EK1432" s="1"/>
      <c r="EL1432" s="1"/>
      <c r="EM1432" s="1"/>
      <c r="EN1432" s="1"/>
      <c r="EQ1432" s="1"/>
      <c r="ER1432" s="1"/>
      <c r="ES1432" s="1"/>
      <c r="EV1432" s="1"/>
      <c r="EW1432" s="1"/>
      <c r="EZ1432" s="1"/>
      <c r="FE1432" s="1"/>
      <c r="FF1432" s="1"/>
      <c r="FJ1432" s="1"/>
      <c r="FS1432" s="1"/>
      <c r="FW1432" s="1"/>
      <c r="FX1432" s="1"/>
      <c r="GP1432" s="1"/>
      <c r="HY1432" s="1"/>
      <c r="ID1432" s="1"/>
      <c r="IE1432" s="1"/>
      <c r="IS1432" s="1"/>
      <c r="IW1432" s="1"/>
      <c r="IZ1432" s="1"/>
      <c r="JA1432" s="1"/>
      <c r="JG1432" s="1"/>
      <c r="JH1432" s="1"/>
      <c r="JJ1432" s="1"/>
      <c r="JN1432" s="1"/>
      <c r="JP1432" s="1"/>
      <c r="JQ1432" s="1"/>
      <c r="KU1432" s="1"/>
      <c r="KY1432" s="1"/>
      <c r="KZ1432" s="1"/>
      <c r="LA1432" s="1"/>
      <c r="LB1432" s="1"/>
      <c r="LC1432" s="1"/>
      <c r="LD1432" s="1"/>
      <c r="LO1432" s="1"/>
      <c r="LP1432" s="1"/>
      <c r="LZ1432" s="1"/>
      <c r="MA1432" s="1"/>
    </row>
    <row r="1433" spans="4:339" ht="13" x14ac:dyDescent="0.15">
      <c r="D1433" s="12"/>
      <c r="E1433" s="12"/>
      <c r="I1433" s="12"/>
      <c r="J1433" s="13"/>
      <c r="BF1433" s="1"/>
      <c r="BG1433" s="1"/>
      <c r="BH1433" s="1"/>
      <c r="BI1433" s="1"/>
      <c r="BJ1433" s="1"/>
      <c r="BK1433" s="1"/>
      <c r="BL1433" s="1"/>
      <c r="BM1433" s="1"/>
      <c r="BN1433" s="1"/>
      <c r="BO1433" s="1"/>
      <c r="BP1433" s="1"/>
      <c r="BQ1433" s="1"/>
      <c r="BR1433" s="1"/>
      <c r="CD1433" s="1"/>
      <c r="CE1433" s="1"/>
      <c r="CF1433" s="1"/>
      <c r="CG1433" s="1"/>
      <c r="CM1433" s="4"/>
      <c r="CP1433" s="1"/>
      <c r="CQ1433" s="1"/>
      <c r="CX1433" s="1"/>
      <c r="CY1433" s="1"/>
      <c r="CZ1433" s="1"/>
      <c r="DA1433" s="1"/>
      <c r="DB1433" s="1"/>
      <c r="DC1433" s="1"/>
      <c r="DD1433" s="1"/>
      <c r="DE1433" s="1"/>
      <c r="DF1433" s="1"/>
      <c r="DG1433" s="1"/>
      <c r="DH1433" s="1"/>
      <c r="DI1433" s="1"/>
      <c r="DJ1433" s="1"/>
      <c r="DK1433" s="1"/>
      <c r="ED1433" s="1"/>
      <c r="EK1433" s="1"/>
      <c r="EL1433" s="1"/>
      <c r="EM1433" s="1"/>
      <c r="EN1433" s="1"/>
      <c r="EQ1433" s="1"/>
      <c r="ER1433" s="1"/>
      <c r="ES1433" s="1"/>
      <c r="EV1433" s="1"/>
      <c r="EW1433" s="1"/>
      <c r="EZ1433" s="1"/>
      <c r="FE1433" s="1"/>
      <c r="FF1433" s="1"/>
      <c r="FJ1433" s="1"/>
      <c r="FS1433" s="1"/>
      <c r="FW1433" s="1"/>
      <c r="FX1433" s="1"/>
      <c r="GP1433" s="1"/>
      <c r="HY1433" s="1"/>
      <c r="ID1433" s="1"/>
      <c r="IE1433" s="1"/>
      <c r="IS1433" s="1"/>
      <c r="IW1433" s="1"/>
      <c r="IZ1433" s="1"/>
      <c r="JA1433" s="1"/>
      <c r="JG1433" s="1"/>
      <c r="JH1433" s="1"/>
      <c r="JJ1433" s="1"/>
      <c r="JN1433" s="1"/>
      <c r="JP1433" s="1"/>
      <c r="JQ1433" s="1"/>
      <c r="KU1433" s="1"/>
      <c r="KY1433" s="1"/>
      <c r="KZ1433" s="1"/>
      <c r="LA1433" s="1"/>
      <c r="LB1433" s="1"/>
      <c r="LC1433" s="1"/>
      <c r="LD1433" s="1"/>
      <c r="LO1433" s="1"/>
      <c r="LP1433" s="1"/>
      <c r="LZ1433" s="1"/>
      <c r="MA1433" s="1"/>
    </row>
    <row r="1434" spans="4:339" ht="13" x14ac:dyDescent="0.15">
      <c r="D1434" s="12"/>
      <c r="E1434" s="12"/>
      <c r="I1434" s="12"/>
      <c r="J1434" s="13"/>
      <c r="BF1434" s="1"/>
      <c r="BG1434" s="1"/>
      <c r="BH1434" s="1"/>
      <c r="BI1434" s="1"/>
      <c r="BJ1434" s="1"/>
      <c r="BK1434" s="1"/>
      <c r="BL1434" s="1"/>
      <c r="BM1434" s="1"/>
      <c r="BN1434" s="1"/>
      <c r="BO1434" s="1"/>
      <c r="BP1434" s="1"/>
      <c r="BQ1434" s="1"/>
      <c r="BR1434" s="1"/>
      <c r="CD1434" s="1"/>
      <c r="CE1434" s="1"/>
      <c r="CF1434" s="1"/>
      <c r="CG1434" s="1"/>
      <c r="CM1434" s="4"/>
      <c r="CP1434" s="1"/>
      <c r="CQ1434" s="1"/>
      <c r="CX1434" s="1"/>
      <c r="CY1434" s="1"/>
      <c r="CZ1434" s="1"/>
      <c r="DA1434" s="1"/>
      <c r="DB1434" s="1"/>
      <c r="DC1434" s="1"/>
      <c r="DD1434" s="1"/>
      <c r="DE1434" s="1"/>
      <c r="DF1434" s="1"/>
      <c r="DG1434" s="1"/>
      <c r="DH1434" s="1"/>
      <c r="DI1434" s="1"/>
      <c r="DJ1434" s="1"/>
      <c r="DK1434" s="1"/>
      <c r="ED1434" s="1"/>
      <c r="EK1434" s="1"/>
      <c r="EL1434" s="1"/>
      <c r="EM1434" s="1"/>
      <c r="EN1434" s="1"/>
      <c r="EQ1434" s="1"/>
      <c r="ER1434" s="1"/>
      <c r="ES1434" s="1"/>
      <c r="EV1434" s="1"/>
      <c r="EW1434" s="1"/>
      <c r="EZ1434" s="1"/>
      <c r="FE1434" s="1"/>
      <c r="FF1434" s="1"/>
      <c r="FJ1434" s="1"/>
      <c r="FS1434" s="1"/>
      <c r="FW1434" s="1"/>
      <c r="FX1434" s="1"/>
      <c r="GP1434" s="1"/>
      <c r="HY1434" s="1"/>
      <c r="ID1434" s="1"/>
      <c r="IE1434" s="1"/>
      <c r="IS1434" s="1"/>
      <c r="IW1434" s="1"/>
      <c r="IZ1434" s="1"/>
      <c r="JA1434" s="1"/>
      <c r="JG1434" s="1"/>
      <c r="JH1434" s="1"/>
      <c r="JJ1434" s="1"/>
      <c r="JN1434" s="1"/>
      <c r="JP1434" s="1"/>
      <c r="JQ1434" s="1"/>
      <c r="KU1434" s="1"/>
      <c r="KY1434" s="1"/>
      <c r="KZ1434" s="1"/>
      <c r="LA1434" s="1"/>
      <c r="LB1434" s="1"/>
      <c r="LC1434" s="1"/>
      <c r="LD1434" s="1"/>
      <c r="LO1434" s="1"/>
      <c r="LP1434" s="1"/>
      <c r="LZ1434" s="1"/>
      <c r="MA1434" s="1"/>
    </row>
    <row r="1435" spans="4:339" ht="13" x14ac:dyDescent="0.15">
      <c r="D1435" s="12"/>
      <c r="E1435" s="12"/>
      <c r="I1435" s="12"/>
      <c r="J1435" s="13"/>
      <c r="BF1435" s="1"/>
      <c r="BG1435" s="1"/>
      <c r="BH1435" s="1"/>
      <c r="BI1435" s="1"/>
      <c r="BJ1435" s="1"/>
      <c r="BK1435" s="1"/>
      <c r="BL1435" s="1"/>
      <c r="BM1435" s="1"/>
      <c r="BN1435" s="1"/>
      <c r="BO1435" s="1"/>
      <c r="BP1435" s="1"/>
      <c r="BQ1435" s="1"/>
      <c r="BR1435" s="1"/>
      <c r="CD1435" s="1"/>
      <c r="CE1435" s="1"/>
      <c r="CF1435" s="1"/>
      <c r="CG1435" s="1"/>
      <c r="CM1435" s="2"/>
      <c r="CP1435" s="1"/>
      <c r="CQ1435" s="1"/>
      <c r="CS1435" s="1"/>
      <c r="CT1435" s="1"/>
      <c r="CU1435" s="1"/>
      <c r="CV1435" s="1"/>
      <c r="CW1435" s="1"/>
      <c r="CX1435" s="1"/>
      <c r="CY1435" s="1"/>
      <c r="CZ1435" s="1"/>
      <c r="DA1435" s="1"/>
      <c r="DB1435" s="1"/>
      <c r="DC1435" s="1"/>
      <c r="DD1435" s="1"/>
      <c r="DE1435" s="1"/>
      <c r="DF1435" s="1"/>
      <c r="DG1435" s="1"/>
      <c r="DH1435" s="1"/>
      <c r="DI1435" s="1"/>
      <c r="DJ1435" s="1"/>
      <c r="DK1435" s="1"/>
      <c r="DQ1435" s="1"/>
      <c r="DR1435" s="1"/>
      <c r="DY1435" s="1"/>
      <c r="DZ1435" s="1"/>
      <c r="ED1435" s="1"/>
      <c r="EK1435" s="1"/>
      <c r="EL1435" s="1"/>
      <c r="EM1435" s="1"/>
      <c r="EN1435" s="1"/>
      <c r="EQ1435" s="1"/>
      <c r="ER1435" s="1"/>
      <c r="ES1435" s="1"/>
      <c r="EV1435" s="1"/>
      <c r="EW1435" s="1"/>
      <c r="EZ1435" s="1"/>
      <c r="GO1435" s="1"/>
      <c r="GP1435" s="1"/>
      <c r="HY1435" s="1"/>
      <c r="IE1435" s="1"/>
      <c r="IR1435" s="1"/>
      <c r="IS1435" s="1"/>
      <c r="IY1435" s="1"/>
      <c r="IZ1435" s="1"/>
      <c r="JC1435" s="1"/>
      <c r="JH1435" s="1"/>
      <c r="JJ1435" s="1"/>
      <c r="JN1435" s="1"/>
      <c r="JP1435" s="1"/>
      <c r="JQ1435" s="1"/>
      <c r="JU1435" s="1"/>
      <c r="KZ1435" s="1"/>
      <c r="LM1435" s="1"/>
      <c r="LO1435" s="1"/>
      <c r="LP1435" s="1"/>
      <c r="LZ1435" s="1"/>
      <c r="MA1435" s="1"/>
    </row>
    <row r="1436" spans="4:339" ht="13" x14ac:dyDescent="0.15">
      <c r="D1436" s="12"/>
      <c r="E1436" s="12"/>
      <c r="I1436" s="12"/>
      <c r="J1436" s="13"/>
      <c r="BF1436" s="1"/>
      <c r="BG1436" s="1"/>
      <c r="BH1436" s="1"/>
      <c r="BI1436" s="1"/>
      <c r="BJ1436" s="1"/>
      <c r="BK1436" s="1"/>
      <c r="BL1436" s="1"/>
      <c r="BM1436" s="1"/>
      <c r="BN1436" s="1"/>
      <c r="BO1436" s="1"/>
      <c r="BP1436" s="1"/>
      <c r="BQ1436" s="1"/>
      <c r="BR1436" s="1"/>
      <c r="CD1436" s="1"/>
      <c r="CE1436" s="1"/>
      <c r="CF1436" s="1"/>
      <c r="CG1436" s="1"/>
      <c r="CM1436" s="2"/>
      <c r="CP1436" s="1"/>
      <c r="CQ1436" s="1"/>
      <c r="CS1436" s="1"/>
      <c r="CT1436" s="1"/>
      <c r="CU1436" s="1"/>
      <c r="CV1436" s="1"/>
      <c r="CW1436" s="1"/>
      <c r="CX1436" s="1"/>
      <c r="CY1436" s="1"/>
      <c r="CZ1436" s="1"/>
      <c r="DA1436" s="1"/>
      <c r="DB1436" s="1"/>
      <c r="DC1436" s="1"/>
      <c r="DD1436" s="1"/>
      <c r="DE1436" s="1"/>
      <c r="DF1436" s="1"/>
      <c r="DG1436" s="1"/>
      <c r="DH1436" s="1"/>
      <c r="DI1436" s="1"/>
      <c r="DJ1436" s="1"/>
      <c r="DK1436" s="1"/>
      <c r="DQ1436" s="1"/>
      <c r="DR1436" s="1"/>
      <c r="DY1436" s="1"/>
      <c r="DZ1436" s="1"/>
      <c r="ED1436" s="1"/>
      <c r="EK1436" s="1"/>
      <c r="EL1436" s="1"/>
      <c r="EM1436" s="1"/>
      <c r="EN1436" s="1"/>
      <c r="EQ1436" s="1"/>
      <c r="ER1436" s="1"/>
      <c r="ES1436" s="1"/>
      <c r="EV1436" s="1"/>
      <c r="EW1436" s="1"/>
      <c r="EZ1436" s="1"/>
      <c r="GO1436" s="1"/>
      <c r="GP1436" s="1"/>
      <c r="HY1436" s="1"/>
      <c r="IE1436" s="1"/>
      <c r="IR1436" s="1"/>
      <c r="IS1436" s="1"/>
      <c r="IY1436" s="1"/>
      <c r="IZ1436" s="1"/>
      <c r="JC1436" s="1"/>
      <c r="JH1436" s="1"/>
      <c r="JJ1436" s="1"/>
      <c r="JN1436" s="1"/>
      <c r="JP1436" s="1"/>
      <c r="JQ1436" s="1"/>
      <c r="JU1436" s="1"/>
      <c r="KZ1436" s="1"/>
      <c r="LM1436" s="1"/>
      <c r="LO1436" s="1"/>
      <c r="LP1436" s="1"/>
      <c r="LZ1436" s="1"/>
      <c r="MA1436" s="1"/>
    </row>
    <row r="1437" spans="4:339" ht="13" x14ac:dyDescent="0.15">
      <c r="D1437" s="12"/>
      <c r="E1437" s="12"/>
      <c r="I1437" s="12"/>
      <c r="J1437" s="13"/>
      <c r="BF1437" s="1"/>
      <c r="BG1437" s="1"/>
      <c r="BH1437" s="1"/>
      <c r="BI1437" s="1"/>
      <c r="BJ1437" s="1"/>
      <c r="BK1437" s="1"/>
      <c r="BL1437" s="1"/>
      <c r="BM1437" s="1"/>
      <c r="BN1437" s="1"/>
      <c r="BO1437" s="1"/>
      <c r="BP1437" s="1"/>
      <c r="BQ1437" s="1"/>
      <c r="BR1437" s="1"/>
      <c r="CD1437" s="1"/>
      <c r="CE1437" s="1"/>
      <c r="CF1437" s="1"/>
      <c r="CG1437" s="1"/>
      <c r="CM1437" s="2"/>
      <c r="CP1437" s="1"/>
      <c r="CQ1437" s="1"/>
      <c r="CS1437" s="1"/>
      <c r="CT1437" s="1"/>
      <c r="CU1437" s="1"/>
      <c r="CV1437" s="1"/>
      <c r="CW1437" s="1"/>
      <c r="CX1437" s="1"/>
      <c r="CY1437" s="1"/>
      <c r="CZ1437" s="1"/>
      <c r="DA1437" s="1"/>
      <c r="DB1437" s="1"/>
      <c r="DC1437" s="1"/>
      <c r="DD1437" s="1"/>
      <c r="DE1437" s="1"/>
      <c r="DF1437" s="1"/>
      <c r="DG1437" s="1"/>
      <c r="DH1437" s="1"/>
      <c r="DI1437" s="1"/>
      <c r="DJ1437" s="1"/>
      <c r="DK1437" s="1"/>
      <c r="DQ1437" s="1"/>
      <c r="DR1437" s="1"/>
      <c r="DY1437" s="1"/>
      <c r="DZ1437" s="1"/>
      <c r="ED1437" s="1"/>
      <c r="EK1437" s="1"/>
      <c r="EL1437" s="1"/>
      <c r="EM1437" s="1"/>
      <c r="EN1437" s="1"/>
      <c r="EQ1437" s="1"/>
      <c r="ER1437" s="1"/>
      <c r="ES1437" s="1"/>
      <c r="EV1437" s="1"/>
      <c r="EW1437" s="1"/>
      <c r="EZ1437" s="1"/>
      <c r="GO1437" s="1"/>
      <c r="GP1437" s="1"/>
      <c r="HY1437" s="1"/>
      <c r="IE1437" s="1"/>
      <c r="IR1437" s="1"/>
      <c r="IS1437" s="1"/>
      <c r="IY1437" s="1"/>
      <c r="IZ1437" s="1"/>
      <c r="JC1437" s="1"/>
      <c r="JH1437" s="1"/>
      <c r="JJ1437" s="1"/>
      <c r="JN1437" s="1"/>
      <c r="JP1437" s="1"/>
      <c r="JQ1437" s="1"/>
      <c r="JU1437" s="1"/>
      <c r="KZ1437" s="1"/>
      <c r="LM1437" s="1"/>
      <c r="LO1437" s="1"/>
      <c r="LP1437" s="1"/>
      <c r="LZ1437" s="1"/>
      <c r="MA1437" s="1"/>
    </row>
    <row r="1438" spans="4:339" ht="13" x14ac:dyDescent="0.15">
      <c r="D1438" s="12"/>
      <c r="E1438" s="12"/>
      <c r="I1438" s="12"/>
      <c r="J1438" s="13"/>
      <c r="BF1438" s="1"/>
      <c r="BG1438" s="1"/>
      <c r="BH1438" s="1"/>
      <c r="BI1438" s="1"/>
      <c r="BJ1438" s="1"/>
      <c r="BK1438" s="1"/>
      <c r="BL1438" s="1"/>
      <c r="BM1438" s="1"/>
      <c r="BN1438" s="1"/>
      <c r="BO1438" s="1"/>
      <c r="BP1438" s="1"/>
      <c r="BQ1438" s="1"/>
      <c r="BR1438" s="1"/>
      <c r="CD1438" s="1"/>
      <c r="CE1438" s="1"/>
      <c r="CF1438" s="1"/>
      <c r="CM1438" s="2"/>
      <c r="CP1438" s="1"/>
      <c r="CQ1438" s="1"/>
      <c r="CS1438" s="1"/>
      <c r="CT1438" s="1"/>
      <c r="CU1438" s="1"/>
      <c r="CV1438" s="1"/>
      <c r="CW1438" s="1"/>
      <c r="CX1438" s="1"/>
      <c r="CY1438" s="1"/>
      <c r="CZ1438" s="1"/>
      <c r="DA1438" s="1"/>
      <c r="DB1438" s="1"/>
      <c r="DC1438" s="1"/>
      <c r="DD1438" s="1"/>
      <c r="DE1438" s="1"/>
      <c r="DF1438" s="1"/>
      <c r="DG1438" s="1"/>
      <c r="DH1438" s="1"/>
      <c r="DI1438" s="1"/>
      <c r="DJ1438" s="1"/>
      <c r="DK1438" s="1"/>
      <c r="ED1438" s="1"/>
      <c r="EK1438" s="1"/>
      <c r="EL1438" s="1"/>
      <c r="EM1438" s="1"/>
      <c r="EN1438" s="1"/>
      <c r="EQ1438" s="1"/>
      <c r="ER1438" s="1"/>
      <c r="ES1438" s="1"/>
      <c r="EV1438" s="1"/>
      <c r="EW1438" s="1"/>
      <c r="EZ1438" s="1"/>
      <c r="GO1438" s="1"/>
      <c r="GP1438" s="1"/>
      <c r="HY1438" s="1"/>
      <c r="HZ1438" s="1"/>
      <c r="IE1438" s="1"/>
      <c r="IN1438" s="1"/>
      <c r="IR1438" s="1"/>
      <c r="IS1438" s="1"/>
      <c r="IW1438" s="1"/>
      <c r="IZ1438" s="1"/>
      <c r="JA1438" s="1"/>
      <c r="JC1438" s="1"/>
      <c r="JF1438" s="1"/>
      <c r="JG1438" s="1"/>
      <c r="JH1438" s="1"/>
      <c r="JJ1438" s="1"/>
      <c r="JP1438" s="1"/>
      <c r="JQ1438" s="1"/>
      <c r="JT1438" s="1"/>
      <c r="KU1438" s="1"/>
      <c r="KV1438" s="1"/>
      <c r="KW1438" s="1"/>
      <c r="KY1438" s="1"/>
      <c r="KZ1438" s="1"/>
      <c r="LA1438" s="1"/>
      <c r="LB1438" s="1"/>
      <c r="LC1438" s="1"/>
      <c r="LD1438" s="1"/>
      <c r="LO1438" s="1"/>
      <c r="LP1438" s="1"/>
      <c r="LZ1438" s="1"/>
      <c r="MA1438" s="1"/>
    </row>
    <row r="1439" spans="4:339" ht="13" x14ac:dyDescent="0.15">
      <c r="D1439" s="12"/>
      <c r="E1439" s="12"/>
      <c r="I1439" s="12"/>
      <c r="J1439" s="13"/>
      <c r="BF1439" s="1"/>
      <c r="BG1439" s="1"/>
      <c r="BH1439" s="1"/>
      <c r="BI1439" s="1"/>
      <c r="BJ1439" s="1"/>
      <c r="BK1439" s="1"/>
      <c r="BL1439" s="1"/>
      <c r="BM1439" s="1"/>
      <c r="BN1439" s="1"/>
      <c r="BO1439" s="1"/>
      <c r="BP1439" s="1"/>
      <c r="BQ1439" s="1"/>
      <c r="BR1439" s="1"/>
      <c r="CD1439" s="1"/>
      <c r="CE1439" s="1"/>
      <c r="CF1439" s="1"/>
      <c r="CM1439" s="2"/>
      <c r="CP1439" s="1"/>
      <c r="CQ1439" s="1"/>
      <c r="CS1439" s="1"/>
      <c r="CT1439" s="1"/>
      <c r="CU1439" s="1"/>
      <c r="CV1439" s="1"/>
      <c r="CW1439" s="1"/>
      <c r="CX1439" s="1"/>
      <c r="CY1439" s="1"/>
      <c r="CZ1439" s="1"/>
      <c r="DA1439" s="1"/>
      <c r="DB1439" s="1"/>
      <c r="DC1439" s="1"/>
      <c r="DD1439" s="1"/>
      <c r="DE1439" s="1"/>
      <c r="DF1439" s="1"/>
      <c r="DG1439" s="1"/>
      <c r="DH1439" s="1"/>
      <c r="DI1439" s="1"/>
      <c r="DJ1439" s="1"/>
      <c r="DK1439" s="1"/>
      <c r="ED1439" s="1"/>
      <c r="EK1439" s="1"/>
      <c r="EL1439" s="1"/>
      <c r="EM1439" s="1"/>
      <c r="EN1439" s="1"/>
      <c r="EQ1439" s="1"/>
      <c r="ER1439" s="1"/>
      <c r="ES1439" s="1"/>
      <c r="EV1439" s="1"/>
      <c r="EW1439" s="1"/>
      <c r="EZ1439" s="1"/>
      <c r="GO1439" s="1"/>
      <c r="GP1439" s="1"/>
      <c r="HY1439" s="1"/>
      <c r="HZ1439" s="1"/>
      <c r="IE1439" s="1"/>
      <c r="IN1439" s="1"/>
      <c r="IR1439" s="1"/>
      <c r="IS1439" s="1"/>
      <c r="IW1439" s="1"/>
      <c r="IZ1439" s="1"/>
      <c r="JA1439" s="1"/>
      <c r="JC1439" s="1"/>
      <c r="JF1439" s="1"/>
      <c r="JG1439" s="1"/>
      <c r="JH1439" s="1"/>
      <c r="JJ1439" s="1"/>
      <c r="JP1439" s="1"/>
      <c r="JQ1439" s="1"/>
      <c r="JT1439" s="1"/>
      <c r="KU1439" s="1"/>
      <c r="KV1439" s="1"/>
      <c r="KW1439" s="1"/>
      <c r="KY1439" s="1"/>
      <c r="KZ1439" s="1"/>
      <c r="LA1439" s="1"/>
      <c r="LB1439" s="1"/>
      <c r="LC1439" s="1"/>
      <c r="LD1439" s="1"/>
      <c r="LO1439" s="1"/>
      <c r="LP1439" s="1"/>
      <c r="LZ1439" s="1"/>
      <c r="MA1439" s="1"/>
    </row>
    <row r="1440" spans="4:339" ht="13" x14ac:dyDescent="0.15">
      <c r="D1440" s="12"/>
      <c r="E1440" s="12"/>
      <c r="I1440" s="12"/>
      <c r="J1440" s="13"/>
      <c r="BF1440" s="1"/>
      <c r="BG1440" s="1"/>
      <c r="BH1440" s="1"/>
      <c r="BI1440" s="1"/>
      <c r="BJ1440" s="1"/>
      <c r="BK1440" s="1"/>
      <c r="BL1440" s="1"/>
      <c r="BM1440" s="1"/>
      <c r="BN1440" s="1"/>
      <c r="BO1440" s="1"/>
      <c r="BP1440" s="1"/>
      <c r="BQ1440" s="1"/>
      <c r="BR1440" s="1"/>
      <c r="CD1440" s="1"/>
      <c r="CE1440" s="1"/>
      <c r="CF1440" s="1"/>
      <c r="CM1440" s="2"/>
      <c r="CP1440" s="1"/>
      <c r="CQ1440" s="1"/>
      <c r="CS1440" s="1"/>
      <c r="CT1440" s="1"/>
      <c r="CU1440" s="1"/>
      <c r="CV1440" s="1"/>
      <c r="CW1440" s="1"/>
      <c r="CX1440" s="1"/>
      <c r="CY1440" s="1"/>
      <c r="CZ1440" s="1"/>
      <c r="DA1440" s="1"/>
      <c r="DB1440" s="1"/>
      <c r="DC1440" s="1"/>
      <c r="DD1440" s="1"/>
      <c r="DE1440" s="1"/>
      <c r="DF1440" s="1"/>
      <c r="DG1440" s="1"/>
      <c r="DH1440" s="1"/>
      <c r="DI1440" s="1"/>
      <c r="DJ1440" s="1"/>
      <c r="DK1440" s="1"/>
      <c r="ED1440" s="1"/>
      <c r="EK1440" s="1"/>
      <c r="EL1440" s="1"/>
      <c r="EM1440" s="1"/>
      <c r="EN1440" s="1"/>
      <c r="EQ1440" s="1"/>
      <c r="ER1440" s="1"/>
      <c r="ES1440" s="1"/>
      <c r="EV1440" s="1"/>
      <c r="EW1440" s="1"/>
      <c r="EZ1440" s="1"/>
      <c r="GO1440" s="1"/>
      <c r="GP1440" s="1"/>
      <c r="HY1440" s="1"/>
      <c r="HZ1440" s="1"/>
      <c r="IE1440" s="1"/>
      <c r="IN1440" s="1"/>
      <c r="IR1440" s="1"/>
      <c r="IS1440" s="1"/>
      <c r="IW1440" s="1"/>
      <c r="IZ1440" s="1"/>
      <c r="JA1440" s="1"/>
      <c r="JC1440" s="1"/>
      <c r="JF1440" s="1"/>
      <c r="JG1440" s="1"/>
      <c r="JH1440" s="1"/>
      <c r="JJ1440" s="1"/>
      <c r="JP1440" s="1"/>
      <c r="JQ1440" s="1"/>
      <c r="JT1440" s="1"/>
      <c r="KU1440" s="1"/>
      <c r="KV1440" s="1"/>
      <c r="KW1440" s="1"/>
      <c r="KY1440" s="1"/>
      <c r="KZ1440" s="1"/>
      <c r="LA1440" s="1"/>
      <c r="LB1440" s="1"/>
      <c r="LC1440" s="1"/>
      <c r="LD1440" s="1"/>
      <c r="LO1440" s="1"/>
      <c r="LP1440" s="1"/>
      <c r="LZ1440" s="1"/>
      <c r="MA1440" s="1"/>
    </row>
    <row r="1441" spans="4:339" ht="13" x14ac:dyDescent="0.15">
      <c r="D1441" s="12"/>
      <c r="E1441" s="12"/>
      <c r="I1441" s="12"/>
      <c r="J1441" s="13"/>
      <c r="BF1441" s="1"/>
      <c r="BG1441" s="1"/>
      <c r="BH1441" s="1"/>
      <c r="BI1441" s="1"/>
      <c r="BJ1441" s="1"/>
      <c r="BK1441" s="1"/>
      <c r="BL1441" s="1"/>
      <c r="BM1441" s="1"/>
      <c r="BN1441" s="1"/>
      <c r="BO1441" s="1"/>
      <c r="BP1441" s="1"/>
      <c r="BQ1441" s="1"/>
      <c r="BR1441" s="1"/>
      <c r="CD1441" s="1"/>
      <c r="CE1441" s="1"/>
      <c r="CF1441" s="1"/>
      <c r="CM1441" s="2"/>
      <c r="CP1441" s="1"/>
      <c r="CQ1441" s="1"/>
      <c r="CS1441" s="1"/>
      <c r="CT1441" s="1"/>
      <c r="CU1441" s="1"/>
      <c r="CV1441" s="1"/>
      <c r="CW1441" s="1"/>
      <c r="CX1441" s="1"/>
      <c r="CY1441" s="1"/>
      <c r="CZ1441" s="1"/>
      <c r="DA1441" s="1"/>
      <c r="DB1441" s="1"/>
      <c r="DC1441" s="1"/>
      <c r="DD1441" s="1"/>
      <c r="DE1441" s="1"/>
      <c r="DF1441" s="1"/>
      <c r="DG1441" s="1"/>
      <c r="DH1441" s="1"/>
      <c r="DI1441" s="1"/>
      <c r="DJ1441" s="1"/>
      <c r="DK1441" s="1"/>
      <c r="ED1441" s="1"/>
      <c r="EK1441" s="1"/>
      <c r="EL1441" s="1"/>
      <c r="EM1441" s="1"/>
      <c r="EN1441" s="1"/>
      <c r="EQ1441" s="1"/>
      <c r="ER1441" s="1"/>
      <c r="ES1441" s="1"/>
      <c r="EV1441" s="1"/>
      <c r="EW1441" s="1"/>
      <c r="EZ1441" s="1"/>
      <c r="GO1441" s="1"/>
      <c r="GP1441" s="1"/>
      <c r="HY1441" s="1"/>
      <c r="HZ1441" s="1"/>
      <c r="IE1441" s="1"/>
      <c r="IN1441" s="1"/>
      <c r="IR1441" s="1"/>
      <c r="IS1441" s="1"/>
      <c r="IW1441" s="1"/>
      <c r="IZ1441" s="1"/>
      <c r="JA1441" s="1"/>
      <c r="JC1441" s="1"/>
      <c r="JF1441" s="1"/>
      <c r="JG1441" s="1"/>
      <c r="JH1441" s="1"/>
      <c r="JJ1441" s="1"/>
      <c r="JP1441" s="1"/>
      <c r="JQ1441" s="1"/>
      <c r="JT1441" s="1"/>
      <c r="KU1441" s="1"/>
      <c r="KV1441" s="1"/>
      <c r="KW1441" s="1"/>
      <c r="KY1441" s="1"/>
      <c r="KZ1441" s="1"/>
      <c r="LA1441" s="1"/>
      <c r="LB1441" s="1"/>
      <c r="LC1441" s="1"/>
      <c r="LD1441" s="1"/>
      <c r="LO1441" s="1"/>
      <c r="LP1441" s="1"/>
      <c r="LZ1441" s="1"/>
      <c r="MA1441" s="1"/>
    </row>
    <row r="1442" spans="4:339" ht="13" x14ac:dyDescent="0.15">
      <c r="D1442" s="12"/>
      <c r="E1442" s="12"/>
      <c r="I1442" s="12"/>
      <c r="J1442" s="13"/>
      <c r="BF1442" s="1"/>
      <c r="BG1442" s="1"/>
      <c r="BH1442" s="1"/>
      <c r="BI1442" s="1"/>
      <c r="BJ1442" s="1"/>
      <c r="BK1442" s="1"/>
      <c r="BL1442" s="1"/>
      <c r="BM1442" s="1"/>
      <c r="BN1442" s="1"/>
      <c r="BO1442" s="1"/>
      <c r="BP1442" s="1"/>
      <c r="BQ1442" s="1"/>
      <c r="BR1442" s="1"/>
      <c r="CD1442" s="1"/>
      <c r="CE1442" s="1"/>
      <c r="CF1442" s="1"/>
      <c r="CM1442" s="2"/>
      <c r="CP1442" s="1"/>
      <c r="CQ1442" s="1"/>
      <c r="CS1442" s="1"/>
      <c r="CT1442" s="1"/>
      <c r="CU1442" s="1"/>
      <c r="CV1442" s="1"/>
      <c r="CW1442" s="1"/>
      <c r="CX1442" s="1"/>
      <c r="CY1442" s="1"/>
      <c r="CZ1442" s="1"/>
      <c r="DA1442" s="1"/>
      <c r="DB1442" s="1"/>
      <c r="DC1442" s="1"/>
      <c r="DD1442" s="1"/>
      <c r="DE1442" s="1"/>
      <c r="DF1442" s="1"/>
      <c r="DG1442" s="1"/>
      <c r="DH1442" s="1"/>
      <c r="DI1442" s="1"/>
      <c r="DJ1442" s="1"/>
      <c r="DK1442" s="1"/>
      <c r="ED1442" s="1"/>
      <c r="EK1442" s="1"/>
      <c r="EL1442" s="1"/>
      <c r="EM1442" s="1"/>
      <c r="EN1442" s="1"/>
      <c r="EQ1442" s="1"/>
      <c r="ER1442" s="1"/>
      <c r="ES1442" s="1"/>
      <c r="EV1442" s="1"/>
      <c r="EW1442" s="1"/>
      <c r="EZ1442" s="1"/>
      <c r="GO1442" s="1"/>
      <c r="GP1442" s="1"/>
      <c r="HY1442" s="1"/>
      <c r="HZ1442" s="1"/>
      <c r="IE1442" s="1"/>
      <c r="IN1442" s="1"/>
      <c r="IR1442" s="1"/>
      <c r="IS1442" s="1"/>
      <c r="IW1442" s="1"/>
      <c r="IZ1442" s="1"/>
      <c r="JA1442" s="1"/>
      <c r="JC1442" s="1"/>
      <c r="JF1442" s="1"/>
      <c r="JG1442" s="1"/>
      <c r="JH1442" s="1"/>
      <c r="JJ1442" s="1"/>
      <c r="JP1442" s="1"/>
      <c r="JQ1442" s="1"/>
      <c r="JT1442" s="1"/>
      <c r="KU1442" s="1"/>
      <c r="KV1442" s="1"/>
      <c r="KW1442" s="1"/>
      <c r="KY1442" s="1"/>
      <c r="KZ1442" s="1"/>
      <c r="LA1442" s="1"/>
      <c r="LB1442" s="1"/>
      <c r="LC1442" s="1"/>
      <c r="LD1442" s="1"/>
      <c r="LO1442" s="1"/>
      <c r="LP1442" s="1"/>
      <c r="LZ1442" s="1"/>
      <c r="MA1442" s="1"/>
    </row>
    <row r="1443" spans="4:339" ht="13" x14ac:dyDescent="0.15">
      <c r="D1443" s="12"/>
      <c r="E1443" s="12"/>
      <c r="I1443" s="12"/>
      <c r="J1443" s="13"/>
      <c r="BF1443" s="1"/>
      <c r="BG1443" s="1"/>
      <c r="BH1443" s="1"/>
      <c r="BI1443" s="1"/>
      <c r="BJ1443" s="1"/>
      <c r="BK1443" s="1"/>
      <c r="BL1443" s="1"/>
      <c r="BM1443" s="1"/>
      <c r="BN1443" s="1"/>
      <c r="BO1443" s="1"/>
      <c r="BP1443" s="1"/>
      <c r="BQ1443" s="1"/>
      <c r="BR1443" s="1"/>
      <c r="CD1443" s="1"/>
      <c r="CE1443" s="1"/>
      <c r="CF1443" s="1"/>
      <c r="CM1443" s="2"/>
      <c r="CP1443" s="1"/>
      <c r="CQ1443" s="1"/>
      <c r="CS1443" s="1"/>
      <c r="CT1443" s="1"/>
      <c r="CU1443" s="1"/>
      <c r="CV1443" s="1"/>
      <c r="CW1443" s="1"/>
      <c r="CX1443" s="1"/>
      <c r="CY1443" s="1"/>
      <c r="CZ1443" s="1"/>
      <c r="DA1443" s="1"/>
      <c r="DB1443" s="1"/>
      <c r="DC1443" s="1"/>
      <c r="DD1443" s="1"/>
      <c r="DE1443" s="1"/>
      <c r="DF1443" s="1"/>
      <c r="DG1443" s="1"/>
      <c r="DH1443" s="1"/>
      <c r="DI1443" s="1"/>
      <c r="DJ1443" s="1"/>
      <c r="DK1443" s="1"/>
      <c r="ED1443" s="1"/>
      <c r="EK1443" s="1"/>
      <c r="EL1443" s="1"/>
      <c r="EM1443" s="1"/>
      <c r="EN1443" s="1"/>
      <c r="EQ1443" s="1"/>
      <c r="ER1443" s="1"/>
      <c r="ES1443" s="1"/>
      <c r="EV1443" s="1"/>
      <c r="EW1443" s="1"/>
      <c r="EZ1443" s="1"/>
      <c r="GO1443" s="1"/>
      <c r="GP1443" s="1"/>
      <c r="HY1443" s="1"/>
      <c r="HZ1443" s="1"/>
      <c r="IE1443" s="1"/>
      <c r="IN1443" s="1"/>
      <c r="IR1443" s="1"/>
      <c r="IS1443" s="1"/>
      <c r="IW1443" s="1"/>
      <c r="IZ1443" s="1"/>
      <c r="JA1443" s="1"/>
      <c r="JC1443" s="1"/>
      <c r="JF1443" s="1"/>
      <c r="JG1443" s="1"/>
      <c r="JH1443" s="1"/>
      <c r="JJ1443" s="1"/>
      <c r="JP1443" s="1"/>
      <c r="JQ1443" s="1"/>
      <c r="JT1443" s="1"/>
      <c r="KU1443" s="1"/>
      <c r="KV1443" s="1"/>
      <c r="KW1443" s="1"/>
      <c r="KY1443" s="1"/>
      <c r="KZ1443" s="1"/>
      <c r="LA1443" s="1"/>
      <c r="LB1443" s="1"/>
      <c r="LC1443" s="1"/>
      <c r="LD1443" s="1"/>
      <c r="LO1443" s="1"/>
      <c r="LP1443" s="1"/>
      <c r="LZ1443" s="1"/>
      <c r="MA1443" s="1"/>
    </row>
    <row r="1444" spans="4:339" ht="13" x14ac:dyDescent="0.15">
      <c r="D1444" s="12"/>
      <c r="E1444" s="12"/>
      <c r="I1444" s="12"/>
      <c r="J1444" s="13"/>
      <c r="BF1444" s="1"/>
      <c r="BG1444" s="1"/>
      <c r="BH1444" s="1"/>
      <c r="BI1444" s="1"/>
      <c r="BJ1444" s="1"/>
      <c r="BK1444" s="1"/>
      <c r="BL1444" s="1"/>
      <c r="BM1444" s="1"/>
      <c r="BN1444" s="1"/>
      <c r="BO1444" s="1"/>
      <c r="BP1444" s="1"/>
      <c r="BQ1444" s="1"/>
      <c r="BR1444" s="1"/>
      <c r="CD1444" s="1"/>
      <c r="CE1444" s="1"/>
      <c r="CF1444" s="1"/>
      <c r="CM1444" s="2"/>
      <c r="CP1444" s="1"/>
      <c r="CQ1444" s="1"/>
      <c r="CS1444" s="1"/>
      <c r="CT1444" s="1"/>
      <c r="CU1444" s="1"/>
      <c r="CV1444" s="1"/>
      <c r="CW1444" s="1"/>
      <c r="CX1444" s="1"/>
      <c r="CY1444" s="1"/>
      <c r="CZ1444" s="1"/>
      <c r="DA1444" s="1"/>
      <c r="DB1444" s="1"/>
      <c r="DC1444" s="1"/>
      <c r="DD1444" s="1"/>
      <c r="DE1444" s="1"/>
      <c r="DF1444" s="1"/>
      <c r="DG1444" s="1"/>
      <c r="DH1444" s="1"/>
      <c r="DI1444" s="1"/>
      <c r="DJ1444" s="1"/>
      <c r="DK1444" s="1"/>
      <c r="ED1444" s="1"/>
      <c r="EK1444" s="1"/>
      <c r="EL1444" s="1"/>
      <c r="EM1444" s="1"/>
      <c r="EN1444" s="1"/>
      <c r="EQ1444" s="1"/>
      <c r="ER1444" s="1"/>
      <c r="ES1444" s="1"/>
      <c r="EV1444" s="1"/>
      <c r="EW1444" s="1"/>
      <c r="EZ1444" s="1"/>
      <c r="GO1444" s="1"/>
      <c r="GP1444" s="1"/>
      <c r="HY1444" s="1"/>
      <c r="HZ1444" s="1"/>
      <c r="IE1444" s="1"/>
      <c r="IN1444" s="1"/>
      <c r="IR1444" s="1"/>
      <c r="IS1444" s="1"/>
      <c r="IW1444" s="1"/>
      <c r="IZ1444" s="1"/>
      <c r="JA1444" s="1"/>
      <c r="JC1444" s="1"/>
      <c r="JF1444" s="1"/>
      <c r="JG1444" s="1"/>
      <c r="JH1444" s="1"/>
      <c r="JJ1444" s="1"/>
      <c r="JP1444" s="1"/>
      <c r="JQ1444" s="1"/>
      <c r="JT1444" s="1"/>
      <c r="KU1444" s="1"/>
      <c r="KV1444" s="1"/>
      <c r="KW1444" s="1"/>
      <c r="KY1444" s="1"/>
      <c r="KZ1444" s="1"/>
      <c r="LA1444" s="1"/>
      <c r="LB1444" s="1"/>
      <c r="LC1444" s="1"/>
      <c r="LD1444" s="1"/>
      <c r="LO1444" s="1"/>
      <c r="LP1444" s="1"/>
      <c r="LZ1444" s="1"/>
      <c r="MA1444" s="1"/>
    </row>
    <row r="1445" spans="4:339" ht="13" x14ac:dyDescent="0.15">
      <c r="D1445" s="12"/>
      <c r="E1445" s="12"/>
      <c r="I1445" s="12"/>
      <c r="J1445" s="13"/>
      <c r="BF1445" s="1"/>
      <c r="BG1445" s="1"/>
      <c r="BH1445" s="1"/>
      <c r="BI1445" s="1"/>
      <c r="BJ1445" s="1"/>
      <c r="BK1445" s="1"/>
      <c r="BL1445" s="1"/>
      <c r="BM1445" s="1"/>
      <c r="BN1445" s="1"/>
      <c r="BO1445" s="1"/>
      <c r="BP1445" s="1"/>
      <c r="BQ1445" s="1"/>
      <c r="BR1445" s="1"/>
      <c r="CD1445" s="1"/>
      <c r="CE1445" s="1"/>
      <c r="CF1445" s="1"/>
      <c r="CM1445" s="2"/>
      <c r="CP1445" s="1"/>
      <c r="CQ1445" s="1"/>
      <c r="CS1445" s="1"/>
      <c r="CT1445" s="1"/>
      <c r="CU1445" s="1"/>
      <c r="CV1445" s="1"/>
      <c r="CW1445" s="1"/>
      <c r="CX1445" s="1"/>
      <c r="CY1445" s="1"/>
      <c r="CZ1445" s="1"/>
      <c r="DA1445" s="1"/>
      <c r="DB1445" s="1"/>
      <c r="DC1445" s="1"/>
      <c r="DD1445" s="1"/>
      <c r="DE1445" s="1"/>
      <c r="DF1445" s="1"/>
      <c r="DG1445" s="1"/>
      <c r="DH1445" s="1"/>
      <c r="DI1445" s="1"/>
      <c r="DJ1445" s="1"/>
      <c r="DK1445" s="1"/>
      <c r="ED1445" s="1"/>
      <c r="EK1445" s="1"/>
      <c r="EL1445" s="1"/>
      <c r="EM1445" s="1"/>
      <c r="EN1445" s="1"/>
      <c r="EQ1445" s="1"/>
      <c r="ER1445" s="1"/>
      <c r="ES1445" s="1"/>
      <c r="EV1445" s="1"/>
      <c r="EW1445" s="1"/>
      <c r="EZ1445" s="1"/>
      <c r="GO1445" s="1"/>
      <c r="GP1445" s="1"/>
      <c r="HY1445" s="1"/>
      <c r="HZ1445" s="1"/>
      <c r="IE1445" s="1"/>
      <c r="IN1445" s="1"/>
      <c r="IR1445" s="1"/>
      <c r="IS1445" s="1"/>
      <c r="IW1445" s="1"/>
      <c r="IZ1445" s="1"/>
      <c r="JA1445" s="1"/>
      <c r="JC1445" s="1"/>
      <c r="JF1445" s="1"/>
      <c r="JG1445" s="1"/>
      <c r="JH1445" s="1"/>
      <c r="JJ1445" s="1"/>
      <c r="JP1445" s="1"/>
      <c r="JQ1445" s="1"/>
      <c r="JT1445" s="1"/>
      <c r="KU1445" s="1"/>
      <c r="KV1445" s="1"/>
      <c r="KW1445" s="1"/>
      <c r="KY1445" s="1"/>
      <c r="KZ1445" s="1"/>
      <c r="LA1445" s="1"/>
      <c r="LB1445" s="1"/>
      <c r="LC1445" s="1"/>
      <c r="LD1445" s="1"/>
      <c r="LO1445" s="1"/>
      <c r="LP1445" s="1"/>
      <c r="LZ1445" s="1"/>
      <c r="MA1445" s="1"/>
    </row>
    <row r="1446" spans="4:339" ht="13" x14ac:dyDescent="0.15">
      <c r="D1446" s="12"/>
      <c r="E1446" s="12"/>
      <c r="I1446" s="12"/>
      <c r="J1446" s="13"/>
      <c r="BF1446" s="1"/>
      <c r="BG1446" s="1"/>
      <c r="BH1446" s="1"/>
      <c r="BI1446" s="1"/>
      <c r="BJ1446" s="1"/>
      <c r="BK1446" s="1"/>
      <c r="BL1446" s="1"/>
      <c r="BM1446" s="1"/>
      <c r="BN1446" s="1"/>
      <c r="BO1446" s="1"/>
      <c r="BP1446" s="1"/>
      <c r="BQ1446" s="1"/>
      <c r="BR1446" s="1"/>
      <c r="CD1446" s="1"/>
      <c r="CE1446" s="1"/>
      <c r="CF1446" s="1"/>
      <c r="CM1446" s="2"/>
      <c r="CP1446" s="1"/>
      <c r="CQ1446" s="1"/>
      <c r="CS1446" s="1"/>
      <c r="CT1446" s="1"/>
      <c r="CU1446" s="1"/>
      <c r="CV1446" s="1"/>
      <c r="CW1446" s="1"/>
      <c r="CX1446" s="1"/>
      <c r="CY1446" s="1"/>
      <c r="CZ1446" s="1"/>
      <c r="DA1446" s="1"/>
      <c r="DB1446" s="1"/>
      <c r="DC1446" s="1"/>
      <c r="DD1446" s="1"/>
      <c r="DE1446" s="1"/>
      <c r="DF1446" s="1"/>
      <c r="DG1446" s="1"/>
      <c r="DH1446" s="1"/>
      <c r="DI1446" s="1"/>
      <c r="DJ1446" s="1"/>
      <c r="DK1446" s="1"/>
      <c r="ED1446" s="1"/>
      <c r="EK1446" s="1"/>
      <c r="EL1446" s="1"/>
      <c r="EM1446" s="1"/>
      <c r="EN1446" s="1"/>
      <c r="EQ1446" s="1"/>
      <c r="ER1446" s="1"/>
      <c r="ES1446" s="1"/>
      <c r="EV1446" s="1"/>
      <c r="EW1446" s="1"/>
      <c r="EZ1446" s="1"/>
      <c r="GO1446" s="1"/>
      <c r="GP1446" s="1"/>
      <c r="HY1446" s="1"/>
      <c r="HZ1446" s="1"/>
      <c r="IE1446" s="1"/>
      <c r="IN1446" s="1"/>
      <c r="IR1446" s="1"/>
      <c r="IS1446" s="1"/>
      <c r="IW1446" s="1"/>
      <c r="IZ1446" s="1"/>
      <c r="JA1446" s="1"/>
      <c r="JC1446" s="1"/>
      <c r="JF1446" s="1"/>
      <c r="JG1446" s="1"/>
      <c r="JH1446" s="1"/>
      <c r="JJ1446" s="1"/>
      <c r="JP1446" s="1"/>
      <c r="JQ1446" s="1"/>
      <c r="JT1446" s="1"/>
      <c r="KU1446" s="1"/>
      <c r="KV1446" s="1"/>
      <c r="KW1446" s="1"/>
      <c r="KY1446" s="1"/>
      <c r="KZ1446" s="1"/>
      <c r="LA1446" s="1"/>
      <c r="LB1446" s="1"/>
      <c r="LC1446" s="1"/>
      <c r="LD1446" s="1"/>
      <c r="LO1446" s="1"/>
      <c r="LP1446" s="1"/>
      <c r="LZ1446" s="1"/>
      <c r="MA1446" s="1"/>
    </row>
    <row r="1447" spans="4:339" ht="13" x14ac:dyDescent="0.15">
      <c r="D1447" s="12"/>
      <c r="E1447" s="12"/>
      <c r="I1447" s="12"/>
      <c r="J1447" s="13"/>
      <c r="BF1447" s="1"/>
      <c r="BG1447" s="1"/>
      <c r="BH1447" s="1"/>
      <c r="BI1447" s="1"/>
      <c r="BJ1447" s="1"/>
      <c r="BK1447" s="1"/>
      <c r="BL1447" s="1"/>
      <c r="BM1447" s="1"/>
      <c r="BN1447" s="1"/>
      <c r="BO1447" s="1"/>
      <c r="BP1447" s="1"/>
      <c r="BQ1447" s="1"/>
      <c r="BR1447" s="1"/>
      <c r="CD1447" s="1"/>
      <c r="CE1447" s="1"/>
      <c r="CF1447" s="1"/>
      <c r="CM1447" s="2"/>
      <c r="CP1447" s="1"/>
      <c r="CQ1447" s="1"/>
      <c r="CS1447" s="1"/>
      <c r="CT1447" s="1"/>
      <c r="CU1447" s="1"/>
      <c r="CV1447" s="1"/>
      <c r="CW1447" s="1"/>
      <c r="CX1447" s="1"/>
      <c r="CY1447" s="1"/>
      <c r="CZ1447" s="1"/>
      <c r="DA1447" s="1"/>
      <c r="DB1447" s="1"/>
      <c r="DC1447" s="1"/>
      <c r="DD1447" s="1"/>
      <c r="DE1447" s="1"/>
      <c r="DF1447" s="1"/>
      <c r="DG1447" s="1"/>
      <c r="DH1447" s="1"/>
      <c r="DI1447" s="1"/>
      <c r="DJ1447" s="1"/>
      <c r="DK1447" s="1"/>
      <c r="ED1447" s="1"/>
      <c r="EK1447" s="1"/>
      <c r="EL1447" s="1"/>
      <c r="EM1447" s="1"/>
      <c r="EN1447" s="1"/>
      <c r="EQ1447" s="1"/>
      <c r="ER1447" s="1"/>
      <c r="ES1447" s="1"/>
      <c r="EV1447" s="1"/>
      <c r="EW1447" s="1"/>
      <c r="EZ1447" s="1"/>
      <c r="GO1447" s="1"/>
      <c r="GP1447" s="1"/>
      <c r="HY1447" s="1"/>
      <c r="HZ1447" s="1"/>
      <c r="IE1447" s="1"/>
      <c r="IN1447" s="1"/>
      <c r="IR1447" s="1"/>
      <c r="IS1447" s="1"/>
      <c r="IW1447" s="1"/>
      <c r="IZ1447" s="1"/>
      <c r="JA1447" s="1"/>
      <c r="JC1447" s="1"/>
      <c r="JF1447" s="1"/>
      <c r="JG1447" s="1"/>
      <c r="JH1447" s="1"/>
      <c r="JJ1447" s="1"/>
      <c r="JP1447" s="1"/>
      <c r="JQ1447" s="1"/>
      <c r="JT1447" s="1"/>
      <c r="KU1447" s="1"/>
      <c r="KV1447" s="1"/>
      <c r="KW1447" s="1"/>
      <c r="KY1447" s="1"/>
      <c r="KZ1447" s="1"/>
      <c r="LA1447" s="1"/>
      <c r="LB1447" s="1"/>
      <c r="LC1447" s="1"/>
      <c r="LD1447" s="1"/>
      <c r="LO1447" s="1"/>
      <c r="LP1447" s="1"/>
      <c r="LZ1447" s="1"/>
      <c r="MA1447" s="1"/>
    </row>
    <row r="1448" spans="4:339" ht="13" x14ac:dyDescent="0.15">
      <c r="D1448" s="12"/>
      <c r="E1448" s="12"/>
      <c r="I1448" s="12"/>
      <c r="J1448" s="13"/>
      <c r="BF1448" s="1"/>
      <c r="BG1448" s="1"/>
      <c r="BH1448" s="1"/>
      <c r="BI1448" s="1"/>
      <c r="BJ1448" s="1"/>
      <c r="BK1448" s="1"/>
      <c r="BL1448" s="1"/>
      <c r="BM1448" s="1"/>
      <c r="BN1448" s="1"/>
      <c r="BO1448" s="1"/>
      <c r="BP1448" s="1"/>
      <c r="BQ1448" s="1"/>
      <c r="BR1448" s="1"/>
      <c r="CD1448" s="1"/>
      <c r="CE1448" s="1"/>
      <c r="CF1448" s="1"/>
      <c r="CM1448" s="2"/>
      <c r="CP1448" s="1"/>
      <c r="CQ1448" s="1"/>
      <c r="CS1448" s="1"/>
      <c r="CT1448" s="1"/>
      <c r="CU1448" s="1"/>
      <c r="CV1448" s="1"/>
      <c r="CW1448" s="1"/>
      <c r="CX1448" s="1"/>
      <c r="CY1448" s="1"/>
      <c r="CZ1448" s="1"/>
      <c r="DA1448" s="1"/>
      <c r="DB1448" s="1"/>
      <c r="DC1448" s="1"/>
      <c r="DD1448" s="1"/>
      <c r="DE1448" s="1"/>
      <c r="DF1448" s="1"/>
      <c r="DG1448" s="1"/>
      <c r="DH1448" s="1"/>
      <c r="DI1448" s="1"/>
      <c r="DJ1448" s="1"/>
      <c r="DK1448" s="1"/>
      <c r="ED1448" s="1"/>
      <c r="EK1448" s="1"/>
      <c r="EL1448" s="1"/>
      <c r="EM1448" s="1"/>
      <c r="EN1448" s="1"/>
      <c r="EQ1448" s="1"/>
      <c r="ER1448" s="1"/>
      <c r="ES1448" s="1"/>
      <c r="EV1448" s="1"/>
      <c r="EW1448" s="1"/>
      <c r="EZ1448" s="1"/>
      <c r="GO1448" s="1"/>
      <c r="GP1448" s="1"/>
      <c r="HY1448" s="1"/>
      <c r="HZ1448" s="1"/>
      <c r="IE1448" s="1"/>
      <c r="IN1448" s="1"/>
      <c r="IR1448" s="1"/>
      <c r="IS1448" s="1"/>
      <c r="IW1448" s="1"/>
      <c r="IZ1448" s="1"/>
      <c r="JA1448" s="1"/>
      <c r="JC1448" s="1"/>
      <c r="JF1448" s="1"/>
      <c r="JG1448" s="1"/>
      <c r="JH1448" s="1"/>
      <c r="JJ1448" s="1"/>
      <c r="JP1448" s="1"/>
      <c r="JQ1448" s="1"/>
      <c r="JT1448" s="1"/>
      <c r="KU1448" s="1"/>
      <c r="KV1448" s="1"/>
      <c r="KW1448" s="1"/>
      <c r="KY1448" s="1"/>
      <c r="KZ1448" s="1"/>
      <c r="LA1448" s="1"/>
      <c r="LB1448" s="1"/>
      <c r="LC1448" s="1"/>
      <c r="LD1448" s="1"/>
      <c r="LO1448" s="1"/>
      <c r="LP1448" s="1"/>
      <c r="LZ1448" s="1"/>
      <c r="MA1448" s="1"/>
    </row>
    <row r="1449" spans="4:339" ht="13" x14ac:dyDescent="0.15">
      <c r="D1449" s="12"/>
      <c r="E1449" s="12"/>
      <c r="I1449" s="12"/>
      <c r="J1449" s="13"/>
      <c r="BF1449" s="1"/>
      <c r="BG1449" s="1"/>
      <c r="BH1449" s="1"/>
      <c r="BI1449" s="1"/>
      <c r="BJ1449" s="1"/>
      <c r="BK1449" s="1"/>
      <c r="BL1449" s="1"/>
      <c r="BM1449" s="1"/>
      <c r="BN1449" s="1"/>
      <c r="BO1449" s="1"/>
      <c r="BP1449" s="1"/>
      <c r="BQ1449" s="1"/>
      <c r="BR1449" s="1"/>
      <c r="CD1449" s="1"/>
      <c r="CE1449" s="1"/>
      <c r="CF1449" s="1"/>
      <c r="CM1449" s="2"/>
      <c r="CP1449" s="1"/>
      <c r="CQ1449" s="1"/>
      <c r="CS1449" s="1"/>
      <c r="CT1449" s="1"/>
      <c r="CU1449" s="1"/>
      <c r="CV1449" s="1"/>
      <c r="CW1449" s="1"/>
      <c r="CX1449" s="1"/>
      <c r="CY1449" s="1"/>
      <c r="CZ1449" s="1"/>
      <c r="DA1449" s="1"/>
      <c r="DB1449" s="1"/>
      <c r="DC1449" s="1"/>
      <c r="DD1449" s="1"/>
      <c r="DE1449" s="1"/>
      <c r="DF1449" s="1"/>
      <c r="DG1449" s="1"/>
      <c r="DH1449" s="1"/>
      <c r="DI1449" s="1"/>
      <c r="DJ1449" s="1"/>
      <c r="DK1449" s="1"/>
      <c r="ED1449" s="1"/>
      <c r="EK1449" s="1"/>
      <c r="EL1449" s="1"/>
      <c r="EM1449" s="1"/>
      <c r="EN1449" s="1"/>
      <c r="EQ1449" s="1"/>
      <c r="ER1449" s="1"/>
      <c r="ES1449" s="1"/>
      <c r="EV1449" s="1"/>
      <c r="EW1449" s="1"/>
      <c r="EZ1449" s="1"/>
      <c r="GO1449" s="1"/>
      <c r="GP1449" s="1"/>
      <c r="HY1449" s="1"/>
      <c r="HZ1449" s="1"/>
      <c r="IE1449" s="1"/>
      <c r="IN1449" s="1"/>
      <c r="IR1449" s="1"/>
      <c r="IS1449" s="1"/>
      <c r="IW1449" s="1"/>
      <c r="IZ1449" s="1"/>
      <c r="JA1449" s="1"/>
      <c r="JC1449" s="1"/>
      <c r="JF1449" s="1"/>
      <c r="JG1449" s="1"/>
      <c r="JH1449" s="1"/>
      <c r="JJ1449" s="1"/>
      <c r="JP1449" s="1"/>
      <c r="JQ1449" s="1"/>
      <c r="JT1449" s="1"/>
      <c r="KU1449" s="1"/>
      <c r="KV1449" s="1"/>
      <c r="KW1449" s="1"/>
      <c r="KY1449" s="1"/>
      <c r="KZ1449" s="1"/>
      <c r="LA1449" s="1"/>
      <c r="LB1449" s="1"/>
      <c r="LC1449" s="1"/>
      <c r="LD1449" s="1"/>
      <c r="LO1449" s="1"/>
      <c r="LP1449" s="1"/>
      <c r="LZ1449" s="1"/>
      <c r="MA1449" s="1"/>
    </row>
    <row r="1450" spans="4:339" ht="13" x14ac:dyDescent="0.15">
      <c r="D1450" s="12"/>
      <c r="E1450" s="12"/>
      <c r="I1450" s="12"/>
      <c r="J1450" s="13"/>
      <c r="BF1450" s="1"/>
      <c r="BG1450" s="1"/>
      <c r="BH1450" s="1"/>
      <c r="BI1450" s="1"/>
      <c r="BJ1450" s="1"/>
      <c r="BK1450" s="1"/>
      <c r="BL1450" s="1"/>
      <c r="BM1450" s="1"/>
      <c r="BN1450" s="1"/>
      <c r="BO1450" s="1"/>
      <c r="BP1450" s="1"/>
      <c r="BQ1450" s="1"/>
      <c r="BR1450" s="1"/>
      <c r="CD1450" s="1"/>
      <c r="CE1450" s="1"/>
      <c r="CF1450" s="1"/>
      <c r="CM1450" s="2"/>
      <c r="CP1450" s="1"/>
      <c r="CQ1450" s="1"/>
      <c r="CS1450" s="1"/>
      <c r="CT1450" s="1"/>
      <c r="CU1450" s="1"/>
      <c r="CV1450" s="1"/>
      <c r="CW1450" s="1"/>
      <c r="CX1450" s="1"/>
      <c r="CY1450" s="1"/>
      <c r="CZ1450" s="1"/>
      <c r="DA1450" s="1"/>
      <c r="DB1450" s="1"/>
      <c r="DC1450" s="1"/>
      <c r="DD1450" s="1"/>
      <c r="DE1450" s="1"/>
      <c r="DF1450" s="1"/>
      <c r="DG1450" s="1"/>
      <c r="DH1450" s="1"/>
      <c r="DI1450" s="1"/>
      <c r="DJ1450" s="1"/>
      <c r="DK1450" s="1"/>
      <c r="ED1450" s="1"/>
      <c r="EK1450" s="1"/>
      <c r="EL1450" s="1"/>
      <c r="EM1450" s="1"/>
      <c r="EN1450" s="1"/>
      <c r="EQ1450" s="1"/>
      <c r="ER1450" s="1"/>
      <c r="ES1450" s="1"/>
      <c r="EV1450" s="1"/>
      <c r="EW1450" s="1"/>
      <c r="EZ1450" s="1"/>
      <c r="GO1450" s="1"/>
      <c r="GP1450" s="1"/>
      <c r="HY1450" s="1"/>
      <c r="HZ1450" s="1"/>
      <c r="IE1450" s="1"/>
      <c r="IN1450" s="1"/>
      <c r="IR1450" s="1"/>
      <c r="IS1450" s="1"/>
      <c r="IW1450" s="1"/>
      <c r="IZ1450" s="1"/>
      <c r="JA1450" s="1"/>
      <c r="JC1450" s="1"/>
      <c r="JF1450" s="1"/>
      <c r="JG1450" s="1"/>
      <c r="JH1450" s="1"/>
      <c r="JJ1450" s="1"/>
      <c r="JP1450" s="1"/>
      <c r="JQ1450" s="1"/>
      <c r="JT1450" s="1"/>
      <c r="KU1450" s="1"/>
      <c r="KV1450" s="1"/>
      <c r="KW1450" s="1"/>
      <c r="KY1450" s="1"/>
      <c r="KZ1450" s="1"/>
      <c r="LA1450" s="1"/>
      <c r="LB1450" s="1"/>
      <c r="LC1450" s="1"/>
      <c r="LD1450" s="1"/>
      <c r="LO1450" s="1"/>
      <c r="LP1450" s="1"/>
      <c r="LZ1450" s="1"/>
      <c r="MA1450" s="1"/>
    </row>
    <row r="1451" spans="4:339" ht="13" x14ac:dyDescent="0.15">
      <c r="D1451" s="12"/>
      <c r="E1451" s="12"/>
      <c r="I1451" s="12"/>
      <c r="J1451" s="13"/>
      <c r="BF1451" s="1"/>
      <c r="BG1451" s="1"/>
      <c r="BH1451" s="1"/>
      <c r="BI1451" s="1"/>
      <c r="BJ1451" s="1"/>
      <c r="BK1451" s="1"/>
      <c r="BL1451" s="1"/>
      <c r="BM1451" s="1"/>
      <c r="BN1451" s="1"/>
      <c r="BO1451" s="1"/>
      <c r="BP1451" s="1"/>
      <c r="BQ1451" s="1"/>
      <c r="BR1451" s="1"/>
      <c r="CD1451" s="1"/>
      <c r="CE1451" s="1"/>
      <c r="CF1451" s="1"/>
      <c r="CG1451" s="1"/>
      <c r="CM1451" s="2"/>
      <c r="CP1451" s="1"/>
      <c r="CQ1451" s="1"/>
      <c r="CR1451" s="1"/>
      <c r="CS1451" s="1"/>
      <c r="CT1451" s="1"/>
      <c r="CU1451" s="1"/>
      <c r="CV1451" s="1"/>
      <c r="CW1451" s="1"/>
      <c r="CX1451" s="1"/>
      <c r="CY1451" s="1"/>
      <c r="CZ1451" s="1"/>
      <c r="DA1451" s="1"/>
      <c r="DB1451" s="1"/>
      <c r="DC1451" s="1"/>
      <c r="DD1451" s="1"/>
      <c r="DE1451" s="1"/>
      <c r="DF1451" s="1"/>
      <c r="DG1451" s="1"/>
      <c r="DH1451" s="1"/>
      <c r="DI1451" s="1"/>
      <c r="DJ1451" s="1"/>
      <c r="DK1451" s="1"/>
      <c r="ED1451" s="1"/>
      <c r="EK1451" s="1"/>
      <c r="EL1451" s="1"/>
      <c r="EM1451" s="1"/>
      <c r="EN1451" s="1"/>
      <c r="EQ1451" s="1"/>
      <c r="ER1451" s="1"/>
      <c r="ES1451" s="1"/>
      <c r="EV1451" s="1"/>
      <c r="EW1451" s="1"/>
      <c r="EZ1451" s="1"/>
      <c r="GP1451" s="1"/>
      <c r="HY1451" s="1"/>
      <c r="IE1451" s="1"/>
      <c r="IR1451" s="1"/>
      <c r="IS1451" s="1"/>
      <c r="IZ1451" s="1"/>
      <c r="JF1451" s="1"/>
      <c r="JG1451" s="1"/>
      <c r="JH1451" s="1"/>
      <c r="JJ1451" s="1"/>
      <c r="JN1451" s="1"/>
      <c r="JP1451" s="1"/>
      <c r="JQ1451" s="1"/>
      <c r="JT1451" s="1"/>
      <c r="KU1451" s="1"/>
      <c r="KV1451" s="1"/>
      <c r="KY1451" s="1"/>
      <c r="KZ1451" s="1"/>
      <c r="LA1451" s="1"/>
      <c r="LB1451" s="1"/>
      <c r="LC1451" s="1"/>
      <c r="LD1451" s="1"/>
      <c r="LO1451" s="1"/>
      <c r="LP1451" s="1"/>
      <c r="LZ1451" s="1"/>
      <c r="MA1451" s="1"/>
    </row>
    <row r="1452" spans="4:339" ht="13" x14ac:dyDescent="0.15">
      <c r="D1452" s="12"/>
      <c r="E1452" s="12"/>
      <c r="I1452" s="12"/>
      <c r="J1452" s="13"/>
      <c r="BF1452" s="1"/>
      <c r="BG1452" s="1"/>
      <c r="BH1452" s="1"/>
      <c r="BI1452" s="1"/>
      <c r="BJ1452" s="1"/>
      <c r="BK1452" s="1"/>
      <c r="BL1452" s="1"/>
      <c r="BM1452" s="1"/>
      <c r="BN1452" s="1"/>
      <c r="BO1452" s="1"/>
      <c r="BP1452" s="1"/>
      <c r="BQ1452" s="1"/>
      <c r="BR1452" s="1"/>
      <c r="CD1452" s="1"/>
      <c r="CE1452" s="1"/>
      <c r="CF1452" s="1"/>
      <c r="CG1452" s="1"/>
      <c r="CM1452" s="2"/>
      <c r="CP1452" s="1"/>
      <c r="CQ1452" s="1"/>
      <c r="CR1452" s="1"/>
      <c r="CS1452" s="1"/>
      <c r="CT1452" s="1"/>
      <c r="CU1452" s="1"/>
      <c r="CV1452" s="1"/>
      <c r="CW1452" s="1"/>
      <c r="CX1452" s="1"/>
      <c r="CY1452" s="1"/>
      <c r="CZ1452" s="1"/>
      <c r="DA1452" s="1"/>
      <c r="DB1452" s="1"/>
      <c r="DC1452" s="1"/>
      <c r="DD1452" s="1"/>
      <c r="DE1452" s="1"/>
      <c r="DF1452" s="1"/>
      <c r="DG1452" s="1"/>
      <c r="DH1452" s="1"/>
      <c r="DI1452" s="1"/>
      <c r="DJ1452" s="1"/>
      <c r="DK1452" s="1"/>
      <c r="ED1452" s="1"/>
      <c r="EK1452" s="1"/>
      <c r="EL1452" s="1"/>
      <c r="EM1452" s="1"/>
      <c r="EN1452" s="1"/>
      <c r="EQ1452" s="1"/>
      <c r="ER1452" s="1"/>
      <c r="ES1452" s="1"/>
      <c r="EV1452" s="1"/>
      <c r="EW1452" s="1"/>
      <c r="EZ1452" s="1"/>
      <c r="GP1452" s="1"/>
      <c r="HY1452" s="1"/>
      <c r="IE1452" s="1"/>
      <c r="IR1452" s="1"/>
      <c r="IS1452" s="1"/>
      <c r="IZ1452" s="1"/>
      <c r="JF1452" s="1"/>
      <c r="JG1452" s="1"/>
      <c r="JH1452" s="1"/>
      <c r="JJ1452" s="1"/>
      <c r="JN1452" s="1"/>
      <c r="JP1452" s="1"/>
      <c r="JQ1452" s="1"/>
      <c r="JT1452" s="1"/>
      <c r="KU1452" s="1"/>
      <c r="KV1452" s="1"/>
      <c r="KY1452" s="1"/>
      <c r="KZ1452" s="1"/>
      <c r="LA1452" s="1"/>
      <c r="LB1452" s="1"/>
      <c r="LC1452" s="1"/>
      <c r="LD1452" s="1"/>
      <c r="LO1452" s="1"/>
      <c r="LP1452" s="1"/>
      <c r="LZ1452" s="1"/>
      <c r="MA1452" s="1"/>
    </row>
    <row r="1453" spans="4:339" ht="13" x14ac:dyDescent="0.15">
      <c r="D1453" s="12"/>
      <c r="E1453" s="12"/>
      <c r="I1453" s="12"/>
      <c r="J1453" s="13"/>
      <c r="BF1453" s="1"/>
      <c r="BG1453" s="1"/>
      <c r="BH1453" s="1"/>
      <c r="BI1453" s="1"/>
      <c r="BJ1453" s="1"/>
      <c r="BK1453" s="1"/>
      <c r="BL1453" s="1"/>
      <c r="BM1453" s="1"/>
      <c r="BN1453" s="1"/>
      <c r="BO1453" s="1"/>
      <c r="BP1453" s="1"/>
      <c r="BQ1453" s="1"/>
      <c r="BR1453" s="1"/>
      <c r="CD1453" s="1"/>
      <c r="CE1453" s="1"/>
      <c r="CF1453" s="1"/>
      <c r="CG1453" s="1"/>
      <c r="CM1453" s="2"/>
      <c r="CP1453" s="1"/>
      <c r="CQ1453" s="1"/>
      <c r="CR1453" s="1"/>
      <c r="CS1453" s="1"/>
      <c r="CT1453" s="1"/>
      <c r="CU1453" s="1"/>
      <c r="CV1453" s="1"/>
      <c r="CW1453" s="1"/>
      <c r="CX1453" s="1"/>
      <c r="CY1453" s="1"/>
      <c r="CZ1453" s="1"/>
      <c r="DA1453" s="1"/>
      <c r="DB1453" s="1"/>
      <c r="DC1453" s="1"/>
      <c r="DD1453" s="1"/>
      <c r="DE1453" s="1"/>
      <c r="DF1453" s="1"/>
      <c r="DG1453" s="1"/>
      <c r="DH1453" s="1"/>
      <c r="DI1453" s="1"/>
      <c r="DJ1453" s="1"/>
      <c r="DK1453" s="1"/>
      <c r="ED1453" s="1"/>
      <c r="EK1453" s="1"/>
      <c r="EL1453" s="1"/>
      <c r="EM1453" s="1"/>
      <c r="EN1453" s="1"/>
      <c r="EQ1453" s="1"/>
      <c r="ER1453" s="1"/>
      <c r="ES1453" s="1"/>
      <c r="EV1453" s="1"/>
      <c r="EW1453" s="1"/>
      <c r="EZ1453" s="1"/>
      <c r="GP1453" s="1"/>
      <c r="HY1453" s="1"/>
      <c r="IE1453" s="1"/>
      <c r="IR1453" s="1"/>
      <c r="IS1453" s="1"/>
      <c r="IZ1453" s="1"/>
      <c r="JF1453" s="1"/>
      <c r="JG1453" s="1"/>
      <c r="JH1453" s="1"/>
      <c r="JJ1453" s="1"/>
      <c r="JN1453" s="1"/>
      <c r="JP1453" s="1"/>
      <c r="JQ1453" s="1"/>
      <c r="JT1453" s="1"/>
      <c r="KU1453" s="1"/>
      <c r="KV1453" s="1"/>
      <c r="KY1453" s="1"/>
      <c r="KZ1453" s="1"/>
      <c r="LA1453" s="1"/>
      <c r="LB1453" s="1"/>
      <c r="LC1453" s="1"/>
      <c r="LD1453" s="1"/>
      <c r="LO1453" s="1"/>
      <c r="LP1453" s="1"/>
      <c r="LZ1453" s="1"/>
      <c r="MA1453" s="1"/>
    </row>
    <row r="1454" spans="4:339" ht="13" x14ac:dyDescent="0.15">
      <c r="D1454" s="12"/>
      <c r="E1454" s="12"/>
      <c r="I1454" s="12"/>
      <c r="J1454" s="13"/>
      <c r="BF1454" s="1"/>
      <c r="BG1454" s="1"/>
      <c r="BH1454" s="1"/>
      <c r="BI1454" s="1"/>
      <c r="BJ1454" s="1"/>
      <c r="BK1454" s="1"/>
      <c r="BL1454" s="1"/>
      <c r="BM1454" s="1"/>
      <c r="BN1454" s="1"/>
      <c r="BO1454" s="1"/>
      <c r="BP1454" s="1"/>
      <c r="BQ1454" s="1"/>
      <c r="BR1454" s="1"/>
      <c r="CD1454" s="1"/>
      <c r="CE1454" s="1"/>
      <c r="CF1454" s="1"/>
      <c r="CG1454" s="1"/>
      <c r="CM1454" s="2"/>
      <c r="CP1454" s="1"/>
      <c r="CQ1454" s="1"/>
      <c r="CR1454" s="1"/>
      <c r="CS1454" s="1"/>
      <c r="CT1454" s="1"/>
      <c r="CU1454" s="1"/>
      <c r="CV1454" s="1"/>
      <c r="CW1454" s="1"/>
      <c r="CX1454" s="1"/>
      <c r="CY1454" s="1"/>
      <c r="CZ1454" s="1"/>
      <c r="DA1454" s="1"/>
      <c r="DB1454" s="1"/>
      <c r="DC1454" s="1"/>
      <c r="DD1454" s="1"/>
      <c r="DE1454" s="1"/>
      <c r="DF1454" s="1"/>
      <c r="DG1454" s="1"/>
      <c r="DH1454" s="1"/>
      <c r="DI1454" s="1"/>
      <c r="DJ1454" s="1"/>
      <c r="DK1454" s="1"/>
      <c r="ED1454" s="1"/>
      <c r="EK1454" s="1"/>
      <c r="EL1454" s="1"/>
      <c r="EM1454" s="1"/>
      <c r="EN1454" s="1"/>
      <c r="EQ1454" s="1"/>
      <c r="ER1454" s="1"/>
      <c r="ES1454" s="1"/>
      <c r="EV1454" s="1"/>
      <c r="EW1454" s="1"/>
      <c r="EZ1454" s="1"/>
      <c r="GP1454" s="1"/>
      <c r="HY1454" s="1"/>
      <c r="IE1454" s="1"/>
      <c r="IR1454" s="1"/>
      <c r="IS1454" s="1"/>
      <c r="IZ1454" s="1"/>
      <c r="JF1454" s="1"/>
      <c r="JG1454" s="1"/>
      <c r="JH1454" s="1"/>
      <c r="JJ1454" s="1"/>
      <c r="JN1454" s="1"/>
      <c r="JP1454" s="1"/>
      <c r="JQ1454" s="1"/>
      <c r="JT1454" s="1"/>
      <c r="KU1454" s="1"/>
      <c r="KV1454" s="1"/>
      <c r="KY1454" s="1"/>
      <c r="KZ1454" s="1"/>
      <c r="LA1454" s="1"/>
      <c r="LB1454" s="1"/>
      <c r="LC1454" s="1"/>
      <c r="LD1454" s="1"/>
      <c r="LO1454" s="1"/>
      <c r="LP1454" s="1"/>
      <c r="LZ1454" s="1"/>
      <c r="MA1454" s="1"/>
    </row>
    <row r="1455" spans="4:339" ht="13" x14ac:dyDescent="0.15">
      <c r="D1455" s="12"/>
      <c r="E1455" s="12"/>
      <c r="I1455" s="12"/>
      <c r="J1455" s="13"/>
      <c r="BF1455" s="1"/>
      <c r="BG1455" s="1"/>
      <c r="BH1455" s="1"/>
      <c r="BI1455" s="1"/>
      <c r="BJ1455" s="1"/>
      <c r="BK1455" s="1"/>
      <c r="BL1455" s="1"/>
      <c r="BM1455" s="1"/>
      <c r="BN1455" s="1"/>
      <c r="BO1455" s="1"/>
      <c r="BP1455" s="1"/>
      <c r="BQ1455" s="1"/>
      <c r="BR1455" s="1"/>
      <c r="CD1455" s="1"/>
      <c r="CE1455" s="1"/>
      <c r="CF1455" s="1"/>
      <c r="CG1455" s="1"/>
      <c r="CM1455" s="2"/>
      <c r="CP1455" s="1"/>
      <c r="CQ1455" s="1"/>
      <c r="CR1455" s="1"/>
      <c r="CS1455" s="1"/>
      <c r="CT1455" s="1"/>
      <c r="CU1455" s="1"/>
      <c r="CV1455" s="1"/>
      <c r="CW1455" s="1"/>
      <c r="CX1455" s="1"/>
      <c r="CY1455" s="1"/>
      <c r="CZ1455" s="1"/>
      <c r="DA1455" s="1"/>
      <c r="DB1455" s="1"/>
      <c r="DC1455" s="1"/>
      <c r="DD1455" s="1"/>
      <c r="DE1455" s="1"/>
      <c r="DF1455" s="1"/>
      <c r="DG1455" s="1"/>
      <c r="DH1455" s="1"/>
      <c r="DI1455" s="1"/>
      <c r="DJ1455" s="1"/>
      <c r="DK1455" s="1"/>
      <c r="ED1455" s="1"/>
      <c r="EK1455" s="1"/>
      <c r="EL1455" s="1"/>
      <c r="EM1455" s="1"/>
      <c r="EN1455" s="1"/>
      <c r="EQ1455" s="1"/>
      <c r="ER1455" s="1"/>
      <c r="ES1455" s="1"/>
      <c r="EV1455" s="1"/>
      <c r="EW1455" s="1"/>
      <c r="EZ1455" s="1"/>
      <c r="GP1455" s="1"/>
      <c r="HY1455" s="1"/>
      <c r="IE1455" s="1"/>
      <c r="IR1455" s="1"/>
      <c r="IS1455" s="1"/>
      <c r="IZ1455" s="1"/>
      <c r="JF1455" s="1"/>
      <c r="JG1455" s="1"/>
      <c r="JH1455" s="1"/>
      <c r="JJ1455" s="1"/>
      <c r="JN1455" s="1"/>
      <c r="JP1455" s="1"/>
      <c r="JQ1455" s="1"/>
      <c r="JT1455" s="1"/>
      <c r="KU1455" s="1"/>
      <c r="KV1455" s="1"/>
      <c r="KY1455" s="1"/>
      <c r="KZ1455" s="1"/>
      <c r="LA1455" s="1"/>
      <c r="LB1455" s="1"/>
      <c r="LC1455" s="1"/>
      <c r="LD1455" s="1"/>
      <c r="LO1455" s="1"/>
      <c r="LP1455" s="1"/>
      <c r="LZ1455" s="1"/>
      <c r="MA1455" s="1"/>
    </row>
    <row r="1456" spans="4:339" ht="13" x14ac:dyDescent="0.15">
      <c r="D1456" s="12"/>
      <c r="E1456" s="12"/>
      <c r="I1456" s="12"/>
      <c r="J1456" s="13"/>
      <c r="BF1456" s="1"/>
      <c r="BG1456" s="1"/>
      <c r="BH1456" s="1"/>
      <c r="BI1456" s="1"/>
      <c r="BJ1456" s="1"/>
      <c r="BK1456" s="1"/>
      <c r="BL1456" s="1"/>
      <c r="BM1456" s="1"/>
      <c r="BN1456" s="1"/>
      <c r="BO1456" s="1"/>
      <c r="BP1456" s="1"/>
      <c r="BQ1456" s="1"/>
      <c r="BR1456" s="1"/>
      <c r="CD1456" s="1"/>
      <c r="CE1456" s="1"/>
      <c r="CF1456" s="1"/>
      <c r="CG1456" s="1"/>
      <c r="CM1456" s="2"/>
      <c r="CP1456" s="1"/>
      <c r="CQ1456" s="1"/>
      <c r="CR1456" s="1"/>
      <c r="CS1456" s="1"/>
      <c r="CT1456" s="1"/>
      <c r="CU1456" s="1"/>
      <c r="CV1456" s="1"/>
      <c r="CW1456" s="1"/>
      <c r="CX1456" s="1"/>
      <c r="CY1456" s="1"/>
      <c r="CZ1456" s="1"/>
      <c r="DA1456" s="1"/>
      <c r="DB1456" s="1"/>
      <c r="DC1456" s="1"/>
      <c r="DD1456" s="1"/>
      <c r="DE1456" s="1"/>
      <c r="DF1456" s="1"/>
      <c r="DG1456" s="1"/>
      <c r="DH1456" s="1"/>
      <c r="DI1456" s="1"/>
      <c r="DJ1456" s="1"/>
      <c r="DK1456" s="1"/>
      <c r="ED1456" s="1"/>
      <c r="EK1456" s="1"/>
      <c r="EL1456" s="1"/>
      <c r="EM1456" s="1"/>
      <c r="EN1456" s="1"/>
      <c r="EQ1456" s="1"/>
      <c r="ER1456" s="1"/>
      <c r="ES1456" s="1"/>
      <c r="EV1456" s="1"/>
      <c r="EW1456" s="1"/>
      <c r="EZ1456" s="1"/>
      <c r="GP1456" s="1"/>
      <c r="HY1456" s="1"/>
      <c r="IE1456" s="1"/>
      <c r="IR1456" s="1"/>
      <c r="IS1456" s="1"/>
      <c r="IZ1456" s="1"/>
      <c r="JF1456" s="1"/>
      <c r="JG1456" s="1"/>
      <c r="JH1456" s="1"/>
      <c r="JJ1456" s="1"/>
      <c r="JN1456" s="1"/>
      <c r="JP1456" s="1"/>
      <c r="JQ1456" s="1"/>
      <c r="JT1456" s="1"/>
      <c r="KU1456" s="1"/>
      <c r="KV1456" s="1"/>
      <c r="KY1456" s="1"/>
      <c r="KZ1456" s="1"/>
      <c r="LA1456" s="1"/>
      <c r="LB1456" s="1"/>
      <c r="LC1456" s="1"/>
      <c r="LD1456" s="1"/>
      <c r="LO1456" s="1"/>
      <c r="LP1456" s="1"/>
      <c r="LZ1456" s="1"/>
      <c r="MA1456" s="1"/>
    </row>
    <row r="1457" spans="4:339" ht="13" x14ac:dyDescent="0.15">
      <c r="D1457" s="12"/>
      <c r="E1457" s="12"/>
      <c r="I1457" s="12"/>
      <c r="J1457" s="13"/>
      <c r="BF1457" s="1"/>
      <c r="BG1457" s="1"/>
      <c r="BH1457" s="1"/>
      <c r="BI1457" s="1"/>
      <c r="BJ1457" s="1"/>
      <c r="BK1457" s="1"/>
      <c r="BL1457" s="1"/>
      <c r="BM1457" s="1"/>
      <c r="BN1457" s="1"/>
      <c r="BO1457" s="1"/>
      <c r="BP1457" s="1"/>
      <c r="BQ1457" s="1"/>
      <c r="BR1457" s="1"/>
      <c r="CD1457" s="1"/>
      <c r="CE1457" s="1"/>
      <c r="CF1457" s="1"/>
      <c r="CG1457" s="1"/>
      <c r="CM1457" s="2"/>
      <c r="CP1457" s="1"/>
      <c r="CQ1457" s="1"/>
      <c r="CR1457" s="1"/>
      <c r="CS1457" s="1"/>
      <c r="CT1457" s="1"/>
      <c r="CU1457" s="1"/>
      <c r="CV1457" s="1"/>
      <c r="CW1457" s="1"/>
      <c r="CX1457" s="1"/>
      <c r="CY1457" s="1"/>
      <c r="CZ1457" s="1"/>
      <c r="DA1457" s="1"/>
      <c r="DB1457" s="1"/>
      <c r="DC1457" s="1"/>
      <c r="DD1457" s="1"/>
      <c r="DE1457" s="1"/>
      <c r="DF1457" s="1"/>
      <c r="DG1457" s="1"/>
      <c r="DH1457" s="1"/>
      <c r="DI1457" s="1"/>
      <c r="DJ1457" s="1"/>
      <c r="DK1457" s="1"/>
      <c r="ED1457" s="1"/>
      <c r="EK1457" s="1"/>
      <c r="EL1457" s="1"/>
      <c r="EM1457" s="1"/>
      <c r="EN1457" s="1"/>
      <c r="EQ1457" s="1"/>
      <c r="ER1457" s="1"/>
      <c r="ES1457" s="1"/>
      <c r="EV1457" s="1"/>
      <c r="EW1457" s="1"/>
      <c r="EZ1457" s="1"/>
      <c r="GP1457" s="1"/>
      <c r="HY1457" s="1"/>
      <c r="IE1457" s="1"/>
      <c r="IR1457" s="1"/>
      <c r="IS1457" s="1"/>
      <c r="IZ1457" s="1"/>
      <c r="JF1457" s="1"/>
      <c r="JG1457" s="1"/>
      <c r="JH1457" s="1"/>
      <c r="JJ1457" s="1"/>
      <c r="JN1457" s="1"/>
      <c r="JP1457" s="1"/>
      <c r="JQ1457" s="1"/>
      <c r="JT1457" s="1"/>
      <c r="KU1457" s="1"/>
      <c r="KV1457" s="1"/>
      <c r="KY1457" s="1"/>
      <c r="KZ1457" s="1"/>
      <c r="LA1457" s="1"/>
      <c r="LB1457" s="1"/>
      <c r="LC1457" s="1"/>
      <c r="LD1457" s="1"/>
      <c r="LO1457" s="1"/>
      <c r="LP1457" s="1"/>
      <c r="LZ1457" s="1"/>
      <c r="MA1457" s="1"/>
    </row>
    <row r="1458" spans="4:339" ht="13" x14ac:dyDescent="0.15">
      <c r="D1458" s="12"/>
      <c r="E1458" s="12"/>
      <c r="I1458" s="12"/>
      <c r="J1458" s="13"/>
      <c r="BF1458" s="1"/>
      <c r="BG1458" s="1"/>
      <c r="BH1458" s="1"/>
      <c r="BI1458" s="1"/>
      <c r="BJ1458" s="1"/>
      <c r="BK1458" s="1"/>
      <c r="BL1458" s="1"/>
      <c r="BM1458" s="1"/>
      <c r="BN1458" s="1"/>
      <c r="BO1458" s="1"/>
      <c r="BP1458" s="1"/>
      <c r="BQ1458" s="1"/>
      <c r="BR1458" s="1"/>
      <c r="CD1458" s="1"/>
      <c r="CE1458" s="1"/>
      <c r="CF1458" s="1"/>
      <c r="CG1458" s="1"/>
      <c r="CM1458" s="2"/>
      <c r="CP1458" s="1"/>
      <c r="CQ1458" s="1"/>
      <c r="CR1458" s="1"/>
      <c r="CS1458" s="1"/>
      <c r="CT1458" s="1"/>
      <c r="CU1458" s="1"/>
      <c r="CV1458" s="1"/>
      <c r="CW1458" s="1"/>
      <c r="CX1458" s="1"/>
      <c r="CY1458" s="1"/>
      <c r="CZ1458" s="1"/>
      <c r="DA1458" s="1"/>
      <c r="DB1458" s="1"/>
      <c r="DC1458" s="1"/>
      <c r="DD1458" s="1"/>
      <c r="DE1458" s="1"/>
      <c r="DF1458" s="1"/>
      <c r="DG1458" s="1"/>
      <c r="DH1458" s="1"/>
      <c r="DI1458" s="1"/>
      <c r="DJ1458" s="1"/>
      <c r="DK1458" s="1"/>
      <c r="ED1458" s="1"/>
      <c r="EK1458" s="1"/>
      <c r="EL1458" s="1"/>
      <c r="EM1458" s="1"/>
      <c r="EN1458" s="1"/>
      <c r="EQ1458" s="1"/>
      <c r="ER1458" s="1"/>
      <c r="ES1458" s="1"/>
      <c r="EV1458" s="1"/>
      <c r="EW1458" s="1"/>
      <c r="EZ1458" s="1"/>
      <c r="GP1458" s="1"/>
      <c r="HY1458" s="1"/>
      <c r="IE1458" s="1"/>
      <c r="IR1458" s="1"/>
      <c r="IS1458" s="1"/>
      <c r="IZ1458" s="1"/>
      <c r="JF1458" s="1"/>
      <c r="JG1458" s="1"/>
      <c r="JH1458" s="1"/>
      <c r="JJ1458" s="1"/>
      <c r="JN1458" s="1"/>
      <c r="JP1458" s="1"/>
      <c r="JQ1458" s="1"/>
      <c r="JT1458" s="1"/>
      <c r="KU1458" s="1"/>
      <c r="KV1458" s="1"/>
      <c r="KY1458" s="1"/>
      <c r="KZ1458" s="1"/>
      <c r="LA1458" s="1"/>
      <c r="LB1458" s="1"/>
      <c r="LC1458" s="1"/>
      <c r="LD1458" s="1"/>
      <c r="LO1458" s="1"/>
      <c r="LP1458" s="1"/>
      <c r="LZ1458" s="1"/>
      <c r="MA1458" s="1"/>
    </row>
    <row r="1459" spans="4:339" ht="13" x14ac:dyDescent="0.15">
      <c r="D1459" s="12"/>
      <c r="E1459" s="12"/>
      <c r="I1459" s="12"/>
      <c r="J1459" s="13"/>
      <c r="BF1459" s="1"/>
      <c r="BG1459" s="1"/>
      <c r="BH1459" s="1"/>
      <c r="BI1459" s="1"/>
      <c r="BJ1459" s="1"/>
      <c r="BK1459" s="1"/>
      <c r="BL1459" s="1"/>
      <c r="BM1459" s="1"/>
      <c r="BN1459" s="1"/>
      <c r="BO1459" s="1"/>
      <c r="BP1459" s="1"/>
      <c r="BQ1459" s="1"/>
      <c r="BR1459" s="1"/>
      <c r="CD1459" s="1"/>
      <c r="CE1459" s="1"/>
      <c r="CF1459" s="1"/>
      <c r="CG1459" s="1"/>
      <c r="CM1459" s="2"/>
      <c r="CP1459" s="1"/>
      <c r="CQ1459" s="1"/>
      <c r="CR1459" s="1"/>
      <c r="CS1459" s="1"/>
      <c r="CT1459" s="1"/>
      <c r="CU1459" s="1"/>
      <c r="CV1459" s="1"/>
      <c r="CW1459" s="1"/>
      <c r="CX1459" s="1"/>
      <c r="CY1459" s="1"/>
      <c r="CZ1459" s="1"/>
      <c r="DA1459" s="1"/>
      <c r="DB1459" s="1"/>
      <c r="DC1459" s="1"/>
      <c r="DD1459" s="1"/>
      <c r="DE1459" s="1"/>
      <c r="DF1459" s="1"/>
      <c r="DG1459" s="1"/>
      <c r="DH1459" s="1"/>
      <c r="DI1459" s="1"/>
      <c r="DJ1459" s="1"/>
      <c r="DK1459" s="1"/>
      <c r="ED1459" s="1"/>
      <c r="EK1459" s="1"/>
      <c r="EL1459" s="1"/>
      <c r="EM1459" s="1"/>
      <c r="EN1459" s="1"/>
      <c r="EQ1459" s="1"/>
      <c r="ER1459" s="1"/>
      <c r="ES1459" s="1"/>
      <c r="EV1459" s="1"/>
      <c r="EW1459" s="1"/>
      <c r="EZ1459" s="1"/>
      <c r="GP1459" s="1"/>
      <c r="HY1459" s="1"/>
      <c r="IE1459" s="1"/>
      <c r="IR1459" s="1"/>
      <c r="IS1459" s="1"/>
      <c r="IZ1459" s="1"/>
      <c r="JF1459" s="1"/>
      <c r="JG1459" s="1"/>
      <c r="JH1459" s="1"/>
      <c r="JJ1459" s="1"/>
      <c r="JN1459" s="1"/>
      <c r="JP1459" s="1"/>
      <c r="JQ1459" s="1"/>
      <c r="JT1459" s="1"/>
      <c r="KU1459" s="1"/>
      <c r="KV1459" s="1"/>
      <c r="KY1459" s="1"/>
      <c r="KZ1459" s="1"/>
      <c r="LA1459" s="1"/>
      <c r="LB1459" s="1"/>
      <c r="LC1459" s="1"/>
      <c r="LD1459" s="1"/>
      <c r="LO1459" s="1"/>
      <c r="LP1459" s="1"/>
      <c r="LZ1459" s="1"/>
      <c r="MA1459" s="1"/>
    </row>
    <row r="1460" spans="4:339" ht="13" x14ac:dyDescent="0.15">
      <c r="D1460" s="12"/>
      <c r="E1460" s="12"/>
      <c r="I1460" s="12"/>
      <c r="J1460" s="13"/>
      <c r="BF1460" s="1"/>
      <c r="BG1460" s="1"/>
      <c r="BH1460" s="1"/>
      <c r="BI1460" s="1"/>
      <c r="BJ1460" s="1"/>
      <c r="BK1460" s="1"/>
      <c r="BL1460" s="1"/>
      <c r="BM1460" s="1"/>
      <c r="BN1460" s="1"/>
      <c r="BO1460" s="1"/>
      <c r="BP1460" s="1"/>
      <c r="BQ1460" s="1"/>
      <c r="BR1460" s="1"/>
      <c r="CD1460" s="1"/>
      <c r="CE1460" s="1"/>
      <c r="CF1460" s="1"/>
      <c r="CG1460" s="1"/>
      <c r="CM1460" s="2"/>
      <c r="CP1460" s="1"/>
      <c r="CQ1460" s="1"/>
      <c r="CR1460" s="1"/>
      <c r="CS1460" s="1"/>
      <c r="CT1460" s="1"/>
      <c r="CU1460" s="1"/>
      <c r="CV1460" s="1"/>
      <c r="CW1460" s="1"/>
      <c r="CX1460" s="1"/>
      <c r="CY1460" s="1"/>
      <c r="CZ1460" s="1"/>
      <c r="DA1460" s="1"/>
      <c r="DB1460" s="1"/>
      <c r="DC1460" s="1"/>
      <c r="DD1460" s="1"/>
      <c r="DE1460" s="1"/>
      <c r="DF1460" s="1"/>
      <c r="DG1460" s="1"/>
      <c r="DH1460" s="1"/>
      <c r="DI1460" s="1"/>
      <c r="DJ1460" s="1"/>
      <c r="DK1460" s="1"/>
      <c r="ED1460" s="1"/>
      <c r="EK1460" s="1"/>
      <c r="EL1460" s="1"/>
      <c r="EM1460" s="1"/>
      <c r="EN1460" s="1"/>
      <c r="EQ1460" s="1"/>
      <c r="ER1460" s="1"/>
      <c r="ES1460" s="1"/>
      <c r="EV1460" s="1"/>
      <c r="EW1460" s="1"/>
      <c r="EZ1460" s="1"/>
      <c r="GP1460" s="1"/>
      <c r="HY1460" s="1"/>
      <c r="IE1460" s="1"/>
      <c r="IR1460" s="1"/>
      <c r="IS1460" s="1"/>
      <c r="IZ1460" s="1"/>
      <c r="JF1460" s="1"/>
      <c r="JG1460" s="1"/>
      <c r="JH1460" s="1"/>
      <c r="JJ1460" s="1"/>
      <c r="JN1460" s="1"/>
      <c r="JP1460" s="1"/>
      <c r="JQ1460" s="1"/>
      <c r="JT1460" s="1"/>
      <c r="KU1460" s="1"/>
      <c r="KV1460" s="1"/>
      <c r="KY1460" s="1"/>
      <c r="KZ1460" s="1"/>
      <c r="LA1460" s="1"/>
      <c r="LB1460" s="1"/>
      <c r="LC1460" s="1"/>
      <c r="LD1460" s="1"/>
      <c r="LO1460" s="1"/>
      <c r="LP1460" s="1"/>
      <c r="LZ1460" s="1"/>
      <c r="MA1460" s="1"/>
    </row>
    <row r="1461" spans="4:339" ht="13" x14ac:dyDescent="0.15">
      <c r="D1461" s="12"/>
      <c r="E1461" s="12"/>
      <c r="I1461" s="12"/>
      <c r="J1461" s="13"/>
      <c r="BF1461" s="1"/>
      <c r="BG1461" s="1"/>
      <c r="BH1461" s="1"/>
      <c r="BI1461" s="1"/>
      <c r="BJ1461" s="1"/>
      <c r="BK1461" s="1"/>
      <c r="BL1461" s="1"/>
      <c r="BM1461" s="1"/>
      <c r="BN1461" s="1"/>
      <c r="BO1461" s="1"/>
      <c r="BP1461" s="1"/>
      <c r="BQ1461" s="1"/>
      <c r="BR1461" s="1"/>
      <c r="CD1461" s="1"/>
      <c r="CE1461" s="1"/>
      <c r="CF1461" s="1"/>
      <c r="CG1461" s="1"/>
      <c r="CM1461" s="2"/>
      <c r="CP1461" s="1"/>
      <c r="CQ1461" s="1"/>
      <c r="CR1461" s="1"/>
      <c r="CS1461" s="1"/>
      <c r="CT1461" s="1"/>
      <c r="CU1461" s="1"/>
      <c r="CV1461" s="1"/>
      <c r="CW1461" s="1"/>
      <c r="CX1461" s="1"/>
      <c r="CY1461" s="1"/>
      <c r="CZ1461" s="1"/>
      <c r="DA1461" s="1"/>
      <c r="DB1461" s="1"/>
      <c r="DC1461" s="1"/>
      <c r="DD1461" s="1"/>
      <c r="DE1461" s="1"/>
      <c r="DF1461" s="1"/>
      <c r="DG1461" s="1"/>
      <c r="DH1461" s="1"/>
      <c r="DI1461" s="1"/>
      <c r="DJ1461" s="1"/>
      <c r="DK1461" s="1"/>
      <c r="ED1461" s="1"/>
      <c r="EK1461" s="1"/>
      <c r="EL1461" s="1"/>
      <c r="EM1461" s="1"/>
      <c r="EN1461" s="1"/>
      <c r="EQ1461" s="1"/>
      <c r="ER1461" s="1"/>
      <c r="ES1461" s="1"/>
      <c r="EV1461" s="1"/>
      <c r="EW1461" s="1"/>
      <c r="EZ1461" s="1"/>
      <c r="GP1461" s="1"/>
      <c r="HY1461" s="1"/>
      <c r="IE1461" s="1"/>
      <c r="IR1461" s="1"/>
      <c r="IS1461" s="1"/>
      <c r="IZ1461" s="1"/>
      <c r="JF1461" s="1"/>
      <c r="JG1461" s="1"/>
      <c r="JH1461" s="1"/>
      <c r="JJ1461" s="1"/>
      <c r="JN1461" s="1"/>
      <c r="JP1461" s="1"/>
      <c r="JQ1461" s="1"/>
      <c r="JT1461" s="1"/>
      <c r="KU1461" s="1"/>
      <c r="KV1461" s="1"/>
      <c r="KY1461" s="1"/>
      <c r="KZ1461" s="1"/>
      <c r="LA1461" s="1"/>
      <c r="LB1461" s="1"/>
      <c r="LC1461" s="1"/>
      <c r="LD1461" s="1"/>
      <c r="LO1461" s="1"/>
      <c r="LP1461" s="1"/>
      <c r="LZ1461" s="1"/>
      <c r="MA1461" s="1"/>
    </row>
    <row r="1462" spans="4:339" ht="13" x14ac:dyDescent="0.15">
      <c r="D1462" s="12"/>
      <c r="E1462" s="12"/>
      <c r="I1462" s="12"/>
      <c r="J1462" s="13"/>
      <c r="BF1462" s="1"/>
      <c r="BG1462" s="1"/>
      <c r="BH1462" s="1"/>
      <c r="BI1462" s="1"/>
      <c r="BJ1462" s="1"/>
      <c r="BK1462" s="1"/>
      <c r="BL1462" s="1"/>
      <c r="BM1462" s="1"/>
      <c r="BN1462" s="1"/>
      <c r="BO1462" s="1"/>
      <c r="BP1462" s="1"/>
      <c r="BQ1462" s="1"/>
      <c r="BR1462" s="1"/>
      <c r="CD1462" s="1"/>
      <c r="CE1462" s="1"/>
      <c r="CF1462" s="1"/>
      <c r="CG1462" s="1"/>
      <c r="CM1462" s="2"/>
      <c r="CP1462" s="1"/>
      <c r="CQ1462" s="1"/>
      <c r="CR1462" s="1"/>
      <c r="CS1462" s="1"/>
      <c r="CT1462" s="1"/>
      <c r="CU1462" s="1"/>
      <c r="CV1462" s="1"/>
      <c r="CW1462" s="1"/>
      <c r="CX1462" s="1"/>
      <c r="CY1462" s="1"/>
      <c r="CZ1462" s="1"/>
      <c r="DA1462" s="1"/>
      <c r="DB1462" s="1"/>
      <c r="DC1462" s="1"/>
      <c r="DD1462" s="1"/>
      <c r="DE1462" s="1"/>
      <c r="DF1462" s="1"/>
      <c r="DG1462" s="1"/>
      <c r="DH1462" s="1"/>
      <c r="DI1462" s="1"/>
      <c r="DJ1462" s="1"/>
      <c r="DK1462" s="1"/>
      <c r="ED1462" s="1"/>
      <c r="EK1462" s="1"/>
      <c r="EL1462" s="1"/>
      <c r="EM1462" s="1"/>
      <c r="EN1462" s="1"/>
      <c r="EQ1462" s="1"/>
      <c r="ER1462" s="1"/>
      <c r="ES1462" s="1"/>
      <c r="EV1462" s="1"/>
      <c r="EW1462" s="1"/>
      <c r="EZ1462" s="1"/>
      <c r="GP1462" s="1"/>
      <c r="HY1462" s="1"/>
      <c r="IE1462" s="1"/>
      <c r="IR1462" s="1"/>
      <c r="IS1462" s="1"/>
      <c r="IZ1462" s="1"/>
      <c r="JF1462" s="1"/>
      <c r="JG1462" s="1"/>
      <c r="JH1462" s="1"/>
      <c r="JJ1462" s="1"/>
      <c r="JN1462" s="1"/>
      <c r="JP1462" s="1"/>
      <c r="JQ1462" s="1"/>
      <c r="JT1462" s="1"/>
      <c r="KU1462" s="1"/>
      <c r="KV1462" s="1"/>
      <c r="KY1462" s="1"/>
      <c r="KZ1462" s="1"/>
      <c r="LA1462" s="1"/>
      <c r="LB1462" s="1"/>
      <c r="LC1462" s="1"/>
      <c r="LD1462" s="1"/>
      <c r="LO1462" s="1"/>
      <c r="LP1462" s="1"/>
      <c r="LZ1462" s="1"/>
      <c r="MA1462" s="1"/>
    </row>
    <row r="1463" spans="4:339" ht="13" x14ac:dyDescent="0.15">
      <c r="D1463" s="12"/>
      <c r="E1463" s="12"/>
      <c r="I1463" s="12"/>
      <c r="J1463" s="13"/>
      <c r="BF1463" s="1"/>
      <c r="BG1463" s="1"/>
      <c r="BH1463" s="1"/>
      <c r="BI1463" s="1"/>
      <c r="BJ1463" s="1"/>
      <c r="BK1463" s="1"/>
      <c r="BL1463" s="1"/>
      <c r="BM1463" s="1"/>
      <c r="BN1463" s="1"/>
      <c r="BO1463" s="1"/>
      <c r="BP1463" s="1"/>
      <c r="BQ1463" s="1"/>
      <c r="BR1463" s="1"/>
      <c r="CD1463" s="1"/>
      <c r="CE1463" s="1"/>
      <c r="CF1463" s="1"/>
      <c r="CG1463" s="1"/>
      <c r="CM1463" s="2"/>
      <c r="CP1463" s="1"/>
      <c r="CQ1463" s="1"/>
      <c r="CR1463" s="1"/>
      <c r="CS1463" s="1"/>
      <c r="CT1463" s="1"/>
      <c r="CU1463" s="1"/>
      <c r="CV1463" s="1"/>
      <c r="CW1463" s="1"/>
      <c r="CX1463" s="1"/>
      <c r="CY1463" s="1"/>
      <c r="CZ1463" s="1"/>
      <c r="DA1463" s="1"/>
      <c r="DB1463" s="1"/>
      <c r="DC1463" s="1"/>
      <c r="DD1463" s="1"/>
      <c r="DE1463" s="1"/>
      <c r="DF1463" s="1"/>
      <c r="DG1463" s="1"/>
      <c r="DH1463" s="1"/>
      <c r="DI1463" s="1"/>
      <c r="DJ1463" s="1"/>
      <c r="DK1463" s="1"/>
      <c r="ED1463" s="1"/>
      <c r="EK1463" s="1"/>
      <c r="EL1463" s="1"/>
      <c r="EM1463" s="1"/>
      <c r="EN1463" s="1"/>
      <c r="EQ1463" s="1"/>
      <c r="ER1463" s="1"/>
      <c r="ES1463" s="1"/>
      <c r="EV1463" s="1"/>
      <c r="EW1463" s="1"/>
      <c r="EZ1463" s="1"/>
      <c r="GP1463" s="1"/>
      <c r="HY1463" s="1"/>
      <c r="IE1463" s="1"/>
      <c r="IR1463" s="1"/>
      <c r="IS1463" s="1"/>
      <c r="IZ1463" s="1"/>
      <c r="JF1463" s="1"/>
      <c r="JG1463" s="1"/>
      <c r="JH1463" s="1"/>
      <c r="JJ1463" s="1"/>
      <c r="JN1463" s="1"/>
      <c r="JP1463" s="1"/>
      <c r="JQ1463" s="1"/>
      <c r="JT1463" s="1"/>
      <c r="KU1463" s="1"/>
      <c r="KV1463" s="1"/>
      <c r="KY1463" s="1"/>
      <c r="KZ1463" s="1"/>
      <c r="LA1463" s="1"/>
      <c r="LB1463" s="1"/>
      <c r="LC1463" s="1"/>
      <c r="LD1463" s="1"/>
      <c r="LO1463" s="1"/>
      <c r="LP1463" s="1"/>
      <c r="LZ1463" s="1"/>
      <c r="MA1463" s="1"/>
    </row>
    <row r="1464" spans="4:339" ht="13" x14ac:dyDescent="0.15">
      <c r="D1464" s="12"/>
      <c r="E1464" s="12"/>
      <c r="I1464" s="12"/>
      <c r="J1464" s="13"/>
      <c r="BF1464" s="1"/>
      <c r="BG1464" s="1"/>
      <c r="BH1464" s="1"/>
      <c r="BI1464" s="1"/>
      <c r="BK1464" s="1"/>
      <c r="BL1464" s="1"/>
      <c r="BM1464" s="1"/>
      <c r="BN1464" s="1"/>
      <c r="BO1464" s="1"/>
      <c r="BQ1464" s="1"/>
      <c r="BR1464" s="1"/>
      <c r="CD1464" s="1"/>
      <c r="CE1464" s="1"/>
      <c r="CF1464" s="1"/>
      <c r="CM1464" s="2"/>
      <c r="ED1464" s="1"/>
      <c r="EL1464" s="1"/>
      <c r="EM1464" s="1"/>
      <c r="EN1464" s="1"/>
      <c r="EQ1464" s="1"/>
      <c r="ER1464" s="1"/>
      <c r="ES1464" s="1"/>
      <c r="EV1464" s="1"/>
      <c r="EW1464" s="1"/>
      <c r="EZ1464" s="1"/>
      <c r="GP1464" s="1"/>
      <c r="HL1464" s="1"/>
      <c r="HY1464" s="1"/>
      <c r="HZ1464" s="1"/>
      <c r="IS1464" s="1"/>
      <c r="IZ1464" s="1"/>
      <c r="JG1464" s="1"/>
      <c r="JH1464" s="1"/>
      <c r="JJ1464" s="1"/>
      <c r="JN1464" s="1"/>
      <c r="JP1464" s="1"/>
      <c r="JQ1464" s="1"/>
      <c r="JT1464" s="1"/>
      <c r="JU1464" s="1"/>
      <c r="KU1464" s="1"/>
    </row>
    <row r="1465" spans="4:339" ht="13" x14ac:dyDescent="0.15">
      <c r="D1465" s="12"/>
      <c r="E1465" s="12"/>
      <c r="I1465" s="12"/>
      <c r="J1465" s="13"/>
      <c r="BF1465" s="1"/>
      <c r="BG1465" s="1"/>
      <c r="BH1465" s="1"/>
      <c r="BI1465" s="1"/>
      <c r="BK1465" s="1"/>
      <c r="BL1465" s="1"/>
      <c r="BM1465" s="1"/>
      <c r="BN1465" s="1"/>
      <c r="BO1465" s="1"/>
      <c r="BQ1465" s="1"/>
      <c r="BR1465" s="1"/>
      <c r="CD1465" s="1"/>
      <c r="CE1465" s="1"/>
      <c r="CF1465" s="1"/>
      <c r="CM1465" s="2"/>
      <c r="ED1465" s="1"/>
      <c r="EL1465" s="1"/>
      <c r="EM1465" s="1"/>
      <c r="EN1465" s="1"/>
      <c r="EQ1465" s="1"/>
      <c r="ER1465" s="1"/>
      <c r="ES1465" s="1"/>
      <c r="EV1465" s="1"/>
      <c r="EW1465" s="1"/>
      <c r="EZ1465" s="1"/>
      <c r="GP1465" s="1"/>
      <c r="HY1465" s="1"/>
      <c r="IC1465" s="1"/>
      <c r="IS1465" s="1"/>
      <c r="IW1465" s="1"/>
      <c r="IZ1465" s="1"/>
      <c r="JG1465" s="1"/>
      <c r="JH1465" s="1"/>
      <c r="JJ1465" s="1"/>
      <c r="JN1465" s="1"/>
      <c r="JP1465" s="1"/>
      <c r="JQ1465" s="1"/>
      <c r="JU1465" s="1"/>
      <c r="KU1465" s="1"/>
      <c r="KV1465" s="1"/>
    </row>
    <row r="1466" spans="4:339" ht="13" x14ac:dyDescent="0.15">
      <c r="D1466" s="12"/>
      <c r="E1466" s="12"/>
      <c r="I1466" s="12"/>
      <c r="J1466" s="13"/>
      <c r="BG1466" s="1"/>
      <c r="BH1466" s="1"/>
      <c r="BI1466" s="1"/>
      <c r="BJ1466" s="1"/>
      <c r="BK1466" s="1"/>
      <c r="BL1466" s="1"/>
      <c r="BM1466" s="1"/>
      <c r="BN1466" s="1"/>
      <c r="BO1466" s="1"/>
      <c r="BP1466" s="1"/>
      <c r="BQ1466" s="1"/>
      <c r="BR1466" s="1"/>
      <c r="CD1466" s="1"/>
      <c r="CE1466" s="1"/>
      <c r="CF1466" s="1"/>
      <c r="CM1466" s="2"/>
      <c r="CP1466" s="1"/>
      <c r="CQ1466" s="1"/>
      <c r="CS1466" s="1"/>
      <c r="CT1466" s="1"/>
      <c r="CU1466" s="1"/>
      <c r="CV1466" s="1"/>
      <c r="CW1466" s="1"/>
      <c r="CX1466" s="1"/>
      <c r="CY1466" s="1"/>
      <c r="CZ1466" s="1"/>
      <c r="DA1466" s="1"/>
      <c r="DB1466" s="1"/>
      <c r="DC1466" s="1"/>
      <c r="DD1466" s="1"/>
      <c r="DE1466" s="1"/>
      <c r="DF1466" s="1"/>
      <c r="DG1466" s="1"/>
      <c r="DH1466" s="1"/>
      <c r="DI1466" s="1"/>
      <c r="DJ1466" s="1"/>
      <c r="DK1466" s="1"/>
      <c r="ED1466" s="1"/>
      <c r="EK1466" s="1"/>
      <c r="EL1466" s="1"/>
      <c r="EM1466" s="1"/>
      <c r="EN1466" s="1"/>
      <c r="EQ1466" s="1"/>
      <c r="ER1466" s="1"/>
      <c r="ES1466" s="1"/>
      <c r="EV1466" s="1"/>
      <c r="EW1466" s="1"/>
      <c r="EZ1466" s="1"/>
      <c r="GO1466" s="1"/>
      <c r="GP1466" s="1"/>
      <c r="HY1466" s="1"/>
      <c r="HZ1466" s="1"/>
      <c r="IE1466" s="1"/>
      <c r="IN1466" s="1"/>
      <c r="IS1466" s="1"/>
      <c r="IY1466" s="1"/>
      <c r="IZ1466" s="1"/>
      <c r="JC1466" s="1"/>
      <c r="JG1466" s="1"/>
      <c r="JJ1466" s="1"/>
      <c r="JP1466" s="1"/>
      <c r="JQ1466" s="1"/>
      <c r="JT1466" s="1"/>
      <c r="KU1466" s="1"/>
      <c r="KY1466" s="1"/>
      <c r="KZ1466" s="1"/>
      <c r="LA1466" s="1"/>
      <c r="LB1466" s="1"/>
      <c r="LC1466" s="1"/>
      <c r="LD1466" s="1"/>
      <c r="LM1466" s="1"/>
      <c r="LO1466" s="1"/>
      <c r="LP1466" s="1"/>
      <c r="LZ1466" s="1"/>
      <c r="MA1466" s="1"/>
    </row>
    <row r="1467" spans="4:339" ht="13" x14ac:dyDescent="0.15">
      <c r="D1467" s="12"/>
      <c r="E1467" s="12"/>
      <c r="I1467" s="12"/>
      <c r="J1467" s="13"/>
      <c r="BG1467" s="1"/>
      <c r="BH1467" s="1"/>
      <c r="BI1467" s="1"/>
      <c r="BJ1467" s="1"/>
      <c r="BK1467" s="1"/>
      <c r="BL1467" s="1"/>
      <c r="BM1467" s="1"/>
      <c r="BN1467" s="1"/>
      <c r="BO1467" s="1"/>
      <c r="BP1467" s="1"/>
      <c r="BQ1467" s="1"/>
      <c r="BR1467" s="1"/>
      <c r="CD1467" s="1"/>
      <c r="CE1467" s="1"/>
      <c r="CF1467" s="1"/>
      <c r="CM1467" s="2"/>
      <c r="CP1467" s="1"/>
      <c r="CQ1467" s="1"/>
      <c r="CS1467" s="1"/>
      <c r="CT1467" s="1"/>
      <c r="CU1467" s="1"/>
      <c r="CV1467" s="1"/>
      <c r="CW1467" s="1"/>
      <c r="CX1467" s="1"/>
      <c r="CY1467" s="1"/>
      <c r="CZ1467" s="1"/>
      <c r="DA1467" s="1"/>
      <c r="DB1467" s="1"/>
      <c r="DC1467" s="1"/>
      <c r="DD1467" s="1"/>
      <c r="DE1467" s="1"/>
      <c r="DF1467" s="1"/>
      <c r="DG1467" s="1"/>
      <c r="DH1467" s="1"/>
      <c r="DI1467" s="1"/>
      <c r="DJ1467" s="1"/>
      <c r="DK1467" s="1"/>
      <c r="ED1467" s="1"/>
      <c r="EK1467" s="1"/>
      <c r="EL1467" s="1"/>
      <c r="EM1467" s="1"/>
      <c r="EN1467" s="1"/>
      <c r="EQ1467" s="1"/>
      <c r="ER1467" s="1"/>
      <c r="ES1467" s="1"/>
      <c r="EV1467" s="1"/>
      <c r="EW1467" s="1"/>
      <c r="EZ1467" s="1"/>
      <c r="GO1467" s="1"/>
      <c r="GP1467" s="1"/>
      <c r="HY1467" s="1"/>
      <c r="HZ1467" s="1"/>
      <c r="IE1467" s="1"/>
      <c r="IN1467" s="1"/>
      <c r="IS1467" s="1"/>
      <c r="IY1467" s="1"/>
      <c r="IZ1467" s="1"/>
      <c r="JC1467" s="1"/>
      <c r="JG1467" s="1"/>
      <c r="JJ1467" s="1"/>
      <c r="JP1467" s="1"/>
      <c r="JQ1467" s="1"/>
      <c r="JT1467" s="1"/>
      <c r="KU1467" s="1"/>
      <c r="KY1467" s="1"/>
      <c r="KZ1467" s="1"/>
      <c r="LA1467" s="1"/>
      <c r="LB1467" s="1"/>
      <c r="LC1467" s="1"/>
      <c r="LD1467" s="1"/>
      <c r="LM1467" s="1"/>
      <c r="LO1467" s="1"/>
      <c r="LP1467" s="1"/>
      <c r="LZ1467" s="1"/>
      <c r="MA1467" s="1"/>
    </row>
    <row r="1468" spans="4:339" ht="13" x14ac:dyDescent="0.15">
      <c r="D1468" s="12"/>
      <c r="E1468" s="12"/>
      <c r="I1468" s="12"/>
      <c r="J1468" s="13"/>
      <c r="BG1468" s="1"/>
      <c r="BH1468" s="1"/>
      <c r="BI1468" s="1"/>
      <c r="BJ1468" s="1"/>
      <c r="BK1468" s="1"/>
      <c r="BL1468" s="1"/>
      <c r="BM1468" s="1"/>
      <c r="BN1468" s="1"/>
      <c r="BO1468" s="1"/>
      <c r="BP1468" s="1"/>
      <c r="BQ1468" s="1"/>
      <c r="BR1468" s="1"/>
      <c r="CD1468" s="1"/>
      <c r="CE1468" s="1"/>
      <c r="CF1468" s="1"/>
      <c r="CM1468" s="2"/>
      <c r="CP1468" s="1"/>
      <c r="CQ1468" s="1"/>
      <c r="CS1468" s="1"/>
      <c r="CT1468" s="1"/>
      <c r="CU1468" s="1"/>
      <c r="CV1468" s="1"/>
      <c r="CW1468" s="1"/>
      <c r="CX1468" s="1"/>
      <c r="CY1468" s="1"/>
      <c r="CZ1468" s="1"/>
      <c r="DA1468" s="1"/>
      <c r="DB1468" s="1"/>
      <c r="DC1468" s="1"/>
      <c r="DD1468" s="1"/>
      <c r="DE1468" s="1"/>
      <c r="DF1468" s="1"/>
      <c r="DG1468" s="1"/>
      <c r="DH1468" s="1"/>
      <c r="DI1468" s="1"/>
      <c r="DJ1468" s="1"/>
      <c r="DK1468" s="1"/>
      <c r="ED1468" s="1"/>
      <c r="EK1468" s="1"/>
      <c r="EL1468" s="1"/>
      <c r="EM1468" s="1"/>
      <c r="EN1468" s="1"/>
      <c r="EQ1468" s="1"/>
      <c r="ER1468" s="1"/>
      <c r="ES1468" s="1"/>
      <c r="EV1468" s="1"/>
      <c r="EW1468" s="1"/>
      <c r="EZ1468" s="1"/>
      <c r="GO1468" s="1"/>
      <c r="GP1468" s="1"/>
      <c r="HY1468" s="1"/>
      <c r="HZ1468" s="1"/>
      <c r="IE1468" s="1"/>
      <c r="IN1468" s="1"/>
      <c r="IS1468" s="1"/>
      <c r="IY1468" s="1"/>
      <c r="IZ1468" s="1"/>
      <c r="JC1468" s="1"/>
      <c r="JG1468" s="1"/>
      <c r="JJ1468" s="1"/>
      <c r="JP1468" s="1"/>
      <c r="JQ1468" s="1"/>
      <c r="JT1468" s="1"/>
      <c r="KU1468" s="1"/>
      <c r="KY1468" s="1"/>
      <c r="KZ1468" s="1"/>
      <c r="LA1468" s="1"/>
      <c r="LB1468" s="1"/>
      <c r="LC1468" s="1"/>
      <c r="LD1468" s="1"/>
      <c r="LM1468" s="1"/>
      <c r="LO1468" s="1"/>
      <c r="LP1468" s="1"/>
      <c r="LZ1468" s="1"/>
      <c r="MA1468" s="1"/>
    </row>
    <row r="1469" spans="4:339" ht="13" x14ac:dyDescent="0.15">
      <c r="D1469" s="12"/>
      <c r="E1469" s="12"/>
      <c r="I1469" s="12"/>
      <c r="J1469" s="13"/>
      <c r="BG1469" s="1"/>
      <c r="BH1469" s="1"/>
      <c r="BI1469" s="1"/>
      <c r="BJ1469" s="1"/>
      <c r="BK1469" s="1"/>
      <c r="BL1469" s="1"/>
      <c r="BM1469" s="1"/>
      <c r="BN1469" s="1"/>
      <c r="BO1469" s="1"/>
      <c r="BP1469" s="1"/>
      <c r="BQ1469" s="1"/>
      <c r="BR1469" s="1"/>
      <c r="CD1469" s="1"/>
      <c r="CE1469" s="1"/>
      <c r="CF1469" s="1"/>
      <c r="CM1469" s="2"/>
      <c r="CP1469" s="1"/>
      <c r="CQ1469" s="1"/>
      <c r="CS1469" s="1"/>
      <c r="CT1469" s="1"/>
      <c r="CU1469" s="1"/>
      <c r="CV1469" s="1"/>
      <c r="CW1469" s="1"/>
      <c r="CX1469" s="1"/>
      <c r="CY1469" s="1"/>
      <c r="CZ1469" s="1"/>
      <c r="DA1469" s="1"/>
      <c r="DB1469" s="1"/>
      <c r="DC1469" s="1"/>
      <c r="DD1469" s="1"/>
      <c r="DE1469" s="1"/>
      <c r="DF1469" s="1"/>
      <c r="DG1469" s="1"/>
      <c r="DH1469" s="1"/>
      <c r="DI1469" s="1"/>
      <c r="DJ1469" s="1"/>
      <c r="DK1469" s="1"/>
      <c r="ED1469" s="1"/>
      <c r="EK1469" s="1"/>
      <c r="EL1469" s="1"/>
      <c r="EM1469" s="1"/>
      <c r="EN1469" s="1"/>
      <c r="EQ1469" s="1"/>
      <c r="ER1469" s="1"/>
      <c r="ES1469" s="1"/>
      <c r="EV1469" s="1"/>
      <c r="EW1469" s="1"/>
      <c r="EZ1469" s="1"/>
      <c r="GO1469" s="1"/>
      <c r="GP1469" s="1"/>
      <c r="HY1469" s="1"/>
      <c r="HZ1469" s="1"/>
      <c r="IE1469" s="1"/>
      <c r="IN1469" s="1"/>
      <c r="IS1469" s="1"/>
      <c r="IY1469" s="1"/>
      <c r="IZ1469" s="1"/>
      <c r="JC1469" s="1"/>
      <c r="JG1469" s="1"/>
      <c r="JJ1469" s="1"/>
      <c r="JP1469" s="1"/>
      <c r="JQ1469" s="1"/>
      <c r="JT1469" s="1"/>
      <c r="KU1469" s="1"/>
      <c r="KY1469" s="1"/>
      <c r="KZ1469" s="1"/>
      <c r="LA1469" s="1"/>
      <c r="LB1469" s="1"/>
      <c r="LC1469" s="1"/>
      <c r="LD1469" s="1"/>
      <c r="LM1469" s="1"/>
      <c r="LO1469" s="1"/>
      <c r="LP1469" s="1"/>
      <c r="LZ1469" s="1"/>
      <c r="MA1469" s="1"/>
    </row>
    <row r="1470" spans="4:339" ht="13" x14ac:dyDescent="0.15">
      <c r="D1470" s="12"/>
      <c r="E1470" s="12"/>
      <c r="I1470" s="12"/>
      <c r="J1470" s="13"/>
      <c r="BG1470" s="1"/>
      <c r="BH1470" s="1"/>
      <c r="BI1470" s="1"/>
      <c r="BJ1470" s="1"/>
      <c r="BK1470" s="1"/>
      <c r="BL1470" s="1"/>
      <c r="BM1470" s="1"/>
      <c r="BN1470" s="1"/>
      <c r="BO1470" s="1"/>
      <c r="BP1470" s="1"/>
      <c r="BQ1470" s="1"/>
      <c r="BR1470" s="1"/>
      <c r="CD1470" s="1"/>
      <c r="CE1470" s="1"/>
      <c r="CF1470" s="1"/>
      <c r="CM1470" s="2"/>
      <c r="CP1470" s="1"/>
      <c r="CQ1470" s="1"/>
      <c r="CS1470" s="1"/>
      <c r="CT1470" s="1"/>
      <c r="CU1470" s="1"/>
      <c r="CV1470" s="1"/>
      <c r="CW1470" s="1"/>
      <c r="CX1470" s="1"/>
      <c r="CY1470" s="1"/>
      <c r="CZ1470" s="1"/>
      <c r="DA1470" s="1"/>
      <c r="DB1470" s="1"/>
      <c r="DC1470" s="1"/>
      <c r="DD1470" s="1"/>
      <c r="DE1470" s="1"/>
      <c r="DF1470" s="1"/>
      <c r="DG1470" s="1"/>
      <c r="DH1470" s="1"/>
      <c r="DI1470" s="1"/>
      <c r="DJ1470" s="1"/>
      <c r="DK1470" s="1"/>
      <c r="ED1470" s="1"/>
      <c r="EK1470" s="1"/>
      <c r="EL1470" s="1"/>
      <c r="EM1470" s="1"/>
      <c r="EN1470" s="1"/>
      <c r="EQ1470" s="1"/>
      <c r="ER1470" s="1"/>
      <c r="ES1470" s="1"/>
      <c r="EV1470" s="1"/>
      <c r="EW1470" s="1"/>
      <c r="EZ1470" s="1"/>
      <c r="GO1470" s="1"/>
      <c r="GP1470" s="1"/>
      <c r="HY1470" s="1"/>
      <c r="HZ1470" s="1"/>
      <c r="IE1470" s="1"/>
      <c r="IN1470" s="1"/>
      <c r="IS1470" s="1"/>
      <c r="IY1470" s="1"/>
      <c r="IZ1470" s="1"/>
      <c r="JC1470" s="1"/>
      <c r="JG1470" s="1"/>
      <c r="JJ1470" s="1"/>
      <c r="JP1470" s="1"/>
      <c r="JQ1470" s="1"/>
      <c r="JT1470" s="1"/>
      <c r="KU1470" s="1"/>
      <c r="KY1470" s="1"/>
      <c r="KZ1470" s="1"/>
      <c r="LA1470" s="1"/>
      <c r="LB1470" s="1"/>
      <c r="LC1470" s="1"/>
      <c r="LD1470" s="1"/>
      <c r="LM1470" s="1"/>
      <c r="LO1470" s="1"/>
      <c r="LP1470" s="1"/>
      <c r="LZ1470" s="1"/>
      <c r="MA1470" s="1"/>
    </row>
    <row r="1471" spans="4:339" ht="13" x14ac:dyDescent="0.15">
      <c r="D1471" s="12"/>
      <c r="E1471" s="12"/>
      <c r="I1471" s="12"/>
      <c r="J1471" s="13"/>
      <c r="BG1471" s="1"/>
      <c r="BH1471" s="1"/>
      <c r="BI1471" s="1"/>
      <c r="BJ1471" s="1"/>
      <c r="BK1471" s="1"/>
      <c r="BL1471" s="1"/>
      <c r="BM1471" s="1"/>
      <c r="BN1471" s="1"/>
      <c r="BO1471" s="1"/>
      <c r="BP1471" s="1"/>
      <c r="BQ1471" s="1"/>
      <c r="BR1471" s="1"/>
      <c r="CD1471" s="1"/>
      <c r="CE1471" s="1"/>
      <c r="CF1471" s="1"/>
      <c r="CM1471" s="2"/>
      <c r="CP1471" s="1"/>
      <c r="CQ1471" s="1"/>
      <c r="CS1471" s="1"/>
      <c r="CT1471" s="1"/>
      <c r="CU1471" s="1"/>
      <c r="CV1471" s="1"/>
      <c r="CW1471" s="1"/>
      <c r="CX1471" s="1"/>
      <c r="CY1471" s="1"/>
      <c r="CZ1471" s="1"/>
      <c r="DA1471" s="1"/>
      <c r="DB1471" s="1"/>
      <c r="DC1471" s="1"/>
      <c r="DD1471" s="1"/>
      <c r="DE1471" s="1"/>
      <c r="DF1471" s="1"/>
      <c r="DG1471" s="1"/>
      <c r="DH1471" s="1"/>
      <c r="DI1471" s="1"/>
      <c r="DJ1471" s="1"/>
      <c r="DK1471" s="1"/>
      <c r="ED1471" s="1"/>
      <c r="EK1471" s="1"/>
      <c r="EL1471" s="1"/>
      <c r="EM1471" s="1"/>
      <c r="EN1471" s="1"/>
      <c r="EQ1471" s="1"/>
      <c r="ER1471" s="1"/>
      <c r="ES1471" s="1"/>
      <c r="EV1471" s="1"/>
      <c r="EW1471" s="1"/>
      <c r="EZ1471" s="1"/>
      <c r="GO1471" s="1"/>
      <c r="GP1471" s="1"/>
      <c r="HY1471" s="1"/>
      <c r="HZ1471" s="1"/>
      <c r="IE1471" s="1"/>
      <c r="IN1471" s="1"/>
      <c r="IS1471" s="1"/>
      <c r="IY1471" s="1"/>
      <c r="IZ1471" s="1"/>
      <c r="JC1471" s="1"/>
      <c r="JG1471" s="1"/>
      <c r="JJ1471" s="1"/>
      <c r="JP1471" s="1"/>
      <c r="JQ1471" s="1"/>
      <c r="JT1471" s="1"/>
      <c r="KU1471" s="1"/>
      <c r="KY1471" s="1"/>
      <c r="KZ1471" s="1"/>
      <c r="LA1471" s="1"/>
      <c r="LB1471" s="1"/>
      <c r="LC1471" s="1"/>
      <c r="LD1471" s="1"/>
      <c r="LM1471" s="1"/>
      <c r="LO1471" s="1"/>
      <c r="LP1471" s="1"/>
      <c r="LZ1471" s="1"/>
      <c r="MA1471" s="1"/>
    </row>
    <row r="1472" spans="4:339" ht="13" x14ac:dyDescent="0.15">
      <c r="D1472" s="12"/>
      <c r="E1472" s="12"/>
      <c r="I1472" s="12"/>
      <c r="J1472" s="13"/>
      <c r="BG1472" s="1"/>
      <c r="BH1472" s="1"/>
      <c r="BI1472" s="1"/>
      <c r="BJ1472" s="1"/>
      <c r="BK1472" s="1"/>
      <c r="BL1472" s="1"/>
      <c r="BM1472" s="1"/>
      <c r="BN1472" s="1"/>
      <c r="BO1472" s="1"/>
      <c r="BP1472" s="1"/>
      <c r="BQ1472" s="1"/>
      <c r="BR1472" s="1"/>
      <c r="CD1472" s="1"/>
      <c r="CE1472" s="1"/>
      <c r="CF1472" s="1"/>
      <c r="CM1472" s="2"/>
      <c r="CP1472" s="1"/>
      <c r="CQ1472" s="1"/>
      <c r="CS1472" s="1"/>
      <c r="CT1472" s="1"/>
      <c r="CU1472" s="1"/>
      <c r="CV1472" s="1"/>
      <c r="CW1472" s="1"/>
      <c r="CX1472" s="1"/>
      <c r="CY1472" s="1"/>
      <c r="CZ1472" s="1"/>
      <c r="DA1472" s="1"/>
      <c r="DB1472" s="1"/>
      <c r="DC1472" s="1"/>
      <c r="DD1472" s="1"/>
      <c r="DE1472" s="1"/>
      <c r="DF1472" s="1"/>
      <c r="DG1472" s="1"/>
      <c r="DH1472" s="1"/>
      <c r="DI1472" s="1"/>
      <c r="DJ1472" s="1"/>
      <c r="DK1472" s="1"/>
      <c r="ED1472" s="1"/>
      <c r="EK1472" s="1"/>
      <c r="EL1472" s="1"/>
      <c r="EM1472" s="1"/>
      <c r="EN1472" s="1"/>
      <c r="EQ1472" s="1"/>
      <c r="ER1472" s="1"/>
      <c r="ES1472" s="1"/>
      <c r="EV1472" s="1"/>
      <c r="EW1472" s="1"/>
      <c r="EZ1472" s="1"/>
      <c r="GO1472" s="1"/>
      <c r="GP1472" s="1"/>
      <c r="HY1472" s="1"/>
      <c r="HZ1472" s="1"/>
      <c r="IE1472" s="1"/>
      <c r="IN1472" s="1"/>
      <c r="IS1472" s="1"/>
      <c r="IY1472" s="1"/>
      <c r="IZ1472" s="1"/>
      <c r="JC1472" s="1"/>
      <c r="JG1472" s="1"/>
      <c r="JJ1472" s="1"/>
      <c r="JP1472" s="1"/>
      <c r="JQ1472" s="1"/>
      <c r="JT1472" s="1"/>
      <c r="KU1472" s="1"/>
      <c r="KY1472" s="1"/>
      <c r="KZ1472" s="1"/>
      <c r="LA1472" s="1"/>
      <c r="LB1472" s="1"/>
      <c r="LC1472" s="1"/>
      <c r="LD1472" s="1"/>
      <c r="LM1472" s="1"/>
      <c r="LO1472" s="1"/>
      <c r="LP1472" s="1"/>
      <c r="LZ1472" s="1"/>
      <c r="MA1472" s="1"/>
    </row>
    <row r="1473" spans="4:339" ht="13" x14ac:dyDescent="0.15">
      <c r="D1473" s="12"/>
      <c r="E1473" s="12"/>
      <c r="I1473" s="12"/>
      <c r="J1473" s="13"/>
      <c r="BG1473" s="1"/>
      <c r="BH1473" s="1"/>
      <c r="BI1473" s="1"/>
      <c r="BJ1473" s="1"/>
      <c r="BK1473" s="1"/>
      <c r="BL1473" s="1"/>
      <c r="BM1473" s="1"/>
      <c r="BN1473" s="1"/>
      <c r="BO1473" s="1"/>
      <c r="BP1473" s="1"/>
      <c r="BQ1473" s="1"/>
      <c r="BR1473" s="1"/>
      <c r="CD1473" s="1"/>
      <c r="CE1473" s="1"/>
      <c r="CF1473" s="1"/>
      <c r="CM1473" s="2"/>
      <c r="CP1473" s="1"/>
      <c r="CQ1473" s="1"/>
      <c r="CS1473" s="1"/>
      <c r="CT1473" s="1"/>
      <c r="CU1473" s="1"/>
      <c r="CV1473" s="1"/>
      <c r="CW1473" s="1"/>
      <c r="CX1473" s="1"/>
      <c r="CY1473" s="1"/>
      <c r="CZ1473" s="1"/>
      <c r="DA1473" s="1"/>
      <c r="DB1473" s="1"/>
      <c r="DC1473" s="1"/>
      <c r="DD1473" s="1"/>
      <c r="DE1473" s="1"/>
      <c r="DF1473" s="1"/>
      <c r="DG1473" s="1"/>
      <c r="DH1473" s="1"/>
      <c r="DI1473" s="1"/>
      <c r="DJ1473" s="1"/>
      <c r="DK1473" s="1"/>
      <c r="ED1473" s="1"/>
      <c r="EK1473" s="1"/>
      <c r="EL1473" s="1"/>
      <c r="EM1473" s="1"/>
      <c r="EN1473" s="1"/>
      <c r="EQ1473" s="1"/>
      <c r="ER1473" s="1"/>
      <c r="ES1473" s="1"/>
      <c r="EV1473" s="1"/>
      <c r="EW1473" s="1"/>
      <c r="EZ1473" s="1"/>
      <c r="GO1473" s="1"/>
      <c r="GP1473" s="1"/>
      <c r="HY1473" s="1"/>
      <c r="HZ1473" s="1"/>
      <c r="IE1473" s="1"/>
      <c r="IN1473" s="1"/>
      <c r="IS1473" s="1"/>
      <c r="IY1473" s="1"/>
      <c r="IZ1473" s="1"/>
      <c r="JC1473" s="1"/>
      <c r="JG1473" s="1"/>
      <c r="JJ1473" s="1"/>
      <c r="JP1473" s="1"/>
      <c r="JQ1473" s="1"/>
      <c r="JT1473" s="1"/>
      <c r="KU1473" s="1"/>
      <c r="KY1473" s="1"/>
      <c r="KZ1473" s="1"/>
      <c r="LA1473" s="1"/>
      <c r="LB1473" s="1"/>
      <c r="LC1473" s="1"/>
      <c r="LD1473" s="1"/>
      <c r="LM1473" s="1"/>
      <c r="LO1473" s="1"/>
      <c r="LP1473" s="1"/>
      <c r="LZ1473" s="1"/>
      <c r="MA1473" s="1"/>
    </row>
    <row r="1474" spans="4:339" ht="13" x14ac:dyDescent="0.15">
      <c r="D1474" s="12"/>
      <c r="E1474" s="12"/>
      <c r="I1474" s="12"/>
      <c r="J1474" s="13"/>
      <c r="BG1474" s="1"/>
      <c r="BH1474" s="1"/>
      <c r="BI1474" s="1"/>
      <c r="BJ1474" s="1"/>
      <c r="BK1474" s="1"/>
      <c r="BL1474" s="1"/>
      <c r="BM1474" s="1"/>
      <c r="BN1474" s="1"/>
      <c r="BO1474" s="1"/>
      <c r="BP1474" s="1"/>
      <c r="BQ1474" s="1"/>
      <c r="BR1474" s="1"/>
      <c r="CD1474" s="1"/>
      <c r="CE1474" s="1"/>
      <c r="CF1474" s="1"/>
      <c r="CM1474" s="2"/>
      <c r="CP1474" s="1"/>
      <c r="CQ1474" s="1"/>
      <c r="CS1474" s="1"/>
      <c r="CT1474" s="1"/>
      <c r="CU1474" s="1"/>
      <c r="CV1474" s="1"/>
      <c r="CW1474" s="1"/>
      <c r="CX1474" s="1"/>
      <c r="CY1474" s="1"/>
      <c r="CZ1474" s="1"/>
      <c r="DA1474" s="1"/>
      <c r="DB1474" s="1"/>
      <c r="DC1474" s="1"/>
      <c r="DD1474" s="1"/>
      <c r="DE1474" s="1"/>
      <c r="DF1474" s="1"/>
      <c r="DG1474" s="1"/>
      <c r="DH1474" s="1"/>
      <c r="DI1474" s="1"/>
      <c r="DJ1474" s="1"/>
      <c r="DK1474" s="1"/>
      <c r="ED1474" s="1"/>
      <c r="EK1474" s="1"/>
      <c r="EL1474" s="1"/>
      <c r="EM1474" s="1"/>
      <c r="EN1474" s="1"/>
      <c r="EQ1474" s="1"/>
      <c r="ER1474" s="1"/>
      <c r="ES1474" s="1"/>
      <c r="EV1474" s="1"/>
      <c r="EW1474" s="1"/>
      <c r="EZ1474" s="1"/>
      <c r="GO1474" s="1"/>
      <c r="GP1474" s="1"/>
      <c r="HY1474" s="1"/>
      <c r="HZ1474" s="1"/>
      <c r="IE1474" s="1"/>
      <c r="IN1474" s="1"/>
      <c r="IS1474" s="1"/>
      <c r="IY1474" s="1"/>
      <c r="IZ1474" s="1"/>
      <c r="JC1474" s="1"/>
      <c r="JG1474" s="1"/>
      <c r="JJ1474" s="1"/>
      <c r="JP1474" s="1"/>
      <c r="JQ1474" s="1"/>
      <c r="JT1474" s="1"/>
      <c r="KU1474" s="1"/>
      <c r="KY1474" s="1"/>
      <c r="KZ1474" s="1"/>
      <c r="LA1474" s="1"/>
      <c r="LB1474" s="1"/>
      <c r="LC1474" s="1"/>
      <c r="LD1474" s="1"/>
      <c r="LM1474" s="1"/>
      <c r="LO1474" s="1"/>
      <c r="LP1474" s="1"/>
      <c r="LZ1474" s="1"/>
      <c r="MA1474" s="1"/>
    </row>
    <row r="1475" spans="4:339" ht="13" x14ac:dyDescent="0.15">
      <c r="D1475" s="12"/>
      <c r="E1475" s="12"/>
      <c r="I1475" s="12"/>
      <c r="J1475" s="13"/>
      <c r="BG1475" s="1"/>
      <c r="BH1475" s="1"/>
      <c r="BI1475" s="1"/>
      <c r="BJ1475" s="1"/>
      <c r="BK1475" s="1"/>
      <c r="BL1475" s="1"/>
      <c r="BM1475" s="1"/>
      <c r="BN1475" s="1"/>
      <c r="BO1475" s="1"/>
      <c r="BP1475" s="1"/>
      <c r="BQ1475" s="1"/>
      <c r="BR1475" s="1"/>
      <c r="CD1475" s="1"/>
      <c r="CE1475" s="1"/>
      <c r="CF1475" s="1"/>
      <c r="CM1475" s="2"/>
      <c r="CP1475" s="1"/>
      <c r="CQ1475" s="1"/>
      <c r="CS1475" s="1"/>
      <c r="CT1475" s="1"/>
      <c r="CU1475" s="1"/>
      <c r="CV1475" s="1"/>
      <c r="CW1475" s="1"/>
      <c r="CX1475" s="1"/>
      <c r="CY1475" s="1"/>
      <c r="CZ1475" s="1"/>
      <c r="DA1475" s="1"/>
      <c r="DB1475" s="1"/>
      <c r="DC1475" s="1"/>
      <c r="DD1475" s="1"/>
      <c r="DE1475" s="1"/>
      <c r="DF1475" s="1"/>
      <c r="DG1475" s="1"/>
      <c r="DH1475" s="1"/>
      <c r="DI1475" s="1"/>
      <c r="DJ1475" s="1"/>
      <c r="DK1475" s="1"/>
      <c r="ED1475" s="1"/>
      <c r="EK1475" s="1"/>
      <c r="EL1475" s="1"/>
      <c r="EM1475" s="1"/>
      <c r="EN1475" s="1"/>
      <c r="EQ1475" s="1"/>
      <c r="ER1475" s="1"/>
      <c r="ES1475" s="1"/>
      <c r="EV1475" s="1"/>
      <c r="EW1475" s="1"/>
      <c r="EZ1475" s="1"/>
      <c r="GO1475" s="1"/>
      <c r="GP1475" s="1"/>
      <c r="HY1475" s="1"/>
      <c r="HZ1475" s="1"/>
      <c r="IE1475" s="1"/>
      <c r="IN1475" s="1"/>
      <c r="IS1475" s="1"/>
      <c r="IY1475" s="1"/>
      <c r="IZ1475" s="1"/>
      <c r="JC1475" s="1"/>
      <c r="JG1475" s="1"/>
      <c r="JJ1475" s="1"/>
      <c r="JP1475" s="1"/>
      <c r="JQ1475" s="1"/>
      <c r="JT1475" s="1"/>
      <c r="KU1475" s="1"/>
      <c r="KY1475" s="1"/>
      <c r="KZ1475" s="1"/>
      <c r="LA1475" s="1"/>
      <c r="LB1475" s="1"/>
      <c r="LC1475" s="1"/>
      <c r="LD1475" s="1"/>
      <c r="LM1475" s="1"/>
      <c r="LO1475" s="1"/>
      <c r="LP1475" s="1"/>
      <c r="LZ1475" s="1"/>
      <c r="MA1475" s="1"/>
    </row>
    <row r="1476" spans="4:339" ht="13" x14ac:dyDescent="0.15">
      <c r="D1476" s="12"/>
      <c r="E1476" s="12"/>
      <c r="I1476" s="12"/>
      <c r="J1476" s="13"/>
      <c r="BG1476" s="1"/>
      <c r="BH1476" s="1"/>
      <c r="BI1476" s="1"/>
      <c r="BJ1476" s="1"/>
      <c r="BK1476" s="1"/>
      <c r="BL1476" s="1"/>
      <c r="BM1476" s="1"/>
      <c r="BN1476" s="1"/>
      <c r="BO1476" s="1"/>
      <c r="BP1476" s="1"/>
      <c r="BQ1476" s="1"/>
      <c r="BR1476" s="1"/>
      <c r="CD1476" s="1"/>
      <c r="CE1476" s="1"/>
      <c r="CF1476" s="1"/>
      <c r="CM1476" s="2"/>
      <c r="CP1476" s="1"/>
      <c r="CQ1476" s="1"/>
      <c r="CS1476" s="1"/>
      <c r="CT1476" s="1"/>
      <c r="CU1476" s="1"/>
      <c r="CV1476" s="1"/>
      <c r="CW1476" s="1"/>
      <c r="CX1476" s="1"/>
      <c r="CY1476" s="1"/>
      <c r="CZ1476" s="1"/>
      <c r="DA1476" s="1"/>
      <c r="DB1476" s="1"/>
      <c r="DC1476" s="1"/>
      <c r="DD1476" s="1"/>
      <c r="DE1476" s="1"/>
      <c r="DF1476" s="1"/>
      <c r="DG1476" s="1"/>
      <c r="DH1476" s="1"/>
      <c r="DI1476" s="1"/>
      <c r="DJ1476" s="1"/>
      <c r="DK1476" s="1"/>
      <c r="ED1476" s="1"/>
      <c r="EK1476" s="1"/>
      <c r="EL1476" s="1"/>
      <c r="EM1476" s="1"/>
      <c r="EN1476" s="1"/>
      <c r="EQ1476" s="1"/>
      <c r="ER1476" s="1"/>
      <c r="ES1476" s="1"/>
      <c r="EV1476" s="1"/>
      <c r="EW1476" s="1"/>
      <c r="EZ1476" s="1"/>
      <c r="GO1476" s="1"/>
      <c r="GP1476" s="1"/>
      <c r="HY1476" s="1"/>
      <c r="HZ1476" s="1"/>
      <c r="IE1476" s="1"/>
      <c r="IN1476" s="1"/>
      <c r="IS1476" s="1"/>
      <c r="IY1476" s="1"/>
      <c r="IZ1476" s="1"/>
      <c r="JC1476" s="1"/>
      <c r="JG1476" s="1"/>
      <c r="JJ1476" s="1"/>
      <c r="JP1476" s="1"/>
      <c r="JQ1476" s="1"/>
      <c r="JT1476" s="1"/>
      <c r="KU1476" s="1"/>
      <c r="KY1476" s="1"/>
      <c r="KZ1476" s="1"/>
      <c r="LA1476" s="1"/>
      <c r="LB1476" s="1"/>
      <c r="LC1476" s="1"/>
      <c r="LD1476" s="1"/>
      <c r="LM1476" s="1"/>
      <c r="LO1476" s="1"/>
      <c r="LP1476" s="1"/>
      <c r="LZ1476" s="1"/>
      <c r="MA1476" s="1"/>
    </row>
    <row r="1477" spans="4:339" ht="13" x14ac:dyDescent="0.15">
      <c r="D1477" s="12"/>
      <c r="E1477" s="12"/>
      <c r="I1477" s="12"/>
      <c r="J1477" s="13"/>
      <c r="BG1477" s="1"/>
      <c r="BH1477" s="1"/>
      <c r="BI1477" s="1"/>
      <c r="BJ1477" s="1"/>
      <c r="BK1477" s="1"/>
      <c r="BL1477" s="1"/>
      <c r="BM1477" s="1"/>
      <c r="BN1477" s="1"/>
      <c r="BO1477" s="1"/>
      <c r="BP1477" s="1"/>
      <c r="BQ1477" s="1"/>
      <c r="BR1477" s="1"/>
      <c r="CD1477" s="1"/>
      <c r="CE1477" s="1"/>
      <c r="CF1477" s="1"/>
      <c r="CM1477" s="2"/>
      <c r="CP1477" s="1"/>
      <c r="CQ1477" s="1"/>
      <c r="CS1477" s="1"/>
      <c r="CT1477" s="1"/>
      <c r="CU1477" s="1"/>
      <c r="CV1477" s="1"/>
      <c r="CW1477" s="1"/>
      <c r="CX1477" s="1"/>
      <c r="CY1477" s="1"/>
      <c r="CZ1477" s="1"/>
      <c r="DA1477" s="1"/>
      <c r="DB1477" s="1"/>
      <c r="DC1477" s="1"/>
      <c r="DD1477" s="1"/>
      <c r="DE1477" s="1"/>
      <c r="DF1477" s="1"/>
      <c r="DG1477" s="1"/>
      <c r="DH1477" s="1"/>
      <c r="DI1477" s="1"/>
      <c r="DJ1477" s="1"/>
      <c r="DK1477" s="1"/>
      <c r="ED1477" s="1"/>
      <c r="EK1477" s="1"/>
      <c r="EL1477" s="1"/>
      <c r="EM1477" s="1"/>
      <c r="EN1477" s="1"/>
      <c r="EQ1477" s="1"/>
      <c r="ER1477" s="1"/>
      <c r="ES1477" s="1"/>
      <c r="EV1477" s="1"/>
      <c r="EW1477" s="1"/>
      <c r="EZ1477" s="1"/>
      <c r="GO1477" s="1"/>
      <c r="GP1477" s="1"/>
      <c r="HY1477" s="1"/>
      <c r="HZ1477" s="1"/>
      <c r="IE1477" s="1"/>
      <c r="IN1477" s="1"/>
      <c r="IS1477" s="1"/>
      <c r="IY1477" s="1"/>
      <c r="IZ1477" s="1"/>
      <c r="JC1477" s="1"/>
      <c r="JG1477" s="1"/>
      <c r="JJ1477" s="1"/>
      <c r="JP1477" s="1"/>
      <c r="JQ1477" s="1"/>
      <c r="JT1477" s="1"/>
      <c r="KU1477" s="1"/>
      <c r="KY1477" s="1"/>
      <c r="KZ1477" s="1"/>
      <c r="LA1477" s="1"/>
      <c r="LB1477" s="1"/>
      <c r="LC1477" s="1"/>
      <c r="LD1477" s="1"/>
      <c r="LM1477" s="1"/>
      <c r="LO1477" s="1"/>
      <c r="LP1477" s="1"/>
      <c r="LZ1477" s="1"/>
      <c r="MA1477" s="1"/>
    </row>
    <row r="1478" spans="4:339" ht="13" x14ac:dyDescent="0.15">
      <c r="D1478" s="12"/>
      <c r="E1478" s="12"/>
      <c r="I1478" s="12"/>
      <c r="J1478" s="13"/>
      <c r="BG1478" s="1"/>
      <c r="BH1478" s="1"/>
      <c r="BI1478" s="1"/>
      <c r="BJ1478" s="1"/>
      <c r="BK1478" s="1"/>
      <c r="BL1478" s="1"/>
      <c r="BM1478" s="1"/>
      <c r="BN1478" s="1"/>
      <c r="BO1478" s="1"/>
      <c r="BP1478" s="1"/>
      <c r="BQ1478" s="1"/>
      <c r="BR1478" s="1"/>
      <c r="CD1478" s="1"/>
      <c r="CE1478" s="1"/>
      <c r="CF1478" s="1"/>
      <c r="CM1478" s="2"/>
      <c r="CP1478" s="1"/>
      <c r="CQ1478" s="1"/>
      <c r="CS1478" s="1"/>
      <c r="CT1478" s="1"/>
      <c r="CU1478" s="1"/>
      <c r="CV1478" s="1"/>
      <c r="CW1478" s="1"/>
      <c r="CX1478" s="1"/>
      <c r="CY1478" s="1"/>
      <c r="CZ1478" s="1"/>
      <c r="DA1478" s="1"/>
      <c r="DB1478" s="1"/>
      <c r="DC1478" s="1"/>
      <c r="DD1478" s="1"/>
      <c r="DE1478" s="1"/>
      <c r="DF1478" s="1"/>
      <c r="DG1478" s="1"/>
      <c r="DH1478" s="1"/>
      <c r="DI1478" s="1"/>
      <c r="DJ1478" s="1"/>
      <c r="DK1478" s="1"/>
      <c r="ED1478" s="1"/>
      <c r="EK1478" s="1"/>
      <c r="EL1478" s="1"/>
      <c r="EM1478" s="1"/>
      <c r="EN1478" s="1"/>
      <c r="EQ1478" s="1"/>
      <c r="ER1478" s="1"/>
      <c r="ES1478" s="1"/>
      <c r="EV1478" s="1"/>
      <c r="EW1478" s="1"/>
      <c r="EZ1478" s="1"/>
      <c r="GO1478" s="1"/>
      <c r="GP1478" s="1"/>
      <c r="HY1478" s="1"/>
      <c r="HZ1478" s="1"/>
      <c r="IE1478" s="1"/>
      <c r="IN1478" s="1"/>
      <c r="IS1478" s="1"/>
      <c r="IY1478" s="1"/>
      <c r="IZ1478" s="1"/>
      <c r="JC1478" s="1"/>
      <c r="JG1478" s="1"/>
      <c r="JJ1478" s="1"/>
      <c r="JP1478" s="1"/>
      <c r="JQ1478" s="1"/>
      <c r="JT1478" s="1"/>
      <c r="KU1478" s="1"/>
      <c r="KY1478" s="1"/>
      <c r="KZ1478" s="1"/>
      <c r="LA1478" s="1"/>
      <c r="LB1478" s="1"/>
      <c r="LC1478" s="1"/>
      <c r="LD1478" s="1"/>
      <c r="LM1478" s="1"/>
      <c r="LO1478" s="1"/>
      <c r="LP1478" s="1"/>
      <c r="LZ1478" s="1"/>
      <c r="MA1478" s="1"/>
    </row>
    <row r="1479" spans="4:339" ht="13" x14ac:dyDescent="0.15">
      <c r="D1479" s="12"/>
      <c r="E1479" s="12"/>
      <c r="I1479" s="12"/>
      <c r="J1479" s="13"/>
      <c r="BG1479" s="1"/>
      <c r="BH1479" s="1"/>
      <c r="BI1479" s="1"/>
      <c r="BJ1479" s="1"/>
      <c r="BK1479" s="1"/>
      <c r="BL1479" s="1"/>
      <c r="BM1479" s="1"/>
      <c r="BN1479" s="1"/>
      <c r="BO1479" s="1"/>
      <c r="BP1479" s="1"/>
      <c r="BQ1479" s="1"/>
      <c r="BR1479" s="1"/>
      <c r="CD1479" s="1"/>
      <c r="CE1479" s="1"/>
      <c r="CF1479" s="1"/>
      <c r="CM1479" s="2"/>
      <c r="CP1479" s="1"/>
      <c r="CQ1479" s="1"/>
      <c r="CS1479" s="1"/>
      <c r="CT1479" s="1"/>
      <c r="CU1479" s="1"/>
      <c r="CV1479" s="1"/>
      <c r="CW1479" s="1"/>
      <c r="CX1479" s="1"/>
      <c r="CY1479" s="1"/>
      <c r="CZ1479" s="1"/>
      <c r="DA1479" s="1"/>
      <c r="DB1479" s="1"/>
      <c r="DC1479" s="1"/>
      <c r="DD1479" s="1"/>
      <c r="DE1479" s="1"/>
      <c r="DF1479" s="1"/>
      <c r="DG1479" s="1"/>
      <c r="DH1479" s="1"/>
      <c r="DI1479" s="1"/>
      <c r="DJ1479" s="1"/>
      <c r="DK1479" s="1"/>
      <c r="ED1479" s="1"/>
      <c r="EK1479" s="1"/>
      <c r="EL1479" s="1"/>
      <c r="EM1479" s="1"/>
      <c r="EN1479" s="1"/>
      <c r="EQ1479" s="1"/>
      <c r="ER1479" s="1"/>
      <c r="ES1479" s="1"/>
      <c r="EV1479" s="1"/>
      <c r="EW1479" s="1"/>
      <c r="EZ1479" s="1"/>
      <c r="GO1479" s="1"/>
      <c r="GP1479" s="1"/>
      <c r="HY1479" s="1"/>
      <c r="HZ1479" s="1"/>
      <c r="IE1479" s="1"/>
      <c r="IN1479" s="1"/>
      <c r="IS1479" s="1"/>
      <c r="IY1479" s="1"/>
      <c r="IZ1479" s="1"/>
      <c r="JC1479" s="1"/>
      <c r="JG1479" s="1"/>
      <c r="JJ1479" s="1"/>
      <c r="JP1479" s="1"/>
      <c r="JQ1479" s="1"/>
      <c r="JT1479" s="1"/>
      <c r="KU1479" s="1"/>
      <c r="KY1479" s="1"/>
      <c r="KZ1479" s="1"/>
      <c r="LA1479" s="1"/>
      <c r="LB1479" s="1"/>
      <c r="LC1479" s="1"/>
      <c r="LD1479" s="1"/>
      <c r="LM1479" s="1"/>
      <c r="LO1479" s="1"/>
      <c r="LP1479" s="1"/>
      <c r="LZ1479" s="1"/>
      <c r="MA1479" s="1"/>
    </row>
    <row r="1480" spans="4:339" ht="13" x14ac:dyDescent="0.15">
      <c r="D1480" s="12"/>
      <c r="E1480" s="12"/>
      <c r="I1480" s="12"/>
      <c r="J1480" s="13"/>
      <c r="BG1480" s="1"/>
      <c r="BH1480" s="1"/>
      <c r="BI1480" s="1"/>
      <c r="BJ1480" s="1"/>
      <c r="BK1480" s="1"/>
      <c r="BL1480" s="1"/>
      <c r="BM1480" s="1"/>
      <c r="BN1480" s="1"/>
      <c r="BO1480" s="1"/>
      <c r="BP1480" s="1"/>
      <c r="BQ1480" s="1"/>
      <c r="BR1480" s="1"/>
      <c r="CD1480" s="1"/>
      <c r="CE1480" s="1"/>
      <c r="CF1480" s="1"/>
      <c r="CM1480" s="2"/>
      <c r="CP1480" s="1"/>
      <c r="CQ1480" s="1"/>
      <c r="CS1480" s="1"/>
      <c r="CT1480" s="1"/>
      <c r="CU1480" s="1"/>
      <c r="CV1480" s="1"/>
      <c r="CW1480" s="1"/>
      <c r="CX1480" s="1"/>
      <c r="CY1480" s="1"/>
      <c r="CZ1480" s="1"/>
      <c r="DA1480" s="1"/>
      <c r="DB1480" s="1"/>
      <c r="DC1480" s="1"/>
      <c r="DD1480" s="1"/>
      <c r="DE1480" s="1"/>
      <c r="DF1480" s="1"/>
      <c r="DG1480" s="1"/>
      <c r="DH1480" s="1"/>
      <c r="DI1480" s="1"/>
      <c r="DJ1480" s="1"/>
      <c r="DK1480" s="1"/>
      <c r="ED1480" s="1"/>
      <c r="EK1480" s="1"/>
      <c r="EL1480" s="1"/>
      <c r="EM1480" s="1"/>
      <c r="EN1480" s="1"/>
      <c r="EQ1480" s="1"/>
      <c r="ER1480" s="1"/>
      <c r="ES1480" s="1"/>
      <c r="EV1480" s="1"/>
      <c r="EW1480" s="1"/>
      <c r="EZ1480" s="1"/>
      <c r="GO1480" s="1"/>
      <c r="GP1480" s="1"/>
      <c r="HY1480" s="1"/>
      <c r="HZ1480" s="1"/>
      <c r="IE1480" s="1"/>
      <c r="IN1480" s="1"/>
      <c r="IS1480" s="1"/>
      <c r="IY1480" s="1"/>
      <c r="IZ1480" s="1"/>
      <c r="JC1480" s="1"/>
      <c r="JG1480" s="1"/>
      <c r="JJ1480" s="1"/>
      <c r="JP1480" s="1"/>
      <c r="JQ1480" s="1"/>
      <c r="JT1480" s="1"/>
      <c r="KU1480" s="1"/>
      <c r="KY1480" s="1"/>
      <c r="KZ1480" s="1"/>
      <c r="LA1480" s="1"/>
      <c r="LB1480" s="1"/>
      <c r="LC1480" s="1"/>
      <c r="LD1480" s="1"/>
      <c r="LM1480" s="1"/>
      <c r="LO1480" s="1"/>
      <c r="LP1480" s="1"/>
      <c r="LZ1480" s="1"/>
      <c r="MA1480" s="1"/>
    </row>
    <row r="1481" spans="4:339" ht="13" x14ac:dyDescent="0.15">
      <c r="D1481" s="12"/>
      <c r="E1481" s="12"/>
      <c r="I1481" s="12"/>
      <c r="J1481" s="13"/>
      <c r="BG1481" s="1"/>
      <c r="BH1481" s="1"/>
      <c r="BI1481" s="1"/>
      <c r="BJ1481" s="1"/>
      <c r="BK1481" s="1"/>
      <c r="BL1481" s="1"/>
      <c r="BM1481" s="1"/>
      <c r="BN1481" s="1"/>
      <c r="BO1481" s="1"/>
      <c r="BP1481" s="1"/>
      <c r="BQ1481" s="1"/>
      <c r="BR1481" s="1"/>
      <c r="CD1481" s="1"/>
      <c r="CE1481" s="1"/>
      <c r="CF1481" s="1"/>
      <c r="CM1481" s="2"/>
      <c r="CP1481" s="1"/>
      <c r="CQ1481" s="1"/>
      <c r="CS1481" s="1"/>
      <c r="CT1481" s="1"/>
      <c r="CU1481" s="1"/>
      <c r="CV1481" s="1"/>
      <c r="CW1481" s="1"/>
      <c r="CX1481" s="1"/>
      <c r="CY1481" s="1"/>
      <c r="CZ1481" s="1"/>
      <c r="DA1481" s="1"/>
      <c r="DB1481" s="1"/>
      <c r="DC1481" s="1"/>
      <c r="DD1481" s="1"/>
      <c r="DE1481" s="1"/>
      <c r="DF1481" s="1"/>
      <c r="DG1481" s="1"/>
      <c r="DH1481" s="1"/>
      <c r="DI1481" s="1"/>
      <c r="DJ1481" s="1"/>
      <c r="DK1481" s="1"/>
      <c r="ED1481" s="1"/>
      <c r="EK1481" s="1"/>
      <c r="EL1481" s="1"/>
      <c r="EM1481" s="1"/>
      <c r="EN1481" s="1"/>
      <c r="EQ1481" s="1"/>
      <c r="ER1481" s="1"/>
      <c r="ES1481" s="1"/>
      <c r="EV1481" s="1"/>
      <c r="EW1481" s="1"/>
      <c r="EZ1481" s="1"/>
      <c r="GO1481" s="1"/>
      <c r="GP1481" s="1"/>
      <c r="HY1481" s="1"/>
      <c r="HZ1481" s="1"/>
      <c r="IE1481" s="1"/>
      <c r="IN1481" s="1"/>
      <c r="IS1481" s="1"/>
      <c r="IY1481" s="1"/>
      <c r="IZ1481" s="1"/>
      <c r="JC1481" s="1"/>
      <c r="JG1481" s="1"/>
      <c r="JJ1481" s="1"/>
      <c r="JP1481" s="1"/>
      <c r="JQ1481" s="1"/>
      <c r="JT1481" s="1"/>
      <c r="KU1481" s="1"/>
      <c r="KY1481" s="1"/>
      <c r="KZ1481" s="1"/>
      <c r="LA1481" s="1"/>
      <c r="LB1481" s="1"/>
      <c r="LC1481" s="1"/>
      <c r="LD1481" s="1"/>
      <c r="LM1481" s="1"/>
      <c r="LO1481" s="1"/>
      <c r="LP1481" s="1"/>
      <c r="LZ1481" s="1"/>
      <c r="MA1481" s="1"/>
    </row>
    <row r="1482" spans="4:339" ht="13" x14ac:dyDescent="0.15">
      <c r="D1482" s="12"/>
      <c r="E1482" s="12"/>
      <c r="I1482" s="12"/>
      <c r="J1482" s="13"/>
      <c r="BG1482" s="1"/>
      <c r="BH1482" s="1"/>
      <c r="BI1482" s="1"/>
      <c r="BJ1482" s="1"/>
      <c r="BK1482" s="1"/>
      <c r="BL1482" s="1"/>
      <c r="BM1482" s="1"/>
      <c r="BN1482" s="1"/>
      <c r="BO1482" s="1"/>
      <c r="BP1482" s="1"/>
      <c r="BQ1482" s="1"/>
      <c r="BR1482" s="1"/>
      <c r="CD1482" s="1"/>
      <c r="CE1482" s="1"/>
      <c r="CF1482" s="1"/>
      <c r="CM1482" s="2"/>
      <c r="CP1482" s="1"/>
      <c r="CQ1482" s="1"/>
      <c r="CS1482" s="1"/>
      <c r="CT1482" s="1"/>
      <c r="CU1482" s="1"/>
      <c r="CV1482" s="1"/>
      <c r="CW1482" s="1"/>
      <c r="CX1482" s="1"/>
      <c r="CY1482" s="1"/>
      <c r="CZ1482" s="1"/>
      <c r="DA1482" s="1"/>
      <c r="DB1482" s="1"/>
      <c r="DC1482" s="1"/>
      <c r="DD1482" s="1"/>
      <c r="DE1482" s="1"/>
      <c r="DF1482" s="1"/>
      <c r="DG1482" s="1"/>
      <c r="DH1482" s="1"/>
      <c r="DI1482" s="1"/>
      <c r="DJ1482" s="1"/>
      <c r="DK1482" s="1"/>
      <c r="ED1482" s="1"/>
      <c r="EK1482" s="1"/>
      <c r="EL1482" s="1"/>
      <c r="EM1482" s="1"/>
      <c r="EN1482" s="1"/>
      <c r="EQ1482" s="1"/>
      <c r="ER1482" s="1"/>
      <c r="ES1482" s="1"/>
      <c r="EV1482" s="1"/>
      <c r="EW1482" s="1"/>
      <c r="EZ1482" s="1"/>
      <c r="GO1482" s="1"/>
      <c r="GP1482" s="1"/>
      <c r="HY1482" s="1"/>
      <c r="HZ1482" s="1"/>
      <c r="IE1482" s="1"/>
      <c r="IN1482" s="1"/>
      <c r="IS1482" s="1"/>
      <c r="IY1482" s="1"/>
      <c r="IZ1482" s="1"/>
      <c r="JC1482" s="1"/>
      <c r="JG1482" s="1"/>
      <c r="JJ1482" s="1"/>
      <c r="JP1482" s="1"/>
      <c r="JQ1482" s="1"/>
      <c r="JT1482" s="1"/>
      <c r="KU1482" s="1"/>
      <c r="KY1482" s="1"/>
      <c r="KZ1482" s="1"/>
      <c r="LA1482" s="1"/>
      <c r="LB1482" s="1"/>
      <c r="LC1482" s="1"/>
      <c r="LD1482" s="1"/>
      <c r="LM1482" s="1"/>
      <c r="LO1482" s="1"/>
      <c r="LP1482" s="1"/>
      <c r="LZ1482" s="1"/>
      <c r="MA1482" s="1"/>
    </row>
    <row r="1483" spans="4:339" ht="13" x14ac:dyDescent="0.15">
      <c r="D1483" s="12"/>
      <c r="E1483" s="12"/>
      <c r="I1483" s="12"/>
      <c r="J1483" s="13"/>
      <c r="BG1483" s="1"/>
      <c r="BH1483" s="1"/>
      <c r="BI1483" s="1"/>
      <c r="BJ1483" s="1"/>
      <c r="BK1483" s="1"/>
      <c r="BL1483" s="1"/>
      <c r="BM1483" s="1"/>
      <c r="BN1483" s="1"/>
      <c r="BO1483" s="1"/>
      <c r="BP1483" s="1"/>
      <c r="BQ1483" s="1"/>
      <c r="BR1483" s="1"/>
      <c r="CD1483" s="1"/>
      <c r="CE1483" s="1"/>
      <c r="CF1483" s="1"/>
      <c r="CM1483" s="2"/>
      <c r="CP1483" s="1"/>
      <c r="CQ1483" s="1"/>
      <c r="CS1483" s="1"/>
      <c r="CT1483" s="1"/>
      <c r="CU1483" s="1"/>
      <c r="CV1483" s="1"/>
      <c r="CW1483" s="1"/>
      <c r="CX1483" s="1"/>
      <c r="CY1483" s="1"/>
      <c r="CZ1483" s="1"/>
      <c r="DA1483" s="1"/>
      <c r="DB1483" s="1"/>
      <c r="DC1483" s="1"/>
      <c r="DD1483" s="1"/>
      <c r="DE1483" s="1"/>
      <c r="DF1483" s="1"/>
      <c r="DG1483" s="1"/>
      <c r="DH1483" s="1"/>
      <c r="DI1483" s="1"/>
      <c r="DJ1483" s="1"/>
      <c r="DK1483" s="1"/>
      <c r="ED1483" s="1"/>
      <c r="EK1483" s="1"/>
      <c r="EL1483" s="1"/>
      <c r="EM1483" s="1"/>
      <c r="EN1483" s="1"/>
      <c r="EQ1483" s="1"/>
      <c r="ER1483" s="1"/>
      <c r="ES1483" s="1"/>
      <c r="EV1483" s="1"/>
      <c r="EW1483" s="1"/>
      <c r="EZ1483" s="1"/>
      <c r="GO1483" s="1"/>
      <c r="GP1483" s="1"/>
      <c r="HY1483" s="1"/>
      <c r="HZ1483" s="1"/>
      <c r="IE1483" s="1"/>
      <c r="IN1483" s="1"/>
      <c r="IS1483" s="1"/>
      <c r="IY1483" s="1"/>
      <c r="IZ1483" s="1"/>
      <c r="JC1483" s="1"/>
      <c r="JG1483" s="1"/>
      <c r="JJ1483" s="1"/>
      <c r="JP1483" s="1"/>
      <c r="JQ1483" s="1"/>
      <c r="JT1483" s="1"/>
      <c r="KU1483" s="1"/>
      <c r="KY1483" s="1"/>
      <c r="KZ1483" s="1"/>
      <c r="LA1483" s="1"/>
      <c r="LB1483" s="1"/>
      <c r="LC1483" s="1"/>
      <c r="LD1483" s="1"/>
      <c r="LM1483" s="1"/>
      <c r="LO1483" s="1"/>
      <c r="LP1483" s="1"/>
      <c r="LZ1483" s="1"/>
      <c r="MA1483" s="1"/>
    </row>
    <row r="1484" spans="4:339" ht="13" x14ac:dyDescent="0.15">
      <c r="D1484" s="12"/>
      <c r="E1484" s="12"/>
      <c r="I1484" s="12"/>
      <c r="J1484" s="13"/>
      <c r="BG1484" s="1"/>
      <c r="BH1484" s="1"/>
      <c r="BI1484" s="1"/>
      <c r="BJ1484" s="1"/>
      <c r="BK1484" s="1"/>
      <c r="BL1484" s="1"/>
      <c r="BM1484" s="1"/>
      <c r="BN1484" s="1"/>
      <c r="BO1484" s="1"/>
      <c r="BP1484" s="1"/>
      <c r="BQ1484" s="1"/>
      <c r="BR1484" s="1"/>
      <c r="CD1484" s="1"/>
      <c r="CE1484" s="1"/>
      <c r="CF1484" s="1"/>
      <c r="CM1484" s="2"/>
      <c r="CP1484" s="1"/>
      <c r="CQ1484" s="1"/>
      <c r="CS1484" s="1"/>
      <c r="CT1484" s="1"/>
      <c r="CU1484" s="1"/>
      <c r="CV1484" s="1"/>
      <c r="CW1484" s="1"/>
      <c r="CX1484" s="1"/>
      <c r="CY1484" s="1"/>
      <c r="CZ1484" s="1"/>
      <c r="DA1484" s="1"/>
      <c r="DB1484" s="1"/>
      <c r="DC1484" s="1"/>
      <c r="DD1484" s="1"/>
      <c r="DE1484" s="1"/>
      <c r="DF1484" s="1"/>
      <c r="DG1484" s="1"/>
      <c r="DH1484" s="1"/>
      <c r="DI1484" s="1"/>
      <c r="DJ1484" s="1"/>
      <c r="DK1484" s="1"/>
      <c r="ED1484" s="1"/>
      <c r="EK1484" s="1"/>
      <c r="EL1484" s="1"/>
      <c r="EM1484" s="1"/>
      <c r="EN1484" s="1"/>
      <c r="EQ1484" s="1"/>
      <c r="ER1484" s="1"/>
      <c r="ES1484" s="1"/>
      <c r="EV1484" s="1"/>
      <c r="EW1484" s="1"/>
      <c r="EZ1484" s="1"/>
      <c r="GO1484" s="1"/>
      <c r="GP1484" s="1"/>
      <c r="HY1484" s="1"/>
      <c r="HZ1484" s="1"/>
      <c r="IE1484" s="1"/>
      <c r="IN1484" s="1"/>
      <c r="IS1484" s="1"/>
      <c r="IY1484" s="1"/>
      <c r="IZ1484" s="1"/>
      <c r="JC1484" s="1"/>
      <c r="JG1484" s="1"/>
      <c r="JJ1484" s="1"/>
      <c r="JP1484" s="1"/>
      <c r="JQ1484" s="1"/>
      <c r="JT1484" s="1"/>
      <c r="KU1484" s="1"/>
      <c r="KY1484" s="1"/>
      <c r="KZ1484" s="1"/>
      <c r="LA1484" s="1"/>
      <c r="LB1484" s="1"/>
      <c r="LC1484" s="1"/>
      <c r="LD1484" s="1"/>
      <c r="LM1484" s="1"/>
      <c r="LO1484" s="1"/>
      <c r="LP1484" s="1"/>
      <c r="LZ1484" s="1"/>
      <c r="MA1484" s="1"/>
    </row>
    <row r="1485" spans="4:339" ht="13" x14ac:dyDescent="0.15">
      <c r="D1485" s="12"/>
      <c r="E1485" s="12"/>
      <c r="I1485" s="12"/>
      <c r="J1485" s="13"/>
      <c r="BG1485" s="1"/>
      <c r="BH1485" s="1"/>
      <c r="BI1485" s="1"/>
      <c r="BJ1485" s="1"/>
      <c r="BK1485" s="1"/>
      <c r="BL1485" s="1"/>
      <c r="BM1485" s="1"/>
      <c r="BN1485" s="1"/>
      <c r="BO1485" s="1"/>
      <c r="BP1485" s="1"/>
      <c r="BQ1485" s="1"/>
      <c r="BR1485" s="1"/>
      <c r="CD1485" s="1"/>
      <c r="CE1485" s="1"/>
      <c r="CF1485" s="1"/>
      <c r="CM1485" s="2"/>
      <c r="CP1485" s="1"/>
      <c r="CQ1485" s="1"/>
      <c r="CS1485" s="1"/>
      <c r="CT1485" s="1"/>
      <c r="CU1485" s="1"/>
      <c r="CV1485" s="1"/>
      <c r="CW1485" s="1"/>
      <c r="CX1485" s="1"/>
      <c r="CY1485" s="1"/>
      <c r="CZ1485" s="1"/>
      <c r="DA1485" s="1"/>
      <c r="DB1485" s="1"/>
      <c r="DC1485" s="1"/>
      <c r="DD1485" s="1"/>
      <c r="DE1485" s="1"/>
      <c r="DF1485" s="1"/>
      <c r="DG1485" s="1"/>
      <c r="DH1485" s="1"/>
      <c r="DI1485" s="1"/>
      <c r="DJ1485" s="1"/>
      <c r="DK1485" s="1"/>
      <c r="ED1485" s="1"/>
      <c r="EK1485" s="1"/>
      <c r="EL1485" s="1"/>
      <c r="EM1485" s="1"/>
      <c r="EN1485" s="1"/>
      <c r="EQ1485" s="1"/>
      <c r="ER1485" s="1"/>
      <c r="ES1485" s="1"/>
      <c r="EV1485" s="1"/>
      <c r="EW1485" s="1"/>
      <c r="EZ1485" s="1"/>
      <c r="GO1485" s="1"/>
      <c r="GP1485" s="1"/>
      <c r="HY1485" s="1"/>
      <c r="HZ1485" s="1"/>
      <c r="IE1485" s="1"/>
      <c r="IN1485" s="1"/>
      <c r="IS1485" s="1"/>
      <c r="IY1485" s="1"/>
      <c r="IZ1485" s="1"/>
      <c r="JC1485" s="1"/>
      <c r="JG1485" s="1"/>
      <c r="JJ1485" s="1"/>
      <c r="JP1485" s="1"/>
      <c r="JQ1485" s="1"/>
      <c r="JT1485" s="1"/>
      <c r="KU1485" s="1"/>
      <c r="KY1485" s="1"/>
      <c r="KZ1485" s="1"/>
      <c r="LA1485" s="1"/>
      <c r="LB1485" s="1"/>
      <c r="LC1485" s="1"/>
      <c r="LD1485" s="1"/>
      <c r="LM1485" s="1"/>
      <c r="LO1485" s="1"/>
      <c r="LP1485" s="1"/>
      <c r="LZ1485" s="1"/>
      <c r="MA1485" s="1"/>
    </row>
    <row r="1486" spans="4:339" ht="13" x14ac:dyDescent="0.15">
      <c r="D1486" s="12"/>
      <c r="E1486" s="12"/>
      <c r="I1486" s="12"/>
      <c r="J1486" s="13"/>
      <c r="BF1486" s="1"/>
      <c r="BG1486" s="1"/>
      <c r="BH1486" s="1"/>
      <c r="BI1486" s="1"/>
      <c r="BJ1486" s="1"/>
      <c r="BK1486" s="1"/>
      <c r="BL1486" s="1"/>
      <c r="BM1486" s="1"/>
      <c r="BN1486" s="1"/>
      <c r="BO1486" s="1"/>
      <c r="BP1486" s="1"/>
      <c r="BQ1486" s="1"/>
      <c r="BR1486" s="1"/>
      <c r="CD1486" s="1"/>
      <c r="CE1486" s="1"/>
      <c r="CF1486" s="1"/>
      <c r="CG1486" s="1"/>
      <c r="CM1486" s="2"/>
      <c r="CP1486" s="1"/>
      <c r="CQ1486" s="1"/>
      <c r="CR1486" s="1"/>
      <c r="CS1486" s="1"/>
      <c r="CT1486" s="1"/>
      <c r="CU1486" s="1"/>
      <c r="CV1486" s="1"/>
      <c r="CW1486" s="1"/>
      <c r="CX1486" s="1"/>
      <c r="CY1486" s="1"/>
      <c r="CZ1486" s="1"/>
      <c r="DA1486" s="1"/>
      <c r="DB1486" s="1"/>
      <c r="DC1486" s="1"/>
      <c r="DD1486" s="1"/>
      <c r="DE1486" s="1"/>
      <c r="DF1486" s="1"/>
      <c r="DG1486" s="1"/>
      <c r="DH1486" s="1"/>
      <c r="DI1486" s="1"/>
      <c r="DJ1486" s="1"/>
      <c r="DK1486" s="1"/>
      <c r="DM1486" s="1"/>
      <c r="DQ1486" s="1"/>
      <c r="DR1486" s="1"/>
      <c r="DY1486" s="1"/>
      <c r="DZ1486" s="1"/>
      <c r="ED1486" s="1"/>
      <c r="EE1486" s="1"/>
      <c r="EF1486" s="1"/>
      <c r="EG1486" s="1"/>
      <c r="EH1486" s="1"/>
      <c r="EK1486" s="1"/>
      <c r="EL1486" s="1"/>
      <c r="EM1486" s="1"/>
      <c r="EN1486" s="1"/>
      <c r="EQ1486" s="1"/>
      <c r="ER1486" s="1"/>
      <c r="ES1486" s="1"/>
      <c r="EV1486" s="1"/>
      <c r="EW1486" s="1"/>
      <c r="EY1486" s="1"/>
      <c r="EZ1486" s="1"/>
      <c r="GO1486" s="1"/>
      <c r="GP1486" s="1"/>
      <c r="HH1486" s="1"/>
      <c r="HY1486" s="1"/>
      <c r="ID1486" s="1"/>
      <c r="IE1486" s="1"/>
      <c r="IG1486" s="1"/>
      <c r="IJ1486" s="1"/>
      <c r="IR1486" s="1"/>
      <c r="IS1486" s="1"/>
      <c r="IZ1486" s="1"/>
      <c r="JC1486" s="1"/>
      <c r="JF1486" s="1"/>
      <c r="JG1486" s="1"/>
      <c r="JH1486" s="1"/>
      <c r="JJ1486" s="1"/>
      <c r="JK1486" s="1"/>
      <c r="JL1486" s="3"/>
      <c r="JM1486" s="1"/>
      <c r="JP1486" s="1"/>
      <c r="JQ1486" s="1"/>
      <c r="JR1486" s="1"/>
      <c r="JT1486" s="1"/>
      <c r="KU1486" s="1"/>
      <c r="KV1486" s="1"/>
      <c r="KY1486" s="1"/>
      <c r="KZ1486" s="1"/>
      <c r="LA1486" s="1"/>
      <c r="LB1486" s="1"/>
      <c r="LC1486" s="1"/>
      <c r="LD1486" s="1"/>
      <c r="LO1486" s="1"/>
      <c r="LP1486" s="1"/>
      <c r="LZ1486" s="1"/>
      <c r="MA1486" s="1"/>
    </row>
    <row r="1487" spans="4:339" ht="13" x14ac:dyDescent="0.15">
      <c r="D1487" s="12"/>
      <c r="E1487" s="12"/>
      <c r="I1487" s="12"/>
      <c r="J1487" s="13"/>
      <c r="BF1487" s="1"/>
      <c r="BG1487" s="1"/>
      <c r="BH1487" s="1"/>
      <c r="BI1487" s="1"/>
      <c r="BK1487" s="1"/>
      <c r="BL1487" s="1"/>
      <c r="BM1487" s="1"/>
      <c r="BN1487" s="1"/>
      <c r="BP1487" s="1"/>
      <c r="BQ1487" s="1"/>
      <c r="BR1487" s="1"/>
      <c r="CD1487" s="1"/>
      <c r="CE1487" s="1"/>
      <c r="CF1487" s="1"/>
      <c r="CM1487" s="2"/>
      <c r="CP1487" s="1"/>
      <c r="CQ1487" s="1"/>
      <c r="CR1487" s="1"/>
      <c r="CS1487" s="1"/>
      <c r="CT1487" s="1"/>
      <c r="CU1487" s="1"/>
      <c r="CV1487" s="1"/>
      <c r="CW1487" s="1"/>
      <c r="CX1487" s="1"/>
      <c r="CY1487" s="1"/>
      <c r="CZ1487" s="1"/>
      <c r="DA1487" s="1"/>
      <c r="DB1487" s="1"/>
      <c r="DC1487" s="1"/>
      <c r="DD1487" s="1"/>
      <c r="DE1487" s="1"/>
      <c r="DF1487" s="1"/>
      <c r="DG1487" s="1"/>
      <c r="DH1487" s="1"/>
      <c r="DI1487" s="1"/>
      <c r="DJ1487" s="1"/>
      <c r="DK1487" s="1"/>
      <c r="ED1487" s="1"/>
      <c r="EK1487" s="1"/>
      <c r="EL1487" s="1"/>
      <c r="EM1487" s="1"/>
      <c r="EN1487" s="1"/>
      <c r="EQ1487" s="1"/>
      <c r="ER1487" s="1"/>
      <c r="ES1487" s="1"/>
      <c r="EV1487" s="1"/>
      <c r="EW1487" s="1"/>
      <c r="EZ1487" s="1"/>
      <c r="GO1487" s="1"/>
      <c r="GP1487" s="1"/>
      <c r="HY1487" s="1"/>
      <c r="IC1487" s="1"/>
      <c r="IE1487" s="1"/>
      <c r="IS1487" s="1"/>
      <c r="IZ1487" s="1"/>
      <c r="JC1487" s="1"/>
      <c r="JF1487" s="1"/>
      <c r="JG1487" s="1"/>
      <c r="JH1487" s="1"/>
      <c r="JJ1487" s="1"/>
      <c r="JN1487" s="1"/>
      <c r="JP1487" s="1"/>
      <c r="JQ1487" s="1"/>
      <c r="JT1487" s="1"/>
      <c r="KU1487" s="1"/>
      <c r="KV1487" s="1"/>
      <c r="KW1487" s="1"/>
      <c r="KY1487" s="1"/>
      <c r="KZ1487" s="1"/>
      <c r="LA1487" s="1"/>
      <c r="LB1487" s="1"/>
      <c r="LC1487" s="1"/>
      <c r="LD1487" s="1"/>
      <c r="LN1487" s="1"/>
      <c r="LO1487" s="1"/>
      <c r="LP1487" s="1"/>
      <c r="LZ1487" s="1"/>
      <c r="MA1487" s="1"/>
    </row>
    <row r="1488" spans="4:339" ht="13" x14ac:dyDescent="0.15">
      <c r="D1488" s="12"/>
      <c r="E1488" s="12"/>
      <c r="I1488" s="12"/>
      <c r="J1488" s="13"/>
      <c r="BF1488" s="1"/>
      <c r="BG1488" s="1"/>
      <c r="BH1488" s="1"/>
      <c r="BI1488" s="1"/>
      <c r="BK1488" s="1"/>
      <c r="BL1488" s="1"/>
      <c r="BM1488" s="1"/>
      <c r="BN1488" s="1"/>
      <c r="BP1488" s="1"/>
      <c r="BQ1488" s="1"/>
      <c r="BR1488" s="1"/>
      <c r="CD1488" s="1"/>
      <c r="CE1488" s="1"/>
      <c r="CF1488" s="1"/>
      <c r="CM1488" s="2"/>
      <c r="CP1488" s="1"/>
      <c r="CQ1488" s="1"/>
      <c r="CR1488" s="1"/>
      <c r="CS1488" s="1"/>
      <c r="CT1488" s="1"/>
      <c r="CU1488" s="1"/>
      <c r="CV1488" s="1"/>
      <c r="CW1488" s="1"/>
      <c r="CX1488" s="1"/>
      <c r="CY1488" s="1"/>
      <c r="CZ1488" s="1"/>
      <c r="DA1488" s="1"/>
      <c r="DB1488" s="1"/>
      <c r="DC1488" s="1"/>
      <c r="DD1488" s="1"/>
      <c r="DE1488" s="1"/>
      <c r="DF1488" s="1"/>
      <c r="DG1488" s="1"/>
      <c r="DH1488" s="1"/>
      <c r="DI1488" s="1"/>
      <c r="DJ1488" s="1"/>
      <c r="DK1488" s="1"/>
      <c r="ED1488" s="1"/>
      <c r="EK1488" s="1"/>
      <c r="EL1488" s="1"/>
      <c r="EM1488" s="1"/>
      <c r="EN1488" s="1"/>
      <c r="EQ1488" s="1"/>
      <c r="ER1488" s="1"/>
      <c r="ES1488" s="1"/>
      <c r="EV1488" s="1"/>
      <c r="EW1488" s="1"/>
      <c r="EZ1488" s="1"/>
      <c r="GO1488" s="1"/>
      <c r="GP1488" s="1"/>
      <c r="HY1488" s="1"/>
      <c r="IC1488" s="1"/>
      <c r="IE1488" s="1"/>
      <c r="IS1488" s="1"/>
      <c r="IZ1488" s="1"/>
      <c r="JC1488" s="1"/>
      <c r="JF1488" s="1"/>
      <c r="JG1488" s="1"/>
      <c r="JH1488" s="1"/>
      <c r="JJ1488" s="1"/>
      <c r="JN1488" s="1"/>
      <c r="JP1488" s="1"/>
      <c r="JQ1488" s="1"/>
      <c r="JT1488" s="1"/>
      <c r="KU1488" s="1"/>
      <c r="KV1488" s="1"/>
      <c r="KW1488" s="1"/>
      <c r="KY1488" s="1"/>
      <c r="KZ1488" s="1"/>
      <c r="LA1488" s="1"/>
      <c r="LB1488" s="1"/>
      <c r="LC1488" s="1"/>
      <c r="LD1488" s="1"/>
      <c r="LN1488" s="1"/>
      <c r="LO1488" s="1"/>
      <c r="LP1488" s="1"/>
      <c r="LZ1488" s="1"/>
      <c r="MA1488" s="1"/>
    </row>
    <row r="1489" spans="4:339" ht="13" x14ac:dyDescent="0.15">
      <c r="D1489" s="12"/>
      <c r="E1489" s="12"/>
      <c r="I1489" s="12"/>
      <c r="J1489" s="13"/>
      <c r="BF1489" s="1"/>
      <c r="BG1489" s="1"/>
      <c r="BH1489" s="1"/>
      <c r="BI1489" s="1"/>
      <c r="BJ1489" s="1"/>
      <c r="BK1489" s="1"/>
      <c r="BL1489" s="1"/>
      <c r="BM1489" s="1"/>
      <c r="BN1489" s="1"/>
      <c r="BQ1489" s="1"/>
      <c r="BR1489" s="1"/>
      <c r="CD1489" s="1"/>
      <c r="CM1489" s="4"/>
      <c r="ED1489" s="1"/>
      <c r="EL1489" s="1"/>
      <c r="EM1489" s="1"/>
      <c r="EN1489" s="1"/>
      <c r="EQ1489" s="1"/>
      <c r="ER1489" s="1"/>
      <c r="ES1489" s="1"/>
      <c r="EV1489" s="1"/>
      <c r="EW1489" s="1"/>
      <c r="EZ1489" s="1"/>
      <c r="GP1489" s="1"/>
      <c r="HY1489" s="1"/>
      <c r="IS1489" s="1"/>
      <c r="IW1489" s="1"/>
      <c r="IZ1489" s="1"/>
      <c r="JG1489" s="1"/>
      <c r="JJ1489" s="1"/>
      <c r="JP1489" s="1"/>
      <c r="JQ1489" s="1"/>
    </row>
    <row r="1490" spans="4:339" ht="13" x14ac:dyDescent="0.15">
      <c r="D1490" s="12"/>
      <c r="E1490" s="12"/>
      <c r="I1490" s="12"/>
      <c r="J1490" s="13"/>
      <c r="BF1490" s="1"/>
      <c r="BG1490" s="1"/>
      <c r="BH1490" s="1"/>
      <c r="BI1490" s="1"/>
      <c r="BJ1490" s="1"/>
      <c r="BK1490" s="1"/>
      <c r="BL1490" s="1"/>
      <c r="BM1490" s="1"/>
      <c r="BN1490" s="1"/>
      <c r="BO1490" s="1"/>
      <c r="BP1490" s="1"/>
      <c r="BQ1490" s="1"/>
      <c r="BR1490" s="1"/>
      <c r="CD1490" s="1"/>
      <c r="CG1490" s="1"/>
      <c r="CK1490" s="1"/>
      <c r="CM1490" s="2"/>
      <c r="CP1490" s="1"/>
      <c r="CQ1490" s="1"/>
      <c r="CV1490" s="1"/>
      <c r="CW1490" s="1"/>
      <c r="CX1490" s="1"/>
      <c r="CY1490" s="1"/>
      <c r="CZ1490" s="1"/>
      <c r="DA1490" s="1"/>
      <c r="DB1490" s="1"/>
      <c r="DC1490" s="1"/>
      <c r="DD1490" s="1"/>
      <c r="DE1490" s="1"/>
      <c r="DF1490" s="1"/>
      <c r="DG1490" s="1"/>
      <c r="DH1490" s="1"/>
      <c r="DI1490" s="1"/>
      <c r="DJ1490" s="1"/>
      <c r="DK1490" s="1"/>
      <c r="ED1490" s="1"/>
      <c r="EK1490" s="1"/>
      <c r="EL1490" s="1"/>
      <c r="EM1490" s="1"/>
      <c r="EN1490" s="1"/>
      <c r="EQ1490" s="1"/>
      <c r="ER1490" s="1"/>
      <c r="ES1490" s="1"/>
      <c r="EV1490" s="1"/>
      <c r="EW1490" s="1"/>
      <c r="EZ1490" s="1"/>
      <c r="GO1490" s="1"/>
      <c r="HY1490" s="1"/>
      <c r="IE1490" s="1"/>
      <c r="IR1490" s="1"/>
      <c r="IS1490" s="1"/>
      <c r="IW1490" s="1"/>
      <c r="IZ1490" s="1"/>
      <c r="JC1490" s="1"/>
      <c r="JG1490" s="1"/>
      <c r="JJ1490" s="1"/>
      <c r="JP1490" s="1"/>
      <c r="JQ1490" s="1"/>
      <c r="JU1490" s="1"/>
      <c r="JV1490" s="1"/>
      <c r="KU1490" s="1"/>
      <c r="KZ1490" s="1"/>
      <c r="LO1490" s="1"/>
      <c r="LP1490" s="1"/>
      <c r="LZ1490" s="1"/>
      <c r="MA1490" s="1"/>
    </row>
    <row r="1491" spans="4:339" ht="13" x14ac:dyDescent="0.15">
      <c r="D1491" s="12"/>
      <c r="E1491" s="12"/>
      <c r="I1491" s="12"/>
      <c r="J1491" s="13"/>
      <c r="BG1491" s="1"/>
      <c r="BH1491" s="1"/>
      <c r="BI1491" s="1"/>
      <c r="BK1491" s="1"/>
      <c r="BL1491" s="1"/>
      <c r="BM1491" s="1"/>
      <c r="BN1491" s="1"/>
      <c r="BO1491" s="1"/>
      <c r="BP1491" s="1"/>
      <c r="BQ1491" s="1"/>
      <c r="BR1491" s="1"/>
      <c r="CD1491" s="1"/>
      <c r="CE1491" s="1"/>
      <c r="CF1491" s="1"/>
      <c r="CG1491" s="1"/>
      <c r="CM1491" s="2"/>
      <c r="CP1491" s="1"/>
      <c r="CQ1491" s="1"/>
      <c r="CX1491" s="1"/>
      <c r="CY1491" s="1"/>
      <c r="CZ1491" s="1"/>
      <c r="DA1491" s="1"/>
      <c r="DB1491" s="1"/>
      <c r="DC1491" s="1"/>
      <c r="DD1491" s="1"/>
      <c r="DE1491" s="1"/>
      <c r="DF1491" s="1"/>
      <c r="DG1491" s="1"/>
      <c r="DH1491" s="1"/>
      <c r="DI1491" s="1"/>
      <c r="DJ1491" s="1"/>
      <c r="DK1491" s="1"/>
      <c r="ED1491" s="1"/>
      <c r="EK1491" s="1"/>
      <c r="EL1491" s="1"/>
      <c r="EM1491" s="1"/>
      <c r="EN1491" s="1"/>
      <c r="EQ1491" s="1"/>
      <c r="ER1491" s="1"/>
      <c r="ES1491" s="1"/>
      <c r="EV1491" s="1"/>
      <c r="EW1491" s="1"/>
      <c r="EZ1491" s="1"/>
      <c r="GP1491" s="1"/>
      <c r="HY1491" s="1"/>
      <c r="IE1491" s="1"/>
      <c r="IR1491" s="1"/>
      <c r="IS1491" s="1"/>
      <c r="IZ1491" s="1"/>
      <c r="JF1491" s="1"/>
      <c r="JG1491" s="1"/>
      <c r="JH1491" s="1"/>
      <c r="JJ1491" s="1"/>
      <c r="JN1491" s="1"/>
      <c r="JP1491" s="1"/>
      <c r="JQ1491" s="1"/>
      <c r="KY1491" s="1"/>
      <c r="KZ1491" s="1"/>
      <c r="LA1491" s="1"/>
      <c r="LB1491" s="1"/>
      <c r="LC1491" s="1"/>
      <c r="LD1491" s="1"/>
      <c r="LF1491" s="1"/>
      <c r="LN1491" s="1"/>
      <c r="LO1491" s="1"/>
      <c r="LP1491" s="1"/>
      <c r="LR1491" s="1"/>
      <c r="LS1491" s="1"/>
      <c r="LT1491" s="1"/>
      <c r="LU1491" s="1"/>
      <c r="LZ1491" s="1"/>
      <c r="MA1491" s="1"/>
    </row>
    <row r="1492" spans="4:339" ht="13" x14ac:dyDescent="0.15">
      <c r="D1492" s="12"/>
      <c r="E1492" s="12"/>
      <c r="I1492" s="12"/>
      <c r="J1492" s="13"/>
      <c r="BG1492" s="1"/>
      <c r="BH1492" s="1"/>
      <c r="BI1492" s="1"/>
      <c r="BK1492" s="1"/>
      <c r="BL1492" s="1"/>
      <c r="BM1492" s="1"/>
      <c r="BN1492" s="1"/>
      <c r="BO1492" s="1"/>
      <c r="BP1492" s="1"/>
      <c r="BQ1492" s="1"/>
      <c r="BR1492" s="1"/>
      <c r="CD1492" s="1"/>
      <c r="CE1492" s="1"/>
      <c r="CF1492" s="1"/>
      <c r="CG1492" s="1"/>
      <c r="CM1492" s="2"/>
      <c r="CP1492" s="1"/>
      <c r="CQ1492" s="1"/>
      <c r="CX1492" s="1"/>
      <c r="CY1492" s="1"/>
      <c r="CZ1492" s="1"/>
      <c r="DA1492" s="1"/>
      <c r="DB1492" s="1"/>
      <c r="DC1492" s="1"/>
      <c r="DD1492" s="1"/>
      <c r="DE1492" s="1"/>
      <c r="DF1492" s="1"/>
      <c r="DG1492" s="1"/>
      <c r="DH1492" s="1"/>
      <c r="DI1492" s="1"/>
      <c r="DJ1492" s="1"/>
      <c r="DK1492" s="1"/>
      <c r="ED1492" s="1"/>
      <c r="EK1492" s="1"/>
      <c r="EL1492" s="1"/>
      <c r="EM1492" s="1"/>
      <c r="EN1492" s="1"/>
      <c r="EQ1492" s="1"/>
      <c r="ER1492" s="1"/>
      <c r="ES1492" s="1"/>
      <c r="EV1492" s="1"/>
      <c r="EW1492" s="1"/>
      <c r="EZ1492" s="1"/>
      <c r="GP1492" s="1"/>
      <c r="HY1492" s="1"/>
      <c r="IE1492" s="1"/>
      <c r="IR1492" s="1"/>
      <c r="IS1492" s="1"/>
      <c r="IZ1492" s="1"/>
      <c r="JF1492" s="1"/>
      <c r="JG1492" s="1"/>
      <c r="JH1492" s="1"/>
      <c r="JJ1492" s="1"/>
      <c r="JN1492" s="1"/>
      <c r="JP1492" s="1"/>
      <c r="JQ1492" s="1"/>
      <c r="KY1492" s="1"/>
      <c r="KZ1492" s="1"/>
      <c r="LA1492" s="1"/>
      <c r="LB1492" s="1"/>
      <c r="LC1492" s="1"/>
      <c r="LD1492" s="1"/>
      <c r="LF1492" s="1"/>
      <c r="LN1492" s="1"/>
      <c r="LO1492" s="1"/>
      <c r="LP1492" s="1"/>
      <c r="LR1492" s="1"/>
      <c r="LS1492" s="1"/>
      <c r="LT1492" s="1"/>
      <c r="LU1492" s="1"/>
      <c r="LZ1492" s="1"/>
      <c r="MA1492" s="1"/>
    </row>
    <row r="1493" spans="4:339" ht="13" x14ac:dyDescent="0.15">
      <c r="D1493" s="12"/>
      <c r="E1493" s="12"/>
      <c r="I1493" s="12"/>
      <c r="J1493" s="13"/>
      <c r="BF1493" s="1"/>
      <c r="BG1493" s="1"/>
      <c r="BH1493" s="1"/>
      <c r="BI1493" s="1"/>
      <c r="BK1493" s="1"/>
      <c r="BL1493" s="1"/>
      <c r="BM1493" s="1"/>
      <c r="BN1493" s="1"/>
      <c r="BO1493" s="1"/>
      <c r="BP1493" s="1"/>
      <c r="BQ1493" s="1"/>
      <c r="BR1493" s="1"/>
      <c r="BX1493" s="1"/>
      <c r="CD1493" s="1"/>
      <c r="CE1493" s="1"/>
      <c r="CF1493" s="1"/>
      <c r="CM1493" s="2"/>
      <c r="CP1493" s="1"/>
      <c r="CQ1493" s="1"/>
      <c r="CX1493" s="1"/>
      <c r="CY1493" s="1"/>
      <c r="CZ1493" s="1"/>
      <c r="DA1493" s="1"/>
      <c r="DB1493" s="1"/>
      <c r="DC1493" s="1"/>
      <c r="DD1493" s="1"/>
      <c r="DE1493" s="1"/>
      <c r="DF1493" s="1"/>
      <c r="DG1493" s="1"/>
      <c r="DH1493" s="1"/>
      <c r="DI1493" s="1"/>
      <c r="DJ1493" s="1"/>
      <c r="DK1493" s="1"/>
      <c r="DM1493" s="1"/>
      <c r="DQ1493" s="1"/>
      <c r="DR1493" s="1"/>
      <c r="DY1493" s="1"/>
      <c r="DZ1493" s="1"/>
      <c r="ED1493" s="1"/>
      <c r="EF1493" s="1"/>
      <c r="EK1493" s="1"/>
      <c r="EL1493" s="1"/>
      <c r="EM1493" s="1"/>
      <c r="EN1493" s="1"/>
      <c r="EQ1493" s="1"/>
      <c r="ER1493" s="1"/>
      <c r="ES1493" s="1"/>
      <c r="EV1493" s="1"/>
      <c r="EW1493" s="1"/>
      <c r="EZ1493" s="1"/>
      <c r="GP1493" s="1"/>
      <c r="HH1493" s="1"/>
      <c r="HL1493" s="1"/>
      <c r="HY1493" s="1"/>
      <c r="IE1493" s="1"/>
      <c r="IG1493" s="1"/>
      <c r="IJ1493" s="1"/>
      <c r="IR1493" s="1"/>
      <c r="IS1493" s="1"/>
      <c r="IW1493" s="1"/>
      <c r="IZ1493" s="1"/>
      <c r="JA1493" s="1"/>
      <c r="JF1493" s="1"/>
      <c r="JG1493" s="1"/>
      <c r="JH1493" s="1"/>
      <c r="JJ1493" s="1"/>
      <c r="JK1493" s="1"/>
      <c r="JL1493" s="6"/>
      <c r="JM1493" s="1"/>
      <c r="JN1493" s="1"/>
      <c r="JP1493" s="1"/>
      <c r="JQ1493" s="1"/>
      <c r="JR1493" s="1"/>
      <c r="JT1493" s="1"/>
      <c r="KU1493" s="1"/>
      <c r="KW1493" s="1"/>
      <c r="KY1493" s="1"/>
      <c r="KZ1493" s="1"/>
      <c r="LA1493" s="1"/>
      <c r="LB1493" s="1"/>
      <c r="LC1493" s="1"/>
      <c r="LD1493" s="1"/>
      <c r="LO1493" s="1"/>
      <c r="LP1493" s="1"/>
      <c r="LZ1493" s="1"/>
      <c r="MA1493" s="1"/>
    </row>
    <row r="1494" spans="4:339" ht="13" x14ac:dyDescent="0.15">
      <c r="D1494" s="12"/>
      <c r="E1494" s="12"/>
      <c r="I1494" s="12"/>
      <c r="J1494" s="13"/>
      <c r="BF1494" s="1"/>
      <c r="BG1494" s="1"/>
      <c r="BH1494" s="1"/>
      <c r="BI1494" s="1"/>
      <c r="BK1494" s="1"/>
      <c r="BL1494" s="1"/>
      <c r="BM1494" s="1"/>
      <c r="BN1494" s="1"/>
      <c r="BO1494" s="1"/>
      <c r="BP1494" s="1"/>
      <c r="BQ1494" s="1"/>
      <c r="BR1494" s="1"/>
      <c r="BX1494" s="1"/>
      <c r="CD1494" s="1"/>
      <c r="CE1494" s="1"/>
      <c r="CF1494" s="1"/>
      <c r="CM1494" s="2"/>
      <c r="CP1494" s="1"/>
      <c r="CQ1494" s="1"/>
      <c r="CX1494" s="1"/>
      <c r="CY1494" s="1"/>
      <c r="CZ1494" s="1"/>
      <c r="DA1494" s="1"/>
      <c r="DB1494" s="1"/>
      <c r="DC1494" s="1"/>
      <c r="DD1494" s="1"/>
      <c r="DE1494" s="1"/>
      <c r="DF1494" s="1"/>
      <c r="DG1494" s="1"/>
      <c r="DH1494" s="1"/>
      <c r="DI1494" s="1"/>
      <c r="DJ1494" s="1"/>
      <c r="DK1494" s="1"/>
      <c r="DM1494" s="1"/>
      <c r="DQ1494" s="1"/>
      <c r="DR1494" s="1"/>
      <c r="DY1494" s="1"/>
      <c r="DZ1494" s="1"/>
      <c r="ED1494" s="1"/>
      <c r="EF1494" s="1"/>
      <c r="EK1494" s="1"/>
      <c r="EL1494" s="1"/>
      <c r="EM1494" s="1"/>
      <c r="EN1494" s="1"/>
      <c r="EQ1494" s="1"/>
      <c r="ER1494" s="1"/>
      <c r="ES1494" s="1"/>
      <c r="EV1494" s="1"/>
      <c r="EW1494" s="1"/>
      <c r="EZ1494" s="1"/>
      <c r="GP1494" s="1"/>
      <c r="HH1494" s="1"/>
      <c r="HL1494" s="1"/>
      <c r="HY1494" s="1"/>
      <c r="IE1494" s="1"/>
      <c r="IG1494" s="1"/>
      <c r="IJ1494" s="1"/>
      <c r="IR1494" s="1"/>
      <c r="IS1494" s="1"/>
      <c r="IW1494" s="1"/>
      <c r="IZ1494" s="1"/>
      <c r="JA1494" s="1"/>
      <c r="JF1494" s="1"/>
      <c r="JG1494" s="1"/>
      <c r="JH1494" s="1"/>
      <c r="JJ1494" s="1"/>
      <c r="JK1494" s="1"/>
      <c r="JL1494" s="6"/>
      <c r="JM1494" s="1"/>
      <c r="JN1494" s="1"/>
      <c r="JP1494" s="1"/>
      <c r="JQ1494" s="1"/>
      <c r="JR1494" s="1"/>
      <c r="JT1494" s="1"/>
      <c r="KU1494" s="1"/>
      <c r="KW1494" s="1"/>
      <c r="KY1494" s="1"/>
      <c r="KZ1494" s="1"/>
      <c r="LA1494" s="1"/>
      <c r="LB1494" s="1"/>
      <c r="LC1494" s="1"/>
      <c r="LD1494" s="1"/>
      <c r="LO1494" s="1"/>
      <c r="LP1494" s="1"/>
      <c r="LZ1494" s="1"/>
      <c r="MA1494" s="1"/>
    </row>
    <row r="1495" spans="4:339" ht="13" x14ac:dyDescent="0.15">
      <c r="D1495" s="12"/>
      <c r="E1495" s="12"/>
      <c r="I1495" s="12"/>
      <c r="J1495" s="13"/>
      <c r="BF1495" s="1"/>
      <c r="BG1495" s="1"/>
      <c r="BH1495" s="1"/>
      <c r="BI1495" s="1"/>
      <c r="BK1495" s="1"/>
      <c r="BL1495" s="1"/>
      <c r="BM1495" s="1"/>
      <c r="BN1495" s="1"/>
      <c r="BO1495" s="1"/>
      <c r="BP1495" s="1"/>
      <c r="BQ1495" s="1"/>
      <c r="BR1495" s="1"/>
      <c r="BX1495" s="1"/>
      <c r="CD1495" s="1"/>
      <c r="CE1495" s="1"/>
      <c r="CF1495" s="1"/>
      <c r="CM1495" s="2"/>
      <c r="CP1495" s="1"/>
      <c r="CQ1495" s="1"/>
      <c r="CX1495" s="1"/>
      <c r="CY1495" s="1"/>
      <c r="CZ1495" s="1"/>
      <c r="DA1495" s="1"/>
      <c r="DB1495" s="1"/>
      <c r="DC1495" s="1"/>
      <c r="DD1495" s="1"/>
      <c r="DE1495" s="1"/>
      <c r="DF1495" s="1"/>
      <c r="DG1495" s="1"/>
      <c r="DH1495" s="1"/>
      <c r="DI1495" s="1"/>
      <c r="DJ1495" s="1"/>
      <c r="DK1495" s="1"/>
      <c r="DM1495" s="1"/>
      <c r="DQ1495" s="1"/>
      <c r="DR1495" s="1"/>
      <c r="DY1495" s="1"/>
      <c r="DZ1495" s="1"/>
      <c r="ED1495" s="1"/>
      <c r="EF1495" s="1"/>
      <c r="EK1495" s="1"/>
      <c r="EL1495" s="1"/>
      <c r="EM1495" s="1"/>
      <c r="EN1495" s="1"/>
      <c r="EQ1495" s="1"/>
      <c r="ER1495" s="1"/>
      <c r="ES1495" s="1"/>
      <c r="EV1495" s="1"/>
      <c r="EW1495" s="1"/>
      <c r="EZ1495" s="1"/>
      <c r="GP1495" s="1"/>
      <c r="HH1495" s="1"/>
      <c r="HL1495" s="1"/>
      <c r="HY1495" s="1"/>
      <c r="IE1495" s="1"/>
      <c r="IG1495" s="1"/>
      <c r="IJ1495" s="1"/>
      <c r="IR1495" s="1"/>
      <c r="IS1495" s="1"/>
      <c r="IW1495" s="1"/>
      <c r="IZ1495" s="1"/>
      <c r="JA1495" s="1"/>
      <c r="JF1495" s="1"/>
      <c r="JG1495" s="1"/>
      <c r="JH1495" s="1"/>
      <c r="JJ1495" s="1"/>
      <c r="JK1495" s="1"/>
      <c r="JL1495" s="6"/>
      <c r="JM1495" s="1"/>
      <c r="JN1495" s="1"/>
      <c r="JP1495" s="1"/>
      <c r="JQ1495" s="1"/>
      <c r="JR1495" s="1"/>
      <c r="JT1495" s="1"/>
      <c r="KU1495" s="1"/>
      <c r="KW1495" s="1"/>
      <c r="KY1495" s="1"/>
      <c r="KZ1495" s="1"/>
      <c r="LA1495" s="1"/>
      <c r="LB1495" s="1"/>
      <c r="LC1495" s="1"/>
      <c r="LD1495" s="1"/>
      <c r="LO1495" s="1"/>
      <c r="LP1495" s="1"/>
      <c r="LZ1495" s="1"/>
      <c r="MA1495" s="1"/>
    </row>
    <row r="1496" spans="4:339" ht="13" x14ac:dyDescent="0.15">
      <c r="D1496" s="12"/>
      <c r="E1496" s="12"/>
      <c r="I1496" s="12"/>
      <c r="J1496" s="13"/>
      <c r="BF1496" s="1"/>
      <c r="BG1496" s="1"/>
      <c r="BH1496" s="1"/>
      <c r="BI1496" s="1"/>
      <c r="BK1496" s="1"/>
      <c r="BL1496" s="1"/>
      <c r="BM1496" s="1"/>
      <c r="BN1496" s="1"/>
      <c r="BO1496" s="1"/>
      <c r="BP1496" s="1"/>
      <c r="BQ1496" s="1"/>
      <c r="BR1496" s="1"/>
      <c r="BX1496" s="1"/>
      <c r="CD1496" s="1"/>
      <c r="CE1496" s="1"/>
      <c r="CF1496" s="1"/>
      <c r="CM1496" s="2"/>
      <c r="CP1496" s="1"/>
      <c r="CQ1496" s="1"/>
      <c r="CX1496" s="1"/>
      <c r="CY1496" s="1"/>
      <c r="CZ1496" s="1"/>
      <c r="DA1496" s="1"/>
      <c r="DB1496" s="1"/>
      <c r="DC1496" s="1"/>
      <c r="DD1496" s="1"/>
      <c r="DE1496" s="1"/>
      <c r="DF1496" s="1"/>
      <c r="DG1496" s="1"/>
      <c r="DH1496" s="1"/>
      <c r="DI1496" s="1"/>
      <c r="DJ1496" s="1"/>
      <c r="DK1496" s="1"/>
      <c r="DM1496" s="1"/>
      <c r="DQ1496" s="1"/>
      <c r="DR1496" s="1"/>
      <c r="DY1496" s="1"/>
      <c r="DZ1496" s="1"/>
      <c r="ED1496" s="1"/>
      <c r="EF1496" s="1"/>
      <c r="EK1496" s="1"/>
      <c r="EL1496" s="1"/>
      <c r="EM1496" s="1"/>
      <c r="EN1496" s="1"/>
      <c r="EQ1496" s="1"/>
      <c r="ER1496" s="1"/>
      <c r="ES1496" s="1"/>
      <c r="EV1496" s="1"/>
      <c r="EW1496" s="1"/>
      <c r="EZ1496" s="1"/>
      <c r="GP1496" s="1"/>
      <c r="HH1496" s="1"/>
      <c r="HL1496" s="1"/>
      <c r="HY1496" s="1"/>
      <c r="IE1496" s="1"/>
      <c r="IG1496" s="1"/>
      <c r="IJ1496" s="1"/>
      <c r="IR1496" s="1"/>
      <c r="IS1496" s="1"/>
      <c r="IW1496" s="1"/>
      <c r="IZ1496" s="1"/>
      <c r="JA1496" s="1"/>
      <c r="JF1496" s="1"/>
      <c r="JG1496" s="1"/>
      <c r="JH1496" s="1"/>
      <c r="JJ1496" s="1"/>
      <c r="JK1496" s="1"/>
      <c r="JL1496" s="6"/>
      <c r="JM1496" s="1"/>
      <c r="JN1496" s="1"/>
      <c r="JP1496" s="1"/>
      <c r="JQ1496" s="1"/>
      <c r="JR1496" s="1"/>
      <c r="JT1496" s="1"/>
      <c r="KU1496" s="1"/>
      <c r="KW1496" s="1"/>
      <c r="KY1496" s="1"/>
      <c r="KZ1496" s="1"/>
      <c r="LA1496" s="1"/>
      <c r="LB1496" s="1"/>
      <c r="LC1496" s="1"/>
      <c r="LD1496" s="1"/>
      <c r="LO1496" s="1"/>
      <c r="LP1496" s="1"/>
      <c r="LZ1496" s="1"/>
      <c r="MA1496" s="1"/>
    </row>
    <row r="1497" spans="4:339" ht="13" x14ac:dyDescent="0.15">
      <c r="D1497" s="12"/>
      <c r="E1497" s="12"/>
      <c r="I1497" s="12"/>
      <c r="J1497" s="13"/>
      <c r="BF1497" s="1"/>
      <c r="BG1497" s="1"/>
      <c r="BH1497" s="1"/>
      <c r="BI1497" s="1"/>
      <c r="BK1497" s="1"/>
      <c r="BL1497" s="1"/>
      <c r="BM1497" s="1"/>
      <c r="BN1497" s="1"/>
      <c r="BO1497" s="1"/>
      <c r="BP1497" s="1"/>
      <c r="BQ1497" s="1"/>
      <c r="BR1497" s="1"/>
      <c r="BX1497" s="1"/>
      <c r="CD1497" s="1"/>
      <c r="CE1497" s="1"/>
      <c r="CF1497" s="1"/>
      <c r="CM1497" s="2"/>
      <c r="CP1497" s="1"/>
      <c r="CQ1497" s="1"/>
      <c r="CX1497" s="1"/>
      <c r="CY1497" s="1"/>
      <c r="CZ1497" s="1"/>
      <c r="DA1497" s="1"/>
      <c r="DB1497" s="1"/>
      <c r="DC1497" s="1"/>
      <c r="DD1497" s="1"/>
      <c r="DE1497" s="1"/>
      <c r="DF1497" s="1"/>
      <c r="DG1497" s="1"/>
      <c r="DH1497" s="1"/>
      <c r="DI1497" s="1"/>
      <c r="DJ1497" s="1"/>
      <c r="DK1497" s="1"/>
      <c r="DM1497" s="1"/>
      <c r="DQ1497" s="1"/>
      <c r="DR1497" s="1"/>
      <c r="DY1497" s="1"/>
      <c r="DZ1497" s="1"/>
      <c r="ED1497" s="1"/>
      <c r="EF1497" s="1"/>
      <c r="EK1497" s="1"/>
      <c r="EL1497" s="1"/>
      <c r="EM1497" s="1"/>
      <c r="EN1497" s="1"/>
      <c r="EQ1497" s="1"/>
      <c r="ER1497" s="1"/>
      <c r="ES1497" s="1"/>
      <c r="EV1497" s="1"/>
      <c r="EW1497" s="1"/>
      <c r="EZ1497" s="1"/>
      <c r="GP1497" s="1"/>
      <c r="HH1497" s="1"/>
      <c r="HL1497" s="1"/>
      <c r="HY1497" s="1"/>
      <c r="IE1497" s="1"/>
      <c r="IG1497" s="1"/>
      <c r="IJ1497" s="1"/>
      <c r="IR1497" s="1"/>
      <c r="IS1497" s="1"/>
      <c r="IW1497" s="1"/>
      <c r="IZ1497" s="1"/>
      <c r="JA1497" s="1"/>
      <c r="JF1497" s="1"/>
      <c r="JG1497" s="1"/>
      <c r="JH1497" s="1"/>
      <c r="JJ1497" s="1"/>
      <c r="JK1497" s="1"/>
      <c r="JL1497" s="6"/>
      <c r="JM1497" s="1"/>
      <c r="JN1497" s="1"/>
      <c r="JP1497" s="1"/>
      <c r="JQ1497" s="1"/>
      <c r="JR1497" s="1"/>
      <c r="JT1497" s="1"/>
      <c r="KU1497" s="1"/>
      <c r="KW1497" s="1"/>
      <c r="KY1497" s="1"/>
      <c r="KZ1497" s="1"/>
      <c r="LA1497" s="1"/>
      <c r="LB1497" s="1"/>
      <c r="LC1497" s="1"/>
      <c r="LD1497" s="1"/>
      <c r="LO1497" s="1"/>
      <c r="LP1497" s="1"/>
      <c r="LZ1497" s="1"/>
      <c r="MA1497" s="1"/>
    </row>
    <row r="1498" spans="4:339" ht="13" x14ac:dyDescent="0.15">
      <c r="D1498" s="12"/>
      <c r="E1498" s="12"/>
      <c r="I1498" s="12"/>
      <c r="J1498" s="13"/>
      <c r="BG1498" s="1"/>
      <c r="BH1498" s="1"/>
      <c r="BI1498" s="1"/>
      <c r="BJ1498" s="1"/>
      <c r="BK1498" s="1"/>
      <c r="BL1498" s="1"/>
      <c r="BM1498" s="1"/>
      <c r="BN1498" s="1"/>
      <c r="BO1498" s="1"/>
      <c r="BP1498" s="1"/>
      <c r="BQ1498" s="1"/>
      <c r="BR1498" s="1"/>
      <c r="BX1498" s="1"/>
      <c r="CD1498" s="1"/>
      <c r="CE1498" s="1"/>
      <c r="CF1498" s="1"/>
      <c r="CG1498" s="1"/>
      <c r="CM1498" s="2"/>
      <c r="CP1498" s="1"/>
      <c r="CQ1498" s="1"/>
      <c r="CS1498" s="1"/>
      <c r="CT1498" s="1"/>
      <c r="CU1498" s="1"/>
      <c r="CV1498" s="1"/>
      <c r="CW1498" s="1"/>
      <c r="CX1498" s="1"/>
      <c r="CY1498" s="1"/>
      <c r="CZ1498" s="1"/>
      <c r="DA1498" s="1"/>
      <c r="DB1498" s="1"/>
      <c r="DC1498" s="1"/>
      <c r="DD1498" s="1"/>
      <c r="DE1498" s="1"/>
      <c r="DF1498" s="1"/>
      <c r="DG1498" s="1"/>
      <c r="DH1498" s="1"/>
      <c r="DI1498" s="5"/>
      <c r="DJ1498" s="1"/>
      <c r="DK1498" s="1"/>
      <c r="DM1498" s="1"/>
      <c r="DQ1498" s="1"/>
      <c r="DR1498" s="1"/>
      <c r="DY1498" s="1"/>
      <c r="DZ1498" s="1"/>
      <c r="ED1498" s="1"/>
      <c r="EK1498" s="1"/>
      <c r="EL1498" s="1"/>
      <c r="EM1498" s="1"/>
      <c r="EN1498" s="1"/>
      <c r="EQ1498" s="1"/>
      <c r="ER1498" s="1"/>
      <c r="ES1498" s="1"/>
      <c r="EV1498" s="1"/>
      <c r="EW1498" s="1"/>
      <c r="EZ1498" s="1"/>
      <c r="FJ1498" s="1"/>
      <c r="FX1498" s="1"/>
      <c r="GO1498" s="1"/>
      <c r="GP1498" s="1"/>
      <c r="HY1498" s="1"/>
      <c r="IE1498" s="1"/>
      <c r="IR1498" s="1"/>
      <c r="IS1498" s="1"/>
      <c r="IY1498" s="1"/>
      <c r="IZ1498" s="1"/>
      <c r="JC1498" s="1"/>
      <c r="JF1498" s="1"/>
      <c r="JG1498" s="1"/>
      <c r="JH1498" s="1"/>
      <c r="JJ1498" s="1"/>
      <c r="JN1498" s="1"/>
      <c r="JP1498" s="1"/>
      <c r="JQ1498" s="1"/>
      <c r="KY1498" s="1"/>
      <c r="KZ1498" s="1"/>
      <c r="LA1498" s="1"/>
      <c r="LB1498" s="1"/>
      <c r="LC1498" s="1"/>
      <c r="LD1498" s="1"/>
      <c r="LO1498" s="1"/>
      <c r="LP1498" s="1"/>
      <c r="LZ1498" s="1"/>
      <c r="MA1498" s="1"/>
    </row>
    <row r="1499" spans="4:339" ht="13" x14ac:dyDescent="0.15">
      <c r="D1499" s="12"/>
      <c r="E1499" s="12"/>
      <c r="I1499" s="12"/>
      <c r="J1499" s="13"/>
      <c r="BG1499" s="1"/>
      <c r="BH1499" s="1"/>
      <c r="BI1499" s="1"/>
      <c r="BK1499" s="1"/>
      <c r="BL1499" s="1"/>
      <c r="BM1499" s="1"/>
      <c r="BN1499" s="1"/>
      <c r="BO1499" s="1"/>
      <c r="BQ1499" s="1"/>
      <c r="BR1499" s="1"/>
      <c r="CD1499" s="1"/>
      <c r="CM1499" s="2"/>
      <c r="ED1499" s="1"/>
      <c r="EL1499" s="1"/>
      <c r="EM1499" s="1"/>
      <c r="EN1499" s="1"/>
      <c r="EQ1499" s="1"/>
      <c r="ER1499" s="1"/>
      <c r="ES1499" s="1"/>
      <c r="EV1499" s="1"/>
      <c r="EW1499" s="1"/>
      <c r="EZ1499" s="1"/>
      <c r="HY1499" s="1"/>
      <c r="IC1499" s="1"/>
      <c r="IS1499" s="1"/>
      <c r="IW1499" s="1"/>
      <c r="IZ1499" s="1"/>
      <c r="JJ1499" s="1"/>
      <c r="JN1499" s="1"/>
      <c r="JP1499" s="1"/>
      <c r="JQ1499" s="1"/>
      <c r="KU1499" s="1"/>
      <c r="LZ1499" s="1"/>
    </row>
    <row r="1500" spans="4:339" ht="13" x14ac:dyDescent="0.15">
      <c r="D1500" s="12"/>
      <c r="E1500" s="12"/>
      <c r="I1500" s="12"/>
      <c r="J1500" s="13"/>
      <c r="BF1500" s="1"/>
      <c r="BG1500" s="1"/>
      <c r="BH1500" s="1"/>
      <c r="BI1500" s="1"/>
      <c r="BJ1500" s="1"/>
      <c r="BK1500" s="1"/>
      <c r="BL1500" s="1"/>
      <c r="BM1500" s="1"/>
      <c r="BN1500" s="1"/>
      <c r="BO1500" s="1"/>
      <c r="BP1500" s="1"/>
      <c r="BQ1500" s="1"/>
      <c r="BR1500" s="1"/>
      <c r="CD1500" s="1"/>
      <c r="CE1500" s="1"/>
      <c r="CF1500" s="1"/>
      <c r="CG1500" s="1"/>
      <c r="CM1500" s="2"/>
      <c r="CP1500" s="1"/>
      <c r="CQ1500" s="1"/>
      <c r="CX1500" s="1"/>
      <c r="CY1500" s="1"/>
      <c r="CZ1500" s="1"/>
      <c r="DA1500" s="1"/>
      <c r="DB1500" s="1"/>
      <c r="DC1500" s="1"/>
      <c r="DD1500" s="1"/>
      <c r="DE1500" s="1"/>
      <c r="DF1500" s="1"/>
      <c r="DG1500" s="1"/>
      <c r="DH1500" s="1"/>
      <c r="DI1500" s="1"/>
      <c r="DJ1500" s="1"/>
      <c r="DK1500" s="1"/>
      <c r="ED1500" s="1"/>
      <c r="EK1500" s="1"/>
      <c r="EL1500" s="1"/>
      <c r="EM1500" s="1"/>
      <c r="EN1500" s="1"/>
      <c r="EQ1500" s="1"/>
      <c r="ER1500" s="1"/>
      <c r="ES1500" s="1"/>
      <c r="EV1500" s="1"/>
      <c r="EW1500" s="1"/>
      <c r="EZ1500" s="1"/>
      <c r="GP1500" s="1"/>
      <c r="HH1500" s="1"/>
      <c r="HY1500" s="1"/>
      <c r="IE1500" s="1"/>
      <c r="IR1500" s="1"/>
      <c r="IS1500" s="1"/>
      <c r="IW1500" s="1"/>
      <c r="IZ1500" s="1"/>
      <c r="JA1500" s="1"/>
      <c r="JG1500" s="1"/>
      <c r="JJ1500" s="1"/>
      <c r="JN1500" s="1"/>
      <c r="JP1500" s="1"/>
      <c r="JQ1500" s="1"/>
      <c r="KY1500" s="1"/>
      <c r="KZ1500" s="1"/>
      <c r="LA1500" s="1"/>
      <c r="LB1500" s="1"/>
      <c r="LC1500" s="1"/>
      <c r="LD1500" s="1"/>
      <c r="LO1500" s="1"/>
      <c r="LP1500" s="1"/>
      <c r="LZ1500" s="1"/>
      <c r="MA1500" s="1"/>
    </row>
    <row r="1501" spans="4:339" ht="13" x14ac:dyDescent="0.15">
      <c r="D1501" s="12"/>
      <c r="E1501" s="12"/>
      <c r="I1501" s="12"/>
      <c r="J1501" s="13"/>
      <c r="BF1501" s="1"/>
      <c r="BG1501" s="1"/>
      <c r="BH1501" s="1"/>
      <c r="BI1501" s="1"/>
      <c r="BK1501" s="1"/>
      <c r="BL1501" s="1"/>
      <c r="BM1501" s="1"/>
      <c r="BN1501" s="1"/>
      <c r="BO1501" s="1"/>
      <c r="BP1501" s="1"/>
      <c r="BQ1501" s="1"/>
      <c r="BR1501" s="1"/>
      <c r="CD1501" s="1"/>
      <c r="CE1501" s="1"/>
      <c r="CF1501" s="1"/>
      <c r="CG1501" s="1"/>
      <c r="CK1501" s="1"/>
      <c r="CM1501" s="4"/>
      <c r="CP1501" s="1"/>
      <c r="CQ1501" s="1"/>
      <c r="CX1501" s="1"/>
      <c r="CY1501" s="1"/>
      <c r="CZ1501" s="1"/>
      <c r="DA1501" s="1"/>
      <c r="DB1501" s="1"/>
      <c r="DC1501" s="1"/>
      <c r="DD1501" s="1"/>
      <c r="DE1501" s="1"/>
      <c r="DF1501" s="1"/>
      <c r="DG1501" s="1"/>
      <c r="DH1501" s="1"/>
      <c r="DI1501" s="1"/>
      <c r="DJ1501" s="1"/>
      <c r="DK1501" s="1"/>
      <c r="DM1501" s="1"/>
      <c r="DQ1501" s="1"/>
      <c r="DR1501" s="1"/>
      <c r="DY1501" s="1"/>
      <c r="DZ1501" s="1"/>
      <c r="ED1501" s="1"/>
      <c r="EK1501" s="1"/>
      <c r="EL1501" s="1"/>
      <c r="EM1501" s="1"/>
      <c r="EN1501" s="1"/>
      <c r="EQ1501" s="1"/>
      <c r="ER1501" s="1"/>
      <c r="ES1501" s="1"/>
      <c r="EV1501" s="1"/>
      <c r="EW1501" s="1"/>
      <c r="EZ1501" s="1"/>
      <c r="FE1501" s="1"/>
      <c r="FF1501" s="1"/>
      <c r="FJ1501" s="1"/>
      <c r="FS1501" s="1"/>
      <c r="FW1501" s="1"/>
      <c r="GP1501" s="1"/>
      <c r="HH1501" s="1"/>
      <c r="HY1501" s="1"/>
      <c r="IC1501" s="1"/>
      <c r="IE1501" s="1"/>
      <c r="IR1501" s="1"/>
      <c r="IS1501" s="1"/>
      <c r="IW1501" s="1"/>
      <c r="IZ1501" s="1"/>
      <c r="JA1501" s="1"/>
      <c r="JC1501" s="1"/>
      <c r="JF1501" s="1"/>
      <c r="JG1501" s="1"/>
      <c r="JH1501" s="1"/>
      <c r="JJ1501" s="1"/>
      <c r="JN1501" s="1"/>
      <c r="JP1501" s="1"/>
      <c r="JQ1501" s="1"/>
      <c r="KU1501" s="1"/>
      <c r="KV1501" s="1"/>
      <c r="KY1501" s="1"/>
      <c r="KZ1501" s="1"/>
      <c r="LA1501" s="1"/>
      <c r="LB1501" s="1"/>
      <c r="LC1501" s="1"/>
      <c r="LD1501" s="1"/>
      <c r="LO1501" s="1"/>
      <c r="LP1501" s="1"/>
      <c r="LZ1501" s="1"/>
      <c r="MA1501" s="1"/>
    </row>
    <row r="1502" spans="4:339" ht="13" x14ac:dyDescent="0.15">
      <c r="D1502" s="12"/>
      <c r="E1502" s="12"/>
      <c r="I1502" s="12"/>
      <c r="J1502" s="13"/>
      <c r="BF1502" s="1"/>
      <c r="BG1502" s="1"/>
      <c r="BH1502" s="1"/>
      <c r="BI1502" s="1"/>
      <c r="BJ1502" s="1"/>
      <c r="BK1502" s="1"/>
      <c r="BL1502" s="1"/>
      <c r="BM1502" s="1"/>
      <c r="BN1502" s="1"/>
      <c r="BO1502" s="1"/>
      <c r="BQ1502" s="1"/>
      <c r="BR1502" s="1"/>
      <c r="CD1502" s="1"/>
      <c r="CE1502" s="1"/>
      <c r="CF1502" s="1"/>
      <c r="CM1502" s="2"/>
      <c r="ED1502" s="1"/>
      <c r="EL1502" s="1"/>
      <c r="EM1502" s="1"/>
      <c r="EN1502" s="1"/>
      <c r="EQ1502" s="1"/>
      <c r="ER1502" s="1"/>
      <c r="ES1502" s="1"/>
      <c r="EV1502" s="1"/>
      <c r="EW1502" s="1"/>
      <c r="EZ1502" s="1"/>
      <c r="GP1502" s="1"/>
      <c r="HY1502" s="1"/>
      <c r="IB1502" s="1"/>
      <c r="IC1502" s="1"/>
      <c r="IS1502" s="1"/>
      <c r="IW1502" s="1"/>
      <c r="IZ1502" s="1"/>
      <c r="JJ1502" s="1"/>
      <c r="JN1502" s="1"/>
      <c r="JP1502" s="1"/>
      <c r="JQ1502" s="1"/>
      <c r="JT1502" s="1"/>
      <c r="KU1502" s="1"/>
    </row>
    <row r="1503" spans="4:339" ht="13" x14ac:dyDescent="0.15">
      <c r="D1503" s="12"/>
      <c r="E1503" s="12"/>
      <c r="I1503" s="12"/>
      <c r="J1503" s="13"/>
      <c r="BF1503" s="1"/>
      <c r="BG1503" s="1"/>
      <c r="BH1503" s="1"/>
      <c r="BI1503" s="1"/>
      <c r="BK1503" s="1"/>
      <c r="BL1503" s="1"/>
      <c r="BM1503" s="1"/>
      <c r="BN1503" s="1"/>
      <c r="BO1503" s="1"/>
      <c r="BQ1503" s="1"/>
      <c r="BR1503" s="1"/>
      <c r="CD1503" s="1"/>
      <c r="CE1503" s="1"/>
      <c r="CF1503" s="1"/>
      <c r="CM1503" s="2"/>
      <c r="ED1503" s="1"/>
      <c r="EL1503" s="1"/>
      <c r="EM1503" s="1"/>
      <c r="EN1503" s="1"/>
      <c r="EO1503" s="1"/>
      <c r="EQ1503" s="1"/>
      <c r="ER1503" s="1"/>
      <c r="ES1503" s="1"/>
      <c r="EV1503" s="1"/>
      <c r="EW1503" s="1"/>
      <c r="EZ1503" s="1"/>
      <c r="GP1503" s="1"/>
      <c r="HY1503" s="1"/>
      <c r="IC1503" s="1"/>
      <c r="IS1503" s="1"/>
      <c r="IY1503" s="1"/>
      <c r="IZ1503" s="1"/>
      <c r="JC1503" s="1"/>
      <c r="JG1503" s="1"/>
      <c r="JJ1503" s="1"/>
      <c r="JN1503" s="1"/>
      <c r="JP1503" s="1"/>
      <c r="JQ1503" s="1"/>
      <c r="KU1503" s="1"/>
      <c r="LM1503" s="1"/>
    </row>
    <row r="1504" spans="4:339" ht="13" x14ac:dyDescent="0.15">
      <c r="D1504" s="12"/>
      <c r="E1504" s="12"/>
      <c r="I1504" s="12"/>
      <c r="J1504" s="13"/>
      <c r="BG1504" s="1"/>
      <c r="BH1504" s="1"/>
      <c r="BI1504" s="1"/>
      <c r="BK1504" s="1"/>
      <c r="BL1504" s="1"/>
      <c r="BM1504" s="1"/>
      <c r="BN1504" s="1"/>
      <c r="BQ1504" s="1"/>
      <c r="BR1504" s="1"/>
      <c r="CD1504" s="1"/>
      <c r="CM1504" s="2"/>
      <c r="ED1504" s="1"/>
      <c r="EL1504" s="1"/>
      <c r="EM1504" s="1"/>
      <c r="EN1504" s="1"/>
      <c r="EQ1504" s="1"/>
      <c r="ER1504" s="1"/>
      <c r="ES1504" s="1"/>
      <c r="EV1504" s="1"/>
      <c r="EW1504" s="1"/>
      <c r="EZ1504" s="1"/>
      <c r="GP1504" s="1"/>
      <c r="HY1504" s="1"/>
      <c r="IC1504" s="1"/>
      <c r="IS1504" s="1"/>
      <c r="IW1504" s="1"/>
      <c r="IY1504" s="1"/>
      <c r="IZ1504" s="1"/>
      <c r="JA1504" s="1"/>
      <c r="JJ1504" s="1"/>
      <c r="JN1504" s="1"/>
      <c r="JP1504" s="1"/>
      <c r="JQ1504" s="1"/>
      <c r="KU1504" s="1"/>
    </row>
    <row r="1505" spans="4:339" ht="13" x14ac:dyDescent="0.15">
      <c r="D1505" s="12"/>
      <c r="E1505" s="12"/>
      <c r="I1505" s="12"/>
      <c r="J1505" s="13"/>
      <c r="BG1505" s="1"/>
      <c r="BH1505" s="1"/>
      <c r="BM1505" s="1"/>
      <c r="BN1505" s="1"/>
      <c r="BQ1505" s="1"/>
      <c r="BR1505" s="1"/>
      <c r="CD1505" s="1"/>
      <c r="CM1505" s="2"/>
      <c r="ED1505" s="1"/>
      <c r="EL1505" s="1"/>
      <c r="EM1505" s="1"/>
      <c r="EN1505" s="1"/>
      <c r="EQ1505" s="1"/>
      <c r="ER1505" s="1"/>
      <c r="ES1505" s="1"/>
      <c r="EV1505" s="1"/>
      <c r="EW1505" s="1"/>
      <c r="EZ1505" s="1"/>
      <c r="GP1505" s="1"/>
      <c r="HH1505" s="1"/>
      <c r="IK1505" s="1"/>
      <c r="IS1505" s="1"/>
      <c r="IW1505" s="1"/>
      <c r="IY1505" s="1"/>
      <c r="IZ1505" s="1"/>
      <c r="JF1505" s="1"/>
      <c r="JG1505" s="1"/>
      <c r="JH1505" s="1"/>
      <c r="JJ1505" s="1"/>
      <c r="JN1505" s="1"/>
      <c r="JP1505" s="1"/>
      <c r="JQ1505" s="1"/>
    </row>
    <row r="1506" spans="4:339" ht="13" x14ac:dyDescent="0.15">
      <c r="D1506" s="12"/>
      <c r="E1506" s="12"/>
      <c r="I1506" s="12"/>
      <c r="J1506" s="13"/>
      <c r="BF1506" s="1"/>
      <c r="BG1506" s="1"/>
      <c r="BH1506" s="1"/>
      <c r="BI1506" s="1"/>
      <c r="BJ1506" s="1"/>
      <c r="BK1506" s="1"/>
      <c r="BL1506" s="1"/>
      <c r="BM1506" s="1"/>
      <c r="BN1506" s="1"/>
      <c r="BO1506" s="1"/>
      <c r="BP1506" s="1"/>
      <c r="BQ1506" s="1"/>
      <c r="BR1506" s="1"/>
      <c r="CD1506" s="1"/>
      <c r="CE1506" s="1"/>
      <c r="CF1506" s="1"/>
      <c r="CM1506" s="4"/>
      <c r="CP1506" s="1"/>
      <c r="CQ1506" s="1"/>
      <c r="CS1506" s="1"/>
      <c r="CV1506" s="1"/>
      <c r="CW1506" s="1"/>
      <c r="CX1506" s="1"/>
      <c r="CY1506" s="1"/>
      <c r="CZ1506" s="1"/>
      <c r="DA1506" s="1"/>
      <c r="DB1506" s="1"/>
      <c r="DC1506" s="1"/>
      <c r="DD1506" s="1"/>
      <c r="DE1506" s="1"/>
      <c r="DF1506" s="1"/>
      <c r="DG1506" s="1"/>
      <c r="DH1506" s="1"/>
      <c r="DI1506" s="1"/>
      <c r="DJ1506" s="1"/>
      <c r="DK1506" s="1"/>
      <c r="ED1506" s="1"/>
      <c r="EK1506" s="1"/>
      <c r="EL1506" s="1"/>
      <c r="EM1506" s="1"/>
      <c r="EN1506" s="1"/>
      <c r="EO1506" s="1"/>
      <c r="EQ1506" s="1"/>
      <c r="ER1506" s="1"/>
      <c r="ES1506" s="1"/>
      <c r="EV1506" s="1"/>
      <c r="EW1506" s="1"/>
      <c r="EZ1506" s="1"/>
      <c r="GO1506" s="1"/>
      <c r="HH1506" s="1"/>
      <c r="HY1506" s="1"/>
      <c r="IC1506" s="1"/>
      <c r="IE1506" s="1"/>
      <c r="IS1506" s="1"/>
      <c r="IZ1506" s="1"/>
      <c r="JG1506" s="1"/>
      <c r="JJ1506" s="1"/>
      <c r="JP1506" s="1"/>
      <c r="JQ1506" s="1"/>
      <c r="KW1506" s="1"/>
      <c r="KY1506" s="1"/>
      <c r="KZ1506" s="1"/>
      <c r="LA1506" s="1"/>
      <c r="LB1506" s="1"/>
      <c r="LC1506" s="1"/>
      <c r="LD1506" s="1"/>
      <c r="LO1506" s="1"/>
      <c r="LP1506" s="1"/>
      <c r="LZ1506" s="1"/>
      <c r="MA1506" s="1"/>
    </row>
    <row r="1507" spans="4:339" ht="13" x14ac:dyDescent="0.15">
      <c r="D1507" s="12"/>
      <c r="E1507" s="12"/>
      <c r="I1507" s="12"/>
      <c r="J1507" s="13"/>
      <c r="BF1507" s="1"/>
      <c r="BG1507" s="1"/>
      <c r="BH1507" s="1"/>
      <c r="BI1507" s="1"/>
      <c r="BK1507" s="1"/>
      <c r="BL1507" s="1"/>
      <c r="BM1507" s="1"/>
      <c r="BN1507" s="1"/>
      <c r="BO1507" s="1"/>
      <c r="BP1507" s="1"/>
      <c r="BQ1507" s="1"/>
      <c r="BR1507" s="1"/>
      <c r="CD1507" s="1"/>
      <c r="CE1507" s="1"/>
      <c r="CF1507" s="1"/>
      <c r="CG1507" s="1"/>
      <c r="CM1507" s="4"/>
      <c r="CP1507" s="1"/>
      <c r="CQ1507" s="1"/>
      <c r="CR1507" s="1"/>
      <c r="CS1507" s="1"/>
      <c r="CT1507" s="1"/>
      <c r="CU1507" s="1"/>
      <c r="CV1507" s="1"/>
      <c r="CW1507" s="1"/>
      <c r="CX1507" s="1"/>
      <c r="CY1507" s="1"/>
      <c r="CZ1507" s="1"/>
      <c r="DA1507" s="1"/>
      <c r="DB1507" s="1"/>
      <c r="DC1507" s="1"/>
      <c r="DD1507" s="1"/>
      <c r="DE1507" s="1"/>
      <c r="DF1507" s="1"/>
      <c r="DG1507" s="1"/>
      <c r="DH1507" s="1"/>
      <c r="DI1507" s="1"/>
      <c r="DJ1507" s="1"/>
      <c r="DK1507" s="1"/>
      <c r="ED1507" s="1"/>
      <c r="EK1507" s="1"/>
      <c r="EL1507" s="1"/>
      <c r="EM1507" s="1"/>
      <c r="EN1507" s="1"/>
      <c r="EQ1507" s="1"/>
      <c r="ER1507" s="1"/>
      <c r="ES1507" s="1"/>
      <c r="EV1507" s="1"/>
      <c r="EW1507" s="1"/>
      <c r="EZ1507" s="1"/>
      <c r="GP1507" s="1"/>
      <c r="HY1507" s="1"/>
      <c r="ID1507" s="1"/>
      <c r="IE1507" s="1"/>
      <c r="IS1507" s="1"/>
      <c r="IW1507" s="1"/>
      <c r="IZ1507" s="1"/>
      <c r="JA1507" s="1"/>
      <c r="JF1507" s="1"/>
      <c r="JG1507" s="1"/>
      <c r="JH1507" s="1"/>
      <c r="JJ1507" s="1"/>
      <c r="JN1507" s="1"/>
      <c r="JP1507" s="1"/>
      <c r="JQ1507" s="1"/>
      <c r="JT1507" s="1"/>
      <c r="KV1507" s="1"/>
      <c r="KY1507" s="1"/>
      <c r="KZ1507" s="1"/>
      <c r="LA1507" s="1"/>
      <c r="LB1507" s="1"/>
      <c r="LC1507" s="1"/>
      <c r="LD1507" s="1"/>
      <c r="LF1507" s="1"/>
      <c r="LN1507" s="1"/>
      <c r="LO1507" s="1"/>
      <c r="LP1507" s="1"/>
      <c r="LZ1507" s="1"/>
      <c r="MA1507" s="1"/>
    </row>
    <row r="1508" spans="4:339" ht="13" x14ac:dyDescent="0.15">
      <c r="D1508" s="12"/>
      <c r="E1508" s="12"/>
      <c r="I1508" s="12"/>
      <c r="J1508" s="13"/>
      <c r="BF1508" s="1"/>
      <c r="BG1508" s="1"/>
      <c r="BH1508" s="1"/>
      <c r="BI1508" s="1"/>
      <c r="BK1508" s="1"/>
      <c r="BL1508" s="1"/>
      <c r="BM1508" s="1"/>
      <c r="BN1508" s="1"/>
      <c r="BO1508" s="1"/>
      <c r="BP1508" s="1"/>
      <c r="BQ1508" s="1"/>
      <c r="BR1508" s="1"/>
      <c r="CD1508" s="1"/>
      <c r="CE1508" s="1"/>
      <c r="CF1508" s="1"/>
      <c r="CG1508" s="1"/>
      <c r="CM1508" s="4"/>
      <c r="CP1508" s="1"/>
      <c r="CQ1508" s="1"/>
      <c r="CR1508" s="1"/>
      <c r="CS1508" s="1"/>
      <c r="CT1508" s="1"/>
      <c r="CU1508" s="1"/>
      <c r="CV1508" s="1"/>
      <c r="CW1508" s="1"/>
      <c r="CX1508" s="1"/>
      <c r="CY1508" s="1"/>
      <c r="CZ1508" s="1"/>
      <c r="DA1508" s="1"/>
      <c r="DB1508" s="1"/>
      <c r="DC1508" s="1"/>
      <c r="DD1508" s="1"/>
      <c r="DE1508" s="1"/>
      <c r="DF1508" s="1"/>
      <c r="DG1508" s="1"/>
      <c r="DH1508" s="1"/>
      <c r="DI1508" s="1"/>
      <c r="DJ1508" s="1"/>
      <c r="DK1508" s="1"/>
      <c r="ED1508" s="1"/>
      <c r="EK1508" s="1"/>
      <c r="EL1508" s="1"/>
      <c r="EM1508" s="1"/>
      <c r="EN1508" s="1"/>
      <c r="EQ1508" s="1"/>
      <c r="ER1508" s="1"/>
      <c r="ES1508" s="1"/>
      <c r="EV1508" s="1"/>
      <c r="EW1508" s="1"/>
      <c r="EZ1508" s="1"/>
      <c r="GP1508" s="1"/>
      <c r="HY1508" s="1"/>
      <c r="ID1508" s="1"/>
      <c r="IE1508" s="1"/>
      <c r="IS1508" s="1"/>
      <c r="IW1508" s="1"/>
      <c r="IZ1508" s="1"/>
      <c r="JA1508" s="1"/>
      <c r="JF1508" s="1"/>
      <c r="JG1508" s="1"/>
      <c r="JH1508" s="1"/>
      <c r="JJ1508" s="1"/>
      <c r="JN1508" s="1"/>
      <c r="JP1508" s="1"/>
      <c r="JQ1508" s="1"/>
      <c r="JT1508" s="1"/>
      <c r="KV1508" s="1"/>
      <c r="KY1508" s="1"/>
      <c r="KZ1508" s="1"/>
      <c r="LA1508" s="1"/>
      <c r="LB1508" s="1"/>
      <c r="LC1508" s="1"/>
      <c r="LD1508" s="1"/>
      <c r="LF1508" s="1"/>
      <c r="LN1508" s="1"/>
      <c r="LO1508" s="1"/>
      <c r="LP1508" s="1"/>
      <c r="LZ1508" s="1"/>
      <c r="MA1508" s="1"/>
    </row>
    <row r="1509" spans="4:339" ht="13" x14ac:dyDescent="0.15">
      <c r="D1509" s="12"/>
      <c r="E1509" s="12"/>
      <c r="I1509" s="12"/>
      <c r="J1509" s="13"/>
      <c r="BF1509" s="1"/>
      <c r="BG1509" s="1"/>
      <c r="BH1509" s="1"/>
      <c r="BI1509" s="1"/>
      <c r="BJ1509" s="1"/>
      <c r="BK1509" s="1"/>
      <c r="BL1509" s="1"/>
      <c r="BM1509" s="1"/>
      <c r="BN1509" s="1"/>
      <c r="BO1509" s="1"/>
      <c r="BP1509" s="1"/>
      <c r="BQ1509" s="1"/>
      <c r="BR1509" s="1"/>
      <c r="CD1509" s="1"/>
      <c r="CE1509" s="1"/>
      <c r="CF1509" s="1"/>
      <c r="CM1509" s="4"/>
      <c r="CP1509" s="1"/>
      <c r="CQ1509" s="1"/>
      <c r="CR1509" s="1"/>
      <c r="CS1509" s="1"/>
      <c r="CT1509" s="1"/>
      <c r="CU1509" s="1"/>
      <c r="CV1509" s="1"/>
      <c r="CW1509" s="1"/>
      <c r="CX1509" s="1"/>
      <c r="CY1509" s="1"/>
      <c r="CZ1509" s="1"/>
      <c r="DA1509" s="1"/>
      <c r="DB1509" s="1"/>
      <c r="DC1509" s="1"/>
      <c r="DD1509" s="1"/>
      <c r="DE1509" s="1"/>
      <c r="DF1509" s="1"/>
      <c r="DG1509" s="1"/>
      <c r="DH1509" s="1"/>
      <c r="DI1509" s="1"/>
      <c r="DJ1509" s="1"/>
      <c r="DK1509" s="1"/>
      <c r="DM1509" s="1"/>
      <c r="DQ1509" s="1"/>
      <c r="DR1509" s="1"/>
      <c r="DY1509" s="1"/>
      <c r="DZ1509" s="1"/>
      <c r="ED1509" s="1"/>
      <c r="EK1509" s="1"/>
      <c r="EL1509" s="1"/>
      <c r="EM1509" s="1"/>
      <c r="EN1509" s="1"/>
      <c r="EQ1509" s="1"/>
      <c r="ER1509" s="1"/>
      <c r="ES1509" s="1"/>
      <c r="EV1509" s="1"/>
      <c r="EW1509" s="1"/>
      <c r="EZ1509" s="1"/>
      <c r="GO1509" s="1"/>
      <c r="GP1509" s="1"/>
      <c r="HH1509" s="1"/>
      <c r="HY1509" s="1"/>
      <c r="IC1509" s="1"/>
      <c r="IE1509" s="1"/>
      <c r="IS1509" s="1"/>
      <c r="IY1509" s="1"/>
      <c r="IZ1509" s="1"/>
      <c r="JC1509" s="1"/>
      <c r="JF1509" s="1"/>
      <c r="JG1509" s="1"/>
      <c r="JH1509" s="1"/>
      <c r="JI1509" s="1"/>
      <c r="JJ1509" s="1"/>
      <c r="JN1509" s="1"/>
      <c r="JP1509" s="1"/>
      <c r="JQ1509" s="1"/>
      <c r="JT1509" s="1"/>
      <c r="KU1509" s="1"/>
      <c r="KV1509" s="1"/>
      <c r="KW1509" s="1"/>
      <c r="KX1509" s="1"/>
      <c r="KY1509" s="1"/>
      <c r="KZ1509" s="1"/>
      <c r="LA1509" s="1"/>
      <c r="LB1509" s="1"/>
      <c r="LC1509" s="1"/>
      <c r="LD1509" s="1"/>
      <c r="LO1509" s="1"/>
      <c r="LP1509" s="1"/>
      <c r="LZ1509" s="1"/>
      <c r="MA1509" s="1"/>
    </row>
    <row r="1510" spans="4:339" ht="13" x14ac:dyDescent="0.15">
      <c r="D1510" s="12"/>
      <c r="E1510" s="12"/>
      <c r="I1510" s="12"/>
      <c r="J1510" s="13"/>
      <c r="BF1510" s="1"/>
      <c r="BG1510" s="1"/>
      <c r="BH1510" s="1"/>
      <c r="BI1510" s="1"/>
      <c r="BJ1510" s="1"/>
      <c r="BK1510" s="1"/>
      <c r="BL1510" s="1"/>
      <c r="BM1510" s="1"/>
      <c r="BN1510" s="1"/>
      <c r="BO1510" s="1"/>
      <c r="BP1510" s="1"/>
      <c r="BQ1510" s="1"/>
      <c r="BR1510" s="1"/>
      <c r="CD1510" s="1"/>
      <c r="CE1510" s="1"/>
      <c r="CF1510" s="1"/>
      <c r="CG1510" s="1"/>
      <c r="CM1510" s="2"/>
      <c r="CP1510" s="1"/>
      <c r="CQ1510" s="1"/>
      <c r="CR1510" s="1"/>
      <c r="CS1510" s="1"/>
      <c r="CT1510" s="1"/>
      <c r="CU1510" s="1"/>
      <c r="CV1510" s="1"/>
      <c r="CW1510" s="1"/>
      <c r="CX1510" s="1"/>
      <c r="CY1510" s="1"/>
      <c r="CZ1510" s="1"/>
      <c r="DA1510" s="1"/>
      <c r="DB1510" s="1"/>
      <c r="DC1510" s="1"/>
      <c r="DD1510" s="1"/>
      <c r="DE1510" s="1"/>
      <c r="DF1510" s="1"/>
      <c r="DG1510" s="1"/>
      <c r="DH1510" s="1"/>
      <c r="DI1510" s="1"/>
      <c r="DJ1510" s="1"/>
      <c r="DK1510" s="1"/>
      <c r="DM1510" s="1"/>
      <c r="DQ1510" s="1"/>
      <c r="DR1510" s="1"/>
      <c r="DY1510" s="1"/>
      <c r="DZ1510" s="1"/>
      <c r="ED1510" s="1"/>
      <c r="EE1510" s="1"/>
      <c r="EF1510" s="1"/>
      <c r="EG1510" s="1"/>
      <c r="EH1510" s="1"/>
      <c r="EK1510" s="1"/>
      <c r="EL1510" s="1"/>
      <c r="EM1510" s="1"/>
      <c r="EN1510" s="1"/>
      <c r="EQ1510" s="1"/>
      <c r="ER1510" s="1"/>
      <c r="ES1510" s="1"/>
      <c r="EV1510" s="1"/>
      <c r="EW1510" s="1"/>
      <c r="EY1510" s="1"/>
      <c r="EZ1510" s="1"/>
      <c r="GO1510" s="1"/>
      <c r="GP1510" s="1"/>
      <c r="HH1510" s="1"/>
      <c r="HY1510" s="1"/>
      <c r="ID1510" s="1"/>
      <c r="IE1510" s="1"/>
      <c r="IF1510" s="1"/>
      <c r="IG1510" s="1"/>
      <c r="IJ1510" s="1"/>
      <c r="IR1510" s="1"/>
      <c r="IS1510" s="1"/>
      <c r="IV1510" s="1"/>
      <c r="IW1510" s="1"/>
      <c r="IX1510" s="1"/>
      <c r="IZ1510" s="1"/>
      <c r="JB1510" s="1"/>
      <c r="JF1510" s="1"/>
      <c r="JG1510" s="1"/>
      <c r="JH1510" s="1"/>
      <c r="JJ1510" s="1"/>
      <c r="JK1510" s="1"/>
      <c r="JL1510" s="3"/>
      <c r="JM1510" s="1"/>
      <c r="JN1510" s="1"/>
      <c r="JP1510" s="1"/>
      <c r="JQ1510" s="1"/>
      <c r="JR1510" s="1"/>
      <c r="JT1510" s="1"/>
      <c r="KV1510" s="1"/>
      <c r="KW1510" s="1"/>
      <c r="KY1510" s="1"/>
      <c r="KZ1510" s="1"/>
      <c r="LA1510" s="1"/>
      <c r="LB1510" s="1"/>
      <c r="LC1510" s="1"/>
      <c r="LD1510" s="1"/>
      <c r="LO1510" s="1"/>
      <c r="LP1510" s="1"/>
      <c r="LZ1510" s="1"/>
      <c r="MA1510" s="1"/>
    </row>
    <row r="1511" spans="4:339" ht="13" x14ac:dyDescent="0.15">
      <c r="D1511" s="12"/>
      <c r="E1511" s="12"/>
      <c r="I1511" s="12"/>
      <c r="J1511" s="13"/>
      <c r="BF1511" s="1"/>
      <c r="BG1511" s="1"/>
      <c r="BH1511" s="1"/>
      <c r="BI1511" s="1"/>
      <c r="BK1511" s="1"/>
      <c r="BL1511" s="1"/>
      <c r="BM1511" s="1"/>
      <c r="BN1511" s="1"/>
      <c r="BQ1511" s="1"/>
      <c r="BR1511" s="1"/>
      <c r="CD1511" s="1"/>
      <c r="CM1511" s="2"/>
      <c r="ED1511" s="1"/>
      <c r="EL1511" s="1"/>
      <c r="EM1511" s="1"/>
      <c r="EN1511" s="1"/>
      <c r="EQ1511" s="1"/>
      <c r="ER1511" s="1"/>
      <c r="ES1511" s="1"/>
      <c r="EV1511" s="1"/>
      <c r="EW1511" s="1"/>
      <c r="EZ1511" s="1"/>
      <c r="HY1511" s="1"/>
      <c r="IC1511" s="1"/>
      <c r="IS1511" s="1"/>
      <c r="IW1511" s="1"/>
      <c r="IZ1511" s="1"/>
      <c r="JA1511" s="1"/>
      <c r="JG1511" s="1"/>
      <c r="JJ1511" s="1"/>
      <c r="JP1511" s="1"/>
      <c r="JQ1511" s="1"/>
      <c r="JT1511" s="1"/>
      <c r="KU1511" s="1"/>
      <c r="LX1511" s="1"/>
    </row>
    <row r="1512" spans="4:339" ht="13" x14ac:dyDescent="0.15">
      <c r="D1512" s="12"/>
      <c r="E1512" s="12"/>
      <c r="I1512" s="12"/>
      <c r="J1512" s="13"/>
      <c r="BF1512" s="1"/>
      <c r="BG1512" s="1"/>
      <c r="BH1512" s="1"/>
      <c r="BI1512" s="1"/>
      <c r="BK1512" s="1"/>
      <c r="BL1512" s="1"/>
      <c r="BM1512" s="1"/>
      <c r="BN1512" s="1"/>
      <c r="BO1512" s="1"/>
      <c r="BP1512" s="1"/>
      <c r="BQ1512" s="1"/>
      <c r="BR1512" s="1"/>
      <c r="CD1512" s="1"/>
      <c r="CE1512" s="1"/>
      <c r="CF1512" s="1"/>
      <c r="CG1512" s="1"/>
      <c r="CM1512" s="4"/>
      <c r="CP1512" s="1"/>
      <c r="CQ1512" s="1"/>
      <c r="CR1512" s="1"/>
      <c r="CS1512" s="1"/>
      <c r="CT1512" s="1"/>
      <c r="CU1512" s="1"/>
      <c r="CV1512" s="1"/>
      <c r="CW1512" s="1"/>
      <c r="CX1512" s="1"/>
      <c r="CY1512" s="1"/>
      <c r="CZ1512" s="1"/>
      <c r="DA1512" s="1"/>
      <c r="DB1512" s="1"/>
      <c r="DC1512" s="1"/>
      <c r="DD1512" s="1"/>
      <c r="DE1512" s="1"/>
      <c r="DF1512" s="1"/>
      <c r="DG1512" s="1"/>
      <c r="DH1512" s="1"/>
      <c r="DI1512" s="1"/>
      <c r="DJ1512" s="1"/>
      <c r="DK1512" s="1"/>
      <c r="ED1512" s="1"/>
      <c r="EK1512" s="1"/>
      <c r="EL1512" s="1"/>
      <c r="EM1512" s="1"/>
      <c r="EN1512" s="1"/>
      <c r="EO1512" s="1"/>
      <c r="EQ1512" s="1"/>
      <c r="ER1512" s="1"/>
      <c r="ES1512" s="1"/>
      <c r="EV1512" s="1"/>
      <c r="EW1512" s="1"/>
      <c r="EZ1512" s="1"/>
      <c r="GP1512" s="1"/>
      <c r="HH1512" s="1"/>
      <c r="HY1512" s="1"/>
      <c r="IC1512" s="1"/>
      <c r="IE1512" s="1"/>
      <c r="IS1512" s="1"/>
      <c r="IW1512" s="1"/>
      <c r="IZ1512" s="1"/>
      <c r="JA1512" s="1"/>
      <c r="JC1512" s="1"/>
      <c r="JF1512" s="1"/>
      <c r="JG1512" s="1"/>
      <c r="JH1512" s="1"/>
      <c r="JJ1512" s="1"/>
      <c r="JP1512" s="1"/>
      <c r="JQ1512" s="1"/>
      <c r="JT1512" s="1"/>
      <c r="KV1512" s="1"/>
      <c r="KW1512" s="1"/>
      <c r="KY1512" s="1"/>
      <c r="KZ1512" s="1"/>
      <c r="LA1512" s="1"/>
      <c r="LB1512" s="1"/>
      <c r="LC1512" s="1"/>
      <c r="LD1512" s="1"/>
      <c r="LO1512" s="1"/>
      <c r="LP1512" s="1"/>
      <c r="LZ1512" s="1"/>
      <c r="MA1512" s="1"/>
    </row>
    <row r="1513" spans="4:339" ht="13" x14ac:dyDescent="0.15">
      <c r="D1513" s="12"/>
      <c r="E1513" s="12"/>
      <c r="I1513" s="12"/>
      <c r="J1513" s="13"/>
      <c r="BF1513" s="1"/>
      <c r="BG1513" s="1"/>
      <c r="BH1513" s="1"/>
      <c r="BI1513" s="1"/>
      <c r="BJ1513" s="1"/>
      <c r="BK1513" s="1"/>
      <c r="BL1513" s="1"/>
      <c r="BM1513" s="1"/>
      <c r="BN1513" s="1"/>
      <c r="BO1513" s="1"/>
      <c r="BP1513" s="1"/>
      <c r="BQ1513" s="1"/>
      <c r="BR1513" s="1"/>
      <c r="BX1513" s="1"/>
      <c r="CD1513" s="1"/>
      <c r="CE1513" s="1"/>
      <c r="CF1513" s="1"/>
      <c r="CG1513" s="1"/>
      <c r="CM1513" s="2"/>
      <c r="CP1513" s="1"/>
      <c r="CQ1513" s="1"/>
      <c r="CR1513" s="1"/>
      <c r="CS1513" s="1"/>
      <c r="CT1513" s="1"/>
      <c r="CU1513" s="1"/>
      <c r="CV1513" s="1"/>
      <c r="CW1513" s="1"/>
      <c r="CX1513" s="1"/>
      <c r="CY1513" s="1"/>
      <c r="CZ1513" s="1"/>
      <c r="DA1513" s="1"/>
      <c r="DB1513" s="1"/>
      <c r="DC1513" s="1"/>
      <c r="DD1513" s="1"/>
      <c r="DE1513" s="1"/>
      <c r="DF1513" s="1"/>
      <c r="DG1513" s="1"/>
      <c r="DH1513" s="1"/>
      <c r="DI1513" s="1"/>
      <c r="DJ1513" s="1"/>
      <c r="DK1513" s="1"/>
      <c r="DM1513" s="1"/>
      <c r="DQ1513" s="1"/>
      <c r="DR1513" s="1"/>
      <c r="DY1513" s="1"/>
      <c r="DZ1513" s="1"/>
      <c r="ED1513" s="1"/>
      <c r="EK1513" s="1"/>
      <c r="EL1513" s="1"/>
      <c r="EM1513" s="1"/>
      <c r="EN1513" s="1"/>
      <c r="EQ1513" s="1"/>
      <c r="ER1513" s="1"/>
      <c r="ES1513" s="1"/>
      <c r="EV1513" s="1"/>
      <c r="EW1513" s="1"/>
      <c r="EZ1513" s="1"/>
      <c r="GO1513" s="1"/>
      <c r="GP1513" s="1"/>
      <c r="HY1513" s="1"/>
      <c r="IE1513" s="1"/>
      <c r="IR1513" s="1"/>
      <c r="IS1513" s="1"/>
      <c r="IW1513" s="1"/>
      <c r="IZ1513" s="1"/>
      <c r="JA1513" s="1"/>
      <c r="JF1513" s="1"/>
      <c r="JI1513" s="1"/>
      <c r="JJ1513" s="1"/>
      <c r="JN1513" s="1"/>
      <c r="JP1513" s="1"/>
      <c r="JQ1513" s="1"/>
      <c r="KV1513" s="1"/>
      <c r="KY1513" s="1"/>
      <c r="KZ1513" s="1"/>
      <c r="LA1513" s="1"/>
      <c r="LB1513" s="1"/>
      <c r="LC1513" s="1"/>
      <c r="LD1513" s="1"/>
      <c r="LF1513" s="1"/>
      <c r="LN1513" s="1"/>
      <c r="LO1513" s="1"/>
      <c r="LP1513" s="1"/>
      <c r="LZ1513" s="1"/>
      <c r="MA1513" s="1"/>
    </row>
    <row r="1514" spans="4:339" ht="13" x14ac:dyDescent="0.15">
      <c r="D1514" s="12"/>
      <c r="E1514" s="12"/>
      <c r="I1514" s="12"/>
      <c r="J1514" s="13"/>
      <c r="BF1514" s="1"/>
      <c r="BG1514" s="1"/>
      <c r="BH1514" s="1"/>
      <c r="BI1514" s="1"/>
      <c r="BJ1514" s="1"/>
      <c r="BK1514" s="1"/>
      <c r="BL1514" s="1"/>
      <c r="BM1514" s="1"/>
      <c r="BN1514" s="1"/>
      <c r="BO1514" s="1"/>
      <c r="BP1514" s="1"/>
      <c r="BQ1514" s="1"/>
      <c r="BR1514" s="1"/>
      <c r="BX1514" s="1"/>
      <c r="CD1514" s="1"/>
      <c r="CE1514" s="1"/>
      <c r="CF1514" s="1"/>
      <c r="CG1514" s="1"/>
      <c r="CM1514" s="2"/>
      <c r="CP1514" s="1"/>
      <c r="CQ1514" s="1"/>
      <c r="CR1514" s="1"/>
      <c r="CT1514" s="1"/>
      <c r="CU1514" s="1"/>
      <c r="CV1514" s="1"/>
      <c r="CW1514" s="1"/>
      <c r="CX1514" s="1"/>
      <c r="CY1514" s="1"/>
      <c r="CZ1514" s="1"/>
      <c r="DA1514" s="1"/>
      <c r="DB1514" s="1"/>
      <c r="DC1514" s="1"/>
      <c r="DD1514" s="1"/>
      <c r="DE1514" s="1"/>
      <c r="DF1514" s="1"/>
      <c r="DG1514" s="1"/>
      <c r="DH1514" s="1"/>
      <c r="DI1514" s="1"/>
      <c r="DJ1514" s="1"/>
      <c r="DK1514" s="1"/>
      <c r="DM1514" s="1"/>
      <c r="DR1514" s="1"/>
      <c r="ED1514" s="1"/>
      <c r="EK1514" s="1"/>
      <c r="EL1514" s="1"/>
      <c r="EM1514" s="1"/>
      <c r="EN1514" s="1"/>
      <c r="EQ1514" s="1"/>
      <c r="ER1514" s="1"/>
      <c r="ES1514" s="1"/>
      <c r="EV1514" s="1"/>
      <c r="EW1514" s="1"/>
      <c r="EZ1514" s="1"/>
      <c r="GO1514" s="1"/>
      <c r="GP1514" s="1"/>
      <c r="HH1514" s="1"/>
      <c r="HY1514" s="1"/>
      <c r="IE1514" s="1"/>
      <c r="IS1514" s="1"/>
      <c r="IW1514" s="1"/>
      <c r="IZ1514" s="1"/>
      <c r="JA1514" s="1"/>
      <c r="JC1514" s="1"/>
      <c r="JF1514" s="1"/>
      <c r="JG1514" s="1"/>
      <c r="JH1514" s="1"/>
      <c r="JI1514" s="1"/>
      <c r="JJ1514" s="1"/>
      <c r="JN1514" s="1"/>
      <c r="JP1514" s="1"/>
      <c r="JQ1514" s="1"/>
      <c r="JT1514" s="1"/>
      <c r="KU1514" s="1"/>
      <c r="KV1514" s="1"/>
      <c r="KY1514" s="1"/>
      <c r="KZ1514" s="1"/>
      <c r="LA1514" s="1"/>
      <c r="LB1514" s="1"/>
      <c r="LC1514" s="1"/>
      <c r="LD1514" s="1"/>
      <c r="LN1514" s="1"/>
      <c r="LO1514" s="1"/>
      <c r="LP1514" s="1"/>
      <c r="LZ1514" s="1"/>
      <c r="MA1514" s="1"/>
    </row>
    <row r="1515" spans="4:339" ht="13" x14ac:dyDescent="0.15">
      <c r="D1515" s="12"/>
      <c r="E1515" s="12"/>
      <c r="I1515" s="12"/>
      <c r="J1515" s="13"/>
      <c r="BF1515" s="1"/>
      <c r="BG1515" s="1"/>
      <c r="BH1515" s="1"/>
      <c r="BI1515" s="1"/>
      <c r="BJ1515" s="1"/>
      <c r="BK1515" s="1"/>
      <c r="BL1515" s="1"/>
      <c r="BM1515" s="1"/>
      <c r="BN1515" s="1"/>
      <c r="BO1515" s="1"/>
      <c r="BP1515" s="1"/>
      <c r="BQ1515" s="1"/>
      <c r="BR1515" s="1"/>
      <c r="BX1515" s="1"/>
      <c r="CD1515" s="1"/>
      <c r="CE1515" s="1"/>
      <c r="CF1515" s="1"/>
      <c r="CG1515" s="1"/>
      <c r="CM1515" s="2"/>
      <c r="CP1515" s="1"/>
      <c r="CQ1515" s="1"/>
      <c r="CR1515" s="1"/>
      <c r="CT1515" s="1"/>
      <c r="CU1515" s="1"/>
      <c r="CV1515" s="1"/>
      <c r="CW1515" s="1"/>
      <c r="CX1515" s="1"/>
      <c r="CY1515" s="1"/>
      <c r="CZ1515" s="1"/>
      <c r="DA1515" s="1"/>
      <c r="DB1515" s="1"/>
      <c r="DC1515" s="1"/>
      <c r="DD1515" s="1"/>
      <c r="DE1515" s="1"/>
      <c r="DF1515" s="1"/>
      <c r="DG1515" s="1"/>
      <c r="DH1515" s="1"/>
      <c r="DI1515" s="1"/>
      <c r="DJ1515" s="1"/>
      <c r="DK1515" s="1"/>
      <c r="DM1515" s="1"/>
      <c r="DR1515" s="1"/>
      <c r="ED1515" s="1"/>
      <c r="EK1515" s="1"/>
      <c r="EL1515" s="1"/>
      <c r="EM1515" s="1"/>
      <c r="EN1515" s="1"/>
      <c r="EQ1515" s="1"/>
      <c r="ER1515" s="1"/>
      <c r="ES1515" s="1"/>
      <c r="EV1515" s="1"/>
      <c r="EW1515" s="1"/>
      <c r="EZ1515" s="1"/>
      <c r="GO1515" s="1"/>
      <c r="GP1515" s="1"/>
      <c r="HH1515" s="1"/>
      <c r="HY1515" s="1"/>
      <c r="IE1515" s="1"/>
      <c r="IS1515" s="1"/>
      <c r="IW1515" s="1"/>
      <c r="IZ1515" s="1"/>
      <c r="JA1515" s="1"/>
      <c r="JC1515" s="1"/>
      <c r="JF1515" s="1"/>
      <c r="JG1515" s="1"/>
      <c r="JH1515" s="1"/>
      <c r="JI1515" s="1"/>
      <c r="JJ1515" s="1"/>
      <c r="JN1515" s="1"/>
      <c r="JP1515" s="1"/>
      <c r="JQ1515" s="1"/>
      <c r="JT1515" s="1"/>
      <c r="KU1515" s="1"/>
      <c r="KV1515" s="1"/>
      <c r="KY1515" s="1"/>
      <c r="KZ1515" s="1"/>
      <c r="LA1515" s="1"/>
      <c r="LB1515" s="1"/>
      <c r="LC1515" s="1"/>
      <c r="LD1515" s="1"/>
      <c r="LN1515" s="1"/>
      <c r="LO1515" s="1"/>
      <c r="LP1515" s="1"/>
      <c r="LZ1515" s="1"/>
      <c r="MA1515" s="1"/>
    </row>
    <row r="1516" spans="4:339" ht="13" x14ac:dyDescent="0.15">
      <c r="D1516" s="12"/>
      <c r="E1516" s="12"/>
      <c r="I1516" s="12"/>
      <c r="J1516" s="13"/>
      <c r="BF1516" s="1"/>
      <c r="BG1516" s="1"/>
      <c r="BH1516" s="1"/>
      <c r="BI1516" s="1"/>
      <c r="BJ1516" s="1"/>
      <c r="BK1516" s="1"/>
      <c r="BL1516" s="1"/>
      <c r="BM1516" s="1"/>
      <c r="BN1516" s="1"/>
      <c r="BO1516" s="1"/>
      <c r="BP1516" s="1"/>
      <c r="BQ1516" s="1"/>
      <c r="BR1516" s="1"/>
      <c r="BX1516" s="1"/>
      <c r="CD1516" s="1"/>
      <c r="CE1516" s="1"/>
      <c r="CF1516" s="1"/>
      <c r="CG1516" s="1"/>
      <c r="CM1516" s="2"/>
      <c r="CP1516" s="1"/>
      <c r="CQ1516" s="1"/>
      <c r="CR1516" s="1"/>
      <c r="CT1516" s="1"/>
      <c r="CU1516" s="1"/>
      <c r="CV1516" s="1"/>
      <c r="CW1516" s="1"/>
      <c r="CX1516" s="1"/>
      <c r="CY1516" s="1"/>
      <c r="CZ1516" s="1"/>
      <c r="DA1516" s="1"/>
      <c r="DB1516" s="1"/>
      <c r="DC1516" s="1"/>
      <c r="DD1516" s="1"/>
      <c r="DE1516" s="1"/>
      <c r="DF1516" s="1"/>
      <c r="DG1516" s="1"/>
      <c r="DH1516" s="1"/>
      <c r="DI1516" s="1"/>
      <c r="DJ1516" s="1"/>
      <c r="DK1516" s="1"/>
      <c r="DM1516" s="1"/>
      <c r="DR1516" s="1"/>
      <c r="ED1516" s="1"/>
      <c r="EK1516" s="1"/>
      <c r="EL1516" s="1"/>
      <c r="EM1516" s="1"/>
      <c r="EN1516" s="1"/>
      <c r="EQ1516" s="1"/>
      <c r="ER1516" s="1"/>
      <c r="ES1516" s="1"/>
      <c r="EV1516" s="1"/>
      <c r="EW1516" s="1"/>
      <c r="EZ1516" s="1"/>
      <c r="GO1516" s="1"/>
      <c r="GP1516" s="1"/>
      <c r="HH1516" s="1"/>
      <c r="HY1516" s="1"/>
      <c r="IE1516" s="1"/>
      <c r="IS1516" s="1"/>
      <c r="IW1516" s="1"/>
      <c r="IZ1516" s="1"/>
      <c r="JA1516" s="1"/>
      <c r="JC1516" s="1"/>
      <c r="JF1516" s="1"/>
      <c r="JG1516" s="1"/>
      <c r="JH1516" s="1"/>
      <c r="JI1516" s="1"/>
      <c r="JJ1516" s="1"/>
      <c r="JN1516" s="1"/>
      <c r="JP1516" s="1"/>
      <c r="JQ1516" s="1"/>
      <c r="JT1516" s="1"/>
      <c r="KU1516" s="1"/>
      <c r="KV1516" s="1"/>
      <c r="KY1516" s="1"/>
      <c r="KZ1516" s="1"/>
      <c r="LA1516" s="1"/>
      <c r="LB1516" s="1"/>
      <c r="LC1516" s="1"/>
      <c r="LD1516" s="1"/>
      <c r="LN1516" s="1"/>
      <c r="LO1516" s="1"/>
      <c r="LP1516" s="1"/>
      <c r="LZ1516" s="1"/>
      <c r="MA1516" s="1"/>
    </row>
    <row r="1517" spans="4:339" ht="13" x14ac:dyDescent="0.15">
      <c r="D1517" s="12"/>
      <c r="E1517" s="12"/>
      <c r="I1517" s="12"/>
      <c r="J1517" s="13"/>
      <c r="BF1517" s="1"/>
      <c r="BG1517" s="1"/>
      <c r="BH1517" s="1"/>
      <c r="BI1517" s="1"/>
      <c r="BJ1517" s="1"/>
      <c r="BK1517" s="1"/>
      <c r="BL1517" s="1"/>
      <c r="BM1517" s="1"/>
      <c r="BN1517" s="1"/>
      <c r="BO1517" s="1"/>
      <c r="BP1517" s="1"/>
      <c r="BQ1517" s="1"/>
      <c r="BR1517" s="1"/>
      <c r="BX1517" s="1"/>
      <c r="CD1517" s="1"/>
      <c r="CE1517" s="1"/>
      <c r="CF1517" s="1"/>
      <c r="CG1517" s="1"/>
      <c r="CM1517" s="2"/>
      <c r="CP1517" s="1"/>
      <c r="CQ1517" s="1"/>
      <c r="CR1517" s="1"/>
      <c r="CT1517" s="1"/>
      <c r="CU1517" s="1"/>
      <c r="CV1517" s="1"/>
      <c r="CW1517" s="1"/>
      <c r="CX1517" s="1"/>
      <c r="CY1517" s="1"/>
      <c r="CZ1517" s="1"/>
      <c r="DA1517" s="1"/>
      <c r="DB1517" s="1"/>
      <c r="DC1517" s="1"/>
      <c r="DD1517" s="1"/>
      <c r="DE1517" s="1"/>
      <c r="DF1517" s="1"/>
      <c r="DG1517" s="1"/>
      <c r="DH1517" s="1"/>
      <c r="DI1517" s="1"/>
      <c r="DJ1517" s="1"/>
      <c r="DK1517" s="1"/>
      <c r="DM1517" s="1"/>
      <c r="DR1517" s="1"/>
      <c r="ED1517" s="1"/>
      <c r="EK1517" s="1"/>
      <c r="EL1517" s="1"/>
      <c r="EM1517" s="1"/>
      <c r="EN1517" s="1"/>
      <c r="EQ1517" s="1"/>
      <c r="ER1517" s="1"/>
      <c r="ES1517" s="1"/>
      <c r="EV1517" s="1"/>
      <c r="EW1517" s="1"/>
      <c r="EZ1517" s="1"/>
      <c r="GO1517" s="1"/>
      <c r="GP1517" s="1"/>
      <c r="HH1517" s="1"/>
      <c r="HY1517" s="1"/>
      <c r="IE1517" s="1"/>
      <c r="IS1517" s="1"/>
      <c r="IW1517" s="1"/>
      <c r="IZ1517" s="1"/>
      <c r="JA1517" s="1"/>
      <c r="JC1517" s="1"/>
      <c r="JF1517" s="1"/>
      <c r="JG1517" s="1"/>
      <c r="JH1517" s="1"/>
      <c r="JI1517" s="1"/>
      <c r="JJ1517" s="1"/>
      <c r="JN1517" s="1"/>
      <c r="JP1517" s="1"/>
      <c r="JQ1517" s="1"/>
      <c r="JT1517" s="1"/>
      <c r="KU1517" s="1"/>
      <c r="KV1517" s="1"/>
      <c r="KY1517" s="1"/>
      <c r="KZ1517" s="1"/>
      <c r="LA1517" s="1"/>
      <c r="LB1517" s="1"/>
      <c r="LC1517" s="1"/>
      <c r="LD1517" s="1"/>
      <c r="LN1517" s="1"/>
      <c r="LO1517" s="1"/>
      <c r="LP1517" s="1"/>
      <c r="LZ1517" s="1"/>
      <c r="MA1517" s="1"/>
    </row>
    <row r="1518" spans="4:339" ht="13" x14ac:dyDescent="0.15">
      <c r="D1518" s="12"/>
      <c r="E1518" s="12"/>
      <c r="I1518" s="12"/>
      <c r="J1518" s="13"/>
      <c r="BF1518" s="1"/>
      <c r="BG1518" s="1"/>
      <c r="BH1518" s="1"/>
      <c r="BI1518" s="1"/>
      <c r="BJ1518" s="1"/>
      <c r="BK1518" s="1"/>
      <c r="BL1518" s="1"/>
      <c r="BM1518" s="1"/>
      <c r="BN1518" s="1"/>
      <c r="BO1518" s="1"/>
      <c r="BP1518" s="1"/>
      <c r="BQ1518" s="1"/>
      <c r="BR1518" s="1"/>
      <c r="BX1518" s="1"/>
      <c r="CD1518" s="1"/>
      <c r="CE1518" s="1"/>
      <c r="CF1518" s="1"/>
      <c r="CG1518" s="1"/>
      <c r="CM1518" s="2"/>
      <c r="CP1518" s="1"/>
      <c r="CQ1518" s="1"/>
      <c r="CR1518" s="1"/>
      <c r="CT1518" s="1"/>
      <c r="CU1518" s="1"/>
      <c r="CV1518" s="1"/>
      <c r="CW1518" s="1"/>
      <c r="CX1518" s="1"/>
      <c r="CY1518" s="1"/>
      <c r="CZ1518" s="1"/>
      <c r="DA1518" s="1"/>
      <c r="DB1518" s="1"/>
      <c r="DC1518" s="1"/>
      <c r="DD1518" s="1"/>
      <c r="DE1518" s="1"/>
      <c r="DF1518" s="1"/>
      <c r="DG1518" s="1"/>
      <c r="DH1518" s="1"/>
      <c r="DI1518" s="1"/>
      <c r="DJ1518" s="1"/>
      <c r="DK1518" s="1"/>
      <c r="DM1518" s="1"/>
      <c r="DR1518" s="1"/>
      <c r="ED1518" s="1"/>
      <c r="EK1518" s="1"/>
      <c r="EL1518" s="1"/>
      <c r="EM1518" s="1"/>
      <c r="EN1518" s="1"/>
      <c r="EQ1518" s="1"/>
      <c r="ER1518" s="1"/>
      <c r="ES1518" s="1"/>
      <c r="EV1518" s="1"/>
      <c r="EW1518" s="1"/>
      <c r="EZ1518" s="1"/>
      <c r="GO1518" s="1"/>
      <c r="GP1518" s="1"/>
      <c r="HH1518" s="1"/>
      <c r="HY1518" s="1"/>
      <c r="IE1518" s="1"/>
      <c r="IS1518" s="1"/>
      <c r="IW1518" s="1"/>
      <c r="IZ1518" s="1"/>
      <c r="JA1518" s="1"/>
      <c r="JC1518" s="1"/>
      <c r="JF1518" s="1"/>
      <c r="JG1518" s="1"/>
      <c r="JH1518" s="1"/>
      <c r="JI1518" s="1"/>
      <c r="JJ1518" s="1"/>
      <c r="JN1518" s="1"/>
      <c r="JP1518" s="1"/>
      <c r="JQ1518" s="1"/>
      <c r="JT1518" s="1"/>
      <c r="KU1518" s="1"/>
      <c r="KV1518" s="1"/>
      <c r="KY1518" s="1"/>
      <c r="KZ1518" s="1"/>
      <c r="LA1518" s="1"/>
      <c r="LB1518" s="1"/>
      <c r="LC1518" s="1"/>
      <c r="LD1518" s="1"/>
      <c r="LN1518" s="1"/>
      <c r="LO1518" s="1"/>
      <c r="LP1518" s="1"/>
      <c r="LZ1518" s="1"/>
      <c r="MA1518" s="1"/>
    </row>
    <row r="1519" spans="4:339" ht="13" x14ac:dyDescent="0.15">
      <c r="D1519" s="12"/>
      <c r="E1519" s="12"/>
      <c r="I1519" s="12"/>
      <c r="J1519" s="13"/>
      <c r="BF1519" s="1"/>
      <c r="BG1519" s="1"/>
      <c r="BH1519" s="1"/>
      <c r="BI1519" s="1"/>
      <c r="BJ1519" s="1"/>
      <c r="BK1519" s="1"/>
      <c r="BL1519" s="1"/>
      <c r="BM1519" s="1"/>
      <c r="BN1519" s="1"/>
      <c r="BO1519" s="1"/>
      <c r="BP1519" s="1"/>
      <c r="BQ1519" s="1"/>
      <c r="BR1519" s="1"/>
      <c r="BX1519" s="1"/>
      <c r="CD1519" s="1"/>
      <c r="CE1519" s="1"/>
      <c r="CF1519" s="1"/>
      <c r="CG1519" s="1"/>
      <c r="CM1519" s="2"/>
      <c r="CP1519" s="1"/>
      <c r="CQ1519" s="1"/>
      <c r="CR1519" s="1"/>
      <c r="CT1519" s="1"/>
      <c r="CU1519" s="1"/>
      <c r="CV1519" s="1"/>
      <c r="CW1519" s="1"/>
      <c r="CX1519" s="1"/>
      <c r="CY1519" s="1"/>
      <c r="CZ1519" s="1"/>
      <c r="DA1519" s="1"/>
      <c r="DB1519" s="1"/>
      <c r="DC1519" s="1"/>
      <c r="DD1519" s="1"/>
      <c r="DE1519" s="1"/>
      <c r="DF1519" s="1"/>
      <c r="DG1519" s="1"/>
      <c r="DH1519" s="1"/>
      <c r="DI1519" s="1"/>
      <c r="DJ1519" s="1"/>
      <c r="DK1519" s="1"/>
      <c r="DM1519" s="1"/>
      <c r="DR1519" s="1"/>
      <c r="ED1519" s="1"/>
      <c r="EK1519" s="1"/>
      <c r="EL1519" s="1"/>
      <c r="EM1519" s="1"/>
      <c r="EN1519" s="1"/>
      <c r="EQ1519" s="1"/>
      <c r="ER1519" s="1"/>
      <c r="ES1519" s="1"/>
      <c r="EV1519" s="1"/>
      <c r="EW1519" s="1"/>
      <c r="EZ1519" s="1"/>
      <c r="GO1519" s="1"/>
      <c r="GP1519" s="1"/>
      <c r="HH1519" s="1"/>
      <c r="HY1519" s="1"/>
      <c r="IE1519" s="1"/>
      <c r="IS1519" s="1"/>
      <c r="IW1519" s="1"/>
      <c r="IZ1519" s="1"/>
      <c r="JA1519" s="1"/>
      <c r="JC1519" s="1"/>
      <c r="JF1519" s="1"/>
      <c r="JG1519" s="1"/>
      <c r="JH1519" s="1"/>
      <c r="JI1519" s="1"/>
      <c r="JJ1519" s="1"/>
      <c r="JN1519" s="1"/>
      <c r="JP1519" s="1"/>
      <c r="JQ1519" s="1"/>
      <c r="JT1519" s="1"/>
      <c r="KU1519" s="1"/>
      <c r="KV1519" s="1"/>
      <c r="KY1519" s="1"/>
      <c r="KZ1519" s="1"/>
      <c r="LA1519" s="1"/>
      <c r="LB1519" s="1"/>
      <c r="LC1519" s="1"/>
      <c r="LD1519" s="1"/>
      <c r="LN1519" s="1"/>
      <c r="LO1519" s="1"/>
      <c r="LP1519" s="1"/>
      <c r="LZ1519" s="1"/>
      <c r="MA1519" s="1"/>
    </row>
    <row r="1520" spans="4:339" ht="13" x14ac:dyDescent="0.15">
      <c r="D1520" s="12"/>
      <c r="E1520" s="12"/>
      <c r="I1520" s="12"/>
      <c r="J1520" s="13"/>
      <c r="BF1520" s="1"/>
      <c r="BG1520" s="1"/>
      <c r="BH1520" s="1"/>
      <c r="BI1520" s="1"/>
      <c r="BJ1520" s="1"/>
      <c r="BK1520" s="1"/>
      <c r="BL1520" s="1"/>
      <c r="BM1520" s="1"/>
      <c r="BN1520" s="1"/>
      <c r="BO1520" s="1"/>
      <c r="BP1520" s="1"/>
      <c r="BQ1520" s="1"/>
      <c r="BR1520" s="1"/>
      <c r="BX1520" s="1"/>
      <c r="CD1520" s="1"/>
      <c r="CE1520" s="1"/>
      <c r="CF1520" s="1"/>
      <c r="CG1520" s="1"/>
      <c r="CM1520" s="2"/>
      <c r="CP1520" s="1"/>
      <c r="CQ1520" s="1"/>
      <c r="CR1520" s="1"/>
      <c r="CT1520" s="1"/>
      <c r="CU1520" s="1"/>
      <c r="CV1520" s="1"/>
      <c r="CW1520" s="1"/>
      <c r="CX1520" s="1"/>
      <c r="CY1520" s="1"/>
      <c r="CZ1520" s="1"/>
      <c r="DA1520" s="1"/>
      <c r="DB1520" s="1"/>
      <c r="DC1520" s="1"/>
      <c r="DD1520" s="1"/>
      <c r="DE1520" s="1"/>
      <c r="DF1520" s="1"/>
      <c r="DG1520" s="1"/>
      <c r="DH1520" s="1"/>
      <c r="DI1520" s="1"/>
      <c r="DJ1520" s="1"/>
      <c r="DK1520" s="1"/>
      <c r="DM1520" s="1"/>
      <c r="DR1520" s="1"/>
      <c r="ED1520" s="1"/>
      <c r="EK1520" s="1"/>
      <c r="EL1520" s="1"/>
      <c r="EM1520" s="1"/>
      <c r="EN1520" s="1"/>
      <c r="EQ1520" s="1"/>
      <c r="ER1520" s="1"/>
      <c r="ES1520" s="1"/>
      <c r="EV1520" s="1"/>
      <c r="EW1520" s="1"/>
      <c r="EZ1520" s="1"/>
      <c r="GO1520" s="1"/>
      <c r="GP1520" s="1"/>
      <c r="HH1520" s="1"/>
      <c r="HY1520" s="1"/>
      <c r="IE1520" s="1"/>
      <c r="IS1520" s="1"/>
      <c r="IW1520" s="1"/>
      <c r="IZ1520" s="1"/>
      <c r="JA1520" s="1"/>
      <c r="JC1520" s="1"/>
      <c r="JF1520" s="1"/>
      <c r="JG1520" s="1"/>
      <c r="JH1520" s="1"/>
      <c r="JI1520" s="1"/>
      <c r="JJ1520" s="1"/>
      <c r="JN1520" s="1"/>
      <c r="JP1520" s="1"/>
      <c r="JQ1520" s="1"/>
      <c r="JT1520" s="1"/>
      <c r="KU1520" s="1"/>
      <c r="KV1520" s="1"/>
      <c r="KY1520" s="1"/>
      <c r="KZ1520" s="1"/>
      <c r="LA1520" s="1"/>
      <c r="LB1520" s="1"/>
      <c r="LC1520" s="1"/>
      <c r="LD1520" s="1"/>
      <c r="LN1520" s="1"/>
      <c r="LO1520" s="1"/>
      <c r="LP1520" s="1"/>
      <c r="LZ1520" s="1"/>
      <c r="MA1520" s="1"/>
    </row>
    <row r="1521" spans="4:339" ht="13" x14ac:dyDescent="0.15">
      <c r="D1521" s="12"/>
      <c r="E1521" s="12"/>
      <c r="I1521" s="12"/>
      <c r="J1521" s="13"/>
      <c r="BF1521" s="1"/>
      <c r="BG1521" s="1"/>
      <c r="BH1521" s="1"/>
      <c r="BI1521" s="1"/>
      <c r="BJ1521" s="1"/>
      <c r="BK1521" s="1"/>
      <c r="BL1521" s="1"/>
      <c r="BM1521" s="1"/>
      <c r="BN1521" s="1"/>
      <c r="BO1521" s="1"/>
      <c r="BP1521" s="1"/>
      <c r="BQ1521" s="1"/>
      <c r="BR1521" s="1"/>
      <c r="BX1521" s="1"/>
      <c r="CD1521" s="1"/>
      <c r="CE1521" s="1"/>
      <c r="CF1521" s="1"/>
      <c r="CG1521" s="1"/>
      <c r="CM1521" s="2"/>
      <c r="CP1521" s="1"/>
      <c r="CQ1521" s="1"/>
      <c r="CR1521" s="1"/>
      <c r="CT1521" s="1"/>
      <c r="CU1521" s="1"/>
      <c r="CV1521" s="1"/>
      <c r="CW1521" s="1"/>
      <c r="CX1521" s="1"/>
      <c r="CY1521" s="1"/>
      <c r="CZ1521" s="1"/>
      <c r="DA1521" s="1"/>
      <c r="DB1521" s="1"/>
      <c r="DC1521" s="1"/>
      <c r="DD1521" s="1"/>
      <c r="DE1521" s="1"/>
      <c r="DF1521" s="1"/>
      <c r="DG1521" s="1"/>
      <c r="DH1521" s="1"/>
      <c r="DI1521" s="1"/>
      <c r="DJ1521" s="1"/>
      <c r="DK1521" s="1"/>
      <c r="DM1521" s="1"/>
      <c r="DR1521" s="1"/>
      <c r="ED1521" s="1"/>
      <c r="EK1521" s="1"/>
      <c r="EL1521" s="1"/>
      <c r="EM1521" s="1"/>
      <c r="EN1521" s="1"/>
      <c r="EQ1521" s="1"/>
      <c r="ER1521" s="1"/>
      <c r="ES1521" s="1"/>
      <c r="EV1521" s="1"/>
      <c r="EW1521" s="1"/>
      <c r="EZ1521" s="1"/>
      <c r="GO1521" s="1"/>
      <c r="GP1521" s="1"/>
      <c r="HH1521" s="1"/>
      <c r="HY1521" s="1"/>
      <c r="IE1521" s="1"/>
      <c r="IS1521" s="1"/>
      <c r="IW1521" s="1"/>
      <c r="IZ1521" s="1"/>
      <c r="JA1521" s="1"/>
      <c r="JC1521" s="1"/>
      <c r="JF1521" s="1"/>
      <c r="JG1521" s="1"/>
      <c r="JH1521" s="1"/>
      <c r="JI1521" s="1"/>
      <c r="JJ1521" s="1"/>
      <c r="JN1521" s="1"/>
      <c r="JP1521" s="1"/>
      <c r="JQ1521" s="1"/>
      <c r="JT1521" s="1"/>
      <c r="KU1521" s="1"/>
      <c r="KV1521" s="1"/>
      <c r="KY1521" s="1"/>
      <c r="KZ1521" s="1"/>
      <c r="LA1521" s="1"/>
      <c r="LB1521" s="1"/>
      <c r="LC1521" s="1"/>
      <c r="LD1521" s="1"/>
      <c r="LN1521" s="1"/>
      <c r="LO1521" s="1"/>
      <c r="LP1521" s="1"/>
      <c r="LZ1521" s="1"/>
      <c r="MA1521" s="1"/>
    </row>
    <row r="1522" spans="4:339" ht="13" x14ac:dyDescent="0.15">
      <c r="D1522" s="12"/>
      <c r="E1522" s="12"/>
      <c r="I1522" s="12"/>
      <c r="J1522" s="13"/>
      <c r="BF1522" s="1"/>
      <c r="BG1522" s="1"/>
      <c r="BH1522" s="1"/>
      <c r="BI1522" s="1"/>
      <c r="BJ1522" s="1"/>
      <c r="BK1522" s="1"/>
      <c r="BL1522" s="1"/>
      <c r="BM1522" s="1"/>
      <c r="BN1522" s="1"/>
      <c r="BO1522" s="1"/>
      <c r="BP1522" s="1"/>
      <c r="BQ1522" s="1"/>
      <c r="BR1522" s="1"/>
      <c r="BX1522" s="1"/>
      <c r="CD1522" s="1"/>
      <c r="CE1522" s="1"/>
      <c r="CF1522" s="1"/>
      <c r="CG1522" s="1"/>
      <c r="CM1522" s="2"/>
      <c r="CP1522" s="1"/>
      <c r="CQ1522" s="1"/>
      <c r="CR1522" s="1"/>
      <c r="CT1522" s="1"/>
      <c r="CU1522" s="1"/>
      <c r="CV1522" s="1"/>
      <c r="CW1522" s="1"/>
      <c r="CX1522" s="1"/>
      <c r="CY1522" s="1"/>
      <c r="CZ1522" s="1"/>
      <c r="DA1522" s="1"/>
      <c r="DB1522" s="1"/>
      <c r="DC1522" s="1"/>
      <c r="DD1522" s="1"/>
      <c r="DE1522" s="1"/>
      <c r="DF1522" s="1"/>
      <c r="DG1522" s="1"/>
      <c r="DH1522" s="1"/>
      <c r="DI1522" s="1"/>
      <c r="DJ1522" s="1"/>
      <c r="DK1522" s="1"/>
      <c r="DM1522" s="1"/>
      <c r="DR1522" s="1"/>
      <c r="ED1522" s="1"/>
      <c r="EK1522" s="1"/>
      <c r="EL1522" s="1"/>
      <c r="EM1522" s="1"/>
      <c r="EN1522" s="1"/>
      <c r="EQ1522" s="1"/>
      <c r="ER1522" s="1"/>
      <c r="ES1522" s="1"/>
      <c r="EV1522" s="1"/>
      <c r="EW1522" s="1"/>
      <c r="EZ1522" s="1"/>
      <c r="GO1522" s="1"/>
      <c r="GP1522" s="1"/>
      <c r="HH1522" s="1"/>
      <c r="HY1522" s="1"/>
      <c r="IE1522" s="1"/>
      <c r="IS1522" s="1"/>
      <c r="IW1522" s="1"/>
      <c r="IZ1522" s="1"/>
      <c r="JA1522" s="1"/>
      <c r="JC1522" s="1"/>
      <c r="JF1522" s="1"/>
      <c r="JG1522" s="1"/>
      <c r="JH1522" s="1"/>
      <c r="JI1522" s="1"/>
      <c r="JJ1522" s="1"/>
      <c r="JN1522" s="1"/>
      <c r="JP1522" s="1"/>
      <c r="JQ1522" s="1"/>
      <c r="JT1522" s="1"/>
      <c r="KU1522" s="1"/>
      <c r="KV1522" s="1"/>
      <c r="KY1522" s="1"/>
      <c r="KZ1522" s="1"/>
      <c r="LA1522" s="1"/>
      <c r="LB1522" s="1"/>
      <c r="LC1522" s="1"/>
      <c r="LD1522" s="1"/>
      <c r="LN1522" s="1"/>
      <c r="LO1522" s="1"/>
      <c r="LP1522" s="1"/>
      <c r="LZ1522" s="1"/>
      <c r="MA1522" s="1"/>
    </row>
    <row r="1523" spans="4:339" ht="13" x14ac:dyDescent="0.15">
      <c r="D1523" s="12"/>
      <c r="E1523" s="12"/>
      <c r="I1523" s="12"/>
      <c r="J1523" s="13"/>
      <c r="BF1523" s="1"/>
      <c r="BG1523" s="1"/>
      <c r="BH1523" s="1"/>
      <c r="BI1523" s="1"/>
      <c r="BK1523" s="1"/>
      <c r="BL1523" s="1"/>
      <c r="BM1523" s="1"/>
      <c r="BN1523" s="1"/>
      <c r="BO1523" s="1"/>
      <c r="BQ1523" s="1"/>
      <c r="BR1523" s="1"/>
      <c r="CD1523" s="1"/>
      <c r="CE1523" s="1"/>
      <c r="CF1523" s="1"/>
      <c r="CG1523" s="1"/>
      <c r="CM1523" s="2"/>
      <c r="ED1523" s="1"/>
      <c r="EL1523" s="1"/>
      <c r="EM1523" s="1"/>
      <c r="EN1523" s="1"/>
      <c r="EQ1523" s="1"/>
      <c r="ER1523" s="1"/>
      <c r="ES1523" s="1"/>
      <c r="EV1523" s="1"/>
      <c r="EW1523" s="1"/>
      <c r="EZ1523" s="1"/>
      <c r="GO1523" s="1"/>
      <c r="GP1523" s="1"/>
      <c r="HH1523" s="1"/>
      <c r="HY1523" s="1"/>
      <c r="IC1523" s="1"/>
      <c r="IS1523" s="1"/>
      <c r="IW1523" s="1"/>
      <c r="IZ1523" s="1"/>
      <c r="JA1523" s="1"/>
      <c r="JJ1523" s="1"/>
      <c r="JN1523" s="1"/>
      <c r="JP1523" s="1"/>
      <c r="JQ1523" s="1"/>
      <c r="KU1523" s="1"/>
    </row>
    <row r="1524" spans="4:339" ht="13" x14ac:dyDescent="0.15">
      <c r="D1524" s="12"/>
      <c r="E1524" s="12"/>
      <c r="I1524" s="12"/>
      <c r="J1524" s="13"/>
      <c r="BF1524" s="1"/>
      <c r="BG1524" s="1"/>
      <c r="BH1524" s="1"/>
      <c r="BI1524" s="1"/>
      <c r="BK1524" s="1"/>
      <c r="BL1524" s="1"/>
      <c r="BM1524" s="1"/>
      <c r="BN1524" s="1"/>
      <c r="BO1524" s="1"/>
      <c r="BP1524" s="1"/>
      <c r="BQ1524" s="1"/>
      <c r="BR1524" s="1"/>
      <c r="CD1524" s="1"/>
      <c r="CM1524" s="2"/>
      <c r="CP1524" s="1"/>
      <c r="CQ1524" s="1"/>
      <c r="CX1524" s="1"/>
      <c r="CY1524" s="1"/>
      <c r="CZ1524" s="1"/>
      <c r="DA1524" s="1"/>
      <c r="DB1524" s="1"/>
      <c r="DC1524" s="1"/>
      <c r="DD1524" s="1"/>
      <c r="DE1524" s="1"/>
      <c r="DF1524" s="1"/>
      <c r="DG1524" s="1"/>
      <c r="DH1524" s="1"/>
      <c r="DI1524" s="1"/>
      <c r="DJ1524" s="1"/>
      <c r="DK1524" s="1"/>
      <c r="DM1524" s="1"/>
      <c r="DR1524" s="1"/>
      <c r="ED1524" s="1"/>
      <c r="EK1524" s="1"/>
      <c r="EL1524" s="1"/>
      <c r="EM1524" s="1"/>
      <c r="EN1524" s="1"/>
      <c r="EQ1524" s="1"/>
      <c r="ER1524" s="1"/>
      <c r="ES1524" s="1"/>
      <c r="EV1524" s="1"/>
      <c r="EW1524" s="1"/>
      <c r="EZ1524" s="1"/>
      <c r="GP1524" s="1"/>
      <c r="HY1524" s="1"/>
      <c r="ID1524" s="1"/>
      <c r="IE1524" s="1"/>
      <c r="IS1524" s="1"/>
      <c r="IW1524" s="1"/>
      <c r="IZ1524" s="1"/>
      <c r="JA1524" s="1"/>
      <c r="JG1524" s="1"/>
      <c r="JH1524" s="1"/>
      <c r="JJ1524" s="1"/>
      <c r="JN1524" s="1"/>
      <c r="JP1524" s="1"/>
      <c r="JQ1524" s="1"/>
      <c r="KU1524" s="1"/>
      <c r="KV1524" s="1"/>
      <c r="KW1524" s="1"/>
      <c r="KY1524" s="1"/>
      <c r="KZ1524" s="1"/>
      <c r="LA1524" s="1"/>
      <c r="LB1524" s="1"/>
      <c r="LC1524" s="1"/>
      <c r="LD1524" s="1"/>
      <c r="LO1524" s="1"/>
      <c r="LP1524" s="1"/>
      <c r="LZ1524" s="1"/>
      <c r="MA1524" s="1"/>
    </row>
    <row r="1525" spans="4:339" ht="13" x14ac:dyDescent="0.15">
      <c r="D1525" s="12"/>
      <c r="E1525" s="12"/>
      <c r="I1525" s="12"/>
      <c r="J1525" s="13"/>
      <c r="BF1525" s="1"/>
      <c r="BG1525" s="1"/>
      <c r="BH1525" s="1"/>
      <c r="BI1525" s="1"/>
      <c r="BJ1525" s="1"/>
      <c r="BK1525" s="1"/>
      <c r="BL1525" s="1"/>
      <c r="BM1525" s="1"/>
      <c r="BN1525" s="1"/>
      <c r="BO1525" s="1"/>
      <c r="BP1525" s="1"/>
      <c r="BQ1525" s="1"/>
      <c r="BR1525" s="1"/>
      <c r="CD1525" s="1"/>
      <c r="CE1525" s="1"/>
      <c r="CF1525" s="1"/>
      <c r="CG1525" s="1"/>
      <c r="CM1525" s="2"/>
      <c r="CP1525" s="1"/>
      <c r="CQ1525" s="1"/>
      <c r="CX1525" s="1"/>
      <c r="CY1525" s="1"/>
      <c r="CZ1525" s="1"/>
      <c r="DA1525" s="1"/>
      <c r="DB1525" s="1"/>
      <c r="DC1525" s="1"/>
      <c r="DD1525" s="1"/>
      <c r="DE1525" s="1"/>
      <c r="DF1525" s="1"/>
      <c r="DG1525" s="1"/>
      <c r="DH1525" s="1"/>
      <c r="DI1525" s="1"/>
      <c r="DJ1525" s="1"/>
      <c r="DK1525" s="1"/>
      <c r="ED1525" s="1"/>
      <c r="EK1525" s="1"/>
      <c r="EL1525" s="1"/>
      <c r="EM1525" s="1"/>
      <c r="EN1525" s="1"/>
      <c r="EQ1525" s="1"/>
      <c r="ER1525" s="1"/>
      <c r="ES1525" s="1"/>
      <c r="EV1525" s="1"/>
      <c r="EW1525" s="1"/>
      <c r="EZ1525" s="1"/>
      <c r="GO1525" s="1"/>
      <c r="GP1525" s="1"/>
      <c r="HY1525" s="1"/>
      <c r="IE1525" s="1"/>
      <c r="IG1525" s="1"/>
      <c r="IS1525" s="1"/>
      <c r="IW1525" s="1"/>
      <c r="IZ1525" s="1"/>
      <c r="JC1525" s="1"/>
      <c r="JF1525" s="1"/>
      <c r="JG1525" s="1"/>
      <c r="JH1525" s="1"/>
      <c r="JJ1525" s="1"/>
      <c r="JK1525" s="1"/>
      <c r="JL1525" s="6"/>
      <c r="JM1525" s="1"/>
      <c r="JN1525" s="1"/>
      <c r="JP1525" s="1"/>
      <c r="JQ1525" s="1"/>
      <c r="JR1525" s="1"/>
      <c r="JT1525" s="1"/>
      <c r="KW1525" s="1"/>
      <c r="KY1525" s="1"/>
      <c r="KZ1525" s="1"/>
      <c r="LA1525" s="1"/>
      <c r="LB1525" s="1"/>
      <c r="LC1525" s="1"/>
      <c r="LD1525" s="1"/>
      <c r="LO1525" s="1"/>
      <c r="LP1525" s="1"/>
      <c r="LZ1525" s="1"/>
      <c r="MA1525" s="1"/>
    </row>
    <row r="1526" spans="4:339" ht="13" x14ac:dyDescent="0.15">
      <c r="D1526" s="12"/>
      <c r="E1526" s="12"/>
      <c r="I1526" s="12"/>
      <c r="J1526" s="13"/>
      <c r="BG1526" s="1"/>
      <c r="BH1526" s="1"/>
      <c r="BI1526" s="1"/>
      <c r="BK1526" s="1"/>
      <c r="BL1526" s="1"/>
      <c r="BM1526" s="1"/>
      <c r="BN1526" s="1"/>
      <c r="BO1526" s="1"/>
      <c r="BP1526" s="1"/>
      <c r="CD1526" s="1"/>
      <c r="CE1526" s="1"/>
      <c r="CF1526" s="1"/>
      <c r="CG1526" s="1"/>
      <c r="CM1526" s="2"/>
      <c r="CP1526" s="1"/>
      <c r="CQ1526" s="1"/>
      <c r="CS1526" s="1"/>
      <c r="CT1526" s="1"/>
      <c r="CU1526" s="1"/>
      <c r="CV1526" s="1"/>
      <c r="CW1526" s="1"/>
      <c r="CX1526" s="1"/>
      <c r="CY1526" s="1"/>
      <c r="CZ1526" s="1"/>
      <c r="DA1526" s="1"/>
      <c r="DB1526" s="1"/>
      <c r="DC1526" s="1"/>
      <c r="DD1526" s="1"/>
      <c r="DE1526" s="1"/>
      <c r="DF1526" s="1"/>
      <c r="DG1526" s="1"/>
      <c r="DH1526" s="1"/>
      <c r="DI1526" s="1"/>
      <c r="DJ1526" s="1"/>
      <c r="DK1526" s="1"/>
      <c r="ED1526" s="1"/>
      <c r="EK1526" s="1"/>
      <c r="EL1526" s="1"/>
      <c r="EM1526" s="1"/>
      <c r="EN1526" s="1"/>
      <c r="EQ1526" s="1"/>
      <c r="ER1526" s="1"/>
      <c r="ES1526" s="1"/>
      <c r="EV1526" s="1"/>
      <c r="EW1526" s="1"/>
      <c r="EZ1526" s="1"/>
      <c r="HY1526" s="1"/>
      <c r="ID1526" s="1"/>
      <c r="IE1526" s="1"/>
      <c r="IR1526" s="1"/>
      <c r="IS1526" s="1"/>
      <c r="IZ1526" s="1"/>
      <c r="JC1526" s="1"/>
      <c r="JJ1526" s="1"/>
      <c r="JP1526" s="1"/>
      <c r="JQ1526" s="1"/>
      <c r="LM1526" s="1"/>
      <c r="LZ1526" s="1"/>
      <c r="MA1526" s="1"/>
    </row>
    <row r="1527" spans="4:339" ht="13" x14ac:dyDescent="0.15">
      <c r="D1527" s="12"/>
      <c r="E1527" s="12"/>
      <c r="I1527" s="12"/>
      <c r="J1527" s="13"/>
      <c r="BG1527" s="1"/>
      <c r="BH1527" s="1"/>
      <c r="BI1527" s="1"/>
      <c r="BK1527" s="1"/>
      <c r="BL1527" s="1"/>
      <c r="BM1527" s="1"/>
      <c r="BN1527" s="1"/>
      <c r="BO1527" s="1"/>
      <c r="BP1527" s="1"/>
      <c r="CD1527" s="1"/>
      <c r="CE1527" s="1"/>
      <c r="CF1527" s="1"/>
      <c r="CG1527" s="1"/>
      <c r="CM1527" s="2"/>
      <c r="CP1527" s="1"/>
      <c r="CQ1527" s="1"/>
      <c r="CS1527" s="1"/>
      <c r="CT1527" s="1"/>
      <c r="CU1527" s="1"/>
      <c r="CV1527" s="1"/>
      <c r="CW1527" s="1"/>
      <c r="CX1527" s="1"/>
      <c r="CY1527" s="1"/>
      <c r="CZ1527" s="1"/>
      <c r="DA1527" s="1"/>
      <c r="DB1527" s="1"/>
      <c r="DC1527" s="1"/>
      <c r="DD1527" s="1"/>
      <c r="DE1527" s="1"/>
      <c r="DF1527" s="1"/>
      <c r="DG1527" s="1"/>
      <c r="DH1527" s="1"/>
      <c r="DI1527" s="1"/>
      <c r="DJ1527" s="1"/>
      <c r="DK1527" s="1"/>
      <c r="ED1527" s="1"/>
      <c r="EK1527" s="1"/>
      <c r="EL1527" s="1"/>
      <c r="EM1527" s="1"/>
      <c r="EN1527" s="1"/>
      <c r="EQ1527" s="1"/>
      <c r="ER1527" s="1"/>
      <c r="ES1527" s="1"/>
      <c r="EV1527" s="1"/>
      <c r="EW1527" s="1"/>
      <c r="EZ1527" s="1"/>
      <c r="HY1527" s="1"/>
      <c r="ID1527" s="1"/>
      <c r="IE1527" s="1"/>
      <c r="IR1527" s="1"/>
      <c r="IS1527" s="1"/>
      <c r="IZ1527" s="1"/>
      <c r="JC1527" s="1"/>
      <c r="JJ1527" s="1"/>
      <c r="JP1527" s="1"/>
      <c r="JQ1527" s="1"/>
      <c r="LM1527" s="1"/>
      <c r="LZ1527" s="1"/>
      <c r="MA1527" s="1"/>
    </row>
    <row r="1528" spans="4:339" ht="13" x14ac:dyDescent="0.15">
      <c r="D1528" s="12"/>
      <c r="E1528" s="12"/>
      <c r="I1528" s="12"/>
      <c r="J1528" s="13"/>
      <c r="BG1528" s="1"/>
      <c r="BH1528" s="1"/>
      <c r="BI1528" s="1"/>
      <c r="BK1528" s="1"/>
      <c r="BL1528" s="1"/>
      <c r="BM1528" s="1"/>
      <c r="BN1528" s="1"/>
      <c r="BO1528" s="1"/>
      <c r="BP1528" s="1"/>
      <c r="CD1528" s="1"/>
      <c r="CE1528" s="1"/>
      <c r="CF1528" s="1"/>
      <c r="CG1528" s="1"/>
      <c r="CM1528" s="2"/>
      <c r="CP1528" s="1"/>
      <c r="CQ1528" s="1"/>
      <c r="CS1528" s="1"/>
      <c r="CT1528" s="1"/>
      <c r="CU1528" s="1"/>
      <c r="CV1528" s="1"/>
      <c r="CW1528" s="1"/>
      <c r="CX1528" s="1"/>
      <c r="CY1528" s="1"/>
      <c r="CZ1528" s="1"/>
      <c r="DA1528" s="1"/>
      <c r="DB1528" s="1"/>
      <c r="DC1528" s="1"/>
      <c r="DD1528" s="1"/>
      <c r="DE1528" s="1"/>
      <c r="DF1528" s="1"/>
      <c r="DG1528" s="1"/>
      <c r="DH1528" s="1"/>
      <c r="DI1528" s="1"/>
      <c r="DJ1528" s="1"/>
      <c r="DK1528" s="1"/>
      <c r="ED1528" s="1"/>
      <c r="EK1528" s="1"/>
      <c r="EL1528" s="1"/>
      <c r="EM1528" s="1"/>
      <c r="EN1528" s="1"/>
      <c r="EQ1528" s="1"/>
      <c r="ER1528" s="1"/>
      <c r="ES1528" s="1"/>
      <c r="EV1528" s="1"/>
      <c r="EW1528" s="1"/>
      <c r="EZ1528" s="1"/>
      <c r="HY1528" s="1"/>
      <c r="ID1528" s="1"/>
      <c r="IE1528" s="1"/>
      <c r="IR1528" s="1"/>
      <c r="IS1528" s="1"/>
      <c r="IZ1528" s="1"/>
      <c r="JC1528" s="1"/>
      <c r="JJ1528" s="1"/>
      <c r="JP1528" s="1"/>
      <c r="JQ1528" s="1"/>
      <c r="LM1528" s="1"/>
      <c r="LZ1528" s="1"/>
      <c r="MA1528" s="1"/>
    </row>
    <row r="1529" spans="4:339" ht="13" x14ac:dyDescent="0.15">
      <c r="D1529" s="12"/>
      <c r="E1529" s="12"/>
      <c r="I1529" s="12"/>
      <c r="J1529" s="13"/>
      <c r="BF1529" s="1"/>
      <c r="BG1529" s="1"/>
      <c r="BH1529" s="1"/>
      <c r="BI1529" s="1"/>
      <c r="BK1529" s="1"/>
      <c r="BL1529" s="1"/>
      <c r="BM1529" s="1"/>
      <c r="BN1529" s="1"/>
      <c r="BO1529" s="1"/>
      <c r="BP1529" s="1"/>
      <c r="BQ1529" s="1"/>
      <c r="BR1529" s="1"/>
      <c r="CD1529" s="1"/>
      <c r="CE1529" s="1"/>
      <c r="CF1529" s="1"/>
      <c r="CG1529" s="1"/>
      <c r="CK1529" s="1"/>
      <c r="CM1529" s="4"/>
      <c r="CP1529" s="1"/>
      <c r="CQ1529" s="1"/>
      <c r="CS1529" s="1"/>
      <c r="CV1529" s="1"/>
      <c r="CW1529" s="1"/>
      <c r="CX1529" s="1"/>
      <c r="CY1529" s="1"/>
      <c r="CZ1529" s="1"/>
      <c r="DA1529" s="1"/>
      <c r="DB1529" s="1"/>
      <c r="DC1529" s="1"/>
      <c r="DD1529" s="1"/>
      <c r="DE1529" s="1"/>
      <c r="DF1529" s="1"/>
      <c r="DG1529" s="1"/>
      <c r="DH1529" s="1"/>
      <c r="DI1529" s="1"/>
      <c r="DJ1529" s="1"/>
      <c r="DK1529" s="1"/>
      <c r="DM1529" s="1"/>
      <c r="DQ1529" s="1"/>
      <c r="DR1529" s="1"/>
      <c r="DY1529" s="1"/>
      <c r="DZ1529" s="1"/>
      <c r="ED1529" s="1"/>
      <c r="EK1529" s="1"/>
      <c r="EL1529" s="1"/>
      <c r="EM1529" s="1"/>
      <c r="EN1529" s="1"/>
      <c r="EQ1529" s="1"/>
      <c r="ER1529" s="1"/>
      <c r="ES1529" s="1"/>
      <c r="EV1529" s="1"/>
      <c r="EW1529" s="1"/>
      <c r="EZ1529" s="1"/>
      <c r="GO1529" s="1"/>
      <c r="GP1529" s="1"/>
      <c r="HH1529" s="1"/>
      <c r="HY1529" s="1"/>
      <c r="IE1529" s="1"/>
      <c r="IR1529" s="1"/>
      <c r="IS1529" s="1"/>
      <c r="IY1529" s="1"/>
      <c r="IZ1529" s="1"/>
      <c r="JF1529" s="1"/>
      <c r="JG1529" s="1"/>
      <c r="JH1529" s="1"/>
      <c r="JJ1529" s="1"/>
      <c r="JP1529" s="1"/>
      <c r="JQ1529" s="1"/>
      <c r="KY1529" s="1"/>
      <c r="KZ1529" s="1"/>
      <c r="LA1529" s="1"/>
      <c r="LB1529" s="1"/>
      <c r="LC1529" s="1"/>
      <c r="LD1529" s="1"/>
      <c r="LO1529" s="1"/>
      <c r="LP1529" s="1"/>
      <c r="LZ1529" s="1"/>
      <c r="MA1529" s="1"/>
    </row>
    <row r="1530" spans="4:339" ht="13" x14ac:dyDescent="0.15">
      <c r="D1530" s="12"/>
      <c r="E1530" s="12"/>
      <c r="I1530" s="12"/>
      <c r="J1530" s="13"/>
      <c r="BF1530" s="1"/>
      <c r="BG1530" s="1"/>
      <c r="BH1530" s="1"/>
      <c r="BI1530" s="1"/>
      <c r="BK1530" s="1"/>
      <c r="BL1530" s="1"/>
      <c r="BM1530" s="1"/>
      <c r="BN1530" s="1"/>
      <c r="BO1530" s="1"/>
      <c r="BP1530" s="1"/>
      <c r="BQ1530" s="1"/>
      <c r="BR1530" s="1"/>
      <c r="CD1530" s="1"/>
      <c r="CE1530" s="1"/>
      <c r="CF1530" s="1"/>
      <c r="CG1530" s="1"/>
      <c r="CK1530" s="1"/>
      <c r="CM1530" s="4"/>
      <c r="CP1530" s="1"/>
      <c r="CQ1530" s="1"/>
      <c r="CS1530" s="1"/>
      <c r="CV1530" s="1"/>
      <c r="CW1530" s="1"/>
      <c r="CX1530" s="1"/>
      <c r="CY1530" s="1"/>
      <c r="CZ1530" s="1"/>
      <c r="DA1530" s="1"/>
      <c r="DB1530" s="1"/>
      <c r="DC1530" s="1"/>
      <c r="DD1530" s="1"/>
      <c r="DE1530" s="1"/>
      <c r="DF1530" s="1"/>
      <c r="DG1530" s="1"/>
      <c r="DH1530" s="1"/>
      <c r="DI1530" s="1"/>
      <c r="DJ1530" s="1"/>
      <c r="DK1530" s="1"/>
      <c r="DM1530" s="1"/>
      <c r="DQ1530" s="1"/>
      <c r="DR1530" s="1"/>
      <c r="DY1530" s="1"/>
      <c r="DZ1530" s="1"/>
      <c r="ED1530" s="1"/>
      <c r="EK1530" s="1"/>
      <c r="EL1530" s="1"/>
      <c r="EM1530" s="1"/>
      <c r="EN1530" s="1"/>
      <c r="EQ1530" s="1"/>
      <c r="ER1530" s="1"/>
      <c r="ES1530" s="1"/>
      <c r="EV1530" s="1"/>
      <c r="EW1530" s="1"/>
      <c r="EZ1530" s="1"/>
      <c r="GO1530" s="1"/>
      <c r="GP1530" s="1"/>
      <c r="HH1530" s="1"/>
      <c r="HY1530" s="1"/>
      <c r="IE1530" s="1"/>
      <c r="IR1530" s="1"/>
      <c r="IS1530" s="1"/>
      <c r="IY1530" s="1"/>
      <c r="IZ1530" s="1"/>
      <c r="JF1530" s="1"/>
      <c r="JG1530" s="1"/>
      <c r="JH1530" s="1"/>
      <c r="JJ1530" s="1"/>
      <c r="JP1530" s="1"/>
      <c r="JQ1530" s="1"/>
      <c r="KY1530" s="1"/>
      <c r="KZ1530" s="1"/>
      <c r="LA1530" s="1"/>
      <c r="LB1530" s="1"/>
      <c r="LC1530" s="1"/>
      <c r="LD1530" s="1"/>
      <c r="LO1530" s="1"/>
      <c r="LP1530" s="1"/>
      <c r="LZ1530" s="1"/>
      <c r="MA1530" s="1"/>
    </row>
    <row r="1531" spans="4:339" ht="13" x14ac:dyDescent="0.15">
      <c r="D1531" s="12"/>
      <c r="E1531" s="12"/>
      <c r="I1531" s="12"/>
      <c r="J1531" s="13"/>
      <c r="BF1531" s="1"/>
      <c r="BG1531" s="1"/>
      <c r="BH1531" s="1"/>
      <c r="BI1531" s="1"/>
      <c r="BJ1531" s="1"/>
      <c r="BK1531" s="1"/>
      <c r="BL1531" s="1"/>
      <c r="BM1531" s="1"/>
      <c r="BN1531" s="1"/>
      <c r="BO1531" s="1"/>
      <c r="BP1531" s="1"/>
      <c r="BQ1531" s="1"/>
      <c r="BR1531" s="1"/>
      <c r="CD1531" s="1"/>
      <c r="CE1531" s="1"/>
      <c r="CF1531" s="1"/>
      <c r="CM1531" s="2"/>
      <c r="CP1531" s="1"/>
      <c r="CQ1531" s="1"/>
      <c r="CS1531" s="1"/>
      <c r="CT1531" s="1"/>
      <c r="CU1531" s="1"/>
      <c r="CV1531" s="1"/>
      <c r="CW1531" s="1"/>
      <c r="CX1531" s="1"/>
      <c r="CY1531" s="1"/>
      <c r="CZ1531" s="1"/>
      <c r="DA1531" s="1"/>
      <c r="DB1531" s="1"/>
      <c r="DC1531" s="1"/>
      <c r="DD1531" s="1"/>
      <c r="DE1531" s="1"/>
      <c r="DF1531" s="1"/>
      <c r="DG1531" s="1"/>
      <c r="DH1531" s="1"/>
      <c r="DI1531" s="1"/>
      <c r="DJ1531" s="1"/>
      <c r="DK1531" s="1"/>
      <c r="DM1531" s="1"/>
      <c r="DQ1531" s="1"/>
      <c r="DR1531" s="1"/>
      <c r="DY1531" s="1"/>
      <c r="DZ1531" s="1"/>
      <c r="ED1531" s="1"/>
      <c r="EK1531" s="1"/>
      <c r="EL1531" s="1"/>
      <c r="EM1531" s="1"/>
      <c r="EN1531" s="1"/>
      <c r="EQ1531" s="1"/>
      <c r="ER1531" s="1"/>
      <c r="ES1531" s="1"/>
      <c r="EV1531" s="1"/>
      <c r="EW1531" s="1"/>
      <c r="EZ1531" s="1"/>
      <c r="GO1531" s="1"/>
      <c r="GP1531" s="1"/>
      <c r="HY1531" s="1"/>
      <c r="IE1531" s="1"/>
      <c r="IS1531" s="1"/>
      <c r="IW1531" s="1"/>
      <c r="IZ1531" s="1"/>
      <c r="JF1531" s="1"/>
      <c r="JG1531" s="1"/>
      <c r="JH1531" s="1"/>
      <c r="JJ1531" s="1"/>
      <c r="JP1531" s="1"/>
      <c r="JQ1531" s="1"/>
      <c r="KY1531" s="1"/>
      <c r="KZ1531" s="1"/>
      <c r="LA1531" s="1"/>
      <c r="LB1531" s="1"/>
      <c r="LC1531" s="1"/>
      <c r="LD1531" s="1"/>
      <c r="LO1531" s="1"/>
      <c r="LP1531" s="1"/>
      <c r="LZ1531" s="1"/>
      <c r="MA1531" s="1"/>
    </row>
    <row r="1532" spans="4:339" ht="13" x14ac:dyDescent="0.15">
      <c r="D1532" s="12"/>
      <c r="E1532" s="12"/>
      <c r="I1532" s="12"/>
      <c r="J1532" s="13"/>
      <c r="BF1532" s="1"/>
      <c r="BG1532" s="1"/>
      <c r="BH1532" s="1"/>
      <c r="BI1532" s="1"/>
      <c r="BK1532" s="1"/>
      <c r="BL1532" s="1"/>
      <c r="BM1532" s="1"/>
      <c r="BN1532" s="1"/>
      <c r="BO1532" s="1"/>
      <c r="BP1532" s="1"/>
      <c r="BQ1532" s="1"/>
      <c r="BR1532" s="1"/>
      <c r="CD1532" s="1"/>
      <c r="CE1532" s="1"/>
      <c r="CF1532" s="1"/>
      <c r="CG1532" s="1"/>
      <c r="CM1532" s="2"/>
      <c r="CP1532" s="1"/>
      <c r="CQ1532" s="1"/>
      <c r="CR1532" s="1"/>
      <c r="CS1532" s="1"/>
      <c r="CT1532" s="1"/>
      <c r="CU1532" s="1"/>
      <c r="CV1532" s="1"/>
      <c r="CW1532" s="1"/>
      <c r="CX1532" s="1"/>
      <c r="CY1532" s="1"/>
      <c r="CZ1532" s="1"/>
      <c r="DA1532" s="1"/>
      <c r="DB1532" s="1"/>
      <c r="DC1532" s="1"/>
      <c r="DD1532" s="1"/>
      <c r="DE1532" s="1"/>
      <c r="DF1532" s="1"/>
      <c r="DG1532" s="1"/>
      <c r="DH1532" s="1"/>
      <c r="DI1532" s="1"/>
      <c r="DJ1532" s="1"/>
      <c r="DK1532" s="1"/>
      <c r="DM1532" s="1"/>
      <c r="DQ1532" s="1"/>
      <c r="DR1532" s="1"/>
      <c r="DY1532" s="1"/>
      <c r="DZ1532" s="1"/>
      <c r="ED1532" s="1"/>
      <c r="EK1532" s="1"/>
      <c r="EL1532" s="1"/>
      <c r="EM1532" s="1"/>
      <c r="EN1532" s="1"/>
      <c r="EQ1532" s="1"/>
      <c r="ER1532" s="1"/>
      <c r="ES1532" s="1"/>
      <c r="EV1532" s="1"/>
      <c r="EW1532" s="1"/>
      <c r="EZ1532" s="1"/>
      <c r="GP1532" s="1"/>
      <c r="HY1532" s="1"/>
      <c r="IE1532" s="1"/>
      <c r="IR1532" s="1"/>
      <c r="IS1532" s="1"/>
      <c r="IW1532" s="1"/>
      <c r="IY1532" s="1"/>
      <c r="IZ1532" s="1"/>
      <c r="JF1532" s="1"/>
      <c r="JG1532" s="1"/>
      <c r="JH1532" s="1"/>
      <c r="JJ1532" s="1"/>
      <c r="JN1532" s="1"/>
      <c r="JP1532" s="1"/>
      <c r="JQ1532" s="1"/>
      <c r="JV1532" s="1"/>
      <c r="KU1532" s="1"/>
      <c r="KY1532" s="1"/>
      <c r="KZ1532" s="1"/>
      <c r="LA1532" s="1"/>
      <c r="LB1532" s="1"/>
      <c r="LC1532" s="1"/>
      <c r="LD1532" s="1"/>
      <c r="LF1532" s="1"/>
      <c r="LN1532" s="1"/>
      <c r="LO1532" s="1"/>
      <c r="LP1532" s="1"/>
      <c r="LZ1532" s="1"/>
      <c r="MA1532" s="1"/>
    </row>
    <row r="1533" spans="4:339" ht="13" x14ac:dyDescent="0.15">
      <c r="D1533" s="12"/>
      <c r="E1533" s="12"/>
      <c r="I1533" s="12"/>
      <c r="J1533" s="13"/>
      <c r="BF1533" s="1"/>
      <c r="BG1533" s="1"/>
      <c r="BH1533" s="1"/>
      <c r="BI1533" s="1"/>
      <c r="BK1533" s="1"/>
      <c r="BL1533" s="1"/>
      <c r="BM1533" s="1"/>
      <c r="BN1533" s="1"/>
      <c r="BO1533" s="1"/>
      <c r="BP1533" s="1"/>
      <c r="BQ1533" s="1"/>
      <c r="BR1533" s="1"/>
      <c r="CD1533" s="1"/>
      <c r="CE1533" s="1"/>
      <c r="CF1533" s="1"/>
      <c r="CG1533" s="1"/>
      <c r="CM1533" s="2"/>
      <c r="CP1533" s="1"/>
      <c r="CQ1533" s="1"/>
      <c r="CR1533" s="1"/>
      <c r="CS1533" s="1"/>
      <c r="CT1533" s="1"/>
      <c r="CU1533" s="1"/>
      <c r="CV1533" s="1"/>
      <c r="CW1533" s="1"/>
      <c r="CX1533" s="1"/>
      <c r="CY1533" s="1"/>
      <c r="CZ1533" s="1"/>
      <c r="DA1533" s="1"/>
      <c r="DB1533" s="1"/>
      <c r="DC1533" s="1"/>
      <c r="DD1533" s="1"/>
      <c r="DE1533" s="1"/>
      <c r="DF1533" s="1"/>
      <c r="DG1533" s="1"/>
      <c r="DH1533" s="1"/>
      <c r="DI1533" s="1"/>
      <c r="DJ1533" s="1"/>
      <c r="DK1533" s="1"/>
      <c r="DM1533" s="1"/>
      <c r="DQ1533" s="1"/>
      <c r="DR1533" s="1"/>
      <c r="DY1533" s="1"/>
      <c r="DZ1533" s="1"/>
      <c r="ED1533" s="1"/>
      <c r="EK1533" s="1"/>
      <c r="EL1533" s="1"/>
      <c r="EM1533" s="1"/>
      <c r="EN1533" s="1"/>
      <c r="EQ1533" s="1"/>
      <c r="ER1533" s="1"/>
      <c r="ES1533" s="1"/>
      <c r="EV1533" s="1"/>
      <c r="EW1533" s="1"/>
      <c r="EZ1533" s="1"/>
      <c r="GP1533" s="1"/>
      <c r="HY1533" s="1"/>
      <c r="IE1533" s="1"/>
      <c r="IR1533" s="1"/>
      <c r="IS1533" s="1"/>
      <c r="IW1533" s="1"/>
      <c r="IY1533" s="1"/>
      <c r="IZ1533" s="1"/>
      <c r="JF1533" s="1"/>
      <c r="JG1533" s="1"/>
      <c r="JH1533" s="1"/>
      <c r="JJ1533" s="1"/>
      <c r="JN1533" s="1"/>
      <c r="JP1533" s="1"/>
      <c r="JQ1533" s="1"/>
      <c r="JV1533" s="1"/>
      <c r="KU1533" s="1"/>
      <c r="KY1533" s="1"/>
      <c r="KZ1533" s="1"/>
      <c r="LA1533" s="1"/>
      <c r="LB1533" s="1"/>
      <c r="LC1533" s="1"/>
      <c r="LD1533" s="1"/>
      <c r="LF1533" s="1"/>
      <c r="LN1533" s="1"/>
      <c r="LO1533" s="1"/>
      <c r="LP1533" s="1"/>
      <c r="LZ1533" s="1"/>
      <c r="MA1533" s="1"/>
    </row>
    <row r="1534" spans="4:339" ht="13" x14ac:dyDescent="0.15">
      <c r="D1534" s="12"/>
      <c r="E1534" s="12"/>
      <c r="I1534" s="12"/>
      <c r="J1534" s="13"/>
      <c r="BF1534" s="1"/>
      <c r="BG1534" s="1"/>
      <c r="BH1534" s="1"/>
      <c r="BI1534" s="1"/>
      <c r="BK1534" s="1"/>
      <c r="BL1534" s="1"/>
      <c r="BM1534" s="1"/>
      <c r="BN1534" s="1"/>
      <c r="BO1534" s="1"/>
      <c r="BP1534" s="1"/>
      <c r="BQ1534" s="1"/>
      <c r="BR1534" s="1"/>
      <c r="CD1534" s="1"/>
      <c r="CE1534" s="1"/>
      <c r="CF1534" s="1"/>
      <c r="CG1534" s="1"/>
      <c r="CM1534" s="2"/>
      <c r="CP1534" s="1"/>
      <c r="CQ1534" s="1"/>
      <c r="CR1534" s="1"/>
      <c r="CS1534" s="1"/>
      <c r="CT1534" s="1"/>
      <c r="CU1534" s="1"/>
      <c r="CV1534" s="1"/>
      <c r="CW1534" s="1"/>
      <c r="CX1534" s="1"/>
      <c r="CY1534" s="1"/>
      <c r="CZ1534" s="1"/>
      <c r="DA1534" s="1"/>
      <c r="DB1534" s="1"/>
      <c r="DC1534" s="1"/>
      <c r="DD1534" s="1"/>
      <c r="DE1534" s="1"/>
      <c r="DF1534" s="1"/>
      <c r="DG1534" s="1"/>
      <c r="DH1534" s="1"/>
      <c r="DI1534" s="1"/>
      <c r="DJ1534" s="1"/>
      <c r="DK1534" s="1"/>
      <c r="DM1534" s="1"/>
      <c r="DQ1534" s="1"/>
      <c r="DR1534" s="1"/>
      <c r="DY1534" s="1"/>
      <c r="DZ1534" s="1"/>
      <c r="ED1534" s="1"/>
      <c r="EK1534" s="1"/>
      <c r="EL1534" s="1"/>
      <c r="EM1534" s="1"/>
      <c r="EN1534" s="1"/>
      <c r="EQ1534" s="1"/>
      <c r="ER1534" s="1"/>
      <c r="ES1534" s="1"/>
      <c r="EV1534" s="1"/>
      <c r="EW1534" s="1"/>
      <c r="EZ1534" s="1"/>
      <c r="GP1534" s="1"/>
      <c r="HY1534" s="1"/>
      <c r="IE1534" s="1"/>
      <c r="IR1534" s="1"/>
      <c r="IS1534" s="1"/>
      <c r="IW1534" s="1"/>
      <c r="IY1534" s="1"/>
      <c r="IZ1534" s="1"/>
      <c r="JF1534" s="1"/>
      <c r="JG1534" s="1"/>
      <c r="JH1534" s="1"/>
      <c r="JJ1534" s="1"/>
      <c r="JN1534" s="1"/>
      <c r="JP1534" s="1"/>
      <c r="JQ1534" s="1"/>
      <c r="JV1534" s="1"/>
      <c r="KU1534" s="1"/>
      <c r="KY1534" s="1"/>
      <c r="KZ1534" s="1"/>
      <c r="LA1534" s="1"/>
      <c r="LB1534" s="1"/>
      <c r="LC1534" s="1"/>
      <c r="LD1534" s="1"/>
      <c r="LF1534" s="1"/>
      <c r="LN1534" s="1"/>
      <c r="LO1534" s="1"/>
      <c r="LP1534" s="1"/>
      <c r="LZ1534" s="1"/>
      <c r="MA1534" s="1"/>
    </row>
    <row r="1535" spans="4:339" ht="13" x14ac:dyDescent="0.15">
      <c r="D1535" s="12"/>
      <c r="E1535" s="12"/>
      <c r="I1535" s="12"/>
      <c r="J1535" s="13"/>
      <c r="BF1535" s="1"/>
      <c r="BG1535" s="1"/>
      <c r="BH1535" s="1"/>
      <c r="BI1535" s="1"/>
      <c r="BK1535" s="1"/>
      <c r="BL1535" s="1"/>
      <c r="BM1535" s="1"/>
      <c r="BN1535" s="1"/>
      <c r="BO1535" s="1"/>
      <c r="BP1535" s="1"/>
      <c r="BQ1535" s="1"/>
      <c r="BR1535" s="1"/>
      <c r="CD1535" s="1"/>
      <c r="CE1535" s="1"/>
      <c r="CF1535" s="1"/>
      <c r="CG1535" s="1"/>
      <c r="CM1535" s="2"/>
      <c r="CP1535" s="1"/>
      <c r="CQ1535" s="1"/>
      <c r="CR1535" s="1"/>
      <c r="CS1535" s="1"/>
      <c r="CT1535" s="1"/>
      <c r="CU1535" s="1"/>
      <c r="CV1535" s="1"/>
      <c r="CW1535" s="1"/>
      <c r="CX1535" s="1"/>
      <c r="CY1535" s="1"/>
      <c r="CZ1535" s="1"/>
      <c r="DA1535" s="1"/>
      <c r="DB1535" s="1"/>
      <c r="DC1535" s="1"/>
      <c r="DD1535" s="1"/>
      <c r="DE1535" s="1"/>
      <c r="DF1535" s="1"/>
      <c r="DG1535" s="1"/>
      <c r="DH1535" s="1"/>
      <c r="DI1535" s="1"/>
      <c r="DJ1535" s="1"/>
      <c r="DK1535" s="1"/>
      <c r="DM1535" s="1"/>
      <c r="DQ1535" s="1"/>
      <c r="DR1535" s="1"/>
      <c r="DY1535" s="1"/>
      <c r="DZ1535" s="1"/>
      <c r="ED1535" s="1"/>
      <c r="EK1535" s="1"/>
      <c r="EL1535" s="1"/>
      <c r="EM1535" s="1"/>
      <c r="EN1535" s="1"/>
      <c r="EQ1535" s="1"/>
      <c r="ER1535" s="1"/>
      <c r="ES1535" s="1"/>
      <c r="EV1535" s="1"/>
      <c r="EW1535" s="1"/>
      <c r="EZ1535" s="1"/>
      <c r="GP1535" s="1"/>
      <c r="HY1535" s="1"/>
      <c r="IE1535" s="1"/>
      <c r="IR1535" s="1"/>
      <c r="IS1535" s="1"/>
      <c r="IW1535" s="1"/>
      <c r="IY1535" s="1"/>
      <c r="IZ1535" s="1"/>
      <c r="JF1535" s="1"/>
      <c r="JG1535" s="1"/>
      <c r="JH1535" s="1"/>
      <c r="JJ1535" s="1"/>
      <c r="JN1535" s="1"/>
      <c r="JP1535" s="1"/>
      <c r="JQ1535" s="1"/>
      <c r="JV1535" s="1"/>
      <c r="KU1535" s="1"/>
      <c r="KY1535" s="1"/>
      <c r="KZ1535" s="1"/>
      <c r="LA1535" s="1"/>
      <c r="LB1535" s="1"/>
      <c r="LC1535" s="1"/>
      <c r="LD1535" s="1"/>
      <c r="LF1535" s="1"/>
      <c r="LN1535" s="1"/>
      <c r="LO1535" s="1"/>
      <c r="LP1535" s="1"/>
      <c r="LZ1535" s="1"/>
      <c r="MA1535" s="1"/>
    </row>
    <row r="1536" spans="4:339" ht="13" x14ac:dyDescent="0.15">
      <c r="D1536" s="12"/>
      <c r="E1536" s="12"/>
      <c r="I1536" s="12"/>
      <c r="J1536" s="13"/>
      <c r="BG1536" s="1"/>
      <c r="BH1536" s="1"/>
      <c r="BI1536" s="1"/>
      <c r="BK1536" s="1"/>
      <c r="BL1536" s="1"/>
      <c r="BM1536" s="1"/>
      <c r="BN1536" s="1"/>
      <c r="BO1536" s="1"/>
      <c r="BQ1536" s="1"/>
      <c r="BR1536" s="1"/>
      <c r="CD1536" s="1"/>
      <c r="CE1536" s="1"/>
      <c r="CF1536" s="1"/>
      <c r="CG1536" s="1"/>
      <c r="CM1536" s="2"/>
      <c r="ED1536" s="1"/>
      <c r="EL1536" s="1"/>
      <c r="EM1536" s="1"/>
      <c r="EN1536" s="1"/>
      <c r="EQ1536" s="1"/>
      <c r="ER1536" s="1"/>
      <c r="ES1536" s="1"/>
      <c r="EV1536" s="1"/>
      <c r="EW1536" s="1"/>
      <c r="EZ1536" s="1"/>
      <c r="GP1536" s="1"/>
      <c r="HY1536" s="1"/>
      <c r="IR1536" s="1"/>
      <c r="IS1536" s="1"/>
      <c r="IW1536" s="1"/>
      <c r="IZ1536" s="1"/>
      <c r="JA1536" s="1"/>
      <c r="JJ1536" s="1"/>
      <c r="JP1536" s="1"/>
      <c r="JQ1536" s="1"/>
      <c r="KU1536" s="1"/>
      <c r="LR1536" s="1"/>
      <c r="LS1536" s="1"/>
      <c r="LT1536" s="1"/>
      <c r="LU1536" s="1"/>
    </row>
    <row r="1537" spans="4:339" ht="13" x14ac:dyDescent="0.15">
      <c r="D1537" s="12"/>
      <c r="E1537" s="12"/>
      <c r="I1537" s="12"/>
      <c r="J1537" s="13"/>
      <c r="BF1537" s="1"/>
      <c r="BG1537" s="1"/>
      <c r="BH1537" s="1"/>
      <c r="BI1537" s="1"/>
      <c r="BK1537" s="1"/>
      <c r="BL1537" s="1"/>
      <c r="BM1537" s="1"/>
      <c r="BN1537" s="1"/>
      <c r="BO1537" s="1"/>
      <c r="BP1537" s="1"/>
      <c r="BQ1537" s="1"/>
      <c r="BR1537" s="1"/>
      <c r="CD1537" s="1"/>
      <c r="CM1537" s="2"/>
      <c r="CP1537" s="1"/>
      <c r="CQ1537" s="1"/>
      <c r="CR1537" s="1"/>
      <c r="CS1537" s="1"/>
      <c r="CT1537" s="1"/>
      <c r="CU1537" s="1"/>
      <c r="CV1537" s="1"/>
      <c r="CW1537" s="1"/>
      <c r="CX1537" s="1"/>
      <c r="CY1537" s="1"/>
      <c r="CZ1537" s="1"/>
      <c r="DA1537" s="1"/>
      <c r="DB1537" s="1"/>
      <c r="DC1537" s="1"/>
      <c r="DD1537" s="1"/>
      <c r="DE1537" s="1"/>
      <c r="DF1537" s="1"/>
      <c r="DG1537" s="1"/>
      <c r="DH1537" s="1"/>
      <c r="DI1537" s="1"/>
      <c r="DJ1537" s="1"/>
      <c r="DK1537" s="1"/>
      <c r="DM1537" s="1"/>
      <c r="DR1537" s="1"/>
      <c r="ED1537" s="1"/>
      <c r="EF1537" s="1"/>
      <c r="EK1537" s="1"/>
      <c r="EL1537" s="1"/>
      <c r="EM1537" s="1"/>
      <c r="EN1537" s="1"/>
      <c r="EQ1537" s="1"/>
      <c r="ER1537" s="1"/>
      <c r="ES1537" s="1"/>
      <c r="EV1537" s="1"/>
      <c r="EW1537" s="1"/>
      <c r="EZ1537" s="1"/>
      <c r="GO1537" s="1"/>
      <c r="GP1537" s="1"/>
      <c r="HH1537" s="1"/>
      <c r="HY1537" s="1"/>
      <c r="IE1537" s="1"/>
      <c r="IJ1537" s="1"/>
      <c r="IS1537" s="1"/>
      <c r="IW1537" s="1"/>
      <c r="IX1537" s="1"/>
      <c r="IZ1537" s="1"/>
      <c r="JB1537" s="1"/>
      <c r="JC1537" s="1"/>
      <c r="JF1537" s="1"/>
      <c r="JG1537" s="1"/>
      <c r="JJ1537" s="1"/>
      <c r="JN1537" s="1"/>
      <c r="JP1537" s="1"/>
      <c r="JQ1537" s="1"/>
      <c r="JT1537" s="1"/>
      <c r="KV1537" s="1"/>
      <c r="KW1537" s="1"/>
      <c r="KY1537" s="1"/>
      <c r="KZ1537" s="1"/>
      <c r="LA1537" s="1"/>
      <c r="LB1537" s="1"/>
      <c r="LC1537" s="1"/>
      <c r="LD1537" s="1"/>
      <c r="LG1537" s="1"/>
      <c r="LH1537" s="5"/>
      <c r="LK1537" s="1"/>
      <c r="LL1537" s="1"/>
      <c r="LN1537" s="1"/>
      <c r="LO1537" s="1"/>
      <c r="LP1537" s="1"/>
      <c r="LZ1537" s="1"/>
      <c r="MA1537" s="1"/>
    </row>
    <row r="1538" spans="4:339" ht="13" x14ac:dyDescent="0.15">
      <c r="D1538" s="12"/>
      <c r="E1538" s="12"/>
      <c r="I1538" s="12"/>
      <c r="J1538" s="13"/>
      <c r="BF1538" s="1"/>
      <c r="BG1538" s="1"/>
      <c r="BH1538" s="1"/>
      <c r="BI1538" s="1"/>
      <c r="BK1538" s="1"/>
      <c r="BL1538" s="1"/>
      <c r="BM1538" s="1"/>
      <c r="BN1538" s="1"/>
      <c r="BO1538" s="1"/>
      <c r="BP1538" s="1"/>
      <c r="BQ1538" s="1"/>
      <c r="BR1538" s="1"/>
      <c r="CD1538" s="1"/>
      <c r="CM1538" s="2"/>
      <c r="CP1538" s="1"/>
      <c r="CQ1538" s="1"/>
      <c r="CR1538" s="1"/>
      <c r="CS1538" s="1"/>
      <c r="CT1538" s="1"/>
      <c r="CU1538" s="1"/>
      <c r="CV1538" s="1"/>
      <c r="CW1538" s="1"/>
      <c r="CX1538" s="1"/>
      <c r="CY1538" s="1"/>
      <c r="CZ1538" s="1"/>
      <c r="DA1538" s="1"/>
      <c r="DB1538" s="1"/>
      <c r="DC1538" s="1"/>
      <c r="DD1538" s="1"/>
      <c r="DE1538" s="1"/>
      <c r="DF1538" s="1"/>
      <c r="DG1538" s="1"/>
      <c r="DH1538" s="1"/>
      <c r="DI1538" s="1"/>
      <c r="DJ1538" s="1"/>
      <c r="DK1538" s="1"/>
      <c r="DM1538" s="1"/>
      <c r="DR1538" s="1"/>
      <c r="ED1538" s="1"/>
      <c r="EF1538" s="1"/>
      <c r="EK1538" s="1"/>
      <c r="EL1538" s="1"/>
      <c r="EM1538" s="1"/>
      <c r="EN1538" s="1"/>
      <c r="EQ1538" s="1"/>
      <c r="ER1538" s="1"/>
      <c r="ES1538" s="1"/>
      <c r="EV1538" s="1"/>
      <c r="EW1538" s="1"/>
      <c r="EZ1538" s="1"/>
      <c r="GO1538" s="1"/>
      <c r="GP1538" s="1"/>
      <c r="HH1538" s="1"/>
      <c r="HY1538" s="1"/>
      <c r="IE1538" s="1"/>
      <c r="IJ1538" s="1"/>
      <c r="IS1538" s="1"/>
      <c r="IW1538" s="1"/>
      <c r="IX1538" s="1"/>
      <c r="IZ1538" s="1"/>
      <c r="JB1538" s="1"/>
      <c r="JC1538" s="1"/>
      <c r="JF1538" s="1"/>
      <c r="JG1538" s="1"/>
      <c r="JJ1538" s="1"/>
      <c r="JN1538" s="1"/>
      <c r="JP1538" s="1"/>
      <c r="JQ1538" s="1"/>
      <c r="JT1538" s="1"/>
      <c r="KV1538" s="1"/>
      <c r="KW1538" s="1"/>
      <c r="KY1538" s="1"/>
      <c r="KZ1538" s="1"/>
      <c r="LA1538" s="1"/>
      <c r="LB1538" s="1"/>
      <c r="LC1538" s="1"/>
      <c r="LD1538" s="1"/>
      <c r="LG1538" s="1"/>
      <c r="LH1538" s="5"/>
      <c r="LK1538" s="1"/>
      <c r="LL1538" s="1"/>
      <c r="LN1538" s="1"/>
      <c r="LO1538" s="1"/>
      <c r="LP1538" s="1"/>
      <c r="LZ1538" s="1"/>
      <c r="MA1538" s="1"/>
    </row>
    <row r="1539" spans="4:339" ht="13" x14ac:dyDescent="0.15">
      <c r="D1539" s="12"/>
      <c r="E1539" s="12"/>
      <c r="I1539" s="12"/>
      <c r="J1539" s="13"/>
      <c r="BF1539" s="1"/>
      <c r="BG1539" s="1"/>
      <c r="BH1539" s="1"/>
      <c r="BI1539" s="1"/>
      <c r="BK1539" s="1"/>
      <c r="BL1539" s="1"/>
      <c r="BM1539" s="1"/>
      <c r="BN1539" s="1"/>
      <c r="BO1539" s="1"/>
      <c r="BP1539" s="1"/>
      <c r="BQ1539" s="1"/>
      <c r="BR1539" s="1"/>
      <c r="CD1539" s="1"/>
      <c r="CE1539" s="1"/>
      <c r="CF1539" s="1"/>
      <c r="CG1539" s="1"/>
      <c r="CM1539" s="2"/>
      <c r="CP1539" s="1"/>
      <c r="CQ1539" s="1"/>
      <c r="CR1539" s="1"/>
      <c r="CT1539" s="1"/>
      <c r="CU1539" s="1"/>
      <c r="CV1539" s="1"/>
      <c r="CW1539" s="1"/>
      <c r="CX1539" s="1"/>
      <c r="CY1539" s="1"/>
      <c r="CZ1539" s="1"/>
      <c r="DA1539" s="1"/>
      <c r="DB1539" s="1"/>
      <c r="DC1539" s="1"/>
      <c r="DD1539" s="1"/>
      <c r="DE1539" s="1"/>
      <c r="DF1539" s="1"/>
      <c r="DG1539" s="1"/>
      <c r="DH1539" s="1"/>
      <c r="DI1539" s="1"/>
      <c r="DJ1539" s="1"/>
      <c r="DK1539" s="1"/>
      <c r="DM1539" s="1"/>
      <c r="DQ1539" s="1"/>
      <c r="DR1539" s="1"/>
      <c r="DY1539" s="1"/>
      <c r="DZ1539" s="1"/>
      <c r="ED1539" s="1"/>
      <c r="EE1539" s="1"/>
      <c r="EF1539" s="1"/>
      <c r="EG1539" s="1"/>
      <c r="EH1539" s="1"/>
      <c r="EK1539" s="1"/>
      <c r="EL1539" s="1"/>
      <c r="EM1539" s="1"/>
      <c r="EN1539" s="1"/>
      <c r="EQ1539" s="1"/>
      <c r="ER1539" s="1"/>
      <c r="ES1539" s="1"/>
      <c r="EV1539" s="1"/>
      <c r="EW1539" s="1"/>
      <c r="EY1539" s="1"/>
      <c r="EZ1539" s="1"/>
      <c r="FF1539" s="1"/>
      <c r="FJ1539" s="1"/>
      <c r="FS1539" s="1"/>
      <c r="FW1539" s="1"/>
      <c r="GO1539" s="1"/>
      <c r="GP1539" s="1"/>
      <c r="HY1539" s="1"/>
      <c r="IE1539" s="1"/>
      <c r="IG1539" s="1"/>
      <c r="IJ1539" s="1"/>
      <c r="IR1539" s="1"/>
      <c r="IS1539" s="1"/>
      <c r="IW1539" s="1"/>
      <c r="IZ1539" s="1"/>
      <c r="JA1539" s="1"/>
      <c r="JC1539" s="1"/>
      <c r="JF1539" s="1"/>
      <c r="JG1539" s="1"/>
      <c r="JH1539" s="1"/>
      <c r="JI1539" s="1"/>
      <c r="JJ1539" s="1"/>
      <c r="JK1539" s="1"/>
      <c r="JL1539" s="3"/>
      <c r="JM1539" s="1"/>
      <c r="JN1539" s="1"/>
      <c r="JP1539" s="1"/>
      <c r="JQ1539" s="1"/>
      <c r="JR1539" s="1"/>
      <c r="JT1539" s="1"/>
      <c r="KV1539" s="1"/>
      <c r="KY1539" s="1"/>
      <c r="KZ1539" s="1"/>
      <c r="LA1539" s="1"/>
      <c r="LB1539" s="1"/>
      <c r="LC1539" s="1"/>
      <c r="LD1539" s="1"/>
      <c r="LO1539" s="1"/>
      <c r="LP1539" s="1"/>
      <c r="LZ1539" s="1"/>
      <c r="MA1539" s="1"/>
    </row>
    <row r="1540" spans="4:339" ht="13" x14ac:dyDescent="0.15">
      <c r="D1540" s="12"/>
      <c r="E1540" s="12"/>
      <c r="I1540" s="12"/>
      <c r="J1540" s="13"/>
      <c r="BF1540" s="1"/>
      <c r="BG1540" s="1"/>
      <c r="BH1540" s="1"/>
      <c r="BI1540" s="1"/>
      <c r="BK1540" s="1"/>
      <c r="BL1540" s="1"/>
      <c r="BM1540" s="1"/>
      <c r="BN1540" s="1"/>
      <c r="BO1540" s="1"/>
      <c r="BP1540" s="1"/>
      <c r="BQ1540" s="1"/>
      <c r="BR1540" s="1"/>
      <c r="CD1540" s="1"/>
      <c r="CE1540" s="1"/>
      <c r="CF1540" s="1"/>
      <c r="CG1540" s="1"/>
      <c r="CM1540" s="2"/>
      <c r="CP1540" s="1"/>
      <c r="CQ1540" s="1"/>
      <c r="CR1540" s="1"/>
      <c r="CT1540" s="1"/>
      <c r="CU1540" s="1"/>
      <c r="CV1540" s="1"/>
      <c r="CW1540" s="1"/>
      <c r="CX1540" s="1"/>
      <c r="CY1540" s="1"/>
      <c r="CZ1540" s="1"/>
      <c r="DA1540" s="1"/>
      <c r="DB1540" s="1"/>
      <c r="DC1540" s="1"/>
      <c r="DD1540" s="1"/>
      <c r="DE1540" s="1"/>
      <c r="DF1540" s="1"/>
      <c r="DG1540" s="1"/>
      <c r="DH1540" s="1"/>
      <c r="DI1540" s="1"/>
      <c r="DJ1540" s="1"/>
      <c r="DK1540" s="1"/>
      <c r="DM1540" s="1"/>
      <c r="DQ1540" s="1"/>
      <c r="DR1540" s="1"/>
      <c r="DY1540" s="1"/>
      <c r="DZ1540" s="1"/>
      <c r="ED1540" s="1"/>
      <c r="EE1540" s="1"/>
      <c r="EF1540" s="1"/>
      <c r="EG1540" s="1"/>
      <c r="EH1540" s="1"/>
      <c r="EK1540" s="1"/>
      <c r="EL1540" s="1"/>
      <c r="EM1540" s="1"/>
      <c r="EN1540" s="1"/>
      <c r="EQ1540" s="1"/>
      <c r="ER1540" s="1"/>
      <c r="ES1540" s="1"/>
      <c r="EV1540" s="1"/>
      <c r="EW1540" s="1"/>
      <c r="EY1540" s="1"/>
      <c r="EZ1540" s="1"/>
      <c r="FF1540" s="1"/>
      <c r="FJ1540" s="1"/>
      <c r="FS1540" s="1"/>
      <c r="FW1540" s="1"/>
      <c r="GO1540" s="1"/>
      <c r="GP1540" s="1"/>
      <c r="HY1540" s="1"/>
      <c r="IE1540" s="1"/>
      <c r="IG1540" s="1"/>
      <c r="IJ1540" s="1"/>
      <c r="IR1540" s="1"/>
      <c r="IS1540" s="1"/>
      <c r="IW1540" s="1"/>
      <c r="IZ1540" s="1"/>
      <c r="JA1540" s="1"/>
      <c r="JC1540" s="1"/>
      <c r="JF1540" s="1"/>
      <c r="JG1540" s="1"/>
      <c r="JH1540" s="1"/>
      <c r="JI1540" s="1"/>
      <c r="JJ1540" s="1"/>
      <c r="JK1540" s="1"/>
      <c r="JL1540" s="3"/>
      <c r="JM1540" s="1"/>
      <c r="JN1540" s="1"/>
      <c r="JP1540" s="1"/>
      <c r="JQ1540" s="1"/>
      <c r="JR1540" s="1"/>
      <c r="JT1540" s="1"/>
      <c r="KV1540" s="1"/>
      <c r="KY1540" s="1"/>
      <c r="KZ1540" s="1"/>
      <c r="LA1540" s="1"/>
      <c r="LB1540" s="1"/>
      <c r="LC1540" s="1"/>
      <c r="LD1540" s="1"/>
      <c r="LO1540" s="1"/>
      <c r="LP1540" s="1"/>
      <c r="LZ1540" s="1"/>
      <c r="MA1540" s="1"/>
    </row>
    <row r="1541" spans="4:339" ht="13" x14ac:dyDescent="0.15">
      <c r="D1541" s="12"/>
      <c r="E1541" s="12"/>
      <c r="I1541" s="12"/>
      <c r="J1541" s="13"/>
      <c r="BF1541" s="1"/>
      <c r="BG1541" s="1"/>
      <c r="BH1541" s="1"/>
      <c r="BI1541" s="1"/>
      <c r="BK1541" s="1"/>
      <c r="BL1541" s="1"/>
      <c r="BM1541" s="1"/>
      <c r="BN1541" s="1"/>
      <c r="BO1541" s="1"/>
      <c r="BP1541" s="1"/>
      <c r="BQ1541" s="1"/>
      <c r="BR1541" s="1"/>
      <c r="CD1541" s="1"/>
      <c r="CE1541" s="1"/>
      <c r="CF1541" s="1"/>
      <c r="CG1541" s="1"/>
      <c r="CM1541" s="2"/>
      <c r="CP1541" s="1"/>
      <c r="CQ1541" s="1"/>
      <c r="CR1541" s="1"/>
      <c r="CT1541" s="1"/>
      <c r="CU1541" s="1"/>
      <c r="CV1541" s="1"/>
      <c r="CW1541" s="1"/>
      <c r="CX1541" s="1"/>
      <c r="CY1541" s="1"/>
      <c r="CZ1541" s="1"/>
      <c r="DA1541" s="1"/>
      <c r="DB1541" s="1"/>
      <c r="DC1541" s="1"/>
      <c r="DD1541" s="1"/>
      <c r="DE1541" s="1"/>
      <c r="DF1541" s="1"/>
      <c r="DG1541" s="1"/>
      <c r="DH1541" s="1"/>
      <c r="DI1541" s="1"/>
      <c r="DJ1541" s="1"/>
      <c r="DK1541" s="1"/>
      <c r="DM1541" s="1"/>
      <c r="DQ1541" s="1"/>
      <c r="DR1541" s="1"/>
      <c r="DY1541" s="1"/>
      <c r="DZ1541" s="1"/>
      <c r="ED1541" s="1"/>
      <c r="EE1541" s="1"/>
      <c r="EF1541" s="1"/>
      <c r="EG1541" s="1"/>
      <c r="EH1541" s="1"/>
      <c r="EK1541" s="1"/>
      <c r="EL1541" s="1"/>
      <c r="EM1541" s="1"/>
      <c r="EN1541" s="1"/>
      <c r="EQ1541" s="1"/>
      <c r="ER1541" s="1"/>
      <c r="ES1541" s="1"/>
      <c r="EV1541" s="1"/>
      <c r="EW1541" s="1"/>
      <c r="EY1541" s="1"/>
      <c r="EZ1541" s="1"/>
      <c r="FF1541" s="1"/>
      <c r="FJ1541" s="1"/>
      <c r="FS1541" s="1"/>
      <c r="FW1541" s="1"/>
      <c r="GO1541" s="1"/>
      <c r="GP1541" s="1"/>
      <c r="HY1541" s="1"/>
      <c r="IE1541" s="1"/>
      <c r="IG1541" s="1"/>
      <c r="IJ1541" s="1"/>
      <c r="IR1541" s="1"/>
      <c r="IS1541" s="1"/>
      <c r="IW1541" s="1"/>
      <c r="IZ1541" s="1"/>
      <c r="JA1541" s="1"/>
      <c r="JC1541" s="1"/>
      <c r="JF1541" s="1"/>
      <c r="JG1541" s="1"/>
      <c r="JH1541" s="1"/>
      <c r="JI1541" s="1"/>
      <c r="JJ1541" s="1"/>
      <c r="JK1541" s="1"/>
      <c r="JL1541" s="3"/>
      <c r="JM1541" s="1"/>
      <c r="JN1541" s="1"/>
      <c r="JP1541" s="1"/>
      <c r="JQ1541" s="1"/>
      <c r="JR1541" s="1"/>
      <c r="JT1541" s="1"/>
      <c r="KV1541" s="1"/>
      <c r="KY1541" s="1"/>
      <c r="KZ1541" s="1"/>
      <c r="LA1541" s="1"/>
      <c r="LB1541" s="1"/>
      <c r="LC1541" s="1"/>
      <c r="LD1541" s="1"/>
      <c r="LO1541" s="1"/>
      <c r="LP1541" s="1"/>
      <c r="LZ1541" s="1"/>
      <c r="MA1541" s="1"/>
    </row>
    <row r="1542" spans="4:339" ht="13" x14ac:dyDescent="0.15">
      <c r="D1542" s="12"/>
      <c r="E1542" s="12"/>
      <c r="I1542" s="12"/>
      <c r="J1542" s="13"/>
      <c r="BF1542" s="1"/>
      <c r="BG1542" s="1"/>
      <c r="BH1542" s="1"/>
      <c r="BI1542" s="1"/>
      <c r="BK1542" s="1"/>
      <c r="BL1542" s="1"/>
      <c r="BM1542" s="1"/>
      <c r="BN1542" s="1"/>
      <c r="BO1542" s="1"/>
      <c r="BP1542" s="1"/>
      <c r="BQ1542" s="1"/>
      <c r="BR1542" s="1"/>
      <c r="CD1542" s="1"/>
      <c r="CE1542" s="1"/>
      <c r="CF1542" s="1"/>
      <c r="CG1542" s="1"/>
      <c r="CM1542" s="2"/>
      <c r="CP1542" s="1"/>
      <c r="CQ1542" s="1"/>
      <c r="CR1542" s="1"/>
      <c r="CS1542" s="1"/>
      <c r="CT1542" s="1"/>
      <c r="CU1542" s="1"/>
      <c r="CV1542" s="1"/>
      <c r="CW1542" s="1"/>
      <c r="CX1542" s="1"/>
      <c r="CY1542" s="1"/>
      <c r="CZ1542" s="1"/>
      <c r="DA1542" s="1"/>
      <c r="DB1542" s="1"/>
      <c r="DC1542" s="1"/>
      <c r="DD1542" s="1"/>
      <c r="DE1542" s="1"/>
      <c r="DF1542" s="1"/>
      <c r="DG1542" s="1"/>
      <c r="DH1542" s="1"/>
      <c r="DI1542" s="1"/>
      <c r="DJ1542" s="1"/>
      <c r="DK1542" s="1"/>
      <c r="DQ1542" s="1"/>
      <c r="DR1542" s="1"/>
      <c r="DY1542" s="1"/>
      <c r="DZ1542" s="1"/>
      <c r="ED1542" s="1"/>
      <c r="EE1542" s="1"/>
      <c r="EF1542" s="1"/>
      <c r="EG1542" s="1"/>
      <c r="EH1542" s="1"/>
      <c r="EK1542" s="1"/>
      <c r="EL1542" s="1"/>
      <c r="EM1542" s="1"/>
      <c r="EN1542" s="1"/>
      <c r="EQ1542" s="1"/>
      <c r="ER1542" s="1"/>
      <c r="ES1542" s="1"/>
      <c r="EV1542" s="1"/>
      <c r="EW1542" s="1"/>
      <c r="EY1542" s="1"/>
      <c r="EZ1542" s="1"/>
      <c r="FE1542" s="1"/>
      <c r="FF1542" s="1"/>
      <c r="FS1542" s="1"/>
      <c r="FW1542" s="1"/>
      <c r="GP1542" s="1"/>
      <c r="HY1542" s="1"/>
      <c r="IE1542" s="1"/>
      <c r="IF1542" s="1"/>
      <c r="IG1542" s="1"/>
      <c r="IJ1542" s="1"/>
      <c r="IR1542" s="1"/>
      <c r="IS1542" s="1"/>
      <c r="IX1542" s="1"/>
      <c r="IY1542" s="1"/>
      <c r="IZ1542" s="1"/>
      <c r="JB1542" s="1"/>
      <c r="JF1542" s="1"/>
      <c r="JG1542" s="1"/>
      <c r="JH1542" s="1"/>
      <c r="JJ1542" s="1"/>
      <c r="JK1542" s="1"/>
      <c r="JL1542" s="3"/>
      <c r="JM1542" s="1"/>
      <c r="JN1542" s="1"/>
      <c r="JP1542" s="1"/>
      <c r="JQ1542" s="1"/>
      <c r="JR1542" s="1"/>
      <c r="KV1542" s="1"/>
      <c r="KY1542" s="1"/>
      <c r="KZ1542" s="1"/>
      <c r="LA1542" s="1"/>
      <c r="LB1542" s="1"/>
      <c r="LC1542" s="1"/>
      <c r="LD1542" s="1"/>
      <c r="LO1542" s="1"/>
      <c r="LP1542" s="1"/>
      <c r="LZ1542" s="1"/>
      <c r="MA1542" s="1"/>
    </row>
    <row r="1543" spans="4:339" ht="13" x14ac:dyDescent="0.15">
      <c r="D1543" s="12"/>
      <c r="E1543" s="12"/>
      <c r="I1543" s="12"/>
      <c r="J1543" s="13"/>
      <c r="BF1543" s="1"/>
      <c r="BG1543" s="1"/>
      <c r="BH1543" s="1"/>
      <c r="BI1543" s="1"/>
      <c r="BJ1543" s="1"/>
      <c r="BK1543" s="1"/>
      <c r="BL1543" s="1"/>
      <c r="BM1543" s="1"/>
      <c r="BN1543" s="1"/>
      <c r="BO1543" s="1"/>
      <c r="BP1543" s="1"/>
      <c r="BQ1543" s="1"/>
      <c r="BR1543" s="1"/>
      <c r="CD1543" s="1"/>
      <c r="CE1543" s="1"/>
      <c r="CF1543" s="1"/>
      <c r="CG1543" s="1"/>
      <c r="CK1543" s="1"/>
      <c r="CM1543" s="2"/>
      <c r="CP1543" s="1"/>
      <c r="CQ1543" s="1"/>
      <c r="CR1543" s="1"/>
      <c r="CS1543" s="1"/>
      <c r="CT1543" s="1"/>
      <c r="CU1543" s="1"/>
      <c r="CV1543" s="1"/>
      <c r="CW1543" s="1"/>
      <c r="CX1543" s="1"/>
      <c r="CY1543" s="1"/>
      <c r="CZ1543" s="1"/>
      <c r="DA1543" s="1"/>
      <c r="DB1543" s="1"/>
      <c r="DC1543" s="1"/>
      <c r="DD1543" s="1"/>
      <c r="DE1543" s="1"/>
      <c r="DF1543" s="1"/>
      <c r="DG1543" s="1"/>
      <c r="DH1543" s="1"/>
      <c r="DI1543" s="1"/>
      <c r="DJ1543" s="1"/>
      <c r="DK1543" s="1"/>
      <c r="DM1543" s="1"/>
      <c r="DQ1543" s="1"/>
      <c r="DR1543" s="1"/>
      <c r="DY1543" s="1"/>
      <c r="DZ1543" s="1"/>
      <c r="ED1543" s="1"/>
      <c r="EK1543" s="1"/>
      <c r="EL1543" s="1"/>
      <c r="EM1543" s="1"/>
      <c r="EN1543" s="1"/>
      <c r="EQ1543" s="1"/>
      <c r="ER1543" s="1"/>
      <c r="ES1543" s="1"/>
      <c r="EV1543" s="1"/>
      <c r="EW1543" s="1"/>
      <c r="EZ1543" s="1"/>
      <c r="GO1543" s="1"/>
      <c r="GP1543" s="1"/>
      <c r="HH1543" s="1"/>
      <c r="HY1543" s="1"/>
      <c r="IE1543" s="1"/>
      <c r="IR1543" s="1"/>
      <c r="IS1543" s="1"/>
      <c r="IW1543" s="1"/>
      <c r="IZ1543" s="1"/>
      <c r="JC1543" s="1"/>
      <c r="JF1543" s="1"/>
      <c r="JG1543" s="1"/>
      <c r="JH1543" s="1"/>
      <c r="JJ1543" s="1"/>
      <c r="JN1543" s="1"/>
      <c r="JP1543" s="1"/>
      <c r="JQ1543" s="1"/>
      <c r="JT1543" s="1"/>
      <c r="KU1543" s="1"/>
      <c r="KW1543" s="1"/>
      <c r="KY1543" s="1"/>
      <c r="KZ1543" s="1"/>
      <c r="LA1543" s="1"/>
      <c r="LB1543" s="1"/>
      <c r="LC1543" s="1"/>
      <c r="LD1543" s="1"/>
      <c r="LO1543" s="1"/>
      <c r="LP1543" s="1"/>
      <c r="LZ1543" s="1"/>
      <c r="MA1543" s="1"/>
    </row>
    <row r="1544" spans="4:339" ht="13" x14ac:dyDescent="0.15">
      <c r="D1544" s="12"/>
      <c r="E1544" s="12"/>
      <c r="I1544" s="12"/>
      <c r="J1544" s="13"/>
      <c r="BF1544" s="1"/>
      <c r="BG1544" s="1"/>
      <c r="BH1544" s="1"/>
      <c r="BI1544" s="1"/>
      <c r="BK1544" s="1"/>
      <c r="BL1544" s="1"/>
      <c r="BM1544" s="1"/>
      <c r="BN1544" s="1"/>
      <c r="BO1544" s="1"/>
      <c r="BP1544" s="1"/>
      <c r="BQ1544" s="1"/>
      <c r="BR1544" s="1"/>
      <c r="CD1544" s="1"/>
      <c r="CE1544" s="1"/>
      <c r="CF1544" s="1"/>
      <c r="CG1544" s="1"/>
      <c r="CM1544" s="2"/>
      <c r="CP1544" s="1"/>
      <c r="CQ1544" s="1"/>
      <c r="CR1544" s="1"/>
      <c r="CS1544" s="1"/>
      <c r="CT1544" s="1"/>
      <c r="CU1544" s="1"/>
      <c r="CV1544" s="1"/>
      <c r="CW1544" s="1"/>
      <c r="CX1544" s="1"/>
      <c r="CY1544" s="1"/>
      <c r="CZ1544" s="1"/>
      <c r="DA1544" s="1"/>
      <c r="DB1544" s="1"/>
      <c r="DC1544" s="1"/>
      <c r="DD1544" s="1"/>
      <c r="DE1544" s="1"/>
      <c r="DF1544" s="1"/>
      <c r="DG1544" s="1"/>
      <c r="DH1544" s="1"/>
      <c r="DI1544" s="1"/>
      <c r="DJ1544" s="1"/>
      <c r="DK1544" s="1"/>
      <c r="ED1544" s="1"/>
      <c r="EK1544" s="1"/>
      <c r="EL1544" s="1"/>
      <c r="EM1544" s="1"/>
      <c r="EN1544" s="1"/>
      <c r="EQ1544" s="1"/>
      <c r="ER1544" s="1"/>
      <c r="ES1544" s="1"/>
      <c r="EV1544" s="1"/>
      <c r="EW1544" s="1"/>
      <c r="EZ1544" s="1"/>
      <c r="GP1544" s="1"/>
      <c r="HH1544" s="1"/>
      <c r="HY1544" s="1"/>
      <c r="IE1544" s="1"/>
      <c r="IR1544" s="1"/>
      <c r="IS1544" s="1"/>
      <c r="IZ1544" s="1"/>
      <c r="JC1544" s="1"/>
      <c r="JF1544" s="1"/>
      <c r="JG1544" s="1"/>
      <c r="JH1544" s="1"/>
      <c r="JJ1544" s="1"/>
      <c r="JN1544" s="1"/>
      <c r="JP1544" s="1"/>
      <c r="JQ1544" s="1"/>
      <c r="JT1544" s="1"/>
      <c r="KW1544" s="1"/>
      <c r="KY1544" s="1"/>
      <c r="KZ1544" s="1"/>
      <c r="LA1544" s="1"/>
      <c r="LB1544" s="1"/>
      <c r="LC1544" s="1"/>
      <c r="LD1544" s="1"/>
      <c r="LO1544" s="1"/>
      <c r="LP1544" s="1"/>
      <c r="LZ1544" s="1"/>
      <c r="MA1544" s="1"/>
    </row>
    <row r="1545" spans="4:339" ht="13" x14ac:dyDescent="0.15">
      <c r="D1545" s="12"/>
      <c r="E1545" s="12"/>
      <c r="I1545" s="12"/>
      <c r="J1545" s="13"/>
      <c r="BF1545" s="1"/>
      <c r="BG1545" s="1"/>
      <c r="BH1545" s="1"/>
      <c r="BI1545" s="1"/>
      <c r="BK1545" s="1"/>
      <c r="BL1545" s="1"/>
      <c r="BM1545" s="1"/>
      <c r="BN1545" s="1"/>
      <c r="BO1545" s="1"/>
      <c r="BP1545" s="1"/>
      <c r="BQ1545" s="1"/>
      <c r="BR1545" s="1"/>
      <c r="CD1545" s="1"/>
      <c r="CE1545" s="1"/>
      <c r="CF1545" s="1"/>
      <c r="CG1545" s="1"/>
      <c r="CM1545" s="2"/>
      <c r="CP1545" s="1"/>
      <c r="CQ1545" s="1"/>
      <c r="CR1545" s="1"/>
      <c r="CS1545" s="1"/>
      <c r="CT1545" s="1"/>
      <c r="CU1545" s="1"/>
      <c r="CV1545" s="1"/>
      <c r="CW1545" s="1"/>
      <c r="CX1545" s="1"/>
      <c r="CY1545" s="1"/>
      <c r="CZ1545" s="1"/>
      <c r="DA1545" s="1"/>
      <c r="DB1545" s="1"/>
      <c r="DC1545" s="1"/>
      <c r="DD1545" s="1"/>
      <c r="DE1545" s="1"/>
      <c r="DF1545" s="1"/>
      <c r="DG1545" s="1"/>
      <c r="DH1545" s="1"/>
      <c r="DI1545" s="1"/>
      <c r="DJ1545" s="1"/>
      <c r="DK1545" s="1"/>
      <c r="DM1545" s="1"/>
      <c r="DQ1545" s="1"/>
      <c r="DR1545" s="1"/>
      <c r="DY1545" s="1"/>
      <c r="DZ1545" s="1"/>
      <c r="ED1545" s="1"/>
      <c r="EK1545" s="1"/>
      <c r="EL1545" s="1"/>
      <c r="EM1545" s="1"/>
      <c r="EN1545" s="1"/>
      <c r="EQ1545" s="1"/>
      <c r="ER1545" s="1"/>
      <c r="ES1545" s="1"/>
      <c r="EV1545" s="1"/>
      <c r="EW1545" s="1"/>
      <c r="EZ1545" s="1"/>
      <c r="GO1545" s="1"/>
      <c r="GP1545" s="1"/>
      <c r="HH1545" s="1"/>
      <c r="HY1545" s="1"/>
      <c r="IE1545" s="1"/>
      <c r="IR1545" s="1"/>
      <c r="IS1545" s="1"/>
      <c r="IZ1545" s="1"/>
      <c r="JC1545" s="1"/>
      <c r="JF1545" s="1"/>
      <c r="JG1545" s="1"/>
      <c r="JH1545" s="1"/>
      <c r="JJ1545" s="1"/>
      <c r="JP1545" s="1"/>
      <c r="JQ1545" s="1"/>
      <c r="JT1545" s="1"/>
      <c r="KU1545" s="1"/>
      <c r="KY1545" s="1"/>
      <c r="KZ1545" s="1"/>
      <c r="LA1545" s="1"/>
      <c r="LB1545" s="1"/>
      <c r="LC1545" s="1"/>
      <c r="LD1545" s="1"/>
      <c r="LO1545" s="1"/>
      <c r="LP1545" s="1"/>
      <c r="LZ1545" s="1"/>
      <c r="MA1545" s="1"/>
    </row>
    <row r="1546" spans="4:339" ht="13" x14ac:dyDescent="0.15">
      <c r="D1546" s="12"/>
      <c r="E1546" s="12"/>
      <c r="I1546" s="12"/>
      <c r="J1546" s="13"/>
      <c r="BF1546" s="1"/>
      <c r="BG1546" s="1"/>
      <c r="BH1546" s="1"/>
      <c r="BI1546" s="1"/>
      <c r="BK1546" s="1"/>
      <c r="BL1546" s="1"/>
      <c r="BM1546" s="1"/>
      <c r="BN1546" s="1"/>
      <c r="BO1546" s="1"/>
      <c r="BP1546" s="1"/>
      <c r="BQ1546" s="1"/>
      <c r="BR1546" s="1"/>
      <c r="CD1546" s="1"/>
      <c r="CE1546" s="1"/>
      <c r="CF1546" s="1"/>
      <c r="CG1546" s="1"/>
      <c r="CM1546" s="2"/>
      <c r="CP1546" s="1"/>
      <c r="CQ1546" s="1"/>
      <c r="CR1546" s="1"/>
      <c r="CS1546" s="1"/>
      <c r="CT1546" s="1"/>
      <c r="CU1546" s="1"/>
      <c r="CV1546" s="1"/>
      <c r="CW1546" s="1"/>
      <c r="CX1546" s="1"/>
      <c r="CY1546" s="1"/>
      <c r="CZ1546" s="1"/>
      <c r="DA1546" s="1"/>
      <c r="DB1546" s="1"/>
      <c r="DC1546" s="1"/>
      <c r="DD1546" s="1"/>
      <c r="DE1546" s="1"/>
      <c r="DF1546" s="1"/>
      <c r="DG1546" s="1"/>
      <c r="DH1546" s="1"/>
      <c r="DI1546" s="1"/>
      <c r="DJ1546" s="1"/>
      <c r="DK1546" s="1"/>
      <c r="DM1546" s="1"/>
      <c r="DQ1546" s="1"/>
      <c r="DR1546" s="1"/>
      <c r="DY1546" s="1"/>
      <c r="DZ1546" s="1"/>
      <c r="ED1546" s="1"/>
      <c r="EK1546" s="1"/>
      <c r="EL1546" s="1"/>
      <c r="EM1546" s="1"/>
      <c r="EN1546" s="1"/>
      <c r="EQ1546" s="1"/>
      <c r="ER1546" s="1"/>
      <c r="ES1546" s="1"/>
      <c r="EV1546" s="1"/>
      <c r="EW1546" s="1"/>
      <c r="EZ1546" s="1"/>
      <c r="GO1546" s="1"/>
      <c r="GP1546" s="1"/>
      <c r="HH1546" s="1"/>
      <c r="HY1546" s="1"/>
      <c r="IE1546" s="1"/>
      <c r="IR1546" s="1"/>
      <c r="IS1546" s="1"/>
      <c r="IZ1546" s="1"/>
      <c r="JC1546" s="1"/>
      <c r="JF1546" s="1"/>
      <c r="JG1546" s="1"/>
      <c r="JH1546" s="1"/>
      <c r="JJ1546" s="1"/>
      <c r="JP1546" s="1"/>
      <c r="JQ1546" s="1"/>
      <c r="JT1546" s="1"/>
      <c r="KU1546" s="1"/>
      <c r="KY1546" s="1"/>
      <c r="KZ1546" s="1"/>
      <c r="LA1546" s="1"/>
      <c r="LB1546" s="1"/>
      <c r="LC1546" s="1"/>
      <c r="LD1546" s="1"/>
      <c r="LO1546" s="1"/>
      <c r="LP1546" s="1"/>
      <c r="LZ1546" s="1"/>
      <c r="MA1546" s="1"/>
    </row>
    <row r="1547" spans="4:339" ht="13" x14ac:dyDescent="0.15">
      <c r="D1547" s="12"/>
      <c r="E1547" s="12"/>
      <c r="I1547" s="12"/>
      <c r="J1547" s="13"/>
      <c r="BF1547" s="1"/>
      <c r="BG1547" s="1"/>
      <c r="BH1547" s="1"/>
      <c r="BI1547" s="1"/>
      <c r="BK1547" s="1"/>
      <c r="BL1547" s="1"/>
      <c r="BM1547" s="1"/>
      <c r="BN1547" s="1"/>
      <c r="BO1547" s="1"/>
      <c r="BP1547" s="1"/>
      <c r="BQ1547" s="1"/>
      <c r="BR1547" s="1"/>
      <c r="CD1547" s="1"/>
      <c r="CE1547" s="1"/>
      <c r="CF1547" s="1"/>
      <c r="CG1547" s="1"/>
      <c r="CM1547" s="2"/>
      <c r="CP1547" s="1"/>
      <c r="CQ1547" s="1"/>
      <c r="CR1547" s="1"/>
      <c r="CS1547" s="1"/>
      <c r="CT1547" s="1"/>
      <c r="CU1547" s="1"/>
      <c r="CV1547" s="1"/>
      <c r="CW1547" s="1"/>
      <c r="CX1547" s="1"/>
      <c r="CY1547" s="1"/>
      <c r="CZ1547" s="1"/>
      <c r="DA1547" s="1"/>
      <c r="DB1547" s="1"/>
      <c r="DC1547" s="1"/>
      <c r="DD1547" s="1"/>
      <c r="DE1547" s="1"/>
      <c r="DF1547" s="1"/>
      <c r="DG1547" s="1"/>
      <c r="DH1547" s="1"/>
      <c r="DI1547" s="1"/>
      <c r="DJ1547" s="1"/>
      <c r="DK1547" s="1"/>
      <c r="DM1547" s="1"/>
      <c r="DQ1547" s="1"/>
      <c r="DR1547" s="1"/>
      <c r="DY1547" s="1"/>
      <c r="DZ1547" s="1"/>
      <c r="ED1547" s="1"/>
      <c r="EK1547" s="1"/>
      <c r="EL1547" s="1"/>
      <c r="EM1547" s="1"/>
      <c r="EN1547" s="1"/>
      <c r="EQ1547" s="1"/>
      <c r="ER1547" s="1"/>
      <c r="ES1547" s="1"/>
      <c r="EV1547" s="1"/>
      <c r="EW1547" s="1"/>
      <c r="EZ1547" s="1"/>
      <c r="GO1547" s="1"/>
      <c r="GP1547" s="1"/>
      <c r="HH1547" s="1"/>
      <c r="HY1547" s="1"/>
      <c r="IE1547" s="1"/>
      <c r="IR1547" s="1"/>
      <c r="IS1547" s="1"/>
      <c r="IZ1547" s="1"/>
      <c r="JC1547" s="1"/>
      <c r="JF1547" s="1"/>
      <c r="JG1547" s="1"/>
      <c r="JH1547" s="1"/>
      <c r="JJ1547" s="1"/>
      <c r="JP1547" s="1"/>
      <c r="JQ1547" s="1"/>
      <c r="JT1547" s="1"/>
      <c r="KU1547" s="1"/>
      <c r="KY1547" s="1"/>
      <c r="KZ1547" s="1"/>
      <c r="LA1547" s="1"/>
      <c r="LB1547" s="1"/>
      <c r="LC1547" s="1"/>
      <c r="LD1547" s="1"/>
      <c r="LO1547" s="1"/>
      <c r="LP1547" s="1"/>
      <c r="LZ1547" s="1"/>
      <c r="MA1547" s="1"/>
    </row>
    <row r="1548" spans="4:339" ht="13" x14ac:dyDescent="0.15">
      <c r="D1548" s="12"/>
      <c r="E1548" s="12"/>
      <c r="I1548" s="12"/>
      <c r="J1548" s="13"/>
      <c r="BF1548" s="1"/>
      <c r="BG1548" s="1"/>
      <c r="BH1548" s="1"/>
      <c r="BI1548" s="1"/>
      <c r="BK1548" s="1"/>
      <c r="BL1548" s="1"/>
      <c r="BM1548" s="1"/>
      <c r="BN1548" s="1"/>
      <c r="BO1548" s="1"/>
      <c r="BP1548" s="1"/>
      <c r="BQ1548" s="1"/>
      <c r="BR1548" s="1"/>
      <c r="CD1548" s="1"/>
      <c r="CE1548" s="1"/>
      <c r="CF1548" s="1"/>
      <c r="CG1548" s="1"/>
      <c r="CM1548" s="2"/>
      <c r="CP1548" s="1"/>
      <c r="CQ1548" s="1"/>
      <c r="CR1548" s="1"/>
      <c r="CS1548" s="1"/>
      <c r="CT1548" s="1"/>
      <c r="CU1548" s="1"/>
      <c r="CV1548" s="1"/>
      <c r="CW1548" s="1"/>
      <c r="CX1548" s="1"/>
      <c r="CY1548" s="1"/>
      <c r="CZ1548" s="1"/>
      <c r="DA1548" s="1"/>
      <c r="DB1548" s="1"/>
      <c r="DC1548" s="1"/>
      <c r="DD1548" s="1"/>
      <c r="DE1548" s="1"/>
      <c r="DF1548" s="1"/>
      <c r="DG1548" s="1"/>
      <c r="DH1548" s="1"/>
      <c r="DI1548" s="1"/>
      <c r="DJ1548" s="1"/>
      <c r="DK1548" s="1"/>
      <c r="DM1548" s="1"/>
      <c r="DQ1548" s="1"/>
      <c r="DR1548" s="1"/>
      <c r="DY1548" s="1"/>
      <c r="DZ1548" s="1"/>
      <c r="ED1548" s="1"/>
      <c r="EK1548" s="1"/>
      <c r="EL1548" s="1"/>
      <c r="EM1548" s="1"/>
      <c r="EN1548" s="1"/>
      <c r="EQ1548" s="1"/>
      <c r="ER1548" s="1"/>
      <c r="ES1548" s="1"/>
      <c r="EV1548" s="1"/>
      <c r="EW1548" s="1"/>
      <c r="EZ1548" s="1"/>
      <c r="GO1548" s="1"/>
      <c r="GP1548" s="1"/>
      <c r="HH1548" s="1"/>
      <c r="HY1548" s="1"/>
      <c r="IE1548" s="1"/>
      <c r="IR1548" s="1"/>
      <c r="IS1548" s="1"/>
      <c r="IZ1548" s="1"/>
      <c r="JC1548" s="1"/>
      <c r="JF1548" s="1"/>
      <c r="JG1548" s="1"/>
      <c r="JH1548" s="1"/>
      <c r="JJ1548" s="1"/>
      <c r="JP1548" s="1"/>
      <c r="JQ1548" s="1"/>
      <c r="JT1548" s="1"/>
      <c r="KU1548" s="1"/>
      <c r="KY1548" s="1"/>
      <c r="KZ1548" s="1"/>
      <c r="LA1548" s="1"/>
      <c r="LB1548" s="1"/>
      <c r="LC1548" s="1"/>
      <c r="LD1548" s="1"/>
      <c r="LO1548" s="1"/>
      <c r="LP1548" s="1"/>
      <c r="LZ1548" s="1"/>
      <c r="MA1548" s="1"/>
    </row>
    <row r="1549" spans="4:339" ht="13" x14ac:dyDescent="0.15">
      <c r="D1549" s="12"/>
      <c r="E1549" s="12"/>
      <c r="I1549" s="12"/>
      <c r="J1549" s="13"/>
      <c r="BF1549" s="1"/>
      <c r="BG1549" s="1"/>
      <c r="BH1549" s="1"/>
      <c r="BI1549" s="1"/>
      <c r="BK1549" s="1"/>
      <c r="BL1549" s="1"/>
      <c r="BM1549" s="1"/>
      <c r="BN1549" s="1"/>
      <c r="BO1549" s="1"/>
      <c r="BP1549" s="1"/>
      <c r="BQ1549" s="1"/>
      <c r="BR1549" s="1"/>
      <c r="CC1549" s="1"/>
      <c r="CD1549" s="1"/>
      <c r="CE1549" s="1"/>
      <c r="CF1549" s="1"/>
      <c r="CG1549" s="1"/>
      <c r="CK1549" s="1"/>
      <c r="CM1549" s="2"/>
      <c r="CP1549" s="1"/>
      <c r="CQ1549" s="1"/>
      <c r="CR1549" s="1"/>
      <c r="CS1549" s="1"/>
      <c r="CT1549" s="1"/>
      <c r="CU1549" s="1"/>
      <c r="CV1549" s="1"/>
      <c r="CW1549" s="1"/>
      <c r="CX1549" s="1"/>
      <c r="CY1549" s="1"/>
      <c r="CZ1549" s="1"/>
      <c r="DA1549" s="1"/>
      <c r="DB1549" s="1"/>
      <c r="DC1549" s="1"/>
      <c r="DD1549" s="1"/>
      <c r="DE1549" s="1"/>
      <c r="DF1549" s="1"/>
      <c r="DG1549" s="1"/>
      <c r="DH1549" s="1"/>
      <c r="DI1549" s="1"/>
      <c r="DJ1549" s="1"/>
      <c r="DK1549" s="1"/>
      <c r="ED1549" s="1"/>
      <c r="EK1549" s="1"/>
      <c r="EL1549" s="1"/>
      <c r="EM1549" s="1"/>
      <c r="EN1549" s="1"/>
      <c r="EQ1549" s="1"/>
      <c r="ER1549" s="1"/>
      <c r="ES1549" s="1"/>
      <c r="EV1549" s="1"/>
      <c r="EW1549" s="1"/>
      <c r="EZ1549" s="1"/>
      <c r="GO1549" s="1"/>
      <c r="GP1549" s="1"/>
      <c r="HH1549" s="1"/>
      <c r="HY1549" s="1"/>
      <c r="IE1549" s="1"/>
      <c r="IR1549" s="1"/>
      <c r="IS1549" s="1"/>
      <c r="IZ1549" s="1"/>
      <c r="JC1549" s="1"/>
      <c r="JF1549" s="1"/>
      <c r="JG1549" s="1"/>
      <c r="JH1549" s="1"/>
      <c r="JJ1549" s="1"/>
      <c r="JP1549" s="1"/>
      <c r="JQ1549" s="1"/>
      <c r="JT1549" s="1"/>
      <c r="JW1549" s="1"/>
      <c r="KS1549" s="1"/>
      <c r="KT1549" s="1"/>
      <c r="KY1549" s="1"/>
      <c r="KZ1549" s="1"/>
      <c r="LA1549" s="1"/>
      <c r="LB1549" s="1"/>
      <c r="LC1549" s="1"/>
      <c r="LD1549" s="1"/>
      <c r="LN1549" s="1"/>
      <c r="LO1549" s="1"/>
      <c r="LP1549" s="1"/>
      <c r="LZ1549" s="1"/>
      <c r="MA1549" s="1"/>
    </row>
    <row r="1550" spans="4:339" ht="13" x14ac:dyDescent="0.15">
      <c r="D1550" s="12"/>
      <c r="E1550" s="12"/>
      <c r="I1550" s="12"/>
      <c r="J1550" s="13"/>
      <c r="BF1550" s="1"/>
      <c r="BG1550" s="1"/>
      <c r="BH1550" s="1"/>
      <c r="BI1550" s="1"/>
      <c r="BK1550" s="1"/>
      <c r="BL1550" s="1"/>
      <c r="BM1550" s="1"/>
      <c r="BN1550" s="1"/>
      <c r="BO1550" s="1"/>
      <c r="BP1550" s="1"/>
      <c r="BQ1550" s="1"/>
      <c r="BR1550" s="1"/>
      <c r="CD1550" s="1"/>
      <c r="CE1550" s="1"/>
      <c r="CF1550" s="1"/>
      <c r="CG1550" s="1"/>
      <c r="CM1550" s="2"/>
      <c r="CP1550" s="1"/>
      <c r="CQ1550" s="1"/>
      <c r="CR1550" s="1"/>
      <c r="CS1550" s="1"/>
      <c r="CT1550" s="1"/>
      <c r="CU1550" s="1"/>
      <c r="CV1550" s="1"/>
      <c r="CW1550" s="1"/>
      <c r="CX1550" s="1"/>
      <c r="CY1550" s="1"/>
      <c r="CZ1550" s="1"/>
      <c r="DA1550" s="1"/>
      <c r="DB1550" s="1"/>
      <c r="DC1550" s="1"/>
      <c r="DD1550" s="1"/>
      <c r="DE1550" s="1"/>
      <c r="DF1550" s="1"/>
      <c r="DG1550" s="1"/>
      <c r="DH1550" s="1"/>
      <c r="DI1550" s="1"/>
      <c r="DJ1550" s="1"/>
      <c r="DK1550" s="1"/>
      <c r="DQ1550" s="1"/>
      <c r="DR1550" s="1"/>
      <c r="DY1550" s="1"/>
      <c r="DZ1550" s="1"/>
      <c r="ED1550" s="1"/>
      <c r="EE1550" s="1"/>
      <c r="EF1550" s="1"/>
      <c r="EG1550" s="1"/>
      <c r="EH1550" s="1"/>
      <c r="EK1550" s="1"/>
      <c r="EL1550" s="1"/>
      <c r="EM1550" s="1"/>
      <c r="EN1550" s="1"/>
      <c r="EQ1550" s="1"/>
      <c r="ER1550" s="1"/>
      <c r="ES1550" s="1"/>
      <c r="EV1550" s="1"/>
      <c r="EW1550" s="1"/>
      <c r="EY1550" s="1"/>
      <c r="EZ1550" s="1"/>
      <c r="GO1550" s="1"/>
      <c r="GP1550" s="1"/>
      <c r="HY1550" s="1"/>
      <c r="IE1550" s="1"/>
      <c r="IG1550" s="1"/>
      <c r="IJ1550" s="1"/>
      <c r="IR1550" s="1"/>
      <c r="IS1550" s="1"/>
      <c r="IZ1550" s="1"/>
      <c r="JF1550" s="1"/>
      <c r="JG1550" s="1"/>
      <c r="JH1550" s="1"/>
      <c r="JJ1550" s="1"/>
      <c r="JK1550" s="1"/>
      <c r="JL1550" s="3"/>
      <c r="JM1550" s="1"/>
      <c r="JN1550" s="1"/>
      <c r="JP1550" s="1"/>
      <c r="JQ1550" s="1"/>
      <c r="JR1550" s="1"/>
      <c r="JT1550" s="1"/>
      <c r="KV1550" s="1"/>
      <c r="KY1550" s="1"/>
      <c r="KZ1550" s="1"/>
      <c r="LA1550" s="1"/>
      <c r="LB1550" s="1"/>
      <c r="LC1550" s="1"/>
      <c r="LD1550" s="1"/>
      <c r="LF1550" s="1"/>
      <c r="LO1550" s="1"/>
      <c r="LP1550" s="1"/>
      <c r="LZ1550" s="1"/>
      <c r="MA1550" s="1"/>
    </row>
    <row r="1551" spans="4:339" ht="13" x14ac:dyDescent="0.15">
      <c r="D1551" s="12"/>
      <c r="E1551" s="12"/>
      <c r="I1551" s="12"/>
      <c r="J1551" s="13"/>
      <c r="BF1551" s="1"/>
      <c r="BG1551" s="1"/>
      <c r="BH1551" s="1"/>
      <c r="BI1551" s="1"/>
      <c r="BK1551" s="1"/>
      <c r="BL1551" s="1"/>
      <c r="BM1551" s="1"/>
      <c r="BN1551" s="1"/>
      <c r="BO1551" s="1"/>
      <c r="BP1551" s="1"/>
      <c r="BQ1551" s="1"/>
      <c r="BR1551" s="1"/>
      <c r="CD1551" s="1"/>
      <c r="CE1551" s="1"/>
      <c r="CF1551" s="1"/>
      <c r="CG1551" s="1"/>
      <c r="CM1551" s="2"/>
      <c r="CP1551" s="1"/>
      <c r="CQ1551" s="1"/>
      <c r="CR1551" s="1"/>
      <c r="CS1551" s="1"/>
      <c r="CT1551" s="1"/>
      <c r="CU1551" s="1"/>
      <c r="CV1551" s="1"/>
      <c r="CW1551" s="1"/>
      <c r="CX1551" s="1"/>
      <c r="CY1551" s="1"/>
      <c r="CZ1551" s="1"/>
      <c r="DA1551" s="1"/>
      <c r="DB1551" s="1"/>
      <c r="DC1551" s="1"/>
      <c r="DD1551" s="1"/>
      <c r="DE1551" s="1"/>
      <c r="DF1551" s="1"/>
      <c r="DG1551" s="1"/>
      <c r="DH1551" s="1"/>
      <c r="DI1551" s="1"/>
      <c r="DJ1551" s="1"/>
      <c r="DK1551" s="1"/>
      <c r="DQ1551" s="1"/>
      <c r="DR1551" s="1"/>
      <c r="DY1551" s="1"/>
      <c r="DZ1551" s="1"/>
      <c r="ED1551" s="1"/>
      <c r="EE1551" s="1"/>
      <c r="EF1551" s="1"/>
      <c r="EG1551" s="1"/>
      <c r="EH1551" s="1"/>
      <c r="EK1551" s="1"/>
      <c r="EL1551" s="1"/>
      <c r="EM1551" s="1"/>
      <c r="EN1551" s="1"/>
      <c r="EQ1551" s="1"/>
      <c r="ER1551" s="1"/>
      <c r="ES1551" s="1"/>
      <c r="EV1551" s="1"/>
      <c r="EW1551" s="1"/>
      <c r="EY1551" s="1"/>
      <c r="EZ1551" s="1"/>
      <c r="GO1551" s="1"/>
      <c r="GP1551" s="1"/>
      <c r="HY1551" s="1"/>
      <c r="IE1551" s="1"/>
      <c r="IG1551" s="1"/>
      <c r="IJ1551" s="1"/>
      <c r="IR1551" s="1"/>
      <c r="IS1551" s="1"/>
      <c r="IZ1551" s="1"/>
      <c r="JF1551" s="1"/>
      <c r="JG1551" s="1"/>
      <c r="JH1551" s="1"/>
      <c r="JJ1551" s="1"/>
      <c r="JK1551" s="1"/>
      <c r="JL1551" s="3"/>
      <c r="JM1551" s="1"/>
      <c r="JN1551" s="1"/>
      <c r="JP1551" s="1"/>
      <c r="JQ1551" s="1"/>
      <c r="JR1551" s="1"/>
      <c r="JT1551" s="1"/>
      <c r="KV1551" s="1"/>
      <c r="KY1551" s="1"/>
      <c r="KZ1551" s="1"/>
      <c r="LA1551" s="1"/>
      <c r="LB1551" s="1"/>
      <c r="LC1551" s="1"/>
      <c r="LD1551" s="1"/>
      <c r="LF1551" s="1"/>
      <c r="LO1551" s="1"/>
      <c r="LP1551" s="1"/>
      <c r="LZ1551" s="1"/>
      <c r="MA1551" s="1"/>
    </row>
    <row r="1552" spans="4:339" ht="13" x14ac:dyDescent="0.15">
      <c r="D1552" s="12"/>
      <c r="E1552" s="12"/>
      <c r="I1552" s="12"/>
      <c r="J1552" s="13"/>
      <c r="BF1552" s="1"/>
      <c r="BG1552" s="1"/>
      <c r="BH1552" s="1"/>
      <c r="BI1552" s="1"/>
      <c r="BK1552" s="1"/>
      <c r="BL1552" s="1"/>
      <c r="BM1552" s="1"/>
      <c r="BN1552" s="1"/>
      <c r="BO1552" s="1"/>
      <c r="BP1552" s="1"/>
      <c r="BQ1552" s="1"/>
      <c r="BR1552" s="1"/>
      <c r="CD1552" s="1"/>
      <c r="CE1552" s="1"/>
      <c r="CF1552" s="1"/>
      <c r="CG1552" s="1"/>
      <c r="CM1552" s="2"/>
      <c r="CP1552" s="1"/>
      <c r="CQ1552" s="1"/>
      <c r="CR1552" s="1"/>
      <c r="CS1552" s="1"/>
      <c r="CT1552" s="1"/>
      <c r="CU1552" s="1"/>
      <c r="CV1552" s="1"/>
      <c r="CW1552" s="1"/>
      <c r="CX1552" s="1"/>
      <c r="CY1552" s="1"/>
      <c r="CZ1552" s="1"/>
      <c r="DA1552" s="1"/>
      <c r="DB1552" s="1"/>
      <c r="DC1552" s="1"/>
      <c r="DD1552" s="1"/>
      <c r="DE1552" s="1"/>
      <c r="DF1552" s="1"/>
      <c r="DG1552" s="1"/>
      <c r="DH1552" s="1"/>
      <c r="DI1552" s="1"/>
      <c r="DJ1552" s="1"/>
      <c r="DK1552" s="1"/>
      <c r="DQ1552" s="1"/>
      <c r="DR1552" s="1"/>
      <c r="DY1552" s="1"/>
      <c r="DZ1552" s="1"/>
      <c r="ED1552" s="1"/>
      <c r="EE1552" s="1"/>
      <c r="EF1552" s="1"/>
      <c r="EG1552" s="1"/>
      <c r="EH1552" s="1"/>
      <c r="EK1552" s="1"/>
      <c r="EL1552" s="1"/>
      <c r="EM1552" s="1"/>
      <c r="EN1552" s="1"/>
      <c r="EQ1552" s="1"/>
      <c r="ER1552" s="1"/>
      <c r="ES1552" s="1"/>
      <c r="EV1552" s="1"/>
      <c r="EW1552" s="1"/>
      <c r="EY1552" s="1"/>
      <c r="EZ1552" s="1"/>
      <c r="GO1552" s="1"/>
      <c r="GP1552" s="1"/>
      <c r="HY1552" s="1"/>
      <c r="IE1552" s="1"/>
      <c r="IG1552" s="1"/>
      <c r="IJ1552" s="1"/>
      <c r="IR1552" s="1"/>
      <c r="IS1552" s="1"/>
      <c r="IZ1552" s="1"/>
      <c r="JF1552" s="1"/>
      <c r="JG1552" s="1"/>
      <c r="JH1552" s="1"/>
      <c r="JJ1552" s="1"/>
      <c r="JK1552" s="1"/>
      <c r="JL1552" s="3"/>
      <c r="JM1552" s="1"/>
      <c r="JN1552" s="1"/>
      <c r="JP1552" s="1"/>
      <c r="JQ1552" s="1"/>
      <c r="JR1552" s="1"/>
      <c r="JT1552" s="1"/>
      <c r="KV1552" s="1"/>
      <c r="KY1552" s="1"/>
      <c r="KZ1552" s="1"/>
      <c r="LA1552" s="1"/>
      <c r="LB1552" s="1"/>
      <c r="LC1552" s="1"/>
      <c r="LD1552" s="1"/>
      <c r="LF1552" s="1"/>
      <c r="LO1552" s="1"/>
      <c r="LP1552" s="1"/>
      <c r="LZ1552" s="1"/>
      <c r="MA1552" s="1"/>
    </row>
    <row r="1553" spans="4:339" ht="13" x14ac:dyDescent="0.15">
      <c r="D1553" s="12"/>
      <c r="E1553" s="12"/>
      <c r="I1553" s="12"/>
      <c r="J1553" s="13"/>
      <c r="BF1553" s="1"/>
      <c r="BG1553" s="1"/>
      <c r="BH1553" s="1"/>
      <c r="BI1553" s="1"/>
      <c r="BJ1553" s="1"/>
      <c r="BK1553" s="1"/>
      <c r="BL1553" s="1"/>
      <c r="BM1553" s="1"/>
      <c r="BN1553" s="1"/>
      <c r="BO1553" s="1"/>
      <c r="BP1553" s="1"/>
      <c r="BQ1553" s="1"/>
      <c r="BR1553" s="1"/>
      <c r="CD1553" s="1"/>
      <c r="CE1553" s="1"/>
      <c r="CF1553" s="1"/>
      <c r="CG1553" s="1"/>
      <c r="CM1553" s="2"/>
      <c r="CP1553" s="1"/>
      <c r="CQ1553" s="1"/>
      <c r="CR1553" s="1"/>
      <c r="CS1553" s="1"/>
      <c r="CT1553" s="1"/>
      <c r="CU1553" s="1"/>
      <c r="CV1553" s="1"/>
      <c r="CW1553" s="1"/>
      <c r="CX1553" s="1"/>
      <c r="CY1553" s="1"/>
      <c r="CZ1553" s="1"/>
      <c r="DA1553" s="1"/>
      <c r="DB1553" s="1"/>
      <c r="DC1553" s="1"/>
      <c r="DD1553" s="1"/>
      <c r="DE1553" s="1"/>
      <c r="DF1553" s="1"/>
      <c r="DG1553" s="1"/>
      <c r="DH1553" s="1"/>
      <c r="DI1553" s="1"/>
      <c r="DJ1553" s="1"/>
      <c r="DK1553" s="1"/>
      <c r="ED1553" s="1"/>
      <c r="EE1553" s="1"/>
      <c r="EF1553" s="1"/>
      <c r="EG1553" s="1"/>
      <c r="EH1553" s="1"/>
      <c r="EK1553" s="1"/>
      <c r="EL1553" s="1"/>
      <c r="EM1553" s="1"/>
      <c r="EN1553" s="1"/>
      <c r="EQ1553" s="1"/>
      <c r="ER1553" s="1"/>
      <c r="ES1553" s="1"/>
      <c r="EV1553" s="1"/>
      <c r="EW1553" s="1"/>
      <c r="EY1553" s="1"/>
      <c r="EZ1553" s="1"/>
      <c r="GP1553" s="1"/>
      <c r="HH1553" s="1"/>
      <c r="HY1553" s="1"/>
      <c r="IE1553" s="1"/>
      <c r="IF1553" s="1"/>
      <c r="IG1553" s="1"/>
      <c r="IJ1553" s="1"/>
      <c r="IR1553" s="1"/>
      <c r="IS1553" s="1"/>
      <c r="IZ1553" s="1"/>
      <c r="JC1553" s="1"/>
      <c r="JF1553" s="1"/>
      <c r="JG1553" s="1"/>
      <c r="JH1553" s="1"/>
      <c r="JJ1553" s="1"/>
      <c r="JK1553" s="1"/>
      <c r="JL1553" s="3"/>
      <c r="JM1553" s="1"/>
      <c r="JP1553" s="1"/>
      <c r="JQ1553" s="1"/>
      <c r="JR1553" s="1"/>
      <c r="JT1553" s="1"/>
      <c r="KU1553" s="1"/>
      <c r="KV1553" s="1"/>
      <c r="KW1553" s="1"/>
      <c r="KY1553" s="1"/>
      <c r="KZ1553" s="1"/>
      <c r="LA1553" s="1"/>
      <c r="LB1553" s="1"/>
      <c r="LC1553" s="1"/>
      <c r="LD1553" s="1"/>
      <c r="LO1553" s="1"/>
      <c r="LP1553" s="1"/>
      <c r="LZ1553" s="1"/>
      <c r="MA1553" s="1"/>
    </row>
    <row r="1554" spans="4:339" ht="13" x14ac:dyDescent="0.15">
      <c r="D1554" s="12"/>
      <c r="E1554" s="12"/>
      <c r="I1554" s="12"/>
      <c r="J1554" s="13"/>
      <c r="BF1554" s="1"/>
      <c r="BG1554" s="1"/>
      <c r="BH1554" s="1"/>
      <c r="BI1554" s="1"/>
      <c r="BJ1554" s="1"/>
      <c r="BK1554" s="1"/>
      <c r="BL1554" s="1"/>
      <c r="BM1554" s="1"/>
      <c r="BN1554" s="1"/>
      <c r="BO1554" s="1"/>
      <c r="BP1554" s="1"/>
      <c r="BQ1554" s="1"/>
      <c r="BR1554" s="1"/>
      <c r="CD1554" s="1"/>
      <c r="CE1554" s="1"/>
      <c r="CF1554" s="1"/>
      <c r="CG1554" s="1"/>
      <c r="CM1554" s="2"/>
      <c r="CP1554" s="1"/>
      <c r="CQ1554" s="1"/>
      <c r="CR1554" s="1"/>
      <c r="CS1554" s="1"/>
      <c r="CT1554" s="1"/>
      <c r="CU1554" s="1"/>
      <c r="CV1554" s="1"/>
      <c r="CW1554" s="1"/>
      <c r="CX1554" s="1"/>
      <c r="CY1554" s="1"/>
      <c r="CZ1554" s="1"/>
      <c r="DA1554" s="1"/>
      <c r="DB1554" s="1"/>
      <c r="DC1554" s="1"/>
      <c r="DD1554" s="1"/>
      <c r="DE1554" s="1"/>
      <c r="DF1554" s="1"/>
      <c r="DG1554" s="1"/>
      <c r="DH1554" s="1"/>
      <c r="DI1554" s="1"/>
      <c r="DJ1554" s="1"/>
      <c r="DK1554" s="1"/>
      <c r="ED1554" s="1"/>
      <c r="EE1554" s="1"/>
      <c r="EF1554" s="1"/>
      <c r="EG1554" s="1"/>
      <c r="EH1554" s="1"/>
      <c r="EK1554" s="1"/>
      <c r="EL1554" s="1"/>
      <c r="EM1554" s="1"/>
      <c r="EN1554" s="1"/>
      <c r="EQ1554" s="1"/>
      <c r="ER1554" s="1"/>
      <c r="ES1554" s="1"/>
      <c r="EV1554" s="1"/>
      <c r="EW1554" s="1"/>
      <c r="EY1554" s="1"/>
      <c r="EZ1554" s="1"/>
      <c r="GP1554" s="1"/>
      <c r="HH1554" s="1"/>
      <c r="HY1554" s="1"/>
      <c r="IE1554" s="1"/>
      <c r="IF1554" s="1"/>
      <c r="IG1554" s="1"/>
      <c r="IJ1554" s="1"/>
      <c r="IR1554" s="1"/>
      <c r="IS1554" s="1"/>
      <c r="IZ1554" s="1"/>
      <c r="JC1554" s="1"/>
      <c r="JF1554" s="1"/>
      <c r="JG1554" s="1"/>
      <c r="JH1554" s="1"/>
      <c r="JJ1554" s="1"/>
      <c r="JK1554" s="1"/>
      <c r="JL1554" s="3"/>
      <c r="JM1554" s="1"/>
      <c r="JP1554" s="1"/>
      <c r="JQ1554" s="1"/>
      <c r="JR1554" s="1"/>
      <c r="JT1554" s="1"/>
      <c r="KU1554" s="1"/>
      <c r="KV1554" s="1"/>
      <c r="KW1554" s="1"/>
      <c r="KY1554" s="1"/>
      <c r="KZ1554" s="1"/>
      <c r="LA1554" s="1"/>
      <c r="LB1554" s="1"/>
      <c r="LC1554" s="1"/>
      <c r="LD1554" s="1"/>
      <c r="LO1554" s="1"/>
      <c r="LP1554" s="1"/>
      <c r="LZ1554" s="1"/>
      <c r="MA1554" s="1"/>
    </row>
    <row r="1555" spans="4:339" ht="13" x14ac:dyDescent="0.15">
      <c r="D1555" s="12"/>
      <c r="E1555" s="12"/>
      <c r="I1555" s="12"/>
      <c r="J1555" s="13"/>
      <c r="BF1555" s="1"/>
      <c r="BG1555" s="1"/>
      <c r="BH1555" s="1"/>
      <c r="BI1555" s="1"/>
      <c r="BJ1555" s="1"/>
      <c r="BK1555" s="1"/>
      <c r="BL1555" s="1"/>
      <c r="BM1555" s="1"/>
      <c r="BN1555" s="1"/>
      <c r="BO1555" s="1"/>
      <c r="BP1555" s="1"/>
      <c r="BQ1555" s="1"/>
      <c r="BR1555" s="1"/>
      <c r="CD1555" s="1"/>
      <c r="CE1555" s="1"/>
      <c r="CF1555" s="1"/>
      <c r="CG1555" s="1"/>
      <c r="CM1555" s="2"/>
      <c r="CP1555" s="1"/>
      <c r="CQ1555" s="1"/>
      <c r="CR1555" s="1"/>
      <c r="CS1555" s="1"/>
      <c r="CT1555" s="1"/>
      <c r="CU1555" s="1"/>
      <c r="CV1555" s="1"/>
      <c r="CW1555" s="1"/>
      <c r="CX1555" s="1"/>
      <c r="CY1555" s="1"/>
      <c r="CZ1555" s="1"/>
      <c r="DA1555" s="1"/>
      <c r="DB1555" s="1"/>
      <c r="DC1555" s="1"/>
      <c r="DD1555" s="1"/>
      <c r="DE1555" s="1"/>
      <c r="DF1555" s="1"/>
      <c r="DG1555" s="1"/>
      <c r="DH1555" s="1"/>
      <c r="DI1555" s="1"/>
      <c r="DJ1555" s="1"/>
      <c r="DK1555" s="1"/>
      <c r="ED1555" s="1"/>
      <c r="EE1555" s="1"/>
      <c r="EF1555" s="1"/>
      <c r="EG1555" s="1"/>
      <c r="EH1555" s="1"/>
      <c r="EK1555" s="1"/>
      <c r="EL1555" s="1"/>
      <c r="EM1555" s="1"/>
      <c r="EN1555" s="1"/>
      <c r="EQ1555" s="1"/>
      <c r="ER1555" s="1"/>
      <c r="ES1555" s="1"/>
      <c r="EV1555" s="1"/>
      <c r="EW1555" s="1"/>
      <c r="EY1555" s="1"/>
      <c r="EZ1555" s="1"/>
      <c r="GP1555" s="1"/>
      <c r="HH1555" s="1"/>
      <c r="HY1555" s="1"/>
      <c r="IE1555" s="1"/>
      <c r="IF1555" s="1"/>
      <c r="IG1555" s="1"/>
      <c r="IJ1555" s="1"/>
      <c r="IR1555" s="1"/>
      <c r="IS1555" s="1"/>
      <c r="IZ1555" s="1"/>
      <c r="JC1555" s="1"/>
      <c r="JF1555" s="1"/>
      <c r="JG1555" s="1"/>
      <c r="JH1555" s="1"/>
      <c r="JJ1555" s="1"/>
      <c r="JK1555" s="1"/>
      <c r="JL1555" s="3"/>
      <c r="JM1555" s="1"/>
      <c r="JP1555" s="1"/>
      <c r="JQ1555" s="1"/>
      <c r="JR1555" s="1"/>
      <c r="JT1555" s="1"/>
      <c r="KU1555" s="1"/>
      <c r="KV1555" s="1"/>
      <c r="KW1555" s="1"/>
      <c r="KY1555" s="1"/>
      <c r="KZ1555" s="1"/>
      <c r="LA1555" s="1"/>
      <c r="LB1555" s="1"/>
      <c r="LC1555" s="1"/>
      <c r="LD1555" s="1"/>
      <c r="LO1555" s="1"/>
      <c r="LP1555" s="1"/>
      <c r="LZ1555" s="1"/>
      <c r="MA1555" s="1"/>
    </row>
    <row r="1556" spans="4:339" ht="13" x14ac:dyDescent="0.15">
      <c r="D1556" s="12"/>
      <c r="E1556" s="12"/>
      <c r="I1556" s="12"/>
      <c r="J1556" s="13"/>
      <c r="BF1556" s="1"/>
      <c r="BG1556" s="1"/>
      <c r="BH1556" s="1"/>
      <c r="BI1556" s="1"/>
      <c r="BJ1556" s="1"/>
      <c r="BK1556" s="1"/>
      <c r="BL1556" s="1"/>
      <c r="BM1556" s="1"/>
      <c r="BN1556" s="1"/>
      <c r="BO1556" s="1"/>
      <c r="BP1556" s="1"/>
      <c r="BQ1556" s="1"/>
      <c r="BR1556" s="1"/>
      <c r="CD1556" s="1"/>
      <c r="CE1556" s="1"/>
      <c r="CF1556" s="1"/>
      <c r="CG1556" s="1"/>
      <c r="CM1556" s="2"/>
      <c r="CP1556" s="1"/>
      <c r="CQ1556" s="1"/>
      <c r="CR1556" s="1"/>
      <c r="CS1556" s="1"/>
      <c r="CT1556" s="1"/>
      <c r="CU1556" s="1"/>
      <c r="CV1556" s="1"/>
      <c r="CW1556" s="1"/>
      <c r="CX1556" s="1"/>
      <c r="CY1556" s="1"/>
      <c r="CZ1556" s="1"/>
      <c r="DA1556" s="1"/>
      <c r="DB1556" s="1"/>
      <c r="DC1556" s="1"/>
      <c r="DD1556" s="1"/>
      <c r="DE1556" s="1"/>
      <c r="DF1556" s="1"/>
      <c r="DG1556" s="1"/>
      <c r="DH1556" s="1"/>
      <c r="DI1556" s="1"/>
      <c r="DJ1556" s="1"/>
      <c r="DK1556" s="1"/>
      <c r="ED1556" s="1"/>
      <c r="EE1556" s="1"/>
      <c r="EF1556" s="1"/>
      <c r="EG1556" s="1"/>
      <c r="EH1556" s="1"/>
      <c r="EK1556" s="1"/>
      <c r="EL1556" s="1"/>
      <c r="EM1556" s="1"/>
      <c r="EN1556" s="1"/>
      <c r="EQ1556" s="1"/>
      <c r="ER1556" s="1"/>
      <c r="ES1556" s="1"/>
      <c r="EV1556" s="1"/>
      <c r="EW1556" s="1"/>
      <c r="EY1556" s="1"/>
      <c r="EZ1556" s="1"/>
      <c r="GP1556" s="1"/>
      <c r="HH1556" s="1"/>
      <c r="HY1556" s="1"/>
      <c r="IE1556" s="1"/>
      <c r="IF1556" s="1"/>
      <c r="IG1556" s="1"/>
      <c r="IJ1556" s="1"/>
      <c r="IR1556" s="1"/>
      <c r="IS1556" s="1"/>
      <c r="IZ1556" s="1"/>
      <c r="JC1556" s="1"/>
      <c r="JF1556" s="1"/>
      <c r="JG1556" s="1"/>
      <c r="JH1556" s="1"/>
      <c r="JJ1556" s="1"/>
      <c r="JK1556" s="1"/>
      <c r="JL1556" s="3"/>
      <c r="JM1556" s="1"/>
      <c r="JP1556" s="1"/>
      <c r="JQ1556" s="1"/>
      <c r="JR1556" s="1"/>
      <c r="JT1556" s="1"/>
      <c r="KU1556" s="1"/>
      <c r="KV1556" s="1"/>
      <c r="KW1556" s="1"/>
      <c r="KY1556" s="1"/>
      <c r="KZ1556" s="1"/>
      <c r="LA1556" s="1"/>
      <c r="LB1556" s="1"/>
      <c r="LC1556" s="1"/>
      <c r="LD1556" s="1"/>
      <c r="LO1556" s="1"/>
      <c r="LP1556" s="1"/>
      <c r="LZ1556" s="1"/>
      <c r="MA1556" s="1"/>
    </row>
    <row r="1557" spans="4:339" ht="13" x14ac:dyDescent="0.15">
      <c r="D1557" s="12"/>
      <c r="E1557" s="12"/>
      <c r="I1557" s="12"/>
      <c r="J1557" s="13"/>
      <c r="BF1557" s="1"/>
      <c r="BG1557" s="1"/>
      <c r="BH1557" s="1"/>
      <c r="BI1557" s="1"/>
      <c r="BJ1557" s="1"/>
      <c r="BK1557" s="1"/>
      <c r="BL1557" s="1"/>
      <c r="BM1557" s="1"/>
      <c r="BN1557" s="1"/>
      <c r="BO1557" s="1"/>
      <c r="BP1557" s="1"/>
      <c r="BQ1557" s="1"/>
      <c r="BR1557" s="1"/>
      <c r="CD1557" s="1"/>
      <c r="CE1557" s="1"/>
      <c r="CF1557" s="1"/>
      <c r="CG1557" s="1"/>
      <c r="CM1557" s="2"/>
      <c r="CP1557" s="1"/>
      <c r="CQ1557" s="1"/>
      <c r="CR1557" s="1"/>
      <c r="CS1557" s="1"/>
      <c r="CT1557" s="1"/>
      <c r="CU1557" s="1"/>
      <c r="CV1557" s="1"/>
      <c r="CW1557" s="1"/>
      <c r="CX1557" s="1"/>
      <c r="CY1557" s="1"/>
      <c r="CZ1557" s="1"/>
      <c r="DA1557" s="1"/>
      <c r="DB1557" s="1"/>
      <c r="DC1557" s="1"/>
      <c r="DD1557" s="1"/>
      <c r="DE1557" s="1"/>
      <c r="DF1557" s="1"/>
      <c r="DG1557" s="1"/>
      <c r="DH1557" s="1"/>
      <c r="DI1557" s="1"/>
      <c r="DJ1557" s="1"/>
      <c r="DK1557" s="1"/>
      <c r="ED1557" s="1"/>
      <c r="EE1557" s="1"/>
      <c r="EF1557" s="1"/>
      <c r="EG1557" s="1"/>
      <c r="EH1557" s="1"/>
      <c r="EK1557" s="1"/>
      <c r="EL1557" s="1"/>
      <c r="EM1557" s="1"/>
      <c r="EN1557" s="1"/>
      <c r="EQ1557" s="1"/>
      <c r="ER1557" s="1"/>
      <c r="ES1557" s="1"/>
      <c r="EV1557" s="1"/>
      <c r="EW1557" s="1"/>
      <c r="EY1557" s="1"/>
      <c r="EZ1557" s="1"/>
      <c r="GP1557" s="1"/>
      <c r="HH1557" s="1"/>
      <c r="HY1557" s="1"/>
      <c r="IE1557" s="1"/>
      <c r="IF1557" s="1"/>
      <c r="IG1557" s="1"/>
      <c r="IJ1557" s="1"/>
      <c r="IR1557" s="1"/>
      <c r="IS1557" s="1"/>
      <c r="IZ1557" s="1"/>
      <c r="JC1557" s="1"/>
      <c r="JF1557" s="1"/>
      <c r="JG1557" s="1"/>
      <c r="JH1557" s="1"/>
      <c r="JJ1557" s="1"/>
      <c r="JK1557" s="1"/>
      <c r="JL1557" s="3"/>
      <c r="JM1557" s="1"/>
      <c r="JP1557" s="1"/>
      <c r="JQ1557" s="1"/>
      <c r="JR1557" s="1"/>
      <c r="JT1557" s="1"/>
      <c r="KU1557" s="1"/>
      <c r="KV1557" s="1"/>
      <c r="KW1557" s="1"/>
      <c r="KY1557" s="1"/>
      <c r="KZ1557" s="1"/>
      <c r="LA1557" s="1"/>
      <c r="LB1557" s="1"/>
      <c r="LC1557" s="1"/>
      <c r="LD1557" s="1"/>
      <c r="LO1557" s="1"/>
      <c r="LP1557" s="1"/>
      <c r="LZ1557" s="1"/>
      <c r="MA1557" s="1"/>
    </row>
    <row r="1558" spans="4:339" ht="13" x14ac:dyDescent="0.15">
      <c r="D1558" s="12"/>
      <c r="E1558" s="12"/>
      <c r="I1558" s="12"/>
      <c r="J1558" s="13"/>
      <c r="BF1558" s="1"/>
      <c r="BG1558" s="1"/>
      <c r="BH1558" s="1"/>
      <c r="BI1558" s="1"/>
      <c r="BJ1558" s="1"/>
      <c r="BK1558" s="1"/>
      <c r="BL1558" s="1"/>
      <c r="BM1558" s="1"/>
      <c r="BN1558" s="1"/>
      <c r="BO1558" s="1"/>
      <c r="BP1558" s="1"/>
      <c r="BQ1558" s="1"/>
      <c r="BR1558" s="1"/>
      <c r="CD1558" s="1"/>
      <c r="CE1558" s="1"/>
      <c r="CF1558" s="1"/>
      <c r="CG1558" s="1"/>
      <c r="CM1558" s="2"/>
      <c r="CP1558" s="1"/>
      <c r="CQ1558" s="1"/>
      <c r="CR1558" s="1"/>
      <c r="CS1558" s="1"/>
      <c r="CT1558" s="1"/>
      <c r="CU1558" s="1"/>
      <c r="CV1558" s="1"/>
      <c r="CW1558" s="1"/>
      <c r="CX1558" s="1"/>
      <c r="CY1558" s="1"/>
      <c r="CZ1558" s="1"/>
      <c r="DA1558" s="1"/>
      <c r="DB1558" s="1"/>
      <c r="DC1558" s="1"/>
      <c r="DD1558" s="1"/>
      <c r="DE1558" s="1"/>
      <c r="DF1558" s="1"/>
      <c r="DG1558" s="1"/>
      <c r="DH1558" s="1"/>
      <c r="DI1558" s="1"/>
      <c r="DJ1558" s="1"/>
      <c r="DK1558" s="1"/>
      <c r="ED1558" s="1"/>
      <c r="EE1558" s="1"/>
      <c r="EF1558" s="1"/>
      <c r="EG1558" s="1"/>
      <c r="EH1558" s="1"/>
      <c r="EK1558" s="1"/>
      <c r="EL1558" s="1"/>
      <c r="EM1558" s="1"/>
      <c r="EN1558" s="1"/>
      <c r="EQ1558" s="1"/>
      <c r="ER1558" s="1"/>
      <c r="ES1558" s="1"/>
      <c r="EV1558" s="1"/>
      <c r="EW1558" s="1"/>
      <c r="EY1558" s="1"/>
      <c r="EZ1558" s="1"/>
      <c r="GP1558" s="1"/>
      <c r="HH1558" s="1"/>
      <c r="HY1558" s="1"/>
      <c r="IE1558" s="1"/>
      <c r="IF1558" s="1"/>
      <c r="IG1558" s="1"/>
      <c r="IJ1558" s="1"/>
      <c r="IR1558" s="1"/>
      <c r="IS1558" s="1"/>
      <c r="IZ1558" s="1"/>
      <c r="JC1558" s="1"/>
      <c r="JF1558" s="1"/>
      <c r="JG1558" s="1"/>
      <c r="JH1558" s="1"/>
      <c r="JJ1558" s="1"/>
      <c r="JK1558" s="1"/>
      <c r="JL1558" s="3"/>
      <c r="JM1558" s="1"/>
      <c r="JP1558" s="1"/>
      <c r="JQ1558" s="1"/>
      <c r="JR1558" s="1"/>
      <c r="JT1558" s="1"/>
      <c r="KU1558" s="1"/>
      <c r="KV1558" s="1"/>
      <c r="KW1558" s="1"/>
      <c r="KY1558" s="1"/>
      <c r="KZ1558" s="1"/>
      <c r="LA1558" s="1"/>
      <c r="LB1558" s="1"/>
      <c r="LC1558" s="1"/>
      <c r="LD1558" s="1"/>
      <c r="LO1558" s="1"/>
      <c r="LP1558" s="1"/>
      <c r="LZ1558" s="1"/>
      <c r="MA1558" s="1"/>
    </row>
    <row r="1559" spans="4:339" ht="13" x14ac:dyDescent="0.15">
      <c r="D1559" s="12"/>
      <c r="E1559" s="12"/>
      <c r="I1559" s="12"/>
      <c r="J1559" s="13"/>
      <c r="BF1559" s="1"/>
      <c r="BG1559" s="1"/>
      <c r="BH1559" s="1"/>
      <c r="BI1559" s="1"/>
      <c r="BJ1559" s="1"/>
      <c r="BK1559" s="1"/>
      <c r="BL1559" s="1"/>
      <c r="BM1559" s="1"/>
      <c r="BN1559" s="1"/>
      <c r="BO1559" s="1"/>
      <c r="BP1559" s="1"/>
      <c r="BQ1559" s="1"/>
      <c r="BR1559" s="1"/>
      <c r="CD1559" s="1"/>
      <c r="CE1559" s="1"/>
      <c r="CF1559" s="1"/>
      <c r="CG1559" s="1"/>
      <c r="CM1559" s="2"/>
      <c r="CP1559" s="1"/>
      <c r="CQ1559" s="1"/>
      <c r="CR1559" s="1"/>
      <c r="CS1559" s="1"/>
      <c r="CT1559" s="1"/>
      <c r="CU1559" s="1"/>
      <c r="CV1559" s="1"/>
      <c r="CW1559" s="1"/>
      <c r="CX1559" s="1"/>
      <c r="CY1559" s="1"/>
      <c r="CZ1559" s="1"/>
      <c r="DA1559" s="1"/>
      <c r="DB1559" s="1"/>
      <c r="DC1559" s="1"/>
      <c r="DD1559" s="1"/>
      <c r="DE1559" s="1"/>
      <c r="DF1559" s="1"/>
      <c r="DG1559" s="1"/>
      <c r="DH1559" s="1"/>
      <c r="DI1559" s="1"/>
      <c r="DJ1559" s="1"/>
      <c r="DK1559" s="1"/>
      <c r="ED1559" s="1"/>
      <c r="EE1559" s="1"/>
      <c r="EF1559" s="1"/>
      <c r="EG1559" s="1"/>
      <c r="EH1559" s="1"/>
      <c r="EK1559" s="1"/>
      <c r="EL1559" s="1"/>
      <c r="EM1559" s="1"/>
      <c r="EN1559" s="1"/>
      <c r="EQ1559" s="1"/>
      <c r="ER1559" s="1"/>
      <c r="ES1559" s="1"/>
      <c r="EV1559" s="1"/>
      <c r="EW1559" s="1"/>
      <c r="EY1559" s="1"/>
      <c r="EZ1559" s="1"/>
      <c r="GP1559" s="1"/>
      <c r="HH1559" s="1"/>
      <c r="HY1559" s="1"/>
      <c r="IE1559" s="1"/>
      <c r="IF1559" s="1"/>
      <c r="IG1559" s="1"/>
      <c r="IJ1559" s="1"/>
      <c r="IR1559" s="1"/>
      <c r="IS1559" s="1"/>
      <c r="IZ1559" s="1"/>
      <c r="JC1559" s="1"/>
      <c r="JF1559" s="1"/>
      <c r="JG1559" s="1"/>
      <c r="JH1559" s="1"/>
      <c r="JJ1559" s="1"/>
      <c r="JK1559" s="1"/>
      <c r="JL1559" s="3"/>
      <c r="JM1559" s="1"/>
      <c r="JP1559" s="1"/>
      <c r="JQ1559" s="1"/>
      <c r="JR1559" s="1"/>
      <c r="JT1559" s="1"/>
      <c r="KU1559" s="1"/>
      <c r="KV1559" s="1"/>
      <c r="KW1559" s="1"/>
      <c r="KY1559" s="1"/>
      <c r="KZ1559" s="1"/>
      <c r="LA1559" s="1"/>
      <c r="LB1559" s="1"/>
      <c r="LC1559" s="1"/>
      <c r="LD1559" s="1"/>
      <c r="LO1559" s="1"/>
      <c r="LP1559" s="1"/>
      <c r="LZ1559" s="1"/>
      <c r="MA1559" s="1"/>
    </row>
    <row r="1560" spans="4:339" ht="13" x14ac:dyDescent="0.15">
      <c r="D1560" s="12"/>
      <c r="E1560" s="12"/>
      <c r="I1560" s="12"/>
      <c r="J1560" s="13"/>
      <c r="BF1560" s="1"/>
      <c r="BG1560" s="1"/>
      <c r="BH1560" s="1"/>
      <c r="BI1560" s="1"/>
      <c r="BJ1560" s="1"/>
      <c r="BK1560" s="1"/>
      <c r="BL1560" s="1"/>
      <c r="BM1560" s="1"/>
      <c r="BN1560" s="1"/>
      <c r="BO1560" s="1"/>
      <c r="BP1560" s="1"/>
      <c r="BQ1560" s="1"/>
      <c r="BR1560" s="1"/>
      <c r="CD1560" s="1"/>
      <c r="CE1560" s="1"/>
      <c r="CF1560" s="1"/>
      <c r="CG1560" s="1"/>
      <c r="CM1560" s="2"/>
      <c r="CP1560" s="1"/>
      <c r="CQ1560" s="1"/>
      <c r="CR1560" s="1"/>
      <c r="CS1560" s="1"/>
      <c r="CT1560" s="1"/>
      <c r="CU1560" s="1"/>
      <c r="CV1560" s="1"/>
      <c r="CW1560" s="1"/>
      <c r="CX1560" s="1"/>
      <c r="CY1560" s="1"/>
      <c r="CZ1560" s="1"/>
      <c r="DA1560" s="1"/>
      <c r="DB1560" s="1"/>
      <c r="DC1560" s="1"/>
      <c r="DD1560" s="1"/>
      <c r="DE1560" s="1"/>
      <c r="DF1560" s="1"/>
      <c r="DG1560" s="1"/>
      <c r="DH1560" s="1"/>
      <c r="DI1560" s="1"/>
      <c r="DJ1560" s="1"/>
      <c r="DK1560" s="1"/>
      <c r="ED1560" s="1"/>
      <c r="EE1560" s="1"/>
      <c r="EF1560" s="1"/>
      <c r="EG1560" s="1"/>
      <c r="EH1560" s="1"/>
      <c r="EK1560" s="1"/>
      <c r="EL1560" s="1"/>
      <c r="EM1560" s="1"/>
      <c r="EN1560" s="1"/>
      <c r="EQ1560" s="1"/>
      <c r="ER1560" s="1"/>
      <c r="ES1560" s="1"/>
      <c r="EV1560" s="1"/>
      <c r="EW1560" s="1"/>
      <c r="EY1560" s="1"/>
      <c r="EZ1560" s="1"/>
      <c r="GP1560" s="1"/>
      <c r="HH1560" s="1"/>
      <c r="HY1560" s="1"/>
      <c r="IE1560" s="1"/>
      <c r="IF1560" s="1"/>
      <c r="IG1560" s="1"/>
      <c r="IJ1560" s="1"/>
      <c r="IR1560" s="1"/>
      <c r="IS1560" s="1"/>
      <c r="IZ1560" s="1"/>
      <c r="JC1560" s="1"/>
      <c r="JF1560" s="1"/>
      <c r="JG1560" s="1"/>
      <c r="JH1560" s="1"/>
      <c r="JJ1560" s="1"/>
      <c r="JK1560" s="1"/>
      <c r="JL1560" s="3"/>
      <c r="JM1560" s="1"/>
      <c r="JP1560" s="1"/>
      <c r="JQ1560" s="1"/>
      <c r="JR1560" s="1"/>
      <c r="JT1560" s="1"/>
      <c r="KU1560" s="1"/>
      <c r="KV1560" s="1"/>
      <c r="KW1560" s="1"/>
      <c r="KY1560" s="1"/>
      <c r="KZ1560" s="1"/>
      <c r="LA1560" s="1"/>
      <c r="LB1560" s="1"/>
      <c r="LC1560" s="1"/>
      <c r="LD1560" s="1"/>
      <c r="LO1560" s="1"/>
      <c r="LP1560" s="1"/>
      <c r="LZ1560" s="1"/>
      <c r="MA1560" s="1"/>
    </row>
    <row r="1561" spans="4:339" ht="13" x14ac:dyDescent="0.15">
      <c r="D1561" s="12"/>
      <c r="E1561" s="12"/>
      <c r="I1561" s="12"/>
      <c r="J1561" s="13"/>
      <c r="BF1561" s="1"/>
      <c r="BG1561" s="1"/>
      <c r="BH1561" s="1"/>
      <c r="BI1561" s="1"/>
      <c r="BJ1561" s="1"/>
      <c r="BK1561" s="1"/>
      <c r="BL1561" s="1"/>
      <c r="BM1561" s="1"/>
      <c r="BN1561" s="1"/>
      <c r="BO1561" s="1"/>
      <c r="BP1561" s="1"/>
      <c r="BQ1561" s="1"/>
      <c r="BR1561" s="1"/>
      <c r="CD1561" s="1"/>
      <c r="CE1561" s="1"/>
      <c r="CF1561" s="1"/>
      <c r="CG1561" s="1"/>
      <c r="CM1561" s="2"/>
      <c r="CP1561" s="1"/>
      <c r="CQ1561" s="1"/>
      <c r="CR1561" s="1"/>
      <c r="CS1561" s="1"/>
      <c r="CT1561" s="1"/>
      <c r="CU1561" s="1"/>
      <c r="CV1561" s="1"/>
      <c r="CW1561" s="1"/>
      <c r="CX1561" s="1"/>
      <c r="CY1561" s="1"/>
      <c r="CZ1561" s="1"/>
      <c r="DA1561" s="1"/>
      <c r="DB1561" s="1"/>
      <c r="DC1561" s="1"/>
      <c r="DD1561" s="1"/>
      <c r="DE1561" s="1"/>
      <c r="DF1561" s="1"/>
      <c r="DG1561" s="1"/>
      <c r="DH1561" s="1"/>
      <c r="DI1561" s="1"/>
      <c r="DJ1561" s="1"/>
      <c r="DK1561" s="1"/>
      <c r="ED1561" s="1"/>
      <c r="EE1561" s="1"/>
      <c r="EF1561" s="1"/>
      <c r="EG1561" s="1"/>
      <c r="EH1561" s="1"/>
      <c r="EK1561" s="1"/>
      <c r="EL1561" s="1"/>
      <c r="EM1561" s="1"/>
      <c r="EN1561" s="1"/>
      <c r="EQ1561" s="1"/>
      <c r="ER1561" s="1"/>
      <c r="ES1561" s="1"/>
      <c r="EV1561" s="1"/>
      <c r="EW1561" s="1"/>
      <c r="EY1561" s="1"/>
      <c r="EZ1561" s="1"/>
      <c r="GP1561" s="1"/>
      <c r="HH1561" s="1"/>
      <c r="HY1561" s="1"/>
      <c r="IE1561" s="1"/>
      <c r="IF1561" s="1"/>
      <c r="IG1561" s="1"/>
      <c r="IJ1561" s="1"/>
      <c r="IR1561" s="1"/>
      <c r="IS1561" s="1"/>
      <c r="IZ1561" s="1"/>
      <c r="JC1561" s="1"/>
      <c r="JF1561" s="1"/>
      <c r="JG1561" s="1"/>
      <c r="JH1561" s="1"/>
      <c r="JJ1561" s="1"/>
      <c r="JK1561" s="1"/>
      <c r="JL1561" s="3"/>
      <c r="JM1561" s="1"/>
      <c r="JP1561" s="1"/>
      <c r="JQ1561" s="1"/>
      <c r="JR1561" s="1"/>
      <c r="JT1561" s="1"/>
      <c r="KU1561" s="1"/>
      <c r="KV1561" s="1"/>
      <c r="KW1561" s="1"/>
      <c r="KY1561" s="1"/>
      <c r="KZ1561" s="1"/>
      <c r="LA1561" s="1"/>
      <c r="LB1561" s="1"/>
      <c r="LC1561" s="1"/>
      <c r="LD1561" s="1"/>
      <c r="LO1561" s="1"/>
      <c r="LP1561" s="1"/>
      <c r="LZ1561" s="1"/>
      <c r="MA1561" s="1"/>
    </row>
    <row r="1562" spans="4:339" ht="13" x14ac:dyDescent="0.15">
      <c r="D1562" s="12"/>
      <c r="E1562" s="12"/>
      <c r="I1562" s="12"/>
      <c r="J1562" s="13"/>
      <c r="BF1562" s="1"/>
      <c r="BG1562" s="1"/>
      <c r="BH1562" s="1"/>
      <c r="BI1562" s="1"/>
      <c r="BJ1562" s="1"/>
      <c r="BK1562" s="1"/>
      <c r="BL1562" s="1"/>
      <c r="BM1562" s="1"/>
      <c r="BN1562" s="1"/>
      <c r="BO1562" s="1"/>
      <c r="BP1562" s="1"/>
      <c r="BQ1562" s="1"/>
      <c r="BR1562" s="1"/>
      <c r="CD1562" s="1"/>
      <c r="CE1562" s="1"/>
      <c r="CF1562" s="1"/>
      <c r="CG1562" s="1"/>
      <c r="CM1562" s="2"/>
      <c r="CP1562" s="1"/>
      <c r="CQ1562" s="1"/>
      <c r="CR1562" s="1"/>
      <c r="CS1562" s="1"/>
      <c r="CT1562" s="1"/>
      <c r="CU1562" s="1"/>
      <c r="CV1562" s="1"/>
      <c r="CW1562" s="1"/>
      <c r="CX1562" s="1"/>
      <c r="CY1562" s="1"/>
      <c r="CZ1562" s="1"/>
      <c r="DA1562" s="1"/>
      <c r="DB1562" s="1"/>
      <c r="DC1562" s="1"/>
      <c r="DD1562" s="1"/>
      <c r="DE1562" s="1"/>
      <c r="DF1562" s="1"/>
      <c r="DG1562" s="1"/>
      <c r="DH1562" s="1"/>
      <c r="DI1562" s="1"/>
      <c r="DJ1562" s="1"/>
      <c r="DK1562" s="1"/>
      <c r="ED1562" s="1"/>
      <c r="EE1562" s="1"/>
      <c r="EF1562" s="1"/>
      <c r="EG1562" s="1"/>
      <c r="EH1562" s="1"/>
      <c r="EK1562" s="1"/>
      <c r="EL1562" s="1"/>
      <c r="EM1562" s="1"/>
      <c r="EN1562" s="1"/>
      <c r="EQ1562" s="1"/>
      <c r="ER1562" s="1"/>
      <c r="ES1562" s="1"/>
      <c r="EV1562" s="1"/>
      <c r="EW1562" s="1"/>
      <c r="EY1562" s="1"/>
      <c r="EZ1562" s="1"/>
      <c r="GP1562" s="1"/>
      <c r="HH1562" s="1"/>
      <c r="HY1562" s="1"/>
      <c r="IE1562" s="1"/>
      <c r="IF1562" s="1"/>
      <c r="IG1562" s="1"/>
      <c r="IJ1562" s="1"/>
      <c r="IR1562" s="1"/>
      <c r="IS1562" s="1"/>
      <c r="IZ1562" s="1"/>
      <c r="JC1562" s="1"/>
      <c r="JF1562" s="1"/>
      <c r="JG1562" s="1"/>
      <c r="JH1562" s="1"/>
      <c r="JJ1562" s="1"/>
      <c r="JK1562" s="1"/>
      <c r="JL1562" s="3"/>
      <c r="JM1562" s="1"/>
      <c r="JP1562" s="1"/>
      <c r="JQ1562" s="1"/>
      <c r="JR1562" s="1"/>
      <c r="JT1562" s="1"/>
      <c r="KU1562" s="1"/>
      <c r="KV1562" s="1"/>
      <c r="KW1562" s="1"/>
      <c r="KY1562" s="1"/>
      <c r="KZ1562" s="1"/>
      <c r="LA1562" s="1"/>
      <c r="LB1562" s="1"/>
      <c r="LC1562" s="1"/>
      <c r="LD1562" s="1"/>
      <c r="LO1562" s="1"/>
      <c r="LP1562" s="1"/>
      <c r="LZ1562" s="1"/>
      <c r="MA1562" s="1"/>
    </row>
    <row r="1563" spans="4:339" ht="13" x14ac:dyDescent="0.15">
      <c r="D1563" s="12"/>
      <c r="E1563" s="12"/>
      <c r="I1563" s="12"/>
      <c r="J1563" s="13"/>
      <c r="BF1563" s="1"/>
      <c r="BG1563" s="1"/>
      <c r="BH1563" s="1"/>
      <c r="BI1563" s="1"/>
      <c r="BJ1563" s="1"/>
      <c r="BK1563" s="1"/>
      <c r="BL1563" s="1"/>
      <c r="BM1563" s="1"/>
      <c r="BN1563" s="1"/>
      <c r="BO1563" s="1"/>
      <c r="BP1563" s="1"/>
      <c r="BQ1563" s="1"/>
      <c r="BR1563" s="1"/>
      <c r="CD1563" s="1"/>
      <c r="CE1563" s="1"/>
      <c r="CF1563" s="1"/>
      <c r="CG1563" s="1"/>
      <c r="CM1563" s="2"/>
      <c r="CP1563" s="1"/>
      <c r="CQ1563" s="1"/>
      <c r="CR1563" s="1"/>
      <c r="CS1563" s="1"/>
      <c r="CT1563" s="1"/>
      <c r="CU1563" s="1"/>
      <c r="CV1563" s="1"/>
      <c r="CW1563" s="1"/>
      <c r="CX1563" s="1"/>
      <c r="CY1563" s="1"/>
      <c r="CZ1563" s="1"/>
      <c r="DA1563" s="1"/>
      <c r="DB1563" s="1"/>
      <c r="DC1563" s="1"/>
      <c r="DD1563" s="1"/>
      <c r="DE1563" s="1"/>
      <c r="DF1563" s="1"/>
      <c r="DG1563" s="1"/>
      <c r="DH1563" s="1"/>
      <c r="DI1563" s="1"/>
      <c r="DJ1563" s="1"/>
      <c r="DK1563" s="1"/>
      <c r="ED1563" s="1"/>
      <c r="EE1563" s="1"/>
      <c r="EF1563" s="1"/>
      <c r="EG1563" s="1"/>
      <c r="EH1563" s="1"/>
      <c r="EK1563" s="1"/>
      <c r="EL1563" s="1"/>
      <c r="EM1563" s="1"/>
      <c r="EN1563" s="1"/>
      <c r="EQ1563" s="1"/>
      <c r="ER1563" s="1"/>
      <c r="ES1563" s="1"/>
      <c r="EV1563" s="1"/>
      <c r="EW1563" s="1"/>
      <c r="EY1563" s="1"/>
      <c r="EZ1563" s="1"/>
      <c r="GP1563" s="1"/>
      <c r="HH1563" s="1"/>
      <c r="HY1563" s="1"/>
      <c r="IE1563" s="1"/>
      <c r="IF1563" s="1"/>
      <c r="IG1563" s="1"/>
      <c r="IJ1563" s="1"/>
      <c r="IR1563" s="1"/>
      <c r="IS1563" s="1"/>
      <c r="IZ1563" s="1"/>
      <c r="JC1563" s="1"/>
      <c r="JF1563" s="1"/>
      <c r="JG1563" s="1"/>
      <c r="JH1563" s="1"/>
      <c r="JJ1563" s="1"/>
      <c r="JK1563" s="1"/>
      <c r="JL1563" s="3"/>
      <c r="JM1563" s="1"/>
      <c r="JP1563" s="1"/>
      <c r="JQ1563" s="1"/>
      <c r="JR1563" s="1"/>
      <c r="JT1563" s="1"/>
      <c r="KU1563" s="1"/>
      <c r="KV1563" s="1"/>
      <c r="KW1563" s="1"/>
      <c r="KY1563" s="1"/>
      <c r="KZ1563" s="1"/>
      <c r="LA1563" s="1"/>
      <c r="LB1563" s="1"/>
      <c r="LC1563" s="1"/>
      <c r="LD1563" s="1"/>
      <c r="LO1563" s="1"/>
      <c r="LP1563" s="1"/>
      <c r="LZ1563" s="1"/>
      <c r="MA1563" s="1"/>
    </row>
    <row r="1564" spans="4:339" ht="13" x14ac:dyDescent="0.15">
      <c r="D1564" s="12"/>
      <c r="E1564" s="12"/>
      <c r="I1564" s="12"/>
      <c r="J1564" s="13"/>
      <c r="BF1564" s="1"/>
      <c r="BG1564" s="1"/>
      <c r="BH1564" s="1"/>
      <c r="BI1564" s="1"/>
      <c r="BJ1564" s="1"/>
      <c r="BK1564" s="1"/>
      <c r="BL1564" s="1"/>
      <c r="BM1564" s="1"/>
      <c r="BN1564" s="1"/>
      <c r="BO1564" s="1"/>
      <c r="BP1564" s="1"/>
      <c r="BQ1564" s="1"/>
      <c r="BR1564" s="1"/>
      <c r="CD1564" s="1"/>
      <c r="CE1564" s="1"/>
      <c r="CF1564" s="1"/>
      <c r="CG1564" s="1"/>
      <c r="CM1564" s="2"/>
      <c r="CP1564" s="1"/>
      <c r="CQ1564" s="1"/>
      <c r="CR1564" s="1"/>
      <c r="CS1564" s="1"/>
      <c r="CT1564" s="1"/>
      <c r="CU1564" s="1"/>
      <c r="CV1564" s="1"/>
      <c r="CW1564" s="1"/>
      <c r="CX1564" s="1"/>
      <c r="CY1564" s="1"/>
      <c r="CZ1564" s="1"/>
      <c r="DA1564" s="1"/>
      <c r="DB1564" s="1"/>
      <c r="DC1564" s="1"/>
      <c r="DD1564" s="1"/>
      <c r="DE1564" s="1"/>
      <c r="DF1564" s="1"/>
      <c r="DG1564" s="1"/>
      <c r="DH1564" s="1"/>
      <c r="DI1564" s="1"/>
      <c r="DJ1564" s="1"/>
      <c r="DK1564" s="1"/>
      <c r="ED1564" s="1"/>
      <c r="EE1564" s="1"/>
      <c r="EF1564" s="1"/>
      <c r="EG1564" s="1"/>
      <c r="EH1564" s="1"/>
      <c r="EK1564" s="1"/>
      <c r="EL1564" s="1"/>
      <c r="EM1564" s="1"/>
      <c r="EN1564" s="1"/>
      <c r="EQ1564" s="1"/>
      <c r="ER1564" s="1"/>
      <c r="ES1564" s="1"/>
      <c r="EV1564" s="1"/>
      <c r="EW1564" s="1"/>
      <c r="EY1564" s="1"/>
      <c r="EZ1564" s="1"/>
      <c r="GP1564" s="1"/>
      <c r="HH1564" s="1"/>
      <c r="HY1564" s="1"/>
      <c r="IE1564" s="1"/>
      <c r="IF1564" s="1"/>
      <c r="IG1564" s="1"/>
      <c r="IJ1564" s="1"/>
      <c r="IR1564" s="1"/>
      <c r="IS1564" s="1"/>
      <c r="IZ1564" s="1"/>
      <c r="JC1564" s="1"/>
      <c r="JF1564" s="1"/>
      <c r="JG1564" s="1"/>
      <c r="JH1564" s="1"/>
      <c r="JJ1564" s="1"/>
      <c r="JK1564" s="1"/>
      <c r="JL1564" s="3"/>
      <c r="JM1564" s="1"/>
      <c r="JP1564" s="1"/>
      <c r="JQ1564" s="1"/>
      <c r="JR1564" s="1"/>
      <c r="JT1564" s="1"/>
      <c r="KU1564" s="1"/>
      <c r="KV1564" s="1"/>
      <c r="KW1564" s="1"/>
      <c r="KY1564" s="1"/>
      <c r="KZ1564" s="1"/>
      <c r="LA1564" s="1"/>
      <c r="LB1564" s="1"/>
      <c r="LC1564" s="1"/>
      <c r="LD1564" s="1"/>
      <c r="LO1564" s="1"/>
      <c r="LP1564" s="1"/>
      <c r="LZ1564" s="1"/>
      <c r="MA1564" s="1"/>
    </row>
    <row r="1565" spans="4:339" ht="13" x14ac:dyDescent="0.15">
      <c r="D1565" s="12"/>
      <c r="E1565" s="12"/>
      <c r="I1565" s="12"/>
      <c r="J1565" s="13"/>
      <c r="BF1565" s="1"/>
      <c r="BG1565" s="1"/>
      <c r="BH1565" s="1"/>
      <c r="BI1565" s="1"/>
      <c r="BJ1565" s="1"/>
      <c r="BK1565" s="1"/>
      <c r="BL1565" s="1"/>
      <c r="BM1565" s="1"/>
      <c r="BN1565" s="1"/>
      <c r="BO1565" s="1"/>
      <c r="BP1565" s="1"/>
      <c r="BQ1565" s="1"/>
      <c r="BR1565" s="1"/>
      <c r="CD1565" s="1"/>
      <c r="CE1565" s="1"/>
      <c r="CF1565" s="1"/>
      <c r="CG1565" s="1"/>
      <c r="CM1565" s="2"/>
      <c r="CP1565" s="1"/>
      <c r="CQ1565" s="1"/>
      <c r="CR1565" s="1"/>
      <c r="CS1565" s="1"/>
      <c r="CT1565" s="1"/>
      <c r="CU1565" s="1"/>
      <c r="CV1565" s="1"/>
      <c r="CW1565" s="1"/>
      <c r="CX1565" s="1"/>
      <c r="CY1565" s="1"/>
      <c r="CZ1565" s="1"/>
      <c r="DA1565" s="1"/>
      <c r="DB1565" s="1"/>
      <c r="DC1565" s="1"/>
      <c r="DD1565" s="1"/>
      <c r="DE1565" s="1"/>
      <c r="DF1565" s="1"/>
      <c r="DG1565" s="1"/>
      <c r="DH1565" s="1"/>
      <c r="DI1565" s="1"/>
      <c r="DJ1565" s="1"/>
      <c r="DK1565" s="1"/>
      <c r="ED1565" s="1"/>
      <c r="EE1565" s="1"/>
      <c r="EF1565" s="1"/>
      <c r="EG1565" s="1"/>
      <c r="EH1565" s="1"/>
      <c r="EK1565" s="1"/>
      <c r="EL1565" s="1"/>
      <c r="EM1565" s="1"/>
      <c r="EN1565" s="1"/>
      <c r="EQ1565" s="1"/>
      <c r="ER1565" s="1"/>
      <c r="ES1565" s="1"/>
      <c r="EV1565" s="1"/>
      <c r="EW1565" s="1"/>
      <c r="EY1565" s="1"/>
      <c r="EZ1565" s="1"/>
      <c r="GP1565" s="1"/>
      <c r="HH1565" s="1"/>
      <c r="HY1565" s="1"/>
      <c r="IE1565" s="1"/>
      <c r="IF1565" s="1"/>
      <c r="IG1565" s="1"/>
      <c r="IJ1565" s="1"/>
      <c r="IR1565" s="1"/>
      <c r="IS1565" s="1"/>
      <c r="IZ1565" s="1"/>
      <c r="JC1565" s="1"/>
      <c r="JF1565" s="1"/>
      <c r="JG1565" s="1"/>
      <c r="JH1565" s="1"/>
      <c r="JJ1565" s="1"/>
      <c r="JK1565" s="1"/>
      <c r="JL1565" s="3"/>
      <c r="JM1565" s="1"/>
      <c r="JP1565" s="1"/>
      <c r="JQ1565" s="1"/>
      <c r="JR1565" s="1"/>
      <c r="JT1565" s="1"/>
      <c r="KU1565" s="1"/>
      <c r="KV1565" s="1"/>
      <c r="KW1565" s="1"/>
      <c r="KY1565" s="1"/>
      <c r="KZ1565" s="1"/>
      <c r="LA1565" s="1"/>
      <c r="LB1565" s="1"/>
      <c r="LC1565" s="1"/>
      <c r="LD1565" s="1"/>
      <c r="LO1565" s="1"/>
      <c r="LP1565" s="1"/>
      <c r="LZ1565" s="1"/>
      <c r="MA1565" s="1"/>
    </row>
    <row r="1566" spans="4:339" ht="13" x14ac:dyDescent="0.15">
      <c r="D1566" s="12"/>
      <c r="E1566" s="12"/>
      <c r="I1566" s="12"/>
      <c r="J1566" s="13"/>
      <c r="BF1566" s="1"/>
      <c r="BG1566" s="1"/>
      <c r="BH1566" s="1"/>
      <c r="BI1566" s="1"/>
      <c r="BJ1566" s="1"/>
      <c r="BK1566" s="1"/>
      <c r="BL1566" s="1"/>
      <c r="BM1566" s="1"/>
      <c r="BN1566" s="1"/>
      <c r="BO1566" s="1"/>
      <c r="BP1566" s="1"/>
      <c r="BQ1566" s="1"/>
      <c r="BR1566" s="1"/>
      <c r="CD1566" s="1"/>
      <c r="CE1566" s="1"/>
      <c r="CF1566" s="1"/>
      <c r="CG1566" s="1"/>
      <c r="CM1566" s="2"/>
      <c r="CP1566" s="1"/>
      <c r="CQ1566" s="1"/>
      <c r="CR1566" s="1"/>
      <c r="CS1566" s="1"/>
      <c r="CT1566" s="1"/>
      <c r="CU1566" s="1"/>
      <c r="CV1566" s="1"/>
      <c r="CW1566" s="1"/>
      <c r="CX1566" s="1"/>
      <c r="CY1566" s="1"/>
      <c r="CZ1566" s="1"/>
      <c r="DA1566" s="1"/>
      <c r="DB1566" s="1"/>
      <c r="DC1566" s="1"/>
      <c r="DD1566" s="1"/>
      <c r="DE1566" s="1"/>
      <c r="DF1566" s="1"/>
      <c r="DG1566" s="1"/>
      <c r="DH1566" s="1"/>
      <c r="DI1566" s="1"/>
      <c r="DJ1566" s="1"/>
      <c r="DK1566" s="1"/>
      <c r="ED1566" s="1"/>
      <c r="EE1566" s="1"/>
      <c r="EF1566" s="1"/>
      <c r="EG1566" s="1"/>
      <c r="EH1566" s="1"/>
      <c r="EK1566" s="1"/>
      <c r="EL1566" s="1"/>
      <c r="EM1566" s="1"/>
      <c r="EN1566" s="1"/>
      <c r="EQ1566" s="1"/>
      <c r="ER1566" s="1"/>
      <c r="ES1566" s="1"/>
      <c r="EV1566" s="1"/>
      <c r="EW1566" s="1"/>
      <c r="EY1566" s="1"/>
      <c r="EZ1566" s="1"/>
      <c r="GP1566" s="1"/>
      <c r="HH1566" s="1"/>
      <c r="HY1566" s="1"/>
      <c r="IE1566" s="1"/>
      <c r="IF1566" s="1"/>
      <c r="IG1566" s="1"/>
      <c r="IJ1566" s="1"/>
      <c r="IR1566" s="1"/>
      <c r="IS1566" s="1"/>
      <c r="IZ1566" s="1"/>
      <c r="JC1566" s="1"/>
      <c r="JF1566" s="1"/>
      <c r="JG1566" s="1"/>
      <c r="JH1566" s="1"/>
      <c r="JJ1566" s="1"/>
      <c r="JK1566" s="1"/>
      <c r="JL1566" s="3"/>
      <c r="JM1566" s="1"/>
      <c r="JP1566" s="1"/>
      <c r="JQ1566" s="1"/>
      <c r="JR1566" s="1"/>
      <c r="JT1566" s="1"/>
      <c r="KU1566" s="1"/>
      <c r="KV1566" s="1"/>
      <c r="KW1566" s="1"/>
      <c r="KY1566" s="1"/>
      <c r="KZ1566" s="1"/>
      <c r="LA1566" s="1"/>
      <c r="LB1566" s="1"/>
      <c r="LC1566" s="1"/>
      <c r="LD1566" s="1"/>
      <c r="LO1566" s="1"/>
      <c r="LP1566" s="1"/>
      <c r="LZ1566" s="1"/>
      <c r="MA1566" s="1"/>
    </row>
    <row r="1567" spans="4:339" ht="13" x14ac:dyDescent="0.15">
      <c r="D1567" s="12"/>
      <c r="E1567" s="12"/>
      <c r="I1567" s="12"/>
      <c r="J1567" s="13"/>
      <c r="BF1567" s="1"/>
      <c r="BG1567" s="1"/>
      <c r="BH1567" s="1"/>
      <c r="BI1567" s="1"/>
      <c r="BJ1567" s="1"/>
      <c r="BK1567" s="1"/>
      <c r="BL1567" s="1"/>
      <c r="BM1567" s="1"/>
      <c r="BN1567" s="1"/>
      <c r="BO1567" s="1"/>
      <c r="BP1567" s="1"/>
      <c r="BQ1567" s="1"/>
      <c r="BR1567" s="1"/>
      <c r="CD1567" s="1"/>
      <c r="CE1567" s="1"/>
      <c r="CF1567" s="1"/>
      <c r="CG1567" s="1"/>
      <c r="CM1567" s="2"/>
      <c r="CP1567" s="1"/>
      <c r="CQ1567" s="1"/>
      <c r="CR1567" s="1"/>
      <c r="CS1567" s="1"/>
      <c r="CT1567" s="1"/>
      <c r="CU1567" s="1"/>
      <c r="CV1567" s="1"/>
      <c r="CW1567" s="1"/>
      <c r="CX1567" s="1"/>
      <c r="CY1567" s="1"/>
      <c r="CZ1567" s="1"/>
      <c r="DA1567" s="1"/>
      <c r="DB1567" s="1"/>
      <c r="DC1567" s="1"/>
      <c r="DD1567" s="1"/>
      <c r="DE1567" s="1"/>
      <c r="DF1567" s="1"/>
      <c r="DG1567" s="1"/>
      <c r="DH1567" s="1"/>
      <c r="DI1567" s="1"/>
      <c r="DJ1567" s="1"/>
      <c r="DK1567" s="1"/>
      <c r="ED1567" s="1"/>
      <c r="EE1567" s="1"/>
      <c r="EF1567" s="1"/>
      <c r="EG1567" s="1"/>
      <c r="EH1567" s="1"/>
      <c r="EK1567" s="1"/>
      <c r="EL1567" s="1"/>
      <c r="EM1567" s="1"/>
      <c r="EN1567" s="1"/>
      <c r="EQ1567" s="1"/>
      <c r="ER1567" s="1"/>
      <c r="ES1567" s="1"/>
      <c r="EV1567" s="1"/>
      <c r="EW1567" s="1"/>
      <c r="EY1567" s="1"/>
      <c r="EZ1567" s="1"/>
      <c r="GP1567" s="1"/>
      <c r="HH1567" s="1"/>
      <c r="HY1567" s="1"/>
      <c r="IE1567" s="1"/>
      <c r="IF1567" s="1"/>
      <c r="IG1567" s="1"/>
      <c r="IJ1567" s="1"/>
      <c r="IR1567" s="1"/>
      <c r="IS1567" s="1"/>
      <c r="IZ1567" s="1"/>
      <c r="JC1567" s="1"/>
      <c r="JF1567" s="1"/>
      <c r="JG1567" s="1"/>
      <c r="JH1567" s="1"/>
      <c r="JJ1567" s="1"/>
      <c r="JK1567" s="1"/>
      <c r="JL1567" s="3"/>
      <c r="JM1567" s="1"/>
      <c r="JP1567" s="1"/>
      <c r="JQ1567" s="1"/>
      <c r="JR1567" s="1"/>
      <c r="JT1567" s="1"/>
      <c r="KU1567" s="1"/>
      <c r="KV1567" s="1"/>
      <c r="KW1567" s="1"/>
      <c r="KY1567" s="1"/>
      <c r="KZ1567" s="1"/>
      <c r="LA1567" s="1"/>
      <c r="LB1567" s="1"/>
      <c r="LC1567" s="1"/>
      <c r="LD1567" s="1"/>
      <c r="LO1567" s="1"/>
      <c r="LP1567" s="1"/>
      <c r="LZ1567" s="1"/>
      <c r="MA1567" s="1"/>
    </row>
    <row r="1568" spans="4:339" ht="13" x14ac:dyDescent="0.15">
      <c r="D1568" s="12"/>
      <c r="E1568" s="12"/>
      <c r="I1568" s="12"/>
      <c r="J1568" s="13"/>
      <c r="BF1568" s="1"/>
      <c r="BG1568" s="1"/>
      <c r="BH1568" s="1"/>
      <c r="BI1568" s="1"/>
      <c r="BJ1568" s="1"/>
      <c r="BK1568" s="1"/>
      <c r="BL1568" s="1"/>
      <c r="BM1568" s="1"/>
      <c r="BN1568" s="1"/>
      <c r="BO1568" s="1"/>
      <c r="BP1568" s="1"/>
      <c r="BQ1568" s="1"/>
      <c r="BR1568" s="1"/>
      <c r="CD1568" s="1"/>
      <c r="CE1568" s="1"/>
      <c r="CF1568" s="1"/>
      <c r="CG1568" s="1"/>
      <c r="CM1568" s="2"/>
      <c r="CP1568" s="1"/>
      <c r="CQ1568" s="1"/>
      <c r="CR1568" s="1"/>
      <c r="CS1568" s="1"/>
      <c r="CT1568" s="1"/>
      <c r="CU1568" s="1"/>
      <c r="CV1568" s="1"/>
      <c r="CW1568" s="1"/>
      <c r="CX1568" s="1"/>
      <c r="CY1568" s="1"/>
      <c r="CZ1568" s="1"/>
      <c r="DA1568" s="1"/>
      <c r="DB1568" s="1"/>
      <c r="DC1568" s="1"/>
      <c r="DD1568" s="1"/>
      <c r="DE1568" s="1"/>
      <c r="DF1568" s="1"/>
      <c r="DG1568" s="1"/>
      <c r="DH1568" s="1"/>
      <c r="DI1568" s="1"/>
      <c r="DJ1568" s="1"/>
      <c r="DK1568" s="1"/>
      <c r="ED1568" s="1"/>
      <c r="EE1568" s="1"/>
      <c r="EF1568" s="1"/>
      <c r="EG1568" s="1"/>
      <c r="EH1568" s="1"/>
      <c r="EK1568" s="1"/>
      <c r="EL1568" s="1"/>
      <c r="EM1568" s="1"/>
      <c r="EN1568" s="1"/>
      <c r="EQ1568" s="1"/>
      <c r="ER1568" s="1"/>
      <c r="ES1568" s="1"/>
      <c r="EV1568" s="1"/>
      <c r="EW1568" s="1"/>
      <c r="EY1568" s="1"/>
      <c r="EZ1568" s="1"/>
      <c r="GP1568" s="1"/>
      <c r="HH1568" s="1"/>
      <c r="HY1568" s="1"/>
      <c r="IE1568" s="1"/>
      <c r="IF1568" s="1"/>
      <c r="IG1568" s="1"/>
      <c r="IJ1568" s="1"/>
      <c r="IR1568" s="1"/>
      <c r="IS1568" s="1"/>
      <c r="IZ1568" s="1"/>
      <c r="JC1568" s="1"/>
      <c r="JF1568" s="1"/>
      <c r="JG1568" s="1"/>
      <c r="JH1568" s="1"/>
      <c r="JJ1568" s="1"/>
      <c r="JK1568" s="1"/>
      <c r="JL1568" s="3"/>
      <c r="JM1568" s="1"/>
      <c r="JP1568" s="1"/>
      <c r="JQ1568" s="1"/>
      <c r="JR1568" s="1"/>
      <c r="JT1568" s="1"/>
      <c r="KU1568" s="1"/>
      <c r="KV1568" s="1"/>
      <c r="KW1568" s="1"/>
      <c r="KY1568" s="1"/>
      <c r="KZ1568" s="1"/>
      <c r="LA1568" s="1"/>
      <c r="LB1568" s="1"/>
      <c r="LC1568" s="1"/>
      <c r="LD1568" s="1"/>
      <c r="LO1568" s="1"/>
      <c r="LP1568" s="1"/>
      <c r="LZ1568" s="1"/>
      <c r="MA1568" s="1"/>
    </row>
    <row r="1569" spans="4:339" ht="13" x14ac:dyDescent="0.15">
      <c r="D1569" s="12"/>
      <c r="E1569" s="12"/>
      <c r="I1569" s="12"/>
      <c r="J1569" s="13"/>
      <c r="BF1569" s="1"/>
      <c r="BG1569" s="1"/>
      <c r="BH1569" s="1"/>
      <c r="BI1569" s="1"/>
      <c r="BJ1569" s="1"/>
      <c r="BK1569" s="1"/>
      <c r="BL1569" s="1"/>
      <c r="BM1569" s="1"/>
      <c r="BN1569" s="1"/>
      <c r="BO1569" s="1"/>
      <c r="BP1569" s="1"/>
      <c r="BQ1569" s="1"/>
      <c r="BR1569" s="1"/>
      <c r="CD1569" s="1"/>
      <c r="CE1569" s="1"/>
      <c r="CF1569" s="1"/>
      <c r="CG1569" s="1"/>
      <c r="CM1569" s="2"/>
      <c r="CP1569" s="1"/>
      <c r="CQ1569" s="1"/>
      <c r="CR1569" s="1"/>
      <c r="CS1569" s="1"/>
      <c r="CT1569" s="1"/>
      <c r="CU1569" s="1"/>
      <c r="CV1569" s="1"/>
      <c r="CW1569" s="1"/>
      <c r="CX1569" s="1"/>
      <c r="CY1569" s="1"/>
      <c r="CZ1569" s="1"/>
      <c r="DA1569" s="1"/>
      <c r="DB1569" s="1"/>
      <c r="DC1569" s="1"/>
      <c r="DD1569" s="1"/>
      <c r="DE1569" s="1"/>
      <c r="DF1569" s="1"/>
      <c r="DG1569" s="1"/>
      <c r="DH1569" s="1"/>
      <c r="DI1569" s="1"/>
      <c r="DJ1569" s="1"/>
      <c r="DK1569" s="1"/>
      <c r="ED1569" s="1"/>
      <c r="EE1569" s="1"/>
      <c r="EF1569" s="1"/>
      <c r="EG1569" s="1"/>
      <c r="EH1569" s="1"/>
      <c r="EK1569" s="1"/>
      <c r="EL1569" s="1"/>
      <c r="EM1569" s="1"/>
      <c r="EN1569" s="1"/>
      <c r="EQ1569" s="1"/>
      <c r="ER1569" s="1"/>
      <c r="ES1569" s="1"/>
      <c r="EV1569" s="1"/>
      <c r="EW1569" s="1"/>
      <c r="EY1569" s="1"/>
      <c r="EZ1569" s="1"/>
      <c r="GP1569" s="1"/>
      <c r="HH1569" s="1"/>
      <c r="HY1569" s="1"/>
      <c r="IE1569" s="1"/>
      <c r="IF1569" s="1"/>
      <c r="IG1569" s="1"/>
      <c r="IJ1569" s="1"/>
      <c r="IR1569" s="1"/>
      <c r="IS1569" s="1"/>
      <c r="IZ1569" s="1"/>
      <c r="JC1569" s="1"/>
      <c r="JF1569" s="1"/>
      <c r="JG1569" s="1"/>
      <c r="JH1569" s="1"/>
      <c r="JJ1569" s="1"/>
      <c r="JK1569" s="1"/>
      <c r="JL1569" s="3"/>
      <c r="JM1569" s="1"/>
      <c r="JP1569" s="1"/>
      <c r="JQ1569" s="1"/>
      <c r="JR1569" s="1"/>
      <c r="JT1569" s="1"/>
      <c r="KU1569" s="1"/>
      <c r="KV1569" s="1"/>
      <c r="KW1569" s="1"/>
      <c r="KY1569" s="1"/>
      <c r="KZ1569" s="1"/>
      <c r="LA1569" s="1"/>
      <c r="LB1569" s="1"/>
      <c r="LC1569" s="1"/>
      <c r="LD1569" s="1"/>
      <c r="LO1569" s="1"/>
      <c r="LP1569" s="1"/>
      <c r="LZ1569" s="1"/>
      <c r="MA1569" s="1"/>
    </row>
    <row r="1570" spans="4:339" ht="13" x14ac:dyDescent="0.15">
      <c r="D1570" s="12"/>
      <c r="E1570" s="12"/>
      <c r="I1570" s="12"/>
      <c r="J1570" s="13"/>
      <c r="BF1570" s="1"/>
      <c r="BG1570" s="1"/>
      <c r="BH1570" s="1"/>
      <c r="BI1570" s="1"/>
      <c r="BJ1570" s="1"/>
      <c r="BK1570" s="1"/>
      <c r="BL1570" s="1"/>
      <c r="BM1570" s="1"/>
      <c r="BN1570" s="1"/>
      <c r="BO1570" s="1"/>
      <c r="BP1570" s="1"/>
      <c r="BQ1570" s="1"/>
      <c r="BR1570" s="1"/>
      <c r="CD1570" s="1"/>
      <c r="CE1570" s="1"/>
      <c r="CF1570" s="1"/>
      <c r="CG1570" s="1"/>
      <c r="CM1570" s="2"/>
      <c r="CP1570" s="1"/>
      <c r="CQ1570" s="1"/>
      <c r="CR1570" s="1"/>
      <c r="CS1570" s="1"/>
      <c r="CT1570" s="1"/>
      <c r="CU1570" s="1"/>
      <c r="CV1570" s="1"/>
      <c r="CW1570" s="1"/>
      <c r="CX1570" s="1"/>
      <c r="CY1570" s="1"/>
      <c r="CZ1570" s="1"/>
      <c r="DA1570" s="1"/>
      <c r="DB1570" s="1"/>
      <c r="DC1570" s="1"/>
      <c r="DD1570" s="1"/>
      <c r="DE1570" s="1"/>
      <c r="DF1570" s="1"/>
      <c r="DG1570" s="1"/>
      <c r="DH1570" s="1"/>
      <c r="DI1570" s="1"/>
      <c r="DJ1570" s="1"/>
      <c r="DK1570" s="1"/>
      <c r="ED1570" s="1"/>
      <c r="EE1570" s="1"/>
      <c r="EF1570" s="1"/>
      <c r="EG1570" s="1"/>
      <c r="EH1570" s="1"/>
      <c r="EK1570" s="1"/>
      <c r="EL1570" s="1"/>
      <c r="EM1570" s="1"/>
      <c r="EN1570" s="1"/>
      <c r="EQ1570" s="1"/>
      <c r="ER1570" s="1"/>
      <c r="ES1570" s="1"/>
      <c r="EV1570" s="1"/>
      <c r="EW1570" s="1"/>
      <c r="EY1570" s="1"/>
      <c r="EZ1570" s="1"/>
      <c r="GP1570" s="1"/>
      <c r="HH1570" s="1"/>
      <c r="HY1570" s="1"/>
      <c r="IE1570" s="1"/>
      <c r="IF1570" s="1"/>
      <c r="IG1570" s="1"/>
      <c r="IJ1570" s="1"/>
      <c r="IR1570" s="1"/>
      <c r="IS1570" s="1"/>
      <c r="IZ1570" s="1"/>
      <c r="JC1570" s="1"/>
      <c r="JF1570" s="1"/>
      <c r="JG1570" s="1"/>
      <c r="JH1570" s="1"/>
      <c r="JJ1570" s="1"/>
      <c r="JK1570" s="1"/>
      <c r="JL1570" s="3"/>
      <c r="JM1570" s="1"/>
      <c r="JP1570" s="1"/>
      <c r="JQ1570" s="1"/>
      <c r="JR1570" s="1"/>
      <c r="JT1570" s="1"/>
      <c r="KU1570" s="1"/>
      <c r="KV1570" s="1"/>
      <c r="KW1570" s="1"/>
      <c r="KY1570" s="1"/>
      <c r="KZ1570" s="1"/>
      <c r="LA1570" s="1"/>
      <c r="LB1570" s="1"/>
      <c r="LC1570" s="1"/>
      <c r="LD1570" s="1"/>
      <c r="LO1570" s="1"/>
      <c r="LP1570" s="1"/>
      <c r="LZ1570" s="1"/>
      <c r="MA1570" s="1"/>
    </row>
    <row r="1571" spans="4:339" ht="13" x14ac:dyDescent="0.15">
      <c r="D1571" s="12"/>
      <c r="E1571" s="12"/>
      <c r="I1571" s="12"/>
      <c r="J1571" s="13"/>
      <c r="BF1571" s="1"/>
      <c r="BG1571" s="1"/>
      <c r="BH1571" s="1"/>
      <c r="BI1571" s="1"/>
      <c r="BJ1571" s="1"/>
      <c r="BK1571" s="1"/>
      <c r="BL1571" s="1"/>
      <c r="BM1571" s="1"/>
      <c r="BN1571" s="1"/>
      <c r="BO1571" s="1"/>
      <c r="BP1571" s="1"/>
      <c r="BQ1571" s="1"/>
      <c r="BR1571" s="1"/>
      <c r="CD1571" s="1"/>
      <c r="CE1571" s="1"/>
      <c r="CF1571" s="1"/>
      <c r="CG1571" s="1"/>
      <c r="CM1571" s="2"/>
      <c r="CP1571" s="1"/>
      <c r="CQ1571" s="1"/>
      <c r="CR1571" s="1"/>
      <c r="CS1571" s="1"/>
      <c r="CT1571" s="1"/>
      <c r="CU1571" s="1"/>
      <c r="CV1571" s="1"/>
      <c r="CW1571" s="1"/>
      <c r="CX1571" s="1"/>
      <c r="CY1571" s="1"/>
      <c r="CZ1571" s="1"/>
      <c r="DA1571" s="1"/>
      <c r="DB1571" s="1"/>
      <c r="DC1571" s="1"/>
      <c r="DD1571" s="1"/>
      <c r="DE1571" s="1"/>
      <c r="DF1571" s="1"/>
      <c r="DG1571" s="1"/>
      <c r="DH1571" s="1"/>
      <c r="DI1571" s="1"/>
      <c r="DJ1571" s="1"/>
      <c r="DK1571" s="1"/>
      <c r="ED1571" s="1"/>
      <c r="EE1571" s="1"/>
      <c r="EF1571" s="1"/>
      <c r="EG1571" s="1"/>
      <c r="EH1571" s="1"/>
      <c r="EK1571" s="1"/>
      <c r="EL1571" s="1"/>
      <c r="EM1571" s="1"/>
      <c r="EN1571" s="1"/>
      <c r="EQ1571" s="1"/>
      <c r="ER1571" s="1"/>
      <c r="ES1571" s="1"/>
      <c r="EV1571" s="1"/>
      <c r="EW1571" s="1"/>
      <c r="EY1571" s="1"/>
      <c r="EZ1571" s="1"/>
      <c r="GP1571" s="1"/>
      <c r="HH1571" s="1"/>
      <c r="HY1571" s="1"/>
      <c r="IE1571" s="1"/>
      <c r="IF1571" s="1"/>
      <c r="IG1571" s="1"/>
      <c r="IJ1571" s="1"/>
      <c r="IR1571" s="1"/>
      <c r="IS1571" s="1"/>
      <c r="IZ1571" s="1"/>
      <c r="JC1571" s="1"/>
      <c r="JF1571" s="1"/>
      <c r="JG1571" s="1"/>
      <c r="JH1571" s="1"/>
      <c r="JJ1571" s="1"/>
      <c r="JK1571" s="1"/>
      <c r="JL1571" s="3"/>
      <c r="JM1571" s="1"/>
      <c r="JP1571" s="1"/>
      <c r="JQ1571" s="1"/>
      <c r="JR1571" s="1"/>
      <c r="JT1571" s="1"/>
      <c r="KU1571" s="1"/>
      <c r="KV1571" s="1"/>
      <c r="KW1571" s="1"/>
      <c r="KY1571" s="1"/>
      <c r="KZ1571" s="1"/>
      <c r="LA1571" s="1"/>
      <c r="LB1571" s="1"/>
      <c r="LC1571" s="1"/>
      <c r="LD1571" s="1"/>
      <c r="LO1571" s="1"/>
      <c r="LP1571" s="1"/>
      <c r="LZ1571" s="1"/>
      <c r="MA1571" s="1"/>
    </row>
    <row r="1572" spans="4:339" ht="13" x14ac:dyDescent="0.15">
      <c r="D1572" s="12"/>
      <c r="E1572" s="12"/>
      <c r="I1572" s="12"/>
      <c r="J1572" s="13"/>
      <c r="BF1572" s="1"/>
      <c r="BG1572" s="1"/>
      <c r="BH1572" s="1"/>
      <c r="BI1572" s="1"/>
      <c r="BJ1572" s="1"/>
      <c r="BK1572" s="1"/>
      <c r="BL1572" s="1"/>
      <c r="BM1572" s="1"/>
      <c r="BN1572" s="1"/>
      <c r="BO1572" s="1"/>
      <c r="BP1572" s="1"/>
      <c r="BQ1572" s="1"/>
      <c r="BR1572" s="1"/>
      <c r="CD1572" s="1"/>
      <c r="CE1572" s="1"/>
      <c r="CF1572" s="1"/>
      <c r="CG1572" s="1"/>
      <c r="CM1572" s="2"/>
      <c r="CP1572" s="1"/>
      <c r="CQ1572" s="1"/>
      <c r="CR1572" s="1"/>
      <c r="CS1572" s="1"/>
      <c r="CT1572" s="1"/>
      <c r="CU1572" s="1"/>
      <c r="CV1572" s="1"/>
      <c r="CW1572" s="1"/>
      <c r="CX1572" s="1"/>
      <c r="CY1572" s="1"/>
      <c r="CZ1572" s="1"/>
      <c r="DA1572" s="1"/>
      <c r="DB1572" s="1"/>
      <c r="DC1572" s="1"/>
      <c r="DD1572" s="1"/>
      <c r="DE1572" s="1"/>
      <c r="DF1572" s="1"/>
      <c r="DG1572" s="1"/>
      <c r="DH1572" s="1"/>
      <c r="DI1572" s="1"/>
      <c r="DJ1572" s="1"/>
      <c r="DK1572" s="1"/>
      <c r="ED1572" s="1"/>
      <c r="EE1572" s="1"/>
      <c r="EF1572" s="1"/>
      <c r="EG1572" s="1"/>
      <c r="EH1572" s="1"/>
      <c r="EK1572" s="1"/>
      <c r="EL1572" s="1"/>
      <c r="EM1572" s="1"/>
      <c r="EN1572" s="1"/>
      <c r="EQ1572" s="1"/>
      <c r="ER1572" s="1"/>
      <c r="ES1572" s="1"/>
      <c r="EV1572" s="1"/>
      <c r="EW1572" s="1"/>
      <c r="EY1572" s="1"/>
      <c r="EZ1572" s="1"/>
      <c r="GP1572" s="1"/>
      <c r="HH1572" s="1"/>
      <c r="HY1572" s="1"/>
      <c r="IE1572" s="1"/>
      <c r="IF1572" s="1"/>
      <c r="IG1572" s="1"/>
      <c r="IJ1572" s="1"/>
      <c r="IR1572" s="1"/>
      <c r="IS1572" s="1"/>
      <c r="IZ1572" s="1"/>
      <c r="JC1572" s="1"/>
      <c r="JF1572" s="1"/>
      <c r="JG1572" s="1"/>
      <c r="JH1572" s="1"/>
      <c r="JJ1572" s="1"/>
      <c r="JK1572" s="1"/>
      <c r="JL1572" s="3"/>
      <c r="JM1572" s="1"/>
      <c r="JP1572" s="1"/>
      <c r="JQ1572" s="1"/>
      <c r="JR1572" s="1"/>
      <c r="JT1572" s="1"/>
      <c r="KU1572" s="1"/>
      <c r="KV1572" s="1"/>
      <c r="KW1572" s="1"/>
      <c r="KY1572" s="1"/>
      <c r="KZ1572" s="1"/>
      <c r="LA1572" s="1"/>
      <c r="LB1572" s="1"/>
      <c r="LC1572" s="1"/>
      <c r="LD1572" s="1"/>
      <c r="LO1572" s="1"/>
      <c r="LP1572" s="1"/>
      <c r="LZ1572" s="1"/>
      <c r="MA1572" s="1"/>
    </row>
    <row r="1573" spans="4:339" ht="13" x14ac:dyDescent="0.15">
      <c r="D1573" s="12"/>
      <c r="E1573" s="12"/>
      <c r="I1573" s="12"/>
      <c r="J1573" s="13"/>
      <c r="BF1573" s="1"/>
      <c r="BG1573" s="1"/>
      <c r="BH1573" s="1"/>
      <c r="BI1573" s="1"/>
      <c r="BJ1573" s="1"/>
      <c r="BK1573" s="1"/>
      <c r="BL1573" s="1"/>
      <c r="BM1573" s="1"/>
      <c r="BN1573" s="1"/>
      <c r="BO1573" s="1"/>
      <c r="BP1573" s="1"/>
      <c r="BQ1573" s="1"/>
      <c r="BR1573" s="1"/>
      <c r="CD1573" s="1"/>
      <c r="CE1573" s="1"/>
      <c r="CF1573" s="1"/>
      <c r="CG1573" s="1"/>
      <c r="CM1573" s="2"/>
      <c r="CP1573" s="1"/>
      <c r="CQ1573" s="1"/>
      <c r="CR1573" s="1"/>
      <c r="CS1573" s="1"/>
      <c r="CT1573" s="1"/>
      <c r="CU1573" s="1"/>
      <c r="CV1573" s="1"/>
      <c r="CW1573" s="1"/>
      <c r="CX1573" s="1"/>
      <c r="CY1573" s="1"/>
      <c r="CZ1573" s="1"/>
      <c r="DA1573" s="1"/>
      <c r="DB1573" s="1"/>
      <c r="DC1573" s="1"/>
      <c r="DD1573" s="1"/>
      <c r="DE1573" s="1"/>
      <c r="DF1573" s="1"/>
      <c r="DG1573" s="1"/>
      <c r="DH1573" s="1"/>
      <c r="DI1573" s="1"/>
      <c r="DJ1573" s="1"/>
      <c r="DK1573" s="1"/>
      <c r="ED1573" s="1"/>
      <c r="EE1573" s="1"/>
      <c r="EF1573" s="1"/>
      <c r="EG1573" s="1"/>
      <c r="EH1573" s="1"/>
      <c r="EK1573" s="1"/>
      <c r="EL1573" s="1"/>
      <c r="EM1573" s="1"/>
      <c r="EN1573" s="1"/>
      <c r="EQ1573" s="1"/>
      <c r="ER1573" s="1"/>
      <c r="ES1573" s="1"/>
      <c r="EV1573" s="1"/>
      <c r="EW1573" s="1"/>
      <c r="EY1573" s="1"/>
      <c r="EZ1573" s="1"/>
      <c r="GP1573" s="1"/>
      <c r="HH1573" s="1"/>
      <c r="HY1573" s="1"/>
      <c r="IE1573" s="1"/>
      <c r="IF1573" s="1"/>
      <c r="IG1573" s="1"/>
      <c r="IJ1573" s="1"/>
      <c r="IR1573" s="1"/>
      <c r="IS1573" s="1"/>
      <c r="IZ1573" s="1"/>
      <c r="JC1573" s="1"/>
      <c r="JF1573" s="1"/>
      <c r="JG1573" s="1"/>
      <c r="JH1573" s="1"/>
      <c r="JJ1573" s="1"/>
      <c r="JK1573" s="1"/>
      <c r="JL1573" s="3"/>
      <c r="JM1573" s="1"/>
      <c r="JP1573" s="1"/>
      <c r="JQ1573" s="1"/>
      <c r="JR1573" s="1"/>
      <c r="JT1573" s="1"/>
      <c r="KU1573" s="1"/>
      <c r="KV1573" s="1"/>
      <c r="KW1573" s="1"/>
      <c r="KY1573" s="1"/>
      <c r="KZ1573" s="1"/>
      <c r="LA1573" s="1"/>
      <c r="LB1573" s="1"/>
      <c r="LC1573" s="1"/>
      <c r="LD1573" s="1"/>
      <c r="LO1573" s="1"/>
      <c r="LP1573" s="1"/>
      <c r="LZ1573" s="1"/>
      <c r="MA1573" s="1"/>
    </row>
    <row r="1574" spans="4:339" ht="13" x14ac:dyDescent="0.15">
      <c r="D1574" s="12"/>
      <c r="E1574" s="12"/>
      <c r="I1574" s="12"/>
      <c r="J1574" s="13"/>
      <c r="BF1574" s="1"/>
      <c r="BG1574" s="1"/>
      <c r="BH1574" s="1"/>
      <c r="BI1574" s="1"/>
      <c r="BJ1574" s="1"/>
      <c r="BK1574" s="1"/>
      <c r="BL1574" s="1"/>
      <c r="BM1574" s="1"/>
      <c r="BN1574" s="1"/>
      <c r="BO1574" s="1"/>
      <c r="BP1574" s="1"/>
      <c r="BQ1574" s="1"/>
      <c r="BR1574" s="1"/>
      <c r="CD1574" s="1"/>
      <c r="CE1574" s="1"/>
      <c r="CF1574" s="1"/>
      <c r="CG1574" s="1"/>
      <c r="CM1574" s="2"/>
      <c r="CP1574" s="1"/>
      <c r="CQ1574" s="1"/>
      <c r="CR1574" s="1"/>
      <c r="CS1574" s="1"/>
      <c r="CT1574" s="1"/>
      <c r="CU1574" s="1"/>
      <c r="CV1574" s="1"/>
      <c r="CW1574" s="1"/>
      <c r="CX1574" s="1"/>
      <c r="CY1574" s="1"/>
      <c r="CZ1574" s="1"/>
      <c r="DA1574" s="1"/>
      <c r="DB1574" s="1"/>
      <c r="DC1574" s="1"/>
      <c r="DD1574" s="1"/>
      <c r="DE1574" s="1"/>
      <c r="DF1574" s="1"/>
      <c r="DG1574" s="1"/>
      <c r="DH1574" s="1"/>
      <c r="DI1574" s="1"/>
      <c r="DJ1574" s="1"/>
      <c r="DK1574" s="1"/>
      <c r="ED1574" s="1"/>
      <c r="EE1574" s="1"/>
      <c r="EF1574" s="1"/>
      <c r="EG1574" s="1"/>
      <c r="EH1574" s="1"/>
      <c r="EK1574" s="1"/>
      <c r="EL1574" s="1"/>
      <c r="EM1574" s="1"/>
      <c r="EN1574" s="1"/>
      <c r="EQ1574" s="1"/>
      <c r="ER1574" s="1"/>
      <c r="ES1574" s="1"/>
      <c r="EV1574" s="1"/>
      <c r="EW1574" s="1"/>
      <c r="EY1574" s="1"/>
      <c r="EZ1574" s="1"/>
      <c r="GP1574" s="1"/>
      <c r="HH1574" s="1"/>
      <c r="HY1574" s="1"/>
      <c r="IE1574" s="1"/>
      <c r="IF1574" s="1"/>
      <c r="IG1574" s="1"/>
      <c r="IJ1574" s="1"/>
      <c r="IR1574" s="1"/>
      <c r="IS1574" s="1"/>
      <c r="IZ1574" s="1"/>
      <c r="JC1574" s="1"/>
      <c r="JF1574" s="1"/>
      <c r="JG1574" s="1"/>
      <c r="JH1574" s="1"/>
      <c r="JJ1574" s="1"/>
      <c r="JK1574" s="1"/>
      <c r="JL1574" s="3"/>
      <c r="JM1574" s="1"/>
      <c r="JP1574" s="1"/>
      <c r="JQ1574" s="1"/>
      <c r="JR1574" s="1"/>
      <c r="JT1574" s="1"/>
      <c r="KU1574" s="1"/>
      <c r="KV1574" s="1"/>
      <c r="KW1574" s="1"/>
      <c r="KY1574" s="1"/>
      <c r="KZ1574" s="1"/>
      <c r="LA1574" s="1"/>
      <c r="LB1574" s="1"/>
      <c r="LC1574" s="1"/>
      <c r="LD1574" s="1"/>
      <c r="LO1574" s="1"/>
      <c r="LP1574" s="1"/>
      <c r="LZ1574" s="1"/>
      <c r="MA1574" s="1"/>
    </row>
    <row r="1575" spans="4:339" ht="13" x14ac:dyDescent="0.15">
      <c r="D1575" s="12"/>
      <c r="E1575" s="12"/>
      <c r="I1575" s="12"/>
      <c r="J1575" s="13"/>
      <c r="BF1575" s="1"/>
      <c r="BG1575" s="1"/>
      <c r="BH1575" s="1"/>
      <c r="BI1575" s="1"/>
      <c r="BJ1575" s="1"/>
      <c r="BK1575" s="1"/>
      <c r="BL1575" s="1"/>
      <c r="BM1575" s="1"/>
      <c r="BN1575" s="1"/>
      <c r="BO1575" s="1"/>
      <c r="BP1575" s="1"/>
      <c r="BQ1575" s="1"/>
      <c r="BR1575" s="1"/>
      <c r="CD1575" s="1"/>
      <c r="CE1575" s="1"/>
      <c r="CF1575" s="1"/>
      <c r="CG1575" s="1"/>
      <c r="CM1575" s="2"/>
      <c r="CP1575" s="1"/>
      <c r="CQ1575" s="1"/>
      <c r="CR1575" s="1"/>
      <c r="CS1575" s="1"/>
      <c r="CT1575" s="1"/>
      <c r="CU1575" s="1"/>
      <c r="CV1575" s="1"/>
      <c r="CW1575" s="1"/>
      <c r="CX1575" s="1"/>
      <c r="CY1575" s="1"/>
      <c r="CZ1575" s="1"/>
      <c r="DA1575" s="1"/>
      <c r="DB1575" s="1"/>
      <c r="DC1575" s="1"/>
      <c r="DD1575" s="1"/>
      <c r="DE1575" s="1"/>
      <c r="DF1575" s="1"/>
      <c r="DG1575" s="1"/>
      <c r="DH1575" s="1"/>
      <c r="DI1575" s="1"/>
      <c r="DJ1575" s="1"/>
      <c r="DK1575" s="1"/>
      <c r="ED1575" s="1"/>
      <c r="EE1575" s="1"/>
      <c r="EF1575" s="1"/>
      <c r="EG1575" s="1"/>
      <c r="EH1575" s="1"/>
      <c r="EK1575" s="1"/>
      <c r="EL1575" s="1"/>
      <c r="EM1575" s="1"/>
      <c r="EN1575" s="1"/>
      <c r="EQ1575" s="1"/>
      <c r="ER1575" s="1"/>
      <c r="ES1575" s="1"/>
      <c r="EV1575" s="1"/>
      <c r="EW1575" s="1"/>
      <c r="EY1575" s="1"/>
      <c r="EZ1575" s="1"/>
      <c r="GP1575" s="1"/>
      <c r="HH1575" s="1"/>
      <c r="HY1575" s="1"/>
      <c r="IE1575" s="1"/>
      <c r="IF1575" s="1"/>
      <c r="IG1575" s="1"/>
      <c r="IJ1575" s="1"/>
      <c r="IR1575" s="1"/>
      <c r="IS1575" s="1"/>
      <c r="IZ1575" s="1"/>
      <c r="JC1575" s="1"/>
      <c r="JF1575" s="1"/>
      <c r="JG1575" s="1"/>
      <c r="JH1575" s="1"/>
      <c r="JJ1575" s="1"/>
      <c r="JK1575" s="1"/>
      <c r="JL1575" s="3"/>
      <c r="JM1575" s="1"/>
      <c r="JP1575" s="1"/>
      <c r="JQ1575" s="1"/>
      <c r="JR1575" s="1"/>
      <c r="JT1575" s="1"/>
      <c r="KU1575" s="1"/>
      <c r="KV1575" s="1"/>
      <c r="KW1575" s="1"/>
      <c r="KY1575" s="1"/>
      <c r="KZ1575" s="1"/>
      <c r="LA1575" s="1"/>
      <c r="LB1575" s="1"/>
      <c r="LC1575" s="1"/>
      <c r="LD1575" s="1"/>
      <c r="LO1575" s="1"/>
      <c r="LP1575" s="1"/>
      <c r="LZ1575" s="1"/>
      <c r="MA1575" s="1"/>
    </row>
    <row r="1576" spans="4:339" ht="13" x14ac:dyDescent="0.15">
      <c r="D1576" s="12"/>
      <c r="E1576" s="12"/>
      <c r="I1576" s="12"/>
      <c r="J1576" s="13"/>
      <c r="BF1576" s="1"/>
      <c r="BG1576" s="1"/>
      <c r="BH1576" s="1"/>
      <c r="BI1576" s="1"/>
      <c r="BJ1576" s="1"/>
      <c r="BK1576" s="1"/>
      <c r="BL1576" s="1"/>
      <c r="BM1576" s="1"/>
      <c r="BN1576" s="1"/>
      <c r="BO1576" s="1"/>
      <c r="BP1576" s="1"/>
      <c r="BQ1576" s="1"/>
      <c r="BR1576" s="1"/>
      <c r="CD1576" s="1"/>
      <c r="CE1576" s="1"/>
      <c r="CF1576" s="1"/>
      <c r="CG1576" s="1"/>
      <c r="CM1576" s="2"/>
      <c r="CP1576" s="1"/>
      <c r="CQ1576" s="1"/>
      <c r="CR1576" s="1"/>
      <c r="CS1576" s="1"/>
      <c r="CT1576" s="1"/>
      <c r="CU1576" s="1"/>
      <c r="CV1576" s="1"/>
      <c r="CW1576" s="1"/>
      <c r="CX1576" s="1"/>
      <c r="CY1576" s="1"/>
      <c r="CZ1576" s="1"/>
      <c r="DA1576" s="1"/>
      <c r="DB1576" s="1"/>
      <c r="DC1576" s="1"/>
      <c r="DD1576" s="1"/>
      <c r="DE1576" s="1"/>
      <c r="DF1576" s="1"/>
      <c r="DG1576" s="1"/>
      <c r="DH1576" s="1"/>
      <c r="DI1576" s="1"/>
      <c r="DJ1576" s="1"/>
      <c r="DK1576" s="1"/>
      <c r="ED1576" s="1"/>
      <c r="EE1576" s="1"/>
      <c r="EF1576" s="1"/>
      <c r="EG1576" s="1"/>
      <c r="EH1576" s="1"/>
      <c r="EK1576" s="1"/>
      <c r="EL1576" s="1"/>
      <c r="EM1576" s="1"/>
      <c r="EN1576" s="1"/>
      <c r="EQ1576" s="1"/>
      <c r="ER1576" s="1"/>
      <c r="ES1576" s="1"/>
      <c r="EV1576" s="1"/>
      <c r="EW1576" s="1"/>
      <c r="EY1576" s="1"/>
      <c r="EZ1576" s="1"/>
      <c r="GP1576" s="1"/>
      <c r="HH1576" s="1"/>
      <c r="HY1576" s="1"/>
      <c r="IE1576" s="1"/>
      <c r="IF1576" s="1"/>
      <c r="IG1576" s="1"/>
      <c r="IJ1576" s="1"/>
      <c r="IR1576" s="1"/>
      <c r="IS1576" s="1"/>
      <c r="IZ1576" s="1"/>
      <c r="JC1576" s="1"/>
      <c r="JF1576" s="1"/>
      <c r="JG1576" s="1"/>
      <c r="JH1576" s="1"/>
      <c r="JJ1576" s="1"/>
      <c r="JK1576" s="1"/>
      <c r="JL1576" s="3"/>
      <c r="JM1576" s="1"/>
      <c r="JP1576" s="1"/>
      <c r="JQ1576" s="1"/>
      <c r="JR1576" s="1"/>
      <c r="JT1576" s="1"/>
      <c r="KU1576" s="1"/>
      <c r="KV1576" s="1"/>
      <c r="KW1576" s="1"/>
      <c r="KY1576" s="1"/>
      <c r="KZ1576" s="1"/>
      <c r="LA1576" s="1"/>
      <c r="LB1576" s="1"/>
      <c r="LC1576" s="1"/>
      <c r="LD1576" s="1"/>
      <c r="LO1576" s="1"/>
      <c r="LP1576" s="1"/>
      <c r="LZ1576" s="1"/>
      <c r="MA1576" s="1"/>
    </row>
    <row r="1577" spans="4:339" ht="13" x14ac:dyDescent="0.15">
      <c r="D1577" s="12"/>
      <c r="E1577" s="12"/>
      <c r="I1577" s="12"/>
      <c r="J1577" s="13"/>
      <c r="BF1577" s="1"/>
      <c r="BG1577" s="1"/>
      <c r="BH1577" s="1"/>
      <c r="BI1577" s="1"/>
      <c r="BJ1577" s="1"/>
      <c r="BK1577" s="1"/>
      <c r="BL1577" s="1"/>
      <c r="BM1577" s="1"/>
      <c r="BN1577" s="1"/>
      <c r="BO1577" s="1"/>
      <c r="BP1577" s="1"/>
      <c r="BQ1577" s="1"/>
      <c r="BR1577" s="1"/>
      <c r="CD1577" s="1"/>
      <c r="CE1577" s="1"/>
      <c r="CF1577" s="1"/>
      <c r="CG1577" s="1"/>
      <c r="CM1577" s="2"/>
      <c r="CP1577" s="1"/>
      <c r="CQ1577" s="1"/>
      <c r="CR1577" s="1"/>
      <c r="CS1577" s="1"/>
      <c r="CT1577" s="1"/>
      <c r="CU1577" s="1"/>
      <c r="CV1577" s="1"/>
      <c r="CW1577" s="1"/>
      <c r="CX1577" s="1"/>
      <c r="CY1577" s="1"/>
      <c r="CZ1577" s="1"/>
      <c r="DA1577" s="1"/>
      <c r="DB1577" s="1"/>
      <c r="DC1577" s="1"/>
      <c r="DD1577" s="1"/>
      <c r="DE1577" s="1"/>
      <c r="DF1577" s="1"/>
      <c r="DG1577" s="1"/>
      <c r="DH1577" s="1"/>
      <c r="DI1577" s="1"/>
      <c r="DJ1577" s="1"/>
      <c r="DK1577" s="1"/>
      <c r="ED1577" s="1"/>
      <c r="EE1577" s="1"/>
      <c r="EF1577" s="1"/>
      <c r="EG1577" s="1"/>
      <c r="EH1577" s="1"/>
      <c r="EK1577" s="1"/>
      <c r="EL1577" s="1"/>
      <c r="EM1577" s="1"/>
      <c r="EN1577" s="1"/>
      <c r="EQ1577" s="1"/>
      <c r="ER1577" s="1"/>
      <c r="ES1577" s="1"/>
      <c r="EV1577" s="1"/>
      <c r="EW1577" s="1"/>
      <c r="EY1577" s="1"/>
      <c r="EZ1577" s="1"/>
      <c r="GP1577" s="1"/>
      <c r="HH1577" s="1"/>
      <c r="HY1577" s="1"/>
      <c r="IE1577" s="1"/>
      <c r="IF1577" s="1"/>
      <c r="IG1577" s="1"/>
      <c r="IJ1577" s="1"/>
      <c r="IR1577" s="1"/>
      <c r="IS1577" s="1"/>
      <c r="IZ1577" s="1"/>
      <c r="JC1577" s="1"/>
      <c r="JF1577" s="1"/>
      <c r="JG1577" s="1"/>
      <c r="JH1577" s="1"/>
      <c r="JJ1577" s="1"/>
      <c r="JK1577" s="1"/>
      <c r="JL1577" s="3"/>
      <c r="JM1577" s="1"/>
      <c r="JP1577" s="1"/>
      <c r="JQ1577" s="1"/>
      <c r="JR1577" s="1"/>
      <c r="JT1577" s="1"/>
      <c r="KU1577" s="1"/>
      <c r="KV1577" s="1"/>
      <c r="KW1577" s="1"/>
      <c r="KY1577" s="1"/>
      <c r="KZ1577" s="1"/>
      <c r="LA1577" s="1"/>
      <c r="LB1577" s="1"/>
      <c r="LC1577" s="1"/>
      <c r="LD1577" s="1"/>
      <c r="LO1577" s="1"/>
      <c r="LP1577" s="1"/>
      <c r="LZ1577" s="1"/>
      <c r="MA1577" s="1"/>
    </row>
    <row r="1578" spans="4:339" ht="13" x14ac:dyDescent="0.15">
      <c r="D1578" s="12"/>
      <c r="E1578" s="12"/>
      <c r="I1578" s="12"/>
      <c r="J1578" s="13"/>
      <c r="BF1578" s="1"/>
      <c r="BG1578" s="1"/>
      <c r="BH1578" s="1"/>
      <c r="BI1578" s="1"/>
      <c r="BJ1578" s="1"/>
      <c r="BK1578" s="1"/>
      <c r="BL1578" s="1"/>
      <c r="BM1578" s="1"/>
      <c r="BN1578" s="1"/>
      <c r="BO1578" s="1"/>
      <c r="BP1578" s="1"/>
      <c r="BQ1578" s="1"/>
      <c r="BR1578" s="1"/>
      <c r="CD1578" s="1"/>
      <c r="CE1578" s="1"/>
      <c r="CF1578" s="1"/>
      <c r="CG1578" s="1"/>
      <c r="CM1578" s="2"/>
      <c r="CP1578" s="1"/>
      <c r="CQ1578" s="1"/>
      <c r="CR1578" s="1"/>
      <c r="CS1578" s="1"/>
      <c r="CT1578" s="1"/>
      <c r="CU1578" s="1"/>
      <c r="CV1578" s="1"/>
      <c r="CW1578" s="1"/>
      <c r="CX1578" s="1"/>
      <c r="CY1578" s="1"/>
      <c r="CZ1578" s="1"/>
      <c r="DA1578" s="1"/>
      <c r="DB1578" s="1"/>
      <c r="DC1578" s="1"/>
      <c r="DD1578" s="1"/>
      <c r="DE1578" s="1"/>
      <c r="DF1578" s="1"/>
      <c r="DG1578" s="1"/>
      <c r="DH1578" s="1"/>
      <c r="DI1578" s="1"/>
      <c r="DJ1578" s="1"/>
      <c r="DK1578" s="1"/>
      <c r="ED1578" s="1"/>
      <c r="EE1578" s="1"/>
      <c r="EF1578" s="1"/>
      <c r="EG1578" s="1"/>
      <c r="EH1578" s="1"/>
      <c r="EK1578" s="1"/>
      <c r="EL1578" s="1"/>
      <c r="EM1578" s="1"/>
      <c r="EN1578" s="1"/>
      <c r="EQ1578" s="1"/>
      <c r="ER1578" s="1"/>
      <c r="ES1578" s="1"/>
      <c r="EV1578" s="1"/>
      <c r="EW1578" s="1"/>
      <c r="EY1578" s="1"/>
      <c r="EZ1578" s="1"/>
      <c r="GP1578" s="1"/>
      <c r="HH1578" s="1"/>
      <c r="HY1578" s="1"/>
      <c r="IE1578" s="1"/>
      <c r="IF1578" s="1"/>
      <c r="IG1578" s="1"/>
      <c r="IJ1578" s="1"/>
      <c r="IR1578" s="1"/>
      <c r="IS1578" s="1"/>
      <c r="IZ1578" s="1"/>
      <c r="JC1578" s="1"/>
      <c r="JF1578" s="1"/>
      <c r="JG1578" s="1"/>
      <c r="JH1578" s="1"/>
      <c r="JJ1578" s="1"/>
      <c r="JK1578" s="1"/>
      <c r="JL1578" s="3"/>
      <c r="JM1578" s="1"/>
      <c r="JP1578" s="1"/>
      <c r="JQ1578" s="1"/>
      <c r="JR1578" s="1"/>
      <c r="JT1578" s="1"/>
      <c r="KU1578" s="1"/>
      <c r="KV1578" s="1"/>
      <c r="KW1578" s="1"/>
      <c r="KY1578" s="1"/>
      <c r="KZ1578" s="1"/>
      <c r="LA1578" s="1"/>
      <c r="LB1578" s="1"/>
      <c r="LC1578" s="1"/>
      <c r="LD1578" s="1"/>
      <c r="LO1578" s="1"/>
      <c r="LP1578" s="1"/>
      <c r="LZ1578" s="1"/>
      <c r="MA1578" s="1"/>
    </row>
    <row r="1579" spans="4:339" ht="13" x14ac:dyDescent="0.15">
      <c r="D1579" s="12"/>
      <c r="E1579" s="12"/>
      <c r="I1579" s="12"/>
      <c r="J1579" s="13"/>
      <c r="BF1579" s="1"/>
      <c r="BG1579" s="1"/>
      <c r="BH1579" s="1"/>
      <c r="BI1579" s="1"/>
      <c r="BJ1579" s="1"/>
      <c r="BK1579" s="1"/>
      <c r="BL1579" s="1"/>
      <c r="BM1579" s="1"/>
      <c r="BN1579" s="1"/>
      <c r="BO1579" s="1"/>
      <c r="BP1579" s="1"/>
      <c r="BQ1579" s="1"/>
      <c r="BR1579" s="1"/>
      <c r="CD1579" s="1"/>
      <c r="CE1579" s="1"/>
      <c r="CF1579" s="1"/>
      <c r="CG1579" s="1"/>
      <c r="CM1579" s="2"/>
      <c r="CP1579" s="1"/>
      <c r="CQ1579" s="1"/>
      <c r="CR1579" s="1"/>
      <c r="CS1579" s="1"/>
      <c r="CT1579" s="1"/>
      <c r="CU1579" s="1"/>
      <c r="CV1579" s="1"/>
      <c r="CW1579" s="1"/>
      <c r="CX1579" s="1"/>
      <c r="CY1579" s="1"/>
      <c r="CZ1579" s="1"/>
      <c r="DA1579" s="1"/>
      <c r="DB1579" s="1"/>
      <c r="DC1579" s="1"/>
      <c r="DD1579" s="1"/>
      <c r="DE1579" s="1"/>
      <c r="DF1579" s="1"/>
      <c r="DG1579" s="1"/>
      <c r="DH1579" s="1"/>
      <c r="DI1579" s="1"/>
      <c r="DJ1579" s="1"/>
      <c r="DK1579" s="1"/>
      <c r="ED1579" s="1"/>
      <c r="EE1579" s="1"/>
      <c r="EF1579" s="1"/>
      <c r="EG1579" s="1"/>
      <c r="EH1579" s="1"/>
      <c r="EK1579" s="1"/>
      <c r="EL1579" s="1"/>
      <c r="EM1579" s="1"/>
      <c r="EN1579" s="1"/>
      <c r="EQ1579" s="1"/>
      <c r="ER1579" s="1"/>
      <c r="ES1579" s="1"/>
      <c r="EV1579" s="1"/>
      <c r="EW1579" s="1"/>
      <c r="EY1579" s="1"/>
      <c r="EZ1579" s="1"/>
      <c r="GP1579" s="1"/>
      <c r="HH1579" s="1"/>
      <c r="HY1579" s="1"/>
      <c r="IE1579" s="1"/>
      <c r="IF1579" s="1"/>
      <c r="IG1579" s="1"/>
      <c r="IJ1579" s="1"/>
      <c r="IR1579" s="1"/>
      <c r="IS1579" s="1"/>
      <c r="IZ1579" s="1"/>
      <c r="JC1579" s="1"/>
      <c r="JF1579" s="1"/>
      <c r="JG1579" s="1"/>
      <c r="JH1579" s="1"/>
      <c r="JJ1579" s="1"/>
      <c r="JK1579" s="1"/>
      <c r="JL1579" s="3"/>
      <c r="JM1579" s="1"/>
      <c r="JP1579" s="1"/>
      <c r="JQ1579" s="1"/>
      <c r="JR1579" s="1"/>
      <c r="JT1579" s="1"/>
      <c r="KU1579" s="1"/>
      <c r="KV1579" s="1"/>
      <c r="KW1579" s="1"/>
      <c r="KY1579" s="1"/>
      <c r="KZ1579" s="1"/>
      <c r="LA1579" s="1"/>
      <c r="LB1579" s="1"/>
      <c r="LC1579" s="1"/>
      <c r="LD1579" s="1"/>
      <c r="LO1579" s="1"/>
      <c r="LP1579" s="1"/>
      <c r="LZ1579" s="1"/>
      <c r="MA1579" s="1"/>
    </row>
    <row r="1580" spans="4:339" ht="13" x14ac:dyDescent="0.15">
      <c r="D1580" s="12"/>
      <c r="E1580" s="12"/>
      <c r="I1580" s="12"/>
      <c r="J1580" s="13"/>
      <c r="BF1580" s="1"/>
      <c r="BG1580" s="1"/>
      <c r="BH1580" s="1"/>
      <c r="BI1580" s="1"/>
      <c r="BJ1580" s="1"/>
      <c r="BK1580" s="1"/>
      <c r="BL1580" s="1"/>
      <c r="BM1580" s="1"/>
      <c r="BN1580" s="1"/>
      <c r="BO1580" s="1"/>
      <c r="BP1580" s="1"/>
      <c r="BQ1580" s="1"/>
      <c r="BR1580" s="1"/>
      <c r="CD1580" s="1"/>
      <c r="CE1580" s="1"/>
      <c r="CF1580" s="1"/>
      <c r="CG1580" s="1"/>
      <c r="CM1580" s="2"/>
      <c r="CP1580" s="1"/>
      <c r="CQ1580" s="1"/>
      <c r="CR1580" s="1"/>
      <c r="CS1580" s="1"/>
      <c r="CT1580" s="1"/>
      <c r="CU1580" s="1"/>
      <c r="CV1580" s="1"/>
      <c r="CW1580" s="1"/>
      <c r="CX1580" s="1"/>
      <c r="CY1580" s="1"/>
      <c r="CZ1580" s="1"/>
      <c r="DA1580" s="1"/>
      <c r="DB1580" s="1"/>
      <c r="DC1580" s="1"/>
      <c r="DD1580" s="1"/>
      <c r="DE1580" s="1"/>
      <c r="DF1580" s="1"/>
      <c r="DG1580" s="1"/>
      <c r="DH1580" s="1"/>
      <c r="DI1580" s="1"/>
      <c r="DJ1580" s="1"/>
      <c r="DK1580" s="1"/>
      <c r="ED1580" s="1"/>
      <c r="EE1580" s="1"/>
      <c r="EF1580" s="1"/>
      <c r="EG1580" s="1"/>
      <c r="EH1580" s="1"/>
      <c r="EK1580" s="1"/>
      <c r="EL1580" s="1"/>
      <c r="EM1580" s="1"/>
      <c r="EN1580" s="1"/>
      <c r="EQ1580" s="1"/>
      <c r="ER1580" s="1"/>
      <c r="ES1580" s="1"/>
      <c r="EV1580" s="1"/>
      <c r="EW1580" s="1"/>
      <c r="EY1580" s="1"/>
      <c r="EZ1580" s="1"/>
      <c r="GP1580" s="1"/>
      <c r="HH1580" s="1"/>
      <c r="HY1580" s="1"/>
      <c r="IE1580" s="1"/>
      <c r="IF1580" s="1"/>
      <c r="IG1580" s="1"/>
      <c r="IJ1580" s="1"/>
      <c r="IR1580" s="1"/>
      <c r="IS1580" s="1"/>
      <c r="IZ1580" s="1"/>
      <c r="JC1580" s="1"/>
      <c r="JF1580" s="1"/>
      <c r="JG1580" s="1"/>
      <c r="JH1580" s="1"/>
      <c r="JJ1580" s="1"/>
      <c r="JK1580" s="1"/>
      <c r="JL1580" s="3"/>
      <c r="JM1580" s="1"/>
      <c r="JP1580" s="1"/>
      <c r="JQ1580" s="1"/>
      <c r="JR1580" s="1"/>
      <c r="JT1580" s="1"/>
      <c r="KU1580" s="1"/>
      <c r="KV1580" s="1"/>
      <c r="KW1580" s="1"/>
      <c r="KY1580" s="1"/>
      <c r="KZ1580" s="1"/>
      <c r="LA1580" s="1"/>
      <c r="LB1580" s="1"/>
      <c r="LC1580" s="1"/>
      <c r="LD1580" s="1"/>
      <c r="LO1580" s="1"/>
      <c r="LP1580" s="1"/>
      <c r="LZ1580" s="1"/>
      <c r="MA1580" s="1"/>
    </row>
    <row r="1581" spans="4:339" ht="13" x14ac:dyDescent="0.15">
      <c r="D1581" s="12"/>
      <c r="E1581" s="12"/>
      <c r="I1581" s="12"/>
      <c r="J1581" s="13"/>
      <c r="BF1581" s="1"/>
      <c r="BG1581" s="1"/>
      <c r="BH1581" s="1"/>
      <c r="BI1581" s="1"/>
      <c r="BJ1581" s="1"/>
      <c r="BK1581" s="1"/>
      <c r="BL1581" s="1"/>
      <c r="BM1581" s="1"/>
      <c r="BN1581" s="1"/>
      <c r="BO1581" s="1"/>
      <c r="BP1581" s="1"/>
      <c r="BQ1581" s="1"/>
      <c r="BR1581" s="1"/>
      <c r="CD1581" s="1"/>
      <c r="CE1581" s="1"/>
      <c r="CF1581" s="1"/>
      <c r="CG1581" s="1"/>
      <c r="CM1581" s="2"/>
      <c r="CP1581" s="1"/>
      <c r="CQ1581" s="1"/>
      <c r="CR1581" s="1"/>
      <c r="CS1581" s="1"/>
      <c r="CT1581" s="1"/>
      <c r="CU1581" s="1"/>
      <c r="CV1581" s="1"/>
      <c r="CW1581" s="1"/>
      <c r="CX1581" s="1"/>
      <c r="CY1581" s="1"/>
      <c r="CZ1581" s="1"/>
      <c r="DA1581" s="1"/>
      <c r="DB1581" s="1"/>
      <c r="DC1581" s="1"/>
      <c r="DD1581" s="1"/>
      <c r="DE1581" s="1"/>
      <c r="DF1581" s="1"/>
      <c r="DG1581" s="1"/>
      <c r="DH1581" s="1"/>
      <c r="DI1581" s="1"/>
      <c r="DJ1581" s="1"/>
      <c r="DK1581" s="1"/>
      <c r="ED1581" s="1"/>
      <c r="EE1581" s="1"/>
      <c r="EF1581" s="1"/>
      <c r="EG1581" s="1"/>
      <c r="EH1581" s="1"/>
      <c r="EK1581" s="1"/>
      <c r="EL1581" s="1"/>
      <c r="EM1581" s="1"/>
      <c r="EN1581" s="1"/>
      <c r="EQ1581" s="1"/>
      <c r="ER1581" s="1"/>
      <c r="ES1581" s="1"/>
      <c r="EV1581" s="1"/>
      <c r="EW1581" s="1"/>
      <c r="EY1581" s="1"/>
      <c r="EZ1581" s="1"/>
      <c r="GP1581" s="1"/>
      <c r="HH1581" s="1"/>
      <c r="HY1581" s="1"/>
      <c r="IE1581" s="1"/>
      <c r="IF1581" s="1"/>
      <c r="IG1581" s="1"/>
      <c r="IJ1581" s="1"/>
      <c r="IR1581" s="1"/>
      <c r="IS1581" s="1"/>
      <c r="IZ1581" s="1"/>
      <c r="JC1581" s="1"/>
      <c r="JF1581" s="1"/>
      <c r="JG1581" s="1"/>
      <c r="JH1581" s="1"/>
      <c r="JJ1581" s="1"/>
      <c r="JK1581" s="1"/>
      <c r="JL1581" s="3"/>
      <c r="JM1581" s="1"/>
      <c r="JP1581" s="1"/>
      <c r="JQ1581" s="1"/>
      <c r="JR1581" s="1"/>
      <c r="JT1581" s="1"/>
      <c r="KU1581" s="1"/>
      <c r="KV1581" s="1"/>
      <c r="KW1581" s="1"/>
      <c r="KY1581" s="1"/>
      <c r="KZ1581" s="1"/>
      <c r="LA1581" s="1"/>
      <c r="LB1581" s="1"/>
      <c r="LC1581" s="1"/>
      <c r="LD1581" s="1"/>
      <c r="LO1581" s="1"/>
      <c r="LP1581" s="1"/>
      <c r="LZ1581" s="1"/>
      <c r="MA1581" s="1"/>
    </row>
    <row r="1582" spans="4:339" ht="13" x14ac:dyDescent="0.15">
      <c r="D1582" s="12"/>
      <c r="E1582" s="12"/>
      <c r="I1582" s="12"/>
      <c r="J1582" s="13"/>
      <c r="BF1582" s="1"/>
      <c r="BG1582" s="1"/>
      <c r="BH1582" s="1"/>
      <c r="BI1582" s="1"/>
      <c r="BJ1582" s="1"/>
      <c r="BK1582" s="1"/>
      <c r="BL1582" s="1"/>
      <c r="BM1582" s="1"/>
      <c r="BN1582" s="1"/>
      <c r="BO1582" s="1"/>
      <c r="BP1582" s="1"/>
      <c r="BQ1582" s="1"/>
      <c r="BR1582" s="1"/>
      <c r="CD1582" s="1"/>
      <c r="CE1582" s="1"/>
      <c r="CF1582" s="1"/>
      <c r="CG1582" s="1"/>
      <c r="CM1582" s="2"/>
      <c r="CP1582" s="1"/>
      <c r="CQ1582" s="1"/>
      <c r="CR1582" s="1"/>
      <c r="CS1582" s="1"/>
      <c r="CT1582" s="1"/>
      <c r="CU1582" s="1"/>
      <c r="CV1582" s="1"/>
      <c r="CW1582" s="1"/>
      <c r="CX1582" s="1"/>
      <c r="CY1582" s="1"/>
      <c r="CZ1582" s="1"/>
      <c r="DA1582" s="1"/>
      <c r="DB1582" s="1"/>
      <c r="DC1582" s="1"/>
      <c r="DD1582" s="1"/>
      <c r="DE1582" s="1"/>
      <c r="DF1582" s="1"/>
      <c r="DG1582" s="1"/>
      <c r="DH1582" s="1"/>
      <c r="DI1582" s="1"/>
      <c r="DJ1582" s="1"/>
      <c r="DK1582" s="1"/>
      <c r="ED1582" s="1"/>
      <c r="EE1582" s="1"/>
      <c r="EF1582" s="1"/>
      <c r="EG1582" s="1"/>
      <c r="EH1582" s="1"/>
      <c r="EK1582" s="1"/>
      <c r="EL1582" s="1"/>
      <c r="EM1582" s="1"/>
      <c r="EN1582" s="1"/>
      <c r="EQ1582" s="1"/>
      <c r="ER1582" s="1"/>
      <c r="ES1582" s="1"/>
      <c r="EV1582" s="1"/>
      <c r="EW1582" s="1"/>
      <c r="EY1582" s="1"/>
      <c r="EZ1582" s="1"/>
      <c r="GP1582" s="1"/>
      <c r="HH1582" s="1"/>
      <c r="HY1582" s="1"/>
      <c r="IE1582" s="1"/>
      <c r="IF1582" s="1"/>
      <c r="IG1582" s="1"/>
      <c r="IJ1582" s="1"/>
      <c r="IR1582" s="1"/>
      <c r="IS1582" s="1"/>
      <c r="IZ1582" s="1"/>
      <c r="JC1582" s="1"/>
      <c r="JF1582" s="1"/>
      <c r="JG1582" s="1"/>
      <c r="JH1582" s="1"/>
      <c r="JJ1582" s="1"/>
      <c r="JK1582" s="1"/>
      <c r="JL1582" s="3"/>
      <c r="JM1582" s="1"/>
      <c r="JP1582" s="1"/>
      <c r="JQ1582" s="1"/>
      <c r="JR1582" s="1"/>
      <c r="JT1582" s="1"/>
      <c r="KU1582" s="1"/>
      <c r="KV1582" s="1"/>
      <c r="KW1582" s="1"/>
      <c r="KY1582" s="1"/>
      <c r="KZ1582" s="1"/>
      <c r="LA1582" s="1"/>
      <c r="LB1582" s="1"/>
      <c r="LC1582" s="1"/>
      <c r="LD1582" s="1"/>
      <c r="LO1582" s="1"/>
      <c r="LP1582" s="1"/>
      <c r="LZ1582" s="1"/>
      <c r="MA1582" s="1"/>
    </row>
    <row r="1583" spans="4:339" ht="13" x14ac:dyDescent="0.15">
      <c r="D1583" s="12"/>
      <c r="E1583" s="12"/>
      <c r="I1583" s="12"/>
      <c r="J1583" s="13"/>
      <c r="BF1583" s="1"/>
      <c r="BG1583" s="1"/>
      <c r="BH1583" s="1"/>
      <c r="BI1583" s="1"/>
      <c r="BJ1583" s="1"/>
      <c r="BK1583" s="1"/>
      <c r="BL1583" s="1"/>
      <c r="BM1583" s="1"/>
      <c r="BN1583" s="1"/>
      <c r="BO1583" s="1"/>
      <c r="BP1583" s="1"/>
      <c r="BQ1583" s="1"/>
      <c r="BR1583" s="1"/>
      <c r="CD1583" s="1"/>
      <c r="CE1583" s="1"/>
      <c r="CF1583" s="1"/>
      <c r="CG1583" s="1"/>
      <c r="CK1583" s="1"/>
      <c r="CM1583" s="2"/>
      <c r="CP1583" s="1"/>
      <c r="CQ1583" s="1"/>
      <c r="CR1583" s="1"/>
      <c r="CS1583" s="1"/>
      <c r="CT1583" s="1"/>
      <c r="CU1583" s="1"/>
      <c r="CV1583" s="1"/>
      <c r="CW1583" s="1"/>
      <c r="CX1583" s="1"/>
      <c r="CY1583" s="1"/>
      <c r="CZ1583" s="1"/>
      <c r="DA1583" s="1"/>
      <c r="DB1583" s="1"/>
      <c r="DC1583" s="1"/>
      <c r="DD1583" s="1"/>
      <c r="DE1583" s="1"/>
      <c r="DF1583" s="1"/>
      <c r="DG1583" s="1"/>
      <c r="DH1583" s="1"/>
      <c r="DI1583" s="1"/>
      <c r="DJ1583" s="1"/>
      <c r="DK1583" s="1"/>
      <c r="DQ1583" s="1"/>
      <c r="DR1583" s="1"/>
      <c r="DY1583" s="1"/>
      <c r="DZ1583" s="1"/>
      <c r="ED1583" s="1"/>
      <c r="EE1583" s="1"/>
      <c r="EF1583" s="1"/>
      <c r="EG1583" s="1"/>
      <c r="EH1583" s="1"/>
      <c r="EK1583" s="1"/>
      <c r="EL1583" s="1"/>
      <c r="EM1583" s="1"/>
      <c r="EN1583" s="1"/>
      <c r="EQ1583" s="1"/>
      <c r="ER1583" s="1"/>
      <c r="ES1583" s="1"/>
      <c r="EV1583" s="1"/>
      <c r="EW1583" s="1"/>
      <c r="EY1583" s="1"/>
      <c r="EZ1583" s="1"/>
      <c r="GP1583" s="1"/>
      <c r="HH1583" s="1"/>
      <c r="HY1583" s="1"/>
      <c r="IE1583" s="1"/>
      <c r="IF1583" s="1"/>
      <c r="IG1583" s="1"/>
      <c r="IJ1583" s="1"/>
      <c r="IR1583" s="1"/>
      <c r="IS1583" s="1"/>
      <c r="IZ1583" s="1"/>
      <c r="JC1583" s="1"/>
      <c r="JF1583" s="1"/>
      <c r="JG1583" s="1"/>
      <c r="JH1583" s="1"/>
      <c r="JJ1583" s="1"/>
      <c r="JK1583" s="1"/>
      <c r="JL1583" s="3"/>
      <c r="JM1583" s="1"/>
      <c r="JN1583" s="1"/>
      <c r="JP1583" s="1"/>
      <c r="JQ1583" s="1"/>
      <c r="JR1583" s="1"/>
      <c r="JT1583" s="1"/>
      <c r="KV1583" s="1"/>
      <c r="KW1583" s="1"/>
      <c r="KY1583" s="1"/>
      <c r="KZ1583" s="1"/>
      <c r="LA1583" s="1"/>
      <c r="LB1583" s="1"/>
      <c r="LC1583" s="1"/>
      <c r="LD1583" s="1"/>
      <c r="LG1583" s="1"/>
      <c r="LH1583" s="5"/>
      <c r="LK1583" s="1"/>
      <c r="LL1583" s="1"/>
      <c r="LO1583" s="1"/>
      <c r="LP1583" s="1"/>
      <c r="LZ1583" s="1"/>
      <c r="MA1583" s="1"/>
    </row>
    <row r="1584" spans="4:339" ht="13" x14ac:dyDescent="0.15">
      <c r="D1584" s="12"/>
      <c r="E1584" s="12"/>
      <c r="I1584" s="12"/>
      <c r="J1584" s="13"/>
      <c r="BF1584" s="1"/>
      <c r="BG1584" s="1"/>
      <c r="BH1584" s="1"/>
      <c r="BI1584" s="1"/>
      <c r="BJ1584" s="1"/>
      <c r="BK1584" s="1"/>
      <c r="BL1584" s="1"/>
      <c r="BM1584" s="1"/>
      <c r="BN1584" s="1"/>
      <c r="BO1584" s="1"/>
      <c r="BP1584" s="1"/>
      <c r="BQ1584" s="1"/>
      <c r="BR1584" s="1"/>
      <c r="CD1584" s="1"/>
      <c r="CE1584" s="1"/>
      <c r="CF1584" s="1"/>
      <c r="CG1584" s="1"/>
      <c r="CK1584" s="1"/>
      <c r="CM1584" s="2"/>
      <c r="CP1584" s="1"/>
      <c r="CQ1584" s="1"/>
      <c r="CR1584" s="1"/>
      <c r="CS1584" s="1"/>
      <c r="CT1584" s="1"/>
      <c r="CU1584" s="1"/>
      <c r="CV1584" s="1"/>
      <c r="CW1584" s="1"/>
      <c r="CX1584" s="1"/>
      <c r="CY1584" s="1"/>
      <c r="CZ1584" s="1"/>
      <c r="DA1584" s="1"/>
      <c r="DB1584" s="1"/>
      <c r="DC1584" s="1"/>
      <c r="DD1584" s="1"/>
      <c r="DE1584" s="1"/>
      <c r="DF1584" s="1"/>
      <c r="DG1584" s="1"/>
      <c r="DH1584" s="1"/>
      <c r="DI1584" s="1"/>
      <c r="DJ1584" s="1"/>
      <c r="DK1584" s="1"/>
      <c r="DQ1584" s="1"/>
      <c r="DR1584" s="1"/>
      <c r="DY1584" s="1"/>
      <c r="DZ1584" s="1"/>
      <c r="ED1584" s="1"/>
      <c r="EE1584" s="1"/>
      <c r="EF1584" s="1"/>
      <c r="EG1584" s="1"/>
      <c r="EH1584" s="1"/>
      <c r="EK1584" s="1"/>
      <c r="EL1584" s="1"/>
      <c r="EM1584" s="1"/>
      <c r="EN1584" s="1"/>
      <c r="EQ1584" s="1"/>
      <c r="ER1584" s="1"/>
      <c r="ES1584" s="1"/>
      <c r="EV1584" s="1"/>
      <c r="EW1584" s="1"/>
      <c r="EY1584" s="1"/>
      <c r="EZ1584" s="1"/>
      <c r="GP1584" s="1"/>
      <c r="HH1584" s="1"/>
      <c r="HY1584" s="1"/>
      <c r="IE1584" s="1"/>
      <c r="IF1584" s="1"/>
      <c r="IG1584" s="1"/>
      <c r="IJ1584" s="1"/>
      <c r="IR1584" s="1"/>
      <c r="IS1584" s="1"/>
      <c r="IZ1584" s="1"/>
      <c r="JC1584" s="1"/>
      <c r="JF1584" s="1"/>
      <c r="JG1584" s="1"/>
      <c r="JH1584" s="1"/>
      <c r="JJ1584" s="1"/>
      <c r="JK1584" s="1"/>
      <c r="JL1584" s="3"/>
      <c r="JM1584" s="1"/>
      <c r="JN1584" s="1"/>
      <c r="JP1584" s="1"/>
      <c r="JQ1584" s="1"/>
      <c r="JR1584" s="1"/>
      <c r="JT1584" s="1"/>
      <c r="KV1584" s="1"/>
      <c r="KW1584" s="1"/>
      <c r="KY1584" s="1"/>
      <c r="KZ1584" s="1"/>
      <c r="LA1584" s="1"/>
      <c r="LB1584" s="1"/>
      <c r="LC1584" s="1"/>
      <c r="LD1584" s="1"/>
      <c r="LG1584" s="1"/>
      <c r="LH1584" s="5"/>
      <c r="LK1584" s="1"/>
      <c r="LL1584" s="1"/>
      <c r="LO1584" s="1"/>
      <c r="LP1584" s="1"/>
      <c r="LZ1584" s="1"/>
      <c r="MA1584" s="1"/>
    </row>
    <row r="1585" spans="4:339" ht="13" x14ac:dyDescent="0.15">
      <c r="D1585" s="12"/>
      <c r="E1585" s="12"/>
      <c r="I1585" s="12"/>
      <c r="J1585" s="13"/>
      <c r="BF1585" s="1"/>
      <c r="BG1585" s="1"/>
      <c r="BH1585" s="1"/>
      <c r="BI1585" s="1"/>
      <c r="BJ1585" s="1"/>
      <c r="BK1585" s="1"/>
      <c r="BL1585" s="1"/>
      <c r="BM1585" s="1"/>
      <c r="BN1585" s="1"/>
      <c r="BO1585" s="1"/>
      <c r="BP1585" s="1"/>
      <c r="BQ1585" s="1"/>
      <c r="BR1585" s="1"/>
      <c r="CD1585" s="1"/>
      <c r="CE1585" s="1"/>
      <c r="CF1585" s="1"/>
      <c r="CG1585" s="1"/>
      <c r="CK1585" s="1"/>
      <c r="CM1585" s="2"/>
      <c r="CP1585" s="1"/>
      <c r="CQ1585" s="1"/>
      <c r="CR1585" s="1"/>
      <c r="CS1585" s="1"/>
      <c r="CT1585" s="1"/>
      <c r="CU1585" s="1"/>
      <c r="CV1585" s="1"/>
      <c r="CW1585" s="1"/>
      <c r="CX1585" s="1"/>
      <c r="CY1585" s="1"/>
      <c r="CZ1585" s="1"/>
      <c r="DA1585" s="1"/>
      <c r="DB1585" s="1"/>
      <c r="DC1585" s="1"/>
      <c r="DD1585" s="1"/>
      <c r="DE1585" s="1"/>
      <c r="DF1585" s="1"/>
      <c r="DG1585" s="1"/>
      <c r="DH1585" s="1"/>
      <c r="DI1585" s="1"/>
      <c r="DJ1585" s="1"/>
      <c r="DK1585" s="1"/>
      <c r="DQ1585" s="1"/>
      <c r="DR1585" s="1"/>
      <c r="DY1585" s="1"/>
      <c r="DZ1585" s="1"/>
      <c r="ED1585" s="1"/>
      <c r="EE1585" s="1"/>
      <c r="EF1585" s="1"/>
      <c r="EG1585" s="1"/>
      <c r="EH1585" s="1"/>
      <c r="EK1585" s="1"/>
      <c r="EL1585" s="1"/>
      <c r="EM1585" s="1"/>
      <c r="EN1585" s="1"/>
      <c r="EQ1585" s="1"/>
      <c r="ER1585" s="1"/>
      <c r="ES1585" s="1"/>
      <c r="EV1585" s="1"/>
      <c r="EW1585" s="1"/>
      <c r="EY1585" s="1"/>
      <c r="EZ1585" s="1"/>
      <c r="GP1585" s="1"/>
      <c r="HH1585" s="1"/>
      <c r="HY1585" s="1"/>
      <c r="IE1585" s="1"/>
      <c r="IF1585" s="1"/>
      <c r="IG1585" s="1"/>
      <c r="IJ1585" s="1"/>
      <c r="IR1585" s="1"/>
      <c r="IS1585" s="1"/>
      <c r="IZ1585" s="1"/>
      <c r="JC1585" s="1"/>
      <c r="JF1585" s="1"/>
      <c r="JG1585" s="1"/>
      <c r="JH1585" s="1"/>
      <c r="JJ1585" s="1"/>
      <c r="JK1585" s="1"/>
      <c r="JL1585" s="3"/>
      <c r="JM1585" s="1"/>
      <c r="JN1585" s="1"/>
      <c r="JP1585" s="1"/>
      <c r="JQ1585" s="1"/>
      <c r="JR1585" s="1"/>
      <c r="JT1585" s="1"/>
      <c r="KV1585" s="1"/>
      <c r="KW1585" s="1"/>
      <c r="KY1585" s="1"/>
      <c r="KZ1585" s="1"/>
      <c r="LA1585" s="1"/>
      <c r="LB1585" s="1"/>
      <c r="LC1585" s="1"/>
      <c r="LD1585" s="1"/>
      <c r="LG1585" s="1"/>
      <c r="LH1585" s="5"/>
      <c r="LK1585" s="1"/>
      <c r="LL1585" s="1"/>
      <c r="LO1585" s="1"/>
      <c r="LP1585" s="1"/>
      <c r="LZ1585" s="1"/>
      <c r="MA1585" s="1"/>
    </row>
    <row r="1586" spans="4:339" ht="13" x14ac:dyDescent="0.15">
      <c r="D1586" s="12"/>
      <c r="E1586" s="12"/>
      <c r="I1586" s="12"/>
      <c r="J1586" s="13"/>
      <c r="BF1586" s="1"/>
      <c r="BG1586" s="1"/>
      <c r="BH1586" s="1"/>
      <c r="BI1586" s="1"/>
      <c r="BK1586" s="1"/>
      <c r="BL1586" s="1"/>
      <c r="BM1586" s="1"/>
      <c r="BN1586" s="1"/>
      <c r="BO1586" s="1"/>
      <c r="BP1586" s="1"/>
      <c r="BQ1586" s="1"/>
      <c r="BR1586" s="1"/>
      <c r="CD1586" s="1"/>
      <c r="CE1586" s="1"/>
      <c r="CF1586" s="1"/>
      <c r="CG1586" s="1"/>
      <c r="CM1586" s="2"/>
      <c r="CP1586" s="1"/>
      <c r="CQ1586" s="1"/>
      <c r="CX1586" s="1"/>
      <c r="CY1586" s="1"/>
      <c r="CZ1586" s="1"/>
      <c r="DA1586" s="1"/>
      <c r="DB1586" s="1"/>
      <c r="DC1586" s="1"/>
      <c r="DD1586" s="1"/>
      <c r="DE1586" s="1"/>
      <c r="DF1586" s="1"/>
      <c r="DG1586" s="1"/>
      <c r="DH1586" s="1"/>
      <c r="DI1586" s="1"/>
      <c r="DJ1586" s="1"/>
      <c r="DK1586" s="1"/>
      <c r="ED1586" s="1"/>
      <c r="EK1586" s="1"/>
      <c r="EL1586" s="1"/>
      <c r="EM1586" s="1"/>
      <c r="EN1586" s="1"/>
      <c r="EQ1586" s="1"/>
      <c r="ER1586" s="1"/>
      <c r="ES1586" s="1"/>
      <c r="EV1586" s="1"/>
      <c r="EW1586" s="1"/>
      <c r="EZ1586" s="1"/>
      <c r="HY1586" s="1"/>
      <c r="IE1586" s="1"/>
      <c r="IR1586" s="1"/>
      <c r="IS1586" s="1"/>
      <c r="IZ1586" s="1"/>
      <c r="JF1586" s="1"/>
      <c r="JG1586" s="1"/>
      <c r="JJ1586" s="1"/>
      <c r="JN1586" s="1"/>
      <c r="JP1586" s="1"/>
      <c r="JQ1586" s="1"/>
      <c r="KU1586" s="1"/>
      <c r="KV1586" s="1"/>
      <c r="KY1586" s="1"/>
      <c r="KZ1586" s="1"/>
      <c r="LA1586" s="1"/>
      <c r="LB1586" s="1"/>
      <c r="LC1586" s="1"/>
      <c r="LD1586" s="1"/>
      <c r="LO1586" s="1"/>
      <c r="LP1586" s="1"/>
      <c r="LX1586" s="1"/>
      <c r="LZ1586" s="1"/>
      <c r="MA1586" s="1"/>
    </row>
    <row r="1587" spans="4:339" ht="13" x14ac:dyDescent="0.15">
      <c r="D1587" s="12"/>
      <c r="E1587" s="12"/>
      <c r="I1587" s="12"/>
      <c r="J1587" s="13"/>
      <c r="BF1587" s="1"/>
      <c r="BG1587" s="1"/>
      <c r="BH1587" s="1"/>
      <c r="BI1587" s="1"/>
      <c r="BK1587" s="1"/>
      <c r="BL1587" s="1"/>
      <c r="BM1587" s="1"/>
      <c r="BN1587" s="1"/>
      <c r="BO1587" s="1"/>
      <c r="BP1587" s="1"/>
      <c r="BQ1587" s="1"/>
      <c r="BR1587" s="1"/>
      <c r="CD1587" s="1"/>
      <c r="CE1587" s="1"/>
      <c r="CF1587" s="1"/>
      <c r="CG1587" s="1"/>
      <c r="CM1587" s="2"/>
      <c r="CP1587" s="1"/>
      <c r="CQ1587" s="1"/>
      <c r="CX1587" s="1"/>
      <c r="CY1587" s="1"/>
      <c r="CZ1587" s="1"/>
      <c r="DA1587" s="1"/>
      <c r="DB1587" s="1"/>
      <c r="DC1587" s="1"/>
      <c r="DD1587" s="1"/>
      <c r="DE1587" s="1"/>
      <c r="DF1587" s="1"/>
      <c r="DG1587" s="1"/>
      <c r="DH1587" s="1"/>
      <c r="DI1587" s="1"/>
      <c r="DJ1587" s="1"/>
      <c r="DK1587" s="1"/>
      <c r="ED1587" s="1"/>
      <c r="EK1587" s="1"/>
      <c r="EL1587" s="1"/>
      <c r="EM1587" s="1"/>
      <c r="EN1587" s="1"/>
      <c r="EQ1587" s="1"/>
      <c r="ER1587" s="1"/>
      <c r="ES1587" s="1"/>
      <c r="EV1587" s="1"/>
      <c r="EW1587" s="1"/>
      <c r="EZ1587" s="1"/>
      <c r="HY1587" s="1"/>
      <c r="IE1587" s="1"/>
      <c r="IR1587" s="1"/>
      <c r="IS1587" s="1"/>
      <c r="IZ1587" s="1"/>
      <c r="JF1587" s="1"/>
      <c r="JG1587" s="1"/>
      <c r="JJ1587" s="1"/>
      <c r="JN1587" s="1"/>
      <c r="JP1587" s="1"/>
      <c r="JQ1587" s="1"/>
      <c r="KU1587" s="1"/>
      <c r="KV1587" s="1"/>
      <c r="KY1587" s="1"/>
      <c r="KZ1587" s="1"/>
      <c r="LA1587" s="1"/>
      <c r="LB1587" s="1"/>
      <c r="LC1587" s="1"/>
      <c r="LD1587" s="1"/>
      <c r="LO1587" s="1"/>
      <c r="LP1587" s="1"/>
      <c r="LX1587" s="1"/>
      <c r="LZ1587" s="1"/>
      <c r="MA1587" s="1"/>
    </row>
    <row r="1588" spans="4:339" ht="13" x14ac:dyDescent="0.15">
      <c r="D1588" s="12"/>
      <c r="E1588" s="12"/>
      <c r="I1588" s="12"/>
      <c r="J1588" s="13"/>
      <c r="BG1588" s="1"/>
      <c r="BH1588" s="1"/>
      <c r="BI1588" s="1"/>
      <c r="BK1588" s="1"/>
      <c r="BL1588" s="1"/>
      <c r="BM1588" s="1"/>
      <c r="BN1588" s="1"/>
      <c r="BO1588" s="1"/>
      <c r="BP1588" s="1"/>
      <c r="BQ1588" s="1"/>
      <c r="BR1588" s="1"/>
      <c r="CD1588" s="1"/>
      <c r="CE1588" s="1"/>
      <c r="CF1588" s="1"/>
      <c r="CG1588" s="1"/>
      <c r="CM1588" s="2"/>
      <c r="CQ1588" s="1"/>
      <c r="CY1588" s="1"/>
      <c r="DC1588" s="1"/>
      <c r="DH1588" s="1"/>
      <c r="ED1588" s="1"/>
      <c r="EF1588" s="1"/>
      <c r="EK1588" s="1"/>
      <c r="EL1588" s="1"/>
      <c r="EM1588" s="1"/>
      <c r="EN1588" s="1"/>
      <c r="EQ1588" s="1"/>
      <c r="ER1588" s="1"/>
      <c r="ES1588" s="1"/>
      <c r="EV1588" s="1"/>
      <c r="EW1588" s="1"/>
      <c r="EZ1588" s="1"/>
      <c r="GO1588" s="1"/>
      <c r="HY1588" s="1"/>
      <c r="IC1588" s="1"/>
      <c r="ID1588" s="1"/>
      <c r="IJ1588" s="1"/>
      <c r="IR1588" s="1"/>
      <c r="IS1588" s="1"/>
      <c r="IW1588" s="1"/>
      <c r="IY1588" s="1"/>
      <c r="IZ1588" s="1"/>
      <c r="JF1588" s="1"/>
      <c r="JG1588" s="1"/>
      <c r="JH1588" s="1"/>
      <c r="JJ1588" s="1"/>
      <c r="JN1588" s="1"/>
      <c r="JP1588" s="1"/>
      <c r="JQ1588" s="1"/>
      <c r="JT1588" s="1"/>
      <c r="KY1588" s="1"/>
      <c r="KZ1588" s="1"/>
      <c r="LA1588" s="1"/>
      <c r="LB1588" s="1"/>
      <c r="LC1588" s="1"/>
      <c r="LD1588" s="1"/>
      <c r="LO1588" s="1"/>
      <c r="LP1588" s="1"/>
      <c r="LZ1588" s="1"/>
      <c r="MA1588" s="1"/>
    </row>
    <row r="1589" spans="4:339" ht="13" x14ac:dyDescent="0.15">
      <c r="D1589" s="12"/>
      <c r="E1589" s="12"/>
      <c r="I1589" s="12"/>
      <c r="J1589" s="13"/>
      <c r="BF1589" s="1"/>
      <c r="BG1589" s="1"/>
      <c r="BH1589" s="1"/>
      <c r="BI1589" s="1"/>
      <c r="BK1589" s="1"/>
      <c r="BL1589" s="1"/>
      <c r="BM1589" s="1"/>
      <c r="BN1589" s="1"/>
      <c r="BO1589" s="1"/>
      <c r="BP1589" s="1"/>
      <c r="BQ1589" s="1"/>
      <c r="BR1589" s="1"/>
      <c r="CD1589" s="1"/>
      <c r="CE1589" s="1"/>
      <c r="CF1589" s="1"/>
      <c r="CM1589" s="2"/>
      <c r="CP1589" s="1"/>
      <c r="CQ1589" s="1"/>
      <c r="CX1589" s="1"/>
      <c r="CY1589" s="1"/>
      <c r="CZ1589" s="1"/>
      <c r="DA1589" s="1"/>
      <c r="DB1589" s="1"/>
      <c r="DC1589" s="1"/>
      <c r="DD1589" s="1"/>
      <c r="DE1589" s="1"/>
      <c r="DF1589" s="1"/>
      <c r="DG1589" s="1"/>
      <c r="DH1589" s="1"/>
      <c r="DI1589" s="1"/>
      <c r="DJ1589" s="1"/>
      <c r="DK1589" s="1"/>
      <c r="DM1589" s="1"/>
      <c r="DQ1589" s="1"/>
      <c r="DR1589" s="1"/>
      <c r="DY1589" s="1"/>
      <c r="DZ1589" s="1"/>
      <c r="ED1589" s="1"/>
      <c r="EF1589" s="1"/>
      <c r="EK1589" s="1"/>
      <c r="EL1589" s="1"/>
      <c r="EM1589" s="1"/>
      <c r="EN1589" s="1"/>
      <c r="EQ1589" s="1"/>
      <c r="ER1589" s="1"/>
      <c r="ES1589" s="1"/>
      <c r="EV1589" s="1"/>
      <c r="EW1589" s="1"/>
      <c r="EZ1589" s="1"/>
      <c r="GP1589" s="1"/>
      <c r="HH1589" s="1"/>
      <c r="HY1589" s="1"/>
      <c r="IC1589" s="1"/>
      <c r="IE1589" s="1"/>
      <c r="IG1589" s="1"/>
      <c r="IJ1589" s="1"/>
      <c r="IR1589" s="1"/>
      <c r="IS1589" s="1"/>
      <c r="IY1589" s="1"/>
      <c r="IZ1589" s="1"/>
      <c r="JC1589" s="1"/>
      <c r="JF1589" s="1"/>
      <c r="JG1589" s="1"/>
      <c r="JI1589" s="1"/>
      <c r="JJ1589" s="1"/>
      <c r="JK1589" s="1"/>
      <c r="JL1589" s="3"/>
      <c r="JM1589" s="1"/>
      <c r="JN1589" s="1"/>
      <c r="JP1589" s="1"/>
      <c r="JQ1589" s="1"/>
      <c r="JR1589" s="1"/>
      <c r="JT1589" s="1"/>
      <c r="KU1589" s="1"/>
      <c r="KV1589" s="1"/>
      <c r="KW1589" s="1"/>
      <c r="KY1589" s="1"/>
      <c r="KZ1589" s="1"/>
      <c r="LA1589" s="1"/>
      <c r="LB1589" s="1"/>
      <c r="LC1589" s="1"/>
      <c r="LD1589" s="1"/>
      <c r="LO1589" s="1"/>
      <c r="LP1589" s="1"/>
      <c r="LZ1589" s="1"/>
      <c r="MA1589" s="1"/>
    </row>
    <row r="1590" spans="4:339" ht="13" x14ac:dyDescent="0.15">
      <c r="D1590" s="12"/>
      <c r="E1590" s="12"/>
      <c r="I1590" s="12"/>
      <c r="J1590" s="13"/>
      <c r="BF1590" s="1"/>
      <c r="BG1590" s="1"/>
      <c r="BH1590" s="1"/>
      <c r="BI1590" s="1"/>
      <c r="BK1590" s="1"/>
      <c r="BL1590" s="1"/>
      <c r="BM1590" s="1"/>
      <c r="BN1590" s="1"/>
      <c r="BO1590" s="1"/>
      <c r="BP1590" s="1"/>
      <c r="BQ1590" s="1"/>
      <c r="BR1590" s="1"/>
      <c r="CD1590" s="1"/>
      <c r="CE1590" s="1"/>
      <c r="CF1590" s="1"/>
      <c r="CG1590" s="1"/>
      <c r="CM1590" s="2"/>
      <c r="CP1590" s="1"/>
      <c r="CQ1590" s="1"/>
      <c r="CR1590" s="1"/>
      <c r="CS1590" s="1"/>
      <c r="CT1590" s="1"/>
      <c r="CU1590" s="1"/>
      <c r="CV1590" s="1"/>
      <c r="CW1590" s="1"/>
      <c r="CX1590" s="1"/>
      <c r="CY1590" s="1"/>
      <c r="CZ1590" s="1"/>
      <c r="DA1590" s="1"/>
      <c r="DB1590" s="1"/>
      <c r="DC1590" s="1"/>
      <c r="DD1590" s="1"/>
      <c r="DE1590" s="1"/>
      <c r="DF1590" s="1"/>
      <c r="DG1590" s="1"/>
      <c r="DH1590" s="1"/>
      <c r="DI1590" s="1"/>
      <c r="DJ1590" s="1"/>
      <c r="DK1590" s="1"/>
      <c r="DM1590" s="1"/>
      <c r="DQ1590" s="1"/>
      <c r="DR1590" s="1"/>
      <c r="DY1590" s="1"/>
      <c r="DZ1590" s="1"/>
      <c r="ED1590" s="1"/>
      <c r="EK1590" s="1"/>
      <c r="EL1590" s="1"/>
      <c r="EM1590" s="1"/>
      <c r="EN1590" s="1"/>
      <c r="EQ1590" s="1"/>
      <c r="ER1590" s="1"/>
      <c r="ES1590" s="1"/>
      <c r="EV1590" s="1"/>
      <c r="EW1590" s="1"/>
      <c r="EZ1590" s="1"/>
      <c r="GO1590" s="1"/>
      <c r="GP1590" s="1"/>
      <c r="HY1590" s="1"/>
      <c r="IE1590" s="1"/>
      <c r="IR1590" s="1"/>
      <c r="IS1590" s="1"/>
      <c r="IW1590" s="1"/>
      <c r="IZ1590" s="1"/>
      <c r="JA1590" s="1"/>
      <c r="JF1590" s="1"/>
      <c r="JG1590" s="1"/>
      <c r="JH1590" s="1"/>
      <c r="JI1590" s="1"/>
      <c r="JJ1590" s="1"/>
      <c r="JN1590" s="1"/>
      <c r="JP1590" s="1"/>
      <c r="JQ1590" s="1"/>
      <c r="KU1590" s="1"/>
      <c r="KY1590" s="1"/>
      <c r="KZ1590" s="1"/>
      <c r="LA1590" s="1"/>
      <c r="LB1590" s="1"/>
      <c r="LC1590" s="1"/>
      <c r="LD1590" s="1"/>
      <c r="LF1590" s="1"/>
      <c r="LN1590" s="1"/>
      <c r="LO1590" s="1"/>
      <c r="LP1590" s="1"/>
      <c r="LZ1590" s="1"/>
      <c r="MA1590" s="1"/>
    </row>
    <row r="1591" spans="4:339" ht="13" x14ac:dyDescent="0.15">
      <c r="D1591" s="12"/>
      <c r="E1591" s="12"/>
      <c r="I1591" s="12"/>
      <c r="J1591" s="13"/>
      <c r="BF1591" s="1"/>
      <c r="BG1591" s="1"/>
      <c r="BH1591" s="1"/>
      <c r="BI1591" s="1"/>
      <c r="BJ1591" s="1"/>
      <c r="BK1591" s="1"/>
      <c r="BL1591" s="1"/>
      <c r="BM1591" s="1"/>
      <c r="BN1591" s="1"/>
      <c r="BO1591" s="1"/>
      <c r="BP1591" s="1"/>
      <c r="BQ1591" s="1"/>
      <c r="BR1591" s="1"/>
      <c r="CD1591" s="1"/>
      <c r="CF1591" s="1"/>
      <c r="CG1591" s="1"/>
      <c r="CM1591" s="2"/>
      <c r="CP1591" s="1"/>
      <c r="CQ1591" s="1"/>
      <c r="CR1591" s="1"/>
      <c r="CS1591" s="1"/>
      <c r="CT1591" s="1"/>
      <c r="CU1591" s="1"/>
      <c r="CV1591" s="1"/>
      <c r="CW1591" s="1"/>
      <c r="CX1591" s="1"/>
      <c r="CY1591" s="1"/>
      <c r="CZ1591" s="1"/>
      <c r="DA1591" s="1"/>
      <c r="DB1591" s="1"/>
      <c r="DC1591" s="1"/>
      <c r="DD1591" s="1"/>
      <c r="DE1591" s="1"/>
      <c r="DF1591" s="1"/>
      <c r="DG1591" s="1"/>
      <c r="DH1591" s="1"/>
      <c r="DI1591" s="1"/>
      <c r="DJ1591" s="1"/>
      <c r="DK1591" s="1"/>
      <c r="DM1591" s="1"/>
      <c r="DR1591" s="1"/>
      <c r="ED1591" s="1"/>
      <c r="EE1591" s="1"/>
      <c r="EF1591" s="1"/>
      <c r="EG1591" s="1"/>
      <c r="EH1591" s="1"/>
      <c r="EK1591" s="1"/>
      <c r="EL1591" s="1"/>
      <c r="EM1591" s="1"/>
      <c r="EN1591" s="1"/>
      <c r="EQ1591" s="1"/>
      <c r="ER1591" s="1"/>
      <c r="ES1591" s="1"/>
      <c r="EV1591" s="1"/>
      <c r="EW1591" s="1"/>
      <c r="EY1591" s="1"/>
      <c r="EZ1591" s="1"/>
      <c r="GO1591" s="1"/>
      <c r="GP1591" s="1"/>
      <c r="HY1591" s="1"/>
      <c r="IC1591" s="1"/>
      <c r="IE1591" s="1"/>
      <c r="IG1591" s="1"/>
      <c r="IJ1591" s="1"/>
      <c r="IR1591" s="1"/>
      <c r="IS1591" s="1"/>
      <c r="IW1591" s="1"/>
      <c r="IY1591" s="1"/>
      <c r="IZ1591" s="1"/>
      <c r="JA1591" s="1"/>
      <c r="JF1591" s="1"/>
      <c r="JG1591" s="1"/>
      <c r="JH1591" s="1"/>
      <c r="JJ1591" s="1"/>
      <c r="JK1591" s="1"/>
      <c r="JL1591" s="6"/>
      <c r="JM1591" s="1"/>
      <c r="JN1591" s="1"/>
      <c r="JP1591" s="1"/>
      <c r="JQ1591" s="1"/>
      <c r="JR1591" s="1"/>
      <c r="KY1591" s="1"/>
      <c r="KZ1591" s="1"/>
      <c r="LA1591" s="1"/>
      <c r="LB1591" s="1"/>
      <c r="LC1591" s="1"/>
      <c r="LD1591" s="1"/>
      <c r="LO1591" s="1"/>
      <c r="LP1591" s="1"/>
      <c r="LZ1591" s="1"/>
      <c r="MA1591" s="1"/>
    </row>
    <row r="1592" spans="4:339" ht="13" x14ac:dyDescent="0.15">
      <c r="D1592" s="12"/>
      <c r="E1592" s="12"/>
      <c r="I1592" s="12"/>
      <c r="J1592" s="13"/>
      <c r="BF1592" s="1"/>
      <c r="BG1592" s="1"/>
      <c r="BH1592" s="1"/>
      <c r="BI1592" s="1"/>
      <c r="BJ1592" s="1"/>
      <c r="BK1592" s="1"/>
      <c r="BL1592" s="1"/>
      <c r="BM1592" s="1"/>
      <c r="BN1592" s="1"/>
      <c r="BO1592" s="1"/>
      <c r="BP1592" s="1"/>
      <c r="BQ1592" s="1"/>
      <c r="BR1592" s="1"/>
      <c r="CD1592" s="1"/>
      <c r="CF1592" s="1"/>
      <c r="CG1592" s="1"/>
      <c r="CM1592" s="2"/>
      <c r="CP1592" s="1"/>
      <c r="CQ1592" s="1"/>
      <c r="CR1592" s="1"/>
      <c r="CS1592" s="1"/>
      <c r="CT1592" s="1"/>
      <c r="CU1592" s="1"/>
      <c r="CV1592" s="1"/>
      <c r="CW1592" s="1"/>
      <c r="CX1592" s="1"/>
      <c r="CY1592" s="1"/>
      <c r="CZ1592" s="1"/>
      <c r="DA1592" s="1"/>
      <c r="DB1592" s="1"/>
      <c r="DC1592" s="1"/>
      <c r="DD1592" s="1"/>
      <c r="DE1592" s="1"/>
      <c r="DF1592" s="1"/>
      <c r="DG1592" s="1"/>
      <c r="DH1592" s="1"/>
      <c r="DI1592" s="1"/>
      <c r="DJ1592" s="1"/>
      <c r="DK1592" s="1"/>
      <c r="DM1592" s="1"/>
      <c r="DR1592" s="1"/>
      <c r="ED1592" s="1"/>
      <c r="EE1592" s="1"/>
      <c r="EF1592" s="1"/>
      <c r="EG1592" s="1"/>
      <c r="EH1592" s="1"/>
      <c r="EK1592" s="1"/>
      <c r="EL1592" s="1"/>
      <c r="EM1592" s="1"/>
      <c r="EN1592" s="1"/>
      <c r="EQ1592" s="1"/>
      <c r="ER1592" s="1"/>
      <c r="ES1592" s="1"/>
      <c r="EV1592" s="1"/>
      <c r="EW1592" s="1"/>
      <c r="EY1592" s="1"/>
      <c r="EZ1592" s="1"/>
      <c r="GO1592" s="1"/>
      <c r="GP1592" s="1"/>
      <c r="HY1592" s="1"/>
      <c r="IC1592" s="1"/>
      <c r="IE1592" s="1"/>
      <c r="IG1592" s="1"/>
      <c r="IJ1592" s="1"/>
      <c r="IR1592" s="1"/>
      <c r="IS1592" s="1"/>
      <c r="IW1592" s="1"/>
      <c r="IY1592" s="1"/>
      <c r="IZ1592" s="1"/>
      <c r="JA1592" s="1"/>
      <c r="JF1592" s="1"/>
      <c r="JG1592" s="1"/>
      <c r="JH1592" s="1"/>
      <c r="JJ1592" s="1"/>
      <c r="JK1592" s="1"/>
      <c r="JL1592" s="6"/>
      <c r="JM1592" s="1"/>
      <c r="JN1592" s="1"/>
      <c r="JP1592" s="1"/>
      <c r="JQ1592" s="1"/>
      <c r="JR1592" s="1"/>
      <c r="KY1592" s="1"/>
      <c r="KZ1592" s="1"/>
      <c r="LA1592" s="1"/>
      <c r="LB1592" s="1"/>
      <c r="LC1592" s="1"/>
      <c r="LD1592" s="1"/>
      <c r="LO1592" s="1"/>
      <c r="LP1592" s="1"/>
      <c r="LZ1592" s="1"/>
      <c r="MA1592" s="1"/>
    </row>
    <row r="1593" spans="4:339" ht="13" x14ac:dyDescent="0.15">
      <c r="D1593" s="12"/>
      <c r="E1593" s="12"/>
      <c r="I1593" s="12"/>
      <c r="J1593" s="13"/>
      <c r="BF1593" s="1"/>
      <c r="BG1593" s="1"/>
      <c r="BH1593" s="1"/>
      <c r="BI1593" s="1"/>
      <c r="BJ1593" s="1"/>
      <c r="BK1593" s="1"/>
      <c r="BL1593" s="1"/>
      <c r="BM1593" s="1"/>
      <c r="BN1593" s="1"/>
      <c r="BO1593" s="1"/>
      <c r="BP1593" s="1"/>
      <c r="BQ1593" s="1"/>
      <c r="BR1593" s="1"/>
      <c r="CD1593" s="1"/>
      <c r="CF1593" s="1"/>
      <c r="CG1593" s="1"/>
      <c r="CM1593" s="2"/>
      <c r="CP1593" s="1"/>
      <c r="CQ1593" s="1"/>
      <c r="CR1593" s="1"/>
      <c r="CS1593" s="1"/>
      <c r="CT1593" s="1"/>
      <c r="CU1593" s="1"/>
      <c r="CV1593" s="1"/>
      <c r="CW1593" s="1"/>
      <c r="CX1593" s="1"/>
      <c r="CY1593" s="1"/>
      <c r="CZ1593" s="1"/>
      <c r="DA1593" s="1"/>
      <c r="DB1593" s="1"/>
      <c r="DC1593" s="1"/>
      <c r="DD1593" s="1"/>
      <c r="DE1593" s="1"/>
      <c r="DF1593" s="1"/>
      <c r="DG1593" s="1"/>
      <c r="DH1593" s="1"/>
      <c r="DI1593" s="1"/>
      <c r="DJ1593" s="1"/>
      <c r="DK1593" s="1"/>
      <c r="DM1593" s="1"/>
      <c r="DR1593" s="1"/>
      <c r="ED1593" s="1"/>
      <c r="EE1593" s="1"/>
      <c r="EF1593" s="1"/>
      <c r="EG1593" s="1"/>
      <c r="EH1593" s="1"/>
      <c r="EK1593" s="1"/>
      <c r="EL1593" s="1"/>
      <c r="EM1593" s="1"/>
      <c r="EN1593" s="1"/>
      <c r="EQ1593" s="1"/>
      <c r="ER1593" s="1"/>
      <c r="ES1593" s="1"/>
      <c r="EV1593" s="1"/>
      <c r="EW1593" s="1"/>
      <c r="EY1593" s="1"/>
      <c r="EZ1593" s="1"/>
      <c r="GO1593" s="1"/>
      <c r="GP1593" s="1"/>
      <c r="HY1593" s="1"/>
      <c r="IC1593" s="1"/>
      <c r="IE1593" s="1"/>
      <c r="IG1593" s="1"/>
      <c r="IJ1593" s="1"/>
      <c r="IR1593" s="1"/>
      <c r="IS1593" s="1"/>
      <c r="IW1593" s="1"/>
      <c r="IY1593" s="1"/>
      <c r="IZ1593" s="1"/>
      <c r="JA1593" s="1"/>
      <c r="JF1593" s="1"/>
      <c r="JG1593" s="1"/>
      <c r="JH1593" s="1"/>
      <c r="JJ1593" s="1"/>
      <c r="JK1593" s="1"/>
      <c r="JL1593" s="6"/>
      <c r="JM1593" s="1"/>
      <c r="JN1593" s="1"/>
      <c r="JP1593" s="1"/>
      <c r="JQ1593" s="1"/>
      <c r="JR1593" s="1"/>
      <c r="KY1593" s="1"/>
      <c r="KZ1593" s="1"/>
      <c r="LA1593" s="1"/>
      <c r="LB1593" s="1"/>
      <c r="LC1593" s="1"/>
      <c r="LD1593" s="1"/>
      <c r="LO1593" s="1"/>
      <c r="LP1593" s="1"/>
      <c r="LZ1593" s="1"/>
      <c r="MA1593" s="1"/>
    </row>
    <row r="1594" spans="4:339" ht="13" x14ac:dyDescent="0.15">
      <c r="D1594" s="12"/>
      <c r="E1594" s="12"/>
      <c r="I1594" s="12"/>
      <c r="J1594" s="13"/>
      <c r="BF1594" s="1"/>
      <c r="BG1594" s="1"/>
      <c r="BH1594" s="1"/>
      <c r="BI1594" s="1"/>
      <c r="BJ1594" s="1"/>
      <c r="BK1594" s="1"/>
      <c r="BL1594" s="1"/>
      <c r="BM1594" s="1"/>
      <c r="BN1594" s="1"/>
      <c r="BO1594" s="1"/>
      <c r="BP1594" s="1"/>
      <c r="BQ1594" s="1"/>
      <c r="BR1594" s="1"/>
      <c r="CD1594" s="1"/>
      <c r="CF1594" s="1"/>
      <c r="CG1594" s="1"/>
      <c r="CM1594" s="2"/>
      <c r="CP1594" s="1"/>
      <c r="CQ1594" s="1"/>
      <c r="CR1594" s="1"/>
      <c r="CS1594" s="1"/>
      <c r="CT1594" s="1"/>
      <c r="CU1594" s="1"/>
      <c r="CV1594" s="1"/>
      <c r="CW1594" s="1"/>
      <c r="CX1594" s="1"/>
      <c r="CY1594" s="1"/>
      <c r="CZ1594" s="1"/>
      <c r="DA1594" s="1"/>
      <c r="DB1594" s="1"/>
      <c r="DC1594" s="1"/>
      <c r="DD1594" s="1"/>
      <c r="DE1594" s="1"/>
      <c r="DF1594" s="1"/>
      <c r="DG1594" s="1"/>
      <c r="DH1594" s="1"/>
      <c r="DI1594" s="1"/>
      <c r="DJ1594" s="1"/>
      <c r="DK1594" s="1"/>
      <c r="DM1594" s="1"/>
      <c r="DR1594" s="1"/>
      <c r="ED1594" s="1"/>
      <c r="EE1594" s="1"/>
      <c r="EF1594" s="1"/>
      <c r="EG1594" s="1"/>
      <c r="EH1594" s="1"/>
      <c r="EK1594" s="1"/>
      <c r="EL1594" s="1"/>
      <c r="EM1594" s="1"/>
      <c r="EN1594" s="1"/>
      <c r="EQ1594" s="1"/>
      <c r="ER1594" s="1"/>
      <c r="ES1594" s="1"/>
      <c r="EV1594" s="1"/>
      <c r="EW1594" s="1"/>
      <c r="EY1594" s="1"/>
      <c r="EZ1594" s="1"/>
      <c r="GO1594" s="1"/>
      <c r="GP1594" s="1"/>
      <c r="HY1594" s="1"/>
      <c r="IC1594" s="1"/>
      <c r="IE1594" s="1"/>
      <c r="IG1594" s="1"/>
      <c r="IJ1594" s="1"/>
      <c r="IR1594" s="1"/>
      <c r="IS1594" s="1"/>
      <c r="IW1594" s="1"/>
      <c r="IY1594" s="1"/>
      <c r="IZ1594" s="1"/>
      <c r="JA1594" s="1"/>
      <c r="JF1594" s="1"/>
      <c r="JG1594" s="1"/>
      <c r="JH1594" s="1"/>
      <c r="JJ1594" s="1"/>
      <c r="JK1594" s="1"/>
      <c r="JL1594" s="6"/>
      <c r="JM1594" s="1"/>
      <c r="JN1594" s="1"/>
      <c r="JP1594" s="1"/>
      <c r="JQ1594" s="1"/>
      <c r="JR1594" s="1"/>
      <c r="KY1594" s="1"/>
      <c r="KZ1594" s="1"/>
      <c r="LA1594" s="1"/>
      <c r="LB1594" s="1"/>
      <c r="LC1594" s="1"/>
      <c r="LD1594" s="1"/>
      <c r="LO1594" s="1"/>
      <c r="LP1594" s="1"/>
      <c r="LZ1594" s="1"/>
      <c r="MA1594" s="1"/>
    </row>
    <row r="1595" spans="4:339" ht="13" x14ac:dyDescent="0.15">
      <c r="D1595" s="12"/>
      <c r="E1595" s="12"/>
      <c r="I1595" s="12"/>
      <c r="J1595" s="13"/>
      <c r="BF1595" s="1"/>
      <c r="BG1595" s="1"/>
      <c r="BH1595" s="1"/>
      <c r="BI1595" s="1"/>
      <c r="BJ1595" s="1"/>
      <c r="BK1595" s="1"/>
      <c r="BL1595" s="1"/>
      <c r="BM1595" s="1"/>
      <c r="BN1595" s="1"/>
      <c r="BO1595" s="1"/>
      <c r="BP1595" s="1"/>
      <c r="BQ1595" s="1"/>
      <c r="BR1595" s="1"/>
      <c r="CD1595" s="1"/>
      <c r="CF1595" s="1"/>
      <c r="CG1595" s="1"/>
      <c r="CM1595" s="2"/>
      <c r="CP1595" s="1"/>
      <c r="CQ1595" s="1"/>
      <c r="CR1595" s="1"/>
      <c r="CS1595" s="1"/>
      <c r="CT1595" s="1"/>
      <c r="CU1595" s="1"/>
      <c r="CV1595" s="1"/>
      <c r="CW1595" s="1"/>
      <c r="CX1595" s="1"/>
      <c r="CY1595" s="1"/>
      <c r="CZ1595" s="1"/>
      <c r="DA1595" s="1"/>
      <c r="DB1595" s="1"/>
      <c r="DC1595" s="1"/>
      <c r="DD1595" s="1"/>
      <c r="DE1595" s="1"/>
      <c r="DF1595" s="1"/>
      <c r="DG1595" s="1"/>
      <c r="DH1595" s="1"/>
      <c r="DI1595" s="1"/>
      <c r="DJ1595" s="1"/>
      <c r="DK1595" s="1"/>
      <c r="DM1595" s="1"/>
      <c r="DR1595" s="1"/>
      <c r="ED1595" s="1"/>
      <c r="EE1595" s="1"/>
      <c r="EF1595" s="1"/>
      <c r="EG1595" s="1"/>
      <c r="EH1595" s="1"/>
      <c r="EK1595" s="1"/>
      <c r="EL1595" s="1"/>
      <c r="EM1595" s="1"/>
      <c r="EN1595" s="1"/>
      <c r="EQ1595" s="1"/>
      <c r="ER1595" s="1"/>
      <c r="ES1595" s="1"/>
      <c r="EV1595" s="1"/>
      <c r="EW1595" s="1"/>
      <c r="EY1595" s="1"/>
      <c r="EZ1595" s="1"/>
      <c r="GO1595" s="1"/>
      <c r="GP1595" s="1"/>
      <c r="HY1595" s="1"/>
      <c r="IC1595" s="1"/>
      <c r="IE1595" s="1"/>
      <c r="IG1595" s="1"/>
      <c r="IJ1595" s="1"/>
      <c r="IR1595" s="1"/>
      <c r="IS1595" s="1"/>
      <c r="IW1595" s="1"/>
      <c r="IY1595" s="1"/>
      <c r="IZ1595" s="1"/>
      <c r="JA1595" s="1"/>
      <c r="JF1595" s="1"/>
      <c r="JG1595" s="1"/>
      <c r="JH1595" s="1"/>
      <c r="JJ1595" s="1"/>
      <c r="JK1595" s="1"/>
      <c r="JL1595" s="6"/>
      <c r="JM1595" s="1"/>
      <c r="JN1595" s="1"/>
      <c r="JP1595" s="1"/>
      <c r="JQ1595" s="1"/>
      <c r="JR1595" s="1"/>
      <c r="KY1595" s="1"/>
      <c r="KZ1595" s="1"/>
      <c r="LA1595" s="1"/>
      <c r="LB1595" s="1"/>
      <c r="LC1595" s="1"/>
      <c r="LD1595" s="1"/>
      <c r="LO1595" s="1"/>
      <c r="LP1595" s="1"/>
      <c r="LZ1595" s="1"/>
      <c r="MA1595" s="1"/>
    </row>
    <row r="1596" spans="4:339" ht="13" x14ac:dyDescent="0.15">
      <c r="D1596" s="12"/>
      <c r="E1596" s="12"/>
      <c r="I1596" s="12"/>
      <c r="J1596" s="13"/>
      <c r="BF1596" s="1"/>
      <c r="BG1596" s="1"/>
      <c r="BH1596" s="1"/>
      <c r="BI1596" s="1"/>
      <c r="BJ1596" s="1"/>
      <c r="BK1596" s="1"/>
      <c r="BL1596" s="1"/>
      <c r="BM1596" s="1"/>
      <c r="BN1596" s="1"/>
      <c r="BO1596" s="1"/>
      <c r="BP1596" s="1"/>
      <c r="BQ1596" s="1"/>
      <c r="BR1596" s="1"/>
      <c r="CD1596" s="1"/>
      <c r="CF1596" s="1"/>
      <c r="CG1596" s="1"/>
      <c r="CM1596" s="2"/>
      <c r="CP1596" s="1"/>
      <c r="CQ1596" s="1"/>
      <c r="CR1596" s="1"/>
      <c r="CS1596" s="1"/>
      <c r="CT1596" s="1"/>
      <c r="CU1596" s="1"/>
      <c r="CV1596" s="1"/>
      <c r="CW1596" s="1"/>
      <c r="CX1596" s="1"/>
      <c r="CY1596" s="1"/>
      <c r="CZ1596" s="1"/>
      <c r="DA1596" s="1"/>
      <c r="DB1596" s="1"/>
      <c r="DC1596" s="1"/>
      <c r="DD1596" s="1"/>
      <c r="DE1596" s="1"/>
      <c r="DF1596" s="1"/>
      <c r="DG1596" s="1"/>
      <c r="DH1596" s="1"/>
      <c r="DI1596" s="1"/>
      <c r="DJ1596" s="1"/>
      <c r="DK1596" s="1"/>
      <c r="DM1596" s="1"/>
      <c r="DR1596" s="1"/>
      <c r="ED1596" s="1"/>
      <c r="EE1596" s="1"/>
      <c r="EF1596" s="1"/>
      <c r="EG1596" s="1"/>
      <c r="EH1596" s="1"/>
      <c r="EK1596" s="1"/>
      <c r="EL1596" s="1"/>
      <c r="EM1596" s="1"/>
      <c r="EN1596" s="1"/>
      <c r="EQ1596" s="1"/>
      <c r="ER1596" s="1"/>
      <c r="ES1596" s="1"/>
      <c r="EV1596" s="1"/>
      <c r="EW1596" s="1"/>
      <c r="EY1596" s="1"/>
      <c r="EZ1596" s="1"/>
      <c r="GO1596" s="1"/>
      <c r="GP1596" s="1"/>
      <c r="HY1596" s="1"/>
      <c r="IC1596" s="1"/>
      <c r="IE1596" s="1"/>
      <c r="IG1596" s="1"/>
      <c r="IJ1596" s="1"/>
      <c r="IR1596" s="1"/>
      <c r="IS1596" s="1"/>
      <c r="IW1596" s="1"/>
      <c r="IY1596" s="1"/>
      <c r="IZ1596" s="1"/>
      <c r="JA1596" s="1"/>
      <c r="JF1596" s="1"/>
      <c r="JG1596" s="1"/>
      <c r="JH1596" s="1"/>
      <c r="JJ1596" s="1"/>
      <c r="JK1596" s="1"/>
      <c r="JL1596" s="6"/>
      <c r="JM1596" s="1"/>
      <c r="JN1596" s="1"/>
      <c r="JP1596" s="1"/>
      <c r="JQ1596" s="1"/>
      <c r="JR1596" s="1"/>
      <c r="KY1596" s="1"/>
      <c r="KZ1596" s="1"/>
      <c r="LA1596" s="1"/>
      <c r="LB1596" s="1"/>
      <c r="LC1596" s="1"/>
      <c r="LD1596" s="1"/>
      <c r="LO1596" s="1"/>
      <c r="LP1596" s="1"/>
      <c r="LZ1596" s="1"/>
      <c r="MA1596" s="1"/>
    </row>
    <row r="1597" spans="4:339" ht="13" x14ac:dyDescent="0.15">
      <c r="D1597" s="12"/>
      <c r="E1597" s="12"/>
      <c r="I1597" s="12"/>
      <c r="J1597" s="13"/>
      <c r="BG1597" s="1"/>
      <c r="BH1597" s="1"/>
      <c r="BM1597" s="1"/>
      <c r="BN1597" s="1"/>
      <c r="BQ1597" s="1"/>
      <c r="BR1597" s="1"/>
      <c r="CD1597" s="1"/>
      <c r="CM1597" s="2"/>
      <c r="ED1597" s="1"/>
      <c r="EL1597" s="1"/>
      <c r="EM1597" s="1"/>
      <c r="EN1597" s="1"/>
      <c r="EQ1597" s="1"/>
      <c r="ER1597" s="1"/>
      <c r="ES1597" s="1"/>
      <c r="EV1597" s="1"/>
      <c r="EW1597" s="1"/>
      <c r="EZ1597" s="1"/>
      <c r="IC1597" s="1"/>
      <c r="IS1597" s="1"/>
      <c r="IZ1597" s="1"/>
      <c r="JC1597" s="1"/>
      <c r="JJ1597" s="1"/>
      <c r="JP1597" s="1"/>
      <c r="JQ1597" s="1"/>
      <c r="LZ1597" s="1"/>
    </row>
    <row r="1598" spans="4:339" ht="13" x14ac:dyDescent="0.15">
      <c r="D1598" s="12"/>
      <c r="E1598" s="12"/>
      <c r="I1598" s="12"/>
      <c r="J1598" s="13"/>
      <c r="BF1598" s="1"/>
      <c r="BG1598" s="1"/>
      <c r="BH1598" s="1"/>
      <c r="BI1598" s="1"/>
      <c r="BJ1598" s="1"/>
      <c r="BK1598" s="1"/>
      <c r="BL1598" s="1"/>
      <c r="BM1598" s="1"/>
      <c r="BN1598" s="1"/>
      <c r="BO1598" s="1"/>
      <c r="BP1598" s="1"/>
      <c r="BQ1598" s="1"/>
      <c r="BR1598" s="1"/>
      <c r="CD1598" s="1"/>
      <c r="CE1598" s="1"/>
      <c r="CF1598" s="1"/>
      <c r="CG1598" s="1"/>
      <c r="CM1598" s="2"/>
      <c r="CP1598" s="1"/>
      <c r="CQ1598" s="1"/>
      <c r="CS1598" s="1"/>
      <c r="CT1598" s="1"/>
      <c r="CU1598" s="1"/>
      <c r="CV1598" s="1"/>
      <c r="CW1598" s="1"/>
      <c r="CX1598" s="1"/>
      <c r="CY1598" s="1"/>
      <c r="CZ1598" s="1"/>
      <c r="DA1598" s="1"/>
      <c r="DB1598" s="1"/>
      <c r="DC1598" s="1"/>
      <c r="DD1598" s="1"/>
      <c r="DE1598" s="1"/>
      <c r="DF1598" s="1"/>
      <c r="DG1598" s="1"/>
      <c r="DH1598" s="1"/>
      <c r="DI1598" s="1"/>
      <c r="DJ1598" s="1"/>
      <c r="DK1598" s="1"/>
      <c r="DQ1598" s="1"/>
      <c r="DR1598" s="1"/>
      <c r="DY1598" s="1"/>
      <c r="DZ1598" s="1"/>
      <c r="ED1598" s="1"/>
      <c r="EK1598" s="1"/>
      <c r="EL1598" s="1"/>
      <c r="EM1598" s="1"/>
      <c r="EN1598" s="1"/>
      <c r="EQ1598" s="1"/>
      <c r="ER1598" s="1"/>
      <c r="ES1598" s="1"/>
      <c r="EV1598" s="1"/>
      <c r="EW1598" s="1"/>
      <c r="EZ1598" s="1"/>
      <c r="GO1598" s="1"/>
      <c r="GP1598" s="1"/>
      <c r="HY1598" s="1"/>
      <c r="IE1598" s="1"/>
      <c r="IR1598" s="1"/>
      <c r="IS1598" s="1"/>
      <c r="IY1598" s="1"/>
      <c r="IZ1598" s="1"/>
      <c r="JC1598" s="1"/>
      <c r="JF1598" s="1"/>
      <c r="JG1598" s="1"/>
      <c r="JJ1598" s="1"/>
      <c r="JN1598" s="1"/>
      <c r="JP1598" s="1"/>
      <c r="JQ1598" s="1"/>
      <c r="JT1598" s="1"/>
      <c r="KU1598" s="1"/>
      <c r="KW1598" s="1"/>
      <c r="KY1598" s="1"/>
      <c r="KZ1598" s="1"/>
      <c r="LA1598" s="1"/>
      <c r="LB1598" s="1"/>
      <c r="LC1598" s="1"/>
      <c r="LD1598" s="1"/>
      <c r="LO1598" s="1"/>
      <c r="LP1598" s="1"/>
      <c r="LZ1598" s="1"/>
      <c r="MA1598" s="1"/>
    </row>
    <row r="1599" spans="4:339" ht="13" x14ac:dyDescent="0.15">
      <c r="D1599" s="12"/>
      <c r="E1599" s="12"/>
      <c r="I1599" s="12"/>
      <c r="J1599" s="13"/>
      <c r="BF1599" s="1"/>
      <c r="BG1599" s="1"/>
      <c r="BH1599" s="1"/>
      <c r="BI1599" s="1"/>
      <c r="BJ1599" s="1"/>
      <c r="BK1599" s="1"/>
      <c r="BL1599" s="1"/>
      <c r="BM1599" s="1"/>
      <c r="BN1599" s="1"/>
      <c r="BO1599" s="1"/>
      <c r="BP1599" s="1"/>
      <c r="BQ1599" s="1"/>
      <c r="BR1599" s="1"/>
      <c r="CD1599" s="1"/>
      <c r="CE1599" s="1"/>
      <c r="CF1599" s="1"/>
      <c r="CG1599" s="1"/>
      <c r="CM1599" s="2"/>
      <c r="CP1599" s="1"/>
      <c r="CQ1599" s="1"/>
      <c r="CS1599" s="1"/>
      <c r="CT1599" s="1"/>
      <c r="CU1599" s="1"/>
      <c r="CV1599" s="1"/>
      <c r="CW1599" s="1"/>
      <c r="CX1599" s="1"/>
      <c r="CY1599" s="1"/>
      <c r="CZ1599" s="1"/>
      <c r="DA1599" s="1"/>
      <c r="DB1599" s="1"/>
      <c r="DC1599" s="1"/>
      <c r="DD1599" s="1"/>
      <c r="DE1599" s="1"/>
      <c r="DF1599" s="1"/>
      <c r="DG1599" s="1"/>
      <c r="DH1599" s="1"/>
      <c r="DI1599" s="1"/>
      <c r="DJ1599" s="1"/>
      <c r="DK1599" s="1"/>
      <c r="DQ1599" s="1"/>
      <c r="DR1599" s="1"/>
      <c r="DY1599" s="1"/>
      <c r="DZ1599" s="1"/>
      <c r="ED1599" s="1"/>
      <c r="EK1599" s="1"/>
      <c r="EL1599" s="1"/>
      <c r="EM1599" s="1"/>
      <c r="EN1599" s="1"/>
      <c r="EQ1599" s="1"/>
      <c r="ER1599" s="1"/>
      <c r="ES1599" s="1"/>
      <c r="EV1599" s="1"/>
      <c r="EW1599" s="1"/>
      <c r="EZ1599" s="1"/>
      <c r="GO1599" s="1"/>
      <c r="GP1599" s="1"/>
      <c r="HY1599" s="1"/>
      <c r="IE1599" s="1"/>
      <c r="IR1599" s="1"/>
      <c r="IS1599" s="1"/>
      <c r="IY1599" s="1"/>
      <c r="IZ1599" s="1"/>
      <c r="JC1599" s="1"/>
      <c r="JF1599" s="1"/>
      <c r="JG1599" s="1"/>
      <c r="JJ1599" s="1"/>
      <c r="JN1599" s="1"/>
      <c r="JP1599" s="1"/>
      <c r="JQ1599" s="1"/>
      <c r="JT1599" s="1"/>
      <c r="KU1599" s="1"/>
      <c r="KW1599" s="1"/>
      <c r="KY1599" s="1"/>
      <c r="KZ1599" s="1"/>
      <c r="LA1599" s="1"/>
      <c r="LB1599" s="1"/>
      <c r="LC1599" s="1"/>
      <c r="LD1599" s="1"/>
      <c r="LO1599" s="1"/>
      <c r="LP1599" s="1"/>
      <c r="LZ1599" s="1"/>
      <c r="MA1599" s="1"/>
    </row>
    <row r="1600" spans="4:339" ht="13" x14ac:dyDescent="0.15">
      <c r="D1600" s="12"/>
      <c r="E1600" s="12"/>
      <c r="I1600" s="12"/>
      <c r="J1600" s="13"/>
      <c r="BF1600" s="1"/>
      <c r="BG1600" s="1"/>
      <c r="BH1600" s="1"/>
      <c r="BI1600" s="1"/>
      <c r="BJ1600" s="1"/>
      <c r="BK1600" s="1"/>
      <c r="BL1600" s="1"/>
      <c r="BM1600" s="1"/>
      <c r="BN1600" s="1"/>
      <c r="BO1600" s="1"/>
      <c r="BP1600" s="1"/>
      <c r="BQ1600" s="1"/>
      <c r="BR1600" s="1"/>
      <c r="CD1600" s="1"/>
      <c r="CE1600" s="1"/>
      <c r="CF1600" s="1"/>
      <c r="CG1600" s="1"/>
      <c r="CM1600" s="2"/>
      <c r="CP1600" s="1"/>
      <c r="CQ1600" s="1"/>
      <c r="CS1600" s="1"/>
      <c r="CT1600" s="1"/>
      <c r="CU1600" s="1"/>
      <c r="CV1600" s="1"/>
      <c r="CW1600" s="1"/>
      <c r="CX1600" s="1"/>
      <c r="CY1600" s="1"/>
      <c r="CZ1600" s="1"/>
      <c r="DA1600" s="1"/>
      <c r="DB1600" s="1"/>
      <c r="DC1600" s="1"/>
      <c r="DD1600" s="1"/>
      <c r="DE1600" s="1"/>
      <c r="DF1600" s="1"/>
      <c r="DG1600" s="1"/>
      <c r="DH1600" s="1"/>
      <c r="DI1600" s="1"/>
      <c r="DJ1600" s="1"/>
      <c r="DK1600" s="1"/>
      <c r="DQ1600" s="1"/>
      <c r="DR1600" s="1"/>
      <c r="DY1600" s="1"/>
      <c r="DZ1600" s="1"/>
      <c r="ED1600" s="1"/>
      <c r="EK1600" s="1"/>
      <c r="EL1600" s="1"/>
      <c r="EM1600" s="1"/>
      <c r="EN1600" s="1"/>
      <c r="EQ1600" s="1"/>
      <c r="ER1600" s="1"/>
      <c r="ES1600" s="1"/>
      <c r="EV1600" s="1"/>
      <c r="EW1600" s="1"/>
      <c r="EZ1600" s="1"/>
      <c r="GO1600" s="1"/>
      <c r="GP1600" s="1"/>
      <c r="HY1600" s="1"/>
      <c r="IE1600" s="1"/>
      <c r="IR1600" s="1"/>
      <c r="IS1600" s="1"/>
      <c r="IY1600" s="1"/>
      <c r="IZ1600" s="1"/>
      <c r="JC1600" s="1"/>
      <c r="JF1600" s="1"/>
      <c r="JG1600" s="1"/>
      <c r="JJ1600" s="1"/>
      <c r="JN1600" s="1"/>
      <c r="JP1600" s="1"/>
      <c r="JQ1600" s="1"/>
      <c r="JT1600" s="1"/>
      <c r="KU1600" s="1"/>
      <c r="KW1600" s="1"/>
      <c r="KY1600" s="1"/>
      <c r="KZ1600" s="1"/>
      <c r="LA1600" s="1"/>
      <c r="LB1600" s="1"/>
      <c r="LC1600" s="1"/>
      <c r="LD1600" s="1"/>
      <c r="LO1600" s="1"/>
      <c r="LP1600" s="1"/>
      <c r="LZ1600" s="1"/>
      <c r="MA1600" s="1"/>
    </row>
    <row r="1601" spans="4:339" ht="13" x14ac:dyDescent="0.15">
      <c r="D1601" s="12"/>
      <c r="E1601" s="12"/>
      <c r="I1601" s="12"/>
      <c r="J1601" s="13"/>
      <c r="BF1601" s="1"/>
      <c r="BG1601" s="1"/>
      <c r="BH1601" s="1"/>
      <c r="BI1601" s="1"/>
      <c r="BJ1601" s="1"/>
      <c r="BK1601" s="1"/>
      <c r="BL1601" s="1"/>
      <c r="BM1601" s="1"/>
      <c r="BN1601" s="1"/>
      <c r="BO1601" s="1"/>
      <c r="BP1601" s="1"/>
      <c r="BQ1601" s="1"/>
      <c r="BR1601" s="1"/>
      <c r="CD1601" s="1"/>
      <c r="CE1601" s="1"/>
      <c r="CF1601" s="1"/>
      <c r="CG1601" s="1"/>
      <c r="CM1601" s="2"/>
      <c r="CP1601" s="1"/>
      <c r="CQ1601" s="1"/>
      <c r="CS1601" s="1"/>
      <c r="CT1601" s="1"/>
      <c r="CU1601" s="1"/>
      <c r="CV1601" s="1"/>
      <c r="CW1601" s="1"/>
      <c r="CX1601" s="1"/>
      <c r="CY1601" s="1"/>
      <c r="CZ1601" s="1"/>
      <c r="DA1601" s="1"/>
      <c r="DB1601" s="1"/>
      <c r="DC1601" s="1"/>
      <c r="DD1601" s="1"/>
      <c r="DE1601" s="1"/>
      <c r="DF1601" s="1"/>
      <c r="DG1601" s="1"/>
      <c r="DH1601" s="1"/>
      <c r="DI1601" s="1"/>
      <c r="DJ1601" s="1"/>
      <c r="DK1601" s="1"/>
      <c r="DQ1601" s="1"/>
      <c r="DR1601" s="1"/>
      <c r="DY1601" s="1"/>
      <c r="DZ1601" s="1"/>
      <c r="ED1601" s="1"/>
      <c r="EK1601" s="1"/>
      <c r="EL1601" s="1"/>
      <c r="EM1601" s="1"/>
      <c r="EN1601" s="1"/>
      <c r="EQ1601" s="1"/>
      <c r="ER1601" s="1"/>
      <c r="ES1601" s="1"/>
      <c r="EV1601" s="1"/>
      <c r="EW1601" s="1"/>
      <c r="EZ1601" s="1"/>
      <c r="GO1601" s="1"/>
      <c r="GP1601" s="1"/>
      <c r="HY1601" s="1"/>
      <c r="IE1601" s="1"/>
      <c r="IR1601" s="1"/>
      <c r="IS1601" s="1"/>
      <c r="IY1601" s="1"/>
      <c r="IZ1601" s="1"/>
      <c r="JC1601" s="1"/>
      <c r="JF1601" s="1"/>
      <c r="JG1601" s="1"/>
      <c r="JJ1601" s="1"/>
      <c r="JN1601" s="1"/>
      <c r="JP1601" s="1"/>
      <c r="JQ1601" s="1"/>
      <c r="JT1601" s="1"/>
      <c r="KU1601" s="1"/>
      <c r="KW1601" s="1"/>
      <c r="KY1601" s="1"/>
      <c r="KZ1601" s="1"/>
      <c r="LA1601" s="1"/>
      <c r="LB1601" s="1"/>
      <c r="LC1601" s="1"/>
      <c r="LD1601" s="1"/>
      <c r="LO1601" s="1"/>
      <c r="LP1601" s="1"/>
      <c r="LZ1601" s="1"/>
      <c r="MA1601" s="1"/>
    </row>
    <row r="1602" spans="4:339" ht="13" x14ac:dyDescent="0.15">
      <c r="D1602" s="12"/>
      <c r="E1602" s="12"/>
      <c r="I1602" s="12"/>
      <c r="J1602" s="13"/>
      <c r="BF1602" s="1"/>
      <c r="BG1602" s="1"/>
      <c r="BH1602" s="1"/>
      <c r="BI1602" s="1"/>
      <c r="BJ1602" s="1"/>
      <c r="BK1602" s="1"/>
      <c r="BL1602" s="1"/>
      <c r="BM1602" s="1"/>
      <c r="BN1602" s="1"/>
      <c r="BO1602" s="1"/>
      <c r="BP1602" s="1"/>
      <c r="BQ1602" s="1"/>
      <c r="BR1602" s="1"/>
      <c r="CD1602" s="1"/>
      <c r="CE1602" s="1"/>
      <c r="CF1602" s="1"/>
      <c r="CG1602" s="1"/>
      <c r="CM1602" s="2"/>
      <c r="CP1602" s="1"/>
      <c r="CQ1602" s="1"/>
      <c r="CS1602" s="1"/>
      <c r="CT1602" s="1"/>
      <c r="CU1602" s="1"/>
      <c r="CV1602" s="1"/>
      <c r="CW1602" s="1"/>
      <c r="CX1602" s="1"/>
      <c r="CY1602" s="1"/>
      <c r="CZ1602" s="1"/>
      <c r="DA1602" s="1"/>
      <c r="DB1602" s="1"/>
      <c r="DC1602" s="1"/>
      <c r="DD1602" s="1"/>
      <c r="DE1602" s="1"/>
      <c r="DF1602" s="1"/>
      <c r="DG1602" s="1"/>
      <c r="DH1602" s="1"/>
      <c r="DI1602" s="1"/>
      <c r="DJ1602" s="1"/>
      <c r="DK1602" s="1"/>
      <c r="DQ1602" s="1"/>
      <c r="DR1602" s="1"/>
      <c r="DY1602" s="1"/>
      <c r="DZ1602" s="1"/>
      <c r="ED1602" s="1"/>
      <c r="EK1602" s="1"/>
      <c r="EL1602" s="1"/>
      <c r="EM1602" s="1"/>
      <c r="EN1602" s="1"/>
      <c r="EQ1602" s="1"/>
      <c r="ER1602" s="1"/>
      <c r="ES1602" s="1"/>
      <c r="EV1602" s="1"/>
      <c r="EW1602" s="1"/>
      <c r="EZ1602" s="1"/>
      <c r="GO1602" s="1"/>
      <c r="GP1602" s="1"/>
      <c r="HY1602" s="1"/>
      <c r="IE1602" s="1"/>
      <c r="IR1602" s="1"/>
      <c r="IS1602" s="1"/>
      <c r="IY1602" s="1"/>
      <c r="IZ1602" s="1"/>
      <c r="JC1602" s="1"/>
      <c r="JF1602" s="1"/>
      <c r="JG1602" s="1"/>
      <c r="JJ1602" s="1"/>
      <c r="JN1602" s="1"/>
      <c r="JP1602" s="1"/>
      <c r="JQ1602" s="1"/>
      <c r="JT1602" s="1"/>
      <c r="KU1602" s="1"/>
      <c r="KW1602" s="1"/>
      <c r="KY1602" s="1"/>
      <c r="KZ1602" s="1"/>
      <c r="LA1602" s="1"/>
      <c r="LB1602" s="1"/>
      <c r="LC1602" s="1"/>
      <c r="LD1602" s="1"/>
      <c r="LO1602" s="1"/>
      <c r="LP1602" s="1"/>
      <c r="LZ1602" s="1"/>
      <c r="MA1602" s="1"/>
    </row>
    <row r="1603" spans="4:339" ht="13" x14ac:dyDescent="0.15">
      <c r="D1603" s="12"/>
      <c r="E1603" s="12"/>
      <c r="I1603" s="12"/>
      <c r="J1603" s="13"/>
      <c r="BF1603" s="1"/>
      <c r="BG1603" s="1"/>
      <c r="BH1603" s="1"/>
      <c r="BI1603" s="1"/>
      <c r="BJ1603" s="1"/>
      <c r="BK1603" s="1"/>
      <c r="BL1603" s="1"/>
      <c r="BM1603" s="1"/>
      <c r="BN1603" s="1"/>
      <c r="BO1603" s="1"/>
      <c r="BP1603" s="1"/>
      <c r="BQ1603" s="1"/>
      <c r="BR1603" s="1"/>
      <c r="CD1603" s="1"/>
      <c r="CE1603" s="1"/>
      <c r="CF1603" s="1"/>
      <c r="CG1603" s="1"/>
      <c r="CM1603" s="2"/>
      <c r="CP1603" s="1"/>
      <c r="CQ1603" s="1"/>
      <c r="CS1603" s="1"/>
      <c r="CT1603" s="1"/>
      <c r="CU1603" s="1"/>
      <c r="CV1603" s="1"/>
      <c r="CW1603" s="1"/>
      <c r="CX1603" s="1"/>
      <c r="CY1603" s="1"/>
      <c r="CZ1603" s="1"/>
      <c r="DA1603" s="1"/>
      <c r="DB1603" s="1"/>
      <c r="DC1603" s="1"/>
      <c r="DD1603" s="1"/>
      <c r="DE1603" s="1"/>
      <c r="DF1603" s="1"/>
      <c r="DG1603" s="1"/>
      <c r="DH1603" s="1"/>
      <c r="DI1603" s="1"/>
      <c r="DJ1603" s="1"/>
      <c r="DK1603" s="1"/>
      <c r="DQ1603" s="1"/>
      <c r="DR1603" s="1"/>
      <c r="DY1603" s="1"/>
      <c r="DZ1603" s="1"/>
      <c r="ED1603" s="1"/>
      <c r="EK1603" s="1"/>
      <c r="EL1603" s="1"/>
      <c r="EM1603" s="1"/>
      <c r="EN1603" s="1"/>
      <c r="EQ1603" s="1"/>
      <c r="ER1603" s="1"/>
      <c r="ES1603" s="1"/>
      <c r="EV1603" s="1"/>
      <c r="EW1603" s="1"/>
      <c r="EZ1603" s="1"/>
      <c r="GO1603" s="1"/>
      <c r="GP1603" s="1"/>
      <c r="HY1603" s="1"/>
      <c r="IE1603" s="1"/>
      <c r="IR1603" s="1"/>
      <c r="IS1603" s="1"/>
      <c r="IY1603" s="1"/>
      <c r="IZ1603" s="1"/>
      <c r="JC1603" s="1"/>
      <c r="JF1603" s="1"/>
      <c r="JG1603" s="1"/>
      <c r="JJ1603" s="1"/>
      <c r="JN1603" s="1"/>
      <c r="JP1603" s="1"/>
      <c r="JQ1603" s="1"/>
      <c r="JT1603" s="1"/>
      <c r="KU1603" s="1"/>
      <c r="KW1603" s="1"/>
      <c r="KY1603" s="1"/>
      <c r="KZ1603" s="1"/>
      <c r="LA1603" s="1"/>
      <c r="LB1603" s="1"/>
      <c r="LC1603" s="1"/>
      <c r="LD1603" s="1"/>
      <c r="LO1603" s="1"/>
      <c r="LP1603" s="1"/>
      <c r="LZ1603" s="1"/>
      <c r="MA1603" s="1"/>
    </row>
    <row r="1604" spans="4:339" ht="13" x14ac:dyDescent="0.15">
      <c r="D1604" s="12"/>
      <c r="E1604" s="12"/>
      <c r="I1604" s="12"/>
      <c r="J1604" s="13"/>
      <c r="BF1604" s="1"/>
      <c r="BG1604" s="1"/>
      <c r="BH1604" s="1"/>
      <c r="BI1604" s="1"/>
      <c r="BJ1604" s="1"/>
      <c r="BK1604" s="1"/>
      <c r="BL1604" s="1"/>
      <c r="BM1604" s="1"/>
      <c r="BN1604" s="1"/>
      <c r="BO1604" s="1"/>
      <c r="BP1604" s="1"/>
      <c r="BQ1604" s="1"/>
      <c r="BR1604" s="1"/>
      <c r="CD1604" s="1"/>
      <c r="CE1604" s="1"/>
      <c r="CF1604" s="1"/>
      <c r="CG1604" s="1"/>
      <c r="CM1604" s="2"/>
      <c r="CP1604" s="1"/>
      <c r="CQ1604" s="1"/>
      <c r="CS1604" s="1"/>
      <c r="CT1604" s="1"/>
      <c r="CU1604" s="1"/>
      <c r="CV1604" s="1"/>
      <c r="CW1604" s="1"/>
      <c r="CX1604" s="1"/>
      <c r="CY1604" s="1"/>
      <c r="CZ1604" s="1"/>
      <c r="DA1604" s="1"/>
      <c r="DB1604" s="1"/>
      <c r="DC1604" s="1"/>
      <c r="DD1604" s="1"/>
      <c r="DE1604" s="1"/>
      <c r="DF1604" s="1"/>
      <c r="DG1604" s="1"/>
      <c r="DH1604" s="1"/>
      <c r="DI1604" s="1"/>
      <c r="DJ1604" s="1"/>
      <c r="DK1604" s="1"/>
      <c r="DQ1604" s="1"/>
      <c r="DR1604" s="1"/>
      <c r="DY1604" s="1"/>
      <c r="DZ1604" s="1"/>
      <c r="ED1604" s="1"/>
      <c r="EK1604" s="1"/>
      <c r="EL1604" s="1"/>
      <c r="EM1604" s="1"/>
      <c r="EN1604" s="1"/>
      <c r="EQ1604" s="1"/>
      <c r="ER1604" s="1"/>
      <c r="ES1604" s="1"/>
      <c r="EV1604" s="1"/>
      <c r="EW1604" s="1"/>
      <c r="EZ1604" s="1"/>
      <c r="GO1604" s="1"/>
      <c r="GP1604" s="1"/>
      <c r="HY1604" s="1"/>
      <c r="IE1604" s="1"/>
      <c r="IR1604" s="1"/>
      <c r="IS1604" s="1"/>
      <c r="IY1604" s="1"/>
      <c r="IZ1604" s="1"/>
      <c r="JC1604" s="1"/>
      <c r="JF1604" s="1"/>
      <c r="JG1604" s="1"/>
      <c r="JJ1604" s="1"/>
      <c r="JN1604" s="1"/>
      <c r="JP1604" s="1"/>
      <c r="JQ1604" s="1"/>
      <c r="JT1604" s="1"/>
      <c r="KU1604" s="1"/>
      <c r="KW1604" s="1"/>
      <c r="KY1604" s="1"/>
      <c r="KZ1604" s="1"/>
      <c r="LA1604" s="1"/>
      <c r="LB1604" s="1"/>
      <c r="LC1604" s="1"/>
      <c r="LD1604" s="1"/>
      <c r="LO1604" s="1"/>
      <c r="LP1604" s="1"/>
      <c r="LZ1604" s="1"/>
      <c r="MA1604" s="1"/>
    </row>
    <row r="1605" spans="4:339" ht="13" x14ac:dyDescent="0.15">
      <c r="D1605" s="12"/>
      <c r="E1605" s="12"/>
      <c r="I1605" s="12"/>
      <c r="J1605" s="13"/>
      <c r="BF1605" s="1"/>
      <c r="BG1605" s="1"/>
      <c r="BH1605" s="1"/>
      <c r="BI1605" s="1"/>
      <c r="BJ1605" s="1"/>
      <c r="BK1605" s="1"/>
      <c r="BL1605" s="1"/>
      <c r="BM1605" s="1"/>
      <c r="BN1605" s="1"/>
      <c r="BO1605" s="1"/>
      <c r="BP1605" s="1"/>
      <c r="BQ1605" s="1"/>
      <c r="BR1605" s="1"/>
      <c r="CD1605" s="1"/>
      <c r="CE1605" s="1"/>
      <c r="CF1605" s="1"/>
      <c r="CG1605" s="1"/>
      <c r="CM1605" s="2"/>
      <c r="CP1605" s="1"/>
      <c r="CQ1605" s="1"/>
      <c r="CS1605" s="1"/>
      <c r="CT1605" s="1"/>
      <c r="CU1605" s="1"/>
      <c r="CV1605" s="1"/>
      <c r="CW1605" s="1"/>
      <c r="CX1605" s="1"/>
      <c r="CY1605" s="1"/>
      <c r="CZ1605" s="1"/>
      <c r="DA1605" s="1"/>
      <c r="DB1605" s="1"/>
      <c r="DC1605" s="1"/>
      <c r="DD1605" s="1"/>
      <c r="DE1605" s="1"/>
      <c r="DF1605" s="1"/>
      <c r="DG1605" s="1"/>
      <c r="DH1605" s="1"/>
      <c r="DI1605" s="1"/>
      <c r="DJ1605" s="1"/>
      <c r="DK1605" s="1"/>
      <c r="DQ1605" s="1"/>
      <c r="DR1605" s="1"/>
      <c r="DY1605" s="1"/>
      <c r="DZ1605" s="1"/>
      <c r="ED1605" s="1"/>
      <c r="EK1605" s="1"/>
      <c r="EL1605" s="1"/>
      <c r="EM1605" s="1"/>
      <c r="EN1605" s="1"/>
      <c r="EQ1605" s="1"/>
      <c r="ER1605" s="1"/>
      <c r="ES1605" s="1"/>
      <c r="EV1605" s="1"/>
      <c r="EW1605" s="1"/>
      <c r="EZ1605" s="1"/>
      <c r="GO1605" s="1"/>
      <c r="GP1605" s="1"/>
      <c r="HY1605" s="1"/>
      <c r="IE1605" s="1"/>
      <c r="IR1605" s="1"/>
      <c r="IS1605" s="1"/>
      <c r="IY1605" s="1"/>
      <c r="IZ1605" s="1"/>
      <c r="JC1605" s="1"/>
      <c r="JF1605" s="1"/>
      <c r="JG1605" s="1"/>
      <c r="JJ1605" s="1"/>
      <c r="JN1605" s="1"/>
      <c r="JP1605" s="1"/>
      <c r="JQ1605" s="1"/>
      <c r="JT1605" s="1"/>
      <c r="KU1605" s="1"/>
      <c r="KW1605" s="1"/>
      <c r="KY1605" s="1"/>
      <c r="KZ1605" s="1"/>
      <c r="LA1605" s="1"/>
      <c r="LB1605" s="1"/>
      <c r="LC1605" s="1"/>
      <c r="LD1605" s="1"/>
      <c r="LO1605" s="1"/>
      <c r="LP1605" s="1"/>
      <c r="LZ1605" s="1"/>
      <c r="MA1605" s="1"/>
    </row>
    <row r="1606" spans="4:339" ht="13" x14ac:dyDescent="0.15">
      <c r="D1606" s="12"/>
      <c r="E1606" s="12"/>
      <c r="I1606" s="12"/>
      <c r="J1606" s="13"/>
      <c r="BF1606" s="1"/>
      <c r="BG1606" s="1"/>
      <c r="BH1606" s="1"/>
      <c r="BI1606" s="1"/>
      <c r="BJ1606" s="1"/>
      <c r="BK1606" s="1"/>
      <c r="BL1606" s="1"/>
      <c r="BM1606" s="1"/>
      <c r="BN1606" s="1"/>
      <c r="BO1606" s="1"/>
      <c r="BP1606" s="1"/>
      <c r="BQ1606" s="1"/>
      <c r="BR1606" s="1"/>
      <c r="CD1606" s="1"/>
      <c r="CE1606" s="1"/>
      <c r="CF1606" s="1"/>
      <c r="CG1606" s="1"/>
      <c r="CM1606" s="2"/>
      <c r="CP1606" s="1"/>
      <c r="CQ1606" s="1"/>
      <c r="CS1606" s="1"/>
      <c r="CT1606" s="1"/>
      <c r="CU1606" s="1"/>
      <c r="CV1606" s="1"/>
      <c r="CW1606" s="1"/>
      <c r="CX1606" s="1"/>
      <c r="CY1606" s="1"/>
      <c r="CZ1606" s="1"/>
      <c r="DA1606" s="1"/>
      <c r="DB1606" s="1"/>
      <c r="DC1606" s="1"/>
      <c r="DD1606" s="1"/>
      <c r="DE1606" s="1"/>
      <c r="DF1606" s="1"/>
      <c r="DG1606" s="1"/>
      <c r="DH1606" s="1"/>
      <c r="DI1606" s="1"/>
      <c r="DJ1606" s="1"/>
      <c r="DK1606" s="1"/>
      <c r="DQ1606" s="1"/>
      <c r="DR1606" s="1"/>
      <c r="DY1606" s="1"/>
      <c r="DZ1606" s="1"/>
      <c r="ED1606" s="1"/>
      <c r="EK1606" s="1"/>
      <c r="EL1606" s="1"/>
      <c r="EM1606" s="1"/>
      <c r="EN1606" s="1"/>
      <c r="EQ1606" s="1"/>
      <c r="ER1606" s="1"/>
      <c r="ES1606" s="1"/>
      <c r="EV1606" s="1"/>
      <c r="EW1606" s="1"/>
      <c r="EZ1606" s="1"/>
      <c r="GO1606" s="1"/>
      <c r="GP1606" s="1"/>
      <c r="HY1606" s="1"/>
      <c r="IE1606" s="1"/>
      <c r="IR1606" s="1"/>
      <c r="IS1606" s="1"/>
      <c r="IY1606" s="1"/>
      <c r="IZ1606" s="1"/>
      <c r="JC1606" s="1"/>
      <c r="JF1606" s="1"/>
      <c r="JG1606" s="1"/>
      <c r="JJ1606" s="1"/>
      <c r="JN1606" s="1"/>
      <c r="JP1606" s="1"/>
      <c r="JQ1606" s="1"/>
      <c r="JT1606" s="1"/>
      <c r="KU1606" s="1"/>
      <c r="KW1606" s="1"/>
      <c r="KY1606" s="1"/>
      <c r="KZ1606" s="1"/>
      <c r="LA1606" s="1"/>
      <c r="LB1606" s="1"/>
      <c r="LC1606" s="1"/>
      <c r="LD1606" s="1"/>
      <c r="LO1606" s="1"/>
      <c r="LP1606" s="1"/>
      <c r="LZ1606" s="1"/>
      <c r="MA1606" s="1"/>
    </row>
    <row r="1607" spans="4:339" ht="13" x14ac:dyDescent="0.15">
      <c r="D1607" s="12"/>
      <c r="E1607" s="12"/>
      <c r="I1607" s="12"/>
      <c r="J1607" s="13"/>
      <c r="BF1607" s="1"/>
      <c r="BG1607" s="1"/>
      <c r="BH1607" s="1"/>
      <c r="BI1607" s="1"/>
      <c r="BJ1607" s="1"/>
      <c r="BK1607" s="1"/>
      <c r="BL1607" s="1"/>
      <c r="BM1607" s="1"/>
      <c r="BN1607" s="1"/>
      <c r="BO1607" s="1"/>
      <c r="BP1607" s="1"/>
      <c r="BQ1607" s="1"/>
      <c r="BR1607" s="1"/>
      <c r="CD1607" s="1"/>
      <c r="CE1607" s="1"/>
      <c r="CF1607" s="1"/>
      <c r="CG1607" s="1"/>
      <c r="CM1607" s="2"/>
      <c r="CP1607" s="1"/>
      <c r="CQ1607" s="1"/>
      <c r="CS1607" s="1"/>
      <c r="CT1607" s="1"/>
      <c r="CU1607" s="1"/>
      <c r="CV1607" s="1"/>
      <c r="CW1607" s="1"/>
      <c r="CX1607" s="1"/>
      <c r="CY1607" s="1"/>
      <c r="CZ1607" s="1"/>
      <c r="DA1607" s="1"/>
      <c r="DB1607" s="1"/>
      <c r="DC1607" s="1"/>
      <c r="DD1607" s="1"/>
      <c r="DE1607" s="1"/>
      <c r="DF1607" s="1"/>
      <c r="DG1607" s="1"/>
      <c r="DH1607" s="1"/>
      <c r="DI1607" s="1"/>
      <c r="DJ1607" s="1"/>
      <c r="DK1607" s="1"/>
      <c r="DQ1607" s="1"/>
      <c r="DR1607" s="1"/>
      <c r="DY1607" s="1"/>
      <c r="DZ1607" s="1"/>
      <c r="ED1607" s="1"/>
      <c r="EK1607" s="1"/>
      <c r="EL1607" s="1"/>
      <c r="EM1607" s="1"/>
      <c r="EN1607" s="1"/>
      <c r="EQ1607" s="1"/>
      <c r="ER1607" s="1"/>
      <c r="ES1607" s="1"/>
      <c r="EV1607" s="1"/>
      <c r="EW1607" s="1"/>
      <c r="EZ1607" s="1"/>
      <c r="GO1607" s="1"/>
      <c r="GP1607" s="1"/>
      <c r="HY1607" s="1"/>
      <c r="IE1607" s="1"/>
      <c r="IR1607" s="1"/>
      <c r="IS1607" s="1"/>
      <c r="IY1607" s="1"/>
      <c r="IZ1607" s="1"/>
      <c r="JC1607" s="1"/>
      <c r="JF1607" s="1"/>
      <c r="JG1607" s="1"/>
      <c r="JJ1607" s="1"/>
      <c r="JN1607" s="1"/>
      <c r="JP1607" s="1"/>
      <c r="JQ1607" s="1"/>
      <c r="JT1607" s="1"/>
      <c r="KU1607" s="1"/>
      <c r="KW1607" s="1"/>
      <c r="KY1607" s="1"/>
      <c r="KZ1607" s="1"/>
      <c r="LA1607" s="1"/>
      <c r="LB1607" s="1"/>
      <c r="LC1607" s="1"/>
      <c r="LD1607" s="1"/>
      <c r="LO1607" s="1"/>
      <c r="LP1607" s="1"/>
      <c r="LZ1607" s="1"/>
      <c r="MA1607" s="1"/>
    </row>
    <row r="1608" spans="4:339" ht="13" x14ac:dyDescent="0.15">
      <c r="D1608" s="12"/>
      <c r="E1608" s="12"/>
      <c r="I1608" s="12"/>
      <c r="J1608" s="13"/>
      <c r="BF1608" s="1"/>
      <c r="BG1608" s="1"/>
      <c r="BH1608" s="1"/>
      <c r="BI1608" s="1"/>
      <c r="BJ1608" s="1"/>
      <c r="BK1608" s="1"/>
      <c r="BL1608" s="1"/>
      <c r="BM1608" s="1"/>
      <c r="BN1608" s="1"/>
      <c r="BO1608" s="1"/>
      <c r="BP1608" s="1"/>
      <c r="BQ1608" s="1"/>
      <c r="BR1608" s="1"/>
      <c r="CD1608" s="1"/>
      <c r="CE1608" s="1"/>
      <c r="CF1608" s="1"/>
      <c r="CG1608" s="1"/>
      <c r="CM1608" s="2"/>
      <c r="CP1608" s="1"/>
      <c r="CQ1608" s="1"/>
      <c r="CS1608" s="1"/>
      <c r="CT1608" s="1"/>
      <c r="CU1608" s="1"/>
      <c r="CV1608" s="1"/>
      <c r="CW1608" s="1"/>
      <c r="CX1608" s="1"/>
      <c r="CY1608" s="1"/>
      <c r="CZ1608" s="1"/>
      <c r="DA1608" s="1"/>
      <c r="DB1608" s="1"/>
      <c r="DC1608" s="1"/>
      <c r="DD1608" s="1"/>
      <c r="DE1608" s="1"/>
      <c r="DF1608" s="1"/>
      <c r="DG1608" s="1"/>
      <c r="DH1608" s="1"/>
      <c r="DI1608" s="1"/>
      <c r="DJ1608" s="1"/>
      <c r="DK1608" s="1"/>
      <c r="DQ1608" s="1"/>
      <c r="DR1608" s="1"/>
      <c r="DY1608" s="1"/>
      <c r="DZ1608" s="1"/>
      <c r="ED1608" s="1"/>
      <c r="EK1608" s="1"/>
      <c r="EL1608" s="1"/>
      <c r="EM1608" s="1"/>
      <c r="EN1608" s="1"/>
      <c r="EQ1608" s="1"/>
      <c r="ER1608" s="1"/>
      <c r="ES1608" s="1"/>
      <c r="EV1608" s="1"/>
      <c r="EW1608" s="1"/>
      <c r="EZ1608" s="1"/>
      <c r="GO1608" s="1"/>
      <c r="GP1608" s="1"/>
      <c r="HY1608" s="1"/>
      <c r="IE1608" s="1"/>
      <c r="IR1608" s="1"/>
      <c r="IS1608" s="1"/>
      <c r="IY1608" s="1"/>
      <c r="IZ1608" s="1"/>
      <c r="JC1608" s="1"/>
      <c r="JF1608" s="1"/>
      <c r="JG1608" s="1"/>
      <c r="JJ1608" s="1"/>
      <c r="JN1608" s="1"/>
      <c r="JP1608" s="1"/>
      <c r="JQ1608" s="1"/>
      <c r="JT1608" s="1"/>
      <c r="KU1608" s="1"/>
      <c r="KW1608" s="1"/>
      <c r="KY1608" s="1"/>
      <c r="KZ1608" s="1"/>
      <c r="LA1608" s="1"/>
      <c r="LB1608" s="1"/>
      <c r="LC1608" s="1"/>
      <c r="LD1608" s="1"/>
      <c r="LO1608" s="1"/>
      <c r="LP1608" s="1"/>
      <c r="LZ1608" s="1"/>
      <c r="MA1608" s="1"/>
    </row>
    <row r="1609" spans="4:339" ht="13" x14ac:dyDescent="0.15">
      <c r="D1609" s="12"/>
      <c r="E1609" s="12"/>
      <c r="I1609" s="12"/>
      <c r="J1609" s="13"/>
      <c r="BF1609" s="1"/>
      <c r="BG1609" s="1"/>
      <c r="BH1609" s="1"/>
      <c r="BI1609" s="1"/>
      <c r="BJ1609" s="1"/>
      <c r="BK1609" s="1"/>
      <c r="BL1609" s="1"/>
      <c r="BM1609" s="1"/>
      <c r="BN1609" s="1"/>
      <c r="BO1609" s="1"/>
      <c r="BP1609" s="1"/>
      <c r="BQ1609" s="1"/>
      <c r="BR1609" s="1"/>
      <c r="CD1609" s="1"/>
      <c r="CE1609" s="1"/>
      <c r="CF1609" s="1"/>
      <c r="CG1609" s="1"/>
      <c r="CM1609" s="2"/>
      <c r="CP1609" s="1"/>
      <c r="CQ1609" s="1"/>
      <c r="CS1609" s="1"/>
      <c r="CT1609" s="1"/>
      <c r="CU1609" s="1"/>
      <c r="CV1609" s="1"/>
      <c r="CW1609" s="1"/>
      <c r="CX1609" s="1"/>
      <c r="CY1609" s="1"/>
      <c r="CZ1609" s="1"/>
      <c r="DA1609" s="1"/>
      <c r="DB1609" s="1"/>
      <c r="DC1609" s="1"/>
      <c r="DD1609" s="1"/>
      <c r="DE1609" s="1"/>
      <c r="DF1609" s="1"/>
      <c r="DG1609" s="1"/>
      <c r="DH1609" s="1"/>
      <c r="DI1609" s="1"/>
      <c r="DJ1609" s="1"/>
      <c r="DK1609" s="1"/>
      <c r="DQ1609" s="1"/>
      <c r="DR1609" s="1"/>
      <c r="DY1609" s="1"/>
      <c r="DZ1609" s="1"/>
      <c r="ED1609" s="1"/>
      <c r="EK1609" s="1"/>
      <c r="EL1609" s="1"/>
      <c r="EM1609" s="1"/>
      <c r="EN1609" s="1"/>
      <c r="EQ1609" s="1"/>
      <c r="ER1609" s="1"/>
      <c r="ES1609" s="1"/>
      <c r="EV1609" s="1"/>
      <c r="EW1609" s="1"/>
      <c r="EZ1609" s="1"/>
      <c r="GO1609" s="1"/>
      <c r="GP1609" s="1"/>
      <c r="HY1609" s="1"/>
      <c r="IE1609" s="1"/>
      <c r="IR1609" s="1"/>
      <c r="IS1609" s="1"/>
      <c r="IY1609" s="1"/>
      <c r="IZ1609" s="1"/>
      <c r="JC1609" s="1"/>
      <c r="JF1609" s="1"/>
      <c r="JG1609" s="1"/>
      <c r="JJ1609" s="1"/>
      <c r="JN1609" s="1"/>
      <c r="JP1609" s="1"/>
      <c r="JQ1609" s="1"/>
      <c r="JT1609" s="1"/>
      <c r="KU1609" s="1"/>
      <c r="KW1609" s="1"/>
      <c r="KY1609" s="1"/>
      <c r="KZ1609" s="1"/>
      <c r="LA1609" s="1"/>
      <c r="LB1609" s="1"/>
      <c r="LC1609" s="1"/>
      <c r="LD1609" s="1"/>
      <c r="LO1609" s="1"/>
      <c r="LP1609" s="1"/>
      <c r="LZ1609" s="1"/>
      <c r="MA1609" s="1"/>
    </row>
    <row r="1610" spans="4:339" ht="13" x14ac:dyDescent="0.15">
      <c r="D1610" s="12"/>
      <c r="E1610" s="12"/>
      <c r="I1610" s="12"/>
      <c r="J1610" s="13"/>
      <c r="BF1610" s="1"/>
      <c r="BG1610" s="1"/>
      <c r="BH1610" s="1"/>
      <c r="BI1610" s="1"/>
      <c r="BJ1610" s="1"/>
      <c r="BK1610" s="1"/>
      <c r="BL1610" s="1"/>
      <c r="BM1610" s="1"/>
      <c r="BN1610" s="1"/>
      <c r="BO1610" s="1"/>
      <c r="BP1610" s="1"/>
      <c r="BQ1610" s="1"/>
      <c r="BR1610" s="1"/>
      <c r="CD1610" s="1"/>
      <c r="CE1610" s="1"/>
      <c r="CF1610" s="1"/>
      <c r="CG1610" s="1"/>
      <c r="CM1610" s="2"/>
      <c r="CP1610" s="1"/>
      <c r="CQ1610" s="1"/>
      <c r="CS1610" s="1"/>
      <c r="CT1610" s="1"/>
      <c r="CU1610" s="1"/>
      <c r="CV1610" s="1"/>
      <c r="CW1610" s="1"/>
      <c r="CX1610" s="1"/>
      <c r="CY1610" s="1"/>
      <c r="CZ1610" s="1"/>
      <c r="DA1610" s="1"/>
      <c r="DB1610" s="1"/>
      <c r="DC1610" s="1"/>
      <c r="DD1610" s="1"/>
      <c r="DE1610" s="1"/>
      <c r="DF1610" s="1"/>
      <c r="DG1610" s="1"/>
      <c r="DH1610" s="1"/>
      <c r="DI1610" s="1"/>
      <c r="DJ1610" s="1"/>
      <c r="DK1610" s="1"/>
      <c r="DQ1610" s="1"/>
      <c r="DR1610" s="1"/>
      <c r="DY1610" s="1"/>
      <c r="DZ1610" s="1"/>
      <c r="ED1610" s="1"/>
      <c r="EK1610" s="1"/>
      <c r="EL1610" s="1"/>
      <c r="EM1610" s="1"/>
      <c r="EN1610" s="1"/>
      <c r="EQ1610" s="1"/>
      <c r="ER1610" s="1"/>
      <c r="ES1610" s="1"/>
      <c r="EV1610" s="1"/>
      <c r="EW1610" s="1"/>
      <c r="EZ1610" s="1"/>
      <c r="GO1610" s="1"/>
      <c r="GP1610" s="1"/>
      <c r="HY1610" s="1"/>
      <c r="IE1610" s="1"/>
      <c r="IR1610" s="1"/>
      <c r="IS1610" s="1"/>
      <c r="IY1610" s="1"/>
      <c r="IZ1610" s="1"/>
      <c r="JC1610" s="1"/>
      <c r="JF1610" s="1"/>
      <c r="JG1610" s="1"/>
      <c r="JJ1610" s="1"/>
      <c r="JN1610" s="1"/>
      <c r="JP1610" s="1"/>
      <c r="JQ1610" s="1"/>
      <c r="JT1610" s="1"/>
      <c r="KU1610" s="1"/>
      <c r="KW1610" s="1"/>
      <c r="KY1610" s="1"/>
      <c r="KZ1610" s="1"/>
      <c r="LA1610" s="1"/>
      <c r="LB1610" s="1"/>
      <c r="LC1610" s="1"/>
      <c r="LD1610" s="1"/>
      <c r="LO1610" s="1"/>
      <c r="LP1610" s="1"/>
      <c r="LZ1610" s="1"/>
      <c r="MA1610" s="1"/>
    </row>
    <row r="1611" spans="4:339" ht="13" x14ac:dyDescent="0.15">
      <c r="D1611" s="12"/>
      <c r="E1611" s="12"/>
      <c r="I1611" s="12"/>
      <c r="J1611" s="13"/>
      <c r="BF1611" s="1"/>
      <c r="BG1611" s="1"/>
      <c r="BH1611" s="1"/>
      <c r="BI1611" s="1"/>
      <c r="BJ1611" s="1"/>
      <c r="BK1611" s="1"/>
      <c r="BL1611" s="1"/>
      <c r="BM1611" s="1"/>
      <c r="BN1611" s="1"/>
      <c r="BO1611" s="1"/>
      <c r="BP1611" s="1"/>
      <c r="BQ1611" s="1"/>
      <c r="BR1611" s="1"/>
      <c r="CD1611" s="1"/>
      <c r="CE1611" s="1"/>
      <c r="CF1611" s="1"/>
      <c r="CG1611" s="1"/>
      <c r="CM1611" s="2"/>
      <c r="CP1611" s="1"/>
      <c r="CQ1611" s="1"/>
      <c r="CS1611" s="1"/>
      <c r="CT1611" s="1"/>
      <c r="CU1611" s="1"/>
      <c r="CV1611" s="1"/>
      <c r="CW1611" s="1"/>
      <c r="CX1611" s="1"/>
      <c r="CY1611" s="1"/>
      <c r="CZ1611" s="1"/>
      <c r="DA1611" s="1"/>
      <c r="DB1611" s="1"/>
      <c r="DC1611" s="1"/>
      <c r="DD1611" s="1"/>
      <c r="DE1611" s="1"/>
      <c r="DF1611" s="1"/>
      <c r="DG1611" s="1"/>
      <c r="DH1611" s="1"/>
      <c r="DI1611" s="1"/>
      <c r="DJ1611" s="1"/>
      <c r="DK1611" s="1"/>
      <c r="DQ1611" s="1"/>
      <c r="DR1611" s="1"/>
      <c r="DY1611" s="1"/>
      <c r="DZ1611" s="1"/>
      <c r="ED1611" s="1"/>
      <c r="EK1611" s="1"/>
      <c r="EL1611" s="1"/>
      <c r="EM1611" s="1"/>
      <c r="EN1611" s="1"/>
      <c r="EQ1611" s="1"/>
      <c r="ER1611" s="1"/>
      <c r="ES1611" s="1"/>
      <c r="EV1611" s="1"/>
      <c r="EW1611" s="1"/>
      <c r="EZ1611" s="1"/>
      <c r="GO1611" s="1"/>
      <c r="GP1611" s="1"/>
      <c r="HY1611" s="1"/>
      <c r="IE1611" s="1"/>
      <c r="IR1611" s="1"/>
      <c r="IS1611" s="1"/>
      <c r="IY1611" s="1"/>
      <c r="IZ1611" s="1"/>
      <c r="JC1611" s="1"/>
      <c r="JF1611" s="1"/>
      <c r="JG1611" s="1"/>
      <c r="JJ1611" s="1"/>
      <c r="JN1611" s="1"/>
      <c r="JP1611" s="1"/>
      <c r="JQ1611" s="1"/>
      <c r="JT1611" s="1"/>
      <c r="KU1611" s="1"/>
      <c r="KW1611" s="1"/>
      <c r="KY1611" s="1"/>
      <c r="KZ1611" s="1"/>
      <c r="LA1611" s="1"/>
      <c r="LB1611" s="1"/>
      <c r="LC1611" s="1"/>
      <c r="LD1611" s="1"/>
      <c r="LO1611" s="1"/>
      <c r="LP1611" s="1"/>
      <c r="LZ1611" s="1"/>
      <c r="MA1611" s="1"/>
    </row>
    <row r="1612" spans="4:339" ht="13" x14ac:dyDescent="0.15">
      <c r="D1612" s="12"/>
      <c r="E1612" s="12"/>
      <c r="I1612" s="12"/>
      <c r="J1612" s="13"/>
      <c r="BF1612" s="1"/>
      <c r="BG1612" s="1"/>
      <c r="BH1612" s="1"/>
      <c r="BI1612" s="1"/>
      <c r="BJ1612" s="1"/>
      <c r="BK1612" s="1"/>
      <c r="BL1612" s="1"/>
      <c r="BM1612" s="1"/>
      <c r="BN1612" s="1"/>
      <c r="BO1612" s="1"/>
      <c r="BP1612" s="1"/>
      <c r="BQ1612" s="1"/>
      <c r="BR1612" s="1"/>
      <c r="CD1612" s="1"/>
      <c r="CE1612" s="1"/>
      <c r="CF1612" s="1"/>
      <c r="CG1612" s="1"/>
      <c r="CM1612" s="2"/>
      <c r="CP1612" s="1"/>
      <c r="CQ1612" s="1"/>
      <c r="CS1612" s="1"/>
      <c r="CT1612" s="1"/>
      <c r="CU1612" s="1"/>
      <c r="CV1612" s="1"/>
      <c r="CW1612" s="1"/>
      <c r="CX1612" s="1"/>
      <c r="CY1612" s="1"/>
      <c r="CZ1612" s="1"/>
      <c r="DA1612" s="1"/>
      <c r="DB1612" s="1"/>
      <c r="DC1612" s="1"/>
      <c r="DD1612" s="1"/>
      <c r="DE1612" s="1"/>
      <c r="DF1612" s="1"/>
      <c r="DG1612" s="1"/>
      <c r="DH1612" s="1"/>
      <c r="DI1612" s="1"/>
      <c r="DJ1612" s="1"/>
      <c r="DK1612" s="1"/>
      <c r="DQ1612" s="1"/>
      <c r="DR1612" s="1"/>
      <c r="DY1612" s="1"/>
      <c r="DZ1612" s="1"/>
      <c r="ED1612" s="1"/>
      <c r="EK1612" s="1"/>
      <c r="EL1612" s="1"/>
      <c r="EM1612" s="1"/>
      <c r="EN1612" s="1"/>
      <c r="EQ1612" s="1"/>
      <c r="ER1612" s="1"/>
      <c r="ES1612" s="1"/>
      <c r="EV1612" s="1"/>
      <c r="EW1612" s="1"/>
      <c r="EZ1612" s="1"/>
      <c r="GO1612" s="1"/>
      <c r="GP1612" s="1"/>
      <c r="HY1612" s="1"/>
      <c r="IE1612" s="1"/>
      <c r="IR1612" s="1"/>
      <c r="IS1612" s="1"/>
      <c r="IY1612" s="1"/>
      <c r="IZ1612" s="1"/>
      <c r="JC1612" s="1"/>
      <c r="JF1612" s="1"/>
      <c r="JG1612" s="1"/>
      <c r="JJ1612" s="1"/>
      <c r="JN1612" s="1"/>
      <c r="JP1612" s="1"/>
      <c r="JQ1612" s="1"/>
      <c r="JT1612" s="1"/>
      <c r="KU1612" s="1"/>
      <c r="KW1612" s="1"/>
      <c r="KY1612" s="1"/>
      <c r="KZ1612" s="1"/>
      <c r="LA1612" s="1"/>
      <c r="LB1612" s="1"/>
      <c r="LC1612" s="1"/>
      <c r="LD1612" s="1"/>
      <c r="LO1612" s="1"/>
      <c r="LP1612" s="1"/>
      <c r="LZ1612" s="1"/>
      <c r="MA1612" s="1"/>
    </row>
    <row r="1613" spans="4:339" ht="13" x14ac:dyDescent="0.15">
      <c r="D1613" s="12"/>
      <c r="E1613" s="12"/>
      <c r="I1613" s="12"/>
      <c r="J1613" s="13"/>
      <c r="BF1613" s="1"/>
      <c r="BG1613" s="1"/>
      <c r="BH1613" s="1"/>
      <c r="BI1613" s="1"/>
      <c r="BJ1613" s="1"/>
      <c r="BK1613" s="1"/>
      <c r="BL1613" s="1"/>
      <c r="BM1613" s="1"/>
      <c r="BN1613" s="1"/>
      <c r="BO1613" s="1"/>
      <c r="BP1613" s="1"/>
      <c r="BQ1613" s="1"/>
      <c r="BR1613" s="1"/>
      <c r="CD1613" s="1"/>
      <c r="CE1613" s="1"/>
      <c r="CF1613" s="1"/>
      <c r="CG1613" s="1"/>
      <c r="CM1613" s="2"/>
      <c r="CP1613" s="1"/>
      <c r="CQ1613" s="1"/>
      <c r="CS1613" s="1"/>
      <c r="CT1613" s="1"/>
      <c r="CU1613" s="1"/>
      <c r="CV1613" s="1"/>
      <c r="CW1613" s="1"/>
      <c r="CX1613" s="1"/>
      <c r="CY1613" s="1"/>
      <c r="CZ1613" s="1"/>
      <c r="DA1613" s="1"/>
      <c r="DB1613" s="1"/>
      <c r="DC1613" s="1"/>
      <c r="DD1613" s="1"/>
      <c r="DE1613" s="1"/>
      <c r="DF1613" s="1"/>
      <c r="DG1613" s="1"/>
      <c r="DH1613" s="1"/>
      <c r="DI1613" s="1"/>
      <c r="DJ1613" s="1"/>
      <c r="DK1613" s="1"/>
      <c r="DQ1613" s="1"/>
      <c r="DR1613" s="1"/>
      <c r="DY1613" s="1"/>
      <c r="DZ1613" s="1"/>
      <c r="ED1613" s="1"/>
      <c r="EK1613" s="1"/>
      <c r="EL1613" s="1"/>
      <c r="EM1613" s="1"/>
      <c r="EN1613" s="1"/>
      <c r="EQ1613" s="1"/>
      <c r="ER1613" s="1"/>
      <c r="ES1613" s="1"/>
      <c r="EV1613" s="1"/>
      <c r="EW1613" s="1"/>
      <c r="EZ1613" s="1"/>
      <c r="GO1613" s="1"/>
      <c r="GP1613" s="1"/>
      <c r="HY1613" s="1"/>
      <c r="IE1613" s="1"/>
      <c r="IR1613" s="1"/>
      <c r="IS1613" s="1"/>
      <c r="IY1613" s="1"/>
      <c r="IZ1613" s="1"/>
      <c r="JC1613" s="1"/>
      <c r="JF1613" s="1"/>
      <c r="JG1613" s="1"/>
      <c r="JJ1613" s="1"/>
      <c r="JN1613" s="1"/>
      <c r="JP1613" s="1"/>
      <c r="JQ1613" s="1"/>
      <c r="JT1613" s="1"/>
      <c r="KU1613" s="1"/>
      <c r="KW1613" s="1"/>
      <c r="KY1613" s="1"/>
      <c r="KZ1613" s="1"/>
      <c r="LA1613" s="1"/>
      <c r="LB1613" s="1"/>
      <c r="LC1613" s="1"/>
      <c r="LD1613" s="1"/>
      <c r="LO1613" s="1"/>
      <c r="LP1613" s="1"/>
      <c r="LZ1613" s="1"/>
      <c r="MA1613" s="1"/>
    </row>
    <row r="1614" spans="4:339" ht="13" x14ac:dyDescent="0.15">
      <c r="D1614" s="12"/>
      <c r="E1614" s="12"/>
      <c r="I1614" s="12"/>
      <c r="J1614" s="13"/>
      <c r="BF1614" s="1"/>
      <c r="BG1614" s="1"/>
      <c r="BH1614" s="1"/>
      <c r="BI1614" s="1"/>
      <c r="BJ1614" s="1"/>
      <c r="BK1614" s="1"/>
      <c r="BL1614" s="1"/>
      <c r="BM1614" s="1"/>
      <c r="BN1614" s="1"/>
      <c r="BO1614" s="1"/>
      <c r="BP1614" s="1"/>
      <c r="BQ1614" s="1"/>
      <c r="BR1614" s="1"/>
      <c r="CD1614" s="1"/>
      <c r="CE1614" s="1"/>
      <c r="CF1614" s="1"/>
      <c r="CG1614" s="1"/>
      <c r="CM1614" s="2"/>
      <c r="CP1614" s="1"/>
      <c r="CQ1614" s="1"/>
      <c r="CS1614" s="1"/>
      <c r="CT1614" s="1"/>
      <c r="CU1614" s="1"/>
      <c r="CV1614" s="1"/>
      <c r="CW1614" s="1"/>
      <c r="CX1614" s="1"/>
      <c r="CY1614" s="1"/>
      <c r="CZ1614" s="1"/>
      <c r="DA1614" s="1"/>
      <c r="DB1614" s="1"/>
      <c r="DC1614" s="1"/>
      <c r="DD1614" s="1"/>
      <c r="DE1614" s="1"/>
      <c r="DF1614" s="1"/>
      <c r="DG1614" s="1"/>
      <c r="DH1614" s="1"/>
      <c r="DI1614" s="1"/>
      <c r="DJ1614" s="1"/>
      <c r="DK1614" s="1"/>
      <c r="DQ1614" s="1"/>
      <c r="DR1614" s="1"/>
      <c r="DY1614" s="1"/>
      <c r="DZ1614" s="1"/>
      <c r="ED1614" s="1"/>
      <c r="EK1614" s="1"/>
      <c r="EL1614" s="1"/>
      <c r="EM1614" s="1"/>
      <c r="EN1614" s="1"/>
      <c r="EQ1614" s="1"/>
      <c r="ER1614" s="1"/>
      <c r="ES1614" s="1"/>
      <c r="EV1614" s="1"/>
      <c r="EW1614" s="1"/>
      <c r="EZ1614" s="1"/>
      <c r="GO1614" s="1"/>
      <c r="GP1614" s="1"/>
      <c r="HY1614" s="1"/>
      <c r="IE1614" s="1"/>
      <c r="IR1614" s="1"/>
      <c r="IS1614" s="1"/>
      <c r="IY1614" s="1"/>
      <c r="IZ1614" s="1"/>
      <c r="JC1614" s="1"/>
      <c r="JF1614" s="1"/>
      <c r="JG1614" s="1"/>
      <c r="JJ1614" s="1"/>
      <c r="JN1614" s="1"/>
      <c r="JP1614" s="1"/>
      <c r="JQ1614" s="1"/>
      <c r="JT1614" s="1"/>
      <c r="KU1614" s="1"/>
      <c r="KW1614" s="1"/>
      <c r="KY1614" s="1"/>
      <c r="KZ1614" s="1"/>
      <c r="LA1614" s="1"/>
      <c r="LB1614" s="1"/>
      <c r="LC1614" s="1"/>
      <c r="LD1614" s="1"/>
      <c r="LO1614" s="1"/>
      <c r="LP1614" s="1"/>
      <c r="LZ1614" s="1"/>
      <c r="MA1614" s="1"/>
    </row>
    <row r="1615" spans="4:339" ht="13" x14ac:dyDescent="0.15">
      <c r="D1615" s="12"/>
      <c r="E1615" s="12"/>
      <c r="I1615" s="12"/>
      <c r="J1615" s="13"/>
      <c r="BF1615" s="1"/>
      <c r="BG1615" s="1"/>
      <c r="BH1615" s="1"/>
      <c r="BI1615" s="1"/>
      <c r="BJ1615" s="1"/>
      <c r="BK1615" s="1"/>
      <c r="BL1615" s="1"/>
      <c r="BM1615" s="1"/>
      <c r="BN1615" s="1"/>
      <c r="BO1615" s="1"/>
      <c r="BP1615" s="1"/>
      <c r="BQ1615" s="1"/>
      <c r="BR1615" s="1"/>
      <c r="CD1615" s="1"/>
      <c r="CE1615" s="1"/>
      <c r="CF1615" s="1"/>
      <c r="CG1615" s="1"/>
      <c r="CM1615" s="2"/>
      <c r="CP1615" s="1"/>
      <c r="CQ1615" s="1"/>
      <c r="CS1615" s="1"/>
      <c r="CT1615" s="1"/>
      <c r="CU1615" s="1"/>
      <c r="CV1615" s="1"/>
      <c r="CW1615" s="1"/>
      <c r="CX1615" s="1"/>
      <c r="CY1615" s="1"/>
      <c r="CZ1615" s="1"/>
      <c r="DA1615" s="1"/>
      <c r="DB1615" s="1"/>
      <c r="DC1615" s="1"/>
      <c r="DD1615" s="1"/>
      <c r="DE1615" s="1"/>
      <c r="DF1615" s="1"/>
      <c r="DG1615" s="1"/>
      <c r="DH1615" s="1"/>
      <c r="DI1615" s="1"/>
      <c r="DJ1615" s="1"/>
      <c r="DK1615" s="1"/>
      <c r="DQ1615" s="1"/>
      <c r="DR1615" s="1"/>
      <c r="DY1615" s="1"/>
      <c r="DZ1615" s="1"/>
      <c r="ED1615" s="1"/>
      <c r="EK1615" s="1"/>
      <c r="EL1615" s="1"/>
      <c r="EM1615" s="1"/>
      <c r="EN1615" s="1"/>
      <c r="EQ1615" s="1"/>
      <c r="ER1615" s="1"/>
      <c r="ES1615" s="1"/>
      <c r="EV1615" s="1"/>
      <c r="EW1615" s="1"/>
      <c r="EZ1615" s="1"/>
      <c r="GO1615" s="1"/>
      <c r="GP1615" s="1"/>
      <c r="HY1615" s="1"/>
      <c r="IE1615" s="1"/>
      <c r="IR1615" s="1"/>
      <c r="IS1615" s="1"/>
      <c r="IY1615" s="1"/>
      <c r="IZ1615" s="1"/>
      <c r="JC1615" s="1"/>
      <c r="JF1615" s="1"/>
      <c r="JG1615" s="1"/>
      <c r="JJ1615" s="1"/>
      <c r="JN1615" s="1"/>
      <c r="JP1615" s="1"/>
      <c r="JQ1615" s="1"/>
      <c r="JT1615" s="1"/>
      <c r="KU1615" s="1"/>
      <c r="KW1615" s="1"/>
      <c r="KY1615" s="1"/>
      <c r="KZ1615" s="1"/>
      <c r="LA1615" s="1"/>
      <c r="LB1615" s="1"/>
      <c r="LC1615" s="1"/>
      <c r="LD1615" s="1"/>
      <c r="LO1615" s="1"/>
      <c r="LP1615" s="1"/>
      <c r="LZ1615" s="1"/>
      <c r="MA1615" s="1"/>
    </row>
    <row r="1616" spans="4:339" ht="13" x14ac:dyDescent="0.15">
      <c r="D1616" s="12"/>
      <c r="E1616" s="12"/>
      <c r="I1616" s="12"/>
      <c r="J1616" s="13"/>
      <c r="BF1616" s="1"/>
      <c r="BG1616" s="1"/>
      <c r="BH1616" s="1"/>
      <c r="BI1616" s="1"/>
      <c r="BJ1616" s="1"/>
      <c r="BK1616" s="1"/>
      <c r="BL1616" s="1"/>
      <c r="BM1616" s="1"/>
      <c r="BN1616" s="1"/>
      <c r="BO1616" s="1"/>
      <c r="BP1616" s="1"/>
      <c r="BQ1616" s="1"/>
      <c r="BR1616" s="1"/>
      <c r="CD1616" s="1"/>
      <c r="CE1616" s="1"/>
      <c r="CF1616" s="1"/>
      <c r="CG1616" s="1"/>
      <c r="CM1616" s="2"/>
      <c r="CP1616" s="1"/>
      <c r="CQ1616" s="1"/>
      <c r="CS1616" s="1"/>
      <c r="CT1616" s="1"/>
      <c r="CU1616" s="1"/>
      <c r="CV1616" s="1"/>
      <c r="CW1616" s="1"/>
      <c r="CX1616" s="1"/>
      <c r="CY1616" s="1"/>
      <c r="CZ1616" s="1"/>
      <c r="DA1616" s="1"/>
      <c r="DB1616" s="1"/>
      <c r="DC1616" s="1"/>
      <c r="DD1616" s="1"/>
      <c r="DE1616" s="1"/>
      <c r="DF1616" s="1"/>
      <c r="DG1616" s="1"/>
      <c r="DH1616" s="1"/>
      <c r="DI1616" s="1"/>
      <c r="DJ1616" s="1"/>
      <c r="DK1616" s="1"/>
      <c r="DQ1616" s="1"/>
      <c r="DR1616" s="1"/>
      <c r="DY1616" s="1"/>
      <c r="DZ1616" s="1"/>
      <c r="ED1616" s="1"/>
      <c r="EK1616" s="1"/>
      <c r="EL1616" s="1"/>
      <c r="EM1616" s="1"/>
      <c r="EN1616" s="1"/>
      <c r="EQ1616" s="1"/>
      <c r="ER1616" s="1"/>
      <c r="ES1616" s="1"/>
      <c r="EV1616" s="1"/>
      <c r="EW1616" s="1"/>
      <c r="EZ1616" s="1"/>
      <c r="GO1616" s="1"/>
      <c r="GP1616" s="1"/>
      <c r="HY1616" s="1"/>
      <c r="IE1616" s="1"/>
      <c r="IR1616" s="1"/>
      <c r="IS1616" s="1"/>
      <c r="IY1616" s="1"/>
      <c r="IZ1616" s="1"/>
      <c r="JC1616" s="1"/>
      <c r="JF1616" s="1"/>
      <c r="JG1616" s="1"/>
      <c r="JJ1616" s="1"/>
      <c r="JN1616" s="1"/>
      <c r="JP1616" s="1"/>
      <c r="JQ1616" s="1"/>
      <c r="JT1616" s="1"/>
      <c r="KU1616" s="1"/>
      <c r="KW1616" s="1"/>
      <c r="KY1616" s="1"/>
      <c r="KZ1616" s="1"/>
      <c r="LA1616" s="1"/>
      <c r="LB1616" s="1"/>
      <c r="LC1616" s="1"/>
      <c r="LD1616" s="1"/>
      <c r="LO1616" s="1"/>
      <c r="LP1616" s="1"/>
      <c r="LZ1616" s="1"/>
      <c r="MA1616" s="1"/>
    </row>
    <row r="1617" spans="4:339" ht="13" x14ac:dyDescent="0.15">
      <c r="D1617" s="12"/>
      <c r="E1617" s="12"/>
      <c r="I1617" s="12"/>
      <c r="J1617" s="13"/>
      <c r="BF1617" s="1"/>
      <c r="BG1617" s="1"/>
      <c r="BH1617" s="1"/>
      <c r="BI1617" s="1"/>
      <c r="BJ1617" s="1"/>
      <c r="BK1617" s="1"/>
      <c r="BL1617" s="1"/>
      <c r="BM1617" s="1"/>
      <c r="BN1617" s="1"/>
      <c r="BO1617" s="1"/>
      <c r="BP1617" s="1"/>
      <c r="BQ1617" s="1"/>
      <c r="BR1617" s="1"/>
      <c r="CD1617" s="1"/>
      <c r="CE1617" s="1"/>
      <c r="CF1617" s="1"/>
      <c r="CG1617" s="1"/>
      <c r="CM1617" s="2"/>
      <c r="CP1617" s="1"/>
      <c r="CQ1617" s="1"/>
      <c r="CS1617" s="1"/>
      <c r="CT1617" s="1"/>
      <c r="CU1617" s="1"/>
      <c r="CV1617" s="1"/>
      <c r="CW1617" s="1"/>
      <c r="CX1617" s="1"/>
      <c r="CY1617" s="1"/>
      <c r="CZ1617" s="1"/>
      <c r="DA1617" s="1"/>
      <c r="DB1617" s="1"/>
      <c r="DC1617" s="1"/>
      <c r="DD1617" s="1"/>
      <c r="DE1617" s="1"/>
      <c r="DF1617" s="1"/>
      <c r="DG1617" s="1"/>
      <c r="DH1617" s="1"/>
      <c r="DI1617" s="1"/>
      <c r="DJ1617" s="1"/>
      <c r="DK1617" s="1"/>
      <c r="DQ1617" s="1"/>
      <c r="DR1617" s="1"/>
      <c r="DY1617" s="1"/>
      <c r="DZ1617" s="1"/>
      <c r="ED1617" s="1"/>
      <c r="EK1617" s="1"/>
      <c r="EL1617" s="1"/>
      <c r="EM1617" s="1"/>
      <c r="EN1617" s="1"/>
      <c r="EQ1617" s="1"/>
      <c r="ER1617" s="1"/>
      <c r="ES1617" s="1"/>
      <c r="EV1617" s="1"/>
      <c r="EW1617" s="1"/>
      <c r="EZ1617" s="1"/>
      <c r="GO1617" s="1"/>
      <c r="GP1617" s="1"/>
      <c r="HY1617" s="1"/>
      <c r="IE1617" s="1"/>
      <c r="IR1617" s="1"/>
      <c r="IS1617" s="1"/>
      <c r="IY1617" s="1"/>
      <c r="IZ1617" s="1"/>
      <c r="JC1617" s="1"/>
      <c r="JF1617" s="1"/>
      <c r="JG1617" s="1"/>
      <c r="JJ1617" s="1"/>
      <c r="JN1617" s="1"/>
      <c r="JP1617" s="1"/>
      <c r="JQ1617" s="1"/>
      <c r="JT1617" s="1"/>
      <c r="KU1617" s="1"/>
      <c r="KW1617" s="1"/>
      <c r="KY1617" s="1"/>
      <c r="KZ1617" s="1"/>
      <c r="LA1617" s="1"/>
      <c r="LB1617" s="1"/>
      <c r="LC1617" s="1"/>
      <c r="LD1617" s="1"/>
      <c r="LO1617" s="1"/>
      <c r="LP1617" s="1"/>
      <c r="LZ1617" s="1"/>
      <c r="MA1617" s="1"/>
    </row>
    <row r="1618" spans="4:339" ht="13" x14ac:dyDescent="0.15">
      <c r="D1618" s="12"/>
      <c r="E1618" s="12"/>
      <c r="I1618" s="12"/>
      <c r="J1618" s="13"/>
      <c r="BF1618" s="1"/>
      <c r="BG1618" s="1"/>
      <c r="BH1618" s="1"/>
      <c r="BI1618" s="1"/>
      <c r="BJ1618" s="1"/>
      <c r="BK1618" s="1"/>
      <c r="BL1618" s="1"/>
      <c r="BM1618" s="1"/>
      <c r="BN1618" s="1"/>
      <c r="BO1618" s="1"/>
      <c r="BP1618" s="1"/>
      <c r="BQ1618" s="1"/>
      <c r="BR1618" s="1"/>
      <c r="CD1618" s="1"/>
      <c r="CE1618" s="1"/>
      <c r="CF1618" s="1"/>
      <c r="CG1618" s="1"/>
      <c r="CM1618" s="2"/>
      <c r="CP1618" s="1"/>
      <c r="CQ1618" s="1"/>
      <c r="CS1618" s="1"/>
      <c r="CT1618" s="1"/>
      <c r="CU1618" s="1"/>
      <c r="CV1618" s="1"/>
      <c r="CW1618" s="1"/>
      <c r="CX1618" s="1"/>
      <c r="CY1618" s="1"/>
      <c r="CZ1618" s="1"/>
      <c r="DA1618" s="1"/>
      <c r="DB1618" s="1"/>
      <c r="DC1618" s="1"/>
      <c r="DD1618" s="1"/>
      <c r="DE1618" s="1"/>
      <c r="DF1618" s="1"/>
      <c r="DG1618" s="1"/>
      <c r="DH1618" s="1"/>
      <c r="DI1618" s="1"/>
      <c r="DJ1618" s="1"/>
      <c r="DK1618" s="1"/>
      <c r="DQ1618" s="1"/>
      <c r="DR1618" s="1"/>
      <c r="DY1618" s="1"/>
      <c r="DZ1618" s="1"/>
      <c r="ED1618" s="1"/>
      <c r="EK1618" s="1"/>
      <c r="EL1618" s="1"/>
      <c r="EM1618" s="1"/>
      <c r="EN1618" s="1"/>
      <c r="EQ1618" s="1"/>
      <c r="ER1618" s="1"/>
      <c r="ES1618" s="1"/>
      <c r="EV1618" s="1"/>
      <c r="EW1618" s="1"/>
      <c r="EZ1618" s="1"/>
      <c r="GO1618" s="1"/>
      <c r="GP1618" s="1"/>
      <c r="HY1618" s="1"/>
      <c r="IE1618" s="1"/>
      <c r="IR1618" s="1"/>
      <c r="IS1618" s="1"/>
      <c r="IY1618" s="1"/>
      <c r="IZ1618" s="1"/>
      <c r="JC1618" s="1"/>
      <c r="JF1618" s="1"/>
      <c r="JG1618" s="1"/>
      <c r="JJ1618" s="1"/>
      <c r="JN1618" s="1"/>
      <c r="JP1618" s="1"/>
      <c r="JQ1618" s="1"/>
      <c r="JT1618" s="1"/>
      <c r="KU1618" s="1"/>
      <c r="KW1618" s="1"/>
      <c r="KY1618" s="1"/>
      <c r="KZ1618" s="1"/>
      <c r="LA1618" s="1"/>
      <c r="LB1618" s="1"/>
      <c r="LC1618" s="1"/>
      <c r="LD1618" s="1"/>
      <c r="LO1618" s="1"/>
      <c r="LP1618" s="1"/>
      <c r="LZ1618" s="1"/>
      <c r="MA1618" s="1"/>
    </row>
    <row r="1619" spans="4:339" ht="13" x14ac:dyDescent="0.15">
      <c r="D1619" s="12"/>
      <c r="E1619" s="12"/>
      <c r="I1619" s="12"/>
      <c r="J1619" s="13"/>
      <c r="BF1619" s="1"/>
      <c r="BG1619" s="1"/>
      <c r="BH1619" s="1"/>
      <c r="BI1619" s="1"/>
      <c r="BJ1619" s="1"/>
      <c r="BK1619" s="1"/>
      <c r="BL1619" s="1"/>
      <c r="BM1619" s="1"/>
      <c r="BN1619" s="1"/>
      <c r="BO1619" s="1"/>
      <c r="BP1619" s="1"/>
      <c r="BQ1619" s="1"/>
      <c r="BR1619" s="1"/>
      <c r="CD1619" s="1"/>
      <c r="CE1619" s="1"/>
      <c r="CF1619" s="1"/>
      <c r="CG1619" s="1"/>
      <c r="CM1619" s="2"/>
      <c r="CP1619" s="1"/>
      <c r="CQ1619" s="1"/>
      <c r="CS1619" s="1"/>
      <c r="CT1619" s="1"/>
      <c r="CU1619" s="1"/>
      <c r="CV1619" s="1"/>
      <c r="CW1619" s="1"/>
      <c r="CX1619" s="1"/>
      <c r="CY1619" s="1"/>
      <c r="CZ1619" s="1"/>
      <c r="DA1619" s="1"/>
      <c r="DB1619" s="1"/>
      <c r="DC1619" s="1"/>
      <c r="DD1619" s="1"/>
      <c r="DE1619" s="1"/>
      <c r="DF1619" s="1"/>
      <c r="DG1619" s="1"/>
      <c r="DH1619" s="1"/>
      <c r="DI1619" s="1"/>
      <c r="DJ1619" s="1"/>
      <c r="DK1619" s="1"/>
      <c r="DQ1619" s="1"/>
      <c r="DR1619" s="1"/>
      <c r="DY1619" s="1"/>
      <c r="DZ1619" s="1"/>
      <c r="ED1619" s="1"/>
      <c r="EK1619" s="1"/>
      <c r="EL1619" s="1"/>
      <c r="EM1619" s="1"/>
      <c r="EN1619" s="1"/>
      <c r="EQ1619" s="1"/>
      <c r="ER1619" s="1"/>
      <c r="ES1619" s="1"/>
      <c r="EV1619" s="1"/>
      <c r="EW1619" s="1"/>
      <c r="EZ1619" s="1"/>
      <c r="GO1619" s="1"/>
      <c r="GP1619" s="1"/>
      <c r="HY1619" s="1"/>
      <c r="IE1619" s="1"/>
      <c r="IR1619" s="1"/>
      <c r="IS1619" s="1"/>
      <c r="IY1619" s="1"/>
      <c r="IZ1619" s="1"/>
      <c r="JC1619" s="1"/>
      <c r="JF1619" s="1"/>
      <c r="JG1619" s="1"/>
      <c r="JJ1619" s="1"/>
      <c r="JN1619" s="1"/>
      <c r="JP1619" s="1"/>
      <c r="JQ1619" s="1"/>
      <c r="JT1619" s="1"/>
      <c r="KU1619" s="1"/>
      <c r="KW1619" s="1"/>
      <c r="KY1619" s="1"/>
      <c r="KZ1619" s="1"/>
      <c r="LA1619" s="1"/>
      <c r="LB1619" s="1"/>
      <c r="LC1619" s="1"/>
      <c r="LD1619" s="1"/>
      <c r="LO1619" s="1"/>
      <c r="LP1619" s="1"/>
      <c r="LZ1619" s="1"/>
      <c r="MA1619" s="1"/>
    </row>
    <row r="1620" spans="4:339" ht="13" x14ac:dyDescent="0.15">
      <c r="D1620" s="12"/>
      <c r="E1620" s="12"/>
      <c r="I1620" s="12"/>
      <c r="J1620" s="13"/>
      <c r="BF1620" s="1"/>
      <c r="BG1620" s="1"/>
      <c r="BH1620" s="1"/>
      <c r="BI1620" s="1"/>
      <c r="BJ1620" s="1"/>
      <c r="BK1620" s="1"/>
      <c r="BL1620" s="1"/>
      <c r="BM1620" s="1"/>
      <c r="BN1620" s="1"/>
      <c r="BO1620" s="1"/>
      <c r="BP1620" s="1"/>
      <c r="BQ1620" s="1"/>
      <c r="BR1620" s="1"/>
      <c r="CD1620" s="1"/>
      <c r="CE1620" s="1"/>
      <c r="CF1620" s="1"/>
      <c r="CG1620" s="1"/>
      <c r="CM1620" s="2"/>
      <c r="CP1620" s="1"/>
      <c r="CQ1620" s="1"/>
      <c r="CS1620" s="1"/>
      <c r="CT1620" s="1"/>
      <c r="CU1620" s="1"/>
      <c r="CV1620" s="1"/>
      <c r="CW1620" s="1"/>
      <c r="CX1620" s="1"/>
      <c r="CY1620" s="1"/>
      <c r="CZ1620" s="1"/>
      <c r="DA1620" s="1"/>
      <c r="DB1620" s="1"/>
      <c r="DC1620" s="1"/>
      <c r="DD1620" s="1"/>
      <c r="DE1620" s="1"/>
      <c r="DF1620" s="1"/>
      <c r="DG1620" s="1"/>
      <c r="DH1620" s="1"/>
      <c r="DI1620" s="1"/>
      <c r="DJ1620" s="1"/>
      <c r="DK1620" s="1"/>
      <c r="DQ1620" s="1"/>
      <c r="DR1620" s="1"/>
      <c r="DY1620" s="1"/>
      <c r="DZ1620" s="1"/>
      <c r="ED1620" s="1"/>
      <c r="EK1620" s="1"/>
      <c r="EL1620" s="1"/>
      <c r="EM1620" s="1"/>
      <c r="EN1620" s="1"/>
      <c r="EQ1620" s="1"/>
      <c r="ER1620" s="1"/>
      <c r="ES1620" s="1"/>
      <c r="EV1620" s="1"/>
      <c r="EW1620" s="1"/>
      <c r="EZ1620" s="1"/>
      <c r="GO1620" s="1"/>
      <c r="GP1620" s="1"/>
      <c r="HY1620" s="1"/>
      <c r="IE1620" s="1"/>
      <c r="IR1620" s="1"/>
      <c r="IS1620" s="1"/>
      <c r="IY1620" s="1"/>
      <c r="IZ1620" s="1"/>
      <c r="JC1620" s="1"/>
      <c r="JF1620" s="1"/>
      <c r="JG1620" s="1"/>
      <c r="JJ1620" s="1"/>
      <c r="JN1620" s="1"/>
      <c r="JP1620" s="1"/>
      <c r="JQ1620" s="1"/>
      <c r="JT1620" s="1"/>
      <c r="KU1620" s="1"/>
      <c r="KW1620" s="1"/>
      <c r="KY1620" s="1"/>
      <c r="KZ1620" s="1"/>
      <c r="LA1620" s="1"/>
      <c r="LB1620" s="1"/>
      <c r="LC1620" s="1"/>
      <c r="LD1620" s="1"/>
      <c r="LO1620" s="1"/>
      <c r="LP1620" s="1"/>
      <c r="LZ1620" s="1"/>
      <c r="MA1620" s="1"/>
    </row>
    <row r="1621" spans="4:339" ht="13" x14ac:dyDescent="0.15">
      <c r="D1621" s="12"/>
      <c r="E1621" s="12"/>
      <c r="I1621" s="12"/>
      <c r="J1621" s="13"/>
      <c r="BF1621" s="1"/>
      <c r="BG1621" s="1"/>
      <c r="BH1621" s="1"/>
      <c r="BI1621" s="1"/>
      <c r="BJ1621" s="1"/>
      <c r="BK1621" s="1"/>
      <c r="BL1621" s="1"/>
      <c r="BM1621" s="1"/>
      <c r="BN1621" s="1"/>
      <c r="BO1621" s="1"/>
      <c r="BP1621" s="1"/>
      <c r="BQ1621" s="1"/>
      <c r="BR1621" s="1"/>
      <c r="CD1621" s="1"/>
      <c r="CE1621" s="1"/>
      <c r="CF1621" s="1"/>
      <c r="CG1621" s="1"/>
      <c r="CM1621" s="2"/>
      <c r="CP1621" s="1"/>
      <c r="CQ1621" s="1"/>
      <c r="CS1621" s="1"/>
      <c r="CT1621" s="1"/>
      <c r="CU1621" s="1"/>
      <c r="CV1621" s="1"/>
      <c r="CW1621" s="1"/>
      <c r="CX1621" s="1"/>
      <c r="CY1621" s="1"/>
      <c r="CZ1621" s="1"/>
      <c r="DA1621" s="1"/>
      <c r="DB1621" s="1"/>
      <c r="DC1621" s="1"/>
      <c r="DD1621" s="1"/>
      <c r="DE1621" s="1"/>
      <c r="DF1621" s="1"/>
      <c r="DG1621" s="1"/>
      <c r="DH1621" s="1"/>
      <c r="DI1621" s="1"/>
      <c r="DJ1621" s="1"/>
      <c r="DK1621" s="1"/>
      <c r="DQ1621" s="1"/>
      <c r="DR1621" s="1"/>
      <c r="DY1621" s="1"/>
      <c r="DZ1621" s="1"/>
      <c r="ED1621" s="1"/>
      <c r="EK1621" s="1"/>
      <c r="EL1621" s="1"/>
      <c r="EM1621" s="1"/>
      <c r="EN1621" s="1"/>
      <c r="EQ1621" s="1"/>
      <c r="ER1621" s="1"/>
      <c r="ES1621" s="1"/>
      <c r="EV1621" s="1"/>
      <c r="EW1621" s="1"/>
      <c r="EZ1621" s="1"/>
      <c r="GO1621" s="1"/>
      <c r="GP1621" s="1"/>
      <c r="HY1621" s="1"/>
      <c r="IE1621" s="1"/>
      <c r="IR1621" s="1"/>
      <c r="IS1621" s="1"/>
      <c r="IY1621" s="1"/>
      <c r="IZ1621" s="1"/>
      <c r="JC1621" s="1"/>
      <c r="JF1621" s="1"/>
      <c r="JG1621" s="1"/>
      <c r="JJ1621" s="1"/>
      <c r="JN1621" s="1"/>
      <c r="JP1621" s="1"/>
      <c r="JQ1621" s="1"/>
      <c r="JT1621" s="1"/>
      <c r="KU1621" s="1"/>
      <c r="KW1621" s="1"/>
      <c r="KY1621" s="1"/>
      <c r="KZ1621" s="1"/>
      <c r="LA1621" s="1"/>
      <c r="LB1621" s="1"/>
      <c r="LC1621" s="1"/>
      <c r="LD1621" s="1"/>
      <c r="LO1621" s="1"/>
      <c r="LP1621" s="1"/>
      <c r="LZ1621" s="1"/>
      <c r="MA1621" s="1"/>
    </row>
    <row r="1622" spans="4:339" ht="13" x14ac:dyDescent="0.15">
      <c r="D1622" s="12"/>
      <c r="E1622" s="12"/>
      <c r="I1622" s="12"/>
      <c r="J1622" s="13"/>
      <c r="BF1622" s="1"/>
      <c r="BG1622" s="1"/>
      <c r="BH1622" s="1"/>
      <c r="BI1622" s="1"/>
      <c r="BJ1622" s="1"/>
      <c r="BK1622" s="1"/>
      <c r="BL1622" s="1"/>
      <c r="BM1622" s="1"/>
      <c r="BN1622" s="1"/>
      <c r="BO1622" s="1"/>
      <c r="BP1622" s="1"/>
      <c r="BQ1622" s="1"/>
      <c r="BR1622" s="1"/>
      <c r="CD1622" s="1"/>
      <c r="CE1622" s="1"/>
      <c r="CF1622" s="1"/>
      <c r="CG1622" s="1"/>
      <c r="CM1622" s="2"/>
      <c r="CP1622" s="1"/>
      <c r="CQ1622" s="1"/>
      <c r="CS1622" s="1"/>
      <c r="CT1622" s="1"/>
      <c r="CU1622" s="1"/>
      <c r="CV1622" s="1"/>
      <c r="CW1622" s="1"/>
      <c r="CX1622" s="1"/>
      <c r="CY1622" s="1"/>
      <c r="CZ1622" s="1"/>
      <c r="DA1622" s="1"/>
      <c r="DB1622" s="1"/>
      <c r="DC1622" s="1"/>
      <c r="DD1622" s="1"/>
      <c r="DE1622" s="1"/>
      <c r="DF1622" s="1"/>
      <c r="DG1622" s="1"/>
      <c r="DH1622" s="1"/>
      <c r="DI1622" s="1"/>
      <c r="DJ1622" s="1"/>
      <c r="DK1622" s="1"/>
      <c r="DQ1622" s="1"/>
      <c r="DR1622" s="1"/>
      <c r="DY1622" s="1"/>
      <c r="DZ1622" s="1"/>
      <c r="ED1622" s="1"/>
      <c r="EK1622" s="1"/>
      <c r="EL1622" s="1"/>
      <c r="EM1622" s="1"/>
      <c r="EN1622" s="1"/>
      <c r="EQ1622" s="1"/>
      <c r="ER1622" s="1"/>
      <c r="ES1622" s="1"/>
      <c r="EV1622" s="1"/>
      <c r="EW1622" s="1"/>
      <c r="EZ1622" s="1"/>
      <c r="GO1622" s="1"/>
      <c r="GP1622" s="1"/>
      <c r="HY1622" s="1"/>
      <c r="IE1622" s="1"/>
      <c r="IR1622" s="1"/>
      <c r="IS1622" s="1"/>
      <c r="IY1622" s="1"/>
      <c r="IZ1622" s="1"/>
      <c r="JC1622" s="1"/>
      <c r="JF1622" s="1"/>
      <c r="JG1622" s="1"/>
      <c r="JJ1622" s="1"/>
      <c r="JN1622" s="1"/>
      <c r="JP1622" s="1"/>
      <c r="JQ1622" s="1"/>
      <c r="JT1622" s="1"/>
      <c r="KU1622" s="1"/>
      <c r="KW1622" s="1"/>
      <c r="KY1622" s="1"/>
      <c r="KZ1622" s="1"/>
      <c r="LA1622" s="1"/>
      <c r="LB1622" s="1"/>
      <c r="LC1622" s="1"/>
      <c r="LD1622" s="1"/>
      <c r="LO1622" s="1"/>
      <c r="LP1622" s="1"/>
      <c r="LZ1622" s="1"/>
      <c r="MA1622" s="1"/>
    </row>
    <row r="1623" spans="4:339" ht="13" x14ac:dyDescent="0.15">
      <c r="D1623" s="12"/>
      <c r="E1623" s="12"/>
      <c r="I1623" s="12"/>
      <c r="J1623" s="13"/>
      <c r="BF1623" s="1"/>
      <c r="BG1623" s="1"/>
      <c r="BH1623" s="1"/>
      <c r="BI1623" s="1"/>
      <c r="BK1623" s="1"/>
      <c r="BL1623" s="1"/>
      <c r="BM1623" s="1"/>
      <c r="BN1623" s="1"/>
      <c r="BO1623" s="1"/>
      <c r="BP1623" s="1"/>
      <c r="BQ1623" s="1"/>
      <c r="BR1623" s="1"/>
      <c r="CD1623" s="1"/>
      <c r="CE1623" s="1"/>
      <c r="CF1623" s="1"/>
      <c r="CM1623" s="2"/>
      <c r="CP1623" s="1"/>
      <c r="CQ1623" s="1"/>
      <c r="CS1623" s="1"/>
      <c r="CT1623" s="1"/>
      <c r="CU1623" s="1"/>
      <c r="CV1623" s="1"/>
      <c r="CW1623" s="1"/>
      <c r="CX1623" s="1"/>
      <c r="CY1623" s="1"/>
      <c r="CZ1623" s="1"/>
      <c r="DA1623" s="1"/>
      <c r="DB1623" s="1"/>
      <c r="DC1623" s="1"/>
      <c r="DD1623" s="1"/>
      <c r="DE1623" s="1"/>
      <c r="DF1623" s="1"/>
      <c r="DG1623" s="1"/>
      <c r="DH1623" s="1"/>
      <c r="DI1623" s="1"/>
      <c r="DJ1623" s="1"/>
      <c r="DK1623" s="1"/>
      <c r="ED1623" s="1"/>
      <c r="EK1623" s="1"/>
      <c r="EL1623" s="1"/>
      <c r="EM1623" s="1"/>
      <c r="EN1623" s="1"/>
      <c r="EQ1623" s="1"/>
      <c r="ER1623" s="1"/>
      <c r="ES1623" s="1"/>
      <c r="EV1623" s="1"/>
      <c r="EW1623" s="1"/>
      <c r="EZ1623" s="1"/>
      <c r="GO1623" s="1"/>
      <c r="GP1623" s="1"/>
      <c r="HY1623" s="1"/>
      <c r="IE1623" s="1"/>
      <c r="IS1623" s="1"/>
      <c r="IZ1623" s="1"/>
      <c r="JG1623" s="1"/>
      <c r="JI1623" s="1"/>
      <c r="JJ1623" s="1"/>
      <c r="JN1623" s="1"/>
      <c r="JP1623" s="1"/>
      <c r="JQ1623" s="1"/>
      <c r="JT1623" s="1"/>
      <c r="KU1623" s="1"/>
      <c r="KV1623" s="1"/>
      <c r="KW1623" s="1"/>
      <c r="KY1623" s="1"/>
      <c r="KZ1623" s="1"/>
      <c r="LA1623" s="1"/>
      <c r="LB1623" s="1"/>
      <c r="LC1623" s="1"/>
      <c r="LD1623" s="1"/>
      <c r="LO1623" s="1"/>
      <c r="LP1623" s="1"/>
      <c r="LZ1623" s="1"/>
      <c r="MA1623" s="1"/>
    </row>
    <row r="1624" spans="4:339" ht="13" x14ac:dyDescent="0.15">
      <c r="D1624" s="12"/>
      <c r="E1624" s="12"/>
      <c r="I1624" s="12"/>
      <c r="J1624" s="13"/>
      <c r="BF1624" s="1"/>
      <c r="BG1624" s="1"/>
      <c r="BH1624" s="1"/>
      <c r="BI1624" s="1"/>
      <c r="BK1624" s="1"/>
      <c r="BL1624" s="1"/>
      <c r="BM1624" s="1"/>
      <c r="BN1624" s="1"/>
      <c r="BO1624" s="1"/>
      <c r="BP1624" s="1"/>
      <c r="BQ1624" s="1"/>
      <c r="BR1624" s="1"/>
      <c r="CC1624" s="1"/>
      <c r="CD1624" s="1"/>
      <c r="CE1624" s="1"/>
      <c r="CF1624" s="1"/>
      <c r="CG1624" s="1"/>
      <c r="CM1624" s="2"/>
      <c r="CP1624" s="1"/>
      <c r="CQ1624" s="1"/>
      <c r="CS1624" s="1"/>
      <c r="CT1624" s="1"/>
      <c r="CU1624" s="1"/>
      <c r="CV1624" s="1"/>
      <c r="CW1624" s="1"/>
      <c r="CX1624" s="1"/>
      <c r="CY1624" s="1"/>
      <c r="CZ1624" s="1"/>
      <c r="DA1624" s="1"/>
      <c r="DB1624" s="1"/>
      <c r="DC1624" s="1"/>
      <c r="DD1624" s="1"/>
      <c r="DE1624" s="1"/>
      <c r="DF1624" s="1"/>
      <c r="DG1624" s="1"/>
      <c r="DH1624" s="1"/>
      <c r="DI1624" s="1"/>
      <c r="DJ1624" s="1"/>
      <c r="DK1624" s="1"/>
      <c r="ED1624" s="1"/>
      <c r="EK1624" s="1"/>
      <c r="EL1624" s="1"/>
      <c r="EM1624" s="1"/>
      <c r="EN1624" s="1"/>
      <c r="EQ1624" s="1"/>
      <c r="ER1624" s="1"/>
      <c r="ES1624" s="1"/>
      <c r="EV1624" s="1"/>
      <c r="EW1624" s="1"/>
      <c r="EZ1624" s="1"/>
      <c r="GO1624" s="1"/>
      <c r="GP1624" s="1"/>
      <c r="HY1624" s="1"/>
      <c r="ID1624" s="1"/>
      <c r="IE1624" s="1"/>
      <c r="IR1624" s="1"/>
      <c r="IS1624" s="1"/>
      <c r="IW1624" s="1"/>
      <c r="IY1624" s="1"/>
      <c r="IZ1624" s="1"/>
      <c r="JC1624" s="1"/>
      <c r="JF1624" s="1"/>
      <c r="JG1624" s="1"/>
      <c r="JH1624" s="1"/>
      <c r="JI1624" s="1"/>
      <c r="JJ1624" s="1"/>
      <c r="JN1624" s="1"/>
      <c r="JP1624" s="1"/>
      <c r="JQ1624" s="1"/>
      <c r="JT1624" s="1"/>
      <c r="JW1624" s="1"/>
      <c r="KS1624" s="1"/>
      <c r="KT1624" s="1"/>
      <c r="KV1624" s="1"/>
      <c r="KW1624" s="1"/>
      <c r="KY1624" s="1"/>
      <c r="KZ1624" s="1"/>
      <c r="LA1624" s="1"/>
      <c r="LB1624" s="1"/>
      <c r="LC1624" s="1"/>
      <c r="LD1624" s="1"/>
      <c r="LN1624" s="1"/>
      <c r="LO1624" s="1"/>
      <c r="LP1624" s="1"/>
      <c r="LZ1624" s="1"/>
      <c r="MA1624" s="1"/>
    </row>
    <row r="1625" spans="4:339" ht="13" x14ac:dyDescent="0.15">
      <c r="D1625" s="12"/>
      <c r="E1625" s="12"/>
      <c r="I1625" s="12"/>
      <c r="J1625" s="13"/>
      <c r="BG1625" s="1"/>
      <c r="BH1625" s="1"/>
      <c r="BM1625" s="1"/>
      <c r="BN1625" s="1"/>
      <c r="BQ1625" s="1"/>
      <c r="BR1625" s="1"/>
      <c r="CD1625" s="1"/>
      <c r="CM1625" s="2"/>
      <c r="ED1625" s="1"/>
      <c r="EL1625" s="1"/>
      <c r="EM1625" s="1"/>
      <c r="EN1625" s="1"/>
      <c r="EQ1625" s="1"/>
      <c r="ER1625" s="1"/>
      <c r="ES1625" s="1"/>
      <c r="EV1625" s="1"/>
      <c r="EW1625" s="1"/>
      <c r="EZ1625" s="1"/>
      <c r="ID1625" s="1"/>
      <c r="IS1625" s="1"/>
      <c r="IW1625" s="1"/>
      <c r="IZ1625" s="1"/>
      <c r="JA1625" s="1"/>
      <c r="JC1625" s="1"/>
      <c r="LM1625" s="1"/>
    </row>
    <row r="1626" spans="4:339" ht="13" x14ac:dyDescent="0.15">
      <c r="D1626" s="12"/>
      <c r="E1626" s="12"/>
      <c r="I1626" s="12"/>
      <c r="J1626" s="13"/>
      <c r="BF1626" s="1"/>
      <c r="BG1626" s="1"/>
      <c r="BH1626" s="1"/>
      <c r="BI1626" s="1"/>
      <c r="BK1626" s="1"/>
      <c r="BL1626" s="1"/>
      <c r="BM1626" s="1"/>
      <c r="BN1626" s="1"/>
      <c r="BO1626" s="1"/>
      <c r="BP1626" s="1"/>
      <c r="BQ1626" s="1"/>
      <c r="BR1626" s="1"/>
      <c r="CD1626" s="1"/>
      <c r="CE1626" s="1"/>
      <c r="CF1626" s="1"/>
      <c r="CG1626" s="1"/>
      <c r="CK1626" s="1"/>
      <c r="CM1626" s="2"/>
      <c r="CP1626" s="1"/>
      <c r="CQ1626" s="1"/>
      <c r="CR1626" s="1"/>
      <c r="CS1626" s="1"/>
      <c r="CT1626" s="1"/>
      <c r="CU1626" s="1"/>
      <c r="CV1626" s="1"/>
      <c r="CW1626" s="1"/>
      <c r="CX1626" s="1"/>
      <c r="CY1626" s="1"/>
      <c r="CZ1626" s="1"/>
      <c r="DA1626" s="1"/>
      <c r="DB1626" s="1"/>
      <c r="DC1626" s="1"/>
      <c r="DD1626" s="1"/>
      <c r="DE1626" s="1"/>
      <c r="DF1626" s="1"/>
      <c r="DG1626" s="1"/>
      <c r="DH1626" s="1"/>
      <c r="DI1626" s="1"/>
      <c r="DJ1626" s="1"/>
      <c r="DK1626" s="1"/>
      <c r="DM1626" s="1"/>
      <c r="DQ1626" s="1"/>
      <c r="DR1626" s="1"/>
      <c r="DY1626" s="1"/>
      <c r="DZ1626" s="1"/>
      <c r="ED1626" s="1"/>
      <c r="EE1626" s="1"/>
      <c r="EF1626" s="1"/>
      <c r="EG1626" s="1"/>
      <c r="EH1626" s="1"/>
      <c r="EK1626" s="1"/>
      <c r="EL1626" s="1"/>
      <c r="EM1626" s="1"/>
      <c r="EN1626" s="1"/>
      <c r="EQ1626" s="1"/>
      <c r="ER1626" s="1"/>
      <c r="ES1626" s="1"/>
      <c r="EV1626" s="1"/>
      <c r="EW1626" s="1"/>
      <c r="EY1626" s="1"/>
      <c r="EZ1626" s="1"/>
      <c r="GO1626" s="1"/>
      <c r="GP1626" s="1"/>
      <c r="HY1626" s="1"/>
      <c r="IE1626" s="1"/>
      <c r="IG1626" s="1"/>
      <c r="IJ1626" s="1"/>
      <c r="IR1626" s="1"/>
      <c r="IS1626" s="1"/>
      <c r="IW1626" s="1"/>
      <c r="IZ1626" s="1"/>
      <c r="JA1626" s="1"/>
      <c r="JF1626" s="1"/>
      <c r="JG1626" s="1"/>
      <c r="JH1626" s="1"/>
      <c r="JJ1626" s="1"/>
      <c r="JK1626" s="1"/>
      <c r="JL1626" s="3"/>
      <c r="JM1626" s="1"/>
      <c r="JN1626" s="1"/>
      <c r="JP1626" s="1"/>
      <c r="JQ1626" s="1"/>
      <c r="JR1626" s="1"/>
      <c r="KU1626" s="1"/>
      <c r="KV1626" s="1"/>
      <c r="KY1626" s="1"/>
      <c r="KZ1626" s="1"/>
      <c r="LA1626" s="1"/>
      <c r="LB1626" s="1"/>
      <c r="LC1626" s="1"/>
      <c r="LD1626" s="1"/>
      <c r="LN1626" s="1"/>
      <c r="LO1626" s="1"/>
      <c r="LP1626" s="1"/>
      <c r="LZ1626" s="1"/>
      <c r="MA1626" s="1"/>
    </row>
    <row r="1627" spans="4:339" ht="13" x14ac:dyDescent="0.15">
      <c r="D1627" s="12"/>
      <c r="E1627" s="12"/>
      <c r="I1627" s="12"/>
      <c r="J1627" s="13"/>
      <c r="BF1627" s="1"/>
      <c r="BG1627" s="1"/>
      <c r="BH1627" s="1"/>
      <c r="BI1627" s="1"/>
      <c r="BK1627" s="1"/>
      <c r="BL1627" s="1"/>
      <c r="BM1627" s="1"/>
      <c r="BN1627" s="1"/>
      <c r="BO1627" s="1"/>
      <c r="BP1627" s="1"/>
      <c r="BQ1627" s="1"/>
      <c r="BR1627" s="1"/>
      <c r="CD1627" s="1"/>
      <c r="CE1627" s="1"/>
      <c r="CF1627" s="1"/>
      <c r="CG1627" s="1"/>
      <c r="CM1627" s="2"/>
      <c r="CP1627" s="1"/>
      <c r="CQ1627" s="1"/>
      <c r="CR1627" s="1"/>
      <c r="CT1627" s="1"/>
      <c r="CU1627" s="1"/>
      <c r="CV1627" s="1"/>
      <c r="CW1627" s="1"/>
      <c r="CX1627" s="1"/>
      <c r="CY1627" s="1"/>
      <c r="CZ1627" s="1"/>
      <c r="DA1627" s="1"/>
      <c r="DB1627" s="1"/>
      <c r="DC1627" s="1"/>
      <c r="DD1627" s="1"/>
      <c r="DE1627" s="1"/>
      <c r="DF1627" s="1"/>
      <c r="DG1627" s="1"/>
      <c r="DH1627" s="1"/>
      <c r="DI1627" s="1"/>
      <c r="DJ1627" s="1"/>
      <c r="DK1627" s="1"/>
      <c r="DM1627" s="1"/>
      <c r="DQ1627" s="1"/>
      <c r="DR1627" s="1"/>
      <c r="DY1627" s="1"/>
      <c r="DZ1627" s="1"/>
      <c r="ED1627" s="1"/>
      <c r="EK1627" s="1"/>
      <c r="EL1627" s="1"/>
      <c r="EM1627" s="1"/>
      <c r="EN1627" s="1"/>
      <c r="EQ1627" s="1"/>
      <c r="ER1627" s="1"/>
      <c r="ES1627" s="1"/>
      <c r="EV1627" s="1"/>
      <c r="EW1627" s="1"/>
      <c r="EZ1627" s="1"/>
      <c r="GO1627" s="1"/>
      <c r="GP1627" s="1"/>
      <c r="HY1627" s="1"/>
      <c r="IE1627" s="1"/>
      <c r="IR1627" s="1"/>
      <c r="IS1627" s="1"/>
      <c r="IZ1627" s="1"/>
      <c r="JF1627" s="1"/>
      <c r="JG1627" s="1"/>
      <c r="JH1627" s="1"/>
      <c r="JI1627" s="1"/>
      <c r="JJ1627" s="1"/>
      <c r="JN1627" s="1"/>
      <c r="JP1627" s="1"/>
      <c r="JQ1627" s="1"/>
      <c r="KU1627" s="1"/>
      <c r="KV1627" s="1"/>
      <c r="KY1627" s="1"/>
      <c r="KZ1627" s="1"/>
      <c r="LA1627" s="1"/>
      <c r="LB1627" s="1"/>
      <c r="LC1627" s="1"/>
      <c r="LD1627" s="1"/>
      <c r="LO1627" s="1"/>
      <c r="LP1627" s="1"/>
      <c r="LZ1627" s="1"/>
      <c r="MA1627" s="1"/>
    </row>
    <row r="1628" spans="4:339" ht="13" x14ac:dyDescent="0.15">
      <c r="D1628" s="12"/>
      <c r="E1628" s="12"/>
      <c r="I1628" s="12"/>
      <c r="J1628" s="13"/>
      <c r="BF1628" s="1"/>
      <c r="BG1628" s="1"/>
      <c r="BH1628" s="1"/>
      <c r="BI1628" s="1"/>
      <c r="BK1628" s="1"/>
      <c r="BL1628" s="1"/>
      <c r="BM1628" s="1"/>
      <c r="BN1628" s="1"/>
      <c r="BO1628" s="1"/>
      <c r="BP1628" s="1"/>
      <c r="BQ1628" s="1"/>
      <c r="BR1628" s="1"/>
      <c r="CD1628" s="1"/>
      <c r="CE1628" s="1"/>
      <c r="CF1628" s="1"/>
      <c r="CG1628" s="1"/>
      <c r="CK1628" s="1"/>
      <c r="CM1628" s="2"/>
      <c r="CP1628" s="1"/>
      <c r="CQ1628" s="1"/>
      <c r="CR1628" s="1"/>
      <c r="CS1628" s="1"/>
      <c r="CT1628" s="1"/>
      <c r="CU1628" s="1"/>
      <c r="CV1628" s="1"/>
      <c r="CW1628" s="1"/>
      <c r="CX1628" s="1"/>
      <c r="CY1628" s="1"/>
      <c r="CZ1628" s="1"/>
      <c r="DA1628" s="1"/>
      <c r="DB1628" s="1"/>
      <c r="DC1628" s="1"/>
      <c r="DD1628" s="1"/>
      <c r="DE1628" s="1"/>
      <c r="DF1628" s="1"/>
      <c r="DG1628" s="1"/>
      <c r="DH1628" s="1"/>
      <c r="DI1628" s="1"/>
      <c r="DJ1628" s="1"/>
      <c r="DK1628" s="1"/>
      <c r="DM1628" s="1"/>
      <c r="DQ1628" s="1"/>
      <c r="DR1628" s="1"/>
      <c r="DY1628" s="1"/>
      <c r="DZ1628" s="1"/>
      <c r="ED1628" s="1"/>
      <c r="EK1628" s="1"/>
      <c r="EL1628" s="1"/>
      <c r="EM1628" s="1"/>
      <c r="EN1628" s="1"/>
      <c r="EQ1628" s="1"/>
      <c r="ER1628" s="1"/>
      <c r="ES1628" s="1"/>
      <c r="EV1628" s="1"/>
      <c r="EW1628" s="1"/>
      <c r="EZ1628" s="1"/>
      <c r="GP1628" s="1"/>
      <c r="HY1628" s="1"/>
      <c r="IE1628" s="1"/>
      <c r="IR1628" s="1"/>
      <c r="IS1628" s="1"/>
      <c r="IZ1628" s="1"/>
      <c r="JF1628" s="1"/>
      <c r="JG1628" s="1"/>
      <c r="JH1628" s="1"/>
      <c r="JJ1628" s="1"/>
      <c r="JN1628" s="1"/>
      <c r="JP1628" s="1"/>
      <c r="JQ1628" s="1"/>
      <c r="KU1628" s="1"/>
      <c r="KY1628" s="1"/>
      <c r="KZ1628" s="1"/>
      <c r="LA1628" s="1"/>
      <c r="LB1628" s="1"/>
      <c r="LC1628" s="1"/>
      <c r="LD1628" s="1"/>
      <c r="LO1628" s="1"/>
      <c r="LP1628" s="1"/>
      <c r="LZ1628" s="1"/>
      <c r="MA1628" s="1"/>
    </row>
    <row r="1629" spans="4:339" ht="13" x14ac:dyDescent="0.15">
      <c r="D1629" s="12"/>
      <c r="E1629" s="12"/>
      <c r="I1629" s="12"/>
      <c r="J1629" s="13"/>
      <c r="BF1629" s="1"/>
      <c r="BG1629" s="1"/>
      <c r="BH1629" s="1"/>
      <c r="BI1629" s="1"/>
      <c r="BK1629" s="1"/>
      <c r="BL1629" s="1"/>
      <c r="BM1629" s="1"/>
      <c r="BN1629" s="1"/>
      <c r="BO1629" s="1"/>
      <c r="BP1629" s="1"/>
      <c r="BQ1629" s="1"/>
      <c r="BR1629" s="1"/>
      <c r="CD1629" s="1"/>
      <c r="CE1629" s="1"/>
      <c r="CF1629" s="1"/>
      <c r="CG1629" s="1"/>
      <c r="CM1629" s="2"/>
      <c r="CP1629" s="1"/>
      <c r="CQ1629" s="1"/>
      <c r="CR1629" s="1"/>
      <c r="CS1629" s="1"/>
      <c r="CT1629" s="1"/>
      <c r="CU1629" s="1"/>
      <c r="CV1629" s="1"/>
      <c r="CW1629" s="1"/>
      <c r="CX1629" s="1"/>
      <c r="CY1629" s="1"/>
      <c r="CZ1629" s="1"/>
      <c r="DA1629" s="1"/>
      <c r="DB1629" s="1"/>
      <c r="DC1629" s="1"/>
      <c r="DD1629" s="1"/>
      <c r="DE1629" s="1"/>
      <c r="DF1629" s="1"/>
      <c r="DG1629" s="1"/>
      <c r="DH1629" s="1"/>
      <c r="DI1629" s="1"/>
      <c r="DJ1629" s="1"/>
      <c r="DK1629" s="1"/>
      <c r="DL1629" s="1"/>
      <c r="DM1629" s="1"/>
      <c r="DQ1629" s="1"/>
      <c r="DR1629" s="1"/>
      <c r="DY1629" s="1"/>
      <c r="DZ1629" s="1"/>
      <c r="ED1629" s="1"/>
      <c r="EE1629" s="1"/>
      <c r="EF1629" s="1"/>
      <c r="EG1629" s="1"/>
      <c r="EH1629" s="1"/>
      <c r="EK1629" s="1"/>
      <c r="EL1629" s="1"/>
      <c r="EM1629" s="1"/>
      <c r="EN1629" s="1"/>
      <c r="EQ1629" s="1"/>
      <c r="ER1629" s="1"/>
      <c r="ES1629" s="1"/>
      <c r="EV1629" s="1"/>
      <c r="EW1629" s="1"/>
      <c r="EY1629" s="1"/>
      <c r="EZ1629" s="1"/>
      <c r="GP1629" s="1"/>
      <c r="HY1629" s="1"/>
      <c r="IE1629" s="1"/>
      <c r="IG1629" s="1"/>
      <c r="IJ1629" s="1"/>
      <c r="IR1629" s="1"/>
      <c r="IS1629" s="1"/>
      <c r="IW1629" s="1"/>
      <c r="IX1629" s="1"/>
      <c r="IY1629" s="1"/>
      <c r="IZ1629" s="1"/>
      <c r="JB1629" s="1"/>
      <c r="JF1629" s="1"/>
      <c r="JG1629" s="1"/>
      <c r="JH1629" s="1"/>
      <c r="JJ1629" s="1"/>
      <c r="JK1629" s="1"/>
      <c r="JL1629" s="3"/>
      <c r="JM1629" s="1"/>
      <c r="JN1629" s="1"/>
      <c r="JP1629" s="1"/>
      <c r="JQ1629" s="1"/>
      <c r="JR1629" s="1"/>
      <c r="KU1629" s="1"/>
      <c r="KV1629" s="1"/>
      <c r="KY1629" s="1"/>
      <c r="KZ1629" s="1"/>
      <c r="LA1629" s="1"/>
      <c r="LB1629" s="1"/>
      <c r="LC1629" s="1"/>
      <c r="LD1629" s="1"/>
      <c r="LO1629" s="1"/>
      <c r="LP1629" s="1"/>
      <c r="LZ1629" s="1"/>
      <c r="MA1629" s="1"/>
    </row>
    <row r="1630" spans="4:339" ht="13" x14ac:dyDescent="0.15">
      <c r="D1630" s="12"/>
      <c r="E1630" s="12"/>
      <c r="I1630" s="12"/>
      <c r="J1630" s="13"/>
      <c r="BF1630" s="1"/>
      <c r="BG1630" s="1"/>
      <c r="BH1630" s="1"/>
      <c r="BI1630" s="1"/>
      <c r="BJ1630" s="1"/>
      <c r="BK1630" s="1"/>
      <c r="BL1630" s="1"/>
      <c r="BM1630" s="1"/>
      <c r="BN1630" s="1"/>
      <c r="BO1630" s="1"/>
      <c r="BP1630" s="1"/>
      <c r="BQ1630" s="1"/>
      <c r="BR1630" s="1"/>
      <c r="CD1630" s="1"/>
      <c r="CE1630" s="1"/>
      <c r="CF1630" s="1"/>
      <c r="CM1630" s="2"/>
      <c r="CP1630" s="1"/>
      <c r="CQ1630" s="1"/>
      <c r="CX1630" s="1"/>
      <c r="CY1630" s="1"/>
      <c r="CZ1630" s="1"/>
      <c r="DA1630" s="1"/>
      <c r="DB1630" s="1"/>
      <c r="DC1630" s="1"/>
      <c r="DD1630" s="1"/>
      <c r="DE1630" s="1"/>
      <c r="DF1630" s="1"/>
      <c r="DG1630" s="1"/>
      <c r="DH1630" s="1"/>
      <c r="DI1630" s="1"/>
      <c r="DJ1630" s="1"/>
      <c r="DK1630" s="1"/>
      <c r="ED1630" s="1"/>
      <c r="EK1630" s="1"/>
      <c r="EL1630" s="1"/>
      <c r="EM1630" s="1"/>
      <c r="EN1630" s="1"/>
      <c r="EQ1630" s="1"/>
      <c r="ER1630" s="1"/>
      <c r="ES1630" s="1"/>
      <c r="EV1630" s="1"/>
      <c r="EW1630" s="1"/>
      <c r="EZ1630" s="1"/>
      <c r="HY1630" s="1"/>
      <c r="IE1630" s="1"/>
      <c r="IS1630" s="1"/>
      <c r="IW1630" s="1"/>
      <c r="IY1630" s="1"/>
      <c r="IZ1630" s="1"/>
      <c r="JA1630" s="1"/>
      <c r="JJ1630" s="1"/>
      <c r="JN1630" s="1"/>
      <c r="JP1630" s="1"/>
      <c r="JQ1630" s="1"/>
      <c r="KU1630" s="1"/>
      <c r="KY1630" s="1"/>
      <c r="KZ1630" s="1"/>
      <c r="LA1630" s="1"/>
      <c r="LB1630" s="1"/>
      <c r="LC1630" s="1"/>
      <c r="LD1630" s="1"/>
      <c r="LO1630" s="1"/>
      <c r="LP1630" s="1"/>
      <c r="LZ1630" s="1"/>
      <c r="MA1630" s="1"/>
    </row>
    <row r="1631" spans="4:339" ht="13" x14ac:dyDescent="0.15">
      <c r="D1631" s="12"/>
      <c r="E1631" s="12"/>
      <c r="I1631" s="12"/>
      <c r="J1631" s="13"/>
      <c r="BF1631" s="1"/>
      <c r="BG1631" s="1"/>
      <c r="BH1631" s="1"/>
      <c r="BI1631" s="1"/>
      <c r="BJ1631" s="1"/>
      <c r="BK1631" s="1"/>
      <c r="BL1631" s="1"/>
      <c r="BM1631" s="1"/>
      <c r="BN1631" s="1"/>
      <c r="BO1631" s="1"/>
      <c r="BP1631" s="1"/>
      <c r="BQ1631" s="1"/>
      <c r="BR1631" s="1"/>
      <c r="CD1631" s="1"/>
      <c r="CE1631" s="1"/>
      <c r="CF1631" s="1"/>
      <c r="CM1631" s="2"/>
      <c r="CP1631" s="1"/>
      <c r="CQ1631" s="1"/>
      <c r="CX1631" s="1"/>
      <c r="CY1631" s="1"/>
      <c r="CZ1631" s="1"/>
      <c r="DA1631" s="1"/>
      <c r="DB1631" s="1"/>
      <c r="DC1631" s="1"/>
      <c r="DD1631" s="1"/>
      <c r="DE1631" s="1"/>
      <c r="DF1631" s="1"/>
      <c r="DG1631" s="1"/>
      <c r="DH1631" s="1"/>
      <c r="DI1631" s="1"/>
      <c r="DJ1631" s="1"/>
      <c r="DK1631" s="1"/>
      <c r="ED1631" s="1"/>
      <c r="EK1631" s="1"/>
      <c r="EL1631" s="1"/>
      <c r="EM1631" s="1"/>
      <c r="EN1631" s="1"/>
      <c r="EQ1631" s="1"/>
      <c r="ER1631" s="1"/>
      <c r="ES1631" s="1"/>
      <c r="EV1631" s="1"/>
      <c r="EW1631" s="1"/>
      <c r="EZ1631" s="1"/>
      <c r="HY1631" s="1"/>
      <c r="IE1631" s="1"/>
      <c r="IS1631" s="1"/>
      <c r="IW1631" s="1"/>
      <c r="IY1631" s="1"/>
      <c r="IZ1631" s="1"/>
      <c r="JA1631" s="1"/>
      <c r="JJ1631" s="1"/>
      <c r="JN1631" s="1"/>
      <c r="JP1631" s="1"/>
      <c r="JQ1631" s="1"/>
      <c r="KU1631" s="1"/>
      <c r="KY1631" s="1"/>
      <c r="KZ1631" s="1"/>
      <c r="LA1631" s="1"/>
      <c r="LB1631" s="1"/>
      <c r="LC1631" s="1"/>
      <c r="LD1631" s="1"/>
      <c r="LO1631" s="1"/>
      <c r="LP1631" s="1"/>
      <c r="LZ1631" s="1"/>
      <c r="MA1631" s="1"/>
    </row>
    <row r="1632" spans="4:339" ht="13" x14ac:dyDescent="0.15">
      <c r="D1632" s="12"/>
      <c r="E1632" s="12"/>
      <c r="I1632" s="12"/>
      <c r="J1632" s="13"/>
      <c r="BF1632" s="1"/>
      <c r="BG1632" s="1"/>
      <c r="BH1632" s="1"/>
      <c r="BI1632" s="1"/>
      <c r="BJ1632" s="1"/>
      <c r="BK1632" s="1"/>
      <c r="BL1632" s="1"/>
      <c r="BM1632" s="1"/>
      <c r="BN1632" s="1"/>
      <c r="BO1632" s="1"/>
      <c r="BP1632" s="1"/>
      <c r="BQ1632" s="1"/>
      <c r="BR1632" s="1"/>
      <c r="CD1632" s="1"/>
      <c r="CE1632" s="1"/>
      <c r="CF1632" s="1"/>
      <c r="CG1632" s="1"/>
      <c r="CM1632" s="2"/>
      <c r="CP1632" s="1"/>
      <c r="CQ1632" s="1"/>
      <c r="CX1632" s="1"/>
      <c r="CY1632" s="1"/>
      <c r="CZ1632" s="1"/>
      <c r="DA1632" s="1"/>
      <c r="DB1632" s="1"/>
      <c r="DC1632" s="1"/>
      <c r="DD1632" s="1"/>
      <c r="DE1632" s="1"/>
      <c r="DF1632" s="1"/>
      <c r="DG1632" s="1"/>
      <c r="DH1632" s="1"/>
      <c r="DI1632" s="1"/>
      <c r="DJ1632" s="1"/>
      <c r="DK1632" s="1"/>
      <c r="ED1632" s="1"/>
      <c r="EK1632" s="1"/>
      <c r="EL1632" s="1"/>
      <c r="EM1632" s="1"/>
      <c r="EN1632" s="1"/>
      <c r="EQ1632" s="1"/>
      <c r="ER1632" s="1"/>
      <c r="ES1632" s="1"/>
      <c r="EV1632" s="1"/>
      <c r="EW1632" s="1"/>
      <c r="EZ1632" s="1"/>
      <c r="HY1632" s="1"/>
      <c r="IE1632" s="1"/>
      <c r="IR1632" s="1"/>
      <c r="IS1632" s="1"/>
      <c r="IW1632" s="1"/>
      <c r="IY1632" s="1"/>
      <c r="IZ1632" s="1"/>
      <c r="JF1632" s="1"/>
      <c r="JG1632" s="1"/>
      <c r="JH1632" s="1"/>
      <c r="JJ1632" s="1"/>
      <c r="JN1632" s="1"/>
      <c r="JP1632" s="1"/>
      <c r="JQ1632" s="1"/>
      <c r="KU1632" s="1"/>
      <c r="KV1632" s="1"/>
      <c r="KY1632" s="1"/>
      <c r="KZ1632" s="1"/>
      <c r="LA1632" s="1"/>
      <c r="LB1632" s="1"/>
      <c r="LC1632" s="1"/>
      <c r="LD1632" s="1"/>
      <c r="LO1632" s="1"/>
      <c r="LP1632" s="1"/>
      <c r="LZ1632" s="1"/>
      <c r="MA1632" s="1"/>
    </row>
    <row r="1633" spans="4:339" ht="13" x14ac:dyDescent="0.15">
      <c r="D1633" s="12"/>
      <c r="E1633" s="12"/>
      <c r="I1633" s="12"/>
      <c r="J1633" s="13"/>
      <c r="BF1633" s="1"/>
      <c r="BG1633" s="1"/>
      <c r="BH1633" s="1"/>
      <c r="BI1633" s="1"/>
      <c r="BJ1633" s="1"/>
      <c r="BK1633" s="1"/>
      <c r="BL1633" s="1"/>
      <c r="BM1633" s="1"/>
      <c r="BN1633" s="1"/>
      <c r="BO1633" s="1"/>
      <c r="BP1633" s="1"/>
      <c r="BQ1633" s="1"/>
      <c r="BR1633" s="1"/>
      <c r="CD1633" s="1"/>
      <c r="CE1633" s="1"/>
      <c r="CF1633" s="1"/>
      <c r="CG1633" s="1"/>
      <c r="CM1633" s="2"/>
      <c r="CP1633" s="1"/>
      <c r="CQ1633" s="1"/>
      <c r="CX1633" s="1"/>
      <c r="CY1633" s="1"/>
      <c r="CZ1633" s="1"/>
      <c r="DA1633" s="1"/>
      <c r="DB1633" s="1"/>
      <c r="DC1633" s="1"/>
      <c r="DD1633" s="1"/>
      <c r="DE1633" s="1"/>
      <c r="DF1633" s="1"/>
      <c r="DG1633" s="1"/>
      <c r="DH1633" s="1"/>
      <c r="DI1633" s="1"/>
      <c r="DJ1633" s="1"/>
      <c r="DK1633" s="1"/>
      <c r="ED1633" s="1"/>
      <c r="EK1633" s="1"/>
      <c r="EL1633" s="1"/>
      <c r="EM1633" s="1"/>
      <c r="EN1633" s="1"/>
      <c r="EQ1633" s="1"/>
      <c r="ER1633" s="1"/>
      <c r="ES1633" s="1"/>
      <c r="EV1633" s="1"/>
      <c r="EW1633" s="1"/>
      <c r="EZ1633" s="1"/>
      <c r="HY1633" s="1"/>
      <c r="IE1633" s="1"/>
      <c r="IR1633" s="1"/>
      <c r="IS1633" s="1"/>
      <c r="IW1633" s="1"/>
      <c r="IY1633" s="1"/>
      <c r="IZ1633" s="1"/>
      <c r="JF1633" s="1"/>
      <c r="JG1633" s="1"/>
      <c r="JH1633" s="1"/>
      <c r="JJ1633" s="1"/>
      <c r="JN1633" s="1"/>
      <c r="JP1633" s="1"/>
      <c r="JQ1633" s="1"/>
      <c r="KU1633" s="1"/>
      <c r="KV1633" s="1"/>
      <c r="KY1633" s="1"/>
      <c r="KZ1633" s="1"/>
      <c r="LA1633" s="1"/>
      <c r="LB1633" s="1"/>
      <c r="LC1633" s="1"/>
      <c r="LD1633" s="1"/>
      <c r="LO1633" s="1"/>
      <c r="LP1633" s="1"/>
      <c r="LZ1633" s="1"/>
      <c r="MA1633" s="1"/>
    </row>
    <row r="1634" spans="4:339" ht="13" x14ac:dyDescent="0.15">
      <c r="D1634" s="12"/>
      <c r="E1634" s="12"/>
      <c r="I1634" s="12"/>
      <c r="J1634" s="13"/>
      <c r="BF1634" s="1"/>
      <c r="BG1634" s="1"/>
      <c r="BH1634" s="1"/>
      <c r="BI1634" s="1"/>
      <c r="BJ1634" s="1"/>
      <c r="BK1634" s="1"/>
      <c r="BL1634" s="1"/>
      <c r="BM1634" s="1"/>
      <c r="BN1634" s="1"/>
      <c r="BO1634" s="1"/>
      <c r="BP1634" s="1"/>
      <c r="BQ1634" s="1"/>
      <c r="BR1634" s="1"/>
      <c r="CD1634" s="1"/>
      <c r="CE1634" s="1"/>
      <c r="CF1634" s="1"/>
      <c r="CK1634" s="1"/>
      <c r="CM1634" s="2"/>
      <c r="CP1634" s="1"/>
      <c r="CQ1634" s="1"/>
      <c r="CR1634" s="1"/>
      <c r="CS1634" s="1"/>
      <c r="CT1634" s="1"/>
      <c r="CU1634" s="1"/>
      <c r="CV1634" s="1"/>
      <c r="CW1634" s="1"/>
      <c r="CX1634" s="1"/>
      <c r="CY1634" s="1"/>
      <c r="CZ1634" s="1"/>
      <c r="DA1634" s="1"/>
      <c r="DB1634" s="1"/>
      <c r="DC1634" s="1"/>
      <c r="DD1634" s="1"/>
      <c r="DE1634" s="1"/>
      <c r="DF1634" s="1"/>
      <c r="DG1634" s="1"/>
      <c r="DH1634" s="1"/>
      <c r="DI1634" s="1"/>
      <c r="DJ1634" s="1"/>
      <c r="DK1634" s="1"/>
      <c r="DM1634" s="1"/>
      <c r="DR1634" s="1"/>
      <c r="ED1634" s="1"/>
      <c r="EF1634" s="1"/>
      <c r="EK1634" s="1"/>
      <c r="EL1634" s="1"/>
      <c r="EM1634" s="1"/>
      <c r="EN1634" s="1"/>
      <c r="EQ1634" s="1"/>
      <c r="ER1634" s="1"/>
      <c r="ES1634" s="1"/>
      <c r="EV1634" s="1"/>
      <c r="EW1634" s="1"/>
      <c r="EZ1634" s="1"/>
      <c r="GO1634" s="1"/>
      <c r="GP1634" s="1"/>
      <c r="HH1634" s="1"/>
      <c r="HY1634" s="1"/>
      <c r="IE1634" s="1"/>
      <c r="IG1634" s="1"/>
      <c r="IH1634" s="1"/>
      <c r="IJ1634" s="1"/>
      <c r="IS1634" s="1"/>
      <c r="IZ1634" s="1"/>
      <c r="JC1634" s="1"/>
      <c r="JF1634" s="1"/>
      <c r="JG1634" s="1"/>
      <c r="JH1634" s="1"/>
      <c r="JI1634" s="1"/>
      <c r="JJ1634" s="1"/>
      <c r="JK1634" s="1"/>
      <c r="JL1634" s="3"/>
      <c r="JM1634" s="1"/>
      <c r="JP1634" s="1"/>
      <c r="JQ1634" s="1"/>
      <c r="JR1634" s="1"/>
      <c r="JT1634" s="1"/>
      <c r="KU1634" s="1"/>
      <c r="KV1634" s="1"/>
      <c r="KW1634" s="1"/>
      <c r="KY1634" s="1"/>
      <c r="KZ1634" s="1"/>
      <c r="LA1634" s="1"/>
      <c r="LB1634" s="1"/>
      <c r="LC1634" s="1"/>
      <c r="LD1634" s="1"/>
      <c r="LN1634" s="1"/>
      <c r="LO1634" s="1"/>
      <c r="LP1634" s="1"/>
      <c r="LZ1634" s="1"/>
      <c r="MA1634" s="1"/>
    </row>
    <row r="1635" spans="4:339" ht="13" x14ac:dyDescent="0.15">
      <c r="D1635" s="12"/>
      <c r="E1635" s="12"/>
      <c r="I1635" s="12"/>
      <c r="J1635" s="13"/>
      <c r="BF1635" s="1"/>
      <c r="BG1635" s="1"/>
      <c r="BH1635" s="1"/>
      <c r="BI1635" s="1"/>
      <c r="BJ1635" s="1"/>
      <c r="BK1635" s="1"/>
      <c r="BL1635" s="1"/>
      <c r="BM1635" s="1"/>
      <c r="BN1635" s="1"/>
      <c r="BO1635" s="1"/>
      <c r="BP1635" s="1"/>
      <c r="BQ1635" s="1"/>
      <c r="BR1635" s="1"/>
      <c r="CD1635" s="1"/>
      <c r="CG1635" s="1"/>
      <c r="CM1635" s="2"/>
      <c r="CP1635" s="1"/>
      <c r="CQ1635" s="1"/>
      <c r="CR1635" s="1"/>
      <c r="CS1635" s="1"/>
      <c r="CT1635" s="1"/>
      <c r="CU1635" s="1"/>
      <c r="CV1635" s="1"/>
      <c r="CW1635" s="1"/>
      <c r="CX1635" s="1"/>
      <c r="CY1635" s="1"/>
      <c r="CZ1635" s="1"/>
      <c r="DA1635" s="1"/>
      <c r="DB1635" s="1"/>
      <c r="DC1635" s="1"/>
      <c r="DD1635" s="1"/>
      <c r="DE1635" s="1"/>
      <c r="DF1635" s="1"/>
      <c r="DG1635" s="1"/>
      <c r="DH1635" s="1"/>
      <c r="DI1635" s="1"/>
      <c r="DJ1635" s="1"/>
      <c r="DK1635" s="1"/>
      <c r="DL1635" s="1"/>
      <c r="DM1635" s="1"/>
      <c r="DQ1635" s="1"/>
      <c r="DR1635" s="1"/>
      <c r="DY1635" s="1"/>
      <c r="DZ1635" s="1"/>
      <c r="ED1635" s="1"/>
      <c r="EE1635" s="1"/>
      <c r="EF1635" s="1"/>
      <c r="EG1635" s="1"/>
      <c r="EH1635" s="1"/>
      <c r="EK1635" s="1"/>
      <c r="EL1635" s="1"/>
      <c r="EM1635" s="1"/>
      <c r="EN1635" s="1"/>
      <c r="EQ1635" s="1"/>
      <c r="ER1635" s="1"/>
      <c r="ES1635" s="1"/>
      <c r="EV1635" s="1"/>
      <c r="EW1635" s="1"/>
      <c r="EY1635" s="1"/>
      <c r="EZ1635" s="1"/>
      <c r="GO1635" s="1"/>
      <c r="HY1635" s="1"/>
      <c r="IE1635" s="1"/>
      <c r="IF1635" s="1"/>
      <c r="IG1635" s="1"/>
      <c r="IJ1635" s="1"/>
      <c r="IS1635" s="1"/>
      <c r="IX1635" s="1"/>
      <c r="IZ1635" s="1"/>
      <c r="JB1635" s="1"/>
      <c r="JI1635" s="1"/>
      <c r="JJ1635" s="1"/>
      <c r="JK1635" s="1"/>
      <c r="JL1635" s="3"/>
      <c r="JM1635" s="1"/>
      <c r="JP1635" s="1"/>
      <c r="JQ1635" s="1"/>
      <c r="JR1635" s="1"/>
      <c r="KY1635" s="1"/>
      <c r="KZ1635" s="1"/>
      <c r="LA1635" s="1"/>
      <c r="LB1635" s="1"/>
      <c r="LC1635" s="1"/>
      <c r="LD1635" s="1"/>
      <c r="LO1635" s="1"/>
      <c r="LP1635" s="1"/>
      <c r="LZ1635" s="1"/>
      <c r="MA1635" s="1"/>
    </row>
    <row r="1636" spans="4:339" ht="13" x14ac:dyDescent="0.15">
      <c r="D1636" s="12"/>
      <c r="E1636" s="12"/>
      <c r="I1636" s="12"/>
      <c r="J1636" s="13"/>
      <c r="BF1636" s="1"/>
      <c r="BG1636" s="1"/>
      <c r="BH1636" s="1"/>
      <c r="BI1636" s="1"/>
      <c r="BJ1636" s="1"/>
      <c r="BK1636" s="1"/>
      <c r="BL1636" s="1"/>
      <c r="BM1636" s="1"/>
      <c r="BN1636" s="1"/>
      <c r="BQ1636" s="1"/>
      <c r="BR1636" s="1"/>
      <c r="CD1636" s="1"/>
      <c r="CM1636" s="4"/>
      <c r="ED1636" s="1"/>
      <c r="EL1636" s="1"/>
      <c r="EM1636" s="1"/>
      <c r="EN1636" s="1"/>
      <c r="EQ1636" s="1"/>
      <c r="ER1636" s="1"/>
      <c r="ES1636" s="1"/>
      <c r="EV1636" s="1"/>
      <c r="EW1636" s="1"/>
      <c r="EZ1636" s="1"/>
      <c r="HY1636" s="1"/>
      <c r="IS1636" s="1"/>
      <c r="IW1636" s="1"/>
      <c r="IZ1636" s="1"/>
      <c r="JJ1636" s="1"/>
      <c r="JP1636" s="1"/>
      <c r="JQ1636" s="1"/>
      <c r="LZ1636" s="1"/>
    </row>
    <row r="1637" spans="4:339" ht="13" x14ac:dyDescent="0.15">
      <c r="D1637" s="12"/>
      <c r="E1637" s="12"/>
      <c r="I1637" s="12"/>
      <c r="J1637" s="13"/>
      <c r="BF1637" s="1"/>
      <c r="BG1637" s="1"/>
      <c r="BH1637" s="1"/>
      <c r="BI1637" s="1"/>
      <c r="BJ1637" s="1"/>
      <c r="BK1637" s="1"/>
      <c r="BL1637" s="1"/>
      <c r="BM1637" s="1"/>
      <c r="BN1637" s="1"/>
      <c r="BQ1637" s="1"/>
      <c r="BR1637" s="1"/>
      <c r="CD1637" s="1"/>
      <c r="CM1637" s="4"/>
      <c r="ED1637" s="1"/>
      <c r="EL1637" s="1"/>
      <c r="EM1637" s="1"/>
      <c r="EN1637" s="1"/>
      <c r="EQ1637" s="1"/>
      <c r="ER1637" s="1"/>
      <c r="ES1637" s="1"/>
      <c r="EV1637" s="1"/>
      <c r="EW1637" s="1"/>
      <c r="EZ1637" s="1"/>
      <c r="HY1637" s="1"/>
      <c r="IS1637" s="1"/>
      <c r="IW1637" s="1"/>
      <c r="IZ1637" s="1"/>
      <c r="JJ1637" s="1"/>
      <c r="JP1637" s="1"/>
      <c r="JQ1637" s="1"/>
      <c r="LZ1637" s="1"/>
    </row>
    <row r="1638" spans="4:339" ht="13" x14ac:dyDescent="0.15">
      <c r="D1638" s="12"/>
      <c r="E1638" s="12"/>
      <c r="I1638" s="12"/>
      <c r="J1638" s="13"/>
      <c r="BF1638" s="1"/>
      <c r="BG1638" s="1"/>
      <c r="BH1638" s="1"/>
      <c r="BI1638" s="1"/>
      <c r="BK1638" s="1"/>
      <c r="BL1638" s="1"/>
      <c r="BM1638" s="1"/>
      <c r="BN1638" s="1"/>
      <c r="BO1638" s="1"/>
      <c r="BP1638" s="1"/>
      <c r="BQ1638" s="1"/>
      <c r="BR1638" s="1"/>
      <c r="CD1638" s="1"/>
      <c r="CE1638" s="1"/>
      <c r="CF1638" s="1"/>
      <c r="CG1638" s="1"/>
      <c r="CM1638" s="4"/>
      <c r="CP1638" s="1"/>
      <c r="CQ1638" s="1"/>
      <c r="CX1638" s="1"/>
      <c r="CY1638" s="1"/>
      <c r="CZ1638" s="1"/>
      <c r="DA1638" s="1"/>
      <c r="DB1638" s="1"/>
      <c r="DC1638" s="1"/>
      <c r="DD1638" s="1"/>
      <c r="DE1638" s="1"/>
      <c r="DF1638" s="1"/>
      <c r="DG1638" s="1"/>
      <c r="DH1638" s="1"/>
      <c r="DI1638" s="1"/>
      <c r="DJ1638" s="1"/>
      <c r="DK1638" s="1"/>
      <c r="DM1638" s="1"/>
      <c r="DQ1638" s="1"/>
      <c r="DR1638" s="1"/>
      <c r="DY1638" s="1"/>
      <c r="DZ1638" s="1"/>
      <c r="ED1638" s="1"/>
      <c r="EK1638" s="1"/>
      <c r="EL1638" s="1"/>
      <c r="EM1638" s="1"/>
      <c r="EN1638" s="1"/>
      <c r="EQ1638" s="1"/>
      <c r="ER1638" s="1"/>
      <c r="ES1638" s="1"/>
      <c r="EV1638" s="1"/>
      <c r="EW1638" s="1"/>
      <c r="EZ1638" s="1"/>
      <c r="HY1638" s="1"/>
      <c r="IE1638" s="1"/>
      <c r="IR1638" s="1"/>
      <c r="IS1638" s="1"/>
      <c r="IW1638" s="1"/>
      <c r="IZ1638" s="1"/>
      <c r="JJ1638" s="1"/>
      <c r="JN1638" s="1"/>
      <c r="JP1638" s="1"/>
      <c r="JQ1638" s="1"/>
      <c r="KY1638" s="1"/>
      <c r="KZ1638" s="1"/>
      <c r="LA1638" s="1"/>
      <c r="LB1638" s="1"/>
      <c r="LC1638" s="1"/>
      <c r="LD1638" s="1"/>
      <c r="LO1638" s="1"/>
      <c r="LP1638" s="1"/>
      <c r="LZ1638" s="1"/>
      <c r="MA1638" s="1"/>
    </row>
    <row r="1639" spans="4:339" ht="13" x14ac:dyDescent="0.15">
      <c r="D1639" s="12"/>
      <c r="E1639" s="12"/>
      <c r="I1639" s="12"/>
      <c r="J1639" s="13"/>
      <c r="BF1639" s="1"/>
      <c r="BG1639" s="1"/>
      <c r="BH1639" s="1"/>
      <c r="BI1639" s="1"/>
      <c r="BK1639" s="1"/>
      <c r="BL1639" s="1"/>
      <c r="BM1639" s="1"/>
      <c r="BN1639" s="1"/>
      <c r="BO1639" s="1"/>
      <c r="BP1639" s="1"/>
      <c r="BQ1639" s="1"/>
      <c r="BR1639" s="1"/>
      <c r="CD1639" s="1"/>
      <c r="CE1639" s="1"/>
      <c r="CF1639" s="1"/>
      <c r="CG1639" s="1"/>
      <c r="CM1639" s="2"/>
      <c r="CP1639" s="1"/>
      <c r="CQ1639" s="1"/>
      <c r="CR1639" s="1"/>
      <c r="CT1639" s="1"/>
      <c r="CU1639" s="1"/>
      <c r="CV1639" s="1"/>
      <c r="CW1639" s="1"/>
      <c r="CX1639" s="1"/>
      <c r="CY1639" s="1"/>
      <c r="CZ1639" s="1"/>
      <c r="DA1639" s="1"/>
      <c r="DB1639" s="1"/>
      <c r="DC1639" s="1"/>
      <c r="DD1639" s="1"/>
      <c r="DE1639" s="1"/>
      <c r="DF1639" s="1"/>
      <c r="DG1639" s="1"/>
      <c r="DH1639" s="1"/>
      <c r="DI1639" s="1"/>
      <c r="DJ1639" s="1"/>
      <c r="DK1639" s="1"/>
      <c r="DM1639" s="1"/>
      <c r="DQ1639" s="1"/>
      <c r="DR1639" s="1"/>
      <c r="DY1639" s="1"/>
      <c r="DZ1639" s="1"/>
      <c r="ED1639" s="1"/>
      <c r="EK1639" s="1"/>
      <c r="EL1639" s="1"/>
      <c r="EM1639" s="1"/>
      <c r="EN1639" s="1"/>
      <c r="EQ1639" s="1"/>
      <c r="ER1639" s="1"/>
      <c r="ES1639" s="1"/>
      <c r="EV1639" s="1"/>
      <c r="EW1639" s="1"/>
      <c r="EZ1639" s="1"/>
      <c r="GO1639" s="1"/>
      <c r="GP1639" s="1"/>
      <c r="HY1639" s="1"/>
      <c r="IE1639" s="1"/>
      <c r="IS1639" s="1"/>
      <c r="IW1639" s="1"/>
      <c r="IZ1639" s="1"/>
      <c r="JA1639" s="1"/>
      <c r="JC1639" s="1"/>
      <c r="JF1639" s="1"/>
      <c r="JG1639" s="1"/>
      <c r="JJ1639" s="1"/>
      <c r="JN1639" s="1"/>
      <c r="JP1639" s="1"/>
      <c r="JQ1639" s="1"/>
      <c r="JT1639" s="1"/>
      <c r="KU1639" s="1"/>
      <c r="KV1639" s="1"/>
      <c r="KW1639" s="1"/>
      <c r="KY1639" s="1"/>
      <c r="KZ1639" s="1"/>
      <c r="LA1639" s="1"/>
      <c r="LB1639" s="1"/>
      <c r="LC1639" s="1"/>
      <c r="LD1639" s="1"/>
      <c r="LO1639" s="1"/>
      <c r="LP1639" s="1"/>
      <c r="LZ1639" s="1"/>
      <c r="MA1639" s="1"/>
    </row>
    <row r="1640" spans="4:339" ht="13" x14ac:dyDescent="0.15">
      <c r="D1640" s="12"/>
      <c r="E1640" s="12"/>
      <c r="I1640" s="12"/>
      <c r="J1640" s="13"/>
      <c r="BF1640" s="1"/>
      <c r="BG1640" s="1"/>
      <c r="BH1640" s="1"/>
      <c r="BI1640" s="1"/>
      <c r="BJ1640" s="1"/>
      <c r="BK1640" s="1"/>
      <c r="BL1640" s="1"/>
      <c r="BM1640" s="1"/>
      <c r="BN1640" s="1"/>
      <c r="BO1640" s="1"/>
      <c r="BP1640" s="1"/>
      <c r="BQ1640" s="1"/>
      <c r="BR1640" s="1"/>
      <c r="CD1640" s="1"/>
      <c r="CM1640" s="2"/>
      <c r="CP1640" s="1"/>
      <c r="CQ1640" s="1"/>
      <c r="CS1640" s="1"/>
      <c r="CT1640" s="1"/>
      <c r="CU1640" s="1"/>
      <c r="CV1640" s="1"/>
      <c r="CW1640" s="1"/>
      <c r="CX1640" s="1"/>
      <c r="CY1640" s="1"/>
      <c r="CZ1640" s="1"/>
      <c r="DA1640" s="1"/>
      <c r="DB1640" s="1"/>
      <c r="DC1640" s="1"/>
      <c r="DD1640" s="1"/>
      <c r="DE1640" s="1"/>
      <c r="DF1640" s="1"/>
      <c r="DG1640" s="1"/>
      <c r="DH1640" s="1"/>
      <c r="DI1640" s="1"/>
      <c r="DJ1640" s="1"/>
      <c r="DK1640" s="1"/>
      <c r="ED1640" s="1"/>
      <c r="EK1640" s="1"/>
      <c r="EL1640" s="1"/>
      <c r="EM1640" s="1"/>
      <c r="EN1640" s="1"/>
      <c r="EQ1640" s="1"/>
      <c r="ER1640" s="1"/>
      <c r="ES1640" s="1"/>
      <c r="EV1640" s="1"/>
      <c r="EW1640" s="1"/>
      <c r="EZ1640" s="1"/>
      <c r="GO1640" s="1"/>
      <c r="GP1640" s="1"/>
      <c r="HY1640" s="1"/>
      <c r="IE1640" s="1"/>
      <c r="IS1640" s="1"/>
      <c r="IY1640" s="1"/>
      <c r="IZ1640" s="1"/>
      <c r="JG1640" s="1"/>
      <c r="JH1640" s="1"/>
      <c r="JI1640" s="1"/>
      <c r="JJ1640" s="1"/>
      <c r="JN1640" s="1"/>
      <c r="JP1640" s="1"/>
      <c r="JQ1640" s="1"/>
      <c r="JT1640" s="1"/>
      <c r="JU1640" s="1"/>
      <c r="KV1640" s="1"/>
      <c r="KW1640" s="1"/>
      <c r="KY1640" s="1"/>
      <c r="KZ1640" s="1"/>
      <c r="LA1640" s="1"/>
      <c r="LB1640" s="1"/>
      <c r="LC1640" s="1"/>
      <c r="LD1640" s="1"/>
      <c r="LF1640" s="1"/>
      <c r="LN1640" s="1"/>
      <c r="LO1640" s="1"/>
      <c r="LP1640" s="1"/>
      <c r="LZ1640" s="1"/>
      <c r="MA1640" s="1"/>
    </row>
    <row r="1641" spans="4:339" ht="13" x14ac:dyDescent="0.15">
      <c r="D1641" s="12"/>
      <c r="E1641" s="12"/>
      <c r="I1641" s="12"/>
      <c r="J1641" s="13"/>
      <c r="BF1641" s="1"/>
      <c r="BG1641" s="1"/>
      <c r="BH1641" s="1"/>
      <c r="BI1641" s="1"/>
      <c r="BK1641" s="1"/>
      <c r="BL1641" s="1"/>
      <c r="BM1641" s="1"/>
      <c r="BN1641" s="1"/>
      <c r="BO1641" s="1"/>
      <c r="BP1641" s="1"/>
      <c r="BQ1641" s="1"/>
      <c r="BR1641" s="1"/>
      <c r="CD1641" s="1"/>
      <c r="CM1641" s="2"/>
      <c r="CP1641" s="1"/>
      <c r="CQ1641" s="1"/>
      <c r="CX1641" s="1"/>
      <c r="CY1641" s="1"/>
      <c r="CZ1641" s="1"/>
      <c r="DA1641" s="1"/>
      <c r="DB1641" s="1"/>
      <c r="DC1641" s="1"/>
      <c r="DD1641" s="1"/>
      <c r="DE1641" s="1"/>
      <c r="DF1641" s="1"/>
      <c r="DG1641" s="1"/>
      <c r="DH1641" s="1"/>
      <c r="DI1641" s="1"/>
      <c r="DJ1641" s="1"/>
      <c r="DK1641" s="1"/>
      <c r="DM1641" s="1"/>
      <c r="DQ1641" s="1"/>
      <c r="DR1641" s="1"/>
      <c r="DY1641" s="1"/>
      <c r="DZ1641" s="1"/>
      <c r="ED1641" s="1"/>
      <c r="EF1641" s="1"/>
      <c r="EK1641" s="1"/>
      <c r="EL1641" s="1"/>
      <c r="EM1641" s="1"/>
      <c r="EN1641" s="1"/>
      <c r="EQ1641" s="1"/>
      <c r="ER1641" s="1"/>
      <c r="ES1641" s="1"/>
      <c r="EV1641" s="1"/>
      <c r="EW1641" s="1"/>
      <c r="EZ1641" s="1"/>
      <c r="GP1641" s="1"/>
      <c r="HH1641" s="1"/>
      <c r="HY1641" s="1"/>
      <c r="IE1641" s="1"/>
      <c r="IG1641" s="1"/>
      <c r="IH1641" s="1"/>
      <c r="IJ1641" s="1"/>
      <c r="IS1641" s="1"/>
      <c r="IX1641" s="1"/>
      <c r="IY1641" s="1"/>
      <c r="IZ1641" s="1"/>
      <c r="JB1641" s="1"/>
      <c r="JC1641" s="1"/>
      <c r="JF1641" s="1"/>
      <c r="JG1641" s="1"/>
      <c r="JJ1641" s="1"/>
      <c r="JK1641" s="1"/>
      <c r="JL1641" s="3"/>
      <c r="JM1641" s="1"/>
      <c r="JN1641" s="1"/>
      <c r="JP1641" s="1"/>
      <c r="JQ1641" s="1"/>
      <c r="JR1641" s="1"/>
      <c r="JT1641" s="1"/>
      <c r="KW1641" s="1"/>
      <c r="KY1641" s="1"/>
      <c r="KZ1641" s="1"/>
      <c r="LA1641" s="1"/>
      <c r="LB1641" s="1"/>
      <c r="LC1641" s="1"/>
      <c r="LD1641" s="1"/>
      <c r="LJ1641" s="1"/>
      <c r="LO1641" s="1"/>
      <c r="LP1641" s="1"/>
      <c r="LZ1641" s="1"/>
      <c r="MA1641" s="1"/>
    </row>
    <row r="1642" spans="4:339" ht="13" x14ac:dyDescent="0.15">
      <c r="D1642" s="12"/>
      <c r="E1642" s="12"/>
      <c r="I1642" s="12"/>
      <c r="J1642" s="13"/>
      <c r="BF1642" s="1"/>
      <c r="BG1642" s="1"/>
      <c r="BH1642" s="1"/>
      <c r="BI1642" s="1"/>
      <c r="BK1642" s="1"/>
      <c r="BL1642" s="1"/>
      <c r="BM1642" s="1"/>
      <c r="BN1642" s="1"/>
      <c r="BO1642" s="1"/>
      <c r="BP1642" s="1"/>
      <c r="BQ1642" s="1"/>
      <c r="BR1642" s="1"/>
      <c r="CD1642" s="1"/>
      <c r="CM1642" s="2"/>
      <c r="CP1642" s="1"/>
      <c r="CQ1642" s="1"/>
      <c r="CX1642" s="1"/>
      <c r="CY1642" s="1"/>
      <c r="CZ1642" s="1"/>
      <c r="DA1642" s="1"/>
      <c r="DB1642" s="1"/>
      <c r="DC1642" s="1"/>
      <c r="DD1642" s="1"/>
      <c r="DE1642" s="1"/>
      <c r="DF1642" s="1"/>
      <c r="DG1642" s="1"/>
      <c r="DH1642" s="1"/>
      <c r="DI1642" s="1"/>
      <c r="DJ1642" s="1"/>
      <c r="DK1642" s="1"/>
      <c r="DM1642" s="1"/>
      <c r="DQ1642" s="1"/>
      <c r="DR1642" s="1"/>
      <c r="DY1642" s="1"/>
      <c r="DZ1642" s="1"/>
      <c r="ED1642" s="1"/>
      <c r="EF1642" s="1"/>
      <c r="EK1642" s="1"/>
      <c r="EL1642" s="1"/>
      <c r="EM1642" s="1"/>
      <c r="EN1642" s="1"/>
      <c r="EQ1642" s="1"/>
      <c r="ER1642" s="1"/>
      <c r="ES1642" s="1"/>
      <c r="EV1642" s="1"/>
      <c r="EW1642" s="1"/>
      <c r="EZ1642" s="1"/>
      <c r="GP1642" s="1"/>
      <c r="HH1642" s="1"/>
      <c r="HY1642" s="1"/>
      <c r="IE1642" s="1"/>
      <c r="IG1642" s="1"/>
      <c r="IH1642" s="1"/>
      <c r="IJ1642" s="1"/>
      <c r="IS1642" s="1"/>
      <c r="IX1642" s="1"/>
      <c r="IY1642" s="1"/>
      <c r="IZ1642" s="1"/>
      <c r="JB1642" s="1"/>
      <c r="JC1642" s="1"/>
      <c r="JF1642" s="1"/>
      <c r="JG1642" s="1"/>
      <c r="JJ1642" s="1"/>
      <c r="JK1642" s="1"/>
      <c r="JL1642" s="3"/>
      <c r="JM1642" s="1"/>
      <c r="JN1642" s="1"/>
      <c r="JP1642" s="1"/>
      <c r="JQ1642" s="1"/>
      <c r="JR1642" s="1"/>
      <c r="JT1642" s="1"/>
      <c r="KW1642" s="1"/>
      <c r="KY1642" s="1"/>
      <c r="KZ1642" s="1"/>
      <c r="LA1642" s="1"/>
      <c r="LB1642" s="1"/>
      <c r="LC1642" s="1"/>
      <c r="LD1642" s="1"/>
      <c r="LJ1642" s="1"/>
      <c r="LO1642" s="1"/>
      <c r="LP1642" s="1"/>
      <c r="LZ1642" s="1"/>
      <c r="MA1642" s="1"/>
    </row>
    <row r="1643" spans="4:339" ht="13" x14ac:dyDescent="0.15">
      <c r="D1643" s="12"/>
      <c r="E1643" s="12"/>
      <c r="I1643" s="12"/>
      <c r="J1643" s="13"/>
      <c r="BF1643" s="1"/>
      <c r="BG1643" s="1"/>
      <c r="BH1643" s="1"/>
      <c r="BI1643" s="1"/>
      <c r="BK1643" s="1"/>
      <c r="BL1643" s="1"/>
      <c r="BM1643" s="1"/>
      <c r="BN1643" s="1"/>
      <c r="BO1643" s="1"/>
      <c r="BP1643" s="1"/>
      <c r="BQ1643" s="1"/>
      <c r="BR1643" s="1"/>
      <c r="CD1643" s="1"/>
      <c r="CM1643" s="2"/>
      <c r="CP1643" s="1"/>
      <c r="CQ1643" s="1"/>
      <c r="CX1643" s="1"/>
      <c r="CY1643" s="1"/>
      <c r="CZ1643" s="1"/>
      <c r="DA1643" s="1"/>
      <c r="DB1643" s="1"/>
      <c r="DC1643" s="1"/>
      <c r="DD1643" s="1"/>
      <c r="DE1643" s="1"/>
      <c r="DF1643" s="1"/>
      <c r="DG1643" s="1"/>
      <c r="DH1643" s="1"/>
      <c r="DI1643" s="1"/>
      <c r="DJ1643" s="1"/>
      <c r="DK1643" s="1"/>
      <c r="DM1643" s="1"/>
      <c r="DQ1643" s="1"/>
      <c r="DR1643" s="1"/>
      <c r="DY1643" s="1"/>
      <c r="DZ1643" s="1"/>
      <c r="ED1643" s="1"/>
      <c r="EF1643" s="1"/>
      <c r="EK1643" s="1"/>
      <c r="EL1643" s="1"/>
      <c r="EM1643" s="1"/>
      <c r="EN1643" s="1"/>
      <c r="EQ1643" s="1"/>
      <c r="ER1643" s="1"/>
      <c r="ES1643" s="1"/>
      <c r="EV1643" s="1"/>
      <c r="EW1643" s="1"/>
      <c r="EZ1643" s="1"/>
      <c r="GP1643" s="1"/>
      <c r="HH1643" s="1"/>
      <c r="HY1643" s="1"/>
      <c r="IE1643" s="1"/>
      <c r="IG1643" s="1"/>
      <c r="IH1643" s="1"/>
      <c r="IJ1643" s="1"/>
      <c r="IS1643" s="1"/>
      <c r="IX1643" s="1"/>
      <c r="IY1643" s="1"/>
      <c r="IZ1643" s="1"/>
      <c r="JB1643" s="1"/>
      <c r="JC1643" s="1"/>
      <c r="JF1643" s="1"/>
      <c r="JG1643" s="1"/>
      <c r="JJ1643" s="1"/>
      <c r="JK1643" s="1"/>
      <c r="JL1643" s="3"/>
      <c r="JM1643" s="1"/>
      <c r="JN1643" s="1"/>
      <c r="JP1643" s="1"/>
      <c r="JQ1643" s="1"/>
      <c r="JR1643" s="1"/>
      <c r="JT1643" s="1"/>
      <c r="KW1643" s="1"/>
      <c r="KY1643" s="1"/>
      <c r="KZ1643" s="1"/>
      <c r="LA1643" s="1"/>
      <c r="LB1643" s="1"/>
      <c r="LC1643" s="1"/>
      <c r="LD1643" s="1"/>
      <c r="LJ1643" s="1"/>
      <c r="LO1643" s="1"/>
      <c r="LP1643" s="1"/>
      <c r="LZ1643" s="1"/>
      <c r="MA1643" s="1"/>
    </row>
    <row r="1644" spans="4:339" ht="13" x14ac:dyDescent="0.15">
      <c r="D1644" s="12"/>
      <c r="E1644" s="12"/>
      <c r="I1644" s="12"/>
      <c r="J1644" s="13"/>
      <c r="BF1644" s="1"/>
      <c r="BG1644" s="1"/>
      <c r="BH1644" s="1"/>
      <c r="BI1644" s="1"/>
      <c r="BK1644" s="1"/>
      <c r="BL1644" s="1"/>
      <c r="BM1644" s="1"/>
      <c r="BN1644" s="1"/>
      <c r="BO1644" s="1"/>
      <c r="BP1644" s="1"/>
      <c r="BQ1644" s="1"/>
      <c r="BR1644" s="1"/>
      <c r="CD1644" s="1"/>
      <c r="CM1644" s="2"/>
      <c r="CP1644" s="1"/>
      <c r="CQ1644" s="1"/>
      <c r="CX1644" s="1"/>
      <c r="CY1644" s="1"/>
      <c r="CZ1644" s="1"/>
      <c r="DA1644" s="1"/>
      <c r="DB1644" s="1"/>
      <c r="DC1644" s="1"/>
      <c r="DD1644" s="1"/>
      <c r="DE1644" s="1"/>
      <c r="DF1644" s="1"/>
      <c r="DG1644" s="1"/>
      <c r="DH1644" s="1"/>
      <c r="DI1644" s="1"/>
      <c r="DJ1644" s="1"/>
      <c r="DK1644" s="1"/>
      <c r="DM1644" s="1"/>
      <c r="DQ1644" s="1"/>
      <c r="DR1644" s="1"/>
      <c r="DY1644" s="1"/>
      <c r="DZ1644" s="1"/>
      <c r="ED1644" s="1"/>
      <c r="EF1644" s="1"/>
      <c r="EK1644" s="1"/>
      <c r="EL1644" s="1"/>
      <c r="EM1644" s="1"/>
      <c r="EN1644" s="1"/>
      <c r="EQ1644" s="1"/>
      <c r="ER1644" s="1"/>
      <c r="ES1644" s="1"/>
      <c r="EV1644" s="1"/>
      <c r="EW1644" s="1"/>
      <c r="EZ1644" s="1"/>
      <c r="GP1644" s="1"/>
      <c r="HH1644" s="1"/>
      <c r="HY1644" s="1"/>
      <c r="IE1644" s="1"/>
      <c r="IG1644" s="1"/>
      <c r="IH1644" s="1"/>
      <c r="IJ1644" s="1"/>
      <c r="IS1644" s="1"/>
      <c r="IX1644" s="1"/>
      <c r="IY1644" s="1"/>
      <c r="IZ1644" s="1"/>
      <c r="JB1644" s="1"/>
      <c r="JC1644" s="1"/>
      <c r="JF1644" s="1"/>
      <c r="JG1644" s="1"/>
      <c r="JJ1644" s="1"/>
      <c r="JK1644" s="1"/>
      <c r="JL1644" s="3"/>
      <c r="JM1644" s="1"/>
      <c r="JN1644" s="1"/>
      <c r="JP1644" s="1"/>
      <c r="JQ1644" s="1"/>
      <c r="JR1644" s="1"/>
      <c r="JT1644" s="1"/>
      <c r="KW1644" s="1"/>
      <c r="KY1644" s="1"/>
      <c r="KZ1644" s="1"/>
      <c r="LA1644" s="1"/>
      <c r="LB1644" s="1"/>
      <c r="LC1644" s="1"/>
      <c r="LD1644" s="1"/>
      <c r="LJ1644" s="1"/>
      <c r="LO1644" s="1"/>
      <c r="LP1644" s="1"/>
      <c r="LZ1644" s="1"/>
      <c r="MA1644" s="1"/>
    </row>
    <row r="1645" spans="4:339" ht="13" x14ac:dyDescent="0.15">
      <c r="D1645" s="12"/>
      <c r="E1645" s="12"/>
      <c r="I1645" s="12"/>
      <c r="J1645" s="13"/>
      <c r="BF1645" s="1"/>
      <c r="BG1645" s="1"/>
      <c r="BH1645" s="1"/>
      <c r="BI1645" s="1"/>
      <c r="BK1645" s="1"/>
      <c r="BL1645" s="1"/>
      <c r="BM1645" s="1"/>
      <c r="BN1645" s="1"/>
      <c r="BO1645" s="1"/>
      <c r="BP1645" s="1"/>
      <c r="BQ1645" s="1"/>
      <c r="BR1645" s="1"/>
      <c r="CD1645" s="1"/>
      <c r="CE1645" s="1"/>
      <c r="CF1645" s="1"/>
      <c r="CG1645" s="1"/>
      <c r="CM1645" s="2"/>
      <c r="CP1645" s="1"/>
      <c r="CQ1645" s="1"/>
      <c r="CR1645" s="1"/>
      <c r="CS1645" s="1"/>
      <c r="CT1645" s="1"/>
      <c r="CU1645" s="1"/>
      <c r="CV1645" s="1"/>
      <c r="CW1645" s="1"/>
      <c r="CX1645" s="1"/>
      <c r="CY1645" s="1"/>
      <c r="CZ1645" s="1"/>
      <c r="DA1645" s="1"/>
      <c r="DB1645" s="1"/>
      <c r="DC1645" s="1"/>
      <c r="DD1645" s="1"/>
      <c r="DE1645" s="1"/>
      <c r="DF1645" s="1"/>
      <c r="DG1645" s="1"/>
      <c r="DH1645" s="1"/>
      <c r="DI1645" s="1"/>
      <c r="DJ1645" s="1"/>
      <c r="DK1645" s="1"/>
      <c r="ED1645" s="1"/>
      <c r="EK1645" s="1"/>
      <c r="EL1645" s="1"/>
      <c r="EM1645" s="1"/>
      <c r="EN1645" s="1"/>
      <c r="EQ1645" s="1"/>
      <c r="ER1645" s="1"/>
      <c r="ES1645" s="1"/>
      <c r="EV1645" s="1"/>
      <c r="EW1645" s="1"/>
      <c r="EZ1645" s="1"/>
      <c r="GP1645" s="1"/>
      <c r="HY1645" s="1"/>
      <c r="IE1645" s="1"/>
      <c r="IS1645" s="1"/>
      <c r="IW1645" s="1"/>
      <c r="IY1645" s="1"/>
      <c r="IZ1645" s="1"/>
      <c r="JF1645" s="1"/>
      <c r="JG1645" s="1"/>
      <c r="JH1645" s="1"/>
      <c r="JJ1645" s="1"/>
      <c r="JN1645" s="1"/>
      <c r="JP1645" s="1"/>
      <c r="JQ1645" s="1"/>
      <c r="KU1645" s="1"/>
      <c r="KW1645" s="1"/>
      <c r="KY1645" s="1"/>
      <c r="KZ1645" s="1"/>
      <c r="LA1645" s="1"/>
      <c r="LB1645" s="1"/>
      <c r="LC1645" s="1"/>
      <c r="LD1645" s="1"/>
      <c r="LF1645" s="1"/>
      <c r="LN1645" s="1"/>
      <c r="LO1645" s="1"/>
      <c r="LP1645" s="1"/>
      <c r="LZ1645" s="1"/>
      <c r="MA1645" s="1"/>
    </row>
    <row r="1646" spans="4:339" ht="13" x14ac:dyDescent="0.15">
      <c r="D1646" s="12"/>
      <c r="E1646" s="12"/>
      <c r="I1646" s="12"/>
      <c r="J1646" s="13"/>
      <c r="BF1646" s="1"/>
      <c r="BG1646" s="1"/>
      <c r="BH1646" s="1"/>
      <c r="BI1646" s="1"/>
      <c r="BK1646" s="1"/>
      <c r="BL1646" s="1"/>
      <c r="BM1646" s="1"/>
      <c r="BN1646" s="1"/>
      <c r="BO1646" s="1"/>
      <c r="BP1646" s="1"/>
      <c r="BQ1646" s="1"/>
      <c r="BR1646" s="1"/>
      <c r="CD1646" s="1"/>
      <c r="CE1646" s="1"/>
      <c r="CF1646" s="1"/>
      <c r="CG1646" s="1"/>
      <c r="CM1646" s="2"/>
      <c r="CP1646" s="1"/>
      <c r="CQ1646" s="1"/>
      <c r="CR1646" s="1"/>
      <c r="CS1646" s="1"/>
      <c r="CT1646" s="1"/>
      <c r="CU1646" s="1"/>
      <c r="CV1646" s="1"/>
      <c r="CW1646" s="1"/>
      <c r="CX1646" s="1"/>
      <c r="CY1646" s="1"/>
      <c r="CZ1646" s="1"/>
      <c r="DA1646" s="1"/>
      <c r="DB1646" s="1"/>
      <c r="DC1646" s="1"/>
      <c r="DD1646" s="1"/>
      <c r="DE1646" s="1"/>
      <c r="DF1646" s="1"/>
      <c r="DG1646" s="1"/>
      <c r="DH1646" s="1"/>
      <c r="DI1646" s="1"/>
      <c r="DJ1646" s="1"/>
      <c r="DK1646" s="1"/>
      <c r="ED1646" s="1"/>
      <c r="EK1646" s="1"/>
      <c r="EL1646" s="1"/>
      <c r="EM1646" s="1"/>
      <c r="EN1646" s="1"/>
      <c r="EQ1646" s="1"/>
      <c r="ER1646" s="1"/>
      <c r="ES1646" s="1"/>
      <c r="EV1646" s="1"/>
      <c r="EW1646" s="1"/>
      <c r="EZ1646" s="1"/>
      <c r="GP1646" s="1"/>
      <c r="HY1646" s="1"/>
      <c r="IE1646" s="1"/>
      <c r="IS1646" s="1"/>
      <c r="IW1646" s="1"/>
      <c r="IY1646" s="1"/>
      <c r="IZ1646" s="1"/>
      <c r="JF1646" s="1"/>
      <c r="JG1646" s="1"/>
      <c r="JH1646" s="1"/>
      <c r="JJ1646" s="1"/>
      <c r="JN1646" s="1"/>
      <c r="JP1646" s="1"/>
      <c r="JQ1646" s="1"/>
      <c r="KU1646" s="1"/>
      <c r="KW1646" s="1"/>
      <c r="KY1646" s="1"/>
      <c r="KZ1646" s="1"/>
      <c r="LA1646" s="1"/>
      <c r="LB1646" s="1"/>
      <c r="LC1646" s="1"/>
      <c r="LD1646" s="1"/>
      <c r="LF1646" s="1"/>
      <c r="LN1646" s="1"/>
      <c r="LO1646" s="1"/>
      <c r="LP1646" s="1"/>
      <c r="LZ1646" s="1"/>
      <c r="MA1646" s="1"/>
    </row>
    <row r="1647" spans="4:339" ht="13" x14ac:dyDescent="0.15">
      <c r="D1647" s="12"/>
      <c r="E1647" s="12"/>
      <c r="I1647" s="12"/>
      <c r="J1647" s="13"/>
      <c r="BF1647" s="1"/>
      <c r="BG1647" s="1"/>
      <c r="BH1647" s="1"/>
      <c r="BI1647" s="1"/>
      <c r="BK1647" s="1"/>
      <c r="BL1647" s="1"/>
      <c r="BM1647" s="1"/>
      <c r="BN1647" s="1"/>
      <c r="BO1647" s="1"/>
      <c r="BP1647" s="1"/>
      <c r="BQ1647" s="1"/>
      <c r="BR1647" s="1"/>
      <c r="CD1647" s="1"/>
      <c r="CE1647" s="1"/>
      <c r="CF1647" s="1"/>
      <c r="CG1647" s="1"/>
      <c r="CM1647" s="2"/>
      <c r="CP1647" s="1"/>
      <c r="CQ1647" s="1"/>
      <c r="CR1647" s="1"/>
      <c r="CS1647" s="1"/>
      <c r="CT1647" s="1"/>
      <c r="CU1647" s="1"/>
      <c r="CV1647" s="1"/>
      <c r="CW1647" s="1"/>
      <c r="CX1647" s="1"/>
      <c r="CY1647" s="1"/>
      <c r="CZ1647" s="1"/>
      <c r="DA1647" s="1"/>
      <c r="DB1647" s="1"/>
      <c r="DC1647" s="1"/>
      <c r="DD1647" s="1"/>
      <c r="DE1647" s="1"/>
      <c r="DF1647" s="1"/>
      <c r="DG1647" s="1"/>
      <c r="DH1647" s="1"/>
      <c r="DI1647" s="1"/>
      <c r="DJ1647" s="1"/>
      <c r="DK1647" s="1"/>
      <c r="ED1647" s="1"/>
      <c r="EK1647" s="1"/>
      <c r="EL1647" s="1"/>
      <c r="EM1647" s="1"/>
      <c r="EN1647" s="1"/>
      <c r="EQ1647" s="1"/>
      <c r="ER1647" s="1"/>
      <c r="ES1647" s="1"/>
      <c r="EV1647" s="1"/>
      <c r="EW1647" s="1"/>
      <c r="EZ1647" s="1"/>
      <c r="GP1647" s="1"/>
      <c r="HY1647" s="1"/>
      <c r="IE1647" s="1"/>
      <c r="IS1647" s="1"/>
      <c r="IW1647" s="1"/>
      <c r="IY1647" s="1"/>
      <c r="IZ1647" s="1"/>
      <c r="JF1647" s="1"/>
      <c r="JG1647" s="1"/>
      <c r="JH1647" s="1"/>
      <c r="JJ1647" s="1"/>
      <c r="JN1647" s="1"/>
      <c r="JP1647" s="1"/>
      <c r="JQ1647" s="1"/>
      <c r="KU1647" s="1"/>
      <c r="KW1647" s="1"/>
      <c r="KY1647" s="1"/>
      <c r="KZ1647" s="1"/>
      <c r="LA1647" s="1"/>
      <c r="LB1647" s="1"/>
      <c r="LC1647" s="1"/>
      <c r="LD1647" s="1"/>
      <c r="LF1647" s="1"/>
      <c r="LN1647" s="1"/>
      <c r="LO1647" s="1"/>
      <c r="LP1647" s="1"/>
      <c r="LZ1647" s="1"/>
      <c r="MA1647" s="1"/>
    </row>
    <row r="1648" spans="4:339" ht="13" x14ac:dyDescent="0.15">
      <c r="D1648" s="12"/>
      <c r="E1648" s="12"/>
      <c r="I1648" s="12"/>
      <c r="J1648" s="13"/>
      <c r="BF1648" s="1"/>
      <c r="BG1648" s="1"/>
      <c r="BH1648" s="1"/>
      <c r="BI1648" s="1"/>
      <c r="BK1648" s="1"/>
      <c r="BL1648" s="1"/>
      <c r="BM1648" s="1"/>
      <c r="BN1648" s="1"/>
      <c r="BO1648" s="1"/>
      <c r="BP1648" s="1"/>
      <c r="BQ1648" s="1"/>
      <c r="BR1648" s="1"/>
      <c r="CD1648" s="1"/>
      <c r="CE1648" s="1"/>
      <c r="CF1648" s="1"/>
      <c r="CG1648" s="1"/>
      <c r="CM1648" s="4"/>
      <c r="CP1648" s="1"/>
      <c r="CQ1648" s="1"/>
      <c r="CR1648" s="1"/>
      <c r="CS1648" s="1"/>
      <c r="CT1648" s="1"/>
      <c r="CU1648" s="1"/>
      <c r="CV1648" s="1"/>
      <c r="CW1648" s="1"/>
      <c r="CX1648" s="1"/>
      <c r="CY1648" s="1"/>
      <c r="CZ1648" s="1"/>
      <c r="DA1648" s="1"/>
      <c r="DB1648" s="1"/>
      <c r="DC1648" s="1"/>
      <c r="DD1648" s="1"/>
      <c r="DE1648" s="1"/>
      <c r="DF1648" s="1"/>
      <c r="DG1648" s="1"/>
      <c r="DH1648" s="1"/>
      <c r="DI1648" s="1"/>
      <c r="DJ1648" s="1"/>
      <c r="DK1648" s="1"/>
      <c r="DM1648" s="1"/>
      <c r="DR1648" s="1"/>
      <c r="ED1648" s="1"/>
      <c r="EK1648" s="1"/>
      <c r="EL1648" s="1"/>
      <c r="EM1648" s="1"/>
      <c r="EN1648" s="1"/>
      <c r="EQ1648" s="1"/>
      <c r="ER1648" s="1"/>
      <c r="ES1648" s="1"/>
      <c r="EV1648" s="1"/>
      <c r="EW1648" s="1"/>
      <c r="EZ1648" s="1"/>
      <c r="GO1648" s="1"/>
      <c r="GP1648" s="1"/>
      <c r="HY1648" s="1"/>
      <c r="IE1648" s="1"/>
      <c r="IR1648" s="1"/>
      <c r="IS1648" s="1"/>
      <c r="IW1648" s="1"/>
      <c r="IZ1648" s="1"/>
      <c r="JD1648" s="1"/>
      <c r="JF1648" s="1"/>
      <c r="JG1648" s="1"/>
      <c r="JH1648" s="1"/>
      <c r="JJ1648" s="1"/>
      <c r="JN1648" s="1"/>
      <c r="JP1648" s="1"/>
      <c r="JQ1648" s="1"/>
      <c r="KV1648" s="1"/>
      <c r="KY1648" s="1"/>
      <c r="KZ1648" s="1"/>
      <c r="LA1648" s="1"/>
      <c r="LB1648" s="1"/>
      <c r="LC1648" s="1"/>
      <c r="LD1648" s="1"/>
      <c r="LO1648" s="1"/>
      <c r="LP1648" s="1"/>
      <c r="LZ1648" s="1"/>
      <c r="MA1648" s="1"/>
    </row>
    <row r="1649" spans="4:339" ht="13" x14ac:dyDescent="0.15">
      <c r="D1649" s="12"/>
      <c r="E1649" s="12"/>
      <c r="I1649" s="12"/>
      <c r="J1649" s="13"/>
      <c r="BF1649" s="1"/>
      <c r="BG1649" s="1"/>
      <c r="BH1649" s="1"/>
      <c r="BI1649" s="1"/>
      <c r="BK1649" s="1"/>
      <c r="BL1649" s="1"/>
      <c r="BM1649" s="1"/>
      <c r="BN1649" s="1"/>
      <c r="BO1649" s="1"/>
      <c r="BP1649" s="1"/>
      <c r="BQ1649" s="1"/>
      <c r="BR1649" s="1"/>
      <c r="CD1649" s="1"/>
      <c r="CE1649" s="1"/>
      <c r="CF1649" s="1"/>
      <c r="CG1649" s="1"/>
      <c r="CM1649" s="4"/>
      <c r="CP1649" s="1"/>
      <c r="CQ1649" s="1"/>
      <c r="CR1649" s="1"/>
      <c r="CS1649" s="1"/>
      <c r="CT1649" s="1"/>
      <c r="CU1649" s="1"/>
      <c r="CV1649" s="1"/>
      <c r="CW1649" s="1"/>
      <c r="CX1649" s="1"/>
      <c r="CY1649" s="1"/>
      <c r="CZ1649" s="1"/>
      <c r="DA1649" s="1"/>
      <c r="DB1649" s="1"/>
      <c r="DC1649" s="1"/>
      <c r="DD1649" s="1"/>
      <c r="DE1649" s="1"/>
      <c r="DF1649" s="1"/>
      <c r="DG1649" s="1"/>
      <c r="DH1649" s="1"/>
      <c r="DI1649" s="1"/>
      <c r="DJ1649" s="1"/>
      <c r="DK1649" s="1"/>
      <c r="DM1649" s="1"/>
      <c r="DR1649" s="1"/>
      <c r="ED1649" s="1"/>
      <c r="EK1649" s="1"/>
      <c r="EL1649" s="1"/>
      <c r="EM1649" s="1"/>
      <c r="EN1649" s="1"/>
      <c r="EQ1649" s="1"/>
      <c r="ER1649" s="1"/>
      <c r="ES1649" s="1"/>
      <c r="EV1649" s="1"/>
      <c r="EW1649" s="1"/>
      <c r="EZ1649" s="1"/>
      <c r="GO1649" s="1"/>
      <c r="GP1649" s="1"/>
      <c r="HY1649" s="1"/>
      <c r="IE1649" s="1"/>
      <c r="IR1649" s="1"/>
      <c r="IS1649" s="1"/>
      <c r="IW1649" s="1"/>
      <c r="IZ1649" s="1"/>
      <c r="JD1649" s="1"/>
      <c r="JF1649" s="1"/>
      <c r="JG1649" s="1"/>
      <c r="JH1649" s="1"/>
      <c r="JJ1649" s="1"/>
      <c r="JN1649" s="1"/>
      <c r="JP1649" s="1"/>
      <c r="JQ1649" s="1"/>
      <c r="KV1649" s="1"/>
      <c r="KY1649" s="1"/>
      <c r="KZ1649" s="1"/>
      <c r="LA1649" s="1"/>
      <c r="LB1649" s="1"/>
      <c r="LC1649" s="1"/>
      <c r="LD1649" s="1"/>
      <c r="LO1649" s="1"/>
      <c r="LP1649" s="1"/>
      <c r="LZ1649" s="1"/>
      <c r="MA1649" s="1"/>
    </row>
    <row r="1650" spans="4:339" ht="13" x14ac:dyDescent="0.15">
      <c r="D1650" s="12"/>
      <c r="E1650" s="12"/>
      <c r="I1650" s="12"/>
      <c r="J1650" s="13"/>
      <c r="BG1650" s="1"/>
      <c r="BH1650" s="1"/>
      <c r="BI1650" s="1"/>
      <c r="BK1650" s="1"/>
      <c r="BL1650" s="1"/>
      <c r="BM1650" s="1"/>
      <c r="BN1650" s="1"/>
      <c r="BP1650" s="1"/>
      <c r="BQ1650" s="1"/>
      <c r="BR1650" s="1"/>
      <c r="CD1650" s="1"/>
      <c r="CM1650" s="2"/>
      <c r="CP1650" s="1"/>
      <c r="CQ1650" s="1"/>
      <c r="CX1650" s="1"/>
      <c r="CY1650" s="1"/>
      <c r="CZ1650" s="1"/>
      <c r="DA1650" s="1"/>
      <c r="DB1650" s="1"/>
      <c r="DC1650" s="1"/>
      <c r="DD1650" s="1"/>
      <c r="DE1650" s="1"/>
      <c r="DF1650" s="1"/>
      <c r="DG1650" s="1"/>
      <c r="DH1650" s="1"/>
      <c r="DI1650" s="1"/>
      <c r="DJ1650" s="1"/>
      <c r="DK1650" s="1"/>
      <c r="ED1650" s="1"/>
      <c r="EK1650" s="1"/>
      <c r="EL1650" s="1"/>
      <c r="EM1650" s="1"/>
      <c r="EN1650" s="1"/>
      <c r="EQ1650" s="1"/>
      <c r="ER1650" s="1"/>
      <c r="ES1650" s="1"/>
      <c r="EV1650" s="1"/>
      <c r="EW1650" s="1"/>
      <c r="EZ1650" s="1"/>
      <c r="GO1650" s="1"/>
      <c r="GP1650" s="1"/>
      <c r="IE1650" s="1"/>
      <c r="IS1650" s="1"/>
      <c r="IZ1650" s="1"/>
      <c r="JJ1650" s="1"/>
      <c r="JP1650" s="1"/>
      <c r="JQ1650" s="1"/>
      <c r="KY1650" s="1"/>
      <c r="KZ1650" s="1"/>
      <c r="LA1650" s="1"/>
      <c r="LB1650" s="1"/>
      <c r="LC1650" s="1"/>
      <c r="LD1650" s="1"/>
      <c r="LO1650" s="1"/>
      <c r="LP1650" s="1"/>
      <c r="LZ1650" s="1"/>
      <c r="MA1650" s="1"/>
    </row>
    <row r="1651" spans="4:339" ht="13" x14ac:dyDescent="0.15">
      <c r="D1651" s="12"/>
      <c r="E1651" s="12"/>
      <c r="I1651" s="12"/>
      <c r="J1651" s="13"/>
      <c r="BG1651" s="1"/>
      <c r="BH1651" s="1"/>
      <c r="BI1651" s="1"/>
      <c r="BK1651" s="1"/>
      <c r="BL1651" s="1"/>
      <c r="BM1651" s="1"/>
      <c r="BN1651" s="1"/>
      <c r="BP1651" s="1"/>
      <c r="BQ1651" s="1"/>
      <c r="BR1651" s="1"/>
      <c r="CD1651" s="1"/>
      <c r="CM1651" s="2"/>
      <c r="CP1651" s="1"/>
      <c r="CQ1651" s="1"/>
      <c r="CX1651" s="1"/>
      <c r="CY1651" s="1"/>
      <c r="CZ1651" s="1"/>
      <c r="DA1651" s="1"/>
      <c r="DB1651" s="1"/>
      <c r="DC1651" s="1"/>
      <c r="DD1651" s="1"/>
      <c r="DE1651" s="1"/>
      <c r="DF1651" s="1"/>
      <c r="DG1651" s="1"/>
      <c r="DH1651" s="1"/>
      <c r="DI1651" s="1"/>
      <c r="DJ1651" s="1"/>
      <c r="DK1651" s="1"/>
      <c r="ED1651" s="1"/>
      <c r="EK1651" s="1"/>
      <c r="EL1651" s="1"/>
      <c r="EM1651" s="1"/>
      <c r="EN1651" s="1"/>
      <c r="EQ1651" s="1"/>
      <c r="ER1651" s="1"/>
      <c r="ES1651" s="1"/>
      <c r="EV1651" s="1"/>
      <c r="EW1651" s="1"/>
      <c r="EZ1651" s="1"/>
      <c r="GO1651" s="1"/>
      <c r="GP1651" s="1"/>
      <c r="IE1651" s="1"/>
      <c r="IS1651" s="1"/>
      <c r="IZ1651" s="1"/>
      <c r="JJ1651" s="1"/>
      <c r="JP1651" s="1"/>
      <c r="JQ1651" s="1"/>
      <c r="KY1651" s="1"/>
      <c r="KZ1651" s="1"/>
      <c r="LA1651" s="1"/>
      <c r="LB1651" s="1"/>
      <c r="LC1651" s="1"/>
      <c r="LD1651" s="1"/>
      <c r="LO1651" s="1"/>
      <c r="LP1651" s="1"/>
      <c r="LZ1651" s="1"/>
      <c r="MA1651" s="1"/>
    </row>
    <row r="1652" spans="4:339" ht="13" x14ac:dyDescent="0.15">
      <c r="D1652" s="12"/>
      <c r="E1652" s="12"/>
      <c r="I1652" s="12"/>
      <c r="J1652" s="13"/>
      <c r="BG1652" s="1"/>
      <c r="BH1652" s="1"/>
      <c r="BI1652" s="1"/>
      <c r="BK1652" s="1"/>
      <c r="BL1652" s="1"/>
      <c r="BM1652" s="1"/>
      <c r="BN1652" s="1"/>
      <c r="BP1652" s="1"/>
      <c r="BQ1652" s="1"/>
      <c r="BR1652" s="1"/>
      <c r="CD1652" s="1"/>
      <c r="CM1652" s="2"/>
      <c r="CP1652" s="1"/>
      <c r="CQ1652" s="1"/>
      <c r="CX1652" s="1"/>
      <c r="CY1652" s="1"/>
      <c r="CZ1652" s="1"/>
      <c r="DA1652" s="1"/>
      <c r="DB1652" s="1"/>
      <c r="DC1652" s="1"/>
      <c r="DD1652" s="1"/>
      <c r="DE1652" s="1"/>
      <c r="DF1652" s="1"/>
      <c r="DG1652" s="1"/>
      <c r="DH1652" s="1"/>
      <c r="DI1652" s="1"/>
      <c r="DJ1652" s="1"/>
      <c r="DK1652" s="1"/>
      <c r="ED1652" s="1"/>
      <c r="EK1652" s="1"/>
      <c r="EL1652" s="1"/>
      <c r="EM1652" s="1"/>
      <c r="EN1652" s="1"/>
      <c r="EQ1652" s="1"/>
      <c r="ER1652" s="1"/>
      <c r="ES1652" s="1"/>
      <c r="EV1652" s="1"/>
      <c r="EW1652" s="1"/>
      <c r="EZ1652" s="1"/>
      <c r="GO1652" s="1"/>
      <c r="GP1652" s="1"/>
      <c r="IE1652" s="1"/>
      <c r="IS1652" s="1"/>
      <c r="IZ1652" s="1"/>
      <c r="JJ1652" s="1"/>
      <c r="JP1652" s="1"/>
      <c r="JQ1652" s="1"/>
      <c r="KY1652" s="1"/>
      <c r="KZ1652" s="1"/>
      <c r="LA1652" s="1"/>
      <c r="LB1652" s="1"/>
      <c r="LC1652" s="1"/>
      <c r="LD1652" s="1"/>
      <c r="LO1652" s="1"/>
      <c r="LP1652" s="1"/>
      <c r="LZ1652" s="1"/>
      <c r="MA1652" s="1"/>
    </row>
    <row r="1653" spans="4:339" ht="13" x14ac:dyDescent="0.15">
      <c r="D1653" s="12"/>
      <c r="E1653" s="12"/>
      <c r="I1653" s="12"/>
      <c r="J1653" s="13"/>
      <c r="BG1653" s="1"/>
      <c r="BH1653" s="1"/>
      <c r="BI1653" s="1"/>
      <c r="BK1653" s="1"/>
      <c r="BL1653" s="1"/>
      <c r="BM1653" s="1"/>
      <c r="BN1653" s="1"/>
      <c r="BP1653" s="1"/>
      <c r="BQ1653" s="1"/>
      <c r="BR1653" s="1"/>
      <c r="CD1653" s="1"/>
      <c r="CM1653" s="2"/>
      <c r="CP1653" s="1"/>
      <c r="CQ1653" s="1"/>
      <c r="CX1653" s="1"/>
      <c r="CY1653" s="1"/>
      <c r="CZ1653" s="1"/>
      <c r="DA1653" s="1"/>
      <c r="DB1653" s="1"/>
      <c r="DC1653" s="1"/>
      <c r="DD1653" s="1"/>
      <c r="DE1653" s="1"/>
      <c r="DF1653" s="1"/>
      <c r="DG1653" s="1"/>
      <c r="DH1653" s="1"/>
      <c r="DI1653" s="1"/>
      <c r="DJ1653" s="1"/>
      <c r="DK1653" s="1"/>
      <c r="ED1653" s="1"/>
      <c r="EK1653" s="1"/>
      <c r="EL1653" s="1"/>
      <c r="EM1653" s="1"/>
      <c r="EN1653" s="1"/>
      <c r="EQ1653" s="1"/>
      <c r="ER1653" s="1"/>
      <c r="ES1653" s="1"/>
      <c r="EV1653" s="1"/>
      <c r="EW1653" s="1"/>
      <c r="EZ1653" s="1"/>
      <c r="GO1653" s="1"/>
      <c r="GP1653" s="1"/>
      <c r="IE1653" s="1"/>
      <c r="IS1653" s="1"/>
      <c r="IZ1653" s="1"/>
      <c r="JJ1653" s="1"/>
      <c r="JP1653" s="1"/>
      <c r="JQ1653" s="1"/>
      <c r="KY1653" s="1"/>
      <c r="KZ1653" s="1"/>
      <c r="LA1653" s="1"/>
      <c r="LB1653" s="1"/>
      <c r="LC1653" s="1"/>
      <c r="LD1653" s="1"/>
      <c r="LO1653" s="1"/>
      <c r="LP1653" s="1"/>
      <c r="LZ1653" s="1"/>
      <c r="MA1653" s="1"/>
    </row>
    <row r="1654" spans="4:339" ht="13" x14ac:dyDescent="0.15">
      <c r="D1654" s="12"/>
      <c r="E1654" s="12"/>
      <c r="I1654" s="12"/>
      <c r="J1654" s="13"/>
      <c r="BG1654" s="1"/>
      <c r="BH1654" s="1"/>
      <c r="BI1654" s="1"/>
      <c r="BK1654" s="1"/>
      <c r="BL1654" s="1"/>
      <c r="BM1654" s="1"/>
      <c r="BN1654" s="1"/>
      <c r="BP1654" s="1"/>
      <c r="BQ1654" s="1"/>
      <c r="BR1654" s="1"/>
      <c r="CD1654" s="1"/>
      <c r="CM1654" s="2"/>
      <c r="CP1654" s="1"/>
      <c r="CQ1654" s="1"/>
      <c r="CX1654" s="1"/>
      <c r="CY1654" s="1"/>
      <c r="CZ1654" s="1"/>
      <c r="DA1654" s="1"/>
      <c r="DB1654" s="1"/>
      <c r="DC1654" s="1"/>
      <c r="DD1654" s="1"/>
      <c r="DE1654" s="1"/>
      <c r="DF1654" s="1"/>
      <c r="DG1654" s="1"/>
      <c r="DH1654" s="1"/>
      <c r="DI1654" s="1"/>
      <c r="DJ1654" s="1"/>
      <c r="DK1654" s="1"/>
      <c r="ED1654" s="1"/>
      <c r="EK1654" s="1"/>
      <c r="EL1654" s="1"/>
      <c r="EM1654" s="1"/>
      <c r="EN1654" s="1"/>
      <c r="EQ1654" s="1"/>
      <c r="ER1654" s="1"/>
      <c r="ES1654" s="1"/>
      <c r="EV1654" s="1"/>
      <c r="EW1654" s="1"/>
      <c r="EZ1654" s="1"/>
      <c r="GO1654" s="1"/>
      <c r="GP1654" s="1"/>
      <c r="IE1654" s="1"/>
      <c r="IS1654" s="1"/>
      <c r="IZ1654" s="1"/>
      <c r="JJ1654" s="1"/>
      <c r="JP1654" s="1"/>
      <c r="JQ1654" s="1"/>
      <c r="KY1654" s="1"/>
      <c r="KZ1654" s="1"/>
      <c r="LA1654" s="1"/>
      <c r="LB1654" s="1"/>
      <c r="LC1654" s="1"/>
      <c r="LD1654" s="1"/>
      <c r="LO1654" s="1"/>
      <c r="LP1654" s="1"/>
      <c r="LZ1654" s="1"/>
      <c r="MA1654" s="1"/>
    </row>
    <row r="1655" spans="4:339" ht="13" x14ac:dyDescent="0.15">
      <c r="D1655" s="12"/>
      <c r="E1655" s="12"/>
      <c r="I1655" s="12"/>
      <c r="J1655" s="13"/>
      <c r="BF1655" s="1"/>
      <c r="BG1655" s="1"/>
      <c r="BH1655" s="1"/>
      <c r="BI1655" s="1"/>
      <c r="BJ1655" s="1"/>
      <c r="BK1655" s="1"/>
      <c r="BL1655" s="1"/>
      <c r="BM1655" s="1"/>
      <c r="BN1655" s="1"/>
      <c r="BO1655" s="1"/>
      <c r="BP1655" s="1"/>
      <c r="BQ1655" s="1"/>
      <c r="BR1655" s="1"/>
      <c r="CC1655" s="1"/>
      <c r="CD1655" s="1"/>
      <c r="CE1655" s="1"/>
      <c r="CF1655" s="1"/>
      <c r="CG1655" s="1"/>
      <c r="CM1655" s="4"/>
      <c r="CP1655" s="1"/>
      <c r="CQ1655" s="1"/>
      <c r="CR1655" s="1"/>
      <c r="CS1655" s="1"/>
      <c r="CT1655" s="1"/>
      <c r="CU1655" s="1"/>
      <c r="CV1655" s="1"/>
      <c r="CW1655" s="1"/>
      <c r="CX1655" s="1"/>
      <c r="CY1655" s="1"/>
      <c r="CZ1655" s="1"/>
      <c r="DA1655" s="1"/>
      <c r="DB1655" s="1"/>
      <c r="DC1655" s="1"/>
      <c r="DD1655" s="1"/>
      <c r="DE1655" s="1"/>
      <c r="DF1655" s="1"/>
      <c r="DG1655" s="1"/>
      <c r="DH1655" s="1"/>
      <c r="DI1655" s="1"/>
      <c r="DJ1655" s="1"/>
      <c r="DK1655" s="1"/>
      <c r="ED1655" s="1"/>
      <c r="EK1655" s="1"/>
      <c r="EL1655" s="1"/>
      <c r="EM1655" s="1"/>
      <c r="EN1655" s="1"/>
      <c r="EQ1655" s="1"/>
      <c r="ER1655" s="1"/>
      <c r="ES1655" s="1"/>
      <c r="EV1655" s="1"/>
      <c r="EW1655" s="1"/>
      <c r="EZ1655" s="1"/>
      <c r="GO1655" s="1"/>
      <c r="GP1655" s="1"/>
      <c r="HY1655" s="1"/>
      <c r="IE1655" s="1"/>
      <c r="IR1655" s="1"/>
      <c r="IS1655" s="1"/>
      <c r="IY1655" s="1"/>
      <c r="IZ1655" s="1"/>
      <c r="JC1655" s="1"/>
      <c r="JF1655" s="1"/>
      <c r="JG1655" s="1"/>
      <c r="JH1655" s="1"/>
      <c r="JJ1655" s="1"/>
      <c r="JN1655" s="1"/>
      <c r="JP1655" s="1"/>
      <c r="JQ1655" s="1"/>
      <c r="JT1655" s="1"/>
      <c r="JW1655" s="1"/>
      <c r="KS1655" s="1"/>
      <c r="KT1655" s="1"/>
      <c r="KU1655" s="1"/>
      <c r="KV1655" s="1"/>
      <c r="KW1655" s="1"/>
      <c r="KY1655" s="1"/>
      <c r="KZ1655" s="1"/>
      <c r="LA1655" s="1"/>
      <c r="LB1655" s="1"/>
      <c r="LC1655" s="1"/>
      <c r="LD1655" s="1"/>
      <c r="LO1655" s="1"/>
      <c r="LP1655" s="1"/>
      <c r="LZ1655" s="1"/>
      <c r="MA1655" s="1"/>
    </row>
    <row r="1656" spans="4:339" ht="13" x14ac:dyDescent="0.15">
      <c r="D1656" s="12"/>
      <c r="E1656" s="12"/>
      <c r="I1656" s="12"/>
      <c r="J1656" s="13"/>
      <c r="BF1656" s="1"/>
      <c r="BG1656" s="1"/>
      <c r="BH1656" s="1"/>
      <c r="BI1656" s="1"/>
      <c r="BJ1656" s="1"/>
      <c r="BK1656" s="1"/>
      <c r="BL1656" s="1"/>
      <c r="BM1656" s="1"/>
      <c r="BN1656" s="1"/>
      <c r="BO1656" s="1"/>
      <c r="BP1656" s="1"/>
      <c r="BQ1656" s="1"/>
      <c r="BR1656" s="1"/>
      <c r="CC1656" s="1"/>
      <c r="CD1656" s="1"/>
      <c r="CE1656" s="1"/>
      <c r="CF1656" s="1"/>
      <c r="CG1656" s="1"/>
      <c r="CM1656" s="4"/>
      <c r="CP1656" s="1"/>
      <c r="CQ1656" s="1"/>
      <c r="CR1656" s="1"/>
      <c r="CS1656" s="1"/>
      <c r="CT1656" s="1"/>
      <c r="CU1656" s="1"/>
      <c r="CV1656" s="1"/>
      <c r="CW1656" s="1"/>
      <c r="CX1656" s="1"/>
      <c r="CY1656" s="1"/>
      <c r="CZ1656" s="1"/>
      <c r="DA1656" s="1"/>
      <c r="DB1656" s="1"/>
      <c r="DC1656" s="1"/>
      <c r="DD1656" s="1"/>
      <c r="DE1656" s="1"/>
      <c r="DF1656" s="1"/>
      <c r="DG1656" s="1"/>
      <c r="DH1656" s="1"/>
      <c r="DI1656" s="1"/>
      <c r="DJ1656" s="1"/>
      <c r="DK1656" s="1"/>
      <c r="ED1656" s="1"/>
      <c r="EK1656" s="1"/>
      <c r="EL1656" s="1"/>
      <c r="EM1656" s="1"/>
      <c r="EN1656" s="1"/>
      <c r="EQ1656" s="1"/>
      <c r="ER1656" s="1"/>
      <c r="ES1656" s="1"/>
      <c r="EV1656" s="1"/>
      <c r="EW1656" s="1"/>
      <c r="EZ1656" s="1"/>
      <c r="GO1656" s="1"/>
      <c r="GP1656" s="1"/>
      <c r="HY1656" s="1"/>
      <c r="IE1656" s="1"/>
      <c r="IR1656" s="1"/>
      <c r="IS1656" s="1"/>
      <c r="IY1656" s="1"/>
      <c r="IZ1656" s="1"/>
      <c r="JC1656" s="1"/>
      <c r="JF1656" s="1"/>
      <c r="JG1656" s="1"/>
      <c r="JH1656" s="1"/>
      <c r="JJ1656" s="1"/>
      <c r="JN1656" s="1"/>
      <c r="JP1656" s="1"/>
      <c r="JQ1656" s="1"/>
      <c r="JT1656" s="1"/>
      <c r="JW1656" s="1"/>
      <c r="KS1656" s="1"/>
      <c r="KT1656" s="1"/>
      <c r="KU1656" s="1"/>
      <c r="KV1656" s="1"/>
      <c r="KW1656" s="1"/>
      <c r="KY1656" s="1"/>
      <c r="KZ1656" s="1"/>
      <c r="LA1656" s="1"/>
      <c r="LB1656" s="1"/>
      <c r="LC1656" s="1"/>
      <c r="LD1656" s="1"/>
      <c r="LO1656" s="1"/>
      <c r="LP1656" s="1"/>
      <c r="LZ1656" s="1"/>
      <c r="MA1656" s="1"/>
    </row>
    <row r="1657" spans="4:339" ht="13" x14ac:dyDescent="0.15">
      <c r="D1657" s="12"/>
      <c r="E1657" s="12"/>
      <c r="I1657" s="12"/>
      <c r="J1657" s="13"/>
      <c r="BF1657" s="1"/>
      <c r="BG1657" s="1"/>
      <c r="BH1657" s="1"/>
      <c r="BI1657" s="1"/>
      <c r="BJ1657" s="1"/>
      <c r="BK1657" s="1"/>
      <c r="BL1657" s="1"/>
      <c r="BM1657" s="1"/>
      <c r="BN1657" s="1"/>
      <c r="BO1657" s="1"/>
      <c r="BP1657" s="1"/>
      <c r="BQ1657" s="1"/>
      <c r="BR1657" s="1"/>
      <c r="CC1657" s="1"/>
      <c r="CD1657" s="1"/>
      <c r="CE1657" s="1"/>
      <c r="CF1657" s="1"/>
      <c r="CG1657" s="1"/>
      <c r="CM1657" s="4"/>
      <c r="CP1657" s="1"/>
      <c r="CQ1657" s="1"/>
      <c r="CR1657" s="1"/>
      <c r="CS1657" s="1"/>
      <c r="CT1657" s="1"/>
      <c r="CU1657" s="1"/>
      <c r="CV1657" s="1"/>
      <c r="CW1657" s="1"/>
      <c r="CX1657" s="1"/>
      <c r="CY1657" s="1"/>
      <c r="CZ1657" s="1"/>
      <c r="DA1657" s="1"/>
      <c r="DB1657" s="1"/>
      <c r="DC1657" s="1"/>
      <c r="DD1657" s="1"/>
      <c r="DE1657" s="1"/>
      <c r="DF1657" s="1"/>
      <c r="DG1657" s="1"/>
      <c r="DH1657" s="1"/>
      <c r="DI1657" s="1"/>
      <c r="DJ1657" s="1"/>
      <c r="DK1657" s="1"/>
      <c r="ED1657" s="1"/>
      <c r="EK1657" s="1"/>
      <c r="EL1657" s="1"/>
      <c r="EM1657" s="1"/>
      <c r="EN1657" s="1"/>
      <c r="EQ1657" s="1"/>
      <c r="ER1657" s="1"/>
      <c r="ES1657" s="1"/>
      <c r="EV1657" s="1"/>
      <c r="EW1657" s="1"/>
      <c r="EZ1657" s="1"/>
      <c r="GO1657" s="1"/>
      <c r="GP1657" s="1"/>
      <c r="HY1657" s="1"/>
      <c r="IE1657" s="1"/>
      <c r="IR1657" s="1"/>
      <c r="IS1657" s="1"/>
      <c r="IY1657" s="1"/>
      <c r="IZ1657" s="1"/>
      <c r="JC1657" s="1"/>
      <c r="JF1657" s="1"/>
      <c r="JG1657" s="1"/>
      <c r="JH1657" s="1"/>
      <c r="JJ1657" s="1"/>
      <c r="JN1657" s="1"/>
      <c r="JP1657" s="1"/>
      <c r="JQ1657" s="1"/>
      <c r="JT1657" s="1"/>
      <c r="JW1657" s="1"/>
      <c r="KS1657" s="1"/>
      <c r="KT1657" s="1"/>
      <c r="KU1657" s="1"/>
      <c r="KV1657" s="1"/>
      <c r="KW1657" s="1"/>
      <c r="KY1657" s="1"/>
      <c r="KZ1657" s="1"/>
      <c r="LA1657" s="1"/>
      <c r="LB1657" s="1"/>
      <c r="LC1657" s="1"/>
      <c r="LD1657" s="1"/>
      <c r="LO1657" s="1"/>
      <c r="LP1657" s="1"/>
      <c r="LZ1657" s="1"/>
      <c r="MA1657" s="1"/>
    </row>
    <row r="1658" spans="4:339" ht="13" x14ac:dyDescent="0.15">
      <c r="D1658" s="12"/>
      <c r="E1658" s="12"/>
      <c r="I1658" s="12"/>
      <c r="J1658" s="13"/>
      <c r="BF1658" s="1"/>
      <c r="BG1658" s="1"/>
      <c r="BH1658" s="1"/>
      <c r="BI1658" s="1"/>
      <c r="BJ1658" s="1"/>
      <c r="BK1658" s="1"/>
      <c r="BL1658" s="1"/>
      <c r="BM1658" s="1"/>
      <c r="BN1658" s="1"/>
      <c r="BO1658" s="1"/>
      <c r="BP1658" s="1"/>
      <c r="BQ1658" s="1"/>
      <c r="BR1658" s="1"/>
      <c r="CC1658" s="1"/>
      <c r="CD1658" s="1"/>
      <c r="CE1658" s="1"/>
      <c r="CF1658" s="1"/>
      <c r="CG1658" s="1"/>
      <c r="CM1658" s="4"/>
      <c r="CP1658" s="1"/>
      <c r="CQ1658" s="1"/>
      <c r="CR1658" s="1"/>
      <c r="CS1658" s="1"/>
      <c r="CT1658" s="1"/>
      <c r="CU1658" s="1"/>
      <c r="CV1658" s="1"/>
      <c r="CW1658" s="1"/>
      <c r="CX1658" s="1"/>
      <c r="CY1658" s="1"/>
      <c r="CZ1658" s="1"/>
      <c r="DA1658" s="1"/>
      <c r="DB1658" s="1"/>
      <c r="DC1658" s="1"/>
      <c r="DD1658" s="1"/>
      <c r="DE1658" s="1"/>
      <c r="DF1658" s="1"/>
      <c r="DG1658" s="1"/>
      <c r="DH1658" s="1"/>
      <c r="DI1658" s="1"/>
      <c r="DJ1658" s="1"/>
      <c r="DK1658" s="1"/>
      <c r="ED1658" s="1"/>
      <c r="EK1658" s="1"/>
      <c r="EL1658" s="1"/>
      <c r="EM1658" s="1"/>
      <c r="EN1658" s="1"/>
      <c r="EQ1658" s="1"/>
      <c r="ER1658" s="1"/>
      <c r="ES1658" s="1"/>
      <c r="EV1658" s="1"/>
      <c r="EW1658" s="1"/>
      <c r="EZ1658" s="1"/>
      <c r="GO1658" s="1"/>
      <c r="GP1658" s="1"/>
      <c r="HY1658" s="1"/>
      <c r="IE1658" s="1"/>
      <c r="IR1658" s="1"/>
      <c r="IS1658" s="1"/>
      <c r="IY1658" s="1"/>
      <c r="IZ1658" s="1"/>
      <c r="JC1658" s="1"/>
      <c r="JF1658" s="1"/>
      <c r="JG1658" s="1"/>
      <c r="JH1658" s="1"/>
      <c r="JJ1658" s="1"/>
      <c r="JN1658" s="1"/>
      <c r="JP1658" s="1"/>
      <c r="JQ1658" s="1"/>
      <c r="JT1658" s="1"/>
      <c r="JW1658" s="1"/>
      <c r="KS1658" s="1"/>
      <c r="KT1658" s="1"/>
      <c r="KU1658" s="1"/>
      <c r="KV1658" s="1"/>
      <c r="KW1658" s="1"/>
      <c r="KY1658" s="1"/>
      <c r="KZ1658" s="1"/>
      <c r="LA1658" s="1"/>
      <c r="LB1658" s="1"/>
      <c r="LC1658" s="1"/>
      <c r="LD1658" s="1"/>
      <c r="LO1658" s="1"/>
      <c r="LP1658" s="1"/>
      <c r="LZ1658" s="1"/>
      <c r="MA1658" s="1"/>
    </row>
    <row r="1659" spans="4:339" ht="13" x14ac:dyDescent="0.15">
      <c r="D1659" s="12"/>
      <c r="E1659" s="12"/>
      <c r="I1659" s="12"/>
      <c r="J1659" s="13"/>
      <c r="BF1659" s="1"/>
      <c r="BG1659" s="1"/>
      <c r="BH1659" s="1"/>
      <c r="BI1659" s="1"/>
      <c r="BJ1659" s="1"/>
      <c r="BK1659" s="1"/>
      <c r="BL1659" s="1"/>
      <c r="BM1659" s="1"/>
      <c r="BN1659" s="1"/>
      <c r="BO1659" s="1"/>
      <c r="BP1659" s="1"/>
      <c r="BQ1659" s="1"/>
      <c r="BR1659" s="1"/>
      <c r="CC1659" s="1"/>
      <c r="CD1659" s="1"/>
      <c r="CE1659" s="1"/>
      <c r="CF1659" s="1"/>
      <c r="CG1659" s="1"/>
      <c r="CM1659" s="4"/>
      <c r="CP1659" s="1"/>
      <c r="CQ1659" s="1"/>
      <c r="CR1659" s="1"/>
      <c r="CS1659" s="1"/>
      <c r="CT1659" s="1"/>
      <c r="CU1659" s="1"/>
      <c r="CV1659" s="1"/>
      <c r="CW1659" s="1"/>
      <c r="CX1659" s="1"/>
      <c r="CY1659" s="1"/>
      <c r="CZ1659" s="1"/>
      <c r="DA1659" s="1"/>
      <c r="DB1659" s="1"/>
      <c r="DC1659" s="1"/>
      <c r="DD1659" s="1"/>
      <c r="DE1659" s="1"/>
      <c r="DF1659" s="1"/>
      <c r="DG1659" s="1"/>
      <c r="DH1659" s="1"/>
      <c r="DI1659" s="1"/>
      <c r="DJ1659" s="1"/>
      <c r="DK1659" s="1"/>
      <c r="ED1659" s="1"/>
      <c r="EK1659" s="1"/>
      <c r="EL1659" s="1"/>
      <c r="EM1659" s="1"/>
      <c r="EN1659" s="1"/>
      <c r="EQ1659" s="1"/>
      <c r="ER1659" s="1"/>
      <c r="ES1659" s="1"/>
      <c r="EV1659" s="1"/>
      <c r="EW1659" s="1"/>
      <c r="EZ1659" s="1"/>
      <c r="GO1659" s="1"/>
      <c r="GP1659" s="1"/>
      <c r="HY1659" s="1"/>
      <c r="IE1659" s="1"/>
      <c r="IR1659" s="1"/>
      <c r="IS1659" s="1"/>
      <c r="IY1659" s="1"/>
      <c r="IZ1659" s="1"/>
      <c r="JC1659" s="1"/>
      <c r="JF1659" s="1"/>
      <c r="JG1659" s="1"/>
      <c r="JH1659" s="1"/>
      <c r="JJ1659" s="1"/>
      <c r="JN1659" s="1"/>
      <c r="JP1659" s="1"/>
      <c r="JQ1659" s="1"/>
      <c r="JT1659" s="1"/>
      <c r="JW1659" s="1"/>
      <c r="KS1659" s="1"/>
      <c r="KT1659" s="1"/>
      <c r="KU1659" s="1"/>
      <c r="KV1659" s="1"/>
      <c r="KW1659" s="1"/>
      <c r="KY1659" s="1"/>
      <c r="KZ1659" s="1"/>
      <c r="LA1659" s="1"/>
      <c r="LB1659" s="1"/>
      <c r="LC1659" s="1"/>
      <c r="LD1659" s="1"/>
      <c r="LO1659" s="1"/>
      <c r="LP1659" s="1"/>
      <c r="LZ1659" s="1"/>
      <c r="MA1659" s="1"/>
    </row>
    <row r="1660" spans="4:339" ht="13" x14ac:dyDescent="0.15">
      <c r="D1660" s="12"/>
      <c r="E1660" s="12"/>
      <c r="I1660" s="12"/>
      <c r="J1660" s="13"/>
      <c r="BF1660" s="1"/>
      <c r="BG1660" s="1"/>
      <c r="BH1660" s="1"/>
      <c r="BI1660" s="1"/>
      <c r="BJ1660" s="1"/>
      <c r="BK1660" s="1"/>
      <c r="BL1660" s="1"/>
      <c r="BM1660" s="1"/>
      <c r="BN1660" s="1"/>
      <c r="BO1660" s="1"/>
      <c r="BP1660" s="1"/>
      <c r="BQ1660" s="1"/>
      <c r="BR1660" s="1"/>
      <c r="CC1660" s="1"/>
      <c r="CD1660" s="1"/>
      <c r="CE1660" s="1"/>
      <c r="CF1660" s="1"/>
      <c r="CG1660" s="1"/>
      <c r="CM1660" s="4"/>
      <c r="CP1660" s="1"/>
      <c r="CQ1660" s="1"/>
      <c r="CR1660" s="1"/>
      <c r="CS1660" s="1"/>
      <c r="CT1660" s="1"/>
      <c r="CU1660" s="1"/>
      <c r="CV1660" s="1"/>
      <c r="CW1660" s="1"/>
      <c r="CX1660" s="1"/>
      <c r="CY1660" s="1"/>
      <c r="CZ1660" s="1"/>
      <c r="DA1660" s="1"/>
      <c r="DB1660" s="1"/>
      <c r="DC1660" s="1"/>
      <c r="DD1660" s="1"/>
      <c r="DE1660" s="1"/>
      <c r="DF1660" s="1"/>
      <c r="DG1660" s="1"/>
      <c r="DH1660" s="1"/>
      <c r="DI1660" s="1"/>
      <c r="DJ1660" s="1"/>
      <c r="DK1660" s="1"/>
      <c r="ED1660" s="1"/>
      <c r="EK1660" s="1"/>
      <c r="EL1660" s="1"/>
      <c r="EM1660" s="1"/>
      <c r="EN1660" s="1"/>
      <c r="EQ1660" s="1"/>
      <c r="ER1660" s="1"/>
      <c r="ES1660" s="1"/>
      <c r="EV1660" s="1"/>
      <c r="EW1660" s="1"/>
      <c r="EZ1660" s="1"/>
      <c r="GO1660" s="1"/>
      <c r="GP1660" s="1"/>
      <c r="HY1660" s="1"/>
      <c r="IE1660" s="1"/>
      <c r="IR1660" s="1"/>
      <c r="IS1660" s="1"/>
      <c r="IY1660" s="1"/>
      <c r="IZ1660" s="1"/>
      <c r="JC1660" s="1"/>
      <c r="JF1660" s="1"/>
      <c r="JG1660" s="1"/>
      <c r="JH1660" s="1"/>
      <c r="JJ1660" s="1"/>
      <c r="JN1660" s="1"/>
      <c r="JP1660" s="1"/>
      <c r="JQ1660" s="1"/>
      <c r="JT1660" s="1"/>
      <c r="JW1660" s="1"/>
      <c r="KS1660" s="1"/>
      <c r="KT1660" s="1"/>
      <c r="KU1660" s="1"/>
      <c r="KV1660" s="1"/>
      <c r="KW1660" s="1"/>
      <c r="KY1660" s="1"/>
      <c r="KZ1660" s="1"/>
      <c r="LA1660" s="1"/>
      <c r="LB1660" s="1"/>
      <c r="LC1660" s="1"/>
      <c r="LD1660" s="1"/>
      <c r="LO1660" s="1"/>
      <c r="LP1660" s="1"/>
      <c r="LZ1660" s="1"/>
      <c r="MA1660" s="1"/>
    </row>
    <row r="1661" spans="4:339" ht="13" x14ac:dyDescent="0.15">
      <c r="D1661" s="12"/>
      <c r="E1661" s="12"/>
      <c r="I1661" s="12"/>
      <c r="J1661" s="13"/>
      <c r="BF1661" s="1"/>
      <c r="BG1661" s="1"/>
      <c r="BH1661" s="1"/>
      <c r="BI1661" s="1"/>
      <c r="BJ1661" s="1"/>
      <c r="BK1661" s="1"/>
      <c r="BL1661" s="1"/>
      <c r="BM1661" s="1"/>
      <c r="BN1661" s="1"/>
      <c r="BO1661" s="1"/>
      <c r="BP1661" s="1"/>
      <c r="BQ1661" s="1"/>
      <c r="BR1661" s="1"/>
      <c r="CD1661" s="1"/>
      <c r="CE1661" s="1"/>
      <c r="CF1661" s="1"/>
      <c r="CG1661" s="1"/>
      <c r="CM1661" s="2"/>
      <c r="CP1661" s="1"/>
      <c r="CQ1661" s="1"/>
      <c r="CX1661" s="1"/>
      <c r="CY1661" s="1"/>
      <c r="CZ1661" s="1"/>
      <c r="DA1661" s="1"/>
      <c r="DB1661" s="1"/>
      <c r="DC1661" s="1"/>
      <c r="DD1661" s="1"/>
      <c r="DE1661" s="1"/>
      <c r="DF1661" s="1"/>
      <c r="DG1661" s="1"/>
      <c r="DH1661" s="1"/>
      <c r="DI1661" s="1"/>
      <c r="DJ1661" s="1"/>
      <c r="DK1661" s="1"/>
      <c r="ED1661" s="1"/>
      <c r="EK1661" s="1"/>
      <c r="EL1661" s="1"/>
      <c r="EM1661" s="1"/>
      <c r="EN1661" s="1"/>
      <c r="EQ1661" s="1"/>
      <c r="ER1661" s="1"/>
      <c r="ES1661" s="1"/>
      <c r="EV1661" s="1"/>
      <c r="EW1661" s="1"/>
      <c r="EZ1661" s="1"/>
      <c r="GP1661" s="1"/>
      <c r="HY1661" s="1"/>
      <c r="IE1661" s="1"/>
      <c r="IR1661" s="1"/>
      <c r="IS1661" s="1"/>
      <c r="IZ1661" s="1"/>
      <c r="JJ1661" s="1"/>
      <c r="JN1661" s="1"/>
      <c r="JP1661" s="1"/>
      <c r="JQ1661" s="1"/>
      <c r="KV1661" s="1"/>
      <c r="KY1661" s="1"/>
      <c r="KZ1661" s="1"/>
      <c r="LA1661" s="1"/>
      <c r="LB1661" s="1"/>
      <c r="LC1661" s="1"/>
      <c r="LD1661" s="1"/>
      <c r="LO1661" s="1"/>
      <c r="LP1661" s="1"/>
      <c r="LZ1661" s="1"/>
      <c r="MA1661" s="1"/>
    </row>
    <row r="1662" spans="4:339" ht="13" x14ac:dyDescent="0.15">
      <c r="D1662" s="12"/>
      <c r="E1662" s="12"/>
      <c r="I1662" s="12"/>
      <c r="J1662" s="13"/>
      <c r="BF1662" s="1"/>
      <c r="BG1662" s="1"/>
      <c r="BH1662" s="1"/>
      <c r="BI1662" s="1"/>
      <c r="BJ1662" s="1"/>
      <c r="BK1662" s="1"/>
      <c r="BL1662" s="1"/>
      <c r="BM1662" s="1"/>
      <c r="BN1662" s="1"/>
      <c r="BO1662" s="1"/>
      <c r="BP1662" s="1"/>
      <c r="BQ1662" s="1"/>
      <c r="BR1662" s="1"/>
      <c r="CD1662" s="1"/>
      <c r="CE1662" s="1"/>
      <c r="CF1662" s="1"/>
      <c r="CG1662" s="1"/>
      <c r="CM1662" s="2"/>
      <c r="CP1662" s="1"/>
      <c r="CQ1662" s="1"/>
      <c r="CX1662" s="1"/>
      <c r="CY1662" s="1"/>
      <c r="CZ1662" s="1"/>
      <c r="DA1662" s="1"/>
      <c r="DB1662" s="1"/>
      <c r="DC1662" s="1"/>
      <c r="DD1662" s="1"/>
      <c r="DE1662" s="1"/>
      <c r="DF1662" s="1"/>
      <c r="DG1662" s="1"/>
      <c r="DH1662" s="1"/>
      <c r="DI1662" s="1"/>
      <c r="DJ1662" s="1"/>
      <c r="DK1662" s="1"/>
      <c r="ED1662" s="1"/>
      <c r="EK1662" s="1"/>
      <c r="EL1662" s="1"/>
      <c r="EM1662" s="1"/>
      <c r="EN1662" s="1"/>
      <c r="EQ1662" s="1"/>
      <c r="ER1662" s="1"/>
      <c r="ES1662" s="1"/>
      <c r="EV1662" s="1"/>
      <c r="EW1662" s="1"/>
      <c r="EZ1662" s="1"/>
      <c r="GP1662" s="1"/>
      <c r="HY1662" s="1"/>
      <c r="IE1662" s="1"/>
      <c r="IR1662" s="1"/>
      <c r="IS1662" s="1"/>
      <c r="IZ1662" s="1"/>
      <c r="JJ1662" s="1"/>
      <c r="JN1662" s="1"/>
      <c r="JP1662" s="1"/>
      <c r="JQ1662" s="1"/>
      <c r="KV1662" s="1"/>
      <c r="KY1662" s="1"/>
      <c r="KZ1662" s="1"/>
      <c r="LA1662" s="1"/>
      <c r="LB1662" s="1"/>
      <c r="LC1662" s="1"/>
      <c r="LD1662" s="1"/>
      <c r="LO1662" s="1"/>
      <c r="LP1662" s="1"/>
      <c r="LZ1662" s="1"/>
      <c r="MA1662" s="1"/>
    </row>
    <row r="1663" spans="4:339" ht="13" x14ac:dyDescent="0.15">
      <c r="D1663" s="12"/>
      <c r="E1663" s="12"/>
      <c r="I1663" s="12"/>
      <c r="J1663" s="13"/>
      <c r="BF1663" s="1"/>
      <c r="BG1663" s="1"/>
      <c r="BH1663" s="1"/>
      <c r="BI1663" s="1"/>
      <c r="BJ1663" s="1"/>
      <c r="BK1663" s="1"/>
      <c r="BL1663" s="1"/>
      <c r="BM1663" s="1"/>
      <c r="BN1663" s="1"/>
      <c r="BO1663" s="1"/>
      <c r="BP1663" s="1"/>
      <c r="BQ1663" s="1"/>
      <c r="BR1663" s="1"/>
      <c r="CD1663" s="1"/>
      <c r="CE1663" s="1"/>
      <c r="CF1663" s="1"/>
      <c r="CG1663" s="1"/>
      <c r="CM1663" s="2"/>
      <c r="CP1663" s="1"/>
      <c r="CQ1663" s="1"/>
      <c r="CX1663" s="1"/>
      <c r="CY1663" s="1"/>
      <c r="CZ1663" s="1"/>
      <c r="DA1663" s="1"/>
      <c r="DB1663" s="1"/>
      <c r="DC1663" s="1"/>
      <c r="DD1663" s="1"/>
      <c r="DE1663" s="1"/>
      <c r="DF1663" s="1"/>
      <c r="DG1663" s="1"/>
      <c r="DH1663" s="1"/>
      <c r="DI1663" s="1"/>
      <c r="DJ1663" s="1"/>
      <c r="DK1663" s="1"/>
      <c r="ED1663" s="1"/>
      <c r="EK1663" s="1"/>
      <c r="EL1663" s="1"/>
      <c r="EM1663" s="1"/>
      <c r="EN1663" s="1"/>
      <c r="EQ1663" s="1"/>
      <c r="ER1663" s="1"/>
      <c r="ES1663" s="1"/>
      <c r="EV1663" s="1"/>
      <c r="EW1663" s="1"/>
      <c r="EZ1663" s="1"/>
      <c r="GP1663" s="1"/>
      <c r="HY1663" s="1"/>
      <c r="IE1663" s="1"/>
      <c r="IR1663" s="1"/>
      <c r="IS1663" s="1"/>
      <c r="IZ1663" s="1"/>
      <c r="JJ1663" s="1"/>
      <c r="JN1663" s="1"/>
      <c r="JP1663" s="1"/>
      <c r="JQ1663" s="1"/>
      <c r="KV1663" s="1"/>
      <c r="KY1663" s="1"/>
      <c r="KZ1663" s="1"/>
      <c r="LA1663" s="1"/>
      <c r="LB1663" s="1"/>
      <c r="LC1663" s="1"/>
      <c r="LD1663" s="1"/>
      <c r="LO1663" s="1"/>
      <c r="LP1663" s="1"/>
      <c r="LZ1663" s="1"/>
      <c r="MA1663" s="1"/>
    </row>
    <row r="1664" spans="4:339" ht="13" x14ac:dyDescent="0.15">
      <c r="D1664" s="12"/>
      <c r="E1664" s="12"/>
      <c r="I1664" s="12"/>
      <c r="J1664" s="13"/>
      <c r="BF1664" s="1"/>
      <c r="BG1664" s="1"/>
      <c r="BH1664" s="1"/>
      <c r="BI1664" s="1"/>
      <c r="BJ1664" s="1"/>
      <c r="BK1664" s="1"/>
      <c r="BL1664" s="1"/>
      <c r="BM1664" s="1"/>
      <c r="BN1664" s="1"/>
      <c r="BO1664" s="1"/>
      <c r="BP1664" s="1"/>
      <c r="BQ1664" s="1"/>
      <c r="BR1664" s="1"/>
      <c r="CD1664" s="1"/>
      <c r="CE1664" s="1"/>
      <c r="CF1664" s="1"/>
      <c r="CG1664" s="1"/>
      <c r="CM1664" s="2"/>
      <c r="CP1664" s="1"/>
      <c r="CQ1664" s="1"/>
      <c r="CX1664" s="1"/>
      <c r="CY1664" s="1"/>
      <c r="CZ1664" s="1"/>
      <c r="DA1664" s="1"/>
      <c r="DB1664" s="1"/>
      <c r="DC1664" s="1"/>
      <c r="DD1664" s="1"/>
      <c r="DE1664" s="1"/>
      <c r="DF1664" s="1"/>
      <c r="DG1664" s="1"/>
      <c r="DH1664" s="1"/>
      <c r="DI1664" s="1"/>
      <c r="DJ1664" s="1"/>
      <c r="DK1664" s="1"/>
      <c r="ED1664" s="1"/>
      <c r="EK1664" s="1"/>
      <c r="EL1664" s="1"/>
      <c r="EM1664" s="1"/>
      <c r="EN1664" s="1"/>
      <c r="EQ1664" s="1"/>
      <c r="ER1664" s="1"/>
      <c r="ES1664" s="1"/>
      <c r="EV1664" s="1"/>
      <c r="EW1664" s="1"/>
      <c r="EZ1664" s="1"/>
      <c r="GP1664" s="1"/>
      <c r="HY1664" s="1"/>
      <c r="IE1664" s="1"/>
      <c r="IR1664" s="1"/>
      <c r="IS1664" s="1"/>
      <c r="IZ1664" s="1"/>
      <c r="JJ1664" s="1"/>
      <c r="JN1664" s="1"/>
      <c r="JP1664" s="1"/>
      <c r="JQ1664" s="1"/>
      <c r="KV1664" s="1"/>
      <c r="KY1664" s="1"/>
      <c r="KZ1664" s="1"/>
      <c r="LA1664" s="1"/>
      <c r="LB1664" s="1"/>
      <c r="LC1664" s="1"/>
      <c r="LD1664" s="1"/>
      <c r="LO1664" s="1"/>
      <c r="LP1664" s="1"/>
      <c r="LZ1664" s="1"/>
      <c r="MA1664" s="1"/>
    </row>
    <row r="1665" spans="4:339" ht="13" x14ac:dyDescent="0.15">
      <c r="D1665" s="12"/>
      <c r="E1665" s="12"/>
      <c r="I1665" s="12"/>
      <c r="J1665" s="13"/>
      <c r="BF1665" s="1"/>
      <c r="BG1665" s="1"/>
      <c r="BH1665" s="1"/>
      <c r="BI1665" s="1"/>
      <c r="BJ1665" s="1"/>
      <c r="BK1665" s="1"/>
      <c r="BL1665" s="1"/>
      <c r="BM1665" s="1"/>
      <c r="BN1665" s="1"/>
      <c r="BO1665" s="1"/>
      <c r="BP1665" s="1"/>
      <c r="BQ1665" s="1"/>
      <c r="BR1665" s="1"/>
      <c r="CD1665" s="1"/>
      <c r="CE1665" s="1"/>
      <c r="CF1665" s="1"/>
      <c r="CG1665" s="1"/>
      <c r="CM1665" s="2"/>
      <c r="CP1665" s="1"/>
      <c r="CQ1665" s="1"/>
      <c r="CX1665" s="1"/>
      <c r="CY1665" s="1"/>
      <c r="CZ1665" s="1"/>
      <c r="DA1665" s="1"/>
      <c r="DB1665" s="1"/>
      <c r="DC1665" s="1"/>
      <c r="DD1665" s="1"/>
      <c r="DE1665" s="1"/>
      <c r="DF1665" s="1"/>
      <c r="DG1665" s="1"/>
      <c r="DH1665" s="1"/>
      <c r="DI1665" s="1"/>
      <c r="DJ1665" s="1"/>
      <c r="DK1665" s="1"/>
      <c r="ED1665" s="1"/>
      <c r="EK1665" s="1"/>
      <c r="EL1665" s="1"/>
      <c r="EM1665" s="1"/>
      <c r="EN1665" s="1"/>
      <c r="EQ1665" s="1"/>
      <c r="ER1665" s="1"/>
      <c r="ES1665" s="1"/>
      <c r="EV1665" s="1"/>
      <c r="EW1665" s="1"/>
      <c r="EZ1665" s="1"/>
      <c r="GP1665" s="1"/>
      <c r="HY1665" s="1"/>
      <c r="IE1665" s="1"/>
      <c r="IR1665" s="1"/>
      <c r="IS1665" s="1"/>
      <c r="IZ1665" s="1"/>
      <c r="JJ1665" s="1"/>
      <c r="JN1665" s="1"/>
      <c r="JP1665" s="1"/>
      <c r="JQ1665" s="1"/>
      <c r="KV1665" s="1"/>
      <c r="KY1665" s="1"/>
      <c r="KZ1665" s="1"/>
      <c r="LA1665" s="1"/>
      <c r="LB1665" s="1"/>
      <c r="LC1665" s="1"/>
      <c r="LD1665" s="1"/>
      <c r="LO1665" s="1"/>
      <c r="LP1665" s="1"/>
      <c r="LZ1665" s="1"/>
      <c r="MA1665" s="1"/>
    </row>
    <row r="1666" spans="4:339" ht="13" x14ac:dyDescent="0.15">
      <c r="D1666" s="12"/>
      <c r="E1666" s="12"/>
      <c r="I1666" s="12"/>
      <c r="J1666" s="13"/>
      <c r="BF1666" s="1"/>
      <c r="BG1666" s="1"/>
      <c r="BH1666" s="1"/>
      <c r="BI1666" s="1"/>
      <c r="BJ1666" s="1"/>
      <c r="BK1666" s="1"/>
      <c r="BL1666" s="1"/>
      <c r="BM1666" s="1"/>
      <c r="BN1666" s="1"/>
      <c r="BO1666" s="1"/>
      <c r="BP1666" s="1"/>
      <c r="BQ1666" s="1"/>
      <c r="BR1666" s="1"/>
      <c r="CD1666" s="1"/>
      <c r="CE1666" s="1"/>
      <c r="CF1666" s="1"/>
      <c r="CG1666" s="1"/>
      <c r="CM1666" s="2"/>
      <c r="CP1666" s="1"/>
      <c r="CQ1666" s="1"/>
      <c r="CX1666" s="1"/>
      <c r="CY1666" s="1"/>
      <c r="CZ1666" s="1"/>
      <c r="DA1666" s="1"/>
      <c r="DB1666" s="1"/>
      <c r="DC1666" s="1"/>
      <c r="DD1666" s="1"/>
      <c r="DE1666" s="1"/>
      <c r="DF1666" s="1"/>
      <c r="DG1666" s="1"/>
      <c r="DH1666" s="1"/>
      <c r="DI1666" s="1"/>
      <c r="DJ1666" s="1"/>
      <c r="DK1666" s="1"/>
      <c r="ED1666" s="1"/>
      <c r="EK1666" s="1"/>
      <c r="EL1666" s="1"/>
      <c r="EM1666" s="1"/>
      <c r="EN1666" s="1"/>
      <c r="EQ1666" s="1"/>
      <c r="ER1666" s="1"/>
      <c r="ES1666" s="1"/>
      <c r="EV1666" s="1"/>
      <c r="EW1666" s="1"/>
      <c r="EZ1666" s="1"/>
      <c r="GP1666" s="1"/>
      <c r="HY1666" s="1"/>
      <c r="IE1666" s="1"/>
      <c r="IR1666" s="1"/>
      <c r="IS1666" s="1"/>
      <c r="IZ1666" s="1"/>
      <c r="JJ1666" s="1"/>
      <c r="JN1666" s="1"/>
      <c r="JP1666" s="1"/>
      <c r="JQ1666" s="1"/>
      <c r="KV1666" s="1"/>
      <c r="KY1666" s="1"/>
      <c r="KZ1666" s="1"/>
      <c r="LA1666" s="1"/>
      <c r="LB1666" s="1"/>
      <c r="LC1666" s="1"/>
      <c r="LD1666" s="1"/>
      <c r="LO1666" s="1"/>
      <c r="LP1666" s="1"/>
      <c r="LZ1666" s="1"/>
      <c r="MA1666" s="1"/>
    </row>
    <row r="1667" spans="4:339" ht="13" x14ac:dyDescent="0.15">
      <c r="D1667" s="12"/>
      <c r="E1667" s="12"/>
      <c r="I1667" s="12"/>
      <c r="J1667" s="13"/>
      <c r="BF1667" s="1"/>
      <c r="BG1667" s="1"/>
      <c r="BH1667" s="1"/>
      <c r="BI1667" s="1"/>
      <c r="BJ1667" s="1"/>
      <c r="BK1667" s="1"/>
      <c r="BL1667" s="1"/>
      <c r="BM1667" s="1"/>
      <c r="BN1667" s="1"/>
      <c r="BO1667" s="1"/>
      <c r="BP1667" s="1"/>
      <c r="BQ1667" s="1"/>
      <c r="BR1667" s="1"/>
      <c r="CD1667" s="1"/>
      <c r="CE1667" s="1"/>
      <c r="CF1667" s="1"/>
      <c r="CG1667" s="1"/>
      <c r="CM1667" s="2"/>
      <c r="CP1667" s="1"/>
      <c r="CQ1667" s="1"/>
      <c r="CX1667" s="1"/>
      <c r="CY1667" s="1"/>
      <c r="CZ1667" s="1"/>
      <c r="DA1667" s="1"/>
      <c r="DB1667" s="1"/>
      <c r="DC1667" s="1"/>
      <c r="DD1667" s="1"/>
      <c r="DE1667" s="1"/>
      <c r="DF1667" s="1"/>
      <c r="DG1667" s="1"/>
      <c r="DH1667" s="1"/>
      <c r="DI1667" s="1"/>
      <c r="DJ1667" s="1"/>
      <c r="DK1667" s="1"/>
      <c r="ED1667" s="1"/>
      <c r="EK1667" s="1"/>
      <c r="EL1667" s="1"/>
      <c r="EM1667" s="1"/>
      <c r="EN1667" s="1"/>
      <c r="EQ1667" s="1"/>
      <c r="ER1667" s="1"/>
      <c r="ES1667" s="1"/>
      <c r="EV1667" s="1"/>
      <c r="EW1667" s="1"/>
      <c r="EZ1667" s="1"/>
      <c r="GP1667" s="1"/>
      <c r="HY1667" s="1"/>
      <c r="IE1667" s="1"/>
      <c r="IR1667" s="1"/>
      <c r="IS1667" s="1"/>
      <c r="IZ1667" s="1"/>
      <c r="JJ1667" s="1"/>
      <c r="JN1667" s="1"/>
      <c r="JP1667" s="1"/>
      <c r="JQ1667" s="1"/>
      <c r="KV1667" s="1"/>
      <c r="KY1667" s="1"/>
      <c r="KZ1667" s="1"/>
      <c r="LA1667" s="1"/>
      <c r="LB1667" s="1"/>
      <c r="LC1667" s="1"/>
      <c r="LD1667" s="1"/>
      <c r="LO1667" s="1"/>
      <c r="LP1667" s="1"/>
      <c r="LZ1667" s="1"/>
      <c r="MA1667" s="1"/>
    </row>
    <row r="1668" spans="4:339" ht="13" x14ac:dyDescent="0.15">
      <c r="D1668" s="12"/>
      <c r="E1668" s="12"/>
      <c r="I1668" s="12"/>
      <c r="J1668" s="13"/>
      <c r="BF1668" s="1"/>
      <c r="BG1668" s="1"/>
      <c r="BH1668" s="1"/>
      <c r="BI1668" s="1"/>
      <c r="BJ1668" s="1"/>
      <c r="BK1668" s="1"/>
      <c r="BL1668" s="1"/>
      <c r="BM1668" s="1"/>
      <c r="BN1668" s="1"/>
      <c r="BO1668" s="1"/>
      <c r="BP1668" s="1"/>
      <c r="BQ1668" s="1"/>
      <c r="BR1668" s="1"/>
      <c r="CD1668" s="1"/>
      <c r="CE1668" s="1"/>
      <c r="CF1668" s="1"/>
      <c r="CG1668" s="1"/>
      <c r="CM1668" s="2"/>
      <c r="CP1668" s="1"/>
      <c r="CQ1668" s="1"/>
      <c r="CX1668" s="1"/>
      <c r="CY1668" s="1"/>
      <c r="CZ1668" s="1"/>
      <c r="DA1668" s="1"/>
      <c r="DB1668" s="1"/>
      <c r="DC1668" s="1"/>
      <c r="DD1668" s="1"/>
      <c r="DE1668" s="1"/>
      <c r="DF1668" s="1"/>
      <c r="DG1668" s="1"/>
      <c r="DH1668" s="1"/>
      <c r="DI1668" s="1"/>
      <c r="DJ1668" s="1"/>
      <c r="DK1668" s="1"/>
      <c r="ED1668" s="1"/>
      <c r="EK1668" s="1"/>
      <c r="EL1668" s="1"/>
      <c r="EM1668" s="1"/>
      <c r="EN1668" s="1"/>
      <c r="EQ1668" s="1"/>
      <c r="ER1668" s="1"/>
      <c r="ES1668" s="1"/>
      <c r="EV1668" s="1"/>
      <c r="EW1668" s="1"/>
      <c r="EZ1668" s="1"/>
      <c r="GP1668" s="1"/>
      <c r="HY1668" s="1"/>
      <c r="IE1668" s="1"/>
      <c r="IR1668" s="1"/>
      <c r="IS1668" s="1"/>
      <c r="IZ1668" s="1"/>
      <c r="JJ1668" s="1"/>
      <c r="JN1668" s="1"/>
      <c r="JP1668" s="1"/>
      <c r="JQ1668" s="1"/>
      <c r="KV1668" s="1"/>
      <c r="KY1668" s="1"/>
      <c r="KZ1668" s="1"/>
      <c r="LA1668" s="1"/>
      <c r="LB1668" s="1"/>
      <c r="LC1668" s="1"/>
      <c r="LD1668" s="1"/>
      <c r="LO1668" s="1"/>
      <c r="LP1668" s="1"/>
      <c r="LZ1668" s="1"/>
      <c r="MA1668" s="1"/>
    </row>
    <row r="1669" spans="4:339" ht="13" x14ac:dyDescent="0.15">
      <c r="D1669" s="12"/>
      <c r="E1669" s="12"/>
      <c r="I1669" s="12"/>
      <c r="J1669" s="13"/>
      <c r="BF1669" s="1"/>
      <c r="BG1669" s="1"/>
      <c r="BH1669" s="1"/>
      <c r="BI1669" s="1"/>
      <c r="BJ1669" s="1"/>
      <c r="BK1669" s="1"/>
      <c r="BL1669" s="1"/>
      <c r="BM1669" s="1"/>
      <c r="BN1669" s="1"/>
      <c r="BO1669" s="1"/>
      <c r="BP1669" s="1"/>
      <c r="BQ1669" s="1"/>
      <c r="BR1669" s="1"/>
      <c r="CD1669" s="1"/>
      <c r="CE1669" s="1"/>
      <c r="CF1669" s="1"/>
      <c r="CG1669" s="1"/>
      <c r="CM1669" s="2"/>
      <c r="CP1669" s="1"/>
      <c r="CQ1669" s="1"/>
      <c r="CX1669" s="1"/>
      <c r="CY1669" s="1"/>
      <c r="CZ1669" s="1"/>
      <c r="DA1669" s="1"/>
      <c r="DB1669" s="1"/>
      <c r="DC1669" s="1"/>
      <c r="DD1669" s="1"/>
      <c r="DE1669" s="1"/>
      <c r="DF1669" s="1"/>
      <c r="DG1669" s="1"/>
      <c r="DH1669" s="1"/>
      <c r="DI1669" s="1"/>
      <c r="DJ1669" s="1"/>
      <c r="DK1669" s="1"/>
      <c r="ED1669" s="1"/>
      <c r="EK1669" s="1"/>
      <c r="EL1669" s="1"/>
      <c r="EM1669" s="1"/>
      <c r="EN1669" s="1"/>
      <c r="EQ1669" s="1"/>
      <c r="ER1669" s="1"/>
      <c r="ES1669" s="1"/>
      <c r="EV1669" s="1"/>
      <c r="EW1669" s="1"/>
      <c r="EZ1669" s="1"/>
      <c r="GP1669" s="1"/>
      <c r="HY1669" s="1"/>
      <c r="IE1669" s="1"/>
      <c r="IR1669" s="1"/>
      <c r="IS1669" s="1"/>
      <c r="IZ1669" s="1"/>
      <c r="JJ1669" s="1"/>
      <c r="JN1669" s="1"/>
      <c r="JP1669" s="1"/>
      <c r="JQ1669" s="1"/>
      <c r="KV1669" s="1"/>
      <c r="KY1669" s="1"/>
      <c r="KZ1669" s="1"/>
      <c r="LA1669" s="1"/>
      <c r="LB1669" s="1"/>
      <c r="LC1669" s="1"/>
      <c r="LD1669" s="1"/>
      <c r="LO1669" s="1"/>
      <c r="LP1669" s="1"/>
      <c r="LZ1669" s="1"/>
      <c r="MA1669" s="1"/>
    </row>
    <row r="1670" spans="4:339" ht="13" x14ac:dyDescent="0.15">
      <c r="D1670" s="12"/>
      <c r="E1670" s="12"/>
      <c r="I1670" s="12"/>
      <c r="J1670" s="13"/>
      <c r="BF1670" s="1"/>
      <c r="BG1670" s="1"/>
      <c r="BH1670" s="1"/>
      <c r="BI1670" s="1"/>
      <c r="BJ1670" s="1"/>
      <c r="BK1670" s="1"/>
      <c r="BL1670" s="1"/>
      <c r="BM1670" s="1"/>
      <c r="BN1670" s="1"/>
      <c r="BO1670" s="1"/>
      <c r="BP1670" s="1"/>
      <c r="BQ1670" s="1"/>
      <c r="BR1670" s="1"/>
      <c r="CD1670" s="1"/>
      <c r="CE1670" s="1"/>
      <c r="CF1670" s="1"/>
      <c r="CG1670" s="1"/>
      <c r="CM1670" s="2"/>
      <c r="CP1670" s="1"/>
      <c r="CQ1670" s="1"/>
      <c r="CX1670" s="1"/>
      <c r="CY1670" s="1"/>
      <c r="CZ1670" s="1"/>
      <c r="DA1670" s="1"/>
      <c r="DB1670" s="1"/>
      <c r="DC1670" s="1"/>
      <c r="DD1670" s="1"/>
      <c r="DE1670" s="1"/>
      <c r="DF1670" s="1"/>
      <c r="DG1670" s="1"/>
      <c r="DH1670" s="1"/>
      <c r="DI1670" s="1"/>
      <c r="DJ1670" s="1"/>
      <c r="DK1670" s="1"/>
      <c r="ED1670" s="1"/>
      <c r="EK1670" s="1"/>
      <c r="EL1670" s="1"/>
      <c r="EM1670" s="1"/>
      <c r="EN1670" s="1"/>
      <c r="EQ1670" s="1"/>
      <c r="ER1670" s="1"/>
      <c r="ES1670" s="1"/>
      <c r="EV1670" s="1"/>
      <c r="EW1670" s="1"/>
      <c r="EZ1670" s="1"/>
      <c r="GP1670" s="1"/>
      <c r="HY1670" s="1"/>
      <c r="IE1670" s="1"/>
      <c r="IR1670" s="1"/>
      <c r="IS1670" s="1"/>
      <c r="IZ1670" s="1"/>
      <c r="JJ1670" s="1"/>
      <c r="JN1670" s="1"/>
      <c r="JP1670" s="1"/>
      <c r="JQ1670" s="1"/>
      <c r="KV1670" s="1"/>
      <c r="KY1670" s="1"/>
      <c r="KZ1670" s="1"/>
      <c r="LA1670" s="1"/>
      <c r="LB1670" s="1"/>
      <c r="LC1670" s="1"/>
      <c r="LD1670" s="1"/>
      <c r="LO1670" s="1"/>
      <c r="LP1670" s="1"/>
      <c r="LZ1670" s="1"/>
      <c r="MA1670" s="1"/>
    </row>
    <row r="1671" spans="4:339" ht="13" x14ac:dyDescent="0.15">
      <c r="D1671" s="12"/>
      <c r="E1671" s="12"/>
      <c r="I1671" s="12"/>
      <c r="J1671" s="13"/>
      <c r="BF1671" s="1"/>
      <c r="BG1671" s="1"/>
      <c r="BH1671" s="1"/>
      <c r="BI1671" s="1"/>
      <c r="BJ1671" s="1"/>
      <c r="BK1671" s="1"/>
      <c r="BL1671" s="1"/>
      <c r="BM1671" s="1"/>
      <c r="BN1671" s="1"/>
      <c r="BO1671" s="1"/>
      <c r="BP1671" s="1"/>
      <c r="BQ1671" s="1"/>
      <c r="BR1671" s="1"/>
      <c r="CD1671" s="1"/>
      <c r="CE1671" s="1"/>
      <c r="CF1671" s="1"/>
      <c r="CG1671" s="1"/>
      <c r="CM1671" s="2"/>
      <c r="CP1671" s="1"/>
      <c r="CQ1671" s="1"/>
      <c r="CX1671" s="1"/>
      <c r="CY1671" s="1"/>
      <c r="CZ1671" s="1"/>
      <c r="DA1671" s="1"/>
      <c r="DB1671" s="1"/>
      <c r="DC1671" s="1"/>
      <c r="DD1671" s="1"/>
      <c r="DE1671" s="1"/>
      <c r="DF1671" s="1"/>
      <c r="DG1671" s="1"/>
      <c r="DH1671" s="1"/>
      <c r="DI1671" s="1"/>
      <c r="DJ1671" s="1"/>
      <c r="DK1671" s="1"/>
      <c r="ED1671" s="1"/>
      <c r="EK1671" s="1"/>
      <c r="EL1671" s="1"/>
      <c r="EM1671" s="1"/>
      <c r="EN1671" s="1"/>
      <c r="EQ1671" s="1"/>
      <c r="ER1671" s="1"/>
      <c r="ES1671" s="1"/>
      <c r="EV1671" s="1"/>
      <c r="EW1671" s="1"/>
      <c r="EZ1671" s="1"/>
      <c r="GP1671" s="1"/>
      <c r="HY1671" s="1"/>
      <c r="IE1671" s="1"/>
      <c r="IR1671" s="1"/>
      <c r="IS1671" s="1"/>
      <c r="IZ1671" s="1"/>
      <c r="JJ1671" s="1"/>
      <c r="JN1671" s="1"/>
      <c r="JP1671" s="1"/>
      <c r="JQ1671" s="1"/>
      <c r="KV1671" s="1"/>
      <c r="KY1671" s="1"/>
      <c r="KZ1671" s="1"/>
      <c r="LA1671" s="1"/>
      <c r="LB1671" s="1"/>
      <c r="LC1671" s="1"/>
      <c r="LD1671" s="1"/>
      <c r="LO1671" s="1"/>
      <c r="LP1671" s="1"/>
      <c r="LZ1671" s="1"/>
      <c r="MA1671" s="1"/>
    </row>
    <row r="1672" spans="4:339" ht="13" x14ac:dyDescent="0.15">
      <c r="D1672" s="12"/>
      <c r="E1672" s="12"/>
      <c r="I1672" s="12"/>
      <c r="J1672" s="13"/>
      <c r="BF1672" s="1"/>
      <c r="BG1672" s="1"/>
      <c r="BH1672" s="1"/>
      <c r="BI1672" s="1"/>
      <c r="BJ1672" s="1"/>
      <c r="BK1672" s="1"/>
      <c r="BL1672" s="1"/>
      <c r="BM1672" s="1"/>
      <c r="BN1672" s="1"/>
      <c r="BO1672" s="1"/>
      <c r="BP1672" s="1"/>
      <c r="BQ1672" s="1"/>
      <c r="BR1672" s="1"/>
      <c r="CD1672" s="1"/>
      <c r="CE1672" s="1"/>
      <c r="CF1672" s="1"/>
      <c r="CG1672" s="1"/>
      <c r="CM1672" s="2"/>
      <c r="CP1672" s="1"/>
      <c r="CQ1672" s="1"/>
      <c r="CX1672" s="1"/>
      <c r="CY1672" s="1"/>
      <c r="CZ1672" s="1"/>
      <c r="DA1672" s="1"/>
      <c r="DB1672" s="1"/>
      <c r="DC1672" s="1"/>
      <c r="DD1672" s="1"/>
      <c r="DE1672" s="1"/>
      <c r="DF1672" s="1"/>
      <c r="DG1672" s="1"/>
      <c r="DH1672" s="1"/>
      <c r="DI1672" s="1"/>
      <c r="DJ1672" s="1"/>
      <c r="DK1672" s="1"/>
      <c r="ED1672" s="1"/>
      <c r="EK1672" s="1"/>
      <c r="EL1672" s="1"/>
      <c r="EM1672" s="1"/>
      <c r="EN1672" s="1"/>
      <c r="EQ1672" s="1"/>
      <c r="ER1672" s="1"/>
      <c r="ES1672" s="1"/>
      <c r="EV1672" s="1"/>
      <c r="EW1672" s="1"/>
      <c r="EZ1672" s="1"/>
      <c r="GP1672" s="1"/>
      <c r="HY1672" s="1"/>
      <c r="IE1672" s="1"/>
      <c r="IR1672" s="1"/>
      <c r="IS1672" s="1"/>
      <c r="IZ1672" s="1"/>
      <c r="JJ1672" s="1"/>
      <c r="JN1672" s="1"/>
      <c r="JP1672" s="1"/>
      <c r="JQ1672" s="1"/>
      <c r="KV1672" s="1"/>
      <c r="KY1672" s="1"/>
      <c r="KZ1672" s="1"/>
      <c r="LA1672" s="1"/>
      <c r="LB1672" s="1"/>
      <c r="LC1672" s="1"/>
      <c r="LD1672" s="1"/>
      <c r="LO1672" s="1"/>
      <c r="LP1672" s="1"/>
      <c r="LZ1672" s="1"/>
      <c r="MA1672" s="1"/>
    </row>
    <row r="1673" spans="4:339" ht="13" x14ac:dyDescent="0.15">
      <c r="D1673" s="12"/>
      <c r="E1673" s="12"/>
      <c r="I1673" s="12"/>
      <c r="J1673" s="13"/>
      <c r="BF1673" s="1"/>
      <c r="BG1673" s="1"/>
      <c r="BH1673" s="1"/>
      <c r="BI1673" s="1"/>
      <c r="BJ1673" s="1"/>
      <c r="BK1673" s="1"/>
      <c r="BL1673" s="1"/>
      <c r="BM1673" s="1"/>
      <c r="BN1673" s="1"/>
      <c r="BO1673" s="1"/>
      <c r="BP1673" s="1"/>
      <c r="BQ1673" s="1"/>
      <c r="BR1673" s="1"/>
      <c r="CD1673" s="1"/>
      <c r="CE1673" s="1"/>
      <c r="CF1673" s="1"/>
      <c r="CG1673" s="1"/>
      <c r="CM1673" s="2"/>
      <c r="CP1673" s="1"/>
      <c r="CQ1673" s="1"/>
      <c r="CX1673" s="1"/>
      <c r="CY1673" s="1"/>
      <c r="CZ1673" s="1"/>
      <c r="DA1673" s="1"/>
      <c r="DB1673" s="1"/>
      <c r="DC1673" s="1"/>
      <c r="DD1673" s="1"/>
      <c r="DE1673" s="1"/>
      <c r="DF1673" s="1"/>
      <c r="DG1673" s="1"/>
      <c r="DH1673" s="1"/>
      <c r="DI1673" s="1"/>
      <c r="DJ1673" s="1"/>
      <c r="DK1673" s="1"/>
      <c r="ED1673" s="1"/>
      <c r="EK1673" s="1"/>
      <c r="EL1673" s="1"/>
      <c r="EM1673" s="1"/>
      <c r="EN1673" s="1"/>
      <c r="EQ1673" s="1"/>
      <c r="ER1673" s="1"/>
      <c r="ES1673" s="1"/>
      <c r="EV1673" s="1"/>
      <c r="EW1673" s="1"/>
      <c r="EZ1673" s="1"/>
      <c r="GP1673" s="1"/>
      <c r="HY1673" s="1"/>
      <c r="IE1673" s="1"/>
      <c r="IR1673" s="1"/>
      <c r="IS1673" s="1"/>
      <c r="IZ1673" s="1"/>
      <c r="JJ1673" s="1"/>
      <c r="JN1673" s="1"/>
      <c r="JP1673" s="1"/>
      <c r="JQ1673" s="1"/>
      <c r="KV1673" s="1"/>
      <c r="KY1673" s="1"/>
      <c r="KZ1673" s="1"/>
      <c r="LA1673" s="1"/>
      <c r="LB1673" s="1"/>
      <c r="LC1673" s="1"/>
      <c r="LD1673" s="1"/>
      <c r="LO1673" s="1"/>
      <c r="LP1673" s="1"/>
      <c r="LZ1673" s="1"/>
      <c r="MA1673" s="1"/>
    </row>
    <row r="1674" spans="4:339" ht="13" x14ac:dyDescent="0.15">
      <c r="D1674" s="12"/>
      <c r="E1674" s="12"/>
      <c r="I1674" s="12"/>
      <c r="J1674" s="13"/>
      <c r="BF1674" s="1"/>
      <c r="BG1674" s="1"/>
      <c r="BH1674" s="1"/>
      <c r="BI1674" s="1"/>
      <c r="BJ1674" s="1"/>
      <c r="BK1674" s="1"/>
      <c r="BL1674" s="1"/>
      <c r="BM1674" s="1"/>
      <c r="BN1674" s="1"/>
      <c r="BO1674" s="1"/>
      <c r="BP1674" s="1"/>
      <c r="BQ1674" s="1"/>
      <c r="BR1674" s="1"/>
      <c r="CD1674" s="1"/>
      <c r="CE1674" s="1"/>
      <c r="CF1674" s="1"/>
      <c r="CG1674" s="1"/>
      <c r="CM1674" s="2"/>
      <c r="CP1674" s="1"/>
      <c r="CQ1674" s="1"/>
      <c r="CX1674" s="1"/>
      <c r="CY1674" s="1"/>
      <c r="CZ1674" s="1"/>
      <c r="DA1674" s="1"/>
      <c r="DB1674" s="1"/>
      <c r="DC1674" s="1"/>
      <c r="DD1674" s="1"/>
      <c r="DE1674" s="1"/>
      <c r="DF1674" s="1"/>
      <c r="DG1674" s="1"/>
      <c r="DH1674" s="1"/>
      <c r="DI1674" s="1"/>
      <c r="DJ1674" s="1"/>
      <c r="DK1674" s="1"/>
      <c r="ED1674" s="1"/>
      <c r="EK1674" s="1"/>
      <c r="EL1674" s="1"/>
      <c r="EM1674" s="1"/>
      <c r="EN1674" s="1"/>
      <c r="EQ1674" s="1"/>
      <c r="ER1674" s="1"/>
      <c r="ES1674" s="1"/>
      <c r="EV1674" s="1"/>
      <c r="EW1674" s="1"/>
      <c r="EZ1674" s="1"/>
      <c r="GP1674" s="1"/>
      <c r="HY1674" s="1"/>
      <c r="IE1674" s="1"/>
      <c r="IR1674" s="1"/>
      <c r="IS1674" s="1"/>
      <c r="IZ1674" s="1"/>
      <c r="JJ1674" s="1"/>
      <c r="JN1674" s="1"/>
      <c r="JP1674" s="1"/>
      <c r="JQ1674" s="1"/>
      <c r="KV1674" s="1"/>
      <c r="KY1674" s="1"/>
      <c r="KZ1674" s="1"/>
      <c r="LA1674" s="1"/>
      <c r="LB1674" s="1"/>
      <c r="LC1674" s="1"/>
      <c r="LD1674" s="1"/>
      <c r="LO1674" s="1"/>
      <c r="LP1674" s="1"/>
      <c r="LZ1674" s="1"/>
      <c r="MA1674" s="1"/>
    </row>
    <row r="1675" spans="4:339" ht="13" x14ac:dyDescent="0.15">
      <c r="D1675" s="12"/>
      <c r="E1675" s="12"/>
      <c r="I1675" s="12"/>
      <c r="J1675" s="13"/>
      <c r="BF1675" s="1"/>
      <c r="BG1675" s="1"/>
      <c r="BH1675" s="1"/>
      <c r="BI1675" s="1"/>
      <c r="BJ1675" s="1"/>
      <c r="BK1675" s="1"/>
      <c r="BL1675" s="1"/>
      <c r="BM1675" s="1"/>
      <c r="BN1675" s="1"/>
      <c r="BO1675" s="1"/>
      <c r="BP1675" s="1"/>
      <c r="BQ1675" s="1"/>
      <c r="BR1675" s="1"/>
      <c r="CD1675" s="1"/>
      <c r="CE1675" s="1"/>
      <c r="CF1675" s="1"/>
      <c r="CG1675" s="1"/>
      <c r="CM1675" s="2"/>
      <c r="CP1675" s="1"/>
      <c r="CQ1675" s="1"/>
      <c r="CX1675" s="1"/>
      <c r="CY1675" s="1"/>
      <c r="CZ1675" s="1"/>
      <c r="DA1675" s="1"/>
      <c r="DB1675" s="1"/>
      <c r="DC1675" s="1"/>
      <c r="DD1675" s="1"/>
      <c r="DE1675" s="1"/>
      <c r="DF1675" s="1"/>
      <c r="DG1675" s="1"/>
      <c r="DH1675" s="1"/>
      <c r="DI1675" s="1"/>
      <c r="DJ1675" s="1"/>
      <c r="DK1675" s="1"/>
      <c r="ED1675" s="1"/>
      <c r="EK1675" s="1"/>
      <c r="EL1675" s="1"/>
      <c r="EM1675" s="1"/>
      <c r="EN1675" s="1"/>
      <c r="EQ1675" s="1"/>
      <c r="ER1675" s="1"/>
      <c r="ES1675" s="1"/>
      <c r="EV1675" s="1"/>
      <c r="EW1675" s="1"/>
      <c r="EZ1675" s="1"/>
      <c r="GP1675" s="1"/>
      <c r="HY1675" s="1"/>
      <c r="IE1675" s="1"/>
      <c r="IR1675" s="1"/>
      <c r="IS1675" s="1"/>
      <c r="IZ1675" s="1"/>
      <c r="JJ1675" s="1"/>
      <c r="JN1675" s="1"/>
      <c r="JP1675" s="1"/>
      <c r="JQ1675" s="1"/>
      <c r="KV1675" s="1"/>
      <c r="KY1675" s="1"/>
      <c r="KZ1675" s="1"/>
      <c r="LA1675" s="1"/>
      <c r="LB1675" s="1"/>
      <c r="LC1675" s="1"/>
      <c r="LD1675" s="1"/>
      <c r="LO1675" s="1"/>
      <c r="LP1675" s="1"/>
      <c r="LZ1675" s="1"/>
      <c r="MA1675" s="1"/>
    </row>
    <row r="1676" spans="4:339" ht="13" x14ac:dyDescent="0.15">
      <c r="D1676" s="12"/>
      <c r="E1676" s="12"/>
      <c r="I1676" s="12"/>
      <c r="J1676" s="13"/>
      <c r="BF1676" s="1"/>
      <c r="BG1676" s="1"/>
      <c r="BH1676" s="1"/>
      <c r="BI1676" s="1"/>
      <c r="BJ1676" s="1"/>
      <c r="BK1676" s="1"/>
      <c r="BL1676" s="1"/>
      <c r="BM1676" s="1"/>
      <c r="BN1676" s="1"/>
      <c r="BO1676" s="1"/>
      <c r="BP1676" s="1"/>
      <c r="BQ1676" s="1"/>
      <c r="BR1676" s="1"/>
      <c r="CD1676" s="1"/>
      <c r="CE1676" s="1"/>
      <c r="CF1676" s="1"/>
      <c r="CG1676" s="1"/>
      <c r="CM1676" s="2"/>
      <c r="CP1676" s="1"/>
      <c r="CQ1676" s="1"/>
      <c r="CX1676" s="1"/>
      <c r="CY1676" s="1"/>
      <c r="CZ1676" s="1"/>
      <c r="DA1676" s="1"/>
      <c r="DB1676" s="1"/>
      <c r="DC1676" s="1"/>
      <c r="DD1676" s="1"/>
      <c r="DE1676" s="1"/>
      <c r="DF1676" s="1"/>
      <c r="DG1676" s="1"/>
      <c r="DH1676" s="1"/>
      <c r="DI1676" s="1"/>
      <c r="DJ1676" s="1"/>
      <c r="DK1676" s="1"/>
      <c r="ED1676" s="1"/>
      <c r="EK1676" s="1"/>
      <c r="EL1676" s="1"/>
      <c r="EM1676" s="1"/>
      <c r="EN1676" s="1"/>
      <c r="EQ1676" s="1"/>
      <c r="ER1676" s="1"/>
      <c r="ES1676" s="1"/>
      <c r="EV1676" s="1"/>
      <c r="EW1676" s="1"/>
      <c r="EZ1676" s="1"/>
      <c r="GP1676" s="1"/>
      <c r="HY1676" s="1"/>
      <c r="IE1676" s="1"/>
      <c r="IR1676" s="1"/>
      <c r="IS1676" s="1"/>
      <c r="IZ1676" s="1"/>
      <c r="JJ1676" s="1"/>
      <c r="JN1676" s="1"/>
      <c r="JP1676" s="1"/>
      <c r="JQ1676" s="1"/>
      <c r="KV1676" s="1"/>
      <c r="KY1676" s="1"/>
      <c r="KZ1676" s="1"/>
      <c r="LA1676" s="1"/>
      <c r="LB1676" s="1"/>
      <c r="LC1676" s="1"/>
      <c r="LD1676" s="1"/>
      <c r="LO1676" s="1"/>
      <c r="LP1676" s="1"/>
      <c r="LZ1676" s="1"/>
      <c r="MA1676" s="1"/>
    </row>
    <row r="1677" spans="4:339" ht="13" x14ac:dyDescent="0.15">
      <c r="D1677" s="12"/>
      <c r="E1677" s="12"/>
      <c r="I1677" s="12"/>
      <c r="J1677" s="13"/>
      <c r="BF1677" s="1"/>
      <c r="BG1677" s="1"/>
      <c r="BH1677" s="1"/>
      <c r="BI1677" s="1"/>
      <c r="BJ1677" s="1"/>
      <c r="BK1677" s="1"/>
      <c r="BL1677" s="1"/>
      <c r="BM1677" s="1"/>
      <c r="BN1677" s="1"/>
      <c r="BO1677" s="1"/>
      <c r="BP1677" s="1"/>
      <c r="BQ1677" s="1"/>
      <c r="BR1677" s="1"/>
      <c r="CD1677" s="1"/>
      <c r="CE1677" s="1"/>
      <c r="CF1677" s="1"/>
      <c r="CG1677" s="1"/>
      <c r="CM1677" s="2"/>
      <c r="CP1677" s="1"/>
      <c r="CQ1677" s="1"/>
      <c r="CX1677" s="1"/>
      <c r="CY1677" s="1"/>
      <c r="CZ1677" s="1"/>
      <c r="DA1677" s="1"/>
      <c r="DB1677" s="1"/>
      <c r="DC1677" s="1"/>
      <c r="DD1677" s="1"/>
      <c r="DE1677" s="1"/>
      <c r="DF1677" s="1"/>
      <c r="DG1677" s="1"/>
      <c r="DH1677" s="1"/>
      <c r="DI1677" s="1"/>
      <c r="DJ1677" s="1"/>
      <c r="DK1677" s="1"/>
      <c r="ED1677" s="1"/>
      <c r="EK1677" s="1"/>
      <c r="EL1677" s="1"/>
      <c r="EM1677" s="1"/>
      <c r="EN1677" s="1"/>
      <c r="EQ1677" s="1"/>
      <c r="ER1677" s="1"/>
      <c r="ES1677" s="1"/>
      <c r="EV1677" s="1"/>
      <c r="EW1677" s="1"/>
      <c r="EZ1677" s="1"/>
      <c r="GP1677" s="1"/>
      <c r="HY1677" s="1"/>
      <c r="IE1677" s="1"/>
      <c r="IR1677" s="1"/>
      <c r="IS1677" s="1"/>
      <c r="IZ1677" s="1"/>
      <c r="JJ1677" s="1"/>
      <c r="JN1677" s="1"/>
      <c r="JP1677" s="1"/>
      <c r="JQ1677" s="1"/>
      <c r="KV1677" s="1"/>
      <c r="KY1677" s="1"/>
      <c r="KZ1677" s="1"/>
      <c r="LA1677" s="1"/>
      <c r="LB1677" s="1"/>
      <c r="LC1677" s="1"/>
      <c r="LD1677" s="1"/>
      <c r="LO1677" s="1"/>
      <c r="LP1677" s="1"/>
      <c r="LZ1677" s="1"/>
      <c r="MA1677" s="1"/>
    </row>
    <row r="1678" spans="4:339" ht="13" x14ac:dyDescent="0.15">
      <c r="D1678" s="12"/>
      <c r="E1678" s="12"/>
      <c r="I1678" s="12"/>
      <c r="J1678" s="13"/>
      <c r="BF1678" s="1"/>
      <c r="BG1678" s="1"/>
      <c r="BH1678" s="1"/>
      <c r="BI1678" s="1"/>
      <c r="BJ1678" s="1"/>
      <c r="BK1678" s="1"/>
      <c r="BL1678" s="1"/>
      <c r="BM1678" s="1"/>
      <c r="BN1678" s="1"/>
      <c r="BO1678" s="1"/>
      <c r="BP1678" s="1"/>
      <c r="BQ1678" s="1"/>
      <c r="BR1678" s="1"/>
      <c r="CD1678" s="1"/>
      <c r="CE1678" s="1"/>
      <c r="CF1678" s="1"/>
      <c r="CG1678" s="1"/>
      <c r="CM1678" s="2"/>
      <c r="CP1678" s="1"/>
      <c r="CQ1678" s="1"/>
      <c r="CX1678" s="1"/>
      <c r="CY1678" s="1"/>
      <c r="CZ1678" s="1"/>
      <c r="DA1678" s="1"/>
      <c r="DB1678" s="1"/>
      <c r="DC1678" s="1"/>
      <c r="DD1678" s="1"/>
      <c r="DE1678" s="1"/>
      <c r="DF1678" s="1"/>
      <c r="DG1678" s="1"/>
      <c r="DH1678" s="1"/>
      <c r="DI1678" s="1"/>
      <c r="DJ1678" s="1"/>
      <c r="DK1678" s="1"/>
      <c r="ED1678" s="1"/>
      <c r="EK1678" s="1"/>
      <c r="EL1678" s="1"/>
      <c r="EM1678" s="1"/>
      <c r="EN1678" s="1"/>
      <c r="EQ1678" s="1"/>
      <c r="ER1678" s="1"/>
      <c r="ES1678" s="1"/>
      <c r="EV1678" s="1"/>
      <c r="EW1678" s="1"/>
      <c r="EZ1678" s="1"/>
      <c r="GP1678" s="1"/>
      <c r="HY1678" s="1"/>
      <c r="IE1678" s="1"/>
      <c r="IR1678" s="1"/>
      <c r="IS1678" s="1"/>
      <c r="IZ1678" s="1"/>
      <c r="JJ1678" s="1"/>
      <c r="JN1678" s="1"/>
      <c r="JP1678" s="1"/>
      <c r="JQ1678" s="1"/>
      <c r="KV1678" s="1"/>
      <c r="KY1678" s="1"/>
      <c r="KZ1678" s="1"/>
      <c r="LA1678" s="1"/>
      <c r="LB1678" s="1"/>
      <c r="LC1678" s="1"/>
      <c r="LD1678" s="1"/>
      <c r="LO1678" s="1"/>
      <c r="LP1678" s="1"/>
      <c r="LZ1678" s="1"/>
      <c r="MA1678" s="1"/>
    </row>
    <row r="1679" spans="4:339" ht="13" x14ac:dyDescent="0.15">
      <c r="D1679" s="12"/>
      <c r="E1679" s="12"/>
      <c r="I1679" s="12"/>
      <c r="J1679" s="13"/>
      <c r="BF1679" s="1"/>
      <c r="BG1679" s="1"/>
      <c r="BH1679" s="1"/>
      <c r="BI1679" s="1"/>
      <c r="BJ1679" s="1"/>
      <c r="BK1679" s="1"/>
      <c r="BL1679" s="1"/>
      <c r="BM1679" s="1"/>
      <c r="BN1679" s="1"/>
      <c r="BO1679" s="1"/>
      <c r="BP1679" s="1"/>
      <c r="BQ1679" s="1"/>
      <c r="BR1679" s="1"/>
      <c r="CD1679" s="1"/>
      <c r="CE1679" s="1"/>
      <c r="CF1679" s="1"/>
      <c r="CG1679" s="1"/>
      <c r="CM1679" s="2"/>
      <c r="CP1679" s="1"/>
      <c r="CQ1679" s="1"/>
      <c r="CX1679" s="1"/>
      <c r="CY1679" s="1"/>
      <c r="CZ1679" s="1"/>
      <c r="DA1679" s="1"/>
      <c r="DB1679" s="1"/>
      <c r="DC1679" s="1"/>
      <c r="DD1679" s="1"/>
      <c r="DE1679" s="1"/>
      <c r="DF1679" s="1"/>
      <c r="DG1679" s="1"/>
      <c r="DH1679" s="1"/>
      <c r="DI1679" s="1"/>
      <c r="DJ1679" s="1"/>
      <c r="DK1679" s="1"/>
      <c r="ED1679" s="1"/>
      <c r="EK1679" s="1"/>
      <c r="EL1679" s="1"/>
      <c r="EM1679" s="1"/>
      <c r="EN1679" s="1"/>
      <c r="EQ1679" s="1"/>
      <c r="ER1679" s="1"/>
      <c r="ES1679" s="1"/>
      <c r="EV1679" s="1"/>
      <c r="EW1679" s="1"/>
      <c r="EZ1679" s="1"/>
      <c r="GP1679" s="1"/>
      <c r="HY1679" s="1"/>
      <c r="IE1679" s="1"/>
      <c r="IR1679" s="1"/>
      <c r="IS1679" s="1"/>
      <c r="IZ1679" s="1"/>
      <c r="JJ1679" s="1"/>
      <c r="JN1679" s="1"/>
      <c r="JP1679" s="1"/>
      <c r="JQ1679" s="1"/>
      <c r="KV1679" s="1"/>
      <c r="KY1679" s="1"/>
      <c r="KZ1679" s="1"/>
      <c r="LA1679" s="1"/>
      <c r="LB1679" s="1"/>
      <c r="LC1679" s="1"/>
      <c r="LD1679" s="1"/>
      <c r="LO1679" s="1"/>
      <c r="LP1679" s="1"/>
      <c r="LZ1679" s="1"/>
      <c r="MA1679" s="1"/>
    </row>
    <row r="1680" spans="4:339" ht="13" x14ac:dyDescent="0.15">
      <c r="D1680" s="12"/>
      <c r="E1680" s="12"/>
      <c r="I1680" s="12"/>
      <c r="J1680" s="13"/>
      <c r="BF1680" s="1"/>
      <c r="BG1680" s="1"/>
      <c r="BH1680" s="1"/>
      <c r="BI1680" s="1"/>
      <c r="BJ1680" s="1"/>
      <c r="BK1680" s="1"/>
      <c r="BL1680" s="1"/>
      <c r="BM1680" s="1"/>
      <c r="BN1680" s="1"/>
      <c r="BO1680" s="1"/>
      <c r="BP1680" s="1"/>
      <c r="BQ1680" s="1"/>
      <c r="BR1680" s="1"/>
      <c r="CD1680" s="1"/>
      <c r="CE1680" s="1"/>
      <c r="CF1680" s="1"/>
      <c r="CG1680" s="1"/>
      <c r="CM1680" s="2"/>
      <c r="CP1680" s="1"/>
      <c r="CQ1680" s="1"/>
      <c r="CX1680" s="1"/>
      <c r="CY1680" s="1"/>
      <c r="CZ1680" s="1"/>
      <c r="DA1680" s="1"/>
      <c r="DB1680" s="1"/>
      <c r="DC1680" s="1"/>
      <c r="DD1680" s="1"/>
      <c r="DE1680" s="1"/>
      <c r="DF1680" s="1"/>
      <c r="DG1680" s="1"/>
      <c r="DH1680" s="1"/>
      <c r="DI1680" s="1"/>
      <c r="DJ1680" s="1"/>
      <c r="DK1680" s="1"/>
      <c r="ED1680" s="1"/>
      <c r="EK1680" s="1"/>
      <c r="EL1680" s="1"/>
      <c r="EM1680" s="1"/>
      <c r="EN1680" s="1"/>
      <c r="EQ1680" s="1"/>
      <c r="ER1680" s="1"/>
      <c r="ES1680" s="1"/>
      <c r="EV1680" s="1"/>
      <c r="EW1680" s="1"/>
      <c r="EZ1680" s="1"/>
      <c r="GP1680" s="1"/>
      <c r="HY1680" s="1"/>
      <c r="IE1680" s="1"/>
      <c r="IR1680" s="1"/>
      <c r="IS1680" s="1"/>
      <c r="IZ1680" s="1"/>
      <c r="JJ1680" s="1"/>
      <c r="JN1680" s="1"/>
      <c r="JP1680" s="1"/>
      <c r="JQ1680" s="1"/>
      <c r="KV1680" s="1"/>
      <c r="KY1680" s="1"/>
      <c r="KZ1680" s="1"/>
      <c r="LA1680" s="1"/>
      <c r="LB1680" s="1"/>
      <c r="LC1680" s="1"/>
      <c r="LD1680" s="1"/>
      <c r="LO1680" s="1"/>
      <c r="LP1680" s="1"/>
      <c r="LZ1680" s="1"/>
      <c r="MA1680" s="1"/>
    </row>
    <row r="1681" spans="4:342" ht="13" x14ac:dyDescent="0.15">
      <c r="D1681" s="12"/>
      <c r="E1681" s="12"/>
      <c r="I1681" s="12"/>
      <c r="J1681" s="13"/>
      <c r="BF1681" s="1"/>
      <c r="BG1681" s="1"/>
      <c r="BH1681" s="1"/>
      <c r="BI1681" s="1"/>
      <c r="BK1681" s="1"/>
      <c r="BL1681" s="1"/>
      <c r="BM1681" s="1"/>
      <c r="BN1681" s="1"/>
      <c r="BO1681" s="1"/>
      <c r="BP1681" s="1"/>
      <c r="BQ1681" s="1"/>
      <c r="BR1681" s="1"/>
      <c r="CD1681" s="1"/>
      <c r="CM1681" s="2"/>
      <c r="CP1681" s="1"/>
      <c r="CQ1681" s="1"/>
      <c r="CS1681" s="1"/>
      <c r="CT1681" s="1"/>
      <c r="CU1681" s="1"/>
      <c r="CV1681" s="1"/>
      <c r="CW1681" s="1"/>
      <c r="CX1681" s="1"/>
      <c r="CY1681" s="1"/>
      <c r="CZ1681" s="1"/>
      <c r="DA1681" s="1"/>
      <c r="DB1681" s="1"/>
      <c r="DC1681" s="1"/>
      <c r="DD1681" s="1"/>
      <c r="DE1681" s="1"/>
      <c r="DF1681" s="1"/>
      <c r="DG1681" s="1"/>
      <c r="DH1681" s="1"/>
      <c r="DI1681" s="1"/>
      <c r="DJ1681" s="1"/>
      <c r="DK1681" s="1"/>
      <c r="ED1681" s="1"/>
      <c r="EK1681" s="1"/>
      <c r="EL1681" s="1"/>
      <c r="EM1681" s="1"/>
      <c r="EN1681" s="1"/>
      <c r="EQ1681" s="1"/>
      <c r="ER1681" s="1"/>
      <c r="ES1681" s="1"/>
      <c r="EV1681" s="1"/>
      <c r="EW1681" s="1"/>
      <c r="EZ1681" s="1"/>
      <c r="GO1681" s="1"/>
      <c r="GP1681" s="1"/>
      <c r="HY1681" s="1"/>
      <c r="IE1681" s="1"/>
      <c r="IS1681" s="1"/>
      <c r="IZ1681" s="1"/>
      <c r="JG1681" s="1"/>
      <c r="JJ1681" s="1"/>
      <c r="JN1681" s="1"/>
      <c r="JP1681" s="1"/>
      <c r="JQ1681" s="1"/>
      <c r="JT1681" s="1"/>
      <c r="KU1681" s="1"/>
      <c r="KV1681" s="1"/>
      <c r="LZ1681" s="1"/>
      <c r="MA1681" s="1"/>
    </row>
    <row r="1682" spans="4:342" ht="13" x14ac:dyDescent="0.15">
      <c r="D1682" s="12"/>
      <c r="E1682" s="12"/>
      <c r="I1682" s="12"/>
      <c r="J1682" s="13"/>
      <c r="BF1682" s="1"/>
      <c r="BG1682" s="1"/>
      <c r="BH1682" s="1"/>
      <c r="BI1682" s="1"/>
      <c r="BK1682" s="1"/>
      <c r="BL1682" s="1"/>
      <c r="BM1682" s="1"/>
      <c r="BN1682" s="1"/>
      <c r="BO1682" s="1"/>
      <c r="BP1682" s="1"/>
      <c r="BQ1682" s="1"/>
      <c r="BR1682" s="1"/>
      <c r="CD1682" s="1"/>
      <c r="CM1682" s="2"/>
      <c r="CP1682" s="1"/>
      <c r="CQ1682" s="1"/>
      <c r="CS1682" s="1"/>
      <c r="CT1682" s="1"/>
      <c r="CU1682" s="1"/>
      <c r="CV1682" s="1"/>
      <c r="CW1682" s="1"/>
      <c r="CX1682" s="1"/>
      <c r="CY1682" s="1"/>
      <c r="CZ1682" s="1"/>
      <c r="DA1682" s="1"/>
      <c r="DB1682" s="1"/>
      <c r="DC1682" s="1"/>
      <c r="DD1682" s="1"/>
      <c r="DE1682" s="1"/>
      <c r="DF1682" s="1"/>
      <c r="DG1682" s="1"/>
      <c r="DH1682" s="1"/>
      <c r="DI1682" s="1"/>
      <c r="DJ1682" s="1"/>
      <c r="DK1682" s="1"/>
      <c r="ED1682" s="1"/>
      <c r="EK1682" s="1"/>
      <c r="EL1682" s="1"/>
      <c r="EM1682" s="1"/>
      <c r="EN1682" s="1"/>
      <c r="EQ1682" s="1"/>
      <c r="ER1682" s="1"/>
      <c r="ES1682" s="1"/>
      <c r="EV1682" s="1"/>
      <c r="EW1682" s="1"/>
      <c r="EZ1682" s="1"/>
      <c r="GO1682" s="1"/>
      <c r="GP1682" s="1"/>
      <c r="HY1682" s="1"/>
      <c r="IE1682" s="1"/>
      <c r="IS1682" s="1"/>
      <c r="IZ1682" s="1"/>
      <c r="JG1682" s="1"/>
      <c r="JJ1682" s="1"/>
      <c r="JN1682" s="1"/>
      <c r="JP1682" s="1"/>
      <c r="JQ1682" s="1"/>
      <c r="JT1682" s="1"/>
      <c r="KU1682" s="1"/>
      <c r="KV1682" s="1"/>
      <c r="LZ1682" s="1"/>
      <c r="MA1682" s="1"/>
    </row>
    <row r="1683" spans="4:342" ht="13" x14ac:dyDescent="0.15">
      <c r="D1683" s="12"/>
      <c r="E1683" s="12"/>
      <c r="I1683" s="12"/>
      <c r="J1683" s="13"/>
      <c r="BF1683" s="1"/>
      <c r="BG1683" s="1"/>
      <c r="BH1683" s="1"/>
      <c r="BI1683" s="1"/>
      <c r="BK1683" s="1"/>
      <c r="BL1683" s="1"/>
      <c r="BM1683" s="1"/>
      <c r="BN1683" s="1"/>
      <c r="BO1683" s="1"/>
      <c r="BP1683" s="1"/>
      <c r="BQ1683" s="1"/>
      <c r="BR1683" s="1"/>
      <c r="CD1683" s="1"/>
      <c r="CM1683" s="2"/>
      <c r="CP1683" s="1"/>
      <c r="CQ1683" s="1"/>
      <c r="CS1683" s="1"/>
      <c r="CT1683" s="1"/>
      <c r="CU1683" s="1"/>
      <c r="CV1683" s="1"/>
      <c r="CW1683" s="1"/>
      <c r="CX1683" s="1"/>
      <c r="CY1683" s="1"/>
      <c r="CZ1683" s="1"/>
      <c r="DA1683" s="1"/>
      <c r="DB1683" s="1"/>
      <c r="DC1683" s="1"/>
      <c r="DD1683" s="1"/>
      <c r="DE1683" s="1"/>
      <c r="DF1683" s="1"/>
      <c r="DG1683" s="1"/>
      <c r="DH1683" s="1"/>
      <c r="DI1683" s="1"/>
      <c r="DJ1683" s="1"/>
      <c r="DK1683" s="1"/>
      <c r="ED1683" s="1"/>
      <c r="EK1683" s="1"/>
      <c r="EL1683" s="1"/>
      <c r="EM1683" s="1"/>
      <c r="EN1683" s="1"/>
      <c r="EQ1683" s="1"/>
      <c r="ER1683" s="1"/>
      <c r="ES1683" s="1"/>
      <c r="EV1683" s="1"/>
      <c r="EW1683" s="1"/>
      <c r="EZ1683" s="1"/>
      <c r="GO1683" s="1"/>
      <c r="GP1683" s="1"/>
      <c r="HY1683" s="1"/>
      <c r="IE1683" s="1"/>
      <c r="IS1683" s="1"/>
      <c r="IZ1683" s="1"/>
      <c r="JG1683" s="1"/>
      <c r="JJ1683" s="1"/>
      <c r="JN1683" s="1"/>
      <c r="JP1683" s="1"/>
      <c r="JQ1683" s="1"/>
      <c r="JT1683" s="1"/>
      <c r="KU1683" s="1"/>
      <c r="KV1683" s="1"/>
      <c r="LZ1683" s="1"/>
      <c r="MA1683" s="1"/>
    </row>
    <row r="1684" spans="4:342" ht="13" x14ac:dyDescent="0.15">
      <c r="D1684" s="12"/>
      <c r="E1684" s="12"/>
      <c r="I1684" s="12"/>
      <c r="J1684" s="13"/>
      <c r="BF1684" s="1"/>
      <c r="BG1684" s="1"/>
      <c r="BH1684" s="1"/>
      <c r="BI1684" s="1"/>
      <c r="BK1684" s="1"/>
      <c r="BL1684" s="1"/>
      <c r="BM1684" s="1"/>
      <c r="BN1684" s="1"/>
      <c r="BO1684" s="1"/>
      <c r="BP1684" s="1"/>
      <c r="BQ1684" s="1"/>
      <c r="BR1684" s="1"/>
      <c r="CD1684" s="1"/>
      <c r="CM1684" s="2"/>
      <c r="CP1684" s="1"/>
      <c r="CQ1684" s="1"/>
      <c r="CS1684" s="1"/>
      <c r="CT1684" s="1"/>
      <c r="CU1684" s="1"/>
      <c r="CV1684" s="1"/>
      <c r="CW1684" s="1"/>
      <c r="CX1684" s="1"/>
      <c r="CY1684" s="1"/>
      <c r="CZ1684" s="1"/>
      <c r="DA1684" s="1"/>
      <c r="DB1684" s="1"/>
      <c r="DC1684" s="1"/>
      <c r="DD1684" s="1"/>
      <c r="DE1684" s="1"/>
      <c r="DF1684" s="1"/>
      <c r="DG1684" s="1"/>
      <c r="DH1684" s="1"/>
      <c r="DI1684" s="1"/>
      <c r="DJ1684" s="1"/>
      <c r="DK1684" s="1"/>
      <c r="ED1684" s="1"/>
      <c r="EK1684" s="1"/>
      <c r="EL1684" s="1"/>
      <c r="EM1684" s="1"/>
      <c r="EN1684" s="1"/>
      <c r="EQ1684" s="1"/>
      <c r="ER1684" s="1"/>
      <c r="ES1684" s="1"/>
      <c r="EV1684" s="1"/>
      <c r="EW1684" s="1"/>
      <c r="EZ1684" s="1"/>
      <c r="GO1684" s="1"/>
      <c r="GP1684" s="1"/>
      <c r="HY1684" s="1"/>
      <c r="IE1684" s="1"/>
      <c r="IS1684" s="1"/>
      <c r="IZ1684" s="1"/>
      <c r="JG1684" s="1"/>
      <c r="JJ1684" s="1"/>
      <c r="JN1684" s="1"/>
      <c r="JP1684" s="1"/>
      <c r="JQ1684" s="1"/>
      <c r="JT1684" s="1"/>
      <c r="KU1684" s="1"/>
      <c r="KV1684" s="1"/>
      <c r="LZ1684" s="1"/>
      <c r="MA1684" s="1"/>
    </row>
    <row r="1685" spans="4:342" ht="13" x14ac:dyDescent="0.15">
      <c r="D1685" s="12"/>
      <c r="E1685" s="12"/>
      <c r="I1685" s="12"/>
      <c r="J1685" s="13"/>
      <c r="BF1685" s="1"/>
      <c r="BG1685" s="1"/>
      <c r="BH1685" s="1"/>
      <c r="BI1685" s="1"/>
      <c r="BK1685" s="1"/>
      <c r="BL1685" s="1"/>
      <c r="BM1685" s="1"/>
      <c r="BN1685" s="1"/>
      <c r="BO1685" s="1"/>
      <c r="BP1685" s="1"/>
      <c r="BQ1685" s="1"/>
      <c r="BR1685" s="1"/>
      <c r="CD1685" s="1"/>
      <c r="CM1685" s="2"/>
      <c r="CP1685" s="1"/>
      <c r="CQ1685" s="1"/>
      <c r="CS1685" s="1"/>
      <c r="CT1685" s="1"/>
      <c r="CU1685" s="1"/>
      <c r="CV1685" s="1"/>
      <c r="CW1685" s="1"/>
      <c r="CX1685" s="1"/>
      <c r="CY1685" s="1"/>
      <c r="CZ1685" s="1"/>
      <c r="DA1685" s="1"/>
      <c r="DB1685" s="1"/>
      <c r="DC1685" s="1"/>
      <c r="DD1685" s="1"/>
      <c r="DE1685" s="1"/>
      <c r="DF1685" s="1"/>
      <c r="DG1685" s="1"/>
      <c r="DH1685" s="1"/>
      <c r="DI1685" s="1"/>
      <c r="DJ1685" s="1"/>
      <c r="DK1685" s="1"/>
      <c r="ED1685" s="1"/>
      <c r="EK1685" s="1"/>
      <c r="EL1685" s="1"/>
      <c r="EM1685" s="1"/>
      <c r="EN1685" s="1"/>
      <c r="EQ1685" s="1"/>
      <c r="ER1685" s="1"/>
      <c r="ES1685" s="1"/>
      <c r="EV1685" s="1"/>
      <c r="EW1685" s="1"/>
      <c r="EZ1685" s="1"/>
      <c r="GO1685" s="1"/>
      <c r="GP1685" s="1"/>
      <c r="HY1685" s="1"/>
      <c r="IE1685" s="1"/>
      <c r="IS1685" s="1"/>
      <c r="IZ1685" s="1"/>
      <c r="JG1685" s="1"/>
      <c r="JJ1685" s="1"/>
      <c r="JN1685" s="1"/>
      <c r="JP1685" s="1"/>
      <c r="JQ1685" s="1"/>
      <c r="JT1685" s="1"/>
      <c r="KU1685" s="1"/>
      <c r="KV1685" s="1"/>
      <c r="LZ1685" s="1"/>
      <c r="MA1685" s="1"/>
    </row>
    <row r="1686" spans="4:342" ht="13" x14ac:dyDescent="0.15">
      <c r="D1686" s="12"/>
      <c r="E1686" s="12"/>
      <c r="I1686" s="12"/>
      <c r="J1686" s="13"/>
      <c r="BF1686" s="1"/>
      <c r="BG1686" s="1"/>
      <c r="BH1686" s="1"/>
      <c r="BI1686" s="1"/>
      <c r="BK1686" s="1"/>
      <c r="BL1686" s="1"/>
      <c r="BM1686" s="1"/>
      <c r="BN1686" s="1"/>
      <c r="BO1686" s="1"/>
      <c r="BP1686" s="1"/>
      <c r="BQ1686" s="1"/>
      <c r="BR1686" s="1"/>
      <c r="CD1686" s="1"/>
      <c r="CE1686" s="1"/>
      <c r="CF1686" s="1"/>
      <c r="CG1686" s="1"/>
      <c r="CM1686" s="2"/>
      <c r="CP1686" s="1"/>
      <c r="CQ1686" s="1"/>
      <c r="CS1686" s="1"/>
      <c r="CT1686" s="1"/>
      <c r="CU1686" s="1"/>
      <c r="CV1686" s="1"/>
      <c r="CW1686" s="1"/>
      <c r="CX1686" s="1"/>
      <c r="CY1686" s="1"/>
      <c r="CZ1686" s="1"/>
      <c r="DA1686" s="1"/>
      <c r="DB1686" s="1"/>
      <c r="DC1686" s="1"/>
      <c r="DD1686" s="1"/>
      <c r="DE1686" s="1"/>
      <c r="DF1686" s="1"/>
      <c r="DG1686" s="1"/>
      <c r="DH1686" s="1"/>
      <c r="DI1686" s="1"/>
      <c r="DJ1686" s="1"/>
      <c r="DK1686" s="1"/>
      <c r="DM1686" s="1"/>
      <c r="DR1686" s="1"/>
      <c r="ED1686" s="1"/>
      <c r="EK1686" s="1"/>
      <c r="EL1686" s="1"/>
      <c r="EM1686" s="1"/>
      <c r="EN1686" s="1"/>
      <c r="EQ1686" s="1"/>
      <c r="ER1686" s="1"/>
      <c r="ES1686" s="1"/>
      <c r="EV1686" s="1"/>
      <c r="EW1686" s="1"/>
      <c r="EZ1686" s="1"/>
      <c r="GO1686" s="1"/>
      <c r="GP1686" s="1"/>
      <c r="HY1686" s="1"/>
      <c r="IE1686" s="1"/>
      <c r="IR1686" s="1"/>
      <c r="IS1686" s="1"/>
      <c r="IY1686" s="1"/>
      <c r="IZ1686" s="1"/>
      <c r="JC1686" s="1"/>
      <c r="JF1686" s="1"/>
      <c r="JG1686" s="1"/>
      <c r="JH1686" s="1"/>
      <c r="JJ1686" s="1"/>
      <c r="JN1686" s="1"/>
      <c r="JP1686" s="1"/>
      <c r="JQ1686" s="1"/>
      <c r="JT1686" s="1"/>
      <c r="KV1686" s="1"/>
      <c r="KY1686" s="1"/>
      <c r="KZ1686" s="1"/>
      <c r="LA1686" s="1"/>
      <c r="LB1686" s="1"/>
      <c r="LC1686" s="1"/>
      <c r="LD1686" s="1"/>
      <c r="LN1686" s="1"/>
      <c r="LO1686" s="1"/>
      <c r="LP1686" s="1"/>
      <c r="LZ1686" s="1"/>
      <c r="MA1686" s="1"/>
    </row>
    <row r="1687" spans="4:342" ht="13" x14ac:dyDescent="0.15">
      <c r="D1687" s="12"/>
      <c r="E1687" s="12"/>
      <c r="I1687" s="12"/>
      <c r="J1687" s="13"/>
      <c r="BF1687" s="1"/>
      <c r="BG1687" s="1"/>
      <c r="BH1687" s="1"/>
      <c r="BI1687" s="1"/>
      <c r="BK1687" s="1"/>
      <c r="BL1687" s="1"/>
      <c r="BM1687" s="1"/>
      <c r="BN1687" s="1"/>
      <c r="BO1687" s="1"/>
      <c r="BP1687" s="1"/>
      <c r="BQ1687" s="1"/>
      <c r="BR1687" s="1"/>
      <c r="CD1687" s="1"/>
      <c r="CE1687" s="1"/>
      <c r="CF1687" s="1"/>
      <c r="CG1687" s="1"/>
      <c r="CM1687" s="2"/>
      <c r="CP1687" s="1"/>
      <c r="CQ1687" s="1"/>
      <c r="CS1687" s="1"/>
      <c r="CT1687" s="1"/>
      <c r="CU1687" s="1"/>
      <c r="CV1687" s="1"/>
      <c r="CW1687" s="1"/>
      <c r="CX1687" s="1"/>
      <c r="CY1687" s="1"/>
      <c r="CZ1687" s="1"/>
      <c r="DA1687" s="1"/>
      <c r="DB1687" s="1"/>
      <c r="DC1687" s="1"/>
      <c r="DD1687" s="1"/>
      <c r="DE1687" s="1"/>
      <c r="DF1687" s="1"/>
      <c r="DG1687" s="1"/>
      <c r="DH1687" s="1"/>
      <c r="DI1687" s="1"/>
      <c r="DJ1687" s="1"/>
      <c r="DK1687" s="1"/>
      <c r="DM1687" s="1"/>
      <c r="DR1687" s="1"/>
      <c r="ED1687" s="1"/>
      <c r="EK1687" s="1"/>
      <c r="EL1687" s="1"/>
      <c r="EM1687" s="1"/>
      <c r="EN1687" s="1"/>
      <c r="EQ1687" s="1"/>
      <c r="ER1687" s="1"/>
      <c r="ES1687" s="1"/>
      <c r="EV1687" s="1"/>
      <c r="EW1687" s="1"/>
      <c r="EZ1687" s="1"/>
      <c r="GO1687" s="1"/>
      <c r="GP1687" s="1"/>
      <c r="HY1687" s="1"/>
      <c r="IE1687" s="1"/>
      <c r="IR1687" s="1"/>
      <c r="IS1687" s="1"/>
      <c r="IY1687" s="1"/>
      <c r="IZ1687" s="1"/>
      <c r="JC1687" s="1"/>
      <c r="JF1687" s="1"/>
      <c r="JG1687" s="1"/>
      <c r="JH1687" s="1"/>
      <c r="JJ1687" s="1"/>
      <c r="JN1687" s="1"/>
      <c r="JP1687" s="1"/>
      <c r="JQ1687" s="1"/>
      <c r="JT1687" s="1"/>
      <c r="KV1687" s="1"/>
      <c r="KY1687" s="1"/>
      <c r="KZ1687" s="1"/>
      <c r="LA1687" s="1"/>
      <c r="LB1687" s="1"/>
      <c r="LC1687" s="1"/>
      <c r="LD1687" s="1"/>
      <c r="LN1687" s="1"/>
      <c r="LO1687" s="1"/>
      <c r="LP1687" s="1"/>
      <c r="LZ1687" s="1"/>
      <c r="MA1687" s="1"/>
    </row>
    <row r="1688" spans="4:342" ht="13" x14ac:dyDescent="0.15">
      <c r="D1688" s="12"/>
      <c r="E1688" s="12"/>
      <c r="I1688" s="12"/>
      <c r="J1688" s="13"/>
      <c r="BF1688" s="1"/>
      <c r="BG1688" s="1"/>
      <c r="BH1688" s="1"/>
      <c r="BI1688" s="1"/>
      <c r="BJ1688" s="1"/>
      <c r="BK1688" s="1"/>
      <c r="BL1688" s="1"/>
      <c r="BM1688" s="1"/>
      <c r="BN1688" s="1"/>
      <c r="BO1688" s="1"/>
      <c r="BP1688" s="1"/>
      <c r="BQ1688" s="1"/>
      <c r="BR1688" s="1"/>
      <c r="CD1688" s="1"/>
      <c r="CE1688" s="1"/>
      <c r="CF1688" s="1"/>
      <c r="CG1688" s="1"/>
      <c r="CM1688" s="2"/>
      <c r="CP1688" s="1"/>
      <c r="CQ1688" s="1"/>
      <c r="CR1688" s="1"/>
      <c r="CS1688" s="1"/>
      <c r="CT1688" s="1"/>
      <c r="CU1688" s="1"/>
      <c r="CV1688" s="1"/>
      <c r="CW1688" s="1"/>
      <c r="CX1688" s="1"/>
      <c r="CY1688" s="1"/>
      <c r="CZ1688" s="1"/>
      <c r="DA1688" s="1"/>
      <c r="DB1688" s="1"/>
      <c r="DC1688" s="1"/>
      <c r="DD1688" s="1"/>
      <c r="DE1688" s="1"/>
      <c r="DF1688" s="1"/>
      <c r="DG1688" s="1"/>
      <c r="DH1688" s="1"/>
      <c r="DI1688" s="1"/>
      <c r="DJ1688" s="1"/>
      <c r="DK1688" s="1"/>
      <c r="DQ1688" s="1"/>
      <c r="DR1688" s="1"/>
      <c r="DY1688" s="1"/>
      <c r="DZ1688" s="1"/>
      <c r="ED1688" s="1"/>
      <c r="EK1688" s="1"/>
      <c r="EL1688" s="1"/>
      <c r="EM1688" s="1"/>
      <c r="EN1688" s="1"/>
      <c r="EQ1688" s="1"/>
      <c r="ER1688" s="1"/>
      <c r="ES1688" s="1"/>
      <c r="EV1688" s="1"/>
      <c r="EW1688" s="1"/>
      <c r="EZ1688" s="1"/>
      <c r="GP1688" s="1"/>
      <c r="HY1688" s="1"/>
      <c r="IE1688" s="1"/>
      <c r="IR1688" s="1"/>
      <c r="IS1688" s="1"/>
      <c r="IZ1688" s="1"/>
      <c r="JF1688" s="1"/>
      <c r="JG1688" s="1"/>
      <c r="JH1688" s="1"/>
      <c r="JJ1688" s="1"/>
      <c r="JN1688" s="1"/>
      <c r="JP1688" s="1"/>
      <c r="JQ1688" s="1"/>
      <c r="KY1688" s="1"/>
      <c r="KZ1688" s="1"/>
      <c r="LA1688" s="1"/>
      <c r="LB1688" s="1"/>
      <c r="LC1688" s="1"/>
      <c r="LD1688" s="1"/>
      <c r="LO1688" s="1"/>
      <c r="LP1688" s="1"/>
      <c r="LZ1688" s="1"/>
      <c r="MA1688" s="1"/>
      <c r="MB1688" s="1"/>
      <c r="MC1688" s="5"/>
      <c r="MD1688" s="5"/>
    </row>
    <row r="1689" spans="4:342" ht="13" x14ac:dyDescent="0.15">
      <c r="D1689" s="12"/>
      <c r="E1689" s="12"/>
      <c r="I1689" s="12"/>
      <c r="J1689" s="13"/>
      <c r="BF1689" s="1"/>
      <c r="BG1689" s="1"/>
      <c r="BH1689" s="1"/>
      <c r="BI1689" s="1"/>
      <c r="BJ1689" s="1"/>
      <c r="BK1689" s="1"/>
      <c r="BL1689" s="1"/>
      <c r="BM1689" s="1"/>
      <c r="BN1689" s="1"/>
      <c r="BO1689" s="1"/>
      <c r="BP1689" s="1"/>
      <c r="BQ1689" s="1"/>
      <c r="BR1689" s="1"/>
      <c r="CD1689" s="1"/>
      <c r="CM1689" s="2"/>
      <c r="CP1689" s="1"/>
      <c r="CQ1689" s="1"/>
      <c r="CS1689" s="1"/>
      <c r="CT1689" s="1"/>
      <c r="CU1689" s="1"/>
      <c r="CV1689" s="1"/>
      <c r="CW1689" s="1"/>
      <c r="CX1689" s="1"/>
      <c r="CY1689" s="1"/>
      <c r="CZ1689" s="1"/>
      <c r="DA1689" s="1"/>
      <c r="DB1689" s="1"/>
      <c r="DC1689" s="1"/>
      <c r="DD1689" s="1"/>
      <c r="DE1689" s="1"/>
      <c r="DF1689" s="1"/>
      <c r="DG1689" s="1"/>
      <c r="DH1689" s="1"/>
      <c r="DI1689" s="1"/>
      <c r="DJ1689" s="1"/>
      <c r="DK1689" s="1"/>
      <c r="ED1689" s="1"/>
      <c r="EF1689" s="1"/>
      <c r="EK1689" s="1"/>
      <c r="EL1689" s="1"/>
      <c r="EM1689" s="1"/>
      <c r="EN1689" s="1"/>
      <c r="EQ1689" s="1"/>
      <c r="ER1689" s="1"/>
      <c r="ES1689" s="1"/>
      <c r="EV1689" s="1"/>
      <c r="EW1689" s="1"/>
      <c r="EZ1689" s="1"/>
      <c r="GO1689" s="1"/>
      <c r="HY1689" s="1"/>
      <c r="IE1689" s="1"/>
      <c r="IG1689" s="1"/>
      <c r="IJ1689" s="1"/>
      <c r="IS1689" s="1"/>
      <c r="IU1689" s="1"/>
      <c r="IZ1689" s="1"/>
      <c r="JG1689" s="1"/>
      <c r="JH1689" s="1"/>
      <c r="JJ1689" s="1"/>
      <c r="JK1689" s="1"/>
      <c r="JL1689" s="3"/>
      <c r="JM1689" s="1"/>
      <c r="JP1689" s="1"/>
      <c r="JQ1689" s="1"/>
      <c r="JR1689" s="1"/>
      <c r="JT1689" s="1"/>
      <c r="KU1689" s="1"/>
      <c r="KV1689" s="1"/>
      <c r="KZ1689" s="1"/>
      <c r="LO1689" s="1"/>
      <c r="LP1689" s="1"/>
      <c r="LZ1689" s="1"/>
      <c r="MA1689" s="1"/>
    </row>
    <row r="1690" spans="4:342" ht="13" x14ac:dyDescent="0.15">
      <c r="D1690" s="12"/>
      <c r="E1690" s="12"/>
      <c r="I1690" s="12"/>
      <c r="J1690" s="13"/>
      <c r="BF1690" s="1"/>
      <c r="BG1690" s="1"/>
      <c r="BH1690" s="1"/>
      <c r="BI1690" s="1"/>
      <c r="BJ1690" s="1"/>
      <c r="BK1690" s="1"/>
      <c r="BL1690" s="1"/>
      <c r="BM1690" s="1"/>
      <c r="BN1690" s="1"/>
      <c r="BO1690" s="1"/>
      <c r="BP1690" s="1"/>
      <c r="BQ1690" s="1"/>
      <c r="BR1690" s="1"/>
      <c r="CD1690" s="1"/>
      <c r="CM1690" s="2"/>
      <c r="CP1690" s="1"/>
      <c r="CQ1690" s="1"/>
      <c r="CS1690" s="1"/>
      <c r="CT1690" s="1"/>
      <c r="CU1690" s="1"/>
      <c r="CV1690" s="1"/>
      <c r="CW1690" s="1"/>
      <c r="CX1690" s="1"/>
      <c r="CY1690" s="1"/>
      <c r="CZ1690" s="1"/>
      <c r="DA1690" s="1"/>
      <c r="DB1690" s="1"/>
      <c r="DC1690" s="1"/>
      <c r="DD1690" s="1"/>
      <c r="DE1690" s="1"/>
      <c r="DF1690" s="1"/>
      <c r="DG1690" s="1"/>
      <c r="DH1690" s="1"/>
      <c r="DI1690" s="1"/>
      <c r="DJ1690" s="1"/>
      <c r="DK1690" s="1"/>
      <c r="ED1690" s="1"/>
      <c r="EF1690" s="1"/>
      <c r="EK1690" s="1"/>
      <c r="EL1690" s="1"/>
      <c r="EM1690" s="1"/>
      <c r="EN1690" s="1"/>
      <c r="EQ1690" s="1"/>
      <c r="ER1690" s="1"/>
      <c r="ES1690" s="1"/>
      <c r="EV1690" s="1"/>
      <c r="EW1690" s="1"/>
      <c r="EZ1690" s="1"/>
      <c r="GO1690" s="1"/>
      <c r="HY1690" s="1"/>
      <c r="IE1690" s="1"/>
      <c r="IG1690" s="1"/>
      <c r="IJ1690" s="1"/>
      <c r="IS1690" s="1"/>
      <c r="IU1690" s="1"/>
      <c r="IZ1690" s="1"/>
      <c r="JG1690" s="1"/>
      <c r="JH1690" s="1"/>
      <c r="JJ1690" s="1"/>
      <c r="JK1690" s="1"/>
      <c r="JL1690" s="3"/>
      <c r="JM1690" s="1"/>
      <c r="JP1690" s="1"/>
      <c r="JQ1690" s="1"/>
      <c r="JR1690" s="1"/>
      <c r="JT1690" s="1"/>
      <c r="KU1690" s="1"/>
      <c r="KV1690" s="1"/>
      <c r="KZ1690" s="1"/>
      <c r="LO1690" s="1"/>
      <c r="LP1690" s="1"/>
      <c r="LZ1690" s="1"/>
      <c r="MA1690" s="1"/>
    </row>
    <row r="1691" spans="4:342" ht="13" x14ac:dyDescent="0.15">
      <c r="D1691" s="12"/>
      <c r="E1691" s="12"/>
      <c r="I1691" s="12"/>
      <c r="J1691" s="13"/>
      <c r="BF1691" s="1"/>
      <c r="BG1691" s="1"/>
      <c r="BH1691" s="1"/>
      <c r="BI1691" s="1"/>
      <c r="BJ1691" s="1"/>
      <c r="BK1691" s="1"/>
      <c r="BL1691" s="1"/>
      <c r="BM1691" s="1"/>
      <c r="BN1691" s="1"/>
      <c r="BO1691" s="1"/>
      <c r="BP1691" s="1"/>
      <c r="BQ1691" s="1"/>
      <c r="BR1691" s="1"/>
      <c r="CD1691" s="1"/>
      <c r="CM1691" s="2"/>
      <c r="CP1691" s="1"/>
      <c r="CQ1691" s="1"/>
      <c r="CS1691" s="1"/>
      <c r="CT1691" s="1"/>
      <c r="CU1691" s="1"/>
      <c r="CV1691" s="1"/>
      <c r="CW1691" s="1"/>
      <c r="CX1691" s="1"/>
      <c r="CY1691" s="1"/>
      <c r="CZ1691" s="1"/>
      <c r="DA1691" s="1"/>
      <c r="DB1691" s="1"/>
      <c r="DC1691" s="1"/>
      <c r="DD1691" s="1"/>
      <c r="DE1691" s="1"/>
      <c r="DF1691" s="1"/>
      <c r="DG1691" s="1"/>
      <c r="DH1691" s="1"/>
      <c r="DI1691" s="1"/>
      <c r="DJ1691" s="1"/>
      <c r="DK1691" s="1"/>
      <c r="ED1691" s="1"/>
      <c r="EF1691" s="1"/>
      <c r="EK1691" s="1"/>
      <c r="EL1691" s="1"/>
      <c r="EM1691" s="1"/>
      <c r="EN1691" s="1"/>
      <c r="EQ1691" s="1"/>
      <c r="ER1691" s="1"/>
      <c r="ES1691" s="1"/>
      <c r="EV1691" s="1"/>
      <c r="EW1691" s="1"/>
      <c r="EZ1691" s="1"/>
      <c r="GO1691" s="1"/>
      <c r="HY1691" s="1"/>
      <c r="IE1691" s="1"/>
      <c r="IG1691" s="1"/>
      <c r="IJ1691" s="1"/>
      <c r="IS1691" s="1"/>
      <c r="IU1691" s="1"/>
      <c r="IZ1691" s="1"/>
      <c r="JG1691" s="1"/>
      <c r="JH1691" s="1"/>
      <c r="JJ1691" s="1"/>
      <c r="JK1691" s="1"/>
      <c r="JL1691" s="3"/>
      <c r="JM1691" s="1"/>
      <c r="JP1691" s="1"/>
      <c r="JQ1691" s="1"/>
      <c r="JR1691" s="1"/>
      <c r="JT1691" s="1"/>
      <c r="KU1691" s="1"/>
      <c r="KV1691" s="1"/>
      <c r="KZ1691" s="1"/>
      <c r="LO1691" s="1"/>
      <c r="LP1691" s="1"/>
      <c r="LZ1691" s="1"/>
      <c r="MA1691" s="1"/>
    </row>
    <row r="1692" spans="4:342" ht="13" x14ac:dyDescent="0.15">
      <c r="D1692" s="12"/>
      <c r="E1692" s="12"/>
      <c r="I1692" s="12"/>
      <c r="J1692" s="13"/>
      <c r="BG1692" s="1"/>
      <c r="BH1692" s="1"/>
      <c r="BI1692" s="1"/>
      <c r="BK1692" s="1"/>
      <c r="BL1692" s="1"/>
      <c r="BM1692" s="1"/>
      <c r="BN1692" s="1"/>
      <c r="BO1692" s="1"/>
      <c r="BP1692" s="1"/>
      <c r="BQ1692" s="1"/>
      <c r="BR1692" s="1"/>
      <c r="CD1692" s="1"/>
      <c r="CE1692" s="1"/>
      <c r="CF1692" s="1"/>
      <c r="CM1692" s="2"/>
      <c r="CQ1692" s="1"/>
      <c r="CY1692" s="1"/>
      <c r="DC1692" s="1"/>
      <c r="DH1692" s="1"/>
      <c r="ED1692" s="1"/>
      <c r="EF1692" s="1"/>
      <c r="EK1692" s="1"/>
      <c r="EL1692" s="1"/>
      <c r="EM1692" s="1"/>
      <c r="EN1692" s="1"/>
      <c r="EQ1692" s="1"/>
      <c r="ER1692" s="1"/>
      <c r="ES1692" s="1"/>
      <c r="EV1692" s="1"/>
      <c r="EW1692" s="1"/>
      <c r="EZ1692" s="1"/>
      <c r="GP1692" s="1"/>
      <c r="HY1692" s="1"/>
      <c r="IJ1692" s="1"/>
      <c r="IS1692" s="1"/>
      <c r="IZ1692" s="1"/>
      <c r="JJ1692" s="1"/>
      <c r="JP1692" s="1"/>
      <c r="JQ1692" s="1"/>
      <c r="JT1692" s="1"/>
      <c r="LZ1692" s="1"/>
      <c r="MA1692" s="1"/>
    </row>
    <row r="1693" spans="4:342" ht="13" x14ac:dyDescent="0.15">
      <c r="D1693" s="12"/>
      <c r="E1693" s="12"/>
      <c r="I1693" s="12"/>
      <c r="J1693" s="13"/>
      <c r="BF1693" s="1"/>
      <c r="BG1693" s="1"/>
      <c r="BH1693" s="1"/>
      <c r="BI1693" s="1"/>
      <c r="BJ1693" s="1"/>
      <c r="BK1693" s="1"/>
      <c r="BL1693" s="1"/>
      <c r="BM1693" s="1"/>
      <c r="BN1693" s="1"/>
      <c r="BO1693" s="1"/>
      <c r="BP1693" s="1"/>
      <c r="BQ1693" s="1"/>
      <c r="BR1693" s="1"/>
      <c r="CD1693" s="1"/>
      <c r="CE1693" s="1"/>
      <c r="CF1693" s="1"/>
      <c r="CG1693" s="1"/>
      <c r="CM1693" s="2"/>
      <c r="CP1693" s="1"/>
      <c r="CQ1693" s="1"/>
      <c r="CS1693" s="1"/>
      <c r="CT1693" s="1"/>
      <c r="CU1693" s="1"/>
      <c r="CV1693" s="1"/>
      <c r="CW1693" s="1"/>
      <c r="CX1693" s="1"/>
      <c r="CY1693" s="1"/>
      <c r="CZ1693" s="1"/>
      <c r="DA1693" s="1"/>
      <c r="DB1693" s="1"/>
      <c r="DC1693" s="1"/>
      <c r="DD1693" s="1"/>
      <c r="DE1693" s="1"/>
      <c r="DF1693" s="1"/>
      <c r="DG1693" s="1"/>
      <c r="DH1693" s="1"/>
      <c r="DI1693" s="1"/>
      <c r="DJ1693" s="1"/>
      <c r="DK1693" s="1"/>
      <c r="DM1693" s="1"/>
      <c r="DQ1693" s="1"/>
      <c r="DR1693" s="1"/>
      <c r="DY1693" s="1"/>
      <c r="DZ1693" s="1"/>
      <c r="ED1693" s="1"/>
      <c r="EK1693" s="1"/>
      <c r="EL1693" s="1"/>
      <c r="EM1693" s="1"/>
      <c r="EN1693" s="1"/>
      <c r="EQ1693" s="1"/>
      <c r="ER1693" s="1"/>
      <c r="ES1693" s="1"/>
      <c r="EV1693" s="1"/>
      <c r="EW1693" s="1"/>
      <c r="EZ1693" s="1"/>
      <c r="GO1693" s="1"/>
      <c r="HY1693" s="1"/>
      <c r="IE1693" s="1"/>
      <c r="IR1693" s="1"/>
      <c r="IS1693" s="1"/>
      <c r="IY1693" s="1"/>
      <c r="IZ1693" s="1"/>
      <c r="JF1693" s="1"/>
      <c r="JG1693" s="1"/>
      <c r="JH1693" s="1"/>
      <c r="JJ1693" s="1"/>
      <c r="JN1693" s="1"/>
      <c r="JP1693" s="1"/>
      <c r="JQ1693" s="1"/>
      <c r="KV1693" s="1"/>
      <c r="KY1693" s="1"/>
      <c r="KZ1693" s="1"/>
      <c r="LA1693" s="1"/>
      <c r="LB1693" s="1"/>
      <c r="LC1693" s="1"/>
      <c r="LD1693" s="1"/>
      <c r="LO1693" s="1"/>
      <c r="LP1693" s="1"/>
      <c r="LZ1693" s="1"/>
      <c r="MA1693" s="1"/>
    </row>
    <row r="1694" spans="4:342" ht="13" x14ac:dyDescent="0.15">
      <c r="D1694" s="12"/>
      <c r="E1694" s="12"/>
      <c r="I1694" s="12"/>
      <c r="J1694" s="13"/>
      <c r="BF1694" s="1"/>
      <c r="BG1694" s="1"/>
      <c r="BH1694" s="1"/>
      <c r="BI1694" s="1"/>
      <c r="BJ1694" s="1"/>
      <c r="BK1694" s="1"/>
      <c r="BL1694" s="1"/>
      <c r="BM1694" s="1"/>
      <c r="BN1694" s="1"/>
      <c r="BO1694" s="1"/>
      <c r="BP1694" s="1"/>
      <c r="BQ1694" s="1"/>
      <c r="BR1694" s="1"/>
      <c r="CD1694" s="1"/>
      <c r="CE1694" s="1"/>
      <c r="CF1694" s="1"/>
      <c r="CG1694" s="1"/>
      <c r="CM1694" s="2"/>
      <c r="CP1694" s="1"/>
      <c r="CQ1694" s="1"/>
      <c r="CS1694" s="1"/>
      <c r="CT1694" s="1"/>
      <c r="CU1694" s="1"/>
      <c r="CV1694" s="1"/>
      <c r="CW1694" s="1"/>
      <c r="CX1694" s="1"/>
      <c r="CY1694" s="1"/>
      <c r="CZ1694" s="1"/>
      <c r="DA1694" s="1"/>
      <c r="DB1694" s="1"/>
      <c r="DC1694" s="1"/>
      <c r="DD1694" s="1"/>
      <c r="DE1694" s="1"/>
      <c r="DF1694" s="1"/>
      <c r="DG1694" s="1"/>
      <c r="DH1694" s="1"/>
      <c r="DI1694" s="1"/>
      <c r="DJ1694" s="1"/>
      <c r="DK1694" s="1"/>
      <c r="DM1694" s="1"/>
      <c r="DQ1694" s="1"/>
      <c r="DR1694" s="1"/>
      <c r="DY1694" s="1"/>
      <c r="DZ1694" s="1"/>
      <c r="ED1694" s="1"/>
      <c r="EK1694" s="1"/>
      <c r="EL1694" s="1"/>
      <c r="EM1694" s="1"/>
      <c r="EN1694" s="1"/>
      <c r="EQ1694" s="1"/>
      <c r="ER1694" s="1"/>
      <c r="ES1694" s="1"/>
      <c r="EV1694" s="1"/>
      <c r="EW1694" s="1"/>
      <c r="EZ1694" s="1"/>
      <c r="GO1694" s="1"/>
      <c r="HY1694" s="1"/>
      <c r="IE1694" s="1"/>
      <c r="IR1694" s="1"/>
      <c r="IS1694" s="1"/>
      <c r="IY1694" s="1"/>
      <c r="IZ1694" s="1"/>
      <c r="JF1694" s="1"/>
      <c r="JG1694" s="1"/>
      <c r="JH1694" s="1"/>
      <c r="JJ1694" s="1"/>
      <c r="JN1694" s="1"/>
      <c r="JP1694" s="1"/>
      <c r="JQ1694" s="1"/>
      <c r="KV1694" s="1"/>
      <c r="KY1694" s="1"/>
      <c r="KZ1694" s="1"/>
      <c r="LA1694" s="1"/>
      <c r="LB1694" s="1"/>
      <c r="LC1694" s="1"/>
      <c r="LD1694" s="1"/>
      <c r="LO1694" s="1"/>
      <c r="LP1694" s="1"/>
      <c r="LZ1694" s="1"/>
      <c r="MA1694" s="1"/>
    </row>
    <row r="1695" spans="4:342" ht="13" x14ac:dyDescent="0.15">
      <c r="D1695" s="12"/>
      <c r="E1695" s="12"/>
      <c r="I1695" s="12"/>
      <c r="J1695" s="13"/>
      <c r="BF1695" s="1"/>
      <c r="BG1695" s="1"/>
      <c r="BH1695" s="1"/>
      <c r="BI1695" s="1"/>
      <c r="BJ1695" s="1"/>
      <c r="BK1695" s="1"/>
      <c r="BL1695" s="1"/>
      <c r="BM1695" s="1"/>
      <c r="BN1695" s="1"/>
      <c r="BO1695" s="1"/>
      <c r="BP1695" s="1"/>
      <c r="BQ1695" s="1"/>
      <c r="BR1695" s="1"/>
      <c r="CD1695" s="1"/>
      <c r="CE1695" s="1"/>
      <c r="CF1695" s="1"/>
      <c r="CG1695" s="1"/>
      <c r="CM1695" s="2"/>
      <c r="CP1695" s="1"/>
      <c r="CQ1695" s="1"/>
      <c r="CS1695" s="1"/>
      <c r="CT1695" s="1"/>
      <c r="CU1695" s="1"/>
      <c r="CV1695" s="1"/>
      <c r="CW1695" s="1"/>
      <c r="CX1695" s="1"/>
      <c r="CY1695" s="1"/>
      <c r="CZ1695" s="1"/>
      <c r="DA1695" s="1"/>
      <c r="DB1695" s="1"/>
      <c r="DC1695" s="1"/>
      <c r="DD1695" s="1"/>
      <c r="DE1695" s="1"/>
      <c r="DF1695" s="1"/>
      <c r="DG1695" s="1"/>
      <c r="DH1695" s="1"/>
      <c r="DI1695" s="1"/>
      <c r="DJ1695" s="1"/>
      <c r="DK1695" s="1"/>
      <c r="DM1695" s="1"/>
      <c r="DQ1695" s="1"/>
      <c r="DR1695" s="1"/>
      <c r="DY1695" s="1"/>
      <c r="DZ1695" s="1"/>
      <c r="ED1695" s="1"/>
      <c r="EK1695" s="1"/>
      <c r="EL1695" s="1"/>
      <c r="EM1695" s="1"/>
      <c r="EN1695" s="1"/>
      <c r="EQ1695" s="1"/>
      <c r="ER1695" s="1"/>
      <c r="ES1695" s="1"/>
      <c r="EV1695" s="1"/>
      <c r="EW1695" s="1"/>
      <c r="EZ1695" s="1"/>
      <c r="GO1695" s="1"/>
      <c r="HY1695" s="1"/>
      <c r="IE1695" s="1"/>
      <c r="IR1695" s="1"/>
      <c r="IS1695" s="1"/>
      <c r="IY1695" s="1"/>
      <c r="IZ1695" s="1"/>
      <c r="JF1695" s="1"/>
      <c r="JG1695" s="1"/>
      <c r="JH1695" s="1"/>
      <c r="JJ1695" s="1"/>
      <c r="JN1695" s="1"/>
      <c r="JP1695" s="1"/>
      <c r="JQ1695" s="1"/>
      <c r="KV1695" s="1"/>
      <c r="KY1695" s="1"/>
      <c r="KZ1695" s="1"/>
      <c r="LA1695" s="1"/>
      <c r="LB1695" s="1"/>
      <c r="LC1695" s="1"/>
      <c r="LD1695" s="1"/>
      <c r="LO1695" s="1"/>
      <c r="LP1695" s="1"/>
      <c r="LZ1695" s="1"/>
      <c r="MA1695" s="1"/>
    </row>
    <row r="1696" spans="4:342" ht="13" x14ac:dyDescent="0.15">
      <c r="D1696" s="12"/>
      <c r="E1696" s="12"/>
      <c r="I1696" s="12"/>
      <c r="J1696" s="13"/>
      <c r="BF1696" s="1"/>
      <c r="BG1696" s="1"/>
      <c r="BH1696" s="1"/>
      <c r="BI1696" s="1"/>
      <c r="BJ1696" s="1"/>
      <c r="BK1696" s="1"/>
      <c r="BL1696" s="1"/>
      <c r="BM1696" s="1"/>
      <c r="BN1696" s="1"/>
      <c r="BO1696" s="1"/>
      <c r="BP1696" s="1"/>
      <c r="BQ1696" s="1"/>
      <c r="BR1696" s="1"/>
      <c r="CD1696" s="1"/>
      <c r="CE1696" s="1"/>
      <c r="CF1696" s="1"/>
      <c r="CG1696" s="1"/>
      <c r="CM1696" s="2"/>
      <c r="CP1696" s="1"/>
      <c r="CQ1696" s="1"/>
      <c r="CS1696" s="1"/>
      <c r="CT1696" s="1"/>
      <c r="CU1696" s="1"/>
      <c r="CV1696" s="1"/>
      <c r="CW1696" s="1"/>
      <c r="CX1696" s="1"/>
      <c r="CY1696" s="1"/>
      <c r="CZ1696" s="1"/>
      <c r="DA1696" s="1"/>
      <c r="DB1696" s="1"/>
      <c r="DC1696" s="1"/>
      <c r="DD1696" s="1"/>
      <c r="DE1696" s="1"/>
      <c r="DF1696" s="1"/>
      <c r="DG1696" s="1"/>
      <c r="DH1696" s="1"/>
      <c r="DI1696" s="1"/>
      <c r="DJ1696" s="1"/>
      <c r="DK1696" s="1"/>
      <c r="DM1696" s="1"/>
      <c r="DQ1696" s="1"/>
      <c r="DR1696" s="1"/>
      <c r="DY1696" s="1"/>
      <c r="DZ1696" s="1"/>
      <c r="ED1696" s="1"/>
      <c r="EK1696" s="1"/>
      <c r="EL1696" s="1"/>
      <c r="EM1696" s="1"/>
      <c r="EN1696" s="1"/>
      <c r="EQ1696" s="1"/>
      <c r="ER1696" s="1"/>
      <c r="ES1696" s="1"/>
      <c r="EV1696" s="1"/>
      <c r="EW1696" s="1"/>
      <c r="EZ1696" s="1"/>
      <c r="GO1696" s="1"/>
      <c r="HY1696" s="1"/>
      <c r="IE1696" s="1"/>
      <c r="IR1696" s="1"/>
      <c r="IS1696" s="1"/>
      <c r="IY1696" s="1"/>
      <c r="IZ1696" s="1"/>
      <c r="JF1696" s="1"/>
      <c r="JG1696" s="1"/>
      <c r="JH1696" s="1"/>
      <c r="JJ1696" s="1"/>
      <c r="JN1696" s="1"/>
      <c r="JP1696" s="1"/>
      <c r="JQ1696" s="1"/>
      <c r="KV1696" s="1"/>
      <c r="KY1696" s="1"/>
      <c r="KZ1696" s="1"/>
      <c r="LA1696" s="1"/>
      <c r="LB1696" s="1"/>
      <c r="LC1696" s="1"/>
      <c r="LD1696" s="1"/>
      <c r="LO1696" s="1"/>
      <c r="LP1696" s="1"/>
      <c r="LZ1696" s="1"/>
      <c r="MA1696" s="1"/>
    </row>
    <row r="1697" spans="4:339" ht="13" x14ac:dyDescent="0.15">
      <c r="D1697" s="12"/>
      <c r="E1697" s="12"/>
      <c r="I1697" s="12"/>
      <c r="J1697" s="13"/>
      <c r="BF1697" s="1"/>
      <c r="BG1697" s="1"/>
      <c r="BH1697" s="1"/>
      <c r="BI1697" s="1"/>
      <c r="BJ1697" s="1"/>
      <c r="BK1697" s="1"/>
      <c r="BL1697" s="1"/>
      <c r="BM1697" s="1"/>
      <c r="BN1697" s="1"/>
      <c r="BO1697" s="1"/>
      <c r="BP1697" s="1"/>
      <c r="BQ1697" s="1"/>
      <c r="BR1697" s="1"/>
      <c r="CD1697" s="1"/>
      <c r="CE1697" s="1"/>
      <c r="CF1697" s="1"/>
      <c r="CG1697" s="1"/>
      <c r="CM1697" s="2"/>
      <c r="CP1697" s="1"/>
      <c r="CQ1697" s="1"/>
      <c r="CS1697" s="1"/>
      <c r="CT1697" s="1"/>
      <c r="CU1697" s="1"/>
      <c r="CV1697" s="1"/>
      <c r="CW1697" s="1"/>
      <c r="CX1697" s="1"/>
      <c r="CY1697" s="1"/>
      <c r="CZ1697" s="1"/>
      <c r="DA1697" s="1"/>
      <c r="DB1697" s="1"/>
      <c r="DC1697" s="1"/>
      <c r="DD1697" s="1"/>
      <c r="DE1697" s="1"/>
      <c r="DF1697" s="1"/>
      <c r="DG1697" s="1"/>
      <c r="DH1697" s="1"/>
      <c r="DI1697" s="1"/>
      <c r="DJ1697" s="1"/>
      <c r="DK1697" s="1"/>
      <c r="DM1697" s="1"/>
      <c r="DQ1697" s="1"/>
      <c r="DR1697" s="1"/>
      <c r="DY1697" s="1"/>
      <c r="DZ1697" s="1"/>
      <c r="ED1697" s="1"/>
      <c r="EK1697" s="1"/>
      <c r="EL1697" s="1"/>
      <c r="EM1697" s="1"/>
      <c r="EN1697" s="1"/>
      <c r="EQ1697" s="1"/>
      <c r="ER1697" s="1"/>
      <c r="ES1697" s="1"/>
      <c r="EV1697" s="1"/>
      <c r="EW1697" s="1"/>
      <c r="EZ1697" s="1"/>
      <c r="GO1697" s="1"/>
      <c r="HY1697" s="1"/>
      <c r="IE1697" s="1"/>
      <c r="IR1697" s="1"/>
      <c r="IS1697" s="1"/>
      <c r="IY1697" s="1"/>
      <c r="IZ1697" s="1"/>
      <c r="JF1697" s="1"/>
      <c r="JG1697" s="1"/>
      <c r="JH1697" s="1"/>
      <c r="JJ1697" s="1"/>
      <c r="JN1697" s="1"/>
      <c r="JP1697" s="1"/>
      <c r="JQ1697" s="1"/>
      <c r="KV1697" s="1"/>
      <c r="KY1697" s="1"/>
      <c r="KZ1697" s="1"/>
      <c r="LA1697" s="1"/>
      <c r="LB1697" s="1"/>
      <c r="LC1697" s="1"/>
      <c r="LD1697" s="1"/>
      <c r="LO1697" s="1"/>
      <c r="LP1697" s="1"/>
      <c r="LZ1697" s="1"/>
      <c r="MA1697" s="1"/>
    </row>
    <row r="1698" spans="4:339" ht="13" x14ac:dyDescent="0.15">
      <c r="D1698" s="12"/>
      <c r="E1698" s="12"/>
      <c r="I1698" s="12"/>
      <c r="J1698" s="13"/>
      <c r="BF1698" s="1"/>
      <c r="BG1698" s="1"/>
      <c r="BH1698" s="1"/>
      <c r="BI1698" s="1"/>
      <c r="BJ1698" s="1"/>
      <c r="BK1698" s="1"/>
      <c r="BL1698" s="1"/>
      <c r="BM1698" s="1"/>
      <c r="BN1698" s="1"/>
      <c r="BP1698" s="1"/>
      <c r="BQ1698" s="1"/>
      <c r="BR1698" s="1"/>
      <c r="CD1698" s="1"/>
      <c r="CE1698" s="1"/>
      <c r="CF1698" s="1"/>
      <c r="CG1698" s="1"/>
      <c r="CJ1698" s="1"/>
      <c r="CM1698" s="2"/>
      <c r="CP1698" s="1"/>
      <c r="CQ1698" s="1"/>
      <c r="CS1698" s="1"/>
      <c r="CT1698" s="1"/>
      <c r="CU1698" s="1"/>
      <c r="CV1698" s="1"/>
      <c r="CW1698" s="1"/>
      <c r="CX1698" s="1"/>
      <c r="CY1698" s="1"/>
      <c r="CZ1698" s="1"/>
      <c r="DA1698" s="1"/>
      <c r="DB1698" s="1"/>
      <c r="DC1698" s="1"/>
      <c r="DD1698" s="1"/>
      <c r="DE1698" s="1"/>
      <c r="DF1698" s="1"/>
      <c r="DG1698" s="1"/>
      <c r="DH1698" s="1"/>
      <c r="DI1698" s="1"/>
      <c r="DJ1698" s="1"/>
      <c r="DK1698" s="1"/>
      <c r="ED1698" s="1"/>
      <c r="EK1698" s="1"/>
      <c r="EL1698" s="1"/>
      <c r="EM1698" s="1"/>
      <c r="EN1698" s="1"/>
      <c r="EQ1698" s="1"/>
      <c r="ER1698" s="1"/>
      <c r="ES1698" s="1"/>
      <c r="EV1698" s="1"/>
      <c r="EW1698" s="1"/>
      <c r="EZ1698" s="1"/>
      <c r="GO1698" s="1"/>
      <c r="GP1698" s="1"/>
      <c r="HY1698" s="1"/>
      <c r="IE1698" s="1"/>
      <c r="IR1698" s="1"/>
      <c r="IS1698" s="1"/>
      <c r="IZ1698" s="1"/>
      <c r="JC1698" s="1"/>
      <c r="JF1698" s="1"/>
      <c r="JG1698" s="1"/>
      <c r="JH1698" s="1"/>
      <c r="JJ1698" s="1"/>
      <c r="JN1698" s="1"/>
      <c r="JP1698" s="1"/>
      <c r="JQ1698" s="1"/>
      <c r="JT1698" s="1"/>
      <c r="KV1698" s="1"/>
      <c r="KY1698" s="1"/>
      <c r="KZ1698" s="1"/>
      <c r="LA1698" s="1"/>
      <c r="LB1698" s="1"/>
      <c r="LC1698" s="1"/>
      <c r="LD1698" s="1"/>
      <c r="LF1698" s="1"/>
      <c r="LO1698" s="1"/>
      <c r="LP1698" s="1"/>
      <c r="LZ1698" s="1"/>
      <c r="MA1698" s="1"/>
    </row>
    <row r="1699" spans="4:339" ht="13" x14ac:dyDescent="0.15">
      <c r="D1699" s="12"/>
      <c r="E1699" s="12"/>
      <c r="I1699" s="12"/>
      <c r="J1699" s="13"/>
      <c r="BF1699" s="1"/>
      <c r="BG1699" s="1"/>
      <c r="BH1699" s="1"/>
      <c r="BI1699" s="1"/>
      <c r="BJ1699" s="1"/>
      <c r="BK1699" s="1"/>
      <c r="BL1699" s="1"/>
      <c r="BM1699" s="1"/>
      <c r="BN1699" s="1"/>
      <c r="BP1699" s="1"/>
      <c r="BQ1699" s="1"/>
      <c r="BR1699" s="1"/>
      <c r="CD1699" s="1"/>
      <c r="CE1699" s="1"/>
      <c r="CF1699" s="1"/>
      <c r="CG1699" s="1"/>
      <c r="CJ1699" s="1"/>
      <c r="CM1699" s="2"/>
      <c r="CP1699" s="1"/>
      <c r="CQ1699" s="1"/>
      <c r="CS1699" s="1"/>
      <c r="CT1699" s="1"/>
      <c r="CU1699" s="1"/>
      <c r="CV1699" s="1"/>
      <c r="CW1699" s="1"/>
      <c r="CX1699" s="1"/>
      <c r="CY1699" s="1"/>
      <c r="CZ1699" s="1"/>
      <c r="DA1699" s="1"/>
      <c r="DB1699" s="1"/>
      <c r="DC1699" s="1"/>
      <c r="DD1699" s="1"/>
      <c r="DE1699" s="1"/>
      <c r="DF1699" s="1"/>
      <c r="DG1699" s="1"/>
      <c r="DH1699" s="1"/>
      <c r="DI1699" s="1"/>
      <c r="DJ1699" s="1"/>
      <c r="DK1699" s="1"/>
      <c r="ED1699" s="1"/>
      <c r="EK1699" s="1"/>
      <c r="EL1699" s="1"/>
      <c r="EM1699" s="1"/>
      <c r="EN1699" s="1"/>
      <c r="EQ1699" s="1"/>
      <c r="ER1699" s="1"/>
      <c r="ES1699" s="1"/>
      <c r="EV1699" s="1"/>
      <c r="EW1699" s="1"/>
      <c r="EZ1699" s="1"/>
      <c r="GO1699" s="1"/>
      <c r="GP1699" s="1"/>
      <c r="HY1699" s="1"/>
      <c r="IE1699" s="1"/>
      <c r="IR1699" s="1"/>
      <c r="IS1699" s="1"/>
      <c r="IZ1699" s="1"/>
      <c r="JC1699" s="1"/>
      <c r="JF1699" s="1"/>
      <c r="JG1699" s="1"/>
      <c r="JH1699" s="1"/>
      <c r="JJ1699" s="1"/>
      <c r="JN1699" s="1"/>
      <c r="JP1699" s="1"/>
      <c r="JQ1699" s="1"/>
      <c r="JT1699" s="1"/>
      <c r="KV1699" s="1"/>
      <c r="KY1699" s="1"/>
      <c r="KZ1699" s="1"/>
      <c r="LA1699" s="1"/>
      <c r="LB1699" s="1"/>
      <c r="LC1699" s="1"/>
      <c r="LD1699" s="1"/>
      <c r="LF1699" s="1"/>
      <c r="LO1699" s="1"/>
      <c r="LP1699" s="1"/>
      <c r="LZ1699" s="1"/>
      <c r="MA1699" s="1"/>
    </row>
    <row r="1700" spans="4:339" ht="13" x14ac:dyDescent="0.15">
      <c r="D1700" s="12"/>
      <c r="E1700" s="12"/>
      <c r="I1700" s="12"/>
      <c r="J1700" s="13"/>
      <c r="BF1700" s="1"/>
      <c r="BG1700" s="1"/>
      <c r="BH1700" s="1"/>
      <c r="BI1700" s="1"/>
      <c r="BJ1700" s="1"/>
      <c r="BK1700" s="1"/>
      <c r="BL1700" s="1"/>
      <c r="BM1700" s="1"/>
      <c r="BN1700" s="1"/>
      <c r="BO1700" s="1"/>
      <c r="BP1700" s="1"/>
      <c r="BQ1700" s="1"/>
      <c r="BR1700" s="1"/>
      <c r="CD1700" s="1"/>
      <c r="CE1700" s="1"/>
      <c r="CF1700" s="1"/>
      <c r="CM1700" s="2"/>
      <c r="CP1700" s="1"/>
      <c r="CQ1700" s="1"/>
      <c r="CR1700" s="1"/>
      <c r="CS1700" s="1"/>
      <c r="CT1700" s="1"/>
      <c r="CU1700" s="1"/>
      <c r="CV1700" s="1"/>
      <c r="CW1700" s="1"/>
      <c r="CX1700" s="1"/>
      <c r="CY1700" s="1"/>
      <c r="CZ1700" s="1"/>
      <c r="DA1700" s="1"/>
      <c r="DB1700" s="1"/>
      <c r="DC1700" s="1"/>
      <c r="DD1700" s="1"/>
      <c r="DE1700" s="1"/>
      <c r="DF1700" s="1"/>
      <c r="DG1700" s="1"/>
      <c r="DH1700" s="1"/>
      <c r="DI1700" s="1"/>
      <c r="DJ1700" s="1"/>
      <c r="DK1700" s="1"/>
      <c r="ED1700" s="1"/>
      <c r="EE1700" s="1"/>
      <c r="EF1700" s="1"/>
      <c r="EG1700" s="1"/>
      <c r="EH1700" s="1"/>
      <c r="EK1700" s="1"/>
      <c r="EL1700" s="1"/>
      <c r="EM1700" s="1"/>
      <c r="EN1700" s="1"/>
      <c r="EQ1700" s="1"/>
      <c r="ER1700" s="1"/>
      <c r="ES1700" s="1"/>
      <c r="EV1700" s="1"/>
      <c r="EW1700" s="1"/>
      <c r="EY1700" s="1"/>
      <c r="EZ1700" s="1"/>
      <c r="GP1700" s="1"/>
      <c r="HY1700" s="1"/>
      <c r="IE1700" s="1"/>
      <c r="IG1700" s="1"/>
      <c r="IJ1700" s="1"/>
      <c r="IS1700" s="1"/>
      <c r="IZ1700" s="1"/>
      <c r="JJ1700" s="1"/>
      <c r="JK1700" s="1"/>
      <c r="JL1700" s="3"/>
      <c r="JM1700" s="1"/>
      <c r="JN1700" s="1"/>
      <c r="JP1700" s="1"/>
      <c r="JQ1700" s="1"/>
      <c r="JR1700" s="1"/>
      <c r="KZ1700" s="1"/>
      <c r="LZ1700" s="1"/>
      <c r="MA1700" s="1"/>
    </row>
    <row r="1701" spans="4:339" ht="13" x14ac:dyDescent="0.15">
      <c r="D1701" s="12"/>
      <c r="E1701" s="12"/>
      <c r="I1701" s="12"/>
      <c r="J1701" s="13"/>
      <c r="BF1701" s="1"/>
      <c r="BG1701" s="1"/>
      <c r="BH1701" s="1"/>
      <c r="BI1701" s="1"/>
      <c r="BJ1701" s="1"/>
      <c r="BK1701" s="1"/>
      <c r="BL1701" s="1"/>
      <c r="BM1701" s="1"/>
      <c r="BN1701" s="1"/>
      <c r="BO1701" s="1"/>
      <c r="BP1701" s="1"/>
      <c r="BQ1701" s="1"/>
      <c r="BR1701" s="1"/>
      <c r="CD1701" s="1"/>
      <c r="CE1701" s="1"/>
      <c r="CF1701" s="1"/>
      <c r="CM1701" s="2"/>
      <c r="CP1701" s="1"/>
      <c r="CQ1701" s="1"/>
      <c r="CR1701" s="1"/>
      <c r="CS1701" s="1"/>
      <c r="CT1701" s="1"/>
      <c r="CU1701" s="1"/>
      <c r="CV1701" s="1"/>
      <c r="CW1701" s="1"/>
      <c r="CX1701" s="1"/>
      <c r="CY1701" s="1"/>
      <c r="CZ1701" s="1"/>
      <c r="DA1701" s="1"/>
      <c r="DB1701" s="1"/>
      <c r="DC1701" s="1"/>
      <c r="DD1701" s="1"/>
      <c r="DE1701" s="1"/>
      <c r="DF1701" s="1"/>
      <c r="DG1701" s="1"/>
      <c r="DH1701" s="1"/>
      <c r="DI1701" s="1"/>
      <c r="DJ1701" s="1"/>
      <c r="DK1701" s="1"/>
      <c r="ED1701" s="1"/>
      <c r="EE1701" s="1"/>
      <c r="EF1701" s="1"/>
      <c r="EG1701" s="1"/>
      <c r="EH1701" s="1"/>
      <c r="EK1701" s="1"/>
      <c r="EL1701" s="1"/>
      <c r="EM1701" s="1"/>
      <c r="EN1701" s="1"/>
      <c r="EQ1701" s="1"/>
      <c r="ER1701" s="1"/>
      <c r="ES1701" s="1"/>
      <c r="EV1701" s="1"/>
      <c r="EW1701" s="1"/>
      <c r="EY1701" s="1"/>
      <c r="EZ1701" s="1"/>
      <c r="GP1701" s="1"/>
      <c r="HY1701" s="1"/>
      <c r="IE1701" s="1"/>
      <c r="IG1701" s="1"/>
      <c r="IJ1701" s="1"/>
      <c r="IS1701" s="1"/>
      <c r="IZ1701" s="1"/>
      <c r="JJ1701" s="1"/>
      <c r="JK1701" s="1"/>
      <c r="JL1701" s="3"/>
      <c r="JM1701" s="1"/>
      <c r="JN1701" s="1"/>
      <c r="JP1701" s="1"/>
      <c r="JQ1701" s="1"/>
      <c r="JR1701" s="1"/>
      <c r="KZ1701" s="1"/>
      <c r="LZ1701" s="1"/>
      <c r="MA1701" s="1"/>
    </row>
    <row r="1702" spans="4:339" ht="13" x14ac:dyDescent="0.15">
      <c r="D1702" s="12"/>
      <c r="E1702" s="12"/>
      <c r="I1702" s="12"/>
      <c r="J1702" s="13"/>
      <c r="BF1702" s="1"/>
      <c r="BG1702" s="1"/>
      <c r="BH1702" s="1"/>
      <c r="BI1702" s="1"/>
      <c r="BK1702" s="1"/>
      <c r="BL1702" s="1"/>
      <c r="BM1702" s="1"/>
      <c r="BN1702" s="1"/>
      <c r="BO1702" s="1"/>
      <c r="BP1702" s="1"/>
      <c r="CD1702" s="1"/>
      <c r="CE1702" s="1"/>
      <c r="CF1702" s="1"/>
      <c r="CM1702" s="2"/>
      <c r="CP1702" s="1"/>
      <c r="CQ1702" s="1"/>
      <c r="CS1702" s="1"/>
      <c r="CT1702" s="1"/>
      <c r="CU1702" s="1"/>
      <c r="CV1702" s="1"/>
      <c r="CW1702" s="1"/>
      <c r="CX1702" s="1"/>
      <c r="CY1702" s="1"/>
      <c r="CZ1702" s="1"/>
      <c r="DA1702" s="1"/>
      <c r="DB1702" s="1"/>
      <c r="DC1702" s="1"/>
      <c r="DD1702" s="1"/>
      <c r="DE1702" s="1"/>
      <c r="DF1702" s="1"/>
      <c r="DG1702" s="1"/>
      <c r="DH1702" s="1"/>
      <c r="DI1702" s="1"/>
      <c r="DJ1702" s="1"/>
      <c r="DK1702" s="1"/>
      <c r="ED1702" s="1"/>
      <c r="EK1702" s="1"/>
      <c r="EL1702" s="1"/>
      <c r="EM1702" s="1"/>
      <c r="EN1702" s="1"/>
      <c r="EQ1702" s="1"/>
      <c r="ER1702" s="1"/>
      <c r="ES1702" s="1"/>
      <c r="EV1702" s="1"/>
      <c r="EW1702" s="1"/>
      <c r="EZ1702" s="1"/>
      <c r="GO1702" s="1"/>
      <c r="GP1702" s="1"/>
      <c r="HY1702" s="1"/>
      <c r="IE1702" s="1"/>
      <c r="IS1702" s="1"/>
      <c r="IY1702" s="1"/>
      <c r="IZ1702" s="1"/>
      <c r="JF1702" s="1"/>
      <c r="JH1702" s="1"/>
      <c r="JJ1702" s="1"/>
      <c r="JN1702" s="1"/>
      <c r="JP1702" s="1"/>
      <c r="JQ1702" s="1"/>
      <c r="KU1702" s="1"/>
      <c r="KW1702" s="1"/>
      <c r="KY1702" s="1"/>
      <c r="KZ1702" s="1"/>
      <c r="LA1702" s="1"/>
      <c r="LB1702" s="1"/>
      <c r="LC1702" s="1"/>
      <c r="LD1702" s="1"/>
      <c r="LN1702" s="1"/>
      <c r="LO1702" s="1"/>
      <c r="LP1702" s="1"/>
      <c r="LZ1702" s="1"/>
      <c r="MA1702" s="1"/>
    </row>
    <row r="1703" spans="4:339" ht="13" x14ac:dyDescent="0.15">
      <c r="D1703" s="12"/>
      <c r="E1703" s="12"/>
      <c r="I1703" s="12"/>
      <c r="J1703" s="13"/>
      <c r="BF1703" s="1"/>
      <c r="BG1703" s="1"/>
      <c r="BH1703" s="1"/>
      <c r="BI1703" s="1"/>
      <c r="BK1703" s="1"/>
      <c r="BL1703" s="1"/>
      <c r="BM1703" s="1"/>
      <c r="BN1703" s="1"/>
      <c r="BO1703" s="1"/>
      <c r="BP1703" s="1"/>
      <c r="BQ1703" s="1"/>
      <c r="BR1703" s="1"/>
      <c r="CD1703" s="1"/>
      <c r="CE1703" s="1"/>
      <c r="CF1703" s="1"/>
      <c r="CG1703" s="1"/>
      <c r="CM1703" s="2"/>
      <c r="CP1703" s="1"/>
      <c r="CQ1703" s="1"/>
      <c r="CS1703" s="1"/>
      <c r="CT1703" s="1"/>
      <c r="CU1703" s="1"/>
      <c r="CV1703" s="1"/>
      <c r="CW1703" s="1"/>
      <c r="CX1703" s="1"/>
      <c r="CY1703" s="1"/>
      <c r="CZ1703" s="1"/>
      <c r="DA1703" s="1"/>
      <c r="DB1703" s="1"/>
      <c r="DC1703" s="1"/>
      <c r="DD1703" s="1"/>
      <c r="DE1703" s="1"/>
      <c r="DF1703" s="1"/>
      <c r="DG1703" s="1"/>
      <c r="DH1703" s="1"/>
      <c r="DI1703" s="1"/>
      <c r="DJ1703" s="1"/>
      <c r="DK1703" s="1"/>
      <c r="ED1703" s="1"/>
      <c r="EK1703" s="1"/>
      <c r="EL1703" s="1"/>
      <c r="EM1703" s="1"/>
      <c r="EN1703" s="1"/>
      <c r="EQ1703" s="1"/>
      <c r="ER1703" s="1"/>
      <c r="ES1703" s="1"/>
      <c r="EV1703" s="1"/>
      <c r="EW1703" s="1"/>
      <c r="EZ1703" s="1"/>
      <c r="GP1703" s="1"/>
      <c r="HY1703" s="1"/>
      <c r="IE1703" s="1"/>
      <c r="IR1703" s="1"/>
      <c r="IS1703" s="1"/>
      <c r="IY1703" s="1"/>
      <c r="IZ1703" s="1"/>
      <c r="JF1703" s="1"/>
      <c r="JG1703" s="1"/>
      <c r="JH1703" s="1"/>
      <c r="JJ1703" s="1"/>
      <c r="JN1703" s="1"/>
      <c r="JP1703" s="1"/>
      <c r="JQ1703" s="1"/>
      <c r="JT1703" s="1"/>
      <c r="KY1703" s="1"/>
      <c r="KZ1703" s="1"/>
      <c r="LA1703" s="1"/>
      <c r="LB1703" s="1"/>
      <c r="LC1703" s="1"/>
      <c r="LD1703" s="1"/>
      <c r="LF1703" s="1"/>
      <c r="LN1703" s="1"/>
      <c r="LO1703" s="1"/>
      <c r="LP1703" s="1"/>
      <c r="LZ1703" s="1"/>
      <c r="MA1703" s="1"/>
    </row>
    <row r="1704" spans="4:339" ht="13" x14ac:dyDescent="0.15">
      <c r="D1704" s="12"/>
      <c r="E1704" s="12"/>
      <c r="I1704" s="12"/>
      <c r="J1704" s="13"/>
      <c r="BF1704" s="1"/>
      <c r="BG1704" s="1"/>
      <c r="BH1704" s="1"/>
      <c r="BI1704" s="1"/>
      <c r="BK1704" s="1"/>
      <c r="BL1704" s="1"/>
      <c r="BM1704" s="1"/>
      <c r="BN1704" s="1"/>
      <c r="BO1704" s="1"/>
      <c r="BP1704" s="1"/>
      <c r="BQ1704" s="1"/>
      <c r="BR1704" s="1"/>
      <c r="CD1704" s="1"/>
      <c r="CE1704" s="1"/>
      <c r="CF1704" s="1"/>
      <c r="CG1704" s="1"/>
      <c r="CM1704" s="2"/>
      <c r="CP1704" s="1"/>
      <c r="CQ1704" s="1"/>
      <c r="CS1704" s="1"/>
      <c r="CT1704" s="1"/>
      <c r="CU1704" s="1"/>
      <c r="CV1704" s="1"/>
      <c r="CW1704" s="1"/>
      <c r="CX1704" s="1"/>
      <c r="CY1704" s="1"/>
      <c r="CZ1704" s="1"/>
      <c r="DA1704" s="1"/>
      <c r="DB1704" s="1"/>
      <c r="DC1704" s="1"/>
      <c r="DD1704" s="1"/>
      <c r="DE1704" s="1"/>
      <c r="DF1704" s="1"/>
      <c r="DG1704" s="1"/>
      <c r="DH1704" s="1"/>
      <c r="DI1704" s="1"/>
      <c r="DJ1704" s="1"/>
      <c r="DK1704" s="1"/>
      <c r="ED1704" s="1"/>
      <c r="EK1704" s="1"/>
      <c r="EL1704" s="1"/>
      <c r="EM1704" s="1"/>
      <c r="EN1704" s="1"/>
      <c r="EQ1704" s="1"/>
      <c r="ER1704" s="1"/>
      <c r="ES1704" s="1"/>
      <c r="EV1704" s="1"/>
      <c r="EW1704" s="1"/>
      <c r="EZ1704" s="1"/>
      <c r="GP1704" s="1"/>
      <c r="HY1704" s="1"/>
      <c r="IE1704" s="1"/>
      <c r="IR1704" s="1"/>
      <c r="IS1704" s="1"/>
      <c r="IY1704" s="1"/>
      <c r="IZ1704" s="1"/>
      <c r="JF1704" s="1"/>
      <c r="JG1704" s="1"/>
      <c r="JH1704" s="1"/>
      <c r="JJ1704" s="1"/>
      <c r="JN1704" s="1"/>
      <c r="JP1704" s="1"/>
      <c r="JQ1704" s="1"/>
      <c r="JT1704" s="1"/>
      <c r="KY1704" s="1"/>
      <c r="KZ1704" s="1"/>
      <c r="LA1704" s="1"/>
      <c r="LB1704" s="1"/>
      <c r="LC1704" s="1"/>
      <c r="LD1704" s="1"/>
      <c r="LF1704" s="1"/>
      <c r="LN1704" s="1"/>
      <c r="LO1704" s="1"/>
      <c r="LP1704" s="1"/>
      <c r="LZ1704" s="1"/>
      <c r="MA1704" s="1"/>
    </row>
    <row r="1705" spans="4:339" ht="13" x14ac:dyDescent="0.15">
      <c r="D1705" s="12"/>
      <c r="E1705" s="12"/>
      <c r="I1705" s="12"/>
      <c r="J1705" s="13"/>
      <c r="BF1705" s="1"/>
      <c r="BG1705" s="1"/>
      <c r="BH1705" s="1"/>
      <c r="BI1705" s="1"/>
      <c r="BK1705" s="1"/>
      <c r="BL1705" s="1"/>
      <c r="BM1705" s="1"/>
      <c r="BN1705" s="1"/>
      <c r="BO1705" s="1"/>
      <c r="BP1705" s="1"/>
      <c r="BQ1705" s="1"/>
      <c r="BR1705" s="1"/>
      <c r="CD1705" s="1"/>
      <c r="CE1705" s="1"/>
      <c r="CF1705" s="1"/>
      <c r="CG1705" s="1"/>
      <c r="CM1705" s="2"/>
      <c r="CP1705" s="1"/>
      <c r="CQ1705" s="1"/>
      <c r="CS1705" s="1"/>
      <c r="CT1705" s="1"/>
      <c r="CU1705" s="1"/>
      <c r="CV1705" s="1"/>
      <c r="CW1705" s="1"/>
      <c r="CX1705" s="1"/>
      <c r="CY1705" s="1"/>
      <c r="CZ1705" s="1"/>
      <c r="DA1705" s="1"/>
      <c r="DB1705" s="1"/>
      <c r="DC1705" s="1"/>
      <c r="DD1705" s="1"/>
      <c r="DE1705" s="1"/>
      <c r="DF1705" s="1"/>
      <c r="DG1705" s="1"/>
      <c r="DH1705" s="1"/>
      <c r="DI1705" s="1"/>
      <c r="DJ1705" s="1"/>
      <c r="DK1705" s="1"/>
      <c r="ED1705" s="1"/>
      <c r="EK1705" s="1"/>
      <c r="EL1705" s="1"/>
      <c r="EM1705" s="1"/>
      <c r="EN1705" s="1"/>
      <c r="EQ1705" s="1"/>
      <c r="ER1705" s="1"/>
      <c r="ES1705" s="1"/>
      <c r="EV1705" s="1"/>
      <c r="EW1705" s="1"/>
      <c r="EZ1705" s="1"/>
      <c r="GP1705" s="1"/>
      <c r="HY1705" s="1"/>
      <c r="IE1705" s="1"/>
      <c r="IR1705" s="1"/>
      <c r="IS1705" s="1"/>
      <c r="IY1705" s="1"/>
      <c r="IZ1705" s="1"/>
      <c r="JF1705" s="1"/>
      <c r="JG1705" s="1"/>
      <c r="JH1705" s="1"/>
      <c r="JJ1705" s="1"/>
      <c r="JN1705" s="1"/>
      <c r="JP1705" s="1"/>
      <c r="JQ1705" s="1"/>
      <c r="JT1705" s="1"/>
      <c r="KY1705" s="1"/>
      <c r="KZ1705" s="1"/>
      <c r="LA1705" s="1"/>
      <c r="LB1705" s="1"/>
      <c r="LC1705" s="1"/>
      <c r="LD1705" s="1"/>
      <c r="LF1705" s="1"/>
      <c r="LN1705" s="1"/>
      <c r="LO1705" s="1"/>
      <c r="LP1705" s="1"/>
      <c r="LZ1705" s="1"/>
      <c r="MA1705" s="1"/>
    </row>
    <row r="1706" spans="4:339" ht="13" x14ac:dyDescent="0.15">
      <c r="D1706" s="12"/>
      <c r="E1706" s="12"/>
      <c r="I1706" s="12"/>
      <c r="J1706" s="13"/>
      <c r="BF1706" s="1"/>
      <c r="BG1706" s="1"/>
      <c r="BH1706" s="1"/>
      <c r="BI1706" s="1"/>
      <c r="BK1706" s="1"/>
      <c r="BL1706" s="1"/>
      <c r="BM1706" s="1"/>
      <c r="BN1706" s="1"/>
      <c r="BO1706" s="1"/>
      <c r="BP1706" s="1"/>
      <c r="BQ1706" s="1"/>
      <c r="BR1706" s="1"/>
      <c r="CD1706" s="1"/>
      <c r="CE1706" s="1"/>
      <c r="CF1706" s="1"/>
      <c r="CG1706" s="1"/>
      <c r="CM1706" s="2"/>
      <c r="CP1706" s="1"/>
      <c r="CQ1706" s="1"/>
      <c r="CS1706" s="1"/>
      <c r="CT1706" s="1"/>
      <c r="CU1706" s="1"/>
      <c r="CV1706" s="1"/>
      <c r="CW1706" s="1"/>
      <c r="CX1706" s="1"/>
      <c r="CY1706" s="1"/>
      <c r="CZ1706" s="1"/>
      <c r="DA1706" s="1"/>
      <c r="DB1706" s="1"/>
      <c r="DC1706" s="1"/>
      <c r="DD1706" s="1"/>
      <c r="DE1706" s="1"/>
      <c r="DF1706" s="1"/>
      <c r="DG1706" s="1"/>
      <c r="DH1706" s="1"/>
      <c r="DI1706" s="1"/>
      <c r="DJ1706" s="1"/>
      <c r="DK1706" s="1"/>
      <c r="ED1706" s="1"/>
      <c r="EK1706" s="1"/>
      <c r="EL1706" s="1"/>
      <c r="EM1706" s="1"/>
      <c r="EN1706" s="1"/>
      <c r="EQ1706" s="1"/>
      <c r="ER1706" s="1"/>
      <c r="ES1706" s="1"/>
      <c r="EV1706" s="1"/>
      <c r="EW1706" s="1"/>
      <c r="EZ1706" s="1"/>
      <c r="GP1706" s="1"/>
      <c r="HY1706" s="1"/>
      <c r="IE1706" s="1"/>
      <c r="IR1706" s="1"/>
      <c r="IS1706" s="1"/>
      <c r="IY1706" s="1"/>
      <c r="IZ1706" s="1"/>
      <c r="JF1706" s="1"/>
      <c r="JG1706" s="1"/>
      <c r="JH1706" s="1"/>
      <c r="JJ1706" s="1"/>
      <c r="JN1706" s="1"/>
      <c r="JP1706" s="1"/>
      <c r="JQ1706" s="1"/>
      <c r="JT1706" s="1"/>
      <c r="KY1706" s="1"/>
      <c r="KZ1706" s="1"/>
      <c r="LA1706" s="1"/>
      <c r="LB1706" s="1"/>
      <c r="LC1706" s="1"/>
      <c r="LD1706" s="1"/>
      <c r="LF1706" s="1"/>
      <c r="LN1706" s="1"/>
      <c r="LO1706" s="1"/>
      <c r="LP1706" s="1"/>
      <c r="LZ1706" s="1"/>
      <c r="MA1706" s="1"/>
    </row>
    <row r="1707" spans="4:339" ht="13" x14ac:dyDescent="0.15">
      <c r="D1707" s="12"/>
      <c r="E1707" s="12"/>
      <c r="I1707" s="12"/>
      <c r="J1707" s="13"/>
      <c r="BF1707" s="1"/>
      <c r="BG1707" s="1"/>
      <c r="BH1707" s="1"/>
      <c r="BI1707" s="1"/>
      <c r="BK1707" s="1"/>
      <c r="BL1707" s="1"/>
      <c r="BM1707" s="1"/>
      <c r="BN1707" s="1"/>
      <c r="BO1707" s="1"/>
      <c r="BP1707" s="1"/>
      <c r="BQ1707" s="1"/>
      <c r="BR1707" s="1"/>
      <c r="CD1707" s="1"/>
      <c r="CE1707" s="1"/>
      <c r="CF1707" s="1"/>
      <c r="CG1707" s="1"/>
      <c r="CM1707" s="2"/>
      <c r="CP1707" s="1"/>
      <c r="CQ1707" s="1"/>
      <c r="CS1707" s="1"/>
      <c r="CT1707" s="1"/>
      <c r="CU1707" s="1"/>
      <c r="CV1707" s="1"/>
      <c r="CW1707" s="1"/>
      <c r="CX1707" s="1"/>
      <c r="CY1707" s="1"/>
      <c r="CZ1707" s="1"/>
      <c r="DA1707" s="1"/>
      <c r="DB1707" s="1"/>
      <c r="DC1707" s="1"/>
      <c r="DD1707" s="1"/>
      <c r="DE1707" s="1"/>
      <c r="DF1707" s="1"/>
      <c r="DG1707" s="1"/>
      <c r="DH1707" s="1"/>
      <c r="DI1707" s="1"/>
      <c r="DJ1707" s="1"/>
      <c r="DK1707" s="1"/>
      <c r="ED1707" s="1"/>
      <c r="EK1707" s="1"/>
      <c r="EL1707" s="1"/>
      <c r="EM1707" s="1"/>
      <c r="EN1707" s="1"/>
      <c r="EQ1707" s="1"/>
      <c r="ER1707" s="1"/>
      <c r="ES1707" s="1"/>
      <c r="EV1707" s="1"/>
      <c r="EW1707" s="1"/>
      <c r="EZ1707" s="1"/>
      <c r="GP1707" s="1"/>
      <c r="HY1707" s="1"/>
      <c r="IE1707" s="1"/>
      <c r="IR1707" s="1"/>
      <c r="IS1707" s="1"/>
      <c r="IY1707" s="1"/>
      <c r="IZ1707" s="1"/>
      <c r="JF1707" s="1"/>
      <c r="JG1707" s="1"/>
      <c r="JH1707" s="1"/>
      <c r="JJ1707" s="1"/>
      <c r="JN1707" s="1"/>
      <c r="JP1707" s="1"/>
      <c r="JQ1707" s="1"/>
      <c r="JT1707" s="1"/>
      <c r="KY1707" s="1"/>
      <c r="KZ1707" s="1"/>
      <c r="LA1707" s="1"/>
      <c r="LB1707" s="1"/>
      <c r="LC1707" s="1"/>
      <c r="LD1707" s="1"/>
      <c r="LF1707" s="1"/>
      <c r="LN1707" s="1"/>
      <c r="LO1707" s="1"/>
      <c r="LP1707" s="1"/>
      <c r="LZ1707" s="1"/>
      <c r="MA1707" s="1"/>
    </row>
    <row r="1708" spans="4:339" ht="13" x14ac:dyDescent="0.15">
      <c r="D1708" s="12"/>
      <c r="E1708" s="12"/>
      <c r="I1708" s="12"/>
      <c r="J1708" s="13"/>
      <c r="BF1708" s="1"/>
      <c r="BG1708" s="1"/>
      <c r="BH1708" s="1"/>
      <c r="BI1708" s="1"/>
      <c r="BK1708" s="1"/>
      <c r="BL1708" s="1"/>
      <c r="BM1708" s="1"/>
      <c r="BN1708" s="1"/>
      <c r="BO1708" s="1"/>
      <c r="BP1708" s="1"/>
      <c r="BQ1708" s="1"/>
      <c r="BR1708" s="1"/>
      <c r="CD1708" s="1"/>
      <c r="CE1708" s="1"/>
      <c r="CF1708" s="1"/>
      <c r="CG1708" s="1"/>
      <c r="CM1708" s="2"/>
      <c r="CP1708" s="1"/>
      <c r="CQ1708" s="1"/>
      <c r="CS1708" s="1"/>
      <c r="CT1708" s="1"/>
      <c r="CU1708" s="1"/>
      <c r="CV1708" s="1"/>
      <c r="CW1708" s="1"/>
      <c r="CX1708" s="1"/>
      <c r="CY1708" s="1"/>
      <c r="CZ1708" s="1"/>
      <c r="DA1708" s="1"/>
      <c r="DB1708" s="1"/>
      <c r="DC1708" s="1"/>
      <c r="DD1708" s="1"/>
      <c r="DE1708" s="1"/>
      <c r="DF1708" s="1"/>
      <c r="DG1708" s="1"/>
      <c r="DH1708" s="1"/>
      <c r="DI1708" s="1"/>
      <c r="DJ1708" s="1"/>
      <c r="DK1708" s="1"/>
      <c r="ED1708" s="1"/>
      <c r="EK1708" s="1"/>
      <c r="EL1708" s="1"/>
      <c r="EM1708" s="1"/>
      <c r="EN1708" s="1"/>
      <c r="EQ1708" s="1"/>
      <c r="ER1708" s="1"/>
      <c r="ES1708" s="1"/>
      <c r="EV1708" s="1"/>
      <c r="EW1708" s="1"/>
      <c r="EZ1708" s="1"/>
      <c r="GP1708" s="1"/>
      <c r="HY1708" s="1"/>
      <c r="IE1708" s="1"/>
      <c r="IR1708" s="1"/>
      <c r="IS1708" s="1"/>
      <c r="IY1708" s="1"/>
      <c r="IZ1708" s="1"/>
      <c r="JF1708" s="1"/>
      <c r="JG1708" s="1"/>
      <c r="JH1708" s="1"/>
      <c r="JJ1708" s="1"/>
      <c r="JN1708" s="1"/>
      <c r="JP1708" s="1"/>
      <c r="JQ1708" s="1"/>
      <c r="JT1708" s="1"/>
      <c r="KY1708" s="1"/>
      <c r="KZ1708" s="1"/>
      <c r="LA1708" s="1"/>
      <c r="LB1708" s="1"/>
      <c r="LC1708" s="1"/>
      <c r="LD1708" s="1"/>
      <c r="LF1708" s="1"/>
      <c r="LN1708" s="1"/>
      <c r="LO1708" s="1"/>
      <c r="LP1708" s="1"/>
      <c r="LZ1708" s="1"/>
      <c r="MA1708" s="1"/>
    </row>
    <row r="1709" spans="4:339" ht="13" x14ac:dyDescent="0.15">
      <c r="D1709" s="12"/>
      <c r="E1709" s="12"/>
      <c r="I1709" s="12"/>
      <c r="J1709" s="13"/>
      <c r="BG1709" s="1"/>
      <c r="BH1709" s="1"/>
      <c r="BI1709" s="1"/>
      <c r="BK1709" s="1"/>
      <c r="BL1709" s="1"/>
      <c r="BM1709" s="1"/>
      <c r="BN1709" s="1"/>
      <c r="BO1709" s="1"/>
      <c r="BP1709" s="1"/>
      <c r="BQ1709" s="1"/>
      <c r="BR1709" s="1"/>
      <c r="CD1709" s="1"/>
      <c r="CE1709" s="1"/>
      <c r="CF1709" s="1"/>
      <c r="CJ1709" s="1"/>
      <c r="CM1709" s="2"/>
      <c r="CP1709" s="1"/>
      <c r="CQ1709" s="1"/>
      <c r="CX1709" s="1"/>
      <c r="CY1709" s="1"/>
      <c r="CZ1709" s="1"/>
      <c r="DA1709" s="1"/>
      <c r="DB1709" s="1"/>
      <c r="DC1709" s="1"/>
      <c r="DD1709" s="1"/>
      <c r="DE1709" s="1"/>
      <c r="DF1709" s="1"/>
      <c r="DG1709" s="1"/>
      <c r="DH1709" s="1"/>
      <c r="DI1709" s="1"/>
      <c r="DJ1709" s="1"/>
      <c r="DK1709" s="1"/>
      <c r="DQ1709" s="1"/>
      <c r="DR1709" s="1"/>
      <c r="DY1709" s="1"/>
      <c r="DZ1709" s="1"/>
      <c r="ED1709" s="1"/>
      <c r="EK1709" s="1"/>
      <c r="EL1709" s="1"/>
      <c r="EM1709" s="1"/>
      <c r="EN1709" s="1"/>
      <c r="EQ1709" s="1"/>
      <c r="ER1709" s="1"/>
      <c r="ES1709" s="1"/>
      <c r="EV1709" s="1"/>
      <c r="EW1709" s="1"/>
      <c r="EZ1709" s="1"/>
      <c r="HY1709" s="1"/>
      <c r="IE1709" s="1"/>
      <c r="IR1709" s="1"/>
      <c r="IS1709" s="1"/>
      <c r="IY1709" s="1"/>
      <c r="IZ1709" s="1"/>
      <c r="JF1709" s="1"/>
      <c r="JG1709" s="1"/>
      <c r="JJ1709" s="1"/>
      <c r="JN1709" s="1"/>
      <c r="JP1709" s="1"/>
      <c r="JQ1709" s="1"/>
      <c r="KY1709" s="1"/>
      <c r="KZ1709" s="1"/>
      <c r="LA1709" s="1"/>
      <c r="LB1709" s="1"/>
      <c r="LC1709" s="1"/>
      <c r="LD1709" s="1"/>
      <c r="LN1709" s="1"/>
      <c r="LO1709" s="1"/>
      <c r="LP1709" s="1"/>
      <c r="LZ1709" s="1"/>
      <c r="MA1709" s="1"/>
    </row>
    <row r="1710" spans="4:339" ht="13" x14ac:dyDescent="0.15">
      <c r="D1710" s="12"/>
      <c r="E1710" s="12"/>
      <c r="I1710" s="12"/>
      <c r="J1710" s="13"/>
      <c r="BG1710" s="1"/>
      <c r="BH1710" s="1"/>
      <c r="BI1710" s="1"/>
      <c r="BK1710" s="1"/>
      <c r="BL1710" s="1"/>
      <c r="BM1710" s="1"/>
      <c r="BN1710" s="1"/>
      <c r="BO1710" s="1"/>
      <c r="BP1710" s="1"/>
      <c r="BQ1710" s="1"/>
      <c r="BR1710" s="1"/>
      <c r="CD1710" s="1"/>
      <c r="CE1710" s="1"/>
      <c r="CF1710" s="1"/>
      <c r="CJ1710" s="1"/>
      <c r="CM1710" s="2"/>
      <c r="CP1710" s="1"/>
      <c r="CQ1710" s="1"/>
      <c r="CX1710" s="1"/>
      <c r="CY1710" s="1"/>
      <c r="CZ1710" s="1"/>
      <c r="DA1710" s="1"/>
      <c r="DB1710" s="1"/>
      <c r="DC1710" s="1"/>
      <c r="DD1710" s="1"/>
      <c r="DE1710" s="1"/>
      <c r="DF1710" s="1"/>
      <c r="DG1710" s="1"/>
      <c r="DH1710" s="1"/>
      <c r="DI1710" s="1"/>
      <c r="DJ1710" s="1"/>
      <c r="DK1710" s="1"/>
      <c r="DQ1710" s="1"/>
      <c r="DR1710" s="1"/>
      <c r="DY1710" s="1"/>
      <c r="DZ1710" s="1"/>
      <c r="ED1710" s="1"/>
      <c r="EK1710" s="1"/>
      <c r="EL1710" s="1"/>
      <c r="EM1710" s="1"/>
      <c r="EN1710" s="1"/>
      <c r="EQ1710" s="1"/>
      <c r="ER1710" s="1"/>
      <c r="ES1710" s="1"/>
      <c r="EV1710" s="1"/>
      <c r="EW1710" s="1"/>
      <c r="EZ1710" s="1"/>
      <c r="HY1710" s="1"/>
      <c r="IE1710" s="1"/>
      <c r="IR1710" s="1"/>
      <c r="IS1710" s="1"/>
      <c r="IY1710" s="1"/>
      <c r="IZ1710" s="1"/>
      <c r="JF1710" s="1"/>
      <c r="JG1710" s="1"/>
      <c r="JJ1710" s="1"/>
      <c r="JN1710" s="1"/>
      <c r="JP1710" s="1"/>
      <c r="JQ1710" s="1"/>
      <c r="KY1710" s="1"/>
      <c r="KZ1710" s="1"/>
      <c r="LA1710" s="1"/>
      <c r="LB1710" s="1"/>
      <c r="LC1710" s="1"/>
      <c r="LD1710" s="1"/>
      <c r="LN1710" s="1"/>
      <c r="LO1710" s="1"/>
      <c r="LP1710" s="1"/>
      <c r="LZ1710" s="1"/>
      <c r="MA1710" s="1"/>
    </row>
    <row r="1711" spans="4:339" ht="13" x14ac:dyDescent="0.15">
      <c r="D1711" s="12"/>
      <c r="E1711" s="12"/>
      <c r="I1711" s="12"/>
      <c r="J1711" s="13"/>
      <c r="BG1711" s="1"/>
      <c r="BH1711" s="1"/>
      <c r="BI1711" s="1"/>
      <c r="BK1711" s="1"/>
      <c r="BL1711" s="1"/>
      <c r="BM1711" s="1"/>
      <c r="BN1711" s="1"/>
      <c r="BO1711" s="1"/>
      <c r="BP1711" s="1"/>
      <c r="BQ1711" s="1"/>
      <c r="BR1711" s="1"/>
      <c r="CD1711" s="1"/>
      <c r="CE1711" s="1"/>
      <c r="CF1711" s="1"/>
      <c r="CJ1711" s="1"/>
      <c r="CM1711" s="2"/>
      <c r="CP1711" s="1"/>
      <c r="CQ1711" s="1"/>
      <c r="CX1711" s="1"/>
      <c r="CY1711" s="1"/>
      <c r="CZ1711" s="1"/>
      <c r="DA1711" s="1"/>
      <c r="DB1711" s="1"/>
      <c r="DC1711" s="1"/>
      <c r="DD1711" s="1"/>
      <c r="DE1711" s="1"/>
      <c r="DF1711" s="1"/>
      <c r="DG1711" s="1"/>
      <c r="DH1711" s="1"/>
      <c r="DI1711" s="1"/>
      <c r="DJ1711" s="1"/>
      <c r="DK1711" s="1"/>
      <c r="DQ1711" s="1"/>
      <c r="DR1711" s="1"/>
      <c r="DY1711" s="1"/>
      <c r="DZ1711" s="1"/>
      <c r="ED1711" s="1"/>
      <c r="EK1711" s="1"/>
      <c r="EL1711" s="1"/>
      <c r="EM1711" s="1"/>
      <c r="EN1711" s="1"/>
      <c r="EQ1711" s="1"/>
      <c r="ER1711" s="1"/>
      <c r="ES1711" s="1"/>
      <c r="EV1711" s="1"/>
      <c r="EW1711" s="1"/>
      <c r="EZ1711" s="1"/>
      <c r="HY1711" s="1"/>
      <c r="IE1711" s="1"/>
      <c r="IR1711" s="1"/>
      <c r="IS1711" s="1"/>
      <c r="IY1711" s="1"/>
      <c r="IZ1711" s="1"/>
      <c r="JF1711" s="1"/>
      <c r="JG1711" s="1"/>
      <c r="JJ1711" s="1"/>
      <c r="JN1711" s="1"/>
      <c r="JP1711" s="1"/>
      <c r="JQ1711" s="1"/>
      <c r="KY1711" s="1"/>
      <c r="KZ1711" s="1"/>
      <c r="LA1711" s="1"/>
      <c r="LB1711" s="1"/>
      <c r="LC1711" s="1"/>
      <c r="LD1711" s="1"/>
      <c r="LN1711" s="1"/>
      <c r="LO1711" s="1"/>
      <c r="LP1711" s="1"/>
      <c r="LZ1711" s="1"/>
      <c r="MA1711" s="1"/>
    </row>
    <row r="1712" spans="4:339" ht="13" x14ac:dyDescent="0.15">
      <c r="D1712" s="12"/>
      <c r="E1712" s="12"/>
      <c r="I1712" s="12"/>
      <c r="J1712" s="13"/>
      <c r="BF1712" s="1"/>
      <c r="BG1712" s="1"/>
      <c r="BH1712" s="1"/>
      <c r="BI1712" s="1"/>
      <c r="BK1712" s="1"/>
      <c r="BL1712" s="1"/>
      <c r="BM1712" s="1"/>
      <c r="BN1712" s="1"/>
      <c r="BO1712" s="1"/>
      <c r="BP1712" s="1"/>
      <c r="BQ1712" s="1"/>
      <c r="BR1712" s="1"/>
      <c r="CD1712" s="1"/>
      <c r="CE1712" s="1"/>
      <c r="CF1712" s="1"/>
      <c r="CG1712" s="1"/>
      <c r="CK1712" s="1"/>
      <c r="CM1712" s="2"/>
      <c r="CP1712" s="1"/>
      <c r="CQ1712" s="1"/>
      <c r="CR1712" s="1"/>
      <c r="CS1712" s="1"/>
      <c r="CT1712" s="1"/>
      <c r="CU1712" s="1"/>
      <c r="CV1712" s="1"/>
      <c r="CW1712" s="1"/>
      <c r="CX1712" s="1"/>
      <c r="CY1712" s="1"/>
      <c r="CZ1712" s="1"/>
      <c r="DA1712" s="1"/>
      <c r="DB1712" s="1"/>
      <c r="DC1712" s="1"/>
      <c r="DD1712" s="1"/>
      <c r="DE1712" s="1"/>
      <c r="DF1712" s="1"/>
      <c r="DG1712" s="1"/>
      <c r="DH1712" s="1"/>
      <c r="DI1712" s="1"/>
      <c r="DJ1712" s="1"/>
      <c r="DK1712" s="1"/>
      <c r="DQ1712" s="1"/>
      <c r="DR1712" s="1"/>
      <c r="DY1712" s="1"/>
      <c r="DZ1712" s="1"/>
      <c r="ED1712" s="1"/>
      <c r="EK1712" s="1"/>
      <c r="EL1712" s="1"/>
      <c r="EM1712" s="1"/>
      <c r="EN1712" s="1"/>
      <c r="EQ1712" s="1"/>
      <c r="ER1712" s="1"/>
      <c r="ES1712" s="1"/>
      <c r="EV1712" s="1"/>
      <c r="EW1712" s="1"/>
      <c r="EZ1712" s="1"/>
      <c r="GO1712" s="1"/>
      <c r="GP1712" s="1"/>
      <c r="HY1712" s="1"/>
      <c r="IE1712" s="1"/>
      <c r="IR1712" s="1"/>
      <c r="IS1712" s="1"/>
      <c r="IZ1712" s="1"/>
      <c r="JF1712" s="1"/>
      <c r="JG1712" s="1"/>
      <c r="JH1712" s="1"/>
      <c r="JI1712" s="1"/>
      <c r="JJ1712" s="1"/>
      <c r="JP1712" s="1"/>
      <c r="JQ1712" s="1"/>
      <c r="JT1712" s="1"/>
      <c r="KW1712" s="1"/>
      <c r="KY1712" s="1"/>
      <c r="KZ1712" s="1"/>
      <c r="LA1712" s="1"/>
      <c r="LB1712" s="1"/>
      <c r="LC1712" s="1"/>
      <c r="LD1712" s="1"/>
      <c r="LO1712" s="1"/>
      <c r="LP1712" s="1"/>
      <c r="LZ1712" s="1"/>
      <c r="MA1712" s="1"/>
    </row>
    <row r="1713" spans="4:339" ht="13" x14ac:dyDescent="0.15">
      <c r="D1713" s="12"/>
      <c r="E1713" s="12"/>
      <c r="I1713" s="12"/>
      <c r="J1713" s="13"/>
      <c r="BG1713" s="1"/>
      <c r="BH1713" s="1"/>
      <c r="BI1713" s="1"/>
      <c r="BK1713" s="1"/>
      <c r="BL1713" s="1"/>
      <c r="BM1713" s="1"/>
      <c r="BN1713" s="1"/>
      <c r="BO1713" s="1"/>
      <c r="BP1713" s="1"/>
      <c r="BQ1713" s="1"/>
      <c r="BR1713" s="1"/>
      <c r="CD1713" s="1"/>
      <c r="CE1713" s="1"/>
      <c r="CF1713" s="1"/>
      <c r="CG1713" s="1"/>
      <c r="CM1713" s="4"/>
      <c r="CP1713" s="1"/>
      <c r="CQ1713" s="1"/>
      <c r="CR1713" s="1"/>
      <c r="CT1713" s="1"/>
      <c r="CU1713" s="1"/>
      <c r="CV1713" s="1"/>
      <c r="CW1713" s="1"/>
      <c r="CX1713" s="1"/>
      <c r="CY1713" s="1"/>
      <c r="CZ1713" s="1"/>
      <c r="DA1713" s="1"/>
      <c r="DB1713" s="1"/>
      <c r="DC1713" s="1"/>
      <c r="DD1713" s="1"/>
      <c r="DE1713" s="1"/>
      <c r="DF1713" s="1"/>
      <c r="DG1713" s="1"/>
      <c r="DH1713" s="1"/>
      <c r="DI1713" s="1"/>
      <c r="DJ1713" s="1"/>
      <c r="DK1713" s="1"/>
      <c r="ED1713" s="1"/>
      <c r="EK1713" s="1"/>
      <c r="EL1713" s="1"/>
      <c r="EM1713" s="1"/>
      <c r="EN1713" s="1"/>
      <c r="EQ1713" s="1"/>
      <c r="ER1713" s="1"/>
      <c r="ES1713" s="1"/>
      <c r="EV1713" s="1"/>
      <c r="EW1713" s="1"/>
      <c r="EZ1713" s="1"/>
      <c r="HY1713" s="1"/>
      <c r="IE1713" s="1"/>
      <c r="IR1713" s="1"/>
      <c r="IS1713" s="1"/>
      <c r="IZ1713" s="1"/>
      <c r="JG1713" s="1"/>
      <c r="JJ1713" s="1"/>
      <c r="JN1713" s="1"/>
      <c r="JP1713" s="1"/>
      <c r="JQ1713" s="1"/>
      <c r="KY1713" s="1"/>
      <c r="KZ1713" s="1"/>
      <c r="LA1713" s="1"/>
      <c r="LB1713" s="1"/>
      <c r="LC1713" s="1"/>
      <c r="LD1713" s="1"/>
      <c r="LF1713" s="1"/>
      <c r="LN1713" s="1"/>
      <c r="LO1713" s="1"/>
      <c r="LP1713" s="1"/>
      <c r="LZ1713" s="1"/>
      <c r="MA1713" s="1"/>
    </row>
    <row r="1714" spans="4:339" ht="13" x14ac:dyDescent="0.15">
      <c r="D1714" s="12"/>
      <c r="E1714" s="12"/>
      <c r="I1714" s="12"/>
      <c r="J1714" s="13"/>
      <c r="BG1714" s="1"/>
      <c r="BH1714" s="1"/>
      <c r="BI1714" s="1"/>
      <c r="BK1714" s="1"/>
      <c r="BL1714" s="1"/>
      <c r="BM1714" s="1"/>
      <c r="BN1714" s="1"/>
      <c r="BQ1714" s="1"/>
      <c r="BR1714" s="1"/>
      <c r="CD1714" s="1"/>
      <c r="CM1714" s="2"/>
      <c r="ED1714" s="1"/>
      <c r="EL1714" s="1"/>
      <c r="EM1714" s="1"/>
      <c r="EN1714" s="1"/>
      <c r="EQ1714" s="1"/>
      <c r="ER1714" s="1"/>
      <c r="ES1714" s="1"/>
      <c r="EV1714" s="1"/>
      <c r="EW1714" s="1"/>
      <c r="EZ1714" s="1"/>
      <c r="GP1714" s="1"/>
      <c r="IS1714" s="1"/>
      <c r="IZ1714" s="1"/>
      <c r="JC1714" s="1"/>
      <c r="JG1714" s="1"/>
      <c r="JJ1714" s="1"/>
      <c r="JP1714" s="1"/>
      <c r="JQ1714" s="1"/>
      <c r="LM1714" s="1"/>
    </row>
    <row r="1715" spans="4:339" ht="13" x14ac:dyDescent="0.15">
      <c r="D1715" s="12"/>
      <c r="E1715" s="12"/>
      <c r="I1715" s="12"/>
      <c r="J1715" s="13"/>
      <c r="BF1715" s="1"/>
      <c r="BG1715" s="1"/>
      <c r="BH1715" s="1"/>
      <c r="BI1715" s="1"/>
      <c r="BK1715" s="1"/>
      <c r="BL1715" s="1"/>
      <c r="BM1715" s="1"/>
      <c r="BN1715" s="1"/>
      <c r="BO1715" s="1"/>
      <c r="BQ1715" s="1"/>
      <c r="BR1715" s="1"/>
      <c r="CD1715" s="1"/>
      <c r="CE1715" s="1"/>
      <c r="CF1715" s="1"/>
      <c r="CM1715" s="2"/>
      <c r="ED1715" s="1"/>
      <c r="EL1715" s="1"/>
      <c r="EM1715" s="1"/>
      <c r="EN1715" s="1"/>
      <c r="EQ1715" s="1"/>
      <c r="ER1715" s="1"/>
      <c r="ES1715" s="1"/>
      <c r="EV1715" s="1"/>
      <c r="EW1715" s="1"/>
      <c r="EZ1715" s="1"/>
      <c r="HY1715" s="1"/>
      <c r="IS1715" s="1"/>
      <c r="IZ1715" s="1"/>
      <c r="JH1715" s="1"/>
      <c r="JJ1715" s="1"/>
      <c r="JN1715" s="1"/>
      <c r="JP1715" s="1"/>
      <c r="JQ1715" s="1"/>
      <c r="KU1715" s="1"/>
    </row>
    <row r="1716" spans="4:339" ht="13" x14ac:dyDescent="0.15">
      <c r="D1716" s="12"/>
      <c r="E1716" s="12"/>
      <c r="I1716" s="12"/>
      <c r="J1716" s="13"/>
      <c r="BG1716" s="1"/>
      <c r="BH1716" s="1"/>
      <c r="BI1716" s="1"/>
      <c r="BK1716" s="1"/>
      <c r="BL1716" s="1"/>
      <c r="BM1716" s="1"/>
      <c r="BN1716" s="1"/>
      <c r="BO1716" s="1"/>
      <c r="BP1716" s="1"/>
      <c r="BQ1716" s="1"/>
      <c r="BR1716" s="1"/>
      <c r="CD1716" s="1"/>
      <c r="CE1716" s="1"/>
      <c r="CF1716" s="1"/>
      <c r="CG1716" s="1"/>
      <c r="CM1716" s="2"/>
      <c r="CP1716" s="1"/>
      <c r="CQ1716" s="1"/>
      <c r="CR1716" s="1"/>
      <c r="CS1716" s="1"/>
      <c r="CT1716" s="1"/>
      <c r="CU1716" s="1"/>
      <c r="CV1716" s="1"/>
      <c r="CW1716" s="1"/>
      <c r="CX1716" s="1"/>
      <c r="CY1716" s="1"/>
      <c r="CZ1716" s="1"/>
      <c r="DA1716" s="1"/>
      <c r="DB1716" s="1"/>
      <c r="DC1716" s="1"/>
      <c r="DD1716" s="1"/>
      <c r="DE1716" s="1"/>
      <c r="DF1716" s="1"/>
      <c r="DG1716" s="1"/>
      <c r="DH1716" s="1"/>
      <c r="DI1716" s="1"/>
      <c r="DJ1716" s="1"/>
      <c r="DK1716" s="1"/>
      <c r="DL1716" s="1"/>
      <c r="DM1716" s="1"/>
      <c r="DQ1716" s="1"/>
      <c r="DR1716" s="1"/>
      <c r="DY1716" s="1"/>
      <c r="DZ1716" s="1"/>
      <c r="ED1716" s="1"/>
      <c r="EE1716" s="1"/>
      <c r="EF1716" s="1"/>
      <c r="EG1716" s="1"/>
      <c r="EH1716" s="1"/>
      <c r="EK1716" s="1"/>
      <c r="EL1716" s="1"/>
      <c r="EM1716" s="1"/>
      <c r="EN1716" s="1"/>
      <c r="EQ1716" s="1"/>
      <c r="ER1716" s="1"/>
      <c r="ES1716" s="1"/>
      <c r="EV1716" s="1"/>
      <c r="EW1716" s="1"/>
      <c r="EY1716" s="1"/>
      <c r="EZ1716" s="1"/>
      <c r="HY1716" s="1"/>
      <c r="IE1716" s="1"/>
      <c r="IG1716" s="1"/>
      <c r="IJ1716" s="1"/>
      <c r="IR1716" s="1"/>
      <c r="IS1716" s="1"/>
      <c r="IY1716" s="1"/>
      <c r="IZ1716" s="1"/>
      <c r="JG1716" s="1"/>
      <c r="JH1716" s="1"/>
      <c r="JJ1716" s="1"/>
      <c r="JK1716" s="1"/>
      <c r="JL1716" s="3"/>
      <c r="JM1716" s="1"/>
      <c r="JN1716" s="1"/>
      <c r="JP1716" s="1"/>
      <c r="JQ1716" s="1"/>
      <c r="JR1716" s="1"/>
      <c r="KZ1716" s="1"/>
      <c r="LA1716" s="1"/>
      <c r="LB1716" s="1"/>
      <c r="LC1716" s="1"/>
      <c r="LD1716" s="1"/>
      <c r="LF1716" s="1"/>
      <c r="LG1716" s="1"/>
      <c r="LH1716" s="5"/>
      <c r="LK1716" s="1"/>
      <c r="LL1716" s="1"/>
      <c r="LN1716" s="1"/>
      <c r="LO1716" s="1"/>
      <c r="LP1716" s="1"/>
      <c r="LZ1716" s="1"/>
      <c r="MA1716" s="1"/>
    </row>
    <row r="1717" spans="4:339" ht="13" x14ac:dyDescent="0.15">
      <c r="D1717" s="12"/>
      <c r="E1717" s="12"/>
      <c r="I1717" s="12"/>
      <c r="J1717" s="13"/>
      <c r="BG1717" s="1"/>
      <c r="BH1717" s="1"/>
      <c r="BI1717" s="1"/>
      <c r="BK1717" s="1"/>
      <c r="BL1717" s="1"/>
      <c r="BM1717" s="1"/>
      <c r="BN1717" s="1"/>
      <c r="BO1717" s="1"/>
      <c r="BQ1717" s="1"/>
      <c r="BR1717" s="1"/>
      <c r="CD1717" s="1"/>
      <c r="CE1717" s="1"/>
      <c r="CF1717" s="1"/>
      <c r="CM1717" s="2"/>
      <c r="ED1717" s="1"/>
      <c r="EL1717" s="1"/>
      <c r="EM1717" s="1"/>
      <c r="EN1717" s="1"/>
      <c r="EQ1717" s="1"/>
      <c r="ER1717" s="1"/>
      <c r="ES1717" s="1"/>
      <c r="EV1717" s="1"/>
      <c r="EW1717" s="1"/>
      <c r="EZ1717" s="1"/>
      <c r="HY1717" s="1"/>
      <c r="IS1717" s="1"/>
      <c r="IZ1717" s="1"/>
      <c r="JG1717" s="1"/>
      <c r="JH1717" s="1"/>
      <c r="JJ1717" s="1"/>
      <c r="JP1717" s="1"/>
      <c r="JQ1717" s="1"/>
      <c r="JT1717" s="1"/>
      <c r="KU1717" s="1"/>
      <c r="LR1717" s="1"/>
      <c r="LS1717" s="1"/>
      <c r="LT1717" s="1"/>
      <c r="LU1717" s="1"/>
    </row>
    <row r="1718" spans="4:339" ht="13" x14ac:dyDescent="0.15">
      <c r="D1718" s="12"/>
      <c r="E1718" s="12"/>
      <c r="I1718" s="12"/>
      <c r="J1718" s="13"/>
      <c r="BF1718" s="1"/>
      <c r="BG1718" s="1"/>
      <c r="BH1718" s="1"/>
      <c r="BI1718" s="1"/>
      <c r="BK1718" s="1"/>
      <c r="BL1718" s="1"/>
      <c r="BM1718" s="1"/>
      <c r="BN1718" s="1"/>
      <c r="BO1718" s="1"/>
      <c r="BP1718" s="1"/>
      <c r="BQ1718" s="1"/>
      <c r="BR1718" s="1"/>
      <c r="CD1718" s="1"/>
      <c r="CE1718" s="1"/>
      <c r="CF1718" s="1"/>
      <c r="CG1718" s="1"/>
      <c r="CM1718" s="2"/>
      <c r="CP1718" s="1"/>
      <c r="CQ1718" s="1"/>
      <c r="CR1718" s="1"/>
      <c r="CS1718" s="1"/>
      <c r="CT1718" s="1"/>
      <c r="CU1718" s="1"/>
      <c r="CV1718" s="1"/>
      <c r="CW1718" s="1"/>
      <c r="CX1718" s="1"/>
      <c r="CY1718" s="1"/>
      <c r="CZ1718" s="1"/>
      <c r="DA1718" s="1"/>
      <c r="DB1718" s="1"/>
      <c r="DC1718" s="1"/>
      <c r="DD1718" s="1"/>
      <c r="DE1718" s="1"/>
      <c r="DF1718" s="1"/>
      <c r="DG1718" s="1"/>
      <c r="DH1718" s="1"/>
      <c r="DI1718" s="1"/>
      <c r="DJ1718" s="1"/>
      <c r="DK1718" s="1"/>
      <c r="DQ1718" s="1"/>
      <c r="DR1718" s="1"/>
      <c r="DY1718" s="1"/>
      <c r="DZ1718" s="1"/>
      <c r="ED1718" s="1"/>
      <c r="EE1718" s="1"/>
      <c r="EF1718" s="1"/>
      <c r="EG1718" s="1"/>
      <c r="EH1718" s="1"/>
      <c r="EK1718" s="1"/>
      <c r="EL1718" s="1"/>
      <c r="EM1718" s="1"/>
      <c r="EN1718" s="1"/>
      <c r="EQ1718" s="1"/>
      <c r="ER1718" s="1"/>
      <c r="ES1718" s="1"/>
      <c r="EV1718" s="1"/>
      <c r="EW1718" s="1"/>
      <c r="EY1718" s="1"/>
      <c r="EZ1718" s="1"/>
      <c r="GO1718" s="1"/>
      <c r="GP1718" s="1"/>
      <c r="HY1718" s="1"/>
      <c r="IE1718" s="1"/>
      <c r="IF1718" s="1"/>
      <c r="IG1718" s="1"/>
      <c r="IJ1718" s="1"/>
      <c r="IR1718" s="1"/>
      <c r="IS1718" s="1"/>
      <c r="IY1718" s="1"/>
      <c r="IZ1718" s="1"/>
      <c r="JC1718" s="1"/>
      <c r="JG1718" s="1"/>
      <c r="JJ1718" s="1"/>
      <c r="JK1718" s="1"/>
      <c r="JL1718" s="3"/>
      <c r="JM1718" s="1"/>
      <c r="JN1718" s="1"/>
      <c r="JP1718" s="1"/>
      <c r="JQ1718" s="1"/>
      <c r="JR1718" s="1"/>
      <c r="LZ1718" s="1"/>
      <c r="MA1718" s="1"/>
    </row>
    <row r="1719" spans="4:339" ht="13" x14ac:dyDescent="0.15">
      <c r="D1719" s="12"/>
      <c r="E1719" s="12"/>
      <c r="I1719" s="12"/>
      <c r="J1719" s="13"/>
      <c r="BF1719" s="1"/>
      <c r="BG1719" s="1"/>
      <c r="BH1719" s="1"/>
      <c r="BI1719" s="1"/>
      <c r="BK1719" s="1"/>
      <c r="BL1719" s="1"/>
      <c r="BM1719" s="1"/>
      <c r="BN1719" s="1"/>
      <c r="BO1719" s="1"/>
      <c r="BP1719" s="1"/>
      <c r="BQ1719" s="1"/>
      <c r="BR1719" s="1"/>
      <c r="CD1719" s="1"/>
      <c r="CE1719" s="1"/>
      <c r="CF1719" s="1"/>
      <c r="CG1719" s="1"/>
      <c r="CM1719" s="2"/>
      <c r="CP1719" s="1"/>
      <c r="CQ1719" s="1"/>
      <c r="CR1719" s="1"/>
      <c r="CS1719" s="1"/>
      <c r="CT1719" s="1"/>
      <c r="CU1719" s="1"/>
      <c r="CV1719" s="1"/>
      <c r="CW1719" s="1"/>
      <c r="CX1719" s="1"/>
      <c r="CY1719" s="1"/>
      <c r="CZ1719" s="1"/>
      <c r="DA1719" s="1"/>
      <c r="DB1719" s="1"/>
      <c r="DC1719" s="1"/>
      <c r="DD1719" s="1"/>
      <c r="DE1719" s="1"/>
      <c r="DF1719" s="1"/>
      <c r="DG1719" s="1"/>
      <c r="DH1719" s="1"/>
      <c r="DI1719" s="1"/>
      <c r="DJ1719" s="1"/>
      <c r="DK1719" s="1"/>
      <c r="DQ1719" s="1"/>
      <c r="DR1719" s="1"/>
      <c r="DY1719" s="1"/>
      <c r="DZ1719" s="1"/>
      <c r="ED1719" s="1"/>
      <c r="EE1719" s="1"/>
      <c r="EF1719" s="1"/>
      <c r="EG1719" s="1"/>
      <c r="EH1719" s="1"/>
      <c r="EK1719" s="1"/>
      <c r="EL1719" s="1"/>
      <c r="EM1719" s="1"/>
      <c r="EN1719" s="1"/>
      <c r="EQ1719" s="1"/>
      <c r="ER1719" s="1"/>
      <c r="ES1719" s="1"/>
      <c r="EV1719" s="1"/>
      <c r="EW1719" s="1"/>
      <c r="EY1719" s="1"/>
      <c r="EZ1719" s="1"/>
      <c r="GO1719" s="1"/>
      <c r="GP1719" s="1"/>
      <c r="HY1719" s="1"/>
      <c r="IE1719" s="1"/>
      <c r="IF1719" s="1"/>
      <c r="IG1719" s="1"/>
      <c r="IJ1719" s="1"/>
      <c r="IR1719" s="1"/>
      <c r="IS1719" s="1"/>
      <c r="IY1719" s="1"/>
      <c r="IZ1719" s="1"/>
      <c r="JC1719" s="1"/>
      <c r="JG1719" s="1"/>
      <c r="JJ1719" s="1"/>
      <c r="JK1719" s="1"/>
      <c r="JL1719" s="3"/>
      <c r="JM1719" s="1"/>
      <c r="JN1719" s="1"/>
      <c r="JP1719" s="1"/>
      <c r="JQ1719" s="1"/>
      <c r="JR1719" s="1"/>
      <c r="LZ1719" s="1"/>
      <c r="MA1719" s="1"/>
    </row>
    <row r="1720" spans="4:339" ht="13" x14ac:dyDescent="0.15">
      <c r="D1720" s="12"/>
      <c r="E1720" s="12"/>
      <c r="I1720" s="12"/>
      <c r="J1720" s="13"/>
      <c r="BF1720" s="1"/>
      <c r="BG1720" s="1"/>
      <c r="BH1720" s="1"/>
      <c r="BI1720" s="1"/>
      <c r="BK1720" s="1"/>
      <c r="BL1720" s="1"/>
      <c r="BM1720" s="1"/>
      <c r="BN1720" s="1"/>
      <c r="BO1720" s="1"/>
      <c r="BP1720" s="1"/>
      <c r="BQ1720" s="1"/>
      <c r="BR1720" s="1"/>
      <c r="CD1720" s="1"/>
      <c r="CE1720" s="1"/>
      <c r="CF1720" s="1"/>
      <c r="CG1720" s="1"/>
      <c r="CM1720" s="2"/>
      <c r="CP1720" s="1"/>
      <c r="CQ1720" s="1"/>
      <c r="CR1720" s="1"/>
      <c r="CS1720" s="1"/>
      <c r="CT1720" s="1"/>
      <c r="CU1720" s="1"/>
      <c r="CV1720" s="1"/>
      <c r="CW1720" s="1"/>
      <c r="CX1720" s="1"/>
      <c r="CY1720" s="1"/>
      <c r="CZ1720" s="1"/>
      <c r="DA1720" s="1"/>
      <c r="DB1720" s="1"/>
      <c r="DC1720" s="1"/>
      <c r="DD1720" s="1"/>
      <c r="DE1720" s="1"/>
      <c r="DF1720" s="1"/>
      <c r="DG1720" s="1"/>
      <c r="DH1720" s="1"/>
      <c r="DI1720" s="1"/>
      <c r="DJ1720" s="1"/>
      <c r="DK1720" s="1"/>
      <c r="DQ1720" s="1"/>
      <c r="DR1720" s="1"/>
      <c r="DY1720" s="1"/>
      <c r="DZ1720" s="1"/>
      <c r="ED1720" s="1"/>
      <c r="EE1720" s="1"/>
      <c r="EF1720" s="1"/>
      <c r="EG1720" s="1"/>
      <c r="EH1720" s="1"/>
      <c r="EK1720" s="1"/>
      <c r="EL1720" s="1"/>
      <c r="EM1720" s="1"/>
      <c r="EN1720" s="1"/>
      <c r="EQ1720" s="1"/>
      <c r="ER1720" s="1"/>
      <c r="ES1720" s="1"/>
      <c r="EV1720" s="1"/>
      <c r="EW1720" s="1"/>
      <c r="EY1720" s="1"/>
      <c r="EZ1720" s="1"/>
      <c r="GO1720" s="1"/>
      <c r="GP1720" s="1"/>
      <c r="HY1720" s="1"/>
      <c r="IE1720" s="1"/>
      <c r="IF1720" s="1"/>
      <c r="IG1720" s="1"/>
      <c r="IJ1720" s="1"/>
      <c r="IR1720" s="1"/>
      <c r="IS1720" s="1"/>
      <c r="IY1720" s="1"/>
      <c r="IZ1720" s="1"/>
      <c r="JC1720" s="1"/>
      <c r="JG1720" s="1"/>
      <c r="JJ1720" s="1"/>
      <c r="JK1720" s="1"/>
      <c r="JL1720" s="3"/>
      <c r="JM1720" s="1"/>
      <c r="JN1720" s="1"/>
      <c r="JP1720" s="1"/>
      <c r="JQ1720" s="1"/>
      <c r="JR1720" s="1"/>
      <c r="LZ1720" s="1"/>
      <c r="MA1720" s="1"/>
    </row>
    <row r="1721" spans="4:339" ht="13" x14ac:dyDescent="0.15">
      <c r="D1721" s="12"/>
      <c r="E1721" s="12"/>
      <c r="I1721" s="12"/>
      <c r="J1721" s="13"/>
      <c r="BG1721" s="1"/>
      <c r="BH1721" s="1"/>
      <c r="BI1721" s="1"/>
      <c r="BK1721" s="1"/>
      <c r="BL1721" s="1"/>
      <c r="BM1721" s="1"/>
      <c r="BN1721" s="1"/>
      <c r="BO1721" s="1"/>
      <c r="BP1721" s="1"/>
      <c r="BQ1721" s="1"/>
      <c r="BR1721" s="1"/>
      <c r="CD1721" s="1"/>
      <c r="CE1721" s="1"/>
      <c r="CF1721" s="1"/>
      <c r="CG1721" s="1"/>
      <c r="CM1721" s="2"/>
      <c r="CP1721" s="1"/>
      <c r="CQ1721" s="1"/>
      <c r="CV1721" s="1"/>
      <c r="CW1721" s="1"/>
      <c r="CX1721" s="1"/>
      <c r="CY1721" s="1"/>
      <c r="CZ1721" s="1"/>
      <c r="DA1721" s="1"/>
      <c r="DB1721" s="1"/>
      <c r="DC1721" s="1"/>
      <c r="DD1721" s="1"/>
      <c r="DE1721" s="1"/>
      <c r="DF1721" s="1"/>
      <c r="DG1721" s="1"/>
      <c r="DH1721" s="1"/>
      <c r="DI1721" s="1"/>
      <c r="DJ1721" s="1"/>
      <c r="DK1721" s="1"/>
      <c r="ED1721" s="1"/>
      <c r="EK1721" s="1"/>
      <c r="EL1721" s="1"/>
      <c r="EM1721" s="1"/>
      <c r="EN1721" s="1"/>
      <c r="EQ1721" s="1"/>
      <c r="ER1721" s="1"/>
      <c r="ES1721" s="1"/>
      <c r="EV1721" s="1"/>
      <c r="EW1721" s="1"/>
      <c r="EZ1721" s="1"/>
      <c r="HY1721" s="1"/>
      <c r="IE1721" s="1"/>
      <c r="IR1721" s="1"/>
      <c r="IS1721" s="1"/>
      <c r="IZ1721" s="1"/>
      <c r="JF1721" s="1"/>
      <c r="JG1721" s="1"/>
      <c r="JH1721" s="1"/>
      <c r="JJ1721" s="1"/>
      <c r="JN1721" s="1"/>
      <c r="JP1721" s="1"/>
      <c r="JQ1721" s="1"/>
      <c r="JT1721" s="1"/>
      <c r="KZ1721" s="1"/>
      <c r="LN1721" s="1"/>
      <c r="LR1721" s="1"/>
      <c r="LS1721" s="1"/>
      <c r="LT1721" s="1"/>
      <c r="LU1721" s="1"/>
      <c r="LZ1721" s="1"/>
      <c r="MA1721" s="1"/>
    </row>
    <row r="1722" spans="4:339" ht="13" x14ac:dyDescent="0.15">
      <c r="D1722" s="12"/>
      <c r="E1722" s="12"/>
      <c r="I1722" s="12"/>
      <c r="J1722" s="13"/>
      <c r="BF1722" s="1"/>
      <c r="BG1722" s="1"/>
      <c r="BH1722" s="1"/>
      <c r="BI1722" s="1"/>
      <c r="BK1722" s="1"/>
      <c r="BL1722" s="1"/>
      <c r="BM1722" s="1"/>
      <c r="BN1722" s="1"/>
      <c r="BO1722" s="1"/>
      <c r="BQ1722" s="1"/>
      <c r="BR1722" s="1"/>
      <c r="CD1722" s="1"/>
      <c r="CE1722" s="1"/>
      <c r="CF1722" s="1"/>
      <c r="CM1722" s="2"/>
      <c r="ED1722" s="1"/>
      <c r="EL1722" s="1"/>
      <c r="EM1722" s="1"/>
      <c r="EN1722" s="1"/>
      <c r="EQ1722" s="1"/>
      <c r="ER1722" s="1"/>
      <c r="ES1722" s="1"/>
      <c r="EV1722" s="1"/>
      <c r="EW1722" s="1"/>
      <c r="EZ1722" s="1"/>
      <c r="GP1722" s="1"/>
      <c r="HY1722" s="1"/>
      <c r="IS1722" s="1"/>
      <c r="IY1722" s="1"/>
      <c r="IZ1722" s="1"/>
      <c r="JE1722" s="1"/>
      <c r="JG1722" s="1"/>
      <c r="JH1722" s="1"/>
      <c r="JJ1722" s="1"/>
      <c r="JN1722" s="1"/>
      <c r="JP1722" s="1"/>
      <c r="JQ1722" s="1"/>
      <c r="JT1722" s="1"/>
      <c r="KV1722" s="1"/>
    </row>
    <row r="1723" spans="4:339" ht="13" x14ac:dyDescent="0.15">
      <c r="D1723" s="12"/>
      <c r="E1723" s="12"/>
      <c r="I1723" s="12"/>
      <c r="J1723" s="13"/>
      <c r="BF1723" s="1"/>
      <c r="BG1723" s="1"/>
      <c r="BH1723" s="1"/>
      <c r="BI1723" s="1"/>
      <c r="BK1723" s="1"/>
      <c r="BL1723" s="1"/>
      <c r="BM1723" s="1"/>
      <c r="BN1723" s="1"/>
      <c r="BO1723" s="1"/>
      <c r="BQ1723" s="1"/>
      <c r="BR1723" s="1"/>
      <c r="CD1723" s="1"/>
      <c r="CE1723" s="1"/>
      <c r="CF1723" s="1"/>
      <c r="CM1723" s="2"/>
      <c r="ED1723" s="1"/>
      <c r="EL1723" s="1"/>
      <c r="EM1723" s="1"/>
      <c r="EN1723" s="1"/>
      <c r="EQ1723" s="1"/>
      <c r="ER1723" s="1"/>
      <c r="ES1723" s="1"/>
      <c r="EV1723" s="1"/>
      <c r="EW1723" s="1"/>
      <c r="EZ1723" s="1"/>
      <c r="GP1723" s="1"/>
      <c r="HY1723" s="1"/>
      <c r="IS1723" s="1"/>
      <c r="IY1723" s="1"/>
      <c r="IZ1723" s="1"/>
      <c r="JE1723" s="1"/>
      <c r="JG1723" s="1"/>
      <c r="JH1723" s="1"/>
      <c r="JJ1723" s="1"/>
      <c r="JN1723" s="1"/>
      <c r="JP1723" s="1"/>
      <c r="JQ1723" s="1"/>
      <c r="JT1723" s="1"/>
      <c r="KV1723" s="1"/>
    </row>
    <row r="1724" spans="4:339" ht="13" x14ac:dyDescent="0.15">
      <c r="D1724" s="12"/>
      <c r="E1724" s="12"/>
      <c r="I1724" s="12"/>
      <c r="J1724" s="13"/>
      <c r="BF1724" s="1"/>
      <c r="BG1724" s="1"/>
      <c r="BH1724" s="1"/>
      <c r="BI1724" s="1"/>
      <c r="BK1724" s="1"/>
      <c r="BL1724" s="1"/>
      <c r="BM1724" s="1"/>
      <c r="BN1724" s="1"/>
      <c r="BO1724" s="1"/>
      <c r="BQ1724" s="1"/>
      <c r="BR1724" s="1"/>
      <c r="CD1724" s="1"/>
      <c r="CE1724" s="1"/>
      <c r="CF1724" s="1"/>
      <c r="CM1724" s="2"/>
      <c r="ED1724" s="1"/>
      <c r="EL1724" s="1"/>
      <c r="EM1724" s="1"/>
      <c r="EN1724" s="1"/>
      <c r="EQ1724" s="1"/>
      <c r="ER1724" s="1"/>
      <c r="ES1724" s="1"/>
      <c r="EV1724" s="1"/>
      <c r="EW1724" s="1"/>
      <c r="EZ1724" s="1"/>
      <c r="GP1724" s="1"/>
      <c r="HY1724" s="1"/>
      <c r="IS1724" s="1"/>
      <c r="IY1724" s="1"/>
      <c r="IZ1724" s="1"/>
      <c r="JE1724" s="1"/>
      <c r="JG1724" s="1"/>
      <c r="JH1724" s="1"/>
      <c r="JJ1724" s="1"/>
      <c r="JN1724" s="1"/>
      <c r="JP1724" s="1"/>
      <c r="JQ1724" s="1"/>
      <c r="JT1724" s="1"/>
      <c r="KV1724" s="1"/>
    </row>
    <row r="1725" spans="4:339" ht="13" x14ac:dyDescent="0.15">
      <c r="D1725" s="12"/>
      <c r="E1725" s="12"/>
      <c r="I1725" s="12"/>
      <c r="J1725" s="13"/>
      <c r="BF1725" s="1"/>
      <c r="BG1725" s="1"/>
      <c r="BH1725" s="1"/>
      <c r="BI1725" s="1"/>
      <c r="BK1725" s="1"/>
      <c r="BL1725" s="1"/>
      <c r="BM1725" s="1"/>
      <c r="BN1725" s="1"/>
      <c r="BO1725" s="1"/>
      <c r="BQ1725" s="1"/>
      <c r="BR1725" s="1"/>
      <c r="CD1725" s="1"/>
      <c r="CE1725" s="1"/>
      <c r="CF1725" s="1"/>
      <c r="CM1725" s="2"/>
      <c r="ED1725" s="1"/>
      <c r="EL1725" s="1"/>
      <c r="EM1725" s="1"/>
      <c r="EN1725" s="1"/>
      <c r="EQ1725" s="1"/>
      <c r="ER1725" s="1"/>
      <c r="ES1725" s="1"/>
      <c r="EV1725" s="1"/>
      <c r="EW1725" s="1"/>
      <c r="EZ1725" s="1"/>
      <c r="GP1725" s="1"/>
      <c r="HY1725" s="1"/>
      <c r="IS1725" s="1"/>
      <c r="IY1725" s="1"/>
      <c r="IZ1725" s="1"/>
      <c r="JE1725" s="1"/>
      <c r="JG1725" s="1"/>
      <c r="JH1725" s="1"/>
      <c r="JJ1725" s="1"/>
      <c r="JN1725" s="1"/>
      <c r="JP1725" s="1"/>
      <c r="JQ1725" s="1"/>
      <c r="JT1725" s="1"/>
      <c r="KV1725" s="1"/>
    </row>
    <row r="1726" spans="4:339" ht="13" x14ac:dyDescent="0.15">
      <c r="D1726" s="12"/>
      <c r="E1726" s="12"/>
      <c r="I1726" s="12"/>
      <c r="J1726" s="13"/>
      <c r="BF1726" s="1"/>
      <c r="BG1726" s="1"/>
      <c r="BH1726" s="1"/>
      <c r="BI1726" s="1"/>
      <c r="BK1726" s="1"/>
      <c r="BL1726" s="1"/>
      <c r="BM1726" s="1"/>
      <c r="BN1726" s="1"/>
      <c r="BO1726" s="1"/>
      <c r="BQ1726" s="1"/>
      <c r="BR1726" s="1"/>
      <c r="CD1726" s="1"/>
      <c r="CE1726" s="1"/>
      <c r="CF1726" s="1"/>
      <c r="CM1726" s="2"/>
      <c r="ED1726" s="1"/>
      <c r="EL1726" s="1"/>
      <c r="EM1726" s="1"/>
      <c r="EN1726" s="1"/>
      <c r="EQ1726" s="1"/>
      <c r="ER1726" s="1"/>
      <c r="ES1726" s="1"/>
      <c r="EV1726" s="1"/>
      <c r="EW1726" s="1"/>
      <c r="EZ1726" s="1"/>
      <c r="GP1726" s="1"/>
      <c r="HY1726" s="1"/>
      <c r="IS1726" s="1"/>
      <c r="IY1726" s="1"/>
      <c r="IZ1726" s="1"/>
      <c r="JE1726" s="1"/>
      <c r="JG1726" s="1"/>
      <c r="JH1726" s="1"/>
      <c r="JJ1726" s="1"/>
      <c r="JN1726" s="1"/>
      <c r="JP1726" s="1"/>
      <c r="JQ1726" s="1"/>
      <c r="JT1726" s="1"/>
      <c r="KV1726" s="1"/>
    </row>
    <row r="1727" spans="4:339" ht="13" x14ac:dyDescent="0.15">
      <c r="D1727" s="12"/>
      <c r="E1727" s="12"/>
      <c r="I1727" s="12"/>
      <c r="J1727" s="13"/>
      <c r="BF1727" s="1"/>
      <c r="BG1727" s="1"/>
      <c r="BH1727" s="1"/>
      <c r="BI1727" s="1"/>
      <c r="BK1727" s="1"/>
      <c r="BL1727" s="1"/>
      <c r="BM1727" s="1"/>
      <c r="BN1727" s="1"/>
      <c r="BO1727" s="1"/>
      <c r="BQ1727" s="1"/>
      <c r="BR1727" s="1"/>
      <c r="CD1727" s="1"/>
      <c r="CE1727" s="1"/>
      <c r="CF1727" s="1"/>
      <c r="CM1727" s="2"/>
      <c r="ED1727" s="1"/>
      <c r="EL1727" s="1"/>
      <c r="EM1727" s="1"/>
      <c r="EN1727" s="1"/>
      <c r="EQ1727" s="1"/>
      <c r="ER1727" s="1"/>
      <c r="ES1727" s="1"/>
      <c r="EV1727" s="1"/>
      <c r="EW1727" s="1"/>
      <c r="EZ1727" s="1"/>
      <c r="GP1727" s="1"/>
      <c r="HY1727" s="1"/>
      <c r="IS1727" s="1"/>
      <c r="IY1727" s="1"/>
      <c r="IZ1727" s="1"/>
      <c r="JE1727" s="1"/>
      <c r="JG1727" s="1"/>
      <c r="JH1727" s="1"/>
      <c r="JJ1727" s="1"/>
      <c r="JN1727" s="1"/>
      <c r="JP1727" s="1"/>
      <c r="JQ1727" s="1"/>
      <c r="JT1727" s="1"/>
      <c r="KV1727" s="1"/>
    </row>
    <row r="1728" spans="4:339" ht="13" x14ac:dyDescent="0.15">
      <c r="D1728" s="12"/>
      <c r="E1728" s="12"/>
      <c r="I1728" s="12"/>
      <c r="J1728" s="13"/>
      <c r="BF1728" s="1"/>
      <c r="BG1728" s="1"/>
      <c r="BH1728" s="1"/>
      <c r="BI1728" s="1"/>
      <c r="BK1728" s="1"/>
      <c r="BL1728" s="1"/>
      <c r="BM1728" s="1"/>
      <c r="BN1728" s="1"/>
      <c r="BO1728" s="1"/>
      <c r="BQ1728" s="1"/>
      <c r="BR1728" s="1"/>
      <c r="CD1728" s="1"/>
      <c r="CE1728" s="1"/>
      <c r="CF1728" s="1"/>
      <c r="CM1728" s="2"/>
      <c r="ED1728" s="1"/>
      <c r="EL1728" s="1"/>
      <c r="EM1728" s="1"/>
      <c r="EN1728" s="1"/>
      <c r="EQ1728" s="1"/>
      <c r="ER1728" s="1"/>
      <c r="ES1728" s="1"/>
      <c r="EV1728" s="1"/>
      <c r="EW1728" s="1"/>
      <c r="EZ1728" s="1"/>
      <c r="GP1728" s="1"/>
      <c r="HY1728" s="1"/>
      <c r="IS1728" s="1"/>
      <c r="IY1728" s="1"/>
      <c r="IZ1728" s="1"/>
      <c r="JE1728" s="1"/>
      <c r="JG1728" s="1"/>
      <c r="JH1728" s="1"/>
      <c r="JJ1728" s="1"/>
      <c r="JN1728" s="1"/>
      <c r="JP1728" s="1"/>
      <c r="JQ1728" s="1"/>
      <c r="JT1728" s="1"/>
      <c r="KV1728" s="1"/>
    </row>
    <row r="1729" spans="4:339" ht="13" x14ac:dyDescent="0.15">
      <c r="D1729" s="12"/>
      <c r="E1729" s="12"/>
      <c r="I1729" s="12"/>
      <c r="J1729" s="13"/>
      <c r="BF1729" s="1"/>
      <c r="BG1729" s="1"/>
      <c r="BH1729" s="1"/>
      <c r="BI1729" s="1"/>
      <c r="BK1729" s="1"/>
      <c r="BL1729" s="1"/>
      <c r="BM1729" s="1"/>
      <c r="BN1729" s="1"/>
      <c r="BO1729" s="1"/>
      <c r="BQ1729" s="1"/>
      <c r="BR1729" s="1"/>
      <c r="CD1729" s="1"/>
      <c r="CE1729" s="1"/>
      <c r="CF1729" s="1"/>
      <c r="CM1729" s="2"/>
      <c r="ED1729" s="1"/>
      <c r="EL1729" s="1"/>
      <c r="EM1729" s="1"/>
      <c r="EN1729" s="1"/>
      <c r="EQ1729" s="1"/>
      <c r="ER1729" s="1"/>
      <c r="ES1729" s="1"/>
      <c r="EV1729" s="1"/>
      <c r="EW1729" s="1"/>
      <c r="EZ1729" s="1"/>
      <c r="GP1729" s="1"/>
      <c r="HY1729" s="1"/>
      <c r="IS1729" s="1"/>
      <c r="IY1729" s="1"/>
      <c r="IZ1729" s="1"/>
      <c r="JE1729" s="1"/>
      <c r="JG1729" s="1"/>
      <c r="JH1729" s="1"/>
      <c r="JJ1729" s="1"/>
      <c r="JN1729" s="1"/>
      <c r="JP1729" s="1"/>
      <c r="JQ1729" s="1"/>
      <c r="JT1729" s="1"/>
      <c r="KV1729" s="1"/>
    </row>
    <row r="1730" spans="4:339" ht="13" x14ac:dyDescent="0.15">
      <c r="D1730" s="12"/>
      <c r="E1730" s="12"/>
      <c r="I1730" s="12"/>
      <c r="J1730" s="13"/>
      <c r="BF1730" s="1"/>
      <c r="BG1730" s="1"/>
      <c r="BH1730" s="1"/>
      <c r="BI1730" s="1"/>
      <c r="BK1730" s="1"/>
      <c r="BL1730" s="1"/>
      <c r="BM1730" s="1"/>
      <c r="BN1730" s="1"/>
      <c r="BO1730" s="1"/>
      <c r="BQ1730" s="1"/>
      <c r="BR1730" s="1"/>
      <c r="CD1730" s="1"/>
      <c r="CE1730" s="1"/>
      <c r="CF1730" s="1"/>
      <c r="CM1730" s="2"/>
      <c r="ED1730" s="1"/>
      <c r="EL1730" s="1"/>
      <c r="EM1730" s="1"/>
      <c r="EN1730" s="1"/>
      <c r="EQ1730" s="1"/>
      <c r="ER1730" s="1"/>
      <c r="ES1730" s="1"/>
      <c r="EV1730" s="1"/>
      <c r="EW1730" s="1"/>
      <c r="EZ1730" s="1"/>
      <c r="GP1730" s="1"/>
      <c r="HY1730" s="1"/>
      <c r="IS1730" s="1"/>
      <c r="IY1730" s="1"/>
      <c r="IZ1730" s="1"/>
      <c r="JE1730" s="1"/>
      <c r="JG1730" s="1"/>
      <c r="JH1730" s="1"/>
      <c r="JJ1730" s="1"/>
      <c r="JN1730" s="1"/>
      <c r="JP1730" s="1"/>
      <c r="JQ1730" s="1"/>
      <c r="JT1730" s="1"/>
      <c r="KV1730" s="1"/>
    </row>
    <row r="1731" spans="4:339" ht="13" x14ac:dyDescent="0.15">
      <c r="D1731" s="12"/>
      <c r="E1731" s="12"/>
      <c r="I1731" s="12"/>
      <c r="J1731" s="13"/>
      <c r="BF1731" s="1"/>
      <c r="BG1731" s="1"/>
      <c r="BH1731" s="1"/>
      <c r="BI1731" s="1"/>
      <c r="BK1731" s="1"/>
      <c r="BL1731" s="1"/>
      <c r="BM1731" s="1"/>
      <c r="BN1731" s="1"/>
      <c r="BO1731" s="1"/>
      <c r="BQ1731" s="1"/>
      <c r="BR1731" s="1"/>
      <c r="CD1731" s="1"/>
      <c r="CE1731" s="1"/>
      <c r="CF1731" s="1"/>
      <c r="CM1731" s="2"/>
      <c r="ED1731" s="1"/>
      <c r="EL1731" s="1"/>
      <c r="EM1731" s="1"/>
      <c r="EN1731" s="1"/>
      <c r="EQ1731" s="1"/>
      <c r="ER1731" s="1"/>
      <c r="ES1731" s="1"/>
      <c r="EV1731" s="1"/>
      <c r="EW1731" s="1"/>
      <c r="EZ1731" s="1"/>
      <c r="GP1731" s="1"/>
      <c r="HY1731" s="1"/>
      <c r="IS1731" s="1"/>
      <c r="IY1731" s="1"/>
      <c r="IZ1731" s="1"/>
      <c r="JE1731" s="1"/>
      <c r="JG1731" s="1"/>
      <c r="JH1731" s="1"/>
      <c r="JJ1731" s="1"/>
      <c r="JN1731" s="1"/>
      <c r="JP1731" s="1"/>
      <c r="JQ1731" s="1"/>
      <c r="JT1731" s="1"/>
      <c r="KV1731" s="1"/>
    </row>
    <row r="1732" spans="4:339" ht="13" x14ac:dyDescent="0.15">
      <c r="D1732" s="12"/>
      <c r="E1732" s="12"/>
      <c r="I1732" s="12"/>
      <c r="J1732" s="13"/>
      <c r="BF1732" s="1"/>
      <c r="BG1732" s="1"/>
      <c r="BH1732" s="1"/>
      <c r="BI1732" s="1"/>
      <c r="BK1732" s="1"/>
      <c r="BL1732" s="1"/>
      <c r="BM1732" s="1"/>
      <c r="BN1732" s="1"/>
      <c r="BO1732" s="1"/>
      <c r="BQ1732" s="1"/>
      <c r="BR1732" s="1"/>
      <c r="CD1732" s="1"/>
      <c r="CE1732" s="1"/>
      <c r="CF1732" s="1"/>
      <c r="CM1732" s="2"/>
      <c r="ED1732" s="1"/>
      <c r="EL1732" s="1"/>
      <c r="EM1732" s="1"/>
      <c r="EN1732" s="1"/>
      <c r="EQ1732" s="1"/>
      <c r="ER1732" s="1"/>
      <c r="ES1732" s="1"/>
      <c r="EV1732" s="1"/>
      <c r="EW1732" s="1"/>
      <c r="EZ1732" s="1"/>
      <c r="GP1732" s="1"/>
      <c r="HY1732" s="1"/>
      <c r="IS1732" s="1"/>
      <c r="IY1732" s="1"/>
      <c r="IZ1732" s="1"/>
      <c r="JE1732" s="1"/>
      <c r="JG1732" s="1"/>
      <c r="JH1732" s="1"/>
      <c r="JJ1732" s="1"/>
      <c r="JN1732" s="1"/>
      <c r="JP1732" s="1"/>
      <c r="JQ1732" s="1"/>
      <c r="JT1732" s="1"/>
      <c r="KV1732" s="1"/>
    </row>
    <row r="1733" spans="4:339" ht="13" x14ac:dyDescent="0.15">
      <c r="D1733" s="12"/>
      <c r="E1733" s="12"/>
      <c r="I1733" s="12"/>
      <c r="J1733" s="13"/>
      <c r="BF1733" s="1"/>
      <c r="BG1733" s="1"/>
      <c r="BH1733" s="1"/>
      <c r="BI1733" s="1"/>
      <c r="BK1733" s="1"/>
      <c r="BL1733" s="1"/>
      <c r="BM1733" s="1"/>
      <c r="BN1733" s="1"/>
      <c r="BO1733" s="1"/>
      <c r="BQ1733" s="1"/>
      <c r="BR1733" s="1"/>
      <c r="CD1733" s="1"/>
      <c r="CE1733" s="1"/>
      <c r="CF1733" s="1"/>
      <c r="CM1733" s="2"/>
      <c r="ED1733" s="1"/>
      <c r="EL1733" s="1"/>
      <c r="EM1733" s="1"/>
      <c r="EN1733" s="1"/>
      <c r="EQ1733" s="1"/>
      <c r="ER1733" s="1"/>
      <c r="ES1733" s="1"/>
      <c r="EV1733" s="1"/>
      <c r="EW1733" s="1"/>
      <c r="EZ1733" s="1"/>
      <c r="GP1733" s="1"/>
      <c r="HY1733" s="1"/>
      <c r="IS1733" s="1"/>
      <c r="IY1733" s="1"/>
      <c r="IZ1733" s="1"/>
      <c r="JE1733" s="1"/>
      <c r="JG1733" s="1"/>
      <c r="JH1733" s="1"/>
      <c r="JJ1733" s="1"/>
      <c r="JN1733" s="1"/>
      <c r="JP1733" s="1"/>
      <c r="JQ1733" s="1"/>
      <c r="JT1733" s="1"/>
      <c r="KV1733" s="1"/>
    </row>
    <row r="1734" spans="4:339" ht="13" x14ac:dyDescent="0.15">
      <c r="D1734" s="12"/>
      <c r="E1734" s="12"/>
      <c r="I1734" s="12"/>
      <c r="J1734" s="13"/>
      <c r="BF1734" s="1"/>
      <c r="BG1734" s="1"/>
      <c r="BH1734" s="1"/>
      <c r="BI1734" s="1"/>
      <c r="BK1734" s="1"/>
      <c r="BL1734" s="1"/>
      <c r="BM1734" s="1"/>
      <c r="BN1734" s="1"/>
      <c r="BO1734" s="1"/>
      <c r="BQ1734" s="1"/>
      <c r="BR1734" s="1"/>
      <c r="CD1734" s="1"/>
      <c r="CE1734" s="1"/>
      <c r="CF1734" s="1"/>
      <c r="CM1734" s="2"/>
      <c r="ED1734" s="1"/>
      <c r="EL1734" s="1"/>
      <c r="EM1734" s="1"/>
      <c r="EN1734" s="1"/>
      <c r="EQ1734" s="1"/>
      <c r="ER1734" s="1"/>
      <c r="ES1734" s="1"/>
      <c r="EV1734" s="1"/>
      <c r="EW1734" s="1"/>
      <c r="EZ1734" s="1"/>
      <c r="GP1734" s="1"/>
      <c r="HY1734" s="1"/>
      <c r="IS1734" s="1"/>
      <c r="IY1734" s="1"/>
      <c r="IZ1734" s="1"/>
      <c r="JE1734" s="1"/>
      <c r="JG1734" s="1"/>
      <c r="JH1734" s="1"/>
      <c r="JJ1734" s="1"/>
      <c r="JN1734" s="1"/>
      <c r="JP1734" s="1"/>
      <c r="JQ1734" s="1"/>
      <c r="JT1734" s="1"/>
      <c r="KV1734" s="1"/>
    </row>
    <row r="1735" spans="4:339" ht="13" x14ac:dyDescent="0.15">
      <c r="D1735" s="12"/>
      <c r="E1735" s="12"/>
      <c r="I1735" s="12"/>
      <c r="J1735" s="13"/>
      <c r="BF1735" s="1"/>
      <c r="BG1735" s="1"/>
      <c r="BH1735" s="1"/>
      <c r="BI1735" s="1"/>
      <c r="BK1735" s="1"/>
      <c r="BL1735" s="1"/>
      <c r="BM1735" s="1"/>
      <c r="BN1735" s="1"/>
      <c r="BO1735" s="1"/>
      <c r="BQ1735" s="1"/>
      <c r="BR1735" s="1"/>
      <c r="CD1735" s="1"/>
      <c r="CE1735" s="1"/>
      <c r="CF1735" s="1"/>
      <c r="CM1735" s="2"/>
      <c r="ED1735" s="1"/>
      <c r="EL1735" s="1"/>
      <c r="EM1735" s="1"/>
      <c r="EN1735" s="1"/>
      <c r="EQ1735" s="1"/>
      <c r="ER1735" s="1"/>
      <c r="ES1735" s="1"/>
      <c r="EV1735" s="1"/>
      <c r="EW1735" s="1"/>
      <c r="EZ1735" s="1"/>
      <c r="GP1735" s="1"/>
      <c r="HY1735" s="1"/>
      <c r="IS1735" s="1"/>
      <c r="IY1735" s="1"/>
      <c r="IZ1735" s="1"/>
      <c r="JE1735" s="1"/>
      <c r="JG1735" s="1"/>
      <c r="JH1735" s="1"/>
      <c r="JJ1735" s="1"/>
      <c r="JN1735" s="1"/>
      <c r="JP1735" s="1"/>
      <c r="JQ1735" s="1"/>
      <c r="JT1735" s="1"/>
      <c r="KV1735" s="1"/>
    </row>
    <row r="1736" spans="4:339" ht="13" x14ac:dyDescent="0.15">
      <c r="D1736" s="12"/>
      <c r="E1736" s="12"/>
      <c r="I1736" s="12"/>
      <c r="J1736" s="13"/>
      <c r="BF1736" s="1"/>
      <c r="BG1736" s="1"/>
      <c r="BH1736" s="1"/>
      <c r="BI1736" s="1"/>
      <c r="BK1736" s="1"/>
      <c r="BL1736" s="1"/>
      <c r="BM1736" s="1"/>
      <c r="BN1736" s="1"/>
      <c r="BO1736" s="1"/>
      <c r="BQ1736" s="1"/>
      <c r="BR1736" s="1"/>
      <c r="CD1736" s="1"/>
      <c r="CE1736" s="1"/>
      <c r="CF1736" s="1"/>
      <c r="CM1736" s="2"/>
      <c r="ED1736" s="1"/>
      <c r="EL1736" s="1"/>
      <c r="EM1736" s="1"/>
      <c r="EN1736" s="1"/>
      <c r="EQ1736" s="1"/>
      <c r="ER1736" s="1"/>
      <c r="ES1736" s="1"/>
      <c r="EV1736" s="1"/>
      <c r="EW1736" s="1"/>
      <c r="EZ1736" s="1"/>
      <c r="GP1736" s="1"/>
      <c r="HY1736" s="1"/>
      <c r="IS1736" s="1"/>
      <c r="IY1736" s="1"/>
      <c r="IZ1736" s="1"/>
      <c r="JE1736" s="1"/>
      <c r="JG1736" s="1"/>
      <c r="JH1736" s="1"/>
      <c r="JJ1736" s="1"/>
      <c r="JN1736" s="1"/>
      <c r="JP1736" s="1"/>
      <c r="JQ1736" s="1"/>
      <c r="JT1736" s="1"/>
      <c r="KV1736" s="1"/>
    </row>
    <row r="1737" spans="4:339" ht="13" x14ac:dyDescent="0.15">
      <c r="D1737" s="12"/>
      <c r="E1737" s="12"/>
      <c r="I1737" s="12"/>
      <c r="J1737" s="13"/>
      <c r="BF1737" s="1"/>
      <c r="BG1737" s="1"/>
      <c r="BH1737" s="1"/>
      <c r="BI1737" s="1"/>
      <c r="BK1737" s="1"/>
      <c r="BL1737" s="1"/>
      <c r="BM1737" s="1"/>
      <c r="BN1737" s="1"/>
      <c r="BO1737" s="1"/>
      <c r="BQ1737" s="1"/>
      <c r="BR1737" s="1"/>
      <c r="CD1737" s="1"/>
      <c r="CE1737" s="1"/>
      <c r="CF1737" s="1"/>
      <c r="CM1737" s="2"/>
      <c r="ED1737" s="1"/>
      <c r="EL1737" s="1"/>
      <c r="EM1737" s="1"/>
      <c r="EN1737" s="1"/>
      <c r="EQ1737" s="1"/>
      <c r="ER1737" s="1"/>
      <c r="ES1737" s="1"/>
      <c r="EV1737" s="1"/>
      <c r="EW1737" s="1"/>
      <c r="EZ1737" s="1"/>
      <c r="GP1737" s="1"/>
      <c r="HY1737" s="1"/>
      <c r="IS1737" s="1"/>
      <c r="IY1737" s="1"/>
      <c r="IZ1737" s="1"/>
      <c r="JE1737" s="1"/>
      <c r="JG1737" s="1"/>
      <c r="JH1737" s="1"/>
      <c r="JJ1737" s="1"/>
      <c r="JN1737" s="1"/>
      <c r="JP1737" s="1"/>
      <c r="JQ1737" s="1"/>
      <c r="JT1737" s="1"/>
      <c r="KV1737" s="1"/>
    </row>
    <row r="1738" spans="4:339" ht="13" x14ac:dyDescent="0.15">
      <c r="D1738" s="12"/>
      <c r="E1738" s="12"/>
      <c r="I1738" s="12"/>
      <c r="J1738" s="13"/>
      <c r="BF1738" s="1"/>
      <c r="BG1738" s="1"/>
      <c r="BH1738" s="1"/>
      <c r="BI1738" s="1"/>
      <c r="BK1738" s="1"/>
      <c r="BL1738" s="1"/>
      <c r="BM1738" s="1"/>
      <c r="BN1738" s="1"/>
      <c r="BO1738" s="1"/>
      <c r="BQ1738" s="1"/>
      <c r="BR1738" s="1"/>
      <c r="CD1738" s="1"/>
      <c r="CE1738" s="1"/>
      <c r="CF1738" s="1"/>
      <c r="CM1738" s="2"/>
      <c r="ED1738" s="1"/>
      <c r="EL1738" s="1"/>
      <c r="EM1738" s="1"/>
      <c r="EN1738" s="1"/>
      <c r="EQ1738" s="1"/>
      <c r="ER1738" s="1"/>
      <c r="ES1738" s="1"/>
      <c r="EV1738" s="1"/>
      <c r="EW1738" s="1"/>
      <c r="EZ1738" s="1"/>
      <c r="GP1738" s="1"/>
      <c r="HY1738" s="1"/>
      <c r="IS1738" s="1"/>
      <c r="IY1738" s="1"/>
      <c r="IZ1738" s="1"/>
      <c r="JE1738" s="1"/>
      <c r="JG1738" s="1"/>
      <c r="JH1738" s="1"/>
      <c r="JJ1738" s="1"/>
      <c r="JN1738" s="1"/>
      <c r="JP1738" s="1"/>
      <c r="JQ1738" s="1"/>
      <c r="JT1738" s="1"/>
      <c r="KV1738" s="1"/>
    </row>
    <row r="1739" spans="4:339" ht="13" x14ac:dyDescent="0.15">
      <c r="D1739" s="12"/>
      <c r="E1739" s="12"/>
      <c r="I1739" s="12"/>
      <c r="J1739" s="13"/>
      <c r="BF1739" s="1"/>
      <c r="BG1739" s="1"/>
      <c r="BH1739" s="1"/>
      <c r="BI1739" s="1"/>
      <c r="BK1739" s="1"/>
      <c r="BL1739" s="1"/>
      <c r="BM1739" s="1"/>
      <c r="BN1739" s="1"/>
      <c r="BO1739" s="1"/>
      <c r="BQ1739" s="1"/>
      <c r="BR1739" s="1"/>
      <c r="CD1739" s="1"/>
      <c r="CE1739" s="1"/>
      <c r="CF1739" s="1"/>
      <c r="CM1739" s="2"/>
      <c r="ED1739" s="1"/>
      <c r="EL1739" s="1"/>
      <c r="EM1739" s="1"/>
      <c r="EN1739" s="1"/>
      <c r="EQ1739" s="1"/>
      <c r="ER1739" s="1"/>
      <c r="ES1739" s="1"/>
      <c r="EV1739" s="1"/>
      <c r="EW1739" s="1"/>
      <c r="EZ1739" s="1"/>
      <c r="GP1739" s="1"/>
      <c r="HY1739" s="1"/>
      <c r="IS1739" s="1"/>
      <c r="IY1739" s="1"/>
      <c r="IZ1739" s="1"/>
      <c r="JE1739" s="1"/>
      <c r="JG1739" s="1"/>
      <c r="JH1739" s="1"/>
      <c r="JJ1739" s="1"/>
      <c r="JN1739" s="1"/>
      <c r="JP1739" s="1"/>
      <c r="JQ1739" s="1"/>
      <c r="JT1739" s="1"/>
      <c r="KV1739" s="1"/>
    </row>
    <row r="1740" spans="4:339" ht="13" x14ac:dyDescent="0.15">
      <c r="D1740" s="12"/>
      <c r="E1740" s="12"/>
      <c r="I1740" s="12"/>
      <c r="J1740" s="13"/>
      <c r="BF1740" s="1"/>
      <c r="BG1740" s="1"/>
      <c r="BH1740" s="1"/>
      <c r="BI1740" s="1"/>
      <c r="BK1740" s="1"/>
      <c r="BL1740" s="1"/>
      <c r="BM1740" s="1"/>
      <c r="BN1740" s="1"/>
      <c r="BO1740" s="1"/>
      <c r="BQ1740" s="1"/>
      <c r="BR1740" s="1"/>
      <c r="CD1740" s="1"/>
      <c r="CE1740" s="1"/>
      <c r="CF1740" s="1"/>
      <c r="CM1740" s="2"/>
      <c r="ED1740" s="1"/>
      <c r="EL1740" s="1"/>
      <c r="EM1740" s="1"/>
      <c r="EN1740" s="1"/>
      <c r="EQ1740" s="1"/>
      <c r="ER1740" s="1"/>
      <c r="ES1740" s="1"/>
      <c r="EV1740" s="1"/>
      <c r="EW1740" s="1"/>
      <c r="EZ1740" s="1"/>
      <c r="GP1740" s="1"/>
      <c r="HY1740" s="1"/>
      <c r="IS1740" s="1"/>
      <c r="IY1740" s="1"/>
      <c r="IZ1740" s="1"/>
      <c r="JE1740" s="1"/>
      <c r="JG1740" s="1"/>
      <c r="JH1740" s="1"/>
      <c r="JJ1740" s="1"/>
      <c r="JN1740" s="1"/>
      <c r="JP1740" s="1"/>
      <c r="JQ1740" s="1"/>
      <c r="JT1740" s="1"/>
      <c r="KV1740" s="1"/>
    </row>
    <row r="1741" spans="4:339" ht="13" x14ac:dyDescent="0.15">
      <c r="D1741" s="12"/>
      <c r="E1741" s="12"/>
      <c r="I1741" s="12"/>
      <c r="J1741" s="13"/>
      <c r="BF1741" s="1"/>
      <c r="BG1741" s="1"/>
      <c r="BH1741" s="1"/>
      <c r="BI1741" s="1"/>
      <c r="BK1741" s="1"/>
      <c r="BL1741" s="1"/>
      <c r="BM1741" s="1"/>
      <c r="BN1741" s="1"/>
      <c r="BO1741" s="1"/>
      <c r="BQ1741" s="1"/>
      <c r="BR1741" s="1"/>
      <c r="CD1741" s="1"/>
      <c r="CE1741" s="1"/>
      <c r="CF1741" s="1"/>
      <c r="CM1741" s="2"/>
      <c r="ED1741" s="1"/>
      <c r="EL1741" s="1"/>
      <c r="EM1741" s="1"/>
      <c r="EN1741" s="1"/>
      <c r="EQ1741" s="1"/>
      <c r="ER1741" s="1"/>
      <c r="ES1741" s="1"/>
      <c r="EV1741" s="1"/>
      <c r="EW1741" s="1"/>
      <c r="EZ1741" s="1"/>
      <c r="GP1741" s="1"/>
      <c r="HY1741" s="1"/>
      <c r="IS1741" s="1"/>
      <c r="IY1741" s="1"/>
      <c r="IZ1741" s="1"/>
      <c r="JE1741" s="1"/>
      <c r="JG1741" s="1"/>
      <c r="JH1741" s="1"/>
      <c r="JJ1741" s="1"/>
      <c r="JN1741" s="1"/>
      <c r="JP1741" s="1"/>
      <c r="JQ1741" s="1"/>
      <c r="JT1741" s="1"/>
      <c r="KV1741" s="1"/>
    </row>
    <row r="1742" spans="4:339" ht="13" x14ac:dyDescent="0.15">
      <c r="D1742" s="12"/>
      <c r="E1742" s="12"/>
      <c r="I1742" s="12"/>
      <c r="J1742" s="13"/>
      <c r="BF1742" s="1"/>
      <c r="BG1742" s="1"/>
      <c r="BH1742" s="1"/>
      <c r="BI1742" s="1"/>
      <c r="BK1742" s="1"/>
      <c r="BL1742" s="1"/>
      <c r="BM1742" s="1"/>
      <c r="BN1742" s="1"/>
      <c r="BO1742" s="1"/>
      <c r="BQ1742" s="1"/>
      <c r="BR1742" s="1"/>
      <c r="CD1742" s="1"/>
      <c r="CE1742" s="1"/>
      <c r="CF1742" s="1"/>
      <c r="CM1742" s="2"/>
      <c r="ED1742" s="1"/>
      <c r="EL1742" s="1"/>
      <c r="EM1742" s="1"/>
      <c r="EN1742" s="1"/>
      <c r="EQ1742" s="1"/>
      <c r="ER1742" s="1"/>
      <c r="ES1742" s="1"/>
      <c r="EV1742" s="1"/>
      <c r="EW1742" s="1"/>
      <c r="EZ1742" s="1"/>
      <c r="GP1742" s="1"/>
      <c r="HY1742" s="1"/>
      <c r="IS1742" s="1"/>
      <c r="IY1742" s="1"/>
      <c r="IZ1742" s="1"/>
      <c r="JE1742" s="1"/>
      <c r="JG1742" s="1"/>
      <c r="JH1742" s="1"/>
      <c r="JJ1742" s="1"/>
      <c r="JN1742" s="1"/>
      <c r="JP1742" s="1"/>
      <c r="JQ1742" s="1"/>
      <c r="JT1742" s="1"/>
      <c r="KV1742" s="1"/>
    </row>
    <row r="1743" spans="4:339" ht="13" x14ac:dyDescent="0.15">
      <c r="D1743" s="12"/>
      <c r="E1743" s="12"/>
      <c r="I1743" s="12"/>
      <c r="J1743" s="13"/>
      <c r="BF1743" s="1"/>
      <c r="BG1743" s="1"/>
      <c r="BH1743" s="1"/>
      <c r="BI1743" s="1"/>
      <c r="BK1743" s="1"/>
      <c r="BL1743" s="1"/>
      <c r="BM1743" s="1"/>
      <c r="BN1743" s="1"/>
      <c r="BO1743" s="1"/>
      <c r="BQ1743" s="1"/>
      <c r="BR1743" s="1"/>
      <c r="CD1743" s="1"/>
      <c r="CE1743" s="1"/>
      <c r="CF1743" s="1"/>
      <c r="CM1743" s="2"/>
      <c r="ED1743" s="1"/>
      <c r="EL1743" s="1"/>
      <c r="EM1743" s="1"/>
      <c r="EN1743" s="1"/>
      <c r="EQ1743" s="1"/>
      <c r="ER1743" s="1"/>
      <c r="ES1743" s="1"/>
      <c r="EV1743" s="1"/>
      <c r="EW1743" s="1"/>
      <c r="EZ1743" s="1"/>
      <c r="GP1743" s="1"/>
      <c r="HY1743" s="1"/>
      <c r="IS1743" s="1"/>
      <c r="IY1743" s="1"/>
      <c r="IZ1743" s="1"/>
      <c r="JE1743" s="1"/>
      <c r="JG1743" s="1"/>
      <c r="JH1743" s="1"/>
      <c r="JJ1743" s="1"/>
      <c r="JN1743" s="1"/>
      <c r="JP1743" s="1"/>
      <c r="JQ1743" s="1"/>
      <c r="JT1743" s="1"/>
      <c r="KV1743" s="1"/>
    </row>
    <row r="1744" spans="4:339" ht="13" x14ac:dyDescent="0.15">
      <c r="D1744" s="12"/>
      <c r="E1744" s="12"/>
      <c r="I1744" s="12"/>
      <c r="J1744" s="13"/>
      <c r="BG1744" s="1"/>
      <c r="BH1744" s="1"/>
      <c r="BI1744" s="1"/>
      <c r="BK1744" s="1"/>
      <c r="BL1744" s="1"/>
      <c r="BM1744" s="1"/>
      <c r="BN1744" s="1"/>
      <c r="BP1744" s="1"/>
      <c r="BQ1744" s="1"/>
      <c r="BR1744" s="1"/>
      <c r="CD1744" s="1"/>
      <c r="CM1744" s="2"/>
      <c r="CP1744" s="1"/>
      <c r="CQ1744" s="1"/>
      <c r="CR1744" s="1"/>
      <c r="CT1744" s="1"/>
      <c r="CU1744" s="1"/>
      <c r="CV1744" s="1"/>
      <c r="CW1744" s="1"/>
      <c r="CX1744" s="1"/>
      <c r="CY1744" s="1"/>
      <c r="CZ1744" s="1"/>
      <c r="DA1744" s="1"/>
      <c r="DB1744" s="1"/>
      <c r="DC1744" s="1"/>
      <c r="DD1744" s="1"/>
      <c r="DE1744" s="1"/>
      <c r="DF1744" s="1"/>
      <c r="DG1744" s="1"/>
      <c r="DH1744" s="1"/>
      <c r="DI1744" s="1"/>
      <c r="DJ1744" s="1"/>
      <c r="DK1744" s="1"/>
      <c r="ED1744" s="1"/>
      <c r="EK1744" s="1"/>
      <c r="EL1744" s="1"/>
      <c r="EM1744" s="1"/>
      <c r="EN1744" s="1"/>
      <c r="EQ1744" s="1"/>
      <c r="ER1744" s="1"/>
      <c r="ES1744" s="1"/>
      <c r="EV1744" s="1"/>
      <c r="EW1744" s="1"/>
      <c r="EZ1744" s="1"/>
      <c r="GO1744" s="1"/>
      <c r="HY1744" s="1"/>
      <c r="IE1744" s="1"/>
      <c r="IS1744" s="1"/>
      <c r="IZ1744" s="1"/>
      <c r="JG1744" s="1"/>
      <c r="JH1744" s="1"/>
      <c r="JJ1744" s="1"/>
      <c r="JP1744" s="1"/>
      <c r="JQ1744" s="1"/>
      <c r="JT1744" s="1"/>
      <c r="KU1744" s="1"/>
      <c r="LQ1744" s="1"/>
      <c r="LR1744" s="1"/>
      <c r="LS1744" s="1"/>
      <c r="LT1744" s="1"/>
      <c r="LU1744" s="1"/>
      <c r="LY1744" s="1"/>
      <c r="LZ1744" s="1"/>
      <c r="MA1744" s="1"/>
    </row>
    <row r="1745" spans="4:339" ht="13" x14ac:dyDescent="0.15">
      <c r="D1745" s="12"/>
      <c r="E1745" s="12"/>
      <c r="I1745" s="12"/>
      <c r="J1745" s="13"/>
      <c r="BF1745" s="1"/>
      <c r="BG1745" s="1"/>
      <c r="BH1745" s="1"/>
      <c r="BI1745" s="1"/>
      <c r="BK1745" s="1"/>
      <c r="BL1745" s="1"/>
      <c r="BM1745" s="1"/>
      <c r="BN1745" s="1"/>
      <c r="BO1745" s="1"/>
      <c r="BP1745" s="1"/>
      <c r="BQ1745" s="1"/>
      <c r="BR1745" s="1"/>
      <c r="CD1745" s="1"/>
      <c r="CE1745" s="1"/>
      <c r="CF1745" s="1"/>
      <c r="CG1745" s="1"/>
      <c r="CM1745" s="2"/>
      <c r="CQ1745" s="1"/>
      <c r="CY1745" s="1"/>
      <c r="DC1745" s="1"/>
      <c r="DH1745" s="1"/>
      <c r="ED1745" s="1"/>
      <c r="EK1745" s="1"/>
      <c r="EL1745" s="1"/>
      <c r="EM1745" s="1"/>
      <c r="EN1745" s="1"/>
      <c r="EQ1745" s="1"/>
      <c r="ER1745" s="1"/>
      <c r="ES1745" s="1"/>
      <c r="EV1745" s="1"/>
      <c r="EW1745" s="1"/>
      <c r="EZ1745" s="1"/>
      <c r="GP1745" s="1"/>
      <c r="HY1745" s="1"/>
      <c r="IS1745" s="1"/>
      <c r="IZ1745" s="1"/>
      <c r="JF1745" s="1"/>
      <c r="JG1745" s="1"/>
      <c r="JH1745" s="1"/>
      <c r="JJ1745" s="1"/>
      <c r="JN1745" s="1"/>
      <c r="JP1745" s="1"/>
      <c r="JQ1745" s="1"/>
      <c r="JT1745" s="1"/>
      <c r="KU1745" s="1"/>
      <c r="KW1745" s="1"/>
      <c r="KY1745" s="1"/>
      <c r="KZ1745" s="1"/>
      <c r="LA1745" s="1"/>
      <c r="LB1745" s="1"/>
      <c r="LC1745" s="1"/>
      <c r="LD1745" s="1"/>
      <c r="LJ1745" s="1"/>
      <c r="LO1745" s="1"/>
      <c r="LP1745" s="1"/>
      <c r="LZ1745" s="1"/>
      <c r="MA1745" s="1"/>
    </row>
    <row r="1746" spans="4:339" ht="13" x14ac:dyDescent="0.15">
      <c r="D1746" s="12"/>
      <c r="E1746" s="12"/>
      <c r="I1746" s="12"/>
      <c r="J1746" s="13"/>
      <c r="BF1746" s="1"/>
      <c r="BG1746" s="1"/>
      <c r="BH1746" s="1"/>
      <c r="BI1746" s="1"/>
      <c r="BJ1746" s="1"/>
      <c r="BK1746" s="1"/>
      <c r="BL1746" s="1"/>
      <c r="BM1746" s="1"/>
      <c r="BN1746" s="1"/>
      <c r="BO1746" s="1"/>
      <c r="BP1746" s="1"/>
      <c r="BQ1746" s="1"/>
      <c r="BR1746" s="1"/>
      <c r="CD1746" s="1"/>
      <c r="CE1746" s="1"/>
      <c r="CF1746" s="1"/>
      <c r="CG1746" s="1"/>
      <c r="CM1746" s="2"/>
      <c r="CP1746" s="1"/>
      <c r="CQ1746" s="1"/>
      <c r="CR1746" s="1"/>
      <c r="CT1746" s="1"/>
      <c r="CU1746" s="1"/>
      <c r="CV1746" s="1"/>
      <c r="CW1746" s="1"/>
      <c r="CX1746" s="1"/>
      <c r="CY1746" s="1"/>
      <c r="CZ1746" s="1"/>
      <c r="DA1746" s="1"/>
      <c r="DB1746" s="1"/>
      <c r="DC1746" s="1"/>
      <c r="DD1746" s="1"/>
      <c r="DE1746" s="1"/>
      <c r="DF1746" s="1"/>
      <c r="DG1746" s="1"/>
      <c r="DH1746" s="1"/>
      <c r="DI1746" s="1"/>
      <c r="DJ1746" s="1"/>
      <c r="DK1746" s="1"/>
      <c r="ED1746" s="1"/>
      <c r="EK1746" s="1"/>
      <c r="EL1746" s="1"/>
      <c r="EM1746" s="1"/>
      <c r="EN1746" s="1"/>
      <c r="EQ1746" s="1"/>
      <c r="ER1746" s="1"/>
      <c r="ES1746" s="1"/>
      <c r="EV1746" s="1"/>
      <c r="EW1746" s="1"/>
      <c r="EZ1746" s="1"/>
      <c r="GO1746" s="1"/>
      <c r="HY1746" s="1"/>
      <c r="IE1746" s="1"/>
      <c r="IR1746" s="1"/>
      <c r="IS1746" s="1"/>
      <c r="IZ1746" s="1"/>
      <c r="JF1746" s="1"/>
      <c r="JJ1746" s="1"/>
      <c r="JN1746" s="1"/>
      <c r="JP1746" s="1"/>
      <c r="JQ1746" s="1"/>
      <c r="KU1746" s="1"/>
      <c r="KY1746" s="1"/>
      <c r="KZ1746" s="1"/>
      <c r="LA1746" s="1"/>
      <c r="LB1746" s="1"/>
      <c r="LC1746" s="1"/>
      <c r="LD1746" s="1"/>
      <c r="LO1746" s="1"/>
      <c r="LP1746" s="1"/>
      <c r="LZ1746" s="1"/>
      <c r="MA1746" s="1"/>
    </row>
    <row r="1747" spans="4:339" ht="13" x14ac:dyDescent="0.15">
      <c r="D1747" s="12"/>
      <c r="E1747" s="12"/>
      <c r="I1747" s="12"/>
      <c r="J1747" s="13"/>
      <c r="BF1747" s="1"/>
      <c r="BG1747" s="1"/>
      <c r="BH1747" s="1"/>
      <c r="BI1747" s="1"/>
      <c r="BK1747" s="1"/>
      <c r="BL1747" s="1"/>
      <c r="BM1747" s="1"/>
      <c r="BN1747" s="1"/>
      <c r="BO1747" s="1"/>
      <c r="BP1747" s="1"/>
      <c r="BQ1747" s="1"/>
      <c r="BR1747" s="1"/>
      <c r="CD1747" s="1"/>
      <c r="CE1747" s="1"/>
      <c r="CF1747" s="1"/>
      <c r="CM1747" s="2"/>
      <c r="CP1747" s="1"/>
      <c r="CQ1747" s="1"/>
      <c r="CR1747" s="1"/>
      <c r="CT1747" s="1"/>
      <c r="CU1747" s="1"/>
      <c r="CV1747" s="1"/>
      <c r="CW1747" s="1"/>
      <c r="CX1747" s="1"/>
      <c r="CY1747" s="1"/>
      <c r="CZ1747" s="1"/>
      <c r="DA1747" s="1"/>
      <c r="DB1747" s="1"/>
      <c r="DC1747" s="1"/>
      <c r="DD1747" s="1"/>
      <c r="DE1747" s="1"/>
      <c r="DF1747" s="1"/>
      <c r="DG1747" s="1"/>
      <c r="DH1747" s="1"/>
      <c r="DI1747" s="1"/>
      <c r="DJ1747" s="1"/>
      <c r="DK1747" s="1"/>
      <c r="ED1747" s="1"/>
      <c r="EK1747" s="1"/>
      <c r="EL1747" s="1"/>
      <c r="EM1747" s="1"/>
      <c r="EN1747" s="1"/>
      <c r="EQ1747" s="1"/>
      <c r="ER1747" s="1"/>
      <c r="ES1747" s="1"/>
      <c r="EV1747" s="1"/>
      <c r="EW1747" s="1"/>
      <c r="EZ1747" s="1"/>
      <c r="GO1747" s="1"/>
      <c r="GP1747" s="1"/>
      <c r="HY1747" s="1"/>
      <c r="IE1747" s="1"/>
      <c r="IS1747" s="1"/>
      <c r="IZ1747" s="1"/>
      <c r="JH1747" s="1"/>
      <c r="JJ1747" s="1"/>
      <c r="JP1747" s="1"/>
      <c r="JQ1747" s="1"/>
      <c r="JT1747" s="1"/>
      <c r="LZ1747" s="1"/>
      <c r="MA1747" s="1"/>
    </row>
    <row r="1748" spans="4:339" ht="13" x14ac:dyDescent="0.15">
      <c r="D1748" s="12"/>
      <c r="E1748" s="12"/>
      <c r="I1748" s="12"/>
      <c r="J1748" s="13"/>
      <c r="BF1748" s="1"/>
      <c r="BG1748" s="1"/>
      <c r="BH1748" s="1"/>
      <c r="BI1748" s="1"/>
      <c r="BK1748" s="1"/>
      <c r="BL1748" s="1"/>
      <c r="BM1748" s="1"/>
      <c r="BN1748" s="1"/>
      <c r="BO1748" s="1"/>
      <c r="BP1748" s="1"/>
      <c r="BQ1748" s="1"/>
      <c r="BR1748" s="1"/>
      <c r="CD1748" s="1"/>
      <c r="CE1748" s="1"/>
      <c r="CF1748" s="1"/>
      <c r="CM1748" s="2"/>
      <c r="CP1748" s="1"/>
      <c r="CQ1748" s="1"/>
      <c r="CR1748" s="1"/>
      <c r="CT1748" s="1"/>
      <c r="CU1748" s="1"/>
      <c r="CV1748" s="1"/>
      <c r="CW1748" s="1"/>
      <c r="CX1748" s="1"/>
      <c r="CY1748" s="1"/>
      <c r="CZ1748" s="1"/>
      <c r="DA1748" s="1"/>
      <c r="DB1748" s="1"/>
      <c r="DC1748" s="1"/>
      <c r="DD1748" s="1"/>
      <c r="DE1748" s="1"/>
      <c r="DF1748" s="1"/>
      <c r="DG1748" s="1"/>
      <c r="DH1748" s="1"/>
      <c r="DI1748" s="1"/>
      <c r="DJ1748" s="1"/>
      <c r="DK1748" s="1"/>
      <c r="ED1748" s="1"/>
      <c r="EK1748" s="1"/>
      <c r="EL1748" s="1"/>
      <c r="EM1748" s="1"/>
      <c r="EN1748" s="1"/>
      <c r="EQ1748" s="1"/>
      <c r="ER1748" s="1"/>
      <c r="ES1748" s="1"/>
      <c r="EV1748" s="1"/>
      <c r="EW1748" s="1"/>
      <c r="EZ1748" s="1"/>
      <c r="GO1748" s="1"/>
      <c r="GP1748" s="1"/>
      <c r="HY1748" s="1"/>
      <c r="IE1748" s="1"/>
      <c r="IS1748" s="1"/>
      <c r="IZ1748" s="1"/>
      <c r="JH1748" s="1"/>
      <c r="JJ1748" s="1"/>
      <c r="JP1748" s="1"/>
      <c r="JQ1748" s="1"/>
      <c r="JT1748" s="1"/>
      <c r="LZ1748" s="1"/>
      <c r="MA1748" s="1"/>
    </row>
    <row r="1749" spans="4:339" ht="13" x14ac:dyDescent="0.15">
      <c r="D1749" s="12"/>
      <c r="E1749" s="12"/>
      <c r="I1749" s="12"/>
      <c r="J1749" s="13"/>
      <c r="BG1749" s="1"/>
      <c r="BH1749" s="1"/>
      <c r="BI1749" s="1"/>
      <c r="BK1749" s="1"/>
      <c r="BL1749" s="1"/>
      <c r="BM1749" s="1"/>
      <c r="BN1749" s="1"/>
      <c r="BO1749" s="1"/>
      <c r="BQ1749" s="1"/>
      <c r="BR1749" s="1"/>
      <c r="CD1749" s="1"/>
      <c r="CE1749" s="1"/>
      <c r="CF1749" s="1"/>
      <c r="CM1749" s="2"/>
      <c r="ED1749" s="1"/>
      <c r="EL1749" s="1"/>
      <c r="EM1749" s="1"/>
      <c r="EN1749" s="1"/>
      <c r="EQ1749" s="1"/>
      <c r="ER1749" s="1"/>
      <c r="ES1749" s="1"/>
      <c r="EV1749" s="1"/>
      <c r="EW1749" s="1"/>
      <c r="EZ1749" s="1"/>
      <c r="HY1749" s="1"/>
      <c r="IS1749" s="1"/>
      <c r="IZ1749" s="1"/>
      <c r="JH1749" s="1"/>
      <c r="JJ1749" s="1"/>
      <c r="JP1749" s="1"/>
      <c r="JQ1749" s="1"/>
      <c r="JT1749" s="1"/>
      <c r="KU1749" s="1"/>
      <c r="LR1749" s="1"/>
      <c r="LS1749" s="1"/>
      <c r="LT1749" s="1"/>
      <c r="LU1749" s="1"/>
    </row>
    <row r="1750" spans="4:339" ht="13" x14ac:dyDescent="0.15">
      <c r="D1750" s="12"/>
      <c r="E1750" s="12"/>
      <c r="I1750" s="12"/>
      <c r="J1750" s="13"/>
      <c r="BF1750" s="1"/>
      <c r="BG1750" s="1"/>
      <c r="BH1750" s="1"/>
      <c r="BI1750" s="1"/>
      <c r="BJ1750" s="1"/>
      <c r="BK1750" s="1"/>
      <c r="BL1750" s="1"/>
      <c r="BM1750" s="1"/>
      <c r="BN1750" s="1"/>
      <c r="BO1750" s="1"/>
      <c r="BQ1750" s="1"/>
      <c r="BR1750" s="1"/>
      <c r="CD1750" s="1"/>
      <c r="CM1750" s="2"/>
      <c r="ED1750" s="1"/>
      <c r="EL1750" s="1"/>
      <c r="EM1750" s="1"/>
      <c r="EN1750" s="1"/>
      <c r="EQ1750" s="1"/>
      <c r="ER1750" s="1"/>
      <c r="ES1750" s="1"/>
      <c r="EV1750" s="1"/>
      <c r="EW1750" s="1"/>
      <c r="EZ1750" s="1"/>
      <c r="HY1750" s="1"/>
      <c r="IR1750" s="1"/>
      <c r="IS1750" s="1"/>
      <c r="IY1750" s="1"/>
      <c r="IZ1750" s="1"/>
      <c r="JH1750" s="1"/>
      <c r="JJ1750" s="1"/>
      <c r="JP1750" s="1"/>
      <c r="JQ1750" s="1"/>
      <c r="JT1750" s="1"/>
      <c r="KU1750" s="1"/>
    </row>
    <row r="1751" spans="4:339" ht="13" x14ac:dyDescent="0.15">
      <c r="D1751" s="12"/>
      <c r="E1751" s="12"/>
      <c r="I1751" s="12"/>
      <c r="J1751" s="13"/>
      <c r="BF1751" s="1"/>
      <c r="BG1751" s="1"/>
      <c r="BH1751" s="1"/>
      <c r="BI1751" s="1"/>
      <c r="BJ1751" s="1"/>
      <c r="BK1751" s="1"/>
      <c r="BL1751" s="1"/>
      <c r="BM1751" s="1"/>
      <c r="BN1751" s="1"/>
      <c r="BO1751" s="1"/>
      <c r="BQ1751" s="1"/>
      <c r="BR1751" s="1"/>
      <c r="CD1751" s="1"/>
      <c r="CM1751" s="2"/>
      <c r="ED1751" s="1"/>
      <c r="EL1751" s="1"/>
      <c r="EM1751" s="1"/>
      <c r="EN1751" s="1"/>
      <c r="EQ1751" s="1"/>
      <c r="ER1751" s="1"/>
      <c r="ES1751" s="1"/>
      <c r="EV1751" s="1"/>
      <c r="EW1751" s="1"/>
      <c r="EZ1751" s="1"/>
      <c r="HY1751" s="1"/>
      <c r="IR1751" s="1"/>
      <c r="IS1751" s="1"/>
      <c r="IY1751" s="1"/>
      <c r="IZ1751" s="1"/>
      <c r="JH1751" s="1"/>
      <c r="JJ1751" s="1"/>
      <c r="JP1751" s="1"/>
      <c r="JQ1751" s="1"/>
      <c r="JT1751" s="1"/>
      <c r="KU1751" s="1"/>
    </row>
    <row r="1752" spans="4:339" ht="13" x14ac:dyDescent="0.15">
      <c r="D1752" s="12"/>
      <c r="E1752" s="12"/>
      <c r="I1752" s="12"/>
      <c r="J1752" s="13"/>
      <c r="BF1752" s="1"/>
      <c r="BG1752" s="1"/>
      <c r="BH1752" s="1"/>
      <c r="BI1752" s="1"/>
      <c r="BK1752" s="1"/>
      <c r="BL1752" s="1"/>
      <c r="BM1752" s="1"/>
      <c r="BN1752" s="1"/>
      <c r="BO1752" s="1"/>
      <c r="BP1752" s="1"/>
      <c r="BQ1752" s="1"/>
      <c r="BR1752" s="1"/>
      <c r="CD1752" s="1"/>
      <c r="CE1752" s="1"/>
      <c r="CF1752" s="1"/>
      <c r="CM1752" s="2"/>
      <c r="CP1752" s="1"/>
      <c r="CQ1752" s="1"/>
      <c r="CX1752" s="1"/>
      <c r="CY1752" s="1"/>
      <c r="CZ1752" s="1"/>
      <c r="DA1752" s="1"/>
      <c r="DB1752" s="1"/>
      <c r="DC1752" s="1"/>
      <c r="DD1752" s="1"/>
      <c r="DE1752" s="1"/>
      <c r="DF1752" s="1"/>
      <c r="DG1752" s="1"/>
      <c r="DH1752" s="1"/>
      <c r="DI1752" s="1"/>
      <c r="DJ1752" s="1"/>
      <c r="DK1752" s="1"/>
      <c r="DQ1752" s="1"/>
      <c r="DR1752" s="1"/>
      <c r="DY1752" s="1"/>
      <c r="DZ1752" s="1"/>
      <c r="ED1752" s="1"/>
      <c r="EK1752" s="1"/>
      <c r="EL1752" s="1"/>
      <c r="EM1752" s="1"/>
      <c r="EN1752" s="1"/>
      <c r="EQ1752" s="1"/>
      <c r="ER1752" s="1"/>
      <c r="ES1752" s="1"/>
      <c r="EV1752" s="1"/>
      <c r="EW1752" s="1"/>
      <c r="EZ1752" s="1"/>
      <c r="GP1752" s="1"/>
      <c r="HY1752" s="1"/>
      <c r="IE1752" s="1"/>
      <c r="IS1752" s="1"/>
      <c r="IY1752" s="1"/>
      <c r="IZ1752" s="1"/>
      <c r="JJ1752" s="1"/>
      <c r="JN1752" s="1"/>
      <c r="JP1752" s="1"/>
      <c r="JQ1752" s="1"/>
      <c r="KV1752" s="1"/>
      <c r="KY1752" s="1"/>
      <c r="KZ1752" s="1"/>
      <c r="LA1752" s="1"/>
      <c r="LB1752" s="1"/>
      <c r="LC1752" s="1"/>
      <c r="LD1752" s="1"/>
      <c r="LO1752" s="1"/>
      <c r="LP1752" s="1"/>
      <c r="LZ1752" s="1"/>
      <c r="MA1752" s="1"/>
    </row>
    <row r="1753" spans="4:339" ht="13" x14ac:dyDescent="0.15">
      <c r="D1753" s="12"/>
      <c r="E1753" s="12"/>
      <c r="I1753" s="12"/>
      <c r="J1753" s="13"/>
      <c r="BF1753" s="1"/>
      <c r="BG1753" s="1"/>
      <c r="BH1753" s="1"/>
      <c r="BI1753" s="1"/>
      <c r="BK1753" s="1"/>
      <c r="BL1753" s="1"/>
      <c r="BM1753" s="1"/>
      <c r="BN1753" s="1"/>
      <c r="BO1753" s="1"/>
      <c r="BP1753" s="1"/>
      <c r="BQ1753" s="1"/>
      <c r="BR1753" s="1"/>
      <c r="CD1753" s="1"/>
      <c r="CE1753" s="1"/>
      <c r="CF1753" s="1"/>
      <c r="CM1753" s="2"/>
      <c r="CP1753" s="1"/>
      <c r="CQ1753" s="1"/>
      <c r="CX1753" s="1"/>
      <c r="CY1753" s="1"/>
      <c r="CZ1753" s="1"/>
      <c r="DA1753" s="1"/>
      <c r="DB1753" s="1"/>
      <c r="DC1753" s="1"/>
      <c r="DD1753" s="1"/>
      <c r="DE1753" s="1"/>
      <c r="DF1753" s="1"/>
      <c r="DG1753" s="1"/>
      <c r="DH1753" s="1"/>
      <c r="DI1753" s="1"/>
      <c r="DJ1753" s="1"/>
      <c r="DK1753" s="1"/>
      <c r="DQ1753" s="1"/>
      <c r="DR1753" s="1"/>
      <c r="DY1753" s="1"/>
      <c r="DZ1753" s="1"/>
      <c r="ED1753" s="1"/>
      <c r="EK1753" s="1"/>
      <c r="EL1753" s="1"/>
      <c r="EM1753" s="1"/>
      <c r="EN1753" s="1"/>
      <c r="EQ1753" s="1"/>
      <c r="ER1753" s="1"/>
      <c r="ES1753" s="1"/>
      <c r="EV1753" s="1"/>
      <c r="EW1753" s="1"/>
      <c r="EZ1753" s="1"/>
      <c r="GP1753" s="1"/>
      <c r="HY1753" s="1"/>
      <c r="IE1753" s="1"/>
      <c r="IS1753" s="1"/>
      <c r="IY1753" s="1"/>
      <c r="IZ1753" s="1"/>
      <c r="JJ1753" s="1"/>
      <c r="JN1753" s="1"/>
      <c r="JP1753" s="1"/>
      <c r="JQ1753" s="1"/>
      <c r="KV1753" s="1"/>
      <c r="KY1753" s="1"/>
      <c r="KZ1753" s="1"/>
      <c r="LA1753" s="1"/>
      <c r="LB1753" s="1"/>
      <c r="LC1753" s="1"/>
      <c r="LD1753" s="1"/>
      <c r="LO1753" s="1"/>
      <c r="LP1753" s="1"/>
      <c r="LZ1753" s="1"/>
      <c r="MA1753" s="1"/>
    </row>
    <row r="1754" spans="4:339" ht="13" x14ac:dyDescent="0.15">
      <c r="D1754" s="12"/>
      <c r="E1754" s="12"/>
      <c r="I1754" s="12"/>
      <c r="J1754" s="13"/>
      <c r="BF1754" s="1"/>
      <c r="BG1754" s="1"/>
      <c r="BH1754" s="1"/>
      <c r="BI1754" s="1"/>
      <c r="BK1754" s="1"/>
      <c r="BL1754" s="1"/>
      <c r="BM1754" s="1"/>
      <c r="BN1754" s="1"/>
      <c r="BO1754" s="1"/>
      <c r="BP1754" s="1"/>
      <c r="BQ1754" s="1"/>
      <c r="BR1754" s="1"/>
      <c r="CD1754" s="1"/>
      <c r="CE1754" s="1"/>
      <c r="CF1754" s="1"/>
      <c r="CM1754" s="2"/>
      <c r="CP1754" s="1"/>
      <c r="CQ1754" s="1"/>
      <c r="CX1754" s="1"/>
      <c r="CY1754" s="1"/>
      <c r="CZ1754" s="1"/>
      <c r="DA1754" s="1"/>
      <c r="DB1754" s="1"/>
      <c r="DC1754" s="1"/>
      <c r="DD1754" s="1"/>
      <c r="DE1754" s="1"/>
      <c r="DF1754" s="1"/>
      <c r="DG1754" s="1"/>
      <c r="DH1754" s="1"/>
      <c r="DI1754" s="1"/>
      <c r="DJ1754" s="1"/>
      <c r="DK1754" s="1"/>
      <c r="DQ1754" s="1"/>
      <c r="DR1754" s="1"/>
      <c r="DY1754" s="1"/>
      <c r="DZ1754" s="1"/>
      <c r="ED1754" s="1"/>
      <c r="EK1754" s="1"/>
      <c r="EL1754" s="1"/>
      <c r="EM1754" s="1"/>
      <c r="EN1754" s="1"/>
      <c r="EQ1754" s="1"/>
      <c r="ER1754" s="1"/>
      <c r="ES1754" s="1"/>
      <c r="EV1754" s="1"/>
      <c r="EW1754" s="1"/>
      <c r="EZ1754" s="1"/>
      <c r="GP1754" s="1"/>
      <c r="HY1754" s="1"/>
      <c r="IE1754" s="1"/>
      <c r="IS1754" s="1"/>
      <c r="IY1754" s="1"/>
      <c r="IZ1754" s="1"/>
      <c r="JJ1754" s="1"/>
      <c r="JN1754" s="1"/>
      <c r="JP1754" s="1"/>
      <c r="JQ1754" s="1"/>
      <c r="KV1754" s="1"/>
      <c r="KY1754" s="1"/>
      <c r="KZ1754" s="1"/>
      <c r="LA1754" s="1"/>
      <c r="LB1754" s="1"/>
      <c r="LC1754" s="1"/>
      <c r="LD1754" s="1"/>
      <c r="LO1754" s="1"/>
      <c r="LP1754" s="1"/>
      <c r="LZ1754" s="1"/>
      <c r="MA1754" s="1"/>
    </row>
    <row r="1755" spans="4:339" ht="13" x14ac:dyDescent="0.15">
      <c r="D1755" s="12"/>
      <c r="E1755" s="12"/>
      <c r="I1755" s="12"/>
      <c r="J1755" s="13"/>
      <c r="BF1755" s="1"/>
      <c r="BG1755" s="1"/>
      <c r="BH1755" s="1"/>
      <c r="BI1755" s="1"/>
      <c r="BK1755" s="1"/>
      <c r="BL1755" s="1"/>
      <c r="BM1755" s="1"/>
      <c r="BN1755" s="1"/>
      <c r="BO1755" s="1"/>
      <c r="BP1755" s="1"/>
      <c r="BQ1755" s="1"/>
      <c r="BR1755" s="1"/>
      <c r="CD1755" s="1"/>
      <c r="CE1755" s="1"/>
      <c r="CF1755" s="1"/>
      <c r="CM1755" s="2"/>
      <c r="CP1755" s="1"/>
      <c r="CQ1755" s="1"/>
      <c r="CX1755" s="1"/>
      <c r="CY1755" s="1"/>
      <c r="CZ1755" s="1"/>
      <c r="DA1755" s="1"/>
      <c r="DB1755" s="1"/>
      <c r="DC1755" s="1"/>
      <c r="DD1755" s="1"/>
      <c r="DE1755" s="1"/>
      <c r="DF1755" s="1"/>
      <c r="DG1755" s="1"/>
      <c r="DH1755" s="1"/>
      <c r="DI1755" s="1"/>
      <c r="DJ1755" s="1"/>
      <c r="DK1755" s="1"/>
      <c r="DQ1755" s="1"/>
      <c r="DR1755" s="1"/>
      <c r="DY1755" s="1"/>
      <c r="DZ1755" s="1"/>
      <c r="ED1755" s="1"/>
      <c r="EK1755" s="1"/>
      <c r="EL1755" s="1"/>
      <c r="EM1755" s="1"/>
      <c r="EN1755" s="1"/>
      <c r="EQ1755" s="1"/>
      <c r="ER1755" s="1"/>
      <c r="ES1755" s="1"/>
      <c r="EV1755" s="1"/>
      <c r="EW1755" s="1"/>
      <c r="EZ1755" s="1"/>
      <c r="GP1755" s="1"/>
      <c r="HY1755" s="1"/>
      <c r="IE1755" s="1"/>
      <c r="IS1755" s="1"/>
      <c r="IY1755" s="1"/>
      <c r="IZ1755" s="1"/>
      <c r="JJ1755" s="1"/>
      <c r="JN1755" s="1"/>
      <c r="JP1755" s="1"/>
      <c r="JQ1755" s="1"/>
      <c r="KV1755" s="1"/>
      <c r="KY1755" s="1"/>
      <c r="KZ1755" s="1"/>
      <c r="LA1755" s="1"/>
      <c r="LB1755" s="1"/>
      <c r="LC1755" s="1"/>
      <c r="LD1755" s="1"/>
      <c r="LO1755" s="1"/>
      <c r="LP1755" s="1"/>
      <c r="LZ1755" s="1"/>
      <c r="MA1755" s="1"/>
    </row>
    <row r="1756" spans="4:339" ht="13" x14ac:dyDescent="0.15">
      <c r="D1756" s="12"/>
      <c r="E1756" s="12"/>
      <c r="I1756" s="12"/>
      <c r="J1756" s="13"/>
      <c r="BF1756" s="1"/>
      <c r="BG1756" s="1"/>
      <c r="BH1756" s="1"/>
      <c r="BI1756" s="1"/>
      <c r="BK1756" s="1"/>
      <c r="BL1756" s="1"/>
      <c r="BM1756" s="1"/>
      <c r="BN1756" s="1"/>
      <c r="BO1756" s="1"/>
      <c r="BP1756" s="1"/>
      <c r="BQ1756" s="1"/>
      <c r="BR1756" s="1"/>
      <c r="CD1756" s="1"/>
      <c r="CE1756" s="1"/>
      <c r="CF1756" s="1"/>
      <c r="CM1756" s="2"/>
      <c r="CP1756" s="1"/>
      <c r="CQ1756" s="1"/>
      <c r="CX1756" s="1"/>
      <c r="CY1756" s="1"/>
      <c r="CZ1756" s="1"/>
      <c r="DA1756" s="1"/>
      <c r="DB1756" s="1"/>
      <c r="DC1756" s="1"/>
      <c r="DD1756" s="1"/>
      <c r="DE1756" s="1"/>
      <c r="DF1756" s="1"/>
      <c r="DG1756" s="1"/>
      <c r="DH1756" s="1"/>
      <c r="DI1756" s="1"/>
      <c r="DJ1756" s="1"/>
      <c r="DK1756" s="1"/>
      <c r="DQ1756" s="1"/>
      <c r="DR1756" s="1"/>
      <c r="DY1756" s="1"/>
      <c r="DZ1756" s="1"/>
      <c r="ED1756" s="1"/>
      <c r="EK1756" s="1"/>
      <c r="EL1756" s="1"/>
      <c r="EM1756" s="1"/>
      <c r="EN1756" s="1"/>
      <c r="EQ1756" s="1"/>
      <c r="ER1756" s="1"/>
      <c r="ES1756" s="1"/>
      <c r="EV1756" s="1"/>
      <c r="EW1756" s="1"/>
      <c r="EZ1756" s="1"/>
      <c r="GP1756" s="1"/>
      <c r="HY1756" s="1"/>
      <c r="IE1756" s="1"/>
      <c r="IS1756" s="1"/>
      <c r="IY1756" s="1"/>
      <c r="IZ1756" s="1"/>
      <c r="JJ1756" s="1"/>
      <c r="JN1756" s="1"/>
      <c r="JP1756" s="1"/>
      <c r="JQ1756" s="1"/>
      <c r="KV1756" s="1"/>
      <c r="KY1756" s="1"/>
      <c r="KZ1756" s="1"/>
      <c r="LA1756" s="1"/>
      <c r="LB1756" s="1"/>
      <c r="LC1756" s="1"/>
      <c r="LD1756" s="1"/>
      <c r="LO1756" s="1"/>
      <c r="LP1756" s="1"/>
      <c r="LZ1756" s="1"/>
      <c r="MA1756" s="1"/>
    </row>
    <row r="1757" spans="4:339" ht="13" x14ac:dyDescent="0.15">
      <c r="D1757" s="12"/>
      <c r="E1757" s="12"/>
      <c r="I1757" s="12"/>
      <c r="J1757" s="13"/>
      <c r="BF1757" s="1"/>
      <c r="BG1757" s="1"/>
      <c r="BH1757" s="1"/>
      <c r="BI1757" s="1"/>
      <c r="BK1757" s="1"/>
      <c r="BL1757" s="1"/>
      <c r="BM1757" s="1"/>
      <c r="BN1757" s="1"/>
      <c r="BO1757" s="1"/>
      <c r="BP1757" s="1"/>
      <c r="BQ1757" s="1"/>
      <c r="BR1757" s="1"/>
      <c r="CD1757" s="1"/>
      <c r="CE1757" s="1"/>
      <c r="CF1757" s="1"/>
      <c r="CM1757" s="2"/>
      <c r="CP1757" s="1"/>
      <c r="CQ1757" s="1"/>
      <c r="CX1757" s="1"/>
      <c r="CY1757" s="1"/>
      <c r="CZ1757" s="1"/>
      <c r="DA1757" s="1"/>
      <c r="DB1757" s="1"/>
      <c r="DC1757" s="1"/>
      <c r="DD1757" s="1"/>
      <c r="DE1757" s="1"/>
      <c r="DF1757" s="1"/>
      <c r="DG1757" s="1"/>
      <c r="DH1757" s="1"/>
      <c r="DI1757" s="1"/>
      <c r="DJ1757" s="1"/>
      <c r="DK1757" s="1"/>
      <c r="DQ1757" s="1"/>
      <c r="DR1757" s="1"/>
      <c r="DY1757" s="1"/>
      <c r="DZ1757" s="1"/>
      <c r="ED1757" s="1"/>
      <c r="EK1757" s="1"/>
      <c r="EL1757" s="1"/>
      <c r="EM1757" s="1"/>
      <c r="EN1757" s="1"/>
      <c r="EQ1757" s="1"/>
      <c r="ER1757" s="1"/>
      <c r="ES1757" s="1"/>
      <c r="EV1757" s="1"/>
      <c r="EW1757" s="1"/>
      <c r="EZ1757" s="1"/>
      <c r="GP1757" s="1"/>
      <c r="HY1757" s="1"/>
      <c r="IE1757" s="1"/>
      <c r="IS1757" s="1"/>
      <c r="IY1757" s="1"/>
      <c r="IZ1757" s="1"/>
      <c r="JJ1757" s="1"/>
      <c r="JN1757" s="1"/>
      <c r="JP1757" s="1"/>
      <c r="JQ1757" s="1"/>
      <c r="KV1757" s="1"/>
      <c r="KY1757" s="1"/>
      <c r="KZ1757" s="1"/>
      <c r="LA1757" s="1"/>
      <c r="LB1757" s="1"/>
      <c r="LC1757" s="1"/>
      <c r="LD1757" s="1"/>
      <c r="LO1757" s="1"/>
      <c r="LP1757" s="1"/>
      <c r="LZ1757" s="1"/>
      <c r="MA1757" s="1"/>
    </row>
    <row r="1758" spans="4:339" ht="13" x14ac:dyDescent="0.15">
      <c r="D1758" s="12"/>
      <c r="E1758" s="12"/>
      <c r="I1758" s="12"/>
      <c r="J1758" s="13"/>
      <c r="BF1758" s="1"/>
      <c r="BG1758" s="1"/>
      <c r="BH1758" s="1"/>
      <c r="BI1758" s="1"/>
      <c r="BK1758" s="1"/>
      <c r="BL1758" s="1"/>
      <c r="BM1758" s="1"/>
      <c r="BN1758" s="1"/>
      <c r="BO1758" s="1"/>
      <c r="BP1758" s="1"/>
      <c r="BQ1758" s="1"/>
      <c r="BR1758" s="1"/>
      <c r="CD1758" s="1"/>
      <c r="CE1758" s="1"/>
      <c r="CF1758" s="1"/>
      <c r="CM1758" s="2"/>
      <c r="CP1758" s="1"/>
      <c r="CQ1758" s="1"/>
      <c r="CX1758" s="1"/>
      <c r="CY1758" s="1"/>
      <c r="CZ1758" s="1"/>
      <c r="DA1758" s="1"/>
      <c r="DB1758" s="1"/>
      <c r="DC1758" s="1"/>
      <c r="DD1758" s="1"/>
      <c r="DE1758" s="1"/>
      <c r="DF1758" s="1"/>
      <c r="DG1758" s="1"/>
      <c r="DH1758" s="1"/>
      <c r="DI1758" s="1"/>
      <c r="DJ1758" s="1"/>
      <c r="DK1758" s="1"/>
      <c r="DQ1758" s="1"/>
      <c r="DR1758" s="1"/>
      <c r="DY1758" s="1"/>
      <c r="DZ1758" s="1"/>
      <c r="ED1758" s="1"/>
      <c r="EK1758" s="1"/>
      <c r="EL1758" s="1"/>
      <c r="EM1758" s="1"/>
      <c r="EN1758" s="1"/>
      <c r="EQ1758" s="1"/>
      <c r="ER1758" s="1"/>
      <c r="ES1758" s="1"/>
      <c r="EV1758" s="1"/>
      <c r="EW1758" s="1"/>
      <c r="EZ1758" s="1"/>
      <c r="GP1758" s="1"/>
      <c r="HY1758" s="1"/>
      <c r="IE1758" s="1"/>
      <c r="IS1758" s="1"/>
      <c r="IY1758" s="1"/>
      <c r="IZ1758" s="1"/>
      <c r="JJ1758" s="1"/>
      <c r="JN1758" s="1"/>
      <c r="JP1758" s="1"/>
      <c r="JQ1758" s="1"/>
      <c r="KV1758" s="1"/>
      <c r="KY1758" s="1"/>
      <c r="KZ1758" s="1"/>
      <c r="LA1758" s="1"/>
      <c r="LB1758" s="1"/>
      <c r="LC1758" s="1"/>
      <c r="LD1758" s="1"/>
      <c r="LO1758" s="1"/>
      <c r="LP1758" s="1"/>
      <c r="LZ1758" s="1"/>
      <c r="MA1758" s="1"/>
    </row>
    <row r="1759" spans="4:339" ht="13" x14ac:dyDescent="0.15">
      <c r="D1759" s="12"/>
      <c r="E1759" s="12"/>
      <c r="I1759" s="12"/>
      <c r="J1759" s="13"/>
      <c r="BF1759" s="1"/>
      <c r="BG1759" s="1"/>
      <c r="BH1759" s="1"/>
      <c r="BI1759" s="1"/>
      <c r="BK1759" s="1"/>
      <c r="BL1759" s="1"/>
      <c r="BM1759" s="1"/>
      <c r="BN1759" s="1"/>
      <c r="BO1759" s="1"/>
      <c r="BP1759" s="1"/>
      <c r="BQ1759" s="1"/>
      <c r="BR1759" s="1"/>
      <c r="CD1759" s="1"/>
      <c r="CE1759" s="1"/>
      <c r="CF1759" s="1"/>
      <c r="CM1759" s="2"/>
      <c r="CP1759" s="1"/>
      <c r="CQ1759" s="1"/>
      <c r="CX1759" s="1"/>
      <c r="CY1759" s="1"/>
      <c r="CZ1759" s="1"/>
      <c r="DA1759" s="1"/>
      <c r="DB1759" s="1"/>
      <c r="DC1759" s="1"/>
      <c r="DD1759" s="1"/>
      <c r="DE1759" s="1"/>
      <c r="DF1759" s="1"/>
      <c r="DG1759" s="1"/>
      <c r="DH1759" s="1"/>
      <c r="DI1759" s="1"/>
      <c r="DJ1759" s="1"/>
      <c r="DK1759" s="1"/>
      <c r="DQ1759" s="1"/>
      <c r="DR1759" s="1"/>
      <c r="DY1759" s="1"/>
      <c r="DZ1759" s="1"/>
      <c r="ED1759" s="1"/>
      <c r="EK1759" s="1"/>
      <c r="EL1759" s="1"/>
      <c r="EM1759" s="1"/>
      <c r="EN1759" s="1"/>
      <c r="EQ1759" s="1"/>
      <c r="ER1759" s="1"/>
      <c r="ES1759" s="1"/>
      <c r="EV1759" s="1"/>
      <c r="EW1759" s="1"/>
      <c r="EZ1759" s="1"/>
      <c r="GP1759" s="1"/>
      <c r="HY1759" s="1"/>
      <c r="IE1759" s="1"/>
      <c r="IS1759" s="1"/>
      <c r="IY1759" s="1"/>
      <c r="IZ1759" s="1"/>
      <c r="JJ1759" s="1"/>
      <c r="JN1759" s="1"/>
      <c r="JP1759" s="1"/>
      <c r="JQ1759" s="1"/>
      <c r="KV1759" s="1"/>
      <c r="KY1759" s="1"/>
      <c r="KZ1759" s="1"/>
      <c r="LA1759" s="1"/>
      <c r="LB1759" s="1"/>
      <c r="LC1759" s="1"/>
      <c r="LD1759" s="1"/>
      <c r="LO1759" s="1"/>
      <c r="LP1759" s="1"/>
      <c r="LZ1759" s="1"/>
      <c r="MA1759" s="1"/>
    </row>
    <row r="1760" spans="4:339" ht="13" x14ac:dyDescent="0.15">
      <c r="D1760" s="12"/>
      <c r="E1760" s="12"/>
      <c r="I1760" s="12"/>
      <c r="J1760" s="13"/>
      <c r="BF1760" s="1"/>
      <c r="BG1760" s="1"/>
      <c r="BH1760" s="1"/>
      <c r="BI1760" s="1"/>
      <c r="BK1760" s="1"/>
      <c r="BL1760" s="1"/>
      <c r="BM1760" s="1"/>
      <c r="BN1760" s="1"/>
      <c r="BO1760" s="1"/>
      <c r="BP1760" s="1"/>
      <c r="BQ1760" s="1"/>
      <c r="BR1760" s="1"/>
      <c r="CD1760" s="1"/>
      <c r="CE1760" s="1"/>
      <c r="CF1760" s="1"/>
      <c r="CM1760" s="2"/>
      <c r="CP1760" s="1"/>
      <c r="CQ1760" s="1"/>
      <c r="CX1760" s="1"/>
      <c r="CY1760" s="1"/>
      <c r="CZ1760" s="1"/>
      <c r="DA1760" s="1"/>
      <c r="DB1760" s="1"/>
      <c r="DC1760" s="1"/>
      <c r="DD1760" s="1"/>
      <c r="DE1760" s="1"/>
      <c r="DF1760" s="1"/>
      <c r="DG1760" s="1"/>
      <c r="DH1760" s="1"/>
      <c r="DI1760" s="1"/>
      <c r="DJ1760" s="1"/>
      <c r="DK1760" s="1"/>
      <c r="DQ1760" s="1"/>
      <c r="DR1760" s="1"/>
      <c r="DY1760" s="1"/>
      <c r="DZ1760" s="1"/>
      <c r="ED1760" s="1"/>
      <c r="EK1760" s="1"/>
      <c r="EL1760" s="1"/>
      <c r="EM1760" s="1"/>
      <c r="EN1760" s="1"/>
      <c r="EQ1760" s="1"/>
      <c r="ER1760" s="1"/>
      <c r="ES1760" s="1"/>
      <c r="EV1760" s="1"/>
      <c r="EW1760" s="1"/>
      <c r="EZ1760" s="1"/>
      <c r="GP1760" s="1"/>
      <c r="HY1760" s="1"/>
      <c r="IE1760" s="1"/>
      <c r="IS1760" s="1"/>
      <c r="IY1760" s="1"/>
      <c r="IZ1760" s="1"/>
      <c r="JJ1760" s="1"/>
      <c r="JN1760" s="1"/>
      <c r="JP1760" s="1"/>
      <c r="JQ1760" s="1"/>
      <c r="KV1760" s="1"/>
      <c r="KY1760" s="1"/>
      <c r="KZ1760" s="1"/>
      <c r="LA1760" s="1"/>
      <c r="LB1760" s="1"/>
      <c r="LC1760" s="1"/>
      <c r="LD1760" s="1"/>
      <c r="LO1760" s="1"/>
      <c r="LP1760" s="1"/>
      <c r="LZ1760" s="1"/>
      <c r="MA1760" s="1"/>
    </row>
    <row r="1761" spans="4:342" ht="13" x14ac:dyDescent="0.15">
      <c r="D1761" s="12"/>
      <c r="E1761" s="12"/>
      <c r="I1761" s="12"/>
      <c r="J1761" s="13"/>
      <c r="BF1761" s="1"/>
      <c r="BG1761" s="1"/>
      <c r="BH1761" s="1"/>
      <c r="BI1761" s="1"/>
      <c r="BK1761" s="1"/>
      <c r="BL1761" s="1"/>
      <c r="BM1761" s="1"/>
      <c r="BN1761" s="1"/>
      <c r="BO1761" s="1"/>
      <c r="BP1761" s="1"/>
      <c r="BQ1761" s="1"/>
      <c r="BR1761" s="1"/>
      <c r="CD1761" s="1"/>
      <c r="CE1761" s="1"/>
      <c r="CF1761" s="1"/>
      <c r="CM1761" s="2"/>
      <c r="CP1761" s="1"/>
      <c r="CQ1761" s="1"/>
      <c r="CX1761" s="1"/>
      <c r="CY1761" s="1"/>
      <c r="CZ1761" s="1"/>
      <c r="DA1761" s="1"/>
      <c r="DB1761" s="1"/>
      <c r="DC1761" s="1"/>
      <c r="DD1761" s="1"/>
      <c r="DE1761" s="1"/>
      <c r="DF1761" s="1"/>
      <c r="DG1761" s="1"/>
      <c r="DH1761" s="1"/>
      <c r="DI1761" s="1"/>
      <c r="DJ1761" s="1"/>
      <c r="DK1761" s="1"/>
      <c r="DQ1761" s="1"/>
      <c r="DR1761" s="1"/>
      <c r="DY1761" s="1"/>
      <c r="DZ1761" s="1"/>
      <c r="ED1761" s="1"/>
      <c r="EK1761" s="1"/>
      <c r="EL1761" s="1"/>
      <c r="EM1761" s="1"/>
      <c r="EN1761" s="1"/>
      <c r="EQ1761" s="1"/>
      <c r="ER1761" s="1"/>
      <c r="ES1761" s="1"/>
      <c r="EV1761" s="1"/>
      <c r="EW1761" s="1"/>
      <c r="EZ1761" s="1"/>
      <c r="GP1761" s="1"/>
      <c r="HY1761" s="1"/>
      <c r="IE1761" s="1"/>
      <c r="IS1761" s="1"/>
      <c r="IY1761" s="1"/>
      <c r="IZ1761" s="1"/>
      <c r="JJ1761" s="1"/>
      <c r="JN1761" s="1"/>
      <c r="JP1761" s="1"/>
      <c r="JQ1761" s="1"/>
      <c r="KV1761" s="1"/>
      <c r="KY1761" s="1"/>
      <c r="KZ1761" s="1"/>
      <c r="LA1761" s="1"/>
      <c r="LB1761" s="1"/>
      <c r="LC1761" s="1"/>
      <c r="LD1761" s="1"/>
      <c r="LO1761" s="1"/>
      <c r="LP1761" s="1"/>
      <c r="LZ1761" s="1"/>
      <c r="MA1761" s="1"/>
    </row>
    <row r="1762" spans="4:342" ht="13" x14ac:dyDescent="0.15">
      <c r="D1762" s="12"/>
      <c r="E1762" s="12"/>
      <c r="I1762" s="12"/>
      <c r="J1762" s="13"/>
      <c r="BF1762" s="1"/>
      <c r="BG1762" s="1"/>
      <c r="BH1762" s="1"/>
      <c r="BI1762" s="1"/>
      <c r="BK1762" s="1"/>
      <c r="BL1762" s="1"/>
      <c r="BM1762" s="1"/>
      <c r="BN1762" s="1"/>
      <c r="BO1762" s="1"/>
      <c r="BP1762" s="1"/>
      <c r="BQ1762" s="1"/>
      <c r="BR1762" s="1"/>
      <c r="CD1762" s="1"/>
      <c r="CE1762" s="1"/>
      <c r="CF1762" s="1"/>
      <c r="CM1762" s="2"/>
      <c r="CP1762" s="1"/>
      <c r="CQ1762" s="1"/>
      <c r="CX1762" s="1"/>
      <c r="CY1762" s="1"/>
      <c r="CZ1762" s="1"/>
      <c r="DA1762" s="1"/>
      <c r="DB1762" s="1"/>
      <c r="DC1762" s="1"/>
      <c r="DD1762" s="1"/>
      <c r="DE1762" s="1"/>
      <c r="DF1762" s="1"/>
      <c r="DG1762" s="1"/>
      <c r="DH1762" s="1"/>
      <c r="DI1762" s="1"/>
      <c r="DJ1762" s="1"/>
      <c r="DK1762" s="1"/>
      <c r="DQ1762" s="1"/>
      <c r="DR1762" s="1"/>
      <c r="DY1762" s="1"/>
      <c r="DZ1762" s="1"/>
      <c r="ED1762" s="1"/>
      <c r="EK1762" s="1"/>
      <c r="EL1762" s="1"/>
      <c r="EM1762" s="1"/>
      <c r="EN1762" s="1"/>
      <c r="EQ1762" s="1"/>
      <c r="ER1762" s="1"/>
      <c r="ES1762" s="1"/>
      <c r="EV1762" s="1"/>
      <c r="EW1762" s="1"/>
      <c r="EZ1762" s="1"/>
      <c r="GP1762" s="1"/>
      <c r="HY1762" s="1"/>
      <c r="IE1762" s="1"/>
      <c r="IS1762" s="1"/>
      <c r="IY1762" s="1"/>
      <c r="IZ1762" s="1"/>
      <c r="JJ1762" s="1"/>
      <c r="JN1762" s="1"/>
      <c r="JP1762" s="1"/>
      <c r="JQ1762" s="1"/>
      <c r="KV1762" s="1"/>
      <c r="KY1762" s="1"/>
      <c r="KZ1762" s="1"/>
      <c r="LA1762" s="1"/>
      <c r="LB1762" s="1"/>
      <c r="LC1762" s="1"/>
      <c r="LD1762" s="1"/>
      <c r="LO1762" s="1"/>
      <c r="LP1762" s="1"/>
      <c r="LZ1762" s="1"/>
      <c r="MA1762" s="1"/>
    </row>
    <row r="1763" spans="4:342" ht="13" x14ac:dyDescent="0.15">
      <c r="D1763" s="12"/>
      <c r="E1763" s="12"/>
      <c r="I1763" s="12"/>
      <c r="J1763" s="13"/>
      <c r="BF1763" s="1"/>
      <c r="BG1763" s="1"/>
      <c r="BH1763" s="1"/>
      <c r="BI1763" s="1"/>
      <c r="BK1763" s="1"/>
      <c r="BL1763" s="1"/>
      <c r="BM1763" s="1"/>
      <c r="BN1763" s="1"/>
      <c r="BO1763" s="1"/>
      <c r="BP1763" s="1"/>
      <c r="BQ1763" s="1"/>
      <c r="BR1763" s="1"/>
      <c r="CD1763" s="1"/>
      <c r="CE1763" s="1"/>
      <c r="CF1763" s="1"/>
      <c r="CG1763" s="1"/>
      <c r="CK1763" s="1"/>
      <c r="CM1763" s="2"/>
      <c r="CP1763" s="1"/>
      <c r="CQ1763" s="1"/>
      <c r="CR1763" s="1"/>
      <c r="CS1763" s="1"/>
      <c r="CT1763" s="1"/>
      <c r="CU1763" s="1"/>
      <c r="CV1763" s="1"/>
      <c r="CW1763" s="1"/>
      <c r="CX1763" s="1"/>
      <c r="CY1763" s="1"/>
      <c r="CZ1763" s="1"/>
      <c r="DA1763" s="1"/>
      <c r="DB1763" s="1"/>
      <c r="DC1763" s="1"/>
      <c r="DD1763" s="1"/>
      <c r="DE1763" s="1"/>
      <c r="DF1763" s="1"/>
      <c r="DG1763" s="1"/>
      <c r="DH1763" s="1"/>
      <c r="DI1763" s="1"/>
      <c r="DJ1763" s="1"/>
      <c r="DK1763" s="1"/>
      <c r="ED1763" s="1"/>
      <c r="EE1763" s="1"/>
      <c r="EF1763" s="1"/>
      <c r="EG1763" s="1"/>
      <c r="EH1763" s="1"/>
      <c r="EK1763" s="1"/>
      <c r="EL1763" s="1"/>
      <c r="EM1763" s="1"/>
      <c r="EN1763" s="1"/>
      <c r="EQ1763" s="1"/>
      <c r="ER1763" s="1"/>
      <c r="ES1763" s="1"/>
      <c r="EV1763" s="1"/>
      <c r="EW1763" s="1"/>
      <c r="EY1763" s="1"/>
      <c r="EZ1763" s="1"/>
      <c r="GO1763" s="1"/>
      <c r="HY1763" s="1"/>
      <c r="IE1763" s="1"/>
      <c r="IG1763" s="1"/>
      <c r="IJ1763" s="1"/>
      <c r="IR1763" s="1"/>
      <c r="IS1763" s="1"/>
      <c r="IZ1763" s="1"/>
      <c r="JC1763" s="1"/>
      <c r="JF1763" s="1"/>
      <c r="JG1763" s="1"/>
      <c r="JH1763" s="1"/>
      <c r="JJ1763" s="1"/>
      <c r="JK1763" s="1"/>
      <c r="JL1763" s="3"/>
      <c r="JM1763" s="1"/>
      <c r="JN1763" s="1"/>
      <c r="JP1763" s="1"/>
      <c r="JQ1763" s="1"/>
      <c r="JR1763" s="1"/>
      <c r="JT1763" s="1"/>
      <c r="JU1763" s="1"/>
      <c r="KU1763" s="1"/>
      <c r="KY1763" s="1"/>
      <c r="KZ1763" s="1"/>
      <c r="LA1763" s="1"/>
      <c r="LB1763" s="1"/>
      <c r="LC1763" s="1"/>
      <c r="LD1763" s="1"/>
      <c r="LF1763" s="1"/>
      <c r="LO1763" s="1"/>
      <c r="LP1763" s="1"/>
      <c r="LZ1763" s="1"/>
      <c r="MA1763" s="1"/>
    </row>
    <row r="1764" spans="4:342" ht="13" x14ac:dyDescent="0.15">
      <c r="D1764" s="12"/>
      <c r="E1764" s="12"/>
      <c r="I1764" s="12"/>
      <c r="J1764" s="13"/>
      <c r="BF1764" s="1"/>
      <c r="BG1764" s="1"/>
      <c r="BH1764" s="1"/>
      <c r="BI1764" s="1"/>
      <c r="BK1764" s="1"/>
      <c r="BL1764" s="1"/>
      <c r="BM1764" s="1"/>
      <c r="BN1764" s="1"/>
      <c r="BO1764" s="1"/>
      <c r="BP1764" s="1"/>
      <c r="BQ1764" s="1"/>
      <c r="BR1764" s="1"/>
      <c r="CD1764" s="1"/>
      <c r="CE1764" s="1"/>
      <c r="CF1764" s="1"/>
      <c r="CG1764" s="1"/>
      <c r="CK1764" s="1"/>
      <c r="CM1764" s="2"/>
      <c r="CP1764" s="1"/>
      <c r="CQ1764" s="1"/>
      <c r="CR1764" s="1"/>
      <c r="CS1764" s="1"/>
      <c r="CT1764" s="1"/>
      <c r="CU1764" s="1"/>
      <c r="CV1764" s="1"/>
      <c r="CW1764" s="1"/>
      <c r="CX1764" s="1"/>
      <c r="CY1764" s="1"/>
      <c r="CZ1764" s="1"/>
      <c r="DA1764" s="1"/>
      <c r="DB1764" s="1"/>
      <c r="DC1764" s="1"/>
      <c r="DD1764" s="1"/>
      <c r="DE1764" s="1"/>
      <c r="DF1764" s="1"/>
      <c r="DG1764" s="1"/>
      <c r="DH1764" s="1"/>
      <c r="DI1764" s="1"/>
      <c r="DJ1764" s="1"/>
      <c r="DK1764" s="1"/>
      <c r="ED1764" s="1"/>
      <c r="EE1764" s="1"/>
      <c r="EF1764" s="1"/>
      <c r="EG1764" s="1"/>
      <c r="EH1764" s="1"/>
      <c r="EK1764" s="1"/>
      <c r="EL1764" s="1"/>
      <c r="EM1764" s="1"/>
      <c r="EN1764" s="1"/>
      <c r="EQ1764" s="1"/>
      <c r="ER1764" s="1"/>
      <c r="ES1764" s="1"/>
      <c r="EV1764" s="1"/>
      <c r="EW1764" s="1"/>
      <c r="EY1764" s="1"/>
      <c r="EZ1764" s="1"/>
      <c r="GO1764" s="1"/>
      <c r="HY1764" s="1"/>
      <c r="IE1764" s="1"/>
      <c r="IG1764" s="1"/>
      <c r="IJ1764" s="1"/>
      <c r="IR1764" s="1"/>
      <c r="IS1764" s="1"/>
      <c r="IZ1764" s="1"/>
      <c r="JC1764" s="1"/>
      <c r="JF1764" s="1"/>
      <c r="JG1764" s="1"/>
      <c r="JH1764" s="1"/>
      <c r="JJ1764" s="1"/>
      <c r="JK1764" s="1"/>
      <c r="JL1764" s="3"/>
      <c r="JM1764" s="1"/>
      <c r="JN1764" s="1"/>
      <c r="JP1764" s="1"/>
      <c r="JQ1764" s="1"/>
      <c r="JR1764" s="1"/>
      <c r="JT1764" s="1"/>
      <c r="JU1764" s="1"/>
      <c r="KU1764" s="1"/>
      <c r="KY1764" s="1"/>
      <c r="KZ1764" s="1"/>
      <c r="LA1764" s="1"/>
      <c r="LB1764" s="1"/>
      <c r="LC1764" s="1"/>
      <c r="LD1764" s="1"/>
      <c r="LF1764" s="1"/>
      <c r="LO1764" s="1"/>
      <c r="LP1764" s="1"/>
      <c r="LZ1764" s="1"/>
      <c r="MA1764" s="1"/>
    </row>
    <row r="1765" spans="4:342" ht="13" x14ac:dyDescent="0.15">
      <c r="D1765" s="12"/>
      <c r="E1765" s="12"/>
      <c r="I1765" s="12"/>
      <c r="J1765" s="13"/>
      <c r="BF1765" s="1"/>
      <c r="BG1765" s="1"/>
      <c r="BH1765" s="1"/>
      <c r="BI1765" s="1"/>
      <c r="BK1765" s="1"/>
      <c r="BL1765" s="1"/>
      <c r="BM1765" s="1"/>
      <c r="BN1765" s="1"/>
      <c r="BO1765" s="1"/>
      <c r="BP1765" s="1"/>
      <c r="BQ1765" s="1"/>
      <c r="BR1765" s="1"/>
      <c r="CD1765" s="1"/>
      <c r="CE1765" s="1"/>
      <c r="CF1765" s="1"/>
      <c r="CG1765" s="1"/>
      <c r="CK1765" s="1"/>
      <c r="CM1765" s="2"/>
      <c r="CP1765" s="1"/>
      <c r="CQ1765" s="1"/>
      <c r="CR1765" s="1"/>
      <c r="CS1765" s="1"/>
      <c r="CT1765" s="1"/>
      <c r="CU1765" s="1"/>
      <c r="CV1765" s="1"/>
      <c r="CW1765" s="1"/>
      <c r="CX1765" s="1"/>
      <c r="CY1765" s="1"/>
      <c r="CZ1765" s="1"/>
      <c r="DA1765" s="1"/>
      <c r="DB1765" s="1"/>
      <c r="DC1765" s="1"/>
      <c r="DD1765" s="1"/>
      <c r="DE1765" s="1"/>
      <c r="DF1765" s="1"/>
      <c r="DG1765" s="1"/>
      <c r="DH1765" s="1"/>
      <c r="DI1765" s="1"/>
      <c r="DJ1765" s="1"/>
      <c r="DK1765" s="1"/>
      <c r="ED1765" s="1"/>
      <c r="EE1765" s="1"/>
      <c r="EF1765" s="1"/>
      <c r="EG1765" s="1"/>
      <c r="EH1765" s="1"/>
      <c r="EK1765" s="1"/>
      <c r="EL1765" s="1"/>
      <c r="EM1765" s="1"/>
      <c r="EN1765" s="1"/>
      <c r="EQ1765" s="1"/>
      <c r="ER1765" s="1"/>
      <c r="ES1765" s="1"/>
      <c r="EV1765" s="1"/>
      <c r="EW1765" s="1"/>
      <c r="EY1765" s="1"/>
      <c r="EZ1765" s="1"/>
      <c r="GO1765" s="1"/>
      <c r="HY1765" s="1"/>
      <c r="IE1765" s="1"/>
      <c r="IG1765" s="1"/>
      <c r="IJ1765" s="1"/>
      <c r="IR1765" s="1"/>
      <c r="IS1765" s="1"/>
      <c r="IZ1765" s="1"/>
      <c r="JC1765" s="1"/>
      <c r="JF1765" s="1"/>
      <c r="JG1765" s="1"/>
      <c r="JH1765" s="1"/>
      <c r="JJ1765" s="1"/>
      <c r="JK1765" s="1"/>
      <c r="JL1765" s="3"/>
      <c r="JM1765" s="1"/>
      <c r="JN1765" s="1"/>
      <c r="JP1765" s="1"/>
      <c r="JQ1765" s="1"/>
      <c r="JR1765" s="1"/>
      <c r="JT1765" s="1"/>
      <c r="JU1765" s="1"/>
      <c r="KU1765" s="1"/>
      <c r="KY1765" s="1"/>
      <c r="KZ1765" s="1"/>
      <c r="LA1765" s="1"/>
      <c r="LB1765" s="1"/>
      <c r="LC1765" s="1"/>
      <c r="LD1765" s="1"/>
      <c r="LF1765" s="1"/>
      <c r="LO1765" s="1"/>
      <c r="LP1765" s="1"/>
      <c r="LZ1765" s="1"/>
      <c r="MA1765" s="1"/>
    </row>
    <row r="1766" spans="4:342" ht="13" x14ac:dyDescent="0.15">
      <c r="D1766" s="12"/>
      <c r="E1766" s="12"/>
      <c r="I1766" s="12"/>
      <c r="J1766" s="13"/>
      <c r="BF1766" s="1"/>
      <c r="BG1766" s="1"/>
      <c r="BH1766" s="1"/>
      <c r="BI1766" s="1"/>
      <c r="BK1766" s="1"/>
      <c r="BL1766" s="1"/>
      <c r="BM1766" s="1"/>
      <c r="BN1766" s="1"/>
      <c r="BO1766" s="1"/>
      <c r="BP1766" s="1"/>
      <c r="BQ1766" s="1"/>
      <c r="BR1766" s="1"/>
      <c r="CD1766" s="1"/>
      <c r="CE1766" s="1"/>
      <c r="CF1766" s="1"/>
      <c r="CG1766" s="1"/>
      <c r="CM1766" s="4"/>
      <c r="CP1766" s="1"/>
      <c r="CQ1766" s="1"/>
      <c r="CX1766" s="1"/>
      <c r="CY1766" s="1"/>
      <c r="CZ1766" s="1"/>
      <c r="DA1766" s="1"/>
      <c r="DB1766" s="1"/>
      <c r="DC1766" s="1"/>
      <c r="DD1766" s="1"/>
      <c r="DE1766" s="1"/>
      <c r="DF1766" s="1"/>
      <c r="DG1766" s="1"/>
      <c r="DH1766" s="1"/>
      <c r="DI1766" s="1"/>
      <c r="DJ1766" s="1"/>
      <c r="DK1766" s="1"/>
      <c r="ED1766" s="1"/>
      <c r="EK1766" s="1"/>
      <c r="EL1766" s="1"/>
      <c r="EM1766" s="1"/>
      <c r="EN1766" s="1"/>
      <c r="EQ1766" s="1"/>
      <c r="ER1766" s="1"/>
      <c r="ES1766" s="1"/>
      <c r="EV1766" s="1"/>
      <c r="EW1766" s="1"/>
      <c r="EZ1766" s="1"/>
      <c r="HY1766" s="1"/>
      <c r="IE1766" s="1"/>
      <c r="IR1766" s="1"/>
      <c r="IS1766" s="1"/>
      <c r="IZ1766" s="1"/>
      <c r="JF1766" s="1"/>
      <c r="JH1766" s="1"/>
      <c r="JJ1766" s="1"/>
      <c r="JN1766" s="1"/>
      <c r="JP1766" s="1"/>
      <c r="JQ1766" s="1"/>
      <c r="JT1766" s="1"/>
      <c r="KU1766" s="1"/>
      <c r="LZ1766" s="1"/>
      <c r="MA1766" s="1"/>
    </row>
    <row r="1767" spans="4:342" ht="13" x14ac:dyDescent="0.15">
      <c r="D1767" s="12"/>
      <c r="E1767" s="12"/>
      <c r="I1767" s="12"/>
      <c r="J1767" s="13"/>
      <c r="BF1767" s="1"/>
      <c r="BG1767" s="1"/>
      <c r="BH1767" s="1"/>
      <c r="BI1767" s="1"/>
      <c r="BK1767" s="1"/>
      <c r="BL1767" s="1"/>
      <c r="BM1767" s="1"/>
      <c r="BN1767" s="1"/>
      <c r="BO1767" s="1"/>
      <c r="BP1767" s="1"/>
      <c r="BQ1767" s="1"/>
      <c r="BR1767" s="1"/>
      <c r="CD1767" s="1"/>
      <c r="CE1767" s="1"/>
      <c r="CF1767" s="1"/>
      <c r="CG1767" s="1"/>
      <c r="CM1767" s="4"/>
      <c r="CP1767" s="1"/>
      <c r="CQ1767" s="1"/>
      <c r="CX1767" s="1"/>
      <c r="CY1767" s="1"/>
      <c r="CZ1767" s="1"/>
      <c r="DA1767" s="1"/>
      <c r="DB1767" s="1"/>
      <c r="DC1767" s="1"/>
      <c r="DD1767" s="1"/>
      <c r="DE1767" s="1"/>
      <c r="DF1767" s="1"/>
      <c r="DG1767" s="1"/>
      <c r="DH1767" s="1"/>
      <c r="DI1767" s="1"/>
      <c r="DJ1767" s="1"/>
      <c r="DK1767" s="1"/>
      <c r="ED1767" s="1"/>
      <c r="EK1767" s="1"/>
      <c r="EL1767" s="1"/>
      <c r="EM1767" s="1"/>
      <c r="EN1767" s="1"/>
      <c r="EQ1767" s="1"/>
      <c r="ER1767" s="1"/>
      <c r="ES1767" s="1"/>
      <c r="EV1767" s="1"/>
      <c r="EW1767" s="1"/>
      <c r="EZ1767" s="1"/>
      <c r="HY1767" s="1"/>
      <c r="IE1767" s="1"/>
      <c r="IR1767" s="1"/>
      <c r="IS1767" s="1"/>
      <c r="IZ1767" s="1"/>
      <c r="JF1767" s="1"/>
      <c r="JH1767" s="1"/>
      <c r="JJ1767" s="1"/>
      <c r="JN1767" s="1"/>
      <c r="JP1767" s="1"/>
      <c r="JQ1767" s="1"/>
      <c r="JT1767" s="1"/>
      <c r="KU1767" s="1"/>
      <c r="LZ1767" s="1"/>
      <c r="MA1767" s="1"/>
    </row>
    <row r="1768" spans="4:342" ht="13" x14ac:dyDescent="0.15">
      <c r="D1768" s="12"/>
      <c r="E1768" s="12"/>
      <c r="I1768" s="12"/>
      <c r="J1768" s="13"/>
      <c r="BF1768" s="1"/>
      <c r="BG1768" s="1"/>
      <c r="BH1768" s="1"/>
      <c r="BI1768" s="1"/>
      <c r="BK1768" s="1"/>
      <c r="BL1768" s="1"/>
      <c r="BM1768" s="1"/>
      <c r="BN1768" s="1"/>
      <c r="BO1768" s="1"/>
      <c r="BP1768" s="1"/>
      <c r="BQ1768" s="1"/>
      <c r="BR1768" s="1"/>
      <c r="CD1768" s="1"/>
      <c r="CE1768" s="1"/>
      <c r="CF1768" s="1"/>
      <c r="CG1768" s="1"/>
      <c r="CM1768" s="4"/>
      <c r="CP1768" s="1"/>
      <c r="CQ1768" s="1"/>
      <c r="CX1768" s="1"/>
      <c r="CY1768" s="1"/>
      <c r="CZ1768" s="1"/>
      <c r="DA1768" s="1"/>
      <c r="DB1768" s="1"/>
      <c r="DC1768" s="1"/>
      <c r="DD1768" s="1"/>
      <c r="DE1768" s="1"/>
      <c r="DF1768" s="1"/>
      <c r="DG1768" s="1"/>
      <c r="DH1768" s="1"/>
      <c r="DI1768" s="1"/>
      <c r="DJ1768" s="1"/>
      <c r="DK1768" s="1"/>
      <c r="ED1768" s="1"/>
      <c r="EK1768" s="1"/>
      <c r="EL1768" s="1"/>
      <c r="EM1768" s="1"/>
      <c r="EN1768" s="1"/>
      <c r="EQ1768" s="1"/>
      <c r="ER1768" s="1"/>
      <c r="ES1768" s="1"/>
      <c r="EV1768" s="1"/>
      <c r="EW1768" s="1"/>
      <c r="EZ1768" s="1"/>
      <c r="HY1768" s="1"/>
      <c r="IE1768" s="1"/>
      <c r="IR1768" s="1"/>
      <c r="IS1768" s="1"/>
      <c r="IZ1768" s="1"/>
      <c r="JF1768" s="1"/>
      <c r="JH1768" s="1"/>
      <c r="JJ1768" s="1"/>
      <c r="JN1768" s="1"/>
      <c r="JP1768" s="1"/>
      <c r="JQ1768" s="1"/>
      <c r="JT1768" s="1"/>
      <c r="KU1768" s="1"/>
      <c r="LZ1768" s="1"/>
      <c r="MA1768" s="1"/>
    </row>
    <row r="1769" spans="4:342" ht="13" x14ac:dyDescent="0.15">
      <c r="D1769" s="12"/>
      <c r="E1769" s="12"/>
      <c r="I1769" s="12"/>
      <c r="J1769" s="13"/>
      <c r="BF1769" s="1"/>
      <c r="BG1769" s="1"/>
      <c r="BH1769" s="1"/>
      <c r="BI1769" s="1"/>
      <c r="BK1769" s="1"/>
      <c r="BL1769" s="1"/>
      <c r="BM1769" s="1"/>
      <c r="BN1769" s="1"/>
      <c r="BO1769" s="1"/>
      <c r="BP1769" s="1"/>
      <c r="BQ1769" s="1"/>
      <c r="BR1769" s="1"/>
      <c r="CD1769" s="1"/>
      <c r="CE1769" s="1"/>
      <c r="CF1769" s="1"/>
      <c r="CG1769" s="1"/>
      <c r="CM1769" s="2"/>
      <c r="CP1769" s="1"/>
      <c r="CQ1769" s="1"/>
      <c r="CV1769" s="1"/>
      <c r="CW1769" s="1"/>
      <c r="CX1769" s="1"/>
      <c r="CY1769" s="1"/>
      <c r="CZ1769" s="1"/>
      <c r="DA1769" s="1"/>
      <c r="DB1769" s="1"/>
      <c r="DC1769" s="1"/>
      <c r="DD1769" s="1"/>
      <c r="DE1769" s="1"/>
      <c r="DF1769" s="1"/>
      <c r="DG1769" s="1"/>
      <c r="DH1769" s="1"/>
      <c r="DI1769" s="1"/>
      <c r="DJ1769" s="1"/>
      <c r="DK1769" s="1"/>
      <c r="ED1769" s="1"/>
      <c r="EK1769" s="1"/>
      <c r="EL1769" s="1"/>
      <c r="EM1769" s="1"/>
      <c r="EN1769" s="1"/>
      <c r="EQ1769" s="1"/>
      <c r="ER1769" s="1"/>
      <c r="ES1769" s="1"/>
      <c r="EV1769" s="1"/>
      <c r="EW1769" s="1"/>
      <c r="EZ1769" s="1"/>
      <c r="HY1769" s="1"/>
      <c r="IE1769" s="1"/>
      <c r="IR1769" s="1"/>
      <c r="IS1769" s="1"/>
      <c r="IZ1769" s="1"/>
      <c r="JF1769" s="1"/>
      <c r="JH1769" s="1"/>
      <c r="JJ1769" s="1"/>
      <c r="JN1769" s="1"/>
      <c r="JP1769" s="1"/>
      <c r="JQ1769" s="1"/>
      <c r="JT1769" s="1"/>
      <c r="KU1769" s="1"/>
      <c r="KW1769" s="1"/>
      <c r="KY1769" s="1"/>
      <c r="KZ1769" s="1"/>
      <c r="LA1769" s="1"/>
      <c r="LB1769" s="1"/>
      <c r="LC1769" s="1"/>
      <c r="LD1769" s="1"/>
      <c r="LO1769" s="1"/>
      <c r="LP1769" s="1"/>
      <c r="LW1769" s="1"/>
      <c r="LZ1769" s="1"/>
      <c r="MA1769" s="1"/>
    </row>
    <row r="1770" spans="4:342" ht="13" x14ac:dyDescent="0.15">
      <c r="D1770" s="12"/>
      <c r="E1770" s="12"/>
      <c r="I1770" s="12"/>
      <c r="J1770" s="13"/>
      <c r="BF1770" s="1"/>
      <c r="BG1770" s="1"/>
      <c r="BH1770" s="1"/>
      <c r="BI1770" s="1"/>
      <c r="BK1770" s="1"/>
      <c r="BL1770" s="1"/>
      <c r="BM1770" s="1"/>
      <c r="BN1770" s="1"/>
      <c r="BO1770" s="1"/>
      <c r="BP1770" s="1"/>
      <c r="BQ1770" s="1"/>
      <c r="BR1770" s="1"/>
      <c r="CD1770" s="1"/>
      <c r="CE1770" s="1"/>
      <c r="CF1770" s="1"/>
      <c r="CG1770" s="1"/>
      <c r="CM1770" s="2"/>
      <c r="CP1770" s="1"/>
      <c r="CQ1770" s="1"/>
      <c r="CV1770" s="1"/>
      <c r="CW1770" s="1"/>
      <c r="CX1770" s="1"/>
      <c r="CY1770" s="1"/>
      <c r="CZ1770" s="1"/>
      <c r="DA1770" s="1"/>
      <c r="DB1770" s="1"/>
      <c r="DC1770" s="1"/>
      <c r="DD1770" s="1"/>
      <c r="DE1770" s="1"/>
      <c r="DF1770" s="1"/>
      <c r="DG1770" s="1"/>
      <c r="DH1770" s="1"/>
      <c r="DI1770" s="1"/>
      <c r="DJ1770" s="1"/>
      <c r="DK1770" s="1"/>
      <c r="ED1770" s="1"/>
      <c r="EK1770" s="1"/>
      <c r="EL1770" s="1"/>
      <c r="EM1770" s="1"/>
      <c r="EN1770" s="1"/>
      <c r="EQ1770" s="1"/>
      <c r="ER1770" s="1"/>
      <c r="ES1770" s="1"/>
      <c r="EV1770" s="1"/>
      <c r="EW1770" s="1"/>
      <c r="EZ1770" s="1"/>
      <c r="HY1770" s="1"/>
      <c r="IE1770" s="1"/>
      <c r="IR1770" s="1"/>
      <c r="IS1770" s="1"/>
      <c r="IZ1770" s="1"/>
      <c r="JF1770" s="1"/>
      <c r="JH1770" s="1"/>
      <c r="JJ1770" s="1"/>
      <c r="JN1770" s="1"/>
      <c r="JP1770" s="1"/>
      <c r="JQ1770" s="1"/>
      <c r="JT1770" s="1"/>
      <c r="KU1770" s="1"/>
      <c r="KW1770" s="1"/>
      <c r="KY1770" s="1"/>
      <c r="KZ1770" s="1"/>
      <c r="LA1770" s="1"/>
      <c r="LB1770" s="1"/>
      <c r="LC1770" s="1"/>
      <c r="LD1770" s="1"/>
      <c r="LO1770" s="1"/>
      <c r="LP1770" s="1"/>
      <c r="LW1770" s="1"/>
      <c r="LZ1770" s="1"/>
      <c r="MA1770" s="1"/>
    </row>
    <row r="1771" spans="4:342" ht="13" x14ac:dyDescent="0.15">
      <c r="D1771" s="12"/>
      <c r="E1771" s="12"/>
      <c r="I1771" s="12"/>
      <c r="J1771" s="13"/>
      <c r="BG1771" s="1"/>
      <c r="BH1771" s="1"/>
      <c r="BI1771" s="1"/>
      <c r="BJ1771" s="1"/>
      <c r="BK1771" s="1"/>
      <c r="BL1771" s="1"/>
      <c r="BM1771" s="1"/>
      <c r="BN1771" s="1"/>
      <c r="BP1771" s="1"/>
      <c r="BQ1771" s="1"/>
      <c r="BR1771" s="1"/>
      <c r="CD1771" s="1"/>
      <c r="CM1771" s="2"/>
      <c r="CP1771" s="1"/>
      <c r="CQ1771" s="1"/>
      <c r="CX1771" s="1"/>
      <c r="CY1771" s="1"/>
      <c r="CZ1771" s="1"/>
      <c r="DA1771" s="1"/>
      <c r="DB1771" s="1"/>
      <c r="DC1771" s="1"/>
      <c r="DD1771" s="1"/>
      <c r="DE1771" s="1"/>
      <c r="DF1771" s="1"/>
      <c r="DG1771" s="1"/>
      <c r="DH1771" s="1"/>
      <c r="DI1771" s="1"/>
      <c r="DJ1771" s="1"/>
      <c r="DK1771" s="1"/>
      <c r="ED1771" s="1"/>
      <c r="EK1771" s="1"/>
      <c r="EL1771" s="1"/>
      <c r="EM1771" s="1"/>
      <c r="EN1771" s="1"/>
      <c r="EQ1771" s="1"/>
      <c r="ER1771" s="1"/>
      <c r="ES1771" s="1"/>
      <c r="EV1771" s="1"/>
      <c r="EW1771" s="1"/>
      <c r="EZ1771" s="1"/>
      <c r="GO1771" s="1"/>
      <c r="IE1771" s="1"/>
      <c r="IS1771" s="1"/>
      <c r="IZ1771" s="1"/>
      <c r="JH1771" s="1"/>
      <c r="JJ1771" s="1"/>
      <c r="JP1771" s="1"/>
      <c r="JQ1771" s="1"/>
      <c r="JT1771" s="1"/>
      <c r="KZ1771" s="1"/>
      <c r="LC1771" s="1"/>
      <c r="LD1771" s="1"/>
      <c r="LO1771" s="1"/>
      <c r="LP1771" s="1"/>
      <c r="LZ1771" s="1"/>
    </row>
    <row r="1772" spans="4:342" ht="13" x14ac:dyDescent="0.15">
      <c r="D1772" s="12"/>
      <c r="E1772" s="12"/>
      <c r="I1772" s="12"/>
      <c r="J1772" s="13"/>
      <c r="BG1772" s="1"/>
      <c r="BH1772" s="1"/>
      <c r="BI1772" s="1"/>
      <c r="BK1772" s="1"/>
      <c r="BL1772" s="1"/>
      <c r="BM1772" s="1"/>
      <c r="BN1772" s="1"/>
      <c r="BO1772" s="1"/>
      <c r="BP1772" s="1"/>
      <c r="BQ1772" s="1"/>
      <c r="BR1772" s="1"/>
      <c r="CD1772" s="1"/>
      <c r="CE1772" s="1"/>
      <c r="CF1772" s="1"/>
      <c r="CG1772" s="1"/>
      <c r="CM1772" s="2"/>
      <c r="CP1772" s="1"/>
      <c r="CQ1772" s="1"/>
      <c r="CR1772" s="1"/>
      <c r="CS1772" s="1"/>
      <c r="CT1772" s="1"/>
      <c r="CU1772" s="1"/>
      <c r="CV1772" s="1"/>
      <c r="CW1772" s="1"/>
      <c r="CX1772" s="1"/>
      <c r="CY1772" s="1"/>
      <c r="CZ1772" s="1"/>
      <c r="DA1772" s="1"/>
      <c r="DB1772" s="1"/>
      <c r="DC1772" s="1"/>
      <c r="DD1772" s="1"/>
      <c r="DE1772" s="1"/>
      <c r="DF1772" s="1"/>
      <c r="DG1772" s="1"/>
      <c r="DH1772" s="1"/>
      <c r="DI1772" s="1"/>
      <c r="DJ1772" s="1"/>
      <c r="DK1772" s="1"/>
      <c r="ED1772" s="1"/>
      <c r="EE1772" s="1"/>
      <c r="EF1772" s="1"/>
      <c r="EG1772" s="1"/>
      <c r="EH1772" s="1"/>
      <c r="EK1772" s="1"/>
      <c r="EL1772" s="1"/>
      <c r="EM1772" s="1"/>
      <c r="EN1772" s="1"/>
      <c r="EQ1772" s="1"/>
      <c r="ER1772" s="1"/>
      <c r="ES1772" s="1"/>
      <c r="EV1772" s="1"/>
      <c r="EW1772" s="1"/>
      <c r="EY1772" s="1"/>
      <c r="EZ1772" s="1"/>
      <c r="GO1772" s="1"/>
      <c r="GP1772" s="1"/>
      <c r="HY1772" s="1"/>
      <c r="IE1772" s="1"/>
      <c r="IF1772" s="1"/>
      <c r="IG1772" s="1"/>
      <c r="IJ1772" s="1"/>
      <c r="IS1772" s="1"/>
      <c r="IY1772" s="1"/>
      <c r="IZ1772" s="1"/>
      <c r="JF1772" s="1"/>
      <c r="JG1772" s="1"/>
      <c r="JI1772" s="1"/>
      <c r="JJ1772" s="1"/>
      <c r="JK1772" s="1"/>
      <c r="JL1772" s="3"/>
      <c r="JM1772" s="1"/>
      <c r="JP1772" s="1"/>
      <c r="JQ1772" s="1"/>
      <c r="JR1772" s="1"/>
      <c r="JT1772" s="1"/>
      <c r="KW1772" s="1"/>
      <c r="KY1772" s="1"/>
      <c r="KZ1772" s="1"/>
      <c r="LA1772" s="1"/>
      <c r="LB1772" s="1"/>
      <c r="LC1772" s="1"/>
      <c r="LD1772" s="1"/>
      <c r="LJ1772" s="1"/>
      <c r="LO1772" s="1"/>
      <c r="LP1772" s="1"/>
      <c r="LZ1772" s="1"/>
      <c r="MA1772" s="1"/>
    </row>
    <row r="1773" spans="4:342" ht="13" x14ac:dyDescent="0.15">
      <c r="D1773" s="12"/>
      <c r="E1773" s="12"/>
      <c r="I1773" s="12"/>
      <c r="J1773" s="13"/>
      <c r="BG1773" s="1"/>
      <c r="BH1773" s="1"/>
      <c r="BI1773" s="1"/>
      <c r="BK1773" s="1"/>
      <c r="BL1773" s="1"/>
      <c r="BM1773" s="1"/>
      <c r="BN1773" s="1"/>
      <c r="BO1773" s="1"/>
      <c r="BP1773" s="1"/>
      <c r="BQ1773" s="1"/>
      <c r="BR1773" s="1"/>
      <c r="CD1773" s="1"/>
      <c r="CE1773" s="1"/>
      <c r="CF1773" s="1"/>
      <c r="CG1773" s="1"/>
      <c r="CM1773" s="2"/>
      <c r="CP1773" s="1"/>
      <c r="CQ1773" s="1"/>
      <c r="CR1773" s="1"/>
      <c r="CS1773" s="1"/>
      <c r="CT1773" s="1"/>
      <c r="CU1773" s="1"/>
      <c r="CV1773" s="1"/>
      <c r="CW1773" s="1"/>
      <c r="CX1773" s="1"/>
      <c r="CY1773" s="1"/>
      <c r="CZ1773" s="1"/>
      <c r="DA1773" s="1"/>
      <c r="DB1773" s="1"/>
      <c r="DC1773" s="1"/>
      <c r="DD1773" s="1"/>
      <c r="DE1773" s="1"/>
      <c r="DF1773" s="1"/>
      <c r="DG1773" s="1"/>
      <c r="DH1773" s="1"/>
      <c r="DI1773" s="1"/>
      <c r="DJ1773" s="1"/>
      <c r="DK1773" s="1"/>
      <c r="ED1773" s="1"/>
      <c r="EK1773" s="1"/>
      <c r="EL1773" s="1"/>
      <c r="EM1773" s="1"/>
      <c r="EN1773" s="1"/>
      <c r="EQ1773" s="1"/>
      <c r="ER1773" s="1"/>
      <c r="ES1773" s="1"/>
      <c r="EV1773" s="1"/>
      <c r="EW1773" s="1"/>
      <c r="EZ1773" s="1"/>
      <c r="GP1773" s="1"/>
      <c r="HY1773" s="1"/>
      <c r="IE1773" s="1"/>
      <c r="IR1773" s="1"/>
      <c r="IS1773" s="1"/>
      <c r="IZ1773" s="1"/>
      <c r="JH1773" s="1"/>
      <c r="JJ1773" s="1"/>
      <c r="JN1773" s="1"/>
      <c r="JP1773" s="1"/>
      <c r="JQ1773" s="1"/>
      <c r="KY1773" s="1"/>
      <c r="KZ1773" s="1"/>
      <c r="LA1773" s="1"/>
      <c r="LB1773" s="1"/>
      <c r="LC1773" s="1"/>
      <c r="LD1773" s="1"/>
      <c r="LO1773" s="1"/>
      <c r="LP1773" s="1"/>
      <c r="LZ1773" s="1"/>
      <c r="MA1773" s="1"/>
      <c r="MB1773" s="1"/>
      <c r="MC1773" s="5"/>
      <c r="MD1773" s="5"/>
    </row>
    <row r="1774" spans="4:342" ht="13" x14ac:dyDescent="0.15">
      <c r="D1774" s="12"/>
      <c r="E1774" s="12"/>
      <c r="I1774" s="12"/>
      <c r="J1774" s="13"/>
      <c r="BG1774" s="1"/>
      <c r="BH1774" s="1"/>
      <c r="BI1774" s="1"/>
      <c r="BJ1774" s="1"/>
      <c r="BK1774" s="1"/>
      <c r="BL1774" s="1"/>
      <c r="BM1774" s="1"/>
      <c r="BN1774" s="1"/>
      <c r="BO1774" s="1"/>
      <c r="BQ1774" s="1"/>
      <c r="BR1774" s="1"/>
      <c r="CC1774" s="1"/>
      <c r="CD1774" s="1"/>
      <c r="CM1774" s="2"/>
      <c r="ED1774" s="1"/>
      <c r="EL1774" s="1"/>
      <c r="EM1774" s="1"/>
      <c r="EN1774" s="1"/>
      <c r="EQ1774" s="1"/>
      <c r="ER1774" s="1"/>
      <c r="ES1774" s="1"/>
      <c r="EV1774" s="1"/>
      <c r="EW1774" s="1"/>
      <c r="EZ1774" s="1"/>
      <c r="HY1774" s="1"/>
      <c r="IR1774" s="1"/>
      <c r="IS1774" s="1"/>
      <c r="IZ1774" s="1"/>
      <c r="JJ1774" s="1"/>
      <c r="JP1774" s="1"/>
      <c r="JQ1774" s="1"/>
      <c r="JT1774" s="1"/>
      <c r="JW1774" s="1"/>
      <c r="KS1774" s="1"/>
      <c r="KT1774" s="1"/>
      <c r="KU1774" s="1"/>
    </row>
    <row r="1775" spans="4:342" ht="13" x14ac:dyDescent="0.15">
      <c r="D1775" s="12"/>
      <c r="E1775" s="12"/>
      <c r="I1775" s="12"/>
      <c r="J1775" s="13"/>
      <c r="BG1775" s="1"/>
      <c r="BH1775" s="1"/>
      <c r="BI1775" s="1"/>
      <c r="BJ1775" s="1"/>
      <c r="BK1775" s="1"/>
      <c r="BL1775" s="1"/>
      <c r="BM1775" s="1"/>
      <c r="BN1775" s="1"/>
      <c r="BO1775" s="1"/>
      <c r="BQ1775" s="1"/>
      <c r="BR1775" s="1"/>
      <c r="CC1775" s="1"/>
      <c r="CD1775" s="1"/>
      <c r="CM1775" s="2"/>
      <c r="ED1775" s="1"/>
      <c r="EL1775" s="1"/>
      <c r="EM1775" s="1"/>
      <c r="EN1775" s="1"/>
      <c r="EQ1775" s="1"/>
      <c r="ER1775" s="1"/>
      <c r="ES1775" s="1"/>
      <c r="EV1775" s="1"/>
      <c r="EW1775" s="1"/>
      <c r="EZ1775" s="1"/>
      <c r="HY1775" s="1"/>
      <c r="IR1775" s="1"/>
      <c r="IS1775" s="1"/>
      <c r="IZ1775" s="1"/>
      <c r="JJ1775" s="1"/>
      <c r="JP1775" s="1"/>
      <c r="JQ1775" s="1"/>
      <c r="JT1775" s="1"/>
      <c r="JW1775" s="1"/>
      <c r="KS1775" s="1"/>
      <c r="KT1775" s="1"/>
      <c r="KU1775" s="1"/>
    </row>
    <row r="1776" spans="4:342" ht="13" x14ac:dyDescent="0.15">
      <c r="D1776" s="12"/>
      <c r="E1776" s="12"/>
      <c r="I1776" s="12"/>
      <c r="J1776" s="13"/>
      <c r="BF1776" s="1"/>
      <c r="BG1776" s="1"/>
      <c r="BH1776" s="1"/>
      <c r="BI1776" s="1"/>
      <c r="BK1776" s="1"/>
      <c r="BL1776" s="1"/>
      <c r="BM1776" s="1"/>
      <c r="BN1776" s="1"/>
      <c r="BO1776" s="1"/>
      <c r="BP1776" s="1"/>
      <c r="BQ1776" s="1"/>
      <c r="BR1776" s="1"/>
      <c r="CD1776" s="1"/>
      <c r="CE1776" s="1"/>
      <c r="CF1776" s="1"/>
      <c r="CG1776" s="1"/>
      <c r="CM1776" s="2"/>
      <c r="CP1776" s="1"/>
      <c r="CQ1776" s="1"/>
      <c r="CR1776" s="1"/>
      <c r="CS1776" s="1"/>
      <c r="CT1776" s="1"/>
      <c r="CU1776" s="1"/>
      <c r="CV1776" s="1"/>
      <c r="CW1776" s="1"/>
      <c r="CX1776" s="1"/>
      <c r="CY1776" s="1"/>
      <c r="CZ1776" s="1"/>
      <c r="DA1776" s="1"/>
      <c r="DB1776" s="1"/>
      <c r="DC1776" s="1"/>
      <c r="DD1776" s="1"/>
      <c r="DE1776" s="1"/>
      <c r="DF1776" s="1"/>
      <c r="DG1776" s="1"/>
      <c r="DH1776" s="1"/>
      <c r="DI1776" s="1"/>
      <c r="DJ1776" s="1"/>
      <c r="DK1776" s="1"/>
      <c r="ED1776" s="1"/>
      <c r="EK1776" s="1"/>
      <c r="EL1776" s="1"/>
      <c r="EM1776" s="1"/>
      <c r="EN1776" s="1"/>
      <c r="EQ1776" s="1"/>
      <c r="ER1776" s="1"/>
      <c r="ES1776" s="1"/>
      <c r="EV1776" s="1"/>
      <c r="EW1776" s="1"/>
      <c r="EZ1776" s="1"/>
      <c r="GP1776" s="1"/>
      <c r="HY1776" s="1"/>
      <c r="IE1776" s="1"/>
      <c r="IR1776" s="1"/>
      <c r="IS1776" s="1"/>
      <c r="IZ1776" s="1"/>
      <c r="JF1776" s="1"/>
      <c r="JG1776" s="1"/>
      <c r="JH1776" s="1"/>
      <c r="JJ1776" s="1"/>
      <c r="JP1776" s="1"/>
      <c r="JQ1776" s="1"/>
      <c r="KU1776" s="1"/>
      <c r="KY1776" s="1"/>
      <c r="KZ1776" s="1"/>
      <c r="LA1776" s="1"/>
      <c r="LB1776" s="1"/>
      <c r="LC1776" s="1"/>
      <c r="LD1776" s="1"/>
      <c r="LN1776" s="1"/>
      <c r="LO1776" s="1"/>
      <c r="LP1776" s="1"/>
      <c r="LZ1776" s="1"/>
    </row>
    <row r="1777" spans="4:339" ht="13" x14ac:dyDescent="0.15">
      <c r="D1777" s="12"/>
      <c r="E1777" s="12"/>
      <c r="I1777" s="12"/>
      <c r="J1777" s="13"/>
      <c r="BG1777" s="1"/>
      <c r="BH1777" s="1"/>
      <c r="BI1777" s="1"/>
      <c r="BK1777" s="1"/>
      <c r="BL1777" s="1"/>
      <c r="BM1777" s="1"/>
      <c r="BN1777" s="1"/>
      <c r="BO1777" s="1"/>
      <c r="BQ1777" s="1"/>
      <c r="BR1777" s="1"/>
      <c r="CD1777" s="1"/>
      <c r="CM1777" s="2"/>
      <c r="ED1777" s="1"/>
      <c r="EL1777" s="1"/>
      <c r="EM1777" s="1"/>
      <c r="EN1777" s="1"/>
      <c r="EQ1777" s="1"/>
      <c r="ER1777" s="1"/>
      <c r="ES1777" s="1"/>
      <c r="EV1777" s="1"/>
      <c r="EW1777" s="1"/>
      <c r="EZ1777" s="1"/>
      <c r="IS1777" s="1"/>
      <c r="IV1777" s="1"/>
      <c r="IZ1777" s="1"/>
      <c r="JJ1777" s="1"/>
      <c r="JP1777" s="1"/>
      <c r="JQ1777" s="1"/>
      <c r="JT1777" s="1"/>
    </row>
    <row r="1778" spans="4:339" ht="13" x14ac:dyDescent="0.15">
      <c r="D1778" s="12"/>
      <c r="E1778" s="12"/>
      <c r="I1778" s="12"/>
      <c r="J1778" s="13"/>
      <c r="BG1778" s="1"/>
      <c r="BH1778" s="1"/>
      <c r="BI1778" s="1"/>
      <c r="BK1778" s="1"/>
      <c r="BL1778" s="1"/>
      <c r="BM1778" s="1"/>
      <c r="BN1778" s="1"/>
      <c r="BO1778" s="1"/>
      <c r="BP1778" s="1"/>
      <c r="BQ1778" s="1"/>
      <c r="BR1778" s="1"/>
      <c r="CD1778" s="1"/>
      <c r="CE1778" s="1"/>
      <c r="CF1778" s="1"/>
      <c r="CM1778" s="2"/>
      <c r="CP1778" s="1"/>
      <c r="CQ1778" s="1"/>
      <c r="CS1778" s="1"/>
      <c r="CT1778" s="1"/>
      <c r="CU1778" s="1"/>
      <c r="CV1778" s="1"/>
      <c r="CW1778" s="1"/>
      <c r="CX1778" s="1"/>
      <c r="CY1778" s="1"/>
      <c r="CZ1778" s="1"/>
      <c r="DA1778" s="1"/>
      <c r="DB1778" s="1"/>
      <c r="DC1778" s="1"/>
      <c r="DD1778" s="1"/>
      <c r="DE1778" s="1"/>
      <c r="DF1778" s="1"/>
      <c r="DG1778" s="1"/>
      <c r="DH1778" s="1"/>
      <c r="DI1778" s="1"/>
      <c r="DJ1778" s="1"/>
      <c r="DK1778" s="1"/>
      <c r="ED1778" s="1"/>
      <c r="EK1778" s="1"/>
      <c r="EL1778" s="1"/>
      <c r="EM1778" s="1"/>
      <c r="EN1778" s="1"/>
      <c r="EQ1778" s="1"/>
      <c r="ER1778" s="1"/>
      <c r="ES1778" s="1"/>
      <c r="EV1778" s="1"/>
      <c r="EW1778" s="1"/>
      <c r="EZ1778" s="1"/>
      <c r="GO1778" s="1"/>
      <c r="GP1778" s="1"/>
      <c r="HY1778" s="1"/>
      <c r="IE1778" s="1"/>
      <c r="IS1778" s="1"/>
      <c r="IZ1778" s="1"/>
      <c r="JH1778" s="1"/>
      <c r="JJ1778" s="1"/>
      <c r="JN1778" s="1"/>
      <c r="JP1778" s="1"/>
      <c r="JQ1778" s="1"/>
      <c r="KY1778" s="1"/>
      <c r="KZ1778" s="1"/>
      <c r="LA1778" s="1"/>
      <c r="LB1778" s="1"/>
      <c r="LC1778" s="1"/>
      <c r="LD1778" s="1"/>
      <c r="LO1778" s="1"/>
      <c r="LP1778" s="1"/>
      <c r="LZ1778" s="1"/>
      <c r="MA1778" s="1"/>
    </row>
    <row r="1779" spans="4:339" ht="13" x14ac:dyDescent="0.15">
      <c r="D1779" s="12"/>
      <c r="E1779" s="12"/>
      <c r="I1779" s="12"/>
      <c r="J1779" s="13"/>
      <c r="BG1779" s="1"/>
      <c r="BH1779" s="1"/>
      <c r="BI1779" s="1"/>
      <c r="BK1779" s="1"/>
      <c r="BL1779" s="1"/>
      <c r="BM1779" s="1"/>
      <c r="BN1779" s="1"/>
      <c r="BO1779" s="1"/>
      <c r="BP1779" s="1"/>
      <c r="BQ1779" s="1"/>
      <c r="BR1779" s="1"/>
      <c r="CD1779" s="1"/>
      <c r="CE1779" s="1"/>
      <c r="CF1779" s="1"/>
      <c r="CM1779" s="2"/>
      <c r="CP1779" s="1"/>
      <c r="CQ1779" s="1"/>
      <c r="CS1779" s="1"/>
      <c r="CT1779" s="1"/>
      <c r="CU1779" s="1"/>
      <c r="CV1779" s="1"/>
      <c r="CW1779" s="1"/>
      <c r="CX1779" s="1"/>
      <c r="CY1779" s="1"/>
      <c r="CZ1779" s="1"/>
      <c r="DA1779" s="1"/>
      <c r="DB1779" s="1"/>
      <c r="DC1779" s="1"/>
      <c r="DD1779" s="1"/>
      <c r="DE1779" s="1"/>
      <c r="DF1779" s="1"/>
      <c r="DG1779" s="1"/>
      <c r="DH1779" s="1"/>
      <c r="DI1779" s="1"/>
      <c r="DJ1779" s="1"/>
      <c r="DK1779" s="1"/>
      <c r="ED1779" s="1"/>
      <c r="EK1779" s="1"/>
      <c r="EL1779" s="1"/>
      <c r="EM1779" s="1"/>
      <c r="EN1779" s="1"/>
      <c r="EQ1779" s="1"/>
      <c r="ER1779" s="1"/>
      <c r="ES1779" s="1"/>
      <c r="EV1779" s="1"/>
      <c r="EW1779" s="1"/>
      <c r="EZ1779" s="1"/>
      <c r="GO1779" s="1"/>
      <c r="GP1779" s="1"/>
      <c r="HY1779" s="1"/>
      <c r="IE1779" s="1"/>
      <c r="IS1779" s="1"/>
      <c r="IZ1779" s="1"/>
      <c r="JH1779" s="1"/>
      <c r="JJ1779" s="1"/>
      <c r="JN1779" s="1"/>
      <c r="JP1779" s="1"/>
      <c r="JQ1779" s="1"/>
      <c r="KY1779" s="1"/>
      <c r="KZ1779" s="1"/>
      <c r="LA1779" s="1"/>
      <c r="LB1779" s="1"/>
      <c r="LC1779" s="1"/>
      <c r="LD1779" s="1"/>
      <c r="LO1779" s="1"/>
      <c r="LP1779" s="1"/>
      <c r="LZ1779" s="1"/>
      <c r="MA1779" s="1"/>
    </row>
    <row r="1780" spans="4:339" ht="13" x14ac:dyDescent="0.15">
      <c r="D1780" s="12"/>
      <c r="E1780" s="12"/>
      <c r="I1780" s="12"/>
      <c r="J1780" s="13"/>
      <c r="BG1780" s="1"/>
      <c r="BH1780" s="1"/>
      <c r="BI1780" s="1"/>
      <c r="BK1780" s="1"/>
      <c r="BL1780" s="1"/>
      <c r="BM1780" s="1"/>
      <c r="BN1780" s="1"/>
      <c r="BO1780" s="1"/>
      <c r="BP1780" s="1"/>
      <c r="BQ1780" s="1"/>
      <c r="BR1780" s="1"/>
      <c r="CD1780" s="1"/>
      <c r="CE1780" s="1"/>
      <c r="CF1780" s="1"/>
      <c r="CM1780" s="2"/>
      <c r="CP1780" s="1"/>
      <c r="CQ1780" s="1"/>
      <c r="CS1780" s="1"/>
      <c r="CT1780" s="1"/>
      <c r="CU1780" s="1"/>
      <c r="CV1780" s="1"/>
      <c r="CW1780" s="1"/>
      <c r="CX1780" s="1"/>
      <c r="CY1780" s="1"/>
      <c r="CZ1780" s="1"/>
      <c r="DA1780" s="1"/>
      <c r="DB1780" s="1"/>
      <c r="DC1780" s="1"/>
      <c r="DD1780" s="1"/>
      <c r="DE1780" s="1"/>
      <c r="DF1780" s="1"/>
      <c r="DG1780" s="1"/>
      <c r="DH1780" s="1"/>
      <c r="DI1780" s="1"/>
      <c r="DJ1780" s="1"/>
      <c r="DK1780" s="1"/>
      <c r="ED1780" s="1"/>
      <c r="EK1780" s="1"/>
      <c r="EL1780" s="1"/>
      <c r="EM1780" s="1"/>
      <c r="EN1780" s="1"/>
      <c r="EQ1780" s="1"/>
      <c r="ER1780" s="1"/>
      <c r="ES1780" s="1"/>
      <c r="EV1780" s="1"/>
      <c r="EW1780" s="1"/>
      <c r="EZ1780" s="1"/>
      <c r="GO1780" s="1"/>
      <c r="GP1780" s="1"/>
      <c r="HY1780" s="1"/>
      <c r="IE1780" s="1"/>
      <c r="IS1780" s="1"/>
      <c r="IZ1780" s="1"/>
      <c r="JH1780" s="1"/>
      <c r="JJ1780" s="1"/>
      <c r="JN1780" s="1"/>
      <c r="JP1780" s="1"/>
      <c r="JQ1780" s="1"/>
      <c r="KY1780" s="1"/>
      <c r="KZ1780" s="1"/>
      <c r="LA1780" s="1"/>
      <c r="LB1780" s="1"/>
      <c r="LC1780" s="1"/>
      <c r="LD1780" s="1"/>
      <c r="LO1780" s="1"/>
      <c r="LP1780" s="1"/>
      <c r="LZ1780" s="1"/>
      <c r="MA1780" s="1"/>
    </row>
    <row r="1781" spans="4:339" ht="13" x14ac:dyDescent="0.15">
      <c r="D1781" s="12"/>
      <c r="E1781" s="12"/>
      <c r="I1781" s="12"/>
      <c r="J1781" s="13"/>
      <c r="BF1781" s="1"/>
      <c r="BG1781" s="1"/>
      <c r="BH1781" s="1"/>
      <c r="BI1781" s="1"/>
      <c r="BJ1781" s="1"/>
      <c r="BK1781" s="1"/>
      <c r="BL1781" s="1"/>
      <c r="BM1781" s="1"/>
      <c r="BN1781" s="1"/>
      <c r="BO1781" s="1"/>
      <c r="BQ1781" s="1"/>
      <c r="BR1781" s="1"/>
      <c r="CD1781" s="1"/>
      <c r="CM1781" s="2"/>
      <c r="ED1781" s="1"/>
      <c r="EL1781" s="1"/>
      <c r="EM1781" s="1"/>
      <c r="EN1781" s="1"/>
      <c r="EQ1781" s="1"/>
      <c r="ER1781" s="1"/>
      <c r="ES1781" s="1"/>
      <c r="EV1781" s="1"/>
      <c r="EW1781" s="1"/>
      <c r="EZ1781" s="1"/>
      <c r="HY1781" s="1"/>
      <c r="IS1781" s="1"/>
      <c r="IY1781" s="1"/>
      <c r="IZ1781" s="1"/>
      <c r="JJ1781" s="1"/>
      <c r="JN1781" s="1"/>
      <c r="JP1781" s="1"/>
      <c r="JQ1781" s="1"/>
      <c r="KU1781" s="1"/>
    </row>
    <row r="1782" spans="4:339" ht="13" x14ac:dyDescent="0.15">
      <c r="D1782" s="12"/>
      <c r="E1782" s="12"/>
      <c r="I1782" s="12"/>
      <c r="J1782" s="13"/>
      <c r="BF1782" s="1"/>
      <c r="BG1782" s="1"/>
      <c r="BH1782" s="1"/>
      <c r="BI1782" s="1"/>
      <c r="BJ1782" s="1"/>
      <c r="BK1782" s="1"/>
      <c r="BL1782" s="1"/>
      <c r="BM1782" s="1"/>
      <c r="BN1782" s="1"/>
      <c r="BO1782" s="1"/>
      <c r="BQ1782" s="1"/>
      <c r="BR1782" s="1"/>
      <c r="CD1782" s="1"/>
      <c r="CM1782" s="2"/>
      <c r="ED1782" s="1"/>
      <c r="EL1782" s="1"/>
      <c r="EM1782" s="1"/>
      <c r="EN1782" s="1"/>
      <c r="EQ1782" s="1"/>
      <c r="ER1782" s="1"/>
      <c r="ES1782" s="1"/>
      <c r="EV1782" s="1"/>
      <c r="EW1782" s="1"/>
      <c r="EZ1782" s="1"/>
      <c r="HY1782" s="1"/>
      <c r="IS1782" s="1"/>
      <c r="IY1782" s="1"/>
      <c r="IZ1782" s="1"/>
      <c r="JJ1782" s="1"/>
      <c r="JN1782" s="1"/>
      <c r="JP1782" s="1"/>
      <c r="JQ1782" s="1"/>
      <c r="KU1782" s="1"/>
    </row>
    <row r="1783" spans="4:339" ht="13" x14ac:dyDescent="0.15">
      <c r="D1783" s="12"/>
      <c r="E1783" s="12"/>
      <c r="I1783" s="12"/>
      <c r="J1783" s="13"/>
      <c r="BF1783" s="1"/>
      <c r="BG1783" s="1"/>
      <c r="BH1783" s="1"/>
      <c r="BI1783" s="1"/>
      <c r="BK1783" s="1"/>
      <c r="BL1783" s="1"/>
      <c r="BM1783" s="1"/>
      <c r="BN1783" s="1"/>
      <c r="BO1783" s="1"/>
      <c r="BP1783" s="1"/>
      <c r="BQ1783" s="1"/>
      <c r="BR1783" s="1"/>
      <c r="CD1783" s="1"/>
      <c r="CE1783" s="1"/>
      <c r="CF1783" s="1"/>
      <c r="CG1783" s="1"/>
      <c r="CM1783" s="2"/>
      <c r="CP1783" s="1"/>
      <c r="CQ1783" s="1"/>
      <c r="CR1783" s="1"/>
      <c r="CS1783" s="1"/>
      <c r="CT1783" s="1"/>
      <c r="CU1783" s="1"/>
      <c r="CV1783" s="1"/>
      <c r="CW1783" s="1"/>
      <c r="CX1783" s="1"/>
      <c r="CY1783" s="1"/>
      <c r="CZ1783" s="1"/>
      <c r="DA1783" s="1"/>
      <c r="DB1783" s="1"/>
      <c r="DC1783" s="1"/>
      <c r="DD1783" s="1"/>
      <c r="DE1783" s="1"/>
      <c r="DF1783" s="1"/>
      <c r="DG1783" s="1"/>
      <c r="DH1783" s="1"/>
      <c r="DI1783" s="1"/>
      <c r="DJ1783" s="1"/>
      <c r="DK1783" s="1"/>
      <c r="DQ1783" s="1"/>
      <c r="DR1783" s="1"/>
      <c r="DY1783" s="1"/>
      <c r="DZ1783" s="1"/>
      <c r="ED1783" s="1"/>
      <c r="EE1783" s="1"/>
      <c r="EF1783" s="1"/>
      <c r="EG1783" s="1"/>
      <c r="EH1783" s="1"/>
      <c r="EK1783" s="1"/>
      <c r="EL1783" s="1"/>
      <c r="EM1783" s="1"/>
      <c r="EN1783" s="1"/>
      <c r="EQ1783" s="1"/>
      <c r="ER1783" s="1"/>
      <c r="ES1783" s="1"/>
      <c r="EV1783" s="1"/>
      <c r="EW1783" s="1"/>
      <c r="EY1783" s="1"/>
      <c r="EZ1783" s="1"/>
      <c r="GP1783" s="1"/>
      <c r="HY1783" s="1"/>
      <c r="IE1783" s="1"/>
      <c r="IG1783" s="1"/>
      <c r="IJ1783" s="1"/>
      <c r="IR1783" s="1"/>
      <c r="IS1783" s="1"/>
      <c r="IY1783" s="1"/>
      <c r="IZ1783" s="1"/>
      <c r="JF1783" s="1"/>
      <c r="JJ1783" s="1"/>
      <c r="JK1783" s="1"/>
      <c r="JL1783" s="3"/>
      <c r="JM1783" s="1"/>
      <c r="JP1783" s="1"/>
      <c r="JQ1783" s="1"/>
      <c r="JR1783" s="1"/>
      <c r="KY1783" s="1"/>
      <c r="KZ1783" s="1"/>
      <c r="LA1783" s="1"/>
      <c r="LB1783" s="1"/>
      <c r="LC1783" s="1"/>
      <c r="LD1783" s="1"/>
      <c r="LO1783" s="1"/>
      <c r="LP1783" s="1"/>
      <c r="LZ1783" s="1"/>
      <c r="MA1783" s="1"/>
    </row>
    <row r="1784" spans="4:339" ht="13" x14ac:dyDescent="0.15">
      <c r="D1784" s="12"/>
      <c r="E1784" s="12"/>
      <c r="I1784" s="12"/>
      <c r="J1784" s="13"/>
      <c r="BF1784" s="1"/>
      <c r="BG1784" s="1"/>
      <c r="BH1784" s="1"/>
      <c r="BI1784" s="1"/>
      <c r="BK1784" s="1"/>
      <c r="BL1784" s="1"/>
      <c r="BM1784" s="1"/>
      <c r="BN1784" s="1"/>
      <c r="BO1784" s="1"/>
      <c r="BP1784" s="1"/>
      <c r="BQ1784" s="1"/>
      <c r="BR1784" s="1"/>
      <c r="CD1784" s="1"/>
      <c r="CE1784" s="1"/>
      <c r="CF1784" s="1"/>
      <c r="CG1784" s="1"/>
      <c r="CM1784" s="2"/>
      <c r="CP1784" s="1"/>
      <c r="CQ1784" s="1"/>
      <c r="CR1784" s="1"/>
      <c r="CS1784" s="1"/>
      <c r="CT1784" s="1"/>
      <c r="CU1784" s="1"/>
      <c r="CV1784" s="1"/>
      <c r="CW1784" s="1"/>
      <c r="CX1784" s="1"/>
      <c r="CY1784" s="1"/>
      <c r="CZ1784" s="1"/>
      <c r="DA1784" s="1"/>
      <c r="DB1784" s="1"/>
      <c r="DC1784" s="1"/>
      <c r="DD1784" s="1"/>
      <c r="DE1784" s="1"/>
      <c r="DF1784" s="1"/>
      <c r="DG1784" s="1"/>
      <c r="DH1784" s="1"/>
      <c r="DI1784" s="1"/>
      <c r="DJ1784" s="1"/>
      <c r="DK1784" s="1"/>
      <c r="DQ1784" s="1"/>
      <c r="DR1784" s="1"/>
      <c r="DY1784" s="1"/>
      <c r="DZ1784" s="1"/>
      <c r="ED1784" s="1"/>
      <c r="EE1784" s="1"/>
      <c r="EF1784" s="1"/>
      <c r="EG1784" s="1"/>
      <c r="EH1784" s="1"/>
      <c r="EK1784" s="1"/>
      <c r="EL1784" s="1"/>
      <c r="EM1784" s="1"/>
      <c r="EN1784" s="1"/>
      <c r="EQ1784" s="1"/>
      <c r="ER1784" s="1"/>
      <c r="ES1784" s="1"/>
      <c r="EV1784" s="1"/>
      <c r="EW1784" s="1"/>
      <c r="EY1784" s="1"/>
      <c r="EZ1784" s="1"/>
      <c r="GP1784" s="1"/>
      <c r="HY1784" s="1"/>
      <c r="IE1784" s="1"/>
      <c r="IG1784" s="1"/>
      <c r="IJ1784" s="1"/>
      <c r="IR1784" s="1"/>
      <c r="IS1784" s="1"/>
      <c r="IY1784" s="1"/>
      <c r="IZ1784" s="1"/>
      <c r="JF1784" s="1"/>
      <c r="JJ1784" s="1"/>
      <c r="JK1784" s="1"/>
      <c r="JL1784" s="3"/>
      <c r="JM1784" s="1"/>
      <c r="JP1784" s="1"/>
      <c r="JQ1784" s="1"/>
      <c r="JR1784" s="1"/>
      <c r="KY1784" s="1"/>
      <c r="KZ1784" s="1"/>
      <c r="LA1784" s="1"/>
      <c r="LB1784" s="1"/>
      <c r="LC1784" s="1"/>
      <c r="LD1784" s="1"/>
      <c r="LO1784" s="1"/>
      <c r="LP1784" s="1"/>
      <c r="LZ1784" s="1"/>
      <c r="MA1784" s="1"/>
    </row>
    <row r="1785" spans="4:339" ht="13" x14ac:dyDescent="0.15">
      <c r="D1785" s="12"/>
      <c r="E1785" s="12"/>
      <c r="I1785" s="12"/>
      <c r="J1785" s="13"/>
      <c r="BF1785" s="1"/>
      <c r="BG1785" s="1"/>
      <c r="BH1785" s="1"/>
      <c r="BI1785" s="1"/>
      <c r="BJ1785" s="1"/>
      <c r="BK1785" s="1"/>
      <c r="BL1785" s="1"/>
      <c r="BM1785" s="1"/>
      <c r="BN1785" s="1"/>
      <c r="CD1785" s="1"/>
      <c r="CM1785" s="2"/>
      <c r="ED1785" s="1"/>
      <c r="EL1785" s="1"/>
      <c r="EM1785" s="1"/>
      <c r="EN1785" s="1"/>
      <c r="EQ1785" s="1"/>
      <c r="ER1785" s="1"/>
      <c r="ES1785" s="1"/>
      <c r="EV1785" s="1"/>
      <c r="EW1785" s="1"/>
      <c r="EZ1785" s="1"/>
      <c r="HY1785" s="1"/>
      <c r="IS1785" s="1"/>
      <c r="IY1785" s="1"/>
      <c r="IZ1785" s="1"/>
      <c r="JH1785" s="1"/>
      <c r="JJ1785" s="1"/>
      <c r="JN1785" s="1"/>
      <c r="JP1785" s="1"/>
      <c r="JQ1785" s="1"/>
    </row>
    <row r="1786" spans="4:339" ht="13" x14ac:dyDescent="0.15">
      <c r="D1786" s="12"/>
      <c r="E1786" s="12"/>
      <c r="I1786" s="12"/>
      <c r="J1786" s="13"/>
      <c r="BF1786" s="1"/>
      <c r="BG1786" s="1"/>
      <c r="BH1786" s="1"/>
      <c r="BI1786" s="1"/>
      <c r="BJ1786" s="1"/>
      <c r="BK1786" s="1"/>
      <c r="BL1786" s="1"/>
      <c r="BM1786" s="1"/>
      <c r="BN1786" s="1"/>
      <c r="BO1786" s="1"/>
      <c r="BP1786" s="1"/>
      <c r="CC1786" s="1"/>
      <c r="CD1786" s="1"/>
      <c r="CE1786" s="1"/>
      <c r="CF1786" s="1"/>
      <c r="CG1786" s="1"/>
      <c r="CM1786" s="2"/>
      <c r="CP1786" s="1"/>
      <c r="CQ1786" s="1"/>
      <c r="CS1786" s="1"/>
      <c r="CT1786" s="1"/>
      <c r="CU1786" s="1"/>
      <c r="CV1786" s="1"/>
      <c r="CW1786" s="1"/>
      <c r="CX1786" s="1"/>
      <c r="CY1786" s="1"/>
      <c r="CZ1786" s="1"/>
      <c r="DA1786" s="1"/>
      <c r="DB1786" s="1"/>
      <c r="DC1786" s="1"/>
      <c r="DD1786" s="1"/>
      <c r="DE1786" s="1"/>
      <c r="DF1786" s="1"/>
      <c r="DG1786" s="1"/>
      <c r="DH1786" s="1"/>
      <c r="DI1786" s="1"/>
      <c r="DJ1786" s="1"/>
      <c r="DK1786" s="1"/>
      <c r="DR1786" s="1"/>
      <c r="ED1786" s="1"/>
      <c r="EK1786" s="1"/>
      <c r="EL1786" s="1"/>
      <c r="EM1786" s="1"/>
      <c r="EN1786" s="1"/>
      <c r="EQ1786" s="1"/>
      <c r="ER1786" s="1"/>
      <c r="ES1786" s="1"/>
      <c r="EV1786" s="1"/>
      <c r="EW1786" s="1"/>
      <c r="EZ1786" s="1"/>
      <c r="GO1786" s="1"/>
      <c r="HY1786" s="1"/>
      <c r="IE1786" s="1"/>
      <c r="IS1786" s="1"/>
      <c r="IY1786" s="1"/>
      <c r="IZ1786" s="1"/>
      <c r="JF1786" s="1"/>
      <c r="JH1786" s="1"/>
      <c r="JJ1786" s="1"/>
      <c r="JN1786" s="1"/>
      <c r="JP1786" s="1"/>
      <c r="JQ1786" s="1"/>
      <c r="KY1786" s="1"/>
      <c r="KZ1786" s="1"/>
      <c r="LA1786" s="1"/>
      <c r="LB1786" s="1"/>
      <c r="LC1786" s="1"/>
      <c r="LD1786" s="1"/>
      <c r="LO1786" s="1"/>
      <c r="LP1786" s="1"/>
      <c r="LZ1786" s="1"/>
      <c r="MA1786" s="1"/>
    </row>
    <row r="1787" spans="4:339" ht="13" x14ac:dyDescent="0.15">
      <c r="D1787" s="12"/>
      <c r="E1787" s="12"/>
      <c r="I1787" s="12"/>
      <c r="J1787" s="13"/>
      <c r="BF1787" s="1"/>
      <c r="BG1787" s="1"/>
      <c r="BH1787" s="1"/>
      <c r="BI1787" s="1"/>
      <c r="BJ1787" s="1"/>
      <c r="BK1787" s="1"/>
      <c r="BL1787" s="1"/>
      <c r="BM1787" s="1"/>
      <c r="BN1787" s="1"/>
      <c r="BP1787" s="1"/>
      <c r="CD1787" s="1"/>
      <c r="CE1787" s="1"/>
      <c r="CF1787" s="1"/>
      <c r="CG1787" s="1"/>
      <c r="CM1787" s="2"/>
      <c r="CP1787" s="1"/>
      <c r="CQ1787" s="1"/>
      <c r="CS1787" s="1"/>
      <c r="CT1787" s="1"/>
      <c r="CU1787" s="1"/>
      <c r="CV1787" s="1"/>
      <c r="CW1787" s="1"/>
      <c r="CX1787" s="1"/>
      <c r="CY1787" s="1"/>
      <c r="CZ1787" s="1"/>
      <c r="DA1787" s="1"/>
      <c r="DB1787" s="1"/>
      <c r="DC1787" s="1"/>
      <c r="DD1787" s="1"/>
      <c r="DE1787" s="1"/>
      <c r="DF1787" s="1"/>
      <c r="DG1787" s="1"/>
      <c r="DH1787" s="1"/>
      <c r="DI1787" s="1"/>
      <c r="DJ1787" s="1"/>
      <c r="DK1787" s="1"/>
      <c r="DQ1787" s="1"/>
      <c r="DR1787" s="1"/>
      <c r="DY1787" s="1"/>
      <c r="DZ1787" s="1"/>
      <c r="ED1787" s="1"/>
      <c r="EK1787" s="1"/>
      <c r="EL1787" s="1"/>
      <c r="EM1787" s="1"/>
      <c r="EN1787" s="1"/>
      <c r="EQ1787" s="1"/>
      <c r="ER1787" s="1"/>
      <c r="ES1787" s="1"/>
      <c r="EV1787" s="1"/>
      <c r="EW1787" s="1"/>
      <c r="EZ1787" s="1"/>
      <c r="GP1787" s="1"/>
      <c r="HY1787" s="1"/>
      <c r="IE1787" s="1"/>
      <c r="IS1787" s="1"/>
      <c r="IZ1787" s="1"/>
      <c r="JF1787" s="1"/>
      <c r="JH1787" s="1"/>
      <c r="JJ1787" s="1"/>
      <c r="JP1787" s="1"/>
      <c r="JQ1787" s="1"/>
      <c r="KY1787" s="1"/>
      <c r="KZ1787" s="1"/>
      <c r="LA1787" s="1"/>
      <c r="LB1787" s="1"/>
      <c r="LC1787" s="1"/>
      <c r="LD1787" s="1"/>
      <c r="LF1787" s="1"/>
      <c r="LN1787" s="1"/>
      <c r="LO1787" s="1"/>
      <c r="LP1787" s="1"/>
      <c r="LZ1787" s="1"/>
      <c r="MA1787" s="1"/>
    </row>
    <row r="1788" spans="4:339" ht="13" x14ac:dyDescent="0.15">
      <c r="D1788" s="12"/>
      <c r="E1788" s="12"/>
      <c r="I1788" s="12"/>
      <c r="J1788" s="13"/>
      <c r="BG1788" s="1"/>
      <c r="BH1788" s="1"/>
      <c r="BI1788" s="1"/>
      <c r="BJ1788" s="1"/>
      <c r="BK1788" s="1"/>
      <c r="BL1788" s="1"/>
      <c r="BM1788" s="1"/>
      <c r="BN1788" s="1"/>
      <c r="BO1788" s="1"/>
      <c r="BP1788" s="1"/>
      <c r="CD1788" s="1"/>
      <c r="CM1788" s="4"/>
      <c r="CP1788" s="1"/>
      <c r="CQ1788" s="1"/>
      <c r="CR1788" s="1"/>
      <c r="CS1788" s="1"/>
      <c r="CT1788" s="1"/>
      <c r="CU1788" s="1"/>
      <c r="CV1788" s="1"/>
      <c r="CW1788" s="1"/>
      <c r="CX1788" s="1"/>
      <c r="CY1788" s="1"/>
      <c r="CZ1788" s="1"/>
      <c r="DA1788" s="1"/>
      <c r="DB1788" s="1"/>
      <c r="DC1788" s="1"/>
      <c r="DD1788" s="1"/>
      <c r="DE1788" s="1"/>
      <c r="DF1788" s="1"/>
      <c r="DG1788" s="1"/>
      <c r="DH1788" s="1"/>
      <c r="DI1788" s="1"/>
      <c r="DJ1788" s="1"/>
      <c r="DK1788" s="1"/>
      <c r="ED1788" s="1"/>
      <c r="EK1788" s="1"/>
      <c r="EL1788" s="1"/>
      <c r="EM1788" s="1"/>
      <c r="EN1788" s="1"/>
      <c r="EQ1788" s="1"/>
      <c r="ER1788" s="1"/>
      <c r="ES1788" s="1"/>
      <c r="EV1788" s="1"/>
      <c r="EW1788" s="1"/>
      <c r="EZ1788" s="1"/>
      <c r="GO1788" s="1"/>
      <c r="HY1788" s="1"/>
      <c r="IE1788" s="1"/>
      <c r="IS1788" s="1"/>
      <c r="IZ1788" s="1"/>
      <c r="JJ1788" s="1"/>
      <c r="JP1788" s="1"/>
      <c r="JQ1788" s="1"/>
      <c r="JV1788" s="1"/>
      <c r="KZ1788" s="1"/>
      <c r="LZ1788" s="1"/>
      <c r="MA1788" s="1"/>
    </row>
    <row r="1789" spans="4:339" ht="13" x14ac:dyDescent="0.15">
      <c r="D1789" s="12"/>
      <c r="E1789" s="12"/>
      <c r="I1789" s="12"/>
      <c r="J1789" s="13"/>
      <c r="BF1789" s="1"/>
      <c r="BG1789" s="1"/>
      <c r="BH1789" s="1"/>
      <c r="BI1789" s="1"/>
      <c r="BJ1789" s="1"/>
      <c r="BK1789" s="1"/>
      <c r="BL1789" s="1"/>
      <c r="BM1789" s="1"/>
      <c r="BN1789" s="1"/>
      <c r="BO1789" s="1"/>
      <c r="BP1789" s="1"/>
      <c r="BQ1789" s="1"/>
      <c r="CC1789" s="1"/>
      <c r="CD1789" s="1"/>
      <c r="CE1789" s="1"/>
      <c r="CF1789" s="1"/>
      <c r="CG1789" s="1"/>
      <c r="CM1789" s="2"/>
      <c r="CP1789" s="1"/>
      <c r="CQ1789" s="1"/>
      <c r="CS1789" s="1"/>
      <c r="CT1789" s="1"/>
      <c r="CU1789" s="1"/>
      <c r="CV1789" s="1"/>
      <c r="CW1789" s="1"/>
      <c r="CX1789" s="1"/>
      <c r="CY1789" s="1"/>
      <c r="CZ1789" s="1"/>
      <c r="DA1789" s="1"/>
      <c r="DB1789" s="1"/>
      <c r="DC1789" s="1"/>
      <c r="DD1789" s="1"/>
      <c r="DE1789" s="1"/>
      <c r="DF1789" s="1"/>
      <c r="DG1789" s="1"/>
      <c r="DH1789" s="1"/>
      <c r="DI1789" s="1"/>
      <c r="DJ1789" s="1"/>
      <c r="DK1789" s="1"/>
      <c r="ED1789" s="1"/>
      <c r="EK1789" s="1"/>
      <c r="EL1789" s="1"/>
      <c r="EM1789" s="1"/>
      <c r="EN1789" s="1"/>
      <c r="EQ1789" s="1"/>
      <c r="ER1789" s="1"/>
      <c r="ES1789" s="1"/>
      <c r="EV1789" s="1"/>
      <c r="EW1789" s="1"/>
      <c r="EZ1789" s="1"/>
      <c r="GO1789" s="1"/>
      <c r="GT1789" s="1"/>
      <c r="HY1789" s="1"/>
      <c r="IE1789" s="1"/>
      <c r="IS1789" s="1"/>
      <c r="IZ1789" s="1"/>
      <c r="JG1789" s="1"/>
      <c r="JH1789" s="1"/>
      <c r="JJ1789" s="1"/>
      <c r="JP1789" s="1"/>
      <c r="JQ1789" s="1"/>
      <c r="JY1789" s="1"/>
      <c r="KZ1789" s="1"/>
      <c r="LA1789" s="1"/>
      <c r="LB1789" s="1"/>
      <c r="LC1789" s="1"/>
      <c r="LD1789" s="1"/>
      <c r="LO1789" s="1"/>
      <c r="LP1789" s="1"/>
      <c r="LZ1789" s="1"/>
      <c r="MA1789" s="1"/>
    </row>
    <row r="1790" spans="4:339" ht="13" x14ac:dyDescent="0.15">
      <c r="D1790" s="12"/>
      <c r="E1790" s="12"/>
      <c r="I1790" s="12"/>
      <c r="J1790" s="13"/>
      <c r="BF1790" s="1"/>
      <c r="BG1790" s="1"/>
      <c r="BH1790" s="1"/>
      <c r="BI1790" s="1"/>
      <c r="BJ1790" s="1"/>
      <c r="BK1790" s="1"/>
      <c r="BL1790" s="1"/>
      <c r="BM1790" s="1"/>
      <c r="BN1790" s="1"/>
      <c r="BO1790" s="1"/>
      <c r="BP1790" s="1"/>
      <c r="BQ1790" s="1"/>
      <c r="CC1790" s="1"/>
      <c r="CD1790" s="1"/>
      <c r="CE1790" s="1"/>
      <c r="CF1790" s="1"/>
      <c r="CG1790" s="1"/>
      <c r="CM1790" s="2"/>
      <c r="CP1790" s="1"/>
      <c r="CQ1790" s="1"/>
      <c r="CS1790" s="1"/>
      <c r="CT1790" s="1"/>
      <c r="CU1790" s="1"/>
      <c r="CV1790" s="1"/>
      <c r="CW1790" s="1"/>
      <c r="CX1790" s="1"/>
      <c r="CY1790" s="1"/>
      <c r="CZ1790" s="1"/>
      <c r="DA1790" s="1"/>
      <c r="DB1790" s="1"/>
      <c r="DC1790" s="1"/>
      <c r="DD1790" s="1"/>
      <c r="DE1790" s="1"/>
      <c r="DF1790" s="1"/>
      <c r="DG1790" s="1"/>
      <c r="DH1790" s="1"/>
      <c r="DI1790" s="1"/>
      <c r="DJ1790" s="1"/>
      <c r="DK1790" s="1"/>
      <c r="ED1790" s="1"/>
      <c r="EK1790" s="1"/>
      <c r="EL1790" s="1"/>
      <c r="EM1790" s="1"/>
      <c r="EN1790" s="1"/>
      <c r="EQ1790" s="1"/>
      <c r="ER1790" s="1"/>
      <c r="ES1790" s="1"/>
      <c r="EV1790" s="1"/>
      <c r="EW1790" s="1"/>
      <c r="EZ1790" s="1"/>
      <c r="GO1790" s="1"/>
      <c r="GT1790" s="1"/>
      <c r="HY1790" s="1"/>
      <c r="IE1790" s="1"/>
      <c r="IS1790" s="1"/>
      <c r="IZ1790" s="1"/>
      <c r="JG1790" s="1"/>
      <c r="JH1790" s="1"/>
      <c r="JJ1790" s="1"/>
      <c r="JP1790" s="1"/>
      <c r="JQ1790" s="1"/>
      <c r="JY1790" s="1"/>
      <c r="KZ1790" s="1"/>
      <c r="LA1790" s="1"/>
      <c r="LB1790" s="1"/>
      <c r="LC1790" s="1"/>
      <c r="LD1790" s="1"/>
      <c r="LO1790" s="1"/>
      <c r="LP1790" s="1"/>
      <c r="LZ1790" s="1"/>
      <c r="MA1790" s="1"/>
    </row>
    <row r="1791" spans="4:339" ht="13" x14ac:dyDescent="0.15">
      <c r="D1791" s="12"/>
      <c r="E1791" s="12"/>
      <c r="I1791" s="12"/>
      <c r="J1791" s="13"/>
      <c r="BG1791" s="1"/>
      <c r="BH1791" s="1"/>
      <c r="BI1791" s="1"/>
      <c r="BK1791" s="1"/>
      <c r="BL1791" s="1"/>
      <c r="BM1791" s="1"/>
      <c r="BN1791" s="1"/>
      <c r="CD1791" s="1"/>
      <c r="CE1791" s="1"/>
      <c r="CF1791" s="1"/>
      <c r="CM1791" s="2"/>
      <c r="ED1791" s="1"/>
      <c r="EL1791" s="1"/>
      <c r="EM1791" s="1"/>
      <c r="EN1791" s="1"/>
      <c r="EQ1791" s="1"/>
      <c r="ER1791" s="1"/>
      <c r="ES1791" s="1"/>
      <c r="EV1791" s="1"/>
      <c r="EW1791" s="1"/>
      <c r="EZ1791" s="1"/>
      <c r="HY1791" s="1"/>
      <c r="IS1791" s="1"/>
      <c r="IZ1791" s="1"/>
      <c r="JH1791" s="1"/>
      <c r="JJ1791" s="1"/>
      <c r="JP1791" s="1"/>
      <c r="JQ1791" s="1"/>
    </row>
    <row r="1792" spans="4:339" ht="13" x14ac:dyDescent="0.15">
      <c r="D1792" s="12"/>
      <c r="E1792" s="12"/>
      <c r="I1792" s="12"/>
      <c r="J1792" s="13"/>
      <c r="BG1792" s="1"/>
      <c r="BH1792" s="1"/>
      <c r="BI1792" s="1"/>
      <c r="BK1792" s="1"/>
      <c r="BL1792" s="1"/>
      <c r="BM1792" s="1"/>
      <c r="BN1792" s="1"/>
      <c r="CD1792" s="1"/>
      <c r="CE1792" s="1"/>
      <c r="CF1792" s="1"/>
      <c r="CM1792" s="2"/>
      <c r="ED1792" s="1"/>
      <c r="EL1792" s="1"/>
      <c r="EM1792" s="1"/>
      <c r="EN1792" s="1"/>
      <c r="EQ1792" s="1"/>
      <c r="ER1792" s="1"/>
      <c r="ES1792" s="1"/>
      <c r="EV1792" s="1"/>
      <c r="EW1792" s="1"/>
      <c r="EZ1792" s="1"/>
      <c r="HY1792" s="1"/>
      <c r="IS1792" s="1"/>
      <c r="IZ1792" s="1"/>
      <c r="JH1792" s="1"/>
      <c r="JJ1792" s="1"/>
      <c r="JP1792" s="1"/>
      <c r="JQ1792" s="1"/>
    </row>
    <row r="1793" spans="4:339" ht="13" x14ac:dyDescent="0.15">
      <c r="D1793" s="12"/>
      <c r="E1793" s="12"/>
      <c r="I1793" s="12"/>
      <c r="J1793" s="13"/>
      <c r="BF1793" s="1"/>
      <c r="BG1793" s="1"/>
      <c r="BH1793" s="1"/>
      <c r="BI1793" s="1"/>
      <c r="BJ1793" s="1"/>
      <c r="BK1793" s="1"/>
      <c r="BL1793" s="1"/>
      <c r="BM1793" s="1"/>
      <c r="BN1793" s="1"/>
      <c r="BO1793" s="1"/>
      <c r="BP1793" s="1"/>
      <c r="CD1793" s="1"/>
      <c r="CE1793" s="1"/>
      <c r="CF1793" s="1"/>
      <c r="CK1793" s="1"/>
      <c r="CM1793" s="2"/>
      <c r="CP1793" s="1"/>
      <c r="CQ1793" s="1"/>
      <c r="CS1793" s="1"/>
      <c r="CT1793" s="1"/>
      <c r="CU1793" s="1"/>
      <c r="CV1793" s="1"/>
      <c r="CW1793" s="1"/>
      <c r="CX1793" s="1"/>
      <c r="CY1793" s="1"/>
      <c r="CZ1793" s="1"/>
      <c r="DA1793" s="1"/>
      <c r="DB1793" s="1"/>
      <c r="DC1793" s="1"/>
      <c r="DD1793" s="1"/>
      <c r="DE1793" s="1"/>
      <c r="DF1793" s="1"/>
      <c r="DG1793" s="1"/>
      <c r="DH1793" s="1"/>
      <c r="DI1793" s="1"/>
      <c r="DJ1793" s="1"/>
      <c r="DK1793" s="1"/>
      <c r="ED1793" s="1"/>
      <c r="EF1793" s="1"/>
      <c r="EK1793" s="1"/>
      <c r="EL1793" s="1"/>
      <c r="EM1793" s="1"/>
      <c r="EN1793" s="1"/>
      <c r="EQ1793" s="1"/>
      <c r="ER1793" s="1"/>
      <c r="ES1793" s="1"/>
      <c r="EV1793" s="1"/>
      <c r="EW1793" s="1"/>
      <c r="EZ1793" s="1"/>
      <c r="GO1793" s="1"/>
      <c r="HY1793" s="1"/>
      <c r="IE1793" s="1"/>
      <c r="IG1793" s="1"/>
      <c r="IJ1793" s="1"/>
      <c r="IS1793" s="1"/>
      <c r="IY1793" s="1"/>
      <c r="IZ1793" s="1"/>
      <c r="JG1793" s="1"/>
      <c r="JH1793" s="1"/>
      <c r="JJ1793" s="1"/>
      <c r="JK1793" s="1"/>
      <c r="JL1793" s="3"/>
      <c r="JM1793" s="1"/>
      <c r="JP1793" s="1"/>
      <c r="JQ1793" s="1"/>
      <c r="JR1793" s="1"/>
      <c r="LO1793" s="1"/>
      <c r="LP1793" s="1"/>
      <c r="LZ1793" s="1"/>
      <c r="MA1793" s="1"/>
    </row>
    <row r="1794" spans="4:339" ht="13" x14ac:dyDescent="0.15">
      <c r="D1794" s="12"/>
      <c r="E1794" s="12"/>
      <c r="I1794" s="12"/>
      <c r="J1794" s="13"/>
      <c r="BF1794" s="1"/>
      <c r="BG1794" s="1"/>
      <c r="BH1794" s="1"/>
      <c r="BI1794" s="1"/>
      <c r="BJ1794" s="1"/>
      <c r="BK1794" s="1"/>
      <c r="BL1794" s="1"/>
      <c r="BM1794" s="1"/>
      <c r="BN1794" s="1"/>
      <c r="BO1794" s="1"/>
      <c r="BP1794" s="1"/>
      <c r="CD1794" s="1"/>
      <c r="CE1794" s="1"/>
      <c r="CF1794" s="1"/>
      <c r="CK1794" s="1"/>
      <c r="CM1794" s="2"/>
      <c r="CP1794" s="1"/>
      <c r="CQ1794" s="1"/>
      <c r="CS1794" s="1"/>
      <c r="CT1794" s="1"/>
      <c r="CU1794" s="1"/>
      <c r="CV1794" s="1"/>
      <c r="CW1794" s="1"/>
      <c r="CX1794" s="1"/>
      <c r="CY1794" s="1"/>
      <c r="CZ1794" s="1"/>
      <c r="DA1794" s="1"/>
      <c r="DB1794" s="1"/>
      <c r="DC1794" s="1"/>
      <c r="DD1794" s="1"/>
      <c r="DE1794" s="1"/>
      <c r="DF1794" s="1"/>
      <c r="DG1794" s="1"/>
      <c r="DH1794" s="1"/>
      <c r="DI1794" s="1"/>
      <c r="DJ1794" s="1"/>
      <c r="DK1794" s="1"/>
      <c r="ED1794" s="1"/>
      <c r="EF1794" s="1"/>
      <c r="EK1794" s="1"/>
      <c r="EL1794" s="1"/>
      <c r="EM1794" s="1"/>
      <c r="EN1794" s="1"/>
      <c r="EQ1794" s="1"/>
      <c r="ER1794" s="1"/>
      <c r="ES1794" s="1"/>
      <c r="EV1794" s="1"/>
      <c r="EW1794" s="1"/>
      <c r="EZ1794" s="1"/>
      <c r="GO1794" s="1"/>
      <c r="HY1794" s="1"/>
      <c r="IE1794" s="1"/>
      <c r="IG1794" s="1"/>
      <c r="IJ1794" s="1"/>
      <c r="IS1794" s="1"/>
      <c r="IY1794" s="1"/>
      <c r="IZ1794" s="1"/>
      <c r="JG1794" s="1"/>
      <c r="JH1794" s="1"/>
      <c r="JJ1794" s="1"/>
      <c r="JK1794" s="1"/>
      <c r="JL1794" s="3"/>
      <c r="JM1794" s="1"/>
      <c r="JP1794" s="1"/>
      <c r="JQ1794" s="1"/>
      <c r="JR1794" s="1"/>
      <c r="LO1794" s="1"/>
      <c r="LP1794" s="1"/>
      <c r="LZ1794" s="1"/>
      <c r="MA1794" s="1"/>
    </row>
    <row r="1795" spans="4:339" ht="13" x14ac:dyDescent="0.15">
      <c r="D1795" s="12"/>
      <c r="E1795" s="12"/>
      <c r="I1795" s="12"/>
      <c r="J1795" s="13"/>
      <c r="BF1795" s="1"/>
      <c r="BG1795" s="1"/>
      <c r="BH1795" s="1"/>
      <c r="BI1795" s="1"/>
      <c r="BJ1795" s="1"/>
      <c r="BK1795" s="1"/>
      <c r="BL1795" s="1"/>
      <c r="BM1795" s="1"/>
      <c r="BN1795" s="1"/>
      <c r="BO1795" s="1"/>
      <c r="BP1795" s="1"/>
      <c r="CD1795" s="1"/>
      <c r="CE1795" s="1"/>
      <c r="CF1795" s="1"/>
      <c r="CK1795" s="1"/>
      <c r="CM1795" s="2"/>
      <c r="CP1795" s="1"/>
      <c r="CQ1795" s="1"/>
      <c r="CS1795" s="1"/>
      <c r="CT1795" s="1"/>
      <c r="CU1795" s="1"/>
      <c r="CV1795" s="1"/>
      <c r="CW1795" s="1"/>
      <c r="CX1795" s="1"/>
      <c r="CY1795" s="1"/>
      <c r="CZ1795" s="1"/>
      <c r="DA1795" s="1"/>
      <c r="DB1795" s="1"/>
      <c r="DC1795" s="1"/>
      <c r="DD1795" s="1"/>
      <c r="DE1795" s="1"/>
      <c r="DF1795" s="1"/>
      <c r="DG1795" s="1"/>
      <c r="DH1795" s="1"/>
      <c r="DI1795" s="1"/>
      <c r="DJ1795" s="1"/>
      <c r="DK1795" s="1"/>
      <c r="ED1795" s="1"/>
      <c r="EF1795" s="1"/>
      <c r="EK1795" s="1"/>
      <c r="EL1795" s="1"/>
      <c r="EM1795" s="1"/>
      <c r="EN1795" s="1"/>
      <c r="EQ1795" s="1"/>
      <c r="ER1795" s="1"/>
      <c r="ES1795" s="1"/>
      <c r="EV1795" s="1"/>
      <c r="EW1795" s="1"/>
      <c r="EZ1795" s="1"/>
      <c r="GO1795" s="1"/>
      <c r="HY1795" s="1"/>
      <c r="IE1795" s="1"/>
      <c r="IG1795" s="1"/>
      <c r="IJ1795" s="1"/>
      <c r="IS1795" s="1"/>
      <c r="IY1795" s="1"/>
      <c r="IZ1795" s="1"/>
      <c r="JG1795" s="1"/>
      <c r="JH1795" s="1"/>
      <c r="JJ1795" s="1"/>
      <c r="JK1795" s="1"/>
      <c r="JL1795" s="3"/>
      <c r="JM1795" s="1"/>
      <c r="JP1795" s="1"/>
      <c r="JQ1795" s="1"/>
      <c r="JR1795" s="1"/>
      <c r="LO1795" s="1"/>
      <c r="LP1795" s="1"/>
      <c r="LZ1795" s="1"/>
      <c r="MA1795" s="1"/>
    </row>
    <row r="1796" spans="4:339" ht="13" x14ac:dyDescent="0.15">
      <c r="D1796" s="12"/>
      <c r="E1796" s="12"/>
      <c r="I1796" s="12"/>
      <c r="J1796" s="13"/>
      <c r="BF1796" s="1"/>
      <c r="BG1796" s="1"/>
      <c r="BH1796" s="1"/>
      <c r="BI1796" s="1"/>
      <c r="BJ1796" s="1"/>
      <c r="BK1796" s="1"/>
      <c r="BL1796" s="1"/>
      <c r="BM1796" s="1"/>
      <c r="BN1796" s="1"/>
      <c r="BO1796" s="1"/>
      <c r="BP1796" s="1"/>
      <c r="CD1796" s="1"/>
      <c r="CE1796" s="1"/>
      <c r="CF1796" s="1"/>
      <c r="CK1796" s="1"/>
      <c r="CM1796" s="2"/>
      <c r="CP1796" s="1"/>
      <c r="CQ1796" s="1"/>
      <c r="CS1796" s="1"/>
      <c r="CT1796" s="1"/>
      <c r="CU1796" s="1"/>
      <c r="CV1796" s="1"/>
      <c r="CW1796" s="1"/>
      <c r="CX1796" s="1"/>
      <c r="CY1796" s="1"/>
      <c r="CZ1796" s="1"/>
      <c r="DA1796" s="1"/>
      <c r="DB1796" s="1"/>
      <c r="DC1796" s="1"/>
      <c r="DD1796" s="1"/>
      <c r="DE1796" s="1"/>
      <c r="DF1796" s="1"/>
      <c r="DG1796" s="1"/>
      <c r="DH1796" s="1"/>
      <c r="DI1796" s="1"/>
      <c r="DJ1796" s="1"/>
      <c r="DK1796" s="1"/>
      <c r="ED1796" s="1"/>
      <c r="EF1796" s="1"/>
      <c r="EK1796" s="1"/>
      <c r="EL1796" s="1"/>
      <c r="EM1796" s="1"/>
      <c r="EN1796" s="1"/>
      <c r="EQ1796" s="1"/>
      <c r="ER1796" s="1"/>
      <c r="ES1796" s="1"/>
      <c r="EV1796" s="1"/>
      <c r="EW1796" s="1"/>
      <c r="EZ1796" s="1"/>
      <c r="GO1796" s="1"/>
      <c r="HY1796" s="1"/>
      <c r="IE1796" s="1"/>
      <c r="IG1796" s="1"/>
      <c r="IJ1796" s="1"/>
      <c r="IS1796" s="1"/>
      <c r="IY1796" s="1"/>
      <c r="IZ1796" s="1"/>
      <c r="JG1796" s="1"/>
      <c r="JH1796" s="1"/>
      <c r="JJ1796" s="1"/>
      <c r="JK1796" s="1"/>
      <c r="JL1796" s="3"/>
      <c r="JM1796" s="1"/>
      <c r="JP1796" s="1"/>
      <c r="JQ1796" s="1"/>
      <c r="JR1796" s="1"/>
      <c r="LO1796" s="1"/>
      <c r="LP1796" s="1"/>
      <c r="LZ1796" s="1"/>
      <c r="MA1796" s="1"/>
    </row>
    <row r="1797" spans="4:339" ht="13" x14ac:dyDescent="0.15">
      <c r="D1797" s="12"/>
      <c r="E1797" s="12"/>
      <c r="I1797" s="12"/>
      <c r="J1797" s="13"/>
      <c r="BF1797" s="1"/>
      <c r="BG1797" s="1"/>
      <c r="BH1797" s="1"/>
      <c r="BI1797" s="1"/>
      <c r="BK1797" s="1"/>
      <c r="BL1797" s="1"/>
      <c r="BM1797" s="1"/>
      <c r="BN1797" s="1"/>
      <c r="BO1797" s="1"/>
      <c r="BP1797" s="1"/>
      <c r="CD1797" s="1"/>
      <c r="CE1797" s="1"/>
      <c r="CF1797" s="1"/>
      <c r="CG1797" s="1"/>
      <c r="CM1797" s="2"/>
      <c r="CP1797" s="1"/>
      <c r="CQ1797" s="1"/>
      <c r="CR1797" s="1"/>
      <c r="CS1797" s="1"/>
      <c r="CT1797" s="1"/>
      <c r="CU1797" s="1"/>
      <c r="CV1797" s="1"/>
      <c r="CW1797" s="1"/>
      <c r="CX1797" s="1"/>
      <c r="CY1797" s="1"/>
      <c r="CZ1797" s="1"/>
      <c r="DA1797" s="1"/>
      <c r="DB1797" s="1"/>
      <c r="DC1797" s="1"/>
      <c r="DD1797" s="1"/>
      <c r="DE1797" s="1"/>
      <c r="DF1797" s="1"/>
      <c r="DG1797" s="1"/>
      <c r="DH1797" s="1"/>
      <c r="DI1797" s="1"/>
      <c r="DJ1797" s="1"/>
      <c r="DK1797" s="1"/>
      <c r="ED1797" s="1"/>
      <c r="EK1797" s="1"/>
      <c r="EL1797" s="1"/>
      <c r="EM1797" s="1"/>
      <c r="EN1797" s="1"/>
      <c r="EQ1797" s="1"/>
      <c r="ER1797" s="1"/>
      <c r="ES1797" s="1"/>
      <c r="EV1797" s="1"/>
      <c r="EW1797" s="1"/>
      <c r="EZ1797" s="1"/>
      <c r="GP1797" s="1"/>
      <c r="HY1797" s="1"/>
      <c r="IE1797" s="1"/>
      <c r="IR1797" s="1"/>
      <c r="IS1797" s="1"/>
      <c r="IZ1797" s="1"/>
      <c r="JF1797" s="1"/>
      <c r="JG1797" s="1"/>
      <c r="JH1797" s="1"/>
      <c r="JJ1797" s="1"/>
      <c r="JN1797" s="1"/>
      <c r="JP1797" s="1"/>
      <c r="JQ1797" s="1"/>
      <c r="KY1797" s="1"/>
      <c r="KZ1797" s="1"/>
      <c r="LA1797" s="1"/>
      <c r="LB1797" s="1"/>
      <c r="LC1797" s="1"/>
      <c r="LD1797" s="1"/>
      <c r="LF1797" s="1"/>
      <c r="LN1797" s="1"/>
      <c r="LO1797" s="1"/>
      <c r="LP1797" s="1"/>
      <c r="LZ1797" s="1"/>
      <c r="MA1797" s="1"/>
    </row>
    <row r="1798" spans="4:339" ht="13" x14ac:dyDescent="0.15">
      <c r="D1798" s="12"/>
      <c r="E1798" s="12"/>
      <c r="I1798" s="12"/>
      <c r="J1798" s="13"/>
      <c r="BF1798" s="1"/>
      <c r="BG1798" s="1"/>
      <c r="BH1798" s="1"/>
      <c r="BI1798" s="1"/>
      <c r="BK1798" s="1"/>
      <c r="BL1798" s="1"/>
      <c r="BM1798" s="1"/>
      <c r="BN1798" s="1"/>
      <c r="BO1798" s="1"/>
      <c r="BP1798" s="1"/>
      <c r="CD1798" s="1"/>
      <c r="CE1798" s="1"/>
      <c r="CF1798" s="1"/>
      <c r="CG1798" s="1"/>
      <c r="CM1798" s="2"/>
      <c r="CP1798" s="1"/>
      <c r="CQ1798" s="1"/>
      <c r="CR1798" s="1"/>
      <c r="CS1798" s="1"/>
      <c r="CT1798" s="1"/>
      <c r="CU1798" s="1"/>
      <c r="CV1798" s="1"/>
      <c r="CW1798" s="1"/>
      <c r="CX1798" s="1"/>
      <c r="CY1798" s="1"/>
      <c r="CZ1798" s="1"/>
      <c r="DA1798" s="1"/>
      <c r="DB1798" s="1"/>
      <c r="DC1798" s="1"/>
      <c r="DD1798" s="1"/>
      <c r="DE1798" s="1"/>
      <c r="DF1798" s="1"/>
      <c r="DG1798" s="1"/>
      <c r="DH1798" s="1"/>
      <c r="DI1798" s="1"/>
      <c r="DJ1798" s="1"/>
      <c r="DK1798" s="1"/>
      <c r="ED1798" s="1"/>
      <c r="EK1798" s="1"/>
      <c r="EL1798" s="1"/>
      <c r="EM1798" s="1"/>
      <c r="EN1798" s="1"/>
      <c r="EQ1798" s="1"/>
      <c r="ER1798" s="1"/>
      <c r="ES1798" s="1"/>
      <c r="EV1798" s="1"/>
      <c r="EW1798" s="1"/>
      <c r="EZ1798" s="1"/>
      <c r="GP1798" s="1"/>
      <c r="HY1798" s="1"/>
      <c r="IE1798" s="1"/>
      <c r="IR1798" s="1"/>
      <c r="IS1798" s="1"/>
      <c r="IZ1798" s="1"/>
      <c r="JF1798" s="1"/>
      <c r="JG1798" s="1"/>
      <c r="JH1798" s="1"/>
      <c r="JJ1798" s="1"/>
      <c r="JN1798" s="1"/>
      <c r="JP1798" s="1"/>
      <c r="JQ1798" s="1"/>
      <c r="KY1798" s="1"/>
      <c r="KZ1798" s="1"/>
      <c r="LA1798" s="1"/>
      <c r="LB1798" s="1"/>
      <c r="LC1798" s="1"/>
      <c r="LD1798" s="1"/>
      <c r="LF1798" s="1"/>
      <c r="LN1798" s="1"/>
      <c r="LO1798" s="1"/>
      <c r="LP1798" s="1"/>
      <c r="LZ1798" s="1"/>
      <c r="MA1798" s="1"/>
    </row>
    <row r="1799" spans="4:339" ht="13" x14ac:dyDescent="0.15">
      <c r="D1799" s="12"/>
      <c r="E1799" s="12"/>
      <c r="I1799" s="12"/>
      <c r="J1799" s="13"/>
      <c r="BF1799" s="1"/>
      <c r="BG1799" s="1"/>
      <c r="BH1799" s="1"/>
      <c r="BI1799" s="1"/>
      <c r="BK1799" s="1"/>
      <c r="BL1799" s="1"/>
      <c r="BM1799" s="1"/>
      <c r="BN1799" s="1"/>
      <c r="BO1799" s="1"/>
      <c r="BP1799" s="1"/>
      <c r="CD1799" s="1"/>
      <c r="CE1799" s="1"/>
      <c r="CF1799" s="1"/>
      <c r="CG1799" s="1"/>
      <c r="CM1799" s="2"/>
      <c r="CP1799" s="1"/>
      <c r="CQ1799" s="1"/>
      <c r="CR1799" s="1"/>
      <c r="CS1799" s="1"/>
      <c r="CT1799" s="1"/>
      <c r="CU1799" s="1"/>
      <c r="CV1799" s="1"/>
      <c r="CW1799" s="1"/>
      <c r="CX1799" s="1"/>
      <c r="CY1799" s="1"/>
      <c r="CZ1799" s="1"/>
      <c r="DA1799" s="1"/>
      <c r="DB1799" s="1"/>
      <c r="DC1799" s="1"/>
      <c r="DD1799" s="1"/>
      <c r="DE1799" s="1"/>
      <c r="DF1799" s="1"/>
      <c r="DG1799" s="1"/>
      <c r="DH1799" s="1"/>
      <c r="DI1799" s="1"/>
      <c r="DJ1799" s="1"/>
      <c r="DK1799" s="1"/>
      <c r="ED1799" s="1"/>
      <c r="EK1799" s="1"/>
      <c r="EL1799" s="1"/>
      <c r="EM1799" s="1"/>
      <c r="EN1799" s="1"/>
      <c r="EQ1799" s="1"/>
      <c r="ER1799" s="1"/>
      <c r="ES1799" s="1"/>
      <c r="EV1799" s="1"/>
      <c r="EW1799" s="1"/>
      <c r="EZ1799" s="1"/>
      <c r="GP1799" s="1"/>
      <c r="HY1799" s="1"/>
      <c r="IE1799" s="1"/>
      <c r="IR1799" s="1"/>
      <c r="IS1799" s="1"/>
      <c r="IZ1799" s="1"/>
      <c r="JF1799" s="1"/>
      <c r="JG1799" s="1"/>
      <c r="JH1799" s="1"/>
      <c r="JJ1799" s="1"/>
      <c r="JN1799" s="1"/>
      <c r="JP1799" s="1"/>
      <c r="JQ1799" s="1"/>
      <c r="KY1799" s="1"/>
      <c r="KZ1799" s="1"/>
      <c r="LA1799" s="1"/>
      <c r="LB1799" s="1"/>
      <c r="LC1799" s="1"/>
      <c r="LD1799" s="1"/>
      <c r="LF1799" s="1"/>
      <c r="LN1799" s="1"/>
      <c r="LO1799" s="1"/>
      <c r="LP1799" s="1"/>
      <c r="LZ1799" s="1"/>
      <c r="MA1799" s="1"/>
    </row>
    <row r="1800" spans="4:339" ht="13" x14ac:dyDescent="0.15">
      <c r="D1800" s="12"/>
      <c r="E1800" s="12"/>
      <c r="I1800" s="12"/>
      <c r="J1800" s="13"/>
      <c r="BF1800" s="1"/>
      <c r="BG1800" s="1"/>
      <c r="BH1800" s="1"/>
      <c r="BI1800" s="1"/>
      <c r="BK1800" s="1"/>
      <c r="BL1800" s="1"/>
      <c r="BM1800" s="1"/>
      <c r="BN1800" s="1"/>
      <c r="BO1800" s="1"/>
      <c r="BP1800" s="1"/>
      <c r="CD1800" s="1"/>
      <c r="CE1800" s="1"/>
      <c r="CF1800" s="1"/>
      <c r="CG1800" s="1"/>
      <c r="CM1800" s="2"/>
      <c r="CP1800" s="1"/>
      <c r="CQ1800" s="1"/>
      <c r="CR1800" s="1"/>
      <c r="CS1800" s="1"/>
      <c r="CT1800" s="1"/>
      <c r="CU1800" s="1"/>
      <c r="CV1800" s="1"/>
      <c r="CW1800" s="1"/>
      <c r="CX1800" s="1"/>
      <c r="CY1800" s="1"/>
      <c r="CZ1800" s="1"/>
      <c r="DA1800" s="1"/>
      <c r="DB1800" s="1"/>
      <c r="DC1800" s="1"/>
      <c r="DD1800" s="1"/>
      <c r="DE1800" s="1"/>
      <c r="DF1800" s="1"/>
      <c r="DG1800" s="1"/>
      <c r="DH1800" s="1"/>
      <c r="DI1800" s="1"/>
      <c r="DJ1800" s="1"/>
      <c r="DK1800" s="1"/>
      <c r="ED1800" s="1"/>
      <c r="EK1800" s="1"/>
      <c r="EL1800" s="1"/>
      <c r="EM1800" s="1"/>
      <c r="EN1800" s="1"/>
      <c r="EQ1800" s="1"/>
      <c r="ER1800" s="1"/>
      <c r="ES1800" s="1"/>
      <c r="EV1800" s="1"/>
      <c r="EW1800" s="1"/>
      <c r="EZ1800" s="1"/>
      <c r="GP1800" s="1"/>
      <c r="HY1800" s="1"/>
      <c r="IE1800" s="1"/>
      <c r="IR1800" s="1"/>
      <c r="IS1800" s="1"/>
      <c r="IZ1800" s="1"/>
      <c r="JF1800" s="1"/>
      <c r="JG1800" s="1"/>
      <c r="JH1800" s="1"/>
      <c r="JJ1800" s="1"/>
      <c r="JN1800" s="1"/>
      <c r="JP1800" s="1"/>
      <c r="JQ1800" s="1"/>
      <c r="KY1800" s="1"/>
      <c r="KZ1800" s="1"/>
      <c r="LA1800" s="1"/>
      <c r="LB1800" s="1"/>
      <c r="LC1800" s="1"/>
      <c r="LD1800" s="1"/>
      <c r="LF1800" s="1"/>
      <c r="LN1800" s="1"/>
      <c r="LO1800" s="1"/>
      <c r="LP1800" s="1"/>
      <c r="LZ1800" s="1"/>
      <c r="MA1800" s="1"/>
    </row>
    <row r="1801" spans="4:339" ht="13" x14ac:dyDescent="0.15">
      <c r="D1801" s="12"/>
      <c r="E1801" s="12"/>
      <c r="I1801" s="12"/>
      <c r="J1801" s="13"/>
      <c r="BF1801" s="1"/>
      <c r="BG1801" s="1"/>
      <c r="BH1801" s="1"/>
      <c r="BI1801" s="1"/>
      <c r="BK1801" s="1"/>
      <c r="BL1801" s="1"/>
      <c r="BM1801" s="1"/>
      <c r="BN1801" s="1"/>
      <c r="BO1801" s="1"/>
      <c r="BP1801" s="1"/>
      <c r="CD1801" s="1"/>
      <c r="CE1801" s="1"/>
      <c r="CF1801" s="1"/>
      <c r="CG1801" s="1"/>
      <c r="CM1801" s="2"/>
      <c r="CP1801" s="1"/>
      <c r="CQ1801" s="1"/>
      <c r="CR1801" s="1"/>
      <c r="CS1801" s="1"/>
      <c r="CT1801" s="1"/>
      <c r="CU1801" s="1"/>
      <c r="CV1801" s="1"/>
      <c r="CW1801" s="1"/>
      <c r="CX1801" s="1"/>
      <c r="CY1801" s="1"/>
      <c r="CZ1801" s="1"/>
      <c r="DA1801" s="1"/>
      <c r="DB1801" s="1"/>
      <c r="DC1801" s="1"/>
      <c r="DD1801" s="1"/>
      <c r="DE1801" s="1"/>
      <c r="DF1801" s="1"/>
      <c r="DG1801" s="1"/>
      <c r="DH1801" s="1"/>
      <c r="DI1801" s="1"/>
      <c r="DJ1801" s="1"/>
      <c r="DK1801" s="1"/>
      <c r="ED1801" s="1"/>
      <c r="EK1801" s="1"/>
      <c r="EL1801" s="1"/>
      <c r="EM1801" s="1"/>
      <c r="EN1801" s="1"/>
      <c r="EQ1801" s="1"/>
      <c r="ER1801" s="1"/>
      <c r="ES1801" s="1"/>
      <c r="EV1801" s="1"/>
      <c r="EW1801" s="1"/>
      <c r="EZ1801" s="1"/>
      <c r="GP1801" s="1"/>
      <c r="HY1801" s="1"/>
      <c r="IE1801" s="1"/>
      <c r="IR1801" s="1"/>
      <c r="IS1801" s="1"/>
      <c r="IZ1801" s="1"/>
      <c r="JF1801" s="1"/>
      <c r="JG1801" s="1"/>
      <c r="JH1801" s="1"/>
      <c r="JJ1801" s="1"/>
      <c r="JN1801" s="1"/>
      <c r="JP1801" s="1"/>
      <c r="JQ1801" s="1"/>
      <c r="KY1801" s="1"/>
      <c r="KZ1801" s="1"/>
      <c r="LA1801" s="1"/>
      <c r="LB1801" s="1"/>
      <c r="LC1801" s="1"/>
      <c r="LD1801" s="1"/>
      <c r="LF1801" s="1"/>
      <c r="LN1801" s="1"/>
      <c r="LO1801" s="1"/>
      <c r="LP1801" s="1"/>
      <c r="LZ1801" s="1"/>
      <c r="MA1801" s="1"/>
    </row>
    <row r="1802" spans="4:339" ht="13" x14ac:dyDescent="0.15">
      <c r="D1802" s="12"/>
      <c r="E1802" s="12"/>
      <c r="I1802" s="12"/>
      <c r="J1802" s="13"/>
      <c r="BF1802" s="1"/>
      <c r="BG1802" s="1"/>
      <c r="BH1802" s="1"/>
      <c r="BI1802" s="1"/>
      <c r="BK1802" s="1"/>
      <c r="BL1802" s="1"/>
      <c r="BM1802" s="1"/>
      <c r="BN1802" s="1"/>
      <c r="BO1802" s="1"/>
      <c r="BP1802" s="1"/>
      <c r="CD1802" s="1"/>
      <c r="CE1802" s="1"/>
      <c r="CF1802" s="1"/>
      <c r="CG1802" s="1"/>
      <c r="CM1802" s="2"/>
      <c r="CP1802" s="1"/>
      <c r="CQ1802" s="1"/>
      <c r="CR1802" s="1"/>
      <c r="CS1802" s="1"/>
      <c r="CT1802" s="1"/>
      <c r="CU1802" s="1"/>
      <c r="CV1802" s="1"/>
      <c r="CW1802" s="1"/>
      <c r="CX1802" s="1"/>
      <c r="CY1802" s="1"/>
      <c r="CZ1802" s="1"/>
      <c r="DA1802" s="1"/>
      <c r="DB1802" s="1"/>
      <c r="DC1802" s="1"/>
      <c r="DD1802" s="1"/>
      <c r="DE1802" s="1"/>
      <c r="DF1802" s="1"/>
      <c r="DG1802" s="1"/>
      <c r="DH1802" s="1"/>
      <c r="DI1802" s="1"/>
      <c r="DJ1802" s="1"/>
      <c r="DK1802" s="1"/>
      <c r="ED1802" s="1"/>
      <c r="EK1802" s="1"/>
      <c r="EL1802" s="1"/>
      <c r="EM1802" s="1"/>
      <c r="EN1802" s="1"/>
      <c r="EQ1802" s="1"/>
      <c r="ER1802" s="1"/>
      <c r="ES1802" s="1"/>
      <c r="EV1802" s="1"/>
      <c r="EW1802" s="1"/>
      <c r="EZ1802" s="1"/>
      <c r="GP1802" s="1"/>
      <c r="HY1802" s="1"/>
      <c r="IE1802" s="1"/>
      <c r="IR1802" s="1"/>
      <c r="IS1802" s="1"/>
      <c r="IZ1802" s="1"/>
      <c r="JF1802" s="1"/>
      <c r="JG1802" s="1"/>
      <c r="JH1802" s="1"/>
      <c r="JJ1802" s="1"/>
      <c r="JN1802" s="1"/>
      <c r="JP1802" s="1"/>
      <c r="JQ1802" s="1"/>
      <c r="KY1802" s="1"/>
      <c r="KZ1802" s="1"/>
      <c r="LA1802" s="1"/>
      <c r="LB1802" s="1"/>
      <c r="LC1802" s="1"/>
      <c r="LD1802" s="1"/>
      <c r="LF1802" s="1"/>
      <c r="LN1802" s="1"/>
      <c r="LO1802" s="1"/>
      <c r="LP1802" s="1"/>
      <c r="LZ1802" s="1"/>
      <c r="MA1802" s="1"/>
    </row>
    <row r="1803" spans="4:339" ht="13" x14ac:dyDescent="0.15">
      <c r="D1803" s="12"/>
      <c r="E1803" s="12"/>
      <c r="I1803" s="12"/>
      <c r="J1803" s="13"/>
      <c r="BF1803" s="1"/>
      <c r="BG1803" s="1"/>
      <c r="BH1803" s="1"/>
      <c r="BI1803" s="1"/>
      <c r="BK1803" s="1"/>
      <c r="BL1803" s="1"/>
      <c r="BM1803" s="1"/>
      <c r="BN1803" s="1"/>
      <c r="BO1803" s="1"/>
      <c r="BP1803" s="1"/>
      <c r="CD1803" s="1"/>
      <c r="CE1803" s="1"/>
      <c r="CF1803" s="1"/>
      <c r="CG1803" s="1"/>
      <c r="CM1803" s="2"/>
      <c r="CP1803" s="1"/>
      <c r="CQ1803" s="1"/>
      <c r="CR1803" s="1"/>
      <c r="CS1803" s="1"/>
      <c r="CT1803" s="1"/>
      <c r="CU1803" s="1"/>
      <c r="CV1803" s="1"/>
      <c r="CW1803" s="1"/>
      <c r="CX1803" s="1"/>
      <c r="CY1803" s="1"/>
      <c r="CZ1803" s="1"/>
      <c r="DA1803" s="1"/>
      <c r="DB1803" s="1"/>
      <c r="DC1803" s="1"/>
      <c r="DD1803" s="1"/>
      <c r="DE1803" s="1"/>
      <c r="DF1803" s="1"/>
      <c r="DG1803" s="1"/>
      <c r="DH1803" s="1"/>
      <c r="DI1803" s="1"/>
      <c r="DJ1803" s="1"/>
      <c r="DK1803" s="1"/>
      <c r="ED1803" s="1"/>
      <c r="EK1803" s="1"/>
      <c r="EL1803" s="1"/>
      <c r="EM1803" s="1"/>
      <c r="EN1803" s="1"/>
      <c r="EQ1803" s="1"/>
      <c r="ER1803" s="1"/>
      <c r="ES1803" s="1"/>
      <c r="EV1803" s="1"/>
      <c r="EW1803" s="1"/>
      <c r="EZ1803" s="1"/>
      <c r="GP1803" s="1"/>
      <c r="HY1803" s="1"/>
      <c r="IE1803" s="1"/>
      <c r="IR1803" s="1"/>
      <c r="IS1803" s="1"/>
      <c r="IZ1803" s="1"/>
      <c r="JF1803" s="1"/>
      <c r="JG1803" s="1"/>
      <c r="JH1803" s="1"/>
      <c r="JJ1803" s="1"/>
      <c r="JN1803" s="1"/>
      <c r="JP1803" s="1"/>
      <c r="JQ1803" s="1"/>
      <c r="KY1803" s="1"/>
      <c r="KZ1803" s="1"/>
      <c r="LA1803" s="1"/>
      <c r="LB1803" s="1"/>
      <c r="LC1803" s="1"/>
      <c r="LD1803" s="1"/>
      <c r="LF1803" s="1"/>
      <c r="LN1803" s="1"/>
      <c r="LO1803" s="1"/>
      <c r="LP1803" s="1"/>
      <c r="LZ1803" s="1"/>
      <c r="MA1803" s="1"/>
    </row>
    <row r="1804" spans="4:339" ht="13" x14ac:dyDescent="0.15">
      <c r="D1804" s="12"/>
      <c r="E1804" s="12"/>
      <c r="I1804" s="12"/>
      <c r="J1804" s="13"/>
      <c r="BG1804" s="1"/>
      <c r="BH1804" s="1"/>
      <c r="BI1804" s="1"/>
      <c r="BJ1804" s="1"/>
      <c r="BK1804" s="1"/>
      <c r="BL1804" s="1"/>
      <c r="BM1804" s="1"/>
      <c r="BN1804" s="1"/>
      <c r="BO1804" s="1"/>
      <c r="BP1804" s="1"/>
      <c r="CD1804" s="1"/>
      <c r="CE1804" s="1"/>
      <c r="CF1804" s="1"/>
      <c r="CG1804" s="1"/>
      <c r="CM1804" s="2"/>
      <c r="CP1804" s="1"/>
      <c r="CQ1804" s="1"/>
      <c r="CR1804" s="1"/>
      <c r="CS1804" s="1"/>
      <c r="CT1804" s="1"/>
      <c r="CU1804" s="1"/>
      <c r="CV1804" s="1"/>
      <c r="CW1804" s="1"/>
      <c r="CX1804" s="1"/>
      <c r="CY1804" s="1"/>
      <c r="CZ1804" s="1"/>
      <c r="DA1804" s="1"/>
      <c r="DB1804" s="1"/>
      <c r="DC1804" s="1"/>
      <c r="DD1804" s="1"/>
      <c r="DE1804" s="1"/>
      <c r="DF1804" s="1"/>
      <c r="DG1804" s="1"/>
      <c r="DH1804" s="1"/>
      <c r="DI1804" s="1"/>
      <c r="DJ1804" s="1"/>
      <c r="DK1804" s="1"/>
      <c r="DL1804" s="1"/>
      <c r="DM1804" s="1"/>
      <c r="DQ1804" s="1"/>
      <c r="DR1804" s="1"/>
      <c r="DY1804" s="1"/>
      <c r="DZ1804" s="1"/>
      <c r="ED1804" s="1"/>
      <c r="EE1804" s="1"/>
      <c r="EF1804" s="1"/>
      <c r="EG1804" s="1"/>
      <c r="EH1804" s="1"/>
      <c r="EK1804" s="1"/>
      <c r="EL1804" s="1"/>
      <c r="EM1804" s="1"/>
      <c r="EN1804" s="1"/>
      <c r="EQ1804" s="1"/>
      <c r="ER1804" s="1"/>
      <c r="ES1804" s="1"/>
      <c r="EV1804" s="1"/>
      <c r="EW1804" s="1"/>
      <c r="EY1804" s="1"/>
      <c r="EZ1804" s="1"/>
      <c r="GO1804" s="1"/>
      <c r="HY1804" s="1"/>
      <c r="IE1804" s="1"/>
      <c r="IF1804" s="1"/>
      <c r="IG1804" s="1"/>
      <c r="IJ1804" s="1"/>
      <c r="IR1804" s="1"/>
      <c r="IS1804" s="1"/>
      <c r="IY1804" s="1"/>
      <c r="IZ1804" s="1"/>
      <c r="JG1804" s="1"/>
      <c r="JJ1804" s="1"/>
      <c r="JK1804" s="1"/>
      <c r="JL1804" s="3"/>
      <c r="JM1804" s="1"/>
      <c r="JN1804" s="1"/>
      <c r="JP1804" s="1"/>
      <c r="JQ1804" s="1"/>
      <c r="JR1804" s="1"/>
      <c r="KY1804" s="1"/>
      <c r="KZ1804" s="1"/>
      <c r="LA1804" s="1"/>
      <c r="LB1804" s="1"/>
      <c r="LC1804" s="1"/>
      <c r="LD1804" s="1"/>
      <c r="LO1804" s="1"/>
      <c r="LP1804" s="1"/>
      <c r="LZ1804" s="1"/>
      <c r="MA1804" s="1"/>
    </row>
    <row r="1805" spans="4:339" ht="13" x14ac:dyDescent="0.15">
      <c r="D1805" s="12"/>
      <c r="E1805" s="12"/>
      <c r="I1805" s="12"/>
      <c r="J1805" s="13"/>
      <c r="BG1805" s="1"/>
      <c r="BH1805" s="1"/>
      <c r="BI1805" s="1"/>
      <c r="BK1805" s="1"/>
      <c r="BL1805" s="1"/>
      <c r="BM1805" s="1"/>
      <c r="BN1805" s="1"/>
      <c r="BO1805" s="1"/>
      <c r="CD1805" s="1"/>
      <c r="CM1805" s="2"/>
      <c r="ED1805" s="1"/>
      <c r="EL1805" s="1"/>
      <c r="EM1805" s="1"/>
      <c r="EN1805" s="1"/>
      <c r="EQ1805" s="1"/>
      <c r="ER1805" s="1"/>
      <c r="ES1805" s="1"/>
      <c r="EV1805" s="1"/>
      <c r="EW1805" s="1"/>
      <c r="EZ1805" s="1"/>
      <c r="HY1805" s="1"/>
      <c r="IS1805" s="1"/>
      <c r="IZ1805" s="1"/>
      <c r="JJ1805" s="1"/>
      <c r="JP1805" s="1"/>
      <c r="JQ1805" s="1"/>
      <c r="LR1805" s="1"/>
      <c r="LS1805" s="1"/>
      <c r="LT1805" s="1"/>
      <c r="LU1805" s="1"/>
      <c r="LX1805" s="1"/>
    </row>
    <row r="1806" spans="4:339" ht="13" x14ac:dyDescent="0.15">
      <c r="D1806" s="12"/>
      <c r="E1806" s="12"/>
      <c r="I1806" s="12"/>
      <c r="J1806" s="13"/>
      <c r="BG1806" s="1"/>
      <c r="BH1806" s="1"/>
      <c r="BI1806" s="1"/>
      <c r="BK1806" s="1"/>
      <c r="BL1806" s="1"/>
      <c r="BM1806" s="1"/>
      <c r="BN1806" s="1"/>
      <c r="BO1806" s="1"/>
      <c r="BP1806" s="1"/>
      <c r="CD1806" s="1"/>
      <c r="CM1806" s="2"/>
      <c r="CP1806" s="1"/>
      <c r="CQ1806" s="1"/>
      <c r="CR1806" s="1"/>
      <c r="CT1806" s="1"/>
      <c r="CU1806" s="1"/>
      <c r="CV1806" s="1"/>
      <c r="CW1806" s="1"/>
      <c r="CX1806" s="1"/>
      <c r="CY1806" s="1"/>
      <c r="CZ1806" s="1"/>
      <c r="DA1806" s="1"/>
      <c r="DB1806" s="1"/>
      <c r="DC1806" s="1"/>
      <c r="DD1806" s="1"/>
      <c r="DE1806" s="1"/>
      <c r="DF1806" s="1"/>
      <c r="DG1806" s="1"/>
      <c r="DH1806" s="1"/>
      <c r="DI1806" s="1"/>
      <c r="DJ1806" s="1"/>
      <c r="DK1806" s="1"/>
      <c r="ED1806" s="1"/>
      <c r="EK1806" s="1"/>
      <c r="EL1806" s="1"/>
      <c r="EM1806" s="1"/>
      <c r="EN1806" s="1"/>
      <c r="EQ1806" s="1"/>
      <c r="ER1806" s="1"/>
      <c r="ES1806" s="1"/>
      <c r="EV1806" s="1"/>
      <c r="EW1806" s="1"/>
      <c r="EZ1806" s="1"/>
      <c r="GO1806" s="1"/>
      <c r="HY1806" s="1"/>
      <c r="IE1806" s="1"/>
      <c r="IS1806" s="1"/>
      <c r="IZ1806" s="1"/>
      <c r="JH1806" s="1"/>
      <c r="JJ1806" s="1"/>
      <c r="JP1806" s="1"/>
      <c r="JQ1806" s="1"/>
      <c r="JU1806" s="1"/>
      <c r="LR1806" s="1"/>
      <c r="LS1806" s="1"/>
      <c r="LT1806" s="1"/>
      <c r="LU1806" s="1"/>
      <c r="LX1806" s="1"/>
      <c r="LZ1806" s="1"/>
      <c r="MA1806" s="1"/>
    </row>
    <row r="1807" spans="4:339" ht="13" x14ac:dyDescent="0.15">
      <c r="D1807" s="12"/>
      <c r="E1807" s="12"/>
      <c r="I1807" s="12"/>
      <c r="J1807" s="13"/>
      <c r="BF1807" s="1"/>
      <c r="BG1807" s="1"/>
      <c r="BH1807" s="1"/>
      <c r="BI1807" s="1"/>
      <c r="BK1807" s="1"/>
      <c r="BL1807" s="1"/>
      <c r="BM1807" s="1"/>
      <c r="BN1807" s="1"/>
      <c r="BO1807" s="1"/>
      <c r="BP1807" s="1"/>
      <c r="CC1807" s="1"/>
      <c r="CD1807" s="1"/>
      <c r="CE1807" s="1"/>
      <c r="CF1807" s="1"/>
      <c r="CG1807" s="1"/>
      <c r="CM1807" s="4"/>
      <c r="CP1807" s="1"/>
      <c r="CQ1807" s="1"/>
      <c r="CS1807" s="1"/>
      <c r="CV1807" s="1"/>
      <c r="CW1807" s="1"/>
      <c r="CX1807" s="1"/>
      <c r="CY1807" s="1"/>
      <c r="CZ1807" s="1"/>
      <c r="DA1807" s="1"/>
      <c r="DB1807" s="1"/>
      <c r="DC1807" s="1"/>
      <c r="DD1807" s="1"/>
      <c r="DE1807" s="1"/>
      <c r="DF1807" s="1"/>
      <c r="DG1807" s="1"/>
      <c r="DH1807" s="1"/>
      <c r="DI1807" s="1"/>
      <c r="DJ1807" s="1"/>
      <c r="DK1807" s="1"/>
      <c r="ED1807" s="1"/>
      <c r="EK1807" s="1"/>
      <c r="EL1807" s="1"/>
      <c r="EM1807" s="1"/>
      <c r="EN1807" s="1"/>
      <c r="EQ1807" s="1"/>
      <c r="ER1807" s="1"/>
      <c r="ES1807" s="1"/>
      <c r="EV1807" s="1"/>
      <c r="EW1807" s="1"/>
      <c r="EZ1807" s="1"/>
      <c r="GO1807" s="1"/>
      <c r="GT1807" s="1"/>
      <c r="HY1807" s="1"/>
      <c r="IE1807" s="1"/>
      <c r="IS1807" s="1"/>
      <c r="IY1807" s="1"/>
      <c r="IZ1807" s="1"/>
      <c r="JF1807" s="1"/>
      <c r="JH1807" s="1"/>
      <c r="JI1807" s="1"/>
      <c r="JJ1807" s="1"/>
      <c r="JP1807" s="1"/>
      <c r="JQ1807" s="1"/>
      <c r="JY1807" s="1"/>
      <c r="KW1807" s="1"/>
      <c r="KY1807" s="1"/>
      <c r="KZ1807" s="1"/>
      <c r="LA1807" s="1"/>
      <c r="LB1807" s="1"/>
      <c r="LC1807" s="1"/>
      <c r="LD1807" s="1"/>
      <c r="LO1807" s="1"/>
      <c r="LP1807" s="1"/>
      <c r="LZ1807" s="1"/>
      <c r="MA1807" s="1"/>
    </row>
    <row r="1808" spans="4:339" ht="13" x14ac:dyDescent="0.15">
      <c r="D1808" s="12"/>
      <c r="E1808" s="12"/>
      <c r="I1808" s="12"/>
      <c r="J1808" s="13"/>
      <c r="BF1808" s="1"/>
      <c r="BG1808" s="1"/>
      <c r="BH1808" s="1"/>
      <c r="BI1808" s="1"/>
      <c r="BJ1808" s="1"/>
      <c r="BK1808" s="1"/>
      <c r="BL1808" s="1"/>
      <c r="BM1808" s="1"/>
      <c r="BN1808" s="1"/>
      <c r="BO1808" s="1"/>
      <c r="CD1808" s="1"/>
      <c r="CE1808" s="1"/>
      <c r="CF1808" s="1"/>
      <c r="CM1808" s="2"/>
      <c r="ED1808" s="1"/>
      <c r="EL1808" s="1"/>
      <c r="EM1808" s="1"/>
      <c r="EN1808" s="1"/>
      <c r="EQ1808" s="1"/>
      <c r="ER1808" s="1"/>
      <c r="ES1808" s="1"/>
      <c r="EV1808" s="1"/>
      <c r="EW1808" s="1"/>
      <c r="EZ1808" s="1"/>
      <c r="HY1808" s="1"/>
      <c r="IS1808" s="1"/>
      <c r="IY1808" s="1"/>
      <c r="IZ1808" s="1"/>
      <c r="JC1808" s="1"/>
      <c r="JG1808" s="1"/>
      <c r="JH1808" s="1"/>
      <c r="JJ1808" s="1"/>
      <c r="JN1808" s="1"/>
      <c r="JP1808" s="1"/>
      <c r="JQ1808" s="1"/>
      <c r="JU1808" s="1"/>
      <c r="LM1808" s="1"/>
      <c r="LQ1808" s="1"/>
    </row>
    <row r="1809" spans="4:339" ht="13" x14ac:dyDescent="0.15">
      <c r="D1809" s="12"/>
      <c r="E1809" s="12"/>
      <c r="I1809" s="12"/>
      <c r="J1809" s="13"/>
      <c r="BF1809" s="1"/>
      <c r="BG1809" s="1"/>
      <c r="BH1809" s="1"/>
      <c r="BI1809" s="1"/>
      <c r="BK1809" s="1"/>
      <c r="BL1809" s="1"/>
      <c r="BM1809" s="1"/>
      <c r="BN1809" s="1"/>
      <c r="CD1809" s="1"/>
      <c r="CM1809" s="2"/>
      <c r="ED1809" s="1"/>
      <c r="EL1809" s="1"/>
      <c r="EM1809" s="1"/>
      <c r="EN1809" s="1"/>
      <c r="EQ1809" s="1"/>
      <c r="ER1809" s="1"/>
      <c r="ES1809" s="1"/>
      <c r="EV1809" s="1"/>
      <c r="EW1809" s="1"/>
      <c r="EZ1809" s="1"/>
      <c r="HY1809" s="1"/>
      <c r="IS1809" s="1"/>
      <c r="IZ1809" s="1"/>
      <c r="JF1809" s="1"/>
      <c r="JH1809" s="1"/>
      <c r="JJ1809" s="1"/>
      <c r="JP1809" s="1"/>
      <c r="JQ1809" s="1"/>
    </row>
    <row r="1810" spans="4:339" ht="13" x14ac:dyDescent="0.15">
      <c r="D1810" s="12"/>
      <c r="E1810" s="12"/>
      <c r="I1810" s="12"/>
      <c r="J1810" s="13"/>
      <c r="BG1810" s="1"/>
      <c r="BH1810" s="1"/>
      <c r="BI1810" s="1"/>
      <c r="BK1810" s="1"/>
      <c r="BL1810" s="1"/>
      <c r="BM1810" s="1"/>
      <c r="BN1810" s="1"/>
      <c r="CD1810" s="1"/>
      <c r="CM1810" s="4"/>
      <c r="ED1810" s="1"/>
      <c r="EL1810" s="1"/>
      <c r="EM1810" s="1"/>
      <c r="EN1810" s="1"/>
      <c r="EQ1810" s="1"/>
      <c r="ER1810" s="1"/>
      <c r="ES1810" s="1"/>
      <c r="EV1810" s="1"/>
      <c r="EW1810" s="1"/>
      <c r="EZ1810" s="1"/>
      <c r="HY1810" s="1"/>
      <c r="IS1810" s="1"/>
      <c r="IZ1810" s="1"/>
      <c r="JH1810" s="1"/>
      <c r="JJ1810" s="1"/>
      <c r="JP1810" s="1"/>
      <c r="JQ1810" s="1"/>
      <c r="JU1810" s="1"/>
      <c r="LR1810" s="1"/>
      <c r="LS1810" s="1"/>
      <c r="LT1810" s="1"/>
      <c r="LU1810" s="1"/>
      <c r="LX1810" s="1"/>
    </row>
    <row r="1811" spans="4:339" ht="13" x14ac:dyDescent="0.15">
      <c r="D1811" s="12"/>
      <c r="E1811" s="12"/>
      <c r="I1811" s="12"/>
      <c r="J1811" s="13"/>
      <c r="BF1811" s="1"/>
      <c r="BG1811" s="1"/>
      <c r="BH1811" s="1"/>
      <c r="BI1811" s="1"/>
      <c r="BK1811" s="1"/>
      <c r="BL1811" s="1"/>
      <c r="BM1811" s="1"/>
      <c r="BN1811" s="1"/>
      <c r="BO1811" s="1"/>
      <c r="BP1811" s="1"/>
      <c r="CD1811" s="1"/>
      <c r="CE1811" s="1"/>
      <c r="CF1811" s="1"/>
      <c r="CG1811" s="1"/>
      <c r="CM1811" s="2"/>
      <c r="CP1811" s="1"/>
      <c r="CQ1811" s="1"/>
      <c r="CV1811" s="1"/>
      <c r="CW1811" s="1"/>
      <c r="CX1811" s="1"/>
      <c r="CY1811" s="1"/>
      <c r="CZ1811" s="1"/>
      <c r="DA1811" s="1"/>
      <c r="DB1811" s="1"/>
      <c r="DC1811" s="1"/>
      <c r="DD1811" s="1"/>
      <c r="DE1811" s="1"/>
      <c r="DF1811" s="1"/>
      <c r="DG1811" s="1"/>
      <c r="DH1811" s="1"/>
      <c r="DI1811" s="1"/>
      <c r="DJ1811" s="1"/>
      <c r="DK1811" s="1"/>
      <c r="ED1811" s="1"/>
      <c r="EK1811" s="1"/>
      <c r="EL1811" s="1"/>
      <c r="EM1811" s="1"/>
      <c r="EN1811" s="1"/>
      <c r="EQ1811" s="1"/>
      <c r="ER1811" s="1"/>
      <c r="ES1811" s="1"/>
      <c r="EV1811" s="1"/>
      <c r="EW1811" s="1"/>
      <c r="EZ1811" s="1"/>
      <c r="GO1811" s="1"/>
      <c r="HY1811" s="1"/>
      <c r="IE1811" s="1"/>
      <c r="IS1811" s="1"/>
      <c r="IZ1811" s="1"/>
      <c r="JH1811" s="1"/>
      <c r="JJ1811" s="1"/>
      <c r="JP1811" s="1"/>
      <c r="JQ1811" s="1"/>
      <c r="JU1811" s="1"/>
      <c r="KZ1811" s="1"/>
      <c r="LO1811" s="1"/>
      <c r="LP1811" s="1"/>
      <c r="LZ1811" s="1"/>
      <c r="MA1811" s="1"/>
    </row>
    <row r="1812" spans="4:339" ht="13" x14ac:dyDescent="0.15">
      <c r="D1812" s="12"/>
      <c r="E1812" s="12"/>
      <c r="I1812" s="12"/>
      <c r="J1812" s="13"/>
      <c r="BG1812" s="1"/>
      <c r="BH1812" s="1"/>
      <c r="BI1812" s="1"/>
      <c r="BK1812" s="1"/>
      <c r="BL1812" s="1"/>
      <c r="BM1812" s="1"/>
      <c r="BN1812" s="1"/>
      <c r="BO1812" s="1"/>
      <c r="BP1812" s="1"/>
      <c r="CD1812" s="1"/>
      <c r="CE1812" s="1"/>
      <c r="CF1812" s="1"/>
      <c r="CG1812" s="1"/>
      <c r="CM1812" s="2"/>
      <c r="CP1812" s="1"/>
      <c r="CQ1812" s="1"/>
      <c r="CS1812" s="1"/>
      <c r="CT1812" s="1"/>
      <c r="CU1812" s="1"/>
      <c r="CV1812" s="1"/>
      <c r="CW1812" s="1"/>
      <c r="CX1812" s="1"/>
      <c r="CY1812" s="1"/>
      <c r="CZ1812" s="1"/>
      <c r="DA1812" s="1"/>
      <c r="DB1812" s="1"/>
      <c r="DC1812" s="1"/>
      <c r="DD1812" s="1"/>
      <c r="DE1812" s="1"/>
      <c r="DF1812" s="1"/>
      <c r="DG1812" s="1"/>
      <c r="DH1812" s="1"/>
      <c r="DI1812" s="1"/>
      <c r="DJ1812" s="1"/>
      <c r="DK1812" s="1"/>
      <c r="ED1812" s="1"/>
      <c r="EK1812" s="1"/>
      <c r="EL1812" s="1"/>
      <c r="EM1812" s="1"/>
      <c r="EN1812" s="1"/>
      <c r="EQ1812" s="1"/>
      <c r="ER1812" s="1"/>
      <c r="ES1812" s="1"/>
      <c r="EV1812" s="1"/>
      <c r="EW1812" s="1"/>
      <c r="EZ1812" s="1"/>
      <c r="HY1812" s="1"/>
      <c r="IE1812" s="1"/>
      <c r="IR1812" s="1"/>
      <c r="IS1812" s="1"/>
      <c r="IZ1812" s="1"/>
      <c r="JJ1812" s="1"/>
      <c r="JP1812" s="1"/>
      <c r="JQ1812" s="1"/>
      <c r="KZ1812" s="1"/>
      <c r="LC1812" s="1"/>
      <c r="LD1812" s="1"/>
      <c r="LO1812" s="1"/>
      <c r="LP1812" s="1"/>
      <c r="LZ1812" s="1"/>
      <c r="MA1812" s="1"/>
    </row>
    <row r="1813" spans="4:339" ht="13" x14ac:dyDescent="0.15">
      <c r="D1813" s="12"/>
      <c r="E1813" s="12"/>
      <c r="I1813" s="12"/>
      <c r="J1813" s="13"/>
      <c r="BG1813" s="1"/>
      <c r="BH1813" s="1"/>
      <c r="BI1813" s="1"/>
      <c r="BK1813" s="1"/>
      <c r="BL1813" s="1"/>
      <c r="BM1813" s="1"/>
      <c r="BN1813" s="1"/>
      <c r="BO1813" s="1"/>
      <c r="BP1813" s="1"/>
      <c r="CD1813" s="1"/>
      <c r="CE1813" s="1"/>
      <c r="CF1813" s="1"/>
      <c r="CG1813" s="1"/>
      <c r="CM1813" s="2"/>
      <c r="CP1813" s="1"/>
      <c r="CQ1813" s="1"/>
      <c r="CS1813" s="1"/>
      <c r="CT1813" s="1"/>
      <c r="CU1813" s="1"/>
      <c r="CV1813" s="1"/>
      <c r="CW1813" s="1"/>
      <c r="CX1813" s="1"/>
      <c r="CY1813" s="1"/>
      <c r="CZ1813" s="1"/>
      <c r="DA1813" s="1"/>
      <c r="DB1813" s="1"/>
      <c r="DC1813" s="1"/>
      <c r="DD1813" s="1"/>
      <c r="DE1813" s="1"/>
      <c r="DF1813" s="1"/>
      <c r="DG1813" s="1"/>
      <c r="DH1813" s="1"/>
      <c r="DI1813" s="1"/>
      <c r="DJ1813" s="1"/>
      <c r="DK1813" s="1"/>
      <c r="ED1813" s="1"/>
      <c r="EK1813" s="1"/>
      <c r="EL1813" s="1"/>
      <c r="EM1813" s="1"/>
      <c r="EN1813" s="1"/>
      <c r="EQ1813" s="1"/>
      <c r="ER1813" s="1"/>
      <c r="ES1813" s="1"/>
      <c r="EV1813" s="1"/>
      <c r="EW1813" s="1"/>
      <c r="EZ1813" s="1"/>
      <c r="HY1813" s="1"/>
      <c r="IE1813" s="1"/>
      <c r="IR1813" s="1"/>
      <c r="IS1813" s="1"/>
      <c r="IZ1813" s="1"/>
      <c r="JJ1813" s="1"/>
      <c r="JP1813" s="1"/>
      <c r="JQ1813" s="1"/>
      <c r="KZ1813" s="1"/>
      <c r="LC1813" s="1"/>
      <c r="LD1813" s="1"/>
      <c r="LO1813" s="1"/>
      <c r="LP1813" s="1"/>
      <c r="LZ1813" s="1"/>
      <c r="MA1813" s="1"/>
    </row>
    <row r="1814" spans="4:339" ht="13" x14ac:dyDescent="0.15">
      <c r="D1814" s="12"/>
      <c r="E1814" s="12"/>
      <c r="I1814" s="12"/>
      <c r="J1814" s="13"/>
      <c r="BG1814" s="1"/>
      <c r="BH1814" s="1"/>
      <c r="BI1814" s="1"/>
      <c r="BK1814" s="1"/>
      <c r="BL1814" s="1"/>
      <c r="BM1814" s="1"/>
      <c r="BN1814" s="1"/>
      <c r="BO1814" s="1"/>
      <c r="BP1814" s="1"/>
      <c r="CD1814" s="1"/>
      <c r="CE1814" s="1"/>
      <c r="CF1814" s="1"/>
      <c r="CG1814" s="1"/>
      <c r="CM1814" s="2"/>
      <c r="CP1814" s="1"/>
      <c r="CQ1814" s="1"/>
      <c r="CS1814" s="1"/>
      <c r="CT1814" s="1"/>
      <c r="CU1814" s="1"/>
      <c r="CV1814" s="1"/>
      <c r="CW1814" s="1"/>
      <c r="CX1814" s="1"/>
      <c r="CY1814" s="1"/>
      <c r="CZ1814" s="1"/>
      <c r="DA1814" s="1"/>
      <c r="DB1814" s="1"/>
      <c r="DC1814" s="1"/>
      <c r="DD1814" s="1"/>
      <c r="DE1814" s="1"/>
      <c r="DF1814" s="1"/>
      <c r="DG1814" s="1"/>
      <c r="DH1814" s="1"/>
      <c r="DI1814" s="1"/>
      <c r="DJ1814" s="1"/>
      <c r="DK1814" s="1"/>
      <c r="ED1814" s="1"/>
      <c r="EK1814" s="1"/>
      <c r="EL1814" s="1"/>
      <c r="EM1814" s="1"/>
      <c r="EN1814" s="1"/>
      <c r="EQ1814" s="1"/>
      <c r="ER1814" s="1"/>
      <c r="ES1814" s="1"/>
      <c r="EV1814" s="1"/>
      <c r="EW1814" s="1"/>
      <c r="EZ1814" s="1"/>
      <c r="HY1814" s="1"/>
      <c r="IE1814" s="1"/>
      <c r="IR1814" s="1"/>
      <c r="IS1814" s="1"/>
      <c r="IZ1814" s="1"/>
      <c r="JJ1814" s="1"/>
      <c r="JP1814" s="1"/>
      <c r="JQ1814" s="1"/>
      <c r="KZ1814" s="1"/>
      <c r="LC1814" s="1"/>
      <c r="LD1814" s="1"/>
      <c r="LO1814" s="1"/>
      <c r="LP1814" s="1"/>
      <c r="LZ1814" s="1"/>
      <c r="MA1814" s="1"/>
    </row>
    <row r="1815" spans="4:339" ht="13" x14ac:dyDescent="0.15">
      <c r="D1815" s="12"/>
      <c r="E1815" s="12"/>
      <c r="I1815" s="12"/>
      <c r="J1815" s="13"/>
      <c r="BG1815" s="1"/>
      <c r="BH1815" s="1"/>
      <c r="BI1815" s="1"/>
      <c r="BK1815" s="1"/>
      <c r="BL1815" s="1"/>
      <c r="BM1815" s="1"/>
      <c r="BN1815" s="1"/>
      <c r="BO1815" s="1"/>
      <c r="BP1815" s="1"/>
      <c r="CD1815" s="1"/>
      <c r="CE1815" s="1"/>
      <c r="CF1815" s="1"/>
      <c r="CG1815" s="1"/>
      <c r="CM1815" s="2"/>
      <c r="CP1815" s="1"/>
      <c r="CQ1815" s="1"/>
      <c r="CS1815" s="1"/>
      <c r="CT1815" s="1"/>
      <c r="CU1815" s="1"/>
      <c r="CV1815" s="1"/>
      <c r="CW1815" s="1"/>
      <c r="CX1815" s="1"/>
      <c r="CY1815" s="1"/>
      <c r="CZ1815" s="1"/>
      <c r="DA1815" s="1"/>
      <c r="DB1815" s="1"/>
      <c r="DC1815" s="1"/>
      <c r="DD1815" s="1"/>
      <c r="DE1815" s="1"/>
      <c r="DF1815" s="1"/>
      <c r="DG1815" s="1"/>
      <c r="DH1815" s="1"/>
      <c r="DI1815" s="1"/>
      <c r="DJ1815" s="1"/>
      <c r="DK1815" s="1"/>
      <c r="ED1815" s="1"/>
      <c r="EK1815" s="1"/>
      <c r="EL1815" s="1"/>
      <c r="EM1815" s="1"/>
      <c r="EN1815" s="1"/>
      <c r="EQ1815" s="1"/>
      <c r="ER1815" s="1"/>
      <c r="ES1815" s="1"/>
      <c r="EV1815" s="1"/>
      <c r="EW1815" s="1"/>
      <c r="EZ1815" s="1"/>
      <c r="HY1815" s="1"/>
      <c r="IE1815" s="1"/>
      <c r="IR1815" s="1"/>
      <c r="IS1815" s="1"/>
      <c r="IZ1815" s="1"/>
      <c r="JJ1815" s="1"/>
      <c r="JP1815" s="1"/>
      <c r="JQ1815" s="1"/>
      <c r="KZ1815" s="1"/>
      <c r="LC1815" s="1"/>
      <c r="LD1815" s="1"/>
      <c r="LO1815" s="1"/>
      <c r="LP1815" s="1"/>
      <c r="LZ1815" s="1"/>
      <c r="MA1815" s="1"/>
    </row>
    <row r="1816" spans="4:339" ht="13" x14ac:dyDescent="0.15">
      <c r="D1816" s="12"/>
      <c r="E1816" s="12"/>
      <c r="I1816" s="12"/>
      <c r="J1816" s="13"/>
      <c r="BG1816" s="1"/>
      <c r="BH1816" s="1"/>
      <c r="BI1816" s="1"/>
      <c r="BK1816" s="1"/>
      <c r="BL1816" s="1"/>
      <c r="BM1816" s="1"/>
      <c r="BN1816" s="1"/>
      <c r="BO1816" s="1"/>
      <c r="BP1816" s="1"/>
      <c r="CD1816" s="1"/>
      <c r="CE1816" s="1"/>
      <c r="CF1816" s="1"/>
      <c r="CG1816" s="1"/>
      <c r="CM1816" s="2"/>
      <c r="CP1816" s="1"/>
      <c r="CQ1816" s="1"/>
      <c r="CS1816" s="1"/>
      <c r="CT1816" s="1"/>
      <c r="CU1816" s="1"/>
      <c r="CV1816" s="1"/>
      <c r="CW1816" s="1"/>
      <c r="CX1816" s="1"/>
      <c r="CY1816" s="1"/>
      <c r="CZ1816" s="1"/>
      <c r="DA1816" s="1"/>
      <c r="DB1816" s="1"/>
      <c r="DC1816" s="1"/>
      <c r="DD1816" s="1"/>
      <c r="DE1816" s="1"/>
      <c r="DF1816" s="1"/>
      <c r="DG1816" s="1"/>
      <c r="DH1816" s="1"/>
      <c r="DI1816" s="1"/>
      <c r="DJ1816" s="1"/>
      <c r="DK1816" s="1"/>
      <c r="ED1816" s="1"/>
      <c r="EK1816" s="1"/>
      <c r="EL1816" s="1"/>
      <c r="EM1816" s="1"/>
      <c r="EN1816" s="1"/>
      <c r="EQ1816" s="1"/>
      <c r="ER1816" s="1"/>
      <c r="ES1816" s="1"/>
      <c r="EV1816" s="1"/>
      <c r="EW1816" s="1"/>
      <c r="EZ1816" s="1"/>
      <c r="HY1816" s="1"/>
      <c r="IE1816" s="1"/>
      <c r="IR1816" s="1"/>
      <c r="IS1816" s="1"/>
      <c r="IZ1816" s="1"/>
      <c r="JJ1816" s="1"/>
      <c r="JP1816" s="1"/>
      <c r="JQ1816" s="1"/>
      <c r="KZ1816" s="1"/>
      <c r="LC1816" s="1"/>
      <c r="LD1816" s="1"/>
      <c r="LO1816" s="1"/>
      <c r="LP1816" s="1"/>
      <c r="LZ1816" s="1"/>
      <c r="MA1816" s="1"/>
    </row>
    <row r="1817" spans="4:339" ht="13" x14ac:dyDescent="0.15">
      <c r="D1817" s="12"/>
      <c r="E1817" s="12"/>
      <c r="I1817" s="12"/>
      <c r="J1817" s="13"/>
      <c r="BG1817" s="1"/>
      <c r="BH1817" s="1"/>
      <c r="BI1817" s="1"/>
      <c r="BK1817" s="1"/>
      <c r="BL1817" s="1"/>
      <c r="BM1817" s="1"/>
      <c r="BN1817" s="1"/>
      <c r="BO1817" s="1"/>
      <c r="BP1817" s="1"/>
      <c r="CD1817" s="1"/>
      <c r="CE1817" s="1"/>
      <c r="CF1817" s="1"/>
      <c r="CG1817" s="1"/>
      <c r="CM1817" s="2"/>
      <c r="CP1817" s="1"/>
      <c r="CQ1817" s="1"/>
      <c r="CS1817" s="1"/>
      <c r="CT1817" s="1"/>
      <c r="CU1817" s="1"/>
      <c r="CV1817" s="1"/>
      <c r="CW1817" s="1"/>
      <c r="CX1817" s="1"/>
      <c r="CY1817" s="1"/>
      <c r="CZ1817" s="1"/>
      <c r="DA1817" s="1"/>
      <c r="DB1817" s="1"/>
      <c r="DC1817" s="1"/>
      <c r="DD1817" s="1"/>
      <c r="DE1817" s="1"/>
      <c r="DF1817" s="1"/>
      <c r="DG1817" s="1"/>
      <c r="DH1817" s="1"/>
      <c r="DI1817" s="1"/>
      <c r="DJ1817" s="1"/>
      <c r="DK1817" s="1"/>
      <c r="ED1817" s="1"/>
      <c r="EK1817" s="1"/>
      <c r="EL1817" s="1"/>
      <c r="EM1817" s="1"/>
      <c r="EN1817" s="1"/>
      <c r="EQ1817" s="1"/>
      <c r="ER1817" s="1"/>
      <c r="ES1817" s="1"/>
      <c r="EV1817" s="1"/>
      <c r="EW1817" s="1"/>
      <c r="EZ1817" s="1"/>
      <c r="HY1817" s="1"/>
      <c r="IE1817" s="1"/>
      <c r="IR1817" s="1"/>
      <c r="IS1817" s="1"/>
      <c r="IZ1817" s="1"/>
      <c r="JJ1817" s="1"/>
      <c r="JP1817" s="1"/>
      <c r="JQ1817" s="1"/>
      <c r="KZ1817" s="1"/>
      <c r="LC1817" s="1"/>
      <c r="LD1817" s="1"/>
      <c r="LO1817" s="1"/>
      <c r="LP1817" s="1"/>
      <c r="LZ1817" s="1"/>
      <c r="MA1817" s="1"/>
    </row>
    <row r="1818" spans="4:339" ht="13" x14ac:dyDescent="0.15">
      <c r="D1818" s="12"/>
      <c r="E1818" s="12"/>
      <c r="I1818" s="12"/>
      <c r="J1818" s="13"/>
      <c r="BG1818" s="1"/>
      <c r="BH1818" s="1"/>
      <c r="BI1818" s="1"/>
      <c r="BK1818" s="1"/>
      <c r="BL1818" s="1"/>
      <c r="BM1818" s="1"/>
      <c r="BN1818" s="1"/>
      <c r="BO1818" s="1"/>
      <c r="BP1818" s="1"/>
      <c r="CD1818" s="1"/>
      <c r="CE1818" s="1"/>
      <c r="CF1818" s="1"/>
      <c r="CG1818" s="1"/>
      <c r="CM1818" s="2"/>
      <c r="CP1818" s="1"/>
      <c r="CQ1818" s="1"/>
      <c r="CS1818" s="1"/>
      <c r="CT1818" s="1"/>
      <c r="CU1818" s="1"/>
      <c r="CV1818" s="1"/>
      <c r="CW1818" s="1"/>
      <c r="CX1818" s="1"/>
      <c r="CY1818" s="1"/>
      <c r="CZ1818" s="1"/>
      <c r="DA1818" s="1"/>
      <c r="DB1818" s="1"/>
      <c r="DC1818" s="1"/>
      <c r="DD1818" s="1"/>
      <c r="DE1818" s="1"/>
      <c r="DF1818" s="1"/>
      <c r="DG1818" s="1"/>
      <c r="DH1818" s="1"/>
      <c r="DI1818" s="1"/>
      <c r="DJ1818" s="1"/>
      <c r="DK1818" s="1"/>
      <c r="ED1818" s="1"/>
      <c r="EK1818" s="1"/>
      <c r="EL1818" s="1"/>
      <c r="EM1818" s="1"/>
      <c r="EN1818" s="1"/>
      <c r="EQ1818" s="1"/>
      <c r="ER1818" s="1"/>
      <c r="ES1818" s="1"/>
      <c r="EV1818" s="1"/>
      <c r="EW1818" s="1"/>
      <c r="EZ1818" s="1"/>
      <c r="HY1818" s="1"/>
      <c r="IE1818" s="1"/>
      <c r="IR1818" s="1"/>
      <c r="IS1818" s="1"/>
      <c r="IZ1818" s="1"/>
      <c r="JJ1818" s="1"/>
      <c r="JP1818" s="1"/>
      <c r="JQ1818" s="1"/>
      <c r="KZ1818" s="1"/>
      <c r="LC1818" s="1"/>
      <c r="LD1818" s="1"/>
      <c r="LO1818" s="1"/>
      <c r="LP1818" s="1"/>
      <c r="LZ1818" s="1"/>
      <c r="MA1818" s="1"/>
    </row>
    <row r="1819" spans="4:339" ht="13" x14ac:dyDescent="0.15">
      <c r="D1819" s="12"/>
      <c r="E1819" s="12"/>
      <c r="I1819" s="12"/>
      <c r="J1819" s="13"/>
      <c r="BG1819" s="1"/>
      <c r="BH1819" s="1"/>
      <c r="BI1819" s="1"/>
      <c r="BK1819" s="1"/>
      <c r="BL1819" s="1"/>
      <c r="BM1819" s="1"/>
      <c r="BN1819" s="1"/>
      <c r="BO1819" s="1"/>
      <c r="BP1819" s="1"/>
      <c r="CD1819" s="1"/>
      <c r="CE1819" s="1"/>
      <c r="CF1819" s="1"/>
      <c r="CG1819" s="1"/>
      <c r="CM1819" s="2"/>
      <c r="CP1819" s="1"/>
      <c r="CQ1819" s="1"/>
      <c r="CS1819" s="1"/>
      <c r="CT1819" s="1"/>
      <c r="CU1819" s="1"/>
      <c r="CV1819" s="1"/>
      <c r="CW1819" s="1"/>
      <c r="CX1819" s="1"/>
      <c r="CY1819" s="1"/>
      <c r="CZ1819" s="1"/>
      <c r="DA1819" s="1"/>
      <c r="DB1819" s="1"/>
      <c r="DC1819" s="1"/>
      <c r="DD1819" s="1"/>
      <c r="DE1819" s="1"/>
      <c r="DF1819" s="1"/>
      <c r="DG1819" s="1"/>
      <c r="DH1819" s="1"/>
      <c r="DI1819" s="1"/>
      <c r="DJ1819" s="1"/>
      <c r="DK1819" s="1"/>
      <c r="ED1819" s="1"/>
      <c r="EK1819" s="1"/>
      <c r="EL1819" s="1"/>
      <c r="EM1819" s="1"/>
      <c r="EN1819" s="1"/>
      <c r="EQ1819" s="1"/>
      <c r="ER1819" s="1"/>
      <c r="ES1819" s="1"/>
      <c r="EV1819" s="1"/>
      <c r="EW1819" s="1"/>
      <c r="EZ1819" s="1"/>
      <c r="HY1819" s="1"/>
      <c r="IE1819" s="1"/>
      <c r="IR1819" s="1"/>
      <c r="IS1819" s="1"/>
      <c r="IZ1819" s="1"/>
      <c r="JJ1819" s="1"/>
      <c r="JP1819" s="1"/>
      <c r="JQ1819" s="1"/>
      <c r="KZ1819" s="1"/>
      <c r="LC1819" s="1"/>
      <c r="LD1819" s="1"/>
      <c r="LO1819" s="1"/>
      <c r="LP1819" s="1"/>
      <c r="LZ1819" s="1"/>
      <c r="MA1819" s="1"/>
    </row>
    <row r="1820" spans="4:339" ht="13" x14ac:dyDescent="0.15">
      <c r="D1820" s="12"/>
      <c r="E1820" s="12"/>
      <c r="I1820" s="12"/>
      <c r="J1820" s="13"/>
      <c r="BG1820" s="1"/>
      <c r="BH1820" s="1"/>
      <c r="BI1820" s="1"/>
      <c r="BK1820" s="1"/>
      <c r="BL1820" s="1"/>
      <c r="BM1820" s="1"/>
      <c r="BN1820" s="1"/>
      <c r="BO1820" s="1"/>
      <c r="BP1820" s="1"/>
      <c r="CD1820" s="1"/>
      <c r="CE1820" s="1"/>
      <c r="CF1820" s="1"/>
      <c r="CG1820" s="1"/>
      <c r="CM1820" s="2"/>
      <c r="CP1820" s="1"/>
      <c r="CQ1820" s="1"/>
      <c r="CS1820" s="1"/>
      <c r="CT1820" s="1"/>
      <c r="CU1820" s="1"/>
      <c r="CV1820" s="1"/>
      <c r="CW1820" s="1"/>
      <c r="CX1820" s="1"/>
      <c r="CY1820" s="1"/>
      <c r="CZ1820" s="1"/>
      <c r="DA1820" s="1"/>
      <c r="DB1820" s="1"/>
      <c r="DC1820" s="1"/>
      <c r="DD1820" s="1"/>
      <c r="DE1820" s="1"/>
      <c r="DF1820" s="1"/>
      <c r="DG1820" s="1"/>
      <c r="DH1820" s="1"/>
      <c r="DI1820" s="1"/>
      <c r="DJ1820" s="1"/>
      <c r="DK1820" s="1"/>
      <c r="ED1820" s="1"/>
      <c r="EK1820" s="1"/>
      <c r="EL1820" s="1"/>
      <c r="EM1820" s="1"/>
      <c r="EN1820" s="1"/>
      <c r="EQ1820" s="1"/>
      <c r="ER1820" s="1"/>
      <c r="ES1820" s="1"/>
      <c r="EV1820" s="1"/>
      <c r="EW1820" s="1"/>
      <c r="EZ1820" s="1"/>
      <c r="HY1820" s="1"/>
      <c r="IE1820" s="1"/>
      <c r="IR1820" s="1"/>
      <c r="IS1820" s="1"/>
      <c r="IZ1820" s="1"/>
      <c r="JJ1820" s="1"/>
      <c r="JP1820" s="1"/>
      <c r="JQ1820" s="1"/>
      <c r="KZ1820" s="1"/>
      <c r="LC1820" s="1"/>
      <c r="LD1820" s="1"/>
      <c r="LO1820" s="1"/>
      <c r="LP1820" s="1"/>
      <c r="LZ1820" s="1"/>
      <c r="MA1820" s="1"/>
    </row>
    <row r="1821" spans="4:339" ht="13" x14ac:dyDescent="0.15">
      <c r="D1821" s="12"/>
      <c r="E1821" s="12"/>
      <c r="I1821" s="12"/>
      <c r="J1821" s="13"/>
      <c r="BG1821" s="1"/>
      <c r="BH1821" s="1"/>
      <c r="BI1821" s="1"/>
      <c r="BK1821" s="1"/>
      <c r="BL1821" s="1"/>
      <c r="BM1821" s="1"/>
      <c r="BN1821" s="1"/>
      <c r="BO1821" s="1"/>
      <c r="BP1821" s="1"/>
      <c r="CD1821" s="1"/>
      <c r="CE1821" s="1"/>
      <c r="CF1821" s="1"/>
      <c r="CG1821" s="1"/>
      <c r="CM1821" s="2"/>
      <c r="CP1821" s="1"/>
      <c r="CQ1821" s="1"/>
      <c r="CS1821" s="1"/>
      <c r="CT1821" s="1"/>
      <c r="CU1821" s="1"/>
      <c r="CV1821" s="1"/>
      <c r="CW1821" s="1"/>
      <c r="CX1821" s="1"/>
      <c r="CY1821" s="1"/>
      <c r="CZ1821" s="1"/>
      <c r="DA1821" s="1"/>
      <c r="DB1821" s="1"/>
      <c r="DC1821" s="1"/>
      <c r="DD1821" s="1"/>
      <c r="DE1821" s="1"/>
      <c r="DF1821" s="1"/>
      <c r="DG1821" s="1"/>
      <c r="DH1821" s="1"/>
      <c r="DI1821" s="1"/>
      <c r="DJ1821" s="1"/>
      <c r="DK1821" s="1"/>
      <c r="ED1821" s="1"/>
      <c r="EK1821" s="1"/>
      <c r="EL1821" s="1"/>
      <c r="EM1821" s="1"/>
      <c r="EN1821" s="1"/>
      <c r="EQ1821" s="1"/>
      <c r="ER1821" s="1"/>
      <c r="ES1821" s="1"/>
      <c r="EV1821" s="1"/>
      <c r="EW1821" s="1"/>
      <c r="EZ1821" s="1"/>
      <c r="HY1821" s="1"/>
      <c r="IE1821" s="1"/>
      <c r="IR1821" s="1"/>
      <c r="IS1821" s="1"/>
      <c r="IZ1821" s="1"/>
      <c r="JJ1821" s="1"/>
      <c r="JP1821" s="1"/>
      <c r="JQ1821" s="1"/>
      <c r="KZ1821" s="1"/>
      <c r="LC1821" s="1"/>
      <c r="LD1821" s="1"/>
      <c r="LO1821" s="1"/>
      <c r="LP1821" s="1"/>
      <c r="LZ1821" s="1"/>
      <c r="MA1821" s="1"/>
    </row>
    <row r="1822" spans="4:339" ht="13" x14ac:dyDescent="0.15">
      <c r="D1822" s="12"/>
      <c r="E1822" s="12"/>
      <c r="I1822" s="12"/>
      <c r="J1822" s="13"/>
      <c r="BG1822" s="1"/>
      <c r="BH1822" s="1"/>
      <c r="BI1822" s="1"/>
      <c r="BK1822" s="1"/>
      <c r="BL1822" s="1"/>
      <c r="BM1822" s="1"/>
      <c r="BN1822" s="1"/>
      <c r="BO1822" s="1"/>
      <c r="BP1822" s="1"/>
      <c r="CD1822" s="1"/>
      <c r="CE1822" s="1"/>
      <c r="CF1822" s="1"/>
      <c r="CG1822" s="1"/>
      <c r="CM1822" s="2"/>
      <c r="CP1822" s="1"/>
      <c r="CQ1822" s="1"/>
      <c r="CS1822" s="1"/>
      <c r="CT1822" s="1"/>
      <c r="CU1822" s="1"/>
      <c r="CV1822" s="1"/>
      <c r="CW1822" s="1"/>
      <c r="CX1822" s="1"/>
      <c r="CY1822" s="1"/>
      <c r="CZ1822" s="1"/>
      <c r="DA1822" s="1"/>
      <c r="DB1822" s="1"/>
      <c r="DC1822" s="1"/>
      <c r="DD1822" s="1"/>
      <c r="DE1822" s="1"/>
      <c r="DF1822" s="1"/>
      <c r="DG1822" s="1"/>
      <c r="DH1822" s="1"/>
      <c r="DI1822" s="1"/>
      <c r="DJ1822" s="1"/>
      <c r="DK1822" s="1"/>
      <c r="ED1822" s="1"/>
      <c r="EK1822" s="1"/>
      <c r="EL1822" s="1"/>
      <c r="EM1822" s="1"/>
      <c r="EN1822" s="1"/>
      <c r="EQ1822" s="1"/>
      <c r="ER1822" s="1"/>
      <c r="ES1822" s="1"/>
      <c r="EV1822" s="1"/>
      <c r="EW1822" s="1"/>
      <c r="EZ1822" s="1"/>
      <c r="HY1822" s="1"/>
      <c r="IE1822" s="1"/>
      <c r="IR1822" s="1"/>
      <c r="IS1822" s="1"/>
      <c r="IZ1822" s="1"/>
      <c r="JJ1822" s="1"/>
      <c r="JP1822" s="1"/>
      <c r="JQ1822" s="1"/>
      <c r="KZ1822" s="1"/>
      <c r="LC1822" s="1"/>
      <c r="LD1822" s="1"/>
      <c r="LO1822" s="1"/>
      <c r="LP1822" s="1"/>
      <c r="LZ1822" s="1"/>
      <c r="MA1822" s="1"/>
    </row>
    <row r="1823" spans="4:339" ht="13" x14ac:dyDescent="0.15">
      <c r="D1823" s="12"/>
      <c r="E1823" s="12"/>
      <c r="I1823" s="12"/>
      <c r="J1823" s="13"/>
      <c r="BG1823" s="1"/>
      <c r="BH1823" s="1"/>
      <c r="BI1823" s="1"/>
      <c r="BK1823" s="1"/>
      <c r="BL1823" s="1"/>
      <c r="BM1823" s="1"/>
      <c r="BN1823" s="1"/>
      <c r="BO1823" s="1"/>
      <c r="BP1823" s="1"/>
      <c r="CD1823" s="1"/>
      <c r="CE1823" s="1"/>
      <c r="CF1823" s="1"/>
      <c r="CG1823" s="1"/>
      <c r="CM1823" s="2"/>
      <c r="CP1823" s="1"/>
      <c r="CQ1823" s="1"/>
      <c r="CS1823" s="1"/>
      <c r="CT1823" s="1"/>
      <c r="CU1823" s="1"/>
      <c r="CV1823" s="1"/>
      <c r="CW1823" s="1"/>
      <c r="CX1823" s="1"/>
      <c r="CY1823" s="1"/>
      <c r="CZ1823" s="1"/>
      <c r="DA1823" s="1"/>
      <c r="DB1823" s="1"/>
      <c r="DC1823" s="1"/>
      <c r="DD1823" s="1"/>
      <c r="DE1823" s="1"/>
      <c r="DF1823" s="1"/>
      <c r="DG1823" s="1"/>
      <c r="DH1823" s="1"/>
      <c r="DI1823" s="1"/>
      <c r="DJ1823" s="1"/>
      <c r="DK1823" s="1"/>
      <c r="ED1823" s="1"/>
      <c r="EK1823" s="1"/>
      <c r="EL1823" s="1"/>
      <c r="EM1823" s="1"/>
      <c r="EN1823" s="1"/>
      <c r="EQ1823" s="1"/>
      <c r="ER1823" s="1"/>
      <c r="ES1823" s="1"/>
      <c r="EV1823" s="1"/>
      <c r="EW1823" s="1"/>
      <c r="EZ1823" s="1"/>
      <c r="HY1823" s="1"/>
      <c r="IE1823" s="1"/>
      <c r="IR1823" s="1"/>
      <c r="IS1823" s="1"/>
      <c r="IZ1823" s="1"/>
      <c r="JJ1823" s="1"/>
      <c r="JP1823" s="1"/>
      <c r="JQ1823" s="1"/>
      <c r="KZ1823" s="1"/>
      <c r="LC1823" s="1"/>
      <c r="LD1823" s="1"/>
      <c r="LO1823" s="1"/>
      <c r="LP1823" s="1"/>
      <c r="LZ1823" s="1"/>
      <c r="MA1823" s="1"/>
    </row>
    <row r="1824" spans="4:339" ht="13" x14ac:dyDescent="0.15">
      <c r="D1824" s="12"/>
      <c r="E1824" s="12"/>
      <c r="I1824" s="12"/>
      <c r="J1824" s="13"/>
      <c r="BG1824" s="1"/>
      <c r="BH1824" s="1"/>
      <c r="BI1824" s="1"/>
      <c r="BK1824" s="1"/>
      <c r="BL1824" s="1"/>
      <c r="BM1824" s="1"/>
      <c r="BN1824" s="1"/>
      <c r="BO1824" s="1"/>
      <c r="BP1824" s="1"/>
      <c r="CD1824" s="1"/>
      <c r="CE1824" s="1"/>
      <c r="CF1824" s="1"/>
      <c r="CG1824" s="1"/>
      <c r="CM1824" s="2"/>
      <c r="CP1824" s="1"/>
      <c r="CQ1824" s="1"/>
      <c r="CS1824" s="1"/>
      <c r="CT1824" s="1"/>
      <c r="CU1824" s="1"/>
      <c r="CV1824" s="1"/>
      <c r="CW1824" s="1"/>
      <c r="CX1824" s="1"/>
      <c r="CY1824" s="1"/>
      <c r="CZ1824" s="1"/>
      <c r="DA1824" s="1"/>
      <c r="DB1824" s="1"/>
      <c r="DC1824" s="1"/>
      <c r="DD1824" s="1"/>
      <c r="DE1824" s="1"/>
      <c r="DF1824" s="1"/>
      <c r="DG1824" s="1"/>
      <c r="DH1824" s="1"/>
      <c r="DI1824" s="1"/>
      <c r="DJ1824" s="1"/>
      <c r="DK1824" s="1"/>
      <c r="ED1824" s="1"/>
      <c r="EK1824" s="1"/>
      <c r="EL1824" s="1"/>
      <c r="EM1824" s="1"/>
      <c r="EN1824" s="1"/>
      <c r="EQ1824" s="1"/>
      <c r="ER1824" s="1"/>
      <c r="ES1824" s="1"/>
      <c r="EV1824" s="1"/>
      <c r="EW1824" s="1"/>
      <c r="EZ1824" s="1"/>
      <c r="HY1824" s="1"/>
      <c r="IE1824" s="1"/>
      <c r="IR1824" s="1"/>
      <c r="IS1824" s="1"/>
      <c r="IZ1824" s="1"/>
      <c r="JJ1824" s="1"/>
      <c r="JP1824" s="1"/>
      <c r="JQ1824" s="1"/>
      <c r="KZ1824" s="1"/>
      <c r="LC1824" s="1"/>
      <c r="LD1824" s="1"/>
      <c r="LO1824" s="1"/>
      <c r="LP1824" s="1"/>
      <c r="LZ1824" s="1"/>
      <c r="MA1824" s="1"/>
    </row>
    <row r="1825" spans="4:339" ht="13" x14ac:dyDescent="0.15">
      <c r="D1825" s="12"/>
      <c r="E1825" s="12"/>
      <c r="I1825" s="12"/>
      <c r="J1825" s="13"/>
      <c r="BF1825" s="1"/>
      <c r="BG1825" s="1"/>
      <c r="BH1825" s="1"/>
      <c r="BI1825" s="1"/>
      <c r="BJ1825" s="1"/>
      <c r="BK1825" s="1"/>
      <c r="BL1825" s="1"/>
      <c r="BM1825" s="1"/>
      <c r="BN1825" s="1"/>
      <c r="BO1825" s="1"/>
      <c r="BP1825" s="1"/>
      <c r="CD1825" s="1"/>
      <c r="CE1825" s="1"/>
      <c r="CF1825" s="1"/>
      <c r="CG1825" s="1"/>
      <c r="CM1825" s="2"/>
      <c r="CP1825" s="1"/>
      <c r="CQ1825" s="1"/>
      <c r="CR1825" s="1"/>
      <c r="CS1825" s="1"/>
      <c r="CT1825" s="1"/>
      <c r="CU1825" s="1"/>
      <c r="CV1825" s="1"/>
      <c r="CW1825" s="1"/>
      <c r="CX1825" s="1"/>
      <c r="CY1825" s="1"/>
      <c r="CZ1825" s="1"/>
      <c r="DA1825" s="1"/>
      <c r="DB1825" s="1"/>
      <c r="DC1825" s="1"/>
      <c r="DD1825" s="1"/>
      <c r="DE1825" s="1"/>
      <c r="DF1825" s="1"/>
      <c r="DG1825" s="1"/>
      <c r="DH1825" s="1"/>
      <c r="DI1825" s="1"/>
      <c r="DJ1825" s="1"/>
      <c r="DK1825" s="1"/>
      <c r="DL1825" s="1"/>
      <c r="DM1825" s="1"/>
      <c r="DQ1825" s="1"/>
      <c r="DR1825" s="1"/>
      <c r="DY1825" s="1"/>
      <c r="DZ1825" s="1"/>
      <c r="ED1825" s="1"/>
      <c r="EE1825" s="1"/>
      <c r="EF1825" s="1"/>
      <c r="EG1825" s="1"/>
      <c r="EH1825" s="1"/>
      <c r="EK1825" s="1"/>
      <c r="EL1825" s="1"/>
      <c r="EM1825" s="1"/>
      <c r="EN1825" s="1"/>
      <c r="EQ1825" s="1"/>
      <c r="ER1825" s="1"/>
      <c r="ES1825" s="1"/>
      <c r="EV1825" s="1"/>
      <c r="EW1825" s="1"/>
      <c r="EY1825" s="1"/>
      <c r="EZ1825" s="1"/>
      <c r="HY1825" s="1"/>
      <c r="IE1825" s="1"/>
      <c r="IF1825" s="1"/>
      <c r="IG1825" s="1"/>
      <c r="IJ1825" s="1"/>
      <c r="IR1825" s="1"/>
      <c r="IS1825" s="1"/>
      <c r="IZ1825" s="1"/>
      <c r="JG1825" s="1"/>
      <c r="JH1825" s="1"/>
      <c r="JJ1825" s="1"/>
      <c r="JK1825" s="1"/>
      <c r="JL1825" s="3"/>
      <c r="JM1825" s="1"/>
      <c r="JP1825" s="1"/>
      <c r="JQ1825" s="1"/>
      <c r="JR1825" s="1"/>
      <c r="KY1825" s="1"/>
      <c r="KZ1825" s="1"/>
      <c r="LA1825" s="1"/>
      <c r="LB1825" s="1"/>
      <c r="LC1825" s="1"/>
      <c r="LD1825" s="1"/>
      <c r="LO1825" s="1"/>
      <c r="LP1825" s="1"/>
      <c r="LZ1825" s="1"/>
      <c r="MA1825" s="1"/>
    </row>
    <row r="1826" spans="4:339" ht="13" x14ac:dyDescent="0.15">
      <c r="D1826" s="12"/>
      <c r="E1826" s="12"/>
      <c r="I1826" s="12"/>
      <c r="J1826" s="13"/>
      <c r="BF1826" s="1"/>
      <c r="BG1826" s="1"/>
      <c r="BH1826" s="1"/>
      <c r="BI1826" s="1"/>
      <c r="BK1826" s="1"/>
      <c r="BL1826" s="1"/>
      <c r="BM1826" s="1"/>
      <c r="BN1826" s="1"/>
      <c r="BO1826" s="1"/>
      <c r="BP1826" s="1"/>
      <c r="CD1826" s="1"/>
      <c r="CE1826" s="1"/>
      <c r="CF1826" s="1"/>
      <c r="CG1826" s="1"/>
      <c r="CM1826" s="2"/>
      <c r="CP1826" s="1"/>
      <c r="CQ1826" s="1"/>
      <c r="CR1826" s="1"/>
      <c r="CS1826" s="1"/>
      <c r="CT1826" s="1"/>
      <c r="CU1826" s="1"/>
      <c r="CV1826" s="1"/>
      <c r="CW1826" s="1"/>
      <c r="CX1826" s="1"/>
      <c r="CY1826" s="1"/>
      <c r="CZ1826" s="1"/>
      <c r="DA1826" s="1"/>
      <c r="DB1826" s="1"/>
      <c r="DC1826" s="1"/>
      <c r="DD1826" s="1"/>
      <c r="DE1826" s="1"/>
      <c r="DF1826" s="1"/>
      <c r="DG1826" s="1"/>
      <c r="DH1826" s="1"/>
      <c r="DI1826" s="1"/>
      <c r="DJ1826" s="1"/>
      <c r="DK1826" s="1"/>
      <c r="ED1826" s="1"/>
      <c r="EK1826" s="1"/>
      <c r="EL1826" s="1"/>
      <c r="EM1826" s="1"/>
      <c r="EN1826" s="1"/>
      <c r="EQ1826" s="1"/>
      <c r="ER1826" s="1"/>
      <c r="ES1826" s="1"/>
      <c r="EV1826" s="1"/>
      <c r="EW1826" s="1"/>
      <c r="EZ1826" s="1"/>
      <c r="GO1826" s="1"/>
      <c r="GP1826" s="1"/>
      <c r="HY1826" s="1"/>
      <c r="IE1826" s="1"/>
      <c r="IS1826" s="1"/>
      <c r="IY1826" s="1"/>
      <c r="IZ1826" s="1"/>
      <c r="JF1826" s="1"/>
      <c r="JG1826" s="1"/>
      <c r="JH1826" s="1"/>
      <c r="JJ1826" s="1"/>
      <c r="JN1826" s="1"/>
      <c r="JP1826" s="1"/>
      <c r="JQ1826" s="1"/>
      <c r="KY1826" s="1"/>
      <c r="KZ1826" s="1"/>
      <c r="LA1826" s="1"/>
      <c r="LB1826" s="1"/>
      <c r="LC1826" s="1"/>
      <c r="LD1826" s="1"/>
      <c r="LO1826" s="1"/>
      <c r="LP1826" s="1"/>
      <c r="LZ1826" s="1"/>
      <c r="MA1826" s="1"/>
    </row>
    <row r="1827" spans="4:339" ht="13" x14ac:dyDescent="0.15">
      <c r="D1827" s="12"/>
      <c r="E1827" s="12"/>
      <c r="I1827" s="12"/>
      <c r="J1827" s="13"/>
      <c r="BF1827" s="1"/>
      <c r="BG1827" s="1"/>
      <c r="BH1827" s="1"/>
      <c r="BI1827" s="1"/>
      <c r="BK1827" s="1"/>
      <c r="BL1827" s="1"/>
      <c r="BM1827" s="1"/>
      <c r="BN1827" s="1"/>
      <c r="BO1827" s="1"/>
      <c r="BP1827" s="1"/>
      <c r="CD1827" s="1"/>
      <c r="CE1827" s="1"/>
      <c r="CF1827" s="1"/>
      <c r="CG1827" s="1"/>
      <c r="CM1827" s="2"/>
      <c r="CP1827" s="1"/>
      <c r="CQ1827" s="1"/>
      <c r="CR1827" s="1"/>
      <c r="CS1827" s="1"/>
      <c r="CT1827" s="1"/>
      <c r="CU1827" s="1"/>
      <c r="CV1827" s="1"/>
      <c r="CW1827" s="1"/>
      <c r="CX1827" s="1"/>
      <c r="CY1827" s="1"/>
      <c r="CZ1827" s="1"/>
      <c r="DA1827" s="1"/>
      <c r="DB1827" s="1"/>
      <c r="DC1827" s="1"/>
      <c r="DD1827" s="1"/>
      <c r="DE1827" s="1"/>
      <c r="DF1827" s="1"/>
      <c r="DG1827" s="1"/>
      <c r="DH1827" s="1"/>
      <c r="DI1827" s="1"/>
      <c r="DJ1827" s="1"/>
      <c r="DK1827" s="1"/>
      <c r="ED1827" s="1"/>
      <c r="EK1827" s="1"/>
      <c r="EL1827" s="1"/>
      <c r="EM1827" s="1"/>
      <c r="EN1827" s="1"/>
      <c r="EQ1827" s="1"/>
      <c r="ER1827" s="1"/>
      <c r="ES1827" s="1"/>
      <c r="EV1827" s="1"/>
      <c r="EW1827" s="1"/>
      <c r="EZ1827" s="1"/>
      <c r="GO1827" s="1"/>
      <c r="GP1827" s="1"/>
      <c r="HY1827" s="1"/>
      <c r="IE1827" s="1"/>
      <c r="IS1827" s="1"/>
      <c r="IY1827" s="1"/>
      <c r="IZ1827" s="1"/>
      <c r="JF1827" s="1"/>
      <c r="JG1827" s="1"/>
      <c r="JH1827" s="1"/>
      <c r="JJ1827" s="1"/>
      <c r="JN1827" s="1"/>
      <c r="JP1827" s="1"/>
      <c r="JQ1827" s="1"/>
      <c r="KY1827" s="1"/>
      <c r="KZ1827" s="1"/>
      <c r="LA1827" s="1"/>
      <c r="LB1827" s="1"/>
      <c r="LC1827" s="1"/>
      <c r="LD1827" s="1"/>
      <c r="LO1827" s="1"/>
      <c r="LP1827" s="1"/>
      <c r="LZ1827" s="1"/>
      <c r="MA1827" s="1"/>
    </row>
    <row r="1828" spans="4:339" ht="13" x14ac:dyDescent="0.15">
      <c r="D1828" s="12"/>
      <c r="E1828" s="12"/>
      <c r="I1828" s="12"/>
      <c r="J1828" s="13"/>
      <c r="BF1828" s="1"/>
      <c r="BG1828" s="1"/>
      <c r="BH1828" s="1"/>
      <c r="BI1828" s="1"/>
      <c r="BJ1828" s="1"/>
      <c r="BK1828" s="1"/>
      <c r="BL1828" s="1"/>
      <c r="BM1828" s="1"/>
      <c r="BN1828" s="1"/>
      <c r="BO1828" s="1"/>
      <c r="CD1828" s="1"/>
      <c r="CM1828" s="2"/>
      <c r="ED1828" s="1"/>
      <c r="EL1828" s="1"/>
      <c r="EM1828" s="1"/>
      <c r="EN1828" s="1"/>
      <c r="EQ1828" s="1"/>
      <c r="ER1828" s="1"/>
      <c r="ES1828" s="1"/>
      <c r="EV1828" s="1"/>
      <c r="EW1828" s="1"/>
      <c r="EZ1828" s="1"/>
      <c r="HY1828" s="1"/>
      <c r="IS1828" s="1"/>
      <c r="IZ1828" s="1"/>
      <c r="JH1828" s="1"/>
      <c r="JJ1828" s="1"/>
      <c r="JP1828" s="1"/>
      <c r="JQ1828" s="1"/>
      <c r="JU1828" s="1"/>
    </row>
    <row r="1829" spans="4:339" ht="13" x14ac:dyDescent="0.15">
      <c r="D1829" s="12"/>
      <c r="E1829" s="12"/>
      <c r="I1829" s="12"/>
      <c r="J1829" s="13"/>
      <c r="BG1829" s="1"/>
      <c r="BH1829" s="1"/>
      <c r="BI1829" s="1"/>
      <c r="BJ1829" s="1"/>
      <c r="BK1829" s="1"/>
      <c r="BL1829" s="1"/>
      <c r="BM1829" s="1"/>
      <c r="BN1829" s="1"/>
      <c r="BO1829" s="1"/>
      <c r="BP1829" s="1"/>
      <c r="CD1829" s="1"/>
      <c r="CM1829" s="2"/>
      <c r="CP1829" s="1"/>
      <c r="CQ1829" s="1"/>
      <c r="CS1829" s="1"/>
      <c r="CT1829" s="1"/>
      <c r="CU1829" s="1"/>
      <c r="CV1829" s="1"/>
      <c r="CW1829" s="1"/>
      <c r="CX1829" s="1"/>
      <c r="CY1829" s="1"/>
      <c r="CZ1829" s="1"/>
      <c r="DA1829" s="1"/>
      <c r="DB1829" s="1"/>
      <c r="DC1829" s="1"/>
      <c r="DD1829" s="1"/>
      <c r="DE1829" s="1"/>
      <c r="DF1829" s="1"/>
      <c r="DG1829" s="1"/>
      <c r="DH1829" s="1"/>
      <c r="DI1829" s="1"/>
      <c r="DJ1829" s="1"/>
      <c r="DK1829" s="1"/>
      <c r="ED1829" s="1"/>
      <c r="EK1829" s="1"/>
      <c r="EL1829" s="1"/>
      <c r="EM1829" s="1"/>
      <c r="EN1829" s="1"/>
      <c r="EQ1829" s="1"/>
      <c r="ER1829" s="1"/>
      <c r="ES1829" s="1"/>
      <c r="EV1829" s="1"/>
      <c r="EW1829" s="1"/>
      <c r="EZ1829" s="1"/>
      <c r="HY1829" s="1"/>
      <c r="IE1829" s="1"/>
      <c r="IS1829" s="1"/>
      <c r="IY1829" s="1"/>
      <c r="IZ1829" s="1"/>
      <c r="JJ1829" s="1"/>
      <c r="JN1829" s="1"/>
      <c r="JP1829" s="1"/>
      <c r="JQ1829" s="1"/>
      <c r="KY1829" s="1"/>
      <c r="KZ1829" s="1"/>
      <c r="LA1829" s="1"/>
      <c r="LB1829" s="1"/>
      <c r="LC1829" s="1"/>
      <c r="LD1829" s="1"/>
      <c r="LO1829" s="1"/>
      <c r="LP1829" s="1"/>
      <c r="LZ1829" s="1"/>
      <c r="MA1829" s="1"/>
    </row>
    <row r="1830" spans="4:339" ht="13" x14ac:dyDescent="0.15">
      <c r="D1830" s="12"/>
      <c r="E1830" s="12"/>
      <c r="I1830" s="12"/>
      <c r="J1830" s="13"/>
      <c r="BF1830" s="1"/>
      <c r="BG1830" s="1"/>
      <c r="BH1830" s="1"/>
      <c r="BI1830" s="1"/>
      <c r="BJ1830" s="1"/>
      <c r="BK1830" s="1"/>
      <c r="BL1830" s="1"/>
      <c r="BM1830" s="1"/>
      <c r="BN1830" s="1"/>
      <c r="BO1830" s="1"/>
      <c r="CD1830" s="1"/>
      <c r="CM1830" s="2"/>
      <c r="ED1830" s="1"/>
      <c r="EL1830" s="1"/>
      <c r="EM1830" s="1"/>
      <c r="EN1830" s="1"/>
      <c r="EQ1830" s="1"/>
      <c r="ER1830" s="1"/>
      <c r="ES1830" s="1"/>
      <c r="EV1830" s="1"/>
      <c r="EW1830" s="1"/>
      <c r="EZ1830" s="1"/>
      <c r="HY1830" s="1"/>
      <c r="IR1830" s="1"/>
      <c r="IS1830" s="1"/>
      <c r="IZ1830" s="1"/>
      <c r="JH1830" s="1"/>
      <c r="JJ1830" s="1"/>
      <c r="JP1830" s="1"/>
      <c r="JQ1830" s="1"/>
      <c r="JU1830" s="1"/>
      <c r="LZ1830" s="1"/>
    </row>
    <row r="1831" spans="4:339" ht="13" x14ac:dyDescent="0.15">
      <c r="D1831" s="12"/>
      <c r="E1831" s="12"/>
      <c r="I1831" s="12"/>
      <c r="J1831" s="13"/>
      <c r="BF1831" s="1"/>
      <c r="BG1831" s="1"/>
      <c r="BH1831" s="1"/>
      <c r="BI1831" s="1"/>
      <c r="BK1831" s="1"/>
      <c r="BL1831" s="1"/>
      <c r="BM1831" s="1"/>
      <c r="BN1831" s="1"/>
      <c r="BO1831" s="1"/>
      <c r="CD1831" s="1"/>
      <c r="CE1831" s="1"/>
      <c r="CF1831" s="1"/>
      <c r="CM1831" s="2"/>
      <c r="ED1831" s="1"/>
      <c r="EL1831" s="1"/>
      <c r="EM1831" s="1"/>
      <c r="EN1831" s="1"/>
      <c r="EQ1831" s="1"/>
      <c r="ER1831" s="1"/>
      <c r="ES1831" s="1"/>
      <c r="EV1831" s="1"/>
      <c r="EW1831" s="1"/>
      <c r="EZ1831" s="1"/>
      <c r="HY1831" s="1"/>
      <c r="IS1831" s="1"/>
      <c r="IZ1831" s="1"/>
      <c r="JH1831" s="1"/>
      <c r="JJ1831" s="1"/>
      <c r="JP1831" s="1"/>
      <c r="JQ1831" s="1"/>
      <c r="JU1831" s="1"/>
    </row>
    <row r="1832" spans="4:339" ht="13" x14ac:dyDescent="0.15">
      <c r="D1832" s="12"/>
      <c r="E1832" s="12"/>
      <c r="I1832" s="12"/>
      <c r="J1832" s="13"/>
      <c r="BF1832" s="1"/>
      <c r="BG1832" s="1"/>
      <c r="BH1832" s="1"/>
      <c r="BI1832" s="1"/>
      <c r="BK1832" s="1"/>
      <c r="BL1832" s="1"/>
      <c r="BM1832" s="1"/>
      <c r="BN1832" s="1"/>
      <c r="BP1832" s="1"/>
      <c r="CD1832" s="1"/>
      <c r="CE1832" s="1"/>
      <c r="CF1832" s="1"/>
      <c r="CG1832" s="1"/>
      <c r="CM1832" s="4"/>
      <c r="CP1832" s="1"/>
      <c r="CQ1832" s="1"/>
      <c r="CR1832" s="1"/>
      <c r="CT1832" s="1"/>
      <c r="CU1832" s="1"/>
      <c r="CV1832" s="1"/>
      <c r="CW1832" s="1"/>
      <c r="CX1832" s="1"/>
      <c r="CY1832" s="1"/>
      <c r="CZ1832" s="1"/>
      <c r="DA1832" s="1"/>
      <c r="DB1832" s="1"/>
      <c r="DC1832" s="1"/>
      <c r="DD1832" s="1"/>
      <c r="DE1832" s="1"/>
      <c r="DF1832" s="1"/>
      <c r="DG1832" s="1"/>
      <c r="DH1832" s="1"/>
      <c r="DI1832" s="1"/>
      <c r="DJ1832" s="1"/>
      <c r="DK1832" s="1"/>
      <c r="ED1832" s="1"/>
      <c r="EK1832" s="1"/>
      <c r="EL1832" s="1"/>
      <c r="EM1832" s="1"/>
      <c r="EN1832" s="1"/>
      <c r="EQ1832" s="1"/>
      <c r="ER1832" s="1"/>
      <c r="ES1832" s="1"/>
      <c r="EV1832" s="1"/>
      <c r="EW1832" s="1"/>
      <c r="EZ1832" s="1"/>
      <c r="GO1832" s="1"/>
      <c r="HY1832" s="1"/>
      <c r="IE1832" s="1"/>
      <c r="IR1832" s="1"/>
      <c r="IS1832" s="1"/>
      <c r="IY1832" s="1"/>
      <c r="IZ1832" s="1"/>
      <c r="JG1832" s="1"/>
      <c r="JH1832" s="1"/>
      <c r="JJ1832" s="1"/>
      <c r="JN1832" s="1"/>
      <c r="JP1832" s="1"/>
      <c r="JQ1832" s="1"/>
      <c r="KY1832" s="1"/>
      <c r="KZ1832" s="1"/>
      <c r="LA1832" s="1"/>
      <c r="LB1832" s="1"/>
      <c r="LC1832" s="1"/>
      <c r="LD1832" s="1"/>
      <c r="LO1832" s="1"/>
      <c r="LP1832" s="1"/>
      <c r="LZ1832" s="1"/>
      <c r="MA1832" s="1"/>
    </row>
    <row r="1833" spans="4:339" ht="13" x14ac:dyDescent="0.15">
      <c r="D1833" s="12"/>
      <c r="E1833" s="12"/>
      <c r="I1833" s="12"/>
      <c r="J1833" s="13"/>
      <c r="BF1833" s="1"/>
      <c r="BG1833" s="1"/>
      <c r="BH1833" s="1"/>
      <c r="BI1833" s="1"/>
      <c r="BK1833" s="1"/>
      <c r="BL1833" s="1"/>
      <c r="BM1833" s="1"/>
      <c r="BN1833" s="1"/>
      <c r="BP1833" s="1"/>
      <c r="CD1833" s="1"/>
      <c r="CE1833" s="1"/>
      <c r="CF1833" s="1"/>
      <c r="CG1833" s="1"/>
      <c r="CM1833" s="4"/>
      <c r="CP1833" s="1"/>
      <c r="CQ1833" s="1"/>
      <c r="CR1833" s="1"/>
      <c r="CT1833" s="1"/>
      <c r="CU1833" s="1"/>
      <c r="CV1833" s="1"/>
      <c r="CW1833" s="1"/>
      <c r="CX1833" s="1"/>
      <c r="CY1833" s="1"/>
      <c r="CZ1833" s="1"/>
      <c r="DA1833" s="1"/>
      <c r="DB1833" s="1"/>
      <c r="DC1833" s="1"/>
      <c r="DD1833" s="1"/>
      <c r="DE1833" s="1"/>
      <c r="DF1833" s="1"/>
      <c r="DG1833" s="1"/>
      <c r="DH1833" s="1"/>
      <c r="DI1833" s="1"/>
      <c r="DJ1833" s="1"/>
      <c r="DK1833" s="1"/>
      <c r="ED1833" s="1"/>
      <c r="EK1833" s="1"/>
      <c r="EL1833" s="1"/>
      <c r="EM1833" s="1"/>
      <c r="EN1833" s="1"/>
      <c r="EQ1833" s="1"/>
      <c r="ER1833" s="1"/>
      <c r="ES1833" s="1"/>
      <c r="EV1833" s="1"/>
      <c r="EW1833" s="1"/>
      <c r="EZ1833" s="1"/>
      <c r="GO1833" s="1"/>
      <c r="HY1833" s="1"/>
      <c r="IE1833" s="1"/>
      <c r="IR1833" s="1"/>
      <c r="IS1833" s="1"/>
      <c r="IY1833" s="1"/>
      <c r="IZ1833" s="1"/>
      <c r="JG1833" s="1"/>
      <c r="JH1833" s="1"/>
      <c r="JJ1833" s="1"/>
      <c r="JN1833" s="1"/>
      <c r="JP1833" s="1"/>
      <c r="JQ1833" s="1"/>
      <c r="KY1833" s="1"/>
      <c r="KZ1833" s="1"/>
      <c r="LA1833" s="1"/>
      <c r="LB1833" s="1"/>
      <c r="LC1833" s="1"/>
      <c r="LD1833" s="1"/>
      <c r="LO1833" s="1"/>
      <c r="LP1833" s="1"/>
      <c r="LZ1833" s="1"/>
      <c r="MA1833" s="1"/>
    </row>
    <row r="1834" spans="4:339" ht="13" x14ac:dyDescent="0.15">
      <c r="D1834" s="12"/>
      <c r="E1834" s="12"/>
      <c r="I1834" s="12"/>
      <c r="J1834" s="13"/>
      <c r="BF1834" s="1"/>
      <c r="BG1834" s="1"/>
      <c r="BH1834" s="1"/>
      <c r="BI1834" s="1"/>
      <c r="BK1834" s="1"/>
      <c r="BL1834" s="1"/>
      <c r="BM1834" s="1"/>
      <c r="BN1834" s="1"/>
      <c r="BP1834" s="1"/>
      <c r="CD1834" s="1"/>
      <c r="CE1834" s="1"/>
      <c r="CF1834" s="1"/>
      <c r="CG1834" s="1"/>
      <c r="CM1834" s="4"/>
      <c r="CP1834" s="1"/>
      <c r="CQ1834" s="1"/>
      <c r="CR1834" s="1"/>
      <c r="CT1834" s="1"/>
      <c r="CU1834" s="1"/>
      <c r="CV1834" s="1"/>
      <c r="CW1834" s="1"/>
      <c r="CX1834" s="1"/>
      <c r="CY1834" s="1"/>
      <c r="CZ1834" s="1"/>
      <c r="DA1834" s="1"/>
      <c r="DB1834" s="1"/>
      <c r="DC1834" s="1"/>
      <c r="DD1834" s="1"/>
      <c r="DE1834" s="1"/>
      <c r="DF1834" s="1"/>
      <c r="DG1834" s="1"/>
      <c r="DH1834" s="1"/>
      <c r="DI1834" s="1"/>
      <c r="DJ1834" s="1"/>
      <c r="DK1834" s="1"/>
      <c r="ED1834" s="1"/>
      <c r="EK1834" s="1"/>
      <c r="EL1834" s="1"/>
      <c r="EM1834" s="1"/>
      <c r="EN1834" s="1"/>
      <c r="EQ1834" s="1"/>
      <c r="ER1834" s="1"/>
      <c r="ES1834" s="1"/>
      <c r="EV1834" s="1"/>
      <c r="EW1834" s="1"/>
      <c r="EZ1834" s="1"/>
      <c r="GO1834" s="1"/>
      <c r="HY1834" s="1"/>
      <c r="IE1834" s="1"/>
      <c r="IR1834" s="1"/>
      <c r="IS1834" s="1"/>
      <c r="IY1834" s="1"/>
      <c r="IZ1834" s="1"/>
      <c r="JG1834" s="1"/>
      <c r="JH1834" s="1"/>
      <c r="JJ1834" s="1"/>
      <c r="JN1834" s="1"/>
      <c r="JP1834" s="1"/>
      <c r="JQ1834" s="1"/>
      <c r="KY1834" s="1"/>
      <c r="KZ1834" s="1"/>
      <c r="LA1834" s="1"/>
      <c r="LB1834" s="1"/>
      <c r="LC1834" s="1"/>
      <c r="LD1834" s="1"/>
      <c r="LO1834" s="1"/>
      <c r="LP1834" s="1"/>
      <c r="LZ1834" s="1"/>
      <c r="MA1834" s="1"/>
    </row>
    <row r="1835" spans="4:339" ht="13" x14ac:dyDescent="0.15">
      <c r="D1835" s="12"/>
      <c r="E1835" s="12"/>
      <c r="I1835" s="12"/>
      <c r="J1835" s="13"/>
      <c r="BF1835" s="1"/>
      <c r="BG1835" s="1"/>
      <c r="BH1835" s="1"/>
      <c r="BI1835" s="1"/>
      <c r="BK1835" s="1"/>
      <c r="BL1835" s="1"/>
      <c r="BM1835" s="1"/>
      <c r="BN1835" s="1"/>
      <c r="BP1835" s="1"/>
      <c r="CD1835" s="1"/>
      <c r="CE1835" s="1"/>
      <c r="CF1835" s="1"/>
      <c r="CG1835" s="1"/>
      <c r="CM1835" s="4"/>
      <c r="CP1835" s="1"/>
      <c r="CQ1835" s="1"/>
      <c r="CR1835" s="1"/>
      <c r="CT1835" s="1"/>
      <c r="CU1835" s="1"/>
      <c r="CV1835" s="1"/>
      <c r="CW1835" s="1"/>
      <c r="CX1835" s="1"/>
      <c r="CY1835" s="1"/>
      <c r="CZ1835" s="1"/>
      <c r="DA1835" s="1"/>
      <c r="DB1835" s="1"/>
      <c r="DC1835" s="1"/>
      <c r="DD1835" s="1"/>
      <c r="DE1835" s="1"/>
      <c r="DF1835" s="1"/>
      <c r="DG1835" s="1"/>
      <c r="DH1835" s="1"/>
      <c r="DI1835" s="1"/>
      <c r="DJ1835" s="1"/>
      <c r="DK1835" s="1"/>
      <c r="ED1835" s="1"/>
      <c r="EK1835" s="1"/>
      <c r="EL1835" s="1"/>
      <c r="EM1835" s="1"/>
      <c r="EN1835" s="1"/>
      <c r="EQ1835" s="1"/>
      <c r="ER1835" s="1"/>
      <c r="ES1835" s="1"/>
      <c r="EV1835" s="1"/>
      <c r="EW1835" s="1"/>
      <c r="EZ1835" s="1"/>
      <c r="GO1835" s="1"/>
      <c r="HY1835" s="1"/>
      <c r="IE1835" s="1"/>
      <c r="IR1835" s="1"/>
      <c r="IS1835" s="1"/>
      <c r="IY1835" s="1"/>
      <c r="IZ1835" s="1"/>
      <c r="JG1835" s="1"/>
      <c r="JH1835" s="1"/>
      <c r="JJ1835" s="1"/>
      <c r="JN1835" s="1"/>
      <c r="JP1835" s="1"/>
      <c r="JQ1835" s="1"/>
      <c r="KY1835" s="1"/>
      <c r="KZ1835" s="1"/>
      <c r="LA1835" s="1"/>
      <c r="LB1835" s="1"/>
      <c r="LC1835" s="1"/>
      <c r="LD1835" s="1"/>
      <c r="LO1835" s="1"/>
      <c r="LP1835" s="1"/>
      <c r="LZ1835" s="1"/>
      <c r="MA1835" s="1"/>
    </row>
    <row r="1836" spans="4:339" ht="13" x14ac:dyDescent="0.15">
      <c r="D1836" s="12"/>
      <c r="E1836" s="12"/>
      <c r="I1836" s="12"/>
      <c r="J1836" s="13"/>
      <c r="BF1836" s="1"/>
      <c r="BG1836" s="1"/>
      <c r="BH1836" s="1"/>
      <c r="BI1836" s="1"/>
      <c r="BK1836" s="1"/>
      <c r="BL1836" s="1"/>
      <c r="BM1836" s="1"/>
      <c r="BN1836" s="1"/>
      <c r="BP1836" s="1"/>
      <c r="CD1836" s="1"/>
      <c r="CE1836" s="1"/>
      <c r="CF1836" s="1"/>
      <c r="CG1836" s="1"/>
      <c r="CM1836" s="4"/>
      <c r="CP1836" s="1"/>
      <c r="CQ1836" s="1"/>
      <c r="CR1836" s="1"/>
      <c r="CT1836" s="1"/>
      <c r="CU1836" s="1"/>
      <c r="CV1836" s="1"/>
      <c r="CW1836" s="1"/>
      <c r="CX1836" s="1"/>
      <c r="CY1836" s="1"/>
      <c r="CZ1836" s="1"/>
      <c r="DA1836" s="1"/>
      <c r="DB1836" s="1"/>
      <c r="DC1836" s="1"/>
      <c r="DD1836" s="1"/>
      <c r="DE1836" s="1"/>
      <c r="DF1836" s="1"/>
      <c r="DG1836" s="1"/>
      <c r="DH1836" s="1"/>
      <c r="DI1836" s="1"/>
      <c r="DJ1836" s="1"/>
      <c r="DK1836" s="1"/>
      <c r="ED1836" s="1"/>
      <c r="EK1836" s="1"/>
      <c r="EL1836" s="1"/>
      <c r="EM1836" s="1"/>
      <c r="EN1836" s="1"/>
      <c r="EQ1836" s="1"/>
      <c r="ER1836" s="1"/>
      <c r="ES1836" s="1"/>
      <c r="EV1836" s="1"/>
      <c r="EW1836" s="1"/>
      <c r="EZ1836" s="1"/>
      <c r="GO1836" s="1"/>
      <c r="HY1836" s="1"/>
      <c r="IE1836" s="1"/>
      <c r="IR1836" s="1"/>
      <c r="IS1836" s="1"/>
      <c r="IY1836" s="1"/>
      <c r="IZ1836" s="1"/>
      <c r="JG1836" s="1"/>
      <c r="JH1836" s="1"/>
      <c r="JJ1836" s="1"/>
      <c r="JN1836" s="1"/>
      <c r="JP1836" s="1"/>
      <c r="JQ1836" s="1"/>
      <c r="KY1836" s="1"/>
      <c r="KZ1836" s="1"/>
      <c r="LA1836" s="1"/>
      <c r="LB1836" s="1"/>
      <c r="LC1836" s="1"/>
      <c r="LD1836" s="1"/>
      <c r="LO1836" s="1"/>
      <c r="LP1836" s="1"/>
      <c r="LZ1836" s="1"/>
      <c r="MA1836" s="1"/>
    </row>
    <row r="1837" spans="4:339" ht="13" x14ac:dyDescent="0.15">
      <c r="D1837" s="12"/>
      <c r="E1837" s="12"/>
      <c r="I1837" s="12"/>
      <c r="J1837" s="13"/>
      <c r="BF1837" s="1"/>
      <c r="BG1837" s="1"/>
      <c r="BH1837" s="1"/>
      <c r="BI1837" s="1"/>
      <c r="BK1837" s="1"/>
      <c r="BL1837" s="1"/>
      <c r="BM1837" s="1"/>
      <c r="BN1837" s="1"/>
      <c r="BP1837" s="1"/>
      <c r="CD1837" s="1"/>
      <c r="CE1837" s="1"/>
      <c r="CF1837" s="1"/>
      <c r="CG1837" s="1"/>
      <c r="CM1837" s="4"/>
      <c r="CP1837" s="1"/>
      <c r="CQ1837" s="1"/>
      <c r="CR1837" s="1"/>
      <c r="CT1837" s="1"/>
      <c r="CU1837" s="1"/>
      <c r="CV1837" s="1"/>
      <c r="CW1837" s="1"/>
      <c r="CX1837" s="1"/>
      <c r="CY1837" s="1"/>
      <c r="CZ1837" s="1"/>
      <c r="DA1837" s="1"/>
      <c r="DB1837" s="1"/>
      <c r="DC1837" s="1"/>
      <c r="DD1837" s="1"/>
      <c r="DE1837" s="1"/>
      <c r="DF1837" s="1"/>
      <c r="DG1837" s="1"/>
      <c r="DH1837" s="1"/>
      <c r="DI1837" s="1"/>
      <c r="DJ1837" s="1"/>
      <c r="DK1837" s="1"/>
      <c r="ED1837" s="1"/>
      <c r="EK1837" s="1"/>
      <c r="EL1837" s="1"/>
      <c r="EM1837" s="1"/>
      <c r="EN1837" s="1"/>
      <c r="EQ1837" s="1"/>
      <c r="ER1837" s="1"/>
      <c r="ES1837" s="1"/>
      <c r="EV1837" s="1"/>
      <c r="EW1837" s="1"/>
      <c r="EZ1837" s="1"/>
      <c r="GO1837" s="1"/>
      <c r="HY1837" s="1"/>
      <c r="IE1837" s="1"/>
      <c r="IR1837" s="1"/>
      <c r="IS1837" s="1"/>
      <c r="IY1837" s="1"/>
      <c r="IZ1837" s="1"/>
      <c r="JG1837" s="1"/>
      <c r="JH1837" s="1"/>
      <c r="JJ1837" s="1"/>
      <c r="JN1837" s="1"/>
      <c r="JP1837" s="1"/>
      <c r="JQ1837" s="1"/>
      <c r="KY1837" s="1"/>
      <c r="KZ1837" s="1"/>
      <c r="LA1837" s="1"/>
      <c r="LB1837" s="1"/>
      <c r="LC1837" s="1"/>
      <c r="LD1837" s="1"/>
      <c r="LO1837" s="1"/>
      <c r="LP1837" s="1"/>
      <c r="LZ1837" s="1"/>
      <c r="MA1837" s="1"/>
    </row>
    <row r="1838" spans="4:339" ht="13" x14ac:dyDescent="0.15">
      <c r="D1838" s="12"/>
      <c r="E1838" s="12"/>
      <c r="I1838" s="12"/>
      <c r="J1838" s="13"/>
      <c r="BF1838" s="1"/>
      <c r="BG1838" s="1"/>
      <c r="BH1838" s="1"/>
      <c r="BI1838" s="1"/>
      <c r="BK1838" s="1"/>
      <c r="BL1838" s="1"/>
      <c r="BM1838" s="1"/>
      <c r="BN1838" s="1"/>
      <c r="BP1838" s="1"/>
      <c r="CD1838" s="1"/>
      <c r="CE1838" s="1"/>
      <c r="CF1838" s="1"/>
      <c r="CG1838" s="1"/>
      <c r="CM1838" s="4"/>
      <c r="CP1838" s="1"/>
      <c r="CQ1838" s="1"/>
      <c r="CR1838" s="1"/>
      <c r="CT1838" s="1"/>
      <c r="CU1838" s="1"/>
      <c r="CV1838" s="1"/>
      <c r="CW1838" s="1"/>
      <c r="CX1838" s="1"/>
      <c r="CY1838" s="1"/>
      <c r="CZ1838" s="1"/>
      <c r="DA1838" s="1"/>
      <c r="DB1838" s="1"/>
      <c r="DC1838" s="1"/>
      <c r="DD1838" s="1"/>
      <c r="DE1838" s="1"/>
      <c r="DF1838" s="1"/>
      <c r="DG1838" s="1"/>
      <c r="DH1838" s="1"/>
      <c r="DI1838" s="1"/>
      <c r="DJ1838" s="1"/>
      <c r="DK1838" s="1"/>
      <c r="ED1838" s="1"/>
      <c r="EK1838" s="1"/>
      <c r="EL1838" s="1"/>
      <c r="EM1838" s="1"/>
      <c r="EN1838" s="1"/>
      <c r="EQ1838" s="1"/>
      <c r="ER1838" s="1"/>
      <c r="ES1838" s="1"/>
      <c r="EV1838" s="1"/>
      <c r="EW1838" s="1"/>
      <c r="EZ1838" s="1"/>
      <c r="GO1838" s="1"/>
      <c r="HY1838" s="1"/>
      <c r="IE1838" s="1"/>
      <c r="IR1838" s="1"/>
      <c r="IS1838" s="1"/>
      <c r="IY1838" s="1"/>
      <c r="IZ1838" s="1"/>
      <c r="JG1838" s="1"/>
      <c r="JH1838" s="1"/>
      <c r="JJ1838" s="1"/>
      <c r="JN1838" s="1"/>
      <c r="JP1838" s="1"/>
      <c r="JQ1838" s="1"/>
      <c r="KY1838" s="1"/>
      <c r="KZ1838" s="1"/>
      <c r="LA1838" s="1"/>
      <c r="LB1838" s="1"/>
      <c r="LC1838" s="1"/>
      <c r="LD1838" s="1"/>
      <c r="LO1838" s="1"/>
      <c r="LP1838" s="1"/>
      <c r="LZ1838" s="1"/>
      <c r="MA1838" s="1"/>
    </row>
    <row r="1839" spans="4:339" ht="13" x14ac:dyDescent="0.15">
      <c r="D1839" s="12"/>
      <c r="E1839" s="12"/>
      <c r="I1839" s="12"/>
      <c r="J1839" s="13"/>
      <c r="BF1839" s="1"/>
      <c r="BG1839" s="1"/>
      <c r="BH1839" s="1"/>
      <c r="BI1839" s="1"/>
      <c r="BK1839" s="1"/>
      <c r="BL1839" s="1"/>
      <c r="BM1839" s="1"/>
      <c r="BN1839" s="1"/>
      <c r="BP1839" s="1"/>
      <c r="CD1839" s="1"/>
      <c r="CE1839" s="1"/>
      <c r="CF1839" s="1"/>
      <c r="CG1839" s="1"/>
      <c r="CM1839" s="4"/>
      <c r="CP1839" s="1"/>
      <c r="CQ1839" s="1"/>
      <c r="CR1839" s="1"/>
      <c r="CT1839" s="1"/>
      <c r="CU1839" s="1"/>
      <c r="CV1839" s="1"/>
      <c r="CW1839" s="1"/>
      <c r="CX1839" s="1"/>
      <c r="CY1839" s="1"/>
      <c r="CZ1839" s="1"/>
      <c r="DA1839" s="1"/>
      <c r="DB1839" s="1"/>
      <c r="DC1839" s="1"/>
      <c r="DD1839" s="1"/>
      <c r="DE1839" s="1"/>
      <c r="DF1839" s="1"/>
      <c r="DG1839" s="1"/>
      <c r="DH1839" s="1"/>
      <c r="DI1839" s="1"/>
      <c r="DJ1839" s="1"/>
      <c r="DK1839" s="1"/>
      <c r="ED1839" s="1"/>
      <c r="EK1839" s="1"/>
      <c r="EL1839" s="1"/>
      <c r="EM1839" s="1"/>
      <c r="EN1839" s="1"/>
      <c r="EQ1839" s="1"/>
      <c r="ER1839" s="1"/>
      <c r="ES1839" s="1"/>
      <c r="EV1839" s="1"/>
      <c r="EW1839" s="1"/>
      <c r="EZ1839" s="1"/>
      <c r="GO1839" s="1"/>
      <c r="HY1839" s="1"/>
      <c r="IE1839" s="1"/>
      <c r="IR1839" s="1"/>
      <c r="IS1839" s="1"/>
      <c r="IY1839" s="1"/>
      <c r="IZ1839" s="1"/>
      <c r="JG1839" s="1"/>
      <c r="JH1839" s="1"/>
      <c r="JJ1839" s="1"/>
      <c r="JN1839" s="1"/>
      <c r="JP1839" s="1"/>
      <c r="JQ1839" s="1"/>
      <c r="KY1839" s="1"/>
      <c r="KZ1839" s="1"/>
      <c r="LA1839" s="1"/>
      <c r="LB1839" s="1"/>
      <c r="LC1839" s="1"/>
      <c r="LD1839" s="1"/>
      <c r="LO1839" s="1"/>
      <c r="LP1839" s="1"/>
      <c r="LZ1839" s="1"/>
      <c r="MA1839" s="1"/>
    </row>
    <row r="1840" spans="4:339" ht="13" x14ac:dyDescent="0.15">
      <c r="D1840" s="12"/>
      <c r="E1840" s="12"/>
      <c r="I1840" s="12"/>
      <c r="J1840" s="13"/>
      <c r="BF1840" s="1"/>
      <c r="BG1840" s="1"/>
      <c r="BH1840" s="1"/>
      <c r="BI1840" s="1"/>
      <c r="BK1840" s="1"/>
      <c r="BL1840" s="1"/>
      <c r="BM1840" s="1"/>
      <c r="BN1840" s="1"/>
      <c r="BO1840" s="1"/>
      <c r="CD1840" s="1"/>
      <c r="CE1840" s="1"/>
      <c r="CF1840" s="1"/>
      <c r="CM1840" s="2"/>
      <c r="ED1840" s="1"/>
      <c r="EL1840" s="1"/>
      <c r="EM1840" s="1"/>
      <c r="EN1840" s="1"/>
      <c r="EQ1840" s="1"/>
      <c r="ER1840" s="1"/>
      <c r="ES1840" s="1"/>
      <c r="EV1840" s="1"/>
      <c r="EW1840" s="1"/>
      <c r="EZ1840" s="1"/>
      <c r="HY1840" s="1"/>
      <c r="IS1840" s="1"/>
      <c r="IZ1840" s="1"/>
      <c r="JJ1840" s="1"/>
      <c r="JP1840" s="1"/>
      <c r="JQ1840" s="1"/>
      <c r="LZ1840" s="1"/>
    </row>
    <row r="1841" spans="4:339" ht="13" x14ac:dyDescent="0.15">
      <c r="D1841" s="12"/>
      <c r="E1841" s="12"/>
      <c r="I1841" s="12"/>
      <c r="J1841" s="13"/>
      <c r="BF1841" s="1"/>
      <c r="BG1841" s="1"/>
      <c r="BH1841" s="1"/>
      <c r="BI1841" s="1"/>
      <c r="BK1841" s="1"/>
      <c r="BL1841" s="1"/>
      <c r="BM1841" s="1"/>
      <c r="BN1841" s="1"/>
      <c r="BO1841" s="1"/>
      <c r="CD1841" s="1"/>
      <c r="CE1841" s="1"/>
      <c r="CF1841" s="1"/>
      <c r="CM1841" s="2"/>
      <c r="ED1841" s="1"/>
      <c r="EL1841" s="1"/>
      <c r="EM1841" s="1"/>
      <c r="EN1841" s="1"/>
      <c r="EQ1841" s="1"/>
      <c r="ER1841" s="1"/>
      <c r="ES1841" s="1"/>
      <c r="EV1841" s="1"/>
      <c r="EW1841" s="1"/>
      <c r="EZ1841" s="1"/>
      <c r="HY1841" s="1"/>
      <c r="IS1841" s="1"/>
      <c r="IZ1841" s="1"/>
      <c r="JJ1841" s="1"/>
      <c r="JP1841" s="1"/>
      <c r="JQ1841" s="1"/>
      <c r="LZ1841" s="1"/>
    </row>
    <row r="1842" spans="4:339" ht="13" x14ac:dyDescent="0.15">
      <c r="D1842" s="12"/>
      <c r="E1842" s="12"/>
      <c r="I1842" s="12"/>
      <c r="J1842" s="13"/>
      <c r="BG1842" s="1"/>
      <c r="BH1842" s="1"/>
      <c r="BI1842" s="1"/>
      <c r="BJ1842" s="1"/>
      <c r="BK1842" s="1"/>
      <c r="BL1842" s="1"/>
      <c r="BM1842" s="1"/>
      <c r="BN1842" s="1"/>
      <c r="BO1842" s="1"/>
      <c r="BP1842" s="1"/>
      <c r="CD1842" s="1"/>
      <c r="CE1842" s="1"/>
      <c r="CF1842" s="1"/>
      <c r="CG1842" s="1"/>
      <c r="CM1842" s="2"/>
      <c r="CP1842" s="1"/>
      <c r="CQ1842" s="1"/>
      <c r="CR1842" s="1"/>
      <c r="CS1842" s="1"/>
      <c r="CT1842" s="1"/>
      <c r="CU1842" s="1"/>
      <c r="CV1842" s="1"/>
      <c r="CW1842" s="1"/>
      <c r="CX1842" s="1"/>
      <c r="CY1842" s="1"/>
      <c r="CZ1842" s="1"/>
      <c r="DA1842" s="1"/>
      <c r="DB1842" s="1"/>
      <c r="DC1842" s="1"/>
      <c r="DD1842" s="1"/>
      <c r="DE1842" s="1"/>
      <c r="DF1842" s="1"/>
      <c r="DG1842" s="1"/>
      <c r="DH1842" s="1"/>
      <c r="DI1842" s="1"/>
      <c r="DJ1842" s="1"/>
      <c r="DK1842" s="1"/>
      <c r="DL1842" s="1"/>
      <c r="DM1842" s="1"/>
      <c r="DQ1842" s="1"/>
      <c r="DR1842" s="1"/>
      <c r="DY1842" s="1"/>
      <c r="DZ1842" s="1"/>
      <c r="ED1842" s="1"/>
      <c r="EE1842" s="1"/>
      <c r="EF1842" s="1"/>
      <c r="EG1842" s="1"/>
      <c r="EH1842" s="1"/>
      <c r="EK1842" s="1"/>
      <c r="EL1842" s="1"/>
      <c r="EM1842" s="1"/>
      <c r="EN1842" s="1"/>
      <c r="EQ1842" s="1"/>
      <c r="ER1842" s="1"/>
      <c r="ES1842" s="1"/>
      <c r="EV1842" s="1"/>
      <c r="EW1842" s="1"/>
      <c r="EY1842" s="1"/>
      <c r="EZ1842" s="1"/>
      <c r="HY1842" s="1"/>
      <c r="IE1842" s="1"/>
      <c r="IF1842" s="1"/>
      <c r="IG1842" s="1"/>
      <c r="IJ1842" s="1"/>
      <c r="IR1842" s="1"/>
      <c r="IS1842" s="1"/>
      <c r="IZ1842" s="1"/>
      <c r="JG1842" s="1"/>
      <c r="JH1842" s="1"/>
      <c r="JJ1842" s="1"/>
      <c r="JK1842" s="1"/>
      <c r="JL1842" s="3"/>
      <c r="JM1842" s="1"/>
      <c r="JP1842" s="1"/>
      <c r="JQ1842" s="1"/>
      <c r="JR1842" s="1"/>
      <c r="KZ1842" s="1"/>
      <c r="LF1842" s="1"/>
      <c r="LG1842" s="1"/>
      <c r="LL1842" s="1"/>
      <c r="LO1842" s="1"/>
      <c r="LP1842" s="1"/>
      <c r="LZ1842" s="1"/>
      <c r="MA1842" s="1"/>
    </row>
    <row r="1843" spans="4:339" ht="13" x14ac:dyDescent="0.15">
      <c r="D1843" s="12"/>
      <c r="E1843" s="12"/>
      <c r="I1843" s="12"/>
      <c r="J1843" s="13"/>
      <c r="BG1843" s="1"/>
      <c r="BH1843" s="1"/>
      <c r="BI1843" s="1"/>
      <c r="BK1843" s="1"/>
      <c r="BL1843" s="1"/>
      <c r="BM1843" s="1"/>
      <c r="BN1843" s="1"/>
      <c r="CD1843" s="1"/>
      <c r="CE1843" s="1"/>
      <c r="CF1843" s="1"/>
      <c r="CM1843" s="2"/>
      <c r="ED1843" s="1"/>
      <c r="EL1843" s="1"/>
      <c r="EM1843" s="1"/>
      <c r="EN1843" s="1"/>
      <c r="EQ1843" s="1"/>
      <c r="ER1843" s="1"/>
      <c r="ES1843" s="1"/>
      <c r="EV1843" s="1"/>
      <c r="EW1843" s="1"/>
      <c r="EZ1843" s="1"/>
      <c r="HY1843" s="1"/>
      <c r="IS1843" s="1"/>
      <c r="IZ1843" s="1"/>
      <c r="JJ1843" s="1"/>
      <c r="JP1843" s="1"/>
      <c r="JQ1843" s="1"/>
    </row>
    <row r="1844" spans="4:339" ht="13" x14ac:dyDescent="0.15">
      <c r="D1844" s="12"/>
      <c r="E1844" s="12"/>
      <c r="I1844" s="12"/>
      <c r="J1844" s="13"/>
      <c r="BG1844" s="1"/>
      <c r="BH1844" s="1"/>
      <c r="BI1844" s="1"/>
      <c r="BK1844" s="1"/>
      <c r="BL1844" s="1"/>
      <c r="BM1844" s="1"/>
      <c r="BN1844" s="1"/>
      <c r="BO1844" s="1"/>
      <c r="CD1844" s="1"/>
      <c r="CE1844" s="1"/>
      <c r="CF1844" s="1"/>
      <c r="CM1844" s="2"/>
      <c r="ED1844" s="1"/>
      <c r="EL1844" s="1"/>
      <c r="EM1844" s="1"/>
      <c r="EN1844" s="1"/>
      <c r="EQ1844" s="1"/>
      <c r="ER1844" s="1"/>
      <c r="ES1844" s="1"/>
      <c r="EV1844" s="1"/>
      <c r="EW1844" s="1"/>
      <c r="EZ1844" s="1"/>
      <c r="HY1844" s="1"/>
      <c r="IS1844" s="1"/>
      <c r="IZ1844" s="1"/>
      <c r="JC1844" s="1"/>
      <c r="JH1844" s="1"/>
      <c r="JJ1844" s="1"/>
      <c r="JP1844" s="1"/>
      <c r="JQ1844" s="1"/>
      <c r="JU1844" s="1"/>
    </row>
    <row r="1845" spans="4:339" ht="13" x14ac:dyDescent="0.15">
      <c r="D1845" s="12"/>
      <c r="E1845" s="12"/>
      <c r="I1845" s="12"/>
      <c r="J1845" s="13"/>
      <c r="BF1845" s="1"/>
      <c r="BG1845" s="1"/>
      <c r="BH1845" s="1"/>
      <c r="BI1845" s="1"/>
      <c r="BK1845" s="1"/>
      <c r="BL1845" s="1"/>
      <c r="BM1845" s="1"/>
      <c r="BN1845" s="1"/>
      <c r="BO1845" s="1"/>
      <c r="CD1845" s="1"/>
      <c r="CE1845" s="1"/>
      <c r="CF1845" s="1"/>
      <c r="CM1845" s="2"/>
      <c r="ED1845" s="1"/>
      <c r="EL1845" s="1"/>
      <c r="EM1845" s="1"/>
      <c r="EN1845" s="1"/>
      <c r="EQ1845" s="1"/>
      <c r="ER1845" s="1"/>
      <c r="ES1845" s="1"/>
      <c r="EV1845" s="1"/>
      <c r="EW1845" s="1"/>
      <c r="EZ1845" s="1"/>
      <c r="HY1845" s="1"/>
      <c r="IS1845" s="1"/>
      <c r="IZ1845" s="1"/>
      <c r="JC1845" s="1"/>
      <c r="JF1845" s="1"/>
      <c r="JG1845" s="1"/>
      <c r="JJ1845" s="1"/>
      <c r="JP1845" s="1"/>
      <c r="JQ1845" s="1"/>
    </row>
    <row r="1846" spans="4:339" ht="13" x14ac:dyDescent="0.15">
      <c r="D1846" s="12"/>
      <c r="E1846" s="12"/>
      <c r="I1846" s="12"/>
      <c r="J1846" s="13"/>
      <c r="BF1846" s="1"/>
      <c r="BG1846" s="1"/>
      <c r="BH1846" s="1"/>
      <c r="BI1846" s="1"/>
      <c r="BJ1846" s="1"/>
      <c r="BK1846" s="1"/>
      <c r="BL1846" s="1"/>
      <c r="BM1846" s="1"/>
      <c r="BN1846" s="1"/>
      <c r="BO1846" s="1"/>
      <c r="BP1846" s="1"/>
      <c r="CD1846" s="1"/>
      <c r="CG1846" s="1"/>
      <c r="CM1846" s="2"/>
      <c r="CP1846" s="1"/>
      <c r="CQ1846" s="1"/>
      <c r="CX1846" s="1"/>
      <c r="CY1846" s="1"/>
      <c r="CZ1846" s="1"/>
      <c r="DA1846" s="1"/>
      <c r="DB1846" s="1"/>
      <c r="DC1846" s="1"/>
      <c r="DD1846" s="1"/>
      <c r="DE1846" s="1"/>
      <c r="DF1846" s="1"/>
      <c r="DG1846" s="1"/>
      <c r="DH1846" s="1"/>
      <c r="DI1846" s="1"/>
      <c r="DJ1846" s="1"/>
      <c r="DK1846" s="1"/>
      <c r="ED1846" s="1"/>
      <c r="EK1846" s="1"/>
      <c r="EL1846" s="1"/>
      <c r="EM1846" s="1"/>
      <c r="EN1846" s="1"/>
      <c r="EQ1846" s="1"/>
      <c r="ER1846" s="1"/>
      <c r="ES1846" s="1"/>
      <c r="EV1846" s="1"/>
      <c r="EW1846" s="1"/>
      <c r="EZ1846" s="1"/>
      <c r="GO1846" s="1"/>
      <c r="HY1846" s="1"/>
      <c r="IE1846" s="1"/>
      <c r="IS1846" s="1"/>
      <c r="IZ1846" s="1"/>
      <c r="JC1846" s="1"/>
      <c r="JH1846" s="1"/>
      <c r="JJ1846" s="1"/>
      <c r="JP1846" s="1"/>
      <c r="JQ1846" s="1"/>
      <c r="KZ1846" s="1"/>
      <c r="LC1846" s="1"/>
      <c r="LD1846" s="1"/>
      <c r="LO1846" s="1"/>
      <c r="LP1846" s="1"/>
      <c r="LZ1846" s="1"/>
      <c r="MA1846" s="1"/>
    </row>
    <row r="1847" spans="4:339" ht="13" x14ac:dyDescent="0.15">
      <c r="D1847" s="12"/>
      <c r="E1847" s="12"/>
      <c r="I1847" s="12"/>
      <c r="J1847" s="13"/>
      <c r="BF1847" s="1"/>
      <c r="BG1847" s="1"/>
      <c r="BH1847" s="1"/>
      <c r="BI1847" s="1"/>
      <c r="BJ1847" s="1"/>
      <c r="BK1847" s="1"/>
      <c r="BL1847" s="1"/>
      <c r="BM1847" s="1"/>
      <c r="BN1847" s="1"/>
      <c r="BO1847" s="1"/>
      <c r="BP1847" s="1"/>
      <c r="CD1847" s="1"/>
      <c r="CG1847" s="1"/>
      <c r="CM1847" s="2"/>
      <c r="CP1847" s="1"/>
      <c r="CQ1847" s="1"/>
      <c r="CX1847" s="1"/>
      <c r="CY1847" s="1"/>
      <c r="CZ1847" s="1"/>
      <c r="DA1847" s="1"/>
      <c r="DB1847" s="1"/>
      <c r="DC1847" s="1"/>
      <c r="DD1847" s="1"/>
      <c r="DE1847" s="1"/>
      <c r="DF1847" s="1"/>
      <c r="DG1847" s="1"/>
      <c r="DH1847" s="1"/>
      <c r="DI1847" s="1"/>
      <c r="DJ1847" s="1"/>
      <c r="DK1847" s="1"/>
      <c r="ED1847" s="1"/>
      <c r="EK1847" s="1"/>
      <c r="EL1847" s="1"/>
      <c r="EM1847" s="1"/>
      <c r="EN1847" s="1"/>
      <c r="EQ1847" s="1"/>
      <c r="ER1847" s="1"/>
      <c r="ES1847" s="1"/>
      <c r="EV1847" s="1"/>
      <c r="EW1847" s="1"/>
      <c r="EZ1847" s="1"/>
      <c r="GO1847" s="1"/>
      <c r="HY1847" s="1"/>
      <c r="IE1847" s="1"/>
      <c r="IS1847" s="1"/>
      <c r="IZ1847" s="1"/>
      <c r="JC1847" s="1"/>
      <c r="JH1847" s="1"/>
      <c r="JJ1847" s="1"/>
      <c r="JP1847" s="1"/>
      <c r="JQ1847" s="1"/>
      <c r="KZ1847" s="1"/>
      <c r="LC1847" s="1"/>
      <c r="LD1847" s="1"/>
      <c r="LO1847" s="1"/>
      <c r="LP1847" s="1"/>
      <c r="LZ1847" s="1"/>
      <c r="MA1847" s="1"/>
    </row>
    <row r="1848" spans="4:339" ht="13" x14ac:dyDescent="0.15">
      <c r="D1848" s="12"/>
      <c r="E1848" s="12"/>
      <c r="I1848" s="12"/>
      <c r="J1848" s="13"/>
      <c r="BF1848" s="1"/>
      <c r="BG1848" s="1"/>
      <c r="BH1848" s="1"/>
      <c r="BI1848" s="1"/>
      <c r="BJ1848" s="1"/>
      <c r="BK1848" s="1"/>
      <c r="BL1848" s="1"/>
      <c r="BM1848" s="1"/>
      <c r="BN1848" s="1"/>
      <c r="BO1848" s="1"/>
      <c r="BP1848" s="1"/>
      <c r="CD1848" s="1"/>
      <c r="CG1848" s="1"/>
      <c r="CM1848" s="2"/>
      <c r="CP1848" s="1"/>
      <c r="CQ1848" s="1"/>
      <c r="CX1848" s="1"/>
      <c r="CY1848" s="1"/>
      <c r="CZ1848" s="1"/>
      <c r="DA1848" s="1"/>
      <c r="DB1848" s="1"/>
      <c r="DC1848" s="1"/>
      <c r="DD1848" s="1"/>
      <c r="DE1848" s="1"/>
      <c r="DF1848" s="1"/>
      <c r="DG1848" s="1"/>
      <c r="DH1848" s="1"/>
      <c r="DI1848" s="1"/>
      <c r="DJ1848" s="1"/>
      <c r="DK1848" s="1"/>
      <c r="ED1848" s="1"/>
      <c r="EK1848" s="1"/>
      <c r="EL1848" s="1"/>
      <c r="EM1848" s="1"/>
      <c r="EN1848" s="1"/>
      <c r="EQ1848" s="1"/>
      <c r="ER1848" s="1"/>
      <c r="ES1848" s="1"/>
      <c r="EV1848" s="1"/>
      <c r="EW1848" s="1"/>
      <c r="EZ1848" s="1"/>
      <c r="GO1848" s="1"/>
      <c r="HY1848" s="1"/>
      <c r="IE1848" s="1"/>
      <c r="IS1848" s="1"/>
      <c r="IZ1848" s="1"/>
      <c r="JC1848" s="1"/>
      <c r="JH1848" s="1"/>
      <c r="JJ1848" s="1"/>
      <c r="JP1848" s="1"/>
      <c r="JQ1848" s="1"/>
      <c r="KZ1848" s="1"/>
      <c r="LC1848" s="1"/>
      <c r="LD1848" s="1"/>
      <c r="LO1848" s="1"/>
      <c r="LP1848" s="1"/>
      <c r="LZ1848" s="1"/>
      <c r="MA1848" s="1"/>
    </row>
    <row r="1849" spans="4:339" ht="13" x14ac:dyDescent="0.15">
      <c r="D1849" s="12"/>
      <c r="E1849" s="12"/>
      <c r="I1849" s="12"/>
      <c r="J1849" s="13"/>
      <c r="BF1849" s="1"/>
      <c r="BG1849" s="1"/>
      <c r="BH1849" s="1"/>
      <c r="BI1849" s="1"/>
      <c r="BK1849" s="1"/>
      <c r="BL1849" s="1"/>
      <c r="BM1849" s="1"/>
      <c r="BN1849" s="1"/>
      <c r="BO1849" s="1"/>
      <c r="CD1849" s="1"/>
      <c r="CE1849" s="1"/>
      <c r="CF1849" s="1"/>
      <c r="CM1849" s="2"/>
      <c r="ED1849" s="1"/>
      <c r="EL1849" s="1"/>
      <c r="EM1849" s="1"/>
      <c r="EN1849" s="1"/>
      <c r="EQ1849" s="1"/>
      <c r="ER1849" s="1"/>
      <c r="ES1849" s="1"/>
      <c r="EV1849" s="1"/>
      <c r="EW1849" s="1"/>
      <c r="EZ1849" s="1"/>
      <c r="HY1849" s="1"/>
      <c r="IS1849" s="1"/>
      <c r="IZ1849" s="1"/>
      <c r="JH1849" s="1"/>
      <c r="JJ1849" s="1"/>
      <c r="JP1849" s="1"/>
      <c r="JQ1849" s="1"/>
      <c r="LX1849" s="1"/>
      <c r="LZ1849" s="1"/>
    </row>
    <row r="1850" spans="4:339" ht="13" x14ac:dyDescent="0.15">
      <c r="D1850" s="12"/>
      <c r="E1850" s="12"/>
      <c r="I1850" s="12"/>
      <c r="J1850" s="13"/>
      <c r="BF1850" s="1"/>
      <c r="BG1850" s="1"/>
      <c r="BH1850" s="1"/>
      <c r="BI1850" s="1"/>
      <c r="BJ1850" s="1"/>
      <c r="BK1850" s="1"/>
      <c r="BL1850" s="1"/>
      <c r="BM1850" s="1"/>
      <c r="BN1850" s="1"/>
      <c r="BO1850" s="1"/>
      <c r="BP1850" s="1"/>
      <c r="CD1850" s="1"/>
      <c r="CE1850" s="1"/>
      <c r="CF1850" s="1"/>
      <c r="CG1850" s="1"/>
      <c r="CM1850" s="4"/>
      <c r="CP1850" s="1"/>
      <c r="CQ1850" s="1"/>
      <c r="CX1850" s="1"/>
      <c r="CY1850" s="1"/>
      <c r="CZ1850" s="1"/>
      <c r="DA1850" s="1"/>
      <c r="DB1850" s="1"/>
      <c r="DC1850" s="1"/>
      <c r="DD1850" s="1"/>
      <c r="DE1850" s="1"/>
      <c r="DF1850" s="1"/>
      <c r="DG1850" s="1"/>
      <c r="DH1850" s="1"/>
      <c r="DI1850" s="1"/>
      <c r="DJ1850" s="1"/>
      <c r="DK1850" s="1"/>
      <c r="DQ1850" s="1"/>
      <c r="DR1850" s="1"/>
      <c r="DY1850" s="1"/>
      <c r="DZ1850" s="1"/>
      <c r="ED1850" s="1"/>
      <c r="EK1850" s="1"/>
      <c r="EL1850" s="1"/>
      <c r="EM1850" s="1"/>
      <c r="EN1850" s="1"/>
      <c r="EQ1850" s="1"/>
      <c r="ER1850" s="1"/>
      <c r="ES1850" s="1"/>
      <c r="EV1850" s="1"/>
      <c r="EW1850" s="1"/>
      <c r="EZ1850" s="1"/>
      <c r="HY1850" s="1"/>
      <c r="IE1850" s="1"/>
      <c r="IR1850" s="1"/>
      <c r="IS1850" s="1"/>
      <c r="IZ1850" s="1"/>
      <c r="JH1850" s="1"/>
      <c r="JJ1850" s="1"/>
      <c r="JN1850" s="1"/>
      <c r="JP1850" s="1"/>
      <c r="JQ1850" s="1"/>
      <c r="KZ1850" s="1"/>
      <c r="LA1850" s="1"/>
      <c r="LB1850" s="1"/>
      <c r="LC1850" s="1"/>
      <c r="LD1850" s="1"/>
      <c r="LO1850" s="1"/>
      <c r="LP1850" s="1"/>
      <c r="LZ1850" s="1"/>
      <c r="MA1850" s="1"/>
    </row>
    <row r="1851" spans="4:339" ht="13" x14ac:dyDescent="0.15">
      <c r="D1851" s="12"/>
      <c r="E1851" s="12"/>
      <c r="I1851" s="12"/>
      <c r="J1851" s="13"/>
      <c r="BF1851" s="1"/>
      <c r="BG1851" s="1"/>
      <c r="BH1851" s="1"/>
      <c r="BI1851" s="1"/>
      <c r="BJ1851" s="1"/>
      <c r="BK1851" s="1"/>
      <c r="BL1851" s="1"/>
      <c r="BM1851" s="1"/>
      <c r="BN1851" s="1"/>
      <c r="BO1851" s="1"/>
      <c r="BP1851" s="1"/>
      <c r="CD1851" s="1"/>
      <c r="CE1851" s="1"/>
      <c r="CF1851" s="1"/>
      <c r="CG1851" s="1"/>
      <c r="CM1851" s="4"/>
      <c r="CP1851" s="1"/>
      <c r="CQ1851" s="1"/>
      <c r="CX1851" s="1"/>
      <c r="CY1851" s="1"/>
      <c r="CZ1851" s="1"/>
      <c r="DA1851" s="1"/>
      <c r="DB1851" s="1"/>
      <c r="DC1851" s="1"/>
      <c r="DD1851" s="1"/>
      <c r="DE1851" s="1"/>
      <c r="DF1851" s="1"/>
      <c r="DG1851" s="1"/>
      <c r="DH1851" s="1"/>
      <c r="DI1851" s="1"/>
      <c r="DJ1851" s="1"/>
      <c r="DK1851" s="1"/>
      <c r="DQ1851" s="1"/>
      <c r="DR1851" s="1"/>
      <c r="DY1851" s="1"/>
      <c r="DZ1851" s="1"/>
      <c r="ED1851" s="1"/>
      <c r="EK1851" s="1"/>
      <c r="EL1851" s="1"/>
      <c r="EM1851" s="1"/>
      <c r="EN1851" s="1"/>
      <c r="EQ1851" s="1"/>
      <c r="ER1851" s="1"/>
      <c r="ES1851" s="1"/>
      <c r="EV1851" s="1"/>
      <c r="EW1851" s="1"/>
      <c r="EZ1851" s="1"/>
      <c r="HY1851" s="1"/>
      <c r="IE1851" s="1"/>
      <c r="IR1851" s="1"/>
      <c r="IS1851" s="1"/>
      <c r="IZ1851" s="1"/>
      <c r="JH1851" s="1"/>
      <c r="JJ1851" s="1"/>
      <c r="JN1851" s="1"/>
      <c r="JP1851" s="1"/>
      <c r="JQ1851" s="1"/>
      <c r="KZ1851" s="1"/>
      <c r="LA1851" s="1"/>
      <c r="LB1851" s="1"/>
      <c r="LC1851" s="1"/>
      <c r="LD1851" s="1"/>
      <c r="LO1851" s="1"/>
      <c r="LP1851" s="1"/>
      <c r="LZ1851" s="1"/>
      <c r="MA1851" s="1"/>
    </row>
    <row r="1852" spans="4:339" ht="13" x14ac:dyDescent="0.15">
      <c r="D1852" s="12"/>
      <c r="E1852" s="12"/>
      <c r="I1852" s="12"/>
      <c r="J1852" s="13"/>
      <c r="BF1852" s="1"/>
      <c r="BG1852" s="1"/>
      <c r="BH1852" s="1"/>
      <c r="BI1852" s="1"/>
      <c r="BJ1852" s="1"/>
      <c r="BK1852" s="1"/>
      <c r="BL1852" s="1"/>
      <c r="BM1852" s="1"/>
      <c r="BN1852" s="1"/>
      <c r="BO1852" s="1"/>
      <c r="BP1852" s="1"/>
      <c r="CD1852" s="1"/>
      <c r="CE1852" s="1"/>
      <c r="CF1852" s="1"/>
      <c r="CG1852" s="1"/>
      <c r="CM1852" s="4"/>
      <c r="CP1852" s="1"/>
      <c r="CQ1852" s="1"/>
      <c r="CX1852" s="1"/>
      <c r="CY1852" s="1"/>
      <c r="CZ1852" s="1"/>
      <c r="DA1852" s="1"/>
      <c r="DB1852" s="1"/>
      <c r="DC1852" s="1"/>
      <c r="DD1852" s="1"/>
      <c r="DE1852" s="1"/>
      <c r="DF1852" s="1"/>
      <c r="DG1852" s="1"/>
      <c r="DH1852" s="1"/>
      <c r="DI1852" s="1"/>
      <c r="DJ1852" s="1"/>
      <c r="DK1852" s="1"/>
      <c r="DQ1852" s="1"/>
      <c r="DR1852" s="1"/>
      <c r="DY1852" s="1"/>
      <c r="DZ1852" s="1"/>
      <c r="ED1852" s="1"/>
      <c r="EK1852" s="1"/>
      <c r="EL1852" s="1"/>
      <c r="EM1852" s="1"/>
      <c r="EN1852" s="1"/>
      <c r="EQ1852" s="1"/>
      <c r="ER1852" s="1"/>
      <c r="ES1852" s="1"/>
      <c r="EV1852" s="1"/>
      <c r="EW1852" s="1"/>
      <c r="EZ1852" s="1"/>
      <c r="HY1852" s="1"/>
      <c r="IE1852" s="1"/>
      <c r="IR1852" s="1"/>
      <c r="IS1852" s="1"/>
      <c r="IZ1852" s="1"/>
      <c r="JH1852" s="1"/>
      <c r="JJ1852" s="1"/>
      <c r="JN1852" s="1"/>
      <c r="JP1852" s="1"/>
      <c r="JQ1852" s="1"/>
      <c r="KZ1852" s="1"/>
      <c r="LA1852" s="1"/>
      <c r="LB1852" s="1"/>
      <c r="LC1852" s="1"/>
      <c r="LD1852" s="1"/>
      <c r="LO1852" s="1"/>
      <c r="LP1852" s="1"/>
      <c r="LZ1852" s="1"/>
      <c r="MA1852" s="1"/>
    </row>
    <row r="1853" spans="4:339" ht="13" x14ac:dyDescent="0.15">
      <c r="D1853" s="12"/>
      <c r="E1853" s="12"/>
      <c r="I1853" s="12"/>
      <c r="J1853" s="13"/>
      <c r="BG1853" s="1"/>
      <c r="BH1853" s="1"/>
      <c r="BM1853" s="1"/>
      <c r="BN1853" s="1"/>
      <c r="CD1853" s="1"/>
      <c r="CM1853" s="2"/>
      <c r="ED1853" s="1"/>
      <c r="EL1853" s="1"/>
      <c r="EM1853" s="1"/>
      <c r="EN1853" s="1"/>
      <c r="EQ1853" s="1"/>
      <c r="ER1853" s="1"/>
      <c r="ES1853" s="1"/>
      <c r="EV1853" s="1"/>
      <c r="EW1853" s="1"/>
      <c r="EZ1853" s="1"/>
      <c r="IS1853" s="1"/>
      <c r="IZ1853" s="1"/>
      <c r="JC1853" s="1"/>
      <c r="JG1853" s="1"/>
      <c r="JH1853" s="1"/>
      <c r="JJ1853" s="1"/>
      <c r="JP1853" s="1"/>
      <c r="JQ1853" s="1"/>
      <c r="JU1853" s="1"/>
      <c r="LM1853" s="1"/>
      <c r="LQ1853" s="1"/>
    </row>
    <row r="1854" spans="4:339" ht="13" x14ac:dyDescent="0.15">
      <c r="D1854" s="12"/>
      <c r="E1854" s="12"/>
      <c r="I1854" s="12"/>
      <c r="J1854" s="13"/>
      <c r="BG1854" s="1"/>
      <c r="BH1854" s="1"/>
      <c r="BI1854" s="1"/>
      <c r="BK1854" s="1"/>
      <c r="BL1854" s="1"/>
      <c r="BM1854" s="1"/>
      <c r="BN1854" s="1"/>
      <c r="CD1854" s="1"/>
      <c r="CM1854" s="4"/>
      <c r="ED1854" s="1"/>
      <c r="EL1854" s="1"/>
      <c r="EM1854" s="1"/>
      <c r="EN1854" s="1"/>
      <c r="EQ1854" s="1"/>
      <c r="ER1854" s="1"/>
      <c r="ES1854" s="1"/>
      <c r="EV1854" s="1"/>
      <c r="EW1854" s="1"/>
      <c r="EZ1854" s="1"/>
      <c r="IR1854" s="1"/>
      <c r="IS1854" s="1"/>
      <c r="IY1854" s="1"/>
      <c r="IZ1854" s="1"/>
      <c r="JJ1854" s="1"/>
      <c r="JN1854" s="1"/>
      <c r="JP1854" s="1"/>
      <c r="JQ1854" s="1"/>
      <c r="LZ1854" s="1"/>
    </row>
    <row r="1855" spans="4:339" ht="13" x14ac:dyDescent="0.15">
      <c r="D1855" s="12"/>
      <c r="E1855" s="12"/>
      <c r="I1855" s="12"/>
      <c r="J1855" s="13"/>
      <c r="BG1855" s="1"/>
      <c r="BH1855" s="1"/>
      <c r="BI1855" s="1"/>
      <c r="BK1855" s="1"/>
      <c r="BL1855" s="1"/>
      <c r="BM1855" s="1"/>
      <c r="BN1855" s="1"/>
      <c r="CD1855" s="1"/>
      <c r="CM1855" s="4"/>
      <c r="ED1855" s="1"/>
      <c r="EL1855" s="1"/>
      <c r="EM1855" s="1"/>
      <c r="EN1855" s="1"/>
      <c r="EQ1855" s="1"/>
      <c r="ER1855" s="1"/>
      <c r="ES1855" s="1"/>
      <c r="EV1855" s="1"/>
      <c r="EW1855" s="1"/>
      <c r="EZ1855" s="1"/>
      <c r="IR1855" s="1"/>
      <c r="IS1855" s="1"/>
      <c r="IY1855" s="1"/>
      <c r="IZ1855" s="1"/>
      <c r="JJ1855" s="1"/>
      <c r="JN1855" s="1"/>
      <c r="JP1855" s="1"/>
      <c r="JQ1855" s="1"/>
      <c r="LZ1855" s="1"/>
    </row>
    <row r="1856" spans="4:339" ht="13" x14ac:dyDescent="0.15">
      <c r="D1856" s="12"/>
      <c r="E1856" s="12"/>
      <c r="I1856" s="12"/>
      <c r="J1856" s="13"/>
      <c r="BG1856" s="1"/>
      <c r="BH1856" s="1"/>
      <c r="BI1856" s="1"/>
      <c r="BK1856" s="1"/>
      <c r="BL1856" s="1"/>
      <c r="BM1856" s="1"/>
      <c r="BN1856" s="1"/>
      <c r="CD1856" s="1"/>
      <c r="CM1856" s="4"/>
      <c r="ED1856" s="1"/>
      <c r="EL1856" s="1"/>
      <c r="EM1856" s="1"/>
      <c r="EN1856" s="1"/>
      <c r="EQ1856" s="1"/>
      <c r="ER1856" s="1"/>
      <c r="ES1856" s="1"/>
      <c r="EV1856" s="1"/>
      <c r="EW1856" s="1"/>
      <c r="EZ1856" s="1"/>
      <c r="IR1856" s="1"/>
      <c r="IS1856" s="1"/>
      <c r="IY1856" s="1"/>
      <c r="IZ1856" s="1"/>
      <c r="JJ1856" s="1"/>
      <c r="JN1856" s="1"/>
      <c r="JP1856" s="1"/>
      <c r="JQ1856" s="1"/>
      <c r="LZ1856" s="1"/>
    </row>
    <row r="1857" spans="4:339" ht="13" x14ac:dyDescent="0.15">
      <c r="D1857" s="12"/>
      <c r="E1857" s="12"/>
      <c r="I1857" s="12"/>
      <c r="J1857" s="13"/>
      <c r="BG1857" s="1"/>
      <c r="BH1857" s="1"/>
      <c r="BI1857" s="1"/>
      <c r="BK1857" s="1"/>
      <c r="BL1857" s="1"/>
      <c r="BM1857" s="1"/>
      <c r="BN1857" s="1"/>
      <c r="CD1857" s="1"/>
      <c r="CM1857" s="4"/>
      <c r="ED1857" s="1"/>
      <c r="EL1857" s="1"/>
      <c r="EM1857" s="1"/>
      <c r="EN1857" s="1"/>
      <c r="EQ1857" s="1"/>
      <c r="ER1857" s="1"/>
      <c r="ES1857" s="1"/>
      <c r="EV1857" s="1"/>
      <c r="EW1857" s="1"/>
      <c r="EZ1857" s="1"/>
      <c r="IR1857" s="1"/>
      <c r="IS1857" s="1"/>
      <c r="IY1857" s="1"/>
      <c r="IZ1857" s="1"/>
      <c r="JJ1857" s="1"/>
      <c r="JN1857" s="1"/>
      <c r="JP1857" s="1"/>
      <c r="JQ1857" s="1"/>
      <c r="LZ1857" s="1"/>
    </row>
    <row r="1858" spans="4:339" ht="13" x14ac:dyDescent="0.15">
      <c r="D1858" s="12"/>
      <c r="E1858" s="12"/>
      <c r="I1858" s="12"/>
      <c r="J1858" s="13"/>
      <c r="BG1858" s="1"/>
      <c r="BH1858" s="1"/>
      <c r="BI1858" s="1"/>
      <c r="BK1858" s="1"/>
      <c r="BL1858" s="1"/>
      <c r="BM1858" s="1"/>
      <c r="BN1858" s="1"/>
      <c r="BO1858" s="1"/>
      <c r="CD1858" s="1"/>
      <c r="CM1858" s="2"/>
      <c r="ED1858" s="1"/>
      <c r="EL1858" s="1"/>
      <c r="EM1858" s="1"/>
      <c r="EN1858" s="1"/>
      <c r="EQ1858" s="1"/>
      <c r="ER1858" s="1"/>
      <c r="ES1858" s="1"/>
      <c r="EV1858" s="1"/>
      <c r="EW1858" s="1"/>
      <c r="EZ1858" s="1"/>
      <c r="HY1858" s="1"/>
      <c r="IS1858" s="1"/>
      <c r="IZ1858" s="1"/>
      <c r="JJ1858" s="1"/>
      <c r="JP1858" s="1"/>
      <c r="JQ1858" s="1"/>
    </row>
    <row r="1859" spans="4:339" ht="13" x14ac:dyDescent="0.15">
      <c r="D1859" s="12"/>
      <c r="E1859" s="12"/>
      <c r="I1859" s="12"/>
      <c r="J1859" s="13"/>
      <c r="BG1859" s="1"/>
      <c r="BH1859" s="1"/>
      <c r="BI1859" s="1"/>
      <c r="BK1859" s="1"/>
      <c r="BL1859" s="1"/>
      <c r="BM1859" s="1"/>
      <c r="BN1859" s="1"/>
      <c r="BO1859" s="1"/>
      <c r="CD1859" s="1"/>
      <c r="CM1859" s="2"/>
      <c r="ED1859" s="1"/>
      <c r="EL1859" s="1"/>
      <c r="EM1859" s="1"/>
      <c r="EN1859" s="1"/>
      <c r="EQ1859" s="1"/>
      <c r="ER1859" s="1"/>
      <c r="ES1859" s="1"/>
      <c r="EV1859" s="1"/>
      <c r="EW1859" s="1"/>
      <c r="EZ1859" s="1"/>
      <c r="HY1859" s="1"/>
      <c r="IS1859" s="1"/>
      <c r="IZ1859" s="1"/>
      <c r="JJ1859" s="1"/>
      <c r="JP1859" s="1"/>
      <c r="JQ1859" s="1"/>
    </row>
    <row r="1860" spans="4:339" ht="13" x14ac:dyDescent="0.15">
      <c r="D1860" s="12"/>
      <c r="E1860" s="12"/>
      <c r="I1860" s="12"/>
      <c r="J1860" s="13"/>
      <c r="BG1860" s="1"/>
      <c r="BH1860" s="1"/>
      <c r="BI1860" s="1"/>
      <c r="BK1860" s="1"/>
      <c r="BL1860" s="1"/>
      <c r="BM1860" s="1"/>
      <c r="BN1860" s="1"/>
      <c r="BO1860" s="1"/>
      <c r="CD1860" s="1"/>
      <c r="CE1860" s="1"/>
      <c r="CF1860" s="1"/>
      <c r="CM1860" s="2"/>
      <c r="ED1860" s="1"/>
      <c r="EL1860" s="1"/>
      <c r="EM1860" s="1"/>
      <c r="EN1860" s="1"/>
      <c r="EQ1860" s="1"/>
      <c r="ER1860" s="1"/>
      <c r="ES1860" s="1"/>
      <c r="EV1860" s="1"/>
      <c r="EW1860" s="1"/>
      <c r="EZ1860" s="1"/>
      <c r="HY1860" s="1"/>
      <c r="IS1860" s="1"/>
      <c r="IZ1860" s="1"/>
      <c r="JJ1860" s="1"/>
      <c r="JP1860" s="1"/>
      <c r="JQ1860" s="1"/>
    </row>
    <row r="1861" spans="4:339" ht="13" x14ac:dyDescent="0.15">
      <c r="D1861" s="12"/>
      <c r="E1861" s="12"/>
      <c r="I1861" s="12"/>
      <c r="J1861" s="13"/>
      <c r="BF1861" s="1"/>
      <c r="BG1861" s="1"/>
      <c r="BH1861" s="1"/>
      <c r="BI1861" s="1"/>
      <c r="BK1861" s="1"/>
      <c r="BL1861" s="1"/>
      <c r="BM1861" s="1"/>
      <c r="BN1861" s="1"/>
      <c r="BO1861" s="1"/>
      <c r="CD1861" s="1"/>
      <c r="CM1861" s="2"/>
      <c r="ED1861" s="1"/>
      <c r="EL1861" s="1"/>
      <c r="EM1861" s="1"/>
      <c r="EN1861" s="1"/>
      <c r="EQ1861" s="1"/>
      <c r="ER1861" s="1"/>
      <c r="ES1861" s="1"/>
      <c r="EV1861" s="1"/>
      <c r="EW1861" s="1"/>
      <c r="EZ1861" s="1"/>
      <c r="HY1861" s="1"/>
      <c r="IS1861" s="1"/>
      <c r="IZ1861" s="1"/>
      <c r="JC1861" s="1"/>
      <c r="JJ1861" s="1"/>
      <c r="JP1861" s="1"/>
      <c r="JQ1861" s="1"/>
      <c r="LX1861" s="1"/>
    </row>
    <row r="1862" spans="4:339" ht="13" x14ac:dyDescent="0.15">
      <c r="D1862" s="12"/>
      <c r="E1862" s="12"/>
      <c r="I1862" s="12"/>
      <c r="J1862" s="13"/>
      <c r="BG1862" s="1"/>
      <c r="BH1862" s="1"/>
      <c r="BI1862" s="1"/>
      <c r="BK1862" s="1"/>
      <c r="BL1862" s="1"/>
      <c r="BM1862" s="1"/>
      <c r="BN1862" s="1"/>
      <c r="CD1862" s="1"/>
      <c r="CM1862" s="2"/>
      <c r="ED1862" s="1"/>
      <c r="EL1862" s="1"/>
      <c r="EM1862" s="1"/>
      <c r="EN1862" s="1"/>
      <c r="EQ1862" s="1"/>
      <c r="ER1862" s="1"/>
      <c r="ES1862" s="1"/>
      <c r="EV1862" s="1"/>
      <c r="EW1862" s="1"/>
      <c r="EZ1862" s="1"/>
      <c r="HY1862" s="1"/>
      <c r="IS1862" s="1"/>
      <c r="IZ1862" s="1"/>
      <c r="JJ1862" s="1"/>
      <c r="JP1862" s="1"/>
      <c r="JQ1862" s="1"/>
    </row>
    <row r="1863" spans="4:339" ht="13" x14ac:dyDescent="0.15">
      <c r="D1863" s="12"/>
      <c r="E1863" s="12"/>
      <c r="I1863" s="12"/>
      <c r="J1863" s="13"/>
      <c r="BG1863" s="1"/>
      <c r="BH1863" s="1"/>
      <c r="BI1863" s="1"/>
      <c r="BK1863" s="1"/>
      <c r="BL1863" s="1"/>
      <c r="BM1863" s="1"/>
      <c r="BN1863" s="1"/>
      <c r="CD1863" s="1"/>
      <c r="CE1863" s="1"/>
      <c r="CF1863" s="1"/>
      <c r="CM1863" s="2"/>
      <c r="ED1863" s="1"/>
      <c r="EL1863" s="1"/>
      <c r="EM1863" s="1"/>
      <c r="EN1863" s="1"/>
      <c r="EQ1863" s="1"/>
      <c r="ER1863" s="1"/>
      <c r="ES1863" s="1"/>
      <c r="EV1863" s="1"/>
      <c r="EW1863" s="1"/>
      <c r="EZ1863" s="1"/>
      <c r="HY1863" s="1"/>
      <c r="IS1863" s="1"/>
      <c r="IZ1863" s="1"/>
      <c r="JJ1863" s="1"/>
      <c r="JP1863" s="1"/>
      <c r="JQ1863" s="1"/>
    </row>
    <row r="1864" spans="4:339" ht="13" x14ac:dyDescent="0.15">
      <c r="D1864" s="12"/>
      <c r="E1864" s="12"/>
      <c r="I1864" s="12"/>
      <c r="J1864" s="13"/>
      <c r="BF1864" s="1"/>
      <c r="BG1864" s="1"/>
      <c r="BH1864" s="1"/>
      <c r="BI1864" s="1"/>
      <c r="BK1864" s="1"/>
      <c r="BL1864" s="1"/>
      <c r="BM1864" s="1"/>
      <c r="BN1864" s="1"/>
      <c r="BO1864" s="1"/>
      <c r="BP1864" s="1"/>
      <c r="CD1864" s="1"/>
      <c r="CE1864" s="1"/>
      <c r="CF1864" s="1"/>
      <c r="CG1864" s="1"/>
      <c r="CM1864" s="2"/>
      <c r="CP1864" s="1"/>
      <c r="CQ1864" s="1"/>
      <c r="CR1864" s="1"/>
      <c r="CS1864" s="1"/>
      <c r="CT1864" s="1"/>
      <c r="CU1864" s="1"/>
      <c r="CV1864" s="1"/>
      <c r="CW1864" s="1"/>
      <c r="CX1864" s="1"/>
      <c r="CY1864" s="1"/>
      <c r="CZ1864" s="1"/>
      <c r="DA1864" s="1"/>
      <c r="DB1864" s="1"/>
      <c r="DC1864" s="1"/>
      <c r="DD1864" s="1"/>
      <c r="DE1864" s="1"/>
      <c r="DF1864" s="1"/>
      <c r="DG1864" s="1"/>
      <c r="DH1864" s="1"/>
      <c r="DI1864" s="1"/>
      <c r="DJ1864" s="1"/>
      <c r="DK1864" s="1"/>
      <c r="DQ1864" s="1"/>
      <c r="DR1864" s="1"/>
      <c r="DY1864" s="1"/>
      <c r="DZ1864" s="1"/>
      <c r="ED1864" s="1"/>
      <c r="EE1864" s="1"/>
      <c r="EF1864" s="1"/>
      <c r="EG1864" s="1"/>
      <c r="EH1864" s="1"/>
      <c r="EK1864" s="1"/>
      <c r="EL1864" s="1"/>
      <c r="EM1864" s="1"/>
      <c r="EN1864" s="1"/>
      <c r="EQ1864" s="1"/>
      <c r="ER1864" s="1"/>
      <c r="ES1864" s="1"/>
      <c r="EV1864" s="1"/>
      <c r="EW1864" s="1"/>
      <c r="EY1864" s="1"/>
      <c r="EZ1864" s="1"/>
      <c r="GO1864" s="1"/>
      <c r="HY1864" s="1"/>
      <c r="IE1864" s="1"/>
      <c r="IG1864" s="1"/>
      <c r="IJ1864" s="1"/>
      <c r="IR1864" s="1"/>
      <c r="IS1864" s="1"/>
      <c r="IY1864" s="1"/>
      <c r="IZ1864" s="1"/>
      <c r="JG1864" s="1"/>
      <c r="JH1864" s="1"/>
      <c r="JJ1864" s="1"/>
      <c r="JK1864" s="1"/>
      <c r="JL1864" s="3"/>
      <c r="JM1864" s="1"/>
      <c r="JP1864" s="1"/>
      <c r="JQ1864" s="1"/>
      <c r="JR1864" s="1"/>
      <c r="KZ1864" s="1"/>
      <c r="LC1864" s="1"/>
      <c r="LD1864" s="1"/>
      <c r="LO1864" s="1"/>
      <c r="LP1864" s="1"/>
      <c r="LZ1864" s="1"/>
      <c r="MA1864" s="1"/>
    </row>
    <row r="1865" spans="4:339" ht="13" x14ac:dyDescent="0.15">
      <c r="D1865" s="12"/>
      <c r="E1865" s="12"/>
      <c r="I1865" s="12"/>
      <c r="J1865" s="13"/>
      <c r="BF1865" s="1"/>
      <c r="BG1865" s="1"/>
      <c r="BH1865" s="1"/>
      <c r="BI1865" s="1"/>
      <c r="BK1865" s="1"/>
      <c r="BL1865" s="1"/>
      <c r="BM1865" s="1"/>
      <c r="BN1865" s="1"/>
      <c r="BO1865" s="1"/>
      <c r="BP1865" s="1"/>
      <c r="CD1865" s="1"/>
      <c r="CE1865" s="1"/>
      <c r="CF1865" s="1"/>
      <c r="CG1865" s="1"/>
      <c r="CM1865" s="2"/>
      <c r="CP1865" s="1"/>
      <c r="CQ1865" s="1"/>
      <c r="CR1865" s="1"/>
      <c r="CS1865" s="1"/>
      <c r="CT1865" s="1"/>
      <c r="CU1865" s="1"/>
      <c r="CV1865" s="1"/>
      <c r="CW1865" s="1"/>
      <c r="CX1865" s="1"/>
      <c r="CY1865" s="1"/>
      <c r="CZ1865" s="1"/>
      <c r="DA1865" s="1"/>
      <c r="DB1865" s="1"/>
      <c r="DC1865" s="1"/>
      <c r="DD1865" s="1"/>
      <c r="DE1865" s="1"/>
      <c r="DF1865" s="1"/>
      <c r="DG1865" s="1"/>
      <c r="DH1865" s="1"/>
      <c r="DI1865" s="1"/>
      <c r="DJ1865" s="1"/>
      <c r="DK1865" s="1"/>
      <c r="DQ1865" s="1"/>
      <c r="DR1865" s="1"/>
      <c r="DY1865" s="1"/>
      <c r="DZ1865" s="1"/>
      <c r="ED1865" s="1"/>
      <c r="EE1865" s="1"/>
      <c r="EF1865" s="1"/>
      <c r="EG1865" s="1"/>
      <c r="EH1865" s="1"/>
      <c r="EK1865" s="1"/>
      <c r="EL1865" s="1"/>
      <c r="EM1865" s="1"/>
      <c r="EN1865" s="1"/>
      <c r="EQ1865" s="1"/>
      <c r="ER1865" s="1"/>
      <c r="ES1865" s="1"/>
      <c r="EV1865" s="1"/>
      <c r="EW1865" s="1"/>
      <c r="EY1865" s="1"/>
      <c r="EZ1865" s="1"/>
      <c r="GO1865" s="1"/>
      <c r="HY1865" s="1"/>
      <c r="IE1865" s="1"/>
      <c r="IG1865" s="1"/>
      <c r="IJ1865" s="1"/>
      <c r="IR1865" s="1"/>
      <c r="IS1865" s="1"/>
      <c r="IY1865" s="1"/>
      <c r="IZ1865" s="1"/>
      <c r="JG1865" s="1"/>
      <c r="JH1865" s="1"/>
      <c r="JJ1865" s="1"/>
      <c r="JK1865" s="1"/>
      <c r="JL1865" s="3"/>
      <c r="JM1865" s="1"/>
      <c r="JP1865" s="1"/>
      <c r="JQ1865" s="1"/>
      <c r="JR1865" s="1"/>
      <c r="KZ1865" s="1"/>
      <c r="LC1865" s="1"/>
      <c r="LD1865" s="1"/>
      <c r="LO1865" s="1"/>
      <c r="LP1865" s="1"/>
      <c r="LZ1865" s="1"/>
      <c r="MA1865" s="1"/>
    </row>
    <row r="1866" spans="4:339" ht="13" x14ac:dyDescent="0.15">
      <c r="D1866" s="12"/>
      <c r="E1866" s="12"/>
      <c r="I1866" s="12"/>
      <c r="J1866" s="13"/>
      <c r="BF1866" s="1"/>
      <c r="BG1866" s="1"/>
      <c r="BH1866" s="1"/>
      <c r="BI1866" s="1"/>
      <c r="BK1866" s="1"/>
      <c r="BL1866" s="1"/>
      <c r="BM1866" s="1"/>
      <c r="BN1866" s="1"/>
      <c r="BO1866" s="1"/>
      <c r="BP1866" s="1"/>
      <c r="CD1866" s="1"/>
      <c r="CE1866" s="1"/>
      <c r="CF1866" s="1"/>
      <c r="CG1866" s="1"/>
      <c r="CM1866" s="2"/>
      <c r="CP1866" s="1"/>
      <c r="CQ1866" s="1"/>
      <c r="CR1866" s="1"/>
      <c r="CS1866" s="1"/>
      <c r="CT1866" s="1"/>
      <c r="CU1866" s="1"/>
      <c r="CV1866" s="1"/>
      <c r="CW1866" s="1"/>
      <c r="CX1866" s="1"/>
      <c r="CY1866" s="1"/>
      <c r="CZ1866" s="1"/>
      <c r="DA1866" s="1"/>
      <c r="DB1866" s="1"/>
      <c r="DC1866" s="1"/>
      <c r="DD1866" s="1"/>
      <c r="DE1866" s="1"/>
      <c r="DF1866" s="1"/>
      <c r="DG1866" s="1"/>
      <c r="DH1866" s="1"/>
      <c r="DI1866" s="1"/>
      <c r="DJ1866" s="1"/>
      <c r="DK1866" s="1"/>
      <c r="DQ1866" s="1"/>
      <c r="DR1866" s="1"/>
      <c r="DY1866" s="1"/>
      <c r="DZ1866" s="1"/>
      <c r="ED1866" s="1"/>
      <c r="EE1866" s="1"/>
      <c r="EF1866" s="1"/>
      <c r="EG1866" s="1"/>
      <c r="EH1866" s="1"/>
      <c r="EK1866" s="1"/>
      <c r="EL1866" s="1"/>
      <c r="EM1866" s="1"/>
      <c r="EN1866" s="1"/>
      <c r="EQ1866" s="1"/>
      <c r="ER1866" s="1"/>
      <c r="ES1866" s="1"/>
      <c r="EV1866" s="1"/>
      <c r="EW1866" s="1"/>
      <c r="EY1866" s="1"/>
      <c r="EZ1866" s="1"/>
      <c r="GO1866" s="1"/>
      <c r="HY1866" s="1"/>
      <c r="IE1866" s="1"/>
      <c r="IG1866" s="1"/>
      <c r="IJ1866" s="1"/>
      <c r="IR1866" s="1"/>
      <c r="IS1866" s="1"/>
      <c r="IY1866" s="1"/>
      <c r="IZ1866" s="1"/>
      <c r="JG1866" s="1"/>
      <c r="JH1866" s="1"/>
      <c r="JJ1866" s="1"/>
      <c r="JK1866" s="1"/>
      <c r="JL1866" s="3"/>
      <c r="JM1866" s="1"/>
      <c r="JP1866" s="1"/>
      <c r="JQ1866" s="1"/>
      <c r="JR1866" s="1"/>
      <c r="KZ1866" s="1"/>
      <c r="LC1866" s="1"/>
      <c r="LD1866" s="1"/>
      <c r="LO1866" s="1"/>
      <c r="LP1866" s="1"/>
      <c r="LZ1866" s="1"/>
      <c r="MA1866" s="1"/>
    </row>
    <row r="1867" spans="4:339" ht="13" x14ac:dyDescent="0.15">
      <c r="D1867" s="12"/>
      <c r="E1867" s="12"/>
      <c r="I1867" s="12"/>
      <c r="J1867" s="13"/>
      <c r="BF1867" s="1"/>
      <c r="BG1867" s="1"/>
      <c r="BH1867" s="1"/>
      <c r="BI1867" s="1"/>
      <c r="BK1867" s="1"/>
      <c r="BL1867" s="1"/>
      <c r="BM1867" s="1"/>
      <c r="BN1867" s="1"/>
      <c r="BO1867" s="1"/>
      <c r="BP1867" s="1"/>
      <c r="CC1867" s="1"/>
      <c r="CD1867" s="1"/>
      <c r="CE1867" s="1"/>
      <c r="CF1867" s="1"/>
      <c r="CG1867" s="1"/>
      <c r="CM1867" s="4"/>
      <c r="CP1867" s="1"/>
      <c r="CQ1867" s="1"/>
      <c r="CR1867" s="1"/>
      <c r="CS1867" s="1"/>
      <c r="CT1867" s="1"/>
      <c r="CU1867" s="1"/>
      <c r="CV1867" s="1"/>
      <c r="CW1867" s="1"/>
      <c r="CX1867" s="1"/>
      <c r="CY1867" s="1"/>
      <c r="CZ1867" s="1"/>
      <c r="DA1867" s="1"/>
      <c r="DB1867" s="1"/>
      <c r="DC1867" s="1"/>
      <c r="DD1867" s="1"/>
      <c r="DE1867" s="1"/>
      <c r="DF1867" s="1"/>
      <c r="DG1867" s="1"/>
      <c r="DH1867" s="1"/>
      <c r="DI1867" s="1"/>
      <c r="DJ1867" s="1"/>
      <c r="DK1867" s="1"/>
      <c r="ED1867" s="1"/>
      <c r="EK1867" s="1"/>
      <c r="EL1867" s="1"/>
      <c r="EM1867" s="1"/>
      <c r="EN1867" s="1"/>
      <c r="EQ1867" s="1"/>
      <c r="ER1867" s="1"/>
      <c r="ES1867" s="1"/>
      <c r="EV1867" s="1"/>
      <c r="EW1867" s="1"/>
      <c r="EZ1867" s="1"/>
      <c r="GO1867" s="1"/>
      <c r="HY1867" s="1"/>
      <c r="IE1867" s="1"/>
      <c r="IS1867" s="1"/>
      <c r="IY1867" s="1"/>
      <c r="IZ1867" s="1"/>
      <c r="JH1867" s="1"/>
      <c r="JJ1867" s="1"/>
      <c r="JP1867" s="1"/>
      <c r="JQ1867" s="1"/>
      <c r="LZ1867" s="1"/>
      <c r="MA1867" s="1"/>
    </row>
    <row r="1868" spans="4:339" ht="13" x14ac:dyDescent="0.15">
      <c r="D1868" s="12"/>
      <c r="E1868" s="12"/>
      <c r="I1868" s="12"/>
      <c r="J1868" s="13"/>
      <c r="BF1868" s="1"/>
      <c r="BG1868" s="1"/>
      <c r="BH1868" s="1"/>
      <c r="BI1868" s="1"/>
      <c r="BK1868" s="1"/>
      <c r="BL1868" s="1"/>
      <c r="BM1868" s="1"/>
      <c r="BN1868" s="1"/>
      <c r="BO1868" s="1"/>
      <c r="BP1868" s="1"/>
      <c r="CC1868" s="1"/>
      <c r="CD1868" s="1"/>
      <c r="CE1868" s="1"/>
      <c r="CF1868" s="1"/>
      <c r="CG1868" s="1"/>
      <c r="CM1868" s="4"/>
      <c r="CP1868" s="1"/>
      <c r="CQ1868" s="1"/>
      <c r="CR1868" s="1"/>
      <c r="CS1868" s="1"/>
      <c r="CT1868" s="1"/>
      <c r="CU1868" s="1"/>
      <c r="CV1868" s="1"/>
      <c r="CW1868" s="1"/>
      <c r="CX1868" s="1"/>
      <c r="CY1868" s="1"/>
      <c r="CZ1868" s="1"/>
      <c r="DA1868" s="1"/>
      <c r="DB1868" s="1"/>
      <c r="DC1868" s="1"/>
      <c r="DD1868" s="1"/>
      <c r="DE1868" s="1"/>
      <c r="DF1868" s="1"/>
      <c r="DG1868" s="1"/>
      <c r="DH1868" s="1"/>
      <c r="DI1868" s="1"/>
      <c r="DJ1868" s="1"/>
      <c r="DK1868" s="1"/>
      <c r="ED1868" s="1"/>
      <c r="EK1868" s="1"/>
      <c r="EL1868" s="1"/>
      <c r="EM1868" s="1"/>
      <c r="EN1868" s="1"/>
      <c r="EQ1868" s="1"/>
      <c r="ER1868" s="1"/>
      <c r="ES1868" s="1"/>
      <c r="EV1868" s="1"/>
      <c r="EW1868" s="1"/>
      <c r="EZ1868" s="1"/>
      <c r="GO1868" s="1"/>
      <c r="HY1868" s="1"/>
      <c r="IE1868" s="1"/>
      <c r="IS1868" s="1"/>
      <c r="IY1868" s="1"/>
      <c r="IZ1868" s="1"/>
      <c r="JH1868" s="1"/>
      <c r="JJ1868" s="1"/>
      <c r="JP1868" s="1"/>
      <c r="JQ1868" s="1"/>
      <c r="LZ1868" s="1"/>
      <c r="MA1868" s="1"/>
    </row>
    <row r="1869" spans="4:339" ht="13" x14ac:dyDescent="0.15">
      <c r="D1869" s="12"/>
      <c r="E1869" s="12"/>
      <c r="I1869" s="12"/>
      <c r="J1869" s="13"/>
      <c r="BF1869" s="1"/>
      <c r="BG1869" s="1"/>
      <c r="BH1869" s="1"/>
      <c r="BI1869" s="1"/>
      <c r="BK1869" s="1"/>
      <c r="BL1869" s="1"/>
      <c r="BM1869" s="1"/>
      <c r="BN1869" s="1"/>
      <c r="BO1869" s="1"/>
      <c r="BP1869" s="1"/>
      <c r="CC1869" s="1"/>
      <c r="CD1869" s="1"/>
      <c r="CE1869" s="1"/>
      <c r="CF1869" s="1"/>
      <c r="CG1869" s="1"/>
      <c r="CM1869" s="4"/>
      <c r="CP1869" s="1"/>
      <c r="CQ1869" s="1"/>
      <c r="CR1869" s="1"/>
      <c r="CS1869" s="1"/>
      <c r="CT1869" s="1"/>
      <c r="CU1869" s="1"/>
      <c r="CV1869" s="1"/>
      <c r="CW1869" s="1"/>
      <c r="CX1869" s="1"/>
      <c r="CY1869" s="1"/>
      <c r="CZ1869" s="1"/>
      <c r="DA1869" s="1"/>
      <c r="DB1869" s="1"/>
      <c r="DC1869" s="1"/>
      <c r="DD1869" s="1"/>
      <c r="DE1869" s="1"/>
      <c r="DF1869" s="1"/>
      <c r="DG1869" s="1"/>
      <c r="DH1869" s="1"/>
      <c r="DI1869" s="1"/>
      <c r="DJ1869" s="1"/>
      <c r="DK1869" s="1"/>
      <c r="ED1869" s="1"/>
      <c r="EK1869" s="1"/>
      <c r="EL1869" s="1"/>
      <c r="EM1869" s="1"/>
      <c r="EN1869" s="1"/>
      <c r="EQ1869" s="1"/>
      <c r="ER1869" s="1"/>
      <c r="ES1869" s="1"/>
      <c r="EV1869" s="1"/>
      <c r="EW1869" s="1"/>
      <c r="EZ1869" s="1"/>
      <c r="GO1869" s="1"/>
      <c r="HY1869" s="1"/>
      <c r="IE1869" s="1"/>
      <c r="IS1869" s="1"/>
      <c r="IY1869" s="1"/>
      <c r="IZ1869" s="1"/>
      <c r="JH1869" s="1"/>
      <c r="JJ1869" s="1"/>
      <c r="JP1869" s="1"/>
      <c r="JQ1869" s="1"/>
      <c r="LZ1869" s="1"/>
      <c r="MA1869" s="1"/>
    </row>
    <row r="1870" spans="4:339" ht="13" x14ac:dyDescent="0.15">
      <c r="D1870" s="12"/>
      <c r="E1870" s="12"/>
      <c r="I1870" s="12"/>
      <c r="J1870" s="13"/>
      <c r="BF1870" s="1"/>
      <c r="BG1870" s="1"/>
      <c r="BH1870" s="1"/>
      <c r="BI1870" s="1"/>
      <c r="BK1870" s="1"/>
      <c r="BL1870" s="1"/>
      <c r="BM1870" s="1"/>
      <c r="BN1870" s="1"/>
      <c r="BO1870" s="1"/>
      <c r="BP1870" s="1"/>
      <c r="CC1870" s="1"/>
      <c r="CD1870" s="1"/>
      <c r="CE1870" s="1"/>
      <c r="CF1870" s="1"/>
      <c r="CG1870" s="1"/>
      <c r="CM1870" s="4"/>
      <c r="CP1870" s="1"/>
      <c r="CQ1870" s="1"/>
      <c r="CR1870" s="1"/>
      <c r="CS1870" s="1"/>
      <c r="CT1870" s="1"/>
      <c r="CU1870" s="1"/>
      <c r="CV1870" s="1"/>
      <c r="CW1870" s="1"/>
      <c r="CX1870" s="1"/>
      <c r="CY1870" s="1"/>
      <c r="CZ1870" s="1"/>
      <c r="DA1870" s="1"/>
      <c r="DB1870" s="1"/>
      <c r="DC1870" s="1"/>
      <c r="DD1870" s="1"/>
      <c r="DE1870" s="1"/>
      <c r="DF1870" s="1"/>
      <c r="DG1870" s="1"/>
      <c r="DH1870" s="1"/>
      <c r="DI1870" s="1"/>
      <c r="DJ1870" s="1"/>
      <c r="DK1870" s="1"/>
      <c r="ED1870" s="1"/>
      <c r="EK1870" s="1"/>
      <c r="EL1870" s="1"/>
      <c r="EM1870" s="1"/>
      <c r="EN1870" s="1"/>
      <c r="EQ1870" s="1"/>
      <c r="ER1870" s="1"/>
      <c r="ES1870" s="1"/>
      <c r="EV1870" s="1"/>
      <c r="EW1870" s="1"/>
      <c r="EZ1870" s="1"/>
      <c r="GO1870" s="1"/>
      <c r="HY1870" s="1"/>
      <c r="IE1870" s="1"/>
      <c r="IS1870" s="1"/>
      <c r="IY1870" s="1"/>
      <c r="IZ1870" s="1"/>
      <c r="JH1870" s="1"/>
      <c r="JJ1870" s="1"/>
      <c r="JP1870" s="1"/>
      <c r="JQ1870" s="1"/>
      <c r="LZ1870" s="1"/>
      <c r="MA1870" s="1"/>
    </row>
    <row r="1871" spans="4:339" ht="13" x14ac:dyDescent="0.15">
      <c r="D1871" s="12"/>
      <c r="E1871" s="12"/>
      <c r="I1871" s="12"/>
      <c r="J1871" s="13"/>
      <c r="BF1871" s="1"/>
      <c r="BG1871" s="1"/>
      <c r="BH1871" s="1"/>
      <c r="BI1871" s="1"/>
      <c r="BJ1871" s="1"/>
      <c r="BK1871" s="1"/>
      <c r="BL1871" s="1"/>
      <c r="BM1871" s="1"/>
      <c r="BN1871" s="1"/>
      <c r="CD1871" s="1"/>
      <c r="CM1871" s="2"/>
      <c r="ED1871" s="1"/>
      <c r="EL1871" s="1"/>
      <c r="EM1871" s="1"/>
      <c r="EN1871" s="1"/>
      <c r="EQ1871" s="1"/>
      <c r="ER1871" s="1"/>
      <c r="ES1871" s="1"/>
      <c r="EV1871" s="1"/>
      <c r="EW1871" s="1"/>
      <c r="EZ1871" s="1"/>
      <c r="IS1871" s="1"/>
      <c r="IZ1871" s="1"/>
      <c r="JF1871" s="1"/>
      <c r="JJ1871" s="1"/>
      <c r="JP1871" s="1"/>
      <c r="JQ1871" s="1"/>
      <c r="LW1871" s="1"/>
    </row>
    <row r="1872" spans="4:339" ht="13" x14ac:dyDescent="0.15">
      <c r="D1872" s="12"/>
      <c r="E1872" s="12"/>
      <c r="I1872" s="12"/>
      <c r="J1872" s="13"/>
      <c r="BF1872" s="1"/>
      <c r="BG1872" s="1"/>
      <c r="BH1872" s="1"/>
      <c r="BI1872" s="1"/>
      <c r="BJ1872" s="1"/>
      <c r="BK1872" s="1"/>
      <c r="BL1872" s="1"/>
      <c r="BM1872" s="1"/>
      <c r="BN1872" s="1"/>
      <c r="CD1872" s="1"/>
      <c r="CM1872" s="2"/>
      <c r="ED1872" s="1"/>
      <c r="EL1872" s="1"/>
      <c r="EM1872" s="1"/>
      <c r="EN1872" s="1"/>
      <c r="EQ1872" s="1"/>
      <c r="ER1872" s="1"/>
      <c r="ES1872" s="1"/>
      <c r="EV1872" s="1"/>
      <c r="EW1872" s="1"/>
      <c r="EZ1872" s="1"/>
      <c r="IS1872" s="1"/>
      <c r="IZ1872" s="1"/>
      <c r="JF1872" s="1"/>
      <c r="JJ1872" s="1"/>
      <c r="JP1872" s="1"/>
      <c r="JQ1872" s="1"/>
      <c r="LW1872" s="1"/>
    </row>
    <row r="1873" spans="4:339" ht="13" x14ac:dyDescent="0.15">
      <c r="D1873" s="12"/>
      <c r="E1873" s="12"/>
      <c r="I1873" s="12"/>
      <c r="J1873" s="13"/>
      <c r="BF1873" s="1"/>
      <c r="BG1873" s="1"/>
      <c r="BH1873" s="1"/>
      <c r="BI1873" s="1"/>
      <c r="BJ1873" s="1"/>
      <c r="BK1873" s="1"/>
      <c r="BL1873" s="1"/>
      <c r="BM1873" s="1"/>
      <c r="BN1873" s="1"/>
      <c r="CD1873" s="1"/>
      <c r="CM1873" s="2"/>
      <c r="ED1873" s="1"/>
      <c r="EL1873" s="1"/>
      <c r="EM1873" s="1"/>
      <c r="EN1873" s="1"/>
      <c r="EQ1873" s="1"/>
      <c r="ER1873" s="1"/>
      <c r="ES1873" s="1"/>
      <c r="EV1873" s="1"/>
      <c r="EW1873" s="1"/>
      <c r="EZ1873" s="1"/>
      <c r="IS1873" s="1"/>
      <c r="IZ1873" s="1"/>
      <c r="JF1873" s="1"/>
      <c r="JJ1873" s="1"/>
      <c r="JP1873" s="1"/>
      <c r="JQ1873" s="1"/>
      <c r="LW1873" s="1"/>
    </row>
    <row r="1874" spans="4:339" ht="13" x14ac:dyDescent="0.15">
      <c r="D1874" s="12"/>
      <c r="E1874" s="12"/>
      <c r="I1874" s="12"/>
      <c r="J1874" s="13"/>
      <c r="BF1874" s="1"/>
      <c r="BG1874" s="1"/>
      <c r="BH1874" s="1"/>
      <c r="BI1874" s="1"/>
      <c r="BJ1874" s="1"/>
      <c r="BK1874" s="1"/>
      <c r="BL1874" s="1"/>
      <c r="BM1874" s="1"/>
      <c r="BN1874" s="1"/>
      <c r="CD1874" s="1"/>
      <c r="CM1874" s="2"/>
      <c r="ED1874" s="1"/>
      <c r="EL1874" s="1"/>
      <c r="EM1874" s="1"/>
      <c r="EN1874" s="1"/>
      <c r="EQ1874" s="1"/>
      <c r="ER1874" s="1"/>
      <c r="ES1874" s="1"/>
      <c r="EV1874" s="1"/>
      <c r="EW1874" s="1"/>
      <c r="EZ1874" s="1"/>
      <c r="IS1874" s="1"/>
      <c r="IZ1874" s="1"/>
      <c r="JF1874" s="1"/>
      <c r="JJ1874" s="1"/>
      <c r="JP1874" s="1"/>
      <c r="JQ1874" s="1"/>
      <c r="LW1874" s="1"/>
    </row>
    <row r="1875" spans="4:339" ht="13" x14ac:dyDescent="0.15">
      <c r="D1875" s="12"/>
      <c r="E1875" s="12"/>
      <c r="I1875" s="12"/>
      <c r="J1875" s="13"/>
      <c r="BG1875" s="1"/>
      <c r="BH1875" s="1"/>
      <c r="BI1875" s="1"/>
      <c r="BK1875" s="1"/>
      <c r="BL1875" s="1"/>
      <c r="BM1875" s="1"/>
      <c r="BN1875" s="1"/>
      <c r="CD1875" s="1"/>
      <c r="CM1875" s="2"/>
      <c r="ED1875" s="1"/>
      <c r="EL1875" s="1"/>
      <c r="EM1875" s="1"/>
      <c r="EN1875" s="1"/>
      <c r="EQ1875" s="1"/>
      <c r="ER1875" s="1"/>
      <c r="ES1875" s="1"/>
      <c r="EV1875" s="1"/>
      <c r="EW1875" s="1"/>
      <c r="EZ1875" s="1"/>
      <c r="IS1875" s="1"/>
      <c r="IY1875" s="1"/>
      <c r="IZ1875" s="1"/>
      <c r="JH1875" s="1"/>
      <c r="JJ1875" s="1"/>
      <c r="JN1875" s="1"/>
      <c r="JP1875" s="1"/>
      <c r="JQ1875" s="1"/>
      <c r="LZ1875" s="1"/>
    </row>
    <row r="1876" spans="4:339" ht="13" x14ac:dyDescent="0.15">
      <c r="D1876" s="12"/>
      <c r="E1876" s="12"/>
      <c r="I1876" s="12"/>
      <c r="J1876" s="13"/>
      <c r="BG1876" s="1"/>
      <c r="BH1876" s="1"/>
      <c r="BI1876" s="1"/>
      <c r="BK1876" s="1"/>
      <c r="BL1876" s="1"/>
      <c r="BM1876" s="1"/>
      <c r="BN1876" s="1"/>
      <c r="CD1876" s="1"/>
      <c r="CM1876" s="2"/>
      <c r="ED1876" s="1"/>
      <c r="EL1876" s="1"/>
      <c r="EM1876" s="1"/>
      <c r="EN1876" s="1"/>
      <c r="EQ1876" s="1"/>
      <c r="ER1876" s="1"/>
      <c r="ES1876" s="1"/>
      <c r="EV1876" s="1"/>
      <c r="EW1876" s="1"/>
      <c r="EZ1876" s="1"/>
      <c r="IS1876" s="1"/>
      <c r="IY1876" s="1"/>
      <c r="IZ1876" s="1"/>
      <c r="JH1876" s="1"/>
      <c r="JJ1876" s="1"/>
      <c r="JN1876" s="1"/>
      <c r="JP1876" s="1"/>
      <c r="JQ1876" s="1"/>
      <c r="LZ1876" s="1"/>
    </row>
    <row r="1877" spans="4:339" ht="13" x14ac:dyDescent="0.15">
      <c r="D1877" s="12"/>
      <c r="E1877" s="12"/>
      <c r="I1877" s="12"/>
      <c r="J1877" s="13"/>
      <c r="BG1877" s="1"/>
      <c r="BH1877" s="1"/>
      <c r="BI1877" s="1"/>
      <c r="BK1877" s="1"/>
      <c r="BL1877" s="1"/>
      <c r="BM1877" s="1"/>
      <c r="BN1877" s="1"/>
      <c r="CD1877" s="1"/>
      <c r="CM1877" s="2"/>
      <c r="ED1877" s="1"/>
      <c r="EL1877" s="1"/>
      <c r="EM1877" s="1"/>
      <c r="EN1877" s="1"/>
      <c r="EQ1877" s="1"/>
      <c r="ER1877" s="1"/>
      <c r="ES1877" s="1"/>
      <c r="EV1877" s="1"/>
      <c r="EW1877" s="1"/>
      <c r="EZ1877" s="1"/>
      <c r="IS1877" s="1"/>
      <c r="IY1877" s="1"/>
      <c r="IZ1877" s="1"/>
      <c r="JH1877" s="1"/>
      <c r="JJ1877" s="1"/>
      <c r="JN1877" s="1"/>
      <c r="JP1877" s="1"/>
      <c r="JQ1877" s="1"/>
      <c r="LZ1877" s="1"/>
    </row>
    <row r="1878" spans="4:339" ht="13" x14ac:dyDescent="0.15">
      <c r="D1878" s="12"/>
      <c r="E1878" s="12"/>
      <c r="I1878" s="12"/>
      <c r="J1878" s="13"/>
      <c r="BF1878" s="1"/>
      <c r="BG1878" s="1"/>
      <c r="BH1878" s="1"/>
      <c r="BI1878" s="1"/>
      <c r="BJ1878" s="1"/>
      <c r="BK1878" s="1"/>
      <c r="BL1878" s="1"/>
      <c r="BM1878" s="1"/>
      <c r="BN1878" s="1"/>
      <c r="BO1878" s="1"/>
      <c r="BP1878" s="1"/>
      <c r="CD1878" s="1"/>
      <c r="CE1878" s="1"/>
      <c r="CF1878" s="1"/>
      <c r="CG1878" s="1"/>
      <c r="CM1878" s="2"/>
      <c r="CP1878" s="1"/>
      <c r="CQ1878" s="1"/>
      <c r="CV1878" s="1"/>
      <c r="CW1878" s="1"/>
      <c r="CX1878" s="1"/>
      <c r="CY1878" s="1"/>
      <c r="CZ1878" s="1"/>
      <c r="DA1878" s="1"/>
      <c r="DB1878" s="1"/>
      <c r="DC1878" s="1"/>
      <c r="DD1878" s="1"/>
      <c r="DE1878" s="1"/>
      <c r="DF1878" s="1"/>
      <c r="DG1878" s="1"/>
      <c r="DH1878" s="1"/>
      <c r="DI1878" s="1"/>
      <c r="DJ1878" s="1"/>
      <c r="DK1878" s="1"/>
      <c r="DQ1878" s="1"/>
      <c r="DR1878" s="1"/>
      <c r="DY1878" s="1"/>
      <c r="DZ1878" s="1"/>
      <c r="ED1878" s="1"/>
      <c r="EK1878" s="1"/>
      <c r="EL1878" s="1"/>
      <c r="EM1878" s="1"/>
      <c r="EN1878" s="1"/>
      <c r="EQ1878" s="1"/>
      <c r="ER1878" s="1"/>
      <c r="ES1878" s="1"/>
      <c r="EV1878" s="1"/>
      <c r="EW1878" s="1"/>
      <c r="EZ1878" s="1"/>
      <c r="GP1878" s="1"/>
      <c r="HY1878" s="1"/>
      <c r="IE1878" s="1"/>
      <c r="IG1878" s="1"/>
      <c r="IR1878" s="1"/>
      <c r="IS1878" s="1"/>
      <c r="IY1878" s="1"/>
      <c r="IZ1878" s="1"/>
      <c r="JD1878" s="1"/>
      <c r="JF1878" s="1"/>
      <c r="JH1878" s="1"/>
      <c r="JJ1878" s="1"/>
      <c r="JK1878" s="1"/>
      <c r="JL1878" s="3"/>
      <c r="JM1878" s="1"/>
      <c r="JN1878" s="1"/>
      <c r="JP1878" s="1"/>
      <c r="JQ1878" s="1"/>
      <c r="JR1878" s="1"/>
      <c r="KZ1878" s="1"/>
      <c r="LC1878" s="1"/>
      <c r="LD1878" s="1"/>
      <c r="LO1878" s="1"/>
      <c r="LP1878" s="1"/>
      <c r="LZ1878" s="1"/>
      <c r="MA1878" s="1"/>
    </row>
    <row r="1879" spans="4:339" ht="13" x14ac:dyDescent="0.15">
      <c r="D1879" s="12"/>
      <c r="E1879" s="12"/>
      <c r="I1879" s="12"/>
      <c r="J1879" s="13"/>
      <c r="BF1879" s="1"/>
      <c r="BG1879" s="1"/>
      <c r="BH1879" s="1"/>
      <c r="BI1879" s="1"/>
      <c r="BJ1879" s="1"/>
      <c r="BK1879" s="1"/>
      <c r="BL1879" s="1"/>
      <c r="BM1879" s="1"/>
      <c r="BN1879" s="1"/>
      <c r="BO1879" s="1"/>
      <c r="BP1879" s="1"/>
      <c r="CD1879" s="1"/>
      <c r="CE1879" s="1"/>
      <c r="CF1879" s="1"/>
      <c r="CG1879" s="1"/>
      <c r="CM1879" s="2"/>
      <c r="CP1879" s="1"/>
      <c r="CQ1879" s="1"/>
      <c r="CV1879" s="1"/>
      <c r="CW1879" s="1"/>
      <c r="CX1879" s="1"/>
      <c r="CY1879" s="1"/>
      <c r="CZ1879" s="1"/>
      <c r="DA1879" s="1"/>
      <c r="DB1879" s="1"/>
      <c r="DC1879" s="1"/>
      <c r="DD1879" s="1"/>
      <c r="DE1879" s="1"/>
      <c r="DF1879" s="1"/>
      <c r="DG1879" s="1"/>
      <c r="DH1879" s="1"/>
      <c r="DI1879" s="1"/>
      <c r="DJ1879" s="1"/>
      <c r="DK1879" s="1"/>
      <c r="DQ1879" s="1"/>
      <c r="DR1879" s="1"/>
      <c r="DY1879" s="1"/>
      <c r="DZ1879" s="1"/>
      <c r="ED1879" s="1"/>
      <c r="EK1879" s="1"/>
      <c r="EL1879" s="1"/>
      <c r="EM1879" s="1"/>
      <c r="EN1879" s="1"/>
      <c r="EQ1879" s="1"/>
      <c r="ER1879" s="1"/>
      <c r="ES1879" s="1"/>
      <c r="EV1879" s="1"/>
      <c r="EW1879" s="1"/>
      <c r="EZ1879" s="1"/>
      <c r="GP1879" s="1"/>
      <c r="HY1879" s="1"/>
      <c r="IE1879" s="1"/>
      <c r="IG1879" s="1"/>
      <c r="IR1879" s="1"/>
      <c r="IS1879" s="1"/>
      <c r="IY1879" s="1"/>
      <c r="IZ1879" s="1"/>
      <c r="JD1879" s="1"/>
      <c r="JF1879" s="1"/>
      <c r="JH1879" s="1"/>
      <c r="JJ1879" s="1"/>
      <c r="JK1879" s="1"/>
      <c r="JL1879" s="3"/>
      <c r="JM1879" s="1"/>
      <c r="JN1879" s="1"/>
      <c r="JP1879" s="1"/>
      <c r="JQ1879" s="1"/>
      <c r="JR1879" s="1"/>
      <c r="KZ1879" s="1"/>
      <c r="LC1879" s="1"/>
      <c r="LD1879" s="1"/>
      <c r="LO1879" s="1"/>
      <c r="LP1879" s="1"/>
      <c r="LZ1879" s="1"/>
      <c r="MA1879" s="1"/>
    </row>
    <row r="1880" spans="4:339" ht="13" x14ac:dyDescent="0.15">
      <c r="D1880" s="12"/>
      <c r="E1880" s="12"/>
      <c r="I1880" s="12"/>
      <c r="J1880" s="13"/>
      <c r="BG1880" s="1"/>
      <c r="BH1880" s="1"/>
      <c r="BI1880" s="1"/>
      <c r="BK1880" s="1"/>
      <c r="BL1880" s="1"/>
      <c r="BM1880" s="1"/>
      <c r="BN1880" s="1"/>
      <c r="CD1880" s="1"/>
      <c r="CM1880" s="2"/>
      <c r="ED1880" s="1"/>
      <c r="EL1880" s="1"/>
      <c r="EM1880" s="1"/>
      <c r="EN1880" s="1"/>
      <c r="EQ1880" s="1"/>
      <c r="ER1880" s="1"/>
      <c r="ES1880" s="1"/>
      <c r="EV1880" s="1"/>
      <c r="EW1880" s="1"/>
      <c r="EZ1880" s="1"/>
      <c r="HY1880" s="1"/>
      <c r="IS1880" s="1"/>
      <c r="IZ1880" s="1"/>
      <c r="JJ1880" s="1"/>
      <c r="JP1880" s="1"/>
      <c r="JQ1880" s="1"/>
    </row>
    <row r="1881" spans="4:339" ht="13" x14ac:dyDescent="0.15">
      <c r="D1881" s="12"/>
      <c r="E1881" s="12"/>
      <c r="I1881" s="12"/>
      <c r="J1881" s="13"/>
      <c r="BF1881" s="1"/>
      <c r="BG1881" s="1"/>
      <c r="BH1881" s="1"/>
      <c r="BI1881" s="1"/>
      <c r="BK1881" s="1"/>
      <c r="BL1881" s="1"/>
      <c r="BM1881" s="1"/>
      <c r="BN1881" s="1"/>
      <c r="CD1881" s="1"/>
      <c r="CM1881" s="2"/>
      <c r="ED1881" s="1"/>
      <c r="EL1881" s="1"/>
      <c r="EM1881" s="1"/>
      <c r="EN1881" s="1"/>
      <c r="EQ1881" s="1"/>
      <c r="ER1881" s="1"/>
      <c r="ES1881" s="1"/>
      <c r="EV1881" s="1"/>
      <c r="EW1881" s="1"/>
      <c r="EZ1881" s="1"/>
      <c r="HY1881" s="1"/>
      <c r="IS1881" s="1"/>
      <c r="IZ1881" s="1"/>
      <c r="JF1881" s="1"/>
      <c r="JH1881" s="1"/>
      <c r="JJ1881" s="1"/>
      <c r="JP1881" s="1"/>
      <c r="JQ1881" s="1"/>
    </row>
    <row r="1882" spans="4:339" ht="13" x14ac:dyDescent="0.15">
      <c r="D1882" s="12"/>
      <c r="E1882" s="12"/>
      <c r="I1882" s="12"/>
      <c r="J1882" s="13"/>
      <c r="BG1882" s="1"/>
      <c r="BH1882" s="1"/>
      <c r="BI1882" s="1"/>
      <c r="BK1882" s="1"/>
      <c r="BL1882" s="1"/>
      <c r="BM1882" s="1"/>
      <c r="BN1882" s="1"/>
      <c r="BO1882" s="1"/>
      <c r="BP1882" s="1"/>
      <c r="CD1882" s="1"/>
      <c r="CE1882" s="1"/>
      <c r="CF1882" s="1"/>
      <c r="CG1882" s="1"/>
      <c r="CM1882" s="2"/>
      <c r="CP1882" s="1"/>
      <c r="CQ1882" s="1"/>
      <c r="CR1882" s="1"/>
      <c r="CS1882" s="1"/>
      <c r="CT1882" s="1"/>
      <c r="CU1882" s="1"/>
      <c r="CV1882" s="1"/>
      <c r="CW1882" s="1"/>
      <c r="CX1882" s="1"/>
      <c r="CY1882" s="1"/>
      <c r="CZ1882" s="1"/>
      <c r="DA1882" s="1"/>
      <c r="DB1882" s="1"/>
      <c r="DC1882" s="1"/>
      <c r="DD1882" s="1"/>
      <c r="DE1882" s="1"/>
      <c r="DF1882" s="1"/>
      <c r="DG1882" s="1"/>
      <c r="DH1882" s="1"/>
      <c r="DI1882" s="1"/>
      <c r="DJ1882" s="1"/>
      <c r="DK1882" s="1"/>
      <c r="ED1882" s="1"/>
      <c r="EE1882" s="1"/>
      <c r="EF1882" s="1"/>
      <c r="EG1882" s="1"/>
      <c r="EH1882" s="1"/>
      <c r="EK1882" s="1"/>
      <c r="EL1882" s="1"/>
      <c r="EM1882" s="1"/>
      <c r="EN1882" s="1"/>
      <c r="EQ1882" s="1"/>
      <c r="ER1882" s="1"/>
      <c r="ES1882" s="1"/>
      <c r="EV1882" s="1"/>
      <c r="EW1882" s="1"/>
      <c r="EY1882" s="1"/>
      <c r="EZ1882" s="1"/>
      <c r="GO1882" s="1"/>
      <c r="HY1882" s="1"/>
      <c r="IE1882" s="1"/>
      <c r="IF1882" s="1"/>
      <c r="IG1882" s="1"/>
      <c r="IJ1882" s="1"/>
      <c r="IR1882" s="1"/>
      <c r="IS1882" s="1"/>
      <c r="IZ1882" s="1"/>
      <c r="JG1882" s="1"/>
      <c r="JH1882" s="1"/>
      <c r="JJ1882" s="1"/>
      <c r="JK1882" s="1"/>
      <c r="JL1882" s="3"/>
      <c r="JM1882" s="1"/>
      <c r="JN1882" s="1"/>
      <c r="JP1882" s="1"/>
      <c r="JQ1882" s="1"/>
      <c r="JR1882" s="1"/>
      <c r="KZ1882" s="1"/>
      <c r="LO1882" s="1"/>
      <c r="LP1882" s="1"/>
      <c r="LZ1882" s="1"/>
      <c r="MA1882" s="1"/>
    </row>
    <row r="1883" spans="4:339" ht="13" x14ac:dyDescent="0.15">
      <c r="D1883" s="12"/>
      <c r="E1883" s="12"/>
      <c r="I1883" s="12"/>
      <c r="J1883" s="13"/>
      <c r="BF1883" s="1"/>
      <c r="BG1883" s="1"/>
      <c r="BH1883" s="1"/>
      <c r="BI1883" s="1"/>
      <c r="BK1883" s="1"/>
      <c r="BL1883" s="1"/>
      <c r="BM1883" s="1"/>
      <c r="BN1883" s="1"/>
      <c r="BO1883" s="1"/>
      <c r="BP1883" s="1"/>
      <c r="CD1883" s="1"/>
      <c r="CE1883" s="1"/>
      <c r="CF1883" s="1"/>
      <c r="CG1883" s="1"/>
      <c r="CM1883" s="2"/>
      <c r="CP1883" s="1"/>
      <c r="CQ1883" s="1"/>
      <c r="CX1883" s="1"/>
      <c r="CY1883" s="1"/>
      <c r="CZ1883" s="1"/>
      <c r="DA1883" s="1"/>
      <c r="DB1883" s="1"/>
      <c r="DC1883" s="1"/>
      <c r="DD1883" s="1"/>
      <c r="DE1883" s="1"/>
      <c r="DF1883" s="1"/>
      <c r="DG1883" s="1"/>
      <c r="DH1883" s="1"/>
      <c r="DI1883" s="1"/>
      <c r="DJ1883" s="1"/>
      <c r="DK1883" s="1"/>
      <c r="ED1883" s="1"/>
      <c r="EK1883" s="1"/>
      <c r="EL1883" s="1"/>
      <c r="EM1883" s="1"/>
      <c r="EN1883" s="1"/>
      <c r="EQ1883" s="1"/>
      <c r="ER1883" s="1"/>
      <c r="ES1883" s="1"/>
      <c r="EV1883" s="1"/>
      <c r="EW1883" s="1"/>
      <c r="EZ1883" s="1"/>
      <c r="HY1883" s="1"/>
      <c r="IE1883" s="1"/>
      <c r="IS1883" s="1"/>
      <c r="IY1883" s="1"/>
      <c r="IZ1883" s="1"/>
      <c r="JF1883" s="1"/>
      <c r="JG1883" s="1"/>
      <c r="JH1883" s="1"/>
      <c r="JJ1883" s="1"/>
      <c r="JN1883" s="1"/>
      <c r="JP1883" s="1"/>
      <c r="JQ1883" s="1"/>
      <c r="KZ1883" s="1"/>
      <c r="LO1883" s="1"/>
      <c r="LP1883" s="1"/>
      <c r="LZ1883" s="1"/>
      <c r="MA1883" s="1"/>
    </row>
    <row r="1884" spans="4:339" ht="13" x14ac:dyDescent="0.15">
      <c r="D1884" s="12"/>
      <c r="E1884" s="12"/>
      <c r="I1884" s="12"/>
      <c r="J1884" s="13"/>
      <c r="BF1884" s="1"/>
      <c r="BG1884" s="1"/>
      <c r="BH1884" s="1"/>
      <c r="BI1884" s="1"/>
      <c r="BK1884" s="1"/>
      <c r="BL1884" s="1"/>
      <c r="BM1884" s="1"/>
      <c r="BN1884" s="1"/>
      <c r="BO1884" s="1"/>
      <c r="BP1884" s="1"/>
      <c r="CD1884" s="1"/>
      <c r="CE1884" s="1"/>
      <c r="CF1884" s="1"/>
      <c r="CG1884" s="1"/>
      <c r="CM1884" s="2"/>
      <c r="CP1884" s="1"/>
      <c r="CQ1884" s="1"/>
      <c r="CX1884" s="1"/>
      <c r="CY1884" s="1"/>
      <c r="CZ1884" s="1"/>
      <c r="DA1884" s="1"/>
      <c r="DB1884" s="1"/>
      <c r="DC1884" s="1"/>
      <c r="DD1884" s="1"/>
      <c r="DE1884" s="1"/>
      <c r="DF1884" s="1"/>
      <c r="DG1884" s="1"/>
      <c r="DH1884" s="1"/>
      <c r="DI1884" s="1"/>
      <c r="DJ1884" s="1"/>
      <c r="DK1884" s="1"/>
      <c r="ED1884" s="1"/>
      <c r="EK1884" s="1"/>
      <c r="EL1884" s="1"/>
      <c r="EM1884" s="1"/>
      <c r="EN1884" s="1"/>
      <c r="EQ1884" s="1"/>
      <c r="ER1884" s="1"/>
      <c r="ES1884" s="1"/>
      <c r="EV1884" s="1"/>
      <c r="EW1884" s="1"/>
      <c r="EZ1884" s="1"/>
      <c r="HY1884" s="1"/>
      <c r="IE1884" s="1"/>
      <c r="IS1884" s="1"/>
      <c r="IY1884" s="1"/>
      <c r="IZ1884" s="1"/>
      <c r="JF1884" s="1"/>
      <c r="JG1884" s="1"/>
      <c r="JH1884" s="1"/>
      <c r="JJ1884" s="1"/>
      <c r="JN1884" s="1"/>
      <c r="JP1884" s="1"/>
      <c r="JQ1884" s="1"/>
      <c r="KZ1884" s="1"/>
      <c r="LO1884" s="1"/>
      <c r="LP1884" s="1"/>
      <c r="LZ1884" s="1"/>
      <c r="MA1884" s="1"/>
    </row>
    <row r="1885" spans="4:339" ht="13" x14ac:dyDescent="0.15">
      <c r="D1885" s="12"/>
      <c r="E1885" s="12"/>
      <c r="I1885" s="12"/>
      <c r="J1885" s="13"/>
      <c r="BF1885" s="1"/>
      <c r="BG1885" s="1"/>
      <c r="BH1885" s="1"/>
      <c r="BI1885" s="1"/>
      <c r="BK1885" s="1"/>
      <c r="BL1885" s="1"/>
      <c r="BM1885" s="1"/>
      <c r="BN1885" s="1"/>
      <c r="BO1885" s="1"/>
      <c r="BP1885" s="1"/>
      <c r="CD1885" s="1"/>
      <c r="CE1885" s="1"/>
      <c r="CF1885" s="1"/>
      <c r="CG1885" s="1"/>
      <c r="CM1885" s="2"/>
      <c r="CP1885" s="1"/>
      <c r="CQ1885" s="1"/>
      <c r="CX1885" s="1"/>
      <c r="CY1885" s="1"/>
      <c r="CZ1885" s="1"/>
      <c r="DA1885" s="1"/>
      <c r="DB1885" s="1"/>
      <c r="DC1885" s="1"/>
      <c r="DD1885" s="1"/>
      <c r="DE1885" s="1"/>
      <c r="DF1885" s="1"/>
      <c r="DG1885" s="1"/>
      <c r="DH1885" s="1"/>
      <c r="DI1885" s="1"/>
      <c r="DJ1885" s="1"/>
      <c r="DK1885" s="1"/>
      <c r="ED1885" s="1"/>
      <c r="EK1885" s="1"/>
      <c r="EL1885" s="1"/>
      <c r="EM1885" s="1"/>
      <c r="EN1885" s="1"/>
      <c r="EQ1885" s="1"/>
      <c r="ER1885" s="1"/>
      <c r="ES1885" s="1"/>
      <c r="EV1885" s="1"/>
      <c r="EW1885" s="1"/>
      <c r="EZ1885" s="1"/>
      <c r="HY1885" s="1"/>
      <c r="IE1885" s="1"/>
      <c r="IS1885" s="1"/>
      <c r="IY1885" s="1"/>
      <c r="IZ1885" s="1"/>
      <c r="JF1885" s="1"/>
      <c r="JG1885" s="1"/>
      <c r="JH1885" s="1"/>
      <c r="JJ1885" s="1"/>
      <c r="JN1885" s="1"/>
      <c r="JP1885" s="1"/>
      <c r="JQ1885" s="1"/>
      <c r="KZ1885" s="1"/>
      <c r="LO1885" s="1"/>
      <c r="LP1885" s="1"/>
      <c r="LZ1885" s="1"/>
      <c r="MA1885" s="1"/>
    </row>
    <row r="1886" spans="4:339" ht="13" x14ac:dyDescent="0.15">
      <c r="D1886" s="12"/>
      <c r="E1886" s="12"/>
      <c r="I1886" s="12"/>
      <c r="J1886" s="13"/>
      <c r="BG1886" s="1"/>
      <c r="BH1886" s="1"/>
      <c r="BI1886" s="1"/>
      <c r="BJ1886" s="1"/>
      <c r="BK1886" s="1"/>
      <c r="BL1886" s="1"/>
      <c r="BM1886" s="1"/>
      <c r="BN1886" s="1"/>
      <c r="BP1886" s="1"/>
      <c r="CD1886" s="1"/>
      <c r="CE1886" s="1"/>
      <c r="CF1886" s="1"/>
      <c r="CM1886" s="2"/>
      <c r="CP1886" s="1"/>
      <c r="CQ1886" s="1"/>
      <c r="CX1886" s="1"/>
      <c r="CY1886" s="1"/>
      <c r="CZ1886" s="1"/>
      <c r="DA1886" s="1"/>
      <c r="DB1886" s="1"/>
      <c r="DC1886" s="1"/>
      <c r="DD1886" s="1"/>
      <c r="DE1886" s="1"/>
      <c r="DF1886" s="1"/>
      <c r="DG1886" s="1"/>
      <c r="DH1886" s="1"/>
      <c r="DI1886" s="1"/>
      <c r="DJ1886" s="1"/>
      <c r="DK1886" s="1"/>
      <c r="ED1886" s="1"/>
      <c r="EK1886" s="1"/>
      <c r="EL1886" s="1"/>
      <c r="EM1886" s="1"/>
      <c r="EN1886" s="1"/>
      <c r="EQ1886" s="1"/>
      <c r="ER1886" s="1"/>
      <c r="ES1886" s="1"/>
      <c r="EV1886" s="1"/>
      <c r="EW1886" s="1"/>
      <c r="EZ1886" s="1"/>
      <c r="GO1886" s="1"/>
      <c r="HY1886" s="1"/>
      <c r="IE1886" s="1"/>
      <c r="IS1886" s="1"/>
      <c r="IZ1886" s="1"/>
      <c r="JJ1886" s="1"/>
      <c r="JP1886" s="1"/>
      <c r="JQ1886" s="1"/>
      <c r="KZ1886" s="1"/>
      <c r="LO1886" s="1"/>
      <c r="LP1886" s="1"/>
      <c r="LZ1886" s="1"/>
      <c r="MA1886" s="1"/>
    </row>
    <row r="1887" spans="4:339" ht="13" x14ac:dyDescent="0.15">
      <c r="D1887" s="12"/>
      <c r="E1887" s="12"/>
      <c r="I1887" s="12"/>
      <c r="J1887" s="13"/>
      <c r="BG1887" s="1"/>
      <c r="BH1887" s="1"/>
      <c r="BI1887" s="1"/>
      <c r="BK1887" s="1"/>
      <c r="BL1887" s="1"/>
      <c r="BM1887" s="1"/>
      <c r="BN1887" s="1"/>
      <c r="BO1887" s="1"/>
      <c r="BP1887" s="1"/>
      <c r="CD1887" s="1"/>
      <c r="CE1887" s="1"/>
      <c r="CF1887" s="1"/>
      <c r="CG1887" s="1"/>
      <c r="CM1887" s="2"/>
      <c r="CP1887" s="1"/>
      <c r="CQ1887" s="1"/>
      <c r="CR1887" s="1"/>
      <c r="CS1887" s="1"/>
      <c r="CT1887" s="1"/>
      <c r="CU1887" s="1"/>
      <c r="CV1887" s="1"/>
      <c r="CW1887" s="1"/>
      <c r="CX1887" s="1"/>
      <c r="CY1887" s="1"/>
      <c r="CZ1887" s="1"/>
      <c r="DA1887" s="1"/>
      <c r="DB1887" s="1"/>
      <c r="DC1887" s="1"/>
      <c r="DD1887" s="1"/>
      <c r="DE1887" s="1"/>
      <c r="DF1887" s="1"/>
      <c r="DG1887" s="1"/>
      <c r="DH1887" s="1"/>
      <c r="DI1887" s="1"/>
      <c r="DJ1887" s="1"/>
      <c r="DK1887" s="1"/>
      <c r="ED1887" s="1"/>
      <c r="EE1887" s="1"/>
      <c r="EF1887" s="1"/>
      <c r="EG1887" s="1"/>
      <c r="EH1887" s="1"/>
      <c r="EK1887" s="1"/>
      <c r="EL1887" s="1"/>
      <c r="EM1887" s="1"/>
      <c r="EN1887" s="1"/>
      <c r="EQ1887" s="1"/>
      <c r="ER1887" s="1"/>
      <c r="ES1887" s="1"/>
      <c r="EV1887" s="1"/>
      <c r="EW1887" s="1"/>
      <c r="EY1887" s="1"/>
      <c r="EZ1887" s="1"/>
      <c r="GO1887" s="1"/>
      <c r="GP1887" s="1"/>
      <c r="HY1887" s="1"/>
      <c r="IE1887" s="1"/>
      <c r="IG1887" s="1"/>
      <c r="IJ1887" s="1"/>
      <c r="IS1887" s="1"/>
      <c r="IZ1887" s="1"/>
      <c r="JG1887" s="1"/>
      <c r="JH1887" s="1"/>
      <c r="JJ1887" s="1"/>
      <c r="JK1887" s="1"/>
      <c r="JL1887" s="3"/>
      <c r="JM1887" s="1"/>
      <c r="JN1887" s="1"/>
      <c r="JP1887" s="1"/>
      <c r="JQ1887" s="1"/>
      <c r="JR1887" s="1"/>
      <c r="KZ1887" s="1"/>
      <c r="LO1887" s="1"/>
      <c r="LP1887" s="1"/>
      <c r="LZ1887" s="1"/>
      <c r="MA1887" s="1"/>
    </row>
    <row r="1888" spans="4:339" ht="13" x14ac:dyDescent="0.15">
      <c r="D1888" s="12"/>
      <c r="E1888" s="12"/>
      <c r="I1888" s="12"/>
      <c r="J1888" s="13"/>
      <c r="BF1888" s="1"/>
      <c r="BG1888" s="1"/>
      <c r="BH1888" s="1"/>
      <c r="BI1888" s="1"/>
      <c r="BK1888" s="1"/>
      <c r="BL1888" s="1"/>
      <c r="BM1888" s="1"/>
      <c r="BN1888" s="1"/>
      <c r="BO1888" s="1"/>
      <c r="CD1888" s="1"/>
      <c r="CE1888" s="1"/>
      <c r="CF1888" s="1"/>
      <c r="CM1888" s="2"/>
      <c r="ED1888" s="1"/>
      <c r="EL1888" s="1"/>
      <c r="EM1888" s="1"/>
      <c r="EN1888" s="1"/>
      <c r="EQ1888" s="1"/>
      <c r="ER1888" s="1"/>
      <c r="ES1888" s="1"/>
      <c r="EV1888" s="1"/>
      <c r="EW1888" s="1"/>
      <c r="EZ1888" s="1"/>
      <c r="HY1888" s="1"/>
      <c r="IR1888" s="1"/>
      <c r="IS1888" s="1"/>
      <c r="IZ1888" s="1"/>
      <c r="JH1888" s="1"/>
      <c r="JJ1888" s="1"/>
      <c r="JN1888" s="1"/>
      <c r="JP1888" s="1"/>
      <c r="JQ1888" s="1"/>
      <c r="JU1888" s="1"/>
    </row>
    <row r="1889" spans="4:339" ht="13" x14ac:dyDescent="0.15">
      <c r="D1889" s="12"/>
      <c r="E1889" s="12"/>
      <c r="I1889" s="12"/>
      <c r="J1889" s="13"/>
      <c r="BF1889" s="1"/>
      <c r="BG1889" s="1"/>
      <c r="BH1889" s="1"/>
      <c r="BI1889" s="1"/>
      <c r="BK1889" s="1"/>
      <c r="BL1889" s="1"/>
      <c r="BM1889" s="1"/>
      <c r="BN1889" s="1"/>
      <c r="BO1889" s="1"/>
      <c r="CD1889" s="1"/>
      <c r="CE1889" s="1"/>
      <c r="CF1889" s="1"/>
      <c r="CM1889" s="2"/>
      <c r="ED1889" s="1"/>
      <c r="EL1889" s="1"/>
      <c r="EM1889" s="1"/>
      <c r="EN1889" s="1"/>
      <c r="EQ1889" s="1"/>
      <c r="ER1889" s="1"/>
      <c r="ES1889" s="1"/>
      <c r="EV1889" s="1"/>
      <c r="EW1889" s="1"/>
      <c r="EZ1889" s="1"/>
      <c r="HY1889" s="1"/>
      <c r="IR1889" s="1"/>
      <c r="IS1889" s="1"/>
      <c r="IZ1889" s="1"/>
      <c r="JH1889" s="1"/>
      <c r="JJ1889" s="1"/>
      <c r="JN1889" s="1"/>
      <c r="JP1889" s="1"/>
      <c r="JQ1889" s="1"/>
      <c r="JU1889" s="1"/>
    </row>
    <row r="1890" spans="4:339" ht="13" x14ac:dyDescent="0.15">
      <c r="D1890" s="12"/>
      <c r="E1890" s="12"/>
      <c r="I1890" s="12"/>
      <c r="J1890" s="13"/>
      <c r="BG1890" s="1"/>
      <c r="BH1890" s="1"/>
      <c r="BI1890" s="1"/>
      <c r="BK1890" s="1"/>
      <c r="BL1890" s="1"/>
      <c r="BM1890" s="1"/>
      <c r="BN1890" s="1"/>
      <c r="CD1890" s="1"/>
      <c r="CG1890" s="1"/>
      <c r="CM1890" s="2"/>
      <c r="ED1890" s="1"/>
      <c r="EL1890" s="1"/>
      <c r="EM1890" s="1"/>
      <c r="EN1890" s="1"/>
      <c r="EQ1890" s="1"/>
      <c r="ER1890" s="1"/>
      <c r="ES1890" s="1"/>
      <c r="EV1890" s="1"/>
      <c r="EW1890" s="1"/>
      <c r="EZ1890" s="1"/>
      <c r="HY1890" s="1"/>
      <c r="IS1890" s="1"/>
      <c r="IZ1890" s="1"/>
      <c r="JH1890" s="1"/>
      <c r="JJ1890" s="1"/>
      <c r="JP1890" s="1"/>
      <c r="JQ1890" s="1"/>
    </row>
    <row r="1891" spans="4:339" ht="13" x14ac:dyDescent="0.15">
      <c r="D1891" s="12"/>
      <c r="E1891" s="12"/>
      <c r="I1891" s="12"/>
      <c r="J1891" s="13"/>
      <c r="BG1891" s="1"/>
      <c r="BH1891" s="1"/>
      <c r="BI1891" s="1"/>
      <c r="BK1891" s="1"/>
      <c r="BL1891" s="1"/>
      <c r="BM1891" s="1"/>
      <c r="BN1891" s="1"/>
      <c r="BO1891" s="1"/>
      <c r="BP1891" s="1"/>
      <c r="CD1891" s="1"/>
      <c r="CM1891" s="2"/>
      <c r="CP1891" s="1"/>
      <c r="CQ1891" s="1"/>
      <c r="CV1891" s="1"/>
      <c r="CW1891" s="1"/>
      <c r="CX1891" s="1"/>
      <c r="CY1891" s="1"/>
      <c r="CZ1891" s="1"/>
      <c r="DA1891" s="1"/>
      <c r="DB1891" s="1"/>
      <c r="DC1891" s="1"/>
      <c r="DD1891" s="1"/>
      <c r="DE1891" s="1"/>
      <c r="DF1891" s="1"/>
      <c r="DG1891" s="1"/>
      <c r="DH1891" s="1"/>
      <c r="DI1891" s="1"/>
      <c r="DJ1891" s="1"/>
      <c r="DK1891" s="1"/>
      <c r="ED1891" s="1"/>
      <c r="EK1891" s="1"/>
      <c r="EL1891" s="1"/>
      <c r="EM1891" s="1"/>
      <c r="EN1891" s="1"/>
      <c r="EQ1891" s="1"/>
      <c r="ER1891" s="1"/>
      <c r="ES1891" s="1"/>
      <c r="EV1891" s="1"/>
      <c r="EW1891" s="1"/>
      <c r="EZ1891" s="1"/>
      <c r="GO1891" s="1"/>
      <c r="HY1891" s="1"/>
      <c r="IE1891" s="1"/>
      <c r="IS1891" s="1"/>
      <c r="IZ1891" s="1"/>
      <c r="JJ1891" s="1"/>
      <c r="JP1891" s="1"/>
      <c r="JQ1891" s="1"/>
      <c r="KZ1891" s="1"/>
      <c r="LO1891" s="1"/>
      <c r="LP1891" s="1"/>
      <c r="LZ1891" s="1"/>
      <c r="MA1891" s="1"/>
    </row>
    <row r="1892" spans="4:339" ht="13" x14ac:dyDescent="0.15">
      <c r="D1892" s="12"/>
      <c r="E1892" s="12"/>
      <c r="I1892" s="12"/>
      <c r="J1892" s="13"/>
      <c r="BG1892" s="1"/>
      <c r="BH1892" s="1"/>
      <c r="BI1892" s="1"/>
      <c r="BK1892" s="1"/>
      <c r="BL1892" s="1"/>
      <c r="BM1892" s="1"/>
      <c r="BN1892" s="1"/>
      <c r="BO1892" s="1"/>
      <c r="BP1892" s="1"/>
      <c r="CD1892" s="1"/>
      <c r="CM1892" s="2"/>
      <c r="CP1892" s="1"/>
      <c r="CQ1892" s="1"/>
      <c r="CV1892" s="1"/>
      <c r="CW1892" s="1"/>
      <c r="CX1892" s="1"/>
      <c r="CY1892" s="1"/>
      <c r="CZ1892" s="1"/>
      <c r="DA1892" s="1"/>
      <c r="DB1892" s="1"/>
      <c r="DC1892" s="1"/>
      <c r="DD1892" s="1"/>
      <c r="DE1892" s="1"/>
      <c r="DF1892" s="1"/>
      <c r="DG1892" s="1"/>
      <c r="DH1892" s="1"/>
      <c r="DI1892" s="1"/>
      <c r="DJ1892" s="1"/>
      <c r="DK1892" s="1"/>
      <c r="ED1892" s="1"/>
      <c r="EK1892" s="1"/>
      <c r="EL1892" s="1"/>
      <c r="EM1892" s="1"/>
      <c r="EN1892" s="1"/>
      <c r="EQ1892" s="1"/>
      <c r="ER1892" s="1"/>
      <c r="ES1892" s="1"/>
      <c r="EV1892" s="1"/>
      <c r="EW1892" s="1"/>
      <c r="EZ1892" s="1"/>
      <c r="GO1892" s="1"/>
      <c r="HY1892" s="1"/>
      <c r="IE1892" s="1"/>
      <c r="IS1892" s="1"/>
      <c r="IZ1892" s="1"/>
      <c r="JJ1892" s="1"/>
      <c r="JP1892" s="1"/>
      <c r="JQ1892" s="1"/>
      <c r="KZ1892" s="1"/>
      <c r="LO1892" s="1"/>
      <c r="LP1892" s="1"/>
      <c r="LZ1892" s="1"/>
      <c r="MA1892" s="1"/>
    </row>
    <row r="1893" spans="4:339" ht="13" x14ac:dyDescent="0.15">
      <c r="D1893" s="12"/>
      <c r="E1893" s="12"/>
      <c r="I1893" s="12"/>
      <c r="J1893" s="13"/>
      <c r="BF1893" s="1"/>
      <c r="BG1893" s="1"/>
      <c r="BH1893" s="1"/>
      <c r="BI1893" s="1"/>
      <c r="BK1893" s="1"/>
      <c r="BL1893" s="1"/>
      <c r="BM1893" s="1"/>
      <c r="BN1893" s="1"/>
      <c r="BO1893" s="1"/>
      <c r="BP1893" s="1"/>
      <c r="CD1893" s="1"/>
      <c r="CE1893" s="1"/>
      <c r="CF1893" s="1"/>
      <c r="CG1893" s="1"/>
      <c r="CM1893" s="4"/>
      <c r="CP1893" s="1"/>
      <c r="CQ1893" s="1"/>
      <c r="CR1893" s="1"/>
      <c r="CT1893" s="1"/>
      <c r="CU1893" s="1"/>
      <c r="CV1893" s="1"/>
      <c r="CW1893" s="1"/>
      <c r="CX1893" s="1"/>
      <c r="CY1893" s="1"/>
      <c r="CZ1893" s="1"/>
      <c r="DA1893" s="1"/>
      <c r="DB1893" s="1"/>
      <c r="DC1893" s="1"/>
      <c r="DD1893" s="1"/>
      <c r="DE1893" s="1"/>
      <c r="DF1893" s="1"/>
      <c r="DG1893" s="1"/>
      <c r="DH1893" s="1"/>
      <c r="DI1893" s="1"/>
      <c r="DJ1893" s="1"/>
      <c r="DK1893" s="1"/>
      <c r="ED1893" s="1"/>
      <c r="EK1893" s="1"/>
      <c r="EL1893" s="1"/>
      <c r="EM1893" s="1"/>
      <c r="EN1893" s="1"/>
      <c r="EQ1893" s="1"/>
      <c r="ER1893" s="1"/>
      <c r="ES1893" s="1"/>
      <c r="EV1893" s="1"/>
      <c r="EW1893" s="1"/>
      <c r="EZ1893" s="1"/>
      <c r="GO1893" s="1"/>
      <c r="GP1893" s="1"/>
      <c r="HY1893" s="1"/>
      <c r="IE1893" s="1"/>
      <c r="IS1893" s="1"/>
      <c r="IY1893" s="1"/>
      <c r="IZ1893" s="1"/>
      <c r="JC1893" s="1"/>
      <c r="JF1893" s="1"/>
      <c r="JJ1893" s="1"/>
      <c r="JP1893" s="1"/>
      <c r="JQ1893" s="1"/>
      <c r="JU1893" s="1"/>
      <c r="KZ1893" s="1"/>
      <c r="LO1893" s="1"/>
      <c r="LP1893" s="1"/>
      <c r="LZ1893" s="1"/>
      <c r="MA1893" s="1"/>
    </row>
    <row r="1894" spans="4:339" ht="13" x14ac:dyDescent="0.15">
      <c r="D1894" s="12"/>
      <c r="E1894" s="12"/>
      <c r="I1894" s="12"/>
      <c r="J1894" s="13"/>
      <c r="BF1894" s="1"/>
      <c r="BG1894" s="1"/>
      <c r="BH1894" s="1"/>
      <c r="BI1894" s="1"/>
      <c r="BK1894" s="1"/>
      <c r="BL1894" s="1"/>
      <c r="BM1894" s="1"/>
      <c r="BN1894" s="1"/>
      <c r="BO1894" s="1"/>
      <c r="BP1894" s="1"/>
      <c r="CD1894" s="1"/>
      <c r="CE1894" s="1"/>
      <c r="CF1894" s="1"/>
      <c r="CG1894" s="1"/>
      <c r="CM1894" s="4"/>
      <c r="CP1894" s="1"/>
      <c r="CQ1894" s="1"/>
      <c r="CR1894" s="1"/>
      <c r="CT1894" s="1"/>
      <c r="CU1894" s="1"/>
      <c r="CV1894" s="1"/>
      <c r="CW1894" s="1"/>
      <c r="CX1894" s="1"/>
      <c r="CY1894" s="1"/>
      <c r="CZ1894" s="1"/>
      <c r="DA1894" s="1"/>
      <c r="DB1894" s="1"/>
      <c r="DC1894" s="1"/>
      <c r="DD1894" s="1"/>
      <c r="DE1894" s="1"/>
      <c r="DF1894" s="1"/>
      <c r="DG1894" s="1"/>
      <c r="DH1894" s="1"/>
      <c r="DI1894" s="1"/>
      <c r="DJ1894" s="1"/>
      <c r="DK1894" s="1"/>
      <c r="ED1894" s="1"/>
      <c r="EK1894" s="1"/>
      <c r="EL1894" s="1"/>
      <c r="EM1894" s="1"/>
      <c r="EN1894" s="1"/>
      <c r="EQ1894" s="1"/>
      <c r="ER1894" s="1"/>
      <c r="ES1894" s="1"/>
      <c r="EV1894" s="1"/>
      <c r="EW1894" s="1"/>
      <c r="EZ1894" s="1"/>
      <c r="GO1894" s="1"/>
      <c r="GP1894" s="1"/>
      <c r="HY1894" s="1"/>
      <c r="IE1894" s="1"/>
      <c r="IS1894" s="1"/>
      <c r="IY1894" s="1"/>
      <c r="IZ1894" s="1"/>
      <c r="JC1894" s="1"/>
      <c r="JF1894" s="1"/>
      <c r="JJ1894" s="1"/>
      <c r="JP1894" s="1"/>
      <c r="JQ1894" s="1"/>
      <c r="JU1894" s="1"/>
      <c r="KZ1894" s="1"/>
      <c r="LO1894" s="1"/>
      <c r="LP1894" s="1"/>
      <c r="LZ1894" s="1"/>
      <c r="MA1894" s="1"/>
    </row>
    <row r="1895" spans="4:339" ht="13" x14ac:dyDescent="0.15">
      <c r="D1895" s="12"/>
      <c r="E1895" s="12"/>
      <c r="I1895" s="12"/>
      <c r="J1895" s="13"/>
      <c r="BF1895" s="1"/>
      <c r="BG1895" s="1"/>
      <c r="BH1895" s="1"/>
      <c r="BI1895" s="1"/>
      <c r="BJ1895" s="1"/>
      <c r="BK1895" s="1"/>
      <c r="BL1895" s="1"/>
      <c r="BM1895" s="1"/>
      <c r="BN1895" s="1"/>
      <c r="BO1895" s="1"/>
      <c r="CD1895" s="1"/>
      <c r="CM1895" s="2"/>
      <c r="ED1895" s="1"/>
      <c r="EL1895" s="1"/>
      <c r="EM1895" s="1"/>
      <c r="EN1895" s="1"/>
      <c r="EQ1895" s="1"/>
      <c r="ER1895" s="1"/>
      <c r="ES1895" s="1"/>
      <c r="EV1895" s="1"/>
      <c r="EW1895" s="1"/>
      <c r="EZ1895" s="1"/>
      <c r="HY1895" s="1"/>
      <c r="IS1895" s="1"/>
      <c r="IZ1895" s="1"/>
      <c r="JJ1895" s="1"/>
      <c r="JP1895" s="1"/>
      <c r="JQ1895" s="1"/>
    </row>
    <row r="1896" spans="4:339" ht="13" x14ac:dyDescent="0.15">
      <c r="D1896" s="12"/>
      <c r="E1896" s="12"/>
      <c r="I1896" s="12"/>
      <c r="J1896" s="13"/>
      <c r="BF1896" s="1"/>
      <c r="BG1896" s="1"/>
      <c r="BH1896" s="1"/>
      <c r="BI1896" s="1"/>
      <c r="BK1896" s="1"/>
      <c r="BL1896" s="1"/>
      <c r="BM1896" s="1"/>
      <c r="BN1896" s="1"/>
      <c r="BO1896" s="1"/>
      <c r="BP1896" s="1"/>
      <c r="CD1896" s="1"/>
      <c r="CE1896" s="1"/>
      <c r="CF1896" s="1"/>
      <c r="CG1896" s="1"/>
      <c r="CM1896" s="2"/>
      <c r="CP1896" s="1"/>
      <c r="CQ1896" s="1"/>
      <c r="CR1896" s="1"/>
      <c r="CS1896" s="1"/>
      <c r="CT1896" s="1"/>
      <c r="CU1896" s="1"/>
      <c r="CV1896" s="1"/>
      <c r="CW1896" s="1"/>
      <c r="CX1896" s="1"/>
      <c r="CY1896" s="1"/>
      <c r="CZ1896" s="1"/>
      <c r="DA1896" s="1"/>
      <c r="DB1896" s="1"/>
      <c r="DC1896" s="1"/>
      <c r="DD1896" s="1"/>
      <c r="DE1896" s="1"/>
      <c r="DF1896" s="1"/>
      <c r="DG1896" s="1"/>
      <c r="DH1896" s="1"/>
      <c r="DI1896" s="1"/>
      <c r="DJ1896" s="1"/>
      <c r="DK1896" s="1"/>
      <c r="ED1896" s="1"/>
      <c r="EE1896" s="1"/>
      <c r="EF1896" s="1"/>
      <c r="EG1896" s="1"/>
      <c r="EH1896" s="1"/>
      <c r="EK1896" s="1"/>
      <c r="EL1896" s="1"/>
      <c r="EM1896" s="1"/>
      <c r="EN1896" s="1"/>
      <c r="EQ1896" s="1"/>
      <c r="ER1896" s="1"/>
      <c r="ES1896" s="1"/>
      <c r="EV1896" s="1"/>
      <c r="EW1896" s="1"/>
      <c r="EY1896" s="1"/>
      <c r="EZ1896" s="1"/>
      <c r="GP1896" s="1"/>
      <c r="HY1896" s="1"/>
      <c r="IE1896" s="1"/>
      <c r="IF1896" s="1"/>
      <c r="IG1896" s="1"/>
      <c r="IJ1896" s="1"/>
      <c r="IS1896" s="1"/>
      <c r="IY1896" s="1"/>
      <c r="IZ1896" s="1"/>
      <c r="JF1896" s="1"/>
      <c r="JG1896" s="1"/>
      <c r="JJ1896" s="1"/>
      <c r="JK1896" s="1"/>
      <c r="JL1896" s="3"/>
      <c r="JM1896" s="1"/>
      <c r="JN1896" s="1"/>
      <c r="JP1896" s="1"/>
      <c r="JQ1896" s="1"/>
      <c r="JR1896" s="1"/>
      <c r="KZ1896" s="1"/>
      <c r="LO1896" s="1"/>
      <c r="LP1896" s="1"/>
      <c r="LZ1896" s="1"/>
      <c r="MA1896" s="1"/>
    </row>
    <row r="1897" spans="4:339" ht="13" x14ac:dyDescent="0.15">
      <c r="D1897" s="12"/>
      <c r="E1897" s="12"/>
      <c r="I1897" s="12"/>
      <c r="J1897" s="13"/>
      <c r="BF1897" s="1"/>
      <c r="BG1897" s="1"/>
      <c r="BH1897" s="1"/>
      <c r="BI1897" s="1"/>
      <c r="BK1897" s="1"/>
      <c r="BL1897" s="1"/>
      <c r="BM1897" s="1"/>
      <c r="BN1897" s="1"/>
      <c r="BO1897" s="1"/>
      <c r="BP1897" s="1"/>
      <c r="CD1897" s="1"/>
      <c r="CE1897" s="1"/>
      <c r="CF1897" s="1"/>
      <c r="CG1897" s="1"/>
      <c r="CM1897" s="2"/>
      <c r="CP1897" s="1"/>
      <c r="CQ1897" s="1"/>
      <c r="CR1897" s="1"/>
      <c r="CS1897" s="1"/>
      <c r="CT1897" s="1"/>
      <c r="CU1897" s="1"/>
      <c r="CV1897" s="1"/>
      <c r="CW1897" s="1"/>
      <c r="CX1897" s="1"/>
      <c r="CY1897" s="1"/>
      <c r="CZ1897" s="1"/>
      <c r="DA1897" s="1"/>
      <c r="DB1897" s="1"/>
      <c r="DC1897" s="1"/>
      <c r="DD1897" s="1"/>
      <c r="DE1897" s="1"/>
      <c r="DF1897" s="1"/>
      <c r="DG1897" s="1"/>
      <c r="DH1897" s="1"/>
      <c r="DI1897" s="1"/>
      <c r="DJ1897" s="1"/>
      <c r="DK1897" s="1"/>
      <c r="ED1897" s="1"/>
      <c r="EE1897" s="1"/>
      <c r="EF1897" s="1"/>
      <c r="EG1897" s="1"/>
      <c r="EH1897" s="1"/>
      <c r="EK1897" s="1"/>
      <c r="EL1897" s="1"/>
      <c r="EM1897" s="1"/>
      <c r="EN1897" s="1"/>
      <c r="EQ1897" s="1"/>
      <c r="ER1897" s="1"/>
      <c r="ES1897" s="1"/>
      <c r="EV1897" s="1"/>
      <c r="EW1897" s="1"/>
      <c r="EY1897" s="1"/>
      <c r="EZ1897" s="1"/>
      <c r="GP1897" s="1"/>
      <c r="HY1897" s="1"/>
      <c r="IE1897" s="1"/>
      <c r="IF1897" s="1"/>
      <c r="IG1897" s="1"/>
      <c r="IJ1897" s="1"/>
      <c r="IS1897" s="1"/>
      <c r="IY1897" s="1"/>
      <c r="IZ1897" s="1"/>
      <c r="JF1897" s="1"/>
      <c r="JG1897" s="1"/>
      <c r="JJ1897" s="1"/>
      <c r="JK1897" s="1"/>
      <c r="JL1897" s="3"/>
      <c r="JM1897" s="1"/>
      <c r="JN1897" s="1"/>
      <c r="JP1897" s="1"/>
      <c r="JQ1897" s="1"/>
      <c r="JR1897" s="1"/>
      <c r="KZ1897" s="1"/>
      <c r="LO1897" s="1"/>
      <c r="LP1897" s="1"/>
      <c r="LZ1897" s="1"/>
      <c r="MA1897" s="1"/>
    </row>
    <row r="1898" spans="4:339" ht="13" x14ac:dyDescent="0.15">
      <c r="D1898" s="12"/>
      <c r="E1898" s="12"/>
      <c r="I1898" s="12"/>
      <c r="J1898" s="13"/>
      <c r="BF1898" s="1"/>
      <c r="BG1898" s="1"/>
      <c r="BH1898" s="1"/>
      <c r="BI1898" s="1"/>
      <c r="BJ1898" s="1"/>
      <c r="BK1898" s="1"/>
      <c r="BL1898" s="1"/>
      <c r="BM1898" s="1"/>
      <c r="BN1898" s="1"/>
      <c r="BO1898" s="1"/>
      <c r="CD1898" s="1"/>
      <c r="CM1898" s="2"/>
      <c r="ED1898" s="1"/>
      <c r="EL1898" s="1"/>
      <c r="EM1898" s="1"/>
      <c r="EN1898" s="1"/>
      <c r="EQ1898" s="1"/>
      <c r="ER1898" s="1"/>
      <c r="ES1898" s="1"/>
      <c r="EV1898" s="1"/>
      <c r="EW1898" s="1"/>
      <c r="EZ1898" s="1"/>
      <c r="HY1898" s="1"/>
      <c r="IS1898" s="1"/>
      <c r="IZ1898" s="1"/>
      <c r="JC1898" s="1"/>
      <c r="JJ1898" s="1"/>
      <c r="JP1898" s="1"/>
      <c r="JQ1898" s="1"/>
      <c r="JU1898" s="1"/>
    </row>
    <row r="1899" spans="4:339" ht="13" x14ac:dyDescent="0.15">
      <c r="D1899" s="12"/>
      <c r="E1899" s="12"/>
      <c r="I1899" s="12"/>
      <c r="J1899" s="13"/>
      <c r="BF1899" s="1"/>
      <c r="BG1899" s="1"/>
      <c r="BH1899" s="1"/>
      <c r="BI1899" s="1"/>
      <c r="BK1899" s="1"/>
      <c r="BL1899" s="1"/>
      <c r="BM1899" s="1"/>
      <c r="BN1899" s="1"/>
      <c r="BO1899" s="1"/>
      <c r="BP1899" s="1"/>
      <c r="CD1899" s="1"/>
      <c r="CE1899" s="1"/>
      <c r="CF1899" s="1"/>
      <c r="CM1899" s="2"/>
      <c r="CP1899" s="1"/>
      <c r="CQ1899" s="1"/>
      <c r="CR1899" s="1"/>
      <c r="CT1899" s="1"/>
      <c r="CU1899" s="1"/>
      <c r="CV1899" s="1"/>
      <c r="CW1899" s="1"/>
      <c r="CX1899" s="1"/>
      <c r="CY1899" s="1"/>
      <c r="CZ1899" s="1"/>
      <c r="DA1899" s="1"/>
      <c r="DB1899" s="1"/>
      <c r="DC1899" s="1"/>
      <c r="DD1899" s="1"/>
      <c r="DE1899" s="1"/>
      <c r="DF1899" s="1"/>
      <c r="DG1899" s="1"/>
      <c r="DH1899" s="1"/>
      <c r="DI1899" s="1"/>
      <c r="DJ1899" s="1"/>
      <c r="DK1899" s="1"/>
      <c r="ED1899" s="1"/>
      <c r="EK1899" s="1"/>
      <c r="EL1899" s="1"/>
      <c r="EM1899" s="1"/>
      <c r="EN1899" s="1"/>
      <c r="EQ1899" s="1"/>
      <c r="ER1899" s="1"/>
      <c r="ES1899" s="1"/>
      <c r="EV1899" s="1"/>
      <c r="EW1899" s="1"/>
      <c r="EZ1899" s="1"/>
      <c r="GO1899" s="1"/>
      <c r="HY1899" s="1"/>
      <c r="IE1899" s="1"/>
      <c r="IS1899" s="1"/>
      <c r="IZ1899" s="1"/>
      <c r="JH1899" s="1"/>
      <c r="JJ1899" s="1"/>
      <c r="JP1899" s="1"/>
      <c r="JQ1899" s="1"/>
      <c r="KZ1899" s="1"/>
      <c r="LO1899" s="1"/>
      <c r="LP1899" s="1"/>
      <c r="LZ1899" s="1"/>
      <c r="MA1899" s="1"/>
    </row>
    <row r="1900" spans="4:339" ht="13" x14ac:dyDescent="0.15">
      <c r="D1900" s="12"/>
      <c r="E1900" s="12"/>
      <c r="I1900" s="12"/>
      <c r="J1900" s="13"/>
      <c r="BG1900" s="1"/>
      <c r="BH1900" s="1"/>
      <c r="BM1900" s="1"/>
      <c r="BN1900" s="1"/>
      <c r="CD1900" s="1"/>
      <c r="CM1900" s="2"/>
      <c r="ED1900" s="1"/>
      <c r="EL1900" s="1"/>
      <c r="EM1900" s="1"/>
      <c r="EN1900" s="1"/>
      <c r="EQ1900" s="1"/>
      <c r="ER1900" s="1"/>
      <c r="ES1900" s="1"/>
      <c r="EV1900" s="1"/>
      <c r="EW1900" s="1"/>
      <c r="EZ1900" s="1"/>
      <c r="IS1900" s="1"/>
      <c r="IY1900" s="1"/>
      <c r="IZ1900" s="1"/>
      <c r="JJ1900" s="1"/>
      <c r="JN1900" s="1"/>
      <c r="JP1900" s="1"/>
      <c r="JQ1900" s="1"/>
      <c r="LY1900" s="1"/>
    </row>
    <row r="1901" spans="4:339" ht="13" x14ac:dyDescent="0.15">
      <c r="D1901" s="12"/>
      <c r="E1901" s="12"/>
      <c r="I1901" s="12"/>
      <c r="J1901" s="13"/>
      <c r="BF1901" s="1"/>
      <c r="BG1901" s="1"/>
      <c r="BH1901" s="1"/>
      <c r="BI1901" s="1"/>
      <c r="BK1901" s="1"/>
      <c r="BL1901" s="1"/>
      <c r="BM1901" s="1"/>
      <c r="BN1901" s="1"/>
      <c r="CC1901" s="1"/>
      <c r="CD1901" s="1"/>
      <c r="CM1901" s="4"/>
      <c r="ED1901" s="1"/>
      <c r="EL1901" s="1"/>
      <c r="EM1901" s="1"/>
      <c r="EN1901" s="1"/>
      <c r="EQ1901" s="1"/>
      <c r="ER1901" s="1"/>
      <c r="ES1901" s="1"/>
      <c r="EV1901" s="1"/>
      <c r="EW1901" s="1"/>
      <c r="EZ1901" s="1"/>
      <c r="HY1901" s="1"/>
      <c r="IR1901" s="1"/>
      <c r="IS1901" s="1"/>
      <c r="IZ1901" s="1"/>
      <c r="JJ1901" s="1"/>
      <c r="JP1901" s="1"/>
      <c r="JQ1901" s="1"/>
    </row>
    <row r="1902" spans="4:339" ht="13" x14ac:dyDescent="0.15">
      <c r="D1902" s="12"/>
      <c r="E1902" s="12"/>
      <c r="I1902" s="12"/>
      <c r="J1902" s="13"/>
      <c r="BG1902" s="1"/>
      <c r="BH1902" s="1"/>
      <c r="BI1902" s="1"/>
      <c r="BK1902" s="1"/>
      <c r="BL1902" s="1"/>
      <c r="BM1902" s="1"/>
      <c r="BN1902" s="1"/>
      <c r="BO1902" s="1"/>
      <c r="CD1902" s="1"/>
      <c r="CM1902" s="2"/>
      <c r="ED1902" s="1"/>
      <c r="EL1902" s="1"/>
      <c r="EM1902" s="1"/>
      <c r="EN1902" s="1"/>
      <c r="EQ1902" s="1"/>
      <c r="ER1902" s="1"/>
      <c r="ES1902" s="1"/>
      <c r="EV1902" s="1"/>
      <c r="EW1902" s="1"/>
      <c r="EZ1902" s="1"/>
      <c r="HY1902" s="1"/>
      <c r="IS1902" s="1"/>
      <c r="IZ1902" s="1"/>
      <c r="JJ1902" s="1"/>
      <c r="JP1902" s="1"/>
      <c r="JQ1902" s="1"/>
    </row>
    <row r="1903" spans="4:339" ht="13" x14ac:dyDescent="0.15">
      <c r="D1903" s="12"/>
      <c r="E1903" s="12"/>
      <c r="I1903" s="12"/>
      <c r="J1903" s="13"/>
      <c r="BF1903" s="1"/>
      <c r="BG1903" s="1"/>
      <c r="BH1903" s="1"/>
      <c r="BI1903" s="1"/>
      <c r="BK1903" s="1"/>
      <c r="BL1903" s="1"/>
      <c r="BM1903" s="1"/>
      <c r="BN1903" s="1"/>
      <c r="CD1903" s="1"/>
      <c r="CE1903" s="1"/>
      <c r="CF1903" s="1"/>
      <c r="CM1903" s="2"/>
      <c r="ED1903" s="1"/>
      <c r="EL1903" s="1"/>
      <c r="EM1903" s="1"/>
      <c r="EN1903" s="1"/>
      <c r="EQ1903" s="1"/>
      <c r="ER1903" s="1"/>
      <c r="ES1903" s="1"/>
      <c r="EV1903" s="1"/>
      <c r="EW1903" s="1"/>
      <c r="EZ1903" s="1"/>
      <c r="HY1903" s="1"/>
      <c r="IS1903" s="1"/>
      <c r="IY1903" s="1"/>
      <c r="IZ1903" s="1"/>
      <c r="JJ1903" s="1"/>
      <c r="JN1903" s="1"/>
      <c r="JP1903" s="1"/>
      <c r="JQ1903" s="1"/>
    </row>
    <row r="1904" spans="4:339" ht="13" x14ac:dyDescent="0.15">
      <c r="D1904" s="12"/>
      <c r="E1904" s="12"/>
      <c r="I1904" s="12"/>
      <c r="J1904" s="13"/>
      <c r="BF1904" s="1"/>
      <c r="BG1904" s="1"/>
      <c r="BH1904" s="1"/>
      <c r="BI1904" s="1"/>
      <c r="BK1904" s="1"/>
      <c r="BL1904" s="1"/>
      <c r="BM1904" s="1"/>
      <c r="BN1904" s="1"/>
      <c r="CD1904" s="1"/>
      <c r="CE1904" s="1"/>
      <c r="CF1904" s="1"/>
      <c r="CM1904" s="2"/>
      <c r="ED1904" s="1"/>
      <c r="EL1904" s="1"/>
      <c r="EM1904" s="1"/>
      <c r="EN1904" s="1"/>
      <c r="EQ1904" s="1"/>
      <c r="ER1904" s="1"/>
      <c r="ES1904" s="1"/>
      <c r="EV1904" s="1"/>
      <c r="EW1904" s="1"/>
      <c r="EZ1904" s="1"/>
      <c r="HY1904" s="1"/>
      <c r="IS1904" s="1"/>
      <c r="IY1904" s="1"/>
      <c r="IZ1904" s="1"/>
      <c r="JJ1904" s="1"/>
      <c r="JN1904" s="1"/>
      <c r="JP1904" s="1"/>
      <c r="JQ1904" s="1"/>
    </row>
    <row r="1905" spans="4:339" ht="13" x14ac:dyDescent="0.15">
      <c r="D1905" s="12"/>
      <c r="E1905" s="12"/>
      <c r="I1905" s="12"/>
      <c r="J1905" s="13"/>
      <c r="BF1905" s="1"/>
      <c r="BG1905" s="1"/>
      <c r="BH1905" s="1"/>
      <c r="BI1905" s="1"/>
      <c r="BK1905" s="1"/>
      <c r="BL1905" s="1"/>
      <c r="BM1905" s="1"/>
      <c r="BN1905" s="1"/>
      <c r="BO1905" s="1"/>
      <c r="BP1905" s="1"/>
      <c r="CD1905" s="1"/>
      <c r="CE1905" s="1"/>
      <c r="CF1905" s="1"/>
      <c r="CG1905" s="1"/>
      <c r="CM1905" s="4"/>
      <c r="CP1905" s="1"/>
      <c r="CQ1905" s="1"/>
      <c r="CR1905" s="1"/>
      <c r="CS1905" s="1"/>
      <c r="CT1905" s="1"/>
      <c r="CU1905" s="1"/>
      <c r="CV1905" s="1"/>
      <c r="CW1905" s="1"/>
      <c r="CX1905" s="1"/>
      <c r="CY1905" s="1"/>
      <c r="CZ1905" s="1"/>
      <c r="DA1905" s="1"/>
      <c r="DB1905" s="1"/>
      <c r="DC1905" s="1"/>
      <c r="DD1905" s="1"/>
      <c r="DE1905" s="1"/>
      <c r="DF1905" s="1"/>
      <c r="DG1905" s="1"/>
      <c r="DH1905" s="1"/>
      <c r="DI1905" s="1"/>
      <c r="DJ1905" s="1"/>
      <c r="DK1905" s="1"/>
      <c r="ED1905" s="1"/>
      <c r="EK1905" s="1"/>
      <c r="EL1905" s="1"/>
      <c r="EM1905" s="1"/>
      <c r="EN1905" s="1"/>
      <c r="EQ1905" s="1"/>
      <c r="ER1905" s="1"/>
      <c r="ES1905" s="1"/>
      <c r="EV1905" s="1"/>
      <c r="EW1905" s="1"/>
      <c r="EZ1905" s="1"/>
      <c r="GO1905" s="1"/>
      <c r="HY1905" s="1"/>
      <c r="IE1905" s="1"/>
      <c r="IS1905" s="1"/>
      <c r="IZ1905" s="1"/>
      <c r="JJ1905" s="1"/>
      <c r="JP1905" s="1"/>
      <c r="JQ1905" s="1"/>
      <c r="KZ1905" s="1"/>
      <c r="LO1905" s="1"/>
      <c r="LP1905" s="1"/>
      <c r="LZ1905" s="1"/>
      <c r="MA1905" s="1"/>
    </row>
    <row r="1906" spans="4:339" ht="13" x14ac:dyDescent="0.15">
      <c r="D1906" s="12"/>
      <c r="E1906" s="12"/>
      <c r="I1906" s="12"/>
      <c r="J1906" s="13"/>
      <c r="BF1906" s="1"/>
      <c r="BG1906" s="1"/>
      <c r="BH1906" s="1"/>
      <c r="BI1906" s="1"/>
      <c r="BJ1906" s="1"/>
      <c r="BK1906" s="1"/>
      <c r="BL1906" s="1"/>
      <c r="BM1906" s="1"/>
      <c r="BN1906" s="1"/>
      <c r="CD1906" s="1"/>
      <c r="CM1906" s="2"/>
      <c r="ED1906" s="1"/>
      <c r="EL1906" s="1"/>
      <c r="EM1906" s="1"/>
      <c r="EN1906" s="1"/>
      <c r="EQ1906" s="1"/>
      <c r="ER1906" s="1"/>
      <c r="ES1906" s="1"/>
      <c r="EV1906" s="1"/>
      <c r="EW1906" s="1"/>
      <c r="EZ1906" s="1"/>
      <c r="IS1906" s="1"/>
      <c r="IZ1906" s="1"/>
      <c r="JJ1906" s="1"/>
      <c r="JN1906" s="1"/>
      <c r="JP1906" s="1"/>
      <c r="JQ1906" s="1"/>
      <c r="LW1906" s="1"/>
    </row>
    <row r="1907" spans="4:339" ht="13" x14ac:dyDescent="0.15">
      <c r="D1907" s="12"/>
      <c r="E1907" s="12"/>
      <c r="I1907" s="12"/>
      <c r="J1907" s="13"/>
      <c r="BF1907" s="1"/>
      <c r="BG1907" s="1"/>
      <c r="BH1907" s="1"/>
      <c r="BI1907" s="1"/>
      <c r="BJ1907" s="1"/>
      <c r="BK1907" s="1"/>
      <c r="BL1907" s="1"/>
      <c r="BM1907" s="1"/>
      <c r="BN1907" s="1"/>
      <c r="CD1907" s="1"/>
      <c r="CM1907" s="2"/>
      <c r="ED1907" s="1"/>
      <c r="EL1907" s="1"/>
      <c r="EM1907" s="1"/>
      <c r="EN1907" s="1"/>
      <c r="EQ1907" s="1"/>
      <c r="ER1907" s="1"/>
      <c r="ES1907" s="1"/>
      <c r="EV1907" s="1"/>
      <c r="EW1907" s="1"/>
      <c r="EZ1907" s="1"/>
      <c r="IS1907" s="1"/>
      <c r="IZ1907" s="1"/>
      <c r="JJ1907" s="1"/>
      <c r="JN1907" s="1"/>
      <c r="JP1907" s="1"/>
      <c r="JQ1907" s="1"/>
      <c r="LW1907" s="1"/>
    </row>
    <row r="1908" spans="4:339" ht="13" x14ac:dyDescent="0.15">
      <c r="D1908" s="12"/>
      <c r="E1908" s="12"/>
      <c r="I1908" s="12"/>
      <c r="J1908" s="13"/>
      <c r="BF1908" s="1"/>
      <c r="BG1908" s="1"/>
      <c r="BH1908" s="1"/>
      <c r="BI1908" s="1"/>
      <c r="BJ1908" s="1"/>
      <c r="BK1908" s="1"/>
      <c r="BL1908" s="1"/>
      <c r="BM1908" s="1"/>
      <c r="BN1908" s="1"/>
      <c r="CD1908" s="1"/>
      <c r="CM1908" s="2"/>
      <c r="ED1908" s="1"/>
      <c r="EL1908" s="1"/>
      <c r="EM1908" s="1"/>
      <c r="EN1908" s="1"/>
      <c r="EQ1908" s="1"/>
      <c r="ER1908" s="1"/>
      <c r="ES1908" s="1"/>
      <c r="EV1908" s="1"/>
      <c r="EW1908" s="1"/>
      <c r="EZ1908" s="1"/>
      <c r="IS1908" s="1"/>
      <c r="IZ1908" s="1"/>
      <c r="JJ1908" s="1"/>
      <c r="JN1908" s="1"/>
      <c r="JP1908" s="1"/>
      <c r="JQ1908" s="1"/>
      <c r="LW1908" s="1"/>
    </row>
    <row r="1909" spans="4:339" ht="13" x14ac:dyDescent="0.15">
      <c r="D1909" s="12"/>
      <c r="E1909" s="12"/>
      <c r="I1909" s="12"/>
      <c r="J1909" s="13"/>
      <c r="BF1909" s="1"/>
      <c r="BG1909" s="1"/>
      <c r="BH1909" s="1"/>
      <c r="BI1909" s="1"/>
      <c r="BJ1909" s="1"/>
      <c r="BK1909" s="1"/>
      <c r="BL1909" s="1"/>
      <c r="BM1909" s="1"/>
      <c r="BN1909" s="1"/>
      <c r="CD1909" s="1"/>
      <c r="CM1909" s="2"/>
      <c r="ED1909" s="1"/>
      <c r="EL1909" s="1"/>
      <c r="EM1909" s="1"/>
      <c r="EN1909" s="1"/>
      <c r="EQ1909" s="1"/>
      <c r="ER1909" s="1"/>
      <c r="ES1909" s="1"/>
      <c r="EV1909" s="1"/>
      <c r="EW1909" s="1"/>
      <c r="EZ1909" s="1"/>
      <c r="IS1909" s="1"/>
      <c r="IZ1909" s="1"/>
      <c r="JJ1909" s="1"/>
      <c r="JN1909" s="1"/>
      <c r="JP1909" s="1"/>
      <c r="JQ1909" s="1"/>
      <c r="LW1909" s="1"/>
    </row>
    <row r="1910" spans="4:339" ht="13" x14ac:dyDescent="0.15">
      <c r="D1910" s="12"/>
      <c r="E1910" s="12"/>
      <c r="I1910" s="12"/>
      <c r="J1910" s="13"/>
      <c r="BF1910" s="1"/>
      <c r="BG1910" s="1"/>
      <c r="BH1910" s="1"/>
      <c r="BI1910" s="1"/>
      <c r="BJ1910" s="1"/>
      <c r="BK1910" s="1"/>
      <c r="BL1910" s="1"/>
      <c r="BM1910" s="1"/>
      <c r="BN1910" s="1"/>
      <c r="CD1910" s="1"/>
      <c r="CM1910" s="2"/>
      <c r="ED1910" s="1"/>
      <c r="EL1910" s="1"/>
      <c r="EM1910" s="1"/>
      <c r="EN1910" s="1"/>
      <c r="EQ1910" s="1"/>
      <c r="ER1910" s="1"/>
      <c r="ES1910" s="1"/>
      <c r="EV1910" s="1"/>
      <c r="EW1910" s="1"/>
      <c r="EZ1910" s="1"/>
      <c r="IS1910" s="1"/>
      <c r="IZ1910" s="1"/>
      <c r="JJ1910" s="1"/>
      <c r="JN1910" s="1"/>
      <c r="JP1910" s="1"/>
      <c r="JQ1910" s="1"/>
      <c r="LW1910" s="1"/>
    </row>
    <row r="1911" spans="4:339" ht="13" x14ac:dyDescent="0.15">
      <c r="D1911" s="12"/>
      <c r="E1911" s="12"/>
      <c r="I1911" s="12"/>
      <c r="J1911" s="13"/>
      <c r="BF1911" s="1"/>
      <c r="BG1911" s="1"/>
      <c r="BH1911" s="1"/>
      <c r="BI1911" s="1"/>
      <c r="BK1911" s="1"/>
      <c r="BL1911" s="1"/>
      <c r="BM1911" s="1"/>
      <c r="BN1911" s="1"/>
      <c r="BO1911" s="1"/>
      <c r="BP1911" s="1"/>
      <c r="CD1911" s="1"/>
      <c r="CE1911" s="1"/>
      <c r="CF1911" s="1"/>
      <c r="CM1911" s="2"/>
      <c r="CP1911" s="1"/>
      <c r="CQ1911" s="1"/>
      <c r="CR1911" s="1"/>
      <c r="CS1911" s="1"/>
      <c r="CT1911" s="1"/>
      <c r="CU1911" s="1"/>
      <c r="CV1911" s="1"/>
      <c r="CW1911" s="1"/>
      <c r="CX1911" s="1"/>
      <c r="CY1911" s="1"/>
      <c r="CZ1911" s="1"/>
      <c r="DA1911" s="1"/>
      <c r="DB1911" s="1"/>
      <c r="DC1911" s="1"/>
      <c r="DD1911" s="1"/>
      <c r="DE1911" s="1"/>
      <c r="DF1911" s="1"/>
      <c r="DG1911" s="1"/>
      <c r="DH1911" s="1"/>
      <c r="DI1911" s="1"/>
      <c r="DJ1911" s="1"/>
      <c r="DK1911" s="1"/>
      <c r="ED1911" s="1"/>
      <c r="EK1911" s="1"/>
      <c r="EL1911" s="1"/>
      <c r="EM1911" s="1"/>
      <c r="EN1911" s="1"/>
      <c r="EQ1911" s="1"/>
      <c r="ER1911" s="1"/>
      <c r="ES1911" s="1"/>
      <c r="EV1911" s="1"/>
      <c r="EW1911" s="1"/>
      <c r="EZ1911" s="1"/>
      <c r="GO1911" s="1"/>
      <c r="HY1911" s="1"/>
      <c r="IE1911" s="1"/>
      <c r="IS1911" s="1"/>
      <c r="IZ1911" s="1"/>
      <c r="JJ1911" s="1"/>
      <c r="JP1911" s="1"/>
      <c r="JQ1911" s="1"/>
      <c r="KZ1911" s="1"/>
      <c r="LO1911" s="1"/>
      <c r="LP1911" s="1"/>
      <c r="LZ1911" s="1"/>
      <c r="MA1911" s="1"/>
    </row>
    <row r="1912" spans="4:339" ht="13" x14ac:dyDescent="0.15">
      <c r="D1912" s="12"/>
      <c r="E1912" s="12"/>
      <c r="I1912" s="12"/>
      <c r="J1912" s="13"/>
      <c r="BF1912" s="1"/>
      <c r="BG1912" s="1"/>
      <c r="BH1912" s="1"/>
      <c r="BI1912" s="1"/>
      <c r="BK1912" s="1"/>
      <c r="BL1912" s="1"/>
      <c r="BM1912" s="1"/>
      <c r="BN1912" s="1"/>
      <c r="BO1912" s="1"/>
      <c r="BP1912" s="1"/>
      <c r="CD1912" s="1"/>
      <c r="CE1912" s="1"/>
      <c r="CF1912" s="1"/>
      <c r="CM1912" s="2"/>
      <c r="CP1912" s="1"/>
      <c r="CQ1912" s="1"/>
      <c r="CR1912" s="1"/>
      <c r="CS1912" s="1"/>
      <c r="CT1912" s="1"/>
      <c r="CU1912" s="1"/>
      <c r="CV1912" s="1"/>
      <c r="CW1912" s="1"/>
      <c r="CX1912" s="1"/>
      <c r="CY1912" s="1"/>
      <c r="CZ1912" s="1"/>
      <c r="DA1912" s="1"/>
      <c r="DB1912" s="1"/>
      <c r="DC1912" s="1"/>
      <c r="DD1912" s="1"/>
      <c r="DE1912" s="1"/>
      <c r="DF1912" s="1"/>
      <c r="DG1912" s="1"/>
      <c r="DH1912" s="1"/>
      <c r="DI1912" s="1"/>
      <c r="DJ1912" s="1"/>
      <c r="DK1912" s="1"/>
      <c r="ED1912" s="1"/>
      <c r="EK1912" s="1"/>
      <c r="EL1912" s="1"/>
      <c r="EM1912" s="1"/>
      <c r="EN1912" s="1"/>
      <c r="EQ1912" s="1"/>
      <c r="ER1912" s="1"/>
      <c r="ES1912" s="1"/>
      <c r="EV1912" s="1"/>
      <c r="EW1912" s="1"/>
      <c r="EZ1912" s="1"/>
      <c r="GO1912" s="1"/>
      <c r="HY1912" s="1"/>
      <c r="IE1912" s="1"/>
      <c r="IS1912" s="1"/>
      <c r="IZ1912" s="1"/>
      <c r="JJ1912" s="1"/>
      <c r="JP1912" s="1"/>
      <c r="JQ1912" s="1"/>
      <c r="KZ1912" s="1"/>
      <c r="LO1912" s="1"/>
      <c r="LP1912" s="1"/>
      <c r="LZ1912" s="1"/>
      <c r="MA1912" s="1"/>
    </row>
    <row r="1913" spans="4:339" ht="13" x14ac:dyDescent="0.15">
      <c r="D1913" s="12"/>
      <c r="E1913" s="12"/>
      <c r="I1913" s="12"/>
      <c r="J1913" s="13"/>
      <c r="BG1913" s="1"/>
      <c r="BH1913" s="1"/>
      <c r="BI1913" s="1"/>
      <c r="BJ1913" s="1"/>
      <c r="BK1913" s="1"/>
      <c r="BL1913" s="1"/>
      <c r="BM1913" s="1"/>
      <c r="BN1913" s="1"/>
      <c r="BO1913" s="1"/>
      <c r="CD1913" s="1"/>
      <c r="CE1913" s="1"/>
      <c r="CF1913" s="1"/>
      <c r="CM1913" s="2"/>
      <c r="ED1913" s="1"/>
      <c r="EL1913" s="1"/>
      <c r="EM1913" s="1"/>
      <c r="EN1913" s="1"/>
      <c r="EQ1913" s="1"/>
      <c r="ER1913" s="1"/>
      <c r="ES1913" s="1"/>
      <c r="EV1913" s="1"/>
      <c r="EW1913" s="1"/>
      <c r="EZ1913" s="1"/>
      <c r="HY1913" s="1"/>
      <c r="IR1913" s="1"/>
      <c r="IS1913" s="1"/>
      <c r="IZ1913" s="1"/>
      <c r="JJ1913" s="1"/>
      <c r="JN1913" s="1"/>
      <c r="JP1913" s="1"/>
      <c r="JQ1913" s="1"/>
    </row>
    <row r="1914" spans="4:339" ht="13" x14ac:dyDescent="0.15">
      <c r="D1914" s="12"/>
      <c r="E1914" s="12"/>
      <c r="I1914" s="12"/>
      <c r="J1914" s="13"/>
      <c r="BG1914" s="1"/>
      <c r="BH1914" s="1"/>
      <c r="BI1914" s="1"/>
      <c r="BJ1914" s="1"/>
      <c r="BK1914" s="1"/>
      <c r="BL1914" s="1"/>
      <c r="BM1914" s="1"/>
      <c r="BN1914" s="1"/>
      <c r="BO1914" s="1"/>
      <c r="CD1914" s="1"/>
      <c r="CM1914" s="2"/>
      <c r="ED1914" s="1"/>
      <c r="EL1914" s="1"/>
      <c r="EM1914" s="1"/>
      <c r="EN1914" s="1"/>
      <c r="EQ1914" s="1"/>
      <c r="ER1914" s="1"/>
      <c r="ES1914" s="1"/>
      <c r="EV1914" s="1"/>
      <c r="EW1914" s="1"/>
      <c r="EZ1914" s="1"/>
      <c r="HY1914" s="1"/>
      <c r="IS1914" s="1"/>
      <c r="IY1914" s="1"/>
      <c r="IZ1914" s="1"/>
      <c r="JJ1914" s="1"/>
      <c r="JP1914" s="1"/>
      <c r="JQ1914" s="1"/>
    </row>
    <row r="1915" spans="4:339" ht="13" x14ac:dyDescent="0.15">
      <c r="D1915" s="12"/>
      <c r="E1915" s="12"/>
      <c r="I1915" s="12"/>
      <c r="J1915" s="13"/>
      <c r="BF1915" s="1"/>
      <c r="BG1915" s="1"/>
      <c r="BH1915" s="1"/>
      <c r="BI1915" s="1"/>
      <c r="BK1915" s="1"/>
      <c r="BL1915" s="1"/>
      <c r="BM1915" s="1"/>
      <c r="BN1915" s="1"/>
      <c r="BO1915" s="1"/>
      <c r="BP1915" s="1"/>
      <c r="CD1915" s="1"/>
      <c r="CE1915" s="1"/>
      <c r="CF1915" s="1"/>
      <c r="CG1915" s="1"/>
      <c r="CM1915" s="2"/>
      <c r="CP1915" s="1"/>
      <c r="CQ1915" s="1"/>
      <c r="CR1915" s="1"/>
      <c r="CS1915" s="1"/>
      <c r="CT1915" s="1"/>
      <c r="CU1915" s="1"/>
      <c r="CV1915" s="1"/>
      <c r="CW1915" s="1"/>
      <c r="CX1915" s="1"/>
      <c r="CY1915" s="1"/>
      <c r="CZ1915" s="1"/>
      <c r="DA1915" s="1"/>
      <c r="DB1915" s="1"/>
      <c r="DC1915" s="1"/>
      <c r="DD1915" s="1"/>
      <c r="DE1915" s="1"/>
      <c r="DF1915" s="1"/>
      <c r="DG1915" s="1"/>
      <c r="DH1915" s="1"/>
      <c r="DI1915" s="1"/>
      <c r="DJ1915" s="1"/>
      <c r="DK1915" s="1"/>
      <c r="ED1915" s="1"/>
      <c r="EE1915" s="1"/>
      <c r="EF1915" s="1"/>
      <c r="EG1915" s="1"/>
      <c r="EH1915" s="1"/>
      <c r="EK1915" s="1"/>
      <c r="EL1915" s="1"/>
      <c r="EM1915" s="1"/>
      <c r="EN1915" s="1"/>
      <c r="EQ1915" s="1"/>
      <c r="ER1915" s="1"/>
      <c r="ES1915" s="1"/>
      <c r="EV1915" s="1"/>
      <c r="EW1915" s="1"/>
      <c r="EY1915" s="1"/>
      <c r="EZ1915" s="1"/>
      <c r="HY1915" s="1"/>
      <c r="IE1915" s="1"/>
      <c r="IG1915" s="1"/>
      <c r="IJ1915" s="1"/>
      <c r="IR1915" s="1"/>
      <c r="IS1915" s="1"/>
      <c r="IZ1915" s="1"/>
      <c r="JH1915" s="1"/>
      <c r="JJ1915" s="1"/>
      <c r="JK1915" s="1"/>
      <c r="JL1915" s="3"/>
      <c r="JM1915" s="1"/>
      <c r="JP1915" s="1"/>
      <c r="JQ1915" s="1"/>
      <c r="JR1915" s="1"/>
      <c r="LO1915" s="1"/>
      <c r="LP1915" s="1"/>
      <c r="LZ1915" s="1"/>
      <c r="MA1915" s="1"/>
    </row>
    <row r="1916" spans="4:339" ht="13" x14ac:dyDescent="0.15">
      <c r="D1916" s="12"/>
      <c r="E1916" s="12"/>
      <c r="I1916" s="12"/>
      <c r="J1916" s="13"/>
      <c r="BF1916" s="1"/>
      <c r="BG1916" s="1"/>
      <c r="BH1916" s="1"/>
      <c r="BI1916" s="1"/>
      <c r="BK1916" s="1"/>
      <c r="BL1916" s="1"/>
      <c r="BM1916" s="1"/>
      <c r="BN1916" s="1"/>
      <c r="BO1916" s="1"/>
      <c r="BP1916" s="1"/>
      <c r="CD1916" s="1"/>
      <c r="CE1916" s="1"/>
      <c r="CF1916" s="1"/>
      <c r="CG1916" s="1"/>
      <c r="CM1916" s="2"/>
      <c r="CP1916" s="1"/>
      <c r="CQ1916" s="1"/>
      <c r="CX1916" s="1"/>
      <c r="CY1916" s="1"/>
      <c r="CZ1916" s="1"/>
      <c r="DA1916" s="1"/>
      <c r="DB1916" s="1"/>
      <c r="DC1916" s="1"/>
      <c r="DD1916" s="1"/>
      <c r="DE1916" s="1"/>
      <c r="DF1916" s="1"/>
      <c r="DG1916" s="1"/>
      <c r="DH1916" s="1"/>
      <c r="DI1916" s="1"/>
      <c r="DJ1916" s="1"/>
      <c r="DK1916" s="1"/>
      <c r="DQ1916" s="1"/>
      <c r="DR1916" s="1"/>
      <c r="DY1916" s="1"/>
      <c r="DZ1916" s="1"/>
      <c r="ED1916" s="1"/>
      <c r="EK1916" s="1"/>
      <c r="EL1916" s="1"/>
      <c r="EM1916" s="1"/>
      <c r="EN1916" s="1"/>
      <c r="EQ1916" s="1"/>
      <c r="ER1916" s="1"/>
      <c r="ES1916" s="1"/>
      <c r="EV1916" s="1"/>
      <c r="EW1916" s="1"/>
      <c r="EZ1916" s="1"/>
      <c r="GO1916" s="1"/>
      <c r="GP1916" s="1"/>
      <c r="HY1916" s="1"/>
      <c r="IE1916" s="1"/>
      <c r="IG1916" s="1"/>
      <c r="IR1916" s="1"/>
      <c r="IS1916" s="1"/>
      <c r="IZ1916" s="1"/>
      <c r="JF1916" s="1"/>
      <c r="JG1916" s="1"/>
      <c r="JH1916" s="1"/>
      <c r="JJ1916" s="1"/>
      <c r="JK1916" s="1"/>
      <c r="JL1916" s="3"/>
      <c r="JM1916" s="1"/>
      <c r="JP1916" s="1"/>
      <c r="JQ1916" s="1"/>
      <c r="JR1916" s="1"/>
      <c r="KZ1916" s="1"/>
      <c r="LZ1916" s="1"/>
    </row>
    <row r="1917" spans="4:339" ht="13" x14ac:dyDescent="0.15">
      <c r="D1917" s="12"/>
      <c r="E1917" s="12"/>
      <c r="I1917" s="12"/>
      <c r="J1917" s="13"/>
      <c r="BG1917" s="1"/>
      <c r="BH1917" s="1"/>
      <c r="BI1917" s="1"/>
      <c r="BJ1917" s="1"/>
      <c r="BK1917" s="1"/>
      <c r="BL1917" s="1"/>
      <c r="BM1917" s="1"/>
      <c r="BN1917" s="1"/>
      <c r="BO1917" s="1"/>
      <c r="BP1917" s="1"/>
      <c r="CD1917" s="1"/>
      <c r="CE1917" s="1"/>
      <c r="CF1917" s="1"/>
      <c r="CK1917" s="1"/>
      <c r="CM1917" s="2"/>
      <c r="CP1917" s="1"/>
      <c r="CQ1917" s="1"/>
      <c r="CX1917" s="1"/>
      <c r="CY1917" s="1"/>
      <c r="CZ1917" s="1"/>
      <c r="DA1917" s="1"/>
      <c r="DB1917" s="1"/>
      <c r="DC1917" s="1"/>
      <c r="DD1917" s="1"/>
      <c r="DE1917" s="1"/>
      <c r="DF1917" s="1"/>
      <c r="DG1917" s="1"/>
      <c r="DH1917" s="1"/>
      <c r="DI1917" s="1"/>
      <c r="DJ1917" s="1"/>
      <c r="DK1917" s="1"/>
      <c r="DM1917" s="1"/>
      <c r="DQ1917" s="1"/>
      <c r="DR1917" s="1"/>
      <c r="DY1917" s="1"/>
      <c r="DZ1917" s="1"/>
      <c r="ED1917" s="1"/>
      <c r="EK1917" s="1"/>
      <c r="EL1917" s="1"/>
      <c r="EM1917" s="1"/>
      <c r="EN1917" s="1"/>
      <c r="EQ1917" s="1"/>
      <c r="ER1917" s="1"/>
      <c r="ES1917" s="1"/>
      <c r="EV1917" s="1"/>
      <c r="EW1917" s="1"/>
      <c r="EZ1917" s="1"/>
      <c r="GO1917" s="1"/>
      <c r="HY1917" s="1"/>
      <c r="IE1917" s="1"/>
      <c r="IG1917" s="1"/>
      <c r="IH1917" s="1"/>
      <c r="IS1917" s="1"/>
      <c r="IU1917" s="1"/>
      <c r="IZ1917" s="1"/>
      <c r="JJ1917" s="1"/>
      <c r="JK1917" s="1"/>
      <c r="JL1917" s="3"/>
      <c r="JM1917" s="1"/>
      <c r="JP1917" s="1"/>
      <c r="JQ1917" s="1"/>
      <c r="JR1917" s="1"/>
      <c r="JV1917" s="1"/>
      <c r="KZ1917" s="1"/>
      <c r="LN1917" s="1"/>
      <c r="LX1917" s="1"/>
      <c r="LZ1917" s="1"/>
      <c r="MA1917" s="1"/>
    </row>
    <row r="1918" spans="4:339" ht="13" x14ac:dyDescent="0.15">
      <c r="D1918" s="12"/>
      <c r="E1918" s="12"/>
      <c r="I1918" s="12"/>
      <c r="J1918" s="13"/>
      <c r="BG1918" s="1"/>
      <c r="BH1918" s="1"/>
      <c r="BI1918" s="1"/>
      <c r="BJ1918" s="1"/>
      <c r="BK1918" s="1"/>
      <c r="BL1918" s="1"/>
      <c r="BM1918" s="1"/>
      <c r="BN1918" s="1"/>
      <c r="BO1918" s="1"/>
      <c r="BP1918" s="1"/>
      <c r="CD1918" s="1"/>
      <c r="CE1918" s="1"/>
      <c r="CF1918" s="1"/>
      <c r="CK1918" s="1"/>
      <c r="CM1918" s="2"/>
      <c r="CP1918" s="1"/>
      <c r="CQ1918" s="1"/>
      <c r="CX1918" s="1"/>
      <c r="CY1918" s="1"/>
      <c r="CZ1918" s="1"/>
      <c r="DA1918" s="1"/>
      <c r="DB1918" s="1"/>
      <c r="DC1918" s="1"/>
      <c r="DD1918" s="1"/>
      <c r="DE1918" s="1"/>
      <c r="DF1918" s="1"/>
      <c r="DG1918" s="1"/>
      <c r="DH1918" s="1"/>
      <c r="DI1918" s="1"/>
      <c r="DJ1918" s="1"/>
      <c r="DK1918" s="1"/>
      <c r="DM1918" s="1"/>
      <c r="DQ1918" s="1"/>
      <c r="DR1918" s="1"/>
      <c r="DY1918" s="1"/>
      <c r="DZ1918" s="1"/>
      <c r="ED1918" s="1"/>
      <c r="EK1918" s="1"/>
      <c r="EL1918" s="1"/>
      <c r="EM1918" s="1"/>
      <c r="EN1918" s="1"/>
      <c r="EQ1918" s="1"/>
      <c r="ER1918" s="1"/>
      <c r="ES1918" s="1"/>
      <c r="EV1918" s="1"/>
      <c r="EW1918" s="1"/>
      <c r="EZ1918" s="1"/>
      <c r="GO1918" s="1"/>
      <c r="HY1918" s="1"/>
      <c r="IE1918" s="1"/>
      <c r="IG1918" s="1"/>
      <c r="IH1918" s="1"/>
      <c r="IS1918" s="1"/>
      <c r="IU1918" s="1"/>
      <c r="IZ1918" s="1"/>
      <c r="JJ1918" s="1"/>
      <c r="JK1918" s="1"/>
      <c r="JL1918" s="3"/>
      <c r="JM1918" s="1"/>
      <c r="JP1918" s="1"/>
      <c r="JQ1918" s="1"/>
      <c r="JR1918" s="1"/>
      <c r="JV1918" s="1"/>
      <c r="KZ1918" s="1"/>
      <c r="LN1918" s="1"/>
      <c r="LX1918" s="1"/>
      <c r="LZ1918" s="1"/>
      <c r="MA1918" s="1"/>
    </row>
    <row r="1919" spans="4:339" ht="13" x14ac:dyDescent="0.15">
      <c r="D1919" s="12"/>
      <c r="E1919" s="12"/>
      <c r="I1919" s="12"/>
      <c r="J1919" s="13"/>
      <c r="BG1919" s="1"/>
      <c r="BH1919" s="1"/>
      <c r="BI1919" s="1"/>
      <c r="BJ1919" s="1"/>
      <c r="BK1919" s="1"/>
      <c r="BL1919" s="1"/>
      <c r="BM1919" s="1"/>
      <c r="BN1919" s="1"/>
      <c r="BO1919" s="1"/>
      <c r="BP1919" s="1"/>
      <c r="CD1919" s="1"/>
      <c r="CE1919" s="1"/>
      <c r="CF1919" s="1"/>
      <c r="CK1919" s="1"/>
      <c r="CM1919" s="2"/>
      <c r="CP1919" s="1"/>
      <c r="CQ1919" s="1"/>
      <c r="CX1919" s="1"/>
      <c r="CY1919" s="1"/>
      <c r="CZ1919" s="1"/>
      <c r="DA1919" s="1"/>
      <c r="DB1919" s="1"/>
      <c r="DC1919" s="1"/>
      <c r="DD1919" s="1"/>
      <c r="DE1919" s="1"/>
      <c r="DF1919" s="1"/>
      <c r="DG1919" s="1"/>
      <c r="DH1919" s="1"/>
      <c r="DI1919" s="1"/>
      <c r="DJ1919" s="1"/>
      <c r="DK1919" s="1"/>
      <c r="DM1919" s="1"/>
      <c r="DQ1919" s="1"/>
      <c r="DR1919" s="1"/>
      <c r="DY1919" s="1"/>
      <c r="DZ1919" s="1"/>
      <c r="ED1919" s="1"/>
      <c r="EK1919" s="1"/>
      <c r="EL1919" s="1"/>
      <c r="EM1919" s="1"/>
      <c r="EN1919" s="1"/>
      <c r="EQ1919" s="1"/>
      <c r="ER1919" s="1"/>
      <c r="ES1919" s="1"/>
      <c r="EV1919" s="1"/>
      <c r="EW1919" s="1"/>
      <c r="EZ1919" s="1"/>
      <c r="GO1919" s="1"/>
      <c r="HY1919" s="1"/>
      <c r="IE1919" s="1"/>
      <c r="IG1919" s="1"/>
      <c r="IH1919" s="1"/>
      <c r="IS1919" s="1"/>
      <c r="IU1919" s="1"/>
      <c r="IZ1919" s="1"/>
      <c r="JJ1919" s="1"/>
      <c r="JK1919" s="1"/>
      <c r="JL1919" s="3"/>
      <c r="JM1919" s="1"/>
      <c r="JP1919" s="1"/>
      <c r="JQ1919" s="1"/>
      <c r="JR1919" s="1"/>
      <c r="JV1919" s="1"/>
      <c r="KZ1919" s="1"/>
      <c r="LN1919" s="1"/>
      <c r="LX1919" s="1"/>
      <c r="LZ1919" s="1"/>
      <c r="MA1919" s="1"/>
    </row>
    <row r="1920" spans="4:339" ht="13" x14ac:dyDescent="0.15">
      <c r="D1920" s="12"/>
      <c r="E1920" s="12"/>
      <c r="I1920" s="12"/>
      <c r="J1920" s="13"/>
      <c r="BG1920" s="1"/>
      <c r="BH1920" s="1"/>
      <c r="BI1920" s="1"/>
      <c r="BJ1920" s="1"/>
      <c r="BK1920" s="1"/>
      <c r="BL1920" s="1"/>
      <c r="BM1920" s="1"/>
      <c r="BN1920" s="1"/>
      <c r="BO1920" s="1"/>
      <c r="BP1920" s="1"/>
      <c r="CD1920" s="1"/>
      <c r="CE1920" s="1"/>
      <c r="CF1920" s="1"/>
      <c r="CK1920" s="1"/>
      <c r="CM1920" s="2"/>
      <c r="CP1920" s="1"/>
      <c r="CQ1920" s="1"/>
      <c r="CX1920" s="1"/>
      <c r="CY1920" s="1"/>
      <c r="CZ1920" s="1"/>
      <c r="DA1920" s="1"/>
      <c r="DB1920" s="1"/>
      <c r="DC1920" s="1"/>
      <c r="DD1920" s="1"/>
      <c r="DE1920" s="1"/>
      <c r="DF1920" s="1"/>
      <c r="DG1920" s="1"/>
      <c r="DH1920" s="1"/>
      <c r="DI1920" s="1"/>
      <c r="DJ1920" s="1"/>
      <c r="DK1920" s="1"/>
      <c r="DM1920" s="1"/>
      <c r="DQ1920" s="1"/>
      <c r="DR1920" s="1"/>
      <c r="DY1920" s="1"/>
      <c r="DZ1920" s="1"/>
      <c r="ED1920" s="1"/>
      <c r="EK1920" s="1"/>
      <c r="EL1920" s="1"/>
      <c r="EM1920" s="1"/>
      <c r="EN1920" s="1"/>
      <c r="EQ1920" s="1"/>
      <c r="ER1920" s="1"/>
      <c r="ES1920" s="1"/>
      <c r="EV1920" s="1"/>
      <c r="EW1920" s="1"/>
      <c r="EZ1920" s="1"/>
      <c r="GO1920" s="1"/>
      <c r="HY1920" s="1"/>
      <c r="IE1920" s="1"/>
      <c r="IG1920" s="1"/>
      <c r="IH1920" s="1"/>
      <c r="IS1920" s="1"/>
      <c r="IU1920" s="1"/>
      <c r="IZ1920" s="1"/>
      <c r="JJ1920" s="1"/>
      <c r="JK1920" s="1"/>
      <c r="JL1920" s="3"/>
      <c r="JM1920" s="1"/>
      <c r="JP1920" s="1"/>
      <c r="JQ1920" s="1"/>
      <c r="JR1920" s="1"/>
      <c r="JV1920" s="1"/>
      <c r="KZ1920" s="1"/>
      <c r="LN1920" s="1"/>
      <c r="LX1920" s="1"/>
      <c r="LZ1920" s="1"/>
      <c r="MA1920" s="1"/>
    </row>
    <row r="1921" spans="4:339" ht="13" x14ac:dyDescent="0.15">
      <c r="D1921" s="12"/>
      <c r="E1921" s="12"/>
      <c r="I1921" s="12"/>
      <c r="J1921" s="13"/>
      <c r="BG1921" s="1"/>
      <c r="BH1921" s="1"/>
      <c r="BI1921" s="1"/>
      <c r="BJ1921" s="1"/>
      <c r="BK1921" s="1"/>
      <c r="BL1921" s="1"/>
      <c r="BM1921" s="1"/>
      <c r="BN1921" s="1"/>
      <c r="BO1921" s="1"/>
      <c r="BP1921" s="1"/>
      <c r="CD1921" s="1"/>
      <c r="CE1921" s="1"/>
      <c r="CF1921" s="1"/>
      <c r="CK1921" s="1"/>
      <c r="CM1921" s="2"/>
      <c r="CP1921" s="1"/>
      <c r="CQ1921" s="1"/>
      <c r="CX1921" s="1"/>
      <c r="CY1921" s="1"/>
      <c r="CZ1921" s="1"/>
      <c r="DA1921" s="1"/>
      <c r="DB1921" s="1"/>
      <c r="DC1921" s="1"/>
      <c r="DD1921" s="1"/>
      <c r="DE1921" s="1"/>
      <c r="DF1921" s="1"/>
      <c r="DG1921" s="1"/>
      <c r="DH1921" s="1"/>
      <c r="DI1921" s="1"/>
      <c r="DJ1921" s="1"/>
      <c r="DK1921" s="1"/>
      <c r="DM1921" s="1"/>
      <c r="DQ1921" s="1"/>
      <c r="DR1921" s="1"/>
      <c r="DY1921" s="1"/>
      <c r="DZ1921" s="1"/>
      <c r="ED1921" s="1"/>
      <c r="EK1921" s="1"/>
      <c r="EL1921" s="1"/>
      <c r="EM1921" s="1"/>
      <c r="EN1921" s="1"/>
      <c r="EQ1921" s="1"/>
      <c r="ER1921" s="1"/>
      <c r="ES1921" s="1"/>
      <c r="EV1921" s="1"/>
      <c r="EW1921" s="1"/>
      <c r="EZ1921" s="1"/>
      <c r="GO1921" s="1"/>
      <c r="HY1921" s="1"/>
      <c r="IE1921" s="1"/>
      <c r="IG1921" s="1"/>
      <c r="IH1921" s="1"/>
      <c r="IS1921" s="1"/>
      <c r="IU1921" s="1"/>
      <c r="IZ1921" s="1"/>
      <c r="JJ1921" s="1"/>
      <c r="JK1921" s="1"/>
      <c r="JL1921" s="3"/>
      <c r="JM1921" s="1"/>
      <c r="JP1921" s="1"/>
      <c r="JQ1921" s="1"/>
      <c r="JR1921" s="1"/>
      <c r="JV1921" s="1"/>
      <c r="KZ1921" s="1"/>
      <c r="LN1921" s="1"/>
      <c r="LX1921" s="1"/>
      <c r="LZ1921" s="1"/>
      <c r="MA1921" s="1"/>
    </row>
    <row r="1922" spans="4:339" ht="13" x14ac:dyDescent="0.15">
      <c r="D1922" s="12"/>
      <c r="E1922" s="12"/>
      <c r="I1922" s="12"/>
      <c r="J1922" s="13"/>
      <c r="BG1922" s="1"/>
      <c r="BH1922" s="1"/>
      <c r="BI1922" s="1"/>
      <c r="BJ1922" s="1"/>
      <c r="BK1922" s="1"/>
      <c r="BL1922" s="1"/>
      <c r="BM1922" s="1"/>
      <c r="BN1922" s="1"/>
      <c r="BO1922" s="1"/>
      <c r="BP1922" s="1"/>
      <c r="CD1922" s="1"/>
      <c r="CE1922" s="1"/>
      <c r="CF1922" s="1"/>
      <c r="CK1922" s="1"/>
      <c r="CM1922" s="2"/>
      <c r="CP1922" s="1"/>
      <c r="CQ1922" s="1"/>
      <c r="CX1922" s="1"/>
      <c r="CY1922" s="1"/>
      <c r="CZ1922" s="1"/>
      <c r="DA1922" s="1"/>
      <c r="DB1922" s="1"/>
      <c r="DC1922" s="1"/>
      <c r="DD1922" s="1"/>
      <c r="DE1922" s="1"/>
      <c r="DF1922" s="1"/>
      <c r="DG1922" s="1"/>
      <c r="DH1922" s="1"/>
      <c r="DI1922" s="1"/>
      <c r="DJ1922" s="1"/>
      <c r="DK1922" s="1"/>
      <c r="DM1922" s="1"/>
      <c r="DQ1922" s="1"/>
      <c r="DR1922" s="1"/>
      <c r="DY1922" s="1"/>
      <c r="DZ1922" s="1"/>
      <c r="ED1922" s="1"/>
      <c r="EK1922" s="1"/>
      <c r="EL1922" s="1"/>
      <c r="EM1922" s="1"/>
      <c r="EN1922" s="1"/>
      <c r="EQ1922" s="1"/>
      <c r="ER1922" s="1"/>
      <c r="ES1922" s="1"/>
      <c r="EV1922" s="1"/>
      <c r="EW1922" s="1"/>
      <c r="EZ1922" s="1"/>
      <c r="GO1922" s="1"/>
      <c r="HY1922" s="1"/>
      <c r="IE1922" s="1"/>
      <c r="IG1922" s="1"/>
      <c r="IH1922" s="1"/>
      <c r="IS1922" s="1"/>
      <c r="IU1922" s="1"/>
      <c r="IZ1922" s="1"/>
      <c r="JJ1922" s="1"/>
      <c r="JK1922" s="1"/>
      <c r="JL1922" s="3"/>
      <c r="JM1922" s="1"/>
      <c r="JP1922" s="1"/>
      <c r="JQ1922" s="1"/>
      <c r="JR1922" s="1"/>
      <c r="JV1922" s="1"/>
      <c r="KZ1922" s="1"/>
      <c r="LN1922" s="1"/>
      <c r="LX1922" s="1"/>
      <c r="LZ1922" s="1"/>
      <c r="MA1922" s="1"/>
    </row>
    <row r="1923" spans="4:339" ht="13" x14ac:dyDescent="0.15">
      <c r="D1923" s="12"/>
      <c r="E1923" s="12"/>
      <c r="I1923" s="12"/>
      <c r="J1923" s="13"/>
      <c r="BG1923" s="1"/>
      <c r="BH1923" s="1"/>
      <c r="BI1923" s="1"/>
      <c r="BJ1923" s="1"/>
      <c r="BK1923" s="1"/>
      <c r="BL1923" s="1"/>
      <c r="BM1923" s="1"/>
      <c r="BN1923" s="1"/>
      <c r="BO1923" s="1"/>
      <c r="BP1923" s="1"/>
      <c r="CD1923" s="1"/>
      <c r="CE1923" s="1"/>
      <c r="CF1923" s="1"/>
      <c r="CK1923" s="1"/>
      <c r="CM1923" s="2"/>
      <c r="CP1923" s="1"/>
      <c r="CQ1923" s="1"/>
      <c r="CX1923" s="1"/>
      <c r="CY1923" s="1"/>
      <c r="CZ1923" s="1"/>
      <c r="DA1923" s="1"/>
      <c r="DB1923" s="1"/>
      <c r="DC1923" s="1"/>
      <c r="DD1923" s="1"/>
      <c r="DE1923" s="1"/>
      <c r="DF1923" s="1"/>
      <c r="DG1923" s="1"/>
      <c r="DH1923" s="1"/>
      <c r="DI1923" s="1"/>
      <c r="DJ1923" s="1"/>
      <c r="DK1923" s="1"/>
      <c r="DM1923" s="1"/>
      <c r="DQ1923" s="1"/>
      <c r="DR1923" s="1"/>
      <c r="DY1923" s="1"/>
      <c r="DZ1923" s="1"/>
      <c r="ED1923" s="1"/>
      <c r="EK1923" s="1"/>
      <c r="EL1923" s="1"/>
      <c r="EM1923" s="1"/>
      <c r="EN1923" s="1"/>
      <c r="EQ1923" s="1"/>
      <c r="ER1923" s="1"/>
      <c r="ES1923" s="1"/>
      <c r="EV1923" s="1"/>
      <c r="EW1923" s="1"/>
      <c r="EZ1923" s="1"/>
      <c r="GO1923" s="1"/>
      <c r="HY1923" s="1"/>
      <c r="IE1923" s="1"/>
      <c r="IG1923" s="1"/>
      <c r="IH1923" s="1"/>
      <c r="IS1923" s="1"/>
      <c r="IU1923" s="1"/>
      <c r="IZ1923" s="1"/>
      <c r="JJ1923" s="1"/>
      <c r="JK1923" s="1"/>
      <c r="JL1923" s="3"/>
      <c r="JM1923" s="1"/>
      <c r="JP1923" s="1"/>
      <c r="JQ1923" s="1"/>
      <c r="JR1923" s="1"/>
      <c r="JV1923" s="1"/>
      <c r="KZ1923" s="1"/>
      <c r="LN1923" s="1"/>
      <c r="LX1923" s="1"/>
      <c r="LZ1923" s="1"/>
      <c r="MA1923" s="1"/>
    </row>
    <row r="1924" spans="4:339" ht="13" x14ac:dyDescent="0.15">
      <c r="D1924" s="12"/>
      <c r="E1924" s="12"/>
      <c r="I1924" s="12"/>
      <c r="J1924" s="13"/>
      <c r="BG1924" s="1"/>
      <c r="BH1924" s="1"/>
      <c r="BI1924" s="1"/>
      <c r="BJ1924" s="1"/>
      <c r="BK1924" s="1"/>
      <c r="BL1924" s="1"/>
      <c r="BM1924" s="1"/>
      <c r="BN1924" s="1"/>
      <c r="BO1924" s="1"/>
      <c r="BP1924" s="1"/>
      <c r="CD1924" s="1"/>
      <c r="CE1924" s="1"/>
      <c r="CF1924" s="1"/>
      <c r="CK1924" s="1"/>
      <c r="CM1924" s="2"/>
      <c r="CP1924" s="1"/>
      <c r="CQ1924" s="1"/>
      <c r="CX1924" s="1"/>
      <c r="CY1924" s="1"/>
      <c r="CZ1924" s="1"/>
      <c r="DA1924" s="1"/>
      <c r="DB1924" s="1"/>
      <c r="DC1924" s="1"/>
      <c r="DD1924" s="1"/>
      <c r="DE1924" s="1"/>
      <c r="DF1924" s="1"/>
      <c r="DG1924" s="1"/>
      <c r="DH1924" s="1"/>
      <c r="DI1924" s="1"/>
      <c r="DJ1924" s="1"/>
      <c r="DK1924" s="1"/>
      <c r="DM1924" s="1"/>
      <c r="DQ1924" s="1"/>
      <c r="DR1924" s="1"/>
      <c r="DY1924" s="1"/>
      <c r="DZ1924" s="1"/>
      <c r="ED1924" s="1"/>
      <c r="EK1924" s="1"/>
      <c r="EL1924" s="1"/>
      <c r="EM1924" s="1"/>
      <c r="EN1924" s="1"/>
      <c r="EQ1924" s="1"/>
      <c r="ER1924" s="1"/>
      <c r="ES1924" s="1"/>
      <c r="EV1924" s="1"/>
      <c r="EW1924" s="1"/>
      <c r="EZ1924" s="1"/>
      <c r="GO1924" s="1"/>
      <c r="HY1924" s="1"/>
      <c r="IE1924" s="1"/>
      <c r="IG1924" s="1"/>
      <c r="IH1924" s="1"/>
      <c r="IS1924" s="1"/>
      <c r="IU1924" s="1"/>
      <c r="IZ1924" s="1"/>
      <c r="JJ1924" s="1"/>
      <c r="JK1924" s="1"/>
      <c r="JL1924" s="3"/>
      <c r="JM1924" s="1"/>
      <c r="JP1924" s="1"/>
      <c r="JQ1924" s="1"/>
      <c r="JR1924" s="1"/>
      <c r="JV1924" s="1"/>
      <c r="KZ1924" s="1"/>
      <c r="LN1924" s="1"/>
      <c r="LX1924" s="1"/>
      <c r="LZ1924" s="1"/>
      <c r="MA1924" s="1"/>
    </row>
    <row r="1925" spans="4:339" ht="13" x14ac:dyDescent="0.15">
      <c r="D1925" s="12"/>
      <c r="E1925" s="12"/>
      <c r="I1925" s="12"/>
      <c r="J1925" s="13"/>
      <c r="BG1925" s="1"/>
      <c r="BH1925" s="1"/>
      <c r="BI1925" s="1"/>
      <c r="BJ1925" s="1"/>
      <c r="BK1925" s="1"/>
      <c r="BL1925" s="1"/>
      <c r="BM1925" s="1"/>
      <c r="BN1925" s="1"/>
      <c r="BO1925" s="1"/>
      <c r="BP1925" s="1"/>
      <c r="CD1925" s="1"/>
      <c r="CE1925" s="1"/>
      <c r="CF1925" s="1"/>
      <c r="CK1925" s="1"/>
      <c r="CM1925" s="2"/>
      <c r="CP1925" s="1"/>
      <c r="CQ1925" s="1"/>
      <c r="CX1925" s="1"/>
      <c r="CY1925" s="1"/>
      <c r="CZ1925" s="1"/>
      <c r="DA1925" s="1"/>
      <c r="DB1925" s="1"/>
      <c r="DC1925" s="1"/>
      <c r="DD1925" s="1"/>
      <c r="DE1925" s="1"/>
      <c r="DF1925" s="1"/>
      <c r="DG1925" s="1"/>
      <c r="DH1925" s="1"/>
      <c r="DI1925" s="1"/>
      <c r="DJ1925" s="1"/>
      <c r="DK1925" s="1"/>
      <c r="DM1925" s="1"/>
      <c r="DQ1925" s="1"/>
      <c r="DR1925" s="1"/>
      <c r="DY1925" s="1"/>
      <c r="DZ1925" s="1"/>
      <c r="ED1925" s="1"/>
      <c r="EK1925" s="1"/>
      <c r="EL1925" s="1"/>
      <c r="EM1925" s="1"/>
      <c r="EN1925" s="1"/>
      <c r="EQ1925" s="1"/>
      <c r="ER1925" s="1"/>
      <c r="ES1925" s="1"/>
      <c r="EV1925" s="1"/>
      <c r="EW1925" s="1"/>
      <c r="EZ1925" s="1"/>
      <c r="GO1925" s="1"/>
      <c r="HY1925" s="1"/>
      <c r="IE1925" s="1"/>
      <c r="IG1925" s="1"/>
      <c r="IH1925" s="1"/>
      <c r="IS1925" s="1"/>
      <c r="IU1925" s="1"/>
      <c r="IZ1925" s="1"/>
      <c r="JJ1925" s="1"/>
      <c r="JK1925" s="1"/>
      <c r="JL1925" s="3"/>
      <c r="JM1925" s="1"/>
      <c r="JP1925" s="1"/>
      <c r="JQ1925" s="1"/>
      <c r="JR1925" s="1"/>
      <c r="JV1925" s="1"/>
      <c r="KZ1925" s="1"/>
      <c r="LN1925" s="1"/>
      <c r="LX1925" s="1"/>
      <c r="LZ1925" s="1"/>
      <c r="MA1925" s="1"/>
    </row>
    <row r="1926" spans="4:339" ht="13" x14ac:dyDescent="0.15">
      <c r="D1926" s="12"/>
      <c r="E1926" s="12"/>
      <c r="I1926" s="12"/>
      <c r="J1926" s="13"/>
      <c r="BG1926" s="1"/>
      <c r="BH1926" s="1"/>
      <c r="BI1926" s="1"/>
      <c r="BJ1926" s="1"/>
      <c r="BK1926" s="1"/>
      <c r="BL1926" s="1"/>
      <c r="BM1926" s="1"/>
      <c r="BN1926" s="1"/>
      <c r="BO1926" s="1"/>
      <c r="BP1926" s="1"/>
      <c r="CD1926" s="1"/>
      <c r="CE1926" s="1"/>
      <c r="CF1926" s="1"/>
      <c r="CK1926" s="1"/>
      <c r="CM1926" s="2"/>
      <c r="CP1926" s="1"/>
      <c r="CQ1926" s="1"/>
      <c r="CX1926" s="1"/>
      <c r="CY1926" s="1"/>
      <c r="CZ1926" s="1"/>
      <c r="DA1926" s="1"/>
      <c r="DB1926" s="1"/>
      <c r="DC1926" s="1"/>
      <c r="DD1926" s="1"/>
      <c r="DE1926" s="1"/>
      <c r="DF1926" s="1"/>
      <c r="DG1926" s="1"/>
      <c r="DH1926" s="1"/>
      <c r="DI1926" s="1"/>
      <c r="DJ1926" s="1"/>
      <c r="DK1926" s="1"/>
      <c r="DM1926" s="1"/>
      <c r="DQ1926" s="1"/>
      <c r="DR1926" s="1"/>
      <c r="DY1926" s="1"/>
      <c r="DZ1926" s="1"/>
      <c r="ED1926" s="1"/>
      <c r="EK1926" s="1"/>
      <c r="EL1926" s="1"/>
      <c r="EM1926" s="1"/>
      <c r="EN1926" s="1"/>
      <c r="EQ1926" s="1"/>
      <c r="ER1926" s="1"/>
      <c r="ES1926" s="1"/>
      <c r="EV1926" s="1"/>
      <c r="EW1926" s="1"/>
      <c r="EZ1926" s="1"/>
      <c r="GO1926" s="1"/>
      <c r="HY1926" s="1"/>
      <c r="IE1926" s="1"/>
      <c r="IG1926" s="1"/>
      <c r="IH1926" s="1"/>
      <c r="IS1926" s="1"/>
      <c r="IU1926" s="1"/>
      <c r="IZ1926" s="1"/>
      <c r="JJ1926" s="1"/>
      <c r="JK1926" s="1"/>
      <c r="JL1926" s="3"/>
      <c r="JM1926" s="1"/>
      <c r="JP1926" s="1"/>
      <c r="JQ1926" s="1"/>
      <c r="JR1926" s="1"/>
      <c r="JV1926" s="1"/>
      <c r="KZ1926" s="1"/>
      <c r="LN1926" s="1"/>
      <c r="LX1926" s="1"/>
      <c r="LZ1926" s="1"/>
      <c r="MA1926" s="1"/>
    </row>
    <row r="1927" spans="4:339" ht="13" x14ac:dyDescent="0.15">
      <c r="D1927" s="12"/>
      <c r="E1927" s="12"/>
      <c r="I1927" s="12"/>
      <c r="J1927" s="13"/>
      <c r="BG1927" s="1"/>
      <c r="BH1927" s="1"/>
      <c r="BI1927" s="1"/>
      <c r="BJ1927" s="1"/>
      <c r="BK1927" s="1"/>
      <c r="BL1927" s="1"/>
      <c r="BM1927" s="1"/>
      <c r="BN1927" s="1"/>
      <c r="BO1927" s="1"/>
      <c r="BP1927" s="1"/>
      <c r="CD1927" s="1"/>
      <c r="CE1927" s="1"/>
      <c r="CF1927" s="1"/>
      <c r="CK1927" s="1"/>
      <c r="CM1927" s="2"/>
      <c r="CP1927" s="1"/>
      <c r="CQ1927" s="1"/>
      <c r="CX1927" s="1"/>
      <c r="CY1927" s="1"/>
      <c r="CZ1927" s="1"/>
      <c r="DA1927" s="1"/>
      <c r="DB1927" s="1"/>
      <c r="DC1927" s="1"/>
      <c r="DD1927" s="1"/>
      <c r="DE1927" s="1"/>
      <c r="DF1927" s="1"/>
      <c r="DG1927" s="1"/>
      <c r="DH1927" s="1"/>
      <c r="DI1927" s="1"/>
      <c r="DJ1927" s="1"/>
      <c r="DK1927" s="1"/>
      <c r="DM1927" s="1"/>
      <c r="DQ1927" s="1"/>
      <c r="DR1927" s="1"/>
      <c r="DY1927" s="1"/>
      <c r="DZ1927" s="1"/>
      <c r="ED1927" s="1"/>
      <c r="EK1927" s="1"/>
      <c r="EL1927" s="1"/>
      <c r="EM1927" s="1"/>
      <c r="EN1927" s="1"/>
      <c r="EQ1927" s="1"/>
      <c r="ER1927" s="1"/>
      <c r="ES1927" s="1"/>
      <c r="EV1927" s="1"/>
      <c r="EW1927" s="1"/>
      <c r="EZ1927" s="1"/>
      <c r="GO1927" s="1"/>
      <c r="HY1927" s="1"/>
      <c r="IE1927" s="1"/>
      <c r="IG1927" s="1"/>
      <c r="IH1927" s="1"/>
      <c r="IS1927" s="1"/>
      <c r="IU1927" s="1"/>
      <c r="IZ1927" s="1"/>
      <c r="JJ1927" s="1"/>
      <c r="JK1927" s="1"/>
      <c r="JL1927" s="3"/>
      <c r="JM1927" s="1"/>
      <c r="JP1927" s="1"/>
      <c r="JQ1927" s="1"/>
      <c r="JR1927" s="1"/>
      <c r="JV1927" s="1"/>
      <c r="KZ1927" s="1"/>
      <c r="LN1927" s="1"/>
      <c r="LX1927" s="1"/>
      <c r="LZ1927" s="1"/>
      <c r="MA1927" s="1"/>
    </row>
    <row r="1928" spans="4:339" ht="13" x14ac:dyDescent="0.15">
      <c r="D1928" s="12"/>
      <c r="E1928" s="12"/>
      <c r="I1928" s="12"/>
      <c r="J1928" s="13"/>
      <c r="BG1928" s="1"/>
      <c r="BH1928" s="1"/>
      <c r="BI1928" s="1"/>
      <c r="BJ1928" s="1"/>
      <c r="BK1928" s="1"/>
      <c r="BL1928" s="1"/>
      <c r="BM1928" s="1"/>
      <c r="BN1928" s="1"/>
      <c r="BO1928" s="1"/>
      <c r="BP1928" s="1"/>
      <c r="CD1928" s="1"/>
      <c r="CE1928" s="1"/>
      <c r="CF1928" s="1"/>
      <c r="CK1928" s="1"/>
      <c r="CM1928" s="2"/>
      <c r="CP1928" s="1"/>
      <c r="CQ1928" s="1"/>
      <c r="CX1928" s="1"/>
      <c r="CY1928" s="1"/>
      <c r="CZ1928" s="1"/>
      <c r="DA1928" s="1"/>
      <c r="DB1928" s="1"/>
      <c r="DC1928" s="1"/>
      <c r="DD1928" s="1"/>
      <c r="DE1928" s="1"/>
      <c r="DF1928" s="1"/>
      <c r="DG1928" s="1"/>
      <c r="DH1928" s="1"/>
      <c r="DI1928" s="1"/>
      <c r="DJ1928" s="1"/>
      <c r="DK1928" s="1"/>
      <c r="DM1928" s="1"/>
      <c r="DQ1928" s="1"/>
      <c r="DR1928" s="1"/>
      <c r="DY1928" s="1"/>
      <c r="DZ1928" s="1"/>
      <c r="ED1928" s="1"/>
      <c r="EK1928" s="1"/>
      <c r="EL1928" s="1"/>
      <c r="EM1928" s="1"/>
      <c r="EN1928" s="1"/>
      <c r="EQ1928" s="1"/>
      <c r="ER1928" s="1"/>
      <c r="ES1928" s="1"/>
      <c r="EV1928" s="1"/>
      <c r="EW1928" s="1"/>
      <c r="EZ1928" s="1"/>
      <c r="GO1928" s="1"/>
      <c r="HY1928" s="1"/>
      <c r="IE1928" s="1"/>
      <c r="IG1928" s="1"/>
      <c r="IH1928" s="1"/>
      <c r="IS1928" s="1"/>
      <c r="IU1928" s="1"/>
      <c r="IZ1928" s="1"/>
      <c r="JJ1928" s="1"/>
      <c r="JK1928" s="1"/>
      <c r="JL1928" s="3"/>
      <c r="JM1928" s="1"/>
      <c r="JP1928" s="1"/>
      <c r="JQ1928" s="1"/>
      <c r="JR1928" s="1"/>
      <c r="JV1928" s="1"/>
      <c r="KZ1928" s="1"/>
      <c r="LN1928" s="1"/>
      <c r="LX1928" s="1"/>
      <c r="LZ1928" s="1"/>
      <c r="MA1928" s="1"/>
    </row>
    <row r="1929" spans="4:339" ht="13" x14ac:dyDescent="0.15">
      <c r="D1929" s="12"/>
      <c r="E1929" s="12"/>
      <c r="I1929" s="12"/>
      <c r="J1929" s="13"/>
      <c r="BG1929" s="1"/>
      <c r="BH1929" s="1"/>
      <c r="BI1929" s="1"/>
      <c r="BJ1929" s="1"/>
      <c r="BK1929" s="1"/>
      <c r="BL1929" s="1"/>
      <c r="BM1929" s="1"/>
      <c r="BN1929" s="1"/>
      <c r="BO1929" s="1"/>
      <c r="BP1929" s="1"/>
      <c r="CD1929" s="1"/>
      <c r="CE1929" s="1"/>
      <c r="CF1929" s="1"/>
      <c r="CK1929" s="1"/>
      <c r="CM1929" s="2"/>
      <c r="CP1929" s="1"/>
      <c r="CQ1929" s="1"/>
      <c r="CX1929" s="1"/>
      <c r="CY1929" s="1"/>
      <c r="CZ1929" s="1"/>
      <c r="DA1929" s="1"/>
      <c r="DB1929" s="1"/>
      <c r="DC1929" s="1"/>
      <c r="DD1929" s="1"/>
      <c r="DE1929" s="1"/>
      <c r="DF1929" s="1"/>
      <c r="DG1929" s="1"/>
      <c r="DH1929" s="1"/>
      <c r="DI1929" s="1"/>
      <c r="DJ1929" s="1"/>
      <c r="DK1929" s="1"/>
      <c r="DM1929" s="1"/>
      <c r="DQ1929" s="1"/>
      <c r="DR1929" s="1"/>
      <c r="DY1929" s="1"/>
      <c r="DZ1929" s="1"/>
      <c r="ED1929" s="1"/>
      <c r="EK1929" s="1"/>
      <c r="EL1929" s="1"/>
      <c r="EM1929" s="1"/>
      <c r="EN1929" s="1"/>
      <c r="EQ1929" s="1"/>
      <c r="ER1929" s="1"/>
      <c r="ES1929" s="1"/>
      <c r="EV1929" s="1"/>
      <c r="EW1929" s="1"/>
      <c r="EZ1929" s="1"/>
      <c r="GO1929" s="1"/>
      <c r="HY1929" s="1"/>
      <c r="IE1929" s="1"/>
      <c r="IG1929" s="1"/>
      <c r="IH1929" s="1"/>
      <c r="IS1929" s="1"/>
      <c r="IU1929" s="1"/>
      <c r="IZ1929" s="1"/>
      <c r="JJ1929" s="1"/>
      <c r="JK1929" s="1"/>
      <c r="JL1929" s="3"/>
      <c r="JM1929" s="1"/>
      <c r="JP1929" s="1"/>
      <c r="JQ1929" s="1"/>
      <c r="JR1929" s="1"/>
      <c r="JV1929" s="1"/>
      <c r="KZ1929" s="1"/>
      <c r="LN1929" s="1"/>
      <c r="LX1929" s="1"/>
      <c r="LZ1929" s="1"/>
      <c r="MA1929" s="1"/>
    </row>
    <row r="1930" spans="4:339" ht="13" x14ac:dyDescent="0.15">
      <c r="D1930" s="12"/>
      <c r="E1930" s="12"/>
      <c r="I1930" s="12"/>
      <c r="J1930" s="13"/>
      <c r="BG1930" s="1"/>
      <c r="BH1930" s="1"/>
      <c r="BI1930" s="1"/>
      <c r="BJ1930" s="1"/>
      <c r="BK1930" s="1"/>
      <c r="BL1930" s="1"/>
      <c r="BM1930" s="1"/>
      <c r="BN1930" s="1"/>
      <c r="BO1930" s="1"/>
      <c r="BP1930" s="1"/>
      <c r="CD1930" s="1"/>
      <c r="CE1930" s="1"/>
      <c r="CF1930" s="1"/>
      <c r="CK1930" s="1"/>
      <c r="CM1930" s="2"/>
      <c r="CP1930" s="1"/>
      <c r="CQ1930" s="1"/>
      <c r="CX1930" s="1"/>
      <c r="CY1930" s="1"/>
      <c r="CZ1930" s="1"/>
      <c r="DA1930" s="1"/>
      <c r="DB1930" s="1"/>
      <c r="DC1930" s="1"/>
      <c r="DD1930" s="1"/>
      <c r="DE1930" s="1"/>
      <c r="DF1930" s="1"/>
      <c r="DG1930" s="1"/>
      <c r="DH1930" s="1"/>
      <c r="DI1930" s="1"/>
      <c r="DJ1930" s="1"/>
      <c r="DK1930" s="1"/>
      <c r="DM1930" s="1"/>
      <c r="DQ1930" s="1"/>
      <c r="DR1930" s="1"/>
      <c r="DY1930" s="1"/>
      <c r="DZ1930" s="1"/>
      <c r="ED1930" s="1"/>
      <c r="EK1930" s="1"/>
      <c r="EL1930" s="1"/>
      <c r="EM1930" s="1"/>
      <c r="EN1930" s="1"/>
      <c r="EQ1930" s="1"/>
      <c r="ER1930" s="1"/>
      <c r="ES1930" s="1"/>
      <c r="EV1930" s="1"/>
      <c r="EW1930" s="1"/>
      <c r="EZ1930" s="1"/>
      <c r="GO1930" s="1"/>
      <c r="HY1930" s="1"/>
      <c r="IE1930" s="1"/>
      <c r="IG1930" s="1"/>
      <c r="IH1930" s="1"/>
      <c r="IS1930" s="1"/>
      <c r="IU1930" s="1"/>
      <c r="IZ1930" s="1"/>
      <c r="JJ1930" s="1"/>
      <c r="JK1930" s="1"/>
      <c r="JL1930" s="3"/>
      <c r="JM1930" s="1"/>
      <c r="JP1930" s="1"/>
      <c r="JQ1930" s="1"/>
      <c r="JR1930" s="1"/>
      <c r="JV1930" s="1"/>
      <c r="KZ1930" s="1"/>
      <c r="LN1930" s="1"/>
      <c r="LX1930" s="1"/>
      <c r="LZ1930" s="1"/>
      <c r="MA1930" s="1"/>
    </row>
    <row r="1931" spans="4:339" ht="13" x14ac:dyDescent="0.15">
      <c r="D1931" s="12"/>
      <c r="E1931" s="12"/>
      <c r="I1931" s="12"/>
      <c r="J1931" s="13"/>
      <c r="BG1931" s="1"/>
      <c r="BH1931" s="1"/>
      <c r="BI1931" s="1"/>
      <c r="BJ1931" s="1"/>
      <c r="BK1931" s="1"/>
      <c r="BL1931" s="1"/>
      <c r="BM1931" s="1"/>
      <c r="BN1931" s="1"/>
      <c r="BO1931" s="1"/>
      <c r="BP1931" s="1"/>
      <c r="CD1931" s="1"/>
      <c r="CE1931" s="1"/>
      <c r="CF1931" s="1"/>
      <c r="CK1931" s="1"/>
      <c r="CM1931" s="2"/>
      <c r="CP1931" s="1"/>
      <c r="CQ1931" s="1"/>
      <c r="CX1931" s="1"/>
      <c r="CY1931" s="1"/>
      <c r="CZ1931" s="1"/>
      <c r="DA1931" s="1"/>
      <c r="DB1931" s="1"/>
      <c r="DC1931" s="1"/>
      <c r="DD1931" s="1"/>
      <c r="DE1931" s="1"/>
      <c r="DF1931" s="1"/>
      <c r="DG1931" s="1"/>
      <c r="DH1931" s="1"/>
      <c r="DI1931" s="1"/>
      <c r="DJ1931" s="1"/>
      <c r="DK1931" s="1"/>
      <c r="DM1931" s="1"/>
      <c r="DQ1931" s="1"/>
      <c r="DR1931" s="1"/>
      <c r="DY1931" s="1"/>
      <c r="DZ1931" s="1"/>
      <c r="ED1931" s="1"/>
      <c r="EK1931" s="1"/>
      <c r="EL1931" s="1"/>
      <c r="EM1931" s="1"/>
      <c r="EN1931" s="1"/>
      <c r="EQ1931" s="1"/>
      <c r="ER1931" s="1"/>
      <c r="ES1931" s="1"/>
      <c r="EV1931" s="1"/>
      <c r="EW1931" s="1"/>
      <c r="EZ1931" s="1"/>
      <c r="GO1931" s="1"/>
      <c r="HY1931" s="1"/>
      <c r="IE1931" s="1"/>
      <c r="IG1931" s="1"/>
      <c r="IH1931" s="1"/>
      <c r="IS1931" s="1"/>
      <c r="IU1931" s="1"/>
      <c r="IZ1931" s="1"/>
      <c r="JJ1931" s="1"/>
      <c r="JK1931" s="1"/>
      <c r="JL1931" s="3"/>
      <c r="JM1931" s="1"/>
      <c r="JP1931" s="1"/>
      <c r="JQ1931" s="1"/>
      <c r="JR1931" s="1"/>
      <c r="JV1931" s="1"/>
      <c r="KZ1931" s="1"/>
      <c r="LN1931" s="1"/>
      <c r="LX1931" s="1"/>
      <c r="LZ1931" s="1"/>
      <c r="MA1931" s="1"/>
    </row>
    <row r="1932" spans="4:339" ht="13" x14ac:dyDescent="0.15">
      <c r="D1932" s="12"/>
      <c r="E1932" s="12"/>
      <c r="I1932" s="12"/>
      <c r="J1932" s="13"/>
      <c r="BG1932" s="1"/>
      <c r="BH1932" s="1"/>
      <c r="BI1932" s="1"/>
      <c r="BJ1932" s="1"/>
      <c r="BK1932" s="1"/>
      <c r="BL1932" s="1"/>
      <c r="BM1932" s="1"/>
      <c r="BN1932" s="1"/>
      <c r="BO1932" s="1"/>
      <c r="BP1932" s="1"/>
      <c r="CD1932" s="1"/>
      <c r="CE1932" s="1"/>
      <c r="CF1932" s="1"/>
      <c r="CK1932" s="1"/>
      <c r="CM1932" s="2"/>
      <c r="CP1932" s="1"/>
      <c r="CQ1932" s="1"/>
      <c r="CX1932" s="1"/>
      <c r="CY1932" s="1"/>
      <c r="CZ1932" s="1"/>
      <c r="DA1932" s="1"/>
      <c r="DB1932" s="1"/>
      <c r="DC1932" s="1"/>
      <c r="DD1932" s="1"/>
      <c r="DE1932" s="1"/>
      <c r="DF1932" s="1"/>
      <c r="DG1932" s="1"/>
      <c r="DH1932" s="1"/>
      <c r="DI1932" s="1"/>
      <c r="DJ1932" s="1"/>
      <c r="DK1932" s="1"/>
      <c r="DM1932" s="1"/>
      <c r="DQ1932" s="1"/>
      <c r="DR1932" s="1"/>
      <c r="DY1932" s="1"/>
      <c r="DZ1932" s="1"/>
      <c r="ED1932" s="1"/>
      <c r="EK1932" s="1"/>
      <c r="EL1932" s="1"/>
      <c r="EM1932" s="1"/>
      <c r="EN1932" s="1"/>
      <c r="EQ1932" s="1"/>
      <c r="ER1932" s="1"/>
      <c r="ES1932" s="1"/>
      <c r="EV1932" s="1"/>
      <c r="EW1932" s="1"/>
      <c r="EZ1932" s="1"/>
      <c r="GO1932" s="1"/>
      <c r="HY1932" s="1"/>
      <c r="IE1932" s="1"/>
      <c r="IG1932" s="1"/>
      <c r="IH1932" s="1"/>
      <c r="IS1932" s="1"/>
      <c r="IU1932" s="1"/>
      <c r="IZ1932" s="1"/>
      <c r="JJ1932" s="1"/>
      <c r="JK1932" s="1"/>
      <c r="JL1932" s="3"/>
      <c r="JM1932" s="1"/>
      <c r="JP1932" s="1"/>
      <c r="JQ1932" s="1"/>
      <c r="JR1932" s="1"/>
      <c r="JV1932" s="1"/>
      <c r="KZ1932" s="1"/>
      <c r="LN1932" s="1"/>
      <c r="LX1932" s="1"/>
      <c r="LZ1932" s="1"/>
      <c r="MA1932" s="1"/>
    </row>
    <row r="1933" spans="4:339" ht="13" x14ac:dyDescent="0.15">
      <c r="D1933" s="12"/>
      <c r="E1933" s="12"/>
      <c r="I1933" s="12"/>
      <c r="J1933" s="13"/>
      <c r="BG1933" s="1"/>
      <c r="BH1933" s="1"/>
      <c r="BI1933" s="1"/>
      <c r="BJ1933" s="1"/>
      <c r="BK1933" s="1"/>
      <c r="BL1933" s="1"/>
      <c r="BM1933" s="1"/>
      <c r="BN1933" s="1"/>
      <c r="BO1933" s="1"/>
      <c r="BP1933" s="1"/>
      <c r="CD1933" s="1"/>
      <c r="CE1933" s="1"/>
      <c r="CF1933" s="1"/>
      <c r="CK1933" s="1"/>
      <c r="CM1933" s="2"/>
      <c r="CP1933" s="1"/>
      <c r="CQ1933" s="1"/>
      <c r="CX1933" s="1"/>
      <c r="CY1933" s="1"/>
      <c r="CZ1933" s="1"/>
      <c r="DA1933" s="1"/>
      <c r="DB1933" s="1"/>
      <c r="DC1933" s="1"/>
      <c r="DD1933" s="1"/>
      <c r="DE1933" s="1"/>
      <c r="DF1933" s="1"/>
      <c r="DG1933" s="1"/>
      <c r="DH1933" s="1"/>
      <c r="DI1933" s="1"/>
      <c r="DJ1933" s="1"/>
      <c r="DK1933" s="1"/>
      <c r="DM1933" s="1"/>
      <c r="DQ1933" s="1"/>
      <c r="DR1933" s="1"/>
      <c r="DY1933" s="1"/>
      <c r="DZ1933" s="1"/>
      <c r="ED1933" s="1"/>
      <c r="EK1933" s="1"/>
      <c r="EL1933" s="1"/>
      <c r="EM1933" s="1"/>
      <c r="EN1933" s="1"/>
      <c r="EQ1933" s="1"/>
      <c r="ER1933" s="1"/>
      <c r="ES1933" s="1"/>
      <c r="EV1933" s="1"/>
      <c r="EW1933" s="1"/>
      <c r="EZ1933" s="1"/>
      <c r="GO1933" s="1"/>
      <c r="HY1933" s="1"/>
      <c r="IE1933" s="1"/>
      <c r="IG1933" s="1"/>
      <c r="IH1933" s="1"/>
      <c r="IS1933" s="1"/>
      <c r="IU1933" s="1"/>
      <c r="IZ1933" s="1"/>
      <c r="JJ1933" s="1"/>
      <c r="JK1933" s="1"/>
      <c r="JL1933" s="3"/>
      <c r="JM1933" s="1"/>
      <c r="JP1933" s="1"/>
      <c r="JQ1933" s="1"/>
      <c r="JR1933" s="1"/>
      <c r="JV1933" s="1"/>
      <c r="KZ1933" s="1"/>
      <c r="LN1933" s="1"/>
      <c r="LX1933" s="1"/>
      <c r="LZ1933" s="1"/>
      <c r="MA1933" s="1"/>
    </row>
    <row r="1934" spans="4:339" ht="13" x14ac:dyDescent="0.15">
      <c r="D1934" s="12"/>
      <c r="E1934" s="12"/>
      <c r="I1934" s="12"/>
      <c r="J1934" s="13"/>
      <c r="BG1934" s="1"/>
      <c r="BH1934" s="1"/>
      <c r="BI1934" s="1"/>
      <c r="BJ1934" s="1"/>
      <c r="BK1934" s="1"/>
      <c r="BL1934" s="1"/>
      <c r="BM1934" s="1"/>
      <c r="BN1934" s="1"/>
      <c r="BO1934" s="1"/>
      <c r="BP1934" s="1"/>
      <c r="CD1934" s="1"/>
      <c r="CE1934" s="1"/>
      <c r="CF1934" s="1"/>
      <c r="CK1934" s="1"/>
      <c r="CM1934" s="2"/>
      <c r="CP1934" s="1"/>
      <c r="CQ1934" s="1"/>
      <c r="CX1934" s="1"/>
      <c r="CY1934" s="1"/>
      <c r="CZ1934" s="1"/>
      <c r="DA1934" s="1"/>
      <c r="DB1934" s="1"/>
      <c r="DC1934" s="1"/>
      <c r="DD1934" s="1"/>
      <c r="DE1934" s="1"/>
      <c r="DF1934" s="1"/>
      <c r="DG1934" s="1"/>
      <c r="DH1934" s="1"/>
      <c r="DI1934" s="1"/>
      <c r="DJ1934" s="1"/>
      <c r="DK1934" s="1"/>
      <c r="DM1934" s="1"/>
      <c r="DQ1934" s="1"/>
      <c r="DR1934" s="1"/>
      <c r="DY1934" s="1"/>
      <c r="DZ1934" s="1"/>
      <c r="ED1934" s="1"/>
      <c r="EK1934" s="1"/>
      <c r="EL1934" s="1"/>
      <c r="EM1934" s="1"/>
      <c r="EN1934" s="1"/>
      <c r="EQ1934" s="1"/>
      <c r="ER1934" s="1"/>
      <c r="ES1934" s="1"/>
      <c r="EV1934" s="1"/>
      <c r="EW1934" s="1"/>
      <c r="EZ1934" s="1"/>
      <c r="GO1934" s="1"/>
      <c r="HY1934" s="1"/>
      <c r="IE1934" s="1"/>
      <c r="IG1934" s="1"/>
      <c r="IH1934" s="1"/>
      <c r="IS1934" s="1"/>
      <c r="IU1934" s="1"/>
      <c r="IZ1934" s="1"/>
      <c r="JJ1934" s="1"/>
      <c r="JK1934" s="1"/>
      <c r="JL1934" s="3"/>
      <c r="JM1934" s="1"/>
      <c r="JP1934" s="1"/>
      <c r="JQ1934" s="1"/>
      <c r="JR1934" s="1"/>
      <c r="JV1934" s="1"/>
      <c r="KZ1934" s="1"/>
      <c r="LN1934" s="1"/>
      <c r="LX1934" s="1"/>
      <c r="LZ1934" s="1"/>
      <c r="MA1934" s="1"/>
    </row>
    <row r="1935" spans="4:339" ht="13" x14ac:dyDescent="0.15">
      <c r="D1935" s="12"/>
      <c r="E1935" s="12"/>
      <c r="I1935" s="12"/>
      <c r="J1935" s="13"/>
      <c r="BG1935" s="1"/>
      <c r="BH1935" s="1"/>
      <c r="BI1935" s="1"/>
      <c r="BJ1935" s="1"/>
      <c r="BK1935" s="1"/>
      <c r="BL1935" s="1"/>
      <c r="BM1935" s="1"/>
      <c r="BN1935" s="1"/>
      <c r="BO1935" s="1"/>
      <c r="BP1935" s="1"/>
      <c r="CD1935" s="1"/>
      <c r="CE1935" s="1"/>
      <c r="CF1935" s="1"/>
      <c r="CK1935" s="1"/>
      <c r="CM1935" s="2"/>
      <c r="CP1935" s="1"/>
      <c r="CQ1935" s="1"/>
      <c r="CX1935" s="1"/>
      <c r="CY1935" s="1"/>
      <c r="CZ1935" s="1"/>
      <c r="DA1935" s="1"/>
      <c r="DB1935" s="1"/>
      <c r="DC1935" s="1"/>
      <c r="DD1935" s="1"/>
      <c r="DE1935" s="1"/>
      <c r="DF1935" s="1"/>
      <c r="DG1935" s="1"/>
      <c r="DH1935" s="1"/>
      <c r="DI1935" s="1"/>
      <c r="DJ1935" s="1"/>
      <c r="DK1935" s="1"/>
      <c r="DM1935" s="1"/>
      <c r="DQ1935" s="1"/>
      <c r="DR1935" s="1"/>
      <c r="DY1935" s="1"/>
      <c r="DZ1935" s="1"/>
      <c r="ED1935" s="1"/>
      <c r="EK1935" s="1"/>
      <c r="EL1935" s="1"/>
      <c r="EM1935" s="1"/>
      <c r="EN1935" s="1"/>
      <c r="EQ1935" s="1"/>
      <c r="ER1935" s="1"/>
      <c r="ES1935" s="1"/>
      <c r="EV1935" s="1"/>
      <c r="EW1935" s="1"/>
      <c r="EZ1935" s="1"/>
      <c r="GO1935" s="1"/>
      <c r="HY1935" s="1"/>
      <c r="IE1935" s="1"/>
      <c r="IG1935" s="1"/>
      <c r="IH1935" s="1"/>
      <c r="IS1935" s="1"/>
      <c r="IU1935" s="1"/>
      <c r="IZ1935" s="1"/>
      <c r="JJ1935" s="1"/>
      <c r="JK1935" s="1"/>
      <c r="JL1935" s="3"/>
      <c r="JM1935" s="1"/>
      <c r="JP1935" s="1"/>
      <c r="JQ1935" s="1"/>
      <c r="JR1935" s="1"/>
      <c r="JV1935" s="1"/>
      <c r="KZ1935" s="1"/>
      <c r="LN1935" s="1"/>
      <c r="LX1935" s="1"/>
      <c r="LZ1935" s="1"/>
      <c r="MA1935" s="1"/>
    </row>
    <row r="1936" spans="4:339" ht="13" x14ac:dyDescent="0.15">
      <c r="D1936" s="12"/>
      <c r="E1936" s="12"/>
      <c r="I1936" s="12"/>
      <c r="J1936" s="13"/>
      <c r="BG1936" s="1"/>
      <c r="BH1936" s="1"/>
      <c r="BI1936" s="1"/>
      <c r="BJ1936" s="1"/>
      <c r="BK1936" s="1"/>
      <c r="BL1936" s="1"/>
      <c r="BM1936" s="1"/>
      <c r="BN1936" s="1"/>
      <c r="BO1936" s="1"/>
      <c r="BP1936" s="1"/>
      <c r="CD1936" s="1"/>
      <c r="CE1936" s="1"/>
      <c r="CF1936" s="1"/>
      <c r="CK1936" s="1"/>
      <c r="CM1936" s="2"/>
      <c r="CP1936" s="1"/>
      <c r="CQ1936" s="1"/>
      <c r="CX1936" s="1"/>
      <c r="CY1936" s="1"/>
      <c r="CZ1936" s="1"/>
      <c r="DA1936" s="1"/>
      <c r="DB1936" s="1"/>
      <c r="DC1936" s="1"/>
      <c r="DD1936" s="1"/>
      <c r="DE1936" s="1"/>
      <c r="DF1936" s="1"/>
      <c r="DG1936" s="1"/>
      <c r="DH1936" s="1"/>
      <c r="DI1936" s="1"/>
      <c r="DJ1936" s="1"/>
      <c r="DK1936" s="1"/>
      <c r="DM1936" s="1"/>
      <c r="DQ1936" s="1"/>
      <c r="DR1936" s="1"/>
      <c r="DY1936" s="1"/>
      <c r="DZ1936" s="1"/>
      <c r="ED1936" s="1"/>
      <c r="EK1936" s="1"/>
      <c r="EL1936" s="1"/>
      <c r="EM1936" s="1"/>
      <c r="EN1936" s="1"/>
      <c r="EQ1936" s="1"/>
      <c r="ER1936" s="1"/>
      <c r="ES1936" s="1"/>
      <c r="EV1936" s="1"/>
      <c r="EW1936" s="1"/>
      <c r="EZ1936" s="1"/>
      <c r="GO1936" s="1"/>
      <c r="HY1936" s="1"/>
      <c r="IE1936" s="1"/>
      <c r="IG1936" s="1"/>
      <c r="IH1936" s="1"/>
      <c r="IS1936" s="1"/>
      <c r="IU1936" s="1"/>
      <c r="IZ1936" s="1"/>
      <c r="JJ1936" s="1"/>
      <c r="JK1936" s="1"/>
      <c r="JL1936" s="3"/>
      <c r="JM1936" s="1"/>
      <c r="JP1936" s="1"/>
      <c r="JQ1936" s="1"/>
      <c r="JR1936" s="1"/>
      <c r="JV1936" s="1"/>
      <c r="KZ1936" s="1"/>
      <c r="LN1936" s="1"/>
      <c r="LX1936" s="1"/>
      <c r="LZ1936" s="1"/>
      <c r="MA1936" s="1"/>
    </row>
    <row r="1937" spans="4:339" ht="13" x14ac:dyDescent="0.15">
      <c r="D1937" s="12"/>
      <c r="E1937" s="12"/>
      <c r="I1937" s="12"/>
      <c r="J1937" s="13"/>
      <c r="BG1937" s="1"/>
      <c r="BH1937" s="1"/>
      <c r="BI1937" s="1"/>
      <c r="BJ1937" s="1"/>
      <c r="BK1937" s="1"/>
      <c r="BL1937" s="1"/>
      <c r="BM1937" s="1"/>
      <c r="BN1937" s="1"/>
      <c r="BO1937" s="1"/>
      <c r="BP1937" s="1"/>
      <c r="CD1937" s="1"/>
      <c r="CE1937" s="1"/>
      <c r="CF1937" s="1"/>
      <c r="CK1937" s="1"/>
      <c r="CM1937" s="2"/>
      <c r="CP1937" s="1"/>
      <c r="CQ1937" s="1"/>
      <c r="CX1937" s="1"/>
      <c r="CY1937" s="1"/>
      <c r="CZ1937" s="1"/>
      <c r="DA1937" s="1"/>
      <c r="DB1937" s="1"/>
      <c r="DC1937" s="1"/>
      <c r="DD1937" s="1"/>
      <c r="DE1937" s="1"/>
      <c r="DF1937" s="1"/>
      <c r="DG1937" s="1"/>
      <c r="DH1937" s="1"/>
      <c r="DI1937" s="1"/>
      <c r="DJ1937" s="1"/>
      <c r="DK1937" s="1"/>
      <c r="DM1937" s="1"/>
      <c r="DQ1937" s="1"/>
      <c r="DR1937" s="1"/>
      <c r="DY1937" s="1"/>
      <c r="DZ1937" s="1"/>
      <c r="ED1937" s="1"/>
      <c r="EK1937" s="1"/>
      <c r="EL1937" s="1"/>
      <c r="EM1937" s="1"/>
      <c r="EN1937" s="1"/>
      <c r="EQ1937" s="1"/>
      <c r="ER1937" s="1"/>
      <c r="ES1937" s="1"/>
      <c r="EV1937" s="1"/>
      <c r="EW1937" s="1"/>
      <c r="EZ1937" s="1"/>
      <c r="GO1937" s="1"/>
      <c r="HY1937" s="1"/>
      <c r="IE1937" s="1"/>
      <c r="IG1937" s="1"/>
      <c r="IH1937" s="1"/>
      <c r="IS1937" s="1"/>
      <c r="IU1937" s="1"/>
      <c r="IZ1937" s="1"/>
      <c r="JJ1937" s="1"/>
      <c r="JK1937" s="1"/>
      <c r="JL1937" s="3"/>
      <c r="JM1937" s="1"/>
      <c r="JP1937" s="1"/>
      <c r="JQ1937" s="1"/>
      <c r="JR1937" s="1"/>
      <c r="JV1937" s="1"/>
      <c r="KZ1937" s="1"/>
      <c r="LN1937" s="1"/>
      <c r="LX1937" s="1"/>
      <c r="LZ1937" s="1"/>
      <c r="MA1937" s="1"/>
    </row>
    <row r="1938" spans="4:339" ht="13" x14ac:dyDescent="0.15">
      <c r="D1938" s="12"/>
      <c r="E1938" s="12"/>
      <c r="I1938" s="12"/>
      <c r="J1938" s="13"/>
      <c r="BG1938" s="1"/>
      <c r="BH1938" s="1"/>
      <c r="BI1938" s="1"/>
      <c r="BJ1938" s="1"/>
      <c r="BK1938" s="1"/>
      <c r="BL1938" s="1"/>
      <c r="BM1938" s="1"/>
      <c r="BN1938" s="1"/>
      <c r="BO1938" s="1"/>
      <c r="BP1938" s="1"/>
      <c r="CD1938" s="1"/>
      <c r="CE1938" s="1"/>
      <c r="CF1938" s="1"/>
      <c r="CK1938" s="1"/>
      <c r="CM1938" s="2"/>
      <c r="CP1938" s="1"/>
      <c r="CQ1938" s="1"/>
      <c r="CX1938" s="1"/>
      <c r="CY1938" s="1"/>
      <c r="CZ1938" s="1"/>
      <c r="DA1938" s="1"/>
      <c r="DB1938" s="1"/>
      <c r="DC1938" s="1"/>
      <c r="DD1938" s="1"/>
      <c r="DE1938" s="1"/>
      <c r="DF1938" s="1"/>
      <c r="DG1938" s="1"/>
      <c r="DH1938" s="1"/>
      <c r="DI1938" s="1"/>
      <c r="DJ1938" s="1"/>
      <c r="DK1938" s="1"/>
      <c r="DM1938" s="1"/>
      <c r="DQ1938" s="1"/>
      <c r="DR1938" s="1"/>
      <c r="DY1938" s="1"/>
      <c r="DZ1938" s="1"/>
      <c r="ED1938" s="1"/>
      <c r="EK1938" s="1"/>
      <c r="EL1938" s="1"/>
      <c r="EM1938" s="1"/>
      <c r="EN1938" s="1"/>
      <c r="EQ1938" s="1"/>
      <c r="ER1938" s="1"/>
      <c r="ES1938" s="1"/>
      <c r="EV1938" s="1"/>
      <c r="EW1938" s="1"/>
      <c r="EZ1938" s="1"/>
      <c r="GO1938" s="1"/>
      <c r="HY1938" s="1"/>
      <c r="IE1938" s="1"/>
      <c r="IG1938" s="1"/>
      <c r="IH1938" s="1"/>
      <c r="IS1938" s="1"/>
      <c r="IU1938" s="1"/>
      <c r="IZ1938" s="1"/>
      <c r="JJ1938" s="1"/>
      <c r="JK1938" s="1"/>
      <c r="JL1938" s="3"/>
      <c r="JM1938" s="1"/>
      <c r="JP1938" s="1"/>
      <c r="JQ1938" s="1"/>
      <c r="JR1938" s="1"/>
      <c r="JV1938" s="1"/>
      <c r="KZ1938" s="1"/>
      <c r="LN1938" s="1"/>
      <c r="LX1938" s="1"/>
      <c r="LZ1938" s="1"/>
      <c r="MA1938" s="1"/>
    </row>
    <row r="1939" spans="4:339" ht="13" x14ac:dyDescent="0.15">
      <c r="D1939" s="12"/>
      <c r="E1939" s="12"/>
      <c r="I1939" s="12"/>
      <c r="J1939" s="13"/>
      <c r="BG1939" s="1"/>
      <c r="BH1939" s="1"/>
      <c r="BI1939" s="1"/>
      <c r="BJ1939" s="1"/>
      <c r="BK1939" s="1"/>
      <c r="BL1939" s="1"/>
      <c r="BM1939" s="1"/>
      <c r="BN1939" s="1"/>
      <c r="BO1939" s="1"/>
      <c r="BP1939" s="1"/>
      <c r="CD1939" s="1"/>
      <c r="CE1939" s="1"/>
      <c r="CF1939" s="1"/>
      <c r="CK1939" s="1"/>
      <c r="CM1939" s="2"/>
      <c r="CP1939" s="1"/>
      <c r="CQ1939" s="1"/>
      <c r="CX1939" s="1"/>
      <c r="CY1939" s="1"/>
      <c r="CZ1939" s="1"/>
      <c r="DA1939" s="1"/>
      <c r="DB1939" s="1"/>
      <c r="DC1939" s="1"/>
      <c r="DD1939" s="1"/>
      <c r="DE1939" s="1"/>
      <c r="DF1939" s="1"/>
      <c r="DG1939" s="1"/>
      <c r="DH1939" s="1"/>
      <c r="DI1939" s="1"/>
      <c r="DJ1939" s="1"/>
      <c r="DK1939" s="1"/>
      <c r="DM1939" s="1"/>
      <c r="DQ1939" s="1"/>
      <c r="DR1939" s="1"/>
      <c r="DY1939" s="1"/>
      <c r="DZ1939" s="1"/>
      <c r="ED1939" s="1"/>
      <c r="EK1939" s="1"/>
      <c r="EL1939" s="1"/>
      <c r="EM1939" s="1"/>
      <c r="EN1939" s="1"/>
      <c r="EQ1939" s="1"/>
      <c r="ER1939" s="1"/>
      <c r="ES1939" s="1"/>
      <c r="EV1939" s="1"/>
      <c r="EW1939" s="1"/>
      <c r="EZ1939" s="1"/>
      <c r="GO1939" s="1"/>
      <c r="HY1939" s="1"/>
      <c r="IE1939" s="1"/>
      <c r="IG1939" s="1"/>
      <c r="IH1939" s="1"/>
      <c r="IS1939" s="1"/>
      <c r="IU1939" s="1"/>
      <c r="IZ1939" s="1"/>
      <c r="JJ1939" s="1"/>
      <c r="JK1939" s="1"/>
      <c r="JL1939" s="3"/>
      <c r="JM1939" s="1"/>
      <c r="JP1939" s="1"/>
      <c r="JQ1939" s="1"/>
      <c r="JR1939" s="1"/>
      <c r="JV1939" s="1"/>
      <c r="KZ1939" s="1"/>
      <c r="LN1939" s="1"/>
      <c r="LX1939" s="1"/>
      <c r="LZ1939" s="1"/>
      <c r="MA1939" s="1"/>
    </row>
    <row r="1940" spans="4:339" ht="13" x14ac:dyDescent="0.15">
      <c r="D1940" s="12"/>
      <c r="E1940" s="12"/>
      <c r="I1940" s="12"/>
      <c r="J1940" s="13"/>
      <c r="BG1940" s="1"/>
      <c r="BH1940" s="1"/>
      <c r="BI1940" s="1"/>
      <c r="BJ1940" s="1"/>
      <c r="BK1940" s="1"/>
      <c r="BL1940" s="1"/>
      <c r="BM1940" s="1"/>
      <c r="BN1940" s="1"/>
      <c r="BO1940" s="1"/>
      <c r="BP1940" s="1"/>
      <c r="CD1940" s="1"/>
      <c r="CE1940" s="1"/>
      <c r="CF1940" s="1"/>
      <c r="CK1940" s="1"/>
      <c r="CM1940" s="2"/>
      <c r="CP1940" s="1"/>
      <c r="CQ1940" s="1"/>
      <c r="CX1940" s="1"/>
      <c r="CY1940" s="1"/>
      <c r="CZ1940" s="1"/>
      <c r="DA1940" s="1"/>
      <c r="DB1940" s="1"/>
      <c r="DC1940" s="1"/>
      <c r="DD1940" s="1"/>
      <c r="DE1940" s="1"/>
      <c r="DF1940" s="1"/>
      <c r="DG1940" s="1"/>
      <c r="DH1940" s="1"/>
      <c r="DI1940" s="1"/>
      <c r="DJ1940" s="1"/>
      <c r="DK1940" s="1"/>
      <c r="DM1940" s="1"/>
      <c r="DQ1940" s="1"/>
      <c r="DR1940" s="1"/>
      <c r="DY1940" s="1"/>
      <c r="DZ1940" s="1"/>
      <c r="ED1940" s="1"/>
      <c r="EK1940" s="1"/>
      <c r="EL1940" s="1"/>
      <c r="EM1940" s="1"/>
      <c r="EN1940" s="1"/>
      <c r="EQ1940" s="1"/>
      <c r="ER1940" s="1"/>
      <c r="ES1940" s="1"/>
      <c r="EV1940" s="1"/>
      <c r="EW1940" s="1"/>
      <c r="EZ1940" s="1"/>
      <c r="GO1940" s="1"/>
      <c r="HY1940" s="1"/>
      <c r="IE1940" s="1"/>
      <c r="IG1940" s="1"/>
      <c r="IH1940" s="1"/>
      <c r="IS1940" s="1"/>
      <c r="IU1940" s="1"/>
      <c r="IZ1940" s="1"/>
      <c r="JJ1940" s="1"/>
      <c r="JK1940" s="1"/>
      <c r="JL1940" s="3"/>
      <c r="JM1940" s="1"/>
      <c r="JP1940" s="1"/>
      <c r="JQ1940" s="1"/>
      <c r="JR1940" s="1"/>
      <c r="JV1940" s="1"/>
      <c r="KZ1940" s="1"/>
      <c r="LN1940" s="1"/>
      <c r="LX1940" s="1"/>
      <c r="LZ1940" s="1"/>
      <c r="MA1940" s="1"/>
    </row>
    <row r="1941" spans="4:339" ht="13" x14ac:dyDescent="0.15">
      <c r="D1941" s="12"/>
      <c r="E1941" s="12"/>
      <c r="I1941" s="12"/>
      <c r="J1941" s="13"/>
      <c r="BG1941" s="1"/>
      <c r="BH1941" s="1"/>
      <c r="BI1941" s="1"/>
      <c r="BJ1941" s="1"/>
      <c r="BK1941" s="1"/>
      <c r="BL1941" s="1"/>
      <c r="BM1941" s="1"/>
      <c r="BN1941" s="1"/>
      <c r="BO1941" s="1"/>
      <c r="BP1941" s="1"/>
      <c r="CD1941" s="1"/>
      <c r="CE1941" s="1"/>
      <c r="CF1941" s="1"/>
      <c r="CK1941" s="1"/>
      <c r="CM1941" s="2"/>
      <c r="CP1941" s="1"/>
      <c r="CQ1941" s="1"/>
      <c r="CX1941" s="1"/>
      <c r="CY1941" s="1"/>
      <c r="CZ1941" s="1"/>
      <c r="DA1941" s="1"/>
      <c r="DB1941" s="1"/>
      <c r="DC1941" s="1"/>
      <c r="DD1941" s="1"/>
      <c r="DE1941" s="1"/>
      <c r="DF1941" s="1"/>
      <c r="DG1941" s="1"/>
      <c r="DH1941" s="1"/>
      <c r="DI1941" s="1"/>
      <c r="DJ1941" s="1"/>
      <c r="DK1941" s="1"/>
      <c r="DM1941" s="1"/>
      <c r="DQ1941" s="1"/>
      <c r="DR1941" s="1"/>
      <c r="DY1941" s="1"/>
      <c r="DZ1941" s="1"/>
      <c r="ED1941" s="1"/>
      <c r="EK1941" s="1"/>
      <c r="EL1941" s="1"/>
      <c r="EM1941" s="1"/>
      <c r="EN1941" s="1"/>
      <c r="EQ1941" s="1"/>
      <c r="ER1941" s="1"/>
      <c r="ES1941" s="1"/>
      <c r="EV1941" s="1"/>
      <c r="EW1941" s="1"/>
      <c r="EZ1941" s="1"/>
      <c r="GO1941" s="1"/>
      <c r="HY1941" s="1"/>
      <c r="IE1941" s="1"/>
      <c r="IG1941" s="1"/>
      <c r="IH1941" s="1"/>
      <c r="IS1941" s="1"/>
      <c r="IU1941" s="1"/>
      <c r="IZ1941" s="1"/>
      <c r="JJ1941" s="1"/>
      <c r="JK1941" s="1"/>
      <c r="JL1941" s="3"/>
      <c r="JM1941" s="1"/>
      <c r="JP1941" s="1"/>
      <c r="JQ1941" s="1"/>
      <c r="JR1941" s="1"/>
      <c r="JV1941" s="1"/>
      <c r="KZ1941" s="1"/>
      <c r="LN1941" s="1"/>
      <c r="LX1941" s="1"/>
      <c r="LZ1941" s="1"/>
      <c r="MA1941" s="1"/>
    </row>
    <row r="1942" spans="4:339" ht="13" x14ac:dyDescent="0.15">
      <c r="D1942" s="12"/>
      <c r="E1942" s="12"/>
      <c r="I1942" s="12"/>
      <c r="J1942" s="13"/>
      <c r="BG1942" s="1"/>
      <c r="BH1942" s="1"/>
      <c r="BI1942" s="1"/>
      <c r="BJ1942" s="1"/>
      <c r="BK1942" s="1"/>
      <c r="BL1942" s="1"/>
      <c r="BM1942" s="1"/>
      <c r="BN1942" s="1"/>
      <c r="BO1942" s="1"/>
      <c r="BP1942" s="1"/>
      <c r="CD1942" s="1"/>
      <c r="CE1942" s="1"/>
      <c r="CF1942" s="1"/>
      <c r="CK1942" s="1"/>
      <c r="CM1942" s="2"/>
      <c r="CP1942" s="1"/>
      <c r="CQ1942" s="1"/>
      <c r="CX1942" s="1"/>
      <c r="CY1942" s="1"/>
      <c r="CZ1942" s="1"/>
      <c r="DA1942" s="1"/>
      <c r="DB1942" s="1"/>
      <c r="DC1942" s="1"/>
      <c r="DD1942" s="1"/>
      <c r="DE1942" s="1"/>
      <c r="DF1942" s="1"/>
      <c r="DG1942" s="1"/>
      <c r="DH1942" s="1"/>
      <c r="DI1942" s="1"/>
      <c r="DJ1942" s="1"/>
      <c r="DK1942" s="1"/>
      <c r="DM1942" s="1"/>
      <c r="DQ1942" s="1"/>
      <c r="DR1942" s="1"/>
      <c r="DY1942" s="1"/>
      <c r="DZ1942" s="1"/>
      <c r="ED1942" s="1"/>
      <c r="EK1942" s="1"/>
      <c r="EL1942" s="1"/>
      <c r="EM1942" s="1"/>
      <c r="EN1942" s="1"/>
      <c r="EQ1942" s="1"/>
      <c r="ER1942" s="1"/>
      <c r="ES1942" s="1"/>
      <c r="EV1942" s="1"/>
      <c r="EW1942" s="1"/>
      <c r="EZ1942" s="1"/>
      <c r="GO1942" s="1"/>
      <c r="HY1942" s="1"/>
      <c r="IE1942" s="1"/>
      <c r="IG1942" s="1"/>
      <c r="IH1942" s="1"/>
      <c r="IS1942" s="1"/>
      <c r="IU1942" s="1"/>
      <c r="IZ1942" s="1"/>
      <c r="JJ1942" s="1"/>
      <c r="JK1942" s="1"/>
      <c r="JL1942" s="3"/>
      <c r="JM1942" s="1"/>
      <c r="JP1942" s="1"/>
      <c r="JQ1942" s="1"/>
      <c r="JR1942" s="1"/>
      <c r="JV1942" s="1"/>
      <c r="KZ1942" s="1"/>
      <c r="LN1942" s="1"/>
      <c r="LX1942" s="1"/>
      <c r="LZ1942" s="1"/>
      <c r="MA1942" s="1"/>
    </row>
    <row r="1943" spans="4:339" ht="13" x14ac:dyDescent="0.15">
      <c r="D1943" s="12"/>
      <c r="E1943" s="12"/>
      <c r="I1943" s="12"/>
      <c r="J1943" s="13"/>
      <c r="BG1943" s="1"/>
      <c r="BH1943" s="1"/>
      <c r="BI1943" s="1"/>
      <c r="BJ1943" s="1"/>
      <c r="BK1943" s="1"/>
      <c r="BL1943" s="1"/>
      <c r="BM1943" s="1"/>
      <c r="BN1943" s="1"/>
      <c r="BO1943" s="1"/>
      <c r="BP1943" s="1"/>
      <c r="CD1943" s="1"/>
      <c r="CE1943" s="1"/>
      <c r="CF1943" s="1"/>
      <c r="CK1943" s="1"/>
      <c r="CM1943" s="2"/>
      <c r="CP1943" s="1"/>
      <c r="CQ1943" s="1"/>
      <c r="CX1943" s="1"/>
      <c r="CY1943" s="1"/>
      <c r="CZ1943" s="1"/>
      <c r="DA1943" s="1"/>
      <c r="DB1943" s="1"/>
      <c r="DC1943" s="1"/>
      <c r="DD1943" s="1"/>
      <c r="DE1943" s="1"/>
      <c r="DF1943" s="1"/>
      <c r="DG1943" s="1"/>
      <c r="DH1943" s="1"/>
      <c r="DI1943" s="1"/>
      <c r="DJ1943" s="1"/>
      <c r="DK1943" s="1"/>
      <c r="DM1943" s="1"/>
      <c r="DQ1943" s="1"/>
      <c r="DR1943" s="1"/>
      <c r="DY1943" s="1"/>
      <c r="DZ1943" s="1"/>
      <c r="ED1943" s="1"/>
      <c r="EK1943" s="1"/>
      <c r="EL1943" s="1"/>
      <c r="EM1943" s="1"/>
      <c r="EN1943" s="1"/>
      <c r="EQ1943" s="1"/>
      <c r="ER1943" s="1"/>
      <c r="ES1943" s="1"/>
      <c r="EV1943" s="1"/>
      <c r="EW1943" s="1"/>
      <c r="EZ1943" s="1"/>
      <c r="GO1943" s="1"/>
      <c r="HY1943" s="1"/>
      <c r="IE1943" s="1"/>
      <c r="IG1943" s="1"/>
      <c r="IH1943" s="1"/>
      <c r="IS1943" s="1"/>
      <c r="IU1943" s="1"/>
      <c r="IZ1943" s="1"/>
      <c r="JJ1943" s="1"/>
      <c r="JK1943" s="1"/>
      <c r="JL1943" s="3"/>
      <c r="JM1943" s="1"/>
      <c r="JP1943" s="1"/>
      <c r="JQ1943" s="1"/>
      <c r="JR1943" s="1"/>
      <c r="JV1943" s="1"/>
      <c r="KZ1943" s="1"/>
      <c r="LN1943" s="1"/>
      <c r="LX1943" s="1"/>
      <c r="LZ1943" s="1"/>
      <c r="MA1943" s="1"/>
    </row>
    <row r="1944" spans="4:339" ht="13" x14ac:dyDescent="0.15">
      <c r="D1944" s="12"/>
      <c r="E1944" s="12"/>
      <c r="I1944" s="12"/>
      <c r="J1944" s="13"/>
      <c r="BG1944" s="1"/>
      <c r="BH1944" s="1"/>
      <c r="BI1944" s="1"/>
      <c r="BJ1944" s="1"/>
      <c r="BK1944" s="1"/>
      <c r="BL1944" s="1"/>
      <c r="BM1944" s="1"/>
      <c r="BN1944" s="1"/>
      <c r="BO1944" s="1"/>
      <c r="BP1944" s="1"/>
      <c r="CD1944" s="1"/>
      <c r="CE1944" s="1"/>
      <c r="CF1944" s="1"/>
      <c r="CK1944" s="1"/>
      <c r="CM1944" s="2"/>
      <c r="CP1944" s="1"/>
      <c r="CQ1944" s="1"/>
      <c r="CX1944" s="1"/>
      <c r="CY1944" s="1"/>
      <c r="CZ1944" s="1"/>
      <c r="DA1944" s="1"/>
      <c r="DB1944" s="1"/>
      <c r="DC1944" s="1"/>
      <c r="DD1944" s="1"/>
      <c r="DE1944" s="1"/>
      <c r="DF1944" s="1"/>
      <c r="DG1944" s="1"/>
      <c r="DH1944" s="1"/>
      <c r="DI1944" s="1"/>
      <c r="DJ1944" s="1"/>
      <c r="DK1944" s="1"/>
      <c r="DM1944" s="1"/>
      <c r="DQ1944" s="1"/>
      <c r="DR1944" s="1"/>
      <c r="DY1944" s="1"/>
      <c r="DZ1944" s="1"/>
      <c r="ED1944" s="1"/>
      <c r="EK1944" s="1"/>
      <c r="EL1944" s="1"/>
      <c r="EM1944" s="1"/>
      <c r="EN1944" s="1"/>
      <c r="EQ1944" s="1"/>
      <c r="ER1944" s="1"/>
      <c r="ES1944" s="1"/>
      <c r="EV1944" s="1"/>
      <c r="EW1944" s="1"/>
      <c r="EZ1944" s="1"/>
      <c r="GO1944" s="1"/>
      <c r="HY1944" s="1"/>
      <c r="IE1944" s="1"/>
      <c r="IG1944" s="1"/>
      <c r="IH1944" s="1"/>
      <c r="IS1944" s="1"/>
      <c r="IU1944" s="1"/>
      <c r="IZ1944" s="1"/>
      <c r="JJ1944" s="1"/>
      <c r="JK1944" s="1"/>
      <c r="JL1944" s="3"/>
      <c r="JM1944" s="1"/>
      <c r="JP1944" s="1"/>
      <c r="JQ1944" s="1"/>
      <c r="JR1944" s="1"/>
      <c r="JV1944" s="1"/>
      <c r="KZ1944" s="1"/>
      <c r="LN1944" s="1"/>
      <c r="LX1944" s="1"/>
      <c r="LZ1944" s="1"/>
      <c r="MA1944" s="1"/>
    </row>
    <row r="1945" spans="4:339" ht="13" x14ac:dyDescent="0.15">
      <c r="D1945" s="12"/>
      <c r="E1945" s="12"/>
      <c r="I1945" s="12"/>
      <c r="J1945" s="13"/>
      <c r="BG1945" s="1"/>
      <c r="BH1945" s="1"/>
      <c r="BI1945" s="1"/>
      <c r="BJ1945" s="1"/>
      <c r="BK1945" s="1"/>
      <c r="BL1945" s="1"/>
      <c r="BM1945" s="1"/>
      <c r="BN1945" s="1"/>
      <c r="BO1945" s="1"/>
      <c r="BP1945" s="1"/>
      <c r="CD1945" s="1"/>
      <c r="CE1945" s="1"/>
      <c r="CF1945" s="1"/>
      <c r="CK1945" s="1"/>
      <c r="CM1945" s="2"/>
      <c r="CP1945" s="1"/>
      <c r="CQ1945" s="1"/>
      <c r="CX1945" s="1"/>
      <c r="CY1945" s="1"/>
      <c r="CZ1945" s="1"/>
      <c r="DA1945" s="1"/>
      <c r="DB1945" s="1"/>
      <c r="DC1945" s="1"/>
      <c r="DD1945" s="1"/>
      <c r="DE1945" s="1"/>
      <c r="DF1945" s="1"/>
      <c r="DG1945" s="1"/>
      <c r="DH1945" s="1"/>
      <c r="DI1945" s="1"/>
      <c r="DJ1945" s="1"/>
      <c r="DK1945" s="1"/>
      <c r="DM1945" s="1"/>
      <c r="DQ1945" s="1"/>
      <c r="DR1945" s="1"/>
      <c r="DY1945" s="1"/>
      <c r="DZ1945" s="1"/>
      <c r="ED1945" s="1"/>
      <c r="EK1945" s="1"/>
      <c r="EL1945" s="1"/>
      <c r="EM1945" s="1"/>
      <c r="EN1945" s="1"/>
      <c r="EQ1945" s="1"/>
      <c r="ER1945" s="1"/>
      <c r="ES1945" s="1"/>
      <c r="EV1945" s="1"/>
      <c r="EW1945" s="1"/>
      <c r="EZ1945" s="1"/>
      <c r="GO1945" s="1"/>
      <c r="HY1945" s="1"/>
      <c r="IE1945" s="1"/>
      <c r="IG1945" s="1"/>
      <c r="IH1945" s="1"/>
      <c r="IS1945" s="1"/>
      <c r="IU1945" s="1"/>
      <c r="IZ1945" s="1"/>
      <c r="JJ1945" s="1"/>
      <c r="JK1945" s="1"/>
      <c r="JL1945" s="3"/>
      <c r="JM1945" s="1"/>
      <c r="JP1945" s="1"/>
      <c r="JQ1945" s="1"/>
      <c r="JR1945" s="1"/>
      <c r="JV1945" s="1"/>
      <c r="KZ1945" s="1"/>
      <c r="LN1945" s="1"/>
      <c r="LX1945" s="1"/>
      <c r="LZ1945" s="1"/>
      <c r="MA1945" s="1"/>
    </row>
    <row r="1946" spans="4:339" ht="13" x14ac:dyDescent="0.15">
      <c r="D1946" s="12"/>
      <c r="E1946" s="12"/>
      <c r="I1946" s="12"/>
      <c r="J1946" s="13"/>
      <c r="BG1946" s="1"/>
      <c r="BH1946" s="1"/>
      <c r="BI1946" s="1"/>
      <c r="BJ1946" s="1"/>
      <c r="BK1946" s="1"/>
      <c r="BL1946" s="1"/>
      <c r="BM1946" s="1"/>
      <c r="BN1946" s="1"/>
      <c r="BO1946" s="1"/>
      <c r="BP1946" s="1"/>
      <c r="CD1946" s="1"/>
      <c r="CE1946" s="1"/>
      <c r="CF1946" s="1"/>
      <c r="CK1946" s="1"/>
      <c r="CM1946" s="2"/>
      <c r="CP1946" s="1"/>
      <c r="CQ1946" s="1"/>
      <c r="CX1946" s="1"/>
      <c r="CY1946" s="1"/>
      <c r="CZ1946" s="1"/>
      <c r="DA1946" s="1"/>
      <c r="DB1946" s="1"/>
      <c r="DC1946" s="1"/>
      <c r="DD1946" s="1"/>
      <c r="DE1946" s="1"/>
      <c r="DF1946" s="1"/>
      <c r="DG1946" s="1"/>
      <c r="DH1946" s="1"/>
      <c r="DI1946" s="1"/>
      <c r="DJ1946" s="1"/>
      <c r="DK1946" s="1"/>
      <c r="DM1946" s="1"/>
      <c r="DQ1946" s="1"/>
      <c r="DR1946" s="1"/>
      <c r="DY1946" s="1"/>
      <c r="DZ1946" s="1"/>
      <c r="ED1946" s="1"/>
      <c r="EK1946" s="1"/>
      <c r="EL1946" s="1"/>
      <c r="EM1946" s="1"/>
      <c r="EN1946" s="1"/>
      <c r="EQ1946" s="1"/>
      <c r="ER1946" s="1"/>
      <c r="ES1946" s="1"/>
      <c r="EV1946" s="1"/>
      <c r="EW1946" s="1"/>
      <c r="EZ1946" s="1"/>
      <c r="GO1946" s="1"/>
      <c r="HY1946" s="1"/>
      <c r="IE1946" s="1"/>
      <c r="IG1946" s="1"/>
      <c r="IH1946" s="1"/>
      <c r="IS1946" s="1"/>
      <c r="IU1946" s="1"/>
      <c r="IZ1946" s="1"/>
      <c r="JJ1946" s="1"/>
      <c r="JK1946" s="1"/>
      <c r="JL1946" s="3"/>
      <c r="JM1946" s="1"/>
      <c r="JP1946" s="1"/>
      <c r="JQ1946" s="1"/>
      <c r="JR1946" s="1"/>
      <c r="JV1946" s="1"/>
      <c r="KZ1946" s="1"/>
      <c r="LN1946" s="1"/>
      <c r="LX1946" s="1"/>
      <c r="LZ1946" s="1"/>
      <c r="MA1946" s="1"/>
    </row>
    <row r="1947" spans="4:339" ht="13" x14ac:dyDescent="0.15">
      <c r="D1947" s="12"/>
      <c r="E1947" s="12"/>
      <c r="I1947" s="12"/>
      <c r="J1947" s="13"/>
      <c r="BG1947" s="1"/>
      <c r="BH1947" s="1"/>
      <c r="BI1947" s="1"/>
      <c r="BJ1947" s="1"/>
      <c r="BK1947" s="1"/>
      <c r="BL1947" s="1"/>
      <c r="BM1947" s="1"/>
      <c r="BN1947" s="1"/>
      <c r="BO1947" s="1"/>
      <c r="BP1947" s="1"/>
      <c r="CD1947" s="1"/>
      <c r="CE1947" s="1"/>
      <c r="CF1947" s="1"/>
      <c r="CK1947" s="1"/>
      <c r="CM1947" s="2"/>
      <c r="CP1947" s="1"/>
      <c r="CQ1947" s="1"/>
      <c r="CX1947" s="1"/>
      <c r="CY1947" s="1"/>
      <c r="CZ1947" s="1"/>
      <c r="DA1947" s="1"/>
      <c r="DB1947" s="1"/>
      <c r="DC1947" s="1"/>
      <c r="DD1947" s="1"/>
      <c r="DE1947" s="1"/>
      <c r="DF1947" s="1"/>
      <c r="DG1947" s="1"/>
      <c r="DH1947" s="1"/>
      <c r="DI1947" s="1"/>
      <c r="DJ1947" s="1"/>
      <c r="DK1947" s="1"/>
      <c r="DM1947" s="1"/>
      <c r="DQ1947" s="1"/>
      <c r="DR1947" s="1"/>
      <c r="DY1947" s="1"/>
      <c r="DZ1947" s="1"/>
      <c r="ED1947" s="1"/>
      <c r="EK1947" s="1"/>
      <c r="EL1947" s="1"/>
      <c r="EM1947" s="1"/>
      <c r="EN1947" s="1"/>
      <c r="EQ1947" s="1"/>
      <c r="ER1947" s="1"/>
      <c r="ES1947" s="1"/>
      <c r="EV1947" s="1"/>
      <c r="EW1947" s="1"/>
      <c r="EZ1947" s="1"/>
      <c r="GO1947" s="1"/>
      <c r="HY1947" s="1"/>
      <c r="IE1947" s="1"/>
      <c r="IG1947" s="1"/>
      <c r="IH1947" s="1"/>
      <c r="IS1947" s="1"/>
      <c r="IU1947" s="1"/>
      <c r="IZ1947" s="1"/>
      <c r="JJ1947" s="1"/>
      <c r="JK1947" s="1"/>
      <c r="JL1947" s="3"/>
      <c r="JM1947" s="1"/>
      <c r="JP1947" s="1"/>
      <c r="JQ1947" s="1"/>
      <c r="JR1947" s="1"/>
      <c r="JV1947" s="1"/>
      <c r="KZ1947" s="1"/>
      <c r="LN1947" s="1"/>
      <c r="LX1947" s="1"/>
      <c r="LZ1947" s="1"/>
      <c r="MA1947" s="1"/>
    </row>
    <row r="1948" spans="4:339" ht="13" x14ac:dyDescent="0.15">
      <c r="D1948" s="12"/>
      <c r="E1948" s="12"/>
      <c r="I1948" s="12"/>
      <c r="J1948" s="13"/>
      <c r="BG1948" s="1"/>
      <c r="BH1948" s="1"/>
      <c r="BI1948" s="1"/>
      <c r="BJ1948" s="1"/>
      <c r="BK1948" s="1"/>
      <c r="BL1948" s="1"/>
      <c r="BM1948" s="1"/>
      <c r="BN1948" s="1"/>
      <c r="BO1948" s="1"/>
      <c r="BP1948" s="1"/>
      <c r="CD1948" s="1"/>
      <c r="CE1948" s="1"/>
      <c r="CF1948" s="1"/>
      <c r="CK1948" s="1"/>
      <c r="CM1948" s="2"/>
      <c r="CP1948" s="1"/>
      <c r="CQ1948" s="1"/>
      <c r="CX1948" s="1"/>
      <c r="CY1948" s="1"/>
      <c r="CZ1948" s="1"/>
      <c r="DA1948" s="1"/>
      <c r="DB1948" s="1"/>
      <c r="DC1948" s="1"/>
      <c r="DD1948" s="1"/>
      <c r="DE1948" s="1"/>
      <c r="DF1948" s="1"/>
      <c r="DG1948" s="1"/>
      <c r="DH1948" s="1"/>
      <c r="DI1948" s="1"/>
      <c r="DJ1948" s="1"/>
      <c r="DK1948" s="1"/>
      <c r="DM1948" s="1"/>
      <c r="DQ1948" s="1"/>
      <c r="DR1948" s="1"/>
      <c r="DY1948" s="1"/>
      <c r="DZ1948" s="1"/>
      <c r="ED1948" s="1"/>
      <c r="EK1948" s="1"/>
      <c r="EL1948" s="1"/>
      <c r="EM1948" s="1"/>
      <c r="EN1948" s="1"/>
      <c r="EQ1948" s="1"/>
      <c r="ER1948" s="1"/>
      <c r="ES1948" s="1"/>
      <c r="EV1948" s="1"/>
      <c r="EW1948" s="1"/>
      <c r="EZ1948" s="1"/>
      <c r="GO1948" s="1"/>
      <c r="HY1948" s="1"/>
      <c r="IE1948" s="1"/>
      <c r="IG1948" s="1"/>
      <c r="IH1948" s="1"/>
      <c r="IS1948" s="1"/>
      <c r="IU1948" s="1"/>
      <c r="IZ1948" s="1"/>
      <c r="JJ1948" s="1"/>
      <c r="JK1948" s="1"/>
      <c r="JL1948" s="3"/>
      <c r="JM1948" s="1"/>
      <c r="JP1948" s="1"/>
      <c r="JQ1948" s="1"/>
      <c r="JR1948" s="1"/>
      <c r="JV1948" s="1"/>
      <c r="KZ1948" s="1"/>
      <c r="LN1948" s="1"/>
      <c r="LX1948" s="1"/>
      <c r="LZ1948" s="1"/>
      <c r="MA1948" s="1"/>
    </row>
    <row r="1949" spans="4:339" ht="13" x14ac:dyDescent="0.15">
      <c r="D1949" s="12"/>
      <c r="E1949" s="12"/>
      <c r="I1949" s="12"/>
      <c r="J1949" s="13"/>
      <c r="BG1949" s="1"/>
      <c r="BH1949" s="1"/>
      <c r="BI1949" s="1"/>
      <c r="BJ1949" s="1"/>
      <c r="BK1949" s="1"/>
      <c r="BL1949" s="1"/>
      <c r="BM1949" s="1"/>
      <c r="BN1949" s="1"/>
      <c r="BO1949" s="1"/>
      <c r="BP1949" s="1"/>
      <c r="CD1949" s="1"/>
      <c r="CE1949" s="1"/>
      <c r="CF1949" s="1"/>
      <c r="CK1949" s="1"/>
      <c r="CM1949" s="2"/>
      <c r="CP1949" s="1"/>
      <c r="CQ1949" s="1"/>
      <c r="CX1949" s="1"/>
      <c r="CY1949" s="1"/>
      <c r="CZ1949" s="1"/>
      <c r="DA1949" s="1"/>
      <c r="DB1949" s="1"/>
      <c r="DC1949" s="1"/>
      <c r="DD1949" s="1"/>
      <c r="DE1949" s="1"/>
      <c r="DF1949" s="1"/>
      <c r="DG1949" s="1"/>
      <c r="DH1949" s="1"/>
      <c r="DI1949" s="1"/>
      <c r="DJ1949" s="1"/>
      <c r="DK1949" s="1"/>
      <c r="DM1949" s="1"/>
      <c r="DQ1949" s="1"/>
      <c r="DR1949" s="1"/>
      <c r="DY1949" s="1"/>
      <c r="DZ1949" s="1"/>
      <c r="ED1949" s="1"/>
      <c r="EK1949" s="1"/>
      <c r="EL1949" s="1"/>
      <c r="EM1949" s="1"/>
      <c r="EN1949" s="1"/>
      <c r="EQ1949" s="1"/>
      <c r="ER1949" s="1"/>
      <c r="ES1949" s="1"/>
      <c r="EV1949" s="1"/>
      <c r="EW1949" s="1"/>
      <c r="EZ1949" s="1"/>
      <c r="GO1949" s="1"/>
      <c r="HY1949" s="1"/>
      <c r="IE1949" s="1"/>
      <c r="IG1949" s="1"/>
      <c r="IH1949" s="1"/>
      <c r="IS1949" s="1"/>
      <c r="IU1949" s="1"/>
      <c r="IZ1949" s="1"/>
      <c r="JJ1949" s="1"/>
      <c r="JK1949" s="1"/>
      <c r="JL1949" s="3"/>
      <c r="JM1949" s="1"/>
      <c r="JP1949" s="1"/>
      <c r="JQ1949" s="1"/>
      <c r="JR1949" s="1"/>
      <c r="JV1949" s="1"/>
      <c r="KZ1949" s="1"/>
      <c r="LN1949" s="1"/>
      <c r="LX1949" s="1"/>
      <c r="LZ1949" s="1"/>
      <c r="MA1949" s="1"/>
    </row>
    <row r="1950" spans="4:339" ht="13" x14ac:dyDescent="0.15">
      <c r="D1950" s="12"/>
      <c r="E1950" s="12"/>
      <c r="I1950" s="12"/>
      <c r="J1950" s="13"/>
      <c r="BG1950" s="1"/>
      <c r="BH1950" s="1"/>
      <c r="BI1950" s="1"/>
      <c r="BJ1950" s="1"/>
      <c r="BK1950" s="1"/>
      <c r="BL1950" s="1"/>
      <c r="BM1950" s="1"/>
      <c r="BN1950" s="1"/>
      <c r="BO1950" s="1"/>
      <c r="BP1950" s="1"/>
      <c r="CD1950" s="1"/>
      <c r="CE1950" s="1"/>
      <c r="CF1950" s="1"/>
      <c r="CK1950" s="1"/>
      <c r="CM1950" s="2"/>
      <c r="CP1950" s="1"/>
      <c r="CQ1950" s="1"/>
      <c r="CX1950" s="1"/>
      <c r="CY1950" s="1"/>
      <c r="CZ1950" s="1"/>
      <c r="DA1950" s="1"/>
      <c r="DB1950" s="1"/>
      <c r="DC1950" s="1"/>
      <c r="DD1950" s="1"/>
      <c r="DE1950" s="1"/>
      <c r="DF1950" s="1"/>
      <c r="DG1950" s="1"/>
      <c r="DH1950" s="1"/>
      <c r="DI1950" s="1"/>
      <c r="DJ1950" s="1"/>
      <c r="DK1950" s="1"/>
      <c r="DM1950" s="1"/>
      <c r="DQ1950" s="1"/>
      <c r="DR1950" s="1"/>
      <c r="DY1950" s="1"/>
      <c r="DZ1950" s="1"/>
      <c r="ED1950" s="1"/>
      <c r="EK1950" s="1"/>
      <c r="EL1950" s="1"/>
      <c r="EM1950" s="1"/>
      <c r="EN1950" s="1"/>
      <c r="EQ1950" s="1"/>
      <c r="ER1950" s="1"/>
      <c r="ES1950" s="1"/>
      <c r="EV1950" s="1"/>
      <c r="EW1950" s="1"/>
      <c r="EZ1950" s="1"/>
      <c r="GO1950" s="1"/>
      <c r="HY1950" s="1"/>
      <c r="IE1950" s="1"/>
      <c r="IG1950" s="1"/>
      <c r="IH1950" s="1"/>
      <c r="IS1950" s="1"/>
      <c r="IU1950" s="1"/>
      <c r="IZ1950" s="1"/>
      <c r="JJ1950" s="1"/>
      <c r="JK1950" s="1"/>
      <c r="JL1950" s="3"/>
      <c r="JM1950" s="1"/>
      <c r="JP1950" s="1"/>
      <c r="JQ1950" s="1"/>
      <c r="JR1950" s="1"/>
      <c r="JV1950" s="1"/>
      <c r="KZ1950" s="1"/>
      <c r="LN1950" s="1"/>
      <c r="LX1950" s="1"/>
      <c r="LZ1950" s="1"/>
      <c r="MA1950" s="1"/>
    </row>
    <row r="1951" spans="4:339" ht="13" x14ac:dyDescent="0.15">
      <c r="D1951" s="12"/>
      <c r="E1951" s="12"/>
      <c r="I1951" s="12"/>
      <c r="J1951" s="13"/>
      <c r="BG1951" s="1"/>
      <c r="BH1951" s="1"/>
      <c r="BI1951" s="1"/>
      <c r="BJ1951" s="1"/>
      <c r="BK1951" s="1"/>
      <c r="BL1951" s="1"/>
      <c r="BM1951" s="1"/>
      <c r="BN1951" s="1"/>
      <c r="BO1951" s="1"/>
      <c r="BP1951" s="1"/>
      <c r="CD1951" s="1"/>
      <c r="CE1951" s="1"/>
      <c r="CF1951" s="1"/>
      <c r="CK1951" s="1"/>
      <c r="CM1951" s="2"/>
      <c r="CP1951" s="1"/>
      <c r="CQ1951" s="1"/>
      <c r="CX1951" s="1"/>
      <c r="CY1951" s="1"/>
      <c r="CZ1951" s="1"/>
      <c r="DA1951" s="1"/>
      <c r="DB1951" s="1"/>
      <c r="DC1951" s="1"/>
      <c r="DD1951" s="1"/>
      <c r="DE1951" s="1"/>
      <c r="DF1951" s="1"/>
      <c r="DG1951" s="1"/>
      <c r="DH1951" s="1"/>
      <c r="DI1951" s="1"/>
      <c r="DJ1951" s="1"/>
      <c r="DK1951" s="1"/>
      <c r="DM1951" s="1"/>
      <c r="DQ1951" s="1"/>
      <c r="DR1951" s="1"/>
      <c r="DY1951" s="1"/>
      <c r="DZ1951" s="1"/>
      <c r="ED1951" s="1"/>
      <c r="EK1951" s="1"/>
      <c r="EL1951" s="1"/>
      <c r="EM1951" s="1"/>
      <c r="EN1951" s="1"/>
      <c r="EQ1951" s="1"/>
      <c r="ER1951" s="1"/>
      <c r="ES1951" s="1"/>
      <c r="EV1951" s="1"/>
      <c r="EW1951" s="1"/>
      <c r="EZ1951" s="1"/>
      <c r="GO1951" s="1"/>
      <c r="HY1951" s="1"/>
      <c r="IE1951" s="1"/>
      <c r="IG1951" s="1"/>
      <c r="IH1951" s="1"/>
      <c r="IS1951" s="1"/>
      <c r="IU1951" s="1"/>
      <c r="IZ1951" s="1"/>
      <c r="JJ1951" s="1"/>
      <c r="JK1951" s="1"/>
      <c r="JL1951" s="3"/>
      <c r="JM1951" s="1"/>
      <c r="JP1951" s="1"/>
      <c r="JQ1951" s="1"/>
      <c r="JR1951" s="1"/>
      <c r="JV1951" s="1"/>
      <c r="KZ1951" s="1"/>
      <c r="LN1951" s="1"/>
      <c r="LX1951" s="1"/>
      <c r="LZ1951" s="1"/>
      <c r="MA1951" s="1"/>
    </row>
    <row r="1952" spans="4:339" ht="13" x14ac:dyDescent="0.15">
      <c r="D1952" s="12"/>
      <c r="E1952" s="12"/>
      <c r="I1952" s="12"/>
      <c r="J1952" s="13"/>
      <c r="BG1952" s="1"/>
      <c r="BH1952" s="1"/>
      <c r="BI1952" s="1"/>
      <c r="BJ1952" s="1"/>
      <c r="BK1952" s="1"/>
      <c r="BL1952" s="1"/>
      <c r="BM1952" s="1"/>
      <c r="BN1952" s="1"/>
      <c r="BO1952" s="1"/>
      <c r="BP1952" s="1"/>
      <c r="CD1952" s="1"/>
      <c r="CE1952" s="1"/>
      <c r="CF1952" s="1"/>
      <c r="CK1952" s="1"/>
      <c r="CM1952" s="2"/>
      <c r="CP1952" s="1"/>
      <c r="CQ1952" s="1"/>
      <c r="CX1952" s="1"/>
      <c r="CY1952" s="1"/>
      <c r="CZ1952" s="1"/>
      <c r="DA1952" s="1"/>
      <c r="DB1952" s="1"/>
      <c r="DC1952" s="1"/>
      <c r="DD1952" s="1"/>
      <c r="DE1952" s="1"/>
      <c r="DF1952" s="1"/>
      <c r="DG1952" s="1"/>
      <c r="DH1952" s="1"/>
      <c r="DI1952" s="1"/>
      <c r="DJ1952" s="1"/>
      <c r="DK1952" s="1"/>
      <c r="DM1952" s="1"/>
      <c r="DQ1952" s="1"/>
      <c r="DR1952" s="1"/>
      <c r="DY1952" s="1"/>
      <c r="DZ1952" s="1"/>
      <c r="ED1952" s="1"/>
      <c r="EK1952" s="1"/>
      <c r="EL1952" s="1"/>
      <c r="EM1952" s="1"/>
      <c r="EN1952" s="1"/>
      <c r="EQ1952" s="1"/>
      <c r="ER1952" s="1"/>
      <c r="ES1952" s="1"/>
      <c r="EV1952" s="1"/>
      <c r="EW1952" s="1"/>
      <c r="EZ1952" s="1"/>
      <c r="GO1952" s="1"/>
      <c r="HY1952" s="1"/>
      <c r="IE1952" s="1"/>
      <c r="IG1952" s="1"/>
      <c r="IH1952" s="1"/>
      <c r="IS1952" s="1"/>
      <c r="IU1952" s="1"/>
      <c r="IZ1952" s="1"/>
      <c r="JJ1952" s="1"/>
      <c r="JK1952" s="1"/>
      <c r="JL1952" s="3"/>
      <c r="JM1952" s="1"/>
      <c r="JP1952" s="1"/>
      <c r="JQ1952" s="1"/>
      <c r="JR1952" s="1"/>
      <c r="JV1952" s="1"/>
      <c r="KZ1952" s="1"/>
      <c r="LN1952" s="1"/>
      <c r="LX1952" s="1"/>
      <c r="LZ1952" s="1"/>
      <c r="MA1952" s="1"/>
    </row>
    <row r="1953" spans="4:339" ht="13" x14ac:dyDescent="0.15">
      <c r="D1953" s="12"/>
      <c r="E1953" s="12"/>
      <c r="I1953" s="12"/>
      <c r="J1953" s="13"/>
      <c r="BG1953" s="1"/>
      <c r="BH1953" s="1"/>
      <c r="BI1953" s="1"/>
      <c r="BJ1953" s="1"/>
      <c r="BK1953" s="1"/>
      <c r="BL1953" s="1"/>
      <c r="BM1953" s="1"/>
      <c r="BN1953" s="1"/>
      <c r="BO1953" s="1"/>
      <c r="BP1953" s="1"/>
      <c r="CD1953" s="1"/>
      <c r="CE1953" s="1"/>
      <c r="CF1953" s="1"/>
      <c r="CK1953" s="1"/>
      <c r="CM1953" s="2"/>
      <c r="CP1953" s="1"/>
      <c r="CQ1953" s="1"/>
      <c r="CX1953" s="1"/>
      <c r="CY1953" s="1"/>
      <c r="CZ1953" s="1"/>
      <c r="DA1953" s="1"/>
      <c r="DB1953" s="1"/>
      <c r="DC1953" s="1"/>
      <c r="DD1953" s="1"/>
      <c r="DE1953" s="1"/>
      <c r="DF1953" s="1"/>
      <c r="DG1953" s="1"/>
      <c r="DH1953" s="1"/>
      <c r="DI1953" s="1"/>
      <c r="DJ1953" s="1"/>
      <c r="DK1953" s="1"/>
      <c r="DM1953" s="1"/>
      <c r="DQ1953" s="1"/>
      <c r="DR1953" s="1"/>
      <c r="DY1953" s="1"/>
      <c r="DZ1953" s="1"/>
      <c r="ED1953" s="1"/>
      <c r="EK1953" s="1"/>
      <c r="EL1953" s="1"/>
      <c r="EM1953" s="1"/>
      <c r="EN1953" s="1"/>
      <c r="EQ1953" s="1"/>
      <c r="ER1953" s="1"/>
      <c r="ES1953" s="1"/>
      <c r="EV1953" s="1"/>
      <c r="EW1953" s="1"/>
      <c r="EZ1953" s="1"/>
      <c r="GO1953" s="1"/>
      <c r="HY1953" s="1"/>
      <c r="IE1953" s="1"/>
      <c r="IG1953" s="1"/>
      <c r="IH1953" s="1"/>
      <c r="IS1953" s="1"/>
      <c r="IU1953" s="1"/>
      <c r="IZ1953" s="1"/>
      <c r="JJ1953" s="1"/>
      <c r="JK1953" s="1"/>
      <c r="JL1953" s="3"/>
      <c r="JM1953" s="1"/>
      <c r="JP1953" s="1"/>
      <c r="JQ1953" s="1"/>
      <c r="JR1953" s="1"/>
      <c r="JV1953" s="1"/>
      <c r="KZ1953" s="1"/>
      <c r="LN1953" s="1"/>
      <c r="LX1953" s="1"/>
      <c r="LZ1953" s="1"/>
      <c r="MA1953" s="1"/>
    </row>
    <row r="1954" spans="4:339" ht="13" x14ac:dyDescent="0.15">
      <c r="D1954" s="12"/>
      <c r="E1954" s="12"/>
      <c r="I1954" s="12"/>
      <c r="J1954" s="13"/>
      <c r="BG1954" s="1"/>
      <c r="BH1954" s="1"/>
      <c r="BI1954" s="1"/>
      <c r="BJ1954" s="1"/>
      <c r="BK1954" s="1"/>
      <c r="BL1954" s="1"/>
      <c r="BM1954" s="1"/>
      <c r="BN1954" s="1"/>
      <c r="BO1954" s="1"/>
      <c r="BP1954" s="1"/>
      <c r="CD1954" s="1"/>
      <c r="CE1954" s="1"/>
      <c r="CF1954" s="1"/>
      <c r="CK1954" s="1"/>
      <c r="CM1954" s="2"/>
      <c r="CP1954" s="1"/>
      <c r="CQ1954" s="1"/>
      <c r="CX1954" s="1"/>
      <c r="CY1954" s="1"/>
      <c r="CZ1954" s="1"/>
      <c r="DA1954" s="1"/>
      <c r="DB1954" s="1"/>
      <c r="DC1954" s="1"/>
      <c r="DD1954" s="1"/>
      <c r="DE1954" s="1"/>
      <c r="DF1954" s="1"/>
      <c r="DG1954" s="1"/>
      <c r="DH1954" s="1"/>
      <c r="DI1954" s="1"/>
      <c r="DJ1954" s="1"/>
      <c r="DK1954" s="1"/>
      <c r="DM1954" s="1"/>
      <c r="DQ1954" s="1"/>
      <c r="DR1954" s="1"/>
      <c r="DY1954" s="1"/>
      <c r="DZ1954" s="1"/>
      <c r="ED1954" s="1"/>
      <c r="EK1954" s="1"/>
      <c r="EL1954" s="1"/>
      <c r="EM1954" s="1"/>
      <c r="EN1954" s="1"/>
      <c r="EQ1954" s="1"/>
      <c r="ER1954" s="1"/>
      <c r="ES1954" s="1"/>
      <c r="EV1954" s="1"/>
      <c r="EW1954" s="1"/>
      <c r="EZ1954" s="1"/>
      <c r="GO1954" s="1"/>
      <c r="HY1954" s="1"/>
      <c r="IE1954" s="1"/>
      <c r="IG1954" s="1"/>
      <c r="IH1954" s="1"/>
      <c r="IS1954" s="1"/>
      <c r="IU1954" s="1"/>
      <c r="IZ1954" s="1"/>
      <c r="JJ1954" s="1"/>
      <c r="JK1954" s="1"/>
      <c r="JL1954" s="3"/>
      <c r="JM1954" s="1"/>
      <c r="JP1954" s="1"/>
      <c r="JQ1954" s="1"/>
      <c r="JR1954" s="1"/>
      <c r="JV1954" s="1"/>
      <c r="KZ1954" s="1"/>
      <c r="LN1954" s="1"/>
      <c r="LX1954" s="1"/>
      <c r="LZ1954" s="1"/>
      <c r="MA1954" s="1"/>
    </row>
    <row r="1955" spans="4:339" ht="13" x14ac:dyDescent="0.15">
      <c r="D1955" s="12"/>
      <c r="E1955" s="12"/>
      <c r="I1955" s="12"/>
      <c r="J1955" s="13"/>
      <c r="BG1955" s="1"/>
      <c r="BH1955" s="1"/>
      <c r="BI1955" s="1"/>
      <c r="BJ1955" s="1"/>
      <c r="BK1955" s="1"/>
      <c r="BL1955" s="1"/>
      <c r="BM1955" s="1"/>
      <c r="BN1955" s="1"/>
      <c r="BO1955" s="1"/>
      <c r="BP1955" s="1"/>
      <c r="CD1955" s="1"/>
      <c r="CE1955" s="1"/>
      <c r="CF1955" s="1"/>
      <c r="CK1955" s="1"/>
      <c r="CM1955" s="2"/>
      <c r="CP1955" s="1"/>
      <c r="CQ1955" s="1"/>
      <c r="CX1955" s="1"/>
      <c r="CY1955" s="1"/>
      <c r="CZ1955" s="1"/>
      <c r="DA1955" s="1"/>
      <c r="DB1955" s="1"/>
      <c r="DC1955" s="1"/>
      <c r="DD1955" s="1"/>
      <c r="DE1955" s="1"/>
      <c r="DF1955" s="1"/>
      <c r="DG1955" s="1"/>
      <c r="DH1955" s="1"/>
      <c r="DI1955" s="1"/>
      <c r="DJ1955" s="1"/>
      <c r="DK1955" s="1"/>
      <c r="DM1955" s="1"/>
      <c r="DQ1955" s="1"/>
      <c r="DR1955" s="1"/>
      <c r="DY1955" s="1"/>
      <c r="DZ1955" s="1"/>
      <c r="ED1955" s="1"/>
      <c r="EK1955" s="1"/>
      <c r="EL1955" s="1"/>
      <c r="EM1955" s="1"/>
      <c r="EN1955" s="1"/>
      <c r="EQ1955" s="1"/>
      <c r="ER1955" s="1"/>
      <c r="ES1955" s="1"/>
      <c r="EV1955" s="1"/>
      <c r="EW1955" s="1"/>
      <c r="EZ1955" s="1"/>
      <c r="GO1955" s="1"/>
      <c r="HY1955" s="1"/>
      <c r="IE1955" s="1"/>
      <c r="IG1955" s="1"/>
      <c r="IH1955" s="1"/>
      <c r="IS1955" s="1"/>
      <c r="IU1955" s="1"/>
      <c r="IZ1955" s="1"/>
      <c r="JJ1955" s="1"/>
      <c r="JK1955" s="1"/>
      <c r="JL1955" s="3"/>
      <c r="JM1955" s="1"/>
      <c r="JP1955" s="1"/>
      <c r="JQ1955" s="1"/>
      <c r="JR1955" s="1"/>
      <c r="JV1955" s="1"/>
      <c r="KZ1955" s="1"/>
      <c r="LN1955" s="1"/>
      <c r="LX1955" s="1"/>
      <c r="LZ1955" s="1"/>
      <c r="MA1955" s="1"/>
    </row>
    <row r="1956" spans="4:339" ht="13" x14ac:dyDescent="0.15">
      <c r="D1956" s="12"/>
      <c r="E1956" s="12"/>
      <c r="I1956" s="12"/>
      <c r="J1956" s="13"/>
      <c r="BG1956" s="1"/>
      <c r="BH1956" s="1"/>
      <c r="BI1956" s="1"/>
      <c r="BJ1956" s="1"/>
      <c r="BK1956" s="1"/>
      <c r="BL1956" s="1"/>
      <c r="BM1956" s="1"/>
      <c r="BN1956" s="1"/>
      <c r="BO1956" s="1"/>
      <c r="BP1956" s="1"/>
      <c r="CD1956" s="1"/>
      <c r="CE1956" s="1"/>
      <c r="CF1956" s="1"/>
      <c r="CK1956" s="1"/>
      <c r="CM1956" s="2"/>
      <c r="CP1956" s="1"/>
      <c r="CQ1956" s="1"/>
      <c r="CX1956" s="1"/>
      <c r="CY1956" s="1"/>
      <c r="CZ1956" s="1"/>
      <c r="DA1956" s="1"/>
      <c r="DB1956" s="1"/>
      <c r="DC1956" s="1"/>
      <c r="DD1956" s="1"/>
      <c r="DE1956" s="1"/>
      <c r="DF1956" s="1"/>
      <c r="DG1956" s="1"/>
      <c r="DH1956" s="1"/>
      <c r="DI1956" s="1"/>
      <c r="DJ1956" s="1"/>
      <c r="DK1956" s="1"/>
      <c r="DM1956" s="1"/>
      <c r="DQ1956" s="1"/>
      <c r="DR1956" s="1"/>
      <c r="DY1956" s="1"/>
      <c r="DZ1956" s="1"/>
      <c r="ED1956" s="1"/>
      <c r="EK1956" s="1"/>
      <c r="EL1956" s="1"/>
      <c r="EM1956" s="1"/>
      <c r="EN1956" s="1"/>
      <c r="EQ1956" s="1"/>
      <c r="ER1956" s="1"/>
      <c r="ES1956" s="1"/>
      <c r="EV1956" s="1"/>
      <c r="EW1956" s="1"/>
      <c r="EZ1956" s="1"/>
      <c r="GO1956" s="1"/>
      <c r="HY1956" s="1"/>
      <c r="IE1956" s="1"/>
      <c r="IG1956" s="1"/>
      <c r="IH1956" s="1"/>
      <c r="IS1956" s="1"/>
      <c r="IU1956" s="1"/>
      <c r="IZ1956" s="1"/>
      <c r="JJ1956" s="1"/>
      <c r="JK1956" s="1"/>
      <c r="JL1956" s="3"/>
      <c r="JM1956" s="1"/>
      <c r="JP1956" s="1"/>
      <c r="JQ1956" s="1"/>
      <c r="JR1956" s="1"/>
      <c r="JV1956" s="1"/>
      <c r="KZ1956" s="1"/>
      <c r="LN1956" s="1"/>
      <c r="LX1956" s="1"/>
      <c r="LZ1956" s="1"/>
      <c r="MA1956" s="1"/>
    </row>
    <row r="1957" spans="4:339" ht="13" x14ac:dyDescent="0.15">
      <c r="D1957" s="12"/>
      <c r="E1957" s="12"/>
      <c r="I1957" s="12"/>
      <c r="J1957" s="13"/>
      <c r="BG1957" s="1"/>
      <c r="BH1957" s="1"/>
      <c r="BI1957" s="1"/>
      <c r="BJ1957" s="1"/>
      <c r="BK1957" s="1"/>
      <c r="BL1957" s="1"/>
      <c r="BM1957" s="1"/>
      <c r="BN1957" s="1"/>
      <c r="BO1957" s="1"/>
      <c r="BP1957" s="1"/>
      <c r="CD1957" s="1"/>
      <c r="CE1957" s="1"/>
      <c r="CF1957" s="1"/>
      <c r="CK1957" s="1"/>
      <c r="CM1957" s="2"/>
      <c r="CP1957" s="1"/>
      <c r="CQ1957" s="1"/>
      <c r="CX1957" s="1"/>
      <c r="CY1957" s="1"/>
      <c r="CZ1957" s="1"/>
      <c r="DA1957" s="1"/>
      <c r="DB1957" s="1"/>
      <c r="DC1957" s="1"/>
      <c r="DD1957" s="1"/>
      <c r="DE1957" s="1"/>
      <c r="DF1957" s="1"/>
      <c r="DG1957" s="1"/>
      <c r="DH1957" s="1"/>
      <c r="DI1957" s="1"/>
      <c r="DJ1957" s="1"/>
      <c r="DK1957" s="1"/>
      <c r="DM1957" s="1"/>
      <c r="DQ1957" s="1"/>
      <c r="DR1957" s="1"/>
      <c r="DY1957" s="1"/>
      <c r="DZ1957" s="1"/>
      <c r="ED1957" s="1"/>
      <c r="EK1957" s="1"/>
      <c r="EL1957" s="1"/>
      <c r="EM1957" s="1"/>
      <c r="EN1957" s="1"/>
      <c r="EQ1957" s="1"/>
      <c r="ER1957" s="1"/>
      <c r="ES1957" s="1"/>
      <c r="EV1957" s="1"/>
      <c r="EW1957" s="1"/>
      <c r="EZ1957" s="1"/>
      <c r="GO1957" s="1"/>
      <c r="HY1957" s="1"/>
      <c r="IE1957" s="1"/>
      <c r="IG1957" s="1"/>
      <c r="IH1957" s="1"/>
      <c r="IS1957" s="1"/>
      <c r="IU1957" s="1"/>
      <c r="IZ1957" s="1"/>
      <c r="JJ1957" s="1"/>
      <c r="JK1957" s="1"/>
      <c r="JL1957" s="3"/>
      <c r="JM1957" s="1"/>
      <c r="JP1957" s="1"/>
      <c r="JQ1957" s="1"/>
      <c r="JR1957" s="1"/>
      <c r="JV1957" s="1"/>
      <c r="KZ1957" s="1"/>
      <c r="LN1957" s="1"/>
      <c r="LX1957" s="1"/>
      <c r="LZ1957" s="1"/>
      <c r="MA1957" s="1"/>
    </row>
    <row r="1958" spans="4:339" ht="13" x14ac:dyDescent="0.15">
      <c r="D1958" s="12"/>
      <c r="E1958" s="12"/>
      <c r="I1958" s="12"/>
      <c r="J1958" s="13"/>
      <c r="BG1958" s="1"/>
      <c r="BH1958" s="1"/>
      <c r="BI1958" s="1"/>
      <c r="BJ1958" s="1"/>
      <c r="BK1958" s="1"/>
      <c r="BL1958" s="1"/>
      <c r="BM1958" s="1"/>
      <c r="BN1958" s="1"/>
      <c r="BO1958" s="1"/>
      <c r="BP1958" s="1"/>
      <c r="CD1958" s="1"/>
      <c r="CE1958" s="1"/>
      <c r="CF1958" s="1"/>
      <c r="CK1958" s="1"/>
      <c r="CM1958" s="2"/>
      <c r="CP1958" s="1"/>
      <c r="CQ1958" s="1"/>
      <c r="CX1958" s="1"/>
      <c r="CY1958" s="1"/>
      <c r="CZ1958" s="1"/>
      <c r="DA1958" s="1"/>
      <c r="DB1958" s="1"/>
      <c r="DC1958" s="1"/>
      <c r="DD1958" s="1"/>
      <c r="DE1958" s="1"/>
      <c r="DF1958" s="1"/>
      <c r="DG1958" s="1"/>
      <c r="DH1958" s="1"/>
      <c r="DI1958" s="1"/>
      <c r="DJ1958" s="1"/>
      <c r="DK1958" s="1"/>
      <c r="DM1958" s="1"/>
      <c r="DQ1958" s="1"/>
      <c r="DR1958" s="1"/>
      <c r="DY1958" s="1"/>
      <c r="DZ1958" s="1"/>
      <c r="ED1958" s="1"/>
      <c r="EK1958" s="1"/>
      <c r="EL1958" s="1"/>
      <c r="EM1958" s="1"/>
      <c r="EN1958" s="1"/>
      <c r="EQ1958" s="1"/>
      <c r="ER1958" s="1"/>
      <c r="ES1958" s="1"/>
      <c r="EV1958" s="1"/>
      <c r="EW1958" s="1"/>
      <c r="EZ1958" s="1"/>
      <c r="GO1958" s="1"/>
      <c r="HY1958" s="1"/>
      <c r="IE1958" s="1"/>
      <c r="IG1958" s="1"/>
      <c r="IH1958" s="1"/>
      <c r="IS1958" s="1"/>
      <c r="IU1958" s="1"/>
      <c r="IZ1958" s="1"/>
      <c r="JJ1958" s="1"/>
      <c r="JK1958" s="1"/>
      <c r="JL1958" s="3"/>
      <c r="JM1958" s="1"/>
      <c r="JP1958" s="1"/>
      <c r="JQ1958" s="1"/>
      <c r="JR1958" s="1"/>
      <c r="JV1958" s="1"/>
      <c r="KZ1958" s="1"/>
      <c r="LN1958" s="1"/>
      <c r="LX1958" s="1"/>
      <c r="LZ1958" s="1"/>
      <c r="MA1958" s="1"/>
    </row>
    <row r="1959" spans="4:339" ht="13" x14ac:dyDescent="0.15">
      <c r="D1959" s="12"/>
      <c r="E1959" s="12"/>
      <c r="I1959" s="12"/>
      <c r="J1959" s="13"/>
      <c r="BG1959" s="1"/>
      <c r="BH1959" s="1"/>
      <c r="BI1959" s="1"/>
      <c r="BJ1959" s="1"/>
      <c r="BK1959" s="1"/>
      <c r="BL1959" s="1"/>
      <c r="BM1959" s="1"/>
      <c r="BN1959" s="1"/>
      <c r="BO1959" s="1"/>
      <c r="BP1959" s="1"/>
      <c r="CD1959" s="1"/>
      <c r="CE1959" s="1"/>
      <c r="CF1959" s="1"/>
      <c r="CK1959" s="1"/>
      <c r="CM1959" s="2"/>
      <c r="CP1959" s="1"/>
      <c r="CQ1959" s="1"/>
      <c r="CX1959" s="1"/>
      <c r="CY1959" s="1"/>
      <c r="CZ1959" s="1"/>
      <c r="DA1959" s="1"/>
      <c r="DB1959" s="1"/>
      <c r="DC1959" s="1"/>
      <c r="DD1959" s="1"/>
      <c r="DE1959" s="1"/>
      <c r="DF1959" s="1"/>
      <c r="DG1959" s="1"/>
      <c r="DH1959" s="1"/>
      <c r="DI1959" s="1"/>
      <c r="DJ1959" s="1"/>
      <c r="DK1959" s="1"/>
      <c r="DM1959" s="1"/>
      <c r="DQ1959" s="1"/>
      <c r="DR1959" s="1"/>
      <c r="DY1959" s="1"/>
      <c r="DZ1959" s="1"/>
      <c r="ED1959" s="1"/>
      <c r="EK1959" s="1"/>
      <c r="EL1959" s="1"/>
      <c r="EM1959" s="1"/>
      <c r="EN1959" s="1"/>
      <c r="EQ1959" s="1"/>
      <c r="ER1959" s="1"/>
      <c r="ES1959" s="1"/>
      <c r="EV1959" s="1"/>
      <c r="EW1959" s="1"/>
      <c r="EZ1959" s="1"/>
      <c r="GO1959" s="1"/>
      <c r="HY1959" s="1"/>
      <c r="IE1959" s="1"/>
      <c r="IG1959" s="1"/>
      <c r="IH1959" s="1"/>
      <c r="IS1959" s="1"/>
      <c r="IU1959" s="1"/>
      <c r="IZ1959" s="1"/>
      <c r="JJ1959" s="1"/>
      <c r="JK1959" s="1"/>
      <c r="JL1959" s="3"/>
      <c r="JM1959" s="1"/>
      <c r="JP1959" s="1"/>
      <c r="JQ1959" s="1"/>
      <c r="JR1959" s="1"/>
      <c r="JV1959" s="1"/>
      <c r="KZ1959" s="1"/>
      <c r="LN1959" s="1"/>
      <c r="LX1959" s="1"/>
      <c r="LZ1959" s="1"/>
      <c r="MA1959" s="1"/>
    </row>
    <row r="1960" spans="4:339" ht="13" x14ac:dyDescent="0.15">
      <c r="D1960" s="12"/>
      <c r="E1960" s="12"/>
      <c r="I1960" s="12"/>
      <c r="J1960" s="13"/>
      <c r="BG1960" s="1"/>
      <c r="BH1960" s="1"/>
      <c r="BI1960" s="1"/>
      <c r="BJ1960" s="1"/>
      <c r="BK1960" s="1"/>
      <c r="BL1960" s="1"/>
      <c r="BM1960" s="1"/>
      <c r="BN1960" s="1"/>
      <c r="BO1960" s="1"/>
      <c r="BP1960" s="1"/>
      <c r="CD1960" s="1"/>
      <c r="CE1960" s="1"/>
      <c r="CF1960" s="1"/>
      <c r="CK1960" s="1"/>
      <c r="CM1960" s="2"/>
      <c r="CP1960" s="1"/>
      <c r="CQ1960" s="1"/>
      <c r="CX1960" s="1"/>
      <c r="CY1960" s="1"/>
      <c r="CZ1960" s="1"/>
      <c r="DA1960" s="1"/>
      <c r="DB1960" s="1"/>
      <c r="DC1960" s="1"/>
      <c r="DD1960" s="1"/>
      <c r="DE1960" s="1"/>
      <c r="DF1960" s="1"/>
      <c r="DG1960" s="1"/>
      <c r="DH1960" s="1"/>
      <c r="DI1960" s="1"/>
      <c r="DJ1960" s="1"/>
      <c r="DK1960" s="1"/>
      <c r="DM1960" s="1"/>
      <c r="DQ1960" s="1"/>
      <c r="DR1960" s="1"/>
      <c r="DY1960" s="1"/>
      <c r="DZ1960" s="1"/>
      <c r="ED1960" s="1"/>
      <c r="EK1960" s="1"/>
      <c r="EL1960" s="1"/>
      <c r="EM1960" s="1"/>
      <c r="EN1960" s="1"/>
      <c r="EQ1960" s="1"/>
      <c r="ER1960" s="1"/>
      <c r="ES1960" s="1"/>
      <c r="EV1960" s="1"/>
      <c r="EW1960" s="1"/>
      <c r="EZ1960" s="1"/>
      <c r="GO1960" s="1"/>
      <c r="HY1960" s="1"/>
      <c r="IE1960" s="1"/>
      <c r="IG1960" s="1"/>
      <c r="IH1960" s="1"/>
      <c r="IS1960" s="1"/>
      <c r="IU1960" s="1"/>
      <c r="IZ1960" s="1"/>
      <c r="JJ1960" s="1"/>
      <c r="JK1960" s="1"/>
      <c r="JL1960" s="3"/>
      <c r="JM1960" s="1"/>
      <c r="JP1960" s="1"/>
      <c r="JQ1960" s="1"/>
      <c r="JR1960" s="1"/>
      <c r="JV1960" s="1"/>
      <c r="KZ1960" s="1"/>
      <c r="LN1960" s="1"/>
      <c r="LX1960" s="1"/>
      <c r="LZ1960" s="1"/>
      <c r="MA1960" s="1"/>
    </row>
    <row r="1961" spans="4:339" ht="13" x14ac:dyDescent="0.15">
      <c r="D1961" s="12"/>
      <c r="E1961" s="12"/>
      <c r="I1961" s="12"/>
      <c r="J1961" s="13"/>
      <c r="BG1961" s="1"/>
      <c r="BH1961" s="1"/>
      <c r="BI1961" s="1"/>
      <c r="BJ1961" s="1"/>
      <c r="BK1961" s="1"/>
      <c r="BL1961" s="1"/>
      <c r="BM1961" s="1"/>
      <c r="BN1961" s="1"/>
      <c r="BO1961" s="1"/>
      <c r="BP1961" s="1"/>
      <c r="CD1961" s="1"/>
      <c r="CE1961" s="1"/>
      <c r="CF1961" s="1"/>
      <c r="CK1961" s="1"/>
      <c r="CM1961" s="2"/>
      <c r="CP1961" s="1"/>
      <c r="CQ1961" s="1"/>
      <c r="CX1961" s="1"/>
      <c r="CY1961" s="1"/>
      <c r="CZ1961" s="1"/>
      <c r="DA1961" s="1"/>
      <c r="DB1961" s="1"/>
      <c r="DC1961" s="1"/>
      <c r="DD1961" s="1"/>
      <c r="DE1961" s="1"/>
      <c r="DF1961" s="1"/>
      <c r="DG1961" s="1"/>
      <c r="DH1961" s="1"/>
      <c r="DI1961" s="1"/>
      <c r="DJ1961" s="1"/>
      <c r="DK1961" s="1"/>
      <c r="DM1961" s="1"/>
      <c r="DQ1961" s="1"/>
      <c r="DR1961" s="1"/>
      <c r="DY1961" s="1"/>
      <c r="DZ1961" s="1"/>
      <c r="ED1961" s="1"/>
      <c r="EK1961" s="1"/>
      <c r="EL1961" s="1"/>
      <c r="EM1961" s="1"/>
      <c r="EN1961" s="1"/>
      <c r="EQ1961" s="1"/>
      <c r="ER1961" s="1"/>
      <c r="ES1961" s="1"/>
      <c r="EV1961" s="1"/>
      <c r="EW1961" s="1"/>
      <c r="EZ1961" s="1"/>
      <c r="GO1961" s="1"/>
      <c r="HY1961" s="1"/>
      <c r="IE1961" s="1"/>
      <c r="IG1961" s="1"/>
      <c r="IH1961" s="1"/>
      <c r="IS1961" s="1"/>
      <c r="IU1961" s="1"/>
      <c r="IZ1961" s="1"/>
      <c r="JJ1961" s="1"/>
      <c r="JK1961" s="1"/>
      <c r="JL1961" s="3"/>
      <c r="JM1961" s="1"/>
      <c r="JP1961" s="1"/>
      <c r="JQ1961" s="1"/>
      <c r="JR1961" s="1"/>
      <c r="JV1961" s="1"/>
      <c r="KZ1961" s="1"/>
      <c r="LN1961" s="1"/>
      <c r="LX1961" s="1"/>
      <c r="LZ1961" s="1"/>
      <c r="MA1961" s="1"/>
    </row>
    <row r="1962" spans="4:339" ht="13" x14ac:dyDescent="0.15">
      <c r="D1962" s="12"/>
      <c r="E1962" s="12"/>
      <c r="I1962" s="12"/>
      <c r="J1962" s="13"/>
      <c r="BG1962" s="1"/>
      <c r="BH1962" s="1"/>
      <c r="BI1962" s="1"/>
      <c r="BJ1962" s="1"/>
      <c r="BK1962" s="1"/>
      <c r="BL1962" s="1"/>
      <c r="BM1962" s="1"/>
      <c r="BN1962" s="1"/>
      <c r="BO1962" s="1"/>
      <c r="BP1962" s="1"/>
      <c r="CD1962" s="1"/>
      <c r="CE1962" s="1"/>
      <c r="CF1962" s="1"/>
      <c r="CK1962" s="1"/>
      <c r="CM1962" s="2"/>
      <c r="CP1962" s="1"/>
      <c r="CQ1962" s="1"/>
      <c r="CX1962" s="1"/>
      <c r="CY1962" s="1"/>
      <c r="CZ1962" s="1"/>
      <c r="DA1962" s="1"/>
      <c r="DB1962" s="1"/>
      <c r="DC1962" s="1"/>
      <c r="DD1962" s="1"/>
      <c r="DE1962" s="1"/>
      <c r="DF1962" s="1"/>
      <c r="DG1962" s="1"/>
      <c r="DH1962" s="1"/>
      <c r="DI1962" s="1"/>
      <c r="DJ1962" s="1"/>
      <c r="DK1962" s="1"/>
      <c r="DM1962" s="1"/>
      <c r="DQ1962" s="1"/>
      <c r="DR1962" s="1"/>
      <c r="DY1962" s="1"/>
      <c r="DZ1962" s="1"/>
      <c r="ED1962" s="1"/>
      <c r="EK1962" s="1"/>
      <c r="EL1962" s="1"/>
      <c r="EM1962" s="1"/>
      <c r="EN1962" s="1"/>
      <c r="EQ1962" s="1"/>
      <c r="ER1962" s="1"/>
      <c r="ES1962" s="1"/>
      <c r="EV1962" s="1"/>
      <c r="EW1962" s="1"/>
      <c r="EZ1962" s="1"/>
      <c r="GO1962" s="1"/>
      <c r="HY1962" s="1"/>
      <c r="IE1962" s="1"/>
      <c r="IG1962" s="1"/>
      <c r="IH1962" s="1"/>
      <c r="IS1962" s="1"/>
      <c r="IU1962" s="1"/>
      <c r="IZ1962" s="1"/>
      <c r="JJ1962" s="1"/>
      <c r="JK1962" s="1"/>
      <c r="JL1962" s="3"/>
      <c r="JM1962" s="1"/>
      <c r="JP1962" s="1"/>
      <c r="JQ1962" s="1"/>
      <c r="JR1962" s="1"/>
      <c r="JV1962" s="1"/>
      <c r="KZ1962" s="1"/>
      <c r="LN1962" s="1"/>
      <c r="LX1962" s="1"/>
      <c r="LZ1962" s="1"/>
      <c r="MA1962" s="1"/>
    </row>
    <row r="1963" spans="4:339" ht="13" x14ac:dyDescent="0.15">
      <c r="D1963" s="12"/>
      <c r="E1963" s="12"/>
      <c r="I1963" s="12"/>
      <c r="J1963" s="13"/>
      <c r="BG1963" s="1"/>
      <c r="BH1963" s="1"/>
      <c r="BI1963" s="1"/>
      <c r="BJ1963" s="1"/>
      <c r="BK1963" s="1"/>
      <c r="BL1963" s="1"/>
      <c r="BM1963" s="1"/>
      <c r="BN1963" s="1"/>
      <c r="BO1963" s="1"/>
      <c r="BP1963" s="1"/>
      <c r="CD1963" s="1"/>
      <c r="CE1963" s="1"/>
      <c r="CF1963" s="1"/>
      <c r="CK1963" s="1"/>
      <c r="CM1963" s="2"/>
      <c r="CP1963" s="1"/>
      <c r="CQ1963" s="1"/>
      <c r="CX1963" s="1"/>
      <c r="CY1963" s="1"/>
      <c r="CZ1963" s="1"/>
      <c r="DA1963" s="1"/>
      <c r="DB1963" s="1"/>
      <c r="DC1963" s="1"/>
      <c r="DD1963" s="1"/>
      <c r="DE1963" s="1"/>
      <c r="DF1963" s="1"/>
      <c r="DG1963" s="1"/>
      <c r="DH1963" s="1"/>
      <c r="DI1963" s="1"/>
      <c r="DJ1963" s="1"/>
      <c r="DK1963" s="1"/>
      <c r="DM1963" s="1"/>
      <c r="DQ1963" s="1"/>
      <c r="DR1963" s="1"/>
      <c r="DY1963" s="1"/>
      <c r="DZ1963" s="1"/>
      <c r="ED1963" s="1"/>
      <c r="EK1963" s="1"/>
      <c r="EL1963" s="1"/>
      <c r="EM1963" s="1"/>
      <c r="EN1963" s="1"/>
      <c r="EQ1963" s="1"/>
      <c r="ER1963" s="1"/>
      <c r="ES1963" s="1"/>
      <c r="EV1963" s="1"/>
      <c r="EW1963" s="1"/>
      <c r="EZ1963" s="1"/>
      <c r="GO1963" s="1"/>
      <c r="HY1963" s="1"/>
      <c r="IE1963" s="1"/>
      <c r="IG1963" s="1"/>
      <c r="IH1963" s="1"/>
      <c r="IS1963" s="1"/>
      <c r="IU1963" s="1"/>
      <c r="IZ1963" s="1"/>
      <c r="JJ1963" s="1"/>
      <c r="JK1963" s="1"/>
      <c r="JL1963" s="3"/>
      <c r="JM1963" s="1"/>
      <c r="JP1963" s="1"/>
      <c r="JQ1963" s="1"/>
      <c r="JR1963" s="1"/>
      <c r="JV1963" s="1"/>
      <c r="KZ1963" s="1"/>
      <c r="LN1963" s="1"/>
      <c r="LX1963" s="1"/>
      <c r="LZ1963" s="1"/>
      <c r="MA1963" s="1"/>
    </row>
    <row r="1964" spans="4:339" ht="13" x14ac:dyDescent="0.15">
      <c r="D1964" s="12"/>
      <c r="E1964" s="12"/>
      <c r="I1964" s="12"/>
      <c r="J1964" s="13"/>
      <c r="BG1964" s="1"/>
      <c r="BH1964" s="1"/>
      <c r="BI1964" s="1"/>
      <c r="BJ1964" s="1"/>
      <c r="BK1964" s="1"/>
      <c r="BL1964" s="1"/>
      <c r="BM1964" s="1"/>
      <c r="BN1964" s="1"/>
      <c r="BO1964" s="1"/>
      <c r="BP1964" s="1"/>
      <c r="CD1964" s="1"/>
      <c r="CE1964" s="1"/>
      <c r="CF1964" s="1"/>
      <c r="CK1964" s="1"/>
      <c r="CM1964" s="2"/>
      <c r="CP1964" s="1"/>
      <c r="CQ1964" s="1"/>
      <c r="CX1964" s="1"/>
      <c r="CY1964" s="1"/>
      <c r="CZ1964" s="1"/>
      <c r="DA1964" s="1"/>
      <c r="DB1964" s="1"/>
      <c r="DC1964" s="1"/>
      <c r="DD1964" s="1"/>
      <c r="DE1964" s="1"/>
      <c r="DF1964" s="1"/>
      <c r="DG1964" s="1"/>
      <c r="DH1964" s="1"/>
      <c r="DI1964" s="1"/>
      <c r="DJ1964" s="1"/>
      <c r="DK1964" s="1"/>
      <c r="DM1964" s="1"/>
      <c r="DQ1964" s="1"/>
      <c r="DR1964" s="1"/>
      <c r="DY1964" s="1"/>
      <c r="DZ1964" s="1"/>
      <c r="ED1964" s="1"/>
      <c r="EK1964" s="1"/>
      <c r="EL1964" s="1"/>
      <c r="EM1964" s="1"/>
      <c r="EN1964" s="1"/>
      <c r="EQ1964" s="1"/>
      <c r="ER1964" s="1"/>
      <c r="ES1964" s="1"/>
      <c r="EV1964" s="1"/>
      <c r="EW1964" s="1"/>
      <c r="EZ1964" s="1"/>
      <c r="GO1964" s="1"/>
      <c r="HY1964" s="1"/>
      <c r="IE1964" s="1"/>
      <c r="IG1964" s="1"/>
      <c r="IH1964" s="1"/>
      <c r="IS1964" s="1"/>
      <c r="IU1964" s="1"/>
      <c r="IZ1964" s="1"/>
      <c r="JJ1964" s="1"/>
      <c r="JK1964" s="1"/>
      <c r="JL1964" s="3"/>
      <c r="JM1964" s="1"/>
      <c r="JP1964" s="1"/>
      <c r="JQ1964" s="1"/>
      <c r="JR1964" s="1"/>
      <c r="JV1964" s="1"/>
      <c r="KZ1964" s="1"/>
      <c r="LN1964" s="1"/>
      <c r="LX1964" s="1"/>
      <c r="LZ1964" s="1"/>
      <c r="MA1964" s="1"/>
    </row>
    <row r="1965" spans="4:339" ht="13" x14ac:dyDescent="0.15">
      <c r="D1965" s="12"/>
      <c r="E1965" s="12"/>
      <c r="I1965" s="12"/>
      <c r="J1965" s="13"/>
      <c r="BG1965" s="1"/>
      <c r="BH1965" s="1"/>
      <c r="BI1965" s="1"/>
      <c r="BJ1965" s="1"/>
      <c r="BK1965" s="1"/>
      <c r="BL1965" s="1"/>
      <c r="BM1965" s="1"/>
      <c r="BN1965" s="1"/>
      <c r="BO1965" s="1"/>
      <c r="BP1965" s="1"/>
      <c r="CD1965" s="1"/>
      <c r="CE1965" s="1"/>
      <c r="CF1965" s="1"/>
      <c r="CK1965" s="1"/>
      <c r="CM1965" s="2"/>
      <c r="CP1965" s="1"/>
      <c r="CQ1965" s="1"/>
      <c r="CX1965" s="1"/>
      <c r="CY1965" s="1"/>
      <c r="CZ1965" s="1"/>
      <c r="DA1965" s="1"/>
      <c r="DB1965" s="1"/>
      <c r="DC1965" s="1"/>
      <c r="DD1965" s="1"/>
      <c r="DE1965" s="1"/>
      <c r="DF1965" s="1"/>
      <c r="DG1965" s="1"/>
      <c r="DH1965" s="1"/>
      <c r="DI1965" s="1"/>
      <c r="DJ1965" s="1"/>
      <c r="DK1965" s="1"/>
      <c r="DM1965" s="1"/>
      <c r="DQ1965" s="1"/>
      <c r="DR1965" s="1"/>
      <c r="DY1965" s="1"/>
      <c r="DZ1965" s="1"/>
      <c r="ED1965" s="1"/>
      <c r="EK1965" s="1"/>
      <c r="EL1965" s="1"/>
      <c r="EM1965" s="1"/>
      <c r="EN1965" s="1"/>
      <c r="EQ1965" s="1"/>
      <c r="ER1965" s="1"/>
      <c r="ES1965" s="1"/>
      <c r="EV1965" s="1"/>
      <c r="EW1965" s="1"/>
      <c r="EZ1965" s="1"/>
      <c r="GO1965" s="1"/>
      <c r="HY1965" s="1"/>
      <c r="IE1965" s="1"/>
      <c r="IG1965" s="1"/>
      <c r="IH1965" s="1"/>
      <c r="IS1965" s="1"/>
      <c r="IU1965" s="1"/>
      <c r="IZ1965" s="1"/>
      <c r="JJ1965" s="1"/>
      <c r="JK1965" s="1"/>
      <c r="JL1965" s="3"/>
      <c r="JM1965" s="1"/>
      <c r="JP1965" s="1"/>
      <c r="JQ1965" s="1"/>
      <c r="JR1965" s="1"/>
      <c r="JV1965" s="1"/>
      <c r="KZ1965" s="1"/>
      <c r="LN1965" s="1"/>
      <c r="LX1965" s="1"/>
      <c r="LZ1965" s="1"/>
      <c r="MA1965" s="1"/>
    </row>
    <row r="1966" spans="4:339" ht="13" x14ac:dyDescent="0.15">
      <c r="D1966" s="12"/>
      <c r="E1966" s="12"/>
      <c r="I1966" s="12"/>
      <c r="J1966" s="13"/>
      <c r="BG1966" s="1"/>
      <c r="BH1966" s="1"/>
      <c r="BI1966" s="1"/>
      <c r="BJ1966" s="1"/>
      <c r="BK1966" s="1"/>
      <c r="BL1966" s="1"/>
      <c r="BM1966" s="1"/>
      <c r="BN1966" s="1"/>
      <c r="BO1966" s="1"/>
      <c r="BP1966" s="1"/>
      <c r="CD1966" s="1"/>
      <c r="CE1966" s="1"/>
      <c r="CF1966" s="1"/>
      <c r="CK1966" s="1"/>
      <c r="CM1966" s="2"/>
      <c r="CP1966" s="1"/>
      <c r="CQ1966" s="1"/>
      <c r="CX1966" s="1"/>
      <c r="CY1966" s="1"/>
      <c r="CZ1966" s="1"/>
      <c r="DA1966" s="1"/>
      <c r="DB1966" s="1"/>
      <c r="DC1966" s="1"/>
      <c r="DD1966" s="1"/>
      <c r="DE1966" s="1"/>
      <c r="DF1966" s="1"/>
      <c r="DG1966" s="1"/>
      <c r="DH1966" s="1"/>
      <c r="DI1966" s="1"/>
      <c r="DJ1966" s="1"/>
      <c r="DK1966" s="1"/>
      <c r="DM1966" s="1"/>
      <c r="DQ1966" s="1"/>
      <c r="DR1966" s="1"/>
      <c r="DY1966" s="1"/>
      <c r="DZ1966" s="1"/>
      <c r="ED1966" s="1"/>
      <c r="EK1966" s="1"/>
      <c r="EL1966" s="1"/>
      <c r="EM1966" s="1"/>
      <c r="EN1966" s="1"/>
      <c r="EQ1966" s="1"/>
      <c r="ER1966" s="1"/>
      <c r="ES1966" s="1"/>
      <c r="EV1966" s="1"/>
      <c r="EW1966" s="1"/>
      <c r="EZ1966" s="1"/>
      <c r="GO1966" s="1"/>
      <c r="HY1966" s="1"/>
      <c r="IE1966" s="1"/>
      <c r="IG1966" s="1"/>
      <c r="IH1966" s="1"/>
      <c r="IS1966" s="1"/>
      <c r="IU1966" s="1"/>
      <c r="IZ1966" s="1"/>
      <c r="JJ1966" s="1"/>
      <c r="JK1966" s="1"/>
      <c r="JL1966" s="3"/>
      <c r="JM1966" s="1"/>
      <c r="JP1966" s="1"/>
      <c r="JQ1966" s="1"/>
      <c r="JR1966" s="1"/>
      <c r="JV1966" s="1"/>
      <c r="KZ1966" s="1"/>
      <c r="LN1966" s="1"/>
      <c r="LX1966" s="1"/>
      <c r="LZ1966" s="1"/>
      <c r="MA1966" s="1"/>
    </row>
    <row r="1967" spans="4:339" ht="13" x14ac:dyDescent="0.15">
      <c r="D1967" s="12"/>
      <c r="E1967" s="12"/>
      <c r="I1967" s="12"/>
      <c r="J1967" s="13"/>
      <c r="BG1967" s="1"/>
      <c r="BH1967" s="1"/>
      <c r="BI1967" s="1"/>
      <c r="BJ1967" s="1"/>
      <c r="BK1967" s="1"/>
      <c r="BL1967" s="1"/>
      <c r="BM1967" s="1"/>
      <c r="BN1967" s="1"/>
      <c r="BO1967" s="1"/>
      <c r="BP1967" s="1"/>
      <c r="CD1967" s="1"/>
      <c r="CE1967" s="1"/>
      <c r="CF1967" s="1"/>
      <c r="CK1967" s="1"/>
      <c r="CM1967" s="2"/>
      <c r="CP1967" s="1"/>
      <c r="CQ1967" s="1"/>
      <c r="CX1967" s="1"/>
      <c r="CY1967" s="1"/>
      <c r="CZ1967" s="1"/>
      <c r="DA1967" s="1"/>
      <c r="DB1967" s="1"/>
      <c r="DC1967" s="1"/>
      <c r="DD1967" s="1"/>
      <c r="DE1967" s="1"/>
      <c r="DF1967" s="1"/>
      <c r="DG1967" s="1"/>
      <c r="DH1967" s="1"/>
      <c r="DI1967" s="1"/>
      <c r="DJ1967" s="1"/>
      <c r="DK1967" s="1"/>
      <c r="DM1967" s="1"/>
      <c r="DQ1967" s="1"/>
      <c r="DR1967" s="1"/>
      <c r="DY1967" s="1"/>
      <c r="DZ1967" s="1"/>
      <c r="ED1967" s="1"/>
      <c r="EK1967" s="1"/>
      <c r="EL1967" s="1"/>
      <c r="EM1967" s="1"/>
      <c r="EN1967" s="1"/>
      <c r="EQ1967" s="1"/>
      <c r="ER1967" s="1"/>
      <c r="ES1967" s="1"/>
      <c r="EV1967" s="1"/>
      <c r="EW1967" s="1"/>
      <c r="EZ1967" s="1"/>
      <c r="GO1967" s="1"/>
      <c r="HY1967" s="1"/>
      <c r="IE1967" s="1"/>
      <c r="IG1967" s="1"/>
      <c r="IH1967" s="1"/>
      <c r="IS1967" s="1"/>
      <c r="IU1967" s="1"/>
      <c r="IZ1967" s="1"/>
      <c r="JJ1967" s="1"/>
      <c r="JK1967" s="1"/>
      <c r="JL1967" s="3"/>
      <c r="JM1967" s="1"/>
      <c r="JP1967" s="1"/>
      <c r="JQ1967" s="1"/>
      <c r="JR1967" s="1"/>
      <c r="JV1967" s="1"/>
      <c r="KZ1967" s="1"/>
      <c r="LN1967" s="1"/>
      <c r="LX1967" s="1"/>
      <c r="LZ1967" s="1"/>
      <c r="MA1967" s="1"/>
    </row>
    <row r="1968" spans="4:339" ht="13" x14ac:dyDescent="0.15">
      <c r="D1968" s="12"/>
      <c r="E1968" s="12"/>
      <c r="I1968" s="12"/>
      <c r="J1968" s="13"/>
      <c r="BG1968" s="1"/>
      <c r="BH1968" s="1"/>
      <c r="BI1968" s="1"/>
      <c r="BJ1968" s="1"/>
      <c r="BK1968" s="1"/>
      <c r="BL1968" s="1"/>
      <c r="BM1968" s="1"/>
      <c r="BN1968" s="1"/>
      <c r="BO1968" s="1"/>
      <c r="BP1968" s="1"/>
      <c r="CD1968" s="1"/>
      <c r="CE1968" s="1"/>
      <c r="CF1968" s="1"/>
      <c r="CK1968" s="1"/>
      <c r="CM1968" s="2"/>
      <c r="CP1968" s="1"/>
      <c r="CQ1968" s="1"/>
      <c r="CX1968" s="1"/>
      <c r="CY1968" s="1"/>
      <c r="CZ1968" s="1"/>
      <c r="DA1968" s="1"/>
      <c r="DB1968" s="1"/>
      <c r="DC1968" s="1"/>
      <c r="DD1968" s="1"/>
      <c r="DE1968" s="1"/>
      <c r="DF1968" s="1"/>
      <c r="DG1968" s="1"/>
      <c r="DH1968" s="1"/>
      <c r="DI1968" s="1"/>
      <c r="DJ1968" s="1"/>
      <c r="DK1968" s="1"/>
      <c r="DM1968" s="1"/>
      <c r="DQ1968" s="1"/>
      <c r="DR1968" s="1"/>
      <c r="DY1968" s="1"/>
      <c r="DZ1968" s="1"/>
      <c r="ED1968" s="1"/>
      <c r="EK1968" s="1"/>
      <c r="EL1968" s="1"/>
      <c r="EM1968" s="1"/>
      <c r="EN1968" s="1"/>
      <c r="EQ1968" s="1"/>
      <c r="ER1968" s="1"/>
      <c r="ES1968" s="1"/>
      <c r="EV1968" s="1"/>
      <c r="EW1968" s="1"/>
      <c r="EZ1968" s="1"/>
      <c r="GO1968" s="1"/>
      <c r="HY1968" s="1"/>
      <c r="IE1968" s="1"/>
      <c r="IG1968" s="1"/>
      <c r="IH1968" s="1"/>
      <c r="IS1968" s="1"/>
      <c r="IU1968" s="1"/>
      <c r="IZ1968" s="1"/>
      <c r="JJ1968" s="1"/>
      <c r="JK1968" s="1"/>
      <c r="JL1968" s="3"/>
      <c r="JM1968" s="1"/>
      <c r="JP1968" s="1"/>
      <c r="JQ1968" s="1"/>
      <c r="JR1968" s="1"/>
      <c r="JV1968" s="1"/>
      <c r="KZ1968" s="1"/>
      <c r="LN1968" s="1"/>
      <c r="LX1968" s="1"/>
      <c r="LZ1968" s="1"/>
      <c r="MA1968" s="1"/>
    </row>
    <row r="1969" spans="4:339" ht="13" x14ac:dyDescent="0.15">
      <c r="D1969" s="12"/>
      <c r="E1969" s="12"/>
      <c r="I1969" s="12"/>
      <c r="J1969" s="13"/>
      <c r="BG1969" s="1"/>
      <c r="BH1969" s="1"/>
      <c r="BI1969" s="1"/>
      <c r="BJ1969" s="1"/>
      <c r="BK1969" s="1"/>
      <c r="BL1969" s="1"/>
      <c r="BM1969" s="1"/>
      <c r="BN1969" s="1"/>
      <c r="BO1969" s="1"/>
      <c r="BP1969" s="1"/>
      <c r="CD1969" s="1"/>
      <c r="CE1969" s="1"/>
      <c r="CF1969" s="1"/>
      <c r="CK1969" s="1"/>
      <c r="CM1969" s="2"/>
      <c r="CP1969" s="1"/>
      <c r="CQ1969" s="1"/>
      <c r="CX1969" s="1"/>
      <c r="CY1969" s="1"/>
      <c r="CZ1969" s="1"/>
      <c r="DA1969" s="1"/>
      <c r="DB1969" s="1"/>
      <c r="DC1969" s="1"/>
      <c r="DD1969" s="1"/>
      <c r="DE1969" s="1"/>
      <c r="DF1969" s="1"/>
      <c r="DG1969" s="1"/>
      <c r="DH1969" s="1"/>
      <c r="DI1969" s="1"/>
      <c r="DJ1969" s="1"/>
      <c r="DK1969" s="1"/>
      <c r="DM1969" s="1"/>
      <c r="DQ1969" s="1"/>
      <c r="DR1969" s="1"/>
      <c r="DY1969" s="1"/>
      <c r="DZ1969" s="1"/>
      <c r="ED1969" s="1"/>
      <c r="EK1969" s="1"/>
      <c r="EL1969" s="1"/>
      <c r="EM1969" s="1"/>
      <c r="EN1969" s="1"/>
      <c r="EQ1969" s="1"/>
      <c r="ER1969" s="1"/>
      <c r="ES1969" s="1"/>
      <c r="EV1969" s="1"/>
      <c r="EW1969" s="1"/>
      <c r="EZ1969" s="1"/>
      <c r="GO1969" s="1"/>
      <c r="HY1969" s="1"/>
      <c r="IE1969" s="1"/>
      <c r="IG1969" s="1"/>
      <c r="IH1969" s="1"/>
      <c r="IS1969" s="1"/>
      <c r="IU1969" s="1"/>
      <c r="IZ1969" s="1"/>
      <c r="JJ1969" s="1"/>
      <c r="JK1969" s="1"/>
      <c r="JL1969" s="3"/>
      <c r="JM1969" s="1"/>
      <c r="JP1969" s="1"/>
      <c r="JQ1969" s="1"/>
      <c r="JR1969" s="1"/>
      <c r="JV1969" s="1"/>
      <c r="KZ1969" s="1"/>
      <c r="LN1969" s="1"/>
      <c r="LX1969" s="1"/>
      <c r="LZ1969" s="1"/>
      <c r="MA1969" s="1"/>
    </row>
    <row r="1970" spans="4:339" ht="13" x14ac:dyDescent="0.15">
      <c r="D1970" s="12"/>
      <c r="E1970" s="12"/>
      <c r="I1970" s="12"/>
      <c r="J1970" s="13"/>
      <c r="BG1970" s="1"/>
      <c r="BH1970" s="1"/>
      <c r="BI1970" s="1"/>
      <c r="BJ1970" s="1"/>
      <c r="BK1970" s="1"/>
      <c r="BL1970" s="1"/>
      <c r="BM1970" s="1"/>
      <c r="BN1970" s="1"/>
      <c r="BO1970" s="1"/>
      <c r="BP1970" s="1"/>
      <c r="CD1970" s="1"/>
      <c r="CE1970" s="1"/>
      <c r="CF1970" s="1"/>
      <c r="CK1970" s="1"/>
      <c r="CM1970" s="2"/>
      <c r="CP1970" s="1"/>
      <c r="CQ1970" s="1"/>
      <c r="CX1970" s="1"/>
      <c r="CY1970" s="1"/>
      <c r="CZ1970" s="1"/>
      <c r="DA1970" s="1"/>
      <c r="DB1970" s="1"/>
      <c r="DC1970" s="1"/>
      <c r="DD1970" s="1"/>
      <c r="DE1970" s="1"/>
      <c r="DF1970" s="1"/>
      <c r="DG1970" s="1"/>
      <c r="DH1970" s="1"/>
      <c r="DI1970" s="1"/>
      <c r="DJ1970" s="1"/>
      <c r="DK1970" s="1"/>
      <c r="DM1970" s="1"/>
      <c r="DQ1970" s="1"/>
      <c r="DR1970" s="1"/>
      <c r="DY1970" s="1"/>
      <c r="DZ1970" s="1"/>
      <c r="ED1970" s="1"/>
      <c r="EK1970" s="1"/>
      <c r="EL1970" s="1"/>
      <c r="EM1970" s="1"/>
      <c r="EN1970" s="1"/>
      <c r="EQ1970" s="1"/>
      <c r="ER1970" s="1"/>
      <c r="ES1970" s="1"/>
      <c r="EV1970" s="1"/>
      <c r="EW1970" s="1"/>
      <c r="EZ1970" s="1"/>
      <c r="GO1970" s="1"/>
      <c r="HY1970" s="1"/>
      <c r="IE1970" s="1"/>
      <c r="IG1970" s="1"/>
      <c r="IH1970" s="1"/>
      <c r="IS1970" s="1"/>
      <c r="IU1970" s="1"/>
      <c r="IZ1970" s="1"/>
      <c r="JJ1970" s="1"/>
      <c r="JK1970" s="1"/>
      <c r="JL1970" s="3"/>
      <c r="JM1970" s="1"/>
      <c r="JP1970" s="1"/>
      <c r="JQ1970" s="1"/>
      <c r="JR1970" s="1"/>
      <c r="JV1970" s="1"/>
      <c r="KZ1970" s="1"/>
      <c r="LN1970" s="1"/>
      <c r="LX1970" s="1"/>
      <c r="LZ1970" s="1"/>
      <c r="MA1970" s="1"/>
    </row>
    <row r="1971" spans="4:339" ht="13" x14ac:dyDescent="0.15">
      <c r="D1971" s="12"/>
      <c r="E1971" s="12"/>
      <c r="I1971" s="12"/>
      <c r="J1971" s="13"/>
      <c r="BG1971" s="1"/>
      <c r="BH1971" s="1"/>
      <c r="BI1971" s="1"/>
      <c r="BJ1971" s="1"/>
      <c r="BK1971" s="1"/>
      <c r="BL1971" s="1"/>
      <c r="BM1971" s="1"/>
      <c r="BN1971" s="1"/>
      <c r="BO1971" s="1"/>
      <c r="BP1971" s="1"/>
      <c r="CD1971" s="1"/>
      <c r="CE1971" s="1"/>
      <c r="CF1971" s="1"/>
      <c r="CK1971" s="1"/>
      <c r="CM1971" s="2"/>
      <c r="CP1971" s="1"/>
      <c r="CQ1971" s="1"/>
      <c r="CX1971" s="1"/>
      <c r="CY1971" s="1"/>
      <c r="CZ1971" s="1"/>
      <c r="DA1971" s="1"/>
      <c r="DB1971" s="1"/>
      <c r="DC1971" s="1"/>
      <c r="DD1971" s="1"/>
      <c r="DE1971" s="1"/>
      <c r="DF1971" s="1"/>
      <c r="DG1971" s="1"/>
      <c r="DH1971" s="1"/>
      <c r="DI1971" s="1"/>
      <c r="DJ1971" s="1"/>
      <c r="DK1971" s="1"/>
      <c r="DM1971" s="1"/>
      <c r="DQ1971" s="1"/>
      <c r="DR1971" s="1"/>
      <c r="DY1971" s="1"/>
      <c r="DZ1971" s="1"/>
      <c r="ED1971" s="1"/>
      <c r="EK1971" s="1"/>
      <c r="EL1971" s="1"/>
      <c r="EM1971" s="1"/>
      <c r="EN1971" s="1"/>
      <c r="EQ1971" s="1"/>
      <c r="ER1971" s="1"/>
      <c r="ES1971" s="1"/>
      <c r="EV1971" s="1"/>
      <c r="EW1971" s="1"/>
      <c r="EZ1971" s="1"/>
      <c r="GO1971" s="1"/>
      <c r="HY1971" s="1"/>
      <c r="IE1971" s="1"/>
      <c r="IG1971" s="1"/>
      <c r="IH1971" s="1"/>
      <c r="IS1971" s="1"/>
      <c r="IU1971" s="1"/>
      <c r="IZ1971" s="1"/>
      <c r="JJ1971" s="1"/>
      <c r="JK1971" s="1"/>
      <c r="JL1971" s="3"/>
      <c r="JM1971" s="1"/>
      <c r="JP1971" s="1"/>
      <c r="JQ1971" s="1"/>
      <c r="JR1971" s="1"/>
      <c r="JV1971" s="1"/>
      <c r="KZ1971" s="1"/>
      <c r="LN1971" s="1"/>
      <c r="LX1971" s="1"/>
      <c r="LZ1971" s="1"/>
      <c r="MA1971" s="1"/>
    </row>
    <row r="1972" spans="4:339" ht="13" x14ac:dyDescent="0.15">
      <c r="D1972" s="12"/>
      <c r="E1972" s="12"/>
      <c r="I1972" s="12"/>
      <c r="J1972" s="13"/>
      <c r="BG1972" s="1"/>
      <c r="BH1972" s="1"/>
      <c r="BI1972" s="1"/>
      <c r="BJ1972" s="1"/>
      <c r="BK1972" s="1"/>
      <c r="BL1972" s="1"/>
      <c r="BM1972" s="1"/>
      <c r="BN1972" s="1"/>
      <c r="BO1972" s="1"/>
      <c r="BP1972" s="1"/>
      <c r="CD1972" s="1"/>
      <c r="CE1972" s="1"/>
      <c r="CF1972" s="1"/>
      <c r="CK1972" s="1"/>
      <c r="CM1972" s="2"/>
      <c r="CP1972" s="1"/>
      <c r="CQ1972" s="1"/>
      <c r="CX1972" s="1"/>
      <c r="CY1972" s="1"/>
      <c r="CZ1972" s="1"/>
      <c r="DA1972" s="1"/>
      <c r="DB1972" s="1"/>
      <c r="DC1972" s="1"/>
      <c r="DD1972" s="1"/>
      <c r="DE1972" s="1"/>
      <c r="DF1972" s="1"/>
      <c r="DG1972" s="1"/>
      <c r="DH1972" s="1"/>
      <c r="DI1972" s="1"/>
      <c r="DJ1972" s="1"/>
      <c r="DK1972" s="1"/>
      <c r="DM1972" s="1"/>
      <c r="DQ1972" s="1"/>
      <c r="DR1972" s="1"/>
      <c r="DY1972" s="1"/>
      <c r="DZ1972" s="1"/>
      <c r="ED1972" s="1"/>
      <c r="EK1972" s="1"/>
      <c r="EL1972" s="1"/>
      <c r="EM1972" s="1"/>
      <c r="EN1972" s="1"/>
      <c r="EQ1972" s="1"/>
      <c r="ER1972" s="1"/>
      <c r="ES1972" s="1"/>
      <c r="EV1972" s="1"/>
      <c r="EW1972" s="1"/>
      <c r="EZ1972" s="1"/>
      <c r="GO1972" s="1"/>
      <c r="HY1972" s="1"/>
      <c r="IE1972" s="1"/>
      <c r="IG1972" s="1"/>
      <c r="IH1972" s="1"/>
      <c r="IS1972" s="1"/>
      <c r="IU1972" s="1"/>
      <c r="IZ1972" s="1"/>
      <c r="JJ1972" s="1"/>
      <c r="JK1972" s="1"/>
      <c r="JL1972" s="3"/>
      <c r="JM1972" s="1"/>
      <c r="JP1972" s="1"/>
      <c r="JQ1972" s="1"/>
      <c r="JR1972" s="1"/>
      <c r="JV1972" s="1"/>
      <c r="KZ1972" s="1"/>
      <c r="LN1972" s="1"/>
      <c r="LX1972" s="1"/>
      <c r="LZ1972" s="1"/>
      <c r="MA1972" s="1"/>
    </row>
    <row r="1973" spans="4:339" ht="13" x14ac:dyDescent="0.15">
      <c r="D1973" s="12"/>
      <c r="E1973" s="12"/>
      <c r="I1973" s="12"/>
      <c r="J1973" s="13"/>
      <c r="BF1973" s="1"/>
      <c r="BG1973" s="1"/>
      <c r="BH1973" s="1"/>
      <c r="BI1973" s="1"/>
      <c r="BK1973" s="1"/>
      <c r="BL1973" s="1"/>
      <c r="BM1973" s="1"/>
      <c r="BN1973" s="1"/>
      <c r="BO1973" s="1"/>
      <c r="BP1973" s="1"/>
      <c r="CD1973" s="1"/>
      <c r="CM1973" s="2"/>
      <c r="CP1973" s="1"/>
      <c r="CQ1973" s="1"/>
      <c r="CR1973" s="1"/>
      <c r="CS1973" s="1"/>
      <c r="CT1973" s="1"/>
      <c r="CU1973" s="1"/>
      <c r="CV1973" s="1"/>
      <c r="CW1973" s="1"/>
      <c r="CX1973" s="1"/>
      <c r="CY1973" s="1"/>
      <c r="CZ1973" s="1"/>
      <c r="DA1973" s="1"/>
      <c r="DB1973" s="1"/>
      <c r="DC1973" s="1"/>
      <c r="DD1973" s="1"/>
      <c r="DE1973" s="1"/>
      <c r="DF1973" s="1"/>
      <c r="DG1973" s="1"/>
      <c r="DH1973" s="1"/>
      <c r="DI1973" s="1"/>
      <c r="DJ1973" s="1"/>
      <c r="DK1973" s="1"/>
      <c r="ED1973" s="1"/>
      <c r="EE1973" s="1"/>
      <c r="EF1973" s="1"/>
      <c r="EG1973" s="1"/>
      <c r="EH1973" s="1"/>
      <c r="EK1973" s="1"/>
      <c r="EL1973" s="1"/>
      <c r="EM1973" s="1"/>
      <c r="EN1973" s="1"/>
      <c r="EQ1973" s="1"/>
      <c r="ER1973" s="1"/>
      <c r="ES1973" s="1"/>
      <c r="EV1973" s="1"/>
      <c r="EW1973" s="1"/>
      <c r="EY1973" s="1"/>
      <c r="EZ1973" s="1"/>
      <c r="GO1973" s="1"/>
      <c r="HY1973" s="1"/>
      <c r="IE1973" s="1"/>
      <c r="IF1973" s="1"/>
      <c r="IG1973" s="1"/>
      <c r="IJ1973" s="1"/>
      <c r="IS1973" s="1"/>
      <c r="IZ1973" s="1"/>
      <c r="JH1973" s="1"/>
      <c r="JJ1973" s="1"/>
      <c r="JK1973" s="1"/>
      <c r="JL1973" s="3"/>
      <c r="JM1973" s="1"/>
      <c r="JN1973" s="1"/>
      <c r="JP1973" s="1"/>
      <c r="JQ1973" s="1"/>
      <c r="JR1973" s="1"/>
      <c r="LZ1973" s="1"/>
      <c r="MA1973" s="1"/>
    </row>
    <row r="1974" spans="4:339" ht="13" x14ac:dyDescent="0.15">
      <c r="D1974" s="12"/>
      <c r="E1974" s="12"/>
      <c r="I1974" s="12"/>
      <c r="J1974" s="13"/>
      <c r="BF1974" s="1"/>
      <c r="BG1974" s="1"/>
      <c r="BH1974" s="1"/>
      <c r="BI1974" s="1"/>
      <c r="BK1974" s="1"/>
      <c r="BL1974" s="1"/>
      <c r="BM1974" s="1"/>
      <c r="BN1974" s="1"/>
      <c r="BO1974" s="1"/>
      <c r="BP1974" s="1"/>
      <c r="CD1974" s="1"/>
      <c r="CM1974" s="2"/>
      <c r="CP1974" s="1"/>
      <c r="CQ1974" s="1"/>
      <c r="CR1974" s="1"/>
      <c r="CS1974" s="1"/>
      <c r="CT1974" s="1"/>
      <c r="CU1974" s="1"/>
      <c r="CV1974" s="1"/>
      <c r="CW1974" s="1"/>
      <c r="CX1974" s="1"/>
      <c r="CY1974" s="1"/>
      <c r="CZ1974" s="1"/>
      <c r="DA1974" s="1"/>
      <c r="DB1974" s="1"/>
      <c r="DC1974" s="1"/>
      <c r="DD1974" s="1"/>
      <c r="DE1974" s="1"/>
      <c r="DF1974" s="1"/>
      <c r="DG1974" s="1"/>
      <c r="DH1974" s="1"/>
      <c r="DI1974" s="1"/>
      <c r="DJ1974" s="1"/>
      <c r="DK1974" s="1"/>
      <c r="ED1974" s="1"/>
      <c r="EE1974" s="1"/>
      <c r="EF1974" s="1"/>
      <c r="EG1974" s="1"/>
      <c r="EH1974" s="1"/>
      <c r="EK1974" s="1"/>
      <c r="EL1974" s="1"/>
      <c r="EM1974" s="1"/>
      <c r="EN1974" s="1"/>
      <c r="EQ1974" s="1"/>
      <c r="ER1974" s="1"/>
      <c r="ES1974" s="1"/>
      <c r="EV1974" s="1"/>
      <c r="EW1974" s="1"/>
      <c r="EY1974" s="1"/>
      <c r="EZ1974" s="1"/>
      <c r="GO1974" s="1"/>
      <c r="HY1974" s="1"/>
      <c r="IE1974" s="1"/>
      <c r="IF1974" s="1"/>
      <c r="IG1974" s="1"/>
      <c r="IJ1974" s="1"/>
      <c r="IS1974" s="1"/>
      <c r="IZ1974" s="1"/>
      <c r="JH1974" s="1"/>
      <c r="JJ1974" s="1"/>
      <c r="JK1974" s="1"/>
      <c r="JL1974" s="3"/>
      <c r="JM1974" s="1"/>
      <c r="JN1974" s="1"/>
      <c r="JP1974" s="1"/>
      <c r="JQ1974" s="1"/>
      <c r="JR1974" s="1"/>
      <c r="LZ1974" s="1"/>
      <c r="MA1974" s="1"/>
    </row>
    <row r="1975" spans="4:339" ht="13" x14ac:dyDescent="0.15">
      <c r="D1975" s="12"/>
      <c r="E1975" s="12"/>
      <c r="I1975" s="12"/>
      <c r="J1975" s="13"/>
      <c r="BF1975" s="1"/>
      <c r="BG1975" s="1"/>
      <c r="BH1975" s="1"/>
      <c r="BI1975" s="1"/>
      <c r="BK1975" s="1"/>
      <c r="BL1975" s="1"/>
      <c r="BM1975" s="1"/>
      <c r="BN1975" s="1"/>
      <c r="BO1975" s="1"/>
      <c r="BP1975" s="1"/>
      <c r="CD1975" s="1"/>
      <c r="CM1975" s="2"/>
      <c r="CP1975" s="1"/>
      <c r="CQ1975" s="1"/>
      <c r="CR1975" s="1"/>
      <c r="CS1975" s="1"/>
      <c r="CT1975" s="1"/>
      <c r="CU1975" s="1"/>
      <c r="CV1975" s="1"/>
      <c r="CW1975" s="1"/>
      <c r="CX1975" s="1"/>
      <c r="CY1975" s="1"/>
      <c r="CZ1975" s="1"/>
      <c r="DA1975" s="1"/>
      <c r="DB1975" s="1"/>
      <c r="DC1975" s="1"/>
      <c r="DD1975" s="1"/>
      <c r="DE1975" s="1"/>
      <c r="DF1975" s="1"/>
      <c r="DG1975" s="1"/>
      <c r="DH1975" s="1"/>
      <c r="DI1975" s="1"/>
      <c r="DJ1975" s="1"/>
      <c r="DK1975" s="1"/>
      <c r="ED1975" s="1"/>
      <c r="EE1975" s="1"/>
      <c r="EF1975" s="1"/>
      <c r="EG1975" s="1"/>
      <c r="EH1975" s="1"/>
      <c r="EK1975" s="1"/>
      <c r="EL1975" s="1"/>
      <c r="EM1975" s="1"/>
      <c r="EN1975" s="1"/>
      <c r="EQ1975" s="1"/>
      <c r="ER1975" s="1"/>
      <c r="ES1975" s="1"/>
      <c r="EV1975" s="1"/>
      <c r="EW1975" s="1"/>
      <c r="EY1975" s="1"/>
      <c r="EZ1975" s="1"/>
      <c r="GO1975" s="1"/>
      <c r="HY1975" s="1"/>
      <c r="IE1975" s="1"/>
      <c r="IF1975" s="1"/>
      <c r="IG1975" s="1"/>
      <c r="IJ1975" s="1"/>
      <c r="IS1975" s="1"/>
      <c r="IZ1975" s="1"/>
      <c r="JH1975" s="1"/>
      <c r="JJ1975" s="1"/>
      <c r="JK1975" s="1"/>
      <c r="JL1975" s="3"/>
      <c r="JM1975" s="1"/>
      <c r="JN1975" s="1"/>
      <c r="JP1975" s="1"/>
      <c r="JQ1975" s="1"/>
      <c r="JR1975" s="1"/>
      <c r="LZ1975" s="1"/>
      <c r="MA1975" s="1"/>
    </row>
    <row r="1976" spans="4:339" ht="13" x14ac:dyDescent="0.15">
      <c r="D1976" s="12"/>
      <c r="E1976" s="12"/>
      <c r="I1976" s="12"/>
      <c r="J1976" s="13"/>
      <c r="BF1976" s="1"/>
      <c r="BG1976" s="1"/>
      <c r="BH1976" s="1"/>
      <c r="BI1976" s="1"/>
      <c r="BK1976" s="1"/>
      <c r="BL1976" s="1"/>
      <c r="BM1976" s="1"/>
      <c r="BN1976" s="1"/>
      <c r="BO1976" s="1"/>
      <c r="BP1976" s="1"/>
      <c r="CD1976" s="1"/>
      <c r="CM1976" s="2"/>
      <c r="CP1976" s="1"/>
      <c r="CQ1976" s="1"/>
      <c r="CR1976" s="1"/>
      <c r="CS1976" s="1"/>
      <c r="CT1976" s="1"/>
      <c r="CU1976" s="1"/>
      <c r="CV1976" s="1"/>
      <c r="CW1976" s="1"/>
      <c r="CX1976" s="1"/>
      <c r="CY1976" s="1"/>
      <c r="CZ1976" s="1"/>
      <c r="DA1976" s="1"/>
      <c r="DB1976" s="1"/>
      <c r="DC1976" s="1"/>
      <c r="DD1976" s="1"/>
      <c r="DE1976" s="1"/>
      <c r="DF1976" s="1"/>
      <c r="DG1976" s="1"/>
      <c r="DH1976" s="1"/>
      <c r="DI1976" s="1"/>
      <c r="DJ1976" s="1"/>
      <c r="DK1976" s="1"/>
      <c r="ED1976" s="1"/>
      <c r="EE1976" s="1"/>
      <c r="EF1976" s="1"/>
      <c r="EG1976" s="1"/>
      <c r="EH1976" s="1"/>
      <c r="EK1976" s="1"/>
      <c r="EL1976" s="1"/>
      <c r="EM1976" s="1"/>
      <c r="EN1976" s="1"/>
      <c r="EQ1976" s="1"/>
      <c r="ER1976" s="1"/>
      <c r="ES1976" s="1"/>
      <c r="EV1976" s="1"/>
      <c r="EW1976" s="1"/>
      <c r="EY1976" s="1"/>
      <c r="EZ1976" s="1"/>
      <c r="GO1976" s="1"/>
      <c r="HY1976" s="1"/>
      <c r="IE1976" s="1"/>
      <c r="IF1976" s="1"/>
      <c r="IG1976" s="1"/>
      <c r="IJ1976" s="1"/>
      <c r="IS1976" s="1"/>
      <c r="IZ1976" s="1"/>
      <c r="JH1976" s="1"/>
      <c r="JJ1976" s="1"/>
      <c r="JK1976" s="1"/>
      <c r="JL1976" s="3"/>
      <c r="JM1976" s="1"/>
      <c r="JN1976" s="1"/>
      <c r="JP1976" s="1"/>
      <c r="JQ1976" s="1"/>
      <c r="JR1976" s="1"/>
      <c r="LZ1976" s="1"/>
      <c r="MA1976" s="1"/>
    </row>
    <row r="1977" spans="4:339" ht="13" x14ac:dyDescent="0.15">
      <c r="D1977" s="12"/>
      <c r="E1977" s="12"/>
      <c r="I1977" s="12"/>
      <c r="J1977" s="13"/>
      <c r="BF1977" s="1"/>
      <c r="BG1977" s="1"/>
      <c r="BH1977" s="1"/>
      <c r="BI1977" s="1"/>
      <c r="BK1977" s="1"/>
      <c r="BL1977" s="1"/>
      <c r="BM1977" s="1"/>
      <c r="BN1977" s="1"/>
      <c r="BO1977" s="1"/>
      <c r="BP1977" s="1"/>
      <c r="CD1977" s="1"/>
      <c r="CM1977" s="2"/>
      <c r="CP1977" s="1"/>
      <c r="CQ1977" s="1"/>
      <c r="CR1977" s="1"/>
      <c r="CS1977" s="1"/>
      <c r="CT1977" s="1"/>
      <c r="CU1977" s="1"/>
      <c r="CV1977" s="1"/>
      <c r="CW1977" s="1"/>
      <c r="CX1977" s="1"/>
      <c r="CY1977" s="1"/>
      <c r="CZ1977" s="1"/>
      <c r="DA1977" s="1"/>
      <c r="DB1977" s="1"/>
      <c r="DC1977" s="1"/>
      <c r="DD1977" s="1"/>
      <c r="DE1977" s="1"/>
      <c r="DF1977" s="1"/>
      <c r="DG1977" s="1"/>
      <c r="DH1977" s="1"/>
      <c r="DI1977" s="1"/>
      <c r="DJ1977" s="1"/>
      <c r="DK1977" s="1"/>
      <c r="ED1977" s="1"/>
      <c r="EE1977" s="1"/>
      <c r="EF1977" s="1"/>
      <c r="EG1977" s="1"/>
      <c r="EH1977" s="1"/>
      <c r="EK1977" s="1"/>
      <c r="EL1977" s="1"/>
      <c r="EM1977" s="1"/>
      <c r="EN1977" s="1"/>
      <c r="EQ1977" s="1"/>
      <c r="ER1977" s="1"/>
      <c r="ES1977" s="1"/>
      <c r="EV1977" s="1"/>
      <c r="EW1977" s="1"/>
      <c r="EY1977" s="1"/>
      <c r="EZ1977" s="1"/>
      <c r="GO1977" s="1"/>
      <c r="HY1977" s="1"/>
      <c r="IE1977" s="1"/>
      <c r="IF1977" s="1"/>
      <c r="IG1977" s="1"/>
      <c r="IJ1977" s="1"/>
      <c r="IS1977" s="1"/>
      <c r="IZ1977" s="1"/>
      <c r="JH1977" s="1"/>
      <c r="JJ1977" s="1"/>
      <c r="JK1977" s="1"/>
      <c r="JL1977" s="3"/>
      <c r="JM1977" s="1"/>
      <c r="JN1977" s="1"/>
      <c r="JP1977" s="1"/>
      <c r="JQ1977" s="1"/>
      <c r="JR1977" s="1"/>
      <c r="LZ1977" s="1"/>
      <c r="MA1977" s="1"/>
    </row>
    <row r="1978" spans="4:339" ht="13" x14ac:dyDescent="0.15">
      <c r="D1978" s="12"/>
      <c r="E1978" s="12"/>
      <c r="I1978" s="12"/>
      <c r="J1978" s="13"/>
      <c r="BF1978" s="1"/>
      <c r="BG1978" s="1"/>
      <c r="BH1978" s="1"/>
      <c r="BI1978" s="1"/>
      <c r="BK1978" s="1"/>
      <c r="BL1978" s="1"/>
      <c r="BM1978" s="1"/>
      <c r="BN1978" s="1"/>
      <c r="BO1978" s="1"/>
      <c r="BP1978" s="1"/>
      <c r="CD1978" s="1"/>
      <c r="CM1978" s="2"/>
      <c r="CP1978" s="1"/>
      <c r="CQ1978" s="1"/>
      <c r="CR1978" s="1"/>
      <c r="CS1978" s="1"/>
      <c r="CT1978" s="1"/>
      <c r="CU1978" s="1"/>
      <c r="CV1978" s="1"/>
      <c r="CW1978" s="1"/>
      <c r="CX1978" s="1"/>
      <c r="CY1978" s="1"/>
      <c r="CZ1978" s="1"/>
      <c r="DA1978" s="1"/>
      <c r="DB1978" s="1"/>
      <c r="DC1978" s="1"/>
      <c r="DD1978" s="1"/>
      <c r="DE1978" s="1"/>
      <c r="DF1978" s="1"/>
      <c r="DG1978" s="1"/>
      <c r="DH1978" s="1"/>
      <c r="DI1978" s="1"/>
      <c r="DJ1978" s="1"/>
      <c r="DK1978" s="1"/>
      <c r="ED1978" s="1"/>
      <c r="EE1978" s="1"/>
      <c r="EF1978" s="1"/>
      <c r="EG1978" s="1"/>
      <c r="EH1978" s="1"/>
      <c r="EK1978" s="1"/>
      <c r="EL1978" s="1"/>
      <c r="EM1978" s="1"/>
      <c r="EN1978" s="1"/>
      <c r="EQ1978" s="1"/>
      <c r="ER1978" s="1"/>
      <c r="ES1978" s="1"/>
      <c r="EV1978" s="1"/>
      <c r="EW1978" s="1"/>
      <c r="EY1978" s="1"/>
      <c r="EZ1978" s="1"/>
      <c r="GO1978" s="1"/>
      <c r="HY1978" s="1"/>
      <c r="IE1978" s="1"/>
      <c r="IF1978" s="1"/>
      <c r="IG1978" s="1"/>
      <c r="IJ1978" s="1"/>
      <c r="IS1978" s="1"/>
      <c r="IZ1978" s="1"/>
      <c r="JH1978" s="1"/>
      <c r="JJ1978" s="1"/>
      <c r="JK1978" s="1"/>
      <c r="JL1978" s="3"/>
      <c r="JM1978" s="1"/>
      <c r="JN1978" s="1"/>
      <c r="JP1978" s="1"/>
      <c r="JQ1978" s="1"/>
      <c r="JR1978" s="1"/>
      <c r="LZ1978" s="1"/>
      <c r="MA1978" s="1"/>
    </row>
    <row r="1979" spans="4:339" ht="13" x14ac:dyDescent="0.15">
      <c r="D1979" s="12"/>
      <c r="E1979" s="12"/>
      <c r="I1979" s="12"/>
      <c r="J1979" s="13"/>
      <c r="BF1979" s="1"/>
      <c r="BG1979" s="1"/>
      <c r="BH1979" s="1"/>
      <c r="BI1979" s="1"/>
      <c r="BK1979" s="1"/>
      <c r="BL1979" s="1"/>
      <c r="BM1979" s="1"/>
      <c r="BN1979" s="1"/>
      <c r="BO1979" s="1"/>
      <c r="BP1979" s="1"/>
      <c r="CD1979" s="1"/>
      <c r="CM1979" s="2"/>
      <c r="CP1979" s="1"/>
      <c r="CQ1979" s="1"/>
      <c r="CR1979" s="1"/>
      <c r="CS1979" s="1"/>
      <c r="CT1979" s="1"/>
      <c r="CU1979" s="1"/>
      <c r="CV1979" s="1"/>
      <c r="CW1979" s="1"/>
      <c r="CX1979" s="1"/>
      <c r="CY1979" s="1"/>
      <c r="CZ1979" s="1"/>
      <c r="DA1979" s="1"/>
      <c r="DB1979" s="1"/>
      <c r="DC1979" s="1"/>
      <c r="DD1979" s="1"/>
      <c r="DE1979" s="1"/>
      <c r="DF1979" s="1"/>
      <c r="DG1979" s="1"/>
      <c r="DH1979" s="1"/>
      <c r="DI1979" s="1"/>
      <c r="DJ1979" s="1"/>
      <c r="DK1979" s="1"/>
      <c r="ED1979" s="1"/>
      <c r="EE1979" s="1"/>
      <c r="EF1979" s="1"/>
      <c r="EG1979" s="1"/>
      <c r="EH1979" s="1"/>
      <c r="EK1979" s="1"/>
      <c r="EL1979" s="1"/>
      <c r="EM1979" s="1"/>
      <c r="EN1979" s="1"/>
      <c r="EQ1979" s="1"/>
      <c r="ER1979" s="1"/>
      <c r="ES1979" s="1"/>
      <c r="EV1979" s="1"/>
      <c r="EW1979" s="1"/>
      <c r="EY1979" s="1"/>
      <c r="EZ1979" s="1"/>
      <c r="GO1979" s="1"/>
      <c r="HY1979" s="1"/>
      <c r="IE1979" s="1"/>
      <c r="IF1979" s="1"/>
      <c r="IG1979" s="1"/>
      <c r="IJ1979" s="1"/>
      <c r="IS1979" s="1"/>
      <c r="IZ1979" s="1"/>
      <c r="JH1979" s="1"/>
      <c r="JJ1979" s="1"/>
      <c r="JK1979" s="1"/>
      <c r="JL1979" s="3"/>
      <c r="JM1979" s="1"/>
      <c r="JN1979" s="1"/>
      <c r="JP1979" s="1"/>
      <c r="JQ1979" s="1"/>
      <c r="JR1979" s="1"/>
      <c r="LZ1979" s="1"/>
      <c r="MA1979" s="1"/>
    </row>
    <row r="1980" spans="4:339" ht="13" x14ac:dyDescent="0.15">
      <c r="D1980" s="12"/>
      <c r="E1980" s="12"/>
      <c r="I1980" s="12"/>
      <c r="J1980" s="13"/>
      <c r="BF1980" s="1"/>
      <c r="BG1980" s="1"/>
      <c r="BH1980" s="1"/>
      <c r="BI1980" s="1"/>
      <c r="BK1980" s="1"/>
      <c r="BL1980" s="1"/>
      <c r="BM1980" s="1"/>
      <c r="BN1980" s="1"/>
      <c r="BO1980" s="1"/>
      <c r="BP1980" s="1"/>
      <c r="CD1980" s="1"/>
      <c r="CM1980" s="2"/>
      <c r="CP1980" s="1"/>
      <c r="CQ1980" s="1"/>
      <c r="CR1980" s="1"/>
      <c r="CS1980" s="1"/>
      <c r="CT1980" s="1"/>
      <c r="CU1980" s="1"/>
      <c r="CV1980" s="1"/>
      <c r="CW1980" s="1"/>
      <c r="CX1980" s="1"/>
      <c r="CY1980" s="1"/>
      <c r="CZ1980" s="1"/>
      <c r="DA1980" s="1"/>
      <c r="DB1980" s="1"/>
      <c r="DC1980" s="1"/>
      <c r="DD1980" s="1"/>
      <c r="DE1980" s="1"/>
      <c r="DF1980" s="1"/>
      <c r="DG1980" s="1"/>
      <c r="DH1980" s="1"/>
      <c r="DI1980" s="1"/>
      <c r="DJ1980" s="1"/>
      <c r="DK1980" s="1"/>
      <c r="ED1980" s="1"/>
      <c r="EE1980" s="1"/>
      <c r="EF1980" s="1"/>
      <c r="EG1980" s="1"/>
      <c r="EH1980" s="1"/>
      <c r="EK1980" s="1"/>
      <c r="EL1980" s="1"/>
      <c r="EM1980" s="1"/>
      <c r="EN1980" s="1"/>
      <c r="EQ1980" s="1"/>
      <c r="ER1980" s="1"/>
      <c r="ES1980" s="1"/>
      <c r="EV1980" s="1"/>
      <c r="EW1980" s="1"/>
      <c r="EY1980" s="1"/>
      <c r="EZ1980" s="1"/>
      <c r="GO1980" s="1"/>
      <c r="HY1980" s="1"/>
      <c r="IE1980" s="1"/>
      <c r="IF1980" s="1"/>
      <c r="IG1980" s="1"/>
      <c r="IJ1980" s="1"/>
      <c r="IS1980" s="1"/>
      <c r="IZ1980" s="1"/>
      <c r="JH1980" s="1"/>
      <c r="JJ1980" s="1"/>
      <c r="JK1980" s="1"/>
      <c r="JL1980" s="3"/>
      <c r="JM1980" s="1"/>
      <c r="JN1980" s="1"/>
      <c r="JP1980" s="1"/>
      <c r="JQ1980" s="1"/>
      <c r="JR1980" s="1"/>
      <c r="LZ1980" s="1"/>
      <c r="MA1980" s="1"/>
    </row>
    <row r="1981" spans="4:339" ht="13" x14ac:dyDescent="0.15">
      <c r="D1981" s="12"/>
      <c r="E1981" s="12"/>
      <c r="I1981" s="12"/>
      <c r="J1981" s="13"/>
      <c r="BF1981" s="1"/>
      <c r="BG1981" s="1"/>
      <c r="BH1981" s="1"/>
      <c r="BI1981" s="1"/>
      <c r="BK1981" s="1"/>
      <c r="BL1981" s="1"/>
      <c r="BM1981" s="1"/>
      <c r="BN1981" s="1"/>
      <c r="BO1981" s="1"/>
      <c r="BP1981" s="1"/>
      <c r="CD1981" s="1"/>
      <c r="CE1981" s="1"/>
      <c r="CF1981" s="1"/>
      <c r="CG1981" s="1"/>
      <c r="CM1981" s="2"/>
      <c r="CP1981" s="1"/>
      <c r="CQ1981" s="1"/>
      <c r="CX1981" s="1"/>
      <c r="CY1981" s="1"/>
      <c r="CZ1981" s="1"/>
      <c r="DA1981" s="1"/>
      <c r="DB1981" s="1"/>
      <c r="DC1981" s="1"/>
      <c r="DD1981" s="1"/>
      <c r="DE1981" s="1"/>
      <c r="DF1981" s="1"/>
      <c r="DG1981" s="1"/>
      <c r="DH1981" s="1"/>
      <c r="DI1981" s="1"/>
      <c r="DJ1981" s="1"/>
      <c r="DK1981" s="1"/>
      <c r="ED1981" s="1"/>
      <c r="EK1981" s="1"/>
      <c r="EL1981" s="1"/>
      <c r="EM1981" s="1"/>
      <c r="EN1981" s="1"/>
      <c r="EQ1981" s="1"/>
      <c r="ER1981" s="1"/>
      <c r="ES1981" s="1"/>
      <c r="EV1981" s="1"/>
      <c r="EW1981" s="1"/>
      <c r="EZ1981" s="1"/>
      <c r="HY1981" s="1"/>
      <c r="IE1981" s="1"/>
      <c r="IR1981" s="1"/>
      <c r="IS1981" s="1"/>
      <c r="IZ1981" s="1"/>
      <c r="JH1981" s="1"/>
      <c r="JJ1981" s="1"/>
      <c r="JP1981" s="1"/>
      <c r="JQ1981" s="1"/>
      <c r="JU1981" s="1"/>
      <c r="LW1981" s="1"/>
      <c r="LZ1981" s="1"/>
      <c r="MA1981" s="1"/>
    </row>
    <row r="1982" spans="4:339" ht="13" x14ac:dyDescent="0.15">
      <c r="D1982" s="12"/>
      <c r="E1982" s="12"/>
      <c r="I1982" s="12"/>
      <c r="J1982" s="13"/>
      <c r="BF1982" s="1"/>
      <c r="BG1982" s="1"/>
      <c r="BH1982" s="1"/>
      <c r="BI1982" s="1"/>
      <c r="BK1982" s="1"/>
      <c r="BL1982" s="1"/>
      <c r="BM1982" s="1"/>
      <c r="BN1982" s="1"/>
      <c r="BO1982" s="1"/>
      <c r="BP1982" s="1"/>
      <c r="CD1982" s="1"/>
      <c r="CE1982" s="1"/>
      <c r="CF1982" s="1"/>
      <c r="CG1982" s="1"/>
      <c r="CM1982" s="2"/>
      <c r="CP1982" s="1"/>
      <c r="CQ1982" s="1"/>
      <c r="CX1982" s="1"/>
      <c r="CY1982" s="1"/>
      <c r="CZ1982" s="1"/>
      <c r="DA1982" s="1"/>
      <c r="DB1982" s="1"/>
      <c r="DC1982" s="1"/>
      <c r="DD1982" s="1"/>
      <c r="DE1982" s="1"/>
      <c r="DF1982" s="1"/>
      <c r="DG1982" s="1"/>
      <c r="DH1982" s="1"/>
      <c r="DI1982" s="1"/>
      <c r="DJ1982" s="1"/>
      <c r="DK1982" s="1"/>
      <c r="ED1982" s="1"/>
      <c r="EK1982" s="1"/>
      <c r="EL1982" s="1"/>
      <c r="EM1982" s="1"/>
      <c r="EN1982" s="1"/>
      <c r="EQ1982" s="1"/>
      <c r="ER1982" s="1"/>
      <c r="ES1982" s="1"/>
      <c r="EV1982" s="1"/>
      <c r="EW1982" s="1"/>
      <c r="EZ1982" s="1"/>
      <c r="HY1982" s="1"/>
      <c r="IE1982" s="1"/>
      <c r="IR1982" s="1"/>
      <c r="IS1982" s="1"/>
      <c r="IZ1982" s="1"/>
      <c r="JH1982" s="1"/>
      <c r="JJ1982" s="1"/>
      <c r="JP1982" s="1"/>
      <c r="JQ1982" s="1"/>
      <c r="JU1982" s="1"/>
      <c r="LW1982" s="1"/>
      <c r="LZ1982" s="1"/>
      <c r="MA1982" s="1"/>
    </row>
    <row r="1983" spans="4:339" ht="13" x14ac:dyDescent="0.15">
      <c r="D1983" s="12"/>
      <c r="E1983" s="12"/>
      <c r="I1983" s="12"/>
      <c r="J1983" s="13"/>
      <c r="BF1983" s="1"/>
      <c r="BG1983" s="1"/>
      <c r="BH1983" s="1"/>
      <c r="BI1983" s="1"/>
      <c r="BK1983" s="1"/>
      <c r="BL1983" s="1"/>
      <c r="BM1983" s="1"/>
      <c r="BN1983" s="1"/>
      <c r="BP1983" s="1"/>
      <c r="CD1983" s="1"/>
      <c r="CE1983" s="1"/>
      <c r="CF1983" s="1"/>
      <c r="CG1983" s="1"/>
      <c r="CM1983" s="2"/>
      <c r="CP1983" s="1"/>
      <c r="CQ1983" s="1"/>
      <c r="CX1983" s="1"/>
      <c r="CY1983" s="1"/>
      <c r="CZ1983" s="1"/>
      <c r="DA1983" s="1"/>
      <c r="DB1983" s="1"/>
      <c r="DC1983" s="1"/>
      <c r="DD1983" s="1"/>
      <c r="DE1983" s="1"/>
      <c r="DF1983" s="1"/>
      <c r="DG1983" s="1"/>
      <c r="DH1983" s="1"/>
      <c r="DI1983" s="1"/>
      <c r="DJ1983" s="1"/>
      <c r="DK1983" s="1"/>
      <c r="ED1983" s="1"/>
      <c r="EK1983" s="1"/>
      <c r="EL1983" s="1"/>
      <c r="EM1983" s="1"/>
      <c r="EN1983" s="1"/>
      <c r="EQ1983" s="1"/>
      <c r="ER1983" s="1"/>
      <c r="ES1983" s="1"/>
      <c r="EV1983" s="1"/>
      <c r="EW1983" s="1"/>
      <c r="EZ1983" s="1"/>
      <c r="HY1983" s="1"/>
      <c r="IE1983" s="1"/>
      <c r="IR1983" s="1"/>
      <c r="IS1983" s="1"/>
      <c r="IZ1983" s="1"/>
      <c r="JF1983" s="1"/>
      <c r="JG1983" s="1"/>
      <c r="JH1983" s="1"/>
      <c r="JJ1983" s="1"/>
      <c r="JN1983" s="1"/>
      <c r="JP1983" s="1"/>
      <c r="JQ1983" s="1"/>
      <c r="JU1983" s="1"/>
      <c r="KZ1983" s="1"/>
      <c r="LZ1983" s="1"/>
      <c r="MA1983" s="1"/>
    </row>
    <row r="1984" spans="4:339" ht="13" x14ac:dyDescent="0.15">
      <c r="D1984" s="12"/>
      <c r="E1984" s="12"/>
      <c r="I1984" s="12"/>
      <c r="J1984" s="13"/>
      <c r="BF1984" s="1"/>
      <c r="BG1984" s="1"/>
      <c r="BH1984" s="1"/>
      <c r="BI1984" s="1"/>
      <c r="BK1984" s="1"/>
      <c r="BL1984" s="1"/>
      <c r="BM1984" s="1"/>
      <c r="BN1984" s="1"/>
      <c r="BO1984" s="1"/>
      <c r="BP1984" s="1"/>
      <c r="CD1984" s="1"/>
      <c r="CE1984" s="1"/>
      <c r="CF1984" s="1"/>
      <c r="CM1984" s="2"/>
      <c r="CP1984" s="1"/>
      <c r="CQ1984" s="1"/>
      <c r="CX1984" s="1"/>
      <c r="CY1984" s="1"/>
      <c r="CZ1984" s="1"/>
      <c r="DA1984" s="1"/>
      <c r="DB1984" s="1"/>
      <c r="DC1984" s="1"/>
      <c r="DD1984" s="1"/>
      <c r="DE1984" s="1"/>
      <c r="DF1984" s="1"/>
      <c r="DG1984" s="1"/>
      <c r="DH1984" s="1"/>
      <c r="DI1984" s="1"/>
      <c r="DJ1984" s="1"/>
      <c r="DK1984" s="1"/>
      <c r="ED1984" s="1"/>
      <c r="EK1984" s="1"/>
      <c r="EL1984" s="1"/>
      <c r="EM1984" s="1"/>
      <c r="EN1984" s="1"/>
      <c r="EQ1984" s="1"/>
      <c r="ER1984" s="1"/>
      <c r="ES1984" s="1"/>
      <c r="EV1984" s="1"/>
      <c r="EW1984" s="1"/>
      <c r="EZ1984" s="1"/>
      <c r="HY1984" s="1"/>
      <c r="IE1984" s="1"/>
      <c r="IS1984" s="1"/>
      <c r="IY1984" s="1"/>
      <c r="IZ1984" s="1"/>
      <c r="JJ1984" s="1"/>
      <c r="JP1984" s="1"/>
      <c r="JQ1984" s="1"/>
      <c r="KZ1984" s="1"/>
      <c r="LZ1984" s="1"/>
      <c r="MA1984" s="1"/>
    </row>
    <row r="1985" spans="4:339" ht="13" x14ac:dyDescent="0.15">
      <c r="D1985" s="12"/>
      <c r="E1985" s="12"/>
      <c r="I1985" s="12"/>
      <c r="J1985" s="13"/>
      <c r="BG1985" s="1"/>
      <c r="BH1985" s="1"/>
      <c r="BI1985" s="1"/>
      <c r="BK1985" s="1"/>
      <c r="BL1985" s="1"/>
      <c r="BM1985" s="1"/>
      <c r="BN1985" s="1"/>
      <c r="BO1985" s="1"/>
      <c r="BP1985" s="1"/>
      <c r="CD1985" s="1"/>
      <c r="CG1985" s="1"/>
      <c r="CM1985" s="2"/>
      <c r="CP1985" s="1"/>
      <c r="CQ1985" s="1"/>
      <c r="CR1985" s="1"/>
      <c r="CS1985" s="1"/>
      <c r="CT1985" s="1"/>
      <c r="CU1985" s="1"/>
      <c r="CV1985" s="1"/>
      <c r="CW1985" s="1"/>
      <c r="CX1985" s="1"/>
      <c r="CY1985" s="1"/>
      <c r="CZ1985" s="1"/>
      <c r="DA1985" s="1"/>
      <c r="DB1985" s="1"/>
      <c r="DC1985" s="1"/>
      <c r="DD1985" s="1"/>
      <c r="DE1985" s="1"/>
      <c r="DF1985" s="1"/>
      <c r="DG1985" s="1"/>
      <c r="DH1985" s="1"/>
      <c r="DI1985" s="1"/>
      <c r="DJ1985" s="1"/>
      <c r="DK1985" s="1"/>
      <c r="ED1985" s="1"/>
      <c r="EK1985" s="1"/>
      <c r="EL1985" s="1"/>
      <c r="EM1985" s="1"/>
      <c r="EN1985" s="1"/>
      <c r="EQ1985" s="1"/>
      <c r="ER1985" s="1"/>
      <c r="ES1985" s="1"/>
      <c r="EV1985" s="1"/>
      <c r="EW1985" s="1"/>
      <c r="EZ1985" s="1"/>
      <c r="GO1985" s="1"/>
      <c r="HY1985" s="1"/>
      <c r="IE1985" s="1"/>
      <c r="IR1985" s="1"/>
      <c r="IS1985" s="1"/>
      <c r="IY1985" s="1"/>
      <c r="IZ1985" s="1"/>
      <c r="JH1985" s="1"/>
      <c r="JJ1985" s="1"/>
      <c r="JN1985" s="1"/>
      <c r="JP1985" s="1"/>
      <c r="JQ1985" s="1"/>
      <c r="LZ1985" s="1"/>
      <c r="MA1985" s="1"/>
    </row>
    <row r="1986" spans="4:339" ht="13" x14ac:dyDescent="0.15">
      <c r="D1986" s="12"/>
      <c r="E1986" s="12"/>
      <c r="I1986" s="12"/>
      <c r="J1986" s="13"/>
      <c r="BF1986" s="1"/>
      <c r="BG1986" s="1"/>
      <c r="BH1986" s="1"/>
      <c r="BI1986" s="1"/>
      <c r="BJ1986" s="1"/>
      <c r="BK1986" s="1"/>
      <c r="BL1986" s="1"/>
      <c r="BM1986" s="1"/>
      <c r="BN1986" s="1"/>
      <c r="BO1986" s="1"/>
      <c r="CD1986" s="1"/>
      <c r="CM1986" s="2"/>
      <c r="ED1986" s="1"/>
      <c r="EL1986" s="1"/>
      <c r="EM1986" s="1"/>
      <c r="EN1986" s="1"/>
      <c r="EQ1986" s="1"/>
      <c r="ER1986" s="1"/>
      <c r="ES1986" s="1"/>
      <c r="EV1986" s="1"/>
      <c r="EW1986" s="1"/>
      <c r="EZ1986" s="1"/>
      <c r="GO1986" s="1"/>
      <c r="IR1986" s="1"/>
      <c r="IS1986" s="1"/>
      <c r="IZ1986" s="1"/>
      <c r="JJ1986" s="1"/>
      <c r="JP1986" s="1"/>
      <c r="JQ1986" s="1"/>
      <c r="LZ1986" s="1"/>
      <c r="MA1986" s="1"/>
    </row>
    <row r="1987" spans="4:339" ht="13" x14ac:dyDescent="0.15">
      <c r="D1987" s="12"/>
      <c r="E1987" s="12"/>
      <c r="I1987" s="12"/>
      <c r="J1987" s="13"/>
      <c r="BF1987" s="1"/>
      <c r="BG1987" s="1"/>
      <c r="BH1987" s="1"/>
      <c r="BI1987" s="1"/>
      <c r="BJ1987" s="1"/>
      <c r="BK1987" s="1"/>
      <c r="BL1987" s="1"/>
      <c r="BM1987" s="1"/>
      <c r="BN1987" s="1"/>
      <c r="BO1987" s="1"/>
      <c r="BP1987" s="1"/>
      <c r="CD1987" s="1"/>
      <c r="CE1987" s="1"/>
      <c r="CF1987" s="1"/>
      <c r="CG1987" s="1"/>
      <c r="CM1987" s="2"/>
      <c r="CP1987" s="1"/>
      <c r="CQ1987" s="1"/>
      <c r="CR1987" s="1"/>
      <c r="CS1987" s="1"/>
      <c r="CT1987" s="1"/>
      <c r="CU1987" s="1"/>
      <c r="CV1987" s="1"/>
      <c r="CW1987" s="1"/>
      <c r="CX1987" s="1"/>
      <c r="CY1987" s="1"/>
      <c r="CZ1987" s="1"/>
      <c r="DA1987" s="1"/>
      <c r="DB1987" s="1"/>
      <c r="DC1987" s="1"/>
      <c r="DD1987" s="1"/>
      <c r="DE1987" s="1"/>
      <c r="DF1987" s="1"/>
      <c r="DG1987" s="1"/>
      <c r="DH1987" s="1"/>
      <c r="DI1987" s="1"/>
      <c r="DJ1987" s="1"/>
      <c r="DK1987" s="1"/>
      <c r="ED1987" s="1"/>
      <c r="EE1987" s="1"/>
      <c r="EF1987" s="1"/>
      <c r="EG1987" s="1"/>
      <c r="EH1987" s="1"/>
      <c r="EK1987" s="1"/>
      <c r="EL1987" s="1"/>
      <c r="EM1987" s="1"/>
      <c r="EN1987" s="1"/>
      <c r="EQ1987" s="1"/>
      <c r="ER1987" s="1"/>
      <c r="ES1987" s="1"/>
      <c r="EV1987" s="1"/>
      <c r="EW1987" s="1"/>
      <c r="EY1987" s="1"/>
      <c r="EZ1987" s="1"/>
      <c r="GO1987" s="1"/>
      <c r="HY1987" s="1"/>
      <c r="IE1987" s="1"/>
      <c r="IF1987" s="1"/>
      <c r="IG1987" s="1"/>
      <c r="IJ1987" s="1"/>
      <c r="IR1987" s="1"/>
      <c r="IS1987" s="1"/>
      <c r="IY1987" s="1"/>
      <c r="IZ1987" s="1"/>
      <c r="JF1987" s="1"/>
      <c r="JG1987" s="1"/>
      <c r="JH1987" s="1"/>
      <c r="JJ1987" s="1"/>
      <c r="JK1987" s="1"/>
      <c r="JL1987" s="3"/>
      <c r="JM1987" s="1"/>
      <c r="JN1987" s="1"/>
      <c r="JP1987" s="1"/>
      <c r="JQ1987" s="1"/>
      <c r="JR1987" s="1"/>
      <c r="KZ1987" s="1"/>
      <c r="LZ1987" s="1"/>
      <c r="MA1987" s="1"/>
    </row>
    <row r="1988" spans="4:339" ht="13" x14ac:dyDescent="0.15">
      <c r="D1988" s="12"/>
      <c r="E1988" s="12"/>
      <c r="I1988" s="12"/>
      <c r="J1988" s="13"/>
      <c r="BF1988" s="1"/>
      <c r="BG1988" s="1"/>
      <c r="BH1988" s="1"/>
      <c r="BI1988" s="1"/>
      <c r="BJ1988" s="1"/>
      <c r="BK1988" s="1"/>
      <c r="BL1988" s="1"/>
      <c r="BM1988" s="1"/>
      <c r="BN1988" s="1"/>
      <c r="BO1988" s="1"/>
      <c r="BP1988" s="1"/>
      <c r="CD1988" s="1"/>
      <c r="CE1988" s="1"/>
      <c r="CF1988" s="1"/>
      <c r="CG1988" s="1"/>
      <c r="CM1988" s="2"/>
      <c r="CP1988" s="1"/>
      <c r="CQ1988" s="1"/>
      <c r="CR1988" s="1"/>
      <c r="CS1988" s="1"/>
      <c r="CT1988" s="1"/>
      <c r="CU1988" s="1"/>
      <c r="CV1988" s="1"/>
      <c r="CW1988" s="1"/>
      <c r="CX1988" s="1"/>
      <c r="CY1988" s="1"/>
      <c r="CZ1988" s="1"/>
      <c r="DA1988" s="1"/>
      <c r="DB1988" s="1"/>
      <c r="DC1988" s="1"/>
      <c r="DD1988" s="1"/>
      <c r="DE1988" s="1"/>
      <c r="DF1988" s="1"/>
      <c r="DG1988" s="1"/>
      <c r="DH1988" s="1"/>
      <c r="DI1988" s="1"/>
      <c r="DJ1988" s="1"/>
      <c r="DK1988" s="1"/>
      <c r="ED1988" s="1"/>
      <c r="EE1988" s="1"/>
      <c r="EF1988" s="1"/>
      <c r="EG1988" s="1"/>
      <c r="EH1988" s="1"/>
      <c r="EK1988" s="1"/>
      <c r="EL1988" s="1"/>
      <c r="EM1988" s="1"/>
      <c r="EN1988" s="1"/>
      <c r="EQ1988" s="1"/>
      <c r="ER1988" s="1"/>
      <c r="ES1988" s="1"/>
      <c r="EV1988" s="1"/>
      <c r="EW1988" s="1"/>
      <c r="EY1988" s="1"/>
      <c r="EZ1988" s="1"/>
      <c r="GO1988" s="1"/>
      <c r="HY1988" s="1"/>
      <c r="IE1988" s="1"/>
      <c r="IF1988" s="1"/>
      <c r="IG1988" s="1"/>
      <c r="IJ1988" s="1"/>
      <c r="IR1988" s="1"/>
      <c r="IS1988" s="1"/>
      <c r="IY1988" s="1"/>
      <c r="IZ1988" s="1"/>
      <c r="JF1988" s="1"/>
      <c r="JG1988" s="1"/>
      <c r="JH1988" s="1"/>
      <c r="JJ1988" s="1"/>
      <c r="JK1988" s="1"/>
      <c r="JL1988" s="3"/>
      <c r="JM1988" s="1"/>
      <c r="JN1988" s="1"/>
      <c r="JP1988" s="1"/>
      <c r="JQ1988" s="1"/>
      <c r="JR1988" s="1"/>
      <c r="KZ1988" s="1"/>
      <c r="LZ1988" s="1"/>
      <c r="MA1988" s="1"/>
    </row>
    <row r="1989" spans="4:339" ht="13" x14ac:dyDescent="0.15">
      <c r="D1989" s="12"/>
      <c r="E1989" s="12"/>
      <c r="I1989" s="12"/>
      <c r="J1989" s="13"/>
      <c r="BF1989" s="1"/>
      <c r="BG1989" s="1"/>
      <c r="BH1989" s="1"/>
      <c r="BI1989" s="1"/>
      <c r="BJ1989" s="1"/>
      <c r="BK1989" s="1"/>
      <c r="BL1989" s="1"/>
      <c r="BM1989" s="1"/>
      <c r="BN1989" s="1"/>
      <c r="BO1989" s="1"/>
      <c r="BP1989" s="1"/>
      <c r="CD1989" s="1"/>
      <c r="CE1989" s="1"/>
      <c r="CF1989" s="1"/>
      <c r="CG1989" s="1"/>
      <c r="CM1989" s="2"/>
      <c r="CP1989" s="1"/>
      <c r="CQ1989" s="1"/>
      <c r="CR1989" s="1"/>
      <c r="CS1989" s="1"/>
      <c r="CT1989" s="1"/>
      <c r="CU1989" s="1"/>
      <c r="CV1989" s="1"/>
      <c r="CW1989" s="1"/>
      <c r="CX1989" s="1"/>
      <c r="CY1989" s="1"/>
      <c r="CZ1989" s="1"/>
      <c r="DA1989" s="1"/>
      <c r="DB1989" s="1"/>
      <c r="DC1989" s="1"/>
      <c r="DD1989" s="1"/>
      <c r="DE1989" s="1"/>
      <c r="DF1989" s="1"/>
      <c r="DG1989" s="1"/>
      <c r="DH1989" s="1"/>
      <c r="DI1989" s="1"/>
      <c r="DJ1989" s="1"/>
      <c r="DK1989" s="1"/>
      <c r="ED1989" s="1"/>
      <c r="EE1989" s="1"/>
      <c r="EF1989" s="1"/>
      <c r="EG1989" s="1"/>
      <c r="EH1989" s="1"/>
      <c r="EK1989" s="1"/>
      <c r="EL1989" s="1"/>
      <c r="EM1989" s="1"/>
      <c r="EN1989" s="1"/>
      <c r="EQ1989" s="1"/>
      <c r="ER1989" s="1"/>
      <c r="ES1989" s="1"/>
      <c r="EV1989" s="1"/>
      <c r="EW1989" s="1"/>
      <c r="EY1989" s="1"/>
      <c r="EZ1989" s="1"/>
      <c r="GO1989" s="1"/>
      <c r="HY1989" s="1"/>
      <c r="IE1989" s="1"/>
      <c r="IF1989" s="1"/>
      <c r="IG1989" s="1"/>
      <c r="IJ1989" s="1"/>
      <c r="IR1989" s="1"/>
      <c r="IS1989" s="1"/>
      <c r="IY1989" s="1"/>
      <c r="IZ1989" s="1"/>
      <c r="JF1989" s="1"/>
      <c r="JG1989" s="1"/>
      <c r="JH1989" s="1"/>
      <c r="JJ1989" s="1"/>
      <c r="JK1989" s="1"/>
      <c r="JL1989" s="3"/>
      <c r="JM1989" s="1"/>
      <c r="JN1989" s="1"/>
      <c r="JP1989" s="1"/>
      <c r="JQ1989" s="1"/>
      <c r="JR1989" s="1"/>
      <c r="KZ1989" s="1"/>
      <c r="LZ1989" s="1"/>
      <c r="MA1989" s="1"/>
    </row>
    <row r="1990" spans="4:339" ht="13" x14ac:dyDescent="0.15">
      <c r="D1990" s="12"/>
      <c r="E1990" s="12"/>
      <c r="I1990" s="12"/>
      <c r="J1990" s="13"/>
      <c r="BF1990" s="1"/>
      <c r="BG1990" s="1"/>
      <c r="BH1990" s="1"/>
      <c r="BI1990" s="1"/>
      <c r="BJ1990" s="1"/>
      <c r="BK1990" s="1"/>
      <c r="BL1990" s="1"/>
      <c r="BM1990" s="1"/>
      <c r="BN1990" s="1"/>
      <c r="BO1990" s="1"/>
      <c r="BP1990" s="1"/>
      <c r="CD1990" s="1"/>
      <c r="CE1990" s="1"/>
      <c r="CF1990" s="1"/>
      <c r="CG1990" s="1"/>
      <c r="CM1990" s="2"/>
      <c r="CP1990" s="1"/>
      <c r="CQ1990" s="1"/>
      <c r="CR1990" s="1"/>
      <c r="CS1990" s="1"/>
      <c r="CT1990" s="1"/>
      <c r="CU1990" s="1"/>
      <c r="CV1990" s="1"/>
      <c r="CW1990" s="1"/>
      <c r="CX1990" s="1"/>
      <c r="CY1990" s="1"/>
      <c r="CZ1990" s="1"/>
      <c r="DA1990" s="1"/>
      <c r="DB1990" s="1"/>
      <c r="DC1990" s="1"/>
      <c r="DD1990" s="1"/>
      <c r="DE1990" s="1"/>
      <c r="DF1990" s="1"/>
      <c r="DG1990" s="1"/>
      <c r="DH1990" s="1"/>
      <c r="DI1990" s="1"/>
      <c r="DJ1990" s="1"/>
      <c r="DK1990" s="1"/>
      <c r="ED1990" s="1"/>
      <c r="EE1990" s="1"/>
      <c r="EF1990" s="1"/>
      <c r="EG1990" s="1"/>
      <c r="EH1990" s="1"/>
      <c r="EK1990" s="1"/>
      <c r="EL1990" s="1"/>
      <c r="EM1990" s="1"/>
      <c r="EN1990" s="1"/>
      <c r="EQ1990" s="1"/>
      <c r="ER1990" s="1"/>
      <c r="ES1990" s="1"/>
      <c r="EV1990" s="1"/>
      <c r="EW1990" s="1"/>
      <c r="EY1990" s="1"/>
      <c r="EZ1990" s="1"/>
      <c r="GO1990" s="1"/>
      <c r="HY1990" s="1"/>
      <c r="IE1990" s="1"/>
      <c r="IF1990" s="1"/>
      <c r="IG1990" s="1"/>
      <c r="IJ1990" s="1"/>
      <c r="IR1990" s="1"/>
      <c r="IS1990" s="1"/>
      <c r="IY1990" s="1"/>
      <c r="IZ1990" s="1"/>
      <c r="JF1990" s="1"/>
      <c r="JG1990" s="1"/>
      <c r="JH1990" s="1"/>
      <c r="JJ1990" s="1"/>
      <c r="JK1990" s="1"/>
      <c r="JL1990" s="3"/>
      <c r="JM1990" s="1"/>
      <c r="JN1990" s="1"/>
      <c r="JP1990" s="1"/>
      <c r="JQ1990" s="1"/>
      <c r="JR1990" s="1"/>
      <c r="KZ1990" s="1"/>
      <c r="LZ1990" s="1"/>
      <c r="MA1990" s="1"/>
    </row>
    <row r="1991" spans="4:339" ht="13" x14ac:dyDescent="0.15">
      <c r="D1991" s="12"/>
      <c r="E1991" s="12"/>
      <c r="I1991" s="12"/>
      <c r="J1991" s="13"/>
      <c r="BF1991" s="1"/>
      <c r="BG1991" s="1"/>
      <c r="BH1991" s="1"/>
      <c r="BI1991" s="1"/>
      <c r="BJ1991" s="1"/>
      <c r="BK1991" s="1"/>
      <c r="BL1991" s="1"/>
      <c r="BM1991" s="1"/>
      <c r="BN1991" s="1"/>
      <c r="BO1991" s="1"/>
      <c r="BP1991" s="1"/>
      <c r="CD1991" s="1"/>
      <c r="CE1991" s="1"/>
      <c r="CF1991" s="1"/>
      <c r="CG1991" s="1"/>
      <c r="CM1991" s="2"/>
      <c r="CP1991" s="1"/>
      <c r="CQ1991" s="1"/>
      <c r="CR1991" s="1"/>
      <c r="CS1991" s="1"/>
      <c r="CT1991" s="1"/>
      <c r="CU1991" s="1"/>
      <c r="CV1991" s="1"/>
      <c r="CW1991" s="1"/>
      <c r="CX1991" s="1"/>
      <c r="CY1991" s="1"/>
      <c r="CZ1991" s="1"/>
      <c r="DA1991" s="1"/>
      <c r="DB1991" s="1"/>
      <c r="DC1991" s="1"/>
      <c r="DD1991" s="1"/>
      <c r="DE1991" s="1"/>
      <c r="DF1991" s="1"/>
      <c r="DG1991" s="1"/>
      <c r="DH1991" s="1"/>
      <c r="DI1991" s="1"/>
      <c r="DJ1991" s="1"/>
      <c r="DK1991" s="1"/>
      <c r="ED1991" s="1"/>
      <c r="EE1991" s="1"/>
      <c r="EF1991" s="1"/>
      <c r="EG1991" s="1"/>
      <c r="EH1991" s="1"/>
      <c r="EK1991" s="1"/>
      <c r="EL1991" s="1"/>
      <c r="EM1991" s="1"/>
      <c r="EN1991" s="1"/>
      <c r="EQ1991" s="1"/>
      <c r="ER1991" s="1"/>
      <c r="ES1991" s="1"/>
      <c r="EV1991" s="1"/>
      <c r="EW1991" s="1"/>
      <c r="EY1991" s="1"/>
      <c r="EZ1991" s="1"/>
      <c r="GO1991" s="1"/>
      <c r="HY1991" s="1"/>
      <c r="IE1991" s="1"/>
      <c r="IF1991" s="1"/>
      <c r="IG1991" s="1"/>
      <c r="IJ1991" s="1"/>
      <c r="IR1991" s="1"/>
      <c r="IS1991" s="1"/>
      <c r="IY1991" s="1"/>
      <c r="IZ1991" s="1"/>
      <c r="JF1991" s="1"/>
      <c r="JG1991" s="1"/>
      <c r="JH1991" s="1"/>
      <c r="JJ1991" s="1"/>
      <c r="JK1991" s="1"/>
      <c r="JL1991" s="3"/>
      <c r="JM1991" s="1"/>
      <c r="JN1991" s="1"/>
      <c r="JP1991" s="1"/>
      <c r="JQ1991" s="1"/>
      <c r="JR1991" s="1"/>
      <c r="KZ1991" s="1"/>
      <c r="LZ1991" s="1"/>
      <c r="MA1991" s="1"/>
    </row>
    <row r="1992" spans="4:339" ht="13" x14ac:dyDescent="0.15">
      <c r="D1992" s="12"/>
      <c r="E1992" s="12"/>
      <c r="I1992" s="12"/>
      <c r="J1992" s="13"/>
      <c r="BF1992" s="1"/>
      <c r="BG1992" s="1"/>
      <c r="BH1992" s="1"/>
      <c r="BI1992" s="1"/>
      <c r="BJ1992" s="1"/>
      <c r="BK1992" s="1"/>
      <c r="BL1992" s="1"/>
      <c r="BM1992" s="1"/>
      <c r="BN1992" s="1"/>
      <c r="BO1992" s="1"/>
      <c r="BP1992" s="1"/>
      <c r="CD1992" s="1"/>
      <c r="CE1992" s="1"/>
      <c r="CF1992" s="1"/>
      <c r="CG1992" s="1"/>
      <c r="CM1992" s="2"/>
      <c r="CP1992" s="1"/>
      <c r="CQ1992" s="1"/>
      <c r="CR1992" s="1"/>
      <c r="CS1992" s="1"/>
      <c r="CT1992" s="1"/>
      <c r="CU1992" s="1"/>
      <c r="CV1992" s="1"/>
      <c r="CW1992" s="1"/>
      <c r="CX1992" s="1"/>
      <c r="CY1992" s="1"/>
      <c r="CZ1992" s="1"/>
      <c r="DA1992" s="1"/>
      <c r="DB1992" s="1"/>
      <c r="DC1992" s="1"/>
      <c r="DD1992" s="1"/>
      <c r="DE1992" s="1"/>
      <c r="DF1992" s="1"/>
      <c r="DG1992" s="1"/>
      <c r="DH1992" s="1"/>
      <c r="DI1992" s="1"/>
      <c r="DJ1992" s="1"/>
      <c r="DK1992" s="1"/>
      <c r="ED1992" s="1"/>
      <c r="EE1992" s="1"/>
      <c r="EF1992" s="1"/>
      <c r="EG1992" s="1"/>
      <c r="EH1992" s="1"/>
      <c r="EK1992" s="1"/>
      <c r="EL1992" s="1"/>
      <c r="EM1992" s="1"/>
      <c r="EN1992" s="1"/>
      <c r="EQ1992" s="1"/>
      <c r="ER1992" s="1"/>
      <c r="ES1992" s="1"/>
      <c r="EV1992" s="1"/>
      <c r="EW1992" s="1"/>
      <c r="EY1992" s="1"/>
      <c r="EZ1992" s="1"/>
      <c r="GO1992" s="1"/>
      <c r="HY1992" s="1"/>
      <c r="IE1992" s="1"/>
      <c r="IF1992" s="1"/>
      <c r="IG1992" s="1"/>
      <c r="IJ1992" s="1"/>
      <c r="IR1992" s="1"/>
      <c r="IS1992" s="1"/>
      <c r="IY1992" s="1"/>
      <c r="IZ1992" s="1"/>
      <c r="JF1992" s="1"/>
      <c r="JG1992" s="1"/>
      <c r="JH1992" s="1"/>
      <c r="JJ1992" s="1"/>
      <c r="JK1992" s="1"/>
      <c r="JL1992" s="3"/>
      <c r="JM1992" s="1"/>
      <c r="JN1992" s="1"/>
      <c r="JP1992" s="1"/>
      <c r="JQ1992" s="1"/>
      <c r="JR1992" s="1"/>
      <c r="KZ1992" s="1"/>
      <c r="LZ1992" s="1"/>
      <c r="MA1992" s="1"/>
    </row>
    <row r="1993" spans="4:339" ht="13" x14ac:dyDescent="0.15">
      <c r="D1993" s="12"/>
      <c r="E1993" s="12"/>
      <c r="I1993" s="12"/>
      <c r="J1993" s="13"/>
      <c r="BF1993" s="1"/>
      <c r="BG1993" s="1"/>
      <c r="BH1993" s="1"/>
      <c r="BI1993" s="1"/>
      <c r="BJ1993" s="1"/>
      <c r="BK1993" s="1"/>
      <c r="BL1993" s="1"/>
      <c r="BM1993" s="1"/>
      <c r="BN1993" s="1"/>
      <c r="BO1993" s="1"/>
      <c r="BP1993" s="1"/>
      <c r="CD1993" s="1"/>
      <c r="CE1993" s="1"/>
      <c r="CF1993" s="1"/>
      <c r="CG1993" s="1"/>
      <c r="CM1993" s="2"/>
      <c r="CP1993" s="1"/>
      <c r="CQ1993" s="1"/>
      <c r="CR1993" s="1"/>
      <c r="CS1993" s="1"/>
      <c r="CT1993" s="1"/>
      <c r="CU1993" s="1"/>
      <c r="CV1993" s="1"/>
      <c r="CW1993" s="1"/>
      <c r="CX1993" s="1"/>
      <c r="CY1993" s="1"/>
      <c r="CZ1993" s="1"/>
      <c r="DA1993" s="1"/>
      <c r="DB1993" s="1"/>
      <c r="DC1993" s="1"/>
      <c r="DD1993" s="1"/>
      <c r="DE1993" s="1"/>
      <c r="DF1993" s="1"/>
      <c r="DG1993" s="1"/>
      <c r="DH1993" s="1"/>
      <c r="DI1993" s="1"/>
      <c r="DJ1993" s="1"/>
      <c r="DK1993" s="1"/>
      <c r="ED1993" s="1"/>
      <c r="EE1993" s="1"/>
      <c r="EF1993" s="1"/>
      <c r="EG1993" s="1"/>
      <c r="EH1993" s="1"/>
      <c r="EK1993" s="1"/>
      <c r="EL1993" s="1"/>
      <c r="EM1993" s="1"/>
      <c r="EN1993" s="1"/>
      <c r="EQ1993" s="1"/>
      <c r="ER1993" s="1"/>
      <c r="ES1993" s="1"/>
      <c r="EV1993" s="1"/>
      <c r="EW1993" s="1"/>
      <c r="EY1993" s="1"/>
      <c r="EZ1993" s="1"/>
      <c r="GO1993" s="1"/>
      <c r="HY1993" s="1"/>
      <c r="IE1993" s="1"/>
      <c r="IF1993" s="1"/>
      <c r="IG1993" s="1"/>
      <c r="IJ1993" s="1"/>
      <c r="IR1993" s="1"/>
      <c r="IS1993" s="1"/>
      <c r="IY1993" s="1"/>
      <c r="IZ1993" s="1"/>
      <c r="JF1993" s="1"/>
      <c r="JG1993" s="1"/>
      <c r="JH1993" s="1"/>
      <c r="JJ1993" s="1"/>
      <c r="JK1993" s="1"/>
      <c r="JL1993" s="3"/>
      <c r="JM1993" s="1"/>
      <c r="JN1993" s="1"/>
      <c r="JP1993" s="1"/>
      <c r="JQ1993" s="1"/>
      <c r="JR1993" s="1"/>
      <c r="KZ1993" s="1"/>
      <c r="LZ1993" s="1"/>
      <c r="MA1993" s="1"/>
    </row>
    <row r="1994" spans="4:339" ht="13" x14ac:dyDescent="0.15">
      <c r="D1994" s="12"/>
      <c r="E1994" s="12"/>
      <c r="I1994" s="12"/>
      <c r="J1994" s="13"/>
      <c r="BF1994" s="1"/>
      <c r="BG1994" s="1"/>
      <c r="BH1994" s="1"/>
      <c r="BI1994" s="1"/>
      <c r="BJ1994" s="1"/>
      <c r="BK1994" s="1"/>
      <c r="BL1994" s="1"/>
      <c r="BM1994" s="1"/>
      <c r="BN1994" s="1"/>
      <c r="BO1994" s="1"/>
      <c r="BP1994" s="1"/>
      <c r="CD1994" s="1"/>
      <c r="CE1994" s="1"/>
      <c r="CF1994" s="1"/>
      <c r="CG1994" s="1"/>
      <c r="CM1994" s="2"/>
      <c r="CP1994" s="1"/>
      <c r="CQ1994" s="1"/>
      <c r="CR1994" s="1"/>
      <c r="CS1994" s="1"/>
      <c r="CT1994" s="1"/>
      <c r="CU1994" s="1"/>
      <c r="CV1994" s="1"/>
      <c r="CW1994" s="1"/>
      <c r="CX1994" s="1"/>
      <c r="CY1994" s="1"/>
      <c r="CZ1994" s="1"/>
      <c r="DA1994" s="1"/>
      <c r="DB1994" s="1"/>
      <c r="DC1994" s="1"/>
      <c r="DD1994" s="1"/>
      <c r="DE1994" s="1"/>
      <c r="DF1994" s="1"/>
      <c r="DG1994" s="1"/>
      <c r="DH1994" s="1"/>
      <c r="DI1994" s="1"/>
      <c r="DJ1994" s="1"/>
      <c r="DK1994" s="1"/>
      <c r="ED1994" s="1"/>
      <c r="EE1994" s="1"/>
      <c r="EF1994" s="1"/>
      <c r="EG1994" s="1"/>
      <c r="EH1994" s="1"/>
      <c r="EK1994" s="1"/>
      <c r="EL1994" s="1"/>
      <c r="EM1994" s="1"/>
      <c r="EN1994" s="1"/>
      <c r="EQ1994" s="1"/>
      <c r="ER1994" s="1"/>
      <c r="ES1994" s="1"/>
      <c r="EV1994" s="1"/>
      <c r="EW1994" s="1"/>
      <c r="EY1994" s="1"/>
      <c r="EZ1994" s="1"/>
      <c r="GO1994" s="1"/>
      <c r="HY1994" s="1"/>
      <c r="IE1994" s="1"/>
      <c r="IF1994" s="1"/>
      <c r="IG1994" s="1"/>
      <c r="IJ1994" s="1"/>
      <c r="IR1994" s="1"/>
      <c r="IS1994" s="1"/>
      <c r="IY1994" s="1"/>
      <c r="IZ1994" s="1"/>
      <c r="JF1994" s="1"/>
      <c r="JG1994" s="1"/>
      <c r="JH1994" s="1"/>
      <c r="JJ1994" s="1"/>
      <c r="JK1994" s="1"/>
      <c r="JL1994" s="3"/>
      <c r="JM1994" s="1"/>
      <c r="JN1994" s="1"/>
      <c r="JP1994" s="1"/>
      <c r="JQ1994" s="1"/>
      <c r="JR1994" s="1"/>
      <c r="KZ1994" s="1"/>
      <c r="LZ1994" s="1"/>
      <c r="MA1994" s="1"/>
    </row>
    <row r="1995" spans="4:339" ht="13" x14ac:dyDescent="0.15">
      <c r="D1995" s="12"/>
      <c r="E1995" s="12"/>
      <c r="I1995" s="12"/>
      <c r="J1995" s="13"/>
      <c r="BG1995" s="1"/>
      <c r="BH1995" s="1"/>
      <c r="BI1995" s="1"/>
      <c r="BK1995" s="1"/>
      <c r="BL1995" s="1"/>
      <c r="BM1995" s="1"/>
      <c r="BN1995" s="1"/>
      <c r="CD1995" s="1"/>
      <c r="CE1995" s="1"/>
      <c r="CF1995" s="1"/>
      <c r="CM1995" s="2"/>
      <c r="ED1995" s="1"/>
      <c r="EL1995" s="1"/>
      <c r="EM1995" s="1"/>
      <c r="EN1995" s="1"/>
      <c r="EQ1995" s="1"/>
      <c r="ER1995" s="1"/>
      <c r="ES1995" s="1"/>
      <c r="EV1995" s="1"/>
      <c r="EW1995" s="1"/>
      <c r="EZ1995" s="1"/>
      <c r="HY1995" s="1"/>
      <c r="IS1995" s="1"/>
      <c r="IZ1995" s="1"/>
      <c r="JJ1995" s="1"/>
      <c r="JP1995" s="1"/>
      <c r="JQ1995" s="1"/>
    </row>
    <row r="1996" spans="4:339" ht="13" x14ac:dyDescent="0.15">
      <c r="D1996" s="12"/>
      <c r="E1996" s="12"/>
      <c r="I1996" s="12"/>
      <c r="J1996" s="13"/>
      <c r="BG1996" s="1"/>
      <c r="BH1996" s="1"/>
      <c r="BI1996" s="1"/>
      <c r="BJ1996" s="1"/>
      <c r="BK1996" s="1"/>
      <c r="BL1996" s="1"/>
      <c r="BM1996" s="1"/>
      <c r="BN1996" s="1"/>
      <c r="BO1996" s="1"/>
      <c r="CD1996" s="1"/>
      <c r="CM1996" s="2"/>
      <c r="ED1996" s="1"/>
      <c r="EL1996" s="1"/>
      <c r="EM1996" s="1"/>
      <c r="EN1996" s="1"/>
      <c r="EQ1996" s="1"/>
      <c r="ER1996" s="1"/>
      <c r="ES1996" s="1"/>
      <c r="EV1996" s="1"/>
      <c r="EW1996" s="1"/>
      <c r="EZ1996" s="1"/>
      <c r="IS1996" s="1"/>
      <c r="IZ1996" s="1"/>
      <c r="JJ1996" s="1"/>
      <c r="JP1996" s="1"/>
      <c r="JQ1996" s="1"/>
    </row>
    <row r="1997" spans="4:339" ht="13" x14ac:dyDescent="0.15">
      <c r="D1997" s="12"/>
      <c r="E1997" s="12"/>
      <c r="I1997" s="12"/>
      <c r="J1997" s="13"/>
      <c r="BG1997" s="1"/>
      <c r="BH1997" s="1"/>
      <c r="BI1997" s="1"/>
      <c r="BJ1997" s="1"/>
      <c r="BK1997" s="1"/>
      <c r="BL1997" s="1"/>
      <c r="BM1997" s="1"/>
      <c r="BN1997" s="1"/>
      <c r="BO1997" s="1"/>
      <c r="CD1997" s="1"/>
      <c r="CM1997" s="2"/>
      <c r="ED1997" s="1"/>
      <c r="EL1997" s="1"/>
      <c r="EM1997" s="1"/>
      <c r="EN1997" s="1"/>
      <c r="EQ1997" s="1"/>
      <c r="ER1997" s="1"/>
      <c r="ES1997" s="1"/>
      <c r="EV1997" s="1"/>
      <c r="EW1997" s="1"/>
      <c r="EZ1997" s="1"/>
      <c r="IS1997" s="1"/>
      <c r="IZ1997" s="1"/>
      <c r="JJ1997" s="1"/>
      <c r="JP1997" s="1"/>
      <c r="JQ1997" s="1"/>
    </row>
    <row r="1998" spans="4:339" ht="13" x14ac:dyDescent="0.15">
      <c r="D1998" s="12"/>
      <c r="E1998" s="12"/>
      <c r="I1998" s="12"/>
      <c r="J1998" s="13"/>
      <c r="BG1998" s="1"/>
      <c r="BH1998" s="1"/>
      <c r="BI1998" s="1"/>
      <c r="BJ1998" s="1"/>
      <c r="BK1998" s="1"/>
      <c r="BL1998" s="1"/>
      <c r="BM1998" s="1"/>
      <c r="BN1998" s="1"/>
      <c r="BO1998" s="1"/>
      <c r="CD1998" s="1"/>
      <c r="CM1998" s="2"/>
      <c r="ED1998" s="1"/>
      <c r="EL1998" s="1"/>
      <c r="EM1998" s="1"/>
      <c r="EN1998" s="1"/>
      <c r="EQ1998" s="1"/>
      <c r="ER1998" s="1"/>
      <c r="ES1998" s="1"/>
      <c r="EV1998" s="1"/>
      <c r="EW1998" s="1"/>
      <c r="EZ1998" s="1"/>
      <c r="IS1998" s="1"/>
      <c r="IZ1998" s="1"/>
      <c r="JJ1998" s="1"/>
      <c r="JP1998" s="1"/>
      <c r="JQ1998" s="1"/>
    </row>
    <row r="1999" spans="4:339" ht="13" x14ac:dyDescent="0.15">
      <c r="D1999" s="12"/>
      <c r="E1999" s="12"/>
      <c r="I1999" s="12"/>
      <c r="J1999" s="13"/>
      <c r="BG1999" s="1"/>
      <c r="BH1999" s="1"/>
      <c r="BI1999" s="1"/>
      <c r="BJ1999" s="1"/>
      <c r="BK1999" s="1"/>
      <c r="BL1999" s="1"/>
      <c r="BM1999" s="1"/>
      <c r="BN1999" s="1"/>
      <c r="BO1999" s="1"/>
      <c r="CD1999" s="1"/>
      <c r="CM1999" s="2"/>
      <c r="ED1999" s="1"/>
      <c r="EL1999" s="1"/>
      <c r="EM1999" s="1"/>
      <c r="EN1999" s="1"/>
      <c r="EQ1999" s="1"/>
      <c r="ER1999" s="1"/>
      <c r="ES1999" s="1"/>
      <c r="EV1999" s="1"/>
      <c r="EW1999" s="1"/>
      <c r="EZ1999" s="1"/>
      <c r="IS1999" s="1"/>
      <c r="IZ1999" s="1"/>
      <c r="JJ1999" s="1"/>
      <c r="JP1999" s="1"/>
      <c r="JQ1999" s="1"/>
    </row>
    <row r="2000" spans="4:339" ht="13" x14ac:dyDescent="0.15">
      <c r="D2000" s="12"/>
      <c r="E2000" s="12"/>
      <c r="I2000" s="12"/>
      <c r="J2000" s="13"/>
      <c r="BG2000" s="1"/>
      <c r="BH2000" s="1"/>
      <c r="BI2000" s="1"/>
      <c r="BK2000" s="1"/>
      <c r="BL2000" s="1"/>
      <c r="BM2000" s="1"/>
      <c r="BN2000" s="1"/>
      <c r="BP2000" s="1"/>
      <c r="CD2000" s="1"/>
      <c r="CM2000" s="4"/>
      <c r="CP2000" s="1"/>
      <c r="CQ2000" s="1"/>
      <c r="CS2000" s="1"/>
      <c r="CV2000" s="1"/>
      <c r="CW2000" s="1"/>
      <c r="CX2000" s="1"/>
      <c r="CY2000" s="1"/>
      <c r="CZ2000" s="1"/>
      <c r="DA2000" s="1"/>
      <c r="DB2000" s="1"/>
      <c r="DC2000" s="1"/>
      <c r="DD2000" s="1"/>
      <c r="DE2000" s="1"/>
      <c r="DF2000" s="1"/>
      <c r="DG2000" s="1"/>
      <c r="DH2000" s="1"/>
      <c r="DI2000" s="1"/>
      <c r="DJ2000" s="1"/>
      <c r="DK2000" s="1"/>
      <c r="ED2000" s="1"/>
      <c r="EK2000" s="1"/>
      <c r="EL2000" s="1"/>
      <c r="EM2000" s="1"/>
      <c r="EN2000" s="1"/>
      <c r="EQ2000" s="1"/>
      <c r="ER2000" s="1"/>
      <c r="ES2000" s="1"/>
      <c r="EV2000" s="1"/>
      <c r="EW2000" s="1"/>
      <c r="EZ2000" s="1"/>
      <c r="GO2000" s="1"/>
      <c r="HY2000" s="1"/>
      <c r="IE2000" s="1"/>
      <c r="IS2000" s="1"/>
      <c r="IZ2000" s="1"/>
      <c r="JJ2000" s="1"/>
      <c r="JP2000" s="1"/>
      <c r="JQ2000" s="1"/>
      <c r="LZ2000" s="1"/>
      <c r="MA2000" s="1"/>
    </row>
    <row r="2001" spans="4:339" ht="13" x14ac:dyDescent="0.15">
      <c r="D2001" s="12"/>
      <c r="E2001" s="12"/>
      <c r="I2001" s="12"/>
      <c r="J2001" s="13"/>
      <c r="BF2001" s="1"/>
      <c r="BG2001" s="1"/>
      <c r="BH2001" s="1"/>
      <c r="BI2001" s="1"/>
      <c r="BK2001" s="1"/>
      <c r="BL2001" s="1"/>
      <c r="BM2001" s="1"/>
      <c r="BN2001" s="1"/>
      <c r="BO2001" s="1"/>
      <c r="CC2001" s="1"/>
      <c r="CD2001" s="1"/>
      <c r="CM2001" s="2"/>
      <c r="ED2001" s="1"/>
      <c r="EL2001" s="1"/>
      <c r="EM2001" s="1"/>
      <c r="EN2001" s="1"/>
      <c r="EQ2001" s="1"/>
      <c r="ER2001" s="1"/>
      <c r="ES2001" s="1"/>
      <c r="EV2001" s="1"/>
      <c r="EW2001" s="1"/>
      <c r="EZ2001" s="1"/>
      <c r="HY2001" s="1"/>
      <c r="IS2001" s="1"/>
      <c r="IZ2001" s="1"/>
      <c r="JJ2001" s="1"/>
      <c r="JP2001" s="1"/>
      <c r="JQ2001" s="1"/>
    </row>
    <row r="2002" spans="4:339" ht="13" x14ac:dyDescent="0.15">
      <c r="D2002" s="12"/>
      <c r="E2002" s="12"/>
      <c r="I2002" s="12"/>
      <c r="J2002" s="13"/>
      <c r="BG2002" s="1"/>
      <c r="BH2002" s="1"/>
      <c r="BI2002" s="1"/>
      <c r="BK2002" s="1"/>
      <c r="BL2002" s="1"/>
      <c r="BM2002" s="1"/>
      <c r="BN2002" s="1"/>
      <c r="BO2002" s="1"/>
      <c r="CD2002" s="1"/>
      <c r="CE2002" s="1"/>
      <c r="CF2002" s="1"/>
      <c r="CM2002" s="2"/>
      <c r="ED2002" s="1"/>
      <c r="EL2002" s="1"/>
      <c r="EM2002" s="1"/>
      <c r="EN2002" s="1"/>
      <c r="EQ2002" s="1"/>
      <c r="ER2002" s="1"/>
      <c r="ES2002" s="1"/>
      <c r="EV2002" s="1"/>
      <c r="EW2002" s="1"/>
      <c r="EZ2002" s="1"/>
      <c r="GO2002" s="1"/>
      <c r="GP2002" s="1"/>
      <c r="HY2002" s="1"/>
      <c r="IS2002" s="1"/>
      <c r="IZ2002" s="1"/>
      <c r="JH2002" s="1"/>
      <c r="JJ2002" s="1"/>
      <c r="JP2002" s="1"/>
      <c r="JQ2002" s="1"/>
      <c r="JU2002" s="1"/>
      <c r="LZ2002" s="1"/>
    </row>
    <row r="2003" spans="4:339" ht="13" x14ac:dyDescent="0.15">
      <c r="D2003" s="12"/>
      <c r="E2003" s="12"/>
      <c r="I2003" s="12"/>
      <c r="J2003" s="13"/>
      <c r="BF2003" s="1"/>
      <c r="BG2003" s="1"/>
      <c r="BH2003" s="1"/>
      <c r="BI2003" s="1"/>
      <c r="BK2003" s="1"/>
      <c r="BL2003" s="1"/>
      <c r="BM2003" s="1"/>
      <c r="BN2003" s="1"/>
      <c r="BO2003" s="1"/>
      <c r="BP2003" s="1"/>
      <c r="CD2003" s="1"/>
      <c r="CE2003" s="1"/>
      <c r="CF2003" s="1"/>
      <c r="CG2003" s="1"/>
      <c r="CM2003" s="2"/>
      <c r="CP2003" s="1"/>
      <c r="CQ2003" s="1"/>
      <c r="CS2003" s="1"/>
      <c r="CT2003" s="1"/>
      <c r="CU2003" s="1"/>
      <c r="CV2003" s="1"/>
      <c r="CW2003" s="1"/>
      <c r="CX2003" s="1"/>
      <c r="CY2003" s="1"/>
      <c r="CZ2003" s="1"/>
      <c r="DA2003" s="1"/>
      <c r="DB2003" s="1"/>
      <c r="DC2003" s="1"/>
      <c r="DD2003" s="1"/>
      <c r="DE2003" s="1"/>
      <c r="DF2003" s="1"/>
      <c r="DG2003" s="1"/>
      <c r="DH2003" s="1"/>
      <c r="DI2003" s="1"/>
      <c r="DJ2003" s="1"/>
      <c r="DK2003" s="1"/>
      <c r="ED2003" s="1"/>
      <c r="EK2003" s="1"/>
      <c r="EL2003" s="1"/>
      <c r="EM2003" s="1"/>
      <c r="EN2003" s="1"/>
      <c r="EQ2003" s="1"/>
      <c r="ER2003" s="1"/>
      <c r="ES2003" s="1"/>
      <c r="EV2003" s="1"/>
      <c r="EW2003" s="1"/>
      <c r="EZ2003" s="1"/>
      <c r="GP2003" s="1"/>
      <c r="HY2003" s="1"/>
      <c r="IE2003" s="1"/>
      <c r="IR2003" s="1"/>
      <c r="IS2003" s="1"/>
      <c r="IZ2003" s="1"/>
      <c r="JF2003" s="1"/>
      <c r="JG2003" s="1"/>
      <c r="JH2003" s="1"/>
      <c r="JJ2003" s="1"/>
      <c r="JN2003" s="1"/>
      <c r="JP2003" s="1"/>
      <c r="JQ2003" s="1"/>
      <c r="LZ2003" s="1"/>
      <c r="MA2003" s="1"/>
    </row>
    <row r="2004" spans="4:339" ht="13" x14ac:dyDescent="0.15">
      <c r="D2004" s="12"/>
      <c r="E2004" s="12"/>
      <c r="I2004" s="12"/>
      <c r="J2004" s="13"/>
      <c r="BG2004" s="1"/>
      <c r="BH2004" s="1"/>
      <c r="BI2004" s="1"/>
      <c r="BK2004" s="1"/>
      <c r="BL2004" s="1"/>
      <c r="BM2004" s="1"/>
      <c r="BN2004" s="1"/>
      <c r="BO2004" s="1"/>
      <c r="BP2004" s="1"/>
      <c r="CC2004" s="1"/>
      <c r="CD2004" s="1"/>
      <c r="CE2004" s="1"/>
      <c r="CF2004" s="1"/>
      <c r="CG2004" s="1"/>
      <c r="CM2004" s="4"/>
      <c r="CP2004" s="1"/>
      <c r="CQ2004" s="1"/>
      <c r="CS2004" s="1"/>
      <c r="CV2004" s="1"/>
      <c r="CW2004" s="1"/>
      <c r="CX2004" s="1"/>
      <c r="CY2004" s="1"/>
      <c r="CZ2004" s="1"/>
      <c r="DA2004" s="1"/>
      <c r="DB2004" s="1"/>
      <c r="DC2004" s="1"/>
      <c r="DD2004" s="1"/>
      <c r="DE2004" s="1"/>
      <c r="DF2004" s="1"/>
      <c r="DG2004" s="1"/>
      <c r="DH2004" s="1"/>
      <c r="DI2004" s="1"/>
      <c r="DJ2004" s="1"/>
      <c r="DK2004" s="1"/>
      <c r="ED2004" s="1"/>
      <c r="EK2004" s="1"/>
      <c r="EL2004" s="1"/>
      <c r="EM2004" s="1"/>
      <c r="EN2004" s="1"/>
      <c r="EQ2004" s="1"/>
      <c r="ER2004" s="1"/>
      <c r="ES2004" s="1"/>
      <c r="EV2004" s="1"/>
      <c r="EW2004" s="1"/>
      <c r="EZ2004" s="1"/>
      <c r="HY2004" s="1"/>
      <c r="IE2004" s="1"/>
      <c r="IS2004" s="1"/>
      <c r="IY2004" s="1"/>
      <c r="IZ2004" s="1"/>
      <c r="JH2004" s="1"/>
      <c r="JJ2004" s="1"/>
      <c r="JP2004" s="1"/>
      <c r="JQ2004" s="1"/>
      <c r="LZ2004" s="1"/>
      <c r="MA2004" s="1"/>
    </row>
    <row r="2005" spans="4:339" ht="13" x14ac:dyDescent="0.15">
      <c r="D2005" s="12"/>
      <c r="E2005" s="12"/>
      <c r="I2005" s="12"/>
      <c r="J2005" s="13"/>
      <c r="BG2005" s="1"/>
      <c r="BH2005" s="1"/>
      <c r="BI2005" s="1"/>
      <c r="BK2005" s="1"/>
      <c r="BL2005" s="1"/>
      <c r="BM2005" s="1"/>
      <c r="BN2005" s="1"/>
      <c r="BO2005" s="1"/>
      <c r="CD2005" s="1"/>
      <c r="CM2005" s="2"/>
      <c r="ED2005" s="1"/>
      <c r="EL2005" s="1"/>
      <c r="EM2005" s="1"/>
      <c r="EN2005" s="1"/>
      <c r="EQ2005" s="1"/>
      <c r="ER2005" s="1"/>
      <c r="ES2005" s="1"/>
      <c r="EV2005" s="1"/>
      <c r="EW2005" s="1"/>
      <c r="EZ2005" s="1"/>
      <c r="HY2005" s="1"/>
      <c r="IS2005" s="1"/>
      <c r="IZ2005" s="1"/>
      <c r="JJ2005" s="1"/>
      <c r="JP2005" s="1"/>
      <c r="JQ2005" s="1"/>
    </row>
    <row r="2006" spans="4:339" ht="13" x14ac:dyDescent="0.15">
      <c r="D2006" s="12"/>
      <c r="E2006" s="12"/>
      <c r="I2006" s="12"/>
      <c r="J2006" s="13"/>
      <c r="BG2006" s="1"/>
      <c r="BH2006" s="1"/>
      <c r="BM2006" s="1"/>
      <c r="BN2006" s="1"/>
      <c r="CD2006" s="1"/>
      <c r="CM2006" s="4"/>
      <c r="ED2006" s="1"/>
      <c r="EL2006" s="1"/>
      <c r="EM2006" s="1"/>
      <c r="EN2006" s="1"/>
      <c r="EQ2006" s="1"/>
      <c r="ER2006" s="1"/>
      <c r="ES2006" s="1"/>
      <c r="EV2006" s="1"/>
      <c r="EW2006" s="1"/>
      <c r="EZ2006" s="1"/>
      <c r="IS2006" s="1"/>
      <c r="IZ2006" s="1"/>
      <c r="JJ2006" s="1"/>
      <c r="JP2006" s="1"/>
      <c r="JQ2006" s="1"/>
    </row>
    <row r="2007" spans="4:339" ht="13" x14ac:dyDescent="0.15">
      <c r="D2007" s="12"/>
      <c r="E2007" s="12"/>
      <c r="I2007" s="12"/>
      <c r="J2007" s="13"/>
      <c r="BG2007" s="1"/>
      <c r="BH2007" s="1"/>
      <c r="BM2007" s="1"/>
      <c r="BN2007" s="1"/>
      <c r="CD2007" s="1"/>
      <c r="CM2007" s="4"/>
      <c r="ED2007" s="1"/>
      <c r="EL2007" s="1"/>
      <c r="EM2007" s="1"/>
      <c r="EN2007" s="1"/>
      <c r="EQ2007" s="1"/>
      <c r="ER2007" s="1"/>
      <c r="ES2007" s="1"/>
      <c r="EV2007" s="1"/>
      <c r="EW2007" s="1"/>
      <c r="EZ2007" s="1"/>
      <c r="IS2007" s="1"/>
      <c r="IZ2007" s="1"/>
      <c r="JJ2007" s="1"/>
      <c r="JP2007" s="1"/>
      <c r="JQ2007" s="1"/>
    </row>
    <row r="2008" spans="4:339" ht="13" x14ac:dyDescent="0.15">
      <c r="D2008" s="12"/>
      <c r="E2008" s="12"/>
      <c r="I2008" s="12"/>
      <c r="J2008" s="13"/>
      <c r="BG2008" s="1"/>
      <c r="BH2008" s="1"/>
      <c r="BM2008" s="1"/>
      <c r="BN2008" s="1"/>
      <c r="CD2008" s="1"/>
      <c r="CM2008" s="4"/>
      <c r="ED2008" s="1"/>
      <c r="EL2008" s="1"/>
      <c r="EM2008" s="1"/>
      <c r="EN2008" s="1"/>
      <c r="EQ2008" s="1"/>
      <c r="ER2008" s="1"/>
      <c r="ES2008" s="1"/>
      <c r="EV2008" s="1"/>
      <c r="EW2008" s="1"/>
      <c r="EZ2008" s="1"/>
      <c r="IS2008" s="1"/>
      <c r="IZ2008" s="1"/>
      <c r="JJ2008" s="1"/>
      <c r="JP2008" s="1"/>
      <c r="JQ2008" s="1"/>
    </row>
    <row r="2009" spans="4:339" ht="13" x14ac:dyDescent="0.15">
      <c r="D2009" s="12"/>
      <c r="E2009" s="12"/>
      <c r="I2009" s="12"/>
      <c r="J2009" s="13"/>
      <c r="BG2009" s="1"/>
      <c r="BH2009" s="1"/>
      <c r="BM2009" s="1"/>
      <c r="BN2009" s="1"/>
      <c r="CD2009" s="1"/>
      <c r="CM2009" s="4"/>
      <c r="ED2009" s="1"/>
      <c r="EL2009" s="1"/>
      <c r="EM2009" s="1"/>
      <c r="EN2009" s="1"/>
      <c r="EQ2009" s="1"/>
      <c r="ER2009" s="1"/>
      <c r="ES2009" s="1"/>
      <c r="EV2009" s="1"/>
      <c r="EW2009" s="1"/>
      <c r="EZ2009" s="1"/>
      <c r="IS2009" s="1"/>
      <c r="IZ2009" s="1"/>
      <c r="JJ2009" s="1"/>
      <c r="JP2009" s="1"/>
      <c r="JQ2009" s="1"/>
    </row>
    <row r="2010" spans="4:339" ht="13" x14ac:dyDescent="0.15">
      <c r="D2010" s="12"/>
      <c r="E2010" s="12"/>
      <c r="I2010" s="12"/>
      <c r="J2010" s="13"/>
      <c r="BG2010" s="1"/>
      <c r="BH2010" s="1"/>
      <c r="BM2010" s="1"/>
      <c r="BN2010" s="1"/>
      <c r="CD2010" s="1"/>
      <c r="CM2010" s="4"/>
      <c r="ED2010" s="1"/>
      <c r="EL2010" s="1"/>
      <c r="EM2010" s="1"/>
      <c r="EN2010" s="1"/>
      <c r="EQ2010" s="1"/>
      <c r="ER2010" s="1"/>
      <c r="ES2010" s="1"/>
      <c r="EV2010" s="1"/>
      <c r="EW2010" s="1"/>
      <c r="EZ2010" s="1"/>
      <c r="IS2010" s="1"/>
      <c r="IZ2010" s="1"/>
      <c r="JJ2010" s="1"/>
      <c r="JP2010" s="1"/>
      <c r="JQ2010" s="1"/>
    </row>
    <row r="2011" spans="4:339" ht="13" x14ac:dyDescent="0.15">
      <c r="D2011" s="12"/>
      <c r="E2011" s="12"/>
      <c r="I2011" s="12"/>
      <c r="J2011" s="13"/>
      <c r="BG2011" s="1"/>
      <c r="BH2011" s="1"/>
      <c r="BM2011" s="1"/>
      <c r="BN2011" s="1"/>
      <c r="CD2011" s="1"/>
      <c r="CM2011" s="4"/>
      <c r="ED2011" s="1"/>
      <c r="EL2011" s="1"/>
      <c r="EM2011" s="1"/>
      <c r="EN2011" s="1"/>
      <c r="EQ2011" s="1"/>
      <c r="ER2011" s="1"/>
      <c r="ES2011" s="1"/>
      <c r="EV2011" s="1"/>
      <c r="EW2011" s="1"/>
      <c r="EZ2011" s="1"/>
      <c r="IS2011" s="1"/>
      <c r="IZ2011" s="1"/>
      <c r="JJ2011" s="1"/>
      <c r="JP2011" s="1"/>
      <c r="JQ2011" s="1"/>
    </row>
    <row r="2012" spans="4:339" ht="13" x14ac:dyDescent="0.15">
      <c r="D2012" s="12"/>
      <c r="E2012" s="12"/>
      <c r="I2012" s="12"/>
      <c r="J2012" s="13"/>
      <c r="BG2012" s="1"/>
      <c r="BH2012" s="1"/>
      <c r="BM2012" s="1"/>
      <c r="BN2012" s="1"/>
      <c r="CD2012" s="1"/>
      <c r="CM2012" s="4"/>
      <c r="ED2012" s="1"/>
      <c r="EL2012" s="1"/>
      <c r="EM2012" s="1"/>
      <c r="EN2012" s="1"/>
      <c r="EQ2012" s="1"/>
      <c r="ER2012" s="1"/>
      <c r="ES2012" s="1"/>
      <c r="EV2012" s="1"/>
      <c r="EW2012" s="1"/>
      <c r="EZ2012" s="1"/>
      <c r="IS2012" s="1"/>
      <c r="IZ2012" s="1"/>
      <c r="JJ2012" s="1"/>
      <c r="JP2012" s="1"/>
      <c r="JQ2012" s="1"/>
    </row>
    <row r="2013" spans="4:339" ht="13" x14ac:dyDescent="0.15">
      <c r="D2013" s="12"/>
      <c r="E2013" s="12"/>
      <c r="I2013" s="12"/>
      <c r="J2013" s="13"/>
      <c r="BG2013" s="1"/>
      <c r="BH2013" s="1"/>
      <c r="BM2013" s="1"/>
      <c r="BN2013" s="1"/>
      <c r="CD2013" s="1"/>
      <c r="CM2013" s="4"/>
      <c r="ED2013" s="1"/>
      <c r="EL2013" s="1"/>
      <c r="EM2013" s="1"/>
      <c r="EN2013" s="1"/>
      <c r="EQ2013" s="1"/>
      <c r="ER2013" s="1"/>
      <c r="ES2013" s="1"/>
      <c r="EV2013" s="1"/>
      <c r="EW2013" s="1"/>
      <c r="EZ2013" s="1"/>
      <c r="IS2013" s="1"/>
      <c r="IZ2013" s="1"/>
      <c r="JJ2013" s="1"/>
      <c r="JP2013" s="1"/>
      <c r="JQ2013" s="1"/>
    </row>
    <row r="2014" spans="4:339" ht="13" x14ac:dyDescent="0.15">
      <c r="D2014" s="12"/>
      <c r="E2014" s="12"/>
      <c r="I2014" s="12"/>
      <c r="J2014" s="13"/>
      <c r="BG2014" s="1"/>
      <c r="BH2014" s="1"/>
      <c r="BM2014" s="1"/>
      <c r="BN2014" s="1"/>
      <c r="CD2014" s="1"/>
      <c r="CM2014" s="4"/>
      <c r="ED2014" s="1"/>
      <c r="EL2014" s="1"/>
      <c r="EM2014" s="1"/>
      <c r="EN2014" s="1"/>
      <c r="EQ2014" s="1"/>
      <c r="ER2014" s="1"/>
      <c r="ES2014" s="1"/>
      <c r="EV2014" s="1"/>
      <c r="EW2014" s="1"/>
      <c r="EZ2014" s="1"/>
      <c r="IS2014" s="1"/>
      <c r="IZ2014" s="1"/>
      <c r="JJ2014" s="1"/>
      <c r="JP2014" s="1"/>
      <c r="JQ2014" s="1"/>
    </row>
    <row r="2015" spans="4:339" ht="13" x14ac:dyDescent="0.15">
      <c r="D2015" s="12"/>
      <c r="E2015" s="12"/>
      <c r="I2015" s="12"/>
      <c r="J2015" s="13"/>
      <c r="BF2015" s="1"/>
      <c r="BG2015" s="1"/>
      <c r="BH2015" s="1"/>
      <c r="BI2015" s="1"/>
      <c r="BK2015" s="1"/>
      <c r="BL2015" s="1"/>
      <c r="BM2015" s="1"/>
      <c r="BN2015" s="1"/>
      <c r="BO2015" s="1"/>
      <c r="BP2015" s="1"/>
      <c r="CD2015" s="1"/>
      <c r="CE2015" s="1"/>
      <c r="CF2015" s="1"/>
      <c r="CG2015" s="1"/>
      <c r="CM2015" s="2"/>
      <c r="CP2015" s="1"/>
      <c r="CQ2015" s="1"/>
      <c r="CR2015" s="1"/>
      <c r="CS2015" s="1"/>
      <c r="CT2015" s="1"/>
      <c r="CU2015" s="1"/>
      <c r="CV2015" s="1"/>
      <c r="CW2015" s="1"/>
      <c r="CX2015" s="1"/>
      <c r="CY2015" s="1"/>
      <c r="CZ2015" s="1"/>
      <c r="DA2015" s="1"/>
      <c r="DB2015" s="1"/>
      <c r="DC2015" s="1"/>
      <c r="DD2015" s="1"/>
      <c r="DE2015" s="1"/>
      <c r="DF2015" s="1"/>
      <c r="DG2015" s="1"/>
      <c r="DH2015" s="1"/>
      <c r="DI2015" s="1"/>
      <c r="DJ2015" s="1"/>
      <c r="DK2015" s="1"/>
      <c r="ED2015" s="1"/>
      <c r="EK2015" s="1"/>
      <c r="EL2015" s="1"/>
      <c r="EM2015" s="1"/>
      <c r="EN2015" s="1"/>
      <c r="EQ2015" s="1"/>
      <c r="ER2015" s="1"/>
      <c r="ES2015" s="1"/>
      <c r="EV2015" s="1"/>
      <c r="EW2015" s="1"/>
      <c r="EZ2015" s="1"/>
      <c r="HY2015" s="1"/>
      <c r="IE2015" s="1"/>
      <c r="IR2015" s="1"/>
      <c r="IS2015" s="1"/>
      <c r="IY2015" s="1"/>
      <c r="IZ2015" s="1"/>
      <c r="JF2015" s="1"/>
      <c r="JG2015" s="1"/>
      <c r="JH2015" s="1"/>
      <c r="JJ2015" s="1"/>
      <c r="JN2015" s="1"/>
      <c r="JP2015" s="1"/>
      <c r="JQ2015" s="1"/>
      <c r="LZ2015" s="1"/>
      <c r="MA2015" s="1"/>
    </row>
    <row r="2016" spans="4:339" ht="13" x14ac:dyDescent="0.15">
      <c r="D2016" s="12"/>
      <c r="E2016" s="12"/>
      <c r="I2016" s="12"/>
      <c r="J2016" s="13"/>
      <c r="BF2016" s="1"/>
      <c r="BG2016" s="1"/>
      <c r="BH2016" s="1"/>
      <c r="BI2016" s="1"/>
      <c r="BK2016" s="1"/>
      <c r="BL2016" s="1"/>
      <c r="BM2016" s="1"/>
      <c r="BN2016" s="1"/>
      <c r="BO2016" s="1"/>
      <c r="BP2016" s="1"/>
      <c r="CD2016" s="1"/>
      <c r="CE2016" s="1"/>
      <c r="CF2016" s="1"/>
      <c r="CG2016" s="1"/>
      <c r="CM2016" s="2"/>
      <c r="CP2016" s="1"/>
      <c r="CQ2016" s="1"/>
      <c r="CR2016" s="1"/>
      <c r="CS2016" s="1"/>
      <c r="CT2016" s="1"/>
      <c r="CU2016" s="1"/>
      <c r="CV2016" s="1"/>
      <c r="CW2016" s="1"/>
      <c r="CX2016" s="1"/>
      <c r="CY2016" s="1"/>
      <c r="CZ2016" s="1"/>
      <c r="DA2016" s="1"/>
      <c r="DB2016" s="1"/>
      <c r="DC2016" s="1"/>
      <c r="DD2016" s="1"/>
      <c r="DE2016" s="1"/>
      <c r="DF2016" s="1"/>
      <c r="DG2016" s="1"/>
      <c r="DH2016" s="1"/>
      <c r="DI2016" s="1"/>
      <c r="DJ2016" s="1"/>
      <c r="DK2016" s="1"/>
      <c r="ED2016" s="1"/>
      <c r="EK2016" s="1"/>
      <c r="EL2016" s="1"/>
      <c r="EM2016" s="1"/>
      <c r="EN2016" s="1"/>
      <c r="EQ2016" s="1"/>
      <c r="ER2016" s="1"/>
      <c r="ES2016" s="1"/>
      <c r="EV2016" s="1"/>
      <c r="EW2016" s="1"/>
      <c r="EZ2016" s="1"/>
      <c r="HY2016" s="1"/>
      <c r="IE2016" s="1"/>
      <c r="IR2016" s="1"/>
      <c r="IS2016" s="1"/>
      <c r="IY2016" s="1"/>
      <c r="IZ2016" s="1"/>
      <c r="JF2016" s="1"/>
      <c r="JG2016" s="1"/>
      <c r="JH2016" s="1"/>
      <c r="JJ2016" s="1"/>
      <c r="JN2016" s="1"/>
      <c r="JP2016" s="1"/>
      <c r="JQ2016" s="1"/>
      <c r="LZ2016" s="1"/>
      <c r="MA2016" s="1"/>
    </row>
    <row r="2017" spans="4:339" ht="13" x14ac:dyDescent="0.15">
      <c r="D2017" s="12"/>
      <c r="E2017" s="12"/>
      <c r="I2017" s="12"/>
      <c r="J2017" s="13"/>
      <c r="BF2017" s="1"/>
      <c r="BG2017" s="1"/>
      <c r="BH2017" s="1"/>
      <c r="BI2017" s="1"/>
      <c r="BK2017" s="1"/>
      <c r="BL2017" s="1"/>
      <c r="BM2017" s="1"/>
      <c r="BN2017" s="1"/>
      <c r="BO2017" s="1"/>
      <c r="BP2017" s="1"/>
      <c r="CD2017" s="1"/>
      <c r="CE2017" s="1"/>
      <c r="CF2017" s="1"/>
      <c r="CG2017" s="1"/>
      <c r="CM2017" s="2"/>
      <c r="CP2017" s="1"/>
      <c r="CQ2017" s="1"/>
      <c r="CR2017" s="1"/>
      <c r="CS2017" s="1"/>
      <c r="CT2017" s="1"/>
      <c r="CU2017" s="1"/>
      <c r="CV2017" s="1"/>
      <c r="CW2017" s="1"/>
      <c r="CX2017" s="1"/>
      <c r="CY2017" s="1"/>
      <c r="CZ2017" s="1"/>
      <c r="DA2017" s="1"/>
      <c r="DB2017" s="1"/>
      <c r="DC2017" s="1"/>
      <c r="DD2017" s="1"/>
      <c r="DE2017" s="1"/>
      <c r="DF2017" s="1"/>
      <c r="DG2017" s="1"/>
      <c r="DH2017" s="1"/>
      <c r="DI2017" s="1"/>
      <c r="DJ2017" s="1"/>
      <c r="DK2017" s="1"/>
      <c r="ED2017" s="1"/>
      <c r="EK2017" s="1"/>
      <c r="EL2017" s="1"/>
      <c r="EM2017" s="1"/>
      <c r="EN2017" s="1"/>
      <c r="EQ2017" s="1"/>
      <c r="ER2017" s="1"/>
      <c r="ES2017" s="1"/>
      <c r="EV2017" s="1"/>
      <c r="EW2017" s="1"/>
      <c r="EZ2017" s="1"/>
      <c r="HY2017" s="1"/>
      <c r="IE2017" s="1"/>
      <c r="IR2017" s="1"/>
      <c r="IS2017" s="1"/>
      <c r="IY2017" s="1"/>
      <c r="IZ2017" s="1"/>
      <c r="JF2017" s="1"/>
      <c r="JG2017" s="1"/>
      <c r="JH2017" s="1"/>
      <c r="JJ2017" s="1"/>
      <c r="JN2017" s="1"/>
      <c r="JP2017" s="1"/>
      <c r="JQ2017" s="1"/>
      <c r="LZ2017" s="1"/>
      <c r="MA2017" s="1"/>
    </row>
    <row r="2018" spans="4:339" ht="13" x14ac:dyDescent="0.15">
      <c r="D2018" s="12"/>
      <c r="E2018" s="12"/>
      <c r="I2018" s="12"/>
      <c r="J2018" s="13"/>
      <c r="BF2018" s="1"/>
      <c r="BG2018" s="1"/>
      <c r="BH2018" s="1"/>
      <c r="BI2018" s="1"/>
      <c r="BK2018" s="1"/>
      <c r="BL2018" s="1"/>
      <c r="BM2018" s="1"/>
      <c r="BN2018" s="1"/>
      <c r="BO2018" s="1"/>
      <c r="CD2018" s="1"/>
      <c r="CE2018" s="1"/>
      <c r="CF2018" s="1"/>
      <c r="CM2018" s="2"/>
      <c r="ED2018" s="1"/>
      <c r="EL2018" s="1"/>
      <c r="EM2018" s="1"/>
      <c r="EN2018" s="1"/>
      <c r="EQ2018" s="1"/>
      <c r="ER2018" s="1"/>
      <c r="ES2018" s="1"/>
      <c r="EV2018" s="1"/>
      <c r="EW2018" s="1"/>
      <c r="EZ2018" s="1"/>
      <c r="HY2018" s="1"/>
      <c r="IS2018" s="1"/>
      <c r="IZ2018" s="1"/>
      <c r="JJ2018" s="1"/>
      <c r="JN2018" s="1"/>
      <c r="JP2018" s="1"/>
      <c r="JQ2018" s="1"/>
    </row>
    <row r="2019" spans="4:339" ht="13" x14ac:dyDescent="0.15">
      <c r="D2019" s="12"/>
      <c r="E2019" s="12"/>
      <c r="I2019" s="12"/>
      <c r="J2019" s="13"/>
      <c r="BF2019" s="1"/>
      <c r="BG2019" s="1"/>
      <c r="BH2019" s="1"/>
      <c r="BI2019" s="1"/>
      <c r="BK2019" s="1"/>
      <c r="BL2019" s="1"/>
      <c r="BM2019" s="1"/>
      <c r="BN2019" s="1"/>
      <c r="BP2019" s="1"/>
      <c r="CD2019" s="1"/>
      <c r="CE2019" s="1"/>
      <c r="CF2019" s="1"/>
      <c r="CM2019" s="2"/>
      <c r="CP2019" s="1"/>
      <c r="CQ2019" s="1"/>
      <c r="CR2019" s="1"/>
      <c r="CS2019" s="1"/>
      <c r="CT2019" s="1"/>
      <c r="CU2019" s="1"/>
      <c r="CV2019" s="1"/>
      <c r="CW2019" s="1"/>
      <c r="CX2019" s="1"/>
      <c r="CY2019" s="1"/>
      <c r="CZ2019" s="1"/>
      <c r="DA2019" s="1"/>
      <c r="DB2019" s="1"/>
      <c r="DC2019" s="1"/>
      <c r="DD2019" s="1"/>
      <c r="DE2019" s="1"/>
      <c r="DF2019" s="1"/>
      <c r="DG2019" s="1"/>
      <c r="DH2019" s="1"/>
      <c r="DI2019" s="1"/>
      <c r="DJ2019" s="1"/>
      <c r="DK2019" s="1"/>
      <c r="ED2019" s="1"/>
      <c r="EK2019" s="1"/>
      <c r="EL2019" s="1"/>
      <c r="EM2019" s="1"/>
      <c r="EN2019" s="1"/>
      <c r="EQ2019" s="1"/>
      <c r="ER2019" s="1"/>
      <c r="ES2019" s="1"/>
      <c r="EV2019" s="1"/>
      <c r="EW2019" s="1"/>
      <c r="EZ2019" s="1"/>
      <c r="GO2019" s="1"/>
      <c r="GP2019" s="1"/>
      <c r="HY2019" s="1"/>
      <c r="IE2019" s="1"/>
      <c r="IS2019" s="1"/>
      <c r="IZ2019" s="1"/>
      <c r="JF2019" s="1"/>
      <c r="JJ2019" s="1"/>
      <c r="JP2019" s="1"/>
      <c r="JQ2019" s="1"/>
      <c r="LN2019" s="1"/>
      <c r="LZ2019" s="1"/>
      <c r="MA2019" s="1"/>
    </row>
    <row r="2020" spans="4:339" ht="13" x14ac:dyDescent="0.15">
      <c r="D2020" s="12"/>
      <c r="E2020" s="12"/>
      <c r="I2020" s="12"/>
      <c r="J2020" s="13"/>
      <c r="BF2020" s="1"/>
      <c r="BG2020" s="1"/>
      <c r="BH2020" s="1"/>
      <c r="BI2020" s="1"/>
      <c r="BK2020" s="1"/>
      <c r="BL2020" s="1"/>
      <c r="BM2020" s="1"/>
      <c r="BN2020" s="1"/>
      <c r="BO2020" s="1"/>
      <c r="BP2020" s="1"/>
      <c r="CD2020" s="1"/>
      <c r="CE2020" s="1"/>
      <c r="CF2020" s="1"/>
      <c r="CG2020" s="1"/>
      <c r="CM2020" s="2"/>
      <c r="CP2020" s="1"/>
      <c r="CQ2020" s="1"/>
      <c r="CR2020" s="1"/>
      <c r="CS2020" s="1"/>
      <c r="CT2020" s="1"/>
      <c r="CU2020" s="1"/>
      <c r="CV2020" s="1"/>
      <c r="CW2020" s="1"/>
      <c r="CX2020" s="1"/>
      <c r="CY2020" s="1"/>
      <c r="CZ2020" s="1"/>
      <c r="DA2020" s="1"/>
      <c r="DB2020" s="1"/>
      <c r="DC2020" s="1"/>
      <c r="DD2020" s="1"/>
      <c r="DE2020" s="1"/>
      <c r="DF2020" s="1"/>
      <c r="DG2020" s="1"/>
      <c r="DH2020" s="1"/>
      <c r="DI2020" s="1"/>
      <c r="DJ2020" s="1"/>
      <c r="DK2020" s="1"/>
      <c r="ED2020" s="1"/>
      <c r="EE2020" s="1"/>
      <c r="EF2020" s="1"/>
      <c r="EG2020" s="1"/>
      <c r="EH2020" s="1"/>
      <c r="EK2020" s="1"/>
      <c r="EL2020" s="1"/>
      <c r="EM2020" s="1"/>
      <c r="EN2020" s="1"/>
      <c r="EQ2020" s="1"/>
      <c r="ER2020" s="1"/>
      <c r="ES2020" s="1"/>
      <c r="EV2020" s="1"/>
      <c r="EW2020" s="1"/>
      <c r="EY2020" s="1"/>
      <c r="EZ2020" s="1"/>
      <c r="HY2020" s="1"/>
      <c r="IE2020" s="1"/>
      <c r="IG2020" s="1"/>
      <c r="IJ2020" s="1"/>
      <c r="IR2020" s="1"/>
      <c r="IS2020" s="1"/>
      <c r="IY2020" s="1"/>
      <c r="IZ2020" s="1"/>
      <c r="JG2020" s="1"/>
      <c r="JJ2020" s="1"/>
      <c r="JK2020" s="1"/>
      <c r="JL2020" s="3"/>
      <c r="JM2020" s="1"/>
      <c r="JN2020" s="1"/>
      <c r="JP2020" s="1"/>
      <c r="JQ2020" s="1"/>
      <c r="JR2020" s="1"/>
      <c r="LZ2020" s="1"/>
      <c r="MA2020" s="1"/>
    </row>
    <row r="2021" spans="4:339" ht="13" x14ac:dyDescent="0.15">
      <c r="D2021" s="12"/>
      <c r="E2021" s="12"/>
      <c r="I2021" s="12"/>
      <c r="J2021" s="13"/>
      <c r="BF2021" s="1"/>
      <c r="BG2021" s="1"/>
      <c r="BH2021" s="1"/>
      <c r="BI2021" s="1"/>
      <c r="BK2021" s="1"/>
      <c r="BL2021" s="1"/>
      <c r="BM2021" s="1"/>
      <c r="BN2021" s="1"/>
      <c r="BO2021" s="1"/>
      <c r="BP2021" s="1"/>
      <c r="CD2021" s="1"/>
      <c r="CE2021" s="1"/>
      <c r="CF2021" s="1"/>
      <c r="CG2021" s="1"/>
      <c r="CM2021" s="2"/>
      <c r="CP2021" s="1"/>
      <c r="CQ2021" s="1"/>
      <c r="CR2021" s="1"/>
      <c r="CS2021" s="1"/>
      <c r="CT2021" s="1"/>
      <c r="CU2021" s="1"/>
      <c r="CV2021" s="1"/>
      <c r="CW2021" s="1"/>
      <c r="CX2021" s="1"/>
      <c r="CY2021" s="1"/>
      <c r="CZ2021" s="1"/>
      <c r="DA2021" s="1"/>
      <c r="DB2021" s="1"/>
      <c r="DC2021" s="1"/>
      <c r="DD2021" s="1"/>
      <c r="DE2021" s="1"/>
      <c r="DF2021" s="1"/>
      <c r="DG2021" s="1"/>
      <c r="DH2021" s="1"/>
      <c r="DI2021" s="1"/>
      <c r="DJ2021" s="1"/>
      <c r="DK2021" s="1"/>
      <c r="ED2021" s="1"/>
      <c r="EE2021" s="1"/>
      <c r="EF2021" s="1"/>
      <c r="EG2021" s="1"/>
      <c r="EH2021" s="1"/>
      <c r="EK2021" s="1"/>
      <c r="EL2021" s="1"/>
      <c r="EM2021" s="1"/>
      <c r="EN2021" s="1"/>
      <c r="EQ2021" s="1"/>
      <c r="ER2021" s="1"/>
      <c r="ES2021" s="1"/>
      <c r="EV2021" s="1"/>
      <c r="EW2021" s="1"/>
      <c r="EY2021" s="1"/>
      <c r="EZ2021" s="1"/>
      <c r="HY2021" s="1"/>
      <c r="IE2021" s="1"/>
      <c r="IG2021" s="1"/>
      <c r="IJ2021" s="1"/>
      <c r="IR2021" s="1"/>
      <c r="IS2021" s="1"/>
      <c r="IY2021" s="1"/>
      <c r="IZ2021" s="1"/>
      <c r="JG2021" s="1"/>
      <c r="JJ2021" s="1"/>
      <c r="JK2021" s="1"/>
      <c r="JL2021" s="3"/>
      <c r="JM2021" s="1"/>
      <c r="JN2021" s="1"/>
      <c r="JP2021" s="1"/>
      <c r="JQ2021" s="1"/>
      <c r="JR2021" s="1"/>
      <c r="LZ2021" s="1"/>
      <c r="MA2021" s="1"/>
    </row>
    <row r="2022" spans="4:339" ht="13" x14ac:dyDescent="0.15">
      <c r="D2022" s="12"/>
      <c r="E2022" s="12"/>
      <c r="I2022" s="12"/>
      <c r="J2022" s="13"/>
      <c r="BF2022" s="1"/>
      <c r="BG2022" s="1"/>
      <c r="BH2022" s="1"/>
      <c r="BI2022" s="1"/>
      <c r="BK2022" s="1"/>
      <c r="BL2022" s="1"/>
      <c r="BM2022" s="1"/>
      <c r="BN2022" s="1"/>
      <c r="BO2022" s="1"/>
      <c r="BP2022" s="1"/>
      <c r="CD2022" s="1"/>
      <c r="CE2022" s="1"/>
      <c r="CF2022" s="1"/>
      <c r="CG2022" s="1"/>
      <c r="CM2022" s="2"/>
      <c r="CP2022" s="1"/>
      <c r="CQ2022" s="1"/>
      <c r="CR2022" s="1"/>
      <c r="CS2022" s="1"/>
      <c r="CT2022" s="1"/>
      <c r="CU2022" s="1"/>
      <c r="CV2022" s="1"/>
      <c r="CW2022" s="1"/>
      <c r="CX2022" s="1"/>
      <c r="CY2022" s="1"/>
      <c r="CZ2022" s="1"/>
      <c r="DA2022" s="1"/>
      <c r="DB2022" s="1"/>
      <c r="DC2022" s="1"/>
      <c r="DD2022" s="1"/>
      <c r="DE2022" s="1"/>
      <c r="DF2022" s="1"/>
      <c r="DG2022" s="1"/>
      <c r="DH2022" s="1"/>
      <c r="DI2022" s="1"/>
      <c r="DJ2022" s="1"/>
      <c r="DK2022" s="1"/>
      <c r="ED2022" s="1"/>
      <c r="EE2022" s="1"/>
      <c r="EF2022" s="1"/>
      <c r="EG2022" s="1"/>
      <c r="EH2022" s="1"/>
      <c r="EK2022" s="1"/>
      <c r="EL2022" s="1"/>
      <c r="EM2022" s="1"/>
      <c r="EN2022" s="1"/>
      <c r="EQ2022" s="1"/>
      <c r="ER2022" s="1"/>
      <c r="ES2022" s="1"/>
      <c r="EV2022" s="1"/>
      <c r="EW2022" s="1"/>
      <c r="EY2022" s="1"/>
      <c r="EZ2022" s="1"/>
      <c r="HY2022" s="1"/>
      <c r="IE2022" s="1"/>
      <c r="IG2022" s="1"/>
      <c r="IJ2022" s="1"/>
      <c r="IR2022" s="1"/>
      <c r="IS2022" s="1"/>
      <c r="IY2022" s="1"/>
      <c r="IZ2022" s="1"/>
      <c r="JG2022" s="1"/>
      <c r="JJ2022" s="1"/>
      <c r="JK2022" s="1"/>
      <c r="JL2022" s="3"/>
      <c r="JM2022" s="1"/>
      <c r="JN2022" s="1"/>
      <c r="JP2022" s="1"/>
      <c r="JQ2022" s="1"/>
      <c r="JR2022" s="1"/>
      <c r="LZ2022" s="1"/>
      <c r="MA2022" s="1"/>
    </row>
    <row r="2023" spans="4:339" ht="13" x14ac:dyDescent="0.15">
      <c r="D2023" s="12"/>
      <c r="E2023" s="12"/>
      <c r="I2023" s="12"/>
      <c r="J2023" s="13"/>
      <c r="BF2023" s="1"/>
      <c r="BG2023" s="1"/>
      <c r="BH2023" s="1"/>
      <c r="BI2023" s="1"/>
      <c r="BK2023" s="1"/>
      <c r="BL2023" s="1"/>
      <c r="BM2023" s="1"/>
      <c r="BN2023" s="1"/>
      <c r="BO2023" s="1"/>
      <c r="BP2023" s="1"/>
      <c r="CD2023" s="1"/>
      <c r="CE2023" s="1"/>
      <c r="CF2023" s="1"/>
      <c r="CG2023" s="1"/>
      <c r="CM2023" s="2"/>
      <c r="CP2023" s="1"/>
      <c r="CQ2023" s="1"/>
      <c r="CR2023" s="1"/>
      <c r="CS2023" s="1"/>
      <c r="CT2023" s="1"/>
      <c r="CU2023" s="1"/>
      <c r="CV2023" s="1"/>
      <c r="CW2023" s="1"/>
      <c r="CX2023" s="1"/>
      <c r="CY2023" s="1"/>
      <c r="CZ2023" s="1"/>
      <c r="DA2023" s="1"/>
      <c r="DB2023" s="1"/>
      <c r="DC2023" s="1"/>
      <c r="DD2023" s="1"/>
      <c r="DE2023" s="1"/>
      <c r="DF2023" s="1"/>
      <c r="DG2023" s="1"/>
      <c r="DH2023" s="1"/>
      <c r="DI2023" s="1"/>
      <c r="DJ2023" s="1"/>
      <c r="DK2023" s="1"/>
      <c r="ED2023" s="1"/>
      <c r="EE2023" s="1"/>
      <c r="EF2023" s="1"/>
      <c r="EG2023" s="1"/>
      <c r="EH2023" s="1"/>
      <c r="EK2023" s="1"/>
      <c r="EL2023" s="1"/>
      <c r="EM2023" s="1"/>
      <c r="EN2023" s="1"/>
      <c r="EQ2023" s="1"/>
      <c r="ER2023" s="1"/>
      <c r="ES2023" s="1"/>
      <c r="EV2023" s="1"/>
      <c r="EW2023" s="1"/>
      <c r="EY2023" s="1"/>
      <c r="EZ2023" s="1"/>
      <c r="HY2023" s="1"/>
      <c r="IE2023" s="1"/>
      <c r="IG2023" s="1"/>
      <c r="IJ2023" s="1"/>
      <c r="IR2023" s="1"/>
      <c r="IS2023" s="1"/>
      <c r="IY2023" s="1"/>
      <c r="IZ2023" s="1"/>
      <c r="JG2023" s="1"/>
      <c r="JJ2023" s="1"/>
      <c r="JK2023" s="1"/>
      <c r="JL2023" s="3"/>
      <c r="JM2023" s="1"/>
      <c r="JN2023" s="1"/>
      <c r="JP2023" s="1"/>
      <c r="JQ2023" s="1"/>
      <c r="JR2023" s="1"/>
      <c r="LZ2023" s="1"/>
      <c r="MA2023" s="1"/>
    </row>
    <row r="2024" spans="4:339" ht="13" x14ac:dyDescent="0.15">
      <c r="D2024" s="12"/>
      <c r="E2024" s="12"/>
      <c r="I2024" s="12"/>
      <c r="J2024" s="13"/>
      <c r="BF2024" s="1"/>
      <c r="BG2024" s="1"/>
      <c r="BH2024" s="1"/>
      <c r="BI2024" s="1"/>
      <c r="BK2024" s="1"/>
      <c r="BL2024" s="1"/>
      <c r="BM2024" s="1"/>
      <c r="BN2024" s="1"/>
      <c r="BO2024" s="1"/>
      <c r="BP2024" s="1"/>
      <c r="CD2024" s="1"/>
      <c r="CE2024" s="1"/>
      <c r="CF2024" s="1"/>
      <c r="CG2024" s="1"/>
      <c r="CM2024" s="2"/>
      <c r="CP2024" s="1"/>
      <c r="CQ2024" s="1"/>
      <c r="CR2024" s="1"/>
      <c r="CS2024" s="1"/>
      <c r="CT2024" s="1"/>
      <c r="CU2024" s="1"/>
      <c r="CV2024" s="1"/>
      <c r="CW2024" s="1"/>
      <c r="CX2024" s="1"/>
      <c r="CY2024" s="1"/>
      <c r="CZ2024" s="1"/>
      <c r="DA2024" s="1"/>
      <c r="DB2024" s="1"/>
      <c r="DC2024" s="1"/>
      <c r="DD2024" s="1"/>
      <c r="DE2024" s="1"/>
      <c r="DF2024" s="1"/>
      <c r="DG2024" s="1"/>
      <c r="DH2024" s="1"/>
      <c r="DI2024" s="1"/>
      <c r="DJ2024" s="1"/>
      <c r="DK2024" s="1"/>
      <c r="ED2024" s="1"/>
      <c r="EE2024" s="1"/>
      <c r="EF2024" s="1"/>
      <c r="EG2024" s="1"/>
      <c r="EH2024" s="1"/>
      <c r="EK2024" s="1"/>
      <c r="EL2024" s="1"/>
      <c r="EM2024" s="1"/>
      <c r="EN2024" s="1"/>
      <c r="EQ2024" s="1"/>
      <c r="ER2024" s="1"/>
      <c r="ES2024" s="1"/>
      <c r="EV2024" s="1"/>
      <c r="EW2024" s="1"/>
      <c r="EY2024" s="1"/>
      <c r="EZ2024" s="1"/>
      <c r="HY2024" s="1"/>
      <c r="IE2024" s="1"/>
      <c r="IG2024" s="1"/>
      <c r="IJ2024" s="1"/>
      <c r="IR2024" s="1"/>
      <c r="IS2024" s="1"/>
      <c r="IY2024" s="1"/>
      <c r="IZ2024" s="1"/>
      <c r="JG2024" s="1"/>
      <c r="JJ2024" s="1"/>
      <c r="JK2024" s="1"/>
      <c r="JL2024" s="3"/>
      <c r="JM2024" s="1"/>
      <c r="JN2024" s="1"/>
      <c r="JP2024" s="1"/>
      <c r="JQ2024" s="1"/>
      <c r="JR2024" s="1"/>
      <c r="LZ2024" s="1"/>
      <c r="MA2024" s="1"/>
    </row>
    <row r="2025" spans="4:339" ht="13" x14ac:dyDescent="0.15">
      <c r="D2025" s="12"/>
      <c r="E2025" s="12"/>
      <c r="I2025" s="12"/>
      <c r="J2025" s="13"/>
      <c r="BG2025" s="1"/>
      <c r="BH2025" s="1"/>
      <c r="BI2025" s="1"/>
      <c r="BK2025" s="1"/>
      <c r="BL2025" s="1"/>
      <c r="BM2025" s="1"/>
      <c r="BN2025" s="1"/>
      <c r="BO2025" s="1"/>
      <c r="CD2025" s="1"/>
      <c r="CE2025" s="1"/>
      <c r="CF2025" s="1"/>
      <c r="CM2025" s="2"/>
      <c r="ED2025" s="1"/>
      <c r="EL2025" s="1"/>
      <c r="EM2025" s="1"/>
      <c r="EN2025" s="1"/>
      <c r="EQ2025" s="1"/>
      <c r="ER2025" s="1"/>
      <c r="ES2025" s="1"/>
      <c r="EV2025" s="1"/>
      <c r="EW2025" s="1"/>
      <c r="EZ2025" s="1"/>
      <c r="GP2025" s="1"/>
      <c r="HY2025" s="1"/>
      <c r="IS2025" s="1"/>
      <c r="IZ2025" s="1"/>
      <c r="JJ2025" s="1"/>
      <c r="JP2025" s="1"/>
      <c r="JQ2025" s="1"/>
    </row>
    <row r="2026" spans="4:339" ht="13" x14ac:dyDescent="0.15">
      <c r="D2026" s="12"/>
      <c r="E2026" s="12"/>
      <c r="I2026" s="12"/>
      <c r="J2026" s="13"/>
      <c r="BG2026" s="1"/>
      <c r="BH2026" s="1"/>
      <c r="BI2026" s="1"/>
      <c r="BK2026" s="1"/>
      <c r="BL2026" s="1"/>
      <c r="BM2026" s="1"/>
      <c r="BN2026" s="1"/>
      <c r="BO2026" s="1"/>
      <c r="CD2026" s="1"/>
      <c r="CE2026" s="1"/>
      <c r="CF2026" s="1"/>
      <c r="CM2026" s="2"/>
      <c r="ED2026" s="1"/>
      <c r="EL2026" s="1"/>
      <c r="EM2026" s="1"/>
      <c r="EN2026" s="1"/>
      <c r="EQ2026" s="1"/>
      <c r="ER2026" s="1"/>
      <c r="ES2026" s="1"/>
      <c r="EV2026" s="1"/>
      <c r="EW2026" s="1"/>
      <c r="EZ2026" s="1"/>
      <c r="GP2026" s="1"/>
      <c r="HY2026" s="1"/>
      <c r="IS2026" s="1"/>
      <c r="IZ2026" s="1"/>
      <c r="JJ2026" s="1"/>
      <c r="JP2026" s="1"/>
      <c r="JQ2026" s="1"/>
    </row>
    <row r="2027" spans="4:339" ht="13" x14ac:dyDescent="0.15">
      <c r="D2027" s="12"/>
      <c r="E2027" s="12"/>
      <c r="I2027" s="12"/>
      <c r="J2027" s="13"/>
      <c r="BF2027" s="1"/>
      <c r="BG2027" s="1"/>
      <c r="BH2027" s="1"/>
      <c r="BI2027" s="1"/>
      <c r="BK2027" s="1"/>
      <c r="BL2027" s="1"/>
      <c r="BM2027" s="1"/>
      <c r="BN2027" s="1"/>
      <c r="BO2027" s="1"/>
      <c r="CD2027" s="1"/>
      <c r="CE2027" s="1"/>
      <c r="CF2027" s="1"/>
      <c r="CG2027" s="1"/>
      <c r="CM2027" s="4"/>
      <c r="ED2027" s="1"/>
      <c r="EL2027" s="1"/>
      <c r="EM2027" s="1"/>
      <c r="EN2027" s="1"/>
      <c r="EQ2027" s="1"/>
      <c r="ER2027" s="1"/>
      <c r="ES2027" s="1"/>
      <c r="EV2027" s="1"/>
      <c r="EW2027" s="1"/>
      <c r="EZ2027" s="1"/>
      <c r="HY2027" s="1"/>
      <c r="IS2027" s="1"/>
      <c r="IZ2027" s="1"/>
      <c r="JF2027" s="1"/>
      <c r="JJ2027" s="1"/>
      <c r="JN2027" s="1"/>
      <c r="JP2027" s="1"/>
      <c r="JQ2027" s="1"/>
    </row>
    <row r="2028" spans="4:339" ht="13" x14ac:dyDescent="0.15">
      <c r="D2028" s="12"/>
      <c r="E2028" s="12"/>
      <c r="I2028" s="12"/>
      <c r="J2028" s="13"/>
      <c r="BF2028" s="1"/>
      <c r="BG2028" s="1"/>
      <c r="BH2028" s="1"/>
      <c r="BI2028" s="1"/>
      <c r="BK2028" s="1"/>
      <c r="BL2028" s="1"/>
      <c r="BM2028" s="1"/>
      <c r="BN2028" s="1"/>
      <c r="BO2028" s="1"/>
      <c r="CD2028" s="1"/>
      <c r="CE2028" s="1"/>
      <c r="CF2028" s="1"/>
      <c r="CG2028" s="1"/>
      <c r="CM2028" s="4"/>
      <c r="ED2028" s="1"/>
      <c r="EL2028" s="1"/>
      <c r="EM2028" s="1"/>
      <c r="EN2028" s="1"/>
      <c r="EQ2028" s="1"/>
      <c r="ER2028" s="1"/>
      <c r="ES2028" s="1"/>
      <c r="EV2028" s="1"/>
      <c r="EW2028" s="1"/>
      <c r="EZ2028" s="1"/>
      <c r="HY2028" s="1"/>
      <c r="IS2028" s="1"/>
      <c r="IZ2028" s="1"/>
      <c r="JF2028" s="1"/>
      <c r="JJ2028" s="1"/>
      <c r="JN2028" s="1"/>
      <c r="JP2028" s="1"/>
      <c r="JQ2028" s="1"/>
    </row>
    <row r="2029" spans="4:339" ht="13" x14ac:dyDescent="0.15">
      <c r="D2029" s="12"/>
      <c r="E2029" s="12"/>
      <c r="I2029" s="12"/>
      <c r="J2029" s="13"/>
      <c r="BF2029" s="1"/>
      <c r="BG2029" s="1"/>
      <c r="BH2029" s="1"/>
      <c r="BI2029" s="1"/>
      <c r="BK2029" s="1"/>
      <c r="BL2029" s="1"/>
      <c r="BM2029" s="1"/>
      <c r="BN2029" s="1"/>
      <c r="BO2029" s="1"/>
      <c r="CD2029" s="1"/>
      <c r="CE2029" s="1"/>
      <c r="CF2029" s="1"/>
      <c r="CG2029" s="1"/>
      <c r="CM2029" s="4"/>
      <c r="ED2029" s="1"/>
      <c r="EL2029" s="1"/>
      <c r="EM2029" s="1"/>
      <c r="EN2029" s="1"/>
      <c r="EQ2029" s="1"/>
      <c r="ER2029" s="1"/>
      <c r="ES2029" s="1"/>
      <c r="EV2029" s="1"/>
      <c r="EW2029" s="1"/>
      <c r="EZ2029" s="1"/>
      <c r="HY2029" s="1"/>
      <c r="IS2029" s="1"/>
      <c r="IZ2029" s="1"/>
      <c r="JF2029" s="1"/>
      <c r="JJ2029" s="1"/>
      <c r="JN2029" s="1"/>
      <c r="JP2029" s="1"/>
      <c r="JQ2029" s="1"/>
    </row>
    <row r="2030" spans="4:339" ht="13" x14ac:dyDescent="0.15">
      <c r="D2030" s="12"/>
      <c r="E2030" s="12"/>
      <c r="I2030" s="12"/>
      <c r="J2030" s="13"/>
      <c r="BF2030" s="1"/>
      <c r="BG2030" s="1"/>
      <c r="BH2030" s="1"/>
      <c r="BI2030" s="1"/>
      <c r="BK2030" s="1"/>
      <c r="BL2030" s="1"/>
      <c r="BM2030" s="1"/>
      <c r="BN2030" s="1"/>
      <c r="BO2030" s="1"/>
      <c r="CD2030" s="1"/>
      <c r="CE2030" s="1"/>
      <c r="CF2030" s="1"/>
      <c r="CG2030" s="1"/>
      <c r="CM2030" s="4"/>
      <c r="ED2030" s="1"/>
      <c r="EL2030" s="1"/>
      <c r="EM2030" s="1"/>
      <c r="EN2030" s="1"/>
      <c r="EQ2030" s="1"/>
      <c r="ER2030" s="1"/>
      <c r="ES2030" s="1"/>
      <c r="EV2030" s="1"/>
      <c r="EW2030" s="1"/>
      <c r="EZ2030" s="1"/>
      <c r="HY2030" s="1"/>
      <c r="IS2030" s="1"/>
      <c r="IZ2030" s="1"/>
      <c r="JF2030" s="1"/>
      <c r="JJ2030" s="1"/>
      <c r="JN2030" s="1"/>
      <c r="JP2030" s="1"/>
      <c r="JQ2030" s="1"/>
    </row>
    <row r="2031" spans="4:339" ht="13" x14ac:dyDescent="0.15">
      <c r="D2031" s="12"/>
      <c r="E2031" s="12"/>
      <c r="I2031" s="12"/>
      <c r="J2031" s="13"/>
      <c r="BF2031" s="1"/>
      <c r="BG2031" s="1"/>
      <c r="BH2031" s="1"/>
      <c r="BI2031" s="1"/>
      <c r="BK2031" s="1"/>
      <c r="BL2031" s="1"/>
      <c r="BM2031" s="1"/>
      <c r="BN2031" s="1"/>
      <c r="BO2031" s="1"/>
      <c r="CD2031" s="1"/>
      <c r="CE2031" s="1"/>
      <c r="CF2031" s="1"/>
      <c r="CG2031" s="1"/>
      <c r="CM2031" s="4"/>
      <c r="ED2031" s="1"/>
      <c r="EL2031" s="1"/>
      <c r="EM2031" s="1"/>
      <c r="EN2031" s="1"/>
      <c r="EQ2031" s="1"/>
      <c r="ER2031" s="1"/>
      <c r="ES2031" s="1"/>
      <c r="EV2031" s="1"/>
      <c r="EW2031" s="1"/>
      <c r="EZ2031" s="1"/>
      <c r="HY2031" s="1"/>
      <c r="IS2031" s="1"/>
      <c r="IZ2031" s="1"/>
      <c r="JF2031" s="1"/>
      <c r="JJ2031" s="1"/>
      <c r="JN2031" s="1"/>
      <c r="JP2031" s="1"/>
      <c r="JQ2031" s="1"/>
    </row>
    <row r="2032" spans="4:339" ht="13" x14ac:dyDescent="0.15">
      <c r="D2032" s="12"/>
      <c r="E2032" s="12"/>
      <c r="I2032" s="12"/>
      <c r="J2032" s="13"/>
      <c r="BF2032" s="1"/>
      <c r="BG2032" s="1"/>
      <c r="BH2032" s="1"/>
      <c r="BI2032" s="1"/>
      <c r="BK2032" s="1"/>
      <c r="BL2032" s="1"/>
      <c r="BM2032" s="1"/>
      <c r="BN2032" s="1"/>
      <c r="BO2032" s="1"/>
      <c r="CD2032" s="1"/>
      <c r="CE2032" s="1"/>
      <c r="CF2032" s="1"/>
      <c r="CG2032" s="1"/>
      <c r="CM2032" s="4"/>
      <c r="ED2032" s="1"/>
      <c r="EL2032" s="1"/>
      <c r="EM2032" s="1"/>
      <c r="EN2032" s="1"/>
      <c r="EQ2032" s="1"/>
      <c r="ER2032" s="1"/>
      <c r="ES2032" s="1"/>
      <c r="EV2032" s="1"/>
      <c r="EW2032" s="1"/>
      <c r="EZ2032" s="1"/>
      <c r="HY2032" s="1"/>
      <c r="IS2032" s="1"/>
      <c r="IZ2032" s="1"/>
      <c r="JF2032" s="1"/>
      <c r="JJ2032" s="1"/>
      <c r="JN2032" s="1"/>
      <c r="JP2032" s="1"/>
      <c r="JQ2032" s="1"/>
    </row>
    <row r="2033" spans="4:339" ht="13" x14ac:dyDescent="0.15">
      <c r="D2033" s="12"/>
      <c r="E2033" s="12"/>
      <c r="I2033" s="12"/>
      <c r="J2033" s="13"/>
      <c r="BF2033" s="1"/>
      <c r="BG2033" s="1"/>
      <c r="BH2033" s="1"/>
      <c r="BI2033" s="1"/>
      <c r="BK2033" s="1"/>
      <c r="BL2033" s="1"/>
      <c r="BM2033" s="1"/>
      <c r="BN2033" s="1"/>
      <c r="BO2033" s="1"/>
      <c r="CD2033" s="1"/>
      <c r="CE2033" s="1"/>
      <c r="CF2033" s="1"/>
      <c r="CG2033" s="1"/>
      <c r="CM2033" s="4"/>
      <c r="ED2033" s="1"/>
      <c r="EL2033" s="1"/>
      <c r="EM2033" s="1"/>
      <c r="EN2033" s="1"/>
      <c r="EQ2033" s="1"/>
      <c r="ER2033" s="1"/>
      <c r="ES2033" s="1"/>
      <c r="EV2033" s="1"/>
      <c r="EW2033" s="1"/>
      <c r="EZ2033" s="1"/>
      <c r="HY2033" s="1"/>
      <c r="IS2033" s="1"/>
      <c r="IZ2033" s="1"/>
      <c r="JF2033" s="1"/>
      <c r="JJ2033" s="1"/>
      <c r="JN2033" s="1"/>
      <c r="JP2033" s="1"/>
      <c r="JQ2033" s="1"/>
    </row>
    <row r="2034" spans="4:339" ht="13" x14ac:dyDescent="0.15">
      <c r="D2034" s="12"/>
      <c r="E2034" s="12"/>
      <c r="I2034" s="12"/>
      <c r="J2034" s="13"/>
      <c r="BF2034" s="1"/>
      <c r="BG2034" s="1"/>
      <c r="BH2034" s="1"/>
      <c r="BI2034" s="1"/>
      <c r="BK2034" s="1"/>
      <c r="BL2034" s="1"/>
      <c r="BM2034" s="1"/>
      <c r="BN2034" s="1"/>
      <c r="BO2034" s="1"/>
      <c r="CD2034" s="1"/>
      <c r="CE2034" s="1"/>
      <c r="CF2034" s="1"/>
      <c r="CG2034" s="1"/>
      <c r="CM2034" s="4"/>
      <c r="ED2034" s="1"/>
      <c r="EL2034" s="1"/>
      <c r="EM2034" s="1"/>
      <c r="EN2034" s="1"/>
      <c r="EQ2034" s="1"/>
      <c r="ER2034" s="1"/>
      <c r="ES2034" s="1"/>
      <c r="EV2034" s="1"/>
      <c r="EW2034" s="1"/>
      <c r="EZ2034" s="1"/>
      <c r="HY2034" s="1"/>
      <c r="IS2034" s="1"/>
      <c r="IZ2034" s="1"/>
      <c r="JF2034" s="1"/>
      <c r="JJ2034" s="1"/>
      <c r="JN2034" s="1"/>
      <c r="JP2034" s="1"/>
      <c r="JQ2034" s="1"/>
    </row>
    <row r="2035" spans="4:339" ht="13" x14ac:dyDescent="0.15">
      <c r="D2035" s="12"/>
      <c r="E2035" s="12"/>
      <c r="I2035" s="12"/>
      <c r="J2035" s="13"/>
      <c r="BF2035" s="1"/>
      <c r="BG2035" s="1"/>
      <c r="BH2035" s="1"/>
      <c r="BI2035" s="1"/>
      <c r="BK2035" s="1"/>
      <c r="BL2035" s="1"/>
      <c r="BM2035" s="1"/>
      <c r="BN2035" s="1"/>
      <c r="BO2035" s="1"/>
      <c r="CD2035" s="1"/>
      <c r="CE2035" s="1"/>
      <c r="CF2035" s="1"/>
      <c r="CG2035" s="1"/>
      <c r="CM2035" s="4"/>
      <c r="ED2035" s="1"/>
      <c r="EL2035" s="1"/>
      <c r="EM2035" s="1"/>
      <c r="EN2035" s="1"/>
      <c r="EQ2035" s="1"/>
      <c r="ER2035" s="1"/>
      <c r="ES2035" s="1"/>
      <c r="EV2035" s="1"/>
      <c r="EW2035" s="1"/>
      <c r="EZ2035" s="1"/>
      <c r="HY2035" s="1"/>
      <c r="IS2035" s="1"/>
      <c r="IZ2035" s="1"/>
      <c r="JF2035" s="1"/>
      <c r="JJ2035" s="1"/>
      <c r="JN2035" s="1"/>
      <c r="JP2035" s="1"/>
      <c r="JQ2035" s="1"/>
    </row>
    <row r="2036" spans="4:339" ht="13" x14ac:dyDescent="0.15">
      <c r="D2036" s="12"/>
      <c r="E2036" s="12"/>
      <c r="I2036" s="12"/>
      <c r="J2036" s="13"/>
      <c r="BF2036" s="1"/>
      <c r="BG2036" s="1"/>
      <c r="BH2036" s="1"/>
      <c r="BI2036" s="1"/>
      <c r="BK2036" s="1"/>
      <c r="BL2036" s="1"/>
      <c r="BM2036" s="1"/>
      <c r="BN2036" s="1"/>
      <c r="BO2036" s="1"/>
      <c r="CD2036" s="1"/>
      <c r="CE2036" s="1"/>
      <c r="CF2036" s="1"/>
      <c r="CG2036" s="1"/>
      <c r="CM2036" s="4"/>
      <c r="ED2036" s="1"/>
      <c r="EL2036" s="1"/>
      <c r="EM2036" s="1"/>
      <c r="EN2036" s="1"/>
      <c r="EQ2036" s="1"/>
      <c r="ER2036" s="1"/>
      <c r="ES2036" s="1"/>
      <c r="EV2036" s="1"/>
      <c r="EW2036" s="1"/>
      <c r="EZ2036" s="1"/>
      <c r="HY2036" s="1"/>
      <c r="IS2036" s="1"/>
      <c r="IZ2036" s="1"/>
      <c r="JF2036" s="1"/>
      <c r="JJ2036" s="1"/>
      <c r="JN2036" s="1"/>
      <c r="JP2036" s="1"/>
      <c r="JQ2036" s="1"/>
    </row>
    <row r="2037" spans="4:339" ht="13" x14ac:dyDescent="0.15">
      <c r="D2037" s="12"/>
      <c r="E2037" s="12"/>
      <c r="I2037" s="12"/>
      <c r="J2037" s="13"/>
      <c r="BF2037" s="1"/>
      <c r="BG2037" s="1"/>
      <c r="BH2037" s="1"/>
      <c r="BI2037" s="1"/>
      <c r="BK2037" s="1"/>
      <c r="BL2037" s="1"/>
      <c r="BM2037" s="1"/>
      <c r="BN2037" s="1"/>
      <c r="BO2037" s="1"/>
      <c r="CD2037" s="1"/>
      <c r="CE2037" s="1"/>
      <c r="CF2037" s="1"/>
      <c r="CG2037" s="1"/>
      <c r="CM2037" s="4"/>
      <c r="ED2037" s="1"/>
      <c r="EL2037" s="1"/>
      <c r="EM2037" s="1"/>
      <c r="EN2037" s="1"/>
      <c r="EQ2037" s="1"/>
      <c r="ER2037" s="1"/>
      <c r="ES2037" s="1"/>
      <c r="EV2037" s="1"/>
      <c r="EW2037" s="1"/>
      <c r="EZ2037" s="1"/>
      <c r="HY2037" s="1"/>
      <c r="IS2037" s="1"/>
      <c r="IZ2037" s="1"/>
      <c r="JF2037" s="1"/>
      <c r="JJ2037" s="1"/>
      <c r="JN2037" s="1"/>
      <c r="JP2037" s="1"/>
      <c r="JQ2037" s="1"/>
    </row>
    <row r="2038" spans="4:339" ht="13" x14ac:dyDescent="0.15">
      <c r="D2038" s="12"/>
      <c r="E2038" s="12"/>
      <c r="I2038" s="12"/>
      <c r="J2038" s="13"/>
      <c r="BF2038" s="1"/>
      <c r="BG2038" s="1"/>
      <c r="BH2038" s="1"/>
      <c r="BI2038" s="1"/>
      <c r="BK2038" s="1"/>
      <c r="BL2038" s="1"/>
      <c r="BM2038" s="1"/>
      <c r="BN2038" s="1"/>
      <c r="BO2038" s="1"/>
      <c r="CD2038" s="1"/>
      <c r="CE2038" s="1"/>
      <c r="CF2038" s="1"/>
      <c r="CG2038" s="1"/>
      <c r="CM2038" s="4"/>
      <c r="ED2038" s="1"/>
      <c r="EL2038" s="1"/>
      <c r="EM2038" s="1"/>
      <c r="EN2038" s="1"/>
      <c r="EQ2038" s="1"/>
      <c r="ER2038" s="1"/>
      <c r="ES2038" s="1"/>
      <c r="EV2038" s="1"/>
      <c r="EW2038" s="1"/>
      <c r="EZ2038" s="1"/>
      <c r="HY2038" s="1"/>
      <c r="IS2038" s="1"/>
      <c r="IZ2038" s="1"/>
      <c r="JF2038" s="1"/>
      <c r="JJ2038" s="1"/>
      <c r="JN2038" s="1"/>
      <c r="JP2038" s="1"/>
      <c r="JQ2038" s="1"/>
    </row>
    <row r="2039" spans="4:339" ht="13" x14ac:dyDescent="0.15">
      <c r="D2039" s="12"/>
      <c r="E2039" s="12"/>
      <c r="I2039" s="12"/>
      <c r="J2039" s="13"/>
      <c r="BF2039" s="1"/>
      <c r="BG2039" s="1"/>
      <c r="BH2039" s="1"/>
      <c r="BI2039" s="1"/>
      <c r="BK2039" s="1"/>
      <c r="BL2039" s="1"/>
      <c r="BM2039" s="1"/>
      <c r="BN2039" s="1"/>
      <c r="BO2039" s="1"/>
      <c r="CD2039" s="1"/>
      <c r="CE2039" s="1"/>
      <c r="CF2039" s="1"/>
      <c r="CG2039" s="1"/>
      <c r="CM2039" s="4"/>
      <c r="ED2039" s="1"/>
      <c r="EL2039" s="1"/>
      <c r="EM2039" s="1"/>
      <c r="EN2039" s="1"/>
      <c r="EQ2039" s="1"/>
      <c r="ER2039" s="1"/>
      <c r="ES2039" s="1"/>
      <c r="EV2039" s="1"/>
      <c r="EW2039" s="1"/>
      <c r="EZ2039" s="1"/>
      <c r="HY2039" s="1"/>
      <c r="IS2039" s="1"/>
      <c r="IZ2039" s="1"/>
      <c r="JF2039" s="1"/>
      <c r="JJ2039" s="1"/>
      <c r="JN2039" s="1"/>
      <c r="JP2039" s="1"/>
      <c r="JQ2039" s="1"/>
    </row>
    <row r="2040" spans="4:339" ht="13" x14ac:dyDescent="0.15">
      <c r="D2040" s="12"/>
      <c r="E2040" s="12"/>
      <c r="I2040" s="12"/>
      <c r="J2040" s="13"/>
      <c r="BF2040" s="1"/>
      <c r="BG2040" s="1"/>
      <c r="BH2040" s="1"/>
      <c r="BI2040" s="1"/>
      <c r="BK2040" s="1"/>
      <c r="BL2040" s="1"/>
      <c r="BM2040" s="1"/>
      <c r="BN2040" s="1"/>
      <c r="BO2040" s="1"/>
      <c r="CD2040" s="1"/>
      <c r="CE2040" s="1"/>
      <c r="CF2040" s="1"/>
      <c r="CG2040" s="1"/>
      <c r="CM2040" s="4"/>
      <c r="ED2040" s="1"/>
      <c r="EL2040" s="1"/>
      <c r="EM2040" s="1"/>
      <c r="EN2040" s="1"/>
      <c r="EQ2040" s="1"/>
      <c r="ER2040" s="1"/>
      <c r="ES2040" s="1"/>
      <c r="EV2040" s="1"/>
      <c r="EW2040" s="1"/>
      <c r="EZ2040" s="1"/>
      <c r="HY2040" s="1"/>
      <c r="IS2040" s="1"/>
      <c r="IZ2040" s="1"/>
      <c r="JF2040" s="1"/>
      <c r="JJ2040" s="1"/>
      <c r="JN2040" s="1"/>
      <c r="JP2040" s="1"/>
      <c r="JQ2040" s="1"/>
    </row>
    <row r="2041" spans="4:339" ht="13" x14ac:dyDescent="0.15">
      <c r="D2041" s="12"/>
      <c r="E2041" s="12"/>
      <c r="I2041" s="12"/>
      <c r="J2041" s="13"/>
      <c r="BF2041" s="1"/>
      <c r="BG2041" s="1"/>
      <c r="BH2041" s="1"/>
      <c r="BI2041" s="1"/>
      <c r="BK2041" s="1"/>
      <c r="BL2041" s="1"/>
      <c r="BM2041" s="1"/>
      <c r="BN2041" s="1"/>
      <c r="BO2041" s="1"/>
      <c r="CD2041" s="1"/>
      <c r="CE2041" s="1"/>
      <c r="CF2041" s="1"/>
      <c r="CG2041" s="1"/>
      <c r="CM2041" s="4"/>
      <c r="ED2041" s="1"/>
      <c r="EL2041" s="1"/>
      <c r="EM2041" s="1"/>
      <c r="EN2041" s="1"/>
      <c r="EQ2041" s="1"/>
      <c r="ER2041" s="1"/>
      <c r="ES2041" s="1"/>
      <c r="EV2041" s="1"/>
      <c r="EW2041" s="1"/>
      <c r="EZ2041" s="1"/>
      <c r="HY2041" s="1"/>
      <c r="IS2041" s="1"/>
      <c r="IZ2041" s="1"/>
      <c r="JF2041" s="1"/>
      <c r="JJ2041" s="1"/>
      <c r="JN2041" s="1"/>
      <c r="JP2041" s="1"/>
      <c r="JQ2041" s="1"/>
    </row>
    <row r="2042" spans="4:339" ht="13" x14ac:dyDescent="0.15">
      <c r="D2042" s="12"/>
      <c r="E2042" s="12"/>
      <c r="I2042" s="12"/>
      <c r="J2042" s="13"/>
      <c r="BF2042" s="1"/>
      <c r="BG2042" s="1"/>
      <c r="BH2042" s="1"/>
      <c r="BI2042" s="1"/>
      <c r="BK2042" s="1"/>
      <c r="BL2042" s="1"/>
      <c r="BM2042" s="1"/>
      <c r="BN2042" s="1"/>
      <c r="BO2042" s="1"/>
      <c r="CD2042" s="1"/>
      <c r="CE2042" s="1"/>
      <c r="CF2042" s="1"/>
      <c r="CG2042" s="1"/>
      <c r="CM2042" s="4"/>
      <c r="ED2042" s="1"/>
      <c r="EL2042" s="1"/>
      <c r="EM2042" s="1"/>
      <c r="EN2042" s="1"/>
      <c r="EQ2042" s="1"/>
      <c r="ER2042" s="1"/>
      <c r="ES2042" s="1"/>
      <c r="EV2042" s="1"/>
      <c r="EW2042" s="1"/>
      <c r="EZ2042" s="1"/>
      <c r="HY2042" s="1"/>
      <c r="IS2042" s="1"/>
      <c r="IZ2042" s="1"/>
      <c r="JF2042" s="1"/>
      <c r="JJ2042" s="1"/>
      <c r="JN2042" s="1"/>
      <c r="JP2042" s="1"/>
      <c r="JQ2042" s="1"/>
    </row>
    <row r="2043" spans="4:339" ht="13" x14ac:dyDescent="0.15">
      <c r="D2043" s="12"/>
      <c r="E2043" s="12"/>
      <c r="I2043" s="12"/>
      <c r="J2043" s="13"/>
      <c r="BF2043" s="1"/>
      <c r="BG2043" s="1"/>
      <c r="BH2043" s="1"/>
      <c r="BI2043" s="1"/>
      <c r="BK2043" s="1"/>
      <c r="BL2043" s="1"/>
      <c r="BM2043" s="1"/>
      <c r="BN2043" s="1"/>
      <c r="BO2043" s="1"/>
      <c r="BP2043" s="1"/>
      <c r="CC2043" s="1"/>
      <c r="CD2043" s="1"/>
      <c r="CM2043" s="4"/>
      <c r="CP2043" s="1"/>
      <c r="CQ2043" s="1"/>
      <c r="CR2043" s="1"/>
      <c r="CT2043" s="1"/>
      <c r="CU2043" s="1"/>
      <c r="CV2043" s="1"/>
      <c r="CW2043" s="1"/>
      <c r="CX2043" s="1"/>
      <c r="CY2043" s="1"/>
      <c r="CZ2043" s="1"/>
      <c r="DA2043" s="1"/>
      <c r="DB2043" s="1"/>
      <c r="DC2043" s="1"/>
      <c r="DD2043" s="1"/>
      <c r="DE2043" s="1"/>
      <c r="DF2043" s="1"/>
      <c r="DG2043" s="1"/>
      <c r="DH2043" s="1"/>
      <c r="DI2043" s="1"/>
      <c r="DJ2043" s="1"/>
      <c r="DK2043" s="1"/>
      <c r="ED2043" s="1"/>
      <c r="EK2043" s="1"/>
      <c r="EL2043" s="1"/>
      <c r="EM2043" s="1"/>
      <c r="EN2043" s="1"/>
      <c r="EQ2043" s="1"/>
      <c r="ER2043" s="1"/>
      <c r="ES2043" s="1"/>
      <c r="EV2043" s="1"/>
      <c r="EW2043" s="1"/>
      <c r="EZ2043" s="1"/>
      <c r="GO2043" s="1"/>
      <c r="HY2043" s="1"/>
      <c r="IE2043" s="1"/>
      <c r="IS2043" s="1"/>
      <c r="IZ2043" s="1"/>
      <c r="JH2043" s="1"/>
      <c r="JJ2043" s="1"/>
      <c r="JP2043" s="1"/>
      <c r="JQ2043" s="1"/>
      <c r="LZ2043" s="1"/>
      <c r="MA2043" s="1"/>
    </row>
    <row r="2044" spans="4:339" ht="13" x14ac:dyDescent="0.15">
      <c r="D2044" s="12"/>
      <c r="E2044" s="12"/>
      <c r="I2044" s="12"/>
      <c r="J2044" s="13"/>
      <c r="BG2044" s="1"/>
      <c r="BH2044" s="1"/>
      <c r="BK2044" s="1"/>
      <c r="BL2044" s="1"/>
      <c r="BM2044" s="1"/>
      <c r="BN2044" s="1"/>
      <c r="CD2044" s="1"/>
      <c r="CM2044" s="2"/>
      <c r="ED2044" s="1"/>
      <c r="EL2044" s="1"/>
      <c r="EM2044" s="1"/>
      <c r="EN2044" s="1"/>
      <c r="EQ2044" s="1"/>
      <c r="ER2044" s="1"/>
      <c r="ES2044" s="1"/>
      <c r="EV2044" s="1"/>
      <c r="EW2044" s="1"/>
      <c r="EZ2044" s="1"/>
      <c r="GO2044" s="1"/>
      <c r="IS2044" s="1"/>
      <c r="IZ2044" s="1"/>
      <c r="JH2044" s="1"/>
      <c r="JJ2044" s="1"/>
      <c r="JP2044" s="1"/>
      <c r="JQ2044" s="1"/>
    </row>
    <row r="2045" spans="4:339" ht="13" x14ac:dyDescent="0.15">
      <c r="D2045" s="12"/>
      <c r="E2045" s="12"/>
      <c r="I2045" s="12"/>
      <c r="J2045" s="13"/>
      <c r="BG2045" s="1"/>
      <c r="BH2045" s="1"/>
      <c r="BK2045" s="1"/>
      <c r="BL2045" s="1"/>
      <c r="BM2045" s="1"/>
      <c r="BN2045" s="1"/>
      <c r="CD2045" s="1"/>
      <c r="CM2045" s="2"/>
      <c r="ED2045" s="1"/>
      <c r="EL2045" s="1"/>
      <c r="EM2045" s="1"/>
      <c r="EN2045" s="1"/>
      <c r="EQ2045" s="1"/>
      <c r="ER2045" s="1"/>
      <c r="ES2045" s="1"/>
      <c r="EV2045" s="1"/>
      <c r="EW2045" s="1"/>
      <c r="EZ2045" s="1"/>
      <c r="GO2045" s="1"/>
      <c r="IS2045" s="1"/>
      <c r="IZ2045" s="1"/>
      <c r="JH2045" s="1"/>
      <c r="JJ2045" s="1"/>
      <c r="JP2045" s="1"/>
      <c r="JQ2045" s="1"/>
    </row>
    <row r="2046" spans="4:339" ht="13" x14ac:dyDescent="0.15">
      <c r="D2046" s="12"/>
      <c r="E2046" s="12"/>
      <c r="I2046" s="12"/>
      <c r="J2046" s="13"/>
      <c r="BG2046" s="1"/>
      <c r="BH2046" s="1"/>
      <c r="BK2046" s="1"/>
      <c r="BL2046" s="1"/>
      <c r="BM2046" s="1"/>
      <c r="BN2046" s="1"/>
      <c r="CD2046" s="1"/>
      <c r="CM2046" s="2"/>
      <c r="ED2046" s="1"/>
      <c r="EL2046" s="1"/>
      <c r="EM2046" s="1"/>
      <c r="EN2046" s="1"/>
      <c r="EQ2046" s="1"/>
      <c r="ER2046" s="1"/>
      <c r="ES2046" s="1"/>
      <c r="EV2046" s="1"/>
      <c r="EW2046" s="1"/>
      <c r="EZ2046" s="1"/>
      <c r="GO2046" s="1"/>
      <c r="IS2046" s="1"/>
      <c r="IZ2046" s="1"/>
      <c r="JH2046" s="1"/>
      <c r="JJ2046" s="1"/>
      <c r="JP2046" s="1"/>
      <c r="JQ2046" s="1"/>
    </row>
    <row r="2047" spans="4:339" ht="13" x14ac:dyDescent="0.15">
      <c r="D2047" s="12"/>
      <c r="E2047" s="12"/>
      <c r="I2047" s="12"/>
      <c r="J2047" s="13"/>
      <c r="BG2047" s="1"/>
      <c r="BH2047" s="1"/>
      <c r="BK2047" s="1"/>
      <c r="BL2047" s="1"/>
      <c r="BM2047" s="1"/>
      <c r="BN2047" s="1"/>
      <c r="CD2047" s="1"/>
      <c r="CM2047" s="2"/>
      <c r="ED2047" s="1"/>
      <c r="EL2047" s="1"/>
      <c r="EM2047" s="1"/>
      <c r="EN2047" s="1"/>
      <c r="EQ2047" s="1"/>
      <c r="ER2047" s="1"/>
      <c r="ES2047" s="1"/>
      <c r="EV2047" s="1"/>
      <c r="EW2047" s="1"/>
      <c r="EZ2047" s="1"/>
      <c r="GO2047" s="1"/>
      <c r="IS2047" s="1"/>
      <c r="IZ2047" s="1"/>
      <c r="JH2047" s="1"/>
      <c r="JJ2047" s="1"/>
      <c r="JP2047" s="1"/>
      <c r="JQ2047" s="1"/>
    </row>
    <row r="2048" spans="4:339" ht="13" x14ac:dyDescent="0.15">
      <c r="D2048" s="12"/>
      <c r="E2048" s="12"/>
      <c r="I2048" s="12"/>
      <c r="J2048" s="13"/>
      <c r="BG2048" s="1"/>
      <c r="BH2048" s="1"/>
      <c r="BK2048" s="1"/>
      <c r="BL2048" s="1"/>
      <c r="BM2048" s="1"/>
      <c r="BN2048" s="1"/>
      <c r="CD2048" s="1"/>
      <c r="CM2048" s="2"/>
      <c r="ED2048" s="1"/>
      <c r="EL2048" s="1"/>
      <c r="EM2048" s="1"/>
      <c r="EN2048" s="1"/>
      <c r="EQ2048" s="1"/>
      <c r="ER2048" s="1"/>
      <c r="ES2048" s="1"/>
      <c r="EV2048" s="1"/>
      <c r="EW2048" s="1"/>
      <c r="EZ2048" s="1"/>
      <c r="GO2048" s="1"/>
      <c r="IS2048" s="1"/>
      <c r="IZ2048" s="1"/>
      <c r="JH2048" s="1"/>
      <c r="JJ2048" s="1"/>
      <c r="JP2048" s="1"/>
      <c r="JQ2048" s="1"/>
    </row>
    <row r="2049" spans="4:339" ht="13" x14ac:dyDescent="0.15">
      <c r="D2049" s="12"/>
      <c r="E2049" s="12"/>
      <c r="I2049" s="12"/>
      <c r="J2049" s="13"/>
      <c r="BG2049" s="1"/>
      <c r="BH2049" s="1"/>
      <c r="BK2049" s="1"/>
      <c r="BL2049" s="1"/>
      <c r="BM2049" s="1"/>
      <c r="BN2049" s="1"/>
      <c r="CD2049" s="1"/>
      <c r="CM2049" s="2"/>
      <c r="ED2049" s="1"/>
      <c r="EL2049" s="1"/>
      <c r="EM2049" s="1"/>
      <c r="EN2049" s="1"/>
      <c r="EQ2049" s="1"/>
      <c r="ER2049" s="1"/>
      <c r="ES2049" s="1"/>
      <c r="EV2049" s="1"/>
      <c r="EW2049" s="1"/>
      <c r="EZ2049" s="1"/>
      <c r="GO2049" s="1"/>
      <c r="IS2049" s="1"/>
      <c r="IZ2049" s="1"/>
      <c r="JH2049" s="1"/>
      <c r="JJ2049" s="1"/>
      <c r="JP2049" s="1"/>
      <c r="JQ2049" s="1"/>
    </row>
    <row r="2050" spans="4:339" ht="13" x14ac:dyDescent="0.15">
      <c r="D2050" s="12"/>
      <c r="E2050" s="12"/>
      <c r="I2050" s="12"/>
      <c r="J2050" s="13"/>
      <c r="BG2050" s="1"/>
      <c r="BH2050" s="1"/>
      <c r="BK2050" s="1"/>
      <c r="BL2050" s="1"/>
      <c r="BM2050" s="1"/>
      <c r="BN2050" s="1"/>
      <c r="CD2050" s="1"/>
      <c r="CM2050" s="2"/>
      <c r="ED2050" s="1"/>
      <c r="EL2050" s="1"/>
      <c r="EM2050" s="1"/>
      <c r="EN2050" s="1"/>
      <c r="EQ2050" s="1"/>
      <c r="ER2050" s="1"/>
      <c r="ES2050" s="1"/>
      <c r="EV2050" s="1"/>
      <c r="EW2050" s="1"/>
      <c r="EZ2050" s="1"/>
      <c r="GO2050" s="1"/>
      <c r="IS2050" s="1"/>
      <c r="IZ2050" s="1"/>
      <c r="JH2050" s="1"/>
      <c r="JJ2050" s="1"/>
      <c r="JP2050" s="1"/>
      <c r="JQ2050" s="1"/>
    </row>
    <row r="2051" spans="4:339" ht="13" x14ac:dyDescent="0.15">
      <c r="D2051" s="12"/>
      <c r="E2051" s="12"/>
      <c r="I2051" s="12"/>
      <c r="J2051" s="13"/>
      <c r="BG2051" s="1"/>
      <c r="BH2051" s="1"/>
      <c r="BK2051" s="1"/>
      <c r="BL2051" s="1"/>
      <c r="BM2051" s="1"/>
      <c r="BN2051" s="1"/>
      <c r="CD2051" s="1"/>
      <c r="CM2051" s="2"/>
      <c r="ED2051" s="1"/>
      <c r="EL2051" s="1"/>
      <c r="EM2051" s="1"/>
      <c r="EN2051" s="1"/>
      <c r="EQ2051" s="1"/>
      <c r="ER2051" s="1"/>
      <c r="ES2051" s="1"/>
      <c r="EV2051" s="1"/>
      <c r="EW2051" s="1"/>
      <c r="EZ2051" s="1"/>
      <c r="GO2051" s="1"/>
      <c r="IS2051" s="1"/>
      <c r="IZ2051" s="1"/>
      <c r="JH2051" s="1"/>
      <c r="JJ2051" s="1"/>
      <c r="JP2051" s="1"/>
      <c r="JQ2051" s="1"/>
    </row>
    <row r="2052" spans="4:339" ht="13" x14ac:dyDescent="0.15">
      <c r="D2052" s="12"/>
      <c r="E2052" s="12"/>
      <c r="I2052" s="12"/>
      <c r="J2052" s="13"/>
      <c r="BG2052" s="1"/>
      <c r="BH2052" s="1"/>
      <c r="BK2052" s="1"/>
      <c r="BL2052" s="1"/>
      <c r="BM2052" s="1"/>
      <c r="BN2052" s="1"/>
      <c r="CD2052" s="1"/>
      <c r="CM2052" s="2"/>
      <c r="ED2052" s="1"/>
      <c r="EL2052" s="1"/>
      <c r="EM2052" s="1"/>
      <c r="EN2052" s="1"/>
      <c r="EQ2052" s="1"/>
      <c r="ER2052" s="1"/>
      <c r="ES2052" s="1"/>
      <c r="EV2052" s="1"/>
      <c r="EW2052" s="1"/>
      <c r="EZ2052" s="1"/>
      <c r="GO2052" s="1"/>
      <c r="IS2052" s="1"/>
      <c r="IZ2052" s="1"/>
      <c r="JH2052" s="1"/>
      <c r="JJ2052" s="1"/>
      <c r="JP2052" s="1"/>
      <c r="JQ2052" s="1"/>
    </row>
    <row r="2053" spans="4:339" ht="13" x14ac:dyDescent="0.15">
      <c r="D2053" s="12"/>
      <c r="E2053" s="12"/>
      <c r="I2053" s="12"/>
      <c r="J2053" s="13"/>
      <c r="BG2053" s="1"/>
      <c r="BH2053" s="1"/>
      <c r="BK2053" s="1"/>
      <c r="BL2053" s="1"/>
      <c r="BM2053" s="1"/>
      <c r="BN2053" s="1"/>
      <c r="CD2053" s="1"/>
      <c r="CM2053" s="2"/>
      <c r="ED2053" s="1"/>
      <c r="EL2053" s="1"/>
      <c r="EM2053" s="1"/>
      <c r="EN2053" s="1"/>
      <c r="EQ2053" s="1"/>
      <c r="ER2053" s="1"/>
      <c r="ES2053" s="1"/>
      <c r="EV2053" s="1"/>
      <c r="EW2053" s="1"/>
      <c r="EZ2053" s="1"/>
      <c r="GO2053" s="1"/>
      <c r="IS2053" s="1"/>
      <c r="IZ2053" s="1"/>
      <c r="JH2053" s="1"/>
      <c r="JJ2053" s="1"/>
      <c r="JP2053" s="1"/>
      <c r="JQ2053" s="1"/>
    </row>
    <row r="2054" spans="4:339" ht="13" x14ac:dyDescent="0.15">
      <c r="D2054" s="12"/>
      <c r="E2054" s="12"/>
      <c r="I2054" s="12"/>
      <c r="J2054" s="13"/>
      <c r="BG2054" s="1"/>
      <c r="BH2054" s="1"/>
      <c r="BK2054" s="1"/>
      <c r="BL2054" s="1"/>
      <c r="BM2054" s="1"/>
      <c r="BN2054" s="1"/>
      <c r="CD2054" s="1"/>
      <c r="CM2054" s="2"/>
      <c r="ED2054" s="1"/>
      <c r="EL2054" s="1"/>
      <c r="EM2054" s="1"/>
      <c r="EN2054" s="1"/>
      <c r="EQ2054" s="1"/>
      <c r="ER2054" s="1"/>
      <c r="ES2054" s="1"/>
      <c r="EV2054" s="1"/>
      <c r="EW2054" s="1"/>
      <c r="EZ2054" s="1"/>
      <c r="GO2054" s="1"/>
      <c r="IS2054" s="1"/>
      <c r="IZ2054" s="1"/>
      <c r="JH2054" s="1"/>
      <c r="JJ2054" s="1"/>
      <c r="JP2054" s="1"/>
      <c r="JQ2054" s="1"/>
    </row>
    <row r="2055" spans="4:339" ht="13" x14ac:dyDescent="0.15">
      <c r="D2055" s="12"/>
      <c r="E2055" s="12"/>
      <c r="I2055" s="12"/>
      <c r="J2055" s="13"/>
      <c r="BG2055" s="1"/>
      <c r="BH2055" s="1"/>
      <c r="BK2055" s="1"/>
      <c r="BL2055" s="1"/>
      <c r="BM2055" s="1"/>
      <c r="BN2055" s="1"/>
      <c r="CD2055" s="1"/>
      <c r="CM2055" s="2"/>
      <c r="ED2055" s="1"/>
      <c r="EL2055" s="1"/>
      <c r="EM2055" s="1"/>
      <c r="EN2055" s="1"/>
      <c r="EQ2055" s="1"/>
      <c r="ER2055" s="1"/>
      <c r="ES2055" s="1"/>
      <c r="EV2055" s="1"/>
      <c r="EW2055" s="1"/>
      <c r="EZ2055" s="1"/>
      <c r="GO2055" s="1"/>
      <c r="IS2055" s="1"/>
      <c r="IZ2055" s="1"/>
      <c r="JH2055" s="1"/>
      <c r="JJ2055" s="1"/>
      <c r="JP2055" s="1"/>
      <c r="JQ2055" s="1"/>
    </row>
    <row r="2056" spans="4:339" ht="13" x14ac:dyDescent="0.15">
      <c r="D2056" s="12"/>
      <c r="E2056" s="12"/>
      <c r="I2056" s="12"/>
      <c r="J2056" s="13"/>
      <c r="BG2056" s="1"/>
      <c r="BH2056" s="1"/>
      <c r="BK2056" s="1"/>
      <c r="BL2056" s="1"/>
      <c r="BM2056" s="1"/>
      <c r="BN2056" s="1"/>
      <c r="CD2056" s="1"/>
      <c r="CM2056" s="2"/>
      <c r="ED2056" s="1"/>
      <c r="EL2056" s="1"/>
      <c r="EM2056" s="1"/>
      <c r="EN2056" s="1"/>
      <c r="EQ2056" s="1"/>
      <c r="ER2056" s="1"/>
      <c r="ES2056" s="1"/>
      <c r="EV2056" s="1"/>
      <c r="EW2056" s="1"/>
      <c r="EZ2056" s="1"/>
      <c r="GO2056" s="1"/>
      <c r="IS2056" s="1"/>
      <c r="IZ2056" s="1"/>
      <c r="JH2056" s="1"/>
      <c r="JJ2056" s="1"/>
      <c r="JP2056" s="1"/>
      <c r="JQ2056" s="1"/>
    </row>
    <row r="2057" spans="4:339" ht="13" x14ac:dyDescent="0.15">
      <c r="D2057" s="12"/>
      <c r="E2057" s="12"/>
      <c r="I2057" s="12"/>
      <c r="J2057" s="13"/>
      <c r="BG2057" s="1"/>
      <c r="BH2057" s="1"/>
      <c r="BK2057" s="1"/>
      <c r="BL2057" s="1"/>
      <c r="BM2057" s="1"/>
      <c r="BN2057" s="1"/>
      <c r="CD2057" s="1"/>
      <c r="CM2057" s="2"/>
      <c r="ED2057" s="1"/>
      <c r="EL2057" s="1"/>
      <c r="EM2057" s="1"/>
      <c r="EN2057" s="1"/>
      <c r="EQ2057" s="1"/>
      <c r="ER2057" s="1"/>
      <c r="ES2057" s="1"/>
      <c r="EV2057" s="1"/>
      <c r="EW2057" s="1"/>
      <c r="EZ2057" s="1"/>
      <c r="GO2057" s="1"/>
      <c r="IS2057" s="1"/>
      <c r="IZ2057" s="1"/>
      <c r="JH2057" s="1"/>
      <c r="JJ2057" s="1"/>
      <c r="JP2057" s="1"/>
      <c r="JQ2057" s="1"/>
    </row>
    <row r="2058" spans="4:339" ht="13" x14ac:dyDescent="0.15">
      <c r="D2058" s="12"/>
      <c r="E2058" s="12"/>
      <c r="I2058" s="12"/>
      <c r="J2058" s="13"/>
      <c r="BG2058" s="1"/>
      <c r="BH2058" s="1"/>
      <c r="BK2058" s="1"/>
      <c r="BL2058" s="1"/>
      <c r="BM2058" s="1"/>
      <c r="BN2058" s="1"/>
      <c r="CD2058" s="1"/>
      <c r="CM2058" s="2"/>
      <c r="ED2058" s="1"/>
      <c r="EL2058" s="1"/>
      <c r="EM2058" s="1"/>
      <c r="EN2058" s="1"/>
      <c r="EQ2058" s="1"/>
      <c r="ER2058" s="1"/>
      <c r="ES2058" s="1"/>
      <c r="EV2058" s="1"/>
      <c r="EW2058" s="1"/>
      <c r="EZ2058" s="1"/>
      <c r="GO2058" s="1"/>
      <c r="IS2058" s="1"/>
      <c r="IZ2058" s="1"/>
      <c r="JH2058" s="1"/>
      <c r="JJ2058" s="1"/>
      <c r="JP2058" s="1"/>
      <c r="JQ2058" s="1"/>
    </row>
    <row r="2059" spans="4:339" ht="13" x14ac:dyDescent="0.15">
      <c r="D2059" s="12"/>
      <c r="E2059" s="12"/>
      <c r="I2059" s="12"/>
      <c r="J2059" s="13"/>
      <c r="BG2059" s="1"/>
      <c r="BH2059" s="1"/>
      <c r="BK2059" s="1"/>
      <c r="BL2059" s="1"/>
      <c r="BM2059" s="1"/>
      <c r="BN2059" s="1"/>
      <c r="CD2059" s="1"/>
      <c r="CM2059" s="2"/>
      <c r="ED2059" s="1"/>
      <c r="EL2059" s="1"/>
      <c r="EM2059" s="1"/>
      <c r="EN2059" s="1"/>
      <c r="EQ2059" s="1"/>
      <c r="ER2059" s="1"/>
      <c r="ES2059" s="1"/>
      <c r="EV2059" s="1"/>
      <c r="EW2059" s="1"/>
      <c r="EZ2059" s="1"/>
      <c r="GO2059" s="1"/>
      <c r="IS2059" s="1"/>
      <c r="IZ2059" s="1"/>
      <c r="JH2059" s="1"/>
      <c r="JJ2059" s="1"/>
      <c r="JP2059" s="1"/>
      <c r="JQ2059" s="1"/>
    </row>
    <row r="2060" spans="4:339" ht="13" x14ac:dyDescent="0.15">
      <c r="D2060" s="12"/>
      <c r="E2060" s="12"/>
      <c r="I2060" s="12"/>
      <c r="J2060" s="13"/>
      <c r="BG2060" s="1"/>
      <c r="BH2060" s="1"/>
      <c r="BK2060" s="1"/>
      <c r="BL2060" s="1"/>
      <c r="BM2060" s="1"/>
      <c r="BN2060" s="1"/>
      <c r="CD2060" s="1"/>
      <c r="CM2060" s="2"/>
      <c r="ED2060" s="1"/>
      <c r="EL2060" s="1"/>
      <c r="EM2060" s="1"/>
      <c r="EN2060" s="1"/>
      <c r="EQ2060" s="1"/>
      <c r="ER2060" s="1"/>
      <c r="ES2060" s="1"/>
      <c r="EV2060" s="1"/>
      <c r="EW2060" s="1"/>
      <c r="EZ2060" s="1"/>
      <c r="GO2060" s="1"/>
      <c r="IS2060" s="1"/>
      <c r="IZ2060" s="1"/>
      <c r="JH2060" s="1"/>
      <c r="JJ2060" s="1"/>
      <c r="JP2060" s="1"/>
      <c r="JQ2060" s="1"/>
    </row>
    <row r="2061" spans="4:339" ht="13" x14ac:dyDescent="0.15">
      <c r="D2061" s="12"/>
      <c r="E2061" s="12"/>
      <c r="I2061" s="12"/>
      <c r="J2061" s="13"/>
      <c r="BG2061" s="1"/>
      <c r="BH2061" s="1"/>
      <c r="BK2061" s="1"/>
      <c r="BL2061" s="1"/>
      <c r="BM2061" s="1"/>
      <c r="BN2061" s="1"/>
      <c r="CD2061" s="1"/>
      <c r="CM2061" s="2"/>
      <c r="ED2061" s="1"/>
      <c r="EL2061" s="1"/>
      <c r="EM2061" s="1"/>
      <c r="EN2061" s="1"/>
      <c r="EQ2061" s="1"/>
      <c r="ER2061" s="1"/>
      <c r="ES2061" s="1"/>
      <c r="EV2061" s="1"/>
      <c r="EW2061" s="1"/>
      <c r="EZ2061" s="1"/>
      <c r="GO2061" s="1"/>
      <c r="IS2061" s="1"/>
      <c r="IZ2061" s="1"/>
      <c r="JH2061" s="1"/>
      <c r="JJ2061" s="1"/>
      <c r="JP2061" s="1"/>
      <c r="JQ2061" s="1"/>
    </row>
    <row r="2062" spans="4:339" ht="13" x14ac:dyDescent="0.15">
      <c r="D2062" s="12"/>
      <c r="E2062" s="12"/>
      <c r="I2062" s="12"/>
      <c r="J2062" s="13"/>
      <c r="BF2062" s="1"/>
      <c r="BG2062" s="1"/>
      <c r="BH2062" s="1"/>
      <c r="BI2062" s="1"/>
      <c r="BK2062" s="1"/>
      <c r="BL2062" s="1"/>
      <c r="BM2062" s="1"/>
      <c r="BN2062" s="1"/>
      <c r="BO2062" s="1"/>
      <c r="BP2062" s="1"/>
      <c r="CD2062" s="1"/>
      <c r="CE2062" s="1"/>
      <c r="CF2062" s="1"/>
      <c r="CM2062" s="2"/>
      <c r="CP2062" s="1"/>
      <c r="CQ2062" s="1"/>
      <c r="CR2062" s="1"/>
      <c r="CT2062" s="1"/>
      <c r="CU2062" s="1"/>
      <c r="CV2062" s="1"/>
      <c r="CW2062" s="1"/>
      <c r="CX2062" s="1"/>
      <c r="CY2062" s="1"/>
      <c r="CZ2062" s="1"/>
      <c r="DA2062" s="1"/>
      <c r="DB2062" s="1"/>
      <c r="DC2062" s="1"/>
      <c r="DD2062" s="1"/>
      <c r="DE2062" s="1"/>
      <c r="DF2062" s="1"/>
      <c r="DG2062" s="1"/>
      <c r="DH2062" s="1"/>
      <c r="DI2062" s="1"/>
      <c r="DJ2062" s="1"/>
      <c r="DK2062" s="1"/>
      <c r="ED2062" s="1"/>
      <c r="EK2062" s="1"/>
      <c r="EL2062" s="1"/>
      <c r="EM2062" s="1"/>
      <c r="EN2062" s="1"/>
      <c r="EQ2062" s="1"/>
      <c r="ER2062" s="1"/>
      <c r="ES2062" s="1"/>
      <c r="EV2062" s="1"/>
      <c r="EW2062" s="1"/>
      <c r="EZ2062" s="1"/>
      <c r="GO2062" s="1"/>
      <c r="HY2062" s="1"/>
      <c r="IE2062" s="1"/>
      <c r="IS2062" s="1"/>
      <c r="IZ2062" s="1"/>
      <c r="JH2062" s="1"/>
      <c r="JJ2062" s="1"/>
      <c r="JP2062" s="1"/>
      <c r="JQ2062" s="1"/>
      <c r="LZ2062" s="1"/>
      <c r="MA2062" s="1"/>
    </row>
    <row r="2063" spans="4:339" ht="13" x14ac:dyDescent="0.15">
      <c r="D2063" s="12"/>
      <c r="E2063" s="12"/>
      <c r="I2063" s="12"/>
      <c r="J2063" s="13"/>
      <c r="BG2063" s="1"/>
      <c r="BH2063" s="1"/>
      <c r="BI2063" s="1"/>
      <c r="BK2063" s="1"/>
      <c r="BL2063" s="1"/>
      <c r="BM2063" s="1"/>
      <c r="BN2063" s="1"/>
      <c r="BO2063" s="1"/>
      <c r="CC2063" s="1"/>
      <c r="CD2063" s="1"/>
      <c r="CM2063" s="2"/>
      <c r="ED2063" s="1"/>
      <c r="EL2063" s="1"/>
      <c r="EM2063" s="1"/>
      <c r="EN2063" s="1"/>
      <c r="EQ2063" s="1"/>
      <c r="ER2063" s="1"/>
      <c r="ES2063" s="1"/>
      <c r="EV2063" s="1"/>
      <c r="EW2063" s="1"/>
      <c r="EZ2063" s="1"/>
      <c r="HY2063" s="1"/>
      <c r="IS2063" s="1"/>
      <c r="IY2063" s="1"/>
      <c r="IZ2063" s="1"/>
      <c r="JJ2063" s="1"/>
      <c r="JN2063" s="1"/>
      <c r="JP2063" s="1"/>
      <c r="JQ2063" s="1"/>
    </row>
    <row r="2064" spans="4:339" ht="13" x14ac:dyDescent="0.15">
      <c r="D2064" s="12"/>
      <c r="E2064" s="12"/>
      <c r="I2064" s="12"/>
      <c r="J2064" s="13"/>
      <c r="BG2064" s="1"/>
      <c r="BH2064" s="1"/>
      <c r="BI2064" s="1"/>
      <c r="BK2064" s="1"/>
      <c r="BL2064" s="1"/>
      <c r="BM2064" s="1"/>
      <c r="BN2064" s="1"/>
      <c r="BO2064" s="1"/>
      <c r="CC2064" s="1"/>
      <c r="CD2064" s="1"/>
      <c r="CM2064" s="2"/>
      <c r="ED2064" s="1"/>
      <c r="EL2064" s="1"/>
      <c r="EM2064" s="1"/>
      <c r="EN2064" s="1"/>
      <c r="EQ2064" s="1"/>
      <c r="ER2064" s="1"/>
      <c r="ES2064" s="1"/>
      <c r="EV2064" s="1"/>
      <c r="EW2064" s="1"/>
      <c r="EZ2064" s="1"/>
      <c r="HY2064" s="1"/>
      <c r="IS2064" s="1"/>
      <c r="IY2064" s="1"/>
      <c r="IZ2064" s="1"/>
      <c r="JJ2064" s="1"/>
      <c r="JN2064" s="1"/>
      <c r="JP2064" s="1"/>
      <c r="JQ2064" s="1"/>
    </row>
    <row r="2065" spans="4:339" ht="13" x14ac:dyDescent="0.15">
      <c r="D2065" s="12"/>
      <c r="E2065" s="12"/>
      <c r="I2065" s="12"/>
      <c r="J2065" s="13"/>
      <c r="BG2065" s="1"/>
      <c r="BH2065" s="1"/>
      <c r="BI2065" s="1"/>
      <c r="BK2065" s="1"/>
      <c r="BL2065" s="1"/>
      <c r="BM2065" s="1"/>
      <c r="BN2065" s="1"/>
      <c r="BO2065" s="1"/>
      <c r="BP2065" s="1"/>
      <c r="CC2065" s="1"/>
      <c r="CD2065" s="1"/>
      <c r="CE2065" s="1"/>
      <c r="CF2065" s="1"/>
      <c r="CG2065" s="1"/>
      <c r="CM2065" s="4"/>
      <c r="CP2065" s="1"/>
      <c r="CQ2065" s="1"/>
      <c r="CS2065" s="1"/>
      <c r="CV2065" s="1"/>
      <c r="CW2065" s="1"/>
      <c r="CX2065" s="1"/>
      <c r="CY2065" s="1"/>
      <c r="CZ2065" s="1"/>
      <c r="DA2065" s="1"/>
      <c r="DB2065" s="1"/>
      <c r="DC2065" s="1"/>
      <c r="DD2065" s="1"/>
      <c r="DE2065" s="1"/>
      <c r="DF2065" s="1"/>
      <c r="DG2065" s="1"/>
      <c r="DH2065" s="1"/>
      <c r="DI2065" s="1"/>
      <c r="DJ2065" s="1"/>
      <c r="DK2065" s="1"/>
      <c r="ED2065" s="1"/>
      <c r="EK2065" s="1"/>
      <c r="EL2065" s="1"/>
      <c r="EM2065" s="1"/>
      <c r="EN2065" s="1"/>
      <c r="EQ2065" s="1"/>
      <c r="ER2065" s="1"/>
      <c r="ES2065" s="1"/>
      <c r="EV2065" s="1"/>
      <c r="EW2065" s="1"/>
      <c r="EZ2065" s="1"/>
      <c r="GO2065" s="1"/>
      <c r="GP2065" s="1"/>
      <c r="HY2065" s="1"/>
      <c r="IE2065" s="1"/>
      <c r="IS2065" s="1"/>
      <c r="IY2065" s="1"/>
      <c r="IZ2065" s="1"/>
      <c r="JH2065" s="1"/>
      <c r="JJ2065" s="1"/>
      <c r="JN2065" s="1"/>
      <c r="JP2065" s="1"/>
      <c r="JQ2065" s="1"/>
      <c r="LZ2065" s="1"/>
      <c r="MA2065" s="1"/>
    </row>
    <row r="2066" spans="4:339" ht="13" x14ac:dyDescent="0.15">
      <c r="D2066" s="12"/>
      <c r="E2066" s="12"/>
      <c r="I2066" s="12"/>
      <c r="J2066" s="13"/>
      <c r="BG2066" s="1"/>
      <c r="BH2066" s="1"/>
      <c r="BI2066" s="1"/>
      <c r="BK2066" s="1"/>
      <c r="BL2066" s="1"/>
      <c r="BM2066" s="1"/>
      <c r="BN2066" s="1"/>
      <c r="BO2066" s="1"/>
      <c r="BP2066" s="1"/>
      <c r="CC2066" s="1"/>
      <c r="CD2066" s="1"/>
      <c r="CE2066" s="1"/>
      <c r="CF2066" s="1"/>
      <c r="CG2066" s="1"/>
      <c r="CM2066" s="4"/>
      <c r="CP2066" s="1"/>
      <c r="CQ2066" s="1"/>
      <c r="CS2066" s="1"/>
      <c r="CV2066" s="1"/>
      <c r="CW2066" s="1"/>
      <c r="CX2066" s="1"/>
      <c r="CY2066" s="1"/>
      <c r="CZ2066" s="1"/>
      <c r="DA2066" s="1"/>
      <c r="DB2066" s="1"/>
      <c r="DC2066" s="1"/>
      <c r="DD2066" s="1"/>
      <c r="DE2066" s="1"/>
      <c r="DF2066" s="1"/>
      <c r="DG2066" s="1"/>
      <c r="DH2066" s="1"/>
      <c r="DI2066" s="1"/>
      <c r="DJ2066" s="1"/>
      <c r="DK2066" s="1"/>
      <c r="ED2066" s="1"/>
      <c r="EK2066" s="1"/>
      <c r="EL2066" s="1"/>
      <c r="EM2066" s="1"/>
      <c r="EN2066" s="1"/>
      <c r="EQ2066" s="1"/>
      <c r="ER2066" s="1"/>
      <c r="ES2066" s="1"/>
      <c r="EV2066" s="1"/>
      <c r="EW2066" s="1"/>
      <c r="EZ2066" s="1"/>
      <c r="GO2066" s="1"/>
      <c r="GP2066" s="1"/>
      <c r="HY2066" s="1"/>
      <c r="IE2066" s="1"/>
      <c r="IS2066" s="1"/>
      <c r="IY2066" s="1"/>
      <c r="IZ2066" s="1"/>
      <c r="JH2066" s="1"/>
      <c r="JJ2066" s="1"/>
      <c r="JN2066" s="1"/>
      <c r="JP2066" s="1"/>
      <c r="JQ2066" s="1"/>
      <c r="LZ2066" s="1"/>
      <c r="MA2066" s="1"/>
    </row>
    <row r="2067" spans="4:339" ht="13" x14ac:dyDescent="0.15">
      <c r="D2067" s="12"/>
      <c r="E2067" s="12"/>
      <c r="I2067" s="12"/>
      <c r="J2067" s="13"/>
      <c r="BG2067" s="1"/>
      <c r="BH2067" s="1"/>
      <c r="BI2067" s="1"/>
      <c r="BK2067" s="1"/>
      <c r="BL2067" s="1"/>
      <c r="BM2067" s="1"/>
      <c r="BN2067" s="1"/>
      <c r="BO2067" s="1"/>
      <c r="BP2067" s="1"/>
      <c r="CC2067" s="1"/>
      <c r="CD2067" s="1"/>
      <c r="CE2067" s="1"/>
      <c r="CF2067" s="1"/>
      <c r="CG2067" s="1"/>
      <c r="CM2067" s="4"/>
      <c r="CP2067" s="1"/>
      <c r="CQ2067" s="1"/>
      <c r="CS2067" s="1"/>
      <c r="CV2067" s="1"/>
      <c r="CW2067" s="1"/>
      <c r="CX2067" s="1"/>
      <c r="CY2067" s="1"/>
      <c r="CZ2067" s="1"/>
      <c r="DA2067" s="1"/>
      <c r="DB2067" s="1"/>
      <c r="DC2067" s="1"/>
      <c r="DD2067" s="1"/>
      <c r="DE2067" s="1"/>
      <c r="DF2067" s="1"/>
      <c r="DG2067" s="1"/>
      <c r="DH2067" s="1"/>
      <c r="DI2067" s="1"/>
      <c r="DJ2067" s="1"/>
      <c r="DK2067" s="1"/>
      <c r="ED2067" s="1"/>
      <c r="EK2067" s="1"/>
      <c r="EL2067" s="1"/>
      <c r="EM2067" s="1"/>
      <c r="EN2067" s="1"/>
      <c r="EQ2067" s="1"/>
      <c r="ER2067" s="1"/>
      <c r="ES2067" s="1"/>
      <c r="EV2067" s="1"/>
      <c r="EW2067" s="1"/>
      <c r="EZ2067" s="1"/>
      <c r="GO2067" s="1"/>
      <c r="GP2067" s="1"/>
      <c r="HY2067" s="1"/>
      <c r="IE2067" s="1"/>
      <c r="IS2067" s="1"/>
      <c r="IY2067" s="1"/>
      <c r="IZ2067" s="1"/>
      <c r="JH2067" s="1"/>
      <c r="JJ2067" s="1"/>
      <c r="JN2067" s="1"/>
      <c r="JP2067" s="1"/>
      <c r="JQ2067" s="1"/>
      <c r="LZ2067" s="1"/>
      <c r="MA2067" s="1"/>
    </row>
    <row r="2068" spans="4:339" ht="13" x14ac:dyDescent="0.15">
      <c r="D2068" s="12"/>
      <c r="E2068" s="12"/>
      <c r="I2068" s="12"/>
      <c r="J2068" s="13"/>
      <c r="BG2068" s="1"/>
      <c r="BH2068" s="1"/>
      <c r="BI2068" s="1"/>
      <c r="BK2068" s="1"/>
      <c r="BL2068" s="1"/>
      <c r="BM2068" s="1"/>
      <c r="BN2068" s="1"/>
      <c r="BO2068" s="1"/>
      <c r="BP2068" s="1"/>
      <c r="CC2068" s="1"/>
      <c r="CD2068" s="1"/>
      <c r="CE2068" s="1"/>
      <c r="CF2068" s="1"/>
      <c r="CG2068" s="1"/>
      <c r="CM2068" s="4"/>
      <c r="CP2068" s="1"/>
      <c r="CQ2068" s="1"/>
      <c r="CS2068" s="1"/>
      <c r="CV2068" s="1"/>
      <c r="CW2068" s="1"/>
      <c r="CX2068" s="1"/>
      <c r="CY2068" s="1"/>
      <c r="CZ2068" s="1"/>
      <c r="DA2068" s="1"/>
      <c r="DB2068" s="1"/>
      <c r="DC2068" s="1"/>
      <c r="DD2068" s="1"/>
      <c r="DE2068" s="1"/>
      <c r="DF2068" s="1"/>
      <c r="DG2068" s="1"/>
      <c r="DH2068" s="1"/>
      <c r="DI2068" s="1"/>
      <c r="DJ2068" s="1"/>
      <c r="DK2068" s="1"/>
      <c r="ED2068" s="1"/>
      <c r="EK2068" s="1"/>
      <c r="EL2068" s="1"/>
      <c r="EM2068" s="1"/>
      <c r="EN2068" s="1"/>
      <c r="EQ2068" s="1"/>
      <c r="ER2068" s="1"/>
      <c r="ES2068" s="1"/>
      <c r="EV2068" s="1"/>
      <c r="EW2068" s="1"/>
      <c r="EZ2068" s="1"/>
      <c r="GO2068" s="1"/>
      <c r="GP2068" s="1"/>
      <c r="HY2068" s="1"/>
      <c r="IE2068" s="1"/>
      <c r="IS2068" s="1"/>
      <c r="IY2068" s="1"/>
      <c r="IZ2068" s="1"/>
      <c r="JH2068" s="1"/>
      <c r="JJ2068" s="1"/>
      <c r="JN2068" s="1"/>
      <c r="JP2068" s="1"/>
      <c r="JQ2068" s="1"/>
      <c r="LZ2068" s="1"/>
      <c r="MA2068" s="1"/>
    </row>
    <row r="2069" spans="4:339" ht="13" x14ac:dyDescent="0.15">
      <c r="D2069" s="12"/>
      <c r="E2069" s="12"/>
      <c r="I2069" s="12"/>
      <c r="J2069" s="13"/>
      <c r="BG2069" s="1"/>
      <c r="BH2069" s="1"/>
      <c r="BI2069" s="1"/>
      <c r="BK2069" s="1"/>
      <c r="BL2069" s="1"/>
      <c r="BM2069" s="1"/>
      <c r="BN2069" s="1"/>
      <c r="BO2069" s="1"/>
      <c r="BP2069" s="1"/>
      <c r="CC2069" s="1"/>
      <c r="CD2069" s="1"/>
      <c r="CE2069" s="1"/>
      <c r="CF2069" s="1"/>
      <c r="CG2069" s="1"/>
      <c r="CM2069" s="4"/>
      <c r="CP2069" s="1"/>
      <c r="CQ2069" s="1"/>
      <c r="CS2069" s="1"/>
      <c r="CV2069" s="1"/>
      <c r="CW2069" s="1"/>
      <c r="CX2069" s="1"/>
      <c r="CY2069" s="1"/>
      <c r="CZ2069" s="1"/>
      <c r="DA2069" s="1"/>
      <c r="DB2069" s="1"/>
      <c r="DC2069" s="1"/>
      <c r="DD2069" s="1"/>
      <c r="DE2069" s="1"/>
      <c r="DF2069" s="1"/>
      <c r="DG2069" s="1"/>
      <c r="DH2069" s="1"/>
      <c r="DI2069" s="1"/>
      <c r="DJ2069" s="1"/>
      <c r="DK2069" s="1"/>
      <c r="ED2069" s="1"/>
      <c r="EK2069" s="1"/>
      <c r="EL2069" s="1"/>
      <c r="EM2069" s="1"/>
      <c r="EN2069" s="1"/>
      <c r="EQ2069" s="1"/>
      <c r="ER2069" s="1"/>
      <c r="ES2069" s="1"/>
      <c r="EV2069" s="1"/>
      <c r="EW2069" s="1"/>
      <c r="EZ2069" s="1"/>
      <c r="GO2069" s="1"/>
      <c r="GP2069" s="1"/>
      <c r="HY2069" s="1"/>
      <c r="IE2069" s="1"/>
      <c r="IS2069" s="1"/>
      <c r="IY2069" s="1"/>
      <c r="IZ2069" s="1"/>
      <c r="JH2069" s="1"/>
      <c r="JJ2069" s="1"/>
      <c r="JN2069" s="1"/>
      <c r="JP2069" s="1"/>
      <c r="JQ2069" s="1"/>
      <c r="LZ2069" s="1"/>
      <c r="MA2069" s="1"/>
    </row>
    <row r="2070" spans="4:339" ht="13" x14ac:dyDescent="0.15">
      <c r="D2070" s="12"/>
      <c r="E2070" s="12"/>
      <c r="I2070" s="12"/>
      <c r="J2070" s="13"/>
      <c r="BG2070" s="1"/>
      <c r="BH2070" s="1"/>
      <c r="BI2070" s="1"/>
      <c r="BK2070" s="1"/>
      <c r="BL2070" s="1"/>
      <c r="BM2070" s="1"/>
      <c r="BN2070" s="1"/>
      <c r="BO2070" s="1"/>
      <c r="BP2070" s="1"/>
      <c r="CC2070" s="1"/>
      <c r="CD2070" s="1"/>
      <c r="CE2070" s="1"/>
      <c r="CF2070" s="1"/>
      <c r="CG2070" s="1"/>
      <c r="CM2070" s="4"/>
      <c r="CP2070" s="1"/>
      <c r="CQ2070" s="1"/>
      <c r="CS2070" s="1"/>
      <c r="CV2070" s="1"/>
      <c r="CW2070" s="1"/>
      <c r="CX2070" s="1"/>
      <c r="CY2070" s="1"/>
      <c r="CZ2070" s="1"/>
      <c r="DA2070" s="1"/>
      <c r="DB2070" s="1"/>
      <c r="DC2070" s="1"/>
      <c r="DD2070" s="1"/>
      <c r="DE2070" s="1"/>
      <c r="DF2070" s="1"/>
      <c r="DG2070" s="1"/>
      <c r="DH2070" s="1"/>
      <c r="DI2070" s="1"/>
      <c r="DJ2070" s="1"/>
      <c r="DK2070" s="1"/>
      <c r="ED2070" s="1"/>
      <c r="EK2070" s="1"/>
      <c r="EL2070" s="1"/>
      <c r="EM2070" s="1"/>
      <c r="EN2070" s="1"/>
      <c r="EQ2070" s="1"/>
      <c r="ER2070" s="1"/>
      <c r="ES2070" s="1"/>
      <c r="EV2070" s="1"/>
      <c r="EW2070" s="1"/>
      <c r="EZ2070" s="1"/>
      <c r="GO2070" s="1"/>
      <c r="GP2070" s="1"/>
      <c r="HY2070" s="1"/>
      <c r="IE2070" s="1"/>
      <c r="IS2070" s="1"/>
      <c r="IY2070" s="1"/>
      <c r="IZ2070" s="1"/>
      <c r="JH2070" s="1"/>
      <c r="JJ2070" s="1"/>
      <c r="JN2070" s="1"/>
      <c r="JP2070" s="1"/>
      <c r="JQ2070" s="1"/>
      <c r="LZ2070" s="1"/>
      <c r="MA2070" s="1"/>
    </row>
    <row r="2071" spans="4:339" ht="13" x14ac:dyDescent="0.15">
      <c r="D2071" s="12"/>
      <c r="E2071" s="12"/>
      <c r="I2071" s="12"/>
      <c r="J2071" s="13"/>
      <c r="BG2071" s="1"/>
      <c r="BH2071" s="1"/>
      <c r="BI2071" s="1"/>
      <c r="BK2071" s="1"/>
      <c r="BL2071" s="1"/>
      <c r="BM2071" s="1"/>
      <c r="BN2071" s="1"/>
      <c r="BO2071" s="1"/>
      <c r="BP2071" s="1"/>
      <c r="CC2071" s="1"/>
      <c r="CD2071" s="1"/>
      <c r="CE2071" s="1"/>
      <c r="CF2071" s="1"/>
      <c r="CG2071" s="1"/>
      <c r="CM2071" s="4"/>
      <c r="CP2071" s="1"/>
      <c r="CQ2071" s="1"/>
      <c r="CS2071" s="1"/>
      <c r="CV2071" s="1"/>
      <c r="CW2071" s="1"/>
      <c r="CX2071" s="1"/>
      <c r="CY2071" s="1"/>
      <c r="CZ2071" s="1"/>
      <c r="DA2071" s="1"/>
      <c r="DB2071" s="1"/>
      <c r="DC2071" s="1"/>
      <c r="DD2071" s="1"/>
      <c r="DE2071" s="1"/>
      <c r="DF2071" s="1"/>
      <c r="DG2071" s="1"/>
      <c r="DH2071" s="1"/>
      <c r="DI2071" s="1"/>
      <c r="DJ2071" s="1"/>
      <c r="DK2071" s="1"/>
      <c r="ED2071" s="1"/>
      <c r="EK2071" s="1"/>
      <c r="EL2071" s="1"/>
      <c r="EM2071" s="1"/>
      <c r="EN2071" s="1"/>
      <c r="EQ2071" s="1"/>
      <c r="ER2071" s="1"/>
      <c r="ES2071" s="1"/>
      <c r="EV2071" s="1"/>
      <c r="EW2071" s="1"/>
      <c r="EZ2071" s="1"/>
      <c r="GO2071" s="1"/>
      <c r="GP2071" s="1"/>
      <c r="HY2071" s="1"/>
      <c r="IE2071" s="1"/>
      <c r="IS2071" s="1"/>
      <c r="IY2071" s="1"/>
      <c r="IZ2071" s="1"/>
      <c r="JH2071" s="1"/>
      <c r="JJ2071" s="1"/>
      <c r="JN2071" s="1"/>
      <c r="JP2071" s="1"/>
      <c r="JQ2071" s="1"/>
      <c r="LZ2071" s="1"/>
      <c r="MA2071" s="1"/>
    </row>
    <row r="2072" spans="4:339" ht="13" x14ac:dyDescent="0.15">
      <c r="D2072" s="12"/>
      <c r="E2072" s="12"/>
      <c r="I2072" s="12"/>
      <c r="J2072" s="13"/>
      <c r="BG2072" s="1"/>
      <c r="BH2072" s="1"/>
      <c r="BI2072" s="1"/>
      <c r="BK2072" s="1"/>
      <c r="BL2072" s="1"/>
      <c r="BM2072" s="1"/>
      <c r="BN2072" s="1"/>
      <c r="BO2072" s="1"/>
      <c r="BP2072" s="1"/>
      <c r="CC2072" s="1"/>
      <c r="CD2072" s="1"/>
      <c r="CE2072" s="1"/>
      <c r="CF2072" s="1"/>
      <c r="CG2072" s="1"/>
      <c r="CM2072" s="4"/>
      <c r="CP2072" s="1"/>
      <c r="CQ2072" s="1"/>
      <c r="CS2072" s="1"/>
      <c r="CV2072" s="1"/>
      <c r="CW2072" s="1"/>
      <c r="CX2072" s="1"/>
      <c r="CY2072" s="1"/>
      <c r="CZ2072" s="1"/>
      <c r="DA2072" s="1"/>
      <c r="DB2072" s="1"/>
      <c r="DC2072" s="1"/>
      <c r="DD2072" s="1"/>
      <c r="DE2072" s="1"/>
      <c r="DF2072" s="1"/>
      <c r="DG2072" s="1"/>
      <c r="DH2072" s="1"/>
      <c r="DI2072" s="1"/>
      <c r="DJ2072" s="1"/>
      <c r="DK2072" s="1"/>
      <c r="ED2072" s="1"/>
      <c r="EK2072" s="1"/>
      <c r="EL2072" s="1"/>
      <c r="EM2072" s="1"/>
      <c r="EN2072" s="1"/>
      <c r="EQ2072" s="1"/>
      <c r="ER2072" s="1"/>
      <c r="ES2072" s="1"/>
      <c r="EV2072" s="1"/>
      <c r="EW2072" s="1"/>
      <c r="EZ2072" s="1"/>
      <c r="GO2072" s="1"/>
      <c r="GP2072" s="1"/>
      <c r="HY2072" s="1"/>
      <c r="IE2072" s="1"/>
      <c r="IS2072" s="1"/>
      <c r="IY2072" s="1"/>
      <c r="IZ2072" s="1"/>
      <c r="JH2072" s="1"/>
      <c r="JJ2072" s="1"/>
      <c r="JN2072" s="1"/>
      <c r="JP2072" s="1"/>
      <c r="JQ2072" s="1"/>
      <c r="LZ2072" s="1"/>
      <c r="MA2072" s="1"/>
    </row>
    <row r="2073" spans="4:339" ht="13" x14ac:dyDescent="0.15">
      <c r="D2073" s="12"/>
      <c r="E2073" s="12"/>
      <c r="I2073" s="12"/>
      <c r="J2073" s="13"/>
      <c r="BG2073" s="1"/>
      <c r="BH2073" s="1"/>
      <c r="BI2073" s="1"/>
      <c r="BK2073" s="1"/>
      <c r="BL2073" s="1"/>
      <c r="BM2073" s="1"/>
      <c r="BN2073" s="1"/>
      <c r="BO2073" s="1"/>
      <c r="BP2073" s="1"/>
      <c r="CC2073" s="1"/>
      <c r="CD2073" s="1"/>
      <c r="CE2073" s="1"/>
      <c r="CF2073" s="1"/>
      <c r="CG2073" s="1"/>
      <c r="CM2073" s="4"/>
      <c r="CP2073" s="1"/>
      <c r="CQ2073" s="1"/>
      <c r="CS2073" s="1"/>
      <c r="CV2073" s="1"/>
      <c r="CW2073" s="1"/>
      <c r="CX2073" s="1"/>
      <c r="CY2073" s="1"/>
      <c r="CZ2073" s="1"/>
      <c r="DA2073" s="1"/>
      <c r="DB2073" s="1"/>
      <c r="DC2073" s="1"/>
      <c r="DD2073" s="1"/>
      <c r="DE2073" s="1"/>
      <c r="DF2073" s="1"/>
      <c r="DG2073" s="1"/>
      <c r="DH2073" s="1"/>
      <c r="DI2073" s="1"/>
      <c r="DJ2073" s="1"/>
      <c r="DK2073" s="1"/>
      <c r="ED2073" s="1"/>
      <c r="EK2073" s="1"/>
      <c r="EL2073" s="1"/>
      <c r="EM2073" s="1"/>
      <c r="EN2073" s="1"/>
      <c r="EQ2073" s="1"/>
      <c r="ER2073" s="1"/>
      <c r="ES2073" s="1"/>
      <c r="EV2073" s="1"/>
      <c r="EW2073" s="1"/>
      <c r="EZ2073" s="1"/>
      <c r="GO2073" s="1"/>
      <c r="GP2073" s="1"/>
      <c r="HY2073" s="1"/>
      <c r="IE2073" s="1"/>
      <c r="IS2073" s="1"/>
      <c r="IY2073" s="1"/>
      <c r="IZ2073" s="1"/>
      <c r="JH2073" s="1"/>
      <c r="JJ2073" s="1"/>
      <c r="JN2073" s="1"/>
      <c r="JP2073" s="1"/>
      <c r="JQ2073" s="1"/>
      <c r="LZ2073" s="1"/>
      <c r="MA2073" s="1"/>
    </row>
    <row r="2074" spans="4:339" ht="13" x14ac:dyDescent="0.15">
      <c r="D2074" s="12"/>
      <c r="E2074" s="12"/>
      <c r="I2074" s="12"/>
      <c r="J2074" s="13"/>
      <c r="BG2074" s="1"/>
      <c r="BH2074" s="1"/>
      <c r="BI2074" s="1"/>
      <c r="BK2074" s="1"/>
      <c r="BL2074" s="1"/>
      <c r="BM2074" s="1"/>
      <c r="BN2074" s="1"/>
      <c r="BO2074" s="1"/>
      <c r="BP2074" s="1"/>
      <c r="CC2074" s="1"/>
      <c r="CD2074" s="1"/>
      <c r="CE2074" s="1"/>
      <c r="CF2074" s="1"/>
      <c r="CG2074" s="1"/>
      <c r="CM2074" s="4"/>
      <c r="CP2074" s="1"/>
      <c r="CQ2074" s="1"/>
      <c r="CS2074" s="1"/>
      <c r="CV2074" s="1"/>
      <c r="CW2074" s="1"/>
      <c r="CX2074" s="1"/>
      <c r="CY2074" s="1"/>
      <c r="CZ2074" s="1"/>
      <c r="DA2074" s="1"/>
      <c r="DB2074" s="1"/>
      <c r="DC2074" s="1"/>
      <c r="DD2074" s="1"/>
      <c r="DE2074" s="1"/>
      <c r="DF2074" s="1"/>
      <c r="DG2074" s="1"/>
      <c r="DH2074" s="1"/>
      <c r="DI2074" s="1"/>
      <c r="DJ2074" s="1"/>
      <c r="DK2074" s="1"/>
      <c r="ED2074" s="1"/>
      <c r="EK2074" s="1"/>
      <c r="EL2074" s="1"/>
      <c r="EM2074" s="1"/>
      <c r="EN2074" s="1"/>
      <c r="EQ2074" s="1"/>
      <c r="ER2074" s="1"/>
      <c r="ES2074" s="1"/>
      <c r="EV2074" s="1"/>
      <c r="EW2074" s="1"/>
      <c r="EZ2074" s="1"/>
      <c r="GO2074" s="1"/>
      <c r="GP2074" s="1"/>
      <c r="HY2074" s="1"/>
      <c r="IE2074" s="1"/>
      <c r="IS2074" s="1"/>
      <c r="IY2074" s="1"/>
      <c r="IZ2074" s="1"/>
      <c r="JH2074" s="1"/>
      <c r="JJ2074" s="1"/>
      <c r="JN2074" s="1"/>
      <c r="JP2074" s="1"/>
      <c r="JQ2074" s="1"/>
      <c r="LZ2074" s="1"/>
      <c r="MA2074" s="1"/>
    </row>
    <row r="2075" spans="4:339" ht="13" x14ac:dyDescent="0.15">
      <c r="D2075" s="12"/>
      <c r="E2075" s="12"/>
      <c r="I2075" s="12"/>
      <c r="J2075" s="13"/>
      <c r="BG2075" s="1"/>
      <c r="BH2075" s="1"/>
      <c r="BI2075" s="1"/>
      <c r="BK2075" s="1"/>
      <c r="BL2075" s="1"/>
      <c r="BM2075" s="1"/>
      <c r="BN2075" s="1"/>
      <c r="BO2075" s="1"/>
      <c r="BP2075" s="1"/>
      <c r="CC2075" s="1"/>
      <c r="CD2075" s="1"/>
      <c r="CE2075" s="1"/>
      <c r="CF2075" s="1"/>
      <c r="CG2075" s="1"/>
      <c r="CM2075" s="4"/>
      <c r="CP2075" s="1"/>
      <c r="CQ2075" s="1"/>
      <c r="CS2075" s="1"/>
      <c r="CV2075" s="1"/>
      <c r="CW2075" s="1"/>
      <c r="CX2075" s="1"/>
      <c r="CY2075" s="1"/>
      <c r="CZ2075" s="1"/>
      <c r="DA2075" s="1"/>
      <c r="DB2075" s="1"/>
      <c r="DC2075" s="1"/>
      <c r="DD2075" s="1"/>
      <c r="DE2075" s="1"/>
      <c r="DF2075" s="1"/>
      <c r="DG2075" s="1"/>
      <c r="DH2075" s="1"/>
      <c r="DI2075" s="1"/>
      <c r="DJ2075" s="1"/>
      <c r="DK2075" s="1"/>
      <c r="ED2075" s="1"/>
      <c r="EK2075" s="1"/>
      <c r="EL2075" s="1"/>
      <c r="EM2075" s="1"/>
      <c r="EN2075" s="1"/>
      <c r="EQ2075" s="1"/>
      <c r="ER2075" s="1"/>
      <c r="ES2075" s="1"/>
      <c r="EV2075" s="1"/>
      <c r="EW2075" s="1"/>
      <c r="EZ2075" s="1"/>
      <c r="GO2075" s="1"/>
      <c r="GP2075" s="1"/>
      <c r="HY2075" s="1"/>
      <c r="IE2075" s="1"/>
      <c r="IS2075" s="1"/>
      <c r="IY2075" s="1"/>
      <c r="IZ2075" s="1"/>
      <c r="JH2075" s="1"/>
      <c r="JJ2075" s="1"/>
      <c r="JN2075" s="1"/>
      <c r="JP2075" s="1"/>
      <c r="JQ2075" s="1"/>
      <c r="LZ2075" s="1"/>
      <c r="MA2075" s="1"/>
    </row>
    <row r="2076" spans="4:339" ht="13" x14ac:dyDescent="0.15">
      <c r="D2076" s="12"/>
      <c r="E2076" s="12"/>
      <c r="I2076" s="12"/>
      <c r="J2076" s="13"/>
      <c r="BG2076" s="1"/>
      <c r="BH2076" s="1"/>
      <c r="BI2076" s="1"/>
      <c r="BK2076" s="1"/>
      <c r="BL2076" s="1"/>
      <c r="BM2076" s="1"/>
      <c r="BN2076" s="1"/>
      <c r="BO2076" s="1"/>
      <c r="BP2076" s="1"/>
      <c r="CC2076" s="1"/>
      <c r="CD2076" s="1"/>
      <c r="CE2076" s="1"/>
      <c r="CF2076" s="1"/>
      <c r="CG2076" s="1"/>
      <c r="CM2076" s="4"/>
      <c r="CP2076" s="1"/>
      <c r="CQ2076" s="1"/>
      <c r="CS2076" s="1"/>
      <c r="CV2076" s="1"/>
      <c r="CW2076" s="1"/>
      <c r="CX2076" s="1"/>
      <c r="CY2076" s="1"/>
      <c r="CZ2076" s="1"/>
      <c r="DA2076" s="1"/>
      <c r="DB2076" s="1"/>
      <c r="DC2076" s="1"/>
      <c r="DD2076" s="1"/>
      <c r="DE2076" s="1"/>
      <c r="DF2076" s="1"/>
      <c r="DG2076" s="1"/>
      <c r="DH2076" s="1"/>
      <c r="DI2076" s="1"/>
      <c r="DJ2076" s="1"/>
      <c r="DK2076" s="1"/>
      <c r="ED2076" s="1"/>
      <c r="EK2076" s="1"/>
      <c r="EL2076" s="1"/>
      <c r="EM2076" s="1"/>
      <c r="EN2076" s="1"/>
      <c r="EQ2076" s="1"/>
      <c r="ER2076" s="1"/>
      <c r="ES2076" s="1"/>
      <c r="EV2076" s="1"/>
      <c r="EW2076" s="1"/>
      <c r="EZ2076" s="1"/>
      <c r="GO2076" s="1"/>
      <c r="GP2076" s="1"/>
      <c r="HY2076" s="1"/>
      <c r="IE2076" s="1"/>
      <c r="IS2076" s="1"/>
      <c r="IY2076" s="1"/>
      <c r="IZ2076" s="1"/>
      <c r="JH2076" s="1"/>
      <c r="JJ2076" s="1"/>
      <c r="JN2076" s="1"/>
      <c r="JP2076" s="1"/>
      <c r="JQ2076" s="1"/>
      <c r="LZ2076" s="1"/>
      <c r="MA2076" s="1"/>
    </row>
    <row r="2077" spans="4:339" ht="13" x14ac:dyDescent="0.15">
      <c r="D2077" s="12"/>
      <c r="E2077" s="12"/>
      <c r="I2077" s="12"/>
      <c r="J2077" s="13"/>
      <c r="BG2077" s="1"/>
      <c r="BH2077" s="1"/>
      <c r="BI2077" s="1"/>
      <c r="BK2077" s="1"/>
      <c r="BL2077" s="1"/>
      <c r="BM2077" s="1"/>
      <c r="BN2077" s="1"/>
      <c r="BO2077" s="1"/>
      <c r="BP2077" s="1"/>
      <c r="CC2077" s="1"/>
      <c r="CD2077" s="1"/>
      <c r="CE2077" s="1"/>
      <c r="CF2077" s="1"/>
      <c r="CG2077" s="1"/>
      <c r="CM2077" s="4"/>
      <c r="CP2077" s="1"/>
      <c r="CQ2077" s="1"/>
      <c r="CS2077" s="1"/>
      <c r="CV2077" s="1"/>
      <c r="CW2077" s="1"/>
      <c r="CX2077" s="1"/>
      <c r="CY2077" s="1"/>
      <c r="CZ2077" s="1"/>
      <c r="DA2077" s="1"/>
      <c r="DB2077" s="1"/>
      <c r="DC2077" s="1"/>
      <c r="DD2077" s="1"/>
      <c r="DE2077" s="1"/>
      <c r="DF2077" s="1"/>
      <c r="DG2077" s="1"/>
      <c r="DH2077" s="1"/>
      <c r="DI2077" s="1"/>
      <c r="DJ2077" s="1"/>
      <c r="DK2077" s="1"/>
      <c r="ED2077" s="1"/>
      <c r="EK2077" s="1"/>
      <c r="EL2077" s="1"/>
      <c r="EM2077" s="1"/>
      <c r="EN2077" s="1"/>
      <c r="EQ2077" s="1"/>
      <c r="ER2077" s="1"/>
      <c r="ES2077" s="1"/>
      <c r="EV2077" s="1"/>
      <c r="EW2077" s="1"/>
      <c r="EZ2077" s="1"/>
      <c r="GO2077" s="1"/>
      <c r="GP2077" s="1"/>
      <c r="HY2077" s="1"/>
      <c r="IE2077" s="1"/>
      <c r="IS2077" s="1"/>
      <c r="IY2077" s="1"/>
      <c r="IZ2077" s="1"/>
      <c r="JH2077" s="1"/>
      <c r="JJ2077" s="1"/>
      <c r="JN2077" s="1"/>
      <c r="JP2077" s="1"/>
      <c r="JQ2077" s="1"/>
      <c r="LZ2077" s="1"/>
      <c r="MA2077" s="1"/>
    </row>
    <row r="2078" spans="4:339" ht="13" x14ac:dyDescent="0.15">
      <c r="D2078" s="12"/>
      <c r="E2078" s="12"/>
      <c r="I2078" s="12"/>
      <c r="J2078" s="13"/>
      <c r="BG2078" s="1"/>
      <c r="BH2078" s="1"/>
      <c r="BI2078" s="1"/>
      <c r="BK2078" s="1"/>
      <c r="BL2078" s="1"/>
      <c r="BM2078" s="1"/>
      <c r="BN2078" s="1"/>
      <c r="BO2078" s="1"/>
      <c r="BP2078" s="1"/>
      <c r="CC2078" s="1"/>
      <c r="CD2078" s="1"/>
      <c r="CE2078" s="1"/>
      <c r="CF2078" s="1"/>
      <c r="CG2078" s="1"/>
      <c r="CM2078" s="4"/>
      <c r="CP2078" s="1"/>
      <c r="CQ2078" s="1"/>
      <c r="CS2078" s="1"/>
      <c r="CV2078" s="1"/>
      <c r="CW2078" s="1"/>
      <c r="CX2078" s="1"/>
      <c r="CY2078" s="1"/>
      <c r="CZ2078" s="1"/>
      <c r="DA2078" s="1"/>
      <c r="DB2078" s="1"/>
      <c r="DC2078" s="1"/>
      <c r="DD2078" s="1"/>
      <c r="DE2078" s="1"/>
      <c r="DF2078" s="1"/>
      <c r="DG2078" s="1"/>
      <c r="DH2078" s="1"/>
      <c r="DI2078" s="1"/>
      <c r="DJ2078" s="1"/>
      <c r="DK2078" s="1"/>
      <c r="ED2078" s="1"/>
      <c r="EK2078" s="1"/>
      <c r="EL2078" s="1"/>
      <c r="EM2078" s="1"/>
      <c r="EN2078" s="1"/>
      <c r="EQ2078" s="1"/>
      <c r="ER2078" s="1"/>
      <c r="ES2078" s="1"/>
      <c r="EV2078" s="1"/>
      <c r="EW2078" s="1"/>
      <c r="EZ2078" s="1"/>
      <c r="GO2078" s="1"/>
      <c r="GP2078" s="1"/>
      <c r="HY2078" s="1"/>
      <c r="IE2078" s="1"/>
      <c r="IS2078" s="1"/>
      <c r="IY2078" s="1"/>
      <c r="IZ2078" s="1"/>
      <c r="JH2078" s="1"/>
      <c r="JJ2078" s="1"/>
      <c r="JN2078" s="1"/>
      <c r="JP2078" s="1"/>
      <c r="JQ2078" s="1"/>
      <c r="LZ2078" s="1"/>
      <c r="MA2078" s="1"/>
    </row>
    <row r="2079" spans="4:339" ht="13" x14ac:dyDescent="0.15">
      <c r="D2079" s="12"/>
      <c r="E2079" s="12"/>
      <c r="I2079" s="12"/>
      <c r="J2079" s="13"/>
      <c r="BG2079" s="1"/>
      <c r="BH2079" s="1"/>
      <c r="BI2079" s="1"/>
      <c r="BK2079" s="1"/>
      <c r="BL2079" s="1"/>
      <c r="BM2079" s="1"/>
      <c r="BN2079" s="1"/>
      <c r="BO2079" s="1"/>
      <c r="BP2079" s="1"/>
      <c r="CC2079" s="1"/>
      <c r="CD2079" s="1"/>
      <c r="CE2079" s="1"/>
      <c r="CF2079" s="1"/>
      <c r="CG2079" s="1"/>
      <c r="CM2079" s="4"/>
      <c r="CP2079" s="1"/>
      <c r="CQ2079" s="1"/>
      <c r="CS2079" s="1"/>
      <c r="CV2079" s="1"/>
      <c r="CW2079" s="1"/>
      <c r="CX2079" s="1"/>
      <c r="CY2079" s="1"/>
      <c r="CZ2079" s="1"/>
      <c r="DA2079" s="1"/>
      <c r="DB2079" s="1"/>
      <c r="DC2079" s="1"/>
      <c r="DD2079" s="1"/>
      <c r="DE2079" s="1"/>
      <c r="DF2079" s="1"/>
      <c r="DG2079" s="1"/>
      <c r="DH2079" s="1"/>
      <c r="DI2079" s="1"/>
      <c r="DJ2079" s="1"/>
      <c r="DK2079" s="1"/>
      <c r="ED2079" s="1"/>
      <c r="EK2079" s="1"/>
      <c r="EL2079" s="1"/>
      <c r="EM2079" s="1"/>
      <c r="EN2079" s="1"/>
      <c r="EQ2079" s="1"/>
      <c r="ER2079" s="1"/>
      <c r="ES2079" s="1"/>
      <c r="EV2079" s="1"/>
      <c r="EW2079" s="1"/>
      <c r="EZ2079" s="1"/>
      <c r="GO2079" s="1"/>
      <c r="GP2079" s="1"/>
      <c r="HY2079" s="1"/>
      <c r="IE2079" s="1"/>
      <c r="IS2079" s="1"/>
      <c r="IY2079" s="1"/>
      <c r="IZ2079" s="1"/>
      <c r="JH2079" s="1"/>
      <c r="JJ2079" s="1"/>
      <c r="JN2079" s="1"/>
      <c r="JP2079" s="1"/>
      <c r="JQ2079" s="1"/>
      <c r="LZ2079" s="1"/>
      <c r="MA2079" s="1"/>
    </row>
    <row r="2080" spans="4:339" ht="13" x14ac:dyDescent="0.15">
      <c r="D2080" s="12"/>
      <c r="E2080" s="12"/>
      <c r="I2080" s="12"/>
      <c r="J2080" s="13"/>
      <c r="BG2080" s="1"/>
      <c r="BH2080" s="1"/>
      <c r="BI2080" s="1"/>
      <c r="BK2080" s="1"/>
      <c r="BL2080" s="1"/>
      <c r="BM2080" s="1"/>
      <c r="BN2080" s="1"/>
      <c r="BO2080" s="1"/>
      <c r="BP2080" s="1"/>
      <c r="CC2080" s="1"/>
      <c r="CD2080" s="1"/>
      <c r="CE2080" s="1"/>
      <c r="CF2080" s="1"/>
      <c r="CG2080" s="1"/>
      <c r="CM2080" s="4"/>
      <c r="CP2080" s="1"/>
      <c r="CQ2080" s="1"/>
      <c r="CS2080" s="1"/>
      <c r="CV2080" s="1"/>
      <c r="CW2080" s="1"/>
      <c r="CX2080" s="1"/>
      <c r="CY2080" s="1"/>
      <c r="CZ2080" s="1"/>
      <c r="DA2080" s="1"/>
      <c r="DB2080" s="1"/>
      <c r="DC2080" s="1"/>
      <c r="DD2080" s="1"/>
      <c r="DE2080" s="1"/>
      <c r="DF2080" s="1"/>
      <c r="DG2080" s="1"/>
      <c r="DH2080" s="1"/>
      <c r="DI2080" s="1"/>
      <c r="DJ2080" s="1"/>
      <c r="DK2080" s="1"/>
      <c r="ED2080" s="1"/>
      <c r="EK2080" s="1"/>
      <c r="EL2080" s="1"/>
      <c r="EM2080" s="1"/>
      <c r="EN2080" s="1"/>
      <c r="EQ2080" s="1"/>
      <c r="ER2080" s="1"/>
      <c r="ES2080" s="1"/>
      <c r="EV2080" s="1"/>
      <c r="EW2080" s="1"/>
      <c r="EZ2080" s="1"/>
      <c r="GO2080" s="1"/>
      <c r="GP2080" s="1"/>
      <c r="HY2080" s="1"/>
      <c r="IE2080" s="1"/>
      <c r="IS2080" s="1"/>
      <c r="IY2080" s="1"/>
      <c r="IZ2080" s="1"/>
      <c r="JH2080" s="1"/>
      <c r="JJ2080" s="1"/>
      <c r="JN2080" s="1"/>
      <c r="JP2080" s="1"/>
      <c r="JQ2080" s="1"/>
      <c r="LZ2080" s="1"/>
      <c r="MA2080" s="1"/>
    </row>
    <row r="2081" spans="4:339" ht="13" x14ac:dyDescent="0.15">
      <c r="D2081" s="12"/>
      <c r="E2081" s="12"/>
      <c r="I2081" s="12"/>
      <c r="J2081" s="13"/>
      <c r="BG2081" s="1"/>
      <c r="BH2081" s="1"/>
      <c r="BI2081" s="1"/>
      <c r="BK2081" s="1"/>
      <c r="BL2081" s="1"/>
      <c r="BM2081" s="1"/>
      <c r="BN2081" s="1"/>
      <c r="BO2081" s="1"/>
      <c r="BP2081" s="1"/>
      <c r="CC2081" s="1"/>
      <c r="CD2081" s="1"/>
      <c r="CE2081" s="1"/>
      <c r="CF2081" s="1"/>
      <c r="CG2081" s="1"/>
      <c r="CM2081" s="4"/>
      <c r="CP2081" s="1"/>
      <c r="CQ2081" s="1"/>
      <c r="CS2081" s="1"/>
      <c r="CV2081" s="1"/>
      <c r="CW2081" s="1"/>
      <c r="CX2081" s="1"/>
      <c r="CY2081" s="1"/>
      <c r="CZ2081" s="1"/>
      <c r="DA2081" s="1"/>
      <c r="DB2081" s="1"/>
      <c r="DC2081" s="1"/>
      <c r="DD2081" s="1"/>
      <c r="DE2081" s="1"/>
      <c r="DF2081" s="1"/>
      <c r="DG2081" s="1"/>
      <c r="DH2081" s="1"/>
      <c r="DI2081" s="1"/>
      <c r="DJ2081" s="1"/>
      <c r="DK2081" s="1"/>
      <c r="ED2081" s="1"/>
      <c r="EK2081" s="1"/>
      <c r="EL2081" s="1"/>
      <c r="EM2081" s="1"/>
      <c r="EN2081" s="1"/>
      <c r="EQ2081" s="1"/>
      <c r="ER2081" s="1"/>
      <c r="ES2081" s="1"/>
      <c r="EV2081" s="1"/>
      <c r="EW2081" s="1"/>
      <c r="EZ2081" s="1"/>
      <c r="GO2081" s="1"/>
      <c r="GP2081" s="1"/>
      <c r="HY2081" s="1"/>
      <c r="IE2081" s="1"/>
      <c r="IS2081" s="1"/>
      <c r="IY2081" s="1"/>
      <c r="IZ2081" s="1"/>
      <c r="JH2081" s="1"/>
      <c r="JJ2081" s="1"/>
      <c r="JN2081" s="1"/>
      <c r="JP2081" s="1"/>
      <c r="JQ2081" s="1"/>
      <c r="LZ2081" s="1"/>
      <c r="MA2081" s="1"/>
    </row>
    <row r="2082" spans="4:339" ht="13" x14ac:dyDescent="0.15">
      <c r="D2082" s="12"/>
      <c r="E2082" s="12"/>
      <c r="I2082" s="12"/>
      <c r="J2082" s="13"/>
      <c r="BG2082" s="1"/>
      <c r="BH2082" s="1"/>
      <c r="BI2082" s="1"/>
      <c r="BK2082" s="1"/>
      <c r="BL2082" s="1"/>
      <c r="BM2082" s="1"/>
      <c r="BN2082" s="1"/>
      <c r="BO2082" s="1"/>
      <c r="BP2082" s="1"/>
      <c r="CC2082" s="1"/>
      <c r="CD2082" s="1"/>
      <c r="CE2082" s="1"/>
      <c r="CF2082" s="1"/>
      <c r="CG2082" s="1"/>
      <c r="CM2082" s="4"/>
      <c r="CP2082" s="1"/>
      <c r="CQ2082" s="1"/>
      <c r="CS2082" s="1"/>
      <c r="CV2082" s="1"/>
      <c r="CW2082" s="1"/>
      <c r="CX2082" s="1"/>
      <c r="CY2082" s="1"/>
      <c r="CZ2082" s="1"/>
      <c r="DA2082" s="1"/>
      <c r="DB2082" s="1"/>
      <c r="DC2082" s="1"/>
      <c r="DD2082" s="1"/>
      <c r="DE2082" s="1"/>
      <c r="DF2082" s="1"/>
      <c r="DG2082" s="1"/>
      <c r="DH2082" s="1"/>
      <c r="DI2082" s="1"/>
      <c r="DJ2082" s="1"/>
      <c r="DK2082" s="1"/>
      <c r="ED2082" s="1"/>
      <c r="EK2082" s="1"/>
      <c r="EL2082" s="1"/>
      <c r="EM2082" s="1"/>
      <c r="EN2082" s="1"/>
      <c r="EQ2082" s="1"/>
      <c r="ER2082" s="1"/>
      <c r="ES2082" s="1"/>
      <c r="EV2082" s="1"/>
      <c r="EW2082" s="1"/>
      <c r="EZ2082" s="1"/>
      <c r="GO2082" s="1"/>
      <c r="GP2082" s="1"/>
      <c r="HY2082" s="1"/>
      <c r="IE2082" s="1"/>
      <c r="IS2082" s="1"/>
      <c r="IY2082" s="1"/>
      <c r="IZ2082" s="1"/>
      <c r="JH2082" s="1"/>
      <c r="JJ2082" s="1"/>
      <c r="JN2082" s="1"/>
      <c r="JP2082" s="1"/>
      <c r="JQ2082" s="1"/>
      <c r="LZ2082" s="1"/>
      <c r="MA2082" s="1"/>
    </row>
    <row r="2083" spans="4:339" ht="13" x14ac:dyDescent="0.15">
      <c r="D2083" s="12"/>
      <c r="E2083" s="12"/>
      <c r="I2083" s="12"/>
      <c r="J2083" s="13"/>
      <c r="BG2083" s="1"/>
      <c r="BH2083" s="1"/>
      <c r="BI2083" s="1"/>
      <c r="BK2083" s="1"/>
      <c r="BL2083" s="1"/>
      <c r="BM2083" s="1"/>
      <c r="BN2083" s="1"/>
      <c r="BO2083" s="1"/>
      <c r="BP2083" s="1"/>
      <c r="CC2083" s="1"/>
      <c r="CD2083" s="1"/>
      <c r="CE2083" s="1"/>
      <c r="CF2083" s="1"/>
      <c r="CG2083" s="1"/>
      <c r="CM2083" s="4"/>
      <c r="CP2083" s="1"/>
      <c r="CQ2083" s="1"/>
      <c r="CS2083" s="1"/>
      <c r="CV2083" s="1"/>
      <c r="CW2083" s="1"/>
      <c r="CX2083" s="1"/>
      <c r="CY2083" s="1"/>
      <c r="CZ2083" s="1"/>
      <c r="DA2083" s="1"/>
      <c r="DB2083" s="1"/>
      <c r="DC2083" s="1"/>
      <c r="DD2083" s="1"/>
      <c r="DE2083" s="1"/>
      <c r="DF2083" s="1"/>
      <c r="DG2083" s="1"/>
      <c r="DH2083" s="1"/>
      <c r="DI2083" s="1"/>
      <c r="DJ2083" s="1"/>
      <c r="DK2083" s="1"/>
      <c r="ED2083" s="1"/>
      <c r="EK2083" s="1"/>
      <c r="EL2083" s="1"/>
      <c r="EM2083" s="1"/>
      <c r="EN2083" s="1"/>
      <c r="EQ2083" s="1"/>
      <c r="ER2083" s="1"/>
      <c r="ES2083" s="1"/>
      <c r="EV2083" s="1"/>
      <c r="EW2083" s="1"/>
      <c r="EZ2083" s="1"/>
      <c r="GO2083" s="1"/>
      <c r="GP2083" s="1"/>
      <c r="HY2083" s="1"/>
      <c r="IE2083" s="1"/>
      <c r="IS2083" s="1"/>
      <c r="IY2083" s="1"/>
      <c r="IZ2083" s="1"/>
      <c r="JH2083" s="1"/>
      <c r="JJ2083" s="1"/>
      <c r="JN2083" s="1"/>
      <c r="JP2083" s="1"/>
      <c r="JQ2083" s="1"/>
      <c r="LZ2083" s="1"/>
      <c r="MA2083" s="1"/>
    </row>
    <row r="2084" spans="4:339" ht="13" x14ac:dyDescent="0.15">
      <c r="D2084" s="12"/>
      <c r="E2084" s="12"/>
      <c r="I2084" s="12"/>
      <c r="J2084" s="13"/>
      <c r="BG2084" s="1"/>
      <c r="BH2084" s="1"/>
      <c r="BI2084" s="1"/>
      <c r="BK2084" s="1"/>
      <c r="BL2084" s="1"/>
      <c r="BM2084" s="1"/>
      <c r="BN2084" s="1"/>
      <c r="BO2084" s="1"/>
      <c r="BP2084" s="1"/>
      <c r="CC2084" s="1"/>
      <c r="CD2084" s="1"/>
      <c r="CE2084" s="1"/>
      <c r="CF2084" s="1"/>
      <c r="CG2084" s="1"/>
      <c r="CM2084" s="4"/>
      <c r="CP2084" s="1"/>
      <c r="CQ2084" s="1"/>
      <c r="CS2084" s="1"/>
      <c r="CV2084" s="1"/>
      <c r="CW2084" s="1"/>
      <c r="CX2084" s="1"/>
      <c r="CY2084" s="1"/>
      <c r="CZ2084" s="1"/>
      <c r="DA2084" s="1"/>
      <c r="DB2084" s="1"/>
      <c r="DC2084" s="1"/>
      <c r="DD2084" s="1"/>
      <c r="DE2084" s="1"/>
      <c r="DF2084" s="1"/>
      <c r="DG2084" s="1"/>
      <c r="DH2084" s="1"/>
      <c r="DI2084" s="1"/>
      <c r="DJ2084" s="1"/>
      <c r="DK2084" s="1"/>
      <c r="ED2084" s="1"/>
      <c r="EK2084" s="1"/>
      <c r="EL2084" s="1"/>
      <c r="EM2084" s="1"/>
      <c r="EN2084" s="1"/>
      <c r="EQ2084" s="1"/>
      <c r="ER2084" s="1"/>
      <c r="ES2084" s="1"/>
      <c r="EV2084" s="1"/>
      <c r="EW2084" s="1"/>
      <c r="EZ2084" s="1"/>
      <c r="GO2084" s="1"/>
      <c r="GP2084" s="1"/>
      <c r="HY2084" s="1"/>
      <c r="IE2084" s="1"/>
      <c r="IS2084" s="1"/>
      <c r="IY2084" s="1"/>
      <c r="IZ2084" s="1"/>
      <c r="JH2084" s="1"/>
      <c r="JJ2084" s="1"/>
      <c r="JN2084" s="1"/>
      <c r="JP2084" s="1"/>
      <c r="JQ2084" s="1"/>
      <c r="LZ2084" s="1"/>
      <c r="MA2084" s="1"/>
    </row>
    <row r="2085" spans="4:339" ht="13" x14ac:dyDescent="0.15">
      <c r="D2085" s="12"/>
      <c r="E2085" s="12"/>
      <c r="I2085" s="12"/>
      <c r="J2085" s="13"/>
      <c r="BG2085" s="1"/>
      <c r="BH2085" s="1"/>
      <c r="BI2085" s="1"/>
      <c r="BK2085" s="1"/>
      <c r="BL2085" s="1"/>
      <c r="BM2085" s="1"/>
      <c r="BN2085" s="1"/>
      <c r="BO2085" s="1"/>
      <c r="BP2085" s="1"/>
      <c r="CC2085" s="1"/>
      <c r="CD2085" s="1"/>
      <c r="CE2085" s="1"/>
      <c r="CF2085" s="1"/>
      <c r="CG2085" s="1"/>
      <c r="CM2085" s="4"/>
      <c r="CP2085" s="1"/>
      <c r="CQ2085" s="1"/>
      <c r="CS2085" s="1"/>
      <c r="CV2085" s="1"/>
      <c r="CW2085" s="1"/>
      <c r="CX2085" s="1"/>
      <c r="CY2085" s="1"/>
      <c r="CZ2085" s="1"/>
      <c r="DA2085" s="1"/>
      <c r="DB2085" s="1"/>
      <c r="DC2085" s="1"/>
      <c r="DD2085" s="1"/>
      <c r="DE2085" s="1"/>
      <c r="DF2085" s="1"/>
      <c r="DG2085" s="1"/>
      <c r="DH2085" s="1"/>
      <c r="DI2085" s="1"/>
      <c r="DJ2085" s="1"/>
      <c r="DK2085" s="1"/>
      <c r="ED2085" s="1"/>
      <c r="EK2085" s="1"/>
      <c r="EL2085" s="1"/>
      <c r="EM2085" s="1"/>
      <c r="EN2085" s="1"/>
      <c r="EQ2085" s="1"/>
      <c r="ER2085" s="1"/>
      <c r="ES2085" s="1"/>
      <c r="EV2085" s="1"/>
      <c r="EW2085" s="1"/>
      <c r="EZ2085" s="1"/>
      <c r="GO2085" s="1"/>
      <c r="GP2085" s="1"/>
      <c r="HY2085" s="1"/>
      <c r="IE2085" s="1"/>
      <c r="IS2085" s="1"/>
      <c r="IY2085" s="1"/>
      <c r="IZ2085" s="1"/>
      <c r="JH2085" s="1"/>
      <c r="JJ2085" s="1"/>
      <c r="JN2085" s="1"/>
      <c r="JP2085" s="1"/>
      <c r="JQ2085" s="1"/>
      <c r="LZ2085" s="1"/>
      <c r="MA2085" s="1"/>
    </row>
    <row r="2086" spans="4:339" ht="13" x14ac:dyDescent="0.15">
      <c r="D2086" s="12"/>
      <c r="E2086" s="12"/>
      <c r="I2086" s="12"/>
      <c r="J2086" s="13"/>
      <c r="BG2086" s="1"/>
      <c r="BH2086" s="1"/>
      <c r="BI2086" s="1"/>
      <c r="BK2086" s="1"/>
      <c r="BL2086" s="1"/>
      <c r="BM2086" s="1"/>
      <c r="BN2086" s="1"/>
      <c r="BO2086" s="1"/>
      <c r="BP2086" s="1"/>
      <c r="CC2086" s="1"/>
      <c r="CD2086" s="1"/>
      <c r="CE2086" s="1"/>
      <c r="CF2086" s="1"/>
      <c r="CG2086" s="1"/>
      <c r="CM2086" s="4"/>
      <c r="CP2086" s="1"/>
      <c r="CQ2086" s="1"/>
      <c r="CS2086" s="1"/>
      <c r="CV2086" s="1"/>
      <c r="CW2086" s="1"/>
      <c r="CX2086" s="1"/>
      <c r="CY2086" s="1"/>
      <c r="CZ2086" s="1"/>
      <c r="DA2086" s="1"/>
      <c r="DB2086" s="1"/>
      <c r="DC2086" s="1"/>
      <c r="DD2086" s="1"/>
      <c r="DE2086" s="1"/>
      <c r="DF2086" s="1"/>
      <c r="DG2086" s="1"/>
      <c r="DH2086" s="1"/>
      <c r="DI2086" s="1"/>
      <c r="DJ2086" s="1"/>
      <c r="DK2086" s="1"/>
      <c r="ED2086" s="1"/>
      <c r="EK2086" s="1"/>
      <c r="EL2086" s="1"/>
      <c r="EM2086" s="1"/>
      <c r="EN2086" s="1"/>
      <c r="EQ2086" s="1"/>
      <c r="ER2086" s="1"/>
      <c r="ES2086" s="1"/>
      <c r="EV2086" s="1"/>
      <c r="EW2086" s="1"/>
      <c r="EZ2086" s="1"/>
      <c r="GO2086" s="1"/>
      <c r="GP2086" s="1"/>
      <c r="HY2086" s="1"/>
      <c r="IE2086" s="1"/>
      <c r="IS2086" s="1"/>
      <c r="IY2086" s="1"/>
      <c r="IZ2086" s="1"/>
      <c r="JH2086" s="1"/>
      <c r="JJ2086" s="1"/>
      <c r="JN2086" s="1"/>
      <c r="JP2086" s="1"/>
      <c r="JQ2086" s="1"/>
      <c r="LZ2086" s="1"/>
      <c r="MA2086" s="1"/>
    </row>
    <row r="2087" spans="4:339" ht="13" x14ac:dyDescent="0.15">
      <c r="D2087" s="12"/>
      <c r="E2087" s="12"/>
      <c r="I2087" s="12"/>
      <c r="J2087" s="13"/>
      <c r="BG2087" s="1"/>
      <c r="BH2087" s="1"/>
      <c r="BI2087" s="1"/>
      <c r="BK2087" s="1"/>
      <c r="BL2087" s="1"/>
      <c r="BM2087" s="1"/>
      <c r="BN2087" s="1"/>
      <c r="BO2087" s="1"/>
      <c r="BP2087" s="1"/>
      <c r="CC2087" s="1"/>
      <c r="CD2087" s="1"/>
      <c r="CE2087" s="1"/>
      <c r="CF2087" s="1"/>
      <c r="CG2087" s="1"/>
      <c r="CM2087" s="4"/>
      <c r="CP2087" s="1"/>
      <c r="CQ2087" s="1"/>
      <c r="CS2087" s="1"/>
      <c r="CV2087" s="1"/>
      <c r="CW2087" s="1"/>
      <c r="CX2087" s="1"/>
      <c r="CY2087" s="1"/>
      <c r="CZ2087" s="1"/>
      <c r="DA2087" s="1"/>
      <c r="DB2087" s="1"/>
      <c r="DC2087" s="1"/>
      <c r="DD2087" s="1"/>
      <c r="DE2087" s="1"/>
      <c r="DF2087" s="1"/>
      <c r="DG2087" s="1"/>
      <c r="DH2087" s="1"/>
      <c r="DI2087" s="1"/>
      <c r="DJ2087" s="1"/>
      <c r="DK2087" s="1"/>
      <c r="ED2087" s="1"/>
      <c r="EK2087" s="1"/>
      <c r="EL2087" s="1"/>
      <c r="EM2087" s="1"/>
      <c r="EN2087" s="1"/>
      <c r="EQ2087" s="1"/>
      <c r="ER2087" s="1"/>
      <c r="ES2087" s="1"/>
      <c r="EV2087" s="1"/>
      <c r="EW2087" s="1"/>
      <c r="EZ2087" s="1"/>
      <c r="GO2087" s="1"/>
      <c r="GP2087" s="1"/>
      <c r="HY2087" s="1"/>
      <c r="IE2087" s="1"/>
      <c r="IS2087" s="1"/>
      <c r="IY2087" s="1"/>
      <c r="IZ2087" s="1"/>
      <c r="JH2087" s="1"/>
      <c r="JJ2087" s="1"/>
      <c r="JN2087" s="1"/>
      <c r="JP2087" s="1"/>
      <c r="JQ2087" s="1"/>
      <c r="LZ2087" s="1"/>
      <c r="MA2087" s="1"/>
    </row>
    <row r="2088" spans="4:339" ht="13" x14ac:dyDescent="0.15">
      <c r="D2088" s="12"/>
      <c r="E2088" s="12"/>
      <c r="I2088" s="12"/>
      <c r="J2088" s="13"/>
      <c r="BG2088" s="1"/>
      <c r="BH2088" s="1"/>
      <c r="BI2088" s="1"/>
      <c r="BK2088" s="1"/>
      <c r="BL2088" s="1"/>
      <c r="BM2088" s="1"/>
      <c r="BN2088" s="1"/>
      <c r="BO2088" s="1"/>
      <c r="BP2088" s="1"/>
      <c r="CC2088" s="1"/>
      <c r="CD2088" s="1"/>
      <c r="CE2088" s="1"/>
      <c r="CF2088" s="1"/>
      <c r="CG2088" s="1"/>
      <c r="CM2088" s="4"/>
      <c r="CP2088" s="1"/>
      <c r="CQ2088" s="1"/>
      <c r="CS2088" s="1"/>
      <c r="CV2088" s="1"/>
      <c r="CW2088" s="1"/>
      <c r="CX2088" s="1"/>
      <c r="CY2088" s="1"/>
      <c r="CZ2088" s="1"/>
      <c r="DA2088" s="1"/>
      <c r="DB2088" s="1"/>
      <c r="DC2088" s="1"/>
      <c r="DD2088" s="1"/>
      <c r="DE2088" s="1"/>
      <c r="DF2088" s="1"/>
      <c r="DG2088" s="1"/>
      <c r="DH2088" s="1"/>
      <c r="DI2088" s="1"/>
      <c r="DJ2088" s="1"/>
      <c r="DK2088" s="1"/>
      <c r="ED2088" s="1"/>
      <c r="EK2088" s="1"/>
      <c r="EL2088" s="1"/>
      <c r="EM2088" s="1"/>
      <c r="EN2088" s="1"/>
      <c r="EQ2088" s="1"/>
      <c r="ER2088" s="1"/>
      <c r="ES2088" s="1"/>
      <c r="EV2088" s="1"/>
      <c r="EW2088" s="1"/>
      <c r="EZ2088" s="1"/>
      <c r="GO2088" s="1"/>
      <c r="GP2088" s="1"/>
      <c r="HY2088" s="1"/>
      <c r="IE2088" s="1"/>
      <c r="IS2088" s="1"/>
      <c r="IY2088" s="1"/>
      <c r="IZ2088" s="1"/>
      <c r="JH2088" s="1"/>
      <c r="JJ2088" s="1"/>
      <c r="JN2088" s="1"/>
      <c r="JP2088" s="1"/>
      <c r="JQ2088" s="1"/>
      <c r="LZ2088" s="1"/>
      <c r="MA2088" s="1"/>
    </row>
    <row r="2089" spans="4:339" ht="13" x14ac:dyDescent="0.15">
      <c r="D2089" s="12"/>
      <c r="E2089" s="12"/>
      <c r="I2089" s="12"/>
      <c r="J2089" s="13"/>
      <c r="BG2089" s="1"/>
      <c r="BH2089" s="1"/>
      <c r="BI2089" s="1"/>
      <c r="BK2089" s="1"/>
      <c r="BL2089" s="1"/>
      <c r="BM2089" s="1"/>
      <c r="BN2089" s="1"/>
      <c r="BO2089" s="1"/>
      <c r="BP2089" s="1"/>
      <c r="CC2089" s="1"/>
      <c r="CD2089" s="1"/>
      <c r="CE2089" s="1"/>
      <c r="CF2089" s="1"/>
      <c r="CG2089" s="1"/>
      <c r="CM2089" s="4"/>
      <c r="CP2089" s="1"/>
      <c r="CQ2089" s="1"/>
      <c r="CS2089" s="1"/>
      <c r="CV2089" s="1"/>
      <c r="CW2089" s="1"/>
      <c r="CX2089" s="1"/>
      <c r="CY2089" s="1"/>
      <c r="CZ2089" s="1"/>
      <c r="DA2089" s="1"/>
      <c r="DB2089" s="1"/>
      <c r="DC2089" s="1"/>
      <c r="DD2089" s="1"/>
      <c r="DE2089" s="1"/>
      <c r="DF2089" s="1"/>
      <c r="DG2089" s="1"/>
      <c r="DH2089" s="1"/>
      <c r="DI2089" s="1"/>
      <c r="DJ2089" s="1"/>
      <c r="DK2089" s="1"/>
      <c r="ED2089" s="1"/>
      <c r="EK2089" s="1"/>
      <c r="EL2089" s="1"/>
      <c r="EM2089" s="1"/>
      <c r="EN2089" s="1"/>
      <c r="EQ2089" s="1"/>
      <c r="ER2089" s="1"/>
      <c r="ES2089" s="1"/>
      <c r="EV2089" s="1"/>
      <c r="EW2089" s="1"/>
      <c r="EZ2089" s="1"/>
      <c r="GO2089" s="1"/>
      <c r="GP2089" s="1"/>
      <c r="HY2089" s="1"/>
      <c r="IE2089" s="1"/>
      <c r="IS2089" s="1"/>
      <c r="IY2089" s="1"/>
      <c r="IZ2089" s="1"/>
      <c r="JH2089" s="1"/>
      <c r="JJ2089" s="1"/>
      <c r="JN2089" s="1"/>
      <c r="JP2089" s="1"/>
      <c r="JQ2089" s="1"/>
      <c r="LZ2089" s="1"/>
      <c r="MA2089" s="1"/>
    </row>
    <row r="2090" spans="4:339" ht="13" x14ac:dyDescent="0.15">
      <c r="D2090" s="12"/>
      <c r="E2090" s="12"/>
      <c r="I2090" s="12"/>
      <c r="J2090" s="13"/>
      <c r="BG2090" s="1"/>
      <c r="BH2090" s="1"/>
      <c r="BI2090" s="1"/>
      <c r="BK2090" s="1"/>
      <c r="BL2090" s="1"/>
      <c r="BM2090" s="1"/>
      <c r="BN2090" s="1"/>
      <c r="BO2090" s="1"/>
      <c r="BP2090" s="1"/>
      <c r="CC2090" s="1"/>
      <c r="CD2090" s="1"/>
      <c r="CE2090" s="1"/>
      <c r="CF2090" s="1"/>
      <c r="CG2090" s="1"/>
      <c r="CM2090" s="4"/>
      <c r="CP2090" s="1"/>
      <c r="CQ2090" s="1"/>
      <c r="CS2090" s="1"/>
      <c r="CV2090" s="1"/>
      <c r="CW2090" s="1"/>
      <c r="CX2090" s="1"/>
      <c r="CY2090" s="1"/>
      <c r="CZ2090" s="1"/>
      <c r="DA2090" s="1"/>
      <c r="DB2090" s="1"/>
      <c r="DC2090" s="1"/>
      <c r="DD2090" s="1"/>
      <c r="DE2090" s="1"/>
      <c r="DF2090" s="1"/>
      <c r="DG2090" s="1"/>
      <c r="DH2090" s="1"/>
      <c r="DI2090" s="1"/>
      <c r="DJ2090" s="1"/>
      <c r="DK2090" s="1"/>
      <c r="ED2090" s="1"/>
      <c r="EK2090" s="1"/>
      <c r="EL2090" s="1"/>
      <c r="EM2090" s="1"/>
      <c r="EN2090" s="1"/>
      <c r="EQ2090" s="1"/>
      <c r="ER2090" s="1"/>
      <c r="ES2090" s="1"/>
      <c r="EV2090" s="1"/>
      <c r="EW2090" s="1"/>
      <c r="EZ2090" s="1"/>
      <c r="GO2090" s="1"/>
      <c r="GP2090" s="1"/>
      <c r="HY2090" s="1"/>
      <c r="IE2090" s="1"/>
      <c r="IS2090" s="1"/>
      <c r="IY2090" s="1"/>
      <c r="IZ2090" s="1"/>
      <c r="JH2090" s="1"/>
      <c r="JJ2090" s="1"/>
      <c r="JN2090" s="1"/>
      <c r="JP2090" s="1"/>
      <c r="JQ2090" s="1"/>
      <c r="LZ2090" s="1"/>
      <c r="MA2090" s="1"/>
    </row>
    <row r="2091" spans="4:339" ht="13" x14ac:dyDescent="0.15">
      <c r="D2091" s="12"/>
      <c r="E2091" s="12"/>
      <c r="I2091" s="12"/>
      <c r="J2091" s="13"/>
      <c r="BG2091" s="1"/>
      <c r="BH2091" s="1"/>
      <c r="BI2091" s="1"/>
      <c r="BK2091" s="1"/>
      <c r="BL2091" s="1"/>
      <c r="BM2091" s="1"/>
      <c r="BN2091" s="1"/>
      <c r="BO2091" s="1"/>
      <c r="BP2091" s="1"/>
      <c r="CC2091" s="1"/>
      <c r="CD2091" s="1"/>
      <c r="CE2091" s="1"/>
      <c r="CF2091" s="1"/>
      <c r="CG2091" s="1"/>
      <c r="CM2091" s="4"/>
      <c r="CP2091" s="1"/>
      <c r="CQ2091" s="1"/>
      <c r="CS2091" s="1"/>
      <c r="CV2091" s="1"/>
      <c r="CW2091" s="1"/>
      <c r="CX2091" s="1"/>
      <c r="CY2091" s="1"/>
      <c r="CZ2091" s="1"/>
      <c r="DA2091" s="1"/>
      <c r="DB2091" s="1"/>
      <c r="DC2091" s="1"/>
      <c r="DD2091" s="1"/>
      <c r="DE2091" s="1"/>
      <c r="DF2091" s="1"/>
      <c r="DG2091" s="1"/>
      <c r="DH2091" s="1"/>
      <c r="DI2091" s="1"/>
      <c r="DJ2091" s="1"/>
      <c r="DK2091" s="1"/>
      <c r="ED2091" s="1"/>
      <c r="EK2091" s="1"/>
      <c r="EL2091" s="1"/>
      <c r="EM2091" s="1"/>
      <c r="EN2091" s="1"/>
      <c r="EQ2091" s="1"/>
      <c r="ER2091" s="1"/>
      <c r="ES2091" s="1"/>
      <c r="EV2091" s="1"/>
      <c r="EW2091" s="1"/>
      <c r="EZ2091" s="1"/>
      <c r="GO2091" s="1"/>
      <c r="GP2091" s="1"/>
      <c r="HY2091" s="1"/>
      <c r="IE2091" s="1"/>
      <c r="IS2091" s="1"/>
      <c r="IY2091" s="1"/>
      <c r="IZ2091" s="1"/>
      <c r="JH2091" s="1"/>
      <c r="JJ2091" s="1"/>
      <c r="JN2091" s="1"/>
      <c r="JP2091" s="1"/>
      <c r="JQ2091" s="1"/>
      <c r="LZ2091" s="1"/>
      <c r="MA2091" s="1"/>
    </row>
    <row r="2092" spans="4:339" ht="13" x14ac:dyDescent="0.15">
      <c r="D2092" s="12"/>
      <c r="E2092" s="12"/>
      <c r="I2092" s="12"/>
      <c r="J2092" s="13"/>
      <c r="BG2092" s="1"/>
      <c r="BH2092" s="1"/>
      <c r="BI2092" s="1"/>
      <c r="BK2092" s="1"/>
      <c r="BL2092" s="1"/>
      <c r="BM2092" s="1"/>
      <c r="BN2092" s="1"/>
      <c r="BO2092" s="1"/>
      <c r="BP2092" s="1"/>
      <c r="CC2092" s="1"/>
      <c r="CD2092" s="1"/>
      <c r="CE2092" s="1"/>
      <c r="CF2092" s="1"/>
      <c r="CG2092" s="1"/>
      <c r="CM2092" s="4"/>
      <c r="CP2092" s="1"/>
      <c r="CQ2092" s="1"/>
      <c r="CS2092" s="1"/>
      <c r="CV2092" s="1"/>
      <c r="CW2092" s="1"/>
      <c r="CX2092" s="1"/>
      <c r="CY2092" s="1"/>
      <c r="CZ2092" s="1"/>
      <c r="DA2092" s="1"/>
      <c r="DB2092" s="1"/>
      <c r="DC2092" s="1"/>
      <c r="DD2092" s="1"/>
      <c r="DE2092" s="1"/>
      <c r="DF2092" s="1"/>
      <c r="DG2092" s="1"/>
      <c r="DH2092" s="1"/>
      <c r="DI2092" s="1"/>
      <c r="DJ2092" s="1"/>
      <c r="DK2092" s="1"/>
      <c r="ED2092" s="1"/>
      <c r="EK2092" s="1"/>
      <c r="EL2092" s="1"/>
      <c r="EM2092" s="1"/>
      <c r="EN2092" s="1"/>
      <c r="EQ2092" s="1"/>
      <c r="ER2092" s="1"/>
      <c r="ES2092" s="1"/>
      <c r="EV2092" s="1"/>
      <c r="EW2092" s="1"/>
      <c r="EZ2092" s="1"/>
      <c r="GO2092" s="1"/>
      <c r="GP2092" s="1"/>
      <c r="HY2092" s="1"/>
      <c r="IE2092" s="1"/>
      <c r="IS2092" s="1"/>
      <c r="IY2092" s="1"/>
      <c r="IZ2092" s="1"/>
      <c r="JH2092" s="1"/>
      <c r="JJ2092" s="1"/>
      <c r="JN2092" s="1"/>
      <c r="JP2092" s="1"/>
      <c r="JQ2092" s="1"/>
      <c r="LZ2092" s="1"/>
      <c r="MA2092" s="1"/>
    </row>
    <row r="2093" spans="4:339" ht="13" x14ac:dyDescent="0.15">
      <c r="D2093" s="12"/>
      <c r="E2093" s="12"/>
      <c r="I2093" s="12"/>
      <c r="J2093" s="13"/>
      <c r="BG2093" s="1"/>
      <c r="BH2093" s="1"/>
      <c r="BI2093" s="1"/>
      <c r="BK2093" s="1"/>
      <c r="BL2093" s="1"/>
      <c r="BM2093" s="1"/>
      <c r="BN2093" s="1"/>
      <c r="BO2093" s="1"/>
      <c r="BP2093" s="1"/>
      <c r="CC2093" s="1"/>
      <c r="CD2093" s="1"/>
      <c r="CE2093" s="1"/>
      <c r="CF2093" s="1"/>
      <c r="CG2093" s="1"/>
      <c r="CM2093" s="4"/>
      <c r="CP2093" s="1"/>
      <c r="CQ2093" s="1"/>
      <c r="CS2093" s="1"/>
      <c r="CV2093" s="1"/>
      <c r="CW2093" s="1"/>
      <c r="CX2093" s="1"/>
      <c r="CY2093" s="1"/>
      <c r="CZ2093" s="1"/>
      <c r="DA2093" s="1"/>
      <c r="DB2093" s="1"/>
      <c r="DC2093" s="1"/>
      <c r="DD2093" s="1"/>
      <c r="DE2093" s="1"/>
      <c r="DF2093" s="1"/>
      <c r="DG2093" s="1"/>
      <c r="DH2093" s="1"/>
      <c r="DI2093" s="1"/>
      <c r="DJ2093" s="1"/>
      <c r="DK2093" s="1"/>
      <c r="ED2093" s="1"/>
      <c r="EK2093" s="1"/>
      <c r="EL2093" s="1"/>
      <c r="EM2093" s="1"/>
      <c r="EN2093" s="1"/>
      <c r="EQ2093" s="1"/>
      <c r="ER2093" s="1"/>
      <c r="ES2093" s="1"/>
      <c r="EV2093" s="1"/>
      <c r="EW2093" s="1"/>
      <c r="EZ2093" s="1"/>
      <c r="GO2093" s="1"/>
      <c r="GP2093" s="1"/>
      <c r="HY2093" s="1"/>
      <c r="IE2093" s="1"/>
      <c r="IS2093" s="1"/>
      <c r="IY2093" s="1"/>
      <c r="IZ2093" s="1"/>
      <c r="JH2093" s="1"/>
      <c r="JJ2093" s="1"/>
      <c r="JN2093" s="1"/>
      <c r="JP2093" s="1"/>
      <c r="JQ2093" s="1"/>
      <c r="LZ2093" s="1"/>
      <c r="MA2093" s="1"/>
    </row>
    <row r="2094" spans="4:339" ht="13" x14ac:dyDescent="0.15">
      <c r="D2094" s="12"/>
      <c r="E2094" s="12"/>
      <c r="I2094" s="12"/>
      <c r="J2094" s="13"/>
      <c r="BG2094" s="1"/>
      <c r="BH2094" s="1"/>
      <c r="BI2094" s="1"/>
      <c r="BK2094" s="1"/>
      <c r="BL2094" s="1"/>
      <c r="BM2094" s="1"/>
      <c r="BN2094" s="1"/>
      <c r="BO2094" s="1"/>
      <c r="BP2094" s="1"/>
      <c r="CC2094" s="1"/>
      <c r="CD2094" s="1"/>
      <c r="CE2094" s="1"/>
      <c r="CF2094" s="1"/>
      <c r="CG2094" s="1"/>
      <c r="CM2094" s="4"/>
      <c r="CP2094" s="1"/>
      <c r="CQ2094" s="1"/>
      <c r="CS2094" s="1"/>
      <c r="CV2094" s="1"/>
      <c r="CW2094" s="1"/>
      <c r="CX2094" s="1"/>
      <c r="CY2094" s="1"/>
      <c r="CZ2094" s="1"/>
      <c r="DA2094" s="1"/>
      <c r="DB2094" s="1"/>
      <c r="DC2094" s="1"/>
      <c r="DD2094" s="1"/>
      <c r="DE2094" s="1"/>
      <c r="DF2094" s="1"/>
      <c r="DG2094" s="1"/>
      <c r="DH2094" s="1"/>
      <c r="DI2094" s="1"/>
      <c r="DJ2094" s="1"/>
      <c r="DK2094" s="1"/>
      <c r="ED2094" s="1"/>
      <c r="EK2094" s="1"/>
      <c r="EL2094" s="1"/>
      <c r="EM2094" s="1"/>
      <c r="EN2094" s="1"/>
      <c r="EQ2094" s="1"/>
      <c r="ER2094" s="1"/>
      <c r="ES2094" s="1"/>
      <c r="EV2094" s="1"/>
      <c r="EW2094" s="1"/>
      <c r="EZ2094" s="1"/>
      <c r="GO2094" s="1"/>
      <c r="GP2094" s="1"/>
      <c r="HY2094" s="1"/>
      <c r="IE2094" s="1"/>
      <c r="IS2094" s="1"/>
      <c r="IY2094" s="1"/>
      <c r="IZ2094" s="1"/>
      <c r="JH2094" s="1"/>
      <c r="JJ2094" s="1"/>
      <c r="JN2094" s="1"/>
      <c r="JP2094" s="1"/>
      <c r="JQ2094" s="1"/>
      <c r="LZ2094" s="1"/>
      <c r="MA2094" s="1"/>
    </row>
    <row r="2095" spans="4:339" ht="13" x14ac:dyDescent="0.15">
      <c r="D2095" s="12"/>
      <c r="E2095" s="12"/>
      <c r="I2095" s="12"/>
      <c r="J2095" s="13"/>
      <c r="BG2095" s="1"/>
      <c r="BH2095" s="1"/>
      <c r="BI2095" s="1"/>
      <c r="BK2095" s="1"/>
      <c r="BL2095" s="1"/>
      <c r="BM2095" s="1"/>
      <c r="BN2095" s="1"/>
      <c r="BO2095" s="1"/>
      <c r="BP2095" s="1"/>
      <c r="CC2095" s="1"/>
      <c r="CD2095" s="1"/>
      <c r="CE2095" s="1"/>
      <c r="CF2095" s="1"/>
      <c r="CG2095" s="1"/>
      <c r="CM2095" s="4"/>
      <c r="CP2095" s="1"/>
      <c r="CQ2095" s="1"/>
      <c r="CS2095" s="1"/>
      <c r="CV2095" s="1"/>
      <c r="CW2095" s="1"/>
      <c r="CX2095" s="1"/>
      <c r="CY2095" s="1"/>
      <c r="CZ2095" s="1"/>
      <c r="DA2095" s="1"/>
      <c r="DB2095" s="1"/>
      <c r="DC2095" s="1"/>
      <c r="DD2095" s="1"/>
      <c r="DE2095" s="1"/>
      <c r="DF2095" s="1"/>
      <c r="DG2095" s="1"/>
      <c r="DH2095" s="1"/>
      <c r="DI2095" s="1"/>
      <c r="DJ2095" s="1"/>
      <c r="DK2095" s="1"/>
      <c r="ED2095" s="1"/>
      <c r="EK2095" s="1"/>
      <c r="EL2095" s="1"/>
      <c r="EM2095" s="1"/>
      <c r="EN2095" s="1"/>
      <c r="EQ2095" s="1"/>
      <c r="ER2095" s="1"/>
      <c r="ES2095" s="1"/>
      <c r="EV2095" s="1"/>
      <c r="EW2095" s="1"/>
      <c r="EZ2095" s="1"/>
      <c r="GO2095" s="1"/>
      <c r="GP2095" s="1"/>
      <c r="HY2095" s="1"/>
      <c r="IE2095" s="1"/>
      <c r="IS2095" s="1"/>
      <c r="IY2095" s="1"/>
      <c r="IZ2095" s="1"/>
      <c r="JH2095" s="1"/>
      <c r="JJ2095" s="1"/>
      <c r="JN2095" s="1"/>
      <c r="JP2095" s="1"/>
      <c r="JQ2095" s="1"/>
      <c r="LZ2095" s="1"/>
      <c r="MA2095" s="1"/>
    </row>
    <row r="2096" spans="4:339" ht="13" x14ac:dyDescent="0.15">
      <c r="D2096" s="12"/>
      <c r="E2096" s="12"/>
      <c r="I2096" s="12"/>
      <c r="J2096" s="13"/>
      <c r="BG2096" s="1"/>
      <c r="BH2096" s="1"/>
      <c r="BI2096" s="1"/>
      <c r="BK2096" s="1"/>
      <c r="BL2096" s="1"/>
      <c r="BM2096" s="1"/>
      <c r="BN2096" s="1"/>
      <c r="BO2096" s="1"/>
      <c r="BP2096" s="1"/>
      <c r="CC2096" s="1"/>
      <c r="CD2096" s="1"/>
      <c r="CE2096" s="1"/>
      <c r="CF2096" s="1"/>
      <c r="CG2096" s="1"/>
      <c r="CM2096" s="4"/>
      <c r="CP2096" s="1"/>
      <c r="CQ2096" s="1"/>
      <c r="CS2096" s="1"/>
      <c r="CV2096" s="1"/>
      <c r="CW2096" s="1"/>
      <c r="CX2096" s="1"/>
      <c r="CY2096" s="1"/>
      <c r="CZ2096" s="1"/>
      <c r="DA2096" s="1"/>
      <c r="DB2096" s="1"/>
      <c r="DC2096" s="1"/>
      <c r="DD2096" s="1"/>
      <c r="DE2096" s="1"/>
      <c r="DF2096" s="1"/>
      <c r="DG2096" s="1"/>
      <c r="DH2096" s="1"/>
      <c r="DI2096" s="1"/>
      <c r="DJ2096" s="1"/>
      <c r="DK2096" s="1"/>
      <c r="ED2096" s="1"/>
      <c r="EK2096" s="1"/>
      <c r="EL2096" s="1"/>
      <c r="EM2096" s="1"/>
      <c r="EN2096" s="1"/>
      <c r="EQ2096" s="1"/>
      <c r="ER2096" s="1"/>
      <c r="ES2096" s="1"/>
      <c r="EV2096" s="1"/>
      <c r="EW2096" s="1"/>
      <c r="EZ2096" s="1"/>
      <c r="GO2096" s="1"/>
      <c r="GP2096" s="1"/>
      <c r="HY2096" s="1"/>
      <c r="IE2096" s="1"/>
      <c r="IS2096" s="1"/>
      <c r="IY2096" s="1"/>
      <c r="IZ2096" s="1"/>
      <c r="JH2096" s="1"/>
      <c r="JJ2096" s="1"/>
      <c r="JN2096" s="1"/>
      <c r="JP2096" s="1"/>
      <c r="JQ2096" s="1"/>
      <c r="LZ2096" s="1"/>
      <c r="MA2096" s="1"/>
    </row>
    <row r="2097" spans="4:339" ht="13" x14ac:dyDescent="0.15">
      <c r="D2097" s="12"/>
      <c r="E2097" s="12"/>
      <c r="I2097" s="12"/>
      <c r="J2097" s="13"/>
      <c r="BG2097" s="1"/>
      <c r="BH2097" s="1"/>
      <c r="BI2097" s="1"/>
      <c r="BK2097" s="1"/>
      <c r="BL2097" s="1"/>
      <c r="BM2097" s="1"/>
      <c r="BN2097" s="1"/>
      <c r="BO2097" s="1"/>
      <c r="BP2097" s="1"/>
      <c r="CC2097" s="1"/>
      <c r="CD2097" s="1"/>
      <c r="CE2097" s="1"/>
      <c r="CF2097" s="1"/>
      <c r="CG2097" s="1"/>
      <c r="CM2097" s="4"/>
      <c r="CP2097" s="1"/>
      <c r="CQ2097" s="1"/>
      <c r="CS2097" s="1"/>
      <c r="CV2097" s="1"/>
      <c r="CW2097" s="1"/>
      <c r="CX2097" s="1"/>
      <c r="CY2097" s="1"/>
      <c r="CZ2097" s="1"/>
      <c r="DA2097" s="1"/>
      <c r="DB2097" s="1"/>
      <c r="DC2097" s="1"/>
      <c r="DD2097" s="1"/>
      <c r="DE2097" s="1"/>
      <c r="DF2097" s="1"/>
      <c r="DG2097" s="1"/>
      <c r="DH2097" s="1"/>
      <c r="DI2097" s="1"/>
      <c r="DJ2097" s="1"/>
      <c r="DK2097" s="1"/>
      <c r="ED2097" s="1"/>
      <c r="EK2097" s="1"/>
      <c r="EL2097" s="1"/>
      <c r="EM2097" s="1"/>
      <c r="EN2097" s="1"/>
      <c r="EQ2097" s="1"/>
      <c r="ER2097" s="1"/>
      <c r="ES2097" s="1"/>
      <c r="EV2097" s="1"/>
      <c r="EW2097" s="1"/>
      <c r="EZ2097" s="1"/>
      <c r="GO2097" s="1"/>
      <c r="GP2097" s="1"/>
      <c r="HY2097" s="1"/>
      <c r="IE2097" s="1"/>
      <c r="IS2097" s="1"/>
      <c r="IY2097" s="1"/>
      <c r="IZ2097" s="1"/>
      <c r="JH2097" s="1"/>
      <c r="JJ2097" s="1"/>
      <c r="JN2097" s="1"/>
      <c r="JP2097" s="1"/>
      <c r="JQ2097" s="1"/>
      <c r="LZ2097" s="1"/>
      <c r="MA2097" s="1"/>
    </row>
    <row r="2098" spans="4:339" ht="13" x14ac:dyDescent="0.15">
      <c r="D2098" s="12"/>
      <c r="E2098" s="12"/>
      <c r="I2098" s="12"/>
      <c r="J2098" s="13"/>
      <c r="BG2098" s="1"/>
      <c r="BH2098" s="1"/>
      <c r="BI2098" s="1"/>
      <c r="BK2098" s="1"/>
      <c r="BL2098" s="1"/>
      <c r="BM2098" s="1"/>
      <c r="BN2098" s="1"/>
      <c r="BO2098" s="1"/>
      <c r="BP2098" s="1"/>
      <c r="CC2098" s="1"/>
      <c r="CD2098" s="1"/>
      <c r="CE2098" s="1"/>
      <c r="CF2098" s="1"/>
      <c r="CG2098" s="1"/>
      <c r="CM2098" s="4"/>
      <c r="CP2098" s="1"/>
      <c r="CQ2098" s="1"/>
      <c r="CS2098" s="1"/>
      <c r="CV2098" s="1"/>
      <c r="CW2098" s="1"/>
      <c r="CX2098" s="1"/>
      <c r="CY2098" s="1"/>
      <c r="CZ2098" s="1"/>
      <c r="DA2098" s="1"/>
      <c r="DB2098" s="1"/>
      <c r="DC2098" s="1"/>
      <c r="DD2098" s="1"/>
      <c r="DE2098" s="1"/>
      <c r="DF2098" s="1"/>
      <c r="DG2098" s="1"/>
      <c r="DH2098" s="1"/>
      <c r="DI2098" s="1"/>
      <c r="DJ2098" s="1"/>
      <c r="DK2098" s="1"/>
      <c r="ED2098" s="1"/>
      <c r="EK2098" s="1"/>
      <c r="EL2098" s="1"/>
      <c r="EM2098" s="1"/>
      <c r="EN2098" s="1"/>
      <c r="EQ2098" s="1"/>
      <c r="ER2098" s="1"/>
      <c r="ES2098" s="1"/>
      <c r="EV2098" s="1"/>
      <c r="EW2098" s="1"/>
      <c r="EZ2098" s="1"/>
      <c r="GO2098" s="1"/>
      <c r="GP2098" s="1"/>
      <c r="HY2098" s="1"/>
      <c r="IE2098" s="1"/>
      <c r="IS2098" s="1"/>
      <c r="IY2098" s="1"/>
      <c r="IZ2098" s="1"/>
      <c r="JH2098" s="1"/>
      <c r="JJ2098" s="1"/>
      <c r="JN2098" s="1"/>
      <c r="JP2098" s="1"/>
      <c r="JQ2098" s="1"/>
      <c r="LZ2098" s="1"/>
      <c r="MA2098" s="1"/>
    </row>
    <row r="2099" spans="4:339" ht="13" x14ac:dyDescent="0.15">
      <c r="D2099" s="12"/>
      <c r="E2099" s="12"/>
      <c r="I2099" s="12"/>
      <c r="J2099" s="13"/>
      <c r="BG2099" s="1"/>
      <c r="BH2099" s="1"/>
      <c r="BI2099" s="1"/>
      <c r="BK2099" s="1"/>
      <c r="BL2099" s="1"/>
      <c r="BM2099" s="1"/>
      <c r="BN2099" s="1"/>
      <c r="BO2099" s="1"/>
      <c r="BP2099" s="1"/>
      <c r="CC2099" s="1"/>
      <c r="CD2099" s="1"/>
      <c r="CE2099" s="1"/>
      <c r="CF2099" s="1"/>
      <c r="CG2099" s="1"/>
      <c r="CM2099" s="4"/>
      <c r="CP2099" s="1"/>
      <c r="CQ2099" s="1"/>
      <c r="CS2099" s="1"/>
      <c r="CV2099" s="1"/>
      <c r="CW2099" s="1"/>
      <c r="CX2099" s="1"/>
      <c r="CY2099" s="1"/>
      <c r="CZ2099" s="1"/>
      <c r="DA2099" s="1"/>
      <c r="DB2099" s="1"/>
      <c r="DC2099" s="1"/>
      <c r="DD2099" s="1"/>
      <c r="DE2099" s="1"/>
      <c r="DF2099" s="1"/>
      <c r="DG2099" s="1"/>
      <c r="DH2099" s="1"/>
      <c r="DI2099" s="1"/>
      <c r="DJ2099" s="1"/>
      <c r="DK2099" s="1"/>
      <c r="ED2099" s="1"/>
      <c r="EK2099" s="1"/>
      <c r="EL2099" s="1"/>
      <c r="EM2099" s="1"/>
      <c r="EN2099" s="1"/>
      <c r="EQ2099" s="1"/>
      <c r="ER2099" s="1"/>
      <c r="ES2099" s="1"/>
      <c r="EV2099" s="1"/>
      <c r="EW2099" s="1"/>
      <c r="EZ2099" s="1"/>
      <c r="GO2099" s="1"/>
      <c r="GP2099" s="1"/>
      <c r="HY2099" s="1"/>
      <c r="IE2099" s="1"/>
      <c r="IS2099" s="1"/>
      <c r="IY2099" s="1"/>
      <c r="IZ2099" s="1"/>
      <c r="JH2099" s="1"/>
      <c r="JJ2099" s="1"/>
      <c r="JN2099" s="1"/>
      <c r="JP2099" s="1"/>
      <c r="JQ2099" s="1"/>
      <c r="LZ2099" s="1"/>
      <c r="MA2099" s="1"/>
    </row>
    <row r="2100" spans="4:339" ht="13" x14ac:dyDescent="0.15">
      <c r="D2100" s="12"/>
      <c r="E2100" s="12"/>
      <c r="I2100" s="12"/>
      <c r="J2100" s="13"/>
      <c r="BG2100" s="1"/>
      <c r="BH2100" s="1"/>
      <c r="BI2100" s="1"/>
      <c r="BK2100" s="1"/>
      <c r="BL2100" s="1"/>
      <c r="BM2100" s="1"/>
      <c r="BN2100" s="1"/>
      <c r="BO2100" s="1"/>
      <c r="BP2100" s="1"/>
      <c r="CC2100" s="1"/>
      <c r="CD2100" s="1"/>
      <c r="CE2100" s="1"/>
      <c r="CF2100" s="1"/>
      <c r="CG2100" s="1"/>
      <c r="CM2100" s="4"/>
      <c r="CP2100" s="1"/>
      <c r="CQ2100" s="1"/>
      <c r="CS2100" s="1"/>
      <c r="CV2100" s="1"/>
      <c r="CW2100" s="1"/>
      <c r="CX2100" s="1"/>
      <c r="CY2100" s="1"/>
      <c r="CZ2100" s="1"/>
      <c r="DA2100" s="1"/>
      <c r="DB2100" s="1"/>
      <c r="DC2100" s="1"/>
      <c r="DD2100" s="1"/>
      <c r="DE2100" s="1"/>
      <c r="DF2100" s="1"/>
      <c r="DG2100" s="1"/>
      <c r="DH2100" s="1"/>
      <c r="DI2100" s="1"/>
      <c r="DJ2100" s="1"/>
      <c r="DK2100" s="1"/>
      <c r="ED2100" s="1"/>
      <c r="EK2100" s="1"/>
      <c r="EL2100" s="1"/>
      <c r="EM2100" s="1"/>
      <c r="EN2100" s="1"/>
      <c r="EQ2100" s="1"/>
      <c r="ER2100" s="1"/>
      <c r="ES2100" s="1"/>
      <c r="EV2100" s="1"/>
      <c r="EW2100" s="1"/>
      <c r="EZ2100" s="1"/>
      <c r="GO2100" s="1"/>
      <c r="GP2100" s="1"/>
      <c r="HY2100" s="1"/>
      <c r="IE2100" s="1"/>
      <c r="IS2100" s="1"/>
      <c r="IY2100" s="1"/>
      <c r="IZ2100" s="1"/>
      <c r="JH2100" s="1"/>
      <c r="JJ2100" s="1"/>
      <c r="JN2100" s="1"/>
      <c r="JP2100" s="1"/>
      <c r="JQ2100" s="1"/>
      <c r="LZ2100" s="1"/>
      <c r="MA2100" s="1"/>
    </row>
    <row r="2101" spans="4:339" ht="13" x14ac:dyDescent="0.15">
      <c r="D2101" s="12"/>
      <c r="E2101" s="12"/>
      <c r="I2101" s="12"/>
      <c r="J2101" s="13"/>
      <c r="BG2101" s="1"/>
      <c r="BH2101" s="1"/>
      <c r="BI2101" s="1"/>
      <c r="BK2101" s="1"/>
      <c r="BL2101" s="1"/>
      <c r="BM2101" s="1"/>
      <c r="BN2101" s="1"/>
      <c r="BO2101" s="1"/>
      <c r="BP2101" s="1"/>
      <c r="CC2101" s="1"/>
      <c r="CD2101" s="1"/>
      <c r="CE2101" s="1"/>
      <c r="CF2101" s="1"/>
      <c r="CG2101" s="1"/>
      <c r="CM2101" s="4"/>
      <c r="CP2101" s="1"/>
      <c r="CQ2101" s="1"/>
      <c r="CS2101" s="1"/>
      <c r="CV2101" s="1"/>
      <c r="CW2101" s="1"/>
      <c r="CX2101" s="1"/>
      <c r="CY2101" s="1"/>
      <c r="CZ2101" s="1"/>
      <c r="DA2101" s="1"/>
      <c r="DB2101" s="1"/>
      <c r="DC2101" s="1"/>
      <c r="DD2101" s="1"/>
      <c r="DE2101" s="1"/>
      <c r="DF2101" s="1"/>
      <c r="DG2101" s="1"/>
      <c r="DH2101" s="1"/>
      <c r="DI2101" s="1"/>
      <c r="DJ2101" s="1"/>
      <c r="DK2101" s="1"/>
      <c r="ED2101" s="1"/>
      <c r="EK2101" s="1"/>
      <c r="EL2101" s="1"/>
      <c r="EM2101" s="1"/>
      <c r="EN2101" s="1"/>
      <c r="EQ2101" s="1"/>
      <c r="ER2101" s="1"/>
      <c r="ES2101" s="1"/>
      <c r="EV2101" s="1"/>
      <c r="EW2101" s="1"/>
      <c r="EZ2101" s="1"/>
      <c r="GO2101" s="1"/>
      <c r="GP2101" s="1"/>
      <c r="HY2101" s="1"/>
      <c r="IE2101" s="1"/>
      <c r="IS2101" s="1"/>
      <c r="IY2101" s="1"/>
      <c r="IZ2101" s="1"/>
      <c r="JH2101" s="1"/>
      <c r="JJ2101" s="1"/>
      <c r="JN2101" s="1"/>
      <c r="JP2101" s="1"/>
      <c r="JQ2101" s="1"/>
      <c r="LZ2101" s="1"/>
      <c r="MA2101" s="1"/>
    </row>
    <row r="2102" spans="4:339" ht="13" x14ac:dyDescent="0.15">
      <c r="D2102" s="12"/>
      <c r="E2102" s="12"/>
      <c r="I2102" s="12"/>
      <c r="J2102" s="13"/>
      <c r="BG2102" s="1"/>
      <c r="BH2102" s="1"/>
      <c r="BI2102" s="1"/>
      <c r="BK2102" s="1"/>
      <c r="BL2102" s="1"/>
      <c r="BM2102" s="1"/>
      <c r="BN2102" s="1"/>
      <c r="BO2102" s="1"/>
      <c r="BP2102" s="1"/>
      <c r="CC2102" s="1"/>
      <c r="CD2102" s="1"/>
      <c r="CE2102" s="1"/>
      <c r="CF2102" s="1"/>
      <c r="CG2102" s="1"/>
      <c r="CM2102" s="4"/>
      <c r="CP2102" s="1"/>
      <c r="CQ2102" s="1"/>
      <c r="CS2102" s="1"/>
      <c r="CV2102" s="1"/>
      <c r="CW2102" s="1"/>
      <c r="CX2102" s="1"/>
      <c r="CY2102" s="1"/>
      <c r="CZ2102" s="1"/>
      <c r="DA2102" s="1"/>
      <c r="DB2102" s="1"/>
      <c r="DC2102" s="1"/>
      <c r="DD2102" s="1"/>
      <c r="DE2102" s="1"/>
      <c r="DF2102" s="1"/>
      <c r="DG2102" s="1"/>
      <c r="DH2102" s="1"/>
      <c r="DI2102" s="1"/>
      <c r="DJ2102" s="1"/>
      <c r="DK2102" s="1"/>
      <c r="ED2102" s="1"/>
      <c r="EK2102" s="1"/>
      <c r="EL2102" s="1"/>
      <c r="EM2102" s="1"/>
      <c r="EN2102" s="1"/>
      <c r="EQ2102" s="1"/>
      <c r="ER2102" s="1"/>
      <c r="ES2102" s="1"/>
      <c r="EV2102" s="1"/>
      <c r="EW2102" s="1"/>
      <c r="EZ2102" s="1"/>
      <c r="GO2102" s="1"/>
      <c r="GP2102" s="1"/>
      <c r="HY2102" s="1"/>
      <c r="IE2102" s="1"/>
      <c r="IS2102" s="1"/>
      <c r="IY2102" s="1"/>
      <c r="IZ2102" s="1"/>
      <c r="JH2102" s="1"/>
      <c r="JJ2102" s="1"/>
      <c r="JN2102" s="1"/>
      <c r="JP2102" s="1"/>
      <c r="JQ2102" s="1"/>
      <c r="LZ2102" s="1"/>
      <c r="MA2102" s="1"/>
    </row>
    <row r="2103" spans="4:339" ht="13" x14ac:dyDescent="0.15">
      <c r="D2103" s="12"/>
      <c r="E2103" s="12"/>
      <c r="I2103" s="12"/>
      <c r="J2103" s="13"/>
      <c r="BG2103" s="1"/>
      <c r="BH2103" s="1"/>
      <c r="BI2103" s="1"/>
      <c r="BK2103" s="1"/>
      <c r="BL2103" s="1"/>
      <c r="BM2103" s="1"/>
      <c r="BN2103" s="1"/>
      <c r="BO2103" s="1"/>
      <c r="BP2103" s="1"/>
      <c r="CC2103" s="1"/>
      <c r="CD2103" s="1"/>
      <c r="CE2103" s="1"/>
      <c r="CF2103" s="1"/>
      <c r="CG2103" s="1"/>
      <c r="CM2103" s="4"/>
      <c r="CP2103" s="1"/>
      <c r="CQ2103" s="1"/>
      <c r="CS2103" s="1"/>
      <c r="CV2103" s="1"/>
      <c r="CW2103" s="1"/>
      <c r="CX2103" s="1"/>
      <c r="CY2103" s="1"/>
      <c r="CZ2103" s="1"/>
      <c r="DA2103" s="1"/>
      <c r="DB2103" s="1"/>
      <c r="DC2103" s="1"/>
      <c r="DD2103" s="1"/>
      <c r="DE2103" s="1"/>
      <c r="DF2103" s="1"/>
      <c r="DG2103" s="1"/>
      <c r="DH2103" s="1"/>
      <c r="DI2103" s="1"/>
      <c r="DJ2103" s="1"/>
      <c r="DK2103" s="1"/>
      <c r="ED2103" s="1"/>
      <c r="EK2103" s="1"/>
      <c r="EL2103" s="1"/>
      <c r="EM2103" s="1"/>
      <c r="EN2103" s="1"/>
      <c r="EQ2103" s="1"/>
      <c r="ER2103" s="1"/>
      <c r="ES2103" s="1"/>
      <c r="EV2103" s="1"/>
      <c r="EW2103" s="1"/>
      <c r="EZ2103" s="1"/>
      <c r="GO2103" s="1"/>
      <c r="GP2103" s="1"/>
      <c r="HY2103" s="1"/>
      <c r="IE2103" s="1"/>
      <c r="IS2103" s="1"/>
      <c r="IY2103" s="1"/>
      <c r="IZ2103" s="1"/>
      <c r="JH2103" s="1"/>
      <c r="JJ2103" s="1"/>
      <c r="JN2103" s="1"/>
      <c r="JP2103" s="1"/>
      <c r="JQ2103" s="1"/>
      <c r="LZ2103" s="1"/>
      <c r="MA2103" s="1"/>
    </row>
    <row r="2104" spans="4:339" ht="13" x14ac:dyDescent="0.15">
      <c r="D2104" s="12"/>
      <c r="E2104" s="12"/>
      <c r="I2104" s="12"/>
      <c r="J2104" s="13"/>
      <c r="BG2104" s="1"/>
      <c r="BH2104" s="1"/>
      <c r="BI2104" s="1"/>
      <c r="BK2104" s="1"/>
      <c r="BL2104" s="1"/>
      <c r="BM2104" s="1"/>
      <c r="BN2104" s="1"/>
      <c r="BO2104" s="1"/>
      <c r="BP2104" s="1"/>
      <c r="CC2104" s="1"/>
      <c r="CD2104" s="1"/>
      <c r="CE2104" s="1"/>
      <c r="CF2104" s="1"/>
      <c r="CG2104" s="1"/>
      <c r="CM2104" s="4"/>
      <c r="CP2104" s="1"/>
      <c r="CQ2104" s="1"/>
      <c r="CS2104" s="1"/>
      <c r="CV2104" s="1"/>
      <c r="CW2104" s="1"/>
      <c r="CX2104" s="1"/>
      <c r="CY2104" s="1"/>
      <c r="CZ2104" s="1"/>
      <c r="DA2104" s="1"/>
      <c r="DB2104" s="1"/>
      <c r="DC2104" s="1"/>
      <c r="DD2104" s="1"/>
      <c r="DE2104" s="1"/>
      <c r="DF2104" s="1"/>
      <c r="DG2104" s="1"/>
      <c r="DH2104" s="1"/>
      <c r="DI2104" s="1"/>
      <c r="DJ2104" s="1"/>
      <c r="DK2104" s="1"/>
      <c r="ED2104" s="1"/>
      <c r="EK2104" s="1"/>
      <c r="EL2104" s="1"/>
      <c r="EM2104" s="1"/>
      <c r="EN2104" s="1"/>
      <c r="EQ2104" s="1"/>
      <c r="ER2104" s="1"/>
      <c r="ES2104" s="1"/>
      <c r="EV2104" s="1"/>
      <c r="EW2104" s="1"/>
      <c r="EZ2104" s="1"/>
      <c r="GO2104" s="1"/>
      <c r="GP2104" s="1"/>
      <c r="HY2104" s="1"/>
      <c r="IE2104" s="1"/>
      <c r="IS2104" s="1"/>
      <c r="IY2104" s="1"/>
      <c r="IZ2104" s="1"/>
      <c r="JH2104" s="1"/>
      <c r="JJ2104" s="1"/>
      <c r="JN2104" s="1"/>
      <c r="JP2104" s="1"/>
      <c r="JQ2104" s="1"/>
      <c r="LZ2104" s="1"/>
      <c r="MA2104" s="1"/>
    </row>
    <row r="2105" spans="4:339" ht="13" x14ac:dyDescent="0.15">
      <c r="D2105" s="12"/>
      <c r="E2105" s="12"/>
      <c r="I2105" s="12"/>
      <c r="J2105" s="13"/>
      <c r="BG2105" s="1"/>
      <c r="BH2105" s="1"/>
      <c r="BI2105" s="1"/>
      <c r="BK2105" s="1"/>
      <c r="BL2105" s="1"/>
      <c r="BM2105" s="1"/>
      <c r="BN2105" s="1"/>
      <c r="BO2105" s="1"/>
      <c r="BP2105" s="1"/>
      <c r="CC2105" s="1"/>
      <c r="CD2105" s="1"/>
      <c r="CE2105" s="1"/>
      <c r="CF2105" s="1"/>
      <c r="CG2105" s="1"/>
      <c r="CM2105" s="4"/>
      <c r="CP2105" s="1"/>
      <c r="CQ2105" s="1"/>
      <c r="CS2105" s="1"/>
      <c r="CV2105" s="1"/>
      <c r="CW2105" s="1"/>
      <c r="CX2105" s="1"/>
      <c r="CY2105" s="1"/>
      <c r="CZ2105" s="1"/>
      <c r="DA2105" s="1"/>
      <c r="DB2105" s="1"/>
      <c r="DC2105" s="1"/>
      <c r="DD2105" s="1"/>
      <c r="DE2105" s="1"/>
      <c r="DF2105" s="1"/>
      <c r="DG2105" s="1"/>
      <c r="DH2105" s="1"/>
      <c r="DI2105" s="1"/>
      <c r="DJ2105" s="1"/>
      <c r="DK2105" s="1"/>
      <c r="ED2105" s="1"/>
      <c r="EK2105" s="1"/>
      <c r="EL2105" s="1"/>
      <c r="EM2105" s="1"/>
      <c r="EN2105" s="1"/>
      <c r="EQ2105" s="1"/>
      <c r="ER2105" s="1"/>
      <c r="ES2105" s="1"/>
      <c r="EV2105" s="1"/>
      <c r="EW2105" s="1"/>
      <c r="EZ2105" s="1"/>
      <c r="GO2105" s="1"/>
      <c r="GP2105" s="1"/>
      <c r="HY2105" s="1"/>
      <c r="IE2105" s="1"/>
      <c r="IS2105" s="1"/>
      <c r="IY2105" s="1"/>
      <c r="IZ2105" s="1"/>
      <c r="JH2105" s="1"/>
      <c r="JJ2105" s="1"/>
      <c r="JN2105" s="1"/>
      <c r="JP2105" s="1"/>
      <c r="JQ2105" s="1"/>
      <c r="LZ2105" s="1"/>
      <c r="MA2105" s="1"/>
    </row>
    <row r="2106" spans="4:339" ht="13" x14ac:dyDescent="0.15">
      <c r="D2106" s="12"/>
      <c r="E2106" s="12"/>
      <c r="I2106" s="12"/>
      <c r="J2106" s="13"/>
      <c r="BG2106" s="1"/>
      <c r="BH2106" s="1"/>
      <c r="BI2106" s="1"/>
      <c r="BK2106" s="1"/>
      <c r="BL2106" s="1"/>
      <c r="BM2106" s="1"/>
      <c r="BN2106" s="1"/>
      <c r="BO2106" s="1"/>
      <c r="BP2106" s="1"/>
      <c r="CC2106" s="1"/>
      <c r="CD2106" s="1"/>
      <c r="CE2106" s="1"/>
      <c r="CF2106" s="1"/>
      <c r="CG2106" s="1"/>
      <c r="CM2106" s="4"/>
      <c r="CP2106" s="1"/>
      <c r="CQ2106" s="1"/>
      <c r="CS2106" s="1"/>
      <c r="CV2106" s="1"/>
      <c r="CW2106" s="1"/>
      <c r="CX2106" s="1"/>
      <c r="CY2106" s="1"/>
      <c r="CZ2106" s="1"/>
      <c r="DA2106" s="1"/>
      <c r="DB2106" s="1"/>
      <c r="DC2106" s="1"/>
      <c r="DD2106" s="1"/>
      <c r="DE2106" s="1"/>
      <c r="DF2106" s="1"/>
      <c r="DG2106" s="1"/>
      <c r="DH2106" s="1"/>
      <c r="DI2106" s="1"/>
      <c r="DJ2106" s="1"/>
      <c r="DK2106" s="1"/>
      <c r="ED2106" s="1"/>
      <c r="EK2106" s="1"/>
      <c r="EL2106" s="1"/>
      <c r="EM2106" s="1"/>
      <c r="EN2106" s="1"/>
      <c r="EQ2106" s="1"/>
      <c r="ER2106" s="1"/>
      <c r="ES2106" s="1"/>
      <c r="EV2106" s="1"/>
      <c r="EW2106" s="1"/>
      <c r="EZ2106" s="1"/>
      <c r="GO2106" s="1"/>
      <c r="GP2106" s="1"/>
      <c r="HY2106" s="1"/>
      <c r="IE2106" s="1"/>
      <c r="IS2106" s="1"/>
      <c r="IY2106" s="1"/>
      <c r="IZ2106" s="1"/>
      <c r="JH2106" s="1"/>
      <c r="JJ2106" s="1"/>
      <c r="JN2106" s="1"/>
      <c r="JP2106" s="1"/>
      <c r="JQ2106" s="1"/>
      <c r="LZ2106" s="1"/>
      <c r="MA2106" s="1"/>
    </row>
    <row r="2107" spans="4:339" ht="13" x14ac:dyDescent="0.15">
      <c r="D2107" s="12"/>
      <c r="E2107" s="12"/>
      <c r="I2107" s="12"/>
      <c r="J2107" s="13"/>
      <c r="BG2107" s="1"/>
      <c r="BH2107" s="1"/>
      <c r="BI2107" s="1"/>
      <c r="BK2107" s="1"/>
      <c r="BL2107" s="1"/>
      <c r="BM2107" s="1"/>
      <c r="BN2107" s="1"/>
      <c r="BO2107" s="1"/>
      <c r="BP2107" s="1"/>
      <c r="CC2107" s="1"/>
      <c r="CD2107" s="1"/>
      <c r="CE2107" s="1"/>
      <c r="CF2107" s="1"/>
      <c r="CG2107" s="1"/>
      <c r="CM2107" s="4"/>
      <c r="CP2107" s="1"/>
      <c r="CQ2107" s="1"/>
      <c r="CS2107" s="1"/>
      <c r="CV2107" s="1"/>
      <c r="CW2107" s="1"/>
      <c r="CX2107" s="1"/>
      <c r="CY2107" s="1"/>
      <c r="CZ2107" s="1"/>
      <c r="DA2107" s="1"/>
      <c r="DB2107" s="1"/>
      <c r="DC2107" s="1"/>
      <c r="DD2107" s="1"/>
      <c r="DE2107" s="1"/>
      <c r="DF2107" s="1"/>
      <c r="DG2107" s="1"/>
      <c r="DH2107" s="1"/>
      <c r="DI2107" s="1"/>
      <c r="DJ2107" s="1"/>
      <c r="DK2107" s="1"/>
      <c r="ED2107" s="1"/>
      <c r="EK2107" s="1"/>
      <c r="EL2107" s="1"/>
      <c r="EM2107" s="1"/>
      <c r="EN2107" s="1"/>
      <c r="EQ2107" s="1"/>
      <c r="ER2107" s="1"/>
      <c r="ES2107" s="1"/>
      <c r="EV2107" s="1"/>
      <c r="EW2107" s="1"/>
      <c r="EZ2107" s="1"/>
      <c r="GO2107" s="1"/>
      <c r="GP2107" s="1"/>
      <c r="HY2107" s="1"/>
      <c r="IE2107" s="1"/>
      <c r="IS2107" s="1"/>
      <c r="IY2107" s="1"/>
      <c r="IZ2107" s="1"/>
      <c r="JH2107" s="1"/>
      <c r="JJ2107" s="1"/>
      <c r="JN2107" s="1"/>
      <c r="JP2107" s="1"/>
      <c r="JQ2107" s="1"/>
      <c r="LZ2107" s="1"/>
      <c r="MA2107" s="1"/>
    </row>
    <row r="2108" spans="4:339" ht="13" x14ac:dyDescent="0.15">
      <c r="D2108" s="12"/>
      <c r="E2108" s="12"/>
      <c r="I2108" s="12"/>
      <c r="J2108" s="13"/>
      <c r="BG2108" s="1"/>
      <c r="BH2108" s="1"/>
      <c r="BI2108" s="1"/>
      <c r="BK2108" s="1"/>
      <c r="BL2108" s="1"/>
      <c r="BM2108" s="1"/>
      <c r="BN2108" s="1"/>
      <c r="BO2108" s="1"/>
      <c r="BP2108" s="1"/>
      <c r="CC2108" s="1"/>
      <c r="CD2108" s="1"/>
      <c r="CE2108" s="1"/>
      <c r="CF2108" s="1"/>
      <c r="CG2108" s="1"/>
      <c r="CM2108" s="4"/>
      <c r="CP2108" s="1"/>
      <c r="CQ2108" s="1"/>
      <c r="CS2108" s="1"/>
      <c r="CV2108" s="1"/>
      <c r="CW2108" s="1"/>
      <c r="CX2108" s="1"/>
      <c r="CY2108" s="1"/>
      <c r="CZ2108" s="1"/>
      <c r="DA2108" s="1"/>
      <c r="DB2108" s="1"/>
      <c r="DC2108" s="1"/>
      <c r="DD2108" s="1"/>
      <c r="DE2108" s="1"/>
      <c r="DF2108" s="1"/>
      <c r="DG2108" s="1"/>
      <c r="DH2108" s="1"/>
      <c r="DI2108" s="1"/>
      <c r="DJ2108" s="1"/>
      <c r="DK2108" s="1"/>
      <c r="ED2108" s="1"/>
      <c r="EK2108" s="1"/>
      <c r="EL2108" s="1"/>
      <c r="EM2108" s="1"/>
      <c r="EN2108" s="1"/>
      <c r="EQ2108" s="1"/>
      <c r="ER2108" s="1"/>
      <c r="ES2108" s="1"/>
      <c r="EV2108" s="1"/>
      <c r="EW2108" s="1"/>
      <c r="EZ2108" s="1"/>
      <c r="GO2108" s="1"/>
      <c r="GP2108" s="1"/>
      <c r="HY2108" s="1"/>
      <c r="IE2108" s="1"/>
      <c r="IS2108" s="1"/>
      <c r="IY2108" s="1"/>
      <c r="IZ2108" s="1"/>
      <c r="JH2108" s="1"/>
      <c r="JJ2108" s="1"/>
      <c r="JN2108" s="1"/>
      <c r="JP2108" s="1"/>
      <c r="JQ2108" s="1"/>
      <c r="LZ2108" s="1"/>
      <c r="MA2108" s="1"/>
    </row>
    <row r="2109" spans="4:339" ht="13" x14ac:dyDescent="0.15">
      <c r="D2109" s="12"/>
      <c r="E2109" s="12"/>
      <c r="I2109" s="12"/>
      <c r="J2109" s="13"/>
      <c r="BG2109" s="1"/>
      <c r="BH2109" s="1"/>
      <c r="BI2109" s="1"/>
      <c r="BK2109" s="1"/>
      <c r="BL2109" s="1"/>
      <c r="BM2109" s="1"/>
      <c r="BN2109" s="1"/>
      <c r="BO2109" s="1"/>
      <c r="BP2109" s="1"/>
      <c r="CC2109" s="1"/>
      <c r="CD2109" s="1"/>
      <c r="CE2109" s="1"/>
      <c r="CF2109" s="1"/>
      <c r="CG2109" s="1"/>
      <c r="CM2109" s="4"/>
      <c r="CP2109" s="1"/>
      <c r="CQ2109" s="1"/>
      <c r="CS2109" s="1"/>
      <c r="CV2109" s="1"/>
      <c r="CW2109" s="1"/>
      <c r="CX2109" s="1"/>
      <c r="CY2109" s="1"/>
      <c r="CZ2109" s="1"/>
      <c r="DA2109" s="1"/>
      <c r="DB2109" s="1"/>
      <c r="DC2109" s="1"/>
      <c r="DD2109" s="1"/>
      <c r="DE2109" s="1"/>
      <c r="DF2109" s="1"/>
      <c r="DG2109" s="1"/>
      <c r="DH2109" s="1"/>
      <c r="DI2109" s="1"/>
      <c r="DJ2109" s="1"/>
      <c r="DK2109" s="1"/>
      <c r="ED2109" s="1"/>
      <c r="EK2109" s="1"/>
      <c r="EL2109" s="1"/>
      <c r="EM2109" s="1"/>
      <c r="EN2109" s="1"/>
      <c r="EQ2109" s="1"/>
      <c r="ER2109" s="1"/>
      <c r="ES2109" s="1"/>
      <c r="EV2109" s="1"/>
      <c r="EW2109" s="1"/>
      <c r="EZ2109" s="1"/>
      <c r="GO2109" s="1"/>
      <c r="GP2109" s="1"/>
      <c r="HY2109" s="1"/>
      <c r="IE2109" s="1"/>
      <c r="IS2109" s="1"/>
      <c r="IY2109" s="1"/>
      <c r="IZ2109" s="1"/>
      <c r="JH2109" s="1"/>
      <c r="JJ2109" s="1"/>
      <c r="JN2109" s="1"/>
      <c r="JP2109" s="1"/>
      <c r="JQ2109" s="1"/>
      <c r="LZ2109" s="1"/>
      <c r="MA2109" s="1"/>
    </row>
    <row r="2110" spans="4:339" ht="13" x14ac:dyDescent="0.15">
      <c r="D2110" s="12"/>
      <c r="E2110" s="12"/>
      <c r="I2110" s="12"/>
      <c r="J2110" s="13"/>
      <c r="BG2110" s="1"/>
      <c r="BH2110" s="1"/>
      <c r="BI2110" s="1"/>
      <c r="BK2110" s="1"/>
      <c r="BL2110" s="1"/>
      <c r="BM2110" s="1"/>
      <c r="BN2110" s="1"/>
      <c r="BO2110" s="1"/>
      <c r="BP2110" s="1"/>
      <c r="CC2110" s="1"/>
      <c r="CD2110" s="1"/>
      <c r="CE2110" s="1"/>
      <c r="CF2110" s="1"/>
      <c r="CG2110" s="1"/>
      <c r="CM2110" s="4"/>
      <c r="CP2110" s="1"/>
      <c r="CQ2110" s="1"/>
      <c r="CS2110" s="1"/>
      <c r="CV2110" s="1"/>
      <c r="CW2110" s="1"/>
      <c r="CX2110" s="1"/>
      <c r="CY2110" s="1"/>
      <c r="CZ2110" s="1"/>
      <c r="DA2110" s="1"/>
      <c r="DB2110" s="1"/>
      <c r="DC2110" s="1"/>
      <c r="DD2110" s="1"/>
      <c r="DE2110" s="1"/>
      <c r="DF2110" s="1"/>
      <c r="DG2110" s="1"/>
      <c r="DH2110" s="1"/>
      <c r="DI2110" s="1"/>
      <c r="DJ2110" s="1"/>
      <c r="DK2110" s="1"/>
      <c r="ED2110" s="1"/>
      <c r="EK2110" s="1"/>
      <c r="EL2110" s="1"/>
      <c r="EM2110" s="1"/>
      <c r="EN2110" s="1"/>
      <c r="EQ2110" s="1"/>
      <c r="ER2110" s="1"/>
      <c r="ES2110" s="1"/>
      <c r="EV2110" s="1"/>
      <c r="EW2110" s="1"/>
      <c r="EZ2110" s="1"/>
      <c r="GO2110" s="1"/>
      <c r="GP2110" s="1"/>
      <c r="HY2110" s="1"/>
      <c r="IE2110" s="1"/>
      <c r="IS2110" s="1"/>
      <c r="IY2110" s="1"/>
      <c r="IZ2110" s="1"/>
      <c r="JH2110" s="1"/>
      <c r="JJ2110" s="1"/>
      <c r="JN2110" s="1"/>
      <c r="JP2110" s="1"/>
      <c r="JQ2110" s="1"/>
      <c r="LZ2110" s="1"/>
      <c r="MA2110" s="1"/>
    </row>
    <row r="2111" spans="4:339" ht="13" x14ac:dyDescent="0.15">
      <c r="D2111" s="12"/>
      <c r="E2111" s="12"/>
      <c r="I2111" s="12"/>
      <c r="J2111" s="13"/>
      <c r="BG2111" s="1"/>
      <c r="BH2111" s="1"/>
      <c r="BI2111" s="1"/>
      <c r="BK2111" s="1"/>
      <c r="BL2111" s="1"/>
      <c r="BM2111" s="1"/>
      <c r="BN2111" s="1"/>
      <c r="BO2111" s="1"/>
      <c r="BP2111" s="1"/>
      <c r="CC2111" s="1"/>
      <c r="CD2111" s="1"/>
      <c r="CE2111" s="1"/>
      <c r="CF2111" s="1"/>
      <c r="CG2111" s="1"/>
      <c r="CM2111" s="4"/>
      <c r="CP2111" s="1"/>
      <c r="CQ2111" s="1"/>
      <c r="CS2111" s="1"/>
      <c r="CV2111" s="1"/>
      <c r="CW2111" s="1"/>
      <c r="CX2111" s="1"/>
      <c r="CY2111" s="1"/>
      <c r="CZ2111" s="1"/>
      <c r="DA2111" s="1"/>
      <c r="DB2111" s="1"/>
      <c r="DC2111" s="1"/>
      <c r="DD2111" s="1"/>
      <c r="DE2111" s="1"/>
      <c r="DF2111" s="1"/>
      <c r="DG2111" s="1"/>
      <c r="DH2111" s="1"/>
      <c r="DI2111" s="1"/>
      <c r="DJ2111" s="1"/>
      <c r="DK2111" s="1"/>
      <c r="ED2111" s="1"/>
      <c r="EK2111" s="1"/>
      <c r="EL2111" s="1"/>
      <c r="EM2111" s="1"/>
      <c r="EN2111" s="1"/>
      <c r="EQ2111" s="1"/>
      <c r="ER2111" s="1"/>
      <c r="ES2111" s="1"/>
      <c r="EV2111" s="1"/>
      <c r="EW2111" s="1"/>
      <c r="EZ2111" s="1"/>
      <c r="GO2111" s="1"/>
      <c r="GP2111" s="1"/>
      <c r="HY2111" s="1"/>
      <c r="IE2111" s="1"/>
      <c r="IS2111" s="1"/>
      <c r="IY2111" s="1"/>
      <c r="IZ2111" s="1"/>
      <c r="JH2111" s="1"/>
      <c r="JJ2111" s="1"/>
      <c r="JN2111" s="1"/>
      <c r="JP2111" s="1"/>
      <c r="JQ2111" s="1"/>
      <c r="LZ2111" s="1"/>
      <c r="MA2111" s="1"/>
    </row>
    <row r="2112" spans="4:339" ht="13" x14ac:dyDescent="0.15">
      <c r="D2112" s="12"/>
      <c r="E2112" s="12"/>
      <c r="I2112" s="12"/>
      <c r="J2112" s="13"/>
      <c r="BG2112" s="1"/>
      <c r="BH2112" s="1"/>
      <c r="BI2112" s="1"/>
      <c r="BK2112" s="1"/>
      <c r="BL2112" s="1"/>
      <c r="BM2112" s="1"/>
      <c r="BN2112" s="1"/>
      <c r="BO2112" s="1"/>
      <c r="BP2112" s="1"/>
      <c r="CC2112" s="1"/>
      <c r="CD2112" s="1"/>
      <c r="CE2112" s="1"/>
      <c r="CF2112" s="1"/>
      <c r="CG2112" s="1"/>
      <c r="CM2112" s="4"/>
      <c r="CP2112" s="1"/>
      <c r="CQ2112" s="1"/>
      <c r="CS2112" s="1"/>
      <c r="CV2112" s="1"/>
      <c r="CW2112" s="1"/>
      <c r="CX2112" s="1"/>
      <c r="CY2112" s="1"/>
      <c r="CZ2112" s="1"/>
      <c r="DA2112" s="1"/>
      <c r="DB2112" s="1"/>
      <c r="DC2112" s="1"/>
      <c r="DD2112" s="1"/>
      <c r="DE2112" s="1"/>
      <c r="DF2112" s="1"/>
      <c r="DG2112" s="1"/>
      <c r="DH2112" s="1"/>
      <c r="DI2112" s="1"/>
      <c r="DJ2112" s="1"/>
      <c r="DK2112" s="1"/>
      <c r="ED2112" s="1"/>
      <c r="EK2112" s="1"/>
      <c r="EL2112" s="1"/>
      <c r="EM2112" s="1"/>
      <c r="EN2112" s="1"/>
      <c r="EQ2112" s="1"/>
      <c r="ER2112" s="1"/>
      <c r="ES2112" s="1"/>
      <c r="EV2112" s="1"/>
      <c r="EW2112" s="1"/>
      <c r="EZ2112" s="1"/>
      <c r="GO2112" s="1"/>
      <c r="GP2112" s="1"/>
      <c r="HY2112" s="1"/>
      <c r="IE2112" s="1"/>
      <c r="IS2112" s="1"/>
      <c r="IY2112" s="1"/>
      <c r="IZ2112" s="1"/>
      <c r="JH2112" s="1"/>
      <c r="JJ2112" s="1"/>
      <c r="JN2112" s="1"/>
      <c r="JP2112" s="1"/>
      <c r="JQ2112" s="1"/>
      <c r="LZ2112" s="1"/>
      <c r="MA2112" s="1"/>
    </row>
    <row r="2113" spans="4:339" ht="13" x14ac:dyDescent="0.15">
      <c r="D2113" s="12"/>
      <c r="E2113" s="12"/>
      <c r="I2113" s="12"/>
      <c r="J2113" s="13"/>
      <c r="BG2113" s="1"/>
      <c r="BH2113" s="1"/>
      <c r="BI2113" s="1"/>
      <c r="BK2113" s="1"/>
      <c r="BL2113" s="1"/>
      <c r="BM2113" s="1"/>
      <c r="BN2113" s="1"/>
      <c r="BO2113" s="1"/>
      <c r="BP2113" s="1"/>
      <c r="CC2113" s="1"/>
      <c r="CD2113" s="1"/>
      <c r="CE2113" s="1"/>
      <c r="CF2113" s="1"/>
      <c r="CG2113" s="1"/>
      <c r="CM2113" s="4"/>
      <c r="CP2113" s="1"/>
      <c r="CQ2113" s="1"/>
      <c r="CS2113" s="1"/>
      <c r="CV2113" s="1"/>
      <c r="CW2113" s="1"/>
      <c r="CX2113" s="1"/>
      <c r="CY2113" s="1"/>
      <c r="CZ2113" s="1"/>
      <c r="DA2113" s="1"/>
      <c r="DB2113" s="1"/>
      <c r="DC2113" s="1"/>
      <c r="DD2113" s="1"/>
      <c r="DE2113" s="1"/>
      <c r="DF2113" s="1"/>
      <c r="DG2113" s="1"/>
      <c r="DH2113" s="1"/>
      <c r="DI2113" s="1"/>
      <c r="DJ2113" s="1"/>
      <c r="DK2113" s="1"/>
      <c r="ED2113" s="1"/>
      <c r="EK2113" s="1"/>
      <c r="EL2113" s="1"/>
      <c r="EM2113" s="1"/>
      <c r="EN2113" s="1"/>
      <c r="EQ2113" s="1"/>
      <c r="ER2113" s="1"/>
      <c r="ES2113" s="1"/>
      <c r="EV2113" s="1"/>
      <c r="EW2113" s="1"/>
      <c r="EZ2113" s="1"/>
      <c r="GO2113" s="1"/>
      <c r="GP2113" s="1"/>
      <c r="HY2113" s="1"/>
      <c r="IE2113" s="1"/>
      <c r="IS2113" s="1"/>
      <c r="IY2113" s="1"/>
      <c r="IZ2113" s="1"/>
      <c r="JH2113" s="1"/>
      <c r="JJ2113" s="1"/>
      <c r="JN2113" s="1"/>
      <c r="JP2113" s="1"/>
      <c r="JQ2113" s="1"/>
      <c r="LZ2113" s="1"/>
      <c r="MA2113" s="1"/>
    </row>
    <row r="2114" spans="4:339" ht="13" x14ac:dyDescent="0.15">
      <c r="D2114" s="12"/>
      <c r="E2114" s="12"/>
      <c r="I2114" s="12"/>
      <c r="J2114" s="13"/>
      <c r="BG2114" s="1"/>
      <c r="BH2114" s="1"/>
      <c r="BI2114" s="1"/>
      <c r="BK2114" s="1"/>
      <c r="BL2114" s="1"/>
      <c r="BM2114" s="1"/>
      <c r="BN2114" s="1"/>
      <c r="BO2114" s="1"/>
      <c r="BP2114" s="1"/>
      <c r="CC2114" s="1"/>
      <c r="CD2114" s="1"/>
      <c r="CE2114" s="1"/>
      <c r="CF2114" s="1"/>
      <c r="CG2114" s="1"/>
      <c r="CM2114" s="4"/>
      <c r="CP2114" s="1"/>
      <c r="CQ2114" s="1"/>
      <c r="CS2114" s="1"/>
      <c r="CV2114" s="1"/>
      <c r="CW2114" s="1"/>
      <c r="CX2114" s="1"/>
      <c r="CY2114" s="1"/>
      <c r="CZ2114" s="1"/>
      <c r="DA2114" s="1"/>
      <c r="DB2114" s="1"/>
      <c r="DC2114" s="1"/>
      <c r="DD2114" s="1"/>
      <c r="DE2114" s="1"/>
      <c r="DF2114" s="1"/>
      <c r="DG2114" s="1"/>
      <c r="DH2114" s="1"/>
      <c r="DI2114" s="1"/>
      <c r="DJ2114" s="1"/>
      <c r="DK2114" s="1"/>
      <c r="ED2114" s="1"/>
      <c r="EK2114" s="1"/>
      <c r="EL2114" s="1"/>
      <c r="EM2114" s="1"/>
      <c r="EN2114" s="1"/>
      <c r="EQ2114" s="1"/>
      <c r="ER2114" s="1"/>
      <c r="ES2114" s="1"/>
      <c r="EV2114" s="1"/>
      <c r="EW2114" s="1"/>
      <c r="EZ2114" s="1"/>
      <c r="GO2114" s="1"/>
      <c r="GP2114" s="1"/>
      <c r="HY2114" s="1"/>
      <c r="IE2114" s="1"/>
      <c r="IS2114" s="1"/>
      <c r="IY2114" s="1"/>
      <c r="IZ2114" s="1"/>
      <c r="JH2114" s="1"/>
      <c r="JJ2114" s="1"/>
      <c r="JN2114" s="1"/>
      <c r="JP2114" s="1"/>
      <c r="JQ2114" s="1"/>
      <c r="LZ2114" s="1"/>
      <c r="MA2114" s="1"/>
    </row>
    <row r="2115" spans="4:339" ht="13" x14ac:dyDescent="0.15">
      <c r="D2115" s="12"/>
      <c r="E2115" s="12"/>
      <c r="I2115" s="12"/>
      <c r="J2115" s="13"/>
      <c r="BG2115" s="1"/>
      <c r="BH2115" s="1"/>
      <c r="BI2115" s="1"/>
      <c r="BK2115" s="1"/>
      <c r="BL2115" s="1"/>
      <c r="BM2115" s="1"/>
      <c r="BN2115" s="1"/>
      <c r="BO2115" s="1"/>
      <c r="BP2115" s="1"/>
      <c r="CC2115" s="1"/>
      <c r="CD2115" s="1"/>
      <c r="CE2115" s="1"/>
      <c r="CF2115" s="1"/>
      <c r="CG2115" s="1"/>
      <c r="CM2115" s="4"/>
      <c r="CP2115" s="1"/>
      <c r="CQ2115" s="1"/>
      <c r="CS2115" s="1"/>
      <c r="CV2115" s="1"/>
      <c r="CW2115" s="1"/>
      <c r="CX2115" s="1"/>
      <c r="CY2115" s="1"/>
      <c r="CZ2115" s="1"/>
      <c r="DA2115" s="1"/>
      <c r="DB2115" s="1"/>
      <c r="DC2115" s="1"/>
      <c r="DD2115" s="1"/>
      <c r="DE2115" s="1"/>
      <c r="DF2115" s="1"/>
      <c r="DG2115" s="1"/>
      <c r="DH2115" s="1"/>
      <c r="DI2115" s="1"/>
      <c r="DJ2115" s="1"/>
      <c r="DK2115" s="1"/>
      <c r="ED2115" s="1"/>
      <c r="EK2115" s="1"/>
      <c r="EL2115" s="1"/>
      <c r="EM2115" s="1"/>
      <c r="EN2115" s="1"/>
      <c r="EQ2115" s="1"/>
      <c r="ER2115" s="1"/>
      <c r="ES2115" s="1"/>
      <c r="EV2115" s="1"/>
      <c r="EW2115" s="1"/>
      <c r="EZ2115" s="1"/>
      <c r="GO2115" s="1"/>
      <c r="GP2115" s="1"/>
      <c r="HY2115" s="1"/>
      <c r="IE2115" s="1"/>
      <c r="IS2115" s="1"/>
      <c r="IY2115" s="1"/>
      <c r="IZ2115" s="1"/>
      <c r="JH2115" s="1"/>
      <c r="JJ2115" s="1"/>
      <c r="JN2115" s="1"/>
      <c r="JP2115" s="1"/>
      <c r="JQ2115" s="1"/>
      <c r="LZ2115" s="1"/>
      <c r="MA2115" s="1"/>
    </row>
    <row r="2116" spans="4:339" ht="13" x14ac:dyDescent="0.15">
      <c r="D2116" s="12"/>
      <c r="E2116" s="12"/>
      <c r="I2116" s="12"/>
      <c r="J2116" s="13"/>
      <c r="BG2116" s="1"/>
      <c r="BH2116" s="1"/>
      <c r="BI2116" s="1"/>
      <c r="BK2116" s="1"/>
      <c r="BL2116" s="1"/>
      <c r="BM2116" s="1"/>
      <c r="BN2116" s="1"/>
      <c r="BO2116" s="1"/>
      <c r="BP2116" s="1"/>
      <c r="CC2116" s="1"/>
      <c r="CD2116" s="1"/>
      <c r="CE2116" s="1"/>
      <c r="CF2116" s="1"/>
      <c r="CG2116" s="1"/>
      <c r="CM2116" s="4"/>
      <c r="CP2116" s="1"/>
      <c r="CQ2116" s="1"/>
      <c r="CS2116" s="1"/>
      <c r="CV2116" s="1"/>
      <c r="CW2116" s="1"/>
      <c r="CX2116" s="1"/>
      <c r="CY2116" s="1"/>
      <c r="CZ2116" s="1"/>
      <c r="DA2116" s="1"/>
      <c r="DB2116" s="1"/>
      <c r="DC2116" s="1"/>
      <c r="DD2116" s="1"/>
      <c r="DE2116" s="1"/>
      <c r="DF2116" s="1"/>
      <c r="DG2116" s="1"/>
      <c r="DH2116" s="1"/>
      <c r="DI2116" s="1"/>
      <c r="DJ2116" s="1"/>
      <c r="DK2116" s="1"/>
      <c r="ED2116" s="1"/>
      <c r="EK2116" s="1"/>
      <c r="EL2116" s="1"/>
      <c r="EM2116" s="1"/>
      <c r="EN2116" s="1"/>
      <c r="EQ2116" s="1"/>
      <c r="ER2116" s="1"/>
      <c r="ES2116" s="1"/>
      <c r="EV2116" s="1"/>
      <c r="EW2116" s="1"/>
      <c r="EZ2116" s="1"/>
      <c r="GO2116" s="1"/>
      <c r="GP2116" s="1"/>
      <c r="HY2116" s="1"/>
      <c r="IE2116" s="1"/>
      <c r="IS2116" s="1"/>
      <c r="IY2116" s="1"/>
      <c r="IZ2116" s="1"/>
      <c r="JH2116" s="1"/>
      <c r="JJ2116" s="1"/>
      <c r="JN2116" s="1"/>
      <c r="JP2116" s="1"/>
      <c r="JQ2116" s="1"/>
      <c r="LZ2116" s="1"/>
      <c r="MA2116" s="1"/>
    </row>
    <row r="2117" spans="4:339" ht="13" x14ac:dyDescent="0.15">
      <c r="D2117" s="12"/>
      <c r="E2117" s="12"/>
      <c r="I2117" s="12"/>
      <c r="J2117" s="13"/>
      <c r="BG2117" s="1"/>
      <c r="BH2117" s="1"/>
      <c r="BI2117" s="1"/>
      <c r="BK2117" s="1"/>
      <c r="BL2117" s="1"/>
      <c r="BM2117" s="1"/>
      <c r="BN2117" s="1"/>
      <c r="BO2117" s="1"/>
      <c r="BP2117" s="1"/>
      <c r="CC2117" s="1"/>
      <c r="CD2117" s="1"/>
      <c r="CE2117" s="1"/>
      <c r="CF2117" s="1"/>
      <c r="CG2117" s="1"/>
      <c r="CM2117" s="4"/>
      <c r="CP2117" s="1"/>
      <c r="CQ2117" s="1"/>
      <c r="CS2117" s="1"/>
      <c r="CV2117" s="1"/>
      <c r="CW2117" s="1"/>
      <c r="CX2117" s="1"/>
      <c r="CY2117" s="1"/>
      <c r="CZ2117" s="1"/>
      <c r="DA2117" s="1"/>
      <c r="DB2117" s="1"/>
      <c r="DC2117" s="1"/>
      <c r="DD2117" s="1"/>
      <c r="DE2117" s="1"/>
      <c r="DF2117" s="1"/>
      <c r="DG2117" s="1"/>
      <c r="DH2117" s="1"/>
      <c r="DI2117" s="1"/>
      <c r="DJ2117" s="1"/>
      <c r="DK2117" s="1"/>
      <c r="ED2117" s="1"/>
      <c r="EK2117" s="1"/>
      <c r="EL2117" s="1"/>
      <c r="EM2117" s="1"/>
      <c r="EN2117" s="1"/>
      <c r="EQ2117" s="1"/>
      <c r="ER2117" s="1"/>
      <c r="ES2117" s="1"/>
      <c r="EV2117" s="1"/>
      <c r="EW2117" s="1"/>
      <c r="EZ2117" s="1"/>
      <c r="GO2117" s="1"/>
      <c r="GP2117" s="1"/>
      <c r="HY2117" s="1"/>
      <c r="IE2117" s="1"/>
      <c r="IS2117" s="1"/>
      <c r="IY2117" s="1"/>
      <c r="IZ2117" s="1"/>
      <c r="JH2117" s="1"/>
      <c r="JJ2117" s="1"/>
      <c r="JN2117" s="1"/>
      <c r="JP2117" s="1"/>
      <c r="JQ2117" s="1"/>
      <c r="LZ2117" s="1"/>
      <c r="MA2117" s="1"/>
    </row>
    <row r="2118" spans="4:339" ht="13" x14ac:dyDescent="0.15">
      <c r="D2118" s="12"/>
      <c r="E2118" s="12"/>
      <c r="I2118" s="12"/>
      <c r="J2118" s="13"/>
      <c r="BG2118" s="1"/>
      <c r="BH2118" s="1"/>
      <c r="BI2118" s="1"/>
      <c r="BK2118" s="1"/>
      <c r="BL2118" s="1"/>
      <c r="BM2118" s="1"/>
      <c r="BN2118" s="1"/>
      <c r="BO2118" s="1"/>
      <c r="BP2118" s="1"/>
      <c r="CC2118" s="1"/>
      <c r="CD2118" s="1"/>
      <c r="CE2118" s="1"/>
      <c r="CF2118" s="1"/>
      <c r="CG2118" s="1"/>
      <c r="CM2118" s="4"/>
      <c r="CP2118" s="1"/>
      <c r="CQ2118" s="1"/>
      <c r="CS2118" s="1"/>
      <c r="CV2118" s="1"/>
      <c r="CW2118" s="1"/>
      <c r="CX2118" s="1"/>
      <c r="CY2118" s="1"/>
      <c r="CZ2118" s="1"/>
      <c r="DA2118" s="1"/>
      <c r="DB2118" s="1"/>
      <c r="DC2118" s="1"/>
      <c r="DD2118" s="1"/>
      <c r="DE2118" s="1"/>
      <c r="DF2118" s="1"/>
      <c r="DG2118" s="1"/>
      <c r="DH2118" s="1"/>
      <c r="DI2118" s="1"/>
      <c r="DJ2118" s="1"/>
      <c r="DK2118" s="1"/>
      <c r="ED2118" s="1"/>
      <c r="EK2118" s="1"/>
      <c r="EL2118" s="1"/>
      <c r="EM2118" s="1"/>
      <c r="EN2118" s="1"/>
      <c r="EQ2118" s="1"/>
      <c r="ER2118" s="1"/>
      <c r="ES2118" s="1"/>
      <c r="EV2118" s="1"/>
      <c r="EW2118" s="1"/>
      <c r="EZ2118" s="1"/>
      <c r="GO2118" s="1"/>
      <c r="GP2118" s="1"/>
      <c r="HY2118" s="1"/>
      <c r="IE2118" s="1"/>
      <c r="IS2118" s="1"/>
      <c r="IY2118" s="1"/>
      <c r="IZ2118" s="1"/>
      <c r="JH2118" s="1"/>
      <c r="JJ2118" s="1"/>
      <c r="JN2118" s="1"/>
      <c r="JP2118" s="1"/>
      <c r="JQ2118" s="1"/>
      <c r="LZ2118" s="1"/>
      <c r="MA2118" s="1"/>
    </row>
    <row r="2119" spans="4:339" ht="13" x14ac:dyDescent="0.15">
      <c r="D2119" s="12"/>
      <c r="E2119" s="12"/>
      <c r="I2119" s="12"/>
      <c r="J2119" s="13"/>
      <c r="BG2119" s="1"/>
      <c r="BH2119" s="1"/>
      <c r="BI2119" s="1"/>
      <c r="BK2119" s="1"/>
      <c r="BL2119" s="1"/>
      <c r="BM2119" s="1"/>
      <c r="BN2119" s="1"/>
      <c r="BO2119" s="1"/>
      <c r="BP2119" s="1"/>
      <c r="CC2119" s="1"/>
      <c r="CD2119" s="1"/>
      <c r="CE2119" s="1"/>
      <c r="CF2119" s="1"/>
      <c r="CG2119" s="1"/>
      <c r="CM2119" s="4"/>
      <c r="CP2119" s="1"/>
      <c r="CQ2119" s="1"/>
      <c r="CS2119" s="1"/>
      <c r="CV2119" s="1"/>
      <c r="CW2119" s="1"/>
      <c r="CX2119" s="1"/>
      <c r="CY2119" s="1"/>
      <c r="CZ2119" s="1"/>
      <c r="DA2119" s="1"/>
      <c r="DB2119" s="1"/>
      <c r="DC2119" s="1"/>
      <c r="DD2119" s="1"/>
      <c r="DE2119" s="1"/>
      <c r="DF2119" s="1"/>
      <c r="DG2119" s="1"/>
      <c r="DH2119" s="1"/>
      <c r="DI2119" s="1"/>
      <c r="DJ2119" s="1"/>
      <c r="DK2119" s="1"/>
      <c r="ED2119" s="1"/>
      <c r="EK2119" s="1"/>
      <c r="EL2119" s="1"/>
      <c r="EM2119" s="1"/>
      <c r="EN2119" s="1"/>
      <c r="EQ2119" s="1"/>
      <c r="ER2119" s="1"/>
      <c r="ES2119" s="1"/>
      <c r="EV2119" s="1"/>
      <c r="EW2119" s="1"/>
      <c r="EZ2119" s="1"/>
      <c r="GO2119" s="1"/>
      <c r="GP2119" s="1"/>
      <c r="HY2119" s="1"/>
      <c r="IE2119" s="1"/>
      <c r="IS2119" s="1"/>
      <c r="IY2119" s="1"/>
      <c r="IZ2119" s="1"/>
      <c r="JH2119" s="1"/>
      <c r="JJ2119" s="1"/>
      <c r="JN2119" s="1"/>
      <c r="JP2119" s="1"/>
      <c r="JQ2119" s="1"/>
      <c r="LZ2119" s="1"/>
      <c r="MA2119" s="1"/>
    </row>
    <row r="2120" spans="4:339" ht="13" x14ac:dyDescent="0.15">
      <c r="D2120" s="12"/>
      <c r="E2120" s="12"/>
      <c r="I2120" s="12"/>
      <c r="J2120" s="13"/>
      <c r="BG2120" s="1"/>
      <c r="BH2120" s="1"/>
      <c r="BI2120" s="1"/>
      <c r="BK2120" s="1"/>
      <c r="BL2120" s="1"/>
      <c r="BM2120" s="1"/>
      <c r="BN2120" s="1"/>
      <c r="BO2120" s="1"/>
      <c r="CC2120" s="1"/>
      <c r="CD2120" s="1"/>
      <c r="CM2120" s="2"/>
      <c r="ED2120" s="1"/>
      <c r="EL2120" s="1"/>
      <c r="EM2120" s="1"/>
      <c r="EN2120" s="1"/>
      <c r="EQ2120" s="1"/>
      <c r="ER2120" s="1"/>
      <c r="ES2120" s="1"/>
      <c r="EV2120" s="1"/>
      <c r="EW2120" s="1"/>
      <c r="EZ2120" s="1"/>
      <c r="HY2120" s="1"/>
      <c r="IS2120" s="1"/>
      <c r="IZ2120" s="1"/>
      <c r="JJ2120" s="1"/>
      <c r="JP2120" s="1"/>
      <c r="JQ2120" s="1"/>
    </row>
    <row r="2121" spans="4:339" ht="13" x14ac:dyDescent="0.15">
      <c r="D2121" s="12"/>
      <c r="E2121" s="12"/>
      <c r="I2121" s="12"/>
      <c r="J2121" s="13"/>
      <c r="BG2121" s="1"/>
      <c r="BH2121" s="1"/>
      <c r="BM2121" s="1"/>
      <c r="BN2121" s="1"/>
      <c r="BO2121" s="1"/>
      <c r="CD2121" s="1"/>
      <c r="CM2121" s="2"/>
      <c r="ED2121" s="1"/>
      <c r="EL2121" s="1"/>
      <c r="EM2121" s="1"/>
      <c r="EN2121" s="1"/>
      <c r="EQ2121" s="1"/>
      <c r="ER2121" s="1"/>
      <c r="ES2121" s="1"/>
      <c r="EV2121" s="1"/>
      <c r="EW2121" s="1"/>
      <c r="EZ2121" s="1"/>
      <c r="IS2121" s="1"/>
      <c r="IZ2121" s="1"/>
      <c r="JJ2121" s="1"/>
      <c r="JP2121" s="1"/>
      <c r="JQ2121" s="1"/>
    </row>
    <row r="2122" spans="4:339" ht="13" x14ac:dyDescent="0.15">
      <c r="D2122" s="12"/>
      <c r="E2122" s="12"/>
      <c r="I2122" s="12"/>
      <c r="J2122" s="13"/>
      <c r="BF2122" s="1"/>
      <c r="BG2122" s="1"/>
      <c r="BH2122" s="1"/>
      <c r="BI2122" s="1"/>
      <c r="BK2122" s="1"/>
      <c r="BL2122" s="1"/>
      <c r="BM2122" s="1"/>
      <c r="BN2122" s="1"/>
      <c r="CD2122" s="1"/>
      <c r="CG2122" s="1"/>
      <c r="CM2122" s="2"/>
      <c r="ED2122" s="1"/>
      <c r="EL2122" s="1"/>
      <c r="EM2122" s="1"/>
      <c r="EN2122" s="1"/>
      <c r="EQ2122" s="1"/>
      <c r="ER2122" s="1"/>
      <c r="ES2122" s="1"/>
      <c r="EV2122" s="1"/>
      <c r="EW2122" s="1"/>
      <c r="EZ2122" s="1"/>
      <c r="GO2122" s="1"/>
      <c r="HY2122" s="1"/>
      <c r="IS2122" s="1"/>
      <c r="IZ2122" s="1"/>
      <c r="JH2122" s="1"/>
      <c r="JJ2122" s="1"/>
      <c r="JP2122" s="1"/>
      <c r="JQ2122" s="1"/>
    </row>
    <row r="2123" spans="4:339" ht="13" x14ac:dyDescent="0.15">
      <c r="D2123" s="12"/>
      <c r="E2123" s="12"/>
      <c r="I2123" s="12"/>
      <c r="J2123" s="13"/>
      <c r="BF2123" s="1"/>
      <c r="BG2123" s="1"/>
      <c r="BH2123" s="1"/>
      <c r="BI2123" s="1"/>
      <c r="BK2123" s="1"/>
      <c r="BL2123" s="1"/>
      <c r="BM2123" s="1"/>
      <c r="BN2123" s="1"/>
      <c r="CD2123" s="1"/>
      <c r="CG2123" s="1"/>
      <c r="CM2123" s="2"/>
      <c r="ED2123" s="1"/>
      <c r="EL2123" s="1"/>
      <c r="EM2123" s="1"/>
      <c r="EN2123" s="1"/>
      <c r="EQ2123" s="1"/>
      <c r="ER2123" s="1"/>
      <c r="ES2123" s="1"/>
      <c r="EV2123" s="1"/>
      <c r="EW2123" s="1"/>
      <c r="EZ2123" s="1"/>
      <c r="GO2123" s="1"/>
      <c r="HY2123" s="1"/>
      <c r="IS2123" s="1"/>
      <c r="IZ2123" s="1"/>
      <c r="JH2123" s="1"/>
      <c r="JJ2123" s="1"/>
      <c r="JP2123" s="1"/>
      <c r="JQ2123" s="1"/>
    </row>
    <row r="2124" spans="4:339" ht="13" x14ac:dyDescent="0.15">
      <c r="D2124" s="12"/>
      <c r="E2124" s="12"/>
      <c r="I2124" s="12"/>
      <c r="J2124" s="13"/>
      <c r="BF2124" s="1"/>
      <c r="BG2124" s="1"/>
      <c r="BH2124" s="1"/>
      <c r="BI2124" s="1"/>
      <c r="BK2124" s="1"/>
      <c r="BL2124" s="1"/>
      <c r="BM2124" s="1"/>
      <c r="BN2124" s="1"/>
      <c r="CD2124" s="1"/>
      <c r="CG2124" s="1"/>
      <c r="CM2124" s="2"/>
      <c r="ED2124" s="1"/>
      <c r="EL2124" s="1"/>
      <c r="EM2124" s="1"/>
      <c r="EN2124" s="1"/>
      <c r="EQ2124" s="1"/>
      <c r="ER2124" s="1"/>
      <c r="ES2124" s="1"/>
      <c r="EV2124" s="1"/>
      <c r="EW2124" s="1"/>
      <c r="EZ2124" s="1"/>
      <c r="GO2124" s="1"/>
      <c r="HY2124" s="1"/>
      <c r="IS2124" s="1"/>
      <c r="IZ2124" s="1"/>
      <c r="JH2124" s="1"/>
      <c r="JJ2124" s="1"/>
      <c r="JP2124" s="1"/>
      <c r="JQ2124" s="1"/>
    </row>
    <row r="2125" spans="4:339" ht="13" x14ac:dyDescent="0.15">
      <c r="D2125" s="12"/>
      <c r="E2125" s="12"/>
      <c r="I2125" s="12"/>
      <c r="J2125" s="13"/>
      <c r="BF2125" s="1"/>
      <c r="BG2125" s="1"/>
      <c r="BH2125" s="1"/>
      <c r="BI2125" s="1"/>
      <c r="BK2125" s="1"/>
      <c r="BL2125" s="1"/>
      <c r="BM2125" s="1"/>
      <c r="BN2125" s="1"/>
      <c r="BO2125" s="1"/>
      <c r="CD2125" s="1"/>
      <c r="CM2125" s="4"/>
      <c r="ED2125" s="1"/>
      <c r="EL2125" s="1"/>
      <c r="EM2125" s="1"/>
      <c r="EN2125" s="1"/>
      <c r="EQ2125" s="1"/>
      <c r="ER2125" s="1"/>
      <c r="ES2125" s="1"/>
      <c r="EV2125" s="1"/>
      <c r="EW2125" s="1"/>
      <c r="EZ2125" s="1"/>
      <c r="HY2125" s="1"/>
      <c r="IS2125" s="1"/>
      <c r="IY2125" s="1"/>
      <c r="IZ2125" s="1"/>
      <c r="JJ2125" s="1"/>
      <c r="JP2125" s="1"/>
      <c r="JQ2125" s="1"/>
    </row>
    <row r="2126" spans="4:339" ht="13" x14ac:dyDescent="0.15">
      <c r="D2126" s="12"/>
      <c r="E2126" s="12"/>
      <c r="I2126" s="12"/>
      <c r="J2126" s="13"/>
      <c r="BF2126" s="1"/>
      <c r="BG2126" s="1"/>
      <c r="BH2126" s="1"/>
      <c r="BI2126" s="1"/>
      <c r="BK2126" s="1"/>
      <c r="BL2126" s="1"/>
      <c r="BM2126" s="1"/>
      <c r="BN2126" s="1"/>
      <c r="BO2126" s="1"/>
      <c r="CD2126" s="1"/>
      <c r="CM2126" s="4"/>
      <c r="ED2126" s="1"/>
      <c r="EL2126" s="1"/>
      <c r="EM2126" s="1"/>
      <c r="EN2126" s="1"/>
      <c r="EQ2126" s="1"/>
      <c r="ER2126" s="1"/>
      <c r="ES2126" s="1"/>
      <c r="EV2126" s="1"/>
      <c r="EW2126" s="1"/>
      <c r="EZ2126" s="1"/>
      <c r="HY2126" s="1"/>
      <c r="IS2126" s="1"/>
      <c r="IY2126" s="1"/>
      <c r="IZ2126" s="1"/>
      <c r="JJ2126" s="1"/>
      <c r="JP2126" s="1"/>
      <c r="JQ2126" s="1"/>
    </row>
    <row r="2127" spans="4:339" ht="13" x14ac:dyDescent="0.15">
      <c r="D2127" s="12"/>
      <c r="E2127" s="12"/>
      <c r="I2127" s="12"/>
      <c r="J2127" s="13"/>
      <c r="BG2127" s="1"/>
      <c r="BH2127" s="1"/>
      <c r="BI2127" s="1"/>
      <c r="BJ2127" s="1"/>
      <c r="BK2127" s="1"/>
      <c r="BL2127" s="1"/>
      <c r="BM2127" s="1"/>
      <c r="BN2127" s="1"/>
      <c r="CD2127" s="1"/>
      <c r="CM2127" s="2"/>
      <c r="ED2127" s="1"/>
      <c r="EL2127" s="1"/>
      <c r="EM2127" s="1"/>
      <c r="EN2127" s="1"/>
      <c r="EQ2127" s="1"/>
      <c r="ER2127" s="1"/>
      <c r="ES2127" s="1"/>
      <c r="EV2127" s="1"/>
      <c r="EW2127" s="1"/>
      <c r="EZ2127" s="1"/>
      <c r="HY2127" s="1"/>
      <c r="IS2127" s="1"/>
      <c r="IY2127" s="1"/>
      <c r="IZ2127" s="1"/>
      <c r="JJ2127" s="1"/>
      <c r="JN2127" s="1"/>
      <c r="JP2127" s="1"/>
      <c r="JQ2127" s="1"/>
    </row>
    <row r="2128" spans="4:339" ht="13" x14ac:dyDescent="0.15">
      <c r="D2128" s="12"/>
      <c r="E2128" s="12"/>
      <c r="I2128" s="12"/>
      <c r="J2128" s="13"/>
      <c r="BG2128" s="1"/>
      <c r="BH2128" s="1"/>
      <c r="BI2128" s="1"/>
      <c r="BJ2128" s="1"/>
      <c r="BK2128" s="1"/>
      <c r="BL2128" s="1"/>
      <c r="BM2128" s="1"/>
      <c r="BN2128" s="1"/>
      <c r="CD2128" s="1"/>
      <c r="CM2128" s="2"/>
      <c r="ED2128" s="1"/>
      <c r="EL2128" s="1"/>
      <c r="EM2128" s="1"/>
      <c r="EN2128" s="1"/>
      <c r="EQ2128" s="1"/>
      <c r="ER2128" s="1"/>
      <c r="ES2128" s="1"/>
      <c r="EV2128" s="1"/>
      <c r="EW2128" s="1"/>
      <c r="EZ2128" s="1"/>
      <c r="HY2128" s="1"/>
      <c r="IS2128" s="1"/>
      <c r="IY2128" s="1"/>
      <c r="IZ2128" s="1"/>
      <c r="JJ2128" s="1"/>
      <c r="JN2128" s="1"/>
      <c r="JP2128" s="1"/>
      <c r="JQ2128" s="1"/>
    </row>
    <row r="2129" spans="4:339" ht="13" x14ac:dyDescent="0.15">
      <c r="D2129" s="12"/>
      <c r="E2129" s="12"/>
      <c r="I2129" s="12"/>
      <c r="J2129" s="13"/>
      <c r="BG2129" s="1"/>
      <c r="BH2129" s="1"/>
      <c r="BI2129" s="1"/>
      <c r="BJ2129" s="1"/>
      <c r="BK2129" s="1"/>
      <c r="BL2129" s="1"/>
      <c r="BM2129" s="1"/>
      <c r="BN2129" s="1"/>
      <c r="CD2129" s="1"/>
      <c r="CM2129" s="2"/>
      <c r="ED2129" s="1"/>
      <c r="EL2129" s="1"/>
      <c r="EM2129" s="1"/>
      <c r="EN2129" s="1"/>
      <c r="EQ2129" s="1"/>
      <c r="ER2129" s="1"/>
      <c r="ES2129" s="1"/>
      <c r="EV2129" s="1"/>
      <c r="EW2129" s="1"/>
      <c r="EZ2129" s="1"/>
      <c r="HY2129" s="1"/>
      <c r="IS2129" s="1"/>
      <c r="IY2129" s="1"/>
      <c r="IZ2129" s="1"/>
      <c r="JJ2129" s="1"/>
      <c r="JN2129" s="1"/>
      <c r="JP2129" s="1"/>
      <c r="JQ2129" s="1"/>
    </row>
    <row r="2130" spans="4:339" ht="13" x14ac:dyDescent="0.15">
      <c r="D2130" s="12"/>
      <c r="E2130" s="12"/>
      <c r="I2130" s="12"/>
      <c r="J2130" s="13"/>
      <c r="BG2130" s="1"/>
      <c r="BH2130" s="1"/>
      <c r="BI2130" s="1"/>
      <c r="BJ2130" s="1"/>
      <c r="BK2130" s="1"/>
      <c r="BL2130" s="1"/>
      <c r="BM2130" s="1"/>
      <c r="BN2130" s="1"/>
      <c r="CD2130" s="1"/>
      <c r="CM2130" s="2"/>
      <c r="ED2130" s="1"/>
      <c r="EL2130" s="1"/>
      <c r="EM2130" s="1"/>
      <c r="EN2130" s="1"/>
      <c r="EQ2130" s="1"/>
      <c r="ER2130" s="1"/>
      <c r="ES2130" s="1"/>
      <c r="EV2130" s="1"/>
      <c r="EW2130" s="1"/>
      <c r="EZ2130" s="1"/>
      <c r="HY2130" s="1"/>
      <c r="IS2130" s="1"/>
      <c r="IY2130" s="1"/>
      <c r="IZ2130" s="1"/>
      <c r="JJ2130" s="1"/>
      <c r="JN2130" s="1"/>
      <c r="JP2130" s="1"/>
      <c r="JQ2130" s="1"/>
    </row>
    <row r="2131" spans="4:339" ht="13" x14ac:dyDescent="0.15">
      <c r="D2131" s="12"/>
      <c r="E2131" s="12"/>
      <c r="I2131" s="12"/>
      <c r="J2131" s="13"/>
      <c r="BG2131" s="1"/>
      <c r="BH2131" s="1"/>
      <c r="BI2131" s="1"/>
      <c r="BK2131" s="1"/>
      <c r="BL2131" s="1"/>
      <c r="BM2131" s="1"/>
      <c r="BN2131" s="1"/>
      <c r="BO2131" s="1"/>
      <c r="BP2131" s="1"/>
      <c r="CD2131" s="1"/>
      <c r="CE2131" s="1"/>
      <c r="CF2131" s="1"/>
      <c r="CG2131" s="1"/>
      <c r="CM2131" s="2"/>
      <c r="CP2131" s="1"/>
      <c r="CQ2131" s="1"/>
      <c r="CR2131" s="1"/>
      <c r="CT2131" s="1"/>
      <c r="CU2131" s="1"/>
      <c r="CV2131" s="1"/>
      <c r="CW2131" s="1"/>
      <c r="CX2131" s="1"/>
      <c r="CY2131" s="1"/>
      <c r="CZ2131" s="1"/>
      <c r="DA2131" s="1"/>
      <c r="DB2131" s="1"/>
      <c r="DC2131" s="1"/>
      <c r="DD2131" s="1"/>
      <c r="DE2131" s="1"/>
      <c r="DF2131" s="1"/>
      <c r="DG2131" s="1"/>
      <c r="DH2131" s="1"/>
      <c r="DI2131" s="1"/>
      <c r="DJ2131" s="1"/>
      <c r="DK2131" s="1"/>
      <c r="DQ2131" s="1"/>
      <c r="DR2131" s="1"/>
      <c r="DY2131" s="1"/>
      <c r="DZ2131" s="1"/>
      <c r="ED2131" s="1"/>
      <c r="EK2131" s="1"/>
      <c r="EL2131" s="1"/>
      <c r="EM2131" s="1"/>
      <c r="EN2131" s="1"/>
      <c r="EQ2131" s="1"/>
      <c r="ER2131" s="1"/>
      <c r="ES2131" s="1"/>
      <c r="EV2131" s="1"/>
      <c r="EW2131" s="1"/>
      <c r="EZ2131" s="1"/>
      <c r="HY2131" s="1"/>
      <c r="IE2131" s="1"/>
      <c r="IR2131" s="1"/>
      <c r="IS2131" s="1"/>
      <c r="IZ2131" s="1"/>
      <c r="JH2131" s="1"/>
      <c r="JJ2131" s="1"/>
      <c r="JN2131" s="1"/>
      <c r="JP2131" s="1"/>
      <c r="JQ2131" s="1"/>
      <c r="LZ2131" s="1"/>
      <c r="MA2131" s="1"/>
    </row>
    <row r="2132" spans="4:339" ht="13" x14ac:dyDescent="0.15">
      <c r="D2132" s="12"/>
      <c r="E2132" s="12"/>
      <c r="I2132" s="12"/>
      <c r="J2132" s="13"/>
      <c r="BG2132" s="1"/>
      <c r="BH2132" s="1"/>
      <c r="BI2132" s="1"/>
      <c r="BK2132" s="1"/>
      <c r="BL2132" s="1"/>
      <c r="BM2132" s="1"/>
      <c r="BN2132" s="1"/>
      <c r="BO2132" s="1"/>
      <c r="BP2132" s="1"/>
      <c r="CD2132" s="1"/>
      <c r="CE2132" s="1"/>
      <c r="CF2132" s="1"/>
      <c r="CG2132" s="1"/>
      <c r="CM2132" s="2"/>
      <c r="CP2132" s="1"/>
      <c r="CQ2132" s="1"/>
      <c r="CR2132" s="1"/>
      <c r="CT2132" s="1"/>
      <c r="CU2132" s="1"/>
      <c r="CV2132" s="1"/>
      <c r="CW2132" s="1"/>
      <c r="CX2132" s="1"/>
      <c r="CY2132" s="1"/>
      <c r="CZ2132" s="1"/>
      <c r="DA2132" s="1"/>
      <c r="DB2132" s="1"/>
      <c r="DC2132" s="1"/>
      <c r="DD2132" s="1"/>
      <c r="DE2132" s="1"/>
      <c r="DF2132" s="1"/>
      <c r="DG2132" s="1"/>
      <c r="DH2132" s="1"/>
      <c r="DI2132" s="1"/>
      <c r="DJ2132" s="1"/>
      <c r="DK2132" s="1"/>
      <c r="DQ2132" s="1"/>
      <c r="DR2132" s="1"/>
      <c r="DY2132" s="1"/>
      <c r="DZ2132" s="1"/>
      <c r="ED2132" s="1"/>
      <c r="EK2132" s="1"/>
      <c r="EL2132" s="1"/>
      <c r="EM2132" s="1"/>
      <c r="EN2132" s="1"/>
      <c r="EQ2132" s="1"/>
      <c r="ER2132" s="1"/>
      <c r="ES2132" s="1"/>
      <c r="EV2132" s="1"/>
      <c r="EW2132" s="1"/>
      <c r="EZ2132" s="1"/>
      <c r="HY2132" s="1"/>
      <c r="IE2132" s="1"/>
      <c r="IR2132" s="1"/>
      <c r="IS2132" s="1"/>
      <c r="IZ2132" s="1"/>
      <c r="JH2132" s="1"/>
      <c r="JJ2132" s="1"/>
      <c r="JN2132" s="1"/>
      <c r="JP2132" s="1"/>
      <c r="JQ2132" s="1"/>
      <c r="LZ2132" s="1"/>
      <c r="MA2132" s="1"/>
    </row>
    <row r="2133" spans="4:339" ht="13" x14ac:dyDescent="0.15">
      <c r="D2133" s="12"/>
      <c r="E2133" s="12"/>
      <c r="I2133" s="12"/>
      <c r="J2133" s="13"/>
      <c r="BG2133" s="1"/>
      <c r="BH2133" s="1"/>
      <c r="BI2133" s="1"/>
      <c r="BK2133" s="1"/>
      <c r="BL2133" s="1"/>
      <c r="BM2133" s="1"/>
      <c r="BN2133" s="1"/>
      <c r="BO2133" s="1"/>
      <c r="BP2133" s="1"/>
      <c r="CD2133" s="1"/>
      <c r="CE2133" s="1"/>
      <c r="CF2133" s="1"/>
      <c r="CG2133" s="1"/>
      <c r="CM2133" s="2"/>
      <c r="CP2133" s="1"/>
      <c r="CQ2133" s="1"/>
      <c r="CR2133" s="1"/>
      <c r="CT2133" s="1"/>
      <c r="CU2133" s="1"/>
      <c r="CV2133" s="1"/>
      <c r="CW2133" s="1"/>
      <c r="CX2133" s="1"/>
      <c r="CY2133" s="1"/>
      <c r="CZ2133" s="1"/>
      <c r="DA2133" s="1"/>
      <c r="DB2133" s="1"/>
      <c r="DC2133" s="1"/>
      <c r="DD2133" s="1"/>
      <c r="DE2133" s="1"/>
      <c r="DF2133" s="1"/>
      <c r="DG2133" s="1"/>
      <c r="DH2133" s="1"/>
      <c r="DI2133" s="1"/>
      <c r="DJ2133" s="1"/>
      <c r="DK2133" s="1"/>
      <c r="DQ2133" s="1"/>
      <c r="DR2133" s="1"/>
      <c r="DY2133" s="1"/>
      <c r="DZ2133" s="1"/>
      <c r="ED2133" s="1"/>
      <c r="EK2133" s="1"/>
      <c r="EL2133" s="1"/>
      <c r="EM2133" s="1"/>
      <c r="EN2133" s="1"/>
      <c r="EQ2133" s="1"/>
      <c r="ER2133" s="1"/>
      <c r="ES2133" s="1"/>
      <c r="EV2133" s="1"/>
      <c r="EW2133" s="1"/>
      <c r="EZ2133" s="1"/>
      <c r="HY2133" s="1"/>
      <c r="IE2133" s="1"/>
      <c r="IR2133" s="1"/>
      <c r="IS2133" s="1"/>
      <c r="IZ2133" s="1"/>
      <c r="JH2133" s="1"/>
      <c r="JJ2133" s="1"/>
      <c r="JN2133" s="1"/>
      <c r="JP2133" s="1"/>
      <c r="JQ2133" s="1"/>
      <c r="LZ2133" s="1"/>
      <c r="MA2133" s="1"/>
    </row>
    <row r="2134" spans="4:339" ht="13" x14ac:dyDescent="0.15">
      <c r="D2134" s="12"/>
      <c r="E2134" s="12"/>
      <c r="I2134" s="12"/>
      <c r="J2134" s="13"/>
      <c r="BG2134" s="1"/>
      <c r="BH2134" s="1"/>
      <c r="BI2134" s="1"/>
      <c r="BK2134" s="1"/>
      <c r="BL2134" s="1"/>
      <c r="BM2134" s="1"/>
      <c r="BN2134" s="1"/>
      <c r="BO2134" s="1"/>
      <c r="BP2134" s="1"/>
      <c r="CD2134" s="1"/>
      <c r="CE2134" s="1"/>
      <c r="CF2134" s="1"/>
      <c r="CG2134" s="1"/>
      <c r="CM2134" s="2"/>
      <c r="CP2134" s="1"/>
      <c r="CQ2134" s="1"/>
      <c r="CR2134" s="1"/>
      <c r="CT2134" s="1"/>
      <c r="CU2134" s="1"/>
      <c r="CV2134" s="1"/>
      <c r="CW2134" s="1"/>
      <c r="CX2134" s="1"/>
      <c r="CY2134" s="1"/>
      <c r="CZ2134" s="1"/>
      <c r="DA2134" s="1"/>
      <c r="DB2134" s="1"/>
      <c r="DC2134" s="1"/>
      <c r="DD2134" s="1"/>
      <c r="DE2134" s="1"/>
      <c r="DF2134" s="1"/>
      <c r="DG2134" s="1"/>
      <c r="DH2134" s="1"/>
      <c r="DI2134" s="1"/>
      <c r="DJ2134" s="1"/>
      <c r="DK2134" s="1"/>
      <c r="DQ2134" s="1"/>
      <c r="DR2134" s="1"/>
      <c r="DY2134" s="1"/>
      <c r="DZ2134" s="1"/>
      <c r="ED2134" s="1"/>
      <c r="EK2134" s="1"/>
      <c r="EL2134" s="1"/>
      <c r="EM2134" s="1"/>
      <c r="EN2134" s="1"/>
      <c r="EQ2134" s="1"/>
      <c r="ER2134" s="1"/>
      <c r="ES2134" s="1"/>
      <c r="EV2134" s="1"/>
      <c r="EW2134" s="1"/>
      <c r="EZ2134" s="1"/>
      <c r="HY2134" s="1"/>
      <c r="IE2134" s="1"/>
      <c r="IR2134" s="1"/>
      <c r="IS2134" s="1"/>
      <c r="IZ2134" s="1"/>
      <c r="JH2134" s="1"/>
      <c r="JJ2134" s="1"/>
      <c r="JN2134" s="1"/>
      <c r="JP2134" s="1"/>
      <c r="JQ2134" s="1"/>
      <c r="LZ2134" s="1"/>
      <c r="MA2134" s="1"/>
    </row>
    <row r="2135" spans="4:339" ht="13" x14ac:dyDescent="0.15">
      <c r="D2135" s="12"/>
      <c r="E2135" s="12"/>
      <c r="I2135" s="12"/>
      <c r="J2135" s="13"/>
      <c r="BG2135" s="1"/>
      <c r="BH2135" s="1"/>
      <c r="BI2135" s="1"/>
      <c r="BJ2135" s="1"/>
      <c r="BK2135" s="1"/>
      <c r="BL2135" s="1"/>
      <c r="BM2135" s="1"/>
      <c r="BN2135" s="1"/>
      <c r="BO2135" s="1"/>
      <c r="BP2135" s="1"/>
      <c r="CD2135" s="1"/>
      <c r="CE2135" s="1"/>
      <c r="CF2135" s="1"/>
      <c r="CM2135" s="2"/>
      <c r="CP2135" s="1"/>
      <c r="CQ2135" s="1"/>
      <c r="CR2135" s="1"/>
      <c r="CT2135" s="1"/>
      <c r="CU2135" s="1"/>
      <c r="CV2135" s="1"/>
      <c r="CW2135" s="1"/>
      <c r="CX2135" s="1"/>
      <c r="CY2135" s="1"/>
      <c r="CZ2135" s="1"/>
      <c r="DA2135" s="1"/>
      <c r="DB2135" s="1"/>
      <c r="DC2135" s="1"/>
      <c r="DD2135" s="1"/>
      <c r="DE2135" s="1"/>
      <c r="DF2135" s="1"/>
      <c r="DG2135" s="1"/>
      <c r="DH2135" s="1"/>
      <c r="DI2135" s="1"/>
      <c r="DJ2135" s="1"/>
      <c r="DK2135" s="1"/>
      <c r="ED2135" s="1"/>
      <c r="EK2135" s="1"/>
      <c r="EL2135" s="1"/>
      <c r="EM2135" s="1"/>
      <c r="EN2135" s="1"/>
      <c r="EQ2135" s="1"/>
      <c r="ER2135" s="1"/>
      <c r="ES2135" s="1"/>
      <c r="EV2135" s="1"/>
      <c r="EW2135" s="1"/>
      <c r="EZ2135" s="1"/>
      <c r="GO2135" s="1"/>
      <c r="HY2135" s="1"/>
      <c r="IE2135" s="1"/>
      <c r="IS2135" s="1"/>
      <c r="IZ2135" s="1"/>
      <c r="JH2135" s="1"/>
      <c r="JJ2135" s="1"/>
      <c r="JP2135" s="1"/>
      <c r="JQ2135" s="1"/>
      <c r="LZ2135" s="1"/>
      <c r="MA2135" s="1"/>
    </row>
    <row r="2136" spans="4:339" ht="13" x14ac:dyDescent="0.15">
      <c r="D2136" s="12"/>
      <c r="E2136" s="12"/>
      <c r="I2136" s="12"/>
      <c r="J2136" s="13"/>
      <c r="BF2136" s="1"/>
      <c r="BG2136" s="1"/>
      <c r="BH2136" s="1"/>
      <c r="BI2136" s="1"/>
      <c r="BK2136" s="1"/>
      <c r="BL2136" s="1"/>
      <c r="BM2136" s="1"/>
      <c r="BN2136" s="1"/>
      <c r="BO2136" s="1"/>
      <c r="BP2136" s="1"/>
      <c r="CD2136" s="1"/>
      <c r="CE2136" s="1"/>
      <c r="CF2136" s="1"/>
      <c r="CG2136" s="1"/>
      <c r="CM2136" s="2"/>
      <c r="CP2136" s="1"/>
      <c r="CQ2136" s="1"/>
      <c r="CX2136" s="1"/>
      <c r="CY2136" s="1"/>
      <c r="CZ2136" s="1"/>
      <c r="DA2136" s="1"/>
      <c r="DB2136" s="1"/>
      <c r="DC2136" s="1"/>
      <c r="DD2136" s="1"/>
      <c r="DE2136" s="1"/>
      <c r="DF2136" s="1"/>
      <c r="DG2136" s="1"/>
      <c r="DH2136" s="1"/>
      <c r="DI2136" s="1"/>
      <c r="DJ2136" s="1"/>
      <c r="DK2136" s="1"/>
      <c r="ED2136" s="1"/>
      <c r="EK2136" s="1"/>
      <c r="EL2136" s="1"/>
      <c r="EM2136" s="1"/>
      <c r="EN2136" s="1"/>
      <c r="EQ2136" s="1"/>
      <c r="ER2136" s="1"/>
      <c r="ES2136" s="1"/>
      <c r="EV2136" s="1"/>
      <c r="EW2136" s="1"/>
      <c r="EZ2136" s="1"/>
      <c r="HY2136" s="1"/>
      <c r="IE2136" s="1"/>
      <c r="IR2136" s="1"/>
      <c r="IS2136" s="1"/>
      <c r="IZ2136" s="1"/>
      <c r="JH2136" s="1"/>
      <c r="JJ2136" s="1"/>
      <c r="JN2136" s="1"/>
      <c r="JP2136" s="1"/>
      <c r="JQ2136" s="1"/>
      <c r="LW2136" s="1"/>
      <c r="LZ2136" s="1"/>
      <c r="MA2136" s="1"/>
    </row>
    <row r="2137" spans="4:339" ht="13" x14ac:dyDescent="0.15">
      <c r="D2137" s="12"/>
      <c r="E2137" s="12"/>
      <c r="I2137" s="12"/>
      <c r="J2137" s="13"/>
      <c r="BG2137" s="1"/>
      <c r="BH2137" s="1"/>
      <c r="BI2137" s="1"/>
      <c r="BJ2137" s="1"/>
      <c r="BK2137" s="1"/>
      <c r="BL2137" s="1"/>
      <c r="BM2137" s="1"/>
      <c r="BN2137" s="1"/>
      <c r="BO2137" s="1"/>
      <c r="BP2137" s="1"/>
      <c r="CD2137" s="1"/>
      <c r="CE2137" s="1"/>
      <c r="CF2137" s="1"/>
      <c r="CK2137" s="1"/>
      <c r="CM2137" s="2"/>
      <c r="CP2137" s="1"/>
      <c r="CQ2137" s="1"/>
      <c r="CX2137" s="1"/>
      <c r="CY2137" s="1"/>
      <c r="CZ2137" s="1"/>
      <c r="DA2137" s="1"/>
      <c r="DB2137" s="1"/>
      <c r="DC2137" s="1"/>
      <c r="DD2137" s="1"/>
      <c r="DE2137" s="1"/>
      <c r="DF2137" s="1"/>
      <c r="DG2137" s="1"/>
      <c r="DH2137" s="1"/>
      <c r="DI2137" s="1"/>
      <c r="DJ2137" s="1"/>
      <c r="DK2137" s="1"/>
      <c r="DQ2137" s="1"/>
      <c r="DR2137" s="1"/>
      <c r="DY2137" s="1"/>
      <c r="DZ2137" s="1"/>
      <c r="ED2137" s="1"/>
      <c r="EK2137" s="1"/>
      <c r="EL2137" s="1"/>
      <c r="EM2137" s="1"/>
      <c r="EN2137" s="1"/>
      <c r="EQ2137" s="1"/>
      <c r="ER2137" s="1"/>
      <c r="ES2137" s="1"/>
      <c r="EV2137" s="1"/>
      <c r="EW2137" s="1"/>
      <c r="EZ2137" s="1"/>
      <c r="GO2137" s="1"/>
      <c r="HY2137" s="1"/>
      <c r="IE2137" s="1"/>
      <c r="IG2137" s="1"/>
      <c r="IH2137" s="1"/>
      <c r="IS2137" s="1"/>
      <c r="IU2137" s="1"/>
      <c r="IZ2137" s="1"/>
      <c r="JJ2137" s="1"/>
      <c r="JK2137" s="1"/>
      <c r="JL2137" s="3"/>
      <c r="JM2137" s="1"/>
      <c r="JP2137" s="1"/>
      <c r="JQ2137" s="1"/>
      <c r="JR2137" s="1"/>
      <c r="LZ2137" s="1"/>
      <c r="MA2137" s="1"/>
    </row>
    <row r="2138" spans="4:339" ht="13" x14ac:dyDescent="0.15">
      <c r="D2138" s="12"/>
      <c r="E2138" s="12"/>
      <c r="I2138" s="12"/>
      <c r="J2138" s="13"/>
      <c r="BG2138" s="1"/>
      <c r="BH2138" s="1"/>
      <c r="BI2138" s="1"/>
      <c r="BJ2138" s="1"/>
      <c r="BK2138" s="1"/>
      <c r="BL2138" s="1"/>
      <c r="BM2138" s="1"/>
      <c r="BN2138" s="1"/>
      <c r="BO2138" s="1"/>
      <c r="BP2138" s="1"/>
      <c r="CD2138" s="1"/>
      <c r="CE2138" s="1"/>
      <c r="CF2138" s="1"/>
      <c r="CK2138" s="1"/>
      <c r="CM2138" s="2"/>
      <c r="CP2138" s="1"/>
      <c r="CQ2138" s="1"/>
      <c r="CX2138" s="1"/>
      <c r="CY2138" s="1"/>
      <c r="CZ2138" s="1"/>
      <c r="DA2138" s="1"/>
      <c r="DB2138" s="1"/>
      <c r="DC2138" s="1"/>
      <c r="DD2138" s="1"/>
      <c r="DE2138" s="1"/>
      <c r="DF2138" s="1"/>
      <c r="DG2138" s="1"/>
      <c r="DH2138" s="1"/>
      <c r="DI2138" s="1"/>
      <c r="DJ2138" s="1"/>
      <c r="DK2138" s="1"/>
      <c r="DQ2138" s="1"/>
      <c r="DR2138" s="1"/>
      <c r="DY2138" s="1"/>
      <c r="DZ2138" s="1"/>
      <c r="ED2138" s="1"/>
      <c r="EK2138" s="1"/>
      <c r="EL2138" s="1"/>
      <c r="EM2138" s="1"/>
      <c r="EN2138" s="1"/>
      <c r="EQ2138" s="1"/>
      <c r="ER2138" s="1"/>
      <c r="ES2138" s="1"/>
      <c r="EV2138" s="1"/>
      <c r="EW2138" s="1"/>
      <c r="EZ2138" s="1"/>
      <c r="GO2138" s="1"/>
      <c r="HY2138" s="1"/>
      <c r="IE2138" s="1"/>
      <c r="IG2138" s="1"/>
      <c r="IH2138" s="1"/>
      <c r="IS2138" s="1"/>
      <c r="IU2138" s="1"/>
      <c r="IZ2138" s="1"/>
      <c r="JJ2138" s="1"/>
      <c r="JK2138" s="1"/>
      <c r="JL2138" s="3"/>
      <c r="JM2138" s="1"/>
      <c r="JP2138" s="1"/>
      <c r="JQ2138" s="1"/>
      <c r="JR2138" s="1"/>
      <c r="LZ2138" s="1"/>
      <c r="MA2138" s="1"/>
    </row>
    <row r="2139" spans="4:339" ht="13" x14ac:dyDescent="0.15">
      <c r="D2139" s="12"/>
      <c r="E2139" s="12"/>
      <c r="I2139" s="12"/>
      <c r="J2139" s="13"/>
      <c r="BG2139" s="1"/>
      <c r="BH2139" s="1"/>
      <c r="BI2139" s="1"/>
      <c r="BJ2139" s="1"/>
      <c r="BK2139" s="1"/>
      <c r="BL2139" s="1"/>
      <c r="BM2139" s="1"/>
      <c r="BN2139" s="1"/>
      <c r="BO2139" s="1"/>
      <c r="BP2139" s="1"/>
      <c r="CD2139" s="1"/>
      <c r="CE2139" s="1"/>
      <c r="CF2139" s="1"/>
      <c r="CK2139" s="1"/>
      <c r="CM2139" s="2"/>
      <c r="CP2139" s="1"/>
      <c r="CQ2139" s="1"/>
      <c r="CX2139" s="1"/>
      <c r="CY2139" s="1"/>
      <c r="CZ2139" s="1"/>
      <c r="DA2139" s="1"/>
      <c r="DB2139" s="1"/>
      <c r="DC2139" s="1"/>
      <c r="DD2139" s="1"/>
      <c r="DE2139" s="1"/>
      <c r="DF2139" s="1"/>
      <c r="DG2139" s="1"/>
      <c r="DH2139" s="1"/>
      <c r="DI2139" s="1"/>
      <c r="DJ2139" s="1"/>
      <c r="DK2139" s="1"/>
      <c r="DQ2139" s="1"/>
      <c r="DR2139" s="1"/>
      <c r="DY2139" s="1"/>
      <c r="DZ2139" s="1"/>
      <c r="ED2139" s="1"/>
      <c r="EK2139" s="1"/>
      <c r="EL2139" s="1"/>
      <c r="EM2139" s="1"/>
      <c r="EN2139" s="1"/>
      <c r="EQ2139" s="1"/>
      <c r="ER2139" s="1"/>
      <c r="ES2139" s="1"/>
      <c r="EV2139" s="1"/>
      <c r="EW2139" s="1"/>
      <c r="EZ2139" s="1"/>
      <c r="GO2139" s="1"/>
      <c r="HY2139" s="1"/>
      <c r="IE2139" s="1"/>
      <c r="IG2139" s="1"/>
      <c r="IH2139" s="1"/>
      <c r="IS2139" s="1"/>
      <c r="IU2139" s="1"/>
      <c r="IZ2139" s="1"/>
      <c r="JJ2139" s="1"/>
      <c r="JK2139" s="1"/>
      <c r="JL2139" s="3"/>
      <c r="JM2139" s="1"/>
      <c r="JP2139" s="1"/>
      <c r="JQ2139" s="1"/>
      <c r="JR2139" s="1"/>
      <c r="LZ2139" s="1"/>
      <c r="MA2139" s="1"/>
    </row>
    <row r="2140" spans="4:339" ht="13" x14ac:dyDescent="0.15">
      <c r="D2140" s="12"/>
      <c r="E2140" s="12"/>
      <c r="I2140" s="12"/>
      <c r="J2140" s="13"/>
      <c r="BG2140" s="1"/>
      <c r="BH2140" s="1"/>
      <c r="BI2140" s="1"/>
      <c r="BJ2140" s="1"/>
      <c r="BK2140" s="1"/>
      <c r="BL2140" s="1"/>
      <c r="BM2140" s="1"/>
      <c r="BN2140" s="1"/>
      <c r="BO2140" s="1"/>
      <c r="BP2140" s="1"/>
      <c r="CD2140" s="1"/>
      <c r="CE2140" s="1"/>
      <c r="CF2140" s="1"/>
      <c r="CK2140" s="1"/>
      <c r="CM2140" s="2"/>
      <c r="CP2140" s="1"/>
      <c r="CQ2140" s="1"/>
      <c r="CX2140" s="1"/>
      <c r="CY2140" s="1"/>
      <c r="CZ2140" s="1"/>
      <c r="DA2140" s="1"/>
      <c r="DB2140" s="1"/>
      <c r="DC2140" s="1"/>
      <c r="DD2140" s="1"/>
      <c r="DE2140" s="1"/>
      <c r="DF2140" s="1"/>
      <c r="DG2140" s="1"/>
      <c r="DH2140" s="1"/>
      <c r="DI2140" s="1"/>
      <c r="DJ2140" s="1"/>
      <c r="DK2140" s="1"/>
      <c r="DQ2140" s="1"/>
      <c r="DR2140" s="1"/>
      <c r="DY2140" s="1"/>
      <c r="DZ2140" s="1"/>
      <c r="ED2140" s="1"/>
      <c r="EK2140" s="1"/>
      <c r="EL2140" s="1"/>
      <c r="EM2140" s="1"/>
      <c r="EN2140" s="1"/>
      <c r="EQ2140" s="1"/>
      <c r="ER2140" s="1"/>
      <c r="ES2140" s="1"/>
      <c r="EV2140" s="1"/>
      <c r="EW2140" s="1"/>
      <c r="EZ2140" s="1"/>
      <c r="GO2140" s="1"/>
      <c r="HY2140" s="1"/>
      <c r="IE2140" s="1"/>
      <c r="IG2140" s="1"/>
      <c r="IH2140" s="1"/>
      <c r="IS2140" s="1"/>
      <c r="IU2140" s="1"/>
      <c r="IZ2140" s="1"/>
      <c r="JJ2140" s="1"/>
      <c r="JK2140" s="1"/>
      <c r="JL2140" s="3"/>
      <c r="JM2140" s="1"/>
      <c r="JP2140" s="1"/>
      <c r="JQ2140" s="1"/>
      <c r="JR2140" s="1"/>
      <c r="LZ2140" s="1"/>
      <c r="MA2140" s="1"/>
    </row>
    <row r="2141" spans="4:339" ht="13" x14ac:dyDescent="0.15">
      <c r="D2141" s="12"/>
      <c r="E2141" s="12"/>
      <c r="I2141" s="12"/>
      <c r="J2141" s="13"/>
      <c r="BG2141" s="1"/>
      <c r="BH2141" s="1"/>
      <c r="BI2141" s="1"/>
      <c r="BJ2141" s="1"/>
      <c r="BK2141" s="1"/>
      <c r="BL2141" s="1"/>
      <c r="BM2141" s="1"/>
      <c r="BN2141" s="1"/>
      <c r="BO2141" s="1"/>
      <c r="BP2141" s="1"/>
      <c r="CD2141" s="1"/>
      <c r="CE2141" s="1"/>
      <c r="CF2141" s="1"/>
      <c r="CK2141" s="1"/>
      <c r="CM2141" s="2"/>
      <c r="CP2141" s="1"/>
      <c r="CQ2141" s="1"/>
      <c r="CX2141" s="1"/>
      <c r="CY2141" s="1"/>
      <c r="CZ2141" s="1"/>
      <c r="DA2141" s="1"/>
      <c r="DB2141" s="1"/>
      <c r="DC2141" s="1"/>
      <c r="DD2141" s="1"/>
      <c r="DE2141" s="1"/>
      <c r="DF2141" s="1"/>
      <c r="DG2141" s="1"/>
      <c r="DH2141" s="1"/>
      <c r="DI2141" s="1"/>
      <c r="DJ2141" s="1"/>
      <c r="DK2141" s="1"/>
      <c r="DQ2141" s="1"/>
      <c r="DR2141" s="1"/>
      <c r="DY2141" s="1"/>
      <c r="DZ2141" s="1"/>
      <c r="ED2141" s="1"/>
      <c r="EK2141" s="1"/>
      <c r="EL2141" s="1"/>
      <c r="EM2141" s="1"/>
      <c r="EN2141" s="1"/>
      <c r="EQ2141" s="1"/>
      <c r="ER2141" s="1"/>
      <c r="ES2141" s="1"/>
      <c r="EV2141" s="1"/>
      <c r="EW2141" s="1"/>
      <c r="EZ2141" s="1"/>
      <c r="GO2141" s="1"/>
      <c r="HY2141" s="1"/>
      <c r="IE2141" s="1"/>
      <c r="IG2141" s="1"/>
      <c r="IH2141" s="1"/>
      <c r="IS2141" s="1"/>
      <c r="IU2141" s="1"/>
      <c r="IZ2141" s="1"/>
      <c r="JJ2141" s="1"/>
      <c r="JK2141" s="1"/>
      <c r="JL2141" s="3"/>
      <c r="JM2141" s="1"/>
      <c r="JP2141" s="1"/>
      <c r="JQ2141" s="1"/>
      <c r="JR2141" s="1"/>
      <c r="LZ2141" s="1"/>
      <c r="MA2141" s="1"/>
    </row>
    <row r="2142" spans="4:339" ht="13" x14ac:dyDescent="0.15">
      <c r="D2142" s="12"/>
      <c r="E2142" s="12"/>
      <c r="I2142" s="12"/>
      <c r="J2142" s="13"/>
      <c r="BG2142" s="1"/>
      <c r="BH2142" s="1"/>
      <c r="BI2142" s="1"/>
      <c r="BJ2142" s="1"/>
      <c r="BK2142" s="1"/>
      <c r="BL2142" s="1"/>
      <c r="BM2142" s="1"/>
      <c r="BN2142" s="1"/>
      <c r="BO2142" s="1"/>
      <c r="BP2142" s="1"/>
      <c r="CD2142" s="1"/>
      <c r="CE2142" s="1"/>
      <c r="CF2142" s="1"/>
      <c r="CK2142" s="1"/>
      <c r="CM2142" s="2"/>
      <c r="CP2142" s="1"/>
      <c r="CQ2142" s="1"/>
      <c r="CX2142" s="1"/>
      <c r="CY2142" s="1"/>
      <c r="CZ2142" s="1"/>
      <c r="DA2142" s="1"/>
      <c r="DB2142" s="1"/>
      <c r="DC2142" s="1"/>
      <c r="DD2142" s="1"/>
      <c r="DE2142" s="1"/>
      <c r="DF2142" s="1"/>
      <c r="DG2142" s="1"/>
      <c r="DH2142" s="1"/>
      <c r="DI2142" s="1"/>
      <c r="DJ2142" s="1"/>
      <c r="DK2142" s="1"/>
      <c r="DQ2142" s="1"/>
      <c r="DR2142" s="1"/>
      <c r="DY2142" s="1"/>
      <c r="DZ2142" s="1"/>
      <c r="ED2142" s="1"/>
      <c r="EK2142" s="1"/>
      <c r="EL2142" s="1"/>
      <c r="EM2142" s="1"/>
      <c r="EN2142" s="1"/>
      <c r="EQ2142" s="1"/>
      <c r="ER2142" s="1"/>
      <c r="ES2142" s="1"/>
      <c r="EV2142" s="1"/>
      <c r="EW2142" s="1"/>
      <c r="EZ2142" s="1"/>
      <c r="GO2142" s="1"/>
      <c r="HY2142" s="1"/>
      <c r="IE2142" s="1"/>
      <c r="IG2142" s="1"/>
      <c r="IH2142" s="1"/>
      <c r="IS2142" s="1"/>
      <c r="IU2142" s="1"/>
      <c r="IZ2142" s="1"/>
      <c r="JJ2142" s="1"/>
      <c r="JK2142" s="1"/>
      <c r="JL2142" s="3"/>
      <c r="JM2142" s="1"/>
      <c r="JP2142" s="1"/>
      <c r="JQ2142" s="1"/>
      <c r="JR2142" s="1"/>
      <c r="LZ2142" s="1"/>
      <c r="MA2142" s="1"/>
    </row>
    <row r="2143" spans="4:339" ht="13" x14ac:dyDescent="0.15">
      <c r="D2143" s="12"/>
      <c r="E2143" s="12"/>
      <c r="I2143" s="12"/>
      <c r="J2143" s="13"/>
      <c r="BG2143" s="1"/>
      <c r="BH2143" s="1"/>
      <c r="BI2143" s="1"/>
      <c r="BJ2143" s="1"/>
      <c r="BK2143" s="1"/>
      <c r="BL2143" s="1"/>
      <c r="BM2143" s="1"/>
      <c r="BN2143" s="1"/>
      <c r="BO2143" s="1"/>
      <c r="BP2143" s="1"/>
      <c r="CD2143" s="1"/>
      <c r="CE2143" s="1"/>
      <c r="CF2143" s="1"/>
      <c r="CK2143" s="1"/>
      <c r="CM2143" s="2"/>
      <c r="CP2143" s="1"/>
      <c r="CQ2143" s="1"/>
      <c r="CX2143" s="1"/>
      <c r="CY2143" s="1"/>
      <c r="CZ2143" s="1"/>
      <c r="DA2143" s="1"/>
      <c r="DB2143" s="1"/>
      <c r="DC2143" s="1"/>
      <c r="DD2143" s="1"/>
      <c r="DE2143" s="1"/>
      <c r="DF2143" s="1"/>
      <c r="DG2143" s="1"/>
      <c r="DH2143" s="1"/>
      <c r="DI2143" s="1"/>
      <c r="DJ2143" s="1"/>
      <c r="DK2143" s="1"/>
      <c r="DQ2143" s="1"/>
      <c r="DR2143" s="1"/>
      <c r="DY2143" s="1"/>
      <c r="DZ2143" s="1"/>
      <c r="ED2143" s="1"/>
      <c r="EK2143" s="1"/>
      <c r="EL2143" s="1"/>
      <c r="EM2143" s="1"/>
      <c r="EN2143" s="1"/>
      <c r="EQ2143" s="1"/>
      <c r="ER2143" s="1"/>
      <c r="ES2143" s="1"/>
      <c r="EV2143" s="1"/>
      <c r="EW2143" s="1"/>
      <c r="EZ2143" s="1"/>
      <c r="GO2143" s="1"/>
      <c r="HY2143" s="1"/>
      <c r="IE2143" s="1"/>
      <c r="IG2143" s="1"/>
      <c r="IH2143" s="1"/>
      <c r="IS2143" s="1"/>
      <c r="IU2143" s="1"/>
      <c r="IZ2143" s="1"/>
      <c r="JJ2143" s="1"/>
      <c r="JK2143" s="1"/>
      <c r="JL2143" s="3"/>
      <c r="JM2143" s="1"/>
      <c r="JP2143" s="1"/>
      <c r="JQ2143" s="1"/>
      <c r="JR2143" s="1"/>
      <c r="LZ2143" s="1"/>
      <c r="MA2143" s="1"/>
    </row>
    <row r="2144" spans="4:339" ht="13" x14ac:dyDescent="0.15">
      <c r="D2144" s="12"/>
      <c r="E2144" s="12"/>
      <c r="I2144" s="12"/>
      <c r="J2144" s="13"/>
      <c r="BF2144" s="1"/>
      <c r="BG2144" s="1"/>
      <c r="BH2144" s="1"/>
      <c r="BI2144" s="1"/>
      <c r="BK2144" s="1"/>
      <c r="BL2144" s="1"/>
      <c r="BM2144" s="1"/>
      <c r="BN2144" s="1"/>
      <c r="BP2144" s="1"/>
      <c r="CC2144" s="1"/>
      <c r="CD2144" s="1"/>
      <c r="CE2144" s="1"/>
      <c r="CF2144" s="1"/>
      <c r="CM2144" s="2"/>
      <c r="CP2144" s="1"/>
      <c r="CQ2144" s="1"/>
      <c r="CS2144" s="1"/>
      <c r="CT2144" s="1"/>
      <c r="CU2144" s="1"/>
      <c r="CV2144" s="1"/>
      <c r="CW2144" s="1"/>
      <c r="CX2144" s="1"/>
      <c r="CY2144" s="1"/>
      <c r="CZ2144" s="1"/>
      <c r="DA2144" s="1"/>
      <c r="DB2144" s="1"/>
      <c r="DC2144" s="1"/>
      <c r="DD2144" s="1"/>
      <c r="DE2144" s="1"/>
      <c r="DF2144" s="1"/>
      <c r="DG2144" s="1"/>
      <c r="DH2144" s="1"/>
      <c r="DI2144" s="1"/>
      <c r="DJ2144" s="1"/>
      <c r="DK2144" s="1"/>
      <c r="DQ2144" s="1"/>
      <c r="DR2144" s="1"/>
      <c r="DY2144" s="1"/>
      <c r="DZ2144" s="1"/>
      <c r="ED2144" s="1"/>
      <c r="EK2144" s="1"/>
      <c r="EL2144" s="1"/>
      <c r="EM2144" s="1"/>
      <c r="EN2144" s="1"/>
      <c r="EQ2144" s="1"/>
      <c r="ER2144" s="1"/>
      <c r="ES2144" s="1"/>
      <c r="EV2144" s="1"/>
      <c r="EW2144" s="1"/>
      <c r="EZ2144" s="1"/>
      <c r="GO2144" s="1"/>
      <c r="GP2144" s="1"/>
      <c r="HY2144" s="1"/>
      <c r="IE2144" s="1"/>
      <c r="IR2144" s="1"/>
      <c r="IS2144" s="1"/>
      <c r="IZ2144" s="1"/>
      <c r="JH2144" s="1"/>
      <c r="JJ2144" s="1"/>
      <c r="JN2144" s="1"/>
      <c r="JP2144" s="1"/>
      <c r="JQ2144" s="1"/>
      <c r="JV2144" s="1"/>
      <c r="LZ2144" s="1"/>
      <c r="MA2144" s="1"/>
    </row>
    <row r="2145" spans="4:339" ht="13" x14ac:dyDescent="0.15">
      <c r="D2145" s="12"/>
      <c r="E2145" s="12"/>
      <c r="I2145" s="12"/>
      <c r="J2145" s="13"/>
      <c r="BG2145" s="1"/>
      <c r="BH2145" s="1"/>
      <c r="BI2145" s="1"/>
      <c r="BJ2145" s="1"/>
      <c r="BK2145" s="1"/>
      <c r="BL2145" s="1"/>
      <c r="BM2145" s="1"/>
      <c r="BN2145" s="1"/>
      <c r="BO2145" s="1"/>
      <c r="BP2145" s="1"/>
      <c r="CD2145" s="1"/>
      <c r="CG2145" s="1"/>
      <c r="CM2145" s="2"/>
      <c r="CP2145" s="1"/>
      <c r="CQ2145" s="1"/>
      <c r="CV2145" s="1"/>
      <c r="CW2145" s="1"/>
      <c r="CX2145" s="1"/>
      <c r="CY2145" s="1"/>
      <c r="CZ2145" s="1"/>
      <c r="DA2145" s="1"/>
      <c r="DB2145" s="1"/>
      <c r="DC2145" s="1"/>
      <c r="DD2145" s="1"/>
      <c r="DE2145" s="1"/>
      <c r="DF2145" s="1"/>
      <c r="DG2145" s="1"/>
      <c r="DH2145" s="1"/>
      <c r="DI2145" s="1"/>
      <c r="DJ2145" s="1"/>
      <c r="DK2145" s="1"/>
      <c r="DQ2145" s="1"/>
      <c r="DR2145" s="1"/>
      <c r="DY2145" s="1"/>
      <c r="DZ2145" s="1"/>
      <c r="ED2145" s="1"/>
      <c r="EK2145" s="1"/>
      <c r="EL2145" s="1"/>
      <c r="EM2145" s="1"/>
      <c r="EN2145" s="1"/>
      <c r="EQ2145" s="1"/>
      <c r="ER2145" s="1"/>
      <c r="ES2145" s="1"/>
      <c r="EV2145" s="1"/>
      <c r="EW2145" s="1"/>
      <c r="EZ2145" s="1"/>
      <c r="GO2145" s="1"/>
      <c r="IE2145" s="1"/>
      <c r="IR2145" s="1"/>
      <c r="IS2145" s="1"/>
      <c r="IY2145" s="1"/>
      <c r="IZ2145" s="1"/>
      <c r="JG2145" s="1"/>
      <c r="JJ2145" s="1"/>
      <c r="JN2145" s="1"/>
      <c r="JP2145" s="1"/>
      <c r="JQ2145" s="1"/>
      <c r="LZ2145" s="1"/>
      <c r="MA2145" s="1"/>
    </row>
    <row r="2146" spans="4:339" ht="13" x14ac:dyDescent="0.15">
      <c r="D2146" s="12"/>
      <c r="E2146" s="12"/>
      <c r="I2146" s="12"/>
      <c r="J2146" s="13"/>
      <c r="BG2146" s="1"/>
      <c r="BH2146" s="1"/>
      <c r="BI2146" s="1"/>
      <c r="BJ2146" s="1"/>
      <c r="BK2146" s="1"/>
      <c r="BL2146" s="1"/>
      <c r="BM2146" s="1"/>
      <c r="BN2146" s="1"/>
      <c r="BO2146" s="1"/>
      <c r="BP2146" s="1"/>
      <c r="CD2146" s="1"/>
      <c r="CG2146" s="1"/>
      <c r="CM2146" s="2"/>
      <c r="CP2146" s="1"/>
      <c r="CQ2146" s="1"/>
      <c r="CV2146" s="1"/>
      <c r="CW2146" s="1"/>
      <c r="CX2146" s="1"/>
      <c r="CY2146" s="1"/>
      <c r="CZ2146" s="1"/>
      <c r="DA2146" s="1"/>
      <c r="DB2146" s="1"/>
      <c r="DC2146" s="1"/>
      <c r="DD2146" s="1"/>
      <c r="DE2146" s="1"/>
      <c r="DF2146" s="1"/>
      <c r="DG2146" s="1"/>
      <c r="DH2146" s="1"/>
      <c r="DI2146" s="1"/>
      <c r="DJ2146" s="1"/>
      <c r="DK2146" s="1"/>
      <c r="DQ2146" s="1"/>
      <c r="DR2146" s="1"/>
      <c r="DY2146" s="1"/>
      <c r="DZ2146" s="1"/>
      <c r="ED2146" s="1"/>
      <c r="EK2146" s="1"/>
      <c r="EL2146" s="1"/>
      <c r="EM2146" s="1"/>
      <c r="EN2146" s="1"/>
      <c r="EQ2146" s="1"/>
      <c r="ER2146" s="1"/>
      <c r="ES2146" s="1"/>
      <c r="EV2146" s="1"/>
      <c r="EW2146" s="1"/>
      <c r="EZ2146" s="1"/>
      <c r="GO2146" s="1"/>
      <c r="IE2146" s="1"/>
      <c r="IR2146" s="1"/>
      <c r="IS2146" s="1"/>
      <c r="IY2146" s="1"/>
      <c r="IZ2146" s="1"/>
      <c r="JG2146" s="1"/>
      <c r="JJ2146" s="1"/>
      <c r="JN2146" s="1"/>
      <c r="JP2146" s="1"/>
      <c r="JQ2146" s="1"/>
      <c r="LZ2146" s="1"/>
      <c r="MA2146" s="1"/>
    </row>
    <row r="2147" spans="4:339" ht="13" x14ac:dyDescent="0.15">
      <c r="D2147" s="12"/>
      <c r="E2147" s="12"/>
      <c r="I2147" s="12"/>
      <c r="J2147" s="13"/>
      <c r="BG2147" s="1"/>
      <c r="BH2147" s="1"/>
      <c r="BI2147" s="1"/>
      <c r="BJ2147" s="1"/>
      <c r="BK2147" s="1"/>
      <c r="BL2147" s="1"/>
      <c r="BM2147" s="1"/>
      <c r="BN2147" s="1"/>
      <c r="BO2147" s="1"/>
      <c r="BP2147" s="1"/>
      <c r="CD2147" s="1"/>
      <c r="CG2147" s="1"/>
      <c r="CM2147" s="2"/>
      <c r="CP2147" s="1"/>
      <c r="CQ2147" s="1"/>
      <c r="CV2147" s="1"/>
      <c r="CW2147" s="1"/>
      <c r="CX2147" s="1"/>
      <c r="CY2147" s="1"/>
      <c r="CZ2147" s="1"/>
      <c r="DA2147" s="1"/>
      <c r="DB2147" s="1"/>
      <c r="DC2147" s="1"/>
      <c r="DD2147" s="1"/>
      <c r="DE2147" s="1"/>
      <c r="DF2147" s="1"/>
      <c r="DG2147" s="1"/>
      <c r="DH2147" s="1"/>
      <c r="DI2147" s="1"/>
      <c r="DJ2147" s="1"/>
      <c r="DK2147" s="1"/>
      <c r="DQ2147" s="1"/>
      <c r="DR2147" s="1"/>
      <c r="DY2147" s="1"/>
      <c r="DZ2147" s="1"/>
      <c r="ED2147" s="1"/>
      <c r="EK2147" s="1"/>
      <c r="EL2147" s="1"/>
      <c r="EM2147" s="1"/>
      <c r="EN2147" s="1"/>
      <c r="EQ2147" s="1"/>
      <c r="ER2147" s="1"/>
      <c r="ES2147" s="1"/>
      <c r="EV2147" s="1"/>
      <c r="EW2147" s="1"/>
      <c r="EZ2147" s="1"/>
      <c r="GO2147" s="1"/>
      <c r="IE2147" s="1"/>
      <c r="IR2147" s="1"/>
      <c r="IS2147" s="1"/>
      <c r="IY2147" s="1"/>
      <c r="IZ2147" s="1"/>
      <c r="JG2147" s="1"/>
      <c r="JJ2147" s="1"/>
      <c r="JN2147" s="1"/>
      <c r="JP2147" s="1"/>
      <c r="JQ2147" s="1"/>
      <c r="LZ2147" s="1"/>
      <c r="MA2147" s="1"/>
    </row>
    <row r="2148" spans="4:339" ht="13" x14ac:dyDescent="0.15">
      <c r="D2148" s="12"/>
      <c r="E2148" s="12"/>
      <c r="I2148" s="12"/>
      <c r="J2148" s="13"/>
      <c r="BG2148" s="1"/>
      <c r="BH2148" s="1"/>
      <c r="BI2148" s="1"/>
      <c r="BJ2148" s="1"/>
      <c r="BK2148" s="1"/>
      <c r="BL2148" s="1"/>
      <c r="BM2148" s="1"/>
      <c r="BN2148" s="1"/>
      <c r="BO2148" s="1"/>
      <c r="BP2148" s="1"/>
      <c r="CD2148" s="1"/>
      <c r="CG2148" s="1"/>
      <c r="CM2148" s="2"/>
      <c r="CP2148" s="1"/>
      <c r="CQ2148" s="1"/>
      <c r="CV2148" s="1"/>
      <c r="CW2148" s="1"/>
      <c r="CX2148" s="1"/>
      <c r="CY2148" s="1"/>
      <c r="CZ2148" s="1"/>
      <c r="DA2148" s="1"/>
      <c r="DB2148" s="1"/>
      <c r="DC2148" s="1"/>
      <c r="DD2148" s="1"/>
      <c r="DE2148" s="1"/>
      <c r="DF2148" s="1"/>
      <c r="DG2148" s="1"/>
      <c r="DH2148" s="1"/>
      <c r="DI2148" s="1"/>
      <c r="DJ2148" s="1"/>
      <c r="DK2148" s="1"/>
      <c r="DQ2148" s="1"/>
      <c r="DR2148" s="1"/>
      <c r="DY2148" s="1"/>
      <c r="DZ2148" s="1"/>
      <c r="ED2148" s="1"/>
      <c r="EK2148" s="1"/>
      <c r="EL2148" s="1"/>
      <c r="EM2148" s="1"/>
      <c r="EN2148" s="1"/>
      <c r="EQ2148" s="1"/>
      <c r="ER2148" s="1"/>
      <c r="ES2148" s="1"/>
      <c r="EV2148" s="1"/>
      <c r="EW2148" s="1"/>
      <c r="EZ2148" s="1"/>
      <c r="GO2148" s="1"/>
      <c r="IE2148" s="1"/>
      <c r="IR2148" s="1"/>
      <c r="IS2148" s="1"/>
      <c r="IY2148" s="1"/>
      <c r="IZ2148" s="1"/>
      <c r="JG2148" s="1"/>
      <c r="JJ2148" s="1"/>
      <c r="JN2148" s="1"/>
      <c r="JP2148" s="1"/>
      <c r="JQ2148" s="1"/>
      <c r="LZ2148" s="1"/>
      <c r="MA2148" s="1"/>
    </row>
    <row r="2149" spans="4:339" ht="13" x14ac:dyDescent="0.15">
      <c r="D2149" s="12"/>
      <c r="E2149" s="12"/>
      <c r="I2149" s="12"/>
      <c r="J2149" s="13"/>
      <c r="BG2149" s="1"/>
      <c r="BH2149" s="1"/>
      <c r="BI2149" s="1"/>
      <c r="BJ2149" s="1"/>
      <c r="BK2149" s="1"/>
      <c r="BL2149" s="1"/>
      <c r="BM2149" s="1"/>
      <c r="BN2149" s="1"/>
      <c r="BO2149" s="1"/>
      <c r="BP2149" s="1"/>
      <c r="CD2149" s="1"/>
      <c r="CG2149" s="1"/>
      <c r="CM2149" s="2"/>
      <c r="CP2149" s="1"/>
      <c r="CQ2149" s="1"/>
      <c r="CV2149" s="1"/>
      <c r="CW2149" s="1"/>
      <c r="CX2149" s="1"/>
      <c r="CY2149" s="1"/>
      <c r="CZ2149" s="1"/>
      <c r="DA2149" s="1"/>
      <c r="DB2149" s="1"/>
      <c r="DC2149" s="1"/>
      <c r="DD2149" s="1"/>
      <c r="DE2149" s="1"/>
      <c r="DF2149" s="1"/>
      <c r="DG2149" s="1"/>
      <c r="DH2149" s="1"/>
      <c r="DI2149" s="1"/>
      <c r="DJ2149" s="1"/>
      <c r="DK2149" s="1"/>
      <c r="DQ2149" s="1"/>
      <c r="DR2149" s="1"/>
      <c r="DY2149" s="1"/>
      <c r="DZ2149" s="1"/>
      <c r="ED2149" s="1"/>
      <c r="EK2149" s="1"/>
      <c r="EL2149" s="1"/>
      <c r="EM2149" s="1"/>
      <c r="EN2149" s="1"/>
      <c r="EQ2149" s="1"/>
      <c r="ER2149" s="1"/>
      <c r="ES2149" s="1"/>
      <c r="EV2149" s="1"/>
      <c r="EW2149" s="1"/>
      <c r="EZ2149" s="1"/>
      <c r="GO2149" s="1"/>
      <c r="IE2149" s="1"/>
      <c r="IR2149" s="1"/>
      <c r="IS2149" s="1"/>
      <c r="IY2149" s="1"/>
      <c r="IZ2149" s="1"/>
      <c r="JG2149" s="1"/>
      <c r="JJ2149" s="1"/>
      <c r="JN2149" s="1"/>
      <c r="JP2149" s="1"/>
      <c r="JQ2149" s="1"/>
      <c r="LZ2149" s="1"/>
      <c r="MA2149" s="1"/>
    </row>
    <row r="2150" spans="4:339" ht="13" x14ac:dyDescent="0.15">
      <c r="D2150" s="12"/>
      <c r="E2150" s="12"/>
      <c r="I2150" s="12"/>
      <c r="J2150" s="13"/>
      <c r="BG2150" s="1"/>
      <c r="BH2150" s="1"/>
      <c r="BI2150" s="1"/>
      <c r="BJ2150" s="1"/>
      <c r="BK2150" s="1"/>
      <c r="BL2150" s="1"/>
      <c r="BM2150" s="1"/>
      <c r="BN2150" s="1"/>
      <c r="BO2150" s="1"/>
      <c r="BP2150" s="1"/>
      <c r="CD2150" s="1"/>
      <c r="CG2150" s="1"/>
      <c r="CM2150" s="2"/>
      <c r="CP2150" s="1"/>
      <c r="CQ2150" s="1"/>
      <c r="CV2150" s="1"/>
      <c r="CW2150" s="1"/>
      <c r="CX2150" s="1"/>
      <c r="CY2150" s="1"/>
      <c r="CZ2150" s="1"/>
      <c r="DA2150" s="1"/>
      <c r="DB2150" s="1"/>
      <c r="DC2150" s="1"/>
      <c r="DD2150" s="1"/>
      <c r="DE2150" s="1"/>
      <c r="DF2150" s="1"/>
      <c r="DG2150" s="1"/>
      <c r="DH2150" s="1"/>
      <c r="DI2150" s="1"/>
      <c r="DJ2150" s="1"/>
      <c r="DK2150" s="1"/>
      <c r="DQ2150" s="1"/>
      <c r="DR2150" s="1"/>
      <c r="DY2150" s="1"/>
      <c r="DZ2150" s="1"/>
      <c r="ED2150" s="1"/>
      <c r="EK2150" s="1"/>
      <c r="EL2150" s="1"/>
      <c r="EM2150" s="1"/>
      <c r="EN2150" s="1"/>
      <c r="EQ2150" s="1"/>
      <c r="ER2150" s="1"/>
      <c r="ES2150" s="1"/>
      <c r="EV2150" s="1"/>
      <c r="EW2150" s="1"/>
      <c r="EZ2150" s="1"/>
      <c r="GO2150" s="1"/>
      <c r="IE2150" s="1"/>
      <c r="IR2150" s="1"/>
      <c r="IS2150" s="1"/>
      <c r="IY2150" s="1"/>
      <c r="IZ2150" s="1"/>
      <c r="JG2150" s="1"/>
      <c r="JJ2150" s="1"/>
      <c r="JN2150" s="1"/>
      <c r="JP2150" s="1"/>
      <c r="JQ2150" s="1"/>
      <c r="LZ2150" s="1"/>
      <c r="MA2150" s="1"/>
    </row>
    <row r="2151" spans="4:339" ht="13" x14ac:dyDescent="0.15">
      <c r="D2151" s="12"/>
      <c r="E2151" s="12"/>
      <c r="I2151" s="12"/>
      <c r="J2151" s="13"/>
      <c r="BG2151" s="1"/>
      <c r="BH2151" s="1"/>
      <c r="BI2151" s="1"/>
      <c r="BJ2151" s="1"/>
      <c r="BK2151" s="1"/>
      <c r="BL2151" s="1"/>
      <c r="BM2151" s="1"/>
      <c r="BN2151" s="1"/>
      <c r="BO2151" s="1"/>
      <c r="BP2151" s="1"/>
      <c r="CD2151" s="1"/>
      <c r="CG2151" s="1"/>
      <c r="CM2151" s="2"/>
      <c r="CP2151" s="1"/>
      <c r="CQ2151" s="1"/>
      <c r="CV2151" s="1"/>
      <c r="CW2151" s="1"/>
      <c r="CX2151" s="1"/>
      <c r="CY2151" s="1"/>
      <c r="CZ2151" s="1"/>
      <c r="DA2151" s="1"/>
      <c r="DB2151" s="1"/>
      <c r="DC2151" s="1"/>
      <c r="DD2151" s="1"/>
      <c r="DE2151" s="1"/>
      <c r="DF2151" s="1"/>
      <c r="DG2151" s="1"/>
      <c r="DH2151" s="1"/>
      <c r="DI2151" s="1"/>
      <c r="DJ2151" s="1"/>
      <c r="DK2151" s="1"/>
      <c r="DQ2151" s="1"/>
      <c r="DR2151" s="1"/>
      <c r="DY2151" s="1"/>
      <c r="DZ2151" s="1"/>
      <c r="ED2151" s="1"/>
      <c r="EK2151" s="1"/>
      <c r="EL2151" s="1"/>
      <c r="EM2151" s="1"/>
      <c r="EN2151" s="1"/>
      <c r="EQ2151" s="1"/>
      <c r="ER2151" s="1"/>
      <c r="ES2151" s="1"/>
      <c r="EV2151" s="1"/>
      <c r="EW2151" s="1"/>
      <c r="EZ2151" s="1"/>
      <c r="GO2151" s="1"/>
      <c r="IE2151" s="1"/>
      <c r="IR2151" s="1"/>
      <c r="IS2151" s="1"/>
      <c r="IY2151" s="1"/>
      <c r="IZ2151" s="1"/>
      <c r="JG2151" s="1"/>
      <c r="JJ2151" s="1"/>
      <c r="JN2151" s="1"/>
      <c r="JP2151" s="1"/>
      <c r="JQ2151" s="1"/>
      <c r="LZ2151" s="1"/>
      <c r="MA2151" s="1"/>
    </row>
    <row r="2152" spans="4:339" ht="13" x14ac:dyDescent="0.15">
      <c r="D2152" s="12"/>
      <c r="E2152" s="12"/>
      <c r="I2152" s="12"/>
      <c r="J2152" s="13"/>
      <c r="BG2152" s="1"/>
      <c r="BH2152" s="1"/>
      <c r="BI2152" s="1"/>
      <c r="BJ2152" s="1"/>
      <c r="BK2152" s="1"/>
      <c r="BL2152" s="1"/>
      <c r="BM2152" s="1"/>
      <c r="BN2152" s="1"/>
      <c r="BO2152" s="1"/>
      <c r="BP2152" s="1"/>
      <c r="CD2152" s="1"/>
      <c r="CG2152" s="1"/>
      <c r="CM2152" s="2"/>
      <c r="CP2152" s="1"/>
      <c r="CQ2152" s="1"/>
      <c r="CV2152" s="1"/>
      <c r="CW2152" s="1"/>
      <c r="CX2152" s="1"/>
      <c r="CY2152" s="1"/>
      <c r="CZ2152" s="1"/>
      <c r="DA2152" s="1"/>
      <c r="DB2152" s="1"/>
      <c r="DC2152" s="1"/>
      <c r="DD2152" s="1"/>
      <c r="DE2152" s="1"/>
      <c r="DF2152" s="1"/>
      <c r="DG2152" s="1"/>
      <c r="DH2152" s="1"/>
      <c r="DI2152" s="1"/>
      <c r="DJ2152" s="1"/>
      <c r="DK2152" s="1"/>
      <c r="DQ2152" s="1"/>
      <c r="DR2152" s="1"/>
      <c r="DY2152" s="1"/>
      <c r="DZ2152" s="1"/>
      <c r="ED2152" s="1"/>
      <c r="EK2152" s="1"/>
      <c r="EL2152" s="1"/>
      <c r="EM2152" s="1"/>
      <c r="EN2152" s="1"/>
      <c r="EQ2152" s="1"/>
      <c r="ER2152" s="1"/>
      <c r="ES2152" s="1"/>
      <c r="EV2152" s="1"/>
      <c r="EW2152" s="1"/>
      <c r="EZ2152" s="1"/>
      <c r="GO2152" s="1"/>
      <c r="IE2152" s="1"/>
      <c r="IR2152" s="1"/>
      <c r="IS2152" s="1"/>
      <c r="IY2152" s="1"/>
      <c r="IZ2152" s="1"/>
      <c r="JG2152" s="1"/>
      <c r="JJ2152" s="1"/>
      <c r="JN2152" s="1"/>
      <c r="JP2152" s="1"/>
      <c r="JQ2152" s="1"/>
      <c r="LZ2152" s="1"/>
      <c r="MA2152" s="1"/>
    </row>
    <row r="2153" spans="4:339" ht="13" x14ac:dyDescent="0.15">
      <c r="D2153" s="12"/>
      <c r="E2153" s="12"/>
      <c r="I2153" s="12"/>
      <c r="J2153" s="13"/>
      <c r="BG2153" s="1"/>
      <c r="BH2153" s="1"/>
      <c r="BI2153" s="1"/>
      <c r="BJ2153" s="1"/>
      <c r="BK2153" s="1"/>
      <c r="BL2153" s="1"/>
      <c r="BM2153" s="1"/>
      <c r="BN2153" s="1"/>
      <c r="BO2153" s="1"/>
      <c r="BP2153" s="1"/>
      <c r="CD2153" s="1"/>
      <c r="CG2153" s="1"/>
      <c r="CM2153" s="2"/>
      <c r="CP2153" s="1"/>
      <c r="CQ2153" s="1"/>
      <c r="CV2153" s="1"/>
      <c r="CW2153" s="1"/>
      <c r="CX2153" s="1"/>
      <c r="CY2153" s="1"/>
      <c r="CZ2153" s="1"/>
      <c r="DA2153" s="1"/>
      <c r="DB2153" s="1"/>
      <c r="DC2153" s="1"/>
      <c r="DD2153" s="1"/>
      <c r="DE2153" s="1"/>
      <c r="DF2153" s="1"/>
      <c r="DG2153" s="1"/>
      <c r="DH2153" s="1"/>
      <c r="DI2153" s="1"/>
      <c r="DJ2153" s="1"/>
      <c r="DK2153" s="1"/>
      <c r="DQ2153" s="1"/>
      <c r="DR2153" s="1"/>
      <c r="DY2153" s="1"/>
      <c r="DZ2153" s="1"/>
      <c r="ED2153" s="1"/>
      <c r="EK2153" s="1"/>
      <c r="EL2153" s="1"/>
      <c r="EM2153" s="1"/>
      <c r="EN2153" s="1"/>
      <c r="EQ2153" s="1"/>
      <c r="ER2153" s="1"/>
      <c r="ES2153" s="1"/>
      <c r="EV2153" s="1"/>
      <c r="EW2153" s="1"/>
      <c r="EZ2153" s="1"/>
      <c r="GO2153" s="1"/>
      <c r="IE2153" s="1"/>
      <c r="IR2153" s="1"/>
      <c r="IS2153" s="1"/>
      <c r="IY2153" s="1"/>
      <c r="IZ2153" s="1"/>
      <c r="JG2153" s="1"/>
      <c r="JJ2153" s="1"/>
      <c r="JN2153" s="1"/>
      <c r="JP2153" s="1"/>
      <c r="JQ2153" s="1"/>
      <c r="LZ2153" s="1"/>
      <c r="MA2153" s="1"/>
    </row>
    <row r="2154" spans="4:339" ht="13" x14ac:dyDescent="0.15">
      <c r="D2154" s="12"/>
      <c r="E2154" s="12"/>
      <c r="I2154" s="12"/>
      <c r="J2154" s="13"/>
      <c r="BG2154" s="1"/>
      <c r="BH2154" s="1"/>
      <c r="BI2154" s="1"/>
      <c r="BJ2154" s="1"/>
      <c r="BK2154" s="1"/>
      <c r="BL2154" s="1"/>
      <c r="BM2154" s="1"/>
      <c r="BN2154" s="1"/>
      <c r="BO2154" s="1"/>
      <c r="BP2154" s="1"/>
      <c r="CD2154" s="1"/>
      <c r="CG2154" s="1"/>
      <c r="CM2154" s="2"/>
      <c r="CP2154" s="1"/>
      <c r="CQ2154" s="1"/>
      <c r="CV2154" s="1"/>
      <c r="CW2154" s="1"/>
      <c r="CX2154" s="1"/>
      <c r="CY2154" s="1"/>
      <c r="CZ2154" s="1"/>
      <c r="DA2154" s="1"/>
      <c r="DB2154" s="1"/>
      <c r="DC2154" s="1"/>
      <c r="DD2154" s="1"/>
      <c r="DE2154" s="1"/>
      <c r="DF2154" s="1"/>
      <c r="DG2154" s="1"/>
      <c r="DH2154" s="1"/>
      <c r="DI2154" s="1"/>
      <c r="DJ2154" s="1"/>
      <c r="DK2154" s="1"/>
      <c r="DQ2154" s="1"/>
      <c r="DR2154" s="1"/>
      <c r="DY2154" s="1"/>
      <c r="DZ2154" s="1"/>
      <c r="ED2154" s="1"/>
      <c r="EK2154" s="1"/>
      <c r="EL2154" s="1"/>
      <c r="EM2154" s="1"/>
      <c r="EN2154" s="1"/>
      <c r="EQ2154" s="1"/>
      <c r="ER2154" s="1"/>
      <c r="ES2154" s="1"/>
      <c r="EV2154" s="1"/>
      <c r="EW2154" s="1"/>
      <c r="EZ2154" s="1"/>
      <c r="GO2154" s="1"/>
      <c r="IE2154" s="1"/>
      <c r="IR2154" s="1"/>
      <c r="IS2154" s="1"/>
      <c r="IY2154" s="1"/>
      <c r="IZ2154" s="1"/>
      <c r="JG2154" s="1"/>
      <c r="JJ2154" s="1"/>
      <c r="JN2154" s="1"/>
      <c r="JP2154" s="1"/>
      <c r="JQ2154" s="1"/>
      <c r="LZ2154" s="1"/>
      <c r="MA2154" s="1"/>
    </row>
    <row r="2155" spans="4:339" ht="13" x14ac:dyDescent="0.15">
      <c r="D2155" s="12"/>
      <c r="E2155" s="12"/>
      <c r="I2155" s="12"/>
      <c r="J2155" s="13"/>
      <c r="BG2155" s="1"/>
      <c r="BH2155" s="1"/>
      <c r="BI2155" s="1"/>
      <c r="BJ2155" s="1"/>
      <c r="BK2155" s="1"/>
      <c r="BL2155" s="1"/>
      <c r="BM2155" s="1"/>
      <c r="BN2155" s="1"/>
      <c r="BO2155" s="1"/>
      <c r="BP2155" s="1"/>
      <c r="CD2155" s="1"/>
      <c r="CG2155" s="1"/>
      <c r="CM2155" s="2"/>
      <c r="CP2155" s="1"/>
      <c r="CQ2155" s="1"/>
      <c r="CV2155" s="1"/>
      <c r="CW2155" s="1"/>
      <c r="CX2155" s="1"/>
      <c r="CY2155" s="1"/>
      <c r="CZ2155" s="1"/>
      <c r="DA2155" s="1"/>
      <c r="DB2155" s="1"/>
      <c r="DC2155" s="1"/>
      <c r="DD2155" s="1"/>
      <c r="DE2155" s="1"/>
      <c r="DF2155" s="1"/>
      <c r="DG2155" s="1"/>
      <c r="DH2155" s="1"/>
      <c r="DI2155" s="1"/>
      <c r="DJ2155" s="1"/>
      <c r="DK2155" s="1"/>
      <c r="DQ2155" s="1"/>
      <c r="DR2155" s="1"/>
      <c r="DY2155" s="1"/>
      <c r="DZ2155" s="1"/>
      <c r="ED2155" s="1"/>
      <c r="EK2155" s="1"/>
      <c r="EL2155" s="1"/>
      <c r="EM2155" s="1"/>
      <c r="EN2155" s="1"/>
      <c r="EQ2155" s="1"/>
      <c r="ER2155" s="1"/>
      <c r="ES2155" s="1"/>
      <c r="EV2155" s="1"/>
      <c r="EW2155" s="1"/>
      <c r="EZ2155" s="1"/>
      <c r="GO2155" s="1"/>
      <c r="IE2155" s="1"/>
      <c r="IR2155" s="1"/>
      <c r="IS2155" s="1"/>
      <c r="IY2155" s="1"/>
      <c r="IZ2155" s="1"/>
      <c r="JG2155" s="1"/>
      <c r="JJ2155" s="1"/>
      <c r="JN2155" s="1"/>
      <c r="JP2155" s="1"/>
      <c r="JQ2155" s="1"/>
      <c r="LZ2155" s="1"/>
      <c r="MA2155" s="1"/>
    </row>
    <row r="2156" spans="4:339" ht="13" x14ac:dyDescent="0.15">
      <c r="D2156" s="12"/>
      <c r="E2156" s="12"/>
      <c r="I2156" s="12"/>
      <c r="J2156" s="13"/>
      <c r="BG2156" s="1"/>
      <c r="BH2156" s="1"/>
      <c r="BI2156" s="1"/>
      <c r="BJ2156" s="1"/>
      <c r="BK2156" s="1"/>
      <c r="BL2156" s="1"/>
      <c r="BM2156" s="1"/>
      <c r="BN2156" s="1"/>
      <c r="BO2156" s="1"/>
      <c r="BP2156" s="1"/>
      <c r="CD2156" s="1"/>
      <c r="CG2156" s="1"/>
      <c r="CM2156" s="2"/>
      <c r="CP2156" s="1"/>
      <c r="CQ2156" s="1"/>
      <c r="CV2156" s="1"/>
      <c r="CW2156" s="1"/>
      <c r="CX2156" s="1"/>
      <c r="CY2156" s="1"/>
      <c r="CZ2156" s="1"/>
      <c r="DA2156" s="1"/>
      <c r="DB2156" s="1"/>
      <c r="DC2156" s="1"/>
      <c r="DD2156" s="1"/>
      <c r="DE2156" s="1"/>
      <c r="DF2156" s="1"/>
      <c r="DG2156" s="1"/>
      <c r="DH2156" s="1"/>
      <c r="DI2156" s="1"/>
      <c r="DJ2156" s="1"/>
      <c r="DK2156" s="1"/>
      <c r="DQ2156" s="1"/>
      <c r="DR2156" s="1"/>
      <c r="DY2156" s="1"/>
      <c r="DZ2156" s="1"/>
      <c r="ED2156" s="1"/>
      <c r="EK2156" s="1"/>
      <c r="EL2156" s="1"/>
      <c r="EM2156" s="1"/>
      <c r="EN2156" s="1"/>
      <c r="EQ2156" s="1"/>
      <c r="ER2156" s="1"/>
      <c r="ES2156" s="1"/>
      <c r="EV2156" s="1"/>
      <c r="EW2156" s="1"/>
      <c r="EZ2156" s="1"/>
      <c r="GO2156" s="1"/>
      <c r="IE2156" s="1"/>
      <c r="IR2156" s="1"/>
      <c r="IS2156" s="1"/>
      <c r="IY2156" s="1"/>
      <c r="IZ2156" s="1"/>
      <c r="JG2156" s="1"/>
      <c r="JJ2156" s="1"/>
      <c r="JN2156" s="1"/>
      <c r="JP2156" s="1"/>
      <c r="JQ2156" s="1"/>
      <c r="LZ2156" s="1"/>
      <c r="MA2156" s="1"/>
    </row>
    <row r="2157" spans="4:339" ht="13" x14ac:dyDescent="0.15">
      <c r="D2157" s="12"/>
      <c r="E2157" s="12"/>
      <c r="I2157" s="12"/>
      <c r="J2157" s="13"/>
      <c r="BG2157" s="1"/>
      <c r="BH2157" s="1"/>
      <c r="BI2157" s="1"/>
      <c r="BJ2157" s="1"/>
      <c r="BK2157" s="1"/>
      <c r="BL2157" s="1"/>
      <c r="BM2157" s="1"/>
      <c r="BN2157" s="1"/>
      <c r="BO2157" s="1"/>
      <c r="BP2157" s="1"/>
      <c r="CD2157" s="1"/>
      <c r="CG2157" s="1"/>
      <c r="CM2157" s="2"/>
      <c r="CP2157" s="1"/>
      <c r="CQ2157" s="1"/>
      <c r="CV2157" s="1"/>
      <c r="CW2157" s="1"/>
      <c r="CX2157" s="1"/>
      <c r="CY2157" s="1"/>
      <c r="CZ2157" s="1"/>
      <c r="DA2157" s="1"/>
      <c r="DB2157" s="1"/>
      <c r="DC2157" s="1"/>
      <c r="DD2157" s="1"/>
      <c r="DE2157" s="1"/>
      <c r="DF2157" s="1"/>
      <c r="DG2157" s="1"/>
      <c r="DH2157" s="1"/>
      <c r="DI2157" s="1"/>
      <c r="DJ2157" s="1"/>
      <c r="DK2157" s="1"/>
      <c r="DQ2157" s="1"/>
      <c r="DR2157" s="1"/>
      <c r="DY2157" s="1"/>
      <c r="DZ2157" s="1"/>
      <c r="ED2157" s="1"/>
      <c r="EK2157" s="1"/>
      <c r="EL2157" s="1"/>
      <c r="EM2157" s="1"/>
      <c r="EN2157" s="1"/>
      <c r="EQ2157" s="1"/>
      <c r="ER2157" s="1"/>
      <c r="ES2157" s="1"/>
      <c r="EV2157" s="1"/>
      <c r="EW2157" s="1"/>
      <c r="EZ2157" s="1"/>
      <c r="GO2157" s="1"/>
      <c r="IE2157" s="1"/>
      <c r="IR2157" s="1"/>
      <c r="IS2157" s="1"/>
      <c r="IY2157" s="1"/>
      <c r="IZ2157" s="1"/>
      <c r="JG2157" s="1"/>
      <c r="JJ2157" s="1"/>
      <c r="JN2157" s="1"/>
      <c r="JP2157" s="1"/>
      <c r="JQ2157" s="1"/>
      <c r="LZ2157" s="1"/>
      <c r="MA2157" s="1"/>
    </row>
    <row r="2158" spans="4:339" ht="13" x14ac:dyDescent="0.15">
      <c r="D2158" s="12"/>
      <c r="E2158" s="12"/>
      <c r="I2158" s="12"/>
      <c r="J2158" s="13"/>
      <c r="BG2158" s="1"/>
      <c r="BH2158" s="1"/>
      <c r="BI2158" s="1"/>
      <c r="BJ2158" s="1"/>
      <c r="BK2158" s="1"/>
      <c r="BL2158" s="1"/>
      <c r="BM2158" s="1"/>
      <c r="BN2158" s="1"/>
      <c r="BO2158" s="1"/>
      <c r="BP2158" s="1"/>
      <c r="CD2158" s="1"/>
      <c r="CG2158" s="1"/>
      <c r="CM2158" s="2"/>
      <c r="CP2158" s="1"/>
      <c r="CQ2158" s="1"/>
      <c r="CV2158" s="1"/>
      <c r="CW2158" s="1"/>
      <c r="CX2158" s="1"/>
      <c r="CY2158" s="1"/>
      <c r="CZ2158" s="1"/>
      <c r="DA2158" s="1"/>
      <c r="DB2158" s="1"/>
      <c r="DC2158" s="1"/>
      <c r="DD2158" s="1"/>
      <c r="DE2158" s="1"/>
      <c r="DF2158" s="1"/>
      <c r="DG2158" s="1"/>
      <c r="DH2158" s="1"/>
      <c r="DI2158" s="1"/>
      <c r="DJ2158" s="1"/>
      <c r="DK2158" s="1"/>
      <c r="DQ2158" s="1"/>
      <c r="DR2158" s="1"/>
      <c r="DY2158" s="1"/>
      <c r="DZ2158" s="1"/>
      <c r="ED2158" s="1"/>
      <c r="EK2158" s="1"/>
      <c r="EL2158" s="1"/>
      <c r="EM2158" s="1"/>
      <c r="EN2158" s="1"/>
      <c r="EQ2158" s="1"/>
      <c r="ER2158" s="1"/>
      <c r="ES2158" s="1"/>
      <c r="EV2158" s="1"/>
      <c r="EW2158" s="1"/>
      <c r="EZ2158" s="1"/>
      <c r="GO2158" s="1"/>
      <c r="IE2158" s="1"/>
      <c r="IR2158" s="1"/>
      <c r="IS2158" s="1"/>
      <c r="IY2158" s="1"/>
      <c r="IZ2158" s="1"/>
      <c r="JG2158" s="1"/>
      <c r="JJ2158" s="1"/>
      <c r="JN2158" s="1"/>
      <c r="JP2158" s="1"/>
      <c r="JQ2158" s="1"/>
      <c r="LZ2158" s="1"/>
      <c r="MA2158" s="1"/>
    </row>
    <row r="2159" spans="4:339" ht="13" x14ac:dyDescent="0.15">
      <c r="D2159" s="12"/>
      <c r="E2159" s="12"/>
      <c r="I2159" s="12"/>
      <c r="J2159" s="13"/>
      <c r="BG2159" s="1"/>
      <c r="BH2159" s="1"/>
      <c r="BI2159" s="1"/>
      <c r="BJ2159" s="1"/>
      <c r="BK2159" s="1"/>
      <c r="BL2159" s="1"/>
      <c r="BM2159" s="1"/>
      <c r="BN2159" s="1"/>
      <c r="BO2159" s="1"/>
      <c r="BP2159" s="1"/>
      <c r="CD2159" s="1"/>
      <c r="CG2159" s="1"/>
      <c r="CM2159" s="2"/>
      <c r="CP2159" s="1"/>
      <c r="CQ2159" s="1"/>
      <c r="CV2159" s="1"/>
      <c r="CW2159" s="1"/>
      <c r="CX2159" s="1"/>
      <c r="CY2159" s="1"/>
      <c r="CZ2159" s="1"/>
      <c r="DA2159" s="1"/>
      <c r="DB2159" s="1"/>
      <c r="DC2159" s="1"/>
      <c r="DD2159" s="1"/>
      <c r="DE2159" s="1"/>
      <c r="DF2159" s="1"/>
      <c r="DG2159" s="1"/>
      <c r="DH2159" s="1"/>
      <c r="DI2159" s="1"/>
      <c r="DJ2159" s="1"/>
      <c r="DK2159" s="1"/>
      <c r="DQ2159" s="1"/>
      <c r="DR2159" s="1"/>
      <c r="DY2159" s="1"/>
      <c r="DZ2159" s="1"/>
      <c r="ED2159" s="1"/>
      <c r="EK2159" s="1"/>
      <c r="EL2159" s="1"/>
      <c r="EM2159" s="1"/>
      <c r="EN2159" s="1"/>
      <c r="EQ2159" s="1"/>
      <c r="ER2159" s="1"/>
      <c r="ES2159" s="1"/>
      <c r="EV2159" s="1"/>
      <c r="EW2159" s="1"/>
      <c r="EZ2159" s="1"/>
      <c r="GO2159" s="1"/>
      <c r="IE2159" s="1"/>
      <c r="IR2159" s="1"/>
      <c r="IS2159" s="1"/>
      <c r="IY2159" s="1"/>
      <c r="IZ2159" s="1"/>
      <c r="JG2159" s="1"/>
      <c r="JJ2159" s="1"/>
      <c r="JN2159" s="1"/>
      <c r="JP2159" s="1"/>
      <c r="JQ2159" s="1"/>
      <c r="LZ2159" s="1"/>
      <c r="MA2159" s="1"/>
    </row>
    <row r="2160" spans="4:339" ht="13" x14ac:dyDescent="0.15">
      <c r="D2160" s="12"/>
      <c r="E2160" s="12"/>
      <c r="I2160" s="12"/>
      <c r="J2160" s="13"/>
      <c r="BG2160" s="1"/>
      <c r="BH2160" s="1"/>
      <c r="BI2160" s="1"/>
      <c r="BJ2160" s="1"/>
      <c r="BK2160" s="1"/>
      <c r="BL2160" s="1"/>
      <c r="BM2160" s="1"/>
      <c r="BN2160" s="1"/>
      <c r="BO2160" s="1"/>
      <c r="BP2160" s="1"/>
      <c r="CD2160" s="1"/>
      <c r="CG2160" s="1"/>
      <c r="CM2160" s="2"/>
      <c r="CP2160" s="1"/>
      <c r="CQ2160" s="1"/>
      <c r="CV2160" s="1"/>
      <c r="CW2160" s="1"/>
      <c r="CX2160" s="1"/>
      <c r="CY2160" s="1"/>
      <c r="CZ2160" s="1"/>
      <c r="DA2160" s="1"/>
      <c r="DB2160" s="1"/>
      <c r="DC2160" s="1"/>
      <c r="DD2160" s="1"/>
      <c r="DE2160" s="1"/>
      <c r="DF2160" s="1"/>
      <c r="DG2160" s="1"/>
      <c r="DH2160" s="1"/>
      <c r="DI2160" s="1"/>
      <c r="DJ2160" s="1"/>
      <c r="DK2160" s="1"/>
      <c r="DQ2160" s="1"/>
      <c r="DR2160" s="1"/>
      <c r="DY2160" s="1"/>
      <c r="DZ2160" s="1"/>
      <c r="ED2160" s="1"/>
      <c r="EK2160" s="1"/>
      <c r="EL2160" s="1"/>
      <c r="EM2160" s="1"/>
      <c r="EN2160" s="1"/>
      <c r="EQ2160" s="1"/>
      <c r="ER2160" s="1"/>
      <c r="ES2160" s="1"/>
      <c r="EV2160" s="1"/>
      <c r="EW2160" s="1"/>
      <c r="EZ2160" s="1"/>
      <c r="GO2160" s="1"/>
      <c r="IE2160" s="1"/>
      <c r="IR2160" s="1"/>
      <c r="IS2160" s="1"/>
      <c r="IY2160" s="1"/>
      <c r="IZ2160" s="1"/>
      <c r="JG2160" s="1"/>
      <c r="JJ2160" s="1"/>
      <c r="JN2160" s="1"/>
      <c r="JP2160" s="1"/>
      <c r="JQ2160" s="1"/>
      <c r="LZ2160" s="1"/>
      <c r="MA2160" s="1"/>
    </row>
    <row r="2161" spans="4:339" ht="13" x14ac:dyDescent="0.15">
      <c r="D2161" s="12"/>
      <c r="E2161" s="12"/>
      <c r="I2161" s="12"/>
      <c r="J2161" s="13"/>
      <c r="BG2161" s="1"/>
      <c r="BH2161" s="1"/>
      <c r="BI2161" s="1"/>
      <c r="BJ2161" s="1"/>
      <c r="BK2161" s="1"/>
      <c r="BL2161" s="1"/>
      <c r="BM2161" s="1"/>
      <c r="BN2161" s="1"/>
      <c r="BO2161" s="1"/>
      <c r="BP2161" s="1"/>
      <c r="CD2161" s="1"/>
      <c r="CG2161" s="1"/>
      <c r="CM2161" s="2"/>
      <c r="CP2161" s="1"/>
      <c r="CQ2161" s="1"/>
      <c r="CV2161" s="1"/>
      <c r="CW2161" s="1"/>
      <c r="CX2161" s="1"/>
      <c r="CY2161" s="1"/>
      <c r="CZ2161" s="1"/>
      <c r="DA2161" s="1"/>
      <c r="DB2161" s="1"/>
      <c r="DC2161" s="1"/>
      <c r="DD2161" s="1"/>
      <c r="DE2161" s="1"/>
      <c r="DF2161" s="1"/>
      <c r="DG2161" s="1"/>
      <c r="DH2161" s="1"/>
      <c r="DI2161" s="1"/>
      <c r="DJ2161" s="1"/>
      <c r="DK2161" s="1"/>
      <c r="DQ2161" s="1"/>
      <c r="DR2161" s="1"/>
      <c r="DY2161" s="1"/>
      <c r="DZ2161" s="1"/>
      <c r="ED2161" s="1"/>
      <c r="EK2161" s="1"/>
      <c r="EL2161" s="1"/>
      <c r="EM2161" s="1"/>
      <c r="EN2161" s="1"/>
      <c r="EQ2161" s="1"/>
      <c r="ER2161" s="1"/>
      <c r="ES2161" s="1"/>
      <c r="EV2161" s="1"/>
      <c r="EW2161" s="1"/>
      <c r="EZ2161" s="1"/>
      <c r="GO2161" s="1"/>
      <c r="IE2161" s="1"/>
      <c r="IR2161" s="1"/>
      <c r="IS2161" s="1"/>
      <c r="IY2161" s="1"/>
      <c r="IZ2161" s="1"/>
      <c r="JG2161" s="1"/>
      <c r="JJ2161" s="1"/>
      <c r="JN2161" s="1"/>
      <c r="JP2161" s="1"/>
      <c r="JQ2161" s="1"/>
      <c r="LZ2161" s="1"/>
      <c r="MA2161" s="1"/>
    </row>
    <row r="2162" spans="4:339" ht="13" x14ac:dyDescent="0.15">
      <c r="D2162" s="12"/>
      <c r="E2162" s="12"/>
      <c r="I2162" s="12"/>
      <c r="J2162" s="13"/>
      <c r="BG2162" s="1"/>
      <c r="BH2162" s="1"/>
      <c r="BI2162" s="1"/>
      <c r="BJ2162" s="1"/>
      <c r="BK2162" s="1"/>
      <c r="BL2162" s="1"/>
      <c r="BM2162" s="1"/>
      <c r="BN2162" s="1"/>
      <c r="BO2162" s="1"/>
      <c r="BP2162" s="1"/>
      <c r="CD2162" s="1"/>
      <c r="CG2162" s="1"/>
      <c r="CM2162" s="2"/>
      <c r="CP2162" s="1"/>
      <c r="CQ2162" s="1"/>
      <c r="CV2162" s="1"/>
      <c r="CW2162" s="1"/>
      <c r="CX2162" s="1"/>
      <c r="CY2162" s="1"/>
      <c r="CZ2162" s="1"/>
      <c r="DA2162" s="1"/>
      <c r="DB2162" s="1"/>
      <c r="DC2162" s="1"/>
      <c r="DD2162" s="1"/>
      <c r="DE2162" s="1"/>
      <c r="DF2162" s="1"/>
      <c r="DG2162" s="1"/>
      <c r="DH2162" s="1"/>
      <c r="DI2162" s="1"/>
      <c r="DJ2162" s="1"/>
      <c r="DK2162" s="1"/>
      <c r="DQ2162" s="1"/>
      <c r="DR2162" s="1"/>
      <c r="DY2162" s="1"/>
      <c r="DZ2162" s="1"/>
      <c r="ED2162" s="1"/>
      <c r="EK2162" s="1"/>
      <c r="EL2162" s="1"/>
      <c r="EM2162" s="1"/>
      <c r="EN2162" s="1"/>
      <c r="EQ2162" s="1"/>
      <c r="ER2162" s="1"/>
      <c r="ES2162" s="1"/>
      <c r="EV2162" s="1"/>
      <c r="EW2162" s="1"/>
      <c r="EZ2162" s="1"/>
      <c r="GO2162" s="1"/>
      <c r="IE2162" s="1"/>
      <c r="IR2162" s="1"/>
      <c r="IS2162" s="1"/>
      <c r="IY2162" s="1"/>
      <c r="IZ2162" s="1"/>
      <c r="JG2162" s="1"/>
      <c r="JJ2162" s="1"/>
      <c r="JN2162" s="1"/>
      <c r="JP2162" s="1"/>
      <c r="JQ2162" s="1"/>
      <c r="LZ2162" s="1"/>
      <c r="MA2162" s="1"/>
    </row>
    <row r="2163" spans="4:339" ht="13" x14ac:dyDescent="0.15">
      <c r="D2163" s="12"/>
      <c r="E2163" s="12"/>
      <c r="I2163" s="12"/>
      <c r="J2163" s="13"/>
      <c r="BG2163" s="1"/>
      <c r="BH2163" s="1"/>
      <c r="BI2163" s="1"/>
      <c r="BJ2163" s="1"/>
      <c r="BK2163" s="1"/>
      <c r="BL2163" s="1"/>
      <c r="BM2163" s="1"/>
      <c r="BN2163" s="1"/>
      <c r="BO2163" s="1"/>
      <c r="BP2163" s="1"/>
      <c r="CD2163" s="1"/>
      <c r="CG2163" s="1"/>
      <c r="CM2163" s="2"/>
      <c r="CP2163" s="1"/>
      <c r="CQ2163" s="1"/>
      <c r="CV2163" s="1"/>
      <c r="CW2163" s="1"/>
      <c r="CX2163" s="1"/>
      <c r="CY2163" s="1"/>
      <c r="CZ2163" s="1"/>
      <c r="DA2163" s="1"/>
      <c r="DB2163" s="1"/>
      <c r="DC2163" s="1"/>
      <c r="DD2163" s="1"/>
      <c r="DE2163" s="1"/>
      <c r="DF2163" s="1"/>
      <c r="DG2163" s="1"/>
      <c r="DH2163" s="1"/>
      <c r="DI2163" s="1"/>
      <c r="DJ2163" s="1"/>
      <c r="DK2163" s="1"/>
      <c r="DQ2163" s="1"/>
      <c r="DR2163" s="1"/>
      <c r="DY2163" s="1"/>
      <c r="DZ2163" s="1"/>
      <c r="ED2163" s="1"/>
      <c r="EK2163" s="1"/>
      <c r="EL2163" s="1"/>
      <c r="EM2163" s="1"/>
      <c r="EN2163" s="1"/>
      <c r="EQ2163" s="1"/>
      <c r="ER2163" s="1"/>
      <c r="ES2163" s="1"/>
      <c r="EV2163" s="1"/>
      <c r="EW2163" s="1"/>
      <c r="EZ2163" s="1"/>
      <c r="GO2163" s="1"/>
      <c r="IE2163" s="1"/>
      <c r="IR2163" s="1"/>
      <c r="IS2163" s="1"/>
      <c r="IY2163" s="1"/>
      <c r="IZ2163" s="1"/>
      <c r="JG2163" s="1"/>
      <c r="JJ2163" s="1"/>
      <c r="JN2163" s="1"/>
      <c r="JP2163" s="1"/>
      <c r="JQ2163" s="1"/>
      <c r="LZ2163" s="1"/>
      <c r="MA2163" s="1"/>
    </row>
    <row r="2164" spans="4:339" ht="13" x14ac:dyDescent="0.15">
      <c r="D2164" s="12"/>
      <c r="E2164" s="12"/>
      <c r="I2164" s="12"/>
      <c r="J2164" s="13"/>
      <c r="BG2164" s="1"/>
      <c r="BH2164" s="1"/>
      <c r="BI2164" s="1"/>
      <c r="BJ2164" s="1"/>
      <c r="BK2164" s="1"/>
      <c r="BL2164" s="1"/>
      <c r="BM2164" s="1"/>
      <c r="BN2164" s="1"/>
      <c r="BO2164" s="1"/>
      <c r="BP2164" s="1"/>
      <c r="CD2164" s="1"/>
      <c r="CG2164" s="1"/>
      <c r="CM2164" s="2"/>
      <c r="CP2164" s="1"/>
      <c r="CQ2164" s="1"/>
      <c r="CV2164" s="1"/>
      <c r="CW2164" s="1"/>
      <c r="CX2164" s="1"/>
      <c r="CY2164" s="1"/>
      <c r="CZ2164" s="1"/>
      <c r="DA2164" s="1"/>
      <c r="DB2164" s="1"/>
      <c r="DC2164" s="1"/>
      <c r="DD2164" s="1"/>
      <c r="DE2164" s="1"/>
      <c r="DF2164" s="1"/>
      <c r="DG2164" s="1"/>
      <c r="DH2164" s="1"/>
      <c r="DI2164" s="1"/>
      <c r="DJ2164" s="1"/>
      <c r="DK2164" s="1"/>
      <c r="DQ2164" s="1"/>
      <c r="DR2164" s="1"/>
      <c r="DY2164" s="1"/>
      <c r="DZ2164" s="1"/>
      <c r="ED2164" s="1"/>
      <c r="EK2164" s="1"/>
      <c r="EL2164" s="1"/>
      <c r="EM2164" s="1"/>
      <c r="EN2164" s="1"/>
      <c r="EQ2164" s="1"/>
      <c r="ER2164" s="1"/>
      <c r="ES2164" s="1"/>
      <c r="EV2164" s="1"/>
      <c r="EW2164" s="1"/>
      <c r="EZ2164" s="1"/>
      <c r="GO2164" s="1"/>
      <c r="IE2164" s="1"/>
      <c r="IR2164" s="1"/>
      <c r="IS2164" s="1"/>
      <c r="IY2164" s="1"/>
      <c r="IZ2164" s="1"/>
      <c r="JG2164" s="1"/>
      <c r="JJ2164" s="1"/>
      <c r="JN2164" s="1"/>
      <c r="JP2164" s="1"/>
      <c r="JQ2164" s="1"/>
      <c r="LZ2164" s="1"/>
      <c r="MA2164" s="1"/>
    </row>
    <row r="2165" spans="4:339" ht="13" x14ac:dyDescent="0.15">
      <c r="D2165" s="12"/>
      <c r="E2165" s="12"/>
      <c r="I2165" s="12"/>
      <c r="J2165" s="13"/>
      <c r="BG2165" s="1"/>
      <c r="BH2165" s="1"/>
      <c r="BI2165" s="1"/>
      <c r="BJ2165" s="1"/>
      <c r="BK2165" s="1"/>
      <c r="BL2165" s="1"/>
      <c r="BM2165" s="1"/>
      <c r="BN2165" s="1"/>
      <c r="BO2165" s="1"/>
      <c r="BP2165" s="1"/>
      <c r="CD2165" s="1"/>
      <c r="CG2165" s="1"/>
      <c r="CM2165" s="2"/>
      <c r="CP2165" s="1"/>
      <c r="CQ2165" s="1"/>
      <c r="CV2165" s="1"/>
      <c r="CW2165" s="1"/>
      <c r="CX2165" s="1"/>
      <c r="CY2165" s="1"/>
      <c r="CZ2165" s="1"/>
      <c r="DA2165" s="1"/>
      <c r="DB2165" s="1"/>
      <c r="DC2165" s="1"/>
      <c r="DD2165" s="1"/>
      <c r="DE2165" s="1"/>
      <c r="DF2165" s="1"/>
      <c r="DG2165" s="1"/>
      <c r="DH2165" s="1"/>
      <c r="DI2165" s="1"/>
      <c r="DJ2165" s="1"/>
      <c r="DK2165" s="1"/>
      <c r="DQ2165" s="1"/>
      <c r="DR2165" s="1"/>
      <c r="DY2165" s="1"/>
      <c r="DZ2165" s="1"/>
      <c r="ED2165" s="1"/>
      <c r="EK2165" s="1"/>
      <c r="EL2165" s="1"/>
      <c r="EM2165" s="1"/>
      <c r="EN2165" s="1"/>
      <c r="EQ2165" s="1"/>
      <c r="ER2165" s="1"/>
      <c r="ES2165" s="1"/>
      <c r="EV2165" s="1"/>
      <c r="EW2165" s="1"/>
      <c r="EZ2165" s="1"/>
      <c r="GO2165" s="1"/>
      <c r="IE2165" s="1"/>
      <c r="IR2165" s="1"/>
      <c r="IS2165" s="1"/>
      <c r="IY2165" s="1"/>
      <c r="IZ2165" s="1"/>
      <c r="JG2165" s="1"/>
      <c r="JJ2165" s="1"/>
      <c r="JN2165" s="1"/>
      <c r="JP2165" s="1"/>
      <c r="JQ2165" s="1"/>
      <c r="LZ2165" s="1"/>
      <c r="MA2165" s="1"/>
    </row>
    <row r="2166" spans="4:339" ht="13" x14ac:dyDescent="0.15">
      <c r="D2166" s="12"/>
      <c r="E2166" s="12"/>
      <c r="I2166" s="12"/>
      <c r="J2166" s="13"/>
      <c r="BG2166" s="1"/>
      <c r="BH2166" s="1"/>
      <c r="BI2166" s="1"/>
      <c r="BJ2166" s="1"/>
      <c r="BK2166" s="1"/>
      <c r="BL2166" s="1"/>
      <c r="BM2166" s="1"/>
      <c r="BN2166" s="1"/>
      <c r="BO2166" s="1"/>
      <c r="BP2166" s="1"/>
      <c r="CD2166" s="1"/>
      <c r="CG2166" s="1"/>
      <c r="CM2166" s="2"/>
      <c r="CP2166" s="1"/>
      <c r="CQ2166" s="1"/>
      <c r="CV2166" s="1"/>
      <c r="CW2166" s="1"/>
      <c r="CX2166" s="1"/>
      <c r="CY2166" s="1"/>
      <c r="CZ2166" s="1"/>
      <c r="DA2166" s="1"/>
      <c r="DB2166" s="1"/>
      <c r="DC2166" s="1"/>
      <c r="DD2166" s="1"/>
      <c r="DE2166" s="1"/>
      <c r="DF2166" s="1"/>
      <c r="DG2166" s="1"/>
      <c r="DH2166" s="1"/>
      <c r="DI2166" s="1"/>
      <c r="DJ2166" s="1"/>
      <c r="DK2166" s="1"/>
      <c r="DQ2166" s="1"/>
      <c r="DR2166" s="1"/>
      <c r="DY2166" s="1"/>
      <c r="DZ2166" s="1"/>
      <c r="ED2166" s="1"/>
      <c r="EK2166" s="1"/>
      <c r="EL2166" s="1"/>
      <c r="EM2166" s="1"/>
      <c r="EN2166" s="1"/>
      <c r="EQ2166" s="1"/>
      <c r="ER2166" s="1"/>
      <c r="ES2166" s="1"/>
      <c r="EV2166" s="1"/>
      <c r="EW2166" s="1"/>
      <c r="EZ2166" s="1"/>
      <c r="GO2166" s="1"/>
      <c r="IE2166" s="1"/>
      <c r="IR2166" s="1"/>
      <c r="IS2166" s="1"/>
      <c r="IY2166" s="1"/>
      <c r="IZ2166" s="1"/>
      <c r="JG2166" s="1"/>
      <c r="JJ2166" s="1"/>
      <c r="JN2166" s="1"/>
      <c r="JP2166" s="1"/>
      <c r="JQ2166" s="1"/>
      <c r="LZ2166" s="1"/>
      <c r="MA2166" s="1"/>
    </row>
    <row r="2167" spans="4:339" ht="13" x14ac:dyDescent="0.15">
      <c r="D2167" s="12"/>
      <c r="E2167" s="12"/>
      <c r="I2167" s="12"/>
      <c r="J2167" s="13"/>
      <c r="BG2167" s="1"/>
      <c r="BH2167" s="1"/>
      <c r="BI2167" s="1"/>
      <c r="BJ2167" s="1"/>
      <c r="BK2167" s="1"/>
      <c r="BL2167" s="1"/>
      <c r="BM2167" s="1"/>
      <c r="BN2167" s="1"/>
      <c r="BO2167" s="1"/>
      <c r="BP2167" s="1"/>
      <c r="CD2167" s="1"/>
      <c r="CG2167" s="1"/>
      <c r="CM2167" s="2"/>
      <c r="CP2167" s="1"/>
      <c r="CQ2167" s="1"/>
      <c r="CV2167" s="1"/>
      <c r="CW2167" s="1"/>
      <c r="CX2167" s="1"/>
      <c r="CY2167" s="1"/>
      <c r="CZ2167" s="1"/>
      <c r="DA2167" s="1"/>
      <c r="DB2167" s="1"/>
      <c r="DC2167" s="1"/>
      <c r="DD2167" s="1"/>
      <c r="DE2167" s="1"/>
      <c r="DF2167" s="1"/>
      <c r="DG2167" s="1"/>
      <c r="DH2167" s="1"/>
      <c r="DI2167" s="1"/>
      <c r="DJ2167" s="1"/>
      <c r="DK2167" s="1"/>
      <c r="DQ2167" s="1"/>
      <c r="DR2167" s="1"/>
      <c r="DY2167" s="1"/>
      <c r="DZ2167" s="1"/>
      <c r="ED2167" s="1"/>
      <c r="EK2167" s="1"/>
      <c r="EL2167" s="1"/>
      <c r="EM2167" s="1"/>
      <c r="EN2167" s="1"/>
      <c r="EQ2167" s="1"/>
      <c r="ER2167" s="1"/>
      <c r="ES2167" s="1"/>
      <c r="EV2167" s="1"/>
      <c r="EW2167" s="1"/>
      <c r="EZ2167" s="1"/>
      <c r="GO2167" s="1"/>
      <c r="IE2167" s="1"/>
      <c r="IR2167" s="1"/>
      <c r="IS2167" s="1"/>
      <c r="IY2167" s="1"/>
      <c r="IZ2167" s="1"/>
      <c r="JG2167" s="1"/>
      <c r="JJ2167" s="1"/>
      <c r="JN2167" s="1"/>
      <c r="JP2167" s="1"/>
      <c r="JQ2167" s="1"/>
      <c r="LZ2167" s="1"/>
      <c r="MA2167" s="1"/>
    </row>
    <row r="2168" spans="4:339" ht="13" x14ac:dyDescent="0.15">
      <c r="D2168" s="12"/>
      <c r="E2168" s="12"/>
      <c r="I2168" s="12"/>
      <c r="J2168" s="13"/>
      <c r="BG2168" s="1"/>
      <c r="BH2168" s="1"/>
      <c r="BI2168" s="1"/>
      <c r="BJ2168" s="1"/>
      <c r="BK2168" s="1"/>
      <c r="BL2168" s="1"/>
      <c r="BM2168" s="1"/>
      <c r="BN2168" s="1"/>
      <c r="BO2168" s="1"/>
      <c r="BP2168" s="1"/>
      <c r="CD2168" s="1"/>
      <c r="CG2168" s="1"/>
      <c r="CM2168" s="2"/>
      <c r="CP2168" s="1"/>
      <c r="CQ2168" s="1"/>
      <c r="CV2168" s="1"/>
      <c r="CW2168" s="1"/>
      <c r="CX2168" s="1"/>
      <c r="CY2168" s="1"/>
      <c r="CZ2168" s="1"/>
      <c r="DA2168" s="1"/>
      <c r="DB2168" s="1"/>
      <c r="DC2168" s="1"/>
      <c r="DD2168" s="1"/>
      <c r="DE2168" s="1"/>
      <c r="DF2168" s="1"/>
      <c r="DG2168" s="1"/>
      <c r="DH2168" s="1"/>
      <c r="DI2168" s="1"/>
      <c r="DJ2168" s="1"/>
      <c r="DK2168" s="1"/>
      <c r="DQ2168" s="1"/>
      <c r="DR2168" s="1"/>
      <c r="DY2168" s="1"/>
      <c r="DZ2168" s="1"/>
      <c r="ED2168" s="1"/>
      <c r="EK2168" s="1"/>
      <c r="EL2168" s="1"/>
      <c r="EM2168" s="1"/>
      <c r="EN2168" s="1"/>
      <c r="EQ2168" s="1"/>
      <c r="ER2168" s="1"/>
      <c r="ES2168" s="1"/>
      <c r="EV2168" s="1"/>
      <c r="EW2168" s="1"/>
      <c r="EZ2168" s="1"/>
      <c r="GO2168" s="1"/>
      <c r="IE2168" s="1"/>
      <c r="IR2168" s="1"/>
      <c r="IS2168" s="1"/>
      <c r="IY2168" s="1"/>
      <c r="IZ2168" s="1"/>
      <c r="JG2168" s="1"/>
      <c r="JJ2168" s="1"/>
      <c r="JN2168" s="1"/>
      <c r="JP2168" s="1"/>
      <c r="JQ2168" s="1"/>
      <c r="LZ2168" s="1"/>
      <c r="MA2168" s="1"/>
    </row>
    <row r="2169" spans="4:339" ht="13" x14ac:dyDescent="0.15">
      <c r="D2169" s="12"/>
      <c r="E2169" s="12"/>
      <c r="I2169" s="12"/>
      <c r="J2169" s="13"/>
      <c r="BG2169" s="1"/>
      <c r="BH2169" s="1"/>
      <c r="BI2169" s="1"/>
      <c r="BJ2169" s="1"/>
      <c r="BK2169" s="1"/>
      <c r="BL2169" s="1"/>
      <c r="BM2169" s="1"/>
      <c r="BN2169" s="1"/>
      <c r="BO2169" s="1"/>
      <c r="BP2169" s="1"/>
      <c r="CD2169" s="1"/>
      <c r="CG2169" s="1"/>
      <c r="CM2169" s="2"/>
      <c r="CP2169" s="1"/>
      <c r="CQ2169" s="1"/>
      <c r="CV2169" s="1"/>
      <c r="CW2169" s="1"/>
      <c r="CX2169" s="1"/>
      <c r="CY2169" s="1"/>
      <c r="CZ2169" s="1"/>
      <c r="DA2169" s="1"/>
      <c r="DB2169" s="1"/>
      <c r="DC2169" s="1"/>
      <c r="DD2169" s="1"/>
      <c r="DE2169" s="1"/>
      <c r="DF2169" s="1"/>
      <c r="DG2169" s="1"/>
      <c r="DH2169" s="1"/>
      <c r="DI2169" s="1"/>
      <c r="DJ2169" s="1"/>
      <c r="DK2169" s="1"/>
      <c r="DQ2169" s="1"/>
      <c r="DR2169" s="1"/>
      <c r="DY2169" s="1"/>
      <c r="DZ2169" s="1"/>
      <c r="ED2169" s="1"/>
      <c r="EK2169" s="1"/>
      <c r="EL2169" s="1"/>
      <c r="EM2169" s="1"/>
      <c r="EN2169" s="1"/>
      <c r="EQ2169" s="1"/>
      <c r="ER2169" s="1"/>
      <c r="ES2169" s="1"/>
      <c r="EV2169" s="1"/>
      <c r="EW2169" s="1"/>
      <c r="EZ2169" s="1"/>
      <c r="GO2169" s="1"/>
      <c r="IE2169" s="1"/>
      <c r="IR2169" s="1"/>
      <c r="IS2169" s="1"/>
      <c r="IY2169" s="1"/>
      <c r="IZ2169" s="1"/>
      <c r="JG2169" s="1"/>
      <c r="JJ2169" s="1"/>
      <c r="JN2169" s="1"/>
      <c r="JP2169" s="1"/>
      <c r="JQ2169" s="1"/>
      <c r="LZ2169" s="1"/>
      <c r="MA2169" s="1"/>
    </row>
    <row r="2170" spans="4:339" ht="13" x14ac:dyDescent="0.15">
      <c r="D2170" s="12"/>
      <c r="E2170" s="12"/>
      <c r="I2170" s="12"/>
      <c r="J2170" s="13"/>
      <c r="BG2170" s="1"/>
      <c r="BH2170" s="1"/>
      <c r="BI2170" s="1"/>
      <c r="BJ2170" s="1"/>
      <c r="BK2170" s="1"/>
      <c r="BL2170" s="1"/>
      <c r="BM2170" s="1"/>
      <c r="BN2170" s="1"/>
      <c r="BO2170" s="1"/>
      <c r="BP2170" s="1"/>
      <c r="CD2170" s="1"/>
      <c r="CG2170" s="1"/>
      <c r="CM2170" s="2"/>
      <c r="CP2170" s="1"/>
      <c r="CQ2170" s="1"/>
      <c r="CV2170" s="1"/>
      <c r="CW2170" s="1"/>
      <c r="CX2170" s="1"/>
      <c r="CY2170" s="1"/>
      <c r="CZ2170" s="1"/>
      <c r="DA2170" s="1"/>
      <c r="DB2170" s="1"/>
      <c r="DC2170" s="1"/>
      <c r="DD2170" s="1"/>
      <c r="DE2170" s="1"/>
      <c r="DF2170" s="1"/>
      <c r="DG2170" s="1"/>
      <c r="DH2170" s="1"/>
      <c r="DI2170" s="1"/>
      <c r="DJ2170" s="1"/>
      <c r="DK2170" s="1"/>
      <c r="DQ2170" s="1"/>
      <c r="DR2170" s="1"/>
      <c r="DY2170" s="1"/>
      <c r="DZ2170" s="1"/>
      <c r="ED2170" s="1"/>
      <c r="EK2170" s="1"/>
      <c r="EL2170" s="1"/>
      <c r="EM2170" s="1"/>
      <c r="EN2170" s="1"/>
      <c r="EQ2170" s="1"/>
      <c r="ER2170" s="1"/>
      <c r="ES2170" s="1"/>
      <c r="EV2170" s="1"/>
      <c r="EW2170" s="1"/>
      <c r="EZ2170" s="1"/>
      <c r="GO2170" s="1"/>
      <c r="IE2170" s="1"/>
      <c r="IR2170" s="1"/>
      <c r="IS2170" s="1"/>
      <c r="IY2170" s="1"/>
      <c r="IZ2170" s="1"/>
      <c r="JG2170" s="1"/>
      <c r="JJ2170" s="1"/>
      <c r="JN2170" s="1"/>
      <c r="JP2170" s="1"/>
      <c r="JQ2170" s="1"/>
      <c r="LZ2170" s="1"/>
      <c r="MA2170" s="1"/>
    </row>
    <row r="2171" spans="4:339" ht="13" x14ac:dyDescent="0.15">
      <c r="D2171" s="12"/>
      <c r="E2171" s="12"/>
      <c r="I2171" s="12"/>
      <c r="J2171" s="13"/>
      <c r="BG2171" s="1"/>
      <c r="BH2171" s="1"/>
      <c r="BI2171" s="1"/>
      <c r="BJ2171" s="1"/>
      <c r="BK2171" s="1"/>
      <c r="BL2171" s="1"/>
      <c r="BM2171" s="1"/>
      <c r="BN2171" s="1"/>
      <c r="BO2171" s="1"/>
      <c r="BP2171" s="1"/>
      <c r="CD2171" s="1"/>
      <c r="CG2171" s="1"/>
      <c r="CM2171" s="2"/>
      <c r="CP2171" s="1"/>
      <c r="CQ2171" s="1"/>
      <c r="CV2171" s="1"/>
      <c r="CW2171" s="1"/>
      <c r="CX2171" s="1"/>
      <c r="CY2171" s="1"/>
      <c r="CZ2171" s="1"/>
      <c r="DA2171" s="1"/>
      <c r="DB2171" s="1"/>
      <c r="DC2171" s="1"/>
      <c r="DD2171" s="1"/>
      <c r="DE2171" s="1"/>
      <c r="DF2171" s="1"/>
      <c r="DG2171" s="1"/>
      <c r="DH2171" s="1"/>
      <c r="DI2171" s="1"/>
      <c r="DJ2171" s="1"/>
      <c r="DK2171" s="1"/>
      <c r="DQ2171" s="1"/>
      <c r="DR2171" s="1"/>
      <c r="DY2171" s="1"/>
      <c r="DZ2171" s="1"/>
      <c r="ED2171" s="1"/>
      <c r="EK2171" s="1"/>
      <c r="EL2171" s="1"/>
      <c r="EM2171" s="1"/>
      <c r="EN2171" s="1"/>
      <c r="EQ2171" s="1"/>
      <c r="ER2171" s="1"/>
      <c r="ES2171" s="1"/>
      <c r="EV2171" s="1"/>
      <c r="EW2171" s="1"/>
      <c r="EZ2171" s="1"/>
      <c r="GO2171" s="1"/>
      <c r="IE2171" s="1"/>
      <c r="IR2171" s="1"/>
      <c r="IS2171" s="1"/>
      <c r="IY2171" s="1"/>
      <c r="IZ2171" s="1"/>
      <c r="JG2171" s="1"/>
      <c r="JJ2171" s="1"/>
      <c r="JN2171" s="1"/>
      <c r="JP2171" s="1"/>
      <c r="JQ2171" s="1"/>
      <c r="LZ2171" s="1"/>
      <c r="MA2171" s="1"/>
    </row>
    <row r="2172" spans="4:339" ht="13" x14ac:dyDescent="0.15">
      <c r="D2172" s="12"/>
      <c r="E2172" s="12"/>
      <c r="I2172" s="12"/>
      <c r="J2172" s="13"/>
      <c r="BG2172" s="1"/>
      <c r="BH2172" s="1"/>
      <c r="BI2172" s="1"/>
      <c r="BJ2172" s="1"/>
      <c r="BK2172" s="1"/>
      <c r="BL2172" s="1"/>
      <c r="BM2172" s="1"/>
      <c r="BN2172" s="1"/>
      <c r="BO2172" s="1"/>
      <c r="BP2172" s="1"/>
      <c r="CD2172" s="1"/>
      <c r="CG2172" s="1"/>
      <c r="CM2172" s="2"/>
      <c r="CP2172" s="1"/>
      <c r="CQ2172" s="1"/>
      <c r="CV2172" s="1"/>
      <c r="CW2172" s="1"/>
      <c r="CX2172" s="1"/>
      <c r="CY2172" s="1"/>
      <c r="CZ2172" s="1"/>
      <c r="DA2172" s="1"/>
      <c r="DB2172" s="1"/>
      <c r="DC2172" s="1"/>
      <c r="DD2172" s="1"/>
      <c r="DE2172" s="1"/>
      <c r="DF2172" s="1"/>
      <c r="DG2172" s="1"/>
      <c r="DH2172" s="1"/>
      <c r="DI2172" s="1"/>
      <c r="DJ2172" s="1"/>
      <c r="DK2172" s="1"/>
      <c r="DQ2172" s="1"/>
      <c r="DR2172" s="1"/>
      <c r="DY2172" s="1"/>
      <c r="DZ2172" s="1"/>
      <c r="ED2172" s="1"/>
      <c r="EK2172" s="1"/>
      <c r="EL2172" s="1"/>
      <c r="EM2172" s="1"/>
      <c r="EN2172" s="1"/>
      <c r="EQ2172" s="1"/>
      <c r="ER2172" s="1"/>
      <c r="ES2172" s="1"/>
      <c r="EV2172" s="1"/>
      <c r="EW2172" s="1"/>
      <c r="EZ2172" s="1"/>
      <c r="GO2172" s="1"/>
      <c r="IE2172" s="1"/>
      <c r="IR2172" s="1"/>
      <c r="IS2172" s="1"/>
      <c r="IY2172" s="1"/>
      <c r="IZ2172" s="1"/>
      <c r="JG2172" s="1"/>
      <c r="JJ2172" s="1"/>
      <c r="JN2172" s="1"/>
      <c r="JP2172" s="1"/>
      <c r="JQ2172" s="1"/>
      <c r="LZ2172" s="1"/>
      <c r="MA2172" s="1"/>
    </row>
    <row r="2173" spans="4:339" ht="13" x14ac:dyDescent="0.15">
      <c r="D2173" s="12"/>
      <c r="E2173" s="12"/>
      <c r="I2173" s="12"/>
      <c r="J2173" s="13"/>
      <c r="BG2173" s="1"/>
      <c r="BH2173" s="1"/>
      <c r="BI2173" s="1"/>
      <c r="BJ2173" s="1"/>
      <c r="BK2173" s="1"/>
      <c r="BL2173" s="1"/>
      <c r="BM2173" s="1"/>
      <c r="BN2173" s="1"/>
      <c r="BO2173" s="1"/>
      <c r="BP2173" s="1"/>
      <c r="CD2173" s="1"/>
      <c r="CG2173" s="1"/>
      <c r="CM2173" s="2"/>
      <c r="CP2173" s="1"/>
      <c r="CQ2173" s="1"/>
      <c r="CV2173" s="1"/>
      <c r="CW2173" s="1"/>
      <c r="CX2173" s="1"/>
      <c r="CY2173" s="1"/>
      <c r="CZ2173" s="1"/>
      <c r="DA2173" s="1"/>
      <c r="DB2173" s="1"/>
      <c r="DC2173" s="1"/>
      <c r="DD2173" s="1"/>
      <c r="DE2173" s="1"/>
      <c r="DF2173" s="1"/>
      <c r="DG2173" s="1"/>
      <c r="DH2173" s="1"/>
      <c r="DI2173" s="1"/>
      <c r="DJ2173" s="1"/>
      <c r="DK2173" s="1"/>
      <c r="DQ2173" s="1"/>
      <c r="DR2173" s="1"/>
      <c r="DY2173" s="1"/>
      <c r="DZ2173" s="1"/>
      <c r="ED2173" s="1"/>
      <c r="EK2173" s="1"/>
      <c r="EL2173" s="1"/>
      <c r="EM2173" s="1"/>
      <c r="EN2173" s="1"/>
      <c r="EQ2173" s="1"/>
      <c r="ER2173" s="1"/>
      <c r="ES2173" s="1"/>
      <c r="EV2173" s="1"/>
      <c r="EW2173" s="1"/>
      <c r="EZ2173" s="1"/>
      <c r="GO2173" s="1"/>
      <c r="IE2173" s="1"/>
      <c r="IR2173" s="1"/>
      <c r="IS2173" s="1"/>
      <c r="IY2173" s="1"/>
      <c r="IZ2173" s="1"/>
      <c r="JG2173" s="1"/>
      <c r="JJ2173" s="1"/>
      <c r="JN2173" s="1"/>
      <c r="JP2173" s="1"/>
      <c r="JQ2173" s="1"/>
      <c r="LZ2173" s="1"/>
      <c r="MA2173" s="1"/>
    </row>
    <row r="2174" spans="4:339" ht="13" x14ac:dyDescent="0.15">
      <c r="D2174" s="12"/>
      <c r="E2174" s="12"/>
      <c r="I2174" s="12"/>
      <c r="J2174" s="13"/>
      <c r="BG2174" s="1"/>
      <c r="BH2174" s="1"/>
      <c r="BI2174" s="1"/>
      <c r="BJ2174" s="1"/>
      <c r="BK2174" s="1"/>
      <c r="BL2174" s="1"/>
      <c r="BM2174" s="1"/>
      <c r="BN2174" s="1"/>
      <c r="BO2174" s="1"/>
      <c r="BP2174" s="1"/>
      <c r="CD2174" s="1"/>
      <c r="CG2174" s="1"/>
      <c r="CM2174" s="2"/>
      <c r="CP2174" s="1"/>
      <c r="CQ2174" s="1"/>
      <c r="CV2174" s="1"/>
      <c r="CW2174" s="1"/>
      <c r="CX2174" s="1"/>
      <c r="CY2174" s="1"/>
      <c r="CZ2174" s="1"/>
      <c r="DA2174" s="1"/>
      <c r="DB2174" s="1"/>
      <c r="DC2174" s="1"/>
      <c r="DD2174" s="1"/>
      <c r="DE2174" s="1"/>
      <c r="DF2174" s="1"/>
      <c r="DG2174" s="1"/>
      <c r="DH2174" s="1"/>
      <c r="DI2174" s="1"/>
      <c r="DJ2174" s="1"/>
      <c r="DK2174" s="1"/>
      <c r="DQ2174" s="1"/>
      <c r="DR2174" s="1"/>
      <c r="DY2174" s="1"/>
      <c r="DZ2174" s="1"/>
      <c r="ED2174" s="1"/>
      <c r="EK2174" s="1"/>
      <c r="EL2174" s="1"/>
      <c r="EM2174" s="1"/>
      <c r="EN2174" s="1"/>
      <c r="EQ2174" s="1"/>
      <c r="ER2174" s="1"/>
      <c r="ES2174" s="1"/>
      <c r="EV2174" s="1"/>
      <c r="EW2174" s="1"/>
      <c r="EZ2174" s="1"/>
      <c r="GO2174" s="1"/>
      <c r="IE2174" s="1"/>
      <c r="IR2174" s="1"/>
      <c r="IS2174" s="1"/>
      <c r="IY2174" s="1"/>
      <c r="IZ2174" s="1"/>
      <c r="JG2174" s="1"/>
      <c r="JJ2174" s="1"/>
      <c r="JN2174" s="1"/>
      <c r="JP2174" s="1"/>
      <c r="JQ2174" s="1"/>
      <c r="LZ2174" s="1"/>
      <c r="MA2174" s="1"/>
    </row>
    <row r="2175" spans="4:339" ht="13" x14ac:dyDescent="0.15">
      <c r="D2175" s="12"/>
      <c r="E2175" s="12"/>
      <c r="I2175" s="12"/>
      <c r="J2175" s="13"/>
      <c r="BG2175" s="1"/>
      <c r="BH2175" s="1"/>
      <c r="BI2175" s="1"/>
      <c r="BJ2175" s="1"/>
      <c r="BK2175" s="1"/>
      <c r="BL2175" s="1"/>
      <c r="BM2175" s="1"/>
      <c r="BN2175" s="1"/>
      <c r="BO2175" s="1"/>
      <c r="BP2175" s="1"/>
      <c r="CD2175" s="1"/>
      <c r="CG2175" s="1"/>
      <c r="CM2175" s="2"/>
      <c r="CP2175" s="1"/>
      <c r="CQ2175" s="1"/>
      <c r="CV2175" s="1"/>
      <c r="CW2175" s="1"/>
      <c r="CX2175" s="1"/>
      <c r="CY2175" s="1"/>
      <c r="CZ2175" s="1"/>
      <c r="DA2175" s="1"/>
      <c r="DB2175" s="1"/>
      <c r="DC2175" s="1"/>
      <c r="DD2175" s="1"/>
      <c r="DE2175" s="1"/>
      <c r="DF2175" s="1"/>
      <c r="DG2175" s="1"/>
      <c r="DH2175" s="1"/>
      <c r="DI2175" s="1"/>
      <c r="DJ2175" s="1"/>
      <c r="DK2175" s="1"/>
      <c r="DQ2175" s="1"/>
      <c r="DR2175" s="1"/>
      <c r="DY2175" s="1"/>
      <c r="DZ2175" s="1"/>
      <c r="ED2175" s="1"/>
      <c r="EK2175" s="1"/>
      <c r="EL2175" s="1"/>
      <c r="EM2175" s="1"/>
      <c r="EN2175" s="1"/>
      <c r="EQ2175" s="1"/>
      <c r="ER2175" s="1"/>
      <c r="ES2175" s="1"/>
      <c r="EV2175" s="1"/>
      <c r="EW2175" s="1"/>
      <c r="EZ2175" s="1"/>
      <c r="GO2175" s="1"/>
      <c r="IE2175" s="1"/>
      <c r="IR2175" s="1"/>
      <c r="IS2175" s="1"/>
      <c r="IY2175" s="1"/>
      <c r="IZ2175" s="1"/>
      <c r="JG2175" s="1"/>
      <c r="JJ2175" s="1"/>
      <c r="JN2175" s="1"/>
      <c r="JP2175" s="1"/>
      <c r="JQ2175" s="1"/>
      <c r="LZ2175" s="1"/>
      <c r="MA2175" s="1"/>
    </row>
    <row r="2176" spans="4:339" ht="13" x14ac:dyDescent="0.15">
      <c r="D2176" s="12"/>
      <c r="E2176" s="12"/>
      <c r="I2176" s="12"/>
      <c r="J2176" s="13"/>
      <c r="BG2176" s="1"/>
      <c r="BH2176" s="1"/>
      <c r="BI2176" s="1"/>
      <c r="BJ2176" s="1"/>
      <c r="BK2176" s="1"/>
      <c r="BL2176" s="1"/>
      <c r="BM2176" s="1"/>
      <c r="BN2176" s="1"/>
      <c r="BO2176" s="1"/>
      <c r="BP2176" s="1"/>
      <c r="CD2176" s="1"/>
      <c r="CG2176" s="1"/>
      <c r="CM2176" s="2"/>
      <c r="CP2176" s="1"/>
      <c r="CQ2176" s="1"/>
      <c r="CV2176" s="1"/>
      <c r="CW2176" s="1"/>
      <c r="CX2176" s="1"/>
      <c r="CY2176" s="1"/>
      <c r="CZ2176" s="1"/>
      <c r="DA2176" s="1"/>
      <c r="DB2176" s="1"/>
      <c r="DC2176" s="1"/>
      <c r="DD2176" s="1"/>
      <c r="DE2176" s="1"/>
      <c r="DF2176" s="1"/>
      <c r="DG2176" s="1"/>
      <c r="DH2176" s="1"/>
      <c r="DI2176" s="1"/>
      <c r="DJ2176" s="1"/>
      <c r="DK2176" s="1"/>
      <c r="DQ2176" s="1"/>
      <c r="DR2176" s="1"/>
      <c r="DY2176" s="1"/>
      <c r="DZ2176" s="1"/>
      <c r="ED2176" s="1"/>
      <c r="EK2176" s="1"/>
      <c r="EL2176" s="1"/>
      <c r="EM2176" s="1"/>
      <c r="EN2176" s="1"/>
      <c r="EQ2176" s="1"/>
      <c r="ER2176" s="1"/>
      <c r="ES2176" s="1"/>
      <c r="EV2176" s="1"/>
      <c r="EW2176" s="1"/>
      <c r="EZ2176" s="1"/>
      <c r="GO2176" s="1"/>
      <c r="IE2176" s="1"/>
      <c r="IR2176" s="1"/>
      <c r="IS2176" s="1"/>
      <c r="IY2176" s="1"/>
      <c r="IZ2176" s="1"/>
      <c r="JG2176" s="1"/>
      <c r="JJ2176" s="1"/>
      <c r="JN2176" s="1"/>
      <c r="JP2176" s="1"/>
      <c r="JQ2176" s="1"/>
      <c r="LZ2176" s="1"/>
      <c r="MA2176" s="1"/>
    </row>
    <row r="2177" spans="4:339" ht="13" x14ac:dyDescent="0.15">
      <c r="D2177" s="12"/>
      <c r="E2177" s="12"/>
      <c r="I2177" s="12"/>
      <c r="J2177" s="13"/>
      <c r="BG2177" s="1"/>
      <c r="BH2177" s="1"/>
      <c r="BI2177" s="1"/>
      <c r="BJ2177" s="1"/>
      <c r="BK2177" s="1"/>
      <c r="BL2177" s="1"/>
      <c r="BM2177" s="1"/>
      <c r="BN2177" s="1"/>
      <c r="BO2177" s="1"/>
      <c r="BP2177" s="1"/>
      <c r="CD2177" s="1"/>
      <c r="CG2177" s="1"/>
      <c r="CM2177" s="2"/>
      <c r="CP2177" s="1"/>
      <c r="CQ2177" s="1"/>
      <c r="CV2177" s="1"/>
      <c r="CW2177" s="1"/>
      <c r="CX2177" s="1"/>
      <c r="CY2177" s="1"/>
      <c r="CZ2177" s="1"/>
      <c r="DA2177" s="1"/>
      <c r="DB2177" s="1"/>
      <c r="DC2177" s="1"/>
      <c r="DD2177" s="1"/>
      <c r="DE2177" s="1"/>
      <c r="DF2177" s="1"/>
      <c r="DG2177" s="1"/>
      <c r="DH2177" s="1"/>
      <c r="DI2177" s="1"/>
      <c r="DJ2177" s="1"/>
      <c r="DK2177" s="1"/>
      <c r="DQ2177" s="1"/>
      <c r="DR2177" s="1"/>
      <c r="DY2177" s="1"/>
      <c r="DZ2177" s="1"/>
      <c r="ED2177" s="1"/>
      <c r="EK2177" s="1"/>
      <c r="EL2177" s="1"/>
      <c r="EM2177" s="1"/>
      <c r="EN2177" s="1"/>
      <c r="EQ2177" s="1"/>
      <c r="ER2177" s="1"/>
      <c r="ES2177" s="1"/>
      <c r="EV2177" s="1"/>
      <c r="EW2177" s="1"/>
      <c r="EZ2177" s="1"/>
      <c r="GO2177" s="1"/>
      <c r="IE2177" s="1"/>
      <c r="IR2177" s="1"/>
      <c r="IS2177" s="1"/>
      <c r="IY2177" s="1"/>
      <c r="IZ2177" s="1"/>
      <c r="JG2177" s="1"/>
      <c r="JJ2177" s="1"/>
      <c r="JN2177" s="1"/>
      <c r="JP2177" s="1"/>
      <c r="JQ2177" s="1"/>
      <c r="LZ2177" s="1"/>
      <c r="MA2177" s="1"/>
    </row>
    <row r="2178" spans="4:339" ht="13" x14ac:dyDescent="0.15">
      <c r="D2178" s="12"/>
      <c r="E2178" s="12"/>
      <c r="I2178" s="12"/>
      <c r="J2178" s="13"/>
      <c r="BG2178" s="1"/>
      <c r="BH2178" s="1"/>
      <c r="BI2178" s="1"/>
      <c r="BJ2178" s="1"/>
      <c r="BK2178" s="1"/>
      <c r="BL2178" s="1"/>
      <c r="BM2178" s="1"/>
      <c r="BN2178" s="1"/>
      <c r="BO2178" s="1"/>
      <c r="BP2178" s="1"/>
      <c r="CD2178" s="1"/>
      <c r="CG2178" s="1"/>
      <c r="CM2178" s="2"/>
      <c r="CP2178" s="1"/>
      <c r="CQ2178" s="1"/>
      <c r="CV2178" s="1"/>
      <c r="CW2178" s="1"/>
      <c r="CX2178" s="1"/>
      <c r="CY2178" s="1"/>
      <c r="CZ2178" s="1"/>
      <c r="DA2178" s="1"/>
      <c r="DB2178" s="1"/>
      <c r="DC2178" s="1"/>
      <c r="DD2178" s="1"/>
      <c r="DE2178" s="1"/>
      <c r="DF2178" s="1"/>
      <c r="DG2178" s="1"/>
      <c r="DH2178" s="1"/>
      <c r="DI2178" s="1"/>
      <c r="DJ2178" s="1"/>
      <c r="DK2178" s="1"/>
      <c r="DQ2178" s="1"/>
      <c r="DR2178" s="1"/>
      <c r="DY2178" s="1"/>
      <c r="DZ2178" s="1"/>
      <c r="ED2178" s="1"/>
      <c r="EK2178" s="1"/>
      <c r="EL2178" s="1"/>
      <c r="EM2178" s="1"/>
      <c r="EN2178" s="1"/>
      <c r="EQ2178" s="1"/>
      <c r="ER2178" s="1"/>
      <c r="ES2178" s="1"/>
      <c r="EV2178" s="1"/>
      <c r="EW2178" s="1"/>
      <c r="EZ2178" s="1"/>
      <c r="GO2178" s="1"/>
      <c r="IE2178" s="1"/>
      <c r="IR2178" s="1"/>
      <c r="IS2178" s="1"/>
      <c r="IY2178" s="1"/>
      <c r="IZ2178" s="1"/>
      <c r="JG2178" s="1"/>
      <c r="JJ2178" s="1"/>
      <c r="JN2178" s="1"/>
      <c r="JP2178" s="1"/>
      <c r="JQ2178" s="1"/>
      <c r="LZ2178" s="1"/>
      <c r="MA2178" s="1"/>
    </row>
    <row r="2179" spans="4:339" ht="13" x14ac:dyDescent="0.15">
      <c r="D2179" s="12"/>
      <c r="E2179" s="12"/>
      <c r="I2179" s="12"/>
      <c r="J2179" s="13"/>
      <c r="BG2179" s="1"/>
      <c r="BH2179" s="1"/>
      <c r="BI2179" s="1"/>
      <c r="BJ2179" s="1"/>
      <c r="BK2179" s="1"/>
      <c r="BL2179" s="1"/>
      <c r="BM2179" s="1"/>
      <c r="BN2179" s="1"/>
      <c r="BO2179" s="1"/>
      <c r="BP2179" s="1"/>
      <c r="CD2179" s="1"/>
      <c r="CG2179" s="1"/>
      <c r="CM2179" s="2"/>
      <c r="CP2179" s="1"/>
      <c r="CQ2179" s="1"/>
      <c r="CV2179" s="1"/>
      <c r="CW2179" s="1"/>
      <c r="CX2179" s="1"/>
      <c r="CY2179" s="1"/>
      <c r="CZ2179" s="1"/>
      <c r="DA2179" s="1"/>
      <c r="DB2179" s="1"/>
      <c r="DC2179" s="1"/>
      <c r="DD2179" s="1"/>
      <c r="DE2179" s="1"/>
      <c r="DF2179" s="1"/>
      <c r="DG2179" s="1"/>
      <c r="DH2179" s="1"/>
      <c r="DI2179" s="1"/>
      <c r="DJ2179" s="1"/>
      <c r="DK2179" s="1"/>
      <c r="DQ2179" s="1"/>
      <c r="DR2179" s="1"/>
      <c r="DY2179" s="1"/>
      <c r="DZ2179" s="1"/>
      <c r="ED2179" s="1"/>
      <c r="EK2179" s="1"/>
      <c r="EL2179" s="1"/>
      <c r="EM2179" s="1"/>
      <c r="EN2179" s="1"/>
      <c r="EQ2179" s="1"/>
      <c r="ER2179" s="1"/>
      <c r="ES2179" s="1"/>
      <c r="EV2179" s="1"/>
      <c r="EW2179" s="1"/>
      <c r="EZ2179" s="1"/>
      <c r="GO2179" s="1"/>
      <c r="IE2179" s="1"/>
      <c r="IR2179" s="1"/>
      <c r="IS2179" s="1"/>
      <c r="IY2179" s="1"/>
      <c r="IZ2179" s="1"/>
      <c r="JG2179" s="1"/>
      <c r="JJ2179" s="1"/>
      <c r="JN2179" s="1"/>
      <c r="JP2179" s="1"/>
      <c r="JQ2179" s="1"/>
      <c r="LZ2179" s="1"/>
      <c r="MA2179" s="1"/>
    </row>
    <row r="2180" spans="4:339" ht="13" x14ac:dyDescent="0.15">
      <c r="D2180" s="12"/>
      <c r="E2180" s="12"/>
      <c r="I2180" s="12"/>
      <c r="J2180" s="13"/>
      <c r="BG2180" s="1"/>
      <c r="BH2180" s="1"/>
      <c r="BI2180" s="1"/>
      <c r="BJ2180" s="1"/>
      <c r="BK2180" s="1"/>
      <c r="BL2180" s="1"/>
      <c r="BM2180" s="1"/>
      <c r="BN2180" s="1"/>
      <c r="BO2180" s="1"/>
      <c r="BP2180" s="1"/>
      <c r="CD2180" s="1"/>
      <c r="CG2180" s="1"/>
      <c r="CM2180" s="2"/>
      <c r="CP2180" s="1"/>
      <c r="CQ2180" s="1"/>
      <c r="CV2180" s="1"/>
      <c r="CW2180" s="1"/>
      <c r="CX2180" s="1"/>
      <c r="CY2180" s="1"/>
      <c r="CZ2180" s="1"/>
      <c r="DA2180" s="1"/>
      <c r="DB2180" s="1"/>
      <c r="DC2180" s="1"/>
      <c r="DD2180" s="1"/>
      <c r="DE2180" s="1"/>
      <c r="DF2180" s="1"/>
      <c r="DG2180" s="1"/>
      <c r="DH2180" s="1"/>
      <c r="DI2180" s="1"/>
      <c r="DJ2180" s="1"/>
      <c r="DK2180" s="1"/>
      <c r="DQ2180" s="1"/>
      <c r="DR2180" s="1"/>
      <c r="DY2180" s="1"/>
      <c r="DZ2180" s="1"/>
      <c r="ED2180" s="1"/>
      <c r="EK2180" s="1"/>
      <c r="EL2180" s="1"/>
      <c r="EM2180" s="1"/>
      <c r="EN2180" s="1"/>
      <c r="EQ2180" s="1"/>
      <c r="ER2180" s="1"/>
      <c r="ES2180" s="1"/>
      <c r="EV2180" s="1"/>
      <c r="EW2180" s="1"/>
      <c r="EZ2180" s="1"/>
      <c r="GO2180" s="1"/>
      <c r="IE2180" s="1"/>
      <c r="IR2180" s="1"/>
      <c r="IS2180" s="1"/>
      <c r="IY2180" s="1"/>
      <c r="IZ2180" s="1"/>
      <c r="JG2180" s="1"/>
      <c r="JJ2180" s="1"/>
      <c r="JN2180" s="1"/>
      <c r="JP2180" s="1"/>
      <c r="JQ2180" s="1"/>
      <c r="LZ2180" s="1"/>
      <c r="MA2180" s="1"/>
    </row>
    <row r="2181" spans="4:339" ht="13" x14ac:dyDescent="0.15">
      <c r="D2181" s="12"/>
      <c r="E2181" s="12"/>
      <c r="I2181" s="12"/>
      <c r="J2181" s="13"/>
      <c r="BG2181" s="1"/>
      <c r="BH2181" s="1"/>
      <c r="BN2181" s="1"/>
      <c r="CD2181" s="1"/>
      <c r="CM2181" s="2"/>
      <c r="ED2181" s="1"/>
      <c r="EL2181" s="1"/>
      <c r="EM2181" s="1"/>
      <c r="EN2181" s="1"/>
      <c r="EQ2181" s="1"/>
      <c r="ER2181" s="1"/>
      <c r="ES2181" s="1"/>
      <c r="EV2181" s="1"/>
      <c r="EW2181" s="1"/>
      <c r="EZ2181" s="1"/>
      <c r="GO2181" s="1"/>
      <c r="GP2181" s="1"/>
      <c r="IS2181" s="1"/>
      <c r="IZ2181" s="1"/>
      <c r="JH2181" s="1"/>
      <c r="JJ2181" s="1"/>
      <c r="JP2181" s="1"/>
      <c r="JQ2181" s="1"/>
    </row>
    <row r="2182" spans="4:339" ht="13" x14ac:dyDescent="0.15">
      <c r="D2182" s="12"/>
      <c r="E2182" s="12"/>
      <c r="I2182" s="12"/>
      <c r="J2182" s="13"/>
      <c r="BF2182" s="1"/>
      <c r="BG2182" s="1"/>
      <c r="BH2182" s="1"/>
      <c r="BI2182" s="1"/>
      <c r="BK2182" s="1"/>
      <c r="BL2182" s="1"/>
      <c r="BM2182" s="1"/>
      <c r="BN2182" s="1"/>
      <c r="BO2182" s="1"/>
      <c r="BP2182" s="1"/>
      <c r="CD2182" s="1"/>
      <c r="CE2182" s="1"/>
      <c r="CF2182" s="1"/>
      <c r="CG2182" s="1"/>
      <c r="CM2182" s="2"/>
      <c r="CP2182" s="1"/>
      <c r="CQ2182" s="1"/>
      <c r="CR2182" s="1"/>
      <c r="CS2182" s="1"/>
      <c r="CT2182" s="1"/>
      <c r="CU2182" s="1"/>
      <c r="CV2182" s="1"/>
      <c r="CW2182" s="1"/>
      <c r="CX2182" s="1"/>
      <c r="CY2182" s="1"/>
      <c r="CZ2182" s="1"/>
      <c r="DA2182" s="1"/>
      <c r="DB2182" s="1"/>
      <c r="DC2182" s="1"/>
      <c r="DD2182" s="1"/>
      <c r="DE2182" s="1"/>
      <c r="DF2182" s="1"/>
      <c r="DG2182" s="1"/>
      <c r="DH2182" s="1"/>
      <c r="DI2182" s="1"/>
      <c r="DJ2182" s="1"/>
      <c r="DK2182" s="1"/>
      <c r="ED2182" s="1"/>
      <c r="EK2182" s="1"/>
      <c r="EL2182" s="1"/>
      <c r="EM2182" s="1"/>
      <c r="EN2182" s="1"/>
      <c r="EQ2182" s="1"/>
      <c r="ER2182" s="1"/>
      <c r="ES2182" s="1"/>
      <c r="EV2182" s="1"/>
      <c r="EW2182" s="1"/>
      <c r="EZ2182" s="1"/>
      <c r="GP2182" s="1"/>
      <c r="HY2182" s="1"/>
      <c r="IE2182" s="1"/>
      <c r="IS2182" s="1"/>
      <c r="IZ2182" s="1"/>
      <c r="JF2182" s="1"/>
      <c r="JH2182" s="1"/>
      <c r="JJ2182" s="1"/>
      <c r="JN2182" s="1"/>
      <c r="JP2182" s="1"/>
      <c r="JQ2182" s="1"/>
      <c r="LZ2182" s="1"/>
      <c r="MA2182" s="1"/>
    </row>
    <row r="2183" spans="4:339" ht="13" x14ac:dyDescent="0.15">
      <c r="D2183" s="12"/>
      <c r="E2183" s="12"/>
      <c r="I2183" s="12"/>
      <c r="J2183" s="13"/>
      <c r="BF2183" s="1"/>
      <c r="BG2183" s="1"/>
      <c r="BH2183" s="1"/>
      <c r="BI2183" s="1"/>
      <c r="BK2183" s="1"/>
      <c r="BL2183" s="1"/>
      <c r="BM2183" s="1"/>
      <c r="BN2183" s="1"/>
      <c r="BO2183" s="1"/>
      <c r="BP2183" s="1"/>
      <c r="CD2183" s="1"/>
      <c r="CE2183" s="1"/>
      <c r="CF2183" s="1"/>
      <c r="CG2183" s="1"/>
      <c r="CM2183" s="2"/>
      <c r="CP2183" s="1"/>
      <c r="CQ2183" s="1"/>
      <c r="CR2183" s="1"/>
      <c r="CS2183" s="1"/>
      <c r="CT2183" s="1"/>
      <c r="CU2183" s="1"/>
      <c r="CV2183" s="1"/>
      <c r="CW2183" s="1"/>
      <c r="CX2183" s="1"/>
      <c r="CY2183" s="1"/>
      <c r="CZ2183" s="1"/>
      <c r="DA2183" s="1"/>
      <c r="DB2183" s="1"/>
      <c r="DC2183" s="1"/>
      <c r="DD2183" s="1"/>
      <c r="DE2183" s="1"/>
      <c r="DF2183" s="1"/>
      <c r="DG2183" s="1"/>
      <c r="DH2183" s="1"/>
      <c r="DI2183" s="1"/>
      <c r="DJ2183" s="1"/>
      <c r="DK2183" s="1"/>
      <c r="ED2183" s="1"/>
      <c r="EK2183" s="1"/>
      <c r="EL2183" s="1"/>
      <c r="EM2183" s="1"/>
      <c r="EN2183" s="1"/>
      <c r="EQ2183" s="1"/>
      <c r="ER2183" s="1"/>
      <c r="ES2183" s="1"/>
      <c r="EV2183" s="1"/>
      <c r="EW2183" s="1"/>
      <c r="EZ2183" s="1"/>
      <c r="GP2183" s="1"/>
      <c r="HY2183" s="1"/>
      <c r="IE2183" s="1"/>
      <c r="IS2183" s="1"/>
      <c r="IZ2183" s="1"/>
      <c r="JF2183" s="1"/>
      <c r="JH2183" s="1"/>
      <c r="JJ2183" s="1"/>
      <c r="JN2183" s="1"/>
      <c r="JP2183" s="1"/>
      <c r="JQ2183" s="1"/>
      <c r="LZ2183" s="1"/>
      <c r="MA2183" s="1"/>
    </row>
    <row r="2184" spans="4:339" ht="13" x14ac:dyDescent="0.15">
      <c r="D2184" s="12"/>
      <c r="E2184" s="12"/>
      <c r="I2184" s="12"/>
      <c r="J2184" s="13"/>
      <c r="BF2184" s="1"/>
      <c r="BG2184" s="1"/>
      <c r="BH2184" s="1"/>
      <c r="BI2184" s="1"/>
      <c r="BK2184" s="1"/>
      <c r="BL2184" s="1"/>
      <c r="BM2184" s="1"/>
      <c r="BN2184" s="1"/>
      <c r="BO2184" s="1"/>
      <c r="BP2184" s="1"/>
      <c r="CD2184" s="1"/>
      <c r="CE2184" s="1"/>
      <c r="CF2184" s="1"/>
      <c r="CG2184" s="1"/>
      <c r="CM2184" s="2"/>
      <c r="CP2184" s="1"/>
      <c r="CQ2184" s="1"/>
      <c r="CR2184" s="1"/>
      <c r="CS2184" s="1"/>
      <c r="CT2184" s="1"/>
      <c r="CU2184" s="1"/>
      <c r="CV2184" s="1"/>
      <c r="CW2184" s="1"/>
      <c r="CX2184" s="1"/>
      <c r="CY2184" s="1"/>
      <c r="CZ2184" s="1"/>
      <c r="DA2184" s="1"/>
      <c r="DB2184" s="1"/>
      <c r="DC2184" s="1"/>
      <c r="DD2184" s="1"/>
      <c r="DE2184" s="1"/>
      <c r="DF2184" s="1"/>
      <c r="DG2184" s="1"/>
      <c r="DH2184" s="1"/>
      <c r="DI2184" s="1"/>
      <c r="DJ2184" s="1"/>
      <c r="DK2184" s="1"/>
      <c r="ED2184" s="1"/>
      <c r="EK2184" s="1"/>
      <c r="EL2184" s="1"/>
      <c r="EM2184" s="1"/>
      <c r="EN2184" s="1"/>
      <c r="EQ2184" s="1"/>
      <c r="ER2184" s="1"/>
      <c r="ES2184" s="1"/>
      <c r="EV2184" s="1"/>
      <c r="EW2184" s="1"/>
      <c r="EZ2184" s="1"/>
      <c r="GP2184" s="1"/>
      <c r="HY2184" s="1"/>
      <c r="IE2184" s="1"/>
      <c r="IS2184" s="1"/>
      <c r="IZ2184" s="1"/>
      <c r="JF2184" s="1"/>
      <c r="JH2184" s="1"/>
      <c r="JJ2184" s="1"/>
      <c r="JN2184" s="1"/>
      <c r="JP2184" s="1"/>
      <c r="JQ2184" s="1"/>
      <c r="LZ2184" s="1"/>
      <c r="MA2184" s="1"/>
    </row>
    <row r="2185" spans="4:339" ht="13" x14ac:dyDescent="0.15">
      <c r="D2185" s="12"/>
      <c r="E2185" s="12"/>
      <c r="I2185" s="12"/>
      <c r="J2185" s="13"/>
      <c r="BF2185" s="1"/>
      <c r="BG2185" s="1"/>
      <c r="BH2185" s="1"/>
      <c r="BI2185" s="1"/>
      <c r="BK2185" s="1"/>
      <c r="BL2185" s="1"/>
      <c r="BM2185" s="1"/>
      <c r="BN2185" s="1"/>
      <c r="BO2185" s="1"/>
      <c r="BP2185" s="1"/>
      <c r="CD2185" s="1"/>
      <c r="CE2185" s="1"/>
      <c r="CF2185" s="1"/>
      <c r="CG2185" s="1"/>
      <c r="CM2185" s="2"/>
      <c r="CP2185" s="1"/>
      <c r="CQ2185" s="1"/>
      <c r="CR2185" s="1"/>
      <c r="CS2185" s="1"/>
      <c r="CT2185" s="1"/>
      <c r="CU2185" s="1"/>
      <c r="CV2185" s="1"/>
      <c r="CW2185" s="1"/>
      <c r="CX2185" s="1"/>
      <c r="CY2185" s="1"/>
      <c r="CZ2185" s="1"/>
      <c r="DA2185" s="1"/>
      <c r="DB2185" s="1"/>
      <c r="DC2185" s="1"/>
      <c r="DD2185" s="1"/>
      <c r="DE2185" s="1"/>
      <c r="DF2185" s="1"/>
      <c r="DG2185" s="1"/>
      <c r="DH2185" s="1"/>
      <c r="DI2185" s="1"/>
      <c r="DJ2185" s="1"/>
      <c r="DK2185" s="1"/>
      <c r="ED2185" s="1"/>
      <c r="EK2185" s="1"/>
      <c r="EL2185" s="1"/>
      <c r="EM2185" s="1"/>
      <c r="EN2185" s="1"/>
      <c r="EQ2185" s="1"/>
      <c r="ER2185" s="1"/>
      <c r="ES2185" s="1"/>
      <c r="EV2185" s="1"/>
      <c r="EW2185" s="1"/>
      <c r="EZ2185" s="1"/>
      <c r="GP2185" s="1"/>
      <c r="HY2185" s="1"/>
      <c r="IE2185" s="1"/>
      <c r="IS2185" s="1"/>
      <c r="IZ2185" s="1"/>
      <c r="JF2185" s="1"/>
      <c r="JH2185" s="1"/>
      <c r="JJ2185" s="1"/>
      <c r="JN2185" s="1"/>
      <c r="JP2185" s="1"/>
      <c r="JQ2185" s="1"/>
      <c r="LZ2185" s="1"/>
      <c r="MA2185" s="1"/>
    </row>
    <row r="2186" spans="4:339" ht="13" x14ac:dyDescent="0.15">
      <c r="D2186" s="12"/>
      <c r="E2186" s="12"/>
      <c r="I2186" s="12"/>
      <c r="J2186" s="13"/>
      <c r="BF2186" s="1"/>
      <c r="BG2186" s="1"/>
      <c r="BH2186" s="1"/>
      <c r="BI2186" s="1"/>
      <c r="BK2186" s="1"/>
      <c r="BL2186" s="1"/>
      <c r="BM2186" s="1"/>
      <c r="BN2186" s="1"/>
      <c r="BO2186" s="1"/>
      <c r="BP2186" s="1"/>
      <c r="CD2186" s="1"/>
      <c r="CE2186" s="1"/>
      <c r="CF2186" s="1"/>
      <c r="CG2186" s="1"/>
      <c r="CM2186" s="2"/>
      <c r="CP2186" s="1"/>
      <c r="CQ2186" s="1"/>
      <c r="CR2186" s="1"/>
      <c r="CS2186" s="1"/>
      <c r="CT2186" s="1"/>
      <c r="CU2186" s="1"/>
      <c r="CV2186" s="1"/>
      <c r="CW2186" s="1"/>
      <c r="CX2186" s="1"/>
      <c r="CY2186" s="1"/>
      <c r="CZ2186" s="1"/>
      <c r="DA2186" s="1"/>
      <c r="DB2186" s="1"/>
      <c r="DC2186" s="1"/>
      <c r="DD2186" s="1"/>
      <c r="DE2186" s="1"/>
      <c r="DF2186" s="1"/>
      <c r="DG2186" s="1"/>
      <c r="DH2186" s="1"/>
      <c r="DI2186" s="1"/>
      <c r="DJ2186" s="1"/>
      <c r="DK2186" s="1"/>
      <c r="ED2186" s="1"/>
      <c r="EK2186" s="1"/>
      <c r="EL2186" s="1"/>
      <c r="EM2186" s="1"/>
      <c r="EN2186" s="1"/>
      <c r="EQ2186" s="1"/>
      <c r="ER2186" s="1"/>
      <c r="ES2186" s="1"/>
      <c r="EV2186" s="1"/>
      <c r="EW2186" s="1"/>
      <c r="EZ2186" s="1"/>
      <c r="GP2186" s="1"/>
      <c r="HY2186" s="1"/>
      <c r="IE2186" s="1"/>
      <c r="IS2186" s="1"/>
      <c r="IZ2186" s="1"/>
      <c r="JF2186" s="1"/>
      <c r="JH2186" s="1"/>
      <c r="JJ2186" s="1"/>
      <c r="JN2186" s="1"/>
      <c r="JP2186" s="1"/>
      <c r="JQ2186" s="1"/>
      <c r="LZ2186" s="1"/>
      <c r="MA2186" s="1"/>
    </row>
    <row r="2187" spans="4:339" ht="13" x14ac:dyDescent="0.15">
      <c r="D2187" s="12"/>
      <c r="E2187" s="12"/>
      <c r="I2187" s="12"/>
      <c r="J2187" s="13"/>
      <c r="BG2187" s="1"/>
      <c r="BH2187" s="1"/>
      <c r="BI2187" s="1"/>
      <c r="BJ2187" s="1"/>
      <c r="BK2187" s="1"/>
      <c r="BL2187" s="1"/>
      <c r="BM2187" s="1"/>
      <c r="BN2187" s="1"/>
      <c r="BO2187" s="1"/>
      <c r="CD2187" s="1"/>
      <c r="CE2187" s="1"/>
      <c r="CF2187" s="1"/>
      <c r="CM2187" s="2"/>
      <c r="ED2187" s="1"/>
      <c r="EL2187" s="1"/>
      <c r="EM2187" s="1"/>
      <c r="EN2187" s="1"/>
      <c r="EQ2187" s="1"/>
      <c r="ER2187" s="1"/>
      <c r="ES2187" s="1"/>
      <c r="EV2187" s="1"/>
      <c r="EW2187" s="1"/>
      <c r="EZ2187" s="1"/>
      <c r="HY2187" s="1"/>
      <c r="IS2187" s="1"/>
      <c r="IY2187" s="1"/>
      <c r="IZ2187" s="1"/>
      <c r="JJ2187" s="1"/>
      <c r="JN2187" s="1"/>
      <c r="JP2187" s="1"/>
      <c r="JQ2187" s="1"/>
    </row>
    <row r="2188" spans="4:339" ht="13" x14ac:dyDescent="0.15">
      <c r="D2188" s="12"/>
      <c r="E2188" s="12"/>
      <c r="I2188" s="12"/>
      <c r="J2188" s="13"/>
      <c r="BG2188" s="1"/>
      <c r="BH2188" s="1"/>
      <c r="BI2188" s="1"/>
      <c r="BK2188" s="1"/>
      <c r="BL2188" s="1"/>
      <c r="BM2188" s="1"/>
      <c r="BN2188" s="1"/>
      <c r="CC2188" s="1"/>
      <c r="CD2188" s="1"/>
      <c r="CM2188" s="2"/>
      <c r="ED2188" s="1"/>
      <c r="EL2188" s="1"/>
      <c r="EM2188" s="1"/>
      <c r="EN2188" s="1"/>
      <c r="EQ2188" s="1"/>
      <c r="ER2188" s="1"/>
      <c r="ES2188" s="1"/>
      <c r="EV2188" s="1"/>
      <c r="EW2188" s="1"/>
      <c r="EZ2188" s="1"/>
      <c r="HY2188" s="1"/>
      <c r="IS2188" s="1"/>
      <c r="IZ2188" s="1"/>
      <c r="JJ2188" s="1"/>
      <c r="JP2188" s="1"/>
      <c r="JQ2188" s="1"/>
    </row>
    <row r="2189" spans="4:339" ht="13" x14ac:dyDescent="0.15">
      <c r="D2189" s="12"/>
      <c r="E2189" s="12"/>
      <c r="I2189" s="12"/>
      <c r="J2189" s="13"/>
      <c r="BG2189" s="1"/>
      <c r="BH2189" s="1"/>
      <c r="BI2189" s="1"/>
      <c r="BK2189" s="1"/>
      <c r="BL2189" s="1"/>
      <c r="BM2189" s="1"/>
      <c r="BN2189" s="1"/>
      <c r="CD2189" s="1"/>
      <c r="CM2189" s="2"/>
      <c r="ED2189" s="1"/>
      <c r="EL2189" s="1"/>
      <c r="EM2189" s="1"/>
      <c r="EN2189" s="1"/>
      <c r="EQ2189" s="1"/>
      <c r="ER2189" s="1"/>
      <c r="ES2189" s="1"/>
      <c r="EV2189" s="1"/>
      <c r="EW2189" s="1"/>
      <c r="EZ2189" s="1"/>
      <c r="HY2189" s="1"/>
      <c r="IS2189" s="1"/>
      <c r="IZ2189" s="1"/>
      <c r="JJ2189" s="1"/>
      <c r="JP2189" s="1"/>
      <c r="JQ2189" s="1"/>
    </row>
    <row r="2190" spans="4:339" ht="13" x14ac:dyDescent="0.15">
      <c r="D2190" s="12"/>
      <c r="E2190" s="12"/>
      <c r="I2190" s="12"/>
      <c r="J2190" s="13"/>
      <c r="BG2190" s="1"/>
      <c r="BH2190" s="1"/>
      <c r="BI2190" s="1"/>
      <c r="BK2190" s="1"/>
      <c r="BL2190" s="1"/>
      <c r="BM2190" s="1"/>
      <c r="BN2190" s="1"/>
      <c r="CD2190" s="1"/>
      <c r="CM2190" s="4"/>
      <c r="ED2190" s="1"/>
      <c r="EL2190" s="1"/>
      <c r="EM2190" s="1"/>
      <c r="EN2190" s="1"/>
      <c r="EQ2190" s="1"/>
      <c r="ER2190" s="1"/>
      <c r="ES2190" s="1"/>
      <c r="EV2190" s="1"/>
      <c r="EW2190" s="1"/>
      <c r="EZ2190" s="1"/>
      <c r="IS2190" s="1"/>
      <c r="IZ2190" s="1"/>
      <c r="JJ2190" s="1"/>
      <c r="JP2190" s="1"/>
      <c r="JQ2190" s="1"/>
    </row>
    <row r="2191" spans="4:339" ht="13" x14ac:dyDescent="0.15">
      <c r="D2191" s="12"/>
      <c r="E2191" s="12"/>
      <c r="I2191" s="12"/>
      <c r="J2191" s="13"/>
      <c r="BG2191" s="1"/>
      <c r="BH2191" s="1"/>
      <c r="BI2191" s="1"/>
      <c r="BK2191" s="1"/>
      <c r="BL2191" s="1"/>
      <c r="BM2191" s="1"/>
      <c r="BN2191" s="1"/>
      <c r="CD2191" s="1"/>
      <c r="CM2191" s="4"/>
      <c r="ED2191" s="1"/>
      <c r="EL2191" s="1"/>
      <c r="EM2191" s="1"/>
      <c r="EN2191" s="1"/>
      <c r="EQ2191" s="1"/>
      <c r="ER2191" s="1"/>
      <c r="ES2191" s="1"/>
      <c r="EV2191" s="1"/>
      <c r="EW2191" s="1"/>
      <c r="EZ2191" s="1"/>
      <c r="IS2191" s="1"/>
      <c r="IZ2191" s="1"/>
      <c r="JJ2191" s="1"/>
      <c r="JP2191" s="1"/>
      <c r="JQ2191" s="1"/>
    </row>
    <row r="2192" spans="4:339" ht="13" x14ac:dyDescent="0.15">
      <c r="D2192" s="12"/>
      <c r="E2192" s="12"/>
      <c r="I2192" s="12"/>
      <c r="J2192" s="13"/>
      <c r="BG2192" s="1"/>
      <c r="BH2192" s="1"/>
      <c r="BI2192" s="1"/>
      <c r="BJ2192" s="1"/>
      <c r="BK2192" s="1"/>
      <c r="BL2192" s="1"/>
      <c r="BM2192" s="1"/>
      <c r="BN2192" s="1"/>
      <c r="BO2192" s="1"/>
      <c r="BP2192" s="1"/>
      <c r="CD2192" s="1"/>
      <c r="CE2192" s="1"/>
      <c r="CF2192" s="1"/>
      <c r="CG2192" s="1"/>
      <c r="CM2192" s="2"/>
      <c r="CP2192" s="1"/>
      <c r="CQ2192" s="1"/>
      <c r="CS2192" s="1"/>
      <c r="CT2192" s="1"/>
      <c r="CU2192" s="1"/>
      <c r="CV2192" s="1"/>
      <c r="CW2192" s="1"/>
      <c r="CX2192" s="1"/>
      <c r="CY2192" s="1"/>
      <c r="CZ2192" s="1"/>
      <c r="DA2192" s="1"/>
      <c r="DB2192" s="1"/>
      <c r="DC2192" s="1"/>
      <c r="DD2192" s="1"/>
      <c r="DE2192" s="1"/>
      <c r="DF2192" s="1"/>
      <c r="DG2192" s="1"/>
      <c r="DH2192" s="1"/>
      <c r="DI2192" s="1"/>
      <c r="DJ2192" s="1"/>
      <c r="DK2192" s="1"/>
      <c r="DQ2192" s="1"/>
      <c r="DR2192" s="1"/>
      <c r="DY2192" s="1"/>
      <c r="DZ2192" s="1"/>
      <c r="ED2192" s="1"/>
      <c r="EK2192" s="1"/>
      <c r="EL2192" s="1"/>
      <c r="EM2192" s="1"/>
      <c r="EN2192" s="1"/>
      <c r="EQ2192" s="1"/>
      <c r="ER2192" s="1"/>
      <c r="ES2192" s="1"/>
      <c r="EV2192" s="1"/>
      <c r="EW2192" s="1"/>
      <c r="EZ2192" s="1"/>
      <c r="GO2192" s="1"/>
      <c r="HY2192" s="1"/>
      <c r="IE2192" s="1"/>
      <c r="IR2192" s="1"/>
      <c r="IS2192" s="1"/>
      <c r="IZ2192" s="1"/>
      <c r="JH2192" s="1"/>
      <c r="JJ2192" s="1"/>
      <c r="JN2192" s="1"/>
      <c r="JP2192" s="1"/>
      <c r="JQ2192" s="1"/>
      <c r="LZ2192" s="1"/>
      <c r="MA2192" s="1"/>
    </row>
    <row r="2193" spans="4:339" ht="13" x14ac:dyDescent="0.15">
      <c r="D2193" s="12"/>
      <c r="E2193" s="12"/>
      <c r="I2193" s="12"/>
      <c r="J2193" s="13"/>
      <c r="BG2193" s="1"/>
      <c r="BH2193" s="1"/>
      <c r="BI2193" s="1"/>
      <c r="BJ2193" s="1"/>
      <c r="BK2193" s="1"/>
      <c r="BL2193" s="1"/>
      <c r="BM2193" s="1"/>
      <c r="BN2193" s="1"/>
      <c r="CD2193" s="1"/>
      <c r="CE2193" s="1"/>
      <c r="CF2193" s="1"/>
      <c r="CM2193" s="2"/>
      <c r="ED2193" s="1"/>
      <c r="EL2193" s="1"/>
      <c r="EM2193" s="1"/>
      <c r="EN2193" s="1"/>
      <c r="EQ2193" s="1"/>
      <c r="ER2193" s="1"/>
      <c r="ES2193" s="1"/>
      <c r="EV2193" s="1"/>
      <c r="EW2193" s="1"/>
      <c r="EZ2193" s="1"/>
      <c r="IR2193" s="1"/>
      <c r="IS2193" s="1"/>
      <c r="IY2193" s="1"/>
      <c r="IZ2193" s="1"/>
      <c r="JJ2193" s="1"/>
      <c r="JN2193" s="1"/>
      <c r="JP2193" s="1"/>
      <c r="JQ2193" s="1"/>
    </row>
    <row r="2194" spans="4:339" ht="13" x14ac:dyDescent="0.15">
      <c r="D2194" s="12"/>
      <c r="E2194" s="12"/>
      <c r="I2194" s="12"/>
      <c r="J2194" s="13"/>
      <c r="BG2194" s="1"/>
      <c r="BH2194" s="1"/>
      <c r="BI2194" s="1"/>
      <c r="BJ2194" s="1"/>
      <c r="BK2194" s="1"/>
      <c r="BL2194" s="1"/>
      <c r="BM2194" s="1"/>
      <c r="BN2194" s="1"/>
      <c r="CD2194" s="1"/>
      <c r="CE2194" s="1"/>
      <c r="CF2194" s="1"/>
      <c r="CM2194" s="2"/>
      <c r="ED2194" s="1"/>
      <c r="EL2194" s="1"/>
      <c r="EM2194" s="1"/>
      <c r="EN2194" s="1"/>
      <c r="EQ2194" s="1"/>
      <c r="ER2194" s="1"/>
      <c r="ES2194" s="1"/>
      <c r="EV2194" s="1"/>
      <c r="EW2194" s="1"/>
      <c r="EZ2194" s="1"/>
      <c r="IR2194" s="1"/>
      <c r="IS2194" s="1"/>
      <c r="IY2194" s="1"/>
      <c r="IZ2194" s="1"/>
      <c r="JJ2194" s="1"/>
      <c r="JN2194" s="1"/>
      <c r="JP2194" s="1"/>
      <c r="JQ2194" s="1"/>
    </row>
    <row r="2195" spans="4:339" ht="13" x14ac:dyDescent="0.15">
      <c r="D2195" s="12"/>
      <c r="E2195" s="12"/>
      <c r="I2195" s="12"/>
      <c r="J2195" s="13"/>
      <c r="BG2195" s="1"/>
      <c r="BH2195" s="1"/>
      <c r="BI2195" s="1"/>
      <c r="BJ2195" s="1"/>
      <c r="BK2195" s="1"/>
      <c r="BL2195" s="1"/>
      <c r="BM2195" s="1"/>
      <c r="BN2195" s="1"/>
      <c r="CD2195" s="1"/>
      <c r="CE2195" s="1"/>
      <c r="CF2195" s="1"/>
      <c r="CM2195" s="2"/>
      <c r="ED2195" s="1"/>
      <c r="EL2195" s="1"/>
      <c r="EM2195" s="1"/>
      <c r="EN2195" s="1"/>
      <c r="EQ2195" s="1"/>
      <c r="ER2195" s="1"/>
      <c r="ES2195" s="1"/>
      <c r="EV2195" s="1"/>
      <c r="EW2195" s="1"/>
      <c r="EZ2195" s="1"/>
      <c r="IR2195" s="1"/>
      <c r="IS2195" s="1"/>
      <c r="IY2195" s="1"/>
      <c r="IZ2195" s="1"/>
      <c r="JJ2195" s="1"/>
      <c r="JN2195" s="1"/>
      <c r="JP2195" s="1"/>
      <c r="JQ2195" s="1"/>
    </row>
    <row r="2196" spans="4:339" ht="13" x14ac:dyDescent="0.15">
      <c r="D2196" s="12"/>
      <c r="E2196" s="12"/>
      <c r="I2196" s="12"/>
      <c r="J2196" s="13"/>
      <c r="BG2196" s="1"/>
      <c r="BH2196" s="1"/>
      <c r="BI2196" s="1"/>
      <c r="BJ2196" s="1"/>
      <c r="BK2196" s="1"/>
      <c r="BL2196" s="1"/>
      <c r="BM2196" s="1"/>
      <c r="BN2196" s="1"/>
      <c r="CD2196" s="1"/>
      <c r="CE2196" s="1"/>
      <c r="CF2196" s="1"/>
      <c r="CM2196" s="2"/>
      <c r="ED2196" s="1"/>
      <c r="EL2196" s="1"/>
      <c r="EM2196" s="1"/>
      <c r="EN2196" s="1"/>
      <c r="EQ2196" s="1"/>
      <c r="ER2196" s="1"/>
      <c r="ES2196" s="1"/>
      <c r="EV2196" s="1"/>
      <c r="EW2196" s="1"/>
      <c r="EZ2196" s="1"/>
      <c r="IR2196" s="1"/>
      <c r="IS2196" s="1"/>
      <c r="IY2196" s="1"/>
      <c r="IZ2196" s="1"/>
      <c r="JJ2196" s="1"/>
      <c r="JN2196" s="1"/>
      <c r="JP2196" s="1"/>
      <c r="JQ2196" s="1"/>
    </row>
    <row r="2197" spans="4:339" ht="13" x14ac:dyDescent="0.15">
      <c r="D2197" s="12"/>
      <c r="E2197" s="12"/>
      <c r="I2197" s="12"/>
      <c r="J2197" s="13"/>
      <c r="BG2197" s="1"/>
      <c r="BH2197" s="1"/>
      <c r="BI2197" s="1"/>
      <c r="BJ2197" s="1"/>
      <c r="BK2197" s="1"/>
      <c r="BL2197" s="1"/>
      <c r="BM2197" s="1"/>
      <c r="BN2197" s="1"/>
      <c r="CD2197" s="1"/>
      <c r="CE2197" s="1"/>
      <c r="CF2197" s="1"/>
      <c r="CM2197" s="2"/>
      <c r="ED2197" s="1"/>
      <c r="EL2197" s="1"/>
      <c r="EM2197" s="1"/>
      <c r="EN2197" s="1"/>
      <c r="EQ2197" s="1"/>
      <c r="ER2197" s="1"/>
      <c r="ES2197" s="1"/>
      <c r="EV2197" s="1"/>
      <c r="EW2197" s="1"/>
      <c r="EZ2197" s="1"/>
      <c r="IR2197" s="1"/>
      <c r="IS2197" s="1"/>
      <c r="IY2197" s="1"/>
      <c r="IZ2197" s="1"/>
      <c r="JJ2197" s="1"/>
      <c r="JN2197" s="1"/>
      <c r="JP2197" s="1"/>
      <c r="JQ2197" s="1"/>
    </row>
    <row r="2198" spans="4:339" ht="13" x14ac:dyDescent="0.15">
      <c r="D2198" s="12"/>
      <c r="E2198" s="12"/>
      <c r="I2198" s="12"/>
      <c r="J2198" s="13"/>
      <c r="BG2198" s="1"/>
      <c r="BH2198" s="1"/>
      <c r="BI2198" s="1"/>
      <c r="BJ2198" s="1"/>
      <c r="BK2198" s="1"/>
      <c r="BL2198" s="1"/>
      <c r="BM2198" s="1"/>
      <c r="BN2198" s="1"/>
      <c r="CD2198" s="1"/>
      <c r="CE2198" s="1"/>
      <c r="CF2198" s="1"/>
      <c r="CM2198" s="2"/>
      <c r="ED2198" s="1"/>
      <c r="EL2198" s="1"/>
      <c r="EM2198" s="1"/>
      <c r="EN2198" s="1"/>
      <c r="EQ2198" s="1"/>
      <c r="ER2198" s="1"/>
      <c r="ES2198" s="1"/>
      <c r="EV2198" s="1"/>
      <c r="EW2198" s="1"/>
      <c r="EZ2198" s="1"/>
      <c r="IR2198" s="1"/>
      <c r="IS2198" s="1"/>
      <c r="IY2198" s="1"/>
      <c r="IZ2198" s="1"/>
      <c r="JJ2198" s="1"/>
      <c r="JN2198" s="1"/>
      <c r="JP2198" s="1"/>
      <c r="JQ2198" s="1"/>
    </row>
    <row r="2199" spans="4:339" ht="13" x14ac:dyDescent="0.15">
      <c r="D2199" s="12"/>
      <c r="E2199" s="12"/>
      <c r="I2199" s="12"/>
      <c r="J2199" s="13"/>
      <c r="BG2199" s="1"/>
      <c r="BH2199" s="1"/>
      <c r="BI2199" s="1"/>
      <c r="BJ2199" s="1"/>
      <c r="BK2199" s="1"/>
      <c r="BL2199" s="1"/>
      <c r="BM2199" s="1"/>
      <c r="BN2199" s="1"/>
      <c r="CD2199" s="1"/>
      <c r="CE2199" s="1"/>
      <c r="CF2199" s="1"/>
      <c r="CM2199" s="2"/>
      <c r="ED2199" s="1"/>
      <c r="EL2199" s="1"/>
      <c r="EM2199" s="1"/>
      <c r="EN2199" s="1"/>
      <c r="EQ2199" s="1"/>
      <c r="ER2199" s="1"/>
      <c r="ES2199" s="1"/>
      <c r="EV2199" s="1"/>
      <c r="EW2199" s="1"/>
      <c r="EZ2199" s="1"/>
      <c r="IR2199" s="1"/>
      <c r="IS2199" s="1"/>
      <c r="IY2199" s="1"/>
      <c r="IZ2199" s="1"/>
      <c r="JJ2199" s="1"/>
      <c r="JN2199" s="1"/>
      <c r="JP2199" s="1"/>
      <c r="JQ2199" s="1"/>
    </row>
    <row r="2200" spans="4:339" ht="13" x14ac:dyDescent="0.15">
      <c r="D2200" s="12"/>
      <c r="E2200" s="12"/>
      <c r="I2200" s="12"/>
      <c r="J2200" s="13"/>
      <c r="BG2200" s="1"/>
      <c r="BH2200" s="1"/>
      <c r="BI2200" s="1"/>
      <c r="BJ2200" s="1"/>
      <c r="BK2200" s="1"/>
      <c r="BL2200" s="1"/>
      <c r="BM2200" s="1"/>
      <c r="BN2200" s="1"/>
      <c r="BO2200" s="1"/>
      <c r="BP2200" s="1"/>
      <c r="CD2200" s="1"/>
      <c r="CE2200" s="1"/>
      <c r="CF2200" s="1"/>
      <c r="CM2200" s="2"/>
      <c r="CP2200" s="1"/>
      <c r="CQ2200" s="1"/>
      <c r="CR2200" s="1"/>
      <c r="CS2200" s="1"/>
      <c r="CT2200" s="1"/>
      <c r="CU2200" s="1"/>
      <c r="CV2200" s="1"/>
      <c r="CW2200" s="1"/>
      <c r="CX2200" s="1"/>
      <c r="CY2200" s="1"/>
      <c r="CZ2200" s="1"/>
      <c r="DA2200" s="1"/>
      <c r="DB2200" s="1"/>
      <c r="DC2200" s="1"/>
      <c r="DD2200" s="1"/>
      <c r="DE2200" s="1"/>
      <c r="DF2200" s="1"/>
      <c r="DG2200" s="1"/>
      <c r="DH2200" s="1"/>
      <c r="DI2200" s="1"/>
      <c r="DJ2200" s="1"/>
      <c r="DK2200" s="1"/>
      <c r="ED2200" s="1"/>
      <c r="EE2200" s="1"/>
      <c r="EF2200" s="1"/>
      <c r="EG2200" s="1"/>
      <c r="EH2200" s="1"/>
      <c r="EK2200" s="1"/>
      <c r="EL2200" s="1"/>
      <c r="EM2200" s="1"/>
      <c r="EN2200" s="1"/>
      <c r="EQ2200" s="1"/>
      <c r="ER2200" s="1"/>
      <c r="ES2200" s="1"/>
      <c r="EV2200" s="1"/>
      <c r="EW2200" s="1"/>
      <c r="EY2200" s="1"/>
      <c r="EZ2200" s="1"/>
      <c r="GO2200" s="1"/>
      <c r="HY2200" s="1"/>
      <c r="IE2200" s="1"/>
      <c r="IG2200" s="1"/>
      <c r="IJ2200" s="1"/>
      <c r="IS2200" s="1"/>
      <c r="IZ2200" s="1"/>
      <c r="JJ2200" s="1"/>
      <c r="JK2200" s="1"/>
      <c r="JL2200" s="3"/>
      <c r="JM2200" s="1"/>
      <c r="JP2200" s="1"/>
      <c r="JQ2200" s="1"/>
      <c r="JR2200" s="1"/>
      <c r="LZ2200" s="1"/>
      <c r="MA2200" s="1"/>
    </row>
    <row r="2201" spans="4:339" ht="13" x14ac:dyDescent="0.15">
      <c r="D2201" s="12"/>
      <c r="E2201" s="12"/>
      <c r="I2201" s="12"/>
      <c r="J2201" s="13"/>
      <c r="BF2201" s="1"/>
      <c r="BG2201" s="1"/>
      <c r="BH2201" s="1"/>
      <c r="BI2201" s="1"/>
      <c r="BK2201" s="1"/>
      <c r="BL2201" s="1"/>
      <c r="BM2201" s="1"/>
      <c r="BN2201" s="1"/>
      <c r="CD2201" s="1"/>
      <c r="CM2201" s="4"/>
      <c r="ED2201" s="1"/>
      <c r="EL2201" s="1"/>
      <c r="EM2201" s="1"/>
      <c r="EN2201" s="1"/>
      <c r="EQ2201" s="1"/>
      <c r="ER2201" s="1"/>
      <c r="ES2201" s="1"/>
      <c r="EV2201" s="1"/>
      <c r="EW2201" s="1"/>
      <c r="EZ2201" s="1"/>
      <c r="HY2201" s="1"/>
      <c r="IS2201" s="1"/>
      <c r="IZ2201" s="1"/>
      <c r="JJ2201" s="1"/>
      <c r="JP2201" s="1"/>
      <c r="JQ2201" s="1"/>
      <c r="LW2201" s="1"/>
      <c r="LZ2201" s="1"/>
    </row>
    <row r="2202" spans="4:339" ht="13" x14ac:dyDescent="0.15">
      <c r="D2202" s="12"/>
      <c r="E2202" s="12"/>
      <c r="I2202" s="12"/>
      <c r="J2202" s="13"/>
      <c r="BF2202" s="1"/>
      <c r="BG2202" s="1"/>
      <c r="BH2202" s="1"/>
      <c r="BI2202" s="1"/>
      <c r="BJ2202" s="1"/>
      <c r="BK2202" s="1"/>
      <c r="BL2202" s="1"/>
      <c r="BM2202" s="1"/>
      <c r="BN2202" s="1"/>
      <c r="CD2202" s="1"/>
      <c r="CM2202" s="2"/>
      <c r="ED2202" s="1"/>
      <c r="EL2202" s="1"/>
      <c r="EM2202" s="1"/>
      <c r="EN2202" s="1"/>
      <c r="EQ2202" s="1"/>
      <c r="ER2202" s="1"/>
      <c r="ES2202" s="1"/>
      <c r="EV2202" s="1"/>
      <c r="EW2202" s="1"/>
      <c r="EZ2202" s="1"/>
      <c r="IS2202" s="1"/>
      <c r="IZ2202" s="1"/>
      <c r="JJ2202" s="1"/>
      <c r="JP2202" s="1"/>
      <c r="JQ2202" s="1"/>
    </row>
    <row r="2203" spans="4:339" ht="13" x14ac:dyDescent="0.15">
      <c r="D2203" s="12"/>
      <c r="E2203" s="12"/>
      <c r="I2203" s="12"/>
      <c r="J2203" s="13"/>
      <c r="BG2203" s="1"/>
      <c r="BH2203" s="1"/>
      <c r="BM2203" s="1"/>
      <c r="BN2203" s="1"/>
      <c r="CD2203" s="1"/>
      <c r="CM2203" s="2"/>
      <c r="ED2203" s="1"/>
      <c r="EL2203" s="1"/>
      <c r="EM2203" s="1"/>
      <c r="EN2203" s="1"/>
      <c r="EQ2203" s="1"/>
      <c r="ER2203" s="1"/>
      <c r="ES2203" s="1"/>
      <c r="EV2203" s="1"/>
      <c r="EW2203" s="1"/>
      <c r="EZ2203" s="1"/>
      <c r="IS2203" s="1"/>
      <c r="IZ2203" s="1"/>
      <c r="JJ2203" s="1"/>
      <c r="JP2203" s="1"/>
      <c r="JQ2203" s="1"/>
    </row>
    <row r="2204" spans="4:339" ht="13" x14ac:dyDescent="0.15">
      <c r="D2204" s="12"/>
      <c r="E2204" s="12"/>
      <c r="I2204" s="12"/>
      <c r="J2204" s="13"/>
      <c r="BG2204" s="1"/>
      <c r="BH2204" s="1"/>
      <c r="BI2204" s="1"/>
      <c r="BK2204" s="1"/>
      <c r="BL2204" s="1"/>
      <c r="BM2204" s="1"/>
      <c r="BN2204" s="1"/>
      <c r="BO2204" s="1"/>
      <c r="CD2204" s="1"/>
      <c r="CM2204" s="2"/>
      <c r="ED2204" s="1"/>
      <c r="EL2204" s="1"/>
      <c r="EM2204" s="1"/>
      <c r="EN2204" s="1"/>
      <c r="EQ2204" s="1"/>
      <c r="ER2204" s="1"/>
      <c r="ES2204" s="1"/>
      <c r="EV2204" s="1"/>
      <c r="EW2204" s="1"/>
      <c r="EZ2204" s="1"/>
      <c r="HY2204" s="1"/>
      <c r="IS2204" s="1"/>
      <c r="IZ2204" s="1"/>
      <c r="JJ2204" s="1"/>
      <c r="JP2204" s="1"/>
      <c r="JQ2204" s="1"/>
    </row>
    <row r="2205" spans="4:339" ht="13" x14ac:dyDescent="0.15">
      <c r="D2205" s="12"/>
      <c r="E2205" s="12"/>
      <c r="I2205" s="12"/>
      <c r="J2205" s="13"/>
      <c r="BG2205" s="1"/>
      <c r="BH2205" s="1"/>
      <c r="BI2205" s="1"/>
      <c r="BK2205" s="1"/>
      <c r="BL2205" s="1"/>
      <c r="BM2205" s="1"/>
      <c r="BN2205" s="1"/>
      <c r="BO2205" s="1"/>
      <c r="BP2205" s="1"/>
      <c r="CC2205" s="1"/>
      <c r="CD2205" s="1"/>
      <c r="CG2205" s="1"/>
      <c r="CM2205" s="2"/>
      <c r="CP2205" s="1"/>
      <c r="CQ2205" s="1"/>
      <c r="CV2205" s="1"/>
      <c r="CW2205" s="1"/>
      <c r="CX2205" s="1"/>
      <c r="CY2205" s="1"/>
      <c r="CZ2205" s="1"/>
      <c r="DA2205" s="1"/>
      <c r="DB2205" s="1"/>
      <c r="DC2205" s="1"/>
      <c r="DD2205" s="1"/>
      <c r="DE2205" s="1"/>
      <c r="DF2205" s="1"/>
      <c r="DG2205" s="1"/>
      <c r="DH2205" s="1"/>
      <c r="DI2205" s="1"/>
      <c r="DJ2205" s="1"/>
      <c r="DK2205" s="1"/>
      <c r="ED2205" s="1"/>
      <c r="EK2205" s="1"/>
      <c r="EL2205" s="1"/>
      <c r="EM2205" s="1"/>
      <c r="EN2205" s="1"/>
      <c r="EQ2205" s="1"/>
      <c r="ER2205" s="1"/>
      <c r="ES2205" s="1"/>
      <c r="EV2205" s="1"/>
      <c r="EW2205" s="1"/>
      <c r="EZ2205" s="1"/>
      <c r="HY2205" s="1"/>
      <c r="IE2205" s="1"/>
      <c r="IS2205" s="1"/>
      <c r="IZ2205" s="1"/>
      <c r="JJ2205" s="1"/>
      <c r="JP2205" s="1"/>
      <c r="JQ2205" s="1"/>
      <c r="LZ2205" s="1"/>
      <c r="MA2205" s="1"/>
    </row>
    <row r="2206" spans="4:339" ht="13" x14ac:dyDescent="0.15">
      <c r="D2206" s="12"/>
      <c r="E2206" s="12"/>
      <c r="I2206" s="12"/>
      <c r="J2206" s="13"/>
      <c r="BG2206" s="1"/>
      <c r="BH2206" s="1"/>
      <c r="BI2206" s="1"/>
      <c r="BK2206" s="1"/>
      <c r="BL2206" s="1"/>
      <c r="BM2206" s="1"/>
      <c r="BN2206" s="1"/>
      <c r="BO2206" s="1"/>
      <c r="CD2206" s="1"/>
      <c r="CM2206" s="2"/>
      <c r="ED2206" s="1"/>
      <c r="EL2206" s="1"/>
      <c r="EM2206" s="1"/>
      <c r="EN2206" s="1"/>
      <c r="EQ2206" s="1"/>
      <c r="ER2206" s="1"/>
      <c r="ES2206" s="1"/>
      <c r="EV2206" s="1"/>
      <c r="EW2206" s="1"/>
      <c r="EZ2206" s="1"/>
      <c r="HY2206" s="1"/>
      <c r="IS2206" s="1"/>
      <c r="IZ2206" s="1"/>
      <c r="JJ2206" s="1"/>
      <c r="JN2206" s="1"/>
      <c r="JP2206" s="1"/>
      <c r="JQ2206" s="1"/>
    </row>
    <row r="2207" spans="4:339" ht="13" x14ac:dyDescent="0.15">
      <c r="D2207" s="12"/>
      <c r="E2207" s="12"/>
      <c r="I2207" s="12"/>
      <c r="J2207" s="13"/>
      <c r="BF2207" s="1"/>
      <c r="BG2207" s="1"/>
      <c r="BH2207" s="1"/>
      <c r="BI2207" s="1"/>
      <c r="BK2207" s="1"/>
      <c r="BL2207" s="1"/>
      <c r="BM2207" s="1"/>
      <c r="BN2207" s="1"/>
      <c r="BO2207" s="1"/>
      <c r="BP2207" s="1"/>
      <c r="CD2207" s="1"/>
      <c r="CE2207" s="1"/>
      <c r="CF2207" s="1"/>
      <c r="CG2207" s="1"/>
      <c r="CM2207" s="2"/>
      <c r="CP2207" s="1"/>
      <c r="CQ2207" s="1"/>
      <c r="CR2207" s="1"/>
      <c r="CS2207" s="1"/>
      <c r="CT2207" s="1"/>
      <c r="CU2207" s="1"/>
      <c r="CV2207" s="1"/>
      <c r="CW2207" s="1"/>
      <c r="CX2207" s="1"/>
      <c r="CY2207" s="1"/>
      <c r="CZ2207" s="1"/>
      <c r="DA2207" s="1"/>
      <c r="DB2207" s="1"/>
      <c r="DC2207" s="1"/>
      <c r="DD2207" s="1"/>
      <c r="DE2207" s="1"/>
      <c r="DF2207" s="1"/>
      <c r="DG2207" s="1"/>
      <c r="DH2207" s="1"/>
      <c r="DI2207" s="1"/>
      <c r="DJ2207" s="1"/>
      <c r="DK2207" s="1"/>
      <c r="ED2207" s="1"/>
      <c r="EE2207" s="1"/>
      <c r="EF2207" s="1"/>
      <c r="EG2207" s="1"/>
      <c r="EH2207" s="1"/>
      <c r="EK2207" s="1"/>
      <c r="EL2207" s="1"/>
      <c r="EM2207" s="1"/>
      <c r="EN2207" s="1"/>
      <c r="EQ2207" s="1"/>
      <c r="ER2207" s="1"/>
      <c r="ES2207" s="1"/>
      <c r="EV2207" s="1"/>
      <c r="EW2207" s="1"/>
      <c r="EY2207" s="1"/>
      <c r="EZ2207" s="1"/>
      <c r="HY2207" s="1"/>
      <c r="IE2207" s="1"/>
      <c r="IF2207" s="1"/>
      <c r="IG2207" s="1"/>
      <c r="IJ2207" s="1"/>
      <c r="IR2207" s="1"/>
      <c r="IS2207" s="1"/>
      <c r="IZ2207" s="1"/>
      <c r="JH2207" s="1"/>
      <c r="JJ2207" s="1"/>
      <c r="JK2207" s="1"/>
      <c r="JL2207" s="3"/>
      <c r="JM2207" s="1"/>
      <c r="JN2207" s="1"/>
      <c r="JP2207" s="1"/>
      <c r="JQ2207" s="1"/>
      <c r="JR2207" s="1"/>
      <c r="LZ2207" s="1"/>
      <c r="MA2207" s="1"/>
    </row>
    <row r="2208" spans="4:339" ht="13" x14ac:dyDescent="0.15">
      <c r="D2208" s="12"/>
      <c r="E2208" s="12"/>
      <c r="I2208" s="12"/>
      <c r="J2208" s="13"/>
      <c r="BF2208" s="1"/>
      <c r="BG2208" s="1"/>
      <c r="BH2208" s="1"/>
      <c r="BI2208" s="1"/>
      <c r="BK2208" s="1"/>
      <c r="BL2208" s="1"/>
      <c r="BM2208" s="1"/>
      <c r="BN2208" s="1"/>
      <c r="BO2208" s="1"/>
      <c r="BP2208" s="1"/>
      <c r="CD2208" s="1"/>
      <c r="CE2208" s="1"/>
      <c r="CF2208" s="1"/>
      <c r="CG2208" s="1"/>
      <c r="CM2208" s="2"/>
      <c r="CP2208" s="1"/>
      <c r="CQ2208" s="1"/>
      <c r="CR2208" s="1"/>
      <c r="CS2208" s="1"/>
      <c r="CT2208" s="1"/>
      <c r="CU2208" s="1"/>
      <c r="CV2208" s="1"/>
      <c r="CW2208" s="1"/>
      <c r="CX2208" s="1"/>
      <c r="CY2208" s="1"/>
      <c r="CZ2208" s="1"/>
      <c r="DA2208" s="1"/>
      <c r="DB2208" s="1"/>
      <c r="DC2208" s="1"/>
      <c r="DD2208" s="1"/>
      <c r="DE2208" s="1"/>
      <c r="DF2208" s="1"/>
      <c r="DG2208" s="1"/>
      <c r="DH2208" s="1"/>
      <c r="DI2208" s="1"/>
      <c r="DJ2208" s="1"/>
      <c r="DK2208" s="1"/>
      <c r="ED2208" s="1"/>
      <c r="EE2208" s="1"/>
      <c r="EF2208" s="1"/>
      <c r="EG2208" s="1"/>
      <c r="EH2208" s="1"/>
      <c r="EK2208" s="1"/>
      <c r="EL2208" s="1"/>
      <c r="EM2208" s="1"/>
      <c r="EN2208" s="1"/>
      <c r="EQ2208" s="1"/>
      <c r="ER2208" s="1"/>
      <c r="ES2208" s="1"/>
      <c r="EV2208" s="1"/>
      <c r="EW2208" s="1"/>
      <c r="EY2208" s="1"/>
      <c r="EZ2208" s="1"/>
      <c r="GP2208" s="1"/>
      <c r="HY2208" s="1"/>
      <c r="IE2208" s="1"/>
      <c r="IF2208" s="1"/>
      <c r="IG2208" s="1"/>
      <c r="IJ2208" s="1"/>
      <c r="IS2208" s="1"/>
      <c r="IZ2208" s="1"/>
      <c r="JG2208" s="1"/>
      <c r="JH2208" s="1"/>
      <c r="JJ2208" s="1"/>
      <c r="JK2208" s="1"/>
      <c r="JL2208" s="3"/>
      <c r="JM2208" s="1"/>
      <c r="JP2208" s="1"/>
      <c r="JQ2208" s="1"/>
      <c r="JR2208" s="1"/>
      <c r="LZ2208" s="1"/>
      <c r="MA2208" s="1"/>
    </row>
    <row r="2209" spans="4:339" ht="13" x14ac:dyDescent="0.15">
      <c r="D2209" s="12"/>
      <c r="E2209" s="12"/>
      <c r="I2209" s="12"/>
      <c r="J2209" s="13"/>
      <c r="BF2209" s="1"/>
      <c r="BG2209" s="1"/>
      <c r="BH2209" s="1"/>
      <c r="BI2209" s="1"/>
      <c r="BK2209" s="1"/>
      <c r="BL2209" s="1"/>
      <c r="BM2209" s="1"/>
      <c r="BN2209" s="1"/>
      <c r="BO2209" s="1"/>
      <c r="BP2209" s="1"/>
      <c r="CD2209" s="1"/>
      <c r="CE2209" s="1"/>
      <c r="CF2209" s="1"/>
      <c r="CG2209" s="1"/>
      <c r="CM2209" s="2"/>
      <c r="CP2209" s="1"/>
      <c r="CQ2209" s="1"/>
      <c r="CR2209" s="1"/>
      <c r="CS2209" s="1"/>
      <c r="CT2209" s="1"/>
      <c r="CU2209" s="1"/>
      <c r="CV2209" s="1"/>
      <c r="CW2209" s="1"/>
      <c r="CX2209" s="1"/>
      <c r="CY2209" s="1"/>
      <c r="CZ2209" s="1"/>
      <c r="DA2209" s="1"/>
      <c r="DB2209" s="1"/>
      <c r="DC2209" s="1"/>
      <c r="DD2209" s="1"/>
      <c r="DE2209" s="1"/>
      <c r="DF2209" s="1"/>
      <c r="DG2209" s="1"/>
      <c r="DH2209" s="1"/>
      <c r="DI2209" s="1"/>
      <c r="DJ2209" s="1"/>
      <c r="DK2209" s="1"/>
      <c r="ED2209" s="1"/>
      <c r="EE2209" s="1"/>
      <c r="EF2209" s="1"/>
      <c r="EG2209" s="1"/>
      <c r="EH2209" s="1"/>
      <c r="EK2209" s="1"/>
      <c r="EL2209" s="1"/>
      <c r="EM2209" s="1"/>
      <c r="EN2209" s="1"/>
      <c r="EQ2209" s="1"/>
      <c r="ER2209" s="1"/>
      <c r="ES2209" s="1"/>
      <c r="EV2209" s="1"/>
      <c r="EW2209" s="1"/>
      <c r="EY2209" s="1"/>
      <c r="EZ2209" s="1"/>
      <c r="GP2209" s="1"/>
      <c r="HY2209" s="1"/>
      <c r="IE2209" s="1"/>
      <c r="IF2209" s="1"/>
      <c r="IG2209" s="1"/>
      <c r="IJ2209" s="1"/>
      <c r="IS2209" s="1"/>
      <c r="IZ2209" s="1"/>
      <c r="JG2209" s="1"/>
      <c r="JH2209" s="1"/>
      <c r="JJ2209" s="1"/>
      <c r="JK2209" s="1"/>
      <c r="JL2209" s="3"/>
      <c r="JM2209" s="1"/>
      <c r="JP2209" s="1"/>
      <c r="JQ2209" s="1"/>
      <c r="JR2209" s="1"/>
      <c r="LZ2209" s="1"/>
      <c r="MA2209" s="1"/>
    </row>
    <row r="2210" spans="4:339" ht="13" x14ac:dyDescent="0.15">
      <c r="D2210" s="12"/>
      <c r="E2210" s="12"/>
      <c r="I2210" s="12"/>
      <c r="J2210" s="13"/>
      <c r="BF2210" s="1"/>
      <c r="BG2210" s="1"/>
      <c r="BH2210" s="1"/>
      <c r="BI2210" s="1"/>
      <c r="BK2210" s="1"/>
      <c r="BL2210" s="1"/>
      <c r="BM2210" s="1"/>
      <c r="BN2210" s="1"/>
      <c r="BO2210" s="1"/>
      <c r="BP2210" s="1"/>
      <c r="CD2210" s="1"/>
      <c r="CE2210" s="1"/>
      <c r="CF2210" s="1"/>
      <c r="CG2210" s="1"/>
      <c r="CM2210" s="2"/>
      <c r="CP2210" s="1"/>
      <c r="CQ2210" s="1"/>
      <c r="CR2210" s="1"/>
      <c r="CS2210" s="1"/>
      <c r="CT2210" s="1"/>
      <c r="CU2210" s="1"/>
      <c r="CV2210" s="1"/>
      <c r="CW2210" s="1"/>
      <c r="CX2210" s="1"/>
      <c r="CY2210" s="1"/>
      <c r="CZ2210" s="1"/>
      <c r="DA2210" s="1"/>
      <c r="DB2210" s="1"/>
      <c r="DC2210" s="1"/>
      <c r="DD2210" s="1"/>
      <c r="DE2210" s="1"/>
      <c r="DF2210" s="1"/>
      <c r="DG2210" s="1"/>
      <c r="DH2210" s="1"/>
      <c r="DI2210" s="1"/>
      <c r="DJ2210" s="1"/>
      <c r="DK2210" s="1"/>
      <c r="ED2210" s="1"/>
      <c r="EE2210" s="1"/>
      <c r="EF2210" s="1"/>
      <c r="EG2210" s="1"/>
      <c r="EH2210" s="1"/>
      <c r="EK2210" s="1"/>
      <c r="EL2210" s="1"/>
      <c r="EM2210" s="1"/>
      <c r="EN2210" s="1"/>
      <c r="EQ2210" s="1"/>
      <c r="ER2210" s="1"/>
      <c r="ES2210" s="1"/>
      <c r="EV2210" s="1"/>
      <c r="EW2210" s="1"/>
      <c r="EY2210" s="1"/>
      <c r="EZ2210" s="1"/>
      <c r="GP2210" s="1"/>
      <c r="HY2210" s="1"/>
      <c r="IE2210" s="1"/>
      <c r="IF2210" s="1"/>
      <c r="IG2210" s="1"/>
      <c r="IJ2210" s="1"/>
      <c r="IS2210" s="1"/>
      <c r="IZ2210" s="1"/>
      <c r="JG2210" s="1"/>
      <c r="JH2210" s="1"/>
      <c r="JJ2210" s="1"/>
      <c r="JK2210" s="1"/>
      <c r="JL2210" s="3"/>
      <c r="JM2210" s="1"/>
      <c r="JP2210" s="1"/>
      <c r="JQ2210" s="1"/>
      <c r="JR2210" s="1"/>
      <c r="LZ2210" s="1"/>
      <c r="MA2210" s="1"/>
    </row>
    <row r="2211" spans="4:339" ht="13" x14ac:dyDescent="0.15">
      <c r="D2211" s="12"/>
      <c r="E2211" s="12"/>
      <c r="I2211" s="12"/>
      <c r="J2211" s="13"/>
      <c r="BF2211" s="1"/>
      <c r="BG2211" s="1"/>
      <c r="BH2211" s="1"/>
      <c r="BI2211" s="1"/>
      <c r="BK2211" s="1"/>
      <c r="BL2211" s="1"/>
      <c r="BM2211" s="1"/>
      <c r="BN2211" s="1"/>
      <c r="BO2211" s="1"/>
      <c r="BP2211" s="1"/>
      <c r="CD2211" s="1"/>
      <c r="CE2211" s="1"/>
      <c r="CF2211" s="1"/>
      <c r="CG2211" s="1"/>
      <c r="CM2211" s="2"/>
      <c r="CP2211" s="1"/>
      <c r="CQ2211" s="1"/>
      <c r="CR2211" s="1"/>
      <c r="CS2211" s="1"/>
      <c r="CT2211" s="1"/>
      <c r="CU2211" s="1"/>
      <c r="CV2211" s="1"/>
      <c r="CW2211" s="1"/>
      <c r="CX2211" s="1"/>
      <c r="CY2211" s="1"/>
      <c r="CZ2211" s="1"/>
      <c r="DA2211" s="1"/>
      <c r="DB2211" s="1"/>
      <c r="DC2211" s="1"/>
      <c r="DD2211" s="1"/>
      <c r="DE2211" s="1"/>
      <c r="DF2211" s="1"/>
      <c r="DG2211" s="1"/>
      <c r="DH2211" s="1"/>
      <c r="DI2211" s="1"/>
      <c r="DJ2211" s="1"/>
      <c r="DK2211" s="1"/>
      <c r="ED2211" s="1"/>
      <c r="EE2211" s="1"/>
      <c r="EF2211" s="1"/>
      <c r="EG2211" s="1"/>
      <c r="EH2211" s="1"/>
      <c r="EK2211" s="1"/>
      <c r="EL2211" s="1"/>
      <c r="EM2211" s="1"/>
      <c r="EN2211" s="1"/>
      <c r="EQ2211" s="1"/>
      <c r="ER2211" s="1"/>
      <c r="ES2211" s="1"/>
      <c r="EV2211" s="1"/>
      <c r="EW2211" s="1"/>
      <c r="EY2211" s="1"/>
      <c r="EZ2211" s="1"/>
      <c r="GP2211" s="1"/>
      <c r="HY2211" s="1"/>
      <c r="IE2211" s="1"/>
      <c r="IF2211" s="1"/>
      <c r="IG2211" s="1"/>
      <c r="IJ2211" s="1"/>
      <c r="IS2211" s="1"/>
      <c r="IZ2211" s="1"/>
      <c r="JG2211" s="1"/>
      <c r="JH2211" s="1"/>
      <c r="JJ2211" s="1"/>
      <c r="JK2211" s="1"/>
      <c r="JL2211" s="3"/>
      <c r="JM2211" s="1"/>
      <c r="JP2211" s="1"/>
      <c r="JQ2211" s="1"/>
      <c r="JR2211" s="1"/>
      <c r="LZ2211" s="1"/>
      <c r="MA2211" s="1"/>
    </row>
    <row r="2212" spans="4:339" ht="13" x14ac:dyDescent="0.15">
      <c r="D2212" s="12"/>
      <c r="E2212" s="12"/>
      <c r="I2212" s="12"/>
      <c r="J2212" s="13"/>
      <c r="BG2212" s="1"/>
      <c r="BH2212" s="1"/>
      <c r="BI2212" s="1"/>
      <c r="BK2212" s="1"/>
      <c r="BL2212" s="1"/>
      <c r="BM2212" s="1"/>
      <c r="BN2212" s="1"/>
      <c r="BO2212" s="1"/>
      <c r="BP2212" s="1"/>
      <c r="CD2212" s="1"/>
      <c r="CE2212" s="1"/>
      <c r="CF2212" s="1"/>
      <c r="CG2212" s="1"/>
      <c r="CM2212" s="2"/>
      <c r="CP2212" s="1"/>
      <c r="CQ2212" s="1"/>
      <c r="CR2212" s="1"/>
      <c r="CS2212" s="1"/>
      <c r="CT2212" s="1"/>
      <c r="CU2212" s="1"/>
      <c r="CV2212" s="1"/>
      <c r="CW2212" s="1"/>
      <c r="CX2212" s="1"/>
      <c r="CY2212" s="1"/>
      <c r="CZ2212" s="1"/>
      <c r="DA2212" s="1"/>
      <c r="DB2212" s="1"/>
      <c r="DC2212" s="1"/>
      <c r="DD2212" s="1"/>
      <c r="DE2212" s="1"/>
      <c r="DF2212" s="1"/>
      <c r="DG2212" s="1"/>
      <c r="DH2212" s="1"/>
      <c r="DI2212" s="1"/>
      <c r="DJ2212" s="1"/>
      <c r="DK2212" s="1"/>
      <c r="DQ2212" s="1"/>
      <c r="DR2212" s="1"/>
      <c r="DY2212" s="1"/>
      <c r="DZ2212" s="1"/>
      <c r="ED2212" s="1"/>
      <c r="EE2212" s="1"/>
      <c r="EF2212" s="1"/>
      <c r="EG2212" s="1"/>
      <c r="EH2212" s="1"/>
      <c r="EK2212" s="1"/>
      <c r="EL2212" s="1"/>
      <c r="EM2212" s="1"/>
      <c r="EN2212" s="1"/>
      <c r="EQ2212" s="1"/>
      <c r="ER2212" s="1"/>
      <c r="ES2212" s="1"/>
      <c r="EV2212" s="1"/>
      <c r="EW2212" s="1"/>
      <c r="EY2212" s="1"/>
      <c r="EZ2212" s="1"/>
      <c r="HY2212" s="1"/>
      <c r="IE2212" s="1"/>
      <c r="IG2212" s="1"/>
      <c r="IJ2212" s="1"/>
      <c r="IR2212" s="1"/>
      <c r="IS2212" s="1"/>
      <c r="IZ2212" s="1"/>
      <c r="JG2212" s="1"/>
      <c r="JH2212" s="1"/>
      <c r="JJ2212" s="1"/>
      <c r="JK2212" s="1"/>
      <c r="JL2212" s="3"/>
      <c r="JM2212" s="1"/>
      <c r="JN2212" s="1"/>
      <c r="JP2212" s="1"/>
      <c r="JQ2212" s="1"/>
      <c r="JR2212" s="1"/>
      <c r="LZ2212" s="1"/>
      <c r="MA2212" s="1"/>
    </row>
    <row r="2213" spans="4:339" ht="13" x14ac:dyDescent="0.15">
      <c r="D2213" s="12"/>
      <c r="E2213" s="12"/>
      <c r="I2213" s="12"/>
      <c r="J2213" s="13"/>
      <c r="BG2213" s="1"/>
      <c r="BH2213" s="1"/>
      <c r="BI2213" s="1"/>
      <c r="BK2213" s="1"/>
      <c r="BL2213" s="1"/>
      <c r="BM2213" s="1"/>
      <c r="BN2213" s="1"/>
      <c r="BO2213" s="1"/>
      <c r="BP2213" s="1"/>
      <c r="CD2213" s="1"/>
      <c r="CE2213" s="1"/>
      <c r="CF2213" s="1"/>
      <c r="CG2213" s="1"/>
      <c r="CM2213" s="2"/>
      <c r="CP2213" s="1"/>
      <c r="CQ2213" s="1"/>
      <c r="CR2213" s="1"/>
      <c r="CS2213" s="1"/>
      <c r="CT2213" s="1"/>
      <c r="CU2213" s="1"/>
      <c r="CV2213" s="1"/>
      <c r="CW2213" s="1"/>
      <c r="CX2213" s="1"/>
      <c r="CY2213" s="1"/>
      <c r="CZ2213" s="1"/>
      <c r="DA2213" s="1"/>
      <c r="DB2213" s="1"/>
      <c r="DC2213" s="1"/>
      <c r="DD2213" s="1"/>
      <c r="DE2213" s="1"/>
      <c r="DF2213" s="1"/>
      <c r="DG2213" s="1"/>
      <c r="DH2213" s="1"/>
      <c r="DI2213" s="1"/>
      <c r="DJ2213" s="1"/>
      <c r="DK2213" s="1"/>
      <c r="DQ2213" s="1"/>
      <c r="DR2213" s="1"/>
      <c r="DY2213" s="1"/>
      <c r="DZ2213" s="1"/>
      <c r="ED2213" s="1"/>
      <c r="EE2213" s="1"/>
      <c r="EF2213" s="1"/>
      <c r="EG2213" s="1"/>
      <c r="EH2213" s="1"/>
      <c r="EK2213" s="1"/>
      <c r="EL2213" s="1"/>
      <c r="EM2213" s="1"/>
      <c r="EN2213" s="1"/>
      <c r="EQ2213" s="1"/>
      <c r="ER2213" s="1"/>
      <c r="ES2213" s="1"/>
      <c r="EV2213" s="1"/>
      <c r="EW2213" s="1"/>
      <c r="EY2213" s="1"/>
      <c r="EZ2213" s="1"/>
      <c r="HY2213" s="1"/>
      <c r="IE2213" s="1"/>
      <c r="IG2213" s="1"/>
      <c r="IJ2213" s="1"/>
      <c r="IR2213" s="1"/>
      <c r="IS2213" s="1"/>
      <c r="IZ2213" s="1"/>
      <c r="JG2213" s="1"/>
      <c r="JH2213" s="1"/>
      <c r="JJ2213" s="1"/>
      <c r="JK2213" s="1"/>
      <c r="JL2213" s="3"/>
      <c r="JM2213" s="1"/>
      <c r="JN2213" s="1"/>
      <c r="JP2213" s="1"/>
      <c r="JQ2213" s="1"/>
      <c r="JR2213" s="1"/>
      <c r="LZ2213" s="1"/>
      <c r="MA2213" s="1"/>
    </row>
    <row r="2214" spans="4:339" ht="13" x14ac:dyDescent="0.15">
      <c r="D2214" s="12"/>
      <c r="E2214" s="12"/>
      <c r="I2214" s="12"/>
      <c r="J2214" s="13"/>
      <c r="BG2214" s="1"/>
      <c r="BH2214" s="1"/>
      <c r="BM2214" s="1"/>
      <c r="BN2214" s="1"/>
      <c r="CD2214" s="1"/>
      <c r="CM2214" s="2"/>
      <c r="ED2214" s="1"/>
      <c r="EL2214" s="1"/>
      <c r="EM2214" s="1"/>
      <c r="EN2214" s="1"/>
      <c r="EQ2214" s="1"/>
      <c r="ER2214" s="1"/>
      <c r="ES2214" s="1"/>
      <c r="EV2214" s="1"/>
      <c r="EW2214" s="1"/>
      <c r="EZ2214" s="1"/>
      <c r="IS2214" s="1"/>
      <c r="IZ2214" s="1"/>
      <c r="JF2214" s="1"/>
      <c r="JJ2214" s="1"/>
      <c r="JP2214" s="1"/>
      <c r="JQ2214" s="1"/>
    </row>
    <row r="2215" spans="4:339" ht="13" x14ac:dyDescent="0.15">
      <c r="D2215" s="12"/>
      <c r="E2215" s="12"/>
      <c r="I2215" s="12"/>
      <c r="J2215" s="13"/>
      <c r="BG2215" s="1"/>
      <c r="BH2215" s="1"/>
      <c r="BI2215" s="1"/>
      <c r="BK2215" s="1"/>
      <c r="BL2215" s="1"/>
      <c r="BM2215" s="1"/>
      <c r="BN2215" s="1"/>
      <c r="CD2215" s="1"/>
      <c r="CM2215" s="2"/>
      <c r="ED2215" s="1"/>
      <c r="EL2215" s="1"/>
      <c r="EM2215" s="1"/>
      <c r="EN2215" s="1"/>
      <c r="EQ2215" s="1"/>
      <c r="ER2215" s="1"/>
      <c r="ES2215" s="1"/>
      <c r="EV2215" s="1"/>
      <c r="EW2215" s="1"/>
      <c r="EZ2215" s="1"/>
      <c r="IS2215" s="1"/>
      <c r="IZ2215" s="1"/>
      <c r="JF2215" s="1"/>
      <c r="JH2215" s="1"/>
      <c r="JJ2215" s="1"/>
      <c r="JP2215" s="1"/>
      <c r="JQ2215" s="1"/>
      <c r="LZ2215" s="1"/>
    </row>
    <row r="2216" spans="4:339" ht="13" x14ac:dyDescent="0.15">
      <c r="D2216" s="12"/>
      <c r="E2216" s="12"/>
      <c r="I2216" s="12"/>
      <c r="J2216" s="13"/>
      <c r="BF2216" s="1"/>
      <c r="BG2216" s="1"/>
      <c r="BH2216" s="1"/>
      <c r="BI2216" s="1"/>
      <c r="BK2216" s="1"/>
      <c r="BL2216" s="1"/>
      <c r="BM2216" s="1"/>
      <c r="BN2216" s="1"/>
      <c r="BO2216" s="1"/>
      <c r="CD2216" s="1"/>
      <c r="CM2216" s="2"/>
      <c r="ED2216" s="1"/>
      <c r="EL2216" s="1"/>
      <c r="EM2216" s="1"/>
      <c r="EN2216" s="1"/>
      <c r="EQ2216" s="1"/>
      <c r="ER2216" s="1"/>
      <c r="ES2216" s="1"/>
      <c r="EV2216" s="1"/>
      <c r="EW2216" s="1"/>
      <c r="EZ2216" s="1"/>
      <c r="HY2216" s="1"/>
      <c r="IS2216" s="1"/>
      <c r="IZ2216" s="1"/>
      <c r="JH2216" s="1"/>
      <c r="JJ2216" s="1"/>
      <c r="JP2216" s="1"/>
      <c r="JQ2216" s="1"/>
      <c r="JU2216" s="1"/>
      <c r="LQ2216" s="1"/>
    </row>
    <row r="2217" spans="4:339" ht="13" x14ac:dyDescent="0.15">
      <c r="D2217" s="12"/>
      <c r="E2217" s="12"/>
      <c r="I2217" s="12"/>
      <c r="J2217" s="13"/>
      <c r="BF2217" s="1"/>
      <c r="BG2217" s="1"/>
      <c r="BH2217" s="1"/>
      <c r="BI2217" s="1"/>
      <c r="BK2217" s="1"/>
      <c r="BL2217" s="1"/>
      <c r="BM2217" s="1"/>
      <c r="BN2217" s="1"/>
      <c r="BO2217" s="1"/>
      <c r="CD2217" s="1"/>
      <c r="CM2217" s="2"/>
      <c r="ED2217" s="1"/>
      <c r="EL2217" s="1"/>
      <c r="EM2217" s="1"/>
      <c r="EN2217" s="1"/>
      <c r="EQ2217" s="1"/>
      <c r="ER2217" s="1"/>
      <c r="ES2217" s="1"/>
      <c r="EV2217" s="1"/>
      <c r="EW2217" s="1"/>
      <c r="EZ2217" s="1"/>
      <c r="HY2217" s="1"/>
      <c r="IS2217" s="1"/>
      <c r="IZ2217" s="1"/>
      <c r="JH2217" s="1"/>
      <c r="JJ2217" s="1"/>
      <c r="JP2217" s="1"/>
      <c r="JQ2217" s="1"/>
      <c r="JU2217" s="1"/>
      <c r="LQ2217" s="1"/>
    </row>
    <row r="2218" spans="4:339" ht="13" x14ac:dyDescent="0.15">
      <c r="D2218" s="12"/>
      <c r="E2218" s="12"/>
      <c r="I2218" s="12"/>
      <c r="J2218" s="13"/>
      <c r="BF2218" s="1"/>
      <c r="BG2218" s="1"/>
      <c r="BH2218" s="1"/>
      <c r="BI2218" s="1"/>
      <c r="BJ2218" s="1"/>
      <c r="BK2218" s="1"/>
      <c r="BL2218" s="1"/>
      <c r="BM2218" s="1"/>
      <c r="BN2218" s="1"/>
      <c r="BO2218" s="1"/>
      <c r="BP2218" s="1"/>
      <c r="CD2218" s="1"/>
      <c r="CE2218" s="1"/>
      <c r="CF2218" s="1"/>
      <c r="CG2218" s="1"/>
      <c r="CM2218" s="2"/>
      <c r="CP2218" s="1"/>
      <c r="CQ2218" s="1"/>
      <c r="CR2218" s="1"/>
      <c r="CT2218" s="1"/>
      <c r="CU2218" s="1"/>
      <c r="CV2218" s="1"/>
      <c r="CW2218" s="1"/>
      <c r="CX2218" s="1"/>
      <c r="CY2218" s="1"/>
      <c r="CZ2218" s="1"/>
      <c r="DA2218" s="1"/>
      <c r="DB2218" s="1"/>
      <c r="DC2218" s="1"/>
      <c r="DD2218" s="1"/>
      <c r="DE2218" s="1"/>
      <c r="DF2218" s="1"/>
      <c r="DG2218" s="1"/>
      <c r="DH2218" s="1"/>
      <c r="DI2218" s="1"/>
      <c r="DJ2218" s="1"/>
      <c r="DK2218" s="1"/>
      <c r="ED2218" s="1"/>
      <c r="EK2218" s="1"/>
      <c r="EL2218" s="1"/>
      <c r="EM2218" s="1"/>
      <c r="EN2218" s="1"/>
      <c r="EQ2218" s="1"/>
      <c r="ER2218" s="1"/>
      <c r="ES2218" s="1"/>
      <c r="EV2218" s="1"/>
      <c r="EW2218" s="1"/>
      <c r="EZ2218" s="1"/>
      <c r="GO2218" s="1"/>
      <c r="HY2218" s="1"/>
      <c r="IE2218" s="1"/>
      <c r="IR2218" s="1"/>
      <c r="IS2218" s="1"/>
      <c r="IZ2218" s="1"/>
      <c r="JJ2218" s="1"/>
      <c r="JN2218" s="1"/>
      <c r="JP2218" s="1"/>
      <c r="JQ2218" s="1"/>
      <c r="LZ2218" s="1"/>
      <c r="MA2218" s="1"/>
    </row>
    <row r="2219" spans="4:339" ht="13" x14ac:dyDescent="0.15">
      <c r="D2219" s="12"/>
      <c r="E2219" s="12"/>
      <c r="I2219" s="12"/>
      <c r="J2219" s="13"/>
      <c r="BF2219" s="1"/>
      <c r="BG2219" s="1"/>
      <c r="BH2219" s="1"/>
      <c r="BI2219" s="1"/>
      <c r="BJ2219" s="1"/>
      <c r="BK2219" s="1"/>
      <c r="BL2219" s="1"/>
      <c r="BM2219" s="1"/>
      <c r="BN2219" s="1"/>
      <c r="BO2219" s="1"/>
      <c r="BP2219" s="1"/>
      <c r="CD2219" s="1"/>
      <c r="CE2219" s="1"/>
      <c r="CF2219" s="1"/>
      <c r="CG2219" s="1"/>
      <c r="CM2219" s="2"/>
      <c r="CP2219" s="1"/>
      <c r="CQ2219" s="1"/>
      <c r="CR2219" s="1"/>
      <c r="CT2219" s="1"/>
      <c r="CU2219" s="1"/>
      <c r="CV2219" s="1"/>
      <c r="CW2219" s="1"/>
      <c r="CX2219" s="1"/>
      <c r="CY2219" s="1"/>
      <c r="CZ2219" s="1"/>
      <c r="DA2219" s="1"/>
      <c r="DB2219" s="1"/>
      <c r="DC2219" s="1"/>
      <c r="DD2219" s="1"/>
      <c r="DE2219" s="1"/>
      <c r="DF2219" s="1"/>
      <c r="DG2219" s="1"/>
      <c r="DH2219" s="1"/>
      <c r="DI2219" s="1"/>
      <c r="DJ2219" s="1"/>
      <c r="DK2219" s="1"/>
      <c r="ED2219" s="1"/>
      <c r="EK2219" s="1"/>
      <c r="EL2219" s="1"/>
      <c r="EM2219" s="1"/>
      <c r="EN2219" s="1"/>
      <c r="EQ2219" s="1"/>
      <c r="ER2219" s="1"/>
      <c r="ES2219" s="1"/>
      <c r="EV2219" s="1"/>
      <c r="EW2219" s="1"/>
      <c r="EZ2219" s="1"/>
      <c r="GO2219" s="1"/>
      <c r="HY2219" s="1"/>
      <c r="IE2219" s="1"/>
      <c r="IR2219" s="1"/>
      <c r="IS2219" s="1"/>
      <c r="IZ2219" s="1"/>
      <c r="JJ2219" s="1"/>
      <c r="JN2219" s="1"/>
      <c r="JP2219" s="1"/>
      <c r="JQ2219" s="1"/>
      <c r="LZ2219" s="1"/>
      <c r="MA2219" s="1"/>
    </row>
    <row r="2220" spans="4:339" ht="13" x14ac:dyDescent="0.15">
      <c r="D2220" s="12"/>
      <c r="E2220" s="12"/>
      <c r="I2220" s="12"/>
      <c r="J2220" s="13"/>
      <c r="BF2220" s="1"/>
      <c r="BG2220" s="1"/>
      <c r="BH2220" s="1"/>
      <c r="BI2220" s="1"/>
      <c r="BJ2220" s="1"/>
      <c r="BK2220" s="1"/>
      <c r="BL2220" s="1"/>
      <c r="BM2220" s="1"/>
      <c r="BN2220" s="1"/>
      <c r="BO2220" s="1"/>
      <c r="BP2220" s="1"/>
      <c r="CD2220" s="1"/>
      <c r="CE2220" s="1"/>
      <c r="CF2220" s="1"/>
      <c r="CG2220" s="1"/>
      <c r="CM2220" s="2"/>
      <c r="CP2220" s="1"/>
      <c r="CQ2220" s="1"/>
      <c r="CR2220" s="1"/>
      <c r="CT2220" s="1"/>
      <c r="CU2220" s="1"/>
      <c r="CV2220" s="1"/>
      <c r="CW2220" s="1"/>
      <c r="CX2220" s="1"/>
      <c r="CY2220" s="1"/>
      <c r="CZ2220" s="1"/>
      <c r="DA2220" s="1"/>
      <c r="DB2220" s="1"/>
      <c r="DC2220" s="1"/>
      <c r="DD2220" s="1"/>
      <c r="DE2220" s="1"/>
      <c r="DF2220" s="1"/>
      <c r="DG2220" s="1"/>
      <c r="DH2220" s="1"/>
      <c r="DI2220" s="1"/>
      <c r="DJ2220" s="1"/>
      <c r="DK2220" s="1"/>
      <c r="ED2220" s="1"/>
      <c r="EK2220" s="1"/>
      <c r="EL2220" s="1"/>
      <c r="EM2220" s="1"/>
      <c r="EN2220" s="1"/>
      <c r="EQ2220" s="1"/>
      <c r="ER2220" s="1"/>
      <c r="ES2220" s="1"/>
      <c r="EV2220" s="1"/>
      <c r="EW2220" s="1"/>
      <c r="EZ2220" s="1"/>
      <c r="GO2220" s="1"/>
      <c r="HY2220" s="1"/>
      <c r="IE2220" s="1"/>
      <c r="IR2220" s="1"/>
      <c r="IS2220" s="1"/>
      <c r="IZ2220" s="1"/>
      <c r="JJ2220" s="1"/>
      <c r="JN2220" s="1"/>
      <c r="JP2220" s="1"/>
      <c r="JQ2220" s="1"/>
      <c r="LZ2220" s="1"/>
      <c r="MA2220" s="1"/>
    </row>
    <row r="2221" spans="4:339" ht="13" x14ac:dyDescent="0.15">
      <c r="D2221" s="12"/>
      <c r="E2221" s="12"/>
      <c r="I2221" s="12"/>
      <c r="J2221" s="13"/>
      <c r="BG2221" s="1"/>
      <c r="BH2221" s="1"/>
      <c r="BM2221" s="1"/>
      <c r="BN2221" s="1"/>
      <c r="CD2221" s="1"/>
      <c r="CM2221" s="4"/>
      <c r="ED2221" s="1"/>
      <c r="EL2221" s="1"/>
      <c r="EM2221" s="1"/>
      <c r="EN2221" s="1"/>
      <c r="EQ2221" s="1"/>
      <c r="ER2221" s="1"/>
      <c r="ES2221" s="1"/>
      <c r="EV2221" s="1"/>
      <c r="EW2221" s="1"/>
      <c r="EZ2221" s="1"/>
      <c r="IS2221" s="1"/>
      <c r="IZ2221" s="1"/>
      <c r="JJ2221" s="1"/>
      <c r="JP2221" s="1"/>
      <c r="JQ2221" s="1"/>
      <c r="LZ2221" s="1"/>
    </row>
    <row r="2222" spans="4:339" ht="13" x14ac:dyDescent="0.15">
      <c r="D2222" s="12"/>
      <c r="E2222" s="12"/>
      <c r="I2222" s="12"/>
      <c r="J2222" s="13"/>
      <c r="BG2222" s="1"/>
      <c r="BH2222" s="1"/>
      <c r="BM2222" s="1"/>
      <c r="BN2222" s="1"/>
      <c r="CD2222" s="1"/>
      <c r="CM2222" s="4"/>
      <c r="ED2222" s="1"/>
      <c r="EL2222" s="1"/>
      <c r="EM2222" s="1"/>
      <c r="EN2222" s="1"/>
      <c r="EQ2222" s="1"/>
      <c r="ER2222" s="1"/>
      <c r="ES2222" s="1"/>
      <c r="EV2222" s="1"/>
      <c r="EW2222" s="1"/>
      <c r="EZ2222" s="1"/>
      <c r="IS2222" s="1"/>
      <c r="IZ2222" s="1"/>
      <c r="JJ2222" s="1"/>
      <c r="JP2222" s="1"/>
      <c r="JQ2222" s="1"/>
      <c r="LZ2222" s="1"/>
    </row>
    <row r="2223" spans="4:339" ht="13" x14ac:dyDescent="0.15">
      <c r="D2223" s="12"/>
      <c r="E2223" s="12"/>
      <c r="I2223" s="12"/>
      <c r="J2223" s="13"/>
      <c r="BG2223" s="1"/>
      <c r="BH2223" s="1"/>
      <c r="BM2223" s="1"/>
      <c r="BN2223" s="1"/>
      <c r="CD2223" s="1"/>
      <c r="CM2223" s="4"/>
      <c r="ED2223" s="1"/>
      <c r="EL2223" s="1"/>
      <c r="EM2223" s="1"/>
      <c r="EN2223" s="1"/>
      <c r="EQ2223" s="1"/>
      <c r="ER2223" s="1"/>
      <c r="ES2223" s="1"/>
      <c r="EV2223" s="1"/>
      <c r="EW2223" s="1"/>
      <c r="EZ2223" s="1"/>
      <c r="IS2223" s="1"/>
      <c r="IZ2223" s="1"/>
      <c r="JJ2223" s="1"/>
      <c r="JP2223" s="1"/>
      <c r="JQ2223" s="1"/>
      <c r="LZ2223" s="1"/>
    </row>
    <row r="2224" spans="4:339" ht="13" x14ac:dyDescent="0.15">
      <c r="D2224" s="12"/>
      <c r="E2224" s="12"/>
      <c r="I2224" s="12"/>
      <c r="J2224" s="13"/>
      <c r="BG2224" s="1"/>
      <c r="BH2224" s="1"/>
      <c r="BM2224" s="1"/>
      <c r="BN2224" s="1"/>
      <c r="CD2224" s="1"/>
      <c r="CM2224" s="4"/>
      <c r="ED2224" s="1"/>
      <c r="EL2224" s="1"/>
      <c r="EM2224" s="1"/>
      <c r="EN2224" s="1"/>
      <c r="EQ2224" s="1"/>
      <c r="ER2224" s="1"/>
      <c r="ES2224" s="1"/>
      <c r="EV2224" s="1"/>
      <c r="EW2224" s="1"/>
      <c r="EZ2224" s="1"/>
      <c r="IS2224" s="1"/>
      <c r="IZ2224" s="1"/>
      <c r="JJ2224" s="1"/>
      <c r="JP2224" s="1"/>
      <c r="JQ2224" s="1"/>
      <c r="LZ2224" s="1"/>
    </row>
    <row r="2225" spans="4:338" ht="13" x14ac:dyDescent="0.15">
      <c r="D2225" s="12"/>
      <c r="E2225" s="12"/>
      <c r="I2225" s="12"/>
      <c r="J2225" s="13"/>
      <c r="BG2225" s="1"/>
      <c r="BH2225" s="1"/>
      <c r="BM2225" s="1"/>
      <c r="BN2225" s="1"/>
      <c r="CD2225" s="1"/>
      <c r="CM2225" s="4"/>
      <c r="ED2225" s="1"/>
      <c r="EL2225" s="1"/>
      <c r="EM2225" s="1"/>
      <c r="EN2225" s="1"/>
      <c r="EQ2225" s="1"/>
      <c r="ER2225" s="1"/>
      <c r="ES2225" s="1"/>
      <c r="EV2225" s="1"/>
      <c r="EW2225" s="1"/>
      <c r="EZ2225" s="1"/>
      <c r="IS2225" s="1"/>
      <c r="IZ2225" s="1"/>
      <c r="JJ2225" s="1"/>
      <c r="JP2225" s="1"/>
      <c r="JQ2225" s="1"/>
      <c r="LZ2225" s="1"/>
    </row>
    <row r="2226" spans="4:338" ht="13" x14ac:dyDescent="0.15">
      <c r="D2226" s="12"/>
      <c r="E2226" s="12"/>
      <c r="I2226" s="12"/>
      <c r="J2226" s="13"/>
      <c r="BG2226" s="1"/>
      <c r="BH2226" s="1"/>
      <c r="BM2226" s="1"/>
      <c r="BN2226" s="1"/>
      <c r="CD2226" s="1"/>
      <c r="CM2226" s="4"/>
      <c r="ED2226" s="1"/>
      <c r="EL2226" s="1"/>
      <c r="EM2226" s="1"/>
      <c r="EN2226" s="1"/>
      <c r="EQ2226" s="1"/>
      <c r="ER2226" s="1"/>
      <c r="ES2226" s="1"/>
      <c r="EV2226" s="1"/>
      <c r="EW2226" s="1"/>
      <c r="EZ2226" s="1"/>
      <c r="IS2226" s="1"/>
      <c r="IZ2226" s="1"/>
      <c r="JJ2226" s="1"/>
      <c r="JP2226" s="1"/>
      <c r="JQ2226" s="1"/>
      <c r="LZ2226" s="1"/>
    </row>
    <row r="2227" spans="4:338" ht="13" x14ac:dyDescent="0.15">
      <c r="D2227" s="12"/>
      <c r="E2227" s="12"/>
      <c r="I2227" s="12"/>
      <c r="J2227" s="13"/>
      <c r="BG2227" s="1"/>
      <c r="BH2227" s="1"/>
      <c r="BM2227" s="1"/>
      <c r="BN2227" s="1"/>
      <c r="CD2227" s="1"/>
      <c r="CM2227" s="4"/>
      <c r="ED2227" s="1"/>
      <c r="EL2227" s="1"/>
      <c r="EM2227" s="1"/>
      <c r="EN2227" s="1"/>
      <c r="EQ2227" s="1"/>
      <c r="ER2227" s="1"/>
      <c r="ES2227" s="1"/>
      <c r="EV2227" s="1"/>
      <c r="EW2227" s="1"/>
      <c r="EZ2227" s="1"/>
      <c r="IS2227" s="1"/>
      <c r="IZ2227" s="1"/>
      <c r="JJ2227" s="1"/>
      <c r="JP2227" s="1"/>
      <c r="JQ2227" s="1"/>
      <c r="LZ2227" s="1"/>
    </row>
    <row r="2228" spans="4:338" ht="13" x14ac:dyDescent="0.15">
      <c r="D2228" s="12"/>
      <c r="E2228" s="12"/>
      <c r="I2228" s="12"/>
      <c r="J2228" s="13"/>
      <c r="BG2228" s="1"/>
      <c r="BH2228" s="1"/>
      <c r="BM2228" s="1"/>
      <c r="BN2228" s="1"/>
      <c r="CD2228" s="1"/>
      <c r="CM2228" s="4"/>
      <c r="ED2228" s="1"/>
      <c r="EL2228" s="1"/>
      <c r="EM2228" s="1"/>
      <c r="EN2228" s="1"/>
      <c r="EQ2228" s="1"/>
      <c r="ER2228" s="1"/>
      <c r="ES2228" s="1"/>
      <c r="EV2228" s="1"/>
      <c r="EW2228" s="1"/>
      <c r="EZ2228" s="1"/>
      <c r="IS2228" s="1"/>
      <c r="IZ2228" s="1"/>
      <c r="JJ2228" s="1"/>
      <c r="JP2228" s="1"/>
      <c r="JQ2228" s="1"/>
      <c r="LZ2228" s="1"/>
    </row>
    <row r="2229" spans="4:338" ht="13" x14ac:dyDescent="0.15">
      <c r="D2229" s="12"/>
      <c r="E2229" s="12"/>
      <c r="I2229" s="12"/>
      <c r="J2229" s="13"/>
      <c r="BG2229" s="1"/>
      <c r="BH2229" s="1"/>
      <c r="BM2229" s="1"/>
      <c r="BN2229" s="1"/>
      <c r="CD2229" s="1"/>
      <c r="CM2229" s="4"/>
      <c r="ED2229" s="1"/>
      <c r="EL2229" s="1"/>
      <c r="EM2229" s="1"/>
      <c r="EN2229" s="1"/>
      <c r="EQ2229" s="1"/>
      <c r="ER2229" s="1"/>
      <c r="ES2229" s="1"/>
      <c r="EV2229" s="1"/>
      <c r="EW2229" s="1"/>
      <c r="EZ2229" s="1"/>
      <c r="IS2229" s="1"/>
      <c r="IZ2229" s="1"/>
      <c r="JJ2229" s="1"/>
      <c r="JP2229" s="1"/>
      <c r="JQ2229" s="1"/>
      <c r="LZ2229" s="1"/>
    </row>
    <row r="2230" spans="4:338" ht="13" x14ac:dyDescent="0.15">
      <c r="D2230" s="12"/>
      <c r="E2230" s="12"/>
      <c r="I2230" s="12"/>
      <c r="J2230" s="13"/>
      <c r="BG2230" s="1"/>
      <c r="BH2230" s="1"/>
      <c r="BM2230" s="1"/>
      <c r="BN2230" s="1"/>
      <c r="CD2230" s="1"/>
      <c r="CM2230" s="4"/>
      <c r="ED2230" s="1"/>
      <c r="EL2230" s="1"/>
      <c r="EM2230" s="1"/>
      <c r="EN2230" s="1"/>
      <c r="EQ2230" s="1"/>
      <c r="ER2230" s="1"/>
      <c r="ES2230" s="1"/>
      <c r="EV2230" s="1"/>
      <c r="EW2230" s="1"/>
      <c r="EZ2230" s="1"/>
      <c r="IS2230" s="1"/>
      <c r="IZ2230" s="1"/>
      <c r="JJ2230" s="1"/>
      <c r="JP2230" s="1"/>
      <c r="JQ2230" s="1"/>
      <c r="LZ2230" s="1"/>
    </row>
    <row r="2231" spans="4:338" ht="13" x14ac:dyDescent="0.15">
      <c r="D2231" s="12"/>
      <c r="E2231" s="12"/>
      <c r="I2231" s="12"/>
      <c r="J2231" s="13"/>
      <c r="BG2231" s="1"/>
      <c r="BH2231" s="1"/>
      <c r="BM2231" s="1"/>
      <c r="BN2231" s="1"/>
      <c r="CD2231" s="1"/>
      <c r="CM2231" s="4"/>
      <c r="ED2231" s="1"/>
      <c r="EL2231" s="1"/>
      <c r="EM2231" s="1"/>
      <c r="EN2231" s="1"/>
      <c r="EQ2231" s="1"/>
      <c r="ER2231" s="1"/>
      <c r="ES2231" s="1"/>
      <c r="EV2231" s="1"/>
      <c r="EW2231" s="1"/>
      <c r="EZ2231" s="1"/>
      <c r="IS2231" s="1"/>
      <c r="IZ2231" s="1"/>
      <c r="JJ2231" s="1"/>
      <c r="JP2231" s="1"/>
      <c r="JQ2231" s="1"/>
      <c r="LZ2231" s="1"/>
    </row>
    <row r="2232" spans="4:338" ht="13" x14ac:dyDescent="0.15">
      <c r="D2232" s="12"/>
      <c r="E2232" s="12"/>
      <c r="I2232" s="12"/>
      <c r="J2232" s="13"/>
      <c r="BG2232" s="1"/>
      <c r="BH2232" s="1"/>
      <c r="BM2232" s="1"/>
      <c r="BN2232" s="1"/>
      <c r="CD2232" s="1"/>
      <c r="CM2232" s="4"/>
      <c r="ED2232" s="1"/>
      <c r="EL2232" s="1"/>
      <c r="EM2232" s="1"/>
      <c r="EN2232" s="1"/>
      <c r="EQ2232" s="1"/>
      <c r="ER2232" s="1"/>
      <c r="ES2232" s="1"/>
      <c r="EV2232" s="1"/>
      <c r="EW2232" s="1"/>
      <c r="EZ2232" s="1"/>
      <c r="IS2232" s="1"/>
      <c r="IZ2232" s="1"/>
      <c r="JJ2232" s="1"/>
      <c r="JP2232" s="1"/>
      <c r="JQ2232" s="1"/>
      <c r="LZ2232" s="1"/>
    </row>
    <row r="2233" spans="4:338" ht="13" x14ac:dyDescent="0.15">
      <c r="D2233" s="12"/>
      <c r="E2233" s="12"/>
      <c r="I2233" s="12"/>
      <c r="J2233" s="13"/>
      <c r="BG2233" s="1"/>
      <c r="BH2233" s="1"/>
      <c r="BM2233" s="1"/>
      <c r="BN2233" s="1"/>
      <c r="CD2233" s="1"/>
      <c r="CM2233" s="4"/>
      <c r="ED2233" s="1"/>
      <c r="EL2233" s="1"/>
      <c r="EM2233" s="1"/>
      <c r="EN2233" s="1"/>
      <c r="EQ2233" s="1"/>
      <c r="ER2233" s="1"/>
      <c r="ES2233" s="1"/>
      <c r="EV2233" s="1"/>
      <c r="EW2233" s="1"/>
      <c r="EZ2233" s="1"/>
      <c r="IS2233" s="1"/>
      <c r="IZ2233" s="1"/>
      <c r="JJ2233" s="1"/>
      <c r="JP2233" s="1"/>
      <c r="JQ2233" s="1"/>
      <c r="LZ2233" s="1"/>
    </row>
    <row r="2234" spans="4:338" ht="13" x14ac:dyDescent="0.15">
      <c r="D2234" s="12"/>
      <c r="E2234" s="12"/>
      <c r="I2234" s="12"/>
      <c r="J2234" s="13"/>
      <c r="BG2234" s="1"/>
      <c r="BH2234" s="1"/>
      <c r="BM2234" s="1"/>
      <c r="BN2234" s="1"/>
      <c r="CD2234" s="1"/>
      <c r="CM2234" s="4"/>
      <c r="ED2234" s="1"/>
      <c r="EL2234" s="1"/>
      <c r="EM2234" s="1"/>
      <c r="EN2234" s="1"/>
      <c r="EQ2234" s="1"/>
      <c r="ER2234" s="1"/>
      <c r="ES2234" s="1"/>
      <c r="EV2234" s="1"/>
      <c r="EW2234" s="1"/>
      <c r="EZ2234" s="1"/>
      <c r="IS2234" s="1"/>
      <c r="IZ2234" s="1"/>
      <c r="JJ2234" s="1"/>
      <c r="JP2234" s="1"/>
      <c r="JQ2234" s="1"/>
      <c r="LZ2234" s="1"/>
    </row>
    <row r="2235" spans="4:338" ht="13" x14ac:dyDescent="0.15">
      <c r="D2235" s="12"/>
      <c r="E2235" s="12"/>
      <c r="I2235" s="12"/>
      <c r="J2235" s="13"/>
      <c r="BG2235" s="1"/>
      <c r="BH2235" s="1"/>
      <c r="BM2235" s="1"/>
      <c r="BN2235" s="1"/>
      <c r="CD2235" s="1"/>
      <c r="CM2235" s="4"/>
      <c r="ED2235" s="1"/>
      <c r="EL2235" s="1"/>
      <c r="EM2235" s="1"/>
      <c r="EN2235" s="1"/>
      <c r="EQ2235" s="1"/>
      <c r="ER2235" s="1"/>
      <c r="ES2235" s="1"/>
      <c r="EV2235" s="1"/>
      <c r="EW2235" s="1"/>
      <c r="EZ2235" s="1"/>
      <c r="IS2235" s="1"/>
      <c r="IZ2235" s="1"/>
      <c r="JJ2235" s="1"/>
      <c r="JP2235" s="1"/>
      <c r="JQ2235" s="1"/>
      <c r="LZ2235" s="1"/>
    </row>
    <row r="2236" spans="4:338" ht="13" x14ac:dyDescent="0.15">
      <c r="D2236" s="12"/>
      <c r="E2236" s="12"/>
      <c r="I2236" s="12"/>
      <c r="J2236" s="13"/>
      <c r="BG2236" s="1"/>
      <c r="BH2236" s="1"/>
      <c r="BM2236" s="1"/>
      <c r="BN2236" s="1"/>
      <c r="CD2236" s="1"/>
      <c r="CM2236" s="4"/>
      <c r="ED2236" s="1"/>
      <c r="EL2236" s="1"/>
      <c r="EM2236" s="1"/>
      <c r="EN2236" s="1"/>
      <c r="EQ2236" s="1"/>
      <c r="ER2236" s="1"/>
      <c r="ES2236" s="1"/>
      <c r="EV2236" s="1"/>
      <c r="EW2236" s="1"/>
      <c r="EZ2236" s="1"/>
      <c r="IS2236" s="1"/>
      <c r="IZ2236" s="1"/>
      <c r="JJ2236" s="1"/>
      <c r="JP2236" s="1"/>
      <c r="JQ2236" s="1"/>
      <c r="LZ2236" s="1"/>
    </row>
    <row r="2237" spans="4:338" ht="13" x14ac:dyDescent="0.15">
      <c r="D2237" s="12"/>
      <c r="E2237" s="12"/>
      <c r="I2237" s="12"/>
      <c r="J2237" s="13"/>
      <c r="BG2237" s="1"/>
      <c r="BH2237" s="1"/>
      <c r="BM2237" s="1"/>
      <c r="BN2237" s="1"/>
      <c r="CD2237" s="1"/>
      <c r="CM2237" s="4"/>
      <c r="ED2237" s="1"/>
      <c r="EL2237" s="1"/>
      <c r="EM2237" s="1"/>
      <c r="EN2237" s="1"/>
      <c r="EQ2237" s="1"/>
      <c r="ER2237" s="1"/>
      <c r="ES2237" s="1"/>
      <c r="EV2237" s="1"/>
      <c r="EW2237" s="1"/>
      <c r="EZ2237" s="1"/>
      <c r="IS2237" s="1"/>
      <c r="IZ2237" s="1"/>
      <c r="JJ2237" s="1"/>
      <c r="JP2237" s="1"/>
      <c r="JQ2237" s="1"/>
      <c r="LZ2237" s="1"/>
    </row>
    <row r="2238" spans="4:338" ht="13" x14ac:dyDescent="0.15">
      <c r="D2238" s="12"/>
      <c r="E2238" s="12"/>
      <c r="I2238" s="12"/>
      <c r="J2238" s="13"/>
      <c r="BG2238" s="1"/>
      <c r="BH2238" s="1"/>
      <c r="BM2238" s="1"/>
      <c r="BN2238" s="1"/>
      <c r="CD2238" s="1"/>
      <c r="CM2238" s="4"/>
      <c r="ED2238" s="1"/>
      <c r="EL2238" s="1"/>
      <c r="EM2238" s="1"/>
      <c r="EN2238" s="1"/>
      <c r="EQ2238" s="1"/>
      <c r="ER2238" s="1"/>
      <c r="ES2238" s="1"/>
      <c r="EV2238" s="1"/>
      <c r="EW2238" s="1"/>
      <c r="EZ2238" s="1"/>
      <c r="IS2238" s="1"/>
      <c r="IZ2238" s="1"/>
      <c r="JJ2238" s="1"/>
      <c r="JP2238" s="1"/>
      <c r="JQ2238" s="1"/>
      <c r="LZ2238" s="1"/>
    </row>
    <row r="2239" spans="4:338" ht="13" x14ac:dyDescent="0.15">
      <c r="D2239" s="12"/>
      <c r="E2239" s="12"/>
      <c r="I2239" s="12"/>
      <c r="J2239" s="13"/>
      <c r="BG2239" s="1"/>
      <c r="BH2239" s="1"/>
      <c r="BM2239" s="1"/>
      <c r="BN2239" s="1"/>
      <c r="CD2239" s="1"/>
      <c r="CM2239" s="4"/>
      <c r="ED2239" s="1"/>
      <c r="EL2239" s="1"/>
      <c r="EM2239" s="1"/>
      <c r="EN2239" s="1"/>
      <c r="EQ2239" s="1"/>
      <c r="ER2239" s="1"/>
      <c r="ES2239" s="1"/>
      <c r="EV2239" s="1"/>
      <c r="EW2239" s="1"/>
      <c r="EZ2239" s="1"/>
      <c r="IS2239" s="1"/>
      <c r="IZ2239" s="1"/>
      <c r="JJ2239" s="1"/>
      <c r="JP2239" s="1"/>
      <c r="JQ2239" s="1"/>
      <c r="LZ2239" s="1"/>
    </row>
    <row r="2240" spans="4:338" ht="13" x14ac:dyDescent="0.15">
      <c r="D2240" s="12"/>
      <c r="E2240" s="12"/>
      <c r="I2240" s="12"/>
      <c r="J2240" s="13"/>
      <c r="BG2240" s="1"/>
      <c r="BH2240" s="1"/>
      <c r="BM2240" s="1"/>
      <c r="BN2240" s="1"/>
      <c r="CD2240" s="1"/>
      <c r="CM2240" s="4"/>
      <c r="ED2240" s="1"/>
      <c r="EL2240" s="1"/>
      <c r="EM2240" s="1"/>
      <c r="EN2240" s="1"/>
      <c r="EQ2240" s="1"/>
      <c r="ER2240" s="1"/>
      <c r="ES2240" s="1"/>
      <c r="EV2240" s="1"/>
      <c r="EW2240" s="1"/>
      <c r="EZ2240" s="1"/>
      <c r="IS2240" s="1"/>
      <c r="IZ2240" s="1"/>
      <c r="JJ2240" s="1"/>
      <c r="JP2240" s="1"/>
      <c r="JQ2240" s="1"/>
      <c r="LZ2240" s="1"/>
    </row>
    <row r="2241" spans="4:338" ht="13" x14ac:dyDescent="0.15">
      <c r="D2241" s="12"/>
      <c r="E2241" s="12"/>
      <c r="I2241" s="12"/>
      <c r="J2241" s="13"/>
      <c r="BG2241" s="1"/>
      <c r="BH2241" s="1"/>
      <c r="BM2241" s="1"/>
      <c r="BN2241" s="1"/>
      <c r="CD2241" s="1"/>
      <c r="CM2241" s="4"/>
      <c r="ED2241" s="1"/>
      <c r="EL2241" s="1"/>
      <c r="EM2241" s="1"/>
      <c r="EN2241" s="1"/>
      <c r="EQ2241" s="1"/>
      <c r="ER2241" s="1"/>
      <c r="ES2241" s="1"/>
      <c r="EV2241" s="1"/>
      <c r="EW2241" s="1"/>
      <c r="EZ2241" s="1"/>
      <c r="IS2241" s="1"/>
      <c r="IZ2241" s="1"/>
      <c r="JJ2241" s="1"/>
      <c r="JP2241" s="1"/>
      <c r="JQ2241" s="1"/>
      <c r="LZ2241" s="1"/>
    </row>
    <row r="2242" spans="4:338" ht="13" x14ac:dyDescent="0.15">
      <c r="D2242" s="12"/>
      <c r="E2242" s="12"/>
      <c r="I2242" s="12"/>
      <c r="J2242" s="13"/>
      <c r="BG2242" s="1"/>
      <c r="BH2242" s="1"/>
      <c r="BM2242" s="1"/>
      <c r="BN2242" s="1"/>
      <c r="CD2242" s="1"/>
      <c r="CM2242" s="4"/>
      <c r="ED2242" s="1"/>
      <c r="EL2242" s="1"/>
      <c r="EM2242" s="1"/>
      <c r="EN2242" s="1"/>
      <c r="EQ2242" s="1"/>
      <c r="ER2242" s="1"/>
      <c r="ES2242" s="1"/>
      <c r="EV2242" s="1"/>
      <c r="EW2242" s="1"/>
      <c r="EZ2242" s="1"/>
      <c r="IS2242" s="1"/>
      <c r="IZ2242" s="1"/>
      <c r="JJ2242" s="1"/>
      <c r="JP2242" s="1"/>
      <c r="JQ2242" s="1"/>
      <c r="LZ2242" s="1"/>
    </row>
    <row r="2243" spans="4:338" ht="13" x14ac:dyDescent="0.15">
      <c r="D2243" s="12"/>
      <c r="E2243" s="12"/>
      <c r="I2243" s="12"/>
      <c r="J2243" s="13"/>
      <c r="BG2243" s="1"/>
      <c r="BH2243" s="1"/>
      <c r="BM2243" s="1"/>
      <c r="BN2243" s="1"/>
      <c r="CD2243" s="1"/>
      <c r="CM2243" s="4"/>
      <c r="ED2243" s="1"/>
      <c r="EL2243" s="1"/>
      <c r="EM2243" s="1"/>
      <c r="EN2243" s="1"/>
      <c r="EQ2243" s="1"/>
      <c r="ER2243" s="1"/>
      <c r="ES2243" s="1"/>
      <c r="EV2243" s="1"/>
      <c r="EW2243" s="1"/>
      <c r="EZ2243" s="1"/>
      <c r="IS2243" s="1"/>
      <c r="IZ2243" s="1"/>
      <c r="JJ2243" s="1"/>
      <c r="JP2243" s="1"/>
      <c r="JQ2243" s="1"/>
      <c r="LZ2243" s="1"/>
    </row>
    <row r="2244" spans="4:338" ht="13" x14ac:dyDescent="0.15">
      <c r="D2244" s="12"/>
      <c r="E2244" s="12"/>
      <c r="I2244" s="12"/>
      <c r="J2244" s="13"/>
      <c r="BG2244" s="1"/>
      <c r="BH2244" s="1"/>
      <c r="BM2244" s="1"/>
      <c r="BN2244" s="1"/>
      <c r="CD2244" s="1"/>
      <c r="CM2244" s="4"/>
      <c r="ED2244" s="1"/>
      <c r="EL2244" s="1"/>
      <c r="EM2244" s="1"/>
      <c r="EN2244" s="1"/>
      <c r="EQ2244" s="1"/>
      <c r="ER2244" s="1"/>
      <c r="ES2244" s="1"/>
      <c r="EV2244" s="1"/>
      <c r="EW2244" s="1"/>
      <c r="EZ2244" s="1"/>
      <c r="IS2244" s="1"/>
      <c r="IZ2244" s="1"/>
      <c r="JJ2244" s="1"/>
      <c r="JP2244" s="1"/>
      <c r="JQ2244" s="1"/>
      <c r="LZ2244" s="1"/>
    </row>
    <row r="2245" spans="4:338" ht="13" x14ac:dyDescent="0.15">
      <c r="D2245" s="12"/>
      <c r="E2245" s="12"/>
      <c r="I2245" s="12"/>
      <c r="J2245" s="13"/>
      <c r="BG2245" s="1"/>
      <c r="BH2245" s="1"/>
      <c r="BM2245" s="1"/>
      <c r="BN2245" s="1"/>
      <c r="CD2245" s="1"/>
      <c r="CM2245" s="4"/>
      <c r="ED2245" s="1"/>
      <c r="EL2245" s="1"/>
      <c r="EM2245" s="1"/>
      <c r="EN2245" s="1"/>
      <c r="EQ2245" s="1"/>
      <c r="ER2245" s="1"/>
      <c r="ES2245" s="1"/>
      <c r="EV2245" s="1"/>
      <c r="EW2245" s="1"/>
      <c r="EZ2245" s="1"/>
      <c r="IS2245" s="1"/>
      <c r="IZ2245" s="1"/>
      <c r="JJ2245" s="1"/>
      <c r="JP2245" s="1"/>
      <c r="JQ2245" s="1"/>
      <c r="LZ2245" s="1"/>
    </row>
    <row r="2246" spans="4:338" ht="13" x14ac:dyDescent="0.15">
      <c r="D2246" s="12"/>
      <c r="E2246" s="12"/>
      <c r="I2246" s="12"/>
      <c r="J2246" s="13"/>
      <c r="BG2246" s="1"/>
      <c r="BH2246" s="1"/>
      <c r="BM2246" s="1"/>
      <c r="BN2246" s="1"/>
      <c r="CD2246" s="1"/>
      <c r="CM2246" s="4"/>
      <c r="ED2246" s="1"/>
      <c r="EL2246" s="1"/>
      <c r="EM2246" s="1"/>
      <c r="EN2246" s="1"/>
      <c r="EQ2246" s="1"/>
      <c r="ER2246" s="1"/>
      <c r="ES2246" s="1"/>
      <c r="EV2246" s="1"/>
      <c r="EW2246" s="1"/>
      <c r="EZ2246" s="1"/>
      <c r="IS2246" s="1"/>
      <c r="IZ2246" s="1"/>
      <c r="JJ2246" s="1"/>
      <c r="JP2246" s="1"/>
      <c r="JQ2246" s="1"/>
      <c r="LZ2246" s="1"/>
    </row>
    <row r="2247" spans="4:338" ht="13" x14ac:dyDescent="0.15">
      <c r="D2247" s="12"/>
      <c r="E2247" s="12"/>
      <c r="I2247" s="12"/>
      <c r="J2247" s="13"/>
      <c r="BG2247" s="1"/>
      <c r="BH2247" s="1"/>
      <c r="BM2247" s="1"/>
      <c r="BN2247" s="1"/>
      <c r="CD2247" s="1"/>
      <c r="CM2247" s="4"/>
      <c r="ED2247" s="1"/>
      <c r="EL2247" s="1"/>
      <c r="EM2247" s="1"/>
      <c r="EN2247" s="1"/>
      <c r="EQ2247" s="1"/>
      <c r="ER2247" s="1"/>
      <c r="ES2247" s="1"/>
      <c r="EV2247" s="1"/>
      <c r="EW2247" s="1"/>
      <c r="EZ2247" s="1"/>
      <c r="IS2247" s="1"/>
      <c r="IZ2247" s="1"/>
      <c r="JJ2247" s="1"/>
      <c r="JP2247" s="1"/>
      <c r="JQ2247" s="1"/>
      <c r="LZ2247" s="1"/>
    </row>
    <row r="2248" spans="4:338" ht="13" x14ac:dyDescent="0.15">
      <c r="D2248" s="12"/>
      <c r="E2248" s="12"/>
      <c r="I2248" s="12"/>
      <c r="J2248" s="13"/>
      <c r="BG2248" s="1"/>
      <c r="BH2248" s="1"/>
      <c r="BM2248" s="1"/>
      <c r="BN2248" s="1"/>
      <c r="CD2248" s="1"/>
      <c r="CM2248" s="4"/>
      <c r="ED2248" s="1"/>
      <c r="EL2248" s="1"/>
      <c r="EM2248" s="1"/>
      <c r="EN2248" s="1"/>
      <c r="EQ2248" s="1"/>
      <c r="ER2248" s="1"/>
      <c r="ES2248" s="1"/>
      <c r="EV2248" s="1"/>
      <c r="EW2248" s="1"/>
      <c r="EZ2248" s="1"/>
      <c r="IS2248" s="1"/>
      <c r="IZ2248" s="1"/>
      <c r="JJ2248" s="1"/>
      <c r="JP2248" s="1"/>
      <c r="JQ2248" s="1"/>
      <c r="LZ2248" s="1"/>
    </row>
    <row r="2249" spans="4:338" ht="13" x14ac:dyDescent="0.15">
      <c r="D2249" s="12"/>
      <c r="E2249" s="12"/>
      <c r="I2249" s="12"/>
      <c r="J2249" s="13"/>
      <c r="BG2249" s="1"/>
      <c r="BH2249" s="1"/>
      <c r="BM2249" s="1"/>
      <c r="BN2249" s="1"/>
      <c r="CD2249" s="1"/>
      <c r="CM2249" s="4"/>
      <c r="ED2249" s="1"/>
      <c r="EL2249" s="1"/>
      <c r="EM2249" s="1"/>
      <c r="EN2249" s="1"/>
      <c r="EQ2249" s="1"/>
      <c r="ER2249" s="1"/>
      <c r="ES2249" s="1"/>
      <c r="EV2249" s="1"/>
      <c r="EW2249" s="1"/>
      <c r="EZ2249" s="1"/>
      <c r="IS2249" s="1"/>
      <c r="IZ2249" s="1"/>
      <c r="JJ2249" s="1"/>
      <c r="JP2249" s="1"/>
      <c r="JQ2249" s="1"/>
      <c r="LZ2249" s="1"/>
    </row>
    <row r="2250" spans="4:338" ht="13" x14ac:dyDescent="0.15">
      <c r="D2250" s="12"/>
      <c r="E2250" s="12"/>
      <c r="I2250" s="12"/>
      <c r="J2250" s="13"/>
      <c r="BG2250" s="1"/>
      <c r="BH2250" s="1"/>
      <c r="BM2250" s="1"/>
      <c r="BN2250" s="1"/>
      <c r="CD2250" s="1"/>
      <c r="CM2250" s="4"/>
      <c r="ED2250" s="1"/>
      <c r="EL2250" s="1"/>
      <c r="EM2250" s="1"/>
      <c r="EN2250" s="1"/>
      <c r="EQ2250" s="1"/>
      <c r="ER2250" s="1"/>
      <c r="ES2250" s="1"/>
      <c r="EV2250" s="1"/>
      <c r="EW2250" s="1"/>
      <c r="EZ2250" s="1"/>
      <c r="IS2250" s="1"/>
      <c r="IZ2250" s="1"/>
      <c r="JJ2250" s="1"/>
      <c r="JP2250" s="1"/>
      <c r="JQ2250" s="1"/>
      <c r="LZ2250" s="1"/>
    </row>
    <row r="2251" spans="4:338" ht="13" x14ac:dyDescent="0.15">
      <c r="D2251" s="12"/>
      <c r="E2251" s="12"/>
      <c r="I2251" s="12"/>
      <c r="J2251" s="13"/>
      <c r="BG2251" s="1"/>
      <c r="BH2251" s="1"/>
      <c r="BI2251" s="1"/>
      <c r="BK2251" s="1"/>
      <c r="BL2251" s="1"/>
      <c r="BM2251" s="1"/>
      <c r="BN2251" s="1"/>
      <c r="CD2251" s="1"/>
      <c r="CM2251" s="4"/>
      <c r="ED2251" s="1"/>
      <c r="EL2251" s="1"/>
      <c r="EM2251" s="1"/>
      <c r="EN2251" s="1"/>
      <c r="EQ2251" s="1"/>
      <c r="ER2251" s="1"/>
      <c r="ES2251" s="1"/>
      <c r="EV2251" s="1"/>
      <c r="EW2251" s="1"/>
      <c r="EZ2251" s="1"/>
      <c r="IS2251" s="1"/>
      <c r="IY2251" s="1"/>
      <c r="IZ2251" s="1"/>
      <c r="JJ2251" s="1"/>
      <c r="JN2251" s="1"/>
      <c r="JP2251" s="1"/>
      <c r="JQ2251" s="1"/>
    </row>
    <row r="2252" spans="4:338" ht="13" x14ac:dyDescent="0.15">
      <c r="D2252" s="12"/>
      <c r="E2252" s="12"/>
      <c r="I2252" s="12"/>
      <c r="J2252" s="13"/>
      <c r="BG2252" s="1"/>
      <c r="BH2252" s="1"/>
      <c r="BI2252" s="1"/>
      <c r="BK2252" s="1"/>
      <c r="BL2252" s="1"/>
      <c r="BM2252" s="1"/>
      <c r="BN2252" s="1"/>
      <c r="CD2252" s="1"/>
      <c r="CM2252" s="2"/>
      <c r="ED2252" s="1"/>
      <c r="EL2252" s="1"/>
      <c r="EM2252" s="1"/>
      <c r="EN2252" s="1"/>
      <c r="EQ2252" s="1"/>
      <c r="ER2252" s="1"/>
      <c r="ES2252" s="1"/>
      <c r="EV2252" s="1"/>
      <c r="EW2252" s="1"/>
      <c r="EZ2252" s="1"/>
      <c r="HY2252" s="1"/>
      <c r="IS2252" s="1"/>
      <c r="IZ2252" s="1"/>
      <c r="JJ2252" s="1"/>
      <c r="JP2252" s="1"/>
      <c r="JQ2252" s="1"/>
    </row>
    <row r="2253" spans="4:338" ht="13" x14ac:dyDescent="0.15">
      <c r="D2253" s="12"/>
      <c r="E2253" s="12"/>
      <c r="I2253" s="12"/>
      <c r="J2253" s="13"/>
      <c r="BF2253" s="1"/>
      <c r="BG2253" s="1"/>
      <c r="BH2253" s="1"/>
      <c r="BI2253" s="1"/>
      <c r="BK2253" s="1"/>
      <c r="BL2253" s="1"/>
      <c r="BM2253" s="1"/>
      <c r="BN2253" s="1"/>
      <c r="CD2253" s="1"/>
      <c r="CM2253" s="2"/>
      <c r="ED2253" s="1"/>
      <c r="EL2253" s="1"/>
      <c r="EM2253" s="1"/>
      <c r="EN2253" s="1"/>
      <c r="EQ2253" s="1"/>
      <c r="ER2253" s="1"/>
      <c r="ES2253" s="1"/>
      <c r="EV2253" s="1"/>
      <c r="EW2253" s="1"/>
      <c r="EZ2253" s="1"/>
      <c r="HY2253" s="1"/>
      <c r="IS2253" s="1"/>
      <c r="IZ2253" s="1"/>
      <c r="JJ2253" s="1"/>
      <c r="JP2253" s="1"/>
      <c r="JQ2253" s="1"/>
    </row>
    <row r="2254" spans="4:338" ht="13" x14ac:dyDescent="0.15">
      <c r="D2254" s="12"/>
      <c r="E2254" s="12"/>
      <c r="I2254" s="12"/>
      <c r="J2254" s="13"/>
      <c r="BG2254" s="1"/>
      <c r="BH2254" s="1"/>
      <c r="BI2254" s="1"/>
      <c r="BJ2254" s="1"/>
      <c r="BK2254" s="1"/>
      <c r="BL2254" s="1"/>
      <c r="BM2254" s="1"/>
      <c r="BN2254" s="1"/>
      <c r="CD2254" s="1"/>
      <c r="CK2254" s="1"/>
      <c r="CM2254" s="4"/>
      <c r="ED2254" s="1"/>
      <c r="EL2254" s="1"/>
      <c r="EM2254" s="1"/>
      <c r="EN2254" s="1"/>
      <c r="EQ2254" s="1"/>
      <c r="ER2254" s="1"/>
      <c r="ES2254" s="1"/>
      <c r="EV2254" s="1"/>
      <c r="EW2254" s="1"/>
      <c r="EZ2254" s="1"/>
      <c r="IS2254" s="1"/>
      <c r="IY2254" s="1"/>
      <c r="IZ2254" s="1"/>
      <c r="JJ2254" s="1"/>
      <c r="JN2254" s="1"/>
      <c r="JP2254" s="1"/>
      <c r="JQ2254" s="1"/>
    </row>
    <row r="2255" spans="4:338" ht="13" x14ac:dyDescent="0.15">
      <c r="D2255" s="12"/>
      <c r="E2255" s="12"/>
      <c r="I2255" s="12"/>
      <c r="J2255" s="13"/>
      <c r="BG2255" s="1"/>
      <c r="BH2255" s="1"/>
      <c r="BI2255" s="1"/>
      <c r="BJ2255" s="1"/>
      <c r="BK2255" s="1"/>
      <c r="BL2255" s="1"/>
      <c r="BM2255" s="1"/>
      <c r="BN2255" s="1"/>
      <c r="CD2255" s="1"/>
      <c r="CK2255" s="1"/>
      <c r="CM2255" s="4"/>
      <c r="ED2255" s="1"/>
      <c r="EL2255" s="1"/>
      <c r="EM2255" s="1"/>
      <c r="EN2255" s="1"/>
      <c r="EQ2255" s="1"/>
      <c r="ER2255" s="1"/>
      <c r="ES2255" s="1"/>
      <c r="EV2255" s="1"/>
      <c r="EW2255" s="1"/>
      <c r="EZ2255" s="1"/>
      <c r="IS2255" s="1"/>
      <c r="IY2255" s="1"/>
      <c r="IZ2255" s="1"/>
      <c r="JJ2255" s="1"/>
      <c r="JN2255" s="1"/>
      <c r="JP2255" s="1"/>
      <c r="JQ2255" s="1"/>
    </row>
    <row r="2256" spans="4:338" ht="13" x14ac:dyDescent="0.15">
      <c r="D2256" s="12"/>
      <c r="E2256" s="12"/>
      <c r="I2256" s="12"/>
      <c r="J2256" s="13"/>
      <c r="BG2256" s="1"/>
      <c r="BH2256" s="1"/>
      <c r="BI2256" s="1"/>
      <c r="BJ2256" s="1"/>
      <c r="BK2256" s="1"/>
      <c r="BL2256" s="1"/>
      <c r="BM2256" s="1"/>
      <c r="BN2256" s="1"/>
      <c r="CD2256" s="1"/>
      <c r="CK2256" s="1"/>
      <c r="CM2256" s="4"/>
      <c r="ED2256" s="1"/>
      <c r="EL2256" s="1"/>
      <c r="EM2256" s="1"/>
      <c r="EN2256" s="1"/>
      <c r="EQ2256" s="1"/>
      <c r="ER2256" s="1"/>
      <c r="ES2256" s="1"/>
      <c r="EV2256" s="1"/>
      <c r="EW2256" s="1"/>
      <c r="EZ2256" s="1"/>
      <c r="IS2256" s="1"/>
      <c r="IY2256" s="1"/>
      <c r="IZ2256" s="1"/>
      <c r="JJ2256" s="1"/>
      <c r="JN2256" s="1"/>
      <c r="JP2256" s="1"/>
      <c r="JQ2256" s="1"/>
    </row>
    <row r="2257" spans="4:339" ht="13" x14ac:dyDescent="0.15">
      <c r="D2257" s="12"/>
      <c r="E2257" s="12"/>
      <c r="I2257" s="12"/>
      <c r="J2257" s="13"/>
      <c r="BF2257" s="1"/>
      <c r="BG2257" s="1"/>
      <c r="BH2257" s="1"/>
      <c r="BI2257" s="1"/>
      <c r="BJ2257" s="1"/>
      <c r="BK2257" s="1"/>
      <c r="BL2257" s="1"/>
      <c r="BM2257" s="1"/>
      <c r="BN2257" s="1"/>
      <c r="BO2257" s="1"/>
      <c r="CD2257" s="1"/>
      <c r="CM2257" s="2"/>
      <c r="ED2257" s="1"/>
      <c r="EL2257" s="1"/>
      <c r="EM2257" s="1"/>
      <c r="EN2257" s="1"/>
      <c r="EQ2257" s="1"/>
      <c r="ER2257" s="1"/>
      <c r="ES2257" s="1"/>
      <c r="EV2257" s="1"/>
      <c r="EW2257" s="1"/>
      <c r="EZ2257" s="1"/>
      <c r="IS2257" s="1"/>
      <c r="IZ2257" s="1"/>
      <c r="JJ2257" s="1"/>
      <c r="JP2257" s="1"/>
      <c r="JQ2257" s="1"/>
      <c r="LW2257" s="1"/>
    </row>
    <row r="2258" spans="4:339" ht="13" x14ac:dyDescent="0.15">
      <c r="D2258" s="12"/>
      <c r="E2258" s="12"/>
      <c r="I2258" s="12"/>
      <c r="J2258" s="13"/>
      <c r="BG2258" s="1"/>
      <c r="BH2258" s="1"/>
      <c r="BI2258" s="1"/>
      <c r="BK2258" s="1"/>
      <c r="BL2258" s="1"/>
      <c r="BM2258" s="1"/>
      <c r="BN2258" s="1"/>
      <c r="BO2258" s="1"/>
      <c r="BP2258" s="1"/>
      <c r="CD2258" s="1"/>
      <c r="CM2258" s="2"/>
      <c r="CP2258" s="1"/>
      <c r="CQ2258" s="1"/>
      <c r="CS2258" s="1"/>
      <c r="CT2258" s="1"/>
      <c r="CU2258" s="1"/>
      <c r="CV2258" s="1"/>
      <c r="CW2258" s="1"/>
      <c r="CX2258" s="1"/>
      <c r="CY2258" s="1"/>
      <c r="CZ2258" s="1"/>
      <c r="DA2258" s="1"/>
      <c r="DB2258" s="1"/>
      <c r="DC2258" s="1"/>
      <c r="DD2258" s="1"/>
      <c r="DE2258" s="1"/>
      <c r="DF2258" s="1"/>
      <c r="DG2258" s="1"/>
      <c r="DH2258" s="1"/>
      <c r="DI2258" s="1"/>
      <c r="DJ2258" s="1"/>
      <c r="DK2258" s="1"/>
      <c r="ED2258" s="1"/>
      <c r="EF2258" s="1"/>
      <c r="EK2258" s="1"/>
      <c r="EL2258" s="1"/>
      <c r="EM2258" s="1"/>
      <c r="EN2258" s="1"/>
      <c r="EQ2258" s="1"/>
      <c r="ER2258" s="1"/>
      <c r="ES2258" s="1"/>
      <c r="EV2258" s="1"/>
      <c r="EW2258" s="1"/>
      <c r="EZ2258" s="1"/>
      <c r="GO2258" s="1"/>
      <c r="IE2258" s="1"/>
      <c r="IG2258" s="1"/>
      <c r="IH2258" s="1"/>
      <c r="IJ2258" s="1"/>
      <c r="IS2258" s="1"/>
      <c r="IZ2258" s="1"/>
      <c r="JH2258" s="1"/>
      <c r="JJ2258" s="1"/>
      <c r="JK2258" s="1"/>
      <c r="JL2258" s="3"/>
      <c r="JM2258" s="1"/>
      <c r="JP2258" s="1"/>
      <c r="JQ2258" s="1"/>
      <c r="JR2258" s="1"/>
      <c r="JU2258" s="1"/>
      <c r="LZ2258" s="1"/>
      <c r="MA2258" s="1"/>
    </row>
    <row r="2259" spans="4:339" ht="13" x14ac:dyDescent="0.15">
      <c r="D2259" s="12"/>
      <c r="E2259" s="12"/>
      <c r="I2259" s="12"/>
      <c r="J2259" s="13"/>
      <c r="BF2259" s="1"/>
      <c r="BG2259" s="1"/>
      <c r="BH2259" s="1"/>
      <c r="BI2259" s="1"/>
      <c r="BK2259" s="1"/>
      <c r="BL2259" s="1"/>
      <c r="BM2259" s="1"/>
      <c r="BN2259" s="1"/>
      <c r="BO2259" s="1"/>
      <c r="BP2259" s="1"/>
      <c r="CD2259" s="1"/>
      <c r="CE2259" s="1"/>
      <c r="CF2259" s="1"/>
      <c r="CG2259" s="1"/>
      <c r="CM2259" s="2"/>
      <c r="CP2259" s="1"/>
      <c r="CQ2259" s="1"/>
      <c r="CX2259" s="1"/>
      <c r="CY2259" s="1"/>
      <c r="CZ2259" s="1"/>
      <c r="DA2259" s="1"/>
      <c r="DB2259" s="1"/>
      <c r="DC2259" s="1"/>
      <c r="DD2259" s="1"/>
      <c r="DE2259" s="1"/>
      <c r="DF2259" s="1"/>
      <c r="DG2259" s="1"/>
      <c r="DH2259" s="1"/>
      <c r="DI2259" s="1"/>
      <c r="DJ2259" s="1"/>
      <c r="DK2259" s="1"/>
      <c r="ED2259" s="1"/>
      <c r="EK2259" s="1"/>
      <c r="EL2259" s="1"/>
      <c r="EM2259" s="1"/>
      <c r="EN2259" s="1"/>
      <c r="EQ2259" s="1"/>
      <c r="ER2259" s="1"/>
      <c r="ES2259" s="1"/>
      <c r="EV2259" s="1"/>
      <c r="EW2259" s="1"/>
      <c r="EZ2259" s="1"/>
      <c r="GO2259" s="1"/>
      <c r="HY2259" s="1"/>
      <c r="IE2259" s="1"/>
      <c r="IR2259" s="1"/>
      <c r="IS2259" s="1"/>
      <c r="IZ2259" s="1"/>
      <c r="JJ2259" s="1"/>
      <c r="JN2259" s="1"/>
      <c r="JP2259" s="1"/>
      <c r="JQ2259" s="1"/>
      <c r="LZ2259" s="1"/>
      <c r="MA2259" s="1"/>
    </row>
    <row r="2260" spans="4:339" ht="13" x14ac:dyDescent="0.15">
      <c r="D2260" s="12"/>
      <c r="E2260" s="12"/>
      <c r="I2260" s="12"/>
      <c r="J2260" s="13"/>
      <c r="BG2260" s="1"/>
      <c r="BH2260" s="1"/>
      <c r="BI2260" s="1"/>
      <c r="BK2260" s="1"/>
      <c r="BL2260" s="1"/>
      <c r="BM2260" s="1"/>
      <c r="BN2260" s="1"/>
      <c r="BO2260" s="1"/>
      <c r="CD2260" s="1"/>
      <c r="CM2260" s="2"/>
      <c r="ED2260" s="1"/>
      <c r="EL2260" s="1"/>
      <c r="EM2260" s="1"/>
      <c r="EN2260" s="1"/>
      <c r="EQ2260" s="1"/>
      <c r="ER2260" s="1"/>
      <c r="ES2260" s="1"/>
      <c r="EV2260" s="1"/>
      <c r="EW2260" s="1"/>
      <c r="EZ2260" s="1"/>
      <c r="IS2260" s="1"/>
      <c r="IZ2260" s="1"/>
      <c r="JH2260" s="1"/>
      <c r="JJ2260" s="1"/>
      <c r="JP2260" s="1"/>
      <c r="JQ2260" s="1"/>
      <c r="JU2260" s="1"/>
    </row>
    <row r="2261" spans="4:339" ht="13" x14ac:dyDescent="0.15">
      <c r="D2261" s="12"/>
      <c r="E2261" s="12"/>
      <c r="I2261" s="12"/>
      <c r="J2261" s="13"/>
      <c r="BG2261" s="1"/>
      <c r="BH2261" s="1"/>
      <c r="BI2261" s="1"/>
      <c r="BK2261" s="1"/>
      <c r="BL2261" s="1"/>
      <c r="BM2261" s="1"/>
      <c r="BN2261" s="1"/>
      <c r="BO2261" s="1"/>
      <c r="BP2261" s="1"/>
      <c r="CD2261" s="1"/>
      <c r="CE2261" s="1"/>
      <c r="CF2261" s="1"/>
      <c r="CG2261" s="1"/>
      <c r="CM2261" s="2"/>
      <c r="CP2261" s="1"/>
      <c r="CQ2261" s="1"/>
      <c r="CR2261" s="1"/>
      <c r="CS2261" s="1"/>
      <c r="CT2261" s="1"/>
      <c r="CU2261" s="1"/>
      <c r="CV2261" s="1"/>
      <c r="CW2261" s="1"/>
      <c r="CX2261" s="1"/>
      <c r="CY2261" s="1"/>
      <c r="CZ2261" s="1"/>
      <c r="DA2261" s="1"/>
      <c r="DB2261" s="1"/>
      <c r="DC2261" s="1"/>
      <c r="DD2261" s="1"/>
      <c r="DE2261" s="1"/>
      <c r="DF2261" s="1"/>
      <c r="DG2261" s="1"/>
      <c r="DH2261" s="1"/>
      <c r="DI2261" s="1"/>
      <c r="DJ2261" s="1"/>
      <c r="DK2261" s="1"/>
      <c r="ED2261" s="1"/>
      <c r="EK2261" s="1"/>
      <c r="EL2261" s="1"/>
      <c r="EM2261" s="1"/>
      <c r="EN2261" s="1"/>
      <c r="EQ2261" s="1"/>
      <c r="ER2261" s="1"/>
      <c r="ES2261" s="1"/>
      <c r="EV2261" s="1"/>
      <c r="EW2261" s="1"/>
      <c r="EZ2261" s="1"/>
      <c r="GO2261" s="1"/>
      <c r="HY2261" s="1"/>
      <c r="IE2261" s="1"/>
      <c r="IS2261" s="1"/>
      <c r="IZ2261" s="1"/>
      <c r="JJ2261" s="1"/>
      <c r="JP2261" s="1"/>
      <c r="JQ2261" s="1"/>
      <c r="LZ2261" s="1"/>
    </row>
    <row r="2262" spans="4:339" ht="13" x14ac:dyDescent="0.15">
      <c r="D2262" s="12"/>
      <c r="E2262" s="12"/>
      <c r="I2262" s="12"/>
      <c r="J2262" s="13"/>
      <c r="BG2262" s="1"/>
      <c r="BH2262" s="1"/>
      <c r="BI2262" s="1"/>
      <c r="BJ2262" s="1"/>
      <c r="BK2262" s="1"/>
      <c r="BL2262" s="1"/>
      <c r="BM2262" s="1"/>
      <c r="BN2262" s="1"/>
      <c r="BO2262" s="1"/>
      <c r="BP2262" s="1"/>
      <c r="CC2262" s="1"/>
      <c r="CD2262" s="1"/>
      <c r="CE2262" s="1"/>
      <c r="CF2262" s="1"/>
      <c r="CG2262" s="1"/>
      <c r="CM2262" s="2"/>
      <c r="CP2262" s="1"/>
      <c r="CQ2262" s="1"/>
      <c r="CS2262" s="1"/>
      <c r="CT2262" s="1"/>
      <c r="CU2262" s="1"/>
      <c r="CV2262" s="1"/>
      <c r="CW2262" s="1"/>
      <c r="CX2262" s="1"/>
      <c r="CY2262" s="1"/>
      <c r="CZ2262" s="1"/>
      <c r="DA2262" s="1"/>
      <c r="DB2262" s="1"/>
      <c r="DC2262" s="1"/>
      <c r="DD2262" s="1"/>
      <c r="DE2262" s="1"/>
      <c r="DF2262" s="1"/>
      <c r="DG2262" s="1"/>
      <c r="DH2262" s="1"/>
      <c r="DI2262" s="1"/>
      <c r="DJ2262" s="1"/>
      <c r="DK2262" s="1"/>
      <c r="ED2262" s="1"/>
      <c r="EK2262" s="1"/>
      <c r="EL2262" s="1"/>
      <c r="EM2262" s="1"/>
      <c r="EN2262" s="1"/>
      <c r="EQ2262" s="1"/>
      <c r="ER2262" s="1"/>
      <c r="ES2262" s="1"/>
      <c r="EV2262" s="1"/>
      <c r="EW2262" s="1"/>
      <c r="EZ2262" s="1"/>
      <c r="HY2262" s="1"/>
      <c r="IE2262" s="1"/>
      <c r="IS2262" s="1"/>
      <c r="IZ2262" s="1"/>
      <c r="JH2262" s="1"/>
      <c r="JJ2262" s="1"/>
      <c r="JP2262" s="1"/>
      <c r="JQ2262" s="1"/>
      <c r="LZ2262" s="1"/>
      <c r="MA2262" s="1"/>
    </row>
    <row r="2263" spans="4:339" ht="13" x14ac:dyDescent="0.15">
      <c r="D2263" s="12"/>
      <c r="E2263" s="12"/>
      <c r="I2263" s="12"/>
      <c r="J2263" s="13"/>
      <c r="BG2263" s="1"/>
      <c r="BH2263" s="1"/>
      <c r="BI2263" s="1"/>
      <c r="BJ2263" s="1"/>
      <c r="BK2263" s="1"/>
      <c r="BL2263" s="1"/>
      <c r="BM2263" s="1"/>
      <c r="BN2263" s="1"/>
      <c r="BO2263" s="1"/>
      <c r="BP2263" s="1"/>
      <c r="CC2263" s="1"/>
      <c r="CD2263" s="1"/>
      <c r="CE2263" s="1"/>
      <c r="CF2263" s="1"/>
      <c r="CG2263" s="1"/>
      <c r="CM2263" s="2"/>
      <c r="CP2263" s="1"/>
      <c r="CQ2263" s="1"/>
      <c r="CS2263" s="1"/>
      <c r="CT2263" s="1"/>
      <c r="CU2263" s="1"/>
      <c r="CV2263" s="1"/>
      <c r="CW2263" s="1"/>
      <c r="CX2263" s="1"/>
      <c r="CY2263" s="1"/>
      <c r="CZ2263" s="1"/>
      <c r="DA2263" s="1"/>
      <c r="DB2263" s="1"/>
      <c r="DC2263" s="1"/>
      <c r="DD2263" s="1"/>
      <c r="DE2263" s="1"/>
      <c r="DF2263" s="1"/>
      <c r="DG2263" s="1"/>
      <c r="DH2263" s="1"/>
      <c r="DI2263" s="1"/>
      <c r="DJ2263" s="1"/>
      <c r="DK2263" s="1"/>
      <c r="ED2263" s="1"/>
      <c r="EK2263" s="1"/>
      <c r="EL2263" s="1"/>
      <c r="EM2263" s="1"/>
      <c r="EN2263" s="1"/>
      <c r="EQ2263" s="1"/>
      <c r="ER2263" s="1"/>
      <c r="ES2263" s="1"/>
      <c r="EV2263" s="1"/>
      <c r="EW2263" s="1"/>
      <c r="EZ2263" s="1"/>
      <c r="HY2263" s="1"/>
      <c r="IE2263" s="1"/>
      <c r="IS2263" s="1"/>
      <c r="IZ2263" s="1"/>
      <c r="JH2263" s="1"/>
      <c r="JJ2263" s="1"/>
      <c r="JP2263" s="1"/>
      <c r="JQ2263" s="1"/>
      <c r="LZ2263" s="1"/>
      <c r="MA2263" s="1"/>
    </row>
    <row r="2264" spans="4:339" ht="13" x14ac:dyDescent="0.15">
      <c r="D2264" s="12"/>
      <c r="E2264" s="12"/>
      <c r="I2264" s="12"/>
      <c r="J2264" s="13"/>
      <c r="BG2264" s="1"/>
      <c r="BH2264" s="1"/>
      <c r="BI2264" s="1"/>
      <c r="BJ2264" s="1"/>
      <c r="BK2264" s="1"/>
      <c r="BL2264" s="1"/>
      <c r="BM2264" s="1"/>
      <c r="BN2264" s="1"/>
      <c r="BO2264" s="1"/>
      <c r="BP2264" s="1"/>
      <c r="CC2264" s="1"/>
      <c r="CD2264" s="1"/>
      <c r="CE2264" s="1"/>
      <c r="CF2264" s="1"/>
      <c r="CG2264" s="1"/>
      <c r="CM2264" s="2"/>
      <c r="CP2264" s="1"/>
      <c r="CQ2264" s="1"/>
      <c r="CS2264" s="1"/>
      <c r="CT2264" s="1"/>
      <c r="CU2264" s="1"/>
      <c r="CV2264" s="1"/>
      <c r="CW2264" s="1"/>
      <c r="CX2264" s="1"/>
      <c r="CY2264" s="1"/>
      <c r="CZ2264" s="1"/>
      <c r="DA2264" s="1"/>
      <c r="DB2264" s="1"/>
      <c r="DC2264" s="1"/>
      <c r="DD2264" s="1"/>
      <c r="DE2264" s="1"/>
      <c r="DF2264" s="1"/>
      <c r="DG2264" s="1"/>
      <c r="DH2264" s="1"/>
      <c r="DI2264" s="1"/>
      <c r="DJ2264" s="1"/>
      <c r="DK2264" s="1"/>
      <c r="ED2264" s="1"/>
      <c r="EK2264" s="1"/>
      <c r="EL2264" s="1"/>
      <c r="EM2264" s="1"/>
      <c r="EN2264" s="1"/>
      <c r="EQ2264" s="1"/>
      <c r="ER2264" s="1"/>
      <c r="ES2264" s="1"/>
      <c r="EV2264" s="1"/>
      <c r="EW2264" s="1"/>
      <c r="EZ2264" s="1"/>
      <c r="HY2264" s="1"/>
      <c r="IE2264" s="1"/>
      <c r="IS2264" s="1"/>
      <c r="IZ2264" s="1"/>
      <c r="JH2264" s="1"/>
      <c r="JJ2264" s="1"/>
      <c r="JP2264" s="1"/>
      <c r="JQ2264" s="1"/>
      <c r="LZ2264" s="1"/>
      <c r="MA2264" s="1"/>
    </row>
    <row r="2265" spans="4:339" ht="13" x14ac:dyDescent="0.15">
      <c r="D2265" s="12"/>
      <c r="E2265" s="12"/>
      <c r="I2265" s="12"/>
      <c r="J2265" s="13"/>
      <c r="BF2265" s="1"/>
      <c r="BG2265" s="1"/>
      <c r="BH2265" s="1"/>
      <c r="BI2265" s="1"/>
      <c r="BJ2265" s="1"/>
      <c r="BK2265" s="1"/>
      <c r="BL2265" s="1"/>
      <c r="BM2265" s="1"/>
      <c r="BN2265" s="1"/>
      <c r="BP2265" s="1"/>
      <c r="CD2265" s="1"/>
      <c r="CM2265" s="2"/>
      <c r="CP2265" s="1"/>
      <c r="CQ2265" s="1"/>
      <c r="CS2265" s="1"/>
      <c r="CT2265" s="1"/>
      <c r="CU2265" s="1"/>
      <c r="CV2265" s="1"/>
      <c r="CW2265" s="1"/>
      <c r="CX2265" s="1"/>
      <c r="CY2265" s="1"/>
      <c r="CZ2265" s="1"/>
      <c r="DA2265" s="1"/>
      <c r="DB2265" s="1"/>
      <c r="DC2265" s="1"/>
      <c r="DD2265" s="1"/>
      <c r="DE2265" s="1"/>
      <c r="DF2265" s="1"/>
      <c r="DG2265" s="1"/>
      <c r="DH2265" s="1"/>
      <c r="DI2265" s="1"/>
      <c r="DJ2265" s="1"/>
      <c r="DK2265" s="1"/>
      <c r="ED2265" s="1"/>
      <c r="EK2265" s="1"/>
      <c r="EL2265" s="1"/>
      <c r="EM2265" s="1"/>
      <c r="EN2265" s="1"/>
      <c r="EQ2265" s="1"/>
      <c r="ER2265" s="1"/>
      <c r="ES2265" s="1"/>
      <c r="EV2265" s="1"/>
      <c r="EW2265" s="1"/>
      <c r="EZ2265" s="1"/>
      <c r="GO2265" s="1"/>
      <c r="IE2265" s="1"/>
      <c r="IS2265" s="1"/>
      <c r="IZ2265" s="1"/>
      <c r="JJ2265" s="1"/>
      <c r="JP2265" s="1"/>
      <c r="JQ2265" s="1"/>
      <c r="LZ2265" s="1"/>
      <c r="MA2265" s="1"/>
    </row>
    <row r="2266" spans="4:339" ht="13" x14ac:dyDescent="0.15">
      <c r="D2266" s="12"/>
      <c r="E2266" s="12"/>
      <c r="I2266" s="12"/>
      <c r="J2266" s="13"/>
      <c r="BG2266" s="1"/>
      <c r="BH2266" s="1"/>
      <c r="BI2266" s="1"/>
      <c r="BK2266" s="1"/>
      <c r="BL2266" s="1"/>
      <c r="BM2266" s="1"/>
      <c r="BN2266" s="1"/>
      <c r="BO2266" s="1"/>
      <c r="CD2266" s="1"/>
      <c r="CM2266" s="2"/>
      <c r="ED2266" s="1"/>
      <c r="EL2266" s="1"/>
      <c r="EM2266" s="1"/>
      <c r="EN2266" s="1"/>
      <c r="EQ2266" s="1"/>
      <c r="ER2266" s="1"/>
      <c r="ES2266" s="1"/>
      <c r="EV2266" s="1"/>
      <c r="EW2266" s="1"/>
      <c r="EZ2266" s="1"/>
      <c r="HY2266" s="1"/>
      <c r="IS2266" s="1"/>
      <c r="IZ2266" s="1"/>
      <c r="JJ2266" s="1"/>
      <c r="JP2266" s="1"/>
      <c r="JQ2266" s="1"/>
    </row>
    <row r="2267" spans="4:339" ht="13" x14ac:dyDescent="0.15">
      <c r="D2267" s="12"/>
      <c r="E2267" s="12"/>
      <c r="I2267" s="12"/>
      <c r="J2267" s="13"/>
      <c r="BG2267" s="1"/>
      <c r="BH2267" s="1"/>
      <c r="BI2267" s="1"/>
      <c r="BK2267" s="1"/>
      <c r="BL2267" s="1"/>
      <c r="BM2267" s="1"/>
      <c r="BN2267" s="1"/>
      <c r="BO2267" s="1"/>
      <c r="CD2267" s="1"/>
      <c r="CM2267" s="2"/>
      <c r="ED2267" s="1"/>
      <c r="EL2267" s="1"/>
      <c r="EM2267" s="1"/>
      <c r="EN2267" s="1"/>
      <c r="EQ2267" s="1"/>
      <c r="ER2267" s="1"/>
      <c r="ES2267" s="1"/>
      <c r="EV2267" s="1"/>
      <c r="EW2267" s="1"/>
      <c r="EZ2267" s="1"/>
      <c r="HY2267" s="1"/>
      <c r="IS2267" s="1"/>
      <c r="IZ2267" s="1"/>
      <c r="JJ2267" s="1"/>
      <c r="JP2267" s="1"/>
      <c r="JQ2267" s="1"/>
    </row>
    <row r="2268" spans="4:339" ht="13" x14ac:dyDescent="0.15">
      <c r="D2268" s="12"/>
      <c r="E2268" s="12"/>
      <c r="I2268" s="12"/>
      <c r="J2268" s="13"/>
      <c r="BG2268" s="1"/>
      <c r="BH2268" s="1"/>
      <c r="BK2268" s="1"/>
      <c r="BM2268" s="1"/>
      <c r="BN2268" s="1"/>
      <c r="CD2268" s="1"/>
      <c r="CM2268" s="2"/>
      <c r="ED2268" s="1"/>
      <c r="EL2268" s="1"/>
      <c r="EM2268" s="1"/>
      <c r="EN2268" s="1"/>
      <c r="EQ2268" s="1"/>
      <c r="ER2268" s="1"/>
      <c r="ES2268" s="1"/>
      <c r="EV2268" s="1"/>
      <c r="EW2268" s="1"/>
      <c r="EZ2268" s="1"/>
      <c r="IS2268" s="1"/>
      <c r="IY2268" s="1"/>
      <c r="IZ2268" s="1"/>
      <c r="JJ2268" s="1"/>
      <c r="JN2268" s="1"/>
      <c r="JP2268" s="1"/>
      <c r="JQ2268" s="1"/>
    </row>
    <row r="2269" spans="4:339" ht="13" x14ac:dyDescent="0.15">
      <c r="D2269" s="12"/>
      <c r="E2269" s="12"/>
      <c r="I2269" s="12"/>
      <c r="J2269" s="13"/>
      <c r="BG2269" s="1"/>
      <c r="BH2269" s="1"/>
      <c r="BK2269" s="1"/>
      <c r="BM2269" s="1"/>
      <c r="BN2269" s="1"/>
      <c r="CD2269" s="1"/>
      <c r="CM2269" s="2"/>
      <c r="ED2269" s="1"/>
      <c r="EL2269" s="1"/>
      <c r="EM2269" s="1"/>
      <c r="EN2269" s="1"/>
      <c r="EQ2269" s="1"/>
      <c r="ER2269" s="1"/>
      <c r="ES2269" s="1"/>
      <c r="EV2269" s="1"/>
      <c r="EW2269" s="1"/>
      <c r="EZ2269" s="1"/>
      <c r="IS2269" s="1"/>
      <c r="IY2269" s="1"/>
      <c r="IZ2269" s="1"/>
      <c r="JJ2269" s="1"/>
      <c r="JN2269" s="1"/>
      <c r="JP2269" s="1"/>
      <c r="JQ2269" s="1"/>
    </row>
    <row r="2270" spans="4:339" ht="13" x14ac:dyDescent="0.15">
      <c r="D2270" s="12"/>
      <c r="E2270" s="12"/>
      <c r="I2270" s="12"/>
      <c r="J2270" s="13"/>
      <c r="BG2270" s="1"/>
      <c r="BH2270" s="1"/>
      <c r="BI2270" s="1"/>
      <c r="BK2270" s="1"/>
      <c r="BL2270" s="1"/>
      <c r="BM2270" s="1"/>
      <c r="BN2270" s="1"/>
      <c r="BO2270" s="1"/>
      <c r="CD2270" s="1"/>
      <c r="CM2270" s="2"/>
      <c r="ED2270" s="1"/>
      <c r="EL2270" s="1"/>
      <c r="EM2270" s="1"/>
      <c r="EN2270" s="1"/>
      <c r="EQ2270" s="1"/>
      <c r="ER2270" s="1"/>
      <c r="ES2270" s="1"/>
      <c r="EV2270" s="1"/>
      <c r="EW2270" s="1"/>
      <c r="EZ2270" s="1"/>
      <c r="HY2270" s="1"/>
      <c r="IS2270" s="1"/>
      <c r="IZ2270" s="1"/>
      <c r="JJ2270" s="1"/>
      <c r="JP2270" s="1"/>
      <c r="JQ2270" s="1"/>
    </row>
    <row r="2271" spans="4:339" ht="13" x14ac:dyDescent="0.15">
      <c r="D2271" s="12"/>
      <c r="E2271" s="12"/>
      <c r="I2271" s="12"/>
      <c r="J2271" s="13"/>
      <c r="BG2271" s="1"/>
      <c r="BH2271" s="1"/>
      <c r="BI2271" s="1"/>
      <c r="BK2271" s="1"/>
      <c r="BL2271" s="1"/>
      <c r="BM2271" s="1"/>
      <c r="BN2271" s="1"/>
      <c r="BO2271" s="1"/>
      <c r="CD2271" s="1"/>
      <c r="CM2271" s="2"/>
      <c r="ED2271" s="1"/>
      <c r="EL2271" s="1"/>
      <c r="EM2271" s="1"/>
      <c r="EN2271" s="1"/>
      <c r="EQ2271" s="1"/>
      <c r="ER2271" s="1"/>
      <c r="ES2271" s="1"/>
      <c r="EV2271" s="1"/>
      <c r="EW2271" s="1"/>
      <c r="EZ2271" s="1"/>
      <c r="HY2271" s="1"/>
      <c r="IS2271" s="1"/>
      <c r="IZ2271" s="1"/>
      <c r="JJ2271" s="1"/>
      <c r="JP2271" s="1"/>
      <c r="JQ2271" s="1"/>
    </row>
    <row r="2272" spans="4:339" ht="13" x14ac:dyDescent="0.15">
      <c r="D2272" s="12"/>
      <c r="E2272" s="12"/>
      <c r="I2272" s="12"/>
      <c r="J2272" s="13"/>
      <c r="BG2272" s="1"/>
      <c r="BH2272" s="1"/>
      <c r="BI2272" s="1"/>
      <c r="BK2272" s="1"/>
      <c r="BL2272" s="1"/>
      <c r="BM2272" s="1"/>
      <c r="BN2272" s="1"/>
      <c r="BO2272" s="1"/>
      <c r="CD2272" s="1"/>
      <c r="CM2272" s="2"/>
      <c r="ED2272" s="1"/>
      <c r="EL2272" s="1"/>
      <c r="EM2272" s="1"/>
      <c r="EN2272" s="1"/>
      <c r="EQ2272" s="1"/>
      <c r="ER2272" s="1"/>
      <c r="ES2272" s="1"/>
      <c r="EV2272" s="1"/>
      <c r="EW2272" s="1"/>
      <c r="EZ2272" s="1"/>
      <c r="HY2272" s="1"/>
      <c r="IS2272" s="1"/>
      <c r="IZ2272" s="1"/>
      <c r="JJ2272" s="1"/>
      <c r="JP2272" s="1"/>
      <c r="JQ2272" s="1"/>
    </row>
    <row r="2273" spans="4:339" ht="13" x14ac:dyDescent="0.15">
      <c r="D2273" s="12"/>
      <c r="E2273" s="12"/>
      <c r="I2273" s="12"/>
      <c r="J2273" s="13"/>
      <c r="BG2273" s="1"/>
      <c r="BH2273" s="1"/>
      <c r="BI2273" s="1"/>
      <c r="BK2273" s="1"/>
      <c r="BL2273" s="1"/>
      <c r="BM2273" s="1"/>
      <c r="BN2273" s="1"/>
      <c r="BO2273" s="1"/>
      <c r="CD2273" s="1"/>
      <c r="CM2273" s="2"/>
      <c r="ED2273" s="1"/>
      <c r="EL2273" s="1"/>
      <c r="EM2273" s="1"/>
      <c r="EN2273" s="1"/>
      <c r="EQ2273" s="1"/>
      <c r="ER2273" s="1"/>
      <c r="ES2273" s="1"/>
      <c r="EV2273" s="1"/>
      <c r="EW2273" s="1"/>
      <c r="EZ2273" s="1"/>
      <c r="HY2273" s="1"/>
      <c r="IS2273" s="1"/>
      <c r="IZ2273" s="1"/>
      <c r="JJ2273" s="1"/>
      <c r="JP2273" s="1"/>
      <c r="JQ2273" s="1"/>
    </row>
    <row r="2274" spans="4:339" ht="13" x14ac:dyDescent="0.15">
      <c r="D2274" s="12"/>
      <c r="E2274" s="12"/>
      <c r="I2274" s="12"/>
      <c r="J2274" s="13"/>
      <c r="BG2274" s="1"/>
      <c r="BH2274" s="1"/>
      <c r="BI2274" s="1"/>
      <c r="BK2274" s="1"/>
      <c r="BL2274" s="1"/>
      <c r="BM2274" s="1"/>
      <c r="BN2274" s="1"/>
      <c r="BO2274" s="1"/>
      <c r="CD2274" s="1"/>
      <c r="CM2274" s="2"/>
      <c r="ED2274" s="1"/>
      <c r="EL2274" s="1"/>
      <c r="EM2274" s="1"/>
      <c r="EN2274" s="1"/>
      <c r="EQ2274" s="1"/>
      <c r="ER2274" s="1"/>
      <c r="ES2274" s="1"/>
      <c r="EV2274" s="1"/>
      <c r="EW2274" s="1"/>
      <c r="EZ2274" s="1"/>
      <c r="HY2274" s="1"/>
      <c r="IS2274" s="1"/>
      <c r="IZ2274" s="1"/>
      <c r="JJ2274" s="1"/>
      <c r="JP2274" s="1"/>
      <c r="JQ2274" s="1"/>
    </row>
    <row r="2275" spans="4:339" ht="13" x14ac:dyDescent="0.15">
      <c r="D2275" s="12"/>
      <c r="E2275" s="12"/>
      <c r="I2275" s="12"/>
      <c r="J2275" s="13"/>
      <c r="BG2275" s="1"/>
      <c r="BH2275" s="1"/>
      <c r="BI2275" s="1"/>
      <c r="BK2275" s="1"/>
      <c r="BL2275" s="1"/>
      <c r="BM2275" s="1"/>
      <c r="BN2275" s="1"/>
      <c r="BO2275" s="1"/>
      <c r="CD2275" s="1"/>
      <c r="CM2275" s="2"/>
      <c r="ED2275" s="1"/>
      <c r="EL2275" s="1"/>
      <c r="EM2275" s="1"/>
      <c r="EN2275" s="1"/>
      <c r="EQ2275" s="1"/>
      <c r="ER2275" s="1"/>
      <c r="ES2275" s="1"/>
      <c r="EV2275" s="1"/>
      <c r="EW2275" s="1"/>
      <c r="EZ2275" s="1"/>
      <c r="HY2275" s="1"/>
      <c r="IS2275" s="1"/>
      <c r="IZ2275" s="1"/>
      <c r="JJ2275" s="1"/>
      <c r="JP2275" s="1"/>
      <c r="JQ2275" s="1"/>
    </row>
    <row r="2276" spans="4:339" ht="13" x14ac:dyDescent="0.15">
      <c r="D2276" s="12"/>
      <c r="E2276" s="12"/>
      <c r="I2276" s="12"/>
      <c r="J2276" s="13"/>
      <c r="BG2276" s="1"/>
      <c r="BH2276" s="1"/>
      <c r="BI2276" s="1"/>
      <c r="BK2276" s="1"/>
      <c r="BL2276" s="1"/>
      <c r="BM2276" s="1"/>
      <c r="BN2276" s="1"/>
      <c r="BO2276" s="1"/>
      <c r="CD2276" s="1"/>
      <c r="CM2276" s="2"/>
      <c r="ED2276" s="1"/>
      <c r="EL2276" s="1"/>
      <c r="EM2276" s="1"/>
      <c r="EN2276" s="1"/>
      <c r="EQ2276" s="1"/>
      <c r="ER2276" s="1"/>
      <c r="ES2276" s="1"/>
      <c r="EV2276" s="1"/>
      <c r="EW2276" s="1"/>
      <c r="EZ2276" s="1"/>
      <c r="HY2276" s="1"/>
      <c r="IS2276" s="1"/>
      <c r="IZ2276" s="1"/>
      <c r="JJ2276" s="1"/>
      <c r="JP2276" s="1"/>
      <c r="JQ2276" s="1"/>
    </row>
    <row r="2277" spans="4:339" ht="13" x14ac:dyDescent="0.15">
      <c r="D2277" s="12"/>
      <c r="E2277" s="12"/>
      <c r="I2277" s="12"/>
      <c r="J2277" s="13"/>
      <c r="BG2277" s="1"/>
      <c r="BH2277" s="1"/>
      <c r="BI2277" s="1"/>
      <c r="BK2277" s="1"/>
      <c r="BL2277" s="1"/>
      <c r="BM2277" s="1"/>
      <c r="BN2277" s="1"/>
      <c r="BO2277" s="1"/>
      <c r="CD2277" s="1"/>
      <c r="CM2277" s="2"/>
      <c r="ED2277" s="1"/>
      <c r="EL2277" s="1"/>
      <c r="EM2277" s="1"/>
      <c r="EN2277" s="1"/>
      <c r="EQ2277" s="1"/>
      <c r="ER2277" s="1"/>
      <c r="ES2277" s="1"/>
      <c r="EV2277" s="1"/>
      <c r="EW2277" s="1"/>
      <c r="EZ2277" s="1"/>
      <c r="HY2277" s="1"/>
      <c r="IS2277" s="1"/>
      <c r="IZ2277" s="1"/>
      <c r="JJ2277" s="1"/>
      <c r="JP2277" s="1"/>
      <c r="JQ2277" s="1"/>
    </row>
    <row r="2278" spans="4:339" ht="13" x14ac:dyDescent="0.15">
      <c r="D2278" s="12"/>
      <c r="E2278" s="12"/>
      <c r="I2278" s="12"/>
      <c r="J2278" s="13"/>
      <c r="BF2278" s="1"/>
      <c r="BG2278" s="1"/>
      <c r="BH2278" s="1"/>
      <c r="BI2278" s="1"/>
      <c r="BK2278" s="1"/>
      <c r="BL2278" s="1"/>
      <c r="BM2278" s="1"/>
      <c r="BN2278" s="1"/>
      <c r="BP2278" s="1"/>
      <c r="CD2278" s="1"/>
      <c r="CM2278" s="2"/>
      <c r="CP2278" s="1"/>
      <c r="CQ2278" s="1"/>
      <c r="CR2278" s="1"/>
      <c r="CT2278" s="1"/>
      <c r="CU2278" s="1"/>
      <c r="CV2278" s="1"/>
      <c r="CW2278" s="1"/>
      <c r="CX2278" s="1"/>
      <c r="CY2278" s="1"/>
      <c r="CZ2278" s="1"/>
      <c r="DA2278" s="1"/>
      <c r="DB2278" s="1"/>
      <c r="DC2278" s="1"/>
      <c r="DD2278" s="1"/>
      <c r="DE2278" s="1"/>
      <c r="DF2278" s="1"/>
      <c r="DG2278" s="1"/>
      <c r="DH2278" s="1"/>
      <c r="DI2278" s="1"/>
      <c r="DJ2278" s="1"/>
      <c r="DK2278" s="1"/>
      <c r="ED2278" s="1"/>
      <c r="EK2278" s="1"/>
      <c r="EL2278" s="1"/>
      <c r="EM2278" s="1"/>
      <c r="EN2278" s="1"/>
      <c r="EQ2278" s="1"/>
      <c r="ER2278" s="1"/>
      <c r="ES2278" s="1"/>
      <c r="EV2278" s="1"/>
      <c r="EW2278" s="1"/>
      <c r="EZ2278" s="1"/>
      <c r="GO2278" s="1"/>
      <c r="HY2278" s="1"/>
      <c r="IE2278" s="1"/>
      <c r="IS2278" s="1"/>
      <c r="IZ2278" s="1"/>
      <c r="JH2278" s="1"/>
      <c r="JJ2278" s="1"/>
      <c r="JP2278" s="1"/>
      <c r="JQ2278" s="1"/>
      <c r="JU2278" s="1"/>
      <c r="LZ2278" s="1"/>
      <c r="MA2278" s="1"/>
    </row>
    <row r="2279" spans="4:339" ht="13" x14ac:dyDescent="0.15">
      <c r="D2279" s="12"/>
      <c r="E2279" s="12"/>
      <c r="I2279" s="12"/>
      <c r="J2279" s="13"/>
      <c r="BF2279" s="1"/>
      <c r="BG2279" s="1"/>
      <c r="BH2279" s="1"/>
      <c r="BI2279" s="1"/>
      <c r="BK2279" s="1"/>
      <c r="BL2279" s="1"/>
      <c r="BM2279" s="1"/>
      <c r="BN2279" s="1"/>
      <c r="BP2279" s="1"/>
      <c r="CD2279" s="1"/>
      <c r="CM2279" s="2"/>
      <c r="CP2279" s="1"/>
      <c r="CQ2279" s="1"/>
      <c r="CR2279" s="1"/>
      <c r="CT2279" s="1"/>
      <c r="CU2279" s="1"/>
      <c r="CV2279" s="1"/>
      <c r="CW2279" s="1"/>
      <c r="CX2279" s="1"/>
      <c r="CY2279" s="1"/>
      <c r="CZ2279" s="1"/>
      <c r="DA2279" s="1"/>
      <c r="DB2279" s="1"/>
      <c r="DC2279" s="1"/>
      <c r="DD2279" s="1"/>
      <c r="DE2279" s="1"/>
      <c r="DF2279" s="1"/>
      <c r="DG2279" s="1"/>
      <c r="DH2279" s="1"/>
      <c r="DI2279" s="1"/>
      <c r="DJ2279" s="1"/>
      <c r="DK2279" s="1"/>
      <c r="ED2279" s="1"/>
      <c r="EK2279" s="1"/>
      <c r="EL2279" s="1"/>
      <c r="EM2279" s="1"/>
      <c r="EN2279" s="1"/>
      <c r="EQ2279" s="1"/>
      <c r="ER2279" s="1"/>
      <c r="ES2279" s="1"/>
      <c r="EV2279" s="1"/>
      <c r="EW2279" s="1"/>
      <c r="EZ2279" s="1"/>
      <c r="GO2279" s="1"/>
      <c r="HY2279" s="1"/>
      <c r="IE2279" s="1"/>
      <c r="IS2279" s="1"/>
      <c r="IZ2279" s="1"/>
      <c r="JH2279" s="1"/>
      <c r="JJ2279" s="1"/>
      <c r="JP2279" s="1"/>
      <c r="JQ2279" s="1"/>
      <c r="JU2279" s="1"/>
      <c r="LZ2279" s="1"/>
      <c r="MA2279" s="1"/>
    </row>
    <row r="2280" spans="4:339" ht="13" x14ac:dyDescent="0.15">
      <c r="D2280" s="12"/>
      <c r="E2280" s="12"/>
      <c r="I2280" s="12"/>
      <c r="J2280" s="13"/>
      <c r="BF2280" s="1"/>
      <c r="BG2280" s="1"/>
      <c r="BH2280" s="1"/>
      <c r="BI2280" s="1"/>
      <c r="BK2280" s="1"/>
      <c r="BL2280" s="1"/>
      <c r="BM2280" s="1"/>
      <c r="BN2280" s="1"/>
      <c r="BP2280" s="1"/>
      <c r="CD2280" s="1"/>
      <c r="CM2280" s="2"/>
      <c r="CP2280" s="1"/>
      <c r="CQ2280" s="1"/>
      <c r="CR2280" s="1"/>
      <c r="CT2280" s="1"/>
      <c r="CU2280" s="1"/>
      <c r="CV2280" s="1"/>
      <c r="CW2280" s="1"/>
      <c r="CX2280" s="1"/>
      <c r="CY2280" s="1"/>
      <c r="CZ2280" s="1"/>
      <c r="DA2280" s="1"/>
      <c r="DB2280" s="1"/>
      <c r="DC2280" s="1"/>
      <c r="DD2280" s="1"/>
      <c r="DE2280" s="1"/>
      <c r="DF2280" s="1"/>
      <c r="DG2280" s="1"/>
      <c r="DH2280" s="1"/>
      <c r="DI2280" s="1"/>
      <c r="DJ2280" s="1"/>
      <c r="DK2280" s="1"/>
      <c r="ED2280" s="1"/>
      <c r="EK2280" s="1"/>
      <c r="EL2280" s="1"/>
      <c r="EM2280" s="1"/>
      <c r="EN2280" s="1"/>
      <c r="EQ2280" s="1"/>
      <c r="ER2280" s="1"/>
      <c r="ES2280" s="1"/>
      <c r="EV2280" s="1"/>
      <c r="EW2280" s="1"/>
      <c r="EZ2280" s="1"/>
      <c r="GO2280" s="1"/>
      <c r="HY2280" s="1"/>
      <c r="IE2280" s="1"/>
      <c r="IS2280" s="1"/>
      <c r="IZ2280" s="1"/>
      <c r="JH2280" s="1"/>
      <c r="JJ2280" s="1"/>
      <c r="JP2280" s="1"/>
      <c r="JQ2280" s="1"/>
      <c r="JU2280" s="1"/>
      <c r="LZ2280" s="1"/>
      <c r="MA2280" s="1"/>
    </row>
    <row r="2281" spans="4:339" ht="13" x14ac:dyDescent="0.15">
      <c r="D2281" s="12"/>
      <c r="E2281" s="12"/>
      <c r="I2281" s="12"/>
      <c r="J2281" s="13"/>
      <c r="BG2281" s="1"/>
      <c r="BH2281" s="1"/>
      <c r="BI2281" s="1"/>
      <c r="BK2281" s="1"/>
      <c r="BL2281" s="1"/>
      <c r="BM2281" s="1"/>
      <c r="BN2281" s="1"/>
      <c r="BO2281" s="1"/>
      <c r="CD2281" s="1"/>
      <c r="CM2281" s="2"/>
      <c r="ED2281" s="1"/>
      <c r="EL2281" s="1"/>
      <c r="EM2281" s="1"/>
      <c r="EN2281" s="1"/>
      <c r="EQ2281" s="1"/>
      <c r="ER2281" s="1"/>
      <c r="ES2281" s="1"/>
      <c r="EV2281" s="1"/>
      <c r="EW2281" s="1"/>
      <c r="EZ2281" s="1"/>
      <c r="HY2281" s="1"/>
      <c r="IS2281" s="1"/>
      <c r="IZ2281" s="1"/>
      <c r="JH2281" s="1"/>
      <c r="JJ2281" s="1"/>
      <c r="JP2281" s="1"/>
      <c r="JQ2281" s="1"/>
      <c r="JU2281" s="1"/>
      <c r="LZ2281" s="1"/>
    </row>
    <row r="2282" spans="4:339" ht="13" x14ac:dyDescent="0.15">
      <c r="D2282" s="12"/>
      <c r="E2282" s="12"/>
      <c r="I2282" s="12"/>
      <c r="J2282" s="13"/>
      <c r="BG2282" s="1"/>
      <c r="BH2282" s="1"/>
      <c r="BI2282" s="1"/>
      <c r="BJ2282" s="1"/>
      <c r="BK2282" s="1"/>
      <c r="BL2282" s="1"/>
      <c r="BM2282" s="1"/>
      <c r="BN2282" s="1"/>
      <c r="CD2282" s="1"/>
      <c r="CM2282" s="2"/>
      <c r="ED2282" s="1"/>
      <c r="EL2282" s="1"/>
      <c r="EM2282" s="1"/>
      <c r="EN2282" s="1"/>
      <c r="EQ2282" s="1"/>
      <c r="ER2282" s="1"/>
      <c r="ES2282" s="1"/>
      <c r="EV2282" s="1"/>
      <c r="EW2282" s="1"/>
      <c r="EZ2282" s="1"/>
      <c r="HY2282" s="1"/>
      <c r="IS2282" s="1"/>
      <c r="IZ2282" s="1"/>
      <c r="JJ2282" s="1"/>
      <c r="JP2282" s="1"/>
      <c r="JQ2282" s="1"/>
    </row>
    <row r="2283" spans="4:339" ht="13" x14ac:dyDescent="0.15">
      <c r="D2283" s="12"/>
      <c r="E2283" s="12"/>
      <c r="I2283" s="12"/>
      <c r="J2283" s="13"/>
      <c r="BG2283" s="1"/>
      <c r="BH2283" s="1"/>
      <c r="BI2283" s="1"/>
      <c r="BK2283" s="1"/>
      <c r="BL2283" s="1"/>
      <c r="BM2283" s="1"/>
      <c r="BN2283" s="1"/>
      <c r="BO2283" s="1"/>
      <c r="BP2283" s="1"/>
      <c r="CC2283" s="1"/>
      <c r="CD2283" s="1"/>
      <c r="CM2283" s="2"/>
      <c r="CP2283" s="1"/>
      <c r="CQ2283" s="1"/>
      <c r="CX2283" s="1"/>
      <c r="CY2283" s="1"/>
      <c r="CZ2283" s="1"/>
      <c r="DA2283" s="1"/>
      <c r="DB2283" s="1"/>
      <c r="DC2283" s="1"/>
      <c r="DD2283" s="1"/>
      <c r="DE2283" s="1"/>
      <c r="DF2283" s="1"/>
      <c r="DG2283" s="1"/>
      <c r="DH2283" s="1"/>
      <c r="DI2283" s="1"/>
      <c r="DJ2283" s="1"/>
      <c r="DK2283" s="1"/>
      <c r="ED2283" s="1"/>
      <c r="EK2283" s="1"/>
      <c r="EL2283" s="1"/>
      <c r="EM2283" s="1"/>
      <c r="EN2283" s="1"/>
      <c r="EQ2283" s="1"/>
      <c r="ER2283" s="1"/>
      <c r="ES2283" s="1"/>
      <c r="EV2283" s="1"/>
      <c r="EW2283" s="1"/>
      <c r="EZ2283" s="1"/>
      <c r="HY2283" s="1"/>
      <c r="IE2283" s="1"/>
      <c r="IR2283" s="1"/>
      <c r="IS2283" s="1"/>
      <c r="IZ2283" s="1"/>
      <c r="JJ2283" s="1"/>
      <c r="JP2283" s="1"/>
      <c r="JQ2283" s="1"/>
      <c r="LZ2283" s="1"/>
      <c r="MA2283" s="1"/>
    </row>
    <row r="2284" spans="4:339" ht="13" x14ac:dyDescent="0.15">
      <c r="D2284" s="12"/>
      <c r="E2284" s="12"/>
      <c r="I2284" s="12"/>
      <c r="J2284" s="13"/>
      <c r="BG2284" s="1"/>
      <c r="BH2284" s="1"/>
      <c r="BI2284" s="1"/>
      <c r="BK2284" s="1"/>
      <c r="BL2284" s="1"/>
      <c r="BM2284" s="1"/>
      <c r="BN2284" s="1"/>
      <c r="BO2284" s="1"/>
      <c r="BP2284" s="1"/>
      <c r="CC2284" s="1"/>
      <c r="CD2284" s="1"/>
      <c r="CM2284" s="2"/>
      <c r="CP2284" s="1"/>
      <c r="CQ2284" s="1"/>
      <c r="CX2284" s="1"/>
      <c r="CY2284" s="1"/>
      <c r="CZ2284" s="1"/>
      <c r="DA2284" s="1"/>
      <c r="DB2284" s="1"/>
      <c r="DC2284" s="1"/>
      <c r="DD2284" s="1"/>
      <c r="DE2284" s="1"/>
      <c r="DF2284" s="1"/>
      <c r="DG2284" s="1"/>
      <c r="DH2284" s="1"/>
      <c r="DI2284" s="1"/>
      <c r="DJ2284" s="1"/>
      <c r="DK2284" s="1"/>
      <c r="ED2284" s="1"/>
      <c r="EK2284" s="1"/>
      <c r="EL2284" s="1"/>
      <c r="EM2284" s="1"/>
      <c r="EN2284" s="1"/>
      <c r="EQ2284" s="1"/>
      <c r="ER2284" s="1"/>
      <c r="ES2284" s="1"/>
      <c r="EV2284" s="1"/>
      <c r="EW2284" s="1"/>
      <c r="EZ2284" s="1"/>
      <c r="HY2284" s="1"/>
      <c r="IE2284" s="1"/>
      <c r="IR2284" s="1"/>
      <c r="IS2284" s="1"/>
      <c r="IZ2284" s="1"/>
      <c r="JJ2284" s="1"/>
      <c r="JP2284" s="1"/>
      <c r="JQ2284" s="1"/>
      <c r="LZ2284" s="1"/>
      <c r="MA2284" s="1"/>
    </row>
    <row r="2285" spans="4:339" ht="13" x14ac:dyDescent="0.15">
      <c r="D2285" s="12"/>
      <c r="E2285" s="12"/>
      <c r="I2285" s="12"/>
      <c r="J2285" s="13"/>
      <c r="BF2285" s="1"/>
      <c r="BG2285" s="1"/>
      <c r="BH2285" s="1"/>
      <c r="BI2285" s="1"/>
      <c r="BK2285" s="1"/>
      <c r="BL2285" s="1"/>
      <c r="BM2285" s="1"/>
      <c r="BN2285" s="1"/>
      <c r="BO2285" s="1"/>
      <c r="CC2285" s="1"/>
      <c r="CD2285" s="1"/>
      <c r="CM2285" s="2"/>
      <c r="ED2285" s="1"/>
      <c r="EL2285" s="1"/>
      <c r="EM2285" s="1"/>
      <c r="EN2285" s="1"/>
      <c r="EQ2285" s="1"/>
      <c r="ER2285" s="1"/>
      <c r="ES2285" s="1"/>
      <c r="EV2285" s="1"/>
      <c r="EW2285" s="1"/>
      <c r="EZ2285" s="1"/>
      <c r="HY2285" s="1"/>
      <c r="IS2285" s="1"/>
      <c r="IZ2285" s="1"/>
      <c r="JJ2285" s="1"/>
      <c r="JP2285" s="1"/>
      <c r="JQ2285" s="1"/>
    </row>
    <row r="2286" spans="4:339" ht="13" x14ac:dyDescent="0.15">
      <c r="D2286" s="12"/>
      <c r="E2286" s="12"/>
      <c r="I2286" s="12"/>
      <c r="J2286" s="13"/>
      <c r="BG2286" s="1"/>
      <c r="BH2286" s="1"/>
      <c r="BI2286" s="1"/>
      <c r="BK2286" s="1"/>
      <c r="BL2286" s="1"/>
      <c r="BM2286" s="1"/>
      <c r="BN2286" s="1"/>
      <c r="BO2286" s="1"/>
      <c r="CC2286" s="1"/>
      <c r="CD2286" s="1"/>
      <c r="CM2286" s="2"/>
      <c r="ED2286" s="1"/>
      <c r="EL2286" s="1"/>
      <c r="EM2286" s="1"/>
      <c r="EN2286" s="1"/>
      <c r="EQ2286" s="1"/>
      <c r="ER2286" s="1"/>
      <c r="ES2286" s="1"/>
      <c r="EV2286" s="1"/>
      <c r="EW2286" s="1"/>
      <c r="EZ2286" s="1"/>
      <c r="HY2286" s="1"/>
      <c r="IS2286" s="1"/>
      <c r="IZ2286" s="1"/>
      <c r="JJ2286" s="1"/>
      <c r="JP2286" s="1"/>
      <c r="JQ2286" s="1"/>
    </row>
    <row r="2287" spans="4:339" ht="13" x14ac:dyDescent="0.15">
      <c r="D2287" s="12"/>
      <c r="E2287" s="12"/>
      <c r="I2287" s="12"/>
      <c r="J2287" s="13"/>
      <c r="BG2287" s="1"/>
      <c r="BH2287" s="1"/>
      <c r="BI2287" s="1"/>
      <c r="BK2287" s="1"/>
      <c r="BL2287" s="1"/>
      <c r="BM2287" s="1"/>
      <c r="BN2287" s="1"/>
      <c r="BO2287" s="1"/>
      <c r="CC2287" s="1"/>
      <c r="CD2287" s="1"/>
      <c r="CM2287" s="2"/>
      <c r="ED2287" s="1"/>
      <c r="EL2287" s="1"/>
      <c r="EM2287" s="1"/>
      <c r="EN2287" s="1"/>
      <c r="EQ2287" s="1"/>
      <c r="ER2287" s="1"/>
      <c r="ES2287" s="1"/>
      <c r="EV2287" s="1"/>
      <c r="EW2287" s="1"/>
      <c r="EZ2287" s="1"/>
      <c r="HY2287" s="1"/>
      <c r="IS2287" s="1"/>
      <c r="IZ2287" s="1"/>
      <c r="JJ2287" s="1"/>
      <c r="JP2287" s="1"/>
      <c r="JQ2287" s="1"/>
    </row>
    <row r="2288" spans="4:339" ht="13" x14ac:dyDescent="0.15">
      <c r="D2288" s="12"/>
      <c r="E2288" s="12"/>
      <c r="I2288" s="12"/>
      <c r="J2288" s="13"/>
      <c r="BG2288" s="1"/>
      <c r="BH2288" s="1"/>
      <c r="BI2288" s="1"/>
      <c r="BK2288" s="1"/>
      <c r="BL2288" s="1"/>
      <c r="BM2288" s="1"/>
      <c r="BN2288" s="1"/>
      <c r="BO2288" s="1"/>
      <c r="BP2288" s="1"/>
      <c r="CD2288" s="1"/>
      <c r="CE2288" s="1"/>
      <c r="CF2288" s="1"/>
      <c r="CM2288" s="2"/>
      <c r="CP2288" s="1"/>
      <c r="CQ2288" s="1"/>
      <c r="CR2288" s="1"/>
      <c r="CS2288" s="1"/>
      <c r="CT2288" s="1"/>
      <c r="CU2288" s="1"/>
      <c r="CV2288" s="1"/>
      <c r="CW2288" s="1"/>
      <c r="CX2288" s="1"/>
      <c r="CY2288" s="1"/>
      <c r="CZ2288" s="1"/>
      <c r="DA2288" s="1"/>
      <c r="DB2288" s="1"/>
      <c r="DC2288" s="1"/>
      <c r="DD2288" s="1"/>
      <c r="DE2288" s="1"/>
      <c r="DF2288" s="1"/>
      <c r="DG2288" s="1"/>
      <c r="DH2288" s="1"/>
      <c r="DI2288" s="1"/>
      <c r="DJ2288" s="1"/>
      <c r="DK2288" s="1"/>
      <c r="ED2288" s="1"/>
      <c r="EE2288" s="1"/>
      <c r="EF2288" s="1"/>
      <c r="EG2288" s="1"/>
      <c r="EH2288" s="1"/>
      <c r="EK2288" s="1"/>
      <c r="EL2288" s="1"/>
      <c r="EM2288" s="1"/>
      <c r="EN2288" s="1"/>
      <c r="EQ2288" s="1"/>
      <c r="ER2288" s="1"/>
      <c r="ES2288" s="1"/>
      <c r="EV2288" s="1"/>
      <c r="EW2288" s="1"/>
      <c r="EY2288" s="1"/>
      <c r="EZ2288" s="1"/>
      <c r="HY2288" s="1"/>
      <c r="IE2288" s="1"/>
      <c r="IG2288" s="1"/>
      <c r="IJ2288" s="1"/>
      <c r="IS2288" s="1"/>
      <c r="IZ2288" s="1"/>
      <c r="JJ2288" s="1"/>
      <c r="JK2288" s="1"/>
      <c r="JL2288" s="6"/>
      <c r="JM2288" s="1"/>
      <c r="JP2288" s="1"/>
      <c r="JQ2288" s="1"/>
      <c r="JR2288" s="1"/>
      <c r="LZ2288" s="1"/>
      <c r="MA2288" s="1"/>
    </row>
    <row r="2289" spans="4:339" ht="13" x14ac:dyDescent="0.15">
      <c r="D2289" s="12"/>
      <c r="E2289" s="12"/>
      <c r="I2289" s="12"/>
      <c r="J2289" s="13"/>
      <c r="BG2289" s="1"/>
      <c r="BH2289" s="1"/>
      <c r="BI2289" s="1"/>
      <c r="BJ2289" s="1"/>
      <c r="BK2289" s="1"/>
      <c r="BL2289" s="1"/>
      <c r="BM2289" s="1"/>
      <c r="BN2289" s="1"/>
      <c r="BP2289" s="1"/>
      <c r="CD2289" s="1"/>
      <c r="CM2289" s="2"/>
      <c r="CP2289" s="1"/>
      <c r="CQ2289" s="1"/>
      <c r="CR2289" s="1"/>
      <c r="CT2289" s="1"/>
      <c r="CU2289" s="1"/>
      <c r="CV2289" s="1"/>
      <c r="CW2289" s="1"/>
      <c r="CX2289" s="1"/>
      <c r="CY2289" s="1"/>
      <c r="CZ2289" s="1"/>
      <c r="DA2289" s="1"/>
      <c r="DB2289" s="1"/>
      <c r="DC2289" s="1"/>
      <c r="DD2289" s="1"/>
      <c r="DE2289" s="1"/>
      <c r="DF2289" s="1"/>
      <c r="DG2289" s="1"/>
      <c r="DH2289" s="1"/>
      <c r="DI2289" s="1"/>
      <c r="DJ2289" s="1"/>
      <c r="DK2289" s="1"/>
      <c r="ED2289" s="1"/>
      <c r="EK2289" s="1"/>
      <c r="EL2289" s="1"/>
      <c r="EM2289" s="1"/>
      <c r="EN2289" s="1"/>
      <c r="EQ2289" s="1"/>
      <c r="ER2289" s="1"/>
      <c r="ES2289" s="1"/>
      <c r="EV2289" s="1"/>
      <c r="EW2289" s="1"/>
      <c r="EZ2289" s="1"/>
      <c r="GO2289" s="1"/>
      <c r="IE2289" s="1"/>
      <c r="IS2289" s="1"/>
      <c r="IZ2289" s="1"/>
      <c r="JJ2289" s="1"/>
      <c r="JP2289" s="1"/>
      <c r="JQ2289" s="1"/>
      <c r="LZ2289" s="1"/>
      <c r="MA2289" s="1"/>
    </row>
    <row r="2290" spans="4:339" ht="13" x14ac:dyDescent="0.15">
      <c r="D2290" s="12"/>
      <c r="E2290" s="12"/>
      <c r="I2290" s="12"/>
      <c r="J2290" s="13"/>
      <c r="BG2290" s="1"/>
      <c r="BH2290" s="1"/>
      <c r="BI2290" s="1"/>
      <c r="BJ2290" s="1"/>
      <c r="BK2290" s="1"/>
      <c r="BL2290" s="1"/>
      <c r="BM2290" s="1"/>
      <c r="BN2290" s="1"/>
      <c r="BP2290" s="1"/>
      <c r="CD2290" s="1"/>
      <c r="CM2290" s="2"/>
      <c r="CP2290" s="1"/>
      <c r="CQ2290" s="1"/>
      <c r="CR2290" s="1"/>
      <c r="CT2290" s="1"/>
      <c r="CU2290" s="1"/>
      <c r="CV2290" s="1"/>
      <c r="CW2290" s="1"/>
      <c r="CX2290" s="1"/>
      <c r="CY2290" s="1"/>
      <c r="CZ2290" s="1"/>
      <c r="DA2290" s="1"/>
      <c r="DB2290" s="1"/>
      <c r="DC2290" s="1"/>
      <c r="DD2290" s="1"/>
      <c r="DE2290" s="1"/>
      <c r="DF2290" s="1"/>
      <c r="DG2290" s="1"/>
      <c r="DH2290" s="1"/>
      <c r="DI2290" s="1"/>
      <c r="DJ2290" s="1"/>
      <c r="DK2290" s="1"/>
      <c r="ED2290" s="1"/>
      <c r="EK2290" s="1"/>
      <c r="EL2290" s="1"/>
      <c r="EM2290" s="1"/>
      <c r="EN2290" s="1"/>
      <c r="EQ2290" s="1"/>
      <c r="ER2290" s="1"/>
      <c r="ES2290" s="1"/>
      <c r="EV2290" s="1"/>
      <c r="EW2290" s="1"/>
      <c r="EZ2290" s="1"/>
      <c r="GO2290" s="1"/>
      <c r="IE2290" s="1"/>
      <c r="IS2290" s="1"/>
      <c r="IZ2290" s="1"/>
      <c r="JJ2290" s="1"/>
      <c r="JP2290" s="1"/>
      <c r="JQ2290" s="1"/>
      <c r="LZ2290" s="1"/>
      <c r="MA2290" s="1"/>
    </row>
    <row r="2291" spans="4:339" ht="13" x14ac:dyDescent="0.15">
      <c r="D2291" s="12"/>
      <c r="E2291" s="12"/>
      <c r="I2291" s="12"/>
      <c r="J2291" s="13"/>
      <c r="BG2291" s="1"/>
      <c r="BH2291" s="1"/>
      <c r="BI2291" s="1"/>
      <c r="BJ2291" s="1"/>
      <c r="BK2291" s="1"/>
      <c r="BL2291" s="1"/>
      <c r="BM2291" s="1"/>
      <c r="BN2291" s="1"/>
      <c r="BP2291" s="1"/>
      <c r="CD2291" s="1"/>
      <c r="CM2291" s="2"/>
      <c r="CP2291" s="1"/>
      <c r="CQ2291" s="1"/>
      <c r="CR2291" s="1"/>
      <c r="CT2291" s="1"/>
      <c r="CU2291" s="1"/>
      <c r="CV2291" s="1"/>
      <c r="CW2291" s="1"/>
      <c r="CX2291" s="1"/>
      <c r="CY2291" s="1"/>
      <c r="CZ2291" s="1"/>
      <c r="DA2291" s="1"/>
      <c r="DB2291" s="1"/>
      <c r="DC2291" s="1"/>
      <c r="DD2291" s="1"/>
      <c r="DE2291" s="1"/>
      <c r="DF2291" s="1"/>
      <c r="DG2291" s="1"/>
      <c r="DH2291" s="1"/>
      <c r="DI2291" s="1"/>
      <c r="DJ2291" s="1"/>
      <c r="DK2291" s="1"/>
      <c r="ED2291" s="1"/>
      <c r="EK2291" s="1"/>
      <c r="EL2291" s="1"/>
      <c r="EM2291" s="1"/>
      <c r="EN2291" s="1"/>
      <c r="EQ2291" s="1"/>
      <c r="ER2291" s="1"/>
      <c r="ES2291" s="1"/>
      <c r="EV2291" s="1"/>
      <c r="EW2291" s="1"/>
      <c r="EZ2291" s="1"/>
      <c r="GO2291" s="1"/>
      <c r="IE2291" s="1"/>
      <c r="IS2291" s="1"/>
      <c r="IZ2291" s="1"/>
      <c r="JJ2291" s="1"/>
      <c r="JP2291" s="1"/>
      <c r="JQ2291" s="1"/>
      <c r="LZ2291" s="1"/>
      <c r="MA2291" s="1"/>
    </row>
    <row r="2292" spans="4:339" ht="13" x14ac:dyDescent="0.15">
      <c r="D2292" s="12"/>
      <c r="E2292" s="12"/>
      <c r="I2292" s="12"/>
      <c r="J2292" s="13"/>
      <c r="BG2292" s="1"/>
      <c r="BH2292" s="1"/>
      <c r="BI2292" s="1"/>
      <c r="BJ2292" s="1"/>
      <c r="BK2292" s="1"/>
      <c r="BL2292" s="1"/>
      <c r="BM2292" s="1"/>
      <c r="BN2292" s="1"/>
      <c r="BP2292" s="1"/>
      <c r="CD2292" s="1"/>
      <c r="CM2292" s="2"/>
      <c r="CP2292" s="1"/>
      <c r="CQ2292" s="1"/>
      <c r="CR2292" s="1"/>
      <c r="CT2292" s="1"/>
      <c r="CU2292" s="1"/>
      <c r="CV2292" s="1"/>
      <c r="CW2292" s="1"/>
      <c r="CX2292" s="1"/>
      <c r="CY2292" s="1"/>
      <c r="CZ2292" s="1"/>
      <c r="DA2292" s="1"/>
      <c r="DB2292" s="1"/>
      <c r="DC2292" s="1"/>
      <c r="DD2292" s="1"/>
      <c r="DE2292" s="1"/>
      <c r="DF2292" s="1"/>
      <c r="DG2292" s="1"/>
      <c r="DH2292" s="1"/>
      <c r="DI2292" s="1"/>
      <c r="DJ2292" s="1"/>
      <c r="DK2292" s="1"/>
      <c r="ED2292" s="1"/>
      <c r="EK2292" s="1"/>
      <c r="EL2292" s="1"/>
      <c r="EM2292" s="1"/>
      <c r="EN2292" s="1"/>
      <c r="EQ2292" s="1"/>
      <c r="ER2292" s="1"/>
      <c r="ES2292" s="1"/>
      <c r="EV2292" s="1"/>
      <c r="EW2292" s="1"/>
      <c r="EZ2292" s="1"/>
      <c r="GO2292" s="1"/>
      <c r="IE2292" s="1"/>
      <c r="IS2292" s="1"/>
      <c r="IZ2292" s="1"/>
      <c r="JJ2292" s="1"/>
      <c r="JP2292" s="1"/>
      <c r="JQ2292" s="1"/>
      <c r="LZ2292" s="1"/>
      <c r="MA2292" s="1"/>
    </row>
    <row r="2293" spans="4:339" ht="13" x14ac:dyDescent="0.15">
      <c r="D2293" s="12"/>
      <c r="E2293" s="12"/>
      <c r="I2293" s="12"/>
      <c r="J2293" s="13"/>
      <c r="BG2293" s="1"/>
      <c r="BH2293" s="1"/>
      <c r="BI2293" s="1"/>
      <c r="BJ2293" s="1"/>
      <c r="BK2293" s="1"/>
      <c r="BL2293" s="1"/>
      <c r="BM2293" s="1"/>
      <c r="BN2293" s="1"/>
      <c r="BP2293" s="1"/>
      <c r="CD2293" s="1"/>
      <c r="CM2293" s="2"/>
      <c r="CP2293" s="1"/>
      <c r="CQ2293" s="1"/>
      <c r="CR2293" s="1"/>
      <c r="CT2293" s="1"/>
      <c r="CU2293" s="1"/>
      <c r="CV2293" s="1"/>
      <c r="CW2293" s="1"/>
      <c r="CX2293" s="1"/>
      <c r="CY2293" s="1"/>
      <c r="CZ2293" s="1"/>
      <c r="DA2293" s="1"/>
      <c r="DB2293" s="1"/>
      <c r="DC2293" s="1"/>
      <c r="DD2293" s="1"/>
      <c r="DE2293" s="1"/>
      <c r="DF2293" s="1"/>
      <c r="DG2293" s="1"/>
      <c r="DH2293" s="1"/>
      <c r="DI2293" s="1"/>
      <c r="DJ2293" s="1"/>
      <c r="DK2293" s="1"/>
      <c r="ED2293" s="1"/>
      <c r="EK2293" s="1"/>
      <c r="EL2293" s="1"/>
      <c r="EM2293" s="1"/>
      <c r="EN2293" s="1"/>
      <c r="EQ2293" s="1"/>
      <c r="ER2293" s="1"/>
      <c r="ES2293" s="1"/>
      <c r="EV2293" s="1"/>
      <c r="EW2293" s="1"/>
      <c r="EZ2293" s="1"/>
      <c r="GO2293" s="1"/>
      <c r="IE2293" s="1"/>
      <c r="IS2293" s="1"/>
      <c r="IZ2293" s="1"/>
      <c r="JJ2293" s="1"/>
      <c r="JP2293" s="1"/>
      <c r="JQ2293" s="1"/>
      <c r="LZ2293" s="1"/>
      <c r="MA2293" s="1"/>
    </row>
    <row r="2294" spans="4:339" ht="13" x14ac:dyDescent="0.15">
      <c r="D2294" s="12"/>
      <c r="E2294" s="12"/>
      <c r="I2294" s="12"/>
      <c r="J2294" s="13"/>
      <c r="BG2294" s="1"/>
      <c r="BH2294" s="1"/>
      <c r="BI2294" s="1"/>
      <c r="BJ2294" s="1"/>
      <c r="BK2294" s="1"/>
      <c r="BL2294" s="1"/>
      <c r="BM2294" s="1"/>
      <c r="BN2294" s="1"/>
      <c r="BP2294" s="1"/>
      <c r="CD2294" s="1"/>
      <c r="CM2294" s="2"/>
      <c r="CP2294" s="1"/>
      <c r="CQ2294" s="1"/>
      <c r="CR2294" s="1"/>
      <c r="CT2294" s="1"/>
      <c r="CU2294" s="1"/>
      <c r="CV2294" s="1"/>
      <c r="CW2294" s="1"/>
      <c r="CX2294" s="1"/>
      <c r="CY2294" s="1"/>
      <c r="CZ2294" s="1"/>
      <c r="DA2294" s="1"/>
      <c r="DB2294" s="1"/>
      <c r="DC2294" s="1"/>
      <c r="DD2294" s="1"/>
      <c r="DE2294" s="1"/>
      <c r="DF2294" s="1"/>
      <c r="DG2294" s="1"/>
      <c r="DH2294" s="1"/>
      <c r="DI2294" s="1"/>
      <c r="DJ2294" s="1"/>
      <c r="DK2294" s="1"/>
      <c r="ED2294" s="1"/>
      <c r="EK2294" s="1"/>
      <c r="EL2294" s="1"/>
      <c r="EM2294" s="1"/>
      <c r="EN2294" s="1"/>
      <c r="EQ2294" s="1"/>
      <c r="ER2294" s="1"/>
      <c r="ES2294" s="1"/>
      <c r="EV2294" s="1"/>
      <c r="EW2294" s="1"/>
      <c r="EZ2294" s="1"/>
      <c r="GO2294" s="1"/>
      <c r="IE2294" s="1"/>
      <c r="IS2294" s="1"/>
      <c r="IZ2294" s="1"/>
      <c r="JJ2294" s="1"/>
      <c r="JP2294" s="1"/>
      <c r="JQ2294" s="1"/>
      <c r="LZ2294" s="1"/>
      <c r="MA2294" s="1"/>
    </row>
    <row r="2295" spans="4:339" ht="13" x14ac:dyDescent="0.15">
      <c r="D2295" s="12"/>
      <c r="E2295" s="12"/>
      <c r="I2295" s="12"/>
      <c r="J2295" s="13"/>
      <c r="BG2295" s="1"/>
      <c r="BH2295" s="1"/>
      <c r="BI2295" s="1"/>
      <c r="BJ2295" s="1"/>
      <c r="BK2295" s="1"/>
      <c r="BL2295" s="1"/>
      <c r="BM2295" s="1"/>
      <c r="BN2295" s="1"/>
      <c r="BP2295" s="1"/>
      <c r="CD2295" s="1"/>
      <c r="CM2295" s="2"/>
      <c r="CP2295" s="1"/>
      <c r="CQ2295" s="1"/>
      <c r="CR2295" s="1"/>
      <c r="CT2295" s="1"/>
      <c r="CU2295" s="1"/>
      <c r="CV2295" s="1"/>
      <c r="CW2295" s="1"/>
      <c r="CX2295" s="1"/>
      <c r="CY2295" s="1"/>
      <c r="CZ2295" s="1"/>
      <c r="DA2295" s="1"/>
      <c r="DB2295" s="1"/>
      <c r="DC2295" s="1"/>
      <c r="DD2295" s="1"/>
      <c r="DE2295" s="1"/>
      <c r="DF2295" s="1"/>
      <c r="DG2295" s="1"/>
      <c r="DH2295" s="1"/>
      <c r="DI2295" s="1"/>
      <c r="DJ2295" s="1"/>
      <c r="DK2295" s="1"/>
      <c r="ED2295" s="1"/>
      <c r="EK2295" s="1"/>
      <c r="EL2295" s="1"/>
      <c r="EM2295" s="1"/>
      <c r="EN2295" s="1"/>
      <c r="EQ2295" s="1"/>
      <c r="ER2295" s="1"/>
      <c r="ES2295" s="1"/>
      <c r="EV2295" s="1"/>
      <c r="EW2295" s="1"/>
      <c r="EZ2295" s="1"/>
      <c r="GO2295" s="1"/>
      <c r="IE2295" s="1"/>
      <c r="IS2295" s="1"/>
      <c r="IZ2295" s="1"/>
      <c r="JJ2295" s="1"/>
      <c r="JP2295" s="1"/>
      <c r="JQ2295" s="1"/>
      <c r="LZ2295" s="1"/>
      <c r="MA2295" s="1"/>
    </row>
    <row r="2296" spans="4:339" ht="13" x14ac:dyDescent="0.15">
      <c r="D2296" s="12"/>
      <c r="E2296" s="12"/>
      <c r="I2296" s="12"/>
      <c r="J2296" s="13"/>
      <c r="BG2296" s="1"/>
      <c r="BH2296" s="1"/>
      <c r="BI2296" s="1"/>
      <c r="BJ2296" s="1"/>
      <c r="BK2296" s="1"/>
      <c r="BL2296" s="1"/>
      <c r="BM2296" s="1"/>
      <c r="BN2296" s="1"/>
      <c r="BP2296" s="1"/>
      <c r="CD2296" s="1"/>
      <c r="CM2296" s="2"/>
      <c r="CP2296" s="1"/>
      <c r="CQ2296" s="1"/>
      <c r="CR2296" s="1"/>
      <c r="CT2296" s="1"/>
      <c r="CU2296" s="1"/>
      <c r="CV2296" s="1"/>
      <c r="CW2296" s="1"/>
      <c r="CX2296" s="1"/>
      <c r="CY2296" s="1"/>
      <c r="CZ2296" s="1"/>
      <c r="DA2296" s="1"/>
      <c r="DB2296" s="1"/>
      <c r="DC2296" s="1"/>
      <c r="DD2296" s="1"/>
      <c r="DE2296" s="1"/>
      <c r="DF2296" s="1"/>
      <c r="DG2296" s="1"/>
      <c r="DH2296" s="1"/>
      <c r="DI2296" s="1"/>
      <c r="DJ2296" s="1"/>
      <c r="DK2296" s="1"/>
      <c r="ED2296" s="1"/>
      <c r="EK2296" s="1"/>
      <c r="EL2296" s="1"/>
      <c r="EM2296" s="1"/>
      <c r="EN2296" s="1"/>
      <c r="EQ2296" s="1"/>
      <c r="ER2296" s="1"/>
      <c r="ES2296" s="1"/>
      <c r="EV2296" s="1"/>
      <c r="EW2296" s="1"/>
      <c r="EZ2296" s="1"/>
      <c r="GO2296" s="1"/>
      <c r="IE2296" s="1"/>
      <c r="IS2296" s="1"/>
      <c r="IZ2296" s="1"/>
      <c r="JJ2296" s="1"/>
      <c r="JP2296" s="1"/>
      <c r="JQ2296" s="1"/>
      <c r="LZ2296" s="1"/>
      <c r="MA2296" s="1"/>
    </row>
    <row r="2297" spans="4:339" ht="13" x14ac:dyDescent="0.15">
      <c r="D2297" s="12"/>
      <c r="E2297" s="12"/>
      <c r="I2297" s="12"/>
      <c r="J2297" s="13"/>
      <c r="BF2297" s="1"/>
      <c r="BG2297" s="1"/>
      <c r="BH2297" s="1"/>
      <c r="BI2297" s="1"/>
      <c r="BK2297" s="1"/>
      <c r="BL2297" s="1"/>
      <c r="BM2297" s="1"/>
      <c r="BN2297" s="1"/>
      <c r="BO2297" s="1"/>
      <c r="BP2297" s="1"/>
      <c r="CD2297" s="1"/>
      <c r="CE2297" s="1"/>
      <c r="CF2297" s="1"/>
      <c r="CG2297" s="1"/>
      <c r="CM2297" s="2"/>
      <c r="CP2297" s="1"/>
      <c r="CQ2297" s="1"/>
      <c r="CR2297" s="1"/>
      <c r="CS2297" s="1"/>
      <c r="CT2297" s="1"/>
      <c r="CU2297" s="1"/>
      <c r="CV2297" s="1"/>
      <c r="CW2297" s="1"/>
      <c r="CX2297" s="1"/>
      <c r="CY2297" s="1"/>
      <c r="CZ2297" s="1"/>
      <c r="DA2297" s="1"/>
      <c r="DB2297" s="1"/>
      <c r="DC2297" s="1"/>
      <c r="DD2297" s="1"/>
      <c r="DE2297" s="1"/>
      <c r="DF2297" s="1"/>
      <c r="DG2297" s="1"/>
      <c r="DH2297" s="1"/>
      <c r="DI2297" s="5"/>
      <c r="DJ2297" s="1"/>
      <c r="DK2297" s="1"/>
      <c r="DQ2297" s="1"/>
      <c r="DR2297" s="1"/>
      <c r="DY2297" s="1"/>
      <c r="DZ2297" s="1"/>
      <c r="ED2297" s="1"/>
      <c r="EK2297" s="1"/>
      <c r="EL2297" s="1"/>
      <c r="EM2297" s="1"/>
      <c r="EN2297" s="1"/>
      <c r="EQ2297" s="1"/>
      <c r="ER2297" s="1"/>
      <c r="ES2297" s="1"/>
      <c r="EV2297" s="1"/>
      <c r="EW2297" s="1"/>
      <c r="EZ2297" s="1"/>
      <c r="GO2297" s="1"/>
      <c r="GP2297" s="1"/>
      <c r="HY2297" s="1"/>
      <c r="IE2297" s="1"/>
      <c r="IG2297" s="1"/>
      <c r="IR2297" s="1"/>
      <c r="IS2297" s="1"/>
      <c r="IZ2297" s="1"/>
      <c r="JJ2297" s="1"/>
      <c r="JK2297" s="1"/>
      <c r="JL2297" s="3"/>
      <c r="JM2297" s="1"/>
      <c r="JN2297" s="1"/>
      <c r="JP2297" s="1"/>
      <c r="JQ2297" s="1"/>
      <c r="JR2297" s="1"/>
      <c r="LZ2297" s="1"/>
      <c r="MA2297" s="1"/>
    </row>
    <row r="2298" spans="4:339" ht="13" x14ac:dyDescent="0.15">
      <c r="D2298" s="12"/>
      <c r="E2298" s="12"/>
      <c r="I2298" s="12"/>
      <c r="J2298" s="13"/>
      <c r="BF2298" s="1"/>
      <c r="BG2298" s="1"/>
      <c r="BH2298" s="1"/>
      <c r="BI2298" s="1"/>
      <c r="BK2298" s="1"/>
      <c r="BL2298" s="1"/>
      <c r="BM2298" s="1"/>
      <c r="BN2298" s="1"/>
      <c r="BO2298" s="1"/>
      <c r="BP2298" s="1"/>
      <c r="CD2298" s="1"/>
      <c r="CE2298" s="1"/>
      <c r="CF2298" s="1"/>
      <c r="CG2298" s="1"/>
      <c r="CM2298" s="2"/>
      <c r="CP2298" s="1"/>
      <c r="CQ2298" s="1"/>
      <c r="CR2298" s="1"/>
      <c r="CS2298" s="1"/>
      <c r="CT2298" s="1"/>
      <c r="CU2298" s="1"/>
      <c r="CV2298" s="1"/>
      <c r="CW2298" s="1"/>
      <c r="CX2298" s="1"/>
      <c r="CY2298" s="1"/>
      <c r="CZ2298" s="1"/>
      <c r="DA2298" s="1"/>
      <c r="DB2298" s="1"/>
      <c r="DC2298" s="1"/>
      <c r="DD2298" s="1"/>
      <c r="DE2298" s="1"/>
      <c r="DF2298" s="1"/>
      <c r="DG2298" s="1"/>
      <c r="DH2298" s="1"/>
      <c r="DI2298" s="5"/>
      <c r="DJ2298" s="1"/>
      <c r="DK2298" s="1"/>
      <c r="DQ2298" s="1"/>
      <c r="DR2298" s="1"/>
      <c r="DY2298" s="1"/>
      <c r="DZ2298" s="1"/>
      <c r="ED2298" s="1"/>
      <c r="EK2298" s="1"/>
      <c r="EL2298" s="1"/>
      <c r="EM2298" s="1"/>
      <c r="EN2298" s="1"/>
      <c r="EQ2298" s="1"/>
      <c r="ER2298" s="1"/>
      <c r="ES2298" s="1"/>
      <c r="EV2298" s="1"/>
      <c r="EW2298" s="1"/>
      <c r="EZ2298" s="1"/>
      <c r="GO2298" s="1"/>
      <c r="GP2298" s="1"/>
      <c r="HY2298" s="1"/>
      <c r="IE2298" s="1"/>
      <c r="IG2298" s="1"/>
      <c r="IR2298" s="1"/>
      <c r="IS2298" s="1"/>
      <c r="IZ2298" s="1"/>
      <c r="JJ2298" s="1"/>
      <c r="JK2298" s="1"/>
      <c r="JL2298" s="3"/>
      <c r="JM2298" s="1"/>
      <c r="JN2298" s="1"/>
      <c r="JP2298" s="1"/>
      <c r="JQ2298" s="1"/>
      <c r="JR2298" s="1"/>
      <c r="LZ2298" s="1"/>
      <c r="MA2298" s="1"/>
    </row>
    <row r="2299" spans="4:339" ht="13" x14ac:dyDescent="0.15">
      <c r="D2299" s="12"/>
      <c r="E2299" s="12"/>
      <c r="I2299" s="12"/>
      <c r="J2299" s="13"/>
      <c r="BF2299" s="1"/>
      <c r="BG2299" s="1"/>
      <c r="BH2299" s="1"/>
      <c r="BI2299" s="1"/>
      <c r="BK2299" s="1"/>
      <c r="BL2299" s="1"/>
      <c r="BM2299" s="1"/>
      <c r="BN2299" s="1"/>
      <c r="BO2299" s="1"/>
      <c r="BP2299" s="1"/>
      <c r="CD2299" s="1"/>
      <c r="CE2299" s="1"/>
      <c r="CF2299" s="1"/>
      <c r="CG2299" s="1"/>
      <c r="CM2299" s="2"/>
      <c r="CP2299" s="1"/>
      <c r="CQ2299" s="1"/>
      <c r="CR2299" s="1"/>
      <c r="CS2299" s="1"/>
      <c r="CT2299" s="1"/>
      <c r="CU2299" s="1"/>
      <c r="CV2299" s="1"/>
      <c r="CW2299" s="1"/>
      <c r="CX2299" s="1"/>
      <c r="CY2299" s="1"/>
      <c r="CZ2299" s="1"/>
      <c r="DA2299" s="1"/>
      <c r="DB2299" s="1"/>
      <c r="DC2299" s="1"/>
      <c r="DD2299" s="1"/>
      <c r="DE2299" s="1"/>
      <c r="DF2299" s="1"/>
      <c r="DG2299" s="1"/>
      <c r="DH2299" s="1"/>
      <c r="DI2299" s="5"/>
      <c r="DJ2299" s="1"/>
      <c r="DK2299" s="1"/>
      <c r="DQ2299" s="1"/>
      <c r="DR2299" s="1"/>
      <c r="DY2299" s="1"/>
      <c r="DZ2299" s="1"/>
      <c r="ED2299" s="1"/>
      <c r="EK2299" s="1"/>
      <c r="EL2299" s="1"/>
      <c r="EM2299" s="1"/>
      <c r="EN2299" s="1"/>
      <c r="EQ2299" s="1"/>
      <c r="ER2299" s="1"/>
      <c r="ES2299" s="1"/>
      <c r="EV2299" s="1"/>
      <c r="EW2299" s="1"/>
      <c r="EZ2299" s="1"/>
      <c r="GO2299" s="1"/>
      <c r="GP2299" s="1"/>
      <c r="HY2299" s="1"/>
      <c r="IE2299" s="1"/>
      <c r="IG2299" s="1"/>
      <c r="IR2299" s="1"/>
      <c r="IS2299" s="1"/>
      <c r="IZ2299" s="1"/>
      <c r="JJ2299" s="1"/>
      <c r="JK2299" s="1"/>
      <c r="JL2299" s="3"/>
      <c r="JM2299" s="1"/>
      <c r="JN2299" s="1"/>
      <c r="JP2299" s="1"/>
      <c r="JQ2299" s="1"/>
      <c r="JR2299" s="1"/>
      <c r="LZ2299" s="1"/>
      <c r="MA2299" s="1"/>
    </row>
    <row r="2300" spans="4:339" ht="13" x14ac:dyDescent="0.15">
      <c r="D2300" s="12"/>
      <c r="E2300" s="12"/>
      <c r="I2300" s="12"/>
      <c r="J2300" s="13"/>
      <c r="BG2300" s="1"/>
      <c r="BH2300" s="1"/>
      <c r="BI2300" s="1"/>
      <c r="BK2300" s="1"/>
      <c r="BL2300" s="1"/>
      <c r="BM2300" s="1"/>
      <c r="BN2300" s="1"/>
      <c r="BO2300" s="1"/>
      <c r="BP2300" s="1"/>
      <c r="CD2300" s="1"/>
      <c r="CE2300" s="1"/>
      <c r="CF2300" s="1"/>
      <c r="CG2300" s="1"/>
      <c r="CM2300" s="2"/>
      <c r="CP2300" s="1"/>
      <c r="CQ2300" s="1"/>
      <c r="CR2300" s="1"/>
      <c r="CS2300" s="1"/>
      <c r="CT2300" s="1"/>
      <c r="CU2300" s="1"/>
      <c r="CV2300" s="1"/>
      <c r="CW2300" s="1"/>
      <c r="CX2300" s="1"/>
      <c r="CY2300" s="1"/>
      <c r="CZ2300" s="1"/>
      <c r="DA2300" s="1"/>
      <c r="DB2300" s="1"/>
      <c r="DC2300" s="1"/>
      <c r="DD2300" s="1"/>
      <c r="DE2300" s="1"/>
      <c r="DF2300" s="1"/>
      <c r="DG2300" s="1"/>
      <c r="DH2300" s="1"/>
      <c r="DI2300" s="1"/>
      <c r="DJ2300" s="1"/>
      <c r="DK2300" s="1"/>
      <c r="ED2300" s="1"/>
      <c r="EE2300" s="1"/>
      <c r="EF2300" s="1"/>
      <c r="EG2300" s="1"/>
      <c r="EH2300" s="1"/>
      <c r="EK2300" s="1"/>
      <c r="EL2300" s="1"/>
      <c r="EM2300" s="1"/>
      <c r="EN2300" s="1"/>
      <c r="EQ2300" s="1"/>
      <c r="ER2300" s="1"/>
      <c r="ES2300" s="1"/>
      <c r="EV2300" s="1"/>
      <c r="EW2300" s="1"/>
      <c r="EY2300" s="1"/>
      <c r="EZ2300" s="1"/>
      <c r="HY2300" s="1"/>
      <c r="IE2300" s="1"/>
      <c r="IF2300" s="1"/>
      <c r="IG2300" s="1"/>
      <c r="IJ2300" s="1"/>
      <c r="IR2300" s="1"/>
      <c r="IS2300" s="1"/>
      <c r="IZ2300" s="1"/>
      <c r="JH2300" s="1"/>
      <c r="JJ2300" s="1"/>
      <c r="JK2300" s="1"/>
      <c r="JL2300" s="3"/>
      <c r="JM2300" s="1"/>
      <c r="JN2300" s="1"/>
      <c r="JP2300" s="1"/>
      <c r="JQ2300" s="1"/>
      <c r="JR2300" s="1"/>
      <c r="LZ2300" s="1"/>
      <c r="MA2300" s="1"/>
    </row>
    <row r="2301" spans="4:339" ht="13" x14ac:dyDescent="0.15">
      <c r="D2301" s="12"/>
      <c r="E2301" s="12"/>
      <c r="I2301" s="12"/>
      <c r="J2301" s="13"/>
      <c r="BG2301" s="1"/>
      <c r="BH2301" s="1"/>
      <c r="BI2301" s="1"/>
      <c r="BK2301" s="1"/>
      <c r="BL2301" s="1"/>
      <c r="BM2301" s="1"/>
      <c r="BN2301" s="1"/>
      <c r="BO2301" s="1"/>
      <c r="BP2301" s="1"/>
      <c r="CD2301" s="1"/>
      <c r="CE2301" s="1"/>
      <c r="CF2301" s="1"/>
      <c r="CG2301" s="1"/>
      <c r="CM2301" s="2"/>
      <c r="CP2301" s="1"/>
      <c r="CQ2301" s="1"/>
      <c r="CR2301" s="1"/>
      <c r="CS2301" s="1"/>
      <c r="CT2301" s="1"/>
      <c r="CU2301" s="1"/>
      <c r="CV2301" s="1"/>
      <c r="CW2301" s="1"/>
      <c r="CX2301" s="1"/>
      <c r="CY2301" s="1"/>
      <c r="CZ2301" s="1"/>
      <c r="DA2301" s="1"/>
      <c r="DB2301" s="1"/>
      <c r="DC2301" s="1"/>
      <c r="DD2301" s="1"/>
      <c r="DE2301" s="1"/>
      <c r="DF2301" s="1"/>
      <c r="DG2301" s="1"/>
      <c r="DH2301" s="1"/>
      <c r="DI2301" s="1"/>
      <c r="DJ2301" s="1"/>
      <c r="DK2301" s="1"/>
      <c r="ED2301" s="1"/>
      <c r="EE2301" s="1"/>
      <c r="EF2301" s="1"/>
      <c r="EG2301" s="1"/>
      <c r="EH2301" s="1"/>
      <c r="EK2301" s="1"/>
      <c r="EL2301" s="1"/>
      <c r="EM2301" s="1"/>
      <c r="EN2301" s="1"/>
      <c r="EQ2301" s="1"/>
      <c r="ER2301" s="1"/>
      <c r="ES2301" s="1"/>
      <c r="EV2301" s="1"/>
      <c r="EW2301" s="1"/>
      <c r="EY2301" s="1"/>
      <c r="EZ2301" s="1"/>
      <c r="HY2301" s="1"/>
      <c r="IE2301" s="1"/>
      <c r="IF2301" s="1"/>
      <c r="IG2301" s="1"/>
      <c r="IJ2301" s="1"/>
      <c r="IR2301" s="1"/>
      <c r="IS2301" s="1"/>
      <c r="IZ2301" s="1"/>
      <c r="JH2301" s="1"/>
      <c r="JJ2301" s="1"/>
      <c r="JK2301" s="1"/>
      <c r="JL2301" s="3"/>
      <c r="JM2301" s="1"/>
      <c r="JN2301" s="1"/>
      <c r="JP2301" s="1"/>
      <c r="JQ2301" s="1"/>
      <c r="JR2301" s="1"/>
      <c r="LZ2301" s="1"/>
      <c r="MA2301" s="1"/>
    </row>
    <row r="2302" spans="4:339" ht="13" x14ac:dyDescent="0.15">
      <c r="D2302" s="12"/>
      <c r="E2302" s="12"/>
      <c r="I2302" s="12"/>
      <c r="J2302" s="13"/>
      <c r="BG2302" s="1"/>
      <c r="BH2302" s="1"/>
      <c r="BI2302" s="1"/>
      <c r="BK2302" s="1"/>
      <c r="BL2302" s="1"/>
      <c r="BM2302" s="1"/>
      <c r="BN2302" s="1"/>
      <c r="BO2302" s="1"/>
      <c r="BP2302" s="1"/>
      <c r="CD2302" s="1"/>
      <c r="CE2302" s="1"/>
      <c r="CF2302" s="1"/>
      <c r="CG2302" s="1"/>
      <c r="CM2302" s="2"/>
      <c r="CP2302" s="1"/>
      <c r="CQ2302" s="1"/>
      <c r="CR2302" s="1"/>
      <c r="CS2302" s="1"/>
      <c r="CT2302" s="1"/>
      <c r="CU2302" s="1"/>
      <c r="CV2302" s="1"/>
      <c r="CW2302" s="1"/>
      <c r="CX2302" s="1"/>
      <c r="CY2302" s="1"/>
      <c r="CZ2302" s="1"/>
      <c r="DA2302" s="1"/>
      <c r="DB2302" s="1"/>
      <c r="DC2302" s="1"/>
      <c r="DD2302" s="1"/>
      <c r="DE2302" s="1"/>
      <c r="DF2302" s="1"/>
      <c r="DG2302" s="1"/>
      <c r="DH2302" s="1"/>
      <c r="DI2302" s="1"/>
      <c r="DJ2302" s="1"/>
      <c r="DK2302" s="1"/>
      <c r="ED2302" s="1"/>
      <c r="EE2302" s="1"/>
      <c r="EF2302" s="1"/>
      <c r="EG2302" s="1"/>
      <c r="EH2302" s="1"/>
      <c r="EK2302" s="1"/>
      <c r="EL2302" s="1"/>
      <c r="EM2302" s="1"/>
      <c r="EN2302" s="1"/>
      <c r="EQ2302" s="1"/>
      <c r="ER2302" s="1"/>
      <c r="ES2302" s="1"/>
      <c r="EV2302" s="1"/>
      <c r="EW2302" s="1"/>
      <c r="EY2302" s="1"/>
      <c r="EZ2302" s="1"/>
      <c r="HY2302" s="1"/>
      <c r="IE2302" s="1"/>
      <c r="IF2302" s="1"/>
      <c r="IG2302" s="1"/>
      <c r="IJ2302" s="1"/>
      <c r="IR2302" s="1"/>
      <c r="IS2302" s="1"/>
      <c r="IZ2302" s="1"/>
      <c r="JH2302" s="1"/>
      <c r="JJ2302" s="1"/>
      <c r="JK2302" s="1"/>
      <c r="JL2302" s="3"/>
      <c r="JM2302" s="1"/>
      <c r="JN2302" s="1"/>
      <c r="JP2302" s="1"/>
      <c r="JQ2302" s="1"/>
      <c r="JR2302" s="1"/>
      <c r="LZ2302" s="1"/>
      <c r="MA2302" s="1"/>
    </row>
    <row r="2303" spans="4:339" ht="13" x14ac:dyDescent="0.15">
      <c r="D2303" s="12"/>
      <c r="E2303" s="12"/>
      <c r="I2303" s="12"/>
      <c r="J2303" s="13"/>
      <c r="BG2303" s="1"/>
      <c r="BH2303" s="1"/>
      <c r="BI2303" s="1"/>
      <c r="BK2303" s="1"/>
      <c r="BL2303" s="1"/>
      <c r="BM2303" s="1"/>
      <c r="BN2303" s="1"/>
      <c r="BO2303" s="1"/>
      <c r="BP2303" s="1"/>
      <c r="CD2303" s="1"/>
      <c r="CE2303" s="1"/>
      <c r="CF2303" s="1"/>
      <c r="CG2303" s="1"/>
      <c r="CM2303" s="2"/>
      <c r="CP2303" s="1"/>
      <c r="CQ2303" s="1"/>
      <c r="CR2303" s="1"/>
      <c r="CS2303" s="1"/>
      <c r="CT2303" s="1"/>
      <c r="CU2303" s="1"/>
      <c r="CV2303" s="1"/>
      <c r="CW2303" s="1"/>
      <c r="CX2303" s="1"/>
      <c r="CY2303" s="1"/>
      <c r="CZ2303" s="1"/>
      <c r="DA2303" s="1"/>
      <c r="DB2303" s="1"/>
      <c r="DC2303" s="1"/>
      <c r="DD2303" s="1"/>
      <c r="DE2303" s="1"/>
      <c r="DF2303" s="1"/>
      <c r="DG2303" s="1"/>
      <c r="DH2303" s="1"/>
      <c r="DI2303" s="1"/>
      <c r="DJ2303" s="1"/>
      <c r="DK2303" s="1"/>
      <c r="ED2303" s="1"/>
      <c r="EE2303" s="1"/>
      <c r="EF2303" s="1"/>
      <c r="EG2303" s="1"/>
      <c r="EH2303" s="1"/>
      <c r="EK2303" s="1"/>
      <c r="EL2303" s="1"/>
      <c r="EM2303" s="1"/>
      <c r="EN2303" s="1"/>
      <c r="EQ2303" s="1"/>
      <c r="ER2303" s="1"/>
      <c r="ES2303" s="1"/>
      <c r="EV2303" s="1"/>
      <c r="EW2303" s="1"/>
      <c r="EY2303" s="1"/>
      <c r="EZ2303" s="1"/>
      <c r="HY2303" s="1"/>
      <c r="IE2303" s="1"/>
      <c r="IF2303" s="1"/>
      <c r="IG2303" s="1"/>
      <c r="IJ2303" s="1"/>
      <c r="IR2303" s="1"/>
      <c r="IS2303" s="1"/>
      <c r="IZ2303" s="1"/>
      <c r="JH2303" s="1"/>
      <c r="JJ2303" s="1"/>
      <c r="JK2303" s="1"/>
      <c r="JL2303" s="3"/>
      <c r="JM2303" s="1"/>
      <c r="JN2303" s="1"/>
      <c r="JP2303" s="1"/>
      <c r="JQ2303" s="1"/>
      <c r="JR2303" s="1"/>
      <c r="LZ2303" s="1"/>
      <c r="MA2303" s="1"/>
    </row>
    <row r="2304" spans="4:339" ht="13" x14ac:dyDescent="0.15">
      <c r="D2304" s="12"/>
      <c r="E2304" s="12"/>
      <c r="I2304" s="12"/>
      <c r="J2304" s="13"/>
      <c r="BF2304" s="1"/>
      <c r="BG2304" s="1"/>
      <c r="BH2304" s="1"/>
      <c r="BI2304" s="1"/>
      <c r="BJ2304" s="1"/>
      <c r="BK2304" s="1"/>
      <c r="BL2304" s="1"/>
      <c r="BM2304" s="1"/>
      <c r="BN2304" s="1"/>
      <c r="BO2304" s="1"/>
      <c r="BP2304" s="1"/>
      <c r="CD2304" s="1"/>
      <c r="CE2304" s="1"/>
      <c r="CF2304" s="1"/>
      <c r="CG2304" s="1"/>
      <c r="CM2304" s="2"/>
      <c r="CP2304" s="1"/>
      <c r="CQ2304" s="1"/>
      <c r="CR2304" s="1"/>
      <c r="CS2304" s="1"/>
      <c r="CT2304" s="1"/>
      <c r="CU2304" s="1"/>
      <c r="CV2304" s="1"/>
      <c r="CW2304" s="1"/>
      <c r="CX2304" s="1"/>
      <c r="CY2304" s="1"/>
      <c r="CZ2304" s="1"/>
      <c r="DA2304" s="1"/>
      <c r="DB2304" s="1"/>
      <c r="DC2304" s="1"/>
      <c r="DD2304" s="1"/>
      <c r="DE2304" s="1"/>
      <c r="DF2304" s="1"/>
      <c r="DG2304" s="1"/>
      <c r="DH2304" s="1"/>
      <c r="DI2304" s="1"/>
      <c r="DJ2304" s="1"/>
      <c r="DK2304" s="1"/>
      <c r="DQ2304" s="1"/>
      <c r="DR2304" s="1"/>
      <c r="DY2304" s="1"/>
      <c r="DZ2304" s="1"/>
      <c r="ED2304" s="1"/>
      <c r="EK2304" s="1"/>
      <c r="EL2304" s="1"/>
      <c r="EM2304" s="1"/>
      <c r="EN2304" s="1"/>
      <c r="EQ2304" s="1"/>
      <c r="ER2304" s="1"/>
      <c r="ES2304" s="1"/>
      <c r="EV2304" s="1"/>
      <c r="EW2304" s="1"/>
      <c r="EZ2304" s="1"/>
      <c r="HY2304" s="1"/>
      <c r="IE2304" s="1"/>
      <c r="IR2304" s="1"/>
      <c r="IS2304" s="1"/>
      <c r="IZ2304" s="1"/>
      <c r="JH2304" s="1"/>
      <c r="JJ2304" s="1"/>
      <c r="JP2304" s="1"/>
      <c r="JQ2304" s="1"/>
      <c r="LZ2304" s="1"/>
      <c r="MA2304" s="1"/>
    </row>
    <row r="2305" spans="4:339" ht="13" x14ac:dyDescent="0.15">
      <c r="D2305" s="12"/>
      <c r="E2305" s="12"/>
      <c r="I2305" s="12"/>
      <c r="J2305" s="13"/>
      <c r="BG2305" s="1"/>
      <c r="BH2305" s="1"/>
      <c r="BI2305" s="1"/>
      <c r="BJ2305" s="1"/>
      <c r="BK2305" s="1"/>
      <c r="BL2305" s="1"/>
      <c r="BM2305" s="1"/>
      <c r="BN2305" s="1"/>
      <c r="CD2305" s="1"/>
      <c r="CM2305" s="2"/>
      <c r="ED2305" s="1"/>
      <c r="EL2305" s="1"/>
      <c r="EM2305" s="1"/>
      <c r="EN2305" s="1"/>
      <c r="EQ2305" s="1"/>
      <c r="ER2305" s="1"/>
      <c r="ES2305" s="1"/>
      <c r="EV2305" s="1"/>
      <c r="EW2305" s="1"/>
      <c r="EZ2305" s="1"/>
      <c r="IS2305" s="1"/>
      <c r="IZ2305" s="1"/>
      <c r="JJ2305" s="1"/>
      <c r="JP2305" s="1"/>
      <c r="JQ2305" s="1"/>
      <c r="LZ2305" s="1"/>
    </row>
    <row r="2306" spans="4:339" ht="13" x14ac:dyDescent="0.15">
      <c r="D2306" s="12"/>
      <c r="E2306" s="12"/>
      <c r="I2306" s="12"/>
      <c r="J2306" s="13"/>
      <c r="BG2306" s="1"/>
      <c r="BH2306" s="1"/>
      <c r="BI2306" s="1"/>
      <c r="BK2306" s="1"/>
      <c r="BL2306" s="1"/>
      <c r="BM2306" s="1"/>
      <c r="BN2306" s="1"/>
      <c r="BP2306" s="1"/>
      <c r="CD2306" s="1"/>
      <c r="CE2306" s="1"/>
      <c r="CF2306" s="1"/>
      <c r="CM2306" s="2"/>
      <c r="CP2306" s="1"/>
      <c r="CQ2306" s="1"/>
      <c r="CR2306" s="1"/>
      <c r="CS2306" s="1"/>
      <c r="CT2306" s="1"/>
      <c r="CU2306" s="1"/>
      <c r="CV2306" s="1"/>
      <c r="CW2306" s="1"/>
      <c r="CX2306" s="1"/>
      <c r="CY2306" s="1"/>
      <c r="CZ2306" s="1"/>
      <c r="DA2306" s="1"/>
      <c r="DB2306" s="1"/>
      <c r="DC2306" s="1"/>
      <c r="DD2306" s="1"/>
      <c r="DE2306" s="1"/>
      <c r="DF2306" s="1"/>
      <c r="DG2306" s="1"/>
      <c r="DH2306" s="1"/>
      <c r="DI2306" s="1"/>
      <c r="DJ2306" s="1"/>
      <c r="DK2306" s="1"/>
      <c r="ED2306" s="1"/>
      <c r="EE2306" s="1"/>
      <c r="EF2306" s="1"/>
      <c r="EG2306" s="1"/>
      <c r="EH2306" s="1"/>
      <c r="EK2306" s="1"/>
      <c r="EL2306" s="1"/>
      <c r="EM2306" s="1"/>
      <c r="EN2306" s="1"/>
      <c r="EQ2306" s="1"/>
      <c r="ER2306" s="1"/>
      <c r="ES2306" s="1"/>
      <c r="EV2306" s="1"/>
      <c r="EW2306" s="1"/>
      <c r="EY2306" s="1"/>
      <c r="EZ2306" s="1"/>
      <c r="HY2306" s="1"/>
      <c r="IE2306" s="1"/>
      <c r="IG2306" s="1"/>
      <c r="II2306" s="1"/>
      <c r="IJ2306" s="1"/>
      <c r="IS2306" s="1"/>
      <c r="IZ2306" s="1"/>
      <c r="JJ2306" s="1"/>
      <c r="JK2306" s="1"/>
      <c r="JL2306" s="3"/>
      <c r="JM2306" s="1"/>
      <c r="JP2306" s="1"/>
      <c r="JQ2306" s="1"/>
      <c r="JR2306" s="1"/>
      <c r="LZ2306" s="1"/>
      <c r="MA2306" s="1"/>
    </row>
    <row r="2307" spans="4:339" ht="13" x14ac:dyDescent="0.15">
      <c r="D2307" s="12"/>
      <c r="E2307" s="12"/>
      <c r="I2307" s="12"/>
      <c r="J2307" s="13"/>
      <c r="BF2307" s="1"/>
      <c r="BG2307" s="1"/>
      <c r="BH2307" s="1"/>
      <c r="BI2307" s="1"/>
      <c r="BK2307" s="1"/>
      <c r="BL2307" s="1"/>
      <c r="BM2307" s="1"/>
      <c r="BN2307" s="1"/>
      <c r="BO2307" s="1"/>
      <c r="CD2307" s="1"/>
      <c r="CM2307" s="4"/>
      <c r="ED2307" s="1"/>
      <c r="EL2307" s="1"/>
      <c r="EM2307" s="1"/>
      <c r="EN2307" s="1"/>
      <c r="EQ2307" s="1"/>
      <c r="ER2307" s="1"/>
      <c r="ES2307" s="1"/>
      <c r="EV2307" s="1"/>
      <c r="EW2307" s="1"/>
      <c r="EZ2307" s="1"/>
      <c r="HY2307" s="1"/>
      <c r="IS2307" s="1"/>
      <c r="IZ2307" s="1"/>
      <c r="JH2307" s="1"/>
      <c r="JJ2307" s="1"/>
      <c r="JP2307" s="1"/>
      <c r="JQ2307" s="1"/>
      <c r="JU2307" s="1"/>
    </row>
    <row r="2308" spans="4:339" ht="13" x14ac:dyDescent="0.15">
      <c r="D2308" s="12"/>
      <c r="E2308" s="12"/>
      <c r="I2308" s="12"/>
      <c r="J2308" s="13"/>
      <c r="BF2308" s="1"/>
      <c r="BG2308" s="1"/>
      <c r="BH2308" s="1"/>
      <c r="BI2308" s="1"/>
      <c r="BK2308" s="1"/>
      <c r="BL2308" s="1"/>
      <c r="BM2308" s="1"/>
      <c r="BN2308" s="1"/>
      <c r="BO2308" s="1"/>
      <c r="CD2308" s="1"/>
      <c r="CM2308" s="4"/>
      <c r="ED2308" s="1"/>
      <c r="EL2308" s="1"/>
      <c r="EM2308" s="1"/>
      <c r="EN2308" s="1"/>
      <c r="EQ2308" s="1"/>
      <c r="ER2308" s="1"/>
      <c r="ES2308" s="1"/>
      <c r="EV2308" s="1"/>
      <c r="EW2308" s="1"/>
      <c r="EZ2308" s="1"/>
      <c r="HY2308" s="1"/>
      <c r="IS2308" s="1"/>
      <c r="IZ2308" s="1"/>
      <c r="JH2308" s="1"/>
      <c r="JJ2308" s="1"/>
      <c r="JP2308" s="1"/>
      <c r="JQ2308" s="1"/>
      <c r="JU2308" s="1"/>
    </row>
    <row r="2309" spans="4:339" ht="13" x14ac:dyDescent="0.15">
      <c r="D2309" s="12"/>
      <c r="E2309" s="12"/>
      <c r="I2309" s="12"/>
      <c r="J2309" s="13"/>
      <c r="BF2309" s="1"/>
      <c r="BG2309" s="1"/>
      <c r="BH2309" s="1"/>
      <c r="BI2309" s="1"/>
      <c r="BK2309" s="1"/>
      <c r="BL2309" s="1"/>
      <c r="BM2309" s="1"/>
      <c r="BN2309" s="1"/>
      <c r="BO2309" s="1"/>
      <c r="BP2309" s="1"/>
      <c r="CD2309" s="1"/>
      <c r="CE2309" s="1"/>
      <c r="CF2309" s="1"/>
      <c r="CG2309" s="1"/>
      <c r="CM2309" s="4"/>
      <c r="CP2309" s="1"/>
      <c r="CQ2309" s="1"/>
      <c r="CR2309" s="1"/>
      <c r="CS2309" s="1"/>
      <c r="CT2309" s="1"/>
      <c r="CU2309" s="1"/>
      <c r="CV2309" s="1"/>
      <c r="CW2309" s="1"/>
      <c r="CX2309" s="1"/>
      <c r="CY2309" s="1"/>
      <c r="CZ2309" s="1"/>
      <c r="DA2309" s="1"/>
      <c r="DB2309" s="1"/>
      <c r="DC2309" s="1"/>
      <c r="DD2309" s="1"/>
      <c r="DE2309" s="1"/>
      <c r="DF2309" s="1"/>
      <c r="DG2309" s="1"/>
      <c r="DH2309" s="1"/>
      <c r="DI2309" s="1"/>
      <c r="DJ2309" s="1"/>
      <c r="DK2309" s="1"/>
      <c r="ED2309" s="1"/>
      <c r="EK2309" s="1"/>
      <c r="EL2309" s="1"/>
      <c r="EM2309" s="1"/>
      <c r="EN2309" s="1"/>
      <c r="EQ2309" s="1"/>
      <c r="ER2309" s="1"/>
      <c r="ES2309" s="1"/>
      <c r="EV2309" s="1"/>
      <c r="EW2309" s="1"/>
      <c r="EZ2309" s="1"/>
      <c r="GP2309" s="1"/>
      <c r="HY2309" s="1"/>
      <c r="IE2309" s="1"/>
      <c r="IR2309" s="1"/>
      <c r="IS2309" s="1"/>
      <c r="IY2309" s="1"/>
      <c r="IZ2309" s="1"/>
      <c r="JJ2309" s="1"/>
      <c r="JN2309" s="1"/>
      <c r="JP2309" s="1"/>
      <c r="JQ2309" s="1"/>
      <c r="LZ2309" s="1"/>
      <c r="MA2309" s="1"/>
    </row>
    <row r="2310" spans="4:339" ht="13" x14ac:dyDescent="0.15">
      <c r="D2310" s="12"/>
      <c r="E2310" s="12"/>
      <c r="I2310" s="12"/>
      <c r="J2310" s="13"/>
      <c r="BG2310" s="1"/>
      <c r="BH2310" s="1"/>
      <c r="BI2310" s="1"/>
      <c r="BK2310" s="1"/>
      <c r="BL2310" s="1"/>
      <c r="BM2310" s="1"/>
      <c r="BN2310" s="1"/>
      <c r="BO2310" s="1"/>
      <c r="BP2310" s="1"/>
      <c r="CD2310" s="1"/>
      <c r="CE2310" s="1"/>
      <c r="CF2310" s="1"/>
      <c r="CG2310" s="1"/>
      <c r="CM2310" s="2"/>
      <c r="CP2310" s="1"/>
      <c r="CQ2310" s="1"/>
      <c r="CX2310" s="1"/>
      <c r="CY2310" s="1"/>
      <c r="CZ2310" s="1"/>
      <c r="DA2310" s="1"/>
      <c r="DB2310" s="1"/>
      <c r="DC2310" s="1"/>
      <c r="DD2310" s="1"/>
      <c r="DE2310" s="1"/>
      <c r="DF2310" s="1"/>
      <c r="DG2310" s="1"/>
      <c r="DH2310" s="1"/>
      <c r="DI2310" s="1"/>
      <c r="DJ2310" s="1"/>
      <c r="DK2310" s="1"/>
      <c r="DQ2310" s="1"/>
      <c r="DR2310" s="1"/>
      <c r="DY2310" s="1"/>
      <c r="DZ2310" s="1"/>
      <c r="ED2310" s="1"/>
      <c r="EK2310" s="1"/>
      <c r="EL2310" s="1"/>
      <c r="EM2310" s="1"/>
      <c r="EN2310" s="1"/>
      <c r="EQ2310" s="1"/>
      <c r="ER2310" s="1"/>
      <c r="ES2310" s="1"/>
      <c r="EV2310" s="1"/>
      <c r="EW2310" s="1"/>
      <c r="EZ2310" s="1"/>
      <c r="HY2310" s="1"/>
      <c r="IE2310" s="1"/>
      <c r="IS2310" s="1"/>
      <c r="IZ2310" s="1"/>
      <c r="JJ2310" s="1"/>
      <c r="JN2310" s="1"/>
      <c r="JP2310" s="1"/>
      <c r="JQ2310" s="1"/>
      <c r="LZ2310" s="1"/>
      <c r="MA2310" s="1"/>
    </row>
    <row r="2311" spans="4:339" ht="13" x14ac:dyDescent="0.15">
      <c r="D2311" s="12"/>
      <c r="E2311" s="12"/>
      <c r="I2311" s="12"/>
      <c r="J2311" s="13"/>
      <c r="BM2311" s="1"/>
      <c r="BN2311" s="1"/>
      <c r="CM2311" s="2"/>
      <c r="ED2311" s="1"/>
      <c r="EL2311" s="1"/>
      <c r="EM2311" s="1"/>
      <c r="EN2311" s="1"/>
      <c r="EQ2311" s="1"/>
      <c r="ER2311" s="1"/>
      <c r="ES2311" s="1"/>
      <c r="EV2311" s="1"/>
      <c r="EW2311" s="1"/>
      <c r="EZ2311" s="1"/>
      <c r="IS2311" s="1"/>
      <c r="IZ2311" s="1"/>
      <c r="JJ2311" s="1"/>
      <c r="JP2311" s="1"/>
      <c r="JQ2311" s="1"/>
    </row>
    <row r="2312" spans="4:339" ht="13" x14ac:dyDescent="0.15">
      <c r="D2312" s="12"/>
      <c r="E2312" s="12"/>
      <c r="I2312" s="12"/>
      <c r="J2312" s="13"/>
      <c r="BG2312" s="1"/>
      <c r="BH2312" s="1"/>
      <c r="BI2312" s="1"/>
      <c r="BK2312" s="1"/>
      <c r="BL2312" s="1"/>
      <c r="BM2312" s="1"/>
      <c r="BN2312" s="1"/>
      <c r="BO2312" s="1"/>
      <c r="BP2312" s="1"/>
      <c r="CD2312" s="1"/>
      <c r="CM2312" s="4"/>
      <c r="CP2312" s="1"/>
      <c r="CQ2312" s="1"/>
      <c r="CR2312" s="1"/>
      <c r="CT2312" s="1"/>
      <c r="CU2312" s="1"/>
      <c r="CV2312" s="1"/>
      <c r="CW2312" s="1"/>
      <c r="CX2312" s="1"/>
      <c r="CY2312" s="1"/>
      <c r="CZ2312" s="1"/>
      <c r="DA2312" s="1"/>
      <c r="DB2312" s="1"/>
      <c r="DC2312" s="1"/>
      <c r="DD2312" s="1"/>
      <c r="DE2312" s="1"/>
      <c r="DF2312" s="1"/>
      <c r="DG2312" s="1"/>
      <c r="DH2312" s="1"/>
      <c r="DI2312" s="1"/>
      <c r="DJ2312" s="1"/>
      <c r="DK2312" s="1"/>
      <c r="ED2312" s="1"/>
      <c r="EK2312" s="1"/>
      <c r="EL2312" s="1"/>
      <c r="EM2312" s="1"/>
      <c r="EN2312" s="1"/>
      <c r="EQ2312" s="1"/>
      <c r="ER2312" s="1"/>
      <c r="ES2312" s="1"/>
      <c r="EV2312" s="1"/>
      <c r="EW2312" s="1"/>
      <c r="EZ2312" s="1"/>
      <c r="HY2312" s="1"/>
      <c r="IE2312" s="1"/>
      <c r="IS2312" s="1"/>
      <c r="IZ2312" s="1"/>
      <c r="JJ2312" s="1"/>
      <c r="JP2312" s="1"/>
      <c r="JQ2312" s="1"/>
      <c r="LZ2312" s="1"/>
      <c r="MA2312" s="1"/>
    </row>
    <row r="2313" spans="4:339" ht="13" x14ac:dyDescent="0.15">
      <c r="D2313" s="12"/>
      <c r="E2313" s="12"/>
      <c r="I2313" s="12"/>
      <c r="J2313" s="13"/>
      <c r="BG2313" s="1"/>
      <c r="BH2313" s="1"/>
      <c r="BI2313" s="1"/>
      <c r="BK2313" s="1"/>
      <c r="BL2313" s="1"/>
      <c r="BM2313" s="1"/>
      <c r="BN2313" s="1"/>
      <c r="BO2313" s="1"/>
      <c r="BP2313" s="1"/>
      <c r="CD2313" s="1"/>
      <c r="CM2313" s="4"/>
      <c r="CP2313" s="1"/>
      <c r="CQ2313" s="1"/>
      <c r="CR2313" s="1"/>
      <c r="CT2313" s="1"/>
      <c r="CU2313" s="1"/>
      <c r="CV2313" s="1"/>
      <c r="CW2313" s="1"/>
      <c r="CX2313" s="1"/>
      <c r="CY2313" s="1"/>
      <c r="CZ2313" s="1"/>
      <c r="DA2313" s="1"/>
      <c r="DB2313" s="1"/>
      <c r="DC2313" s="1"/>
      <c r="DD2313" s="1"/>
      <c r="DE2313" s="1"/>
      <c r="DF2313" s="1"/>
      <c r="DG2313" s="1"/>
      <c r="DH2313" s="1"/>
      <c r="DI2313" s="1"/>
      <c r="DJ2313" s="1"/>
      <c r="DK2313" s="1"/>
      <c r="ED2313" s="1"/>
      <c r="EK2313" s="1"/>
      <c r="EL2313" s="1"/>
      <c r="EM2313" s="1"/>
      <c r="EN2313" s="1"/>
      <c r="EQ2313" s="1"/>
      <c r="ER2313" s="1"/>
      <c r="ES2313" s="1"/>
      <c r="EV2313" s="1"/>
      <c r="EW2313" s="1"/>
      <c r="EZ2313" s="1"/>
      <c r="HY2313" s="1"/>
      <c r="IE2313" s="1"/>
      <c r="IS2313" s="1"/>
      <c r="IZ2313" s="1"/>
      <c r="JJ2313" s="1"/>
      <c r="JP2313" s="1"/>
      <c r="JQ2313" s="1"/>
      <c r="LZ2313" s="1"/>
      <c r="MA2313" s="1"/>
    </row>
    <row r="2314" spans="4:339" ht="13" x14ac:dyDescent="0.15">
      <c r="D2314" s="12"/>
      <c r="E2314" s="12"/>
      <c r="I2314" s="12"/>
      <c r="J2314" s="13"/>
      <c r="BG2314" s="1"/>
      <c r="BH2314" s="1"/>
      <c r="BI2314" s="1"/>
      <c r="BK2314" s="1"/>
      <c r="BL2314" s="1"/>
      <c r="BM2314" s="1"/>
      <c r="BN2314" s="1"/>
      <c r="BO2314" s="1"/>
      <c r="BP2314" s="1"/>
      <c r="CD2314" s="1"/>
      <c r="CM2314" s="4"/>
      <c r="CP2314" s="1"/>
      <c r="CQ2314" s="1"/>
      <c r="CR2314" s="1"/>
      <c r="CT2314" s="1"/>
      <c r="CU2314" s="1"/>
      <c r="CV2314" s="1"/>
      <c r="CW2314" s="1"/>
      <c r="CX2314" s="1"/>
      <c r="CY2314" s="1"/>
      <c r="CZ2314" s="1"/>
      <c r="DA2314" s="1"/>
      <c r="DB2314" s="1"/>
      <c r="DC2314" s="1"/>
      <c r="DD2314" s="1"/>
      <c r="DE2314" s="1"/>
      <c r="DF2314" s="1"/>
      <c r="DG2314" s="1"/>
      <c r="DH2314" s="1"/>
      <c r="DI2314" s="1"/>
      <c r="DJ2314" s="1"/>
      <c r="DK2314" s="1"/>
      <c r="ED2314" s="1"/>
      <c r="EK2314" s="1"/>
      <c r="EL2314" s="1"/>
      <c r="EM2314" s="1"/>
      <c r="EN2314" s="1"/>
      <c r="EQ2314" s="1"/>
      <c r="ER2314" s="1"/>
      <c r="ES2314" s="1"/>
      <c r="EV2314" s="1"/>
      <c r="EW2314" s="1"/>
      <c r="EZ2314" s="1"/>
      <c r="HY2314" s="1"/>
      <c r="IE2314" s="1"/>
      <c r="IS2314" s="1"/>
      <c r="IZ2314" s="1"/>
      <c r="JJ2314" s="1"/>
      <c r="JP2314" s="1"/>
      <c r="JQ2314" s="1"/>
      <c r="LZ2314" s="1"/>
      <c r="MA2314" s="1"/>
    </row>
    <row r="2315" spans="4:339" ht="13" x14ac:dyDescent="0.15">
      <c r="D2315" s="12"/>
      <c r="E2315" s="12"/>
      <c r="I2315" s="12"/>
      <c r="J2315" s="13"/>
      <c r="BF2315" s="1"/>
      <c r="BG2315" s="1"/>
      <c r="BH2315" s="1"/>
      <c r="BI2315" s="1"/>
      <c r="BK2315" s="1"/>
      <c r="BL2315" s="1"/>
      <c r="BM2315" s="1"/>
      <c r="BN2315" s="1"/>
      <c r="BO2315" s="1"/>
      <c r="BP2315" s="1"/>
      <c r="CD2315" s="1"/>
      <c r="CE2315" s="1"/>
      <c r="CF2315" s="1"/>
      <c r="CG2315" s="1"/>
      <c r="CM2315" s="2"/>
      <c r="CP2315" s="1"/>
      <c r="CQ2315" s="1"/>
      <c r="CR2315" s="1"/>
      <c r="CS2315" s="1"/>
      <c r="CT2315" s="1"/>
      <c r="CU2315" s="1"/>
      <c r="CV2315" s="1"/>
      <c r="CW2315" s="1"/>
      <c r="CX2315" s="1"/>
      <c r="CY2315" s="1"/>
      <c r="CZ2315" s="1"/>
      <c r="DA2315" s="1"/>
      <c r="DB2315" s="1"/>
      <c r="DC2315" s="1"/>
      <c r="DD2315" s="1"/>
      <c r="DE2315" s="1"/>
      <c r="DF2315" s="1"/>
      <c r="DG2315" s="1"/>
      <c r="DH2315" s="1"/>
      <c r="DI2315" s="1"/>
      <c r="DJ2315" s="1"/>
      <c r="DK2315" s="1"/>
      <c r="DQ2315" s="1"/>
      <c r="DR2315" s="1"/>
      <c r="DY2315" s="1"/>
      <c r="DZ2315" s="1"/>
      <c r="ED2315" s="1"/>
      <c r="EE2315" s="1"/>
      <c r="EF2315" s="1"/>
      <c r="EG2315" s="1"/>
      <c r="EH2315" s="1"/>
      <c r="EK2315" s="1"/>
      <c r="EL2315" s="1"/>
      <c r="EM2315" s="1"/>
      <c r="EN2315" s="1"/>
      <c r="EQ2315" s="1"/>
      <c r="ER2315" s="1"/>
      <c r="ES2315" s="1"/>
      <c r="EV2315" s="1"/>
      <c r="EW2315" s="1"/>
      <c r="EY2315" s="1"/>
      <c r="EZ2315" s="1"/>
      <c r="GO2315" s="1"/>
      <c r="HY2315" s="1"/>
      <c r="IE2315" s="1"/>
      <c r="IG2315" s="1"/>
      <c r="IJ2315" s="1"/>
      <c r="IR2315" s="1"/>
      <c r="IS2315" s="1"/>
      <c r="IY2315" s="1"/>
      <c r="IZ2315" s="1"/>
      <c r="JJ2315" s="1"/>
      <c r="JK2315" s="1"/>
      <c r="JL2315" s="3"/>
      <c r="JM2315" s="1"/>
      <c r="JP2315" s="1"/>
      <c r="JQ2315" s="1"/>
      <c r="JR2315" s="1"/>
      <c r="LZ2315" s="1"/>
      <c r="MA2315" s="1"/>
    </row>
    <row r="2316" spans="4:339" ht="13" x14ac:dyDescent="0.15">
      <c r="D2316" s="12"/>
      <c r="E2316" s="12"/>
      <c r="I2316" s="12"/>
      <c r="J2316" s="13"/>
      <c r="BG2316" s="1"/>
      <c r="BH2316" s="1"/>
      <c r="BI2316" s="1"/>
      <c r="BJ2316" s="1"/>
      <c r="BK2316" s="1"/>
      <c r="BL2316" s="1"/>
      <c r="BM2316" s="1"/>
      <c r="BN2316" s="1"/>
      <c r="BO2316" s="1"/>
      <c r="BP2316" s="1"/>
      <c r="CD2316" s="1"/>
      <c r="CM2316" s="2"/>
      <c r="CP2316" s="1"/>
      <c r="CQ2316" s="1"/>
      <c r="CR2316" s="1"/>
      <c r="CS2316" s="1"/>
      <c r="CT2316" s="1"/>
      <c r="CU2316" s="1"/>
      <c r="CV2316" s="1"/>
      <c r="CW2316" s="1"/>
      <c r="CX2316" s="1"/>
      <c r="CY2316" s="1"/>
      <c r="CZ2316" s="1"/>
      <c r="DA2316" s="1"/>
      <c r="DB2316" s="1"/>
      <c r="DC2316" s="1"/>
      <c r="DD2316" s="1"/>
      <c r="DE2316" s="1"/>
      <c r="DF2316" s="1"/>
      <c r="DG2316" s="1"/>
      <c r="DH2316" s="1"/>
      <c r="DI2316" s="1"/>
      <c r="DJ2316" s="1"/>
      <c r="DK2316" s="1"/>
      <c r="ED2316" s="1"/>
      <c r="EK2316" s="1"/>
      <c r="EL2316" s="1"/>
      <c r="EM2316" s="1"/>
      <c r="EN2316" s="1"/>
      <c r="EQ2316" s="1"/>
      <c r="ER2316" s="1"/>
      <c r="ES2316" s="1"/>
      <c r="EV2316" s="1"/>
      <c r="EW2316" s="1"/>
      <c r="EZ2316" s="1"/>
      <c r="GO2316" s="1"/>
      <c r="HY2316" s="1"/>
      <c r="IE2316" s="1"/>
      <c r="IS2316" s="1"/>
      <c r="IZ2316" s="1"/>
      <c r="JJ2316" s="1"/>
      <c r="JP2316" s="1"/>
      <c r="JQ2316" s="1"/>
      <c r="LZ2316" s="1"/>
      <c r="MA2316" s="1"/>
    </row>
    <row r="2317" spans="4:339" ht="13" x14ac:dyDescent="0.15">
      <c r="D2317" s="12"/>
      <c r="E2317" s="12"/>
      <c r="I2317" s="12"/>
      <c r="J2317" s="13"/>
      <c r="BF2317" s="1"/>
      <c r="BG2317" s="1"/>
      <c r="BH2317" s="1"/>
      <c r="BI2317" s="1"/>
      <c r="BJ2317" s="1"/>
      <c r="BK2317" s="1"/>
      <c r="BL2317" s="1"/>
      <c r="BM2317" s="1"/>
      <c r="BN2317" s="1"/>
      <c r="BO2317" s="1"/>
      <c r="CD2317" s="1"/>
      <c r="CM2317" s="2"/>
      <c r="ED2317" s="1"/>
      <c r="EL2317" s="1"/>
      <c r="EM2317" s="1"/>
      <c r="EN2317" s="1"/>
      <c r="EQ2317" s="1"/>
      <c r="ER2317" s="1"/>
      <c r="ES2317" s="1"/>
      <c r="EV2317" s="1"/>
      <c r="EW2317" s="1"/>
      <c r="EZ2317" s="1"/>
      <c r="HY2317" s="1"/>
      <c r="IS2317" s="1"/>
      <c r="IZ2317" s="1"/>
      <c r="JH2317" s="1"/>
      <c r="JJ2317" s="1"/>
      <c r="JP2317" s="1"/>
      <c r="JQ2317" s="1"/>
      <c r="JU2317" s="1"/>
    </row>
    <row r="2318" spans="4:339" ht="13" x14ac:dyDescent="0.15">
      <c r="D2318" s="12"/>
      <c r="E2318" s="12"/>
      <c r="I2318" s="12"/>
      <c r="J2318" s="13"/>
      <c r="BG2318" s="1"/>
      <c r="BH2318" s="1"/>
      <c r="BI2318" s="1"/>
      <c r="BJ2318" s="1"/>
      <c r="BK2318" s="1"/>
      <c r="BL2318" s="1"/>
      <c r="BM2318" s="1"/>
      <c r="BN2318" s="1"/>
      <c r="BO2318" s="1"/>
      <c r="CD2318" s="1"/>
      <c r="CM2318" s="2"/>
      <c r="ED2318" s="1"/>
      <c r="EL2318" s="1"/>
      <c r="EM2318" s="1"/>
      <c r="EN2318" s="1"/>
      <c r="EQ2318" s="1"/>
      <c r="ER2318" s="1"/>
      <c r="ES2318" s="1"/>
      <c r="EV2318" s="1"/>
      <c r="EW2318" s="1"/>
      <c r="EZ2318" s="1"/>
      <c r="IS2318" s="1"/>
      <c r="IZ2318" s="1"/>
      <c r="JJ2318" s="1"/>
      <c r="JP2318" s="1"/>
      <c r="JQ2318" s="1"/>
    </row>
    <row r="2319" spans="4:339" ht="13" x14ac:dyDescent="0.15">
      <c r="D2319" s="12"/>
      <c r="E2319" s="12"/>
      <c r="I2319" s="12"/>
      <c r="J2319" s="13"/>
      <c r="BG2319" s="1"/>
      <c r="BH2319" s="1"/>
      <c r="BI2319" s="1"/>
      <c r="BJ2319" s="1"/>
      <c r="BK2319" s="1"/>
      <c r="BL2319" s="1"/>
      <c r="BM2319" s="1"/>
      <c r="BN2319" s="1"/>
      <c r="BO2319" s="1"/>
      <c r="BP2319" s="1"/>
      <c r="CD2319" s="1"/>
      <c r="CE2319" s="1"/>
      <c r="CF2319" s="1"/>
      <c r="CG2319" s="1"/>
      <c r="CM2319" s="2"/>
      <c r="CP2319" s="1"/>
      <c r="CQ2319" s="1"/>
      <c r="CR2319" s="1"/>
      <c r="CS2319" s="1"/>
      <c r="CT2319" s="1"/>
      <c r="CU2319" s="1"/>
      <c r="CV2319" s="1"/>
      <c r="CW2319" s="1"/>
      <c r="CX2319" s="1"/>
      <c r="CY2319" s="1"/>
      <c r="CZ2319" s="1"/>
      <c r="DA2319" s="1"/>
      <c r="DB2319" s="1"/>
      <c r="DC2319" s="1"/>
      <c r="DD2319" s="1"/>
      <c r="DE2319" s="1"/>
      <c r="DF2319" s="1"/>
      <c r="DG2319" s="1"/>
      <c r="DH2319" s="1"/>
      <c r="DI2319" s="1"/>
      <c r="DJ2319" s="1"/>
      <c r="DK2319" s="1"/>
      <c r="DQ2319" s="1"/>
      <c r="DR2319" s="1"/>
      <c r="DY2319" s="1"/>
      <c r="DZ2319" s="1"/>
      <c r="ED2319" s="1"/>
      <c r="EE2319" s="1"/>
      <c r="EF2319" s="1"/>
      <c r="EG2319" s="1"/>
      <c r="EH2319" s="1"/>
      <c r="EK2319" s="1"/>
      <c r="EL2319" s="1"/>
      <c r="EM2319" s="1"/>
      <c r="EN2319" s="1"/>
      <c r="EQ2319" s="1"/>
      <c r="ER2319" s="1"/>
      <c r="ES2319" s="1"/>
      <c r="EV2319" s="1"/>
      <c r="EW2319" s="1"/>
      <c r="EY2319" s="1"/>
      <c r="EZ2319" s="1"/>
      <c r="GO2319" s="1"/>
      <c r="GP2319" s="1"/>
      <c r="HY2319" s="1"/>
      <c r="IE2319" s="1"/>
      <c r="IF2319" s="1"/>
      <c r="IG2319" s="1"/>
      <c r="IJ2319" s="1"/>
      <c r="IR2319" s="1"/>
      <c r="IS2319" s="1"/>
      <c r="IZ2319" s="1"/>
      <c r="JH2319" s="1"/>
      <c r="JJ2319" s="1"/>
      <c r="JK2319" s="1"/>
      <c r="JL2319" s="3"/>
      <c r="JM2319" s="1"/>
      <c r="JN2319" s="1"/>
      <c r="JP2319" s="1"/>
      <c r="JQ2319" s="1"/>
      <c r="JR2319" s="1"/>
      <c r="LZ2319" s="1"/>
      <c r="MA2319" s="1"/>
    </row>
    <row r="2320" spans="4:339" ht="13" x14ac:dyDescent="0.15">
      <c r="D2320" s="12"/>
      <c r="E2320" s="12"/>
      <c r="I2320" s="12"/>
      <c r="J2320" s="13"/>
      <c r="BF2320" s="1"/>
      <c r="BG2320" s="1"/>
      <c r="BH2320" s="1"/>
      <c r="BI2320" s="1"/>
      <c r="BK2320" s="1"/>
      <c r="BL2320" s="1"/>
      <c r="BM2320" s="1"/>
      <c r="BN2320" s="1"/>
      <c r="CD2320" s="1"/>
      <c r="CM2320" s="2"/>
      <c r="ED2320" s="1"/>
      <c r="EL2320" s="1"/>
      <c r="EM2320" s="1"/>
      <c r="EN2320" s="1"/>
      <c r="EQ2320" s="1"/>
      <c r="ER2320" s="1"/>
      <c r="ES2320" s="1"/>
      <c r="EV2320" s="1"/>
      <c r="EW2320" s="1"/>
      <c r="EZ2320" s="1"/>
      <c r="HY2320" s="1"/>
      <c r="IS2320" s="1"/>
      <c r="IZ2320" s="1"/>
      <c r="JJ2320" s="1"/>
      <c r="JP2320" s="1"/>
      <c r="JQ2320" s="1"/>
    </row>
    <row r="2321" spans="4:339" ht="13" x14ac:dyDescent="0.15">
      <c r="D2321" s="12"/>
      <c r="E2321" s="12"/>
      <c r="I2321" s="12"/>
      <c r="J2321" s="13"/>
      <c r="BF2321" s="1"/>
      <c r="BG2321" s="1"/>
      <c r="BH2321" s="1"/>
      <c r="BI2321" s="1"/>
      <c r="BK2321" s="1"/>
      <c r="BL2321" s="1"/>
      <c r="BM2321" s="1"/>
      <c r="BN2321" s="1"/>
      <c r="BO2321" s="1"/>
      <c r="BP2321" s="1"/>
      <c r="CD2321" s="1"/>
      <c r="CE2321" s="1"/>
      <c r="CF2321" s="1"/>
      <c r="CG2321" s="1"/>
      <c r="CM2321" s="2"/>
      <c r="CP2321" s="1"/>
      <c r="CQ2321" s="1"/>
      <c r="CS2321" s="1"/>
      <c r="CT2321" s="1"/>
      <c r="CU2321" s="1"/>
      <c r="CV2321" s="1"/>
      <c r="CW2321" s="1"/>
      <c r="CX2321" s="1"/>
      <c r="CY2321" s="1"/>
      <c r="CZ2321" s="1"/>
      <c r="DA2321" s="1"/>
      <c r="DB2321" s="1"/>
      <c r="DC2321" s="1"/>
      <c r="DD2321" s="1"/>
      <c r="DE2321" s="1"/>
      <c r="DF2321" s="1"/>
      <c r="DG2321" s="1"/>
      <c r="DH2321" s="1"/>
      <c r="DI2321" s="1"/>
      <c r="DJ2321" s="1"/>
      <c r="DK2321" s="1"/>
      <c r="ED2321" s="1"/>
      <c r="EK2321" s="1"/>
      <c r="EL2321" s="1"/>
      <c r="EM2321" s="1"/>
      <c r="EN2321" s="1"/>
      <c r="EQ2321" s="1"/>
      <c r="ER2321" s="1"/>
      <c r="ES2321" s="1"/>
      <c r="EV2321" s="1"/>
      <c r="EW2321" s="1"/>
      <c r="EZ2321" s="1"/>
      <c r="GO2321" s="1"/>
      <c r="HY2321" s="1"/>
      <c r="IE2321" s="1"/>
      <c r="IR2321" s="1"/>
      <c r="IS2321" s="1"/>
      <c r="IZ2321" s="1"/>
      <c r="JJ2321" s="1"/>
      <c r="JP2321" s="1"/>
      <c r="JQ2321" s="1"/>
      <c r="LZ2321" s="1"/>
      <c r="MA2321" s="1"/>
    </row>
    <row r="2322" spans="4:339" ht="13" x14ac:dyDescent="0.15">
      <c r="D2322" s="12"/>
      <c r="E2322" s="12"/>
      <c r="I2322" s="12"/>
      <c r="J2322" s="13"/>
      <c r="BG2322" s="1"/>
      <c r="BH2322" s="1"/>
      <c r="BI2322" s="1"/>
      <c r="BK2322" s="1"/>
      <c r="BM2322" s="1"/>
      <c r="BN2322" s="1"/>
      <c r="CD2322" s="1"/>
      <c r="CM2322" s="2"/>
      <c r="ED2322" s="1"/>
      <c r="EL2322" s="1"/>
      <c r="EM2322" s="1"/>
      <c r="EN2322" s="1"/>
      <c r="EQ2322" s="1"/>
      <c r="ER2322" s="1"/>
      <c r="ES2322" s="1"/>
      <c r="EV2322" s="1"/>
      <c r="EW2322" s="1"/>
      <c r="EZ2322" s="1"/>
      <c r="IS2322" s="1"/>
      <c r="IY2322" s="1"/>
      <c r="IZ2322" s="1"/>
      <c r="JJ2322" s="1"/>
      <c r="JN2322" s="1"/>
      <c r="JP2322" s="1"/>
      <c r="JQ2322" s="1"/>
    </row>
    <row r="2323" spans="4:339" ht="13" x14ac:dyDescent="0.15">
      <c r="D2323" s="12"/>
      <c r="E2323" s="12"/>
      <c r="I2323" s="12"/>
      <c r="J2323" s="13"/>
      <c r="BG2323" s="1"/>
      <c r="BH2323" s="1"/>
      <c r="BI2323" s="1"/>
      <c r="BK2323" s="1"/>
      <c r="BM2323" s="1"/>
      <c r="BN2323" s="1"/>
      <c r="CD2323" s="1"/>
      <c r="CM2323" s="2"/>
      <c r="ED2323" s="1"/>
      <c r="EL2323" s="1"/>
      <c r="EM2323" s="1"/>
      <c r="EN2323" s="1"/>
      <c r="EQ2323" s="1"/>
      <c r="ER2323" s="1"/>
      <c r="ES2323" s="1"/>
      <c r="EV2323" s="1"/>
      <c r="EW2323" s="1"/>
      <c r="EZ2323" s="1"/>
      <c r="IS2323" s="1"/>
      <c r="IY2323" s="1"/>
      <c r="IZ2323" s="1"/>
      <c r="JJ2323" s="1"/>
      <c r="JN2323" s="1"/>
      <c r="JP2323" s="1"/>
      <c r="JQ2323" s="1"/>
    </row>
    <row r="2324" spans="4:339" ht="13" x14ac:dyDescent="0.15">
      <c r="D2324" s="12"/>
      <c r="E2324" s="12"/>
      <c r="I2324" s="12"/>
      <c r="J2324" s="13"/>
      <c r="BG2324" s="1"/>
      <c r="BH2324" s="1"/>
      <c r="BI2324" s="1"/>
      <c r="BK2324" s="1"/>
      <c r="BM2324" s="1"/>
      <c r="BN2324" s="1"/>
      <c r="CD2324" s="1"/>
      <c r="CM2324" s="2"/>
      <c r="ED2324" s="1"/>
      <c r="EL2324" s="1"/>
      <c r="EM2324" s="1"/>
      <c r="EN2324" s="1"/>
      <c r="EQ2324" s="1"/>
      <c r="ER2324" s="1"/>
      <c r="ES2324" s="1"/>
      <c r="EV2324" s="1"/>
      <c r="EW2324" s="1"/>
      <c r="EZ2324" s="1"/>
      <c r="IS2324" s="1"/>
      <c r="IY2324" s="1"/>
      <c r="IZ2324" s="1"/>
      <c r="JJ2324" s="1"/>
      <c r="JN2324" s="1"/>
      <c r="JP2324" s="1"/>
      <c r="JQ2324" s="1"/>
    </row>
    <row r="2325" spans="4:339" ht="13" x14ac:dyDescent="0.15">
      <c r="D2325" s="12"/>
      <c r="E2325" s="12"/>
      <c r="I2325" s="12"/>
      <c r="J2325" s="13"/>
      <c r="BG2325" s="1"/>
      <c r="BH2325" s="1"/>
      <c r="BI2325" s="1"/>
      <c r="BK2325" s="1"/>
      <c r="BM2325" s="1"/>
      <c r="BN2325" s="1"/>
      <c r="CD2325" s="1"/>
      <c r="CM2325" s="2"/>
      <c r="ED2325" s="1"/>
      <c r="EL2325" s="1"/>
      <c r="EM2325" s="1"/>
      <c r="EN2325" s="1"/>
      <c r="EQ2325" s="1"/>
      <c r="ER2325" s="1"/>
      <c r="ES2325" s="1"/>
      <c r="EV2325" s="1"/>
      <c r="EW2325" s="1"/>
      <c r="EZ2325" s="1"/>
      <c r="IS2325" s="1"/>
      <c r="IY2325" s="1"/>
      <c r="IZ2325" s="1"/>
      <c r="JJ2325" s="1"/>
      <c r="JN2325" s="1"/>
      <c r="JP2325" s="1"/>
      <c r="JQ2325" s="1"/>
    </row>
    <row r="2326" spans="4:339" ht="13" x14ac:dyDescent="0.15">
      <c r="D2326" s="12"/>
      <c r="E2326" s="12"/>
      <c r="I2326" s="12"/>
      <c r="J2326" s="13"/>
      <c r="BG2326" s="1"/>
      <c r="BH2326" s="1"/>
      <c r="BI2326" s="1"/>
      <c r="BK2326" s="1"/>
      <c r="BM2326" s="1"/>
      <c r="BN2326" s="1"/>
      <c r="CD2326" s="1"/>
      <c r="CM2326" s="2"/>
      <c r="ED2326" s="1"/>
      <c r="EL2326" s="1"/>
      <c r="EM2326" s="1"/>
      <c r="EN2326" s="1"/>
      <c r="EQ2326" s="1"/>
      <c r="ER2326" s="1"/>
      <c r="ES2326" s="1"/>
      <c r="EV2326" s="1"/>
      <c r="EW2326" s="1"/>
      <c r="EZ2326" s="1"/>
      <c r="IS2326" s="1"/>
      <c r="IY2326" s="1"/>
      <c r="IZ2326" s="1"/>
      <c r="JJ2326" s="1"/>
      <c r="JN2326" s="1"/>
      <c r="JP2326" s="1"/>
      <c r="JQ2326" s="1"/>
    </row>
    <row r="2327" spans="4:339" ht="13" x14ac:dyDescent="0.15">
      <c r="D2327" s="12"/>
      <c r="E2327" s="12"/>
      <c r="I2327" s="12"/>
      <c r="J2327" s="13"/>
      <c r="BG2327" s="1"/>
      <c r="BH2327" s="1"/>
      <c r="BI2327" s="1"/>
      <c r="BK2327" s="1"/>
      <c r="BM2327" s="1"/>
      <c r="BN2327" s="1"/>
      <c r="CD2327" s="1"/>
      <c r="CM2327" s="2"/>
      <c r="ED2327" s="1"/>
      <c r="EL2327" s="1"/>
      <c r="EM2327" s="1"/>
      <c r="EN2327" s="1"/>
      <c r="EQ2327" s="1"/>
      <c r="ER2327" s="1"/>
      <c r="ES2327" s="1"/>
      <c r="EV2327" s="1"/>
      <c r="EW2327" s="1"/>
      <c r="EZ2327" s="1"/>
      <c r="IS2327" s="1"/>
      <c r="IY2327" s="1"/>
      <c r="IZ2327" s="1"/>
      <c r="JJ2327" s="1"/>
      <c r="JN2327" s="1"/>
      <c r="JP2327" s="1"/>
      <c r="JQ2327" s="1"/>
    </row>
    <row r="2328" spans="4:339" ht="13" x14ac:dyDescent="0.15">
      <c r="D2328" s="12"/>
      <c r="E2328" s="12"/>
      <c r="I2328" s="12"/>
      <c r="J2328" s="13"/>
      <c r="BG2328" s="1"/>
      <c r="BH2328" s="1"/>
      <c r="BI2328" s="1"/>
      <c r="BK2328" s="1"/>
      <c r="BM2328" s="1"/>
      <c r="BN2328" s="1"/>
      <c r="CD2328" s="1"/>
      <c r="CM2328" s="2"/>
      <c r="ED2328" s="1"/>
      <c r="EL2328" s="1"/>
      <c r="EM2328" s="1"/>
      <c r="EN2328" s="1"/>
      <c r="EQ2328" s="1"/>
      <c r="ER2328" s="1"/>
      <c r="ES2328" s="1"/>
      <c r="EV2328" s="1"/>
      <c r="EW2328" s="1"/>
      <c r="EZ2328" s="1"/>
      <c r="IS2328" s="1"/>
      <c r="IY2328" s="1"/>
      <c r="IZ2328" s="1"/>
      <c r="JJ2328" s="1"/>
      <c r="JN2328" s="1"/>
      <c r="JP2328" s="1"/>
      <c r="JQ2328" s="1"/>
    </row>
    <row r="2329" spans="4:339" ht="13" x14ac:dyDescent="0.15">
      <c r="D2329" s="12"/>
      <c r="E2329" s="12"/>
      <c r="I2329" s="12"/>
      <c r="J2329" s="13"/>
      <c r="BG2329" s="1"/>
      <c r="BH2329" s="1"/>
      <c r="BI2329" s="1"/>
      <c r="BK2329" s="1"/>
      <c r="BM2329" s="1"/>
      <c r="BN2329" s="1"/>
      <c r="CD2329" s="1"/>
      <c r="CM2329" s="2"/>
      <c r="ED2329" s="1"/>
      <c r="EL2329" s="1"/>
      <c r="EM2329" s="1"/>
      <c r="EN2329" s="1"/>
      <c r="EQ2329" s="1"/>
      <c r="ER2329" s="1"/>
      <c r="ES2329" s="1"/>
      <c r="EV2329" s="1"/>
      <c r="EW2329" s="1"/>
      <c r="EZ2329" s="1"/>
      <c r="IS2329" s="1"/>
      <c r="IY2329" s="1"/>
      <c r="IZ2329" s="1"/>
      <c r="JJ2329" s="1"/>
      <c r="JN2329" s="1"/>
      <c r="JP2329" s="1"/>
      <c r="JQ2329" s="1"/>
    </row>
    <row r="2330" spans="4:339" ht="13" x14ac:dyDescent="0.15">
      <c r="D2330" s="12"/>
      <c r="E2330" s="12"/>
      <c r="I2330" s="12"/>
      <c r="J2330" s="13"/>
      <c r="BG2330" s="1"/>
      <c r="BH2330" s="1"/>
      <c r="BI2330" s="1"/>
      <c r="BK2330" s="1"/>
      <c r="BM2330" s="1"/>
      <c r="BN2330" s="1"/>
      <c r="CD2330" s="1"/>
      <c r="CM2330" s="2"/>
      <c r="ED2330" s="1"/>
      <c r="EL2330" s="1"/>
      <c r="EM2330" s="1"/>
      <c r="EN2330" s="1"/>
      <c r="EQ2330" s="1"/>
      <c r="ER2330" s="1"/>
      <c r="ES2330" s="1"/>
      <c r="EV2330" s="1"/>
      <c r="EW2330" s="1"/>
      <c r="EZ2330" s="1"/>
      <c r="IS2330" s="1"/>
      <c r="IY2330" s="1"/>
      <c r="IZ2330" s="1"/>
      <c r="JJ2330" s="1"/>
      <c r="JN2330" s="1"/>
      <c r="JP2330" s="1"/>
      <c r="JQ2330" s="1"/>
    </row>
    <row r="2331" spans="4:339" ht="13" x14ac:dyDescent="0.15">
      <c r="D2331" s="12"/>
      <c r="E2331" s="12"/>
      <c r="I2331" s="12"/>
      <c r="J2331" s="13"/>
      <c r="BG2331" s="1"/>
      <c r="BH2331" s="1"/>
      <c r="BI2331" s="1"/>
      <c r="BK2331" s="1"/>
      <c r="BM2331" s="1"/>
      <c r="BN2331" s="1"/>
      <c r="CD2331" s="1"/>
      <c r="CM2331" s="2"/>
      <c r="ED2331" s="1"/>
      <c r="EL2331" s="1"/>
      <c r="EM2331" s="1"/>
      <c r="EN2331" s="1"/>
      <c r="EQ2331" s="1"/>
      <c r="ER2331" s="1"/>
      <c r="ES2331" s="1"/>
      <c r="EV2331" s="1"/>
      <c r="EW2331" s="1"/>
      <c r="EZ2331" s="1"/>
      <c r="IS2331" s="1"/>
      <c r="IY2331" s="1"/>
      <c r="IZ2331" s="1"/>
      <c r="JJ2331" s="1"/>
      <c r="JN2331" s="1"/>
      <c r="JP2331" s="1"/>
      <c r="JQ2331" s="1"/>
    </row>
    <row r="2332" spans="4:339" ht="13" x14ac:dyDescent="0.15">
      <c r="D2332" s="12"/>
      <c r="E2332" s="12"/>
      <c r="I2332" s="12"/>
      <c r="J2332" s="13"/>
      <c r="BG2332" s="1"/>
      <c r="BH2332" s="1"/>
      <c r="BI2332" s="1"/>
      <c r="BK2332" s="1"/>
      <c r="BM2332" s="1"/>
      <c r="BN2332" s="1"/>
      <c r="CD2332" s="1"/>
      <c r="CM2332" s="2"/>
      <c r="ED2332" s="1"/>
      <c r="EL2332" s="1"/>
      <c r="EM2332" s="1"/>
      <c r="EN2332" s="1"/>
      <c r="EQ2332" s="1"/>
      <c r="ER2332" s="1"/>
      <c r="ES2332" s="1"/>
      <c r="EV2332" s="1"/>
      <c r="EW2332" s="1"/>
      <c r="EZ2332" s="1"/>
      <c r="IS2332" s="1"/>
      <c r="IY2332" s="1"/>
      <c r="IZ2332" s="1"/>
      <c r="JJ2332" s="1"/>
      <c r="JN2332" s="1"/>
      <c r="JP2332" s="1"/>
      <c r="JQ2332" s="1"/>
    </row>
    <row r="2333" spans="4:339" ht="13" x14ac:dyDescent="0.15">
      <c r="D2333" s="12"/>
      <c r="E2333" s="12"/>
      <c r="I2333" s="12"/>
      <c r="J2333" s="13"/>
      <c r="BG2333" s="1"/>
      <c r="BH2333" s="1"/>
      <c r="BI2333" s="1"/>
      <c r="BK2333" s="1"/>
      <c r="BM2333" s="1"/>
      <c r="BN2333" s="1"/>
      <c r="CD2333" s="1"/>
      <c r="CM2333" s="2"/>
      <c r="ED2333" s="1"/>
      <c r="EL2333" s="1"/>
      <c r="EM2333" s="1"/>
      <c r="EN2333" s="1"/>
      <c r="EQ2333" s="1"/>
      <c r="ER2333" s="1"/>
      <c r="ES2333" s="1"/>
      <c r="EV2333" s="1"/>
      <c r="EW2333" s="1"/>
      <c r="EZ2333" s="1"/>
      <c r="IS2333" s="1"/>
      <c r="IY2333" s="1"/>
      <c r="IZ2333" s="1"/>
      <c r="JJ2333" s="1"/>
      <c r="JN2333" s="1"/>
      <c r="JP2333" s="1"/>
      <c r="JQ2333" s="1"/>
    </row>
    <row r="2334" spans="4:339" ht="13" x14ac:dyDescent="0.15">
      <c r="D2334" s="12"/>
      <c r="E2334" s="12"/>
      <c r="I2334" s="12"/>
      <c r="J2334" s="13"/>
      <c r="BG2334" s="1"/>
      <c r="BH2334" s="1"/>
      <c r="BI2334" s="1"/>
      <c r="BK2334" s="1"/>
      <c r="BM2334" s="1"/>
      <c r="BN2334" s="1"/>
      <c r="CD2334" s="1"/>
      <c r="CM2334" s="2"/>
      <c r="ED2334" s="1"/>
      <c r="EL2334" s="1"/>
      <c r="EM2334" s="1"/>
      <c r="EN2334" s="1"/>
      <c r="EQ2334" s="1"/>
      <c r="ER2334" s="1"/>
      <c r="ES2334" s="1"/>
      <c r="EV2334" s="1"/>
      <c r="EW2334" s="1"/>
      <c r="EZ2334" s="1"/>
      <c r="IS2334" s="1"/>
      <c r="IY2334" s="1"/>
      <c r="IZ2334" s="1"/>
      <c r="JJ2334" s="1"/>
      <c r="JN2334" s="1"/>
      <c r="JP2334" s="1"/>
      <c r="JQ2334" s="1"/>
    </row>
    <row r="2335" spans="4:339" ht="13" x14ac:dyDescent="0.15">
      <c r="D2335" s="12"/>
      <c r="E2335" s="12"/>
      <c r="I2335" s="12"/>
      <c r="J2335" s="13"/>
      <c r="BG2335" s="1"/>
      <c r="BH2335" s="1"/>
      <c r="BI2335" s="1"/>
      <c r="BK2335" s="1"/>
      <c r="BM2335" s="1"/>
      <c r="BN2335" s="1"/>
      <c r="CD2335" s="1"/>
      <c r="CM2335" s="2"/>
      <c r="ED2335" s="1"/>
      <c r="EL2335" s="1"/>
      <c r="EM2335" s="1"/>
      <c r="EN2335" s="1"/>
      <c r="EQ2335" s="1"/>
      <c r="ER2335" s="1"/>
      <c r="ES2335" s="1"/>
      <c r="EV2335" s="1"/>
      <c r="EW2335" s="1"/>
      <c r="EZ2335" s="1"/>
      <c r="IS2335" s="1"/>
      <c r="IY2335" s="1"/>
      <c r="IZ2335" s="1"/>
      <c r="JJ2335" s="1"/>
      <c r="JN2335" s="1"/>
      <c r="JP2335" s="1"/>
      <c r="JQ2335" s="1"/>
    </row>
    <row r="2336" spans="4:339" ht="13" x14ac:dyDescent="0.15">
      <c r="D2336" s="12"/>
      <c r="E2336" s="12"/>
      <c r="I2336" s="12"/>
      <c r="J2336" s="13"/>
      <c r="BG2336" s="1"/>
      <c r="BH2336" s="1"/>
      <c r="BI2336" s="1"/>
      <c r="BK2336" s="1"/>
      <c r="BM2336" s="1"/>
      <c r="BN2336" s="1"/>
      <c r="CD2336" s="1"/>
      <c r="CM2336" s="2"/>
      <c r="ED2336" s="1"/>
      <c r="EL2336" s="1"/>
      <c r="EM2336" s="1"/>
      <c r="EN2336" s="1"/>
      <c r="EQ2336" s="1"/>
      <c r="ER2336" s="1"/>
      <c r="ES2336" s="1"/>
      <c r="EV2336" s="1"/>
      <c r="EW2336" s="1"/>
      <c r="EZ2336" s="1"/>
      <c r="IS2336" s="1"/>
      <c r="IY2336" s="1"/>
      <c r="IZ2336" s="1"/>
      <c r="JJ2336" s="1"/>
      <c r="JN2336" s="1"/>
      <c r="JP2336" s="1"/>
      <c r="JQ2336" s="1"/>
    </row>
    <row r="2337" spans="4:339" ht="13" x14ac:dyDescent="0.15">
      <c r="D2337" s="12"/>
      <c r="E2337" s="12"/>
      <c r="I2337" s="12"/>
      <c r="J2337" s="13"/>
      <c r="BG2337" s="1"/>
      <c r="BH2337" s="1"/>
      <c r="BI2337" s="1"/>
      <c r="BK2337" s="1"/>
      <c r="BM2337" s="1"/>
      <c r="BN2337" s="1"/>
      <c r="CD2337" s="1"/>
      <c r="CM2337" s="2"/>
      <c r="ED2337" s="1"/>
      <c r="EL2337" s="1"/>
      <c r="EM2337" s="1"/>
      <c r="EN2337" s="1"/>
      <c r="EQ2337" s="1"/>
      <c r="ER2337" s="1"/>
      <c r="ES2337" s="1"/>
      <c r="EV2337" s="1"/>
      <c r="EW2337" s="1"/>
      <c r="EZ2337" s="1"/>
      <c r="IS2337" s="1"/>
      <c r="IY2337" s="1"/>
      <c r="IZ2337" s="1"/>
      <c r="JJ2337" s="1"/>
      <c r="JN2337" s="1"/>
      <c r="JP2337" s="1"/>
      <c r="JQ2337" s="1"/>
    </row>
    <row r="2338" spans="4:339" ht="13" x14ac:dyDescent="0.15">
      <c r="D2338" s="12"/>
      <c r="E2338" s="12"/>
      <c r="I2338" s="12"/>
      <c r="J2338" s="13"/>
      <c r="BG2338" s="1"/>
      <c r="BH2338" s="1"/>
      <c r="BI2338" s="1"/>
      <c r="BK2338" s="1"/>
      <c r="BM2338" s="1"/>
      <c r="BN2338" s="1"/>
      <c r="CD2338" s="1"/>
      <c r="CM2338" s="2"/>
      <c r="ED2338" s="1"/>
      <c r="EL2338" s="1"/>
      <c r="EM2338" s="1"/>
      <c r="EN2338" s="1"/>
      <c r="EQ2338" s="1"/>
      <c r="ER2338" s="1"/>
      <c r="ES2338" s="1"/>
      <c r="EV2338" s="1"/>
      <c r="EW2338" s="1"/>
      <c r="EZ2338" s="1"/>
      <c r="IS2338" s="1"/>
      <c r="IY2338" s="1"/>
      <c r="IZ2338" s="1"/>
      <c r="JJ2338" s="1"/>
      <c r="JN2338" s="1"/>
      <c r="JP2338" s="1"/>
      <c r="JQ2338" s="1"/>
    </row>
    <row r="2339" spans="4:339" ht="13" x14ac:dyDescent="0.15">
      <c r="D2339" s="12"/>
      <c r="E2339" s="12"/>
      <c r="I2339" s="12"/>
      <c r="J2339" s="13"/>
      <c r="BG2339" s="1"/>
      <c r="BH2339" s="1"/>
      <c r="BI2339" s="1"/>
      <c r="BK2339" s="1"/>
      <c r="BM2339" s="1"/>
      <c r="BN2339" s="1"/>
      <c r="CD2339" s="1"/>
      <c r="CM2339" s="2"/>
      <c r="ED2339" s="1"/>
      <c r="EL2339" s="1"/>
      <c r="EM2339" s="1"/>
      <c r="EN2339" s="1"/>
      <c r="EQ2339" s="1"/>
      <c r="ER2339" s="1"/>
      <c r="ES2339" s="1"/>
      <c r="EV2339" s="1"/>
      <c r="EW2339" s="1"/>
      <c r="EZ2339" s="1"/>
      <c r="IS2339" s="1"/>
      <c r="IY2339" s="1"/>
      <c r="IZ2339" s="1"/>
      <c r="JJ2339" s="1"/>
      <c r="JN2339" s="1"/>
      <c r="JP2339" s="1"/>
      <c r="JQ2339" s="1"/>
    </row>
    <row r="2340" spans="4:339" ht="13" x14ac:dyDescent="0.15">
      <c r="D2340" s="12"/>
      <c r="E2340" s="12"/>
      <c r="I2340" s="12"/>
      <c r="J2340" s="13"/>
      <c r="BG2340" s="1"/>
      <c r="BH2340" s="1"/>
      <c r="BI2340" s="1"/>
      <c r="BK2340" s="1"/>
      <c r="BM2340" s="1"/>
      <c r="BN2340" s="1"/>
      <c r="CD2340" s="1"/>
      <c r="CM2340" s="2"/>
      <c r="ED2340" s="1"/>
      <c r="EL2340" s="1"/>
      <c r="EM2340" s="1"/>
      <c r="EN2340" s="1"/>
      <c r="EQ2340" s="1"/>
      <c r="ER2340" s="1"/>
      <c r="ES2340" s="1"/>
      <c r="EV2340" s="1"/>
      <c r="EW2340" s="1"/>
      <c r="EZ2340" s="1"/>
      <c r="IS2340" s="1"/>
      <c r="IY2340" s="1"/>
      <c r="IZ2340" s="1"/>
      <c r="JJ2340" s="1"/>
      <c r="JN2340" s="1"/>
      <c r="JP2340" s="1"/>
      <c r="JQ2340" s="1"/>
    </row>
    <row r="2341" spans="4:339" ht="13" x14ac:dyDescent="0.15">
      <c r="D2341" s="12"/>
      <c r="E2341" s="12"/>
      <c r="I2341" s="12"/>
      <c r="J2341" s="13"/>
      <c r="BG2341" s="1"/>
      <c r="BH2341" s="1"/>
      <c r="BI2341" s="1"/>
      <c r="BK2341" s="1"/>
      <c r="BM2341" s="1"/>
      <c r="BN2341" s="1"/>
      <c r="CD2341" s="1"/>
      <c r="CM2341" s="2"/>
      <c r="ED2341" s="1"/>
      <c r="EL2341" s="1"/>
      <c r="EM2341" s="1"/>
      <c r="EN2341" s="1"/>
      <c r="EQ2341" s="1"/>
      <c r="ER2341" s="1"/>
      <c r="ES2341" s="1"/>
      <c r="EV2341" s="1"/>
      <c r="EW2341" s="1"/>
      <c r="EZ2341" s="1"/>
      <c r="IS2341" s="1"/>
      <c r="IY2341" s="1"/>
      <c r="IZ2341" s="1"/>
      <c r="JJ2341" s="1"/>
      <c r="JN2341" s="1"/>
      <c r="JP2341" s="1"/>
      <c r="JQ2341" s="1"/>
    </row>
    <row r="2342" spans="4:339" ht="13" x14ac:dyDescent="0.15">
      <c r="D2342" s="12"/>
      <c r="E2342" s="12"/>
      <c r="I2342" s="12"/>
      <c r="J2342" s="13"/>
      <c r="BG2342" s="1"/>
      <c r="BH2342" s="1"/>
      <c r="BI2342" s="1"/>
      <c r="BK2342" s="1"/>
      <c r="BM2342" s="1"/>
      <c r="BN2342" s="1"/>
      <c r="CD2342" s="1"/>
      <c r="CM2342" s="2"/>
      <c r="ED2342" s="1"/>
      <c r="EL2342" s="1"/>
      <c r="EM2342" s="1"/>
      <c r="EN2342" s="1"/>
      <c r="EQ2342" s="1"/>
      <c r="ER2342" s="1"/>
      <c r="ES2342" s="1"/>
      <c r="EV2342" s="1"/>
      <c r="EW2342" s="1"/>
      <c r="EZ2342" s="1"/>
      <c r="IS2342" s="1"/>
      <c r="IY2342" s="1"/>
      <c r="IZ2342" s="1"/>
      <c r="JJ2342" s="1"/>
      <c r="JN2342" s="1"/>
      <c r="JP2342" s="1"/>
      <c r="JQ2342" s="1"/>
    </row>
    <row r="2343" spans="4:339" ht="13" x14ac:dyDescent="0.15">
      <c r="D2343" s="12"/>
      <c r="E2343" s="12"/>
      <c r="I2343" s="12"/>
      <c r="J2343" s="13"/>
      <c r="BG2343" s="1"/>
      <c r="BH2343" s="1"/>
      <c r="BI2343" s="1"/>
      <c r="BK2343" s="1"/>
      <c r="BM2343" s="1"/>
      <c r="BN2343" s="1"/>
      <c r="CD2343" s="1"/>
      <c r="CM2343" s="2"/>
      <c r="ED2343" s="1"/>
      <c r="EL2343" s="1"/>
      <c r="EM2343" s="1"/>
      <c r="EN2343" s="1"/>
      <c r="EQ2343" s="1"/>
      <c r="ER2343" s="1"/>
      <c r="ES2343" s="1"/>
      <c r="EV2343" s="1"/>
      <c r="EW2343" s="1"/>
      <c r="EZ2343" s="1"/>
      <c r="IS2343" s="1"/>
      <c r="IY2343" s="1"/>
      <c r="IZ2343" s="1"/>
      <c r="JJ2343" s="1"/>
      <c r="JN2343" s="1"/>
      <c r="JP2343" s="1"/>
      <c r="JQ2343" s="1"/>
    </row>
    <row r="2344" spans="4:339" ht="13" x14ac:dyDescent="0.15">
      <c r="D2344" s="12"/>
      <c r="E2344" s="12"/>
      <c r="I2344" s="12"/>
      <c r="J2344" s="13"/>
      <c r="BG2344" s="1"/>
      <c r="BH2344" s="1"/>
      <c r="BI2344" s="1"/>
      <c r="BK2344" s="1"/>
      <c r="BM2344" s="1"/>
      <c r="BN2344" s="1"/>
      <c r="CD2344" s="1"/>
      <c r="CM2344" s="2"/>
      <c r="ED2344" s="1"/>
      <c r="EL2344" s="1"/>
      <c r="EM2344" s="1"/>
      <c r="EN2344" s="1"/>
      <c r="EQ2344" s="1"/>
      <c r="ER2344" s="1"/>
      <c r="ES2344" s="1"/>
      <c r="EV2344" s="1"/>
      <c r="EW2344" s="1"/>
      <c r="EZ2344" s="1"/>
      <c r="IS2344" s="1"/>
      <c r="IY2344" s="1"/>
      <c r="IZ2344" s="1"/>
      <c r="JJ2344" s="1"/>
      <c r="JN2344" s="1"/>
      <c r="JP2344" s="1"/>
      <c r="JQ2344" s="1"/>
    </row>
    <row r="2345" spans="4:339" ht="13" x14ac:dyDescent="0.15">
      <c r="D2345" s="12"/>
      <c r="E2345" s="12"/>
      <c r="I2345" s="12"/>
      <c r="J2345" s="13"/>
      <c r="BG2345" s="1"/>
      <c r="BH2345" s="1"/>
      <c r="BI2345" s="1"/>
      <c r="BK2345" s="1"/>
      <c r="BM2345" s="1"/>
      <c r="BN2345" s="1"/>
      <c r="CD2345" s="1"/>
      <c r="CM2345" s="2"/>
      <c r="ED2345" s="1"/>
      <c r="EL2345" s="1"/>
      <c r="EM2345" s="1"/>
      <c r="EN2345" s="1"/>
      <c r="EQ2345" s="1"/>
      <c r="ER2345" s="1"/>
      <c r="ES2345" s="1"/>
      <c r="EV2345" s="1"/>
      <c r="EW2345" s="1"/>
      <c r="EZ2345" s="1"/>
      <c r="IS2345" s="1"/>
      <c r="IY2345" s="1"/>
      <c r="IZ2345" s="1"/>
      <c r="JJ2345" s="1"/>
      <c r="JN2345" s="1"/>
      <c r="JP2345" s="1"/>
      <c r="JQ2345" s="1"/>
    </row>
    <row r="2346" spans="4:339" ht="13" x14ac:dyDescent="0.15">
      <c r="D2346" s="12"/>
      <c r="E2346" s="12"/>
      <c r="I2346" s="12"/>
      <c r="J2346" s="13"/>
      <c r="BG2346" s="1"/>
      <c r="BH2346" s="1"/>
      <c r="BI2346" s="1"/>
      <c r="BK2346" s="1"/>
      <c r="BM2346" s="1"/>
      <c r="BN2346" s="1"/>
      <c r="CD2346" s="1"/>
      <c r="CM2346" s="2"/>
      <c r="ED2346" s="1"/>
      <c r="EL2346" s="1"/>
      <c r="EM2346" s="1"/>
      <c r="EN2346" s="1"/>
      <c r="EQ2346" s="1"/>
      <c r="ER2346" s="1"/>
      <c r="ES2346" s="1"/>
      <c r="EV2346" s="1"/>
      <c r="EW2346" s="1"/>
      <c r="EZ2346" s="1"/>
      <c r="IS2346" s="1"/>
      <c r="IY2346" s="1"/>
      <c r="IZ2346" s="1"/>
      <c r="JJ2346" s="1"/>
      <c r="JN2346" s="1"/>
      <c r="JP2346" s="1"/>
      <c r="JQ2346" s="1"/>
    </row>
    <row r="2347" spans="4:339" ht="13" x14ac:dyDescent="0.15">
      <c r="D2347" s="12"/>
      <c r="E2347" s="12"/>
      <c r="I2347" s="12"/>
      <c r="J2347" s="13"/>
      <c r="BG2347" s="1"/>
      <c r="BH2347" s="1"/>
      <c r="BI2347" s="1"/>
      <c r="BK2347" s="1"/>
      <c r="BM2347" s="1"/>
      <c r="BN2347" s="1"/>
      <c r="CD2347" s="1"/>
      <c r="CM2347" s="2"/>
      <c r="ED2347" s="1"/>
      <c r="EL2347" s="1"/>
      <c r="EM2347" s="1"/>
      <c r="EN2347" s="1"/>
      <c r="EQ2347" s="1"/>
      <c r="ER2347" s="1"/>
      <c r="ES2347" s="1"/>
      <c r="EV2347" s="1"/>
      <c r="EW2347" s="1"/>
      <c r="EZ2347" s="1"/>
      <c r="IS2347" s="1"/>
      <c r="IY2347" s="1"/>
      <c r="IZ2347" s="1"/>
      <c r="JJ2347" s="1"/>
      <c r="JN2347" s="1"/>
      <c r="JP2347" s="1"/>
      <c r="JQ2347" s="1"/>
    </row>
    <row r="2348" spans="4:339" ht="13" x14ac:dyDescent="0.15">
      <c r="D2348" s="12"/>
      <c r="E2348" s="12"/>
      <c r="I2348" s="12"/>
      <c r="J2348" s="13"/>
      <c r="BG2348" s="1"/>
      <c r="BH2348" s="1"/>
      <c r="BI2348" s="1"/>
      <c r="BK2348" s="1"/>
      <c r="BM2348" s="1"/>
      <c r="BN2348" s="1"/>
      <c r="CD2348" s="1"/>
      <c r="CM2348" s="2"/>
      <c r="ED2348" s="1"/>
      <c r="EL2348" s="1"/>
      <c r="EM2348" s="1"/>
      <c r="EN2348" s="1"/>
      <c r="EQ2348" s="1"/>
      <c r="ER2348" s="1"/>
      <c r="ES2348" s="1"/>
      <c r="EV2348" s="1"/>
      <c r="EW2348" s="1"/>
      <c r="EZ2348" s="1"/>
      <c r="IS2348" s="1"/>
      <c r="IY2348" s="1"/>
      <c r="IZ2348" s="1"/>
      <c r="JJ2348" s="1"/>
      <c r="JN2348" s="1"/>
      <c r="JP2348" s="1"/>
      <c r="JQ2348" s="1"/>
    </row>
    <row r="2349" spans="4:339" ht="13" x14ac:dyDescent="0.15">
      <c r="D2349" s="12"/>
      <c r="E2349" s="12"/>
      <c r="I2349" s="12"/>
      <c r="J2349" s="13"/>
      <c r="BG2349" s="1"/>
      <c r="BH2349" s="1"/>
      <c r="BI2349" s="1"/>
      <c r="BK2349" s="1"/>
      <c r="BM2349" s="1"/>
      <c r="BN2349" s="1"/>
      <c r="CD2349" s="1"/>
      <c r="CM2349" s="2"/>
      <c r="ED2349" s="1"/>
      <c r="EL2349" s="1"/>
      <c r="EM2349" s="1"/>
      <c r="EN2349" s="1"/>
      <c r="EQ2349" s="1"/>
      <c r="ER2349" s="1"/>
      <c r="ES2349" s="1"/>
      <c r="EV2349" s="1"/>
      <c r="EW2349" s="1"/>
      <c r="EZ2349" s="1"/>
      <c r="IS2349" s="1"/>
      <c r="IY2349" s="1"/>
      <c r="IZ2349" s="1"/>
      <c r="JJ2349" s="1"/>
      <c r="JN2349" s="1"/>
      <c r="JP2349" s="1"/>
      <c r="JQ2349" s="1"/>
    </row>
    <row r="2350" spans="4:339" ht="13" x14ac:dyDescent="0.15">
      <c r="D2350" s="12"/>
      <c r="E2350" s="12"/>
      <c r="I2350" s="12"/>
      <c r="J2350" s="13"/>
      <c r="BG2350" s="1"/>
      <c r="BH2350" s="1"/>
      <c r="BI2350" s="1"/>
      <c r="BK2350" s="1"/>
      <c r="BM2350" s="1"/>
      <c r="BN2350" s="1"/>
      <c r="CD2350" s="1"/>
      <c r="CM2350" s="2"/>
      <c r="ED2350" s="1"/>
      <c r="EL2350" s="1"/>
      <c r="EM2350" s="1"/>
      <c r="EN2350" s="1"/>
      <c r="EQ2350" s="1"/>
      <c r="ER2350" s="1"/>
      <c r="ES2350" s="1"/>
      <c r="EV2350" s="1"/>
      <c r="EW2350" s="1"/>
      <c r="EZ2350" s="1"/>
      <c r="IS2350" s="1"/>
      <c r="IY2350" s="1"/>
      <c r="IZ2350" s="1"/>
      <c r="JJ2350" s="1"/>
      <c r="JN2350" s="1"/>
      <c r="JP2350" s="1"/>
      <c r="JQ2350" s="1"/>
    </row>
    <row r="2351" spans="4:339" ht="13" x14ac:dyDescent="0.15">
      <c r="D2351" s="12"/>
      <c r="E2351" s="12"/>
      <c r="I2351" s="12"/>
      <c r="J2351" s="13"/>
      <c r="BG2351" s="1"/>
      <c r="BH2351" s="1"/>
      <c r="BI2351" s="1"/>
      <c r="BJ2351" s="1"/>
      <c r="BK2351" s="1"/>
      <c r="BL2351" s="1"/>
      <c r="BM2351" s="1"/>
      <c r="BN2351" s="1"/>
      <c r="CD2351" s="1"/>
      <c r="CM2351" s="2"/>
      <c r="ED2351" s="1"/>
      <c r="EL2351" s="1"/>
      <c r="EM2351" s="1"/>
      <c r="EN2351" s="1"/>
      <c r="EQ2351" s="1"/>
      <c r="ER2351" s="1"/>
      <c r="ES2351" s="1"/>
      <c r="EV2351" s="1"/>
      <c r="EW2351" s="1"/>
      <c r="EZ2351" s="1"/>
      <c r="HY2351" s="1"/>
      <c r="IS2351" s="1"/>
      <c r="IZ2351" s="1"/>
      <c r="JJ2351" s="1"/>
      <c r="JP2351" s="1"/>
      <c r="JQ2351" s="1"/>
    </row>
    <row r="2352" spans="4:339" ht="13" x14ac:dyDescent="0.15">
      <c r="D2352" s="12"/>
      <c r="E2352" s="12"/>
      <c r="I2352" s="12"/>
      <c r="J2352" s="13"/>
      <c r="BF2352" s="1"/>
      <c r="BG2352" s="1"/>
      <c r="BH2352" s="1"/>
      <c r="BI2352" s="1"/>
      <c r="BK2352" s="1"/>
      <c r="BL2352" s="1"/>
      <c r="BM2352" s="1"/>
      <c r="BN2352" s="1"/>
      <c r="BO2352" s="1"/>
      <c r="BP2352" s="1"/>
      <c r="CD2352" s="1"/>
      <c r="CM2352" s="2"/>
      <c r="CP2352" s="1"/>
      <c r="CQ2352" s="1"/>
      <c r="CR2352" s="1"/>
      <c r="CT2352" s="1"/>
      <c r="CU2352" s="1"/>
      <c r="CV2352" s="1"/>
      <c r="CW2352" s="1"/>
      <c r="CX2352" s="1"/>
      <c r="CY2352" s="1"/>
      <c r="CZ2352" s="1"/>
      <c r="DA2352" s="1"/>
      <c r="DB2352" s="1"/>
      <c r="DC2352" s="1"/>
      <c r="DD2352" s="1"/>
      <c r="DE2352" s="1"/>
      <c r="DF2352" s="1"/>
      <c r="DG2352" s="1"/>
      <c r="DH2352" s="1"/>
      <c r="DI2352" s="1"/>
      <c r="DJ2352" s="1"/>
      <c r="DK2352" s="1"/>
      <c r="ED2352" s="1"/>
      <c r="EE2352" s="1"/>
      <c r="EF2352" s="1"/>
      <c r="EG2352" s="1"/>
      <c r="EH2352" s="1"/>
      <c r="EK2352" s="1"/>
      <c r="EL2352" s="1"/>
      <c r="EM2352" s="1"/>
      <c r="EN2352" s="1"/>
      <c r="EQ2352" s="1"/>
      <c r="ER2352" s="1"/>
      <c r="ES2352" s="1"/>
      <c r="EV2352" s="1"/>
      <c r="EW2352" s="1"/>
      <c r="EY2352" s="1"/>
      <c r="EZ2352" s="1"/>
      <c r="GO2352" s="1"/>
      <c r="HY2352" s="1"/>
      <c r="IE2352" s="1"/>
      <c r="IG2352" s="1"/>
      <c r="IJ2352" s="1"/>
      <c r="IS2352" s="1"/>
      <c r="IZ2352" s="1"/>
      <c r="JJ2352" s="1"/>
      <c r="JK2352" s="1"/>
      <c r="JL2352" s="3"/>
      <c r="JM2352" s="1"/>
      <c r="JP2352" s="1"/>
      <c r="JQ2352" s="1"/>
      <c r="JR2352" s="1"/>
      <c r="LZ2352" s="1"/>
      <c r="MA2352" s="1"/>
    </row>
    <row r="2353" spans="4:339" ht="13" x14ac:dyDescent="0.15">
      <c r="D2353" s="12"/>
      <c r="E2353" s="12"/>
      <c r="I2353" s="12"/>
      <c r="J2353" s="13"/>
      <c r="BG2353" s="1"/>
      <c r="BH2353" s="1"/>
      <c r="BI2353" s="1"/>
      <c r="BK2353" s="1"/>
      <c r="BL2353" s="1"/>
      <c r="BM2353" s="1"/>
      <c r="BN2353" s="1"/>
      <c r="CD2353" s="1"/>
      <c r="CM2353" s="2"/>
      <c r="ED2353" s="1"/>
      <c r="EL2353" s="1"/>
      <c r="EM2353" s="1"/>
      <c r="EN2353" s="1"/>
      <c r="EQ2353" s="1"/>
      <c r="ER2353" s="1"/>
      <c r="ES2353" s="1"/>
      <c r="EV2353" s="1"/>
      <c r="EW2353" s="1"/>
      <c r="EZ2353" s="1"/>
      <c r="IS2353" s="1"/>
      <c r="IZ2353" s="1"/>
      <c r="JJ2353" s="1"/>
      <c r="JP2353" s="1"/>
      <c r="JQ2353" s="1"/>
    </row>
    <row r="2354" spans="4:339" ht="13" x14ac:dyDescent="0.15">
      <c r="D2354" s="12"/>
      <c r="E2354" s="12"/>
      <c r="I2354" s="12"/>
      <c r="J2354" s="13"/>
      <c r="BG2354" s="1"/>
      <c r="BH2354" s="1"/>
      <c r="BI2354" s="1"/>
      <c r="BK2354" s="1"/>
      <c r="BL2354" s="1"/>
      <c r="BM2354" s="1"/>
      <c r="BN2354" s="1"/>
      <c r="BO2354" s="1"/>
      <c r="CC2354" s="1"/>
      <c r="CD2354" s="1"/>
      <c r="CM2354" s="2"/>
      <c r="ED2354" s="1"/>
      <c r="EL2354" s="1"/>
      <c r="EM2354" s="1"/>
      <c r="EN2354" s="1"/>
      <c r="EQ2354" s="1"/>
      <c r="ER2354" s="1"/>
      <c r="ES2354" s="1"/>
      <c r="EV2354" s="1"/>
      <c r="EW2354" s="1"/>
      <c r="EZ2354" s="1"/>
      <c r="HY2354" s="1"/>
      <c r="IS2354" s="1"/>
      <c r="IZ2354" s="1"/>
      <c r="JJ2354" s="1"/>
      <c r="JP2354" s="1"/>
      <c r="JQ2354" s="1"/>
    </row>
    <row r="2355" spans="4:339" ht="13" x14ac:dyDescent="0.15">
      <c r="D2355" s="12"/>
      <c r="E2355" s="12"/>
      <c r="I2355" s="12"/>
      <c r="J2355" s="13"/>
      <c r="BG2355" s="1"/>
      <c r="BH2355" s="1"/>
      <c r="BI2355" s="1"/>
      <c r="BK2355" s="1"/>
      <c r="BL2355" s="1"/>
      <c r="BM2355" s="1"/>
      <c r="BN2355" s="1"/>
      <c r="BO2355" s="1"/>
      <c r="BP2355" s="1"/>
      <c r="CD2355" s="1"/>
      <c r="CM2355" s="2"/>
      <c r="CP2355" s="1"/>
      <c r="CQ2355" s="1"/>
      <c r="CR2355" s="1"/>
      <c r="CT2355" s="1"/>
      <c r="CU2355" s="1"/>
      <c r="CV2355" s="1"/>
      <c r="CW2355" s="1"/>
      <c r="CX2355" s="1"/>
      <c r="CY2355" s="1"/>
      <c r="CZ2355" s="1"/>
      <c r="DA2355" s="1"/>
      <c r="DB2355" s="1"/>
      <c r="DC2355" s="1"/>
      <c r="DD2355" s="1"/>
      <c r="DE2355" s="1"/>
      <c r="DF2355" s="1"/>
      <c r="DG2355" s="1"/>
      <c r="DH2355" s="1"/>
      <c r="DI2355" s="1"/>
      <c r="DJ2355" s="1"/>
      <c r="DK2355" s="1"/>
      <c r="ED2355" s="1"/>
      <c r="EK2355" s="1"/>
      <c r="EL2355" s="1"/>
      <c r="EM2355" s="1"/>
      <c r="EN2355" s="1"/>
      <c r="EQ2355" s="1"/>
      <c r="ER2355" s="1"/>
      <c r="ES2355" s="1"/>
      <c r="EV2355" s="1"/>
      <c r="EW2355" s="1"/>
      <c r="EZ2355" s="1"/>
      <c r="GO2355" s="1"/>
      <c r="HY2355" s="1"/>
      <c r="IE2355" s="1"/>
      <c r="IS2355" s="1"/>
      <c r="IZ2355" s="1"/>
      <c r="JJ2355" s="1"/>
      <c r="JP2355" s="1"/>
      <c r="JQ2355" s="1"/>
      <c r="LZ2355" s="1"/>
      <c r="MA2355" s="1"/>
    </row>
    <row r="2356" spans="4:339" ht="13" x14ac:dyDescent="0.15">
      <c r="D2356" s="12"/>
      <c r="E2356" s="12"/>
      <c r="I2356" s="12"/>
      <c r="J2356" s="13"/>
      <c r="BF2356" s="1"/>
      <c r="BG2356" s="1"/>
      <c r="BH2356" s="1"/>
      <c r="BI2356" s="1"/>
      <c r="BK2356" s="1"/>
      <c r="BL2356" s="1"/>
      <c r="BM2356" s="1"/>
      <c r="BN2356" s="1"/>
      <c r="BO2356" s="1"/>
      <c r="BP2356" s="1"/>
      <c r="CD2356" s="1"/>
      <c r="CE2356" s="1"/>
      <c r="CF2356" s="1"/>
      <c r="CG2356" s="1"/>
      <c r="CM2356" s="2"/>
      <c r="CQ2356" s="1"/>
      <c r="CY2356" s="1"/>
      <c r="DC2356" s="1"/>
      <c r="DH2356" s="1"/>
      <c r="DR2356" s="1"/>
      <c r="ED2356" s="1"/>
      <c r="EK2356" s="1"/>
      <c r="EL2356" s="1"/>
      <c r="EM2356" s="1"/>
      <c r="EN2356" s="1"/>
      <c r="EQ2356" s="1"/>
      <c r="ER2356" s="1"/>
      <c r="ES2356" s="1"/>
      <c r="EV2356" s="1"/>
      <c r="EW2356" s="1"/>
      <c r="EZ2356" s="1"/>
      <c r="GO2356" s="1"/>
      <c r="HY2356" s="1"/>
      <c r="IS2356" s="1"/>
      <c r="IY2356" s="1"/>
      <c r="IZ2356" s="1"/>
      <c r="JJ2356" s="1"/>
      <c r="JN2356" s="1"/>
      <c r="JP2356" s="1"/>
      <c r="JQ2356" s="1"/>
      <c r="LZ2356" s="1"/>
      <c r="MA2356" s="1"/>
    </row>
    <row r="2357" spans="4:339" ht="13" x14ac:dyDescent="0.15">
      <c r="D2357" s="12"/>
      <c r="E2357" s="12"/>
      <c r="I2357" s="12"/>
      <c r="J2357" s="13"/>
      <c r="BF2357" s="1"/>
      <c r="BG2357" s="1"/>
      <c r="BH2357" s="1"/>
      <c r="BI2357" s="1"/>
      <c r="BK2357" s="1"/>
      <c r="BL2357" s="1"/>
      <c r="BM2357" s="1"/>
      <c r="BN2357" s="1"/>
      <c r="BO2357" s="1"/>
      <c r="BP2357" s="1"/>
      <c r="CD2357" s="1"/>
      <c r="CE2357" s="1"/>
      <c r="CF2357" s="1"/>
      <c r="CG2357" s="1"/>
      <c r="CM2357" s="2"/>
      <c r="CQ2357" s="1"/>
      <c r="CY2357" s="1"/>
      <c r="DC2357" s="1"/>
      <c r="DH2357" s="1"/>
      <c r="DR2357" s="1"/>
      <c r="ED2357" s="1"/>
      <c r="EK2357" s="1"/>
      <c r="EL2357" s="1"/>
      <c r="EM2357" s="1"/>
      <c r="EN2357" s="1"/>
      <c r="EQ2357" s="1"/>
      <c r="ER2357" s="1"/>
      <c r="ES2357" s="1"/>
      <c r="EV2357" s="1"/>
      <c r="EW2357" s="1"/>
      <c r="EZ2357" s="1"/>
      <c r="GO2357" s="1"/>
      <c r="HY2357" s="1"/>
      <c r="IS2357" s="1"/>
      <c r="IY2357" s="1"/>
      <c r="IZ2357" s="1"/>
      <c r="JJ2357" s="1"/>
      <c r="JN2357" s="1"/>
      <c r="JP2357" s="1"/>
      <c r="JQ2357" s="1"/>
      <c r="LZ2357" s="1"/>
      <c r="MA2357" s="1"/>
    </row>
    <row r="2358" spans="4:339" ht="13" x14ac:dyDescent="0.15">
      <c r="D2358" s="12"/>
      <c r="E2358" s="12"/>
      <c r="I2358" s="12"/>
      <c r="J2358" s="13"/>
      <c r="BF2358" s="1"/>
      <c r="BG2358" s="1"/>
      <c r="BH2358" s="1"/>
      <c r="BI2358" s="1"/>
      <c r="BK2358" s="1"/>
      <c r="BL2358" s="1"/>
      <c r="BM2358" s="1"/>
      <c r="BN2358" s="1"/>
      <c r="BO2358" s="1"/>
      <c r="BP2358" s="1"/>
      <c r="CD2358" s="1"/>
      <c r="CE2358" s="1"/>
      <c r="CF2358" s="1"/>
      <c r="CG2358" s="1"/>
      <c r="CM2358" s="2"/>
      <c r="CQ2358" s="1"/>
      <c r="CY2358" s="1"/>
      <c r="DC2358" s="1"/>
      <c r="DH2358" s="1"/>
      <c r="DR2358" s="1"/>
      <c r="ED2358" s="1"/>
      <c r="EK2358" s="1"/>
      <c r="EL2358" s="1"/>
      <c r="EM2358" s="1"/>
      <c r="EN2358" s="1"/>
      <c r="EQ2358" s="1"/>
      <c r="ER2358" s="1"/>
      <c r="ES2358" s="1"/>
      <c r="EV2358" s="1"/>
      <c r="EW2358" s="1"/>
      <c r="EZ2358" s="1"/>
      <c r="GO2358" s="1"/>
      <c r="HY2358" s="1"/>
      <c r="IS2358" s="1"/>
      <c r="IY2358" s="1"/>
      <c r="IZ2358" s="1"/>
      <c r="JJ2358" s="1"/>
      <c r="JN2358" s="1"/>
      <c r="JP2358" s="1"/>
      <c r="JQ2358" s="1"/>
      <c r="LZ2358" s="1"/>
      <c r="MA2358" s="1"/>
    </row>
    <row r="2359" spans="4:339" ht="13" x14ac:dyDescent="0.15">
      <c r="D2359" s="12"/>
      <c r="E2359" s="12"/>
      <c r="I2359" s="12"/>
      <c r="J2359" s="13"/>
      <c r="BF2359" s="1"/>
      <c r="BG2359" s="1"/>
      <c r="BH2359" s="1"/>
      <c r="BI2359" s="1"/>
      <c r="BK2359" s="1"/>
      <c r="BL2359" s="1"/>
      <c r="BM2359" s="1"/>
      <c r="BN2359" s="1"/>
      <c r="BO2359" s="1"/>
      <c r="BP2359" s="1"/>
      <c r="CD2359" s="1"/>
      <c r="CE2359" s="1"/>
      <c r="CF2359" s="1"/>
      <c r="CG2359" s="1"/>
      <c r="CM2359" s="2"/>
      <c r="CQ2359" s="1"/>
      <c r="CY2359" s="1"/>
      <c r="DC2359" s="1"/>
      <c r="DH2359" s="1"/>
      <c r="DR2359" s="1"/>
      <c r="ED2359" s="1"/>
      <c r="EK2359" s="1"/>
      <c r="EL2359" s="1"/>
      <c r="EM2359" s="1"/>
      <c r="EN2359" s="1"/>
      <c r="EQ2359" s="1"/>
      <c r="ER2359" s="1"/>
      <c r="ES2359" s="1"/>
      <c r="EV2359" s="1"/>
      <c r="EW2359" s="1"/>
      <c r="EZ2359" s="1"/>
      <c r="GO2359" s="1"/>
      <c r="HY2359" s="1"/>
      <c r="IS2359" s="1"/>
      <c r="IY2359" s="1"/>
      <c r="IZ2359" s="1"/>
      <c r="JJ2359" s="1"/>
      <c r="JN2359" s="1"/>
      <c r="JP2359" s="1"/>
      <c r="JQ2359" s="1"/>
      <c r="LZ2359" s="1"/>
      <c r="MA2359" s="1"/>
    </row>
    <row r="2360" spans="4:339" ht="13" x14ac:dyDescent="0.15">
      <c r="D2360" s="12"/>
      <c r="E2360" s="12"/>
      <c r="I2360" s="12"/>
      <c r="J2360" s="13"/>
      <c r="BF2360" s="1"/>
      <c r="BG2360" s="1"/>
      <c r="BH2360" s="1"/>
      <c r="BI2360" s="1"/>
      <c r="BK2360" s="1"/>
      <c r="BL2360" s="1"/>
      <c r="BM2360" s="1"/>
      <c r="BN2360" s="1"/>
      <c r="BO2360" s="1"/>
      <c r="BP2360" s="1"/>
      <c r="CD2360" s="1"/>
      <c r="CE2360" s="1"/>
      <c r="CF2360" s="1"/>
      <c r="CG2360" s="1"/>
      <c r="CM2360" s="2"/>
      <c r="CQ2360" s="1"/>
      <c r="CY2360" s="1"/>
      <c r="DC2360" s="1"/>
      <c r="DH2360" s="1"/>
      <c r="DR2360" s="1"/>
      <c r="ED2360" s="1"/>
      <c r="EK2360" s="1"/>
      <c r="EL2360" s="1"/>
      <c r="EM2360" s="1"/>
      <c r="EN2360" s="1"/>
      <c r="EQ2360" s="1"/>
      <c r="ER2360" s="1"/>
      <c r="ES2360" s="1"/>
      <c r="EV2360" s="1"/>
      <c r="EW2360" s="1"/>
      <c r="EZ2360" s="1"/>
      <c r="GO2360" s="1"/>
      <c r="HY2360" s="1"/>
      <c r="IS2360" s="1"/>
      <c r="IY2360" s="1"/>
      <c r="IZ2360" s="1"/>
      <c r="JJ2360" s="1"/>
      <c r="JN2360" s="1"/>
      <c r="JP2360" s="1"/>
      <c r="JQ2360" s="1"/>
      <c r="LZ2360" s="1"/>
      <c r="MA2360" s="1"/>
    </row>
    <row r="2361" spans="4:339" ht="13" x14ac:dyDescent="0.15">
      <c r="D2361" s="12"/>
      <c r="E2361" s="12"/>
      <c r="I2361" s="12"/>
      <c r="J2361" s="13"/>
      <c r="BF2361" s="1"/>
      <c r="BG2361" s="1"/>
      <c r="BH2361" s="1"/>
      <c r="BI2361" s="1"/>
      <c r="BK2361" s="1"/>
      <c r="BL2361" s="1"/>
      <c r="BM2361" s="1"/>
      <c r="BN2361" s="1"/>
      <c r="BO2361" s="1"/>
      <c r="BP2361" s="1"/>
      <c r="CD2361" s="1"/>
      <c r="CE2361" s="1"/>
      <c r="CF2361" s="1"/>
      <c r="CG2361" s="1"/>
      <c r="CM2361" s="2"/>
      <c r="CQ2361" s="1"/>
      <c r="CY2361" s="1"/>
      <c r="DC2361" s="1"/>
      <c r="DH2361" s="1"/>
      <c r="DR2361" s="1"/>
      <c r="ED2361" s="1"/>
      <c r="EK2361" s="1"/>
      <c r="EL2361" s="1"/>
      <c r="EM2361" s="1"/>
      <c r="EN2361" s="1"/>
      <c r="EQ2361" s="1"/>
      <c r="ER2361" s="1"/>
      <c r="ES2361" s="1"/>
      <c r="EV2361" s="1"/>
      <c r="EW2361" s="1"/>
      <c r="EZ2361" s="1"/>
      <c r="GO2361" s="1"/>
      <c r="HY2361" s="1"/>
      <c r="IS2361" s="1"/>
      <c r="IY2361" s="1"/>
      <c r="IZ2361" s="1"/>
      <c r="JJ2361" s="1"/>
      <c r="JN2361" s="1"/>
      <c r="JP2361" s="1"/>
      <c r="JQ2361" s="1"/>
      <c r="LZ2361" s="1"/>
      <c r="MA2361" s="1"/>
    </row>
    <row r="2362" spans="4:339" ht="13" x14ac:dyDescent="0.15">
      <c r="D2362" s="12"/>
      <c r="E2362" s="12"/>
      <c r="I2362" s="12"/>
      <c r="J2362" s="13"/>
      <c r="BG2362" s="1"/>
      <c r="BH2362" s="1"/>
      <c r="BI2362" s="1"/>
      <c r="BK2362" s="1"/>
      <c r="BL2362" s="1"/>
      <c r="BM2362" s="1"/>
      <c r="BN2362" s="1"/>
      <c r="BO2362" s="1"/>
      <c r="CD2362" s="1"/>
      <c r="CM2362" s="4"/>
      <c r="ED2362" s="1"/>
      <c r="EL2362" s="1"/>
      <c r="EM2362" s="1"/>
      <c r="EN2362" s="1"/>
      <c r="EQ2362" s="1"/>
      <c r="ER2362" s="1"/>
      <c r="ES2362" s="1"/>
      <c r="EV2362" s="1"/>
      <c r="EW2362" s="1"/>
      <c r="EZ2362" s="1"/>
      <c r="HY2362" s="1"/>
      <c r="IS2362" s="1"/>
      <c r="IY2362" s="1"/>
      <c r="IZ2362" s="1"/>
      <c r="JJ2362" s="1"/>
      <c r="JN2362" s="1"/>
      <c r="JP2362" s="1"/>
      <c r="JQ2362" s="1"/>
    </row>
    <row r="2363" spans="4:339" ht="13" x14ac:dyDescent="0.15">
      <c r="D2363" s="12"/>
      <c r="E2363" s="12"/>
      <c r="I2363" s="12"/>
      <c r="J2363" s="13"/>
      <c r="BG2363" s="1"/>
      <c r="BH2363" s="1"/>
      <c r="BI2363" s="1"/>
      <c r="BK2363" s="1"/>
      <c r="BL2363" s="1"/>
      <c r="BM2363" s="1"/>
      <c r="BN2363" s="1"/>
      <c r="BO2363" s="1"/>
      <c r="CD2363" s="1"/>
      <c r="CM2363" s="4"/>
      <c r="ED2363" s="1"/>
      <c r="EL2363" s="1"/>
      <c r="EM2363" s="1"/>
      <c r="EN2363" s="1"/>
      <c r="EQ2363" s="1"/>
      <c r="ER2363" s="1"/>
      <c r="ES2363" s="1"/>
      <c r="EV2363" s="1"/>
      <c r="EW2363" s="1"/>
      <c r="EZ2363" s="1"/>
      <c r="HY2363" s="1"/>
      <c r="IS2363" s="1"/>
      <c r="IY2363" s="1"/>
      <c r="IZ2363" s="1"/>
      <c r="JJ2363" s="1"/>
      <c r="JN2363" s="1"/>
      <c r="JP2363" s="1"/>
      <c r="JQ2363" s="1"/>
    </row>
    <row r="2364" spans="4:339" ht="13" x14ac:dyDescent="0.15">
      <c r="D2364" s="12"/>
      <c r="E2364" s="12"/>
      <c r="I2364" s="12"/>
      <c r="J2364" s="13"/>
      <c r="BG2364" s="1"/>
      <c r="BH2364" s="1"/>
      <c r="BI2364" s="1"/>
      <c r="BK2364" s="1"/>
      <c r="BL2364" s="1"/>
      <c r="BM2364" s="1"/>
      <c r="BN2364" s="1"/>
      <c r="BO2364" s="1"/>
      <c r="CD2364" s="1"/>
      <c r="CM2364" s="4"/>
      <c r="ED2364" s="1"/>
      <c r="EL2364" s="1"/>
      <c r="EM2364" s="1"/>
      <c r="EN2364" s="1"/>
      <c r="EQ2364" s="1"/>
      <c r="ER2364" s="1"/>
      <c r="ES2364" s="1"/>
      <c r="EV2364" s="1"/>
      <c r="EW2364" s="1"/>
      <c r="EZ2364" s="1"/>
      <c r="HY2364" s="1"/>
      <c r="IS2364" s="1"/>
      <c r="IY2364" s="1"/>
      <c r="IZ2364" s="1"/>
      <c r="JJ2364" s="1"/>
      <c r="JN2364" s="1"/>
      <c r="JP2364" s="1"/>
      <c r="JQ2364" s="1"/>
    </row>
    <row r="2365" spans="4:339" ht="13" x14ac:dyDescent="0.15">
      <c r="D2365" s="12"/>
      <c r="E2365" s="12"/>
      <c r="I2365" s="12"/>
      <c r="J2365" s="13"/>
      <c r="BG2365" s="1"/>
      <c r="BH2365" s="1"/>
      <c r="BI2365" s="1"/>
      <c r="BK2365" s="1"/>
      <c r="BL2365" s="1"/>
      <c r="BM2365" s="1"/>
      <c r="BN2365" s="1"/>
      <c r="BO2365" s="1"/>
      <c r="CD2365" s="1"/>
      <c r="CM2365" s="4"/>
      <c r="ED2365" s="1"/>
      <c r="EL2365" s="1"/>
      <c r="EM2365" s="1"/>
      <c r="EN2365" s="1"/>
      <c r="EQ2365" s="1"/>
      <c r="ER2365" s="1"/>
      <c r="ES2365" s="1"/>
      <c r="EV2365" s="1"/>
      <c r="EW2365" s="1"/>
      <c r="EZ2365" s="1"/>
      <c r="HY2365" s="1"/>
      <c r="IS2365" s="1"/>
      <c r="IY2365" s="1"/>
      <c r="IZ2365" s="1"/>
      <c r="JJ2365" s="1"/>
      <c r="JN2365" s="1"/>
      <c r="JP2365" s="1"/>
      <c r="JQ2365" s="1"/>
    </row>
    <row r="2366" spans="4:339" ht="13" x14ac:dyDescent="0.15">
      <c r="D2366" s="12"/>
      <c r="E2366" s="12"/>
      <c r="I2366" s="12"/>
      <c r="J2366" s="13"/>
      <c r="BG2366" s="1"/>
      <c r="BH2366" s="1"/>
      <c r="BI2366" s="1"/>
      <c r="BK2366" s="1"/>
      <c r="BL2366" s="1"/>
      <c r="BM2366" s="1"/>
      <c r="BN2366" s="1"/>
      <c r="BO2366" s="1"/>
      <c r="CD2366" s="1"/>
      <c r="CM2366" s="4"/>
      <c r="ED2366" s="1"/>
      <c r="EL2366" s="1"/>
      <c r="EM2366" s="1"/>
      <c r="EN2366" s="1"/>
      <c r="EQ2366" s="1"/>
      <c r="ER2366" s="1"/>
      <c r="ES2366" s="1"/>
      <c r="EV2366" s="1"/>
      <c r="EW2366" s="1"/>
      <c r="EZ2366" s="1"/>
      <c r="HY2366" s="1"/>
      <c r="IS2366" s="1"/>
      <c r="IY2366" s="1"/>
      <c r="IZ2366" s="1"/>
      <c r="JJ2366" s="1"/>
      <c r="JN2366" s="1"/>
      <c r="JP2366" s="1"/>
      <c r="JQ2366" s="1"/>
    </row>
    <row r="2367" spans="4:339" ht="13" x14ac:dyDescent="0.15">
      <c r="D2367" s="12"/>
      <c r="E2367" s="12"/>
      <c r="I2367" s="12"/>
      <c r="J2367" s="13"/>
      <c r="BG2367" s="1"/>
      <c r="BH2367" s="1"/>
      <c r="BI2367" s="1"/>
      <c r="BK2367" s="1"/>
      <c r="BL2367" s="1"/>
      <c r="BM2367" s="1"/>
      <c r="BN2367" s="1"/>
      <c r="BO2367" s="1"/>
      <c r="CD2367" s="1"/>
      <c r="CM2367" s="4"/>
      <c r="ED2367" s="1"/>
      <c r="EL2367" s="1"/>
      <c r="EM2367" s="1"/>
      <c r="EN2367" s="1"/>
      <c r="EQ2367" s="1"/>
      <c r="ER2367" s="1"/>
      <c r="ES2367" s="1"/>
      <c r="EV2367" s="1"/>
      <c r="EW2367" s="1"/>
      <c r="EZ2367" s="1"/>
      <c r="HY2367" s="1"/>
      <c r="IS2367" s="1"/>
      <c r="IY2367" s="1"/>
      <c r="IZ2367" s="1"/>
      <c r="JJ2367" s="1"/>
      <c r="JN2367" s="1"/>
      <c r="JP2367" s="1"/>
      <c r="JQ2367" s="1"/>
    </row>
    <row r="2368" spans="4:339" ht="13" x14ac:dyDescent="0.15">
      <c r="D2368" s="12"/>
      <c r="E2368" s="12"/>
      <c r="I2368" s="12"/>
      <c r="J2368" s="13"/>
      <c r="BG2368" s="1"/>
      <c r="BH2368" s="1"/>
      <c r="BI2368" s="1"/>
      <c r="BK2368" s="1"/>
      <c r="BL2368" s="1"/>
      <c r="BM2368" s="1"/>
      <c r="BN2368" s="1"/>
      <c r="BO2368" s="1"/>
      <c r="CD2368" s="1"/>
      <c r="CM2368" s="4"/>
      <c r="ED2368" s="1"/>
      <c r="EL2368" s="1"/>
      <c r="EM2368" s="1"/>
      <c r="EN2368" s="1"/>
      <c r="EQ2368" s="1"/>
      <c r="ER2368" s="1"/>
      <c r="ES2368" s="1"/>
      <c r="EV2368" s="1"/>
      <c r="EW2368" s="1"/>
      <c r="EZ2368" s="1"/>
      <c r="HY2368" s="1"/>
      <c r="IS2368" s="1"/>
      <c r="IY2368" s="1"/>
      <c r="IZ2368" s="1"/>
      <c r="JJ2368" s="1"/>
      <c r="JN2368" s="1"/>
      <c r="JP2368" s="1"/>
      <c r="JQ2368" s="1"/>
    </row>
    <row r="2369" spans="4:339" ht="13" x14ac:dyDescent="0.15">
      <c r="D2369" s="12"/>
      <c r="E2369" s="12"/>
      <c r="I2369" s="12"/>
      <c r="J2369" s="13"/>
      <c r="BG2369" s="1"/>
      <c r="BH2369" s="1"/>
      <c r="BI2369" s="1"/>
      <c r="BK2369" s="1"/>
      <c r="BL2369" s="1"/>
      <c r="BM2369" s="1"/>
      <c r="BN2369" s="1"/>
      <c r="BO2369" s="1"/>
      <c r="CD2369" s="1"/>
      <c r="CM2369" s="4"/>
      <c r="ED2369" s="1"/>
      <c r="EL2369" s="1"/>
      <c r="EM2369" s="1"/>
      <c r="EN2369" s="1"/>
      <c r="EQ2369" s="1"/>
      <c r="ER2369" s="1"/>
      <c r="ES2369" s="1"/>
      <c r="EV2369" s="1"/>
      <c r="EW2369" s="1"/>
      <c r="EZ2369" s="1"/>
      <c r="HY2369" s="1"/>
      <c r="IS2369" s="1"/>
      <c r="IY2369" s="1"/>
      <c r="IZ2369" s="1"/>
      <c r="JJ2369" s="1"/>
      <c r="JN2369" s="1"/>
      <c r="JP2369" s="1"/>
      <c r="JQ2369" s="1"/>
    </row>
    <row r="2370" spans="4:339" ht="13" x14ac:dyDescent="0.15">
      <c r="D2370" s="12"/>
      <c r="E2370" s="12"/>
      <c r="I2370" s="12"/>
      <c r="J2370" s="13"/>
      <c r="BG2370" s="1"/>
      <c r="BH2370" s="1"/>
      <c r="BI2370" s="1"/>
      <c r="BK2370" s="1"/>
      <c r="BL2370" s="1"/>
      <c r="BM2370" s="1"/>
      <c r="BN2370" s="1"/>
      <c r="BO2370" s="1"/>
      <c r="CD2370" s="1"/>
      <c r="CM2370" s="4"/>
      <c r="ED2370" s="1"/>
      <c r="EL2370" s="1"/>
      <c r="EM2370" s="1"/>
      <c r="EN2370" s="1"/>
      <c r="EQ2370" s="1"/>
      <c r="ER2370" s="1"/>
      <c r="ES2370" s="1"/>
      <c r="EV2370" s="1"/>
      <c r="EW2370" s="1"/>
      <c r="EZ2370" s="1"/>
      <c r="HY2370" s="1"/>
      <c r="IS2370" s="1"/>
      <c r="IY2370" s="1"/>
      <c r="IZ2370" s="1"/>
      <c r="JJ2370" s="1"/>
      <c r="JN2370" s="1"/>
      <c r="JP2370" s="1"/>
      <c r="JQ2370" s="1"/>
    </row>
    <row r="2371" spans="4:339" ht="13" x14ac:dyDescent="0.15">
      <c r="D2371" s="12"/>
      <c r="E2371" s="12"/>
      <c r="I2371" s="12"/>
      <c r="J2371" s="13"/>
      <c r="BG2371" s="1"/>
      <c r="BH2371" s="1"/>
      <c r="BI2371" s="1"/>
      <c r="BK2371" s="1"/>
      <c r="BL2371" s="1"/>
      <c r="BM2371" s="1"/>
      <c r="BN2371" s="1"/>
      <c r="BO2371" s="1"/>
      <c r="CD2371" s="1"/>
      <c r="CM2371" s="4"/>
      <c r="ED2371" s="1"/>
      <c r="EL2371" s="1"/>
      <c r="EM2371" s="1"/>
      <c r="EN2371" s="1"/>
      <c r="EQ2371" s="1"/>
      <c r="ER2371" s="1"/>
      <c r="ES2371" s="1"/>
      <c r="EV2371" s="1"/>
      <c r="EW2371" s="1"/>
      <c r="EZ2371" s="1"/>
      <c r="HY2371" s="1"/>
      <c r="IS2371" s="1"/>
      <c r="IY2371" s="1"/>
      <c r="IZ2371" s="1"/>
      <c r="JJ2371" s="1"/>
      <c r="JN2371" s="1"/>
      <c r="JP2371" s="1"/>
      <c r="JQ2371" s="1"/>
    </row>
    <row r="2372" spans="4:339" ht="13" x14ac:dyDescent="0.15">
      <c r="D2372" s="12"/>
      <c r="E2372" s="12"/>
      <c r="I2372" s="12"/>
      <c r="J2372" s="13"/>
      <c r="BG2372" s="1"/>
      <c r="BH2372" s="1"/>
      <c r="BI2372" s="1"/>
      <c r="BK2372" s="1"/>
      <c r="BL2372" s="1"/>
      <c r="BM2372" s="1"/>
      <c r="BN2372" s="1"/>
      <c r="BO2372" s="1"/>
      <c r="CD2372" s="1"/>
      <c r="CM2372" s="2"/>
      <c r="ED2372" s="1"/>
      <c r="EL2372" s="1"/>
      <c r="EM2372" s="1"/>
      <c r="EN2372" s="1"/>
      <c r="EQ2372" s="1"/>
      <c r="ER2372" s="1"/>
      <c r="ES2372" s="1"/>
      <c r="EV2372" s="1"/>
      <c r="EW2372" s="1"/>
      <c r="EZ2372" s="1"/>
      <c r="HY2372" s="1"/>
      <c r="IS2372" s="1"/>
      <c r="IZ2372" s="1"/>
      <c r="JH2372" s="1"/>
      <c r="JJ2372" s="1"/>
      <c r="JP2372" s="1"/>
      <c r="JQ2372" s="1"/>
      <c r="LZ2372" s="1"/>
    </row>
    <row r="2373" spans="4:339" ht="13" x14ac:dyDescent="0.15">
      <c r="D2373" s="12"/>
      <c r="E2373" s="12"/>
      <c r="I2373" s="12"/>
      <c r="J2373" s="13"/>
      <c r="BG2373" s="1"/>
      <c r="BH2373" s="1"/>
      <c r="BI2373" s="1"/>
      <c r="BK2373" s="1"/>
      <c r="BL2373" s="1"/>
      <c r="BM2373" s="1"/>
      <c r="BN2373" s="1"/>
      <c r="CD2373" s="1"/>
      <c r="CM2373" s="2"/>
      <c r="ED2373" s="1"/>
      <c r="EL2373" s="1"/>
      <c r="EM2373" s="1"/>
      <c r="EN2373" s="1"/>
      <c r="EQ2373" s="1"/>
      <c r="ER2373" s="1"/>
      <c r="ES2373" s="1"/>
      <c r="EV2373" s="1"/>
      <c r="EW2373" s="1"/>
      <c r="EZ2373" s="1"/>
      <c r="HY2373" s="1"/>
      <c r="IS2373" s="1"/>
      <c r="IZ2373" s="1"/>
      <c r="JJ2373" s="1"/>
      <c r="JP2373" s="1"/>
      <c r="JQ2373" s="1"/>
    </row>
    <row r="2374" spans="4:339" ht="13" x14ac:dyDescent="0.15">
      <c r="D2374" s="12"/>
      <c r="E2374" s="12"/>
      <c r="I2374" s="12"/>
      <c r="J2374" s="13"/>
      <c r="BG2374" s="1"/>
      <c r="BH2374" s="1"/>
      <c r="BI2374" s="1"/>
      <c r="BJ2374" s="1"/>
      <c r="BK2374" s="1"/>
      <c r="BL2374" s="1"/>
      <c r="BM2374" s="1"/>
      <c r="BN2374" s="1"/>
      <c r="CD2374" s="1"/>
      <c r="CM2374" s="2"/>
      <c r="ED2374" s="1"/>
      <c r="EL2374" s="1"/>
      <c r="EM2374" s="1"/>
      <c r="EN2374" s="1"/>
      <c r="EQ2374" s="1"/>
      <c r="ER2374" s="1"/>
      <c r="ES2374" s="1"/>
      <c r="EV2374" s="1"/>
      <c r="EW2374" s="1"/>
      <c r="EZ2374" s="1"/>
      <c r="HY2374" s="1"/>
      <c r="IS2374" s="1"/>
      <c r="IZ2374" s="1"/>
      <c r="JJ2374" s="1"/>
      <c r="JP2374" s="1"/>
      <c r="JQ2374" s="1"/>
    </row>
    <row r="2375" spans="4:339" ht="13" x14ac:dyDescent="0.15">
      <c r="D2375" s="12"/>
      <c r="E2375" s="12"/>
      <c r="I2375" s="12"/>
      <c r="J2375" s="13"/>
      <c r="BM2375" s="1"/>
      <c r="BN2375" s="1"/>
      <c r="CM2375" s="2"/>
      <c r="ED2375" s="1"/>
      <c r="EL2375" s="1"/>
      <c r="EM2375" s="1"/>
      <c r="EN2375" s="1"/>
      <c r="EQ2375" s="1"/>
      <c r="ER2375" s="1"/>
      <c r="ES2375" s="1"/>
      <c r="EV2375" s="1"/>
      <c r="EW2375" s="1"/>
      <c r="EZ2375" s="1"/>
      <c r="IS2375" s="1"/>
      <c r="IZ2375" s="1"/>
      <c r="JJ2375" s="1"/>
      <c r="JP2375" s="1"/>
      <c r="JQ2375" s="1"/>
    </row>
    <row r="2376" spans="4:339" ht="13" x14ac:dyDescent="0.15">
      <c r="D2376" s="12"/>
      <c r="E2376" s="12"/>
      <c r="I2376" s="12"/>
      <c r="J2376" s="13"/>
      <c r="BG2376" s="1"/>
      <c r="BH2376" s="1"/>
      <c r="BI2376" s="1"/>
      <c r="BJ2376" s="1"/>
      <c r="BK2376" s="1"/>
      <c r="BL2376" s="1"/>
      <c r="BM2376" s="1"/>
      <c r="BN2376" s="1"/>
      <c r="BO2376" s="1"/>
      <c r="CD2376" s="1"/>
      <c r="CM2376" s="2"/>
      <c r="ED2376" s="1"/>
      <c r="EL2376" s="1"/>
      <c r="EM2376" s="1"/>
      <c r="EN2376" s="1"/>
      <c r="EQ2376" s="1"/>
      <c r="ER2376" s="1"/>
      <c r="ES2376" s="1"/>
      <c r="EV2376" s="1"/>
      <c r="EW2376" s="1"/>
      <c r="EZ2376" s="1"/>
      <c r="HY2376" s="1"/>
      <c r="IR2376" s="1"/>
      <c r="IS2376" s="1"/>
      <c r="IY2376" s="1"/>
      <c r="IZ2376" s="1"/>
      <c r="JJ2376" s="1"/>
      <c r="JP2376" s="1"/>
      <c r="JQ2376" s="1"/>
    </row>
    <row r="2377" spans="4:339" ht="13" x14ac:dyDescent="0.15">
      <c r="D2377" s="12"/>
      <c r="E2377" s="12"/>
      <c r="I2377" s="12"/>
      <c r="J2377" s="13"/>
      <c r="BM2377" s="1"/>
      <c r="BN2377" s="1"/>
      <c r="CM2377" s="2"/>
      <c r="ED2377" s="1"/>
      <c r="EL2377" s="1"/>
      <c r="EM2377" s="1"/>
      <c r="EN2377" s="1"/>
      <c r="EQ2377" s="1"/>
      <c r="ER2377" s="1"/>
      <c r="ES2377" s="1"/>
      <c r="EV2377" s="1"/>
      <c r="EW2377" s="1"/>
      <c r="EZ2377" s="1"/>
      <c r="IS2377" s="1"/>
      <c r="IZ2377" s="1"/>
      <c r="JJ2377" s="1"/>
      <c r="JP2377" s="1"/>
      <c r="JQ2377" s="1"/>
      <c r="LZ2377" s="1"/>
      <c r="MA2377" s="1"/>
    </row>
    <row r="2378" spans="4:339" ht="13" x14ac:dyDescent="0.15">
      <c r="D2378" s="12"/>
      <c r="E2378" s="12"/>
      <c r="I2378" s="12"/>
      <c r="J2378" s="13"/>
      <c r="BG2378" s="1"/>
      <c r="BH2378" s="1"/>
      <c r="BM2378" s="1"/>
      <c r="BN2378" s="1"/>
      <c r="BO2378" s="1"/>
      <c r="CD2378" s="1"/>
      <c r="CM2378" s="4"/>
      <c r="ED2378" s="1"/>
      <c r="EL2378" s="1"/>
      <c r="EM2378" s="1"/>
      <c r="EN2378" s="1"/>
      <c r="EQ2378" s="1"/>
      <c r="ER2378" s="1"/>
      <c r="ES2378" s="1"/>
      <c r="EV2378" s="1"/>
      <c r="EW2378" s="1"/>
      <c r="EZ2378" s="1"/>
      <c r="HU2378" s="1"/>
      <c r="HV2378" s="1"/>
      <c r="HW2378" s="1"/>
      <c r="IS2378" s="1"/>
      <c r="IZ2378" s="1"/>
      <c r="JJ2378" s="1"/>
      <c r="JP2378" s="1"/>
      <c r="JQ2378" s="1"/>
    </row>
    <row r="2379" spans="4:339" ht="13" x14ac:dyDescent="0.15">
      <c r="D2379" s="12"/>
      <c r="E2379" s="12"/>
      <c r="I2379" s="12"/>
      <c r="J2379" s="13"/>
      <c r="BG2379" s="1"/>
      <c r="BH2379" s="1"/>
      <c r="BI2379" s="1"/>
      <c r="BK2379" s="1"/>
      <c r="BL2379" s="1"/>
      <c r="BM2379" s="1"/>
      <c r="BN2379" s="1"/>
      <c r="BO2379" s="1"/>
      <c r="CD2379" s="1"/>
      <c r="CM2379" s="2"/>
      <c r="ED2379" s="1"/>
      <c r="EL2379" s="1"/>
      <c r="EM2379" s="1"/>
      <c r="EN2379" s="1"/>
      <c r="EQ2379" s="1"/>
      <c r="ER2379" s="1"/>
      <c r="ES2379" s="1"/>
      <c r="EV2379" s="1"/>
      <c r="EW2379" s="1"/>
      <c r="EZ2379" s="1"/>
      <c r="HY2379" s="1"/>
      <c r="IS2379" s="1"/>
      <c r="IZ2379" s="1"/>
      <c r="JJ2379" s="1"/>
      <c r="JP2379" s="1"/>
      <c r="JQ2379" s="1"/>
    </row>
    <row r="2380" spans="4:339" ht="13" x14ac:dyDescent="0.15">
      <c r="D2380" s="12"/>
      <c r="E2380" s="12"/>
      <c r="I2380" s="12"/>
      <c r="J2380" s="13"/>
      <c r="BM2380" s="1"/>
      <c r="BN2380" s="1"/>
      <c r="CK2380" s="1"/>
      <c r="CM2380" s="4"/>
      <c r="ED2380" s="1"/>
      <c r="EL2380" s="1"/>
      <c r="EM2380" s="1"/>
      <c r="EN2380" s="1"/>
      <c r="EQ2380" s="1"/>
      <c r="ER2380" s="1"/>
      <c r="ES2380" s="1"/>
      <c r="EV2380" s="1"/>
      <c r="EW2380" s="1"/>
      <c r="EZ2380" s="1"/>
      <c r="IS2380" s="1"/>
      <c r="IZ2380" s="1"/>
      <c r="JJ2380" s="1"/>
      <c r="JP2380" s="1"/>
      <c r="JQ2380" s="1"/>
    </row>
    <row r="2381" spans="4:339" ht="13" x14ac:dyDescent="0.15">
      <c r="D2381" s="12"/>
      <c r="E2381" s="12"/>
      <c r="I2381" s="12"/>
      <c r="J2381" s="13"/>
      <c r="BG2381" s="1"/>
      <c r="BH2381" s="1"/>
      <c r="BI2381" s="1"/>
      <c r="BJ2381" s="1"/>
      <c r="BK2381" s="1"/>
      <c r="BL2381" s="1"/>
      <c r="BM2381" s="1"/>
      <c r="BN2381" s="1"/>
      <c r="CD2381" s="1"/>
      <c r="CM2381" s="2"/>
      <c r="ED2381" s="1"/>
      <c r="EL2381" s="1"/>
      <c r="EM2381" s="1"/>
      <c r="EN2381" s="1"/>
      <c r="EQ2381" s="1"/>
      <c r="ER2381" s="1"/>
      <c r="ES2381" s="1"/>
      <c r="EV2381" s="1"/>
      <c r="EW2381" s="1"/>
      <c r="EZ2381" s="1"/>
      <c r="HY2381" s="1"/>
      <c r="IS2381" s="1"/>
      <c r="IZ2381" s="1"/>
      <c r="JJ2381" s="1"/>
      <c r="JP2381" s="1"/>
      <c r="JQ2381" s="1"/>
    </row>
    <row r="2382" spans="4:339" ht="13" x14ac:dyDescent="0.15">
      <c r="D2382" s="12"/>
      <c r="E2382" s="12"/>
      <c r="I2382" s="12"/>
      <c r="J2382" s="13"/>
      <c r="BG2382" s="1"/>
      <c r="BH2382" s="1"/>
      <c r="BL2382" s="1"/>
      <c r="BM2382" s="1"/>
      <c r="BN2382" s="1"/>
      <c r="CD2382" s="1"/>
      <c r="CM2382" s="4"/>
      <c r="ED2382" s="1"/>
      <c r="EL2382" s="1"/>
      <c r="EM2382" s="1"/>
      <c r="EN2382" s="1"/>
      <c r="EQ2382" s="1"/>
      <c r="ER2382" s="1"/>
      <c r="ES2382" s="1"/>
      <c r="EV2382" s="1"/>
      <c r="EW2382" s="1"/>
      <c r="EZ2382" s="1"/>
      <c r="IS2382" s="1"/>
      <c r="IZ2382" s="1"/>
      <c r="JJ2382" s="1"/>
      <c r="JP2382" s="1"/>
      <c r="JQ2382" s="1"/>
    </row>
    <row r="2383" spans="4:339" ht="13" x14ac:dyDescent="0.15">
      <c r="D2383" s="12"/>
      <c r="E2383" s="12"/>
      <c r="I2383" s="12"/>
      <c r="J2383" s="13"/>
      <c r="BG2383" s="1"/>
      <c r="BH2383" s="1"/>
      <c r="BI2383" s="1"/>
      <c r="BK2383" s="1"/>
      <c r="BL2383" s="1"/>
      <c r="BM2383" s="1"/>
      <c r="BN2383" s="1"/>
      <c r="BO2383" s="1"/>
      <c r="BP2383" s="1"/>
      <c r="CD2383" s="1"/>
      <c r="CE2383" s="1"/>
      <c r="CF2383" s="1"/>
      <c r="CG2383" s="1"/>
      <c r="CM2383" s="4"/>
      <c r="CP2383" s="1"/>
      <c r="CQ2383" s="1"/>
      <c r="CX2383" s="1"/>
      <c r="CY2383" s="1"/>
      <c r="CZ2383" s="1"/>
      <c r="DA2383" s="1"/>
      <c r="DB2383" s="1"/>
      <c r="DC2383" s="1"/>
      <c r="DD2383" s="1"/>
      <c r="DE2383" s="1"/>
      <c r="DF2383" s="1"/>
      <c r="DG2383" s="1"/>
      <c r="DH2383" s="1"/>
      <c r="DI2383" s="1"/>
      <c r="DJ2383" s="1"/>
      <c r="DK2383" s="1"/>
      <c r="ED2383" s="1"/>
      <c r="EK2383" s="1"/>
      <c r="EL2383" s="1"/>
      <c r="EM2383" s="1"/>
      <c r="EN2383" s="1"/>
      <c r="EQ2383" s="1"/>
      <c r="ER2383" s="1"/>
      <c r="ES2383" s="1"/>
      <c r="EV2383" s="1"/>
      <c r="EW2383" s="1"/>
      <c r="EZ2383" s="1"/>
      <c r="HY2383" s="1"/>
      <c r="IE2383" s="1"/>
      <c r="IR2383" s="1"/>
      <c r="IS2383" s="1"/>
      <c r="IZ2383" s="1"/>
      <c r="JJ2383" s="1"/>
      <c r="JP2383" s="1"/>
      <c r="JQ2383" s="1"/>
      <c r="LZ2383" s="1"/>
      <c r="MA2383" s="1"/>
    </row>
    <row r="2384" spans="4:339" ht="13" x14ac:dyDescent="0.15">
      <c r="D2384" s="12"/>
      <c r="E2384" s="12"/>
      <c r="I2384" s="12"/>
      <c r="J2384" s="13"/>
      <c r="BG2384" s="1"/>
      <c r="BH2384" s="1"/>
      <c r="BI2384" s="1"/>
      <c r="BK2384" s="1"/>
      <c r="BL2384" s="1"/>
      <c r="BM2384" s="1"/>
      <c r="BN2384" s="1"/>
      <c r="BO2384" s="1"/>
      <c r="CD2384" s="1"/>
      <c r="CM2384" s="4"/>
      <c r="ED2384" s="1"/>
      <c r="EL2384" s="1"/>
      <c r="EM2384" s="1"/>
      <c r="EN2384" s="1"/>
      <c r="EQ2384" s="1"/>
      <c r="ER2384" s="1"/>
      <c r="ES2384" s="1"/>
      <c r="EV2384" s="1"/>
      <c r="EW2384" s="1"/>
      <c r="EZ2384" s="1"/>
      <c r="HY2384" s="1"/>
      <c r="IS2384" s="1"/>
      <c r="IZ2384" s="1"/>
      <c r="JJ2384" s="1"/>
      <c r="JP2384" s="1"/>
      <c r="JQ2384" s="1"/>
    </row>
    <row r="2385" spans="4:339" ht="13" x14ac:dyDescent="0.15">
      <c r="D2385" s="12"/>
      <c r="E2385" s="12"/>
      <c r="I2385" s="12"/>
      <c r="J2385" s="13"/>
      <c r="BG2385" s="1"/>
      <c r="BH2385" s="1"/>
      <c r="BI2385" s="1"/>
      <c r="BK2385" s="1"/>
      <c r="BM2385" s="1"/>
      <c r="BN2385" s="1"/>
      <c r="CD2385" s="1"/>
      <c r="CM2385" s="4"/>
      <c r="ED2385" s="1"/>
      <c r="EL2385" s="1"/>
      <c r="EM2385" s="1"/>
      <c r="EN2385" s="1"/>
      <c r="EQ2385" s="1"/>
      <c r="ER2385" s="1"/>
      <c r="ES2385" s="1"/>
      <c r="EV2385" s="1"/>
      <c r="EW2385" s="1"/>
      <c r="EZ2385" s="1"/>
      <c r="IR2385" s="1"/>
      <c r="IS2385" s="1"/>
      <c r="IZ2385" s="1"/>
      <c r="JJ2385" s="1"/>
      <c r="JN2385" s="1"/>
      <c r="JP2385" s="1"/>
      <c r="JQ2385" s="1"/>
    </row>
    <row r="2386" spans="4:339" ht="13" x14ac:dyDescent="0.15">
      <c r="D2386" s="12"/>
      <c r="E2386" s="12"/>
      <c r="I2386" s="12"/>
      <c r="J2386" s="13"/>
      <c r="BG2386" s="1"/>
      <c r="BH2386" s="1"/>
      <c r="BI2386" s="1"/>
      <c r="BK2386" s="1"/>
      <c r="BL2386" s="1"/>
      <c r="BM2386" s="1"/>
      <c r="BN2386" s="1"/>
      <c r="CD2386" s="1"/>
      <c r="CM2386" s="2"/>
      <c r="ED2386" s="1"/>
      <c r="EL2386" s="1"/>
      <c r="EM2386" s="1"/>
      <c r="EN2386" s="1"/>
      <c r="EQ2386" s="1"/>
      <c r="ER2386" s="1"/>
      <c r="ES2386" s="1"/>
      <c r="EV2386" s="1"/>
      <c r="EW2386" s="1"/>
      <c r="EZ2386" s="1"/>
      <c r="IR2386" s="1"/>
      <c r="IS2386" s="1"/>
      <c r="IZ2386" s="1"/>
      <c r="JJ2386" s="1"/>
      <c r="JN2386" s="1"/>
      <c r="JP2386" s="1"/>
      <c r="JQ2386" s="1"/>
    </row>
    <row r="2387" spans="4:339" ht="13" x14ac:dyDescent="0.15">
      <c r="D2387" s="12"/>
      <c r="E2387" s="12"/>
      <c r="I2387" s="12"/>
      <c r="J2387" s="13"/>
      <c r="BG2387" s="1"/>
      <c r="BH2387" s="1"/>
      <c r="BI2387" s="1"/>
      <c r="BK2387" s="1"/>
      <c r="BM2387" s="1"/>
      <c r="BN2387" s="1"/>
      <c r="BP2387" s="1"/>
      <c r="CD2387" s="1"/>
      <c r="CG2387" s="1"/>
      <c r="CM2387" s="2"/>
      <c r="CP2387" s="1"/>
      <c r="CQ2387" s="1"/>
      <c r="CX2387" s="1"/>
      <c r="CY2387" s="1"/>
      <c r="CZ2387" s="1"/>
      <c r="DA2387" s="1"/>
      <c r="DB2387" s="1"/>
      <c r="DC2387" s="1"/>
      <c r="DD2387" s="1"/>
      <c r="DE2387" s="1"/>
      <c r="DF2387" s="1"/>
      <c r="DG2387" s="1"/>
      <c r="DH2387" s="1"/>
      <c r="DI2387" s="1"/>
      <c r="DJ2387" s="1"/>
      <c r="DK2387" s="1"/>
      <c r="DQ2387" s="1"/>
      <c r="DR2387" s="1"/>
      <c r="DY2387" s="1"/>
      <c r="DZ2387" s="1"/>
      <c r="ED2387" s="1"/>
      <c r="EK2387" s="1"/>
      <c r="EL2387" s="1"/>
      <c r="EM2387" s="1"/>
      <c r="EN2387" s="1"/>
      <c r="EQ2387" s="1"/>
      <c r="ER2387" s="1"/>
      <c r="ES2387" s="1"/>
      <c r="EV2387" s="1"/>
      <c r="EW2387" s="1"/>
      <c r="EZ2387" s="1"/>
      <c r="IE2387" s="1"/>
      <c r="IR2387" s="1"/>
      <c r="IS2387" s="1"/>
      <c r="IY2387" s="1"/>
      <c r="IZ2387" s="1"/>
      <c r="JJ2387" s="1"/>
      <c r="JN2387" s="1"/>
      <c r="JP2387" s="1"/>
      <c r="JQ2387" s="1"/>
      <c r="LZ2387" s="1"/>
      <c r="MA2387" s="1"/>
    </row>
    <row r="2388" spans="4:339" ht="13" x14ac:dyDescent="0.15">
      <c r="D2388" s="12"/>
      <c r="E2388" s="12"/>
      <c r="I2388" s="12"/>
      <c r="J2388" s="13"/>
      <c r="BG2388" s="1"/>
      <c r="BH2388" s="1"/>
      <c r="BI2388" s="1"/>
      <c r="BJ2388" s="1"/>
      <c r="BK2388" s="1"/>
      <c r="BL2388" s="1"/>
      <c r="BM2388" s="1"/>
      <c r="BN2388" s="1"/>
      <c r="CD2388" s="1"/>
      <c r="CM2388" s="4"/>
      <c r="ED2388" s="1"/>
      <c r="EL2388" s="1"/>
      <c r="EM2388" s="1"/>
      <c r="EN2388" s="1"/>
      <c r="EQ2388" s="1"/>
      <c r="ER2388" s="1"/>
      <c r="ES2388" s="1"/>
      <c r="EV2388" s="1"/>
      <c r="EW2388" s="1"/>
      <c r="EZ2388" s="1"/>
      <c r="IR2388" s="1"/>
      <c r="IS2388" s="1"/>
      <c r="IY2388" s="1"/>
      <c r="IZ2388" s="1"/>
      <c r="JJ2388" s="1"/>
      <c r="JN2388" s="1"/>
      <c r="JP2388" s="1"/>
      <c r="JQ2388" s="1"/>
    </row>
    <row r="2389" spans="4:339" ht="13" x14ac:dyDescent="0.15">
      <c r="D2389" s="12"/>
      <c r="E2389" s="12"/>
      <c r="I2389" s="12"/>
      <c r="J2389" s="13"/>
      <c r="BG2389" s="1"/>
      <c r="BH2389" s="1"/>
      <c r="BI2389" s="1"/>
      <c r="BK2389" s="1"/>
      <c r="BL2389" s="1"/>
      <c r="BM2389" s="1"/>
      <c r="BN2389" s="1"/>
      <c r="CD2389" s="1"/>
      <c r="CM2389" s="4"/>
      <c r="ED2389" s="1"/>
      <c r="EL2389" s="1"/>
      <c r="EM2389" s="1"/>
      <c r="EN2389" s="1"/>
      <c r="EQ2389" s="1"/>
      <c r="ER2389" s="1"/>
      <c r="ES2389" s="1"/>
      <c r="EV2389" s="1"/>
      <c r="EW2389" s="1"/>
      <c r="EZ2389" s="1"/>
      <c r="IS2389" s="1"/>
      <c r="IY2389" s="1"/>
      <c r="IZ2389" s="1"/>
      <c r="JJ2389" s="1"/>
      <c r="JN2389" s="1"/>
      <c r="JP2389" s="1"/>
      <c r="JQ2389" s="1"/>
    </row>
    <row r="2390" spans="4:339" ht="13" x14ac:dyDescent="0.15">
      <c r="D2390" s="12"/>
      <c r="E2390" s="12"/>
      <c r="I2390" s="12"/>
      <c r="J2390" s="13"/>
      <c r="BG2390" s="1"/>
      <c r="BH2390" s="1"/>
      <c r="BI2390" s="1"/>
      <c r="BK2390" s="1"/>
      <c r="BL2390" s="1"/>
      <c r="BM2390" s="1"/>
      <c r="BN2390" s="1"/>
      <c r="CD2390" s="1"/>
      <c r="CM2390" s="4"/>
      <c r="ED2390" s="1"/>
      <c r="EL2390" s="1"/>
      <c r="EM2390" s="1"/>
      <c r="EN2390" s="1"/>
      <c r="EQ2390" s="1"/>
      <c r="ER2390" s="1"/>
      <c r="ES2390" s="1"/>
      <c r="EV2390" s="1"/>
      <c r="EW2390" s="1"/>
      <c r="EZ2390" s="1"/>
      <c r="IS2390" s="1"/>
      <c r="IY2390" s="1"/>
      <c r="IZ2390" s="1"/>
      <c r="JJ2390" s="1"/>
      <c r="JN2390" s="1"/>
      <c r="JP2390" s="1"/>
      <c r="JQ2390" s="1"/>
    </row>
    <row r="2391" spans="4:339" ht="13" x14ac:dyDescent="0.15">
      <c r="D2391" s="12"/>
      <c r="E2391" s="12"/>
      <c r="I2391" s="12"/>
      <c r="J2391" s="13"/>
      <c r="BG2391" s="1"/>
      <c r="BH2391" s="1"/>
      <c r="BI2391" s="1"/>
      <c r="BK2391" s="1"/>
      <c r="BM2391" s="1"/>
      <c r="BN2391" s="1"/>
      <c r="BP2391" s="1"/>
      <c r="CD2391" s="1"/>
      <c r="CM2391" s="2"/>
      <c r="CP2391" s="1"/>
      <c r="CQ2391" s="1"/>
      <c r="CX2391" s="1"/>
      <c r="CY2391" s="1"/>
      <c r="CZ2391" s="1"/>
      <c r="DA2391" s="1"/>
      <c r="DB2391" s="1"/>
      <c r="DC2391" s="1"/>
      <c r="DD2391" s="1"/>
      <c r="DE2391" s="1"/>
      <c r="DF2391" s="1"/>
      <c r="DG2391" s="1"/>
      <c r="DH2391" s="1"/>
      <c r="DI2391" s="1"/>
      <c r="DJ2391" s="1"/>
      <c r="DK2391" s="1"/>
      <c r="ED2391" s="1"/>
      <c r="EK2391" s="1"/>
      <c r="EL2391" s="1"/>
      <c r="EM2391" s="1"/>
      <c r="EN2391" s="1"/>
      <c r="EQ2391" s="1"/>
      <c r="ER2391" s="1"/>
      <c r="ES2391" s="1"/>
      <c r="EV2391" s="1"/>
      <c r="EW2391" s="1"/>
      <c r="EZ2391" s="1"/>
      <c r="IE2391" s="1"/>
      <c r="IS2391" s="1"/>
      <c r="IY2391" s="1"/>
      <c r="IZ2391" s="1"/>
      <c r="JJ2391" s="1"/>
      <c r="JN2391" s="1"/>
      <c r="JP2391" s="1"/>
      <c r="JQ2391" s="1"/>
      <c r="LZ2391" s="1"/>
      <c r="MA2391" s="1"/>
    </row>
    <row r="2392" spans="4:339" ht="13" x14ac:dyDescent="0.15">
      <c r="D2392" s="12"/>
      <c r="E2392" s="12"/>
      <c r="I2392" s="12"/>
      <c r="J2392" s="13"/>
      <c r="BG2392" s="1"/>
      <c r="BH2392" s="1"/>
      <c r="BI2392" s="1"/>
      <c r="BK2392" s="1"/>
      <c r="BM2392" s="1"/>
      <c r="BN2392" s="1"/>
      <c r="BP2392" s="1"/>
      <c r="CD2392" s="1"/>
      <c r="CM2392" s="2"/>
      <c r="CP2392" s="1"/>
      <c r="CQ2392" s="1"/>
      <c r="CX2392" s="1"/>
      <c r="CY2392" s="1"/>
      <c r="CZ2392" s="1"/>
      <c r="DA2392" s="1"/>
      <c r="DB2392" s="1"/>
      <c r="DC2392" s="1"/>
      <c r="DD2392" s="1"/>
      <c r="DE2392" s="1"/>
      <c r="DF2392" s="1"/>
      <c r="DG2392" s="1"/>
      <c r="DH2392" s="1"/>
      <c r="DI2392" s="1"/>
      <c r="DJ2392" s="1"/>
      <c r="DK2392" s="1"/>
      <c r="ED2392" s="1"/>
      <c r="EK2392" s="1"/>
      <c r="EL2392" s="1"/>
      <c r="EM2392" s="1"/>
      <c r="EN2392" s="1"/>
      <c r="EQ2392" s="1"/>
      <c r="ER2392" s="1"/>
      <c r="ES2392" s="1"/>
      <c r="EV2392" s="1"/>
      <c r="EW2392" s="1"/>
      <c r="EZ2392" s="1"/>
      <c r="IE2392" s="1"/>
      <c r="IS2392" s="1"/>
      <c r="IY2392" s="1"/>
      <c r="IZ2392" s="1"/>
      <c r="JJ2392" s="1"/>
      <c r="JN2392" s="1"/>
      <c r="JP2392" s="1"/>
      <c r="JQ2392" s="1"/>
      <c r="LZ2392" s="1"/>
      <c r="MA2392" s="1"/>
    </row>
    <row r="2393" spans="4:339" ht="13" x14ac:dyDescent="0.15">
      <c r="D2393" s="12"/>
      <c r="E2393" s="12"/>
      <c r="I2393" s="12"/>
      <c r="J2393" s="13"/>
      <c r="BG2393" s="1"/>
      <c r="BH2393" s="1"/>
      <c r="BI2393" s="1"/>
      <c r="BK2393" s="1"/>
      <c r="BL2393" s="1"/>
      <c r="BM2393" s="1"/>
      <c r="BN2393" s="1"/>
      <c r="BO2393" s="1"/>
      <c r="BP2393" s="1"/>
      <c r="CD2393" s="1"/>
      <c r="CE2393" s="1"/>
      <c r="CF2393" s="1"/>
      <c r="CG2393" s="1"/>
      <c r="CM2393" s="2"/>
      <c r="CP2393" s="1"/>
      <c r="CQ2393" s="1"/>
      <c r="CS2393" s="1"/>
      <c r="CT2393" s="1"/>
      <c r="CU2393" s="1"/>
      <c r="CV2393" s="1"/>
      <c r="CW2393" s="1"/>
      <c r="CX2393" s="1"/>
      <c r="CY2393" s="1"/>
      <c r="CZ2393" s="1"/>
      <c r="DA2393" s="1"/>
      <c r="DB2393" s="1"/>
      <c r="DC2393" s="1"/>
      <c r="DD2393" s="1"/>
      <c r="DE2393" s="1"/>
      <c r="DF2393" s="1"/>
      <c r="DG2393" s="1"/>
      <c r="DH2393" s="1"/>
      <c r="DI2393" s="1"/>
      <c r="DJ2393" s="1"/>
      <c r="DK2393" s="1"/>
      <c r="DQ2393" s="1"/>
      <c r="DR2393" s="1"/>
      <c r="DY2393" s="1"/>
      <c r="DZ2393" s="1"/>
      <c r="ED2393" s="1"/>
      <c r="EK2393" s="1"/>
      <c r="EL2393" s="1"/>
      <c r="EM2393" s="1"/>
      <c r="EN2393" s="1"/>
      <c r="EQ2393" s="1"/>
      <c r="ER2393" s="1"/>
      <c r="ES2393" s="1"/>
      <c r="EV2393" s="1"/>
      <c r="EW2393" s="1"/>
      <c r="EZ2393" s="1"/>
      <c r="GO2393" s="1"/>
      <c r="HY2393" s="1"/>
      <c r="IE2393" s="1"/>
      <c r="IG2393" s="1"/>
      <c r="IR2393" s="1"/>
      <c r="IS2393" s="1"/>
      <c r="IZ2393" s="1"/>
      <c r="JJ2393" s="1"/>
      <c r="JK2393" s="1"/>
      <c r="JL2393" s="3"/>
      <c r="JM2393" s="1"/>
      <c r="JN2393" s="1"/>
      <c r="JP2393" s="1"/>
      <c r="JQ2393" s="1"/>
      <c r="JR2393" s="1"/>
      <c r="LZ2393" s="1"/>
      <c r="MA2393" s="1"/>
    </row>
    <row r="2394" spans="4:339" ht="13" x14ac:dyDescent="0.15">
      <c r="D2394" s="12"/>
      <c r="E2394" s="12"/>
      <c r="I2394" s="12"/>
      <c r="J2394" s="13"/>
      <c r="BG2394" s="1"/>
      <c r="BH2394" s="1"/>
      <c r="BI2394" s="1"/>
      <c r="BK2394" s="1"/>
      <c r="BM2394" s="1"/>
      <c r="BN2394" s="1"/>
      <c r="CD2394" s="1"/>
      <c r="CM2394" s="4"/>
      <c r="ED2394" s="1"/>
      <c r="EL2394" s="1"/>
      <c r="EM2394" s="1"/>
      <c r="EN2394" s="1"/>
      <c r="EQ2394" s="1"/>
      <c r="ER2394" s="1"/>
      <c r="ES2394" s="1"/>
      <c r="EV2394" s="1"/>
      <c r="EW2394" s="1"/>
      <c r="EZ2394" s="1"/>
      <c r="IR2394" s="1"/>
      <c r="IS2394" s="1"/>
      <c r="IZ2394" s="1"/>
      <c r="JJ2394" s="1"/>
      <c r="JN2394" s="1"/>
      <c r="JP2394" s="1"/>
      <c r="JQ2394" s="1"/>
    </row>
    <row r="2395" spans="4:339" ht="13" x14ac:dyDescent="0.15">
      <c r="D2395" s="12"/>
      <c r="E2395" s="12"/>
      <c r="I2395" s="12"/>
      <c r="J2395" s="13"/>
      <c r="BG2395" s="1"/>
      <c r="BH2395" s="1"/>
      <c r="BI2395" s="1"/>
      <c r="BK2395" s="1"/>
      <c r="BL2395" s="1"/>
      <c r="BM2395" s="1"/>
      <c r="BN2395" s="1"/>
      <c r="CD2395" s="1"/>
      <c r="CM2395" s="4"/>
      <c r="ED2395" s="1"/>
      <c r="EL2395" s="1"/>
      <c r="EM2395" s="1"/>
      <c r="EN2395" s="1"/>
      <c r="EQ2395" s="1"/>
      <c r="ER2395" s="1"/>
      <c r="ES2395" s="1"/>
      <c r="EV2395" s="1"/>
      <c r="EW2395" s="1"/>
      <c r="EZ2395" s="1"/>
      <c r="HY2395" s="1"/>
      <c r="IS2395" s="1"/>
      <c r="IZ2395" s="1"/>
      <c r="JJ2395" s="1"/>
      <c r="JP2395" s="1"/>
      <c r="JQ2395" s="1"/>
      <c r="LZ2395" s="1"/>
    </row>
    <row r="2396" spans="4:339" ht="13" x14ac:dyDescent="0.15">
      <c r="D2396" s="12"/>
      <c r="E2396" s="12"/>
      <c r="I2396" s="12"/>
      <c r="J2396" s="13"/>
      <c r="BG2396" s="1"/>
      <c r="BH2396" s="1"/>
      <c r="BL2396" s="1"/>
      <c r="BM2396" s="1"/>
      <c r="BN2396" s="1"/>
      <c r="BO2396" s="1"/>
      <c r="CD2396" s="1"/>
      <c r="CM2396" s="4"/>
      <c r="ED2396" s="1"/>
      <c r="EL2396" s="1"/>
      <c r="EM2396" s="1"/>
      <c r="EN2396" s="1"/>
      <c r="EQ2396" s="1"/>
      <c r="ER2396" s="1"/>
      <c r="ES2396" s="1"/>
      <c r="EV2396" s="1"/>
      <c r="EW2396" s="1"/>
      <c r="EZ2396" s="1"/>
      <c r="IS2396" s="1"/>
      <c r="IZ2396" s="1"/>
      <c r="JJ2396" s="1"/>
      <c r="JP2396" s="1"/>
      <c r="JQ2396" s="1"/>
    </row>
    <row r="2397" spans="4:339" ht="13" x14ac:dyDescent="0.15">
      <c r="D2397" s="12"/>
      <c r="E2397" s="12"/>
      <c r="I2397" s="12"/>
      <c r="J2397" s="13"/>
      <c r="BM2397" s="1"/>
      <c r="BN2397" s="1"/>
      <c r="CM2397" s="4"/>
      <c r="ED2397" s="1"/>
      <c r="EL2397" s="1"/>
      <c r="EM2397" s="1"/>
      <c r="EN2397" s="1"/>
      <c r="EQ2397" s="1"/>
      <c r="ER2397" s="1"/>
      <c r="ES2397" s="1"/>
      <c r="EV2397" s="1"/>
      <c r="EW2397" s="1"/>
      <c r="EZ2397" s="1"/>
      <c r="IS2397" s="1"/>
      <c r="IZ2397" s="1"/>
      <c r="JJ2397" s="1"/>
      <c r="JP2397" s="1"/>
      <c r="JQ2397" s="1"/>
      <c r="LZ2397" s="1"/>
    </row>
    <row r="2398" spans="4:339" ht="13" x14ac:dyDescent="0.15">
      <c r="D2398" s="12"/>
      <c r="E2398" s="12"/>
      <c r="I2398" s="12"/>
      <c r="J2398" s="13"/>
      <c r="BG2398" s="1"/>
      <c r="BH2398" s="1"/>
      <c r="BI2398" s="1"/>
      <c r="BJ2398" s="1"/>
      <c r="BK2398" s="1"/>
      <c r="BL2398" s="1"/>
      <c r="BM2398" s="1"/>
      <c r="BN2398" s="1"/>
      <c r="BO2398" s="1"/>
      <c r="BP2398" s="1"/>
      <c r="CD2398" s="1"/>
      <c r="CM2398" s="2"/>
      <c r="CP2398" s="1"/>
      <c r="CQ2398" s="1"/>
      <c r="CS2398" s="1"/>
      <c r="CT2398" s="1"/>
      <c r="CU2398" s="1"/>
      <c r="CV2398" s="1"/>
      <c r="CW2398" s="1"/>
      <c r="CX2398" s="1"/>
      <c r="CY2398" s="1"/>
      <c r="CZ2398" s="1"/>
      <c r="DA2398" s="1"/>
      <c r="DB2398" s="1"/>
      <c r="DC2398" s="1"/>
      <c r="DD2398" s="1"/>
      <c r="DE2398" s="1"/>
      <c r="DF2398" s="1"/>
      <c r="DG2398" s="1"/>
      <c r="DH2398" s="1"/>
      <c r="DI2398" s="1"/>
      <c r="DJ2398" s="1"/>
      <c r="DK2398" s="1"/>
      <c r="ED2398" s="1"/>
      <c r="EK2398" s="1"/>
      <c r="EL2398" s="1"/>
      <c r="EM2398" s="1"/>
      <c r="EN2398" s="1"/>
      <c r="EQ2398" s="1"/>
      <c r="ER2398" s="1"/>
      <c r="ES2398" s="1"/>
      <c r="EV2398" s="1"/>
      <c r="EW2398" s="1"/>
      <c r="EZ2398" s="1"/>
      <c r="HY2398" s="1"/>
      <c r="IE2398" s="1"/>
      <c r="IS2398" s="1"/>
      <c r="IY2398" s="1"/>
      <c r="IZ2398" s="1"/>
      <c r="JJ2398" s="1"/>
      <c r="JP2398" s="1"/>
      <c r="JQ2398" s="1"/>
      <c r="LZ2398" s="1"/>
      <c r="MA2398" s="1"/>
    </row>
    <row r="2399" spans="4:339" ht="13" x14ac:dyDescent="0.15">
      <c r="D2399" s="12"/>
      <c r="E2399" s="12"/>
      <c r="I2399" s="12"/>
      <c r="J2399" s="13"/>
      <c r="BG2399" s="1"/>
      <c r="BH2399" s="1"/>
      <c r="BI2399" s="1"/>
      <c r="BJ2399" s="1"/>
      <c r="BK2399" s="1"/>
      <c r="BL2399" s="1"/>
      <c r="BM2399" s="1"/>
      <c r="BN2399" s="1"/>
      <c r="BO2399" s="1"/>
      <c r="BP2399" s="1"/>
      <c r="CD2399" s="1"/>
      <c r="CM2399" s="2"/>
      <c r="CP2399" s="1"/>
      <c r="CQ2399" s="1"/>
      <c r="CS2399" s="1"/>
      <c r="CT2399" s="1"/>
      <c r="CU2399" s="1"/>
      <c r="CV2399" s="1"/>
      <c r="CW2399" s="1"/>
      <c r="CX2399" s="1"/>
      <c r="CY2399" s="1"/>
      <c r="CZ2399" s="1"/>
      <c r="DA2399" s="1"/>
      <c r="DB2399" s="1"/>
      <c r="DC2399" s="1"/>
      <c r="DD2399" s="1"/>
      <c r="DE2399" s="1"/>
      <c r="DF2399" s="1"/>
      <c r="DG2399" s="1"/>
      <c r="DH2399" s="1"/>
      <c r="DI2399" s="1"/>
      <c r="DJ2399" s="1"/>
      <c r="DK2399" s="1"/>
      <c r="ED2399" s="1"/>
      <c r="EK2399" s="1"/>
      <c r="EL2399" s="1"/>
      <c r="EM2399" s="1"/>
      <c r="EN2399" s="1"/>
      <c r="EQ2399" s="1"/>
      <c r="ER2399" s="1"/>
      <c r="ES2399" s="1"/>
      <c r="EV2399" s="1"/>
      <c r="EW2399" s="1"/>
      <c r="EZ2399" s="1"/>
      <c r="HY2399" s="1"/>
      <c r="IE2399" s="1"/>
      <c r="IS2399" s="1"/>
      <c r="IY2399" s="1"/>
      <c r="IZ2399" s="1"/>
      <c r="JJ2399" s="1"/>
      <c r="JP2399" s="1"/>
      <c r="JQ2399" s="1"/>
      <c r="LZ2399" s="1"/>
      <c r="MA2399" s="1"/>
    </row>
    <row r="2400" spans="4:339" ht="13" x14ac:dyDescent="0.15">
      <c r="D2400" s="12"/>
      <c r="E2400" s="12"/>
      <c r="I2400" s="12"/>
      <c r="J2400" s="13"/>
      <c r="BG2400" s="1"/>
      <c r="BH2400" s="1"/>
      <c r="BI2400" s="1"/>
      <c r="BJ2400" s="1"/>
      <c r="BK2400" s="1"/>
      <c r="BL2400" s="1"/>
      <c r="BM2400" s="1"/>
      <c r="BN2400" s="1"/>
      <c r="BO2400" s="1"/>
      <c r="BP2400" s="1"/>
      <c r="CD2400" s="1"/>
      <c r="CM2400" s="2"/>
      <c r="CP2400" s="1"/>
      <c r="CQ2400" s="1"/>
      <c r="CS2400" s="1"/>
      <c r="CT2400" s="1"/>
      <c r="CU2400" s="1"/>
      <c r="CV2400" s="1"/>
      <c r="CW2400" s="1"/>
      <c r="CX2400" s="1"/>
      <c r="CY2400" s="1"/>
      <c r="CZ2400" s="1"/>
      <c r="DA2400" s="1"/>
      <c r="DB2400" s="1"/>
      <c r="DC2400" s="1"/>
      <c r="DD2400" s="1"/>
      <c r="DE2400" s="1"/>
      <c r="DF2400" s="1"/>
      <c r="DG2400" s="1"/>
      <c r="DH2400" s="1"/>
      <c r="DI2400" s="1"/>
      <c r="DJ2400" s="1"/>
      <c r="DK2400" s="1"/>
      <c r="ED2400" s="1"/>
      <c r="EK2400" s="1"/>
      <c r="EL2400" s="1"/>
      <c r="EM2400" s="1"/>
      <c r="EN2400" s="1"/>
      <c r="EQ2400" s="1"/>
      <c r="ER2400" s="1"/>
      <c r="ES2400" s="1"/>
      <c r="EV2400" s="1"/>
      <c r="EW2400" s="1"/>
      <c r="EZ2400" s="1"/>
      <c r="HY2400" s="1"/>
      <c r="IE2400" s="1"/>
      <c r="IS2400" s="1"/>
      <c r="IY2400" s="1"/>
      <c r="IZ2400" s="1"/>
      <c r="JJ2400" s="1"/>
      <c r="JP2400" s="1"/>
      <c r="JQ2400" s="1"/>
      <c r="LZ2400" s="1"/>
      <c r="MA2400" s="1"/>
    </row>
    <row r="2401" spans="4:339" ht="13" x14ac:dyDescent="0.15">
      <c r="D2401" s="12"/>
      <c r="E2401" s="12"/>
      <c r="I2401" s="12"/>
      <c r="J2401" s="13"/>
      <c r="BG2401" s="1"/>
      <c r="BH2401" s="1"/>
      <c r="BI2401" s="1"/>
      <c r="BJ2401" s="1"/>
      <c r="BK2401" s="1"/>
      <c r="BL2401" s="1"/>
      <c r="BM2401" s="1"/>
      <c r="BN2401" s="1"/>
      <c r="BO2401" s="1"/>
      <c r="BP2401" s="1"/>
      <c r="CD2401" s="1"/>
      <c r="CM2401" s="2"/>
      <c r="CP2401" s="1"/>
      <c r="CQ2401" s="1"/>
      <c r="CS2401" s="1"/>
      <c r="CT2401" s="1"/>
      <c r="CU2401" s="1"/>
      <c r="CV2401" s="1"/>
      <c r="CW2401" s="1"/>
      <c r="CX2401" s="1"/>
      <c r="CY2401" s="1"/>
      <c r="CZ2401" s="1"/>
      <c r="DA2401" s="1"/>
      <c r="DB2401" s="1"/>
      <c r="DC2401" s="1"/>
      <c r="DD2401" s="1"/>
      <c r="DE2401" s="1"/>
      <c r="DF2401" s="1"/>
      <c r="DG2401" s="1"/>
      <c r="DH2401" s="1"/>
      <c r="DI2401" s="1"/>
      <c r="DJ2401" s="1"/>
      <c r="DK2401" s="1"/>
      <c r="ED2401" s="1"/>
      <c r="EK2401" s="1"/>
      <c r="EL2401" s="1"/>
      <c r="EM2401" s="1"/>
      <c r="EN2401" s="1"/>
      <c r="EQ2401" s="1"/>
      <c r="ER2401" s="1"/>
      <c r="ES2401" s="1"/>
      <c r="EV2401" s="1"/>
      <c r="EW2401" s="1"/>
      <c r="EZ2401" s="1"/>
      <c r="HY2401" s="1"/>
      <c r="IE2401" s="1"/>
      <c r="IS2401" s="1"/>
      <c r="IY2401" s="1"/>
      <c r="IZ2401" s="1"/>
      <c r="JJ2401" s="1"/>
      <c r="JP2401" s="1"/>
      <c r="JQ2401" s="1"/>
      <c r="LZ2401" s="1"/>
      <c r="MA2401" s="1"/>
    </row>
    <row r="2402" spans="4:339" ht="13" x14ac:dyDescent="0.15">
      <c r="D2402" s="12"/>
      <c r="E2402" s="12"/>
      <c r="I2402" s="12"/>
      <c r="J2402" s="13"/>
      <c r="BG2402" s="1"/>
      <c r="BH2402" s="1"/>
      <c r="BI2402" s="1"/>
      <c r="BJ2402" s="1"/>
      <c r="BK2402" s="1"/>
      <c r="BL2402" s="1"/>
      <c r="BM2402" s="1"/>
      <c r="BN2402" s="1"/>
      <c r="BO2402" s="1"/>
      <c r="BP2402" s="1"/>
      <c r="CD2402" s="1"/>
      <c r="CM2402" s="2"/>
      <c r="CP2402" s="1"/>
      <c r="CQ2402" s="1"/>
      <c r="CS2402" s="1"/>
      <c r="CT2402" s="1"/>
      <c r="CU2402" s="1"/>
      <c r="CV2402" s="1"/>
      <c r="CW2402" s="1"/>
      <c r="CX2402" s="1"/>
      <c r="CY2402" s="1"/>
      <c r="CZ2402" s="1"/>
      <c r="DA2402" s="1"/>
      <c r="DB2402" s="1"/>
      <c r="DC2402" s="1"/>
      <c r="DD2402" s="1"/>
      <c r="DE2402" s="1"/>
      <c r="DF2402" s="1"/>
      <c r="DG2402" s="1"/>
      <c r="DH2402" s="1"/>
      <c r="DI2402" s="1"/>
      <c r="DJ2402" s="1"/>
      <c r="DK2402" s="1"/>
      <c r="ED2402" s="1"/>
      <c r="EK2402" s="1"/>
      <c r="EL2402" s="1"/>
      <c r="EM2402" s="1"/>
      <c r="EN2402" s="1"/>
      <c r="EQ2402" s="1"/>
      <c r="ER2402" s="1"/>
      <c r="ES2402" s="1"/>
      <c r="EV2402" s="1"/>
      <c r="EW2402" s="1"/>
      <c r="EZ2402" s="1"/>
      <c r="HY2402" s="1"/>
      <c r="IE2402" s="1"/>
      <c r="IS2402" s="1"/>
      <c r="IY2402" s="1"/>
      <c r="IZ2402" s="1"/>
      <c r="JJ2402" s="1"/>
      <c r="JP2402" s="1"/>
      <c r="JQ2402" s="1"/>
      <c r="LZ2402" s="1"/>
      <c r="MA2402" s="1"/>
    </row>
    <row r="2403" spans="4:339" ht="13" x14ac:dyDescent="0.15">
      <c r="D2403" s="12"/>
      <c r="E2403" s="12"/>
      <c r="I2403" s="12"/>
      <c r="J2403" s="13"/>
      <c r="BG2403" s="1"/>
      <c r="BH2403" s="1"/>
      <c r="BI2403" s="1"/>
      <c r="BJ2403" s="1"/>
      <c r="BK2403" s="1"/>
      <c r="BL2403" s="1"/>
      <c r="BM2403" s="1"/>
      <c r="BN2403" s="1"/>
      <c r="BO2403" s="1"/>
      <c r="BP2403" s="1"/>
      <c r="CD2403" s="1"/>
      <c r="CM2403" s="2"/>
      <c r="CP2403" s="1"/>
      <c r="CQ2403" s="1"/>
      <c r="CS2403" s="1"/>
      <c r="CT2403" s="1"/>
      <c r="CU2403" s="1"/>
      <c r="CV2403" s="1"/>
      <c r="CW2403" s="1"/>
      <c r="CX2403" s="1"/>
      <c r="CY2403" s="1"/>
      <c r="CZ2403" s="1"/>
      <c r="DA2403" s="1"/>
      <c r="DB2403" s="1"/>
      <c r="DC2403" s="1"/>
      <c r="DD2403" s="1"/>
      <c r="DE2403" s="1"/>
      <c r="DF2403" s="1"/>
      <c r="DG2403" s="1"/>
      <c r="DH2403" s="1"/>
      <c r="DI2403" s="1"/>
      <c r="DJ2403" s="1"/>
      <c r="DK2403" s="1"/>
      <c r="ED2403" s="1"/>
      <c r="EK2403" s="1"/>
      <c r="EL2403" s="1"/>
      <c r="EM2403" s="1"/>
      <c r="EN2403" s="1"/>
      <c r="EQ2403" s="1"/>
      <c r="ER2403" s="1"/>
      <c r="ES2403" s="1"/>
      <c r="EV2403" s="1"/>
      <c r="EW2403" s="1"/>
      <c r="EZ2403" s="1"/>
      <c r="HY2403" s="1"/>
      <c r="IE2403" s="1"/>
      <c r="IS2403" s="1"/>
      <c r="IY2403" s="1"/>
      <c r="IZ2403" s="1"/>
      <c r="JJ2403" s="1"/>
      <c r="JP2403" s="1"/>
      <c r="JQ2403" s="1"/>
      <c r="LZ2403" s="1"/>
      <c r="MA2403" s="1"/>
    </row>
    <row r="2404" spans="4:339" ht="13" x14ac:dyDescent="0.15">
      <c r="D2404" s="12"/>
      <c r="E2404" s="12"/>
      <c r="I2404" s="12"/>
      <c r="J2404" s="13"/>
      <c r="BG2404" s="1"/>
      <c r="BH2404" s="1"/>
      <c r="BI2404" s="1"/>
      <c r="BJ2404" s="1"/>
      <c r="BK2404" s="1"/>
      <c r="BL2404" s="1"/>
      <c r="BM2404" s="1"/>
      <c r="BN2404" s="1"/>
      <c r="BO2404" s="1"/>
      <c r="BP2404" s="1"/>
      <c r="CD2404" s="1"/>
      <c r="CM2404" s="2"/>
      <c r="CP2404" s="1"/>
      <c r="CQ2404" s="1"/>
      <c r="CS2404" s="1"/>
      <c r="CT2404" s="1"/>
      <c r="CU2404" s="1"/>
      <c r="CV2404" s="1"/>
      <c r="CW2404" s="1"/>
      <c r="CX2404" s="1"/>
      <c r="CY2404" s="1"/>
      <c r="CZ2404" s="1"/>
      <c r="DA2404" s="1"/>
      <c r="DB2404" s="1"/>
      <c r="DC2404" s="1"/>
      <c r="DD2404" s="1"/>
      <c r="DE2404" s="1"/>
      <c r="DF2404" s="1"/>
      <c r="DG2404" s="1"/>
      <c r="DH2404" s="1"/>
      <c r="DI2404" s="1"/>
      <c r="DJ2404" s="1"/>
      <c r="DK2404" s="1"/>
      <c r="ED2404" s="1"/>
      <c r="EK2404" s="1"/>
      <c r="EL2404" s="1"/>
      <c r="EM2404" s="1"/>
      <c r="EN2404" s="1"/>
      <c r="EQ2404" s="1"/>
      <c r="ER2404" s="1"/>
      <c r="ES2404" s="1"/>
      <c r="EV2404" s="1"/>
      <c r="EW2404" s="1"/>
      <c r="EZ2404" s="1"/>
      <c r="HY2404" s="1"/>
      <c r="IE2404" s="1"/>
      <c r="IS2404" s="1"/>
      <c r="IY2404" s="1"/>
      <c r="IZ2404" s="1"/>
      <c r="JJ2404" s="1"/>
      <c r="JP2404" s="1"/>
      <c r="JQ2404" s="1"/>
      <c r="LZ2404" s="1"/>
      <c r="MA2404" s="1"/>
    </row>
    <row r="2405" spans="4:339" ht="13" x14ac:dyDescent="0.15">
      <c r="D2405" s="12"/>
      <c r="E2405" s="12"/>
      <c r="I2405" s="12"/>
      <c r="J2405" s="13"/>
      <c r="BG2405" s="1"/>
      <c r="BH2405" s="1"/>
      <c r="BI2405" s="1"/>
      <c r="BJ2405" s="1"/>
      <c r="BK2405" s="1"/>
      <c r="BL2405" s="1"/>
      <c r="BM2405" s="1"/>
      <c r="BN2405" s="1"/>
      <c r="BO2405" s="1"/>
      <c r="BP2405" s="1"/>
      <c r="CD2405" s="1"/>
      <c r="CM2405" s="2"/>
      <c r="CP2405" s="1"/>
      <c r="CQ2405" s="1"/>
      <c r="CS2405" s="1"/>
      <c r="CT2405" s="1"/>
      <c r="CU2405" s="1"/>
      <c r="CV2405" s="1"/>
      <c r="CW2405" s="1"/>
      <c r="CX2405" s="1"/>
      <c r="CY2405" s="1"/>
      <c r="CZ2405" s="1"/>
      <c r="DA2405" s="1"/>
      <c r="DB2405" s="1"/>
      <c r="DC2405" s="1"/>
      <c r="DD2405" s="1"/>
      <c r="DE2405" s="1"/>
      <c r="DF2405" s="1"/>
      <c r="DG2405" s="1"/>
      <c r="DH2405" s="1"/>
      <c r="DI2405" s="1"/>
      <c r="DJ2405" s="1"/>
      <c r="DK2405" s="1"/>
      <c r="ED2405" s="1"/>
      <c r="EK2405" s="1"/>
      <c r="EL2405" s="1"/>
      <c r="EM2405" s="1"/>
      <c r="EN2405" s="1"/>
      <c r="EQ2405" s="1"/>
      <c r="ER2405" s="1"/>
      <c r="ES2405" s="1"/>
      <c r="EV2405" s="1"/>
      <c r="EW2405" s="1"/>
      <c r="EZ2405" s="1"/>
      <c r="HY2405" s="1"/>
      <c r="IE2405" s="1"/>
      <c r="IS2405" s="1"/>
      <c r="IY2405" s="1"/>
      <c r="IZ2405" s="1"/>
      <c r="JJ2405" s="1"/>
      <c r="JP2405" s="1"/>
      <c r="JQ2405" s="1"/>
      <c r="LZ2405" s="1"/>
      <c r="MA2405" s="1"/>
    </row>
    <row r="2406" spans="4:339" ht="13" x14ac:dyDescent="0.15">
      <c r="D2406" s="12"/>
      <c r="E2406" s="12"/>
      <c r="I2406" s="12"/>
      <c r="J2406" s="13"/>
      <c r="BG2406" s="1"/>
      <c r="BH2406" s="1"/>
      <c r="BI2406" s="1"/>
      <c r="BJ2406" s="1"/>
      <c r="BK2406" s="1"/>
      <c r="BL2406" s="1"/>
      <c r="BM2406" s="1"/>
      <c r="BN2406" s="1"/>
      <c r="BO2406" s="1"/>
      <c r="BP2406" s="1"/>
      <c r="CD2406" s="1"/>
      <c r="CM2406" s="2"/>
      <c r="CP2406" s="1"/>
      <c r="CQ2406" s="1"/>
      <c r="CS2406" s="1"/>
      <c r="CT2406" s="1"/>
      <c r="CU2406" s="1"/>
      <c r="CV2406" s="1"/>
      <c r="CW2406" s="1"/>
      <c r="CX2406" s="1"/>
      <c r="CY2406" s="1"/>
      <c r="CZ2406" s="1"/>
      <c r="DA2406" s="1"/>
      <c r="DB2406" s="1"/>
      <c r="DC2406" s="1"/>
      <c r="DD2406" s="1"/>
      <c r="DE2406" s="1"/>
      <c r="DF2406" s="1"/>
      <c r="DG2406" s="1"/>
      <c r="DH2406" s="1"/>
      <c r="DI2406" s="1"/>
      <c r="DJ2406" s="1"/>
      <c r="DK2406" s="1"/>
      <c r="ED2406" s="1"/>
      <c r="EK2406" s="1"/>
      <c r="EL2406" s="1"/>
      <c r="EM2406" s="1"/>
      <c r="EN2406" s="1"/>
      <c r="EQ2406" s="1"/>
      <c r="ER2406" s="1"/>
      <c r="ES2406" s="1"/>
      <c r="EV2406" s="1"/>
      <c r="EW2406" s="1"/>
      <c r="EZ2406" s="1"/>
      <c r="HY2406" s="1"/>
      <c r="IE2406" s="1"/>
      <c r="IS2406" s="1"/>
      <c r="IY2406" s="1"/>
      <c r="IZ2406" s="1"/>
      <c r="JJ2406" s="1"/>
      <c r="JP2406" s="1"/>
      <c r="JQ2406" s="1"/>
      <c r="LZ2406" s="1"/>
      <c r="MA2406" s="1"/>
    </row>
    <row r="2407" spans="4:339" ht="13" x14ac:dyDescent="0.15">
      <c r="D2407" s="12"/>
      <c r="E2407" s="12"/>
      <c r="I2407" s="12"/>
      <c r="J2407" s="13"/>
      <c r="BG2407" s="1"/>
      <c r="BH2407" s="1"/>
      <c r="BI2407" s="1"/>
      <c r="BJ2407" s="1"/>
      <c r="BK2407" s="1"/>
      <c r="BL2407" s="1"/>
      <c r="BM2407" s="1"/>
      <c r="BN2407" s="1"/>
      <c r="BO2407" s="1"/>
      <c r="BP2407" s="1"/>
      <c r="CD2407" s="1"/>
      <c r="CM2407" s="2"/>
      <c r="CP2407" s="1"/>
      <c r="CQ2407" s="1"/>
      <c r="CS2407" s="1"/>
      <c r="CT2407" s="1"/>
      <c r="CU2407" s="1"/>
      <c r="CV2407" s="1"/>
      <c r="CW2407" s="1"/>
      <c r="CX2407" s="1"/>
      <c r="CY2407" s="1"/>
      <c r="CZ2407" s="1"/>
      <c r="DA2407" s="1"/>
      <c r="DB2407" s="1"/>
      <c r="DC2407" s="1"/>
      <c r="DD2407" s="1"/>
      <c r="DE2407" s="1"/>
      <c r="DF2407" s="1"/>
      <c r="DG2407" s="1"/>
      <c r="DH2407" s="1"/>
      <c r="DI2407" s="1"/>
      <c r="DJ2407" s="1"/>
      <c r="DK2407" s="1"/>
      <c r="ED2407" s="1"/>
      <c r="EK2407" s="1"/>
      <c r="EL2407" s="1"/>
      <c r="EM2407" s="1"/>
      <c r="EN2407" s="1"/>
      <c r="EQ2407" s="1"/>
      <c r="ER2407" s="1"/>
      <c r="ES2407" s="1"/>
      <c r="EV2407" s="1"/>
      <c r="EW2407" s="1"/>
      <c r="EZ2407" s="1"/>
      <c r="HY2407" s="1"/>
      <c r="IE2407" s="1"/>
      <c r="IS2407" s="1"/>
      <c r="IY2407" s="1"/>
      <c r="IZ2407" s="1"/>
      <c r="JJ2407" s="1"/>
      <c r="JP2407" s="1"/>
      <c r="JQ2407" s="1"/>
      <c r="LZ2407" s="1"/>
      <c r="MA2407" s="1"/>
    </row>
    <row r="2408" spans="4:339" ht="13" x14ac:dyDescent="0.15">
      <c r="D2408" s="12"/>
      <c r="E2408" s="12"/>
      <c r="I2408" s="12"/>
      <c r="J2408" s="13"/>
      <c r="BG2408" s="1"/>
      <c r="BH2408" s="1"/>
      <c r="BI2408" s="1"/>
      <c r="BJ2408" s="1"/>
      <c r="BK2408" s="1"/>
      <c r="BL2408" s="1"/>
      <c r="BM2408" s="1"/>
      <c r="BN2408" s="1"/>
      <c r="BO2408" s="1"/>
      <c r="BP2408" s="1"/>
      <c r="CD2408" s="1"/>
      <c r="CM2408" s="2"/>
      <c r="CP2408" s="1"/>
      <c r="CQ2408" s="1"/>
      <c r="CS2408" s="1"/>
      <c r="CT2408" s="1"/>
      <c r="CU2408" s="1"/>
      <c r="CV2408" s="1"/>
      <c r="CW2408" s="1"/>
      <c r="CX2408" s="1"/>
      <c r="CY2408" s="1"/>
      <c r="CZ2408" s="1"/>
      <c r="DA2408" s="1"/>
      <c r="DB2408" s="1"/>
      <c r="DC2408" s="1"/>
      <c r="DD2408" s="1"/>
      <c r="DE2408" s="1"/>
      <c r="DF2408" s="1"/>
      <c r="DG2408" s="1"/>
      <c r="DH2408" s="1"/>
      <c r="DI2408" s="1"/>
      <c r="DJ2408" s="1"/>
      <c r="DK2408" s="1"/>
      <c r="ED2408" s="1"/>
      <c r="EK2408" s="1"/>
      <c r="EL2408" s="1"/>
      <c r="EM2408" s="1"/>
      <c r="EN2408" s="1"/>
      <c r="EQ2408" s="1"/>
      <c r="ER2408" s="1"/>
      <c r="ES2408" s="1"/>
      <c r="EV2408" s="1"/>
      <c r="EW2408" s="1"/>
      <c r="EZ2408" s="1"/>
      <c r="HY2408" s="1"/>
      <c r="IE2408" s="1"/>
      <c r="IS2408" s="1"/>
      <c r="IY2408" s="1"/>
      <c r="IZ2408" s="1"/>
      <c r="JJ2408" s="1"/>
      <c r="JP2408" s="1"/>
      <c r="JQ2408" s="1"/>
      <c r="LZ2408" s="1"/>
      <c r="MA2408" s="1"/>
    </row>
    <row r="2409" spans="4:339" ht="13" x14ac:dyDescent="0.15">
      <c r="D2409" s="12"/>
      <c r="E2409" s="12"/>
      <c r="I2409" s="12"/>
      <c r="J2409" s="13"/>
      <c r="BG2409" s="1"/>
      <c r="BH2409" s="1"/>
      <c r="BI2409" s="1"/>
      <c r="BJ2409" s="1"/>
      <c r="BK2409" s="1"/>
      <c r="BL2409" s="1"/>
      <c r="BM2409" s="1"/>
      <c r="BN2409" s="1"/>
      <c r="BO2409" s="1"/>
      <c r="BP2409" s="1"/>
      <c r="CD2409" s="1"/>
      <c r="CM2409" s="2"/>
      <c r="CP2409" s="1"/>
      <c r="CQ2409" s="1"/>
      <c r="CS2409" s="1"/>
      <c r="CT2409" s="1"/>
      <c r="CU2409" s="1"/>
      <c r="CV2409" s="1"/>
      <c r="CW2409" s="1"/>
      <c r="CX2409" s="1"/>
      <c r="CY2409" s="1"/>
      <c r="CZ2409" s="1"/>
      <c r="DA2409" s="1"/>
      <c r="DB2409" s="1"/>
      <c r="DC2409" s="1"/>
      <c r="DD2409" s="1"/>
      <c r="DE2409" s="1"/>
      <c r="DF2409" s="1"/>
      <c r="DG2409" s="1"/>
      <c r="DH2409" s="1"/>
      <c r="DI2409" s="1"/>
      <c r="DJ2409" s="1"/>
      <c r="DK2409" s="1"/>
      <c r="ED2409" s="1"/>
      <c r="EK2409" s="1"/>
      <c r="EL2409" s="1"/>
      <c r="EM2409" s="1"/>
      <c r="EN2409" s="1"/>
      <c r="EQ2409" s="1"/>
      <c r="ER2409" s="1"/>
      <c r="ES2409" s="1"/>
      <c r="EV2409" s="1"/>
      <c r="EW2409" s="1"/>
      <c r="EZ2409" s="1"/>
      <c r="HY2409" s="1"/>
      <c r="IE2409" s="1"/>
      <c r="IS2409" s="1"/>
      <c r="IY2409" s="1"/>
      <c r="IZ2409" s="1"/>
      <c r="JJ2409" s="1"/>
      <c r="JP2409" s="1"/>
      <c r="JQ2409" s="1"/>
      <c r="LZ2409" s="1"/>
      <c r="MA2409" s="1"/>
    </row>
    <row r="2410" spans="4:339" ht="13" x14ac:dyDescent="0.15">
      <c r="D2410" s="12"/>
      <c r="E2410" s="12"/>
      <c r="I2410" s="12"/>
      <c r="J2410" s="13"/>
      <c r="BG2410" s="1"/>
      <c r="BH2410" s="1"/>
      <c r="BI2410" s="1"/>
      <c r="BJ2410" s="1"/>
      <c r="BK2410" s="1"/>
      <c r="BL2410" s="1"/>
      <c r="BM2410" s="1"/>
      <c r="BN2410" s="1"/>
      <c r="BO2410" s="1"/>
      <c r="BP2410" s="1"/>
      <c r="CD2410" s="1"/>
      <c r="CM2410" s="2"/>
      <c r="CP2410" s="1"/>
      <c r="CQ2410" s="1"/>
      <c r="CS2410" s="1"/>
      <c r="CT2410" s="1"/>
      <c r="CU2410" s="1"/>
      <c r="CV2410" s="1"/>
      <c r="CW2410" s="1"/>
      <c r="CX2410" s="1"/>
      <c r="CY2410" s="1"/>
      <c r="CZ2410" s="1"/>
      <c r="DA2410" s="1"/>
      <c r="DB2410" s="1"/>
      <c r="DC2410" s="1"/>
      <c r="DD2410" s="1"/>
      <c r="DE2410" s="1"/>
      <c r="DF2410" s="1"/>
      <c r="DG2410" s="1"/>
      <c r="DH2410" s="1"/>
      <c r="DI2410" s="1"/>
      <c r="DJ2410" s="1"/>
      <c r="DK2410" s="1"/>
      <c r="ED2410" s="1"/>
      <c r="EK2410" s="1"/>
      <c r="EL2410" s="1"/>
      <c r="EM2410" s="1"/>
      <c r="EN2410" s="1"/>
      <c r="EQ2410" s="1"/>
      <c r="ER2410" s="1"/>
      <c r="ES2410" s="1"/>
      <c r="EV2410" s="1"/>
      <c r="EW2410" s="1"/>
      <c r="EZ2410" s="1"/>
      <c r="HY2410" s="1"/>
      <c r="IE2410" s="1"/>
      <c r="IS2410" s="1"/>
      <c r="IY2410" s="1"/>
      <c r="IZ2410" s="1"/>
      <c r="JJ2410" s="1"/>
      <c r="JP2410" s="1"/>
      <c r="JQ2410" s="1"/>
      <c r="LZ2410" s="1"/>
      <c r="MA2410" s="1"/>
    </row>
    <row r="2411" spans="4:339" ht="13" x14ac:dyDescent="0.15">
      <c r="D2411" s="12"/>
      <c r="E2411" s="12"/>
      <c r="I2411" s="12"/>
      <c r="J2411" s="13"/>
      <c r="BG2411" s="1"/>
      <c r="BH2411" s="1"/>
      <c r="BI2411" s="1"/>
      <c r="BJ2411" s="1"/>
      <c r="BK2411" s="1"/>
      <c r="BL2411" s="1"/>
      <c r="BM2411" s="1"/>
      <c r="BN2411" s="1"/>
      <c r="BO2411" s="1"/>
      <c r="BP2411" s="1"/>
      <c r="CD2411" s="1"/>
      <c r="CM2411" s="2"/>
      <c r="CP2411" s="1"/>
      <c r="CQ2411" s="1"/>
      <c r="CS2411" s="1"/>
      <c r="CT2411" s="1"/>
      <c r="CU2411" s="1"/>
      <c r="CV2411" s="1"/>
      <c r="CW2411" s="1"/>
      <c r="CX2411" s="1"/>
      <c r="CY2411" s="1"/>
      <c r="CZ2411" s="1"/>
      <c r="DA2411" s="1"/>
      <c r="DB2411" s="1"/>
      <c r="DC2411" s="1"/>
      <c r="DD2411" s="1"/>
      <c r="DE2411" s="1"/>
      <c r="DF2411" s="1"/>
      <c r="DG2411" s="1"/>
      <c r="DH2411" s="1"/>
      <c r="DI2411" s="1"/>
      <c r="DJ2411" s="1"/>
      <c r="DK2411" s="1"/>
      <c r="ED2411" s="1"/>
      <c r="EK2411" s="1"/>
      <c r="EL2411" s="1"/>
      <c r="EM2411" s="1"/>
      <c r="EN2411" s="1"/>
      <c r="EQ2411" s="1"/>
      <c r="ER2411" s="1"/>
      <c r="ES2411" s="1"/>
      <c r="EV2411" s="1"/>
      <c r="EW2411" s="1"/>
      <c r="EZ2411" s="1"/>
      <c r="HY2411" s="1"/>
      <c r="IE2411" s="1"/>
      <c r="IS2411" s="1"/>
      <c r="IY2411" s="1"/>
      <c r="IZ2411" s="1"/>
      <c r="JJ2411" s="1"/>
      <c r="JP2411" s="1"/>
      <c r="JQ2411" s="1"/>
      <c r="LZ2411" s="1"/>
      <c r="MA2411" s="1"/>
    </row>
    <row r="2412" spans="4:339" ht="13" x14ac:dyDescent="0.15">
      <c r="D2412" s="12"/>
      <c r="E2412" s="12"/>
      <c r="I2412" s="12"/>
      <c r="J2412" s="13"/>
      <c r="BG2412" s="1"/>
      <c r="BH2412" s="1"/>
      <c r="BI2412" s="1"/>
      <c r="BJ2412" s="1"/>
      <c r="BK2412" s="1"/>
      <c r="BL2412" s="1"/>
      <c r="BM2412" s="1"/>
      <c r="BN2412" s="1"/>
      <c r="BO2412" s="1"/>
      <c r="BP2412" s="1"/>
      <c r="CD2412" s="1"/>
      <c r="CM2412" s="2"/>
      <c r="CP2412" s="1"/>
      <c r="CQ2412" s="1"/>
      <c r="CS2412" s="1"/>
      <c r="CT2412" s="1"/>
      <c r="CU2412" s="1"/>
      <c r="CV2412" s="1"/>
      <c r="CW2412" s="1"/>
      <c r="CX2412" s="1"/>
      <c r="CY2412" s="1"/>
      <c r="CZ2412" s="1"/>
      <c r="DA2412" s="1"/>
      <c r="DB2412" s="1"/>
      <c r="DC2412" s="1"/>
      <c r="DD2412" s="1"/>
      <c r="DE2412" s="1"/>
      <c r="DF2412" s="1"/>
      <c r="DG2412" s="1"/>
      <c r="DH2412" s="1"/>
      <c r="DI2412" s="1"/>
      <c r="DJ2412" s="1"/>
      <c r="DK2412" s="1"/>
      <c r="ED2412" s="1"/>
      <c r="EK2412" s="1"/>
      <c r="EL2412" s="1"/>
      <c r="EM2412" s="1"/>
      <c r="EN2412" s="1"/>
      <c r="EQ2412" s="1"/>
      <c r="ER2412" s="1"/>
      <c r="ES2412" s="1"/>
      <c r="EV2412" s="1"/>
      <c r="EW2412" s="1"/>
      <c r="EZ2412" s="1"/>
      <c r="HY2412" s="1"/>
      <c r="IE2412" s="1"/>
      <c r="IS2412" s="1"/>
      <c r="IY2412" s="1"/>
      <c r="IZ2412" s="1"/>
      <c r="JJ2412" s="1"/>
      <c r="JP2412" s="1"/>
      <c r="JQ2412" s="1"/>
      <c r="LZ2412" s="1"/>
      <c r="MA2412" s="1"/>
    </row>
    <row r="2413" spans="4:339" ht="13" x14ac:dyDescent="0.15">
      <c r="D2413" s="12"/>
      <c r="E2413" s="12"/>
      <c r="I2413" s="12"/>
      <c r="J2413" s="13"/>
      <c r="BG2413" s="1"/>
      <c r="BH2413" s="1"/>
      <c r="BI2413" s="1"/>
      <c r="BJ2413" s="1"/>
      <c r="BK2413" s="1"/>
      <c r="BL2413" s="1"/>
      <c r="BM2413" s="1"/>
      <c r="BN2413" s="1"/>
      <c r="BO2413" s="1"/>
      <c r="BP2413" s="1"/>
      <c r="CD2413" s="1"/>
      <c r="CM2413" s="2"/>
      <c r="CP2413" s="1"/>
      <c r="CQ2413" s="1"/>
      <c r="CS2413" s="1"/>
      <c r="CT2413" s="1"/>
      <c r="CU2413" s="1"/>
      <c r="CV2413" s="1"/>
      <c r="CW2413" s="1"/>
      <c r="CX2413" s="1"/>
      <c r="CY2413" s="1"/>
      <c r="CZ2413" s="1"/>
      <c r="DA2413" s="1"/>
      <c r="DB2413" s="1"/>
      <c r="DC2413" s="1"/>
      <c r="DD2413" s="1"/>
      <c r="DE2413" s="1"/>
      <c r="DF2413" s="1"/>
      <c r="DG2413" s="1"/>
      <c r="DH2413" s="1"/>
      <c r="DI2413" s="1"/>
      <c r="DJ2413" s="1"/>
      <c r="DK2413" s="1"/>
      <c r="ED2413" s="1"/>
      <c r="EK2413" s="1"/>
      <c r="EL2413" s="1"/>
      <c r="EM2413" s="1"/>
      <c r="EN2413" s="1"/>
      <c r="EQ2413" s="1"/>
      <c r="ER2413" s="1"/>
      <c r="ES2413" s="1"/>
      <c r="EV2413" s="1"/>
      <c r="EW2413" s="1"/>
      <c r="EZ2413" s="1"/>
      <c r="HY2413" s="1"/>
      <c r="IE2413" s="1"/>
      <c r="IS2413" s="1"/>
      <c r="IY2413" s="1"/>
      <c r="IZ2413" s="1"/>
      <c r="JJ2413" s="1"/>
      <c r="JP2413" s="1"/>
      <c r="JQ2413" s="1"/>
      <c r="LZ2413" s="1"/>
      <c r="MA2413" s="1"/>
    </row>
    <row r="2414" spans="4:339" ht="13" x14ac:dyDescent="0.15">
      <c r="D2414" s="12"/>
      <c r="E2414" s="12"/>
      <c r="I2414" s="12"/>
      <c r="J2414" s="13"/>
      <c r="BG2414" s="1"/>
      <c r="BH2414" s="1"/>
      <c r="BI2414" s="1"/>
      <c r="BJ2414" s="1"/>
      <c r="BK2414" s="1"/>
      <c r="BL2414" s="1"/>
      <c r="BM2414" s="1"/>
      <c r="BN2414" s="1"/>
      <c r="CD2414" s="1"/>
      <c r="CM2414" s="2"/>
      <c r="ED2414" s="1"/>
      <c r="EL2414" s="1"/>
      <c r="EM2414" s="1"/>
      <c r="EN2414" s="1"/>
      <c r="EQ2414" s="1"/>
      <c r="ER2414" s="1"/>
      <c r="ES2414" s="1"/>
      <c r="EV2414" s="1"/>
      <c r="EW2414" s="1"/>
      <c r="EZ2414" s="1"/>
      <c r="GO2414" s="1"/>
      <c r="GP2414" s="1"/>
      <c r="HY2414" s="1"/>
      <c r="IS2414" s="1"/>
      <c r="IZ2414" s="1"/>
      <c r="JJ2414" s="1"/>
      <c r="JP2414" s="1"/>
      <c r="JQ2414" s="1"/>
      <c r="LZ2414" s="1"/>
    </row>
    <row r="2415" spans="4:339" ht="13" x14ac:dyDescent="0.15">
      <c r="D2415" s="12"/>
      <c r="E2415" s="12"/>
      <c r="I2415" s="12"/>
      <c r="J2415" s="13"/>
      <c r="BG2415" s="1"/>
      <c r="BH2415" s="1"/>
      <c r="BI2415" s="1"/>
      <c r="BJ2415" s="1"/>
      <c r="BK2415" s="1"/>
      <c r="BL2415" s="1"/>
      <c r="BM2415" s="1"/>
      <c r="BN2415" s="1"/>
      <c r="CD2415" s="1"/>
      <c r="CM2415" s="2"/>
      <c r="ED2415" s="1"/>
      <c r="EL2415" s="1"/>
      <c r="EM2415" s="1"/>
      <c r="EN2415" s="1"/>
      <c r="EQ2415" s="1"/>
      <c r="ER2415" s="1"/>
      <c r="ES2415" s="1"/>
      <c r="EV2415" s="1"/>
      <c r="EW2415" s="1"/>
      <c r="EZ2415" s="1"/>
      <c r="GO2415" s="1"/>
      <c r="GP2415" s="1"/>
      <c r="HY2415" s="1"/>
      <c r="IS2415" s="1"/>
      <c r="IZ2415" s="1"/>
      <c r="JJ2415" s="1"/>
      <c r="JP2415" s="1"/>
      <c r="JQ2415" s="1"/>
      <c r="LZ2415" s="1"/>
    </row>
    <row r="2416" spans="4:339" ht="13" x14ac:dyDescent="0.15">
      <c r="D2416" s="12"/>
      <c r="E2416" s="12"/>
      <c r="I2416" s="12"/>
      <c r="J2416" s="13"/>
      <c r="BG2416" s="1"/>
      <c r="BH2416" s="1"/>
      <c r="BI2416" s="1"/>
      <c r="BJ2416" s="1"/>
      <c r="BK2416" s="1"/>
      <c r="BL2416" s="1"/>
      <c r="BM2416" s="1"/>
      <c r="BN2416" s="1"/>
      <c r="CD2416" s="1"/>
      <c r="CM2416" s="2"/>
      <c r="ED2416" s="1"/>
      <c r="EL2416" s="1"/>
      <c r="EM2416" s="1"/>
      <c r="EN2416" s="1"/>
      <c r="EQ2416" s="1"/>
      <c r="ER2416" s="1"/>
      <c r="ES2416" s="1"/>
      <c r="EV2416" s="1"/>
      <c r="EW2416" s="1"/>
      <c r="EZ2416" s="1"/>
      <c r="GO2416" s="1"/>
      <c r="GP2416" s="1"/>
      <c r="HY2416" s="1"/>
      <c r="IS2416" s="1"/>
      <c r="IZ2416" s="1"/>
      <c r="JJ2416" s="1"/>
      <c r="JP2416" s="1"/>
      <c r="JQ2416" s="1"/>
      <c r="LZ2416" s="1"/>
    </row>
    <row r="2417" spans="4:338" ht="13" x14ac:dyDescent="0.15">
      <c r="D2417" s="12"/>
      <c r="E2417" s="12"/>
      <c r="I2417" s="12"/>
      <c r="J2417" s="13"/>
      <c r="BG2417" s="1"/>
      <c r="BH2417" s="1"/>
      <c r="BI2417" s="1"/>
      <c r="BJ2417" s="1"/>
      <c r="BK2417" s="1"/>
      <c r="BL2417" s="1"/>
      <c r="BM2417" s="1"/>
      <c r="BN2417" s="1"/>
      <c r="CD2417" s="1"/>
      <c r="CM2417" s="2"/>
      <c r="ED2417" s="1"/>
      <c r="EL2417" s="1"/>
      <c r="EM2417" s="1"/>
      <c r="EN2417" s="1"/>
      <c r="EQ2417" s="1"/>
      <c r="ER2417" s="1"/>
      <c r="ES2417" s="1"/>
      <c r="EV2417" s="1"/>
      <c r="EW2417" s="1"/>
      <c r="EZ2417" s="1"/>
      <c r="GO2417" s="1"/>
      <c r="GP2417" s="1"/>
      <c r="HY2417" s="1"/>
      <c r="IS2417" s="1"/>
      <c r="IZ2417" s="1"/>
      <c r="JJ2417" s="1"/>
      <c r="JP2417" s="1"/>
      <c r="JQ2417" s="1"/>
      <c r="LZ2417" s="1"/>
    </row>
    <row r="2418" spans="4:338" ht="13" x14ac:dyDescent="0.15">
      <c r="D2418" s="12"/>
      <c r="E2418" s="12"/>
      <c r="I2418" s="12"/>
      <c r="J2418" s="13"/>
      <c r="BG2418" s="1"/>
      <c r="BH2418" s="1"/>
      <c r="BI2418" s="1"/>
      <c r="BK2418" s="1"/>
      <c r="BL2418" s="1"/>
      <c r="BM2418" s="1"/>
      <c r="BN2418" s="1"/>
      <c r="BO2418" s="1"/>
      <c r="CD2418" s="1"/>
      <c r="CM2418" s="2"/>
      <c r="ED2418" s="1"/>
      <c r="EL2418" s="1"/>
      <c r="EM2418" s="1"/>
      <c r="EN2418" s="1"/>
      <c r="EQ2418" s="1"/>
      <c r="ER2418" s="1"/>
      <c r="ES2418" s="1"/>
      <c r="EV2418" s="1"/>
      <c r="EW2418" s="1"/>
      <c r="EZ2418" s="1"/>
      <c r="HY2418" s="1"/>
      <c r="IS2418" s="1"/>
      <c r="IZ2418" s="1"/>
      <c r="JJ2418" s="1"/>
      <c r="JP2418" s="1"/>
      <c r="JQ2418" s="1"/>
    </row>
    <row r="2419" spans="4:338" ht="13" x14ac:dyDescent="0.15">
      <c r="D2419" s="12"/>
      <c r="E2419" s="12"/>
      <c r="I2419" s="12"/>
      <c r="J2419" s="13"/>
      <c r="BG2419" s="1"/>
      <c r="BH2419" s="1"/>
      <c r="BI2419" s="1"/>
      <c r="BK2419" s="1"/>
      <c r="BL2419" s="1"/>
      <c r="BM2419" s="1"/>
      <c r="BN2419" s="1"/>
      <c r="CD2419" s="1"/>
      <c r="CM2419" s="2"/>
      <c r="ED2419" s="1"/>
      <c r="EL2419" s="1"/>
      <c r="EM2419" s="1"/>
      <c r="EN2419" s="1"/>
      <c r="EQ2419" s="1"/>
      <c r="ER2419" s="1"/>
      <c r="ES2419" s="1"/>
      <c r="EV2419" s="1"/>
      <c r="EW2419" s="1"/>
      <c r="EZ2419" s="1"/>
      <c r="HY2419" s="1"/>
      <c r="IS2419" s="1"/>
      <c r="IZ2419" s="1"/>
      <c r="JJ2419" s="1"/>
      <c r="JP2419" s="1"/>
      <c r="JQ2419" s="1"/>
    </row>
    <row r="2420" spans="4:338" ht="13" x14ac:dyDescent="0.15">
      <c r="D2420" s="12"/>
      <c r="E2420" s="12"/>
      <c r="I2420" s="12"/>
      <c r="J2420" s="13"/>
      <c r="BM2420" s="1"/>
      <c r="BN2420" s="1"/>
      <c r="CM2420" s="4"/>
      <c r="ED2420" s="1"/>
      <c r="EL2420" s="1"/>
      <c r="EM2420" s="1"/>
      <c r="EN2420" s="1"/>
      <c r="EQ2420" s="1"/>
      <c r="ER2420" s="1"/>
      <c r="ES2420" s="1"/>
      <c r="EV2420" s="1"/>
      <c r="EW2420" s="1"/>
      <c r="EZ2420" s="1"/>
      <c r="IS2420" s="1"/>
      <c r="IZ2420" s="1"/>
      <c r="JJ2420" s="1"/>
      <c r="JP2420" s="1"/>
      <c r="JQ2420" s="1"/>
      <c r="LZ2420" s="1"/>
    </row>
    <row r="2421" spans="4:338" ht="13" x14ac:dyDescent="0.15">
      <c r="D2421" s="12"/>
      <c r="E2421" s="12"/>
      <c r="I2421" s="12"/>
      <c r="J2421" s="13"/>
      <c r="BM2421" s="1"/>
      <c r="BN2421" s="1"/>
      <c r="CM2421" s="4"/>
      <c r="ED2421" s="1"/>
      <c r="EL2421" s="1"/>
      <c r="EM2421" s="1"/>
      <c r="EN2421" s="1"/>
      <c r="EQ2421" s="1"/>
      <c r="ER2421" s="1"/>
      <c r="ES2421" s="1"/>
      <c r="EV2421" s="1"/>
      <c r="EW2421" s="1"/>
      <c r="EZ2421" s="1"/>
      <c r="IS2421" s="1"/>
      <c r="IZ2421" s="1"/>
      <c r="JJ2421" s="1"/>
      <c r="JP2421" s="1"/>
      <c r="JQ2421" s="1"/>
      <c r="LZ2421" s="1"/>
    </row>
    <row r="2422" spans="4:338" ht="13" x14ac:dyDescent="0.15">
      <c r="D2422" s="12"/>
      <c r="E2422" s="12"/>
      <c r="I2422" s="12"/>
      <c r="J2422" s="13"/>
      <c r="BM2422" s="1"/>
      <c r="BN2422" s="1"/>
      <c r="CM2422" s="2"/>
      <c r="ED2422" s="1"/>
      <c r="EL2422" s="1"/>
      <c r="EM2422" s="1"/>
      <c r="EN2422" s="1"/>
      <c r="EQ2422" s="1"/>
      <c r="ER2422" s="1"/>
      <c r="ES2422" s="1"/>
      <c r="EV2422" s="1"/>
      <c r="EW2422" s="1"/>
      <c r="EZ2422" s="1"/>
      <c r="IS2422" s="1"/>
      <c r="IZ2422" s="1"/>
      <c r="JJ2422" s="1"/>
      <c r="JP2422" s="1"/>
      <c r="JQ2422" s="1"/>
      <c r="LZ2422" s="1"/>
    </row>
    <row r="2423" spans="4:338" ht="13" x14ac:dyDescent="0.15">
      <c r="D2423" s="12"/>
      <c r="E2423" s="12"/>
      <c r="I2423" s="12"/>
      <c r="J2423" s="13"/>
      <c r="BM2423" s="1"/>
      <c r="BN2423" s="1"/>
      <c r="CM2423" s="2"/>
      <c r="ED2423" s="1"/>
      <c r="EL2423" s="1"/>
      <c r="EM2423" s="1"/>
      <c r="EN2423" s="1"/>
      <c r="EQ2423" s="1"/>
      <c r="ER2423" s="1"/>
      <c r="ES2423" s="1"/>
      <c r="EV2423" s="1"/>
      <c r="EW2423" s="1"/>
      <c r="EZ2423" s="1"/>
      <c r="IS2423" s="1"/>
      <c r="IZ2423" s="1"/>
      <c r="JJ2423" s="1"/>
      <c r="JP2423" s="1"/>
      <c r="JQ2423" s="1"/>
      <c r="LZ2423" s="1"/>
    </row>
    <row r="2424" spans="4:338" ht="13" x14ac:dyDescent="0.15">
      <c r="D2424" s="12"/>
      <c r="E2424" s="12"/>
      <c r="I2424" s="12"/>
      <c r="J2424" s="13"/>
      <c r="BM2424" s="1"/>
      <c r="BN2424" s="1"/>
      <c r="CM2424" s="4"/>
      <c r="ED2424" s="1"/>
      <c r="EL2424" s="1"/>
      <c r="EM2424" s="1"/>
      <c r="EN2424" s="1"/>
      <c r="EQ2424" s="1"/>
      <c r="ER2424" s="1"/>
      <c r="ES2424" s="1"/>
      <c r="EV2424" s="1"/>
      <c r="EW2424" s="1"/>
      <c r="EZ2424" s="1"/>
      <c r="IS2424" s="1"/>
      <c r="IZ2424" s="1"/>
      <c r="JJ2424" s="1"/>
      <c r="JP2424" s="1"/>
      <c r="JQ2424" s="1"/>
      <c r="LZ2424" s="1"/>
    </row>
    <row r="2425" spans="4:338" ht="13" x14ac:dyDescent="0.15">
      <c r="D2425" s="12"/>
      <c r="E2425" s="12"/>
      <c r="I2425" s="12"/>
      <c r="J2425" s="13"/>
      <c r="BM2425" s="1"/>
      <c r="BN2425" s="1"/>
      <c r="CM2425" s="4"/>
      <c r="ED2425" s="1"/>
      <c r="EL2425" s="1"/>
      <c r="EM2425" s="1"/>
      <c r="EN2425" s="1"/>
      <c r="EQ2425" s="1"/>
      <c r="ER2425" s="1"/>
      <c r="ES2425" s="1"/>
      <c r="EV2425" s="1"/>
      <c r="EW2425" s="1"/>
      <c r="EZ2425" s="1"/>
      <c r="IS2425" s="1"/>
      <c r="IZ2425" s="1"/>
      <c r="JJ2425" s="1"/>
      <c r="JP2425" s="1"/>
      <c r="JQ2425" s="1"/>
      <c r="LZ2425" s="1"/>
    </row>
    <row r="2426" spans="4:338" ht="13" x14ac:dyDescent="0.15">
      <c r="D2426" s="12"/>
      <c r="E2426" s="12"/>
      <c r="I2426" s="12"/>
      <c r="J2426" s="13"/>
      <c r="BM2426" s="1"/>
      <c r="BN2426" s="1"/>
      <c r="CM2426" s="4"/>
      <c r="ED2426" s="1"/>
      <c r="EL2426" s="1"/>
      <c r="EM2426" s="1"/>
      <c r="EN2426" s="1"/>
      <c r="EQ2426" s="1"/>
      <c r="ER2426" s="1"/>
      <c r="ES2426" s="1"/>
      <c r="EV2426" s="1"/>
      <c r="EW2426" s="1"/>
      <c r="EZ2426" s="1"/>
      <c r="IS2426" s="1"/>
      <c r="IZ2426" s="1"/>
      <c r="JJ2426" s="1"/>
      <c r="JP2426" s="1"/>
      <c r="JQ2426" s="1"/>
      <c r="LZ2426" s="1"/>
    </row>
    <row r="2427" spans="4:338" ht="13" x14ac:dyDescent="0.15">
      <c r="D2427" s="12"/>
      <c r="E2427" s="12"/>
      <c r="I2427" s="12"/>
      <c r="J2427" s="13"/>
      <c r="BM2427" s="1"/>
      <c r="BN2427" s="1"/>
      <c r="CM2427" s="4"/>
      <c r="ED2427" s="1"/>
      <c r="EL2427" s="1"/>
      <c r="EM2427" s="1"/>
      <c r="EN2427" s="1"/>
      <c r="EQ2427" s="1"/>
      <c r="ER2427" s="1"/>
      <c r="ES2427" s="1"/>
      <c r="EV2427" s="1"/>
      <c r="EW2427" s="1"/>
      <c r="EZ2427" s="1"/>
      <c r="IS2427" s="1"/>
      <c r="IZ2427" s="1"/>
      <c r="JJ2427" s="1"/>
      <c r="JP2427" s="1"/>
      <c r="JQ2427" s="1"/>
      <c r="LZ2427" s="1"/>
    </row>
    <row r="2428" spans="4:338" ht="13" x14ac:dyDescent="0.15">
      <c r="D2428" s="12"/>
      <c r="E2428" s="12"/>
      <c r="I2428" s="12"/>
      <c r="J2428" s="13"/>
      <c r="BM2428" s="1"/>
      <c r="BN2428" s="1"/>
      <c r="CM2428" s="4"/>
      <c r="ED2428" s="1"/>
      <c r="EL2428" s="1"/>
      <c r="EM2428" s="1"/>
      <c r="EN2428" s="1"/>
      <c r="EQ2428" s="1"/>
      <c r="ER2428" s="1"/>
      <c r="ES2428" s="1"/>
      <c r="EV2428" s="1"/>
      <c r="EW2428" s="1"/>
      <c r="EZ2428" s="1"/>
      <c r="IS2428" s="1"/>
      <c r="IZ2428" s="1"/>
      <c r="JJ2428" s="1"/>
      <c r="JP2428" s="1"/>
      <c r="JQ2428" s="1"/>
      <c r="LZ2428" s="1"/>
    </row>
    <row r="2429" spans="4:338" ht="13" x14ac:dyDescent="0.15">
      <c r="D2429" s="12"/>
      <c r="E2429" s="12"/>
      <c r="I2429" s="12"/>
      <c r="J2429" s="13"/>
      <c r="BM2429" s="1"/>
      <c r="BN2429" s="1"/>
      <c r="CM2429" s="4"/>
      <c r="ED2429" s="1"/>
      <c r="EL2429" s="1"/>
      <c r="EM2429" s="1"/>
      <c r="EN2429" s="1"/>
      <c r="EQ2429" s="1"/>
      <c r="ER2429" s="1"/>
      <c r="ES2429" s="1"/>
      <c r="EV2429" s="1"/>
      <c r="EW2429" s="1"/>
      <c r="EZ2429" s="1"/>
      <c r="HY2429" s="1"/>
      <c r="IS2429" s="1"/>
      <c r="IZ2429" s="1"/>
      <c r="JJ2429" s="1"/>
      <c r="JP2429" s="1"/>
      <c r="JQ2429" s="1"/>
      <c r="LZ2429" s="1"/>
    </row>
    <row r="2430" spans="4:338" ht="13" x14ac:dyDescent="0.15">
      <c r="D2430" s="12"/>
      <c r="E2430" s="12"/>
      <c r="I2430" s="12"/>
      <c r="J2430" s="13"/>
      <c r="BM2430" s="1"/>
      <c r="BN2430" s="1"/>
      <c r="CM2430" s="4"/>
      <c r="ED2430" s="1"/>
      <c r="EL2430" s="1"/>
      <c r="EM2430" s="1"/>
      <c r="EN2430" s="1"/>
      <c r="EQ2430" s="1"/>
      <c r="ER2430" s="1"/>
      <c r="ES2430" s="1"/>
      <c r="EV2430" s="1"/>
      <c r="EW2430" s="1"/>
      <c r="EZ2430" s="1"/>
      <c r="HY2430" s="1"/>
      <c r="IS2430" s="1"/>
      <c r="IZ2430" s="1"/>
      <c r="JJ2430" s="1"/>
      <c r="JP2430" s="1"/>
      <c r="JQ2430" s="1"/>
      <c r="LZ2430" s="1"/>
    </row>
    <row r="2431" spans="4:338" ht="13" x14ac:dyDescent="0.15">
      <c r="D2431" s="12"/>
      <c r="E2431" s="12"/>
      <c r="I2431" s="12"/>
      <c r="J2431" s="13"/>
      <c r="BM2431" s="1"/>
      <c r="BN2431" s="1"/>
      <c r="CM2431" s="4"/>
      <c r="ED2431" s="1"/>
      <c r="EL2431" s="1"/>
      <c r="EM2431" s="1"/>
      <c r="EN2431" s="1"/>
      <c r="EQ2431" s="1"/>
      <c r="ER2431" s="1"/>
      <c r="ES2431" s="1"/>
      <c r="EV2431" s="1"/>
      <c r="EW2431" s="1"/>
      <c r="EZ2431" s="1"/>
      <c r="IS2431" s="1"/>
      <c r="IZ2431" s="1"/>
      <c r="JJ2431" s="1"/>
      <c r="JP2431" s="1"/>
      <c r="JQ2431" s="1"/>
      <c r="LZ2431" s="1"/>
    </row>
    <row r="2432" spans="4:338" ht="13" x14ac:dyDescent="0.15">
      <c r="D2432" s="12"/>
      <c r="E2432" s="12"/>
      <c r="I2432" s="12"/>
      <c r="J2432" s="13"/>
      <c r="BM2432" s="1"/>
      <c r="BN2432" s="1"/>
      <c r="CM2432" s="4"/>
      <c r="ED2432" s="1"/>
      <c r="EL2432" s="1"/>
      <c r="EM2432" s="1"/>
      <c r="EN2432" s="1"/>
      <c r="EQ2432" s="1"/>
      <c r="ER2432" s="1"/>
      <c r="ES2432" s="1"/>
      <c r="EV2432" s="1"/>
      <c r="EW2432" s="1"/>
      <c r="EZ2432" s="1"/>
      <c r="IS2432" s="1"/>
      <c r="IZ2432" s="1"/>
      <c r="JJ2432" s="1"/>
      <c r="JP2432" s="1"/>
      <c r="JQ2432" s="1"/>
      <c r="LZ2432" s="1"/>
    </row>
    <row r="2433" spans="4:338" ht="13" x14ac:dyDescent="0.15">
      <c r="D2433" s="12"/>
      <c r="E2433" s="12"/>
      <c r="I2433" s="12"/>
      <c r="J2433" s="13"/>
      <c r="BM2433" s="1"/>
      <c r="BN2433" s="1"/>
      <c r="CM2433" s="4"/>
      <c r="ED2433" s="1"/>
      <c r="EL2433" s="1"/>
      <c r="EM2433" s="1"/>
      <c r="EN2433" s="1"/>
      <c r="EQ2433" s="1"/>
      <c r="ER2433" s="1"/>
      <c r="ES2433" s="1"/>
      <c r="EV2433" s="1"/>
      <c r="EW2433" s="1"/>
      <c r="EZ2433" s="1"/>
      <c r="IS2433" s="1"/>
      <c r="IZ2433" s="1"/>
      <c r="JJ2433" s="1"/>
      <c r="JP2433" s="1"/>
      <c r="JQ2433" s="1"/>
      <c r="LZ2433" s="1"/>
    </row>
    <row r="2434" spans="4:338" ht="13" x14ac:dyDescent="0.15">
      <c r="D2434" s="12"/>
      <c r="E2434" s="12"/>
      <c r="I2434" s="12"/>
      <c r="J2434" s="13"/>
      <c r="BM2434" s="1"/>
      <c r="BN2434" s="1"/>
      <c r="CM2434" s="4"/>
      <c r="ED2434" s="1"/>
      <c r="EL2434" s="1"/>
      <c r="EM2434" s="1"/>
      <c r="EN2434" s="1"/>
      <c r="EQ2434" s="1"/>
      <c r="ER2434" s="1"/>
      <c r="ES2434" s="1"/>
      <c r="EV2434" s="1"/>
      <c r="EW2434" s="1"/>
      <c r="EZ2434" s="1"/>
      <c r="IS2434" s="1"/>
      <c r="IZ2434" s="1"/>
      <c r="JJ2434" s="1"/>
      <c r="JP2434" s="1"/>
      <c r="JQ2434" s="1"/>
      <c r="LZ2434" s="1"/>
    </row>
    <row r="2435" spans="4:338" ht="13" x14ac:dyDescent="0.15">
      <c r="D2435" s="12"/>
      <c r="E2435" s="12"/>
      <c r="I2435" s="12"/>
      <c r="J2435" s="13"/>
      <c r="BG2435" s="1"/>
      <c r="BH2435" s="1"/>
      <c r="BI2435" s="1"/>
      <c r="BK2435" s="1"/>
      <c r="BL2435" s="1"/>
      <c r="BM2435" s="1"/>
      <c r="BN2435" s="1"/>
      <c r="BO2435" s="1"/>
      <c r="CD2435" s="1"/>
      <c r="CM2435" s="2"/>
      <c r="ED2435" s="1"/>
      <c r="EL2435" s="1"/>
      <c r="EM2435" s="1"/>
      <c r="EN2435" s="1"/>
      <c r="EQ2435" s="1"/>
      <c r="ER2435" s="1"/>
      <c r="ES2435" s="1"/>
      <c r="EV2435" s="1"/>
      <c r="EW2435" s="1"/>
      <c r="EZ2435" s="1"/>
      <c r="HY2435" s="1"/>
      <c r="IS2435" s="1"/>
      <c r="IZ2435" s="1"/>
      <c r="JJ2435" s="1"/>
      <c r="JP2435" s="1"/>
      <c r="JQ2435" s="1"/>
    </row>
    <row r="2436" spans="4:338" ht="13" x14ac:dyDescent="0.15">
      <c r="D2436" s="12"/>
      <c r="E2436" s="12"/>
      <c r="I2436" s="12"/>
      <c r="J2436" s="13"/>
      <c r="BM2436" s="1"/>
      <c r="BN2436" s="1"/>
      <c r="CM2436" s="2"/>
      <c r="ED2436" s="1"/>
      <c r="EL2436" s="1"/>
      <c r="EM2436" s="1"/>
      <c r="EN2436" s="1"/>
      <c r="EQ2436" s="1"/>
      <c r="ER2436" s="1"/>
      <c r="ES2436" s="1"/>
      <c r="EV2436" s="1"/>
      <c r="EW2436" s="1"/>
      <c r="EZ2436" s="1"/>
      <c r="IS2436" s="1"/>
      <c r="IZ2436" s="1"/>
      <c r="JJ2436" s="1"/>
      <c r="JP2436" s="1"/>
      <c r="JQ2436" s="1"/>
      <c r="LZ2436" s="1"/>
    </row>
    <row r="2437" spans="4:338" ht="13" x14ac:dyDescent="0.15">
      <c r="D2437" s="12"/>
      <c r="E2437" s="12"/>
      <c r="I2437" s="12"/>
      <c r="J2437" s="13"/>
      <c r="BM2437" s="1"/>
      <c r="BN2437" s="1"/>
      <c r="CM2437" s="2"/>
      <c r="ED2437" s="1"/>
      <c r="EL2437" s="1"/>
      <c r="EM2437" s="1"/>
      <c r="EN2437" s="1"/>
      <c r="EQ2437" s="1"/>
      <c r="ER2437" s="1"/>
      <c r="ES2437" s="1"/>
      <c r="EV2437" s="1"/>
      <c r="EW2437" s="1"/>
      <c r="EZ2437" s="1"/>
      <c r="IS2437" s="1"/>
      <c r="IZ2437" s="1"/>
      <c r="JJ2437" s="1"/>
      <c r="JP2437" s="1"/>
      <c r="JQ2437" s="1"/>
      <c r="LZ2437" s="1"/>
    </row>
    <row r="2438" spans="4:338" ht="13" x14ac:dyDescent="0.15">
      <c r="D2438" s="12"/>
      <c r="E2438" s="12"/>
      <c r="I2438" s="12"/>
      <c r="J2438" s="13"/>
      <c r="BG2438" s="1"/>
      <c r="BH2438" s="1"/>
      <c r="BI2438" s="1"/>
      <c r="BJ2438" s="1"/>
      <c r="BK2438" s="1"/>
      <c r="BL2438" s="1"/>
      <c r="BM2438" s="1"/>
      <c r="BN2438" s="1"/>
      <c r="BO2438" s="1"/>
      <c r="CD2438" s="1"/>
      <c r="CM2438" s="2"/>
      <c r="ED2438" s="1"/>
      <c r="EL2438" s="1"/>
      <c r="EM2438" s="1"/>
      <c r="EN2438" s="1"/>
      <c r="EQ2438" s="1"/>
      <c r="ER2438" s="1"/>
      <c r="ES2438" s="1"/>
      <c r="EV2438" s="1"/>
      <c r="EW2438" s="1"/>
      <c r="EZ2438" s="1"/>
      <c r="IS2438" s="1"/>
      <c r="IZ2438" s="1"/>
      <c r="JJ2438" s="1"/>
      <c r="JP2438" s="1"/>
      <c r="JQ2438" s="1"/>
    </row>
    <row r="2439" spans="4:338" ht="13" x14ac:dyDescent="0.15">
      <c r="D2439" s="12"/>
      <c r="E2439" s="12"/>
      <c r="I2439" s="12"/>
      <c r="J2439" s="13"/>
      <c r="BG2439" s="1"/>
      <c r="BH2439" s="1"/>
      <c r="BI2439" s="1"/>
      <c r="BJ2439" s="1"/>
      <c r="BK2439" s="1"/>
      <c r="BL2439" s="1"/>
      <c r="BM2439" s="1"/>
      <c r="BN2439" s="1"/>
      <c r="CD2439" s="1"/>
      <c r="CM2439" s="2"/>
      <c r="ED2439" s="1"/>
      <c r="EL2439" s="1"/>
      <c r="EM2439" s="1"/>
      <c r="EN2439" s="1"/>
      <c r="EQ2439" s="1"/>
      <c r="ER2439" s="1"/>
      <c r="ES2439" s="1"/>
      <c r="EV2439" s="1"/>
      <c r="EW2439" s="1"/>
      <c r="EZ2439" s="1"/>
      <c r="IS2439" s="1"/>
      <c r="IZ2439" s="1"/>
      <c r="JJ2439" s="1"/>
      <c r="JP2439" s="1"/>
      <c r="JQ2439" s="1"/>
    </row>
    <row r="2440" spans="4:338" ht="13" x14ac:dyDescent="0.15">
      <c r="D2440" s="12"/>
      <c r="E2440" s="12"/>
      <c r="I2440" s="12"/>
      <c r="J2440" s="13"/>
      <c r="BG2440" s="1"/>
      <c r="BH2440" s="1"/>
      <c r="BI2440" s="1"/>
      <c r="BJ2440" s="1"/>
      <c r="BK2440" s="1"/>
      <c r="BL2440" s="1"/>
      <c r="BM2440" s="1"/>
      <c r="BN2440" s="1"/>
      <c r="CD2440" s="1"/>
      <c r="CM2440" s="2"/>
      <c r="ED2440" s="1"/>
      <c r="EL2440" s="1"/>
      <c r="EM2440" s="1"/>
      <c r="EN2440" s="1"/>
      <c r="EQ2440" s="1"/>
      <c r="ER2440" s="1"/>
      <c r="ES2440" s="1"/>
      <c r="EV2440" s="1"/>
      <c r="EW2440" s="1"/>
      <c r="EZ2440" s="1"/>
      <c r="IS2440" s="1"/>
      <c r="IZ2440" s="1"/>
      <c r="JJ2440" s="1"/>
      <c r="JP2440" s="1"/>
      <c r="JQ2440" s="1"/>
    </row>
    <row r="2441" spans="4:338" ht="13" x14ac:dyDescent="0.15">
      <c r="D2441" s="12"/>
      <c r="E2441" s="12"/>
      <c r="I2441" s="12"/>
      <c r="J2441" s="13"/>
      <c r="BG2441" s="1"/>
      <c r="BH2441" s="1"/>
      <c r="BI2441" s="1"/>
      <c r="BJ2441" s="1"/>
      <c r="BK2441" s="1"/>
      <c r="BL2441" s="1"/>
      <c r="BM2441" s="1"/>
      <c r="BN2441" s="1"/>
      <c r="CD2441" s="1"/>
      <c r="CM2441" s="2"/>
      <c r="ED2441" s="1"/>
      <c r="EL2441" s="1"/>
      <c r="EM2441" s="1"/>
      <c r="EN2441" s="1"/>
      <c r="EQ2441" s="1"/>
      <c r="ER2441" s="1"/>
      <c r="ES2441" s="1"/>
      <c r="EV2441" s="1"/>
      <c r="EW2441" s="1"/>
      <c r="EZ2441" s="1"/>
      <c r="IS2441" s="1"/>
      <c r="IZ2441" s="1"/>
      <c r="JJ2441" s="1"/>
      <c r="JP2441" s="1"/>
      <c r="JQ2441" s="1"/>
    </row>
    <row r="2442" spans="4:338" ht="13" x14ac:dyDescent="0.15">
      <c r="D2442" s="12"/>
      <c r="E2442" s="12"/>
      <c r="I2442" s="12"/>
      <c r="J2442" s="13"/>
      <c r="BG2442" s="1"/>
      <c r="BH2442" s="1"/>
      <c r="BI2442" s="1"/>
      <c r="BJ2442" s="1"/>
      <c r="BK2442" s="1"/>
      <c r="BL2442" s="1"/>
      <c r="BM2442" s="1"/>
      <c r="BN2442" s="1"/>
      <c r="CD2442" s="1"/>
      <c r="CM2442" s="2"/>
      <c r="ED2442" s="1"/>
      <c r="EL2442" s="1"/>
      <c r="EM2442" s="1"/>
      <c r="EN2442" s="1"/>
      <c r="EQ2442" s="1"/>
      <c r="ER2442" s="1"/>
      <c r="ES2442" s="1"/>
      <c r="EV2442" s="1"/>
      <c r="EW2442" s="1"/>
      <c r="EZ2442" s="1"/>
      <c r="IS2442" s="1"/>
      <c r="IZ2442" s="1"/>
      <c r="JJ2442" s="1"/>
      <c r="JP2442" s="1"/>
      <c r="JQ2442" s="1"/>
    </row>
    <row r="2443" spans="4:338" ht="13" x14ac:dyDescent="0.15">
      <c r="D2443" s="12"/>
      <c r="E2443" s="12"/>
      <c r="I2443" s="12"/>
      <c r="J2443" s="13"/>
      <c r="BG2443" s="1"/>
      <c r="BH2443" s="1"/>
      <c r="BN2443" s="1"/>
      <c r="BO2443" s="1"/>
      <c r="CD2443" s="1"/>
      <c r="CM2443" s="2"/>
      <c r="ED2443" s="1"/>
      <c r="EL2443" s="1"/>
      <c r="EM2443" s="1"/>
      <c r="EN2443" s="1"/>
      <c r="EQ2443" s="1"/>
      <c r="ER2443" s="1"/>
      <c r="ES2443" s="1"/>
      <c r="EV2443" s="1"/>
      <c r="EW2443" s="1"/>
      <c r="EZ2443" s="1"/>
      <c r="IS2443" s="1"/>
      <c r="IZ2443" s="1"/>
      <c r="JJ2443" s="1"/>
      <c r="JP2443" s="1"/>
      <c r="JQ2443" s="1"/>
    </row>
    <row r="2444" spans="4:338" ht="13" x14ac:dyDescent="0.15">
      <c r="D2444" s="12"/>
      <c r="E2444" s="12"/>
      <c r="I2444" s="12"/>
      <c r="J2444" s="13"/>
      <c r="BM2444" s="1"/>
      <c r="BN2444" s="1"/>
      <c r="CM2444" s="2"/>
      <c r="ED2444" s="1"/>
      <c r="EL2444" s="1"/>
      <c r="EM2444" s="1"/>
      <c r="EN2444" s="1"/>
      <c r="EQ2444" s="1"/>
      <c r="ER2444" s="1"/>
      <c r="ES2444" s="1"/>
      <c r="EV2444" s="1"/>
      <c r="EW2444" s="1"/>
      <c r="EZ2444" s="1"/>
      <c r="IS2444" s="1"/>
      <c r="IZ2444" s="1"/>
      <c r="JJ2444" s="1"/>
      <c r="JP2444" s="1"/>
      <c r="JQ2444" s="1"/>
      <c r="LZ2444" s="1"/>
    </row>
    <row r="2445" spans="4:338" ht="13" x14ac:dyDescent="0.15">
      <c r="D2445" s="12"/>
      <c r="E2445" s="12"/>
      <c r="I2445" s="12"/>
      <c r="J2445" s="13"/>
      <c r="BG2445" s="1"/>
      <c r="BH2445" s="1"/>
      <c r="BM2445" s="1"/>
      <c r="BN2445" s="1"/>
      <c r="CD2445" s="1"/>
      <c r="CM2445" s="2"/>
      <c r="ED2445" s="1"/>
      <c r="EL2445" s="1"/>
      <c r="EM2445" s="1"/>
      <c r="EN2445" s="1"/>
      <c r="EQ2445" s="1"/>
      <c r="ER2445" s="1"/>
      <c r="ES2445" s="1"/>
      <c r="EV2445" s="1"/>
      <c r="EW2445" s="1"/>
      <c r="EZ2445" s="1"/>
      <c r="IS2445" s="1"/>
      <c r="IZ2445" s="1"/>
      <c r="JJ2445" s="1"/>
      <c r="JP2445" s="1"/>
      <c r="JQ2445" s="1"/>
      <c r="LZ2445" s="1"/>
    </row>
    <row r="2446" spans="4:338" ht="13" x14ac:dyDescent="0.15">
      <c r="D2446" s="12"/>
      <c r="E2446" s="12"/>
      <c r="I2446" s="12"/>
      <c r="J2446" s="13"/>
      <c r="BG2446" s="1"/>
      <c r="BH2446" s="1"/>
      <c r="BM2446" s="1"/>
      <c r="BN2446" s="1"/>
      <c r="CD2446" s="1"/>
      <c r="CM2446" s="2"/>
      <c r="ED2446" s="1"/>
      <c r="EL2446" s="1"/>
      <c r="EM2446" s="1"/>
      <c r="EN2446" s="1"/>
      <c r="EQ2446" s="1"/>
      <c r="ER2446" s="1"/>
      <c r="ES2446" s="1"/>
      <c r="EV2446" s="1"/>
      <c r="EW2446" s="1"/>
      <c r="EZ2446" s="1"/>
      <c r="IS2446" s="1"/>
      <c r="IZ2446" s="1"/>
      <c r="JJ2446" s="1"/>
      <c r="JP2446" s="1"/>
      <c r="JQ2446" s="1"/>
      <c r="LZ2446" s="1"/>
    </row>
    <row r="2447" spans="4:338" ht="13" x14ac:dyDescent="0.15">
      <c r="D2447" s="12"/>
      <c r="E2447" s="12"/>
      <c r="I2447" s="12"/>
      <c r="J2447" s="13"/>
      <c r="BM2447" s="1"/>
      <c r="BN2447" s="1"/>
      <c r="CM2447" s="2"/>
      <c r="ED2447" s="1"/>
      <c r="EL2447" s="1"/>
      <c r="EM2447" s="1"/>
      <c r="EN2447" s="1"/>
      <c r="EQ2447" s="1"/>
      <c r="ER2447" s="1"/>
      <c r="ES2447" s="1"/>
      <c r="EV2447" s="1"/>
      <c r="EW2447" s="1"/>
      <c r="EZ2447" s="1"/>
      <c r="IS2447" s="1"/>
      <c r="IZ2447" s="1"/>
      <c r="JJ2447" s="1"/>
      <c r="JP2447" s="1"/>
      <c r="JQ2447" s="1"/>
      <c r="LZ2447" s="1"/>
    </row>
    <row r="2448" spans="4:338" ht="13" x14ac:dyDescent="0.15">
      <c r="D2448" s="12"/>
      <c r="E2448" s="12"/>
      <c r="I2448" s="12"/>
      <c r="J2448" s="13"/>
      <c r="BG2448" s="1"/>
      <c r="BH2448" s="1"/>
      <c r="BI2448" s="1"/>
      <c r="BK2448" s="1"/>
      <c r="BL2448" s="1"/>
      <c r="BM2448" s="1"/>
      <c r="BN2448" s="1"/>
      <c r="BO2448" s="1"/>
      <c r="CD2448" s="1"/>
      <c r="CM2448" s="2"/>
      <c r="ED2448" s="1"/>
      <c r="EL2448" s="1"/>
      <c r="EM2448" s="1"/>
      <c r="EN2448" s="1"/>
      <c r="EQ2448" s="1"/>
      <c r="ER2448" s="1"/>
      <c r="ES2448" s="1"/>
      <c r="EV2448" s="1"/>
      <c r="EW2448" s="1"/>
      <c r="EZ2448" s="1"/>
      <c r="HY2448" s="1"/>
      <c r="IS2448" s="1"/>
      <c r="IZ2448" s="1"/>
      <c r="JJ2448" s="1"/>
      <c r="JP2448" s="1"/>
      <c r="JQ2448" s="1"/>
    </row>
    <row r="2449" spans="4:339" ht="13" x14ac:dyDescent="0.15">
      <c r="D2449" s="12"/>
      <c r="E2449" s="12"/>
      <c r="I2449" s="12"/>
      <c r="J2449" s="13"/>
      <c r="BM2449" s="1"/>
      <c r="BN2449" s="1"/>
      <c r="CM2449" s="2"/>
      <c r="ED2449" s="1"/>
      <c r="EL2449" s="1"/>
      <c r="EM2449" s="1"/>
      <c r="EN2449" s="1"/>
      <c r="EQ2449" s="1"/>
      <c r="ER2449" s="1"/>
      <c r="ES2449" s="1"/>
      <c r="EV2449" s="1"/>
      <c r="EW2449" s="1"/>
      <c r="EZ2449" s="1"/>
      <c r="IS2449" s="1"/>
      <c r="IZ2449" s="1"/>
      <c r="JJ2449" s="1"/>
      <c r="JP2449" s="1"/>
      <c r="JQ2449" s="1"/>
      <c r="LZ2449" s="1"/>
    </row>
    <row r="2450" spans="4:339" ht="13" x14ac:dyDescent="0.15">
      <c r="D2450" s="12"/>
      <c r="E2450" s="12"/>
      <c r="I2450" s="12"/>
      <c r="J2450" s="13"/>
      <c r="BG2450" s="1"/>
      <c r="BH2450" s="1"/>
      <c r="BI2450" s="1"/>
      <c r="BK2450" s="1"/>
      <c r="BL2450" s="1"/>
      <c r="BM2450" s="1"/>
      <c r="BN2450" s="1"/>
      <c r="BO2450" s="1"/>
      <c r="CC2450" s="1"/>
      <c r="CD2450" s="1"/>
      <c r="CM2450" s="2"/>
      <c r="ED2450" s="1"/>
      <c r="EL2450" s="1"/>
      <c r="EM2450" s="1"/>
      <c r="EN2450" s="1"/>
      <c r="EQ2450" s="1"/>
      <c r="ER2450" s="1"/>
      <c r="ES2450" s="1"/>
      <c r="EV2450" s="1"/>
      <c r="EW2450" s="1"/>
      <c r="EZ2450" s="1"/>
      <c r="HY2450" s="1"/>
      <c r="IS2450" s="1"/>
      <c r="IZ2450" s="1"/>
      <c r="JJ2450" s="1"/>
      <c r="JP2450" s="1"/>
      <c r="JQ2450" s="1"/>
    </row>
    <row r="2451" spans="4:339" ht="13" x14ac:dyDescent="0.15">
      <c r="D2451" s="12"/>
      <c r="E2451" s="12"/>
      <c r="I2451" s="12"/>
      <c r="J2451" s="13"/>
      <c r="BG2451" s="1"/>
      <c r="BH2451" s="1"/>
      <c r="BI2451" s="1"/>
      <c r="BK2451" s="1"/>
      <c r="BL2451" s="1"/>
      <c r="BM2451" s="1"/>
      <c r="BN2451" s="1"/>
      <c r="BP2451" s="1"/>
      <c r="CD2451" s="1"/>
      <c r="CM2451" s="4"/>
      <c r="CP2451" s="1"/>
      <c r="CQ2451" s="1"/>
      <c r="CX2451" s="1"/>
      <c r="CY2451" s="1"/>
      <c r="CZ2451" s="1"/>
      <c r="DA2451" s="1"/>
      <c r="DB2451" s="1"/>
      <c r="DC2451" s="1"/>
      <c r="DD2451" s="1"/>
      <c r="DE2451" s="1"/>
      <c r="DF2451" s="1"/>
      <c r="DG2451" s="1"/>
      <c r="DH2451" s="1"/>
      <c r="DI2451" s="1"/>
      <c r="DJ2451" s="1"/>
      <c r="DK2451" s="1"/>
      <c r="ED2451" s="1"/>
      <c r="EK2451" s="1"/>
      <c r="EL2451" s="1"/>
      <c r="EM2451" s="1"/>
      <c r="EN2451" s="1"/>
      <c r="EQ2451" s="1"/>
      <c r="ER2451" s="1"/>
      <c r="ES2451" s="1"/>
      <c r="EV2451" s="1"/>
      <c r="EW2451" s="1"/>
      <c r="EZ2451" s="1"/>
      <c r="HY2451" s="1"/>
      <c r="IE2451" s="1"/>
      <c r="IS2451" s="1"/>
      <c r="IZ2451" s="1"/>
      <c r="JJ2451" s="1"/>
      <c r="JP2451" s="1"/>
      <c r="JQ2451" s="1"/>
      <c r="LZ2451" s="1"/>
      <c r="MA2451" s="1"/>
    </row>
    <row r="2452" spans="4:339" ht="13" x14ac:dyDescent="0.15">
      <c r="D2452" s="12"/>
      <c r="E2452" s="12"/>
      <c r="I2452" s="12"/>
      <c r="J2452" s="13"/>
      <c r="BG2452" s="1"/>
      <c r="BH2452" s="1"/>
      <c r="BI2452" s="1"/>
      <c r="BJ2452" s="1"/>
      <c r="BK2452" s="1"/>
      <c r="BL2452" s="1"/>
      <c r="BM2452" s="1"/>
      <c r="BN2452" s="1"/>
      <c r="CD2452" s="1"/>
      <c r="CM2452" s="4"/>
      <c r="ED2452" s="1"/>
      <c r="EL2452" s="1"/>
      <c r="EM2452" s="1"/>
      <c r="EN2452" s="1"/>
      <c r="EQ2452" s="1"/>
      <c r="ER2452" s="1"/>
      <c r="ES2452" s="1"/>
      <c r="EV2452" s="1"/>
      <c r="EW2452" s="1"/>
      <c r="EZ2452" s="1"/>
      <c r="IS2452" s="1"/>
      <c r="IZ2452" s="1"/>
      <c r="JJ2452" s="1"/>
      <c r="JP2452" s="1"/>
      <c r="JQ2452" s="1"/>
    </row>
    <row r="2453" spans="4:339" ht="13" x14ac:dyDescent="0.15">
      <c r="D2453" s="12"/>
      <c r="E2453" s="12"/>
      <c r="I2453" s="12"/>
      <c r="J2453" s="13"/>
      <c r="BG2453" s="1"/>
      <c r="BH2453" s="1"/>
      <c r="BI2453" s="1"/>
      <c r="BK2453" s="1"/>
      <c r="BM2453" s="1"/>
      <c r="BN2453" s="1"/>
      <c r="CD2453" s="1"/>
      <c r="CM2453" s="4"/>
      <c r="ED2453" s="1"/>
      <c r="EL2453" s="1"/>
      <c r="EM2453" s="1"/>
      <c r="EN2453" s="1"/>
      <c r="EQ2453" s="1"/>
      <c r="ER2453" s="1"/>
      <c r="ES2453" s="1"/>
      <c r="EV2453" s="1"/>
      <c r="EW2453" s="1"/>
      <c r="EZ2453" s="1"/>
      <c r="IS2453" s="1"/>
      <c r="IZ2453" s="1"/>
      <c r="JJ2453" s="1"/>
      <c r="JP2453" s="1"/>
      <c r="JQ2453" s="1"/>
      <c r="LZ2453" s="1"/>
    </row>
    <row r="2454" spans="4:339" ht="13" x14ac:dyDescent="0.15">
      <c r="D2454" s="12"/>
      <c r="E2454" s="12"/>
      <c r="I2454" s="12"/>
      <c r="J2454" s="13"/>
      <c r="BM2454" s="1"/>
      <c r="BN2454" s="1"/>
      <c r="CM2454" s="4"/>
      <c r="ED2454" s="1"/>
      <c r="EL2454" s="1"/>
      <c r="EM2454" s="1"/>
      <c r="EN2454" s="1"/>
      <c r="EQ2454" s="1"/>
      <c r="ER2454" s="1"/>
      <c r="ES2454" s="1"/>
      <c r="EV2454" s="1"/>
      <c r="EW2454" s="1"/>
      <c r="EZ2454" s="1"/>
      <c r="IS2454" s="1"/>
      <c r="IZ2454" s="1"/>
      <c r="JJ2454" s="1"/>
      <c r="JP2454" s="1"/>
      <c r="JQ2454" s="1"/>
      <c r="LZ2454" s="1"/>
    </row>
    <row r="2455" spans="4:339" ht="13" x14ac:dyDescent="0.15">
      <c r="D2455" s="12"/>
      <c r="E2455" s="12"/>
      <c r="I2455" s="12"/>
      <c r="J2455" s="13"/>
      <c r="BG2455" s="1"/>
      <c r="BH2455" s="1"/>
      <c r="BI2455" s="1"/>
      <c r="BJ2455" s="1"/>
      <c r="BK2455" s="1"/>
      <c r="BL2455" s="1"/>
      <c r="BM2455" s="1"/>
      <c r="BN2455" s="1"/>
      <c r="CD2455" s="1"/>
      <c r="CM2455" s="4"/>
      <c r="ED2455" s="1"/>
      <c r="EL2455" s="1"/>
      <c r="EM2455" s="1"/>
      <c r="EN2455" s="1"/>
      <c r="EQ2455" s="1"/>
      <c r="ER2455" s="1"/>
      <c r="ES2455" s="1"/>
      <c r="EV2455" s="1"/>
      <c r="EW2455" s="1"/>
      <c r="EZ2455" s="1"/>
      <c r="IS2455" s="1"/>
      <c r="IZ2455" s="1"/>
      <c r="JJ2455" s="1"/>
      <c r="JP2455" s="1"/>
      <c r="JQ2455" s="1"/>
    </row>
    <row r="2456" spans="4:339" ht="13" x14ac:dyDescent="0.15">
      <c r="D2456" s="12"/>
      <c r="E2456" s="12"/>
      <c r="I2456" s="12"/>
      <c r="J2456" s="13"/>
      <c r="BG2456" s="1"/>
      <c r="BH2456" s="1"/>
      <c r="BN2456" s="1"/>
      <c r="CD2456" s="1"/>
      <c r="CM2456" s="4"/>
      <c r="ED2456" s="1"/>
      <c r="EL2456" s="1"/>
      <c r="EM2456" s="1"/>
      <c r="EN2456" s="1"/>
      <c r="EQ2456" s="1"/>
      <c r="ER2456" s="1"/>
      <c r="ES2456" s="1"/>
      <c r="EV2456" s="1"/>
      <c r="EW2456" s="1"/>
      <c r="EZ2456" s="1"/>
      <c r="IS2456" s="1"/>
      <c r="IZ2456" s="1"/>
      <c r="JJ2456" s="1"/>
      <c r="JP2456" s="1"/>
      <c r="JQ2456" s="1"/>
    </row>
    <row r="2457" spans="4:339" ht="13" x14ac:dyDescent="0.15">
      <c r="D2457" s="12"/>
      <c r="E2457" s="12"/>
      <c r="I2457" s="12"/>
      <c r="J2457" s="13"/>
      <c r="BM2457" s="1"/>
      <c r="BN2457" s="1"/>
      <c r="CM2457" s="4"/>
      <c r="ED2457" s="1"/>
      <c r="EL2457" s="1"/>
      <c r="EM2457" s="1"/>
      <c r="EN2457" s="1"/>
      <c r="EQ2457" s="1"/>
      <c r="ER2457" s="1"/>
      <c r="ES2457" s="1"/>
      <c r="EV2457" s="1"/>
      <c r="EW2457" s="1"/>
      <c r="EZ2457" s="1"/>
      <c r="IS2457" s="1"/>
      <c r="IZ2457" s="1"/>
      <c r="JJ2457" s="1"/>
      <c r="JP2457" s="1"/>
      <c r="JQ2457" s="1"/>
      <c r="LZ2457" s="1"/>
    </row>
    <row r="2458" spans="4:339" ht="13" x14ac:dyDescent="0.15">
      <c r="D2458" s="12"/>
      <c r="E2458" s="12"/>
      <c r="I2458" s="12"/>
      <c r="J2458" s="13"/>
      <c r="BG2458" s="1"/>
      <c r="BH2458" s="1"/>
      <c r="BI2458" s="1"/>
      <c r="BJ2458" s="1"/>
      <c r="BK2458" s="1"/>
      <c r="BL2458" s="1"/>
      <c r="BM2458" s="1"/>
      <c r="BN2458" s="1"/>
      <c r="BO2458" s="1"/>
      <c r="BP2458" s="1"/>
      <c r="CD2458" s="1"/>
      <c r="CE2458" s="1"/>
      <c r="CF2458" s="1"/>
      <c r="CG2458" s="1"/>
      <c r="CM2458" s="4"/>
      <c r="CP2458" s="1"/>
      <c r="CQ2458" s="1"/>
      <c r="CS2458" s="1"/>
      <c r="CT2458" s="1"/>
      <c r="CU2458" s="1"/>
      <c r="CV2458" s="1"/>
      <c r="CW2458" s="1"/>
      <c r="CX2458" s="1"/>
      <c r="CY2458" s="1"/>
      <c r="CZ2458" s="1"/>
      <c r="DA2458" s="1"/>
      <c r="DB2458" s="1"/>
      <c r="DC2458" s="1"/>
      <c r="DD2458" s="1"/>
      <c r="DE2458" s="1"/>
      <c r="DF2458" s="1"/>
      <c r="DG2458" s="1"/>
      <c r="DH2458" s="1"/>
      <c r="DI2458" s="1"/>
      <c r="DJ2458" s="1"/>
      <c r="DK2458" s="1"/>
      <c r="ED2458" s="1"/>
      <c r="EK2458" s="1"/>
      <c r="EL2458" s="1"/>
      <c r="EM2458" s="1"/>
      <c r="EN2458" s="1"/>
      <c r="EQ2458" s="1"/>
      <c r="ER2458" s="1"/>
      <c r="ES2458" s="1"/>
      <c r="EV2458" s="1"/>
      <c r="EW2458" s="1"/>
      <c r="EZ2458" s="1"/>
      <c r="HY2458" s="1"/>
      <c r="IE2458" s="1"/>
      <c r="IR2458" s="1"/>
      <c r="IS2458" s="1"/>
      <c r="IZ2458" s="1"/>
      <c r="JJ2458" s="1"/>
      <c r="JP2458" s="1"/>
      <c r="JQ2458" s="1"/>
      <c r="LZ2458" s="1"/>
      <c r="MA2458" s="1"/>
    </row>
    <row r="2459" spans="4:339" ht="13" x14ac:dyDescent="0.15">
      <c r="D2459" s="12"/>
      <c r="E2459" s="12"/>
      <c r="I2459" s="12"/>
      <c r="J2459" s="13"/>
      <c r="BG2459" s="1"/>
      <c r="BH2459" s="1"/>
      <c r="BM2459" s="1"/>
      <c r="BN2459" s="1"/>
      <c r="CD2459" s="1"/>
      <c r="CK2459" s="1"/>
      <c r="CM2459" s="4"/>
      <c r="ED2459" s="1"/>
      <c r="EL2459" s="1"/>
      <c r="EM2459" s="1"/>
      <c r="EN2459" s="1"/>
      <c r="EQ2459" s="1"/>
      <c r="ER2459" s="1"/>
      <c r="ES2459" s="1"/>
      <c r="EV2459" s="1"/>
      <c r="EW2459" s="1"/>
      <c r="EZ2459" s="1"/>
      <c r="IS2459" s="1"/>
      <c r="IZ2459" s="1"/>
      <c r="JJ2459" s="1"/>
      <c r="JP2459" s="1"/>
      <c r="JQ2459" s="1"/>
    </row>
    <row r="2460" spans="4:339" ht="13" x14ac:dyDescent="0.15">
      <c r="D2460" s="12"/>
      <c r="E2460" s="12"/>
      <c r="I2460" s="12"/>
      <c r="J2460" s="13"/>
      <c r="BG2460" s="1"/>
      <c r="BH2460" s="1"/>
      <c r="BM2460" s="1"/>
      <c r="BN2460" s="1"/>
      <c r="CD2460" s="1"/>
      <c r="CK2460" s="1"/>
      <c r="CM2460" s="4"/>
      <c r="ED2460" s="1"/>
      <c r="EL2460" s="1"/>
      <c r="EM2460" s="1"/>
      <c r="EN2460" s="1"/>
      <c r="EQ2460" s="1"/>
      <c r="ER2460" s="1"/>
      <c r="ES2460" s="1"/>
      <c r="EV2460" s="1"/>
      <c r="EW2460" s="1"/>
      <c r="EZ2460" s="1"/>
      <c r="IS2460" s="1"/>
      <c r="IZ2460" s="1"/>
      <c r="JJ2460" s="1"/>
      <c r="JP2460" s="1"/>
      <c r="JQ2460" s="1"/>
    </row>
    <row r="2461" spans="4:339" ht="13" x14ac:dyDescent="0.15">
      <c r="D2461" s="12"/>
      <c r="E2461" s="12"/>
      <c r="I2461" s="12"/>
      <c r="J2461" s="13"/>
      <c r="BG2461" s="1"/>
      <c r="BH2461" s="1"/>
      <c r="BM2461" s="1"/>
      <c r="BN2461" s="1"/>
      <c r="CD2461" s="1"/>
      <c r="CK2461" s="1"/>
      <c r="CM2461" s="4"/>
      <c r="ED2461" s="1"/>
      <c r="EL2461" s="1"/>
      <c r="EM2461" s="1"/>
      <c r="EN2461" s="1"/>
      <c r="EQ2461" s="1"/>
      <c r="ER2461" s="1"/>
      <c r="ES2461" s="1"/>
      <c r="EV2461" s="1"/>
      <c r="EW2461" s="1"/>
      <c r="EZ2461" s="1"/>
      <c r="IS2461" s="1"/>
      <c r="IZ2461" s="1"/>
      <c r="JJ2461" s="1"/>
      <c r="JP2461" s="1"/>
      <c r="JQ2461" s="1"/>
    </row>
    <row r="2462" spans="4:339" ht="13" x14ac:dyDescent="0.15">
      <c r="D2462" s="12"/>
      <c r="E2462" s="12"/>
      <c r="I2462" s="12"/>
      <c r="J2462" s="13"/>
      <c r="BM2462" s="1"/>
      <c r="BN2462" s="1"/>
      <c r="CM2462" s="4"/>
      <c r="ED2462" s="1"/>
      <c r="EL2462" s="1"/>
      <c r="EM2462" s="1"/>
      <c r="EN2462" s="1"/>
      <c r="EQ2462" s="1"/>
      <c r="ER2462" s="1"/>
      <c r="ES2462" s="1"/>
      <c r="EV2462" s="1"/>
      <c r="EW2462" s="1"/>
      <c r="EZ2462" s="1"/>
      <c r="IS2462" s="1"/>
      <c r="IZ2462" s="1"/>
      <c r="JJ2462" s="1"/>
      <c r="JP2462" s="1"/>
      <c r="JQ2462" s="1"/>
      <c r="LZ2462" s="1"/>
    </row>
    <row r="2463" spans="4:339" ht="13" x14ac:dyDescent="0.15">
      <c r="D2463" s="12"/>
      <c r="E2463" s="12"/>
      <c r="I2463" s="12"/>
      <c r="J2463" s="13"/>
      <c r="BM2463" s="1"/>
      <c r="BN2463" s="1"/>
      <c r="CM2463" s="4"/>
      <c r="ED2463" s="1"/>
      <c r="EL2463" s="1"/>
      <c r="EM2463" s="1"/>
      <c r="EN2463" s="1"/>
      <c r="EQ2463" s="1"/>
      <c r="ER2463" s="1"/>
      <c r="ES2463" s="1"/>
      <c r="EV2463" s="1"/>
      <c r="EW2463" s="1"/>
      <c r="EZ2463" s="1"/>
      <c r="IS2463" s="1"/>
      <c r="IZ2463" s="1"/>
      <c r="JJ2463" s="1"/>
      <c r="JP2463" s="1"/>
      <c r="JQ2463" s="1"/>
      <c r="LZ2463" s="1"/>
    </row>
    <row r="2464" spans="4:339" ht="13" x14ac:dyDescent="0.15">
      <c r="D2464" s="12"/>
      <c r="E2464" s="12"/>
      <c r="I2464" s="12"/>
      <c r="J2464" s="13"/>
      <c r="BM2464" s="1"/>
      <c r="BN2464" s="1"/>
      <c r="CM2464" s="4"/>
      <c r="ED2464" s="1"/>
      <c r="EL2464" s="1"/>
      <c r="EM2464" s="1"/>
      <c r="EN2464" s="1"/>
      <c r="EQ2464" s="1"/>
      <c r="ER2464" s="1"/>
      <c r="ES2464" s="1"/>
      <c r="EV2464" s="1"/>
      <c r="EW2464" s="1"/>
      <c r="EZ2464" s="1"/>
      <c r="IS2464" s="1"/>
      <c r="IZ2464" s="1"/>
      <c r="JJ2464" s="1"/>
      <c r="JP2464" s="1"/>
      <c r="JQ2464" s="1"/>
      <c r="LZ2464" s="1"/>
    </row>
    <row r="2465" spans="4:338" ht="13" x14ac:dyDescent="0.15">
      <c r="D2465" s="12"/>
      <c r="E2465" s="12"/>
      <c r="I2465" s="12"/>
      <c r="J2465" s="13"/>
      <c r="BG2465" s="1"/>
      <c r="BH2465" s="1"/>
      <c r="BM2465" s="1"/>
      <c r="BN2465" s="1"/>
      <c r="CD2465" s="1"/>
      <c r="CM2465" s="4"/>
      <c r="ED2465" s="1"/>
      <c r="EL2465" s="1"/>
      <c r="EM2465" s="1"/>
      <c r="EN2465" s="1"/>
      <c r="EQ2465" s="1"/>
      <c r="ER2465" s="1"/>
      <c r="ES2465" s="1"/>
      <c r="EV2465" s="1"/>
      <c r="EW2465" s="1"/>
      <c r="EZ2465" s="1"/>
      <c r="IS2465" s="1"/>
      <c r="IZ2465" s="1"/>
      <c r="JJ2465" s="1"/>
      <c r="JP2465" s="1"/>
      <c r="JQ2465" s="1"/>
    </row>
    <row r="2466" spans="4:338" ht="13" x14ac:dyDescent="0.15">
      <c r="D2466" s="12"/>
      <c r="E2466" s="12"/>
      <c r="I2466" s="12"/>
      <c r="J2466" s="13"/>
      <c r="BG2466" s="1"/>
      <c r="BH2466" s="1"/>
      <c r="BM2466" s="1"/>
      <c r="BN2466" s="1"/>
      <c r="CD2466" s="1"/>
      <c r="CM2466" s="4"/>
      <c r="ED2466" s="1"/>
      <c r="EL2466" s="1"/>
      <c r="EM2466" s="1"/>
      <c r="EN2466" s="1"/>
      <c r="EQ2466" s="1"/>
      <c r="ER2466" s="1"/>
      <c r="ES2466" s="1"/>
      <c r="EV2466" s="1"/>
      <c r="EW2466" s="1"/>
      <c r="EZ2466" s="1"/>
      <c r="IS2466" s="1"/>
      <c r="IZ2466" s="1"/>
      <c r="JJ2466" s="1"/>
      <c r="JP2466" s="1"/>
      <c r="JQ2466" s="1"/>
    </row>
    <row r="2467" spans="4:338" ht="13" x14ac:dyDescent="0.15">
      <c r="D2467" s="12"/>
      <c r="E2467" s="12"/>
      <c r="I2467" s="12"/>
      <c r="J2467" s="13"/>
      <c r="BG2467" s="1"/>
      <c r="BH2467" s="1"/>
      <c r="BM2467" s="1"/>
      <c r="BN2467" s="1"/>
      <c r="CD2467" s="1"/>
      <c r="CM2467" s="4"/>
      <c r="ED2467" s="1"/>
      <c r="EL2467" s="1"/>
      <c r="EM2467" s="1"/>
      <c r="EN2467" s="1"/>
      <c r="EQ2467" s="1"/>
      <c r="ER2467" s="1"/>
      <c r="ES2467" s="1"/>
      <c r="EV2467" s="1"/>
      <c r="EW2467" s="1"/>
      <c r="EZ2467" s="1"/>
      <c r="IS2467" s="1"/>
      <c r="IZ2467" s="1"/>
      <c r="JJ2467" s="1"/>
      <c r="JP2467" s="1"/>
      <c r="JQ2467" s="1"/>
    </row>
    <row r="2468" spans="4:338" ht="13" x14ac:dyDescent="0.15">
      <c r="D2468" s="12"/>
      <c r="E2468" s="12"/>
      <c r="I2468" s="12"/>
      <c r="J2468" s="13"/>
      <c r="BM2468" s="1"/>
      <c r="BN2468" s="1"/>
      <c r="CM2468" s="2"/>
      <c r="ED2468" s="1"/>
      <c r="EL2468" s="1"/>
      <c r="EM2468" s="1"/>
      <c r="EN2468" s="1"/>
      <c r="EQ2468" s="1"/>
      <c r="ER2468" s="1"/>
      <c r="ES2468" s="1"/>
      <c r="EV2468" s="1"/>
      <c r="EW2468" s="1"/>
      <c r="EZ2468" s="1"/>
      <c r="IS2468" s="1"/>
      <c r="IZ2468" s="1"/>
      <c r="JJ2468" s="1"/>
      <c r="JP2468" s="1"/>
      <c r="JQ2468" s="1"/>
      <c r="LZ2468" s="1"/>
    </row>
    <row r="2469" spans="4:338" ht="13" x14ac:dyDescent="0.15">
      <c r="D2469" s="12"/>
      <c r="E2469" s="12"/>
      <c r="I2469" s="12"/>
      <c r="J2469" s="13"/>
      <c r="BG2469" s="1"/>
      <c r="BH2469" s="1"/>
      <c r="BN2469" s="1"/>
      <c r="BO2469" s="1"/>
      <c r="CD2469" s="1"/>
      <c r="CM2469" s="4"/>
      <c r="ED2469" s="1"/>
      <c r="EL2469" s="1"/>
      <c r="EM2469" s="1"/>
      <c r="EN2469" s="1"/>
      <c r="EQ2469" s="1"/>
      <c r="ER2469" s="1"/>
      <c r="ES2469" s="1"/>
      <c r="EV2469" s="1"/>
      <c r="EW2469" s="1"/>
      <c r="EZ2469" s="1"/>
      <c r="IS2469" s="1"/>
      <c r="IZ2469" s="1"/>
      <c r="JJ2469" s="1"/>
      <c r="JP2469" s="1"/>
      <c r="JQ2469" s="1"/>
    </row>
    <row r="2470" spans="4:338" ht="13" x14ac:dyDescent="0.15">
      <c r="D2470" s="12"/>
      <c r="E2470" s="12"/>
      <c r="I2470" s="12"/>
      <c r="J2470" s="13"/>
      <c r="BM2470" s="1"/>
      <c r="BN2470" s="1"/>
      <c r="CM2470" s="4"/>
      <c r="ED2470" s="1"/>
      <c r="EL2470" s="1"/>
      <c r="EM2470" s="1"/>
      <c r="EN2470" s="1"/>
      <c r="EQ2470" s="1"/>
      <c r="ER2470" s="1"/>
      <c r="ES2470" s="1"/>
      <c r="EV2470" s="1"/>
      <c r="EW2470" s="1"/>
      <c r="EZ2470" s="1"/>
      <c r="IS2470" s="1"/>
      <c r="IZ2470" s="1"/>
      <c r="JJ2470" s="1"/>
      <c r="JP2470" s="1"/>
      <c r="JQ2470" s="1"/>
      <c r="LZ2470" s="1"/>
    </row>
    <row r="2471" spans="4:338" ht="13" x14ac:dyDescent="0.15">
      <c r="D2471" s="12"/>
      <c r="E2471" s="12"/>
      <c r="I2471" s="12"/>
      <c r="J2471" s="13"/>
      <c r="BG2471" s="1"/>
      <c r="BH2471" s="1"/>
      <c r="BI2471" s="1"/>
      <c r="BJ2471" s="1"/>
      <c r="BK2471" s="1"/>
      <c r="BL2471" s="1"/>
      <c r="BM2471" s="1"/>
      <c r="BN2471" s="1"/>
      <c r="CD2471" s="1"/>
      <c r="CM2471" s="4"/>
      <c r="ED2471" s="1"/>
      <c r="EL2471" s="1"/>
      <c r="EM2471" s="1"/>
      <c r="EN2471" s="1"/>
      <c r="EQ2471" s="1"/>
      <c r="ER2471" s="1"/>
      <c r="ES2471" s="1"/>
      <c r="EV2471" s="1"/>
      <c r="EW2471" s="1"/>
      <c r="EZ2471" s="1"/>
      <c r="IS2471" s="1"/>
      <c r="IZ2471" s="1"/>
      <c r="JH2471" s="1"/>
      <c r="JJ2471" s="1"/>
      <c r="JP2471" s="1"/>
      <c r="JQ2471" s="1"/>
      <c r="JU2471" s="1"/>
    </row>
    <row r="2472" spans="4:338" ht="13" x14ac:dyDescent="0.15">
      <c r="D2472" s="12"/>
      <c r="E2472" s="12"/>
      <c r="I2472" s="12"/>
      <c r="J2472" s="13"/>
      <c r="BG2472" s="1"/>
      <c r="BH2472" s="1"/>
      <c r="BI2472" s="1"/>
      <c r="BK2472" s="1"/>
      <c r="BL2472" s="1"/>
      <c r="BM2472" s="1"/>
      <c r="BN2472" s="1"/>
      <c r="BO2472" s="1"/>
      <c r="CD2472" s="1"/>
      <c r="CM2472" s="2"/>
      <c r="ED2472" s="1"/>
      <c r="EL2472" s="1"/>
      <c r="EM2472" s="1"/>
      <c r="EN2472" s="1"/>
      <c r="EQ2472" s="1"/>
      <c r="ER2472" s="1"/>
      <c r="ES2472" s="1"/>
      <c r="EV2472" s="1"/>
      <c r="EW2472" s="1"/>
      <c r="EZ2472" s="1"/>
      <c r="IS2472" s="1"/>
      <c r="IZ2472" s="1"/>
      <c r="JJ2472" s="1"/>
      <c r="JP2472" s="1"/>
      <c r="JQ2472" s="1"/>
    </row>
    <row r="2473" spans="4:338" ht="13" x14ac:dyDescent="0.15">
      <c r="D2473" s="12"/>
      <c r="E2473" s="12"/>
      <c r="I2473" s="12"/>
      <c r="J2473" s="13"/>
      <c r="BM2473" s="1"/>
      <c r="BN2473" s="1"/>
      <c r="CM2473" s="2"/>
      <c r="ED2473" s="1"/>
      <c r="EL2473" s="1"/>
      <c r="EM2473" s="1"/>
      <c r="EN2473" s="1"/>
      <c r="EQ2473" s="1"/>
      <c r="ER2473" s="1"/>
      <c r="ES2473" s="1"/>
      <c r="EV2473" s="1"/>
      <c r="EW2473" s="1"/>
      <c r="EZ2473" s="1"/>
      <c r="IS2473" s="1"/>
      <c r="IZ2473" s="1"/>
      <c r="JJ2473" s="1"/>
      <c r="JP2473" s="1"/>
      <c r="JQ2473" s="1"/>
      <c r="LZ2473" s="1"/>
    </row>
    <row r="2474" spans="4:338" ht="13" x14ac:dyDescent="0.15">
      <c r="D2474" s="12"/>
      <c r="E2474" s="12"/>
      <c r="I2474" s="12"/>
      <c r="J2474" s="13"/>
      <c r="BM2474" s="1"/>
      <c r="BN2474" s="1"/>
      <c r="CM2474" s="2"/>
      <c r="ED2474" s="1"/>
      <c r="EL2474" s="1"/>
      <c r="EM2474" s="1"/>
      <c r="EN2474" s="1"/>
      <c r="EQ2474" s="1"/>
      <c r="ER2474" s="1"/>
      <c r="ES2474" s="1"/>
      <c r="EV2474" s="1"/>
      <c r="EW2474" s="1"/>
      <c r="EZ2474" s="1"/>
      <c r="IS2474" s="1"/>
      <c r="IZ2474" s="1"/>
      <c r="JJ2474" s="1"/>
      <c r="JP2474" s="1"/>
      <c r="JQ2474" s="1"/>
      <c r="LZ2474" s="1"/>
    </row>
    <row r="2475" spans="4:338" ht="13" x14ac:dyDescent="0.15">
      <c r="D2475" s="12"/>
      <c r="E2475" s="12"/>
      <c r="I2475" s="12"/>
      <c r="J2475" s="13"/>
      <c r="BM2475" s="1"/>
      <c r="BN2475" s="1"/>
      <c r="CM2475" s="4"/>
      <c r="ED2475" s="1"/>
      <c r="EL2475" s="1"/>
      <c r="EM2475" s="1"/>
      <c r="EN2475" s="1"/>
      <c r="EQ2475" s="1"/>
      <c r="ER2475" s="1"/>
      <c r="ES2475" s="1"/>
      <c r="EV2475" s="1"/>
      <c r="EW2475" s="1"/>
      <c r="EZ2475" s="1"/>
      <c r="IS2475" s="1"/>
      <c r="IZ2475" s="1"/>
      <c r="JJ2475" s="1"/>
      <c r="JP2475" s="1"/>
      <c r="JQ2475" s="1"/>
      <c r="LZ2475" s="1"/>
    </row>
    <row r="2476" spans="4:338" ht="13" x14ac:dyDescent="0.15">
      <c r="D2476" s="12"/>
      <c r="E2476" s="12"/>
      <c r="I2476" s="12"/>
      <c r="J2476" s="13"/>
      <c r="BG2476" s="1"/>
      <c r="BH2476" s="1"/>
      <c r="BI2476" s="1"/>
      <c r="BK2476" s="1"/>
      <c r="BL2476" s="1"/>
      <c r="BM2476" s="1"/>
      <c r="BN2476" s="1"/>
      <c r="CD2476" s="1"/>
      <c r="CM2476" s="2"/>
      <c r="ED2476" s="1"/>
      <c r="EL2476" s="1"/>
      <c r="EM2476" s="1"/>
      <c r="EN2476" s="1"/>
      <c r="EQ2476" s="1"/>
      <c r="ER2476" s="1"/>
      <c r="ES2476" s="1"/>
      <c r="EV2476" s="1"/>
      <c r="EW2476" s="1"/>
      <c r="EZ2476" s="1"/>
      <c r="IS2476" s="1"/>
      <c r="IY2476" s="1"/>
      <c r="IZ2476" s="1"/>
      <c r="JJ2476" s="1"/>
      <c r="JP2476" s="1"/>
      <c r="JQ2476" s="1"/>
      <c r="LZ2476" s="1"/>
    </row>
    <row r="2477" spans="4:338" ht="13" x14ac:dyDescent="0.15">
      <c r="D2477" s="12"/>
      <c r="E2477" s="12"/>
      <c r="I2477" s="12"/>
      <c r="J2477" s="13"/>
      <c r="BG2477" s="1"/>
      <c r="BH2477" s="1"/>
      <c r="BI2477" s="1"/>
      <c r="BK2477" s="1"/>
      <c r="BL2477" s="1"/>
      <c r="BM2477" s="1"/>
      <c r="BN2477" s="1"/>
      <c r="CD2477" s="1"/>
      <c r="CM2477" s="2"/>
      <c r="ED2477" s="1"/>
      <c r="EL2477" s="1"/>
      <c r="EM2477" s="1"/>
      <c r="EN2477" s="1"/>
      <c r="EQ2477" s="1"/>
      <c r="ER2477" s="1"/>
      <c r="ES2477" s="1"/>
      <c r="EV2477" s="1"/>
      <c r="EW2477" s="1"/>
      <c r="EZ2477" s="1"/>
      <c r="IS2477" s="1"/>
      <c r="IY2477" s="1"/>
      <c r="IZ2477" s="1"/>
      <c r="JJ2477" s="1"/>
      <c r="JP2477" s="1"/>
      <c r="JQ2477" s="1"/>
      <c r="LZ2477" s="1"/>
    </row>
    <row r="2478" spans="4:338" ht="13" x14ac:dyDescent="0.15">
      <c r="D2478" s="12"/>
      <c r="E2478" s="12"/>
      <c r="I2478" s="12"/>
      <c r="J2478" s="13"/>
      <c r="BG2478" s="1"/>
      <c r="BH2478" s="1"/>
      <c r="BI2478" s="1"/>
      <c r="BK2478" s="1"/>
      <c r="BL2478" s="1"/>
      <c r="BM2478" s="1"/>
      <c r="BN2478" s="1"/>
      <c r="CD2478" s="1"/>
      <c r="CM2478" s="2"/>
      <c r="ED2478" s="1"/>
      <c r="EL2478" s="1"/>
      <c r="EM2478" s="1"/>
      <c r="EN2478" s="1"/>
      <c r="EQ2478" s="1"/>
      <c r="ER2478" s="1"/>
      <c r="ES2478" s="1"/>
      <c r="EV2478" s="1"/>
      <c r="EW2478" s="1"/>
      <c r="EZ2478" s="1"/>
      <c r="IS2478" s="1"/>
      <c r="IY2478" s="1"/>
      <c r="IZ2478" s="1"/>
      <c r="JJ2478" s="1"/>
      <c r="JP2478" s="1"/>
      <c r="JQ2478" s="1"/>
      <c r="LZ2478" s="1"/>
    </row>
    <row r="2479" spans="4:338" ht="13" x14ac:dyDescent="0.15">
      <c r="D2479" s="12"/>
      <c r="E2479" s="12"/>
      <c r="I2479" s="12"/>
      <c r="J2479" s="13"/>
      <c r="BG2479" s="1"/>
      <c r="BH2479" s="1"/>
      <c r="BI2479" s="1"/>
      <c r="BK2479" s="1"/>
      <c r="BL2479" s="1"/>
      <c r="BM2479" s="1"/>
      <c r="BN2479" s="1"/>
      <c r="CD2479" s="1"/>
      <c r="CM2479" s="2"/>
      <c r="ED2479" s="1"/>
      <c r="EL2479" s="1"/>
      <c r="EM2479" s="1"/>
      <c r="EN2479" s="1"/>
      <c r="EQ2479" s="1"/>
      <c r="ER2479" s="1"/>
      <c r="ES2479" s="1"/>
      <c r="EV2479" s="1"/>
      <c r="EW2479" s="1"/>
      <c r="EZ2479" s="1"/>
      <c r="IS2479" s="1"/>
      <c r="IY2479" s="1"/>
      <c r="IZ2479" s="1"/>
      <c r="JJ2479" s="1"/>
      <c r="JP2479" s="1"/>
      <c r="JQ2479" s="1"/>
      <c r="LZ2479" s="1"/>
    </row>
    <row r="2480" spans="4:338" ht="13" x14ac:dyDescent="0.15">
      <c r="D2480" s="12"/>
      <c r="E2480" s="12"/>
      <c r="I2480" s="12"/>
      <c r="J2480" s="13"/>
      <c r="BG2480" s="1"/>
      <c r="BH2480" s="1"/>
      <c r="BI2480" s="1"/>
      <c r="BK2480" s="1"/>
      <c r="BL2480" s="1"/>
      <c r="BM2480" s="1"/>
      <c r="BN2480" s="1"/>
      <c r="CD2480" s="1"/>
      <c r="CM2480" s="2"/>
      <c r="ED2480" s="1"/>
      <c r="EL2480" s="1"/>
      <c r="EM2480" s="1"/>
      <c r="EN2480" s="1"/>
      <c r="EQ2480" s="1"/>
      <c r="ER2480" s="1"/>
      <c r="ES2480" s="1"/>
      <c r="EV2480" s="1"/>
      <c r="EW2480" s="1"/>
      <c r="EZ2480" s="1"/>
      <c r="IS2480" s="1"/>
      <c r="IY2480" s="1"/>
      <c r="IZ2480" s="1"/>
      <c r="JJ2480" s="1"/>
      <c r="JP2480" s="1"/>
      <c r="JQ2480" s="1"/>
      <c r="LZ2480" s="1"/>
    </row>
    <row r="2481" spans="4:338" ht="13" x14ac:dyDescent="0.15">
      <c r="D2481" s="12"/>
      <c r="E2481" s="12"/>
      <c r="I2481" s="12"/>
      <c r="J2481" s="13"/>
      <c r="BG2481" s="1"/>
      <c r="BH2481" s="1"/>
      <c r="BI2481" s="1"/>
      <c r="BK2481" s="1"/>
      <c r="BL2481" s="1"/>
      <c r="BM2481" s="1"/>
      <c r="BN2481" s="1"/>
      <c r="CD2481" s="1"/>
      <c r="CM2481" s="2"/>
      <c r="ED2481" s="1"/>
      <c r="EL2481" s="1"/>
      <c r="EM2481" s="1"/>
      <c r="EN2481" s="1"/>
      <c r="EQ2481" s="1"/>
      <c r="ER2481" s="1"/>
      <c r="ES2481" s="1"/>
      <c r="EV2481" s="1"/>
      <c r="EW2481" s="1"/>
      <c r="EZ2481" s="1"/>
      <c r="IS2481" s="1"/>
      <c r="IY2481" s="1"/>
      <c r="IZ2481" s="1"/>
      <c r="JJ2481" s="1"/>
      <c r="JP2481" s="1"/>
      <c r="JQ2481" s="1"/>
      <c r="LZ2481" s="1"/>
    </row>
    <row r="2482" spans="4:338" ht="13" x14ac:dyDescent="0.15">
      <c r="D2482" s="12"/>
      <c r="E2482" s="12"/>
      <c r="I2482" s="12"/>
      <c r="J2482" s="13"/>
      <c r="BG2482" s="1"/>
      <c r="BH2482" s="1"/>
      <c r="BI2482" s="1"/>
      <c r="BK2482" s="1"/>
      <c r="BL2482" s="1"/>
      <c r="BM2482" s="1"/>
      <c r="BN2482" s="1"/>
      <c r="CD2482" s="1"/>
      <c r="CM2482" s="2"/>
      <c r="ED2482" s="1"/>
      <c r="EL2482" s="1"/>
      <c r="EM2482" s="1"/>
      <c r="EN2482" s="1"/>
      <c r="EQ2482" s="1"/>
      <c r="ER2482" s="1"/>
      <c r="ES2482" s="1"/>
      <c r="EV2482" s="1"/>
      <c r="EW2482" s="1"/>
      <c r="EZ2482" s="1"/>
      <c r="IS2482" s="1"/>
      <c r="IY2482" s="1"/>
      <c r="IZ2482" s="1"/>
      <c r="JJ2482" s="1"/>
      <c r="JP2482" s="1"/>
      <c r="JQ2482" s="1"/>
      <c r="LZ2482" s="1"/>
    </row>
    <row r="2483" spans="4:338" ht="13" x14ac:dyDescent="0.15">
      <c r="D2483" s="12"/>
      <c r="E2483" s="12"/>
      <c r="I2483" s="12"/>
      <c r="J2483" s="13"/>
      <c r="BG2483" s="1"/>
      <c r="BH2483" s="1"/>
      <c r="BI2483" s="1"/>
      <c r="BK2483" s="1"/>
      <c r="BL2483" s="1"/>
      <c r="BM2483" s="1"/>
      <c r="BN2483" s="1"/>
      <c r="CD2483" s="1"/>
      <c r="CM2483" s="2"/>
      <c r="ED2483" s="1"/>
      <c r="EL2483" s="1"/>
      <c r="EM2483" s="1"/>
      <c r="EN2483" s="1"/>
      <c r="EQ2483" s="1"/>
      <c r="ER2483" s="1"/>
      <c r="ES2483" s="1"/>
      <c r="EV2483" s="1"/>
      <c r="EW2483" s="1"/>
      <c r="EZ2483" s="1"/>
      <c r="IS2483" s="1"/>
      <c r="IY2483" s="1"/>
      <c r="IZ2483" s="1"/>
      <c r="JJ2483" s="1"/>
      <c r="JP2483" s="1"/>
      <c r="JQ2483" s="1"/>
      <c r="LZ2483" s="1"/>
    </row>
    <row r="2484" spans="4:338" ht="13" x14ac:dyDescent="0.15">
      <c r="D2484" s="12"/>
      <c r="E2484" s="12"/>
      <c r="I2484" s="12"/>
      <c r="J2484" s="13"/>
      <c r="BG2484" s="1"/>
      <c r="BH2484" s="1"/>
      <c r="BI2484" s="1"/>
      <c r="BK2484" s="1"/>
      <c r="BL2484" s="1"/>
      <c r="BM2484" s="1"/>
      <c r="BN2484" s="1"/>
      <c r="CD2484" s="1"/>
      <c r="CM2484" s="2"/>
      <c r="ED2484" s="1"/>
      <c r="EL2484" s="1"/>
      <c r="EM2484" s="1"/>
      <c r="EN2484" s="1"/>
      <c r="EQ2484" s="1"/>
      <c r="ER2484" s="1"/>
      <c r="ES2484" s="1"/>
      <c r="EV2484" s="1"/>
      <c r="EW2484" s="1"/>
      <c r="EZ2484" s="1"/>
      <c r="IS2484" s="1"/>
      <c r="IY2484" s="1"/>
      <c r="IZ2484" s="1"/>
      <c r="JJ2484" s="1"/>
      <c r="JP2484" s="1"/>
      <c r="JQ2484" s="1"/>
      <c r="LZ2484" s="1"/>
    </row>
    <row r="2485" spans="4:338" ht="13" x14ac:dyDescent="0.15">
      <c r="D2485" s="12"/>
      <c r="E2485" s="12"/>
      <c r="I2485" s="12"/>
      <c r="J2485" s="13"/>
      <c r="BG2485" s="1"/>
      <c r="BH2485" s="1"/>
      <c r="BI2485" s="1"/>
      <c r="BK2485" s="1"/>
      <c r="BL2485" s="1"/>
      <c r="BM2485" s="1"/>
      <c r="BN2485" s="1"/>
      <c r="CD2485" s="1"/>
      <c r="CM2485" s="2"/>
      <c r="ED2485" s="1"/>
      <c r="EL2485" s="1"/>
      <c r="EM2485" s="1"/>
      <c r="EN2485" s="1"/>
      <c r="EQ2485" s="1"/>
      <c r="ER2485" s="1"/>
      <c r="ES2485" s="1"/>
      <c r="EV2485" s="1"/>
      <c r="EW2485" s="1"/>
      <c r="EZ2485" s="1"/>
      <c r="IS2485" s="1"/>
      <c r="IY2485" s="1"/>
      <c r="IZ2485" s="1"/>
      <c r="JJ2485" s="1"/>
      <c r="JP2485" s="1"/>
      <c r="JQ2485" s="1"/>
      <c r="LZ2485" s="1"/>
    </row>
    <row r="2486" spans="4:338" ht="13" x14ac:dyDescent="0.15">
      <c r="D2486" s="12"/>
      <c r="E2486" s="12"/>
      <c r="I2486" s="12"/>
      <c r="J2486" s="13"/>
      <c r="BG2486" s="1"/>
      <c r="BH2486" s="1"/>
      <c r="BI2486" s="1"/>
      <c r="BJ2486" s="1"/>
      <c r="BK2486" s="1"/>
      <c r="BL2486" s="1"/>
      <c r="BM2486" s="1"/>
      <c r="BN2486" s="1"/>
      <c r="BO2486" s="1"/>
      <c r="CD2486" s="1"/>
      <c r="CM2486" s="2"/>
      <c r="ED2486" s="1"/>
      <c r="EL2486" s="1"/>
      <c r="EM2486" s="1"/>
      <c r="EN2486" s="1"/>
      <c r="EQ2486" s="1"/>
      <c r="ER2486" s="1"/>
      <c r="ES2486" s="1"/>
      <c r="EV2486" s="1"/>
      <c r="EW2486" s="1"/>
      <c r="EZ2486" s="1"/>
      <c r="HY2486" s="1"/>
      <c r="IS2486" s="1"/>
      <c r="IZ2486" s="1"/>
      <c r="JJ2486" s="1"/>
      <c r="JP2486" s="1"/>
      <c r="JQ2486" s="1"/>
    </row>
    <row r="2487" spans="4:338" ht="13" x14ac:dyDescent="0.15">
      <c r="D2487" s="12"/>
      <c r="E2487" s="12"/>
      <c r="I2487" s="12"/>
      <c r="J2487" s="13"/>
      <c r="BF2487" s="1"/>
      <c r="BG2487" s="1"/>
      <c r="BH2487" s="1"/>
      <c r="BI2487" s="1"/>
      <c r="BJ2487" s="1"/>
      <c r="BK2487" s="1"/>
      <c r="BL2487" s="1"/>
      <c r="BM2487" s="1"/>
      <c r="BN2487" s="1"/>
      <c r="BO2487" s="1"/>
      <c r="CD2487" s="1"/>
      <c r="CM2487" s="2"/>
      <c r="ED2487" s="1"/>
      <c r="EL2487" s="1"/>
      <c r="EM2487" s="1"/>
      <c r="EN2487" s="1"/>
      <c r="EQ2487" s="1"/>
      <c r="ER2487" s="1"/>
      <c r="ES2487" s="1"/>
      <c r="EV2487" s="1"/>
      <c r="EW2487" s="1"/>
      <c r="EZ2487" s="1"/>
      <c r="HY2487" s="1"/>
      <c r="IR2487" s="1"/>
      <c r="IS2487" s="1"/>
      <c r="IY2487" s="1"/>
      <c r="IZ2487" s="1"/>
      <c r="JJ2487" s="1"/>
      <c r="JP2487" s="1"/>
      <c r="JQ2487" s="1"/>
      <c r="LZ2487" s="1"/>
    </row>
    <row r="2488" spans="4:338" ht="13" x14ac:dyDescent="0.15">
      <c r="D2488" s="12"/>
      <c r="E2488" s="12"/>
      <c r="I2488" s="12"/>
      <c r="J2488" s="13"/>
      <c r="BF2488" s="1"/>
      <c r="BG2488" s="1"/>
      <c r="BH2488" s="1"/>
      <c r="BI2488" s="1"/>
      <c r="BJ2488" s="1"/>
      <c r="BK2488" s="1"/>
      <c r="BL2488" s="1"/>
      <c r="BM2488" s="1"/>
      <c r="BN2488" s="1"/>
      <c r="BO2488" s="1"/>
      <c r="CD2488" s="1"/>
      <c r="CM2488" s="2"/>
      <c r="ED2488" s="1"/>
      <c r="EL2488" s="1"/>
      <c r="EM2488" s="1"/>
      <c r="EN2488" s="1"/>
      <c r="EQ2488" s="1"/>
      <c r="ER2488" s="1"/>
      <c r="ES2488" s="1"/>
      <c r="EV2488" s="1"/>
      <c r="EW2488" s="1"/>
      <c r="EZ2488" s="1"/>
      <c r="HY2488" s="1"/>
      <c r="IR2488" s="1"/>
      <c r="IS2488" s="1"/>
      <c r="IY2488" s="1"/>
      <c r="IZ2488" s="1"/>
      <c r="JJ2488" s="1"/>
      <c r="JP2488" s="1"/>
      <c r="JQ2488" s="1"/>
      <c r="LZ2488" s="1"/>
    </row>
    <row r="2489" spans="4:338" ht="13" x14ac:dyDescent="0.15">
      <c r="D2489" s="12"/>
      <c r="E2489" s="12"/>
      <c r="I2489" s="12"/>
      <c r="J2489" s="13"/>
      <c r="BF2489" s="1"/>
      <c r="BG2489" s="1"/>
      <c r="BH2489" s="1"/>
      <c r="BI2489" s="1"/>
      <c r="BJ2489" s="1"/>
      <c r="BK2489" s="1"/>
      <c r="BL2489" s="1"/>
      <c r="BM2489" s="1"/>
      <c r="BN2489" s="1"/>
      <c r="BO2489" s="1"/>
      <c r="CD2489" s="1"/>
      <c r="CM2489" s="2"/>
      <c r="ED2489" s="1"/>
      <c r="EL2489" s="1"/>
      <c r="EM2489" s="1"/>
      <c r="EN2489" s="1"/>
      <c r="EQ2489" s="1"/>
      <c r="ER2489" s="1"/>
      <c r="ES2489" s="1"/>
      <c r="EV2489" s="1"/>
      <c r="EW2489" s="1"/>
      <c r="EZ2489" s="1"/>
      <c r="HY2489" s="1"/>
      <c r="IR2489" s="1"/>
      <c r="IS2489" s="1"/>
      <c r="IY2489" s="1"/>
      <c r="IZ2489" s="1"/>
      <c r="JJ2489" s="1"/>
      <c r="JP2489" s="1"/>
      <c r="JQ2489" s="1"/>
      <c r="LZ2489" s="1"/>
    </row>
    <row r="2490" spans="4:338" ht="13" x14ac:dyDescent="0.15">
      <c r="D2490" s="12"/>
      <c r="E2490" s="12"/>
      <c r="I2490" s="12"/>
      <c r="J2490" s="13"/>
      <c r="BF2490" s="1"/>
      <c r="BG2490" s="1"/>
      <c r="BH2490" s="1"/>
      <c r="BI2490" s="1"/>
      <c r="BJ2490" s="1"/>
      <c r="BK2490" s="1"/>
      <c r="BL2490" s="1"/>
      <c r="BM2490" s="1"/>
      <c r="BN2490" s="1"/>
      <c r="BO2490" s="1"/>
      <c r="CD2490" s="1"/>
      <c r="CM2490" s="2"/>
      <c r="ED2490" s="1"/>
      <c r="EL2490" s="1"/>
      <c r="EM2490" s="1"/>
      <c r="EN2490" s="1"/>
      <c r="EQ2490" s="1"/>
      <c r="ER2490" s="1"/>
      <c r="ES2490" s="1"/>
      <c r="EV2490" s="1"/>
      <c r="EW2490" s="1"/>
      <c r="EZ2490" s="1"/>
      <c r="HY2490" s="1"/>
      <c r="IR2490" s="1"/>
      <c r="IS2490" s="1"/>
      <c r="IY2490" s="1"/>
      <c r="IZ2490" s="1"/>
      <c r="JJ2490" s="1"/>
      <c r="JP2490" s="1"/>
      <c r="JQ2490" s="1"/>
      <c r="LZ2490" s="1"/>
    </row>
    <row r="2491" spans="4:338" ht="13" x14ac:dyDescent="0.15">
      <c r="D2491" s="12"/>
      <c r="E2491" s="12"/>
      <c r="I2491" s="12"/>
      <c r="J2491" s="13"/>
      <c r="BF2491" s="1"/>
      <c r="BG2491" s="1"/>
      <c r="BH2491" s="1"/>
      <c r="BI2491" s="1"/>
      <c r="BJ2491" s="1"/>
      <c r="BK2491" s="1"/>
      <c r="BL2491" s="1"/>
      <c r="BM2491" s="1"/>
      <c r="BN2491" s="1"/>
      <c r="BO2491" s="1"/>
      <c r="CD2491" s="1"/>
      <c r="CM2491" s="2"/>
      <c r="ED2491" s="1"/>
      <c r="EL2491" s="1"/>
      <c r="EM2491" s="1"/>
      <c r="EN2491" s="1"/>
      <c r="EQ2491" s="1"/>
      <c r="ER2491" s="1"/>
      <c r="ES2491" s="1"/>
      <c r="EV2491" s="1"/>
      <c r="EW2491" s="1"/>
      <c r="EZ2491" s="1"/>
      <c r="HY2491" s="1"/>
      <c r="IR2491" s="1"/>
      <c r="IS2491" s="1"/>
      <c r="IY2491" s="1"/>
      <c r="IZ2491" s="1"/>
      <c r="JJ2491" s="1"/>
      <c r="JP2491" s="1"/>
      <c r="JQ2491" s="1"/>
      <c r="LZ2491" s="1"/>
    </row>
    <row r="2492" spans="4:338" ht="13" x14ac:dyDescent="0.15">
      <c r="D2492" s="12"/>
      <c r="E2492" s="12"/>
      <c r="I2492" s="12"/>
      <c r="J2492" s="13"/>
      <c r="BF2492" s="1"/>
      <c r="BG2492" s="1"/>
      <c r="BH2492" s="1"/>
      <c r="BI2492" s="1"/>
      <c r="BJ2492" s="1"/>
      <c r="BK2492" s="1"/>
      <c r="BL2492" s="1"/>
      <c r="BM2492" s="1"/>
      <c r="BN2492" s="1"/>
      <c r="BO2492" s="1"/>
      <c r="CD2492" s="1"/>
      <c r="CM2492" s="2"/>
      <c r="ED2492" s="1"/>
      <c r="EL2492" s="1"/>
      <c r="EM2492" s="1"/>
      <c r="EN2492" s="1"/>
      <c r="EQ2492" s="1"/>
      <c r="ER2492" s="1"/>
      <c r="ES2492" s="1"/>
      <c r="EV2492" s="1"/>
      <c r="EW2492" s="1"/>
      <c r="EZ2492" s="1"/>
      <c r="HY2492" s="1"/>
      <c r="IR2492" s="1"/>
      <c r="IS2492" s="1"/>
      <c r="IY2492" s="1"/>
      <c r="IZ2492" s="1"/>
      <c r="JJ2492" s="1"/>
      <c r="JP2492" s="1"/>
      <c r="JQ2492" s="1"/>
      <c r="LZ2492" s="1"/>
    </row>
    <row r="2493" spans="4:338" ht="13" x14ac:dyDescent="0.15">
      <c r="D2493" s="12"/>
      <c r="E2493" s="12"/>
      <c r="I2493" s="12"/>
      <c r="J2493" s="13"/>
      <c r="BG2493" s="1"/>
      <c r="BH2493" s="1"/>
      <c r="BI2493" s="1"/>
      <c r="BK2493" s="1"/>
      <c r="BL2493" s="1"/>
      <c r="BM2493" s="1"/>
      <c r="BN2493" s="1"/>
      <c r="CD2493" s="1"/>
      <c r="CM2493" s="4"/>
      <c r="ED2493" s="1"/>
      <c r="EL2493" s="1"/>
      <c r="EM2493" s="1"/>
      <c r="EN2493" s="1"/>
      <c r="EQ2493" s="1"/>
      <c r="ER2493" s="1"/>
      <c r="ES2493" s="1"/>
      <c r="EV2493" s="1"/>
      <c r="EW2493" s="1"/>
      <c r="EZ2493" s="1"/>
      <c r="IS2493" s="1"/>
      <c r="IZ2493" s="1"/>
      <c r="JJ2493" s="1"/>
      <c r="JP2493" s="1"/>
      <c r="JQ2493" s="1"/>
    </row>
    <row r="2494" spans="4:338" ht="13" x14ac:dyDescent="0.15">
      <c r="D2494" s="12"/>
      <c r="E2494" s="12"/>
      <c r="I2494" s="12"/>
      <c r="J2494" s="13"/>
      <c r="BG2494" s="1"/>
      <c r="BH2494" s="1"/>
      <c r="BM2494" s="1"/>
      <c r="BN2494" s="1"/>
      <c r="CD2494" s="1"/>
      <c r="CM2494" s="4"/>
      <c r="ED2494" s="1"/>
      <c r="EL2494" s="1"/>
      <c r="EM2494" s="1"/>
      <c r="EN2494" s="1"/>
      <c r="EQ2494" s="1"/>
      <c r="ER2494" s="1"/>
      <c r="ES2494" s="1"/>
      <c r="EV2494" s="1"/>
      <c r="EW2494" s="1"/>
      <c r="EZ2494" s="1"/>
      <c r="IS2494" s="1"/>
      <c r="IZ2494" s="1"/>
      <c r="JJ2494" s="1"/>
      <c r="JP2494" s="1"/>
      <c r="JQ2494" s="1"/>
    </row>
    <row r="2495" spans="4:338" ht="13" x14ac:dyDescent="0.15">
      <c r="D2495" s="12"/>
      <c r="E2495" s="12"/>
      <c r="I2495" s="12"/>
      <c r="J2495" s="13"/>
      <c r="BG2495" s="1"/>
      <c r="BH2495" s="1"/>
      <c r="BM2495" s="1"/>
      <c r="BN2495" s="1"/>
      <c r="CD2495" s="1"/>
      <c r="CM2495" s="4"/>
      <c r="ED2495" s="1"/>
      <c r="EL2495" s="1"/>
      <c r="EM2495" s="1"/>
      <c r="EN2495" s="1"/>
      <c r="EQ2495" s="1"/>
      <c r="ER2495" s="1"/>
      <c r="ES2495" s="1"/>
      <c r="EV2495" s="1"/>
      <c r="EW2495" s="1"/>
      <c r="EZ2495" s="1"/>
      <c r="IS2495" s="1"/>
      <c r="IZ2495" s="1"/>
      <c r="JJ2495" s="1"/>
      <c r="JP2495" s="1"/>
      <c r="JQ2495" s="1"/>
    </row>
    <row r="2496" spans="4:338" ht="13" x14ac:dyDescent="0.15">
      <c r="D2496" s="12"/>
      <c r="E2496" s="12"/>
      <c r="I2496" s="12"/>
      <c r="J2496" s="13"/>
      <c r="BG2496" s="1"/>
      <c r="BH2496" s="1"/>
      <c r="BM2496" s="1"/>
      <c r="BN2496" s="1"/>
      <c r="CD2496" s="1"/>
      <c r="CM2496" s="4"/>
      <c r="ED2496" s="1"/>
      <c r="EL2496" s="1"/>
      <c r="EM2496" s="1"/>
      <c r="EN2496" s="1"/>
      <c r="EQ2496" s="1"/>
      <c r="ER2496" s="1"/>
      <c r="ES2496" s="1"/>
      <c r="EV2496" s="1"/>
      <c r="EW2496" s="1"/>
      <c r="EZ2496" s="1"/>
      <c r="IS2496" s="1"/>
      <c r="IZ2496" s="1"/>
      <c r="JJ2496" s="1"/>
      <c r="JP2496" s="1"/>
      <c r="JQ2496" s="1"/>
    </row>
    <row r="2497" spans="4:339" ht="13" x14ac:dyDescent="0.15">
      <c r="D2497" s="12"/>
      <c r="E2497" s="12"/>
      <c r="I2497" s="12"/>
      <c r="J2497" s="13"/>
      <c r="BG2497" s="1"/>
      <c r="BH2497" s="1"/>
      <c r="BI2497" s="1"/>
      <c r="BK2497" s="1"/>
      <c r="BL2497" s="1"/>
      <c r="BM2497" s="1"/>
      <c r="BN2497" s="1"/>
      <c r="BO2497" s="1"/>
      <c r="CC2497" s="1"/>
      <c r="CD2497" s="1"/>
      <c r="CM2497" s="2"/>
      <c r="ED2497" s="1"/>
      <c r="EL2497" s="1"/>
      <c r="EM2497" s="1"/>
      <c r="EN2497" s="1"/>
      <c r="EQ2497" s="1"/>
      <c r="ER2497" s="1"/>
      <c r="ES2497" s="1"/>
      <c r="EV2497" s="1"/>
      <c r="EW2497" s="1"/>
      <c r="EZ2497" s="1"/>
      <c r="HY2497" s="1"/>
      <c r="IS2497" s="1"/>
      <c r="IZ2497" s="1"/>
      <c r="JJ2497" s="1"/>
      <c r="JP2497" s="1"/>
      <c r="JQ2497" s="1"/>
    </row>
    <row r="2498" spans="4:339" ht="13" x14ac:dyDescent="0.15">
      <c r="D2498" s="12"/>
      <c r="E2498" s="12"/>
      <c r="I2498" s="12"/>
      <c r="J2498" s="13"/>
      <c r="BG2498" s="1"/>
      <c r="BH2498" s="1"/>
      <c r="BM2498" s="1"/>
      <c r="BN2498" s="1"/>
      <c r="CD2498" s="1"/>
      <c r="CM2498" s="2"/>
      <c r="ED2498" s="1"/>
      <c r="EL2498" s="1"/>
      <c r="EM2498" s="1"/>
      <c r="EN2498" s="1"/>
      <c r="EQ2498" s="1"/>
      <c r="ER2498" s="1"/>
      <c r="ES2498" s="1"/>
      <c r="EV2498" s="1"/>
      <c r="EW2498" s="1"/>
      <c r="EZ2498" s="1"/>
      <c r="IS2498" s="1"/>
      <c r="IZ2498" s="1"/>
      <c r="JJ2498" s="1"/>
      <c r="JP2498" s="1"/>
      <c r="JQ2498" s="1"/>
    </row>
    <row r="2499" spans="4:339" ht="13" x14ac:dyDescent="0.15">
      <c r="D2499" s="12"/>
      <c r="E2499" s="12"/>
      <c r="I2499" s="12"/>
      <c r="J2499" s="13"/>
      <c r="BM2499" s="1"/>
      <c r="BN2499" s="1"/>
      <c r="CM2499" s="4"/>
      <c r="ED2499" s="1"/>
      <c r="EL2499" s="1"/>
      <c r="EM2499" s="1"/>
      <c r="EN2499" s="1"/>
      <c r="EQ2499" s="1"/>
      <c r="ER2499" s="1"/>
      <c r="ES2499" s="1"/>
      <c r="EV2499" s="1"/>
      <c r="EW2499" s="1"/>
      <c r="EZ2499" s="1"/>
      <c r="IS2499" s="1"/>
      <c r="IZ2499" s="1"/>
      <c r="JJ2499" s="1"/>
      <c r="JP2499" s="1"/>
      <c r="JQ2499" s="1"/>
      <c r="LZ2499" s="1"/>
    </row>
    <row r="2500" spans="4:339" ht="13" x14ac:dyDescent="0.15">
      <c r="D2500" s="12"/>
      <c r="E2500" s="12"/>
      <c r="I2500" s="12"/>
      <c r="J2500" s="13"/>
      <c r="BG2500" s="1"/>
      <c r="BH2500" s="1"/>
      <c r="BI2500" s="1"/>
      <c r="BK2500" s="1"/>
      <c r="BL2500" s="1"/>
      <c r="BM2500" s="1"/>
      <c r="BN2500" s="1"/>
      <c r="BP2500" s="1"/>
      <c r="CD2500" s="1"/>
      <c r="CM2500" s="2"/>
      <c r="CP2500" s="1"/>
      <c r="CQ2500" s="1"/>
      <c r="CS2500" s="1"/>
      <c r="CT2500" s="1"/>
      <c r="CU2500" s="1"/>
      <c r="CV2500" s="1"/>
      <c r="CW2500" s="1"/>
      <c r="CX2500" s="1"/>
      <c r="CY2500" s="1"/>
      <c r="CZ2500" s="1"/>
      <c r="DA2500" s="1"/>
      <c r="DB2500" s="1"/>
      <c r="DC2500" s="1"/>
      <c r="DD2500" s="1"/>
      <c r="DE2500" s="1"/>
      <c r="DF2500" s="1"/>
      <c r="DG2500" s="1"/>
      <c r="DH2500" s="1"/>
      <c r="DI2500" s="1"/>
      <c r="DJ2500" s="1"/>
      <c r="DK2500" s="1"/>
      <c r="ED2500" s="1"/>
      <c r="EK2500" s="1"/>
      <c r="EL2500" s="1"/>
      <c r="EM2500" s="1"/>
      <c r="EN2500" s="1"/>
      <c r="EQ2500" s="1"/>
      <c r="ER2500" s="1"/>
      <c r="ES2500" s="1"/>
      <c r="EV2500" s="1"/>
      <c r="EW2500" s="1"/>
      <c r="EZ2500" s="1"/>
      <c r="GO2500" s="1"/>
      <c r="HY2500" s="1"/>
      <c r="IE2500" s="1"/>
      <c r="IS2500" s="1"/>
      <c r="IZ2500" s="1"/>
      <c r="JJ2500" s="1"/>
      <c r="JP2500" s="1"/>
      <c r="JQ2500" s="1"/>
      <c r="LZ2500" s="1"/>
      <c r="MA2500" s="1"/>
    </row>
    <row r="2501" spans="4:339" ht="13" x14ac:dyDescent="0.15">
      <c r="D2501" s="12"/>
      <c r="E2501" s="12"/>
      <c r="I2501" s="12"/>
      <c r="J2501" s="13"/>
      <c r="BG2501" s="1"/>
      <c r="BH2501" s="1"/>
      <c r="BI2501" s="1"/>
      <c r="BK2501" s="1"/>
      <c r="BL2501" s="1"/>
      <c r="BM2501" s="1"/>
      <c r="BN2501" s="1"/>
      <c r="BO2501" s="1"/>
      <c r="CD2501" s="1"/>
      <c r="CM2501" s="4"/>
      <c r="ED2501" s="1"/>
      <c r="EL2501" s="1"/>
      <c r="EM2501" s="1"/>
      <c r="EN2501" s="1"/>
      <c r="EQ2501" s="1"/>
      <c r="ER2501" s="1"/>
      <c r="ES2501" s="1"/>
      <c r="EV2501" s="1"/>
      <c r="EW2501" s="1"/>
      <c r="EZ2501" s="1"/>
      <c r="HY2501" s="1"/>
      <c r="IS2501" s="1"/>
      <c r="IZ2501" s="1"/>
      <c r="JJ2501" s="1"/>
      <c r="JP2501" s="1"/>
      <c r="JQ2501" s="1"/>
    </row>
    <row r="2502" spans="4:339" ht="13" x14ac:dyDescent="0.15">
      <c r="D2502" s="12"/>
      <c r="E2502" s="12"/>
      <c r="I2502" s="12"/>
      <c r="J2502" s="13"/>
      <c r="BM2502" s="1"/>
      <c r="BN2502" s="1"/>
      <c r="CM2502" s="4"/>
      <c r="ED2502" s="1"/>
      <c r="EL2502" s="1"/>
      <c r="EM2502" s="1"/>
      <c r="EN2502" s="1"/>
      <c r="EQ2502" s="1"/>
      <c r="ER2502" s="1"/>
      <c r="ES2502" s="1"/>
      <c r="EV2502" s="1"/>
      <c r="EW2502" s="1"/>
      <c r="EZ2502" s="1"/>
      <c r="IS2502" s="1"/>
      <c r="IZ2502" s="1"/>
      <c r="JJ2502" s="1"/>
      <c r="JP2502" s="1"/>
      <c r="JQ2502" s="1"/>
      <c r="LZ2502" s="1"/>
    </row>
    <row r="2503" spans="4:339" ht="13" x14ac:dyDescent="0.15">
      <c r="D2503" s="12"/>
      <c r="E2503" s="12"/>
      <c r="I2503" s="12"/>
      <c r="J2503" s="13"/>
      <c r="BM2503" s="1"/>
      <c r="BN2503" s="1"/>
      <c r="CM2503" s="4"/>
      <c r="ED2503" s="1"/>
      <c r="EL2503" s="1"/>
      <c r="EM2503" s="1"/>
      <c r="EN2503" s="1"/>
      <c r="EQ2503" s="1"/>
      <c r="ER2503" s="1"/>
      <c r="ES2503" s="1"/>
      <c r="EV2503" s="1"/>
      <c r="EW2503" s="1"/>
      <c r="EZ2503" s="1"/>
      <c r="IS2503" s="1"/>
      <c r="IZ2503" s="1"/>
      <c r="JJ2503" s="1"/>
      <c r="JP2503" s="1"/>
      <c r="JQ2503" s="1"/>
      <c r="LZ2503" s="1"/>
    </row>
    <row r="2504" spans="4:339" ht="13" x14ac:dyDescent="0.15">
      <c r="D2504" s="12"/>
      <c r="E2504" s="12"/>
      <c r="I2504" s="12"/>
      <c r="J2504" s="13"/>
      <c r="BM2504" s="1"/>
      <c r="BN2504" s="1"/>
      <c r="CM2504" s="4"/>
      <c r="ED2504" s="1"/>
      <c r="EL2504" s="1"/>
      <c r="EM2504" s="1"/>
      <c r="EN2504" s="1"/>
      <c r="EQ2504" s="1"/>
      <c r="ER2504" s="1"/>
      <c r="ES2504" s="1"/>
      <c r="EV2504" s="1"/>
      <c r="EW2504" s="1"/>
      <c r="EZ2504" s="1"/>
      <c r="IS2504" s="1"/>
      <c r="IZ2504" s="1"/>
      <c r="JJ2504" s="1"/>
      <c r="JP2504" s="1"/>
      <c r="JQ2504" s="1"/>
      <c r="LZ2504" s="1"/>
    </row>
    <row r="2505" spans="4:339" ht="13" x14ac:dyDescent="0.15">
      <c r="D2505" s="12"/>
      <c r="E2505" s="12"/>
      <c r="I2505" s="12"/>
      <c r="J2505" s="13"/>
      <c r="BG2505" s="1"/>
      <c r="BH2505" s="1"/>
      <c r="BI2505" s="1"/>
      <c r="BK2505" s="1"/>
      <c r="BL2505" s="1"/>
      <c r="BM2505" s="1"/>
      <c r="BN2505" s="1"/>
      <c r="BO2505" s="1"/>
      <c r="BP2505" s="1"/>
      <c r="CD2505" s="1"/>
      <c r="CE2505" s="1"/>
      <c r="CF2505" s="1"/>
      <c r="CG2505" s="1"/>
      <c r="CM2505" s="2"/>
      <c r="CP2505" s="1"/>
      <c r="CQ2505" s="1"/>
      <c r="CV2505" s="1"/>
      <c r="CW2505" s="1"/>
      <c r="CX2505" s="1"/>
      <c r="CY2505" s="1"/>
      <c r="CZ2505" s="1"/>
      <c r="DA2505" s="1"/>
      <c r="DB2505" s="1"/>
      <c r="DC2505" s="1"/>
      <c r="DD2505" s="1"/>
      <c r="DE2505" s="1"/>
      <c r="DF2505" s="1"/>
      <c r="DG2505" s="1"/>
      <c r="DH2505" s="1"/>
      <c r="DI2505" s="1"/>
      <c r="DJ2505" s="1"/>
      <c r="DK2505" s="1"/>
      <c r="ED2505" s="1"/>
      <c r="EK2505" s="1"/>
      <c r="EL2505" s="1"/>
      <c r="EM2505" s="1"/>
      <c r="EN2505" s="1"/>
      <c r="EQ2505" s="1"/>
      <c r="ER2505" s="1"/>
      <c r="ES2505" s="1"/>
      <c r="EV2505" s="1"/>
      <c r="EW2505" s="1"/>
      <c r="EZ2505" s="1"/>
      <c r="HY2505" s="1"/>
      <c r="IE2505" s="1"/>
      <c r="IF2505" s="1"/>
      <c r="IG2505" s="1"/>
      <c r="IH2505" s="1"/>
      <c r="IR2505" s="1"/>
      <c r="IS2505" s="1"/>
      <c r="IZ2505" s="1"/>
      <c r="JJ2505" s="1"/>
      <c r="JK2505" s="1"/>
      <c r="JL2505" s="3"/>
      <c r="JM2505" s="1"/>
      <c r="JP2505" s="1"/>
      <c r="JQ2505" s="1"/>
      <c r="JR2505" s="1"/>
      <c r="JS2505" s="1"/>
      <c r="LZ2505" s="1"/>
      <c r="MA2505" s="1"/>
    </row>
    <row r="2506" spans="4:339" ht="13" x14ac:dyDescent="0.15">
      <c r="D2506" s="12"/>
      <c r="E2506" s="12"/>
      <c r="I2506" s="12"/>
      <c r="J2506" s="13"/>
      <c r="BG2506" s="1"/>
      <c r="BH2506" s="1"/>
      <c r="BI2506" s="1"/>
      <c r="BK2506" s="1"/>
      <c r="BL2506" s="1"/>
      <c r="BM2506" s="1"/>
      <c r="BN2506" s="1"/>
      <c r="BO2506" s="1"/>
      <c r="BP2506" s="1"/>
      <c r="CD2506" s="1"/>
      <c r="CE2506" s="1"/>
      <c r="CF2506" s="1"/>
      <c r="CG2506" s="1"/>
      <c r="CM2506" s="2"/>
      <c r="CP2506" s="1"/>
      <c r="CQ2506" s="1"/>
      <c r="CV2506" s="1"/>
      <c r="CW2506" s="1"/>
      <c r="CX2506" s="1"/>
      <c r="CY2506" s="1"/>
      <c r="CZ2506" s="1"/>
      <c r="DA2506" s="1"/>
      <c r="DB2506" s="1"/>
      <c r="DC2506" s="1"/>
      <c r="DD2506" s="1"/>
      <c r="DE2506" s="1"/>
      <c r="DF2506" s="1"/>
      <c r="DG2506" s="1"/>
      <c r="DH2506" s="1"/>
      <c r="DI2506" s="1"/>
      <c r="DJ2506" s="1"/>
      <c r="DK2506" s="1"/>
      <c r="ED2506" s="1"/>
      <c r="EK2506" s="1"/>
      <c r="EL2506" s="1"/>
      <c r="EM2506" s="1"/>
      <c r="EN2506" s="1"/>
      <c r="EQ2506" s="1"/>
      <c r="ER2506" s="1"/>
      <c r="ES2506" s="1"/>
      <c r="EV2506" s="1"/>
      <c r="EW2506" s="1"/>
      <c r="EZ2506" s="1"/>
      <c r="HY2506" s="1"/>
      <c r="IE2506" s="1"/>
      <c r="IF2506" s="1"/>
      <c r="IG2506" s="1"/>
      <c r="IH2506" s="1"/>
      <c r="IR2506" s="1"/>
      <c r="IS2506" s="1"/>
      <c r="IZ2506" s="1"/>
      <c r="JJ2506" s="1"/>
      <c r="JK2506" s="1"/>
      <c r="JL2506" s="3"/>
      <c r="JM2506" s="1"/>
      <c r="JP2506" s="1"/>
      <c r="JQ2506" s="1"/>
      <c r="JR2506" s="1"/>
      <c r="JS2506" s="1"/>
      <c r="LZ2506" s="1"/>
      <c r="MA2506" s="1"/>
    </row>
    <row r="2507" spans="4:339" ht="13" x14ac:dyDescent="0.15">
      <c r="D2507" s="12"/>
      <c r="E2507" s="12"/>
      <c r="I2507" s="12"/>
      <c r="J2507" s="13"/>
      <c r="BM2507" s="1"/>
      <c r="BN2507" s="1"/>
      <c r="CM2507" s="4"/>
      <c r="ED2507" s="1"/>
      <c r="EL2507" s="1"/>
      <c r="EM2507" s="1"/>
      <c r="EN2507" s="1"/>
      <c r="EQ2507" s="1"/>
      <c r="ER2507" s="1"/>
      <c r="ES2507" s="1"/>
      <c r="EV2507" s="1"/>
      <c r="EW2507" s="1"/>
      <c r="EZ2507" s="1"/>
      <c r="IS2507" s="1"/>
      <c r="IZ2507" s="1"/>
      <c r="JJ2507" s="1"/>
      <c r="JP2507" s="1"/>
      <c r="JQ2507" s="1"/>
      <c r="LZ2507" s="1"/>
    </row>
    <row r="2508" spans="4:339" ht="13" x14ac:dyDescent="0.15">
      <c r="D2508" s="12"/>
      <c r="E2508" s="12"/>
      <c r="I2508" s="12"/>
      <c r="J2508" s="13"/>
      <c r="BG2508" s="1"/>
      <c r="BH2508" s="1"/>
      <c r="BI2508" s="1"/>
      <c r="BK2508" s="1"/>
      <c r="BL2508" s="1"/>
      <c r="BM2508" s="1"/>
      <c r="BN2508" s="1"/>
      <c r="CD2508" s="1"/>
      <c r="CM2508" s="4"/>
      <c r="ED2508" s="1"/>
      <c r="EL2508" s="1"/>
      <c r="EM2508" s="1"/>
      <c r="EN2508" s="1"/>
      <c r="EQ2508" s="1"/>
      <c r="ER2508" s="1"/>
      <c r="ES2508" s="1"/>
      <c r="EV2508" s="1"/>
      <c r="EW2508" s="1"/>
      <c r="EZ2508" s="1"/>
      <c r="IS2508" s="1"/>
      <c r="IZ2508" s="1"/>
      <c r="JJ2508" s="1"/>
      <c r="JP2508" s="1"/>
      <c r="JQ2508" s="1"/>
    </row>
    <row r="2509" spans="4:339" ht="13" x14ac:dyDescent="0.15">
      <c r="D2509" s="12"/>
      <c r="E2509" s="12"/>
      <c r="I2509" s="12"/>
      <c r="J2509" s="13"/>
      <c r="BG2509" s="1"/>
      <c r="BH2509" s="1"/>
      <c r="BI2509" s="1"/>
      <c r="BK2509" s="1"/>
      <c r="BL2509" s="1"/>
      <c r="BM2509" s="1"/>
      <c r="BN2509" s="1"/>
      <c r="CD2509" s="1"/>
      <c r="CM2509" s="4"/>
      <c r="ED2509" s="1"/>
      <c r="EL2509" s="1"/>
      <c r="EM2509" s="1"/>
      <c r="EN2509" s="1"/>
      <c r="EQ2509" s="1"/>
      <c r="ER2509" s="1"/>
      <c r="ES2509" s="1"/>
      <c r="EV2509" s="1"/>
      <c r="EW2509" s="1"/>
      <c r="EZ2509" s="1"/>
      <c r="IS2509" s="1"/>
      <c r="IZ2509" s="1"/>
      <c r="JJ2509" s="1"/>
      <c r="JP2509" s="1"/>
      <c r="JQ2509" s="1"/>
    </row>
    <row r="2510" spans="4:339" ht="13" x14ac:dyDescent="0.15">
      <c r="D2510" s="12"/>
      <c r="E2510" s="12"/>
      <c r="I2510" s="12"/>
      <c r="J2510" s="13"/>
      <c r="BG2510" s="1"/>
      <c r="BH2510" s="1"/>
      <c r="BI2510" s="1"/>
      <c r="BK2510" s="1"/>
      <c r="BL2510" s="1"/>
      <c r="BM2510" s="1"/>
      <c r="BN2510" s="1"/>
      <c r="CD2510" s="1"/>
      <c r="CM2510" s="4"/>
      <c r="ED2510" s="1"/>
      <c r="EL2510" s="1"/>
      <c r="EM2510" s="1"/>
      <c r="EN2510" s="1"/>
      <c r="EQ2510" s="1"/>
      <c r="ER2510" s="1"/>
      <c r="ES2510" s="1"/>
      <c r="EV2510" s="1"/>
      <c r="EW2510" s="1"/>
      <c r="EZ2510" s="1"/>
      <c r="IS2510" s="1"/>
      <c r="IZ2510" s="1"/>
      <c r="JJ2510" s="1"/>
      <c r="JP2510" s="1"/>
      <c r="JQ2510" s="1"/>
    </row>
    <row r="2511" spans="4:339" ht="13" x14ac:dyDescent="0.15">
      <c r="D2511" s="12"/>
      <c r="E2511" s="12"/>
      <c r="I2511" s="12"/>
      <c r="J2511" s="13"/>
      <c r="BM2511" s="1"/>
      <c r="BN2511" s="1"/>
      <c r="CM2511" s="4"/>
      <c r="ED2511" s="1"/>
      <c r="EL2511" s="1"/>
      <c r="EM2511" s="1"/>
      <c r="EN2511" s="1"/>
      <c r="EQ2511" s="1"/>
      <c r="ER2511" s="1"/>
      <c r="ES2511" s="1"/>
      <c r="EV2511" s="1"/>
      <c r="EW2511" s="1"/>
      <c r="EZ2511" s="1"/>
      <c r="IS2511" s="1"/>
      <c r="IZ2511" s="1"/>
      <c r="JJ2511" s="1"/>
      <c r="JP2511" s="1"/>
      <c r="JQ2511" s="1"/>
      <c r="LZ2511" s="1"/>
    </row>
    <row r="2512" spans="4:339" ht="13" x14ac:dyDescent="0.15">
      <c r="D2512" s="12"/>
      <c r="E2512" s="12"/>
      <c r="I2512" s="12"/>
      <c r="J2512" s="13"/>
      <c r="BM2512" s="1"/>
      <c r="BN2512" s="1"/>
      <c r="CM2512" s="4"/>
      <c r="ED2512" s="1"/>
      <c r="EL2512" s="1"/>
      <c r="EM2512" s="1"/>
      <c r="EN2512" s="1"/>
      <c r="EQ2512" s="1"/>
      <c r="ER2512" s="1"/>
      <c r="ES2512" s="1"/>
      <c r="EV2512" s="1"/>
      <c r="EW2512" s="1"/>
      <c r="EZ2512" s="1"/>
      <c r="IS2512" s="1"/>
      <c r="IZ2512" s="1"/>
      <c r="JJ2512" s="1"/>
      <c r="JP2512" s="1"/>
      <c r="JQ2512" s="1"/>
      <c r="LZ2512" s="1"/>
    </row>
    <row r="2513" spans="4:339" ht="13" x14ac:dyDescent="0.15">
      <c r="D2513" s="12"/>
      <c r="E2513" s="12"/>
      <c r="I2513" s="12"/>
      <c r="J2513" s="13"/>
      <c r="BG2513" s="1"/>
      <c r="BH2513" s="1"/>
      <c r="BM2513" s="1"/>
      <c r="BN2513" s="1"/>
      <c r="CD2513" s="1"/>
      <c r="CK2513" s="1"/>
      <c r="CM2513" s="4"/>
      <c r="ED2513" s="1"/>
      <c r="EL2513" s="1"/>
      <c r="EM2513" s="1"/>
      <c r="EN2513" s="1"/>
      <c r="EQ2513" s="1"/>
      <c r="ER2513" s="1"/>
      <c r="ES2513" s="1"/>
      <c r="EV2513" s="1"/>
      <c r="EW2513" s="1"/>
      <c r="EZ2513" s="1"/>
      <c r="IS2513" s="1"/>
      <c r="IZ2513" s="1"/>
      <c r="JJ2513" s="1"/>
      <c r="JP2513" s="1"/>
      <c r="JQ2513" s="1"/>
    </row>
    <row r="2514" spans="4:339" ht="13" x14ac:dyDescent="0.15">
      <c r="D2514" s="12"/>
      <c r="E2514" s="12"/>
      <c r="I2514" s="12"/>
      <c r="J2514" s="13"/>
      <c r="BG2514" s="1"/>
      <c r="BH2514" s="1"/>
      <c r="BM2514" s="1"/>
      <c r="BN2514" s="1"/>
      <c r="CD2514" s="1"/>
      <c r="CK2514" s="1"/>
      <c r="CM2514" s="4"/>
      <c r="ED2514" s="1"/>
      <c r="EL2514" s="1"/>
      <c r="EM2514" s="1"/>
      <c r="EN2514" s="1"/>
      <c r="EQ2514" s="1"/>
      <c r="ER2514" s="1"/>
      <c r="ES2514" s="1"/>
      <c r="EV2514" s="1"/>
      <c r="EW2514" s="1"/>
      <c r="EZ2514" s="1"/>
      <c r="IS2514" s="1"/>
      <c r="IZ2514" s="1"/>
      <c r="JJ2514" s="1"/>
      <c r="JP2514" s="1"/>
      <c r="JQ2514" s="1"/>
    </row>
    <row r="2515" spans="4:339" ht="13" x14ac:dyDescent="0.15">
      <c r="D2515" s="12"/>
      <c r="E2515" s="12"/>
      <c r="I2515" s="12"/>
      <c r="J2515" s="13"/>
      <c r="BG2515" s="1"/>
      <c r="BH2515" s="1"/>
      <c r="BM2515" s="1"/>
      <c r="BN2515" s="1"/>
      <c r="CD2515" s="1"/>
      <c r="CK2515" s="1"/>
      <c r="CM2515" s="4"/>
      <c r="ED2515" s="1"/>
      <c r="EL2515" s="1"/>
      <c r="EM2515" s="1"/>
      <c r="EN2515" s="1"/>
      <c r="EQ2515" s="1"/>
      <c r="ER2515" s="1"/>
      <c r="ES2515" s="1"/>
      <c r="EV2515" s="1"/>
      <c r="EW2515" s="1"/>
      <c r="EZ2515" s="1"/>
      <c r="IS2515" s="1"/>
      <c r="IZ2515" s="1"/>
      <c r="JJ2515" s="1"/>
      <c r="JP2515" s="1"/>
      <c r="JQ2515" s="1"/>
    </row>
    <row r="2516" spans="4:339" ht="13" x14ac:dyDescent="0.15">
      <c r="D2516" s="12"/>
      <c r="E2516" s="12"/>
      <c r="I2516" s="12"/>
      <c r="J2516" s="13"/>
      <c r="BG2516" s="1"/>
      <c r="BH2516" s="1"/>
      <c r="BM2516" s="1"/>
      <c r="BN2516" s="1"/>
      <c r="CD2516" s="1"/>
      <c r="CK2516" s="1"/>
      <c r="CM2516" s="4"/>
      <c r="ED2516" s="1"/>
      <c r="EL2516" s="1"/>
      <c r="EM2516" s="1"/>
      <c r="EN2516" s="1"/>
      <c r="EQ2516" s="1"/>
      <c r="ER2516" s="1"/>
      <c r="ES2516" s="1"/>
      <c r="EV2516" s="1"/>
      <c r="EW2516" s="1"/>
      <c r="EZ2516" s="1"/>
      <c r="IS2516" s="1"/>
      <c r="IZ2516" s="1"/>
      <c r="JJ2516" s="1"/>
      <c r="JP2516" s="1"/>
      <c r="JQ2516" s="1"/>
    </row>
    <row r="2517" spans="4:339" ht="13" x14ac:dyDescent="0.15">
      <c r="D2517" s="12"/>
      <c r="E2517" s="12"/>
      <c r="I2517" s="12"/>
      <c r="J2517" s="13"/>
      <c r="BG2517" s="1"/>
      <c r="BH2517" s="1"/>
      <c r="BI2517" s="1"/>
      <c r="BK2517" s="1"/>
      <c r="BL2517" s="1"/>
      <c r="BM2517" s="1"/>
      <c r="BN2517" s="1"/>
      <c r="BO2517" s="1"/>
      <c r="BP2517" s="1"/>
      <c r="CD2517" s="1"/>
      <c r="CM2517" s="2"/>
      <c r="CP2517" s="1"/>
      <c r="CQ2517" s="1"/>
      <c r="CR2517" s="1"/>
      <c r="CT2517" s="1"/>
      <c r="CU2517" s="1"/>
      <c r="CV2517" s="1"/>
      <c r="CW2517" s="1"/>
      <c r="CX2517" s="1"/>
      <c r="CY2517" s="1"/>
      <c r="CZ2517" s="1"/>
      <c r="DA2517" s="1"/>
      <c r="DB2517" s="1"/>
      <c r="DC2517" s="1"/>
      <c r="DD2517" s="1"/>
      <c r="DE2517" s="1"/>
      <c r="DF2517" s="1"/>
      <c r="DG2517" s="1"/>
      <c r="DH2517" s="1"/>
      <c r="DI2517" s="1"/>
      <c r="DJ2517" s="1"/>
      <c r="DK2517" s="1"/>
      <c r="ED2517" s="1"/>
      <c r="EK2517" s="1"/>
      <c r="EL2517" s="1"/>
      <c r="EM2517" s="1"/>
      <c r="EN2517" s="1"/>
      <c r="EQ2517" s="1"/>
      <c r="ER2517" s="1"/>
      <c r="ES2517" s="1"/>
      <c r="EV2517" s="1"/>
      <c r="EW2517" s="1"/>
      <c r="EZ2517" s="1"/>
      <c r="GO2517" s="1"/>
      <c r="HY2517" s="1"/>
      <c r="IE2517" s="1"/>
      <c r="IS2517" s="1"/>
      <c r="IZ2517" s="1"/>
      <c r="JH2517" s="1"/>
      <c r="JJ2517" s="1"/>
      <c r="JP2517" s="1"/>
      <c r="JQ2517" s="1"/>
      <c r="JU2517" s="1"/>
      <c r="LZ2517" s="1"/>
      <c r="MA2517" s="1"/>
    </row>
    <row r="2518" spans="4:339" ht="13" x14ac:dyDescent="0.15">
      <c r="D2518" s="12"/>
      <c r="E2518" s="12"/>
      <c r="I2518" s="12"/>
      <c r="J2518" s="13"/>
      <c r="BG2518" s="1"/>
      <c r="BH2518" s="1"/>
      <c r="BI2518" s="1"/>
      <c r="BK2518" s="1"/>
      <c r="BL2518" s="1"/>
      <c r="BM2518" s="1"/>
      <c r="BN2518" s="1"/>
      <c r="BO2518" s="1"/>
      <c r="BP2518" s="1"/>
      <c r="CD2518" s="1"/>
      <c r="CM2518" s="2"/>
      <c r="CP2518" s="1"/>
      <c r="CQ2518" s="1"/>
      <c r="CR2518" s="1"/>
      <c r="CT2518" s="1"/>
      <c r="CU2518" s="1"/>
      <c r="CV2518" s="1"/>
      <c r="CW2518" s="1"/>
      <c r="CX2518" s="1"/>
      <c r="CY2518" s="1"/>
      <c r="CZ2518" s="1"/>
      <c r="DA2518" s="1"/>
      <c r="DB2518" s="1"/>
      <c r="DC2518" s="1"/>
      <c r="DD2518" s="1"/>
      <c r="DE2518" s="1"/>
      <c r="DF2518" s="1"/>
      <c r="DG2518" s="1"/>
      <c r="DH2518" s="1"/>
      <c r="DI2518" s="1"/>
      <c r="DJ2518" s="1"/>
      <c r="DK2518" s="1"/>
      <c r="ED2518" s="1"/>
      <c r="EK2518" s="1"/>
      <c r="EL2518" s="1"/>
      <c r="EM2518" s="1"/>
      <c r="EN2518" s="1"/>
      <c r="EQ2518" s="1"/>
      <c r="ER2518" s="1"/>
      <c r="ES2518" s="1"/>
      <c r="EV2518" s="1"/>
      <c r="EW2518" s="1"/>
      <c r="EZ2518" s="1"/>
      <c r="GO2518" s="1"/>
      <c r="HY2518" s="1"/>
      <c r="IE2518" s="1"/>
      <c r="IS2518" s="1"/>
      <c r="IZ2518" s="1"/>
      <c r="JH2518" s="1"/>
      <c r="JJ2518" s="1"/>
      <c r="JP2518" s="1"/>
      <c r="JQ2518" s="1"/>
      <c r="JU2518" s="1"/>
      <c r="LZ2518" s="1"/>
      <c r="MA2518" s="1"/>
    </row>
    <row r="2519" spans="4:339" ht="13" x14ac:dyDescent="0.15">
      <c r="D2519" s="12"/>
      <c r="E2519" s="12"/>
      <c r="I2519" s="12"/>
      <c r="J2519" s="13"/>
      <c r="BF2519" s="1"/>
      <c r="BG2519" s="1"/>
      <c r="BH2519" s="1"/>
      <c r="BI2519" s="1"/>
      <c r="BK2519" s="1"/>
      <c r="BL2519" s="1"/>
      <c r="BM2519" s="1"/>
      <c r="BN2519" s="1"/>
      <c r="BO2519" s="1"/>
      <c r="CD2519" s="1"/>
      <c r="CM2519" s="2"/>
      <c r="ED2519" s="1"/>
      <c r="EL2519" s="1"/>
      <c r="EM2519" s="1"/>
      <c r="EN2519" s="1"/>
      <c r="EQ2519" s="1"/>
      <c r="ER2519" s="1"/>
      <c r="ES2519" s="1"/>
      <c r="EV2519" s="1"/>
      <c r="EW2519" s="1"/>
      <c r="EZ2519" s="1"/>
      <c r="HY2519" s="1"/>
      <c r="IS2519" s="1"/>
      <c r="IZ2519" s="1"/>
      <c r="JJ2519" s="1"/>
      <c r="JP2519" s="1"/>
      <c r="JQ2519" s="1"/>
    </row>
    <row r="2520" spans="4:339" ht="13" x14ac:dyDescent="0.15">
      <c r="D2520" s="12"/>
      <c r="E2520" s="12"/>
      <c r="I2520" s="12"/>
      <c r="J2520" s="13"/>
      <c r="BG2520" s="1"/>
      <c r="BH2520" s="1"/>
      <c r="BI2520" s="1"/>
      <c r="BK2520" s="1"/>
      <c r="BL2520" s="1"/>
      <c r="BM2520" s="1"/>
      <c r="BN2520" s="1"/>
      <c r="BO2520" s="1"/>
      <c r="CD2520" s="1"/>
      <c r="CM2520" s="2"/>
      <c r="ED2520" s="1"/>
      <c r="EL2520" s="1"/>
      <c r="EM2520" s="1"/>
      <c r="EN2520" s="1"/>
      <c r="EQ2520" s="1"/>
      <c r="ER2520" s="1"/>
      <c r="ES2520" s="1"/>
      <c r="EV2520" s="1"/>
      <c r="EW2520" s="1"/>
      <c r="EZ2520" s="1"/>
      <c r="HY2520" s="1"/>
      <c r="IS2520" s="1"/>
      <c r="IZ2520" s="1"/>
      <c r="JJ2520" s="1"/>
      <c r="JP2520" s="1"/>
      <c r="JQ2520" s="1"/>
    </row>
    <row r="2521" spans="4:339" ht="13" x14ac:dyDescent="0.15">
      <c r="D2521" s="12"/>
      <c r="E2521" s="12"/>
      <c r="I2521" s="12"/>
      <c r="J2521" s="13"/>
      <c r="BG2521" s="1"/>
      <c r="BH2521" s="1"/>
      <c r="BN2521" s="1"/>
      <c r="CD2521" s="1"/>
      <c r="CM2521" s="2"/>
      <c r="ED2521" s="1"/>
      <c r="EL2521" s="1"/>
      <c r="EM2521" s="1"/>
      <c r="EN2521" s="1"/>
      <c r="EQ2521" s="1"/>
      <c r="ER2521" s="1"/>
      <c r="ES2521" s="1"/>
      <c r="EV2521" s="1"/>
      <c r="EW2521" s="1"/>
      <c r="EZ2521" s="1"/>
      <c r="IS2521" s="1"/>
      <c r="IZ2521" s="1"/>
      <c r="JJ2521" s="1"/>
      <c r="JP2521" s="1"/>
      <c r="JQ2521" s="1"/>
      <c r="LZ2521" s="1"/>
    </row>
    <row r="2522" spans="4:339" ht="13" x14ac:dyDescent="0.15">
      <c r="D2522" s="12"/>
      <c r="E2522" s="12"/>
      <c r="I2522" s="12"/>
      <c r="J2522" s="13"/>
      <c r="BG2522" s="1"/>
      <c r="BH2522" s="1"/>
      <c r="BI2522" s="1"/>
      <c r="BJ2522" s="1"/>
      <c r="BK2522" s="1"/>
      <c r="BL2522" s="1"/>
      <c r="BM2522" s="1"/>
      <c r="BN2522" s="1"/>
      <c r="BO2522" s="1"/>
      <c r="BP2522" s="1"/>
      <c r="CD2522" s="1"/>
      <c r="CM2522" s="2"/>
      <c r="CP2522" s="1"/>
      <c r="CQ2522" s="1"/>
      <c r="CR2522" s="1"/>
      <c r="CT2522" s="1"/>
      <c r="CU2522" s="1"/>
      <c r="CV2522" s="1"/>
      <c r="CW2522" s="1"/>
      <c r="CX2522" s="1"/>
      <c r="CY2522" s="1"/>
      <c r="CZ2522" s="1"/>
      <c r="DA2522" s="1"/>
      <c r="DB2522" s="1"/>
      <c r="DC2522" s="1"/>
      <c r="DD2522" s="1"/>
      <c r="DE2522" s="1"/>
      <c r="DF2522" s="1"/>
      <c r="DG2522" s="1"/>
      <c r="DH2522" s="1"/>
      <c r="DI2522" s="1"/>
      <c r="DJ2522" s="1"/>
      <c r="DK2522" s="1"/>
      <c r="ED2522" s="1"/>
      <c r="EE2522" s="1"/>
      <c r="EF2522" s="1"/>
      <c r="EG2522" s="1"/>
      <c r="EH2522" s="1"/>
      <c r="EK2522" s="1"/>
      <c r="EL2522" s="1"/>
      <c r="EM2522" s="1"/>
      <c r="EN2522" s="1"/>
      <c r="EQ2522" s="1"/>
      <c r="ER2522" s="1"/>
      <c r="ES2522" s="1"/>
      <c r="EV2522" s="1"/>
      <c r="EW2522" s="1"/>
      <c r="EY2522" s="1"/>
      <c r="EZ2522" s="1"/>
      <c r="GO2522" s="1"/>
      <c r="HY2522" s="1"/>
      <c r="IE2522" s="1"/>
      <c r="IG2522" s="1"/>
      <c r="IJ2522" s="1"/>
      <c r="IS2522" s="1"/>
      <c r="IZ2522" s="1"/>
      <c r="JJ2522" s="1"/>
      <c r="JK2522" s="1"/>
      <c r="JL2522" s="3"/>
      <c r="JM2522" s="1"/>
      <c r="JP2522" s="1"/>
      <c r="JQ2522" s="1"/>
      <c r="JR2522" s="1"/>
      <c r="LZ2522" s="1"/>
      <c r="MA2522" s="1"/>
    </row>
    <row r="2523" spans="4:339" ht="13" x14ac:dyDescent="0.15">
      <c r="D2523" s="12"/>
      <c r="E2523" s="12"/>
      <c r="I2523" s="12"/>
      <c r="J2523" s="13"/>
      <c r="BG2523" s="1"/>
      <c r="BH2523" s="1"/>
      <c r="BN2523" s="1"/>
      <c r="CD2523" s="1"/>
      <c r="CM2523" s="2"/>
      <c r="ED2523" s="1"/>
      <c r="EL2523" s="1"/>
      <c r="EM2523" s="1"/>
      <c r="EN2523" s="1"/>
      <c r="EQ2523" s="1"/>
      <c r="ER2523" s="1"/>
      <c r="ES2523" s="1"/>
      <c r="EV2523" s="1"/>
      <c r="EW2523" s="1"/>
      <c r="EZ2523" s="1"/>
      <c r="IS2523" s="1"/>
      <c r="IZ2523" s="1"/>
      <c r="JJ2523" s="1"/>
      <c r="JP2523" s="1"/>
      <c r="JQ2523" s="1"/>
    </row>
    <row r="2524" spans="4:339" ht="13" x14ac:dyDescent="0.15">
      <c r="D2524" s="12"/>
      <c r="E2524" s="12"/>
      <c r="I2524" s="12"/>
      <c r="J2524" s="13"/>
      <c r="BG2524" s="1"/>
      <c r="BH2524" s="1"/>
      <c r="BN2524" s="1"/>
      <c r="CD2524" s="1"/>
      <c r="CM2524" s="2"/>
      <c r="ED2524" s="1"/>
      <c r="EL2524" s="1"/>
      <c r="EM2524" s="1"/>
      <c r="EN2524" s="1"/>
      <c r="EQ2524" s="1"/>
      <c r="ER2524" s="1"/>
      <c r="ES2524" s="1"/>
      <c r="EV2524" s="1"/>
      <c r="EW2524" s="1"/>
      <c r="EZ2524" s="1"/>
      <c r="IS2524" s="1"/>
      <c r="IZ2524" s="1"/>
      <c r="JJ2524" s="1"/>
      <c r="JP2524" s="1"/>
      <c r="JQ2524" s="1"/>
    </row>
    <row r="2525" spans="4:339" ht="13" x14ac:dyDescent="0.15">
      <c r="D2525" s="12"/>
      <c r="E2525" s="12"/>
      <c r="I2525" s="12"/>
      <c r="J2525" s="13"/>
      <c r="BG2525" s="1"/>
      <c r="BH2525" s="1"/>
      <c r="BM2525" s="1"/>
      <c r="BN2525" s="1"/>
      <c r="CD2525" s="1"/>
      <c r="CM2525" s="2"/>
      <c r="ED2525" s="1"/>
      <c r="EL2525" s="1"/>
      <c r="EM2525" s="1"/>
      <c r="EN2525" s="1"/>
      <c r="EQ2525" s="1"/>
      <c r="ER2525" s="1"/>
      <c r="ES2525" s="1"/>
      <c r="EV2525" s="1"/>
      <c r="EW2525" s="1"/>
      <c r="EZ2525" s="1"/>
      <c r="IS2525" s="1"/>
      <c r="IZ2525" s="1"/>
      <c r="JJ2525" s="1"/>
      <c r="JP2525" s="1"/>
      <c r="JQ2525" s="1"/>
    </row>
    <row r="2526" spans="4:339" ht="13" x14ac:dyDescent="0.15">
      <c r="D2526" s="12"/>
      <c r="E2526" s="12"/>
      <c r="I2526" s="12"/>
      <c r="J2526" s="13"/>
      <c r="BG2526" s="1"/>
      <c r="BH2526" s="1"/>
      <c r="BM2526" s="1"/>
      <c r="BN2526" s="1"/>
      <c r="CD2526" s="1"/>
      <c r="CM2526" s="2"/>
      <c r="ED2526" s="1"/>
      <c r="EL2526" s="1"/>
      <c r="EM2526" s="1"/>
      <c r="EN2526" s="1"/>
      <c r="EQ2526" s="1"/>
      <c r="ER2526" s="1"/>
      <c r="ES2526" s="1"/>
      <c r="EV2526" s="1"/>
      <c r="EW2526" s="1"/>
      <c r="EZ2526" s="1"/>
      <c r="IS2526" s="1"/>
      <c r="IZ2526" s="1"/>
      <c r="JJ2526" s="1"/>
      <c r="JP2526" s="1"/>
      <c r="JQ2526" s="1"/>
    </row>
    <row r="2527" spans="4:339" ht="13" x14ac:dyDescent="0.15">
      <c r="D2527" s="12"/>
      <c r="E2527" s="12"/>
      <c r="I2527" s="12"/>
      <c r="J2527" s="13"/>
      <c r="BG2527" s="1"/>
      <c r="BH2527" s="1"/>
      <c r="BM2527" s="1"/>
      <c r="BN2527" s="1"/>
      <c r="CD2527" s="1"/>
      <c r="CM2527" s="2"/>
      <c r="ED2527" s="1"/>
      <c r="EL2527" s="1"/>
      <c r="EM2527" s="1"/>
      <c r="EN2527" s="1"/>
      <c r="EQ2527" s="1"/>
      <c r="ER2527" s="1"/>
      <c r="ES2527" s="1"/>
      <c r="EV2527" s="1"/>
      <c r="EW2527" s="1"/>
      <c r="EZ2527" s="1"/>
      <c r="IS2527" s="1"/>
      <c r="IZ2527" s="1"/>
      <c r="JJ2527" s="1"/>
      <c r="JP2527" s="1"/>
      <c r="JQ2527" s="1"/>
    </row>
    <row r="2528" spans="4:339" ht="13" x14ac:dyDescent="0.15">
      <c r="D2528" s="12"/>
      <c r="E2528" s="12"/>
      <c r="I2528" s="12"/>
      <c r="J2528" s="13"/>
      <c r="BM2528" s="1"/>
      <c r="BN2528" s="1"/>
      <c r="CM2528" s="2"/>
      <c r="ED2528" s="1"/>
      <c r="EL2528" s="1"/>
      <c r="EM2528" s="1"/>
      <c r="EN2528" s="1"/>
      <c r="EQ2528" s="1"/>
      <c r="ER2528" s="1"/>
      <c r="ES2528" s="1"/>
      <c r="EV2528" s="1"/>
      <c r="EW2528" s="1"/>
      <c r="EZ2528" s="1"/>
      <c r="IS2528" s="1"/>
      <c r="IZ2528" s="1"/>
      <c r="JJ2528" s="1"/>
      <c r="JP2528" s="1"/>
      <c r="JQ2528" s="1"/>
      <c r="LZ2528" s="1"/>
    </row>
    <row r="2529" spans="4:338" ht="13" x14ac:dyDescent="0.15">
      <c r="D2529" s="12"/>
      <c r="E2529" s="12"/>
      <c r="I2529" s="12"/>
      <c r="J2529" s="13"/>
      <c r="BM2529" s="1"/>
      <c r="BN2529" s="1"/>
      <c r="CM2529" s="2"/>
      <c r="ED2529" s="1"/>
      <c r="EL2529" s="1"/>
      <c r="EM2529" s="1"/>
      <c r="EN2529" s="1"/>
      <c r="EQ2529" s="1"/>
      <c r="ER2529" s="1"/>
      <c r="ES2529" s="1"/>
      <c r="EV2529" s="1"/>
      <c r="EW2529" s="1"/>
      <c r="EZ2529" s="1"/>
      <c r="IS2529" s="1"/>
      <c r="IZ2529" s="1"/>
      <c r="JJ2529" s="1"/>
      <c r="JP2529" s="1"/>
      <c r="JQ2529" s="1"/>
      <c r="LZ2529" s="1"/>
    </row>
    <row r="2530" spans="4:338" ht="13" x14ac:dyDescent="0.15">
      <c r="D2530" s="12"/>
      <c r="E2530" s="12"/>
      <c r="I2530" s="12"/>
      <c r="J2530" s="13"/>
      <c r="BM2530" s="1"/>
      <c r="BN2530" s="1"/>
      <c r="CM2530" s="2"/>
      <c r="ED2530" s="1"/>
      <c r="EL2530" s="1"/>
      <c r="EM2530" s="1"/>
      <c r="EN2530" s="1"/>
      <c r="EQ2530" s="1"/>
      <c r="ER2530" s="1"/>
      <c r="ES2530" s="1"/>
      <c r="EV2530" s="1"/>
      <c r="EW2530" s="1"/>
      <c r="EZ2530" s="1"/>
      <c r="IS2530" s="1"/>
      <c r="IZ2530" s="1"/>
      <c r="JJ2530" s="1"/>
      <c r="JP2530" s="1"/>
      <c r="JQ2530" s="1"/>
      <c r="LZ2530" s="1"/>
    </row>
    <row r="2531" spans="4:338" ht="13" x14ac:dyDescent="0.15">
      <c r="D2531" s="12"/>
      <c r="E2531" s="12"/>
      <c r="I2531" s="12"/>
      <c r="J2531" s="13"/>
      <c r="BF2531" s="1"/>
      <c r="BG2531" s="1"/>
      <c r="BH2531" s="1"/>
      <c r="BI2531" s="1"/>
      <c r="BJ2531" s="1"/>
      <c r="BK2531" s="1"/>
      <c r="BL2531" s="1"/>
      <c r="BM2531" s="1"/>
      <c r="BN2531" s="1"/>
      <c r="BO2531" s="1"/>
      <c r="CD2531" s="1"/>
      <c r="CM2531" s="2"/>
      <c r="ED2531" s="1"/>
      <c r="EL2531" s="1"/>
      <c r="EM2531" s="1"/>
      <c r="EN2531" s="1"/>
      <c r="EQ2531" s="1"/>
      <c r="ER2531" s="1"/>
      <c r="ES2531" s="1"/>
      <c r="EV2531" s="1"/>
      <c r="EW2531" s="1"/>
      <c r="EZ2531" s="1"/>
      <c r="HY2531" s="1"/>
      <c r="IS2531" s="1"/>
      <c r="IZ2531" s="1"/>
      <c r="JJ2531" s="1"/>
      <c r="JP2531" s="1"/>
      <c r="JQ2531" s="1"/>
    </row>
    <row r="2532" spans="4:338" ht="13" x14ac:dyDescent="0.15">
      <c r="D2532" s="12"/>
      <c r="E2532" s="12"/>
      <c r="I2532" s="12"/>
      <c r="J2532" s="13"/>
      <c r="BF2532" s="1"/>
      <c r="BG2532" s="1"/>
      <c r="BH2532" s="1"/>
      <c r="BI2532" s="1"/>
      <c r="BJ2532" s="1"/>
      <c r="BK2532" s="1"/>
      <c r="BL2532" s="1"/>
      <c r="BM2532" s="1"/>
      <c r="BN2532" s="1"/>
      <c r="BO2532" s="1"/>
      <c r="CD2532" s="1"/>
      <c r="CM2532" s="2"/>
      <c r="ED2532" s="1"/>
      <c r="EL2532" s="1"/>
      <c r="EM2532" s="1"/>
      <c r="EN2532" s="1"/>
      <c r="EQ2532" s="1"/>
      <c r="ER2532" s="1"/>
      <c r="ES2532" s="1"/>
      <c r="EV2532" s="1"/>
      <c r="EW2532" s="1"/>
      <c r="EZ2532" s="1"/>
      <c r="HY2532" s="1"/>
      <c r="IS2532" s="1"/>
      <c r="IZ2532" s="1"/>
      <c r="JJ2532" s="1"/>
      <c r="JP2532" s="1"/>
      <c r="JQ2532" s="1"/>
    </row>
    <row r="2533" spans="4:338" ht="13" x14ac:dyDescent="0.15">
      <c r="D2533" s="12"/>
      <c r="E2533" s="12"/>
      <c r="I2533" s="12"/>
      <c r="J2533" s="13"/>
      <c r="BF2533" s="1"/>
      <c r="BG2533" s="1"/>
      <c r="BH2533" s="1"/>
      <c r="BI2533" s="1"/>
      <c r="BJ2533" s="1"/>
      <c r="BK2533" s="1"/>
      <c r="BL2533" s="1"/>
      <c r="BM2533" s="1"/>
      <c r="BN2533" s="1"/>
      <c r="BO2533" s="1"/>
      <c r="CD2533" s="1"/>
      <c r="CM2533" s="2"/>
      <c r="ED2533" s="1"/>
      <c r="EL2533" s="1"/>
      <c r="EM2533" s="1"/>
      <c r="EN2533" s="1"/>
      <c r="EQ2533" s="1"/>
      <c r="ER2533" s="1"/>
      <c r="ES2533" s="1"/>
      <c r="EV2533" s="1"/>
      <c r="EW2533" s="1"/>
      <c r="EZ2533" s="1"/>
      <c r="HY2533" s="1"/>
      <c r="IS2533" s="1"/>
      <c r="IZ2533" s="1"/>
      <c r="JJ2533" s="1"/>
      <c r="JP2533" s="1"/>
      <c r="JQ2533" s="1"/>
    </row>
    <row r="2534" spans="4:338" ht="13" x14ac:dyDescent="0.15">
      <c r="D2534" s="12"/>
      <c r="E2534" s="12"/>
      <c r="I2534" s="12"/>
      <c r="J2534" s="13"/>
      <c r="BF2534" s="1"/>
      <c r="BG2534" s="1"/>
      <c r="BH2534" s="1"/>
      <c r="BI2534" s="1"/>
      <c r="BJ2534" s="1"/>
      <c r="BK2534" s="1"/>
      <c r="BL2534" s="1"/>
      <c r="BM2534" s="1"/>
      <c r="BN2534" s="1"/>
      <c r="BO2534" s="1"/>
      <c r="CD2534" s="1"/>
      <c r="CM2534" s="2"/>
      <c r="ED2534" s="1"/>
      <c r="EL2534" s="1"/>
      <c r="EM2534" s="1"/>
      <c r="EN2534" s="1"/>
      <c r="EQ2534" s="1"/>
      <c r="ER2534" s="1"/>
      <c r="ES2534" s="1"/>
      <c r="EV2534" s="1"/>
      <c r="EW2534" s="1"/>
      <c r="EZ2534" s="1"/>
      <c r="HY2534" s="1"/>
      <c r="IS2534" s="1"/>
      <c r="IZ2534" s="1"/>
      <c r="JJ2534" s="1"/>
      <c r="JP2534" s="1"/>
      <c r="JQ2534" s="1"/>
    </row>
    <row r="2535" spans="4:338" ht="13" x14ac:dyDescent="0.15">
      <c r="D2535" s="12"/>
      <c r="E2535" s="12"/>
      <c r="I2535" s="12"/>
      <c r="J2535" s="13"/>
      <c r="BG2535" s="1"/>
      <c r="BH2535" s="1"/>
      <c r="BN2535" s="1"/>
      <c r="CD2535" s="1"/>
      <c r="CM2535" s="2"/>
      <c r="ED2535" s="1"/>
      <c r="EL2535" s="1"/>
      <c r="EM2535" s="1"/>
      <c r="EN2535" s="1"/>
      <c r="EQ2535" s="1"/>
      <c r="ER2535" s="1"/>
      <c r="ES2535" s="1"/>
      <c r="EV2535" s="1"/>
      <c r="EW2535" s="1"/>
      <c r="EZ2535" s="1"/>
      <c r="IS2535" s="1"/>
      <c r="IZ2535" s="1"/>
      <c r="JJ2535" s="1"/>
      <c r="JP2535" s="1"/>
      <c r="JQ2535" s="1"/>
    </row>
    <row r="2536" spans="4:338" ht="13" x14ac:dyDescent="0.15">
      <c r="D2536" s="12"/>
      <c r="E2536" s="12"/>
      <c r="I2536" s="12"/>
      <c r="J2536" s="13"/>
      <c r="BG2536" s="1"/>
      <c r="BH2536" s="1"/>
      <c r="BI2536" s="1"/>
      <c r="BK2536" s="1"/>
      <c r="BL2536" s="1"/>
      <c r="BM2536" s="1"/>
      <c r="BN2536" s="1"/>
      <c r="CD2536" s="1"/>
      <c r="CM2536" s="2"/>
      <c r="ED2536" s="1"/>
      <c r="EL2536" s="1"/>
      <c r="EM2536" s="1"/>
      <c r="EN2536" s="1"/>
      <c r="EQ2536" s="1"/>
      <c r="ER2536" s="1"/>
      <c r="ES2536" s="1"/>
      <c r="EV2536" s="1"/>
      <c r="EW2536" s="1"/>
      <c r="EZ2536" s="1"/>
      <c r="IS2536" s="1"/>
      <c r="IZ2536" s="1"/>
      <c r="JJ2536" s="1"/>
      <c r="JP2536" s="1"/>
      <c r="JQ2536" s="1"/>
    </row>
    <row r="2537" spans="4:338" ht="13" x14ac:dyDescent="0.15">
      <c r="D2537" s="12"/>
      <c r="E2537" s="12"/>
      <c r="I2537" s="12"/>
      <c r="J2537" s="13"/>
      <c r="BM2537" s="1"/>
      <c r="BN2537" s="1"/>
      <c r="CM2537" s="2"/>
      <c r="ED2537" s="1"/>
      <c r="EL2537" s="1"/>
      <c r="EM2537" s="1"/>
      <c r="EN2537" s="1"/>
      <c r="EQ2537" s="1"/>
      <c r="ER2537" s="1"/>
      <c r="ES2537" s="1"/>
      <c r="EV2537" s="1"/>
      <c r="EW2537" s="1"/>
      <c r="EZ2537" s="1"/>
      <c r="IS2537" s="1"/>
      <c r="IZ2537" s="1"/>
      <c r="JJ2537" s="1"/>
      <c r="JP2537" s="1"/>
      <c r="JQ2537" s="1"/>
      <c r="LZ2537" s="1"/>
    </row>
    <row r="2538" spans="4:338" ht="13" x14ac:dyDescent="0.15">
      <c r="D2538" s="12"/>
      <c r="E2538" s="12"/>
      <c r="I2538" s="12"/>
      <c r="J2538" s="13"/>
      <c r="BM2538" s="1"/>
      <c r="BN2538" s="1"/>
      <c r="CM2538" s="2"/>
      <c r="ED2538" s="1"/>
      <c r="EL2538" s="1"/>
      <c r="EM2538" s="1"/>
      <c r="EN2538" s="1"/>
      <c r="EQ2538" s="1"/>
      <c r="ER2538" s="1"/>
      <c r="ES2538" s="1"/>
      <c r="EV2538" s="1"/>
      <c r="EW2538" s="1"/>
      <c r="EZ2538" s="1"/>
      <c r="IS2538" s="1"/>
      <c r="IZ2538" s="1"/>
      <c r="JJ2538" s="1"/>
      <c r="JP2538" s="1"/>
      <c r="JQ2538" s="1"/>
      <c r="LZ2538" s="1"/>
    </row>
    <row r="2539" spans="4:338" ht="13" x14ac:dyDescent="0.15">
      <c r="D2539" s="12"/>
      <c r="E2539" s="12"/>
      <c r="I2539" s="12"/>
      <c r="J2539" s="13"/>
      <c r="BM2539" s="1"/>
      <c r="BN2539" s="1"/>
      <c r="CM2539" s="2"/>
      <c r="ED2539" s="1"/>
      <c r="EL2539" s="1"/>
      <c r="EM2539" s="1"/>
      <c r="EN2539" s="1"/>
      <c r="EQ2539" s="1"/>
      <c r="ER2539" s="1"/>
      <c r="ES2539" s="1"/>
      <c r="EV2539" s="1"/>
      <c r="EW2539" s="1"/>
      <c r="EZ2539" s="1"/>
      <c r="IS2539" s="1"/>
      <c r="IZ2539" s="1"/>
      <c r="JJ2539" s="1"/>
      <c r="JP2539" s="1"/>
      <c r="JQ2539" s="1"/>
      <c r="LZ2539" s="1"/>
    </row>
    <row r="2540" spans="4:338" ht="13" x14ac:dyDescent="0.15">
      <c r="D2540" s="12"/>
      <c r="E2540" s="12"/>
      <c r="I2540" s="12"/>
      <c r="J2540" s="13"/>
      <c r="BG2540" s="1"/>
      <c r="BH2540" s="1"/>
      <c r="BI2540" s="1"/>
      <c r="BK2540" s="1"/>
      <c r="BL2540" s="1"/>
      <c r="BM2540" s="1"/>
      <c r="BN2540" s="1"/>
      <c r="CD2540" s="1"/>
      <c r="CM2540" s="2"/>
      <c r="ED2540" s="1"/>
      <c r="EL2540" s="1"/>
      <c r="EM2540" s="1"/>
      <c r="EN2540" s="1"/>
      <c r="EQ2540" s="1"/>
      <c r="ER2540" s="1"/>
      <c r="ES2540" s="1"/>
      <c r="EV2540" s="1"/>
      <c r="EW2540" s="1"/>
      <c r="EZ2540" s="1"/>
      <c r="HY2540" s="1"/>
      <c r="IS2540" s="1"/>
      <c r="IZ2540" s="1"/>
      <c r="JJ2540" s="1"/>
      <c r="JP2540" s="1"/>
      <c r="JQ2540" s="1"/>
    </row>
    <row r="2541" spans="4:338" ht="13" x14ac:dyDescent="0.15">
      <c r="D2541" s="12"/>
      <c r="E2541" s="12"/>
      <c r="I2541" s="12"/>
      <c r="J2541" s="13"/>
      <c r="BM2541" s="1"/>
      <c r="BN2541" s="1"/>
      <c r="CM2541" s="2"/>
      <c r="ED2541" s="1"/>
      <c r="EL2541" s="1"/>
      <c r="EM2541" s="1"/>
      <c r="EN2541" s="1"/>
      <c r="EQ2541" s="1"/>
      <c r="ER2541" s="1"/>
      <c r="ES2541" s="1"/>
      <c r="EV2541" s="1"/>
      <c r="EW2541" s="1"/>
      <c r="EZ2541" s="1"/>
      <c r="IS2541" s="1"/>
      <c r="IZ2541" s="1"/>
      <c r="JJ2541" s="1"/>
      <c r="JP2541" s="1"/>
      <c r="JQ2541" s="1"/>
      <c r="LZ2541" s="1"/>
    </row>
    <row r="2542" spans="4:338" ht="13" x14ac:dyDescent="0.15">
      <c r="D2542" s="12"/>
      <c r="E2542" s="12"/>
      <c r="I2542" s="12"/>
      <c r="J2542" s="13"/>
      <c r="BM2542" s="1"/>
      <c r="BN2542" s="1"/>
      <c r="CM2542" s="2"/>
      <c r="ED2542" s="1"/>
      <c r="EL2542" s="1"/>
      <c r="EM2542" s="1"/>
      <c r="EN2542" s="1"/>
      <c r="EQ2542" s="1"/>
      <c r="ER2542" s="1"/>
      <c r="ES2542" s="1"/>
      <c r="EV2542" s="1"/>
      <c r="EW2542" s="1"/>
      <c r="EZ2542" s="1"/>
      <c r="IS2542" s="1"/>
      <c r="IZ2542" s="1"/>
      <c r="JJ2542" s="1"/>
      <c r="JP2542" s="1"/>
      <c r="JQ2542" s="1"/>
      <c r="LZ2542" s="1"/>
    </row>
    <row r="2543" spans="4:338" ht="13" x14ac:dyDescent="0.15">
      <c r="D2543" s="12"/>
      <c r="E2543" s="12"/>
      <c r="I2543" s="12"/>
      <c r="J2543" s="13"/>
      <c r="BM2543" s="1"/>
      <c r="BN2543" s="1"/>
      <c r="CM2543" s="2"/>
      <c r="ED2543" s="1"/>
      <c r="EL2543" s="1"/>
      <c r="EM2543" s="1"/>
      <c r="EN2543" s="1"/>
      <c r="EQ2543" s="1"/>
      <c r="ER2543" s="1"/>
      <c r="ES2543" s="1"/>
      <c r="EV2543" s="1"/>
      <c r="EW2543" s="1"/>
      <c r="EZ2543" s="1"/>
      <c r="IS2543" s="1"/>
      <c r="IZ2543" s="1"/>
      <c r="JJ2543" s="1"/>
      <c r="JP2543" s="1"/>
      <c r="JQ2543" s="1"/>
      <c r="LZ2543" s="1"/>
    </row>
    <row r="2544" spans="4:338" ht="13" x14ac:dyDescent="0.15">
      <c r="D2544" s="12"/>
      <c r="E2544" s="12"/>
      <c r="I2544" s="12"/>
      <c r="J2544" s="13"/>
      <c r="BM2544" s="1"/>
      <c r="BN2544" s="1"/>
      <c r="CM2544" s="2"/>
      <c r="ED2544" s="1"/>
      <c r="EL2544" s="1"/>
      <c r="EM2544" s="1"/>
      <c r="EN2544" s="1"/>
      <c r="EQ2544" s="1"/>
      <c r="ER2544" s="1"/>
      <c r="ES2544" s="1"/>
      <c r="EV2544" s="1"/>
      <c r="EW2544" s="1"/>
      <c r="EZ2544" s="1"/>
      <c r="IS2544" s="1"/>
      <c r="IZ2544" s="1"/>
      <c r="JJ2544" s="1"/>
      <c r="JP2544" s="1"/>
      <c r="JQ2544" s="1"/>
      <c r="LZ2544" s="1"/>
    </row>
    <row r="2545" spans="4:338" ht="13" x14ac:dyDescent="0.15">
      <c r="D2545" s="12"/>
      <c r="E2545" s="12"/>
      <c r="I2545" s="12"/>
      <c r="J2545" s="13"/>
      <c r="BM2545" s="1"/>
      <c r="BN2545" s="1"/>
      <c r="CM2545" s="2"/>
      <c r="ED2545" s="1"/>
      <c r="EL2545" s="1"/>
      <c r="EM2545" s="1"/>
      <c r="EN2545" s="1"/>
      <c r="EQ2545" s="1"/>
      <c r="ER2545" s="1"/>
      <c r="ES2545" s="1"/>
      <c r="EV2545" s="1"/>
      <c r="EW2545" s="1"/>
      <c r="EZ2545" s="1"/>
      <c r="IS2545" s="1"/>
      <c r="IZ2545" s="1"/>
      <c r="JJ2545" s="1"/>
      <c r="JP2545" s="1"/>
      <c r="JQ2545" s="1"/>
      <c r="LZ2545" s="1"/>
    </row>
    <row r="2546" spans="4:338" ht="13" x14ac:dyDescent="0.15">
      <c r="D2546" s="12"/>
      <c r="E2546" s="12"/>
      <c r="I2546" s="12"/>
      <c r="J2546" s="13"/>
      <c r="BM2546" s="1"/>
      <c r="BN2546" s="1"/>
      <c r="CM2546" s="2"/>
      <c r="ED2546" s="1"/>
      <c r="EL2546" s="1"/>
      <c r="EM2546" s="1"/>
      <c r="EN2546" s="1"/>
      <c r="EQ2546" s="1"/>
      <c r="ER2546" s="1"/>
      <c r="ES2546" s="1"/>
      <c r="EV2546" s="1"/>
      <c r="EW2546" s="1"/>
      <c r="EZ2546" s="1"/>
      <c r="IS2546" s="1"/>
      <c r="IZ2546" s="1"/>
      <c r="JJ2546" s="1"/>
      <c r="JP2546" s="1"/>
      <c r="JQ2546" s="1"/>
      <c r="LZ2546" s="1"/>
    </row>
    <row r="2547" spans="4:338" ht="13" x14ac:dyDescent="0.15">
      <c r="D2547" s="12"/>
      <c r="E2547" s="12"/>
      <c r="I2547" s="12"/>
      <c r="J2547" s="13"/>
      <c r="BM2547" s="1"/>
      <c r="BN2547" s="1"/>
      <c r="CM2547" s="2"/>
      <c r="ED2547" s="1"/>
      <c r="EL2547" s="1"/>
      <c r="EM2547" s="1"/>
      <c r="EN2547" s="1"/>
      <c r="EQ2547" s="1"/>
      <c r="ER2547" s="1"/>
      <c r="ES2547" s="1"/>
      <c r="EV2547" s="1"/>
      <c r="EW2547" s="1"/>
      <c r="EZ2547" s="1"/>
      <c r="IS2547" s="1"/>
      <c r="IZ2547" s="1"/>
      <c r="JJ2547" s="1"/>
      <c r="JP2547" s="1"/>
      <c r="JQ2547" s="1"/>
      <c r="LZ2547" s="1"/>
    </row>
    <row r="2548" spans="4:338" ht="13" x14ac:dyDescent="0.15">
      <c r="D2548" s="12"/>
      <c r="E2548" s="12"/>
      <c r="I2548" s="12"/>
      <c r="J2548" s="13"/>
      <c r="BM2548" s="1"/>
      <c r="BN2548" s="1"/>
      <c r="CM2548" s="2"/>
      <c r="ED2548" s="1"/>
      <c r="EL2548" s="1"/>
      <c r="EM2548" s="1"/>
      <c r="EN2548" s="1"/>
      <c r="EQ2548" s="1"/>
      <c r="ER2548" s="1"/>
      <c r="ES2548" s="1"/>
      <c r="EV2548" s="1"/>
      <c r="EW2548" s="1"/>
      <c r="EZ2548" s="1"/>
      <c r="IS2548" s="1"/>
      <c r="IZ2548" s="1"/>
      <c r="JJ2548" s="1"/>
      <c r="JP2548" s="1"/>
      <c r="JQ2548" s="1"/>
      <c r="LZ2548" s="1"/>
    </row>
    <row r="2549" spans="4:338" ht="13" x14ac:dyDescent="0.15">
      <c r="D2549" s="12"/>
      <c r="E2549" s="12"/>
      <c r="I2549" s="12"/>
      <c r="J2549" s="13"/>
      <c r="BM2549" s="1"/>
      <c r="BN2549" s="1"/>
      <c r="CM2549" s="2"/>
      <c r="ED2549" s="1"/>
      <c r="EL2549" s="1"/>
      <c r="EM2549" s="1"/>
      <c r="EN2549" s="1"/>
      <c r="EQ2549" s="1"/>
      <c r="ER2549" s="1"/>
      <c r="ES2549" s="1"/>
      <c r="EV2549" s="1"/>
      <c r="EW2549" s="1"/>
      <c r="EZ2549" s="1"/>
      <c r="IS2549" s="1"/>
      <c r="IZ2549" s="1"/>
      <c r="JJ2549" s="1"/>
      <c r="JP2549" s="1"/>
      <c r="JQ2549" s="1"/>
      <c r="LZ2549" s="1"/>
    </row>
    <row r="2550" spans="4:338" ht="13" x14ac:dyDescent="0.15">
      <c r="D2550" s="12"/>
      <c r="E2550" s="12"/>
      <c r="I2550" s="12"/>
      <c r="J2550" s="13"/>
      <c r="BM2550" s="1"/>
      <c r="BN2550" s="1"/>
      <c r="CM2550" s="2"/>
      <c r="ED2550" s="1"/>
      <c r="EL2550" s="1"/>
      <c r="EM2550" s="1"/>
      <c r="EN2550" s="1"/>
      <c r="EQ2550" s="1"/>
      <c r="ER2550" s="1"/>
      <c r="ES2550" s="1"/>
      <c r="EV2550" s="1"/>
      <c r="EW2550" s="1"/>
      <c r="EZ2550" s="1"/>
      <c r="IS2550" s="1"/>
      <c r="IZ2550" s="1"/>
      <c r="JJ2550" s="1"/>
      <c r="JP2550" s="1"/>
      <c r="JQ2550" s="1"/>
      <c r="LZ2550" s="1"/>
    </row>
    <row r="2551" spans="4:338" ht="13" x14ac:dyDescent="0.15">
      <c r="D2551" s="12"/>
      <c r="E2551" s="12"/>
      <c r="I2551" s="12"/>
      <c r="J2551" s="13"/>
      <c r="BM2551" s="1"/>
      <c r="BN2551" s="1"/>
      <c r="CM2551" s="2"/>
      <c r="ED2551" s="1"/>
      <c r="EL2551" s="1"/>
      <c r="EM2551" s="1"/>
      <c r="EN2551" s="1"/>
      <c r="EQ2551" s="1"/>
      <c r="ER2551" s="1"/>
      <c r="ES2551" s="1"/>
      <c r="EV2551" s="1"/>
      <c r="EW2551" s="1"/>
      <c r="EZ2551" s="1"/>
      <c r="IS2551" s="1"/>
      <c r="IZ2551" s="1"/>
      <c r="JJ2551" s="1"/>
      <c r="JP2551" s="1"/>
      <c r="JQ2551" s="1"/>
      <c r="LZ2551" s="1"/>
    </row>
    <row r="2552" spans="4:338" ht="13" x14ac:dyDescent="0.15">
      <c r="D2552" s="12"/>
      <c r="E2552" s="12"/>
      <c r="I2552" s="12"/>
      <c r="J2552" s="13"/>
      <c r="BM2552" s="1"/>
      <c r="BN2552" s="1"/>
      <c r="CM2552" s="2"/>
      <c r="ED2552" s="1"/>
      <c r="EL2552" s="1"/>
      <c r="EM2552" s="1"/>
      <c r="EN2552" s="1"/>
      <c r="EQ2552" s="1"/>
      <c r="ER2552" s="1"/>
      <c r="ES2552" s="1"/>
      <c r="EV2552" s="1"/>
      <c r="EW2552" s="1"/>
      <c r="EZ2552" s="1"/>
      <c r="IS2552" s="1"/>
      <c r="IZ2552" s="1"/>
      <c r="JJ2552" s="1"/>
      <c r="JP2552" s="1"/>
      <c r="JQ2552" s="1"/>
      <c r="LZ2552" s="1"/>
    </row>
    <row r="2553" spans="4:338" ht="13" x14ac:dyDescent="0.15">
      <c r="D2553" s="12"/>
      <c r="E2553" s="12"/>
      <c r="I2553" s="12"/>
      <c r="J2553" s="13"/>
      <c r="BG2553" s="1"/>
      <c r="BH2553" s="1"/>
      <c r="BI2553" s="1"/>
      <c r="BJ2553" s="1"/>
      <c r="BK2553" s="1"/>
      <c r="BL2553" s="1"/>
      <c r="BM2553" s="1"/>
      <c r="BN2553" s="1"/>
      <c r="CD2553" s="1"/>
      <c r="CM2553" s="2"/>
      <c r="ED2553" s="1"/>
      <c r="EL2553" s="1"/>
      <c r="EM2553" s="1"/>
      <c r="EN2553" s="1"/>
      <c r="EQ2553" s="1"/>
      <c r="ER2553" s="1"/>
      <c r="ES2553" s="1"/>
      <c r="EV2553" s="1"/>
      <c r="EW2553" s="1"/>
      <c r="EZ2553" s="1"/>
      <c r="IR2553" s="1"/>
      <c r="IS2553" s="1"/>
      <c r="IZ2553" s="1"/>
      <c r="JJ2553" s="1"/>
      <c r="JP2553" s="1"/>
      <c r="JQ2553" s="1"/>
    </row>
    <row r="2554" spans="4:338" ht="13" x14ac:dyDescent="0.15">
      <c r="D2554" s="12"/>
      <c r="E2554" s="12"/>
      <c r="I2554" s="12"/>
      <c r="J2554" s="13"/>
      <c r="BM2554" s="1"/>
      <c r="BN2554" s="1"/>
      <c r="CM2554" s="2"/>
      <c r="ED2554" s="1"/>
      <c r="EL2554" s="1"/>
      <c r="EM2554" s="1"/>
      <c r="EN2554" s="1"/>
      <c r="EQ2554" s="1"/>
      <c r="ER2554" s="1"/>
      <c r="ES2554" s="1"/>
      <c r="EV2554" s="1"/>
      <c r="EW2554" s="1"/>
      <c r="EZ2554" s="1"/>
      <c r="IS2554" s="1"/>
      <c r="IZ2554" s="1"/>
      <c r="JJ2554" s="1"/>
      <c r="JP2554" s="1"/>
      <c r="JQ2554" s="1"/>
      <c r="LZ2554" s="1"/>
    </row>
    <row r="2555" spans="4:338" ht="13" x14ac:dyDescent="0.15">
      <c r="D2555" s="12"/>
      <c r="E2555" s="12"/>
      <c r="I2555" s="12"/>
      <c r="J2555" s="13"/>
      <c r="BM2555" s="1"/>
      <c r="BN2555" s="1"/>
      <c r="CM2555" s="2"/>
      <c r="ED2555" s="1"/>
      <c r="EL2555" s="1"/>
      <c r="EM2555" s="1"/>
      <c r="EN2555" s="1"/>
      <c r="EQ2555" s="1"/>
      <c r="ER2555" s="1"/>
      <c r="ES2555" s="1"/>
      <c r="EV2555" s="1"/>
      <c r="EW2555" s="1"/>
      <c r="EZ2555" s="1"/>
      <c r="IS2555" s="1"/>
      <c r="IZ2555" s="1"/>
      <c r="JJ2555" s="1"/>
      <c r="JP2555" s="1"/>
      <c r="JQ2555" s="1"/>
      <c r="LZ2555" s="1"/>
    </row>
    <row r="2556" spans="4:338" ht="13" x14ac:dyDescent="0.15">
      <c r="D2556" s="12"/>
      <c r="E2556" s="12"/>
      <c r="I2556" s="12"/>
      <c r="J2556" s="13"/>
      <c r="BM2556" s="1"/>
      <c r="BN2556" s="1"/>
      <c r="CM2556" s="2"/>
      <c r="ED2556" s="1"/>
      <c r="EL2556" s="1"/>
      <c r="EM2556" s="1"/>
      <c r="EN2556" s="1"/>
      <c r="EQ2556" s="1"/>
      <c r="ER2556" s="1"/>
      <c r="ES2556" s="1"/>
      <c r="EV2556" s="1"/>
      <c r="EW2556" s="1"/>
      <c r="EZ2556" s="1"/>
      <c r="IS2556" s="1"/>
      <c r="IZ2556" s="1"/>
      <c r="JJ2556" s="1"/>
      <c r="JP2556" s="1"/>
      <c r="JQ2556" s="1"/>
      <c r="LZ2556" s="1"/>
    </row>
    <row r="2557" spans="4:338" ht="13" x14ac:dyDescent="0.15">
      <c r="D2557" s="12"/>
      <c r="E2557" s="12"/>
      <c r="I2557" s="12"/>
      <c r="J2557" s="13"/>
      <c r="BM2557" s="1"/>
      <c r="BN2557" s="1"/>
      <c r="CM2557" s="2"/>
      <c r="ED2557" s="1"/>
      <c r="EL2557" s="1"/>
      <c r="EM2557" s="1"/>
      <c r="EN2557" s="1"/>
      <c r="EQ2557" s="1"/>
      <c r="ER2557" s="1"/>
      <c r="ES2557" s="1"/>
      <c r="EV2557" s="1"/>
      <c r="EW2557" s="1"/>
      <c r="EZ2557" s="1"/>
      <c r="IS2557" s="1"/>
      <c r="IZ2557" s="1"/>
      <c r="JJ2557" s="1"/>
      <c r="JP2557" s="1"/>
      <c r="JQ2557" s="1"/>
      <c r="LZ2557" s="1"/>
    </row>
    <row r="2558" spans="4:338" ht="13" x14ac:dyDescent="0.15">
      <c r="D2558" s="12"/>
      <c r="E2558" s="12"/>
      <c r="I2558" s="12"/>
      <c r="J2558" s="13"/>
      <c r="BM2558" s="1"/>
      <c r="BN2558" s="1"/>
      <c r="CM2558" s="2"/>
      <c r="ED2558" s="1"/>
      <c r="EL2558" s="1"/>
      <c r="EM2558" s="1"/>
      <c r="EN2558" s="1"/>
      <c r="EQ2558" s="1"/>
      <c r="ER2558" s="1"/>
      <c r="ES2558" s="1"/>
      <c r="EV2558" s="1"/>
      <c r="EW2558" s="1"/>
      <c r="EZ2558" s="1"/>
      <c r="IS2558" s="1"/>
      <c r="IZ2558" s="1"/>
      <c r="JJ2558" s="1"/>
      <c r="JP2558" s="1"/>
      <c r="JQ2558" s="1"/>
      <c r="LZ2558" s="1"/>
    </row>
    <row r="2559" spans="4:338" ht="13" x14ac:dyDescent="0.15">
      <c r="D2559" s="12"/>
      <c r="E2559" s="12"/>
      <c r="I2559" s="12"/>
      <c r="J2559" s="13"/>
      <c r="BM2559" s="1"/>
      <c r="BN2559" s="1"/>
      <c r="CM2559" s="2"/>
      <c r="ED2559" s="1"/>
      <c r="EL2559" s="1"/>
      <c r="EM2559" s="1"/>
      <c r="EN2559" s="1"/>
      <c r="EQ2559" s="1"/>
      <c r="ER2559" s="1"/>
      <c r="ES2559" s="1"/>
      <c r="EV2559" s="1"/>
      <c r="EW2559" s="1"/>
      <c r="EZ2559" s="1"/>
      <c r="IS2559" s="1"/>
      <c r="IZ2559" s="1"/>
      <c r="JJ2559" s="1"/>
      <c r="JP2559" s="1"/>
      <c r="JQ2559" s="1"/>
      <c r="LZ2559" s="1"/>
    </row>
    <row r="2560" spans="4:338" ht="13" x14ac:dyDescent="0.15">
      <c r="D2560" s="12"/>
      <c r="E2560" s="12"/>
      <c r="I2560" s="12"/>
      <c r="J2560" s="13"/>
      <c r="BG2560" s="1"/>
      <c r="BH2560" s="1"/>
      <c r="BI2560" s="1"/>
      <c r="BK2560" s="1"/>
      <c r="BL2560" s="1"/>
      <c r="BM2560" s="1"/>
      <c r="BN2560" s="1"/>
      <c r="BO2560" s="1"/>
      <c r="CD2560" s="1"/>
      <c r="CM2560" s="2"/>
      <c r="ED2560" s="1"/>
      <c r="EL2560" s="1"/>
      <c r="EM2560" s="1"/>
      <c r="EN2560" s="1"/>
      <c r="EQ2560" s="1"/>
      <c r="ER2560" s="1"/>
      <c r="ES2560" s="1"/>
      <c r="EV2560" s="1"/>
      <c r="EW2560" s="1"/>
      <c r="EZ2560" s="1"/>
      <c r="IS2560" s="1"/>
      <c r="IZ2560" s="1"/>
      <c r="JH2560" s="1"/>
      <c r="JJ2560" s="1"/>
      <c r="JP2560" s="1"/>
      <c r="JQ2560" s="1"/>
      <c r="JU2560" s="1"/>
    </row>
    <row r="2561" spans="4:338" ht="13" x14ac:dyDescent="0.15">
      <c r="D2561" s="12"/>
      <c r="E2561" s="12"/>
      <c r="I2561" s="12"/>
      <c r="J2561" s="13"/>
      <c r="BM2561" s="1"/>
      <c r="BN2561" s="1"/>
      <c r="CM2561" s="2"/>
      <c r="ED2561" s="1"/>
      <c r="EL2561" s="1"/>
      <c r="EM2561" s="1"/>
      <c r="EN2561" s="1"/>
      <c r="EQ2561" s="1"/>
      <c r="ER2561" s="1"/>
      <c r="ES2561" s="1"/>
      <c r="EV2561" s="1"/>
      <c r="EW2561" s="1"/>
      <c r="EZ2561" s="1"/>
      <c r="IS2561" s="1"/>
      <c r="IZ2561" s="1"/>
      <c r="JJ2561" s="1"/>
      <c r="JP2561" s="1"/>
      <c r="JQ2561" s="1"/>
      <c r="LZ2561" s="1"/>
    </row>
    <row r="2562" spans="4:338" ht="13" x14ac:dyDescent="0.15">
      <c r="D2562" s="12"/>
      <c r="E2562" s="12"/>
      <c r="I2562" s="12"/>
      <c r="J2562" s="13"/>
      <c r="BM2562" s="1"/>
      <c r="BN2562" s="1"/>
      <c r="CM2562" s="2"/>
      <c r="ED2562" s="1"/>
      <c r="EL2562" s="1"/>
      <c r="EM2562" s="1"/>
      <c r="EN2562" s="1"/>
      <c r="EQ2562" s="1"/>
      <c r="ER2562" s="1"/>
      <c r="ES2562" s="1"/>
      <c r="EV2562" s="1"/>
      <c r="EW2562" s="1"/>
      <c r="EZ2562" s="1"/>
      <c r="IS2562" s="1"/>
      <c r="IZ2562" s="1"/>
      <c r="JJ2562" s="1"/>
      <c r="JP2562" s="1"/>
      <c r="JQ2562" s="1"/>
      <c r="LZ2562" s="1"/>
    </row>
    <row r="2563" spans="4:338" ht="13" x14ac:dyDescent="0.15">
      <c r="D2563" s="12"/>
      <c r="E2563" s="12"/>
      <c r="I2563" s="12"/>
      <c r="J2563" s="13"/>
      <c r="BM2563" s="1"/>
      <c r="BN2563" s="1"/>
      <c r="CM2563" s="2"/>
      <c r="ED2563" s="1"/>
      <c r="EL2563" s="1"/>
      <c r="EM2563" s="1"/>
      <c r="EN2563" s="1"/>
      <c r="EQ2563" s="1"/>
      <c r="ER2563" s="1"/>
      <c r="ES2563" s="1"/>
      <c r="EV2563" s="1"/>
      <c r="EW2563" s="1"/>
      <c r="EZ2563" s="1"/>
      <c r="IS2563" s="1"/>
      <c r="IZ2563" s="1"/>
      <c r="JJ2563" s="1"/>
      <c r="JP2563" s="1"/>
      <c r="JQ2563" s="1"/>
      <c r="LZ2563" s="1"/>
    </row>
    <row r="2564" spans="4:338" ht="13" x14ac:dyDescent="0.15">
      <c r="D2564" s="12"/>
      <c r="E2564" s="12"/>
      <c r="I2564" s="12"/>
      <c r="J2564" s="13"/>
      <c r="BM2564" s="1"/>
      <c r="BN2564" s="1"/>
      <c r="CM2564" s="2"/>
      <c r="ED2564" s="1"/>
      <c r="EL2564" s="1"/>
      <c r="EM2564" s="1"/>
      <c r="EN2564" s="1"/>
      <c r="EQ2564" s="1"/>
      <c r="ER2564" s="1"/>
      <c r="ES2564" s="1"/>
      <c r="EV2564" s="1"/>
      <c r="EW2564" s="1"/>
      <c r="EZ2564" s="1"/>
      <c r="IS2564" s="1"/>
      <c r="IZ2564" s="1"/>
      <c r="JJ2564" s="1"/>
      <c r="JP2564" s="1"/>
      <c r="JQ2564" s="1"/>
      <c r="LZ2564" s="1"/>
    </row>
    <row r="2565" spans="4:338" ht="13" x14ac:dyDescent="0.15">
      <c r="D2565" s="12"/>
      <c r="E2565" s="12"/>
      <c r="I2565" s="12"/>
      <c r="J2565" s="13"/>
      <c r="BG2565" s="1"/>
      <c r="BH2565" s="1"/>
      <c r="BI2565" s="1"/>
      <c r="BK2565" s="1"/>
      <c r="BM2565" s="1"/>
      <c r="BN2565" s="1"/>
      <c r="CD2565" s="1"/>
      <c r="CM2565" s="2"/>
      <c r="ED2565" s="1"/>
      <c r="EL2565" s="1"/>
      <c r="EM2565" s="1"/>
      <c r="EN2565" s="1"/>
      <c r="EQ2565" s="1"/>
      <c r="ER2565" s="1"/>
      <c r="ES2565" s="1"/>
      <c r="EV2565" s="1"/>
      <c r="EW2565" s="1"/>
      <c r="EZ2565" s="1"/>
      <c r="IS2565" s="1"/>
      <c r="IZ2565" s="1"/>
      <c r="JJ2565" s="1"/>
      <c r="JP2565" s="1"/>
      <c r="JQ2565" s="1"/>
      <c r="LZ2565" s="1"/>
    </row>
    <row r="2566" spans="4:338" ht="13" x14ac:dyDescent="0.15">
      <c r="D2566" s="12"/>
      <c r="E2566" s="12"/>
      <c r="I2566" s="12"/>
      <c r="J2566" s="13"/>
      <c r="BM2566" s="1"/>
      <c r="BN2566" s="1"/>
      <c r="CM2566" s="2"/>
      <c r="ED2566" s="1"/>
      <c r="EL2566" s="1"/>
      <c r="EM2566" s="1"/>
      <c r="EN2566" s="1"/>
      <c r="EQ2566" s="1"/>
      <c r="ER2566" s="1"/>
      <c r="ES2566" s="1"/>
      <c r="EV2566" s="1"/>
      <c r="EW2566" s="1"/>
      <c r="EZ2566" s="1"/>
      <c r="IS2566" s="1"/>
      <c r="IZ2566" s="1"/>
      <c r="JJ2566" s="1"/>
      <c r="JP2566" s="1"/>
      <c r="JQ2566" s="1"/>
      <c r="LZ2566" s="1"/>
    </row>
    <row r="2567" spans="4:338" ht="13" x14ac:dyDescent="0.15">
      <c r="D2567" s="12"/>
      <c r="E2567" s="12"/>
      <c r="I2567" s="12"/>
      <c r="J2567" s="13"/>
      <c r="BM2567" s="1"/>
      <c r="BN2567" s="1"/>
      <c r="CM2567" s="2"/>
      <c r="ED2567" s="1"/>
      <c r="EL2567" s="1"/>
      <c r="EM2567" s="1"/>
      <c r="EN2567" s="1"/>
      <c r="EQ2567" s="1"/>
      <c r="ER2567" s="1"/>
      <c r="ES2567" s="1"/>
      <c r="EV2567" s="1"/>
      <c r="EW2567" s="1"/>
      <c r="EZ2567" s="1"/>
      <c r="IS2567" s="1"/>
      <c r="IZ2567" s="1"/>
      <c r="JJ2567" s="1"/>
      <c r="JP2567" s="1"/>
      <c r="JQ2567" s="1"/>
      <c r="LZ2567" s="1"/>
    </row>
    <row r="2568" spans="4:338" ht="13" x14ac:dyDescent="0.15">
      <c r="D2568" s="12"/>
      <c r="E2568" s="12"/>
      <c r="I2568" s="12"/>
      <c r="J2568" s="13"/>
      <c r="BM2568" s="1"/>
      <c r="BN2568" s="1"/>
      <c r="CM2568" s="2"/>
      <c r="ED2568" s="1"/>
      <c r="EL2568" s="1"/>
      <c r="EM2568" s="1"/>
      <c r="EN2568" s="1"/>
      <c r="EQ2568" s="1"/>
      <c r="ER2568" s="1"/>
      <c r="ES2568" s="1"/>
      <c r="EV2568" s="1"/>
      <c r="EW2568" s="1"/>
      <c r="EZ2568" s="1"/>
      <c r="IS2568" s="1"/>
      <c r="IZ2568" s="1"/>
      <c r="JJ2568" s="1"/>
      <c r="JP2568" s="1"/>
      <c r="JQ2568" s="1"/>
      <c r="LZ2568" s="1"/>
    </row>
    <row r="2569" spans="4:338" ht="13" x14ac:dyDescent="0.15">
      <c r="D2569" s="12"/>
      <c r="E2569" s="12"/>
      <c r="I2569" s="12"/>
      <c r="J2569" s="13"/>
      <c r="BM2569" s="1"/>
      <c r="BN2569" s="1"/>
      <c r="CM2569" s="2"/>
      <c r="ED2569" s="1"/>
      <c r="EL2569" s="1"/>
      <c r="EM2569" s="1"/>
      <c r="EN2569" s="1"/>
      <c r="EQ2569" s="1"/>
      <c r="ER2569" s="1"/>
      <c r="ES2569" s="1"/>
      <c r="EV2569" s="1"/>
      <c r="EW2569" s="1"/>
      <c r="EZ2569" s="1"/>
      <c r="IS2569" s="1"/>
      <c r="IZ2569" s="1"/>
      <c r="JJ2569" s="1"/>
      <c r="JP2569" s="1"/>
      <c r="JQ2569" s="1"/>
      <c r="LZ2569" s="1"/>
    </row>
    <row r="2570" spans="4:338" ht="13" x14ac:dyDescent="0.15">
      <c r="D2570" s="12"/>
      <c r="E2570" s="12"/>
      <c r="I2570" s="12"/>
      <c r="J2570" s="13"/>
      <c r="BM2570" s="1"/>
      <c r="BN2570" s="1"/>
      <c r="CM2570" s="2"/>
      <c r="ED2570" s="1"/>
      <c r="EL2570" s="1"/>
      <c r="EM2570" s="1"/>
      <c r="EN2570" s="1"/>
      <c r="EQ2570" s="1"/>
      <c r="ER2570" s="1"/>
      <c r="ES2570" s="1"/>
      <c r="EV2570" s="1"/>
      <c r="EW2570" s="1"/>
      <c r="EZ2570" s="1"/>
      <c r="IS2570" s="1"/>
      <c r="IZ2570" s="1"/>
      <c r="JJ2570" s="1"/>
      <c r="JP2570" s="1"/>
      <c r="JQ2570" s="1"/>
      <c r="LZ2570" s="1"/>
    </row>
    <row r="2571" spans="4:338" ht="13" x14ac:dyDescent="0.15">
      <c r="D2571" s="12"/>
      <c r="E2571" s="12"/>
      <c r="I2571" s="12"/>
      <c r="J2571" s="13"/>
      <c r="BM2571" s="1"/>
      <c r="BN2571" s="1"/>
      <c r="CM2571" s="2"/>
      <c r="ED2571" s="1"/>
      <c r="EL2571" s="1"/>
      <c r="EM2571" s="1"/>
      <c r="EN2571" s="1"/>
      <c r="EQ2571" s="1"/>
      <c r="ER2571" s="1"/>
      <c r="ES2571" s="1"/>
      <c r="EV2571" s="1"/>
      <c r="EW2571" s="1"/>
      <c r="EZ2571" s="1"/>
      <c r="IS2571" s="1"/>
      <c r="IZ2571" s="1"/>
      <c r="JJ2571" s="1"/>
      <c r="JP2571" s="1"/>
      <c r="JQ2571" s="1"/>
      <c r="LZ2571" s="1"/>
    </row>
    <row r="2572" spans="4:338" ht="13" x14ac:dyDescent="0.15">
      <c r="D2572" s="12"/>
      <c r="E2572" s="12"/>
      <c r="I2572" s="12"/>
      <c r="J2572" s="13"/>
      <c r="BM2572" s="1"/>
      <c r="BN2572" s="1"/>
      <c r="CM2572" s="2"/>
      <c r="ED2572" s="1"/>
      <c r="EL2572" s="1"/>
      <c r="EM2572" s="1"/>
      <c r="EN2572" s="1"/>
      <c r="EQ2572" s="1"/>
      <c r="ER2572" s="1"/>
      <c r="ES2572" s="1"/>
      <c r="EV2572" s="1"/>
      <c r="EW2572" s="1"/>
      <c r="EZ2572" s="1"/>
      <c r="IS2572" s="1"/>
      <c r="IZ2572" s="1"/>
      <c r="JJ2572" s="1"/>
      <c r="JP2572" s="1"/>
      <c r="JQ2572" s="1"/>
      <c r="LZ2572" s="1"/>
    </row>
    <row r="2573" spans="4:338" ht="13" x14ac:dyDescent="0.15">
      <c r="D2573" s="12"/>
      <c r="E2573" s="12"/>
      <c r="I2573" s="12"/>
      <c r="J2573" s="13"/>
      <c r="BM2573" s="1"/>
      <c r="BN2573" s="1"/>
      <c r="CM2573" s="2"/>
      <c r="ED2573" s="1"/>
      <c r="EL2573" s="1"/>
      <c r="EM2573" s="1"/>
      <c r="EN2573" s="1"/>
      <c r="EQ2573" s="1"/>
      <c r="ER2573" s="1"/>
      <c r="ES2573" s="1"/>
      <c r="EV2573" s="1"/>
      <c r="EW2573" s="1"/>
      <c r="EZ2573" s="1"/>
      <c r="IS2573" s="1"/>
      <c r="IZ2573" s="1"/>
      <c r="JJ2573" s="1"/>
      <c r="JP2573" s="1"/>
      <c r="JQ2573" s="1"/>
      <c r="LZ2573" s="1"/>
    </row>
    <row r="2574" spans="4:338" ht="13" x14ac:dyDescent="0.15">
      <c r="D2574" s="12"/>
      <c r="E2574" s="12"/>
      <c r="I2574" s="12"/>
      <c r="J2574" s="13"/>
      <c r="BM2574" s="1"/>
      <c r="BN2574" s="1"/>
      <c r="CM2574" s="2"/>
      <c r="ED2574" s="1"/>
      <c r="EL2574" s="1"/>
      <c r="EM2574" s="1"/>
      <c r="EN2574" s="1"/>
      <c r="EQ2574" s="1"/>
      <c r="ER2574" s="1"/>
      <c r="ES2574" s="1"/>
      <c r="EV2574" s="1"/>
      <c r="EW2574" s="1"/>
      <c r="EZ2574" s="1"/>
      <c r="IS2574" s="1"/>
      <c r="IZ2574" s="1"/>
      <c r="JJ2574" s="1"/>
      <c r="JP2574" s="1"/>
      <c r="JQ2574" s="1"/>
      <c r="LZ2574" s="1"/>
    </row>
    <row r="2575" spans="4:338" ht="13" x14ac:dyDescent="0.15">
      <c r="D2575" s="12"/>
      <c r="E2575" s="12"/>
      <c r="I2575" s="12"/>
      <c r="J2575" s="13"/>
      <c r="BM2575" s="1"/>
      <c r="BN2575" s="1"/>
      <c r="CM2575" s="2"/>
      <c r="ED2575" s="1"/>
      <c r="EL2575" s="1"/>
      <c r="EM2575" s="1"/>
      <c r="EN2575" s="1"/>
      <c r="EQ2575" s="1"/>
      <c r="ER2575" s="1"/>
      <c r="ES2575" s="1"/>
      <c r="EV2575" s="1"/>
      <c r="EW2575" s="1"/>
      <c r="EZ2575" s="1"/>
      <c r="IS2575" s="1"/>
      <c r="IZ2575" s="1"/>
      <c r="JJ2575" s="1"/>
      <c r="JP2575" s="1"/>
      <c r="JQ2575" s="1"/>
      <c r="LZ2575" s="1"/>
    </row>
    <row r="2576" spans="4:338" ht="13" x14ac:dyDescent="0.15">
      <c r="D2576" s="12"/>
      <c r="E2576" s="12"/>
      <c r="I2576" s="12"/>
      <c r="J2576" s="13"/>
      <c r="BM2576" s="1"/>
      <c r="BN2576" s="1"/>
      <c r="CM2576" s="2"/>
      <c r="ED2576" s="1"/>
      <c r="EL2576" s="1"/>
      <c r="EM2576" s="1"/>
      <c r="EN2576" s="1"/>
      <c r="EQ2576" s="1"/>
      <c r="ER2576" s="1"/>
      <c r="ES2576" s="1"/>
      <c r="EV2576" s="1"/>
      <c r="EW2576" s="1"/>
      <c r="EZ2576" s="1"/>
      <c r="IS2576" s="1"/>
      <c r="IZ2576" s="1"/>
      <c r="JJ2576" s="1"/>
      <c r="JP2576" s="1"/>
      <c r="JQ2576" s="1"/>
      <c r="LZ2576" s="1"/>
    </row>
    <row r="2577" spans="4:338" ht="13" x14ac:dyDescent="0.15">
      <c r="D2577" s="12"/>
      <c r="E2577" s="12"/>
      <c r="I2577" s="12"/>
      <c r="J2577" s="13"/>
      <c r="BG2577" s="1"/>
      <c r="BH2577" s="1"/>
      <c r="BI2577" s="1"/>
      <c r="BK2577" s="1"/>
      <c r="BL2577" s="1"/>
      <c r="BM2577" s="1"/>
      <c r="BN2577" s="1"/>
      <c r="BO2577" s="1"/>
      <c r="CD2577" s="1"/>
      <c r="CM2577" s="2"/>
      <c r="ED2577" s="1"/>
      <c r="EL2577" s="1"/>
      <c r="EM2577" s="1"/>
      <c r="EN2577" s="1"/>
      <c r="EQ2577" s="1"/>
      <c r="ER2577" s="1"/>
      <c r="ES2577" s="1"/>
      <c r="EV2577" s="1"/>
      <c r="EW2577" s="1"/>
      <c r="EZ2577" s="1"/>
      <c r="HY2577" s="1"/>
      <c r="IS2577" s="1"/>
      <c r="IZ2577" s="1"/>
      <c r="JJ2577" s="1"/>
      <c r="JP2577" s="1"/>
      <c r="JQ2577" s="1"/>
    </row>
    <row r="2578" spans="4:338" ht="13" x14ac:dyDescent="0.15">
      <c r="D2578" s="12"/>
      <c r="E2578" s="12"/>
      <c r="I2578" s="12"/>
      <c r="J2578" s="13"/>
      <c r="BM2578" s="1"/>
      <c r="BN2578" s="1"/>
      <c r="CM2578" s="2"/>
      <c r="ED2578" s="1"/>
      <c r="EL2578" s="1"/>
      <c r="EM2578" s="1"/>
      <c r="EN2578" s="1"/>
      <c r="EQ2578" s="1"/>
      <c r="ER2578" s="1"/>
      <c r="ES2578" s="1"/>
      <c r="EV2578" s="1"/>
      <c r="EW2578" s="1"/>
      <c r="EZ2578" s="1"/>
      <c r="IS2578" s="1"/>
      <c r="IZ2578" s="1"/>
      <c r="JJ2578" s="1"/>
      <c r="JP2578" s="1"/>
      <c r="JQ2578" s="1"/>
      <c r="LZ2578" s="1"/>
    </row>
    <row r="2579" spans="4:338" ht="13" x14ac:dyDescent="0.15">
      <c r="D2579" s="12"/>
      <c r="E2579" s="12"/>
      <c r="I2579" s="12"/>
      <c r="J2579" s="13"/>
      <c r="BM2579" s="1"/>
      <c r="BN2579" s="1"/>
      <c r="CM2579" s="2"/>
      <c r="ED2579" s="1"/>
      <c r="EL2579" s="1"/>
      <c r="EM2579" s="1"/>
      <c r="EN2579" s="1"/>
      <c r="EQ2579" s="1"/>
      <c r="ER2579" s="1"/>
      <c r="ES2579" s="1"/>
      <c r="EV2579" s="1"/>
      <c r="EW2579" s="1"/>
      <c r="EZ2579" s="1"/>
      <c r="IS2579" s="1"/>
      <c r="IZ2579" s="1"/>
      <c r="JJ2579" s="1"/>
      <c r="JP2579" s="1"/>
      <c r="JQ2579" s="1"/>
    </row>
    <row r="2580" spans="4:338" ht="13" x14ac:dyDescent="0.15">
      <c r="D2580" s="12"/>
      <c r="E2580" s="12"/>
      <c r="I2580" s="12"/>
      <c r="J2580" s="13"/>
      <c r="BM2580" s="1"/>
      <c r="BN2580" s="1"/>
      <c r="CM2580" s="2"/>
      <c r="ED2580" s="1"/>
      <c r="EL2580" s="1"/>
      <c r="EM2580" s="1"/>
      <c r="EN2580" s="1"/>
      <c r="EQ2580" s="1"/>
      <c r="ER2580" s="1"/>
      <c r="ES2580" s="1"/>
      <c r="EV2580" s="1"/>
      <c r="EW2580" s="1"/>
      <c r="EZ2580" s="1"/>
      <c r="IS2580" s="1"/>
      <c r="IZ2580" s="1"/>
      <c r="JJ2580" s="1"/>
      <c r="JP2580" s="1"/>
      <c r="JQ2580" s="1"/>
      <c r="LZ2580" s="1"/>
    </row>
    <row r="2581" spans="4:338" ht="13" x14ac:dyDescent="0.15">
      <c r="D2581" s="12"/>
      <c r="E2581" s="12"/>
      <c r="I2581" s="12"/>
      <c r="J2581" s="13"/>
      <c r="BM2581" s="1"/>
      <c r="BN2581" s="1"/>
      <c r="CM2581" s="2"/>
      <c r="ED2581" s="1"/>
      <c r="EL2581" s="1"/>
      <c r="EM2581" s="1"/>
      <c r="EN2581" s="1"/>
      <c r="EQ2581" s="1"/>
      <c r="ER2581" s="1"/>
      <c r="ES2581" s="1"/>
      <c r="EV2581" s="1"/>
      <c r="EW2581" s="1"/>
      <c r="EZ2581" s="1"/>
      <c r="IS2581" s="1"/>
      <c r="IZ2581" s="1"/>
      <c r="JJ2581" s="1"/>
      <c r="JP2581" s="1"/>
      <c r="JQ2581" s="1"/>
      <c r="LZ2581" s="1"/>
    </row>
    <row r="2582" spans="4:338" ht="13" x14ac:dyDescent="0.15">
      <c r="D2582" s="12"/>
      <c r="E2582" s="12"/>
      <c r="I2582" s="12"/>
      <c r="J2582" s="13"/>
      <c r="BM2582" s="1"/>
      <c r="BN2582" s="1"/>
      <c r="CM2582" s="2"/>
      <c r="ED2582" s="1"/>
      <c r="EL2582" s="1"/>
      <c r="EM2582" s="1"/>
      <c r="EN2582" s="1"/>
      <c r="EQ2582" s="1"/>
      <c r="ER2582" s="1"/>
      <c r="ES2582" s="1"/>
      <c r="EV2582" s="1"/>
      <c r="EW2582" s="1"/>
      <c r="EZ2582" s="1"/>
      <c r="IS2582" s="1"/>
      <c r="IZ2582" s="1"/>
      <c r="JJ2582" s="1"/>
      <c r="JP2582" s="1"/>
      <c r="JQ2582" s="1"/>
      <c r="LZ2582" s="1"/>
    </row>
    <row r="2583" spans="4:338" ht="13" x14ac:dyDescent="0.15">
      <c r="D2583" s="12"/>
      <c r="E2583" s="12"/>
      <c r="I2583" s="12"/>
      <c r="J2583" s="13"/>
      <c r="BM2583" s="1"/>
      <c r="BN2583" s="1"/>
      <c r="CM2583" s="2"/>
      <c r="ED2583" s="1"/>
      <c r="EL2583" s="1"/>
      <c r="EM2583" s="1"/>
      <c r="EN2583" s="1"/>
      <c r="EQ2583" s="1"/>
      <c r="ER2583" s="1"/>
      <c r="ES2583" s="1"/>
      <c r="EV2583" s="1"/>
      <c r="EW2583" s="1"/>
      <c r="EZ2583" s="1"/>
      <c r="IS2583" s="1"/>
      <c r="IZ2583" s="1"/>
      <c r="JJ2583" s="1"/>
      <c r="JP2583" s="1"/>
      <c r="JQ2583" s="1"/>
      <c r="LZ2583" s="1"/>
    </row>
    <row r="2584" spans="4:338" ht="13" x14ac:dyDescent="0.15">
      <c r="D2584" s="12"/>
      <c r="E2584" s="12"/>
      <c r="I2584" s="12"/>
      <c r="J2584" s="13"/>
      <c r="BM2584" s="1"/>
      <c r="BN2584" s="1"/>
      <c r="CM2584" s="2"/>
      <c r="ED2584" s="1"/>
      <c r="EL2584" s="1"/>
      <c r="EM2584" s="1"/>
      <c r="EN2584" s="1"/>
      <c r="EQ2584" s="1"/>
      <c r="ER2584" s="1"/>
      <c r="ES2584" s="1"/>
      <c r="EV2584" s="1"/>
      <c r="EW2584" s="1"/>
      <c r="EZ2584" s="1"/>
      <c r="IS2584" s="1"/>
      <c r="IZ2584" s="1"/>
      <c r="JJ2584" s="1"/>
      <c r="JP2584" s="1"/>
      <c r="JQ2584" s="1"/>
      <c r="LZ2584" s="1"/>
    </row>
    <row r="2585" spans="4:338" ht="13" x14ac:dyDescent="0.15">
      <c r="D2585" s="12"/>
      <c r="E2585" s="12"/>
      <c r="I2585" s="12"/>
      <c r="J2585" s="13"/>
      <c r="BM2585" s="1"/>
      <c r="BN2585" s="1"/>
      <c r="CM2585" s="2"/>
      <c r="ED2585" s="1"/>
      <c r="EL2585" s="1"/>
      <c r="EM2585" s="1"/>
      <c r="EN2585" s="1"/>
      <c r="EQ2585" s="1"/>
      <c r="ER2585" s="1"/>
      <c r="ES2585" s="1"/>
      <c r="EV2585" s="1"/>
      <c r="EW2585" s="1"/>
      <c r="EZ2585" s="1"/>
      <c r="IS2585" s="1"/>
      <c r="IZ2585" s="1"/>
      <c r="JJ2585" s="1"/>
      <c r="JP2585" s="1"/>
      <c r="JQ2585" s="1"/>
      <c r="LZ2585" s="1"/>
    </row>
    <row r="2586" spans="4:338" ht="13" x14ac:dyDescent="0.15">
      <c r="D2586" s="12"/>
      <c r="E2586" s="12"/>
      <c r="I2586" s="12"/>
      <c r="J2586" s="13"/>
      <c r="BM2586" s="1"/>
      <c r="BN2586" s="1"/>
      <c r="CM2586" s="2"/>
      <c r="ED2586" s="1"/>
      <c r="EL2586" s="1"/>
      <c r="EM2586" s="1"/>
      <c r="EN2586" s="1"/>
      <c r="EQ2586" s="1"/>
      <c r="ER2586" s="1"/>
      <c r="ES2586" s="1"/>
      <c r="EV2586" s="1"/>
      <c r="EW2586" s="1"/>
      <c r="EZ2586" s="1"/>
      <c r="IS2586" s="1"/>
      <c r="IZ2586" s="1"/>
      <c r="JJ2586" s="1"/>
      <c r="JP2586" s="1"/>
      <c r="JQ2586" s="1"/>
      <c r="LZ2586" s="1"/>
    </row>
    <row r="2587" spans="4:338" ht="13" x14ac:dyDescent="0.15">
      <c r="D2587" s="12"/>
      <c r="E2587" s="12"/>
      <c r="I2587" s="12"/>
      <c r="J2587" s="13"/>
      <c r="BG2587" s="1"/>
      <c r="BH2587" s="1"/>
      <c r="BI2587" s="1"/>
      <c r="BK2587" s="1"/>
      <c r="BL2587" s="1"/>
      <c r="BM2587" s="1"/>
      <c r="BN2587" s="1"/>
      <c r="BO2587" s="1"/>
      <c r="CD2587" s="1"/>
      <c r="CM2587" s="2"/>
      <c r="ED2587" s="1"/>
      <c r="EL2587" s="1"/>
      <c r="EM2587" s="1"/>
      <c r="EN2587" s="1"/>
      <c r="EQ2587" s="1"/>
      <c r="ER2587" s="1"/>
      <c r="ES2587" s="1"/>
      <c r="EV2587" s="1"/>
      <c r="EW2587" s="1"/>
      <c r="EZ2587" s="1"/>
      <c r="IS2587" s="1"/>
      <c r="IZ2587" s="1"/>
      <c r="JJ2587" s="1"/>
      <c r="JP2587" s="1"/>
      <c r="JQ2587" s="1"/>
    </row>
    <row r="2588" spans="4:338" ht="13" x14ac:dyDescent="0.15">
      <c r="D2588" s="12"/>
      <c r="E2588" s="12"/>
      <c r="I2588" s="12"/>
      <c r="J2588" s="13"/>
      <c r="BM2588" s="1"/>
      <c r="BN2588" s="1"/>
      <c r="CM2588" s="2"/>
      <c r="ED2588" s="1"/>
      <c r="EL2588" s="1"/>
      <c r="EM2588" s="1"/>
      <c r="EN2588" s="1"/>
      <c r="EQ2588" s="1"/>
      <c r="ER2588" s="1"/>
      <c r="ES2588" s="1"/>
      <c r="EV2588" s="1"/>
      <c r="EW2588" s="1"/>
      <c r="EZ2588" s="1"/>
      <c r="IS2588" s="1"/>
      <c r="IZ2588" s="1"/>
      <c r="JJ2588" s="1"/>
      <c r="JP2588" s="1"/>
      <c r="JQ2588" s="1"/>
      <c r="LZ2588" s="1"/>
    </row>
    <row r="2589" spans="4:338" ht="13" x14ac:dyDescent="0.15">
      <c r="D2589" s="12"/>
      <c r="E2589" s="12"/>
      <c r="I2589" s="12"/>
      <c r="J2589" s="13"/>
      <c r="BM2589" s="1"/>
      <c r="BN2589" s="1"/>
      <c r="CM2589" s="2"/>
      <c r="ED2589" s="1"/>
      <c r="EL2589" s="1"/>
      <c r="EM2589" s="1"/>
      <c r="EN2589" s="1"/>
      <c r="EQ2589" s="1"/>
      <c r="ER2589" s="1"/>
      <c r="ES2589" s="1"/>
      <c r="EV2589" s="1"/>
      <c r="EW2589" s="1"/>
      <c r="EZ2589" s="1"/>
      <c r="IS2589" s="1"/>
      <c r="IZ2589" s="1"/>
      <c r="JJ2589" s="1"/>
      <c r="JP2589" s="1"/>
      <c r="JQ2589" s="1"/>
      <c r="LZ2589" s="1"/>
    </row>
    <row r="2590" spans="4:338" ht="13" x14ac:dyDescent="0.15">
      <c r="D2590" s="12"/>
      <c r="E2590" s="12"/>
      <c r="I2590" s="12"/>
      <c r="J2590" s="13"/>
      <c r="BG2590" s="1"/>
      <c r="BH2590" s="1"/>
      <c r="BI2590" s="1"/>
      <c r="BK2590" s="1"/>
      <c r="BL2590" s="1"/>
      <c r="BM2590" s="1"/>
      <c r="BN2590" s="1"/>
      <c r="BO2590" s="1"/>
      <c r="CD2590" s="1"/>
      <c r="CM2590" s="2"/>
      <c r="ED2590" s="1"/>
      <c r="EL2590" s="1"/>
      <c r="EM2590" s="1"/>
      <c r="EN2590" s="1"/>
      <c r="EQ2590" s="1"/>
      <c r="ER2590" s="1"/>
      <c r="ES2590" s="1"/>
      <c r="EV2590" s="1"/>
      <c r="EW2590" s="1"/>
      <c r="EZ2590" s="1"/>
      <c r="IS2590" s="1"/>
      <c r="IZ2590" s="1"/>
      <c r="JJ2590" s="1"/>
      <c r="JP2590" s="1"/>
      <c r="JQ2590" s="1"/>
    </row>
    <row r="2591" spans="4:338" ht="13" x14ac:dyDescent="0.15">
      <c r="D2591" s="12"/>
      <c r="E2591" s="12"/>
      <c r="I2591" s="12"/>
      <c r="J2591" s="13"/>
      <c r="BG2591" s="1"/>
      <c r="BH2591" s="1"/>
      <c r="BI2591" s="1"/>
      <c r="BK2591" s="1"/>
      <c r="BL2591" s="1"/>
      <c r="BM2591" s="1"/>
      <c r="BN2591" s="1"/>
      <c r="CD2591" s="1"/>
      <c r="CM2591" s="2"/>
      <c r="ED2591" s="1"/>
      <c r="EL2591" s="1"/>
      <c r="EM2591" s="1"/>
      <c r="EN2591" s="1"/>
      <c r="EQ2591" s="1"/>
      <c r="ER2591" s="1"/>
      <c r="ES2591" s="1"/>
      <c r="EV2591" s="1"/>
      <c r="EW2591" s="1"/>
      <c r="EZ2591" s="1"/>
      <c r="HY2591" s="1"/>
      <c r="IS2591" s="1"/>
      <c r="IZ2591" s="1"/>
      <c r="JJ2591" s="1"/>
      <c r="JP2591" s="1"/>
      <c r="JQ2591" s="1"/>
    </row>
    <row r="2592" spans="4:338" ht="13" x14ac:dyDescent="0.15">
      <c r="D2592" s="12"/>
      <c r="E2592" s="12"/>
      <c r="I2592" s="12"/>
      <c r="J2592" s="13"/>
      <c r="BM2592" s="1"/>
      <c r="BN2592" s="1"/>
      <c r="CM2592" s="2"/>
      <c r="ED2592" s="1"/>
      <c r="EL2592" s="1"/>
      <c r="EM2592" s="1"/>
      <c r="EN2592" s="1"/>
      <c r="EQ2592" s="1"/>
      <c r="ER2592" s="1"/>
      <c r="ES2592" s="1"/>
      <c r="EV2592" s="1"/>
      <c r="EW2592" s="1"/>
      <c r="EZ2592" s="1"/>
      <c r="IS2592" s="1"/>
      <c r="IZ2592" s="1"/>
      <c r="JJ2592" s="1"/>
      <c r="JP2592" s="1"/>
      <c r="JQ2592" s="1"/>
      <c r="LZ2592" s="1"/>
    </row>
    <row r="2593" spans="4:338" ht="13" x14ac:dyDescent="0.15">
      <c r="D2593" s="12"/>
      <c r="E2593" s="12"/>
      <c r="I2593" s="12"/>
      <c r="J2593" s="13"/>
      <c r="BM2593" s="1"/>
      <c r="BN2593" s="1"/>
      <c r="CM2593" s="2"/>
      <c r="ED2593" s="1"/>
      <c r="EL2593" s="1"/>
      <c r="EM2593" s="1"/>
      <c r="EN2593" s="1"/>
      <c r="EQ2593" s="1"/>
      <c r="ER2593" s="1"/>
      <c r="ES2593" s="1"/>
      <c r="EV2593" s="1"/>
      <c r="EW2593" s="1"/>
      <c r="EZ2593" s="1"/>
      <c r="IS2593" s="1"/>
      <c r="IZ2593" s="1"/>
      <c r="JJ2593" s="1"/>
      <c r="JP2593" s="1"/>
      <c r="JQ2593" s="1"/>
      <c r="LZ2593" s="1"/>
    </row>
    <row r="2594" spans="4:338" ht="13" x14ac:dyDescent="0.15">
      <c r="D2594" s="12"/>
      <c r="E2594" s="12"/>
      <c r="I2594" s="12"/>
      <c r="J2594" s="13"/>
      <c r="BM2594" s="1"/>
      <c r="BN2594" s="1"/>
      <c r="CM2594" s="2"/>
      <c r="ED2594" s="1"/>
      <c r="EL2594" s="1"/>
      <c r="EM2594" s="1"/>
      <c r="EN2594" s="1"/>
      <c r="EQ2594" s="1"/>
      <c r="ER2594" s="1"/>
      <c r="ES2594" s="1"/>
      <c r="EV2594" s="1"/>
      <c r="EW2594" s="1"/>
      <c r="EZ2594" s="1"/>
      <c r="IS2594" s="1"/>
      <c r="IZ2594" s="1"/>
      <c r="JJ2594" s="1"/>
      <c r="JP2594" s="1"/>
      <c r="JQ2594" s="1"/>
      <c r="LZ2594" s="1"/>
    </row>
    <row r="2595" spans="4:338" ht="13" x14ac:dyDescent="0.15">
      <c r="D2595" s="12"/>
      <c r="E2595" s="12"/>
      <c r="I2595" s="12"/>
      <c r="J2595" s="13"/>
      <c r="BM2595" s="1"/>
      <c r="BN2595" s="1"/>
      <c r="CM2595" s="2"/>
      <c r="ED2595" s="1"/>
      <c r="EL2595" s="1"/>
      <c r="EM2595" s="1"/>
      <c r="EN2595" s="1"/>
      <c r="EQ2595" s="1"/>
      <c r="ER2595" s="1"/>
      <c r="ES2595" s="1"/>
      <c r="EV2595" s="1"/>
      <c r="EW2595" s="1"/>
      <c r="EZ2595" s="1"/>
      <c r="IS2595" s="1"/>
      <c r="IZ2595" s="1"/>
      <c r="JJ2595" s="1"/>
      <c r="JP2595" s="1"/>
      <c r="JQ2595" s="1"/>
      <c r="LZ2595" s="1"/>
    </row>
    <row r="2596" spans="4:338" ht="13" x14ac:dyDescent="0.15">
      <c r="D2596" s="12"/>
      <c r="E2596" s="12"/>
      <c r="I2596" s="12"/>
      <c r="J2596" s="13"/>
      <c r="BG2596" s="1"/>
      <c r="BH2596" s="1"/>
      <c r="BI2596" s="1"/>
      <c r="BJ2596" s="1"/>
      <c r="BK2596" s="1"/>
      <c r="BL2596" s="1"/>
      <c r="BM2596" s="1"/>
      <c r="BN2596" s="1"/>
      <c r="BO2596" s="1"/>
      <c r="CD2596" s="1"/>
      <c r="CM2596" s="2"/>
      <c r="ED2596" s="1"/>
      <c r="EL2596" s="1"/>
      <c r="EM2596" s="1"/>
      <c r="EN2596" s="1"/>
      <c r="EQ2596" s="1"/>
      <c r="ER2596" s="1"/>
      <c r="ES2596" s="1"/>
      <c r="EV2596" s="1"/>
      <c r="EW2596" s="1"/>
      <c r="EZ2596" s="1"/>
      <c r="HY2596" s="1"/>
      <c r="IS2596" s="1"/>
      <c r="IZ2596" s="1"/>
      <c r="JJ2596" s="1"/>
      <c r="JP2596" s="1"/>
      <c r="JQ2596" s="1"/>
    </row>
    <row r="2597" spans="4:338" ht="13" x14ac:dyDescent="0.15">
      <c r="D2597" s="12"/>
      <c r="E2597" s="12"/>
      <c r="I2597" s="12"/>
      <c r="J2597" s="13"/>
      <c r="BM2597" s="1"/>
      <c r="BN2597" s="1"/>
      <c r="CM2597" s="2"/>
      <c r="ED2597" s="1"/>
      <c r="EL2597" s="1"/>
      <c r="EM2597" s="1"/>
      <c r="EN2597" s="1"/>
      <c r="EQ2597" s="1"/>
      <c r="ER2597" s="1"/>
      <c r="ES2597" s="1"/>
      <c r="EV2597" s="1"/>
      <c r="EW2597" s="1"/>
      <c r="EZ2597" s="1"/>
      <c r="IS2597" s="1"/>
      <c r="IZ2597" s="1"/>
      <c r="JJ2597" s="1"/>
      <c r="JP2597" s="1"/>
      <c r="JQ2597" s="1"/>
      <c r="LZ2597" s="1"/>
    </row>
    <row r="2598" spans="4:338" ht="13" x14ac:dyDescent="0.15">
      <c r="D2598" s="12"/>
      <c r="E2598" s="12"/>
      <c r="I2598" s="12"/>
      <c r="J2598" s="13"/>
      <c r="BM2598" s="1"/>
      <c r="BN2598" s="1"/>
      <c r="CM2598" s="2"/>
      <c r="ED2598" s="1"/>
      <c r="EL2598" s="1"/>
      <c r="EM2598" s="1"/>
      <c r="EN2598" s="1"/>
      <c r="EQ2598" s="1"/>
      <c r="ER2598" s="1"/>
      <c r="ES2598" s="1"/>
      <c r="EV2598" s="1"/>
      <c r="EW2598" s="1"/>
      <c r="EZ2598" s="1"/>
      <c r="IS2598" s="1"/>
      <c r="IZ2598" s="1"/>
      <c r="JJ2598" s="1"/>
      <c r="JP2598" s="1"/>
      <c r="JQ2598" s="1"/>
      <c r="LZ2598" s="1"/>
    </row>
    <row r="2599" spans="4:338" ht="13" x14ac:dyDescent="0.15">
      <c r="D2599" s="12"/>
      <c r="E2599" s="12"/>
      <c r="I2599" s="12"/>
      <c r="J2599" s="13"/>
      <c r="BM2599" s="1"/>
      <c r="BN2599" s="1"/>
      <c r="CM2599" s="2"/>
      <c r="ED2599" s="1"/>
      <c r="EL2599" s="1"/>
      <c r="EM2599" s="1"/>
      <c r="EN2599" s="1"/>
      <c r="EQ2599" s="1"/>
      <c r="ER2599" s="1"/>
      <c r="ES2599" s="1"/>
      <c r="EV2599" s="1"/>
      <c r="EW2599" s="1"/>
      <c r="EZ2599" s="1"/>
      <c r="IS2599" s="1"/>
      <c r="IZ2599" s="1"/>
      <c r="JJ2599" s="1"/>
      <c r="JP2599" s="1"/>
      <c r="JQ2599" s="1"/>
      <c r="LZ2599" s="1"/>
    </row>
    <row r="2600" spans="4:338" ht="13" x14ac:dyDescent="0.15">
      <c r="D2600" s="12"/>
      <c r="E2600" s="12"/>
      <c r="I2600" s="12"/>
      <c r="J2600" s="13"/>
      <c r="BM2600" s="1"/>
      <c r="BN2600" s="1"/>
      <c r="CM2600" s="2"/>
      <c r="ED2600" s="1"/>
      <c r="EL2600" s="1"/>
      <c r="EM2600" s="1"/>
      <c r="EN2600" s="1"/>
      <c r="EQ2600" s="1"/>
      <c r="ER2600" s="1"/>
      <c r="ES2600" s="1"/>
      <c r="EV2600" s="1"/>
      <c r="EW2600" s="1"/>
      <c r="EZ2600" s="1"/>
      <c r="IS2600" s="1"/>
      <c r="IZ2600" s="1"/>
      <c r="JJ2600" s="1"/>
      <c r="JP2600" s="1"/>
      <c r="JQ2600" s="1"/>
      <c r="LZ2600" s="1"/>
    </row>
    <row r="2601" spans="4:338" ht="13" x14ac:dyDescent="0.15">
      <c r="D2601" s="12"/>
      <c r="E2601" s="12"/>
      <c r="I2601" s="12"/>
      <c r="J2601" s="13"/>
      <c r="BM2601" s="1"/>
      <c r="BN2601" s="1"/>
      <c r="CM2601" s="2"/>
      <c r="ED2601" s="1"/>
      <c r="EL2601" s="1"/>
      <c r="EM2601" s="1"/>
      <c r="EN2601" s="1"/>
      <c r="EQ2601" s="1"/>
      <c r="ER2601" s="1"/>
      <c r="ES2601" s="1"/>
      <c r="EV2601" s="1"/>
      <c r="EW2601" s="1"/>
      <c r="EZ2601" s="1"/>
      <c r="IS2601" s="1"/>
      <c r="IZ2601" s="1"/>
      <c r="JJ2601" s="1"/>
      <c r="JP2601" s="1"/>
      <c r="JQ2601" s="1"/>
    </row>
    <row r="2602" spans="4:338" ht="13" x14ac:dyDescent="0.15">
      <c r="D2602" s="12"/>
      <c r="E2602" s="12"/>
      <c r="I2602" s="12"/>
      <c r="J2602" s="13"/>
      <c r="BM2602" s="1"/>
      <c r="BN2602" s="1"/>
      <c r="CM2602" s="2"/>
      <c r="ED2602" s="1"/>
      <c r="EL2602" s="1"/>
      <c r="EM2602" s="1"/>
      <c r="EN2602" s="1"/>
      <c r="EQ2602" s="1"/>
      <c r="ER2602" s="1"/>
      <c r="ES2602" s="1"/>
      <c r="EV2602" s="1"/>
      <c r="EW2602" s="1"/>
      <c r="EZ2602" s="1"/>
      <c r="IS2602" s="1"/>
      <c r="IZ2602" s="1"/>
      <c r="JJ2602" s="1"/>
      <c r="JP2602" s="1"/>
      <c r="JQ2602" s="1"/>
      <c r="LZ2602" s="1"/>
    </row>
    <row r="2603" spans="4:338" ht="13" x14ac:dyDescent="0.15">
      <c r="D2603" s="12"/>
      <c r="E2603" s="12"/>
      <c r="I2603" s="12"/>
      <c r="J2603" s="13"/>
      <c r="BG2603" s="1"/>
      <c r="BH2603" s="1"/>
      <c r="BI2603" s="1"/>
      <c r="BK2603" s="1"/>
      <c r="BL2603" s="1"/>
      <c r="BM2603" s="1"/>
      <c r="BN2603" s="1"/>
      <c r="CD2603" s="1"/>
      <c r="CM2603" s="2"/>
      <c r="ED2603" s="1"/>
      <c r="EL2603" s="1"/>
      <c r="EM2603" s="1"/>
      <c r="EN2603" s="1"/>
      <c r="EQ2603" s="1"/>
      <c r="ER2603" s="1"/>
      <c r="ES2603" s="1"/>
      <c r="EV2603" s="1"/>
      <c r="EW2603" s="1"/>
      <c r="EZ2603" s="1"/>
      <c r="IS2603" s="1"/>
      <c r="IZ2603" s="1"/>
      <c r="JJ2603" s="1"/>
      <c r="JP2603" s="1"/>
      <c r="JQ2603" s="1"/>
    </row>
    <row r="2604" spans="4:338" ht="13" x14ac:dyDescent="0.15">
      <c r="D2604" s="12"/>
      <c r="E2604" s="12"/>
      <c r="I2604" s="12"/>
      <c r="J2604" s="13"/>
      <c r="BG2604" s="1"/>
      <c r="BH2604" s="1"/>
      <c r="BI2604" s="1"/>
      <c r="BK2604" s="1"/>
      <c r="BL2604" s="1"/>
      <c r="BM2604" s="1"/>
      <c r="BN2604" s="1"/>
      <c r="CD2604" s="1"/>
      <c r="CM2604" s="2"/>
      <c r="ED2604" s="1"/>
      <c r="EL2604" s="1"/>
      <c r="EM2604" s="1"/>
      <c r="EN2604" s="1"/>
      <c r="EQ2604" s="1"/>
      <c r="ER2604" s="1"/>
      <c r="ES2604" s="1"/>
      <c r="EV2604" s="1"/>
      <c r="EW2604" s="1"/>
      <c r="EZ2604" s="1"/>
      <c r="IS2604" s="1"/>
      <c r="IZ2604" s="1"/>
      <c r="JJ2604" s="1"/>
      <c r="JP2604" s="1"/>
      <c r="JQ2604" s="1"/>
    </row>
    <row r="2605" spans="4:338" ht="13" x14ac:dyDescent="0.15">
      <c r="D2605" s="12"/>
      <c r="E2605" s="12"/>
      <c r="I2605" s="12"/>
      <c r="J2605" s="13"/>
      <c r="BG2605" s="1"/>
      <c r="BH2605" s="1"/>
      <c r="BI2605" s="1"/>
      <c r="BK2605" s="1"/>
      <c r="BL2605" s="1"/>
      <c r="BM2605" s="1"/>
      <c r="BN2605" s="1"/>
      <c r="CD2605" s="1"/>
      <c r="CM2605" s="2"/>
      <c r="ED2605" s="1"/>
      <c r="EL2605" s="1"/>
      <c r="EM2605" s="1"/>
      <c r="EN2605" s="1"/>
      <c r="EQ2605" s="1"/>
      <c r="ER2605" s="1"/>
      <c r="ES2605" s="1"/>
      <c r="EV2605" s="1"/>
      <c r="EW2605" s="1"/>
      <c r="EZ2605" s="1"/>
      <c r="IS2605" s="1"/>
      <c r="IZ2605" s="1"/>
      <c r="JJ2605" s="1"/>
      <c r="JP2605" s="1"/>
      <c r="JQ2605" s="1"/>
    </row>
    <row r="2606" spans="4:338" ht="13" x14ac:dyDescent="0.15">
      <c r="D2606" s="12"/>
      <c r="E2606" s="12"/>
      <c r="I2606" s="12"/>
      <c r="J2606" s="13"/>
      <c r="BM2606" s="1"/>
      <c r="BN2606" s="1"/>
      <c r="CM2606" s="2"/>
      <c r="ED2606" s="1"/>
      <c r="EL2606" s="1"/>
      <c r="EM2606" s="1"/>
      <c r="EN2606" s="1"/>
      <c r="EQ2606" s="1"/>
      <c r="ER2606" s="1"/>
      <c r="ES2606" s="1"/>
      <c r="EV2606" s="1"/>
      <c r="EW2606" s="1"/>
      <c r="EZ2606" s="1"/>
      <c r="IS2606" s="1"/>
      <c r="IZ2606" s="1"/>
      <c r="JJ2606" s="1"/>
      <c r="JP2606" s="1"/>
      <c r="JQ2606" s="1"/>
    </row>
    <row r="2607" spans="4:338" ht="13" x14ac:dyDescent="0.15">
      <c r="D2607" s="12"/>
      <c r="E2607" s="12"/>
      <c r="I2607" s="12"/>
      <c r="J2607" s="13"/>
      <c r="BG2607" s="1"/>
      <c r="BH2607" s="1"/>
      <c r="BI2607" s="1"/>
      <c r="BK2607" s="1"/>
      <c r="BL2607" s="1"/>
      <c r="BM2607" s="1"/>
      <c r="BN2607" s="1"/>
      <c r="BO2607" s="1"/>
      <c r="CD2607" s="1"/>
      <c r="CM2607" s="2"/>
      <c r="ED2607" s="1"/>
      <c r="EL2607" s="1"/>
      <c r="EM2607" s="1"/>
      <c r="EN2607" s="1"/>
      <c r="EQ2607" s="1"/>
      <c r="ER2607" s="1"/>
      <c r="ES2607" s="1"/>
      <c r="EV2607" s="1"/>
      <c r="EW2607" s="1"/>
      <c r="EZ2607" s="1"/>
      <c r="HY2607" s="1"/>
      <c r="IS2607" s="1"/>
      <c r="IZ2607" s="1"/>
      <c r="JJ2607" s="1"/>
      <c r="JP2607" s="1"/>
      <c r="JQ2607" s="1"/>
    </row>
    <row r="2608" spans="4:338" ht="13" x14ac:dyDescent="0.15">
      <c r="D2608" s="12"/>
      <c r="E2608" s="12"/>
      <c r="I2608" s="12"/>
      <c r="J2608" s="13"/>
      <c r="BG2608" s="1"/>
      <c r="BH2608" s="1"/>
      <c r="BI2608" s="1"/>
      <c r="BK2608" s="1"/>
      <c r="BL2608" s="1"/>
      <c r="BM2608" s="1"/>
      <c r="BN2608" s="1"/>
      <c r="BO2608" s="1"/>
      <c r="CD2608" s="1"/>
      <c r="CM2608" s="2"/>
      <c r="ED2608" s="1"/>
      <c r="EL2608" s="1"/>
      <c r="EM2608" s="1"/>
      <c r="EN2608" s="1"/>
      <c r="EQ2608" s="1"/>
      <c r="ER2608" s="1"/>
      <c r="ES2608" s="1"/>
      <c r="EV2608" s="1"/>
      <c r="EW2608" s="1"/>
      <c r="EZ2608" s="1"/>
      <c r="IS2608" s="1"/>
      <c r="IZ2608" s="1"/>
      <c r="JJ2608" s="1"/>
      <c r="JP2608" s="1"/>
      <c r="JQ2608" s="1"/>
      <c r="LZ2608" s="1"/>
    </row>
    <row r="2609" spans="4:338" ht="13" x14ac:dyDescent="0.15">
      <c r="D2609" s="12"/>
      <c r="E2609" s="12"/>
      <c r="I2609" s="12"/>
      <c r="J2609" s="13"/>
      <c r="BG2609" s="1"/>
      <c r="BH2609" s="1"/>
      <c r="BI2609" s="1"/>
      <c r="BK2609" s="1"/>
      <c r="BL2609" s="1"/>
      <c r="BM2609" s="1"/>
      <c r="BN2609" s="1"/>
      <c r="BO2609" s="1"/>
      <c r="CD2609" s="1"/>
      <c r="CM2609" s="2"/>
      <c r="ED2609" s="1"/>
      <c r="EL2609" s="1"/>
      <c r="EM2609" s="1"/>
      <c r="EN2609" s="1"/>
      <c r="EQ2609" s="1"/>
      <c r="ER2609" s="1"/>
      <c r="ES2609" s="1"/>
      <c r="EV2609" s="1"/>
      <c r="EW2609" s="1"/>
      <c r="EZ2609" s="1"/>
      <c r="HY2609" s="1"/>
      <c r="IS2609" s="1"/>
      <c r="IZ2609" s="1"/>
      <c r="JJ2609" s="1"/>
      <c r="JP2609" s="1"/>
      <c r="JQ2609" s="1"/>
    </row>
    <row r="2610" spans="4:338" ht="13" x14ac:dyDescent="0.15">
      <c r="D2610" s="12"/>
      <c r="E2610" s="12"/>
      <c r="I2610" s="12"/>
      <c r="J2610" s="13"/>
      <c r="BM2610" s="1"/>
      <c r="BN2610" s="1"/>
      <c r="CM2610" s="2"/>
      <c r="ED2610" s="1"/>
      <c r="EL2610" s="1"/>
      <c r="EM2610" s="1"/>
      <c r="EN2610" s="1"/>
      <c r="EQ2610" s="1"/>
      <c r="ER2610" s="1"/>
      <c r="ES2610" s="1"/>
      <c r="EV2610" s="1"/>
      <c r="EW2610" s="1"/>
      <c r="EZ2610" s="1"/>
      <c r="IS2610" s="1"/>
      <c r="IZ2610" s="1"/>
      <c r="JJ2610" s="1"/>
      <c r="JP2610" s="1"/>
      <c r="JQ2610" s="1"/>
      <c r="LZ2610" s="1"/>
    </row>
    <row r="2611" spans="4:338" ht="13" x14ac:dyDescent="0.15">
      <c r="D2611" s="12"/>
      <c r="E2611" s="12"/>
      <c r="I2611" s="12"/>
      <c r="J2611" s="13"/>
      <c r="BM2611" s="1"/>
      <c r="BN2611" s="1"/>
      <c r="CM2611" s="2"/>
      <c r="ED2611" s="1"/>
      <c r="EL2611" s="1"/>
      <c r="EM2611" s="1"/>
      <c r="EN2611" s="1"/>
      <c r="EQ2611" s="1"/>
      <c r="ER2611" s="1"/>
      <c r="ES2611" s="1"/>
      <c r="EV2611" s="1"/>
      <c r="EW2611" s="1"/>
      <c r="EZ2611" s="1"/>
      <c r="IS2611" s="1"/>
      <c r="IZ2611" s="1"/>
      <c r="JJ2611" s="1"/>
      <c r="JP2611" s="1"/>
      <c r="JQ2611" s="1"/>
      <c r="LZ2611" s="1"/>
    </row>
    <row r="2612" spans="4:338" ht="13" x14ac:dyDescent="0.15">
      <c r="D2612" s="12"/>
      <c r="E2612" s="12"/>
      <c r="I2612" s="12"/>
      <c r="J2612" s="13"/>
      <c r="BG2612" s="1"/>
      <c r="BH2612" s="1"/>
      <c r="BM2612" s="1"/>
      <c r="BN2612" s="1"/>
      <c r="CD2612" s="1"/>
      <c r="CK2612" s="1"/>
      <c r="CM2612" s="2"/>
      <c r="ED2612" s="1"/>
      <c r="EL2612" s="1"/>
      <c r="EM2612" s="1"/>
      <c r="EN2612" s="1"/>
      <c r="EQ2612" s="1"/>
      <c r="ER2612" s="1"/>
      <c r="ES2612" s="1"/>
      <c r="EV2612" s="1"/>
      <c r="EW2612" s="1"/>
      <c r="EZ2612" s="1"/>
      <c r="IS2612" s="1"/>
      <c r="IZ2612" s="1"/>
      <c r="JJ2612" s="1"/>
      <c r="JP2612" s="1"/>
      <c r="JQ2612" s="1"/>
    </row>
    <row r="2613" spans="4:338" ht="13" x14ac:dyDescent="0.15">
      <c r="D2613" s="12"/>
      <c r="E2613" s="12"/>
      <c r="I2613" s="12"/>
      <c r="J2613" s="13"/>
      <c r="BG2613" s="1"/>
      <c r="BH2613" s="1"/>
      <c r="BM2613" s="1"/>
      <c r="BN2613" s="1"/>
      <c r="CD2613" s="1"/>
      <c r="CK2613" s="1"/>
      <c r="CM2613" s="2"/>
      <c r="ED2613" s="1"/>
      <c r="EL2613" s="1"/>
      <c r="EM2613" s="1"/>
      <c r="EN2613" s="1"/>
      <c r="EQ2613" s="1"/>
      <c r="ER2613" s="1"/>
      <c r="ES2613" s="1"/>
      <c r="EV2613" s="1"/>
      <c r="EW2613" s="1"/>
      <c r="EZ2613" s="1"/>
      <c r="IS2613" s="1"/>
      <c r="IZ2613" s="1"/>
      <c r="JJ2613" s="1"/>
      <c r="JP2613" s="1"/>
      <c r="JQ2613" s="1"/>
    </row>
    <row r="2614" spans="4:338" ht="13" x14ac:dyDescent="0.15">
      <c r="D2614" s="12"/>
      <c r="E2614" s="12"/>
      <c r="I2614" s="12"/>
      <c r="J2614" s="13"/>
      <c r="BG2614" s="1"/>
      <c r="BH2614" s="1"/>
      <c r="BM2614" s="1"/>
      <c r="BN2614" s="1"/>
      <c r="CD2614" s="1"/>
      <c r="CK2614" s="1"/>
      <c r="CM2614" s="2"/>
      <c r="ED2614" s="1"/>
      <c r="EL2614" s="1"/>
      <c r="EM2614" s="1"/>
      <c r="EN2614" s="1"/>
      <c r="EQ2614" s="1"/>
      <c r="ER2614" s="1"/>
      <c r="ES2614" s="1"/>
      <c r="EV2614" s="1"/>
      <c r="EW2614" s="1"/>
      <c r="EZ2614" s="1"/>
      <c r="IS2614" s="1"/>
      <c r="IZ2614" s="1"/>
      <c r="JJ2614" s="1"/>
      <c r="JP2614" s="1"/>
      <c r="JQ2614" s="1"/>
    </row>
    <row r="2615" spans="4:338" ht="13" x14ac:dyDescent="0.15">
      <c r="D2615" s="12"/>
      <c r="E2615" s="12"/>
      <c r="I2615" s="12"/>
      <c r="J2615" s="13"/>
      <c r="BM2615" s="1"/>
      <c r="BN2615" s="1"/>
      <c r="CM2615" s="2"/>
      <c r="ED2615" s="1"/>
      <c r="EL2615" s="1"/>
      <c r="EM2615" s="1"/>
      <c r="EN2615" s="1"/>
      <c r="EQ2615" s="1"/>
      <c r="ER2615" s="1"/>
      <c r="ES2615" s="1"/>
      <c r="EV2615" s="1"/>
      <c r="EW2615" s="1"/>
      <c r="EZ2615" s="1"/>
      <c r="IS2615" s="1"/>
      <c r="IZ2615" s="1"/>
      <c r="JJ2615" s="1"/>
      <c r="JP2615" s="1"/>
      <c r="JQ2615" s="1"/>
      <c r="LZ2615" s="1"/>
    </row>
    <row r="2616" spans="4:338" ht="13" x14ac:dyDescent="0.15">
      <c r="D2616" s="12"/>
      <c r="E2616" s="12"/>
      <c r="I2616" s="12"/>
      <c r="J2616" s="13"/>
      <c r="BM2616" s="1"/>
      <c r="BN2616" s="1"/>
      <c r="CM2616" s="2"/>
      <c r="ED2616" s="1"/>
      <c r="EL2616" s="1"/>
      <c r="EM2616" s="1"/>
      <c r="EN2616" s="1"/>
      <c r="EQ2616" s="1"/>
      <c r="ER2616" s="1"/>
      <c r="ES2616" s="1"/>
      <c r="EV2616" s="1"/>
      <c r="EW2616" s="1"/>
      <c r="EZ2616" s="1"/>
      <c r="IS2616" s="1"/>
      <c r="IZ2616" s="1"/>
      <c r="JJ2616" s="1"/>
      <c r="JP2616" s="1"/>
      <c r="JQ2616" s="1"/>
      <c r="LZ2616" s="1"/>
    </row>
    <row r="2617" spans="4:338" ht="13" x14ac:dyDescent="0.15">
      <c r="D2617" s="12"/>
      <c r="E2617" s="12"/>
      <c r="I2617" s="12"/>
      <c r="J2617" s="13"/>
      <c r="BM2617" s="1"/>
      <c r="BN2617" s="1"/>
      <c r="CM2617" s="2"/>
      <c r="ED2617" s="1"/>
      <c r="EL2617" s="1"/>
      <c r="EM2617" s="1"/>
      <c r="EN2617" s="1"/>
      <c r="EQ2617" s="1"/>
      <c r="ER2617" s="1"/>
      <c r="ES2617" s="1"/>
      <c r="EV2617" s="1"/>
      <c r="EW2617" s="1"/>
      <c r="EZ2617" s="1"/>
      <c r="IS2617" s="1"/>
      <c r="IZ2617" s="1"/>
      <c r="JJ2617" s="1"/>
      <c r="JP2617" s="1"/>
      <c r="JQ2617" s="1"/>
      <c r="LZ2617" s="1"/>
    </row>
    <row r="2618" spans="4:338" ht="13" x14ac:dyDescent="0.15">
      <c r="D2618" s="12"/>
      <c r="E2618" s="12"/>
      <c r="I2618" s="12"/>
      <c r="J2618" s="13"/>
      <c r="BF2618" s="1"/>
      <c r="BG2618" s="1"/>
      <c r="BH2618" s="1"/>
      <c r="BI2618" s="1"/>
      <c r="BJ2618" s="1"/>
      <c r="BK2618" s="1"/>
      <c r="BL2618" s="1"/>
      <c r="BM2618" s="1"/>
      <c r="BN2618" s="1"/>
      <c r="BO2618" s="1"/>
      <c r="BP2618" s="1"/>
      <c r="CD2618" s="1"/>
      <c r="CE2618" s="1"/>
      <c r="CF2618" s="1"/>
      <c r="CG2618" s="1"/>
      <c r="CM2618" s="2"/>
      <c r="CP2618" s="1"/>
      <c r="CQ2618" s="1"/>
      <c r="CR2618" s="1"/>
      <c r="CT2618" s="1"/>
      <c r="CU2618" s="1"/>
      <c r="CV2618" s="1"/>
      <c r="CW2618" s="1"/>
      <c r="CX2618" s="1"/>
      <c r="CY2618" s="1"/>
      <c r="CZ2618" s="1"/>
      <c r="DA2618" s="1"/>
      <c r="DB2618" s="1"/>
      <c r="DC2618" s="1"/>
      <c r="DD2618" s="1"/>
      <c r="DE2618" s="1"/>
      <c r="DF2618" s="1"/>
      <c r="DG2618" s="1"/>
      <c r="DH2618" s="1"/>
      <c r="DI2618" s="1"/>
      <c r="DJ2618" s="1"/>
      <c r="DK2618" s="1"/>
      <c r="ED2618" s="1"/>
      <c r="EK2618" s="1"/>
      <c r="EL2618" s="1"/>
      <c r="EM2618" s="1"/>
      <c r="EN2618" s="1"/>
      <c r="EQ2618" s="1"/>
      <c r="ER2618" s="1"/>
      <c r="ES2618" s="1"/>
      <c r="EV2618" s="1"/>
      <c r="EW2618" s="1"/>
      <c r="EZ2618" s="1"/>
      <c r="HY2618" s="1"/>
      <c r="IE2618" s="1"/>
      <c r="IG2618" s="1"/>
      <c r="IH2618" s="1"/>
      <c r="IR2618" s="1"/>
      <c r="IS2618" s="1"/>
      <c r="IZ2618" s="1"/>
      <c r="JJ2618" s="1"/>
      <c r="JK2618" s="1"/>
      <c r="JL2618" s="3"/>
      <c r="JM2618" s="1"/>
      <c r="JP2618" s="1"/>
      <c r="JQ2618" s="1"/>
      <c r="JR2618" s="1"/>
      <c r="LZ2618" s="1"/>
    </row>
    <row r="2619" spans="4:338" ht="13" x14ac:dyDescent="0.15">
      <c r="D2619" s="12"/>
      <c r="E2619" s="12"/>
      <c r="I2619" s="12"/>
      <c r="J2619" s="13"/>
      <c r="BF2619" s="1"/>
      <c r="BG2619" s="1"/>
      <c r="BH2619" s="1"/>
      <c r="BI2619" s="1"/>
      <c r="BJ2619" s="1"/>
      <c r="BK2619" s="1"/>
      <c r="BL2619" s="1"/>
      <c r="BM2619" s="1"/>
      <c r="BN2619" s="1"/>
      <c r="BO2619" s="1"/>
      <c r="BP2619" s="1"/>
      <c r="CD2619" s="1"/>
      <c r="CE2619" s="1"/>
      <c r="CF2619" s="1"/>
      <c r="CG2619" s="1"/>
      <c r="CM2619" s="2"/>
      <c r="CP2619" s="1"/>
      <c r="CQ2619" s="1"/>
      <c r="CR2619" s="1"/>
      <c r="CT2619" s="1"/>
      <c r="CU2619" s="1"/>
      <c r="CV2619" s="1"/>
      <c r="CW2619" s="1"/>
      <c r="CX2619" s="1"/>
      <c r="CY2619" s="1"/>
      <c r="CZ2619" s="1"/>
      <c r="DA2619" s="1"/>
      <c r="DB2619" s="1"/>
      <c r="DC2619" s="1"/>
      <c r="DD2619" s="1"/>
      <c r="DE2619" s="1"/>
      <c r="DF2619" s="1"/>
      <c r="DG2619" s="1"/>
      <c r="DH2619" s="1"/>
      <c r="DI2619" s="1"/>
      <c r="DJ2619" s="1"/>
      <c r="DK2619" s="1"/>
      <c r="ED2619" s="1"/>
      <c r="EK2619" s="1"/>
      <c r="EL2619" s="1"/>
      <c r="EM2619" s="1"/>
      <c r="EN2619" s="1"/>
      <c r="EQ2619" s="1"/>
      <c r="ER2619" s="1"/>
      <c r="ES2619" s="1"/>
      <c r="EV2619" s="1"/>
      <c r="EW2619" s="1"/>
      <c r="EZ2619" s="1"/>
      <c r="HY2619" s="1"/>
      <c r="IE2619" s="1"/>
      <c r="IG2619" s="1"/>
      <c r="IH2619" s="1"/>
      <c r="IR2619" s="1"/>
      <c r="IS2619" s="1"/>
      <c r="IZ2619" s="1"/>
      <c r="JJ2619" s="1"/>
      <c r="JK2619" s="1"/>
      <c r="JL2619" s="3"/>
      <c r="JM2619" s="1"/>
      <c r="JP2619" s="1"/>
      <c r="JQ2619" s="1"/>
      <c r="JR2619" s="1"/>
      <c r="LZ2619" s="1"/>
    </row>
    <row r="2620" spans="4:338" ht="13" x14ac:dyDescent="0.15">
      <c r="D2620" s="12"/>
      <c r="E2620" s="12"/>
      <c r="I2620" s="12"/>
      <c r="J2620" s="13"/>
      <c r="BF2620" s="1"/>
      <c r="BG2620" s="1"/>
      <c r="BH2620" s="1"/>
      <c r="BI2620" s="1"/>
      <c r="BJ2620" s="1"/>
      <c r="BK2620" s="1"/>
      <c r="BL2620" s="1"/>
      <c r="BM2620" s="1"/>
      <c r="BN2620" s="1"/>
      <c r="BO2620" s="1"/>
      <c r="BP2620" s="1"/>
      <c r="CD2620" s="1"/>
      <c r="CE2620" s="1"/>
      <c r="CF2620" s="1"/>
      <c r="CG2620" s="1"/>
      <c r="CM2620" s="2"/>
      <c r="CP2620" s="1"/>
      <c r="CQ2620" s="1"/>
      <c r="CR2620" s="1"/>
      <c r="CT2620" s="1"/>
      <c r="CU2620" s="1"/>
      <c r="CV2620" s="1"/>
      <c r="CW2620" s="1"/>
      <c r="CX2620" s="1"/>
      <c r="CY2620" s="1"/>
      <c r="CZ2620" s="1"/>
      <c r="DA2620" s="1"/>
      <c r="DB2620" s="1"/>
      <c r="DC2620" s="1"/>
      <c r="DD2620" s="1"/>
      <c r="DE2620" s="1"/>
      <c r="DF2620" s="1"/>
      <c r="DG2620" s="1"/>
      <c r="DH2620" s="1"/>
      <c r="DI2620" s="1"/>
      <c r="DJ2620" s="1"/>
      <c r="DK2620" s="1"/>
      <c r="ED2620" s="1"/>
      <c r="EK2620" s="1"/>
      <c r="EL2620" s="1"/>
      <c r="EM2620" s="1"/>
      <c r="EN2620" s="1"/>
      <c r="EQ2620" s="1"/>
      <c r="ER2620" s="1"/>
      <c r="ES2620" s="1"/>
      <c r="EV2620" s="1"/>
      <c r="EW2620" s="1"/>
      <c r="EZ2620" s="1"/>
      <c r="HY2620" s="1"/>
      <c r="IE2620" s="1"/>
      <c r="IG2620" s="1"/>
      <c r="IH2620" s="1"/>
      <c r="IR2620" s="1"/>
      <c r="IS2620" s="1"/>
      <c r="IZ2620" s="1"/>
      <c r="JJ2620" s="1"/>
      <c r="JK2620" s="1"/>
      <c r="JL2620" s="3"/>
      <c r="JM2620" s="1"/>
      <c r="JP2620" s="1"/>
      <c r="JQ2620" s="1"/>
      <c r="JR2620" s="1"/>
      <c r="LZ2620" s="1"/>
    </row>
    <row r="2621" spans="4:338" ht="13" x14ac:dyDescent="0.15">
      <c r="D2621" s="12"/>
      <c r="E2621" s="12"/>
      <c r="I2621" s="12"/>
      <c r="J2621" s="13"/>
      <c r="BF2621" s="1"/>
      <c r="BG2621" s="1"/>
      <c r="BH2621" s="1"/>
      <c r="BI2621" s="1"/>
      <c r="BJ2621" s="1"/>
      <c r="BK2621" s="1"/>
      <c r="BL2621" s="1"/>
      <c r="BM2621" s="1"/>
      <c r="BN2621" s="1"/>
      <c r="BO2621" s="1"/>
      <c r="BP2621" s="1"/>
      <c r="CD2621" s="1"/>
      <c r="CE2621" s="1"/>
      <c r="CF2621" s="1"/>
      <c r="CG2621" s="1"/>
      <c r="CM2621" s="2"/>
      <c r="CP2621" s="1"/>
      <c r="CQ2621" s="1"/>
      <c r="CR2621" s="1"/>
      <c r="CT2621" s="1"/>
      <c r="CU2621" s="1"/>
      <c r="CV2621" s="1"/>
      <c r="CW2621" s="1"/>
      <c r="CX2621" s="1"/>
      <c r="CY2621" s="1"/>
      <c r="CZ2621" s="1"/>
      <c r="DA2621" s="1"/>
      <c r="DB2621" s="1"/>
      <c r="DC2621" s="1"/>
      <c r="DD2621" s="1"/>
      <c r="DE2621" s="1"/>
      <c r="DF2621" s="1"/>
      <c r="DG2621" s="1"/>
      <c r="DH2621" s="1"/>
      <c r="DI2621" s="1"/>
      <c r="DJ2621" s="1"/>
      <c r="DK2621" s="1"/>
      <c r="ED2621" s="1"/>
      <c r="EK2621" s="1"/>
      <c r="EL2621" s="1"/>
      <c r="EM2621" s="1"/>
      <c r="EN2621" s="1"/>
      <c r="EQ2621" s="1"/>
      <c r="ER2621" s="1"/>
      <c r="ES2621" s="1"/>
      <c r="EV2621" s="1"/>
      <c r="EW2621" s="1"/>
      <c r="EZ2621" s="1"/>
      <c r="HY2621" s="1"/>
      <c r="IE2621" s="1"/>
      <c r="IG2621" s="1"/>
      <c r="IH2621" s="1"/>
      <c r="IR2621" s="1"/>
      <c r="IS2621" s="1"/>
      <c r="IZ2621" s="1"/>
      <c r="JJ2621" s="1"/>
      <c r="JK2621" s="1"/>
      <c r="JL2621" s="3"/>
      <c r="JM2621" s="1"/>
      <c r="JP2621" s="1"/>
      <c r="JQ2621" s="1"/>
      <c r="JR2621" s="1"/>
      <c r="LZ2621" s="1"/>
    </row>
    <row r="2622" spans="4:338" ht="13" x14ac:dyDescent="0.15">
      <c r="D2622" s="12"/>
      <c r="E2622" s="12"/>
      <c r="I2622" s="12"/>
      <c r="J2622" s="13"/>
      <c r="BF2622" s="1"/>
      <c r="BG2622" s="1"/>
      <c r="BH2622" s="1"/>
      <c r="BI2622" s="1"/>
      <c r="BJ2622" s="1"/>
      <c r="BK2622" s="1"/>
      <c r="BL2622" s="1"/>
      <c r="BM2622" s="1"/>
      <c r="BN2622" s="1"/>
      <c r="BO2622" s="1"/>
      <c r="BP2622" s="1"/>
      <c r="CD2622" s="1"/>
      <c r="CE2622" s="1"/>
      <c r="CF2622" s="1"/>
      <c r="CG2622" s="1"/>
      <c r="CM2622" s="2"/>
      <c r="CP2622" s="1"/>
      <c r="CQ2622" s="1"/>
      <c r="CR2622" s="1"/>
      <c r="CT2622" s="1"/>
      <c r="CU2622" s="1"/>
      <c r="CV2622" s="1"/>
      <c r="CW2622" s="1"/>
      <c r="CX2622" s="1"/>
      <c r="CY2622" s="1"/>
      <c r="CZ2622" s="1"/>
      <c r="DA2622" s="1"/>
      <c r="DB2622" s="1"/>
      <c r="DC2622" s="1"/>
      <c r="DD2622" s="1"/>
      <c r="DE2622" s="1"/>
      <c r="DF2622" s="1"/>
      <c r="DG2622" s="1"/>
      <c r="DH2622" s="1"/>
      <c r="DI2622" s="1"/>
      <c r="DJ2622" s="1"/>
      <c r="DK2622" s="1"/>
      <c r="ED2622" s="1"/>
      <c r="EK2622" s="1"/>
      <c r="EL2622" s="1"/>
      <c r="EM2622" s="1"/>
      <c r="EN2622" s="1"/>
      <c r="EQ2622" s="1"/>
      <c r="ER2622" s="1"/>
      <c r="ES2622" s="1"/>
      <c r="EV2622" s="1"/>
      <c r="EW2622" s="1"/>
      <c r="EZ2622" s="1"/>
      <c r="HY2622" s="1"/>
      <c r="IE2622" s="1"/>
      <c r="IG2622" s="1"/>
      <c r="IH2622" s="1"/>
      <c r="IR2622" s="1"/>
      <c r="IS2622" s="1"/>
      <c r="IZ2622" s="1"/>
      <c r="JJ2622" s="1"/>
      <c r="JK2622" s="1"/>
      <c r="JL2622" s="3"/>
      <c r="JM2622" s="1"/>
      <c r="JP2622" s="1"/>
      <c r="JQ2622" s="1"/>
      <c r="JR2622" s="1"/>
      <c r="LZ2622" s="1"/>
    </row>
    <row r="2623" spans="4:338" ht="13" x14ac:dyDescent="0.15">
      <c r="D2623" s="12"/>
      <c r="E2623" s="12"/>
      <c r="I2623" s="12"/>
      <c r="J2623" s="13"/>
      <c r="BF2623" s="1"/>
      <c r="BG2623" s="1"/>
      <c r="BH2623" s="1"/>
      <c r="BI2623" s="1"/>
      <c r="BJ2623" s="1"/>
      <c r="BK2623" s="1"/>
      <c r="BL2623" s="1"/>
      <c r="BM2623" s="1"/>
      <c r="BN2623" s="1"/>
      <c r="BO2623" s="1"/>
      <c r="BP2623" s="1"/>
      <c r="CD2623" s="1"/>
      <c r="CE2623" s="1"/>
      <c r="CF2623" s="1"/>
      <c r="CG2623" s="1"/>
      <c r="CM2623" s="2"/>
      <c r="CP2623" s="1"/>
      <c r="CQ2623" s="1"/>
      <c r="CR2623" s="1"/>
      <c r="CT2623" s="1"/>
      <c r="CU2623" s="1"/>
      <c r="CV2623" s="1"/>
      <c r="CW2623" s="1"/>
      <c r="CX2623" s="1"/>
      <c r="CY2623" s="1"/>
      <c r="CZ2623" s="1"/>
      <c r="DA2623" s="1"/>
      <c r="DB2623" s="1"/>
      <c r="DC2623" s="1"/>
      <c r="DD2623" s="1"/>
      <c r="DE2623" s="1"/>
      <c r="DF2623" s="1"/>
      <c r="DG2623" s="1"/>
      <c r="DH2623" s="1"/>
      <c r="DI2623" s="1"/>
      <c r="DJ2623" s="1"/>
      <c r="DK2623" s="1"/>
      <c r="ED2623" s="1"/>
      <c r="EK2623" s="1"/>
      <c r="EL2623" s="1"/>
      <c r="EM2623" s="1"/>
      <c r="EN2623" s="1"/>
      <c r="EQ2623" s="1"/>
      <c r="ER2623" s="1"/>
      <c r="ES2623" s="1"/>
      <c r="EV2623" s="1"/>
      <c r="EW2623" s="1"/>
      <c r="EZ2623" s="1"/>
      <c r="HY2623" s="1"/>
      <c r="IE2623" s="1"/>
      <c r="IG2623" s="1"/>
      <c r="IH2623" s="1"/>
      <c r="IR2623" s="1"/>
      <c r="IS2623" s="1"/>
      <c r="IZ2623" s="1"/>
      <c r="JJ2623" s="1"/>
      <c r="JK2623" s="1"/>
      <c r="JL2623" s="3"/>
      <c r="JM2623" s="1"/>
      <c r="JP2623" s="1"/>
      <c r="JQ2623" s="1"/>
      <c r="JR2623" s="1"/>
      <c r="LZ2623" s="1"/>
    </row>
    <row r="2624" spans="4:338" ht="13" x14ac:dyDescent="0.15">
      <c r="D2624" s="12"/>
      <c r="E2624" s="12"/>
      <c r="I2624" s="12"/>
      <c r="J2624" s="13"/>
      <c r="BF2624" s="1"/>
      <c r="BG2624" s="1"/>
      <c r="BH2624" s="1"/>
      <c r="BI2624" s="1"/>
      <c r="BJ2624" s="1"/>
      <c r="BK2624" s="1"/>
      <c r="BL2624" s="1"/>
      <c r="BM2624" s="1"/>
      <c r="BN2624" s="1"/>
      <c r="BO2624" s="1"/>
      <c r="BP2624" s="1"/>
      <c r="CD2624" s="1"/>
      <c r="CE2624" s="1"/>
      <c r="CF2624" s="1"/>
      <c r="CG2624" s="1"/>
      <c r="CM2624" s="2"/>
      <c r="CP2624" s="1"/>
      <c r="CQ2624" s="1"/>
      <c r="CR2624" s="1"/>
      <c r="CT2624" s="1"/>
      <c r="CU2624" s="1"/>
      <c r="CV2624" s="1"/>
      <c r="CW2624" s="1"/>
      <c r="CX2624" s="1"/>
      <c r="CY2624" s="1"/>
      <c r="CZ2624" s="1"/>
      <c r="DA2624" s="1"/>
      <c r="DB2624" s="1"/>
      <c r="DC2624" s="1"/>
      <c r="DD2624" s="1"/>
      <c r="DE2624" s="1"/>
      <c r="DF2624" s="1"/>
      <c r="DG2624" s="1"/>
      <c r="DH2624" s="1"/>
      <c r="DI2624" s="1"/>
      <c r="DJ2624" s="1"/>
      <c r="DK2624" s="1"/>
      <c r="ED2624" s="1"/>
      <c r="EK2624" s="1"/>
      <c r="EL2624" s="1"/>
      <c r="EM2624" s="1"/>
      <c r="EN2624" s="1"/>
      <c r="EQ2624" s="1"/>
      <c r="ER2624" s="1"/>
      <c r="ES2624" s="1"/>
      <c r="EV2624" s="1"/>
      <c r="EW2624" s="1"/>
      <c r="EZ2624" s="1"/>
      <c r="HY2624" s="1"/>
      <c r="IE2624" s="1"/>
      <c r="IG2624" s="1"/>
      <c r="IH2624" s="1"/>
      <c r="IR2624" s="1"/>
      <c r="IS2624" s="1"/>
      <c r="IZ2624" s="1"/>
      <c r="JJ2624" s="1"/>
      <c r="JK2624" s="1"/>
      <c r="JL2624" s="3"/>
      <c r="JM2624" s="1"/>
      <c r="JP2624" s="1"/>
      <c r="JQ2624" s="1"/>
      <c r="JR2624" s="1"/>
      <c r="LZ2624" s="1"/>
    </row>
    <row r="2625" spans="4:338" ht="13" x14ac:dyDescent="0.15">
      <c r="D2625" s="12"/>
      <c r="E2625" s="12"/>
      <c r="I2625" s="12"/>
      <c r="J2625" s="13"/>
      <c r="BF2625" s="1"/>
      <c r="BG2625" s="1"/>
      <c r="BH2625" s="1"/>
      <c r="BI2625" s="1"/>
      <c r="BJ2625" s="1"/>
      <c r="BK2625" s="1"/>
      <c r="BL2625" s="1"/>
      <c r="BM2625" s="1"/>
      <c r="BN2625" s="1"/>
      <c r="BO2625" s="1"/>
      <c r="BP2625" s="1"/>
      <c r="CD2625" s="1"/>
      <c r="CE2625" s="1"/>
      <c r="CF2625" s="1"/>
      <c r="CG2625" s="1"/>
      <c r="CM2625" s="2"/>
      <c r="CP2625" s="1"/>
      <c r="CQ2625" s="1"/>
      <c r="CR2625" s="1"/>
      <c r="CT2625" s="1"/>
      <c r="CU2625" s="1"/>
      <c r="CV2625" s="1"/>
      <c r="CW2625" s="1"/>
      <c r="CX2625" s="1"/>
      <c r="CY2625" s="1"/>
      <c r="CZ2625" s="1"/>
      <c r="DA2625" s="1"/>
      <c r="DB2625" s="1"/>
      <c r="DC2625" s="1"/>
      <c r="DD2625" s="1"/>
      <c r="DE2625" s="1"/>
      <c r="DF2625" s="1"/>
      <c r="DG2625" s="1"/>
      <c r="DH2625" s="1"/>
      <c r="DI2625" s="1"/>
      <c r="DJ2625" s="1"/>
      <c r="DK2625" s="1"/>
      <c r="ED2625" s="1"/>
      <c r="EK2625" s="1"/>
      <c r="EL2625" s="1"/>
      <c r="EM2625" s="1"/>
      <c r="EN2625" s="1"/>
      <c r="EQ2625" s="1"/>
      <c r="ER2625" s="1"/>
      <c r="ES2625" s="1"/>
      <c r="EV2625" s="1"/>
      <c r="EW2625" s="1"/>
      <c r="EZ2625" s="1"/>
      <c r="HY2625" s="1"/>
      <c r="IE2625" s="1"/>
      <c r="IG2625" s="1"/>
      <c r="IH2625" s="1"/>
      <c r="IR2625" s="1"/>
      <c r="IS2625" s="1"/>
      <c r="IZ2625" s="1"/>
      <c r="JJ2625" s="1"/>
      <c r="JK2625" s="1"/>
      <c r="JL2625" s="3"/>
      <c r="JM2625" s="1"/>
      <c r="JP2625" s="1"/>
      <c r="JQ2625" s="1"/>
      <c r="JR2625" s="1"/>
      <c r="LZ2625" s="1"/>
    </row>
    <row r="2626" spans="4:338" ht="13" x14ac:dyDescent="0.15">
      <c r="D2626" s="12"/>
      <c r="E2626" s="12"/>
      <c r="I2626" s="12"/>
      <c r="J2626" s="13"/>
      <c r="BF2626" s="1"/>
      <c r="BG2626" s="1"/>
      <c r="BH2626" s="1"/>
      <c r="BI2626" s="1"/>
      <c r="BJ2626" s="1"/>
      <c r="BK2626" s="1"/>
      <c r="BL2626" s="1"/>
      <c r="BM2626" s="1"/>
      <c r="BN2626" s="1"/>
      <c r="BO2626" s="1"/>
      <c r="BP2626" s="1"/>
      <c r="CD2626" s="1"/>
      <c r="CE2626" s="1"/>
      <c r="CF2626" s="1"/>
      <c r="CG2626" s="1"/>
      <c r="CM2626" s="2"/>
      <c r="CP2626" s="1"/>
      <c r="CQ2626" s="1"/>
      <c r="CR2626" s="1"/>
      <c r="CT2626" s="1"/>
      <c r="CU2626" s="1"/>
      <c r="CV2626" s="1"/>
      <c r="CW2626" s="1"/>
      <c r="CX2626" s="1"/>
      <c r="CY2626" s="1"/>
      <c r="CZ2626" s="1"/>
      <c r="DA2626" s="1"/>
      <c r="DB2626" s="1"/>
      <c r="DC2626" s="1"/>
      <c r="DD2626" s="1"/>
      <c r="DE2626" s="1"/>
      <c r="DF2626" s="1"/>
      <c r="DG2626" s="1"/>
      <c r="DH2626" s="1"/>
      <c r="DI2626" s="1"/>
      <c r="DJ2626" s="1"/>
      <c r="DK2626" s="1"/>
      <c r="ED2626" s="1"/>
      <c r="EK2626" s="1"/>
      <c r="EL2626" s="1"/>
      <c r="EM2626" s="1"/>
      <c r="EN2626" s="1"/>
      <c r="EQ2626" s="1"/>
      <c r="ER2626" s="1"/>
      <c r="ES2626" s="1"/>
      <c r="EV2626" s="1"/>
      <c r="EW2626" s="1"/>
      <c r="EZ2626" s="1"/>
      <c r="HY2626" s="1"/>
      <c r="IE2626" s="1"/>
      <c r="IG2626" s="1"/>
      <c r="IH2626" s="1"/>
      <c r="IR2626" s="1"/>
      <c r="IS2626" s="1"/>
      <c r="IZ2626" s="1"/>
      <c r="JJ2626" s="1"/>
      <c r="JK2626" s="1"/>
      <c r="JL2626" s="3"/>
      <c r="JM2626" s="1"/>
      <c r="JP2626" s="1"/>
      <c r="JQ2626" s="1"/>
      <c r="JR2626" s="1"/>
      <c r="LZ2626" s="1"/>
    </row>
    <row r="2627" spans="4:338" ht="13" x14ac:dyDescent="0.15">
      <c r="D2627" s="12"/>
      <c r="E2627" s="12"/>
      <c r="I2627" s="12"/>
      <c r="J2627" s="13"/>
      <c r="BM2627" s="1"/>
      <c r="BN2627" s="1"/>
      <c r="CM2627" s="2"/>
      <c r="ED2627" s="1"/>
      <c r="EL2627" s="1"/>
      <c r="EM2627" s="1"/>
      <c r="EN2627" s="1"/>
      <c r="EQ2627" s="1"/>
      <c r="ER2627" s="1"/>
      <c r="ES2627" s="1"/>
      <c r="EV2627" s="1"/>
      <c r="EW2627" s="1"/>
      <c r="EZ2627" s="1"/>
      <c r="IS2627" s="1"/>
      <c r="IZ2627" s="1"/>
      <c r="JJ2627" s="1"/>
      <c r="JP2627" s="1"/>
      <c r="JQ2627" s="1"/>
      <c r="LZ2627" s="1"/>
    </row>
    <row r="2628" spans="4:338" ht="13" x14ac:dyDescent="0.15">
      <c r="D2628" s="12"/>
      <c r="E2628" s="12"/>
      <c r="I2628" s="12"/>
      <c r="J2628" s="13"/>
      <c r="BG2628" s="1"/>
      <c r="BH2628" s="1"/>
      <c r="BI2628" s="1"/>
      <c r="BK2628" s="1"/>
      <c r="BL2628" s="1"/>
      <c r="BM2628" s="1"/>
      <c r="BN2628" s="1"/>
      <c r="BO2628" s="1"/>
      <c r="CD2628" s="1"/>
      <c r="CM2628" s="2"/>
      <c r="ED2628" s="1"/>
      <c r="EL2628" s="1"/>
      <c r="EM2628" s="1"/>
      <c r="EN2628" s="1"/>
      <c r="EQ2628" s="1"/>
      <c r="ER2628" s="1"/>
      <c r="ES2628" s="1"/>
      <c r="EV2628" s="1"/>
      <c r="EW2628" s="1"/>
      <c r="EZ2628" s="1"/>
      <c r="HY2628" s="1"/>
      <c r="IS2628" s="1"/>
      <c r="IZ2628" s="1"/>
      <c r="JJ2628" s="1"/>
      <c r="JP2628" s="1"/>
      <c r="JQ2628" s="1"/>
    </row>
    <row r="2629" spans="4:338" ht="13" x14ac:dyDescent="0.15">
      <c r="D2629" s="12"/>
      <c r="E2629" s="12"/>
      <c r="I2629" s="12"/>
      <c r="J2629" s="13"/>
      <c r="BM2629" s="1"/>
      <c r="BN2629" s="1"/>
      <c r="CM2629" s="2"/>
      <c r="ED2629" s="1"/>
      <c r="EL2629" s="1"/>
      <c r="EM2629" s="1"/>
      <c r="EN2629" s="1"/>
      <c r="EQ2629" s="1"/>
      <c r="ER2629" s="1"/>
      <c r="ES2629" s="1"/>
      <c r="EV2629" s="1"/>
      <c r="EW2629" s="1"/>
      <c r="EZ2629" s="1"/>
      <c r="IS2629" s="1"/>
      <c r="IZ2629" s="1"/>
      <c r="JJ2629" s="1"/>
      <c r="JP2629" s="1"/>
      <c r="JQ2629" s="1"/>
      <c r="LZ2629" s="1"/>
    </row>
    <row r="2630" spans="4:338" ht="13" x14ac:dyDescent="0.15">
      <c r="D2630" s="12"/>
      <c r="E2630" s="12"/>
      <c r="I2630" s="12"/>
      <c r="J2630" s="13"/>
      <c r="BG2630" s="1"/>
      <c r="BH2630" s="1"/>
      <c r="BM2630" s="1"/>
      <c r="BN2630" s="1"/>
      <c r="CD2630" s="1"/>
      <c r="CK2630" s="1"/>
      <c r="CM2630" s="2"/>
      <c r="ED2630" s="1"/>
      <c r="EL2630" s="1"/>
      <c r="EM2630" s="1"/>
      <c r="EN2630" s="1"/>
      <c r="EQ2630" s="1"/>
      <c r="ER2630" s="1"/>
      <c r="ES2630" s="1"/>
      <c r="EV2630" s="1"/>
      <c r="EW2630" s="1"/>
      <c r="EZ2630" s="1"/>
      <c r="IS2630" s="1"/>
      <c r="IZ2630" s="1"/>
      <c r="JJ2630" s="1"/>
      <c r="JP2630" s="1"/>
      <c r="JQ2630" s="1"/>
    </row>
    <row r="2631" spans="4:338" ht="13" x14ac:dyDescent="0.15">
      <c r="D2631" s="12"/>
      <c r="E2631" s="12"/>
      <c r="I2631" s="12"/>
      <c r="J2631" s="13"/>
      <c r="BG2631" s="1"/>
      <c r="BH2631" s="1"/>
      <c r="BM2631" s="1"/>
      <c r="BN2631" s="1"/>
      <c r="CD2631" s="1"/>
      <c r="CK2631" s="1"/>
      <c r="CM2631" s="2"/>
      <c r="ED2631" s="1"/>
      <c r="EL2631" s="1"/>
      <c r="EM2631" s="1"/>
      <c r="EN2631" s="1"/>
      <c r="EQ2631" s="1"/>
      <c r="ER2631" s="1"/>
      <c r="ES2631" s="1"/>
      <c r="EV2631" s="1"/>
      <c r="EW2631" s="1"/>
      <c r="EZ2631" s="1"/>
      <c r="IS2631" s="1"/>
      <c r="IZ2631" s="1"/>
      <c r="JJ2631" s="1"/>
      <c r="JP2631" s="1"/>
      <c r="JQ2631" s="1"/>
    </row>
    <row r="2632" spans="4:338" ht="13" x14ac:dyDescent="0.15">
      <c r="D2632" s="12"/>
      <c r="E2632" s="12"/>
      <c r="I2632" s="12"/>
      <c r="J2632" s="13"/>
      <c r="BG2632" s="1"/>
      <c r="BH2632" s="1"/>
      <c r="BM2632" s="1"/>
      <c r="BN2632" s="1"/>
      <c r="CD2632" s="1"/>
      <c r="CK2632" s="1"/>
      <c r="CM2632" s="2"/>
      <c r="ED2632" s="1"/>
      <c r="EL2632" s="1"/>
      <c r="EM2632" s="1"/>
      <c r="EN2632" s="1"/>
      <c r="EQ2632" s="1"/>
      <c r="ER2632" s="1"/>
      <c r="ES2632" s="1"/>
      <c r="EV2632" s="1"/>
      <c r="EW2632" s="1"/>
      <c r="EZ2632" s="1"/>
      <c r="IS2632" s="1"/>
      <c r="IZ2632" s="1"/>
      <c r="JJ2632" s="1"/>
      <c r="JP2632" s="1"/>
      <c r="JQ2632" s="1"/>
    </row>
    <row r="2633" spans="4:338" ht="13" x14ac:dyDescent="0.15">
      <c r="D2633" s="12"/>
      <c r="E2633" s="12"/>
      <c r="I2633" s="12"/>
      <c r="J2633" s="13"/>
      <c r="BM2633" s="1"/>
      <c r="BN2633" s="1"/>
      <c r="CM2633" s="2"/>
      <c r="ED2633" s="1"/>
      <c r="EL2633" s="1"/>
      <c r="EM2633" s="1"/>
      <c r="EN2633" s="1"/>
      <c r="EQ2633" s="1"/>
      <c r="ER2633" s="1"/>
      <c r="ES2633" s="1"/>
      <c r="EV2633" s="1"/>
      <c r="EW2633" s="1"/>
      <c r="EZ2633" s="1"/>
      <c r="IS2633" s="1"/>
      <c r="IZ2633" s="1"/>
      <c r="JJ2633" s="1"/>
      <c r="JP2633" s="1"/>
      <c r="JQ2633" s="1"/>
      <c r="LZ2633" s="1"/>
    </row>
    <row r="2634" spans="4:338" ht="13" x14ac:dyDescent="0.15">
      <c r="D2634" s="12"/>
      <c r="E2634" s="12"/>
      <c r="I2634" s="12"/>
      <c r="J2634" s="13"/>
      <c r="BM2634" s="1"/>
      <c r="BN2634" s="1"/>
      <c r="CM2634" s="2"/>
      <c r="ED2634" s="1"/>
      <c r="EL2634" s="1"/>
      <c r="EM2634" s="1"/>
      <c r="EN2634" s="1"/>
      <c r="EQ2634" s="1"/>
      <c r="ER2634" s="1"/>
      <c r="ES2634" s="1"/>
      <c r="EV2634" s="1"/>
      <c r="EW2634" s="1"/>
      <c r="EZ2634" s="1"/>
      <c r="IS2634" s="1"/>
      <c r="IZ2634" s="1"/>
      <c r="JJ2634" s="1"/>
      <c r="JP2634" s="1"/>
      <c r="JQ2634" s="1"/>
      <c r="LZ2634" s="1"/>
    </row>
    <row r="2635" spans="4:338" ht="13" x14ac:dyDescent="0.15">
      <c r="D2635" s="12"/>
      <c r="E2635" s="12"/>
      <c r="I2635" s="12"/>
      <c r="J2635" s="13"/>
      <c r="BM2635" s="1"/>
      <c r="BN2635" s="1"/>
      <c r="CM2635" s="2"/>
      <c r="ED2635" s="1"/>
      <c r="EL2635" s="1"/>
      <c r="EM2635" s="1"/>
      <c r="EN2635" s="1"/>
      <c r="EQ2635" s="1"/>
      <c r="ER2635" s="1"/>
      <c r="ES2635" s="1"/>
      <c r="EV2635" s="1"/>
      <c r="EW2635" s="1"/>
      <c r="EZ2635" s="1"/>
      <c r="IS2635" s="1"/>
      <c r="IZ2635" s="1"/>
      <c r="JJ2635" s="1"/>
      <c r="JP2635" s="1"/>
      <c r="JQ2635" s="1"/>
      <c r="LZ2635" s="1"/>
    </row>
    <row r="2636" spans="4:338" ht="13" x14ac:dyDescent="0.15">
      <c r="D2636" s="12"/>
      <c r="E2636" s="12"/>
      <c r="I2636" s="12"/>
      <c r="J2636" s="13"/>
      <c r="BG2636" s="1"/>
      <c r="BH2636" s="1"/>
      <c r="BI2636" s="1"/>
      <c r="BK2636" s="1"/>
      <c r="BL2636" s="1"/>
      <c r="BM2636" s="1"/>
      <c r="BN2636" s="1"/>
      <c r="BO2636" s="1"/>
      <c r="CD2636" s="1"/>
      <c r="CM2636" s="2"/>
      <c r="ED2636" s="1"/>
      <c r="EL2636" s="1"/>
      <c r="EM2636" s="1"/>
      <c r="EN2636" s="1"/>
      <c r="EQ2636" s="1"/>
      <c r="ER2636" s="1"/>
      <c r="ES2636" s="1"/>
      <c r="EV2636" s="1"/>
      <c r="EW2636" s="1"/>
      <c r="EZ2636" s="1"/>
      <c r="HY2636" s="1"/>
      <c r="IS2636" s="1"/>
      <c r="IZ2636" s="1"/>
      <c r="JJ2636" s="1"/>
      <c r="JP2636" s="1"/>
      <c r="JQ2636" s="1"/>
    </row>
    <row r="2637" spans="4:338" ht="13" x14ac:dyDescent="0.15">
      <c r="D2637" s="12"/>
      <c r="E2637" s="12"/>
      <c r="I2637" s="12"/>
      <c r="J2637" s="13"/>
      <c r="BG2637" s="1"/>
      <c r="BH2637" s="1"/>
      <c r="BI2637" s="1"/>
      <c r="BK2637" s="1"/>
      <c r="BL2637" s="1"/>
      <c r="BM2637" s="1"/>
      <c r="BN2637" s="1"/>
      <c r="BO2637" s="1"/>
      <c r="CD2637" s="1"/>
      <c r="CM2637" s="2"/>
      <c r="ED2637" s="1"/>
      <c r="EL2637" s="1"/>
      <c r="EM2637" s="1"/>
      <c r="EN2637" s="1"/>
      <c r="EQ2637" s="1"/>
      <c r="ER2637" s="1"/>
      <c r="ES2637" s="1"/>
      <c r="EV2637" s="1"/>
      <c r="EW2637" s="1"/>
      <c r="EZ2637" s="1"/>
      <c r="HY2637" s="1"/>
      <c r="IS2637" s="1"/>
      <c r="IZ2637" s="1"/>
      <c r="JJ2637" s="1"/>
      <c r="JP2637" s="1"/>
      <c r="JQ2637" s="1"/>
    </row>
    <row r="2638" spans="4:338" ht="13" x14ac:dyDescent="0.15">
      <c r="D2638" s="12"/>
      <c r="E2638" s="12"/>
      <c r="I2638" s="12"/>
      <c r="J2638" s="13"/>
      <c r="BG2638" s="1"/>
      <c r="BH2638" s="1"/>
      <c r="BI2638" s="1"/>
      <c r="BK2638" s="1"/>
      <c r="BL2638" s="1"/>
      <c r="BM2638" s="1"/>
      <c r="BN2638" s="1"/>
      <c r="BO2638" s="1"/>
      <c r="CD2638" s="1"/>
      <c r="CM2638" s="2"/>
      <c r="ED2638" s="1"/>
      <c r="EL2638" s="1"/>
      <c r="EM2638" s="1"/>
      <c r="EN2638" s="1"/>
      <c r="EQ2638" s="1"/>
      <c r="ER2638" s="1"/>
      <c r="ES2638" s="1"/>
      <c r="EV2638" s="1"/>
      <c r="EW2638" s="1"/>
      <c r="EZ2638" s="1"/>
      <c r="HY2638" s="1"/>
      <c r="IS2638" s="1"/>
      <c r="IZ2638" s="1"/>
      <c r="JJ2638" s="1"/>
      <c r="JP2638" s="1"/>
      <c r="JQ2638" s="1"/>
    </row>
    <row r="2639" spans="4:338" ht="13" x14ac:dyDescent="0.15">
      <c r="D2639" s="12"/>
      <c r="E2639" s="12"/>
      <c r="I2639" s="12"/>
      <c r="J2639" s="13"/>
      <c r="BF2639" s="1"/>
      <c r="BG2639" s="1"/>
      <c r="BH2639" s="1"/>
      <c r="BI2639" s="1"/>
      <c r="BK2639" s="1"/>
      <c r="BL2639" s="1"/>
      <c r="BM2639" s="1"/>
      <c r="BN2639" s="1"/>
      <c r="BO2639" s="1"/>
      <c r="CD2639" s="1"/>
      <c r="CM2639" s="2"/>
      <c r="ED2639" s="1"/>
      <c r="EL2639" s="1"/>
      <c r="EM2639" s="1"/>
      <c r="EN2639" s="1"/>
      <c r="EQ2639" s="1"/>
      <c r="ER2639" s="1"/>
      <c r="ES2639" s="1"/>
      <c r="EV2639" s="1"/>
      <c r="EW2639" s="1"/>
      <c r="EZ2639" s="1"/>
      <c r="HY2639" s="1"/>
      <c r="IS2639" s="1"/>
      <c r="IZ2639" s="1"/>
      <c r="JJ2639" s="1"/>
      <c r="JP2639" s="1"/>
      <c r="JQ2639" s="1"/>
    </row>
    <row r="2640" spans="4:338" ht="13" x14ac:dyDescent="0.15">
      <c r="D2640" s="12"/>
      <c r="E2640" s="12"/>
      <c r="I2640" s="12"/>
      <c r="J2640" s="13"/>
      <c r="BF2640" s="1"/>
      <c r="BG2640" s="1"/>
      <c r="BH2640" s="1"/>
      <c r="BI2640" s="1"/>
      <c r="BK2640" s="1"/>
      <c r="BL2640" s="1"/>
      <c r="BM2640" s="1"/>
      <c r="BN2640" s="1"/>
      <c r="BO2640" s="1"/>
      <c r="CD2640" s="1"/>
      <c r="CM2640" s="2"/>
      <c r="ED2640" s="1"/>
      <c r="EL2640" s="1"/>
      <c r="EM2640" s="1"/>
      <c r="EN2640" s="1"/>
      <c r="EQ2640" s="1"/>
      <c r="ER2640" s="1"/>
      <c r="ES2640" s="1"/>
      <c r="EV2640" s="1"/>
      <c r="EW2640" s="1"/>
      <c r="EZ2640" s="1"/>
      <c r="HY2640" s="1"/>
      <c r="IS2640" s="1"/>
      <c r="IZ2640" s="1"/>
      <c r="JJ2640" s="1"/>
      <c r="JP2640" s="1"/>
      <c r="JQ2640" s="1"/>
    </row>
    <row r="2641" spans="4:339" ht="13" x14ac:dyDescent="0.15">
      <c r="D2641" s="12"/>
      <c r="E2641" s="12"/>
      <c r="I2641" s="12"/>
      <c r="J2641" s="13"/>
      <c r="BG2641" s="1"/>
      <c r="BH2641" s="1"/>
      <c r="BI2641" s="1"/>
      <c r="BK2641" s="1"/>
      <c r="BL2641" s="1"/>
      <c r="BM2641" s="1"/>
      <c r="BN2641" s="1"/>
      <c r="BP2641" s="1"/>
      <c r="CD2641" s="1"/>
      <c r="CM2641" s="2"/>
      <c r="CP2641" s="1"/>
      <c r="CQ2641" s="1"/>
      <c r="CR2641" s="1"/>
      <c r="CT2641" s="1"/>
      <c r="CU2641" s="1"/>
      <c r="CV2641" s="1"/>
      <c r="CW2641" s="1"/>
      <c r="CX2641" s="1"/>
      <c r="CY2641" s="1"/>
      <c r="CZ2641" s="1"/>
      <c r="DA2641" s="1"/>
      <c r="DB2641" s="1"/>
      <c r="DC2641" s="1"/>
      <c r="DD2641" s="1"/>
      <c r="DE2641" s="1"/>
      <c r="DF2641" s="1"/>
      <c r="DG2641" s="1"/>
      <c r="DH2641" s="1"/>
      <c r="DI2641" s="1"/>
      <c r="DJ2641" s="1"/>
      <c r="DK2641" s="1"/>
      <c r="ED2641" s="1"/>
      <c r="EK2641" s="1"/>
      <c r="EL2641" s="1"/>
      <c r="EM2641" s="1"/>
      <c r="EN2641" s="1"/>
      <c r="EQ2641" s="1"/>
      <c r="ER2641" s="1"/>
      <c r="ES2641" s="1"/>
      <c r="EV2641" s="1"/>
      <c r="EW2641" s="1"/>
      <c r="EZ2641" s="1"/>
      <c r="GO2641" s="1"/>
      <c r="IE2641" s="1"/>
      <c r="IS2641" s="1"/>
      <c r="IZ2641" s="1"/>
      <c r="JJ2641" s="1"/>
      <c r="JP2641" s="1"/>
      <c r="JQ2641" s="1"/>
      <c r="LZ2641" s="1"/>
      <c r="MA2641" s="1"/>
    </row>
    <row r="2642" spans="4:339" ht="13" x14ac:dyDescent="0.15">
      <c r="D2642" s="12"/>
      <c r="E2642" s="12"/>
      <c r="I2642" s="12"/>
      <c r="J2642" s="13"/>
      <c r="BG2642" s="1"/>
      <c r="BH2642" s="1"/>
      <c r="BI2642" s="1"/>
      <c r="BK2642" s="1"/>
      <c r="BL2642" s="1"/>
      <c r="BM2642" s="1"/>
      <c r="BN2642" s="1"/>
      <c r="BP2642" s="1"/>
      <c r="CD2642" s="1"/>
      <c r="CM2642" s="2"/>
      <c r="CP2642" s="1"/>
      <c r="CQ2642" s="1"/>
      <c r="CR2642" s="1"/>
      <c r="CT2642" s="1"/>
      <c r="CU2642" s="1"/>
      <c r="CV2642" s="1"/>
      <c r="CW2642" s="1"/>
      <c r="CX2642" s="1"/>
      <c r="CY2642" s="1"/>
      <c r="CZ2642" s="1"/>
      <c r="DA2642" s="1"/>
      <c r="DB2642" s="1"/>
      <c r="DC2642" s="1"/>
      <c r="DD2642" s="1"/>
      <c r="DE2642" s="1"/>
      <c r="DF2642" s="1"/>
      <c r="DG2642" s="1"/>
      <c r="DH2642" s="1"/>
      <c r="DI2642" s="1"/>
      <c r="DJ2642" s="1"/>
      <c r="DK2642" s="1"/>
      <c r="ED2642" s="1"/>
      <c r="EK2642" s="1"/>
      <c r="EL2642" s="1"/>
      <c r="EM2642" s="1"/>
      <c r="EN2642" s="1"/>
      <c r="EQ2642" s="1"/>
      <c r="ER2642" s="1"/>
      <c r="ES2642" s="1"/>
      <c r="EV2642" s="1"/>
      <c r="EW2642" s="1"/>
      <c r="EZ2642" s="1"/>
      <c r="GO2642" s="1"/>
      <c r="IE2642" s="1"/>
      <c r="IS2642" s="1"/>
      <c r="IZ2642" s="1"/>
      <c r="JJ2642" s="1"/>
      <c r="JP2642" s="1"/>
      <c r="JQ2642" s="1"/>
      <c r="LZ2642" s="1"/>
      <c r="MA2642" s="1"/>
    </row>
    <row r="2643" spans="4:339" ht="13" x14ac:dyDescent="0.15">
      <c r="D2643" s="12"/>
      <c r="E2643" s="12"/>
      <c r="I2643" s="12"/>
      <c r="J2643" s="13"/>
      <c r="BG2643" s="1"/>
      <c r="BH2643" s="1"/>
      <c r="BI2643" s="1"/>
      <c r="BK2643" s="1"/>
      <c r="BL2643" s="1"/>
      <c r="BM2643" s="1"/>
      <c r="BN2643" s="1"/>
      <c r="BP2643" s="1"/>
      <c r="CD2643" s="1"/>
      <c r="CM2643" s="2"/>
      <c r="CP2643" s="1"/>
      <c r="CQ2643" s="1"/>
      <c r="CR2643" s="1"/>
      <c r="CT2643" s="1"/>
      <c r="CU2643" s="1"/>
      <c r="CV2643" s="1"/>
      <c r="CW2643" s="1"/>
      <c r="CX2643" s="1"/>
      <c r="CY2643" s="1"/>
      <c r="CZ2643" s="1"/>
      <c r="DA2643" s="1"/>
      <c r="DB2643" s="1"/>
      <c r="DC2643" s="1"/>
      <c r="DD2643" s="1"/>
      <c r="DE2643" s="1"/>
      <c r="DF2643" s="1"/>
      <c r="DG2643" s="1"/>
      <c r="DH2643" s="1"/>
      <c r="DI2643" s="1"/>
      <c r="DJ2643" s="1"/>
      <c r="DK2643" s="1"/>
      <c r="ED2643" s="1"/>
      <c r="EK2643" s="1"/>
      <c r="EL2643" s="1"/>
      <c r="EM2643" s="1"/>
      <c r="EN2643" s="1"/>
      <c r="EQ2643" s="1"/>
      <c r="ER2643" s="1"/>
      <c r="ES2643" s="1"/>
      <c r="EV2643" s="1"/>
      <c r="EW2643" s="1"/>
      <c r="EZ2643" s="1"/>
      <c r="GO2643" s="1"/>
      <c r="IE2643" s="1"/>
      <c r="IS2643" s="1"/>
      <c r="IZ2643" s="1"/>
      <c r="JJ2643" s="1"/>
      <c r="JP2643" s="1"/>
      <c r="JQ2643" s="1"/>
      <c r="LZ2643" s="1"/>
      <c r="MA2643" s="1"/>
    </row>
    <row r="2644" spans="4:339" ht="13" x14ac:dyDescent="0.15">
      <c r="D2644" s="12"/>
      <c r="E2644" s="12"/>
      <c r="I2644" s="12"/>
      <c r="J2644" s="13"/>
      <c r="BM2644" s="1"/>
      <c r="BN2644" s="1"/>
      <c r="CM2644" s="2"/>
      <c r="ED2644" s="1"/>
      <c r="EL2644" s="1"/>
      <c r="EM2644" s="1"/>
      <c r="EN2644" s="1"/>
      <c r="EQ2644" s="1"/>
      <c r="ER2644" s="1"/>
      <c r="ES2644" s="1"/>
      <c r="EV2644" s="1"/>
      <c r="EW2644" s="1"/>
      <c r="EZ2644" s="1"/>
      <c r="IS2644" s="1"/>
      <c r="IZ2644" s="1"/>
      <c r="JJ2644" s="1"/>
      <c r="JP2644" s="1"/>
      <c r="JQ2644" s="1"/>
      <c r="LZ2644" s="1"/>
    </row>
    <row r="2645" spans="4:339" ht="13" x14ac:dyDescent="0.15">
      <c r="D2645" s="12"/>
      <c r="E2645" s="12"/>
      <c r="I2645" s="12"/>
      <c r="J2645" s="13"/>
      <c r="BG2645" s="1"/>
      <c r="BH2645" s="1"/>
      <c r="BI2645" s="1"/>
      <c r="BK2645" s="1"/>
      <c r="BL2645" s="1"/>
      <c r="BM2645" s="1"/>
      <c r="BN2645" s="1"/>
      <c r="CD2645" s="1"/>
      <c r="CM2645" s="2"/>
      <c r="ED2645" s="1"/>
      <c r="EL2645" s="1"/>
      <c r="EM2645" s="1"/>
      <c r="EN2645" s="1"/>
      <c r="EQ2645" s="1"/>
      <c r="ER2645" s="1"/>
      <c r="ES2645" s="1"/>
      <c r="EV2645" s="1"/>
      <c r="EW2645" s="1"/>
      <c r="EZ2645" s="1"/>
      <c r="HY2645" s="1"/>
      <c r="IS2645" s="1"/>
      <c r="IZ2645" s="1"/>
      <c r="JJ2645" s="1"/>
      <c r="JP2645" s="1"/>
      <c r="JQ2645" s="1"/>
      <c r="JV2645" s="1"/>
    </row>
    <row r="2646" spans="4:339" ht="13" x14ac:dyDescent="0.15">
      <c r="D2646" s="12"/>
      <c r="E2646" s="12"/>
      <c r="I2646" s="12"/>
      <c r="J2646" s="13"/>
      <c r="BM2646" s="1"/>
      <c r="BN2646" s="1"/>
      <c r="CM2646" s="2"/>
      <c r="ED2646" s="1"/>
      <c r="EL2646" s="1"/>
      <c r="EM2646" s="1"/>
      <c r="EN2646" s="1"/>
      <c r="EQ2646" s="1"/>
      <c r="ER2646" s="1"/>
      <c r="ES2646" s="1"/>
      <c r="EV2646" s="1"/>
      <c r="EW2646" s="1"/>
      <c r="EZ2646" s="1"/>
      <c r="IS2646" s="1"/>
      <c r="IZ2646" s="1"/>
      <c r="JJ2646" s="1"/>
      <c r="JP2646" s="1"/>
      <c r="JQ2646" s="1"/>
      <c r="LZ2646" s="1"/>
    </row>
    <row r="2647" spans="4:339" ht="13" x14ac:dyDescent="0.15">
      <c r="D2647" s="12"/>
      <c r="E2647" s="12"/>
      <c r="I2647" s="12"/>
      <c r="J2647" s="13"/>
      <c r="BG2647" s="1"/>
      <c r="BH2647" s="1"/>
      <c r="BI2647" s="1"/>
      <c r="BK2647" s="1"/>
      <c r="BL2647" s="1"/>
      <c r="BM2647" s="1"/>
      <c r="BN2647" s="1"/>
      <c r="BO2647" s="1"/>
      <c r="CD2647" s="1"/>
      <c r="CM2647" s="2"/>
      <c r="ED2647" s="1"/>
      <c r="EL2647" s="1"/>
      <c r="EM2647" s="1"/>
      <c r="EN2647" s="1"/>
      <c r="EQ2647" s="1"/>
      <c r="ER2647" s="1"/>
      <c r="ES2647" s="1"/>
      <c r="EV2647" s="1"/>
      <c r="EW2647" s="1"/>
      <c r="EZ2647" s="1"/>
      <c r="GO2647" s="1"/>
      <c r="HY2647" s="1"/>
      <c r="IS2647" s="1"/>
      <c r="IZ2647" s="1"/>
      <c r="JH2647" s="1"/>
      <c r="JJ2647" s="1"/>
      <c r="JP2647" s="1"/>
      <c r="JQ2647" s="1"/>
      <c r="JU2647" s="1"/>
      <c r="JV2647" s="1"/>
    </row>
    <row r="2648" spans="4:339" ht="13" x14ac:dyDescent="0.15">
      <c r="D2648" s="12"/>
      <c r="E2648" s="12"/>
      <c r="I2648" s="12"/>
      <c r="J2648" s="13"/>
      <c r="BM2648" s="1"/>
      <c r="BN2648" s="1"/>
      <c r="CM2648" s="2"/>
      <c r="ED2648" s="1"/>
      <c r="EL2648" s="1"/>
      <c r="EM2648" s="1"/>
      <c r="EN2648" s="1"/>
      <c r="EQ2648" s="1"/>
      <c r="ER2648" s="1"/>
      <c r="ES2648" s="1"/>
      <c r="EV2648" s="1"/>
      <c r="EW2648" s="1"/>
      <c r="EZ2648" s="1"/>
      <c r="IS2648" s="1"/>
      <c r="IZ2648" s="1"/>
      <c r="JJ2648" s="1"/>
      <c r="JP2648" s="1"/>
      <c r="JQ2648" s="1"/>
      <c r="LZ2648" s="1"/>
    </row>
    <row r="2649" spans="4:339" ht="13" x14ac:dyDescent="0.15">
      <c r="D2649" s="12"/>
      <c r="E2649" s="12"/>
      <c r="I2649" s="12"/>
      <c r="J2649" s="13"/>
      <c r="BG2649" s="1"/>
      <c r="BH2649" s="1"/>
      <c r="BI2649" s="1"/>
      <c r="BK2649" s="1"/>
      <c r="BL2649" s="1"/>
      <c r="BM2649" s="1"/>
      <c r="BN2649" s="1"/>
      <c r="BO2649" s="1"/>
      <c r="CD2649" s="1"/>
      <c r="CM2649" s="2"/>
      <c r="ED2649" s="1"/>
      <c r="EL2649" s="1"/>
      <c r="EM2649" s="1"/>
      <c r="EN2649" s="1"/>
      <c r="EQ2649" s="1"/>
      <c r="ER2649" s="1"/>
      <c r="ES2649" s="1"/>
      <c r="EV2649" s="1"/>
      <c r="EW2649" s="1"/>
      <c r="EZ2649" s="1"/>
      <c r="HY2649" s="1"/>
      <c r="IS2649" s="1"/>
      <c r="IZ2649" s="1"/>
      <c r="JH2649" s="1"/>
      <c r="JJ2649" s="1"/>
      <c r="JP2649" s="1"/>
      <c r="JQ2649" s="1"/>
      <c r="JU2649" s="1"/>
    </row>
    <row r="2650" spans="4:339" ht="13" x14ac:dyDescent="0.15">
      <c r="D2650" s="12"/>
      <c r="E2650" s="12"/>
      <c r="I2650" s="12"/>
      <c r="J2650" s="13"/>
      <c r="BG2650" s="1"/>
      <c r="BH2650" s="1"/>
      <c r="BI2650" s="1"/>
      <c r="BJ2650" s="1"/>
      <c r="BK2650" s="1"/>
      <c r="BL2650" s="1"/>
      <c r="BM2650" s="1"/>
      <c r="BN2650" s="1"/>
      <c r="BO2650" s="1"/>
      <c r="BP2650" s="1"/>
      <c r="CD2650" s="1"/>
      <c r="CM2650" s="2"/>
      <c r="CP2650" s="1"/>
      <c r="CQ2650" s="1"/>
      <c r="CR2650" s="1"/>
      <c r="CT2650" s="1"/>
      <c r="CU2650" s="1"/>
      <c r="CV2650" s="1"/>
      <c r="CW2650" s="1"/>
      <c r="CX2650" s="1"/>
      <c r="CY2650" s="1"/>
      <c r="CZ2650" s="1"/>
      <c r="DA2650" s="1"/>
      <c r="DB2650" s="1"/>
      <c r="DC2650" s="1"/>
      <c r="DD2650" s="1"/>
      <c r="DE2650" s="1"/>
      <c r="DF2650" s="1"/>
      <c r="DG2650" s="1"/>
      <c r="DH2650" s="1"/>
      <c r="DI2650" s="1"/>
      <c r="DJ2650" s="1"/>
      <c r="DK2650" s="1"/>
      <c r="ED2650" s="1"/>
      <c r="EK2650" s="1"/>
      <c r="EL2650" s="1"/>
      <c r="EM2650" s="1"/>
      <c r="EN2650" s="1"/>
      <c r="EQ2650" s="1"/>
      <c r="ER2650" s="1"/>
      <c r="ES2650" s="1"/>
      <c r="EV2650" s="1"/>
      <c r="EW2650" s="1"/>
      <c r="EZ2650" s="1"/>
      <c r="GO2650" s="1"/>
      <c r="HY2650" s="1"/>
      <c r="IE2650" s="1"/>
      <c r="IS2650" s="1"/>
      <c r="IZ2650" s="1"/>
      <c r="JH2650" s="1"/>
      <c r="JJ2650" s="1"/>
      <c r="JP2650" s="1"/>
      <c r="JQ2650" s="1"/>
      <c r="JU2650" s="1"/>
      <c r="LZ2650" s="1"/>
      <c r="MA2650" s="1"/>
    </row>
    <row r="2651" spans="4:339" ht="13" x14ac:dyDescent="0.15">
      <c r="D2651" s="12"/>
      <c r="E2651" s="12"/>
      <c r="I2651" s="12"/>
      <c r="J2651" s="13"/>
      <c r="BG2651" s="1"/>
      <c r="BH2651" s="1"/>
      <c r="BI2651" s="1"/>
      <c r="BK2651" s="1"/>
      <c r="BL2651" s="1"/>
      <c r="BM2651" s="1"/>
      <c r="BN2651" s="1"/>
      <c r="BO2651" s="1"/>
      <c r="BP2651" s="1"/>
      <c r="CD2651" s="1"/>
      <c r="CE2651" s="1"/>
      <c r="CF2651" s="1"/>
      <c r="CG2651" s="1"/>
      <c r="CM2651" s="2"/>
      <c r="CP2651" s="1"/>
      <c r="CQ2651" s="1"/>
      <c r="CR2651" s="1"/>
      <c r="CS2651" s="1"/>
      <c r="CT2651" s="1"/>
      <c r="CU2651" s="1"/>
      <c r="CV2651" s="1"/>
      <c r="CW2651" s="1"/>
      <c r="CX2651" s="1"/>
      <c r="CY2651" s="1"/>
      <c r="CZ2651" s="1"/>
      <c r="DA2651" s="1"/>
      <c r="DB2651" s="1"/>
      <c r="DC2651" s="1"/>
      <c r="DD2651" s="1"/>
      <c r="DE2651" s="1"/>
      <c r="DF2651" s="1"/>
      <c r="DG2651" s="1"/>
      <c r="DH2651" s="1"/>
      <c r="DI2651" s="1"/>
      <c r="DJ2651" s="1"/>
      <c r="DK2651" s="1"/>
      <c r="DQ2651" s="1"/>
      <c r="DR2651" s="1"/>
      <c r="DY2651" s="1"/>
      <c r="DZ2651" s="1"/>
      <c r="ED2651" s="1"/>
      <c r="EE2651" s="1"/>
      <c r="EF2651" s="1"/>
      <c r="EG2651" s="1"/>
      <c r="EH2651" s="1"/>
      <c r="EK2651" s="1"/>
      <c r="EL2651" s="1"/>
      <c r="EM2651" s="1"/>
      <c r="EN2651" s="1"/>
      <c r="EQ2651" s="1"/>
      <c r="ER2651" s="1"/>
      <c r="ES2651" s="1"/>
      <c r="EV2651" s="1"/>
      <c r="EW2651" s="1"/>
      <c r="EY2651" s="1"/>
      <c r="EZ2651" s="1"/>
      <c r="HY2651" s="1"/>
      <c r="IE2651" s="1"/>
      <c r="IF2651" s="1"/>
      <c r="IG2651" s="1"/>
      <c r="IJ2651" s="1"/>
      <c r="IR2651" s="1"/>
      <c r="IS2651" s="1"/>
      <c r="IZ2651" s="1"/>
      <c r="JJ2651" s="1"/>
      <c r="JK2651" s="1"/>
      <c r="JL2651" s="3"/>
      <c r="JM2651" s="1"/>
      <c r="JP2651" s="1"/>
      <c r="JQ2651" s="1"/>
      <c r="JR2651" s="1"/>
      <c r="LZ2651" s="1"/>
    </row>
    <row r="2652" spans="4:339" ht="13" x14ac:dyDescent="0.15">
      <c r="D2652" s="12"/>
      <c r="E2652" s="12"/>
      <c r="I2652" s="12"/>
      <c r="J2652" s="13"/>
      <c r="BG2652" s="1"/>
      <c r="BH2652" s="1"/>
      <c r="BI2652" s="1"/>
      <c r="BK2652" s="1"/>
      <c r="BL2652" s="1"/>
      <c r="BM2652" s="1"/>
      <c r="BN2652" s="1"/>
      <c r="BO2652" s="1"/>
      <c r="BP2652" s="1"/>
      <c r="CD2652" s="1"/>
      <c r="CE2652" s="1"/>
      <c r="CF2652" s="1"/>
      <c r="CG2652" s="1"/>
      <c r="CM2652" s="2"/>
      <c r="CP2652" s="1"/>
      <c r="CQ2652" s="1"/>
      <c r="CR2652" s="1"/>
      <c r="CS2652" s="1"/>
      <c r="CT2652" s="1"/>
      <c r="CU2652" s="1"/>
      <c r="CV2652" s="1"/>
      <c r="CW2652" s="1"/>
      <c r="CX2652" s="1"/>
      <c r="CY2652" s="1"/>
      <c r="CZ2652" s="1"/>
      <c r="DA2652" s="1"/>
      <c r="DB2652" s="1"/>
      <c r="DC2652" s="1"/>
      <c r="DD2652" s="1"/>
      <c r="DE2652" s="1"/>
      <c r="DF2652" s="1"/>
      <c r="DG2652" s="1"/>
      <c r="DH2652" s="1"/>
      <c r="DI2652" s="1"/>
      <c r="DJ2652" s="1"/>
      <c r="DK2652" s="1"/>
      <c r="DQ2652" s="1"/>
      <c r="DR2652" s="1"/>
      <c r="DY2652" s="1"/>
      <c r="DZ2652" s="1"/>
      <c r="ED2652" s="1"/>
      <c r="EE2652" s="1"/>
      <c r="EF2652" s="1"/>
      <c r="EG2652" s="1"/>
      <c r="EH2652" s="1"/>
      <c r="EK2652" s="1"/>
      <c r="EL2652" s="1"/>
      <c r="EM2652" s="1"/>
      <c r="EN2652" s="1"/>
      <c r="EQ2652" s="1"/>
      <c r="ER2652" s="1"/>
      <c r="ES2652" s="1"/>
      <c r="EV2652" s="1"/>
      <c r="EW2652" s="1"/>
      <c r="EY2652" s="1"/>
      <c r="EZ2652" s="1"/>
      <c r="HY2652" s="1"/>
      <c r="IE2652" s="1"/>
      <c r="IF2652" s="1"/>
      <c r="IG2652" s="1"/>
      <c r="IJ2652" s="1"/>
      <c r="IR2652" s="1"/>
      <c r="IS2652" s="1"/>
      <c r="IZ2652" s="1"/>
      <c r="JJ2652" s="1"/>
      <c r="JK2652" s="1"/>
      <c r="JL2652" s="3"/>
      <c r="JM2652" s="1"/>
      <c r="JP2652" s="1"/>
      <c r="JQ2652" s="1"/>
      <c r="JR2652" s="1"/>
      <c r="LZ2652" s="1"/>
    </row>
    <row r="2653" spans="4:339" ht="13" x14ac:dyDescent="0.15">
      <c r="D2653" s="12"/>
      <c r="E2653" s="12"/>
      <c r="I2653" s="12"/>
      <c r="J2653" s="13"/>
      <c r="BG2653" s="1"/>
      <c r="BH2653" s="1"/>
      <c r="BI2653" s="1"/>
      <c r="BK2653" s="1"/>
      <c r="BL2653" s="1"/>
      <c r="BM2653" s="1"/>
      <c r="BN2653" s="1"/>
      <c r="BO2653" s="1"/>
      <c r="BP2653" s="1"/>
      <c r="CD2653" s="1"/>
      <c r="CE2653" s="1"/>
      <c r="CF2653" s="1"/>
      <c r="CG2653" s="1"/>
      <c r="CM2653" s="2"/>
      <c r="CP2653" s="1"/>
      <c r="CQ2653" s="1"/>
      <c r="CR2653" s="1"/>
      <c r="CS2653" s="1"/>
      <c r="CT2653" s="1"/>
      <c r="CU2653" s="1"/>
      <c r="CV2653" s="1"/>
      <c r="CW2653" s="1"/>
      <c r="CX2653" s="1"/>
      <c r="CY2653" s="1"/>
      <c r="CZ2653" s="1"/>
      <c r="DA2653" s="1"/>
      <c r="DB2653" s="1"/>
      <c r="DC2653" s="1"/>
      <c r="DD2653" s="1"/>
      <c r="DE2653" s="1"/>
      <c r="DF2653" s="1"/>
      <c r="DG2653" s="1"/>
      <c r="DH2653" s="1"/>
      <c r="DI2653" s="1"/>
      <c r="DJ2653" s="1"/>
      <c r="DK2653" s="1"/>
      <c r="DQ2653" s="1"/>
      <c r="DR2653" s="1"/>
      <c r="DY2653" s="1"/>
      <c r="DZ2653" s="1"/>
      <c r="ED2653" s="1"/>
      <c r="EE2653" s="1"/>
      <c r="EF2653" s="1"/>
      <c r="EG2653" s="1"/>
      <c r="EH2653" s="1"/>
      <c r="EK2653" s="1"/>
      <c r="EL2653" s="1"/>
      <c r="EM2653" s="1"/>
      <c r="EN2653" s="1"/>
      <c r="EQ2653" s="1"/>
      <c r="ER2653" s="1"/>
      <c r="ES2653" s="1"/>
      <c r="EV2653" s="1"/>
      <c r="EW2653" s="1"/>
      <c r="EY2653" s="1"/>
      <c r="EZ2653" s="1"/>
      <c r="HY2653" s="1"/>
      <c r="IE2653" s="1"/>
      <c r="IF2653" s="1"/>
      <c r="IG2653" s="1"/>
      <c r="IJ2653" s="1"/>
      <c r="IR2653" s="1"/>
      <c r="IS2653" s="1"/>
      <c r="IZ2653" s="1"/>
      <c r="JJ2653" s="1"/>
      <c r="JK2653" s="1"/>
      <c r="JL2653" s="3"/>
      <c r="JM2653" s="1"/>
      <c r="JP2653" s="1"/>
      <c r="JQ2653" s="1"/>
      <c r="JR2653" s="1"/>
      <c r="LZ2653" s="1"/>
    </row>
    <row r="2654" spans="4:339" ht="13" x14ac:dyDescent="0.15">
      <c r="D2654" s="12"/>
      <c r="E2654" s="12"/>
      <c r="I2654" s="12"/>
      <c r="J2654" s="13"/>
      <c r="BG2654" s="1"/>
      <c r="BH2654" s="1"/>
      <c r="BI2654" s="1"/>
      <c r="BK2654" s="1"/>
      <c r="BL2654" s="1"/>
      <c r="BM2654" s="1"/>
      <c r="BN2654" s="1"/>
      <c r="BO2654" s="1"/>
      <c r="CD2654" s="1"/>
      <c r="CM2654" s="2"/>
      <c r="ED2654" s="1"/>
      <c r="EL2654" s="1"/>
      <c r="EM2654" s="1"/>
      <c r="EN2654" s="1"/>
      <c r="EQ2654" s="1"/>
      <c r="ER2654" s="1"/>
      <c r="ES2654" s="1"/>
      <c r="EV2654" s="1"/>
      <c r="EW2654" s="1"/>
      <c r="EZ2654" s="1"/>
      <c r="HY2654" s="1"/>
      <c r="IS2654" s="1"/>
      <c r="IZ2654" s="1"/>
      <c r="JJ2654" s="1"/>
      <c r="JP2654" s="1"/>
      <c r="JQ2654" s="1"/>
    </row>
    <row r="2655" spans="4:339" ht="13" x14ac:dyDescent="0.15">
      <c r="D2655" s="12"/>
      <c r="E2655" s="12"/>
      <c r="I2655" s="12"/>
      <c r="J2655" s="13"/>
      <c r="BG2655" s="1"/>
      <c r="BH2655" s="1"/>
      <c r="BI2655" s="1"/>
      <c r="BK2655" s="1"/>
      <c r="BL2655" s="1"/>
      <c r="BM2655" s="1"/>
      <c r="BN2655" s="1"/>
      <c r="BO2655" s="1"/>
      <c r="CD2655" s="1"/>
      <c r="CM2655" s="2"/>
      <c r="ED2655" s="1"/>
      <c r="EL2655" s="1"/>
      <c r="EM2655" s="1"/>
      <c r="EN2655" s="1"/>
      <c r="EQ2655" s="1"/>
      <c r="ER2655" s="1"/>
      <c r="ES2655" s="1"/>
      <c r="EV2655" s="1"/>
      <c r="EW2655" s="1"/>
      <c r="EZ2655" s="1"/>
      <c r="HY2655" s="1"/>
      <c r="IS2655" s="1"/>
      <c r="IZ2655" s="1"/>
      <c r="JJ2655" s="1"/>
      <c r="JP2655" s="1"/>
      <c r="JQ2655" s="1"/>
    </row>
    <row r="2656" spans="4:339" ht="13" x14ac:dyDescent="0.15">
      <c r="D2656" s="12"/>
      <c r="E2656" s="12"/>
      <c r="I2656" s="12"/>
      <c r="J2656" s="13"/>
      <c r="BM2656" s="1"/>
      <c r="BN2656" s="1"/>
      <c r="CM2656" s="2"/>
      <c r="ED2656" s="1"/>
      <c r="EL2656" s="1"/>
      <c r="EM2656" s="1"/>
      <c r="EN2656" s="1"/>
      <c r="EQ2656" s="1"/>
      <c r="ER2656" s="1"/>
      <c r="ES2656" s="1"/>
      <c r="EV2656" s="1"/>
      <c r="EW2656" s="1"/>
      <c r="EZ2656" s="1"/>
      <c r="IS2656" s="1"/>
      <c r="IZ2656" s="1"/>
      <c r="JJ2656" s="1"/>
      <c r="JP2656" s="1"/>
      <c r="JQ2656" s="1"/>
      <c r="LZ2656" s="1"/>
    </row>
    <row r="2657" spans="4:339" ht="13" x14ac:dyDescent="0.15">
      <c r="D2657" s="12"/>
      <c r="E2657" s="12"/>
      <c r="I2657" s="12"/>
      <c r="J2657" s="13"/>
      <c r="BG2657" s="1"/>
      <c r="BH2657" s="1"/>
      <c r="BN2657" s="1"/>
      <c r="CD2657" s="1"/>
      <c r="CM2657" s="2"/>
      <c r="ED2657" s="1"/>
      <c r="EL2657" s="1"/>
      <c r="EM2657" s="1"/>
      <c r="EN2657" s="1"/>
      <c r="EQ2657" s="1"/>
      <c r="ER2657" s="1"/>
      <c r="ES2657" s="1"/>
      <c r="EV2657" s="1"/>
      <c r="EW2657" s="1"/>
      <c r="EZ2657" s="1"/>
      <c r="IS2657" s="1"/>
      <c r="IZ2657" s="1"/>
      <c r="JJ2657" s="1"/>
      <c r="JP2657" s="1"/>
      <c r="JQ2657" s="1"/>
    </row>
    <row r="2658" spans="4:339" ht="13" x14ac:dyDescent="0.15">
      <c r="D2658" s="12"/>
      <c r="E2658" s="12"/>
      <c r="I2658" s="12"/>
      <c r="J2658" s="13"/>
      <c r="BM2658" s="1"/>
      <c r="BN2658" s="1"/>
      <c r="CM2658" s="2"/>
      <c r="ED2658" s="1"/>
      <c r="EL2658" s="1"/>
      <c r="EM2658" s="1"/>
      <c r="EN2658" s="1"/>
      <c r="EQ2658" s="1"/>
      <c r="ER2658" s="1"/>
      <c r="ES2658" s="1"/>
      <c r="EV2658" s="1"/>
      <c r="EW2658" s="1"/>
      <c r="EZ2658" s="1"/>
      <c r="IS2658" s="1"/>
      <c r="IZ2658" s="1"/>
      <c r="JJ2658" s="1"/>
      <c r="JP2658" s="1"/>
      <c r="JQ2658" s="1"/>
      <c r="LZ2658" s="1"/>
    </row>
    <row r="2659" spans="4:339" ht="13" x14ac:dyDescent="0.15">
      <c r="D2659" s="12"/>
      <c r="E2659" s="12"/>
      <c r="I2659" s="12"/>
      <c r="J2659" s="13"/>
      <c r="BM2659" s="1"/>
      <c r="BN2659" s="1"/>
      <c r="CM2659" s="2"/>
      <c r="ED2659" s="1"/>
      <c r="EL2659" s="1"/>
      <c r="EM2659" s="1"/>
      <c r="EN2659" s="1"/>
      <c r="EQ2659" s="1"/>
      <c r="ER2659" s="1"/>
      <c r="ES2659" s="1"/>
      <c r="EV2659" s="1"/>
      <c r="EW2659" s="1"/>
      <c r="EZ2659" s="1"/>
      <c r="IS2659" s="1"/>
      <c r="IZ2659" s="1"/>
      <c r="JJ2659" s="1"/>
      <c r="JP2659" s="1"/>
      <c r="JQ2659" s="1"/>
      <c r="LZ2659" s="1"/>
    </row>
    <row r="2660" spans="4:339" ht="13" x14ac:dyDescent="0.15">
      <c r="D2660" s="12"/>
      <c r="E2660" s="12"/>
      <c r="I2660" s="12"/>
      <c r="J2660" s="13"/>
      <c r="BM2660" s="1"/>
      <c r="BN2660" s="1"/>
      <c r="CM2660" s="2"/>
      <c r="ED2660" s="1"/>
      <c r="EL2660" s="1"/>
      <c r="EM2660" s="1"/>
      <c r="EN2660" s="1"/>
      <c r="EQ2660" s="1"/>
      <c r="ER2660" s="1"/>
      <c r="ES2660" s="1"/>
      <c r="EV2660" s="1"/>
      <c r="EW2660" s="1"/>
      <c r="EZ2660" s="1"/>
      <c r="IS2660" s="1"/>
      <c r="IZ2660" s="1"/>
      <c r="JJ2660" s="1"/>
      <c r="JP2660" s="1"/>
      <c r="JQ2660" s="1"/>
      <c r="LZ2660" s="1"/>
      <c r="MA2660" s="1"/>
    </row>
    <row r="2661" spans="4:339" ht="13" x14ac:dyDescent="0.15">
      <c r="D2661" s="12"/>
      <c r="E2661" s="12"/>
      <c r="I2661" s="12"/>
      <c r="J2661" s="13"/>
      <c r="BG2661" s="1"/>
      <c r="BH2661" s="1"/>
      <c r="BI2661" s="1"/>
      <c r="BJ2661" s="1"/>
      <c r="BK2661" s="1"/>
      <c r="BL2661" s="1"/>
      <c r="BM2661" s="1"/>
      <c r="BN2661" s="1"/>
      <c r="BP2661" s="1"/>
      <c r="CD2661" s="1"/>
      <c r="CM2661" s="2"/>
      <c r="CP2661" s="1"/>
      <c r="CQ2661" s="1"/>
      <c r="CR2661" s="1"/>
      <c r="CT2661" s="1"/>
      <c r="CU2661" s="1"/>
      <c r="CV2661" s="1"/>
      <c r="CW2661" s="1"/>
      <c r="CX2661" s="1"/>
      <c r="CY2661" s="1"/>
      <c r="CZ2661" s="1"/>
      <c r="DA2661" s="1"/>
      <c r="DB2661" s="1"/>
      <c r="DC2661" s="1"/>
      <c r="DD2661" s="1"/>
      <c r="DE2661" s="1"/>
      <c r="DF2661" s="1"/>
      <c r="DG2661" s="1"/>
      <c r="DH2661" s="1"/>
      <c r="DI2661" s="1"/>
      <c r="DJ2661" s="1"/>
      <c r="DK2661" s="1"/>
      <c r="ED2661" s="1"/>
      <c r="EK2661" s="1"/>
      <c r="EL2661" s="1"/>
      <c r="EM2661" s="1"/>
      <c r="EN2661" s="1"/>
      <c r="EQ2661" s="1"/>
      <c r="ER2661" s="1"/>
      <c r="ES2661" s="1"/>
      <c r="EV2661" s="1"/>
      <c r="EW2661" s="1"/>
      <c r="EZ2661" s="1"/>
      <c r="IE2661" s="1"/>
      <c r="IS2661" s="1"/>
      <c r="IZ2661" s="1"/>
      <c r="JJ2661" s="1"/>
      <c r="JP2661" s="1"/>
      <c r="JQ2661" s="1"/>
      <c r="JV2661" s="1"/>
      <c r="LZ2661" s="1"/>
      <c r="MA2661" s="1"/>
    </row>
    <row r="2662" spans="4:339" ht="13" x14ac:dyDescent="0.15">
      <c r="D2662" s="12"/>
      <c r="E2662" s="12"/>
      <c r="I2662" s="12"/>
      <c r="J2662" s="13"/>
      <c r="BM2662" s="1"/>
      <c r="BN2662" s="1"/>
      <c r="CM2662" s="2"/>
      <c r="ED2662" s="1"/>
      <c r="EL2662" s="1"/>
      <c r="EM2662" s="1"/>
      <c r="EN2662" s="1"/>
      <c r="EQ2662" s="1"/>
      <c r="ER2662" s="1"/>
      <c r="ES2662" s="1"/>
      <c r="EV2662" s="1"/>
      <c r="EW2662" s="1"/>
      <c r="EZ2662" s="1"/>
      <c r="IS2662" s="1"/>
      <c r="IZ2662" s="1"/>
      <c r="JJ2662" s="1"/>
      <c r="JP2662" s="1"/>
      <c r="JQ2662" s="1"/>
      <c r="LZ2662" s="1"/>
    </row>
    <row r="2663" spans="4:339" ht="13" x14ac:dyDescent="0.15">
      <c r="D2663" s="12"/>
      <c r="E2663" s="12"/>
      <c r="I2663" s="12"/>
      <c r="J2663" s="13"/>
      <c r="BG2663" s="1"/>
      <c r="BH2663" s="1"/>
      <c r="BI2663" s="1"/>
      <c r="BK2663" s="1"/>
      <c r="BL2663" s="1"/>
      <c r="BM2663" s="1"/>
      <c r="BN2663" s="1"/>
      <c r="BP2663" s="1"/>
      <c r="CD2663" s="1"/>
      <c r="CM2663" s="2"/>
      <c r="CP2663" s="1"/>
      <c r="CQ2663" s="1"/>
      <c r="CR2663" s="1"/>
      <c r="CT2663" s="1"/>
      <c r="CU2663" s="1"/>
      <c r="CV2663" s="1"/>
      <c r="CW2663" s="1"/>
      <c r="CX2663" s="1"/>
      <c r="CY2663" s="1"/>
      <c r="CZ2663" s="1"/>
      <c r="DA2663" s="1"/>
      <c r="DB2663" s="1"/>
      <c r="DC2663" s="1"/>
      <c r="DD2663" s="1"/>
      <c r="DE2663" s="1"/>
      <c r="DF2663" s="1"/>
      <c r="DG2663" s="1"/>
      <c r="DH2663" s="1"/>
      <c r="DI2663" s="1"/>
      <c r="DJ2663" s="1"/>
      <c r="DK2663" s="1"/>
      <c r="ED2663" s="1"/>
      <c r="EK2663" s="1"/>
      <c r="EL2663" s="1"/>
      <c r="EM2663" s="1"/>
      <c r="EN2663" s="1"/>
      <c r="EQ2663" s="1"/>
      <c r="ER2663" s="1"/>
      <c r="ES2663" s="1"/>
      <c r="EV2663" s="1"/>
      <c r="EW2663" s="1"/>
      <c r="EZ2663" s="1"/>
      <c r="GO2663" s="1"/>
      <c r="HY2663" s="1"/>
      <c r="IE2663" s="1"/>
      <c r="IS2663" s="1"/>
      <c r="IZ2663" s="1"/>
      <c r="JJ2663" s="1"/>
      <c r="JP2663" s="1"/>
      <c r="JQ2663" s="1"/>
      <c r="LZ2663" s="1"/>
      <c r="MA2663" s="1"/>
    </row>
    <row r="2664" spans="4:339" ht="13" x14ac:dyDescent="0.15">
      <c r="D2664" s="12"/>
      <c r="E2664" s="12"/>
      <c r="I2664" s="12"/>
      <c r="J2664" s="13"/>
      <c r="BG2664" s="1"/>
      <c r="BH2664" s="1"/>
      <c r="BI2664" s="1"/>
      <c r="BK2664" s="1"/>
      <c r="BL2664" s="1"/>
      <c r="BM2664" s="1"/>
      <c r="BN2664" s="1"/>
      <c r="CD2664" s="1"/>
      <c r="CM2664" s="2"/>
      <c r="ED2664" s="1"/>
      <c r="EL2664" s="1"/>
      <c r="EM2664" s="1"/>
      <c r="EN2664" s="1"/>
      <c r="EQ2664" s="1"/>
      <c r="ER2664" s="1"/>
      <c r="ES2664" s="1"/>
      <c r="EV2664" s="1"/>
      <c r="EW2664" s="1"/>
      <c r="EZ2664" s="1"/>
      <c r="IS2664" s="1"/>
      <c r="IZ2664" s="1"/>
      <c r="JJ2664" s="1"/>
      <c r="JP2664" s="1"/>
      <c r="JQ2664" s="1"/>
      <c r="JV2664" s="1"/>
    </row>
    <row r="2665" spans="4:339" ht="13" x14ac:dyDescent="0.15">
      <c r="D2665" s="12"/>
      <c r="E2665" s="12"/>
      <c r="I2665" s="12"/>
      <c r="J2665" s="13"/>
      <c r="BG2665" s="1"/>
      <c r="BH2665" s="1"/>
      <c r="BI2665" s="1"/>
      <c r="BJ2665" s="1"/>
      <c r="BK2665" s="1"/>
      <c r="BL2665" s="1"/>
      <c r="BM2665" s="1"/>
      <c r="BN2665" s="1"/>
      <c r="BO2665" s="1"/>
      <c r="BP2665" s="1"/>
      <c r="CD2665" s="1"/>
      <c r="CM2665" s="2"/>
      <c r="CP2665" s="1"/>
      <c r="CQ2665" s="1"/>
      <c r="CR2665" s="1"/>
      <c r="CT2665" s="1"/>
      <c r="CU2665" s="1"/>
      <c r="CV2665" s="1"/>
      <c r="CW2665" s="1"/>
      <c r="CX2665" s="1"/>
      <c r="CY2665" s="1"/>
      <c r="CZ2665" s="1"/>
      <c r="DA2665" s="1"/>
      <c r="DB2665" s="1"/>
      <c r="DC2665" s="1"/>
      <c r="DD2665" s="1"/>
      <c r="DE2665" s="1"/>
      <c r="DF2665" s="1"/>
      <c r="DG2665" s="1"/>
      <c r="DH2665" s="1"/>
      <c r="DI2665" s="1"/>
      <c r="DJ2665" s="1"/>
      <c r="DK2665" s="1"/>
      <c r="ED2665" s="1"/>
      <c r="EK2665" s="1"/>
      <c r="EL2665" s="1"/>
      <c r="EM2665" s="1"/>
      <c r="EN2665" s="1"/>
      <c r="EQ2665" s="1"/>
      <c r="ER2665" s="1"/>
      <c r="ES2665" s="1"/>
      <c r="EV2665" s="1"/>
      <c r="EW2665" s="1"/>
      <c r="EZ2665" s="1"/>
      <c r="GO2665" s="1"/>
      <c r="HY2665" s="1"/>
      <c r="IE2665" s="1"/>
      <c r="IS2665" s="1"/>
      <c r="IZ2665" s="1"/>
      <c r="JJ2665" s="1"/>
      <c r="JP2665" s="1"/>
      <c r="JQ2665" s="1"/>
      <c r="LZ2665" s="1"/>
      <c r="MA2665" s="1"/>
    </row>
    <row r="2666" spans="4:339" ht="13" x14ac:dyDescent="0.15">
      <c r="D2666" s="12"/>
      <c r="E2666" s="12"/>
      <c r="I2666" s="12"/>
      <c r="J2666" s="13"/>
      <c r="BG2666" s="1"/>
      <c r="BH2666" s="1"/>
      <c r="BI2666" s="1"/>
      <c r="BK2666" s="1"/>
      <c r="BL2666" s="1"/>
      <c r="BM2666" s="1"/>
      <c r="BN2666" s="1"/>
      <c r="BO2666" s="1"/>
      <c r="CD2666" s="1"/>
      <c r="CE2666" s="1"/>
      <c r="CF2666" s="1"/>
      <c r="CM2666" s="2"/>
      <c r="ED2666" s="1"/>
      <c r="EL2666" s="1"/>
      <c r="EM2666" s="1"/>
      <c r="EN2666" s="1"/>
      <c r="EQ2666" s="1"/>
      <c r="ER2666" s="1"/>
      <c r="ES2666" s="1"/>
      <c r="EV2666" s="1"/>
      <c r="EW2666" s="1"/>
      <c r="EZ2666" s="1"/>
      <c r="HY2666" s="1"/>
      <c r="IS2666" s="1"/>
      <c r="IZ2666" s="1"/>
      <c r="JJ2666" s="1"/>
      <c r="JP2666" s="1"/>
      <c r="JQ2666" s="1"/>
      <c r="JV2666" s="1"/>
    </row>
    <row r="2667" spans="4:339" ht="13" x14ac:dyDescent="0.15">
      <c r="D2667" s="12"/>
      <c r="E2667" s="12"/>
      <c r="I2667" s="12"/>
      <c r="J2667" s="13"/>
      <c r="BM2667" s="1"/>
      <c r="BN2667" s="1"/>
      <c r="CM2667" s="2"/>
      <c r="ED2667" s="1"/>
      <c r="EL2667" s="1"/>
      <c r="EM2667" s="1"/>
      <c r="EN2667" s="1"/>
      <c r="EQ2667" s="1"/>
      <c r="ER2667" s="1"/>
      <c r="ES2667" s="1"/>
      <c r="EV2667" s="1"/>
      <c r="EW2667" s="1"/>
      <c r="EZ2667" s="1"/>
      <c r="IS2667" s="1"/>
      <c r="IZ2667" s="1"/>
      <c r="JJ2667" s="1"/>
      <c r="JP2667" s="1"/>
      <c r="JQ2667" s="1"/>
      <c r="LZ2667" s="1"/>
    </row>
    <row r="2668" spans="4:339" ht="13" x14ac:dyDescent="0.15">
      <c r="D2668" s="12"/>
      <c r="E2668" s="12"/>
      <c r="I2668" s="12"/>
      <c r="J2668" s="13"/>
      <c r="BM2668" s="1"/>
      <c r="BN2668" s="1"/>
      <c r="CM2668" s="2"/>
      <c r="ED2668" s="1"/>
      <c r="EL2668" s="1"/>
      <c r="EM2668" s="1"/>
      <c r="EN2668" s="1"/>
      <c r="EQ2668" s="1"/>
      <c r="ER2668" s="1"/>
      <c r="ES2668" s="1"/>
      <c r="EV2668" s="1"/>
      <c r="EW2668" s="1"/>
      <c r="EZ2668" s="1"/>
      <c r="IS2668" s="1"/>
      <c r="IZ2668" s="1"/>
      <c r="JJ2668" s="1"/>
      <c r="JP2668" s="1"/>
      <c r="JQ2668" s="1"/>
      <c r="LZ2668" s="1"/>
    </row>
    <row r="2669" spans="4:339" ht="13" x14ac:dyDescent="0.15">
      <c r="D2669" s="12"/>
      <c r="E2669" s="12"/>
      <c r="I2669" s="12"/>
      <c r="J2669" s="13"/>
      <c r="BM2669" s="1"/>
      <c r="BN2669" s="1"/>
      <c r="CM2669" s="2"/>
      <c r="ED2669" s="1"/>
      <c r="EL2669" s="1"/>
      <c r="EM2669" s="1"/>
      <c r="EN2669" s="1"/>
      <c r="EQ2669" s="1"/>
      <c r="ER2669" s="1"/>
      <c r="ES2669" s="1"/>
      <c r="EV2669" s="1"/>
      <c r="EW2669" s="1"/>
      <c r="EZ2669" s="1"/>
      <c r="IS2669" s="1"/>
      <c r="IZ2669" s="1"/>
      <c r="JJ2669" s="1"/>
      <c r="JP2669" s="1"/>
      <c r="JQ2669" s="1"/>
      <c r="LZ2669" s="1"/>
    </row>
    <row r="2670" spans="4:339" ht="13" x14ac:dyDescent="0.15">
      <c r="D2670" s="12"/>
      <c r="E2670" s="12"/>
      <c r="I2670" s="12"/>
      <c r="J2670" s="13"/>
      <c r="BG2670" s="1"/>
      <c r="BH2670" s="1"/>
      <c r="BI2670" s="1"/>
      <c r="BK2670" s="1"/>
      <c r="BL2670" s="1"/>
      <c r="BM2670" s="1"/>
      <c r="BN2670" s="1"/>
      <c r="BP2670" s="1"/>
      <c r="CD2670" s="1"/>
      <c r="CE2670" s="1"/>
      <c r="CF2670" s="1"/>
      <c r="CM2670" s="2"/>
      <c r="CP2670" s="1"/>
      <c r="CQ2670" s="1"/>
      <c r="CR2670" s="1"/>
      <c r="CT2670" s="1"/>
      <c r="CU2670" s="1"/>
      <c r="CV2670" s="1"/>
      <c r="CW2670" s="1"/>
      <c r="CX2670" s="1"/>
      <c r="CY2670" s="1"/>
      <c r="CZ2670" s="1"/>
      <c r="DA2670" s="1"/>
      <c r="DB2670" s="1"/>
      <c r="DC2670" s="1"/>
      <c r="DD2670" s="1"/>
      <c r="DE2670" s="1"/>
      <c r="DF2670" s="1"/>
      <c r="DG2670" s="1"/>
      <c r="DH2670" s="1"/>
      <c r="DI2670" s="1"/>
      <c r="DJ2670" s="1"/>
      <c r="DK2670" s="1"/>
      <c r="ED2670" s="1"/>
      <c r="EE2670" s="1"/>
      <c r="EF2670" s="1"/>
      <c r="EG2670" s="1"/>
      <c r="EH2670" s="1"/>
      <c r="EK2670" s="1"/>
      <c r="EL2670" s="1"/>
      <c r="EM2670" s="1"/>
      <c r="EN2670" s="1"/>
      <c r="EQ2670" s="1"/>
      <c r="ER2670" s="1"/>
      <c r="ES2670" s="1"/>
      <c r="EV2670" s="1"/>
      <c r="EW2670" s="1"/>
      <c r="EY2670" s="1"/>
      <c r="EZ2670" s="1"/>
      <c r="IE2670" s="1"/>
      <c r="IG2670" s="1"/>
      <c r="IJ2670" s="1"/>
      <c r="IS2670" s="1"/>
      <c r="IZ2670" s="1"/>
      <c r="JJ2670" s="1"/>
      <c r="JK2670" s="1"/>
      <c r="JL2670" s="3"/>
      <c r="JM2670" s="1"/>
      <c r="JP2670" s="1"/>
      <c r="JQ2670" s="1"/>
      <c r="JR2670" s="1"/>
      <c r="LZ2670" s="1"/>
      <c r="MA2670" s="1"/>
    </row>
    <row r="2671" spans="4:339" ht="13" x14ac:dyDescent="0.15">
      <c r="D2671" s="12"/>
      <c r="E2671" s="12"/>
      <c r="I2671" s="12"/>
      <c r="J2671" s="13"/>
      <c r="BG2671" s="1"/>
      <c r="BH2671" s="1"/>
      <c r="BI2671" s="1"/>
      <c r="BK2671" s="1"/>
      <c r="BL2671" s="1"/>
      <c r="BM2671" s="1"/>
      <c r="BN2671" s="1"/>
      <c r="BO2671" s="1"/>
      <c r="BP2671" s="1"/>
      <c r="CD2671" s="1"/>
      <c r="CM2671" s="2"/>
      <c r="CP2671" s="1"/>
      <c r="CQ2671" s="1"/>
      <c r="CR2671" s="1"/>
      <c r="CT2671" s="1"/>
      <c r="CU2671" s="1"/>
      <c r="CV2671" s="1"/>
      <c r="CW2671" s="1"/>
      <c r="CX2671" s="1"/>
      <c r="CY2671" s="1"/>
      <c r="CZ2671" s="1"/>
      <c r="DA2671" s="1"/>
      <c r="DB2671" s="1"/>
      <c r="DC2671" s="1"/>
      <c r="DD2671" s="1"/>
      <c r="DE2671" s="1"/>
      <c r="DF2671" s="1"/>
      <c r="DG2671" s="1"/>
      <c r="DH2671" s="1"/>
      <c r="DI2671" s="1"/>
      <c r="DJ2671" s="1"/>
      <c r="DK2671" s="1"/>
      <c r="ED2671" s="1"/>
      <c r="EK2671" s="1"/>
      <c r="EL2671" s="1"/>
      <c r="EM2671" s="1"/>
      <c r="EN2671" s="1"/>
      <c r="EQ2671" s="1"/>
      <c r="ER2671" s="1"/>
      <c r="ES2671" s="1"/>
      <c r="EV2671" s="1"/>
      <c r="EW2671" s="1"/>
      <c r="EZ2671" s="1"/>
      <c r="GO2671" s="1"/>
      <c r="HY2671" s="1"/>
      <c r="IE2671" s="1"/>
      <c r="IS2671" s="1"/>
      <c r="IZ2671" s="1"/>
      <c r="JH2671" s="1"/>
      <c r="JJ2671" s="1"/>
      <c r="JP2671" s="1"/>
      <c r="JQ2671" s="1"/>
      <c r="JU2671" s="1"/>
      <c r="LZ2671" s="1"/>
      <c r="MA2671" s="1"/>
    </row>
    <row r="2672" spans="4:339" ht="13" x14ac:dyDescent="0.15">
      <c r="D2672" s="12"/>
      <c r="E2672" s="12"/>
      <c r="I2672" s="12"/>
      <c r="J2672" s="13"/>
      <c r="BG2672" s="1"/>
      <c r="BH2672" s="1"/>
      <c r="BI2672" s="1"/>
      <c r="BK2672" s="1"/>
      <c r="BL2672" s="1"/>
      <c r="BM2672" s="1"/>
      <c r="BN2672" s="1"/>
      <c r="CD2672" s="1"/>
      <c r="CM2672" s="2"/>
      <c r="ED2672" s="1"/>
      <c r="EL2672" s="1"/>
      <c r="EM2672" s="1"/>
      <c r="EN2672" s="1"/>
      <c r="EQ2672" s="1"/>
      <c r="ER2672" s="1"/>
      <c r="ES2672" s="1"/>
      <c r="EV2672" s="1"/>
      <c r="EW2672" s="1"/>
      <c r="EZ2672" s="1"/>
      <c r="HY2672" s="1"/>
      <c r="IS2672" s="1"/>
      <c r="IZ2672" s="1"/>
      <c r="JJ2672" s="1"/>
      <c r="JP2672" s="1"/>
      <c r="JQ2672" s="1"/>
    </row>
    <row r="2673" spans="4:338" ht="13" x14ac:dyDescent="0.15">
      <c r="D2673" s="12"/>
      <c r="E2673" s="12"/>
      <c r="I2673" s="12"/>
      <c r="J2673" s="13"/>
      <c r="BF2673" s="1"/>
      <c r="BG2673" s="1"/>
      <c r="BH2673" s="1"/>
      <c r="BI2673" s="1"/>
      <c r="BJ2673" s="1"/>
      <c r="BK2673" s="1"/>
      <c r="BL2673" s="1"/>
      <c r="BM2673" s="1"/>
      <c r="BN2673" s="1"/>
      <c r="CD2673" s="1"/>
      <c r="CM2673" s="2"/>
      <c r="ED2673" s="1"/>
      <c r="EL2673" s="1"/>
      <c r="EM2673" s="1"/>
      <c r="EN2673" s="1"/>
      <c r="EQ2673" s="1"/>
      <c r="ER2673" s="1"/>
      <c r="ES2673" s="1"/>
      <c r="EV2673" s="1"/>
      <c r="EW2673" s="1"/>
      <c r="EZ2673" s="1"/>
      <c r="IS2673" s="1"/>
      <c r="IZ2673" s="1"/>
      <c r="JJ2673" s="1"/>
      <c r="JP2673" s="1"/>
      <c r="JQ2673" s="1"/>
    </row>
    <row r="2674" spans="4:338" ht="13" x14ac:dyDescent="0.15">
      <c r="D2674" s="12"/>
      <c r="E2674" s="12"/>
      <c r="I2674" s="12"/>
      <c r="J2674" s="13"/>
      <c r="BG2674" s="1"/>
      <c r="BH2674" s="1"/>
      <c r="BI2674" s="1"/>
      <c r="BK2674" s="1"/>
      <c r="BL2674" s="1"/>
      <c r="BM2674" s="1"/>
      <c r="BN2674" s="1"/>
      <c r="CD2674" s="1"/>
      <c r="CM2674" s="2"/>
      <c r="ED2674" s="1"/>
      <c r="EL2674" s="1"/>
      <c r="EM2674" s="1"/>
      <c r="EN2674" s="1"/>
      <c r="EQ2674" s="1"/>
      <c r="ER2674" s="1"/>
      <c r="ES2674" s="1"/>
      <c r="EV2674" s="1"/>
      <c r="EW2674" s="1"/>
      <c r="EZ2674" s="1"/>
      <c r="IS2674" s="1"/>
      <c r="IZ2674" s="1"/>
      <c r="JJ2674" s="1"/>
      <c r="JP2674" s="1"/>
      <c r="JQ2674" s="1"/>
      <c r="JV2674" s="1"/>
    </row>
    <row r="2675" spans="4:338" ht="13" x14ac:dyDescent="0.15">
      <c r="D2675" s="12"/>
      <c r="E2675" s="12"/>
      <c r="I2675" s="12"/>
      <c r="J2675" s="13"/>
      <c r="BM2675" s="1"/>
      <c r="BN2675" s="1"/>
      <c r="CM2675" s="2"/>
      <c r="ED2675" s="1"/>
      <c r="EL2675" s="1"/>
      <c r="EM2675" s="1"/>
      <c r="EN2675" s="1"/>
      <c r="EQ2675" s="1"/>
      <c r="ER2675" s="1"/>
      <c r="ES2675" s="1"/>
      <c r="EV2675" s="1"/>
      <c r="EW2675" s="1"/>
      <c r="EZ2675" s="1"/>
      <c r="IS2675" s="1"/>
      <c r="IZ2675" s="1"/>
      <c r="JJ2675" s="1"/>
      <c r="JP2675" s="1"/>
      <c r="JQ2675" s="1"/>
      <c r="LZ2675" s="1"/>
    </row>
    <row r="2676" spans="4:338" ht="13" x14ac:dyDescent="0.15">
      <c r="D2676" s="12"/>
      <c r="E2676" s="12"/>
      <c r="I2676" s="12"/>
      <c r="J2676" s="13"/>
      <c r="BG2676" s="1"/>
      <c r="BH2676" s="1"/>
      <c r="BI2676" s="1"/>
      <c r="BK2676" s="1"/>
      <c r="BL2676" s="1"/>
      <c r="BM2676" s="1"/>
      <c r="BN2676" s="1"/>
      <c r="BO2676" s="1"/>
      <c r="CD2676" s="1"/>
      <c r="CM2676" s="2"/>
      <c r="ED2676" s="1"/>
      <c r="EL2676" s="1"/>
      <c r="EM2676" s="1"/>
      <c r="EN2676" s="1"/>
      <c r="EQ2676" s="1"/>
      <c r="ER2676" s="1"/>
      <c r="ES2676" s="1"/>
      <c r="EV2676" s="1"/>
      <c r="EW2676" s="1"/>
      <c r="EZ2676" s="1"/>
      <c r="IS2676" s="1"/>
      <c r="IZ2676" s="1"/>
      <c r="JJ2676" s="1"/>
      <c r="JP2676" s="1"/>
      <c r="JQ2676" s="1"/>
    </row>
    <row r="2677" spans="4:338" ht="13" x14ac:dyDescent="0.15">
      <c r="D2677" s="12"/>
      <c r="E2677" s="12"/>
      <c r="I2677" s="12"/>
      <c r="J2677" s="13"/>
      <c r="BG2677" s="1"/>
      <c r="BH2677" s="1"/>
      <c r="BI2677" s="1"/>
      <c r="BJ2677" s="1"/>
      <c r="BK2677" s="1"/>
      <c r="BL2677" s="1"/>
      <c r="BM2677" s="1"/>
      <c r="BN2677" s="1"/>
      <c r="BO2677" s="1"/>
      <c r="CD2677" s="1"/>
      <c r="CM2677" s="2"/>
      <c r="ED2677" s="1"/>
      <c r="EL2677" s="1"/>
      <c r="EM2677" s="1"/>
      <c r="EN2677" s="1"/>
      <c r="EQ2677" s="1"/>
      <c r="ER2677" s="1"/>
      <c r="ES2677" s="1"/>
      <c r="EV2677" s="1"/>
      <c r="EW2677" s="1"/>
      <c r="EZ2677" s="1"/>
      <c r="IS2677" s="1"/>
      <c r="IZ2677" s="1"/>
      <c r="JJ2677" s="1"/>
      <c r="JP2677" s="1"/>
      <c r="JQ2677" s="1"/>
    </row>
    <row r="2678" spans="4:338" ht="13" x14ac:dyDescent="0.15">
      <c r="D2678" s="12"/>
      <c r="E2678" s="12"/>
      <c r="I2678" s="12"/>
      <c r="J2678" s="13"/>
      <c r="BM2678" s="1"/>
      <c r="BN2678" s="1"/>
      <c r="CM2678" s="2"/>
      <c r="ED2678" s="1"/>
      <c r="EL2678" s="1"/>
      <c r="EM2678" s="1"/>
      <c r="EN2678" s="1"/>
      <c r="EQ2678" s="1"/>
      <c r="ER2678" s="1"/>
      <c r="ES2678" s="1"/>
      <c r="EV2678" s="1"/>
      <c r="EW2678" s="1"/>
      <c r="EZ2678" s="1"/>
      <c r="IS2678" s="1"/>
      <c r="IZ2678" s="1"/>
      <c r="JJ2678" s="1"/>
      <c r="JP2678" s="1"/>
      <c r="JQ2678" s="1"/>
      <c r="LZ2678" s="1"/>
    </row>
    <row r="2679" spans="4:338" ht="13" x14ac:dyDescent="0.15">
      <c r="D2679" s="12"/>
      <c r="E2679" s="12"/>
      <c r="I2679" s="12"/>
      <c r="J2679" s="13"/>
      <c r="BG2679" s="1"/>
      <c r="BH2679" s="1"/>
      <c r="BN2679" s="1"/>
      <c r="CD2679" s="1"/>
      <c r="CM2679" s="2"/>
      <c r="ED2679" s="1"/>
      <c r="EL2679" s="1"/>
      <c r="EM2679" s="1"/>
      <c r="EN2679" s="1"/>
      <c r="EQ2679" s="1"/>
      <c r="ER2679" s="1"/>
      <c r="ES2679" s="1"/>
      <c r="EV2679" s="1"/>
      <c r="EW2679" s="1"/>
      <c r="EZ2679" s="1"/>
      <c r="IS2679" s="1"/>
      <c r="IZ2679" s="1"/>
      <c r="JJ2679" s="1"/>
      <c r="JP2679" s="1"/>
      <c r="JQ2679" s="1"/>
    </row>
    <row r="2680" spans="4:338" ht="13" x14ac:dyDescent="0.15">
      <c r="D2680" s="12"/>
      <c r="E2680" s="12"/>
      <c r="I2680" s="12"/>
      <c r="J2680" s="13"/>
      <c r="BM2680" s="1"/>
      <c r="BN2680" s="1"/>
      <c r="CM2680" s="2"/>
      <c r="ED2680" s="1"/>
      <c r="EL2680" s="1"/>
      <c r="EM2680" s="1"/>
      <c r="EN2680" s="1"/>
      <c r="EQ2680" s="1"/>
      <c r="ER2680" s="1"/>
      <c r="ES2680" s="1"/>
      <c r="EV2680" s="1"/>
      <c r="EW2680" s="1"/>
      <c r="EZ2680" s="1"/>
      <c r="IS2680" s="1"/>
      <c r="IZ2680" s="1"/>
      <c r="JJ2680" s="1"/>
      <c r="JP2680" s="1"/>
      <c r="JQ2680" s="1"/>
      <c r="LZ2680" s="1"/>
    </row>
    <row r="2681" spans="4:338" ht="13" x14ac:dyDescent="0.15">
      <c r="D2681" s="12"/>
      <c r="E2681" s="12"/>
      <c r="I2681" s="12"/>
      <c r="J2681" s="13"/>
      <c r="BM2681" s="1"/>
      <c r="BN2681" s="1"/>
      <c r="CM2681" s="2"/>
      <c r="ED2681" s="1"/>
      <c r="EL2681" s="1"/>
      <c r="EM2681" s="1"/>
      <c r="EN2681" s="1"/>
      <c r="EQ2681" s="1"/>
      <c r="ER2681" s="1"/>
      <c r="ES2681" s="1"/>
      <c r="EV2681" s="1"/>
      <c r="EW2681" s="1"/>
      <c r="EZ2681" s="1"/>
      <c r="IS2681" s="1"/>
      <c r="IZ2681" s="1"/>
      <c r="JJ2681" s="1"/>
      <c r="JP2681" s="1"/>
      <c r="JQ2681" s="1"/>
      <c r="LZ2681" s="1"/>
    </row>
    <row r="2682" spans="4:338" ht="13" x14ac:dyDescent="0.15">
      <c r="D2682" s="12"/>
      <c r="E2682" s="12"/>
      <c r="I2682" s="12"/>
      <c r="J2682" s="13"/>
      <c r="BM2682" s="1"/>
      <c r="BN2682" s="1"/>
      <c r="CM2682" s="2"/>
      <c r="ED2682" s="1"/>
      <c r="EL2682" s="1"/>
      <c r="EM2682" s="1"/>
      <c r="EN2682" s="1"/>
      <c r="EQ2682" s="1"/>
      <c r="ER2682" s="1"/>
      <c r="ES2682" s="1"/>
      <c r="EV2682" s="1"/>
      <c r="EW2682" s="1"/>
      <c r="EZ2682" s="1"/>
      <c r="IS2682" s="1"/>
      <c r="IZ2682" s="1"/>
      <c r="JJ2682" s="1"/>
      <c r="JP2682" s="1"/>
      <c r="JQ2682" s="1"/>
      <c r="LZ2682" s="1"/>
    </row>
    <row r="2683" spans="4:338" ht="13" x14ac:dyDescent="0.15">
      <c r="D2683" s="12"/>
      <c r="E2683" s="12"/>
      <c r="I2683" s="12"/>
      <c r="J2683" s="13"/>
      <c r="BG2683" s="1"/>
      <c r="BH2683" s="1"/>
      <c r="BI2683" s="1"/>
      <c r="BK2683" s="1"/>
      <c r="BL2683" s="1"/>
      <c r="BM2683" s="1"/>
      <c r="BN2683" s="1"/>
      <c r="CD2683" s="1"/>
      <c r="CM2683" s="2"/>
      <c r="ED2683" s="1"/>
      <c r="EL2683" s="1"/>
      <c r="EM2683" s="1"/>
      <c r="EN2683" s="1"/>
      <c r="EQ2683" s="1"/>
      <c r="ER2683" s="1"/>
      <c r="ES2683" s="1"/>
      <c r="EV2683" s="1"/>
      <c r="EW2683" s="1"/>
      <c r="EZ2683" s="1"/>
      <c r="IS2683" s="1"/>
      <c r="IZ2683" s="1"/>
      <c r="JJ2683" s="1"/>
      <c r="JP2683" s="1"/>
      <c r="JQ2683" s="1"/>
    </row>
    <row r="2684" spans="4:338" ht="13" x14ac:dyDescent="0.15">
      <c r="D2684" s="12"/>
      <c r="E2684" s="12"/>
      <c r="I2684" s="12"/>
      <c r="J2684" s="13"/>
      <c r="BM2684" s="1"/>
      <c r="BN2684" s="1"/>
      <c r="CM2684" s="2"/>
      <c r="ED2684" s="1"/>
      <c r="EL2684" s="1"/>
      <c r="EM2684" s="1"/>
      <c r="EN2684" s="1"/>
      <c r="EQ2684" s="1"/>
      <c r="ER2684" s="1"/>
      <c r="ES2684" s="1"/>
      <c r="EV2684" s="1"/>
      <c r="EW2684" s="1"/>
      <c r="EZ2684" s="1"/>
      <c r="IS2684" s="1"/>
      <c r="IZ2684" s="1"/>
      <c r="JJ2684" s="1"/>
      <c r="JP2684" s="1"/>
      <c r="JQ2684" s="1"/>
      <c r="LZ2684" s="1"/>
    </row>
    <row r="2685" spans="4:338" ht="13" x14ac:dyDescent="0.15">
      <c r="D2685" s="12"/>
      <c r="E2685" s="12"/>
      <c r="I2685" s="12"/>
      <c r="J2685" s="13"/>
      <c r="BM2685" s="1"/>
      <c r="BN2685" s="1"/>
      <c r="CM2685" s="2"/>
      <c r="ED2685" s="1"/>
      <c r="EL2685" s="1"/>
      <c r="EM2685" s="1"/>
      <c r="EN2685" s="1"/>
      <c r="EQ2685" s="1"/>
      <c r="ER2685" s="1"/>
      <c r="ES2685" s="1"/>
      <c r="EV2685" s="1"/>
      <c r="EW2685" s="1"/>
      <c r="EZ2685" s="1"/>
      <c r="IS2685" s="1"/>
      <c r="IZ2685" s="1"/>
      <c r="JJ2685" s="1"/>
      <c r="JP2685" s="1"/>
      <c r="JQ2685" s="1"/>
      <c r="LZ2685" s="1"/>
    </row>
    <row r="2686" spans="4:338" ht="13" x14ac:dyDescent="0.15">
      <c r="D2686" s="12"/>
      <c r="E2686" s="12"/>
      <c r="I2686" s="12"/>
      <c r="J2686" s="13"/>
      <c r="BM2686" s="1"/>
      <c r="BN2686" s="1"/>
      <c r="CM2686" s="2"/>
      <c r="ED2686" s="1"/>
      <c r="EL2686" s="1"/>
      <c r="EM2686" s="1"/>
      <c r="EN2686" s="1"/>
      <c r="EQ2686" s="1"/>
      <c r="ER2686" s="1"/>
      <c r="ES2686" s="1"/>
      <c r="EV2686" s="1"/>
      <c r="EW2686" s="1"/>
      <c r="EZ2686" s="1"/>
      <c r="IS2686" s="1"/>
      <c r="IZ2686" s="1"/>
      <c r="JJ2686" s="1"/>
      <c r="JP2686" s="1"/>
      <c r="JQ2686" s="1"/>
      <c r="LZ2686" s="1"/>
    </row>
    <row r="2687" spans="4:338" ht="13" x14ac:dyDescent="0.15">
      <c r="D2687" s="12"/>
      <c r="E2687" s="12"/>
      <c r="I2687" s="12"/>
      <c r="J2687" s="13"/>
      <c r="BM2687" s="1"/>
      <c r="BN2687" s="1"/>
      <c r="CM2687" s="2"/>
      <c r="ED2687" s="1"/>
      <c r="EL2687" s="1"/>
      <c r="EM2687" s="1"/>
      <c r="EN2687" s="1"/>
      <c r="EQ2687" s="1"/>
      <c r="ER2687" s="1"/>
      <c r="ES2687" s="1"/>
      <c r="EV2687" s="1"/>
      <c r="EW2687" s="1"/>
      <c r="EZ2687" s="1"/>
      <c r="IS2687" s="1"/>
      <c r="IZ2687" s="1"/>
      <c r="JJ2687" s="1"/>
      <c r="JP2687" s="1"/>
      <c r="JQ2687" s="1"/>
      <c r="LZ2687" s="1"/>
    </row>
    <row r="2688" spans="4:338" ht="13" x14ac:dyDescent="0.15">
      <c r="D2688" s="12"/>
      <c r="E2688" s="12"/>
      <c r="I2688" s="12"/>
      <c r="J2688" s="13"/>
      <c r="BM2688" s="1"/>
      <c r="BN2688" s="1"/>
      <c r="CM2688" s="2"/>
      <c r="ED2688" s="1"/>
      <c r="EL2688" s="1"/>
      <c r="EM2688" s="1"/>
      <c r="EN2688" s="1"/>
      <c r="EQ2688" s="1"/>
      <c r="ER2688" s="1"/>
      <c r="ES2688" s="1"/>
      <c r="EV2688" s="1"/>
      <c r="EW2688" s="1"/>
      <c r="EZ2688" s="1"/>
      <c r="IS2688" s="1"/>
      <c r="IZ2688" s="1"/>
      <c r="JJ2688" s="1"/>
      <c r="JP2688" s="1"/>
      <c r="JQ2688" s="1"/>
      <c r="LZ2688" s="1"/>
    </row>
    <row r="2689" spans="4:338" ht="13" x14ac:dyDescent="0.15">
      <c r="D2689" s="12"/>
      <c r="E2689" s="12"/>
      <c r="I2689" s="12"/>
      <c r="J2689" s="13"/>
      <c r="BM2689" s="1"/>
      <c r="BN2689" s="1"/>
      <c r="CM2689" s="2"/>
      <c r="ED2689" s="1"/>
      <c r="EL2689" s="1"/>
      <c r="EM2689" s="1"/>
      <c r="EN2689" s="1"/>
      <c r="EQ2689" s="1"/>
      <c r="ER2689" s="1"/>
      <c r="ES2689" s="1"/>
      <c r="EV2689" s="1"/>
      <c r="EW2689" s="1"/>
      <c r="EZ2689" s="1"/>
      <c r="IS2689" s="1"/>
      <c r="IZ2689" s="1"/>
      <c r="JJ2689" s="1"/>
      <c r="JP2689" s="1"/>
      <c r="JQ2689" s="1"/>
      <c r="LZ2689" s="1"/>
    </row>
    <row r="2690" spans="4:338" ht="13" x14ac:dyDescent="0.15">
      <c r="D2690" s="12"/>
      <c r="E2690" s="12"/>
      <c r="I2690" s="12"/>
      <c r="J2690" s="13"/>
      <c r="BM2690" s="1"/>
      <c r="BN2690" s="1"/>
      <c r="CM2690" s="2"/>
      <c r="ED2690" s="1"/>
      <c r="EL2690" s="1"/>
      <c r="EM2690" s="1"/>
      <c r="EN2690" s="1"/>
      <c r="EQ2690" s="1"/>
      <c r="ER2690" s="1"/>
      <c r="ES2690" s="1"/>
      <c r="EV2690" s="1"/>
      <c r="EW2690" s="1"/>
      <c r="EZ2690" s="1"/>
      <c r="IS2690" s="1"/>
      <c r="IZ2690" s="1"/>
      <c r="JJ2690" s="1"/>
      <c r="JP2690" s="1"/>
      <c r="JQ2690" s="1"/>
      <c r="LZ2690" s="1"/>
    </row>
    <row r="2691" spans="4:338" ht="13" x14ac:dyDescent="0.15">
      <c r="D2691" s="12"/>
      <c r="E2691" s="12"/>
      <c r="I2691" s="12"/>
      <c r="J2691" s="13"/>
      <c r="BM2691" s="1"/>
      <c r="BN2691" s="1"/>
      <c r="CM2691" s="2"/>
      <c r="ED2691" s="1"/>
      <c r="EL2691" s="1"/>
      <c r="EM2691" s="1"/>
      <c r="EN2691" s="1"/>
      <c r="EQ2691" s="1"/>
      <c r="ER2691" s="1"/>
      <c r="ES2691" s="1"/>
      <c r="EV2691" s="1"/>
      <c r="EW2691" s="1"/>
      <c r="EZ2691" s="1"/>
      <c r="IS2691" s="1"/>
      <c r="IZ2691" s="1"/>
      <c r="JJ2691" s="1"/>
      <c r="JP2691" s="1"/>
      <c r="JQ2691" s="1"/>
      <c r="LZ2691" s="1"/>
    </row>
    <row r="2692" spans="4:338" ht="13" x14ac:dyDescent="0.15">
      <c r="D2692" s="12"/>
      <c r="E2692" s="12"/>
      <c r="I2692" s="12"/>
      <c r="J2692" s="13"/>
      <c r="BM2692" s="1"/>
      <c r="BN2692" s="1"/>
      <c r="CM2692" s="2"/>
      <c r="ED2692" s="1"/>
      <c r="EL2692" s="1"/>
      <c r="EM2692" s="1"/>
      <c r="EN2692" s="1"/>
      <c r="EQ2692" s="1"/>
      <c r="ER2692" s="1"/>
      <c r="ES2692" s="1"/>
      <c r="EV2692" s="1"/>
      <c r="EW2692" s="1"/>
      <c r="EZ2692" s="1"/>
      <c r="IS2692" s="1"/>
      <c r="IZ2692" s="1"/>
      <c r="JJ2692" s="1"/>
      <c r="JP2692" s="1"/>
      <c r="JQ2692" s="1"/>
      <c r="LZ2692" s="1"/>
    </row>
    <row r="2693" spans="4:338" ht="13" x14ac:dyDescent="0.15">
      <c r="D2693" s="12"/>
      <c r="E2693" s="12"/>
      <c r="I2693" s="12"/>
      <c r="J2693" s="13"/>
      <c r="BM2693" s="1"/>
      <c r="BN2693" s="1"/>
      <c r="CM2693" s="2"/>
      <c r="ED2693" s="1"/>
      <c r="EL2693" s="1"/>
      <c r="EM2693" s="1"/>
      <c r="EN2693" s="1"/>
      <c r="EQ2693" s="1"/>
      <c r="ER2693" s="1"/>
      <c r="ES2693" s="1"/>
      <c r="EV2693" s="1"/>
      <c r="EW2693" s="1"/>
      <c r="EZ2693" s="1"/>
      <c r="IS2693" s="1"/>
      <c r="IZ2693" s="1"/>
      <c r="JJ2693" s="1"/>
      <c r="JP2693" s="1"/>
      <c r="JQ2693" s="1"/>
      <c r="LZ2693" s="1"/>
    </row>
    <row r="2694" spans="4:338" ht="13" x14ac:dyDescent="0.15">
      <c r="D2694" s="12"/>
      <c r="E2694" s="12"/>
      <c r="I2694" s="12"/>
      <c r="J2694" s="13"/>
      <c r="BM2694" s="1"/>
      <c r="BN2694" s="1"/>
      <c r="CM2694" s="2"/>
      <c r="ED2694" s="1"/>
      <c r="EL2694" s="1"/>
      <c r="EM2694" s="1"/>
      <c r="EN2694" s="1"/>
      <c r="EQ2694" s="1"/>
      <c r="ER2694" s="1"/>
      <c r="ES2694" s="1"/>
      <c r="EV2694" s="1"/>
      <c r="EW2694" s="1"/>
      <c r="EZ2694" s="1"/>
      <c r="IS2694" s="1"/>
      <c r="IZ2694" s="1"/>
      <c r="JJ2694" s="1"/>
      <c r="JP2694" s="1"/>
      <c r="JQ2694" s="1"/>
      <c r="LZ2694" s="1"/>
    </row>
    <row r="2695" spans="4:338" ht="13" x14ac:dyDescent="0.15">
      <c r="D2695" s="12"/>
      <c r="E2695" s="12"/>
      <c r="I2695" s="12"/>
      <c r="J2695" s="13"/>
      <c r="BM2695" s="1"/>
      <c r="BN2695" s="1"/>
      <c r="CM2695" s="2"/>
      <c r="ED2695" s="1"/>
      <c r="EL2695" s="1"/>
      <c r="EM2695" s="1"/>
      <c r="EN2695" s="1"/>
      <c r="EQ2695" s="1"/>
      <c r="ER2695" s="1"/>
      <c r="ES2695" s="1"/>
      <c r="EV2695" s="1"/>
      <c r="EW2695" s="1"/>
      <c r="EZ2695" s="1"/>
      <c r="IS2695" s="1"/>
      <c r="IZ2695" s="1"/>
      <c r="JJ2695" s="1"/>
      <c r="JP2695" s="1"/>
      <c r="JQ2695" s="1"/>
      <c r="LZ2695" s="1"/>
    </row>
    <row r="2696" spans="4:338" ht="13" x14ac:dyDescent="0.15">
      <c r="D2696" s="12"/>
      <c r="E2696" s="12"/>
      <c r="I2696" s="12"/>
      <c r="J2696" s="13"/>
      <c r="BM2696" s="1"/>
      <c r="BN2696" s="1"/>
      <c r="CM2696" s="2"/>
      <c r="ED2696" s="1"/>
      <c r="EL2696" s="1"/>
      <c r="EM2696" s="1"/>
      <c r="EN2696" s="1"/>
      <c r="EQ2696" s="1"/>
      <c r="ER2696" s="1"/>
      <c r="ES2696" s="1"/>
      <c r="EV2696" s="1"/>
      <c r="EW2696" s="1"/>
      <c r="EZ2696" s="1"/>
      <c r="IS2696" s="1"/>
      <c r="IZ2696" s="1"/>
      <c r="JJ2696" s="1"/>
      <c r="JP2696" s="1"/>
      <c r="JQ2696" s="1"/>
      <c r="LZ2696" s="1"/>
    </row>
    <row r="2697" spans="4:338" ht="13" x14ac:dyDescent="0.15">
      <c r="D2697" s="12"/>
      <c r="E2697" s="12"/>
      <c r="I2697" s="12"/>
      <c r="J2697" s="13"/>
      <c r="BM2697" s="1"/>
      <c r="BN2697" s="1"/>
      <c r="CM2697" s="2"/>
      <c r="ED2697" s="1"/>
      <c r="EL2697" s="1"/>
      <c r="EM2697" s="1"/>
      <c r="EN2697" s="1"/>
      <c r="EQ2697" s="1"/>
      <c r="ER2697" s="1"/>
      <c r="ES2697" s="1"/>
      <c r="EV2697" s="1"/>
      <c r="EW2697" s="1"/>
      <c r="EZ2697" s="1"/>
      <c r="IS2697" s="1"/>
      <c r="IZ2697" s="1"/>
      <c r="JJ2697" s="1"/>
      <c r="JP2697" s="1"/>
      <c r="JQ2697" s="1"/>
      <c r="LZ2697" s="1"/>
    </row>
    <row r="2698" spans="4:338" ht="13" x14ac:dyDescent="0.15">
      <c r="D2698" s="12"/>
      <c r="E2698" s="12"/>
      <c r="I2698" s="12"/>
      <c r="J2698" s="13"/>
      <c r="BM2698" s="1"/>
      <c r="BN2698" s="1"/>
      <c r="CK2698" s="1"/>
      <c r="CM2698" s="2"/>
      <c r="ED2698" s="1"/>
      <c r="EL2698" s="1"/>
      <c r="EM2698" s="1"/>
      <c r="EN2698" s="1"/>
      <c r="EQ2698" s="1"/>
      <c r="ER2698" s="1"/>
      <c r="ES2698" s="1"/>
      <c r="EV2698" s="1"/>
      <c r="EW2698" s="1"/>
      <c r="EZ2698" s="1"/>
      <c r="IS2698" s="1"/>
      <c r="IZ2698" s="1"/>
      <c r="JJ2698" s="1"/>
      <c r="JP2698" s="1"/>
      <c r="JQ2698" s="1"/>
    </row>
    <row r="2699" spans="4:338" ht="13" x14ac:dyDescent="0.15">
      <c r="D2699" s="12"/>
      <c r="E2699" s="12"/>
      <c r="I2699" s="12"/>
      <c r="J2699" s="13"/>
      <c r="BM2699" s="1"/>
      <c r="BN2699" s="1"/>
      <c r="CM2699" s="2"/>
      <c r="ED2699" s="1"/>
      <c r="EL2699" s="1"/>
      <c r="EM2699" s="1"/>
      <c r="EN2699" s="1"/>
      <c r="EQ2699" s="1"/>
      <c r="ER2699" s="1"/>
      <c r="ES2699" s="1"/>
      <c r="EV2699" s="1"/>
      <c r="EW2699" s="1"/>
      <c r="EZ2699" s="1"/>
      <c r="IS2699" s="1"/>
      <c r="IZ2699" s="1"/>
      <c r="JJ2699" s="1"/>
      <c r="JP2699" s="1"/>
      <c r="JQ2699" s="1"/>
      <c r="LZ2699" s="1"/>
    </row>
    <row r="2700" spans="4:338" ht="13" x14ac:dyDescent="0.15">
      <c r="D2700" s="12"/>
      <c r="E2700" s="12"/>
      <c r="I2700" s="12"/>
      <c r="J2700" s="13"/>
      <c r="BM2700" s="1"/>
      <c r="BN2700" s="1"/>
      <c r="CM2700" s="2"/>
      <c r="ED2700" s="1"/>
      <c r="EL2700" s="1"/>
      <c r="EM2700" s="1"/>
      <c r="EN2700" s="1"/>
      <c r="EQ2700" s="1"/>
      <c r="ER2700" s="1"/>
      <c r="ES2700" s="1"/>
      <c r="EV2700" s="1"/>
      <c r="EW2700" s="1"/>
      <c r="EZ2700" s="1"/>
      <c r="IS2700" s="1"/>
      <c r="IZ2700" s="1"/>
      <c r="JJ2700" s="1"/>
      <c r="JP2700" s="1"/>
      <c r="JQ2700" s="1"/>
      <c r="LZ2700" s="1"/>
    </row>
    <row r="2701" spans="4:338" ht="13" x14ac:dyDescent="0.15">
      <c r="D2701" s="12"/>
      <c r="E2701" s="12"/>
      <c r="I2701" s="12"/>
      <c r="J2701" s="13"/>
      <c r="BM2701" s="1"/>
      <c r="BN2701" s="1"/>
      <c r="CM2701" s="2"/>
      <c r="ED2701" s="1"/>
      <c r="EL2701" s="1"/>
      <c r="EM2701" s="1"/>
      <c r="EN2701" s="1"/>
      <c r="EQ2701" s="1"/>
      <c r="ER2701" s="1"/>
      <c r="ES2701" s="1"/>
      <c r="EV2701" s="1"/>
      <c r="EW2701" s="1"/>
      <c r="EZ2701" s="1"/>
      <c r="IS2701" s="1"/>
      <c r="IZ2701" s="1"/>
      <c r="JJ2701" s="1"/>
      <c r="JP2701" s="1"/>
      <c r="JQ2701" s="1"/>
      <c r="LZ2701" s="1"/>
    </row>
    <row r="2702" spans="4:338" ht="13" x14ac:dyDescent="0.15">
      <c r="D2702" s="12"/>
      <c r="E2702" s="12"/>
      <c r="I2702" s="12"/>
      <c r="J2702" s="13"/>
      <c r="BM2702" s="1"/>
      <c r="BN2702" s="1"/>
      <c r="CM2702" s="2"/>
      <c r="ED2702" s="1"/>
      <c r="EL2702" s="1"/>
      <c r="EM2702" s="1"/>
      <c r="EN2702" s="1"/>
      <c r="EQ2702" s="1"/>
      <c r="ER2702" s="1"/>
      <c r="ES2702" s="1"/>
      <c r="EV2702" s="1"/>
      <c r="EW2702" s="1"/>
      <c r="EZ2702" s="1"/>
      <c r="IS2702" s="1"/>
      <c r="IZ2702" s="1"/>
      <c r="JJ2702" s="1"/>
      <c r="JP2702" s="1"/>
      <c r="JQ2702" s="1"/>
      <c r="LZ2702" s="1"/>
    </row>
    <row r="2703" spans="4:338" ht="13" x14ac:dyDescent="0.15">
      <c r="D2703" s="12"/>
      <c r="E2703" s="12"/>
      <c r="I2703" s="12"/>
      <c r="J2703" s="13"/>
      <c r="BM2703" s="1"/>
      <c r="BN2703" s="1"/>
      <c r="CM2703" s="2"/>
      <c r="ED2703" s="1"/>
      <c r="EL2703" s="1"/>
      <c r="EM2703" s="1"/>
      <c r="EN2703" s="1"/>
      <c r="EQ2703" s="1"/>
      <c r="ER2703" s="1"/>
      <c r="ES2703" s="1"/>
      <c r="EV2703" s="1"/>
      <c r="EW2703" s="1"/>
      <c r="EZ2703" s="1"/>
      <c r="IS2703" s="1"/>
      <c r="IZ2703" s="1"/>
      <c r="JJ2703" s="1"/>
      <c r="JP2703" s="1"/>
      <c r="JQ2703" s="1"/>
      <c r="LZ2703" s="1"/>
    </row>
    <row r="2704" spans="4:338" ht="13" x14ac:dyDescent="0.15">
      <c r="D2704" s="12"/>
      <c r="E2704" s="12"/>
      <c r="I2704" s="12"/>
      <c r="J2704" s="13"/>
      <c r="BG2704" s="1"/>
      <c r="BH2704" s="1"/>
      <c r="BI2704" s="1"/>
      <c r="BK2704" s="1"/>
      <c r="BL2704" s="1"/>
      <c r="BM2704" s="1"/>
      <c r="BN2704" s="1"/>
      <c r="CD2704" s="1"/>
      <c r="CM2704" s="2"/>
      <c r="ED2704" s="1"/>
      <c r="EL2704" s="1"/>
      <c r="EM2704" s="1"/>
      <c r="EN2704" s="1"/>
      <c r="EQ2704" s="1"/>
      <c r="ER2704" s="1"/>
      <c r="ES2704" s="1"/>
      <c r="EV2704" s="1"/>
      <c r="EW2704" s="1"/>
      <c r="EZ2704" s="1"/>
      <c r="HY2704" s="1"/>
      <c r="IS2704" s="1"/>
      <c r="IZ2704" s="1"/>
      <c r="JJ2704" s="1"/>
      <c r="JP2704" s="1"/>
      <c r="JQ2704" s="1"/>
    </row>
    <row r="2705" spans="4:338" ht="13" x14ac:dyDescent="0.15">
      <c r="D2705" s="12"/>
      <c r="E2705" s="12"/>
      <c r="I2705" s="12"/>
      <c r="J2705" s="13"/>
      <c r="BM2705" s="1"/>
      <c r="BN2705" s="1"/>
      <c r="CM2705" s="2"/>
      <c r="ED2705" s="1"/>
      <c r="EL2705" s="1"/>
      <c r="EM2705" s="1"/>
      <c r="EN2705" s="1"/>
      <c r="EQ2705" s="1"/>
      <c r="ER2705" s="1"/>
      <c r="ES2705" s="1"/>
      <c r="EV2705" s="1"/>
      <c r="EW2705" s="1"/>
      <c r="EZ2705" s="1"/>
      <c r="IS2705" s="1"/>
      <c r="IZ2705" s="1"/>
      <c r="JJ2705" s="1"/>
      <c r="JP2705" s="1"/>
      <c r="JQ2705" s="1"/>
      <c r="LZ2705" s="1"/>
    </row>
    <row r="2706" spans="4:338" ht="13" x14ac:dyDescent="0.15">
      <c r="D2706" s="12"/>
      <c r="E2706" s="12"/>
      <c r="I2706" s="12"/>
      <c r="J2706" s="13"/>
      <c r="BM2706" s="1"/>
      <c r="BN2706" s="1"/>
      <c r="CM2706" s="2"/>
      <c r="ED2706" s="1"/>
      <c r="EL2706" s="1"/>
      <c r="EM2706" s="1"/>
      <c r="EN2706" s="1"/>
      <c r="EQ2706" s="1"/>
      <c r="ER2706" s="1"/>
      <c r="ES2706" s="1"/>
      <c r="EV2706" s="1"/>
      <c r="EW2706" s="1"/>
      <c r="EZ2706" s="1"/>
      <c r="IS2706" s="1"/>
      <c r="IZ2706" s="1"/>
      <c r="JJ2706" s="1"/>
      <c r="JP2706" s="1"/>
      <c r="JQ2706" s="1"/>
      <c r="LZ2706" s="1"/>
    </row>
    <row r="2707" spans="4:338" ht="13" x14ac:dyDescent="0.15">
      <c r="D2707" s="12"/>
      <c r="E2707" s="12"/>
      <c r="I2707" s="12"/>
      <c r="J2707" s="13"/>
      <c r="BM2707" s="1"/>
      <c r="BN2707" s="1"/>
      <c r="CM2707" s="2"/>
      <c r="ED2707" s="1"/>
      <c r="EL2707" s="1"/>
      <c r="EM2707" s="1"/>
      <c r="EN2707" s="1"/>
      <c r="EQ2707" s="1"/>
      <c r="ER2707" s="1"/>
      <c r="ES2707" s="1"/>
      <c r="EV2707" s="1"/>
      <c r="EW2707" s="1"/>
      <c r="EZ2707" s="1"/>
      <c r="IS2707" s="1"/>
      <c r="IZ2707" s="1"/>
      <c r="JJ2707" s="1"/>
      <c r="JP2707" s="1"/>
      <c r="JQ2707" s="1"/>
      <c r="LZ2707" s="1"/>
    </row>
    <row r="2708" spans="4:338" ht="13" x14ac:dyDescent="0.15">
      <c r="D2708" s="12"/>
      <c r="E2708" s="12"/>
      <c r="I2708" s="12"/>
      <c r="J2708" s="13"/>
      <c r="BM2708" s="1"/>
      <c r="BN2708" s="1"/>
      <c r="CM2708" s="2"/>
      <c r="ED2708" s="1"/>
      <c r="EL2708" s="1"/>
      <c r="EM2708" s="1"/>
      <c r="EN2708" s="1"/>
      <c r="EQ2708" s="1"/>
      <c r="ER2708" s="1"/>
      <c r="ES2708" s="1"/>
      <c r="EV2708" s="1"/>
      <c r="EW2708" s="1"/>
      <c r="EZ2708" s="1"/>
      <c r="IS2708" s="1"/>
      <c r="IZ2708" s="1"/>
      <c r="JJ2708" s="1"/>
      <c r="JP2708" s="1"/>
      <c r="JQ2708" s="1"/>
      <c r="LZ2708" s="1"/>
    </row>
    <row r="2709" spans="4:338" ht="13" x14ac:dyDescent="0.15">
      <c r="D2709" s="12"/>
      <c r="E2709" s="12"/>
      <c r="I2709" s="12"/>
      <c r="J2709" s="13"/>
      <c r="BM2709" s="1"/>
      <c r="BN2709" s="1"/>
      <c r="CM2709" s="2"/>
      <c r="ED2709" s="1"/>
      <c r="EL2709" s="1"/>
      <c r="EM2709" s="1"/>
      <c r="EN2709" s="1"/>
      <c r="EQ2709" s="1"/>
      <c r="ER2709" s="1"/>
      <c r="ES2709" s="1"/>
      <c r="EV2709" s="1"/>
      <c r="EW2709" s="1"/>
      <c r="EZ2709" s="1"/>
      <c r="IS2709" s="1"/>
      <c r="IZ2709" s="1"/>
      <c r="JJ2709" s="1"/>
      <c r="JP2709" s="1"/>
      <c r="JQ2709" s="1"/>
      <c r="LZ2709" s="1"/>
    </row>
    <row r="2710" spans="4:338" ht="13" x14ac:dyDescent="0.15">
      <c r="D2710" s="12"/>
      <c r="E2710" s="12"/>
      <c r="I2710" s="12"/>
      <c r="J2710" s="13"/>
      <c r="BM2710" s="1"/>
      <c r="BN2710" s="1"/>
      <c r="CM2710" s="2"/>
      <c r="ED2710" s="1"/>
      <c r="EL2710" s="1"/>
      <c r="EM2710" s="1"/>
      <c r="EN2710" s="1"/>
      <c r="EQ2710" s="1"/>
      <c r="ER2710" s="1"/>
      <c r="ES2710" s="1"/>
      <c r="EV2710" s="1"/>
      <c r="EW2710" s="1"/>
      <c r="EZ2710" s="1"/>
      <c r="IS2710" s="1"/>
      <c r="IZ2710" s="1"/>
      <c r="JJ2710" s="1"/>
      <c r="JP2710" s="1"/>
      <c r="JQ2710" s="1"/>
      <c r="LZ2710" s="1"/>
    </row>
    <row r="2711" spans="4:338" ht="13" x14ac:dyDescent="0.15">
      <c r="D2711" s="12"/>
      <c r="E2711" s="12"/>
      <c r="I2711" s="12"/>
      <c r="J2711" s="13"/>
      <c r="BM2711" s="1"/>
      <c r="BN2711" s="1"/>
      <c r="CM2711" s="2"/>
      <c r="ED2711" s="1"/>
      <c r="EL2711" s="1"/>
      <c r="EM2711" s="1"/>
      <c r="EN2711" s="1"/>
      <c r="EQ2711" s="1"/>
      <c r="ER2711" s="1"/>
      <c r="ES2711" s="1"/>
      <c r="EV2711" s="1"/>
      <c r="EW2711" s="1"/>
      <c r="EZ2711" s="1"/>
      <c r="IS2711" s="1"/>
      <c r="IZ2711" s="1"/>
      <c r="JJ2711" s="1"/>
      <c r="JP2711" s="1"/>
      <c r="JQ2711" s="1"/>
      <c r="LZ2711" s="1"/>
    </row>
    <row r="2712" spans="4:338" ht="13" x14ac:dyDescent="0.15">
      <c r="D2712" s="12"/>
      <c r="E2712" s="12"/>
      <c r="I2712" s="12"/>
      <c r="J2712" s="13"/>
      <c r="BM2712" s="1"/>
      <c r="BN2712" s="1"/>
      <c r="CM2712" s="2"/>
      <c r="ED2712" s="1"/>
      <c r="EL2712" s="1"/>
      <c r="EM2712" s="1"/>
      <c r="EN2712" s="1"/>
      <c r="EQ2712" s="1"/>
      <c r="ER2712" s="1"/>
      <c r="ES2712" s="1"/>
      <c r="EV2712" s="1"/>
      <c r="EW2712" s="1"/>
      <c r="EZ2712" s="1"/>
      <c r="IS2712" s="1"/>
      <c r="IZ2712" s="1"/>
      <c r="JJ2712" s="1"/>
      <c r="JP2712" s="1"/>
      <c r="JQ2712" s="1"/>
      <c r="LZ2712" s="1"/>
    </row>
    <row r="2713" spans="4:338" ht="13" x14ac:dyDescent="0.15">
      <c r="D2713" s="12"/>
      <c r="E2713" s="12"/>
      <c r="I2713" s="12"/>
      <c r="J2713" s="13"/>
      <c r="BM2713" s="1"/>
      <c r="BN2713" s="1"/>
      <c r="CM2713" s="2"/>
      <c r="ED2713" s="1"/>
      <c r="EL2713" s="1"/>
      <c r="EM2713" s="1"/>
      <c r="EN2713" s="1"/>
      <c r="EQ2713" s="1"/>
      <c r="ER2713" s="1"/>
      <c r="ES2713" s="1"/>
      <c r="EV2713" s="1"/>
      <c r="EW2713" s="1"/>
      <c r="EZ2713" s="1"/>
      <c r="IS2713" s="1"/>
      <c r="IZ2713" s="1"/>
      <c r="JJ2713" s="1"/>
      <c r="JP2713" s="1"/>
      <c r="JQ2713" s="1"/>
      <c r="LZ2713" s="1"/>
    </row>
    <row r="2714" spans="4:338" ht="13" x14ac:dyDescent="0.15">
      <c r="D2714" s="12"/>
      <c r="E2714" s="12"/>
      <c r="I2714" s="12"/>
      <c r="J2714" s="13"/>
      <c r="BM2714" s="1"/>
      <c r="BN2714" s="1"/>
      <c r="CM2714" s="2"/>
      <c r="ED2714" s="1"/>
      <c r="EL2714" s="1"/>
      <c r="EM2714" s="1"/>
      <c r="EN2714" s="1"/>
      <c r="EQ2714" s="1"/>
      <c r="ER2714" s="1"/>
      <c r="ES2714" s="1"/>
      <c r="EV2714" s="1"/>
      <c r="EW2714" s="1"/>
      <c r="EZ2714" s="1"/>
      <c r="IS2714" s="1"/>
      <c r="IZ2714" s="1"/>
      <c r="JJ2714" s="1"/>
      <c r="JP2714" s="1"/>
      <c r="JQ2714" s="1"/>
      <c r="LZ2714" s="1"/>
    </row>
    <row r="2715" spans="4:338" ht="13" x14ac:dyDescent="0.15">
      <c r="D2715" s="12"/>
      <c r="E2715" s="12"/>
      <c r="I2715" s="12"/>
      <c r="J2715" s="13"/>
      <c r="BM2715" s="1"/>
      <c r="BN2715" s="1"/>
      <c r="CM2715" s="2"/>
      <c r="ED2715" s="1"/>
      <c r="EL2715" s="1"/>
      <c r="EM2715" s="1"/>
      <c r="EN2715" s="1"/>
      <c r="EQ2715" s="1"/>
      <c r="ER2715" s="1"/>
      <c r="ES2715" s="1"/>
      <c r="EV2715" s="1"/>
      <c r="EW2715" s="1"/>
      <c r="EZ2715" s="1"/>
      <c r="IS2715" s="1"/>
      <c r="IZ2715" s="1"/>
      <c r="JJ2715" s="1"/>
      <c r="JP2715" s="1"/>
      <c r="JQ2715" s="1"/>
      <c r="LZ2715" s="1"/>
    </row>
    <row r="2716" spans="4:338" ht="13" x14ac:dyDescent="0.15">
      <c r="D2716" s="12"/>
      <c r="E2716" s="12"/>
      <c r="I2716" s="12"/>
      <c r="J2716" s="13"/>
      <c r="BM2716" s="1"/>
      <c r="BN2716" s="1"/>
      <c r="CM2716" s="2"/>
      <c r="ED2716" s="1"/>
      <c r="EL2716" s="1"/>
      <c r="EM2716" s="1"/>
      <c r="EN2716" s="1"/>
      <c r="EQ2716" s="1"/>
      <c r="ER2716" s="1"/>
      <c r="ES2716" s="1"/>
      <c r="EV2716" s="1"/>
      <c r="EW2716" s="1"/>
      <c r="EZ2716" s="1"/>
      <c r="IS2716" s="1"/>
      <c r="IZ2716" s="1"/>
      <c r="JJ2716" s="1"/>
      <c r="JP2716" s="1"/>
      <c r="JQ2716" s="1"/>
      <c r="LZ2716" s="1"/>
    </row>
    <row r="2717" spans="4:338" ht="13" x14ac:dyDescent="0.15">
      <c r="D2717" s="12"/>
      <c r="E2717" s="12"/>
      <c r="I2717" s="12"/>
      <c r="J2717" s="13"/>
      <c r="BG2717" s="1"/>
      <c r="BH2717" s="1"/>
      <c r="BI2717" s="1"/>
      <c r="BK2717" s="1"/>
      <c r="BL2717" s="1"/>
      <c r="BM2717" s="1"/>
      <c r="BN2717" s="1"/>
      <c r="CD2717" s="1"/>
      <c r="CM2717" s="2"/>
      <c r="ED2717" s="1"/>
      <c r="EL2717" s="1"/>
      <c r="EM2717" s="1"/>
      <c r="EN2717" s="1"/>
      <c r="EQ2717" s="1"/>
      <c r="ER2717" s="1"/>
      <c r="ES2717" s="1"/>
      <c r="EV2717" s="1"/>
      <c r="EW2717" s="1"/>
      <c r="EZ2717" s="1"/>
      <c r="IS2717" s="1"/>
      <c r="IZ2717" s="1"/>
      <c r="JJ2717" s="1"/>
      <c r="JP2717" s="1"/>
      <c r="JQ2717" s="1"/>
    </row>
    <row r="2718" spans="4:338" ht="13" x14ac:dyDescent="0.15">
      <c r="D2718" s="12"/>
      <c r="E2718" s="12"/>
      <c r="I2718" s="12"/>
      <c r="J2718" s="13"/>
      <c r="BG2718" s="1"/>
      <c r="BH2718" s="1"/>
      <c r="BK2718" s="1"/>
      <c r="BL2718" s="1"/>
      <c r="BM2718" s="1"/>
      <c r="BN2718" s="1"/>
      <c r="CD2718" s="1"/>
      <c r="CM2718" s="2"/>
      <c r="ED2718" s="1"/>
      <c r="EL2718" s="1"/>
      <c r="EM2718" s="1"/>
      <c r="EN2718" s="1"/>
      <c r="EQ2718" s="1"/>
      <c r="ER2718" s="1"/>
      <c r="ES2718" s="1"/>
      <c r="EV2718" s="1"/>
      <c r="EW2718" s="1"/>
      <c r="EZ2718" s="1"/>
      <c r="IS2718" s="1"/>
      <c r="IZ2718" s="1"/>
      <c r="JJ2718" s="1"/>
      <c r="JP2718" s="1"/>
      <c r="JQ2718" s="1"/>
      <c r="LZ2718" s="1"/>
    </row>
    <row r="2719" spans="4:338" ht="13" x14ac:dyDescent="0.15">
      <c r="D2719" s="12"/>
      <c r="E2719" s="12"/>
      <c r="I2719" s="12"/>
      <c r="J2719" s="13"/>
      <c r="BG2719" s="1"/>
      <c r="BH2719" s="1"/>
      <c r="BK2719" s="1"/>
      <c r="BL2719" s="1"/>
      <c r="BM2719" s="1"/>
      <c r="BN2719" s="1"/>
      <c r="CD2719" s="1"/>
      <c r="CM2719" s="2"/>
      <c r="ED2719" s="1"/>
      <c r="EL2719" s="1"/>
      <c r="EM2719" s="1"/>
      <c r="EN2719" s="1"/>
      <c r="EQ2719" s="1"/>
      <c r="ER2719" s="1"/>
      <c r="ES2719" s="1"/>
      <c r="EV2719" s="1"/>
      <c r="EW2719" s="1"/>
      <c r="EZ2719" s="1"/>
      <c r="IS2719" s="1"/>
      <c r="IZ2719" s="1"/>
      <c r="JJ2719" s="1"/>
      <c r="JP2719" s="1"/>
      <c r="JQ2719" s="1"/>
      <c r="LZ2719" s="1"/>
    </row>
    <row r="2720" spans="4:338" ht="13" x14ac:dyDescent="0.15">
      <c r="D2720" s="12"/>
      <c r="E2720" s="12"/>
      <c r="I2720" s="12"/>
      <c r="J2720" s="13"/>
      <c r="BG2720" s="1"/>
      <c r="BH2720" s="1"/>
      <c r="BK2720" s="1"/>
      <c r="BL2720" s="1"/>
      <c r="BM2720" s="1"/>
      <c r="BN2720" s="1"/>
      <c r="CD2720" s="1"/>
      <c r="CM2720" s="2"/>
      <c r="ED2720" s="1"/>
      <c r="EL2720" s="1"/>
      <c r="EM2720" s="1"/>
      <c r="EN2720" s="1"/>
      <c r="EQ2720" s="1"/>
      <c r="ER2720" s="1"/>
      <c r="ES2720" s="1"/>
      <c r="EV2720" s="1"/>
      <c r="EW2720" s="1"/>
      <c r="EZ2720" s="1"/>
      <c r="IS2720" s="1"/>
      <c r="IZ2720" s="1"/>
      <c r="JJ2720" s="1"/>
      <c r="JP2720" s="1"/>
      <c r="JQ2720" s="1"/>
      <c r="LZ2720" s="1"/>
    </row>
    <row r="2721" spans="4:338" ht="13" x14ac:dyDescent="0.15">
      <c r="D2721" s="12"/>
      <c r="E2721" s="12"/>
      <c r="I2721" s="12"/>
      <c r="J2721" s="13"/>
      <c r="BG2721" s="1"/>
      <c r="BH2721" s="1"/>
      <c r="BI2721" s="1"/>
      <c r="BK2721" s="1"/>
      <c r="BL2721" s="1"/>
      <c r="BM2721" s="1"/>
      <c r="BN2721" s="1"/>
      <c r="CD2721" s="1"/>
      <c r="CE2721" s="1"/>
      <c r="CF2721" s="1"/>
      <c r="CM2721" s="2"/>
      <c r="ED2721" s="1"/>
      <c r="EL2721" s="1"/>
      <c r="EM2721" s="1"/>
      <c r="EN2721" s="1"/>
      <c r="EQ2721" s="1"/>
      <c r="ER2721" s="1"/>
      <c r="ES2721" s="1"/>
      <c r="EV2721" s="1"/>
      <c r="EW2721" s="1"/>
      <c r="EZ2721" s="1"/>
      <c r="HY2721" s="1"/>
      <c r="IS2721" s="1"/>
      <c r="IZ2721" s="1"/>
      <c r="JJ2721" s="1"/>
      <c r="JP2721" s="1"/>
      <c r="JQ2721" s="1"/>
    </row>
    <row r="2722" spans="4:338" ht="13" x14ac:dyDescent="0.15">
      <c r="D2722" s="12"/>
      <c r="E2722" s="12"/>
      <c r="I2722" s="12"/>
      <c r="J2722" s="13"/>
      <c r="BM2722" s="1"/>
      <c r="BN2722" s="1"/>
      <c r="CM2722" s="2"/>
      <c r="ED2722" s="1"/>
      <c r="EL2722" s="1"/>
      <c r="EM2722" s="1"/>
      <c r="EN2722" s="1"/>
      <c r="EQ2722" s="1"/>
      <c r="ER2722" s="1"/>
      <c r="ES2722" s="1"/>
      <c r="EV2722" s="1"/>
      <c r="EW2722" s="1"/>
      <c r="EZ2722" s="1"/>
      <c r="IS2722" s="1"/>
      <c r="IZ2722" s="1"/>
      <c r="JJ2722" s="1"/>
      <c r="JP2722" s="1"/>
      <c r="JQ2722" s="1"/>
      <c r="LZ2722" s="1"/>
    </row>
    <row r="2723" spans="4:338" ht="13" x14ac:dyDescent="0.15">
      <c r="D2723" s="12"/>
      <c r="E2723" s="12"/>
      <c r="I2723" s="12"/>
      <c r="J2723" s="13"/>
      <c r="BG2723" s="1"/>
      <c r="BH2723" s="1"/>
      <c r="BI2723" s="1"/>
      <c r="BK2723" s="1"/>
      <c r="BL2723" s="1"/>
      <c r="BM2723" s="1"/>
      <c r="BN2723" s="1"/>
      <c r="BO2723" s="1"/>
      <c r="BP2723" s="1"/>
      <c r="CD2723" s="1"/>
      <c r="CE2723" s="1"/>
      <c r="CF2723" s="1"/>
      <c r="CG2723" s="1"/>
      <c r="CM2723" s="2"/>
      <c r="CP2723" s="1"/>
      <c r="CQ2723" s="1"/>
      <c r="CS2723" s="1"/>
      <c r="CT2723" s="1"/>
      <c r="CU2723" s="1"/>
      <c r="CV2723" s="1"/>
      <c r="CW2723" s="1"/>
      <c r="CX2723" s="1"/>
      <c r="CY2723" s="1"/>
      <c r="CZ2723" s="1"/>
      <c r="DA2723" s="1"/>
      <c r="DB2723" s="1"/>
      <c r="DC2723" s="1"/>
      <c r="DD2723" s="1"/>
      <c r="DE2723" s="1"/>
      <c r="DF2723" s="1"/>
      <c r="DG2723" s="1"/>
      <c r="DH2723" s="1"/>
      <c r="DI2723" s="1"/>
      <c r="DJ2723" s="1"/>
      <c r="DK2723" s="1"/>
      <c r="ED2723" s="1"/>
      <c r="EK2723" s="1"/>
      <c r="EL2723" s="1"/>
      <c r="EM2723" s="1"/>
      <c r="EN2723" s="1"/>
      <c r="EQ2723" s="1"/>
      <c r="ER2723" s="1"/>
      <c r="ES2723" s="1"/>
      <c r="EV2723" s="1"/>
      <c r="EW2723" s="1"/>
      <c r="EZ2723" s="1"/>
      <c r="HY2723" s="1"/>
      <c r="IE2723" s="1"/>
      <c r="IS2723" s="1"/>
      <c r="IZ2723" s="1"/>
      <c r="JJ2723" s="1"/>
      <c r="JP2723" s="1"/>
      <c r="JQ2723" s="1"/>
      <c r="LZ2723" s="1"/>
    </row>
    <row r="2724" spans="4:338" ht="13" x14ac:dyDescent="0.15">
      <c r="D2724" s="12"/>
      <c r="E2724" s="12"/>
      <c r="I2724" s="12"/>
      <c r="J2724" s="13"/>
      <c r="BG2724" s="1"/>
      <c r="BH2724" s="1"/>
      <c r="BN2724" s="1"/>
      <c r="CD2724" s="1"/>
      <c r="CM2724" s="2"/>
      <c r="ED2724" s="1"/>
      <c r="EL2724" s="1"/>
      <c r="EM2724" s="1"/>
      <c r="EN2724" s="1"/>
      <c r="EQ2724" s="1"/>
      <c r="ER2724" s="1"/>
      <c r="ES2724" s="1"/>
      <c r="EV2724" s="1"/>
      <c r="EW2724" s="1"/>
      <c r="EZ2724" s="1"/>
      <c r="IS2724" s="1"/>
      <c r="IZ2724" s="1"/>
      <c r="JJ2724" s="1"/>
      <c r="JP2724" s="1"/>
      <c r="JQ2724" s="1"/>
    </row>
    <row r="2725" spans="4:338" ht="13" x14ac:dyDescent="0.15">
      <c r="D2725" s="12"/>
      <c r="E2725" s="12"/>
      <c r="I2725" s="12"/>
      <c r="J2725" s="13"/>
      <c r="BM2725" s="1"/>
      <c r="BN2725" s="1"/>
      <c r="CM2725" s="2"/>
      <c r="ED2725" s="1"/>
      <c r="EL2725" s="1"/>
      <c r="EM2725" s="1"/>
      <c r="EN2725" s="1"/>
      <c r="EQ2725" s="1"/>
      <c r="ER2725" s="1"/>
      <c r="ES2725" s="1"/>
      <c r="EV2725" s="1"/>
      <c r="EW2725" s="1"/>
      <c r="EZ2725" s="1"/>
      <c r="IS2725" s="1"/>
      <c r="IZ2725" s="1"/>
      <c r="JJ2725" s="1"/>
      <c r="JP2725" s="1"/>
      <c r="JQ2725" s="1"/>
      <c r="LZ2725" s="1"/>
    </row>
    <row r="2726" spans="4:338" ht="13" x14ac:dyDescent="0.15">
      <c r="D2726" s="12"/>
      <c r="E2726" s="12"/>
      <c r="I2726" s="12"/>
      <c r="J2726" s="13"/>
      <c r="BM2726" s="1"/>
      <c r="BN2726" s="1"/>
      <c r="CM2726" s="2"/>
      <c r="ED2726" s="1"/>
      <c r="EL2726" s="1"/>
      <c r="EM2726" s="1"/>
      <c r="EN2726" s="1"/>
      <c r="EQ2726" s="1"/>
      <c r="ER2726" s="1"/>
      <c r="ES2726" s="1"/>
      <c r="EV2726" s="1"/>
      <c r="EW2726" s="1"/>
      <c r="EZ2726" s="1"/>
      <c r="IS2726" s="1"/>
      <c r="IZ2726" s="1"/>
      <c r="JJ2726" s="1"/>
      <c r="JP2726" s="1"/>
      <c r="JQ2726" s="1"/>
      <c r="LZ2726" s="1"/>
    </row>
    <row r="2727" spans="4:338" ht="13" x14ac:dyDescent="0.15">
      <c r="D2727" s="12"/>
      <c r="E2727" s="12"/>
      <c r="I2727" s="12"/>
      <c r="J2727" s="13"/>
      <c r="BM2727" s="1"/>
      <c r="BN2727" s="1"/>
      <c r="CM2727" s="2"/>
      <c r="ED2727" s="1"/>
      <c r="EL2727" s="1"/>
      <c r="EM2727" s="1"/>
      <c r="EN2727" s="1"/>
      <c r="EQ2727" s="1"/>
      <c r="ER2727" s="1"/>
      <c r="ES2727" s="1"/>
      <c r="EV2727" s="1"/>
      <c r="EW2727" s="1"/>
      <c r="EZ2727" s="1"/>
      <c r="HY2727" s="1"/>
      <c r="IS2727" s="1"/>
      <c r="IZ2727" s="1"/>
      <c r="JJ2727" s="1"/>
      <c r="JP2727" s="1"/>
      <c r="JQ2727" s="1"/>
      <c r="LZ2727" s="1"/>
    </row>
    <row r="2728" spans="4:338" ht="13" x14ac:dyDescent="0.15">
      <c r="D2728" s="12"/>
      <c r="E2728" s="12"/>
      <c r="I2728" s="12"/>
      <c r="J2728" s="13"/>
      <c r="BM2728" s="1"/>
      <c r="BN2728" s="1"/>
      <c r="CM2728" s="2"/>
      <c r="ED2728" s="1"/>
      <c r="EL2728" s="1"/>
      <c r="EM2728" s="1"/>
      <c r="EN2728" s="1"/>
      <c r="EQ2728" s="1"/>
      <c r="ER2728" s="1"/>
      <c r="ES2728" s="1"/>
      <c r="EV2728" s="1"/>
      <c r="EW2728" s="1"/>
      <c r="EZ2728" s="1"/>
      <c r="HY2728" s="1"/>
      <c r="IS2728" s="1"/>
      <c r="IZ2728" s="1"/>
      <c r="JJ2728" s="1"/>
      <c r="JP2728" s="1"/>
      <c r="JQ2728" s="1"/>
      <c r="LZ2728" s="1"/>
    </row>
    <row r="2729" spans="4:338" ht="13" x14ac:dyDescent="0.15">
      <c r="D2729" s="12"/>
      <c r="E2729" s="12"/>
      <c r="I2729" s="12"/>
      <c r="J2729" s="13"/>
      <c r="BM2729" s="1"/>
      <c r="BN2729" s="1"/>
      <c r="CM2729" s="2"/>
      <c r="ED2729" s="1"/>
      <c r="EL2729" s="1"/>
      <c r="EM2729" s="1"/>
      <c r="EN2729" s="1"/>
      <c r="EQ2729" s="1"/>
      <c r="ER2729" s="1"/>
      <c r="ES2729" s="1"/>
      <c r="EV2729" s="1"/>
      <c r="EW2729" s="1"/>
      <c r="EZ2729" s="1"/>
      <c r="IS2729" s="1"/>
      <c r="IZ2729" s="1"/>
      <c r="JJ2729" s="1"/>
      <c r="JP2729" s="1"/>
      <c r="JQ2729" s="1"/>
      <c r="LZ2729" s="1"/>
    </row>
    <row r="2730" spans="4:338" ht="13" x14ac:dyDescent="0.15">
      <c r="D2730" s="12"/>
      <c r="E2730" s="12"/>
      <c r="I2730" s="12"/>
      <c r="J2730" s="13"/>
      <c r="BM2730" s="1"/>
      <c r="BN2730" s="1"/>
      <c r="CM2730" s="2"/>
      <c r="ED2730" s="1"/>
      <c r="EL2730" s="1"/>
      <c r="EM2730" s="1"/>
      <c r="EN2730" s="1"/>
      <c r="EQ2730" s="1"/>
      <c r="ER2730" s="1"/>
      <c r="ES2730" s="1"/>
      <c r="EV2730" s="1"/>
      <c r="EW2730" s="1"/>
      <c r="EZ2730" s="1"/>
      <c r="IS2730" s="1"/>
      <c r="IZ2730" s="1"/>
      <c r="JJ2730" s="1"/>
      <c r="JP2730" s="1"/>
      <c r="JQ2730" s="1"/>
      <c r="LZ2730" s="1"/>
    </row>
    <row r="2731" spans="4:338" ht="13" x14ac:dyDescent="0.15">
      <c r="D2731" s="12"/>
      <c r="E2731" s="12"/>
      <c r="I2731" s="12"/>
      <c r="J2731" s="13"/>
      <c r="BG2731" s="1"/>
      <c r="BH2731" s="1"/>
      <c r="BM2731" s="1"/>
      <c r="BN2731" s="1"/>
      <c r="BO2731" s="1"/>
      <c r="CD2731" s="1"/>
      <c r="CM2731" s="2"/>
      <c r="ED2731" s="1"/>
      <c r="EL2731" s="1"/>
      <c r="EM2731" s="1"/>
      <c r="EN2731" s="1"/>
      <c r="EQ2731" s="1"/>
      <c r="ER2731" s="1"/>
      <c r="ES2731" s="1"/>
      <c r="EV2731" s="1"/>
      <c r="EW2731" s="1"/>
      <c r="EZ2731" s="1"/>
      <c r="IS2731" s="1"/>
      <c r="IZ2731" s="1"/>
      <c r="JJ2731" s="1"/>
      <c r="JP2731" s="1"/>
      <c r="JQ2731" s="1"/>
    </row>
    <row r="2732" spans="4:338" ht="13" x14ac:dyDescent="0.15">
      <c r="D2732" s="12"/>
      <c r="E2732" s="12"/>
      <c r="I2732" s="12"/>
      <c r="J2732" s="13"/>
      <c r="BM2732" s="1"/>
      <c r="BN2732" s="1"/>
      <c r="CM2732" s="2"/>
      <c r="ED2732" s="1"/>
      <c r="EL2732" s="1"/>
      <c r="EM2732" s="1"/>
      <c r="EN2732" s="1"/>
      <c r="EQ2732" s="1"/>
      <c r="ER2732" s="1"/>
      <c r="ES2732" s="1"/>
      <c r="EV2732" s="1"/>
      <c r="EW2732" s="1"/>
      <c r="EZ2732" s="1"/>
      <c r="IS2732" s="1"/>
      <c r="IZ2732" s="1"/>
      <c r="JJ2732" s="1"/>
      <c r="JP2732" s="1"/>
      <c r="JQ2732" s="1"/>
      <c r="LZ2732" s="1"/>
    </row>
    <row r="2733" spans="4:338" ht="13" x14ac:dyDescent="0.15">
      <c r="D2733" s="12"/>
      <c r="E2733" s="12"/>
      <c r="I2733" s="12"/>
      <c r="J2733" s="13"/>
      <c r="BG2733" s="1"/>
      <c r="BH2733" s="1"/>
      <c r="BI2733" s="1"/>
      <c r="BK2733" s="1"/>
      <c r="BL2733" s="1"/>
      <c r="BM2733" s="1"/>
      <c r="BN2733" s="1"/>
      <c r="BO2733" s="1"/>
      <c r="CD2733" s="1"/>
      <c r="CE2733" s="1"/>
      <c r="CF2733" s="1"/>
      <c r="CM2733" s="2"/>
      <c r="ED2733" s="1"/>
      <c r="EL2733" s="1"/>
      <c r="EM2733" s="1"/>
      <c r="EN2733" s="1"/>
      <c r="EQ2733" s="1"/>
      <c r="ER2733" s="1"/>
      <c r="ES2733" s="1"/>
      <c r="EV2733" s="1"/>
      <c r="EW2733" s="1"/>
      <c r="EZ2733" s="1"/>
      <c r="HY2733" s="1"/>
      <c r="IS2733" s="1"/>
      <c r="IZ2733" s="1"/>
      <c r="JJ2733" s="1"/>
      <c r="JP2733" s="1"/>
      <c r="JQ2733" s="1"/>
    </row>
    <row r="2734" spans="4:338" ht="13" x14ac:dyDescent="0.15">
      <c r="D2734" s="12"/>
      <c r="E2734" s="12"/>
      <c r="I2734" s="12"/>
      <c r="J2734" s="13"/>
      <c r="BM2734" s="1"/>
      <c r="BN2734" s="1"/>
      <c r="CM2734" s="2"/>
      <c r="ED2734" s="1"/>
      <c r="EL2734" s="1"/>
      <c r="EM2734" s="1"/>
      <c r="EN2734" s="1"/>
      <c r="EQ2734" s="1"/>
      <c r="ER2734" s="1"/>
      <c r="ES2734" s="1"/>
      <c r="EV2734" s="1"/>
      <c r="EW2734" s="1"/>
      <c r="EZ2734" s="1"/>
      <c r="IS2734" s="1"/>
      <c r="IZ2734" s="1"/>
      <c r="JJ2734" s="1"/>
      <c r="JP2734" s="1"/>
      <c r="JQ2734" s="1"/>
      <c r="LZ2734" s="1"/>
    </row>
    <row r="2735" spans="4:338" ht="13" x14ac:dyDescent="0.15">
      <c r="D2735" s="12"/>
      <c r="E2735" s="12"/>
      <c r="I2735" s="12"/>
      <c r="J2735" s="13"/>
      <c r="BM2735" s="1"/>
      <c r="BN2735" s="1"/>
      <c r="CM2735" s="2"/>
      <c r="ED2735" s="1"/>
      <c r="EL2735" s="1"/>
      <c r="EM2735" s="1"/>
      <c r="EN2735" s="1"/>
      <c r="EQ2735" s="1"/>
      <c r="ER2735" s="1"/>
      <c r="ES2735" s="1"/>
      <c r="EV2735" s="1"/>
      <c r="EW2735" s="1"/>
      <c r="EZ2735" s="1"/>
      <c r="IS2735" s="1"/>
      <c r="IZ2735" s="1"/>
      <c r="JJ2735" s="1"/>
      <c r="JP2735" s="1"/>
      <c r="JQ2735" s="1"/>
      <c r="LZ2735" s="1"/>
    </row>
    <row r="2736" spans="4:338" ht="13" x14ac:dyDescent="0.15">
      <c r="D2736" s="12"/>
      <c r="E2736" s="12"/>
      <c r="I2736" s="12"/>
      <c r="J2736" s="13"/>
      <c r="BM2736" s="1"/>
      <c r="BN2736" s="1"/>
      <c r="CM2736" s="2"/>
      <c r="ED2736" s="1"/>
      <c r="EL2736" s="1"/>
      <c r="EM2736" s="1"/>
      <c r="EN2736" s="1"/>
      <c r="EQ2736" s="1"/>
      <c r="ER2736" s="1"/>
      <c r="ES2736" s="1"/>
      <c r="EV2736" s="1"/>
      <c r="EW2736" s="1"/>
      <c r="EZ2736" s="1"/>
      <c r="IS2736" s="1"/>
      <c r="IZ2736" s="1"/>
      <c r="JJ2736" s="1"/>
      <c r="JP2736" s="1"/>
      <c r="JQ2736" s="1"/>
      <c r="LZ2736" s="1"/>
    </row>
    <row r="2737" spans="4:338" ht="13" x14ac:dyDescent="0.15">
      <c r="D2737" s="12"/>
      <c r="E2737" s="12"/>
      <c r="I2737" s="12"/>
      <c r="J2737" s="13"/>
      <c r="BG2737" s="1"/>
      <c r="BH2737" s="1"/>
      <c r="BI2737" s="1"/>
      <c r="BK2737" s="1"/>
      <c r="BL2737" s="1"/>
      <c r="BM2737" s="1"/>
      <c r="BN2737" s="1"/>
      <c r="BO2737" s="1"/>
      <c r="BP2737" s="1"/>
      <c r="CD2737" s="1"/>
      <c r="CE2737" s="1"/>
      <c r="CF2737" s="1"/>
      <c r="CG2737" s="1"/>
      <c r="CM2737" s="2"/>
      <c r="CP2737" s="1"/>
      <c r="CQ2737" s="1"/>
      <c r="CR2737" s="1"/>
      <c r="CT2737" s="1"/>
      <c r="CU2737" s="1"/>
      <c r="CV2737" s="1"/>
      <c r="CW2737" s="1"/>
      <c r="CX2737" s="1"/>
      <c r="CY2737" s="1"/>
      <c r="CZ2737" s="1"/>
      <c r="DA2737" s="1"/>
      <c r="DB2737" s="1"/>
      <c r="DC2737" s="1"/>
      <c r="DD2737" s="1"/>
      <c r="DE2737" s="1"/>
      <c r="DF2737" s="1"/>
      <c r="DG2737" s="1"/>
      <c r="DH2737" s="1"/>
      <c r="DI2737" s="1"/>
      <c r="DJ2737" s="1"/>
      <c r="DK2737" s="1"/>
      <c r="DQ2737" s="1"/>
      <c r="DR2737" s="1"/>
      <c r="DY2737" s="1"/>
      <c r="DZ2737" s="1"/>
      <c r="ED2737" s="1"/>
      <c r="EK2737" s="1"/>
      <c r="EL2737" s="1"/>
      <c r="EM2737" s="1"/>
      <c r="EN2737" s="1"/>
      <c r="EQ2737" s="1"/>
      <c r="ER2737" s="1"/>
      <c r="ES2737" s="1"/>
      <c r="EV2737" s="1"/>
      <c r="EW2737" s="1"/>
      <c r="EZ2737" s="1"/>
      <c r="GO2737" s="1"/>
      <c r="HY2737" s="1"/>
      <c r="IE2737" s="1"/>
      <c r="IS2737" s="1"/>
      <c r="IZ2737" s="1"/>
      <c r="JJ2737" s="1"/>
      <c r="JP2737" s="1"/>
      <c r="JQ2737" s="1"/>
      <c r="LZ2737" s="1"/>
    </row>
    <row r="2738" spans="4:338" ht="13" x14ac:dyDescent="0.15">
      <c r="D2738" s="12"/>
      <c r="E2738" s="12"/>
      <c r="I2738" s="12"/>
      <c r="J2738" s="13"/>
      <c r="BG2738" s="1"/>
      <c r="BH2738" s="1"/>
      <c r="BI2738" s="1"/>
      <c r="BK2738" s="1"/>
      <c r="BL2738" s="1"/>
      <c r="BM2738" s="1"/>
      <c r="BN2738" s="1"/>
      <c r="BO2738" s="1"/>
      <c r="BP2738" s="1"/>
      <c r="CD2738" s="1"/>
      <c r="CE2738" s="1"/>
      <c r="CF2738" s="1"/>
      <c r="CG2738" s="1"/>
      <c r="CM2738" s="2"/>
      <c r="CP2738" s="1"/>
      <c r="CQ2738" s="1"/>
      <c r="CR2738" s="1"/>
      <c r="CT2738" s="1"/>
      <c r="CU2738" s="1"/>
      <c r="CV2738" s="1"/>
      <c r="CW2738" s="1"/>
      <c r="CX2738" s="1"/>
      <c r="CY2738" s="1"/>
      <c r="CZ2738" s="1"/>
      <c r="DA2738" s="1"/>
      <c r="DB2738" s="1"/>
      <c r="DC2738" s="1"/>
      <c r="DD2738" s="1"/>
      <c r="DE2738" s="1"/>
      <c r="DF2738" s="1"/>
      <c r="DG2738" s="1"/>
      <c r="DH2738" s="1"/>
      <c r="DI2738" s="1"/>
      <c r="DJ2738" s="1"/>
      <c r="DK2738" s="1"/>
      <c r="DQ2738" s="1"/>
      <c r="DR2738" s="1"/>
      <c r="DY2738" s="1"/>
      <c r="DZ2738" s="1"/>
      <c r="ED2738" s="1"/>
      <c r="EK2738" s="1"/>
      <c r="EL2738" s="1"/>
      <c r="EM2738" s="1"/>
      <c r="EN2738" s="1"/>
      <c r="EQ2738" s="1"/>
      <c r="ER2738" s="1"/>
      <c r="ES2738" s="1"/>
      <c r="EV2738" s="1"/>
      <c r="EW2738" s="1"/>
      <c r="EZ2738" s="1"/>
      <c r="GO2738" s="1"/>
      <c r="HY2738" s="1"/>
      <c r="IE2738" s="1"/>
      <c r="IS2738" s="1"/>
      <c r="IZ2738" s="1"/>
      <c r="JJ2738" s="1"/>
      <c r="JP2738" s="1"/>
      <c r="JQ2738" s="1"/>
      <c r="LZ2738" s="1"/>
    </row>
    <row r="2739" spans="4:338" ht="13" x14ac:dyDescent="0.15">
      <c r="D2739" s="12"/>
      <c r="E2739" s="12"/>
      <c r="I2739" s="12"/>
      <c r="J2739" s="13"/>
      <c r="BM2739" s="1"/>
      <c r="BN2739" s="1"/>
      <c r="CM2739" s="2"/>
      <c r="ED2739" s="1"/>
      <c r="EL2739" s="1"/>
      <c r="EM2739" s="1"/>
      <c r="EN2739" s="1"/>
      <c r="EQ2739" s="1"/>
      <c r="ER2739" s="1"/>
      <c r="ES2739" s="1"/>
      <c r="EV2739" s="1"/>
      <c r="EW2739" s="1"/>
      <c r="EZ2739" s="1"/>
      <c r="IS2739" s="1"/>
      <c r="IZ2739" s="1"/>
      <c r="JJ2739" s="1"/>
      <c r="JP2739" s="1"/>
      <c r="JQ2739" s="1"/>
      <c r="LZ2739" s="1"/>
    </row>
    <row r="2740" spans="4:338" ht="13" x14ac:dyDescent="0.15">
      <c r="D2740" s="12"/>
      <c r="E2740" s="12"/>
      <c r="I2740" s="12"/>
      <c r="J2740" s="13"/>
      <c r="BM2740" s="1"/>
      <c r="BN2740" s="1"/>
      <c r="CM2740" s="2"/>
      <c r="ED2740" s="1"/>
      <c r="EL2740" s="1"/>
      <c r="EM2740" s="1"/>
      <c r="EN2740" s="1"/>
      <c r="EQ2740" s="1"/>
      <c r="ER2740" s="1"/>
      <c r="ES2740" s="1"/>
      <c r="EV2740" s="1"/>
      <c r="EW2740" s="1"/>
      <c r="EZ2740" s="1"/>
      <c r="IS2740" s="1"/>
      <c r="IZ2740" s="1"/>
      <c r="JJ2740" s="1"/>
      <c r="JP2740" s="1"/>
      <c r="JQ2740" s="1"/>
      <c r="LZ2740" s="1"/>
    </row>
    <row r="2741" spans="4:338" ht="13" x14ac:dyDescent="0.15">
      <c r="D2741" s="12"/>
      <c r="E2741" s="12"/>
      <c r="I2741" s="12"/>
      <c r="J2741" s="13"/>
      <c r="BM2741" s="1"/>
      <c r="BN2741" s="1"/>
      <c r="CM2741" s="2"/>
      <c r="ED2741" s="1"/>
      <c r="EL2741" s="1"/>
      <c r="EM2741" s="1"/>
      <c r="EN2741" s="1"/>
      <c r="EQ2741" s="1"/>
      <c r="ER2741" s="1"/>
      <c r="ES2741" s="1"/>
      <c r="EV2741" s="1"/>
      <c r="EW2741" s="1"/>
      <c r="EZ2741" s="1"/>
      <c r="IS2741" s="1"/>
      <c r="IZ2741" s="1"/>
      <c r="JJ2741" s="1"/>
      <c r="JP2741" s="1"/>
      <c r="JQ2741" s="1"/>
      <c r="LZ2741" s="1"/>
    </row>
    <row r="2742" spans="4:338" ht="13" x14ac:dyDescent="0.15">
      <c r="D2742" s="12"/>
      <c r="E2742" s="12"/>
      <c r="I2742" s="12"/>
      <c r="J2742" s="13"/>
      <c r="BM2742" s="1"/>
      <c r="BN2742" s="1"/>
      <c r="CM2742" s="2"/>
      <c r="ED2742" s="1"/>
      <c r="EL2742" s="1"/>
      <c r="EM2742" s="1"/>
      <c r="EN2742" s="1"/>
      <c r="EQ2742" s="1"/>
      <c r="ER2742" s="1"/>
      <c r="ES2742" s="1"/>
      <c r="EV2742" s="1"/>
      <c r="EW2742" s="1"/>
      <c r="EZ2742" s="1"/>
      <c r="IS2742" s="1"/>
      <c r="IZ2742" s="1"/>
      <c r="JJ2742" s="1"/>
      <c r="JP2742" s="1"/>
      <c r="JQ2742" s="1"/>
      <c r="LZ2742" s="1"/>
    </row>
    <row r="2743" spans="4:338" ht="13" x14ac:dyDescent="0.15">
      <c r="D2743" s="12"/>
      <c r="E2743" s="12"/>
      <c r="I2743" s="12"/>
      <c r="J2743" s="13"/>
      <c r="BM2743" s="1"/>
      <c r="BN2743" s="1"/>
      <c r="CM2743" s="2"/>
      <c r="ED2743" s="1"/>
      <c r="EL2743" s="1"/>
      <c r="EM2743" s="1"/>
      <c r="EN2743" s="1"/>
      <c r="EQ2743" s="1"/>
      <c r="ER2743" s="1"/>
      <c r="ES2743" s="1"/>
      <c r="EV2743" s="1"/>
      <c r="EW2743" s="1"/>
      <c r="EZ2743" s="1"/>
      <c r="IS2743" s="1"/>
      <c r="IZ2743" s="1"/>
      <c r="JJ2743" s="1"/>
      <c r="JP2743" s="1"/>
      <c r="JQ2743" s="1"/>
      <c r="LZ2743" s="1"/>
    </row>
    <row r="2744" spans="4:338" ht="13" x14ac:dyDescent="0.15">
      <c r="D2744" s="12"/>
      <c r="E2744" s="12"/>
      <c r="I2744" s="12"/>
      <c r="J2744" s="13"/>
      <c r="BM2744" s="1"/>
      <c r="BN2744" s="1"/>
      <c r="CM2744" s="2"/>
      <c r="ED2744" s="1"/>
      <c r="EL2744" s="1"/>
      <c r="EM2744" s="1"/>
      <c r="EN2744" s="1"/>
      <c r="EQ2744" s="1"/>
      <c r="ER2744" s="1"/>
      <c r="ES2744" s="1"/>
      <c r="EV2744" s="1"/>
      <c r="EW2744" s="1"/>
      <c r="EZ2744" s="1"/>
      <c r="IS2744" s="1"/>
      <c r="IZ2744" s="1"/>
      <c r="JJ2744" s="1"/>
      <c r="JP2744" s="1"/>
      <c r="JQ2744" s="1"/>
      <c r="LZ2744" s="1"/>
    </row>
    <row r="2745" spans="4:338" ht="13" x14ac:dyDescent="0.15">
      <c r="D2745" s="12"/>
      <c r="E2745" s="12"/>
      <c r="I2745" s="12"/>
      <c r="J2745" s="13"/>
      <c r="BM2745" s="1"/>
      <c r="LZ2745" s="1"/>
    </row>
    <row r="2746" spans="4:338" ht="13" x14ac:dyDescent="0.15">
      <c r="D2746" s="12"/>
      <c r="E2746" s="12"/>
      <c r="I2746" s="12"/>
      <c r="J2746" s="13"/>
      <c r="BM2746" s="1"/>
      <c r="LZ2746" s="1"/>
    </row>
    <row r="2747" spans="4:338" ht="13" x14ac:dyDescent="0.15">
      <c r="D2747" s="12"/>
      <c r="E2747" s="12"/>
      <c r="I2747" s="12"/>
      <c r="J2747" s="13"/>
      <c r="BM2747" s="1"/>
      <c r="LZ2747" s="1"/>
    </row>
    <row r="2748" spans="4:338" ht="13" x14ac:dyDescent="0.15">
      <c r="D2748" s="12"/>
      <c r="E2748" s="12"/>
      <c r="I2748" s="12"/>
      <c r="J2748" s="13"/>
      <c r="BM2748" s="1"/>
    </row>
    <row r="2749" spans="4:338" ht="13" x14ac:dyDescent="0.15">
      <c r="D2749" s="12"/>
      <c r="E2749" s="12"/>
      <c r="I2749" s="12"/>
      <c r="J2749" s="13"/>
      <c r="BM2749" s="1"/>
    </row>
    <row r="2750" spans="4:338" ht="15.75" customHeight="1" x14ac:dyDescent="0.15">
      <c r="D2750" s="12"/>
      <c r="E2750" s="12"/>
      <c r="I2750" s="12"/>
      <c r="J2750" s="13"/>
    </row>
    <row r="2751" spans="4:338" ht="15.75" customHeight="1" x14ac:dyDescent="0.15">
      <c r="D2751" s="12"/>
      <c r="E2751" s="12"/>
      <c r="I2751" s="12"/>
      <c r="J2751" s="13"/>
    </row>
    <row r="2752" spans="4:338" ht="15.75" customHeight="1" x14ac:dyDescent="0.15">
      <c r="D2752" s="12"/>
      <c r="E2752" s="12"/>
      <c r="I2752" s="12"/>
      <c r="J2752" s="13"/>
    </row>
    <row r="2753" spans="4:10" ht="15.75" customHeight="1" x14ac:dyDescent="0.15">
      <c r="D2753" s="12"/>
      <c r="E2753" s="12"/>
      <c r="I2753" s="12"/>
      <c r="J2753" s="13"/>
    </row>
    <row r="2754" spans="4:10" ht="15.75" customHeight="1" x14ac:dyDescent="0.15">
      <c r="D2754" s="12"/>
      <c r="E2754" s="12"/>
      <c r="I2754" s="12"/>
      <c r="J2754" s="13"/>
    </row>
    <row r="2755" spans="4:10" ht="15.75" customHeight="1" x14ac:dyDescent="0.15">
      <c r="D2755" s="12"/>
      <c r="E2755" s="12"/>
      <c r="I2755" s="12"/>
      <c r="J2755" s="13"/>
    </row>
    <row r="2756" spans="4:10" ht="15.75" customHeight="1" x14ac:dyDescent="0.15">
      <c r="D2756" s="12"/>
      <c r="E2756" s="12"/>
      <c r="I2756" s="12"/>
      <c r="J2756" s="13"/>
    </row>
    <row r="2757" spans="4:10" ht="15.75" customHeight="1" x14ac:dyDescent="0.15">
      <c r="D2757" s="12"/>
      <c r="E2757" s="12"/>
      <c r="I2757" s="12"/>
      <c r="J2757" s="13"/>
    </row>
    <row r="2758" spans="4:10" ht="15.75" customHeight="1" x14ac:dyDescent="0.15">
      <c r="D2758" s="12"/>
      <c r="E2758" s="12"/>
      <c r="I2758" s="12"/>
      <c r="J2758" s="13"/>
    </row>
    <row r="2759" spans="4:10" ht="15.75" customHeight="1" x14ac:dyDescent="0.15">
      <c r="D2759" s="12"/>
      <c r="E2759" s="12"/>
      <c r="I2759" s="12"/>
      <c r="J2759" s="13"/>
    </row>
    <row r="2760" spans="4:10" ht="15.75" customHeight="1" x14ac:dyDescent="0.15">
      <c r="D2760" s="12"/>
      <c r="E2760" s="12"/>
      <c r="I2760" s="12"/>
      <c r="J2760" s="13"/>
    </row>
    <row r="2761" spans="4:10" ht="15.75" customHeight="1" x14ac:dyDescent="0.15">
      <c r="D2761" s="12"/>
      <c r="E2761" s="12"/>
      <c r="I2761" s="12"/>
      <c r="J2761" s="13"/>
    </row>
    <row r="2762" spans="4:10" ht="15.75" customHeight="1" x14ac:dyDescent="0.15">
      <c r="D2762" s="12"/>
      <c r="E2762" s="12"/>
      <c r="I2762" s="12"/>
      <c r="J2762" s="13"/>
    </row>
    <row r="2763" spans="4:10" ht="15.75" customHeight="1" x14ac:dyDescent="0.15">
      <c r="D2763" s="12"/>
      <c r="E2763" s="12"/>
      <c r="I2763" s="12"/>
      <c r="J2763" s="13"/>
    </row>
    <row r="2764" spans="4:10" ht="15.75" customHeight="1" x14ac:dyDescent="0.15">
      <c r="D2764" s="12"/>
      <c r="E2764" s="12"/>
      <c r="I2764" s="12"/>
      <c r="J2764" s="13"/>
    </row>
    <row r="2765" spans="4:10" ht="15.75" customHeight="1" x14ac:dyDescent="0.15">
      <c r="D2765" s="12"/>
      <c r="E2765" s="12"/>
      <c r="I2765" s="12"/>
      <c r="J2765" s="13"/>
    </row>
    <row r="2766" spans="4:10" ht="15.75" customHeight="1" x14ac:dyDescent="0.15">
      <c r="D2766" s="12"/>
      <c r="E2766" s="12"/>
      <c r="I2766" s="12"/>
      <c r="J2766" s="13"/>
    </row>
    <row r="2767" spans="4:10" ht="15.75" customHeight="1" x14ac:dyDescent="0.15">
      <c r="D2767" s="12"/>
      <c r="E2767" s="12"/>
      <c r="I2767" s="12"/>
      <c r="J2767" s="13"/>
    </row>
    <row r="2768" spans="4:10" ht="15.75" customHeight="1" x14ac:dyDescent="0.15">
      <c r="D2768" s="12"/>
      <c r="E2768" s="12"/>
      <c r="I2768" s="12"/>
      <c r="J2768" s="13"/>
    </row>
    <row r="2769" spans="4:10" ht="15.75" customHeight="1" x14ac:dyDescent="0.15">
      <c r="D2769" s="12"/>
      <c r="E2769" s="12"/>
      <c r="I2769" s="12"/>
      <c r="J2769" s="13"/>
    </row>
    <row r="2770" spans="4:10" ht="15.75" customHeight="1" x14ac:dyDescent="0.15">
      <c r="D2770" s="12"/>
      <c r="E2770" s="12"/>
      <c r="I2770" s="12"/>
      <c r="J2770" s="13"/>
    </row>
    <row r="2771" spans="4:10" ht="15.75" customHeight="1" x14ac:dyDescent="0.15">
      <c r="D2771" s="12"/>
      <c r="E2771" s="12"/>
      <c r="I2771" s="12"/>
      <c r="J2771" s="13"/>
    </row>
    <row r="2772" spans="4:10" ht="15.75" customHeight="1" x14ac:dyDescent="0.15">
      <c r="D2772" s="12"/>
      <c r="E2772" s="12"/>
      <c r="I2772" s="12"/>
      <c r="J2772" s="13"/>
    </row>
    <row r="2773" spans="4:10" ht="15.75" customHeight="1" x14ac:dyDescent="0.15">
      <c r="D2773" s="12"/>
      <c r="E2773" s="12"/>
      <c r="I2773" s="12"/>
      <c r="J2773" s="13"/>
    </row>
    <row r="2774" spans="4:10" ht="15.75" customHeight="1" x14ac:dyDescent="0.15">
      <c r="D2774" s="12"/>
      <c r="E2774" s="12"/>
      <c r="I2774" s="12"/>
      <c r="J2774" s="13"/>
    </row>
    <row r="2775" spans="4:10" ht="15.75" customHeight="1" x14ac:dyDescent="0.15">
      <c r="D2775" s="12"/>
      <c r="E2775" s="12"/>
      <c r="I2775" s="12"/>
      <c r="J2775" s="13"/>
    </row>
    <row r="2776" spans="4:10" ht="15.75" customHeight="1" x14ac:dyDescent="0.15">
      <c r="D2776" s="12"/>
      <c r="E2776" s="12"/>
      <c r="I2776" s="12"/>
      <c r="J2776" s="13"/>
    </row>
    <row r="2777" spans="4:10" ht="15.75" customHeight="1" x14ac:dyDescent="0.15">
      <c r="D2777" s="12"/>
      <c r="E2777" s="12"/>
      <c r="I2777" s="12"/>
      <c r="J2777" s="13"/>
    </row>
    <row r="2778" spans="4:10" ht="15.75" customHeight="1" x14ac:dyDescent="0.15">
      <c r="D2778" s="12"/>
      <c r="E2778" s="12"/>
      <c r="I2778" s="12"/>
      <c r="J2778" s="13"/>
    </row>
    <row r="2779" spans="4:10" ht="15.75" customHeight="1" x14ac:dyDescent="0.15">
      <c r="D2779" s="12"/>
      <c r="E2779" s="12"/>
      <c r="I2779" s="12"/>
      <c r="J2779" s="13"/>
    </row>
    <row r="2780" spans="4:10" ht="15.75" customHeight="1" x14ac:dyDescent="0.15">
      <c r="D2780" s="12"/>
      <c r="E2780" s="12"/>
      <c r="I2780" s="12"/>
      <c r="J2780" s="13"/>
    </row>
    <row r="2781" spans="4:10" ht="15.75" customHeight="1" x14ac:dyDescent="0.15">
      <c r="D2781" s="12"/>
      <c r="E2781" s="12"/>
      <c r="I2781" s="12"/>
      <c r="J2781" s="13"/>
    </row>
    <row r="2782" spans="4:10" ht="15.75" customHeight="1" x14ac:dyDescent="0.15">
      <c r="D2782" s="12"/>
      <c r="E2782" s="12"/>
      <c r="I2782" s="12"/>
      <c r="J2782" s="13"/>
    </row>
    <row r="2783" spans="4:10" ht="15.75" customHeight="1" x14ac:dyDescent="0.15">
      <c r="D2783" s="12"/>
      <c r="E2783" s="12"/>
      <c r="I2783" s="12"/>
      <c r="J2783" s="13"/>
    </row>
    <row r="2784" spans="4:10" ht="15.75" customHeight="1" x14ac:dyDescent="0.15">
      <c r="D2784" s="12"/>
      <c r="E2784" s="12"/>
      <c r="I2784" s="12"/>
      <c r="J2784" s="13"/>
    </row>
    <row r="2785" spans="4:10" ht="15.75" customHeight="1" x14ac:dyDescent="0.15">
      <c r="D2785" s="12"/>
      <c r="E2785" s="12"/>
      <c r="I2785" s="12"/>
      <c r="J2785" s="13"/>
    </row>
    <row r="2786" spans="4:10" ht="15.75" customHeight="1" x14ac:dyDescent="0.15">
      <c r="D2786" s="12"/>
      <c r="E2786" s="12"/>
      <c r="I2786" s="12"/>
      <c r="J2786" s="13"/>
    </row>
    <row r="2787" spans="4:10" ht="15.75" customHeight="1" x14ac:dyDescent="0.15">
      <c r="D2787" s="12"/>
      <c r="E2787" s="12"/>
      <c r="I2787" s="12"/>
      <c r="J2787" s="13"/>
    </row>
    <row r="2788" spans="4:10" ht="15.75" customHeight="1" x14ac:dyDescent="0.15">
      <c r="D2788" s="12"/>
      <c r="E2788" s="12"/>
      <c r="I2788" s="12"/>
      <c r="J2788" s="13"/>
    </row>
    <row r="2789" spans="4:10" ht="15.75" customHeight="1" x14ac:dyDescent="0.15">
      <c r="D2789" s="12"/>
      <c r="E2789" s="12"/>
      <c r="I2789" s="12"/>
      <c r="J2789" s="13"/>
    </row>
    <row r="2790" spans="4:10" ht="15.75" customHeight="1" x14ac:dyDescent="0.15">
      <c r="D2790" s="12"/>
      <c r="E2790" s="12"/>
      <c r="I2790" s="12"/>
      <c r="J2790" s="13"/>
    </row>
    <row r="2791" spans="4:10" ht="15.75" customHeight="1" x14ac:dyDescent="0.15">
      <c r="D2791" s="12"/>
      <c r="E2791" s="12"/>
      <c r="I2791" s="12"/>
      <c r="J2791" s="13"/>
    </row>
    <row r="2792" spans="4:10" ht="15.75" customHeight="1" x14ac:dyDescent="0.15">
      <c r="D2792" s="12"/>
      <c r="E2792" s="12"/>
      <c r="I2792" s="12"/>
      <c r="J2792" s="13"/>
    </row>
    <row r="2793" spans="4:10" ht="15.75" customHeight="1" x14ac:dyDescent="0.15">
      <c r="D2793" s="12"/>
      <c r="E2793" s="12"/>
      <c r="I2793" s="12"/>
      <c r="J2793" s="13"/>
    </row>
    <row r="2794" spans="4:10" ht="15.75" customHeight="1" x14ac:dyDescent="0.15">
      <c r="D2794" s="12"/>
      <c r="E2794" s="12"/>
      <c r="I2794" s="12"/>
      <c r="J2794" s="13"/>
    </row>
    <row r="2795" spans="4:10" ht="15.75" customHeight="1" x14ac:dyDescent="0.15">
      <c r="D2795" s="12"/>
      <c r="E2795" s="12"/>
      <c r="I2795" s="12"/>
      <c r="J2795" s="13"/>
    </row>
    <row r="2796" spans="4:10" ht="15.75" customHeight="1" x14ac:dyDescent="0.15">
      <c r="D2796" s="12"/>
      <c r="E2796" s="12"/>
      <c r="I2796" s="12"/>
      <c r="J2796" s="13"/>
    </row>
    <row r="2797" spans="4:10" ht="15.75" customHeight="1" x14ac:dyDescent="0.15">
      <c r="D2797" s="12"/>
      <c r="E2797" s="12"/>
      <c r="I2797" s="12"/>
      <c r="J2797" s="13"/>
    </row>
    <row r="2798" spans="4:10" ht="15.75" customHeight="1" x14ac:dyDescent="0.15">
      <c r="D2798" s="12"/>
      <c r="E2798" s="12"/>
      <c r="I2798" s="12"/>
      <c r="J2798" s="13"/>
    </row>
    <row r="2799" spans="4:10" ht="15.75" customHeight="1" x14ac:dyDescent="0.15">
      <c r="D2799" s="12"/>
      <c r="E2799" s="12"/>
      <c r="I2799" s="12"/>
      <c r="J2799" s="13"/>
    </row>
    <row r="2800" spans="4:10" ht="15.75" customHeight="1" x14ac:dyDescent="0.15">
      <c r="D2800" s="12"/>
      <c r="E2800" s="12"/>
      <c r="I2800" s="12"/>
      <c r="J2800" s="13"/>
    </row>
    <row r="2801" spans="4:10" ht="15.75" customHeight="1" x14ac:dyDescent="0.15">
      <c r="D2801" s="12"/>
      <c r="E2801" s="12"/>
      <c r="I2801" s="12"/>
      <c r="J2801" s="13"/>
    </row>
    <row r="2802" spans="4:10" ht="15.75" customHeight="1" x14ac:dyDescent="0.15">
      <c r="D2802" s="12"/>
      <c r="E2802" s="12"/>
      <c r="I2802" s="12"/>
      <c r="J2802" s="13"/>
    </row>
    <row r="2803" spans="4:10" ht="15.75" customHeight="1" x14ac:dyDescent="0.15">
      <c r="D2803" s="12"/>
      <c r="E2803" s="12"/>
      <c r="I2803" s="12"/>
      <c r="J2803" s="13"/>
    </row>
    <row r="2804" spans="4:10" ht="15.75" customHeight="1" x14ac:dyDescent="0.15">
      <c r="D2804" s="12"/>
      <c r="E2804" s="12"/>
      <c r="I2804" s="12"/>
      <c r="J2804" s="13"/>
    </row>
    <row r="2805" spans="4:10" ht="15.75" customHeight="1" x14ac:dyDescent="0.15">
      <c r="D2805" s="12"/>
      <c r="E2805" s="12"/>
      <c r="I2805" s="12"/>
      <c r="J2805" s="13"/>
    </row>
    <row r="2806" spans="4:10" ht="15.75" customHeight="1" x14ac:dyDescent="0.15">
      <c r="D2806" s="12"/>
      <c r="E2806" s="12"/>
      <c r="I2806" s="12"/>
      <c r="J2806" s="13"/>
    </row>
    <row r="2807" spans="4:10" ht="15.75" customHeight="1" x14ac:dyDescent="0.15">
      <c r="D2807" s="12"/>
      <c r="E2807" s="12"/>
      <c r="I2807" s="12"/>
      <c r="J2807" s="13"/>
    </row>
    <row r="2808" spans="4:10" ht="15.75" customHeight="1" x14ac:dyDescent="0.15">
      <c r="D2808" s="12"/>
      <c r="E2808" s="12"/>
      <c r="I2808" s="12"/>
      <c r="J2808" s="13"/>
    </row>
    <row r="2809" spans="4:10" ht="15.75" customHeight="1" x14ac:dyDescent="0.15">
      <c r="D2809" s="12"/>
      <c r="E2809" s="12"/>
      <c r="I2809" s="12"/>
      <c r="J2809" s="13"/>
    </row>
    <row r="2810" spans="4:10" ht="15.75" customHeight="1" x14ac:dyDescent="0.15">
      <c r="D2810" s="12"/>
      <c r="E2810" s="12"/>
      <c r="I2810" s="12"/>
      <c r="J2810" s="13"/>
    </row>
    <row r="2811" spans="4:10" ht="15.75" customHeight="1" x14ac:dyDescent="0.15">
      <c r="D2811" s="12"/>
      <c r="E2811" s="12"/>
      <c r="I2811" s="12"/>
      <c r="J2811" s="13"/>
    </row>
    <row r="2812" spans="4:10" ht="15.75" customHeight="1" x14ac:dyDescent="0.15">
      <c r="D2812" s="12"/>
      <c r="E2812" s="12"/>
      <c r="I2812" s="12"/>
      <c r="J2812" s="13"/>
    </row>
    <row r="2813" spans="4:10" ht="15.75" customHeight="1" x14ac:dyDescent="0.15">
      <c r="D2813" s="12"/>
      <c r="E2813" s="12"/>
      <c r="I2813" s="12"/>
      <c r="J2813" s="13"/>
    </row>
    <row r="2814" spans="4:10" ht="15.75" customHeight="1" x14ac:dyDescent="0.15">
      <c r="D2814" s="12"/>
      <c r="E2814" s="12"/>
      <c r="I2814" s="12"/>
      <c r="J2814" s="13"/>
    </row>
    <row r="2815" spans="4:10" ht="15.75" customHeight="1" x14ac:dyDescent="0.15">
      <c r="D2815" s="12"/>
      <c r="E2815" s="12"/>
      <c r="I2815" s="12"/>
      <c r="J2815" s="13"/>
    </row>
    <row r="2816" spans="4:10" ht="15.75" customHeight="1" x14ac:dyDescent="0.15">
      <c r="D2816" s="12"/>
      <c r="E2816" s="12"/>
      <c r="I2816" s="12"/>
      <c r="J2816" s="13"/>
    </row>
    <row r="2817" spans="4:10" ht="15.75" customHeight="1" x14ac:dyDescent="0.15">
      <c r="D2817" s="12"/>
      <c r="E2817" s="12"/>
      <c r="I2817" s="12"/>
      <c r="J2817" s="13"/>
    </row>
    <row r="2818" spans="4:10" ht="15.75" customHeight="1" x14ac:dyDescent="0.15">
      <c r="D2818" s="12"/>
      <c r="E2818" s="12"/>
      <c r="I2818" s="12"/>
      <c r="J2818" s="13"/>
    </row>
    <row r="2819" spans="4:10" ht="15.75" customHeight="1" x14ac:dyDescent="0.15">
      <c r="D2819" s="12"/>
      <c r="E2819" s="12"/>
      <c r="I2819" s="12"/>
      <c r="J2819" s="13"/>
    </row>
    <row r="2820" spans="4:10" ht="15.75" customHeight="1" x14ac:dyDescent="0.15">
      <c r="D2820" s="12"/>
      <c r="E2820" s="12"/>
      <c r="I2820" s="12"/>
      <c r="J2820" s="13"/>
    </row>
    <row r="2821" spans="4:10" ht="15.75" customHeight="1" x14ac:dyDescent="0.15">
      <c r="D2821" s="12"/>
      <c r="E2821" s="12"/>
      <c r="I2821" s="12"/>
      <c r="J2821" s="13"/>
    </row>
    <row r="2822" spans="4:10" ht="15.75" customHeight="1" x14ac:dyDescent="0.15">
      <c r="D2822" s="12"/>
      <c r="E2822" s="12"/>
      <c r="I2822" s="12"/>
      <c r="J2822" s="13"/>
    </row>
    <row r="2823" spans="4:10" ht="15.75" customHeight="1" x14ac:dyDescent="0.15">
      <c r="D2823" s="12"/>
      <c r="E2823" s="12"/>
      <c r="I2823" s="12"/>
      <c r="J2823" s="13"/>
    </row>
    <row r="2824" spans="4:10" ht="15.75" customHeight="1" x14ac:dyDescent="0.15">
      <c r="D2824" s="12"/>
      <c r="E2824" s="12"/>
      <c r="I2824" s="12"/>
      <c r="J2824" s="13"/>
    </row>
    <row r="2825" spans="4:10" ht="15.75" customHeight="1" x14ac:dyDescent="0.15">
      <c r="D2825" s="12"/>
      <c r="E2825" s="12"/>
      <c r="I2825" s="12"/>
      <c r="J2825" s="13"/>
    </row>
    <row r="2826" spans="4:10" ht="15.75" customHeight="1" x14ac:dyDescent="0.15">
      <c r="D2826" s="12"/>
      <c r="E2826" s="12"/>
      <c r="I2826" s="12"/>
      <c r="J2826" s="13"/>
    </row>
    <row r="2827" spans="4:10" ht="15.75" customHeight="1" x14ac:dyDescent="0.15">
      <c r="D2827" s="12"/>
      <c r="E2827" s="12"/>
      <c r="I2827" s="12"/>
      <c r="J2827" s="13"/>
    </row>
    <row r="2828" spans="4:10" ht="15.75" customHeight="1" x14ac:dyDescent="0.15">
      <c r="D2828" s="12"/>
      <c r="E2828" s="12"/>
      <c r="I2828" s="12"/>
      <c r="J2828" s="13"/>
    </row>
    <row r="2829" spans="4:10" ht="15.75" customHeight="1" x14ac:dyDescent="0.15">
      <c r="D2829" s="12"/>
      <c r="E2829" s="12"/>
      <c r="I2829" s="12"/>
      <c r="J2829" s="13"/>
    </row>
    <row r="2830" spans="4:10" ht="15.75" customHeight="1" x14ac:dyDescent="0.15">
      <c r="D2830" s="12"/>
      <c r="E2830" s="12"/>
      <c r="I2830" s="12"/>
      <c r="J2830" s="13"/>
    </row>
    <row r="2831" spans="4:10" ht="15.75" customHeight="1" x14ac:dyDescent="0.15">
      <c r="D2831" s="12"/>
      <c r="E2831" s="12"/>
      <c r="I2831" s="12"/>
      <c r="J2831" s="13"/>
    </row>
    <row r="2832" spans="4:10" ht="15.75" customHeight="1" x14ac:dyDescent="0.15">
      <c r="D2832" s="12"/>
      <c r="E2832" s="12"/>
      <c r="I2832" s="12"/>
      <c r="J2832" s="13"/>
    </row>
    <row r="2833" spans="4:10" ht="15.75" customHeight="1" x14ac:dyDescent="0.15">
      <c r="D2833" s="12"/>
      <c r="E2833" s="12"/>
      <c r="I2833" s="12"/>
      <c r="J2833" s="13"/>
    </row>
    <row r="2834" spans="4:10" ht="15.75" customHeight="1" x14ac:dyDescent="0.15">
      <c r="D2834" s="12"/>
      <c r="E2834" s="12"/>
      <c r="I2834" s="12"/>
      <c r="J2834" s="13"/>
    </row>
    <row r="2835" spans="4:10" ht="15.75" customHeight="1" x14ac:dyDescent="0.15">
      <c r="D2835" s="12"/>
      <c r="E2835" s="12"/>
      <c r="I2835" s="12"/>
      <c r="J2835" s="13"/>
    </row>
    <row r="2836" spans="4:10" ht="15.75" customHeight="1" x14ac:dyDescent="0.15">
      <c r="D2836" s="12"/>
      <c r="E2836" s="12"/>
      <c r="I2836" s="12"/>
      <c r="J2836" s="13"/>
    </row>
    <row r="2837" spans="4:10" ht="15.75" customHeight="1" x14ac:dyDescent="0.15">
      <c r="D2837" s="12"/>
      <c r="I2837" s="12"/>
      <c r="J2837" s="13"/>
    </row>
    <row r="2838" spans="4:10" ht="15.75" customHeight="1" x14ac:dyDescent="0.15">
      <c r="D2838" s="12"/>
      <c r="I2838" s="12"/>
      <c r="J2838" s="13"/>
    </row>
    <row r="2839" spans="4:10" ht="15.75" customHeight="1" x14ac:dyDescent="0.15">
      <c r="D2839" s="12"/>
      <c r="I2839" s="12"/>
      <c r="J2839" s="13"/>
    </row>
  </sheetData>
  <autoFilter ref="A1:MG2751" xr:uid="{00000000-0009-0000-0000-000001000000}"/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</sheetPr>
  <dimension ref="A1:I3249"/>
  <sheetViews>
    <sheetView workbookViewId="0"/>
  </sheetViews>
  <sheetFormatPr baseColWidth="10" defaultColWidth="12.6640625" defaultRowHeight="15.75" customHeight="1" x14ac:dyDescent="0.15"/>
  <cols>
    <col min="1" max="1" width="13.6640625" customWidth="1"/>
    <col min="2" max="2" width="31.1640625" customWidth="1"/>
    <col min="3" max="3" width="47.83203125" customWidth="1"/>
    <col min="4" max="4" width="15.6640625" customWidth="1"/>
    <col min="5" max="6" width="32.1640625" customWidth="1"/>
    <col min="7" max="7" width="56.5" customWidth="1"/>
    <col min="8" max="8" width="26" customWidth="1"/>
    <col min="9" max="9" width="26.1640625" customWidth="1"/>
  </cols>
  <sheetData>
    <row r="1" spans="1:9" ht="15.75" customHeight="1" x14ac:dyDescent="0.15">
      <c r="A1" s="7" t="s">
        <v>0</v>
      </c>
      <c r="B1" s="8" t="s">
        <v>1</v>
      </c>
      <c r="C1" s="7" t="s">
        <v>2</v>
      </c>
      <c r="D1" s="7" t="s">
        <v>3</v>
      </c>
      <c r="E1" s="8" t="s">
        <v>845</v>
      </c>
      <c r="F1" s="8" t="s">
        <v>846</v>
      </c>
      <c r="G1" s="8" t="s">
        <v>847</v>
      </c>
      <c r="H1" s="8" t="s">
        <v>848</v>
      </c>
      <c r="I1" s="8" t="s">
        <v>849</v>
      </c>
    </row>
    <row r="2" spans="1:9" ht="15.75" customHeight="1" x14ac:dyDescent="0.15">
      <c r="A2" s="9">
        <f ca="1">IFERROR(__xludf.DUMMYFUNCTION("FILTER(INDEX(export!A2:MD3249, , MATCH(""Supporter ID"", export!A1:MD1, 0)), INDEX(export!A2:MD3249, , MATCH(""Supporter ID"", export!A1:MD1, 0))&lt;&gt;"""")"),27279631)</f>
        <v>27279631</v>
      </c>
      <c r="B2" s="1" t="str">
        <f ca="1">IFERROR(__xludf.DUMMYFUNCTION("FILTER(INDEX(export!A2:MD3249, , MATCH(""Supporter Email"", export!A1:MD1, 0)), INDEX(export!A2:MD3249, , MATCH(""Supporter Email"", export!A1:MD1, 0))&lt;&gt;"""")"),"lisafrucci@att.net")</f>
        <v>lisafrucci@att.net</v>
      </c>
      <c r="C2" s="9" t="str">
        <f ca="1">IFERROR(__xludf.DUMMYFUNCTION("FILTER(INDEX(export!A2:MD3249, , MATCH(""Campaign ID"", export!A1:MD1, 0)), INDEX(export!A2:MD3249, , MATCH(""Campaign ID"", export!A1:MD1, 0))&lt;&gt;"""")"),"EVERGREEN - UAN Gated Content - Embedded Petition")</f>
        <v>EVERGREEN - UAN Gated Content - Embedded Petition</v>
      </c>
      <c r="D2" s="10">
        <f ca="1">IFERROR(__xludf.DUMMYFUNCTION("FILTER(INDEX(export!B2:ME3249, , MATCH(""Campaign Date"", export!B1:ME1, 0)), INDEX(export!B2:ME3249, , MATCH(""Campaign Date"", export!B1:ME1, 0))&lt;&gt;"""")"),45698)</f>
        <v>45698</v>
      </c>
      <c r="E2" s="1" t="str">
        <f ca="1">IFERROR(__xludf.DUMMYFUNCTION("FILTER(SUBSTITUTE(INDEX(export!B2:ME3249, , MATCH(""External Reference 6"", export!B1:ME1, 0)), ""Country: "", """"), INDEX(export!B2:ME3249, , MATCH(""External Reference 6"", export!B1:ME1, 0))&lt;&gt;"""")"),"Tunisia")</f>
        <v>Tunisia</v>
      </c>
      <c r="F2" s="1" t="str">
        <f ca="1">IFERROR(__xludf.DUMMYFUNCTION("FILTER(SUBSTITUTE(INDEX(export!C2:MF3249, , MATCH(""External Reference 7"", export!C1:MF1, 0)), ""CaseNumber: "", """"), INDEX(export!C2:MF3249, , MATCH(""External Reference 7"", export!C1:MF1, 0))&lt;&gt;"""")"),"Second 76.24 Tunisia")</f>
        <v>Second 76.24 Tunisia</v>
      </c>
      <c r="G2" s="1" t="str">
        <f ca="1">IFERROR(__xludf.DUMMYFUNCTION("FILTER(SUBSTITUTE(INDEX(export!D2:MG3249, , MATCH(""External Reference 8"", export!D1:MG1, 0)), ""Topic: "", """"), INDEX(export!D2:MG3249, , MATCH(""External Reference 8"", export!D1:MG1, 0))&lt;&gt;"""")"),"Freedom of Expression, Human Rights Defenders")</f>
        <v>Freedom of Expression, Human Rights Defenders</v>
      </c>
      <c r="H2" s="1" t="str">
        <f ca="1">IFERROR(__xludf.DUMMYFUNCTION("FILTER(IF(REGEXMATCH(INDEX(export!E2:MH3249, , MATCH(""External Reference 10"", export!E1:MH1, 0)), ""\b\d{4}\b""), REGEXEXTRACT(INDEX(export!E2:MH3249, , MATCH(""External Reference 10"", export!E1:MH1, 0)), ""\b\d{4}\b""), """"), INDEX(export!E2:MH3249, "&amp;", MATCH(""External Reference 10"", export!E1:MH1, 0))&lt;&gt;"""")"),"2025")</f>
        <v>2025</v>
      </c>
      <c r="I2" s="1" t="str">
        <f ca="1">IFERROR(__xludf.DUMMYFUNCTION("FILTER(TRIM(SUBSTITUTE(SUBSTITUTE(SUBSTITUTE(INDEX(export!E2:MH3249, , MATCH(""External Reference 10"", export!E1:MH1, 0)), ""YearType: "", """"), REGEXEXTRACT(INDEX(export!E2:MH3249, , MATCH(""External Reference 10"", export!E1:MH1, 0)), ""\b\d{4}\b""), "&amp;"""""), "", "", """")), INDEX(export!E2:MH3249, , MATCH(""External Reference 10"", export!E1:MH1, 0))&lt;&gt;"""")"),"Email")</f>
        <v>Email</v>
      </c>
    </row>
    <row r="3" spans="1:9" ht="15.75" customHeight="1" x14ac:dyDescent="0.15">
      <c r="A3" s="9">
        <f ca="1">IFERROR(__xludf.DUMMYFUNCTION("""COMPUTED_VALUE"""),27279678)</f>
        <v>27279678</v>
      </c>
      <c r="B3" s="1" t="str">
        <f ca="1">IFERROR(__xludf.DUMMYFUNCTION("""COMPUTED_VALUE"""),"nsosnove@nexusmarine.com")</f>
        <v>nsosnove@nexusmarine.com</v>
      </c>
      <c r="C3" s="9" t="str">
        <f ca="1">IFERROR(__xludf.DUMMYFUNCTION("""COMPUTED_VALUE"""),"EVERGREEN - UAN Gated Content - Embedded Petition")</f>
        <v>EVERGREEN - UAN Gated Content - Embedded Petition</v>
      </c>
      <c r="D3" s="10">
        <f ca="1">IFERROR(__xludf.DUMMYFUNCTION("""COMPUTED_VALUE"""),45694)</f>
        <v>45694</v>
      </c>
      <c r="E3" s="1" t="str">
        <f ca="1">IFERROR(__xludf.DUMMYFUNCTION("""COMPUTED_VALUE"""),"Tunisia")</f>
        <v>Tunisia</v>
      </c>
      <c r="F3" s="1" t="str">
        <f ca="1">IFERROR(__xludf.DUMMYFUNCTION("""COMPUTED_VALUE"""),"Second 76.24 Tunisia")</f>
        <v>Second 76.24 Tunisia</v>
      </c>
      <c r="G3" s="1" t="str">
        <f ca="1">IFERROR(__xludf.DUMMYFUNCTION("""COMPUTED_VALUE"""),"Freedom of Expression, Human Rights Defenders")</f>
        <v>Freedom of Expression, Human Rights Defenders</v>
      </c>
      <c r="H3" s="1" t="str">
        <f ca="1">IFERROR(__xludf.DUMMYFUNCTION("""COMPUTED_VALUE"""),"2025")</f>
        <v>2025</v>
      </c>
      <c r="I3" s="1" t="str">
        <f ca="1">IFERROR(__xludf.DUMMYFUNCTION("""COMPUTED_VALUE"""),"Email")</f>
        <v>Email</v>
      </c>
    </row>
    <row r="4" spans="1:9" ht="15.75" customHeight="1" x14ac:dyDescent="0.15">
      <c r="A4" s="9">
        <f ca="1">IFERROR(__xludf.DUMMYFUNCTION("""COMPUTED_VALUE"""),27280298)</f>
        <v>27280298</v>
      </c>
      <c r="B4" s="1" t="str">
        <f ca="1">IFERROR(__xludf.DUMMYFUNCTION("""COMPUTED_VALUE"""),"lettiecatalfamo@gmail.com")</f>
        <v>lettiecatalfamo@gmail.com</v>
      </c>
      <c r="C4" s="9" t="str">
        <f ca="1">IFERROR(__xludf.DUMMYFUNCTION("""COMPUTED_VALUE"""),"EVERGREEN - UAN Gated Content - Embedded Petition")</f>
        <v>EVERGREEN - UAN Gated Content - Embedded Petition</v>
      </c>
      <c r="D4" s="10">
        <f ca="1">IFERROR(__xludf.DUMMYFUNCTION("""COMPUTED_VALUE"""),45694)</f>
        <v>45694</v>
      </c>
      <c r="E4" s="1" t="str">
        <f ca="1">IFERROR(__xludf.DUMMYFUNCTION("""COMPUTED_VALUE"""),"Tunisia")</f>
        <v>Tunisia</v>
      </c>
      <c r="F4" s="1" t="str">
        <f ca="1">IFERROR(__xludf.DUMMYFUNCTION("""COMPUTED_VALUE"""),"Second 76.24 Tunisia")</f>
        <v>Second 76.24 Tunisia</v>
      </c>
      <c r="G4" s="1" t="str">
        <f ca="1">IFERROR(__xludf.DUMMYFUNCTION("""COMPUTED_VALUE"""),"Freedom of Expression, Human Rights Defenders")</f>
        <v>Freedom of Expression, Human Rights Defenders</v>
      </c>
      <c r="H4" s="1" t="str">
        <f ca="1">IFERROR(__xludf.DUMMYFUNCTION("""COMPUTED_VALUE"""),"2025")</f>
        <v>2025</v>
      </c>
      <c r="I4" s="1" t="str">
        <f ca="1">IFERROR(__xludf.DUMMYFUNCTION("""COMPUTED_VALUE"""),"Email")</f>
        <v>Email</v>
      </c>
    </row>
    <row r="5" spans="1:9" ht="15.75" customHeight="1" x14ac:dyDescent="0.15">
      <c r="A5" s="9">
        <f ca="1">IFERROR(__xludf.DUMMYFUNCTION("""COMPUTED_VALUE"""),27280298)</f>
        <v>27280298</v>
      </c>
      <c r="B5" s="1" t="str">
        <f ca="1">IFERROR(__xludf.DUMMYFUNCTION("""COMPUTED_VALUE"""),"lettiecatalfamo@gmail.com")</f>
        <v>lettiecatalfamo@gmail.com</v>
      </c>
      <c r="C5" s="9" t="str">
        <f ca="1">IFERROR(__xludf.DUMMYFUNCTION("""COMPUTED_VALUE"""),"EVERGREEN - UAN Gated Content - Embedded Petition")</f>
        <v>EVERGREEN - UAN Gated Content - Embedded Petition</v>
      </c>
      <c r="D5" s="10">
        <f ca="1">IFERROR(__xludf.DUMMYFUNCTION("""COMPUTED_VALUE"""),45691)</f>
        <v>45691</v>
      </c>
      <c r="E5" s="1" t="str">
        <f ca="1">IFERROR(__xludf.DUMMYFUNCTION("""COMPUTED_VALUE"""),"Tunisia")</f>
        <v>Tunisia</v>
      </c>
      <c r="F5" s="1" t="str">
        <f ca="1">IFERROR(__xludf.DUMMYFUNCTION("""COMPUTED_VALUE"""),"Second 76.24 Tunisia")</f>
        <v>Second 76.24 Tunisia</v>
      </c>
      <c r="G5" s="1" t="str">
        <f ca="1">IFERROR(__xludf.DUMMYFUNCTION("""COMPUTED_VALUE"""),"Freedom of Expression, Human Rights Defenders")</f>
        <v>Freedom of Expression, Human Rights Defenders</v>
      </c>
      <c r="H5" s="1" t="str">
        <f ca="1">IFERROR(__xludf.DUMMYFUNCTION("""COMPUTED_VALUE"""),"2025")</f>
        <v>2025</v>
      </c>
      <c r="I5" s="1" t="str">
        <f ca="1">IFERROR(__xludf.DUMMYFUNCTION("""COMPUTED_VALUE"""),"Email")</f>
        <v>Email</v>
      </c>
    </row>
    <row r="6" spans="1:9" ht="15.75" customHeight="1" x14ac:dyDescent="0.15">
      <c r="A6" s="9">
        <f ca="1">IFERROR(__xludf.DUMMYFUNCTION("""COMPUTED_VALUE"""),27280298)</f>
        <v>27280298</v>
      </c>
      <c r="B6" s="1" t="str">
        <f ca="1">IFERROR(__xludf.DUMMYFUNCTION("""COMPUTED_VALUE"""),"lettiecatalfamo@gmail.com")</f>
        <v>lettiecatalfamo@gmail.com</v>
      </c>
      <c r="C6" s="9" t="str">
        <f ca="1">IFERROR(__xludf.DUMMYFUNCTION("""COMPUTED_VALUE"""),"EVERGREEN - UAN Gated Content - Embedded Petition")</f>
        <v>EVERGREEN - UAN Gated Content - Embedded Petition</v>
      </c>
      <c r="D6" s="10">
        <f ca="1">IFERROR(__xludf.DUMMYFUNCTION("""COMPUTED_VALUE"""),45694)</f>
        <v>45694</v>
      </c>
      <c r="E6" s="1" t="str">
        <f ca="1">IFERROR(__xludf.DUMMYFUNCTION("""COMPUTED_VALUE"""),"Tunisia")</f>
        <v>Tunisia</v>
      </c>
      <c r="F6" s="1" t="str">
        <f ca="1">IFERROR(__xludf.DUMMYFUNCTION("""COMPUTED_VALUE"""),"Second 76.24 Tunisia")</f>
        <v>Second 76.24 Tunisia</v>
      </c>
      <c r="G6" s="1" t="str">
        <f ca="1">IFERROR(__xludf.DUMMYFUNCTION("""COMPUTED_VALUE"""),"Freedom of Expression, Human Rights Defenders")</f>
        <v>Freedom of Expression, Human Rights Defenders</v>
      </c>
      <c r="H6" s="1" t="str">
        <f ca="1">IFERROR(__xludf.DUMMYFUNCTION("""COMPUTED_VALUE"""),"2025")</f>
        <v>2025</v>
      </c>
      <c r="I6" s="1" t="str">
        <f ca="1">IFERROR(__xludf.DUMMYFUNCTION("""COMPUTED_VALUE"""),"Email")</f>
        <v>Email</v>
      </c>
    </row>
    <row r="7" spans="1:9" ht="15.75" customHeight="1" x14ac:dyDescent="0.15">
      <c r="A7" s="9">
        <f ca="1">IFERROR(__xludf.DUMMYFUNCTION("""COMPUTED_VALUE"""),27280298)</f>
        <v>27280298</v>
      </c>
      <c r="B7" s="1" t="str">
        <f ca="1">IFERROR(__xludf.DUMMYFUNCTION("""COMPUTED_VALUE"""),"lettiecatalfamo@gmail.com")</f>
        <v>lettiecatalfamo@gmail.com</v>
      </c>
      <c r="C7" s="9" t="str">
        <f ca="1">IFERROR(__xludf.DUMMYFUNCTION("""COMPUTED_VALUE"""),"EVERGREEN - Website Email Capture Form - UAN Pre-Footer")</f>
        <v>EVERGREEN - Website Email Capture Form - UAN Pre-Footer</v>
      </c>
      <c r="D7" s="10">
        <f ca="1">IFERROR(__xludf.DUMMYFUNCTION("""COMPUTED_VALUE"""),45694)</f>
        <v>45694</v>
      </c>
      <c r="E7" s="1" t="str">
        <f ca="1">IFERROR(__xludf.DUMMYFUNCTION("""COMPUTED_VALUE"""),"Tunisia")</f>
        <v>Tunisia</v>
      </c>
      <c r="F7" s="1" t="str">
        <f ca="1">IFERROR(__xludf.DUMMYFUNCTION("""COMPUTED_VALUE"""),"Second 76.24 Tunisia")</f>
        <v>Second 76.24 Tunisia</v>
      </c>
      <c r="G7" s="1" t="str">
        <f ca="1">IFERROR(__xludf.DUMMYFUNCTION("""COMPUTED_VALUE"""),"Freedom of Expression, Human Rights Defenders")</f>
        <v>Freedom of Expression, Human Rights Defenders</v>
      </c>
      <c r="H7" s="1" t="str">
        <f ca="1">IFERROR(__xludf.DUMMYFUNCTION("""COMPUTED_VALUE"""),"2025")</f>
        <v>2025</v>
      </c>
      <c r="I7" s="1" t="str">
        <f ca="1">IFERROR(__xludf.DUMMYFUNCTION("""COMPUTED_VALUE"""),"Email")</f>
        <v>Email</v>
      </c>
    </row>
    <row r="8" spans="1:9" ht="15.75" customHeight="1" x14ac:dyDescent="0.15">
      <c r="A8" s="9">
        <f ca="1">IFERROR(__xludf.DUMMYFUNCTION("""COMPUTED_VALUE"""),28905247)</f>
        <v>28905247</v>
      </c>
      <c r="B8" s="1" t="str">
        <f ca="1">IFERROR(__xludf.DUMMYFUNCTION("""COMPUTED_VALUE"""),"mssenn29@gmail.com")</f>
        <v>mssenn29@gmail.com</v>
      </c>
      <c r="C8" s="9" t="str">
        <f ca="1">IFERROR(__xludf.DUMMYFUNCTION("""COMPUTED_VALUE"""),"EVERGREEN - UAN Gated Content - Embedded Petition")</f>
        <v>EVERGREEN - UAN Gated Content - Embedded Petition</v>
      </c>
      <c r="D8" s="10">
        <f ca="1">IFERROR(__xludf.DUMMYFUNCTION("""COMPUTED_VALUE"""),45705)</f>
        <v>45705</v>
      </c>
      <c r="E8" s="1" t="str">
        <f ca="1">IFERROR(__xludf.DUMMYFUNCTION("""COMPUTED_VALUE"""),"Iran")</f>
        <v>Iran</v>
      </c>
      <c r="F8" s="1" t="str">
        <f ca="1">IFERROR(__xludf.DUMMYFUNCTION("""COMPUTED_VALUE"""),"Seventh 103.22 Iran")</f>
        <v>Seventh 103.22 Iran</v>
      </c>
      <c r="G8" s="1" t="str">
        <f ca="1">IFERROR(__xludf.DUMMYFUNCTION("""COMPUTED_VALUE"""),"Death Penalty, Freedom of Expression, Individuals At Risk")</f>
        <v>Death Penalty, Freedom of Expression, Individuals At Risk</v>
      </c>
      <c r="H8" s="1" t="str">
        <f ca="1">IFERROR(__xludf.DUMMYFUNCTION("""COMPUTED_VALUE"""),"2024")</f>
        <v>2024</v>
      </c>
      <c r="I8" s="1" t="str">
        <f ca="1">IFERROR(__xludf.DUMMYFUNCTION("""COMPUTED_VALUE"""),"Email")</f>
        <v>Email</v>
      </c>
    </row>
    <row r="9" spans="1:9" ht="15.75" customHeight="1" x14ac:dyDescent="0.15">
      <c r="A9" s="9">
        <f ca="1">IFERROR(__xludf.DUMMYFUNCTION("""COMPUTED_VALUE"""),28908236)</f>
        <v>28908236</v>
      </c>
      <c r="B9" s="1" t="str">
        <f ca="1">IFERROR(__xludf.DUMMYFUNCTION("""COMPUTED_VALUE"""),"patrizialopreno@bluewin.ch")</f>
        <v>patrizialopreno@bluewin.ch</v>
      </c>
      <c r="C9" s="9" t="str">
        <f ca="1">IFERROR(__xludf.DUMMYFUNCTION("""COMPUTED_VALUE"""),"EVERGREEN - UAN Gated Content - Embedded Petition")</f>
        <v>EVERGREEN - UAN Gated Content - Embedded Petition</v>
      </c>
      <c r="D9" s="10">
        <f ca="1">IFERROR(__xludf.DUMMYFUNCTION("""COMPUTED_VALUE"""),45694)</f>
        <v>45694</v>
      </c>
      <c r="E9" s="1" t="str">
        <f ca="1">IFERROR(__xludf.DUMMYFUNCTION("""COMPUTED_VALUE"""),"Niger")</f>
        <v>Niger</v>
      </c>
      <c r="F9" s="1" t="str">
        <f ca="1">IFERROR(__xludf.DUMMYFUNCTION("""COMPUTED_VALUE"""),"103.24 Niger")</f>
        <v>103.24 Niger</v>
      </c>
      <c r="G9" s="1" t="str">
        <f ca="1">IFERROR(__xludf.DUMMYFUNCTION("""COMPUTED_VALUE"""),"Freedom of Expression, Human Rights Defenders")</f>
        <v>Freedom of Expression, Human Rights Defenders</v>
      </c>
      <c r="H9" s="1" t="str">
        <f ca="1">IFERROR(__xludf.DUMMYFUNCTION("""COMPUTED_VALUE"""),"2024")</f>
        <v>2024</v>
      </c>
      <c r="I9" s="1" t="str">
        <f ca="1">IFERROR(__xludf.DUMMYFUNCTION("""COMPUTED_VALUE"""),"Email")</f>
        <v>Email</v>
      </c>
    </row>
    <row r="10" spans="1:9" ht="15.75" customHeight="1" x14ac:dyDescent="0.15">
      <c r="A10" s="9">
        <f ca="1">IFERROR(__xludf.DUMMYFUNCTION("""COMPUTED_VALUE"""),28908436)</f>
        <v>28908436</v>
      </c>
      <c r="B10" s="1" t="str">
        <f ca="1">IFERROR(__xludf.DUMMYFUNCTION("""COMPUTED_VALUE"""),"s_innes99@hotmail.com")</f>
        <v>s_innes99@hotmail.com</v>
      </c>
      <c r="C10" s="9" t="str">
        <f ca="1">IFERROR(__xludf.DUMMYFUNCTION("""COMPUTED_VALUE"""),"EVERGREEN - UAN Gated Content - Embedded Petition")</f>
        <v>EVERGREEN - UAN Gated Content - Embedded Petition</v>
      </c>
      <c r="D10" s="10">
        <f ca="1">IFERROR(__xludf.DUMMYFUNCTION("""COMPUTED_VALUE"""),45682)</f>
        <v>45682</v>
      </c>
      <c r="E10" s="1" t="str">
        <f ca="1">IFERROR(__xludf.DUMMYFUNCTION("""COMPUTED_VALUE"""),"Tunisia")</f>
        <v>Tunisia</v>
      </c>
      <c r="F10" s="1" t="str">
        <f ca="1">IFERROR(__xludf.DUMMYFUNCTION("""COMPUTED_VALUE"""),"Second 76.24 Tunisia")</f>
        <v>Second 76.24 Tunisia</v>
      </c>
      <c r="G10" s="1" t="str">
        <f ca="1">IFERROR(__xludf.DUMMYFUNCTION("""COMPUTED_VALUE"""),"Freedom of Expression, Human Rights Defenders")</f>
        <v>Freedom of Expression, Human Rights Defenders</v>
      </c>
      <c r="H10" s="1" t="str">
        <f ca="1">IFERROR(__xludf.DUMMYFUNCTION("""COMPUTED_VALUE"""),"2025")</f>
        <v>2025</v>
      </c>
      <c r="I10" s="1" t="str">
        <f ca="1">IFERROR(__xludf.DUMMYFUNCTION("""COMPUTED_VALUE"""),"Email")</f>
        <v>Email</v>
      </c>
    </row>
    <row r="11" spans="1:9" ht="15.75" customHeight="1" x14ac:dyDescent="0.15">
      <c r="A11" s="9">
        <f ca="1">IFERROR(__xludf.DUMMYFUNCTION("""COMPUTED_VALUE"""),28908436)</f>
        <v>28908436</v>
      </c>
      <c r="B11" s="1" t="str">
        <f ca="1">IFERROR(__xludf.DUMMYFUNCTION("""COMPUTED_VALUE"""),"s_innes99@hotmail.com")</f>
        <v>s_innes99@hotmail.com</v>
      </c>
      <c r="C11" s="9" t="str">
        <f ca="1">IFERROR(__xludf.DUMMYFUNCTION("""COMPUTED_VALUE"""),"EVERGREEN - UAN Gated Content - Embedded Petition")</f>
        <v>EVERGREEN - UAN Gated Content - Embedded Petition</v>
      </c>
      <c r="D11" s="10">
        <f ca="1">IFERROR(__xludf.DUMMYFUNCTION("""COMPUTED_VALUE"""),45681)</f>
        <v>45681</v>
      </c>
      <c r="E11" s="1" t="str">
        <f ca="1">IFERROR(__xludf.DUMMYFUNCTION("""COMPUTED_VALUE"""),"Tunisia")</f>
        <v>Tunisia</v>
      </c>
      <c r="F11" s="1" t="str">
        <f ca="1">IFERROR(__xludf.DUMMYFUNCTION("""COMPUTED_VALUE"""),"Second 76.24 Tunisia")</f>
        <v>Second 76.24 Tunisia</v>
      </c>
      <c r="G11" s="1" t="str">
        <f ca="1">IFERROR(__xludf.DUMMYFUNCTION("""COMPUTED_VALUE"""),"Freedom of Expression, Human Rights Defenders")</f>
        <v>Freedom of Expression, Human Rights Defenders</v>
      </c>
      <c r="H11" s="1" t="str">
        <f ca="1">IFERROR(__xludf.DUMMYFUNCTION("""COMPUTED_VALUE"""),"2025")</f>
        <v>2025</v>
      </c>
      <c r="I11" s="1" t="str">
        <f ca="1">IFERROR(__xludf.DUMMYFUNCTION("""COMPUTED_VALUE"""),"Email")</f>
        <v>Email</v>
      </c>
    </row>
    <row r="12" spans="1:9" ht="15.75" customHeight="1" x14ac:dyDescent="0.15">
      <c r="A12" s="9">
        <f ca="1">IFERROR(__xludf.DUMMYFUNCTION("""COMPUTED_VALUE"""),28908436)</f>
        <v>28908436</v>
      </c>
      <c r="B12" s="1" t="str">
        <f ca="1">IFERROR(__xludf.DUMMYFUNCTION("""COMPUTED_VALUE"""),"s_innes99@hotmail.com")</f>
        <v>s_innes99@hotmail.com</v>
      </c>
      <c r="C12" s="9" t="str">
        <f ca="1">IFERROR(__xludf.DUMMYFUNCTION("""COMPUTED_VALUE"""),"EVERGREEN - UAN Gated Content - Embedded Petition")</f>
        <v>EVERGREEN - UAN Gated Content - Embedded Petition</v>
      </c>
      <c r="D12" s="10">
        <f ca="1">IFERROR(__xludf.DUMMYFUNCTION("""COMPUTED_VALUE"""),45694)</f>
        <v>45694</v>
      </c>
      <c r="E12" s="1" t="str">
        <f ca="1">IFERROR(__xludf.DUMMYFUNCTION("""COMPUTED_VALUE"""),"Israel and Occupied Palestinian Territories")</f>
        <v>Israel and Occupied Palestinian Territories</v>
      </c>
      <c r="F12" s="1" t="str">
        <f ca="1">IFERROR(__xludf.DUMMYFUNCTION("""COMPUTED_VALUE"""),"3.25 IOPT")</f>
        <v>3.25 IOPT</v>
      </c>
      <c r="G12" s="1" t="str">
        <f ca="1">IFERROR(__xludf.DUMMYFUNCTION("""COMPUTED_VALUE"""),"Freedom of Expression, Individuals At Risk")</f>
        <v>Freedom of Expression, Individuals At Risk</v>
      </c>
      <c r="H12" s="1" t="str">
        <f ca="1">IFERROR(__xludf.DUMMYFUNCTION("""COMPUTED_VALUE"""),"2025")</f>
        <v>2025</v>
      </c>
      <c r="I12" s="1" t="str">
        <f ca="1">IFERROR(__xludf.DUMMYFUNCTION("""COMPUTED_VALUE"""),"Email")</f>
        <v>Email</v>
      </c>
    </row>
    <row r="13" spans="1:9" ht="15.75" customHeight="1" x14ac:dyDescent="0.15">
      <c r="A13" s="9">
        <f ca="1">IFERROR(__xludf.DUMMYFUNCTION("""COMPUTED_VALUE"""),28926613)</f>
        <v>28926613</v>
      </c>
      <c r="B13" s="1" t="str">
        <f ca="1">IFERROR(__xludf.DUMMYFUNCTION("""COMPUTED_VALUE"""),"bongoboycd@sbcglobal.net")</f>
        <v>bongoboycd@sbcglobal.net</v>
      </c>
      <c r="C13" s="9" t="str">
        <f ca="1">IFERROR(__xludf.DUMMYFUNCTION("""COMPUTED_VALUE"""),"EVERGREEN - UAN Gated Content - Embedded Petition")</f>
        <v>EVERGREEN - UAN Gated Content - Embedded Petition</v>
      </c>
      <c r="D13" s="10">
        <f ca="1">IFERROR(__xludf.DUMMYFUNCTION("""COMPUTED_VALUE"""),45694)</f>
        <v>45694</v>
      </c>
      <c r="E13" s="1" t="str">
        <f ca="1">IFERROR(__xludf.DUMMYFUNCTION("""COMPUTED_VALUE"""),"USA")</f>
        <v>USA</v>
      </c>
      <c r="F13" s="1" t="str">
        <f ca="1">IFERROR(__xludf.DUMMYFUNCTION("""COMPUTED_VALUE"""),"4.25 USA")</f>
        <v>4.25 USA</v>
      </c>
      <c r="G13" s="1" t="str">
        <f ca="1">IFERROR(__xludf.DUMMYFUNCTION("""COMPUTED_VALUE"""),"Individuals At Risk, Refugee and Migrant Rights")</f>
        <v>Individuals At Risk, Refugee and Migrant Rights</v>
      </c>
      <c r="H13" s="1" t="str">
        <f ca="1">IFERROR(__xludf.DUMMYFUNCTION("""COMPUTED_VALUE"""),"2025")</f>
        <v>2025</v>
      </c>
      <c r="I13" s="1" t="str">
        <f ca="1">IFERROR(__xludf.DUMMYFUNCTION("""COMPUTED_VALUE"""),"Letter")</f>
        <v>Letter</v>
      </c>
    </row>
    <row r="14" spans="1:9" ht="15.75" customHeight="1" x14ac:dyDescent="0.15">
      <c r="A14" s="9">
        <f ca="1">IFERROR(__xludf.DUMMYFUNCTION("""COMPUTED_VALUE"""),28933368)</f>
        <v>28933368</v>
      </c>
      <c r="B14" s="1" t="str">
        <f ca="1">IFERROR(__xludf.DUMMYFUNCTION("""COMPUTED_VALUE"""),"davidbmitchell42@hotmail.com")</f>
        <v>davidbmitchell42@hotmail.com</v>
      </c>
      <c r="C14" s="9" t="str">
        <f ca="1">IFERROR(__xludf.DUMMYFUNCTION("""COMPUTED_VALUE"""),"EVERGREEN - UAN Gated Content - Embedded Petition")</f>
        <v>EVERGREEN - UAN Gated Content - Embedded Petition</v>
      </c>
      <c r="D14" s="10">
        <f ca="1">IFERROR(__xludf.DUMMYFUNCTION("""COMPUTED_VALUE"""),45673)</f>
        <v>45673</v>
      </c>
      <c r="E14" s="1" t="str">
        <f ca="1">IFERROR(__xludf.DUMMYFUNCTION("""COMPUTED_VALUE"""),"Tunisia")</f>
        <v>Tunisia</v>
      </c>
      <c r="F14" s="1" t="str">
        <f ca="1">IFERROR(__xludf.DUMMYFUNCTION("""COMPUTED_VALUE"""),"Second 76.24 Tunisia")</f>
        <v>Second 76.24 Tunisia</v>
      </c>
      <c r="G14" s="1" t="str">
        <f ca="1">IFERROR(__xludf.DUMMYFUNCTION("""COMPUTED_VALUE"""),"Freedom of Expression, Human Rights Defenders")</f>
        <v>Freedom of Expression, Human Rights Defenders</v>
      </c>
      <c r="H14" s="1" t="str">
        <f ca="1">IFERROR(__xludf.DUMMYFUNCTION("""COMPUTED_VALUE"""),"2025")</f>
        <v>2025</v>
      </c>
      <c r="I14" s="1" t="str">
        <f ca="1">IFERROR(__xludf.DUMMYFUNCTION("""COMPUTED_VALUE"""),"Email")</f>
        <v>Email</v>
      </c>
    </row>
    <row r="15" spans="1:9" ht="15.75" customHeight="1" x14ac:dyDescent="0.15">
      <c r="A15" s="9">
        <f ca="1">IFERROR(__xludf.DUMMYFUNCTION("""COMPUTED_VALUE"""),28933368)</f>
        <v>28933368</v>
      </c>
      <c r="B15" s="1" t="str">
        <f ca="1">IFERROR(__xludf.DUMMYFUNCTION("""COMPUTED_VALUE"""),"davidbmitchell42@hotmail.com")</f>
        <v>davidbmitchell42@hotmail.com</v>
      </c>
      <c r="C15" s="9" t="str">
        <f ca="1">IFERROR(__xludf.DUMMYFUNCTION("""COMPUTED_VALUE"""),"EVERGREEN - UAN Gated Content - Embedded Petition")</f>
        <v>EVERGREEN - UAN Gated Content - Embedded Petition</v>
      </c>
      <c r="D15" s="10">
        <f ca="1">IFERROR(__xludf.DUMMYFUNCTION("""COMPUTED_VALUE"""),45681)</f>
        <v>45681</v>
      </c>
      <c r="E15" s="1" t="str">
        <f ca="1">IFERROR(__xludf.DUMMYFUNCTION("""COMPUTED_VALUE"""),"Tunisia")</f>
        <v>Tunisia</v>
      </c>
      <c r="F15" s="1" t="str">
        <f ca="1">IFERROR(__xludf.DUMMYFUNCTION("""COMPUTED_VALUE"""),"Second 76.24 Tunisia")</f>
        <v>Second 76.24 Tunisia</v>
      </c>
      <c r="G15" s="1" t="str">
        <f ca="1">IFERROR(__xludf.DUMMYFUNCTION("""COMPUTED_VALUE"""),"Freedom of Expression, Human Rights Defenders")</f>
        <v>Freedom of Expression, Human Rights Defenders</v>
      </c>
      <c r="H15" s="1" t="str">
        <f ca="1">IFERROR(__xludf.DUMMYFUNCTION("""COMPUTED_VALUE"""),"2025")</f>
        <v>2025</v>
      </c>
      <c r="I15" s="1" t="str">
        <f ca="1">IFERROR(__xludf.DUMMYFUNCTION("""COMPUTED_VALUE"""),"Email")</f>
        <v>Email</v>
      </c>
    </row>
    <row r="16" spans="1:9" ht="15.75" customHeight="1" x14ac:dyDescent="0.15">
      <c r="A16" s="9">
        <f ca="1">IFERROR(__xludf.DUMMYFUNCTION("""COMPUTED_VALUE"""),28933368)</f>
        <v>28933368</v>
      </c>
      <c r="B16" s="1" t="str">
        <f ca="1">IFERROR(__xludf.DUMMYFUNCTION("""COMPUTED_VALUE"""),"davidbmitchell42@hotmail.com")</f>
        <v>davidbmitchell42@hotmail.com</v>
      </c>
      <c r="C16" s="9" t="str">
        <f ca="1">IFERROR(__xludf.DUMMYFUNCTION("""COMPUTED_VALUE"""),"EVERGREEN - UAN Gated Content - Embedded Petition")</f>
        <v>EVERGREEN - UAN Gated Content - Embedded Petition</v>
      </c>
      <c r="D16" s="10">
        <f ca="1">IFERROR(__xludf.DUMMYFUNCTION("""COMPUTED_VALUE"""),45694)</f>
        <v>45694</v>
      </c>
      <c r="E16" s="1" t="str">
        <f ca="1">IFERROR(__xludf.DUMMYFUNCTION("""COMPUTED_VALUE"""),"Venezuela")</f>
        <v>Venezuela</v>
      </c>
      <c r="F16" s="1" t="str">
        <f ca="1">IFERROR(__xludf.DUMMYFUNCTION("""COMPUTED_VALUE"""),"97.24 Venezuela")</f>
        <v>97.24 Venezuela</v>
      </c>
      <c r="G16" s="1" t="str">
        <f ca="1">IFERROR(__xludf.DUMMYFUNCTION("""COMPUTED_VALUE"""),"Freedom of Expression")</f>
        <v>Freedom of Expression</v>
      </c>
      <c r="H16" s="1" t="str">
        <f ca="1">IFERROR(__xludf.DUMMYFUNCTION("""COMPUTED_VALUE"""),"2024")</f>
        <v>2024</v>
      </c>
      <c r="I16" s="1" t="str">
        <f ca="1">IFERROR(__xludf.DUMMYFUNCTION("""COMPUTED_VALUE"""),"Letter")</f>
        <v>Letter</v>
      </c>
    </row>
    <row r="17" spans="1:9" ht="15.75" customHeight="1" x14ac:dyDescent="0.15">
      <c r="A17" s="9">
        <f ca="1">IFERROR(__xludf.DUMMYFUNCTION("""COMPUTED_VALUE"""),28963554)</f>
        <v>28963554</v>
      </c>
      <c r="B17" s="1" t="str">
        <f ca="1">IFERROR(__xludf.DUMMYFUNCTION("""COMPUTED_VALUE"""),"vickilkerr@gmail.com")</f>
        <v>vickilkerr@gmail.com</v>
      </c>
      <c r="C17" s="9" t="str">
        <f ca="1">IFERROR(__xludf.DUMMYFUNCTION("""COMPUTED_VALUE"""),"EVERGREEN - UAN Gated Content - Embedded Petition")</f>
        <v>EVERGREEN - UAN Gated Content - Embedded Petition</v>
      </c>
      <c r="D17" s="10">
        <f ca="1">IFERROR(__xludf.DUMMYFUNCTION("""COMPUTED_VALUE"""),45694)</f>
        <v>45694</v>
      </c>
      <c r="E17" s="1" t="str">
        <f ca="1">IFERROR(__xludf.DUMMYFUNCTION("""COMPUTED_VALUE"""),"Egypt")</f>
        <v>Egypt</v>
      </c>
      <c r="F17" s="1" t="str">
        <f ca="1">IFERROR(__xludf.DUMMYFUNCTION("""COMPUTED_VALUE"""),"Ninth 190.18 Egypt")</f>
        <v>Ninth 190.18 Egypt</v>
      </c>
      <c r="G17" s="1" t="str">
        <f ca="1">IFERROR(__xludf.DUMMYFUNCTION("""COMPUTED_VALUE"""),"Freedom of Expression, Individuals At Risk")</f>
        <v>Freedom of Expression, Individuals At Risk</v>
      </c>
      <c r="H17" s="1" t="str">
        <f ca="1">IFERROR(__xludf.DUMMYFUNCTION("""COMPUTED_VALUE"""),"2024")</f>
        <v>2024</v>
      </c>
      <c r="I17" s="1" t="str">
        <f ca="1">IFERROR(__xludf.DUMMYFUNCTION("""COMPUTED_VALUE"""),"Letter")</f>
        <v>Letter</v>
      </c>
    </row>
    <row r="18" spans="1:9" ht="15.75" customHeight="1" x14ac:dyDescent="0.15">
      <c r="A18" s="9">
        <f ca="1">IFERROR(__xludf.DUMMYFUNCTION("""COMPUTED_VALUE"""),28963554)</f>
        <v>28963554</v>
      </c>
      <c r="B18" s="1" t="str">
        <f ca="1">IFERROR(__xludf.DUMMYFUNCTION("""COMPUTED_VALUE"""),"vickilkerr@gmail.com")</f>
        <v>vickilkerr@gmail.com</v>
      </c>
      <c r="C18" s="9" t="str">
        <f ca="1">IFERROR(__xludf.DUMMYFUNCTION("""COMPUTED_VALUE"""),"EVERGREEN - UAN Gated Content - Embedded Petition")</f>
        <v>EVERGREEN - UAN Gated Content - Embedded Petition</v>
      </c>
      <c r="D18" s="10">
        <f ca="1">IFERROR(__xludf.DUMMYFUNCTION("""COMPUTED_VALUE"""),45638)</f>
        <v>45638</v>
      </c>
      <c r="E18" s="1" t="str">
        <f ca="1">IFERROR(__xludf.DUMMYFUNCTION("""COMPUTED_VALUE"""),"USA")</f>
        <v>USA</v>
      </c>
      <c r="F18" s="1" t="str">
        <f ca="1">IFERROR(__xludf.DUMMYFUNCTION("""COMPUTED_VALUE"""),"105.24 USA")</f>
        <v>105.24 USA</v>
      </c>
      <c r="G18" s="1" t="str">
        <f ca="1">IFERROR(__xludf.DUMMYFUNCTION("""COMPUTED_VALUE"""),"Death Penalty")</f>
        <v>Death Penalty</v>
      </c>
      <c r="H18" s="1" t="str">
        <f ca="1">IFERROR(__xludf.DUMMYFUNCTION("""COMPUTED_VALUE"""),"2024")</f>
        <v>2024</v>
      </c>
      <c r="I18" s="1" t="str">
        <f ca="1">IFERROR(__xludf.DUMMYFUNCTION("""COMPUTED_VALUE"""),"Email")</f>
        <v>Email</v>
      </c>
    </row>
    <row r="19" spans="1:9" ht="15.75" customHeight="1" x14ac:dyDescent="0.15">
      <c r="A19" s="9">
        <f ca="1">IFERROR(__xludf.DUMMYFUNCTION("""COMPUTED_VALUE"""),28963554)</f>
        <v>28963554</v>
      </c>
      <c r="B19" s="1" t="str">
        <f ca="1">IFERROR(__xludf.DUMMYFUNCTION("""COMPUTED_VALUE"""),"vickilkerr@gmail.com")</f>
        <v>vickilkerr@gmail.com</v>
      </c>
      <c r="C19" s="9" t="str">
        <f ca="1">IFERROR(__xludf.DUMMYFUNCTION("""COMPUTED_VALUE"""),"EVERGREEN - UAN Gated Content - Embedded Petition")</f>
        <v>EVERGREEN - UAN Gated Content - Embedded Petition</v>
      </c>
      <c r="D19" s="10">
        <f ca="1">IFERROR(__xludf.DUMMYFUNCTION("""COMPUTED_VALUE"""),45638)</f>
        <v>45638</v>
      </c>
      <c r="E19" s="1" t="str">
        <f ca="1">IFERROR(__xludf.DUMMYFUNCTION("""COMPUTED_VALUE"""),"Egypt")</f>
        <v>Egypt</v>
      </c>
      <c r="F19" s="1" t="str">
        <f ca="1">IFERROR(__xludf.DUMMYFUNCTION("""COMPUTED_VALUE"""),"Ninth 190.18 Egypt")</f>
        <v>Ninth 190.18 Egypt</v>
      </c>
      <c r="G19" s="1" t="str">
        <f ca="1">IFERROR(__xludf.DUMMYFUNCTION("""COMPUTED_VALUE"""),"Freedom of Expression, Individuals At Risk")</f>
        <v>Freedom of Expression, Individuals At Risk</v>
      </c>
      <c r="H19" s="1" t="str">
        <f ca="1">IFERROR(__xludf.DUMMYFUNCTION("""COMPUTED_VALUE"""),"2024")</f>
        <v>2024</v>
      </c>
      <c r="I19" s="1" t="str">
        <f ca="1">IFERROR(__xludf.DUMMYFUNCTION("""COMPUTED_VALUE"""),"Letter")</f>
        <v>Letter</v>
      </c>
    </row>
    <row r="20" spans="1:9" ht="15.75" customHeight="1" x14ac:dyDescent="0.15">
      <c r="A20" s="9">
        <f ca="1">IFERROR(__xludf.DUMMYFUNCTION("""COMPUTED_VALUE"""),28963554)</f>
        <v>28963554</v>
      </c>
      <c r="B20" s="1" t="str">
        <f ca="1">IFERROR(__xludf.DUMMYFUNCTION("""COMPUTED_VALUE"""),"vickilkerr@gmail.com")</f>
        <v>vickilkerr@gmail.com</v>
      </c>
      <c r="C20" s="9" t="str">
        <f ca="1">IFERROR(__xludf.DUMMYFUNCTION("""COMPUTED_VALUE"""),"EVERGREEN - UAN Gated Content - Embedded Petition")</f>
        <v>EVERGREEN - UAN Gated Content - Embedded Petition</v>
      </c>
      <c r="D20" s="10">
        <f ca="1">IFERROR(__xludf.DUMMYFUNCTION("""COMPUTED_VALUE"""),45638)</f>
        <v>45638</v>
      </c>
      <c r="E20" s="1" t="str">
        <f ca="1">IFERROR(__xludf.DUMMYFUNCTION("""COMPUTED_VALUE"""),"USA")</f>
        <v>USA</v>
      </c>
      <c r="F20" s="1" t="str">
        <f ca="1">IFERROR(__xludf.DUMMYFUNCTION("""COMPUTED_VALUE"""),"105.24 USA")</f>
        <v>105.24 USA</v>
      </c>
      <c r="G20" s="1" t="str">
        <f ca="1">IFERROR(__xludf.DUMMYFUNCTION("""COMPUTED_VALUE"""),"Death Penalty")</f>
        <v>Death Penalty</v>
      </c>
      <c r="H20" s="1" t="str">
        <f ca="1">IFERROR(__xludf.DUMMYFUNCTION("""COMPUTED_VALUE"""),"2024")</f>
        <v>2024</v>
      </c>
      <c r="I20" s="1" t="str">
        <f ca="1">IFERROR(__xludf.DUMMYFUNCTION("""COMPUTED_VALUE"""),"Email")</f>
        <v>Email</v>
      </c>
    </row>
    <row r="21" spans="1:9" ht="15.75" customHeight="1" x14ac:dyDescent="0.15">
      <c r="A21" s="9">
        <f ca="1">IFERROR(__xludf.DUMMYFUNCTION("""COMPUTED_VALUE"""),28963554)</f>
        <v>28963554</v>
      </c>
      <c r="B21" s="1" t="str">
        <f ca="1">IFERROR(__xludf.DUMMYFUNCTION("""COMPUTED_VALUE"""),"vickilkerr@gmail.com")</f>
        <v>vickilkerr@gmail.com</v>
      </c>
      <c r="C21" s="9" t="str">
        <f ca="1">IFERROR(__xludf.DUMMYFUNCTION("""COMPUTED_VALUE"""),"EVERGREEN - UAN Gated Content - Embedded Petition")</f>
        <v>EVERGREEN - UAN Gated Content - Embedded Petition</v>
      </c>
      <c r="D21" s="10">
        <f ca="1">IFERROR(__xludf.DUMMYFUNCTION("""COMPUTED_VALUE"""),45638)</f>
        <v>45638</v>
      </c>
      <c r="E21" s="1" t="str">
        <f ca="1">IFERROR(__xludf.DUMMYFUNCTION("""COMPUTED_VALUE"""),"China")</f>
        <v>China</v>
      </c>
      <c r="F21" s="1" t="str">
        <f ca="1">IFERROR(__xludf.DUMMYFUNCTION("""COMPUTED_VALUE"""),"98.24 China")</f>
        <v>98.24 China</v>
      </c>
      <c r="G21" s="1" t="str">
        <f ca="1">IFERROR(__xludf.DUMMYFUNCTION("""COMPUTED_VALUE"""),"Freedom of Expression, Individuals At Risk")</f>
        <v>Freedom of Expression, Individuals At Risk</v>
      </c>
      <c r="H21" s="1" t="str">
        <f ca="1">IFERROR(__xludf.DUMMYFUNCTION("""COMPUTED_VALUE"""),"2024")</f>
        <v>2024</v>
      </c>
      <c r="I21" s="1" t="str">
        <f ca="1">IFERROR(__xludf.DUMMYFUNCTION("""COMPUTED_VALUE"""),"Letter")</f>
        <v>Letter</v>
      </c>
    </row>
    <row r="22" spans="1:9" ht="15.75" customHeight="1" x14ac:dyDescent="0.15">
      <c r="A22" s="9">
        <f ca="1">IFERROR(__xludf.DUMMYFUNCTION("""COMPUTED_VALUE"""),28963554)</f>
        <v>28963554</v>
      </c>
      <c r="B22" s="1" t="str">
        <f ca="1">IFERROR(__xludf.DUMMYFUNCTION("""COMPUTED_VALUE"""),"vickilkerr@gmail.com")</f>
        <v>vickilkerr@gmail.com</v>
      </c>
      <c r="C22" s="9" t="str">
        <f ca="1">IFERROR(__xludf.DUMMYFUNCTION("""COMPUTED_VALUE"""),"EVERGREEN - UAN Gated Content - Embedded Petition")</f>
        <v>EVERGREEN - UAN Gated Content - Embedded Petition</v>
      </c>
      <c r="D22" s="10">
        <f ca="1">IFERROR(__xludf.DUMMYFUNCTION("""COMPUTED_VALUE"""),45638)</f>
        <v>45638</v>
      </c>
      <c r="E22" s="1" t="str">
        <f ca="1">IFERROR(__xludf.DUMMYFUNCTION("""COMPUTED_VALUE"""),"Tunisia")</f>
        <v>Tunisia</v>
      </c>
      <c r="F22" s="1" t="str">
        <f ca="1">IFERROR(__xludf.DUMMYFUNCTION("""COMPUTED_VALUE"""),"8.25 Tunisia")</f>
        <v>8.25 Tunisia</v>
      </c>
      <c r="G22" s="1" t="str">
        <f ca="1">IFERROR(__xludf.DUMMYFUNCTION("""COMPUTED_VALUE"""),"Freedom of Expression")</f>
        <v>Freedom of Expression</v>
      </c>
      <c r="H22" s="1" t="str">
        <f ca="1">IFERROR(__xludf.DUMMYFUNCTION("""COMPUTED_VALUE"""),"2025")</f>
        <v>2025</v>
      </c>
      <c r="I22" s="1" t="str">
        <f ca="1">IFERROR(__xludf.DUMMYFUNCTION("""COMPUTED_VALUE"""),"Email")</f>
        <v>Email</v>
      </c>
    </row>
    <row r="23" spans="1:9" ht="15.75" customHeight="1" x14ac:dyDescent="0.15">
      <c r="A23" s="9">
        <f ca="1">IFERROR(__xludf.DUMMYFUNCTION("""COMPUTED_VALUE"""),28963554)</f>
        <v>28963554</v>
      </c>
      <c r="B23" s="1" t="str">
        <f ca="1">IFERROR(__xludf.DUMMYFUNCTION("""COMPUTED_VALUE"""),"vickilkerr@gmail.com")</f>
        <v>vickilkerr@gmail.com</v>
      </c>
      <c r="C23" s="9" t="str">
        <f ca="1">IFERROR(__xludf.DUMMYFUNCTION("""COMPUTED_VALUE"""),"EVERGREEN - UAN Gated Content - Embedded Petition")</f>
        <v>EVERGREEN - UAN Gated Content - Embedded Petition</v>
      </c>
      <c r="D23" s="10">
        <f ca="1">IFERROR(__xludf.DUMMYFUNCTION("""COMPUTED_VALUE"""),45638)</f>
        <v>45638</v>
      </c>
      <c r="E23" s="1" t="str">
        <f ca="1">IFERROR(__xludf.DUMMYFUNCTION("""COMPUTED_VALUE"""),"Egypt")</f>
        <v>Egypt</v>
      </c>
      <c r="F23" s="1" t="str">
        <f ca="1">IFERROR(__xludf.DUMMYFUNCTION("""COMPUTED_VALUE"""),"Second 80.23 Egypt")</f>
        <v>Second 80.23 Egypt</v>
      </c>
      <c r="G23" s="1" t="str">
        <f ca="1">IFERROR(__xludf.DUMMYFUNCTION("""COMPUTED_VALUE"""),"Health, Individuals At Risk")</f>
        <v>Health, Individuals At Risk</v>
      </c>
      <c r="H23" s="1" t="str">
        <f ca="1">IFERROR(__xludf.DUMMYFUNCTION("""COMPUTED_VALUE"""),"2025")</f>
        <v>2025</v>
      </c>
      <c r="I23" s="1" t="str">
        <f ca="1">IFERROR(__xludf.DUMMYFUNCTION("""COMPUTED_VALUE"""),"Email")</f>
        <v>Email</v>
      </c>
    </row>
    <row r="24" spans="1:9" ht="15.75" customHeight="1" x14ac:dyDescent="0.15">
      <c r="A24" s="9">
        <f ca="1">IFERROR(__xludf.DUMMYFUNCTION("""COMPUTED_VALUE"""),28985034)</f>
        <v>28985034</v>
      </c>
      <c r="B24" s="1" t="str">
        <f ca="1">IFERROR(__xludf.DUMMYFUNCTION("""COMPUTED_VALUE"""),"kpettitdc@yahoo.com")</f>
        <v>kpettitdc@yahoo.com</v>
      </c>
      <c r="C24" s="9" t="str">
        <f ca="1">IFERROR(__xludf.DUMMYFUNCTION("""COMPUTED_VALUE"""),"EVERGREEN - UAN Gated Content - Embedded Petition")</f>
        <v>EVERGREEN - UAN Gated Content - Embedded Petition</v>
      </c>
      <c r="D24" s="10">
        <f ca="1">IFERROR(__xludf.DUMMYFUNCTION("""COMPUTED_VALUE"""),45700)</f>
        <v>45700</v>
      </c>
      <c r="E24" s="1" t="str">
        <f ca="1">IFERROR(__xludf.DUMMYFUNCTION("""COMPUTED_VALUE"""),"Iran")</f>
        <v>Iran</v>
      </c>
      <c r="F24" s="1" t="str">
        <f ca="1">IFERROR(__xludf.DUMMYFUNCTION("""COMPUTED_VALUE"""),"10.25 Iran")</f>
        <v>10.25 Iran</v>
      </c>
      <c r="G24" s="1" t="str">
        <f ca="1">IFERROR(__xludf.DUMMYFUNCTION("""COMPUTED_VALUE"""),"Death Penalty, Individuals At Risk")</f>
        <v>Death Penalty, Individuals At Risk</v>
      </c>
      <c r="H24" s="1" t="str">
        <f ca="1">IFERROR(__xludf.DUMMYFUNCTION("""COMPUTED_VALUE"""),"2025")</f>
        <v>2025</v>
      </c>
      <c r="I24" s="1" t="str">
        <f ca="1">IFERROR(__xludf.DUMMYFUNCTION("""COMPUTED_VALUE"""),"Email")</f>
        <v>Email</v>
      </c>
    </row>
    <row r="25" spans="1:9" ht="15.75" customHeight="1" x14ac:dyDescent="0.15">
      <c r="A25" s="9">
        <f ca="1">IFERROR(__xludf.DUMMYFUNCTION("""COMPUTED_VALUE"""),28985034)</f>
        <v>28985034</v>
      </c>
      <c r="B25" s="1" t="str">
        <f ca="1">IFERROR(__xludf.DUMMYFUNCTION("""COMPUTED_VALUE"""),"kpettitdc@yahoo.com")</f>
        <v>kpettitdc@yahoo.com</v>
      </c>
      <c r="C25" s="9" t="str">
        <f ca="1">IFERROR(__xludf.DUMMYFUNCTION("""COMPUTED_VALUE"""),"EVERGREEN - UAN Gated Content - Embedded Petition")</f>
        <v>EVERGREEN - UAN Gated Content - Embedded Petition</v>
      </c>
      <c r="D25" s="10">
        <f ca="1">IFERROR(__xludf.DUMMYFUNCTION("""COMPUTED_VALUE"""),45700)</f>
        <v>45700</v>
      </c>
      <c r="E25" s="1" t="str">
        <f ca="1">IFERROR(__xludf.DUMMYFUNCTION("""COMPUTED_VALUE"""),"Niger")</f>
        <v>Niger</v>
      </c>
      <c r="F25" s="1" t="str">
        <f ca="1">IFERROR(__xludf.DUMMYFUNCTION("""COMPUTED_VALUE"""),"103.24 Niger")</f>
        <v>103.24 Niger</v>
      </c>
      <c r="G25" s="1" t="str">
        <f ca="1">IFERROR(__xludf.DUMMYFUNCTION("""COMPUTED_VALUE"""),"Freedom of Expression, Human Rights Defenders")</f>
        <v>Freedom of Expression, Human Rights Defenders</v>
      </c>
      <c r="H25" s="1" t="str">
        <f ca="1">IFERROR(__xludf.DUMMYFUNCTION("""COMPUTED_VALUE"""),"2024")</f>
        <v>2024</v>
      </c>
      <c r="I25" s="1" t="str">
        <f ca="1">IFERROR(__xludf.DUMMYFUNCTION("""COMPUTED_VALUE"""),"Email")</f>
        <v>Email</v>
      </c>
    </row>
    <row r="26" spans="1:9" ht="15.75" customHeight="1" x14ac:dyDescent="0.15">
      <c r="A26" s="9">
        <f ca="1">IFERROR(__xludf.DUMMYFUNCTION("""COMPUTED_VALUE"""),28985034)</f>
        <v>28985034</v>
      </c>
      <c r="B26" s="1" t="str">
        <f ca="1">IFERROR(__xludf.DUMMYFUNCTION("""COMPUTED_VALUE"""),"kpettitdc@yahoo.com")</f>
        <v>kpettitdc@yahoo.com</v>
      </c>
      <c r="C26" s="9" t="str">
        <f ca="1">IFERROR(__xludf.DUMMYFUNCTION("""COMPUTED_VALUE"""),"EVERGREEN - UAN Gated Content - Embedded Petition")</f>
        <v>EVERGREEN - UAN Gated Content - Embedded Petition</v>
      </c>
      <c r="D26" s="10">
        <f ca="1">IFERROR(__xludf.DUMMYFUNCTION("""COMPUTED_VALUE"""),45700)</f>
        <v>45700</v>
      </c>
      <c r="E26" s="1" t="str">
        <f ca="1">IFERROR(__xludf.DUMMYFUNCTION("""COMPUTED_VALUE"""),"Tunisia")</f>
        <v>Tunisia</v>
      </c>
      <c r="F26" s="1" t="str">
        <f ca="1">IFERROR(__xludf.DUMMYFUNCTION("""COMPUTED_VALUE"""),"Second 76.24 Tunisia")</f>
        <v>Second 76.24 Tunisia</v>
      </c>
      <c r="G26" s="1" t="str">
        <f ca="1">IFERROR(__xludf.DUMMYFUNCTION("""COMPUTED_VALUE"""),"Freedom of Expression, Human Rights Defenders")</f>
        <v>Freedom of Expression, Human Rights Defenders</v>
      </c>
      <c r="H26" s="1" t="str">
        <f ca="1">IFERROR(__xludf.DUMMYFUNCTION("""COMPUTED_VALUE"""),"2025")</f>
        <v>2025</v>
      </c>
      <c r="I26" s="1" t="str">
        <f ca="1">IFERROR(__xludf.DUMMYFUNCTION("""COMPUTED_VALUE"""),"Email")</f>
        <v>Email</v>
      </c>
    </row>
    <row r="27" spans="1:9" ht="15.75" customHeight="1" x14ac:dyDescent="0.15">
      <c r="A27" s="9">
        <f ca="1">IFERROR(__xludf.DUMMYFUNCTION("""COMPUTED_VALUE"""),28985034)</f>
        <v>28985034</v>
      </c>
      <c r="B27" s="1" t="str">
        <f ca="1">IFERROR(__xludf.DUMMYFUNCTION("""COMPUTED_VALUE"""),"kpettitdc@yahoo.com")</f>
        <v>kpettitdc@yahoo.com</v>
      </c>
      <c r="C27" s="9" t="str">
        <f ca="1">IFERROR(__xludf.DUMMYFUNCTION("""COMPUTED_VALUE"""),"EVERGREEN - UAN Gated Content - Embedded Petition")</f>
        <v>EVERGREEN - UAN Gated Content - Embedded Petition</v>
      </c>
      <c r="D27" s="10">
        <f ca="1">IFERROR(__xludf.DUMMYFUNCTION("""COMPUTED_VALUE"""),45700)</f>
        <v>45700</v>
      </c>
      <c r="E27" s="1" t="str">
        <f ca="1">IFERROR(__xludf.DUMMYFUNCTION("""COMPUTED_VALUE"""),"Tunisia")</f>
        <v>Tunisia</v>
      </c>
      <c r="F27" s="1" t="str">
        <f ca="1">IFERROR(__xludf.DUMMYFUNCTION("""COMPUTED_VALUE"""),"Second 76.24 Tunisia")</f>
        <v>Second 76.24 Tunisia</v>
      </c>
      <c r="G27" s="1" t="str">
        <f ca="1">IFERROR(__xludf.DUMMYFUNCTION("""COMPUTED_VALUE"""),"Freedom of Expression, Human Rights Defenders")</f>
        <v>Freedom of Expression, Human Rights Defenders</v>
      </c>
      <c r="H27" s="1" t="str">
        <f ca="1">IFERROR(__xludf.DUMMYFUNCTION("""COMPUTED_VALUE"""),"2025")</f>
        <v>2025</v>
      </c>
      <c r="I27" s="1" t="str">
        <f ca="1">IFERROR(__xludf.DUMMYFUNCTION("""COMPUTED_VALUE"""),"Email")</f>
        <v>Email</v>
      </c>
    </row>
    <row r="28" spans="1:9" ht="15.75" customHeight="1" x14ac:dyDescent="0.15">
      <c r="A28" s="9">
        <f ca="1">IFERROR(__xludf.DUMMYFUNCTION("""COMPUTED_VALUE"""),28989864)</f>
        <v>28989864</v>
      </c>
      <c r="B28" s="1" t="str">
        <f ca="1">IFERROR(__xludf.DUMMYFUNCTION("""COMPUTED_VALUE"""),"tompyrek@hotmail.com")</f>
        <v>tompyrek@hotmail.com</v>
      </c>
      <c r="C28" s="9" t="str">
        <f ca="1">IFERROR(__xludf.DUMMYFUNCTION("""COMPUTED_VALUE"""),"EVERGREEN - UAN Gated Content - Embedded Petition")</f>
        <v>EVERGREEN - UAN Gated Content - Embedded Petition</v>
      </c>
      <c r="D28" s="10">
        <f ca="1">IFERROR(__xludf.DUMMYFUNCTION("""COMPUTED_VALUE"""),45704)</f>
        <v>45704</v>
      </c>
      <c r="E28" s="1" t="str">
        <f ca="1">IFERROR(__xludf.DUMMYFUNCTION("""COMPUTED_VALUE"""),"Azerbaijan")</f>
        <v>Azerbaijan</v>
      </c>
      <c r="F28" s="1" t="str">
        <f ca="1">IFERROR(__xludf.DUMMYFUNCTION("""COMPUTED_VALUE"""),"2.25 Azerbaijan")</f>
        <v>2.25 Azerbaijan</v>
      </c>
      <c r="G28" s="1" t="str">
        <f ca="1">IFERROR(__xludf.DUMMYFUNCTION("""COMPUTED_VALUE"""),"Freedom of Expression, Human Rights Defenders")</f>
        <v>Freedom of Expression, Human Rights Defenders</v>
      </c>
      <c r="H28" s="1" t="str">
        <f ca="1">IFERROR(__xludf.DUMMYFUNCTION("""COMPUTED_VALUE"""),"2025")</f>
        <v>2025</v>
      </c>
      <c r="I28" s="1" t="str">
        <f ca="1">IFERROR(__xludf.DUMMYFUNCTION("""COMPUTED_VALUE"""),"Email")</f>
        <v>Email</v>
      </c>
    </row>
    <row r="29" spans="1:9" ht="15.75" customHeight="1" x14ac:dyDescent="0.15">
      <c r="A29" s="9">
        <f ca="1">IFERROR(__xludf.DUMMYFUNCTION("""COMPUTED_VALUE"""),28989864)</f>
        <v>28989864</v>
      </c>
      <c r="B29" s="1" t="str">
        <f ca="1">IFERROR(__xludf.DUMMYFUNCTION("""COMPUTED_VALUE"""),"tompyrek@hotmail.com")</f>
        <v>tompyrek@hotmail.com</v>
      </c>
      <c r="C29" s="9" t="str">
        <f ca="1">IFERROR(__xludf.DUMMYFUNCTION("""COMPUTED_VALUE"""),"EVERGREEN - UAN Gated Content - Embedded Petition")</f>
        <v>EVERGREEN - UAN Gated Content - Embedded Petition</v>
      </c>
      <c r="D29" s="10">
        <f ca="1">IFERROR(__xludf.DUMMYFUNCTION("""COMPUTED_VALUE"""),45694)</f>
        <v>45694</v>
      </c>
      <c r="E29" s="1" t="str">
        <f ca="1">IFERROR(__xludf.DUMMYFUNCTION("""COMPUTED_VALUE"""),"Venezuela")</f>
        <v>Venezuela</v>
      </c>
      <c r="F29" s="1" t="str">
        <f ca="1">IFERROR(__xludf.DUMMYFUNCTION("""COMPUTED_VALUE"""),"1.25 Venezuela")</f>
        <v>1.25 Venezuela</v>
      </c>
      <c r="G29" s="1" t="str">
        <f ca="1">IFERROR(__xludf.DUMMYFUNCTION("""COMPUTED_VALUE"""),"Human Rights Defenders, Individuals At Risk")</f>
        <v>Human Rights Defenders, Individuals At Risk</v>
      </c>
      <c r="H29" s="1" t="str">
        <f ca="1">IFERROR(__xludf.DUMMYFUNCTION("""COMPUTED_VALUE"""),"2025")</f>
        <v>2025</v>
      </c>
      <c r="I29" s="1" t="str">
        <f ca="1">IFERROR(__xludf.DUMMYFUNCTION("""COMPUTED_VALUE"""),"Letter")</f>
        <v>Letter</v>
      </c>
    </row>
    <row r="30" spans="1:9" ht="15.75" customHeight="1" x14ac:dyDescent="0.15">
      <c r="A30" s="9">
        <f ca="1">IFERROR(__xludf.DUMMYFUNCTION("""COMPUTED_VALUE"""),29001552)</f>
        <v>29001552</v>
      </c>
      <c r="B30" s="1" t="str">
        <f ca="1">IFERROR(__xludf.DUMMYFUNCTION("""COMPUTED_VALUE"""),"alessandra@alessandracolfi.com")</f>
        <v>alessandra@alessandracolfi.com</v>
      </c>
      <c r="C30" s="9" t="str">
        <f ca="1">IFERROR(__xludf.DUMMYFUNCTION("""COMPUTED_VALUE"""),"EVERGREEN - UAN Gated Content - Embedded Petition")</f>
        <v>EVERGREEN - UAN Gated Content - Embedded Petition</v>
      </c>
      <c r="D30" s="10">
        <f ca="1">IFERROR(__xludf.DUMMYFUNCTION("""COMPUTED_VALUE"""),45693)</f>
        <v>45693</v>
      </c>
      <c r="E30" s="1" t="str">
        <f ca="1">IFERROR(__xludf.DUMMYFUNCTION("""COMPUTED_VALUE"""),"Israel and Occupied Palestinian Territories")</f>
        <v>Israel and Occupied Palestinian Territories</v>
      </c>
      <c r="F30" s="1" t="str">
        <f ca="1">IFERROR(__xludf.DUMMYFUNCTION("""COMPUTED_VALUE"""),"3.25 IOPT")</f>
        <v>3.25 IOPT</v>
      </c>
      <c r="G30" s="1" t="str">
        <f ca="1">IFERROR(__xludf.DUMMYFUNCTION("""COMPUTED_VALUE"""),"Freedom of Expression, Individuals At Risk")</f>
        <v>Freedom of Expression, Individuals At Risk</v>
      </c>
      <c r="H30" s="1" t="str">
        <f ca="1">IFERROR(__xludf.DUMMYFUNCTION("""COMPUTED_VALUE"""),"2025")</f>
        <v>2025</v>
      </c>
      <c r="I30" s="1" t="str">
        <f ca="1">IFERROR(__xludf.DUMMYFUNCTION("""COMPUTED_VALUE"""),"Email")</f>
        <v>Email</v>
      </c>
    </row>
    <row r="31" spans="1:9" ht="15.75" customHeight="1" x14ac:dyDescent="0.15">
      <c r="A31" s="9">
        <f ca="1">IFERROR(__xludf.DUMMYFUNCTION("""COMPUTED_VALUE"""),29001552)</f>
        <v>29001552</v>
      </c>
      <c r="B31" s="1" t="str">
        <f ca="1">IFERROR(__xludf.DUMMYFUNCTION("""COMPUTED_VALUE"""),"alessandra@alessandracolfi.com")</f>
        <v>alessandra@alessandracolfi.com</v>
      </c>
      <c r="C31" s="9" t="str">
        <f ca="1">IFERROR(__xludf.DUMMYFUNCTION("""COMPUTED_VALUE"""),"EVERGREEN - UAN Gated Content - Embedded Petition")</f>
        <v>EVERGREEN - UAN Gated Content - Embedded Petition</v>
      </c>
      <c r="D31" s="10">
        <f ca="1">IFERROR(__xludf.DUMMYFUNCTION("""COMPUTED_VALUE"""),45693)</f>
        <v>45693</v>
      </c>
      <c r="E31" s="1" t="str">
        <f ca="1">IFERROR(__xludf.DUMMYFUNCTION("""COMPUTED_VALUE"""),"USA")</f>
        <v>USA</v>
      </c>
      <c r="F31" s="1" t="str">
        <f ca="1">IFERROR(__xludf.DUMMYFUNCTION("""COMPUTED_VALUE"""),"4.25 USA")</f>
        <v>4.25 USA</v>
      </c>
      <c r="G31" s="1" t="str">
        <f ca="1">IFERROR(__xludf.DUMMYFUNCTION("""COMPUTED_VALUE"""),"Individuals At Risk, Refugee and Migrant Rights")</f>
        <v>Individuals At Risk, Refugee and Migrant Rights</v>
      </c>
      <c r="H31" s="1" t="str">
        <f ca="1">IFERROR(__xludf.DUMMYFUNCTION("""COMPUTED_VALUE"""),"2025")</f>
        <v>2025</v>
      </c>
      <c r="I31" s="1" t="str">
        <f ca="1">IFERROR(__xludf.DUMMYFUNCTION("""COMPUTED_VALUE"""),"Letter")</f>
        <v>Letter</v>
      </c>
    </row>
    <row r="32" spans="1:9" ht="15.75" customHeight="1" x14ac:dyDescent="0.15">
      <c r="A32" s="9">
        <f ca="1">IFERROR(__xludf.DUMMYFUNCTION("""COMPUTED_VALUE"""),29001552)</f>
        <v>29001552</v>
      </c>
      <c r="B32" s="1" t="str">
        <f ca="1">IFERROR(__xludf.DUMMYFUNCTION("""COMPUTED_VALUE"""),"alessandra@alessandracolfi.com")</f>
        <v>alessandra@alessandracolfi.com</v>
      </c>
      <c r="C32" s="9" t="str">
        <f ca="1">IFERROR(__xludf.DUMMYFUNCTION("""COMPUTED_VALUE"""),"EVERGREEN - UAN Gated Content - Embedded Petition")</f>
        <v>EVERGREEN - UAN Gated Content - Embedded Petition</v>
      </c>
      <c r="D32" s="10">
        <f ca="1">IFERROR(__xludf.DUMMYFUNCTION("""COMPUTED_VALUE"""),45680)</f>
        <v>45680</v>
      </c>
      <c r="E32" s="1" t="str">
        <f ca="1">IFERROR(__xludf.DUMMYFUNCTION("""COMPUTED_VALUE"""),"Tunisia")</f>
        <v>Tunisia</v>
      </c>
      <c r="F32" s="1" t="str">
        <f ca="1">IFERROR(__xludf.DUMMYFUNCTION("""COMPUTED_VALUE"""),"Second 76.24 Tunisia")</f>
        <v>Second 76.24 Tunisia</v>
      </c>
      <c r="G32" s="1" t="str">
        <f ca="1">IFERROR(__xludf.DUMMYFUNCTION("""COMPUTED_VALUE"""),"Freedom of Expression, Human Rights Defenders")</f>
        <v>Freedom of Expression, Human Rights Defenders</v>
      </c>
      <c r="H32" s="1" t="str">
        <f ca="1">IFERROR(__xludf.DUMMYFUNCTION("""COMPUTED_VALUE"""),"2025")</f>
        <v>2025</v>
      </c>
      <c r="I32" s="1" t="str">
        <f ca="1">IFERROR(__xludf.DUMMYFUNCTION("""COMPUTED_VALUE"""),"Email")</f>
        <v>Email</v>
      </c>
    </row>
    <row r="33" spans="1:9" ht="15.75" customHeight="1" x14ac:dyDescent="0.15">
      <c r="A33" s="9">
        <f ca="1">IFERROR(__xludf.DUMMYFUNCTION("""COMPUTED_VALUE"""),29001552)</f>
        <v>29001552</v>
      </c>
      <c r="B33" s="1" t="str">
        <f ca="1">IFERROR(__xludf.DUMMYFUNCTION("""COMPUTED_VALUE"""),"alessandra@alessandracolfi.com")</f>
        <v>alessandra@alessandracolfi.com</v>
      </c>
      <c r="C33" s="9" t="str">
        <f ca="1">IFERROR(__xludf.DUMMYFUNCTION("""COMPUTED_VALUE"""),"EVERGREEN - UAN Gated Content - Embedded Petition")</f>
        <v>EVERGREEN - UAN Gated Content - Embedded Petition</v>
      </c>
      <c r="D33" s="10">
        <f ca="1">IFERROR(__xludf.DUMMYFUNCTION("""COMPUTED_VALUE"""),45677)</f>
        <v>45677</v>
      </c>
      <c r="E33" s="1" t="str">
        <f ca="1">IFERROR(__xludf.DUMMYFUNCTION("""COMPUTED_VALUE"""),"USA")</f>
        <v>USA</v>
      </c>
      <c r="F33" s="1" t="str">
        <f ca="1">IFERROR(__xludf.DUMMYFUNCTION("""COMPUTED_VALUE"""),"4.25 USA")</f>
        <v>4.25 USA</v>
      </c>
      <c r="G33" s="1" t="str">
        <f ca="1">IFERROR(__xludf.DUMMYFUNCTION("""COMPUTED_VALUE"""),"Individuals At Risk, Refugee and Migrant Rights")</f>
        <v>Individuals At Risk, Refugee and Migrant Rights</v>
      </c>
      <c r="H33" s="1" t="str">
        <f ca="1">IFERROR(__xludf.DUMMYFUNCTION("""COMPUTED_VALUE"""),"2025")</f>
        <v>2025</v>
      </c>
      <c r="I33" s="1" t="str">
        <f ca="1">IFERROR(__xludf.DUMMYFUNCTION("""COMPUTED_VALUE"""),"Letter")</f>
        <v>Letter</v>
      </c>
    </row>
    <row r="34" spans="1:9" ht="15.75" customHeight="1" x14ac:dyDescent="0.15">
      <c r="A34" s="9">
        <f ca="1">IFERROR(__xludf.DUMMYFUNCTION("""COMPUTED_VALUE"""),29002720)</f>
        <v>29002720</v>
      </c>
      <c r="B34" s="1" t="str">
        <f ca="1">IFERROR(__xludf.DUMMYFUNCTION("""COMPUTED_VALUE"""),"marnah@mindspring.com")</f>
        <v>marnah@mindspring.com</v>
      </c>
      <c r="C34" s="9" t="str">
        <f ca="1">IFERROR(__xludf.DUMMYFUNCTION("""COMPUTED_VALUE"""),"EVERGREEN - UAN Gated Content - Embedded Petition")</f>
        <v>EVERGREEN - UAN Gated Content - Embedded Petition</v>
      </c>
      <c r="D34" s="10">
        <f ca="1">IFERROR(__xludf.DUMMYFUNCTION("""COMPUTED_VALUE"""),45694)</f>
        <v>45694</v>
      </c>
      <c r="E34" s="1" t="str">
        <f ca="1">IFERROR(__xludf.DUMMYFUNCTION("""COMPUTED_VALUE"""),"Iran")</f>
        <v>Iran</v>
      </c>
      <c r="F34" s="1" t="str">
        <f ca="1">IFERROR(__xludf.DUMMYFUNCTION("""COMPUTED_VALUE"""),"Seventh 103.22 Iran")</f>
        <v>Seventh 103.22 Iran</v>
      </c>
      <c r="G34" s="1" t="str">
        <f ca="1">IFERROR(__xludf.DUMMYFUNCTION("""COMPUTED_VALUE"""),"Death Penalty, Freedom of Expression, Individuals At Risk")</f>
        <v>Death Penalty, Freedom of Expression, Individuals At Risk</v>
      </c>
      <c r="H34" s="1" t="str">
        <f ca="1">IFERROR(__xludf.DUMMYFUNCTION("""COMPUTED_VALUE"""),"2024")</f>
        <v>2024</v>
      </c>
      <c r="I34" s="1" t="str">
        <f ca="1">IFERROR(__xludf.DUMMYFUNCTION("""COMPUTED_VALUE"""),"Email")</f>
        <v>Email</v>
      </c>
    </row>
    <row r="35" spans="1:9" ht="15.75" customHeight="1" x14ac:dyDescent="0.15">
      <c r="A35" s="9">
        <f ca="1">IFERROR(__xludf.DUMMYFUNCTION("""COMPUTED_VALUE"""),29013507)</f>
        <v>29013507</v>
      </c>
      <c r="B35" s="1" t="str">
        <f ca="1">IFERROR(__xludf.DUMMYFUNCTION("""COMPUTED_VALUE"""),"almower@earthlink.net")</f>
        <v>almower@earthlink.net</v>
      </c>
      <c r="C35" s="9" t="str">
        <f ca="1">IFERROR(__xludf.DUMMYFUNCTION("""COMPUTED_VALUE"""),"EVERGREEN - UAN Gated Content - Embedded Petition")</f>
        <v>EVERGREEN - UAN Gated Content - Embedded Petition</v>
      </c>
      <c r="D35" s="10">
        <f ca="1">IFERROR(__xludf.DUMMYFUNCTION("""COMPUTED_VALUE"""),45678)</f>
        <v>45678</v>
      </c>
      <c r="E35" s="1" t="str">
        <f ca="1">IFERROR(__xludf.DUMMYFUNCTION("""COMPUTED_VALUE"""),"Egypt")</f>
        <v>Egypt</v>
      </c>
      <c r="F35" s="1" t="str">
        <f ca="1">IFERROR(__xludf.DUMMYFUNCTION("""COMPUTED_VALUE"""),"Third 73.23 Egypt")</f>
        <v>Third 73.23 Egypt</v>
      </c>
      <c r="G35" s="1" t="str">
        <f ca="1">IFERROR(__xludf.DUMMYFUNCTION("""COMPUTED_VALUE"""),"Individuals At Risk")</f>
        <v>Individuals At Risk</v>
      </c>
      <c r="H35" s="1" t="str">
        <f ca="1">IFERROR(__xludf.DUMMYFUNCTION("""COMPUTED_VALUE"""),"2024")</f>
        <v>2024</v>
      </c>
      <c r="I35" s="1" t="str">
        <f ca="1">IFERROR(__xludf.DUMMYFUNCTION("""COMPUTED_VALUE"""),"Email")</f>
        <v>Email</v>
      </c>
    </row>
    <row r="36" spans="1:9" ht="15.75" customHeight="1" x14ac:dyDescent="0.15">
      <c r="A36" s="9">
        <f ca="1">IFERROR(__xludf.DUMMYFUNCTION("""COMPUTED_VALUE"""),29013507)</f>
        <v>29013507</v>
      </c>
      <c r="B36" s="1" t="str">
        <f ca="1">IFERROR(__xludf.DUMMYFUNCTION("""COMPUTED_VALUE"""),"almower@earthlink.net")</f>
        <v>almower@earthlink.net</v>
      </c>
      <c r="C36" s="9" t="str">
        <f ca="1">IFERROR(__xludf.DUMMYFUNCTION("""COMPUTED_VALUE"""),"EVERGREEN - UAN Gated Content - Embedded Petition")</f>
        <v>EVERGREEN - UAN Gated Content - Embedded Petition</v>
      </c>
      <c r="D36" s="10">
        <f ca="1">IFERROR(__xludf.DUMMYFUNCTION("""COMPUTED_VALUE"""),45674)</f>
        <v>45674</v>
      </c>
      <c r="E36" s="1" t="str">
        <f ca="1">IFERROR(__xludf.DUMMYFUNCTION("""COMPUTED_VALUE"""),"Niger")</f>
        <v>Niger</v>
      </c>
      <c r="F36" s="1" t="str">
        <f ca="1">IFERROR(__xludf.DUMMYFUNCTION("""COMPUTED_VALUE"""),"103.24 Niger")</f>
        <v>103.24 Niger</v>
      </c>
      <c r="G36" s="1" t="str">
        <f ca="1">IFERROR(__xludf.DUMMYFUNCTION("""COMPUTED_VALUE"""),"Freedom of Expression, Human Rights Defenders")</f>
        <v>Freedom of Expression, Human Rights Defenders</v>
      </c>
      <c r="H36" s="1" t="str">
        <f ca="1">IFERROR(__xludf.DUMMYFUNCTION("""COMPUTED_VALUE"""),"2024")</f>
        <v>2024</v>
      </c>
      <c r="I36" s="1" t="str">
        <f ca="1">IFERROR(__xludf.DUMMYFUNCTION("""COMPUTED_VALUE"""),"Email")</f>
        <v>Email</v>
      </c>
    </row>
    <row r="37" spans="1:9" ht="15.75" customHeight="1" x14ac:dyDescent="0.15">
      <c r="A37" s="9">
        <f ca="1">IFERROR(__xludf.DUMMYFUNCTION("""COMPUTED_VALUE"""),29022130)</f>
        <v>29022130</v>
      </c>
      <c r="B37" s="1" t="str">
        <f ca="1">IFERROR(__xludf.DUMMYFUNCTION("""COMPUTED_VALUE"""),"meliflaw@gmail.com")</f>
        <v>meliflaw@gmail.com</v>
      </c>
      <c r="C37" s="9" t="str">
        <f ca="1">IFERROR(__xludf.DUMMYFUNCTION("""COMPUTED_VALUE"""),"EVERGREEN - Website Email Capture Form - UAN Pre-Footer")</f>
        <v>EVERGREEN - Website Email Capture Form - UAN Pre-Footer</v>
      </c>
      <c r="D37" s="10">
        <f ca="1">IFERROR(__xludf.DUMMYFUNCTION("""COMPUTED_VALUE"""),45704)</f>
        <v>45704</v>
      </c>
      <c r="E37" s="1" t="str">
        <f ca="1">IFERROR(__xludf.DUMMYFUNCTION("""COMPUTED_VALUE"""),"Tunisia")</f>
        <v>Tunisia</v>
      </c>
      <c r="F37" s="1" t="str">
        <f ca="1">IFERROR(__xludf.DUMMYFUNCTION("""COMPUTED_VALUE"""),"Second 43.24 Tunisia")</f>
        <v>Second 43.24 Tunisia</v>
      </c>
      <c r="G37" s="1" t="str">
        <f ca="1">IFERROR(__xludf.DUMMYFUNCTION("""COMPUTED_VALUE"""),"Freedom of Expression, Individuals At Risk")</f>
        <v>Freedom of Expression, Individuals At Risk</v>
      </c>
      <c r="H37" s="1" t="str">
        <f ca="1">IFERROR(__xludf.DUMMYFUNCTION("""COMPUTED_VALUE"""),"2024")</f>
        <v>2024</v>
      </c>
      <c r="I37" s="1" t="str">
        <f ca="1">IFERROR(__xludf.DUMMYFUNCTION("""COMPUTED_VALUE"""),"Email")</f>
        <v>Email</v>
      </c>
    </row>
    <row r="38" spans="1:9" ht="15.75" customHeight="1" x14ac:dyDescent="0.15">
      <c r="A38" s="9">
        <f ca="1">IFERROR(__xludf.DUMMYFUNCTION("""COMPUTED_VALUE"""),29024381)</f>
        <v>29024381</v>
      </c>
      <c r="B38" s="1" t="str">
        <f ca="1">IFERROR(__xludf.DUMMYFUNCTION("""COMPUTED_VALUE"""),"llynchhome@gmail.com")</f>
        <v>llynchhome@gmail.com</v>
      </c>
      <c r="C38" s="9" t="str">
        <f ca="1">IFERROR(__xludf.DUMMYFUNCTION("""COMPUTED_VALUE"""),"EVERGREEN - UAN Gated Content - Embedded Petition")</f>
        <v>EVERGREEN - UAN Gated Content - Embedded Petition</v>
      </c>
      <c r="D38" s="10">
        <f ca="1">IFERROR(__xludf.DUMMYFUNCTION("""COMPUTED_VALUE"""),45653)</f>
        <v>45653</v>
      </c>
      <c r="E38" s="1" t="str">
        <f ca="1">IFERROR(__xludf.DUMMYFUNCTION("""COMPUTED_VALUE"""),"Turkiye")</f>
        <v>Turkiye</v>
      </c>
      <c r="F38" s="1" t="str">
        <f ca="1">IFERROR(__xludf.DUMMYFUNCTION("""COMPUTED_VALUE"""),"109.24 Türkiye")</f>
        <v>109.24 Türkiye</v>
      </c>
      <c r="G38" s="1" t="str">
        <f ca="1">IFERROR(__xludf.DUMMYFUNCTION("""COMPUTED_VALUE"""),"Human Rights Defenders, Individuals At Risk")</f>
        <v>Human Rights Defenders, Individuals At Risk</v>
      </c>
      <c r="H38" s="1" t="str">
        <f ca="1">IFERROR(__xludf.DUMMYFUNCTION("""COMPUTED_VALUE"""),"2024")</f>
        <v>2024</v>
      </c>
      <c r="I38" s="1" t="str">
        <f ca="1">IFERROR(__xludf.DUMMYFUNCTION("""COMPUTED_VALUE"""),"Email")</f>
        <v>Email</v>
      </c>
    </row>
    <row r="39" spans="1:9" ht="15.75" customHeight="1" x14ac:dyDescent="0.15">
      <c r="A39" s="9">
        <f ca="1">IFERROR(__xludf.DUMMYFUNCTION("""COMPUTED_VALUE"""),29024381)</f>
        <v>29024381</v>
      </c>
      <c r="B39" s="1" t="str">
        <f ca="1">IFERROR(__xludf.DUMMYFUNCTION("""COMPUTED_VALUE"""),"llynchhome@gmail.com")</f>
        <v>llynchhome@gmail.com</v>
      </c>
      <c r="C39" s="9" t="str">
        <f ca="1">IFERROR(__xludf.DUMMYFUNCTION("""COMPUTED_VALUE"""),"EVERGREEN - UAN Gated Content - Embedded Petition")</f>
        <v>EVERGREEN - UAN Gated Content - Embedded Petition</v>
      </c>
      <c r="D39" s="10">
        <f ca="1">IFERROR(__xludf.DUMMYFUNCTION("""COMPUTED_VALUE"""),45653)</f>
        <v>45653</v>
      </c>
      <c r="E39" s="1" t="str">
        <f ca="1">IFERROR(__xludf.DUMMYFUNCTION("""COMPUTED_VALUE"""),"Egypt")</f>
        <v>Egypt</v>
      </c>
      <c r="F39" s="1" t="str">
        <f ca="1">IFERROR(__xludf.DUMMYFUNCTION("""COMPUTED_VALUE"""),"Third 73.23 Egypt")</f>
        <v>Third 73.23 Egypt</v>
      </c>
      <c r="G39" s="1" t="str">
        <f ca="1">IFERROR(__xludf.DUMMYFUNCTION("""COMPUTED_VALUE"""),"Individuals At Risk")</f>
        <v>Individuals At Risk</v>
      </c>
      <c r="H39" s="1" t="str">
        <f ca="1">IFERROR(__xludf.DUMMYFUNCTION("""COMPUTED_VALUE"""),"2024")</f>
        <v>2024</v>
      </c>
      <c r="I39" s="1" t="str">
        <f ca="1">IFERROR(__xludf.DUMMYFUNCTION("""COMPUTED_VALUE"""),"Email")</f>
        <v>Email</v>
      </c>
    </row>
    <row r="40" spans="1:9" ht="15.75" customHeight="1" x14ac:dyDescent="0.15">
      <c r="A40" s="9">
        <f ca="1">IFERROR(__xludf.DUMMYFUNCTION("""COMPUTED_VALUE"""),29024381)</f>
        <v>29024381</v>
      </c>
      <c r="B40" s="1" t="str">
        <f ca="1">IFERROR(__xludf.DUMMYFUNCTION("""COMPUTED_VALUE"""),"llynchhome@gmail.com")</f>
        <v>llynchhome@gmail.com</v>
      </c>
      <c r="C40" s="9" t="str">
        <f ca="1">IFERROR(__xludf.DUMMYFUNCTION("""COMPUTED_VALUE"""),"EVERGREEN - UAN Gated Content - Embedded Petition")</f>
        <v>EVERGREEN - UAN Gated Content - Embedded Petition</v>
      </c>
      <c r="D40" s="10">
        <f ca="1">IFERROR(__xludf.DUMMYFUNCTION("""COMPUTED_VALUE"""),45653)</f>
        <v>45653</v>
      </c>
      <c r="E40" s="1" t="str">
        <f ca="1">IFERROR(__xludf.DUMMYFUNCTION("""COMPUTED_VALUE"""),"Dominican Republic")</f>
        <v>Dominican Republic</v>
      </c>
      <c r="F40" s="1" t="str">
        <f ca="1">IFERROR(__xludf.DUMMYFUNCTION("""COMPUTED_VALUE"""),"88.24 Dominican Republic")</f>
        <v>88.24 Dominican Republic</v>
      </c>
      <c r="G40" s="1" t="str">
        <f ca="1">IFERROR(__xludf.DUMMYFUNCTION("""COMPUTED_VALUE"""),"Individuals At Risk, Refugee and Migrant Rights")</f>
        <v>Individuals At Risk, Refugee and Migrant Rights</v>
      </c>
      <c r="H40" s="1" t="str">
        <f ca="1">IFERROR(__xludf.DUMMYFUNCTION("""COMPUTED_VALUE"""),"2024")</f>
        <v>2024</v>
      </c>
      <c r="I40" s="1" t="str">
        <f ca="1">IFERROR(__xludf.DUMMYFUNCTION("""COMPUTED_VALUE"""),"Letter")</f>
        <v>Letter</v>
      </c>
    </row>
    <row r="41" spans="1:9" ht="15.75" customHeight="1" x14ac:dyDescent="0.15">
      <c r="A41" s="9">
        <f ca="1">IFERROR(__xludf.DUMMYFUNCTION("""COMPUTED_VALUE"""),29024381)</f>
        <v>29024381</v>
      </c>
      <c r="B41" s="1" t="str">
        <f ca="1">IFERROR(__xludf.DUMMYFUNCTION("""COMPUTED_VALUE"""),"llynchhome@gmail.com")</f>
        <v>llynchhome@gmail.com</v>
      </c>
      <c r="C41" s="9" t="str">
        <f ca="1">IFERROR(__xludf.DUMMYFUNCTION("""COMPUTED_VALUE"""),"EVERGREEN - UAN Gated Content - Embedded Petition")</f>
        <v>EVERGREEN - UAN Gated Content - Embedded Petition</v>
      </c>
      <c r="D41" s="10">
        <f ca="1">IFERROR(__xludf.DUMMYFUNCTION("""COMPUTED_VALUE"""),45653)</f>
        <v>45653</v>
      </c>
      <c r="E41" s="1" t="str">
        <f ca="1">IFERROR(__xludf.DUMMYFUNCTION("""COMPUTED_VALUE"""),"Egypt")</f>
        <v>Egypt</v>
      </c>
      <c r="F41" s="1" t="str">
        <f ca="1">IFERROR(__xludf.DUMMYFUNCTION("""COMPUTED_VALUE"""),"Ninth 190.18 Egypt")</f>
        <v>Ninth 190.18 Egypt</v>
      </c>
      <c r="G41" s="1" t="str">
        <f ca="1">IFERROR(__xludf.DUMMYFUNCTION("""COMPUTED_VALUE"""),"Freedom of Expression, Individuals At Risk")</f>
        <v>Freedom of Expression, Individuals At Risk</v>
      </c>
      <c r="H41" s="1" t="str">
        <f ca="1">IFERROR(__xludf.DUMMYFUNCTION("""COMPUTED_VALUE"""),"2024")</f>
        <v>2024</v>
      </c>
      <c r="I41" s="1" t="str">
        <f ca="1">IFERROR(__xludf.DUMMYFUNCTION("""COMPUTED_VALUE"""),"Letter")</f>
        <v>Letter</v>
      </c>
    </row>
    <row r="42" spans="1:9" ht="15.75" customHeight="1" x14ac:dyDescent="0.15">
      <c r="A42" s="9">
        <f ca="1">IFERROR(__xludf.DUMMYFUNCTION("""COMPUTED_VALUE"""),29024381)</f>
        <v>29024381</v>
      </c>
      <c r="B42" s="1" t="str">
        <f ca="1">IFERROR(__xludf.DUMMYFUNCTION("""COMPUTED_VALUE"""),"llynchhome@gmail.com")</f>
        <v>llynchhome@gmail.com</v>
      </c>
      <c r="C42" s="9" t="str">
        <f ca="1">IFERROR(__xludf.DUMMYFUNCTION("""COMPUTED_VALUE"""),"EVERGREEN - UAN Gated Content - Embedded Petition")</f>
        <v>EVERGREEN - UAN Gated Content - Embedded Petition</v>
      </c>
      <c r="D42" s="10">
        <f ca="1">IFERROR(__xludf.DUMMYFUNCTION("""COMPUTED_VALUE"""),45653)</f>
        <v>45653</v>
      </c>
      <c r="E42" s="1" t="str">
        <f ca="1">IFERROR(__xludf.DUMMYFUNCTION("""COMPUTED_VALUE"""),"Azerbaijan")</f>
        <v>Azerbaijan</v>
      </c>
      <c r="F42" s="1" t="str">
        <f ca="1">IFERROR(__xludf.DUMMYFUNCTION("""COMPUTED_VALUE"""),"2.25 Azerbaijan")</f>
        <v>2.25 Azerbaijan</v>
      </c>
      <c r="G42" s="1" t="str">
        <f ca="1">IFERROR(__xludf.DUMMYFUNCTION("""COMPUTED_VALUE"""),"Freedom of Expression, Human Rights Defenders")</f>
        <v>Freedom of Expression, Human Rights Defenders</v>
      </c>
      <c r="H42" s="1" t="str">
        <f ca="1">IFERROR(__xludf.DUMMYFUNCTION("""COMPUTED_VALUE"""),"2025")</f>
        <v>2025</v>
      </c>
      <c r="I42" s="1" t="str">
        <f ca="1">IFERROR(__xludf.DUMMYFUNCTION("""COMPUTED_VALUE"""),"Email")</f>
        <v>Email</v>
      </c>
    </row>
    <row r="43" spans="1:9" ht="15.75" customHeight="1" x14ac:dyDescent="0.15">
      <c r="A43" s="9">
        <f ca="1">IFERROR(__xludf.DUMMYFUNCTION("""COMPUTED_VALUE"""),29024381)</f>
        <v>29024381</v>
      </c>
      <c r="B43" s="1" t="str">
        <f ca="1">IFERROR(__xludf.DUMMYFUNCTION("""COMPUTED_VALUE"""),"llynchhome@gmail.com")</f>
        <v>llynchhome@gmail.com</v>
      </c>
      <c r="C43" s="9" t="str">
        <f ca="1">IFERROR(__xludf.DUMMYFUNCTION("""COMPUTED_VALUE"""),"EVERGREEN - UAN Gated Content - Embedded Petition")</f>
        <v>EVERGREEN - UAN Gated Content - Embedded Petition</v>
      </c>
      <c r="D43" s="10">
        <f ca="1">IFERROR(__xludf.DUMMYFUNCTION("""COMPUTED_VALUE"""),45624)</f>
        <v>45624</v>
      </c>
      <c r="E43" s="1" t="str">
        <f ca="1">IFERROR(__xludf.DUMMYFUNCTION("""COMPUTED_VALUE"""),"Tunisia")</f>
        <v>Tunisia</v>
      </c>
      <c r="F43" s="1" t="str">
        <f ca="1">IFERROR(__xludf.DUMMYFUNCTION("""COMPUTED_VALUE"""),"Second 76.24 Tunisia")</f>
        <v>Second 76.24 Tunisia</v>
      </c>
      <c r="G43" s="1" t="str">
        <f ca="1">IFERROR(__xludf.DUMMYFUNCTION("""COMPUTED_VALUE"""),"Freedom of Expression, Human Rights Defenders")</f>
        <v>Freedom of Expression, Human Rights Defenders</v>
      </c>
      <c r="H43" s="1" t="str">
        <f ca="1">IFERROR(__xludf.DUMMYFUNCTION("""COMPUTED_VALUE"""),"2025")</f>
        <v>2025</v>
      </c>
      <c r="I43" s="1" t="str">
        <f ca="1">IFERROR(__xludf.DUMMYFUNCTION("""COMPUTED_VALUE"""),"Email")</f>
        <v>Email</v>
      </c>
    </row>
    <row r="44" spans="1:9" ht="15.75" customHeight="1" x14ac:dyDescent="0.15">
      <c r="A44" s="9">
        <f ca="1">IFERROR(__xludf.DUMMYFUNCTION("""COMPUTED_VALUE"""),29024381)</f>
        <v>29024381</v>
      </c>
      <c r="B44" s="1" t="str">
        <f ca="1">IFERROR(__xludf.DUMMYFUNCTION("""COMPUTED_VALUE"""),"llynchhome@gmail.com")</f>
        <v>llynchhome@gmail.com</v>
      </c>
      <c r="C44" s="9" t="str">
        <f ca="1">IFERROR(__xludf.DUMMYFUNCTION("""COMPUTED_VALUE"""),"EVERGREEN - UAN Gated Content - Embedded Petition")</f>
        <v>EVERGREEN - UAN Gated Content - Embedded Petition</v>
      </c>
      <c r="D44" s="10">
        <f ca="1">IFERROR(__xludf.DUMMYFUNCTION("""COMPUTED_VALUE"""),45624)</f>
        <v>45624</v>
      </c>
      <c r="E44" s="1" t="str">
        <f ca="1">IFERROR(__xludf.DUMMYFUNCTION("""COMPUTED_VALUE"""),"Iran")</f>
        <v>Iran</v>
      </c>
      <c r="F44" s="1" t="str">
        <f ca="1">IFERROR(__xludf.DUMMYFUNCTION("""COMPUTED_VALUE"""),"6.25 Iran")</f>
        <v>6.25 Iran</v>
      </c>
      <c r="G44" s="1" t="str">
        <f ca="1">IFERROR(__xludf.DUMMYFUNCTION("""COMPUTED_VALUE"""),"Death Penalty, Freedom of Expression, Individuals At Risk")</f>
        <v>Death Penalty, Freedom of Expression, Individuals At Risk</v>
      </c>
      <c r="H44" s="1" t="str">
        <f ca="1">IFERROR(__xludf.DUMMYFUNCTION("""COMPUTED_VALUE"""),"2025")</f>
        <v>2025</v>
      </c>
      <c r="I44" s="1" t="str">
        <f ca="1">IFERROR(__xludf.DUMMYFUNCTION("""COMPUTED_VALUE"""),"Email")</f>
        <v>Email</v>
      </c>
    </row>
    <row r="45" spans="1:9" ht="15.75" customHeight="1" x14ac:dyDescent="0.15">
      <c r="A45" s="9">
        <f ca="1">IFERROR(__xludf.DUMMYFUNCTION("""COMPUTED_VALUE"""),29024381)</f>
        <v>29024381</v>
      </c>
      <c r="B45" s="1" t="str">
        <f ca="1">IFERROR(__xludf.DUMMYFUNCTION("""COMPUTED_VALUE"""),"llynchhome@gmail.com")</f>
        <v>llynchhome@gmail.com</v>
      </c>
      <c r="C45" s="9" t="str">
        <f ca="1">IFERROR(__xludf.DUMMYFUNCTION("""COMPUTED_VALUE"""),"EVERGREEN - UAN Gated Content - Embedded Petition")</f>
        <v>EVERGREEN - UAN Gated Content - Embedded Petition</v>
      </c>
      <c r="D45" s="10">
        <f ca="1">IFERROR(__xludf.DUMMYFUNCTION("""COMPUTED_VALUE"""),45690)</f>
        <v>45690</v>
      </c>
      <c r="E45" s="1" t="str">
        <f ca="1">IFERROR(__xludf.DUMMYFUNCTION("""COMPUTED_VALUE"""),"Colombia")</f>
        <v>Colombia</v>
      </c>
      <c r="F45" s="1" t="str">
        <f ca="1">IFERROR(__xludf.DUMMYFUNCTION("""COMPUTED_VALUE"""),"Third 12.24 Colombia")</f>
        <v>Third 12.24 Colombia</v>
      </c>
      <c r="G45" s="1" t="str">
        <f ca="1">IFERROR(__xludf.DUMMYFUNCTION("""COMPUTED_VALUE"""),"Human Rights Defenders, Individuals At Risk")</f>
        <v>Human Rights Defenders, Individuals At Risk</v>
      </c>
      <c r="H45" s="1" t="str">
        <f ca="1">IFERROR(__xludf.DUMMYFUNCTION("""COMPUTED_VALUE"""),"2025")</f>
        <v>2025</v>
      </c>
      <c r="I45" s="1" t="str">
        <f ca="1">IFERROR(__xludf.DUMMYFUNCTION("""COMPUTED_VALUE"""),"Email")</f>
        <v>Email</v>
      </c>
    </row>
    <row r="46" spans="1:9" ht="15.75" customHeight="1" x14ac:dyDescent="0.15">
      <c r="A46" s="9">
        <f ca="1">IFERROR(__xludf.DUMMYFUNCTION("""COMPUTED_VALUE"""),29024381)</f>
        <v>29024381</v>
      </c>
      <c r="B46" s="1" t="str">
        <f ca="1">IFERROR(__xludf.DUMMYFUNCTION("""COMPUTED_VALUE"""),"llynchhome@gmail.com")</f>
        <v>llynchhome@gmail.com</v>
      </c>
      <c r="C46" s="9" t="str">
        <f ca="1">IFERROR(__xludf.DUMMYFUNCTION("""COMPUTED_VALUE"""),"EVERGREEN - UAN Gated Content - Embedded Petition")</f>
        <v>EVERGREEN - UAN Gated Content - Embedded Petition</v>
      </c>
      <c r="D46" s="10">
        <f ca="1">IFERROR(__xludf.DUMMYFUNCTION("""COMPUTED_VALUE"""),45624)</f>
        <v>45624</v>
      </c>
      <c r="E46" s="1" t="str">
        <f ca="1">IFERROR(__xludf.DUMMYFUNCTION("""COMPUTED_VALUE"""),"Israel and Occupied Palestinian Territories")</f>
        <v>Israel and Occupied Palestinian Territories</v>
      </c>
      <c r="F46" s="1" t="str">
        <f ca="1">IFERROR(__xludf.DUMMYFUNCTION("""COMPUTED_VALUE"""),"3.25 IOPT")</f>
        <v>3.25 IOPT</v>
      </c>
      <c r="G46" s="1" t="str">
        <f ca="1">IFERROR(__xludf.DUMMYFUNCTION("""COMPUTED_VALUE"""),"Freedom of Expression, Individuals At Risk")</f>
        <v>Freedom of Expression, Individuals At Risk</v>
      </c>
      <c r="H46" s="1" t="str">
        <f ca="1">IFERROR(__xludf.DUMMYFUNCTION("""COMPUTED_VALUE"""),"2025")</f>
        <v>2025</v>
      </c>
      <c r="I46" s="1" t="str">
        <f ca="1">IFERROR(__xludf.DUMMYFUNCTION("""COMPUTED_VALUE"""),"Email")</f>
        <v>Email</v>
      </c>
    </row>
    <row r="47" spans="1:9" ht="15.75" customHeight="1" x14ac:dyDescent="0.15">
      <c r="A47" s="9">
        <f ca="1">IFERROR(__xludf.DUMMYFUNCTION("""COMPUTED_VALUE"""),29024381)</f>
        <v>29024381</v>
      </c>
      <c r="B47" s="1" t="str">
        <f ca="1">IFERROR(__xludf.DUMMYFUNCTION("""COMPUTED_VALUE"""),"llynchhome@gmail.com")</f>
        <v>llynchhome@gmail.com</v>
      </c>
      <c r="C47" s="9" t="str">
        <f ca="1">IFERROR(__xludf.DUMMYFUNCTION("""COMPUTED_VALUE"""),"EVERGREEN - UAN Gated Content - Embedded Petition")</f>
        <v>EVERGREEN - UAN Gated Content - Embedded Petition</v>
      </c>
      <c r="D47" s="10">
        <f ca="1">IFERROR(__xludf.DUMMYFUNCTION("""COMPUTED_VALUE"""),45690)</f>
        <v>45690</v>
      </c>
      <c r="E47" s="1" t="str">
        <f ca="1">IFERROR(__xludf.DUMMYFUNCTION("""COMPUTED_VALUE"""),"Egypt")</f>
        <v>Egypt</v>
      </c>
      <c r="F47" s="1" t="str">
        <f ca="1">IFERROR(__xludf.DUMMYFUNCTION("""COMPUTED_VALUE"""),"Third 73.23 Egypt")</f>
        <v>Third 73.23 Egypt</v>
      </c>
      <c r="G47" s="1" t="str">
        <f ca="1">IFERROR(__xludf.DUMMYFUNCTION("""COMPUTED_VALUE"""),"Individuals At Risk")</f>
        <v>Individuals At Risk</v>
      </c>
      <c r="H47" s="1" t="str">
        <f ca="1">IFERROR(__xludf.DUMMYFUNCTION("""COMPUTED_VALUE"""),"2024")</f>
        <v>2024</v>
      </c>
      <c r="I47" s="1" t="str">
        <f ca="1">IFERROR(__xludf.DUMMYFUNCTION("""COMPUTED_VALUE"""),"Email")</f>
        <v>Email</v>
      </c>
    </row>
    <row r="48" spans="1:9" ht="15.75" customHeight="1" x14ac:dyDescent="0.15">
      <c r="A48" s="9">
        <f ca="1">IFERROR(__xludf.DUMMYFUNCTION("""COMPUTED_VALUE"""),29024381)</f>
        <v>29024381</v>
      </c>
      <c r="B48" s="1" t="str">
        <f ca="1">IFERROR(__xludf.DUMMYFUNCTION("""COMPUTED_VALUE"""),"llynchhome@gmail.com")</f>
        <v>llynchhome@gmail.com</v>
      </c>
      <c r="C48" s="9" t="str">
        <f ca="1">IFERROR(__xludf.DUMMYFUNCTION("""COMPUTED_VALUE"""),"EVERGREEN - UAN Gated Content - Embedded Petition")</f>
        <v>EVERGREEN - UAN Gated Content - Embedded Petition</v>
      </c>
      <c r="D48" s="10">
        <f ca="1">IFERROR(__xludf.DUMMYFUNCTION("""COMPUTED_VALUE"""),45690)</f>
        <v>45690</v>
      </c>
      <c r="E48" s="1" t="str">
        <f ca="1">IFERROR(__xludf.DUMMYFUNCTION("""COMPUTED_VALUE"""),"Libya")</f>
        <v>Libya</v>
      </c>
      <c r="F48" s="1" t="str">
        <f ca="1">IFERROR(__xludf.DUMMYFUNCTION("""COMPUTED_VALUE"""),"12.25 Libya")</f>
        <v>12.25 Libya</v>
      </c>
      <c r="G48" s="1" t="str">
        <f ca="1">IFERROR(__xludf.DUMMYFUNCTION("""COMPUTED_VALUE"""),"Freedom of Expression, Health, Individuals At Risk")</f>
        <v>Freedom of Expression, Health, Individuals At Risk</v>
      </c>
      <c r="H48" s="1" t="str">
        <f ca="1">IFERROR(__xludf.DUMMYFUNCTION("""COMPUTED_VALUE"""),"2025")</f>
        <v>2025</v>
      </c>
      <c r="I48" s="1" t="str">
        <f ca="1">IFERROR(__xludf.DUMMYFUNCTION("""COMPUTED_VALUE"""),"Email")</f>
        <v>Email</v>
      </c>
    </row>
    <row r="49" spans="1:9" ht="15.75" customHeight="1" x14ac:dyDescent="0.15">
      <c r="A49" s="9">
        <f ca="1">IFERROR(__xludf.DUMMYFUNCTION("""COMPUTED_VALUE"""),29024381)</f>
        <v>29024381</v>
      </c>
      <c r="B49" s="1" t="str">
        <f ca="1">IFERROR(__xludf.DUMMYFUNCTION("""COMPUTED_VALUE"""),"llynchhome@gmail.com")</f>
        <v>llynchhome@gmail.com</v>
      </c>
      <c r="C49" s="9" t="str">
        <f ca="1">IFERROR(__xludf.DUMMYFUNCTION("""COMPUTED_VALUE"""),"EVERGREEN - UAN Gated Content - Embedded Petition")</f>
        <v>EVERGREEN - UAN Gated Content - Embedded Petition</v>
      </c>
      <c r="D49" s="10">
        <f ca="1">IFERROR(__xludf.DUMMYFUNCTION("""COMPUTED_VALUE"""),45690)</f>
        <v>45690</v>
      </c>
      <c r="E49" s="1" t="str">
        <f ca="1">IFERROR(__xludf.DUMMYFUNCTION("""COMPUTED_VALUE"""),"USA")</f>
        <v>USA</v>
      </c>
      <c r="F49" s="1" t="str">
        <f ca="1">IFERROR(__xludf.DUMMYFUNCTION("""COMPUTED_VALUE"""),"4.25 USA")</f>
        <v>4.25 USA</v>
      </c>
      <c r="G49" s="1" t="str">
        <f ca="1">IFERROR(__xludf.DUMMYFUNCTION("""COMPUTED_VALUE"""),"Individuals At Risk, Refugee and Migrant Rights")</f>
        <v>Individuals At Risk, Refugee and Migrant Rights</v>
      </c>
      <c r="H49" s="1" t="str">
        <f ca="1">IFERROR(__xludf.DUMMYFUNCTION("""COMPUTED_VALUE"""),"2025")</f>
        <v>2025</v>
      </c>
      <c r="I49" s="1" t="str">
        <f ca="1">IFERROR(__xludf.DUMMYFUNCTION("""COMPUTED_VALUE"""),"Letter")</f>
        <v>Letter</v>
      </c>
    </row>
    <row r="50" spans="1:9" ht="15.75" customHeight="1" x14ac:dyDescent="0.15">
      <c r="A50" s="9">
        <f ca="1">IFERROR(__xludf.DUMMYFUNCTION("""COMPUTED_VALUE"""),29024381)</f>
        <v>29024381</v>
      </c>
      <c r="B50" s="1" t="str">
        <f ca="1">IFERROR(__xludf.DUMMYFUNCTION("""COMPUTED_VALUE"""),"llynchhome@gmail.com")</f>
        <v>llynchhome@gmail.com</v>
      </c>
      <c r="C50" s="9" t="str">
        <f ca="1">IFERROR(__xludf.DUMMYFUNCTION("""COMPUTED_VALUE"""),"EVERGREEN - UAN Gated Content - Embedded Petition")</f>
        <v>EVERGREEN - UAN Gated Content - Embedded Petition</v>
      </c>
      <c r="D50" s="10">
        <f ca="1">IFERROR(__xludf.DUMMYFUNCTION("""COMPUTED_VALUE"""),45690)</f>
        <v>45690</v>
      </c>
      <c r="E50" s="1" t="str">
        <f ca="1">IFERROR(__xludf.DUMMYFUNCTION("""COMPUTED_VALUE"""),"Tunisia")</f>
        <v>Tunisia</v>
      </c>
      <c r="F50" s="1" t="str">
        <f ca="1">IFERROR(__xludf.DUMMYFUNCTION("""COMPUTED_VALUE"""),"Second 76.24 Tunisia")</f>
        <v>Second 76.24 Tunisia</v>
      </c>
      <c r="G50" s="1" t="str">
        <f ca="1">IFERROR(__xludf.DUMMYFUNCTION("""COMPUTED_VALUE"""),"Freedom of Expression, Human Rights Defenders")</f>
        <v>Freedom of Expression, Human Rights Defenders</v>
      </c>
      <c r="H50" s="1" t="str">
        <f ca="1">IFERROR(__xludf.DUMMYFUNCTION("""COMPUTED_VALUE"""),"2025")</f>
        <v>2025</v>
      </c>
      <c r="I50" s="1" t="str">
        <f ca="1">IFERROR(__xludf.DUMMYFUNCTION("""COMPUTED_VALUE"""),"Email")</f>
        <v>Email</v>
      </c>
    </row>
    <row r="51" spans="1:9" ht="15.75" customHeight="1" x14ac:dyDescent="0.15">
      <c r="A51" s="9">
        <f ca="1">IFERROR(__xludf.DUMMYFUNCTION("""COMPUTED_VALUE"""),29024381)</f>
        <v>29024381</v>
      </c>
      <c r="B51" s="1" t="str">
        <f ca="1">IFERROR(__xludf.DUMMYFUNCTION("""COMPUTED_VALUE"""),"llynchhome@gmail.com")</f>
        <v>llynchhome@gmail.com</v>
      </c>
      <c r="C51" s="9" t="str">
        <f ca="1">IFERROR(__xludf.DUMMYFUNCTION("""COMPUTED_VALUE"""),"EVERGREEN - Website Email Capture Form - UAN Pre-Footer")</f>
        <v>EVERGREEN - Website Email Capture Form - UAN Pre-Footer</v>
      </c>
      <c r="D51" s="10">
        <f ca="1">IFERROR(__xludf.DUMMYFUNCTION("""COMPUTED_VALUE"""),45653)</f>
        <v>45653</v>
      </c>
      <c r="E51" s="1" t="str">
        <f ca="1">IFERROR(__xludf.DUMMYFUNCTION("""COMPUTED_VALUE"""),"Egypt")</f>
        <v>Egypt</v>
      </c>
      <c r="F51" s="1" t="str">
        <f ca="1">IFERROR(__xludf.DUMMYFUNCTION("""COMPUTED_VALUE"""),"Ninth 190.18 Egypt")</f>
        <v>Ninth 190.18 Egypt</v>
      </c>
      <c r="G51" s="1" t="str">
        <f ca="1">IFERROR(__xludf.DUMMYFUNCTION("""COMPUTED_VALUE"""),"Freedom of Expression, Individuals At Risk")</f>
        <v>Freedom of Expression, Individuals At Risk</v>
      </c>
      <c r="H51" s="1" t="str">
        <f ca="1">IFERROR(__xludf.DUMMYFUNCTION("""COMPUTED_VALUE"""),"2024")</f>
        <v>2024</v>
      </c>
      <c r="I51" s="1" t="str">
        <f ca="1">IFERROR(__xludf.DUMMYFUNCTION("""COMPUTED_VALUE"""),"Letter")</f>
        <v>Letter</v>
      </c>
    </row>
    <row r="52" spans="1:9" ht="15.75" customHeight="1" x14ac:dyDescent="0.15">
      <c r="A52" s="9">
        <f ca="1">IFERROR(__xludf.DUMMYFUNCTION("""COMPUTED_VALUE"""),29024381)</f>
        <v>29024381</v>
      </c>
      <c r="B52" s="1" t="str">
        <f ca="1">IFERROR(__xludf.DUMMYFUNCTION("""COMPUTED_VALUE"""),"llynchhome@gmail.com")</f>
        <v>llynchhome@gmail.com</v>
      </c>
      <c r="C52" s="9" t="str">
        <f ca="1">IFERROR(__xludf.DUMMYFUNCTION("""COMPUTED_VALUE"""),"UAN mid-page Lightbox - Step 1 of 4 - Landing Page")</f>
        <v>UAN mid-page Lightbox - Step 1 of 4 - Landing Page</v>
      </c>
      <c r="D52" s="10">
        <f ca="1">IFERROR(__xludf.DUMMYFUNCTION("""COMPUTED_VALUE"""),45624)</f>
        <v>45624</v>
      </c>
      <c r="E52" s="1" t="str">
        <f ca="1">IFERROR(__xludf.DUMMYFUNCTION("""COMPUTED_VALUE"""),"USA")</f>
        <v>USA</v>
      </c>
      <c r="F52" s="1" t="str">
        <f ca="1">IFERROR(__xludf.DUMMYFUNCTION("""COMPUTED_VALUE"""),"105.24 USA")</f>
        <v>105.24 USA</v>
      </c>
      <c r="G52" s="1" t="str">
        <f ca="1">IFERROR(__xludf.DUMMYFUNCTION("""COMPUTED_VALUE"""),"Death Penalty")</f>
        <v>Death Penalty</v>
      </c>
      <c r="H52" s="1" t="str">
        <f ca="1">IFERROR(__xludf.DUMMYFUNCTION("""COMPUTED_VALUE"""),"2024")</f>
        <v>2024</v>
      </c>
      <c r="I52" s="1" t="str">
        <f ca="1">IFERROR(__xludf.DUMMYFUNCTION("""COMPUTED_VALUE"""),"Email")</f>
        <v>Email</v>
      </c>
    </row>
    <row r="53" spans="1:9" ht="15.75" customHeight="1" x14ac:dyDescent="0.15">
      <c r="A53" s="9">
        <f ca="1">IFERROR(__xludf.DUMMYFUNCTION("""COMPUTED_VALUE"""),29024381)</f>
        <v>29024381</v>
      </c>
      <c r="B53" s="1" t="str">
        <f ca="1">IFERROR(__xludf.DUMMYFUNCTION("""COMPUTED_VALUE"""),"llynchhome@gmail.com")</f>
        <v>llynchhome@gmail.com</v>
      </c>
      <c r="C53" s="9" t="str">
        <f ca="1">IFERROR(__xludf.DUMMYFUNCTION("""COMPUTED_VALUE"""),"UAN mid-page Lightbox - Step 2 of 4 - More personal info fields")</f>
        <v>UAN mid-page Lightbox - Step 2 of 4 - More personal info fields</v>
      </c>
      <c r="D53" s="10">
        <f ca="1">IFERROR(__xludf.DUMMYFUNCTION("""COMPUTED_VALUE"""),45624)</f>
        <v>45624</v>
      </c>
      <c r="E53" s="1" t="str">
        <f ca="1">IFERROR(__xludf.DUMMYFUNCTION("""COMPUTED_VALUE"""),"Egypt")</f>
        <v>Egypt</v>
      </c>
      <c r="F53" s="1" t="str">
        <f ca="1">IFERROR(__xludf.DUMMYFUNCTION("""COMPUTED_VALUE"""),"Ninth 190.18 Egypt")</f>
        <v>Ninth 190.18 Egypt</v>
      </c>
      <c r="G53" s="1" t="str">
        <f ca="1">IFERROR(__xludf.DUMMYFUNCTION("""COMPUTED_VALUE"""),"Freedom of Expression, Individuals At Risk")</f>
        <v>Freedom of Expression, Individuals At Risk</v>
      </c>
      <c r="H53" s="1" t="str">
        <f ca="1">IFERROR(__xludf.DUMMYFUNCTION("""COMPUTED_VALUE"""),"2024")</f>
        <v>2024</v>
      </c>
      <c r="I53" s="1" t="str">
        <f ca="1">IFERROR(__xludf.DUMMYFUNCTION("""COMPUTED_VALUE"""),"Letter")</f>
        <v>Letter</v>
      </c>
    </row>
    <row r="54" spans="1:9" ht="15.75" customHeight="1" x14ac:dyDescent="0.15">
      <c r="A54" s="9">
        <f ca="1">IFERROR(__xludf.DUMMYFUNCTION("""COMPUTED_VALUE"""),29024381)</f>
        <v>29024381</v>
      </c>
      <c r="B54" s="1" t="str">
        <f ca="1">IFERROR(__xludf.DUMMYFUNCTION("""COMPUTED_VALUE"""),"llynchhome@gmail.com")</f>
        <v>llynchhome@gmail.com</v>
      </c>
      <c r="C54" s="9" t="str">
        <f ca="1">IFERROR(__xludf.DUMMYFUNCTION("""COMPUTED_VALUE"""),"UAN mid-page Lightbox - Step 3 of 4 - More opt-ins")</f>
        <v>UAN mid-page Lightbox - Step 3 of 4 - More opt-ins</v>
      </c>
      <c r="D54" s="10">
        <f ca="1">IFERROR(__xludf.DUMMYFUNCTION("""COMPUTED_VALUE"""),45624)</f>
        <v>45624</v>
      </c>
      <c r="E54" s="1" t="str">
        <f ca="1">IFERROR(__xludf.DUMMYFUNCTION("""COMPUTED_VALUE"""),"Tunisia")</f>
        <v>Tunisia</v>
      </c>
      <c r="F54" s="1" t="str">
        <f ca="1">IFERROR(__xludf.DUMMYFUNCTION("""COMPUTED_VALUE"""),"Second 76.24 Tunisia")</f>
        <v>Second 76.24 Tunisia</v>
      </c>
      <c r="G54" s="1" t="str">
        <f ca="1">IFERROR(__xludf.DUMMYFUNCTION("""COMPUTED_VALUE"""),"Freedom of Expression, Human Rights Defenders")</f>
        <v>Freedom of Expression, Human Rights Defenders</v>
      </c>
      <c r="H54" s="1" t="str">
        <f ca="1">IFERROR(__xludf.DUMMYFUNCTION("""COMPUTED_VALUE"""),"2025")</f>
        <v>2025</v>
      </c>
      <c r="I54" s="1" t="str">
        <f ca="1">IFERROR(__xludf.DUMMYFUNCTION("""COMPUTED_VALUE"""),"Email")</f>
        <v>Email</v>
      </c>
    </row>
    <row r="55" spans="1:9" ht="15.75" customHeight="1" x14ac:dyDescent="0.15">
      <c r="A55" s="9">
        <f ca="1">IFERROR(__xludf.DUMMYFUNCTION("""COMPUTED_VALUE"""),29029887)</f>
        <v>29029887</v>
      </c>
      <c r="B55" s="1" t="str">
        <f ca="1">IFERROR(__xludf.DUMMYFUNCTION("""COMPUTED_VALUE"""),"lizharrow@gmail.com")</f>
        <v>lizharrow@gmail.com</v>
      </c>
      <c r="C55" s="9" t="str">
        <f ca="1">IFERROR(__xludf.DUMMYFUNCTION("""COMPUTED_VALUE"""),"EVERGREEN - UAN Gated Content - Embedded Petition")</f>
        <v>EVERGREEN - UAN Gated Content - Embedded Petition</v>
      </c>
      <c r="D55" s="10">
        <f ca="1">IFERROR(__xludf.DUMMYFUNCTION("""COMPUTED_VALUE"""),45669)</f>
        <v>45669</v>
      </c>
      <c r="E55" s="1" t="str">
        <f ca="1">IFERROR(__xludf.DUMMYFUNCTION("""COMPUTED_VALUE"""),"Tunisia")</f>
        <v>Tunisia</v>
      </c>
      <c r="F55" s="1" t="str">
        <f ca="1">IFERROR(__xludf.DUMMYFUNCTION("""COMPUTED_VALUE"""),"Second 76.24 Tunisia")</f>
        <v>Second 76.24 Tunisia</v>
      </c>
      <c r="G55" s="1" t="str">
        <f ca="1">IFERROR(__xludf.DUMMYFUNCTION("""COMPUTED_VALUE"""),"Freedom of Expression, Human Rights Defenders")</f>
        <v>Freedom of Expression, Human Rights Defenders</v>
      </c>
      <c r="H55" s="1" t="str">
        <f ca="1">IFERROR(__xludf.DUMMYFUNCTION("""COMPUTED_VALUE"""),"2025")</f>
        <v>2025</v>
      </c>
      <c r="I55" s="1" t="str">
        <f ca="1">IFERROR(__xludf.DUMMYFUNCTION("""COMPUTED_VALUE"""),"Email")</f>
        <v>Email</v>
      </c>
    </row>
    <row r="56" spans="1:9" ht="13" x14ac:dyDescent="0.15">
      <c r="A56" s="9">
        <f ca="1">IFERROR(__xludf.DUMMYFUNCTION("""COMPUTED_VALUE"""),29029887)</f>
        <v>29029887</v>
      </c>
      <c r="B56" s="1" t="str">
        <f ca="1">IFERROR(__xludf.DUMMYFUNCTION("""COMPUTED_VALUE"""),"lizharrow@gmail.com")</f>
        <v>lizharrow@gmail.com</v>
      </c>
      <c r="C56" s="9" t="str">
        <f ca="1">IFERROR(__xludf.DUMMYFUNCTION("""COMPUTED_VALUE"""),"EVERGREEN - UAN Gated Content - Embedded Petition")</f>
        <v>EVERGREEN - UAN Gated Content - Embedded Petition</v>
      </c>
      <c r="D56" s="10">
        <f ca="1">IFERROR(__xludf.DUMMYFUNCTION("""COMPUTED_VALUE"""),45704)</f>
        <v>45704</v>
      </c>
      <c r="E56" s="1" t="str">
        <f ca="1">IFERROR(__xludf.DUMMYFUNCTION("""COMPUTED_VALUE"""),"Tunisia")</f>
        <v>Tunisia</v>
      </c>
      <c r="F56" s="1" t="str">
        <f ca="1">IFERROR(__xludf.DUMMYFUNCTION("""COMPUTED_VALUE"""),"Second 76.24 Tunisia")</f>
        <v>Second 76.24 Tunisia</v>
      </c>
      <c r="G56" s="1" t="str">
        <f ca="1">IFERROR(__xludf.DUMMYFUNCTION("""COMPUTED_VALUE"""),"Freedom of Expression, Human Rights Defenders")</f>
        <v>Freedom of Expression, Human Rights Defenders</v>
      </c>
      <c r="H56" s="1" t="str">
        <f ca="1">IFERROR(__xludf.DUMMYFUNCTION("""COMPUTED_VALUE"""),"2025")</f>
        <v>2025</v>
      </c>
      <c r="I56" s="1" t="str">
        <f ca="1">IFERROR(__xludf.DUMMYFUNCTION("""COMPUTED_VALUE"""),"Email")</f>
        <v>Email</v>
      </c>
    </row>
    <row r="57" spans="1:9" ht="13" x14ac:dyDescent="0.15">
      <c r="A57" s="9">
        <f ca="1">IFERROR(__xludf.DUMMYFUNCTION("""COMPUTED_VALUE"""),29109980)</f>
        <v>29109980</v>
      </c>
      <c r="B57" s="1" t="str">
        <f ca="1">IFERROR(__xludf.DUMMYFUNCTION("""COMPUTED_VALUE"""),"cliqueofone@mac.com")</f>
        <v>cliqueofone@mac.com</v>
      </c>
      <c r="C57" s="9" t="str">
        <f ca="1">IFERROR(__xludf.DUMMYFUNCTION("""COMPUTED_VALUE"""),"EVERGREEN - UAN Gated Content - Embedded Petition")</f>
        <v>EVERGREEN - UAN Gated Content - Embedded Petition</v>
      </c>
      <c r="D57" s="10">
        <f ca="1">IFERROR(__xludf.DUMMYFUNCTION("""COMPUTED_VALUE"""),45677)</f>
        <v>45677</v>
      </c>
      <c r="E57" s="1" t="str">
        <f ca="1">IFERROR(__xludf.DUMMYFUNCTION("""COMPUTED_VALUE"""),"Venezuela")</f>
        <v>Venezuela</v>
      </c>
      <c r="F57" s="1" t="str">
        <f ca="1">IFERROR(__xludf.DUMMYFUNCTION("""COMPUTED_VALUE"""),"97.24 Venezuela")</f>
        <v>97.24 Venezuela</v>
      </c>
      <c r="G57" s="1" t="str">
        <f ca="1">IFERROR(__xludf.DUMMYFUNCTION("""COMPUTED_VALUE"""),"Freedom of Expression")</f>
        <v>Freedom of Expression</v>
      </c>
      <c r="H57" s="1" t="str">
        <f ca="1">IFERROR(__xludf.DUMMYFUNCTION("""COMPUTED_VALUE"""),"2024")</f>
        <v>2024</v>
      </c>
      <c r="I57" s="1" t="str">
        <f ca="1">IFERROR(__xludf.DUMMYFUNCTION("""COMPUTED_VALUE"""),"Letter")</f>
        <v>Letter</v>
      </c>
    </row>
    <row r="58" spans="1:9" ht="13" x14ac:dyDescent="0.15">
      <c r="A58" s="9">
        <f ca="1">IFERROR(__xludf.DUMMYFUNCTION("""COMPUTED_VALUE"""),29129871)</f>
        <v>29129871</v>
      </c>
      <c r="B58" s="1" t="str">
        <f ca="1">IFERROR(__xludf.DUMMYFUNCTION("""COMPUTED_VALUE"""),"susan_huebert@yahoo.ca")</f>
        <v>susan_huebert@yahoo.ca</v>
      </c>
      <c r="C58" s="9" t="str">
        <f ca="1">IFERROR(__xludf.DUMMYFUNCTION("""COMPUTED_VALUE"""),"EVERGREEN - UAN Gated Content - Embedded Petition")</f>
        <v>EVERGREEN - UAN Gated Content - Embedded Petition</v>
      </c>
      <c r="D58" s="10">
        <f ca="1">IFERROR(__xludf.DUMMYFUNCTION("""COMPUTED_VALUE"""),45694)</f>
        <v>45694</v>
      </c>
      <c r="E58" s="1" t="str">
        <f ca="1">IFERROR(__xludf.DUMMYFUNCTION("""COMPUTED_VALUE"""),"Iran")</f>
        <v>Iran</v>
      </c>
      <c r="F58" s="1" t="str">
        <f ca="1">IFERROR(__xludf.DUMMYFUNCTION("""COMPUTED_VALUE"""),"Seventh 103.22 Iran")</f>
        <v>Seventh 103.22 Iran</v>
      </c>
      <c r="G58" s="1" t="str">
        <f ca="1">IFERROR(__xludf.DUMMYFUNCTION("""COMPUTED_VALUE"""),"Death Penalty, Freedom of Expression, Individuals At Risk")</f>
        <v>Death Penalty, Freedom of Expression, Individuals At Risk</v>
      </c>
      <c r="H58" s="1" t="str">
        <f ca="1">IFERROR(__xludf.DUMMYFUNCTION("""COMPUTED_VALUE"""),"2024")</f>
        <v>2024</v>
      </c>
      <c r="I58" s="1" t="str">
        <f ca="1">IFERROR(__xludf.DUMMYFUNCTION("""COMPUTED_VALUE"""),"Email")</f>
        <v>Email</v>
      </c>
    </row>
    <row r="59" spans="1:9" ht="13" x14ac:dyDescent="0.15">
      <c r="A59" s="9">
        <f ca="1">IFERROR(__xludf.DUMMYFUNCTION("""COMPUTED_VALUE"""),29148269)</f>
        <v>29148269</v>
      </c>
      <c r="B59" s="1" t="str">
        <f ca="1">IFERROR(__xludf.DUMMYFUNCTION("""COMPUTED_VALUE"""),"cjtraveler@msn.com")</f>
        <v>cjtraveler@msn.com</v>
      </c>
      <c r="C59" s="9" t="str">
        <f ca="1">IFERROR(__xludf.DUMMYFUNCTION("""COMPUTED_VALUE"""),"EVERGREEN - UAN Gated Content - Embedded Petition")</f>
        <v>EVERGREEN - UAN Gated Content - Embedded Petition</v>
      </c>
      <c r="D59" s="10">
        <f ca="1">IFERROR(__xludf.DUMMYFUNCTION("""COMPUTED_VALUE"""),45640)</f>
        <v>45640</v>
      </c>
      <c r="E59" s="1" t="str">
        <f ca="1">IFERROR(__xludf.DUMMYFUNCTION("""COMPUTED_VALUE"""),"Venezuela")</f>
        <v>Venezuela</v>
      </c>
      <c r="F59" s="1" t="str">
        <f ca="1">IFERROR(__xludf.DUMMYFUNCTION("""COMPUTED_VALUE"""),"97.24 Venezuela")</f>
        <v>97.24 Venezuela</v>
      </c>
      <c r="G59" s="1" t="str">
        <f ca="1">IFERROR(__xludf.DUMMYFUNCTION("""COMPUTED_VALUE"""),"Freedom of Expression")</f>
        <v>Freedom of Expression</v>
      </c>
      <c r="H59" s="1" t="str">
        <f ca="1">IFERROR(__xludf.DUMMYFUNCTION("""COMPUTED_VALUE"""),"2024")</f>
        <v>2024</v>
      </c>
      <c r="I59" s="1" t="str">
        <f ca="1">IFERROR(__xludf.DUMMYFUNCTION("""COMPUTED_VALUE"""),"Letter")</f>
        <v>Letter</v>
      </c>
    </row>
    <row r="60" spans="1:9" ht="13" x14ac:dyDescent="0.15">
      <c r="A60" s="9">
        <f ca="1">IFERROR(__xludf.DUMMYFUNCTION("""COMPUTED_VALUE"""),29148269)</f>
        <v>29148269</v>
      </c>
      <c r="B60" s="1" t="str">
        <f ca="1">IFERROR(__xludf.DUMMYFUNCTION("""COMPUTED_VALUE"""),"cjtraveler@msn.com")</f>
        <v>cjtraveler@msn.com</v>
      </c>
      <c r="C60" s="9" t="str">
        <f ca="1">IFERROR(__xludf.DUMMYFUNCTION("""COMPUTED_VALUE"""),"EVERGREEN - UAN Gated Content - Embedded Petition")</f>
        <v>EVERGREEN - UAN Gated Content - Embedded Petition</v>
      </c>
      <c r="D60" s="10">
        <f ca="1">IFERROR(__xludf.DUMMYFUNCTION("""COMPUTED_VALUE"""),45640)</f>
        <v>45640</v>
      </c>
      <c r="E60" s="1" t="str">
        <f ca="1">IFERROR(__xludf.DUMMYFUNCTION("""COMPUTED_VALUE"""),"China")</f>
        <v>China</v>
      </c>
      <c r="F60" s="1" t="str">
        <f ca="1">IFERROR(__xludf.DUMMYFUNCTION("""COMPUTED_VALUE"""),"98.24 China")</f>
        <v>98.24 China</v>
      </c>
      <c r="G60" s="1" t="str">
        <f ca="1">IFERROR(__xludf.DUMMYFUNCTION("""COMPUTED_VALUE"""),"Freedom of Expression, Individuals At Risk")</f>
        <v>Freedom of Expression, Individuals At Risk</v>
      </c>
      <c r="H60" s="1" t="str">
        <f ca="1">IFERROR(__xludf.DUMMYFUNCTION("""COMPUTED_VALUE"""),"2024")</f>
        <v>2024</v>
      </c>
      <c r="I60" s="1" t="str">
        <f ca="1">IFERROR(__xludf.DUMMYFUNCTION("""COMPUTED_VALUE"""),"Letter")</f>
        <v>Letter</v>
      </c>
    </row>
    <row r="61" spans="1:9" ht="13" x14ac:dyDescent="0.15">
      <c r="A61" s="9">
        <f ca="1">IFERROR(__xludf.DUMMYFUNCTION("""COMPUTED_VALUE"""),29148269)</f>
        <v>29148269</v>
      </c>
      <c r="B61" s="1" t="str">
        <f ca="1">IFERROR(__xludf.DUMMYFUNCTION("""COMPUTED_VALUE"""),"cjtraveler@msn.com")</f>
        <v>cjtraveler@msn.com</v>
      </c>
      <c r="C61" s="9" t="str">
        <f ca="1">IFERROR(__xludf.DUMMYFUNCTION("""COMPUTED_VALUE"""),"EVERGREEN - UAN Gated Content - Embedded Petition")</f>
        <v>EVERGREEN - UAN Gated Content - Embedded Petition</v>
      </c>
      <c r="D61" s="10">
        <f ca="1">IFERROR(__xludf.DUMMYFUNCTION("""COMPUTED_VALUE"""),45640)</f>
        <v>45640</v>
      </c>
      <c r="E61" s="1" t="str">
        <f ca="1">IFERROR(__xludf.DUMMYFUNCTION("""COMPUTED_VALUE"""),"Tunisia")</f>
        <v>Tunisia</v>
      </c>
      <c r="F61" s="1" t="str">
        <f ca="1">IFERROR(__xludf.DUMMYFUNCTION("""COMPUTED_VALUE"""),"Second 76.24 Tunisia")</f>
        <v>Second 76.24 Tunisia</v>
      </c>
      <c r="G61" s="1" t="str">
        <f ca="1">IFERROR(__xludf.DUMMYFUNCTION("""COMPUTED_VALUE"""),"Freedom of Expression, Human Rights Defenders")</f>
        <v>Freedom of Expression, Human Rights Defenders</v>
      </c>
      <c r="H61" s="1" t="str">
        <f ca="1">IFERROR(__xludf.DUMMYFUNCTION("""COMPUTED_VALUE"""),"2025")</f>
        <v>2025</v>
      </c>
      <c r="I61" s="1" t="str">
        <f ca="1">IFERROR(__xludf.DUMMYFUNCTION("""COMPUTED_VALUE"""),"Email")</f>
        <v>Email</v>
      </c>
    </row>
    <row r="62" spans="1:9" ht="13" x14ac:dyDescent="0.15">
      <c r="A62" s="9">
        <f ca="1">IFERROR(__xludf.DUMMYFUNCTION("""COMPUTED_VALUE"""),29150877)</f>
        <v>29150877</v>
      </c>
      <c r="B62" s="1" t="str">
        <f ca="1">IFERROR(__xludf.DUMMYFUNCTION("""COMPUTED_VALUE"""),"tena.hoke@gmail.com")</f>
        <v>tena.hoke@gmail.com</v>
      </c>
      <c r="C62" s="9" t="str">
        <f ca="1">IFERROR(__xludf.DUMMYFUNCTION("""COMPUTED_VALUE"""),"EVERGREEN - Website Email Capture Form - UAN Pre-Footer")</f>
        <v>EVERGREEN - Website Email Capture Form - UAN Pre-Footer</v>
      </c>
      <c r="D62" s="10">
        <f ca="1">IFERROR(__xludf.DUMMYFUNCTION("""COMPUTED_VALUE"""),45619)</f>
        <v>45619</v>
      </c>
      <c r="E62" s="1" t="str">
        <f ca="1">IFERROR(__xludf.DUMMYFUNCTION("""COMPUTED_VALUE"""),"USA")</f>
        <v>USA</v>
      </c>
      <c r="F62" s="1" t="str">
        <f ca="1">IFERROR(__xludf.DUMMYFUNCTION("""COMPUTED_VALUE"""),"105.24 USA")</f>
        <v>105.24 USA</v>
      </c>
      <c r="G62" s="1" t="str">
        <f ca="1">IFERROR(__xludf.DUMMYFUNCTION("""COMPUTED_VALUE"""),"Death Penalty")</f>
        <v>Death Penalty</v>
      </c>
      <c r="H62" s="1" t="str">
        <f ca="1">IFERROR(__xludf.DUMMYFUNCTION("""COMPUTED_VALUE"""),"2024")</f>
        <v>2024</v>
      </c>
      <c r="I62" s="1" t="str">
        <f ca="1">IFERROR(__xludf.DUMMYFUNCTION("""COMPUTED_VALUE"""),"Email")</f>
        <v>Email</v>
      </c>
    </row>
    <row r="63" spans="1:9" ht="13" x14ac:dyDescent="0.15">
      <c r="A63" s="9">
        <f ca="1">IFERROR(__xludf.DUMMYFUNCTION("""COMPUTED_VALUE"""),29150877)</f>
        <v>29150877</v>
      </c>
      <c r="B63" s="1" t="str">
        <f ca="1">IFERROR(__xludf.DUMMYFUNCTION("""COMPUTED_VALUE"""),"tena.hoke@gmail.com")</f>
        <v>tena.hoke@gmail.com</v>
      </c>
      <c r="C63" s="9" t="str">
        <f ca="1">IFERROR(__xludf.DUMMYFUNCTION("""COMPUTED_VALUE"""),"UAN mid-page Lightbox - Step 1 of 4 - Landing Page")</f>
        <v>UAN mid-page Lightbox - Step 1 of 4 - Landing Page</v>
      </c>
      <c r="D63" s="10">
        <f ca="1">IFERROR(__xludf.DUMMYFUNCTION("""COMPUTED_VALUE"""),45680)</f>
        <v>45680</v>
      </c>
      <c r="E63" s="1" t="str">
        <f ca="1">IFERROR(__xludf.DUMMYFUNCTION("""COMPUTED_VALUE"""),"USA")</f>
        <v>USA</v>
      </c>
      <c r="F63" s="1" t="str">
        <f ca="1">IFERROR(__xludf.DUMMYFUNCTION("""COMPUTED_VALUE"""),"96.24 USA")</f>
        <v>96.24 USA</v>
      </c>
      <c r="G63" s="1" t="str">
        <f ca="1">IFERROR(__xludf.DUMMYFUNCTION("""COMPUTED_VALUE"""),"Death Penalty")</f>
        <v>Death Penalty</v>
      </c>
      <c r="H63" s="1" t="str">
        <f ca="1">IFERROR(__xludf.DUMMYFUNCTION("""COMPUTED_VALUE"""),"2024")</f>
        <v>2024</v>
      </c>
      <c r="I63" s="1" t="str">
        <f ca="1">IFERROR(__xludf.DUMMYFUNCTION("""COMPUTED_VALUE"""),"Email")</f>
        <v>Email</v>
      </c>
    </row>
    <row r="64" spans="1:9" ht="13" x14ac:dyDescent="0.15">
      <c r="A64" s="9">
        <f ca="1">IFERROR(__xludf.DUMMYFUNCTION("""COMPUTED_VALUE"""),29150877)</f>
        <v>29150877</v>
      </c>
      <c r="B64" s="1" t="str">
        <f ca="1">IFERROR(__xludf.DUMMYFUNCTION("""COMPUTED_VALUE"""),"tena.hoke@gmail.com")</f>
        <v>tena.hoke@gmail.com</v>
      </c>
      <c r="C64" s="9" t="str">
        <f ca="1">IFERROR(__xludf.DUMMYFUNCTION("""COMPUTED_VALUE"""),"UAN mid-page Lightbox - Step 2 of 4 - More personal info fields")</f>
        <v>UAN mid-page Lightbox - Step 2 of 4 - More personal info fields</v>
      </c>
      <c r="D64" s="10">
        <f ca="1">IFERROR(__xludf.DUMMYFUNCTION("""COMPUTED_VALUE"""),45680)</f>
        <v>45680</v>
      </c>
      <c r="E64" s="1" t="str">
        <f ca="1">IFERROR(__xludf.DUMMYFUNCTION("""COMPUTED_VALUE"""),"Iran")</f>
        <v>Iran</v>
      </c>
      <c r="F64" s="1" t="str">
        <f ca="1">IFERROR(__xludf.DUMMYFUNCTION("""COMPUTED_VALUE"""),"Seventh 103.22 Iran")</f>
        <v>Seventh 103.22 Iran</v>
      </c>
      <c r="G64" s="1" t="str">
        <f ca="1">IFERROR(__xludf.DUMMYFUNCTION("""COMPUTED_VALUE"""),"Death Penalty, Freedom of Expression, Individuals At Risk")</f>
        <v>Death Penalty, Freedom of Expression, Individuals At Risk</v>
      </c>
      <c r="H64" s="1" t="str">
        <f ca="1">IFERROR(__xludf.DUMMYFUNCTION("""COMPUTED_VALUE"""),"2024")</f>
        <v>2024</v>
      </c>
      <c r="I64" s="1" t="str">
        <f ca="1">IFERROR(__xludf.DUMMYFUNCTION("""COMPUTED_VALUE"""),"Email")</f>
        <v>Email</v>
      </c>
    </row>
    <row r="65" spans="1:9" ht="13" x14ac:dyDescent="0.15">
      <c r="A65" s="9">
        <f ca="1">IFERROR(__xludf.DUMMYFUNCTION("""COMPUTED_VALUE"""),29150877)</f>
        <v>29150877</v>
      </c>
      <c r="B65" s="1" t="str">
        <f ca="1">IFERROR(__xludf.DUMMYFUNCTION("""COMPUTED_VALUE"""),"tena.hoke@gmail.com")</f>
        <v>tena.hoke@gmail.com</v>
      </c>
      <c r="C65" s="9" t="str">
        <f ca="1">IFERROR(__xludf.DUMMYFUNCTION("""COMPUTED_VALUE"""),"UAN mid-page Lightbox - Step 3 of 4 - More opt-ins")</f>
        <v>UAN mid-page Lightbox - Step 3 of 4 - More opt-ins</v>
      </c>
      <c r="D65" s="10">
        <f ca="1">IFERROR(__xludf.DUMMYFUNCTION("""COMPUTED_VALUE"""),45680)</f>
        <v>45680</v>
      </c>
      <c r="E65" s="1" t="str">
        <f ca="1">IFERROR(__xludf.DUMMYFUNCTION("""COMPUTED_VALUE"""),"USA")</f>
        <v>USA</v>
      </c>
      <c r="F65" s="1" t="str">
        <f ca="1">IFERROR(__xludf.DUMMYFUNCTION("""COMPUTED_VALUE"""),"96.24 USA")</f>
        <v>96.24 USA</v>
      </c>
      <c r="G65" s="1" t="str">
        <f ca="1">IFERROR(__xludf.DUMMYFUNCTION("""COMPUTED_VALUE"""),"Death Penalty")</f>
        <v>Death Penalty</v>
      </c>
      <c r="H65" s="1" t="str">
        <f ca="1">IFERROR(__xludf.DUMMYFUNCTION("""COMPUTED_VALUE"""),"2024")</f>
        <v>2024</v>
      </c>
      <c r="I65" s="1" t="str">
        <f ca="1">IFERROR(__xludf.DUMMYFUNCTION("""COMPUTED_VALUE"""),"Email")</f>
        <v>Email</v>
      </c>
    </row>
    <row r="66" spans="1:9" ht="13" x14ac:dyDescent="0.15">
      <c r="A66" s="9">
        <f ca="1">IFERROR(__xludf.DUMMYFUNCTION("""COMPUTED_VALUE"""),29153617)</f>
        <v>29153617</v>
      </c>
      <c r="B66" s="1" t="str">
        <f ca="1">IFERROR(__xludf.DUMMYFUNCTION("""COMPUTED_VALUE"""),"zorgon@frontiernet.net")</f>
        <v>zorgon@frontiernet.net</v>
      </c>
      <c r="C66" s="9" t="str">
        <f ca="1">IFERROR(__xludf.DUMMYFUNCTION("""COMPUTED_VALUE"""),"EVERGREEN - UAN Gated Content - Embedded Petition")</f>
        <v>EVERGREEN - UAN Gated Content - Embedded Petition</v>
      </c>
      <c r="D66" s="10">
        <f ca="1">IFERROR(__xludf.DUMMYFUNCTION("""COMPUTED_VALUE"""),45694)</f>
        <v>45694</v>
      </c>
      <c r="E66" s="1" t="str">
        <f ca="1">IFERROR(__xludf.DUMMYFUNCTION("""COMPUTED_VALUE"""),"Tunisia")</f>
        <v>Tunisia</v>
      </c>
      <c r="F66" s="1" t="str">
        <f ca="1">IFERROR(__xludf.DUMMYFUNCTION("""COMPUTED_VALUE"""),"Second 76.24 Tunisia")</f>
        <v>Second 76.24 Tunisia</v>
      </c>
      <c r="G66" s="1" t="str">
        <f ca="1">IFERROR(__xludf.DUMMYFUNCTION("""COMPUTED_VALUE"""),"Freedom of Expression, Human Rights Defenders")</f>
        <v>Freedom of Expression, Human Rights Defenders</v>
      </c>
      <c r="H66" s="1" t="str">
        <f ca="1">IFERROR(__xludf.DUMMYFUNCTION("""COMPUTED_VALUE"""),"2025")</f>
        <v>2025</v>
      </c>
      <c r="I66" s="1" t="str">
        <f ca="1">IFERROR(__xludf.DUMMYFUNCTION("""COMPUTED_VALUE"""),"Email")</f>
        <v>Email</v>
      </c>
    </row>
    <row r="67" spans="1:9" ht="13" x14ac:dyDescent="0.15">
      <c r="A67" s="9">
        <f ca="1">IFERROR(__xludf.DUMMYFUNCTION("""COMPUTED_VALUE"""),29167220)</f>
        <v>29167220</v>
      </c>
      <c r="B67" s="1" t="str">
        <f ca="1">IFERROR(__xludf.DUMMYFUNCTION("""COMPUTED_VALUE"""),"beirutmoores@gmail.com")</f>
        <v>beirutmoores@gmail.com</v>
      </c>
      <c r="C67" s="9" t="str">
        <f ca="1">IFERROR(__xludf.DUMMYFUNCTION("""COMPUTED_VALUE"""),"EVERGREEN - UAN Gated Content - Embedded Petition")</f>
        <v>EVERGREEN - UAN Gated Content - Embedded Petition</v>
      </c>
      <c r="D67" s="10">
        <f ca="1">IFERROR(__xludf.DUMMYFUNCTION("""COMPUTED_VALUE"""),45694)</f>
        <v>45694</v>
      </c>
      <c r="E67" s="1" t="str">
        <f ca="1">IFERROR(__xludf.DUMMYFUNCTION("""COMPUTED_VALUE"""),"Dominican Republic")</f>
        <v>Dominican Republic</v>
      </c>
      <c r="F67" s="1" t="str">
        <f ca="1">IFERROR(__xludf.DUMMYFUNCTION("""COMPUTED_VALUE"""),"88.24 Dominican Republic")</f>
        <v>88.24 Dominican Republic</v>
      </c>
      <c r="G67" s="1" t="str">
        <f ca="1">IFERROR(__xludf.DUMMYFUNCTION("""COMPUTED_VALUE"""),"Individuals At Risk, Refugee and Migrant Rights")</f>
        <v>Individuals At Risk, Refugee and Migrant Rights</v>
      </c>
      <c r="H67" s="1" t="str">
        <f ca="1">IFERROR(__xludf.DUMMYFUNCTION("""COMPUTED_VALUE"""),"2024")</f>
        <v>2024</v>
      </c>
      <c r="I67" s="1" t="str">
        <f ca="1">IFERROR(__xludf.DUMMYFUNCTION("""COMPUTED_VALUE"""),"Letter")</f>
        <v>Letter</v>
      </c>
    </row>
    <row r="68" spans="1:9" ht="13" x14ac:dyDescent="0.15">
      <c r="A68" s="9">
        <f ca="1">IFERROR(__xludf.DUMMYFUNCTION("""COMPUTED_VALUE"""),29208194)</f>
        <v>29208194</v>
      </c>
      <c r="B68" s="1" t="str">
        <f ca="1">IFERROR(__xludf.DUMMYFUNCTION("""COMPUTED_VALUE"""),"orion4643@hotmail.com")</f>
        <v>orion4643@hotmail.com</v>
      </c>
      <c r="C68" s="9" t="str">
        <f ca="1">IFERROR(__xludf.DUMMYFUNCTION("""COMPUTED_VALUE"""),"EVERGREEN - UAN Gated Content - Embedded Petition")</f>
        <v>EVERGREEN - UAN Gated Content - Embedded Petition</v>
      </c>
      <c r="D68" s="10">
        <f ca="1">IFERROR(__xludf.DUMMYFUNCTION("""COMPUTED_VALUE"""),45695)</f>
        <v>45695</v>
      </c>
      <c r="E68" s="1" t="str">
        <f ca="1">IFERROR(__xludf.DUMMYFUNCTION("""COMPUTED_VALUE"""),"Azerbaijan")</f>
        <v>Azerbaijan</v>
      </c>
      <c r="F68" s="1" t="str">
        <f ca="1">IFERROR(__xludf.DUMMYFUNCTION("""COMPUTED_VALUE"""),"2.25 Azerbaijan")</f>
        <v>2.25 Azerbaijan</v>
      </c>
      <c r="G68" s="1" t="str">
        <f ca="1">IFERROR(__xludf.DUMMYFUNCTION("""COMPUTED_VALUE"""),"Freedom of Expression, Human Rights Defenders")</f>
        <v>Freedom of Expression, Human Rights Defenders</v>
      </c>
      <c r="H68" s="1" t="str">
        <f ca="1">IFERROR(__xludf.DUMMYFUNCTION("""COMPUTED_VALUE"""),"2025")</f>
        <v>2025</v>
      </c>
      <c r="I68" s="1" t="str">
        <f ca="1">IFERROR(__xludf.DUMMYFUNCTION("""COMPUTED_VALUE"""),"Email")</f>
        <v>Email</v>
      </c>
    </row>
    <row r="69" spans="1:9" ht="13" x14ac:dyDescent="0.15">
      <c r="A69" s="9">
        <f ca="1">IFERROR(__xludf.DUMMYFUNCTION("""COMPUTED_VALUE"""),29237015)</f>
        <v>29237015</v>
      </c>
      <c r="B69" s="1" t="str">
        <f ca="1">IFERROR(__xludf.DUMMYFUNCTION("""COMPUTED_VALUE"""),"knowltonew@earthlink.net")</f>
        <v>knowltonew@earthlink.net</v>
      </c>
      <c r="C69" s="9" t="str">
        <f ca="1">IFERROR(__xludf.DUMMYFUNCTION("""COMPUTED_VALUE"""),"EVERGREEN - UAN Gated Content - Embedded Petition")</f>
        <v>EVERGREEN - UAN Gated Content - Embedded Petition</v>
      </c>
      <c r="D69" s="10">
        <f ca="1">IFERROR(__xludf.DUMMYFUNCTION("""COMPUTED_VALUE"""),45644)</f>
        <v>45644</v>
      </c>
      <c r="E69" s="1" t="str">
        <f ca="1">IFERROR(__xludf.DUMMYFUNCTION("""COMPUTED_VALUE"""),"Niger")</f>
        <v>Niger</v>
      </c>
      <c r="F69" s="1" t="str">
        <f ca="1">IFERROR(__xludf.DUMMYFUNCTION("""COMPUTED_VALUE"""),"103.24 Niger")</f>
        <v>103.24 Niger</v>
      </c>
      <c r="G69" s="1" t="str">
        <f ca="1">IFERROR(__xludf.DUMMYFUNCTION("""COMPUTED_VALUE"""),"Freedom of Expression, Human Rights Defenders")</f>
        <v>Freedom of Expression, Human Rights Defenders</v>
      </c>
      <c r="H69" s="1" t="str">
        <f ca="1">IFERROR(__xludf.DUMMYFUNCTION("""COMPUTED_VALUE"""),"2024")</f>
        <v>2024</v>
      </c>
      <c r="I69" s="1" t="str">
        <f ca="1">IFERROR(__xludf.DUMMYFUNCTION("""COMPUTED_VALUE"""),"Email")</f>
        <v>Email</v>
      </c>
    </row>
    <row r="70" spans="1:9" ht="13" x14ac:dyDescent="0.15">
      <c r="A70" s="9">
        <f ca="1">IFERROR(__xludf.DUMMYFUNCTION("""COMPUTED_VALUE"""),29423346)</f>
        <v>29423346</v>
      </c>
      <c r="B70" s="1" t="str">
        <f ca="1">IFERROR(__xludf.DUMMYFUNCTION("""COMPUTED_VALUE"""),"krsnan11@yahoo.com")</f>
        <v>krsnan11@yahoo.com</v>
      </c>
      <c r="C70" s="9" t="str">
        <f ca="1">IFERROR(__xludf.DUMMYFUNCTION("""COMPUTED_VALUE"""),"EVERGREEN - UAN Gated Content - Embedded Petition")</f>
        <v>EVERGREEN - UAN Gated Content - Embedded Petition</v>
      </c>
      <c r="D70" s="10">
        <f ca="1">IFERROR(__xludf.DUMMYFUNCTION("""COMPUTED_VALUE"""),45674)</f>
        <v>45674</v>
      </c>
      <c r="E70" s="1" t="str">
        <f ca="1">IFERROR(__xludf.DUMMYFUNCTION("""COMPUTED_VALUE"""),"China")</f>
        <v>China</v>
      </c>
      <c r="F70" s="1" t="str">
        <f ca="1">IFERROR(__xludf.DUMMYFUNCTION("""COMPUTED_VALUE"""),"98.24 China")</f>
        <v>98.24 China</v>
      </c>
      <c r="G70" s="1" t="str">
        <f ca="1">IFERROR(__xludf.DUMMYFUNCTION("""COMPUTED_VALUE"""),"Freedom of Expression, Individuals At Risk")</f>
        <v>Freedom of Expression, Individuals At Risk</v>
      </c>
      <c r="H70" s="1" t="str">
        <f ca="1">IFERROR(__xludf.DUMMYFUNCTION("""COMPUTED_VALUE"""),"2024")</f>
        <v>2024</v>
      </c>
      <c r="I70" s="1" t="str">
        <f ca="1">IFERROR(__xludf.DUMMYFUNCTION("""COMPUTED_VALUE"""),"Letter")</f>
        <v>Letter</v>
      </c>
    </row>
    <row r="71" spans="1:9" ht="13" x14ac:dyDescent="0.15">
      <c r="A71" s="9">
        <f ca="1">IFERROR(__xludf.DUMMYFUNCTION("""COMPUTED_VALUE"""),29423346)</f>
        <v>29423346</v>
      </c>
      <c r="B71" s="1" t="str">
        <f ca="1">IFERROR(__xludf.DUMMYFUNCTION("""COMPUTED_VALUE"""),"krsnan11@yahoo.com")</f>
        <v>krsnan11@yahoo.com</v>
      </c>
      <c r="C71" s="9" t="str">
        <f ca="1">IFERROR(__xludf.DUMMYFUNCTION("""COMPUTED_VALUE"""),"EVERGREEN - UAN Gated Content - Embedded Petition")</f>
        <v>EVERGREEN - UAN Gated Content - Embedded Petition</v>
      </c>
      <c r="D71" s="10">
        <f ca="1">IFERROR(__xludf.DUMMYFUNCTION("""COMPUTED_VALUE"""),45636)</f>
        <v>45636</v>
      </c>
      <c r="E71" s="1" t="str">
        <f ca="1">IFERROR(__xludf.DUMMYFUNCTION("""COMPUTED_VALUE"""),"USA")</f>
        <v>USA</v>
      </c>
      <c r="F71" s="1" t="str">
        <f ca="1">IFERROR(__xludf.DUMMYFUNCTION("""COMPUTED_VALUE"""),"105.24 USA")</f>
        <v>105.24 USA</v>
      </c>
      <c r="G71" s="1" t="str">
        <f ca="1">IFERROR(__xludf.DUMMYFUNCTION("""COMPUTED_VALUE"""),"Death Penalty")</f>
        <v>Death Penalty</v>
      </c>
      <c r="H71" s="1" t="str">
        <f ca="1">IFERROR(__xludf.DUMMYFUNCTION("""COMPUTED_VALUE"""),"2024")</f>
        <v>2024</v>
      </c>
      <c r="I71" s="1" t="str">
        <f ca="1">IFERROR(__xludf.DUMMYFUNCTION("""COMPUTED_VALUE"""),"Email")</f>
        <v>Email</v>
      </c>
    </row>
    <row r="72" spans="1:9" ht="13" x14ac:dyDescent="0.15">
      <c r="A72" s="9">
        <f ca="1">IFERROR(__xludf.DUMMYFUNCTION("""COMPUTED_VALUE"""),29423346)</f>
        <v>29423346</v>
      </c>
      <c r="B72" s="1" t="str">
        <f ca="1">IFERROR(__xludf.DUMMYFUNCTION("""COMPUTED_VALUE"""),"krsnan11@yahoo.com")</f>
        <v>krsnan11@yahoo.com</v>
      </c>
      <c r="C72" s="9" t="str">
        <f ca="1">IFERROR(__xludf.DUMMYFUNCTION("""COMPUTED_VALUE"""),"EVERGREEN - UAN Gated Content - Embedded Petition")</f>
        <v>EVERGREEN - UAN Gated Content - Embedded Petition</v>
      </c>
      <c r="D72" s="10">
        <f ca="1">IFERROR(__xludf.DUMMYFUNCTION("""COMPUTED_VALUE"""),45636)</f>
        <v>45636</v>
      </c>
      <c r="E72" s="1" t="str">
        <f ca="1">IFERROR(__xludf.DUMMYFUNCTION("""COMPUTED_VALUE"""),"Tunisia")</f>
        <v>Tunisia</v>
      </c>
      <c r="F72" s="1" t="str">
        <f ca="1">IFERROR(__xludf.DUMMYFUNCTION("""COMPUTED_VALUE"""),"Second 76.24 Tunisia")</f>
        <v>Second 76.24 Tunisia</v>
      </c>
      <c r="G72" s="1" t="str">
        <f ca="1">IFERROR(__xludf.DUMMYFUNCTION("""COMPUTED_VALUE"""),"Freedom of Expression, Human Rights Defenders")</f>
        <v>Freedom of Expression, Human Rights Defenders</v>
      </c>
      <c r="H72" s="1" t="str">
        <f ca="1">IFERROR(__xludf.DUMMYFUNCTION("""COMPUTED_VALUE"""),"2025")</f>
        <v>2025</v>
      </c>
      <c r="I72" s="1" t="str">
        <f ca="1">IFERROR(__xludf.DUMMYFUNCTION("""COMPUTED_VALUE"""),"Email")</f>
        <v>Email</v>
      </c>
    </row>
    <row r="73" spans="1:9" ht="13" x14ac:dyDescent="0.15">
      <c r="A73" s="9">
        <f ca="1">IFERROR(__xludf.DUMMYFUNCTION("""COMPUTED_VALUE"""),29423346)</f>
        <v>29423346</v>
      </c>
      <c r="B73" s="1" t="str">
        <f ca="1">IFERROR(__xludf.DUMMYFUNCTION("""COMPUTED_VALUE"""),"krsnan11@yahoo.com")</f>
        <v>krsnan11@yahoo.com</v>
      </c>
      <c r="C73" s="9" t="str">
        <f ca="1">IFERROR(__xludf.DUMMYFUNCTION("""COMPUTED_VALUE"""),"EVERGREEN - UAN Gated Content - Embedded Petition")</f>
        <v>EVERGREEN - UAN Gated Content - Embedded Petition</v>
      </c>
      <c r="D73" s="10">
        <f ca="1">IFERROR(__xludf.DUMMYFUNCTION("""COMPUTED_VALUE"""),45694)</f>
        <v>45694</v>
      </c>
      <c r="E73" s="1" t="str">
        <f ca="1">IFERROR(__xludf.DUMMYFUNCTION("""COMPUTED_VALUE"""),"Tunisia")</f>
        <v>Tunisia</v>
      </c>
      <c r="F73" s="1" t="str">
        <f ca="1">IFERROR(__xludf.DUMMYFUNCTION("""COMPUTED_VALUE"""),"Second 76.24 Tunisia")</f>
        <v>Second 76.24 Tunisia</v>
      </c>
      <c r="G73" s="1" t="str">
        <f ca="1">IFERROR(__xludf.DUMMYFUNCTION("""COMPUTED_VALUE"""),"Freedom of Expression, Human Rights Defenders")</f>
        <v>Freedom of Expression, Human Rights Defenders</v>
      </c>
      <c r="H73" s="1" t="str">
        <f ca="1">IFERROR(__xludf.DUMMYFUNCTION("""COMPUTED_VALUE"""),"2025")</f>
        <v>2025</v>
      </c>
      <c r="I73" s="1" t="str">
        <f ca="1">IFERROR(__xludf.DUMMYFUNCTION("""COMPUTED_VALUE"""),"Email")</f>
        <v>Email</v>
      </c>
    </row>
    <row r="74" spans="1:9" ht="13" x14ac:dyDescent="0.15">
      <c r="A74" s="9">
        <f ca="1">IFERROR(__xludf.DUMMYFUNCTION("""COMPUTED_VALUE"""),29423346)</f>
        <v>29423346</v>
      </c>
      <c r="B74" s="1" t="str">
        <f ca="1">IFERROR(__xludf.DUMMYFUNCTION("""COMPUTED_VALUE"""),"krsnan11@yahoo.com")</f>
        <v>krsnan11@yahoo.com</v>
      </c>
      <c r="C74" s="9" t="str">
        <f ca="1">IFERROR(__xludf.DUMMYFUNCTION("""COMPUTED_VALUE"""),"EVERGREEN - UAN Gated Content - Embedded Petition")</f>
        <v>EVERGREEN - UAN Gated Content - Embedded Petition</v>
      </c>
      <c r="D74" s="10">
        <f ca="1">IFERROR(__xludf.DUMMYFUNCTION("""COMPUTED_VALUE"""),45636)</f>
        <v>45636</v>
      </c>
      <c r="E74" s="1" t="str">
        <f ca="1">IFERROR(__xludf.DUMMYFUNCTION("""COMPUTED_VALUE"""),"USA")</f>
        <v>USA</v>
      </c>
      <c r="F74" s="1" t="str">
        <f ca="1">IFERROR(__xludf.DUMMYFUNCTION("""COMPUTED_VALUE"""),"4.25 USA")</f>
        <v>4.25 USA</v>
      </c>
      <c r="G74" s="1" t="str">
        <f ca="1">IFERROR(__xludf.DUMMYFUNCTION("""COMPUTED_VALUE"""),"Individuals At Risk, Refugee and Migrant Rights")</f>
        <v>Individuals At Risk, Refugee and Migrant Rights</v>
      </c>
      <c r="H74" s="1" t="str">
        <f ca="1">IFERROR(__xludf.DUMMYFUNCTION("""COMPUTED_VALUE"""),"2025")</f>
        <v>2025</v>
      </c>
      <c r="I74" s="1" t="str">
        <f ca="1">IFERROR(__xludf.DUMMYFUNCTION("""COMPUTED_VALUE"""),"Letter")</f>
        <v>Letter</v>
      </c>
    </row>
    <row r="75" spans="1:9" ht="13" x14ac:dyDescent="0.15">
      <c r="A75" s="9">
        <f ca="1">IFERROR(__xludf.DUMMYFUNCTION("""COMPUTED_VALUE"""),29470311)</f>
        <v>29470311</v>
      </c>
      <c r="B75" s="1" t="str">
        <f ca="1">IFERROR(__xludf.DUMMYFUNCTION("""COMPUTED_VALUE"""),"test@test.com")</f>
        <v>test@test.com</v>
      </c>
      <c r="C75" s="9" t="str">
        <f ca="1">IFERROR(__xludf.DUMMYFUNCTION("""COMPUTED_VALUE"""),"EVERGREEN - UAN Gated Content - Embedded Petition")</f>
        <v>EVERGREEN - UAN Gated Content - Embedded Petition</v>
      </c>
      <c r="D75" s="10">
        <f ca="1">IFERROR(__xludf.DUMMYFUNCTION("""COMPUTED_VALUE"""),45552)</f>
        <v>45552</v>
      </c>
      <c r="E75" s="1" t="str">
        <f ca="1">IFERROR(__xludf.DUMMYFUNCTION("""COMPUTED_VALUE"""),"Tunisia")</f>
        <v>Tunisia</v>
      </c>
      <c r="F75" s="1" t="str">
        <f ca="1">IFERROR(__xludf.DUMMYFUNCTION("""COMPUTED_VALUE"""),"Second 76.24 Tunisia")</f>
        <v>Second 76.24 Tunisia</v>
      </c>
      <c r="G75" s="1" t="str">
        <f ca="1">IFERROR(__xludf.DUMMYFUNCTION("""COMPUTED_VALUE"""),"Freedom of Expression, Human Rights Defenders")</f>
        <v>Freedom of Expression, Human Rights Defenders</v>
      </c>
      <c r="H75" s="1" t="str">
        <f ca="1">IFERROR(__xludf.DUMMYFUNCTION("""COMPUTED_VALUE"""),"2025")</f>
        <v>2025</v>
      </c>
      <c r="I75" s="1" t="str">
        <f ca="1">IFERROR(__xludf.DUMMYFUNCTION("""COMPUTED_VALUE"""),"Email")</f>
        <v>Email</v>
      </c>
    </row>
    <row r="76" spans="1:9" ht="13" x14ac:dyDescent="0.15">
      <c r="A76" s="9">
        <f ca="1">IFERROR(__xludf.DUMMYFUNCTION("""COMPUTED_VALUE"""),29572986)</f>
        <v>29572986</v>
      </c>
      <c r="B76" s="1" t="str">
        <f ca="1">IFERROR(__xludf.DUMMYFUNCTION("""COMPUTED_VALUE"""),"bevphilpott@gmail.com")</f>
        <v>bevphilpott@gmail.com</v>
      </c>
      <c r="C76" s="9" t="str">
        <f ca="1">IFERROR(__xludf.DUMMYFUNCTION("""COMPUTED_VALUE"""),"EVERGREEN - UAN Gated Content - Embedded Petition")</f>
        <v>EVERGREEN - UAN Gated Content - Embedded Petition</v>
      </c>
      <c r="D76" s="10">
        <f ca="1">IFERROR(__xludf.DUMMYFUNCTION("""COMPUTED_VALUE"""),45616)</f>
        <v>45616</v>
      </c>
      <c r="E76" s="1" t="str">
        <f ca="1">IFERROR(__xludf.DUMMYFUNCTION("""COMPUTED_VALUE"""),"Tunisia")</f>
        <v>Tunisia</v>
      </c>
      <c r="F76" s="1" t="str">
        <f ca="1">IFERROR(__xludf.DUMMYFUNCTION("""COMPUTED_VALUE"""),"Second 76.24 Tunisia")</f>
        <v>Second 76.24 Tunisia</v>
      </c>
      <c r="G76" s="1" t="str">
        <f ca="1">IFERROR(__xludf.DUMMYFUNCTION("""COMPUTED_VALUE"""),"Freedom of Expression, Human Rights Defenders")</f>
        <v>Freedom of Expression, Human Rights Defenders</v>
      </c>
      <c r="H76" s="1" t="str">
        <f ca="1">IFERROR(__xludf.DUMMYFUNCTION("""COMPUTED_VALUE"""),"2025")</f>
        <v>2025</v>
      </c>
      <c r="I76" s="1" t="str">
        <f ca="1">IFERROR(__xludf.DUMMYFUNCTION("""COMPUTED_VALUE"""),"Email")</f>
        <v>Email</v>
      </c>
    </row>
    <row r="77" spans="1:9" ht="13" x14ac:dyDescent="0.15">
      <c r="A77" s="9">
        <f ca="1">IFERROR(__xludf.DUMMYFUNCTION("""COMPUTED_VALUE"""),29648947)</f>
        <v>29648947</v>
      </c>
      <c r="B77" s="1" t="str">
        <f ca="1">IFERROR(__xludf.DUMMYFUNCTION("""COMPUTED_VALUE"""),"den14smi@hotmail.com")</f>
        <v>den14smi@hotmail.com</v>
      </c>
      <c r="C77" s="9" t="str">
        <f ca="1">IFERROR(__xludf.DUMMYFUNCTION("""COMPUTED_VALUE"""),"EVERGREEN - UAN Gated Content - Embedded Petition")</f>
        <v>EVERGREEN - UAN Gated Content - Embedded Petition</v>
      </c>
      <c r="D77" s="10">
        <f ca="1">IFERROR(__xludf.DUMMYFUNCTION("""COMPUTED_VALUE"""),45674)</f>
        <v>45674</v>
      </c>
      <c r="E77" s="1" t="str">
        <f ca="1">IFERROR(__xludf.DUMMYFUNCTION("""COMPUTED_VALUE"""),"Tunisia")</f>
        <v>Tunisia</v>
      </c>
      <c r="F77" s="1" t="str">
        <f ca="1">IFERROR(__xludf.DUMMYFUNCTION("""COMPUTED_VALUE"""),"Second 76.24 Tunisia")</f>
        <v>Second 76.24 Tunisia</v>
      </c>
      <c r="G77" s="1" t="str">
        <f ca="1">IFERROR(__xludf.DUMMYFUNCTION("""COMPUTED_VALUE"""),"Freedom of Expression, Human Rights Defenders")</f>
        <v>Freedom of Expression, Human Rights Defenders</v>
      </c>
      <c r="H77" s="1" t="str">
        <f ca="1">IFERROR(__xludf.DUMMYFUNCTION("""COMPUTED_VALUE"""),"2025")</f>
        <v>2025</v>
      </c>
      <c r="I77" s="1" t="str">
        <f ca="1">IFERROR(__xludf.DUMMYFUNCTION("""COMPUTED_VALUE"""),"Email")</f>
        <v>Email</v>
      </c>
    </row>
    <row r="78" spans="1:9" ht="13" x14ac:dyDescent="0.15">
      <c r="A78" s="9">
        <f ca="1">IFERROR(__xludf.DUMMYFUNCTION("""COMPUTED_VALUE"""),29648947)</f>
        <v>29648947</v>
      </c>
      <c r="B78" s="1" t="str">
        <f ca="1">IFERROR(__xludf.DUMMYFUNCTION("""COMPUTED_VALUE"""),"den14smi@hotmail.com")</f>
        <v>den14smi@hotmail.com</v>
      </c>
      <c r="C78" s="9" t="str">
        <f ca="1">IFERROR(__xludf.DUMMYFUNCTION("""COMPUTED_VALUE"""),"EVERGREEN - UAN Gated Content - Embedded Petition")</f>
        <v>EVERGREEN - UAN Gated Content - Embedded Petition</v>
      </c>
      <c r="D78" s="10">
        <f ca="1">IFERROR(__xludf.DUMMYFUNCTION("""COMPUTED_VALUE"""),45616)</f>
        <v>45616</v>
      </c>
      <c r="E78" s="1" t="str">
        <f ca="1">IFERROR(__xludf.DUMMYFUNCTION("""COMPUTED_VALUE"""),"Azerbaijan")</f>
        <v>Azerbaijan</v>
      </c>
      <c r="F78" s="1" t="str">
        <f ca="1">IFERROR(__xludf.DUMMYFUNCTION("""COMPUTED_VALUE"""),"2.25 Azerbaijan")</f>
        <v>2.25 Azerbaijan</v>
      </c>
      <c r="G78" s="1" t="str">
        <f ca="1">IFERROR(__xludf.DUMMYFUNCTION("""COMPUTED_VALUE"""),"Freedom of Expression, Human Rights Defenders")</f>
        <v>Freedom of Expression, Human Rights Defenders</v>
      </c>
      <c r="H78" s="1" t="str">
        <f ca="1">IFERROR(__xludf.DUMMYFUNCTION("""COMPUTED_VALUE"""),"2025")</f>
        <v>2025</v>
      </c>
      <c r="I78" s="1" t="str">
        <f ca="1">IFERROR(__xludf.DUMMYFUNCTION("""COMPUTED_VALUE"""),"Email")</f>
        <v>Email</v>
      </c>
    </row>
    <row r="79" spans="1:9" ht="13" x14ac:dyDescent="0.15">
      <c r="A79" s="9">
        <f ca="1">IFERROR(__xludf.DUMMYFUNCTION("""COMPUTED_VALUE"""),29648947)</f>
        <v>29648947</v>
      </c>
      <c r="B79" s="1" t="str">
        <f ca="1">IFERROR(__xludf.DUMMYFUNCTION("""COMPUTED_VALUE"""),"den14smi@hotmail.com")</f>
        <v>den14smi@hotmail.com</v>
      </c>
      <c r="C79" s="9" t="str">
        <f ca="1">IFERROR(__xludf.DUMMYFUNCTION("""COMPUTED_VALUE"""),"EVERGREEN - UAN Gated Content - Embedded Petition")</f>
        <v>EVERGREEN - UAN Gated Content - Embedded Petition</v>
      </c>
      <c r="D79" s="10">
        <f ca="1">IFERROR(__xludf.DUMMYFUNCTION("""COMPUTED_VALUE"""),45694)</f>
        <v>45694</v>
      </c>
      <c r="E79" s="1" t="str">
        <f ca="1">IFERROR(__xludf.DUMMYFUNCTION("""COMPUTED_VALUE"""),"USA")</f>
        <v>USA</v>
      </c>
      <c r="F79" s="1" t="str">
        <f ca="1">IFERROR(__xludf.DUMMYFUNCTION("""COMPUTED_VALUE"""),"4.25 USA")</f>
        <v>4.25 USA</v>
      </c>
      <c r="G79" s="1" t="str">
        <f ca="1">IFERROR(__xludf.DUMMYFUNCTION("""COMPUTED_VALUE"""),"Individuals At Risk, Refugee and Migrant Rights")</f>
        <v>Individuals At Risk, Refugee and Migrant Rights</v>
      </c>
      <c r="H79" s="1" t="str">
        <f ca="1">IFERROR(__xludf.DUMMYFUNCTION("""COMPUTED_VALUE"""),"2025")</f>
        <v>2025</v>
      </c>
      <c r="I79" s="1" t="str">
        <f ca="1">IFERROR(__xludf.DUMMYFUNCTION("""COMPUTED_VALUE"""),"Letter")</f>
        <v>Letter</v>
      </c>
    </row>
    <row r="80" spans="1:9" ht="13" x14ac:dyDescent="0.15">
      <c r="A80" s="9">
        <f ca="1">IFERROR(__xludf.DUMMYFUNCTION("""COMPUTED_VALUE"""),29648947)</f>
        <v>29648947</v>
      </c>
      <c r="B80" s="1" t="str">
        <f ca="1">IFERROR(__xludf.DUMMYFUNCTION("""COMPUTED_VALUE"""),"den14smi@hotmail.com")</f>
        <v>den14smi@hotmail.com</v>
      </c>
      <c r="C80" s="9" t="str">
        <f ca="1">IFERROR(__xludf.DUMMYFUNCTION("""COMPUTED_VALUE"""),"EVERGREEN - UAN Gated Content - Embedded Petition")</f>
        <v>EVERGREEN - UAN Gated Content - Embedded Petition</v>
      </c>
      <c r="D80" s="10">
        <f ca="1">IFERROR(__xludf.DUMMYFUNCTION("""COMPUTED_VALUE"""),45616)</f>
        <v>45616</v>
      </c>
      <c r="E80" s="1" t="str">
        <f ca="1">IFERROR(__xludf.DUMMYFUNCTION("""COMPUTED_VALUE"""),"Tunisia")</f>
        <v>Tunisia</v>
      </c>
      <c r="F80" s="1" t="str">
        <f ca="1">IFERROR(__xludf.DUMMYFUNCTION("""COMPUTED_VALUE"""),"Second 76.24 Tunisia")</f>
        <v>Second 76.24 Tunisia</v>
      </c>
      <c r="G80" s="1" t="str">
        <f ca="1">IFERROR(__xludf.DUMMYFUNCTION("""COMPUTED_VALUE"""),"Freedom of Expression, Human Rights Defenders")</f>
        <v>Freedom of Expression, Human Rights Defenders</v>
      </c>
      <c r="H80" s="1" t="str">
        <f ca="1">IFERROR(__xludf.DUMMYFUNCTION("""COMPUTED_VALUE"""),"2025")</f>
        <v>2025</v>
      </c>
      <c r="I80" s="1" t="str">
        <f ca="1">IFERROR(__xludf.DUMMYFUNCTION("""COMPUTED_VALUE"""),"Email")</f>
        <v>Email</v>
      </c>
    </row>
    <row r="81" spans="1:9" ht="13" x14ac:dyDescent="0.15">
      <c r="A81" s="9">
        <f ca="1">IFERROR(__xludf.DUMMYFUNCTION("""COMPUTED_VALUE"""),29664907)</f>
        <v>29664907</v>
      </c>
      <c r="B81" s="1" t="str">
        <f ca="1">IFERROR(__xludf.DUMMYFUNCTION("""COMPUTED_VALUE"""),"garagekey1947@yahoo.com")</f>
        <v>garagekey1947@yahoo.com</v>
      </c>
      <c r="C81" s="9" t="str">
        <f ca="1">IFERROR(__xludf.DUMMYFUNCTION("""COMPUTED_VALUE"""),"EVERGREEN - UAN Gated Content - Embedded Petition")</f>
        <v>EVERGREEN - UAN Gated Content - Embedded Petition</v>
      </c>
      <c r="D81" s="10">
        <f ca="1">IFERROR(__xludf.DUMMYFUNCTION("""COMPUTED_VALUE"""),45675)</f>
        <v>45675</v>
      </c>
      <c r="E81" s="1" t="str">
        <f ca="1">IFERROR(__xludf.DUMMYFUNCTION("""COMPUTED_VALUE"""),"USA")</f>
        <v>USA</v>
      </c>
      <c r="F81" s="1" t="str">
        <f ca="1">IFERROR(__xludf.DUMMYFUNCTION("""COMPUTED_VALUE"""),"105.24 USA")</f>
        <v>105.24 USA</v>
      </c>
      <c r="G81" s="1" t="str">
        <f ca="1">IFERROR(__xludf.DUMMYFUNCTION("""COMPUTED_VALUE"""),"Death Penalty")</f>
        <v>Death Penalty</v>
      </c>
      <c r="H81" s="1" t="str">
        <f ca="1">IFERROR(__xludf.DUMMYFUNCTION("""COMPUTED_VALUE"""),"2024")</f>
        <v>2024</v>
      </c>
      <c r="I81" s="1" t="str">
        <f ca="1">IFERROR(__xludf.DUMMYFUNCTION("""COMPUTED_VALUE"""),"Email")</f>
        <v>Email</v>
      </c>
    </row>
    <row r="82" spans="1:9" ht="13" x14ac:dyDescent="0.15">
      <c r="A82" s="9">
        <f ca="1">IFERROR(__xludf.DUMMYFUNCTION("""COMPUTED_VALUE"""),29668979)</f>
        <v>29668979</v>
      </c>
      <c r="B82" s="1" t="str">
        <f ca="1">IFERROR(__xludf.DUMMYFUNCTION("""COMPUTED_VALUE"""),"nhenry72@gmail.com")</f>
        <v>nhenry72@gmail.com</v>
      </c>
      <c r="C82" s="9" t="str">
        <f ca="1">IFERROR(__xludf.DUMMYFUNCTION("""COMPUTED_VALUE"""),"EVERGREEN - UAN Gated Content - Embedded Petition")</f>
        <v>EVERGREEN - UAN Gated Content - Embedded Petition</v>
      </c>
      <c r="D82" s="10">
        <f ca="1">IFERROR(__xludf.DUMMYFUNCTION("""COMPUTED_VALUE"""),45675)</f>
        <v>45675</v>
      </c>
      <c r="E82" s="1" t="str">
        <f ca="1">IFERROR(__xludf.DUMMYFUNCTION("""COMPUTED_VALUE"""),"USA")</f>
        <v>USA</v>
      </c>
      <c r="F82" s="1" t="str">
        <f ca="1">IFERROR(__xludf.DUMMYFUNCTION("""COMPUTED_VALUE"""),"96.24 USA")</f>
        <v>96.24 USA</v>
      </c>
      <c r="G82" s="1" t="str">
        <f ca="1">IFERROR(__xludf.DUMMYFUNCTION("""COMPUTED_VALUE"""),"Death Penalty")</f>
        <v>Death Penalty</v>
      </c>
      <c r="H82" s="1" t="str">
        <f ca="1">IFERROR(__xludf.DUMMYFUNCTION("""COMPUTED_VALUE"""),"2024")</f>
        <v>2024</v>
      </c>
      <c r="I82" s="1" t="str">
        <f ca="1">IFERROR(__xludf.DUMMYFUNCTION("""COMPUTED_VALUE"""),"Email")</f>
        <v>Email</v>
      </c>
    </row>
    <row r="83" spans="1:9" ht="13" x14ac:dyDescent="0.15">
      <c r="A83" s="9">
        <f ca="1">IFERROR(__xludf.DUMMYFUNCTION("""COMPUTED_VALUE"""),29668979)</f>
        <v>29668979</v>
      </c>
      <c r="B83" s="1" t="str">
        <f ca="1">IFERROR(__xludf.DUMMYFUNCTION("""COMPUTED_VALUE"""),"nhenry72@gmail.com")</f>
        <v>nhenry72@gmail.com</v>
      </c>
      <c r="C83" s="9" t="str">
        <f ca="1">IFERROR(__xludf.DUMMYFUNCTION("""COMPUTED_VALUE"""),"EVERGREEN - UAN Gated Content - Embedded Petition")</f>
        <v>EVERGREEN - UAN Gated Content - Embedded Petition</v>
      </c>
      <c r="D83" s="10">
        <f ca="1">IFERROR(__xludf.DUMMYFUNCTION("""COMPUTED_VALUE"""),45638)</f>
        <v>45638</v>
      </c>
      <c r="E83" s="1" t="str">
        <f ca="1">IFERROR(__xludf.DUMMYFUNCTION("""COMPUTED_VALUE"""),"Tunisia")</f>
        <v>Tunisia</v>
      </c>
      <c r="F83" s="1" t="str">
        <f ca="1">IFERROR(__xludf.DUMMYFUNCTION("""COMPUTED_VALUE"""),"Second 76.24 Tunisia")</f>
        <v>Second 76.24 Tunisia</v>
      </c>
      <c r="G83" s="1" t="str">
        <f ca="1">IFERROR(__xludf.DUMMYFUNCTION("""COMPUTED_VALUE"""),"Freedom of Expression, Human Rights Defenders")</f>
        <v>Freedom of Expression, Human Rights Defenders</v>
      </c>
      <c r="H83" s="1" t="str">
        <f ca="1">IFERROR(__xludf.DUMMYFUNCTION("""COMPUTED_VALUE"""),"2025")</f>
        <v>2025</v>
      </c>
      <c r="I83" s="1" t="str">
        <f ca="1">IFERROR(__xludf.DUMMYFUNCTION("""COMPUTED_VALUE"""),"Email")</f>
        <v>Email</v>
      </c>
    </row>
    <row r="84" spans="1:9" ht="13" x14ac:dyDescent="0.15">
      <c r="A84" s="9">
        <f ca="1">IFERROR(__xludf.DUMMYFUNCTION("""COMPUTED_VALUE"""),29668979)</f>
        <v>29668979</v>
      </c>
      <c r="B84" s="1" t="str">
        <f ca="1">IFERROR(__xludf.DUMMYFUNCTION("""COMPUTED_VALUE"""),"nhenry72@gmail.com")</f>
        <v>nhenry72@gmail.com</v>
      </c>
      <c r="C84" s="9" t="str">
        <f ca="1">IFERROR(__xludf.DUMMYFUNCTION("""COMPUTED_VALUE"""),"EVERGREEN - UAN Gated Content - Embedded Petition")</f>
        <v>EVERGREEN - UAN Gated Content - Embedded Petition</v>
      </c>
      <c r="D84" s="10">
        <f ca="1">IFERROR(__xludf.DUMMYFUNCTION("""COMPUTED_VALUE"""),45637)</f>
        <v>45637</v>
      </c>
      <c r="E84" s="1" t="str">
        <f ca="1">IFERROR(__xludf.DUMMYFUNCTION("""COMPUTED_VALUE"""),"Israel and Occupied Palestinian Territories")</f>
        <v>Israel and Occupied Palestinian Territories</v>
      </c>
      <c r="F84" s="1" t="str">
        <f ca="1">IFERROR(__xludf.DUMMYFUNCTION("""COMPUTED_VALUE"""),"3.25 IOPT")</f>
        <v>3.25 IOPT</v>
      </c>
      <c r="G84" s="1" t="str">
        <f ca="1">IFERROR(__xludf.DUMMYFUNCTION("""COMPUTED_VALUE"""),"Freedom of Expression, Individuals At Risk")</f>
        <v>Freedom of Expression, Individuals At Risk</v>
      </c>
      <c r="H84" s="1" t="str">
        <f ca="1">IFERROR(__xludf.DUMMYFUNCTION("""COMPUTED_VALUE"""),"2025")</f>
        <v>2025</v>
      </c>
      <c r="I84" s="1" t="str">
        <f ca="1">IFERROR(__xludf.DUMMYFUNCTION("""COMPUTED_VALUE"""),"Email")</f>
        <v>Email</v>
      </c>
    </row>
    <row r="85" spans="1:9" ht="13" x14ac:dyDescent="0.15">
      <c r="A85" s="9">
        <f ca="1">IFERROR(__xludf.DUMMYFUNCTION("""COMPUTED_VALUE"""),30230413)</f>
        <v>30230413</v>
      </c>
      <c r="B85" s="1" t="str">
        <f ca="1">IFERROR(__xludf.DUMMYFUNCTION("""COMPUTED_VALUE"""),"elisacovar@gmail.com")</f>
        <v>elisacovar@gmail.com</v>
      </c>
      <c r="C85" s="9" t="str">
        <f ca="1">IFERROR(__xludf.DUMMYFUNCTION("""COMPUTED_VALUE"""),"EVERGREEN - UAN Gated Content - Embedded Petition")</f>
        <v>EVERGREEN - UAN Gated Content - Embedded Petition</v>
      </c>
      <c r="D85" s="10">
        <f ca="1">IFERROR(__xludf.DUMMYFUNCTION("""COMPUTED_VALUE"""),45694)</f>
        <v>45694</v>
      </c>
      <c r="E85" s="1" t="str">
        <f ca="1">IFERROR(__xludf.DUMMYFUNCTION("""COMPUTED_VALUE"""),"Tunisia")</f>
        <v>Tunisia</v>
      </c>
      <c r="F85" s="1" t="str">
        <f ca="1">IFERROR(__xludf.DUMMYFUNCTION("""COMPUTED_VALUE"""),"Second 76.24 Tunisia")</f>
        <v>Second 76.24 Tunisia</v>
      </c>
      <c r="G85" s="1" t="str">
        <f ca="1">IFERROR(__xludf.DUMMYFUNCTION("""COMPUTED_VALUE"""),"Freedom of Expression, Human Rights Defenders")</f>
        <v>Freedom of Expression, Human Rights Defenders</v>
      </c>
      <c r="H85" s="1" t="str">
        <f ca="1">IFERROR(__xludf.DUMMYFUNCTION("""COMPUTED_VALUE"""),"2025")</f>
        <v>2025</v>
      </c>
      <c r="I85" s="1" t="str">
        <f ca="1">IFERROR(__xludf.DUMMYFUNCTION("""COMPUTED_VALUE"""),"Email")</f>
        <v>Email</v>
      </c>
    </row>
    <row r="86" spans="1:9" ht="13" x14ac:dyDescent="0.15">
      <c r="A86" s="9">
        <f ca="1">IFERROR(__xludf.DUMMYFUNCTION("""COMPUTED_VALUE"""),30232575)</f>
        <v>30232575</v>
      </c>
      <c r="B86" s="1" t="str">
        <f ca="1">IFERROR(__xludf.DUMMYFUNCTION("""COMPUTED_VALUE"""),"kilianailik@gmail.com")</f>
        <v>kilianailik@gmail.com</v>
      </c>
      <c r="C86" s="9" t="str">
        <f ca="1">IFERROR(__xludf.DUMMYFUNCTION("""COMPUTED_VALUE"""),"EVERGREEN - UAN Gated Content - Embedded Petition")</f>
        <v>EVERGREEN - UAN Gated Content - Embedded Petition</v>
      </c>
      <c r="D86" s="10">
        <f ca="1">IFERROR(__xludf.DUMMYFUNCTION("""COMPUTED_VALUE"""),45694)</f>
        <v>45694</v>
      </c>
      <c r="E86" s="1" t="str">
        <f ca="1">IFERROR(__xludf.DUMMYFUNCTION("""COMPUTED_VALUE"""),"USA")</f>
        <v>USA</v>
      </c>
      <c r="F86" s="1" t="str">
        <f ca="1">IFERROR(__xludf.DUMMYFUNCTION("""COMPUTED_VALUE"""),"4.25 USA")</f>
        <v>4.25 USA</v>
      </c>
      <c r="G86" s="1" t="str">
        <f ca="1">IFERROR(__xludf.DUMMYFUNCTION("""COMPUTED_VALUE"""),"Individuals At Risk, Refugee and Migrant Rights")</f>
        <v>Individuals At Risk, Refugee and Migrant Rights</v>
      </c>
      <c r="H86" s="1" t="str">
        <f ca="1">IFERROR(__xludf.DUMMYFUNCTION("""COMPUTED_VALUE"""),"2025")</f>
        <v>2025</v>
      </c>
      <c r="I86" s="1" t="str">
        <f ca="1">IFERROR(__xludf.DUMMYFUNCTION("""COMPUTED_VALUE"""),"Letter")</f>
        <v>Letter</v>
      </c>
    </row>
    <row r="87" spans="1:9" ht="13" x14ac:dyDescent="0.15">
      <c r="A87" s="9">
        <f ca="1">IFERROR(__xludf.DUMMYFUNCTION("""COMPUTED_VALUE"""),30232575)</f>
        <v>30232575</v>
      </c>
      <c r="B87" s="1" t="str">
        <f ca="1">IFERROR(__xludf.DUMMYFUNCTION("""COMPUTED_VALUE"""),"kilianailik@gmail.com")</f>
        <v>kilianailik@gmail.com</v>
      </c>
      <c r="C87" s="9" t="str">
        <f ca="1">IFERROR(__xludf.DUMMYFUNCTION("""COMPUTED_VALUE"""),"EVERGREEN - UAN Gated Content - Embedded Petition")</f>
        <v>EVERGREEN - UAN Gated Content - Embedded Petition</v>
      </c>
      <c r="D87" s="10">
        <f ca="1">IFERROR(__xludf.DUMMYFUNCTION("""COMPUTED_VALUE"""),45679)</f>
        <v>45679</v>
      </c>
      <c r="E87" s="1" t="str">
        <f ca="1">IFERROR(__xludf.DUMMYFUNCTION("""COMPUTED_VALUE"""),"USA")</f>
        <v>USA</v>
      </c>
      <c r="F87" s="1" t="str">
        <f ca="1">IFERROR(__xludf.DUMMYFUNCTION("""COMPUTED_VALUE"""),"96.24 USA")</f>
        <v>96.24 USA</v>
      </c>
      <c r="G87" s="1" t="str">
        <f ca="1">IFERROR(__xludf.DUMMYFUNCTION("""COMPUTED_VALUE"""),"Death Penalty")</f>
        <v>Death Penalty</v>
      </c>
      <c r="H87" s="1" t="str">
        <f ca="1">IFERROR(__xludf.DUMMYFUNCTION("""COMPUTED_VALUE"""),"2024")</f>
        <v>2024</v>
      </c>
      <c r="I87" s="1" t="str">
        <f ca="1">IFERROR(__xludf.DUMMYFUNCTION("""COMPUTED_VALUE"""),"Email")</f>
        <v>Email</v>
      </c>
    </row>
    <row r="88" spans="1:9" ht="13" x14ac:dyDescent="0.15">
      <c r="A88" s="9">
        <f ca="1">IFERROR(__xludf.DUMMYFUNCTION("""COMPUTED_VALUE"""),30236247)</f>
        <v>30236247</v>
      </c>
      <c r="B88" s="1" t="str">
        <f ca="1">IFERROR(__xludf.DUMMYFUNCTION("""COMPUTED_VALUE"""),"judibabcock@gmail.com")</f>
        <v>judibabcock@gmail.com</v>
      </c>
      <c r="C88" s="9" t="str">
        <f ca="1">IFERROR(__xludf.DUMMYFUNCTION("""COMPUTED_VALUE"""),"EVERGREEN - UAN Gated Content - Embedded Petition")</f>
        <v>EVERGREEN - UAN Gated Content - Embedded Petition</v>
      </c>
      <c r="D88" s="10">
        <f ca="1">IFERROR(__xludf.DUMMYFUNCTION("""COMPUTED_VALUE"""),45694)</f>
        <v>45694</v>
      </c>
      <c r="E88" s="1" t="str">
        <f ca="1">IFERROR(__xludf.DUMMYFUNCTION("""COMPUTED_VALUE"""),"Tunisia")</f>
        <v>Tunisia</v>
      </c>
      <c r="F88" s="1" t="str">
        <f ca="1">IFERROR(__xludf.DUMMYFUNCTION("""COMPUTED_VALUE"""),"Second 76.24 Tunisia")</f>
        <v>Second 76.24 Tunisia</v>
      </c>
      <c r="G88" s="1" t="str">
        <f ca="1">IFERROR(__xludf.DUMMYFUNCTION("""COMPUTED_VALUE"""),"Freedom of Expression, Human Rights Defenders")</f>
        <v>Freedom of Expression, Human Rights Defenders</v>
      </c>
      <c r="H88" s="1" t="str">
        <f ca="1">IFERROR(__xludf.DUMMYFUNCTION("""COMPUTED_VALUE"""),"2025")</f>
        <v>2025</v>
      </c>
      <c r="I88" s="1" t="str">
        <f ca="1">IFERROR(__xludf.DUMMYFUNCTION("""COMPUTED_VALUE"""),"Email")</f>
        <v>Email</v>
      </c>
    </row>
    <row r="89" spans="1:9" ht="13" x14ac:dyDescent="0.15">
      <c r="A89" s="9">
        <f ca="1">IFERROR(__xludf.DUMMYFUNCTION("""COMPUTED_VALUE"""),30236381)</f>
        <v>30236381</v>
      </c>
      <c r="B89" s="1" t="str">
        <f ca="1">IFERROR(__xludf.DUMMYFUNCTION("""COMPUTED_VALUE"""),"cathy.nieman@gmail.com")</f>
        <v>cathy.nieman@gmail.com</v>
      </c>
      <c r="C89" s="9" t="str">
        <f ca="1">IFERROR(__xludf.DUMMYFUNCTION("""COMPUTED_VALUE"""),"EVERGREEN - UAN Gated Content - Embedded Petition")</f>
        <v>EVERGREEN - UAN Gated Content - Embedded Petition</v>
      </c>
      <c r="D89" s="10">
        <f ca="1">IFERROR(__xludf.DUMMYFUNCTION("""COMPUTED_VALUE"""),45694)</f>
        <v>45694</v>
      </c>
      <c r="E89" s="1" t="str">
        <f ca="1">IFERROR(__xludf.DUMMYFUNCTION("""COMPUTED_VALUE"""),"Azerbaijan")</f>
        <v>Azerbaijan</v>
      </c>
      <c r="F89" s="1" t="str">
        <f ca="1">IFERROR(__xludf.DUMMYFUNCTION("""COMPUTED_VALUE"""),"2.25 Azerbaijan")</f>
        <v>2.25 Azerbaijan</v>
      </c>
      <c r="G89" s="1" t="str">
        <f ca="1">IFERROR(__xludf.DUMMYFUNCTION("""COMPUTED_VALUE"""),"Freedom of Expression, Human Rights Defenders")</f>
        <v>Freedom of Expression, Human Rights Defenders</v>
      </c>
      <c r="H89" s="1" t="str">
        <f ca="1">IFERROR(__xludf.DUMMYFUNCTION("""COMPUTED_VALUE"""),"2025")</f>
        <v>2025</v>
      </c>
      <c r="I89" s="1" t="str">
        <f ca="1">IFERROR(__xludf.DUMMYFUNCTION("""COMPUTED_VALUE"""),"Email")</f>
        <v>Email</v>
      </c>
    </row>
    <row r="90" spans="1:9" ht="13" x14ac:dyDescent="0.15">
      <c r="A90" s="9">
        <f ca="1">IFERROR(__xludf.DUMMYFUNCTION("""COMPUTED_VALUE"""),30243874)</f>
        <v>30243874</v>
      </c>
      <c r="B90" s="1" t="str">
        <f ca="1">IFERROR(__xludf.DUMMYFUNCTION("""COMPUTED_VALUE"""),"tjfitzgibbons@gmail.com")</f>
        <v>tjfitzgibbons@gmail.com</v>
      </c>
      <c r="C90" s="9" t="str">
        <f ca="1">IFERROR(__xludf.DUMMYFUNCTION("""COMPUTED_VALUE"""),"EVERGREEN - UAN Gated Content - Embedded Petition")</f>
        <v>EVERGREEN - UAN Gated Content - Embedded Petition</v>
      </c>
      <c r="D90" s="10">
        <f ca="1">IFERROR(__xludf.DUMMYFUNCTION("""COMPUTED_VALUE"""),45696)</f>
        <v>45696</v>
      </c>
      <c r="E90" s="1" t="str">
        <f ca="1">IFERROR(__xludf.DUMMYFUNCTION("""COMPUTED_VALUE"""),"Iran")</f>
        <v>Iran</v>
      </c>
      <c r="F90" s="1" t="str">
        <f ca="1">IFERROR(__xludf.DUMMYFUNCTION("""COMPUTED_VALUE"""),"Seventh 103.22 Iran")</f>
        <v>Seventh 103.22 Iran</v>
      </c>
      <c r="G90" s="1" t="str">
        <f ca="1">IFERROR(__xludf.DUMMYFUNCTION("""COMPUTED_VALUE"""),"Death Penalty, Freedom of Expression, Individuals At Risk")</f>
        <v>Death Penalty, Freedom of Expression, Individuals At Risk</v>
      </c>
      <c r="H90" s="1" t="str">
        <f ca="1">IFERROR(__xludf.DUMMYFUNCTION("""COMPUTED_VALUE"""),"2024")</f>
        <v>2024</v>
      </c>
      <c r="I90" s="1" t="str">
        <f ca="1">IFERROR(__xludf.DUMMYFUNCTION("""COMPUTED_VALUE"""),"Email")</f>
        <v>Email</v>
      </c>
    </row>
    <row r="91" spans="1:9" ht="13" x14ac:dyDescent="0.15">
      <c r="A91" s="9">
        <f ca="1">IFERROR(__xludf.DUMMYFUNCTION("""COMPUTED_VALUE"""),30246297)</f>
        <v>30246297</v>
      </c>
      <c r="B91" s="1" t="str">
        <f ca="1">IFERROR(__xludf.DUMMYFUNCTION("""COMPUTED_VALUE"""),"rjbalzer.1@gmail.com")</f>
        <v>rjbalzer.1@gmail.com</v>
      </c>
      <c r="C91" s="9" t="str">
        <f ca="1">IFERROR(__xludf.DUMMYFUNCTION("""COMPUTED_VALUE"""),"EVERGREEN - UAN Gated Content - Embedded Petition")</f>
        <v>EVERGREEN - UAN Gated Content - Embedded Petition</v>
      </c>
      <c r="D91" s="10">
        <f ca="1">IFERROR(__xludf.DUMMYFUNCTION("""COMPUTED_VALUE"""),45685)</f>
        <v>45685</v>
      </c>
      <c r="E91" s="1" t="str">
        <f ca="1">IFERROR(__xludf.DUMMYFUNCTION("""COMPUTED_VALUE"""),"Tunisia")</f>
        <v>Tunisia</v>
      </c>
      <c r="F91" s="1" t="str">
        <f ca="1">IFERROR(__xludf.DUMMYFUNCTION("""COMPUTED_VALUE"""),"Second 76.24 Tunisia")</f>
        <v>Second 76.24 Tunisia</v>
      </c>
      <c r="G91" s="1" t="str">
        <f ca="1">IFERROR(__xludf.DUMMYFUNCTION("""COMPUTED_VALUE"""),"Freedom of Expression, Human Rights Defenders")</f>
        <v>Freedom of Expression, Human Rights Defenders</v>
      </c>
      <c r="H91" s="1" t="str">
        <f ca="1">IFERROR(__xludf.DUMMYFUNCTION("""COMPUTED_VALUE"""),"2025")</f>
        <v>2025</v>
      </c>
      <c r="I91" s="1" t="str">
        <f ca="1">IFERROR(__xludf.DUMMYFUNCTION("""COMPUTED_VALUE"""),"Email")</f>
        <v>Email</v>
      </c>
    </row>
    <row r="92" spans="1:9" ht="13" x14ac:dyDescent="0.15">
      <c r="A92" s="9">
        <f ca="1">IFERROR(__xludf.DUMMYFUNCTION("""COMPUTED_VALUE"""),30259226)</f>
        <v>30259226</v>
      </c>
      <c r="B92" s="1" t="str">
        <f ca="1">IFERROR(__xludf.DUMMYFUNCTION("""COMPUTED_VALUE"""),"sessions21@hotmail.com")</f>
        <v>sessions21@hotmail.com</v>
      </c>
      <c r="C92" s="9" t="str">
        <f ca="1">IFERROR(__xludf.DUMMYFUNCTION("""COMPUTED_VALUE"""),"EVERGREEN - UAN Gated Content - Embedded Petition")</f>
        <v>EVERGREEN - UAN Gated Content - Embedded Petition</v>
      </c>
      <c r="D92" s="10">
        <f ca="1">IFERROR(__xludf.DUMMYFUNCTION("""COMPUTED_VALUE"""),45685)</f>
        <v>45685</v>
      </c>
      <c r="E92" s="1" t="str">
        <f ca="1">IFERROR(__xludf.DUMMYFUNCTION("""COMPUTED_VALUE"""),"USA")</f>
        <v>USA</v>
      </c>
      <c r="F92" s="1" t="str">
        <f ca="1">IFERROR(__xludf.DUMMYFUNCTION("""COMPUTED_VALUE"""),"105.24 USA")</f>
        <v>105.24 USA</v>
      </c>
      <c r="G92" s="1" t="str">
        <f ca="1">IFERROR(__xludf.DUMMYFUNCTION("""COMPUTED_VALUE"""),"Death Penalty")</f>
        <v>Death Penalty</v>
      </c>
      <c r="H92" s="1" t="str">
        <f ca="1">IFERROR(__xludf.DUMMYFUNCTION("""COMPUTED_VALUE"""),"2024")</f>
        <v>2024</v>
      </c>
      <c r="I92" s="1" t="str">
        <f ca="1">IFERROR(__xludf.DUMMYFUNCTION("""COMPUTED_VALUE"""),"Email")</f>
        <v>Email</v>
      </c>
    </row>
    <row r="93" spans="1:9" ht="13" x14ac:dyDescent="0.15">
      <c r="A93" s="9">
        <f ca="1">IFERROR(__xludf.DUMMYFUNCTION("""COMPUTED_VALUE"""),30260574)</f>
        <v>30260574</v>
      </c>
      <c r="B93" s="1" t="str">
        <f ca="1">IFERROR(__xludf.DUMMYFUNCTION("""COMPUTED_VALUE"""),"susanforste@gmail.com")</f>
        <v>susanforste@gmail.com</v>
      </c>
      <c r="C93" s="9" t="str">
        <f ca="1">IFERROR(__xludf.DUMMYFUNCTION("""COMPUTED_VALUE"""),"EVERGREEN - UAN Gated Content - Embedded Petition")</f>
        <v>EVERGREEN - UAN Gated Content - Embedded Petition</v>
      </c>
      <c r="D93" s="10">
        <f ca="1">IFERROR(__xludf.DUMMYFUNCTION("""COMPUTED_VALUE"""),45694)</f>
        <v>45694</v>
      </c>
      <c r="E93" s="1" t="str">
        <f ca="1">IFERROR(__xludf.DUMMYFUNCTION("""COMPUTED_VALUE"""),"Venezuela")</f>
        <v>Venezuela</v>
      </c>
      <c r="F93" s="1" t="str">
        <f ca="1">IFERROR(__xludf.DUMMYFUNCTION("""COMPUTED_VALUE"""),"97.24 Venezuela")</f>
        <v>97.24 Venezuela</v>
      </c>
      <c r="G93" s="1" t="str">
        <f ca="1">IFERROR(__xludf.DUMMYFUNCTION("""COMPUTED_VALUE"""),"Freedom of Expression")</f>
        <v>Freedom of Expression</v>
      </c>
      <c r="H93" s="1" t="str">
        <f ca="1">IFERROR(__xludf.DUMMYFUNCTION("""COMPUTED_VALUE"""),"2024")</f>
        <v>2024</v>
      </c>
      <c r="I93" s="1" t="str">
        <f ca="1">IFERROR(__xludf.DUMMYFUNCTION("""COMPUTED_VALUE"""),"Letter")</f>
        <v>Letter</v>
      </c>
    </row>
    <row r="94" spans="1:9" ht="13" x14ac:dyDescent="0.15">
      <c r="A94" s="9">
        <f ca="1">IFERROR(__xludf.DUMMYFUNCTION("""COMPUTED_VALUE"""),30269691)</f>
        <v>30269691</v>
      </c>
      <c r="B94" s="1" t="str">
        <f ca="1">IFERROR(__xludf.DUMMYFUNCTION("""COMPUTED_VALUE"""),"rsaulnier@hotmail.com")</f>
        <v>rsaulnier@hotmail.com</v>
      </c>
      <c r="C94" s="9" t="str">
        <f ca="1">IFERROR(__xludf.DUMMYFUNCTION("""COMPUTED_VALUE"""),"EVERGREEN - UAN Gated Content - Embedded Petition")</f>
        <v>EVERGREEN - UAN Gated Content - Embedded Petition</v>
      </c>
      <c r="D94" s="10">
        <f ca="1">IFERROR(__xludf.DUMMYFUNCTION("""COMPUTED_VALUE"""),45639)</f>
        <v>45639</v>
      </c>
      <c r="E94" s="1" t="str">
        <f ca="1">IFERROR(__xludf.DUMMYFUNCTION("""COMPUTED_VALUE"""),"China")</f>
        <v>China</v>
      </c>
      <c r="F94" s="1" t="str">
        <f ca="1">IFERROR(__xludf.DUMMYFUNCTION("""COMPUTED_VALUE"""),"98.24 China")</f>
        <v>98.24 China</v>
      </c>
      <c r="G94" s="1" t="str">
        <f ca="1">IFERROR(__xludf.DUMMYFUNCTION("""COMPUTED_VALUE"""),"Freedom of Expression, Individuals At Risk")</f>
        <v>Freedom of Expression, Individuals At Risk</v>
      </c>
      <c r="H94" s="1" t="str">
        <f ca="1">IFERROR(__xludf.DUMMYFUNCTION("""COMPUTED_VALUE"""),"2024")</f>
        <v>2024</v>
      </c>
      <c r="I94" s="1" t="str">
        <f ca="1">IFERROR(__xludf.DUMMYFUNCTION("""COMPUTED_VALUE"""),"Letter")</f>
        <v>Letter</v>
      </c>
    </row>
    <row r="95" spans="1:9" ht="13" x14ac:dyDescent="0.15">
      <c r="A95" s="9">
        <f ca="1">IFERROR(__xludf.DUMMYFUNCTION("""COMPUTED_VALUE"""),30270634)</f>
        <v>30270634</v>
      </c>
      <c r="B95" s="1" t="str">
        <f ca="1">IFERROR(__xludf.DUMMYFUNCTION("""COMPUTED_VALUE"""),"isis1567@aol.com")</f>
        <v>isis1567@aol.com</v>
      </c>
      <c r="C95" s="9" t="str">
        <f ca="1">IFERROR(__xludf.DUMMYFUNCTION("""COMPUTED_VALUE"""),"EVERGREEN - UAN Gated Content - Embedded Petition")</f>
        <v>EVERGREEN - UAN Gated Content - Embedded Petition</v>
      </c>
      <c r="D95" s="10">
        <f ca="1">IFERROR(__xludf.DUMMYFUNCTION("""COMPUTED_VALUE"""),45616)</f>
        <v>45616</v>
      </c>
      <c r="E95" s="1" t="str">
        <f ca="1">IFERROR(__xludf.DUMMYFUNCTION("""COMPUTED_VALUE"""),"Egypt")</f>
        <v>Egypt</v>
      </c>
      <c r="F95" s="1" t="str">
        <f ca="1">IFERROR(__xludf.DUMMYFUNCTION("""COMPUTED_VALUE"""),"Ninth 190.18 Egypt")</f>
        <v>Ninth 190.18 Egypt</v>
      </c>
      <c r="G95" s="1" t="str">
        <f ca="1">IFERROR(__xludf.DUMMYFUNCTION("""COMPUTED_VALUE"""),"Freedom of Expression, Individuals At Risk")</f>
        <v>Freedom of Expression, Individuals At Risk</v>
      </c>
      <c r="H95" s="1" t="str">
        <f ca="1">IFERROR(__xludf.DUMMYFUNCTION("""COMPUTED_VALUE"""),"2024")</f>
        <v>2024</v>
      </c>
      <c r="I95" s="1" t="str">
        <f ca="1">IFERROR(__xludf.DUMMYFUNCTION("""COMPUTED_VALUE"""),"Letter")</f>
        <v>Letter</v>
      </c>
    </row>
    <row r="96" spans="1:9" ht="13" x14ac:dyDescent="0.15">
      <c r="A96" s="9">
        <f ca="1">IFERROR(__xludf.DUMMYFUNCTION("""COMPUTED_VALUE"""),30272782)</f>
        <v>30272782</v>
      </c>
      <c r="B96" s="1" t="str">
        <f ca="1">IFERROR(__xludf.DUMMYFUNCTION("""COMPUTED_VALUE"""),"lwestkeyes@gmail.com")</f>
        <v>lwestkeyes@gmail.com</v>
      </c>
      <c r="C96" s="9" t="str">
        <f ca="1">IFERROR(__xludf.DUMMYFUNCTION("""COMPUTED_VALUE"""),"EVERGREEN - UAN Gated Content - Embedded Petition")</f>
        <v>EVERGREEN - UAN Gated Content - Embedded Petition</v>
      </c>
      <c r="D96" s="10">
        <f ca="1">IFERROR(__xludf.DUMMYFUNCTION("""COMPUTED_VALUE"""),45694)</f>
        <v>45694</v>
      </c>
      <c r="E96" s="1" t="str">
        <f ca="1">IFERROR(__xludf.DUMMYFUNCTION("""COMPUTED_VALUE"""),"Tunisia")</f>
        <v>Tunisia</v>
      </c>
      <c r="F96" s="1" t="str">
        <f ca="1">IFERROR(__xludf.DUMMYFUNCTION("""COMPUTED_VALUE"""),"Second 76.24 Tunisia")</f>
        <v>Second 76.24 Tunisia</v>
      </c>
      <c r="G96" s="1" t="str">
        <f ca="1">IFERROR(__xludf.DUMMYFUNCTION("""COMPUTED_VALUE"""),"Freedom of Expression, Human Rights Defenders")</f>
        <v>Freedom of Expression, Human Rights Defenders</v>
      </c>
      <c r="H96" s="1" t="str">
        <f ca="1">IFERROR(__xludf.DUMMYFUNCTION("""COMPUTED_VALUE"""),"2025")</f>
        <v>2025</v>
      </c>
      <c r="I96" s="1" t="str">
        <f ca="1">IFERROR(__xludf.DUMMYFUNCTION("""COMPUTED_VALUE"""),"Email")</f>
        <v>Email</v>
      </c>
    </row>
    <row r="97" spans="1:9" ht="13" x14ac:dyDescent="0.15">
      <c r="A97" s="9">
        <f ca="1">IFERROR(__xludf.DUMMYFUNCTION("""COMPUTED_VALUE"""),30284991)</f>
        <v>30284991</v>
      </c>
      <c r="B97" s="1" t="str">
        <f ca="1">IFERROR(__xludf.DUMMYFUNCTION("""COMPUTED_VALUE"""),"joheb@aol.com")</f>
        <v>joheb@aol.com</v>
      </c>
      <c r="C97" s="9" t="str">
        <f ca="1">IFERROR(__xludf.DUMMYFUNCTION("""COMPUTED_VALUE"""),"EVERGREEN - UAN Gated Content - Embedded Petition")</f>
        <v>EVERGREEN - UAN Gated Content - Embedded Petition</v>
      </c>
      <c r="D97" s="10">
        <f ca="1">IFERROR(__xludf.DUMMYFUNCTION("""COMPUTED_VALUE"""),45673)</f>
        <v>45673</v>
      </c>
      <c r="E97" s="1" t="str">
        <f ca="1">IFERROR(__xludf.DUMMYFUNCTION("""COMPUTED_VALUE"""),"Iran")</f>
        <v>Iran</v>
      </c>
      <c r="F97" s="1" t="str">
        <f ca="1">IFERROR(__xludf.DUMMYFUNCTION("""COMPUTED_VALUE"""),"Seventh 103.22 Iran")</f>
        <v>Seventh 103.22 Iran</v>
      </c>
      <c r="G97" s="1" t="str">
        <f ca="1">IFERROR(__xludf.DUMMYFUNCTION("""COMPUTED_VALUE"""),"Death Penalty, Freedom of Expression, Individuals At Risk")</f>
        <v>Death Penalty, Freedom of Expression, Individuals At Risk</v>
      </c>
      <c r="H97" s="1" t="str">
        <f ca="1">IFERROR(__xludf.DUMMYFUNCTION("""COMPUTED_VALUE"""),"2024")</f>
        <v>2024</v>
      </c>
      <c r="I97" s="1" t="str">
        <f ca="1">IFERROR(__xludf.DUMMYFUNCTION("""COMPUTED_VALUE"""),"Email")</f>
        <v>Email</v>
      </c>
    </row>
    <row r="98" spans="1:9" ht="13" x14ac:dyDescent="0.15">
      <c r="A98" s="9">
        <f ca="1">IFERROR(__xludf.DUMMYFUNCTION("""COMPUTED_VALUE"""),30284991)</f>
        <v>30284991</v>
      </c>
      <c r="B98" s="1" t="str">
        <f ca="1">IFERROR(__xludf.DUMMYFUNCTION("""COMPUTED_VALUE"""),"joheb@aol.com")</f>
        <v>joheb@aol.com</v>
      </c>
      <c r="C98" s="9" t="str">
        <f ca="1">IFERROR(__xludf.DUMMYFUNCTION("""COMPUTED_VALUE"""),"EVERGREEN - UAN Gated Content - Embedded Petition")</f>
        <v>EVERGREEN - UAN Gated Content - Embedded Petition</v>
      </c>
      <c r="D98" s="10">
        <f ca="1">IFERROR(__xludf.DUMMYFUNCTION("""COMPUTED_VALUE"""),45694)</f>
        <v>45694</v>
      </c>
      <c r="E98" s="1" t="str">
        <f ca="1">IFERROR(__xludf.DUMMYFUNCTION("""COMPUTED_VALUE"""),"Iran")</f>
        <v>Iran</v>
      </c>
      <c r="F98" s="1" t="str">
        <f ca="1">IFERROR(__xludf.DUMMYFUNCTION("""COMPUTED_VALUE"""),"Seventh 103.22 Iran")</f>
        <v>Seventh 103.22 Iran</v>
      </c>
      <c r="G98" s="1" t="str">
        <f ca="1">IFERROR(__xludf.DUMMYFUNCTION("""COMPUTED_VALUE"""),"Death Penalty, Freedom of Expression, Individuals At Risk")</f>
        <v>Death Penalty, Freedom of Expression, Individuals At Risk</v>
      </c>
      <c r="H98" s="1" t="str">
        <f ca="1">IFERROR(__xludf.DUMMYFUNCTION("""COMPUTED_VALUE"""),"2024")</f>
        <v>2024</v>
      </c>
      <c r="I98" s="1" t="str">
        <f ca="1">IFERROR(__xludf.DUMMYFUNCTION("""COMPUTED_VALUE"""),"Email")</f>
        <v>Email</v>
      </c>
    </row>
    <row r="99" spans="1:9" ht="13" x14ac:dyDescent="0.15">
      <c r="A99" s="9">
        <f ca="1">IFERROR(__xludf.DUMMYFUNCTION("""COMPUTED_VALUE"""),30284991)</f>
        <v>30284991</v>
      </c>
      <c r="B99" s="1" t="str">
        <f ca="1">IFERROR(__xludf.DUMMYFUNCTION("""COMPUTED_VALUE"""),"joheb@aol.com")</f>
        <v>joheb@aol.com</v>
      </c>
      <c r="C99" s="9" t="str">
        <f ca="1">IFERROR(__xludf.DUMMYFUNCTION("""COMPUTED_VALUE"""),"EVERGREEN - UAN Gated Content - Embedded Petition")</f>
        <v>EVERGREEN - UAN Gated Content - Embedded Petition</v>
      </c>
      <c r="D99" s="10">
        <f ca="1">IFERROR(__xludf.DUMMYFUNCTION("""COMPUTED_VALUE"""),45677)</f>
        <v>45677</v>
      </c>
      <c r="E99" s="1" t="str">
        <f ca="1">IFERROR(__xludf.DUMMYFUNCTION("""COMPUTED_VALUE"""),"Niger")</f>
        <v>Niger</v>
      </c>
      <c r="F99" s="1" t="str">
        <f ca="1">IFERROR(__xludf.DUMMYFUNCTION("""COMPUTED_VALUE"""),"103.24 Niger")</f>
        <v>103.24 Niger</v>
      </c>
      <c r="G99" s="1" t="str">
        <f ca="1">IFERROR(__xludf.DUMMYFUNCTION("""COMPUTED_VALUE"""),"Freedom of Expression, Human Rights Defenders")</f>
        <v>Freedom of Expression, Human Rights Defenders</v>
      </c>
      <c r="H99" s="1" t="str">
        <f ca="1">IFERROR(__xludf.DUMMYFUNCTION("""COMPUTED_VALUE"""),"2024")</f>
        <v>2024</v>
      </c>
      <c r="I99" s="1" t="str">
        <f ca="1">IFERROR(__xludf.DUMMYFUNCTION("""COMPUTED_VALUE"""),"Email")</f>
        <v>Email</v>
      </c>
    </row>
    <row r="100" spans="1:9" ht="13" x14ac:dyDescent="0.15">
      <c r="A100" s="9">
        <f ca="1">IFERROR(__xludf.DUMMYFUNCTION("""COMPUTED_VALUE"""),30288116)</f>
        <v>30288116</v>
      </c>
      <c r="B100" s="1" t="str">
        <f ca="1">IFERROR(__xludf.DUMMYFUNCTION("""COMPUTED_VALUE"""),"marsha.brofkaberends@gmail.com")</f>
        <v>marsha.brofkaberends@gmail.com</v>
      </c>
      <c r="C100" s="9" t="str">
        <f ca="1">IFERROR(__xludf.DUMMYFUNCTION("""COMPUTED_VALUE"""),"UAN mid-page Lightbox - Step 1 of 4 - Landing Page")</f>
        <v>UAN mid-page Lightbox - Step 1 of 4 - Landing Page</v>
      </c>
      <c r="D100" s="10">
        <f ca="1">IFERROR(__xludf.DUMMYFUNCTION("""COMPUTED_VALUE"""),45674)</f>
        <v>45674</v>
      </c>
      <c r="E100" s="1" t="str">
        <f ca="1">IFERROR(__xludf.DUMMYFUNCTION("""COMPUTED_VALUE"""),"USA")</f>
        <v>USA</v>
      </c>
      <c r="F100" s="1" t="str">
        <f ca="1">IFERROR(__xludf.DUMMYFUNCTION("""COMPUTED_VALUE"""),"4.25 USA")</f>
        <v>4.25 USA</v>
      </c>
      <c r="G100" s="1" t="str">
        <f ca="1">IFERROR(__xludf.DUMMYFUNCTION("""COMPUTED_VALUE"""),"Individuals At Risk, Refugee and Migrant Rights")</f>
        <v>Individuals At Risk, Refugee and Migrant Rights</v>
      </c>
      <c r="H100" s="1" t="str">
        <f ca="1">IFERROR(__xludf.DUMMYFUNCTION("""COMPUTED_VALUE"""),"2025")</f>
        <v>2025</v>
      </c>
      <c r="I100" s="1" t="str">
        <f ca="1">IFERROR(__xludf.DUMMYFUNCTION("""COMPUTED_VALUE"""),"Letter")</f>
        <v>Letter</v>
      </c>
    </row>
    <row r="101" spans="1:9" ht="13" x14ac:dyDescent="0.15">
      <c r="A101" s="9">
        <f ca="1">IFERROR(__xludf.DUMMYFUNCTION("""COMPUTED_VALUE"""),30294983)</f>
        <v>30294983</v>
      </c>
      <c r="B101" s="1" t="str">
        <f ca="1">IFERROR(__xludf.DUMMYFUNCTION("""COMPUTED_VALUE"""),"karencoulterperkins@gmail.com")</f>
        <v>karencoulterperkins@gmail.com</v>
      </c>
      <c r="C101" s="9" t="str">
        <f ca="1">IFERROR(__xludf.DUMMYFUNCTION("""COMPUTED_VALUE"""),"EVERGREEN - UAN Gated Content - Embedded Petition")</f>
        <v>EVERGREEN - UAN Gated Content - Embedded Petition</v>
      </c>
      <c r="D101" s="10">
        <f ca="1">IFERROR(__xludf.DUMMYFUNCTION("""COMPUTED_VALUE"""),45616)</f>
        <v>45616</v>
      </c>
      <c r="E101" s="1" t="str">
        <f ca="1">IFERROR(__xludf.DUMMYFUNCTION("""COMPUTED_VALUE"""),"Iran")</f>
        <v>Iran</v>
      </c>
      <c r="F101" s="1" t="str">
        <f ca="1">IFERROR(__xludf.DUMMYFUNCTION("""COMPUTED_VALUE"""),"101.24 Iran")</f>
        <v>101.24 Iran</v>
      </c>
      <c r="G101" s="1" t="str">
        <f ca="1">IFERROR(__xludf.DUMMYFUNCTION("""COMPUTED_VALUE"""),"Death Penalty, Freedom of Expression, Individuals At Risk, Right to Protest")</f>
        <v>Death Penalty, Freedom of Expression, Individuals At Risk, Right to Protest</v>
      </c>
      <c r="H101" s="1" t="str">
        <f ca="1">IFERROR(__xludf.DUMMYFUNCTION("""COMPUTED_VALUE"""),"2024")</f>
        <v>2024</v>
      </c>
      <c r="I101" s="1" t="str">
        <f ca="1">IFERROR(__xludf.DUMMYFUNCTION("""COMPUTED_VALUE"""),"Email")</f>
        <v>Email</v>
      </c>
    </row>
    <row r="102" spans="1:9" ht="13" x14ac:dyDescent="0.15">
      <c r="A102" s="9">
        <f ca="1">IFERROR(__xludf.DUMMYFUNCTION("""COMPUTED_VALUE"""),30297913)</f>
        <v>30297913</v>
      </c>
      <c r="B102" s="1" t="str">
        <f ca="1">IFERROR(__xludf.DUMMYFUNCTION("""COMPUTED_VALUE"""),"stoneguard@sprynet.com")</f>
        <v>stoneguard@sprynet.com</v>
      </c>
      <c r="C102" s="9" t="str">
        <f ca="1">IFERROR(__xludf.DUMMYFUNCTION("""COMPUTED_VALUE"""),"EVERGREEN - UAN Gated Content - Embedded Petition")</f>
        <v>EVERGREEN - UAN Gated Content - Embedded Petition</v>
      </c>
      <c r="D102" s="10">
        <f ca="1">IFERROR(__xludf.DUMMYFUNCTION("""COMPUTED_VALUE"""),45694)</f>
        <v>45694</v>
      </c>
      <c r="E102" s="1" t="str">
        <f ca="1">IFERROR(__xludf.DUMMYFUNCTION("""COMPUTED_VALUE"""),"Israel and Occupied Palestinian Territories")</f>
        <v>Israel and Occupied Palestinian Territories</v>
      </c>
      <c r="F102" s="1" t="str">
        <f ca="1">IFERROR(__xludf.DUMMYFUNCTION("""COMPUTED_VALUE"""),"3.25 IOPT")</f>
        <v>3.25 IOPT</v>
      </c>
      <c r="G102" s="1" t="str">
        <f ca="1">IFERROR(__xludf.DUMMYFUNCTION("""COMPUTED_VALUE"""),"Freedom of Expression, Individuals At Risk")</f>
        <v>Freedom of Expression, Individuals At Risk</v>
      </c>
      <c r="H102" s="1" t="str">
        <f ca="1">IFERROR(__xludf.DUMMYFUNCTION("""COMPUTED_VALUE"""),"2025")</f>
        <v>2025</v>
      </c>
      <c r="I102" s="1" t="str">
        <f ca="1">IFERROR(__xludf.DUMMYFUNCTION("""COMPUTED_VALUE"""),"Email")</f>
        <v>Email</v>
      </c>
    </row>
    <row r="103" spans="1:9" ht="13" x14ac:dyDescent="0.15">
      <c r="A103" s="9">
        <f ca="1">IFERROR(__xludf.DUMMYFUNCTION("""COMPUTED_VALUE"""),30297913)</f>
        <v>30297913</v>
      </c>
      <c r="B103" s="1" t="str">
        <f ca="1">IFERROR(__xludf.DUMMYFUNCTION("""COMPUTED_VALUE"""),"stoneguard@sprynet.com")</f>
        <v>stoneguard@sprynet.com</v>
      </c>
      <c r="C103" s="9" t="str">
        <f ca="1">IFERROR(__xludf.DUMMYFUNCTION("""COMPUTED_VALUE"""),"EVERGREEN - UAN Gated Content - Embedded Petition")</f>
        <v>EVERGREEN - UAN Gated Content - Embedded Petition</v>
      </c>
      <c r="D103" s="10">
        <f ca="1">IFERROR(__xludf.DUMMYFUNCTION("""COMPUTED_VALUE"""),45675)</f>
        <v>45675</v>
      </c>
      <c r="E103" s="1" t="str">
        <f ca="1">IFERROR(__xludf.DUMMYFUNCTION("""COMPUTED_VALUE"""),"Tunisia")</f>
        <v>Tunisia</v>
      </c>
      <c r="F103" s="1" t="str">
        <f ca="1">IFERROR(__xludf.DUMMYFUNCTION("""COMPUTED_VALUE"""),"Second 76.24 Tunisia")</f>
        <v>Second 76.24 Tunisia</v>
      </c>
      <c r="G103" s="1" t="str">
        <f ca="1">IFERROR(__xludf.DUMMYFUNCTION("""COMPUTED_VALUE"""),"Freedom of Expression, Human Rights Defenders")</f>
        <v>Freedom of Expression, Human Rights Defenders</v>
      </c>
      <c r="H103" s="1" t="str">
        <f ca="1">IFERROR(__xludf.DUMMYFUNCTION("""COMPUTED_VALUE"""),"2025")</f>
        <v>2025</v>
      </c>
      <c r="I103" s="1" t="str">
        <f ca="1">IFERROR(__xludf.DUMMYFUNCTION("""COMPUTED_VALUE"""),"Email")</f>
        <v>Email</v>
      </c>
    </row>
    <row r="104" spans="1:9" ht="13" x14ac:dyDescent="0.15">
      <c r="A104" s="9">
        <f ca="1">IFERROR(__xludf.DUMMYFUNCTION("""COMPUTED_VALUE"""),30299373)</f>
        <v>30299373</v>
      </c>
      <c r="B104" s="1" t="str">
        <f ca="1">IFERROR(__xludf.DUMMYFUNCTION("""COMPUTED_VALUE"""),"magic@ecentral.com")</f>
        <v>magic@ecentral.com</v>
      </c>
      <c r="C104" s="9" t="str">
        <f ca="1">IFERROR(__xludf.DUMMYFUNCTION("""COMPUTED_VALUE"""),"EVERGREEN - UAN Gated Content - Embedded Petition")</f>
        <v>EVERGREEN - UAN Gated Content - Embedded Petition</v>
      </c>
      <c r="D104" s="10">
        <f ca="1">IFERROR(__xludf.DUMMYFUNCTION("""COMPUTED_VALUE"""),45674)</f>
        <v>45674</v>
      </c>
      <c r="E104" s="1" t="str">
        <f ca="1">IFERROR(__xludf.DUMMYFUNCTION("""COMPUTED_VALUE"""),"USA")</f>
        <v>USA</v>
      </c>
      <c r="F104" s="1" t="str">
        <f ca="1">IFERROR(__xludf.DUMMYFUNCTION("""COMPUTED_VALUE"""),"4.25 USA")</f>
        <v>4.25 USA</v>
      </c>
      <c r="G104" s="1" t="str">
        <f ca="1">IFERROR(__xludf.DUMMYFUNCTION("""COMPUTED_VALUE"""),"Individuals At Risk, Refugee and Migrant Rights")</f>
        <v>Individuals At Risk, Refugee and Migrant Rights</v>
      </c>
      <c r="H104" s="1" t="str">
        <f ca="1">IFERROR(__xludf.DUMMYFUNCTION("""COMPUTED_VALUE"""),"2025")</f>
        <v>2025</v>
      </c>
      <c r="I104" s="1" t="str">
        <f ca="1">IFERROR(__xludf.DUMMYFUNCTION("""COMPUTED_VALUE"""),"Letter")</f>
        <v>Letter</v>
      </c>
    </row>
    <row r="105" spans="1:9" ht="13" x14ac:dyDescent="0.15">
      <c r="A105" s="9">
        <f ca="1">IFERROR(__xludf.DUMMYFUNCTION("""COMPUTED_VALUE"""),30303449)</f>
        <v>30303449</v>
      </c>
      <c r="B105" s="1" t="str">
        <f ca="1">IFERROR(__xludf.DUMMYFUNCTION("""COMPUTED_VALUE"""),"azadta@gmail.com")</f>
        <v>azadta@gmail.com</v>
      </c>
      <c r="C105" s="9" t="str">
        <f ca="1">IFERROR(__xludf.DUMMYFUNCTION("""COMPUTED_VALUE"""),"EVERGREEN - UAN Gated Content - Embedded Petition")</f>
        <v>EVERGREEN - UAN Gated Content - Embedded Petition</v>
      </c>
      <c r="D105" s="10">
        <f ca="1">IFERROR(__xludf.DUMMYFUNCTION("""COMPUTED_VALUE"""),45694)</f>
        <v>45694</v>
      </c>
      <c r="E105" s="1" t="str">
        <f ca="1">IFERROR(__xludf.DUMMYFUNCTION("""COMPUTED_VALUE"""),"USA")</f>
        <v>USA</v>
      </c>
      <c r="F105" s="1" t="str">
        <f ca="1">IFERROR(__xludf.DUMMYFUNCTION("""COMPUTED_VALUE"""),"96.24 USA")</f>
        <v>96.24 USA</v>
      </c>
      <c r="G105" s="1" t="str">
        <f ca="1">IFERROR(__xludf.DUMMYFUNCTION("""COMPUTED_VALUE"""),"Death Penalty")</f>
        <v>Death Penalty</v>
      </c>
      <c r="H105" s="1" t="str">
        <f ca="1">IFERROR(__xludf.DUMMYFUNCTION("""COMPUTED_VALUE"""),"2024")</f>
        <v>2024</v>
      </c>
      <c r="I105" s="1" t="str">
        <f ca="1">IFERROR(__xludf.DUMMYFUNCTION("""COMPUTED_VALUE"""),"Email")</f>
        <v>Email</v>
      </c>
    </row>
    <row r="106" spans="1:9" ht="13" x14ac:dyDescent="0.15">
      <c r="A106" s="9">
        <f ca="1">IFERROR(__xludf.DUMMYFUNCTION("""COMPUTED_VALUE"""),30304792)</f>
        <v>30304792</v>
      </c>
      <c r="B106" s="1" t="str">
        <f ca="1">IFERROR(__xludf.DUMMYFUNCTION("""COMPUTED_VALUE"""),"brummie2004@yahoo.com")</f>
        <v>brummie2004@yahoo.com</v>
      </c>
      <c r="C106" s="9" t="str">
        <f ca="1">IFERROR(__xludf.DUMMYFUNCTION("""COMPUTED_VALUE"""),"EVERGREEN - UAN Gated Content - Embedded Petition")</f>
        <v>EVERGREEN - UAN Gated Content - Embedded Petition</v>
      </c>
      <c r="D106" s="10">
        <f ca="1">IFERROR(__xludf.DUMMYFUNCTION("""COMPUTED_VALUE"""),45637)</f>
        <v>45637</v>
      </c>
      <c r="E106" s="1" t="str">
        <f ca="1">IFERROR(__xludf.DUMMYFUNCTION("""COMPUTED_VALUE"""),"Tunisia")</f>
        <v>Tunisia</v>
      </c>
      <c r="F106" s="1" t="str">
        <f ca="1">IFERROR(__xludf.DUMMYFUNCTION("""COMPUTED_VALUE"""),"8.25 Tunisia")</f>
        <v>8.25 Tunisia</v>
      </c>
      <c r="G106" s="1" t="str">
        <f ca="1">IFERROR(__xludf.DUMMYFUNCTION("""COMPUTED_VALUE"""),"Freedom of Expression")</f>
        <v>Freedom of Expression</v>
      </c>
      <c r="H106" s="1" t="str">
        <f ca="1">IFERROR(__xludf.DUMMYFUNCTION("""COMPUTED_VALUE"""),"2025")</f>
        <v>2025</v>
      </c>
      <c r="I106" s="1" t="str">
        <f ca="1">IFERROR(__xludf.DUMMYFUNCTION("""COMPUTED_VALUE"""),"Email")</f>
        <v>Email</v>
      </c>
    </row>
    <row r="107" spans="1:9" ht="13" x14ac:dyDescent="0.15">
      <c r="A107" s="9">
        <f ca="1">IFERROR(__xludf.DUMMYFUNCTION("""COMPUTED_VALUE"""),30318278)</f>
        <v>30318278</v>
      </c>
      <c r="B107" s="1" t="str">
        <f ca="1">IFERROR(__xludf.DUMMYFUNCTION("""COMPUTED_VALUE"""),"csicher@msn.com")</f>
        <v>csicher@msn.com</v>
      </c>
      <c r="C107" s="9" t="str">
        <f ca="1">IFERROR(__xludf.DUMMYFUNCTION("""COMPUTED_VALUE"""),"EVERGREEN - UAN Gated Content - Embedded Petition")</f>
        <v>EVERGREEN - UAN Gated Content - Embedded Petition</v>
      </c>
      <c r="D107" s="10">
        <f ca="1">IFERROR(__xludf.DUMMYFUNCTION("""COMPUTED_VALUE"""),45638)</f>
        <v>45638</v>
      </c>
      <c r="E107" s="1" t="str">
        <f ca="1">IFERROR(__xludf.DUMMYFUNCTION("""COMPUTED_VALUE"""),"USA")</f>
        <v>USA</v>
      </c>
      <c r="F107" s="1" t="str">
        <f ca="1">IFERROR(__xludf.DUMMYFUNCTION("""COMPUTED_VALUE"""),"105.24 USA")</f>
        <v>105.24 USA</v>
      </c>
      <c r="G107" s="1" t="str">
        <f ca="1">IFERROR(__xludf.DUMMYFUNCTION("""COMPUTED_VALUE"""),"Death Penalty")</f>
        <v>Death Penalty</v>
      </c>
      <c r="H107" s="1" t="str">
        <f ca="1">IFERROR(__xludf.DUMMYFUNCTION("""COMPUTED_VALUE"""),"2024")</f>
        <v>2024</v>
      </c>
      <c r="I107" s="1" t="str">
        <f ca="1">IFERROR(__xludf.DUMMYFUNCTION("""COMPUTED_VALUE"""),"Email")</f>
        <v>Email</v>
      </c>
    </row>
    <row r="108" spans="1:9" ht="13" x14ac:dyDescent="0.15">
      <c r="A108" s="9">
        <f ca="1">IFERROR(__xludf.DUMMYFUNCTION("""COMPUTED_VALUE"""),30318278)</f>
        <v>30318278</v>
      </c>
      <c r="B108" s="1" t="str">
        <f ca="1">IFERROR(__xludf.DUMMYFUNCTION("""COMPUTED_VALUE"""),"csicher@msn.com")</f>
        <v>csicher@msn.com</v>
      </c>
      <c r="C108" s="9" t="str">
        <f ca="1">IFERROR(__xludf.DUMMYFUNCTION("""COMPUTED_VALUE"""),"EVERGREEN - UAN Gated Content - Embedded Petition")</f>
        <v>EVERGREEN - UAN Gated Content - Embedded Petition</v>
      </c>
      <c r="D108" s="10">
        <f ca="1">IFERROR(__xludf.DUMMYFUNCTION("""COMPUTED_VALUE"""),45638)</f>
        <v>45638</v>
      </c>
      <c r="E108" s="1" t="str">
        <f ca="1">IFERROR(__xludf.DUMMYFUNCTION("""COMPUTED_VALUE"""),"Iran")</f>
        <v>Iran</v>
      </c>
      <c r="F108" s="1" t="str">
        <f ca="1">IFERROR(__xludf.DUMMYFUNCTION("""COMPUTED_VALUE"""),"101.24 Iran")</f>
        <v>101.24 Iran</v>
      </c>
      <c r="G108" s="1" t="str">
        <f ca="1">IFERROR(__xludf.DUMMYFUNCTION("""COMPUTED_VALUE"""),"Death Penalty, Freedom of Expression, Individuals At Risk, Right to Protest")</f>
        <v>Death Penalty, Freedom of Expression, Individuals At Risk, Right to Protest</v>
      </c>
      <c r="H108" s="1" t="str">
        <f ca="1">IFERROR(__xludf.DUMMYFUNCTION("""COMPUTED_VALUE"""),"2024")</f>
        <v>2024</v>
      </c>
      <c r="I108" s="1" t="str">
        <f ca="1">IFERROR(__xludf.DUMMYFUNCTION("""COMPUTED_VALUE"""),"Email")</f>
        <v>Email</v>
      </c>
    </row>
    <row r="109" spans="1:9" ht="13" x14ac:dyDescent="0.15">
      <c r="A109" s="9">
        <f ca="1">IFERROR(__xludf.DUMMYFUNCTION("""COMPUTED_VALUE"""),30318278)</f>
        <v>30318278</v>
      </c>
      <c r="B109" s="1" t="str">
        <f ca="1">IFERROR(__xludf.DUMMYFUNCTION("""COMPUTED_VALUE"""),"csicher@msn.com")</f>
        <v>csicher@msn.com</v>
      </c>
      <c r="C109" s="9" t="str">
        <f ca="1">IFERROR(__xludf.DUMMYFUNCTION("""COMPUTED_VALUE"""),"EVERGREEN - UAN Gated Content - Embedded Petition")</f>
        <v>EVERGREEN - UAN Gated Content - Embedded Petition</v>
      </c>
      <c r="D109" s="10">
        <f ca="1">IFERROR(__xludf.DUMMYFUNCTION("""COMPUTED_VALUE"""),45636)</f>
        <v>45636</v>
      </c>
      <c r="E109" s="1" t="str">
        <f ca="1">IFERROR(__xludf.DUMMYFUNCTION("""COMPUTED_VALUE"""),"Dominican Republic")</f>
        <v>Dominican Republic</v>
      </c>
      <c r="F109" s="1" t="str">
        <f ca="1">IFERROR(__xludf.DUMMYFUNCTION("""COMPUTED_VALUE"""),"88.24 Dominican Republic")</f>
        <v>88.24 Dominican Republic</v>
      </c>
      <c r="G109" s="1" t="str">
        <f ca="1">IFERROR(__xludf.DUMMYFUNCTION("""COMPUTED_VALUE"""),"Individuals At Risk, Refugee and Migrant Rights")</f>
        <v>Individuals At Risk, Refugee and Migrant Rights</v>
      </c>
      <c r="H109" s="1" t="str">
        <f ca="1">IFERROR(__xludf.DUMMYFUNCTION("""COMPUTED_VALUE"""),"2024")</f>
        <v>2024</v>
      </c>
      <c r="I109" s="1" t="str">
        <f ca="1">IFERROR(__xludf.DUMMYFUNCTION("""COMPUTED_VALUE"""),"Letter")</f>
        <v>Letter</v>
      </c>
    </row>
    <row r="110" spans="1:9" ht="13" x14ac:dyDescent="0.15">
      <c r="A110" s="9">
        <f ca="1">IFERROR(__xludf.DUMMYFUNCTION("""COMPUTED_VALUE"""),30318278)</f>
        <v>30318278</v>
      </c>
      <c r="B110" s="1" t="str">
        <f ca="1">IFERROR(__xludf.DUMMYFUNCTION("""COMPUTED_VALUE"""),"csicher@msn.com")</f>
        <v>csicher@msn.com</v>
      </c>
      <c r="C110" s="9" t="str">
        <f ca="1">IFERROR(__xludf.DUMMYFUNCTION("""COMPUTED_VALUE"""),"EVERGREEN - UAN Gated Content - Embedded Petition")</f>
        <v>EVERGREEN - UAN Gated Content - Embedded Petition</v>
      </c>
      <c r="D110" s="10">
        <f ca="1">IFERROR(__xludf.DUMMYFUNCTION("""COMPUTED_VALUE"""),45694)</f>
        <v>45694</v>
      </c>
      <c r="E110" s="1" t="str">
        <f ca="1">IFERROR(__xludf.DUMMYFUNCTION("""COMPUTED_VALUE"""),"Azerbaijan")</f>
        <v>Azerbaijan</v>
      </c>
      <c r="F110" s="1" t="str">
        <f ca="1">IFERROR(__xludf.DUMMYFUNCTION("""COMPUTED_VALUE"""),"2.25 Azerbaijan")</f>
        <v>2.25 Azerbaijan</v>
      </c>
      <c r="G110" s="1" t="str">
        <f ca="1">IFERROR(__xludf.DUMMYFUNCTION("""COMPUTED_VALUE"""),"Freedom of Expression, Human Rights Defenders")</f>
        <v>Freedom of Expression, Human Rights Defenders</v>
      </c>
      <c r="H110" s="1" t="str">
        <f ca="1">IFERROR(__xludf.DUMMYFUNCTION("""COMPUTED_VALUE"""),"2025")</f>
        <v>2025</v>
      </c>
      <c r="I110" s="1" t="str">
        <f ca="1">IFERROR(__xludf.DUMMYFUNCTION("""COMPUTED_VALUE"""),"Email")</f>
        <v>Email</v>
      </c>
    </row>
    <row r="111" spans="1:9" ht="13" x14ac:dyDescent="0.15">
      <c r="A111" s="9">
        <f ca="1">IFERROR(__xludf.DUMMYFUNCTION("""COMPUTED_VALUE"""),30318278)</f>
        <v>30318278</v>
      </c>
      <c r="B111" s="1" t="str">
        <f ca="1">IFERROR(__xludf.DUMMYFUNCTION("""COMPUTED_VALUE"""),"csicher@msn.com")</f>
        <v>csicher@msn.com</v>
      </c>
      <c r="C111" s="9" t="str">
        <f ca="1">IFERROR(__xludf.DUMMYFUNCTION("""COMPUTED_VALUE"""),"EVERGREEN - UAN Gated Content - Embedded Petition")</f>
        <v>EVERGREEN - UAN Gated Content - Embedded Petition</v>
      </c>
      <c r="D111" s="10">
        <f ca="1">IFERROR(__xludf.DUMMYFUNCTION("""COMPUTED_VALUE"""),45674)</f>
        <v>45674</v>
      </c>
      <c r="E111" s="1" t="str">
        <f ca="1">IFERROR(__xludf.DUMMYFUNCTION("""COMPUTED_VALUE"""),"Iran")</f>
        <v>Iran</v>
      </c>
      <c r="F111" s="1" t="str">
        <f ca="1">IFERROR(__xludf.DUMMYFUNCTION("""COMPUTED_VALUE"""),"101.24 Iran")</f>
        <v>101.24 Iran</v>
      </c>
      <c r="G111" s="1" t="str">
        <f ca="1">IFERROR(__xludf.DUMMYFUNCTION("""COMPUTED_VALUE"""),"Death Penalty, Freedom of Expression, Individuals At Risk, Right to Protest")</f>
        <v>Death Penalty, Freedom of Expression, Individuals At Risk, Right to Protest</v>
      </c>
      <c r="H111" s="1" t="str">
        <f ca="1">IFERROR(__xludf.DUMMYFUNCTION("""COMPUTED_VALUE"""),"2024")</f>
        <v>2024</v>
      </c>
      <c r="I111" s="1" t="str">
        <f ca="1">IFERROR(__xludf.DUMMYFUNCTION("""COMPUTED_VALUE"""),"Email")</f>
        <v>Email</v>
      </c>
    </row>
    <row r="112" spans="1:9" ht="13" x14ac:dyDescent="0.15">
      <c r="A112" s="9">
        <f ca="1">IFERROR(__xludf.DUMMYFUNCTION("""COMPUTED_VALUE"""),30318278)</f>
        <v>30318278</v>
      </c>
      <c r="B112" s="1" t="str">
        <f ca="1">IFERROR(__xludf.DUMMYFUNCTION("""COMPUTED_VALUE"""),"csicher@msn.com")</f>
        <v>csicher@msn.com</v>
      </c>
      <c r="C112" s="9" t="str">
        <f ca="1">IFERROR(__xludf.DUMMYFUNCTION("""COMPUTED_VALUE"""),"EVERGREEN - UAN Gated Content - Embedded Petition")</f>
        <v>EVERGREEN - UAN Gated Content - Embedded Petition</v>
      </c>
      <c r="D112" s="10">
        <f ca="1">IFERROR(__xludf.DUMMYFUNCTION("""COMPUTED_VALUE"""),45674)</f>
        <v>45674</v>
      </c>
      <c r="E112" s="1" t="str">
        <f ca="1">IFERROR(__xludf.DUMMYFUNCTION("""COMPUTED_VALUE"""),"Singapore")</f>
        <v>Singapore</v>
      </c>
      <c r="F112" s="1" t="str">
        <f ca="1">IFERROR(__xludf.DUMMYFUNCTION("""COMPUTED_VALUE"""),"107.24 Singapore")</f>
        <v>107.24 Singapore</v>
      </c>
      <c r="G112" s="1" t="str">
        <f ca="1">IFERROR(__xludf.DUMMYFUNCTION("""COMPUTED_VALUE"""),"Death Penalty")</f>
        <v>Death Penalty</v>
      </c>
      <c r="H112" s="1" t="str">
        <f ca="1">IFERROR(__xludf.DUMMYFUNCTION("""COMPUTED_VALUE"""),"2024")</f>
        <v>2024</v>
      </c>
      <c r="I112" s="1" t="str">
        <f ca="1">IFERROR(__xludf.DUMMYFUNCTION("""COMPUTED_VALUE"""),"Email")</f>
        <v>Email</v>
      </c>
    </row>
    <row r="113" spans="1:9" ht="13" x14ac:dyDescent="0.15">
      <c r="A113" s="9">
        <f ca="1">IFERROR(__xludf.DUMMYFUNCTION("""COMPUTED_VALUE"""),30318278)</f>
        <v>30318278</v>
      </c>
      <c r="B113" s="1" t="str">
        <f ca="1">IFERROR(__xludf.DUMMYFUNCTION("""COMPUTED_VALUE"""),"csicher@msn.com")</f>
        <v>csicher@msn.com</v>
      </c>
      <c r="C113" s="9" t="str">
        <f ca="1">IFERROR(__xludf.DUMMYFUNCTION("""COMPUTED_VALUE"""),"EVERGREEN - UAN Gated Content - Embedded Petition")</f>
        <v>EVERGREEN - UAN Gated Content - Embedded Petition</v>
      </c>
      <c r="D113" s="10">
        <f ca="1">IFERROR(__xludf.DUMMYFUNCTION("""COMPUTED_VALUE"""),45674)</f>
        <v>45674</v>
      </c>
      <c r="E113" s="1" t="str">
        <f ca="1">IFERROR(__xludf.DUMMYFUNCTION("""COMPUTED_VALUE"""),"Iran")</f>
        <v>Iran</v>
      </c>
      <c r="F113" s="1" t="str">
        <f ca="1">IFERROR(__xludf.DUMMYFUNCTION("""COMPUTED_VALUE"""),"101.24 Iran")</f>
        <v>101.24 Iran</v>
      </c>
      <c r="G113" s="1" t="str">
        <f ca="1">IFERROR(__xludf.DUMMYFUNCTION("""COMPUTED_VALUE"""),"Death Penalty, Freedom of Expression, Individuals At Risk, Right to Protest")</f>
        <v>Death Penalty, Freedom of Expression, Individuals At Risk, Right to Protest</v>
      </c>
      <c r="H113" s="1" t="str">
        <f ca="1">IFERROR(__xludf.DUMMYFUNCTION("""COMPUTED_VALUE"""),"2024")</f>
        <v>2024</v>
      </c>
      <c r="I113" s="1" t="str">
        <f ca="1">IFERROR(__xludf.DUMMYFUNCTION("""COMPUTED_VALUE"""),"Email")</f>
        <v>Email</v>
      </c>
    </row>
    <row r="114" spans="1:9" ht="13" x14ac:dyDescent="0.15">
      <c r="A114" s="9">
        <f ca="1">IFERROR(__xludf.DUMMYFUNCTION("""COMPUTED_VALUE"""),30318278)</f>
        <v>30318278</v>
      </c>
      <c r="B114" s="1" t="str">
        <f ca="1">IFERROR(__xludf.DUMMYFUNCTION("""COMPUTED_VALUE"""),"csicher@msn.com")</f>
        <v>csicher@msn.com</v>
      </c>
      <c r="C114" s="9" t="str">
        <f ca="1">IFERROR(__xludf.DUMMYFUNCTION("""COMPUTED_VALUE"""),"EVERGREEN - UAN Gated Content - Embedded Petition")</f>
        <v>EVERGREEN - UAN Gated Content - Embedded Petition</v>
      </c>
      <c r="D114" s="10">
        <f ca="1">IFERROR(__xludf.DUMMYFUNCTION("""COMPUTED_VALUE"""),45677)</f>
        <v>45677</v>
      </c>
      <c r="E114" s="1" t="str">
        <f ca="1">IFERROR(__xludf.DUMMYFUNCTION("""COMPUTED_VALUE"""),"Colombia")</f>
        <v>Colombia</v>
      </c>
      <c r="F114" s="1" t="str">
        <f ca="1">IFERROR(__xludf.DUMMYFUNCTION("""COMPUTED_VALUE"""),"Third 12.24 Colombia")</f>
        <v>Third 12.24 Colombia</v>
      </c>
      <c r="G114" s="1" t="str">
        <f ca="1">IFERROR(__xludf.DUMMYFUNCTION("""COMPUTED_VALUE"""),"Human Rights Defenders, Individuals At Risk")</f>
        <v>Human Rights Defenders, Individuals At Risk</v>
      </c>
      <c r="H114" s="1" t="str">
        <f ca="1">IFERROR(__xludf.DUMMYFUNCTION("""COMPUTED_VALUE"""),"2025")</f>
        <v>2025</v>
      </c>
      <c r="I114" s="1" t="str">
        <f ca="1">IFERROR(__xludf.DUMMYFUNCTION("""COMPUTED_VALUE"""),"Email")</f>
        <v>Email</v>
      </c>
    </row>
    <row r="115" spans="1:9" ht="13" x14ac:dyDescent="0.15">
      <c r="A115" s="9">
        <f ca="1">IFERROR(__xludf.DUMMYFUNCTION("""COMPUTED_VALUE"""),30328219)</f>
        <v>30328219</v>
      </c>
      <c r="B115" s="1" t="str">
        <f ca="1">IFERROR(__xludf.DUMMYFUNCTION("""COMPUTED_VALUE"""),"priscillad@roadrunner.com")</f>
        <v>priscillad@roadrunner.com</v>
      </c>
      <c r="C115" s="9" t="str">
        <f ca="1">IFERROR(__xludf.DUMMYFUNCTION("""COMPUTED_VALUE"""),"EVERGREEN - UAN Gated Content - Embedded Petition")</f>
        <v>EVERGREEN - UAN Gated Content - Embedded Petition</v>
      </c>
      <c r="D115" s="10">
        <f ca="1">IFERROR(__xludf.DUMMYFUNCTION("""COMPUTED_VALUE"""),45691)</f>
        <v>45691</v>
      </c>
      <c r="E115" s="1" t="str">
        <f ca="1">IFERROR(__xludf.DUMMYFUNCTION("""COMPUTED_VALUE"""),"Turkiye")</f>
        <v>Turkiye</v>
      </c>
      <c r="F115" s="1" t="str">
        <f ca="1">IFERROR(__xludf.DUMMYFUNCTION("""COMPUTED_VALUE"""),"Second 109.24 Türkiye")</f>
        <v>Second 109.24 Türkiye</v>
      </c>
      <c r="G115" s="1" t="str">
        <f ca="1">IFERROR(__xludf.DUMMYFUNCTION("""COMPUTED_VALUE"""),"Human Rights Defenders")</f>
        <v>Human Rights Defenders</v>
      </c>
      <c r="H115" s="1" t="str">
        <f ca="1">IFERROR(__xludf.DUMMYFUNCTION("""COMPUTED_VALUE"""),"2025")</f>
        <v>2025</v>
      </c>
      <c r="I115" s="1" t="str">
        <f ca="1">IFERROR(__xludf.DUMMYFUNCTION("""COMPUTED_VALUE"""),"Email")</f>
        <v>Email</v>
      </c>
    </row>
    <row r="116" spans="1:9" ht="13" x14ac:dyDescent="0.15">
      <c r="A116" s="9">
        <f ca="1">IFERROR(__xludf.DUMMYFUNCTION("""COMPUTED_VALUE"""),30333900)</f>
        <v>30333900</v>
      </c>
      <c r="B116" s="1" t="str">
        <f ca="1">IFERROR(__xludf.DUMMYFUNCTION("""COMPUTED_VALUE"""),"sdawnpwood@yahoo.co.uk")</f>
        <v>sdawnpwood@yahoo.co.uk</v>
      </c>
      <c r="C116" s="9" t="str">
        <f ca="1">IFERROR(__xludf.DUMMYFUNCTION("""COMPUTED_VALUE"""),"EVERGREEN - UAN Gated Content - Embedded Petition")</f>
        <v>EVERGREEN - UAN Gated Content - Embedded Petition</v>
      </c>
      <c r="D116" s="10">
        <f ca="1">IFERROR(__xludf.DUMMYFUNCTION("""COMPUTED_VALUE"""),45672)</f>
        <v>45672</v>
      </c>
      <c r="E116" s="1" t="str">
        <f ca="1">IFERROR(__xludf.DUMMYFUNCTION("""COMPUTED_VALUE"""),"Iran")</f>
        <v>Iran</v>
      </c>
      <c r="F116" s="1" t="str">
        <f ca="1">IFERROR(__xludf.DUMMYFUNCTION("""COMPUTED_VALUE"""),"6.25 Iran")</f>
        <v>6.25 Iran</v>
      </c>
      <c r="G116" s="1" t="str">
        <f ca="1">IFERROR(__xludf.DUMMYFUNCTION("""COMPUTED_VALUE"""),"Death Penalty, Freedom of Expression, Individuals At Risk")</f>
        <v>Death Penalty, Freedom of Expression, Individuals At Risk</v>
      </c>
      <c r="H116" s="1" t="str">
        <f ca="1">IFERROR(__xludf.DUMMYFUNCTION("""COMPUTED_VALUE"""),"2025")</f>
        <v>2025</v>
      </c>
      <c r="I116" s="1" t="str">
        <f ca="1">IFERROR(__xludf.DUMMYFUNCTION("""COMPUTED_VALUE"""),"Email")</f>
        <v>Email</v>
      </c>
    </row>
    <row r="117" spans="1:9" ht="13" x14ac:dyDescent="0.15">
      <c r="A117" s="9">
        <f ca="1">IFERROR(__xludf.DUMMYFUNCTION("""COMPUTED_VALUE"""),30333900)</f>
        <v>30333900</v>
      </c>
      <c r="B117" s="1" t="str">
        <f ca="1">IFERROR(__xludf.DUMMYFUNCTION("""COMPUTED_VALUE"""),"sdawnpwood@yahoo.co.uk")</f>
        <v>sdawnpwood@yahoo.co.uk</v>
      </c>
      <c r="C117" s="9" t="str">
        <f ca="1">IFERROR(__xludf.DUMMYFUNCTION("""COMPUTED_VALUE"""),"EVERGREEN - UAN Gated Content - Embedded Petition")</f>
        <v>EVERGREEN - UAN Gated Content - Embedded Petition</v>
      </c>
      <c r="D117" s="10">
        <f ca="1">IFERROR(__xludf.DUMMYFUNCTION("""COMPUTED_VALUE"""),45695)</f>
        <v>45695</v>
      </c>
      <c r="E117" s="1" t="str">
        <f ca="1">IFERROR(__xludf.DUMMYFUNCTION("""COMPUTED_VALUE"""),"Tunisia")</f>
        <v>Tunisia</v>
      </c>
      <c r="F117" s="1" t="str">
        <f ca="1">IFERROR(__xludf.DUMMYFUNCTION("""COMPUTED_VALUE"""),"Second 76.24 Tunisia")</f>
        <v>Second 76.24 Tunisia</v>
      </c>
      <c r="G117" s="1" t="str">
        <f ca="1">IFERROR(__xludf.DUMMYFUNCTION("""COMPUTED_VALUE"""),"Freedom of Expression, Human Rights Defenders")</f>
        <v>Freedom of Expression, Human Rights Defenders</v>
      </c>
      <c r="H117" s="1" t="str">
        <f ca="1">IFERROR(__xludf.DUMMYFUNCTION("""COMPUTED_VALUE"""),"2025")</f>
        <v>2025</v>
      </c>
      <c r="I117" s="1" t="str">
        <f ca="1">IFERROR(__xludf.DUMMYFUNCTION("""COMPUTED_VALUE"""),"Email")</f>
        <v>Email</v>
      </c>
    </row>
    <row r="118" spans="1:9" ht="13" x14ac:dyDescent="0.15">
      <c r="A118" s="9">
        <f ca="1">IFERROR(__xludf.DUMMYFUNCTION("""COMPUTED_VALUE"""),30333900)</f>
        <v>30333900</v>
      </c>
      <c r="B118" s="1" t="str">
        <f ca="1">IFERROR(__xludf.DUMMYFUNCTION("""COMPUTED_VALUE"""),"sdawnpwood@yahoo.co.uk")</f>
        <v>sdawnpwood@yahoo.co.uk</v>
      </c>
      <c r="C118" s="9" t="str">
        <f ca="1">IFERROR(__xludf.DUMMYFUNCTION("""COMPUTED_VALUE"""),"EVERGREEN - UAN Gated Content - Embedded Petition")</f>
        <v>EVERGREEN - UAN Gated Content - Embedded Petition</v>
      </c>
      <c r="D118" s="10">
        <f ca="1">IFERROR(__xludf.DUMMYFUNCTION("""COMPUTED_VALUE"""),45677)</f>
        <v>45677</v>
      </c>
      <c r="E118" s="1" t="str">
        <f ca="1">IFERROR(__xludf.DUMMYFUNCTION("""COMPUTED_VALUE"""),"Iran")</f>
        <v>Iran</v>
      </c>
      <c r="F118" s="1" t="str">
        <f ca="1">IFERROR(__xludf.DUMMYFUNCTION("""COMPUTED_VALUE"""),"101.24 Iran")</f>
        <v>101.24 Iran</v>
      </c>
      <c r="G118" s="1" t="str">
        <f ca="1">IFERROR(__xludf.DUMMYFUNCTION("""COMPUTED_VALUE"""),"Death Penalty, Freedom of Expression, Individuals At Risk, Right to Protest")</f>
        <v>Death Penalty, Freedom of Expression, Individuals At Risk, Right to Protest</v>
      </c>
      <c r="H118" s="1" t="str">
        <f ca="1">IFERROR(__xludf.DUMMYFUNCTION("""COMPUTED_VALUE"""),"2024")</f>
        <v>2024</v>
      </c>
      <c r="I118" s="1" t="str">
        <f ca="1">IFERROR(__xludf.DUMMYFUNCTION("""COMPUTED_VALUE"""),"Email")</f>
        <v>Email</v>
      </c>
    </row>
    <row r="119" spans="1:9" ht="13" x14ac:dyDescent="0.15">
      <c r="A119" s="9">
        <f ca="1">IFERROR(__xludf.DUMMYFUNCTION("""COMPUTED_VALUE"""),30336858)</f>
        <v>30336858</v>
      </c>
      <c r="B119" s="1" t="str">
        <f ca="1">IFERROR(__xludf.DUMMYFUNCTION("""COMPUTED_VALUE"""),"scorpioncastle20002000@yahoo.com")</f>
        <v>scorpioncastle20002000@yahoo.com</v>
      </c>
      <c r="C119" s="9" t="str">
        <f ca="1">IFERROR(__xludf.DUMMYFUNCTION("""COMPUTED_VALUE"""),"EVERGREEN - UAN Gated Content - Embedded Petition")</f>
        <v>EVERGREEN - UAN Gated Content - Embedded Petition</v>
      </c>
      <c r="D119" s="10">
        <f ca="1">IFERROR(__xludf.DUMMYFUNCTION("""COMPUTED_VALUE"""),45616)</f>
        <v>45616</v>
      </c>
      <c r="E119" s="1" t="str">
        <f ca="1">IFERROR(__xludf.DUMMYFUNCTION("""COMPUTED_VALUE"""),"China")</f>
        <v>China</v>
      </c>
      <c r="F119" s="1" t="str">
        <f ca="1">IFERROR(__xludf.DUMMYFUNCTION("""COMPUTED_VALUE"""),"98.24 China")</f>
        <v>98.24 China</v>
      </c>
      <c r="G119" s="1" t="str">
        <f ca="1">IFERROR(__xludf.DUMMYFUNCTION("""COMPUTED_VALUE"""),"Freedom of Expression, Individuals At Risk")</f>
        <v>Freedom of Expression, Individuals At Risk</v>
      </c>
      <c r="H119" s="1" t="str">
        <f ca="1">IFERROR(__xludf.DUMMYFUNCTION("""COMPUTED_VALUE"""),"2024")</f>
        <v>2024</v>
      </c>
      <c r="I119" s="1" t="str">
        <f ca="1">IFERROR(__xludf.DUMMYFUNCTION("""COMPUTED_VALUE"""),"Letter")</f>
        <v>Letter</v>
      </c>
    </row>
    <row r="120" spans="1:9" ht="13" x14ac:dyDescent="0.15">
      <c r="A120" s="9">
        <f ca="1">IFERROR(__xludf.DUMMYFUNCTION("""COMPUTED_VALUE"""),30336858)</f>
        <v>30336858</v>
      </c>
      <c r="B120" s="1" t="str">
        <f ca="1">IFERROR(__xludf.DUMMYFUNCTION("""COMPUTED_VALUE"""),"scorpioncastle20002000@yahoo.com")</f>
        <v>scorpioncastle20002000@yahoo.com</v>
      </c>
      <c r="C120" s="9" t="str">
        <f ca="1">IFERROR(__xludf.DUMMYFUNCTION("""COMPUTED_VALUE"""),"EVERGREEN - Website Email Capture Form - UAN Pre-Footer")</f>
        <v>EVERGREEN - Website Email Capture Form - UAN Pre-Footer</v>
      </c>
      <c r="D120" s="10">
        <f ca="1">IFERROR(__xludf.DUMMYFUNCTION("""COMPUTED_VALUE"""),45616)</f>
        <v>45616</v>
      </c>
      <c r="E120" s="1" t="str">
        <f ca="1">IFERROR(__xludf.DUMMYFUNCTION("""COMPUTED_VALUE"""),"Iran")</f>
        <v>Iran</v>
      </c>
      <c r="F120" s="1" t="str">
        <f ca="1">IFERROR(__xludf.DUMMYFUNCTION("""COMPUTED_VALUE"""),"101.24 Iran")</f>
        <v>101.24 Iran</v>
      </c>
      <c r="G120" s="1" t="str">
        <f ca="1">IFERROR(__xludf.DUMMYFUNCTION("""COMPUTED_VALUE"""),"Death Penalty, Freedom of Expression, Individuals At Risk, Right to Protest")</f>
        <v>Death Penalty, Freedom of Expression, Individuals At Risk, Right to Protest</v>
      </c>
      <c r="H120" s="1" t="str">
        <f ca="1">IFERROR(__xludf.DUMMYFUNCTION("""COMPUTED_VALUE"""),"2024")</f>
        <v>2024</v>
      </c>
      <c r="I120" s="1" t="str">
        <f ca="1">IFERROR(__xludf.DUMMYFUNCTION("""COMPUTED_VALUE"""),"Email")</f>
        <v>Email</v>
      </c>
    </row>
    <row r="121" spans="1:9" ht="13" x14ac:dyDescent="0.15">
      <c r="A121" s="9">
        <f ca="1">IFERROR(__xludf.DUMMYFUNCTION("""COMPUTED_VALUE"""),30347930)</f>
        <v>30347930</v>
      </c>
      <c r="B121" s="1" t="str">
        <f ca="1">IFERROR(__xludf.DUMMYFUNCTION("""COMPUTED_VALUE"""),"paulmarsh@comcast.net")</f>
        <v>paulmarsh@comcast.net</v>
      </c>
      <c r="C121" s="9" t="str">
        <f ca="1">IFERROR(__xludf.DUMMYFUNCTION("""COMPUTED_VALUE"""),"EVERGREEN - UAN Gated Content - Embedded Petition")</f>
        <v>EVERGREEN - UAN Gated Content - Embedded Petition</v>
      </c>
      <c r="D121" s="10">
        <f ca="1">IFERROR(__xludf.DUMMYFUNCTION("""COMPUTED_VALUE"""),45698)</f>
        <v>45698</v>
      </c>
      <c r="E121" s="1" t="str">
        <f ca="1">IFERROR(__xludf.DUMMYFUNCTION("""COMPUTED_VALUE"""),"Iran")</f>
        <v>Iran</v>
      </c>
      <c r="F121" s="1" t="str">
        <f ca="1">IFERROR(__xludf.DUMMYFUNCTION("""COMPUTED_VALUE"""),"Seventh 103.22 Iran")</f>
        <v>Seventh 103.22 Iran</v>
      </c>
      <c r="G121" s="1" t="str">
        <f ca="1">IFERROR(__xludf.DUMMYFUNCTION("""COMPUTED_VALUE"""),"Death Penalty, Freedom of Expression, Individuals At Risk")</f>
        <v>Death Penalty, Freedom of Expression, Individuals At Risk</v>
      </c>
      <c r="H121" s="1" t="str">
        <f ca="1">IFERROR(__xludf.DUMMYFUNCTION("""COMPUTED_VALUE"""),"2024")</f>
        <v>2024</v>
      </c>
      <c r="I121" s="1" t="str">
        <f ca="1">IFERROR(__xludf.DUMMYFUNCTION("""COMPUTED_VALUE"""),"Email")</f>
        <v>Email</v>
      </c>
    </row>
    <row r="122" spans="1:9" ht="13" x14ac:dyDescent="0.15">
      <c r="A122" s="9">
        <f ca="1">IFERROR(__xludf.DUMMYFUNCTION("""COMPUTED_VALUE"""),30350943)</f>
        <v>30350943</v>
      </c>
      <c r="B122" s="1" t="str">
        <f ca="1">IFERROR(__xludf.DUMMYFUNCTION("""COMPUTED_VALUE"""),"aiusa@aol.com")</f>
        <v>aiusa@aol.com</v>
      </c>
      <c r="C122" s="9" t="str">
        <f ca="1">IFERROR(__xludf.DUMMYFUNCTION("""COMPUTED_VALUE"""),"EVERGREEN - UAN Gated Content - Embedded Petition")</f>
        <v>EVERGREEN - UAN Gated Content - Embedded Petition</v>
      </c>
      <c r="D122" s="10">
        <f ca="1">IFERROR(__xludf.DUMMYFUNCTION("""COMPUTED_VALUE"""),45634)</f>
        <v>45634</v>
      </c>
      <c r="E122" s="1" t="str">
        <f ca="1">IFERROR(__xludf.DUMMYFUNCTION("""COMPUTED_VALUE"""),"Tunisia")</f>
        <v>Tunisia</v>
      </c>
      <c r="F122" s="1" t="str">
        <f ca="1">IFERROR(__xludf.DUMMYFUNCTION("""COMPUTED_VALUE"""),"Second 76.24 Tunisia")</f>
        <v>Second 76.24 Tunisia</v>
      </c>
      <c r="G122" s="1" t="str">
        <f ca="1">IFERROR(__xludf.DUMMYFUNCTION("""COMPUTED_VALUE"""),"Freedom of Expression, Human Rights Defenders")</f>
        <v>Freedom of Expression, Human Rights Defenders</v>
      </c>
      <c r="H122" s="1" t="str">
        <f ca="1">IFERROR(__xludf.DUMMYFUNCTION("""COMPUTED_VALUE"""),"2025")</f>
        <v>2025</v>
      </c>
      <c r="I122" s="1" t="str">
        <f ca="1">IFERROR(__xludf.DUMMYFUNCTION("""COMPUTED_VALUE"""),"Email")</f>
        <v>Email</v>
      </c>
    </row>
    <row r="123" spans="1:9" ht="13" x14ac:dyDescent="0.15">
      <c r="A123" s="9">
        <f ca="1">IFERROR(__xludf.DUMMYFUNCTION("""COMPUTED_VALUE"""),30350943)</f>
        <v>30350943</v>
      </c>
      <c r="B123" s="1" t="str">
        <f ca="1">IFERROR(__xludf.DUMMYFUNCTION("""COMPUTED_VALUE"""),"aiusa@aol.com")</f>
        <v>aiusa@aol.com</v>
      </c>
      <c r="C123" s="9" t="str">
        <f ca="1">IFERROR(__xludf.DUMMYFUNCTION("""COMPUTED_VALUE"""),"EVERGREEN - UAN Gated Content - Embedded Petition")</f>
        <v>EVERGREEN - UAN Gated Content - Embedded Petition</v>
      </c>
      <c r="D123" s="10">
        <f ca="1">IFERROR(__xludf.DUMMYFUNCTION("""COMPUTED_VALUE"""),45636)</f>
        <v>45636</v>
      </c>
      <c r="E123" s="1" t="str">
        <f ca="1">IFERROR(__xludf.DUMMYFUNCTION("""COMPUTED_VALUE"""),"Tunisia")</f>
        <v>Tunisia</v>
      </c>
      <c r="F123" s="1" t="str">
        <f ca="1">IFERROR(__xludf.DUMMYFUNCTION("""COMPUTED_VALUE"""),"Second 76.24 Tunisia")</f>
        <v>Second 76.24 Tunisia</v>
      </c>
      <c r="G123" s="1" t="str">
        <f ca="1">IFERROR(__xludf.DUMMYFUNCTION("""COMPUTED_VALUE"""),"Freedom of Expression, Human Rights Defenders")</f>
        <v>Freedom of Expression, Human Rights Defenders</v>
      </c>
      <c r="H123" s="1" t="str">
        <f ca="1">IFERROR(__xludf.DUMMYFUNCTION("""COMPUTED_VALUE"""),"2025")</f>
        <v>2025</v>
      </c>
      <c r="I123" s="1" t="str">
        <f ca="1">IFERROR(__xludf.DUMMYFUNCTION("""COMPUTED_VALUE"""),"Email")</f>
        <v>Email</v>
      </c>
    </row>
    <row r="124" spans="1:9" ht="13" x14ac:dyDescent="0.15">
      <c r="A124" s="9">
        <f ca="1">IFERROR(__xludf.DUMMYFUNCTION("""COMPUTED_VALUE"""),30350943)</f>
        <v>30350943</v>
      </c>
      <c r="B124" s="1" t="str">
        <f ca="1">IFERROR(__xludf.DUMMYFUNCTION("""COMPUTED_VALUE"""),"aiusa@aol.com")</f>
        <v>aiusa@aol.com</v>
      </c>
      <c r="C124" s="9" t="str">
        <f ca="1">IFERROR(__xludf.DUMMYFUNCTION("""COMPUTED_VALUE"""),"EVERGREEN - UAN Gated Content - Embedded Petition")</f>
        <v>EVERGREEN - UAN Gated Content - Embedded Petition</v>
      </c>
      <c r="D124" s="10">
        <f ca="1">IFERROR(__xludf.DUMMYFUNCTION("""COMPUTED_VALUE"""),45636)</f>
        <v>45636</v>
      </c>
      <c r="E124" s="1" t="str">
        <f ca="1">IFERROR(__xludf.DUMMYFUNCTION("""COMPUTED_VALUE"""),"Tunisia")</f>
        <v>Tunisia</v>
      </c>
      <c r="F124" s="1" t="str">
        <f ca="1">IFERROR(__xludf.DUMMYFUNCTION("""COMPUTED_VALUE"""),"Second 76.24 Tunisia")</f>
        <v>Second 76.24 Tunisia</v>
      </c>
      <c r="G124" s="1" t="str">
        <f ca="1">IFERROR(__xludf.DUMMYFUNCTION("""COMPUTED_VALUE"""),"Freedom of Expression, Human Rights Defenders")</f>
        <v>Freedom of Expression, Human Rights Defenders</v>
      </c>
      <c r="H124" s="1" t="str">
        <f ca="1">IFERROR(__xludf.DUMMYFUNCTION("""COMPUTED_VALUE"""),"2025")</f>
        <v>2025</v>
      </c>
      <c r="I124" s="1" t="str">
        <f ca="1">IFERROR(__xludf.DUMMYFUNCTION("""COMPUTED_VALUE"""),"Email")</f>
        <v>Email</v>
      </c>
    </row>
    <row r="125" spans="1:9" ht="13" x14ac:dyDescent="0.15">
      <c r="A125" s="9">
        <f ca="1">IFERROR(__xludf.DUMMYFUNCTION("""COMPUTED_VALUE"""),30350943)</f>
        <v>30350943</v>
      </c>
      <c r="B125" s="1" t="str">
        <f ca="1">IFERROR(__xludf.DUMMYFUNCTION("""COMPUTED_VALUE"""),"aiusa@aol.com")</f>
        <v>aiusa@aol.com</v>
      </c>
      <c r="C125" s="9" t="str">
        <f ca="1">IFERROR(__xludf.DUMMYFUNCTION("""COMPUTED_VALUE"""),"EVERGREEN - UAN Gated Content - Embedded Petition")</f>
        <v>EVERGREEN - UAN Gated Content - Embedded Petition</v>
      </c>
      <c r="D125" s="10">
        <f ca="1">IFERROR(__xludf.DUMMYFUNCTION("""COMPUTED_VALUE"""),45699)</f>
        <v>45699</v>
      </c>
      <c r="E125" s="1" t="str">
        <f ca="1">IFERROR(__xludf.DUMMYFUNCTION("""COMPUTED_VALUE"""),"Libya")</f>
        <v>Libya</v>
      </c>
      <c r="F125" s="1" t="str">
        <f ca="1">IFERROR(__xludf.DUMMYFUNCTION("""COMPUTED_VALUE"""),"12.25 Libya")</f>
        <v>12.25 Libya</v>
      </c>
      <c r="G125" s="1" t="str">
        <f ca="1">IFERROR(__xludf.DUMMYFUNCTION("""COMPUTED_VALUE"""),"Freedom of Expression, Health, Individuals At Risk")</f>
        <v>Freedom of Expression, Health, Individuals At Risk</v>
      </c>
      <c r="H125" s="1" t="str">
        <f ca="1">IFERROR(__xludf.DUMMYFUNCTION("""COMPUTED_VALUE"""),"2025")</f>
        <v>2025</v>
      </c>
      <c r="I125" s="1" t="str">
        <f ca="1">IFERROR(__xludf.DUMMYFUNCTION("""COMPUTED_VALUE"""),"Email")</f>
        <v>Email</v>
      </c>
    </row>
    <row r="126" spans="1:9" ht="13" x14ac:dyDescent="0.15">
      <c r="A126" s="9">
        <f ca="1">IFERROR(__xludf.DUMMYFUNCTION("""COMPUTED_VALUE"""),30350943)</f>
        <v>30350943</v>
      </c>
      <c r="B126" s="1" t="str">
        <f ca="1">IFERROR(__xludf.DUMMYFUNCTION("""COMPUTED_VALUE"""),"aiusa@aol.com")</f>
        <v>aiusa@aol.com</v>
      </c>
      <c r="C126" s="9" t="str">
        <f ca="1">IFERROR(__xludf.DUMMYFUNCTION("""COMPUTED_VALUE"""),"EVERGREEN - UAN Gated Content - Embedded Petition")</f>
        <v>EVERGREEN - UAN Gated Content - Embedded Petition</v>
      </c>
      <c r="D126" s="10">
        <f ca="1">IFERROR(__xludf.DUMMYFUNCTION("""COMPUTED_VALUE"""),45635)</f>
        <v>45635</v>
      </c>
      <c r="E126" s="1" t="str">
        <f ca="1">IFERROR(__xludf.DUMMYFUNCTION("""COMPUTED_VALUE"""),"USA")</f>
        <v>USA</v>
      </c>
      <c r="F126" s="1" t="str">
        <f ca="1">IFERROR(__xludf.DUMMYFUNCTION("""COMPUTED_VALUE"""),"4.25 USA")</f>
        <v>4.25 USA</v>
      </c>
      <c r="G126" s="1" t="str">
        <f ca="1">IFERROR(__xludf.DUMMYFUNCTION("""COMPUTED_VALUE"""),"Individuals At Risk, Refugee and Migrant Rights")</f>
        <v>Individuals At Risk, Refugee and Migrant Rights</v>
      </c>
      <c r="H126" s="1" t="str">
        <f ca="1">IFERROR(__xludf.DUMMYFUNCTION("""COMPUTED_VALUE"""),"2025")</f>
        <v>2025</v>
      </c>
      <c r="I126" s="1" t="str">
        <f ca="1">IFERROR(__xludf.DUMMYFUNCTION("""COMPUTED_VALUE"""),"Letter")</f>
        <v>Letter</v>
      </c>
    </row>
    <row r="127" spans="1:9" ht="13" x14ac:dyDescent="0.15">
      <c r="A127" s="9">
        <f ca="1">IFERROR(__xludf.DUMMYFUNCTION("""COMPUTED_VALUE"""),30350943)</f>
        <v>30350943</v>
      </c>
      <c r="B127" s="1" t="str">
        <f ca="1">IFERROR(__xludf.DUMMYFUNCTION("""COMPUTED_VALUE"""),"aiusa@aol.com")</f>
        <v>aiusa@aol.com</v>
      </c>
      <c r="C127" s="9" t="str">
        <f ca="1">IFERROR(__xludf.DUMMYFUNCTION("""COMPUTED_VALUE"""),"EVERGREEN - UAN Gated Content - Embedded Petition")</f>
        <v>EVERGREEN - UAN Gated Content - Embedded Petition</v>
      </c>
      <c r="D127" s="10">
        <f ca="1">IFERROR(__xludf.DUMMYFUNCTION("""COMPUTED_VALUE"""),45699)</f>
        <v>45699</v>
      </c>
      <c r="E127" s="1" t="str">
        <f ca="1">IFERROR(__xludf.DUMMYFUNCTION("""COMPUTED_VALUE"""),"USA")</f>
        <v>USA</v>
      </c>
      <c r="F127" s="1" t="str">
        <f ca="1">IFERROR(__xludf.DUMMYFUNCTION("""COMPUTED_VALUE"""),"4.25 USA")</f>
        <v>4.25 USA</v>
      </c>
      <c r="G127" s="1" t="str">
        <f ca="1">IFERROR(__xludf.DUMMYFUNCTION("""COMPUTED_VALUE"""),"Individuals At Risk, Refugee and Migrant Rights")</f>
        <v>Individuals At Risk, Refugee and Migrant Rights</v>
      </c>
      <c r="H127" s="1" t="str">
        <f ca="1">IFERROR(__xludf.DUMMYFUNCTION("""COMPUTED_VALUE"""),"2025")</f>
        <v>2025</v>
      </c>
      <c r="I127" s="1" t="str">
        <f ca="1">IFERROR(__xludf.DUMMYFUNCTION("""COMPUTED_VALUE"""),"Letter")</f>
        <v>Letter</v>
      </c>
    </row>
    <row r="128" spans="1:9" ht="13" x14ac:dyDescent="0.15">
      <c r="A128" s="9">
        <f ca="1">IFERROR(__xludf.DUMMYFUNCTION("""COMPUTED_VALUE"""),30350943)</f>
        <v>30350943</v>
      </c>
      <c r="B128" s="1" t="str">
        <f ca="1">IFERROR(__xludf.DUMMYFUNCTION("""COMPUTED_VALUE"""),"aiusa@aol.com")</f>
        <v>aiusa@aol.com</v>
      </c>
      <c r="C128" s="9" t="str">
        <f ca="1">IFERROR(__xludf.DUMMYFUNCTION("""COMPUTED_VALUE"""),"EVERGREEN - UAN Gated Content - Embedded Petition")</f>
        <v>EVERGREEN - UAN Gated Content - Embedded Petition</v>
      </c>
      <c r="D128" s="10">
        <f ca="1">IFERROR(__xludf.DUMMYFUNCTION("""COMPUTED_VALUE"""),45636)</f>
        <v>45636</v>
      </c>
      <c r="E128" s="1" t="str">
        <f ca="1">IFERROR(__xludf.DUMMYFUNCTION("""COMPUTED_VALUE"""),"Israel and Occupied Palestinian Territories")</f>
        <v>Israel and Occupied Palestinian Territories</v>
      </c>
      <c r="F128" s="1" t="str">
        <f ca="1">IFERROR(__xludf.DUMMYFUNCTION("""COMPUTED_VALUE"""),"3.25 IOPT")</f>
        <v>3.25 IOPT</v>
      </c>
      <c r="G128" s="1" t="str">
        <f ca="1">IFERROR(__xludf.DUMMYFUNCTION("""COMPUTED_VALUE"""),"Freedom of Expression, Individuals At Risk")</f>
        <v>Freedom of Expression, Individuals At Risk</v>
      </c>
      <c r="H128" s="1" t="str">
        <f ca="1">IFERROR(__xludf.DUMMYFUNCTION("""COMPUTED_VALUE"""),"2025")</f>
        <v>2025</v>
      </c>
      <c r="I128" s="1" t="str">
        <f ca="1">IFERROR(__xludf.DUMMYFUNCTION("""COMPUTED_VALUE"""),"Email")</f>
        <v>Email</v>
      </c>
    </row>
    <row r="129" spans="1:9" ht="13" x14ac:dyDescent="0.15">
      <c r="A129" s="9">
        <f ca="1">IFERROR(__xludf.DUMMYFUNCTION("""COMPUTED_VALUE"""),30350943)</f>
        <v>30350943</v>
      </c>
      <c r="B129" s="1" t="str">
        <f ca="1">IFERROR(__xludf.DUMMYFUNCTION("""COMPUTED_VALUE"""),"aiusa@aol.com")</f>
        <v>aiusa@aol.com</v>
      </c>
      <c r="C129" s="9" t="str">
        <f ca="1">IFERROR(__xludf.DUMMYFUNCTION("""COMPUTED_VALUE"""),"EVERGREEN - UAN Gated Content - Embedded Petition")</f>
        <v>EVERGREEN - UAN Gated Content - Embedded Petition</v>
      </c>
      <c r="D129" s="10">
        <f ca="1">IFERROR(__xludf.DUMMYFUNCTION("""COMPUTED_VALUE"""),45690)</f>
        <v>45690</v>
      </c>
      <c r="E129" s="1" t="str">
        <f ca="1">IFERROR(__xludf.DUMMYFUNCTION("""COMPUTED_VALUE"""),"Israel and Occupied Palestinian Territories")</f>
        <v>Israel and Occupied Palestinian Territories</v>
      </c>
      <c r="F129" s="1" t="str">
        <f ca="1">IFERROR(__xludf.DUMMYFUNCTION("""COMPUTED_VALUE"""),"3.25 IOPT")</f>
        <v>3.25 IOPT</v>
      </c>
      <c r="G129" s="1" t="str">
        <f ca="1">IFERROR(__xludf.DUMMYFUNCTION("""COMPUTED_VALUE"""),"Freedom of Expression, Individuals At Risk")</f>
        <v>Freedom of Expression, Individuals At Risk</v>
      </c>
      <c r="H129" s="1" t="str">
        <f ca="1">IFERROR(__xludf.DUMMYFUNCTION("""COMPUTED_VALUE"""),"2025")</f>
        <v>2025</v>
      </c>
      <c r="I129" s="1" t="str">
        <f ca="1">IFERROR(__xludf.DUMMYFUNCTION("""COMPUTED_VALUE"""),"Email")</f>
        <v>Email</v>
      </c>
    </row>
    <row r="130" spans="1:9" ht="13" x14ac:dyDescent="0.15">
      <c r="A130" s="9">
        <f ca="1">IFERROR(__xludf.DUMMYFUNCTION("""COMPUTED_VALUE"""),30350943)</f>
        <v>30350943</v>
      </c>
      <c r="B130" s="1" t="str">
        <f ca="1">IFERROR(__xludf.DUMMYFUNCTION("""COMPUTED_VALUE"""),"aiusa@aol.com")</f>
        <v>aiusa@aol.com</v>
      </c>
      <c r="C130" s="9" t="str">
        <f ca="1">IFERROR(__xludf.DUMMYFUNCTION("""COMPUTED_VALUE"""),"EVERGREEN - UAN Gated Content - Embedded Petition")</f>
        <v>EVERGREEN - UAN Gated Content - Embedded Petition</v>
      </c>
      <c r="D130" s="10">
        <f ca="1">IFERROR(__xludf.DUMMYFUNCTION("""COMPUTED_VALUE"""),45690)</f>
        <v>45690</v>
      </c>
      <c r="E130" s="1" t="str">
        <f ca="1">IFERROR(__xludf.DUMMYFUNCTION("""COMPUTED_VALUE"""),"Israel and Occupied Palestinian Territories")</f>
        <v>Israel and Occupied Palestinian Territories</v>
      </c>
      <c r="F130" s="1" t="str">
        <f ca="1">IFERROR(__xludf.DUMMYFUNCTION("""COMPUTED_VALUE"""),"3.25 IOPT")</f>
        <v>3.25 IOPT</v>
      </c>
      <c r="G130" s="1" t="str">
        <f ca="1">IFERROR(__xludf.DUMMYFUNCTION("""COMPUTED_VALUE"""),"Freedom of Expression, Individuals At Risk")</f>
        <v>Freedom of Expression, Individuals At Risk</v>
      </c>
      <c r="H130" s="1" t="str">
        <f ca="1">IFERROR(__xludf.DUMMYFUNCTION("""COMPUTED_VALUE"""),"2025")</f>
        <v>2025</v>
      </c>
      <c r="I130" s="1" t="str">
        <f ca="1">IFERROR(__xludf.DUMMYFUNCTION("""COMPUTED_VALUE"""),"Email")</f>
        <v>Email</v>
      </c>
    </row>
    <row r="131" spans="1:9" ht="13" x14ac:dyDescent="0.15">
      <c r="A131" s="9">
        <f ca="1">IFERROR(__xludf.DUMMYFUNCTION("""COMPUTED_VALUE"""),30350943)</f>
        <v>30350943</v>
      </c>
      <c r="B131" s="1" t="str">
        <f ca="1">IFERROR(__xludf.DUMMYFUNCTION("""COMPUTED_VALUE"""),"aiusa@aol.com")</f>
        <v>aiusa@aol.com</v>
      </c>
      <c r="C131" s="9" t="str">
        <f ca="1">IFERROR(__xludf.DUMMYFUNCTION("""COMPUTED_VALUE"""),"EVERGREEN - UAN Gated Content - Embedded Petition")</f>
        <v>EVERGREEN - UAN Gated Content - Embedded Petition</v>
      </c>
      <c r="D131" s="10">
        <f ca="1">IFERROR(__xludf.DUMMYFUNCTION("""COMPUTED_VALUE"""),45690)</f>
        <v>45690</v>
      </c>
      <c r="E131" s="1" t="str">
        <f ca="1">IFERROR(__xludf.DUMMYFUNCTION("""COMPUTED_VALUE"""),"Israel and Occupied Palestinian Territories")</f>
        <v>Israel and Occupied Palestinian Territories</v>
      </c>
      <c r="F131" s="1" t="str">
        <f ca="1">IFERROR(__xludf.DUMMYFUNCTION("""COMPUTED_VALUE"""),"3.25 IOPT")</f>
        <v>3.25 IOPT</v>
      </c>
      <c r="G131" s="1" t="str">
        <f ca="1">IFERROR(__xludf.DUMMYFUNCTION("""COMPUTED_VALUE"""),"Freedom of Expression, Individuals At Risk")</f>
        <v>Freedom of Expression, Individuals At Risk</v>
      </c>
      <c r="H131" s="1" t="str">
        <f ca="1">IFERROR(__xludf.DUMMYFUNCTION("""COMPUTED_VALUE"""),"2025")</f>
        <v>2025</v>
      </c>
      <c r="I131" s="1" t="str">
        <f ca="1">IFERROR(__xludf.DUMMYFUNCTION("""COMPUTED_VALUE"""),"Email")</f>
        <v>Email</v>
      </c>
    </row>
    <row r="132" spans="1:9" ht="13" x14ac:dyDescent="0.15">
      <c r="A132" s="9">
        <f ca="1">IFERROR(__xludf.DUMMYFUNCTION("""COMPUTED_VALUE"""),30350943)</f>
        <v>30350943</v>
      </c>
      <c r="B132" s="1" t="str">
        <f ca="1">IFERROR(__xludf.DUMMYFUNCTION("""COMPUTED_VALUE"""),"aiusa@aol.com")</f>
        <v>aiusa@aol.com</v>
      </c>
      <c r="C132" s="9" t="str">
        <f ca="1">IFERROR(__xludf.DUMMYFUNCTION("""COMPUTED_VALUE"""),"EVERGREEN - UAN Gated Content - Embedded Petition")</f>
        <v>EVERGREEN - UAN Gated Content - Embedded Petition</v>
      </c>
      <c r="D132" s="10">
        <f ca="1">IFERROR(__xludf.DUMMYFUNCTION("""COMPUTED_VALUE"""),45690)</f>
        <v>45690</v>
      </c>
      <c r="E132" s="1" t="str">
        <f ca="1">IFERROR(__xludf.DUMMYFUNCTION("""COMPUTED_VALUE"""),"Israel and Occupied Palestinian Territories")</f>
        <v>Israel and Occupied Palestinian Territories</v>
      </c>
      <c r="F132" s="1" t="str">
        <f ca="1">IFERROR(__xludf.DUMMYFUNCTION("""COMPUTED_VALUE"""),"3.25 IOPT")</f>
        <v>3.25 IOPT</v>
      </c>
      <c r="G132" s="1" t="str">
        <f ca="1">IFERROR(__xludf.DUMMYFUNCTION("""COMPUTED_VALUE"""),"Freedom of Expression, Individuals At Risk")</f>
        <v>Freedom of Expression, Individuals At Risk</v>
      </c>
      <c r="H132" s="1" t="str">
        <f ca="1">IFERROR(__xludf.DUMMYFUNCTION("""COMPUTED_VALUE"""),"2025")</f>
        <v>2025</v>
      </c>
      <c r="I132" s="1" t="str">
        <f ca="1">IFERROR(__xludf.DUMMYFUNCTION("""COMPUTED_VALUE"""),"Email")</f>
        <v>Email</v>
      </c>
    </row>
    <row r="133" spans="1:9" ht="13" x14ac:dyDescent="0.15">
      <c r="A133" s="9">
        <f ca="1">IFERROR(__xludf.DUMMYFUNCTION("""COMPUTED_VALUE"""),30350943)</f>
        <v>30350943</v>
      </c>
      <c r="B133" s="1" t="str">
        <f ca="1">IFERROR(__xludf.DUMMYFUNCTION("""COMPUTED_VALUE"""),"aiusa@aol.com")</f>
        <v>aiusa@aol.com</v>
      </c>
      <c r="C133" s="9" t="str">
        <f ca="1">IFERROR(__xludf.DUMMYFUNCTION("""COMPUTED_VALUE"""),"EVERGREEN - UAN Gated Content - Embedded Petition")</f>
        <v>EVERGREEN - UAN Gated Content - Embedded Petition</v>
      </c>
      <c r="D133" s="10">
        <f ca="1">IFERROR(__xludf.DUMMYFUNCTION("""COMPUTED_VALUE"""),45635)</f>
        <v>45635</v>
      </c>
      <c r="E133" s="1" t="str">
        <f ca="1">IFERROR(__xludf.DUMMYFUNCTION("""COMPUTED_VALUE"""),"USA")</f>
        <v>USA</v>
      </c>
      <c r="F133" s="1" t="str">
        <f ca="1">IFERROR(__xludf.DUMMYFUNCTION("""COMPUTED_VALUE"""),"4.25 USA")</f>
        <v>4.25 USA</v>
      </c>
      <c r="G133" s="1" t="str">
        <f ca="1">IFERROR(__xludf.DUMMYFUNCTION("""COMPUTED_VALUE"""),"Individuals At Risk, Refugee and Migrant Rights")</f>
        <v>Individuals At Risk, Refugee and Migrant Rights</v>
      </c>
      <c r="H133" s="1" t="str">
        <f ca="1">IFERROR(__xludf.DUMMYFUNCTION("""COMPUTED_VALUE"""),"2025")</f>
        <v>2025</v>
      </c>
      <c r="I133" s="1" t="str">
        <f ca="1">IFERROR(__xludf.DUMMYFUNCTION("""COMPUTED_VALUE"""),"Letter")</f>
        <v>Letter</v>
      </c>
    </row>
    <row r="134" spans="1:9" ht="13" x14ac:dyDescent="0.15">
      <c r="A134" s="9">
        <f ca="1">IFERROR(__xludf.DUMMYFUNCTION("""COMPUTED_VALUE"""),30350943)</f>
        <v>30350943</v>
      </c>
      <c r="B134" s="1" t="str">
        <f ca="1">IFERROR(__xludf.DUMMYFUNCTION("""COMPUTED_VALUE"""),"aiusa@aol.com")</f>
        <v>aiusa@aol.com</v>
      </c>
      <c r="C134" s="9" t="str">
        <f ca="1">IFERROR(__xludf.DUMMYFUNCTION("""COMPUTED_VALUE"""),"EVERGREEN - UAN Gated Content - Embedded Petition")</f>
        <v>EVERGREEN - UAN Gated Content - Embedded Petition</v>
      </c>
      <c r="D134" s="10">
        <f ca="1">IFERROR(__xludf.DUMMYFUNCTION("""COMPUTED_VALUE"""),45635)</f>
        <v>45635</v>
      </c>
      <c r="E134" s="1" t="str">
        <f ca="1">IFERROR(__xludf.DUMMYFUNCTION("""COMPUTED_VALUE"""),"USA")</f>
        <v>USA</v>
      </c>
      <c r="F134" s="1" t="str">
        <f ca="1">IFERROR(__xludf.DUMMYFUNCTION("""COMPUTED_VALUE"""),"4.25 USA")</f>
        <v>4.25 USA</v>
      </c>
      <c r="G134" s="1" t="str">
        <f ca="1">IFERROR(__xludf.DUMMYFUNCTION("""COMPUTED_VALUE"""),"Individuals At Risk, Refugee and Migrant Rights")</f>
        <v>Individuals At Risk, Refugee and Migrant Rights</v>
      </c>
      <c r="H134" s="1" t="str">
        <f ca="1">IFERROR(__xludf.DUMMYFUNCTION("""COMPUTED_VALUE"""),"2025")</f>
        <v>2025</v>
      </c>
      <c r="I134" s="1" t="str">
        <f ca="1">IFERROR(__xludf.DUMMYFUNCTION("""COMPUTED_VALUE"""),"Letter")</f>
        <v>Letter</v>
      </c>
    </row>
    <row r="135" spans="1:9" ht="13" x14ac:dyDescent="0.15">
      <c r="A135" s="9">
        <f ca="1">IFERROR(__xludf.DUMMYFUNCTION("""COMPUTED_VALUE"""),30350943)</f>
        <v>30350943</v>
      </c>
      <c r="B135" s="1" t="str">
        <f ca="1">IFERROR(__xludf.DUMMYFUNCTION("""COMPUTED_VALUE"""),"aiusa@aol.com")</f>
        <v>aiusa@aol.com</v>
      </c>
      <c r="C135" s="9" t="str">
        <f ca="1">IFERROR(__xludf.DUMMYFUNCTION("""COMPUTED_VALUE"""),"EVERGREEN - UAN Gated Content - Embedded Petition")</f>
        <v>EVERGREEN - UAN Gated Content - Embedded Petition</v>
      </c>
      <c r="D135" s="10">
        <f ca="1">IFERROR(__xludf.DUMMYFUNCTION("""COMPUTED_VALUE"""),45635)</f>
        <v>45635</v>
      </c>
      <c r="E135" s="1" t="str">
        <f ca="1">IFERROR(__xludf.DUMMYFUNCTION("""COMPUTED_VALUE"""),"USA")</f>
        <v>USA</v>
      </c>
      <c r="F135" s="1" t="str">
        <f ca="1">IFERROR(__xludf.DUMMYFUNCTION("""COMPUTED_VALUE"""),"4.25 USA")</f>
        <v>4.25 USA</v>
      </c>
      <c r="G135" s="1" t="str">
        <f ca="1">IFERROR(__xludf.DUMMYFUNCTION("""COMPUTED_VALUE"""),"Individuals At Risk, Refugee and Migrant Rights")</f>
        <v>Individuals At Risk, Refugee and Migrant Rights</v>
      </c>
      <c r="H135" s="1" t="str">
        <f ca="1">IFERROR(__xludf.DUMMYFUNCTION("""COMPUTED_VALUE"""),"2025")</f>
        <v>2025</v>
      </c>
      <c r="I135" s="1" t="str">
        <f ca="1">IFERROR(__xludf.DUMMYFUNCTION("""COMPUTED_VALUE"""),"Letter")</f>
        <v>Letter</v>
      </c>
    </row>
    <row r="136" spans="1:9" ht="13" x14ac:dyDescent="0.15">
      <c r="A136" s="9">
        <f ca="1">IFERROR(__xludf.DUMMYFUNCTION("""COMPUTED_VALUE"""),30351065)</f>
        <v>30351065</v>
      </c>
      <c r="B136" s="1" t="str">
        <f ca="1">IFERROR(__xludf.DUMMYFUNCTION("""COMPUTED_VALUE"""),"angus@well.com")</f>
        <v>angus@well.com</v>
      </c>
      <c r="C136" s="9" t="str">
        <f ca="1">IFERROR(__xludf.DUMMYFUNCTION("""COMPUTED_VALUE"""),"EVERGREEN - UAN Gated Content - Embedded Petition")</f>
        <v>EVERGREEN - UAN Gated Content - Embedded Petition</v>
      </c>
      <c r="D136" s="10">
        <f ca="1">IFERROR(__xludf.DUMMYFUNCTION("""COMPUTED_VALUE"""),45674)</f>
        <v>45674</v>
      </c>
      <c r="E136" s="1" t="str">
        <f ca="1">IFERROR(__xludf.DUMMYFUNCTION("""COMPUTED_VALUE"""),"USA")</f>
        <v>USA</v>
      </c>
      <c r="F136" s="1" t="str">
        <f ca="1">IFERROR(__xludf.DUMMYFUNCTION("""COMPUTED_VALUE"""),"4.25 USA")</f>
        <v>4.25 USA</v>
      </c>
      <c r="G136" s="1" t="str">
        <f ca="1">IFERROR(__xludf.DUMMYFUNCTION("""COMPUTED_VALUE"""),"Individuals At Risk, Refugee and Migrant Rights")</f>
        <v>Individuals At Risk, Refugee and Migrant Rights</v>
      </c>
      <c r="H136" s="1" t="str">
        <f ca="1">IFERROR(__xludf.DUMMYFUNCTION("""COMPUTED_VALUE"""),"2025")</f>
        <v>2025</v>
      </c>
      <c r="I136" s="1" t="str">
        <f ca="1">IFERROR(__xludf.DUMMYFUNCTION("""COMPUTED_VALUE"""),"Letter")</f>
        <v>Letter</v>
      </c>
    </row>
    <row r="137" spans="1:9" ht="13" x14ac:dyDescent="0.15">
      <c r="A137" s="9">
        <f ca="1">IFERROR(__xludf.DUMMYFUNCTION("""COMPUTED_VALUE"""),30351065)</f>
        <v>30351065</v>
      </c>
      <c r="B137" s="1" t="str">
        <f ca="1">IFERROR(__xludf.DUMMYFUNCTION("""COMPUTED_VALUE"""),"angus@well.com")</f>
        <v>angus@well.com</v>
      </c>
      <c r="C137" s="9" t="str">
        <f ca="1">IFERROR(__xludf.DUMMYFUNCTION("""COMPUTED_VALUE"""),"EVERGREEN - UAN Gated Content - Embedded Petition")</f>
        <v>EVERGREEN - UAN Gated Content - Embedded Petition</v>
      </c>
      <c r="D137" s="10">
        <f ca="1">IFERROR(__xludf.DUMMYFUNCTION("""COMPUTED_VALUE"""),45694)</f>
        <v>45694</v>
      </c>
      <c r="E137" s="1" t="str">
        <f ca="1">IFERROR(__xludf.DUMMYFUNCTION("""COMPUTED_VALUE"""),"USA")</f>
        <v>USA</v>
      </c>
      <c r="F137" s="1" t="str">
        <f ca="1">IFERROR(__xludf.DUMMYFUNCTION("""COMPUTED_VALUE"""),"4.25 USA")</f>
        <v>4.25 USA</v>
      </c>
      <c r="G137" s="1" t="str">
        <f ca="1">IFERROR(__xludf.DUMMYFUNCTION("""COMPUTED_VALUE"""),"Individuals At Risk, Refugee and Migrant Rights")</f>
        <v>Individuals At Risk, Refugee and Migrant Rights</v>
      </c>
      <c r="H137" s="1" t="str">
        <f ca="1">IFERROR(__xludf.DUMMYFUNCTION("""COMPUTED_VALUE"""),"2025")</f>
        <v>2025</v>
      </c>
      <c r="I137" s="1" t="str">
        <f ca="1">IFERROR(__xludf.DUMMYFUNCTION("""COMPUTED_VALUE"""),"Letter")</f>
        <v>Letter</v>
      </c>
    </row>
    <row r="138" spans="1:9" ht="13" x14ac:dyDescent="0.15">
      <c r="A138" s="9">
        <f ca="1">IFERROR(__xludf.DUMMYFUNCTION("""COMPUTED_VALUE"""),30353594)</f>
        <v>30353594</v>
      </c>
      <c r="B138" s="1" t="str">
        <f ca="1">IFERROR(__xludf.DUMMYFUNCTION("""COMPUTED_VALUE"""),"clementi33@aol.com")</f>
        <v>clementi33@aol.com</v>
      </c>
      <c r="C138" s="9" t="str">
        <f ca="1">IFERROR(__xludf.DUMMYFUNCTION("""COMPUTED_VALUE"""),"EVERGREEN - UAN Gated Content - Embedded Petition")</f>
        <v>EVERGREEN - UAN Gated Content - Embedded Petition</v>
      </c>
      <c r="D138" s="10">
        <f ca="1">IFERROR(__xludf.DUMMYFUNCTION("""COMPUTED_VALUE"""),45694)</f>
        <v>45694</v>
      </c>
      <c r="E138" s="1" t="str">
        <f ca="1">IFERROR(__xludf.DUMMYFUNCTION("""COMPUTED_VALUE"""),"USA")</f>
        <v>USA</v>
      </c>
      <c r="F138" s="1" t="str">
        <f ca="1">IFERROR(__xludf.DUMMYFUNCTION("""COMPUTED_VALUE"""),"4.25 USA")</f>
        <v>4.25 USA</v>
      </c>
      <c r="G138" s="1" t="str">
        <f ca="1">IFERROR(__xludf.DUMMYFUNCTION("""COMPUTED_VALUE"""),"Individuals At Risk, Refugee and Migrant Rights")</f>
        <v>Individuals At Risk, Refugee and Migrant Rights</v>
      </c>
      <c r="H138" s="1" t="str">
        <f ca="1">IFERROR(__xludf.DUMMYFUNCTION("""COMPUTED_VALUE"""),"2025")</f>
        <v>2025</v>
      </c>
      <c r="I138" s="1" t="str">
        <f ca="1">IFERROR(__xludf.DUMMYFUNCTION("""COMPUTED_VALUE"""),"Letter")</f>
        <v>Letter</v>
      </c>
    </row>
    <row r="139" spans="1:9" ht="13" x14ac:dyDescent="0.15">
      <c r="A139" s="9">
        <f ca="1">IFERROR(__xludf.DUMMYFUNCTION("""COMPUTED_VALUE"""),30353594)</f>
        <v>30353594</v>
      </c>
      <c r="B139" s="1" t="str">
        <f ca="1">IFERROR(__xludf.DUMMYFUNCTION("""COMPUTED_VALUE"""),"clementi33@aol.com")</f>
        <v>clementi33@aol.com</v>
      </c>
      <c r="C139" s="9" t="str">
        <f ca="1">IFERROR(__xludf.DUMMYFUNCTION("""COMPUTED_VALUE"""),"EVERGREEN - UAN Gated Content - Embedded Petition")</f>
        <v>EVERGREEN - UAN Gated Content - Embedded Petition</v>
      </c>
      <c r="D139" s="10">
        <f ca="1">IFERROR(__xludf.DUMMYFUNCTION("""COMPUTED_VALUE"""),45694)</f>
        <v>45694</v>
      </c>
      <c r="E139" s="1" t="str">
        <f ca="1">IFERROR(__xludf.DUMMYFUNCTION("""COMPUTED_VALUE"""),"USA")</f>
        <v>USA</v>
      </c>
      <c r="F139" s="1" t="str">
        <f ca="1">IFERROR(__xludf.DUMMYFUNCTION("""COMPUTED_VALUE"""),"4.25 USA")</f>
        <v>4.25 USA</v>
      </c>
      <c r="G139" s="1" t="str">
        <f ca="1">IFERROR(__xludf.DUMMYFUNCTION("""COMPUTED_VALUE"""),"Individuals At Risk, Refugee and Migrant Rights")</f>
        <v>Individuals At Risk, Refugee and Migrant Rights</v>
      </c>
      <c r="H139" s="1" t="str">
        <f ca="1">IFERROR(__xludf.DUMMYFUNCTION("""COMPUTED_VALUE"""),"2025")</f>
        <v>2025</v>
      </c>
      <c r="I139" s="1" t="str">
        <f ca="1">IFERROR(__xludf.DUMMYFUNCTION("""COMPUTED_VALUE"""),"Letter")</f>
        <v>Letter</v>
      </c>
    </row>
    <row r="140" spans="1:9" ht="13" x14ac:dyDescent="0.15">
      <c r="A140" s="9">
        <f ca="1">IFERROR(__xludf.DUMMYFUNCTION("""COMPUTED_VALUE"""),30353932)</f>
        <v>30353932</v>
      </c>
      <c r="B140" s="1" t="str">
        <f ca="1">IFERROR(__xludf.DUMMYFUNCTION("""COMPUTED_VALUE"""),"msand@isunet.net")</f>
        <v>msand@isunet.net</v>
      </c>
      <c r="C140" s="9" t="str">
        <f ca="1">IFERROR(__xludf.DUMMYFUNCTION("""COMPUTED_VALUE"""),"EVERGREEN - UAN Gated Content - Embedded Petition")</f>
        <v>EVERGREEN - UAN Gated Content - Embedded Petition</v>
      </c>
      <c r="D140" s="10">
        <f ca="1">IFERROR(__xludf.DUMMYFUNCTION("""COMPUTED_VALUE"""),45697)</f>
        <v>45697</v>
      </c>
      <c r="E140" s="1" t="str">
        <f ca="1">IFERROR(__xludf.DUMMYFUNCTION("""COMPUTED_VALUE"""),"USA")</f>
        <v>USA</v>
      </c>
      <c r="F140" s="1" t="str">
        <f ca="1">IFERROR(__xludf.DUMMYFUNCTION("""COMPUTED_VALUE"""),"4.25 USA")</f>
        <v>4.25 USA</v>
      </c>
      <c r="G140" s="1" t="str">
        <f ca="1">IFERROR(__xludf.DUMMYFUNCTION("""COMPUTED_VALUE"""),"Individuals At Risk, Refugee and Migrant Rights")</f>
        <v>Individuals At Risk, Refugee and Migrant Rights</v>
      </c>
      <c r="H140" s="1" t="str">
        <f ca="1">IFERROR(__xludf.DUMMYFUNCTION("""COMPUTED_VALUE"""),"2025")</f>
        <v>2025</v>
      </c>
      <c r="I140" s="1" t="str">
        <f ca="1">IFERROR(__xludf.DUMMYFUNCTION("""COMPUTED_VALUE"""),"Letter")</f>
        <v>Letter</v>
      </c>
    </row>
    <row r="141" spans="1:9" ht="13" x14ac:dyDescent="0.15">
      <c r="A141" s="9">
        <f ca="1">IFERROR(__xludf.DUMMYFUNCTION("""COMPUTED_VALUE"""),30354096)</f>
        <v>30354096</v>
      </c>
      <c r="B141" s="1" t="str">
        <f ca="1">IFERROR(__xludf.DUMMYFUNCTION("""COMPUTED_VALUE"""),"cgabriel@aiusa.org")</f>
        <v>cgabriel@aiusa.org</v>
      </c>
      <c r="C141" s="9" t="str">
        <f ca="1">IFERROR(__xludf.DUMMYFUNCTION("""COMPUTED_VALUE"""),"EVERGREEN - UAN Gated Content - Embedded Petition")</f>
        <v>EVERGREEN - UAN Gated Content - Embedded Petition</v>
      </c>
      <c r="D141" s="10">
        <f ca="1">IFERROR(__xludf.DUMMYFUNCTION("""COMPUTED_VALUE"""),45677)</f>
        <v>45677</v>
      </c>
      <c r="E141" s="1" t="str">
        <f ca="1">IFERROR(__xludf.DUMMYFUNCTION("""COMPUTED_VALUE"""),"USA")</f>
        <v>USA</v>
      </c>
      <c r="F141" s="1" t="str">
        <f ca="1">IFERROR(__xludf.DUMMYFUNCTION("""COMPUTED_VALUE"""),"4.25 USA")</f>
        <v>4.25 USA</v>
      </c>
      <c r="G141" s="1" t="str">
        <f ca="1">IFERROR(__xludf.DUMMYFUNCTION("""COMPUTED_VALUE"""),"Individuals At Risk, Refugee and Migrant Rights")</f>
        <v>Individuals At Risk, Refugee and Migrant Rights</v>
      </c>
      <c r="H141" s="1" t="str">
        <f ca="1">IFERROR(__xludf.DUMMYFUNCTION("""COMPUTED_VALUE"""),"2025")</f>
        <v>2025</v>
      </c>
      <c r="I141" s="1" t="str">
        <f ca="1">IFERROR(__xludf.DUMMYFUNCTION("""COMPUTED_VALUE"""),"Letter")</f>
        <v>Letter</v>
      </c>
    </row>
    <row r="142" spans="1:9" ht="13" x14ac:dyDescent="0.15">
      <c r="A142" s="9">
        <f ca="1">IFERROR(__xludf.DUMMYFUNCTION("""COMPUTED_VALUE"""),30354096)</f>
        <v>30354096</v>
      </c>
      <c r="B142" s="1" t="str">
        <f ca="1">IFERROR(__xludf.DUMMYFUNCTION("""COMPUTED_VALUE"""),"cgabriel@aiusa.org")</f>
        <v>cgabriel@aiusa.org</v>
      </c>
      <c r="C142" s="9" t="str">
        <f ca="1">IFERROR(__xludf.DUMMYFUNCTION("""COMPUTED_VALUE"""),"EVERGREEN - UAN Gated Content - Embedded Petition")</f>
        <v>EVERGREEN - UAN Gated Content - Embedded Petition</v>
      </c>
      <c r="D142" s="10">
        <f ca="1">IFERROR(__xludf.DUMMYFUNCTION("""COMPUTED_VALUE"""),45677)</f>
        <v>45677</v>
      </c>
      <c r="E142" s="1" t="str">
        <f ca="1">IFERROR(__xludf.DUMMYFUNCTION("""COMPUTED_VALUE"""),"USA")</f>
        <v>USA</v>
      </c>
      <c r="F142" s="1" t="str">
        <f ca="1">IFERROR(__xludf.DUMMYFUNCTION("""COMPUTED_VALUE"""),"4.25 USA")</f>
        <v>4.25 USA</v>
      </c>
      <c r="G142" s="1" t="str">
        <f ca="1">IFERROR(__xludf.DUMMYFUNCTION("""COMPUTED_VALUE"""),"Individuals At Risk, Refugee and Migrant Rights")</f>
        <v>Individuals At Risk, Refugee and Migrant Rights</v>
      </c>
      <c r="H142" s="1" t="str">
        <f ca="1">IFERROR(__xludf.DUMMYFUNCTION("""COMPUTED_VALUE"""),"2025")</f>
        <v>2025</v>
      </c>
      <c r="I142" s="1" t="str">
        <f ca="1">IFERROR(__xludf.DUMMYFUNCTION("""COMPUTED_VALUE"""),"Letter")</f>
        <v>Letter</v>
      </c>
    </row>
    <row r="143" spans="1:9" ht="13" x14ac:dyDescent="0.15">
      <c r="A143" s="9">
        <f ca="1">IFERROR(__xludf.DUMMYFUNCTION("""COMPUTED_VALUE"""),30354096)</f>
        <v>30354096</v>
      </c>
      <c r="B143" s="1" t="str">
        <f ca="1">IFERROR(__xludf.DUMMYFUNCTION("""COMPUTED_VALUE"""),"cgabriel@aiusa.org")</f>
        <v>cgabriel@aiusa.org</v>
      </c>
      <c r="C143" s="9" t="str">
        <f ca="1">IFERROR(__xludf.DUMMYFUNCTION("""COMPUTED_VALUE"""),"EVERGREEN - UAN Gated Content - Embedded Petition")</f>
        <v>EVERGREEN - UAN Gated Content - Embedded Petition</v>
      </c>
      <c r="D143" s="10">
        <f ca="1">IFERROR(__xludf.DUMMYFUNCTION("""COMPUTED_VALUE"""),45674)</f>
        <v>45674</v>
      </c>
      <c r="E143" s="1" t="str">
        <f ca="1">IFERROR(__xludf.DUMMYFUNCTION("""COMPUTED_VALUE"""),"Singapore")</f>
        <v>Singapore</v>
      </c>
      <c r="F143" s="1" t="str">
        <f ca="1">IFERROR(__xludf.DUMMYFUNCTION("""COMPUTED_VALUE"""),"107.24 Singapore")</f>
        <v>107.24 Singapore</v>
      </c>
      <c r="G143" s="1" t="str">
        <f ca="1">IFERROR(__xludf.DUMMYFUNCTION("""COMPUTED_VALUE"""),"Death Penalty")</f>
        <v>Death Penalty</v>
      </c>
      <c r="H143" s="1" t="str">
        <f ca="1">IFERROR(__xludf.DUMMYFUNCTION("""COMPUTED_VALUE"""),"2024")</f>
        <v>2024</v>
      </c>
      <c r="I143" s="1" t="str">
        <f ca="1">IFERROR(__xludf.DUMMYFUNCTION("""COMPUTED_VALUE"""),"Email")</f>
        <v>Email</v>
      </c>
    </row>
    <row r="144" spans="1:9" ht="13" x14ac:dyDescent="0.15">
      <c r="A144" s="9">
        <f ca="1">IFERROR(__xludf.DUMMYFUNCTION("""COMPUTED_VALUE"""),30354096)</f>
        <v>30354096</v>
      </c>
      <c r="B144" s="1" t="str">
        <f ca="1">IFERROR(__xludf.DUMMYFUNCTION("""COMPUTED_VALUE"""),"cgabriel@aiusa.org")</f>
        <v>cgabriel@aiusa.org</v>
      </c>
      <c r="C144" s="9" t="str">
        <f ca="1">IFERROR(__xludf.DUMMYFUNCTION("""COMPUTED_VALUE"""),"EVERGREEN - UAN Gated Content - Embedded Petition")</f>
        <v>EVERGREEN - UAN Gated Content - Embedded Petition</v>
      </c>
      <c r="D144" s="10">
        <f ca="1">IFERROR(__xludf.DUMMYFUNCTION("""COMPUTED_VALUE"""),45671)</f>
        <v>45671</v>
      </c>
      <c r="E144" s="1" t="str">
        <f ca="1">IFERROR(__xludf.DUMMYFUNCTION("""COMPUTED_VALUE"""),"Israel and Occupied Palestinian Territories")</f>
        <v>Israel and Occupied Palestinian Territories</v>
      </c>
      <c r="F144" s="1" t="str">
        <f ca="1">IFERROR(__xludf.DUMMYFUNCTION("""COMPUTED_VALUE"""),"3.25 IOPT")</f>
        <v>3.25 IOPT</v>
      </c>
      <c r="G144" s="1" t="str">
        <f ca="1">IFERROR(__xludf.DUMMYFUNCTION("""COMPUTED_VALUE"""),"Freedom of Expression, Individuals At Risk")</f>
        <v>Freedom of Expression, Individuals At Risk</v>
      </c>
      <c r="H144" s="1" t="str">
        <f ca="1">IFERROR(__xludf.DUMMYFUNCTION("""COMPUTED_VALUE"""),"2025")</f>
        <v>2025</v>
      </c>
      <c r="I144" s="1" t="str">
        <f ca="1">IFERROR(__xludf.DUMMYFUNCTION("""COMPUTED_VALUE"""),"Email")</f>
        <v>Email</v>
      </c>
    </row>
    <row r="145" spans="1:9" ht="13" x14ac:dyDescent="0.15">
      <c r="A145" s="9">
        <f ca="1">IFERROR(__xludf.DUMMYFUNCTION("""COMPUTED_VALUE"""),30354096)</f>
        <v>30354096</v>
      </c>
      <c r="B145" s="1" t="str">
        <f ca="1">IFERROR(__xludf.DUMMYFUNCTION("""COMPUTED_VALUE"""),"cgabriel@aiusa.org")</f>
        <v>cgabriel@aiusa.org</v>
      </c>
      <c r="C145" s="9" t="str">
        <f ca="1">IFERROR(__xludf.DUMMYFUNCTION("""COMPUTED_VALUE"""),"EVERGREEN - UAN Gated Content - Embedded Petition")</f>
        <v>EVERGREEN - UAN Gated Content - Embedded Petition</v>
      </c>
      <c r="D145" s="10">
        <f ca="1">IFERROR(__xludf.DUMMYFUNCTION("""COMPUTED_VALUE"""),45672)</f>
        <v>45672</v>
      </c>
      <c r="E145" s="1" t="str">
        <f ca="1">IFERROR(__xludf.DUMMYFUNCTION("""COMPUTED_VALUE"""),"Israel and Occupied Palestinian Territories")</f>
        <v>Israel and Occupied Palestinian Territories</v>
      </c>
      <c r="F145" s="1" t="str">
        <f ca="1">IFERROR(__xludf.DUMMYFUNCTION("""COMPUTED_VALUE"""),"3.25 IOPT")</f>
        <v>3.25 IOPT</v>
      </c>
      <c r="G145" s="1" t="str">
        <f ca="1">IFERROR(__xludf.DUMMYFUNCTION("""COMPUTED_VALUE"""),"Freedom of Expression, Individuals At Risk")</f>
        <v>Freedom of Expression, Individuals At Risk</v>
      </c>
      <c r="H145" s="1" t="str">
        <f ca="1">IFERROR(__xludf.DUMMYFUNCTION("""COMPUTED_VALUE"""),"2025")</f>
        <v>2025</v>
      </c>
      <c r="I145" s="1" t="str">
        <f ca="1">IFERROR(__xludf.DUMMYFUNCTION("""COMPUTED_VALUE"""),"Email")</f>
        <v>Email</v>
      </c>
    </row>
    <row r="146" spans="1:9" ht="13" x14ac:dyDescent="0.15">
      <c r="A146" s="9">
        <f ca="1">IFERROR(__xludf.DUMMYFUNCTION("""COMPUTED_VALUE"""),30354096)</f>
        <v>30354096</v>
      </c>
      <c r="B146" s="1" t="str">
        <f ca="1">IFERROR(__xludf.DUMMYFUNCTION("""COMPUTED_VALUE"""),"cgabriel@aiusa.org")</f>
        <v>cgabriel@aiusa.org</v>
      </c>
      <c r="C146" s="9" t="str">
        <f ca="1">IFERROR(__xludf.DUMMYFUNCTION("""COMPUTED_VALUE"""),"EVERGREEN - UAN Gated Content - Embedded Petition")</f>
        <v>EVERGREEN - UAN Gated Content - Embedded Petition</v>
      </c>
      <c r="D146" s="10">
        <f ca="1">IFERROR(__xludf.DUMMYFUNCTION("""COMPUTED_VALUE"""),45673)</f>
        <v>45673</v>
      </c>
      <c r="E146" s="1" t="str">
        <f ca="1">IFERROR(__xludf.DUMMYFUNCTION("""COMPUTED_VALUE"""),"USA")</f>
        <v>USA</v>
      </c>
      <c r="F146" s="1" t="str">
        <f ca="1">IFERROR(__xludf.DUMMYFUNCTION("""COMPUTED_VALUE"""),"96.24 USA")</f>
        <v>96.24 USA</v>
      </c>
      <c r="G146" s="1" t="str">
        <f ca="1">IFERROR(__xludf.DUMMYFUNCTION("""COMPUTED_VALUE"""),"Death Penalty")</f>
        <v>Death Penalty</v>
      </c>
      <c r="H146" s="1" t="str">
        <f ca="1">IFERROR(__xludf.DUMMYFUNCTION("""COMPUTED_VALUE"""),"2024")</f>
        <v>2024</v>
      </c>
      <c r="I146" s="1" t="str">
        <f ca="1">IFERROR(__xludf.DUMMYFUNCTION("""COMPUTED_VALUE"""),"Email")</f>
        <v>Email</v>
      </c>
    </row>
    <row r="147" spans="1:9" ht="13" x14ac:dyDescent="0.15">
      <c r="A147" s="9">
        <f ca="1">IFERROR(__xludf.DUMMYFUNCTION("""COMPUTED_VALUE"""),30354096)</f>
        <v>30354096</v>
      </c>
      <c r="B147" s="1" t="str">
        <f ca="1">IFERROR(__xludf.DUMMYFUNCTION("""COMPUTED_VALUE"""),"cgabriel@aiusa.org")</f>
        <v>cgabriel@aiusa.org</v>
      </c>
      <c r="C147" s="9" t="str">
        <f ca="1">IFERROR(__xludf.DUMMYFUNCTION("""COMPUTED_VALUE"""),"EVERGREEN - UAN Gated Content - Embedded Petition")</f>
        <v>EVERGREEN - UAN Gated Content - Embedded Petition</v>
      </c>
      <c r="D147" s="10">
        <f ca="1">IFERROR(__xludf.DUMMYFUNCTION("""COMPUTED_VALUE"""),45677)</f>
        <v>45677</v>
      </c>
      <c r="E147" s="1" t="str">
        <f ca="1">IFERROR(__xludf.DUMMYFUNCTION("""COMPUTED_VALUE"""),"USA")</f>
        <v>USA</v>
      </c>
      <c r="F147" s="1" t="str">
        <f ca="1">IFERROR(__xludf.DUMMYFUNCTION("""COMPUTED_VALUE"""),"105.24 USA")</f>
        <v>105.24 USA</v>
      </c>
      <c r="G147" s="1" t="str">
        <f ca="1">IFERROR(__xludf.DUMMYFUNCTION("""COMPUTED_VALUE"""),"Death Penalty")</f>
        <v>Death Penalty</v>
      </c>
      <c r="H147" s="1" t="str">
        <f ca="1">IFERROR(__xludf.DUMMYFUNCTION("""COMPUTED_VALUE"""),"2024")</f>
        <v>2024</v>
      </c>
      <c r="I147" s="1" t="str">
        <f ca="1">IFERROR(__xludf.DUMMYFUNCTION("""COMPUTED_VALUE"""),"Email")</f>
        <v>Email</v>
      </c>
    </row>
    <row r="148" spans="1:9" ht="13" x14ac:dyDescent="0.15">
      <c r="A148" s="9">
        <f ca="1">IFERROR(__xludf.DUMMYFUNCTION("""COMPUTED_VALUE"""),30354096)</f>
        <v>30354096</v>
      </c>
      <c r="B148" s="1" t="str">
        <f ca="1">IFERROR(__xludf.DUMMYFUNCTION("""COMPUTED_VALUE"""),"cgabriel@aiusa.org")</f>
        <v>cgabriel@aiusa.org</v>
      </c>
      <c r="C148" s="9" t="str">
        <f ca="1">IFERROR(__xludf.DUMMYFUNCTION("""COMPUTED_VALUE"""),"EVERGREEN - UAN Gated Content - Embedded Petition")</f>
        <v>EVERGREEN - UAN Gated Content - Embedded Petition</v>
      </c>
      <c r="D148" s="10">
        <f ca="1">IFERROR(__xludf.DUMMYFUNCTION("""COMPUTED_VALUE"""),45677)</f>
        <v>45677</v>
      </c>
      <c r="E148" s="1" t="str">
        <f ca="1">IFERROR(__xludf.DUMMYFUNCTION("""COMPUTED_VALUE"""),"Egypt")</f>
        <v>Egypt</v>
      </c>
      <c r="F148" s="1" t="str">
        <f ca="1">IFERROR(__xludf.DUMMYFUNCTION("""COMPUTED_VALUE"""),"Ninth 190.18 Egypt")</f>
        <v>Ninth 190.18 Egypt</v>
      </c>
      <c r="G148" s="1" t="str">
        <f ca="1">IFERROR(__xludf.DUMMYFUNCTION("""COMPUTED_VALUE"""),"Freedom of Expression, Individuals At Risk")</f>
        <v>Freedom of Expression, Individuals At Risk</v>
      </c>
      <c r="H148" s="1" t="str">
        <f ca="1">IFERROR(__xludf.DUMMYFUNCTION("""COMPUTED_VALUE"""),"2024")</f>
        <v>2024</v>
      </c>
      <c r="I148" s="1" t="str">
        <f ca="1">IFERROR(__xludf.DUMMYFUNCTION("""COMPUTED_VALUE"""),"Letter")</f>
        <v>Letter</v>
      </c>
    </row>
    <row r="149" spans="1:9" ht="13" x14ac:dyDescent="0.15">
      <c r="A149" s="9">
        <f ca="1">IFERROR(__xludf.DUMMYFUNCTION("""COMPUTED_VALUE"""),30354096)</f>
        <v>30354096</v>
      </c>
      <c r="B149" s="1" t="str">
        <f ca="1">IFERROR(__xludf.DUMMYFUNCTION("""COMPUTED_VALUE"""),"cgabriel@aiusa.org")</f>
        <v>cgabriel@aiusa.org</v>
      </c>
      <c r="C149" s="9" t="str">
        <f ca="1">IFERROR(__xludf.DUMMYFUNCTION("""COMPUTED_VALUE"""),"EVERGREEN - UAN Gated Content - Embedded Petition")</f>
        <v>EVERGREEN - UAN Gated Content - Embedded Petition</v>
      </c>
      <c r="D149" s="10">
        <f ca="1">IFERROR(__xludf.DUMMYFUNCTION("""COMPUTED_VALUE"""),45677)</f>
        <v>45677</v>
      </c>
      <c r="E149" s="1" t="str">
        <f ca="1">IFERROR(__xludf.DUMMYFUNCTION("""COMPUTED_VALUE"""),"Dominican Republic")</f>
        <v>Dominican Republic</v>
      </c>
      <c r="F149" s="1" t="str">
        <f ca="1">IFERROR(__xludf.DUMMYFUNCTION("""COMPUTED_VALUE"""),"88.24 Dominican Republic")</f>
        <v>88.24 Dominican Republic</v>
      </c>
      <c r="G149" s="1" t="str">
        <f ca="1">IFERROR(__xludf.DUMMYFUNCTION("""COMPUTED_VALUE"""),"Individuals At Risk, Refugee and Migrant Rights")</f>
        <v>Individuals At Risk, Refugee and Migrant Rights</v>
      </c>
      <c r="H149" s="1" t="str">
        <f ca="1">IFERROR(__xludf.DUMMYFUNCTION("""COMPUTED_VALUE"""),"2024")</f>
        <v>2024</v>
      </c>
      <c r="I149" s="1" t="str">
        <f ca="1">IFERROR(__xludf.DUMMYFUNCTION("""COMPUTED_VALUE"""),"Letter")</f>
        <v>Letter</v>
      </c>
    </row>
    <row r="150" spans="1:9" ht="13" x14ac:dyDescent="0.15">
      <c r="A150" s="9">
        <f ca="1">IFERROR(__xludf.DUMMYFUNCTION("""COMPUTED_VALUE"""),30354096)</f>
        <v>30354096</v>
      </c>
      <c r="B150" s="1" t="str">
        <f ca="1">IFERROR(__xludf.DUMMYFUNCTION("""COMPUTED_VALUE"""),"cgabriel@aiusa.org")</f>
        <v>cgabriel@aiusa.org</v>
      </c>
      <c r="C150" s="9" t="str">
        <f ca="1">IFERROR(__xludf.DUMMYFUNCTION("""COMPUTED_VALUE"""),"EVERGREEN - UAN Gated Content - Embedded Petition")</f>
        <v>EVERGREEN - UAN Gated Content - Embedded Petition</v>
      </c>
      <c r="D150" s="10">
        <f ca="1">IFERROR(__xludf.DUMMYFUNCTION("""COMPUTED_VALUE"""),45677)</f>
        <v>45677</v>
      </c>
      <c r="E150" s="1" t="str">
        <f ca="1">IFERROR(__xludf.DUMMYFUNCTION("""COMPUTED_VALUE"""),"USA")</f>
        <v>USA</v>
      </c>
      <c r="F150" s="1" t="str">
        <f ca="1">IFERROR(__xludf.DUMMYFUNCTION("""COMPUTED_VALUE"""),"4.25 USA")</f>
        <v>4.25 USA</v>
      </c>
      <c r="G150" s="1" t="str">
        <f ca="1">IFERROR(__xludf.DUMMYFUNCTION("""COMPUTED_VALUE"""),"Individuals At Risk, Refugee and Migrant Rights")</f>
        <v>Individuals At Risk, Refugee and Migrant Rights</v>
      </c>
      <c r="H150" s="1" t="str">
        <f ca="1">IFERROR(__xludf.DUMMYFUNCTION("""COMPUTED_VALUE"""),"2025")</f>
        <v>2025</v>
      </c>
      <c r="I150" s="1" t="str">
        <f ca="1">IFERROR(__xludf.DUMMYFUNCTION("""COMPUTED_VALUE"""),"Letter")</f>
        <v>Letter</v>
      </c>
    </row>
    <row r="151" spans="1:9" ht="13" x14ac:dyDescent="0.15">
      <c r="A151" s="9">
        <f ca="1">IFERROR(__xludf.DUMMYFUNCTION("""COMPUTED_VALUE"""),30354096)</f>
        <v>30354096</v>
      </c>
      <c r="B151" s="1" t="str">
        <f ca="1">IFERROR(__xludf.DUMMYFUNCTION("""COMPUTED_VALUE"""),"cgabriel@aiusa.org")</f>
        <v>cgabriel@aiusa.org</v>
      </c>
      <c r="C151" s="9" t="str">
        <f ca="1">IFERROR(__xludf.DUMMYFUNCTION("""COMPUTED_VALUE"""),"EVERGREEN - UAN Gated Content - Embedded Petition")</f>
        <v>EVERGREEN - UAN Gated Content - Embedded Petition</v>
      </c>
      <c r="D151" s="10">
        <f ca="1">IFERROR(__xludf.DUMMYFUNCTION("""COMPUTED_VALUE"""),45678)</f>
        <v>45678</v>
      </c>
      <c r="E151" s="1" t="str">
        <f ca="1">IFERROR(__xludf.DUMMYFUNCTION("""COMPUTED_VALUE"""),"Uganda")</f>
        <v>Uganda</v>
      </c>
      <c r="F151" s="1" t="str">
        <f ca="1">IFERROR(__xludf.DUMMYFUNCTION("""COMPUTED_VALUE"""),"9.25 Uganda")</f>
        <v>9.25 Uganda</v>
      </c>
      <c r="G151" s="1" t="str">
        <f ca="1">IFERROR(__xludf.DUMMYFUNCTION("""COMPUTED_VALUE"""),"Freedom of Expression, Human Rights Defenders")</f>
        <v>Freedom of Expression, Human Rights Defenders</v>
      </c>
      <c r="H151" s="1" t="str">
        <f ca="1">IFERROR(__xludf.DUMMYFUNCTION("""COMPUTED_VALUE"""),"2025")</f>
        <v>2025</v>
      </c>
      <c r="I151" s="1" t="str">
        <f ca="1">IFERROR(__xludf.DUMMYFUNCTION("""COMPUTED_VALUE"""),"Email")</f>
        <v>Email</v>
      </c>
    </row>
    <row r="152" spans="1:9" ht="13" x14ac:dyDescent="0.15">
      <c r="A152" s="9">
        <f ca="1">IFERROR(__xludf.DUMMYFUNCTION("""COMPUTED_VALUE"""),30354096)</f>
        <v>30354096</v>
      </c>
      <c r="B152" s="1" t="str">
        <f ca="1">IFERROR(__xludf.DUMMYFUNCTION("""COMPUTED_VALUE"""),"cgabriel@aiusa.org")</f>
        <v>cgabriel@aiusa.org</v>
      </c>
      <c r="C152" s="9" t="str">
        <f ca="1">IFERROR(__xludf.DUMMYFUNCTION("""COMPUTED_VALUE"""),"EVERGREEN - UAN Gated Content - Embedded Petition")</f>
        <v>EVERGREEN - UAN Gated Content - Embedded Petition</v>
      </c>
      <c r="D152" s="10">
        <f ca="1">IFERROR(__xludf.DUMMYFUNCTION("""COMPUTED_VALUE"""),45677)</f>
        <v>45677</v>
      </c>
      <c r="E152" s="1" t="str">
        <f ca="1">IFERROR(__xludf.DUMMYFUNCTION("""COMPUTED_VALUE"""),"China")</f>
        <v>China</v>
      </c>
      <c r="F152" s="1" t="str">
        <f ca="1">IFERROR(__xludf.DUMMYFUNCTION("""COMPUTED_VALUE"""),"98.24 China")</f>
        <v>98.24 China</v>
      </c>
      <c r="G152" s="1" t="str">
        <f ca="1">IFERROR(__xludf.DUMMYFUNCTION("""COMPUTED_VALUE"""),"Freedom of Expression, Individuals At Risk")</f>
        <v>Freedom of Expression, Individuals At Risk</v>
      </c>
      <c r="H152" s="1" t="str">
        <f ca="1">IFERROR(__xludf.DUMMYFUNCTION("""COMPUTED_VALUE"""),"2024")</f>
        <v>2024</v>
      </c>
      <c r="I152" s="1" t="str">
        <f ca="1">IFERROR(__xludf.DUMMYFUNCTION("""COMPUTED_VALUE"""),"Letter")</f>
        <v>Letter</v>
      </c>
    </row>
    <row r="153" spans="1:9" ht="13" x14ac:dyDescent="0.15">
      <c r="A153" s="9">
        <f ca="1">IFERROR(__xludf.DUMMYFUNCTION("""COMPUTED_VALUE"""),30354096)</f>
        <v>30354096</v>
      </c>
      <c r="B153" s="1" t="str">
        <f ca="1">IFERROR(__xludf.DUMMYFUNCTION("""COMPUTED_VALUE"""),"cgabriel@aiusa.org")</f>
        <v>cgabriel@aiusa.org</v>
      </c>
      <c r="C153" s="9" t="str">
        <f ca="1">IFERROR(__xludf.DUMMYFUNCTION("""COMPUTED_VALUE"""),"EVERGREEN - UAN Gated Content - Embedded Petition")</f>
        <v>EVERGREEN - UAN Gated Content - Embedded Petition</v>
      </c>
      <c r="D153" s="10">
        <f ca="1">IFERROR(__xludf.DUMMYFUNCTION("""COMPUTED_VALUE"""),45677)</f>
        <v>45677</v>
      </c>
      <c r="E153" s="1" t="str">
        <f ca="1">IFERROR(__xludf.DUMMYFUNCTION("""COMPUTED_VALUE"""),"China")</f>
        <v>China</v>
      </c>
      <c r="F153" s="1" t="str">
        <f ca="1">IFERROR(__xludf.DUMMYFUNCTION("""COMPUTED_VALUE"""),"98.24 China")</f>
        <v>98.24 China</v>
      </c>
      <c r="G153" s="1" t="str">
        <f ca="1">IFERROR(__xludf.DUMMYFUNCTION("""COMPUTED_VALUE"""),"Freedom of Expression, Individuals At Risk")</f>
        <v>Freedom of Expression, Individuals At Risk</v>
      </c>
      <c r="H153" s="1" t="str">
        <f ca="1">IFERROR(__xludf.DUMMYFUNCTION("""COMPUTED_VALUE"""),"2024")</f>
        <v>2024</v>
      </c>
      <c r="I153" s="1" t="str">
        <f ca="1">IFERROR(__xludf.DUMMYFUNCTION("""COMPUTED_VALUE"""),"Letter")</f>
        <v>Letter</v>
      </c>
    </row>
    <row r="154" spans="1:9" ht="13" x14ac:dyDescent="0.15">
      <c r="A154" s="9">
        <f ca="1">IFERROR(__xludf.DUMMYFUNCTION("""COMPUTED_VALUE"""),30354096)</f>
        <v>30354096</v>
      </c>
      <c r="B154" s="1" t="str">
        <f ca="1">IFERROR(__xludf.DUMMYFUNCTION("""COMPUTED_VALUE"""),"cgabriel@aiusa.org")</f>
        <v>cgabriel@aiusa.org</v>
      </c>
      <c r="C154" s="9" t="str">
        <f ca="1">IFERROR(__xludf.DUMMYFUNCTION("""COMPUTED_VALUE"""),"EVERGREEN - UAN Gated Content - Embedded Petition")</f>
        <v>EVERGREEN - UAN Gated Content - Embedded Petition</v>
      </c>
      <c r="D154" s="10">
        <f ca="1">IFERROR(__xludf.DUMMYFUNCTION("""COMPUTED_VALUE"""),45677)</f>
        <v>45677</v>
      </c>
      <c r="E154" s="1" t="str">
        <f ca="1">IFERROR(__xludf.DUMMYFUNCTION("""COMPUTED_VALUE"""),"Saudi Arabia")</f>
        <v>Saudi Arabia</v>
      </c>
      <c r="F154" s="1" t="str">
        <f ca="1">IFERROR(__xludf.DUMMYFUNCTION("""COMPUTED_VALUE"""),"104.24 Saudi Arabia")</f>
        <v>104.24 Saudi Arabia</v>
      </c>
      <c r="G154" s="1" t="str">
        <f ca="1">IFERROR(__xludf.DUMMYFUNCTION("""COMPUTED_VALUE"""),"Individuals At Risk, Refugee and Migrant Rights")</f>
        <v>Individuals At Risk, Refugee and Migrant Rights</v>
      </c>
      <c r="H154" s="1" t="str">
        <f ca="1">IFERROR(__xludf.DUMMYFUNCTION("""COMPUTED_VALUE"""),"2024")</f>
        <v>2024</v>
      </c>
      <c r="I154" s="1" t="str">
        <f ca="1">IFERROR(__xludf.DUMMYFUNCTION("""COMPUTED_VALUE"""),"Email")</f>
        <v>Email</v>
      </c>
    </row>
    <row r="155" spans="1:9" ht="13" x14ac:dyDescent="0.15">
      <c r="A155" s="9">
        <f ca="1">IFERROR(__xludf.DUMMYFUNCTION("""COMPUTED_VALUE"""),30354096)</f>
        <v>30354096</v>
      </c>
      <c r="B155" s="1" t="str">
        <f ca="1">IFERROR(__xludf.DUMMYFUNCTION("""COMPUTED_VALUE"""),"cgabriel@aiusa.org")</f>
        <v>cgabriel@aiusa.org</v>
      </c>
      <c r="C155" s="9" t="str">
        <f ca="1">IFERROR(__xludf.DUMMYFUNCTION("""COMPUTED_VALUE"""),"EVERGREEN - UAN Gated Content - Embedded Petition")</f>
        <v>EVERGREEN - UAN Gated Content - Embedded Petition</v>
      </c>
      <c r="D155" s="10">
        <f ca="1">IFERROR(__xludf.DUMMYFUNCTION("""COMPUTED_VALUE"""),45677)</f>
        <v>45677</v>
      </c>
      <c r="E155" s="1" t="str">
        <f ca="1">IFERROR(__xludf.DUMMYFUNCTION("""COMPUTED_VALUE"""),"Egypt")</f>
        <v>Egypt</v>
      </c>
      <c r="F155" s="1" t="str">
        <f ca="1">IFERROR(__xludf.DUMMYFUNCTION("""COMPUTED_VALUE"""),"Ninth 190.18 Egypt")</f>
        <v>Ninth 190.18 Egypt</v>
      </c>
      <c r="G155" s="1" t="str">
        <f ca="1">IFERROR(__xludf.DUMMYFUNCTION("""COMPUTED_VALUE"""),"Freedom of Expression, Individuals At Risk")</f>
        <v>Freedom of Expression, Individuals At Risk</v>
      </c>
      <c r="H155" s="1" t="str">
        <f ca="1">IFERROR(__xludf.DUMMYFUNCTION("""COMPUTED_VALUE"""),"2024")</f>
        <v>2024</v>
      </c>
      <c r="I155" s="1" t="str">
        <f ca="1">IFERROR(__xludf.DUMMYFUNCTION("""COMPUTED_VALUE"""),"Letter")</f>
        <v>Letter</v>
      </c>
    </row>
    <row r="156" spans="1:9" ht="13" x14ac:dyDescent="0.15">
      <c r="A156" s="9">
        <f ca="1">IFERROR(__xludf.DUMMYFUNCTION("""COMPUTED_VALUE"""),30354096)</f>
        <v>30354096</v>
      </c>
      <c r="B156" s="1" t="str">
        <f ca="1">IFERROR(__xludf.DUMMYFUNCTION("""COMPUTED_VALUE"""),"cgabriel@aiusa.org")</f>
        <v>cgabriel@aiusa.org</v>
      </c>
      <c r="C156" s="9" t="str">
        <f ca="1">IFERROR(__xludf.DUMMYFUNCTION("""COMPUTED_VALUE"""),"EVERGREEN - UAN Gated Content - Embedded Petition")</f>
        <v>EVERGREEN - UAN Gated Content - Embedded Petition</v>
      </c>
      <c r="D156" s="10">
        <f ca="1">IFERROR(__xludf.DUMMYFUNCTION("""COMPUTED_VALUE"""),45677)</f>
        <v>45677</v>
      </c>
      <c r="E156" s="1" t="str">
        <f ca="1">IFERROR(__xludf.DUMMYFUNCTION("""COMPUTED_VALUE"""),"Saudi Arabia")</f>
        <v>Saudi Arabia</v>
      </c>
      <c r="F156" s="1" t="str">
        <f ca="1">IFERROR(__xludf.DUMMYFUNCTION("""COMPUTED_VALUE"""),"Second 85.23 Saudi Arabia")</f>
        <v>Second 85.23 Saudi Arabia</v>
      </c>
      <c r="G156" s="1" t="str">
        <f ca="1">IFERROR(__xludf.DUMMYFUNCTION("""COMPUTED_VALUE"""),"Freedom of Expression")</f>
        <v>Freedom of Expression</v>
      </c>
      <c r="H156" s="1" t="str">
        <f ca="1">IFERROR(__xludf.DUMMYFUNCTION("""COMPUTED_VALUE"""),"2024")</f>
        <v>2024</v>
      </c>
      <c r="I156" s="1" t="str">
        <f ca="1">IFERROR(__xludf.DUMMYFUNCTION("""COMPUTED_VALUE"""),"Letter")</f>
        <v>Letter</v>
      </c>
    </row>
    <row r="157" spans="1:9" ht="13" x14ac:dyDescent="0.15">
      <c r="A157" s="9">
        <f ca="1">IFERROR(__xludf.DUMMYFUNCTION("""COMPUTED_VALUE"""),30354096)</f>
        <v>30354096</v>
      </c>
      <c r="B157" s="1" t="str">
        <f ca="1">IFERROR(__xludf.DUMMYFUNCTION("""COMPUTED_VALUE"""),"cgabriel@aiusa.org")</f>
        <v>cgabriel@aiusa.org</v>
      </c>
      <c r="C157" s="9" t="str">
        <f ca="1">IFERROR(__xludf.DUMMYFUNCTION("""COMPUTED_VALUE"""),"EVERGREEN - UAN Gated Content - Embedded Petition")</f>
        <v>EVERGREEN - UAN Gated Content - Embedded Petition</v>
      </c>
      <c r="D157" s="10">
        <f ca="1">IFERROR(__xludf.DUMMYFUNCTION("""COMPUTED_VALUE"""),45677)</f>
        <v>45677</v>
      </c>
      <c r="E157" s="1" t="str">
        <f ca="1">IFERROR(__xludf.DUMMYFUNCTION("""COMPUTED_VALUE"""),"Dominican Republic")</f>
        <v>Dominican Republic</v>
      </c>
      <c r="F157" s="1" t="str">
        <f ca="1">IFERROR(__xludf.DUMMYFUNCTION("""COMPUTED_VALUE"""),"88.24 Dominican Republic")</f>
        <v>88.24 Dominican Republic</v>
      </c>
      <c r="G157" s="1" t="str">
        <f ca="1">IFERROR(__xludf.DUMMYFUNCTION("""COMPUTED_VALUE"""),"Individuals At Risk, Refugee and Migrant Rights")</f>
        <v>Individuals At Risk, Refugee and Migrant Rights</v>
      </c>
      <c r="H157" s="1" t="str">
        <f ca="1">IFERROR(__xludf.DUMMYFUNCTION("""COMPUTED_VALUE"""),"2024")</f>
        <v>2024</v>
      </c>
      <c r="I157" s="1" t="str">
        <f ca="1">IFERROR(__xludf.DUMMYFUNCTION("""COMPUTED_VALUE"""),"Letter")</f>
        <v>Letter</v>
      </c>
    </row>
    <row r="158" spans="1:9" ht="13" x14ac:dyDescent="0.15">
      <c r="A158" s="9">
        <f ca="1">IFERROR(__xludf.DUMMYFUNCTION("""COMPUTED_VALUE"""),30354096)</f>
        <v>30354096</v>
      </c>
      <c r="B158" s="1" t="str">
        <f ca="1">IFERROR(__xludf.DUMMYFUNCTION("""COMPUTED_VALUE"""),"cgabriel@aiusa.org")</f>
        <v>cgabriel@aiusa.org</v>
      </c>
      <c r="C158" s="9" t="str">
        <f ca="1">IFERROR(__xludf.DUMMYFUNCTION("""COMPUTED_VALUE"""),"EVERGREEN - UAN Gated Content - Embedded Petition")</f>
        <v>EVERGREEN - UAN Gated Content - Embedded Petition</v>
      </c>
      <c r="D158" s="10">
        <f ca="1">IFERROR(__xludf.DUMMYFUNCTION("""COMPUTED_VALUE"""),45677)</f>
        <v>45677</v>
      </c>
      <c r="E158" s="1" t="str">
        <f ca="1">IFERROR(__xludf.DUMMYFUNCTION("""COMPUTED_VALUE"""),"Egypt")</f>
        <v>Egypt</v>
      </c>
      <c r="F158" s="1" t="str">
        <f ca="1">IFERROR(__xludf.DUMMYFUNCTION("""COMPUTED_VALUE"""),"Third 73.23 Egypt")</f>
        <v>Third 73.23 Egypt</v>
      </c>
      <c r="G158" s="1" t="str">
        <f ca="1">IFERROR(__xludf.DUMMYFUNCTION("""COMPUTED_VALUE"""),"Individuals At Risk")</f>
        <v>Individuals At Risk</v>
      </c>
      <c r="H158" s="1" t="str">
        <f ca="1">IFERROR(__xludf.DUMMYFUNCTION("""COMPUTED_VALUE"""),"2024")</f>
        <v>2024</v>
      </c>
      <c r="I158" s="1" t="str">
        <f ca="1">IFERROR(__xludf.DUMMYFUNCTION("""COMPUTED_VALUE"""),"Email")</f>
        <v>Email</v>
      </c>
    </row>
    <row r="159" spans="1:9" ht="13" x14ac:dyDescent="0.15">
      <c r="A159" s="9">
        <f ca="1">IFERROR(__xludf.DUMMYFUNCTION("""COMPUTED_VALUE"""),30354096)</f>
        <v>30354096</v>
      </c>
      <c r="B159" s="1" t="str">
        <f ca="1">IFERROR(__xludf.DUMMYFUNCTION("""COMPUTED_VALUE"""),"cgabriel@aiusa.org")</f>
        <v>cgabriel@aiusa.org</v>
      </c>
      <c r="C159" s="9" t="str">
        <f ca="1">IFERROR(__xludf.DUMMYFUNCTION("""COMPUTED_VALUE"""),"EVERGREEN - UAN Gated Content - Embedded Petition")</f>
        <v>EVERGREEN - UAN Gated Content - Embedded Petition</v>
      </c>
      <c r="D159" s="10">
        <f ca="1">IFERROR(__xludf.DUMMYFUNCTION("""COMPUTED_VALUE"""),45645)</f>
        <v>45645</v>
      </c>
      <c r="E159" s="1" t="str">
        <f ca="1">IFERROR(__xludf.DUMMYFUNCTION("""COMPUTED_VALUE"""),"Niger")</f>
        <v>Niger</v>
      </c>
      <c r="F159" s="1" t="str">
        <f ca="1">IFERROR(__xludf.DUMMYFUNCTION("""COMPUTED_VALUE"""),"103.24 Niger")</f>
        <v>103.24 Niger</v>
      </c>
      <c r="G159" s="1" t="str">
        <f ca="1">IFERROR(__xludf.DUMMYFUNCTION("""COMPUTED_VALUE"""),"Freedom of Expression, Human Rights Defenders")</f>
        <v>Freedom of Expression, Human Rights Defenders</v>
      </c>
      <c r="H159" s="1" t="str">
        <f ca="1">IFERROR(__xludf.DUMMYFUNCTION("""COMPUTED_VALUE"""),"2024")</f>
        <v>2024</v>
      </c>
      <c r="I159" s="1" t="str">
        <f ca="1">IFERROR(__xludf.DUMMYFUNCTION("""COMPUTED_VALUE"""),"Email")</f>
        <v>Email</v>
      </c>
    </row>
    <row r="160" spans="1:9" ht="13" x14ac:dyDescent="0.15">
      <c r="A160" s="9">
        <f ca="1">IFERROR(__xludf.DUMMYFUNCTION("""COMPUTED_VALUE"""),30354096)</f>
        <v>30354096</v>
      </c>
      <c r="B160" s="1" t="str">
        <f ca="1">IFERROR(__xludf.DUMMYFUNCTION("""COMPUTED_VALUE"""),"cgabriel@aiusa.org")</f>
        <v>cgabriel@aiusa.org</v>
      </c>
      <c r="C160" s="9" t="str">
        <f ca="1">IFERROR(__xludf.DUMMYFUNCTION("""COMPUTED_VALUE"""),"EVERGREEN - UAN Gated Content - Embedded Petition")</f>
        <v>EVERGREEN - UAN Gated Content - Embedded Petition</v>
      </c>
      <c r="D160" s="10">
        <f ca="1">IFERROR(__xludf.DUMMYFUNCTION("""COMPUTED_VALUE"""),45674)</f>
        <v>45674</v>
      </c>
      <c r="E160" s="1" t="str">
        <f ca="1">IFERROR(__xludf.DUMMYFUNCTION("""COMPUTED_VALUE"""),"Singapore")</f>
        <v>Singapore</v>
      </c>
      <c r="F160" s="1" t="str">
        <f ca="1">IFERROR(__xludf.DUMMYFUNCTION("""COMPUTED_VALUE"""),"107.24 Singapore")</f>
        <v>107.24 Singapore</v>
      </c>
      <c r="G160" s="1" t="str">
        <f ca="1">IFERROR(__xludf.DUMMYFUNCTION("""COMPUTED_VALUE"""),"Death Penalty")</f>
        <v>Death Penalty</v>
      </c>
      <c r="H160" s="1" t="str">
        <f ca="1">IFERROR(__xludf.DUMMYFUNCTION("""COMPUTED_VALUE"""),"2024")</f>
        <v>2024</v>
      </c>
      <c r="I160" s="1" t="str">
        <f ca="1">IFERROR(__xludf.DUMMYFUNCTION("""COMPUTED_VALUE"""),"Email")</f>
        <v>Email</v>
      </c>
    </row>
    <row r="161" spans="1:9" ht="13" x14ac:dyDescent="0.15">
      <c r="A161" s="9">
        <f ca="1">IFERROR(__xludf.DUMMYFUNCTION("""COMPUTED_VALUE"""),30354096)</f>
        <v>30354096</v>
      </c>
      <c r="B161" s="1" t="str">
        <f ca="1">IFERROR(__xludf.DUMMYFUNCTION("""COMPUTED_VALUE"""),"cgabriel@aiusa.org")</f>
        <v>cgabriel@aiusa.org</v>
      </c>
      <c r="C161" s="9" t="str">
        <f ca="1">IFERROR(__xludf.DUMMYFUNCTION("""COMPUTED_VALUE"""),"EVERGREEN - UAN Gated Content - Embedded Petition")</f>
        <v>EVERGREEN - UAN Gated Content - Embedded Petition</v>
      </c>
      <c r="D161" s="10">
        <f ca="1">IFERROR(__xludf.DUMMYFUNCTION("""COMPUTED_VALUE"""),45673)</f>
        <v>45673</v>
      </c>
      <c r="E161" s="1" t="str">
        <f ca="1">IFERROR(__xludf.DUMMYFUNCTION("""COMPUTED_VALUE"""),"Venezuela")</f>
        <v>Venezuela</v>
      </c>
      <c r="F161" s="1" t="str">
        <f ca="1">IFERROR(__xludf.DUMMYFUNCTION("""COMPUTED_VALUE"""),"97.24 Venezuela")</f>
        <v>97.24 Venezuela</v>
      </c>
      <c r="G161" s="1" t="str">
        <f ca="1">IFERROR(__xludf.DUMMYFUNCTION("""COMPUTED_VALUE"""),"Freedom of Expression")</f>
        <v>Freedom of Expression</v>
      </c>
      <c r="H161" s="1" t="str">
        <f ca="1">IFERROR(__xludf.DUMMYFUNCTION("""COMPUTED_VALUE"""),"2024")</f>
        <v>2024</v>
      </c>
      <c r="I161" s="1" t="str">
        <f ca="1">IFERROR(__xludf.DUMMYFUNCTION("""COMPUTED_VALUE"""),"Letter")</f>
        <v>Letter</v>
      </c>
    </row>
    <row r="162" spans="1:9" ht="13" x14ac:dyDescent="0.15">
      <c r="A162" s="9">
        <f ca="1">IFERROR(__xludf.DUMMYFUNCTION("""COMPUTED_VALUE"""),30354096)</f>
        <v>30354096</v>
      </c>
      <c r="B162" s="1" t="str">
        <f ca="1">IFERROR(__xludf.DUMMYFUNCTION("""COMPUTED_VALUE"""),"cgabriel@aiusa.org")</f>
        <v>cgabriel@aiusa.org</v>
      </c>
      <c r="C162" s="9" t="str">
        <f ca="1">IFERROR(__xludf.DUMMYFUNCTION("""COMPUTED_VALUE"""),"EVERGREEN - UAN Gated Content - Embedded Petition")</f>
        <v>EVERGREEN - UAN Gated Content - Embedded Petition</v>
      </c>
      <c r="D162" s="10">
        <f ca="1">IFERROR(__xludf.DUMMYFUNCTION("""COMPUTED_VALUE"""),45616)</f>
        <v>45616</v>
      </c>
      <c r="E162" s="1" t="str">
        <f ca="1">IFERROR(__xludf.DUMMYFUNCTION("""COMPUTED_VALUE"""),"Egypt")</f>
        <v>Egypt</v>
      </c>
      <c r="F162" s="1" t="str">
        <f ca="1">IFERROR(__xludf.DUMMYFUNCTION("""COMPUTED_VALUE"""),"Ninth 190.18 Egypt")</f>
        <v>Ninth 190.18 Egypt</v>
      </c>
      <c r="G162" s="1" t="str">
        <f ca="1">IFERROR(__xludf.DUMMYFUNCTION("""COMPUTED_VALUE"""),"Freedom of Expression, Individuals At Risk")</f>
        <v>Freedom of Expression, Individuals At Risk</v>
      </c>
      <c r="H162" s="1" t="str">
        <f ca="1">IFERROR(__xludf.DUMMYFUNCTION("""COMPUTED_VALUE"""),"2024")</f>
        <v>2024</v>
      </c>
      <c r="I162" s="1" t="str">
        <f ca="1">IFERROR(__xludf.DUMMYFUNCTION("""COMPUTED_VALUE"""),"Letter")</f>
        <v>Letter</v>
      </c>
    </row>
    <row r="163" spans="1:9" ht="13" x14ac:dyDescent="0.15">
      <c r="A163" s="9">
        <f ca="1">IFERROR(__xludf.DUMMYFUNCTION("""COMPUTED_VALUE"""),30354096)</f>
        <v>30354096</v>
      </c>
      <c r="B163" s="1" t="str">
        <f ca="1">IFERROR(__xludf.DUMMYFUNCTION("""COMPUTED_VALUE"""),"cgabriel@aiusa.org")</f>
        <v>cgabriel@aiusa.org</v>
      </c>
      <c r="C163" s="9" t="str">
        <f ca="1">IFERROR(__xludf.DUMMYFUNCTION("""COMPUTED_VALUE"""),"EVERGREEN - UAN Gated Content - Embedded Petition")</f>
        <v>EVERGREEN - UAN Gated Content - Embedded Petition</v>
      </c>
      <c r="D163" s="10">
        <f ca="1">IFERROR(__xludf.DUMMYFUNCTION("""COMPUTED_VALUE"""),45611)</f>
        <v>45611</v>
      </c>
      <c r="E163" s="1" t="str">
        <f ca="1">IFERROR(__xludf.DUMMYFUNCTION("""COMPUTED_VALUE"""),"Dominican Republic")</f>
        <v>Dominican Republic</v>
      </c>
      <c r="F163" s="1" t="str">
        <f ca="1">IFERROR(__xludf.DUMMYFUNCTION("""COMPUTED_VALUE"""),"88.24 Dominican Republic")</f>
        <v>88.24 Dominican Republic</v>
      </c>
      <c r="G163" s="1" t="str">
        <f ca="1">IFERROR(__xludf.DUMMYFUNCTION("""COMPUTED_VALUE"""),"Individuals At Risk, Refugee and Migrant Rights")</f>
        <v>Individuals At Risk, Refugee and Migrant Rights</v>
      </c>
      <c r="H163" s="1" t="str">
        <f ca="1">IFERROR(__xludf.DUMMYFUNCTION("""COMPUTED_VALUE"""),"2024")</f>
        <v>2024</v>
      </c>
      <c r="I163" s="1" t="str">
        <f ca="1">IFERROR(__xludf.DUMMYFUNCTION("""COMPUTED_VALUE"""),"Letter")</f>
        <v>Letter</v>
      </c>
    </row>
    <row r="164" spans="1:9" ht="13" x14ac:dyDescent="0.15">
      <c r="A164" s="9">
        <f ca="1">IFERROR(__xludf.DUMMYFUNCTION("""COMPUTED_VALUE"""),30354096)</f>
        <v>30354096</v>
      </c>
      <c r="B164" s="1" t="str">
        <f ca="1">IFERROR(__xludf.DUMMYFUNCTION("""COMPUTED_VALUE"""),"cgabriel@aiusa.org")</f>
        <v>cgabriel@aiusa.org</v>
      </c>
      <c r="C164" s="9" t="str">
        <f ca="1">IFERROR(__xludf.DUMMYFUNCTION("""COMPUTED_VALUE"""),"EVERGREEN - UAN Gated Content - Embedded Petition")</f>
        <v>EVERGREEN - UAN Gated Content - Embedded Petition</v>
      </c>
      <c r="D164" s="10">
        <f ca="1">IFERROR(__xludf.DUMMYFUNCTION("""COMPUTED_VALUE"""),45611)</f>
        <v>45611</v>
      </c>
      <c r="E164" s="1" t="str">
        <f ca="1">IFERROR(__xludf.DUMMYFUNCTION("""COMPUTED_VALUE"""),"China")</f>
        <v>China</v>
      </c>
      <c r="F164" s="1" t="str">
        <f ca="1">IFERROR(__xludf.DUMMYFUNCTION("""COMPUTED_VALUE"""),"98.24 China")</f>
        <v>98.24 China</v>
      </c>
      <c r="G164" s="1" t="str">
        <f ca="1">IFERROR(__xludf.DUMMYFUNCTION("""COMPUTED_VALUE"""),"Freedom of Expression, Individuals At Risk")</f>
        <v>Freedom of Expression, Individuals At Risk</v>
      </c>
      <c r="H164" s="1" t="str">
        <f ca="1">IFERROR(__xludf.DUMMYFUNCTION("""COMPUTED_VALUE"""),"2024")</f>
        <v>2024</v>
      </c>
      <c r="I164" s="1" t="str">
        <f ca="1">IFERROR(__xludf.DUMMYFUNCTION("""COMPUTED_VALUE"""),"Letter")</f>
        <v>Letter</v>
      </c>
    </row>
    <row r="165" spans="1:9" ht="13" x14ac:dyDescent="0.15">
      <c r="A165" s="9">
        <f ca="1">IFERROR(__xludf.DUMMYFUNCTION("""COMPUTED_VALUE"""),30354096)</f>
        <v>30354096</v>
      </c>
      <c r="B165" s="1" t="str">
        <f ca="1">IFERROR(__xludf.DUMMYFUNCTION("""COMPUTED_VALUE"""),"cgabriel@aiusa.org")</f>
        <v>cgabriel@aiusa.org</v>
      </c>
      <c r="C165" s="9" t="str">
        <f ca="1">IFERROR(__xludf.DUMMYFUNCTION("""COMPUTED_VALUE"""),"EVERGREEN - UAN Gated Content - Embedded Petition")</f>
        <v>EVERGREEN - UAN Gated Content - Embedded Petition</v>
      </c>
      <c r="D165" s="10">
        <f ca="1">IFERROR(__xludf.DUMMYFUNCTION("""COMPUTED_VALUE"""),45611)</f>
        <v>45611</v>
      </c>
      <c r="E165" s="1" t="str">
        <f ca="1">IFERROR(__xludf.DUMMYFUNCTION("""COMPUTED_VALUE"""),"China")</f>
        <v>China</v>
      </c>
      <c r="F165" s="1" t="str">
        <f ca="1">IFERROR(__xludf.DUMMYFUNCTION("""COMPUTED_VALUE"""),"98.24 China")</f>
        <v>98.24 China</v>
      </c>
      <c r="G165" s="1" t="str">
        <f ca="1">IFERROR(__xludf.DUMMYFUNCTION("""COMPUTED_VALUE"""),"Freedom of Expression, Individuals At Risk")</f>
        <v>Freedom of Expression, Individuals At Risk</v>
      </c>
      <c r="H165" s="1" t="str">
        <f ca="1">IFERROR(__xludf.DUMMYFUNCTION("""COMPUTED_VALUE"""),"2024")</f>
        <v>2024</v>
      </c>
      <c r="I165" s="1" t="str">
        <f ca="1">IFERROR(__xludf.DUMMYFUNCTION("""COMPUTED_VALUE"""),"Letter")</f>
        <v>Letter</v>
      </c>
    </row>
    <row r="166" spans="1:9" ht="13" x14ac:dyDescent="0.15">
      <c r="A166" s="9">
        <f ca="1">IFERROR(__xludf.DUMMYFUNCTION("""COMPUTED_VALUE"""),30354096)</f>
        <v>30354096</v>
      </c>
      <c r="B166" s="1" t="str">
        <f ca="1">IFERROR(__xludf.DUMMYFUNCTION("""COMPUTED_VALUE"""),"cgabriel@aiusa.org")</f>
        <v>cgabriel@aiusa.org</v>
      </c>
      <c r="C166" s="9" t="str">
        <f ca="1">IFERROR(__xludf.DUMMYFUNCTION("""COMPUTED_VALUE"""),"EVERGREEN - UAN Gated Content - Embedded Petition")</f>
        <v>EVERGREEN - UAN Gated Content - Embedded Petition</v>
      </c>
      <c r="D166" s="10">
        <f ca="1">IFERROR(__xludf.DUMMYFUNCTION("""COMPUTED_VALUE"""),45611)</f>
        <v>45611</v>
      </c>
      <c r="E166" s="1" t="str">
        <f ca="1">IFERROR(__xludf.DUMMYFUNCTION("""COMPUTED_VALUE"""),"Venezuela")</f>
        <v>Venezuela</v>
      </c>
      <c r="F166" s="1" t="str">
        <f ca="1">IFERROR(__xludf.DUMMYFUNCTION("""COMPUTED_VALUE"""),"97.24 Venezuela")</f>
        <v>97.24 Venezuela</v>
      </c>
      <c r="G166" s="1" t="str">
        <f ca="1">IFERROR(__xludf.DUMMYFUNCTION("""COMPUTED_VALUE"""),"Freedom of Expression")</f>
        <v>Freedom of Expression</v>
      </c>
      <c r="H166" s="1" t="str">
        <f ca="1">IFERROR(__xludf.DUMMYFUNCTION("""COMPUTED_VALUE"""),"2024")</f>
        <v>2024</v>
      </c>
      <c r="I166" s="1" t="str">
        <f ca="1">IFERROR(__xludf.DUMMYFUNCTION("""COMPUTED_VALUE"""),"Letter")</f>
        <v>Letter</v>
      </c>
    </row>
    <row r="167" spans="1:9" ht="13" x14ac:dyDescent="0.15">
      <c r="A167" s="9">
        <f ca="1">IFERROR(__xludf.DUMMYFUNCTION("""COMPUTED_VALUE"""),30354096)</f>
        <v>30354096</v>
      </c>
      <c r="B167" s="1" t="str">
        <f ca="1">IFERROR(__xludf.DUMMYFUNCTION("""COMPUTED_VALUE"""),"cgabriel@aiusa.org")</f>
        <v>cgabriel@aiusa.org</v>
      </c>
      <c r="C167" s="9" t="str">
        <f ca="1">IFERROR(__xludf.DUMMYFUNCTION("""COMPUTED_VALUE"""),"EVERGREEN - UAN Gated Content - Embedded Petition")</f>
        <v>EVERGREEN - UAN Gated Content - Embedded Petition</v>
      </c>
      <c r="D167" s="10">
        <f ca="1">IFERROR(__xludf.DUMMYFUNCTION("""COMPUTED_VALUE"""),45632)</f>
        <v>45632</v>
      </c>
      <c r="E167" s="1" t="str">
        <f ca="1">IFERROR(__xludf.DUMMYFUNCTION("""COMPUTED_VALUE"""),"Egypt")</f>
        <v>Egypt</v>
      </c>
      <c r="F167" s="1" t="str">
        <f ca="1">IFERROR(__xludf.DUMMYFUNCTION("""COMPUTED_VALUE"""),"Ninth 190.18 Egypt")</f>
        <v>Ninth 190.18 Egypt</v>
      </c>
      <c r="G167" s="1" t="str">
        <f ca="1">IFERROR(__xludf.DUMMYFUNCTION("""COMPUTED_VALUE"""),"Freedom of Expression, Individuals At Risk")</f>
        <v>Freedom of Expression, Individuals At Risk</v>
      </c>
      <c r="H167" s="1" t="str">
        <f ca="1">IFERROR(__xludf.DUMMYFUNCTION("""COMPUTED_VALUE"""),"2024")</f>
        <v>2024</v>
      </c>
      <c r="I167" s="1" t="str">
        <f ca="1">IFERROR(__xludf.DUMMYFUNCTION("""COMPUTED_VALUE"""),"Letter")</f>
        <v>Letter</v>
      </c>
    </row>
    <row r="168" spans="1:9" ht="13" x14ac:dyDescent="0.15">
      <c r="A168" s="9">
        <f ca="1">IFERROR(__xludf.DUMMYFUNCTION("""COMPUTED_VALUE"""),30354096)</f>
        <v>30354096</v>
      </c>
      <c r="B168" s="1" t="str">
        <f ca="1">IFERROR(__xludf.DUMMYFUNCTION("""COMPUTED_VALUE"""),"cgabriel@aiusa.org")</f>
        <v>cgabriel@aiusa.org</v>
      </c>
      <c r="C168" s="9" t="str">
        <f ca="1">IFERROR(__xludf.DUMMYFUNCTION("""COMPUTED_VALUE"""),"EVERGREEN - UAN Gated Content - Embedded Petition")</f>
        <v>EVERGREEN - UAN Gated Content - Embedded Petition</v>
      </c>
      <c r="D168" s="10">
        <f ca="1">IFERROR(__xludf.DUMMYFUNCTION("""COMPUTED_VALUE"""),45617)</f>
        <v>45617</v>
      </c>
      <c r="E168" s="1" t="str">
        <f ca="1">IFERROR(__xludf.DUMMYFUNCTION("""COMPUTED_VALUE"""),"Iran")</f>
        <v>Iran</v>
      </c>
      <c r="F168" s="1" t="str">
        <f ca="1">IFERROR(__xludf.DUMMYFUNCTION("""COMPUTED_VALUE"""),"Seventh 103.22 Iran")</f>
        <v>Seventh 103.22 Iran</v>
      </c>
      <c r="G168" s="1" t="str">
        <f ca="1">IFERROR(__xludf.DUMMYFUNCTION("""COMPUTED_VALUE"""),"Death Penalty, Freedom of Expression, Individuals At Risk")</f>
        <v>Death Penalty, Freedom of Expression, Individuals At Risk</v>
      </c>
      <c r="H168" s="1" t="str">
        <f ca="1">IFERROR(__xludf.DUMMYFUNCTION("""COMPUTED_VALUE"""),"2024")</f>
        <v>2024</v>
      </c>
      <c r="I168" s="1" t="str">
        <f ca="1">IFERROR(__xludf.DUMMYFUNCTION("""COMPUTED_VALUE"""),"Email")</f>
        <v>Email</v>
      </c>
    </row>
    <row r="169" spans="1:9" ht="13" x14ac:dyDescent="0.15">
      <c r="A169" s="9">
        <f ca="1">IFERROR(__xludf.DUMMYFUNCTION("""COMPUTED_VALUE"""),30354096)</f>
        <v>30354096</v>
      </c>
      <c r="B169" s="1" t="str">
        <f ca="1">IFERROR(__xludf.DUMMYFUNCTION("""COMPUTED_VALUE"""),"cgabriel@aiusa.org")</f>
        <v>cgabriel@aiusa.org</v>
      </c>
      <c r="C169" s="9" t="str">
        <f ca="1">IFERROR(__xludf.DUMMYFUNCTION("""COMPUTED_VALUE"""),"EVERGREEN - UAN Gated Content - Embedded Petition")</f>
        <v>EVERGREEN - UAN Gated Content - Embedded Petition</v>
      </c>
      <c r="D169" s="10">
        <f ca="1">IFERROR(__xludf.DUMMYFUNCTION("""COMPUTED_VALUE"""),45617)</f>
        <v>45617</v>
      </c>
      <c r="E169" s="1" t="str">
        <f ca="1">IFERROR(__xludf.DUMMYFUNCTION("""COMPUTED_VALUE"""),"Azerbaijan")</f>
        <v>Azerbaijan</v>
      </c>
      <c r="F169" s="1" t="str">
        <f ca="1">IFERROR(__xludf.DUMMYFUNCTION("""COMPUTED_VALUE"""),"2.25 Azerbaijan")</f>
        <v>2.25 Azerbaijan</v>
      </c>
      <c r="G169" s="1" t="str">
        <f ca="1">IFERROR(__xludf.DUMMYFUNCTION("""COMPUTED_VALUE"""),"Freedom of Expression, Human Rights Defenders")</f>
        <v>Freedom of Expression, Human Rights Defenders</v>
      </c>
      <c r="H169" s="1" t="str">
        <f ca="1">IFERROR(__xludf.DUMMYFUNCTION("""COMPUTED_VALUE"""),"2025")</f>
        <v>2025</v>
      </c>
      <c r="I169" s="1" t="str">
        <f ca="1">IFERROR(__xludf.DUMMYFUNCTION("""COMPUTED_VALUE"""),"Email")</f>
        <v>Email</v>
      </c>
    </row>
    <row r="170" spans="1:9" ht="13" x14ac:dyDescent="0.15">
      <c r="A170" s="9">
        <f ca="1">IFERROR(__xludf.DUMMYFUNCTION("""COMPUTED_VALUE"""),30354096)</f>
        <v>30354096</v>
      </c>
      <c r="B170" s="1" t="str">
        <f ca="1">IFERROR(__xludf.DUMMYFUNCTION("""COMPUTED_VALUE"""),"cgabriel@aiusa.org")</f>
        <v>cgabriel@aiusa.org</v>
      </c>
      <c r="C170" s="9" t="str">
        <f ca="1">IFERROR(__xludf.DUMMYFUNCTION("""COMPUTED_VALUE"""),"EVERGREEN - UAN Gated Content - Embedded Petition")</f>
        <v>EVERGREEN - UAN Gated Content - Embedded Petition</v>
      </c>
      <c r="D170" s="10">
        <f ca="1">IFERROR(__xludf.DUMMYFUNCTION("""COMPUTED_VALUE"""),45705)</f>
        <v>45705</v>
      </c>
      <c r="E170" s="1" t="str">
        <f ca="1">IFERROR(__xludf.DUMMYFUNCTION("""COMPUTED_VALUE"""),"USA")</f>
        <v>USA</v>
      </c>
      <c r="F170" s="1" t="str">
        <f ca="1">IFERROR(__xludf.DUMMYFUNCTION("""COMPUTED_VALUE"""),"Fourth 55.24 USA")</f>
        <v>Fourth 55.24 USA</v>
      </c>
      <c r="G170" s="1" t="str">
        <f ca="1">IFERROR(__xludf.DUMMYFUNCTION("""COMPUTED_VALUE"""),"Climate Justice, Individuals At Risk")</f>
        <v>Climate Justice, Individuals At Risk</v>
      </c>
      <c r="H170" s="1" t="str">
        <f ca="1">IFERROR(__xludf.DUMMYFUNCTION("""COMPUTED_VALUE"""),"2025")</f>
        <v>2025</v>
      </c>
      <c r="I170" s="1" t="str">
        <f ca="1">IFERROR(__xludf.DUMMYFUNCTION("""COMPUTED_VALUE"""),"Email")</f>
        <v>Email</v>
      </c>
    </row>
    <row r="171" spans="1:9" ht="13" x14ac:dyDescent="0.15">
      <c r="A171" s="9">
        <f ca="1">IFERROR(__xludf.DUMMYFUNCTION("""COMPUTED_VALUE"""),30354096)</f>
        <v>30354096</v>
      </c>
      <c r="B171" s="1" t="str">
        <f ca="1">IFERROR(__xludf.DUMMYFUNCTION("""COMPUTED_VALUE"""),"cgabriel@aiusa.org")</f>
        <v>cgabriel@aiusa.org</v>
      </c>
      <c r="C171" s="9" t="str">
        <f ca="1">IFERROR(__xludf.DUMMYFUNCTION("""COMPUTED_VALUE"""),"EVERGREEN - UAN Gated Content - Embedded Petition")</f>
        <v>EVERGREEN - UAN Gated Content - Embedded Petition</v>
      </c>
      <c r="D171" s="10">
        <f ca="1">IFERROR(__xludf.DUMMYFUNCTION("""COMPUTED_VALUE"""),45701)</f>
        <v>45701</v>
      </c>
      <c r="E171" s="1" t="str">
        <f ca="1">IFERROR(__xludf.DUMMYFUNCTION("""COMPUTED_VALUE"""),"Egypt")</f>
        <v>Egypt</v>
      </c>
      <c r="F171" s="1" t="str">
        <f ca="1">IFERROR(__xludf.DUMMYFUNCTION("""COMPUTED_VALUE"""),"Third 73.23 Egypt")</f>
        <v>Third 73.23 Egypt</v>
      </c>
      <c r="G171" s="1" t="str">
        <f ca="1">IFERROR(__xludf.DUMMYFUNCTION("""COMPUTED_VALUE"""),"Individuals At Risk")</f>
        <v>Individuals At Risk</v>
      </c>
      <c r="H171" s="1" t="str">
        <f ca="1">IFERROR(__xludf.DUMMYFUNCTION("""COMPUTED_VALUE"""),"2024")</f>
        <v>2024</v>
      </c>
      <c r="I171" s="1" t="str">
        <f ca="1">IFERROR(__xludf.DUMMYFUNCTION("""COMPUTED_VALUE"""),"Email")</f>
        <v>Email</v>
      </c>
    </row>
    <row r="172" spans="1:9" ht="13" x14ac:dyDescent="0.15">
      <c r="A172" s="9">
        <f ca="1">IFERROR(__xludf.DUMMYFUNCTION("""COMPUTED_VALUE"""),30354096)</f>
        <v>30354096</v>
      </c>
      <c r="B172" s="1" t="str">
        <f ca="1">IFERROR(__xludf.DUMMYFUNCTION("""COMPUTED_VALUE"""),"cgabriel@aiusa.org")</f>
        <v>cgabriel@aiusa.org</v>
      </c>
      <c r="C172" s="9" t="str">
        <f ca="1">IFERROR(__xludf.DUMMYFUNCTION("""COMPUTED_VALUE"""),"UAN mid-page Lightbox - Step 1 of 4 - Landing Page")</f>
        <v>UAN mid-page Lightbox - Step 1 of 4 - Landing Page</v>
      </c>
      <c r="D172" s="10">
        <f ca="1">IFERROR(__xludf.DUMMYFUNCTION("""COMPUTED_VALUE"""),45611)</f>
        <v>45611</v>
      </c>
      <c r="E172" s="1" t="str">
        <f ca="1">IFERROR(__xludf.DUMMYFUNCTION("""COMPUTED_VALUE"""),"Venezuela")</f>
        <v>Venezuela</v>
      </c>
      <c r="F172" s="1" t="str">
        <f ca="1">IFERROR(__xludf.DUMMYFUNCTION("""COMPUTED_VALUE"""),"1.25 Venezuela")</f>
        <v>1.25 Venezuela</v>
      </c>
      <c r="G172" s="1" t="str">
        <f ca="1">IFERROR(__xludf.DUMMYFUNCTION("""COMPUTED_VALUE"""),"Human Rights Defenders, Individuals At Risk")</f>
        <v>Human Rights Defenders, Individuals At Risk</v>
      </c>
      <c r="H172" s="1" t="str">
        <f ca="1">IFERROR(__xludf.DUMMYFUNCTION("""COMPUTED_VALUE"""),"2025")</f>
        <v>2025</v>
      </c>
      <c r="I172" s="1" t="str">
        <f ca="1">IFERROR(__xludf.DUMMYFUNCTION("""COMPUTED_VALUE"""),"Letter")</f>
        <v>Letter</v>
      </c>
    </row>
    <row r="173" spans="1:9" ht="13" x14ac:dyDescent="0.15">
      <c r="A173" s="9">
        <f ca="1">IFERROR(__xludf.DUMMYFUNCTION("""COMPUTED_VALUE"""),30354096)</f>
        <v>30354096</v>
      </c>
      <c r="B173" s="1" t="str">
        <f ca="1">IFERROR(__xludf.DUMMYFUNCTION("""COMPUTED_VALUE"""),"cgabriel@aiusa.org")</f>
        <v>cgabriel@aiusa.org</v>
      </c>
      <c r="C173" s="9" t="str">
        <f ca="1">IFERROR(__xludf.DUMMYFUNCTION("""COMPUTED_VALUE"""),"UAN mid-page Lightbox - Step 2 of 4 - More personal info fields")</f>
        <v>UAN mid-page Lightbox - Step 2 of 4 - More personal info fields</v>
      </c>
      <c r="D173" s="10">
        <f ca="1">IFERROR(__xludf.DUMMYFUNCTION("""COMPUTED_VALUE"""),45611)</f>
        <v>45611</v>
      </c>
      <c r="E173" s="1" t="str">
        <f ca="1">IFERROR(__xludf.DUMMYFUNCTION("""COMPUTED_VALUE"""),"USA")</f>
        <v>USA</v>
      </c>
      <c r="F173" s="1" t="str">
        <f ca="1">IFERROR(__xludf.DUMMYFUNCTION("""COMPUTED_VALUE"""),"Fourth 55.24 USA")</f>
        <v>Fourth 55.24 USA</v>
      </c>
      <c r="G173" s="1" t="str">
        <f ca="1">IFERROR(__xludf.DUMMYFUNCTION("""COMPUTED_VALUE"""),"Climate Justice, Individuals At Risk")</f>
        <v>Climate Justice, Individuals At Risk</v>
      </c>
      <c r="H173" s="1" t="str">
        <f ca="1">IFERROR(__xludf.DUMMYFUNCTION("""COMPUTED_VALUE"""),"2025")</f>
        <v>2025</v>
      </c>
      <c r="I173" s="1" t="str">
        <f ca="1">IFERROR(__xludf.DUMMYFUNCTION("""COMPUTED_VALUE"""),"Email")</f>
        <v>Email</v>
      </c>
    </row>
    <row r="174" spans="1:9" ht="13" x14ac:dyDescent="0.15">
      <c r="A174" s="9">
        <f ca="1">IFERROR(__xludf.DUMMYFUNCTION("""COMPUTED_VALUE"""),30354096)</f>
        <v>30354096</v>
      </c>
      <c r="B174" s="1" t="str">
        <f ca="1">IFERROR(__xludf.DUMMYFUNCTION("""COMPUTED_VALUE"""),"cgabriel@aiusa.org")</f>
        <v>cgabriel@aiusa.org</v>
      </c>
      <c r="C174" s="9" t="str">
        <f ca="1">IFERROR(__xludf.DUMMYFUNCTION("""COMPUTED_VALUE"""),"UAN mid-page Lightbox - Step 3 of 4 - More opt-ins")</f>
        <v>UAN mid-page Lightbox - Step 3 of 4 - More opt-ins</v>
      </c>
      <c r="D174" s="10">
        <f ca="1">IFERROR(__xludf.DUMMYFUNCTION("""COMPUTED_VALUE"""),45611)</f>
        <v>45611</v>
      </c>
      <c r="E174" s="1" t="str">
        <f ca="1">IFERROR(__xludf.DUMMYFUNCTION("""COMPUTED_VALUE"""),"Tunisia")</f>
        <v>Tunisia</v>
      </c>
      <c r="F174" s="1" t="str">
        <f ca="1">IFERROR(__xludf.DUMMYFUNCTION("""COMPUTED_VALUE"""),"Second 76.24 Tunisia")</f>
        <v>Second 76.24 Tunisia</v>
      </c>
      <c r="G174" s="1" t="str">
        <f ca="1">IFERROR(__xludf.DUMMYFUNCTION("""COMPUTED_VALUE"""),"Freedom of Expression, Human Rights Defenders")</f>
        <v>Freedom of Expression, Human Rights Defenders</v>
      </c>
      <c r="H174" s="1" t="str">
        <f ca="1">IFERROR(__xludf.DUMMYFUNCTION("""COMPUTED_VALUE"""),"2025")</f>
        <v>2025</v>
      </c>
      <c r="I174" s="1" t="str">
        <f ca="1">IFERROR(__xludf.DUMMYFUNCTION("""COMPUTED_VALUE"""),"Email")</f>
        <v>Email</v>
      </c>
    </row>
    <row r="175" spans="1:9" ht="13" x14ac:dyDescent="0.15">
      <c r="A175" s="9">
        <f ca="1">IFERROR(__xludf.DUMMYFUNCTION("""COMPUTED_VALUE"""),30354241)</f>
        <v>30354241</v>
      </c>
      <c r="B175" s="1" t="str">
        <f ca="1">IFERROR(__xludf.DUMMYFUNCTION("""COMPUTED_VALUE"""),"suzannewright1715@gmail.com")</f>
        <v>suzannewright1715@gmail.com</v>
      </c>
      <c r="C175" s="9" t="str">
        <f ca="1">IFERROR(__xludf.DUMMYFUNCTION("""COMPUTED_VALUE"""),"EVERGREEN - UAN Gated Content - Embedded Petition")</f>
        <v>EVERGREEN - UAN Gated Content - Embedded Petition</v>
      </c>
      <c r="D175" s="10">
        <f ca="1">IFERROR(__xludf.DUMMYFUNCTION("""COMPUTED_VALUE"""),45637)</f>
        <v>45637</v>
      </c>
      <c r="E175" s="1" t="str">
        <f ca="1">IFERROR(__xludf.DUMMYFUNCTION("""COMPUTED_VALUE"""),"Dominican Republic")</f>
        <v>Dominican Republic</v>
      </c>
      <c r="F175" s="1" t="str">
        <f ca="1">IFERROR(__xludf.DUMMYFUNCTION("""COMPUTED_VALUE"""),"88.24 Dominican Republic")</f>
        <v>88.24 Dominican Republic</v>
      </c>
      <c r="G175" s="1" t="str">
        <f ca="1">IFERROR(__xludf.DUMMYFUNCTION("""COMPUTED_VALUE"""),"Individuals At Risk, Refugee and Migrant Rights")</f>
        <v>Individuals At Risk, Refugee and Migrant Rights</v>
      </c>
      <c r="H175" s="1" t="str">
        <f ca="1">IFERROR(__xludf.DUMMYFUNCTION("""COMPUTED_VALUE"""),"2024")</f>
        <v>2024</v>
      </c>
      <c r="I175" s="1" t="str">
        <f ca="1">IFERROR(__xludf.DUMMYFUNCTION("""COMPUTED_VALUE"""),"Letter")</f>
        <v>Letter</v>
      </c>
    </row>
    <row r="176" spans="1:9" ht="13" x14ac:dyDescent="0.15">
      <c r="A176" s="9">
        <f ca="1">IFERROR(__xludf.DUMMYFUNCTION("""COMPUTED_VALUE"""),30354241)</f>
        <v>30354241</v>
      </c>
      <c r="B176" s="1" t="str">
        <f ca="1">IFERROR(__xludf.DUMMYFUNCTION("""COMPUTED_VALUE"""),"suzannewright1715@gmail.com")</f>
        <v>suzannewright1715@gmail.com</v>
      </c>
      <c r="C176" s="9" t="str">
        <f ca="1">IFERROR(__xludf.DUMMYFUNCTION("""COMPUTED_VALUE"""),"EVERGREEN - UAN Gated Content - Embedded Petition")</f>
        <v>EVERGREEN - UAN Gated Content - Embedded Petition</v>
      </c>
      <c r="D176" s="10">
        <f ca="1">IFERROR(__xludf.DUMMYFUNCTION("""COMPUTED_VALUE"""),45636)</f>
        <v>45636</v>
      </c>
      <c r="E176" s="1" t="str">
        <f ca="1">IFERROR(__xludf.DUMMYFUNCTION("""COMPUTED_VALUE"""),"Venezuela")</f>
        <v>Venezuela</v>
      </c>
      <c r="F176" s="1" t="str">
        <f ca="1">IFERROR(__xludf.DUMMYFUNCTION("""COMPUTED_VALUE"""),"97.24 Venezuela")</f>
        <v>97.24 Venezuela</v>
      </c>
      <c r="G176" s="1" t="str">
        <f ca="1">IFERROR(__xludf.DUMMYFUNCTION("""COMPUTED_VALUE"""),"Freedom of Expression")</f>
        <v>Freedom of Expression</v>
      </c>
      <c r="H176" s="1" t="str">
        <f ca="1">IFERROR(__xludf.DUMMYFUNCTION("""COMPUTED_VALUE"""),"2024")</f>
        <v>2024</v>
      </c>
      <c r="I176" s="1" t="str">
        <f ca="1">IFERROR(__xludf.DUMMYFUNCTION("""COMPUTED_VALUE"""),"Letter")</f>
        <v>Letter</v>
      </c>
    </row>
    <row r="177" spans="1:9" ht="13" x14ac:dyDescent="0.15">
      <c r="A177" s="9">
        <f ca="1">IFERROR(__xludf.DUMMYFUNCTION("""COMPUTED_VALUE"""),30361441)</f>
        <v>30361441</v>
      </c>
      <c r="B177" s="1" t="str">
        <f ca="1">IFERROR(__xludf.DUMMYFUNCTION("""COMPUTED_VALUE"""),"brianarnett1@gmail.com")</f>
        <v>brianarnett1@gmail.com</v>
      </c>
      <c r="C177" s="9" t="str">
        <f ca="1">IFERROR(__xludf.DUMMYFUNCTION("""COMPUTED_VALUE"""),"EVERGREEN - UAN Gated Content - Embedded Petition")</f>
        <v>EVERGREEN - UAN Gated Content - Embedded Petition</v>
      </c>
      <c r="D177" s="10">
        <f ca="1">IFERROR(__xludf.DUMMYFUNCTION("""COMPUTED_VALUE"""),45650)</f>
        <v>45650</v>
      </c>
      <c r="E177" s="1" t="str">
        <f ca="1">IFERROR(__xludf.DUMMYFUNCTION("""COMPUTED_VALUE"""),"Tunisia")</f>
        <v>Tunisia</v>
      </c>
      <c r="F177" s="1" t="str">
        <f ca="1">IFERROR(__xludf.DUMMYFUNCTION("""COMPUTED_VALUE"""),"Second 76.24 Tunisia")</f>
        <v>Second 76.24 Tunisia</v>
      </c>
      <c r="G177" s="1" t="str">
        <f ca="1">IFERROR(__xludf.DUMMYFUNCTION("""COMPUTED_VALUE"""),"Freedom of Expression, Human Rights Defenders")</f>
        <v>Freedom of Expression, Human Rights Defenders</v>
      </c>
      <c r="H177" s="1" t="str">
        <f ca="1">IFERROR(__xludf.DUMMYFUNCTION("""COMPUTED_VALUE"""),"2025")</f>
        <v>2025</v>
      </c>
      <c r="I177" s="1" t="str">
        <f ca="1">IFERROR(__xludf.DUMMYFUNCTION("""COMPUTED_VALUE"""),"Email")</f>
        <v>Email</v>
      </c>
    </row>
    <row r="178" spans="1:9" ht="13" x14ac:dyDescent="0.15">
      <c r="A178" s="9">
        <f ca="1">IFERROR(__xludf.DUMMYFUNCTION("""COMPUTED_VALUE"""),30361441)</f>
        <v>30361441</v>
      </c>
      <c r="B178" s="1" t="str">
        <f ca="1">IFERROR(__xludf.DUMMYFUNCTION("""COMPUTED_VALUE"""),"brianarnett1@gmail.com")</f>
        <v>brianarnett1@gmail.com</v>
      </c>
      <c r="C178" s="9" t="str">
        <f ca="1">IFERROR(__xludf.DUMMYFUNCTION("""COMPUTED_VALUE"""),"EVERGREEN - UAN Gated Content - Embedded Petition")</f>
        <v>EVERGREEN - UAN Gated Content - Embedded Petition</v>
      </c>
      <c r="D178" s="10">
        <f ca="1">IFERROR(__xludf.DUMMYFUNCTION("""COMPUTED_VALUE"""),45620)</f>
        <v>45620</v>
      </c>
      <c r="E178" s="1" t="str">
        <f ca="1">IFERROR(__xludf.DUMMYFUNCTION("""COMPUTED_VALUE"""),"China")</f>
        <v>China</v>
      </c>
      <c r="F178" s="1" t="str">
        <f ca="1">IFERROR(__xludf.DUMMYFUNCTION("""COMPUTED_VALUE"""),"98.24 China")</f>
        <v>98.24 China</v>
      </c>
      <c r="G178" s="1" t="str">
        <f ca="1">IFERROR(__xludf.DUMMYFUNCTION("""COMPUTED_VALUE"""),"Freedom of Expression, Individuals At Risk")</f>
        <v>Freedom of Expression, Individuals At Risk</v>
      </c>
      <c r="H178" s="1" t="str">
        <f ca="1">IFERROR(__xludf.DUMMYFUNCTION("""COMPUTED_VALUE"""),"2024")</f>
        <v>2024</v>
      </c>
      <c r="I178" s="1" t="str">
        <f ca="1">IFERROR(__xludf.DUMMYFUNCTION("""COMPUTED_VALUE"""),"Letter")</f>
        <v>Letter</v>
      </c>
    </row>
    <row r="179" spans="1:9" ht="13" x14ac:dyDescent="0.15">
      <c r="A179" s="9">
        <f ca="1">IFERROR(__xludf.DUMMYFUNCTION("""COMPUTED_VALUE"""),30361441)</f>
        <v>30361441</v>
      </c>
      <c r="B179" s="1" t="str">
        <f ca="1">IFERROR(__xludf.DUMMYFUNCTION("""COMPUTED_VALUE"""),"brianarnett1@gmail.com")</f>
        <v>brianarnett1@gmail.com</v>
      </c>
      <c r="C179" s="9" t="str">
        <f ca="1">IFERROR(__xludf.DUMMYFUNCTION("""COMPUTED_VALUE"""),"EVERGREEN - UAN Gated Content - Embedded Petition")</f>
        <v>EVERGREEN - UAN Gated Content - Embedded Petition</v>
      </c>
      <c r="D179" s="10">
        <f ca="1">IFERROR(__xludf.DUMMYFUNCTION("""COMPUTED_VALUE"""),45620)</f>
        <v>45620</v>
      </c>
      <c r="E179" s="1" t="str">
        <f ca="1">IFERROR(__xludf.DUMMYFUNCTION("""COMPUTED_VALUE"""),"USA")</f>
        <v>USA</v>
      </c>
      <c r="F179" s="1" t="str">
        <f ca="1">IFERROR(__xludf.DUMMYFUNCTION("""COMPUTED_VALUE"""),"105.24 USA")</f>
        <v>105.24 USA</v>
      </c>
      <c r="G179" s="1" t="str">
        <f ca="1">IFERROR(__xludf.DUMMYFUNCTION("""COMPUTED_VALUE"""),"Death Penalty")</f>
        <v>Death Penalty</v>
      </c>
      <c r="H179" s="1" t="str">
        <f ca="1">IFERROR(__xludf.DUMMYFUNCTION("""COMPUTED_VALUE"""),"2024")</f>
        <v>2024</v>
      </c>
      <c r="I179" s="1" t="str">
        <f ca="1">IFERROR(__xludf.DUMMYFUNCTION("""COMPUTED_VALUE"""),"Email")</f>
        <v>Email</v>
      </c>
    </row>
    <row r="180" spans="1:9" ht="13" x14ac:dyDescent="0.15">
      <c r="A180" s="9">
        <f ca="1">IFERROR(__xludf.DUMMYFUNCTION("""COMPUTED_VALUE"""),30361441)</f>
        <v>30361441</v>
      </c>
      <c r="B180" s="1" t="str">
        <f ca="1">IFERROR(__xludf.DUMMYFUNCTION("""COMPUTED_VALUE"""),"brianarnett1@gmail.com")</f>
        <v>brianarnett1@gmail.com</v>
      </c>
      <c r="C180" s="9" t="str">
        <f ca="1">IFERROR(__xludf.DUMMYFUNCTION("""COMPUTED_VALUE"""),"EVERGREEN - UAN Gated Content - Embedded Petition")</f>
        <v>EVERGREEN - UAN Gated Content - Embedded Petition</v>
      </c>
      <c r="D180" s="10">
        <f ca="1">IFERROR(__xludf.DUMMYFUNCTION("""COMPUTED_VALUE"""),45620)</f>
        <v>45620</v>
      </c>
      <c r="E180" s="1" t="str">
        <f ca="1">IFERROR(__xludf.DUMMYFUNCTION("""COMPUTED_VALUE"""),"Afghanistan")</f>
        <v>Afghanistan</v>
      </c>
      <c r="F180" s="1" t="str">
        <f ca="1">IFERROR(__xludf.DUMMYFUNCTION("""COMPUTED_VALUE"""),"11.25 Afghanistan")</f>
        <v>11.25 Afghanistan</v>
      </c>
      <c r="G180" s="1" t="str">
        <f ca="1">IFERROR(__xludf.DUMMYFUNCTION("""COMPUTED_VALUE"""),"Freedom of Expression, Health, Individuals At Risk")</f>
        <v>Freedom of Expression, Health, Individuals At Risk</v>
      </c>
      <c r="H180" s="1" t="str">
        <f ca="1">IFERROR(__xludf.DUMMYFUNCTION("""COMPUTED_VALUE"""),"2025")</f>
        <v>2025</v>
      </c>
      <c r="I180" s="1" t="str">
        <f ca="1">IFERROR(__xludf.DUMMYFUNCTION("""COMPUTED_VALUE"""),"Email")</f>
        <v>Email</v>
      </c>
    </row>
    <row r="181" spans="1:9" ht="13" x14ac:dyDescent="0.15">
      <c r="A181" s="9">
        <f ca="1">IFERROR(__xludf.DUMMYFUNCTION("""COMPUTED_VALUE"""),30361441)</f>
        <v>30361441</v>
      </c>
      <c r="B181" s="1" t="str">
        <f ca="1">IFERROR(__xludf.DUMMYFUNCTION("""COMPUTED_VALUE"""),"brianarnett1@gmail.com")</f>
        <v>brianarnett1@gmail.com</v>
      </c>
      <c r="C181" s="9" t="str">
        <f ca="1">IFERROR(__xludf.DUMMYFUNCTION("""COMPUTED_VALUE"""),"EVERGREEN - UAN Gated Content - Embedded Petition")</f>
        <v>EVERGREEN - UAN Gated Content - Embedded Petition</v>
      </c>
      <c r="D181" s="10">
        <f ca="1">IFERROR(__xludf.DUMMYFUNCTION("""COMPUTED_VALUE"""),45650)</f>
        <v>45650</v>
      </c>
      <c r="E181" s="1" t="str">
        <f ca="1">IFERROR(__xludf.DUMMYFUNCTION("""COMPUTED_VALUE"""),"USA")</f>
        <v>USA</v>
      </c>
      <c r="F181" s="1" t="str">
        <f ca="1">IFERROR(__xludf.DUMMYFUNCTION("""COMPUTED_VALUE"""),"4.25 USA")</f>
        <v>4.25 USA</v>
      </c>
      <c r="G181" s="1" t="str">
        <f ca="1">IFERROR(__xludf.DUMMYFUNCTION("""COMPUTED_VALUE"""),"Individuals At Risk, Refugee and Migrant Rights")</f>
        <v>Individuals At Risk, Refugee and Migrant Rights</v>
      </c>
      <c r="H181" s="1" t="str">
        <f ca="1">IFERROR(__xludf.DUMMYFUNCTION("""COMPUTED_VALUE"""),"2025")</f>
        <v>2025</v>
      </c>
      <c r="I181" s="1" t="str">
        <f ca="1">IFERROR(__xludf.DUMMYFUNCTION("""COMPUTED_VALUE"""),"Letter")</f>
        <v>Letter</v>
      </c>
    </row>
    <row r="182" spans="1:9" ht="13" x14ac:dyDescent="0.15">
      <c r="A182" s="9">
        <f ca="1">IFERROR(__xludf.DUMMYFUNCTION("""COMPUTED_VALUE"""),30361441)</f>
        <v>30361441</v>
      </c>
      <c r="B182" s="1" t="str">
        <f ca="1">IFERROR(__xludf.DUMMYFUNCTION("""COMPUTED_VALUE"""),"brianarnett1@gmail.com")</f>
        <v>brianarnett1@gmail.com</v>
      </c>
      <c r="C182" s="9" t="str">
        <f ca="1">IFERROR(__xludf.DUMMYFUNCTION("""COMPUTED_VALUE"""),"EVERGREEN - UAN Gated Content - Embedded Petition")</f>
        <v>EVERGREEN - UAN Gated Content - Embedded Petition</v>
      </c>
      <c r="D182" s="10">
        <f ca="1">IFERROR(__xludf.DUMMYFUNCTION("""COMPUTED_VALUE"""),45650)</f>
        <v>45650</v>
      </c>
      <c r="E182" s="1" t="str">
        <f ca="1">IFERROR(__xludf.DUMMYFUNCTION("""COMPUTED_VALUE"""),"Tunisia")</f>
        <v>Tunisia</v>
      </c>
      <c r="F182" s="1" t="str">
        <f ca="1">IFERROR(__xludf.DUMMYFUNCTION("""COMPUTED_VALUE"""),"Second 76.24 Tunisia")</f>
        <v>Second 76.24 Tunisia</v>
      </c>
      <c r="G182" s="1" t="str">
        <f ca="1">IFERROR(__xludf.DUMMYFUNCTION("""COMPUTED_VALUE"""),"Freedom of Expression, Human Rights Defenders")</f>
        <v>Freedom of Expression, Human Rights Defenders</v>
      </c>
      <c r="H182" s="1" t="str">
        <f ca="1">IFERROR(__xludf.DUMMYFUNCTION("""COMPUTED_VALUE"""),"2025")</f>
        <v>2025</v>
      </c>
      <c r="I182" s="1" t="str">
        <f ca="1">IFERROR(__xludf.DUMMYFUNCTION("""COMPUTED_VALUE"""),"Email")</f>
        <v>Email</v>
      </c>
    </row>
    <row r="183" spans="1:9" ht="13" x14ac:dyDescent="0.15">
      <c r="A183" s="9">
        <f ca="1">IFERROR(__xludf.DUMMYFUNCTION("""COMPUTED_VALUE"""),30361441)</f>
        <v>30361441</v>
      </c>
      <c r="B183" s="1" t="str">
        <f ca="1">IFERROR(__xludf.DUMMYFUNCTION("""COMPUTED_VALUE"""),"brianarnett1@gmail.com")</f>
        <v>brianarnett1@gmail.com</v>
      </c>
      <c r="C183" s="9" t="str">
        <f ca="1">IFERROR(__xludf.DUMMYFUNCTION("""COMPUTED_VALUE"""),"EVERGREEN - UAN Gated Content - Embedded Petition")</f>
        <v>EVERGREEN - UAN Gated Content - Embedded Petition</v>
      </c>
      <c r="D183" s="10">
        <f ca="1">IFERROR(__xludf.DUMMYFUNCTION("""COMPUTED_VALUE"""),45650)</f>
        <v>45650</v>
      </c>
      <c r="E183" s="1" t="str">
        <f ca="1">IFERROR(__xludf.DUMMYFUNCTION("""COMPUTED_VALUE"""),"Venezuela")</f>
        <v>Venezuela</v>
      </c>
      <c r="F183" s="1" t="str">
        <f ca="1">IFERROR(__xludf.DUMMYFUNCTION("""COMPUTED_VALUE"""),"1.25 Venezuela")</f>
        <v>1.25 Venezuela</v>
      </c>
      <c r="G183" s="1" t="str">
        <f ca="1">IFERROR(__xludf.DUMMYFUNCTION("""COMPUTED_VALUE"""),"Human Rights Defenders, Individuals At Risk")</f>
        <v>Human Rights Defenders, Individuals At Risk</v>
      </c>
      <c r="H183" s="1" t="str">
        <f ca="1">IFERROR(__xludf.DUMMYFUNCTION("""COMPUTED_VALUE"""),"2025")</f>
        <v>2025</v>
      </c>
      <c r="I183" s="1" t="str">
        <f ca="1">IFERROR(__xludf.DUMMYFUNCTION("""COMPUTED_VALUE"""),"Letter")</f>
        <v>Letter</v>
      </c>
    </row>
    <row r="184" spans="1:9" ht="13" x14ac:dyDescent="0.15">
      <c r="A184" s="9">
        <f ca="1">IFERROR(__xludf.DUMMYFUNCTION("""COMPUTED_VALUE"""),30361441)</f>
        <v>30361441</v>
      </c>
      <c r="B184" s="1" t="str">
        <f ca="1">IFERROR(__xludf.DUMMYFUNCTION("""COMPUTED_VALUE"""),"brianarnett1@gmail.com")</f>
        <v>brianarnett1@gmail.com</v>
      </c>
      <c r="C184" s="9" t="str">
        <f ca="1">IFERROR(__xludf.DUMMYFUNCTION("""COMPUTED_VALUE"""),"EVERGREEN - Website Email Capture Form - UAN Pre-Footer")</f>
        <v>EVERGREEN - Website Email Capture Form - UAN Pre-Footer</v>
      </c>
      <c r="D184" s="10">
        <f ca="1">IFERROR(__xludf.DUMMYFUNCTION("""COMPUTED_VALUE"""),45650)</f>
        <v>45650</v>
      </c>
      <c r="E184" s="1" t="str">
        <f ca="1">IFERROR(__xludf.DUMMYFUNCTION("""COMPUTED_VALUE"""),"Egypt")</f>
        <v>Egypt</v>
      </c>
      <c r="F184" s="1" t="str">
        <f ca="1">IFERROR(__xludf.DUMMYFUNCTION("""COMPUTED_VALUE"""),"Ninth 190.18 Egypt")</f>
        <v>Ninth 190.18 Egypt</v>
      </c>
      <c r="G184" s="1" t="str">
        <f ca="1">IFERROR(__xludf.DUMMYFUNCTION("""COMPUTED_VALUE"""),"Freedom of Expression, Individuals At Risk")</f>
        <v>Freedom of Expression, Individuals At Risk</v>
      </c>
      <c r="H184" s="1" t="str">
        <f ca="1">IFERROR(__xludf.DUMMYFUNCTION("""COMPUTED_VALUE"""),"2024")</f>
        <v>2024</v>
      </c>
      <c r="I184" s="1" t="str">
        <f ca="1">IFERROR(__xludf.DUMMYFUNCTION("""COMPUTED_VALUE"""),"Letter")</f>
        <v>Letter</v>
      </c>
    </row>
    <row r="185" spans="1:9" ht="13" x14ac:dyDescent="0.15">
      <c r="A185" s="9">
        <f ca="1">IFERROR(__xludf.DUMMYFUNCTION("""COMPUTED_VALUE"""),30362373)</f>
        <v>30362373</v>
      </c>
      <c r="B185" s="1" t="str">
        <f ca="1">IFERROR(__xludf.DUMMYFUNCTION("""COMPUTED_VALUE"""),"rlsingerman@gmail.com")</f>
        <v>rlsingerman@gmail.com</v>
      </c>
      <c r="C185" s="9" t="str">
        <f ca="1">IFERROR(__xludf.DUMMYFUNCTION("""COMPUTED_VALUE"""),"EVERGREEN - UAN Gated Content - Embedded Petition")</f>
        <v>EVERGREEN - UAN Gated Content - Embedded Petition</v>
      </c>
      <c r="D185" s="10">
        <f ca="1">IFERROR(__xludf.DUMMYFUNCTION("""COMPUTED_VALUE"""),45655)</f>
        <v>45655</v>
      </c>
      <c r="E185" s="1" t="str">
        <f ca="1">IFERROR(__xludf.DUMMYFUNCTION("""COMPUTED_VALUE"""),"Canada")</f>
        <v>Canada</v>
      </c>
      <c r="F185" s="1" t="str">
        <f ca="1">IFERROR(__xludf.DUMMYFUNCTION("""COMPUTED_VALUE"""),"99.24 Canada")</f>
        <v>99.24 Canada</v>
      </c>
      <c r="G185" s="1" t="str">
        <f ca="1">IFERROR(__xludf.DUMMYFUNCTION("""COMPUTED_VALUE"""),"Climate Justice, Indigenous Rights, Right to Protest")</f>
        <v>Climate Justice, Indigenous Rights, Right to Protest</v>
      </c>
      <c r="H185" s="1" t="str">
        <f ca="1">IFERROR(__xludf.DUMMYFUNCTION("""COMPUTED_VALUE"""),"2024")</f>
        <v>2024</v>
      </c>
      <c r="I185" s="1" t="str">
        <f ca="1">IFERROR(__xludf.DUMMYFUNCTION("""COMPUTED_VALUE"""),"Letter")</f>
        <v>Letter</v>
      </c>
    </row>
    <row r="186" spans="1:9" ht="13" x14ac:dyDescent="0.15">
      <c r="A186" s="9">
        <f ca="1">IFERROR(__xludf.DUMMYFUNCTION("""COMPUTED_VALUE"""),30362373)</f>
        <v>30362373</v>
      </c>
      <c r="B186" s="1" t="str">
        <f ca="1">IFERROR(__xludf.DUMMYFUNCTION("""COMPUTED_VALUE"""),"rlsingerman@gmail.com")</f>
        <v>rlsingerman@gmail.com</v>
      </c>
      <c r="C186" s="9" t="str">
        <f ca="1">IFERROR(__xludf.DUMMYFUNCTION("""COMPUTED_VALUE"""),"EVERGREEN - UAN Gated Content - Embedded Petition")</f>
        <v>EVERGREEN - UAN Gated Content - Embedded Petition</v>
      </c>
      <c r="D186" s="10">
        <f ca="1">IFERROR(__xludf.DUMMYFUNCTION("""COMPUTED_VALUE"""),45655)</f>
        <v>45655</v>
      </c>
      <c r="E186" s="1" t="str">
        <f ca="1">IFERROR(__xludf.DUMMYFUNCTION("""COMPUTED_VALUE"""),"China")</f>
        <v>China</v>
      </c>
      <c r="F186" s="1" t="str">
        <f ca="1">IFERROR(__xludf.DUMMYFUNCTION("""COMPUTED_VALUE"""),"98.24 China")</f>
        <v>98.24 China</v>
      </c>
      <c r="G186" s="1" t="str">
        <f ca="1">IFERROR(__xludf.DUMMYFUNCTION("""COMPUTED_VALUE"""),"Freedom of Expression, Individuals At Risk")</f>
        <v>Freedom of Expression, Individuals At Risk</v>
      </c>
      <c r="H186" s="1" t="str">
        <f ca="1">IFERROR(__xludf.DUMMYFUNCTION("""COMPUTED_VALUE"""),"2024")</f>
        <v>2024</v>
      </c>
      <c r="I186" s="1" t="str">
        <f ca="1">IFERROR(__xludf.DUMMYFUNCTION("""COMPUTED_VALUE"""),"Letter")</f>
        <v>Letter</v>
      </c>
    </row>
    <row r="187" spans="1:9" ht="13" x14ac:dyDescent="0.15">
      <c r="A187" s="9">
        <f ca="1">IFERROR(__xludf.DUMMYFUNCTION("""COMPUTED_VALUE"""),30362373)</f>
        <v>30362373</v>
      </c>
      <c r="B187" s="1" t="str">
        <f ca="1">IFERROR(__xludf.DUMMYFUNCTION("""COMPUTED_VALUE"""),"rlsingerman@gmail.com")</f>
        <v>rlsingerman@gmail.com</v>
      </c>
      <c r="C187" s="9" t="str">
        <f ca="1">IFERROR(__xludf.DUMMYFUNCTION("""COMPUTED_VALUE"""),"EVERGREEN - UAN Gated Content - Embedded Petition")</f>
        <v>EVERGREEN - UAN Gated Content - Embedded Petition</v>
      </c>
      <c r="D187" s="10">
        <f ca="1">IFERROR(__xludf.DUMMYFUNCTION("""COMPUTED_VALUE"""),45616)</f>
        <v>45616</v>
      </c>
      <c r="E187" s="1" t="str">
        <f ca="1">IFERROR(__xludf.DUMMYFUNCTION("""COMPUTED_VALUE"""),"Tunisia")</f>
        <v>Tunisia</v>
      </c>
      <c r="F187" s="1" t="str">
        <f ca="1">IFERROR(__xludf.DUMMYFUNCTION("""COMPUTED_VALUE"""),"Second 76.24 Tunisia")</f>
        <v>Second 76.24 Tunisia</v>
      </c>
      <c r="G187" s="1" t="str">
        <f ca="1">IFERROR(__xludf.DUMMYFUNCTION("""COMPUTED_VALUE"""),"Freedom of Expression, Human Rights Defenders")</f>
        <v>Freedom of Expression, Human Rights Defenders</v>
      </c>
      <c r="H187" s="1" t="str">
        <f ca="1">IFERROR(__xludf.DUMMYFUNCTION("""COMPUTED_VALUE"""),"2025")</f>
        <v>2025</v>
      </c>
      <c r="I187" s="1" t="str">
        <f ca="1">IFERROR(__xludf.DUMMYFUNCTION("""COMPUTED_VALUE"""),"Email")</f>
        <v>Email</v>
      </c>
    </row>
    <row r="188" spans="1:9" ht="13" x14ac:dyDescent="0.15">
      <c r="A188" s="9">
        <f ca="1">IFERROR(__xludf.DUMMYFUNCTION("""COMPUTED_VALUE"""),30362373)</f>
        <v>30362373</v>
      </c>
      <c r="B188" s="1" t="str">
        <f ca="1">IFERROR(__xludf.DUMMYFUNCTION("""COMPUTED_VALUE"""),"rlsingerman@gmail.com")</f>
        <v>rlsingerman@gmail.com</v>
      </c>
      <c r="C188" s="9" t="str">
        <f ca="1">IFERROR(__xludf.DUMMYFUNCTION("""COMPUTED_VALUE"""),"EVERGREEN - UAN Gated Content - Embedded Petition")</f>
        <v>EVERGREEN - UAN Gated Content - Embedded Petition</v>
      </c>
      <c r="D188" s="10">
        <f ca="1">IFERROR(__xludf.DUMMYFUNCTION("""COMPUTED_VALUE"""),45655)</f>
        <v>45655</v>
      </c>
      <c r="E188" s="1" t="str">
        <f ca="1">IFERROR(__xludf.DUMMYFUNCTION("""COMPUTED_VALUE"""),"Dominican Republic")</f>
        <v>Dominican Republic</v>
      </c>
      <c r="F188" s="1" t="str">
        <f ca="1">IFERROR(__xludf.DUMMYFUNCTION("""COMPUTED_VALUE"""),"88.24 Dominican Republic")</f>
        <v>88.24 Dominican Republic</v>
      </c>
      <c r="G188" s="1" t="str">
        <f ca="1">IFERROR(__xludf.DUMMYFUNCTION("""COMPUTED_VALUE"""),"Individuals At Risk, Refugee and Migrant Rights")</f>
        <v>Individuals At Risk, Refugee and Migrant Rights</v>
      </c>
      <c r="H188" s="1" t="str">
        <f ca="1">IFERROR(__xludf.DUMMYFUNCTION("""COMPUTED_VALUE"""),"2024")</f>
        <v>2024</v>
      </c>
      <c r="I188" s="1" t="str">
        <f ca="1">IFERROR(__xludf.DUMMYFUNCTION("""COMPUTED_VALUE"""),"Letter")</f>
        <v>Letter</v>
      </c>
    </row>
    <row r="189" spans="1:9" ht="13" x14ac:dyDescent="0.15">
      <c r="A189" s="9">
        <f ca="1">IFERROR(__xludf.DUMMYFUNCTION("""COMPUTED_VALUE"""),30367414)</f>
        <v>30367414</v>
      </c>
      <c r="B189" s="1" t="str">
        <f ca="1">IFERROR(__xludf.DUMMYFUNCTION("""COMPUTED_VALUE"""),"dowling_mike_j@yahoo.com")</f>
        <v>dowling_mike_j@yahoo.com</v>
      </c>
      <c r="C189" s="9" t="str">
        <f ca="1">IFERROR(__xludf.DUMMYFUNCTION("""COMPUTED_VALUE"""),"EVERGREEN - UAN Gated Content - Embedded Petition")</f>
        <v>EVERGREEN - UAN Gated Content - Embedded Petition</v>
      </c>
      <c r="D189" s="10">
        <f ca="1">IFERROR(__xludf.DUMMYFUNCTION("""COMPUTED_VALUE"""),45640)</f>
        <v>45640</v>
      </c>
      <c r="E189" s="1" t="str">
        <f ca="1">IFERROR(__xludf.DUMMYFUNCTION("""COMPUTED_VALUE"""),"Tunisia")</f>
        <v>Tunisia</v>
      </c>
      <c r="F189" s="1" t="str">
        <f ca="1">IFERROR(__xludf.DUMMYFUNCTION("""COMPUTED_VALUE"""),"Second 76.24 Tunisia")</f>
        <v>Second 76.24 Tunisia</v>
      </c>
      <c r="G189" s="1" t="str">
        <f ca="1">IFERROR(__xludf.DUMMYFUNCTION("""COMPUTED_VALUE"""),"Freedom of Expression, Human Rights Defenders")</f>
        <v>Freedom of Expression, Human Rights Defenders</v>
      </c>
      <c r="H189" s="1" t="str">
        <f ca="1">IFERROR(__xludf.DUMMYFUNCTION("""COMPUTED_VALUE"""),"2025")</f>
        <v>2025</v>
      </c>
      <c r="I189" s="1" t="str">
        <f ca="1">IFERROR(__xludf.DUMMYFUNCTION("""COMPUTED_VALUE"""),"Email")</f>
        <v>Email</v>
      </c>
    </row>
    <row r="190" spans="1:9" ht="13" x14ac:dyDescent="0.15">
      <c r="A190" s="9">
        <f ca="1">IFERROR(__xludf.DUMMYFUNCTION("""COMPUTED_VALUE"""),30367414)</f>
        <v>30367414</v>
      </c>
      <c r="B190" s="1" t="str">
        <f ca="1">IFERROR(__xludf.DUMMYFUNCTION("""COMPUTED_VALUE"""),"dowling_mike_j@yahoo.com")</f>
        <v>dowling_mike_j@yahoo.com</v>
      </c>
      <c r="C190" s="9" t="str">
        <f ca="1">IFERROR(__xludf.DUMMYFUNCTION("""COMPUTED_VALUE"""),"EVERGREEN - UAN Gated Content - Embedded Petition")</f>
        <v>EVERGREEN - UAN Gated Content - Embedded Petition</v>
      </c>
      <c r="D190" s="10">
        <f ca="1">IFERROR(__xludf.DUMMYFUNCTION("""COMPUTED_VALUE"""),45640)</f>
        <v>45640</v>
      </c>
      <c r="E190" s="1" t="str">
        <f ca="1">IFERROR(__xludf.DUMMYFUNCTION("""COMPUTED_VALUE"""),"Tunisia")</f>
        <v>Tunisia</v>
      </c>
      <c r="F190" s="1" t="str">
        <f ca="1">IFERROR(__xludf.DUMMYFUNCTION("""COMPUTED_VALUE"""),"Second 76.24 Tunisia")</f>
        <v>Second 76.24 Tunisia</v>
      </c>
      <c r="G190" s="1" t="str">
        <f ca="1">IFERROR(__xludf.DUMMYFUNCTION("""COMPUTED_VALUE"""),"Freedom of Expression, Human Rights Defenders")</f>
        <v>Freedom of Expression, Human Rights Defenders</v>
      </c>
      <c r="H190" s="1" t="str">
        <f ca="1">IFERROR(__xludf.DUMMYFUNCTION("""COMPUTED_VALUE"""),"2025")</f>
        <v>2025</v>
      </c>
      <c r="I190" s="1" t="str">
        <f ca="1">IFERROR(__xludf.DUMMYFUNCTION("""COMPUTED_VALUE"""),"Email")</f>
        <v>Email</v>
      </c>
    </row>
    <row r="191" spans="1:9" ht="13" x14ac:dyDescent="0.15">
      <c r="A191" s="9">
        <f ca="1">IFERROR(__xludf.DUMMYFUNCTION("""COMPUTED_VALUE"""),30367414)</f>
        <v>30367414</v>
      </c>
      <c r="B191" s="1" t="str">
        <f ca="1">IFERROR(__xludf.DUMMYFUNCTION("""COMPUTED_VALUE"""),"dowling_mike_j@yahoo.com")</f>
        <v>dowling_mike_j@yahoo.com</v>
      </c>
      <c r="C191" s="9" t="str">
        <f ca="1">IFERROR(__xludf.DUMMYFUNCTION("""COMPUTED_VALUE"""),"EVERGREEN - UAN Gated Content - Embedded Petition")</f>
        <v>EVERGREEN - UAN Gated Content - Embedded Petition</v>
      </c>
      <c r="D191" s="10">
        <f ca="1">IFERROR(__xludf.DUMMYFUNCTION("""COMPUTED_VALUE"""),45640)</f>
        <v>45640</v>
      </c>
      <c r="E191" s="1" t="str">
        <f ca="1">IFERROR(__xludf.DUMMYFUNCTION("""COMPUTED_VALUE"""),"USA")</f>
        <v>USA</v>
      </c>
      <c r="F191" s="1" t="str">
        <f ca="1">IFERROR(__xludf.DUMMYFUNCTION("""COMPUTED_VALUE"""),"105.24 USA")</f>
        <v>105.24 USA</v>
      </c>
      <c r="G191" s="1" t="str">
        <f ca="1">IFERROR(__xludf.DUMMYFUNCTION("""COMPUTED_VALUE"""),"Death Penalty")</f>
        <v>Death Penalty</v>
      </c>
      <c r="H191" s="1" t="str">
        <f ca="1">IFERROR(__xludf.DUMMYFUNCTION("""COMPUTED_VALUE"""),"2024")</f>
        <v>2024</v>
      </c>
      <c r="I191" s="1" t="str">
        <f ca="1">IFERROR(__xludf.DUMMYFUNCTION("""COMPUTED_VALUE"""),"Email")</f>
        <v>Email</v>
      </c>
    </row>
    <row r="192" spans="1:9" ht="13" x14ac:dyDescent="0.15">
      <c r="A192" s="9">
        <f ca="1">IFERROR(__xludf.DUMMYFUNCTION("""COMPUTED_VALUE"""),30367414)</f>
        <v>30367414</v>
      </c>
      <c r="B192" s="1" t="str">
        <f ca="1">IFERROR(__xludf.DUMMYFUNCTION("""COMPUTED_VALUE"""),"dowling_mike_j@yahoo.com")</f>
        <v>dowling_mike_j@yahoo.com</v>
      </c>
      <c r="C192" s="9" t="str">
        <f ca="1">IFERROR(__xludf.DUMMYFUNCTION("""COMPUTED_VALUE"""),"EVERGREEN - UAN Gated Content - Embedded Petition")</f>
        <v>EVERGREEN - UAN Gated Content - Embedded Petition</v>
      </c>
      <c r="D192" s="10">
        <f ca="1">IFERROR(__xludf.DUMMYFUNCTION("""COMPUTED_VALUE"""),45675)</f>
        <v>45675</v>
      </c>
      <c r="E192" s="1" t="str">
        <f ca="1">IFERROR(__xludf.DUMMYFUNCTION("""COMPUTED_VALUE"""),"Iran")</f>
        <v>Iran</v>
      </c>
      <c r="F192" s="1" t="str">
        <f ca="1">IFERROR(__xludf.DUMMYFUNCTION("""COMPUTED_VALUE"""),"Seventh 103.22 Iran")</f>
        <v>Seventh 103.22 Iran</v>
      </c>
      <c r="G192" s="1" t="str">
        <f ca="1">IFERROR(__xludf.DUMMYFUNCTION("""COMPUTED_VALUE"""),"Death Penalty, Freedom of Expression, Individuals At Risk")</f>
        <v>Death Penalty, Freedom of Expression, Individuals At Risk</v>
      </c>
      <c r="H192" s="1" t="str">
        <f ca="1">IFERROR(__xludf.DUMMYFUNCTION("""COMPUTED_VALUE"""),"2024")</f>
        <v>2024</v>
      </c>
      <c r="I192" s="1" t="str">
        <f ca="1">IFERROR(__xludf.DUMMYFUNCTION("""COMPUTED_VALUE"""),"Email")</f>
        <v>Email</v>
      </c>
    </row>
    <row r="193" spans="1:9" ht="13" x14ac:dyDescent="0.15">
      <c r="A193" s="9">
        <f ca="1">IFERROR(__xludf.DUMMYFUNCTION("""COMPUTED_VALUE"""),30367414)</f>
        <v>30367414</v>
      </c>
      <c r="B193" s="1" t="str">
        <f ca="1">IFERROR(__xludf.DUMMYFUNCTION("""COMPUTED_VALUE"""),"dowling_mike_j@yahoo.com")</f>
        <v>dowling_mike_j@yahoo.com</v>
      </c>
      <c r="C193" s="9" t="str">
        <f ca="1">IFERROR(__xludf.DUMMYFUNCTION("""COMPUTED_VALUE"""),"EVERGREEN - UAN Gated Content - Embedded Petition")</f>
        <v>EVERGREEN - UAN Gated Content - Embedded Petition</v>
      </c>
      <c r="D193" s="10">
        <f ca="1">IFERROR(__xludf.DUMMYFUNCTION("""COMPUTED_VALUE"""),45675)</f>
        <v>45675</v>
      </c>
      <c r="E193" s="1" t="str">
        <f ca="1">IFERROR(__xludf.DUMMYFUNCTION("""COMPUTED_VALUE"""),"Tunisia")</f>
        <v>Tunisia</v>
      </c>
      <c r="F193" s="1" t="str">
        <f ca="1">IFERROR(__xludf.DUMMYFUNCTION("""COMPUTED_VALUE"""),"Second 76.24 Tunisia")</f>
        <v>Second 76.24 Tunisia</v>
      </c>
      <c r="G193" s="1" t="str">
        <f ca="1">IFERROR(__xludf.DUMMYFUNCTION("""COMPUTED_VALUE"""),"Freedom of Expression, Human Rights Defenders")</f>
        <v>Freedom of Expression, Human Rights Defenders</v>
      </c>
      <c r="H193" s="1" t="str">
        <f ca="1">IFERROR(__xludf.DUMMYFUNCTION("""COMPUTED_VALUE"""),"2025")</f>
        <v>2025</v>
      </c>
      <c r="I193" s="1" t="str">
        <f ca="1">IFERROR(__xludf.DUMMYFUNCTION("""COMPUTED_VALUE"""),"Email")</f>
        <v>Email</v>
      </c>
    </row>
    <row r="194" spans="1:9" ht="13" x14ac:dyDescent="0.15">
      <c r="A194" s="9">
        <f ca="1">IFERROR(__xludf.DUMMYFUNCTION("""COMPUTED_VALUE"""),30367414)</f>
        <v>30367414</v>
      </c>
      <c r="B194" s="1" t="str">
        <f ca="1">IFERROR(__xludf.DUMMYFUNCTION("""COMPUTED_VALUE"""),"dowling_mike_j@yahoo.com")</f>
        <v>dowling_mike_j@yahoo.com</v>
      </c>
      <c r="C194" s="9" t="str">
        <f ca="1">IFERROR(__xludf.DUMMYFUNCTION("""COMPUTED_VALUE"""),"EVERGREEN - UAN Gated Content - Embedded Petition")</f>
        <v>EVERGREEN - UAN Gated Content - Embedded Petition</v>
      </c>
      <c r="D194" s="10">
        <f ca="1">IFERROR(__xludf.DUMMYFUNCTION("""COMPUTED_VALUE"""),45675)</f>
        <v>45675</v>
      </c>
      <c r="E194" s="1" t="str">
        <f ca="1">IFERROR(__xludf.DUMMYFUNCTION("""COMPUTED_VALUE"""),"Venezuela")</f>
        <v>Venezuela</v>
      </c>
      <c r="F194" s="1" t="str">
        <f ca="1">IFERROR(__xludf.DUMMYFUNCTION("""COMPUTED_VALUE"""),"97.24 Venezuela")</f>
        <v>97.24 Venezuela</v>
      </c>
      <c r="G194" s="1" t="str">
        <f ca="1">IFERROR(__xludf.DUMMYFUNCTION("""COMPUTED_VALUE"""),"Freedom of Expression")</f>
        <v>Freedom of Expression</v>
      </c>
      <c r="H194" s="1" t="str">
        <f ca="1">IFERROR(__xludf.DUMMYFUNCTION("""COMPUTED_VALUE"""),"2024")</f>
        <v>2024</v>
      </c>
      <c r="I194" s="1" t="str">
        <f ca="1">IFERROR(__xludf.DUMMYFUNCTION("""COMPUTED_VALUE"""),"Letter")</f>
        <v>Letter</v>
      </c>
    </row>
    <row r="195" spans="1:9" ht="13" x14ac:dyDescent="0.15">
      <c r="A195" s="9">
        <f ca="1">IFERROR(__xludf.DUMMYFUNCTION("""COMPUTED_VALUE"""),30367414)</f>
        <v>30367414</v>
      </c>
      <c r="B195" s="1" t="str">
        <f ca="1">IFERROR(__xludf.DUMMYFUNCTION("""COMPUTED_VALUE"""),"dowling_mike_j@yahoo.com")</f>
        <v>dowling_mike_j@yahoo.com</v>
      </c>
      <c r="C195" s="9" t="str">
        <f ca="1">IFERROR(__xludf.DUMMYFUNCTION("""COMPUTED_VALUE"""),"EVERGREEN - UAN Gated Content - Embedded Petition")</f>
        <v>EVERGREEN - UAN Gated Content - Embedded Petition</v>
      </c>
      <c r="D195" s="10">
        <f ca="1">IFERROR(__xludf.DUMMYFUNCTION("""COMPUTED_VALUE"""),45675)</f>
        <v>45675</v>
      </c>
      <c r="E195" s="1" t="str">
        <f ca="1">IFERROR(__xludf.DUMMYFUNCTION("""COMPUTED_VALUE"""),"Egypt")</f>
        <v>Egypt</v>
      </c>
      <c r="F195" s="1" t="str">
        <f ca="1">IFERROR(__xludf.DUMMYFUNCTION("""COMPUTED_VALUE"""),"Ninth 190.18 Egypt")</f>
        <v>Ninth 190.18 Egypt</v>
      </c>
      <c r="G195" s="1" t="str">
        <f ca="1">IFERROR(__xludf.DUMMYFUNCTION("""COMPUTED_VALUE"""),"Freedom of Expression, Individuals At Risk")</f>
        <v>Freedom of Expression, Individuals At Risk</v>
      </c>
      <c r="H195" s="1" t="str">
        <f ca="1">IFERROR(__xludf.DUMMYFUNCTION("""COMPUTED_VALUE"""),"2024")</f>
        <v>2024</v>
      </c>
      <c r="I195" s="1" t="str">
        <f ca="1">IFERROR(__xludf.DUMMYFUNCTION("""COMPUTED_VALUE"""),"Letter")</f>
        <v>Letter</v>
      </c>
    </row>
    <row r="196" spans="1:9" ht="13" x14ac:dyDescent="0.15">
      <c r="A196" s="9">
        <f ca="1">IFERROR(__xludf.DUMMYFUNCTION("""COMPUTED_VALUE"""),30367414)</f>
        <v>30367414</v>
      </c>
      <c r="B196" s="1" t="str">
        <f ca="1">IFERROR(__xludf.DUMMYFUNCTION("""COMPUTED_VALUE"""),"dowling_mike_j@yahoo.com")</f>
        <v>dowling_mike_j@yahoo.com</v>
      </c>
      <c r="C196" s="9" t="str">
        <f ca="1">IFERROR(__xludf.DUMMYFUNCTION("""COMPUTED_VALUE"""),"EVERGREEN - UAN Gated Content - Embedded Petition")</f>
        <v>EVERGREEN - UAN Gated Content - Embedded Petition</v>
      </c>
      <c r="D196" s="10">
        <f ca="1">IFERROR(__xludf.DUMMYFUNCTION("""COMPUTED_VALUE"""),45675)</f>
        <v>45675</v>
      </c>
      <c r="E196" s="1" t="str">
        <f ca="1">IFERROR(__xludf.DUMMYFUNCTION("""COMPUTED_VALUE"""),"USA")</f>
        <v>USA</v>
      </c>
      <c r="F196" s="1" t="str">
        <f ca="1">IFERROR(__xludf.DUMMYFUNCTION("""COMPUTED_VALUE"""),"105.24 USA")</f>
        <v>105.24 USA</v>
      </c>
      <c r="G196" s="1" t="str">
        <f ca="1">IFERROR(__xludf.DUMMYFUNCTION("""COMPUTED_VALUE"""),"Death Penalty")</f>
        <v>Death Penalty</v>
      </c>
      <c r="H196" s="1" t="str">
        <f ca="1">IFERROR(__xludf.DUMMYFUNCTION("""COMPUTED_VALUE"""),"2024")</f>
        <v>2024</v>
      </c>
      <c r="I196" s="1" t="str">
        <f ca="1">IFERROR(__xludf.DUMMYFUNCTION("""COMPUTED_VALUE"""),"Email")</f>
        <v>Email</v>
      </c>
    </row>
    <row r="197" spans="1:9" ht="13" x14ac:dyDescent="0.15">
      <c r="A197" s="9">
        <f ca="1">IFERROR(__xludf.DUMMYFUNCTION("""COMPUTED_VALUE"""),30367414)</f>
        <v>30367414</v>
      </c>
      <c r="B197" s="1" t="str">
        <f ca="1">IFERROR(__xludf.DUMMYFUNCTION("""COMPUTED_VALUE"""),"dowling_mike_j@yahoo.com")</f>
        <v>dowling_mike_j@yahoo.com</v>
      </c>
      <c r="C197" s="9" t="str">
        <f ca="1">IFERROR(__xludf.DUMMYFUNCTION("""COMPUTED_VALUE"""),"EVERGREEN - UAN Gated Content - Embedded Petition")</f>
        <v>EVERGREEN - UAN Gated Content - Embedded Petition</v>
      </c>
      <c r="D197" s="10">
        <f ca="1">IFERROR(__xludf.DUMMYFUNCTION("""COMPUTED_VALUE"""),45675)</f>
        <v>45675</v>
      </c>
      <c r="E197" s="1" t="str">
        <f ca="1">IFERROR(__xludf.DUMMYFUNCTION("""COMPUTED_VALUE"""),"China")</f>
        <v>China</v>
      </c>
      <c r="F197" s="1" t="str">
        <f ca="1">IFERROR(__xludf.DUMMYFUNCTION("""COMPUTED_VALUE"""),"98.24 China")</f>
        <v>98.24 China</v>
      </c>
      <c r="G197" s="1" t="str">
        <f ca="1">IFERROR(__xludf.DUMMYFUNCTION("""COMPUTED_VALUE"""),"Freedom of Expression, Individuals At Risk")</f>
        <v>Freedom of Expression, Individuals At Risk</v>
      </c>
      <c r="H197" s="1" t="str">
        <f ca="1">IFERROR(__xludf.DUMMYFUNCTION("""COMPUTED_VALUE"""),"2024")</f>
        <v>2024</v>
      </c>
      <c r="I197" s="1" t="str">
        <f ca="1">IFERROR(__xludf.DUMMYFUNCTION("""COMPUTED_VALUE"""),"Letter")</f>
        <v>Letter</v>
      </c>
    </row>
    <row r="198" spans="1:9" ht="13" x14ac:dyDescent="0.15">
      <c r="A198" s="9">
        <f ca="1">IFERROR(__xludf.DUMMYFUNCTION("""COMPUTED_VALUE"""),30367414)</f>
        <v>30367414</v>
      </c>
      <c r="B198" s="1" t="str">
        <f ca="1">IFERROR(__xludf.DUMMYFUNCTION("""COMPUTED_VALUE"""),"dowling_mike_j@yahoo.com")</f>
        <v>dowling_mike_j@yahoo.com</v>
      </c>
      <c r="C198" s="9" t="str">
        <f ca="1">IFERROR(__xludf.DUMMYFUNCTION("""COMPUTED_VALUE"""),"EVERGREEN - UAN Gated Content - Embedded Petition")</f>
        <v>EVERGREEN - UAN Gated Content - Embedded Petition</v>
      </c>
      <c r="D198" s="10">
        <f ca="1">IFERROR(__xludf.DUMMYFUNCTION("""COMPUTED_VALUE"""),45703)</f>
        <v>45703</v>
      </c>
      <c r="E198" s="1" t="str">
        <f ca="1">IFERROR(__xludf.DUMMYFUNCTION("""COMPUTED_VALUE"""),"Tunisia")</f>
        <v>Tunisia</v>
      </c>
      <c r="F198" s="1" t="str">
        <f ca="1">IFERROR(__xludf.DUMMYFUNCTION("""COMPUTED_VALUE"""),"Second 76.24 Tunisia")</f>
        <v>Second 76.24 Tunisia</v>
      </c>
      <c r="G198" s="1" t="str">
        <f ca="1">IFERROR(__xludf.DUMMYFUNCTION("""COMPUTED_VALUE"""),"Freedom of Expression, Human Rights Defenders")</f>
        <v>Freedom of Expression, Human Rights Defenders</v>
      </c>
      <c r="H198" s="1" t="str">
        <f ca="1">IFERROR(__xludf.DUMMYFUNCTION("""COMPUTED_VALUE"""),"2025")</f>
        <v>2025</v>
      </c>
      <c r="I198" s="1" t="str">
        <f ca="1">IFERROR(__xludf.DUMMYFUNCTION("""COMPUTED_VALUE"""),"Email")</f>
        <v>Email</v>
      </c>
    </row>
    <row r="199" spans="1:9" ht="13" x14ac:dyDescent="0.15">
      <c r="A199" s="9">
        <f ca="1">IFERROR(__xludf.DUMMYFUNCTION("""COMPUTED_VALUE"""),30368454)</f>
        <v>30368454</v>
      </c>
      <c r="B199" s="1" t="str">
        <f ca="1">IFERROR(__xludf.DUMMYFUNCTION("""COMPUTED_VALUE"""),"lawinters@optonline.net")</f>
        <v>lawinters@optonline.net</v>
      </c>
      <c r="C199" s="9" t="str">
        <f ca="1">IFERROR(__xludf.DUMMYFUNCTION("""COMPUTED_VALUE"""),"EVERGREEN - UAN Gated Content - Embedded Petition")</f>
        <v>EVERGREEN - UAN Gated Content - Embedded Petition</v>
      </c>
      <c r="D199" s="10">
        <f ca="1">IFERROR(__xludf.DUMMYFUNCTION("""COMPUTED_VALUE"""),45616)</f>
        <v>45616</v>
      </c>
      <c r="E199" s="1" t="str">
        <f ca="1">IFERROR(__xludf.DUMMYFUNCTION("""COMPUTED_VALUE"""),"Tunisia")</f>
        <v>Tunisia</v>
      </c>
      <c r="F199" s="1" t="str">
        <f ca="1">IFERROR(__xludf.DUMMYFUNCTION("""COMPUTED_VALUE"""),"Second 76.24 Tunisia")</f>
        <v>Second 76.24 Tunisia</v>
      </c>
      <c r="G199" s="1" t="str">
        <f ca="1">IFERROR(__xludf.DUMMYFUNCTION("""COMPUTED_VALUE"""),"Freedom of Expression, Human Rights Defenders")</f>
        <v>Freedom of Expression, Human Rights Defenders</v>
      </c>
      <c r="H199" s="1" t="str">
        <f ca="1">IFERROR(__xludf.DUMMYFUNCTION("""COMPUTED_VALUE"""),"2025")</f>
        <v>2025</v>
      </c>
      <c r="I199" s="1" t="str">
        <f ca="1">IFERROR(__xludf.DUMMYFUNCTION("""COMPUTED_VALUE"""),"Email")</f>
        <v>Email</v>
      </c>
    </row>
    <row r="200" spans="1:9" ht="13" x14ac:dyDescent="0.15">
      <c r="A200" s="9">
        <f ca="1">IFERROR(__xludf.DUMMYFUNCTION("""COMPUTED_VALUE"""),30372739)</f>
        <v>30372739</v>
      </c>
      <c r="B200" s="1" t="str">
        <f ca="1">IFERROR(__xludf.DUMMYFUNCTION("""COMPUTED_VALUE"""),"caryn@lmi.net")</f>
        <v>caryn@lmi.net</v>
      </c>
      <c r="C200" s="9" t="str">
        <f ca="1">IFERROR(__xludf.DUMMYFUNCTION("""COMPUTED_VALUE"""),"EVERGREEN - UAN Gated Content - Embedded Petition")</f>
        <v>EVERGREEN - UAN Gated Content - Embedded Petition</v>
      </c>
      <c r="D200" s="10">
        <f ca="1">IFERROR(__xludf.DUMMYFUNCTION("""COMPUTED_VALUE"""),45636)</f>
        <v>45636</v>
      </c>
      <c r="E200" s="1" t="str">
        <f ca="1">IFERROR(__xludf.DUMMYFUNCTION("""COMPUTED_VALUE"""),"Venezuela")</f>
        <v>Venezuela</v>
      </c>
      <c r="F200" s="1" t="str">
        <f ca="1">IFERROR(__xludf.DUMMYFUNCTION("""COMPUTED_VALUE"""),"97.24 Venezuela")</f>
        <v>97.24 Venezuela</v>
      </c>
      <c r="G200" s="1" t="str">
        <f ca="1">IFERROR(__xludf.DUMMYFUNCTION("""COMPUTED_VALUE"""),"Freedom of Expression")</f>
        <v>Freedom of Expression</v>
      </c>
      <c r="H200" s="1" t="str">
        <f ca="1">IFERROR(__xludf.DUMMYFUNCTION("""COMPUTED_VALUE"""),"2024")</f>
        <v>2024</v>
      </c>
      <c r="I200" s="1" t="str">
        <f ca="1">IFERROR(__xludf.DUMMYFUNCTION("""COMPUTED_VALUE"""),"Letter")</f>
        <v>Letter</v>
      </c>
    </row>
    <row r="201" spans="1:9" ht="13" x14ac:dyDescent="0.15">
      <c r="A201" s="9">
        <f ca="1">IFERROR(__xludf.DUMMYFUNCTION("""COMPUTED_VALUE"""),30372739)</f>
        <v>30372739</v>
      </c>
      <c r="B201" s="1" t="str">
        <f ca="1">IFERROR(__xludf.DUMMYFUNCTION("""COMPUTED_VALUE"""),"caryn@lmi.net")</f>
        <v>caryn@lmi.net</v>
      </c>
      <c r="C201" s="9" t="str">
        <f ca="1">IFERROR(__xludf.DUMMYFUNCTION("""COMPUTED_VALUE"""),"EVERGREEN - UAN Gated Content - Embedded Petition")</f>
        <v>EVERGREEN - UAN Gated Content - Embedded Petition</v>
      </c>
      <c r="D201" s="10">
        <f ca="1">IFERROR(__xludf.DUMMYFUNCTION("""COMPUTED_VALUE"""),45702)</f>
        <v>45702</v>
      </c>
      <c r="E201" s="1" t="str">
        <f ca="1">IFERROR(__xludf.DUMMYFUNCTION("""COMPUTED_VALUE"""),"Iran")</f>
        <v>Iran</v>
      </c>
      <c r="F201" s="1" t="str">
        <f ca="1">IFERROR(__xludf.DUMMYFUNCTION("""COMPUTED_VALUE"""),"101.24 Iran")</f>
        <v>101.24 Iran</v>
      </c>
      <c r="G201" s="1" t="str">
        <f ca="1">IFERROR(__xludf.DUMMYFUNCTION("""COMPUTED_VALUE"""),"Death Penalty, Freedom of Expression, Individuals At Risk, Right to Protest")</f>
        <v>Death Penalty, Freedom of Expression, Individuals At Risk, Right to Protest</v>
      </c>
      <c r="H201" s="1" t="str">
        <f ca="1">IFERROR(__xludf.DUMMYFUNCTION("""COMPUTED_VALUE"""),"2024")</f>
        <v>2024</v>
      </c>
      <c r="I201" s="1" t="str">
        <f ca="1">IFERROR(__xludf.DUMMYFUNCTION("""COMPUTED_VALUE"""),"Email")</f>
        <v>Email</v>
      </c>
    </row>
    <row r="202" spans="1:9" ht="13" x14ac:dyDescent="0.15">
      <c r="A202" s="9">
        <f ca="1">IFERROR(__xludf.DUMMYFUNCTION("""COMPUTED_VALUE"""),30372739)</f>
        <v>30372739</v>
      </c>
      <c r="B202" s="1" t="str">
        <f ca="1">IFERROR(__xludf.DUMMYFUNCTION("""COMPUTED_VALUE"""),"caryn@lmi.net")</f>
        <v>caryn@lmi.net</v>
      </c>
      <c r="C202" s="9" t="str">
        <f ca="1">IFERROR(__xludf.DUMMYFUNCTION("""COMPUTED_VALUE"""),"EVERGREEN - UAN Gated Content - Embedded Petition")</f>
        <v>EVERGREEN - UAN Gated Content - Embedded Petition</v>
      </c>
      <c r="D202" s="10">
        <f ca="1">IFERROR(__xludf.DUMMYFUNCTION("""COMPUTED_VALUE"""),45636)</f>
        <v>45636</v>
      </c>
      <c r="E202" s="1" t="str">
        <f ca="1">IFERROR(__xludf.DUMMYFUNCTION("""COMPUTED_VALUE"""),"Uganda")</f>
        <v>Uganda</v>
      </c>
      <c r="F202" s="1" t="str">
        <f ca="1">IFERROR(__xludf.DUMMYFUNCTION("""COMPUTED_VALUE"""),"100.24 Uganda")</f>
        <v>100.24 Uganda</v>
      </c>
      <c r="G202" s="1" t="str">
        <f ca="1">IFERROR(__xludf.DUMMYFUNCTION("""COMPUTED_VALUE"""),"Freedom of Expression")</f>
        <v>Freedom of Expression</v>
      </c>
      <c r="H202" s="1" t="str">
        <f ca="1">IFERROR(__xludf.DUMMYFUNCTION("""COMPUTED_VALUE"""),"2024")</f>
        <v>2024</v>
      </c>
      <c r="I202" s="1" t="str">
        <f ca="1">IFERROR(__xludf.DUMMYFUNCTION("""COMPUTED_VALUE"""),"Email")</f>
        <v>Email</v>
      </c>
    </row>
    <row r="203" spans="1:9" ht="13" x14ac:dyDescent="0.15">
      <c r="A203" s="9">
        <f ca="1">IFERROR(__xludf.DUMMYFUNCTION("""COMPUTED_VALUE"""),30372739)</f>
        <v>30372739</v>
      </c>
      <c r="B203" s="1" t="str">
        <f ca="1">IFERROR(__xludf.DUMMYFUNCTION("""COMPUTED_VALUE"""),"caryn@lmi.net")</f>
        <v>caryn@lmi.net</v>
      </c>
      <c r="C203" s="9" t="str">
        <f ca="1">IFERROR(__xludf.DUMMYFUNCTION("""COMPUTED_VALUE"""),"EVERGREEN - UAN Gated Content - Embedded Petition")</f>
        <v>EVERGREEN - UAN Gated Content - Embedded Petition</v>
      </c>
      <c r="D203" s="10">
        <f ca="1">IFERROR(__xludf.DUMMYFUNCTION("""COMPUTED_VALUE"""),45636)</f>
        <v>45636</v>
      </c>
      <c r="E203" s="1" t="str">
        <f ca="1">IFERROR(__xludf.DUMMYFUNCTION("""COMPUTED_VALUE"""),"Russian Federation")</f>
        <v>Russian Federation</v>
      </c>
      <c r="F203" s="1" t="str">
        <f ca="1">IFERROR(__xludf.DUMMYFUNCTION("""COMPUTED_VALUE"""),"102.24 Russia")</f>
        <v>102.24 Russia</v>
      </c>
      <c r="G203" s="1" t="str">
        <f ca="1">IFERROR(__xludf.DUMMYFUNCTION("""COMPUTED_VALUE"""),"Freedom of Expression, Individuals At Risk, Right to Protest")</f>
        <v>Freedom of Expression, Individuals At Risk, Right to Protest</v>
      </c>
      <c r="H203" s="1" t="str">
        <f ca="1">IFERROR(__xludf.DUMMYFUNCTION("""COMPUTED_VALUE"""),"2024")</f>
        <v>2024</v>
      </c>
      <c r="I203" s="1" t="str">
        <f ca="1">IFERROR(__xludf.DUMMYFUNCTION("""COMPUTED_VALUE"""),"Email")</f>
        <v>Email</v>
      </c>
    </row>
    <row r="204" spans="1:9" ht="13" x14ac:dyDescent="0.15">
      <c r="A204" s="9">
        <f ca="1">IFERROR(__xludf.DUMMYFUNCTION("""COMPUTED_VALUE"""),30372739)</f>
        <v>30372739</v>
      </c>
      <c r="B204" s="1" t="str">
        <f ca="1">IFERROR(__xludf.DUMMYFUNCTION("""COMPUTED_VALUE"""),"caryn@lmi.net")</f>
        <v>caryn@lmi.net</v>
      </c>
      <c r="C204" s="9" t="str">
        <f ca="1">IFERROR(__xludf.DUMMYFUNCTION("""COMPUTED_VALUE"""),"EVERGREEN - UAN Gated Content - Embedded Petition")</f>
        <v>EVERGREEN - UAN Gated Content - Embedded Petition</v>
      </c>
      <c r="D204" s="10">
        <f ca="1">IFERROR(__xludf.DUMMYFUNCTION("""COMPUTED_VALUE"""),45636)</f>
        <v>45636</v>
      </c>
      <c r="E204" s="1" t="str">
        <f ca="1">IFERROR(__xludf.DUMMYFUNCTION("""COMPUTED_VALUE"""),"Egypt")</f>
        <v>Egypt</v>
      </c>
      <c r="F204" s="1" t="str">
        <f ca="1">IFERROR(__xludf.DUMMYFUNCTION("""COMPUTED_VALUE"""),"Fourth 29.23 Egypt")</f>
        <v>Fourth 29.23 Egypt</v>
      </c>
      <c r="G204" s="1" t="str">
        <f ca="1">IFERROR(__xludf.DUMMYFUNCTION("""COMPUTED_VALUE"""),"Freedom of Expression, Individuals At Risk, Right to Protest")</f>
        <v>Freedom of Expression, Individuals At Risk, Right to Protest</v>
      </c>
      <c r="H204" s="1" t="str">
        <f ca="1">IFERROR(__xludf.DUMMYFUNCTION("""COMPUTED_VALUE"""),"2024")</f>
        <v>2024</v>
      </c>
      <c r="I204" s="1" t="str">
        <f ca="1">IFERROR(__xludf.DUMMYFUNCTION("""COMPUTED_VALUE"""),"Email")</f>
        <v>Email</v>
      </c>
    </row>
    <row r="205" spans="1:9" ht="13" x14ac:dyDescent="0.15">
      <c r="A205" s="9">
        <f ca="1">IFERROR(__xludf.DUMMYFUNCTION("""COMPUTED_VALUE"""),30375955)</f>
        <v>30375955</v>
      </c>
      <c r="B205" s="1" t="str">
        <f ca="1">IFERROR(__xludf.DUMMYFUNCTION("""COMPUTED_VALUE"""),"jmihevc@barrington220.org")</f>
        <v>jmihevc@barrington220.org</v>
      </c>
      <c r="C205" s="9" t="str">
        <f ca="1">IFERROR(__xludf.DUMMYFUNCTION("""COMPUTED_VALUE"""),"EVERGREEN - UAN Gated Content - Embedded Petition")</f>
        <v>EVERGREEN - UAN Gated Content - Embedded Petition</v>
      </c>
      <c r="D205" s="10">
        <f ca="1">IFERROR(__xludf.DUMMYFUNCTION("""COMPUTED_VALUE"""),45698)</f>
        <v>45698</v>
      </c>
      <c r="E205" s="1" t="str">
        <f ca="1">IFERROR(__xludf.DUMMYFUNCTION("""COMPUTED_VALUE"""),"Dominican Republic")</f>
        <v>Dominican Republic</v>
      </c>
      <c r="F205" s="1" t="str">
        <f ca="1">IFERROR(__xludf.DUMMYFUNCTION("""COMPUTED_VALUE"""),"88.24 Dominican Republic")</f>
        <v>88.24 Dominican Republic</v>
      </c>
      <c r="G205" s="1" t="str">
        <f ca="1">IFERROR(__xludf.DUMMYFUNCTION("""COMPUTED_VALUE"""),"Individuals At Risk, Refugee and Migrant Rights")</f>
        <v>Individuals At Risk, Refugee and Migrant Rights</v>
      </c>
      <c r="H205" s="1" t="str">
        <f ca="1">IFERROR(__xludf.DUMMYFUNCTION("""COMPUTED_VALUE"""),"2024")</f>
        <v>2024</v>
      </c>
      <c r="I205" s="1" t="str">
        <f ca="1">IFERROR(__xludf.DUMMYFUNCTION("""COMPUTED_VALUE"""),"Letter")</f>
        <v>Letter</v>
      </c>
    </row>
    <row r="206" spans="1:9" ht="13" x14ac:dyDescent="0.15">
      <c r="A206" s="9">
        <f ca="1">IFERROR(__xludf.DUMMYFUNCTION("""COMPUTED_VALUE"""),30375955)</f>
        <v>30375955</v>
      </c>
      <c r="B206" s="1" t="str">
        <f ca="1">IFERROR(__xludf.DUMMYFUNCTION("""COMPUTED_VALUE"""),"jmihevc@barrington220.org")</f>
        <v>jmihevc@barrington220.org</v>
      </c>
      <c r="C206" s="9" t="str">
        <f ca="1">IFERROR(__xludf.DUMMYFUNCTION("""COMPUTED_VALUE"""),"EVERGREEN - UAN Gated Content - Embedded Petition")</f>
        <v>EVERGREEN - UAN Gated Content - Embedded Petition</v>
      </c>
      <c r="D206" s="10">
        <f ca="1">IFERROR(__xludf.DUMMYFUNCTION("""COMPUTED_VALUE"""),45684)</f>
        <v>45684</v>
      </c>
      <c r="E206" s="1" t="str">
        <f ca="1">IFERROR(__xludf.DUMMYFUNCTION("""COMPUTED_VALUE"""),"Saudi Arabia")</f>
        <v>Saudi Arabia</v>
      </c>
      <c r="F206" s="1" t="str">
        <f ca="1">IFERROR(__xludf.DUMMYFUNCTION("""COMPUTED_VALUE"""),"Second 85.23 Saudi Arabia")</f>
        <v>Second 85.23 Saudi Arabia</v>
      </c>
      <c r="G206" s="1" t="str">
        <f ca="1">IFERROR(__xludf.DUMMYFUNCTION("""COMPUTED_VALUE"""),"Freedom of Expression")</f>
        <v>Freedom of Expression</v>
      </c>
      <c r="H206" s="1" t="str">
        <f ca="1">IFERROR(__xludf.DUMMYFUNCTION("""COMPUTED_VALUE"""),"2024")</f>
        <v>2024</v>
      </c>
      <c r="I206" s="1" t="str">
        <f ca="1">IFERROR(__xludf.DUMMYFUNCTION("""COMPUTED_VALUE"""),"Letter")</f>
        <v>Letter</v>
      </c>
    </row>
    <row r="207" spans="1:9" ht="13" x14ac:dyDescent="0.15">
      <c r="A207" s="9">
        <f ca="1">IFERROR(__xludf.DUMMYFUNCTION("""COMPUTED_VALUE"""),30375955)</f>
        <v>30375955</v>
      </c>
      <c r="B207" s="1" t="str">
        <f ca="1">IFERROR(__xludf.DUMMYFUNCTION("""COMPUTED_VALUE"""),"jmihevc@barrington220.org")</f>
        <v>jmihevc@barrington220.org</v>
      </c>
      <c r="C207" s="9" t="str">
        <f ca="1">IFERROR(__xludf.DUMMYFUNCTION("""COMPUTED_VALUE"""),"EVERGREEN - UAN Gated Content - Embedded Petition")</f>
        <v>EVERGREEN - UAN Gated Content - Embedded Petition</v>
      </c>
      <c r="D207" s="10">
        <f ca="1">IFERROR(__xludf.DUMMYFUNCTION("""COMPUTED_VALUE"""),45691)</f>
        <v>45691</v>
      </c>
      <c r="E207" s="1" t="str">
        <f ca="1">IFERROR(__xludf.DUMMYFUNCTION("""COMPUTED_VALUE"""),"Singapore")</f>
        <v>Singapore</v>
      </c>
      <c r="F207" s="1" t="str">
        <f ca="1">IFERROR(__xludf.DUMMYFUNCTION("""COMPUTED_VALUE"""),"107.24 Singapore")</f>
        <v>107.24 Singapore</v>
      </c>
      <c r="G207" s="1" t="str">
        <f ca="1">IFERROR(__xludf.DUMMYFUNCTION("""COMPUTED_VALUE"""),"Death Penalty")</f>
        <v>Death Penalty</v>
      </c>
      <c r="H207" s="1" t="str">
        <f ca="1">IFERROR(__xludf.DUMMYFUNCTION("""COMPUTED_VALUE"""),"2024")</f>
        <v>2024</v>
      </c>
      <c r="I207" s="1" t="str">
        <f ca="1">IFERROR(__xludf.DUMMYFUNCTION("""COMPUTED_VALUE"""),"Email")</f>
        <v>Email</v>
      </c>
    </row>
    <row r="208" spans="1:9" ht="13" x14ac:dyDescent="0.15">
      <c r="A208" s="9">
        <f ca="1">IFERROR(__xludf.DUMMYFUNCTION("""COMPUTED_VALUE"""),30375955)</f>
        <v>30375955</v>
      </c>
      <c r="B208" s="1" t="str">
        <f ca="1">IFERROR(__xludf.DUMMYFUNCTION("""COMPUTED_VALUE"""),"jmihevc@barrington220.org")</f>
        <v>jmihevc@barrington220.org</v>
      </c>
      <c r="C208" s="9" t="str">
        <f ca="1">IFERROR(__xludf.DUMMYFUNCTION("""COMPUTED_VALUE"""),"EVERGREEN - UAN Gated Content - Embedded Petition")</f>
        <v>EVERGREEN - UAN Gated Content - Embedded Petition</v>
      </c>
      <c r="D208" s="10">
        <f ca="1">IFERROR(__xludf.DUMMYFUNCTION("""COMPUTED_VALUE"""),45670)</f>
        <v>45670</v>
      </c>
      <c r="E208" s="1" t="str">
        <f ca="1">IFERROR(__xludf.DUMMYFUNCTION("""COMPUTED_VALUE"""),"Saudi Arabia")</f>
        <v>Saudi Arabia</v>
      </c>
      <c r="F208" s="1" t="str">
        <f ca="1">IFERROR(__xludf.DUMMYFUNCTION("""COMPUTED_VALUE"""),"104.24 Saudi Arabia")</f>
        <v>104.24 Saudi Arabia</v>
      </c>
      <c r="G208" s="1" t="str">
        <f ca="1">IFERROR(__xludf.DUMMYFUNCTION("""COMPUTED_VALUE"""),"Individuals At Risk, Refugee and Migrant Rights")</f>
        <v>Individuals At Risk, Refugee and Migrant Rights</v>
      </c>
      <c r="H208" s="1" t="str">
        <f ca="1">IFERROR(__xludf.DUMMYFUNCTION("""COMPUTED_VALUE"""),"2024")</f>
        <v>2024</v>
      </c>
      <c r="I208" s="1" t="str">
        <f ca="1">IFERROR(__xludf.DUMMYFUNCTION("""COMPUTED_VALUE"""),"Email")</f>
        <v>Email</v>
      </c>
    </row>
    <row r="209" spans="1:9" ht="13" x14ac:dyDescent="0.15">
      <c r="A209" s="9">
        <f ca="1">IFERROR(__xludf.DUMMYFUNCTION("""COMPUTED_VALUE"""),30375955)</f>
        <v>30375955</v>
      </c>
      <c r="B209" s="1" t="str">
        <f ca="1">IFERROR(__xludf.DUMMYFUNCTION("""COMPUTED_VALUE"""),"jmihevc@barrington220.org")</f>
        <v>jmihevc@barrington220.org</v>
      </c>
      <c r="C209" s="9" t="str">
        <f ca="1">IFERROR(__xludf.DUMMYFUNCTION("""COMPUTED_VALUE"""),"EVERGREEN - UAN Gated Content - Embedded Petition")</f>
        <v>EVERGREEN - UAN Gated Content - Embedded Petition</v>
      </c>
      <c r="D209" s="10">
        <f ca="1">IFERROR(__xludf.DUMMYFUNCTION("""COMPUTED_VALUE"""),45628)</f>
        <v>45628</v>
      </c>
      <c r="E209" s="1" t="str">
        <f ca="1">IFERROR(__xludf.DUMMYFUNCTION("""COMPUTED_VALUE"""),"Venezuela")</f>
        <v>Venezuela</v>
      </c>
      <c r="F209" s="1" t="str">
        <f ca="1">IFERROR(__xludf.DUMMYFUNCTION("""COMPUTED_VALUE"""),"1.25 Venezuela")</f>
        <v>1.25 Venezuela</v>
      </c>
      <c r="G209" s="1" t="str">
        <f ca="1">IFERROR(__xludf.DUMMYFUNCTION("""COMPUTED_VALUE"""),"Human Rights Defenders, Individuals At Risk")</f>
        <v>Human Rights Defenders, Individuals At Risk</v>
      </c>
      <c r="H209" s="1" t="str">
        <f ca="1">IFERROR(__xludf.DUMMYFUNCTION("""COMPUTED_VALUE"""),"2025")</f>
        <v>2025</v>
      </c>
      <c r="I209" s="1" t="str">
        <f ca="1">IFERROR(__xludf.DUMMYFUNCTION("""COMPUTED_VALUE"""),"Letter")</f>
        <v>Letter</v>
      </c>
    </row>
    <row r="210" spans="1:9" ht="13" x14ac:dyDescent="0.15">
      <c r="A210" s="9">
        <f ca="1">IFERROR(__xludf.DUMMYFUNCTION("""COMPUTED_VALUE"""),30375955)</f>
        <v>30375955</v>
      </c>
      <c r="B210" s="1" t="str">
        <f ca="1">IFERROR(__xludf.DUMMYFUNCTION("""COMPUTED_VALUE"""),"jmihevc@barrington220.org")</f>
        <v>jmihevc@barrington220.org</v>
      </c>
      <c r="C210" s="9" t="str">
        <f ca="1">IFERROR(__xludf.DUMMYFUNCTION("""COMPUTED_VALUE"""),"EVERGREEN - UAN Gated Content - Embedded Petition")</f>
        <v>EVERGREEN - UAN Gated Content - Embedded Petition</v>
      </c>
      <c r="D210" s="10">
        <f ca="1">IFERROR(__xludf.DUMMYFUNCTION("""COMPUTED_VALUE"""),45621)</f>
        <v>45621</v>
      </c>
      <c r="E210" s="1" t="str">
        <f ca="1">IFERROR(__xludf.DUMMYFUNCTION("""COMPUTED_VALUE"""),"Azerbaijan")</f>
        <v>Azerbaijan</v>
      </c>
      <c r="F210" s="1" t="str">
        <f ca="1">IFERROR(__xludf.DUMMYFUNCTION("""COMPUTED_VALUE"""),"2.25 Azerbaijan")</f>
        <v>2.25 Azerbaijan</v>
      </c>
      <c r="G210" s="1" t="str">
        <f ca="1">IFERROR(__xludf.DUMMYFUNCTION("""COMPUTED_VALUE"""),"Freedom of Expression, Human Rights Defenders")</f>
        <v>Freedom of Expression, Human Rights Defenders</v>
      </c>
      <c r="H210" s="1" t="str">
        <f ca="1">IFERROR(__xludf.DUMMYFUNCTION("""COMPUTED_VALUE"""),"2025")</f>
        <v>2025</v>
      </c>
      <c r="I210" s="1" t="str">
        <f ca="1">IFERROR(__xludf.DUMMYFUNCTION("""COMPUTED_VALUE"""),"Email")</f>
        <v>Email</v>
      </c>
    </row>
    <row r="211" spans="1:9" ht="13" x14ac:dyDescent="0.15">
      <c r="A211" s="9">
        <f ca="1">IFERROR(__xludf.DUMMYFUNCTION("""COMPUTED_VALUE"""),30375955)</f>
        <v>30375955</v>
      </c>
      <c r="B211" s="1" t="str">
        <f ca="1">IFERROR(__xludf.DUMMYFUNCTION("""COMPUTED_VALUE"""),"jmihevc@barrington220.org")</f>
        <v>jmihevc@barrington220.org</v>
      </c>
      <c r="C211" s="9" t="str">
        <f ca="1">IFERROR(__xludf.DUMMYFUNCTION("""COMPUTED_VALUE"""),"EVERGREEN - UAN Gated Content - Embedded Petition")</f>
        <v>EVERGREEN - UAN Gated Content - Embedded Petition</v>
      </c>
      <c r="D211" s="10">
        <f ca="1">IFERROR(__xludf.DUMMYFUNCTION("""COMPUTED_VALUE"""),45635)</f>
        <v>45635</v>
      </c>
      <c r="E211" s="1" t="str">
        <f ca="1">IFERROR(__xludf.DUMMYFUNCTION("""COMPUTED_VALUE"""),"Iran")</f>
        <v>Iran</v>
      </c>
      <c r="F211" s="1" t="str">
        <f ca="1">IFERROR(__xludf.DUMMYFUNCTION("""COMPUTED_VALUE"""),"Seventh 103.22 Iran")</f>
        <v>Seventh 103.22 Iran</v>
      </c>
      <c r="G211" s="1" t="str">
        <f ca="1">IFERROR(__xludf.DUMMYFUNCTION("""COMPUTED_VALUE"""),"Death Penalty, Freedom of Expression, Individuals At Risk")</f>
        <v>Death Penalty, Freedom of Expression, Individuals At Risk</v>
      </c>
      <c r="H211" s="1" t="str">
        <f ca="1">IFERROR(__xludf.DUMMYFUNCTION("""COMPUTED_VALUE"""),"2024")</f>
        <v>2024</v>
      </c>
      <c r="I211" s="1" t="str">
        <f ca="1">IFERROR(__xludf.DUMMYFUNCTION("""COMPUTED_VALUE"""),"Email")</f>
        <v>Email</v>
      </c>
    </row>
    <row r="212" spans="1:9" ht="13" x14ac:dyDescent="0.15">
      <c r="A212" s="9">
        <f ca="1">IFERROR(__xludf.DUMMYFUNCTION("""COMPUTED_VALUE"""),30516885)</f>
        <v>30516885</v>
      </c>
      <c r="B212" s="1" t="str">
        <f ca="1">IFERROR(__xludf.DUMMYFUNCTION("""COMPUTED_VALUE"""),"jgintzler@hotmail.com")</f>
        <v>jgintzler@hotmail.com</v>
      </c>
      <c r="C212" s="9" t="str">
        <f ca="1">IFERROR(__xludf.DUMMYFUNCTION("""COMPUTED_VALUE"""),"EVERGREEN - UAN Gated Content - Embedded Petition")</f>
        <v>EVERGREEN - UAN Gated Content - Embedded Petition</v>
      </c>
      <c r="D212" s="10">
        <f ca="1">IFERROR(__xludf.DUMMYFUNCTION("""COMPUTED_VALUE"""),45695)</f>
        <v>45695</v>
      </c>
      <c r="E212" s="1" t="str">
        <f ca="1">IFERROR(__xludf.DUMMYFUNCTION("""COMPUTED_VALUE"""),"Niger")</f>
        <v>Niger</v>
      </c>
      <c r="F212" s="1" t="str">
        <f ca="1">IFERROR(__xludf.DUMMYFUNCTION("""COMPUTED_VALUE"""),"103.24 Niger")</f>
        <v>103.24 Niger</v>
      </c>
      <c r="G212" s="1" t="str">
        <f ca="1">IFERROR(__xludf.DUMMYFUNCTION("""COMPUTED_VALUE"""),"Freedom of Expression, Human Rights Defenders")</f>
        <v>Freedom of Expression, Human Rights Defenders</v>
      </c>
      <c r="H212" s="1" t="str">
        <f ca="1">IFERROR(__xludf.DUMMYFUNCTION("""COMPUTED_VALUE"""),"2024")</f>
        <v>2024</v>
      </c>
      <c r="I212" s="1" t="str">
        <f ca="1">IFERROR(__xludf.DUMMYFUNCTION("""COMPUTED_VALUE"""),"Email")</f>
        <v>Email</v>
      </c>
    </row>
    <row r="213" spans="1:9" ht="13" x14ac:dyDescent="0.15">
      <c r="A213" s="9">
        <f ca="1">IFERROR(__xludf.DUMMYFUNCTION("""COMPUTED_VALUE"""),30516885)</f>
        <v>30516885</v>
      </c>
      <c r="B213" s="1" t="str">
        <f ca="1">IFERROR(__xludf.DUMMYFUNCTION("""COMPUTED_VALUE"""),"jgintzler@hotmail.com")</f>
        <v>jgintzler@hotmail.com</v>
      </c>
      <c r="C213" s="9" t="str">
        <f ca="1">IFERROR(__xludf.DUMMYFUNCTION("""COMPUTED_VALUE"""),"EVERGREEN - UAN Gated Content - Embedded Petition")</f>
        <v>EVERGREEN - UAN Gated Content - Embedded Petition</v>
      </c>
      <c r="D213" s="10">
        <f ca="1">IFERROR(__xludf.DUMMYFUNCTION("""COMPUTED_VALUE"""),45616)</f>
        <v>45616</v>
      </c>
      <c r="E213" s="1" t="str">
        <f ca="1">IFERROR(__xludf.DUMMYFUNCTION("""COMPUTED_VALUE"""),"Egypt")</f>
        <v>Egypt</v>
      </c>
      <c r="F213" s="1" t="str">
        <f ca="1">IFERROR(__xludf.DUMMYFUNCTION("""COMPUTED_VALUE"""),"Third 73.23 Egypt")</f>
        <v>Third 73.23 Egypt</v>
      </c>
      <c r="G213" s="1" t="str">
        <f ca="1">IFERROR(__xludf.DUMMYFUNCTION("""COMPUTED_VALUE"""),"Individuals At Risk")</f>
        <v>Individuals At Risk</v>
      </c>
      <c r="H213" s="1" t="str">
        <f ca="1">IFERROR(__xludf.DUMMYFUNCTION("""COMPUTED_VALUE"""),"2024")</f>
        <v>2024</v>
      </c>
      <c r="I213" s="1" t="str">
        <f ca="1">IFERROR(__xludf.DUMMYFUNCTION("""COMPUTED_VALUE"""),"Email")</f>
        <v>Email</v>
      </c>
    </row>
    <row r="214" spans="1:9" ht="13" x14ac:dyDescent="0.15">
      <c r="A214" s="9">
        <f ca="1">IFERROR(__xludf.DUMMYFUNCTION("""COMPUTED_VALUE"""),30520444)</f>
        <v>30520444</v>
      </c>
      <c r="B214" s="1" t="str">
        <f ca="1">IFERROR(__xludf.DUMMYFUNCTION("""COMPUTED_VALUE"""),"elfyalfreda803@gmail.com")</f>
        <v>elfyalfreda803@gmail.com</v>
      </c>
      <c r="C214" s="9" t="str">
        <f ca="1">IFERROR(__xludf.DUMMYFUNCTION("""COMPUTED_VALUE"""),"EVERGREEN - UAN Gated Content - Embedded Petition")</f>
        <v>EVERGREEN - UAN Gated Content - Embedded Petition</v>
      </c>
      <c r="D214" s="10">
        <f ca="1">IFERROR(__xludf.DUMMYFUNCTION("""COMPUTED_VALUE"""),45694)</f>
        <v>45694</v>
      </c>
      <c r="E214" s="1" t="str">
        <f ca="1">IFERROR(__xludf.DUMMYFUNCTION("""COMPUTED_VALUE"""),"Turkiye")</f>
        <v>Turkiye</v>
      </c>
      <c r="F214" s="1" t="str">
        <f ca="1">IFERROR(__xludf.DUMMYFUNCTION("""COMPUTED_VALUE"""),"109.24 Türkiye")</f>
        <v>109.24 Türkiye</v>
      </c>
      <c r="G214" s="1" t="str">
        <f ca="1">IFERROR(__xludf.DUMMYFUNCTION("""COMPUTED_VALUE"""),"Human Rights Defenders, Individuals At Risk")</f>
        <v>Human Rights Defenders, Individuals At Risk</v>
      </c>
      <c r="H214" s="1" t="str">
        <f ca="1">IFERROR(__xludf.DUMMYFUNCTION("""COMPUTED_VALUE"""),"2024")</f>
        <v>2024</v>
      </c>
      <c r="I214" s="1" t="str">
        <f ca="1">IFERROR(__xludf.DUMMYFUNCTION("""COMPUTED_VALUE"""),"Email")</f>
        <v>Email</v>
      </c>
    </row>
    <row r="215" spans="1:9" ht="13" x14ac:dyDescent="0.15">
      <c r="A215" s="9">
        <f ca="1">IFERROR(__xludf.DUMMYFUNCTION("""COMPUTED_VALUE"""),30521340)</f>
        <v>30521340</v>
      </c>
      <c r="B215" s="1" t="str">
        <f ca="1">IFERROR(__xludf.DUMMYFUNCTION("""COMPUTED_VALUE"""),"cadzubak@gmail.com")</f>
        <v>cadzubak@gmail.com</v>
      </c>
      <c r="C215" s="9" t="str">
        <f ca="1">IFERROR(__xludf.DUMMYFUNCTION("""COMPUTED_VALUE"""),"EVERGREEN - UAN Gated Content - Embedded Petition")</f>
        <v>EVERGREEN - UAN Gated Content - Embedded Petition</v>
      </c>
      <c r="D215" s="10">
        <f ca="1">IFERROR(__xludf.DUMMYFUNCTION("""COMPUTED_VALUE"""),45694)</f>
        <v>45694</v>
      </c>
      <c r="E215" s="1" t="str">
        <f ca="1">IFERROR(__xludf.DUMMYFUNCTION("""COMPUTED_VALUE"""),"Niger")</f>
        <v>Niger</v>
      </c>
      <c r="F215" s="1" t="str">
        <f ca="1">IFERROR(__xludf.DUMMYFUNCTION("""COMPUTED_VALUE"""),"103.24 Niger")</f>
        <v>103.24 Niger</v>
      </c>
      <c r="G215" s="1" t="str">
        <f ca="1">IFERROR(__xludf.DUMMYFUNCTION("""COMPUTED_VALUE"""),"Freedom of Expression, Human Rights Defenders")</f>
        <v>Freedom of Expression, Human Rights Defenders</v>
      </c>
      <c r="H215" s="1" t="str">
        <f ca="1">IFERROR(__xludf.DUMMYFUNCTION("""COMPUTED_VALUE"""),"2024")</f>
        <v>2024</v>
      </c>
      <c r="I215" s="1" t="str">
        <f ca="1">IFERROR(__xludf.DUMMYFUNCTION("""COMPUTED_VALUE"""),"Email")</f>
        <v>Email</v>
      </c>
    </row>
    <row r="216" spans="1:9" ht="13" x14ac:dyDescent="0.15">
      <c r="A216" s="9">
        <f ca="1">IFERROR(__xludf.DUMMYFUNCTION("""COMPUTED_VALUE"""),30521340)</f>
        <v>30521340</v>
      </c>
      <c r="B216" s="1" t="str">
        <f ca="1">IFERROR(__xludf.DUMMYFUNCTION("""COMPUTED_VALUE"""),"cadzubak@gmail.com")</f>
        <v>cadzubak@gmail.com</v>
      </c>
      <c r="C216" s="9" t="str">
        <f ca="1">IFERROR(__xludf.DUMMYFUNCTION("""COMPUTED_VALUE"""),"EVERGREEN - UAN Gated Content - Embedded Petition")</f>
        <v>EVERGREEN - UAN Gated Content - Embedded Petition</v>
      </c>
      <c r="D216" s="10">
        <f ca="1">IFERROR(__xludf.DUMMYFUNCTION("""COMPUTED_VALUE"""),45636)</f>
        <v>45636</v>
      </c>
      <c r="E216" s="1" t="str">
        <f ca="1">IFERROR(__xludf.DUMMYFUNCTION("""COMPUTED_VALUE"""),"Niger")</f>
        <v>Niger</v>
      </c>
      <c r="F216" s="1" t="str">
        <f ca="1">IFERROR(__xludf.DUMMYFUNCTION("""COMPUTED_VALUE"""),"103.24 Niger")</f>
        <v>103.24 Niger</v>
      </c>
      <c r="G216" s="1" t="str">
        <f ca="1">IFERROR(__xludf.DUMMYFUNCTION("""COMPUTED_VALUE"""),"Freedom of Expression, Human Rights Defenders")</f>
        <v>Freedom of Expression, Human Rights Defenders</v>
      </c>
      <c r="H216" s="1" t="str">
        <f ca="1">IFERROR(__xludf.DUMMYFUNCTION("""COMPUTED_VALUE"""),"2024")</f>
        <v>2024</v>
      </c>
      <c r="I216" s="1" t="str">
        <f ca="1">IFERROR(__xludf.DUMMYFUNCTION("""COMPUTED_VALUE"""),"Email")</f>
        <v>Email</v>
      </c>
    </row>
    <row r="217" spans="1:9" ht="13" x14ac:dyDescent="0.15">
      <c r="A217" s="9">
        <f ca="1">IFERROR(__xludf.DUMMYFUNCTION("""COMPUTED_VALUE"""),30524924)</f>
        <v>30524924</v>
      </c>
      <c r="B217" s="1" t="str">
        <f ca="1">IFERROR(__xludf.DUMMYFUNCTION("""COMPUTED_VALUE"""),"ursulacohrs@gmail.com")</f>
        <v>ursulacohrs@gmail.com</v>
      </c>
      <c r="C217" s="9" t="str">
        <f ca="1">IFERROR(__xludf.DUMMYFUNCTION("""COMPUTED_VALUE"""),"EVERGREEN - UAN Gated Content - Embedded Petition")</f>
        <v>EVERGREEN - UAN Gated Content - Embedded Petition</v>
      </c>
      <c r="D217" s="10">
        <f ca="1">IFERROR(__xludf.DUMMYFUNCTION("""COMPUTED_VALUE"""),45675)</f>
        <v>45675</v>
      </c>
      <c r="E217" s="1" t="str">
        <f ca="1">IFERROR(__xludf.DUMMYFUNCTION("""COMPUTED_VALUE"""),"Tunisia")</f>
        <v>Tunisia</v>
      </c>
      <c r="F217" s="1" t="str">
        <f ca="1">IFERROR(__xludf.DUMMYFUNCTION("""COMPUTED_VALUE"""),"Second 43.24 Tunisia")</f>
        <v>Second 43.24 Tunisia</v>
      </c>
      <c r="G217" s="1" t="str">
        <f ca="1">IFERROR(__xludf.DUMMYFUNCTION("""COMPUTED_VALUE"""),"Freedom of Expression, Individuals At Risk")</f>
        <v>Freedom of Expression, Individuals At Risk</v>
      </c>
      <c r="H217" s="1" t="str">
        <f ca="1">IFERROR(__xludf.DUMMYFUNCTION("""COMPUTED_VALUE"""),"2024")</f>
        <v>2024</v>
      </c>
      <c r="I217" s="1" t="str">
        <f ca="1">IFERROR(__xludf.DUMMYFUNCTION("""COMPUTED_VALUE"""),"Email")</f>
        <v>Email</v>
      </c>
    </row>
    <row r="218" spans="1:9" ht="13" x14ac:dyDescent="0.15">
      <c r="A218" s="9">
        <f ca="1">IFERROR(__xludf.DUMMYFUNCTION("""COMPUTED_VALUE"""),30524924)</f>
        <v>30524924</v>
      </c>
      <c r="B218" s="1" t="str">
        <f ca="1">IFERROR(__xludf.DUMMYFUNCTION("""COMPUTED_VALUE"""),"ursulacohrs@gmail.com")</f>
        <v>ursulacohrs@gmail.com</v>
      </c>
      <c r="C218" s="9" t="str">
        <f ca="1">IFERROR(__xludf.DUMMYFUNCTION("""COMPUTED_VALUE"""),"EVERGREEN - UAN Gated Content - Embedded Petition")</f>
        <v>EVERGREEN - UAN Gated Content - Embedded Petition</v>
      </c>
      <c r="D218" s="10">
        <f ca="1">IFERROR(__xludf.DUMMYFUNCTION("""COMPUTED_VALUE"""),45695)</f>
        <v>45695</v>
      </c>
      <c r="E218" s="1" t="str">
        <f ca="1">IFERROR(__xludf.DUMMYFUNCTION("""COMPUTED_VALUE"""),"China")</f>
        <v>China</v>
      </c>
      <c r="F218" s="1" t="str">
        <f ca="1">IFERROR(__xludf.DUMMYFUNCTION("""COMPUTED_VALUE"""),"106.24 China")</f>
        <v>106.24 China</v>
      </c>
      <c r="G218" s="1" t="str">
        <f ca="1">IFERROR(__xludf.DUMMYFUNCTION("""COMPUTED_VALUE"""),"Freedom of Expression, Individuals At Risk")</f>
        <v>Freedom of Expression, Individuals At Risk</v>
      </c>
      <c r="H218" s="1" t="str">
        <f ca="1">IFERROR(__xludf.DUMMYFUNCTION("""COMPUTED_VALUE"""),"2024")</f>
        <v>2024</v>
      </c>
      <c r="I218" s="1" t="str">
        <f ca="1">IFERROR(__xludf.DUMMYFUNCTION("""COMPUTED_VALUE"""),"Email")</f>
        <v>Email</v>
      </c>
    </row>
    <row r="219" spans="1:9" ht="13" x14ac:dyDescent="0.15">
      <c r="A219" s="9">
        <f ca="1">IFERROR(__xludf.DUMMYFUNCTION("""COMPUTED_VALUE"""),30524924)</f>
        <v>30524924</v>
      </c>
      <c r="B219" s="1" t="str">
        <f ca="1">IFERROR(__xludf.DUMMYFUNCTION("""COMPUTED_VALUE"""),"ursulacohrs@gmail.com")</f>
        <v>ursulacohrs@gmail.com</v>
      </c>
      <c r="C219" s="9" t="str">
        <f ca="1">IFERROR(__xludf.DUMMYFUNCTION("""COMPUTED_VALUE"""),"EVERGREEN - UAN Gated Content - Embedded Petition")</f>
        <v>EVERGREEN - UAN Gated Content - Embedded Petition</v>
      </c>
      <c r="D219" s="10">
        <f ca="1">IFERROR(__xludf.DUMMYFUNCTION("""COMPUTED_VALUE"""),45637)</f>
        <v>45637</v>
      </c>
      <c r="E219" s="1" t="str">
        <f ca="1">IFERROR(__xludf.DUMMYFUNCTION("""COMPUTED_VALUE"""),"Egypt")</f>
        <v>Egypt</v>
      </c>
      <c r="F219" s="1" t="str">
        <f ca="1">IFERROR(__xludf.DUMMYFUNCTION("""COMPUTED_VALUE"""),"Ninth 190.18 Egypt")</f>
        <v>Ninth 190.18 Egypt</v>
      </c>
      <c r="G219" s="1" t="str">
        <f ca="1">IFERROR(__xludf.DUMMYFUNCTION("""COMPUTED_VALUE"""),"Freedom of Expression, Individuals At Risk")</f>
        <v>Freedom of Expression, Individuals At Risk</v>
      </c>
      <c r="H219" s="1" t="str">
        <f ca="1">IFERROR(__xludf.DUMMYFUNCTION("""COMPUTED_VALUE"""),"2024")</f>
        <v>2024</v>
      </c>
      <c r="I219" s="1" t="str">
        <f ca="1">IFERROR(__xludf.DUMMYFUNCTION("""COMPUTED_VALUE"""),"Letter")</f>
        <v>Letter</v>
      </c>
    </row>
    <row r="220" spans="1:9" ht="13" x14ac:dyDescent="0.15">
      <c r="A220" s="9">
        <f ca="1">IFERROR(__xludf.DUMMYFUNCTION("""COMPUTED_VALUE"""),30524924)</f>
        <v>30524924</v>
      </c>
      <c r="B220" s="1" t="str">
        <f ca="1">IFERROR(__xludf.DUMMYFUNCTION("""COMPUTED_VALUE"""),"ursulacohrs@gmail.com")</f>
        <v>ursulacohrs@gmail.com</v>
      </c>
      <c r="C220" s="9" t="str">
        <f ca="1">IFERROR(__xludf.DUMMYFUNCTION("""COMPUTED_VALUE"""),"EVERGREEN - UAN Gated Content - Embedded Petition")</f>
        <v>EVERGREEN - UAN Gated Content - Embedded Petition</v>
      </c>
      <c r="D220" s="10">
        <f ca="1">IFERROR(__xludf.DUMMYFUNCTION("""COMPUTED_VALUE"""),45637)</f>
        <v>45637</v>
      </c>
      <c r="E220" s="1" t="str">
        <f ca="1">IFERROR(__xludf.DUMMYFUNCTION("""COMPUTED_VALUE"""),"China")</f>
        <v>China</v>
      </c>
      <c r="F220" s="1" t="str">
        <f ca="1">IFERROR(__xludf.DUMMYFUNCTION("""COMPUTED_VALUE"""),"98.24 China")</f>
        <v>98.24 China</v>
      </c>
      <c r="G220" s="1" t="str">
        <f ca="1">IFERROR(__xludf.DUMMYFUNCTION("""COMPUTED_VALUE"""),"Freedom of Expression, Individuals At Risk")</f>
        <v>Freedom of Expression, Individuals At Risk</v>
      </c>
      <c r="H220" s="1" t="str">
        <f ca="1">IFERROR(__xludf.DUMMYFUNCTION("""COMPUTED_VALUE"""),"2024")</f>
        <v>2024</v>
      </c>
      <c r="I220" s="1" t="str">
        <f ca="1">IFERROR(__xludf.DUMMYFUNCTION("""COMPUTED_VALUE"""),"Letter")</f>
        <v>Letter</v>
      </c>
    </row>
    <row r="221" spans="1:9" ht="13" x14ac:dyDescent="0.15">
      <c r="A221" s="9">
        <f ca="1">IFERROR(__xludf.DUMMYFUNCTION("""COMPUTED_VALUE"""),30524924)</f>
        <v>30524924</v>
      </c>
      <c r="B221" s="1" t="str">
        <f ca="1">IFERROR(__xludf.DUMMYFUNCTION("""COMPUTED_VALUE"""),"ursulacohrs@gmail.com")</f>
        <v>ursulacohrs@gmail.com</v>
      </c>
      <c r="C221" s="9" t="str">
        <f ca="1">IFERROR(__xludf.DUMMYFUNCTION("""COMPUTED_VALUE"""),"EVERGREEN - UAN Gated Content - Embedded Petition")</f>
        <v>EVERGREEN - UAN Gated Content - Embedded Petition</v>
      </c>
      <c r="D221" s="10">
        <f ca="1">IFERROR(__xludf.DUMMYFUNCTION("""COMPUTED_VALUE"""),45637)</f>
        <v>45637</v>
      </c>
      <c r="E221" s="1" t="str">
        <f ca="1">IFERROR(__xludf.DUMMYFUNCTION("""COMPUTED_VALUE"""),"China")</f>
        <v>China</v>
      </c>
      <c r="F221" s="1" t="str">
        <f ca="1">IFERROR(__xludf.DUMMYFUNCTION("""COMPUTED_VALUE"""),"98.24 China")</f>
        <v>98.24 China</v>
      </c>
      <c r="G221" s="1" t="str">
        <f ca="1">IFERROR(__xludf.DUMMYFUNCTION("""COMPUTED_VALUE"""),"Freedom of Expression, Individuals At Risk")</f>
        <v>Freedom of Expression, Individuals At Risk</v>
      </c>
      <c r="H221" s="1" t="str">
        <f ca="1">IFERROR(__xludf.DUMMYFUNCTION("""COMPUTED_VALUE"""),"2024")</f>
        <v>2024</v>
      </c>
      <c r="I221" s="1" t="str">
        <f ca="1">IFERROR(__xludf.DUMMYFUNCTION("""COMPUTED_VALUE"""),"Letter")</f>
        <v>Letter</v>
      </c>
    </row>
    <row r="222" spans="1:9" ht="13" x14ac:dyDescent="0.15">
      <c r="A222" s="9">
        <f ca="1">IFERROR(__xludf.DUMMYFUNCTION("""COMPUTED_VALUE"""),30524924)</f>
        <v>30524924</v>
      </c>
      <c r="B222" s="1" t="str">
        <f ca="1">IFERROR(__xludf.DUMMYFUNCTION("""COMPUTED_VALUE"""),"ursulacohrs@gmail.com")</f>
        <v>ursulacohrs@gmail.com</v>
      </c>
      <c r="C222" s="9" t="str">
        <f ca="1">IFERROR(__xludf.DUMMYFUNCTION("""COMPUTED_VALUE"""),"EVERGREEN - UAN Gated Content - Embedded Petition")</f>
        <v>EVERGREEN - UAN Gated Content - Embedded Petition</v>
      </c>
      <c r="D222" s="10">
        <f ca="1">IFERROR(__xludf.DUMMYFUNCTION("""COMPUTED_VALUE"""),45637)</f>
        <v>45637</v>
      </c>
      <c r="E222" s="1" t="str">
        <f ca="1">IFERROR(__xludf.DUMMYFUNCTION("""COMPUTED_VALUE"""),"Venezuela")</f>
        <v>Venezuela</v>
      </c>
      <c r="F222" s="1" t="str">
        <f ca="1">IFERROR(__xludf.DUMMYFUNCTION("""COMPUTED_VALUE"""),"97.24 Venezuela")</f>
        <v>97.24 Venezuela</v>
      </c>
      <c r="G222" s="1" t="str">
        <f ca="1">IFERROR(__xludf.DUMMYFUNCTION("""COMPUTED_VALUE"""),"Freedom of Expression")</f>
        <v>Freedom of Expression</v>
      </c>
      <c r="H222" s="1" t="str">
        <f ca="1">IFERROR(__xludf.DUMMYFUNCTION("""COMPUTED_VALUE"""),"2024")</f>
        <v>2024</v>
      </c>
      <c r="I222" s="1" t="str">
        <f ca="1">IFERROR(__xludf.DUMMYFUNCTION("""COMPUTED_VALUE"""),"Letter")</f>
        <v>Letter</v>
      </c>
    </row>
    <row r="223" spans="1:9" ht="13" x14ac:dyDescent="0.15">
      <c r="A223" s="9">
        <f ca="1">IFERROR(__xludf.DUMMYFUNCTION("""COMPUTED_VALUE"""),30528291)</f>
        <v>30528291</v>
      </c>
      <c r="B223" s="1" t="str">
        <f ca="1">IFERROR(__xludf.DUMMYFUNCTION("""COMPUTED_VALUE"""),"ffranck1@yahoo.com")</f>
        <v>ffranck1@yahoo.com</v>
      </c>
      <c r="C223" s="9" t="str">
        <f ca="1">IFERROR(__xludf.DUMMYFUNCTION("""COMPUTED_VALUE"""),"EVERGREEN - UAN Gated Content - Embedded Petition")</f>
        <v>EVERGREEN - UAN Gated Content - Embedded Petition</v>
      </c>
      <c r="D223" s="10">
        <f ca="1">IFERROR(__xludf.DUMMYFUNCTION("""COMPUTED_VALUE"""),45694)</f>
        <v>45694</v>
      </c>
      <c r="E223" s="1" t="str">
        <f ca="1">IFERROR(__xludf.DUMMYFUNCTION("""COMPUTED_VALUE"""),"Egypt")</f>
        <v>Egypt</v>
      </c>
      <c r="F223" s="1" t="str">
        <f ca="1">IFERROR(__xludf.DUMMYFUNCTION("""COMPUTED_VALUE"""),"Ninth 190.18 Egypt")</f>
        <v>Ninth 190.18 Egypt</v>
      </c>
      <c r="G223" s="1" t="str">
        <f ca="1">IFERROR(__xludf.DUMMYFUNCTION("""COMPUTED_VALUE"""),"Freedom of Expression, Individuals At Risk")</f>
        <v>Freedom of Expression, Individuals At Risk</v>
      </c>
      <c r="H223" s="1" t="str">
        <f ca="1">IFERROR(__xludf.DUMMYFUNCTION("""COMPUTED_VALUE"""),"2024")</f>
        <v>2024</v>
      </c>
      <c r="I223" s="1" t="str">
        <f ca="1">IFERROR(__xludf.DUMMYFUNCTION("""COMPUTED_VALUE"""),"Letter")</f>
        <v>Letter</v>
      </c>
    </row>
    <row r="224" spans="1:9" ht="13" x14ac:dyDescent="0.15">
      <c r="A224" s="9">
        <f ca="1">IFERROR(__xludf.DUMMYFUNCTION("""COMPUTED_VALUE"""),30531435)</f>
        <v>30531435</v>
      </c>
      <c r="B224" s="1" t="str">
        <f ca="1">IFERROR(__xludf.DUMMYFUNCTION("""COMPUTED_VALUE"""),"leahdgoldman@gmail.com")</f>
        <v>leahdgoldman@gmail.com</v>
      </c>
      <c r="C224" s="9" t="str">
        <f ca="1">IFERROR(__xludf.DUMMYFUNCTION("""COMPUTED_VALUE"""),"EVERGREEN - UAN Gated Content - Embedded Petition")</f>
        <v>EVERGREEN - UAN Gated Content - Embedded Petition</v>
      </c>
      <c r="D224" s="10">
        <f ca="1">IFERROR(__xludf.DUMMYFUNCTION("""COMPUTED_VALUE"""),45694)</f>
        <v>45694</v>
      </c>
      <c r="E224" s="1" t="str">
        <f ca="1">IFERROR(__xludf.DUMMYFUNCTION("""COMPUTED_VALUE"""),"USA")</f>
        <v>USA</v>
      </c>
      <c r="F224" s="1" t="str">
        <f ca="1">IFERROR(__xludf.DUMMYFUNCTION("""COMPUTED_VALUE"""),"105.24 USA")</f>
        <v>105.24 USA</v>
      </c>
      <c r="G224" s="1" t="str">
        <f ca="1">IFERROR(__xludf.DUMMYFUNCTION("""COMPUTED_VALUE"""),"Death Penalty")</f>
        <v>Death Penalty</v>
      </c>
      <c r="H224" s="1" t="str">
        <f ca="1">IFERROR(__xludf.DUMMYFUNCTION("""COMPUTED_VALUE"""),"2024")</f>
        <v>2024</v>
      </c>
      <c r="I224" s="1" t="str">
        <f ca="1">IFERROR(__xludf.DUMMYFUNCTION("""COMPUTED_VALUE"""),"Email")</f>
        <v>Email</v>
      </c>
    </row>
    <row r="225" spans="1:9" ht="13" x14ac:dyDescent="0.15">
      <c r="A225" s="9">
        <f ca="1">IFERROR(__xludf.DUMMYFUNCTION("""COMPUTED_VALUE"""),30535203)</f>
        <v>30535203</v>
      </c>
      <c r="B225" s="1" t="str">
        <f ca="1">IFERROR(__xludf.DUMMYFUNCTION("""COMPUTED_VALUE"""),"socjusticeadvocate@verizon.net")</f>
        <v>socjusticeadvocate@verizon.net</v>
      </c>
      <c r="C225" s="9" t="str">
        <f ca="1">IFERROR(__xludf.DUMMYFUNCTION("""COMPUTED_VALUE"""),"EVERGREEN - UAN Gated Content - Embedded Petition")</f>
        <v>EVERGREEN - UAN Gated Content - Embedded Petition</v>
      </c>
      <c r="D225" s="10">
        <f ca="1">IFERROR(__xludf.DUMMYFUNCTION("""COMPUTED_VALUE"""),45682)</f>
        <v>45682</v>
      </c>
      <c r="E225" s="1" t="str">
        <f ca="1">IFERROR(__xludf.DUMMYFUNCTION("""COMPUTED_VALUE"""),"China")</f>
        <v>China</v>
      </c>
      <c r="F225" s="1" t="str">
        <f ca="1">IFERROR(__xludf.DUMMYFUNCTION("""COMPUTED_VALUE"""),"98.24 China")</f>
        <v>98.24 China</v>
      </c>
      <c r="G225" s="1" t="str">
        <f ca="1">IFERROR(__xludf.DUMMYFUNCTION("""COMPUTED_VALUE"""),"Freedom of Expression, Individuals At Risk")</f>
        <v>Freedom of Expression, Individuals At Risk</v>
      </c>
      <c r="H225" s="1" t="str">
        <f ca="1">IFERROR(__xludf.DUMMYFUNCTION("""COMPUTED_VALUE"""),"2024")</f>
        <v>2024</v>
      </c>
      <c r="I225" s="1" t="str">
        <f ca="1">IFERROR(__xludf.DUMMYFUNCTION("""COMPUTED_VALUE"""),"Letter")</f>
        <v>Letter</v>
      </c>
    </row>
    <row r="226" spans="1:9" ht="13" x14ac:dyDescent="0.15">
      <c r="A226" s="9">
        <f ca="1">IFERROR(__xludf.DUMMYFUNCTION("""COMPUTED_VALUE"""),30535203)</f>
        <v>30535203</v>
      </c>
      <c r="B226" s="1" t="str">
        <f ca="1">IFERROR(__xludf.DUMMYFUNCTION("""COMPUTED_VALUE"""),"socjusticeadvocate@verizon.net")</f>
        <v>socjusticeadvocate@verizon.net</v>
      </c>
      <c r="C226" s="9" t="str">
        <f ca="1">IFERROR(__xludf.DUMMYFUNCTION("""COMPUTED_VALUE"""),"EVERGREEN - UAN Gated Content - Embedded Petition")</f>
        <v>EVERGREEN - UAN Gated Content - Embedded Petition</v>
      </c>
      <c r="D226" s="10">
        <f ca="1">IFERROR(__xludf.DUMMYFUNCTION("""COMPUTED_VALUE"""),45682)</f>
        <v>45682</v>
      </c>
      <c r="E226" s="1" t="str">
        <f ca="1">IFERROR(__xludf.DUMMYFUNCTION("""COMPUTED_VALUE"""),"Venezuela")</f>
        <v>Venezuela</v>
      </c>
      <c r="F226" s="1" t="str">
        <f ca="1">IFERROR(__xludf.DUMMYFUNCTION("""COMPUTED_VALUE"""),"97.24 Venezuela")</f>
        <v>97.24 Venezuela</v>
      </c>
      <c r="G226" s="1" t="str">
        <f ca="1">IFERROR(__xludf.DUMMYFUNCTION("""COMPUTED_VALUE"""),"Freedom of Expression")</f>
        <v>Freedom of Expression</v>
      </c>
      <c r="H226" s="1" t="str">
        <f ca="1">IFERROR(__xludf.DUMMYFUNCTION("""COMPUTED_VALUE"""),"2024")</f>
        <v>2024</v>
      </c>
      <c r="I226" s="1" t="str">
        <f ca="1">IFERROR(__xludf.DUMMYFUNCTION("""COMPUTED_VALUE"""),"Letter")</f>
        <v>Letter</v>
      </c>
    </row>
    <row r="227" spans="1:9" ht="13" x14ac:dyDescent="0.15">
      <c r="A227" s="9">
        <f ca="1">IFERROR(__xludf.DUMMYFUNCTION("""COMPUTED_VALUE"""),30535203)</f>
        <v>30535203</v>
      </c>
      <c r="B227" s="1" t="str">
        <f ca="1">IFERROR(__xludf.DUMMYFUNCTION("""COMPUTED_VALUE"""),"socjusticeadvocate@verizon.net")</f>
        <v>socjusticeadvocate@verizon.net</v>
      </c>
      <c r="C227" s="9" t="str">
        <f ca="1">IFERROR(__xludf.DUMMYFUNCTION("""COMPUTED_VALUE"""),"EVERGREEN - UAN Gated Content - Embedded Petition")</f>
        <v>EVERGREEN - UAN Gated Content - Embedded Petition</v>
      </c>
      <c r="D227" s="10">
        <f ca="1">IFERROR(__xludf.DUMMYFUNCTION("""COMPUTED_VALUE"""),45678)</f>
        <v>45678</v>
      </c>
      <c r="E227" s="1" t="str">
        <f ca="1">IFERROR(__xludf.DUMMYFUNCTION("""COMPUTED_VALUE"""),"USA")</f>
        <v>USA</v>
      </c>
      <c r="F227" s="1" t="str">
        <f ca="1">IFERROR(__xludf.DUMMYFUNCTION("""COMPUTED_VALUE"""),"105.24 USA")</f>
        <v>105.24 USA</v>
      </c>
      <c r="G227" s="1" t="str">
        <f ca="1">IFERROR(__xludf.DUMMYFUNCTION("""COMPUTED_VALUE"""),"Death Penalty")</f>
        <v>Death Penalty</v>
      </c>
      <c r="H227" s="1" t="str">
        <f ca="1">IFERROR(__xludf.DUMMYFUNCTION("""COMPUTED_VALUE"""),"2024")</f>
        <v>2024</v>
      </c>
      <c r="I227" s="1" t="str">
        <f ca="1">IFERROR(__xludf.DUMMYFUNCTION("""COMPUTED_VALUE"""),"Email")</f>
        <v>Email</v>
      </c>
    </row>
    <row r="228" spans="1:9" ht="13" x14ac:dyDescent="0.15">
      <c r="A228" s="9">
        <f ca="1">IFERROR(__xludf.DUMMYFUNCTION("""COMPUTED_VALUE"""),30535203)</f>
        <v>30535203</v>
      </c>
      <c r="B228" s="1" t="str">
        <f ca="1">IFERROR(__xludf.DUMMYFUNCTION("""COMPUTED_VALUE"""),"socjusticeadvocate@verizon.net")</f>
        <v>socjusticeadvocate@verizon.net</v>
      </c>
      <c r="C228" s="9" t="str">
        <f ca="1">IFERROR(__xludf.DUMMYFUNCTION("""COMPUTED_VALUE"""),"EVERGREEN - UAN Gated Content - Embedded Petition")</f>
        <v>EVERGREEN - UAN Gated Content - Embedded Petition</v>
      </c>
      <c r="D228" s="10">
        <f ca="1">IFERROR(__xludf.DUMMYFUNCTION("""COMPUTED_VALUE"""),45678)</f>
        <v>45678</v>
      </c>
      <c r="E228" s="1" t="str">
        <f ca="1">IFERROR(__xludf.DUMMYFUNCTION("""COMPUTED_VALUE"""),"Egypt")</f>
        <v>Egypt</v>
      </c>
      <c r="F228" s="1" t="str">
        <f ca="1">IFERROR(__xludf.DUMMYFUNCTION("""COMPUTED_VALUE"""),"Ninth 190.18 Egypt")</f>
        <v>Ninth 190.18 Egypt</v>
      </c>
      <c r="G228" s="1" t="str">
        <f ca="1">IFERROR(__xludf.DUMMYFUNCTION("""COMPUTED_VALUE"""),"Freedom of Expression, Individuals At Risk")</f>
        <v>Freedom of Expression, Individuals At Risk</v>
      </c>
      <c r="H228" s="1" t="str">
        <f ca="1">IFERROR(__xludf.DUMMYFUNCTION("""COMPUTED_VALUE"""),"2024")</f>
        <v>2024</v>
      </c>
      <c r="I228" s="1" t="str">
        <f ca="1">IFERROR(__xludf.DUMMYFUNCTION("""COMPUTED_VALUE"""),"Letter")</f>
        <v>Letter</v>
      </c>
    </row>
    <row r="229" spans="1:9" ht="13" x14ac:dyDescent="0.15">
      <c r="A229" s="9">
        <f ca="1">IFERROR(__xludf.DUMMYFUNCTION("""COMPUTED_VALUE"""),30535203)</f>
        <v>30535203</v>
      </c>
      <c r="B229" s="1" t="str">
        <f ca="1">IFERROR(__xludf.DUMMYFUNCTION("""COMPUTED_VALUE"""),"socjusticeadvocate@verizon.net")</f>
        <v>socjusticeadvocate@verizon.net</v>
      </c>
      <c r="C229" s="9" t="str">
        <f ca="1">IFERROR(__xludf.DUMMYFUNCTION("""COMPUTED_VALUE"""),"EVERGREEN - UAN Gated Content - Embedded Petition")</f>
        <v>EVERGREEN - UAN Gated Content - Embedded Petition</v>
      </c>
      <c r="D229" s="10">
        <f ca="1">IFERROR(__xludf.DUMMYFUNCTION("""COMPUTED_VALUE"""),45678)</f>
        <v>45678</v>
      </c>
      <c r="E229" s="1" t="str">
        <f ca="1">IFERROR(__xludf.DUMMYFUNCTION("""COMPUTED_VALUE"""),"Tunisia")</f>
        <v>Tunisia</v>
      </c>
      <c r="F229" s="1" t="str">
        <f ca="1">IFERROR(__xludf.DUMMYFUNCTION("""COMPUTED_VALUE"""),"Second 76.24 Tunisia")</f>
        <v>Second 76.24 Tunisia</v>
      </c>
      <c r="G229" s="1" t="str">
        <f ca="1">IFERROR(__xludf.DUMMYFUNCTION("""COMPUTED_VALUE"""),"Freedom of Expression, Human Rights Defenders")</f>
        <v>Freedom of Expression, Human Rights Defenders</v>
      </c>
      <c r="H229" s="1" t="str">
        <f ca="1">IFERROR(__xludf.DUMMYFUNCTION("""COMPUTED_VALUE"""),"2025")</f>
        <v>2025</v>
      </c>
      <c r="I229" s="1" t="str">
        <f ca="1">IFERROR(__xludf.DUMMYFUNCTION("""COMPUTED_VALUE"""),"Email")</f>
        <v>Email</v>
      </c>
    </row>
    <row r="230" spans="1:9" ht="13" x14ac:dyDescent="0.15">
      <c r="A230" s="9">
        <f ca="1">IFERROR(__xludf.DUMMYFUNCTION("""COMPUTED_VALUE"""),30535203)</f>
        <v>30535203</v>
      </c>
      <c r="B230" s="1" t="str">
        <f ca="1">IFERROR(__xludf.DUMMYFUNCTION("""COMPUTED_VALUE"""),"socjusticeadvocate@verizon.net")</f>
        <v>socjusticeadvocate@verizon.net</v>
      </c>
      <c r="C230" s="9" t="str">
        <f ca="1">IFERROR(__xludf.DUMMYFUNCTION("""COMPUTED_VALUE"""),"EVERGREEN - UAN Gated Content - Embedded Petition")</f>
        <v>EVERGREEN - UAN Gated Content - Embedded Petition</v>
      </c>
      <c r="D230" s="10">
        <f ca="1">IFERROR(__xludf.DUMMYFUNCTION("""COMPUTED_VALUE"""),45682)</f>
        <v>45682</v>
      </c>
      <c r="E230" s="1" t="str">
        <f ca="1">IFERROR(__xludf.DUMMYFUNCTION("""COMPUTED_VALUE"""),"Tunisia")</f>
        <v>Tunisia</v>
      </c>
      <c r="F230" s="1" t="str">
        <f ca="1">IFERROR(__xludf.DUMMYFUNCTION("""COMPUTED_VALUE"""),"Second 76.24 Tunisia")</f>
        <v>Second 76.24 Tunisia</v>
      </c>
      <c r="G230" s="1" t="str">
        <f ca="1">IFERROR(__xludf.DUMMYFUNCTION("""COMPUTED_VALUE"""),"Freedom of Expression, Human Rights Defenders")</f>
        <v>Freedom of Expression, Human Rights Defenders</v>
      </c>
      <c r="H230" s="1" t="str">
        <f ca="1">IFERROR(__xludf.DUMMYFUNCTION("""COMPUTED_VALUE"""),"2025")</f>
        <v>2025</v>
      </c>
      <c r="I230" s="1" t="str">
        <f ca="1">IFERROR(__xludf.DUMMYFUNCTION("""COMPUTED_VALUE"""),"Email")</f>
        <v>Email</v>
      </c>
    </row>
    <row r="231" spans="1:9" ht="13" x14ac:dyDescent="0.15">
      <c r="A231" s="9">
        <f ca="1">IFERROR(__xludf.DUMMYFUNCTION("""COMPUTED_VALUE"""),30535203)</f>
        <v>30535203</v>
      </c>
      <c r="B231" s="1" t="str">
        <f ca="1">IFERROR(__xludf.DUMMYFUNCTION("""COMPUTED_VALUE"""),"socjusticeadvocate@verizon.net")</f>
        <v>socjusticeadvocate@verizon.net</v>
      </c>
      <c r="C231" s="9" t="str">
        <f ca="1">IFERROR(__xludf.DUMMYFUNCTION("""COMPUTED_VALUE"""),"EVERGREEN - UAN Gated Content - Embedded Petition")</f>
        <v>EVERGREEN - UAN Gated Content - Embedded Petition</v>
      </c>
      <c r="D231" s="10">
        <f ca="1">IFERROR(__xludf.DUMMYFUNCTION("""COMPUTED_VALUE"""),45682)</f>
        <v>45682</v>
      </c>
      <c r="E231" s="1" t="str">
        <f ca="1">IFERROR(__xludf.DUMMYFUNCTION("""COMPUTED_VALUE"""),"Egypt")</f>
        <v>Egypt</v>
      </c>
      <c r="F231" s="1" t="str">
        <f ca="1">IFERROR(__xludf.DUMMYFUNCTION("""COMPUTED_VALUE"""),"Ninth 190.18 Egypt")</f>
        <v>Ninth 190.18 Egypt</v>
      </c>
      <c r="G231" s="1" t="str">
        <f ca="1">IFERROR(__xludf.DUMMYFUNCTION("""COMPUTED_VALUE"""),"Freedom of Expression, Individuals At Risk")</f>
        <v>Freedom of Expression, Individuals At Risk</v>
      </c>
      <c r="H231" s="1" t="str">
        <f ca="1">IFERROR(__xludf.DUMMYFUNCTION("""COMPUTED_VALUE"""),"2024")</f>
        <v>2024</v>
      </c>
      <c r="I231" s="1" t="str">
        <f ca="1">IFERROR(__xludf.DUMMYFUNCTION("""COMPUTED_VALUE"""),"Letter")</f>
        <v>Letter</v>
      </c>
    </row>
    <row r="232" spans="1:9" ht="13" x14ac:dyDescent="0.15">
      <c r="A232" s="9">
        <f ca="1">IFERROR(__xludf.DUMMYFUNCTION("""COMPUTED_VALUE"""),30535203)</f>
        <v>30535203</v>
      </c>
      <c r="B232" s="1" t="str">
        <f ca="1">IFERROR(__xludf.DUMMYFUNCTION("""COMPUTED_VALUE"""),"socjusticeadvocate@verizon.net")</f>
        <v>socjusticeadvocate@verizon.net</v>
      </c>
      <c r="C232" s="9" t="str">
        <f ca="1">IFERROR(__xludf.DUMMYFUNCTION("""COMPUTED_VALUE"""),"EVERGREEN - UAN Gated Content - Embedded Petition")</f>
        <v>EVERGREEN - UAN Gated Content - Embedded Petition</v>
      </c>
      <c r="D232" s="10">
        <f ca="1">IFERROR(__xludf.DUMMYFUNCTION("""COMPUTED_VALUE"""),45677)</f>
        <v>45677</v>
      </c>
      <c r="E232" s="1" t="str">
        <f ca="1">IFERROR(__xludf.DUMMYFUNCTION("""COMPUTED_VALUE"""),"Iran")</f>
        <v>Iran</v>
      </c>
      <c r="F232" s="1" t="str">
        <f ca="1">IFERROR(__xludf.DUMMYFUNCTION("""COMPUTED_VALUE"""),"Seventh 103.22 Iran")</f>
        <v>Seventh 103.22 Iran</v>
      </c>
      <c r="G232" s="1" t="str">
        <f ca="1">IFERROR(__xludf.DUMMYFUNCTION("""COMPUTED_VALUE"""),"Death Penalty, Freedom of Expression, Individuals At Risk")</f>
        <v>Death Penalty, Freedom of Expression, Individuals At Risk</v>
      </c>
      <c r="H232" s="1" t="str">
        <f ca="1">IFERROR(__xludf.DUMMYFUNCTION("""COMPUTED_VALUE"""),"2024")</f>
        <v>2024</v>
      </c>
      <c r="I232" s="1" t="str">
        <f ca="1">IFERROR(__xludf.DUMMYFUNCTION("""COMPUTED_VALUE"""),"Email")</f>
        <v>Email</v>
      </c>
    </row>
    <row r="233" spans="1:9" ht="13" x14ac:dyDescent="0.15">
      <c r="A233" s="9">
        <f ca="1">IFERROR(__xludf.DUMMYFUNCTION("""COMPUTED_VALUE"""),30535203)</f>
        <v>30535203</v>
      </c>
      <c r="B233" s="1" t="str">
        <f ca="1">IFERROR(__xludf.DUMMYFUNCTION("""COMPUTED_VALUE"""),"socjusticeadvocate@verizon.net")</f>
        <v>socjusticeadvocate@verizon.net</v>
      </c>
      <c r="C233" s="9" t="str">
        <f ca="1">IFERROR(__xludf.DUMMYFUNCTION("""COMPUTED_VALUE"""),"EVERGREEN - UAN Gated Content - Embedded Petition")</f>
        <v>EVERGREEN - UAN Gated Content - Embedded Petition</v>
      </c>
      <c r="D233" s="10">
        <f ca="1">IFERROR(__xludf.DUMMYFUNCTION("""COMPUTED_VALUE"""),45677)</f>
        <v>45677</v>
      </c>
      <c r="E233" s="1" t="str">
        <f ca="1">IFERROR(__xludf.DUMMYFUNCTION("""COMPUTED_VALUE"""),"Tunisia")</f>
        <v>Tunisia</v>
      </c>
      <c r="F233" s="1" t="str">
        <f ca="1">IFERROR(__xludf.DUMMYFUNCTION("""COMPUTED_VALUE"""),"Second 76.24 Tunisia")</f>
        <v>Second 76.24 Tunisia</v>
      </c>
      <c r="G233" s="1" t="str">
        <f ca="1">IFERROR(__xludf.DUMMYFUNCTION("""COMPUTED_VALUE"""),"Freedom of Expression, Human Rights Defenders")</f>
        <v>Freedom of Expression, Human Rights Defenders</v>
      </c>
      <c r="H233" s="1" t="str">
        <f ca="1">IFERROR(__xludf.DUMMYFUNCTION("""COMPUTED_VALUE"""),"2025")</f>
        <v>2025</v>
      </c>
      <c r="I233" s="1" t="str">
        <f ca="1">IFERROR(__xludf.DUMMYFUNCTION("""COMPUTED_VALUE"""),"Email")</f>
        <v>Email</v>
      </c>
    </row>
    <row r="234" spans="1:9" ht="13" x14ac:dyDescent="0.15">
      <c r="A234" s="9">
        <f ca="1">IFERROR(__xludf.DUMMYFUNCTION("""COMPUTED_VALUE"""),30535203)</f>
        <v>30535203</v>
      </c>
      <c r="B234" s="1" t="str">
        <f ca="1">IFERROR(__xludf.DUMMYFUNCTION("""COMPUTED_VALUE"""),"socjusticeadvocate@verizon.net")</f>
        <v>socjusticeadvocate@verizon.net</v>
      </c>
      <c r="C234" s="9" t="str">
        <f ca="1">IFERROR(__xludf.DUMMYFUNCTION("""COMPUTED_VALUE"""),"EVERGREEN - UAN Gated Content - Embedded Petition")</f>
        <v>EVERGREEN - UAN Gated Content - Embedded Petition</v>
      </c>
      <c r="D234" s="10">
        <f ca="1">IFERROR(__xludf.DUMMYFUNCTION("""COMPUTED_VALUE"""),45674)</f>
        <v>45674</v>
      </c>
      <c r="E234" s="1" t="str">
        <f ca="1">IFERROR(__xludf.DUMMYFUNCTION("""COMPUTED_VALUE"""),"Iran")</f>
        <v>Iran</v>
      </c>
      <c r="F234" s="1" t="str">
        <f ca="1">IFERROR(__xludf.DUMMYFUNCTION("""COMPUTED_VALUE"""),"10.25 Iran")</f>
        <v>10.25 Iran</v>
      </c>
      <c r="G234" s="1" t="str">
        <f ca="1">IFERROR(__xludf.DUMMYFUNCTION("""COMPUTED_VALUE"""),"Death Penalty, Individuals At Risk")</f>
        <v>Death Penalty, Individuals At Risk</v>
      </c>
      <c r="H234" s="1" t="str">
        <f ca="1">IFERROR(__xludf.DUMMYFUNCTION("""COMPUTED_VALUE"""),"2025")</f>
        <v>2025</v>
      </c>
      <c r="I234" s="1" t="str">
        <f ca="1">IFERROR(__xludf.DUMMYFUNCTION("""COMPUTED_VALUE"""),"Email")</f>
        <v>Email</v>
      </c>
    </row>
    <row r="235" spans="1:9" ht="13" x14ac:dyDescent="0.15">
      <c r="A235" s="9">
        <f ca="1">IFERROR(__xludf.DUMMYFUNCTION("""COMPUTED_VALUE"""),30535203)</f>
        <v>30535203</v>
      </c>
      <c r="B235" s="1" t="str">
        <f ca="1">IFERROR(__xludf.DUMMYFUNCTION("""COMPUTED_VALUE"""),"socjusticeadvocate@verizon.net")</f>
        <v>socjusticeadvocate@verizon.net</v>
      </c>
      <c r="C235" s="9" t="str">
        <f ca="1">IFERROR(__xludf.DUMMYFUNCTION("""COMPUTED_VALUE"""),"EVERGREEN - UAN Gated Content - Embedded Petition")</f>
        <v>EVERGREEN - UAN Gated Content - Embedded Petition</v>
      </c>
      <c r="D235" s="10">
        <f ca="1">IFERROR(__xludf.DUMMYFUNCTION("""COMPUTED_VALUE"""),45674)</f>
        <v>45674</v>
      </c>
      <c r="E235" s="1" t="str">
        <f ca="1">IFERROR(__xludf.DUMMYFUNCTION("""COMPUTED_VALUE"""),"Tunisia")</f>
        <v>Tunisia</v>
      </c>
      <c r="F235" s="1" t="str">
        <f ca="1">IFERROR(__xludf.DUMMYFUNCTION("""COMPUTED_VALUE"""),"Second 76.24 Tunisia")</f>
        <v>Second 76.24 Tunisia</v>
      </c>
      <c r="G235" s="1" t="str">
        <f ca="1">IFERROR(__xludf.DUMMYFUNCTION("""COMPUTED_VALUE"""),"Freedom of Expression, Human Rights Defenders")</f>
        <v>Freedom of Expression, Human Rights Defenders</v>
      </c>
      <c r="H235" s="1" t="str">
        <f ca="1">IFERROR(__xludf.DUMMYFUNCTION("""COMPUTED_VALUE"""),"2025")</f>
        <v>2025</v>
      </c>
      <c r="I235" s="1" t="str">
        <f ca="1">IFERROR(__xludf.DUMMYFUNCTION("""COMPUTED_VALUE"""),"Email")</f>
        <v>Email</v>
      </c>
    </row>
    <row r="236" spans="1:9" ht="13" x14ac:dyDescent="0.15">
      <c r="A236" s="9">
        <f ca="1">IFERROR(__xludf.DUMMYFUNCTION("""COMPUTED_VALUE"""),30535203)</f>
        <v>30535203</v>
      </c>
      <c r="B236" s="1" t="str">
        <f ca="1">IFERROR(__xludf.DUMMYFUNCTION("""COMPUTED_VALUE"""),"socjusticeadvocate@verizon.net")</f>
        <v>socjusticeadvocate@verizon.net</v>
      </c>
      <c r="C236" s="9" t="str">
        <f ca="1">IFERROR(__xludf.DUMMYFUNCTION("""COMPUTED_VALUE"""),"EVERGREEN - UAN Gated Content - Embedded Petition")</f>
        <v>EVERGREEN - UAN Gated Content - Embedded Petition</v>
      </c>
      <c r="D236" s="10">
        <f ca="1">IFERROR(__xludf.DUMMYFUNCTION("""COMPUTED_VALUE"""),45674)</f>
        <v>45674</v>
      </c>
      <c r="E236" s="1" t="str">
        <f ca="1">IFERROR(__xludf.DUMMYFUNCTION("""COMPUTED_VALUE"""),"Israel and Occupied Palestinian Territories")</f>
        <v>Israel and Occupied Palestinian Territories</v>
      </c>
      <c r="F236" s="1" t="str">
        <f ca="1">IFERROR(__xludf.DUMMYFUNCTION("""COMPUTED_VALUE"""),"3.25 IOPT")</f>
        <v>3.25 IOPT</v>
      </c>
      <c r="G236" s="1" t="str">
        <f ca="1">IFERROR(__xludf.DUMMYFUNCTION("""COMPUTED_VALUE"""),"Freedom of Expression, Individuals At Risk")</f>
        <v>Freedom of Expression, Individuals At Risk</v>
      </c>
      <c r="H236" s="1" t="str">
        <f ca="1">IFERROR(__xludf.DUMMYFUNCTION("""COMPUTED_VALUE"""),"2025")</f>
        <v>2025</v>
      </c>
      <c r="I236" s="1" t="str">
        <f ca="1">IFERROR(__xludf.DUMMYFUNCTION("""COMPUTED_VALUE"""),"Email")</f>
        <v>Email</v>
      </c>
    </row>
    <row r="237" spans="1:9" ht="13" x14ac:dyDescent="0.15">
      <c r="A237" s="9">
        <f ca="1">IFERROR(__xludf.DUMMYFUNCTION("""COMPUTED_VALUE"""),30535203)</f>
        <v>30535203</v>
      </c>
      <c r="B237" s="1" t="str">
        <f ca="1">IFERROR(__xludf.DUMMYFUNCTION("""COMPUTED_VALUE"""),"socjusticeadvocate@verizon.net")</f>
        <v>socjusticeadvocate@verizon.net</v>
      </c>
      <c r="C237" s="9" t="str">
        <f ca="1">IFERROR(__xludf.DUMMYFUNCTION("""COMPUTED_VALUE"""),"EVERGREEN - UAN Gated Content - Embedded Petition")</f>
        <v>EVERGREEN - UAN Gated Content - Embedded Petition</v>
      </c>
      <c r="D237" s="10">
        <f ca="1">IFERROR(__xludf.DUMMYFUNCTION("""COMPUTED_VALUE"""),45674)</f>
        <v>45674</v>
      </c>
      <c r="E237" s="1" t="str">
        <f ca="1">IFERROR(__xludf.DUMMYFUNCTION("""COMPUTED_VALUE"""),"Israel and Occupied Palestinian Territories")</f>
        <v>Israel and Occupied Palestinian Territories</v>
      </c>
      <c r="F237" s="1" t="str">
        <f ca="1">IFERROR(__xludf.DUMMYFUNCTION("""COMPUTED_VALUE"""),"3.25 IOPT")</f>
        <v>3.25 IOPT</v>
      </c>
      <c r="G237" s="1" t="str">
        <f ca="1">IFERROR(__xludf.DUMMYFUNCTION("""COMPUTED_VALUE"""),"Freedom of Expression, Individuals At Risk")</f>
        <v>Freedom of Expression, Individuals At Risk</v>
      </c>
      <c r="H237" s="1" t="str">
        <f ca="1">IFERROR(__xludf.DUMMYFUNCTION("""COMPUTED_VALUE"""),"2025")</f>
        <v>2025</v>
      </c>
      <c r="I237" s="1" t="str">
        <f ca="1">IFERROR(__xludf.DUMMYFUNCTION("""COMPUTED_VALUE"""),"Email")</f>
        <v>Email</v>
      </c>
    </row>
    <row r="238" spans="1:9" ht="13" x14ac:dyDescent="0.15">
      <c r="A238" s="9">
        <f ca="1">IFERROR(__xludf.DUMMYFUNCTION("""COMPUTED_VALUE"""),30535203)</f>
        <v>30535203</v>
      </c>
      <c r="B238" s="1" t="str">
        <f ca="1">IFERROR(__xludf.DUMMYFUNCTION("""COMPUTED_VALUE"""),"socjusticeadvocate@verizon.net")</f>
        <v>socjusticeadvocate@verizon.net</v>
      </c>
      <c r="C238" s="9" t="str">
        <f ca="1">IFERROR(__xludf.DUMMYFUNCTION("""COMPUTED_VALUE"""),"EVERGREEN - UAN Gated Content - Embedded Petition")</f>
        <v>EVERGREEN - UAN Gated Content - Embedded Petition</v>
      </c>
      <c r="D238" s="10">
        <f ca="1">IFERROR(__xludf.DUMMYFUNCTION("""COMPUTED_VALUE"""),45674)</f>
        <v>45674</v>
      </c>
      <c r="E238" s="1" t="str">
        <f ca="1">IFERROR(__xludf.DUMMYFUNCTION("""COMPUTED_VALUE"""),"USA")</f>
        <v>USA</v>
      </c>
      <c r="F238" s="1" t="str">
        <f ca="1">IFERROR(__xludf.DUMMYFUNCTION("""COMPUTED_VALUE"""),"4.25 USA")</f>
        <v>4.25 USA</v>
      </c>
      <c r="G238" s="1" t="str">
        <f ca="1">IFERROR(__xludf.DUMMYFUNCTION("""COMPUTED_VALUE"""),"Individuals At Risk, Refugee and Migrant Rights")</f>
        <v>Individuals At Risk, Refugee and Migrant Rights</v>
      </c>
      <c r="H238" s="1" t="str">
        <f ca="1">IFERROR(__xludf.DUMMYFUNCTION("""COMPUTED_VALUE"""),"2025")</f>
        <v>2025</v>
      </c>
      <c r="I238" s="1" t="str">
        <f ca="1">IFERROR(__xludf.DUMMYFUNCTION("""COMPUTED_VALUE"""),"Letter")</f>
        <v>Letter</v>
      </c>
    </row>
    <row r="239" spans="1:9" ht="13" x14ac:dyDescent="0.15">
      <c r="A239" s="9">
        <f ca="1">IFERROR(__xludf.DUMMYFUNCTION("""COMPUTED_VALUE"""),30535203)</f>
        <v>30535203</v>
      </c>
      <c r="B239" s="1" t="str">
        <f ca="1">IFERROR(__xludf.DUMMYFUNCTION("""COMPUTED_VALUE"""),"socjusticeadvocate@verizon.net")</f>
        <v>socjusticeadvocate@verizon.net</v>
      </c>
      <c r="C239" s="9" t="str">
        <f ca="1">IFERROR(__xludf.DUMMYFUNCTION("""COMPUTED_VALUE"""),"EVERGREEN - UAN Gated Content - Embedded Petition")</f>
        <v>EVERGREEN - UAN Gated Content - Embedded Petition</v>
      </c>
      <c r="D239" s="10">
        <f ca="1">IFERROR(__xludf.DUMMYFUNCTION("""COMPUTED_VALUE"""),45674)</f>
        <v>45674</v>
      </c>
      <c r="E239" s="1" t="str">
        <f ca="1">IFERROR(__xludf.DUMMYFUNCTION("""COMPUTED_VALUE"""),"USA")</f>
        <v>USA</v>
      </c>
      <c r="F239" s="1" t="str">
        <f ca="1">IFERROR(__xludf.DUMMYFUNCTION("""COMPUTED_VALUE"""),"105.24 USA")</f>
        <v>105.24 USA</v>
      </c>
      <c r="G239" s="1" t="str">
        <f ca="1">IFERROR(__xludf.DUMMYFUNCTION("""COMPUTED_VALUE"""),"Death Penalty")</f>
        <v>Death Penalty</v>
      </c>
      <c r="H239" s="1" t="str">
        <f ca="1">IFERROR(__xludf.DUMMYFUNCTION("""COMPUTED_VALUE"""),"2024")</f>
        <v>2024</v>
      </c>
      <c r="I239" s="1" t="str">
        <f ca="1">IFERROR(__xludf.DUMMYFUNCTION("""COMPUTED_VALUE"""),"Email")</f>
        <v>Email</v>
      </c>
    </row>
    <row r="240" spans="1:9" ht="13" x14ac:dyDescent="0.15">
      <c r="A240" s="9">
        <f ca="1">IFERROR(__xludf.DUMMYFUNCTION("""COMPUTED_VALUE"""),30535203)</f>
        <v>30535203</v>
      </c>
      <c r="B240" s="1" t="str">
        <f ca="1">IFERROR(__xludf.DUMMYFUNCTION("""COMPUTED_VALUE"""),"socjusticeadvocate@verizon.net")</f>
        <v>socjusticeadvocate@verizon.net</v>
      </c>
      <c r="C240" s="9" t="str">
        <f ca="1">IFERROR(__xludf.DUMMYFUNCTION("""COMPUTED_VALUE"""),"EVERGREEN - UAN Gated Content - Embedded Petition")</f>
        <v>EVERGREEN - UAN Gated Content - Embedded Petition</v>
      </c>
      <c r="D240" s="10">
        <f ca="1">IFERROR(__xludf.DUMMYFUNCTION("""COMPUTED_VALUE"""),45674)</f>
        <v>45674</v>
      </c>
      <c r="E240" s="1" t="str">
        <f ca="1">IFERROR(__xludf.DUMMYFUNCTION("""COMPUTED_VALUE"""),"Venezuela")</f>
        <v>Venezuela</v>
      </c>
      <c r="F240" s="1" t="str">
        <f ca="1">IFERROR(__xludf.DUMMYFUNCTION("""COMPUTED_VALUE"""),"1.25 Venezuela")</f>
        <v>1.25 Venezuela</v>
      </c>
      <c r="G240" s="1" t="str">
        <f ca="1">IFERROR(__xludf.DUMMYFUNCTION("""COMPUTED_VALUE"""),"Human Rights Defenders, Individuals At Risk")</f>
        <v>Human Rights Defenders, Individuals At Risk</v>
      </c>
      <c r="H240" s="1" t="str">
        <f ca="1">IFERROR(__xludf.DUMMYFUNCTION("""COMPUTED_VALUE"""),"2025")</f>
        <v>2025</v>
      </c>
      <c r="I240" s="1" t="str">
        <f ca="1">IFERROR(__xludf.DUMMYFUNCTION("""COMPUTED_VALUE"""),"Letter")</f>
        <v>Letter</v>
      </c>
    </row>
    <row r="241" spans="1:9" ht="13" x14ac:dyDescent="0.15">
      <c r="A241" s="9">
        <f ca="1">IFERROR(__xludf.DUMMYFUNCTION("""COMPUTED_VALUE"""),30535203)</f>
        <v>30535203</v>
      </c>
      <c r="B241" s="1" t="str">
        <f ca="1">IFERROR(__xludf.DUMMYFUNCTION("""COMPUTED_VALUE"""),"socjusticeadvocate@verizon.net")</f>
        <v>socjusticeadvocate@verizon.net</v>
      </c>
      <c r="C241" s="9" t="str">
        <f ca="1">IFERROR(__xludf.DUMMYFUNCTION("""COMPUTED_VALUE"""),"EVERGREEN - UAN Gated Content - Embedded Petition")</f>
        <v>EVERGREEN - UAN Gated Content - Embedded Petition</v>
      </c>
      <c r="D241" s="10">
        <f ca="1">IFERROR(__xludf.DUMMYFUNCTION("""COMPUTED_VALUE"""),45676)</f>
        <v>45676</v>
      </c>
      <c r="E241" s="1" t="str">
        <f ca="1">IFERROR(__xludf.DUMMYFUNCTION("""COMPUTED_VALUE"""),"Tunisia")</f>
        <v>Tunisia</v>
      </c>
      <c r="F241" s="1" t="str">
        <f ca="1">IFERROR(__xludf.DUMMYFUNCTION("""COMPUTED_VALUE"""),"Second 76.24 Tunisia")</f>
        <v>Second 76.24 Tunisia</v>
      </c>
      <c r="G241" s="1" t="str">
        <f ca="1">IFERROR(__xludf.DUMMYFUNCTION("""COMPUTED_VALUE"""),"Freedom of Expression, Human Rights Defenders")</f>
        <v>Freedom of Expression, Human Rights Defenders</v>
      </c>
      <c r="H241" s="1" t="str">
        <f ca="1">IFERROR(__xludf.DUMMYFUNCTION("""COMPUTED_VALUE"""),"2025")</f>
        <v>2025</v>
      </c>
      <c r="I241" s="1" t="str">
        <f ca="1">IFERROR(__xludf.DUMMYFUNCTION("""COMPUTED_VALUE"""),"Email")</f>
        <v>Email</v>
      </c>
    </row>
    <row r="242" spans="1:9" ht="13" x14ac:dyDescent="0.15">
      <c r="A242" s="9">
        <f ca="1">IFERROR(__xludf.DUMMYFUNCTION("""COMPUTED_VALUE"""),30535203)</f>
        <v>30535203</v>
      </c>
      <c r="B242" s="1" t="str">
        <f ca="1">IFERROR(__xludf.DUMMYFUNCTION("""COMPUTED_VALUE"""),"socjusticeadvocate@verizon.net")</f>
        <v>socjusticeadvocate@verizon.net</v>
      </c>
      <c r="C242" s="9" t="str">
        <f ca="1">IFERROR(__xludf.DUMMYFUNCTION("""COMPUTED_VALUE"""),"EVERGREEN - UAN Gated Content - Embedded Petition")</f>
        <v>EVERGREEN - UAN Gated Content - Embedded Petition</v>
      </c>
      <c r="D242" s="10">
        <f ca="1">IFERROR(__xludf.DUMMYFUNCTION("""COMPUTED_VALUE"""),45676)</f>
        <v>45676</v>
      </c>
      <c r="E242" s="1" t="str">
        <f ca="1">IFERROR(__xludf.DUMMYFUNCTION("""COMPUTED_VALUE"""),"Dominican Republic")</f>
        <v>Dominican Republic</v>
      </c>
      <c r="F242" s="1" t="str">
        <f ca="1">IFERROR(__xludf.DUMMYFUNCTION("""COMPUTED_VALUE"""),"88.24 Dominican Republic")</f>
        <v>88.24 Dominican Republic</v>
      </c>
      <c r="G242" s="1" t="str">
        <f ca="1">IFERROR(__xludf.DUMMYFUNCTION("""COMPUTED_VALUE"""),"Individuals At Risk, Refugee and Migrant Rights")</f>
        <v>Individuals At Risk, Refugee and Migrant Rights</v>
      </c>
      <c r="H242" s="1" t="str">
        <f ca="1">IFERROR(__xludf.DUMMYFUNCTION("""COMPUTED_VALUE"""),"2024")</f>
        <v>2024</v>
      </c>
      <c r="I242" s="1" t="str">
        <f ca="1">IFERROR(__xludf.DUMMYFUNCTION("""COMPUTED_VALUE"""),"Letter")</f>
        <v>Letter</v>
      </c>
    </row>
    <row r="243" spans="1:9" ht="13" x14ac:dyDescent="0.15">
      <c r="A243" s="9">
        <f ca="1">IFERROR(__xludf.DUMMYFUNCTION("""COMPUTED_VALUE"""),30535203)</f>
        <v>30535203</v>
      </c>
      <c r="B243" s="1" t="str">
        <f ca="1">IFERROR(__xludf.DUMMYFUNCTION("""COMPUTED_VALUE"""),"socjusticeadvocate@verizon.net")</f>
        <v>socjusticeadvocate@verizon.net</v>
      </c>
      <c r="C243" s="9" t="str">
        <f ca="1">IFERROR(__xludf.DUMMYFUNCTION("""COMPUTED_VALUE"""),"EVERGREEN - UAN Gated Content - Embedded Petition")</f>
        <v>EVERGREEN - UAN Gated Content - Embedded Petition</v>
      </c>
      <c r="D243" s="10">
        <f ca="1">IFERROR(__xludf.DUMMYFUNCTION("""COMPUTED_VALUE"""),45676)</f>
        <v>45676</v>
      </c>
      <c r="E243" s="1" t="str">
        <f ca="1">IFERROR(__xludf.DUMMYFUNCTION("""COMPUTED_VALUE"""),"Egypt")</f>
        <v>Egypt</v>
      </c>
      <c r="F243" s="1" t="str">
        <f ca="1">IFERROR(__xludf.DUMMYFUNCTION("""COMPUTED_VALUE"""),"Ninth 190.18 Egypt")</f>
        <v>Ninth 190.18 Egypt</v>
      </c>
      <c r="G243" s="1" t="str">
        <f ca="1">IFERROR(__xludf.DUMMYFUNCTION("""COMPUTED_VALUE"""),"Freedom of Expression, Individuals At Risk")</f>
        <v>Freedom of Expression, Individuals At Risk</v>
      </c>
      <c r="H243" s="1" t="str">
        <f ca="1">IFERROR(__xludf.DUMMYFUNCTION("""COMPUTED_VALUE"""),"2024")</f>
        <v>2024</v>
      </c>
      <c r="I243" s="1" t="str">
        <f ca="1">IFERROR(__xludf.DUMMYFUNCTION("""COMPUTED_VALUE"""),"Letter")</f>
        <v>Letter</v>
      </c>
    </row>
    <row r="244" spans="1:9" ht="13" x14ac:dyDescent="0.15">
      <c r="A244" s="9">
        <f ca="1">IFERROR(__xludf.DUMMYFUNCTION("""COMPUTED_VALUE"""),30535203)</f>
        <v>30535203</v>
      </c>
      <c r="B244" s="1" t="str">
        <f ca="1">IFERROR(__xludf.DUMMYFUNCTION("""COMPUTED_VALUE"""),"socjusticeadvocate@verizon.net")</f>
        <v>socjusticeadvocate@verizon.net</v>
      </c>
      <c r="C244" s="9" t="str">
        <f ca="1">IFERROR(__xludf.DUMMYFUNCTION("""COMPUTED_VALUE"""),"EVERGREEN - UAN Gated Content - Embedded Petition")</f>
        <v>EVERGREEN - UAN Gated Content - Embedded Petition</v>
      </c>
      <c r="D244" s="10">
        <f ca="1">IFERROR(__xludf.DUMMYFUNCTION("""COMPUTED_VALUE"""),45682)</f>
        <v>45682</v>
      </c>
      <c r="E244" s="1" t="str">
        <f ca="1">IFERROR(__xludf.DUMMYFUNCTION("""COMPUTED_VALUE"""),"Venezuela")</f>
        <v>Venezuela</v>
      </c>
      <c r="F244" s="1" t="str">
        <f ca="1">IFERROR(__xludf.DUMMYFUNCTION("""COMPUTED_VALUE"""),"97.24 Venezuela")</f>
        <v>97.24 Venezuela</v>
      </c>
      <c r="G244" s="1" t="str">
        <f ca="1">IFERROR(__xludf.DUMMYFUNCTION("""COMPUTED_VALUE"""),"Freedom of Expression")</f>
        <v>Freedom of Expression</v>
      </c>
      <c r="H244" s="1" t="str">
        <f ca="1">IFERROR(__xludf.DUMMYFUNCTION("""COMPUTED_VALUE"""),"2024")</f>
        <v>2024</v>
      </c>
      <c r="I244" s="1" t="str">
        <f ca="1">IFERROR(__xludf.DUMMYFUNCTION("""COMPUTED_VALUE"""),"Letter")</f>
        <v>Letter</v>
      </c>
    </row>
    <row r="245" spans="1:9" ht="13" x14ac:dyDescent="0.15">
      <c r="A245" s="9">
        <f ca="1">IFERROR(__xludf.DUMMYFUNCTION("""COMPUTED_VALUE"""),30535203)</f>
        <v>30535203</v>
      </c>
      <c r="B245" s="1" t="str">
        <f ca="1">IFERROR(__xludf.DUMMYFUNCTION("""COMPUTED_VALUE"""),"socjusticeadvocate@verizon.net")</f>
        <v>socjusticeadvocate@verizon.net</v>
      </c>
      <c r="C245" s="9" t="str">
        <f ca="1">IFERROR(__xludf.DUMMYFUNCTION("""COMPUTED_VALUE"""),"EVERGREEN - UAN Gated Content - Embedded Petition")</f>
        <v>EVERGREEN - UAN Gated Content - Embedded Petition</v>
      </c>
      <c r="D245" s="10">
        <f ca="1">IFERROR(__xludf.DUMMYFUNCTION("""COMPUTED_VALUE"""),45682)</f>
        <v>45682</v>
      </c>
      <c r="E245" s="1" t="str">
        <f ca="1">IFERROR(__xludf.DUMMYFUNCTION("""COMPUTED_VALUE"""),"USA")</f>
        <v>USA</v>
      </c>
      <c r="F245" s="1" t="str">
        <f ca="1">IFERROR(__xludf.DUMMYFUNCTION("""COMPUTED_VALUE"""),"105.24 USA")</f>
        <v>105.24 USA</v>
      </c>
      <c r="G245" s="1" t="str">
        <f ca="1">IFERROR(__xludf.DUMMYFUNCTION("""COMPUTED_VALUE"""),"Death Penalty")</f>
        <v>Death Penalty</v>
      </c>
      <c r="H245" s="1" t="str">
        <f ca="1">IFERROR(__xludf.DUMMYFUNCTION("""COMPUTED_VALUE"""),"2024")</f>
        <v>2024</v>
      </c>
      <c r="I245" s="1" t="str">
        <f ca="1">IFERROR(__xludf.DUMMYFUNCTION("""COMPUTED_VALUE"""),"Email")</f>
        <v>Email</v>
      </c>
    </row>
    <row r="246" spans="1:9" ht="13" x14ac:dyDescent="0.15">
      <c r="A246" s="9">
        <f ca="1">IFERROR(__xludf.DUMMYFUNCTION("""COMPUTED_VALUE"""),30536447)</f>
        <v>30536447</v>
      </c>
      <c r="B246" s="1" t="str">
        <f ca="1">IFERROR(__xludf.DUMMYFUNCTION("""COMPUTED_VALUE"""),"adbowesdmd@gmail.com")</f>
        <v>adbowesdmd@gmail.com</v>
      </c>
      <c r="C246" s="9" t="str">
        <f ca="1">IFERROR(__xludf.DUMMYFUNCTION("""COMPUTED_VALUE"""),"EVERGREEN - UAN Gated Content - Embedded Petition")</f>
        <v>EVERGREEN - UAN Gated Content - Embedded Petition</v>
      </c>
      <c r="D246" s="10">
        <f ca="1">IFERROR(__xludf.DUMMYFUNCTION("""COMPUTED_VALUE"""),45637)</f>
        <v>45637</v>
      </c>
      <c r="E246" s="1" t="str">
        <f ca="1">IFERROR(__xludf.DUMMYFUNCTION("""COMPUTED_VALUE"""),"Venezuela")</f>
        <v>Venezuela</v>
      </c>
      <c r="F246" s="1" t="str">
        <f ca="1">IFERROR(__xludf.DUMMYFUNCTION("""COMPUTED_VALUE"""),"97.24 Venezuela")</f>
        <v>97.24 Venezuela</v>
      </c>
      <c r="G246" s="1" t="str">
        <f ca="1">IFERROR(__xludf.DUMMYFUNCTION("""COMPUTED_VALUE"""),"Freedom of Expression")</f>
        <v>Freedom of Expression</v>
      </c>
      <c r="H246" s="1" t="str">
        <f ca="1">IFERROR(__xludf.DUMMYFUNCTION("""COMPUTED_VALUE"""),"2024")</f>
        <v>2024</v>
      </c>
      <c r="I246" s="1" t="str">
        <f ca="1">IFERROR(__xludf.DUMMYFUNCTION("""COMPUTED_VALUE"""),"Letter")</f>
        <v>Letter</v>
      </c>
    </row>
    <row r="247" spans="1:9" ht="13" x14ac:dyDescent="0.15">
      <c r="A247" s="9">
        <f ca="1">IFERROR(__xludf.DUMMYFUNCTION("""COMPUTED_VALUE"""),30536447)</f>
        <v>30536447</v>
      </c>
      <c r="B247" s="1" t="str">
        <f ca="1">IFERROR(__xludf.DUMMYFUNCTION("""COMPUTED_VALUE"""),"adbowesdmd@gmail.com")</f>
        <v>adbowesdmd@gmail.com</v>
      </c>
      <c r="C247" s="9" t="str">
        <f ca="1">IFERROR(__xludf.DUMMYFUNCTION("""COMPUTED_VALUE"""),"EVERGREEN - UAN Gated Content - Embedded Petition")</f>
        <v>EVERGREEN - UAN Gated Content - Embedded Petition</v>
      </c>
      <c r="D247" s="10">
        <f ca="1">IFERROR(__xludf.DUMMYFUNCTION("""COMPUTED_VALUE"""),45637)</f>
        <v>45637</v>
      </c>
      <c r="E247" s="1" t="str">
        <f ca="1">IFERROR(__xludf.DUMMYFUNCTION("""COMPUTED_VALUE"""),"Iran")</f>
        <v>Iran</v>
      </c>
      <c r="F247" s="1" t="str">
        <f ca="1">IFERROR(__xludf.DUMMYFUNCTION("""COMPUTED_VALUE"""),"Seventh 103.22 Iran")</f>
        <v>Seventh 103.22 Iran</v>
      </c>
      <c r="G247" s="1" t="str">
        <f ca="1">IFERROR(__xludf.DUMMYFUNCTION("""COMPUTED_VALUE"""),"Death Penalty, Freedom of Expression, Individuals At Risk")</f>
        <v>Death Penalty, Freedom of Expression, Individuals At Risk</v>
      </c>
      <c r="H247" s="1" t="str">
        <f ca="1">IFERROR(__xludf.DUMMYFUNCTION("""COMPUTED_VALUE"""),"2024")</f>
        <v>2024</v>
      </c>
      <c r="I247" s="1" t="str">
        <f ca="1">IFERROR(__xludf.DUMMYFUNCTION("""COMPUTED_VALUE"""),"Email")</f>
        <v>Email</v>
      </c>
    </row>
    <row r="248" spans="1:9" ht="13" x14ac:dyDescent="0.15">
      <c r="A248" s="9">
        <f ca="1">IFERROR(__xludf.DUMMYFUNCTION("""COMPUTED_VALUE"""),30536447)</f>
        <v>30536447</v>
      </c>
      <c r="B248" s="1" t="str">
        <f ca="1">IFERROR(__xludf.DUMMYFUNCTION("""COMPUTED_VALUE"""),"adbowesdmd@gmail.com")</f>
        <v>adbowesdmd@gmail.com</v>
      </c>
      <c r="C248" s="9" t="str">
        <f ca="1">IFERROR(__xludf.DUMMYFUNCTION("""COMPUTED_VALUE"""),"EVERGREEN - UAN Gated Content - Embedded Petition")</f>
        <v>EVERGREEN - UAN Gated Content - Embedded Petition</v>
      </c>
      <c r="D248" s="10">
        <f ca="1">IFERROR(__xludf.DUMMYFUNCTION("""COMPUTED_VALUE"""),45637)</f>
        <v>45637</v>
      </c>
      <c r="E248" s="1" t="str">
        <f ca="1">IFERROR(__xludf.DUMMYFUNCTION("""COMPUTED_VALUE"""),"Tunisia")</f>
        <v>Tunisia</v>
      </c>
      <c r="F248" s="1" t="str">
        <f ca="1">IFERROR(__xludf.DUMMYFUNCTION("""COMPUTED_VALUE"""),"Second 76.24 Tunisia")</f>
        <v>Second 76.24 Tunisia</v>
      </c>
      <c r="G248" s="1" t="str">
        <f ca="1">IFERROR(__xludf.DUMMYFUNCTION("""COMPUTED_VALUE"""),"Freedom of Expression, Human Rights Defenders")</f>
        <v>Freedom of Expression, Human Rights Defenders</v>
      </c>
      <c r="H248" s="1" t="str">
        <f ca="1">IFERROR(__xludf.DUMMYFUNCTION("""COMPUTED_VALUE"""),"2025")</f>
        <v>2025</v>
      </c>
      <c r="I248" s="1" t="str">
        <f ca="1">IFERROR(__xludf.DUMMYFUNCTION("""COMPUTED_VALUE"""),"Email")</f>
        <v>Email</v>
      </c>
    </row>
    <row r="249" spans="1:9" ht="13" x14ac:dyDescent="0.15">
      <c r="A249" s="9">
        <f ca="1">IFERROR(__xludf.DUMMYFUNCTION("""COMPUTED_VALUE"""),30536447)</f>
        <v>30536447</v>
      </c>
      <c r="B249" s="1" t="str">
        <f ca="1">IFERROR(__xludf.DUMMYFUNCTION("""COMPUTED_VALUE"""),"adbowesdmd@gmail.com")</f>
        <v>adbowesdmd@gmail.com</v>
      </c>
      <c r="C249" s="9" t="str">
        <f ca="1">IFERROR(__xludf.DUMMYFUNCTION("""COMPUTED_VALUE"""),"EVERGREEN - UAN Gated Content - Embedded Petition")</f>
        <v>EVERGREEN - UAN Gated Content - Embedded Petition</v>
      </c>
      <c r="D249" s="10">
        <f ca="1">IFERROR(__xludf.DUMMYFUNCTION("""COMPUTED_VALUE"""),45637)</f>
        <v>45637</v>
      </c>
      <c r="E249" s="1" t="str">
        <f ca="1">IFERROR(__xludf.DUMMYFUNCTION("""COMPUTED_VALUE"""),"Tunisia")</f>
        <v>Tunisia</v>
      </c>
      <c r="F249" s="1" t="str">
        <f ca="1">IFERROR(__xludf.DUMMYFUNCTION("""COMPUTED_VALUE"""),"Second 76.24 Tunisia")</f>
        <v>Second 76.24 Tunisia</v>
      </c>
      <c r="G249" s="1" t="str">
        <f ca="1">IFERROR(__xludf.DUMMYFUNCTION("""COMPUTED_VALUE"""),"Freedom of Expression, Human Rights Defenders")</f>
        <v>Freedom of Expression, Human Rights Defenders</v>
      </c>
      <c r="H249" s="1" t="str">
        <f ca="1">IFERROR(__xludf.DUMMYFUNCTION("""COMPUTED_VALUE"""),"2025")</f>
        <v>2025</v>
      </c>
      <c r="I249" s="1" t="str">
        <f ca="1">IFERROR(__xludf.DUMMYFUNCTION("""COMPUTED_VALUE"""),"Email")</f>
        <v>Email</v>
      </c>
    </row>
    <row r="250" spans="1:9" ht="13" x14ac:dyDescent="0.15">
      <c r="A250" s="9">
        <f ca="1">IFERROR(__xludf.DUMMYFUNCTION("""COMPUTED_VALUE"""),30536447)</f>
        <v>30536447</v>
      </c>
      <c r="B250" s="1" t="str">
        <f ca="1">IFERROR(__xludf.DUMMYFUNCTION("""COMPUTED_VALUE"""),"adbowesdmd@gmail.com")</f>
        <v>adbowesdmd@gmail.com</v>
      </c>
      <c r="C250" s="9" t="str">
        <f ca="1">IFERROR(__xludf.DUMMYFUNCTION("""COMPUTED_VALUE"""),"EVERGREEN - UAN Gated Content - Embedded Petition")</f>
        <v>EVERGREEN - UAN Gated Content - Embedded Petition</v>
      </c>
      <c r="D250" s="10">
        <f ca="1">IFERROR(__xludf.DUMMYFUNCTION("""COMPUTED_VALUE"""),45637)</f>
        <v>45637</v>
      </c>
      <c r="E250" s="1" t="str">
        <f ca="1">IFERROR(__xludf.DUMMYFUNCTION("""COMPUTED_VALUE"""),"Dominican Republic")</f>
        <v>Dominican Republic</v>
      </c>
      <c r="F250" s="1" t="str">
        <f ca="1">IFERROR(__xludf.DUMMYFUNCTION("""COMPUTED_VALUE"""),"88.24 Dominican Republic")</f>
        <v>88.24 Dominican Republic</v>
      </c>
      <c r="G250" s="1" t="str">
        <f ca="1">IFERROR(__xludf.DUMMYFUNCTION("""COMPUTED_VALUE"""),"Individuals At Risk, Refugee and Migrant Rights")</f>
        <v>Individuals At Risk, Refugee and Migrant Rights</v>
      </c>
      <c r="H250" s="1" t="str">
        <f ca="1">IFERROR(__xludf.DUMMYFUNCTION("""COMPUTED_VALUE"""),"2024")</f>
        <v>2024</v>
      </c>
      <c r="I250" s="1" t="str">
        <f ca="1">IFERROR(__xludf.DUMMYFUNCTION("""COMPUTED_VALUE"""),"Letter")</f>
        <v>Letter</v>
      </c>
    </row>
    <row r="251" spans="1:9" ht="13" x14ac:dyDescent="0.15">
      <c r="A251" s="9">
        <f ca="1">IFERROR(__xludf.DUMMYFUNCTION("""COMPUTED_VALUE"""),30536447)</f>
        <v>30536447</v>
      </c>
      <c r="B251" s="1" t="str">
        <f ca="1">IFERROR(__xludf.DUMMYFUNCTION("""COMPUTED_VALUE"""),"adbowesdmd@gmail.com")</f>
        <v>adbowesdmd@gmail.com</v>
      </c>
      <c r="C251" s="9" t="str">
        <f ca="1">IFERROR(__xludf.DUMMYFUNCTION("""COMPUTED_VALUE"""),"EVERGREEN - UAN Gated Content - Embedded Petition")</f>
        <v>EVERGREEN - UAN Gated Content - Embedded Petition</v>
      </c>
      <c r="D251" s="10">
        <f ca="1">IFERROR(__xludf.DUMMYFUNCTION("""COMPUTED_VALUE"""),45637)</f>
        <v>45637</v>
      </c>
      <c r="E251" s="1" t="str">
        <f ca="1">IFERROR(__xludf.DUMMYFUNCTION("""COMPUTED_VALUE"""),"Azerbaijan")</f>
        <v>Azerbaijan</v>
      </c>
      <c r="F251" s="1" t="str">
        <f ca="1">IFERROR(__xludf.DUMMYFUNCTION("""COMPUTED_VALUE"""),"2.25 Azerbaijan")</f>
        <v>2.25 Azerbaijan</v>
      </c>
      <c r="G251" s="1" t="str">
        <f ca="1">IFERROR(__xludf.DUMMYFUNCTION("""COMPUTED_VALUE"""),"Freedom of Expression, Human Rights Defenders")</f>
        <v>Freedom of Expression, Human Rights Defenders</v>
      </c>
      <c r="H251" s="1" t="str">
        <f ca="1">IFERROR(__xludf.DUMMYFUNCTION("""COMPUTED_VALUE"""),"2025")</f>
        <v>2025</v>
      </c>
      <c r="I251" s="1" t="str">
        <f ca="1">IFERROR(__xludf.DUMMYFUNCTION("""COMPUTED_VALUE"""),"Email")</f>
        <v>Email</v>
      </c>
    </row>
    <row r="252" spans="1:9" ht="13" x14ac:dyDescent="0.15">
      <c r="A252" s="9">
        <f ca="1">IFERROR(__xludf.DUMMYFUNCTION("""COMPUTED_VALUE"""),30536447)</f>
        <v>30536447</v>
      </c>
      <c r="B252" s="1" t="str">
        <f ca="1">IFERROR(__xludf.DUMMYFUNCTION("""COMPUTED_VALUE"""),"adbowesdmd@gmail.com")</f>
        <v>adbowesdmd@gmail.com</v>
      </c>
      <c r="C252" s="9" t="str">
        <f ca="1">IFERROR(__xludf.DUMMYFUNCTION("""COMPUTED_VALUE"""),"EVERGREEN - UAN Gated Content - Embedded Petition")</f>
        <v>EVERGREEN - UAN Gated Content - Embedded Petition</v>
      </c>
      <c r="D252" s="10">
        <f ca="1">IFERROR(__xludf.DUMMYFUNCTION("""COMPUTED_VALUE"""),45637)</f>
        <v>45637</v>
      </c>
      <c r="E252" s="1" t="str">
        <f ca="1">IFERROR(__xludf.DUMMYFUNCTION("""COMPUTED_VALUE"""),"Venezuela")</f>
        <v>Venezuela</v>
      </c>
      <c r="F252" s="1" t="str">
        <f ca="1">IFERROR(__xludf.DUMMYFUNCTION("""COMPUTED_VALUE"""),"1.25 Venezuela")</f>
        <v>1.25 Venezuela</v>
      </c>
      <c r="G252" s="1" t="str">
        <f ca="1">IFERROR(__xludf.DUMMYFUNCTION("""COMPUTED_VALUE"""),"Human Rights Defenders, Individuals At Risk")</f>
        <v>Human Rights Defenders, Individuals At Risk</v>
      </c>
      <c r="H252" s="1" t="str">
        <f ca="1">IFERROR(__xludf.DUMMYFUNCTION("""COMPUTED_VALUE"""),"2025")</f>
        <v>2025</v>
      </c>
      <c r="I252" s="1" t="str">
        <f ca="1">IFERROR(__xludf.DUMMYFUNCTION("""COMPUTED_VALUE"""),"Letter")</f>
        <v>Letter</v>
      </c>
    </row>
    <row r="253" spans="1:9" ht="13" x14ac:dyDescent="0.15">
      <c r="A253" s="9">
        <f ca="1">IFERROR(__xludf.DUMMYFUNCTION("""COMPUTED_VALUE"""),30536447)</f>
        <v>30536447</v>
      </c>
      <c r="B253" s="1" t="str">
        <f ca="1">IFERROR(__xludf.DUMMYFUNCTION("""COMPUTED_VALUE"""),"adbowesdmd@gmail.com")</f>
        <v>adbowesdmd@gmail.com</v>
      </c>
      <c r="C253" s="9" t="str">
        <f ca="1">IFERROR(__xludf.DUMMYFUNCTION("""COMPUTED_VALUE"""),"EVERGREEN - UAN Gated Content - Embedded Petition")</f>
        <v>EVERGREEN - UAN Gated Content - Embedded Petition</v>
      </c>
      <c r="D253" s="10">
        <f ca="1">IFERROR(__xludf.DUMMYFUNCTION("""COMPUTED_VALUE"""),45637)</f>
        <v>45637</v>
      </c>
      <c r="E253" s="1" t="str">
        <f ca="1">IFERROR(__xludf.DUMMYFUNCTION("""COMPUTED_VALUE"""),"Iran")</f>
        <v>Iran</v>
      </c>
      <c r="F253" s="1" t="str">
        <f ca="1">IFERROR(__xludf.DUMMYFUNCTION("""COMPUTED_VALUE"""),"Seventh 103.22 Iran")</f>
        <v>Seventh 103.22 Iran</v>
      </c>
      <c r="G253" s="1" t="str">
        <f ca="1">IFERROR(__xludf.DUMMYFUNCTION("""COMPUTED_VALUE"""),"Death Penalty, Freedom of Expression, Individuals At Risk")</f>
        <v>Death Penalty, Freedom of Expression, Individuals At Risk</v>
      </c>
      <c r="H253" s="1" t="str">
        <f ca="1">IFERROR(__xludf.DUMMYFUNCTION("""COMPUTED_VALUE"""),"2024")</f>
        <v>2024</v>
      </c>
      <c r="I253" s="1" t="str">
        <f ca="1">IFERROR(__xludf.DUMMYFUNCTION("""COMPUTED_VALUE"""),"Email")</f>
        <v>Email</v>
      </c>
    </row>
    <row r="254" spans="1:9" ht="13" x14ac:dyDescent="0.15">
      <c r="A254" s="9">
        <f ca="1">IFERROR(__xludf.DUMMYFUNCTION("""COMPUTED_VALUE"""),30536447)</f>
        <v>30536447</v>
      </c>
      <c r="B254" s="1" t="str">
        <f ca="1">IFERROR(__xludf.DUMMYFUNCTION("""COMPUTED_VALUE"""),"adbowesdmd@gmail.com")</f>
        <v>adbowesdmd@gmail.com</v>
      </c>
      <c r="C254" s="9" t="str">
        <f ca="1">IFERROR(__xludf.DUMMYFUNCTION("""COMPUTED_VALUE"""),"EVERGREEN - UAN Gated Content - Embedded Petition")</f>
        <v>EVERGREEN - UAN Gated Content - Embedded Petition</v>
      </c>
      <c r="D254" s="10">
        <f ca="1">IFERROR(__xludf.DUMMYFUNCTION("""COMPUTED_VALUE"""),45694)</f>
        <v>45694</v>
      </c>
      <c r="E254" s="1" t="str">
        <f ca="1">IFERROR(__xludf.DUMMYFUNCTION("""COMPUTED_VALUE"""),"Niger")</f>
        <v>Niger</v>
      </c>
      <c r="F254" s="1" t="str">
        <f ca="1">IFERROR(__xludf.DUMMYFUNCTION("""COMPUTED_VALUE"""),"103.24 Niger")</f>
        <v>103.24 Niger</v>
      </c>
      <c r="G254" s="1" t="str">
        <f ca="1">IFERROR(__xludf.DUMMYFUNCTION("""COMPUTED_VALUE"""),"Freedom of Expression, Human Rights Defenders")</f>
        <v>Freedom of Expression, Human Rights Defenders</v>
      </c>
      <c r="H254" s="1" t="str">
        <f ca="1">IFERROR(__xludf.DUMMYFUNCTION("""COMPUTED_VALUE"""),"2024")</f>
        <v>2024</v>
      </c>
      <c r="I254" s="1" t="str">
        <f ca="1">IFERROR(__xludf.DUMMYFUNCTION("""COMPUTED_VALUE"""),"Email")</f>
        <v>Email</v>
      </c>
    </row>
    <row r="255" spans="1:9" ht="13" x14ac:dyDescent="0.15">
      <c r="A255" s="9">
        <f ca="1">IFERROR(__xludf.DUMMYFUNCTION("""COMPUTED_VALUE"""),30538014)</f>
        <v>30538014</v>
      </c>
      <c r="B255" s="1" t="str">
        <f ca="1">IFERROR(__xludf.DUMMYFUNCTION("""COMPUTED_VALUE"""),"earthangel@riousa.com")</f>
        <v>earthangel@riousa.com</v>
      </c>
      <c r="C255" s="9" t="str">
        <f ca="1">IFERROR(__xludf.DUMMYFUNCTION("""COMPUTED_VALUE"""),"EVERGREEN - UAN Gated Content - Embedded Petition")</f>
        <v>EVERGREEN - UAN Gated Content - Embedded Petition</v>
      </c>
      <c r="D255" s="10">
        <f ca="1">IFERROR(__xludf.DUMMYFUNCTION("""COMPUTED_VALUE"""),45694)</f>
        <v>45694</v>
      </c>
      <c r="E255" s="1" t="str">
        <f ca="1">IFERROR(__xludf.DUMMYFUNCTION("""COMPUTED_VALUE"""),"Egypt")</f>
        <v>Egypt</v>
      </c>
      <c r="F255" s="1" t="str">
        <f ca="1">IFERROR(__xludf.DUMMYFUNCTION("""COMPUTED_VALUE"""),"Ninth 190.18 Egypt")</f>
        <v>Ninth 190.18 Egypt</v>
      </c>
      <c r="G255" s="1" t="str">
        <f ca="1">IFERROR(__xludf.DUMMYFUNCTION("""COMPUTED_VALUE"""),"Freedom of Expression, Individuals At Risk")</f>
        <v>Freedom of Expression, Individuals At Risk</v>
      </c>
      <c r="H255" s="1" t="str">
        <f ca="1">IFERROR(__xludf.DUMMYFUNCTION("""COMPUTED_VALUE"""),"2024")</f>
        <v>2024</v>
      </c>
      <c r="I255" s="1" t="str">
        <f ca="1">IFERROR(__xludf.DUMMYFUNCTION("""COMPUTED_VALUE"""),"Letter")</f>
        <v>Letter</v>
      </c>
    </row>
    <row r="256" spans="1:9" ht="13" x14ac:dyDescent="0.15">
      <c r="A256" s="9">
        <f ca="1">IFERROR(__xludf.DUMMYFUNCTION("""COMPUTED_VALUE"""),30538014)</f>
        <v>30538014</v>
      </c>
      <c r="B256" s="1" t="str">
        <f ca="1">IFERROR(__xludf.DUMMYFUNCTION("""COMPUTED_VALUE"""),"earthangel@riousa.com")</f>
        <v>earthangel@riousa.com</v>
      </c>
      <c r="C256" s="9" t="str">
        <f ca="1">IFERROR(__xludf.DUMMYFUNCTION("""COMPUTED_VALUE"""),"EVERGREEN - UAN Gated Content - Embedded Petition")</f>
        <v>EVERGREEN - UAN Gated Content - Embedded Petition</v>
      </c>
      <c r="D256" s="10">
        <f ca="1">IFERROR(__xludf.DUMMYFUNCTION("""COMPUTED_VALUE"""),45636)</f>
        <v>45636</v>
      </c>
      <c r="E256" s="1" t="str">
        <f ca="1">IFERROR(__xludf.DUMMYFUNCTION("""COMPUTED_VALUE"""),"Saudi Arabia")</f>
        <v>Saudi Arabia</v>
      </c>
      <c r="F256" s="1" t="str">
        <f ca="1">IFERROR(__xludf.DUMMYFUNCTION("""COMPUTED_VALUE"""),"Fifth 257.12")</f>
        <v>Fifth 257.12</v>
      </c>
      <c r="G256" s="1" t="str">
        <f ca="1">IFERROR(__xludf.DUMMYFUNCTION("""COMPUTED_VALUE"""),"Freedom of Expression, Human Rights Defenders")</f>
        <v>Freedom of Expression, Human Rights Defenders</v>
      </c>
      <c r="H256" s="1" t="str">
        <f ca="1">IFERROR(__xludf.DUMMYFUNCTION("""COMPUTED_VALUE"""),"2025")</f>
        <v>2025</v>
      </c>
      <c r="I256" s="1" t="str">
        <f ca="1">IFERROR(__xludf.DUMMYFUNCTION("""COMPUTED_VALUE"""),"Email")</f>
        <v>Email</v>
      </c>
    </row>
    <row r="257" spans="1:9" ht="13" x14ac:dyDescent="0.15">
      <c r="A257" s="9">
        <f ca="1">IFERROR(__xludf.DUMMYFUNCTION("""COMPUTED_VALUE"""),30542712)</f>
        <v>30542712</v>
      </c>
      <c r="B257" s="1" t="str">
        <f ca="1">IFERROR(__xludf.DUMMYFUNCTION("""COMPUTED_VALUE"""),"tom_g_zeller@yahoo.com")</f>
        <v>tom_g_zeller@yahoo.com</v>
      </c>
      <c r="C257" s="9" t="str">
        <f ca="1">IFERROR(__xludf.DUMMYFUNCTION("""COMPUTED_VALUE"""),"EVERGREEN - UAN Gated Content - Embedded Petition")</f>
        <v>EVERGREEN - UAN Gated Content - Embedded Petition</v>
      </c>
      <c r="D257" s="10">
        <f ca="1">IFERROR(__xludf.DUMMYFUNCTION("""COMPUTED_VALUE"""),45676)</f>
        <v>45676</v>
      </c>
      <c r="E257" s="1" t="str">
        <f ca="1">IFERROR(__xludf.DUMMYFUNCTION("""COMPUTED_VALUE"""),"Libya")</f>
        <v>Libya</v>
      </c>
      <c r="F257" s="1" t="str">
        <f ca="1">IFERROR(__xludf.DUMMYFUNCTION("""COMPUTED_VALUE"""),"12.25 Libya")</f>
        <v>12.25 Libya</v>
      </c>
      <c r="G257" s="1" t="str">
        <f ca="1">IFERROR(__xludf.DUMMYFUNCTION("""COMPUTED_VALUE"""),"Freedom of Expression, Health, Individuals At Risk")</f>
        <v>Freedom of Expression, Health, Individuals At Risk</v>
      </c>
      <c r="H257" s="1" t="str">
        <f ca="1">IFERROR(__xludf.DUMMYFUNCTION("""COMPUTED_VALUE"""),"2025")</f>
        <v>2025</v>
      </c>
      <c r="I257" s="1" t="str">
        <f ca="1">IFERROR(__xludf.DUMMYFUNCTION("""COMPUTED_VALUE"""),"Email")</f>
        <v>Email</v>
      </c>
    </row>
    <row r="258" spans="1:9" ht="13" x14ac:dyDescent="0.15">
      <c r="A258" s="9">
        <f ca="1">IFERROR(__xludf.DUMMYFUNCTION("""COMPUTED_VALUE"""),30542712)</f>
        <v>30542712</v>
      </c>
      <c r="B258" s="1" t="str">
        <f ca="1">IFERROR(__xludf.DUMMYFUNCTION("""COMPUTED_VALUE"""),"tom_g_zeller@yahoo.com")</f>
        <v>tom_g_zeller@yahoo.com</v>
      </c>
      <c r="C258" s="9" t="str">
        <f ca="1">IFERROR(__xludf.DUMMYFUNCTION("""COMPUTED_VALUE"""),"EVERGREEN - UAN Gated Content - Embedded Petition")</f>
        <v>EVERGREEN - UAN Gated Content - Embedded Petition</v>
      </c>
      <c r="D258" s="10">
        <f ca="1">IFERROR(__xludf.DUMMYFUNCTION("""COMPUTED_VALUE"""),45694)</f>
        <v>45694</v>
      </c>
      <c r="E258" s="1" t="str">
        <f ca="1">IFERROR(__xludf.DUMMYFUNCTION("""COMPUTED_VALUE"""),"Libya")</f>
        <v>Libya</v>
      </c>
      <c r="F258" s="1" t="str">
        <f ca="1">IFERROR(__xludf.DUMMYFUNCTION("""COMPUTED_VALUE"""),"12.25 Libya")</f>
        <v>12.25 Libya</v>
      </c>
      <c r="G258" s="1" t="str">
        <f ca="1">IFERROR(__xludf.DUMMYFUNCTION("""COMPUTED_VALUE"""),"Freedom of Expression, Health, Individuals At Risk")</f>
        <v>Freedom of Expression, Health, Individuals At Risk</v>
      </c>
      <c r="H258" s="1" t="str">
        <f ca="1">IFERROR(__xludf.DUMMYFUNCTION("""COMPUTED_VALUE"""),"2025")</f>
        <v>2025</v>
      </c>
      <c r="I258" s="1" t="str">
        <f ca="1">IFERROR(__xludf.DUMMYFUNCTION("""COMPUTED_VALUE"""),"Email")</f>
        <v>Email</v>
      </c>
    </row>
    <row r="259" spans="1:9" ht="13" x14ac:dyDescent="0.15">
      <c r="A259" s="9">
        <f ca="1">IFERROR(__xludf.DUMMYFUNCTION("""COMPUTED_VALUE"""),30542898)</f>
        <v>30542898</v>
      </c>
      <c r="B259" s="1" t="str">
        <f ca="1">IFERROR(__xludf.DUMMYFUNCTION("""COMPUTED_VALUE"""),"maryrich@isunet.net")</f>
        <v>maryrich@isunet.net</v>
      </c>
      <c r="C259" s="9" t="str">
        <f ca="1">IFERROR(__xludf.DUMMYFUNCTION("""COMPUTED_VALUE"""),"EVERGREEN - UAN Gated Content - Embedded Petition")</f>
        <v>EVERGREEN - UAN Gated Content - Embedded Petition</v>
      </c>
      <c r="D259" s="10">
        <f ca="1">IFERROR(__xludf.DUMMYFUNCTION("""COMPUTED_VALUE"""),45696)</f>
        <v>45696</v>
      </c>
      <c r="E259" s="1" t="str">
        <f ca="1">IFERROR(__xludf.DUMMYFUNCTION("""COMPUTED_VALUE"""),"Iran")</f>
        <v>Iran</v>
      </c>
      <c r="F259" s="1" t="str">
        <f ca="1">IFERROR(__xludf.DUMMYFUNCTION("""COMPUTED_VALUE"""),"10.25 Iran")</f>
        <v>10.25 Iran</v>
      </c>
      <c r="G259" s="1" t="str">
        <f ca="1">IFERROR(__xludf.DUMMYFUNCTION("""COMPUTED_VALUE"""),"Death Penalty, Individuals At Risk")</f>
        <v>Death Penalty, Individuals At Risk</v>
      </c>
      <c r="H259" s="1" t="str">
        <f ca="1">IFERROR(__xludf.DUMMYFUNCTION("""COMPUTED_VALUE"""),"2025")</f>
        <v>2025</v>
      </c>
      <c r="I259" s="1" t="str">
        <f ca="1">IFERROR(__xludf.DUMMYFUNCTION("""COMPUTED_VALUE"""),"Email")</f>
        <v>Email</v>
      </c>
    </row>
    <row r="260" spans="1:9" ht="13" x14ac:dyDescent="0.15">
      <c r="A260" s="9">
        <f ca="1">IFERROR(__xludf.DUMMYFUNCTION("""COMPUTED_VALUE"""),30543128)</f>
        <v>30543128</v>
      </c>
      <c r="B260" s="1" t="str">
        <f ca="1">IFERROR(__xludf.DUMMYFUNCTION("""COMPUTED_VALUE"""),"dankoz29@gmail.com")</f>
        <v>dankoz29@gmail.com</v>
      </c>
      <c r="C260" s="9" t="str">
        <f ca="1">IFERROR(__xludf.DUMMYFUNCTION("""COMPUTED_VALUE"""),"EVERGREEN - UAN Gated Content - Embedded Petition")</f>
        <v>EVERGREEN - UAN Gated Content - Embedded Petition</v>
      </c>
      <c r="D260" s="10">
        <f ca="1">IFERROR(__xludf.DUMMYFUNCTION("""COMPUTED_VALUE"""),45694)</f>
        <v>45694</v>
      </c>
      <c r="E260" s="1" t="str">
        <f ca="1">IFERROR(__xludf.DUMMYFUNCTION("""COMPUTED_VALUE"""),"Egypt")</f>
        <v>Egypt</v>
      </c>
      <c r="F260" s="1" t="str">
        <f ca="1">IFERROR(__xludf.DUMMYFUNCTION("""COMPUTED_VALUE"""),"Second 80.23 Egypt")</f>
        <v>Second 80.23 Egypt</v>
      </c>
      <c r="G260" s="1" t="str">
        <f ca="1">IFERROR(__xludf.DUMMYFUNCTION("""COMPUTED_VALUE"""),"Health, Individuals At Risk")</f>
        <v>Health, Individuals At Risk</v>
      </c>
      <c r="H260" s="1" t="str">
        <f ca="1">IFERROR(__xludf.DUMMYFUNCTION("""COMPUTED_VALUE"""),"2025")</f>
        <v>2025</v>
      </c>
      <c r="I260" s="1" t="str">
        <f ca="1">IFERROR(__xludf.DUMMYFUNCTION("""COMPUTED_VALUE"""),"Email")</f>
        <v>Email</v>
      </c>
    </row>
    <row r="261" spans="1:9" ht="13" x14ac:dyDescent="0.15">
      <c r="A261" s="9">
        <f ca="1">IFERROR(__xludf.DUMMYFUNCTION("""COMPUTED_VALUE"""),30551431)</f>
        <v>30551431</v>
      </c>
      <c r="B261" s="1" t="str">
        <f ca="1">IFERROR(__xludf.DUMMYFUNCTION("""COMPUTED_VALUE"""),"ajanahadley@gmail.com")</f>
        <v>ajanahadley@gmail.com</v>
      </c>
      <c r="C261" s="9" t="str">
        <f ca="1">IFERROR(__xludf.DUMMYFUNCTION("""COMPUTED_VALUE"""),"EVERGREEN - UAN Gated Content - Embedded Petition")</f>
        <v>EVERGREEN - UAN Gated Content - Embedded Petition</v>
      </c>
      <c r="D261" s="10">
        <f ca="1">IFERROR(__xludf.DUMMYFUNCTION("""COMPUTED_VALUE"""),45674)</f>
        <v>45674</v>
      </c>
      <c r="E261" s="1" t="str">
        <f ca="1">IFERROR(__xludf.DUMMYFUNCTION("""COMPUTED_VALUE"""),"Egypt")</f>
        <v>Egypt</v>
      </c>
      <c r="F261" s="1" t="str">
        <f ca="1">IFERROR(__xludf.DUMMYFUNCTION("""COMPUTED_VALUE"""),"Second 80.23 Egypt")</f>
        <v>Second 80.23 Egypt</v>
      </c>
      <c r="G261" s="1" t="str">
        <f ca="1">IFERROR(__xludf.DUMMYFUNCTION("""COMPUTED_VALUE"""),"Health, Individuals At Risk")</f>
        <v>Health, Individuals At Risk</v>
      </c>
      <c r="H261" s="1" t="str">
        <f ca="1">IFERROR(__xludf.DUMMYFUNCTION("""COMPUTED_VALUE"""),"2025")</f>
        <v>2025</v>
      </c>
      <c r="I261" s="1" t="str">
        <f ca="1">IFERROR(__xludf.DUMMYFUNCTION("""COMPUTED_VALUE"""),"Email")</f>
        <v>Email</v>
      </c>
    </row>
    <row r="262" spans="1:9" ht="13" x14ac:dyDescent="0.15">
      <c r="A262" s="9">
        <f ca="1">IFERROR(__xludf.DUMMYFUNCTION("""COMPUTED_VALUE"""),30551431)</f>
        <v>30551431</v>
      </c>
      <c r="B262" s="1" t="str">
        <f ca="1">IFERROR(__xludf.DUMMYFUNCTION("""COMPUTED_VALUE"""),"ajanahadley@gmail.com")</f>
        <v>ajanahadley@gmail.com</v>
      </c>
      <c r="C262" s="9" t="str">
        <f ca="1">IFERROR(__xludf.DUMMYFUNCTION("""COMPUTED_VALUE"""),"EVERGREEN - UAN Gated Content - Embedded Petition")</f>
        <v>EVERGREEN - UAN Gated Content - Embedded Petition</v>
      </c>
      <c r="D262" s="10">
        <f ca="1">IFERROR(__xludf.DUMMYFUNCTION("""COMPUTED_VALUE"""),45674)</f>
        <v>45674</v>
      </c>
      <c r="E262" s="1" t="str">
        <f ca="1">IFERROR(__xludf.DUMMYFUNCTION("""COMPUTED_VALUE"""),"Iran")</f>
        <v>Iran</v>
      </c>
      <c r="F262" s="1" t="str">
        <f ca="1">IFERROR(__xludf.DUMMYFUNCTION("""COMPUTED_VALUE"""),"10.25 Iran")</f>
        <v>10.25 Iran</v>
      </c>
      <c r="G262" s="1" t="str">
        <f ca="1">IFERROR(__xludf.DUMMYFUNCTION("""COMPUTED_VALUE"""),"Death Penalty, Individuals At Risk")</f>
        <v>Death Penalty, Individuals At Risk</v>
      </c>
      <c r="H262" s="1" t="str">
        <f ca="1">IFERROR(__xludf.DUMMYFUNCTION("""COMPUTED_VALUE"""),"2025")</f>
        <v>2025</v>
      </c>
      <c r="I262" s="1" t="str">
        <f ca="1">IFERROR(__xludf.DUMMYFUNCTION("""COMPUTED_VALUE"""),"Email")</f>
        <v>Email</v>
      </c>
    </row>
    <row r="263" spans="1:9" ht="13" x14ac:dyDescent="0.15">
      <c r="A263" s="9">
        <f ca="1">IFERROR(__xludf.DUMMYFUNCTION("""COMPUTED_VALUE"""),30553214)</f>
        <v>30553214</v>
      </c>
      <c r="B263" s="1" t="str">
        <f ca="1">IFERROR(__xludf.DUMMYFUNCTION("""COMPUTED_VALUE"""),"g.holly.cq@gmail.com")</f>
        <v>g.holly.cq@gmail.com</v>
      </c>
      <c r="C263" s="9" t="str">
        <f ca="1">IFERROR(__xludf.DUMMYFUNCTION("""COMPUTED_VALUE"""),"EVERGREEN - UAN Gated Content - Embedded Petition")</f>
        <v>EVERGREEN - UAN Gated Content - Embedded Petition</v>
      </c>
      <c r="D263" s="10">
        <f ca="1">IFERROR(__xludf.DUMMYFUNCTION("""COMPUTED_VALUE"""),45677)</f>
        <v>45677</v>
      </c>
      <c r="E263" s="1" t="str">
        <f ca="1">IFERROR(__xludf.DUMMYFUNCTION("""COMPUTED_VALUE"""),"Libya")</f>
        <v>Libya</v>
      </c>
      <c r="F263" s="1" t="str">
        <f ca="1">IFERROR(__xludf.DUMMYFUNCTION("""COMPUTED_VALUE"""),"12.25 Libya")</f>
        <v>12.25 Libya</v>
      </c>
      <c r="G263" s="1" t="str">
        <f ca="1">IFERROR(__xludf.DUMMYFUNCTION("""COMPUTED_VALUE"""),"Freedom of Expression, Health, Individuals At Risk")</f>
        <v>Freedom of Expression, Health, Individuals At Risk</v>
      </c>
      <c r="H263" s="1" t="str">
        <f ca="1">IFERROR(__xludf.DUMMYFUNCTION("""COMPUTED_VALUE"""),"2025")</f>
        <v>2025</v>
      </c>
      <c r="I263" s="1" t="str">
        <f ca="1">IFERROR(__xludf.DUMMYFUNCTION("""COMPUTED_VALUE"""),"Email")</f>
        <v>Email</v>
      </c>
    </row>
    <row r="264" spans="1:9" ht="13" x14ac:dyDescent="0.15">
      <c r="A264" s="9">
        <f ca="1">IFERROR(__xludf.DUMMYFUNCTION("""COMPUTED_VALUE"""),30553214)</f>
        <v>30553214</v>
      </c>
      <c r="B264" s="1" t="str">
        <f ca="1">IFERROR(__xludf.DUMMYFUNCTION("""COMPUTED_VALUE"""),"g.holly.cq@gmail.com")</f>
        <v>g.holly.cq@gmail.com</v>
      </c>
      <c r="C264" s="9" t="str">
        <f ca="1">IFERROR(__xludf.DUMMYFUNCTION("""COMPUTED_VALUE"""),"EVERGREEN - UAN Gated Content - Embedded Petition")</f>
        <v>EVERGREEN - UAN Gated Content - Embedded Petition</v>
      </c>
      <c r="D264" s="10">
        <f ca="1">IFERROR(__xludf.DUMMYFUNCTION("""COMPUTED_VALUE"""),45636)</f>
        <v>45636</v>
      </c>
      <c r="E264" s="1" t="str">
        <f ca="1">IFERROR(__xludf.DUMMYFUNCTION("""COMPUTED_VALUE"""),"Tunisia")</f>
        <v>Tunisia</v>
      </c>
      <c r="F264" s="1" t="str">
        <f ca="1">IFERROR(__xludf.DUMMYFUNCTION("""COMPUTED_VALUE"""),"Second 76.24 Tunisia")</f>
        <v>Second 76.24 Tunisia</v>
      </c>
      <c r="G264" s="1" t="str">
        <f ca="1">IFERROR(__xludf.DUMMYFUNCTION("""COMPUTED_VALUE"""),"Freedom of Expression, Human Rights Defenders")</f>
        <v>Freedom of Expression, Human Rights Defenders</v>
      </c>
      <c r="H264" s="1" t="str">
        <f ca="1">IFERROR(__xludf.DUMMYFUNCTION("""COMPUTED_VALUE"""),"2025")</f>
        <v>2025</v>
      </c>
      <c r="I264" s="1" t="str">
        <f ca="1">IFERROR(__xludf.DUMMYFUNCTION("""COMPUTED_VALUE"""),"Email")</f>
        <v>Email</v>
      </c>
    </row>
    <row r="265" spans="1:9" ht="13" x14ac:dyDescent="0.15">
      <c r="A265" s="9">
        <f ca="1">IFERROR(__xludf.DUMMYFUNCTION("""COMPUTED_VALUE"""),30559409)</f>
        <v>30559409</v>
      </c>
      <c r="B265" s="1" t="str">
        <f ca="1">IFERROR(__xludf.DUMMYFUNCTION("""COMPUTED_VALUE"""),"jessica629@hotmail.com")</f>
        <v>jessica629@hotmail.com</v>
      </c>
      <c r="C265" s="9" t="str">
        <f ca="1">IFERROR(__xludf.DUMMYFUNCTION("""COMPUTED_VALUE"""),"EVERGREEN - UAN Gated Content - Embedded Petition")</f>
        <v>EVERGREEN - UAN Gated Content - Embedded Petition</v>
      </c>
      <c r="D265" s="10">
        <f ca="1">IFERROR(__xludf.DUMMYFUNCTION("""COMPUTED_VALUE"""),45684)</f>
        <v>45684</v>
      </c>
      <c r="E265" s="1" t="str">
        <f ca="1">IFERROR(__xludf.DUMMYFUNCTION("""COMPUTED_VALUE"""),"Dominican Republic")</f>
        <v>Dominican Republic</v>
      </c>
      <c r="F265" s="1" t="str">
        <f ca="1">IFERROR(__xludf.DUMMYFUNCTION("""COMPUTED_VALUE"""),"88.24 Dominican Republic")</f>
        <v>88.24 Dominican Republic</v>
      </c>
      <c r="G265" s="1" t="str">
        <f ca="1">IFERROR(__xludf.DUMMYFUNCTION("""COMPUTED_VALUE"""),"Individuals At Risk, Refugee and Migrant Rights")</f>
        <v>Individuals At Risk, Refugee and Migrant Rights</v>
      </c>
      <c r="H265" s="1" t="str">
        <f ca="1">IFERROR(__xludf.DUMMYFUNCTION("""COMPUTED_VALUE"""),"2024")</f>
        <v>2024</v>
      </c>
      <c r="I265" s="1" t="str">
        <f ca="1">IFERROR(__xludf.DUMMYFUNCTION("""COMPUTED_VALUE"""),"Letter")</f>
        <v>Letter</v>
      </c>
    </row>
    <row r="266" spans="1:9" ht="13" x14ac:dyDescent="0.15">
      <c r="A266" s="9">
        <f ca="1">IFERROR(__xludf.DUMMYFUNCTION("""COMPUTED_VALUE"""),30563115)</f>
        <v>30563115</v>
      </c>
      <c r="B266" s="1" t="str">
        <f ca="1">IFERROR(__xludf.DUMMYFUNCTION("""COMPUTED_VALUE"""),"matt@aps.org")</f>
        <v>matt@aps.org</v>
      </c>
      <c r="C266" s="9" t="str">
        <f ca="1">IFERROR(__xludf.DUMMYFUNCTION("""COMPUTED_VALUE"""),"EVERGREEN - UAN Gated Content - Embedded Petition")</f>
        <v>EVERGREEN - UAN Gated Content - Embedded Petition</v>
      </c>
      <c r="D266" s="10">
        <f ca="1">IFERROR(__xludf.DUMMYFUNCTION("""COMPUTED_VALUE"""),45694)</f>
        <v>45694</v>
      </c>
      <c r="E266" s="1" t="str">
        <f ca="1">IFERROR(__xludf.DUMMYFUNCTION("""COMPUTED_VALUE"""),"USA")</f>
        <v>USA</v>
      </c>
      <c r="F266" s="1" t="str">
        <f ca="1">IFERROR(__xludf.DUMMYFUNCTION("""COMPUTED_VALUE"""),"4.25 USA")</f>
        <v>4.25 USA</v>
      </c>
      <c r="G266" s="1" t="str">
        <f ca="1">IFERROR(__xludf.DUMMYFUNCTION("""COMPUTED_VALUE"""),"Individuals At Risk, Refugee and Migrant Rights")</f>
        <v>Individuals At Risk, Refugee and Migrant Rights</v>
      </c>
      <c r="H266" s="1" t="str">
        <f ca="1">IFERROR(__xludf.DUMMYFUNCTION("""COMPUTED_VALUE"""),"2025")</f>
        <v>2025</v>
      </c>
      <c r="I266" s="1" t="str">
        <f ca="1">IFERROR(__xludf.DUMMYFUNCTION("""COMPUTED_VALUE"""),"Letter")</f>
        <v>Letter</v>
      </c>
    </row>
    <row r="267" spans="1:9" ht="13" x14ac:dyDescent="0.15">
      <c r="A267" s="9">
        <f ca="1">IFERROR(__xludf.DUMMYFUNCTION("""COMPUTED_VALUE"""),30566725)</f>
        <v>30566725</v>
      </c>
      <c r="B267" s="1" t="str">
        <f ca="1">IFERROR(__xludf.DUMMYFUNCTION("""COMPUTED_VALUE"""),"edgracely@verizon.net")</f>
        <v>edgracely@verizon.net</v>
      </c>
      <c r="C267" s="9" t="str">
        <f ca="1">IFERROR(__xludf.DUMMYFUNCTION("""COMPUTED_VALUE"""),"EVERGREEN - UAN Gated Content - Embedded Petition")</f>
        <v>EVERGREEN - UAN Gated Content - Embedded Petition</v>
      </c>
      <c r="D267" s="10">
        <f ca="1">IFERROR(__xludf.DUMMYFUNCTION("""COMPUTED_VALUE"""),45624)</f>
        <v>45624</v>
      </c>
      <c r="E267" s="1" t="str">
        <f ca="1">IFERROR(__xludf.DUMMYFUNCTION("""COMPUTED_VALUE"""),"Venezuela")</f>
        <v>Venezuela</v>
      </c>
      <c r="F267" s="1" t="str">
        <f ca="1">IFERROR(__xludf.DUMMYFUNCTION("""COMPUTED_VALUE"""),"1.25 Venezuela")</f>
        <v>1.25 Venezuela</v>
      </c>
      <c r="G267" s="1" t="str">
        <f ca="1">IFERROR(__xludf.DUMMYFUNCTION("""COMPUTED_VALUE"""),"Human Rights Defenders, Individuals At Risk")</f>
        <v>Human Rights Defenders, Individuals At Risk</v>
      </c>
      <c r="H267" s="1" t="str">
        <f ca="1">IFERROR(__xludf.DUMMYFUNCTION("""COMPUTED_VALUE"""),"2025")</f>
        <v>2025</v>
      </c>
      <c r="I267" s="1" t="str">
        <f ca="1">IFERROR(__xludf.DUMMYFUNCTION("""COMPUTED_VALUE"""),"Letter")</f>
        <v>Letter</v>
      </c>
    </row>
    <row r="268" spans="1:9" ht="13" x14ac:dyDescent="0.15">
      <c r="A268" s="9">
        <f ca="1">IFERROR(__xludf.DUMMYFUNCTION("""COMPUTED_VALUE"""),30566725)</f>
        <v>30566725</v>
      </c>
      <c r="B268" s="1" t="str">
        <f ca="1">IFERROR(__xludf.DUMMYFUNCTION("""COMPUTED_VALUE"""),"edgracely@verizon.net")</f>
        <v>edgracely@verizon.net</v>
      </c>
      <c r="C268" s="9" t="str">
        <f ca="1">IFERROR(__xludf.DUMMYFUNCTION("""COMPUTED_VALUE"""),"EVERGREEN - UAN Gated Content - Embedded Petition")</f>
        <v>EVERGREEN - UAN Gated Content - Embedded Petition</v>
      </c>
      <c r="D268" s="10">
        <f ca="1">IFERROR(__xludf.DUMMYFUNCTION("""COMPUTED_VALUE"""),45624)</f>
        <v>45624</v>
      </c>
      <c r="E268" s="1" t="str">
        <f ca="1">IFERROR(__xludf.DUMMYFUNCTION("""COMPUTED_VALUE"""),"Venezuela")</f>
        <v>Venezuela</v>
      </c>
      <c r="F268" s="1" t="str">
        <f ca="1">IFERROR(__xludf.DUMMYFUNCTION("""COMPUTED_VALUE"""),"1.25 Venezuela")</f>
        <v>1.25 Venezuela</v>
      </c>
      <c r="G268" s="1" t="str">
        <f ca="1">IFERROR(__xludf.DUMMYFUNCTION("""COMPUTED_VALUE"""),"Human Rights Defenders, Individuals At Risk")</f>
        <v>Human Rights Defenders, Individuals At Risk</v>
      </c>
      <c r="H268" s="1" t="str">
        <f ca="1">IFERROR(__xludf.DUMMYFUNCTION("""COMPUTED_VALUE"""),"2025")</f>
        <v>2025</v>
      </c>
      <c r="I268" s="1" t="str">
        <f ca="1">IFERROR(__xludf.DUMMYFUNCTION("""COMPUTED_VALUE"""),"Letter")</f>
        <v>Letter</v>
      </c>
    </row>
    <row r="269" spans="1:9" ht="13" x14ac:dyDescent="0.15">
      <c r="A269" s="9">
        <f ca="1">IFERROR(__xludf.DUMMYFUNCTION("""COMPUTED_VALUE"""),30566725)</f>
        <v>30566725</v>
      </c>
      <c r="B269" s="1" t="str">
        <f ca="1">IFERROR(__xludf.DUMMYFUNCTION("""COMPUTED_VALUE"""),"edgracely@verizon.net")</f>
        <v>edgracely@verizon.net</v>
      </c>
      <c r="C269" s="9" t="str">
        <f ca="1">IFERROR(__xludf.DUMMYFUNCTION("""COMPUTED_VALUE"""),"EVERGREEN - UAN Gated Content - Embedded Petition")</f>
        <v>EVERGREEN - UAN Gated Content - Embedded Petition</v>
      </c>
      <c r="D269" s="10">
        <f ca="1">IFERROR(__xludf.DUMMYFUNCTION("""COMPUTED_VALUE"""),45651)</f>
        <v>45651</v>
      </c>
      <c r="E269" s="1" t="str">
        <f ca="1">IFERROR(__xludf.DUMMYFUNCTION("""COMPUTED_VALUE"""),"Egypt")</f>
        <v>Egypt</v>
      </c>
      <c r="F269" s="1" t="str">
        <f ca="1">IFERROR(__xludf.DUMMYFUNCTION("""COMPUTED_VALUE"""),"Ninth 190.18 Egypt")</f>
        <v>Ninth 190.18 Egypt</v>
      </c>
      <c r="G269" s="1" t="str">
        <f ca="1">IFERROR(__xludf.DUMMYFUNCTION("""COMPUTED_VALUE"""),"Freedom of Expression, Individuals At Risk")</f>
        <v>Freedom of Expression, Individuals At Risk</v>
      </c>
      <c r="H269" s="1" t="str">
        <f ca="1">IFERROR(__xludf.DUMMYFUNCTION("""COMPUTED_VALUE"""),"2024")</f>
        <v>2024</v>
      </c>
      <c r="I269" s="1" t="str">
        <f ca="1">IFERROR(__xludf.DUMMYFUNCTION("""COMPUTED_VALUE"""),"Letter")</f>
        <v>Letter</v>
      </c>
    </row>
    <row r="270" spans="1:9" ht="13" x14ac:dyDescent="0.15">
      <c r="A270" s="9">
        <f ca="1">IFERROR(__xludf.DUMMYFUNCTION("""COMPUTED_VALUE"""),30566725)</f>
        <v>30566725</v>
      </c>
      <c r="B270" s="1" t="str">
        <f ca="1">IFERROR(__xludf.DUMMYFUNCTION("""COMPUTED_VALUE"""),"edgracely@verizon.net")</f>
        <v>edgracely@verizon.net</v>
      </c>
      <c r="C270" s="9" t="str">
        <f ca="1">IFERROR(__xludf.DUMMYFUNCTION("""COMPUTED_VALUE"""),"EVERGREEN - UAN Gated Content - Embedded Petition")</f>
        <v>EVERGREEN - UAN Gated Content - Embedded Petition</v>
      </c>
      <c r="D270" s="10">
        <f ca="1">IFERROR(__xludf.DUMMYFUNCTION("""COMPUTED_VALUE"""),45641)</f>
        <v>45641</v>
      </c>
      <c r="E270" s="1" t="str">
        <f ca="1">IFERROR(__xludf.DUMMYFUNCTION("""COMPUTED_VALUE"""),"Egypt")</f>
        <v>Egypt</v>
      </c>
      <c r="F270" s="1" t="str">
        <f ca="1">IFERROR(__xludf.DUMMYFUNCTION("""COMPUTED_VALUE"""),"Ninth 190.18 Egypt")</f>
        <v>Ninth 190.18 Egypt</v>
      </c>
      <c r="G270" s="1" t="str">
        <f ca="1">IFERROR(__xludf.DUMMYFUNCTION("""COMPUTED_VALUE"""),"Freedom of Expression, Individuals At Risk")</f>
        <v>Freedom of Expression, Individuals At Risk</v>
      </c>
      <c r="H270" s="1" t="str">
        <f ca="1">IFERROR(__xludf.DUMMYFUNCTION("""COMPUTED_VALUE"""),"2024")</f>
        <v>2024</v>
      </c>
      <c r="I270" s="1" t="str">
        <f ca="1">IFERROR(__xludf.DUMMYFUNCTION("""COMPUTED_VALUE"""),"Letter")</f>
        <v>Letter</v>
      </c>
    </row>
    <row r="271" spans="1:9" ht="13" x14ac:dyDescent="0.15">
      <c r="A271" s="9">
        <f ca="1">IFERROR(__xludf.DUMMYFUNCTION("""COMPUTED_VALUE"""),30566725)</f>
        <v>30566725</v>
      </c>
      <c r="B271" s="1" t="str">
        <f ca="1">IFERROR(__xludf.DUMMYFUNCTION("""COMPUTED_VALUE"""),"edgracely@verizon.net")</f>
        <v>edgracely@verizon.net</v>
      </c>
      <c r="C271" s="9" t="str">
        <f ca="1">IFERROR(__xludf.DUMMYFUNCTION("""COMPUTED_VALUE"""),"EVERGREEN - UAN Gated Content - Embedded Petition")</f>
        <v>EVERGREEN - UAN Gated Content - Embedded Petition</v>
      </c>
      <c r="D271" s="10">
        <f ca="1">IFERROR(__xludf.DUMMYFUNCTION("""COMPUTED_VALUE"""),45641)</f>
        <v>45641</v>
      </c>
      <c r="E271" s="1" t="str">
        <f ca="1">IFERROR(__xludf.DUMMYFUNCTION("""COMPUTED_VALUE"""),"Niger")</f>
        <v>Niger</v>
      </c>
      <c r="F271" s="1" t="str">
        <f ca="1">IFERROR(__xludf.DUMMYFUNCTION("""COMPUTED_VALUE"""),"103.24 Niger")</f>
        <v>103.24 Niger</v>
      </c>
      <c r="G271" s="1" t="str">
        <f ca="1">IFERROR(__xludf.DUMMYFUNCTION("""COMPUTED_VALUE"""),"Freedom of Expression, Human Rights Defenders")</f>
        <v>Freedom of Expression, Human Rights Defenders</v>
      </c>
      <c r="H271" s="1" t="str">
        <f ca="1">IFERROR(__xludf.DUMMYFUNCTION("""COMPUTED_VALUE"""),"2024")</f>
        <v>2024</v>
      </c>
      <c r="I271" s="1" t="str">
        <f ca="1">IFERROR(__xludf.DUMMYFUNCTION("""COMPUTED_VALUE"""),"Email")</f>
        <v>Email</v>
      </c>
    </row>
    <row r="272" spans="1:9" ht="13" x14ac:dyDescent="0.15">
      <c r="A272" s="9">
        <f ca="1">IFERROR(__xludf.DUMMYFUNCTION("""COMPUTED_VALUE"""),30573656)</f>
        <v>30573656</v>
      </c>
      <c r="B272" s="1" t="str">
        <f ca="1">IFERROR(__xludf.DUMMYFUNCTION("""COMPUTED_VALUE"""),"eeebbb@aol.com")</f>
        <v>eeebbb@aol.com</v>
      </c>
      <c r="C272" s="9" t="str">
        <f ca="1">IFERROR(__xludf.DUMMYFUNCTION("""COMPUTED_VALUE"""),"EVERGREEN - UAN Gated Content - Embedded Petition")</f>
        <v>EVERGREEN - UAN Gated Content - Embedded Petition</v>
      </c>
      <c r="D272" s="10">
        <f ca="1">IFERROR(__xludf.DUMMYFUNCTION("""COMPUTED_VALUE"""),45674)</f>
        <v>45674</v>
      </c>
      <c r="E272" s="1" t="str">
        <f ca="1">IFERROR(__xludf.DUMMYFUNCTION("""COMPUTED_VALUE"""),"Egypt")</f>
        <v>Egypt</v>
      </c>
      <c r="F272" s="1" t="str">
        <f ca="1">IFERROR(__xludf.DUMMYFUNCTION("""COMPUTED_VALUE"""),"Ninth 190.18 Egypt")</f>
        <v>Ninth 190.18 Egypt</v>
      </c>
      <c r="G272" s="1" t="str">
        <f ca="1">IFERROR(__xludf.DUMMYFUNCTION("""COMPUTED_VALUE"""),"Freedom of Expression, Individuals At Risk")</f>
        <v>Freedom of Expression, Individuals At Risk</v>
      </c>
      <c r="H272" s="1" t="str">
        <f ca="1">IFERROR(__xludf.DUMMYFUNCTION("""COMPUTED_VALUE"""),"2024")</f>
        <v>2024</v>
      </c>
      <c r="I272" s="1" t="str">
        <f ca="1">IFERROR(__xludf.DUMMYFUNCTION("""COMPUTED_VALUE"""),"Letter")</f>
        <v>Letter</v>
      </c>
    </row>
    <row r="273" spans="1:9" ht="13" x14ac:dyDescent="0.15">
      <c r="A273" s="9">
        <f ca="1">IFERROR(__xludf.DUMMYFUNCTION("""COMPUTED_VALUE"""),30583112)</f>
        <v>30583112</v>
      </c>
      <c r="B273" s="1" t="str">
        <f ca="1">IFERROR(__xludf.DUMMYFUNCTION("""COMPUTED_VALUE"""),"evil.sausage@gmail.com")</f>
        <v>evil.sausage@gmail.com</v>
      </c>
      <c r="C273" s="9" t="str">
        <f ca="1">IFERROR(__xludf.DUMMYFUNCTION("""COMPUTED_VALUE"""),"EVERGREEN - UAN Gated Content - Embedded Petition")</f>
        <v>EVERGREEN - UAN Gated Content - Embedded Petition</v>
      </c>
      <c r="D273" s="10">
        <f ca="1">IFERROR(__xludf.DUMMYFUNCTION("""COMPUTED_VALUE"""),45695)</f>
        <v>45695</v>
      </c>
      <c r="E273" s="1" t="str">
        <f ca="1">IFERROR(__xludf.DUMMYFUNCTION("""COMPUTED_VALUE"""),"Venezuela")</f>
        <v>Venezuela</v>
      </c>
      <c r="F273" s="1" t="str">
        <f ca="1">IFERROR(__xludf.DUMMYFUNCTION("""COMPUTED_VALUE"""),"97.24 Venezuela")</f>
        <v>97.24 Venezuela</v>
      </c>
      <c r="G273" s="1" t="str">
        <f ca="1">IFERROR(__xludf.DUMMYFUNCTION("""COMPUTED_VALUE"""),"Freedom of Expression")</f>
        <v>Freedom of Expression</v>
      </c>
      <c r="H273" s="1" t="str">
        <f ca="1">IFERROR(__xludf.DUMMYFUNCTION("""COMPUTED_VALUE"""),"2024")</f>
        <v>2024</v>
      </c>
      <c r="I273" s="1" t="str">
        <f ca="1">IFERROR(__xludf.DUMMYFUNCTION("""COMPUTED_VALUE"""),"Letter")</f>
        <v>Letter</v>
      </c>
    </row>
    <row r="274" spans="1:9" ht="13" x14ac:dyDescent="0.15">
      <c r="A274" s="9">
        <f ca="1">IFERROR(__xludf.DUMMYFUNCTION("""COMPUTED_VALUE"""),30607626)</f>
        <v>30607626</v>
      </c>
      <c r="B274" s="1" t="str">
        <f ca="1">IFERROR(__xludf.DUMMYFUNCTION("""COMPUTED_VALUE"""),"kuehlcarrie@gmail.com")</f>
        <v>kuehlcarrie@gmail.com</v>
      </c>
      <c r="C274" s="9" t="str">
        <f ca="1">IFERROR(__xludf.DUMMYFUNCTION("""COMPUTED_VALUE"""),"EVERGREEN - UAN Gated Content - Embedded Petition")</f>
        <v>EVERGREEN - UAN Gated Content - Embedded Petition</v>
      </c>
      <c r="D274" s="10">
        <f ca="1">IFERROR(__xludf.DUMMYFUNCTION("""COMPUTED_VALUE"""),45694)</f>
        <v>45694</v>
      </c>
      <c r="E274" s="1" t="str">
        <f ca="1">IFERROR(__xludf.DUMMYFUNCTION("""COMPUTED_VALUE"""),"Tunisia")</f>
        <v>Tunisia</v>
      </c>
      <c r="F274" s="1" t="str">
        <f ca="1">IFERROR(__xludf.DUMMYFUNCTION("""COMPUTED_VALUE"""),"Second 76.24 Tunisia")</f>
        <v>Second 76.24 Tunisia</v>
      </c>
      <c r="G274" s="1" t="str">
        <f ca="1">IFERROR(__xludf.DUMMYFUNCTION("""COMPUTED_VALUE"""),"Freedom of Expression, Human Rights Defenders")</f>
        <v>Freedom of Expression, Human Rights Defenders</v>
      </c>
      <c r="H274" s="1" t="str">
        <f ca="1">IFERROR(__xludf.DUMMYFUNCTION("""COMPUTED_VALUE"""),"2025")</f>
        <v>2025</v>
      </c>
      <c r="I274" s="1" t="str">
        <f ca="1">IFERROR(__xludf.DUMMYFUNCTION("""COMPUTED_VALUE"""),"Email")</f>
        <v>Email</v>
      </c>
    </row>
    <row r="275" spans="1:9" ht="13" x14ac:dyDescent="0.15">
      <c r="A275" s="9">
        <f ca="1">IFERROR(__xludf.DUMMYFUNCTION("""COMPUTED_VALUE"""),30607626)</f>
        <v>30607626</v>
      </c>
      <c r="B275" s="1" t="str">
        <f ca="1">IFERROR(__xludf.DUMMYFUNCTION("""COMPUTED_VALUE"""),"kuehlcarrie@gmail.com")</f>
        <v>kuehlcarrie@gmail.com</v>
      </c>
      <c r="C275" s="9" t="str">
        <f ca="1">IFERROR(__xludf.DUMMYFUNCTION("""COMPUTED_VALUE"""),"EVERGREEN - UAN Gated Content - Embedded Petition")</f>
        <v>EVERGREEN - UAN Gated Content - Embedded Petition</v>
      </c>
      <c r="D275" s="10">
        <f ca="1">IFERROR(__xludf.DUMMYFUNCTION("""COMPUTED_VALUE"""),45654)</f>
        <v>45654</v>
      </c>
      <c r="E275" s="1" t="str">
        <f ca="1">IFERROR(__xludf.DUMMYFUNCTION("""COMPUTED_VALUE"""),"China")</f>
        <v>China</v>
      </c>
      <c r="F275" s="1" t="str">
        <f ca="1">IFERROR(__xludf.DUMMYFUNCTION("""COMPUTED_VALUE"""),"98.24 China")</f>
        <v>98.24 China</v>
      </c>
      <c r="G275" s="1" t="str">
        <f ca="1">IFERROR(__xludf.DUMMYFUNCTION("""COMPUTED_VALUE"""),"Freedom of Expression, Individuals At Risk")</f>
        <v>Freedom of Expression, Individuals At Risk</v>
      </c>
      <c r="H275" s="1" t="str">
        <f ca="1">IFERROR(__xludf.DUMMYFUNCTION("""COMPUTED_VALUE"""),"2024")</f>
        <v>2024</v>
      </c>
      <c r="I275" s="1" t="str">
        <f ca="1">IFERROR(__xludf.DUMMYFUNCTION("""COMPUTED_VALUE"""),"Letter")</f>
        <v>Letter</v>
      </c>
    </row>
    <row r="276" spans="1:9" ht="13" x14ac:dyDescent="0.15">
      <c r="A276" s="9">
        <f ca="1">IFERROR(__xludf.DUMMYFUNCTION("""COMPUTED_VALUE"""),30609362)</f>
        <v>30609362</v>
      </c>
      <c r="B276" s="1" t="str">
        <f ca="1">IFERROR(__xludf.DUMMYFUNCTION("""COMPUTED_VALUE"""),"12newmoons@gmail.com")</f>
        <v>12newmoons@gmail.com</v>
      </c>
      <c r="C276" s="9" t="str">
        <f ca="1">IFERROR(__xludf.DUMMYFUNCTION("""COMPUTED_VALUE"""),"EVERGREEN - UAN Gated Content - Embedded Petition")</f>
        <v>EVERGREEN - UAN Gated Content - Embedded Petition</v>
      </c>
      <c r="D276" s="10">
        <f ca="1">IFERROR(__xludf.DUMMYFUNCTION("""COMPUTED_VALUE"""),45676)</f>
        <v>45676</v>
      </c>
      <c r="E276" s="1" t="str">
        <f ca="1">IFERROR(__xludf.DUMMYFUNCTION("""COMPUTED_VALUE"""),"Venezuela")</f>
        <v>Venezuela</v>
      </c>
      <c r="F276" s="1" t="str">
        <f ca="1">IFERROR(__xludf.DUMMYFUNCTION("""COMPUTED_VALUE"""),"97.24 Venezuela")</f>
        <v>97.24 Venezuela</v>
      </c>
      <c r="G276" s="1" t="str">
        <f ca="1">IFERROR(__xludf.DUMMYFUNCTION("""COMPUTED_VALUE"""),"Freedom of Expression")</f>
        <v>Freedom of Expression</v>
      </c>
      <c r="H276" s="1" t="str">
        <f ca="1">IFERROR(__xludf.DUMMYFUNCTION("""COMPUTED_VALUE"""),"2024")</f>
        <v>2024</v>
      </c>
      <c r="I276" s="1" t="str">
        <f ca="1">IFERROR(__xludf.DUMMYFUNCTION("""COMPUTED_VALUE"""),"Letter")</f>
        <v>Letter</v>
      </c>
    </row>
    <row r="277" spans="1:9" ht="13" x14ac:dyDescent="0.15">
      <c r="A277" s="9">
        <f ca="1">IFERROR(__xludf.DUMMYFUNCTION("""COMPUTED_VALUE"""),30609362)</f>
        <v>30609362</v>
      </c>
      <c r="B277" s="1" t="str">
        <f ca="1">IFERROR(__xludf.DUMMYFUNCTION("""COMPUTED_VALUE"""),"12newmoons@gmail.com")</f>
        <v>12newmoons@gmail.com</v>
      </c>
      <c r="C277" s="9" t="str">
        <f ca="1">IFERROR(__xludf.DUMMYFUNCTION("""COMPUTED_VALUE"""),"EVERGREEN - UAN Gated Content - Embedded Petition")</f>
        <v>EVERGREEN - UAN Gated Content - Embedded Petition</v>
      </c>
      <c r="D277" s="10">
        <f ca="1">IFERROR(__xludf.DUMMYFUNCTION("""COMPUTED_VALUE"""),45676)</f>
        <v>45676</v>
      </c>
      <c r="E277" s="1" t="str">
        <f ca="1">IFERROR(__xludf.DUMMYFUNCTION("""COMPUTED_VALUE"""),"USA")</f>
        <v>USA</v>
      </c>
      <c r="F277" s="1" t="str">
        <f ca="1">IFERROR(__xludf.DUMMYFUNCTION("""COMPUTED_VALUE"""),"105.24 USA")</f>
        <v>105.24 USA</v>
      </c>
      <c r="G277" s="1" t="str">
        <f ca="1">IFERROR(__xludf.DUMMYFUNCTION("""COMPUTED_VALUE"""),"Death Penalty")</f>
        <v>Death Penalty</v>
      </c>
      <c r="H277" s="1" t="str">
        <f ca="1">IFERROR(__xludf.DUMMYFUNCTION("""COMPUTED_VALUE"""),"2024")</f>
        <v>2024</v>
      </c>
      <c r="I277" s="1" t="str">
        <f ca="1">IFERROR(__xludf.DUMMYFUNCTION("""COMPUTED_VALUE"""),"Email")</f>
        <v>Email</v>
      </c>
    </row>
    <row r="278" spans="1:9" ht="13" x14ac:dyDescent="0.15">
      <c r="A278" s="9">
        <f ca="1">IFERROR(__xludf.DUMMYFUNCTION("""COMPUTED_VALUE"""),30609362)</f>
        <v>30609362</v>
      </c>
      <c r="B278" s="1" t="str">
        <f ca="1">IFERROR(__xludf.DUMMYFUNCTION("""COMPUTED_VALUE"""),"12newmoons@gmail.com")</f>
        <v>12newmoons@gmail.com</v>
      </c>
      <c r="C278" s="9" t="str">
        <f ca="1">IFERROR(__xludf.DUMMYFUNCTION("""COMPUTED_VALUE"""),"EVERGREEN - UAN Gated Content - Embedded Petition")</f>
        <v>EVERGREEN - UAN Gated Content - Embedded Petition</v>
      </c>
      <c r="D278" s="10">
        <f ca="1">IFERROR(__xludf.DUMMYFUNCTION("""COMPUTED_VALUE"""),45676)</f>
        <v>45676</v>
      </c>
      <c r="E278" s="1" t="str">
        <f ca="1">IFERROR(__xludf.DUMMYFUNCTION("""COMPUTED_VALUE"""),"Egypt")</f>
        <v>Egypt</v>
      </c>
      <c r="F278" s="1" t="str">
        <f ca="1">IFERROR(__xludf.DUMMYFUNCTION("""COMPUTED_VALUE"""),"Ninth 190.18 Egypt")</f>
        <v>Ninth 190.18 Egypt</v>
      </c>
      <c r="G278" s="1" t="str">
        <f ca="1">IFERROR(__xludf.DUMMYFUNCTION("""COMPUTED_VALUE"""),"Freedom of Expression, Individuals At Risk")</f>
        <v>Freedom of Expression, Individuals At Risk</v>
      </c>
      <c r="H278" s="1" t="str">
        <f ca="1">IFERROR(__xludf.DUMMYFUNCTION("""COMPUTED_VALUE"""),"2024")</f>
        <v>2024</v>
      </c>
      <c r="I278" s="1" t="str">
        <f ca="1">IFERROR(__xludf.DUMMYFUNCTION("""COMPUTED_VALUE"""),"Letter")</f>
        <v>Letter</v>
      </c>
    </row>
    <row r="279" spans="1:9" ht="13" x14ac:dyDescent="0.15">
      <c r="A279" s="9">
        <f ca="1">IFERROR(__xludf.DUMMYFUNCTION("""COMPUTED_VALUE"""),30609362)</f>
        <v>30609362</v>
      </c>
      <c r="B279" s="1" t="str">
        <f ca="1">IFERROR(__xludf.DUMMYFUNCTION("""COMPUTED_VALUE"""),"12newmoons@gmail.com")</f>
        <v>12newmoons@gmail.com</v>
      </c>
      <c r="C279" s="9" t="str">
        <f ca="1">IFERROR(__xludf.DUMMYFUNCTION("""COMPUTED_VALUE"""),"EVERGREEN - UAN Gated Content - Embedded Petition")</f>
        <v>EVERGREEN - UAN Gated Content - Embedded Petition</v>
      </c>
      <c r="D279" s="10">
        <f ca="1">IFERROR(__xludf.DUMMYFUNCTION("""COMPUTED_VALUE"""),45676)</f>
        <v>45676</v>
      </c>
      <c r="E279" s="1" t="str">
        <f ca="1">IFERROR(__xludf.DUMMYFUNCTION("""COMPUTED_VALUE"""),"Tunisia")</f>
        <v>Tunisia</v>
      </c>
      <c r="F279" s="1" t="str">
        <f ca="1">IFERROR(__xludf.DUMMYFUNCTION("""COMPUTED_VALUE"""),"Second 76.24 Tunisia")</f>
        <v>Second 76.24 Tunisia</v>
      </c>
      <c r="G279" s="1" t="str">
        <f ca="1">IFERROR(__xludf.DUMMYFUNCTION("""COMPUTED_VALUE"""),"Freedom of Expression, Human Rights Defenders")</f>
        <v>Freedom of Expression, Human Rights Defenders</v>
      </c>
      <c r="H279" s="1" t="str">
        <f ca="1">IFERROR(__xludf.DUMMYFUNCTION("""COMPUTED_VALUE"""),"2025")</f>
        <v>2025</v>
      </c>
      <c r="I279" s="1" t="str">
        <f ca="1">IFERROR(__xludf.DUMMYFUNCTION("""COMPUTED_VALUE"""),"Email")</f>
        <v>Email</v>
      </c>
    </row>
    <row r="280" spans="1:9" ht="13" x14ac:dyDescent="0.15">
      <c r="A280" s="9">
        <f ca="1">IFERROR(__xludf.DUMMYFUNCTION("""COMPUTED_VALUE"""),30618362)</f>
        <v>30618362</v>
      </c>
      <c r="B280" s="1" t="str">
        <f ca="1">IFERROR(__xludf.DUMMYFUNCTION("""COMPUTED_VALUE"""),"patricia.richter99@gmail.com")</f>
        <v>patricia.richter99@gmail.com</v>
      </c>
      <c r="C280" s="9" t="str">
        <f ca="1">IFERROR(__xludf.DUMMYFUNCTION("""COMPUTED_VALUE"""),"EVERGREEN - UAN Gated Content - Embedded Petition")</f>
        <v>EVERGREEN - UAN Gated Content - Embedded Petition</v>
      </c>
      <c r="D280" s="10">
        <f ca="1">IFERROR(__xludf.DUMMYFUNCTION("""COMPUTED_VALUE"""),45636)</f>
        <v>45636</v>
      </c>
      <c r="E280" s="1" t="str">
        <f ca="1">IFERROR(__xludf.DUMMYFUNCTION("""COMPUTED_VALUE"""),"Uganda")</f>
        <v>Uganda</v>
      </c>
      <c r="F280" s="1" t="str">
        <f ca="1">IFERROR(__xludf.DUMMYFUNCTION("""COMPUTED_VALUE"""),"100.24 Uganda")</f>
        <v>100.24 Uganda</v>
      </c>
      <c r="G280" s="1" t="str">
        <f ca="1">IFERROR(__xludf.DUMMYFUNCTION("""COMPUTED_VALUE"""),"Freedom of Expression")</f>
        <v>Freedom of Expression</v>
      </c>
      <c r="H280" s="1" t="str">
        <f ca="1">IFERROR(__xludf.DUMMYFUNCTION("""COMPUTED_VALUE"""),"2024")</f>
        <v>2024</v>
      </c>
      <c r="I280" s="1" t="str">
        <f ca="1">IFERROR(__xludf.DUMMYFUNCTION("""COMPUTED_VALUE"""),"Email")</f>
        <v>Email</v>
      </c>
    </row>
    <row r="281" spans="1:9" ht="13" x14ac:dyDescent="0.15">
      <c r="A281" s="9">
        <f ca="1">IFERROR(__xludf.DUMMYFUNCTION("""COMPUTED_VALUE"""),30658978)</f>
        <v>30658978</v>
      </c>
      <c r="B281" s="1" t="str">
        <f ca="1">IFERROR(__xludf.DUMMYFUNCTION("""COMPUTED_VALUE"""),"robadams@compuserve.com")</f>
        <v>robadams@compuserve.com</v>
      </c>
      <c r="C281" s="9" t="str">
        <f ca="1">IFERROR(__xludf.DUMMYFUNCTION("""COMPUTED_VALUE"""),"EVERGREEN - UAN Gated Content - Embedded Petition")</f>
        <v>EVERGREEN - UAN Gated Content - Embedded Petition</v>
      </c>
      <c r="D281" s="10">
        <f ca="1">IFERROR(__xludf.DUMMYFUNCTION("""COMPUTED_VALUE"""),45699)</f>
        <v>45699</v>
      </c>
      <c r="E281" s="1" t="str">
        <f ca="1">IFERROR(__xludf.DUMMYFUNCTION("""COMPUTED_VALUE"""),"Iran")</f>
        <v>Iran</v>
      </c>
      <c r="F281" s="1" t="str">
        <f ca="1">IFERROR(__xludf.DUMMYFUNCTION("""COMPUTED_VALUE"""),"10.25 Iran")</f>
        <v>10.25 Iran</v>
      </c>
      <c r="G281" s="1" t="str">
        <f ca="1">IFERROR(__xludf.DUMMYFUNCTION("""COMPUTED_VALUE"""),"Death Penalty, Individuals At Risk")</f>
        <v>Death Penalty, Individuals At Risk</v>
      </c>
      <c r="H281" s="1" t="str">
        <f ca="1">IFERROR(__xludf.DUMMYFUNCTION("""COMPUTED_VALUE"""),"2025")</f>
        <v>2025</v>
      </c>
      <c r="I281" s="1" t="str">
        <f ca="1">IFERROR(__xludf.DUMMYFUNCTION("""COMPUTED_VALUE"""),"Email")</f>
        <v>Email</v>
      </c>
    </row>
    <row r="282" spans="1:9" ht="13" x14ac:dyDescent="0.15">
      <c r="A282" s="9">
        <f ca="1">IFERROR(__xludf.DUMMYFUNCTION("""COMPUTED_VALUE"""),30658978)</f>
        <v>30658978</v>
      </c>
      <c r="B282" s="1" t="str">
        <f ca="1">IFERROR(__xludf.DUMMYFUNCTION("""COMPUTED_VALUE"""),"robadams@compuserve.com")</f>
        <v>robadams@compuserve.com</v>
      </c>
      <c r="C282" s="9" t="str">
        <f ca="1">IFERROR(__xludf.DUMMYFUNCTION("""COMPUTED_VALUE"""),"EVERGREEN - UAN Gated Content - Embedded Petition")</f>
        <v>EVERGREEN - UAN Gated Content - Embedded Petition</v>
      </c>
      <c r="D282" s="10">
        <f ca="1">IFERROR(__xludf.DUMMYFUNCTION("""COMPUTED_VALUE"""),45699)</f>
        <v>45699</v>
      </c>
      <c r="E282" s="1" t="str">
        <f ca="1">IFERROR(__xludf.DUMMYFUNCTION("""COMPUTED_VALUE"""),"Tunisia")</f>
        <v>Tunisia</v>
      </c>
      <c r="F282" s="1" t="str">
        <f ca="1">IFERROR(__xludf.DUMMYFUNCTION("""COMPUTED_VALUE"""),"Second 76.24 Tunisia")</f>
        <v>Second 76.24 Tunisia</v>
      </c>
      <c r="G282" s="1" t="str">
        <f ca="1">IFERROR(__xludf.DUMMYFUNCTION("""COMPUTED_VALUE"""),"Freedom of Expression, Human Rights Defenders")</f>
        <v>Freedom of Expression, Human Rights Defenders</v>
      </c>
      <c r="H282" s="1" t="str">
        <f ca="1">IFERROR(__xludf.DUMMYFUNCTION("""COMPUTED_VALUE"""),"2025")</f>
        <v>2025</v>
      </c>
      <c r="I282" s="1" t="str">
        <f ca="1">IFERROR(__xludf.DUMMYFUNCTION("""COMPUTED_VALUE"""),"Email")</f>
        <v>Email</v>
      </c>
    </row>
    <row r="283" spans="1:9" ht="13" x14ac:dyDescent="0.15">
      <c r="A283" s="9">
        <f ca="1">IFERROR(__xludf.DUMMYFUNCTION("""COMPUTED_VALUE"""),30658978)</f>
        <v>30658978</v>
      </c>
      <c r="B283" s="1" t="str">
        <f ca="1">IFERROR(__xludf.DUMMYFUNCTION("""COMPUTED_VALUE"""),"robadams@compuserve.com")</f>
        <v>robadams@compuserve.com</v>
      </c>
      <c r="C283" s="9" t="str">
        <f ca="1">IFERROR(__xludf.DUMMYFUNCTION("""COMPUTED_VALUE"""),"EVERGREEN - UAN Gated Content - Embedded Petition")</f>
        <v>EVERGREEN - UAN Gated Content - Embedded Petition</v>
      </c>
      <c r="D283" s="10">
        <f ca="1">IFERROR(__xludf.DUMMYFUNCTION("""COMPUTED_VALUE"""),45699)</f>
        <v>45699</v>
      </c>
      <c r="E283" s="1" t="str">
        <f ca="1">IFERROR(__xludf.DUMMYFUNCTION("""COMPUTED_VALUE"""),"USA")</f>
        <v>USA</v>
      </c>
      <c r="F283" s="1" t="str">
        <f ca="1">IFERROR(__xludf.DUMMYFUNCTION("""COMPUTED_VALUE"""),"4.25 USA")</f>
        <v>4.25 USA</v>
      </c>
      <c r="G283" s="1" t="str">
        <f ca="1">IFERROR(__xludf.DUMMYFUNCTION("""COMPUTED_VALUE"""),"Individuals At Risk, Refugee and Migrant Rights")</f>
        <v>Individuals At Risk, Refugee and Migrant Rights</v>
      </c>
      <c r="H283" s="1" t="str">
        <f ca="1">IFERROR(__xludf.DUMMYFUNCTION("""COMPUTED_VALUE"""),"2025")</f>
        <v>2025</v>
      </c>
      <c r="I283" s="1" t="str">
        <f ca="1">IFERROR(__xludf.DUMMYFUNCTION("""COMPUTED_VALUE"""),"Letter")</f>
        <v>Letter</v>
      </c>
    </row>
    <row r="284" spans="1:9" ht="13" x14ac:dyDescent="0.15">
      <c r="A284" s="9">
        <f ca="1">IFERROR(__xludf.DUMMYFUNCTION("""COMPUTED_VALUE"""),30658978)</f>
        <v>30658978</v>
      </c>
      <c r="B284" s="1" t="str">
        <f ca="1">IFERROR(__xludf.DUMMYFUNCTION("""COMPUTED_VALUE"""),"robadams@compuserve.com")</f>
        <v>robadams@compuserve.com</v>
      </c>
      <c r="C284" s="9" t="str">
        <f ca="1">IFERROR(__xludf.DUMMYFUNCTION("""COMPUTED_VALUE"""),"EVERGREEN - UAN Gated Content - Embedded Petition")</f>
        <v>EVERGREEN - UAN Gated Content - Embedded Petition</v>
      </c>
      <c r="D284" s="10">
        <f ca="1">IFERROR(__xludf.DUMMYFUNCTION("""COMPUTED_VALUE"""),45700)</f>
        <v>45700</v>
      </c>
      <c r="E284" s="1" t="str">
        <f ca="1">IFERROR(__xludf.DUMMYFUNCTION("""COMPUTED_VALUE"""),"Venezuela")</f>
        <v>Venezuela</v>
      </c>
      <c r="F284" s="1" t="str">
        <f ca="1">IFERROR(__xludf.DUMMYFUNCTION("""COMPUTED_VALUE"""),"97.24 Venezuela")</f>
        <v>97.24 Venezuela</v>
      </c>
      <c r="G284" s="1" t="str">
        <f ca="1">IFERROR(__xludf.DUMMYFUNCTION("""COMPUTED_VALUE"""),"Freedom of Expression")</f>
        <v>Freedom of Expression</v>
      </c>
      <c r="H284" s="1" t="str">
        <f ca="1">IFERROR(__xludf.DUMMYFUNCTION("""COMPUTED_VALUE"""),"2024")</f>
        <v>2024</v>
      </c>
      <c r="I284" s="1" t="str">
        <f ca="1">IFERROR(__xludf.DUMMYFUNCTION("""COMPUTED_VALUE"""),"Letter")</f>
        <v>Letter</v>
      </c>
    </row>
    <row r="285" spans="1:9" ht="13" x14ac:dyDescent="0.15">
      <c r="A285" s="9">
        <f ca="1">IFERROR(__xludf.DUMMYFUNCTION("""COMPUTED_VALUE"""),30658978)</f>
        <v>30658978</v>
      </c>
      <c r="B285" s="1" t="str">
        <f ca="1">IFERROR(__xludf.DUMMYFUNCTION("""COMPUTED_VALUE"""),"robadams@compuserve.com")</f>
        <v>robadams@compuserve.com</v>
      </c>
      <c r="C285" s="9" t="str">
        <f ca="1">IFERROR(__xludf.DUMMYFUNCTION("""COMPUTED_VALUE"""),"EVERGREEN - UAN Gated Content - Embedded Petition")</f>
        <v>EVERGREEN - UAN Gated Content - Embedded Petition</v>
      </c>
      <c r="D285" s="10">
        <f ca="1">IFERROR(__xludf.DUMMYFUNCTION("""COMPUTED_VALUE"""),45700)</f>
        <v>45700</v>
      </c>
      <c r="E285" s="1" t="str">
        <f ca="1">IFERROR(__xludf.DUMMYFUNCTION("""COMPUTED_VALUE"""),"Tunisia")</f>
        <v>Tunisia</v>
      </c>
      <c r="F285" s="1" t="str">
        <f ca="1">IFERROR(__xludf.DUMMYFUNCTION("""COMPUTED_VALUE"""),"Second 76.24 Tunisia")</f>
        <v>Second 76.24 Tunisia</v>
      </c>
      <c r="G285" s="1" t="str">
        <f ca="1">IFERROR(__xludf.DUMMYFUNCTION("""COMPUTED_VALUE"""),"Freedom of Expression, Human Rights Defenders")</f>
        <v>Freedom of Expression, Human Rights Defenders</v>
      </c>
      <c r="H285" s="1" t="str">
        <f ca="1">IFERROR(__xludf.DUMMYFUNCTION("""COMPUTED_VALUE"""),"2025")</f>
        <v>2025</v>
      </c>
      <c r="I285" s="1" t="str">
        <f ca="1">IFERROR(__xludf.DUMMYFUNCTION("""COMPUTED_VALUE"""),"Email")</f>
        <v>Email</v>
      </c>
    </row>
    <row r="286" spans="1:9" ht="13" x14ac:dyDescent="0.15">
      <c r="A286" s="9">
        <f ca="1">IFERROR(__xludf.DUMMYFUNCTION("""COMPUTED_VALUE"""),30658978)</f>
        <v>30658978</v>
      </c>
      <c r="B286" s="1" t="str">
        <f ca="1">IFERROR(__xludf.DUMMYFUNCTION("""COMPUTED_VALUE"""),"robadams@compuserve.com")</f>
        <v>robadams@compuserve.com</v>
      </c>
      <c r="C286" s="9" t="str">
        <f ca="1">IFERROR(__xludf.DUMMYFUNCTION("""COMPUTED_VALUE"""),"EVERGREEN - UAN Gated Content - Embedded Petition")</f>
        <v>EVERGREEN - UAN Gated Content - Embedded Petition</v>
      </c>
      <c r="D286" s="10">
        <f ca="1">IFERROR(__xludf.DUMMYFUNCTION("""COMPUTED_VALUE"""),45700)</f>
        <v>45700</v>
      </c>
      <c r="E286" s="1" t="str">
        <f ca="1">IFERROR(__xludf.DUMMYFUNCTION("""COMPUTED_VALUE"""),"Egypt")</f>
        <v>Egypt</v>
      </c>
      <c r="F286" s="1" t="str">
        <f ca="1">IFERROR(__xludf.DUMMYFUNCTION("""COMPUTED_VALUE"""),"Ninth 190.18 Egypt")</f>
        <v>Ninth 190.18 Egypt</v>
      </c>
      <c r="G286" s="1" t="str">
        <f ca="1">IFERROR(__xludf.DUMMYFUNCTION("""COMPUTED_VALUE"""),"Freedom of Expression, Individuals At Risk")</f>
        <v>Freedom of Expression, Individuals At Risk</v>
      </c>
      <c r="H286" s="1" t="str">
        <f ca="1">IFERROR(__xludf.DUMMYFUNCTION("""COMPUTED_VALUE"""),"2024")</f>
        <v>2024</v>
      </c>
      <c r="I286" s="1" t="str">
        <f ca="1">IFERROR(__xludf.DUMMYFUNCTION("""COMPUTED_VALUE"""),"Letter")</f>
        <v>Letter</v>
      </c>
    </row>
    <row r="287" spans="1:9" ht="13" x14ac:dyDescent="0.15">
      <c r="A287" s="9">
        <f ca="1">IFERROR(__xludf.DUMMYFUNCTION("""COMPUTED_VALUE"""),30658978)</f>
        <v>30658978</v>
      </c>
      <c r="B287" s="1" t="str">
        <f ca="1">IFERROR(__xludf.DUMMYFUNCTION("""COMPUTED_VALUE"""),"robadams@compuserve.com")</f>
        <v>robadams@compuserve.com</v>
      </c>
      <c r="C287" s="9" t="str">
        <f ca="1">IFERROR(__xludf.DUMMYFUNCTION("""COMPUTED_VALUE"""),"EVERGREEN - UAN Gated Content - Embedded Petition")</f>
        <v>EVERGREEN - UAN Gated Content - Embedded Petition</v>
      </c>
      <c r="D287" s="10">
        <f ca="1">IFERROR(__xludf.DUMMYFUNCTION("""COMPUTED_VALUE"""),45700)</f>
        <v>45700</v>
      </c>
      <c r="E287" s="1" t="str">
        <f ca="1">IFERROR(__xludf.DUMMYFUNCTION("""COMPUTED_VALUE"""),"USA")</f>
        <v>USA</v>
      </c>
      <c r="F287" s="1" t="str">
        <f ca="1">IFERROR(__xludf.DUMMYFUNCTION("""COMPUTED_VALUE"""),"105.24 USA")</f>
        <v>105.24 USA</v>
      </c>
      <c r="G287" s="1" t="str">
        <f ca="1">IFERROR(__xludf.DUMMYFUNCTION("""COMPUTED_VALUE"""),"Death Penalty")</f>
        <v>Death Penalty</v>
      </c>
      <c r="H287" s="1" t="str">
        <f ca="1">IFERROR(__xludf.DUMMYFUNCTION("""COMPUTED_VALUE"""),"2024")</f>
        <v>2024</v>
      </c>
      <c r="I287" s="1" t="str">
        <f ca="1">IFERROR(__xludf.DUMMYFUNCTION("""COMPUTED_VALUE"""),"Email")</f>
        <v>Email</v>
      </c>
    </row>
    <row r="288" spans="1:9" ht="13" x14ac:dyDescent="0.15">
      <c r="A288" s="9">
        <f ca="1">IFERROR(__xludf.DUMMYFUNCTION("""COMPUTED_VALUE"""),30658978)</f>
        <v>30658978</v>
      </c>
      <c r="B288" s="1" t="str">
        <f ca="1">IFERROR(__xludf.DUMMYFUNCTION("""COMPUTED_VALUE"""),"robadams@compuserve.com")</f>
        <v>robadams@compuserve.com</v>
      </c>
      <c r="C288" s="9" t="str">
        <f ca="1">IFERROR(__xludf.DUMMYFUNCTION("""COMPUTED_VALUE"""),"EVERGREEN - UAN Gated Content - Embedded Petition")</f>
        <v>EVERGREEN - UAN Gated Content - Embedded Petition</v>
      </c>
      <c r="D288" s="10">
        <f ca="1">IFERROR(__xludf.DUMMYFUNCTION("""COMPUTED_VALUE"""),45699)</f>
        <v>45699</v>
      </c>
      <c r="E288" s="1" t="str">
        <f ca="1">IFERROR(__xludf.DUMMYFUNCTION("""COMPUTED_VALUE"""),"China")</f>
        <v>China</v>
      </c>
      <c r="F288" s="1" t="str">
        <f ca="1">IFERROR(__xludf.DUMMYFUNCTION("""COMPUTED_VALUE"""),"98.24 China")</f>
        <v>98.24 China</v>
      </c>
      <c r="G288" s="1" t="str">
        <f ca="1">IFERROR(__xludf.DUMMYFUNCTION("""COMPUTED_VALUE"""),"Freedom of Expression, Individuals At Risk")</f>
        <v>Freedom of Expression, Individuals At Risk</v>
      </c>
      <c r="H288" s="1" t="str">
        <f ca="1">IFERROR(__xludf.DUMMYFUNCTION("""COMPUTED_VALUE"""),"2024")</f>
        <v>2024</v>
      </c>
      <c r="I288" s="1" t="str">
        <f ca="1">IFERROR(__xludf.DUMMYFUNCTION("""COMPUTED_VALUE"""),"Letter")</f>
        <v>Letter</v>
      </c>
    </row>
    <row r="289" spans="1:9" ht="13" x14ac:dyDescent="0.15">
      <c r="A289" s="9">
        <f ca="1">IFERROR(__xludf.DUMMYFUNCTION("""COMPUTED_VALUE"""),30671123)</f>
        <v>30671123</v>
      </c>
      <c r="B289" s="1" t="str">
        <f ca="1">IFERROR(__xludf.DUMMYFUNCTION("""COMPUTED_VALUE"""),"cantormikezoos@gmail.com")</f>
        <v>cantormikezoos@gmail.com</v>
      </c>
      <c r="C289" s="9" t="str">
        <f ca="1">IFERROR(__xludf.DUMMYFUNCTION("""COMPUTED_VALUE"""),"EVERGREEN - UAN Gated Content - Embedded Petition")</f>
        <v>EVERGREEN - UAN Gated Content - Embedded Petition</v>
      </c>
      <c r="D289" s="10">
        <f ca="1">IFERROR(__xludf.DUMMYFUNCTION("""COMPUTED_VALUE"""),45694)</f>
        <v>45694</v>
      </c>
      <c r="E289" s="1" t="str">
        <f ca="1">IFERROR(__xludf.DUMMYFUNCTION("""COMPUTED_VALUE"""),"Venezuela")</f>
        <v>Venezuela</v>
      </c>
      <c r="F289" s="1" t="str">
        <f ca="1">IFERROR(__xludf.DUMMYFUNCTION("""COMPUTED_VALUE"""),"1.25 Venezuela")</f>
        <v>1.25 Venezuela</v>
      </c>
      <c r="G289" s="1" t="str">
        <f ca="1">IFERROR(__xludf.DUMMYFUNCTION("""COMPUTED_VALUE"""),"Human Rights Defenders, Individuals At Risk")</f>
        <v>Human Rights Defenders, Individuals At Risk</v>
      </c>
      <c r="H289" s="1" t="str">
        <f ca="1">IFERROR(__xludf.DUMMYFUNCTION("""COMPUTED_VALUE"""),"2025")</f>
        <v>2025</v>
      </c>
      <c r="I289" s="1" t="str">
        <f ca="1">IFERROR(__xludf.DUMMYFUNCTION("""COMPUTED_VALUE"""),"Letter")</f>
        <v>Letter</v>
      </c>
    </row>
    <row r="290" spans="1:9" ht="13" x14ac:dyDescent="0.15">
      <c r="A290" s="9">
        <f ca="1">IFERROR(__xludf.DUMMYFUNCTION("""COMPUTED_VALUE"""),30690152)</f>
        <v>30690152</v>
      </c>
      <c r="B290" s="1" t="str">
        <f ca="1">IFERROR(__xludf.DUMMYFUNCTION("""COMPUTED_VALUE"""),"safutrell@ucdavis.edu")</f>
        <v>safutrell@ucdavis.edu</v>
      </c>
      <c r="C290" s="9" t="str">
        <f ca="1">IFERROR(__xludf.DUMMYFUNCTION("""COMPUTED_VALUE"""),"EVERGREEN - UAN Gated Content - Embedded Petition")</f>
        <v>EVERGREEN - UAN Gated Content - Embedded Petition</v>
      </c>
      <c r="D290" s="10">
        <f ca="1">IFERROR(__xludf.DUMMYFUNCTION("""COMPUTED_VALUE"""),45616)</f>
        <v>45616</v>
      </c>
      <c r="E290" s="1" t="str">
        <f ca="1">IFERROR(__xludf.DUMMYFUNCTION("""COMPUTED_VALUE"""),"Tunisia")</f>
        <v>Tunisia</v>
      </c>
      <c r="F290" s="1" t="str">
        <f ca="1">IFERROR(__xludf.DUMMYFUNCTION("""COMPUTED_VALUE"""),"Second 76.24 Tunisia")</f>
        <v>Second 76.24 Tunisia</v>
      </c>
      <c r="G290" s="1" t="str">
        <f ca="1">IFERROR(__xludf.DUMMYFUNCTION("""COMPUTED_VALUE"""),"Freedom of Expression, Human Rights Defenders")</f>
        <v>Freedom of Expression, Human Rights Defenders</v>
      </c>
      <c r="H290" s="1" t="str">
        <f ca="1">IFERROR(__xludf.DUMMYFUNCTION("""COMPUTED_VALUE"""),"2025")</f>
        <v>2025</v>
      </c>
      <c r="I290" s="1" t="str">
        <f ca="1">IFERROR(__xludf.DUMMYFUNCTION("""COMPUTED_VALUE"""),"Email")</f>
        <v>Email</v>
      </c>
    </row>
    <row r="291" spans="1:9" ht="13" x14ac:dyDescent="0.15">
      <c r="A291" s="9">
        <f ca="1">IFERROR(__xludf.DUMMYFUNCTION("""COMPUTED_VALUE"""),30692389)</f>
        <v>30692389</v>
      </c>
      <c r="B291" s="1" t="str">
        <f ca="1">IFERROR(__xludf.DUMMYFUNCTION("""COMPUTED_VALUE"""),"renee.lewis@outlook.com")</f>
        <v>renee.lewis@outlook.com</v>
      </c>
      <c r="C291" s="9" t="str">
        <f ca="1">IFERROR(__xludf.DUMMYFUNCTION("""COMPUTED_VALUE"""),"EVERGREEN - UAN Gated Content - Embedded Petition")</f>
        <v>EVERGREEN - UAN Gated Content - Embedded Petition</v>
      </c>
      <c r="D291" s="10">
        <f ca="1">IFERROR(__xludf.DUMMYFUNCTION("""COMPUTED_VALUE"""),45696)</f>
        <v>45696</v>
      </c>
      <c r="E291" s="1" t="str">
        <f ca="1">IFERROR(__xludf.DUMMYFUNCTION("""COMPUTED_VALUE"""),"Tunisia")</f>
        <v>Tunisia</v>
      </c>
      <c r="F291" s="1" t="str">
        <f ca="1">IFERROR(__xludf.DUMMYFUNCTION("""COMPUTED_VALUE"""),"Second 76.24 Tunisia")</f>
        <v>Second 76.24 Tunisia</v>
      </c>
      <c r="G291" s="1" t="str">
        <f ca="1">IFERROR(__xludf.DUMMYFUNCTION("""COMPUTED_VALUE"""),"Freedom of Expression, Human Rights Defenders")</f>
        <v>Freedom of Expression, Human Rights Defenders</v>
      </c>
      <c r="H291" s="1" t="str">
        <f ca="1">IFERROR(__xludf.DUMMYFUNCTION("""COMPUTED_VALUE"""),"2025")</f>
        <v>2025</v>
      </c>
      <c r="I291" s="1" t="str">
        <f ca="1">IFERROR(__xludf.DUMMYFUNCTION("""COMPUTED_VALUE"""),"Email")</f>
        <v>Email</v>
      </c>
    </row>
    <row r="292" spans="1:9" ht="13" x14ac:dyDescent="0.15">
      <c r="A292" s="9">
        <f ca="1">IFERROR(__xludf.DUMMYFUNCTION("""COMPUTED_VALUE"""),30692389)</f>
        <v>30692389</v>
      </c>
      <c r="B292" s="1" t="str">
        <f ca="1">IFERROR(__xludf.DUMMYFUNCTION("""COMPUTED_VALUE"""),"renee.lewis@outlook.com")</f>
        <v>renee.lewis@outlook.com</v>
      </c>
      <c r="C292" s="9" t="str">
        <f ca="1">IFERROR(__xludf.DUMMYFUNCTION("""COMPUTED_VALUE"""),"EVERGREEN - UAN Gated Content - Embedded Petition")</f>
        <v>EVERGREEN - UAN Gated Content - Embedded Petition</v>
      </c>
      <c r="D292" s="10">
        <f ca="1">IFERROR(__xludf.DUMMYFUNCTION("""COMPUTED_VALUE"""),45696)</f>
        <v>45696</v>
      </c>
      <c r="E292" s="1" t="str">
        <f ca="1">IFERROR(__xludf.DUMMYFUNCTION("""COMPUTED_VALUE"""),"Israel and Occupied Palestinian Territories")</f>
        <v>Israel and Occupied Palestinian Territories</v>
      </c>
      <c r="F292" s="1" t="str">
        <f ca="1">IFERROR(__xludf.DUMMYFUNCTION("""COMPUTED_VALUE"""),"3.25 IOPT")</f>
        <v>3.25 IOPT</v>
      </c>
      <c r="G292" s="1" t="str">
        <f ca="1">IFERROR(__xludf.DUMMYFUNCTION("""COMPUTED_VALUE"""),"Freedom of Expression, Individuals At Risk")</f>
        <v>Freedom of Expression, Individuals At Risk</v>
      </c>
      <c r="H292" s="1" t="str">
        <f ca="1">IFERROR(__xludf.DUMMYFUNCTION("""COMPUTED_VALUE"""),"2025")</f>
        <v>2025</v>
      </c>
      <c r="I292" s="1" t="str">
        <f ca="1">IFERROR(__xludf.DUMMYFUNCTION("""COMPUTED_VALUE"""),"Email")</f>
        <v>Email</v>
      </c>
    </row>
    <row r="293" spans="1:9" ht="13" x14ac:dyDescent="0.15">
      <c r="A293" s="9">
        <f ca="1">IFERROR(__xludf.DUMMYFUNCTION("""COMPUTED_VALUE"""),30692389)</f>
        <v>30692389</v>
      </c>
      <c r="B293" s="1" t="str">
        <f ca="1">IFERROR(__xludf.DUMMYFUNCTION("""COMPUTED_VALUE"""),"renee.lewis@outlook.com")</f>
        <v>renee.lewis@outlook.com</v>
      </c>
      <c r="C293" s="9" t="str">
        <f ca="1">IFERROR(__xludf.DUMMYFUNCTION("""COMPUTED_VALUE"""),"EVERGREEN - UAN Gated Content - Embedded Petition")</f>
        <v>EVERGREEN - UAN Gated Content - Embedded Petition</v>
      </c>
      <c r="D293" s="10">
        <f ca="1">IFERROR(__xludf.DUMMYFUNCTION("""COMPUTED_VALUE"""),45698)</f>
        <v>45698</v>
      </c>
      <c r="E293" s="1" t="str">
        <f ca="1">IFERROR(__xludf.DUMMYFUNCTION("""COMPUTED_VALUE"""),"Israel and Occupied Palestinian Territories")</f>
        <v>Israel and Occupied Palestinian Territories</v>
      </c>
      <c r="F293" s="1" t="str">
        <f ca="1">IFERROR(__xludf.DUMMYFUNCTION("""COMPUTED_VALUE"""),"3.25 IOPT")</f>
        <v>3.25 IOPT</v>
      </c>
      <c r="G293" s="1" t="str">
        <f ca="1">IFERROR(__xludf.DUMMYFUNCTION("""COMPUTED_VALUE"""),"Freedom of Expression, Individuals At Risk")</f>
        <v>Freedom of Expression, Individuals At Risk</v>
      </c>
      <c r="H293" s="1" t="str">
        <f ca="1">IFERROR(__xludf.DUMMYFUNCTION("""COMPUTED_VALUE"""),"2025")</f>
        <v>2025</v>
      </c>
      <c r="I293" s="1" t="str">
        <f ca="1">IFERROR(__xludf.DUMMYFUNCTION("""COMPUTED_VALUE"""),"Email")</f>
        <v>Email</v>
      </c>
    </row>
    <row r="294" spans="1:9" ht="13" x14ac:dyDescent="0.15">
      <c r="A294" s="9">
        <f ca="1">IFERROR(__xludf.DUMMYFUNCTION("""COMPUTED_VALUE"""),30700325)</f>
        <v>30700325</v>
      </c>
      <c r="B294" s="1" t="str">
        <f ca="1">IFERROR(__xludf.DUMMYFUNCTION("""COMPUTED_VALUE"""),"burgerlw@tds.net")</f>
        <v>burgerlw@tds.net</v>
      </c>
      <c r="C294" s="9" t="str">
        <f ca="1">IFERROR(__xludf.DUMMYFUNCTION("""COMPUTED_VALUE"""),"EVERGREEN - UAN Gated Content - Embedded Petition")</f>
        <v>EVERGREEN - UAN Gated Content - Embedded Petition</v>
      </c>
      <c r="D294" s="10">
        <f ca="1">IFERROR(__xludf.DUMMYFUNCTION("""COMPUTED_VALUE"""),45647)</f>
        <v>45647</v>
      </c>
      <c r="E294" s="1" t="str">
        <f ca="1">IFERROR(__xludf.DUMMYFUNCTION("""COMPUTED_VALUE"""),"Iran")</f>
        <v>Iran</v>
      </c>
      <c r="F294" s="1" t="str">
        <f ca="1">IFERROR(__xludf.DUMMYFUNCTION("""COMPUTED_VALUE"""),"101.24 Iran")</f>
        <v>101.24 Iran</v>
      </c>
      <c r="G294" s="1" t="str">
        <f ca="1">IFERROR(__xludf.DUMMYFUNCTION("""COMPUTED_VALUE"""),"Death Penalty, Freedom of Expression, Individuals At Risk, Right to Protest")</f>
        <v>Death Penalty, Freedom of Expression, Individuals At Risk, Right to Protest</v>
      </c>
      <c r="H294" s="1" t="str">
        <f ca="1">IFERROR(__xludf.DUMMYFUNCTION("""COMPUTED_VALUE"""),"2024")</f>
        <v>2024</v>
      </c>
      <c r="I294" s="1" t="str">
        <f ca="1">IFERROR(__xludf.DUMMYFUNCTION("""COMPUTED_VALUE"""),"Email")</f>
        <v>Email</v>
      </c>
    </row>
    <row r="295" spans="1:9" ht="13" x14ac:dyDescent="0.15">
      <c r="A295" s="9">
        <f ca="1">IFERROR(__xludf.DUMMYFUNCTION("""COMPUTED_VALUE"""),30700325)</f>
        <v>30700325</v>
      </c>
      <c r="B295" s="1" t="str">
        <f ca="1">IFERROR(__xludf.DUMMYFUNCTION("""COMPUTED_VALUE"""),"burgerlw@tds.net")</f>
        <v>burgerlw@tds.net</v>
      </c>
      <c r="C295" s="9" t="str">
        <f ca="1">IFERROR(__xludf.DUMMYFUNCTION("""COMPUTED_VALUE"""),"EVERGREEN - UAN Gated Content - Embedded Petition")</f>
        <v>EVERGREEN - UAN Gated Content - Embedded Petition</v>
      </c>
      <c r="D295" s="10">
        <f ca="1">IFERROR(__xludf.DUMMYFUNCTION("""COMPUTED_VALUE"""),45647)</f>
        <v>45647</v>
      </c>
      <c r="E295" s="1" t="str">
        <f ca="1">IFERROR(__xludf.DUMMYFUNCTION("""COMPUTED_VALUE"""),"USA")</f>
        <v>USA</v>
      </c>
      <c r="F295" s="1" t="str">
        <f ca="1">IFERROR(__xludf.DUMMYFUNCTION("""COMPUTED_VALUE"""),"105.24 USA")</f>
        <v>105.24 USA</v>
      </c>
      <c r="G295" s="1" t="str">
        <f ca="1">IFERROR(__xludf.DUMMYFUNCTION("""COMPUTED_VALUE"""),"Death Penalty")</f>
        <v>Death Penalty</v>
      </c>
      <c r="H295" s="1" t="str">
        <f ca="1">IFERROR(__xludf.DUMMYFUNCTION("""COMPUTED_VALUE"""),"2024")</f>
        <v>2024</v>
      </c>
      <c r="I295" s="1" t="str">
        <f ca="1">IFERROR(__xludf.DUMMYFUNCTION("""COMPUTED_VALUE"""),"Email")</f>
        <v>Email</v>
      </c>
    </row>
    <row r="296" spans="1:9" ht="13" x14ac:dyDescent="0.15">
      <c r="A296" s="9">
        <f ca="1">IFERROR(__xludf.DUMMYFUNCTION("""COMPUTED_VALUE"""),30700325)</f>
        <v>30700325</v>
      </c>
      <c r="B296" s="1" t="str">
        <f ca="1">IFERROR(__xludf.DUMMYFUNCTION("""COMPUTED_VALUE"""),"burgerlw@tds.net")</f>
        <v>burgerlw@tds.net</v>
      </c>
      <c r="C296" s="9" t="str">
        <f ca="1">IFERROR(__xludf.DUMMYFUNCTION("""COMPUTED_VALUE"""),"EVERGREEN - UAN Gated Content - Embedded Petition")</f>
        <v>EVERGREEN - UAN Gated Content - Embedded Petition</v>
      </c>
      <c r="D296" s="10">
        <f ca="1">IFERROR(__xludf.DUMMYFUNCTION("""COMPUTED_VALUE"""),45675)</f>
        <v>45675</v>
      </c>
      <c r="E296" s="1" t="str">
        <f ca="1">IFERROR(__xludf.DUMMYFUNCTION("""COMPUTED_VALUE"""),"Venezuela")</f>
        <v>Venezuela</v>
      </c>
      <c r="F296" s="1" t="str">
        <f ca="1">IFERROR(__xludf.DUMMYFUNCTION("""COMPUTED_VALUE"""),"97.24 Venezuela")</f>
        <v>97.24 Venezuela</v>
      </c>
      <c r="G296" s="1" t="str">
        <f ca="1">IFERROR(__xludf.DUMMYFUNCTION("""COMPUTED_VALUE"""),"Freedom of Expression")</f>
        <v>Freedom of Expression</v>
      </c>
      <c r="H296" s="1" t="str">
        <f ca="1">IFERROR(__xludf.DUMMYFUNCTION("""COMPUTED_VALUE"""),"2024")</f>
        <v>2024</v>
      </c>
      <c r="I296" s="1" t="str">
        <f ca="1">IFERROR(__xludf.DUMMYFUNCTION("""COMPUTED_VALUE"""),"Letter")</f>
        <v>Letter</v>
      </c>
    </row>
    <row r="297" spans="1:9" ht="13" x14ac:dyDescent="0.15">
      <c r="A297" s="9">
        <f ca="1">IFERROR(__xludf.DUMMYFUNCTION("""COMPUTED_VALUE"""),30700325)</f>
        <v>30700325</v>
      </c>
      <c r="B297" s="1" t="str">
        <f ca="1">IFERROR(__xludf.DUMMYFUNCTION("""COMPUTED_VALUE"""),"burgerlw@tds.net")</f>
        <v>burgerlw@tds.net</v>
      </c>
      <c r="C297" s="9" t="str">
        <f ca="1">IFERROR(__xludf.DUMMYFUNCTION("""COMPUTED_VALUE"""),"EVERGREEN - UAN Gated Content - Embedded Petition")</f>
        <v>EVERGREEN - UAN Gated Content - Embedded Petition</v>
      </c>
      <c r="D297" s="10">
        <f ca="1">IFERROR(__xludf.DUMMYFUNCTION("""COMPUTED_VALUE"""),45648)</f>
        <v>45648</v>
      </c>
      <c r="E297" s="1" t="str">
        <f ca="1">IFERROR(__xludf.DUMMYFUNCTION("""COMPUTED_VALUE"""),"Uganda")</f>
        <v>Uganda</v>
      </c>
      <c r="F297" s="1" t="str">
        <f ca="1">IFERROR(__xludf.DUMMYFUNCTION("""COMPUTED_VALUE"""),"100.24 Uganda")</f>
        <v>100.24 Uganda</v>
      </c>
      <c r="G297" s="1" t="str">
        <f ca="1">IFERROR(__xludf.DUMMYFUNCTION("""COMPUTED_VALUE"""),"Freedom of Expression")</f>
        <v>Freedom of Expression</v>
      </c>
      <c r="H297" s="1" t="str">
        <f ca="1">IFERROR(__xludf.DUMMYFUNCTION("""COMPUTED_VALUE"""),"2024")</f>
        <v>2024</v>
      </c>
      <c r="I297" s="1" t="str">
        <f ca="1">IFERROR(__xludf.DUMMYFUNCTION("""COMPUTED_VALUE"""),"Email")</f>
        <v>Email</v>
      </c>
    </row>
    <row r="298" spans="1:9" ht="13" x14ac:dyDescent="0.15">
      <c r="A298" s="9">
        <f ca="1">IFERROR(__xludf.DUMMYFUNCTION("""COMPUTED_VALUE"""),30700325)</f>
        <v>30700325</v>
      </c>
      <c r="B298" s="1" t="str">
        <f ca="1">IFERROR(__xludf.DUMMYFUNCTION("""COMPUTED_VALUE"""),"burgerlw@tds.net")</f>
        <v>burgerlw@tds.net</v>
      </c>
      <c r="C298" s="9" t="str">
        <f ca="1">IFERROR(__xludf.DUMMYFUNCTION("""COMPUTED_VALUE"""),"EVERGREEN - UAN Gated Content - Embedded Petition")</f>
        <v>EVERGREEN - UAN Gated Content - Embedded Petition</v>
      </c>
      <c r="D298" s="10">
        <f ca="1">IFERROR(__xludf.DUMMYFUNCTION("""COMPUTED_VALUE"""),45648)</f>
        <v>45648</v>
      </c>
      <c r="E298" s="1" t="str">
        <f ca="1">IFERROR(__xludf.DUMMYFUNCTION("""COMPUTED_VALUE"""),"Iran")</f>
        <v>Iran</v>
      </c>
      <c r="F298" s="1" t="str">
        <f ca="1">IFERROR(__xludf.DUMMYFUNCTION("""COMPUTED_VALUE"""),"101.24 Iran")</f>
        <v>101.24 Iran</v>
      </c>
      <c r="G298" s="1" t="str">
        <f ca="1">IFERROR(__xludf.DUMMYFUNCTION("""COMPUTED_VALUE"""),"Death Penalty, Freedom of Expression, Individuals At Risk, Right to Protest")</f>
        <v>Death Penalty, Freedom of Expression, Individuals At Risk, Right to Protest</v>
      </c>
      <c r="H298" s="1" t="str">
        <f ca="1">IFERROR(__xludf.DUMMYFUNCTION("""COMPUTED_VALUE"""),"2024")</f>
        <v>2024</v>
      </c>
      <c r="I298" s="1" t="str">
        <f ca="1">IFERROR(__xludf.DUMMYFUNCTION("""COMPUTED_VALUE"""),"Email")</f>
        <v>Email</v>
      </c>
    </row>
    <row r="299" spans="1:9" ht="13" x14ac:dyDescent="0.15">
      <c r="A299" s="9">
        <f ca="1">IFERROR(__xludf.DUMMYFUNCTION("""COMPUTED_VALUE"""),30700325)</f>
        <v>30700325</v>
      </c>
      <c r="B299" s="1" t="str">
        <f ca="1">IFERROR(__xludf.DUMMYFUNCTION("""COMPUTED_VALUE"""),"burgerlw@tds.net")</f>
        <v>burgerlw@tds.net</v>
      </c>
      <c r="C299" s="9" t="str">
        <f ca="1">IFERROR(__xludf.DUMMYFUNCTION("""COMPUTED_VALUE"""),"EVERGREEN - UAN Gated Content - Embedded Petition")</f>
        <v>EVERGREEN - UAN Gated Content - Embedded Petition</v>
      </c>
      <c r="D299" s="10">
        <f ca="1">IFERROR(__xludf.DUMMYFUNCTION("""COMPUTED_VALUE"""),45694)</f>
        <v>45694</v>
      </c>
      <c r="E299" s="1" t="str">
        <f ca="1">IFERROR(__xludf.DUMMYFUNCTION("""COMPUTED_VALUE"""),"China")</f>
        <v>China</v>
      </c>
      <c r="F299" s="1" t="str">
        <f ca="1">IFERROR(__xludf.DUMMYFUNCTION("""COMPUTED_VALUE"""),"98.24 China")</f>
        <v>98.24 China</v>
      </c>
      <c r="G299" s="1" t="str">
        <f ca="1">IFERROR(__xludf.DUMMYFUNCTION("""COMPUTED_VALUE"""),"Freedom of Expression, Individuals At Risk")</f>
        <v>Freedom of Expression, Individuals At Risk</v>
      </c>
      <c r="H299" s="1" t="str">
        <f ca="1">IFERROR(__xludf.DUMMYFUNCTION("""COMPUTED_VALUE"""),"2024")</f>
        <v>2024</v>
      </c>
      <c r="I299" s="1" t="str">
        <f ca="1">IFERROR(__xludf.DUMMYFUNCTION("""COMPUTED_VALUE"""),"Letter")</f>
        <v>Letter</v>
      </c>
    </row>
    <row r="300" spans="1:9" ht="13" x14ac:dyDescent="0.15">
      <c r="A300" s="9">
        <f ca="1">IFERROR(__xludf.DUMMYFUNCTION("""COMPUTED_VALUE"""),30700343)</f>
        <v>30700343</v>
      </c>
      <c r="B300" s="1" t="str">
        <f ca="1">IFERROR(__xludf.DUMMYFUNCTION("""COMPUTED_VALUE"""),"megremple@gmail.com")</f>
        <v>megremple@gmail.com</v>
      </c>
      <c r="C300" s="9" t="str">
        <f ca="1">IFERROR(__xludf.DUMMYFUNCTION("""COMPUTED_VALUE"""),"EVERGREEN - UAN Gated Content - Embedded Petition")</f>
        <v>EVERGREEN - UAN Gated Content - Embedded Petition</v>
      </c>
      <c r="D300" s="10">
        <f ca="1">IFERROR(__xludf.DUMMYFUNCTION("""COMPUTED_VALUE"""),45636)</f>
        <v>45636</v>
      </c>
      <c r="E300" s="1" t="str">
        <f ca="1">IFERROR(__xludf.DUMMYFUNCTION("""COMPUTED_VALUE"""),"Russian Federation")</f>
        <v>Russian Federation</v>
      </c>
      <c r="F300" s="1" t="str">
        <f ca="1">IFERROR(__xludf.DUMMYFUNCTION("""COMPUTED_VALUE"""),"Second 23.24 Russia")</f>
        <v>Second 23.24 Russia</v>
      </c>
      <c r="G300" s="1" t="str">
        <f ca="1">IFERROR(__xludf.DUMMYFUNCTION("""COMPUTED_VALUE"""),"Freedom of Expression")</f>
        <v>Freedom of Expression</v>
      </c>
      <c r="H300" s="1" t="str">
        <f ca="1">IFERROR(__xludf.DUMMYFUNCTION("""COMPUTED_VALUE"""),"2024")</f>
        <v>2024</v>
      </c>
      <c r="I300" s="1" t="str">
        <f ca="1">IFERROR(__xludf.DUMMYFUNCTION("""COMPUTED_VALUE"""),"Letter")</f>
        <v>Letter</v>
      </c>
    </row>
    <row r="301" spans="1:9" ht="13" x14ac:dyDescent="0.15">
      <c r="A301" s="9">
        <f ca="1">IFERROR(__xludf.DUMMYFUNCTION("""COMPUTED_VALUE"""),30700343)</f>
        <v>30700343</v>
      </c>
      <c r="B301" s="1" t="str">
        <f ca="1">IFERROR(__xludf.DUMMYFUNCTION("""COMPUTED_VALUE"""),"megremple@gmail.com")</f>
        <v>megremple@gmail.com</v>
      </c>
      <c r="C301" s="9" t="str">
        <f ca="1">IFERROR(__xludf.DUMMYFUNCTION("""COMPUTED_VALUE"""),"EVERGREEN - UAN Gated Content - Embedded Petition")</f>
        <v>EVERGREEN - UAN Gated Content - Embedded Petition</v>
      </c>
      <c r="D301" s="10">
        <f ca="1">IFERROR(__xludf.DUMMYFUNCTION("""COMPUTED_VALUE"""),45636)</f>
        <v>45636</v>
      </c>
      <c r="E301" s="1" t="str">
        <f ca="1">IFERROR(__xludf.DUMMYFUNCTION("""COMPUTED_VALUE"""),"Uganda")</f>
        <v>Uganda</v>
      </c>
      <c r="F301" s="1" t="str">
        <f ca="1">IFERROR(__xludf.DUMMYFUNCTION("""COMPUTED_VALUE"""),"100.24 Uganda")</f>
        <v>100.24 Uganda</v>
      </c>
      <c r="G301" s="1" t="str">
        <f ca="1">IFERROR(__xludf.DUMMYFUNCTION("""COMPUTED_VALUE"""),"Freedom of Expression")</f>
        <v>Freedom of Expression</v>
      </c>
      <c r="H301" s="1" t="str">
        <f ca="1">IFERROR(__xludf.DUMMYFUNCTION("""COMPUTED_VALUE"""),"2024")</f>
        <v>2024</v>
      </c>
      <c r="I301" s="1" t="str">
        <f ca="1">IFERROR(__xludf.DUMMYFUNCTION("""COMPUTED_VALUE"""),"Email")</f>
        <v>Email</v>
      </c>
    </row>
    <row r="302" spans="1:9" ht="13" x14ac:dyDescent="0.15">
      <c r="A302" s="9">
        <f ca="1">IFERROR(__xludf.DUMMYFUNCTION("""COMPUTED_VALUE"""),30700343)</f>
        <v>30700343</v>
      </c>
      <c r="B302" s="1" t="str">
        <f ca="1">IFERROR(__xludf.DUMMYFUNCTION("""COMPUTED_VALUE"""),"megremple@gmail.com")</f>
        <v>megremple@gmail.com</v>
      </c>
      <c r="C302" s="9" t="str">
        <f ca="1">IFERROR(__xludf.DUMMYFUNCTION("""COMPUTED_VALUE"""),"EVERGREEN - UAN Gated Content - Embedded Petition")</f>
        <v>EVERGREEN - UAN Gated Content - Embedded Petition</v>
      </c>
      <c r="D302" s="10">
        <f ca="1">IFERROR(__xludf.DUMMYFUNCTION("""COMPUTED_VALUE"""),45636)</f>
        <v>45636</v>
      </c>
      <c r="E302" s="1" t="str">
        <f ca="1">IFERROR(__xludf.DUMMYFUNCTION("""COMPUTED_VALUE"""),"USA")</f>
        <v>USA</v>
      </c>
      <c r="F302" s="1" t="str">
        <f ca="1">IFERROR(__xludf.DUMMYFUNCTION("""COMPUTED_VALUE"""),"105.24 USA")</f>
        <v>105.24 USA</v>
      </c>
      <c r="G302" s="1" t="str">
        <f ca="1">IFERROR(__xludf.DUMMYFUNCTION("""COMPUTED_VALUE"""),"Death Penalty")</f>
        <v>Death Penalty</v>
      </c>
      <c r="H302" s="1" t="str">
        <f ca="1">IFERROR(__xludf.DUMMYFUNCTION("""COMPUTED_VALUE"""),"2024")</f>
        <v>2024</v>
      </c>
      <c r="I302" s="1" t="str">
        <f ca="1">IFERROR(__xludf.DUMMYFUNCTION("""COMPUTED_VALUE"""),"Email")</f>
        <v>Email</v>
      </c>
    </row>
    <row r="303" spans="1:9" ht="13" x14ac:dyDescent="0.15">
      <c r="A303" s="9">
        <f ca="1">IFERROR(__xludf.DUMMYFUNCTION("""COMPUTED_VALUE"""),30700343)</f>
        <v>30700343</v>
      </c>
      <c r="B303" s="1" t="str">
        <f ca="1">IFERROR(__xludf.DUMMYFUNCTION("""COMPUTED_VALUE"""),"megremple@gmail.com")</f>
        <v>megremple@gmail.com</v>
      </c>
      <c r="C303" s="9" t="str">
        <f ca="1">IFERROR(__xludf.DUMMYFUNCTION("""COMPUTED_VALUE"""),"EVERGREEN - UAN Gated Content - Embedded Petition")</f>
        <v>EVERGREEN - UAN Gated Content - Embedded Petition</v>
      </c>
      <c r="D303" s="10">
        <f ca="1">IFERROR(__xludf.DUMMYFUNCTION("""COMPUTED_VALUE"""),45636)</f>
        <v>45636</v>
      </c>
      <c r="E303" s="1" t="str">
        <f ca="1">IFERROR(__xludf.DUMMYFUNCTION("""COMPUTED_VALUE"""),"USA")</f>
        <v>USA</v>
      </c>
      <c r="F303" s="1" t="str">
        <f ca="1">IFERROR(__xludf.DUMMYFUNCTION("""COMPUTED_VALUE"""),"4.25 USA")</f>
        <v>4.25 USA</v>
      </c>
      <c r="G303" s="1" t="str">
        <f ca="1">IFERROR(__xludf.DUMMYFUNCTION("""COMPUTED_VALUE"""),"Individuals At Risk, Refugee and Migrant Rights")</f>
        <v>Individuals At Risk, Refugee and Migrant Rights</v>
      </c>
      <c r="H303" s="1" t="str">
        <f ca="1">IFERROR(__xludf.DUMMYFUNCTION("""COMPUTED_VALUE"""),"2025")</f>
        <v>2025</v>
      </c>
      <c r="I303" s="1" t="str">
        <f ca="1">IFERROR(__xludf.DUMMYFUNCTION("""COMPUTED_VALUE"""),"Letter")</f>
        <v>Letter</v>
      </c>
    </row>
    <row r="304" spans="1:9" ht="13" x14ac:dyDescent="0.15">
      <c r="A304" s="9">
        <f ca="1">IFERROR(__xludf.DUMMYFUNCTION("""COMPUTED_VALUE"""),30700471)</f>
        <v>30700471</v>
      </c>
      <c r="B304" s="1" t="str">
        <f ca="1">IFERROR(__xludf.DUMMYFUNCTION("""COMPUTED_VALUE"""),"slongene@bridgewater.edu")</f>
        <v>slongene@bridgewater.edu</v>
      </c>
      <c r="C304" s="9" t="str">
        <f ca="1">IFERROR(__xludf.DUMMYFUNCTION("""COMPUTED_VALUE"""),"EVERGREEN - UAN Gated Content - Embedded Petition")</f>
        <v>EVERGREEN - UAN Gated Content - Embedded Petition</v>
      </c>
      <c r="D304" s="10">
        <f ca="1">IFERROR(__xludf.DUMMYFUNCTION("""COMPUTED_VALUE"""),45704)</f>
        <v>45704</v>
      </c>
      <c r="E304" s="1" t="str">
        <f ca="1">IFERROR(__xludf.DUMMYFUNCTION("""COMPUTED_VALUE"""),"Venezuela")</f>
        <v>Venezuela</v>
      </c>
      <c r="F304" s="1" t="str">
        <f ca="1">IFERROR(__xludf.DUMMYFUNCTION("""COMPUTED_VALUE"""),"97.24 Venezuela")</f>
        <v>97.24 Venezuela</v>
      </c>
      <c r="G304" s="1" t="str">
        <f ca="1">IFERROR(__xludf.DUMMYFUNCTION("""COMPUTED_VALUE"""),"Freedom of Expression")</f>
        <v>Freedom of Expression</v>
      </c>
      <c r="H304" s="1" t="str">
        <f ca="1">IFERROR(__xludf.DUMMYFUNCTION("""COMPUTED_VALUE"""),"2024")</f>
        <v>2024</v>
      </c>
      <c r="I304" s="1" t="str">
        <f ca="1">IFERROR(__xludf.DUMMYFUNCTION("""COMPUTED_VALUE"""),"Letter")</f>
        <v>Letter</v>
      </c>
    </row>
    <row r="305" spans="1:9" ht="13" x14ac:dyDescent="0.15">
      <c r="A305" s="9">
        <f ca="1">IFERROR(__xludf.DUMMYFUNCTION("""COMPUTED_VALUE"""),30700471)</f>
        <v>30700471</v>
      </c>
      <c r="B305" s="1" t="str">
        <f ca="1">IFERROR(__xludf.DUMMYFUNCTION("""COMPUTED_VALUE"""),"slongene@bridgewater.edu")</f>
        <v>slongene@bridgewater.edu</v>
      </c>
      <c r="C305" s="9" t="str">
        <f ca="1">IFERROR(__xludf.DUMMYFUNCTION("""COMPUTED_VALUE"""),"EVERGREEN - UAN Gated Content - Embedded Petition")</f>
        <v>EVERGREEN - UAN Gated Content - Embedded Petition</v>
      </c>
      <c r="D305" s="10">
        <f ca="1">IFERROR(__xludf.DUMMYFUNCTION("""COMPUTED_VALUE"""),45665)</f>
        <v>45665</v>
      </c>
      <c r="E305" s="1" t="str">
        <f ca="1">IFERROR(__xludf.DUMMYFUNCTION("""COMPUTED_VALUE"""),"Tunisia")</f>
        <v>Tunisia</v>
      </c>
      <c r="F305" s="1" t="str">
        <f ca="1">IFERROR(__xludf.DUMMYFUNCTION("""COMPUTED_VALUE"""),"Second 76.24 Tunisia")</f>
        <v>Second 76.24 Tunisia</v>
      </c>
      <c r="G305" s="1" t="str">
        <f ca="1">IFERROR(__xludf.DUMMYFUNCTION("""COMPUTED_VALUE"""),"Freedom of Expression, Human Rights Defenders")</f>
        <v>Freedom of Expression, Human Rights Defenders</v>
      </c>
      <c r="H305" s="1" t="str">
        <f ca="1">IFERROR(__xludf.DUMMYFUNCTION("""COMPUTED_VALUE"""),"2025")</f>
        <v>2025</v>
      </c>
      <c r="I305" s="1" t="str">
        <f ca="1">IFERROR(__xludf.DUMMYFUNCTION("""COMPUTED_VALUE"""),"Email")</f>
        <v>Email</v>
      </c>
    </row>
    <row r="306" spans="1:9" ht="13" x14ac:dyDescent="0.15">
      <c r="A306" s="9">
        <f ca="1">IFERROR(__xludf.DUMMYFUNCTION("""COMPUTED_VALUE"""),30700471)</f>
        <v>30700471</v>
      </c>
      <c r="B306" s="1" t="str">
        <f ca="1">IFERROR(__xludf.DUMMYFUNCTION("""COMPUTED_VALUE"""),"slongene@bridgewater.edu")</f>
        <v>slongene@bridgewater.edu</v>
      </c>
      <c r="C306" s="9" t="str">
        <f ca="1">IFERROR(__xludf.DUMMYFUNCTION("""COMPUTED_VALUE"""),"EVERGREEN - UAN Gated Content - Embedded Petition")</f>
        <v>EVERGREEN - UAN Gated Content - Embedded Petition</v>
      </c>
      <c r="D306" s="10">
        <f ca="1">IFERROR(__xludf.DUMMYFUNCTION("""COMPUTED_VALUE"""),45704)</f>
        <v>45704</v>
      </c>
      <c r="E306" s="1" t="str">
        <f ca="1">IFERROR(__xludf.DUMMYFUNCTION("""COMPUTED_VALUE"""),"Iran")</f>
        <v>Iran</v>
      </c>
      <c r="F306" s="1" t="str">
        <f ca="1">IFERROR(__xludf.DUMMYFUNCTION("""COMPUTED_VALUE"""),"Seventh 103.22 Iran")</f>
        <v>Seventh 103.22 Iran</v>
      </c>
      <c r="G306" s="1" t="str">
        <f ca="1">IFERROR(__xludf.DUMMYFUNCTION("""COMPUTED_VALUE"""),"Death Penalty, Freedom of Expression, Individuals At Risk")</f>
        <v>Death Penalty, Freedom of Expression, Individuals At Risk</v>
      </c>
      <c r="H306" s="1" t="str">
        <f ca="1">IFERROR(__xludf.DUMMYFUNCTION("""COMPUTED_VALUE"""),"2024")</f>
        <v>2024</v>
      </c>
      <c r="I306" s="1" t="str">
        <f ca="1">IFERROR(__xludf.DUMMYFUNCTION("""COMPUTED_VALUE"""),"Email")</f>
        <v>Email</v>
      </c>
    </row>
    <row r="307" spans="1:9" ht="13" x14ac:dyDescent="0.15">
      <c r="A307" s="9">
        <f ca="1">IFERROR(__xludf.DUMMYFUNCTION("""COMPUTED_VALUE"""),30703196)</f>
        <v>30703196</v>
      </c>
      <c r="B307" s="1" t="str">
        <f ca="1">IFERROR(__xludf.DUMMYFUNCTION("""COMPUTED_VALUE"""),"tung@kzoo.edu")</f>
        <v>tung@kzoo.edu</v>
      </c>
      <c r="C307" s="9" t="str">
        <f ca="1">IFERROR(__xludf.DUMMYFUNCTION("""COMPUTED_VALUE"""),"EVERGREEN - UAN Gated Content - Embedded Petition")</f>
        <v>EVERGREEN - UAN Gated Content - Embedded Petition</v>
      </c>
      <c r="D307" s="10">
        <f ca="1">IFERROR(__xludf.DUMMYFUNCTION("""COMPUTED_VALUE"""),45697)</f>
        <v>45697</v>
      </c>
      <c r="E307" s="1" t="str">
        <f ca="1">IFERROR(__xludf.DUMMYFUNCTION("""COMPUTED_VALUE"""),"Tunisia")</f>
        <v>Tunisia</v>
      </c>
      <c r="F307" s="1" t="str">
        <f ca="1">IFERROR(__xludf.DUMMYFUNCTION("""COMPUTED_VALUE"""),"Second 76.24 Tunisia")</f>
        <v>Second 76.24 Tunisia</v>
      </c>
      <c r="G307" s="1" t="str">
        <f ca="1">IFERROR(__xludf.DUMMYFUNCTION("""COMPUTED_VALUE"""),"Freedom of Expression, Human Rights Defenders")</f>
        <v>Freedom of Expression, Human Rights Defenders</v>
      </c>
      <c r="H307" s="1" t="str">
        <f ca="1">IFERROR(__xludf.DUMMYFUNCTION("""COMPUTED_VALUE"""),"2025")</f>
        <v>2025</v>
      </c>
      <c r="I307" s="1" t="str">
        <f ca="1">IFERROR(__xludf.DUMMYFUNCTION("""COMPUTED_VALUE"""),"Email")</f>
        <v>Email</v>
      </c>
    </row>
    <row r="308" spans="1:9" ht="13" x14ac:dyDescent="0.15">
      <c r="A308" s="9">
        <f ca="1">IFERROR(__xludf.DUMMYFUNCTION("""COMPUTED_VALUE"""),30703334)</f>
        <v>30703334</v>
      </c>
      <c r="B308" s="1" t="str">
        <f ca="1">IFERROR(__xludf.DUMMYFUNCTION("""COMPUTED_VALUE"""),"uchiyama@earthlink.net")</f>
        <v>uchiyama@earthlink.net</v>
      </c>
      <c r="C308" s="9" t="str">
        <f ca="1">IFERROR(__xludf.DUMMYFUNCTION("""COMPUTED_VALUE"""),"EVERGREEN - UAN Gated Content - Embedded Petition")</f>
        <v>EVERGREEN - UAN Gated Content - Embedded Petition</v>
      </c>
      <c r="D308" s="10">
        <f ca="1">IFERROR(__xludf.DUMMYFUNCTION("""COMPUTED_VALUE"""),45678)</f>
        <v>45678</v>
      </c>
      <c r="E308" s="1" t="str">
        <f ca="1">IFERROR(__xludf.DUMMYFUNCTION("""COMPUTED_VALUE"""),"USA")</f>
        <v>USA</v>
      </c>
      <c r="F308" s="1" t="str">
        <f ca="1">IFERROR(__xludf.DUMMYFUNCTION("""COMPUTED_VALUE"""),"4.25 USA")</f>
        <v>4.25 USA</v>
      </c>
      <c r="G308" s="1" t="str">
        <f ca="1">IFERROR(__xludf.DUMMYFUNCTION("""COMPUTED_VALUE"""),"Individuals At Risk, Refugee and Migrant Rights")</f>
        <v>Individuals At Risk, Refugee and Migrant Rights</v>
      </c>
      <c r="H308" s="1" t="str">
        <f ca="1">IFERROR(__xludf.DUMMYFUNCTION("""COMPUTED_VALUE"""),"2025")</f>
        <v>2025</v>
      </c>
      <c r="I308" s="1" t="str">
        <f ca="1">IFERROR(__xludf.DUMMYFUNCTION("""COMPUTED_VALUE"""),"Letter")</f>
        <v>Letter</v>
      </c>
    </row>
    <row r="309" spans="1:9" ht="13" x14ac:dyDescent="0.15">
      <c r="A309" s="9">
        <f ca="1">IFERROR(__xludf.DUMMYFUNCTION("""COMPUTED_VALUE"""),30708031)</f>
        <v>30708031</v>
      </c>
      <c r="B309" s="1" t="str">
        <f ca="1">IFERROR(__xludf.DUMMYFUNCTION("""COMPUTED_VALUE"""),"gino.morelli@gmail.com")</f>
        <v>gino.morelli@gmail.com</v>
      </c>
      <c r="C309" s="9" t="str">
        <f ca="1">IFERROR(__xludf.DUMMYFUNCTION("""COMPUTED_VALUE"""),"EVERGREEN - UAN Gated Content - Embedded Petition")</f>
        <v>EVERGREEN - UAN Gated Content - Embedded Petition</v>
      </c>
      <c r="D309" s="10">
        <f ca="1">IFERROR(__xludf.DUMMYFUNCTION("""COMPUTED_VALUE"""),45637)</f>
        <v>45637</v>
      </c>
      <c r="E309" s="1" t="str">
        <f ca="1">IFERROR(__xludf.DUMMYFUNCTION("""COMPUTED_VALUE"""),"Tunisia")</f>
        <v>Tunisia</v>
      </c>
      <c r="F309" s="1" t="str">
        <f ca="1">IFERROR(__xludf.DUMMYFUNCTION("""COMPUTED_VALUE"""),"Second 76.24 Tunisia")</f>
        <v>Second 76.24 Tunisia</v>
      </c>
      <c r="G309" s="1" t="str">
        <f ca="1">IFERROR(__xludf.DUMMYFUNCTION("""COMPUTED_VALUE"""),"Freedom of Expression, Human Rights Defenders")</f>
        <v>Freedom of Expression, Human Rights Defenders</v>
      </c>
      <c r="H309" s="1" t="str">
        <f ca="1">IFERROR(__xludf.DUMMYFUNCTION("""COMPUTED_VALUE"""),"2025")</f>
        <v>2025</v>
      </c>
      <c r="I309" s="1" t="str">
        <f ca="1">IFERROR(__xludf.DUMMYFUNCTION("""COMPUTED_VALUE"""),"Email")</f>
        <v>Email</v>
      </c>
    </row>
    <row r="310" spans="1:9" ht="13" x14ac:dyDescent="0.15">
      <c r="A310" s="9">
        <f ca="1">IFERROR(__xludf.DUMMYFUNCTION("""COMPUTED_VALUE"""),30708031)</f>
        <v>30708031</v>
      </c>
      <c r="B310" s="1" t="str">
        <f ca="1">IFERROR(__xludf.DUMMYFUNCTION("""COMPUTED_VALUE"""),"gino.morelli@gmail.com")</f>
        <v>gino.morelli@gmail.com</v>
      </c>
      <c r="C310" s="9" t="str">
        <f ca="1">IFERROR(__xludf.DUMMYFUNCTION("""COMPUTED_VALUE"""),"EVERGREEN - UAN Gated Content - Embedded Petition")</f>
        <v>EVERGREEN - UAN Gated Content - Embedded Petition</v>
      </c>
      <c r="D310" s="10">
        <f ca="1">IFERROR(__xludf.DUMMYFUNCTION("""COMPUTED_VALUE"""),45694)</f>
        <v>45694</v>
      </c>
      <c r="E310" s="1" t="str">
        <f ca="1">IFERROR(__xludf.DUMMYFUNCTION("""COMPUTED_VALUE"""),"Tunisia")</f>
        <v>Tunisia</v>
      </c>
      <c r="F310" s="1" t="str">
        <f ca="1">IFERROR(__xludf.DUMMYFUNCTION("""COMPUTED_VALUE"""),"Second 76.24 Tunisia")</f>
        <v>Second 76.24 Tunisia</v>
      </c>
      <c r="G310" s="1" t="str">
        <f ca="1">IFERROR(__xludf.DUMMYFUNCTION("""COMPUTED_VALUE"""),"Freedom of Expression, Human Rights Defenders")</f>
        <v>Freedom of Expression, Human Rights Defenders</v>
      </c>
      <c r="H310" s="1" t="str">
        <f ca="1">IFERROR(__xludf.DUMMYFUNCTION("""COMPUTED_VALUE"""),"2025")</f>
        <v>2025</v>
      </c>
      <c r="I310" s="1" t="str">
        <f ca="1">IFERROR(__xludf.DUMMYFUNCTION("""COMPUTED_VALUE"""),"Email")</f>
        <v>Email</v>
      </c>
    </row>
    <row r="311" spans="1:9" ht="13" x14ac:dyDescent="0.15">
      <c r="A311" s="9">
        <f ca="1">IFERROR(__xludf.DUMMYFUNCTION("""COMPUTED_VALUE"""),30708031)</f>
        <v>30708031</v>
      </c>
      <c r="B311" s="1" t="str">
        <f ca="1">IFERROR(__xludf.DUMMYFUNCTION("""COMPUTED_VALUE"""),"gino.morelli@gmail.com")</f>
        <v>gino.morelli@gmail.com</v>
      </c>
      <c r="C311" s="9" t="str">
        <f ca="1">IFERROR(__xludf.DUMMYFUNCTION("""COMPUTED_VALUE"""),"EVERGREEN - UAN Gated Content - Embedded Petition")</f>
        <v>EVERGREEN - UAN Gated Content - Embedded Petition</v>
      </c>
      <c r="D311" s="10">
        <f ca="1">IFERROR(__xludf.DUMMYFUNCTION("""COMPUTED_VALUE"""),45637)</f>
        <v>45637</v>
      </c>
      <c r="E311" s="1" t="str">
        <f ca="1">IFERROR(__xludf.DUMMYFUNCTION("""COMPUTED_VALUE"""),"Tunisia")</f>
        <v>Tunisia</v>
      </c>
      <c r="F311" s="1" t="str">
        <f ca="1">IFERROR(__xludf.DUMMYFUNCTION("""COMPUTED_VALUE"""),"Second 76.24 Tunisia")</f>
        <v>Second 76.24 Tunisia</v>
      </c>
      <c r="G311" s="1" t="str">
        <f ca="1">IFERROR(__xludf.DUMMYFUNCTION("""COMPUTED_VALUE"""),"Freedom of Expression, Human Rights Defenders")</f>
        <v>Freedom of Expression, Human Rights Defenders</v>
      </c>
      <c r="H311" s="1" t="str">
        <f ca="1">IFERROR(__xludf.DUMMYFUNCTION("""COMPUTED_VALUE"""),"2025")</f>
        <v>2025</v>
      </c>
      <c r="I311" s="1" t="str">
        <f ca="1">IFERROR(__xludf.DUMMYFUNCTION("""COMPUTED_VALUE"""),"Email")</f>
        <v>Email</v>
      </c>
    </row>
    <row r="312" spans="1:9" ht="13" x14ac:dyDescent="0.15">
      <c r="A312" s="9">
        <f ca="1">IFERROR(__xludf.DUMMYFUNCTION("""COMPUTED_VALUE"""),30708031)</f>
        <v>30708031</v>
      </c>
      <c r="B312" s="1" t="str">
        <f ca="1">IFERROR(__xludf.DUMMYFUNCTION("""COMPUTED_VALUE"""),"gino.morelli@gmail.com")</f>
        <v>gino.morelli@gmail.com</v>
      </c>
      <c r="C312" s="9" t="str">
        <f ca="1">IFERROR(__xludf.DUMMYFUNCTION("""COMPUTED_VALUE"""),"EVERGREEN - UAN Gated Content - Embedded Petition")</f>
        <v>EVERGREEN - UAN Gated Content - Embedded Petition</v>
      </c>
      <c r="D312" s="10">
        <f ca="1">IFERROR(__xludf.DUMMYFUNCTION("""COMPUTED_VALUE"""),45637)</f>
        <v>45637</v>
      </c>
      <c r="E312" s="1" t="str">
        <f ca="1">IFERROR(__xludf.DUMMYFUNCTION("""COMPUTED_VALUE"""),"USA")</f>
        <v>USA</v>
      </c>
      <c r="F312" s="1" t="str">
        <f ca="1">IFERROR(__xludf.DUMMYFUNCTION("""COMPUTED_VALUE"""),"4.25 USA")</f>
        <v>4.25 USA</v>
      </c>
      <c r="G312" s="1" t="str">
        <f ca="1">IFERROR(__xludf.DUMMYFUNCTION("""COMPUTED_VALUE"""),"Individuals At Risk, Refugee and Migrant Rights")</f>
        <v>Individuals At Risk, Refugee and Migrant Rights</v>
      </c>
      <c r="H312" s="1" t="str">
        <f ca="1">IFERROR(__xludf.DUMMYFUNCTION("""COMPUTED_VALUE"""),"2025")</f>
        <v>2025</v>
      </c>
      <c r="I312" s="1" t="str">
        <f ca="1">IFERROR(__xludf.DUMMYFUNCTION("""COMPUTED_VALUE"""),"Letter")</f>
        <v>Letter</v>
      </c>
    </row>
    <row r="313" spans="1:9" ht="13" x14ac:dyDescent="0.15">
      <c r="A313" s="9">
        <f ca="1">IFERROR(__xludf.DUMMYFUNCTION("""COMPUTED_VALUE"""),30708031)</f>
        <v>30708031</v>
      </c>
      <c r="B313" s="1" t="str">
        <f ca="1">IFERROR(__xludf.DUMMYFUNCTION("""COMPUTED_VALUE"""),"gino.morelli@gmail.com")</f>
        <v>gino.morelli@gmail.com</v>
      </c>
      <c r="C313" s="9" t="str">
        <f ca="1">IFERROR(__xludf.DUMMYFUNCTION("""COMPUTED_VALUE"""),"EVERGREEN - UAN Gated Content - Embedded Petition")</f>
        <v>EVERGREEN - UAN Gated Content - Embedded Petition</v>
      </c>
      <c r="D313" s="10">
        <f ca="1">IFERROR(__xludf.DUMMYFUNCTION("""COMPUTED_VALUE"""),45637)</f>
        <v>45637</v>
      </c>
      <c r="E313" s="1" t="str">
        <f ca="1">IFERROR(__xludf.DUMMYFUNCTION("""COMPUTED_VALUE"""),"Tunisia")</f>
        <v>Tunisia</v>
      </c>
      <c r="F313" s="1" t="str">
        <f ca="1">IFERROR(__xludf.DUMMYFUNCTION("""COMPUTED_VALUE"""),"Second 76.24 Tunisia")</f>
        <v>Second 76.24 Tunisia</v>
      </c>
      <c r="G313" s="1" t="str">
        <f ca="1">IFERROR(__xludf.DUMMYFUNCTION("""COMPUTED_VALUE"""),"Freedom of Expression, Human Rights Defenders")</f>
        <v>Freedom of Expression, Human Rights Defenders</v>
      </c>
      <c r="H313" s="1" t="str">
        <f ca="1">IFERROR(__xludf.DUMMYFUNCTION("""COMPUTED_VALUE"""),"2025")</f>
        <v>2025</v>
      </c>
      <c r="I313" s="1" t="str">
        <f ca="1">IFERROR(__xludf.DUMMYFUNCTION("""COMPUTED_VALUE"""),"Email")</f>
        <v>Email</v>
      </c>
    </row>
    <row r="314" spans="1:9" ht="13" x14ac:dyDescent="0.15">
      <c r="A314" s="9">
        <f ca="1">IFERROR(__xludf.DUMMYFUNCTION("""COMPUTED_VALUE"""),30708599)</f>
        <v>30708599</v>
      </c>
      <c r="B314" s="1" t="str">
        <f ca="1">IFERROR(__xludf.DUMMYFUNCTION("""COMPUTED_VALUE"""),"barbnjoe@sbcglobal.net")</f>
        <v>barbnjoe@sbcglobal.net</v>
      </c>
      <c r="C314" s="9" t="str">
        <f ca="1">IFERROR(__xludf.DUMMYFUNCTION("""COMPUTED_VALUE"""),"EVERGREEN - UAN Gated Content - Embedded Petition")</f>
        <v>EVERGREEN - UAN Gated Content - Embedded Petition</v>
      </c>
      <c r="D314" s="10">
        <f ca="1">IFERROR(__xludf.DUMMYFUNCTION("""COMPUTED_VALUE"""),45676)</f>
        <v>45676</v>
      </c>
      <c r="E314" s="1" t="str">
        <f ca="1">IFERROR(__xludf.DUMMYFUNCTION("""COMPUTED_VALUE"""),"Tunisia")</f>
        <v>Tunisia</v>
      </c>
      <c r="F314" s="1" t="str">
        <f ca="1">IFERROR(__xludf.DUMMYFUNCTION("""COMPUTED_VALUE"""),"Second 76.24 Tunisia")</f>
        <v>Second 76.24 Tunisia</v>
      </c>
      <c r="G314" s="1" t="str">
        <f ca="1">IFERROR(__xludf.DUMMYFUNCTION("""COMPUTED_VALUE"""),"Freedom of Expression, Human Rights Defenders")</f>
        <v>Freedom of Expression, Human Rights Defenders</v>
      </c>
      <c r="H314" s="1" t="str">
        <f ca="1">IFERROR(__xludf.DUMMYFUNCTION("""COMPUTED_VALUE"""),"2025")</f>
        <v>2025</v>
      </c>
      <c r="I314" s="1" t="str">
        <f ca="1">IFERROR(__xludf.DUMMYFUNCTION("""COMPUTED_VALUE"""),"Email")</f>
        <v>Email</v>
      </c>
    </row>
    <row r="315" spans="1:9" ht="13" x14ac:dyDescent="0.15">
      <c r="A315" s="9">
        <f ca="1">IFERROR(__xludf.DUMMYFUNCTION("""COMPUTED_VALUE"""),30708599)</f>
        <v>30708599</v>
      </c>
      <c r="B315" s="1" t="str">
        <f ca="1">IFERROR(__xludf.DUMMYFUNCTION("""COMPUTED_VALUE"""),"barbnjoe@sbcglobal.net")</f>
        <v>barbnjoe@sbcglobal.net</v>
      </c>
      <c r="C315" s="9" t="str">
        <f ca="1">IFERROR(__xludf.DUMMYFUNCTION("""COMPUTED_VALUE"""),"EVERGREEN - UAN Gated Content - Embedded Petition")</f>
        <v>EVERGREEN - UAN Gated Content - Embedded Petition</v>
      </c>
      <c r="D315" s="10">
        <f ca="1">IFERROR(__xludf.DUMMYFUNCTION("""COMPUTED_VALUE"""),45697)</f>
        <v>45697</v>
      </c>
      <c r="E315" s="1" t="str">
        <f ca="1">IFERROR(__xludf.DUMMYFUNCTION("""COMPUTED_VALUE"""),"USA")</f>
        <v>USA</v>
      </c>
      <c r="F315" s="1" t="str">
        <f ca="1">IFERROR(__xludf.DUMMYFUNCTION("""COMPUTED_VALUE"""),"96.24 USA")</f>
        <v>96.24 USA</v>
      </c>
      <c r="G315" s="1" t="str">
        <f ca="1">IFERROR(__xludf.DUMMYFUNCTION("""COMPUTED_VALUE"""),"Death Penalty")</f>
        <v>Death Penalty</v>
      </c>
      <c r="H315" s="1" t="str">
        <f ca="1">IFERROR(__xludf.DUMMYFUNCTION("""COMPUTED_VALUE"""),"2024")</f>
        <v>2024</v>
      </c>
      <c r="I315" s="1" t="str">
        <f ca="1">IFERROR(__xludf.DUMMYFUNCTION("""COMPUTED_VALUE"""),"Email")</f>
        <v>Email</v>
      </c>
    </row>
    <row r="316" spans="1:9" ht="13" x14ac:dyDescent="0.15">
      <c r="A316" s="9">
        <f ca="1">IFERROR(__xludf.DUMMYFUNCTION("""COMPUTED_VALUE"""),30719469)</f>
        <v>30719469</v>
      </c>
      <c r="B316" s="1" t="str">
        <f ca="1">IFERROR(__xludf.DUMMYFUNCTION("""COMPUTED_VALUE"""),"shodo.spring@gmail.com")</f>
        <v>shodo.spring@gmail.com</v>
      </c>
      <c r="C316" s="9" t="str">
        <f ca="1">IFERROR(__xludf.DUMMYFUNCTION("""COMPUTED_VALUE"""),"EVERGREEN - UAN Gated Content - Embedded Petition")</f>
        <v>EVERGREEN - UAN Gated Content - Embedded Petition</v>
      </c>
      <c r="D316" s="10">
        <f ca="1">IFERROR(__xludf.DUMMYFUNCTION("""COMPUTED_VALUE"""),45694)</f>
        <v>45694</v>
      </c>
      <c r="E316" s="1" t="str">
        <f ca="1">IFERROR(__xludf.DUMMYFUNCTION("""COMPUTED_VALUE"""),"China")</f>
        <v>China</v>
      </c>
      <c r="F316" s="1" t="str">
        <f ca="1">IFERROR(__xludf.DUMMYFUNCTION("""COMPUTED_VALUE"""),"98.24 China")</f>
        <v>98.24 China</v>
      </c>
      <c r="G316" s="1" t="str">
        <f ca="1">IFERROR(__xludf.DUMMYFUNCTION("""COMPUTED_VALUE"""),"Freedom of Expression, Individuals At Risk")</f>
        <v>Freedom of Expression, Individuals At Risk</v>
      </c>
      <c r="H316" s="1" t="str">
        <f ca="1">IFERROR(__xludf.DUMMYFUNCTION("""COMPUTED_VALUE"""),"2024")</f>
        <v>2024</v>
      </c>
      <c r="I316" s="1" t="str">
        <f ca="1">IFERROR(__xludf.DUMMYFUNCTION("""COMPUTED_VALUE"""),"Letter")</f>
        <v>Letter</v>
      </c>
    </row>
    <row r="317" spans="1:9" ht="13" x14ac:dyDescent="0.15">
      <c r="A317" s="9">
        <f ca="1">IFERROR(__xludf.DUMMYFUNCTION("""COMPUTED_VALUE"""),30719469)</f>
        <v>30719469</v>
      </c>
      <c r="B317" s="1" t="str">
        <f ca="1">IFERROR(__xludf.DUMMYFUNCTION("""COMPUTED_VALUE"""),"shodo.spring@gmail.com")</f>
        <v>shodo.spring@gmail.com</v>
      </c>
      <c r="C317" s="9" t="str">
        <f ca="1">IFERROR(__xludf.DUMMYFUNCTION("""COMPUTED_VALUE"""),"EVERGREEN - UAN Gated Content - Embedded Petition")</f>
        <v>EVERGREEN - UAN Gated Content - Embedded Petition</v>
      </c>
      <c r="D317" s="10">
        <f ca="1">IFERROR(__xludf.DUMMYFUNCTION("""COMPUTED_VALUE"""),45672)</f>
        <v>45672</v>
      </c>
      <c r="E317" s="1" t="str">
        <f ca="1">IFERROR(__xludf.DUMMYFUNCTION("""COMPUTED_VALUE"""),"China")</f>
        <v>China</v>
      </c>
      <c r="F317" s="1" t="str">
        <f ca="1">IFERROR(__xludf.DUMMYFUNCTION("""COMPUTED_VALUE"""),"98.24 China")</f>
        <v>98.24 China</v>
      </c>
      <c r="G317" s="1" t="str">
        <f ca="1">IFERROR(__xludf.DUMMYFUNCTION("""COMPUTED_VALUE"""),"Freedom of Expression, Individuals At Risk")</f>
        <v>Freedom of Expression, Individuals At Risk</v>
      </c>
      <c r="H317" s="1" t="str">
        <f ca="1">IFERROR(__xludf.DUMMYFUNCTION("""COMPUTED_VALUE"""),"2024")</f>
        <v>2024</v>
      </c>
      <c r="I317" s="1" t="str">
        <f ca="1">IFERROR(__xludf.DUMMYFUNCTION("""COMPUTED_VALUE"""),"Letter")</f>
        <v>Letter</v>
      </c>
    </row>
    <row r="318" spans="1:9" ht="13" x14ac:dyDescent="0.15">
      <c r="A318" s="9">
        <f ca="1">IFERROR(__xludf.DUMMYFUNCTION("""COMPUTED_VALUE"""),30721822)</f>
        <v>30721822</v>
      </c>
      <c r="B318" s="1" t="str">
        <f ca="1">IFERROR(__xludf.DUMMYFUNCTION("""COMPUTED_VALUE"""),"sharareh.hashemy@gmail.com")</f>
        <v>sharareh.hashemy@gmail.com</v>
      </c>
      <c r="C318" s="9" t="str">
        <f ca="1">IFERROR(__xludf.DUMMYFUNCTION("""COMPUTED_VALUE"""),"EVERGREEN - UAN Gated Content - Embedded Petition")</f>
        <v>EVERGREEN - UAN Gated Content - Embedded Petition</v>
      </c>
      <c r="D318" s="10">
        <f ca="1">IFERROR(__xludf.DUMMYFUNCTION("""COMPUTED_VALUE"""),45673)</f>
        <v>45673</v>
      </c>
      <c r="E318" s="1" t="str">
        <f ca="1">IFERROR(__xludf.DUMMYFUNCTION("""COMPUTED_VALUE"""),"Uganda")</f>
        <v>Uganda</v>
      </c>
      <c r="F318" s="1" t="str">
        <f ca="1">IFERROR(__xludf.DUMMYFUNCTION("""COMPUTED_VALUE"""),"9.25 Uganda")</f>
        <v>9.25 Uganda</v>
      </c>
      <c r="G318" s="1" t="str">
        <f ca="1">IFERROR(__xludf.DUMMYFUNCTION("""COMPUTED_VALUE"""),"Freedom of Expression, Human Rights Defenders")</f>
        <v>Freedom of Expression, Human Rights Defenders</v>
      </c>
      <c r="H318" s="1" t="str">
        <f ca="1">IFERROR(__xludf.DUMMYFUNCTION("""COMPUTED_VALUE"""),"2025")</f>
        <v>2025</v>
      </c>
      <c r="I318" s="1" t="str">
        <f ca="1">IFERROR(__xludf.DUMMYFUNCTION("""COMPUTED_VALUE"""),"Email")</f>
        <v>Email</v>
      </c>
    </row>
    <row r="319" spans="1:9" ht="13" x14ac:dyDescent="0.15">
      <c r="A319" s="9">
        <f ca="1">IFERROR(__xludf.DUMMYFUNCTION("""COMPUTED_VALUE"""),30735844)</f>
        <v>30735844</v>
      </c>
      <c r="B319" s="1" t="str">
        <f ca="1">IFERROR(__xludf.DUMMYFUNCTION("""COMPUTED_VALUE"""),"shulingsu1@gmail.com")</f>
        <v>shulingsu1@gmail.com</v>
      </c>
      <c r="C319" s="9" t="str">
        <f ca="1">IFERROR(__xludf.DUMMYFUNCTION("""COMPUTED_VALUE"""),"EVERGREEN - UAN Gated Content - Embedded Petition")</f>
        <v>EVERGREEN - UAN Gated Content - Embedded Petition</v>
      </c>
      <c r="D319" s="10">
        <f ca="1">IFERROR(__xludf.DUMMYFUNCTION("""COMPUTED_VALUE"""),45636)</f>
        <v>45636</v>
      </c>
      <c r="E319" s="1" t="str">
        <f ca="1">IFERROR(__xludf.DUMMYFUNCTION("""COMPUTED_VALUE"""),"Venezuela")</f>
        <v>Venezuela</v>
      </c>
      <c r="F319" s="1" t="str">
        <f ca="1">IFERROR(__xludf.DUMMYFUNCTION("""COMPUTED_VALUE"""),"97.24 Venezuela")</f>
        <v>97.24 Venezuela</v>
      </c>
      <c r="G319" s="1" t="str">
        <f ca="1">IFERROR(__xludf.DUMMYFUNCTION("""COMPUTED_VALUE"""),"Freedom of Expression")</f>
        <v>Freedom of Expression</v>
      </c>
      <c r="H319" s="1" t="str">
        <f ca="1">IFERROR(__xludf.DUMMYFUNCTION("""COMPUTED_VALUE"""),"2024")</f>
        <v>2024</v>
      </c>
      <c r="I319" s="1" t="str">
        <f ca="1">IFERROR(__xludf.DUMMYFUNCTION("""COMPUTED_VALUE"""),"Letter")</f>
        <v>Letter</v>
      </c>
    </row>
    <row r="320" spans="1:9" ht="13" x14ac:dyDescent="0.15">
      <c r="A320" s="9">
        <f ca="1">IFERROR(__xludf.DUMMYFUNCTION("""COMPUTED_VALUE"""),30735844)</f>
        <v>30735844</v>
      </c>
      <c r="B320" s="1" t="str">
        <f ca="1">IFERROR(__xludf.DUMMYFUNCTION("""COMPUTED_VALUE"""),"shulingsu1@gmail.com")</f>
        <v>shulingsu1@gmail.com</v>
      </c>
      <c r="C320" s="9" t="str">
        <f ca="1">IFERROR(__xludf.DUMMYFUNCTION("""COMPUTED_VALUE"""),"EVERGREEN - UAN Gated Content - Embedded Petition")</f>
        <v>EVERGREEN - UAN Gated Content - Embedded Petition</v>
      </c>
      <c r="D320" s="10">
        <f ca="1">IFERROR(__xludf.DUMMYFUNCTION("""COMPUTED_VALUE"""),45636)</f>
        <v>45636</v>
      </c>
      <c r="E320" s="1" t="str">
        <f ca="1">IFERROR(__xludf.DUMMYFUNCTION("""COMPUTED_VALUE"""),"Saudi Arabia")</f>
        <v>Saudi Arabia</v>
      </c>
      <c r="F320" s="1" t="str">
        <f ca="1">IFERROR(__xludf.DUMMYFUNCTION("""COMPUTED_VALUE"""),"Second 85.23 Saudi Arabia")</f>
        <v>Second 85.23 Saudi Arabia</v>
      </c>
      <c r="G320" s="1" t="str">
        <f ca="1">IFERROR(__xludf.DUMMYFUNCTION("""COMPUTED_VALUE"""),"Freedom of Expression")</f>
        <v>Freedom of Expression</v>
      </c>
      <c r="H320" s="1" t="str">
        <f ca="1">IFERROR(__xludf.DUMMYFUNCTION("""COMPUTED_VALUE"""),"2024")</f>
        <v>2024</v>
      </c>
      <c r="I320" s="1" t="str">
        <f ca="1">IFERROR(__xludf.DUMMYFUNCTION("""COMPUTED_VALUE"""),"Letter")</f>
        <v>Letter</v>
      </c>
    </row>
    <row r="321" spans="1:9" ht="13" x14ac:dyDescent="0.15">
      <c r="A321" s="9">
        <f ca="1">IFERROR(__xludf.DUMMYFUNCTION("""COMPUTED_VALUE"""),30735844)</f>
        <v>30735844</v>
      </c>
      <c r="B321" s="1" t="str">
        <f ca="1">IFERROR(__xludf.DUMMYFUNCTION("""COMPUTED_VALUE"""),"shulingsu1@gmail.com")</f>
        <v>shulingsu1@gmail.com</v>
      </c>
      <c r="C321" s="9" t="str">
        <f ca="1">IFERROR(__xludf.DUMMYFUNCTION("""COMPUTED_VALUE"""),"EVERGREEN - UAN Gated Content - Embedded Petition")</f>
        <v>EVERGREEN - UAN Gated Content - Embedded Petition</v>
      </c>
      <c r="D321" s="10">
        <f ca="1">IFERROR(__xludf.DUMMYFUNCTION("""COMPUTED_VALUE"""),45636)</f>
        <v>45636</v>
      </c>
      <c r="E321" s="1" t="str">
        <f ca="1">IFERROR(__xludf.DUMMYFUNCTION("""COMPUTED_VALUE"""),"Egypt")</f>
        <v>Egypt</v>
      </c>
      <c r="F321" s="1" t="str">
        <f ca="1">IFERROR(__xludf.DUMMYFUNCTION("""COMPUTED_VALUE"""),"Ninth 190.18 Egypt")</f>
        <v>Ninth 190.18 Egypt</v>
      </c>
      <c r="G321" s="1" t="str">
        <f ca="1">IFERROR(__xludf.DUMMYFUNCTION("""COMPUTED_VALUE"""),"Freedom of Expression, Individuals At Risk")</f>
        <v>Freedom of Expression, Individuals At Risk</v>
      </c>
      <c r="H321" s="1" t="str">
        <f ca="1">IFERROR(__xludf.DUMMYFUNCTION("""COMPUTED_VALUE"""),"2024")</f>
        <v>2024</v>
      </c>
      <c r="I321" s="1" t="str">
        <f ca="1">IFERROR(__xludf.DUMMYFUNCTION("""COMPUTED_VALUE"""),"Letter")</f>
        <v>Letter</v>
      </c>
    </row>
    <row r="322" spans="1:9" ht="13" x14ac:dyDescent="0.15">
      <c r="A322" s="9">
        <f ca="1">IFERROR(__xludf.DUMMYFUNCTION("""COMPUTED_VALUE"""),30735844)</f>
        <v>30735844</v>
      </c>
      <c r="B322" s="1" t="str">
        <f ca="1">IFERROR(__xludf.DUMMYFUNCTION("""COMPUTED_VALUE"""),"shulingsu1@gmail.com")</f>
        <v>shulingsu1@gmail.com</v>
      </c>
      <c r="C322" s="9" t="str">
        <f ca="1">IFERROR(__xludf.DUMMYFUNCTION("""COMPUTED_VALUE"""),"EVERGREEN - UAN Gated Content - Embedded Petition")</f>
        <v>EVERGREEN - UAN Gated Content - Embedded Petition</v>
      </c>
      <c r="D322" s="10">
        <f ca="1">IFERROR(__xludf.DUMMYFUNCTION("""COMPUTED_VALUE"""),45636)</f>
        <v>45636</v>
      </c>
      <c r="E322" s="1" t="str">
        <f ca="1">IFERROR(__xludf.DUMMYFUNCTION("""COMPUTED_VALUE"""),"Saudi Arabia")</f>
        <v>Saudi Arabia</v>
      </c>
      <c r="F322" s="1" t="str">
        <f ca="1">IFERROR(__xludf.DUMMYFUNCTION("""COMPUTED_VALUE"""),"Second 85.23 Saudi Arabia")</f>
        <v>Second 85.23 Saudi Arabia</v>
      </c>
      <c r="G322" s="1" t="str">
        <f ca="1">IFERROR(__xludf.DUMMYFUNCTION("""COMPUTED_VALUE"""),"Freedom of Expression")</f>
        <v>Freedom of Expression</v>
      </c>
      <c r="H322" s="1" t="str">
        <f ca="1">IFERROR(__xludf.DUMMYFUNCTION("""COMPUTED_VALUE"""),"2024")</f>
        <v>2024</v>
      </c>
      <c r="I322" s="1" t="str">
        <f ca="1">IFERROR(__xludf.DUMMYFUNCTION("""COMPUTED_VALUE"""),"Letter")</f>
        <v>Letter</v>
      </c>
    </row>
    <row r="323" spans="1:9" ht="13" x14ac:dyDescent="0.15">
      <c r="A323" s="9">
        <f ca="1">IFERROR(__xludf.DUMMYFUNCTION("""COMPUTED_VALUE"""),30735844)</f>
        <v>30735844</v>
      </c>
      <c r="B323" s="1" t="str">
        <f ca="1">IFERROR(__xludf.DUMMYFUNCTION("""COMPUTED_VALUE"""),"shulingsu1@gmail.com")</f>
        <v>shulingsu1@gmail.com</v>
      </c>
      <c r="C323" s="9" t="str">
        <f ca="1">IFERROR(__xludf.DUMMYFUNCTION("""COMPUTED_VALUE"""),"EVERGREEN - UAN Gated Content - Embedded Petition")</f>
        <v>EVERGREEN - UAN Gated Content - Embedded Petition</v>
      </c>
      <c r="D323" s="10">
        <f ca="1">IFERROR(__xludf.DUMMYFUNCTION("""COMPUTED_VALUE"""),45636)</f>
        <v>45636</v>
      </c>
      <c r="E323" s="1" t="str">
        <f ca="1">IFERROR(__xludf.DUMMYFUNCTION("""COMPUTED_VALUE"""),"Canada")</f>
        <v>Canada</v>
      </c>
      <c r="F323" s="1" t="str">
        <f ca="1">IFERROR(__xludf.DUMMYFUNCTION("""COMPUTED_VALUE"""),"99.24 Canada")</f>
        <v>99.24 Canada</v>
      </c>
      <c r="G323" s="1" t="str">
        <f ca="1">IFERROR(__xludf.DUMMYFUNCTION("""COMPUTED_VALUE"""),"Climate Justice, Indigenous Rights, Right to Protest")</f>
        <v>Climate Justice, Indigenous Rights, Right to Protest</v>
      </c>
      <c r="H323" s="1" t="str">
        <f ca="1">IFERROR(__xludf.DUMMYFUNCTION("""COMPUTED_VALUE"""),"2024")</f>
        <v>2024</v>
      </c>
      <c r="I323" s="1" t="str">
        <f ca="1">IFERROR(__xludf.DUMMYFUNCTION("""COMPUTED_VALUE"""),"Letter")</f>
        <v>Letter</v>
      </c>
    </row>
    <row r="324" spans="1:9" ht="13" x14ac:dyDescent="0.15">
      <c r="A324" s="9">
        <f ca="1">IFERROR(__xludf.DUMMYFUNCTION("""COMPUTED_VALUE"""),30735844)</f>
        <v>30735844</v>
      </c>
      <c r="B324" s="1" t="str">
        <f ca="1">IFERROR(__xludf.DUMMYFUNCTION("""COMPUTED_VALUE"""),"shulingsu1@gmail.com")</f>
        <v>shulingsu1@gmail.com</v>
      </c>
      <c r="C324" s="9" t="str">
        <f ca="1">IFERROR(__xludf.DUMMYFUNCTION("""COMPUTED_VALUE"""),"EVERGREEN - UAN Gated Content - Embedded Petition")</f>
        <v>EVERGREEN - UAN Gated Content - Embedded Petition</v>
      </c>
      <c r="D324" s="10">
        <f ca="1">IFERROR(__xludf.DUMMYFUNCTION("""COMPUTED_VALUE"""),45636)</f>
        <v>45636</v>
      </c>
      <c r="E324" s="1" t="str">
        <f ca="1">IFERROR(__xludf.DUMMYFUNCTION("""COMPUTED_VALUE"""),"Canada")</f>
        <v>Canada</v>
      </c>
      <c r="F324" s="1" t="str">
        <f ca="1">IFERROR(__xludf.DUMMYFUNCTION("""COMPUTED_VALUE"""),"99.24 Canada")</f>
        <v>99.24 Canada</v>
      </c>
      <c r="G324" s="1" t="str">
        <f ca="1">IFERROR(__xludf.DUMMYFUNCTION("""COMPUTED_VALUE"""),"Climate Justice, Indigenous Rights, Right to Protest")</f>
        <v>Climate Justice, Indigenous Rights, Right to Protest</v>
      </c>
      <c r="H324" s="1" t="str">
        <f ca="1">IFERROR(__xludf.DUMMYFUNCTION("""COMPUTED_VALUE"""),"2024")</f>
        <v>2024</v>
      </c>
      <c r="I324" s="1" t="str">
        <f ca="1">IFERROR(__xludf.DUMMYFUNCTION("""COMPUTED_VALUE"""),"Letter")</f>
        <v>Letter</v>
      </c>
    </row>
    <row r="325" spans="1:9" ht="13" x14ac:dyDescent="0.15">
      <c r="A325" s="9">
        <f ca="1">IFERROR(__xludf.DUMMYFUNCTION("""COMPUTED_VALUE"""),30735844)</f>
        <v>30735844</v>
      </c>
      <c r="B325" s="1" t="str">
        <f ca="1">IFERROR(__xludf.DUMMYFUNCTION("""COMPUTED_VALUE"""),"shulingsu1@gmail.com")</f>
        <v>shulingsu1@gmail.com</v>
      </c>
      <c r="C325" s="9" t="str">
        <f ca="1">IFERROR(__xludf.DUMMYFUNCTION("""COMPUTED_VALUE"""),"EVERGREEN - UAN Gated Content - Embedded Petition")</f>
        <v>EVERGREEN - UAN Gated Content - Embedded Petition</v>
      </c>
      <c r="D325" s="10">
        <f ca="1">IFERROR(__xludf.DUMMYFUNCTION("""COMPUTED_VALUE"""),45636)</f>
        <v>45636</v>
      </c>
      <c r="E325" s="1" t="str">
        <f ca="1">IFERROR(__xludf.DUMMYFUNCTION("""COMPUTED_VALUE"""),"Russian Federation")</f>
        <v>Russian Federation</v>
      </c>
      <c r="F325" s="1" t="str">
        <f ca="1">IFERROR(__xludf.DUMMYFUNCTION("""COMPUTED_VALUE"""),"Second 23.24 Russia")</f>
        <v>Second 23.24 Russia</v>
      </c>
      <c r="G325" s="1" t="str">
        <f ca="1">IFERROR(__xludf.DUMMYFUNCTION("""COMPUTED_VALUE"""),"Freedom of Expression")</f>
        <v>Freedom of Expression</v>
      </c>
      <c r="H325" s="1" t="str">
        <f ca="1">IFERROR(__xludf.DUMMYFUNCTION("""COMPUTED_VALUE"""),"2024")</f>
        <v>2024</v>
      </c>
      <c r="I325" s="1" t="str">
        <f ca="1">IFERROR(__xludf.DUMMYFUNCTION("""COMPUTED_VALUE"""),"Letter")</f>
        <v>Letter</v>
      </c>
    </row>
    <row r="326" spans="1:9" ht="13" x14ac:dyDescent="0.15">
      <c r="A326" s="9">
        <f ca="1">IFERROR(__xludf.DUMMYFUNCTION("""COMPUTED_VALUE"""),30735844)</f>
        <v>30735844</v>
      </c>
      <c r="B326" s="1" t="str">
        <f ca="1">IFERROR(__xludf.DUMMYFUNCTION("""COMPUTED_VALUE"""),"shulingsu1@gmail.com")</f>
        <v>shulingsu1@gmail.com</v>
      </c>
      <c r="C326" s="9" t="str">
        <f ca="1">IFERROR(__xludf.DUMMYFUNCTION("""COMPUTED_VALUE"""),"EVERGREEN - UAN Gated Content - Embedded Petition")</f>
        <v>EVERGREEN - UAN Gated Content - Embedded Petition</v>
      </c>
      <c r="D326" s="10">
        <f ca="1">IFERROR(__xludf.DUMMYFUNCTION("""COMPUTED_VALUE"""),45636)</f>
        <v>45636</v>
      </c>
      <c r="E326" s="1" t="str">
        <f ca="1">IFERROR(__xludf.DUMMYFUNCTION("""COMPUTED_VALUE"""),"China")</f>
        <v>China</v>
      </c>
      <c r="F326" s="1" t="str">
        <f ca="1">IFERROR(__xludf.DUMMYFUNCTION("""COMPUTED_VALUE"""),"106.24 China")</f>
        <v>106.24 China</v>
      </c>
      <c r="G326" s="1" t="str">
        <f ca="1">IFERROR(__xludf.DUMMYFUNCTION("""COMPUTED_VALUE"""),"Freedom of Expression, Individuals At Risk")</f>
        <v>Freedom of Expression, Individuals At Risk</v>
      </c>
      <c r="H326" s="1" t="str">
        <f ca="1">IFERROR(__xludf.DUMMYFUNCTION("""COMPUTED_VALUE"""),"2024")</f>
        <v>2024</v>
      </c>
      <c r="I326" s="1" t="str">
        <f ca="1">IFERROR(__xludf.DUMMYFUNCTION("""COMPUTED_VALUE"""),"Email")</f>
        <v>Email</v>
      </c>
    </row>
    <row r="327" spans="1:9" ht="13" x14ac:dyDescent="0.15">
      <c r="A327" s="9">
        <f ca="1">IFERROR(__xludf.DUMMYFUNCTION("""COMPUTED_VALUE"""),30735844)</f>
        <v>30735844</v>
      </c>
      <c r="B327" s="1" t="str">
        <f ca="1">IFERROR(__xludf.DUMMYFUNCTION("""COMPUTED_VALUE"""),"shulingsu1@gmail.com")</f>
        <v>shulingsu1@gmail.com</v>
      </c>
      <c r="C327" s="9" t="str">
        <f ca="1">IFERROR(__xludf.DUMMYFUNCTION("""COMPUTED_VALUE"""),"EVERGREEN - Website Email Capture Form - UAN Pre-Footer")</f>
        <v>EVERGREEN - Website Email Capture Form - UAN Pre-Footer</v>
      </c>
      <c r="D327" s="10">
        <f ca="1">IFERROR(__xludf.DUMMYFUNCTION("""COMPUTED_VALUE"""),45636)</f>
        <v>45636</v>
      </c>
      <c r="E327" s="1" t="str">
        <f ca="1">IFERROR(__xludf.DUMMYFUNCTION("""COMPUTED_VALUE"""),"Tunisia")</f>
        <v>Tunisia</v>
      </c>
      <c r="F327" s="1" t="str">
        <f ca="1">IFERROR(__xludf.DUMMYFUNCTION("""COMPUTED_VALUE"""),"Second 43.24 Tunisia")</f>
        <v>Second 43.24 Tunisia</v>
      </c>
      <c r="G327" s="1" t="str">
        <f ca="1">IFERROR(__xludf.DUMMYFUNCTION("""COMPUTED_VALUE"""),"Freedom of Expression, Individuals At Risk")</f>
        <v>Freedom of Expression, Individuals At Risk</v>
      </c>
      <c r="H327" s="1" t="str">
        <f ca="1">IFERROR(__xludf.DUMMYFUNCTION("""COMPUTED_VALUE"""),"2024")</f>
        <v>2024</v>
      </c>
      <c r="I327" s="1" t="str">
        <f ca="1">IFERROR(__xludf.DUMMYFUNCTION("""COMPUTED_VALUE"""),"Email")</f>
        <v>Email</v>
      </c>
    </row>
    <row r="328" spans="1:9" ht="13" x14ac:dyDescent="0.15">
      <c r="A328" s="9">
        <f ca="1">IFERROR(__xludf.DUMMYFUNCTION("""COMPUTED_VALUE"""),30739874)</f>
        <v>30739874</v>
      </c>
      <c r="B328" s="1" t="str">
        <f ca="1">IFERROR(__xludf.DUMMYFUNCTION("""COMPUTED_VALUE"""),"lauran68@gmail.com")</f>
        <v>lauran68@gmail.com</v>
      </c>
      <c r="C328" s="9" t="str">
        <f ca="1">IFERROR(__xludf.DUMMYFUNCTION("""COMPUTED_VALUE"""),"EVERGREEN - UAN Gated Content - Embedded Petition")</f>
        <v>EVERGREEN - UAN Gated Content - Embedded Petition</v>
      </c>
      <c r="D328" s="10">
        <f ca="1">IFERROR(__xludf.DUMMYFUNCTION("""COMPUTED_VALUE"""),45636)</f>
        <v>45636</v>
      </c>
      <c r="E328" s="1" t="str">
        <f ca="1">IFERROR(__xludf.DUMMYFUNCTION("""COMPUTED_VALUE"""),"Niger")</f>
        <v>Niger</v>
      </c>
      <c r="F328" s="1" t="str">
        <f ca="1">IFERROR(__xludf.DUMMYFUNCTION("""COMPUTED_VALUE"""),"103.24 Niger")</f>
        <v>103.24 Niger</v>
      </c>
      <c r="G328" s="1" t="str">
        <f ca="1">IFERROR(__xludf.DUMMYFUNCTION("""COMPUTED_VALUE"""),"Freedom of Expression, Human Rights Defenders")</f>
        <v>Freedom of Expression, Human Rights Defenders</v>
      </c>
      <c r="H328" s="1" t="str">
        <f ca="1">IFERROR(__xludf.DUMMYFUNCTION("""COMPUTED_VALUE"""),"2024")</f>
        <v>2024</v>
      </c>
      <c r="I328" s="1" t="str">
        <f ca="1">IFERROR(__xludf.DUMMYFUNCTION("""COMPUTED_VALUE"""),"Email")</f>
        <v>Email</v>
      </c>
    </row>
    <row r="329" spans="1:9" ht="13" x14ac:dyDescent="0.15">
      <c r="A329" s="9">
        <f ca="1">IFERROR(__xludf.DUMMYFUNCTION("""COMPUTED_VALUE"""),30739874)</f>
        <v>30739874</v>
      </c>
      <c r="B329" s="1" t="str">
        <f ca="1">IFERROR(__xludf.DUMMYFUNCTION("""COMPUTED_VALUE"""),"lauran68@gmail.com")</f>
        <v>lauran68@gmail.com</v>
      </c>
      <c r="C329" s="9" t="str">
        <f ca="1">IFERROR(__xludf.DUMMYFUNCTION("""COMPUTED_VALUE"""),"EVERGREEN - UAN Gated Content - Embedded Petition")</f>
        <v>EVERGREEN - UAN Gated Content - Embedded Petition</v>
      </c>
      <c r="D329" s="10">
        <f ca="1">IFERROR(__xludf.DUMMYFUNCTION("""COMPUTED_VALUE"""),45678)</f>
        <v>45678</v>
      </c>
      <c r="E329" s="1" t="str">
        <f ca="1">IFERROR(__xludf.DUMMYFUNCTION("""COMPUTED_VALUE"""),"Turkiye")</f>
        <v>Turkiye</v>
      </c>
      <c r="F329" s="1" t="str">
        <f ca="1">IFERROR(__xludf.DUMMYFUNCTION("""COMPUTED_VALUE"""),"109.24 Türkiye")</f>
        <v>109.24 Türkiye</v>
      </c>
      <c r="G329" s="1" t="str">
        <f ca="1">IFERROR(__xludf.DUMMYFUNCTION("""COMPUTED_VALUE"""),"Human Rights Defenders, Individuals At Risk")</f>
        <v>Human Rights Defenders, Individuals At Risk</v>
      </c>
      <c r="H329" s="1" t="str">
        <f ca="1">IFERROR(__xludf.DUMMYFUNCTION("""COMPUTED_VALUE"""),"2024")</f>
        <v>2024</v>
      </c>
      <c r="I329" s="1" t="str">
        <f ca="1">IFERROR(__xludf.DUMMYFUNCTION("""COMPUTED_VALUE"""),"Email")</f>
        <v>Email</v>
      </c>
    </row>
    <row r="330" spans="1:9" ht="13" x14ac:dyDescent="0.15">
      <c r="A330" s="9">
        <f ca="1">IFERROR(__xludf.DUMMYFUNCTION("""COMPUTED_VALUE"""),30740678)</f>
        <v>30740678</v>
      </c>
      <c r="B330" s="1" t="str">
        <f ca="1">IFERROR(__xludf.DUMMYFUNCTION("""COMPUTED_VALUE"""),"tvbasr@gmail.com")</f>
        <v>tvbasr@gmail.com</v>
      </c>
      <c r="C330" s="9" t="str">
        <f ca="1">IFERROR(__xludf.DUMMYFUNCTION("""COMPUTED_VALUE"""),"EVERGREEN - UAN Gated Content - Embedded Petition")</f>
        <v>EVERGREEN - UAN Gated Content - Embedded Petition</v>
      </c>
      <c r="D330" s="10">
        <f ca="1">IFERROR(__xludf.DUMMYFUNCTION("""COMPUTED_VALUE"""),45636)</f>
        <v>45636</v>
      </c>
      <c r="E330" s="1" t="str">
        <f ca="1">IFERROR(__xludf.DUMMYFUNCTION("""COMPUTED_VALUE"""),"Egypt")</f>
        <v>Egypt</v>
      </c>
      <c r="F330" s="1" t="str">
        <f ca="1">IFERROR(__xludf.DUMMYFUNCTION("""COMPUTED_VALUE"""),"Third 73.23 Egypt")</f>
        <v>Third 73.23 Egypt</v>
      </c>
      <c r="G330" s="1" t="str">
        <f ca="1">IFERROR(__xludf.DUMMYFUNCTION("""COMPUTED_VALUE"""),"Individuals At Risk")</f>
        <v>Individuals At Risk</v>
      </c>
      <c r="H330" s="1" t="str">
        <f ca="1">IFERROR(__xludf.DUMMYFUNCTION("""COMPUTED_VALUE"""),"2024")</f>
        <v>2024</v>
      </c>
      <c r="I330" s="1" t="str">
        <f ca="1">IFERROR(__xludf.DUMMYFUNCTION("""COMPUTED_VALUE"""),"Email")</f>
        <v>Email</v>
      </c>
    </row>
    <row r="331" spans="1:9" ht="13" x14ac:dyDescent="0.15">
      <c r="A331" s="9">
        <f ca="1">IFERROR(__xludf.DUMMYFUNCTION("""COMPUTED_VALUE"""),30740678)</f>
        <v>30740678</v>
      </c>
      <c r="B331" s="1" t="str">
        <f ca="1">IFERROR(__xludf.DUMMYFUNCTION("""COMPUTED_VALUE"""),"tvbasr@gmail.com")</f>
        <v>tvbasr@gmail.com</v>
      </c>
      <c r="C331" s="9" t="str">
        <f ca="1">IFERROR(__xludf.DUMMYFUNCTION("""COMPUTED_VALUE"""),"EVERGREEN - UAN Gated Content - Embedded Petition")</f>
        <v>EVERGREEN - UAN Gated Content - Embedded Petition</v>
      </c>
      <c r="D331" s="10">
        <f ca="1">IFERROR(__xludf.DUMMYFUNCTION("""COMPUTED_VALUE"""),45694)</f>
        <v>45694</v>
      </c>
      <c r="E331" s="1" t="str">
        <f ca="1">IFERROR(__xludf.DUMMYFUNCTION("""COMPUTED_VALUE"""),"Iran")</f>
        <v>Iran</v>
      </c>
      <c r="F331" s="1" t="str">
        <f ca="1">IFERROR(__xludf.DUMMYFUNCTION("""COMPUTED_VALUE"""),"Seventh 103.22 Iran")</f>
        <v>Seventh 103.22 Iran</v>
      </c>
      <c r="G331" s="1" t="str">
        <f ca="1">IFERROR(__xludf.DUMMYFUNCTION("""COMPUTED_VALUE"""),"Death Penalty, Freedom of Expression, Individuals At Risk")</f>
        <v>Death Penalty, Freedom of Expression, Individuals At Risk</v>
      </c>
      <c r="H331" s="1" t="str">
        <f ca="1">IFERROR(__xludf.DUMMYFUNCTION("""COMPUTED_VALUE"""),"2024")</f>
        <v>2024</v>
      </c>
      <c r="I331" s="1" t="str">
        <f ca="1">IFERROR(__xludf.DUMMYFUNCTION("""COMPUTED_VALUE"""),"Email")</f>
        <v>Email</v>
      </c>
    </row>
    <row r="332" spans="1:9" ht="13" x14ac:dyDescent="0.15">
      <c r="A332" s="9">
        <f ca="1">IFERROR(__xludf.DUMMYFUNCTION("""COMPUTED_VALUE"""),30745335)</f>
        <v>30745335</v>
      </c>
      <c r="B332" s="1" t="str">
        <f ca="1">IFERROR(__xludf.DUMMYFUNCTION("""COMPUTED_VALUE"""),"egbakersmith@gmail.com")</f>
        <v>egbakersmith@gmail.com</v>
      </c>
      <c r="C332" s="9" t="str">
        <f ca="1">IFERROR(__xludf.DUMMYFUNCTION("""COMPUTED_VALUE"""),"EVERGREEN - UAN Gated Content - Embedded Petition")</f>
        <v>EVERGREEN - UAN Gated Content - Embedded Petition</v>
      </c>
      <c r="D332" s="10">
        <f ca="1">IFERROR(__xludf.DUMMYFUNCTION("""COMPUTED_VALUE"""),45674)</f>
        <v>45674</v>
      </c>
      <c r="E332" s="1" t="str">
        <f ca="1">IFERROR(__xludf.DUMMYFUNCTION("""COMPUTED_VALUE"""),"USA")</f>
        <v>USA</v>
      </c>
      <c r="F332" s="1" t="str">
        <f ca="1">IFERROR(__xludf.DUMMYFUNCTION("""COMPUTED_VALUE"""),"Fourth 55.24 USA")</f>
        <v>Fourth 55.24 USA</v>
      </c>
      <c r="G332" s="1" t="str">
        <f ca="1">IFERROR(__xludf.DUMMYFUNCTION("""COMPUTED_VALUE"""),"Climate Justice, Individuals At Risk")</f>
        <v>Climate Justice, Individuals At Risk</v>
      </c>
      <c r="H332" s="1" t="str">
        <f ca="1">IFERROR(__xludf.DUMMYFUNCTION("""COMPUTED_VALUE"""),"2025")</f>
        <v>2025</v>
      </c>
      <c r="I332" s="1" t="str">
        <f ca="1">IFERROR(__xludf.DUMMYFUNCTION("""COMPUTED_VALUE"""),"Email")</f>
        <v>Email</v>
      </c>
    </row>
    <row r="333" spans="1:9" ht="13" x14ac:dyDescent="0.15">
      <c r="A333" s="9">
        <f ca="1">IFERROR(__xludf.DUMMYFUNCTION("""COMPUTED_VALUE"""),30745335)</f>
        <v>30745335</v>
      </c>
      <c r="B333" s="1" t="str">
        <f ca="1">IFERROR(__xludf.DUMMYFUNCTION("""COMPUTED_VALUE"""),"egbakersmith@gmail.com")</f>
        <v>egbakersmith@gmail.com</v>
      </c>
      <c r="C333" s="9" t="str">
        <f ca="1">IFERROR(__xludf.DUMMYFUNCTION("""COMPUTED_VALUE"""),"EVERGREEN - UAN Gated Content - Embedded Petition")</f>
        <v>EVERGREEN - UAN Gated Content - Embedded Petition</v>
      </c>
      <c r="D333" s="10">
        <f ca="1">IFERROR(__xludf.DUMMYFUNCTION("""COMPUTED_VALUE"""),45694)</f>
        <v>45694</v>
      </c>
      <c r="E333" s="1" t="str">
        <f ca="1">IFERROR(__xludf.DUMMYFUNCTION("""COMPUTED_VALUE"""),"Saudi Arabia")</f>
        <v>Saudi Arabia</v>
      </c>
      <c r="F333" s="1" t="str">
        <f ca="1">IFERROR(__xludf.DUMMYFUNCTION("""COMPUTED_VALUE"""),"104.24 Saudi Arabia")</f>
        <v>104.24 Saudi Arabia</v>
      </c>
      <c r="G333" s="1" t="str">
        <f ca="1">IFERROR(__xludf.DUMMYFUNCTION("""COMPUTED_VALUE"""),"Individuals At Risk, Refugee and Migrant Rights")</f>
        <v>Individuals At Risk, Refugee and Migrant Rights</v>
      </c>
      <c r="H333" s="1" t="str">
        <f ca="1">IFERROR(__xludf.DUMMYFUNCTION("""COMPUTED_VALUE"""),"2024")</f>
        <v>2024</v>
      </c>
      <c r="I333" s="1" t="str">
        <f ca="1">IFERROR(__xludf.DUMMYFUNCTION("""COMPUTED_VALUE"""),"Email")</f>
        <v>Email</v>
      </c>
    </row>
    <row r="334" spans="1:9" ht="13" x14ac:dyDescent="0.15">
      <c r="A334" s="9">
        <f ca="1">IFERROR(__xludf.DUMMYFUNCTION("""COMPUTED_VALUE"""),30746066)</f>
        <v>30746066</v>
      </c>
      <c r="B334" s="1" t="str">
        <f ca="1">IFERROR(__xludf.DUMMYFUNCTION("""COMPUTED_VALUE"""),"lvschlumberger@gmail.com")</f>
        <v>lvschlumberger@gmail.com</v>
      </c>
      <c r="C334" s="9" t="str">
        <f ca="1">IFERROR(__xludf.DUMMYFUNCTION("""COMPUTED_VALUE"""),"EVERGREEN - UAN Gated Content - Embedded Petition")</f>
        <v>EVERGREEN - UAN Gated Content - Embedded Petition</v>
      </c>
      <c r="D334" s="10">
        <f ca="1">IFERROR(__xludf.DUMMYFUNCTION("""COMPUTED_VALUE"""),45679)</f>
        <v>45679</v>
      </c>
      <c r="E334" s="1" t="str">
        <f ca="1">IFERROR(__xludf.DUMMYFUNCTION("""COMPUTED_VALUE"""),"Singapore")</f>
        <v>Singapore</v>
      </c>
      <c r="F334" s="1" t="str">
        <f ca="1">IFERROR(__xludf.DUMMYFUNCTION("""COMPUTED_VALUE"""),"107.24 Singapore")</f>
        <v>107.24 Singapore</v>
      </c>
      <c r="G334" s="1" t="str">
        <f ca="1">IFERROR(__xludf.DUMMYFUNCTION("""COMPUTED_VALUE"""),"Death Penalty")</f>
        <v>Death Penalty</v>
      </c>
      <c r="H334" s="1" t="str">
        <f ca="1">IFERROR(__xludf.DUMMYFUNCTION("""COMPUTED_VALUE"""),"2024")</f>
        <v>2024</v>
      </c>
      <c r="I334" s="1" t="str">
        <f ca="1">IFERROR(__xludf.DUMMYFUNCTION("""COMPUTED_VALUE"""),"Email")</f>
        <v>Email</v>
      </c>
    </row>
    <row r="335" spans="1:9" ht="13" x14ac:dyDescent="0.15">
      <c r="A335" s="9">
        <f ca="1">IFERROR(__xludf.DUMMYFUNCTION("""COMPUTED_VALUE"""),30755843)</f>
        <v>30755843</v>
      </c>
      <c r="B335" s="1" t="str">
        <f ca="1">IFERROR(__xludf.DUMMYFUNCTION("""COMPUTED_VALUE"""),"sarawolsey@yahoo.com")</f>
        <v>sarawolsey@yahoo.com</v>
      </c>
      <c r="C335" s="9" t="str">
        <f ca="1">IFERROR(__xludf.DUMMYFUNCTION("""COMPUTED_VALUE"""),"EVERGREEN - UAN Gated Content - Embedded Petition")</f>
        <v>EVERGREEN - UAN Gated Content - Embedded Petition</v>
      </c>
      <c r="D335" s="10">
        <f ca="1">IFERROR(__xludf.DUMMYFUNCTION("""COMPUTED_VALUE"""),45694)</f>
        <v>45694</v>
      </c>
      <c r="E335" s="1" t="str">
        <f ca="1">IFERROR(__xludf.DUMMYFUNCTION("""COMPUTED_VALUE"""),"Azerbaijan")</f>
        <v>Azerbaijan</v>
      </c>
      <c r="F335" s="1" t="str">
        <f ca="1">IFERROR(__xludf.DUMMYFUNCTION("""COMPUTED_VALUE"""),"2.25 Azerbaijan")</f>
        <v>2.25 Azerbaijan</v>
      </c>
      <c r="G335" s="1" t="str">
        <f ca="1">IFERROR(__xludf.DUMMYFUNCTION("""COMPUTED_VALUE"""),"Freedom of Expression, Human Rights Defenders")</f>
        <v>Freedom of Expression, Human Rights Defenders</v>
      </c>
      <c r="H335" s="1" t="str">
        <f ca="1">IFERROR(__xludf.DUMMYFUNCTION("""COMPUTED_VALUE"""),"2025")</f>
        <v>2025</v>
      </c>
      <c r="I335" s="1" t="str">
        <f ca="1">IFERROR(__xludf.DUMMYFUNCTION("""COMPUTED_VALUE"""),"Email")</f>
        <v>Email</v>
      </c>
    </row>
    <row r="336" spans="1:9" ht="13" x14ac:dyDescent="0.15">
      <c r="A336" s="9">
        <f ca="1">IFERROR(__xludf.DUMMYFUNCTION("""COMPUTED_VALUE"""),30757242)</f>
        <v>30757242</v>
      </c>
      <c r="B336" s="1" t="str">
        <f ca="1">IFERROR(__xludf.DUMMYFUNCTION("""COMPUTED_VALUE"""),"pjl2094@gmail.com")</f>
        <v>pjl2094@gmail.com</v>
      </c>
      <c r="C336" s="9" t="str">
        <f ca="1">IFERROR(__xludf.DUMMYFUNCTION("""COMPUTED_VALUE"""),"EVERGREEN - UAN Gated Content - Embedded Petition")</f>
        <v>EVERGREEN - UAN Gated Content - Embedded Petition</v>
      </c>
      <c r="D336" s="10">
        <f ca="1">IFERROR(__xludf.DUMMYFUNCTION("""COMPUTED_VALUE"""),45694)</f>
        <v>45694</v>
      </c>
      <c r="E336" s="1" t="str">
        <f ca="1">IFERROR(__xludf.DUMMYFUNCTION("""COMPUTED_VALUE"""),"Venezuela")</f>
        <v>Venezuela</v>
      </c>
      <c r="F336" s="1" t="str">
        <f ca="1">IFERROR(__xludf.DUMMYFUNCTION("""COMPUTED_VALUE"""),"1.25 Venezuela")</f>
        <v>1.25 Venezuela</v>
      </c>
      <c r="G336" s="1" t="str">
        <f ca="1">IFERROR(__xludf.DUMMYFUNCTION("""COMPUTED_VALUE"""),"Human Rights Defenders, Individuals At Risk")</f>
        <v>Human Rights Defenders, Individuals At Risk</v>
      </c>
      <c r="H336" s="1" t="str">
        <f ca="1">IFERROR(__xludf.DUMMYFUNCTION("""COMPUTED_VALUE"""),"2025")</f>
        <v>2025</v>
      </c>
      <c r="I336" s="1" t="str">
        <f ca="1">IFERROR(__xludf.DUMMYFUNCTION("""COMPUTED_VALUE"""),"Letter")</f>
        <v>Letter</v>
      </c>
    </row>
    <row r="337" spans="1:9" ht="13" x14ac:dyDescent="0.15">
      <c r="A337" s="9">
        <f ca="1">IFERROR(__xludf.DUMMYFUNCTION("""COMPUTED_VALUE"""),30761847)</f>
        <v>30761847</v>
      </c>
      <c r="B337" s="1" t="str">
        <f ca="1">IFERROR(__xludf.DUMMYFUNCTION("""COMPUTED_VALUE"""),"iwanttorun@gmail.com")</f>
        <v>iwanttorun@gmail.com</v>
      </c>
      <c r="C337" s="9" t="str">
        <f ca="1">IFERROR(__xludf.DUMMYFUNCTION("""COMPUTED_VALUE"""),"EVERGREEN - UAN Gated Content - Embedded Petition")</f>
        <v>EVERGREEN - UAN Gated Content - Embedded Petition</v>
      </c>
      <c r="D337" s="10">
        <f ca="1">IFERROR(__xludf.DUMMYFUNCTION("""COMPUTED_VALUE"""),45694)</f>
        <v>45694</v>
      </c>
      <c r="E337" s="1" t="str">
        <f ca="1">IFERROR(__xludf.DUMMYFUNCTION("""COMPUTED_VALUE"""),"Colombia")</f>
        <v>Colombia</v>
      </c>
      <c r="F337" s="1" t="str">
        <f ca="1">IFERROR(__xludf.DUMMYFUNCTION("""COMPUTED_VALUE"""),"Third 12.24 Colombia")</f>
        <v>Third 12.24 Colombia</v>
      </c>
      <c r="G337" s="1" t="str">
        <f ca="1">IFERROR(__xludf.DUMMYFUNCTION("""COMPUTED_VALUE"""),"Human Rights Defenders, Individuals At Risk")</f>
        <v>Human Rights Defenders, Individuals At Risk</v>
      </c>
      <c r="H337" s="1" t="str">
        <f ca="1">IFERROR(__xludf.DUMMYFUNCTION("""COMPUTED_VALUE"""),"2025")</f>
        <v>2025</v>
      </c>
      <c r="I337" s="1" t="str">
        <f ca="1">IFERROR(__xludf.DUMMYFUNCTION("""COMPUTED_VALUE"""),"Email")</f>
        <v>Email</v>
      </c>
    </row>
    <row r="338" spans="1:9" ht="13" x14ac:dyDescent="0.15">
      <c r="A338" s="9">
        <f ca="1">IFERROR(__xludf.DUMMYFUNCTION("""COMPUTED_VALUE"""),30774757)</f>
        <v>30774757</v>
      </c>
      <c r="B338" s="1" t="str">
        <f ca="1">IFERROR(__xludf.DUMMYFUNCTION("""COMPUTED_VALUE"""),"hardyzachary18@yahoo.com")</f>
        <v>hardyzachary18@yahoo.com</v>
      </c>
      <c r="C338" s="9" t="str">
        <f ca="1">IFERROR(__xludf.DUMMYFUNCTION("""COMPUTED_VALUE"""),"EVERGREEN - UAN Gated Content - Embedded Petition")</f>
        <v>EVERGREEN - UAN Gated Content - Embedded Petition</v>
      </c>
      <c r="D338" s="10">
        <f ca="1">IFERROR(__xludf.DUMMYFUNCTION("""COMPUTED_VALUE"""),45678)</f>
        <v>45678</v>
      </c>
      <c r="E338" s="1" t="str">
        <f ca="1">IFERROR(__xludf.DUMMYFUNCTION("""COMPUTED_VALUE"""),"Iran")</f>
        <v>Iran</v>
      </c>
      <c r="F338" s="1" t="str">
        <f ca="1">IFERROR(__xludf.DUMMYFUNCTION("""COMPUTED_VALUE"""),"6.25 Iran")</f>
        <v>6.25 Iran</v>
      </c>
      <c r="G338" s="1" t="str">
        <f ca="1">IFERROR(__xludf.DUMMYFUNCTION("""COMPUTED_VALUE"""),"Death Penalty, Freedom of Expression, Individuals At Risk")</f>
        <v>Death Penalty, Freedom of Expression, Individuals At Risk</v>
      </c>
      <c r="H338" s="1" t="str">
        <f ca="1">IFERROR(__xludf.DUMMYFUNCTION("""COMPUTED_VALUE"""),"2025")</f>
        <v>2025</v>
      </c>
      <c r="I338" s="1" t="str">
        <f ca="1">IFERROR(__xludf.DUMMYFUNCTION("""COMPUTED_VALUE"""),"Email")</f>
        <v>Email</v>
      </c>
    </row>
    <row r="339" spans="1:9" ht="13" x14ac:dyDescent="0.15">
      <c r="A339" s="9">
        <f ca="1">IFERROR(__xludf.DUMMYFUNCTION("""COMPUTED_VALUE"""),30778601)</f>
        <v>30778601</v>
      </c>
      <c r="B339" s="1" t="str">
        <f ca="1">IFERROR(__xludf.DUMMYFUNCTION("""COMPUTED_VALUE"""),"emjathome@yahoo.com")</f>
        <v>emjathome@yahoo.com</v>
      </c>
      <c r="C339" s="9" t="str">
        <f ca="1">IFERROR(__xludf.DUMMYFUNCTION("""COMPUTED_VALUE"""),"EVERGREEN - UAN Gated Content - Embedded Petition")</f>
        <v>EVERGREEN - UAN Gated Content - Embedded Petition</v>
      </c>
      <c r="D339" s="10">
        <f ca="1">IFERROR(__xludf.DUMMYFUNCTION("""COMPUTED_VALUE"""),45694)</f>
        <v>45694</v>
      </c>
      <c r="E339" s="1" t="str">
        <f ca="1">IFERROR(__xludf.DUMMYFUNCTION("""COMPUTED_VALUE"""),"Iran")</f>
        <v>Iran</v>
      </c>
      <c r="F339" s="1" t="str">
        <f ca="1">IFERROR(__xludf.DUMMYFUNCTION("""COMPUTED_VALUE"""),"6.25 Iran")</f>
        <v>6.25 Iran</v>
      </c>
      <c r="G339" s="1" t="str">
        <f ca="1">IFERROR(__xludf.DUMMYFUNCTION("""COMPUTED_VALUE"""),"Death Penalty, Freedom of Expression, Individuals At Risk")</f>
        <v>Death Penalty, Freedom of Expression, Individuals At Risk</v>
      </c>
      <c r="H339" s="1" t="str">
        <f ca="1">IFERROR(__xludf.DUMMYFUNCTION("""COMPUTED_VALUE"""),"2025")</f>
        <v>2025</v>
      </c>
      <c r="I339" s="1" t="str">
        <f ca="1">IFERROR(__xludf.DUMMYFUNCTION("""COMPUTED_VALUE"""),"Email")</f>
        <v>Email</v>
      </c>
    </row>
    <row r="340" spans="1:9" ht="13" x14ac:dyDescent="0.15">
      <c r="A340" s="9">
        <f ca="1">IFERROR(__xludf.DUMMYFUNCTION("""COMPUTED_VALUE"""),30786690)</f>
        <v>30786690</v>
      </c>
      <c r="B340" s="1" t="str">
        <f ca="1">IFERROR(__xludf.DUMMYFUNCTION("""COMPUTED_VALUE"""),"astillness@yahoo.com")</f>
        <v>astillness@yahoo.com</v>
      </c>
      <c r="C340" s="9" t="str">
        <f ca="1">IFERROR(__xludf.DUMMYFUNCTION("""COMPUTED_VALUE"""),"EVERGREEN - UAN Gated Content - Embedded Petition")</f>
        <v>EVERGREEN - UAN Gated Content - Embedded Petition</v>
      </c>
      <c r="D340" s="10">
        <f ca="1">IFERROR(__xludf.DUMMYFUNCTION("""COMPUTED_VALUE"""),45694)</f>
        <v>45694</v>
      </c>
      <c r="E340" s="1" t="str">
        <f ca="1">IFERROR(__xludf.DUMMYFUNCTION("""COMPUTED_VALUE"""),"Colombia")</f>
        <v>Colombia</v>
      </c>
      <c r="F340" s="1" t="str">
        <f ca="1">IFERROR(__xludf.DUMMYFUNCTION("""COMPUTED_VALUE"""),"Third 12.24 Colombia")</f>
        <v>Third 12.24 Colombia</v>
      </c>
      <c r="G340" s="1" t="str">
        <f ca="1">IFERROR(__xludf.DUMMYFUNCTION("""COMPUTED_VALUE"""),"Human Rights Defenders, Individuals At Risk")</f>
        <v>Human Rights Defenders, Individuals At Risk</v>
      </c>
      <c r="H340" s="1" t="str">
        <f ca="1">IFERROR(__xludf.DUMMYFUNCTION("""COMPUTED_VALUE"""),"2025")</f>
        <v>2025</v>
      </c>
      <c r="I340" s="1" t="str">
        <f ca="1">IFERROR(__xludf.DUMMYFUNCTION("""COMPUTED_VALUE"""),"Email")</f>
        <v>Email</v>
      </c>
    </row>
    <row r="341" spans="1:9" ht="13" x14ac:dyDescent="0.15">
      <c r="A341" s="9">
        <f ca="1">IFERROR(__xludf.DUMMYFUNCTION("""COMPUTED_VALUE"""),30795303)</f>
        <v>30795303</v>
      </c>
      <c r="B341" s="1" t="str">
        <f ca="1">IFERROR(__xludf.DUMMYFUNCTION("""COMPUTED_VALUE"""),"dundance@gmail.com")</f>
        <v>dundance@gmail.com</v>
      </c>
      <c r="C341" s="9" t="str">
        <f ca="1">IFERROR(__xludf.DUMMYFUNCTION("""COMPUTED_VALUE"""),"EVERGREEN - UAN Gated Content - Embedded Petition")</f>
        <v>EVERGREEN - UAN Gated Content - Embedded Petition</v>
      </c>
      <c r="D341" s="10">
        <f ca="1">IFERROR(__xludf.DUMMYFUNCTION("""COMPUTED_VALUE"""),45616)</f>
        <v>45616</v>
      </c>
      <c r="E341" s="1" t="str">
        <f ca="1">IFERROR(__xludf.DUMMYFUNCTION("""COMPUTED_VALUE"""),"Colombia")</f>
        <v>Colombia</v>
      </c>
      <c r="F341" s="1" t="str">
        <f ca="1">IFERROR(__xludf.DUMMYFUNCTION("""COMPUTED_VALUE"""),"5.25 Colombia")</f>
        <v>5.25 Colombia</v>
      </c>
      <c r="G341" s="1" t="str">
        <f ca="1">IFERROR(__xludf.DUMMYFUNCTION("""COMPUTED_VALUE"""),"Human Rights Defenders, Individuals At Risk")</f>
        <v>Human Rights Defenders, Individuals At Risk</v>
      </c>
      <c r="H341" s="1" t="str">
        <f ca="1">IFERROR(__xludf.DUMMYFUNCTION("""COMPUTED_VALUE"""),"2025")</f>
        <v>2025</v>
      </c>
      <c r="I341" s="1" t="str">
        <f ca="1">IFERROR(__xludf.DUMMYFUNCTION("""COMPUTED_VALUE"""),"Email")</f>
        <v>Email</v>
      </c>
    </row>
    <row r="342" spans="1:9" ht="13" x14ac:dyDescent="0.15">
      <c r="A342" s="9">
        <f ca="1">IFERROR(__xludf.DUMMYFUNCTION("""COMPUTED_VALUE"""),30795303)</f>
        <v>30795303</v>
      </c>
      <c r="B342" s="1" t="str">
        <f ca="1">IFERROR(__xludf.DUMMYFUNCTION("""COMPUTED_VALUE"""),"dundance@gmail.com")</f>
        <v>dundance@gmail.com</v>
      </c>
      <c r="C342" s="9" t="str">
        <f ca="1">IFERROR(__xludf.DUMMYFUNCTION("""COMPUTED_VALUE"""),"EVERGREEN - UAN Gated Content - Embedded Petition")</f>
        <v>EVERGREEN - UAN Gated Content - Embedded Petition</v>
      </c>
      <c r="D342" s="10">
        <f ca="1">IFERROR(__xludf.DUMMYFUNCTION("""COMPUTED_VALUE"""),45636)</f>
        <v>45636</v>
      </c>
      <c r="E342" s="1" t="str">
        <f ca="1">IFERROR(__xludf.DUMMYFUNCTION("""COMPUTED_VALUE"""),"Turkiye")</f>
        <v>Turkiye</v>
      </c>
      <c r="F342" s="1" t="str">
        <f ca="1">IFERROR(__xludf.DUMMYFUNCTION("""COMPUTED_VALUE"""),"Second 109.24 Türkiye")</f>
        <v>Second 109.24 Türkiye</v>
      </c>
      <c r="G342" s="1" t="str">
        <f ca="1">IFERROR(__xludf.DUMMYFUNCTION("""COMPUTED_VALUE"""),"Human Rights Defenders")</f>
        <v>Human Rights Defenders</v>
      </c>
      <c r="H342" s="1" t="str">
        <f ca="1">IFERROR(__xludf.DUMMYFUNCTION("""COMPUTED_VALUE"""),"2025")</f>
        <v>2025</v>
      </c>
      <c r="I342" s="1" t="str">
        <f ca="1">IFERROR(__xludf.DUMMYFUNCTION("""COMPUTED_VALUE"""),"Email")</f>
        <v>Email</v>
      </c>
    </row>
    <row r="343" spans="1:9" ht="13" x14ac:dyDescent="0.15">
      <c r="A343" s="9">
        <f ca="1">IFERROR(__xludf.DUMMYFUNCTION("""COMPUTED_VALUE"""),30800952)</f>
        <v>30800952</v>
      </c>
      <c r="B343" s="1" t="str">
        <f ca="1">IFERROR(__xludf.DUMMYFUNCTION("""COMPUTED_VALUE"""),"brettbos@yahoo.com")</f>
        <v>brettbos@yahoo.com</v>
      </c>
      <c r="C343" s="9" t="str">
        <f ca="1">IFERROR(__xludf.DUMMYFUNCTION("""COMPUTED_VALUE"""),"EVERGREEN - UAN Gated Content - Embedded Petition")</f>
        <v>EVERGREEN - UAN Gated Content - Embedded Petition</v>
      </c>
      <c r="D343" s="10">
        <f ca="1">IFERROR(__xludf.DUMMYFUNCTION("""COMPUTED_VALUE"""),45634)</f>
        <v>45634</v>
      </c>
      <c r="E343" s="1" t="str">
        <f ca="1">IFERROR(__xludf.DUMMYFUNCTION("""COMPUTED_VALUE"""),"Tunisia")</f>
        <v>Tunisia</v>
      </c>
      <c r="F343" s="1" t="str">
        <f ca="1">IFERROR(__xludf.DUMMYFUNCTION("""COMPUTED_VALUE"""),"Second 76.24 Tunisia")</f>
        <v>Second 76.24 Tunisia</v>
      </c>
      <c r="G343" s="1" t="str">
        <f ca="1">IFERROR(__xludf.DUMMYFUNCTION("""COMPUTED_VALUE"""),"Freedom of Expression, Human Rights Defenders")</f>
        <v>Freedom of Expression, Human Rights Defenders</v>
      </c>
      <c r="H343" s="1" t="str">
        <f ca="1">IFERROR(__xludf.DUMMYFUNCTION("""COMPUTED_VALUE"""),"2025")</f>
        <v>2025</v>
      </c>
      <c r="I343" s="1" t="str">
        <f ca="1">IFERROR(__xludf.DUMMYFUNCTION("""COMPUTED_VALUE"""),"Email")</f>
        <v>Email</v>
      </c>
    </row>
    <row r="344" spans="1:9" ht="13" x14ac:dyDescent="0.15">
      <c r="A344" s="9">
        <f ca="1">IFERROR(__xludf.DUMMYFUNCTION("""COMPUTED_VALUE"""),30800952)</f>
        <v>30800952</v>
      </c>
      <c r="B344" s="1" t="str">
        <f ca="1">IFERROR(__xludf.DUMMYFUNCTION("""COMPUTED_VALUE"""),"brettbos@yahoo.com")</f>
        <v>brettbos@yahoo.com</v>
      </c>
      <c r="C344" s="9" t="str">
        <f ca="1">IFERROR(__xludf.DUMMYFUNCTION("""COMPUTED_VALUE"""),"EVERGREEN - UAN Gated Content - Embedded Petition")</f>
        <v>EVERGREEN - UAN Gated Content - Embedded Petition</v>
      </c>
      <c r="D344" s="10">
        <f ca="1">IFERROR(__xludf.DUMMYFUNCTION("""COMPUTED_VALUE"""),45699)</f>
        <v>45699</v>
      </c>
      <c r="E344" s="1" t="str">
        <f ca="1">IFERROR(__xludf.DUMMYFUNCTION("""COMPUTED_VALUE"""),"Venezuela")</f>
        <v>Venezuela</v>
      </c>
      <c r="F344" s="1" t="str">
        <f ca="1">IFERROR(__xludf.DUMMYFUNCTION("""COMPUTED_VALUE"""),"97.24 Venezuela")</f>
        <v>97.24 Venezuela</v>
      </c>
      <c r="G344" s="1" t="str">
        <f ca="1">IFERROR(__xludf.DUMMYFUNCTION("""COMPUTED_VALUE"""),"Freedom of Expression")</f>
        <v>Freedom of Expression</v>
      </c>
      <c r="H344" s="1" t="str">
        <f ca="1">IFERROR(__xludf.DUMMYFUNCTION("""COMPUTED_VALUE"""),"2024")</f>
        <v>2024</v>
      </c>
      <c r="I344" s="1" t="str">
        <f ca="1">IFERROR(__xludf.DUMMYFUNCTION("""COMPUTED_VALUE"""),"Letter")</f>
        <v>Letter</v>
      </c>
    </row>
    <row r="345" spans="1:9" ht="13" x14ac:dyDescent="0.15">
      <c r="A345" s="9">
        <f ca="1">IFERROR(__xludf.DUMMYFUNCTION("""COMPUTED_VALUE"""),30800952)</f>
        <v>30800952</v>
      </c>
      <c r="B345" s="1" t="str">
        <f ca="1">IFERROR(__xludf.DUMMYFUNCTION("""COMPUTED_VALUE"""),"brettbos@yahoo.com")</f>
        <v>brettbos@yahoo.com</v>
      </c>
      <c r="C345" s="9" t="str">
        <f ca="1">IFERROR(__xludf.DUMMYFUNCTION("""COMPUTED_VALUE"""),"EVERGREEN - UAN Gated Content - Embedded Petition")</f>
        <v>EVERGREEN - UAN Gated Content - Embedded Petition</v>
      </c>
      <c r="D345" s="10">
        <f ca="1">IFERROR(__xludf.DUMMYFUNCTION("""COMPUTED_VALUE"""),45635)</f>
        <v>45635</v>
      </c>
      <c r="E345" s="1" t="str">
        <f ca="1">IFERROR(__xludf.DUMMYFUNCTION("""COMPUTED_VALUE"""),"Tunisia")</f>
        <v>Tunisia</v>
      </c>
      <c r="F345" s="1" t="str">
        <f ca="1">IFERROR(__xludf.DUMMYFUNCTION("""COMPUTED_VALUE"""),"8.25 Tunisia")</f>
        <v>8.25 Tunisia</v>
      </c>
      <c r="G345" s="1" t="str">
        <f ca="1">IFERROR(__xludf.DUMMYFUNCTION("""COMPUTED_VALUE"""),"Freedom of Expression")</f>
        <v>Freedom of Expression</v>
      </c>
      <c r="H345" s="1" t="str">
        <f ca="1">IFERROR(__xludf.DUMMYFUNCTION("""COMPUTED_VALUE"""),"2025")</f>
        <v>2025</v>
      </c>
      <c r="I345" s="1" t="str">
        <f ca="1">IFERROR(__xludf.DUMMYFUNCTION("""COMPUTED_VALUE"""),"Email")</f>
        <v>Email</v>
      </c>
    </row>
    <row r="346" spans="1:9" ht="13" x14ac:dyDescent="0.15">
      <c r="A346" s="9">
        <f ca="1">IFERROR(__xludf.DUMMYFUNCTION("""COMPUTED_VALUE"""),30800952)</f>
        <v>30800952</v>
      </c>
      <c r="B346" s="1" t="str">
        <f ca="1">IFERROR(__xludf.DUMMYFUNCTION("""COMPUTED_VALUE"""),"brettbos@yahoo.com")</f>
        <v>brettbos@yahoo.com</v>
      </c>
      <c r="C346" s="9" t="str">
        <f ca="1">IFERROR(__xludf.DUMMYFUNCTION("""COMPUTED_VALUE"""),"EVERGREEN - UAN Gated Content - Embedded Petition")</f>
        <v>EVERGREEN - UAN Gated Content - Embedded Petition</v>
      </c>
      <c r="D346" s="10">
        <f ca="1">IFERROR(__xludf.DUMMYFUNCTION("""COMPUTED_VALUE"""),45619)</f>
        <v>45619</v>
      </c>
      <c r="E346" s="1" t="str">
        <f ca="1">IFERROR(__xludf.DUMMYFUNCTION("""COMPUTED_VALUE"""),"Tunisia")</f>
        <v>Tunisia</v>
      </c>
      <c r="F346" s="1" t="str">
        <f ca="1">IFERROR(__xludf.DUMMYFUNCTION("""COMPUTED_VALUE"""),"Second 76.24 Tunisia")</f>
        <v>Second 76.24 Tunisia</v>
      </c>
      <c r="G346" s="1" t="str">
        <f ca="1">IFERROR(__xludf.DUMMYFUNCTION("""COMPUTED_VALUE"""),"Freedom of Expression, Human Rights Defenders")</f>
        <v>Freedom of Expression, Human Rights Defenders</v>
      </c>
      <c r="H346" s="1" t="str">
        <f ca="1">IFERROR(__xludf.DUMMYFUNCTION("""COMPUTED_VALUE"""),"2025")</f>
        <v>2025</v>
      </c>
      <c r="I346" s="1" t="str">
        <f ca="1">IFERROR(__xludf.DUMMYFUNCTION("""COMPUTED_VALUE"""),"Email")</f>
        <v>Email</v>
      </c>
    </row>
    <row r="347" spans="1:9" ht="13" x14ac:dyDescent="0.15">
      <c r="A347" s="9">
        <f ca="1">IFERROR(__xludf.DUMMYFUNCTION("""COMPUTED_VALUE"""),30800952)</f>
        <v>30800952</v>
      </c>
      <c r="B347" s="1" t="str">
        <f ca="1">IFERROR(__xludf.DUMMYFUNCTION("""COMPUTED_VALUE"""),"brettbos@yahoo.com")</f>
        <v>brettbos@yahoo.com</v>
      </c>
      <c r="C347" s="9" t="str">
        <f ca="1">IFERROR(__xludf.DUMMYFUNCTION("""COMPUTED_VALUE"""),"EVERGREEN - UAN Gated Content - Embedded Petition")</f>
        <v>EVERGREEN - UAN Gated Content - Embedded Petition</v>
      </c>
      <c r="D347" s="10">
        <f ca="1">IFERROR(__xludf.DUMMYFUNCTION("""COMPUTED_VALUE"""),45619)</f>
        <v>45619</v>
      </c>
      <c r="E347" s="1" t="str">
        <f ca="1">IFERROR(__xludf.DUMMYFUNCTION("""COMPUTED_VALUE"""),"Tunisia")</f>
        <v>Tunisia</v>
      </c>
      <c r="F347" s="1" t="str">
        <f ca="1">IFERROR(__xludf.DUMMYFUNCTION("""COMPUTED_VALUE"""),"Second 76.24 Tunisia")</f>
        <v>Second 76.24 Tunisia</v>
      </c>
      <c r="G347" s="1" t="str">
        <f ca="1">IFERROR(__xludf.DUMMYFUNCTION("""COMPUTED_VALUE"""),"Freedom of Expression, Human Rights Defenders")</f>
        <v>Freedom of Expression, Human Rights Defenders</v>
      </c>
      <c r="H347" s="1" t="str">
        <f ca="1">IFERROR(__xludf.DUMMYFUNCTION("""COMPUTED_VALUE"""),"2025")</f>
        <v>2025</v>
      </c>
      <c r="I347" s="1" t="str">
        <f ca="1">IFERROR(__xludf.DUMMYFUNCTION("""COMPUTED_VALUE"""),"Email")</f>
        <v>Email</v>
      </c>
    </row>
    <row r="348" spans="1:9" ht="13" x14ac:dyDescent="0.15">
      <c r="A348" s="9">
        <f ca="1">IFERROR(__xludf.DUMMYFUNCTION("""COMPUTED_VALUE"""),30800952)</f>
        <v>30800952</v>
      </c>
      <c r="B348" s="1" t="str">
        <f ca="1">IFERROR(__xludf.DUMMYFUNCTION("""COMPUTED_VALUE"""),"brettbos@yahoo.com")</f>
        <v>brettbos@yahoo.com</v>
      </c>
      <c r="C348" s="9" t="str">
        <f ca="1">IFERROR(__xludf.DUMMYFUNCTION("""COMPUTED_VALUE"""),"EVERGREEN - UAN Gated Content - Embedded Petition")</f>
        <v>EVERGREEN - UAN Gated Content - Embedded Petition</v>
      </c>
      <c r="D348" s="10">
        <f ca="1">IFERROR(__xludf.DUMMYFUNCTION("""COMPUTED_VALUE"""),45624)</f>
        <v>45624</v>
      </c>
      <c r="E348" s="1" t="str">
        <f ca="1">IFERROR(__xludf.DUMMYFUNCTION("""COMPUTED_VALUE"""),"Egypt")</f>
        <v>Egypt</v>
      </c>
      <c r="F348" s="1" t="str">
        <f ca="1">IFERROR(__xludf.DUMMYFUNCTION("""COMPUTED_VALUE"""),"Second 80.23 Egypt")</f>
        <v>Second 80.23 Egypt</v>
      </c>
      <c r="G348" s="1" t="str">
        <f ca="1">IFERROR(__xludf.DUMMYFUNCTION("""COMPUTED_VALUE"""),"Health, Individuals At Risk")</f>
        <v>Health, Individuals At Risk</v>
      </c>
      <c r="H348" s="1" t="str">
        <f ca="1">IFERROR(__xludf.DUMMYFUNCTION("""COMPUTED_VALUE"""),"2025")</f>
        <v>2025</v>
      </c>
      <c r="I348" s="1" t="str">
        <f ca="1">IFERROR(__xludf.DUMMYFUNCTION("""COMPUTED_VALUE"""),"Email")</f>
        <v>Email</v>
      </c>
    </row>
    <row r="349" spans="1:9" ht="13" x14ac:dyDescent="0.15">
      <c r="A349" s="9">
        <f ca="1">IFERROR(__xludf.DUMMYFUNCTION("""COMPUTED_VALUE"""),30800952)</f>
        <v>30800952</v>
      </c>
      <c r="B349" s="1" t="str">
        <f ca="1">IFERROR(__xludf.DUMMYFUNCTION("""COMPUTED_VALUE"""),"brettbos@yahoo.com")</f>
        <v>brettbos@yahoo.com</v>
      </c>
      <c r="C349" s="9" t="str">
        <f ca="1">IFERROR(__xludf.DUMMYFUNCTION("""COMPUTED_VALUE"""),"EVERGREEN - UAN Gated Content - Embedded Petition")</f>
        <v>EVERGREEN - UAN Gated Content - Embedded Petition</v>
      </c>
      <c r="D349" s="10">
        <f ca="1">IFERROR(__xludf.DUMMYFUNCTION("""COMPUTED_VALUE"""),45624)</f>
        <v>45624</v>
      </c>
      <c r="E349" s="1" t="str">
        <f ca="1">IFERROR(__xludf.DUMMYFUNCTION("""COMPUTED_VALUE"""),"Libya")</f>
        <v>Libya</v>
      </c>
      <c r="F349" s="1" t="str">
        <f ca="1">IFERROR(__xludf.DUMMYFUNCTION("""COMPUTED_VALUE"""),"12.25 Libya")</f>
        <v>12.25 Libya</v>
      </c>
      <c r="G349" s="1" t="str">
        <f ca="1">IFERROR(__xludf.DUMMYFUNCTION("""COMPUTED_VALUE"""),"Freedom of Expression, Health, Individuals At Risk")</f>
        <v>Freedom of Expression, Health, Individuals At Risk</v>
      </c>
      <c r="H349" s="1" t="str">
        <f ca="1">IFERROR(__xludf.DUMMYFUNCTION("""COMPUTED_VALUE"""),"2025")</f>
        <v>2025</v>
      </c>
      <c r="I349" s="1" t="str">
        <f ca="1">IFERROR(__xludf.DUMMYFUNCTION("""COMPUTED_VALUE"""),"Email")</f>
        <v>Email</v>
      </c>
    </row>
    <row r="350" spans="1:9" ht="13" x14ac:dyDescent="0.15">
      <c r="A350" s="9">
        <f ca="1">IFERROR(__xludf.DUMMYFUNCTION("""COMPUTED_VALUE"""),30800952)</f>
        <v>30800952</v>
      </c>
      <c r="B350" s="1" t="str">
        <f ca="1">IFERROR(__xludf.DUMMYFUNCTION("""COMPUTED_VALUE"""),"brettbos@yahoo.com")</f>
        <v>brettbos@yahoo.com</v>
      </c>
      <c r="C350" s="9" t="str">
        <f ca="1">IFERROR(__xludf.DUMMYFUNCTION("""COMPUTED_VALUE"""),"EVERGREEN - UAN Gated Content - Embedded Petition")</f>
        <v>EVERGREEN - UAN Gated Content - Embedded Petition</v>
      </c>
      <c r="D350" s="10">
        <f ca="1">IFERROR(__xludf.DUMMYFUNCTION("""COMPUTED_VALUE"""),45631)</f>
        <v>45631</v>
      </c>
      <c r="E350" s="1" t="str">
        <f ca="1">IFERROR(__xludf.DUMMYFUNCTION("""COMPUTED_VALUE"""),"Afghanistan")</f>
        <v>Afghanistan</v>
      </c>
      <c r="F350" s="1" t="str">
        <f ca="1">IFERROR(__xludf.DUMMYFUNCTION("""COMPUTED_VALUE"""),"11.25 Afghanistan")</f>
        <v>11.25 Afghanistan</v>
      </c>
      <c r="G350" s="1" t="str">
        <f ca="1">IFERROR(__xludf.DUMMYFUNCTION("""COMPUTED_VALUE"""),"Freedom of Expression, Health, Individuals At Risk")</f>
        <v>Freedom of Expression, Health, Individuals At Risk</v>
      </c>
      <c r="H350" s="1" t="str">
        <f ca="1">IFERROR(__xludf.DUMMYFUNCTION("""COMPUTED_VALUE"""),"2025")</f>
        <v>2025</v>
      </c>
      <c r="I350" s="1" t="str">
        <f ca="1">IFERROR(__xludf.DUMMYFUNCTION("""COMPUTED_VALUE"""),"Email")</f>
        <v>Email</v>
      </c>
    </row>
    <row r="351" spans="1:9" ht="13" x14ac:dyDescent="0.15">
      <c r="A351" s="9">
        <f ca="1">IFERROR(__xludf.DUMMYFUNCTION("""COMPUTED_VALUE"""),30800952)</f>
        <v>30800952</v>
      </c>
      <c r="B351" s="1" t="str">
        <f ca="1">IFERROR(__xludf.DUMMYFUNCTION("""COMPUTED_VALUE"""),"brettbos@yahoo.com")</f>
        <v>brettbos@yahoo.com</v>
      </c>
      <c r="C351" s="9" t="str">
        <f ca="1">IFERROR(__xludf.DUMMYFUNCTION("""COMPUTED_VALUE"""),"EVERGREEN - UAN Gated Content - Embedded Petition")</f>
        <v>EVERGREEN - UAN Gated Content - Embedded Petition</v>
      </c>
      <c r="D351" s="10">
        <f ca="1">IFERROR(__xludf.DUMMYFUNCTION("""COMPUTED_VALUE"""),45632)</f>
        <v>45632</v>
      </c>
      <c r="E351" s="1" t="str">
        <f ca="1">IFERROR(__xludf.DUMMYFUNCTION("""COMPUTED_VALUE"""),"Saudi Arabia")</f>
        <v>Saudi Arabia</v>
      </c>
      <c r="F351" s="1" t="str">
        <f ca="1">IFERROR(__xludf.DUMMYFUNCTION("""COMPUTED_VALUE"""),"Fifth 257.12")</f>
        <v>Fifth 257.12</v>
      </c>
      <c r="G351" s="1" t="str">
        <f ca="1">IFERROR(__xludf.DUMMYFUNCTION("""COMPUTED_VALUE"""),"Freedom of Expression, Human Rights Defenders")</f>
        <v>Freedom of Expression, Human Rights Defenders</v>
      </c>
      <c r="H351" s="1" t="str">
        <f ca="1">IFERROR(__xludf.DUMMYFUNCTION("""COMPUTED_VALUE"""),"2025")</f>
        <v>2025</v>
      </c>
      <c r="I351" s="1" t="str">
        <f ca="1">IFERROR(__xludf.DUMMYFUNCTION("""COMPUTED_VALUE"""),"Email")</f>
        <v>Email</v>
      </c>
    </row>
    <row r="352" spans="1:9" ht="13" x14ac:dyDescent="0.15">
      <c r="A352" s="9">
        <f ca="1">IFERROR(__xludf.DUMMYFUNCTION("""COMPUTED_VALUE"""),30800952)</f>
        <v>30800952</v>
      </c>
      <c r="B352" s="1" t="str">
        <f ca="1">IFERROR(__xludf.DUMMYFUNCTION("""COMPUTED_VALUE"""),"brettbos@yahoo.com")</f>
        <v>brettbos@yahoo.com</v>
      </c>
      <c r="C352" s="9" t="str">
        <f ca="1">IFERROR(__xludf.DUMMYFUNCTION("""COMPUTED_VALUE"""),"EVERGREEN - UAN Gated Content - Embedded Petition")</f>
        <v>EVERGREEN - UAN Gated Content - Embedded Petition</v>
      </c>
      <c r="D352" s="10">
        <f ca="1">IFERROR(__xludf.DUMMYFUNCTION("""COMPUTED_VALUE"""),45634)</f>
        <v>45634</v>
      </c>
      <c r="E352" s="1" t="str">
        <f ca="1">IFERROR(__xludf.DUMMYFUNCTION("""COMPUTED_VALUE"""),"Iran")</f>
        <v>Iran</v>
      </c>
      <c r="F352" s="1" t="str">
        <f ca="1">IFERROR(__xludf.DUMMYFUNCTION("""COMPUTED_VALUE"""),"10.25 Iran")</f>
        <v>10.25 Iran</v>
      </c>
      <c r="G352" s="1" t="str">
        <f ca="1">IFERROR(__xludf.DUMMYFUNCTION("""COMPUTED_VALUE"""),"Death Penalty, Individuals At Risk")</f>
        <v>Death Penalty, Individuals At Risk</v>
      </c>
      <c r="H352" s="1" t="str">
        <f ca="1">IFERROR(__xludf.DUMMYFUNCTION("""COMPUTED_VALUE"""),"2025")</f>
        <v>2025</v>
      </c>
      <c r="I352" s="1" t="str">
        <f ca="1">IFERROR(__xludf.DUMMYFUNCTION("""COMPUTED_VALUE"""),"Email")</f>
        <v>Email</v>
      </c>
    </row>
    <row r="353" spans="1:9" ht="13" x14ac:dyDescent="0.15">
      <c r="A353" s="9">
        <f ca="1">IFERROR(__xludf.DUMMYFUNCTION("""COMPUTED_VALUE"""),30800952)</f>
        <v>30800952</v>
      </c>
      <c r="B353" s="1" t="str">
        <f ca="1">IFERROR(__xludf.DUMMYFUNCTION("""COMPUTED_VALUE"""),"brettbos@yahoo.com")</f>
        <v>brettbos@yahoo.com</v>
      </c>
      <c r="C353" s="9" t="str">
        <f ca="1">IFERROR(__xludf.DUMMYFUNCTION("""COMPUTED_VALUE"""),"EVERGREEN - UAN Gated Content - Embedded Petition")</f>
        <v>EVERGREEN - UAN Gated Content - Embedded Petition</v>
      </c>
      <c r="D353" s="10">
        <f ca="1">IFERROR(__xludf.DUMMYFUNCTION("""COMPUTED_VALUE"""),45649)</f>
        <v>45649</v>
      </c>
      <c r="E353" s="1" t="str">
        <f ca="1">IFERROR(__xludf.DUMMYFUNCTION("""COMPUTED_VALUE"""),"Afghanistan")</f>
        <v>Afghanistan</v>
      </c>
      <c r="F353" s="1" t="str">
        <f ca="1">IFERROR(__xludf.DUMMYFUNCTION("""COMPUTED_VALUE"""),"7.25 Afghanistan")</f>
        <v>7.25 Afghanistan</v>
      </c>
      <c r="G353" s="1" t="str">
        <f ca="1">IFERROR(__xludf.DUMMYFUNCTION("""COMPUTED_VALUE"""),"Freedom of Expression, Individuals At Risk, Women's Rights")</f>
        <v>Freedom of Expression, Individuals At Risk, Women's Rights</v>
      </c>
      <c r="H353" s="1" t="str">
        <f ca="1">IFERROR(__xludf.DUMMYFUNCTION("""COMPUTED_VALUE"""),"2025")</f>
        <v>2025</v>
      </c>
      <c r="I353" s="1" t="str">
        <f ca="1">IFERROR(__xludf.DUMMYFUNCTION("""COMPUTED_VALUE"""),"Email")</f>
        <v>Email</v>
      </c>
    </row>
    <row r="354" spans="1:9" ht="13" x14ac:dyDescent="0.15">
      <c r="A354" s="9">
        <f ca="1">IFERROR(__xludf.DUMMYFUNCTION("""COMPUTED_VALUE"""),30800952)</f>
        <v>30800952</v>
      </c>
      <c r="B354" s="1" t="str">
        <f ca="1">IFERROR(__xludf.DUMMYFUNCTION("""COMPUTED_VALUE"""),"brettbos@yahoo.com")</f>
        <v>brettbos@yahoo.com</v>
      </c>
      <c r="C354" s="9" t="str">
        <f ca="1">IFERROR(__xludf.DUMMYFUNCTION("""COMPUTED_VALUE"""),"EVERGREEN - UAN Gated Content - Embedded Petition")</f>
        <v>EVERGREEN - UAN Gated Content - Embedded Petition</v>
      </c>
      <c r="D354" s="10">
        <f ca="1">IFERROR(__xludf.DUMMYFUNCTION("""COMPUTED_VALUE"""),45649)</f>
        <v>45649</v>
      </c>
      <c r="E354" s="1" t="str">
        <f ca="1">IFERROR(__xludf.DUMMYFUNCTION("""COMPUTED_VALUE"""),"USA")</f>
        <v>USA</v>
      </c>
      <c r="F354" s="1" t="str">
        <f ca="1">IFERROR(__xludf.DUMMYFUNCTION("""COMPUTED_VALUE"""),"105.24 USA")</f>
        <v>105.24 USA</v>
      </c>
      <c r="G354" s="1" t="str">
        <f ca="1">IFERROR(__xludf.DUMMYFUNCTION("""COMPUTED_VALUE"""),"Death Penalty")</f>
        <v>Death Penalty</v>
      </c>
      <c r="H354" s="1" t="str">
        <f ca="1">IFERROR(__xludf.DUMMYFUNCTION("""COMPUTED_VALUE"""),"2024")</f>
        <v>2024</v>
      </c>
      <c r="I354" s="1" t="str">
        <f ca="1">IFERROR(__xludf.DUMMYFUNCTION("""COMPUTED_VALUE"""),"Email")</f>
        <v>Email</v>
      </c>
    </row>
    <row r="355" spans="1:9" ht="13" x14ac:dyDescent="0.15">
      <c r="A355" s="9">
        <f ca="1">IFERROR(__xludf.DUMMYFUNCTION("""COMPUTED_VALUE"""),30800952)</f>
        <v>30800952</v>
      </c>
      <c r="B355" s="1" t="str">
        <f ca="1">IFERROR(__xludf.DUMMYFUNCTION("""COMPUTED_VALUE"""),"brettbos@yahoo.com")</f>
        <v>brettbos@yahoo.com</v>
      </c>
      <c r="C355" s="9" t="str">
        <f ca="1">IFERROR(__xludf.DUMMYFUNCTION("""COMPUTED_VALUE"""),"EVERGREEN - UAN Gated Content - Embedded Petition")</f>
        <v>EVERGREEN - UAN Gated Content - Embedded Petition</v>
      </c>
      <c r="D355" s="10">
        <f ca="1">IFERROR(__xludf.DUMMYFUNCTION("""COMPUTED_VALUE"""),45651)</f>
        <v>45651</v>
      </c>
      <c r="E355" s="1" t="str">
        <f ca="1">IFERROR(__xludf.DUMMYFUNCTION("""COMPUTED_VALUE"""),"Egypt")</f>
        <v>Egypt</v>
      </c>
      <c r="F355" s="1" t="str">
        <f ca="1">IFERROR(__xludf.DUMMYFUNCTION("""COMPUTED_VALUE"""),"Ninth 190.18 Egypt")</f>
        <v>Ninth 190.18 Egypt</v>
      </c>
      <c r="G355" s="1" t="str">
        <f ca="1">IFERROR(__xludf.DUMMYFUNCTION("""COMPUTED_VALUE"""),"Freedom of Expression, Individuals At Risk")</f>
        <v>Freedom of Expression, Individuals At Risk</v>
      </c>
      <c r="H355" s="1" t="str">
        <f ca="1">IFERROR(__xludf.DUMMYFUNCTION("""COMPUTED_VALUE"""),"2024")</f>
        <v>2024</v>
      </c>
      <c r="I355" s="1" t="str">
        <f ca="1">IFERROR(__xludf.DUMMYFUNCTION("""COMPUTED_VALUE"""),"Letter")</f>
        <v>Letter</v>
      </c>
    </row>
    <row r="356" spans="1:9" ht="13" x14ac:dyDescent="0.15">
      <c r="A356" s="9">
        <f ca="1">IFERROR(__xludf.DUMMYFUNCTION("""COMPUTED_VALUE"""),30800952)</f>
        <v>30800952</v>
      </c>
      <c r="B356" s="1" t="str">
        <f ca="1">IFERROR(__xludf.DUMMYFUNCTION("""COMPUTED_VALUE"""),"brettbos@yahoo.com")</f>
        <v>brettbos@yahoo.com</v>
      </c>
      <c r="C356" s="9" t="str">
        <f ca="1">IFERROR(__xludf.DUMMYFUNCTION("""COMPUTED_VALUE"""),"EVERGREEN - UAN Gated Content - Embedded Petition")</f>
        <v>EVERGREEN - UAN Gated Content - Embedded Petition</v>
      </c>
      <c r="D356" s="10">
        <f ca="1">IFERROR(__xludf.DUMMYFUNCTION("""COMPUTED_VALUE"""),45651)</f>
        <v>45651</v>
      </c>
      <c r="E356" s="1" t="str">
        <f ca="1">IFERROR(__xludf.DUMMYFUNCTION("""COMPUTED_VALUE"""),"Venezuela")</f>
        <v>Venezuela</v>
      </c>
      <c r="F356" s="1" t="str">
        <f ca="1">IFERROR(__xludf.DUMMYFUNCTION("""COMPUTED_VALUE"""),"97.24 Venezuela")</f>
        <v>97.24 Venezuela</v>
      </c>
      <c r="G356" s="1" t="str">
        <f ca="1">IFERROR(__xludf.DUMMYFUNCTION("""COMPUTED_VALUE"""),"Freedom of Expression")</f>
        <v>Freedom of Expression</v>
      </c>
      <c r="H356" s="1" t="str">
        <f ca="1">IFERROR(__xludf.DUMMYFUNCTION("""COMPUTED_VALUE"""),"2024")</f>
        <v>2024</v>
      </c>
      <c r="I356" s="1" t="str">
        <f ca="1">IFERROR(__xludf.DUMMYFUNCTION("""COMPUTED_VALUE"""),"Letter")</f>
        <v>Letter</v>
      </c>
    </row>
    <row r="357" spans="1:9" ht="13" x14ac:dyDescent="0.15">
      <c r="A357" s="9">
        <f ca="1">IFERROR(__xludf.DUMMYFUNCTION("""COMPUTED_VALUE"""),30800952)</f>
        <v>30800952</v>
      </c>
      <c r="B357" s="1" t="str">
        <f ca="1">IFERROR(__xludf.DUMMYFUNCTION("""COMPUTED_VALUE"""),"brettbos@yahoo.com")</f>
        <v>brettbos@yahoo.com</v>
      </c>
      <c r="C357" s="9" t="str">
        <f ca="1">IFERROR(__xludf.DUMMYFUNCTION("""COMPUTED_VALUE"""),"EVERGREEN - UAN Gated Content - Embedded Petition")</f>
        <v>EVERGREEN - UAN Gated Content - Embedded Petition</v>
      </c>
      <c r="D357" s="10">
        <f ca="1">IFERROR(__xludf.DUMMYFUNCTION("""COMPUTED_VALUE"""),45652)</f>
        <v>45652</v>
      </c>
      <c r="E357" s="1" t="str">
        <f ca="1">IFERROR(__xludf.DUMMYFUNCTION("""COMPUTED_VALUE"""),"Uganda")</f>
        <v>Uganda</v>
      </c>
      <c r="F357" s="1" t="str">
        <f ca="1">IFERROR(__xludf.DUMMYFUNCTION("""COMPUTED_VALUE"""),"100.24 Uganda")</f>
        <v>100.24 Uganda</v>
      </c>
      <c r="G357" s="1" t="str">
        <f ca="1">IFERROR(__xludf.DUMMYFUNCTION("""COMPUTED_VALUE"""),"Freedom of Expression")</f>
        <v>Freedom of Expression</v>
      </c>
      <c r="H357" s="1" t="str">
        <f ca="1">IFERROR(__xludf.DUMMYFUNCTION("""COMPUTED_VALUE"""),"2024")</f>
        <v>2024</v>
      </c>
      <c r="I357" s="1" t="str">
        <f ca="1">IFERROR(__xludf.DUMMYFUNCTION("""COMPUTED_VALUE"""),"Email")</f>
        <v>Email</v>
      </c>
    </row>
    <row r="358" spans="1:9" ht="13" x14ac:dyDescent="0.15">
      <c r="A358" s="9">
        <f ca="1">IFERROR(__xludf.DUMMYFUNCTION("""COMPUTED_VALUE"""),30800952)</f>
        <v>30800952</v>
      </c>
      <c r="B358" s="1" t="str">
        <f ca="1">IFERROR(__xludf.DUMMYFUNCTION("""COMPUTED_VALUE"""),"brettbos@yahoo.com")</f>
        <v>brettbos@yahoo.com</v>
      </c>
      <c r="C358" s="9" t="str">
        <f ca="1">IFERROR(__xludf.DUMMYFUNCTION("""COMPUTED_VALUE"""),"EVERGREEN - UAN Gated Content - Embedded Petition")</f>
        <v>EVERGREEN - UAN Gated Content - Embedded Petition</v>
      </c>
      <c r="D358" s="10">
        <f ca="1">IFERROR(__xludf.DUMMYFUNCTION("""COMPUTED_VALUE"""),45658)</f>
        <v>45658</v>
      </c>
      <c r="E358" s="1" t="str">
        <f ca="1">IFERROR(__xludf.DUMMYFUNCTION("""COMPUTED_VALUE"""),"Tunisia")</f>
        <v>Tunisia</v>
      </c>
      <c r="F358" s="1" t="str">
        <f ca="1">IFERROR(__xludf.DUMMYFUNCTION("""COMPUTED_VALUE"""),"Second 76.24 Tunisia")</f>
        <v>Second 76.24 Tunisia</v>
      </c>
      <c r="G358" s="1" t="str">
        <f ca="1">IFERROR(__xludf.DUMMYFUNCTION("""COMPUTED_VALUE"""),"Freedom of Expression, Human Rights Defenders")</f>
        <v>Freedom of Expression, Human Rights Defenders</v>
      </c>
      <c r="H358" s="1" t="str">
        <f ca="1">IFERROR(__xludf.DUMMYFUNCTION("""COMPUTED_VALUE"""),"2025")</f>
        <v>2025</v>
      </c>
      <c r="I358" s="1" t="str">
        <f ca="1">IFERROR(__xludf.DUMMYFUNCTION("""COMPUTED_VALUE"""),"Email")</f>
        <v>Email</v>
      </c>
    </row>
    <row r="359" spans="1:9" ht="13" x14ac:dyDescent="0.15">
      <c r="A359" s="9">
        <f ca="1">IFERROR(__xludf.DUMMYFUNCTION("""COMPUTED_VALUE"""),30800952)</f>
        <v>30800952</v>
      </c>
      <c r="B359" s="1" t="str">
        <f ca="1">IFERROR(__xludf.DUMMYFUNCTION("""COMPUTED_VALUE"""),"brettbos@yahoo.com")</f>
        <v>brettbos@yahoo.com</v>
      </c>
      <c r="C359" s="9" t="str">
        <f ca="1">IFERROR(__xludf.DUMMYFUNCTION("""COMPUTED_VALUE"""),"EVERGREEN - UAN Gated Content - Embedded Petition")</f>
        <v>EVERGREEN - UAN Gated Content - Embedded Petition</v>
      </c>
      <c r="D359" s="10">
        <f ca="1">IFERROR(__xludf.DUMMYFUNCTION("""COMPUTED_VALUE"""),45666)</f>
        <v>45666</v>
      </c>
      <c r="E359" s="1" t="str">
        <f ca="1">IFERROR(__xludf.DUMMYFUNCTION("""COMPUTED_VALUE"""),"USA")</f>
        <v>USA</v>
      </c>
      <c r="F359" s="1" t="str">
        <f ca="1">IFERROR(__xludf.DUMMYFUNCTION("""COMPUTED_VALUE"""),"105.24 USA")</f>
        <v>105.24 USA</v>
      </c>
      <c r="G359" s="1" t="str">
        <f ca="1">IFERROR(__xludf.DUMMYFUNCTION("""COMPUTED_VALUE"""),"Death Penalty")</f>
        <v>Death Penalty</v>
      </c>
      <c r="H359" s="1" t="str">
        <f ca="1">IFERROR(__xludf.DUMMYFUNCTION("""COMPUTED_VALUE"""),"2024")</f>
        <v>2024</v>
      </c>
      <c r="I359" s="1" t="str">
        <f ca="1">IFERROR(__xludf.DUMMYFUNCTION("""COMPUTED_VALUE"""),"Email")</f>
        <v>Email</v>
      </c>
    </row>
    <row r="360" spans="1:9" ht="13" x14ac:dyDescent="0.15">
      <c r="A360" s="9">
        <f ca="1">IFERROR(__xludf.DUMMYFUNCTION("""COMPUTED_VALUE"""),30800952)</f>
        <v>30800952</v>
      </c>
      <c r="B360" s="1" t="str">
        <f ca="1">IFERROR(__xludf.DUMMYFUNCTION("""COMPUTED_VALUE"""),"brettbos@yahoo.com")</f>
        <v>brettbos@yahoo.com</v>
      </c>
      <c r="C360" s="9" t="str">
        <f ca="1">IFERROR(__xludf.DUMMYFUNCTION("""COMPUTED_VALUE"""),"EVERGREEN - UAN Gated Content - Embedded Petition")</f>
        <v>EVERGREEN - UAN Gated Content - Embedded Petition</v>
      </c>
      <c r="D360" s="10">
        <f ca="1">IFERROR(__xludf.DUMMYFUNCTION("""COMPUTED_VALUE"""),45647)</f>
        <v>45647</v>
      </c>
      <c r="E360" s="1" t="str">
        <f ca="1">IFERROR(__xludf.DUMMYFUNCTION("""COMPUTED_VALUE"""),"USA")</f>
        <v>USA</v>
      </c>
      <c r="F360" s="1" t="str">
        <f ca="1">IFERROR(__xludf.DUMMYFUNCTION("""COMPUTED_VALUE"""),"4.25 USA")</f>
        <v>4.25 USA</v>
      </c>
      <c r="G360" s="1" t="str">
        <f ca="1">IFERROR(__xludf.DUMMYFUNCTION("""COMPUTED_VALUE"""),"Individuals At Risk, Refugee and Migrant Rights")</f>
        <v>Individuals At Risk, Refugee and Migrant Rights</v>
      </c>
      <c r="H360" s="1" t="str">
        <f ca="1">IFERROR(__xludf.DUMMYFUNCTION("""COMPUTED_VALUE"""),"2025")</f>
        <v>2025</v>
      </c>
      <c r="I360" s="1" t="str">
        <f ca="1">IFERROR(__xludf.DUMMYFUNCTION("""COMPUTED_VALUE"""),"Letter")</f>
        <v>Letter</v>
      </c>
    </row>
    <row r="361" spans="1:9" ht="13" x14ac:dyDescent="0.15">
      <c r="A361" s="9">
        <f ca="1">IFERROR(__xludf.DUMMYFUNCTION("""COMPUTED_VALUE"""),30800952)</f>
        <v>30800952</v>
      </c>
      <c r="B361" s="1" t="str">
        <f ca="1">IFERROR(__xludf.DUMMYFUNCTION("""COMPUTED_VALUE"""),"brettbos@yahoo.com")</f>
        <v>brettbos@yahoo.com</v>
      </c>
      <c r="C361" s="9" t="str">
        <f ca="1">IFERROR(__xludf.DUMMYFUNCTION("""COMPUTED_VALUE"""),"EVERGREEN - UAN Gated Content - Embedded Petition")</f>
        <v>EVERGREEN - UAN Gated Content - Embedded Petition</v>
      </c>
      <c r="D361" s="10">
        <f ca="1">IFERROR(__xludf.DUMMYFUNCTION("""COMPUTED_VALUE"""),45647)</f>
        <v>45647</v>
      </c>
      <c r="E361" s="1" t="str">
        <f ca="1">IFERROR(__xludf.DUMMYFUNCTION("""COMPUTED_VALUE"""),"Tunisia")</f>
        <v>Tunisia</v>
      </c>
      <c r="F361" s="1" t="str">
        <f ca="1">IFERROR(__xludf.DUMMYFUNCTION("""COMPUTED_VALUE"""),"Second 76.24 Tunisia")</f>
        <v>Second 76.24 Tunisia</v>
      </c>
      <c r="G361" s="1" t="str">
        <f ca="1">IFERROR(__xludf.DUMMYFUNCTION("""COMPUTED_VALUE"""),"Freedom of Expression, Human Rights Defenders")</f>
        <v>Freedom of Expression, Human Rights Defenders</v>
      </c>
      <c r="H361" s="1" t="str">
        <f ca="1">IFERROR(__xludf.DUMMYFUNCTION("""COMPUTED_VALUE"""),"2025")</f>
        <v>2025</v>
      </c>
      <c r="I361" s="1" t="str">
        <f ca="1">IFERROR(__xludf.DUMMYFUNCTION("""COMPUTED_VALUE"""),"Email")</f>
        <v>Email</v>
      </c>
    </row>
    <row r="362" spans="1:9" ht="13" x14ac:dyDescent="0.15">
      <c r="A362" s="9">
        <f ca="1">IFERROR(__xludf.DUMMYFUNCTION("""COMPUTED_VALUE"""),30800952)</f>
        <v>30800952</v>
      </c>
      <c r="B362" s="1" t="str">
        <f ca="1">IFERROR(__xludf.DUMMYFUNCTION("""COMPUTED_VALUE"""),"brettbos@yahoo.com")</f>
        <v>brettbos@yahoo.com</v>
      </c>
      <c r="C362" s="9" t="str">
        <f ca="1">IFERROR(__xludf.DUMMYFUNCTION("""COMPUTED_VALUE"""),"EVERGREEN - UAN Gated Content - Embedded Petition")</f>
        <v>EVERGREEN - UAN Gated Content - Embedded Petition</v>
      </c>
      <c r="D362" s="10">
        <f ca="1">IFERROR(__xludf.DUMMYFUNCTION("""COMPUTED_VALUE"""),45677)</f>
        <v>45677</v>
      </c>
      <c r="E362" s="1" t="str">
        <f ca="1">IFERROR(__xludf.DUMMYFUNCTION("""COMPUTED_VALUE"""),"China")</f>
        <v>China</v>
      </c>
      <c r="F362" s="1" t="str">
        <f ca="1">IFERROR(__xludf.DUMMYFUNCTION("""COMPUTED_VALUE"""),"98.24 China")</f>
        <v>98.24 China</v>
      </c>
      <c r="G362" s="1" t="str">
        <f ca="1">IFERROR(__xludf.DUMMYFUNCTION("""COMPUTED_VALUE"""),"Freedom of Expression, Individuals At Risk")</f>
        <v>Freedom of Expression, Individuals At Risk</v>
      </c>
      <c r="H362" s="1" t="str">
        <f ca="1">IFERROR(__xludf.DUMMYFUNCTION("""COMPUTED_VALUE"""),"2024")</f>
        <v>2024</v>
      </c>
      <c r="I362" s="1" t="str">
        <f ca="1">IFERROR(__xludf.DUMMYFUNCTION("""COMPUTED_VALUE"""),"Letter")</f>
        <v>Letter</v>
      </c>
    </row>
    <row r="363" spans="1:9" ht="13" x14ac:dyDescent="0.15">
      <c r="A363" s="9">
        <f ca="1">IFERROR(__xludf.DUMMYFUNCTION("""COMPUTED_VALUE"""),30800952)</f>
        <v>30800952</v>
      </c>
      <c r="B363" s="1" t="str">
        <f ca="1">IFERROR(__xludf.DUMMYFUNCTION("""COMPUTED_VALUE"""),"brettbos@yahoo.com")</f>
        <v>brettbos@yahoo.com</v>
      </c>
      <c r="C363" s="9" t="str">
        <f ca="1">IFERROR(__xludf.DUMMYFUNCTION("""COMPUTED_VALUE"""),"EVERGREEN - UAN Gated Content - Embedded Petition")</f>
        <v>EVERGREEN - UAN Gated Content - Embedded Petition</v>
      </c>
      <c r="D363" s="10">
        <f ca="1">IFERROR(__xludf.DUMMYFUNCTION("""COMPUTED_VALUE"""),45672)</f>
        <v>45672</v>
      </c>
      <c r="E363" s="1" t="str">
        <f ca="1">IFERROR(__xludf.DUMMYFUNCTION("""COMPUTED_VALUE"""),"USA")</f>
        <v>USA</v>
      </c>
      <c r="F363" s="1" t="str">
        <f ca="1">IFERROR(__xludf.DUMMYFUNCTION("""COMPUTED_VALUE"""),"105.24 USA")</f>
        <v>105.24 USA</v>
      </c>
      <c r="G363" s="1" t="str">
        <f ca="1">IFERROR(__xludf.DUMMYFUNCTION("""COMPUTED_VALUE"""),"Death Penalty")</f>
        <v>Death Penalty</v>
      </c>
      <c r="H363" s="1" t="str">
        <f ca="1">IFERROR(__xludf.DUMMYFUNCTION("""COMPUTED_VALUE"""),"2024")</f>
        <v>2024</v>
      </c>
      <c r="I363" s="1" t="str">
        <f ca="1">IFERROR(__xludf.DUMMYFUNCTION("""COMPUTED_VALUE"""),"Email")</f>
        <v>Email</v>
      </c>
    </row>
    <row r="364" spans="1:9" ht="13" x14ac:dyDescent="0.15">
      <c r="A364" s="9">
        <f ca="1">IFERROR(__xludf.DUMMYFUNCTION("""COMPUTED_VALUE"""),30800952)</f>
        <v>30800952</v>
      </c>
      <c r="B364" s="1" t="str">
        <f ca="1">IFERROR(__xludf.DUMMYFUNCTION("""COMPUTED_VALUE"""),"brettbos@yahoo.com")</f>
        <v>brettbos@yahoo.com</v>
      </c>
      <c r="C364" s="9" t="str">
        <f ca="1">IFERROR(__xludf.DUMMYFUNCTION("""COMPUTED_VALUE"""),"EVERGREEN - UAN Gated Content - Embedded Petition")</f>
        <v>EVERGREEN - UAN Gated Content - Embedded Petition</v>
      </c>
      <c r="D364" s="10">
        <f ca="1">IFERROR(__xludf.DUMMYFUNCTION("""COMPUTED_VALUE"""),45672)</f>
        <v>45672</v>
      </c>
      <c r="E364" s="1" t="str">
        <f ca="1">IFERROR(__xludf.DUMMYFUNCTION("""COMPUTED_VALUE"""),"USA")</f>
        <v>USA</v>
      </c>
      <c r="F364" s="1" t="str">
        <f ca="1">IFERROR(__xludf.DUMMYFUNCTION("""COMPUTED_VALUE"""),"Fourth 55.24 USA")</f>
        <v>Fourth 55.24 USA</v>
      </c>
      <c r="G364" s="1" t="str">
        <f ca="1">IFERROR(__xludf.DUMMYFUNCTION("""COMPUTED_VALUE"""),"Climate Justice, Individuals At Risk")</f>
        <v>Climate Justice, Individuals At Risk</v>
      </c>
      <c r="H364" s="1" t="str">
        <f ca="1">IFERROR(__xludf.DUMMYFUNCTION("""COMPUTED_VALUE"""),"2025")</f>
        <v>2025</v>
      </c>
      <c r="I364" s="1" t="str">
        <f ca="1">IFERROR(__xludf.DUMMYFUNCTION("""COMPUTED_VALUE"""),"Email")</f>
        <v>Email</v>
      </c>
    </row>
    <row r="365" spans="1:9" ht="13" x14ac:dyDescent="0.15">
      <c r="A365" s="9">
        <f ca="1">IFERROR(__xludf.DUMMYFUNCTION("""COMPUTED_VALUE"""),30800952)</f>
        <v>30800952</v>
      </c>
      <c r="B365" s="1" t="str">
        <f ca="1">IFERROR(__xludf.DUMMYFUNCTION("""COMPUTED_VALUE"""),"brettbos@yahoo.com")</f>
        <v>brettbos@yahoo.com</v>
      </c>
      <c r="C365" s="9" t="str">
        <f ca="1">IFERROR(__xludf.DUMMYFUNCTION("""COMPUTED_VALUE"""),"EVERGREEN - UAN Gated Content - Embedded Petition")</f>
        <v>EVERGREEN - UAN Gated Content - Embedded Petition</v>
      </c>
      <c r="D365" s="10">
        <f ca="1">IFERROR(__xludf.DUMMYFUNCTION("""COMPUTED_VALUE"""),45687)</f>
        <v>45687</v>
      </c>
      <c r="E365" s="1" t="str">
        <f ca="1">IFERROR(__xludf.DUMMYFUNCTION("""COMPUTED_VALUE"""),"Saudi Arabia")</f>
        <v>Saudi Arabia</v>
      </c>
      <c r="F365" s="1" t="str">
        <f ca="1">IFERROR(__xludf.DUMMYFUNCTION("""COMPUTED_VALUE"""),"Fifth 257.12")</f>
        <v>Fifth 257.12</v>
      </c>
      <c r="G365" s="1" t="str">
        <f ca="1">IFERROR(__xludf.DUMMYFUNCTION("""COMPUTED_VALUE"""),"Freedom of Expression, Human Rights Defenders")</f>
        <v>Freedom of Expression, Human Rights Defenders</v>
      </c>
      <c r="H365" s="1" t="str">
        <f ca="1">IFERROR(__xludf.DUMMYFUNCTION("""COMPUTED_VALUE"""),"2025")</f>
        <v>2025</v>
      </c>
      <c r="I365" s="1" t="str">
        <f ca="1">IFERROR(__xludf.DUMMYFUNCTION("""COMPUTED_VALUE"""),"Email")</f>
        <v>Email</v>
      </c>
    </row>
    <row r="366" spans="1:9" ht="13" x14ac:dyDescent="0.15">
      <c r="A366" s="9">
        <f ca="1">IFERROR(__xludf.DUMMYFUNCTION("""COMPUTED_VALUE"""),30800952)</f>
        <v>30800952</v>
      </c>
      <c r="B366" s="1" t="str">
        <f ca="1">IFERROR(__xludf.DUMMYFUNCTION("""COMPUTED_VALUE"""),"brettbos@yahoo.com")</f>
        <v>brettbos@yahoo.com</v>
      </c>
      <c r="C366" s="9" t="str">
        <f ca="1">IFERROR(__xludf.DUMMYFUNCTION("""COMPUTED_VALUE"""),"EVERGREEN - UAN Gated Content - Embedded Petition")</f>
        <v>EVERGREEN - UAN Gated Content - Embedded Petition</v>
      </c>
      <c r="D366" s="10">
        <f ca="1">IFERROR(__xludf.DUMMYFUNCTION("""COMPUTED_VALUE"""),45687)</f>
        <v>45687</v>
      </c>
      <c r="E366" s="1" t="str">
        <f ca="1">IFERROR(__xludf.DUMMYFUNCTION("""COMPUTED_VALUE"""),"Tunisia")</f>
        <v>Tunisia</v>
      </c>
      <c r="F366" s="1" t="str">
        <f ca="1">IFERROR(__xludf.DUMMYFUNCTION("""COMPUTED_VALUE"""),"Second 76.24 Tunisia")</f>
        <v>Second 76.24 Tunisia</v>
      </c>
      <c r="G366" s="1" t="str">
        <f ca="1">IFERROR(__xludf.DUMMYFUNCTION("""COMPUTED_VALUE"""),"Freedom of Expression, Human Rights Defenders")</f>
        <v>Freedom of Expression, Human Rights Defenders</v>
      </c>
      <c r="H366" s="1" t="str">
        <f ca="1">IFERROR(__xludf.DUMMYFUNCTION("""COMPUTED_VALUE"""),"2025")</f>
        <v>2025</v>
      </c>
      <c r="I366" s="1" t="str">
        <f ca="1">IFERROR(__xludf.DUMMYFUNCTION("""COMPUTED_VALUE"""),"Email")</f>
        <v>Email</v>
      </c>
    </row>
    <row r="367" spans="1:9" ht="13" x14ac:dyDescent="0.15">
      <c r="A367" s="9">
        <f ca="1">IFERROR(__xludf.DUMMYFUNCTION("""COMPUTED_VALUE"""),30800952)</f>
        <v>30800952</v>
      </c>
      <c r="B367" s="1" t="str">
        <f ca="1">IFERROR(__xludf.DUMMYFUNCTION("""COMPUTED_VALUE"""),"brettbos@yahoo.com")</f>
        <v>brettbos@yahoo.com</v>
      </c>
      <c r="C367" s="9" t="str">
        <f ca="1">IFERROR(__xludf.DUMMYFUNCTION("""COMPUTED_VALUE"""),"EVERGREEN - UAN Gated Content - Embedded Petition")</f>
        <v>EVERGREEN - UAN Gated Content - Embedded Petition</v>
      </c>
      <c r="D367" s="10">
        <f ca="1">IFERROR(__xludf.DUMMYFUNCTION("""COMPUTED_VALUE"""),45689)</f>
        <v>45689</v>
      </c>
      <c r="E367" s="1" t="str">
        <f ca="1">IFERROR(__xludf.DUMMYFUNCTION("""COMPUTED_VALUE"""),"Venezuela")</f>
        <v>Venezuela</v>
      </c>
      <c r="F367" s="1" t="str">
        <f ca="1">IFERROR(__xludf.DUMMYFUNCTION("""COMPUTED_VALUE"""),"1.25 Venezuela")</f>
        <v>1.25 Venezuela</v>
      </c>
      <c r="G367" s="1" t="str">
        <f ca="1">IFERROR(__xludf.DUMMYFUNCTION("""COMPUTED_VALUE"""),"Human Rights Defenders, Individuals At Risk")</f>
        <v>Human Rights Defenders, Individuals At Risk</v>
      </c>
      <c r="H367" s="1" t="str">
        <f ca="1">IFERROR(__xludf.DUMMYFUNCTION("""COMPUTED_VALUE"""),"2025")</f>
        <v>2025</v>
      </c>
      <c r="I367" s="1" t="str">
        <f ca="1">IFERROR(__xludf.DUMMYFUNCTION("""COMPUTED_VALUE"""),"Letter")</f>
        <v>Letter</v>
      </c>
    </row>
    <row r="368" spans="1:9" ht="13" x14ac:dyDescent="0.15">
      <c r="A368" s="9">
        <f ca="1">IFERROR(__xludf.DUMMYFUNCTION("""COMPUTED_VALUE"""),30800952)</f>
        <v>30800952</v>
      </c>
      <c r="B368" s="1" t="str">
        <f ca="1">IFERROR(__xludf.DUMMYFUNCTION("""COMPUTED_VALUE"""),"brettbos@yahoo.com")</f>
        <v>brettbos@yahoo.com</v>
      </c>
      <c r="C368" s="9" t="str">
        <f ca="1">IFERROR(__xludf.DUMMYFUNCTION("""COMPUTED_VALUE"""),"EVERGREEN - UAN Gated Content - Embedded Petition")</f>
        <v>EVERGREEN - UAN Gated Content - Embedded Petition</v>
      </c>
      <c r="D368" s="10">
        <f ca="1">IFERROR(__xludf.DUMMYFUNCTION("""COMPUTED_VALUE"""),45689)</f>
        <v>45689</v>
      </c>
      <c r="E368" s="1" t="str">
        <f ca="1">IFERROR(__xludf.DUMMYFUNCTION("""COMPUTED_VALUE"""),"Iran")</f>
        <v>Iran</v>
      </c>
      <c r="F368" s="1" t="str">
        <f ca="1">IFERROR(__xludf.DUMMYFUNCTION("""COMPUTED_VALUE"""),"Seventh 103.22 Iran")</f>
        <v>Seventh 103.22 Iran</v>
      </c>
      <c r="G368" s="1" t="str">
        <f ca="1">IFERROR(__xludf.DUMMYFUNCTION("""COMPUTED_VALUE"""),"Death Penalty, Freedom of Expression, Individuals At Risk")</f>
        <v>Death Penalty, Freedom of Expression, Individuals At Risk</v>
      </c>
      <c r="H368" s="1" t="str">
        <f ca="1">IFERROR(__xludf.DUMMYFUNCTION("""COMPUTED_VALUE"""),"2024")</f>
        <v>2024</v>
      </c>
      <c r="I368" s="1" t="str">
        <f ca="1">IFERROR(__xludf.DUMMYFUNCTION("""COMPUTED_VALUE"""),"Email")</f>
        <v>Email</v>
      </c>
    </row>
    <row r="369" spans="1:9" ht="13" x14ac:dyDescent="0.15">
      <c r="A369" s="9">
        <f ca="1">IFERROR(__xludf.DUMMYFUNCTION("""COMPUTED_VALUE"""),30800952)</f>
        <v>30800952</v>
      </c>
      <c r="B369" s="1" t="str">
        <f ca="1">IFERROR(__xludf.DUMMYFUNCTION("""COMPUTED_VALUE"""),"brettbos@yahoo.com")</f>
        <v>brettbos@yahoo.com</v>
      </c>
      <c r="C369" s="9" t="str">
        <f ca="1">IFERROR(__xludf.DUMMYFUNCTION("""COMPUTED_VALUE"""),"EVERGREEN - UAN Gated Content - Embedded Petition")</f>
        <v>EVERGREEN - UAN Gated Content - Embedded Petition</v>
      </c>
      <c r="D369" s="10">
        <f ca="1">IFERROR(__xludf.DUMMYFUNCTION("""COMPUTED_VALUE"""),45689)</f>
        <v>45689</v>
      </c>
      <c r="E369" s="1" t="str">
        <f ca="1">IFERROR(__xludf.DUMMYFUNCTION("""COMPUTED_VALUE"""),"Tunisia")</f>
        <v>Tunisia</v>
      </c>
      <c r="F369" s="1" t="str">
        <f ca="1">IFERROR(__xludf.DUMMYFUNCTION("""COMPUTED_VALUE"""),"Second 76.24 Tunisia")</f>
        <v>Second 76.24 Tunisia</v>
      </c>
      <c r="G369" s="1" t="str">
        <f ca="1">IFERROR(__xludf.DUMMYFUNCTION("""COMPUTED_VALUE"""),"Freedom of Expression, Human Rights Defenders")</f>
        <v>Freedom of Expression, Human Rights Defenders</v>
      </c>
      <c r="H369" s="1" t="str">
        <f ca="1">IFERROR(__xludf.DUMMYFUNCTION("""COMPUTED_VALUE"""),"2025")</f>
        <v>2025</v>
      </c>
      <c r="I369" s="1" t="str">
        <f ca="1">IFERROR(__xludf.DUMMYFUNCTION("""COMPUTED_VALUE"""),"Email")</f>
        <v>Email</v>
      </c>
    </row>
    <row r="370" spans="1:9" ht="13" x14ac:dyDescent="0.15">
      <c r="A370" s="9">
        <f ca="1">IFERROR(__xludf.DUMMYFUNCTION("""COMPUTED_VALUE"""),30800952)</f>
        <v>30800952</v>
      </c>
      <c r="B370" s="1" t="str">
        <f ca="1">IFERROR(__xludf.DUMMYFUNCTION("""COMPUTED_VALUE"""),"brettbos@yahoo.com")</f>
        <v>brettbos@yahoo.com</v>
      </c>
      <c r="C370" s="9" t="str">
        <f ca="1">IFERROR(__xludf.DUMMYFUNCTION("""COMPUTED_VALUE"""),"EVERGREEN - UAN Gated Content - Embedded Petition")</f>
        <v>EVERGREEN - UAN Gated Content - Embedded Petition</v>
      </c>
      <c r="D370" s="10">
        <f ca="1">IFERROR(__xludf.DUMMYFUNCTION("""COMPUTED_VALUE"""),45689)</f>
        <v>45689</v>
      </c>
      <c r="E370" s="1" t="str">
        <f ca="1">IFERROR(__xludf.DUMMYFUNCTION("""COMPUTED_VALUE"""),"Dominican Republic")</f>
        <v>Dominican Republic</v>
      </c>
      <c r="F370" s="1" t="str">
        <f ca="1">IFERROR(__xludf.DUMMYFUNCTION("""COMPUTED_VALUE"""),"88.24 Dominican Republic")</f>
        <v>88.24 Dominican Republic</v>
      </c>
      <c r="G370" s="1" t="str">
        <f ca="1">IFERROR(__xludf.DUMMYFUNCTION("""COMPUTED_VALUE"""),"Individuals At Risk, Refugee and Migrant Rights")</f>
        <v>Individuals At Risk, Refugee and Migrant Rights</v>
      </c>
      <c r="H370" s="1" t="str">
        <f ca="1">IFERROR(__xludf.DUMMYFUNCTION("""COMPUTED_VALUE"""),"2024")</f>
        <v>2024</v>
      </c>
      <c r="I370" s="1" t="str">
        <f ca="1">IFERROR(__xludf.DUMMYFUNCTION("""COMPUTED_VALUE"""),"Letter")</f>
        <v>Letter</v>
      </c>
    </row>
    <row r="371" spans="1:9" ht="13" x14ac:dyDescent="0.15">
      <c r="A371" s="9">
        <f ca="1">IFERROR(__xludf.DUMMYFUNCTION("""COMPUTED_VALUE"""),30800952)</f>
        <v>30800952</v>
      </c>
      <c r="B371" s="1" t="str">
        <f ca="1">IFERROR(__xludf.DUMMYFUNCTION("""COMPUTED_VALUE"""),"brettbos@yahoo.com")</f>
        <v>brettbos@yahoo.com</v>
      </c>
      <c r="C371" s="9" t="str">
        <f ca="1">IFERROR(__xludf.DUMMYFUNCTION("""COMPUTED_VALUE"""),"EVERGREEN - UAN Gated Content - Embedded Petition")</f>
        <v>EVERGREEN - UAN Gated Content - Embedded Petition</v>
      </c>
      <c r="D371" s="10">
        <f ca="1">IFERROR(__xludf.DUMMYFUNCTION("""COMPUTED_VALUE"""),45689)</f>
        <v>45689</v>
      </c>
      <c r="E371" s="1" t="str">
        <f ca="1">IFERROR(__xludf.DUMMYFUNCTION("""COMPUTED_VALUE"""),"Niger")</f>
        <v>Niger</v>
      </c>
      <c r="F371" s="1" t="str">
        <f ca="1">IFERROR(__xludf.DUMMYFUNCTION("""COMPUTED_VALUE"""),"103.24 Niger")</f>
        <v>103.24 Niger</v>
      </c>
      <c r="G371" s="1" t="str">
        <f ca="1">IFERROR(__xludf.DUMMYFUNCTION("""COMPUTED_VALUE"""),"Freedom of Expression, Human Rights Defenders")</f>
        <v>Freedom of Expression, Human Rights Defenders</v>
      </c>
      <c r="H371" s="1" t="str">
        <f ca="1">IFERROR(__xludf.DUMMYFUNCTION("""COMPUTED_VALUE"""),"2024")</f>
        <v>2024</v>
      </c>
      <c r="I371" s="1" t="str">
        <f ca="1">IFERROR(__xludf.DUMMYFUNCTION("""COMPUTED_VALUE"""),"Email")</f>
        <v>Email</v>
      </c>
    </row>
    <row r="372" spans="1:9" ht="13" x14ac:dyDescent="0.15">
      <c r="A372" s="9">
        <f ca="1">IFERROR(__xludf.DUMMYFUNCTION("""COMPUTED_VALUE"""),30800952)</f>
        <v>30800952</v>
      </c>
      <c r="B372" s="1" t="str">
        <f ca="1">IFERROR(__xludf.DUMMYFUNCTION("""COMPUTED_VALUE"""),"brettbos@yahoo.com")</f>
        <v>brettbos@yahoo.com</v>
      </c>
      <c r="C372" s="9" t="str">
        <f ca="1">IFERROR(__xludf.DUMMYFUNCTION("""COMPUTED_VALUE"""),"EVERGREEN - UAN Gated Content - Embedded Petition")</f>
        <v>EVERGREEN - UAN Gated Content - Embedded Petition</v>
      </c>
      <c r="D372" s="10">
        <f ca="1">IFERROR(__xludf.DUMMYFUNCTION("""COMPUTED_VALUE"""),45635)</f>
        <v>45635</v>
      </c>
      <c r="E372" s="1" t="str">
        <f ca="1">IFERROR(__xludf.DUMMYFUNCTION("""COMPUTED_VALUE"""),"Dominican Republic")</f>
        <v>Dominican Republic</v>
      </c>
      <c r="F372" s="1" t="str">
        <f ca="1">IFERROR(__xludf.DUMMYFUNCTION("""COMPUTED_VALUE"""),"88.24 Dominican Republic")</f>
        <v>88.24 Dominican Republic</v>
      </c>
      <c r="G372" s="1" t="str">
        <f ca="1">IFERROR(__xludf.DUMMYFUNCTION("""COMPUTED_VALUE"""),"Individuals At Risk, Refugee and Migrant Rights")</f>
        <v>Individuals At Risk, Refugee and Migrant Rights</v>
      </c>
      <c r="H372" s="1" t="str">
        <f ca="1">IFERROR(__xludf.DUMMYFUNCTION("""COMPUTED_VALUE"""),"2024")</f>
        <v>2024</v>
      </c>
      <c r="I372" s="1" t="str">
        <f ca="1">IFERROR(__xludf.DUMMYFUNCTION("""COMPUTED_VALUE"""),"Letter")</f>
        <v>Letter</v>
      </c>
    </row>
    <row r="373" spans="1:9" ht="13" x14ac:dyDescent="0.15">
      <c r="A373" s="9">
        <f ca="1">IFERROR(__xludf.DUMMYFUNCTION("""COMPUTED_VALUE"""),30800952)</f>
        <v>30800952</v>
      </c>
      <c r="B373" s="1" t="str">
        <f ca="1">IFERROR(__xludf.DUMMYFUNCTION("""COMPUTED_VALUE"""),"brettbos@yahoo.com")</f>
        <v>brettbos@yahoo.com</v>
      </c>
      <c r="C373" s="9" t="str">
        <f ca="1">IFERROR(__xludf.DUMMYFUNCTION("""COMPUTED_VALUE"""),"EVERGREEN - UAN Gated Content - Embedded Petition")</f>
        <v>EVERGREEN - UAN Gated Content - Embedded Petition</v>
      </c>
      <c r="D373" s="10">
        <f ca="1">IFERROR(__xludf.DUMMYFUNCTION("""COMPUTED_VALUE"""),45699)</f>
        <v>45699</v>
      </c>
      <c r="E373" s="1" t="str">
        <f ca="1">IFERROR(__xludf.DUMMYFUNCTION("""COMPUTED_VALUE"""),"USA")</f>
        <v>USA</v>
      </c>
      <c r="F373" s="1" t="str">
        <f ca="1">IFERROR(__xludf.DUMMYFUNCTION("""COMPUTED_VALUE"""),"4.25 USA")</f>
        <v>4.25 USA</v>
      </c>
      <c r="G373" s="1" t="str">
        <f ca="1">IFERROR(__xludf.DUMMYFUNCTION("""COMPUTED_VALUE"""),"Individuals At Risk, Refugee and Migrant Rights")</f>
        <v>Individuals At Risk, Refugee and Migrant Rights</v>
      </c>
      <c r="H373" s="1" t="str">
        <f ca="1">IFERROR(__xludf.DUMMYFUNCTION("""COMPUTED_VALUE"""),"2025")</f>
        <v>2025</v>
      </c>
      <c r="I373" s="1" t="str">
        <f ca="1">IFERROR(__xludf.DUMMYFUNCTION("""COMPUTED_VALUE"""),"Letter")</f>
        <v>Letter</v>
      </c>
    </row>
    <row r="374" spans="1:9" ht="13" x14ac:dyDescent="0.15">
      <c r="A374" s="9">
        <f ca="1">IFERROR(__xludf.DUMMYFUNCTION("""COMPUTED_VALUE"""),30800952)</f>
        <v>30800952</v>
      </c>
      <c r="B374" s="1" t="str">
        <f ca="1">IFERROR(__xludf.DUMMYFUNCTION("""COMPUTED_VALUE"""),"brettbos@yahoo.com")</f>
        <v>brettbos@yahoo.com</v>
      </c>
      <c r="C374" s="9" t="str">
        <f ca="1">IFERROR(__xludf.DUMMYFUNCTION("""COMPUTED_VALUE"""),"EVERGREEN - UAN Gated Content - Embedded Petition")</f>
        <v>EVERGREEN - UAN Gated Content - Embedded Petition</v>
      </c>
      <c r="D374" s="10">
        <f ca="1">IFERROR(__xludf.DUMMYFUNCTION("""COMPUTED_VALUE"""),45691)</f>
        <v>45691</v>
      </c>
      <c r="E374" s="1" t="str">
        <f ca="1">IFERROR(__xludf.DUMMYFUNCTION("""COMPUTED_VALUE"""),"USA")</f>
        <v>USA</v>
      </c>
      <c r="F374" s="1" t="str">
        <f ca="1">IFERROR(__xludf.DUMMYFUNCTION("""COMPUTED_VALUE"""),"96.24 USA")</f>
        <v>96.24 USA</v>
      </c>
      <c r="G374" s="1" t="str">
        <f ca="1">IFERROR(__xludf.DUMMYFUNCTION("""COMPUTED_VALUE"""),"Death Penalty")</f>
        <v>Death Penalty</v>
      </c>
      <c r="H374" s="1" t="str">
        <f ca="1">IFERROR(__xludf.DUMMYFUNCTION("""COMPUTED_VALUE"""),"2024")</f>
        <v>2024</v>
      </c>
      <c r="I374" s="1" t="str">
        <f ca="1">IFERROR(__xludf.DUMMYFUNCTION("""COMPUTED_VALUE"""),"Email")</f>
        <v>Email</v>
      </c>
    </row>
    <row r="375" spans="1:9" ht="13" x14ac:dyDescent="0.15">
      <c r="A375" s="9">
        <f ca="1">IFERROR(__xludf.DUMMYFUNCTION("""COMPUTED_VALUE"""),30800952)</f>
        <v>30800952</v>
      </c>
      <c r="B375" s="1" t="str">
        <f ca="1">IFERROR(__xludf.DUMMYFUNCTION("""COMPUTED_VALUE"""),"brettbos@yahoo.com")</f>
        <v>brettbos@yahoo.com</v>
      </c>
      <c r="C375" s="9" t="str">
        <f ca="1">IFERROR(__xludf.DUMMYFUNCTION("""COMPUTED_VALUE"""),"EVERGREEN - UAN Gated Content - Embedded Petition")</f>
        <v>EVERGREEN - UAN Gated Content - Embedded Petition</v>
      </c>
      <c r="D375" s="10">
        <f ca="1">IFERROR(__xludf.DUMMYFUNCTION("""COMPUTED_VALUE"""),45692)</f>
        <v>45692</v>
      </c>
      <c r="E375" s="1" t="str">
        <f ca="1">IFERROR(__xludf.DUMMYFUNCTION("""COMPUTED_VALUE"""),"Iran")</f>
        <v>Iran</v>
      </c>
      <c r="F375" s="1" t="str">
        <f ca="1">IFERROR(__xludf.DUMMYFUNCTION("""COMPUTED_VALUE"""),"101.24 Iran")</f>
        <v>101.24 Iran</v>
      </c>
      <c r="G375" s="1" t="str">
        <f ca="1">IFERROR(__xludf.DUMMYFUNCTION("""COMPUTED_VALUE"""),"Death Penalty, Freedom of Expression, Individuals At Risk, Right to Protest")</f>
        <v>Death Penalty, Freedom of Expression, Individuals At Risk, Right to Protest</v>
      </c>
      <c r="H375" s="1" t="str">
        <f ca="1">IFERROR(__xludf.DUMMYFUNCTION("""COMPUTED_VALUE"""),"2024")</f>
        <v>2024</v>
      </c>
      <c r="I375" s="1" t="str">
        <f ca="1">IFERROR(__xludf.DUMMYFUNCTION("""COMPUTED_VALUE"""),"Email")</f>
        <v>Email</v>
      </c>
    </row>
    <row r="376" spans="1:9" ht="13" x14ac:dyDescent="0.15">
      <c r="A376" s="9">
        <f ca="1">IFERROR(__xludf.DUMMYFUNCTION("""COMPUTED_VALUE"""),30800952)</f>
        <v>30800952</v>
      </c>
      <c r="B376" s="1" t="str">
        <f ca="1">IFERROR(__xludf.DUMMYFUNCTION("""COMPUTED_VALUE"""),"brettbos@yahoo.com")</f>
        <v>brettbos@yahoo.com</v>
      </c>
      <c r="C376" s="9" t="str">
        <f ca="1">IFERROR(__xludf.DUMMYFUNCTION("""COMPUTED_VALUE"""),"EVERGREEN - UAN Gated Content - Embedded Petition")</f>
        <v>EVERGREEN - UAN Gated Content - Embedded Petition</v>
      </c>
      <c r="D376" s="10">
        <f ca="1">IFERROR(__xludf.DUMMYFUNCTION("""COMPUTED_VALUE"""),45701)</f>
        <v>45701</v>
      </c>
      <c r="E376" s="1" t="str">
        <f ca="1">IFERROR(__xludf.DUMMYFUNCTION("""COMPUTED_VALUE"""),"Niger")</f>
        <v>Niger</v>
      </c>
      <c r="F376" s="1" t="str">
        <f ca="1">IFERROR(__xludf.DUMMYFUNCTION("""COMPUTED_VALUE"""),"103.24 Niger")</f>
        <v>103.24 Niger</v>
      </c>
      <c r="G376" s="1" t="str">
        <f ca="1">IFERROR(__xludf.DUMMYFUNCTION("""COMPUTED_VALUE"""),"Freedom of Expression, Human Rights Defenders")</f>
        <v>Freedom of Expression, Human Rights Defenders</v>
      </c>
      <c r="H376" s="1" t="str">
        <f ca="1">IFERROR(__xludf.DUMMYFUNCTION("""COMPUTED_VALUE"""),"2024")</f>
        <v>2024</v>
      </c>
      <c r="I376" s="1" t="str">
        <f ca="1">IFERROR(__xludf.DUMMYFUNCTION("""COMPUTED_VALUE"""),"Email")</f>
        <v>Email</v>
      </c>
    </row>
    <row r="377" spans="1:9" ht="13" x14ac:dyDescent="0.15">
      <c r="A377" s="9">
        <f ca="1">IFERROR(__xludf.DUMMYFUNCTION("""COMPUTED_VALUE"""),30800952)</f>
        <v>30800952</v>
      </c>
      <c r="B377" s="1" t="str">
        <f ca="1">IFERROR(__xludf.DUMMYFUNCTION("""COMPUTED_VALUE"""),"brettbos@yahoo.com")</f>
        <v>brettbos@yahoo.com</v>
      </c>
      <c r="C377" s="9" t="str">
        <f ca="1">IFERROR(__xludf.DUMMYFUNCTION("""COMPUTED_VALUE"""),"EVERGREEN - UAN Gated Content - Embedded Petition")</f>
        <v>EVERGREEN - UAN Gated Content - Embedded Petition</v>
      </c>
      <c r="D377" s="10">
        <f ca="1">IFERROR(__xludf.DUMMYFUNCTION("""COMPUTED_VALUE"""),45701)</f>
        <v>45701</v>
      </c>
      <c r="E377" s="1" t="str">
        <f ca="1">IFERROR(__xludf.DUMMYFUNCTION("""COMPUTED_VALUE"""),"Tunisia")</f>
        <v>Tunisia</v>
      </c>
      <c r="F377" s="1" t="str">
        <f ca="1">IFERROR(__xludf.DUMMYFUNCTION("""COMPUTED_VALUE"""),"Second 76.24 Tunisia")</f>
        <v>Second 76.24 Tunisia</v>
      </c>
      <c r="G377" s="1" t="str">
        <f ca="1">IFERROR(__xludf.DUMMYFUNCTION("""COMPUTED_VALUE"""),"Freedom of Expression, Human Rights Defenders")</f>
        <v>Freedom of Expression, Human Rights Defenders</v>
      </c>
      <c r="H377" s="1" t="str">
        <f ca="1">IFERROR(__xludf.DUMMYFUNCTION("""COMPUTED_VALUE"""),"2025")</f>
        <v>2025</v>
      </c>
      <c r="I377" s="1" t="str">
        <f ca="1">IFERROR(__xludf.DUMMYFUNCTION("""COMPUTED_VALUE"""),"Email")</f>
        <v>Email</v>
      </c>
    </row>
    <row r="378" spans="1:9" ht="13" x14ac:dyDescent="0.15">
      <c r="A378" s="9">
        <f ca="1">IFERROR(__xludf.DUMMYFUNCTION("""COMPUTED_VALUE"""),30800952)</f>
        <v>30800952</v>
      </c>
      <c r="B378" s="1" t="str">
        <f ca="1">IFERROR(__xludf.DUMMYFUNCTION("""COMPUTED_VALUE"""),"brettbos@yahoo.com")</f>
        <v>brettbos@yahoo.com</v>
      </c>
      <c r="C378" s="9" t="str">
        <f ca="1">IFERROR(__xludf.DUMMYFUNCTION("""COMPUTED_VALUE"""),"EVERGREEN - UAN Gated Content - Embedded Petition")</f>
        <v>EVERGREEN - UAN Gated Content - Embedded Petition</v>
      </c>
      <c r="D378" s="10">
        <f ca="1">IFERROR(__xludf.DUMMYFUNCTION("""COMPUTED_VALUE"""),45702)</f>
        <v>45702</v>
      </c>
      <c r="E378" s="1" t="str">
        <f ca="1">IFERROR(__xludf.DUMMYFUNCTION("""COMPUTED_VALUE"""),"USA")</f>
        <v>USA</v>
      </c>
      <c r="F378" s="1" t="str">
        <f ca="1">IFERROR(__xludf.DUMMYFUNCTION("""COMPUTED_VALUE"""),"105.24 USA")</f>
        <v>105.24 USA</v>
      </c>
      <c r="G378" s="1" t="str">
        <f ca="1">IFERROR(__xludf.DUMMYFUNCTION("""COMPUTED_VALUE"""),"Death Penalty")</f>
        <v>Death Penalty</v>
      </c>
      <c r="H378" s="1" t="str">
        <f ca="1">IFERROR(__xludf.DUMMYFUNCTION("""COMPUTED_VALUE"""),"2024")</f>
        <v>2024</v>
      </c>
      <c r="I378" s="1" t="str">
        <f ca="1">IFERROR(__xludf.DUMMYFUNCTION("""COMPUTED_VALUE"""),"Email")</f>
        <v>Email</v>
      </c>
    </row>
    <row r="379" spans="1:9" ht="13" x14ac:dyDescent="0.15">
      <c r="A379" s="9">
        <f ca="1">IFERROR(__xludf.DUMMYFUNCTION("""COMPUTED_VALUE"""),30800952)</f>
        <v>30800952</v>
      </c>
      <c r="B379" s="1" t="str">
        <f ca="1">IFERROR(__xludf.DUMMYFUNCTION("""COMPUTED_VALUE"""),"brettbos@yahoo.com")</f>
        <v>brettbos@yahoo.com</v>
      </c>
      <c r="C379" s="9" t="str">
        <f ca="1">IFERROR(__xludf.DUMMYFUNCTION("""COMPUTED_VALUE"""),"EVERGREEN - UAN Gated Content - Embedded Petition")</f>
        <v>EVERGREEN - UAN Gated Content - Embedded Petition</v>
      </c>
      <c r="D379" s="10">
        <f ca="1">IFERROR(__xludf.DUMMYFUNCTION("""COMPUTED_VALUE"""),45702)</f>
        <v>45702</v>
      </c>
      <c r="E379" s="1" t="str">
        <f ca="1">IFERROR(__xludf.DUMMYFUNCTION("""COMPUTED_VALUE"""),"Iran")</f>
        <v>Iran</v>
      </c>
      <c r="F379" s="1" t="str">
        <f ca="1">IFERROR(__xludf.DUMMYFUNCTION("""COMPUTED_VALUE"""),"Seventh 103.22 Iran")</f>
        <v>Seventh 103.22 Iran</v>
      </c>
      <c r="G379" s="1" t="str">
        <f ca="1">IFERROR(__xludf.DUMMYFUNCTION("""COMPUTED_VALUE"""),"Death Penalty, Freedom of Expression, Individuals At Risk")</f>
        <v>Death Penalty, Freedom of Expression, Individuals At Risk</v>
      </c>
      <c r="H379" s="1" t="str">
        <f ca="1">IFERROR(__xludf.DUMMYFUNCTION("""COMPUTED_VALUE"""),"2024")</f>
        <v>2024</v>
      </c>
      <c r="I379" s="1" t="str">
        <f ca="1">IFERROR(__xludf.DUMMYFUNCTION("""COMPUTED_VALUE"""),"Email")</f>
        <v>Email</v>
      </c>
    </row>
    <row r="380" spans="1:9" ht="13" x14ac:dyDescent="0.15">
      <c r="A380" s="9">
        <f ca="1">IFERROR(__xludf.DUMMYFUNCTION("""COMPUTED_VALUE"""),30800952)</f>
        <v>30800952</v>
      </c>
      <c r="B380" s="1" t="str">
        <f ca="1">IFERROR(__xludf.DUMMYFUNCTION("""COMPUTED_VALUE"""),"brettbos@yahoo.com")</f>
        <v>brettbos@yahoo.com</v>
      </c>
      <c r="C380" s="9" t="str">
        <f ca="1">IFERROR(__xludf.DUMMYFUNCTION("""COMPUTED_VALUE"""),"EVERGREEN - UAN Gated Content - Embedded Petition")</f>
        <v>EVERGREEN - UAN Gated Content - Embedded Petition</v>
      </c>
      <c r="D380" s="10">
        <f ca="1">IFERROR(__xludf.DUMMYFUNCTION("""COMPUTED_VALUE"""),45698)</f>
        <v>45698</v>
      </c>
      <c r="E380" s="1" t="str">
        <f ca="1">IFERROR(__xludf.DUMMYFUNCTION("""COMPUTED_VALUE"""),"Tunisia")</f>
        <v>Tunisia</v>
      </c>
      <c r="F380" s="1" t="str">
        <f ca="1">IFERROR(__xludf.DUMMYFUNCTION("""COMPUTED_VALUE"""),"Second 76.24 Tunisia")</f>
        <v>Second 76.24 Tunisia</v>
      </c>
      <c r="G380" s="1" t="str">
        <f ca="1">IFERROR(__xludf.DUMMYFUNCTION("""COMPUTED_VALUE"""),"Freedom of Expression, Human Rights Defenders")</f>
        <v>Freedom of Expression, Human Rights Defenders</v>
      </c>
      <c r="H380" s="1" t="str">
        <f ca="1">IFERROR(__xludf.DUMMYFUNCTION("""COMPUTED_VALUE"""),"2025")</f>
        <v>2025</v>
      </c>
      <c r="I380" s="1" t="str">
        <f ca="1">IFERROR(__xludf.DUMMYFUNCTION("""COMPUTED_VALUE"""),"Email")</f>
        <v>Email</v>
      </c>
    </row>
    <row r="381" spans="1:9" ht="13" x14ac:dyDescent="0.15">
      <c r="A381" s="9">
        <f ca="1">IFERROR(__xludf.DUMMYFUNCTION("""COMPUTED_VALUE"""),30800952)</f>
        <v>30800952</v>
      </c>
      <c r="B381" s="1" t="str">
        <f ca="1">IFERROR(__xludf.DUMMYFUNCTION("""COMPUTED_VALUE"""),"brettbos@yahoo.com")</f>
        <v>brettbos@yahoo.com</v>
      </c>
      <c r="C381" s="9" t="str">
        <f ca="1">IFERROR(__xludf.DUMMYFUNCTION("""COMPUTED_VALUE"""),"EVERGREEN - UAN Gated Content - Embedded Petition")</f>
        <v>EVERGREEN - UAN Gated Content - Embedded Petition</v>
      </c>
      <c r="D381" s="10">
        <f ca="1">IFERROR(__xludf.DUMMYFUNCTION("""COMPUTED_VALUE"""),45698)</f>
        <v>45698</v>
      </c>
      <c r="E381" s="1" t="str">
        <f ca="1">IFERROR(__xludf.DUMMYFUNCTION("""COMPUTED_VALUE"""),"Tunisia")</f>
        <v>Tunisia</v>
      </c>
      <c r="F381" s="1" t="str">
        <f ca="1">IFERROR(__xludf.DUMMYFUNCTION("""COMPUTED_VALUE"""),"Second 76.24 Tunisia")</f>
        <v>Second 76.24 Tunisia</v>
      </c>
      <c r="G381" s="1" t="str">
        <f ca="1">IFERROR(__xludf.DUMMYFUNCTION("""COMPUTED_VALUE"""),"Freedom of Expression, Human Rights Defenders")</f>
        <v>Freedom of Expression, Human Rights Defenders</v>
      </c>
      <c r="H381" s="1" t="str">
        <f ca="1">IFERROR(__xludf.DUMMYFUNCTION("""COMPUTED_VALUE"""),"2025")</f>
        <v>2025</v>
      </c>
      <c r="I381" s="1" t="str">
        <f ca="1">IFERROR(__xludf.DUMMYFUNCTION("""COMPUTED_VALUE"""),"Email")</f>
        <v>Email</v>
      </c>
    </row>
    <row r="382" spans="1:9" ht="13" x14ac:dyDescent="0.15">
      <c r="A382" s="9">
        <f ca="1">IFERROR(__xludf.DUMMYFUNCTION("""COMPUTED_VALUE"""),30809029)</f>
        <v>30809029</v>
      </c>
      <c r="B382" s="1" t="str">
        <f ca="1">IFERROR(__xludf.DUMMYFUNCTION("""COMPUTED_VALUE"""),"kdavos249@gmail.com")</f>
        <v>kdavos249@gmail.com</v>
      </c>
      <c r="C382" s="9" t="str">
        <f ca="1">IFERROR(__xludf.DUMMYFUNCTION("""COMPUTED_VALUE"""),"EVERGREEN - UAN Gated Content - Embedded Petition")</f>
        <v>EVERGREEN - UAN Gated Content - Embedded Petition</v>
      </c>
      <c r="D382" s="10">
        <f ca="1">IFERROR(__xludf.DUMMYFUNCTION("""COMPUTED_VALUE"""),45693)</f>
        <v>45693</v>
      </c>
      <c r="E382" s="1" t="str">
        <f ca="1">IFERROR(__xludf.DUMMYFUNCTION("""COMPUTED_VALUE"""),"USA")</f>
        <v>USA</v>
      </c>
      <c r="F382" s="1" t="str">
        <f ca="1">IFERROR(__xludf.DUMMYFUNCTION("""COMPUTED_VALUE"""),"4.25 USA")</f>
        <v>4.25 USA</v>
      </c>
      <c r="G382" s="1" t="str">
        <f ca="1">IFERROR(__xludf.DUMMYFUNCTION("""COMPUTED_VALUE"""),"Individuals At Risk, Refugee and Migrant Rights")</f>
        <v>Individuals At Risk, Refugee and Migrant Rights</v>
      </c>
      <c r="H382" s="1" t="str">
        <f ca="1">IFERROR(__xludf.DUMMYFUNCTION("""COMPUTED_VALUE"""),"2025")</f>
        <v>2025</v>
      </c>
      <c r="I382" s="1" t="str">
        <f ca="1">IFERROR(__xludf.DUMMYFUNCTION("""COMPUTED_VALUE"""),"Letter")</f>
        <v>Letter</v>
      </c>
    </row>
    <row r="383" spans="1:9" ht="13" x14ac:dyDescent="0.15">
      <c r="A383" s="9">
        <f ca="1">IFERROR(__xludf.DUMMYFUNCTION("""COMPUTED_VALUE"""),30809029)</f>
        <v>30809029</v>
      </c>
      <c r="B383" s="1" t="str">
        <f ca="1">IFERROR(__xludf.DUMMYFUNCTION("""COMPUTED_VALUE"""),"kdavos249@gmail.com")</f>
        <v>kdavos249@gmail.com</v>
      </c>
      <c r="C383" s="9" t="str">
        <f ca="1">IFERROR(__xludf.DUMMYFUNCTION("""COMPUTED_VALUE"""),"EVERGREEN - UAN Gated Content - Embedded Petition")</f>
        <v>EVERGREEN - UAN Gated Content - Embedded Petition</v>
      </c>
      <c r="D383" s="10">
        <f ca="1">IFERROR(__xludf.DUMMYFUNCTION("""COMPUTED_VALUE"""),45690)</f>
        <v>45690</v>
      </c>
      <c r="E383" s="1" t="str">
        <f ca="1">IFERROR(__xludf.DUMMYFUNCTION("""COMPUTED_VALUE"""),"USA")</f>
        <v>USA</v>
      </c>
      <c r="F383" s="1" t="str">
        <f ca="1">IFERROR(__xludf.DUMMYFUNCTION("""COMPUTED_VALUE"""),"4.25 USA")</f>
        <v>4.25 USA</v>
      </c>
      <c r="G383" s="1" t="str">
        <f ca="1">IFERROR(__xludf.DUMMYFUNCTION("""COMPUTED_VALUE"""),"Individuals At Risk, Refugee and Migrant Rights")</f>
        <v>Individuals At Risk, Refugee and Migrant Rights</v>
      </c>
      <c r="H383" s="1" t="str">
        <f ca="1">IFERROR(__xludf.DUMMYFUNCTION("""COMPUTED_VALUE"""),"2025")</f>
        <v>2025</v>
      </c>
      <c r="I383" s="1" t="str">
        <f ca="1">IFERROR(__xludf.DUMMYFUNCTION("""COMPUTED_VALUE"""),"Letter")</f>
        <v>Letter</v>
      </c>
    </row>
    <row r="384" spans="1:9" ht="13" x14ac:dyDescent="0.15">
      <c r="A384" s="9">
        <f ca="1">IFERROR(__xludf.DUMMYFUNCTION("""COMPUTED_VALUE"""),30817381)</f>
        <v>30817381</v>
      </c>
      <c r="B384" s="1" t="str">
        <f ca="1">IFERROR(__xludf.DUMMYFUNCTION("""COMPUTED_VALUE"""),"sybil.sch@gmail.com")</f>
        <v>sybil.sch@gmail.com</v>
      </c>
      <c r="C384" s="9" t="str">
        <f ca="1">IFERROR(__xludf.DUMMYFUNCTION("""COMPUTED_VALUE"""),"EVERGREEN - UAN Gated Content - Embedded Petition")</f>
        <v>EVERGREEN - UAN Gated Content - Embedded Petition</v>
      </c>
      <c r="D384" s="10">
        <f ca="1">IFERROR(__xludf.DUMMYFUNCTION("""COMPUTED_VALUE"""),45637)</f>
        <v>45637</v>
      </c>
      <c r="E384" s="1" t="str">
        <f ca="1">IFERROR(__xludf.DUMMYFUNCTION("""COMPUTED_VALUE"""),"Tunisia")</f>
        <v>Tunisia</v>
      </c>
      <c r="F384" s="1" t="str">
        <f ca="1">IFERROR(__xludf.DUMMYFUNCTION("""COMPUTED_VALUE"""),"Second 76.24 Tunisia")</f>
        <v>Second 76.24 Tunisia</v>
      </c>
      <c r="G384" s="1" t="str">
        <f ca="1">IFERROR(__xludf.DUMMYFUNCTION("""COMPUTED_VALUE"""),"Freedom of Expression, Human Rights Defenders")</f>
        <v>Freedom of Expression, Human Rights Defenders</v>
      </c>
      <c r="H384" s="1" t="str">
        <f ca="1">IFERROR(__xludf.DUMMYFUNCTION("""COMPUTED_VALUE"""),"2025")</f>
        <v>2025</v>
      </c>
      <c r="I384" s="1" t="str">
        <f ca="1">IFERROR(__xludf.DUMMYFUNCTION("""COMPUTED_VALUE"""),"Email")</f>
        <v>Email</v>
      </c>
    </row>
    <row r="385" spans="1:9" ht="13" x14ac:dyDescent="0.15">
      <c r="A385" s="9">
        <f ca="1">IFERROR(__xludf.DUMMYFUNCTION("""COMPUTED_VALUE"""),30817381)</f>
        <v>30817381</v>
      </c>
      <c r="B385" s="1" t="str">
        <f ca="1">IFERROR(__xludf.DUMMYFUNCTION("""COMPUTED_VALUE"""),"sybil.sch@gmail.com")</f>
        <v>sybil.sch@gmail.com</v>
      </c>
      <c r="C385" s="9" t="str">
        <f ca="1">IFERROR(__xludf.DUMMYFUNCTION("""COMPUTED_VALUE"""),"EVERGREEN - UAN Gated Content - Embedded Petition")</f>
        <v>EVERGREEN - UAN Gated Content - Embedded Petition</v>
      </c>
      <c r="D385" s="10">
        <f ca="1">IFERROR(__xludf.DUMMYFUNCTION("""COMPUTED_VALUE"""),45637)</f>
        <v>45637</v>
      </c>
      <c r="E385" s="1" t="str">
        <f ca="1">IFERROR(__xludf.DUMMYFUNCTION("""COMPUTED_VALUE"""),"Tunisia")</f>
        <v>Tunisia</v>
      </c>
      <c r="F385" s="1" t="str">
        <f ca="1">IFERROR(__xludf.DUMMYFUNCTION("""COMPUTED_VALUE"""),"Second 76.24 Tunisia")</f>
        <v>Second 76.24 Tunisia</v>
      </c>
      <c r="G385" s="1" t="str">
        <f ca="1">IFERROR(__xludf.DUMMYFUNCTION("""COMPUTED_VALUE"""),"Freedom of Expression, Human Rights Defenders")</f>
        <v>Freedom of Expression, Human Rights Defenders</v>
      </c>
      <c r="H385" s="1" t="str">
        <f ca="1">IFERROR(__xludf.DUMMYFUNCTION("""COMPUTED_VALUE"""),"2025")</f>
        <v>2025</v>
      </c>
      <c r="I385" s="1" t="str">
        <f ca="1">IFERROR(__xludf.DUMMYFUNCTION("""COMPUTED_VALUE"""),"Email")</f>
        <v>Email</v>
      </c>
    </row>
    <row r="386" spans="1:9" ht="13" x14ac:dyDescent="0.15">
      <c r="A386" s="9">
        <f ca="1">IFERROR(__xludf.DUMMYFUNCTION("""COMPUTED_VALUE"""),30817381)</f>
        <v>30817381</v>
      </c>
      <c r="B386" s="1" t="str">
        <f ca="1">IFERROR(__xludf.DUMMYFUNCTION("""COMPUTED_VALUE"""),"sybil.sch@gmail.com")</f>
        <v>sybil.sch@gmail.com</v>
      </c>
      <c r="C386" s="9" t="str">
        <f ca="1">IFERROR(__xludf.DUMMYFUNCTION("""COMPUTED_VALUE"""),"EVERGREEN - UAN Gated Content - Embedded Petition")</f>
        <v>EVERGREEN - UAN Gated Content - Embedded Petition</v>
      </c>
      <c r="D386" s="10">
        <f ca="1">IFERROR(__xludf.DUMMYFUNCTION("""COMPUTED_VALUE"""),45637)</f>
        <v>45637</v>
      </c>
      <c r="E386" s="1" t="str">
        <f ca="1">IFERROR(__xludf.DUMMYFUNCTION("""COMPUTED_VALUE"""),"Tunisia")</f>
        <v>Tunisia</v>
      </c>
      <c r="F386" s="1" t="str">
        <f ca="1">IFERROR(__xludf.DUMMYFUNCTION("""COMPUTED_VALUE"""),"Second 76.24 Tunisia")</f>
        <v>Second 76.24 Tunisia</v>
      </c>
      <c r="G386" s="1" t="str">
        <f ca="1">IFERROR(__xludf.DUMMYFUNCTION("""COMPUTED_VALUE"""),"Freedom of Expression, Human Rights Defenders")</f>
        <v>Freedom of Expression, Human Rights Defenders</v>
      </c>
      <c r="H386" s="1" t="str">
        <f ca="1">IFERROR(__xludf.DUMMYFUNCTION("""COMPUTED_VALUE"""),"2025")</f>
        <v>2025</v>
      </c>
      <c r="I386" s="1" t="str">
        <f ca="1">IFERROR(__xludf.DUMMYFUNCTION("""COMPUTED_VALUE"""),"Email")</f>
        <v>Email</v>
      </c>
    </row>
    <row r="387" spans="1:9" ht="13" x14ac:dyDescent="0.15">
      <c r="A387" s="9">
        <f ca="1">IFERROR(__xludf.DUMMYFUNCTION("""COMPUTED_VALUE"""),30817381)</f>
        <v>30817381</v>
      </c>
      <c r="B387" s="1" t="str">
        <f ca="1">IFERROR(__xludf.DUMMYFUNCTION("""COMPUTED_VALUE"""),"sybil.sch@gmail.com")</f>
        <v>sybil.sch@gmail.com</v>
      </c>
      <c r="C387" s="9" t="str">
        <f ca="1">IFERROR(__xludf.DUMMYFUNCTION("""COMPUTED_VALUE"""),"EVERGREEN - UAN Gated Content - Embedded Petition")</f>
        <v>EVERGREEN - UAN Gated Content - Embedded Petition</v>
      </c>
      <c r="D387" s="10">
        <f ca="1">IFERROR(__xludf.DUMMYFUNCTION("""COMPUTED_VALUE"""),45637)</f>
        <v>45637</v>
      </c>
      <c r="E387" s="1" t="str">
        <f ca="1">IFERROR(__xludf.DUMMYFUNCTION("""COMPUTED_VALUE"""),"Egypt")</f>
        <v>Egypt</v>
      </c>
      <c r="F387" s="1" t="str">
        <f ca="1">IFERROR(__xludf.DUMMYFUNCTION("""COMPUTED_VALUE"""),"Ninth 190.18 Egypt")</f>
        <v>Ninth 190.18 Egypt</v>
      </c>
      <c r="G387" s="1" t="str">
        <f ca="1">IFERROR(__xludf.DUMMYFUNCTION("""COMPUTED_VALUE"""),"Freedom of Expression, Individuals At Risk")</f>
        <v>Freedom of Expression, Individuals At Risk</v>
      </c>
      <c r="H387" s="1" t="str">
        <f ca="1">IFERROR(__xludf.DUMMYFUNCTION("""COMPUTED_VALUE"""),"2024")</f>
        <v>2024</v>
      </c>
      <c r="I387" s="1" t="str">
        <f ca="1">IFERROR(__xludf.DUMMYFUNCTION("""COMPUTED_VALUE"""),"Letter")</f>
        <v>Letter</v>
      </c>
    </row>
    <row r="388" spans="1:9" ht="13" x14ac:dyDescent="0.15">
      <c r="A388" s="9">
        <f ca="1">IFERROR(__xludf.DUMMYFUNCTION("""COMPUTED_VALUE"""),30817381)</f>
        <v>30817381</v>
      </c>
      <c r="B388" s="1" t="str">
        <f ca="1">IFERROR(__xludf.DUMMYFUNCTION("""COMPUTED_VALUE"""),"sybil.sch@gmail.com")</f>
        <v>sybil.sch@gmail.com</v>
      </c>
      <c r="C388" s="9" t="str">
        <f ca="1">IFERROR(__xludf.DUMMYFUNCTION("""COMPUTED_VALUE"""),"EVERGREEN - UAN Gated Content - Embedded Petition")</f>
        <v>EVERGREEN - UAN Gated Content - Embedded Petition</v>
      </c>
      <c r="D388" s="10">
        <f ca="1">IFERROR(__xludf.DUMMYFUNCTION("""COMPUTED_VALUE"""),45696)</f>
        <v>45696</v>
      </c>
      <c r="E388" s="1" t="str">
        <f ca="1">IFERROR(__xludf.DUMMYFUNCTION("""COMPUTED_VALUE"""),"USA")</f>
        <v>USA</v>
      </c>
      <c r="F388" s="1" t="str">
        <f ca="1">IFERROR(__xludf.DUMMYFUNCTION("""COMPUTED_VALUE"""),"4.25 USA")</f>
        <v>4.25 USA</v>
      </c>
      <c r="G388" s="1" t="str">
        <f ca="1">IFERROR(__xludf.DUMMYFUNCTION("""COMPUTED_VALUE"""),"Individuals At Risk, Refugee and Migrant Rights")</f>
        <v>Individuals At Risk, Refugee and Migrant Rights</v>
      </c>
      <c r="H388" s="1" t="str">
        <f ca="1">IFERROR(__xludf.DUMMYFUNCTION("""COMPUTED_VALUE"""),"2025")</f>
        <v>2025</v>
      </c>
      <c r="I388" s="1" t="str">
        <f ca="1">IFERROR(__xludf.DUMMYFUNCTION("""COMPUTED_VALUE"""),"Letter")</f>
        <v>Letter</v>
      </c>
    </row>
    <row r="389" spans="1:9" ht="13" x14ac:dyDescent="0.15">
      <c r="A389" s="9">
        <f ca="1">IFERROR(__xludf.DUMMYFUNCTION("""COMPUTED_VALUE"""),30817381)</f>
        <v>30817381</v>
      </c>
      <c r="B389" s="1" t="str">
        <f ca="1">IFERROR(__xludf.DUMMYFUNCTION("""COMPUTED_VALUE"""),"sybil.sch@gmail.com")</f>
        <v>sybil.sch@gmail.com</v>
      </c>
      <c r="C389" s="9" t="str">
        <f ca="1">IFERROR(__xludf.DUMMYFUNCTION("""COMPUTED_VALUE"""),"EVERGREEN - UAN Gated Content - Embedded Petition")</f>
        <v>EVERGREEN - UAN Gated Content - Embedded Petition</v>
      </c>
      <c r="D389" s="10">
        <f ca="1">IFERROR(__xludf.DUMMYFUNCTION("""COMPUTED_VALUE"""),45636)</f>
        <v>45636</v>
      </c>
      <c r="E389" s="1" t="str">
        <f ca="1">IFERROR(__xludf.DUMMYFUNCTION("""COMPUTED_VALUE"""),"USA")</f>
        <v>USA</v>
      </c>
      <c r="F389" s="1" t="str">
        <f ca="1">IFERROR(__xludf.DUMMYFUNCTION("""COMPUTED_VALUE"""),"Fourth 55.24 USA")</f>
        <v>Fourth 55.24 USA</v>
      </c>
      <c r="G389" s="1" t="str">
        <f ca="1">IFERROR(__xludf.DUMMYFUNCTION("""COMPUTED_VALUE"""),"Climate Justice, Individuals At Risk")</f>
        <v>Climate Justice, Individuals At Risk</v>
      </c>
      <c r="H389" s="1" t="str">
        <f ca="1">IFERROR(__xludf.DUMMYFUNCTION("""COMPUTED_VALUE"""),"2025")</f>
        <v>2025</v>
      </c>
      <c r="I389" s="1" t="str">
        <f ca="1">IFERROR(__xludf.DUMMYFUNCTION("""COMPUTED_VALUE"""),"Email")</f>
        <v>Email</v>
      </c>
    </row>
    <row r="390" spans="1:9" ht="13" x14ac:dyDescent="0.15">
      <c r="A390" s="9">
        <f ca="1">IFERROR(__xludf.DUMMYFUNCTION("""COMPUTED_VALUE"""),30817381)</f>
        <v>30817381</v>
      </c>
      <c r="B390" s="1" t="str">
        <f ca="1">IFERROR(__xludf.DUMMYFUNCTION("""COMPUTED_VALUE"""),"sybil.sch@gmail.com")</f>
        <v>sybil.sch@gmail.com</v>
      </c>
      <c r="C390" s="9" t="str">
        <f ca="1">IFERROR(__xludf.DUMMYFUNCTION("""COMPUTED_VALUE"""),"EVERGREEN - UAN Gated Content - Embedded Petition")</f>
        <v>EVERGREEN - UAN Gated Content - Embedded Petition</v>
      </c>
      <c r="D390" s="10">
        <f ca="1">IFERROR(__xludf.DUMMYFUNCTION("""COMPUTED_VALUE"""),45677)</f>
        <v>45677</v>
      </c>
      <c r="E390" s="1" t="str">
        <f ca="1">IFERROR(__xludf.DUMMYFUNCTION("""COMPUTED_VALUE"""),"Tunisia")</f>
        <v>Tunisia</v>
      </c>
      <c r="F390" s="1" t="str">
        <f ca="1">IFERROR(__xludf.DUMMYFUNCTION("""COMPUTED_VALUE"""),"Second 76.24 Tunisia")</f>
        <v>Second 76.24 Tunisia</v>
      </c>
      <c r="G390" s="1" t="str">
        <f ca="1">IFERROR(__xludf.DUMMYFUNCTION("""COMPUTED_VALUE"""),"Freedom of Expression, Human Rights Defenders")</f>
        <v>Freedom of Expression, Human Rights Defenders</v>
      </c>
      <c r="H390" s="1" t="str">
        <f ca="1">IFERROR(__xludf.DUMMYFUNCTION("""COMPUTED_VALUE"""),"2025")</f>
        <v>2025</v>
      </c>
      <c r="I390" s="1" t="str">
        <f ca="1">IFERROR(__xludf.DUMMYFUNCTION("""COMPUTED_VALUE"""),"Email")</f>
        <v>Email</v>
      </c>
    </row>
    <row r="391" spans="1:9" ht="13" x14ac:dyDescent="0.15">
      <c r="A391" s="9">
        <f ca="1">IFERROR(__xludf.DUMMYFUNCTION("""COMPUTED_VALUE"""),30817381)</f>
        <v>30817381</v>
      </c>
      <c r="B391" s="1" t="str">
        <f ca="1">IFERROR(__xludf.DUMMYFUNCTION("""COMPUTED_VALUE"""),"sybil.sch@gmail.com")</f>
        <v>sybil.sch@gmail.com</v>
      </c>
      <c r="C391" s="9" t="str">
        <f ca="1">IFERROR(__xludf.DUMMYFUNCTION("""COMPUTED_VALUE"""),"EVERGREEN - UAN Gated Content - Embedded Petition")</f>
        <v>EVERGREEN - UAN Gated Content - Embedded Petition</v>
      </c>
      <c r="D391" s="10">
        <f ca="1">IFERROR(__xludf.DUMMYFUNCTION("""COMPUTED_VALUE"""),45694)</f>
        <v>45694</v>
      </c>
      <c r="E391" s="1" t="str">
        <f ca="1">IFERROR(__xludf.DUMMYFUNCTION("""COMPUTED_VALUE"""),"Tunisia")</f>
        <v>Tunisia</v>
      </c>
      <c r="F391" s="1" t="str">
        <f ca="1">IFERROR(__xludf.DUMMYFUNCTION("""COMPUTED_VALUE"""),"Second 76.24 Tunisia")</f>
        <v>Second 76.24 Tunisia</v>
      </c>
      <c r="G391" s="1" t="str">
        <f ca="1">IFERROR(__xludf.DUMMYFUNCTION("""COMPUTED_VALUE"""),"Freedom of Expression, Human Rights Defenders")</f>
        <v>Freedom of Expression, Human Rights Defenders</v>
      </c>
      <c r="H391" s="1" t="str">
        <f ca="1">IFERROR(__xludf.DUMMYFUNCTION("""COMPUTED_VALUE"""),"2025")</f>
        <v>2025</v>
      </c>
      <c r="I391" s="1" t="str">
        <f ca="1">IFERROR(__xludf.DUMMYFUNCTION("""COMPUTED_VALUE"""),"Email")</f>
        <v>Email</v>
      </c>
    </row>
    <row r="392" spans="1:9" ht="13" x14ac:dyDescent="0.15">
      <c r="A392" s="9">
        <f ca="1">IFERROR(__xludf.DUMMYFUNCTION("""COMPUTED_VALUE"""),30817381)</f>
        <v>30817381</v>
      </c>
      <c r="B392" s="1" t="str">
        <f ca="1">IFERROR(__xludf.DUMMYFUNCTION("""COMPUTED_VALUE"""),"sybil.sch@gmail.com")</f>
        <v>sybil.sch@gmail.com</v>
      </c>
      <c r="C392" s="9" t="str">
        <f ca="1">IFERROR(__xludf.DUMMYFUNCTION("""COMPUTED_VALUE"""),"EVERGREEN - UAN Gated Content - Embedded Petition")</f>
        <v>EVERGREEN - UAN Gated Content - Embedded Petition</v>
      </c>
      <c r="D392" s="10">
        <f ca="1">IFERROR(__xludf.DUMMYFUNCTION("""COMPUTED_VALUE"""),45637)</f>
        <v>45637</v>
      </c>
      <c r="E392" s="1" t="str">
        <f ca="1">IFERROR(__xludf.DUMMYFUNCTION("""COMPUTED_VALUE"""),"Tunisia")</f>
        <v>Tunisia</v>
      </c>
      <c r="F392" s="1" t="str">
        <f ca="1">IFERROR(__xludf.DUMMYFUNCTION("""COMPUTED_VALUE"""),"Second 76.24 Tunisia")</f>
        <v>Second 76.24 Tunisia</v>
      </c>
      <c r="G392" s="1" t="str">
        <f ca="1">IFERROR(__xludf.DUMMYFUNCTION("""COMPUTED_VALUE"""),"Freedom of Expression, Human Rights Defenders")</f>
        <v>Freedom of Expression, Human Rights Defenders</v>
      </c>
      <c r="H392" s="1" t="str">
        <f ca="1">IFERROR(__xludf.DUMMYFUNCTION("""COMPUTED_VALUE"""),"2025")</f>
        <v>2025</v>
      </c>
      <c r="I392" s="1" t="str">
        <f ca="1">IFERROR(__xludf.DUMMYFUNCTION("""COMPUTED_VALUE"""),"Email")</f>
        <v>Email</v>
      </c>
    </row>
    <row r="393" spans="1:9" ht="13" x14ac:dyDescent="0.15">
      <c r="A393" s="9">
        <f ca="1">IFERROR(__xludf.DUMMYFUNCTION("""COMPUTED_VALUE"""),30832722)</f>
        <v>30832722</v>
      </c>
      <c r="B393" s="1" t="str">
        <f ca="1">IFERROR(__xludf.DUMMYFUNCTION("""COMPUTED_VALUE"""),"peggy.lamb@sbcglobal.net")</f>
        <v>peggy.lamb@sbcglobal.net</v>
      </c>
      <c r="C393" s="9" t="str">
        <f ca="1">IFERROR(__xludf.DUMMYFUNCTION("""COMPUTED_VALUE"""),"EVERGREEN - UAN Gated Content - Embedded Petition")</f>
        <v>EVERGREEN - UAN Gated Content - Embedded Petition</v>
      </c>
      <c r="D393" s="10">
        <f ca="1">IFERROR(__xludf.DUMMYFUNCTION("""COMPUTED_VALUE"""),45638)</f>
        <v>45638</v>
      </c>
      <c r="E393" s="1" t="str">
        <f ca="1">IFERROR(__xludf.DUMMYFUNCTION("""COMPUTED_VALUE"""),"Tunisia")</f>
        <v>Tunisia</v>
      </c>
      <c r="F393" s="1" t="str">
        <f ca="1">IFERROR(__xludf.DUMMYFUNCTION("""COMPUTED_VALUE"""),"Second 76.24 Tunisia")</f>
        <v>Second 76.24 Tunisia</v>
      </c>
      <c r="G393" s="1" t="str">
        <f ca="1">IFERROR(__xludf.DUMMYFUNCTION("""COMPUTED_VALUE"""),"Freedom of Expression, Human Rights Defenders")</f>
        <v>Freedom of Expression, Human Rights Defenders</v>
      </c>
      <c r="H393" s="1" t="str">
        <f ca="1">IFERROR(__xludf.DUMMYFUNCTION("""COMPUTED_VALUE"""),"2025")</f>
        <v>2025</v>
      </c>
      <c r="I393" s="1" t="str">
        <f ca="1">IFERROR(__xludf.DUMMYFUNCTION("""COMPUTED_VALUE"""),"Email")</f>
        <v>Email</v>
      </c>
    </row>
    <row r="394" spans="1:9" ht="13" x14ac:dyDescent="0.15">
      <c r="A394" s="9">
        <f ca="1">IFERROR(__xludf.DUMMYFUNCTION("""COMPUTED_VALUE"""),30832722)</f>
        <v>30832722</v>
      </c>
      <c r="B394" s="1" t="str">
        <f ca="1">IFERROR(__xludf.DUMMYFUNCTION("""COMPUTED_VALUE"""),"peggy.lamb@sbcglobal.net")</f>
        <v>peggy.lamb@sbcglobal.net</v>
      </c>
      <c r="C394" s="9" t="str">
        <f ca="1">IFERROR(__xludf.DUMMYFUNCTION("""COMPUTED_VALUE"""),"EVERGREEN - UAN Gated Content - Embedded Petition")</f>
        <v>EVERGREEN - UAN Gated Content - Embedded Petition</v>
      </c>
      <c r="D394" s="10">
        <f ca="1">IFERROR(__xludf.DUMMYFUNCTION("""COMPUTED_VALUE"""),45666)</f>
        <v>45666</v>
      </c>
      <c r="E394" s="1" t="str">
        <f ca="1">IFERROR(__xludf.DUMMYFUNCTION("""COMPUTED_VALUE"""),"USA")</f>
        <v>USA</v>
      </c>
      <c r="F394" s="1" t="str">
        <f ca="1">IFERROR(__xludf.DUMMYFUNCTION("""COMPUTED_VALUE"""),"4.25 USA")</f>
        <v>4.25 USA</v>
      </c>
      <c r="G394" s="1" t="str">
        <f ca="1">IFERROR(__xludf.DUMMYFUNCTION("""COMPUTED_VALUE"""),"Individuals At Risk, Refugee and Migrant Rights")</f>
        <v>Individuals At Risk, Refugee and Migrant Rights</v>
      </c>
      <c r="H394" s="1" t="str">
        <f ca="1">IFERROR(__xludf.DUMMYFUNCTION("""COMPUTED_VALUE"""),"2025")</f>
        <v>2025</v>
      </c>
      <c r="I394" s="1" t="str">
        <f ca="1">IFERROR(__xludf.DUMMYFUNCTION("""COMPUTED_VALUE"""),"Letter")</f>
        <v>Letter</v>
      </c>
    </row>
    <row r="395" spans="1:9" ht="13" x14ac:dyDescent="0.15">
      <c r="A395" s="9">
        <f ca="1">IFERROR(__xludf.DUMMYFUNCTION("""COMPUTED_VALUE"""),30832722)</f>
        <v>30832722</v>
      </c>
      <c r="B395" s="1" t="str">
        <f ca="1">IFERROR(__xludf.DUMMYFUNCTION("""COMPUTED_VALUE"""),"peggy.lamb@sbcglobal.net")</f>
        <v>peggy.lamb@sbcglobal.net</v>
      </c>
      <c r="C395" s="9" t="str">
        <f ca="1">IFERROR(__xludf.DUMMYFUNCTION("""COMPUTED_VALUE"""),"EVERGREEN - UAN Gated Content - Embedded Petition")</f>
        <v>EVERGREEN - UAN Gated Content - Embedded Petition</v>
      </c>
      <c r="D395" s="10">
        <f ca="1">IFERROR(__xludf.DUMMYFUNCTION("""COMPUTED_VALUE"""),45699)</f>
        <v>45699</v>
      </c>
      <c r="E395" s="1" t="str">
        <f ca="1">IFERROR(__xludf.DUMMYFUNCTION("""COMPUTED_VALUE"""),"Tunisia")</f>
        <v>Tunisia</v>
      </c>
      <c r="F395" s="1" t="str">
        <f ca="1">IFERROR(__xludf.DUMMYFUNCTION("""COMPUTED_VALUE"""),"Second 76.24 Tunisia")</f>
        <v>Second 76.24 Tunisia</v>
      </c>
      <c r="G395" s="1" t="str">
        <f ca="1">IFERROR(__xludf.DUMMYFUNCTION("""COMPUTED_VALUE"""),"Freedom of Expression, Human Rights Defenders")</f>
        <v>Freedom of Expression, Human Rights Defenders</v>
      </c>
      <c r="H395" s="1" t="str">
        <f ca="1">IFERROR(__xludf.DUMMYFUNCTION("""COMPUTED_VALUE"""),"2025")</f>
        <v>2025</v>
      </c>
      <c r="I395" s="1" t="str">
        <f ca="1">IFERROR(__xludf.DUMMYFUNCTION("""COMPUTED_VALUE"""),"Email")</f>
        <v>Email</v>
      </c>
    </row>
    <row r="396" spans="1:9" ht="13" x14ac:dyDescent="0.15">
      <c r="A396" s="9">
        <f ca="1">IFERROR(__xludf.DUMMYFUNCTION("""COMPUTED_VALUE"""),30832722)</f>
        <v>30832722</v>
      </c>
      <c r="B396" s="1" t="str">
        <f ca="1">IFERROR(__xludf.DUMMYFUNCTION("""COMPUTED_VALUE"""),"peggy.lamb@sbcglobal.net")</f>
        <v>peggy.lamb@sbcglobal.net</v>
      </c>
      <c r="C396" s="9" t="str">
        <f ca="1">IFERROR(__xludf.DUMMYFUNCTION("""COMPUTED_VALUE"""),"EVERGREEN - UAN Gated Content - Embedded Petition")</f>
        <v>EVERGREEN - UAN Gated Content - Embedded Petition</v>
      </c>
      <c r="D396" s="10">
        <f ca="1">IFERROR(__xludf.DUMMYFUNCTION("""COMPUTED_VALUE"""),45694)</f>
        <v>45694</v>
      </c>
      <c r="E396" s="1" t="str">
        <f ca="1">IFERROR(__xludf.DUMMYFUNCTION("""COMPUTED_VALUE"""),"USA")</f>
        <v>USA</v>
      </c>
      <c r="F396" s="1" t="str">
        <f ca="1">IFERROR(__xludf.DUMMYFUNCTION("""COMPUTED_VALUE"""),"4.25 USA")</f>
        <v>4.25 USA</v>
      </c>
      <c r="G396" s="1" t="str">
        <f ca="1">IFERROR(__xludf.DUMMYFUNCTION("""COMPUTED_VALUE"""),"Individuals At Risk, Refugee and Migrant Rights")</f>
        <v>Individuals At Risk, Refugee and Migrant Rights</v>
      </c>
      <c r="H396" s="1" t="str">
        <f ca="1">IFERROR(__xludf.DUMMYFUNCTION("""COMPUTED_VALUE"""),"2025")</f>
        <v>2025</v>
      </c>
      <c r="I396" s="1" t="str">
        <f ca="1">IFERROR(__xludf.DUMMYFUNCTION("""COMPUTED_VALUE"""),"Letter")</f>
        <v>Letter</v>
      </c>
    </row>
    <row r="397" spans="1:9" ht="13" x14ac:dyDescent="0.15">
      <c r="A397" s="9">
        <f ca="1">IFERROR(__xludf.DUMMYFUNCTION("""COMPUTED_VALUE"""),30832722)</f>
        <v>30832722</v>
      </c>
      <c r="B397" s="1" t="str">
        <f ca="1">IFERROR(__xludf.DUMMYFUNCTION("""COMPUTED_VALUE"""),"peggy.lamb@sbcglobal.net")</f>
        <v>peggy.lamb@sbcglobal.net</v>
      </c>
      <c r="C397" s="9" t="str">
        <f ca="1">IFERROR(__xludf.DUMMYFUNCTION("""COMPUTED_VALUE"""),"EVERGREEN - UAN Gated Content - Embedded Petition")</f>
        <v>EVERGREEN - UAN Gated Content - Embedded Petition</v>
      </c>
      <c r="D397" s="10">
        <f ca="1">IFERROR(__xludf.DUMMYFUNCTION("""COMPUTED_VALUE"""),45682)</f>
        <v>45682</v>
      </c>
      <c r="E397" s="1" t="str">
        <f ca="1">IFERROR(__xludf.DUMMYFUNCTION("""COMPUTED_VALUE"""),"Niger")</f>
        <v>Niger</v>
      </c>
      <c r="F397" s="1" t="str">
        <f ca="1">IFERROR(__xludf.DUMMYFUNCTION("""COMPUTED_VALUE"""),"103.24 Niger")</f>
        <v>103.24 Niger</v>
      </c>
      <c r="G397" s="1" t="str">
        <f ca="1">IFERROR(__xludf.DUMMYFUNCTION("""COMPUTED_VALUE"""),"Freedom of Expression, Human Rights Defenders")</f>
        <v>Freedom of Expression, Human Rights Defenders</v>
      </c>
      <c r="H397" s="1" t="str">
        <f ca="1">IFERROR(__xludf.DUMMYFUNCTION("""COMPUTED_VALUE"""),"2024")</f>
        <v>2024</v>
      </c>
      <c r="I397" s="1" t="str">
        <f ca="1">IFERROR(__xludf.DUMMYFUNCTION("""COMPUTED_VALUE"""),"Email")</f>
        <v>Email</v>
      </c>
    </row>
    <row r="398" spans="1:9" ht="13" x14ac:dyDescent="0.15">
      <c r="A398" s="9">
        <f ca="1">IFERROR(__xludf.DUMMYFUNCTION("""COMPUTED_VALUE"""),30832722)</f>
        <v>30832722</v>
      </c>
      <c r="B398" s="1" t="str">
        <f ca="1">IFERROR(__xludf.DUMMYFUNCTION("""COMPUTED_VALUE"""),"peggy.lamb@sbcglobal.net")</f>
        <v>peggy.lamb@sbcglobal.net</v>
      </c>
      <c r="C398" s="9" t="str">
        <f ca="1">IFERROR(__xludf.DUMMYFUNCTION("""COMPUTED_VALUE"""),"EVERGREEN - UAN Gated Content - Embedded Petition")</f>
        <v>EVERGREEN - UAN Gated Content - Embedded Petition</v>
      </c>
      <c r="D398" s="10">
        <f ca="1">IFERROR(__xludf.DUMMYFUNCTION("""COMPUTED_VALUE"""),45670)</f>
        <v>45670</v>
      </c>
      <c r="E398" s="1" t="str">
        <f ca="1">IFERROR(__xludf.DUMMYFUNCTION("""COMPUTED_VALUE"""),"Uganda")</f>
        <v>Uganda</v>
      </c>
      <c r="F398" s="1" t="str">
        <f ca="1">IFERROR(__xludf.DUMMYFUNCTION("""COMPUTED_VALUE"""),"100.24 Uganda")</f>
        <v>100.24 Uganda</v>
      </c>
      <c r="G398" s="1" t="str">
        <f ca="1">IFERROR(__xludf.DUMMYFUNCTION("""COMPUTED_VALUE"""),"Freedom of Expression")</f>
        <v>Freedom of Expression</v>
      </c>
      <c r="H398" s="1" t="str">
        <f ca="1">IFERROR(__xludf.DUMMYFUNCTION("""COMPUTED_VALUE"""),"2024")</f>
        <v>2024</v>
      </c>
      <c r="I398" s="1" t="str">
        <f ca="1">IFERROR(__xludf.DUMMYFUNCTION("""COMPUTED_VALUE"""),"Email")</f>
        <v>Email</v>
      </c>
    </row>
    <row r="399" spans="1:9" ht="13" x14ac:dyDescent="0.15">
      <c r="A399" s="9">
        <f ca="1">IFERROR(__xludf.DUMMYFUNCTION("""COMPUTED_VALUE"""),30840186)</f>
        <v>30840186</v>
      </c>
      <c r="B399" s="1" t="str">
        <f ca="1">IFERROR(__xludf.DUMMYFUNCTION("""COMPUTED_VALUE"""),"rdwright67@gmail.com")</f>
        <v>rdwright67@gmail.com</v>
      </c>
      <c r="C399" s="9" t="str">
        <f ca="1">IFERROR(__xludf.DUMMYFUNCTION("""COMPUTED_VALUE"""),"EVERGREEN - UAN Gated Content - Embedded Petition")</f>
        <v>EVERGREEN - UAN Gated Content - Embedded Petition</v>
      </c>
      <c r="D399" s="10">
        <f ca="1">IFERROR(__xludf.DUMMYFUNCTION("""COMPUTED_VALUE"""),45694)</f>
        <v>45694</v>
      </c>
      <c r="E399" s="1" t="str">
        <f ca="1">IFERROR(__xludf.DUMMYFUNCTION("""COMPUTED_VALUE"""),"USA")</f>
        <v>USA</v>
      </c>
      <c r="F399" s="1" t="str">
        <f ca="1">IFERROR(__xludf.DUMMYFUNCTION("""COMPUTED_VALUE"""),"105.24 USA")</f>
        <v>105.24 USA</v>
      </c>
      <c r="G399" s="1" t="str">
        <f ca="1">IFERROR(__xludf.DUMMYFUNCTION("""COMPUTED_VALUE"""),"Death Penalty")</f>
        <v>Death Penalty</v>
      </c>
      <c r="H399" s="1" t="str">
        <f ca="1">IFERROR(__xludf.DUMMYFUNCTION("""COMPUTED_VALUE"""),"2024")</f>
        <v>2024</v>
      </c>
      <c r="I399" s="1" t="str">
        <f ca="1">IFERROR(__xludf.DUMMYFUNCTION("""COMPUTED_VALUE"""),"Email")</f>
        <v>Email</v>
      </c>
    </row>
    <row r="400" spans="1:9" ht="13" x14ac:dyDescent="0.15">
      <c r="A400" s="9">
        <f ca="1">IFERROR(__xludf.DUMMYFUNCTION("""COMPUTED_VALUE"""),30850910)</f>
        <v>30850910</v>
      </c>
      <c r="B400" s="1" t="str">
        <f ca="1">IFERROR(__xludf.DUMMYFUNCTION("""COMPUTED_VALUE"""),"cmille640@gmail.com")</f>
        <v>cmille640@gmail.com</v>
      </c>
      <c r="C400" s="9" t="str">
        <f ca="1">IFERROR(__xludf.DUMMYFUNCTION("""COMPUTED_VALUE"""),"EVERGREEN - UAN Gated Content - Embedded Petition")</f>
        <v>EVERGREEN - UAN Gated Content - Embedded Petition</v>
      </c>
      <c r="D400" s="10">
        <f ca="1">IFERROR(__xludf.DUMMYFUNCTION("""COMPUTED_VALUE"""),45617)</f>
        <v>45617</v>
      </c>
      <c r="E400" s="1" t="str">
        <f ca="1">IFERROR(__xludf.DUMMYFUNCTION("""COMPUTED_VALUE"""),"USA")</f>
        <v>USA</v>
      </c>
      <c r="F400" s="1" t="str">
        <f ca="1">IFERROR(__xludf.DUMMYFUNCTION("""COMPUTED_VALUE"""),"105.24 USA")</f>
        <v>105.24 USA</v>
      </c>
      <c r="G400" s="1" t="str">
        <f ca="1">IFERROR(__xludf.DUMMYFUNCTION("""COMPUTED_VALUE"""),"Death Penalty")</f>
        <v>Death Penalty</v>
      </c>
      <c r="H400" s="1" t="str">
        <f ca="1">IFERROR(__xludf.DUMMYFUNCTION("""COMPUTED_VALUE"""),"2024")</f>
        <v>2024</v>
      </c>
      <c r="I400" s="1" t="str">
        <f ca="1">IFERROR(__xludf.DUMMYFUNCTION("""COMPUTED_VALUE"""),"Email")</f>
        <v>Email</v>
      </c>
    </row>
    <row r="401" spans="1:9" ht="13" x14ac:dyDescent="0.15">
      <c r="A401" s="9">
        <f ca="1">IFERROR(__xludf.DUMMYFUNCTION("""COMPUTED_VALUE"""),30850910)</f>
        <v>30850910</v>
      </c>
      <c r="B401" s="1" t="str">
        <f ca="1">IFERROR(__xludf.DUMMYFUNCTION("""COMPUTED_VALUE"""),"cmille640@gmail.com")</f>
        <v>cmille640@gmail.com</v>
      </c>
      <c r="C401" s="9" t="str">
        <f ca="1">IFERROR(__xludf.DUMMYFUNCTION("""COMPUTED_VALUE"""),"EVERGREEN - UAN Gated Content - Embedded Petition")</f>
        <v>EVERGREEN - UAN Gated Content - Embedded Petition</v>
      </c>
      <c r="D401" s="10">
        <f ca="1">IFERROR(__xludf.DUMMYFUNCTION("""COMPUTED_VALUE"""),45682)</f>
        <v>45682</v>
      </c>
      <c r="E401" s="1" t="str">
        <f ca="1">IFERROR(__xludf.DUMMYFUNCTION("""COMPUTED_VALUE"""),"USA")</f>
        <v>USA</v>
      </c>
      <c r="F401" s="1" t="str">
        <f ca="1">IFERROR(__xludf.DUMMYFUNCTION("""COMPUTED_VALUE"""),"105.24 USA")</f>
        <v>105.24 USA</v>
      </c>
      <c r="G401" s="1" t="str">
        <f ca="1">IFERROR(__xludf.DUMMYFUNCTION("""COMPUTED_VALUE"""),"Death Penalty")</f>
        <v>Death Penalty</v>
      </c>
      <c r="H401" s="1" t="str">
        <f ca="1">IFERROR(__xludf.DUMMYFUNCTION("""COMPUTED_VALUE"""),"2024")</f>
        <v>2024</v>
      </c>
      <c r="I401" s="1" t="str">
        <f ca="1">IFERROR(__xludf.DUMMYFUNCTION("""COMPUTED_VALUE"""),"Email")</f>
        <v>Email</v>
      </c>
    </row>
    <row r="402" spans="1:9" ht="13" x14ac:dyDescent="0.15">
      <c r="A402" s="9">
        <f ca="1">IFERROR(__xludf.DUMMYFUNCTION("""COMPUTED_VALUE"""),30850910)</f>
        <v>30850910</v>
      </c>
      <c r="B402" s="1" t="str">
        <f ca="1">IFERROR(__xludf.DUMMYFUNCTION("""COMPUTED_VALUE"""),"cmille640@gmail.com")</f>
        <v>cmille640@gmail.com</v>
      </c>
      <c r="C402" s="9" t="str">
        <f ca="1">IFERROR(__xludf.DUMMYFUNCTION("""COMPUTED_VALUE"""),"EVERGREEN - UAN Gated Content - Embedded Petition")</f>
        <v>EVERGREEN - UAN Gated Content - Embedded Petition</v>
      </c>
      <c r="D402" s="10">
        <f ca="1">IFERROR(__xludf.DUMMYFUNCTION("""COMPUTED_VALUE"""),45617)</f>
        <v>45617</v>
      </c>
      <c r="E402" s="1" t="str">
        <f ca="1">IFERROR(__xludf.DUMMYFUNCTION("""COMPUTED_VALUE"""),"USA")</f>
        <v>USA</v>
      </c>
      <c r="F402" s="1" t="str">
        <f ca="1">IFERROR(__xludf.DUMMYFUNCTION("""COMPUTED_VALUE"""),"4.25 USA")</f>
        <v>4.25 USA</v>
      </c>
      <c r="G402" s="1" t="str">
        <f ca="1">IFERROR(__xludf.DUMMYFUNCTION("""COMPUTED_VALUE"""),"Individuals At Risk, Refugee and Migrant Rights")</f>
        <v>Individuals At Risk, Refugee and Migrant Rights</v>
      </c>
      <c r="H402" s="1" t="str">
        <f ca="1">IFERROR(__xludf.DUMMYFUNCTION("""COMPUTED_VALUE"""),"2025")</f>
        <v>2025</v>
      </c>
      <c r="I402" s="1" t="str">
        <f ca="1">IFERROR(__xludf.DUMMYFUNCTION("""COMPUTED_VALUE"""),"Letter")</f>
        <v>Letter</v>
      </c>
    </row>
    <row r="403" spans="1:9" ht="13" x14ac:dyDescent="0.15">
      <c r="A403" s="9">
        <f ca="1">IFERROR(__xludf.DUMMYFUNCTION("""COMPUTED_VALUE"""),30895647)</f>
        <v>30895647</v>
      </c>
      <c r="B403" s="1" t="str">
        <f ca="1">IFERROR(__xludf.DUMMYFUNCTION("""COMPUTED_VALUE"""),"autumnrainbow@gmail.com")</f>
        <v>autumnrainbow@gmail.com</v>
      </c>
      <c r="C403" s="9" t="str">
        <f ca="1">IFERROR(__xludf.DUMMYFUNCTION("""COMPUTED_VALUE"""),"EVERGREEN - UAN Gated Content - Embedded Petition")</f>
        <v>EVERGREEN - UAN Gated Content - Embedded Petition</v>
      </c>
      <c r="D403" s="10">
        <f ca="1">IFERROR(__xludf.DUMMYFUNCTION("""COMPUTED_VALUE"""),45688)</f>
        <v>45688</v>
      </c>
      <c r="E403" s="1" t="str">
        <f ca="1">IFERROR(__xludf.DUMMYFUNCTION("""COMPUTED_VALUE"""),"Tunisia")</f>
        <v>Tunisia</v>
      </c>
      <c r="F403" s="1" t="str">
        <f ca="1">IFERROR(__xludf.DUMMYFUNCTION("""COMPUTED_VALUE"""),"Second 76.24 Tunisia")</f>
        <v>Second 76.24 Tunisia</v>
      </c>
      <c r="G403" s="1" t="str">
        <f ca="1">IFERROR(__xludf.DUMMYFUNCTION("""COMPUTED_VALUE"""),"Freedom of Expression, Human Rights Defenders")</f>
        <v>Freedom of Expression, Human Rights Defenders</v>
      </c>
      <c r="H403" s="1" t="str">
        <f ca="1">IFERROR(__xludf.DUMMYFUNCTION("""COMPUTED_VALUE"""),"2025")</f>
        <v>2025</v>
      </c>
      <c r="I403" s="1" t="str">
        <f ca="1">IFERROR(__xludf.DUMMYFUNCTION("""COMPUTED_VALUE"""),"Email")</f>
        <v>Email</v>
      </c>
    </row>
    <row r="404" spans="1:9" ht="13" x14ac:dyDescent="0.15">
      <c r="A404" s="9">
        <f ca="1">IFERROR(__xludf.DUMMYFUNCTION("""COMPUTED_VALUE"""),30895974)</f>
        <v>30895974</v>
      </c>
      <c r="B404" s="1" t="str">
        <f ca="1">IFERROR(__xludf.DUMMYFUNCTION("""COMPUTED_VALUE"""),"chrisd285@gmail.com")</f>
        <v>chrisd285@gmail.com</v>
      </c>
      <c r="C404" s="9" t="str">
        <f ca="1">IFERROR(__xludf.DUMMYFUNCTION("""COMPUTED_VALUE"""),"EVERGREEN - UAN Gated Content - Embedded Petition")</f>
        <v>EVERGREEN - UAN Gated Content - Embedded Petition</v>
      </c>
      <c r="D404" s="10">
        <f ca="1">IFERROR(__xludf.DUMMYFUNCTION("""COMPUTED_VALUE"""),45616)</f>
        <v>45616</v>
      </c>
      <c r="E404" s="1" t="str">
        <f ca="1">IFERROR(__xludf.DUMMYFUNCTION("""COMPUTED_VALUE"""),"Tunisia")</f>
        <v>Tunisia</v>
      </c>
      <c r="F404" s="1" t="str">
        <f ca="1">IFERROR(__xludf.DUMMYFUNCTION("""COMPUTED_VALUE"""),"Second 76.24 Tunisia")</f>
        <v>Second 76.24 Tunisia</v>
      </c>
      <c r="G404" s="1" t="str">
        <f ca="1">IFERROR(__xludf.DUMMYFUNCTION("""COMPUTED_VALUE"""),"Freedom of Expression, Human Rights Defenders")</f>
        <v>Freedom of Expression, Human Rights Defenders</v>
      </c>
      <c r="H404" s="1" t="str">
        <f ca="1">IFERROR(__xludf.DUMMYFUNCTION("""COMPUTED_VALUE"""),"2025")</f>
        <v>2025</v>
      </c>
      <c r="I404" s="1" t="str">
        <f ca="1">IFERROR(__xludf.DUMMYFUNCTION("""COMPUTED_VALUE"""),"Email")</f>
        <v>Email</v>
      </c>
    </row>
    <row r="405" spans="1:9" ht="13" x14ac:dyDescent="0.15">
      <c r="A405" s="9">
        <f ca="1">IFERROR(__xludf.DUMMYFUNCTION("""COMPUTED_VALUE"""),30895974)</f>
        <v>30895974</v>
      </c>
      <c r="B405" s="1" t="str">
        <f ca="1">IFERROR(__xludf.DUMMYFUNCTION("""COMPUTED_VALUE"""),"chrisd285@gmail.com")</f>
        <v>chrisd285@gmail.com</v>
      </c>
      <c r="C405" s="9" t="str">
        <f ca="1">IFERROR(__xludf.DUMMYFUNCTION("""COMPUTED_VALUE"""),"EVERGREEN - UAN Gated Content - Embedded Petition")</f>
        <v>EVERGREEN - UAN Gated Content - Embedded Petition</v>
      </c>
      <c r="D405" s="10">
        <f ca="1">IFERROR(__xludf.DUMMYFUNCTION("""COMPUTED_VALUE"""),45660)</f>
        <v>45660</v>
      </c>
      <c r="E405" s="1" t="str">
        <f ca="1">IFERROR(__xludf.DUMMYFUNCTION("""COMPUTED_VALUE"""),"Tunisia")</f>
        <v>Tunisia</v>
      </c>
      <c r="F405" s="1" t="str">
        <f ca="1">IFERROR(__xludf.DUMMYFUNCTION("""COMPUTED_VALUE"""),"Second 76.24 Tunisia")</f>
        <v>Second 76.24 Tunisia</v>
      </c>
      <c r="G405" s="1" t="str">
        <f ca="1">IFERROR(__xludf.DUMMYFUNCTION("""COMPUTED_VALUE"""),"Freedom of Expression, Human Rights Defenders")</f>
        <v>Freedom of Expression, Human Rights Defenders</v>
      </c>
      <c r="H405" s="1" t="str">
        <f ca="1">IFERROR(__xludf.DUMMYFUNCTION("""COMPUTED_VALUE"""),"2025")</f>
        <v>2025</v>
      </c>
      <c r="I405" s="1" t="str">
        <f ca="1">IFERROR(__xludf.DUMMYFUNCTION("""COMPUTED_VALUE"""),"Email")</f>
        <v>Email</v>
      </c>
    </row>
    <row r="406" spans="1:9" ht="13" x14ac:dyDescent="0.15">
      <c r="A406" s="9">
        <f ca="1">IFERROR(__xludf.DUMMYFUNCTION("""COMPUTED_VALUE"""),30897470)</f>
        <v>30897470</v>
      </c>
      <c r="B406" s="1" t="str">
        <f ca="1">IFERROR(__xludf.DUMMYFUNCTION("""COMPUTED_VALUE"""),"paul@themailpath.com")</f>
        <v>paul@themailpath.com</v>
      </c>
      <c r="C406" s="9" t="str">
        <f ca="1">IFERROR(__xludf.DUMMYFUNCTION("""COMPUTED_VALUE"""),"EVERGREEN - UAN Gated Content - Embedded Petition")</f>
        <v>EVERGREEN - UAN Gated Content - Embedded Petition</v>
      </c>
      <c r="D406" s="10">
        <f ca="1">IFERROR(__xludf.DUMMYFUNCTION("""COMPUTED_VALUE"""),45674)</f>
        <v>45674</v>
      </c>
      <c r="E406" s="1" t="str">
        <f ca="1">IFERROR(__xludf.DUMMYFUNCTION("""COMPUTED_VALUE"""),"Niger")</f>
        <v>Niger</v>
      </c>
      <c r="F406" s="1" t="str">
        <f ca="1">IFERROR(__xludf.DUMMYFUNCTION("""COMPUTED_VALUE"""),"103.24 Niger")</f>
        <v>103.24 Niger</v>
      </c>
      <c r="G406" s="1" t="str">
        <f ca="1">IFERROR(__xludf.DUMMYFUNCTION("""COMPUTED_VALUE"""),"Freedom of Expression, Human Rights Defenders")</f>
        <v>Freedom of Expression, Human Rights Defenders</v>
      </c>
      <c r="H406" s="1" t="str">
        <f ca="1">IFERROR(__xludf.DUMMYFUNCTION("""COMPUTED_VALUE"""),"2024")</f>
        <v>2024</v>
      </c>
      <c r="I406" s="1" t="str">
        <f ca="1">IFERROR(__xludf.DUMMYFUNCTION("""COMPUTED_VALUE"""),"Email")</f>
        <v>Email</v>
      </c>
    </row>
    <row r="407" spans="1:9" ht="13" x14ac:dyDescent="0.15">
      <c r="A407" s="9">
        <f ca="1">IFERROR(__xludf.DUMMYFUNCTION("""COMPUTED_VALUE"""),30897470)</f>
        <v>30897470</v>
      </c>
      <c r="B407" s="1" t="str">
        <f ca="1">IFERROR(__xludf.DUMMYFUNCTION("""COMPUTED_VALUE"""),"paul@themailpath.com")</f>
        <v>paul@themailpath.com</v>
      </c>
      <c r="C407" s="9" t="str">
        <f ca="1">IFERROR(__xludf.DUMMYFUNCTION("""COMPUTED_VALUE"""),"EVERGREEN - UAN Gated Content - Embedded Petition")</f>
        <v>EVERGREEN - UAN Gated Content - Embedded Petition</v>
      </c>
      <c r="D407" s="10">
        <f ca="1">IFERROR(__xludf.DUMMYFUNCTION("""COMPUTED_VALUE"""),45694)</f>
        <v>45694</v>
      </c>
      <c r="E407" s="1" t="str">
        <f ca="1">IFERROR(__xludf.DUMMYFUNCTION("""COMPUTED_VALUE"""),"USA")</f>
        <v>USA</v>
      </c>
      <c r="F407" s="1" t="str">
        <f ca="1">IFERROR(__xludf.DUMMYFUNCTION("""COMPUTED_VALUE"""),"105.24 USA")</f>
        <v>105.24 USA</v>
      </c>
      <c r="G407" s="1" t="str">
        <f ca="1">IFERROR(__xludf.DUMMYFUNCTION("""COMPUTED_VALUE"""),"Death Penalty")</f>
        <v>Death Penalty</v>
      </c>
      <c r="H407" s="1" t="str">
        <f ca="1">IFERROR(__xludf.DUMMYFUNCTION("""COMPUTED_VALUE"""),"2024")</f>
        <v>2024</v>
      </c>
      <c r="I407" s="1" t="str">
        <f ca="1">IFERROR(__xludf.DUMMYFUNCTION("""COMPUTED_VALUE"""),"Email")</f>
        <v>Email</v>
      </c>
    </row>
    <row r="408" spans="1:9" ht="13" x14ac:dyDescent="0.15">
      <c r="A408" s="9">
        <f ca="1">IFERROR(__xludf.DUMMYFUNCTION("""COMPUTED_VALUE"""),30897470)</f>
        <v>30897470</v>
      </c>
      <c r="B408" s="1" t="str">
        <f ca="1">IFERROR(__xludf.DUMMYFUNCTION("""COMPUTED_VALUE"""),"paul@themailpath.com")</f>
        <v>paul@themailpath.com</v>
      </c>
      <c r="C408" s="9" t="str">
        <f ca="1">IFERROR(__xludf.DUMMYFUNCTION("""COMPUTED_VALUE"""),"EVERGREEN - UAN Gated Content - Embedded Petition")</f>
        <v>EVERGREEN - UAN Gated Content - Embedded Petition</v>
      </c>
      <c r="D408" s="10">
        <f ca="1">IFERROR(__xludf.DUMMYFUNCTION("""COMPUTED_VALUE"""),45637)</f>
        <v>45637</v>
      </c>
      <c r="E408" s="1" t="str">
        <f ca="1">IFERROR(__xludf.DUMMYFUNCTION("""COMPUTED_VALUE"""),"Tunisia")</f>
        <v>Tunisia</v>
      </c>
      <c r="F408" s="1" t="str">
        <f ca="1">IFERROR(__xludf.DUMMYFUNCTION("""COMPUTED_VALUE"""),"Second 76.24 Tunisia")</f>
        <v>Second 76.24 Tunisia</v>
      </c>
      <c r="G408" s="1" t="str">
        <f ca="1">IFERROR(__xludf.DUMMYFUNCTION("""COMPUTED_VALUE"""),"Freedom of Expression, Human Rights Defenders")</f>
        <v>Freedom of Expression, Human Rights Defenders</v>
      </c>
      <c r="H408" s="1" t="str">
        <f ca="1">IFERROR(__xludf.DUMMYFUNCTION("""COMPUTED_VALUE"""),"2025")</f>
        <v>2025</v>
      </c>
      <c r="I408" s="1" t="str">
        <f ca="1">IFERROR(__xludf.DUMMYFUNCTION("""COMPUTED_VALUE"""),"Email")</f>
        <v>Email</v>
      </c>
    </row>
    <row r="409" spans="1:9" ht="13" x14ac:dyDescent="0.15">
      <c r="A409" s="9">
        <f ca="1">IFERROR(__xludf.DUMMYFUNCTION("""COMPUTED_VALUE"""),30897470)</f>
        <v>30897470</v>
      </c>
      <c r="B409" s="1" t="str">
        <f ca="1">IFERROR(__xludf.DUMMYFUNCTION("""COMPUTED_VALUE"""),"paul@themailpath.com")</f>
        <v>paul@themailpath.com</v>
      </c>
      <c r="C409" s="9" t="str">
        <f ca="1">IFERROR(__xludf.DUMMYFUNCTION("""COMPUTED_VALUE"""),"EVERGREEN - UAN Gated Content - Embedded Petition")</f>
        <v>EVERGREEN - UAN Gated Content - Embedded Petition</v>
      </c>
      <c r="D409" s="10">
        <f ca="1">IFERROR(__xludf.DUMMYFUNCTION("""COMPUTED_VALUE"""),45674)</f>
        <v>45674</v>
      </c>
      <c r="E409" s="1" t="str">
        <f ca="1">IFERROR(__xludf.DUMMYFUNCTION("""COMPUTED_VALUE"""),"Saudi Arabia")</f>
        <v>Saudi Arabia</v>
      </c>
      <c r="F409" s="1" t="str">
        <f ca="1">IFERROR(__xludf.DUMMYFUNCTION("""COMPUTED_VALUE"""),"Fifth 257.12")</f>
        <v>Fifth 257.12</v>
      </c>
      <c r="G409" s="1" t="str">
        <f ca="1">IFERROR(__xludf.DUMMYFUNCTION("""COMPUTED_VALUE"""),"Freedom of Expression, Human Rights Defenders")</f>
        <v>Freedom of Expression, Human Rights Defenders</v>
      </c>
      <c r="H409" s="1" t="str">
        <f ca="1">IFERROR(__xludf.DUMMYFUNCTION("""COMPUTED_VALUE"""),"2025")</f>
        <v>2025</v>
      </c>
      <c r="I409" s="1" t="str">
        <f ca="1">IFERROR(__xludf.DUMMYFUNCTION("""COMPUTED_VALUE"""),"Email")</f>
        <v>Email</v>
      </c>
    </row>
    <row r="410" spans="1:9" ht="13" x14ac:dyDescent="0.15">
      <c r="A410" s="9">
        <f ca="1">IFERROR(__xludf.DUMMYFUNCTION("""COMPUTED_VALUE"""),30914661)</f>
        <v>30914661</v>
      </c>
      <c r="B410" s="1" t="str">
        <f ca="1">IFERROR(__xludf.DUMMYFUNCTION("""COMPUTED_VALUE"""),"lmehler444@gmail.com")</f>
        <v>lmehler444@gmail.com</v>
      </c>
      <c r="C410" s="9" t="str">
        <f ca="1">IFERROR(__xludf.DUMMYFUNCTION("""COMPUTED_VALUE"""),"EVERGREEN - UAN Gated Content - Embedded Petition")</f>
        <v>EVERGREEN - UAN Gated Content - Embedded Petition</v>
      </c>
      <c r="D410" s="10">
        <f ca="1">IFERROR(__xludf.DUMMYFUNCTION("""COMPUTED_VALUE"""),45696)</f>
        <v>45696</v>
      </c>
      <c r="E410" s="1" t="str">
        <f ca="1">IFERROR(__xludf.DUMMYFUNCTION("""COMPUTED_VALUE"""),"USA")</f>
        <v>USA</v>
      </c>
      <c r="F410" s="1" t="str">
        <f ca="1">IFERROR(__xludf.DUMMYFUNCTION("""COMPUTED_VALUE"""),"105.24 USA")</f>
        <v>105.24 USA</v>
      </c>
      <c r="G410" s="1" t="str">
        <f ca="1">IFERROR(__xludf.DUMMYFUNCTION("""COMPUTED_VALUE"""),"Death Penalty")</f>
        <v>Death Penalty</v>
      </c>
      <c r="H410" s="1" t="str">
        <f ca="1">IFERROR(__xludf.DUMMYFUNCTION("""COMPUTED_VALUE"""),"2024")</f>
        <v>2024</v>
      </c>
      <c r="I410" s="1" t="str">
        <f ca="1">IFERROR(__xludf.DUMMYFUNCTION("""COMPUTED_VALUE"""),"Email")</f>
        <v>Email</v>
      </c>
    </row>
    <row r="411" spans="1:9" ht="13" x14ac:dyDescent="0.15">
      <c r="A411" s="9">
        <f ca="1">IFERROR(__xludf.DUMMYFUNCTION("""COMPUTED_VALUE"""),30934675)</f>
        <v>30934675</v>
      </c>
      <c r="B411" s="1" t="str">
        <f ca="1">IFERROR(__xludf.DUMMYFUNCTION("""COMPUTED_VALUE"""),"pplellis@yahoo.com")</f>
        <v>pplellis@yahoo.com</v>
      </c>
      <c r="C411" s="9" t="str">
        <f ca="1">IFERROR(__xludf.DUMMYFUNCTION("""COMPUTED_VALUE"""),"EVERGREEN - UAN Gated Content - Embedded Petition")</f>
        <v>EVERGREEN - UAN Gated Content - Embedded Petition</v>
      </c>
      <c r="D411" s="10">
        <f ca="1">IFERROR(__xludf.DUMMYFUNCTION("""COMPUTED_VALUE"""),45694)</f>
        <v>45694</v>
      </c>
      <c r="E411" s="1" t="str">
        <f ca="1">IFERROR(__xludf.DUMMYFUNCTION("""COMPUTED_VALUE"""),"USA")</f>
        <v>USA</v>
      </c>
      <c r="F411" s="1" t="str">
        <f ca="1">IFERROR(__xludf.DUMMYFUNCTION("""COMPUTED_VALUE"""),"4.25 USA")</f>
        <v>4.25 USA</v>
      </c>
      <c r="G411" s="1" t="str">
        <f ca="1">IFERROR(__xludf.DUMMYFUNCTION("""COMPUTED_VALUE"""),"Individuals At Risk, Refugee and Migrant Rights")</f>
        <v>Individuals At Risk, Refugee and Migrant Rights</v>
      </c>
      <c r="H411" s="1" t="str">
        <f ca="1">IFERROR(__xludf.DUMMYFUNCTION("""COMPUTED_VALUE"""),"2025")</f>
        <v>2025</v>
      </c>
      <c r="I411" s="1" t="str">
        <f ca="1">IFERROR(__xludf.DUMMYFUNCTION("""COMPUTED_VALUE"""),"Letter")</f>
        <v>Letter</v>
      </c>
    </row>
    <row r="412" spans="1:9" ht="13" x14ac:dyDescent="0.15">
      <c r="A412" s="9">
        <f ca="1">IFERROR(__xludf.DUMMYFUNCTION("""COMPUTED_VALUE"""),30934675)</f>
        <v>30934675</v>
      </c>
      <c r="B412" s="1" t="str">
        <f ca="1">IFERROR(__xludf.DUMMYFUNCTION("""COMPUTED_VALUE"""),"pplellis@yahoo.com")</f>
        <v>pplellis@yahoo.com</v>
      </c>
      <c r="C412" s="9" t="str">
        <f ca="1">IFERROR(__xludf.DUMMYFUNCTION("""COMPUTED_VALUE"""),"EVERGREEN - UAN Gated Content - Embedded Petition")</f>
        <v>EVERGREEN - UAN Gated Content - Embedded Petition</v>
      </c>
      <c r="D412" s="10">
        <f ca="1">IFERROR(__xludf.DUMMYFUNCTION("""COMPUTED_VALUE"""),45677)</f>
        <v>45677</v>
      </c>
      <c r="E412" s="1" t="str">
        <f ca="1">IFERROR(__xludf.DUMMYFUNCTION("""COMPUTED_VALUE"""),"USA")</f>
        <v>USA</v>
      </c>
      <c r="F412" s="1" t="str">
        <f ca="1">IFERROR(__xludf.DUMMYFUNCTION("""COMPUTED_VALUE"""),"105.24 USA")</f>
        <v>105.24 USA</v>
      </c>
      <c r="G412" s="1" t="str">
        <f ca="1">IFERROR(__xludf.DUMMYFUNCTION("""COMPUTED_VALUE"""),"Death Penalty")</f>
        <v>Death Penalty</v>
      </c>
      <c r="H412" s="1" t="str">
        <f ca="1">IFERROR(__xludf.DUMMYFUNCTION("""COMPUTED_VALUE"""),"2024")</f>
        <v>2024</v>
      </c>
      <c r="I412" s="1" t="str">
        <f ca="1">IFERROR(__xludf.DUMMYFUNCTION("""COMPUTED_VALUE"""),"Email")</f>
        <v>Email</v>
      </c>
    </row>
    <row r="413" spans="1:9" ht="13" x14ac:dyDescent="0.15">
      <c r="A413" s="9">
        <f ca="1">IFERROR(__xludf.DUMMYFUNCTION("""COMPUTED_VALUE"""),30936439)</f>
        <v>30936439</v>
      </c>
      <c r="B413" s="1" t="str">
        <f ca="1">IFERROR(__xludf.DUMMYFUNCTION("""COMPUTED_VALUE"""),"prb@umn.edu")</f>
        <v>prb@umn.edu</v>
      </c>
      <c r="C413" s="9" t="str">
        <f ca="1">IFERROR(__xludf.DUMMYFUNCTION("""COMPUTED_VALUE"""),"EVERGREEN - UAN Gated Content - Embedded Petition")</f>
        <v>EVERGREEN - UAN Gated Content - Embedded Petition</v>
      </c>
      <c r="D413" s="10">
        <f ca="1">IFERROR(__xludf.DUMMYFUNCTION("""COMPUTED_VALUE"""),45677)</f>
        <v>45677</v>
      </c>
      <c r="E413" s="1" t="str">
        <f ca="1">IFERROR(__xludf.DUMMYFUNCTION("""COMPUTED_VALUE"""),"Uganda")</f>
        <v>Uganda</v>
      </c>
      <c r="F413" s="1" t="str">
        <f ca="1">IFERROR(__xludf.DUMMYFUNCTION("""COMPUTED_VALUE"""),"100.24 Uganda")</f>
        <v>100.24 Uganda</v>
      </c>
      <c r="G413" s="1" t="str">
        <f ca="1">IFERROR(__xludf.DUMMYFUNCTION("""COMPUTED_VALUE"""),"Freedom of Expression")</f>
        <v>Freedom of Expression</v>
      </c>
      <c r="H413" s="1" t="str">
        <f ca="1">IFERROR(__xludf.DUMMYFUNCTION("""COMPUTED_VALUE"""),"2024")</f>
        <v>2024</v>
      </c>
      <c r="I413" s="1" t="str">
        <f ca="1">IFERROR(__xludf.DUMMYFUNCTION("""COMPUTED_VALUE"""),"Email")</f>
        <v>Email</v>
      </c>
    </row>
    <row r="414" spans="1:9" ht="13" x14ac:dyDescent="0.15">
      <c r="A414" s="9">
        <f ca="1">IFERROR(__xludf.DUMMYFUNCTION("""COMPUTED_VALUE"""),30962455)</f>
        <v>30962455</v>
      </c>
      <c r="B414" s="1" t="str">
        <f ca="1">IFERROR(__xludf.DUMMYFUNCTION("""COMPUTED_VALUE"""),"mikerain@earthlink.net")</f>
        <v>mikerain@earthlink.net</v>
      </c>
      <c r="C414" s="9" t="str">
        <f ca="1">IFERROR(__xludf.DUMMYFUNCTION("""COMPUTED_VALUE"""),"EVERGREEN - UAN Gated Content - Embedded Petition")</f>
        <v>EVERGREEN - UAN Gated Content - Embedded Petition</v>
      </c>
      <c r="D414" s="10">
        <f ca="1">IFERROR(__xludf.DUMMYFUNCTION("""COMPUTED_VALUE"""),45694)</f>
        <v>45694</v>
      </c>
      <c r="E414" s="1" t="str">
        <f ca="1">IFERROR(__xludf.DUMMYFUNCTION("""COMPUTED_VALUE"""),"Venezuela")</f>
        <v>Venezuela</v>
      </c>
      <c r="F414" s="1" t="str">
        <f ca="1">IFERROR(__xludf.DUMMYFUNCTION("""COMPUTED_VALUE"""),"97.24 Venezuela")</f>
        <v>97.24 Venezuela</v>
      </c>
      <c r="G414" s="1" t="str">
        <f ca="1">IFERROR(__xludf.DUMMYFUNCTION("""COMPUTED_VALUE"""),"Freedom of Expression")</f>
        <v>Freedom of Expression</v>
      </c>
      <c r="H414" s="1" t="str">
        <f ca="1">IFERROR(__xludf.DUMMYFUNCTION("""COMPUTED_VALUE"""),"2024")</f>
        <v>2024</v>
      </c>
      <c r="I414" s="1" t="str">
        <f ca="1">IFERROR(__xludf.DUMMYFUNCTION("""COMPUTED_VALUE"""),"Letter")</f>
        <v>Letter</v>
      </c>
    </row>
    <row r="415" spans="1:9" ht="13" x14ac:dyDescent="0.15">
      <c r="A415" s="9">
        <f ca="1">IFERROR(__xludf.DUMMYFUNCTION("""COMPUTED_VALUE"""),30964058)</f>
        <v>30964058</v>
      </c>
      <c r="B415" s="1" t="str">
        <f ca="1">IFERROR(__xludf.DUMMYFUNCTION("""COMPUTED_VALUE"""),"yvonne.kravitz@gmail.com")</f>
        <v>yvonne.kravitz@gmail.com</v>
      </c>
      <c r="C415" s="9" t="str">
        <f ca="1">IFERROR(__xludf.DUMMYFUNCTION("""COMPUTED_VALUE"""),"EVERGREEN - UAN Gated Content - Embedded Petition")</f>
        <v>EVERGREEN - UAN Gated Content - Embedded Petition</v>
      </c>
      <c r="D415" s="10">
        <f ca="1">IFERROR(__xludf.DUMMYFUNCTION("""COMPUTED_VALUE"""),45694)</f>
        <v>45694</v>
      </c>
      <c r="E415" s="1" t="str">
        <f ca="1">IFERROR(__xludf.DUMMYFUNCTION("""COMPUTED_VALUE"""),"USA")</f>
        <v>USA</v>
      </c>
      <c r="F415" s="1" t="str">
        <f ca="1">IFERROR(__xludf.DUMMYFUNCTION("""COMPUTED_VALUE"""),"105.24 USA")</f>
        <v>105.24 USA</v>
      </c>
      <c r="G415" s="1" t="str">
        <f ca="1">IFERROR(__xludf.DUMMYFUNCTION("""COMPUTED_VALUE"""),"Death Penalty")</f>
        <v>Death Penalty</v>
      </c>
      <c r="H415" s="1" t="str">
        <f ca="1">IFERROR(__xludf.DUMMYFUNCTION("""COMPUTED_VALUE"""),"2024")</f>
        <v>2024</v>
      </c>
      <c r="I415" s="1" t="str">
        <f ca="1">IFERROR(__xludf.DUMMYFUNCTION("""COMPUTED_VALUE"""),"Email")</f>
        <v>Email</v>
      </c>
    </row>
    <row r="416" spans="1:9" ht="13" x14ac:dyDescent="0.15">
      <c r="A416" s="9">
        <f ca="1">IFERROR(__xludf.DUMMYFUNCTION("""COMPUTED_VALUE"""),30969136)</f>
        <v>30969136</v>
      </c>
      <c r="B416" s="1" t="str">
        <f ca="1">IFERROR(__xludf.DUMMYFUNCTION("""COMPUTED_VALUE"""),"claudiawornum@comcast.net")</f>
        <v>claudiawornum@comcast.net</v>
      </c>
      <c r="C416" s="9" t="str">
        <f ca="1">IFERROR(__xludf.DUMMYFUNCTION("""COMPUTED_VALUE"""),"EVERGREEN - UAN Gated Content - Embedded Petition")</f>
        <v>EVERGREEN - UAN Gated Content - Embedded Petition</v>
      </c>
      <c r="D416" s="10">
        <f ca="1">IFERROR(__xludf.DUMMYFUNCTION("""COMPUTED_VALUE"""),45694)</f>
        <v>45694</v>
      </c>
      <c r="E416" s="1" t="str">
        <f ca="1">IFERROR(__xludf.DUMMYFUNCTION("""COMPUTED_VALUE"""),"China")</f>
        <v>China</v>
      </c>
      <c r="F416" s="1" t="str">
        <f ca="1">IFERROR(__xludf.DUMMYFUNCTION("""COMPUTED_VALUE"""),"106.24 China")</f>
        <v>106.24 China</v>
      </c>
      <c r="G416" s="1" t="str">
        <f ca="1">IFERROR(__xludf.DUMMYFUNCTION("""COMPUTED_VALUE"""),"Freedom of Expression, Individuals At Risk")</f>
        <v>Freedom of Expression, Individuals At Risk</v>
      </c>
      <c r="H416" s="1" t="str">
        <f ca="1">IFERROR(__xludf.DUMMYFUNCTION("""COMPUTED_VALUE"""),"2024")</f>
        <v>2024</v>
      </c>
      <c r="I416" s="1" t="str">
        <f ca="1">IFERROR(__xludf.DUMMYFUNCTION("""COMPUTED_VALUE"""),"Email")</f>
        <v>Email</v>
      </c>
    </row>
    <row r="417" spans="1:9" ht="13" x14ac:dyDescent="0.15">
      <c r="A417" s="9">
        <f ca="1">IFERROR(__xludf.DUMMYFUNCTION("""COMPUTED_VALUE"""),30971170)</f>
        <v>30971170</v>
      </c>
      <c r="B417" s="1" t="str">
        <f ca="1">IFERROR(__xludf.DUMMYFUNCTION("""COMPUTED_VALUE"""),"bentehoegsberg@gmail.com")</f>
        <v>bentehoegsberg@gmail.com</v>
      </c>
      <c r="C417" s="9" t="str">
        <f ca="1">IFERROR(__xludf.DUMMYFUNCTION("""COMPUTED_VALUE"""),"EVERGREEN - UAN Gated Content - Embedded Petition")</f>
        <v>EVERGREEN - UAN Gated Content - Embedded Petition</v>
      </c>
      <c r="D417" s="10">
        <f ca="1">IFERROR(__xludf.DUMMYFUNCTION("""COMPUTED_VALUE"""),45637)</f>
        <v>45637</v>
      </c>
      <c r="E417" s="1" t="str">
        <f ca="1">IFERROR(__xludf.DUMMYFUNCTION("""COMPUTED_VALUE"""),"Turkiye")</f>
        <v>Turkiye</v>
      </c>
      <c r="F417" s="1" t="str">
        <f ca="1">IFERROR(__xludf.DUMMYFUNCTION("""COMPUTED_VALUE"""),"109.24 Türkiye")</f>
        <v>109.24 Türkiye</v>
      </c>
      <c r="G417" s="1" t="str">
        <f ca="1">IFERROR(__xludf.DUMMYFUNCTION("""COMPUTED_VALUE"""),"Human Rights Defenders, Individuals At Risk")</f>
        <v>Human Rights Defenders, Individuals At Risk</v>
      </c>
      <c r="H417" s="1" t="str">
        <f ca="1">IFERROR(__xludf.DUMMYFUNCTION("""COMPUTED_VALUE"""),"2024")</f>
        <v>2024</v>
      </c>
      <c r="I417" s="1" t="str">
        <f ca="1">IFERROR(__xludf.DUMMYFUNCTION("""COMPUTED_VALUE"""),"Email")</f>
        <v>Email</v>
      </c>
    </row>
    <row r="418" spans="1:9" ht="13" x14ac:dyDescent="0.15">
      <c r="A418" s="9">
        <f ca="1">IFERROR(__xludf.DUMMYFUNCTION("""COMPUTED_VALUE"""),30971170)</f>
        <v>30971170</v>
      </c>
      <c r="B418" s="1" t="str">
        <f ca="1">IFERROR(__xludf.DUMMYFUNCTION("""COMPUTED_VALUE"""),"bentehoegsberg@gmail.com")</f>
        <v>bentehoegsberg@gmail.com</v>
      </c>
      <c r="C418" s="9" t="str">
        <f ca="1">IFERROR(__xludf.DUMMYFUNCTION("""COMPUTED_VALUE"""),"EVERGREEN - UAN Gated Content - Embedded Petition")</f>
        <v>EVERGREEN - UAN Gated Content - Embedded Petition</v>
      </c>
      <c r="D418" s="10">
        <f ca="1">IFERROR(__xludf.DUMMYFUNCTION("""COMPUTED_VALUE"""),45678)</f>
        <v>45678</v>
      </c>
      <c r="E418" s="1" t="str">
        <f ca="1">IFERROR(__xludf.DUMMYFUNCTION("""COMPUTED_VALUE"""),"Iran")</f>
        <v>Iran</v>
      </c>
      <c r="F418" s="1" t="str">
        <f ca="1">IFERROR(__xludf.DUMMYFUNCTION("""COMPUTED_VALUE"""),"10.25 Iran")</f>
        <v>10.25 Iran</v>
      </c>
      <c r="G418" s="1" t="str">
        <f ca="1">IFERROR(__xludf.DUMMYFUNCTION("""COMPUTED_VALUE"""),"Death Penalty, Individuals At Risk")</f>
        <v>Death Penalty, Individuals At Risk</v>
      </c>
      <c r="H418" s="1" t="str">
        <f ca="1">IFERROR(__xludf.DUMMYFUNCTION("""COMPUTED_VALUE"""),"2025")</f>
        <v>2025</v>
      </c>
      <c r="I418" s="1" t="str">
        <f ca="1">IFERROR(__xludf.DUMMYFUNCTION("""COMPUTED_VALUE"""),"Email")</f>
        <v>Email</v>
      </c>
    </row>
    <row r="419" spans="1:9" ht="13" x14ac:dyDescent="0.15">
      <c r="A419" s="9">
        <f ca="1">IFERROR(__xludf.DUMMYFUNCTION("""COMPUTED_VALUE"""),30971964)</f>
        <v>30971964</v>
      </c>
      <c r="B419" s="1" t="str">
        <f ca="1">IFERROR(__xludf.DUMMYFUNCTION("""COMPUTED_VALUE"""),"lapollast@egcsd.org")</f>
        <v>lapollast@egcsd.org</v>
      </c>
      <c r="C419" s="9" t="str">
        <f ca="1">IFERROR(__xludf.DUMMYFUNCTION("""COMPUTED_VALUE"""),"EVERGREEN - UAN Gated Content - Embedded Petition")</f>
        <v>EVERGREEN - UAN Gated Content - Embedded Petition</v>
      </c>
      <c r="D419" s="10">
        <f ca="1">IFERROR(__xludf.DUMMYFUNCTION("""COMPUTED_VALUE"""),45673)</f>
        <v>45673</v>
      </c>
      <c r="E419" s="1" t="str">
        <f ca="1">IFERROR(__xludf.DUMMYFUNCTION("""COMPUTED_VALUE"""),"Venezuela")</f>
        <v>Venezuela</v>
      </c>
      <c r="F419" s="1" t="str">
        <f ca="1">IFERROR(__xludf.DUMMYFUNCTION("""COMPUTED_VALUE"""),"1.25 Venezuela")</f>
        <v>1.25 Venezuela</v>
      </c>
      <c r="G419" s="1" t="str">
        <f ca="1">IFERROR(__xludf.DUMMYFUNCTION("""COMPUTED_VALUE"""),"Human Rights Defenders, Individuals At Risk")</f>
        <v>Human Rights Defenders, Individuals At Risk</v>
      </c>
      <c r="H419" s="1" t="str">
        <f ca="1">IFERROR(__xludf.DUMMYFUNCTION("""COMPUTED_VALUE"""),"2025")</f>
        <v>2025</v>
      </c>
      <c r="I419" s="1" t="str">
        <f ca="1">IFERROR(__xludf.DUMMYFUNCTION("""COMPUTED_VALUE"""),"Letter")</f>
        <v>Letter</v>
      </c>
    </row>
    <row r="420" spans="1:9" ht="13" x14ac:dyDescent="0.15">
      <c r="A420" s="9">
        <f ca="1">IFERROR(__xludf.DUMMYFUNCTION("""COMPUTED_VALUE"""),30985797)</f>
        <v>30985797</v>
      </c>
      <c r="B420" s="1" t="str">
        <f ca="1">IFERROR(__xludf.DUMMYFUNCTION("""COMPUTED_VALUE"""),"meb4116@gmail.com")</f>
        <v>meb4116@gmail.com</v>
      </c>
      <c r="C420" s="9" t="str">
        <f ca="1">IFERROR(__xludf.DUMMYFUNCTION("""COMPUTED_VALUE"""),"EVERGREEN - UAN Gated Content - Embedded Petition")</f>
        <v>EVERGREEN - UAN Gated Content - Embedded Petition</v>
      </c>
      <c r="D420" s="10">
        <f ca="1">IFERROR(__xludf.DUMMYFUNCTION("""COMPUTED_VALUE"""),45694)</f>
        <v>45694</v>
      </c>
      <c r="E420" s="1" t="str">
        <f ca="1">IFERROR(__xludf.DUMMYFUNCTION("""COMPUTED_VALUE"""),"Iran")</f>
        <v>Iran</v>
      </c>
      <c r="F420" s="1" t="str">
        <f ca="1">IFERROR(__xludf.DUMMYFUNCTION("""COMPUTED_VALUE"""),"Seventh 103.22 Iran")</f>
        <v>Seventh 103.22 Iran</v>
      </c>
      <c r="G420" s="1" t="str">
        <f ca="1">IFERROR(__xludf.DUMMYFUNCTION("""COMPUTED_VALUE"""),"Death Penalty, Freedom of Expression, Individuals At Risk")</f>
        <v>Death Penalty, Freedom of Expression, Individuals At Risk</v>
      </c>
      <c r="H420" s="1" t="str">
        <f ca="1">IFERROR(__xludf.DUMMYFUNCTION("""COMPUTED_VALUE"""),"2024")</f>
        <v>2024</v>
      </c>
      <c r="I420" s="1" t="str">
        <f ca="1">IFERROR(__xludf.DUMMYFUNCTION("""COMPUTED_VALUE"""),"Email")</f>
        <v>Email</v>
      </c>
    </row>
    <row r="421" spans="1:9" ht="13" x14ac:dyDescent="0.15">
      <c r="A421" s="9">
        <f ca="1">IFERROR(__xludf.DUMMYFUNCTION("""COMPUTED_VALUE"""),30999696)</f>
        <v>30999696</v>
      </c>
      <c r="B421" s="1" t="str">
        <f ca="1">IFERROR(__xludf.DUMMYFUNCTION("""COMPUTED_VALUE"""),"smeltbrooke@yahoo.com")</f>
        <v>smeltbrooke@yahoo.com</v>
      </c>
      <c r="C421" s="9" t="str">
        <f ca="1">IFERROR(__xludf.DUMMYFUNCTION("""COMPUTED_VALUE"""),"EVERGREEN - UAN Gated Content - Embedded Petition")</f>
        <v>EVERGREEN - UAN Gated Content - Embedded Petition</v>
      </c>
      <c r="D421" s="10">
        <f ca="1">IFERROR(__xludf.DUMMYFUNCTION("""COMPUTED_VALUE"""),45694)</f>
        <v>45694</v>
      </c>
      <c r="E421" s="1" t="str">
        <f ca="1">IFERROR(__xludf.DUMMYFUNCTION("""COMPUTED_VALUE"""),"USA")</f>
        <v>USA</v>
      </c>
      <c r="F421" s="1" t="str">
        <f ca="1">IFERROR(__xludf.DUMMYFUNCTION("""COMPUTED_VALUE"""),"105.24 USA")</f>
        <v>105.24 USA</v>
      </c>
      <c r="G421" s="1" t="str">
        <f ca="1">IFERROR(__xludf.DUMMYFUNCTION("""COMPUTED_VALUE"""),"Death Penalty")</f>
        <v>Death Penalty</v>
      </c>
      <c r="H421" s="1" t="str">
        <f ca="1">IFERROR(__xludf.DUMMYFUNCTION("""COMPUTED_VALUE"""),"2024")</f>
        <v>2024</v>
      </c>
      <c r="I421" s="1" t="str">
        <f ca="1">IFERROR(__xludf.DUMMYFUNCTION("""COMPUTED_VALUE"""),"Email")</f>
        <v>Email</v>
      </c>
    </row>
    <row r="422" spans="1:9" ht="13" x14ac:dyDescent="0.15">
      <c r="A422" s="9">
        <f ca="1">IFERROR(__xludf.DUMMYFUNCTION("""COMPUTED_VALUE"""),31000793)</f>
        <v>31000793</v>
      </c>
      <c r="B422" s="1" t="str">
        <f ca="1">IFERROR(__xludf.DUMMYFUNCTION("""COMPUTED_VALUE"""),"piersonjim@gmail.com")</f>
        <v>piersonjim@gmail.com</v>
      </c>
      <c r="C422" s="9" t="str">
        <f ca="1">IFERROR(__xludf.DUMMYFUNCTION("""COMPUTED_VALUE"""),"EVERGREEN - UAN Gated Content - Embedded Petition")</f>
        <v>EVERGREEN - UAN Gated Content - Embedded Petition</v>
      </c>
      <c r="D422" s="10">
        <f ca="1">IFERROR(__xludf.DUMMYFUNCTION("""COMPUTED_VALUE"""),45694)</f>
        <v>45694</v>
      </c>
      <c r="E422" s="1" t="str">
        <f ca="1">IFERROR(__xludf.DUMMYFUNCTION("""COMPUTED_VALUE"""),"Venezuela")</f>
        <v>Venezuela</v>
      </c>
      <c r="F422" s="1" t="str">
        <f ca="1">IFERROR(__xludf.DUMMYFUNCTION("""COMPUTED_VALUE"""),"1.25 Venezuela")</f>
        <v>1.25 Venezuela</v>
      </c>
      <c r="G422" s="1" t="str">
        <f ca="1">IFERROR(__xludf.DUMMYFUNCTION("""COMPUTED_VALUE"""),"Human Rights Defenders, Individuals At Risk")</f>
        <v>Human Rights Defenders, Individuals At Risk</v>
      </c>
      <c r="H422" s="1" t="str">
        <f ca="1">IFERROR(__xludf.DUMMYFUNCTION("""COMPUTED_VALUE"""),"2025")</f>
        <v>2025</v>
      </c>
      <c r="I422" s="1" t="str">
        <f ca="1">IFERROR(__xludf.DUMMYFUNCTION("""COMPUTED_VALUE"""),"Letter")</f>
        <v>Letter</v>
      </c>
    </row>
    <row r="423" spans="1:9" ht="13" x14ac:dyDescent="0.15">
      <c r="A423" s="9">
        <f ca="1">IFERROR(__xludf.DUMMYFUNCTION("""COMPUTED_VALUE"""),31000793)</f>
        <v>31000793</v>
      </c>
      <c r="B423" s="1" t="str">
        <f ca="1">IFERROR(__xludf.DUMMYFUNCTION("""COMPUTED_VALUE"""),"piersonjim@gmail.com")</f>
        <v>piersonjim@gmail.com</v>
      </c>
      <c r="C423" s="9" t="str">
        <f ca="1">IFERROR(__xludf.DUMMYFUNCTION("""COMPUTED_VALUE"""),"EVERGREEN - UAN Gated Content - Embedded Petition")</f>
        <v>EVERGREEN - UAN Gated Content - Embedded Petition</v>
      </c>
      <c r="D423" s="10">
        <f ca="1">IFERROR(__xludf.DUMMYFUNCTION("""COMPUTED_VALUE"""),45694)</f>
        <v>45694</v>
      </c>
      <c r="E423" s="1" t="str">
        <f ca="1">IFERROR(__xludf.DUMMYFUNCTION("""COMPUTED_VALUE"""),"Iran")</f>
        <v>Iran</v>
      </c>
      <c r="F423" s="1" t="str">
        <f ca="1">IFERROR(__xludf.DUMMYFUNCTION("""COMPUTED_VALUE"""),"Seventh 103.22 Iran")</f>
        <v>Seventh 103.22 Iran</v>
      </c>
      <c r="G423" s="1" t="str">
        <f ca="1">IFERROR(__xludf.DUMMYFUNCTION("""COMPUTED_VALUE"""),"Death Penalty, Freedom of Expression, Individuals At Risk")</f>
        <v>Death Penalty, Freedom of Expression, Individuals At Risk</v>
      </c>
      <c r="H423" s="1" t="str">
        <f ca="1">IFERROR(__xludf.DUMMYFUNCTION("""COMPUTED_VALUE"""),"2024")</f>
        <v>2024</v>
      </c>
      <c r="I423" s="1" t="str">
        <f ca="1">IFERROR(__xludf.DUMMYFUNCTION("""COMPUTED_VALUE"""),"Email")</f>
        <v>Email</v>
      </c>
    </row>
    <row r="424" spans="1:9" ht="13" x14ac:dyDescent="0.15">
      <c r="A424" s="9">
        <f ca="1">IFERROR(__xludf.DUMMYFUNCTION("""COMPUTED_VALUE"""),31000793)</f>
        <v>31000793</v>
      </c>
      <c r="B424" s="1" t="str">
        <f ca="1">IFERROR(__xludf.DUMMYFUNCTION("""COMPUTED_VALUE"""),"piersonjim@gmail.com")</f>
        <v>piersonjim@gmail.com</v>
      </c>
      <c r="C424" s="9" t="str">
        <f ca="1">IFERROR(__xludf.DUMMYFUNCTION("""COMPUTED_VALUE"""),"EVERGREEN - UAN Gated Content - Embedded Petition")</f>
        <v>EVERGREEN - UAN Gated Content - Embedded Petition</v>
      </c>
      <c r="D424" s="10">
        <f ca="1">IFERROR(__xludf.DUMMYFUNCTION("""COMPUTED_VALUE"""),45677)</f>
        <v>45677</v>
      </c>
      <c r="E424" s="1" t="str">
        <f ca="1">IFERROR(__xludf.DUMMYFUNCTION("""COMPUTED_VALUE"""),"Tunisia")</f>
        <v>Tunisia</v>
      </c>
      <c r="F424" s="1" t="str">
        <f ca="1">IFERROR(__xludf.DUMMYFUNCTION("""COMPUTED_VALUE"""),"Second 76.24 Tunisia")</f>
        <v>Second 76.24 Tunisia</v>
      </c>
      <c r="G424" s="1" t="str">
        <f ca="1">IFERROR(__xludf.DUMMYFUNCTION("""COMPUTED_VALUE"""),"Freedom of Expression, Human Rights Defenders")</f>
        <v>Freedom of Expression, Human Rights Defenders</v>
      </c>
      <c r="H424" s="1" t="str">
        <f ca="1">IFERROR(__xludf.DUMMYFUNCTION("""COMPUTED_VALUE"""),"2025")</f>
        <v>2025</v>
      </c>
      <c r="I424" s="1" t="str">
        <f ca="1">IFERROR(__xludf.DUMMYFUNCTION("""COMPUTED_VALUE"""),"Email")</f>
        <v>Email</v>
      </c>
    </row>
    <row r="425" spans="1:9" ht="13" x14ac:dyDescent="0.15">
      <c r="A425" s="9">
        <f ca="1">IFERROR(__xludf.DUMMYFUNCTION("""COMPUTED_VALUE"""),31000793)</f>
        <v>31000793</v>
      </c>
      <c r="B425" s="1" t="str">
        <f ca="1">IFERROR(__xludf.DUMMYFUNCTION("""COMPUTED_VALUE"""),"piersonjim@gmail.com")</f>
        <v>piersonjim@gmail.com</v>
      </c>
      <c r="C425" s="9" t="str">
        <f ca="1">IFERROR(__xludf.DUMMYFUNCTION("""COMPUTED_VALUE"""),"EVERGREEN - UAN Gated Content - Embedded Petition")</f>
        <v>EVERGREEN - UAN Gated Content - Embedded Petition</v>
      </c>
      <c r="D425" s="10">
        <f ca="1">IFERROR(__xludf.DUMMYFUNCTION("""COMPUTED_VALUE"""),45694)</f>
        <v>45694</v>
      </c>
      <c r="E425" s="1" t="str">
        <f ca="1">IFERROR(__xludf.DUMMYFUNCTION("""COMPUTED_VALUE"""),"USA")</f>
        <v>USA</v>
      </c>
      <c r="F425" s="1" t="str">
        <f ca="1">IFERROR(__xludf.DUMMYFUNCTION("""COMPUTED_VALUE"""),"105.24 USA")</f>
        <v>105.24 USA</v>
      </c>
      <c r="G425" s="1" t="str">
        <f ca="1">IFERROR(__xludf.DUMMYFUNCTION("""COMPUTED_VALUE"""),"Death Penalty")</f>
        <v>Death Penalty</v>
      </c>
      <c r="H425" s="1" t="str">
        <f ca="1">IFERROR(__xludf.DUMMYFUNCTION("""COMPUTED_VALUE"""),"2024")</f>
        <v>2024</v>
      </c>
      <c r="I425" s="1" t="str">
        <f ca="1">IFERROR(__xludf.DUMMYFUNCTION("""COMPUTED_VALUE"""),"Email")</f>
        <v>Email</v>
      </c>
    </row>
    <row r="426" spans="1:9" ht="13" x14ac:dyDescent="0.15">
      <c r="A426" s="9">
        <f ca="1">IFERROR(__xludf.DUMMYFUNCTION("""COMPUTED_VALUE"""),31000855)</f>
        <v>31000855</v>
      </c>
      <c r="B426" s="1" t="str">
        <f ca="1">IFERROR(__xludf.DUMMYFUNCTION("""COMPUTED_VALUE"""),"sec1350@yahoo.com")</f>
        <v>sec1350@yahoo.com</v>
      </c>
      <c r="C426" s="9" t="str">
        <f ca="1">IFERROR(__xludf.DUMMYFUNCTION("""COMPUTED_VALUE"""),"EVERGREEN - UAN Gated Content - Embedded Petition")</f>
        <v>EVERGREEN - UAN Gated Content - Embedded Petition</v>
      </c>
      <c r="D426" s="10">
        <f ca="1">IFERROR(__xludf.DUMMYFUNCTION("""COMPUTED_VALUE"""),45693)</f>
        <v>45693</v>
      </c>
      <c r="E426" s="1" t="str">
        <f ca="1">IFERROR(__xludf.DUMMYFUNCTION("""COMPUTED_VALUE"""),"Uganda")</f>
        <v>Uganda</v>
      </c>
      <c r="F426" s="1" t="str">
        <f ca="1">IFERROR(__xludf.DUMMYFUNCTION("""COMPUTED_VALUE"""),"100.24 Uganda")</f>
        <v>100.24 Uganda</v>
      </c>
      <c r="G426" s="1" t="str">
        <f ca="1">IFERROR(__xludf.DUMMYFUNCTION("""COMPUTED_VALUE"""),"Freedom of Expression")</f>
        <v>Freedom of Expression</v>
      </c>
      <c r="H426" s="1" t="str">
        <f ca="1">IFERROR(__xludf.DUMMYFUNCTION("""COMPUTED_VALUE"""),"2024")</f>
        <v>2024</v>
      </c>
      <c r="I426" s="1" t="str">
        <f ca="1">IFERROR(__xludf.DUMMYFUNCTION("""COMPUTED_VALUE"""),"Email")</f>
        <v>Email</v>
      </c>
    </row>
    <row r="427" spans="1:9" ht="13" x14ac:dyDescent="0.15">
      <c r="A427" s="9">
        <f ca="1">IFERROR(__xludf.DUMMYFUNCTION("""COMPUTED_VALUE"""),31007687)</f>
        <v>31007687</v>
      </c>
      <c r="B427" s="1" t="str">
        <f ca="1">IFERROR(__xludf.DUMMYFUNCTION("""COMPUTED_VALUE"""),"blueinmo@hotmail.com")</f>
        <v>blueinmo@hotmail.com</v>
      </c>
      <c r="C427" s="9" t="str">
        <f ca="1">IFERROR(__xludf.DUMMYFUNCTION("""COMPUTED_VALUE"""),"EVERGREEN - UAN Gated Content - Embedded Petition")</f>
        <v>EVERGREEN - UAN Gated Content - Embedded Petition</v>
      </c>
      <c r="D427" s="10">
        <f ca="1">IFERROR(__xludf.DUMMYFUNCTION("""COMPUTED_VALUE"""),45674)</f>
        <v>45674</v>
      </c>
      <c r="E427" s="1" t="str">
        <f ca="1">IFERROR(__xludf.DUMMYFUNCTION("""COMPUTED_VALUE"""),"Iran")</f>
        <v>Iran</v>
      </c>
      <c r="F427" s="1" t="str">
        <f ca="1">IFERROR(__xludf.DUMMYFUNCTION("""COMPUTED_VALUE"""),"101.24 Iran")</f>
        <v>101.24 Iran</v>
      </c>
      <c r="G427" s="1" t="str">
        <f ca="1">IFERROR(__xludf.DUMMYFUNCTION("""COMPUTED_VALUE"""),"Death Penalty, Freedom of Expression, Individuals At Risk, Right to Protest")</f>
        <v>Death Penalty, Freedom of Expression, Individuals At Risk, Right to Protest</v>
      </c>
      <c r="H427" s="1" t="str">
        <f ca="1">IFERROR(__xludf.DUMMYFUNCTION("""COMPUTED_VALUE"""),"2024")</f>
        <v>2024</v>
      </c>
      <c r="I427" s="1" t="str">
        <f ca="1">IFERROR(__xludf.DUMMYFUNCTION("""COMPUTED_VALUE"""),"Email")</f>
        <v>Email</v>
      </c>
    </row>
    <row r="428" spans="1:9" ht="13" x14ac:dyDescent="0.15">
      <c r="A428" s="9">
        <f ca="1">IFERROR(__xludf.DUMMYFUNCTION("""COMPUTED_VALUE"""),31010676)</f>
        <v>31010676</v>
      </c>
      <c r="B428" s="1" t="str">
        <f ca="1">IFERROR(__xludf.DUMMYFUNCTION("""COMPUTED_VALUE"""),"swbisa@windstream.net")</f>
        <v>swbisa@windstream.net</v>
      </c>
      <c r="C428" s="9" t="str">
        <f ca="1">IFERROR(__xludf.DUMMYFUNCTION("""COMPUTED_VALUE"""),"EVERGREEN - UAN Gated Content - Embedded Petition")</f>
        <v>EVERGREEN - UAN Gated Content - Embedded Petition</v>
      </c>
      <c r="D428" s="10">
        <f ca="1">IFERROR(__xludf.DUMMYFUNCTION("""COMPUTED_VALUE"""),45636)</f>
        <v>45636</v>
      </c>
      <c r="E428" s="1" t="str">
        <f ca="1">IFERROR(__xludf.DUMMYFUNCTION("""COMPUTED_VALUE"""),"Tunisia")</f>
        <v>Tunisia</v>
      </c>
      <c r="F428" s="1" t="str">
        <f ca="1">IFERROR(__xludf.DUMMYFUNCTION("""COMPUTED_VALUE"""),"Second 76.24 Tunisia")</f>
        <v>Second 76.24 Tunisia</v>
      </c>
      <c r="G428" s="1" t="str">
        <f ca="1">IFERROR(__xludf.DUMMYFUNCTION("""COMPUTED_VALUE"""),"Freedom of Expression, Human Rights Defenders")</f>
        <v>Freedom of Expression, Human Rights Defenders</v>
      </c>
      <c r="H428" s="1" t="str">
        <f ca="1">IFERROR(__xludf.DUMMYFUNCTION("""COMPUTED_VALUE"""),"2025")</f>
        <v>2025</v>
      </c>
      <c r="I428" s="1" t="str">
        <f ca="1">IFERROR(__xludf.DUMMYFUNCTION("""COMPUTED_VALUE"""),"Email")</f>
        <v>Email</v>
      </c>
    </row>
    <row r="429" spans="1:9" ht="13" x14ac:dyDescent="0.15">
      <c r="A429" s="9">
        <f ca="1">IFERROR(__xludf.DUMMYFUNCTION("""COMPUTED_VALUE"""),31032605)</f>
        <v>31032605</v>
      </c>
      <c r="B429" s="1" t="str">
        <f ca="1">IFERROR(__xludf.DUMMYFUNCTION("""COMPUTED_VALUE"""),"dms2@mindspring.com")</f>
        <v>dms2@mindspring.com</v>
      </c>
      <c r="C429" s="9" t="str">
        <f ca="1">IFERROR(__xludf.DUMMYFUNCTION("""COMPUTED_VALUE"""),"EVERGREEN - UAN Gated Content - Embedded Petition")</f>
        <v>EVERGREEN - UAN Gated Content - Embedded Petition</v>
      </c>
      <c r="D429" s="10">
        <f ca="1">IFERROR(__xludf.DUMMYFUNCTION("""COMPUTED_VALUE"""),45632)</f>
        <v>45632</v>
      </c>
      <c r="E429" s="1" t="str">
        <f ca="1">IFERROR(__xludf.DUMMYFUNCTION("""COMPUTED_VALUE"""),"Tunisia")</f>
        <v>Tunisia</v>
      </c>
      <c r="F429" s="1" t="str">
        <f ca="1">IFERROR(__xludf.DUMMYFUNCTION("""COMPUTED_VALUE"""),"Second 76.24 Tunisia")</f>
        <v>Second 76.24 Tunisia</v>
      </c>
      <c r="G429" s="1" t="str">
        <f ca="1">IFERROR(__xludf.DUMMYFUNCTION("""COMPUTED_VALUE"""),"Freedom of Expression, Human Rights Defenders")</f>
        <v>Freedom of Expression, Human Rights Defenders</v>
      </c>
      <c r="H429" s="1" t="str">
        <f ca="1">IFERROR(__xludf.DUMMYFUNCTION("""COMPUTED_VALUE"""),"2025")</f>
        <v>2025</v>
      </c>
      <c r="I429" s="1" t="str">
        <f ca="1">IFERROR(__xludf.DUMMYFUNCTION("""COMPUTED_VALUE"""),"Email")</f>
        <v>Email</v>
      </c>
    </row>
    <row r="430" spans="1:9" ht="13" x14ac:dyDescent="0.15">
      <c r="A430" s="9">
        <f ca="1">IFERROR(__xludf.DUMMYFUNCTION("""COMPUTED_VALUE"""),31032605)</f>
        <v>31032605</v>
      </c>
      <c r="B430" s="1" t="str">
        <f ca="1">IFERROR(__xludf.DUMMYFUNCTION("""COMPUTED_VALUE"""),"dms2@mindspring.com")</f>
        <v>dms2@mindspring.com</v>
      </c>
      <c r="C430" s="9" t="str">
        <f ca="1">IFERROR(__xludf.DUMMYFUNCTION("""COMPUTED_VALUE"""),"EVERGREEN - UAN Gated Content - Embedded Petition")</f>
        <v>EVERGREEN - UAN Gated Content - Embedded Petition</v>
      </c>
      <c r="D430" s="10">
        <f ca="1">IFERROR(__xludf.DUMMYFUNCTION("""COMPUTED_VALUE"""),45640)</f>
        <v>45640</v>
      </c>
      <c r="E430" s="1" t="str">
        <f ca="1">IFERROR(__xludf.DUMMYFUNCTION("""COMPUTED_VALUE"""),"Tunisia")</f>
        <v>Tunisia</v>
      </c>
      <c r="F430" s="1" t="str">
        <f ca="1">IFERROR(__xludf.DUMMYFUNCTION("""COMPUTED_VALUE"""),"Second 76.24 Tunisia")</f>
        <v>Second 76.24 Tunisia</v>
      </c>
      <c r="G430" s="1" t="str">
        <f ca="1">IFERROR(__xludf.DUMMYFUNCTION("""COMPUTED_VALUE"""),"Freedom of Expression, Human Rights Defenders")</f>
        <v>Freedom of Expression, Human Rights Defenders</v>
      </c>
      <c r="H430" s="1" t="str">
        <f ca="1">IFERROR(__xludf.DUMMYFUNCTION("""COMPUTED_VALUE"""),"2025")</f>
        <v>2025</v>
      </c>
      <c r="I430" s="1" t="str">
        <f ca="1">IFERROR(__xludf.DUMMYFUNCTION("""COMPUTED_VALUE"""),"Email")</f>
        <v>Email</v>
      </c>
    </row>
    <row r="431" spans="1:9" ht="13" x14ac:dyDescent="0.15">
      <c r="A431" s="9">
        <f ca="1">IFERROR(__xludf.DUMMYFUNCTION("""COMPUTED_VALUE"""),31032605)</f>
        <v>31032605</v>
      </c>
      <c r="B431" s="1" t="str">
        <f ca="1">IFERROR(__xludf.DUMMYFUNCTION("""COMPUTED_VALUE"""),"dms2@mindspring.com")</f>
        <v>dms2@mindspring.com</v>
      </c>
      <c r="C431" s="9" t="str">
        <f ca="1">IFERROR(__xludf.DUMMYFUNCTION("""COMPUTED_VALUE"""),"EVERGREEN - UAN Gated Content - Embedded Petition")</f>
        <v>EVERGREEN - UAN Gated Content - Embedded Petition</v>
      </c>
      <c r="D431" s="10">
        <f ca="1">IFERROR(__xludf.DUMMYFUNCTION("""COMPUTED_VALUE"""),45640)</f>
        <v>45640</v>
      </c>
      <c r="E431" s="1" t="str">
        <f ca="1">IFERROR(__xludf.DUMMYFUNCTION("""COMPUTED_VALUE"""),"Uganda")</f>
        <v>Uganda</v>
      </c>
      <c r="F431" s="1" t="str">
        <f ca="1">IFERROR(__xludf.DUMMYFUNCTION("""COMPUTED_VALUE"""),"9.25 Uganda")</f>
        <v>9.25 Uganda</v>
      </c>
      <c r="G431" s="1" t="str">
        <f ca="1">IFERROR(__xludf.DUMMYFUNCTION("""COMPUTED_VALUE"""),"Freedom of Expression, Human Rights Defenders")</f>
        <v>Freedom of Expression, Human Rights Defenders</v>
      </c>
      <c r="H431" s="1" t="str">
        <f ca="1">IFERROR(__xludf.DUMMYFUNCTION("""COMPUTED_VALUE"""),"2025")</f>
        <v>2025</v>
      </c>
      <c r="I431" s="1" t="str">
        <f ca="1">IFERROR(__xludf.DUMMYFUNCTION("""COMPUTED_VALUE"""),"Email")</f>
        <v>Email</v>
      </c>
    </row>
    <row r="432" spans="1:9" ht="13" x14ac:dyDescent="0.15">
      <c r="A432" s="9">
        <f ca="1">IFERROR(__xludf.DUMMYFUNCTION("""COMPUTED_VALUE"""),31038368)</f>
        <v>31038368</v>
      </c>
      <c r="B432" s="1" t="str">
        <f ca="1">IFERROR(__xludf.DUMMYFUNCTION("""COMPUTED_VALUE"""),"deanka_grisham@hotmail.com")</f>
        <v>deanka_grisham@hotmail.com</v>
      </c>
      <c r="C432" s="9" t="str">
        <f ca="1">IFERROR(__xludf.DUMMYFUNCTION("""COMPUTED_VALUE"""),"EVERGREEN - UAN Gated Content - Embedded Petition")</f>
        <v>EVERGREEN - UAN Gated Content - Embedded Petition</v>
      </c>
      <c r="D432" s="10">
        <f ca="1">IFERROR(__xludf.DUMMYFUNCTION("""COMPUTED_VALUE"""),45677)</f>
        <v>45677</v>
      </c>
      <c r="E432" s="1" t="str">
        <f ca="1">IFERROR(__xludf.DUMMYFUNCTION("""COMPUTED_VALUE"""),"USA")</f>
        <v>USA</v>
      </c>
      <c r="F432" s="1" t="str">
        <f ca="1">IFERROR(__xludf.DUMMYFUNCTION("""COMPUTED_VALUE"""),"4.25 USA")</f>
        <v>4.25 USA</v>
      </c>
      <c r="G432" s="1" t="str">
        <f ca="1">IFERROR(__xludf.DUMMYFUNCTION("""COMPUTED_VALUE"""),"Individuals At Risk, Refugee and Migrant Rights")</f>
        <v>Individuals At Risk, Refugee and Migrant Rights</v>
      </c>
      <c r="H432" s="1" t="str">
        <f ca="1">IFERROR(__xludf.DUMMYFUNCTION("""COMPUTED_VALUE"""),"2025")</f>
        <v>2025</v>
      </c>
      <c r="I432" s="1" t="str">
        <f ca="1">IFERROR(__xludf.DUMMYFUNCTION("""COMPUTED_VALUE"""),"Letter")</f>
        <v>Letter</v>
      </c>
    </row>
    <row r="433" spans="1:9" ht="13" x14ac:dyDescent="0.15">
      <c r="A433" s="9">
        <f ca="1">IFERROR(__xludf.DUMMYFUNCTION("""COMPUTED_VALUE"""),31041301)</f>
        <v>31041301</v>
      </c>
      <c r="B433" s="1" t="str">
        <f ca="1">IFERROR(__xludf.DUMMYFUNCTION("""COMPUTED_VALUE"""),"sarahfaitken@hotmail.com")</f>
        <v>sarahfaitken@hotmail.com</v>
      </c>
      <c r="C433" s="9" t="str">
        <f ca="1">IFERROR(__xludf.DUMMYFUNCTION("""COMPUTED_VALUE"""),"EVERGREEN - UAN Gated Content - Embedded Petition")</f>
        <v>EVERGREEN - UAN Gated Content - Embedded Petition</v>
      </c>
      <c r="D433" s="10">
        <f ca="1">IFERROR(__xludf.DUMMYFUNCTION("""COMPUTED_VALUE"""),45694)</f>
        <v>45694</v>
      </c>
      <c r="E433" s="1" t="str">
        <f ca="1">IFERROR(__xludf.DUMMYFUNCTION("""COMPUTED_VALUE"""),"Tunisia")</f>
        <v>Tunisia</v>
      </c>
      <c r="F433" s="1" t="str">
        <f ca="1">IFERROR(__xludf.DUMMYFUNCTION("""COMPUTED_VALUE"""),"Second 76.24 Tunisia")</f>
        <v>Second 76.24 Tunisia</v>
      </c>
      <c r="G433" s="1" t="str">
        <f ca="1">IFERROR(__xludf.DUMMYFUNCTION("""COMPUTED_VALUE"""),"Freedom of Expression, Human Rights Defenders")</f>
        <v>Freedom of Expression, Human Rights Defenders</v>
      </c>
      <c r="H433" s="1" t="str">
        <f ca="1">IFERROR(__xludf.DUMMYFUNCTION("""COMPUTED_VALUE"""),"2025")</f>
        <v>2025</v>
      </c>
      <c r="I433" s="1" t="str">
        <f ca="1">IFERROR(__xludf.DUMMYFUNCTION("""COMPUTED_VALUE"""),"Email")</f>
        <v>Email</v>
      </c>
    </row>
    <row r="434" spans="1:9" ht="13" x14ac:dyDescent="0.15">
      <c r="A434" s="9">
        <f ca="1">IFERROR(__xludf.DUMMYFUNCTION("""COMPUTED_VALUE"""),31041301)</f>
        <v>31041301</v>
      </c>
      <c r="B434" s="1" t="str">
        <f ca="1">IFERROR(__xludf.DUMMYFUNCTION("""COMPUTED_VALUE"""),"sarahfaitken@hotmail.com")</f>
        <v>sarahfaitken@hotmail.com</v>
      </c>
      <c r="C434" s="9" t="str">
        <f ca="1">IFERROR(__xludf.DUMMYFUNCTION("""COMPUTED_VALUE"""),"EVERGREEN - UAN Gated Content - Embedded Petition")</f>
        <v>EVERGREEN - UAN Gated Content - Embedded Petition</v>
      </c>
      <c r="D434" s="10">
        <f ca="1">IFERROR(__xludf.DUMMYFUNCTION("""COMPUTED_VALUE"""),45694)</f>
        <v>45694</v>
      </c>
      <c r="E434" s="1" t="str">
        <f ca="1">IFERROR(__xludf.DUMMYFUNCTION("""COMPUTED_VALUE"""),"Tunisia")</f>
        <v>Tunisia</v>
      </c>
      <c r="F434" s="1" t="str">
        <f ca="1">IFERROR(__xludf.DUMMYFUNCTION("""COMPUTED_VALUE"""),"Second 76.24 Tunisia")</f>
        <v>Second 76.24 Tunisia</v>
      </c>
      <c r="G434" s="1" t="str">
        <f ca="1">IFERROR(__xludf.DUMMYFUNCTION("""COMPUTED_VALUE"""),"Freedom of Expression, Human Rights Defenders")</f>
        <v>Freedom of Expression, Human Rights Defenders</v>
      </c>
      <c r="H434" s="1" t="str">
        <f ca="1">IFERROR(__xludf.DUMMYFUNCTION("""COMPUTED_VALUE"""),"2025")</f>
        <v>2025</v>
      </c>
      <c r="I434" s="1" t="str">
        <f ca="1">IFERROR(__xludf.DUMMYFUNCTION("""COMPUTED_VALUE"""),"Email")</f>
        <v>Email</v>
      </c>
    </row>
    <row r="435" spans="1:9" ht="13" x14ac:dyDescent="0.15">
      <c r="A435" s="9">
        <f ca="1">IFERROR(__xludf.DUMMYFUNCTION("""COMPUTED_VALUE"""),31042575)</f>
        <v>31042575</v>
      </c>
      <c r="B435" s="1" t="str">
        <f ca="1">IFERROR(__xludf.DUMMYFUNCTION("""COMPUTED_VALUE"""),"maryanna@foskettco.com")</f>
        <v>maryanna@foskettco.com</v>
      </c>
      <c r="C435" s="9" t="str">
        <f ca="1">IFERROR(__xludf.DUMMYFUNCTION("""COMPUTED_VALUE"""),"EVERGREEN - UAN Gated Content - Embedded Petition")</f>
        <v>EVERGREEN - UAN Gated Content - Embedded Petition</v>
      </c>
      <c r="D435" s="10">
        <f ca="1">IFERROR(__xludf.DUMMYFUNCTION("""COMPUTED_VALUE"""),45694)</f>
        <v>45694</v>
      </c>
      <c r="E435" s="1" t="str">
        <f ca="1">IFERROR(__xludf.DUMMYFUNCTION("""COMPUTED_VALUE"""),"Iran")</f>
        <v>Iran</v>
      </c>
      <c r="F435" s="1" t="str">
        <f ca="1">IFERROR(__xludf.DUMMYFUNCTION("""COMPUTED_VALUE"""),"Seventh 103.22 Iran")</f>
        <v>Seventh 103.22 Iran</v>
      </c>
      <c r="G435" s="1" t="str">
        <f ca="1">IFERROR(__xludf.DUMMYFUNCTION("""COMPUTED_VALUE"""),"Death Penalty, Freedom of Expression, Individuals At Risk")</f>
        <v>Death Penalty, Freedom of Expression, Individuals At Risk</v>
      </c>
      <c r="H435" s="1" t="str">
        <f ca="1">IFERROR(__xludf.DUMMYFUNCTION("""COMPUTED_VALUE"""),"2024")</f>
        <v>2024</v>
      </c>
      <c r="I435" s="1" t="str">
        <f ca="1">IFERROR(__xludf.DUMMYFUNCTION("""COMPUTED_VALUE"""),"Email")</f>
        <v>Email</v>
      </c>
    </row>
    <row r="436" spans="1:9" ht="13" x14ac:dyDescent="0.15">
      <c r="A436" s="9">
        <f ca="1">IFERROR(__xludf.DUMMYFUNCTION("""COMPUTED_VALUE"""),31043243)</f>
        <v>31043243</v>
      </c>
      <c r="B436" s="1" t="str">
        <f ca="1">IFERROR(__xludf.DUMMYFUNCTION("""COMPUTED_VALUE"""),"phyllisaca@comcast.net")</f>
        <v>phyllisaca@comcast.net</v>
      </c>
      <c r="C436" s="9" t="str">
        <f ca="1">IFERROR(__xludf.DUMMYFUNCTION("""COMPUTED_VALUE"""),"EVERGREEN - UAN Gated Content - Embedded Petition")</f>
        <v>EVERGREEN - UAN Gated Content - Embedded Petition</v>
      </c>
      <c r="D436" s="10">
        <f ca="1">IFERROR(__xludf.DUMMYFUNCTION("""COMPUTED_VALUE"""),45675)</f>
        <v>45675</v>
      </c>
      <c r="E436" s="1" t="str">
        <f ca="1">IFERROR(__xludf.DUMMYFUNCTION("""COMPUTED_VALUE"""),"Tunisia")</f>
        <v>Tunisia</v>
      </c>
      <c r="F436" s="1" t="str">
        <f ca="1">IFERROR(__xludf.DUMMYFUNCTION("""COMPUTED_VALUE"""),"Second 76.24 Tunisia")</f>
        <v>Second 76.24 Tunisia</v>
      </c>
      <c r="G436" s="1" t="str">
        <f ca="1">IFERROR(__xludf.DUMMYFUNCTION("""COMPUTED_VALUE"""),"Freedom of Expression, Human Rights Defenders")</f>
        <v>Freedom of Expression, Human Rights Defenders</v>
      </c>
      <c r="H436" s="1" t="str">
        <f ca="1">IFERROR(__xludf.DUMMYFUNCTION("""COMPUTED_VALUE"""),"2025")</f>
        <v>2025</v>
      </c>
      <c r="I436" s="1" t="str">
        <f ca="1">IFERROR(__xludf.DUMMYFUNCTION("""COMPUTED_VALUE"""),"Email")</f>
        <v>Email</v>
      </c>
    </row>
    <row r="437" spans="1:9" ht="13" x14ac:dyDescent="0.15">
      <c r="A437" s="9">
        <f ca="1">IFERROR(__xludf.DUMMYFUNCTION("""COMPUTED_VALUE"""),31043243)</f>
        <v>31043243</v>
      </c>
      <c r="B437" s="1" t="str">
        <f ca="1">IFERROR(__xludf.DUMMYFUNCTION("""COMPUTED_VALUE"""),"phyllisaca@comcast.net")</f>
        <v>phyllisaca@comcast.net</v>
      </c>
      <c r="C437" s="9" t="str">
        <f ca="1">IFERROR(__xludf.DUMMYFUNCTION("""COMPUTED_VALUE"""),"EVERGREEN - UAN Gated Content - Embedded Petition")</f>
        <v>EVERGREEN - UAN Gated Content - Embedded Petition</v>
      </c>
      <c r="D437" s="10">
        <f ca="1">IFERROR(__xludf.DUMMYFUNCTION("""COMPUTED_VALUE"""),45636)</f>
        <v>45636</v>
      </c>
      <c r="E437" s="1" t="str">
        <f ca="1">IFERROR(__xludf.DUMMYFUNCTION("""COMPUTED_VALUE"""),"USA")</f>
        <v>USA</v>
      </c>
      <c r="F437" s="1" t="str">
        <f ca="1">IFERROR(__xludf.DUMMYFUNCTION("""COMPUTED_VALUE"""),"96.24 USA")</f>
        <v>96.24 USA</v>
      </c>
      <c r="G437" s="1" t="str">
        <f ca="1">IFERROR(__xludf.DUMMYFUNCTION("""COMPUTED_VALUE"""),"Death Penalty")</f>
        <v>Death Penalty</v>
      </c>
      <c r="H437" s="1" t="str">
        <f ca="1">IFERROR(__xludf.DUMMYFUNCTION("""COMPUTED_VALUE"""),"2024")</f>
        <v>2024</v>
      </c>
      <c r="I437" s="1" t="str">
        <f ca="1">IFERROR(__xludf.DUMMYFUNCTION("""COMPUTED_VALUE"""),"Email")</f>
        <v>Email</v>
      </c>
    </row>
    <row r="438" spans="1:9" ht="13" x14ac:dyDescent="0.15">
      <c r="A438" s="9">
        <f ca="1">IFERROR(__xludf.DUMMYFUNCTION("""COMPUTED_VALUE"""),31043243)</f>
        <v>31043243</v>
      </c>
      <c r="B438" s="1" t="str">
        <f ca="1">IFERROR(__xludf.DUMMYFUNCTION("""COMPUTED_VALUE"""),"phyllisaca@comcast.net")</f>
        <v>phyllisaca@comcast.net</v>
      </c>
      <c r="C438" s="9" t="str">
        <f ca="1">IFERROR(__xludf.DUMMYFUNCTION("""COMPUTED_VALUE"""),"EVERGREEN - UAN Gated Content - Embedded Petition")</f>
        <v>EVERGREEN - UAN Gated Content - Embedded Petition</v>
      </c>
      <c r="D438" s="10">
        <f ca="1">IFERROR(__xludf.DUMMYFUNCTION("""COMPUTED_VALUE"""),45694)</f>
        <v>45694</v>
      </c>
      <c r="E438" s="1" t="str">
        <f ca="1">IFERROR(__xludf.DUMMYFUNCTION("""COMPUTED_VALUE"""),"Dominican Republic")</f>
        <v>Dominican Republic</v>
      </c>
      <c r="F438" s="1" t="str">
        <f ca="1">IFERROR(__xludf.DUMMYFUNCTION("""COMPUTED_VALUE"""),"88.24 Dominican Republic")</f>
        <v>88.24 Dominican Republic</v>
      </c>
      <c r="G438" s="1" t="str">
        <f ca="1">IFERROR(__xludf.DUMMYFUNCTION("""COMPUTED_VALUE"""),"Individuals At Risk, Refugee and Migrant Rights")</f>
        <v>Individuals At Risk, Refugee and Migrant Rights</v>
      </c>
      <c r="H438" s="1" t="str">
        <f ca="1">IFERROR(__xludf.DUMMYFUNCTION("""COMPUTED_VALUE"""),"2024")</f>
        <v>2024</v>
      </c>
      <c r="I438" s="1" t="str">
        <f ca="1">IFERROR(__xludf.DUMMYFUNCTION("""COMPUTED_VALUE"""),"Letter")</f>
        <v>Letter</v>
      </c>
    </row>
    <row r="439" spans="1:9" ht="13" x14ac:dyDescent="0.15">
      <c r="A439" s="9">
        <f ca="1">IFERROR(__xludf.DUMMYFUNCTION("""COMPUTED_VALUE"""),31046794)</f>
        <v>31046794</v>
      </c>
      <c r="B439" s="1" t="str">
        <f ca="1">IFERROR(__xludf.DUMMYFUNCTION("""COMPUTED_VALUE"""),"debby@the4dgroup.com")</f>
        <v>debby@the4dgroup.com</v>
      </c>
      <c r="C439" s="9" t="str">
        <f ca="1">IFERROR(__xludf.DUMMYFUNCTION("""COMPUTED_VALUE"""),"EVERGREEN - UAN Gated Content - Embedded Petition")</f>
        <v>EVERGREEN - UAN Gated Content - Embedded Petition</v>
      </c>
      <c r="D439" s="10">
        <f ca="1">IFERROR(__xludf.DUMMYFUNCTION("""COMPUTED_VALUE"""),45705)</f>
        <v>45705</v>
      </c>
      <c r="E439" s="1" t="str">
        <f ca="1">IFERROR(__xludf.DUMMYFUNCTION("""COMPUTED_VALUE"""),"USA")</f>
        <v>USA</v>
      </c>
      <c r="F439" s="1" t="str">
        <f ca="1">IFERROR(__xludf.DUMMYFUNCTION("""COMPUTED_VALUE"""),"105.24 USA")</f>
        <v>105.24 USA</v>
      </c>
      <c r="G439" s="1" t="str">
        <f ca="1">IFERROR(__xludf.DUMMYFUNCTION("""COMPUTED_VALUE"""),"Death Penalty")</f>
        <v>Death Penalty</v>
      </c>
      <c r="H439" s="1" t="str">
        <f ca="1">IFERROR(__xludf.DUMMYFUNCTION("""COMPUTED_VALUE"""),"2024")</f>
        <v>2024</v>
      </c>
      <c r="I439" s="1" t="str">
        <f ca="1">IFERROR(__xludf.DUMMYFUNCTION("""COMPUTED_VALUE"""),"Email")</f>
        <v>Email</v>
      </c>
    </row>
    <row r="440" spans="1:9" ht="13" x14ac:dyDescent="0.15">
      <c r="A440" s="9">
        <f ca="1">IFERROR(__xludf.DUMMYFUNCTION("""COMPUTED_VALUE"""),31048137)</f>
        <v>31048137</v>
      </c>
      <c r="B440" s="1" t="str">
        <f ca="1">IFERROR(__xludf.DUMMYFUNCTION("""COMPUTED_VALUE"""),"twalker22@wi.rr.com")</f>
        <v>twalker22@wi.rr.com</v>
      </c>
      <c r="C440" s="9" t="str">
        <f ca="1">IFERROR(__xludf.DUMMYFUNCTION("""COMPUTED_VALUE"""),"EVERGREEN - UAN Gated Content - Embedded Petition")</f>
        <v>EVERGREEN - UAN Gated Content - Embedded Petition</v>
      </c>
      <c r="D440" s="10">
        <f ca="1">IFERROR(__xludf.DUMMYFUNCTION("""COMPUTED_VALUE"""),45636)</f>
        <v>45636</v>
      </c>
      <c r="E440" s="1" t="str">
        <f ca="1">IFERROR(__xludf.DUMMYFUNCTION("""COMPUTED_VALUE"""),"Venezuela")</f>
        <v>Venezuela</v>
      </c>
      <c r="F440" s="1" t="str">
        <f ca="1">IFERROR(__xludf.DUMMYFUNCTION("""COMPUTED_VALUE"""),"97.24 Venezuela")</f>
        <v>97.24 Venezuela</v>
      </c>
      <c r="G440" s="1" t="str">
        <f ca="1">IFERROR(__xludf.DUMMYFUNCTION("""COMPUTED_VALUE"""),"Freedom of Expression")</f>
        <v>Freedom of Expression</v>
      </c>
      <c r="H440" s="1" t="str">
        <f ca="1">IFERROR(__xludf.DUMMYFUNCTION("""COMPUTED_VALUE"""),"2024")</f>
        <v>2024</v>
      </c>
      <c r="I440" s="1" t="str">
        <f ca="1">IFERROR(__xludf.DUMMYFUNCTION("""COMPUTED_VALUE"""),"Letter")</f>
        <v>Letter</v>
      </c>
    </row>
    <row r="441" spans="1:9" ht="13" x14ac:dyDescent="0.15">
      <c r="A441" s="9">
        <f ca="1">IFERROR(__xludf.DUMMYFUNCTION("""COMPUTED_VALUE"""),31048891)</f>
        <v>31048891</v>
      </c>
      <c r="B441" s="1" t="str">
        <f ca="1">IFERROR(__xludf.DUMMYFUNCTION("""COMPUTED_VALUE"""),"zappa2004@earthlink.net")</f>
        <v>zappa2004@earthlink.net</v>
      </c>
      <c r="C441" s="9" t="str">
        <f ca="1">IFERROR(__xludf.DUMMYFUNCTION("""COMPUTED_VALUE"""),"EVERGREEN - UAN Gated Content - Embedded Petition")</f>
        <v>EVERGREEN - UAN Gated Content - Embedded Petition</v>
      </c>
      <c r="D441" s="10">
        <f ca="1">IFERROR(__xludf.DUMMYFUNCTION("""COMPUTED_VALUE"""),45677)</f>
        <v>45677</v>
      </c>
      <c r="E441" s="1" t="str">
        <f ca="1">IFERROR(__xludf.DUMMYFUNCTION("""COMPUTED_VALUE"""),"Niger")</f>
        <v>Niger</v>
      </c>
      <c r="F441" s="1" t="str">
        <f ca="1">IFERROR(__xludf.DUMMYFUNCTION("""COMPUTED_VALUE"""),"103.24 Niger")</f>
        <v>103.24 Niger</v>
      </c>
      <c r="G441" s="1" t="str">
        <f ca="1">IFERROR(__xludf.DUMMYFUNCTION("""COMPUTED_VALUE"""),"Freedom of Expression, Human Rights Defenders")</f>
        <v>Freedom of Expression, Human Rights Defenders</v>
      </c>
      <c r="H441" s="1" t="str">
        <f ca="1">IFERROR(__xludf.DUMMYFUNCTION("""COMPUTED_VALUE"""),"2024")</f>
        <v>2024</v>
      </c>
      <c r="I441" s="1" t="str">
        <f ca="1">IFERROR(__xludf.DUMMYFUNCTION("""COMPUTED_VALUE"""),"Email")</f>
        <v>Email</v>
      </c>
    </row>
    <row r="442" spans="1:9" ht="13" x14ac:dyDescent="0.15">
      <c r="A442" s="9">
        <f ca="1">IFERROR(__xludf.DUMMYFUNCTION("""COMPUTED_VALUE"""),31054329)</f>
        <v>31054329</v>
      </c>
      <c r="B442" s="1" t="str">
        <f ca="1">IFERROR(__xludf.DUMMYFUNCTION("""COMPUTED_VALUE"""),"nmhoffman@mindspring.com")</f>
        <v>nmhoffman@mindspring.com</v>
      </c>
      <c r="C442" s="9" t="str">
        <f ca="1">IFERROR(__xludf.DUMMYFUNCTION("""COMPUTED_VALUE"""),"EVERGREEN - UAN Gated Content - Embedded Petition")</f>
        <v>EVERGREEN - UAN Gated Content - Embedded Petition</v>
      </c>
      <c r="D442" s="10">
        <f ca="1">IFERROR(__xludf.DUMMYFUNCTION("""COMPUTED_VALUE"""),45637)</f>
        <v>45637</v>
      </c>
      <c r="E442" s="1" t="str">
        <f ca="1">IFERROR(__xludf.DUMMYFUNCTION("""COMPUTED_VALUE"""),"Israel and Occupied Palestinian Territories")</f>
        <v>Israel and Occupied Palestinian Territories</v>
      </c>
      <c r="F442" s="1" t="str">
        <f ca="1">IFERROR(__xludf.DUMMYFUNCTION("""COMPUTED_VALUE"""),"3.25 IOPT")</f>
        <v>3.25 IOPT</v>
      </c>
      <c r="G442" s="1" t="str">
        <f ca="1">IFERROR(__xludf.DUMMYFUNCTION("""COMPUTED_VALUE"""),"Freedom of Expression, Individuals At Risk")</f>
        <v>Freedom of Expression, Individuals At Risk</v>
      </c>
      <c r="H442" s="1" t="str">
        <f ca="1">IFERROR(__xludf.DUMMYFUNCTION("""COMPUTED_VALUE"""),"2025")</f>
        <v>2025</v>
      </c>
      <c r="I442" s="1" t="str">
        <f ca="1">IFERROR(__xludf.DUMMYFUNCTION("""COMPUTED_VALUE"""),"Email")</f>
        <v>Email</v>
      </c>
    </row>
    <row r="443" spans="1:9" ht="13" x14ac:dyDescent="0.15">
      <c r="A443" s="9">
        <f ca="1">IFERROR(__xludf.DUMMYFUNCTION("""COMPUTED_VALUE"""),31059831)</f>
        <v>31059831</v>
      </c>
      <c r="B443" s="1" t="str">
        <f ca="1">IFERROR(__xludf.DUMMYFUNCTION("""COMPUTED_VALUE"""),"tombennerlaw@yahoo.com")</f>
        <v>tombennerlaw@yahoo.com</v>
      </c>
      <c r="C443" s="9" t="str">
        <f ca="1">IFERROR(__xludf.DUMMYFUNCTION("""COMPUTED_VALUE"""),"EVERGREEN - UAN Gated Content - Embedded Petition")</f>
        <v>EVERGREEN - UAN Gated Content - Embedded Petition</v>
      </c>
      <c r="D443" s="10">
        <f ca="1">IFERROR(__xludf.DUMMYFUNCTION("""COMPUTED_VALUE"""),45675)</f>
        <v>45675</v>
      </c>
      <c r="E443" s="1" t="str">
        <f ca="1">IFERROR(__xludf.DUMMYFUNCTION("""COMPUTED_VALUE"""),"Tunisia")</f>
        <v>Tunisia</v>
      </c>
      <c r="F443" s="1" t="str">
        <f ca="1">IFERROR(__xludf.DUMMYFUNCTION("""COMPUTED_VALUE"""),"Second 76.24 Tunisia")</f>
        <v>Second 76.24 Tunisia</v>
      </c>
      <c r="G443" s="1" t="str">
        <f ca="1">IFERROR(__xludf.DUMMYFUNCTION("""COMPUTED_VALUE"""),"Freedom of Expression, Human Rights Defenders")</f>
        <v>Freedom of Expression, Human Rights Defenders</v>
      </c>
      <c r="H443" s="1" t="str">
        <f ca="1">IFERROR(__xludf.DUMMYFUNCTION("""COMPUTED_VALUE"""),"2025")</f>
        <v>2025</v>
      </c>
      <c r="I443" s="1" t="str">
        <f ca="1">IFERROR(__xludf.DUMMYFUNCTION("""COMPUTED_VALUE"""),"Email")</f>
        <v>Email</v>
      </c>
    </row>
    <row r="444" spans="1:9" ht="13" x14ac:dyDescent="0.15">
      <c r="A444" s="9">
        <f ca="1">IFERROR(__xludf.DUMMYFUNCTION("""COMPUTED_VALUE"""),31059831)</f>
        <v>31059831</v>
      </c>
      <c r="B444" s="1" t="str">
        <f ca="1">IFERROR(__xludf.DUMMYFUNCTION("""COMPUTED_VALUE"""),"tombennerlaw@yahoo.com")</f>
        <v>tombennerlaw@yahoo.com</v>
      </c>
      <c r="C444" s="9" t="str">
        <f ca="1">IFERROR(__xludf.DUMMYFUNCTION("""COMPUTED_VALUE"""),"EVERGREEN - UAN Gated Content - Embedded Petition")</f>
        <v>EVERGREEN - UAN Gated Content - Embedded Petition</v>
      </c>
      <c r="D444" s="10">
        <f ca="1">IFERROR(__xludf.DUMMYFUNCTION("""COMPUTED_VALUE"""),45636)</f>
        <v>45636</v>
      </c>
      <c r="E444" s="1" t="str">
        <f ca="1">IFERROR(__xludf.DUMMYFUNCTION("""COMPUTED_VALUE"""),"Iran")</f>
        <v>Iran</v>
      </c>
      <c r="F444" s="1" t="str">
        <f ca="1">IFERROR(__xludf.DUMMYFUNCTION("""COMPUTED_VALUE"""),"Seventh 103.22 Iran")</f>
        <v>Seventh 103.22 Iran</v>
      </c>
      <c r="G444" s="1" t="str">
        <f ca="1">IFERROR(__xludf.DUMMYFUNCTION("""COMPUTED_VALUE"""),"Death Penalty, Freedom of Expression, Individuals At Risk")</f>
        <v>Death Penalty, Freedom of Expression, Individuals At Risk</v>
      </c>
      <c r="H444" s="1" t="str">
        <f ca="1">IFERROR(__xludf.DUMMYFUNCTION("""COMPUTED_VALUE"""),"2024")</f>
        <v>2024</v>
      </c>
      <c r="I444" s="1" t="str">
        <f ca="1">IFERROR(__xludf.DUMMYFUNCTION("""COMPUTED_VALUE"""),"Email")</f>
        <v>Email</v>
      </c>
    </row>
    <row r="445" spans="1:9" ht="13" x14ac:dyDescent="0.15">
      <c r="A445" s="9">
        <f ca="1">IFERROR(__xludf.DUMMYFUNCTION("""COMPUTED_VALUE"""),31069160)</f>
        <v>31069160</v>
      </c>
      <c r="B445" s="1" t="str">
        <f ca="1">IFERROR(__xludf.DUMMYFUNCTION("""COMPUTED_VALUE"""),"whizcats@sbcglobal.net")</f>
        <v>whizcats@sbcglobal.net</v>
      </c>
      <c r="C445" s="9" t="str">
        <f ca="1">IFERROR(__xludf.DUMMYFUNCTION("""COMPUTED_VALUE"""),"EVERGREEN - UAN Gated Content - Embedded Petition")</f>
        <v>EVERGREEN - UAN Gated Content - Embedded Petition</v>
      </c>
      <c r="D445" s="10">
        <f ca="1">IFERROR(__xludf.DUMMYFUNCTION("""COMPUTED_VALUE"""),45636)</f>
        <v>45636</v>
      </c>
      <c r="E445" s="1" t="str">
        <f ca="1">IFERROR(__xludf.DUMMYFUNCTION("""COMPUTED_VALUE"""),"Tunisia")</f>
        <v>Tunisia</v>
      </c>
      <c r="F445" s="1" t="str">
        <f ca="1">IFERROR(__xludf.DUMMYFUNCTION("""COMPUTED_VALUE"""),"Second 76.24 Tunisia")</f>
        <v>Second 76.24 Tunisia</v>
      </c>
      <c r="G445" s="1" t="str">
        <f ca="1">IFERROR(__xludf.DUMMYFUNCTION("""COMPUTED_VALUE"""),"Freedom of Expression, Human Rights Defenders")</f>
        <v>Freedom of Expression, Human Rights Defenders</v>
      </c>
      <c r="H445" s="1" t="str">
        <f ca="1">IFERROR(__xludf.DUMMYFUNCTION("""COMPUTED_VALUE"""),"2025")</f>
        <v>2025</v>
      </c>
      <c r="I445" s="1" t="str">
        <f ca="1">IFERROR(__xludf.DUMMYFUNCTION("""COMPUTED_VALUE"""),"Email")</f>
        <v>Email</v>
      </c>
    </row>
    <row r="446" spans="1:9" ht="13" x14ac:dyDescent="0.15">
      <c r="A446" s="9">
        <f ca="1">IFERROR(__xludf.DUMMYFUNCTION("""COMPUTED_VALUE"""),31071044)</f>
        <v>31071044</v>
      </c>
      <c r="B446" s="1" t="str">
        <f ca="1">IFERROR(__xludf.DUMMYFUNCTION("""COMPUTED_VALUE"""),"pdx.videozine@gmail.com")</f>
        <v>pdx.videozine@gmail.com</v>
      </c>
      <c r="C446" s="9" t="str">
        <f ca="1">IFERROR(__xludf.DUMMYFUNCTION("""COMPUTED_VALUE"""),"EVERGREEN - UAN Gated Content - Embedded Petition")</f>
        <v>EVERGREEN - UAN Gated Content - Embedded Petition</v>
      </c>
      <c r="D446" s="10">
        <f ca="1">IFERROR(__xludf.DUMMYFUNCTION("""COMPUTED_VALUE"""),45698)</f>
        <v>45698</v>
      </c>
      <c r="E446" s="1" t="str">
        <f ca="1">IFERROR(__xludf.DUMMYFUNCTION("""COMPUTED_VALUE"""),"USA")</f>
        <v>USA</v>
      </c>
      <c r="F446" s="1" t="str">
        <f ca="1">IFERROR(__xludf.DUMMYFUNCTION("""COMPUTED_VALUE"""),"4.25 USA")</f>
        <v>4.25 USA</v>
      </c>
      <c r="G446" s="1" t="str">
        <f ca="1">IFERROR(__xludf.DUMMYFUNCTION("""COMPUTED_VALUE"""),"Individuals At Risk, Refugee and Migrant Rights")</f>
        <v>Individuals At Risk, Refugee and Migrant Rights</v>
      </c>
      <c r="H446" s="1" t="str">
        <f ca="1">IFERROR(__xludf.DUMMYFUNCTION("""COMPUTED_VALUE"""),"2025")</f>
        <v>2025</v>
      </c>
      <c r="I446" s="1" t="str">
        <f ca="1">IFERROR(__xludf.DUMMYFUNCTION("""COMPUTED_VALUE"""),"Letter")</f>
        <v>Letter</v>
      </c>
    </row>
    <row r="447" spans="1:9" ht="13" x14ac:dyDescent="0.15">
      <c r="A447" s="9">
        <f ca="1">IFERROR(__xludf.DUMMYFUNCTION("""COMPUTED_VALUE"""),31071044)</f>
        <v>31071044</v>
      </c>
      <c r="B447" s="1" t="str">
        <f ca="1">IFERROR(__xludf.DUMMYFUNCTION("""COMPUTED_VALUE"""),"pdx.videozine@gmail.com")</f>
        <v>pdx.videozine@gmail.com</v>
      </c>
      <c r="C447" s="9" t="str">
        <f ca="1">IFERROR(__xludf.DUMMYFUNCTION("""COMPUTED_VALUE"""),"EVERGREEN - UAN Gated Content - Embedded Petition")</f>
        <v>EVERGREEN - UAN Gated Content - Embedded Petition</v>
      </c>
      <c r="D447" s="10">
        <f ca="1">IFERROR(__xludf.DUMMYFUNCTION("""COMPUTED_VALUE"""),45661)</f>
        <v>45661</v>
      </c>
      <c r="E447" s="1" t="str">
        <f ca="1">IFERROR(__xludf.DUMMYFUNCTION("""COMPUTED_VALUE"""),"USA")</f>
        <v>USA</v>
      </c>
      <c r="F447" s="1" t="str">
        <f ca="1">IFERROR(__xludf.DUMMYFUNCTION("""COMPUTED_VALUE"""),"105.24 USA")</f>
        <v>105.24 USA</v>
      </c>
      <c r="G447" s="1" t="str">
        <f ca="1">IFERROR(__xludf.DUMMYFUNCTION("""COMPUTED_VALUE"""),"Death Penalty")</f>
        <v>Death Penalty</v>
      </c>
      <c r="H447" s="1" t="str">
        <f ca="1">IFERROR(__xludf.DUMMYFUNCTION("""COMPUTED_VALUE"""),"2024")</f>
        <v>2024</v>
      </c>
      <c r="I447" s="1" t="str">
        <f ca="1">IFERROR(__xludf.DUMMYFUNCTION("""COMPUTED_VALUE"""),"Email")</f>
        <v>Email</v>
      </c>
    </row>
    <row r="448" spans="1:9" ht="13" x14ac:dyDescent="0.15">
      <c r="A448" s="9">
        <f ca="1">IFERROR(__xludf.DUMMYFUNCTION("""COMPUTED_VALUE"""),31071044)</f>
        <v>31071044</v>
      </c>
      <c r="B448" s="1" t="str">
        <f ca="1">IFERROR(__xludf.DUMMYFUNCTION("""COMPUTED_VALUE"""),"pdx.videozine@gmail.com")</f>
        <v>pdx.videozine@gmail.com</v>
      </c>
      <c r="C448" s="9" t="str">
        <f ca="1">IFERROR(__xludf.DUMMYFUNCTION("""COMPUTED_VALUE"""),"EVERGREEN - UAN Gated Content - Embedded Petition")</f>
        <v>EVERGREEN - UAN Gated Content - Embedded Petition</v>
      </c>
      <c r="D448" s="10">
        <f ca="1">IFERROR(__xludf.DUMMYFUNCTION("""COMPUTED_VALUE"""),45698)</f>
        <v>45698</v>
      </c>
      <c r="E448" s="1" t="str">
        <f ca="1">IFERROR(__xludf.DUMMYFUNCTION("""COMPUTED_VALUE"""),"Egypt")</f>
        <v>Egypt</v>
      </c>
      <c r="F448" s="1" t="str">
        <f ca="1">IFERROR(__xludf.DUMMYFUNCTION("""COMPUTED_VALUE"""),"Ninth 190.18 Egypt")</f>
        <v>Ninth 190.18 Egypt</v>
      </c>
      <c r="G448" s="1" t="str">
        <f ca="1">IFERROR(__xludf.DUMMYFUNCTION("""COMPUTED_VALUE"""),"Freedom of Expression, Individuals At Risk")</f>
        <v>Freedom of Expression, Individuals At Risk</v>
      </c>
      <c r="H448" s="1" t="str">
        <f ca="1">IFERROR(__xludf.DUMMYFUNCTION("""COMPUTED_VALUE"""),"2024")</f>
        <v>2024</v>
      </c>
      <c r="I448" s="1" t="str">
        <f ca="1">IFERROR(__xludf.DUMMYFUNCTION("""COMPUTED_VALUE"""),"Letter")</f>
        <v>Letter</v>
      </c>
    </row>
    <row r="449" spans="1:9" ht="13" x14ac:dyDescent="0.15">
      <c r="A449" s="9">
        <f ca="1">IFERROR(__xludf.DUMMYFUNCTION("""COMPUTED_VALUE"""),31074691)</f>
        <v>31074691</v>
      </c>
      <c r="B449" s="1" t="str">
        <f ca="1">IFERROR(__xludf.DUMMYFUNCTION("""COMPUTED_VALUE"""),"anna_ungaro@fitnyc.edu")</f>
        <v>anna_ungaro@fitnyc.edu</v>
      </c>
      <c r="C449" s="9" t="str">
        <f ca="1">IFERROR(__xludf.DUMMYFUNCTION("""COMPUTED_VALUE"""),"EVERGREEN - UAN Gated Content - Embedded Petition")</f>
        <v>EVERGREEN - UAN Gated Content - Embedded Petition</v>
      </c>
      <c r="D449" s="10">
        <f ca="1">IFERROR(__xludf.DUMMYFUNCTION("""COMPUTED_VALUE"""),45675)</f>
        <v>45675</v>
      </c>
      <c r="E449" s="1" t="str">
        <f ca="1">IFERROR(__xludf.DUMMYFUNCTION("""COMPUTED_VALUE"""),"Tunisia")</f>
        <v>Tunisia</v>
      </c>
      <c r="F449" s="1" t="str">
        <f ca="1">IFERROR(__xludf.DUMMYFUNCTION("""COMPUTED_VALUE"""),"Second 76.24 Tunisia")</f>
        <v>Second 76.24 Tunisia</v>
      </c>
      <c r="G449" s="1" t="str">
        <f ca="1">IFERROR(__xludf.DUMMYFUNCTION("""COMPUTED_VALUE"""),"Freedom of Expression, Human Rights Defenders")</f>
        <v>Freedom of Expression, Human Rights Defenders</v>
      </c>
      <c r="H449" s="1" t="str">
        <f ca="1">IFERROR(__xludf.DUMMYFUNCTION("""COMPUTED_VALUE"""),"2025")</f>
        <v>2025</v>
      </c>
      <c r="I449" s="1" t="str">
        <f ca="1">IFERROR(__xludf.DUMMYFUNCTION("""COMPUTED_VALUE"""),"Email")</f>
        <v>Email</v>
      </c>
    </row>
    <row r="450" spans="1:9" ht="13" x14ac:dyDescent="0.15">
      <c r="A450" s="9">
        <f ca="1">IFERROR(__xludf.DUMMYFUNCTION("""COMPUTED_VALUE"""),31074691)</f>
        <v>31074691</v>
      </c>
      <c r="B450" s="1" t="str">
        <f ca="1">IFERROR(__xludf.DUMMYFUNCTION("""COMPUTED_VALUE"""),"anna_ungaro@fitnyc.edu")</f>
        <v>anna_ungaro@fitnyc.edu</v>
      </c>
      <c r="C450" s="9" t="str">
        <f ca="1">IFERROR(__xludf.DUMMYFUNCTION("""COMPUTED_VALUE"""),"EVERGREEN - UAN Gated Content - Embedded Petition")</f>
        <v>EVERGREEN - UAN Gated Content - Embedded Petition</v>
      </c>
      <c r="D450" s="10">
        <f ca="1">IFERROR(__xludf.DUMMYFUNCTION("""COMPUTED_VALUE"""),45675)</f>
        <v>45675</v>
      </c>
      <c r="E450" s="1" t="str">
        <f ca="1">IFERROR(__xludf.DUMMYFUNCTION("""COMPUTED_VALUE"""),"China")</f>
        <v>China</v>
      </c>
      <c r="F450" s="1" t="str">
        <f ca="1">IFERROR(__xludf.DUMMYFUNCTION("""COMPUTED_VALUE"""),"98.24 China")</f>
        <v>98.24 China</v>
      </c>
      <c r="G450" s="1" t="str">
        <f ca="1">IFERROR(__xludf.DUMMYFUNCTION("""COMPUTED_VALUE"""),"Freedom of Expression, Individuals At Risk")</f>
        <v>Freedom of Expression, Individuals At Risk</v>
      </c>
      <c r="H450" s="1" t="str">
        <f ca="1">IFERROR(__xludf.DUMMYFUNCTION("""COMPUTED_VALUE"""),"2024")</f>
        <v>2024</v>
      </c>
      <c r="I450" s="1" t="str">
        <f ca="1">IFERROR(__xludf.DUMMYFUNCTION("""COMPUTED_VALUE"""),"Letter")</f>
        <v>Letter</v>
      </c>
    </row>
    <row r="451" spans="1:9" ht="13" x14ac:dyDescent="0.15">
      <c r="A451" s="9">
        <f ca="1">IFERROR(__xludf.DUMMYFUNCTION("""COMPUTED_VALUE"""),31074691)</f>
        <v>31074691</v>
      </c>
      <c r="B451" s="1" t="str">
        <f ca="1">IFERROR(__xludf.DUMMYFUNCTION("""COMPUTED_VALUE"""),"anna_ungaro@fitnyc.edu")</f>
        <v>anna_ungaro@fitnyc.edu</v>
      </c>
      <c r="C451" s="9" t="str">
        <f ca="1">IFERROR(__xludf.DUMMYFUNCTION("""COMPUTED_VALUE"""),"EVERGREEN - UAN Gated Content - Embedded Petition")</f>
        <v>EVERGREEN - UAN Gated Content - Embedded Petition</v>
      </c>
      <c r="D451" s="10">
        <f ca="1">IFERROR(__xludf.DUMMYFUNCTION("""COMPUTED_VALUE"""),45637)</f>
        <v>45637</v>
      </c>
      <c r="E451" s="1" t="str">
        <f ca="1">IFERROR(__xludf.DUMMYFUNCTION("""COMPUTED_VALUE"""),"Venezuela")</f>
        <v>Venezuela</v>
      </c>
      <c r="F451" s="1" t="str">
        <f ca="1">IFERROR(__xludf.DUMMYFUNCTION("""COMPUTED_VALUE"""),"97.24 Venezuela")</f>
        <v>97.24 Venezuela</v>
      </c>
      <c r="G451" s="1" t="str">
        <f ca="1">IFERROR(__xludf.DUMMYFUNCTION("""COMPUTED_VALUE"""),"Freedom of Expression")</f>
        <v>Freedom of Expression</v>
      </c>
      <c r="H451" s="1" t="str">
        <f ca="1">IFERROR(__xludf.DUMMYFUNCTION("""COMPUTED_VALUE"""),"2024")</f>
        <v>2024</v>
      </c>
      <c r="I451" s="1" t="str">
        <f ca="1">IFERROR(__xludf.DUMMYFUNCTION("""COMPUTED_VALUE"""),"Letter")</f>
        <v>Letter</v>
      </c>
    </row>
    <row r="452" spans="1:9" ht="13" x14ac:dyDescent="0.15">
      <c r="A452" s="9">
        <f ca="1">IFERROR(__xludf.DUMMYFUNCTION("""COMPUTED_VALUE"""),31074691)</f>
        <v>31074691</v>
      </c>
      <c r="B452" s="1" t="str">
        <f ca="1">IFERROR(__xludf.DUMMYFUNCTION("""COMPUTED_VALUE"""),"anna_ungaro@fitnyc.edu")</f>
        <v>anna_ungaro@fitnyc.edu</v>
      </c>
      <c r="C452" s="9" t="str">
        <f ca="1">IFERROR(__xludf.DUMMYFUNCTION("""COMPUTED_VALUE"""),"EVERGREEN - UAN Gated Content - Embedded Petition")</f>
        <v>EVERGREEN - UAN Gated Content - Embedded Petition</v>
      </c>
      <c r="D452" s="10">
        <f ca="1">IFERROR(__xludf.DUMMYFUNCTION("""COMPUTED_VALUE"""),45675)</f>
        <v>45675</v>
      </c>
      <c r="E452" s="1" t="str">
        <f ca="1">IFERROR(__xludf.DUMMYFUNCTION("""COMPUTED_VALUE"""),"Tunisia")</f>
        <v>Tunisia</v>
      </c>
      <c r="F452" s="1" t="str">
        <f ca="1">IFERROR(__xludf.DUMMYFUNCTION("""COMPUTED_VALUE"""),"Second 76.24 Tunisia")</f>
        <v>Second 76.24 Tunisia</v>
      </c>
      <c r="G452" s="1" t="str">
        <f ca="1">IFERROR(__xludf.DUMMYFUNCTION("""COMPUTED_VALUE"""),"Freedom of Expression, Human Rights Defenders")</f>
        <v>Freedom of Expression, Human Rights Defenders</v>
      </c>
      <c r="H452" s="1" t="str">
        <f ca="1">IFERROR(__xludf.DUMMYFUNCTION("""COMPUTED_VALUE"""),"2025")</f>
        <v>2025</v>
      </c>
      <c r="I452" s="1" t="str">
        <f ca="1">IFERROR(__xludf.DUMMYFUNCTION("""COMPUTED_VALUE"""),"Email")</f>
        <v>Email</v>
      </c>
    </row>
    <row r="453" spans="1:9" ht="13" x14ac:dyDescent="0.15">
      <c r="A453" s="9">
        <f ca="1">IFERROR(__xludf.DUMMYFUNCTION("""COMPUTED_VALUE"""),31112297)</f>
        <v>31112297</v>
      </c>
      <c r="B453" s="1" t="str">
        <f ca="1">IFERROR(__xludf.DUMMYFUNCTION("""COMPUTED_VALUE"""),"ilecun@gmail.com")</f>
        <v>ilecun@gmail.com</v>
      </c>
      <c r="C453" s="9" t="str">
        <f ca="1">IFERROR(__xludf.DUMMYFUNCTION("""COMPUTED_VALUE"""),"EVERGREEN - UAN Gated Content - Embedded Petition")</f>
        <v>EVERGREEN - UAN Gated Content - Embedded Petition</v>
      </c>
      <c r="D453" s="10">
        <f ca="1">IFERROR(__xludf.DUMMYFUNCTION("""COMPUTED_VALUE"""),45674)</f>
        <v>45674</v>
      </c>
      <c r="E453" s="1" t="str">
        <f ca="1">IFERROR(__xludf.DUMMYFUNCTION("""COMPUTED_VALUE"""),"Saudi Arabia")</f>
        <v>Saudi Arabia</v>
      </c>
      <c r="F453" s="1" t="str">
        <f ca="1">IFERROR(__xludf.DUMMYFUNCTION("""COMPUTED_VALUE"""),"104.24 Saudi Arabia")</f>
        <v>104.24 Saudi Arabia</v>
      </c>
      <c r="G453" s="1" t="str">
        <f ca="1">IFERROR(__xludf.DUMMYFUNCTION("""COMPUTED_VALUE"""),"Individuals At Risk, Refugee and Migrant Rights")</f>
        <v>Individuals At Risk, Refugee and Migrant Rights</v>
      </c>
      <c r="H453" s="1" t="str">
        <f ca="1">IFERROR(__xludf.DUMMYFUNCTION("""COMPUTED_VALUE"""),"2024")</f>
        <v>2024</v>
      </c>
      <c r="I453" s="1" t="str">
        <f ca="1">IFERROR(__xludf.DUMMYFUNCTION("""COMPUTED_VALUE"""),"Email")</f>
        <v>Email</v>
      </c>
    </row>
    <row r="454" spans="1:9" ht="13" x14ac:dyDescent="0.15">
      <c r="A454" s="9">
        <f ca="1">IFERROR(__xludf.DUMMYFUNCTION("""COMPUTED_VALUE"""),31112297)</f>
        <v>31112297</v>
      </c>
      <c r="B454" s="1" t="str">
        <f ca="1">IFERROR(__xludf.DUMMYFUNCTION("""COMPUTED_VALUE"""),"ilecun@gmail.com")</f>
        <v>ilecun@gmail.com</v>
      </c>
      <c r="C454" s="9" t="str">
        <f ca="1">IFERROR(__xludf.DUMMYFUNCTION("""COMPUTED_VALUE"""),"EVERGREEN - UAN Gated Content - Embedded Petition")</f>
        <v>EVERGREEN - UAN Gated Content - Embedded Petition</v>
      </c>
      <c r="D454" s="10">
        <f ca="1">IFERROR(__xludf.DUMMYFUNCTION("""COMPUTED_VALUE"""),45694)</f>
        <v>45694</v>
      </c>
      <c r="E454" s="1" t="str">
        <f ca="1">IFERROR(__xludf.DUMMYFUNCTION("""COMPUTED_VALUE"""),"Turkiye")</f>
        <v>Turkiye</v>
      </c>
      <c r="F454" s="1" t="str">
        <f ca="1">IFERROR(__xludf.DUMMYFUNCTION("""COMPUTED_VALUE"""),"109.24 Türkiye")</f>
        <v>109.24 Türkiye</v>
      </c>
      <c r="G454" s="1" t="str">
        <f ca="1">IFERROR(__xludf.DUMMYFUNCTION("""COMPUTED_VALUE"""),"Human Rights Defenders, Individuals At Risk")</f>
        <v>Human Rights Defenders, Individuals At Risk</v>
      </c>
      <c r="H454" s="1" t="str">
        <f ca="1">IFERROR(__xludf.DUMMYFUNCTION("""COMPUTED_VALUE"""),"2024")</f>
        <v>2024</v>
      </c>
      <c r="I454" s="1" t="str">
        <f ca="1">IFERROR(__xludf.DUMMYFUNCTION("""COMPUTED_VALUE"""),"Email")</f>
        <v>Email</v>
      </c>
    </row>
    <row r="455" spans="1:9" ht="13" x14ac:dyDescent="0.15">
      <c r="A455" s="9">
        <f ca="1">IFERROR(__xludf.DUMMYFUNCTION("""COMPUTED_VALUE"""),31113309)</f>
        <v>31113309</v>
      </c>
      <c r="B455" s="1" t="str">
        <f ca="1">IFERROR(__xludf.DUMMYFUNCTION("""COMPUTED_VALUE"""),"davesanford@comcast.net")</f>
        <v>davesanford@comcast.net</v>
      </c>
      <c r="C455" s="9" t="str">
        <f ca="1">IFERROR(__xludf.DUMMYFUNCTION("""COMPUTED_VALUE"""),"UAN mid-page Lightbox - Step 1 of 4 - Landing Page")</f>
        <v>UAN mid-page Lightbox - Step 1 of 4 - Landing Page</v>
      </c>
      <c r="D455" s="10">
        <f ca="1">IFERROR(__xludf.DUMMYFUNCTION("""COMPUTED_VALUE"""),45703)</f>
        <v>45703</v>
      </c>
      <c r="E455" s="1" t="str">
        <f ca="1">IFERROR(__xludf.DUMMYFUNCTION("""COMPUTED_VALUE"""),"Turkiye")</f>
        <v>Turkiye</v>
      </c>
      <c r="F455" s="1" t="str">
        <f ca="1">IFERROR(__xludf.DUMMYFUNCTION("""COMPUTED_VALUE"""),"109.24 Türkiye")</f>
        <v>109.24 Türkiye</v>
      </c>
      <c r="G455" s="1" t="str">
        <f ca="1">IFERROR(__xludf.DUMMYFUNCTION("""COMPUTED_VALUE"""),"Human Rights Defenders, Individuals At Risk")</f>
        <v>Human Rights Defenders, Individuals At Risk</v>
      </c>
      <c r="H455" s="1" t="str">
        <f ca="1">IFERROR(__xludf.DUMMYFUNCTION("""COMPUTED_VALUE"""),"2024")</f>
        <v>2024</v>
      </c>
      <c r="I455" s="1" t="str">
        <f ca="1">IFERROR(__xludf.DUMMYFUNCTION("""COMPUTED_VALUE"""),"Email")</f>
        <v>Email</v>
      </c>
    </row>
    <row r="456" spans="1:9" ht="13" x14ac:dyDescent="0.15">
      <c r="A456" s="9">
        <f ca="1">IFERROR(__xludf.DUMMYFUNCTION("""COMPUTED_VALUE"""),31113309)</f>
        <v>31113309</v>
      </c>
      <c r="B456" s="1" t="str">
        <f ca="1">IFERROR(__xludf.DUMMYFUNCTION("""COMPUTED_VALUE"""),"davesanford@comcast.net")</f>
        <v>davesanford@comcast.net</v>
      </c>
      <c r="C456" s="9" t="str">
        <f ca="1">IFERROR(__xludf.DUMMYFUNCTION("""COMPUTED_VALUE"""),"UAN mid-page Lightbox - Step 2 of 4 - More personal info fields")</f>
        <v>UAN mid-page Lightbox - Step 2 of 4 - More personal info fields</v>
      </c>
      <c r="D456" s="10">
        <f ca="1">IFERROR(__xludf.DUMMYFUNCTION("""COMPUTED_VALUE"""),45703)</f>
        <v>45703</v>
      </c>
      <c r="E456" s="1" t="str">
        <f ca="1">IFERROR(__xludf.DUMMYFUNCTION("""COMPUTED_VALUE"""),"Azerbaijan")</f>
        <v>Azerbaijan</v>
      </c>
      <c r="F456" s="1" t="str">
        <f ca="1">IFERROR(__xludf.DUMMYFUNCTION("""COMPUTED_VALUE"""),"2.25 Azerbaijan")</f>
        <v>2.25 Azerbaijan</v>
      </c>
      <c r="G456" s="1" t="str">
        <f ca="1">IFERROR(__xludf.DUMMYFUNCTION("""COMPUTED_VALUE"""),"Freedom of Expression, Human Rights Defenders")</f>
        <v>Freedom of Expression, Human Rights Defenders</v>
      </c>
      <c r="H456" s="1" t="str">
        <f ca="1">IFERROR(__xludf.DUMMYFUNCTION("""COMPUTED_VALUE"""),"2025")</f>
        <v>2025</v>
      </c>
      <c r="I456" s="1" t="str">
        <f ca="1">IFERROR(__xludf.DUMMYFUNCTION("""COMPUTED_VALUE"""),"Email")</f>
        <v>Email</v>
      </c>
    </row>
    <row r="457" spans="1:9" ht="13" x14ac:dyDescent="0.15">
      <c r="A457" s="9">
        <f ca="1">IFERROR(__xludf.DUMMYFUNCTION("""COMPUTED_VALUE"""),31113309)</f>
        <v>31113309</v>
      </c>
      <c r="B457" s="1" t="str">
        <f ca="1">IFERROR(__xludf.DUMMYFUNCTION("""COMPUTED_VALUE"""),"davesanford@comcast.net")</f>
        <v>davesanford@comcast.net</v>
      </c>
      <c r="C457" s="9" t="str">
        <f ca="1">IFERROR(__xludf.DUMMYFUNCTION("""COMPUTED_VALUE"""),"UAN mid-page Lightbox - Step 3 of 4 - More opt-ins")</f>
        <v>UAN mid-page Lightbox - Step 3 of 4 - More opt-ins</v>
      </c>
      <c r="D457" s="10">
        <f ca="1">IFERROR(__xludf.DUMMYFUNCTION("""COMPUTED_VALUE"""),45703)</f>
        <v>45703</v>
      </c>
      <c r="E457" s="1" t="str">
        <f ca="1">IFERROR(__xludf.DUMMYFUNCTION("""COMPUTED_VALUE"""),"Tunisia")</f>
        <v>Tunisia</v>
      </c>
      <c r="F457" s="1" t="str">
        <f ca="1">IFERROR(__xludf.DUMMYFUNCTION("""COMPUTED_VALUE"""),"Second 76.24 Tunisia")</f>
        <v>Second 76.24 Tunisia</v>
      </c>
      <c r="G457" s="1" t="str">
        <f ca="1">IFERROR(__xludf.DUMMYFUNCTION("""COMPUTED_VALUE"""),"Freedom of Expression, Human Rights Defenders")</f>
        <v>Freedom of Expression, Human Rights Defenders</v>
      </c>
      <c r="H457" s="1" t="str">
        <f ca="1">IFERROR(__xludf.DUMMYFUNCTION("""COMPUTED_VALUE"""),"2025")</f>
        <v>2025</v>
      </c>
      <c r="I457" s="1" t="str">
        <f ca="1">IFERROR(__xludf.DUMMYFUNCTION("""COMPUTED_VALUE"""),"Email")</f>
        <v>Email</v>
      </c>
    </row>
    <row r="458" spans="1:9" ht="13" x14ac:dyDescent="0.15">
      <c r="A458" s="9">
        <f ca="1">IFERROR(__xludf.DUMMYFUNCTION("""COMPUTED_VALUE"""),31131145)</f>
        <v>31131145</v>
      </c>
      <c r="B458" s="1" t="str">
        <f ca="1">IFERROR(__xludf.DUMMYFUNCTION("""COMPUTED_VALUE"""),"probyngregory@gmail.com")</f>
        <v>probyngregory@gmail.com</v>
      </c>
      <c r="C458" s="9" t="str">
        <f ca="1">IFERROR(__xludf.DUMMYFUNCTION("""COMPUTED_VALUE"""),"EVERGREEN - UAN Gated Content - Embedded Petition")</f>
        <v>EVERGREEN - UAN Gated Content - Embedded Petition</v>
      </c>
      <c r="D458" s="10">
        <f ca="1">IFERROR(__xludf.DUMMYFUNCTION("""COMPUTED_VALUE"""),45636)</f>
        <v>45636</v>
      </c>
      <c r="E458" s="1" t="str">
        <f ca="1">IFERROR(__xludf.DUMMYFUNCTION("""COMPUTED_VALUE"""),"Tunisia")</f>
        <v>Tunisia</v>
      </c>
      <c r="F458" s="1" t="str">
        <f ca="1">IFERROR(__xludf.DUMMYFUNCTION("""COMPUTED_VALUE"""),"Second 76.24 Tunisia")</f>
        <v>Second 76.24 Tunisia</v>
      </c>
      <c r="G458" s="1" t="str">
        <f ca="1">IFERROR(__xludf.DUMMYFUNCTION("""COMPUTED_VALUE"""),"Freedom of Expression, Human Rights Defenders")</f>
        <v>Freedom of Expression, Human Rights Defenders</v>
      </c>
      <c r="H458" s="1" t="str">
        <f ca="1">IFERROR(__xludf.DUMMYFUNCTION("""COMPUTED_VALUE"""),"2025")</f>
        <v>2025</v>
      </c>
      <c r="I458" s="1" t="str">
        <f ca="1">IFERROR(__xludf.DUMMYFUNCTION("""COMPUTED_VALUE"""),"Email")</f>
        <v>Email</v>
      </c>
    </row>
    <row r="459" spans="1:9" ht="13" x14ac:dyDescent="0.15">
      <c r="A459" s="9">
        <f ca="1">IFERROR(__xludf.DUMMYFUNCTION("""COMPUTED_VALUE"""),31131145)</f>
        <v>31131145</v>
      </c>
      <c r="B459" s="1" t="str">
        <f ca="1">IFERROR(__xludf.DUMMYFUNCTION("""COMPUTED_VALUE"""),"probyngregory@gmail.com")</f>
        <v>probyngregory@gmail.com</v>
      </c>
      <c r="C459" s="9" t="str">
        <f ca="1">IFERROR(__xludf.DUMMYFUNCTION("""COMPUTED_VALUE"""),"EVERGREEN - UAN Gated Content - Embedded Petition")</f>
        <v>EVERGREEN - UAN Gated Content - Embedded Petition</v>
      </c>
      <c r="D459" s="10">
        <f ca="1">IFERROR(__xludf.DUMMYFUNCTION("""COMPUTED_VALUE"""),45636)</f>
        <v>45636</v>
      </c>
      <c r="E459" s="1" t="str">
        <f ca="1">IFERROR(__xludf.DUMMYFUNCTION("""COMPUTED_VALUE"""),"USA")</f>
        <v>USA</v>
      </c>
      <c r="F459" s="1" t="str">
        <f ca="1">IFERROR(__xludf.DUMMYFUNCTION("""COMPUTED_VALUE"""),"105.24 USA")</f>
        <v>105.24 USA</v>
      </c>
      <c r="G459" s="1" t="str">
        <f ca="1">IFERROR(__xludf.DUMMYFUNCTION("""COMPUTED_VALUE"""),"Death Penalty")</f>
        <v>Death Penalty</v>
      </c>
      <c r="H459" s="1" t="str">
        <f ca="1">IFERROR(__xludf.DUMMYFUNCTION("""COMPUTED_VALUE"""),"2024")</f>
        <v>2024</v>
      </c>
      <c r="I459" s="1" t="str">
        <f ca="1">IFERROR(__xludf.DUMMYFUNCTION("""COMPUTED_VALUE"""),"Email")</f>
        <v>Email</v>
      </c>
    </row>
    <row r="460" spans="1:9" ht="13" x14ac:dyDescent="0.15">
      <c r="A460" s="9">
        <f ca="1">IFERROR(__xludf.DUMMYFUNCTION("""COMPUTED_VALUE"""),31131145)</f>
        <v>31131145</v>
      </c>
      <c r="B460" s="1" t="str">
        <f ca="1">IFERROR(__xludf.DUMMYFUNCTION("""COMPUTED_VALUE"""),"probyngregory@gmail.com")</f>
        <v>probyngregory@gmail.com</v>
      </c>
      <c r="C460" s="9" t="str">
        <f ca="1">IFERROR(__xludf.DUMMYFUNCTION("""COMPUTED_VALUE"""),"EVERGREEN - UAN Gated Content - Embedded Petition")</f>
        <v>EVERGREEN - UAN Gated Content - Embedded Petition</v>
      </c>
      <c r="D460" s="10">
        <f ca="1">IFERROR(__xludf.DUMMYFUNCTION("""COMPUTED_VALUE"""),45637)</f>
        <v>45637</v>
      </c>
      <c r="E460" s="1" t="str">
        <f ca="1">IFERROR(__xludf.DUMMYFUNCTION("""COMPUTED_VALUE"""),"China")</f>
        <v>China</v>
      </c>
      <c r="F460" s="1" t="str">
        <f ca="1">IFERROR(__xludf.DUMMYFUNCTION("""COMPUTED_VALUE"""),"106.24 China")</f>
        <v>106.24 China</v>
      </c>
      <c r="G460" s="1" t="str">
        <f ca="1">IFERROR(__xludf.DUMMYFUNCTION("""COMPUTED_VALUE"""),"Freedom of Expression, Individuals At Risk")</f>
        <v>Freedom of Expression, Individuals At Risk</v>
      </c>
      <c r="H460" s="1" t="str">
        <f ca="1">IFERROR(__xludf.DUMMYFUNCTION("""COMPUTED_VALUE"""),"2024")</f>
        <v>2024</v>
      </c>
      <c r="I460" s="1" t="str">
        <f ca="1">IFERROR(__xludf.DUMMYFUNCTION("""COMPUTED_VALUE"""),"Email")</f>
        <v>Email</v>
      </c>
    </row>
    <row r="461" spans="1:9" ht="13" x14ac:dyDescent="0.15">
      <c r="A461" s="9">
        <f ca="1">IFERROR(__xludf.DUMMYFUNCTION("""COMPUTED_VALUE"""),31131145)</f>
        <v>31131145</v>
      </c>
      <c r="B461" s="1" t="str">
        <f ca="1">IFERROR(__xludf.DUMMYFUNCTION("""COMPUTED_VALUE"""),"probyngregory@gmail.com")</f>
        <v>probyngregory@gmail.com</v>
      </c>
      <c r="C461" s="9" t="str">
        <f ca="1">IFERROR(__xludf.DUMMYFUNCTION("""COMPUTED_VALUE"""),"EVERGREEN - UAN Gated Content - Embedded Petition")</f>
        <v>EVERGREEN - UAN Gated Content - Embedded Petition</v>
      </c>
      <c r="D461" s="10">
        <f ca="1">IFERROR(__xludf.DUMMYFUNCTION("""COMPUTED_VALUE"""),45694)</f>
        <v>45694</v>
      </c>
      <c r="E461" s="1" t="str">
        <f ca="1">IFERROR(__xludf.DUMMYFUNCTION("""COMPUTED_VALUE"""),"Uganda")</f>
        <v>Uganda</v>
      </c>
      <c r="F461" s="1" t="str">
        <f ca="1">IFERROR(__xludf.DUMMYFUNCTION("""COMPUTED_VALUE"""),"100.24 Uganda")</f>
        <v>100.24 Uganda</v>
      </c>
      <c r="G461" s="1" t="str">
        <f ca="1">IFERROR(__xludf.DUMMYFUNCTION("""COMPUTED_VALUE"""),"Freedom of Expression")</f>
        <v>Freedom of Expression</v>
      </c>
      <c r="H461" s="1" t="str">
        <f ca="1">IFERROR(__xludf.DUMMYFUNCTION("""COMPUTED_VALUE"""),"2024")</f>
        <v>2024</v>
      </c>
      <c r="I461" s="1" t="str">
        <f ca="1">IFERROR(__xludf.DUMMYFUNCTION("""COMPUTED_VALUE"""),"Email")</f>
        <v>Email</v>
      </c>
    </row>
    <row r="462" spans="1:9" ht="13" x14ac:dyDescent="0.15">
      <c r="A462" s="9">
        <f ca="1">IFERROR(__xludf.DUMMYFUNCTION("""COMPUTED_VALUE"""),31131145)</f>
        <v>31131145</v>
      </c>
      <c r="B462" s="1" t="str">
        <f ca="1">IFERROR(__xludf.DUMMYFUNCTION("""COMPUTED_VALUE"""),"probyngregory@gmail.com")</f>
        <v>probyngregory@gmail.com</v>
      </c>
      <c r="C462" s="9" t="str">
        <f ca="1">IFERROR(__xludf.DUMMYFUNCTION("""COMPUTED_VALUE"""),"EVERGREEN - Website Email Capture Form - UAN Pre-Footer")</f>
        <v>EVERGREEN - Website Email Capture Form - UAN Pre-Footer</v>
      </c>
      <c r="D462" s="10">
        <f ca="1">IFERROR(__xludf.DUMMYFUNCTION("""COMPUTED_VALUE"""),45637)</f>
        <v>45637</v>
      </c>
      <c r="E462" s="1" t="str">
        <f ca="1">IFERROR(__xludf.DUMMYFUNCTION("""COMPUTED_VALUE"""),"Singapore")</f>
        <v>Singapore</v>
      </c>
      <c r="F462" s="1" t="str">
        <f ca="1">IFERROR(__xludf.DUMMYFUNCTION("""COMPUTED_VALUE"""),"107.24 Singapore")</f>
        <v>107.24 Singapore</v>
      </c>
      <c r="G462" s="1" t="str">
        <f ca="1">IFERROR(__xludf.DUMMYFUNCTION("""COMPUTED_VALUE"""),"Death Penalty")</f>
        <v>Death Penalty</v>
      </c>
      <c r="H462" s="1" t="str">
        <f ca="1">IFERROR(__xludf.DUMMYFUNCTION("""COMPUTED_VALUE"""),"2024")</f>
        <v>2024</v>
      </c>
      <c r="I462" s="1" t="str">
        <f ca="1">IFERROR(__xludf.DUMMYFUNCTION("""COMPUTED_VALUE"""),"Email")</f>
        <v>Email</v>
      </c>
    </row>
    <row r="463" spans="1:9" ht="13" x14ac:dyDescent="0.15">
      <c r="A463" s="9">
        <f ca="1">IFERROR(__xludf.DUMMYFUNCTION("""COMPUTED_VALUE"""),31133101)</f>
        <v>31133101</v>
      </c>
      <c r="B463" s="1" t="str">
        <f ca="1">IFERROR(__xludf.DUMMYFUNCTION("""COMPUTED_VALUE"""),"debbieculter@yahoo.com")</f>
        <v>debbieculter@yahoo.com</v>
      </c>
      <c r="C463" s="9" t="str">
        <f ca="1">IFERROR(__xludf.DUMMYFUNCTION("""COMPUTED_VALUE"""),"EVERGREEN - UAN Gated Content - Embedded Petition")</f>
        <v>EVERGREEN - UAN Gated Content - Embedded Petition</v>
      </c>
      <c r="D463" s="10">
        <f ca="1">IFERROR(__xludf.DUMMYFUNCTION("""COMPUTED_VALUE"""),45694)</f>
        <v>45694</v>
      </c>
      <c r="E463" s="1" t="str">
        <f ca="1">IFERROR(__xludf.DUMMYFUNCTION("""COMPUTED_VALUE"""),"Iran")</f>
        <v>Iran</v>
      </c>
      <c r="F463" s="1" t="str">
        <f ca="1">IFERROR(__xludf.DUMMYFUNCTION("""COMPUTED_VALUE"""),"Seventh 103.22 Iran")</f>
        <v>Seventh 103.22 Iran</v>
      </c>
      <c r="G463" s="1" t="str">
        <f ca="1">IFERROR(__xludf.DUMMYFUNCTION("""COMPUTED_VALUE"""),"Death Penalty, Freedom of Expression, Individuals At Risk")</f>
        <v>Death Penalty, Freedom of Expression, Individuals At Risk</v>
      </c>
      <c r="H463" s="1" t="str">
        <f ca="1">IFERROR(__xludf.DUMMYFUNCTION("""COMPUTED_VALUE"""),"2024")</f>
        <v>2024</v>
      </c>
      <c r="I463" s="1" t="str">
        <f ca="1">IFERROR(__xludf.DUMMYFUNCTION("""COMPUTED_VALUE"""),"Email")</f>
        <v>Email</v>
      </c>
    </row>
    <row r="464" spans="1:9" ht="13" x14ac:dyDescent="0.15">
      <c r="A464" s="9">
        <f ca="1">IFERROR(__xludf.DUMMYFUNCTION("""COMPUTED_VALUE"""),31152417)</f>
        <v>31152417</v>
      </c>
      <c r="B464" s="1" t="str">
        <f ca="1">IFERROR(__xludf.DUMMYFUNCTION("""COMPUTED_VALUE"""),"lehayes@alumni.princeton.edu")</f>
        <v>lehayes@alumni.princeton.edu</v>
      </c>
      <c r="C464" s="9" t="str">
        <f ca="1">IFERROR(__xludf.DUMMYFUNCTION("""COMPUTED_VALUE"""),"EVERGREEN - UAN Gated Content - Embedded Petition")</f>
        <v>EVERGREEN - UAN Gated Content - Embedded Petition</v>
      </c>
      <c r="D464" s="10">
        <f ca="1">IFERROR(__xludf.DUMMYFUNCTION("""COMPUTED_VALUE"""),45694)</f>
        <v>45694</v>
      </c>
      <c r="E464" s="1" t="str">
        <f ca="1">IFERROR(__xludf.DUMMYFUNCTION("""COMPUTED_VALUE"""),"Turkiye")</f>
        <v>Turkiye</v>
      </c>
      <c r="F464" s="1" t="str">
        <f ca="1">IFERROR(__xludf.DUMMYFUNCTION("""COMPUTED_VALUE"""),"109.24 Türkiye")</f>
        <v>109.24 Türkiye</v>
      </c>
      <c r="G464" s="1" t="str">
        <f ca="1">IFERROR(__xludf.DUMMYFUNCTION("""COMPUTED_VALUE"""),"Human Rights Defenders, Individuals At Risk")</f>
        <v>Human Rights Defenders, Individuals At Risk</v>
      </c>
      <c r="H464" s="1" t="str">
        <f ca="1">IFERROR(__xludf.DUMMYFUNCTION("""COMPUTED_VALUE"""),"2024")</f>
        <v>2024</v>
      </c>
      <c r="I464" s="1" t="str">
        <f ca="1">IFERROR(__xludf.DUMMYFUNCTION("""COMPUTED_VALUE"""),"Email")</f>
        <v>Email</v>
      </c>
    </row>
    <row r="465" spans="1:9" ht="13" x14ac:dyDescent="0.15">
      <c r="A465" s="9">
        <f ca="1">IFERROR(__xludf.DUMMYFUNCTION("""COMPUTED_VALUE"""),31154677)</f>
        <v>31154677</v>
      </c>
      <c r="B465" s="1" t="str">
        <f ca="1">IFERROR(__xludf.DUMMYFUNCTION("""COMPUTED_VALUE"""),"wilbur@wilbur.us")</f>
        <v>wilbur@wilbur.us</v>
      </c>
      <c r="C465" s="9" t="str">
        <f ca="1">IFERROR(__xludf.DUMMYFUNCTION("""COMPUTED_VALUE"""),"EVERGREEN - UAN Gated Content - Embedded Petition")</f>
        <v>EVERGREEN - UAN Gated Content - Embedded Petition</v>
      </c>
      <c r="D465" s="10">
        <f ca="1">IFERROR(__xludf.DUMMYFUNCTION("""COMPUTED_VALUE"""),45701)</f>
        <v>45701</v>
      </c>
      <c r="E465" s="1" t="str">
        <f ca="1">IFERROR(__xludf.DUMMYFUNCTION("""COMPUTED_VALUE"""),"Egypt")</f>
        <v>Egypt</v>
      </c>
      <c r="F465" s="1" t="str">
        <f ca="1">IFERROR(__xludf.DUMMYFUNCTION("""COMPUTED_VALUE"""),"Third 73.23 Egypt")</f>
        <v>Third 73.23 Egypt</v>
      </c>
      <c r="G465" s="1" t="str">
        <f ca="1">IFERROR(__xludf.DUMMYFUNCTION("""COMPUTED_VALUE"""),"Individuals At Risk")</f>
        <v>Individuals At Risk</v>
      </c>
      <c r="H465" s="1" t="str">
        <f ca="1">IFERROR(__xludf.DUMMYFUNCTION("""COMPUTED_VALUE"""),"2024")</f>
        <v>2024</v>
      </c>
      <c r="I465" s="1" t="str">
        <f ca="1">IFERROR(__xludf.DUMMYFUNCTION("""COMPUTED_VALUE"""),"Email")</f>
        <v>Email</v>
      </c>
    </row>
    <row r="466" spans="1:9" ht="13" x14ac:dyDescent="0.15">
      <c r="A466" s="9">
        <f ca="1">IFERROR(__xludf.DUMMYFUNCTION("""COMPUTED_VALUE"""),31156791)</f>
        <v>31156791</v>
      </c>
      <c r="B466" s="1" t="str">
        <f ca="1">IFERROR(__xludf.DUMMYFUNCTION("""COMPUTED_VALUE"""),"derrick.redhead@gmail.com")</f>
        <v>derrick.redhead@gmail.com</v>
      </c>
      <c r="C466" s="9" t="str">
        <f ca="1">IFERROR(__xludf.DUMMYFUNCTION("""COMPUTED_VALUE"""),"EVERGREEN - UAN Gated Content - Embedded Petition")</f>
        <v>EVERGREEN - UAN Gated Content - Embedded Petition</v>
      </c>
      <c r="D466" s="10">
        <f ca="1">IFERROR(__xludf.DUMMYFUNCTION("""COMPUTED_VALUE"""),45686)</f>
        <v>45686</v>
      </c>
      <c r="E466" s="1" t="str">
        <f ca="1">IFERROR(__xludf.DUMMYFUNCTION("""COMPUTED_VALUE"""),"Venezuela")</f>
        <v>Venezuela</v>
      </c>
      <c r="F466" s="1" t="str">
        <f ca="1">IFERROR(__xludf.DUMMYFUNCTION("""COMPUTED_VALUE"""),"1.25 Venezuela")</f>
        <v>1.25 Venezuela</v>
      </c>
      <c r="G466" s="1" t="str">
        <f ca="1">IFERROR(__xludf.DUMMYFUNCTION("""COMPUTED_VALUE"""),"Human Rights Defenders, Individuals At Risk")</f>
        <v>Human Rights Defenders, Individuals At Risk</v>
      </c>
      <c r="H466" s="1" t="str">
        <f ca="1">IFERROR(__xludf.DUMMYFUNCTION("""COMPUTED_VALUE"""),"2025")</f>
        <v>2025</v>
      </c>
      <c r="I466" s="1" t="str">
        <f ca="1">IFERROR(__xludf.DUMMYFUNCTION("""COMPUTED_VALUE"""),"Letter")</f>
        <v>Letter</v>
      </c>
    </row>
    <row r="467" spans="1:9" ht="13" x14ac:dyDescent="0.15">
      <c r="A467" s="9">
        <f ca="1">IFERROR(__xludf.DUMMYFUNCTION("""COMPUTED_VALUE"""),31162734)</f>
        <v>31162734</v>
      </c>
      <c r="B467" s="1" t="str">
        <f ca="1">IFERROR(__xludf.DUMMYFUNCTION("""COMPUTED_VALUE"""),"jfriesem@gmail.com")</f>
        <v>jfriesem@gmail.com</v>
      </c>
      <c r="C467" s="9" t="str">
        <f ca="1">IFERROR(__xludf.DUMMYFUNCTION("""COMPUTED_VALUE"""),"EVERGREEN - UAN Gated Content - Embedded Petition")</f>
        <v>EVERGREEN - UAN Gated Content - Embedded Petition</v>
      </c>
      <c r="D467" s="10">
        <f ca="1">IFERROR(__xludf.DUMMYFUNCTION("""COMPUTED_VALUE"""),45694)</f>
        <v>45694</v>
      </c>
      <c r="E467" s="1" t="str">
        <f ca="1">IFERROR(__xludf.DUMMYFUNCTION("""COMPUTED_VALUE"""),"Russian Federation")</f>
        <v>Russian Federation</v>
      </c>
      <c r="F467" s="1" t="str">
        <f ca="1">IFERROR(__xludf.DUMMYFUNCTION("""COMPUTED_VALUE"""),"102.24 Russia")</f>
        <v>102.24 Russia</v>
      </c>
      <c r="G467" s="1" t="str">
        <f ca="1">IFERROR(__xludf.DUMMYFUNCTION("""COMPUTED_VALUE"""),"Freedom of Expression, Individuals At Risk, Right to Protest")</f>
        <v>Freedom of Expression, Individuals At Risk, Right to Protest</v>
      </c>
      <c r="H467" s="1" t="str">
        <f ca="1">IFERROR(__xludf.DUMMYFUNCTION("""COMPUTED_VALUE"""),"2024")</f>
        <v>2024</v>
      </c>
      <c r="I467" s="1" t="str">
        <f ca="1">IFERROR(__xludf.DUMMYFUNCTION("""COMPUTED_VALUE"""),"Email")</f>
        <v>Email</v>
      </c>
    </row>
    <row r="468" spans="1:9" ht="13" x14ac:dyDescent="0.15">
      <c r="A468" s="9">
        <f ca="1">IFERROR(__xludf.DUMMYFUNCTION("""COMPUTED_VALUE"""),31162734)</f>
        <v>31162734</v>
      </c>
      <c r="B468" s="1" t="str">
        <f ca="1">IFERROR(__xludf.DUMMYFUNCTION("""COMPUTED_VALUE"""),"jfriesem@gmail.com")</f>
        <v>jfriesem@gmail.com</v>
      </c>
      <c r="C468" s="9" t="str">
        <f ca="1">IFERROR(__xludf.DUMMYFUNCTION("""COMPUTED_VALUE"""),"EVERGREEN - UAN Gated Content - Embedded Petition")</f>
        <v>EVERGREEN - UAN Gated Content - Embedded Petition</v>
      </c>
      <c r="D468" s="10">
        <f ca="1">IFERROR(__xludf.DUMMYFUNCTION("""COMPUTED_VALUE"""),45694)</f>
        <v>45694</v>
      </c>
      <c r="E468" s="1" t="str">
        <f ca="1">IFERROR(__xludf.DUMMYFUNCTION("""COMPUTED_VALUE"""),"Tunisia")</f>
        <v>Tunisia</v>
      </c>
      <c r="F468" s="1" t="str">
        <f ca="1">IFERROR(__xludf.DUMMYFUNCTION("""COMPUTED_VALUE"""),"Second 76.24 Tunisia")</f>
        <v>Second 76.24 Tunisia</v>
      </c>
      <c r="G468" s="1" t="str">
        <f ca="1">IFERROR(__xludf.DUMMYFUNCTION("""COMPUTED_VALUE"""),"Freedom of Expression, Human Rights Defenders")</f>
        <v>Freedom of Expression, Human Rights Defenders</v>
      </c>
      <c r="H468" s="1" t="str">
        <f ca="1">IFERROR(__xludf.DUMMYFUNCTION("""COMPUTED_VALUE"""),"2025")</f>
        <v>2025</v>
      </c>
      <c r="I468" s="1" t="str">
        <f ca="1">IFERROR(__xludf.DUMMYFUNCTION("""COMPUTED_VALUE"""),"Email")</f>
        <v>Email</v>
      </c>
    </row>
    <row r="469" spans="1:9" ht="13" x14ac:dyDescent="0.15">
      <c r="A469" s="9">
        <f ca="1">IFERROR(__xludf.DUMMYFUNCTION("""COMPUTED_VALUE"""),31165016)</f>
        <v>31165016</v>
      </c>
      <c r="B469" s="1" t="str">
        <f ca="1">IFERROR(__xludf.DUMMYFUNCTION("""COMPUTED_VALUE"""),"david.strozzi@gmail.com")</f>
        <v>david.strozzi@gmail.com</v>
      </c>
      <c r="C469" s="9" t="str">
        <f ca="1">IFERROR(__xludf.DUMMYFUNCTION("""COMPUTED_VALUE"""),"EVERGREEN - UAN Gated Content - Embedded Petition")</f>
        <v>EVERGREEN - UAN Gated Content - Embedded Petition</v>
      </c>
      <c r="D469" s="10">
        <f ca="1">IFERROR(__xludf.DUMMYFUNCTION("""COMPUTED_VALUE"""),45660)</f>
        <v>45660</v>
      </c>
      <c r="E469" s="1" t="str">
        <f ca="1">IFERROR(__xludf.DUMMYFUNCTION("""COMPUTED_VALUE"""),"Tunisia")</f>
        <v>Tunisia</v>
      </c>
      <c r="F469" s="1" t="str">
        <f ca="1">IFERROR(__xludf.DUMMYFUNCTION("""COMPUTED_VALUE"""),"Second 76.24 Tunisia")</f>
        <v>Second 76.24 Tunisia</v>
      </c>
      <c r="G469" s="1" t="str">
        <f ca="1">IFERROR(__xludf.DUMMYFUNCTION("""COMPUTED_VALUE"""),"Freedom of Expression, Human Rights Defenders")</f>
        <v>Freedom of Expression, Human Rights Defenders</v>
      </c>
      <c r="H469" s="1" t="str">
        <f ca="1">IFERROR(__xludf.DUMMYFUNCTION("""COMPUTED_VALUE"""),"2025")</f>
        <v>2025</v>
      </c>
      <c r="I469" s="1" t="str">
        <f ca="1">IFERROR(__xludf.DUMMYFUNCTION("""COMPUTED_VALUE"""),"Email")</f>
        <v>Email</v>
      </c>
    </row>
    <row r="470" spans="1:9" ht="13" x14ac:dyDescent="0.15">
      <c r="A470" s="9">
        <f ca="1">IFERROR(__xludf.DUMMYFUNCTION("""COMPUTED_VALUE"""),31171426)</f>
        <v>31171426</v>
      </c>
      <c r="B470" s="1" t="str">
        <f ca="1">IFERROR(__xludf.DUMMYFUNCTION("""COMPUTED_VALUE"""),"krigone@gmail.com")</f>
        <v>krigone@gmail.com</v>
      </c>
      <c r="C470" s="9" t="str">
        <f ca="1">IFERROR(__xludf.DUMMYFUNCTION("""COMPUTED_VALUE"""),"EVERGREEN - UAN Gated Content - Embedded Petition")</f>
        <v>EVERGREEN - UAN Gated Content - Embedded Petition</v>
      </c>
      <c r="D470" s="10">
        <f ca="1">IFERROR(__xludf.DUMMYFUNCTION("""COMPUTED_VALUE"""),45694)</f>
        <v>45694</v>
      </c>
      <c r="E470" s="1" t="str">
        <f ca="1">IFERROR(__xludf.DUMMYFUNCTION("""COMPUTED_VALUE"""),"Tunisia")</f>
        <v>Tunisia</v>
      </c>
      <c r="F470" s="1" t="str">
        <f ca="1">IFERROR(__xludf.DUMMYFUNCTION("""COMPUTED_VALUE"""),"Second 76.24 Tunisia")</f>
        <v>Second 76.24 Tunisia</v>
      </c>
      <c r="G470" s="1" t="str">
        <f ca="1">IFERROR(__xludf.DUMMYFUNCTION("""COMPUTED_VALUE"""),"Freedom of Expression, Human Rights Defenders")</f>
        <v>Freedom of Expression, Human Rights Defenders</v>
      </c>
      <c r="H470" s="1" t="str">
        <f ca="1">IFERROR(__xludf.DUMMYFUNCTION("""COMPUTED_VALUE"""),"2025")</f>
        <v>2025</v>
      </c>
      <c r="I470" s="1" t="str">
        <f ca="1">IFERROR(__xludf.DUMMYFUNCTION("""COMPUTED_VALUE"""),"Email")</f>
        <v>Email</v>
      </c>
    </row>
    <row r="471" spans="1:9" ht="13" x14ac:dyDescent="0.15">
      <c r="A471" s="9">
        <f ca="1">IFERROR(__xludf.DUMMYFUNCTION("""COMPUTED_VALUE"""),31182325)</f>
        <v>31182325</v>
      </c>
      <c r="B471" s="1" t="str">
        <f ca="1">IFERROR(__xludf.DUMMYFUNCTION("""COMPUTED_VALUE"""),"bwrdtk1973@gmail.com")</f>
        <v>bwrdtk1973@gmail.com</v>
      </c>
      <c r="C471" s="9" t="str">
        <f ca="1">IFERROR(__xludf.DUMMYFUNCTION("""COMPUTED_VALUE"""),"EVERGREEN - UAN Gated Content - Embedded Petition")</f>
        <v>EVERGREEN - UAN Gated Content - Embedded Petition</v>
      </c>
      <c r="D471" s="10">
        <f ca="1">IFERROR(__xludf.DUMMYFUNCTION("""COMPUTED_VALUE"""),45617)</f>
        <v>45617</v>
      </c>
      <c r="E471" s="1" t="str">
        <f ca="1">IFERROR(__xludf.DUMMYFUNCTION("""COMPUTED_VALUE"""),"Tunisia")</f>
        <v>Tunisia</v>
      </c>
      <c r="F471" s="1" t="str">
        <f ca="1">IFERROR(__xludf.DUMMYFUNCTION("""COMPUTED_VALUE"""),"Second 76.24 Tunisia")</f>
        <v>Second 76.24 Tunisia</v>
      </c>
      <c r="G471" s="1" t="str">
        <f ca="1">IFERROR(__xludf.DUMMYFUNCTION("""COMPUTED_VALUE"""),"Freedom of Expression, Human Rights Defenders")</f>
        <v>Freedom of Expression, Human Rights Defenders</v>
      </c>
      <c r="H471" s="1" t="str">
        <f ca="1">IFERROR(__xludf.DUMMYFUNCTION("""COMPUTED_VALUE"""),"2025")</f>
        <v>2025</v>
      </c>
      <c r="I471" s="1" t="str">
        <f ca="1">IFERROR(__xludf.DUMMYFUNCTION("""COMPUTED_VALUE"""),"Email")</f>
        <v>Email</v>
      </c>
    </row>
    <row r="472" spans="1:9" ht="13" x14ac:dyDescent="0.15">
      <c r="A472" s="9">
        <f ca="1">IFERROR(__xludf.DUMMYFUNCTION("""COMPUTED_VALUE"""),31182325)</f>
        <v>31182325</v>
      </c>
      <c r="B472" s="1" t="str">
        <f ca="1">IFERROR(__xludf.DUMMYFUNCTION("""COMPUTED_VALUE"""),"bwrdtk1973@gmail.com")</f>
        <v>bwrdtk1973@gmail.com</v>
      </c>
      <c r="C472" s="9" t="str">
        <f ca="1">IFERROR(__xludf.DUMMYFUNCTION("""COMPUTED_VALUE"""),"EVERGREEN - UAN Gated Content - Embedded Petition")</f>
        <v>EVERGREEN - UAN Gated Content - Embedded Petition</v>
      </c>
      <c r="D472" s="10">
        <f ca="1">IFERROR(__xludf.DUMMYFUNCTION("""COMPUTED_VALUE"""),45617)</f>
        <v>45617</v>
      </c>
      <c r="E472" s="1" t="str">
        <f ca="1">IFERROR(__xludf.DUMMYFUNCTION("""COMPUTED_VALUE"""),"Tunisia")</f>
        <v>Tunisia</v>
      </c>
      <c r="F472" s="1" t="str">
        <f ca="1">IFERROR(__xludf.DUMMYFUNCTION("""COMPUTED_VALUE"""),"Second 76.24 Tunisia")</f>
        <v>Second 76.24 Tunisia</v>
      </c>
      <c r="G472" s="1" t="str">
        <f ca="1">IFERROR(__xludf.DUMMYFUNCTION("""COMPUTED_VALUE"""),"Freedom of Expression, Human Rights Defenders")</f>
        <v>Freedom of Expression, Human Rights Defenders</v>
      </c>
      <c r="H472" s="1" t="str">
        <f ca="1">IFERROR(__xludf.DUMMYFUNCTION("""COMPUTED_VALUE"""),"2025")</f>
        <v>2025</v>
      </c>
      <c r="I472" s="1" t="str">
        <f ca="1">IFERROR(__xludf.DUMMYFUNCTION("""COMPUTED_VALUE"""),"Email")</f>
        <v>Email</v>
      </c>
    </row>
    <row r="473" spans="1:9" ht="13" x14ac:dyDescent="0.15">
      <c r="A473" s="9">
        <f ca="1">IFERROR(__xludf.DUMMYFUNCTION("""COMPUTED_VALUE"""),31182325)</f>
        <v>31182325</v>
      </c>
      <c r="B473" s="1" t="str">
        <f ca="1">IFERROR(__xludf.DUMMYFUNCTION("""COMPUTED_VALUE"""),"bwrdtk1973@gmail.com")</f>
        <v>bwrdtk1973@gmail.com</v>
      </c>
      <c r="C473" s="9" t="str">
        <f ca="1">IFERROR(__xludf.DUMMYFUNCTION("""COMPUTED_VALUE"""),"EVERGREEN - UAN Gated Content - Embedded Petition")</f>
        <v>EVERGREEN - UAN Gated Content - Embedded Petition</v>
      </c>
      <c r="D473" s="10">
        <f ca="1">IFERROR(__xludf.DUMMYFUNCTION("""COMPUTED_VALUE"""),45640)</f>
        <v>45640</v>
      </c>
      <c r="E473" s="1" t="str">
        <f ca="1">IFERROR(__xludf.DUMMYFUNCTION("""COMPUTED_VALUE"""),"USA")</f>
        <v>USA</v>
      </c>
      <c r="F473" s="1" t="str">
        <f ca="1">IFERROR(__xludf.DUMMYFUNCTION("""COMPUTED_VALUE"""),"Fourth 55.24 USA")</f>
        <v>Fourth 55.24 USA</v>
      </c>
      <c r="G473" s="1" t="str">
        <f ca="1">IFERROR(__xludf.DUMMYFUNCTION("""COMPUTED_VALUE"""),"Climate Justice, Individuals At Risk")</f>
        <v>Climate Justice, Individuals At Risk</v>
      </c>
      <c r="H473" s="1" t="str">
        <f ca="1">IFERROR(__xludf.DUMMYFUNCTION("""COMPUTED_VALUE"""),"2025")</f>
        <v>2025</v>
      </c>
      <c r="I473" s="1" t="str">
        <f ca="1">IFERROR(__xludf.DUMMYFUNCTION("""COMPUTED_VALUE"""),"Email")</f>
        <v>Email</v>
      </c>
    </row>
    <row r="474" spans="1:9" ht="13" x14ac:dyDescent="0.15">
      <c r="A474" s="9">
        <f ca="1">IFERROR(__xludf.DUMMYFUNCTION("""COMPUTED_VALUE"""),31182325)</f>
        <v>31182325</v>
      </c>
      <c r="B474" s="1" t="str">
        <f ca="1">IFERROR(__xludf.DUMMYFUNCTION("""COMPUTED_VALUE"""),"bwrdtk1973@gmail.com")</f>
        <v>bwrdtk1973@gmail.com</v>
      </c>
      <c r="C474" s="9" t="str">
        <f ca="1">IFERROR(__xludf.DUMMYFUNCTION("""COMPUTED_VALUE"""),"EVERGREEN - UAN Gated Content - Embedded Petition")</f>
        <v>EVERGREEN - UAN Gated Content - Embedded Petition</v>
      </c>
      <c r="D474" s="10">
        <f ca="1">IFERROR(__xludf.DUMMYFUNCTION("""COMPUTED_VALUE"""),45636)</f>
        <v>45636</v>
      </c>
      <c r="E474" s="1" t="str">
        <f ca="1">IFERROR(__xludf.DUMMYFUNCTION("""COMPUTED_VALUE"""),"Azerbaijan")</f>
        <v>Azerbaijan</v>
      </c>
      <c r="F474" s="1" t="str">
        <f ca="1">IFERROR(__xludf.DUMMYFUNCTION("""COMPUTED_VALUE"""),"2.25 Azerbaijan")</f>
        <v>2.25 Azerbaijan</v>
      </c>
      <c r="G474" s="1" t="str">
        <f ca="1">IFERROR(__xludf.DUMMYFUNCTION("""COMPUTED_VALUE"""),"Freedom of Expression, Human Rights Defenders")</f>
        <v>Freedom of Expression, Human Rights Defenders</v>
      </c>
      <c r="H474" s="1" t="str">
        <f ca="1">IFERROR(__xludf.DUMMYFUNCTION("""COMPUTED_VALUE"""),"2025")</f>
        <v>2025</v>
      </c>
      <c r="I474" s="1" t="str">
        <f ca="1">IFERROR(__xludf.DUMMYFUNCTION("""COMPUTED_VALUE"""),"Email")</f>
        <v>Email</v>
      </c>
    </row>
    <row r="475" spans="1:9" ht="13" x14ac:dyDescent="0.15">
      <c r="A475" s="9">
        <f ca="1">IFERROR(__xludf.DUMMYFUNCTION("""COMPUTED_VALUE"""),31182325)</f>
        <v>31182325</v>
      </c>
      <c r="B475" s="1" t="str">
        <f ca="1">IFERROR(__xludf.DUMMYFUNCTION("""COMPUTED_VALUE"""),"bwrdtk1973@gmail.com")</f>
        <v>bwrdtk1973@gmail.com</v>
      </c>
      <c r="C475" s="9" t="str">
        <f ca="1">IFERROR(__xludf.DUMMYFUNCTION("""COMPUTED_VALUE"""),"EVERGREEN - UAN Gated Content - Embedded Petition")</f>
        <v>EVERGREEN - UAN Gated Content - Embedded Petition</v>
      </c>
      <c r="D475" s="10">
        <f ca="1">IFERROR(__xludf.DUMMYFUNCTION("""COMPUTED_VALUE"""),45700)</f>
        <v>45700</v>
      </c>
      <c r="E475" s="1" t="str">
        <f ca="1">IFERROR(__xludf.DUMMYFUNCTION("""COMPUTED_VALUE"""),"Venezuela")</f>
        <v>Venezuela</v>
      </c>
      <c r="F475" s="1" t="str">
        <f ca="1">IFERROR(__xludf.DUMMYFUNCTION("""COMPUTED_VALUE"""),"1.25 Venezuela")</f>
        <v>1.25 Venezuela</v>
      </c>
      <c r="G475" s="1" t="str">
        <f ca="1">IFERROR(__xludf.DUMMYFUNCTION("""COMPUTED_VALUE"""),"Human Rights Defenders, Individuals At Risk")</f>
        <v>Human Rights Defenders, Individuals At Risk</v>
      </c>
      <c r="H475" s="1" t="str">
        <f ca="1">IFERROR(__xludf.DUMMYFUNCTION("""COMPUTED_VALUE"""),"2025")</f>
        <v>2025</v>
      </c>
      <c r="I475" s="1" t="str">
        <f ca="1">IFERROR(__xludf.DUMMYFUNCTION("""COMPUTED_VALUE"""),"Letter")</f>
        <v>Letter</v>
      </c>
    </row>
    <row r="476" spans="1:9" ht="13" x14ac:dyDescent="0.15">
      <c r="A476" s="9">
        <f ca="1">IFERROR(__xludf.DUMMYFUNCTION("""COMPUTED_VALUE"""),31182325)</f>
        <v>31182325</v>
      </c>
      <c r="B476" s="1" t="str">
        <f ca="1">IFERROR(__xludf.DUMMYFUNCTION("""COMPUTED_VALUE"""),"bwrdtk1973@gmail.com")</f>
        <v>bwrdtk1973@gmail.com</v>
      </c>
      <c r="C476" s="9" t="str">
        <f ca="1">IFERROR(__xludf.DUMMYFUNCTION("""COMPUTED_VALUE"""),"EVERGREEN - UAN Gated Content - Embedded Petition")</f>
        <v>EVERGREEN - UAN Gated Content - Embedded Petition</v>
      </c>
      <c r="D476" s="10">
        <f ca="1">IFERROR(__xludf.DUMMYFUNCTION("""COMPUTED_VALUE"""),45675)</f>
        <v>45675</v>
      </c>
      <c r="E476" s="1" t="str">
        <f ca="1">IFERROR(__xludf.DUMMYFUNCTION("""COMPUTED_VALUE"""),"Venezuela")</f>
        <v>Venezuela</v>
      </c>
      <c r="F476" s="1" t="str">
        <f ca="1">IFERROR(__xludf.DUMMYFUNCTION("""COMPUTED_VALUE"""),"1.25 Venezuela")</f>
        <v>1.25 Venezuela</v>
      </c>
      <c r="G476" s="1" t="str">
        <f ca="1">IFERROR(__xludf.DUMMYFUNCTION("""COMPUTED_VALUE"""),"Human Rights Defenders, Individuals At Risk")</f>
        <v>Human Rights Defenders, Individuals At Risk</v>
      </c>
      <c r="H476" s="1" t="str">
        <f ca="1">IFERROR(__xludf.DUMMYFUNCTION("""COMPUTED_VALUE"""),"2025")</f>
        <v>2025</v>
      </c>
      <c r="I476" s="1" t="str">
        <f ca="1">IFERROR(__xludf.DUMMYFUNCTION("""COMPUTED_VALUE"""),"Letter")</f>
        <v>Letter</v>
      </c>
    </row>
    <row r="477" spans="1:9" ht="13" x14ac:dyDescent="0.15">
      <c r="A477" s="9">
        <f ca="1">IFERROR(__xludf.DUMMYFUNCTION("""COMPUTED_VALUE"""),31182325)</f>
        <v>31182325</v>
      </c>
      <c r="B477" s="1" t="str">
        <f ca="1">IFERROR(__xludf.DUMMYFUNCTION("""COMPUTED_VALUE"""),"bwrdtk1973@gmail.com")</f>
        <v>bwrdtk1973@gmail.com</v>
      </c>
      <c r="C477" s="9" t="str">
        <f ca="1">IFERROR(__xludf.DUMMYFUNCTION("""COMPUTED_VALUE"""),"EVERGREEN - UAN Gated Content - Embedded Petition")</f>
        <v>EVERGREEN - UAN Gated Content - Embedded Petition</v>
      </c>
      <c r="D477" s="10">
        <f ca="1">IFERROR(__xludf.DUMMYFUNCTION("""COMPUTED_VALUE"""),45673)</f>
        <v>45673</v>
      </c>
      <c r="E477" s="1" t="str">
        <f ca="1">IFERROR(__xludf.DUMMYFUNCTION("""COMPUTED_VALUE"""),"Egypt")</f>
        <v>Egypt</v>
      </c>
      <c r="F477" s="1" t="str">
        <f ca="1">IFERROR(__xludf.DUMMYFUNCTION("""COMPUTED_VALUE"""),"Third 73.23 Egypt")</f>
        <v>Third 73.23 Egypt</v>
      </c>
      <c r="G477" s="1" t="str">
        <f ca="1">IFERROR(__xludf.DUMMYFUNCTION("""COMPUTED_VALUE"""),"Individuals At Risk")</f>
        <v>Individuals At Risk</v>
      </c>
      <c r="H477" s="1" t="str">
        <f ca="1">IFERROR(__xludf.DUMMYFUNCTION("""COMPUTED_VALUE"""),"2024")</f>
        <v>2024</v>
      </c>
      <c r="I477" s="1" t="str">
        <f ca="1">IFERROR(__xludf.DUMMYFUNCTION("""COMPUTED_VALUE"""),"Email")</f>
        <v>Email</v>
      </c>
    </row>
    <row r="478" spans="1:9" ht="13" x14ac:dyDescent="0.15">
      <c r="A478" s="9">
        <f ca="1">IFERROR(__xludf.DUMMYFUNCTION("""COMPUTED_VALUE"""),31182325)</f>
        <v>31182325</v>
      </c>
      <c r="B478" s="1" t="str">
        <f ca="1">IFERROR(__xludf.DUMMYFUNCTION("""COMPUTED_VALUE"""),"bwrdtk1973@gmail.com")</f>
        <v>bwrdtk1973@gmail.com</v>
      </c>
      <c r="C478" s="9" t="str">
        <f ca="1">IFERROR(__xludf.DUMMYFUNCTION("""COMPUTED_VALUE"""),"EVERGREEN - UAN Gated Content - Embedded Petition")</f>
        <v>EVERGREEN - UAN Gated Content - Embedded Petition</v>
      </c>
      <c r="D478" s="10">
        <f ca="1">IFERROR(__xludf.DUMMYFUNCTION("""COMPUTED_VALUE"""),45694)</f>
        <v>45694</v>
      </c>
      <c r="E478" s="1" t="str">
        <f ca="1">IFERROR(__xludf.DUMMYFUNCTION("""COMPUTED_VALUE"""),"Iran")</f>
        <v>Iran</v>
      </c>
      <c r="F478" s="1" t="str">
        <f ca="1">IFERROR(__xludf.DUMMYFUNCTION("""COMPUTED_VALUE"""),"Seventh 103.22 Iran")</f>
        <v>Seventh 103.22 Iran</v>
      </c>
      <c r="G478" s="1" t="str">
        <f ca="1">IFERROR(__xludf.DUMMYFUNCTION("""COMPUTED_VALUE"""),"Death Penalty, Freedom of Expression, Individuals At Risk")</f>
        <v>Death Penalty, Freedom of Expression, Individuals At Risk</v>
      </c>
      <c r="H478" s="1" t="str">
        <f ca="1">IFERROR(__xludf.DUMMYFUNCTION("""COMPUTED_VALUE"""),"2024")</f>
        <v>2024</v>
      </c>
      <c r="I478" s="1" t="str">
        <f ca="1">IFERROR(__xludf.DUMMYFUNCTION("""COMPUTED_VALUE"""),"Email")</f>
        <v>Email</v>
      </c>
    </row>
    <row r="479" spans="1:9" ht="13" x14ac:dyDescent="0.15">
      <c r="A479" s="9">
        <f ca="1">IFERROR(__xludf.DUMMYFUNCTION("""COMPUTED_VALUE"""),31182325)</f>
        <v>31182325</v>
      </c>
      <c r="B479" s="1" t="str">
        <f ca="1">IFERROR(__xludf.DUMMYFUNCTION("""COMPUTED_VALUE"""),"bwrdtk1973@gmail.com")</f>
        <v>bwrdtk1973@gmail.com</v>
      </c>
      <c r="C479" s="9" t="str">
        <f ca="1">IFERROR(__xludf.DUMMYFUNCTION("""COMPUTED_VALUE"""),"EVERGREEN - UAN Gated Content - Embedded Petition")</f>
        <v>EVERGREEN - UAN Gated Content - Embedded Petition</v>
      </c>
      <c r="D479" s="10">
        <f ca="1">IFERROR(__xludf.DUMMYFUNCTION("""COMPUTED_VALUE"""),45675)</f>
        <v>45675</v>
      </c>
      <c r="E479" s="1" t="str">
        <f ca="1">IFERROR(__xludf.DUMMYFUNCTION("""COMPUTED_VALUE"""),"USA")</f>
        <v>USA</v>
      </c>
      <c r="F479" s="1" t="str">
        <f ca="1">IFERROR(__xludf.DUMMYFUNCTION("""COMPUTED_VALUE"""),"4.25 USA")</f>
        <v>4.25 USA</v>
      </c>
      <c r="G479" s="1" t="str">
        <f ca="1">IFERROR(__xludf.DUMMYFUNCTION("""COMPUTED_VALUE"""),"Individuals At Risk, Refugee and Migrant Rights")</f>
        <v>Individuals At Risk, Refugee and Migrant Rights</v>
      </c>
      <c r="H479" s="1" t="str">
        <f ca="1">IFERROR(__xludf.DUMMYFUNCTION("""COMPUTED_VALUE"""),"2025")</f>
        <v>2025</v>
      </c>
      <c r="I479" s="1" t="str">
        <f ca="1">IFERROR(__xludf.DUMMYFUNCTION("""COMPUTED_VALUE"""),"Letter")</f>
        <v>Letter</v>
      </c>
    </row>
    <row r="480" spans="1:9" ht="13" x14ac:dyDescent="0.15">
      <c r="A480" s="9">
        <f ca="1">IFERROR(__xludf.DUMMYFUNCTION("""COMPUTED_VALUE"""),31195178)</f>
        <v>31195178</v>
      </c>
      <c r="B480" s="1" t="str">
        <f ca="1">IFERROR(__xludf.DUMMYFUNCTION("""COMPUTED_VALUE"""),"donshawcats@mac.com")</f>
        <v>donshawcats@mac.com</v>
      </c>
      <c r="C480" s="9" t="str">
        <f ca="1">IFERROR(__xludf.DUMMYFUNCTION("""COMPUTED_VALUE"""),"EVERGREEN - UAN Gated Content - Embedded Petition")</f>
        <v>EVERGREEN - UAN Gated Content - Embedded Petition</v>
      </c>
      <c r="D480" s="10">
        <f ca="1">IFERROR(__xludf.DUMMYFUNCTION("""COMPUTED_VALUE"""),45694)</f>
        <v>45694</v>
      </c>
      <c r="E480" s="1" t="str">
        <f ca="1">IFERROR(__xludf.DUMMYFUNCTION("""COMPUTED_VALUE"""),"Iran")</f>
        <v>Iran</v>
      </c>
      <c r="F480" s="1" t="str">
        <f ca="1">IFERROR(__xludf.DUMMYFUNCTION("""COMPUTED_VALUE"""),"6.25 Iran")</f>
        <v>6.25 Iran</v>
      </c>
      <c r="G480" s="1" t="str">
        <f ca="1">IFERROR(__xludf.DUMMYFUNCTION("""COMPUTED_VALUE"""),"Death Penalty, Freedom of Expression, Individuals At Risk")</f>
        <v>Death Penalty, Freedom of Expression, Individuals At Risk</v>
      </c>
      <c r="H480" s="1" t="str">
        <f ca="1">IFERROR(__xludf.DUMMYFUNCTION("""COMPUTED_VALUE"""),"2025")</f>
        <v>2025</v>
      </c>
      <c r="I480" s="1" t="str">
        <f ca="1">IFERROR(__xludf.DUMMYFUNCTION("""COMPUTED_VALUE"""),"Email")</f>
        <v>Email</v>
      </c>
    </row>
    <row r="481" spans="1:9" ht="13" x14ac:dyDescent="0.15">
      <c r="A481" s="9">
        <f ca="1">IFERROR(__xludf.DUMMYFUNCTION("""COMPUTED_VALUE"""),31203157)</f>
        <v>31203157</v>
      </c>
      <c r="B481" s="1" t="str">
        <f ca="1">IFERROR(__xludf.DUMMYFUNCTION("""COMPUTED_VALUE"""),"murdock_ls@hotmail.com")</f>
        <v>murdock_ls@hotmail.com</v>
      </c>
      <c r="C481" s="9" t="str">
        <f ca="1">IFERROR(__xludf.DUMMYFUNCTION("""COMPUTED_VALUE"""),"EVERGREEN - UAN Gated Content - Embedded Petition")</f>
        <v>EVERGREEN - UAN Gated Content - Embedded Petition</v>
      </c>
      <c r="D481" s="10">
        <f ca="1">IFERROR(__xludf.DUMMYFUNCTION("""COMPUTED_VALUE"""),45677)</f>
        <v>45677</v>
      </c>
      <c r="E481" s="1" t="str">
        <f ca="1">IFERROR(__xludf.DUMMYFUNCTION("""COMPUTED_VALUE"""),"Saudi Arabia")</f>
        <v>Saudi Arabia</v>
      </c>
      <c r="F481" s="1" t="str">
        <f ca="1">IFERROR(__xludf.DUMMYFUNCTION("""COMPUTED_VALUE"""),"Fifth 257.12")</f>
        <v>Fifth 257.12</v>
      </c>
      <c r="G481" s="1" t="str">
        <f ca="1">IFERROR(__xludf.DUMMYFUNCTION("""COMPUTED_VALUE"""),"Freedom of Expression, Human Rights Defenders")</f>
        <v>Freedom of Expression, Human Rights Defenders</v>
      </c>
      <c r="H481" s="1" t="str">
        <f ca="1">IFERROR(__xludf.DUMMYFUNCTION("""COMPUTED_VALUE"""),"2025")</f>
        <v>2025</v>
      </c>
      <c r="I481" s="1" t="str">
        <f ca="1">IFERROR(__xludf.DUMMYFUNCTION("""COMPUTED_VALUE"""),"Email")</f>
        <v>Email</v>
      </c>
    </row>
    <row r="482" spans="1:9" ht="13" x14ac:dyDescent="0.15">
      <c r="A482" s="9">
        <f ca="1">IFERROR(__xludf.DUMMYFUNCTION("""COMPUTED_VALUE"""),31210048)</f>
        <v>31210048</v>
      </c>
      <c r="B482" s="1" t="str">
        <f ca="1">IFERROR(__xludf.DUMMYFUNCTION("""COMPUTED_VALUE"""),"scottysusan@gmail.com")</f>
        <v>scottysusan@gmail.com</v>
      </c>
      <c r="C482" s="9" t="str">
        <f ca="1">IFERROR(__xludf.DUMMYFUNCTION("""COMPUTED_VALUE"""),"EVERGREEN - UAN Gated Content - Embedded Petition")</f>
        <v>EVERGREEN - UAN Gated Content - Embedded Petition</v>
      </c>
      <c r="D482" s="10">
        <f ca="1">IFERROR(__xludf.DUMMYFUNCTION("""COMPUTED_VALUE"""),45636)</f>
        <v>45636</v>
      </c>
      <c r="E482" s="1" t="str">
        <f ca="1">IFERROR(__xludf.DUMMYFUNCTION("""COMPUTED_VALUE"""),"USA")</f>
        <v>USA</v>
      </c>
      <c r="F482" s="1" t="str">
        <f ca="1">IFERROR(__xludf.DUMMYFUNCTION("""COMPUTED_VALUE"""),"Fourth 55.24 USA")</f>
        <v>Fourth 55.24 USA</v>
      </c>
      <c r="G482" s="1" t="str">
        <f ca="1">IFERROR(__xludf.DUMMYFUNCTION("""COMPUTED_VALUE"""),"Climate Justice, Individuals At Risk")</f>
        <v>Climate Justice, Individuals At Risk</v>
      </c>
      <c r="H482" s="1" t="str">
        <f ca="1">IFERROR(__xludf.DUMMYFUNCTION("""COMPUTED_VALUE"""),"2025")</f>
        <v>2025</v>
      </c>
      <c r="I482" s="1" t="str">
        <f ca="1">IFERROR(__xludf.DUMMYFUNCTION("""COMPUTED_VALUE"""),"Email")</f>
        <v>Email</v>
      </c>
    </row>
    <row r="483" spans="1:9" ht="13" x14ac:dyDescent="0.15">
      <c r="A483" s="9">
        <f ca="1">IFERROR(__xludf.DUMMYFUNCTION("""COMPUTED_VALUE"""),31210048)</f>
        <v>31210048</v>
      </c>
      <c r="B483" s="1" t="str">
        <f ca="1">IFERROR(__xludf.DUMMYFUNCTION("""COMPUTED_VALUE"""),"scottysusan@gmail.com")</f>
        <v>scottysusan@gmail.com</v>
      </c>
      <c r="C483" s="9" t="str">
        <f ca="1">IFERROR(__xludf.DUMMYFUNCTION("""COMPUTED_VALUE"""),"EVERGREEN - UAN Gated Content - Embedded Petition")</f>
        <v>EVERGREEN - UAN Gated Content - Embedded Petition</v>
      </c>
      <c r="D483" s="10">
        <f ca="1">IFERROR(__xludf.DUMMYFUNCTION("""COMPUTED_VALUE"""),45645)</f>
        <v>45645</v>
      </c>
      <c r="E483" s="1" t="str">
        <f ca="1">IFERROR(__xludf.DUMMYFUNCTION("""COMPUTED_VALUE"""),"USA")</f>
        <v>USA</v>
      </c>
      <c r="F483" s="1" t="str">
        <f ca="1">IFERROR(__xludf.DUMMYFUNCTION("""COMPUTED_VALUE"""),"Fourth 55.24 USA")</f>
        <v>Fourth 55.24 USA</v>
      </c>
      <c r="G483" s="1" t="str">
        <f ca="1">IFERROR(__xludf.DUMMYFUNCTION("""COMPUTED_VALUE"""),"Climate Justice, Individuals At Risk")</f>
        <v>Climate Justice, Individuals At Risk</v>
      </c>
      <c r="H483" s="1" t="str">
        <f ca="1">IFERROR(__xludf.DUMMYFUNCTION("""COMPUTED_VALUE"""),"2025")</f>
        <v>2025</v>
      </c>
      <c r="I483" s="1" t="str">
        <f ca="1">IFERROR(__xludf.DUMMYFUNCTION("""COMPUTED_VALUE"""),"Email")</f>
        <v>Email</v>
      </c>
    </row>
    <row r="484" spans="1:9" ht="13" x14ac:dyDescent="0.15">
      <c r="A484" s="9">
        <f ca="1">IFERROR(__xludf.DUMMYFUNCTION("""COMPUTED_VALUE"""),31210048)</f>
        <v>31210048</v>
      </c>
      <c r="B484" s="1" t="str">
        <f ca="1">IFERROR(__xludf.DUMMYFUNCTION("""COMPUTED_VALUE"""),"scottysusan@gmail.com")</f>
        <v>scottysusan@gmail.com</v>
      </c>
      <c r="C484" s="9" t="str">
        <f ca="1">IFERROR(__xludf.DUMMYFUNCTION("""COMPUTED_VALUE"""),"EVERGREEN - UAN Gated Content - Embedded Petition")</f>
        <v>EVERGREEN - UAN Gated Content - Embedded Petition</v>
      </c>
      <c r="D484" s="10">
        <f ca="1">IFERROR(__xludf.DUMMYFUNCTION("""COMPUTED_VALUE"""),45695)</f>
        <v>45695</v>
      </c>
      <c r="E484" s="1" t="str">
        <f ca="1">IFERROR(__xludf.DUMMYFUNCTION("""COMPUTED_VALUE"""),"Azerbaijan")</f>
        <v>Azerbaijan</v>
      </c>
      <c r="F484" s="1" t="str">
        <f ca="1">IFERROR(__xludf.DUMMYFUNCTION("""COMPUTED_VALUE"""),"2.25 Azerbaijan")</f>
        <v>2.25 Azerbaijan</v>
      </c>
      <c r="G484" s="1" t="str">
        <f ca="1">IFERROR(__xludf.DUMMYFUNCTION("""COMPUTED_VALUE"""),"Freedom of Expression, Human Rights Defenders")</f>
        <v>Freedom of Expression, Human Rights Defenders</v>
      </c>
      <c r="H484" s="1" t="str">
        <f ca="1">IFERROR(__xludf.DUMMYFUNCTION("""COMPUTED_VALUE"""),"2025")</f>
        <v>2025</v>
      </c>
      <c r="I484" s="1" t="str">
        <f ca="1">IFERROR(__xludf.DUMMYFUNCTION("""COMPUTED_VALUE"""),"Email")</f>
        <v>Email</v>
      </c>
    </row>
    <row r="485" spans="1:9" ht="13" x14ac:dyDescent="0.15">
      <c r="A485" s="9">
        <f ca="1">IFERROR(__xludf.DUMMYFUNCTION("""COMPUTED_VALUE"""),31210048)</f>
        <v>31210048</v>
      </c>
      <c r="B485" s="1" t="str">
        <f ca="1">IFERROR(__xludf.DUMMYFUNCTION("""COMPUTED_VALUE"""),"scottysusan@gmail.com")</f>
        <v>scottysusan@gmail.com</v>
      </c>
      <c r="C485" s="9" t="str">
        <f ca="1">IFERROR(__xludf.DUMMYFUNCTION("""COMPUTED_VALUE"""),"EVERGREEN - UAN Gated Content - Embedded Petition")</f>
        <v>EVERGREEN - UAN Gated Content - Embedded Petition</v>
      </c>
      <c r="D485" s="10">
        <f ca="1">IFERROR(__xludf.DUMMYFUNCTION("""COMPUTED_VALUE"""),45645)</f>
        <v>45645</v>
      </c>
      <c r="E485" s="1" t="str">
        <f ca="1">IFERROR(__xludf.DUMMYFUNCTION("""COMPUTED_VALUE"""),"Saudi Arabia")</f>
        <v>Saudi Arabia</v>
      </c>
      <c r="F485" s="1" t="str">
        <f ca="1">IFERROR(__xludf.DUMMYFUNCTION("""COMPUTED_VALUE"""),"Second 85.23 Saudi Arabia")</f>
        <v>Second 85.23 Saudi Arabia</v>
      </c>
      <c r="G485" s="1" t="str">
        <f ca="1">IFERROR(__xludf.DUMMYFUNCTION("""COMPUTED_VALUE"""),"Freedom of Expression")</f>
        <v>Freedom of Expression</v>
      </c>
      <c r="H485" s="1" t="str">
        <f ca="1">IFERROR(__xludf.DUMMYFUNCTION("""COMPUTED_VALUE"""),"2024")</f>
        <v>2024</v>
      </c>
      <c r="I485" s="1" t="str">
        <f ca="1">IFERROR(__xludf.DUMMYFUNCTION("""COMPUTED_VALUE"""),"Letter")</f>
        <v>Letter</v>
      </c>
    </row>
    <row r="486" spans="1:9" ht="13" x14ac:dyDescent="0.15">
      <c r="A486" s="9">
        <f ca="1">IFERROR(__xludf.DUMMYFUNCTION("""COMPUTED_VALUE"""),31210048)</f>
        <v>31210048</v>
      </c>
      <c r="B486" s="1" t="str">
        <f ca="1">IFERROR(__xludf.DUMMYFUNCTION("""COMPUTED_VALUE"""),"scottysusan@gmail.com")</f>
        <v>scottysusan@gmail.com</v>
      </c>
      <c r="C486" s="9" t="str">
        <f ca="1">IFERROR(__xludf.DUMMYFUNCTION("""COMPUTED_VALUE"""),"EVERGREEN - UAN Gated Content - Embedded Petition")</f>
        <v>EVERGREEN - UAN Gated Content - Embedded Petition</v>
      </c>
      <c r="D486" s="10">
        <f ca="1">IFERROR(__xludf.DUMMYFUNCTION("""COMPUTED_VALUE"""),45645)</f>
        <v>45645</v>
      </c>
      <c r="E486" s="1" t="str">
        <f ca="1">IFERROR(__xludf.DUMMYFUNCTION("""COMPUTED_VALUE"""),"Egypt")</f>
        <v>Egypt</v>
      </c>
      <c r="F486" s="1" t="str">
        <f ca="1">IFERROR(__xludf.DUMMYFUNCTION("""COMPUTED_VALUE"""),"Ninth 190.18 Egypt")</f>
        <v>Ninth 190.18 Egypt</v>
      </c>
      <c r="G486" s="1" t="str">
        <f ca="1">IFERROR(__xludf.DUMMYFUNCTION("""COMPUTED_VALUE"""),"Freedom of Expression, Individuals At Risk")</f>
        <v>Freedom of Expression, Individuals At Risk</v>
      </c>
      <c r="H486" s="1" t="str">
        <f ca="1">IFERROR(__xludf.DUMMYFUNCTION("""COMPUTED_VALUE"""),"2024")</f>
        <v>2024</v>
      </c>
      <c r="I486" s="1" t="str">
        <f ca="1">IFERROR(__xludf.DUMMYFUNCTION("""COMPUTED_VALUE"""),"Letter")</f>
        <v>Letter</v>
      </c>
    </row>
    <row r="487" spans="1:9" ht="13" x14ac:dyDescent="0.15">
      <c r="A487" s="9">
        <f ca="1">IFERROR(__xludf.DUMMYFUNCTION("""COMPUTED_VALUE"""),31217970)</f>
        <v>31217970</v>
      </c>
      <c r="B487" s="1" t="str">
        <f ca="1">IFERROR(__xludf.DUMMYFUNCTION("""COMPUTED_VALUE"""),"mississippijen@gmail.com")</f>
        <v>mississippijen@gmail.com</v>
      </c>
      <c r="C487" s="9" t="str">
        <f ca="1">IFERROR(__xludf.DUMMYFUNCTION("""COMPUTED_VALUE"""),"EVERGREEN - UAN Gated Content - Embedded Petition")</f>
        <v>EVERGREEN - UAN Gated Content - Embedded Petition</v>
      </c>
      <c r="D487" s="10">
        <f ca="1">IFERROR(__xludf.DUMMYFUNCTION("""COMPUTED_VALUE"""),45697)</f>
        <v>45697</v>
      </c>
      <c r="E487" s="1" t="str">
        <f ca="1">IFERROR(__xludf.DUMMYFUNCTION("""COMPUTED_VALUE"""),"Tunisia")</f>
        <v>Tunisia</v>
      </c>
      <c r="F487" s="1" t="str">
        <f ca="1">IFERROR(__xludf.DUMMYFUNCTION("""COMPUTED_VALUE"""),"Second 76.24 Tunisia")</f>
        <v>Second 76.24 Tunisia</v>
      </c>
      <c r="G487" s="1" t="str">
        <f ca="1">IFERROR(__xludf.DUMMYFUNCTION("""COMPUTED_VALUE"""),"Freedom of Expression, Human Rights Defenders")</f>
        <v>Freedom of Expression, Human Rights Defenders</v>
      </c>
      <c r="H487" s="1" t="str">
        <f ca="1">IFERROR(__xludf.DUMMYFUNCTION("""COMPUTED_VALUE"""),"2025")</f>
        <v>2025</v>
      </c>
      <c r="I487" s="1" t="str">
        <f ca="1">IFERROR(__xludf.DUMMYFUNCTION("""COMPUTED_VALUE"""),"Email")</f>
        <v>Email</v>
      </c>
    </row>
    <row r="488" spans="1:9" ht="13" x14ac:dyDescent="0.15">
      <c r="A488" s="9">
        <f ca="1">IFERROR(__xludf.DUMMYFUNCTION("""COMPUTED_VALUE"""),31221037)</f>
        <v>31221037</v>
      </c>
      <c r="B488" s="1" t="str">
        <f ca="1">IFERROR(__xludf.DUMMYFUNCTION("""COMPUTED_VALUE"""),"ground@hvc.rr.com")</f>
        <v>ground@hvc.rr.com</v>
      </c>
      <c r="C488" s="9" t="str">
        <f ca="1">IFERROR(__xludf.DUMMYFUNCTION("""COMPUTED_VALUE"""),"EVERGREEN - UAN Gated Content - Embedded Petition")</f>
        <v>EVERGREEN - UAN Gated Content - Embedded Petition</v>
      </c>
      <c r="D488" s="10">
        <f ca="1">IFERROR(__xludf.DUMMYFUNCTION("""COMPUTED_VALUE"""),45663)</f>
        <v>45663</v>
      </c>
      <c r="E488" s="1" t="str">
        <f ca="1">IFERROR(__xludf.DUMMYFUNCTION("""COMPUTED_VALUE"""),"USA")</f>
        <v>USA</v>
      </c>
      <c r="F488" s="1" t="str">
        <f ca="1">IFERROR(__xludf.DUMMYFUNCTION("""COMPUTED_VALUE"""),"105.24 USA")</f>
        <v>105.24 USA</v>
      </c>
      <c r="G488" s="1" t="str">
        <f ca="1">IFERROR(__xludf.DUMMYFUNCTION("""COMPUTED_VALUE"""),"Death Penalty")</f>
        <v>Death Penalty</v>
      </c>
      <c r="H488" s="1" t="str">
        <f ca="1">IFERROR(__xludf.DUMMYFUNCTION("""COMPUTED_VALUE"""),"2024")</f>
        <v>2024</v>
      </c>
      <c r="I488" s="1" t="str">
        <f ca="1">IFERROR(__xludf.DUMMYFUNCTION("""COMPUTED_VALUE"""),"Email")</f>
        <v>Email</v>
      </c>
    </row>
    <row r="489" spans="1:9" ht="13" x14ac:dyDescent="0.15">
      <c r="A489" s="9">
        <f ca="1">IFERROR(__xludf.DUMMYFUNCTION("""COMPUTED_VALUE"""),31221037)</f>
        <v>31221037</v>
      </c>
      <c r="B489" s="1" t="str">
        <f ca="1">IFERROR(__xludf.DUMMYFUNCTION("""COMPUTED_VALUE"""),"ground@hvc.rr.com")</f>
        <v>ground@hvc.rr.com</v>
      </c>
      <c r="C489" s="9" t="str">
        <f ca="1">IFERROR(__xludf.DUMMYFUNCTION("""COMPUTED_VALUE"""),"EVERGREEN - UAN Gated Content - Embedded Petition")</f>
        <v>EVERGREEN - UAN Gated Content - Embedded Petition</v>
      </c>
      <c r="D489" s="10">
        <f ca="1">IFERROR(__xludf.DUMMYFUNCTION("""COMPUTED_VALUE"""),45651)</f>
        <v>45651</v>
      </c>
      <c r="E489" s="1" t="str">
        <f ca="1">IFERROR(__xludf.DUMMYFUNCTION("""COMPUTED_VALUE"""),"Israel and Occupied Palestinian Territories")</f>
        <v>Israel and Occupied Palestinian Territories</v>
      </c>
      <c r="F489" s="1" t="str">
        <f ca="1">IFERROR(__xludf.DUMMYFUNCTION("""COMPUTED_VALUE"""),"3.25 IOPT")</f>
        <v>3.25 IOPT</v>
      </c>
      <c r="G489" s="1" t="str">
        <f ca="1">IFERROR(__xludf.DUMMYFUNCTION("""COMPUTED_VALUE"""),"Freedom of Expression, Individuals At Risk")</f>
        <v>Freedom of Expression, Individuals At Risk</v>
      </c>
      <c r="H489" s="1" t="str">
        <f ca="1">IFERROR(__xludf.DUMMYFUNCTION("""COMPUTED_VALUE"""),"2025")</f>
        <v>2025</v>
      </c>
      <c r="I489" s="1" t="str">
        <f ca="1">IFERROR(__xludf.DUMMYFUNCTION("""COMPUTED_VALUE"""),"Email")</f>
        <v>Email</v>
      </c>
    </row>
    <row r="490" spans="1:9" ht="13" x14ac:dyDescent="0.15">
      <c r="A490" s="9">
        <f ca="1">IFERROR(__xludf.DUMMYFUNCTION("""COMPUTED_VALUE"""),31221037)</f>
        <v>31221037</v>
      </c>
      <c r="B490" s="1" t="str">
        <f ca="1">IFERROR(__xludf.DUMMYFUNCTION("""COMPUTED_VALUE"""),"ground@hvc.rr.com")</f>
        <v>ground@hvc.rr.com</v>
      </c>
      <c r="C490" s="9" t="str">
        <f ca="1">IFERROR(__xludf.DUMMYFUNCTION("""COMPUTED_VALUE"""),"EVERGREEN - UAN Gated Content - Embedded Petition")</f>
        <v>EVERGREEN - UAN Gated Content - Embedded Petition</v>
      </c>
      <c r="D490" s="10">
        <f ca="1">IFERROR(__xludf.DUMMYFUNCTION("""COMPUTED_VALUE"""),45651)</f>
        <v>45651</v>
      </c>
      <c r="E490" s="1" t="str">
        <f ca="1">IFERROR(__xludf.DUMMYFUNCTION("""COMPUTED_VALUE"""),"Tunisia")</f>
        <v>Tunisia</v>
      </c>
      <c r="F490" s="1" t="str">
        <f ca="1">IFERROR(__xludf.DUMMYFUNCTION("""COMPUTED_VALUE"""),"Second 76.24 Tunisia")</f>
        <v>Second 76.24 Tunisia</v>
      </c>
      <c r="G490" s="1" t="str">
        <f ca="1">IFERROR(__xludf.DUMMYFUNCTION("""COMPUTED_VALUE"""),"Freedom of Expression, Human Rights Defenders")</f>
        <v>Freedom of Expression, Human Rights Defenders</v>
      </c>
      <c r="H490" s="1" t="str">
        <f ca="1">IFERROR(__xludf.DUMMYFUNCTION("""COMPUTED_VALUE"""),"2025")</f>
        <v>2025</v>
      </c>
      <c r="I490" s="1" t="str">
        <f ca="1">IFERROR(__xludf.DUMMYFUNCTION("""COMPUTED_VALUE"""),"Email")</f>
        <v>Email</v>
      </c>
    </row>
    <row r="491" spans="1:9" ht="13" x14ac:dyDescent="0.15">
      <c r="A491" s="9">
        <f ca="1">IFERROR(__xludf.DUMMYFUNCTION("""COMPUTED_VALUE"""),31221037)</f>
        <v>31221037</v>
      </c>
      <c r="B491" s="1" t="str">
        <f ca="1">IFERROR(__xludf.DUMMYFUNCTION("""COMPUTED_VALUE"""),"ground@hvc.rr.com")</f>
        <v>ground@hvc.rr.com</v>
      </c>
      <c r="C491" s="9" t="str">
        <f ca="1">IFERROR(__xludf.DUMMYFUNCTION("""COMPUTED_VALUE"""),"EVERGREEN - UAN Gated Content - Embedded Petition")</f>
        <v>EVERGREEN - UAN Gated Content - Embedded Petition</v>
      </c>
      <c r="D491" s="10">
        <f ca="1">IFERROR(__xludf.DUMMYFUNCTION("""COMPUTED_VALUE"""),45673)</f>
        <v>45673</v>
      </c>
      <c r="E491" s="1" t="str">
        <f ca="1">IFERROR(__xludf.DUMMYFUNCTION("""COMPUTED_VALUE"""),"USA")</f>
        <v>USA</v>
      </c>
      <c r="F491" s="1" t="str">
        <f ca="1">IFERROR(__xludf.DUMMYFUNCTION("""COMPUTED_VALUE"""),"105.24 USA")</f>
        <v>105.24 USA</v>
      </c>
      <c r="G491" s="1" t="str">
        <f ca="1">IFERROR(__xludf.DUMMYFUNCTION("""COMPUTED_VALUE"""),"Death Penalty")</f>
        <v>Death Penalty</v>
      </c>
      <c r="H491" s="1" t="str">
        <f ca="1">IFERROR(__xludf.DUMMYFUNCTION("""COMPUTED_VALUE"""),"2024")</f>
        <v>2024</v>
      </c>
      <c r="I491" s="1" t="str">
        <f ca="1">IFERROR(__xludf.DUMMYFUNCTION("""COMPUTED_VALUE"""),"Email")</f>
        <v>Email</v>
      </c>
    </row>
    <row r="492" spans="1:9" ht="13" x14ac:dyDescent="0.15">
      <c r="A492" s="9">
        <f ca="1">IFERROR(__xludf.DUMMYFUNCTION("""COMPUTED_VALUE"""),31242432)</f>
        <v>31242432</v>
      </c>
      <c r="B492" s="1" t="str">
        <f ca="1">IFERROR(__xludf.DUMMYFUNCTION("""COMPUTED_VALUE"""),"mv9508@sbcglobal.net")</f>
        <v>mv9508@sbcglobal.net</v>
      </c>
      <c r="C492" s="9" t="str">
        <f ca="1">IFERROR(__xludf.DUMMYFUNCTION("""COMPUTED_VALUE"""),"EVERGREEN - UAN Gated Content - Embedded Petition")</f>
        <v>EVERGREEN - UAN Gated Content - Embedded Petition</v>
      </c>
      <c r="D492" s="10">
        <f ca="1">IFERROR(__xludf.DUMMYFUNCTION("""COMPUTED_VALUE"""),45694)</f>
        <v>45694</v>
      </c>
      <c r="E492" s="1" t="str">
        <f ca="1">IFERROR(__xludf.DUMMYFUNCTION("""COMPUTED_VALUE"""),"Tunisia")</f>
        <v>Tunisia</v>
      </c>
      <c r="F492" s="1" t="str">
        <f ca="1">IFERROR(__xludf.DUMMYFUNCTION("""COMPUTED_VALUE"""),"Second 76.24 Tunisia")</f>
        <v>Second 76.24 Tunisia</v>
      </c>
      <c r="G492" s="1" t="str">
        <f ca="1">IFERROR(__xludf.DUMMYFUNCTION("""COMPUTED_VALUE"""),"Freedom of Expression, Human Rights Defenders")</f>
        <v>Freedom of Expression, Human Rights Defenders</v>
      </c>
      <c r="H492" s="1" t="str">
        <f ca="1">IFERROR(__xludf.DUMMYFUNCTION("""COMPUTED_VALUE"""),"2025")</f>
        <v>2025</v>
      </c>
      <c r="I492" s="1" t="str">
        <f ca="1">IFERROR(__xludf.DUMMYFUNCTION("""COMPUTED_VALUE"""),"Email")</f>
        <v>Email</v>
      </c>
    </row>
    <row r="493" spans="1:9" ht="13" x14ac:dyDescent="0.15">
      <c r="A493" s="9">
        <f ca="1">IFERROR(__xludf.DUMMYFUNCTION("""COMPUTED_VALUE"""),31242432)</f>
        <v>31242432</v>
      </c>
      <c r="B493" s="1" t="str">
        <f ca="1">IFERROR(__xludf.DUMMYFUNCTION("""COMPUTED_VALUE"""),"mv9508@sbcglobal.net")</f>
        <v>mv9508@sbcglobal.net</v>
      </c>
      <c r="C493" s="9" t="str">
        <f ca="1">IFERROR(__xludf.DUMMYFUNCTION("""COMPUTED_VALUE"""),"EVERGREEN - UAN Gated Content - Embedded Petition")</f>
        <v>EVERGREEN - UAN Gated Content - Embedded Petition</v>
      </c>
      <c r="D493" s="10">
        <f ca="1">IFERROR(__xludf.DUMMYFUNCTION("""COMPUTED_VALUE"""),45694)</f>
        <v>45694</v>
      </c>
      <c r="E493" s="1" t="str">
        <f ca="1">IFERROR(__xludf.DUMMYFUNCTION("""COMPUTED_VALUE"""),"Tunisia")</f>
        <v>Tunisia</v>
      </c>
      <c r="F493" s="1" t="str">
        <f ca="1">IFERROR(__xludf.DUMMYFUNCTION("""COMPUTED_VALUE"""),"Second 76.24 Tunisia")</f>
        <v>Second 76.24 Tunisia</v>
      </c>
      <c r="G493" s="1" t="str">
        <f ca="1">IFERROR(__xludf.DUMMYFUNCTION("""COMPUTED_VALUE"""),"Freedom of Expression, Human Rights Defenders")</f>
        <v>Freedom of Expression, Human Rights Defenders</v>
      </c>
      <c r="H493" s="1" t="str">
        <f ca="1">IFERROR(__xludf.DUMMYFUNCTION("""COMPUTED_VALUE"""),"2025")</f>
        <v>2025</v>
      </c>
      <c r="I493" s="1" t="str">
        <f ca="1">IFERROR(__xludf.DUMMYFUNCTION("""COMPUTED_VALUE"""),"Email")</f>
        <v>Email</v>
      </c>
    </row>
    <row r="494" spans="1:9" ht="13" x14ac:dyDescent="0.15">
      <c r="A494" s="9">
        <f ca="1">IFERROR(__xludf.DUMMYFUNCTION("""COMPUTED_VALUE"""),31243801)</f>
        <v>31243801</v>
      </c>
      <c r="B494" s="1" t="str">
        <f ca="1">IFERROR(__xludf.DUMMYFUNCTION("""COMPUTED_VALUE"""),"yidshlid@earthlink.net")</f>
        <v>yidshlid@earthlink.net</v>
      </c>
      <c r="C494" s="9" t="str">
        <f ca="1">IFERROR(__xludf.DUMMYFUNCTION("""COMPUTED_VALUE"""),"EVERGREEN - UAN Gated Content - Embedded Petition")</f>
        <v>EVERGREEN - UAN Gated Content - Embedded Petition</v>
      </c>
      <c r="D494" s="10">
        <f ca="1">IFERROR(__xludf.DUMMYFUNCTION("""COMPUTED_VALUE"""),45637)</f>
        <v>45637</v>
      </c>
      <c r="E494" s="1" t="str">
        <f ca="1">IFERROR(__xludf.DUMMYFUNCTION("""COMPUTED_VALUE"""),"Egypt")</f>
        <v>Egypt</v>
      </c>
      <c r="F494" s="1" t="str">
        <f ca="1">IFERROR(__xludf.DUMMYFUNCTION("""COMPUTED_VALUE"""),"Ninth 190.18 Egypt")</f>
        <v>Ninth 190.18 Egypt</v>
      </c>
      <c r="G494" s="1" t="str">
        <f ca="1">IFERROR(__xludf.DUMMYFUNCTION("""COMPUTED_VALUE"""),"Freedom of Expression, Individuals At Risk")</f>
        <v>Freedom of Expression, Individuals At Risk</v>
      </c>
      <c r="H494" s="1" t="str">
        <f ca="1">IFERROR(__xludf.DUMMYFUNCTION("""COMPUTED_VALUE"""),"2024")</f>
        <v>2024</v>
      </c>
      <c r="I494" s="1" t="str">
        <f ca="1">IFERROR(__xludf.DUMMYFUNCTION("""COMPUTED_VALUE"""),"Letter")</f>
        <v>Letter</v>
      </c>
    </row>
    <row r="495" spans="1:9" ht="13" x14ac:dyDescent="0.15">
      <c r="A495" s="9">
        <f ca="1">IFERROR(__xludf.DUMMYFUNCTION("""COMPUTED_VALUE"""),31243801)</f>
        <v>31243801</v>
      </c>
      <c r="B495" s="1" t="str">
        <f ca="1">IFERROR(__xludf.DUMMYFUNCTION("""COMPUTED_VALUE"""),"yidshlid@earthlink.net")</f>
        <v>yidshlid@earthlink.net</v>
      </c>
      <c r="C495" s="9" t="str">
        <f ca="1">IFERROR(__xludf.DUMMYFUNCTION("""COMPUTED_VALUE"""),"EVERGREEN - UAN Gated Content - Embedded Petition")</f>
        <v>EVERGREEN - UAN Gated Content - Embedded Petition</v>
      </c>
      <c r="D495" s="10">
        <f ca="1">IFERROR(__xludf.DUMMYFUNCTION("""COMPUTED_VALUE"""),45639)</f>
        <v>45639</v>
      </c>
      <c r="E495" s="1" t="str">
        <f ca="1">IFERROR(__xludf.DUMMYFUNCTION("""COMPUTED_VALUE"""),"USA")</f>
        <v>USA</v>
      </c>
      <c r="F495" s="1" t="str">
        <f ca="1">IFERROR(__xludf.DUMMYFUNCTION("""COMPUTED_VALUE"""),"105.24 USA")</f>
        <v>105.24 USA</v>
      </c>
      <c r="G495" s="1" t="str">
        <f ca="1">IFERROR(__xludf.DUMMYFUNCTION("""COMPUTED_VALUE"""),"Death Penalty")</f>
        <v>Death Penalty</v>
      </c>
      <c r="H495" s="1" t="str">
        <f ca="1">IFERROR(__xludf.DUMMYFUNCTION("""COMPUTED_VALUE"""),"2024")</f>
        <v>2024</v>
      </c>
      <c r="I495" s="1" t="str">
        <f ca="1">IFERROR(__xludf.DUMMYFUNCTION("""COMPUTED_VALUE"""),"Email")</f>
        <v>Email</v>
      </c>
    </row>
    <row r="496" spans="1:9" ht="13" x14ac:dyDescent="0.15">
      <c r="A496" s="9">
        <f ca="1">IFERROR(__xludf.DUMMYFUNCTION("""COMPUTED_VALUE"""),31245723)</f>
        <v>31245723</v>
      </c>
      <c r="B496" s="1" t="str">
        <f ca="1">IFERROR(__xludf.DUMMYFUNCTION("""COMPUTED_VALUE"""),"chucktaylor111@msn.com")</f>
        <v>chucktaylor111@msn.com</v>
      </c>
      <c r="C496" s="9" t="str">
        <f ca="1">IFERROR(__xludf.DUMMYFUNCTION("""COMPUTED_VALUE"""),"EVERGREEN - UAN Gated Content - Embedded Petition")</f>
        <v>EVERGREEN - UAN Gated Content - Embedded Petition</v>
      </c>
      <c r="D496" s="10">
        <f ca="1">IFERROR(__xludf.DUMMYFUNCTION("""COMPUTED_VALUE"""),45677)</f>
        <v>45677</v>
      </c>
      <c r="E496" s="1" t="str">
        <f ca="1">IFERROR(__xludf.DUMMYFUNCTION("""COMPUTED_VALUE"""),"USA")</f>
        <v>USA</v>
      </c>
      <c r="F496" s="1" t="str">
        <f ca="1">IFERROR(__xludf.DUMMYFUNCTION("""COMPUTED_VALUE"""),"4.25 USA")</f>
        <v>4.25 USA</v>
      </c>
      <c r="G496" s="1" t="str">
        <f ca="1">IFERROR(__xludf.DUMMYFUNCTION("""COMPUTED_VALUE"""),"Individuals At Risk, Refugee and Migrant Rights")</f>
        <v>Individuals At Risk, Refugee and Migrant Rights</v>
      </c>
      <c r="H496" s="1" t="str">
        <f ca="1">IFERROR(__xludf.DUMMYFUNCTION("""COMPUTED_VALUE"""),"2025")</f>
        <v>2025</v>
      </c>
      <c r="I496" s="1" t="str">
        <f ca="1">IFERROR(__xludf.DUMMYFUNCTION("""COMPUTED_VALUE"""),"Letter")</f>
        <v>Letter</v>
      </c>
    </row>
    <row r="497" spans="1:9" ht="13" x14ac:dyDescent="0.15">
      <c r="A497" s="9">
        <f ca="1">IFERROR(__xludf.DUMMYFUNCTION("""COMPUTED_VALUE"""),31245723)</f>
        <v>31245723</v>
      </c>
      <c r="B497" s="1" t="str">
        <f ca="1">IFERROR(__xludf.DUMMYFUNCTION("""COMPUTED_VALUE"""),"chucktaylor111@msn.com")</f>
        <v>chucktaylor111@msn.com</v>
      </c>
      <c r="C497" s="9" t="str">
        <f ca="1">IFERROR(__xludf.DUMMYFUNCTION("""COMPUTED_VALUE"""),"EVERGREEN - UAN Gated Content - Embedded Petition")</f>
        <v>EVERGREEN - UAN Gated Content - Embedded Petition</v>
      </c>
      <c r="D497" s="10">
        <f ca="1">IFERROR(__xludf.DUMMYFUNCTION("""COMPUTED_VALUE"""),45677)</f>
        <v>45677</v>
      </c>
      <c r="E497" s="1" t="str">
        <f ca="1">IFERROR(__xludf.DUMMYFUNCTION("""COMPUTED_VALUE"""),"Dominican Republic")</f>
        <v>Dominican Republic</v>
      </c>
      <c r="F497" s="1" t="str">
        <f ca="1">IFERROR(__xludf.DUMMYFUNCTION("""COMPUTED_VALUE"""),"88.24 Dominican Republic")</f>
        <v>88.24 Dominican Republic</v>
      </c>
      <c r="G497" s="1" t="str">
        <f ca="1">IFERROR(__xludf.DUMMYFUNCTION("""COMPUTED_VALUE"""),"Individuals At Risk, Refugee and Migrant Rights")</f>
        <v>Individuals At Risk, Refugee and Migrant Rights</v>
      </c>
      <c r="H497" s="1" t="str">
        <f ca="1">IFERROR(__xludf.DUMMYFUNCTION("""COMPUTED_VALUE"""),"2024")</f>
        <v>2024</v>
      </c>
      <c r="I497" s="1" t="str">
        <f ca="1">IFERROR(__xludf.DUMMYFUNCTION("""COMPUTED_VALUE"""),"Letter")</f>
        <v>Letter</v>
      </c>
    </row>
    <row r="498" spans="1:9" ht="13" x14ac:dyDescent="0.15">
      <c r="A498" s="9">
        <f ca="1">IFERROR(__xludf.DUMMYFUNCTION("""COMPUTED_VALUE"""),31245723)</f>
        <v>31245723</v>
      </c>
      <c r="B498" s="1" t="str">
        <f ca="1">IFERROR(__xludf.DUMMYFUNCTION("""COMPUTED_VALUE"""),"chucktaylor111@msn.com")</f>
        <v>chucktaylor111@msn.com</v>
      </c>
      <c r="C498" s="9" t="str">
        <f ca="1">IFERROR(__xludf.DUMMYFUNCTION("""COMPUTED_VALUE"""),"EVERGREEN - UAN Gated Content - Embedded Petition")</f>
        <v>EVERGREEN - UAN Gated Content - Embedded Petition</v>
      </c>
      <c r="D498" s="10">
        <f ca="1">IFERROR(__xludf.DUMMYFUNCTION("""COMPUTED_VALUE"""),45677)</f>
        <v>45677</v>
      </c>
      <c r="E498" s="1" t="str">
        <f ca="1">IFERROR(__xludf.DUMMYFUNCTION("""COMPUTED_VALUE"""),"Tunisia")</f>
        <v>Tunisia</v>
      </c>
      <c r="F498" s="1" t="str">
        <f ca="1">IFERROR(__xludf.DUMMYFUNCTION("""COMPUTED_VALUE"""),"Second 76.24 Tunisia")</f>
        <v>Second 76.24 Tunisia</v>
      </c>
      <c r="G498" s="1" t="str">
        <f ca="1">IFERROR(__xludf.DUMMYFUNCTION("""COMPUTED_VALUE"""),"Freedom of Expression, Human Rights Defenders")</f>
        <v>Freedom of Expression, Human Rights Defenders</v>
      </c>
      <c r="H498" s="1" t="str">
        <f ca="1">IFERROR(__xludf.DUMMYFUNCTION("""COMPUTED_VALUE"""),"2025")</f>
        <v>2025</v>
      </c>
      <c r="I498" s="1" t="str">
        <f ca="1">IFERROR(__xludf.DUMMYFUNCTION("""COMPUTED_VALUE"""),"Email")</f>
        <v>Email</v>
      </c>
    </row>
    <row r="499" spans="1:9" ht="13" x14ac:dyDescent="0.15">
      <c r="A499" s="9">
        <f ca="1">IFERROR(__xludf.DUMMYFUNCTION("""COMPUTED_VALUE"""),31245723)</f>
        <v>31245723</v>
      </c>
      <c r="B499" s="1" t="str">
        <f ca="1">IFERROR(__xludf.DUMMYFUNCTION("""COMPUTED_VALUE"""),"chucktaylor111@msn.com")</f>
        <v>chucktaylor111@msn.com</v>
      </c>
      <c r="C499" s="9" t="str">
        <f ca="1">IFERROR(__xludf.DUMMYFUNCTION("""COMPUTED_VALUE"""),"EVERGREEN - UAN Gated Content - Embedded Petition")</f>
        <v>EVERGREEN - UAN Gated Content - Embedded Petition</v>
      </c>
      <c r="D499" s="10">
        <f ca="1">IFERROR(__xludf.DUMMYFUNCTION("""COMPUTED_VALUE"""),45677)</f>
        <v>45677</v>
      </c>
      <c r="E499" s="1" t="str">
        <f ca="1">IFERROR(__xludf.DUMMYFUNCTION("""COMPUTED_VALUE"""),"Tunisia")</f>
        <v>Tunisia</v>
      </c>
      <c r="F499" s="1" t="str">
        <f ca="1">IFERROR(__xludf.DUMMYFUNCTION("""COMPUTED_VALUE"""),"Second 76.24 Tunisia")</f>
        <v>Second 76.24 Tunisia</v>
      </c>
      <c r="G499" s="1" t="str">
        <f ca="1">IFERROR(__xludf.DUMMYFUNCTION("""COMPUTED_VALUE"""),"Freedom of Expression, Human Rights Defenders")</f>
        <v>Freedom of Expression, Human Rights Defenders</v>
      </c>
      <c r="H499" s="1" t="str">
        <f ca="1">IFERROR(__xludf.DUMMYFUNCTION("""COMPUTED_VALUE"""),"2025")</f>
        <v>2025</v>
      </c>
      <c r="I499" s="1" t="str">
        <f ca="1">IFERROR(__xludf.DUMMYFUNCTION("""COMPUTED_VALUE"""),"Email")</f>
        <v>Email</v>
      </c>
    </row>
    <row r="500" spans="1:9" ht="13" x14ac:dyDescent="0.15">
      <c r="A500" s="9">
        <f ca="1">IFERROR(__xludf.DUMMYFUNCTION("""COMPUTED_VALUE"""),31245723)</f>
        <v>31245723</v>
      </c>
      <c r="B500" s="1" t="str">
        <f ca="1">IFERROR(__xludf.DUMMYFUNCTION("""COMPUTED_VALUE"""),"chucktaylor111@msn.com")</f>
        <v>chucktaylor111@msn.com</v>
      </c>
      <c r="C500" s="9" t="str">
        <f ca="1">IFERROR(__xludf.DUMMYFUNCTION("""COMPUTED_VALUE"""),"EVERGREEN - UAN Gated Content - Embedded Petition")</f>
        <v>EVERGREEN - UAN Gated Content - Embedded Petition</v>
      </c>
      <c r="D500" s="10">
        <f ca="1">IFERROR(__xludf.DUMMYFUNCTION("""COMPUTED_VALUE"""),45677)</f>
        <v>45677</v>
      </c>
      <c r="E500" s="1" t="str">
        <f ca="1">IFERROR(__xludf.DUMMYFUNCTION("""COMPUTED_VALUE"""),"Tunisia")</f>
        <v>Tunisia</v>
      </c>
      <c r="F500" s="1" t="str">
        <f ca="1">IFERROR(__xludf.DUMMYFUNCTION("""COMPUTED_VALUE"""),"Second 76.24 Tunisia")</f>
        <v>Second 76.24 Tunisia</v>
      </c>
      <c r="G500" s="1" t="str">
        <f ca="1">IFERROR(__xludf.DUMMYFUNCTION("""COMPUTED_VALUE"""),"Freedom of Expression, Human Rights Defenders")</f>
        <v>Freedom of Expression, Human Rights Defenders</v>
      </c>
      <c r="H500" s="1" t="str">
        <f ca="1">IFERROR(__xludf.DUMMYFUNCTION("""COMPUTED_VALUE"""),"2025")</f>
        <v>2025</v>
      </c>
      <c r="I500" s="1" t="str">
        <f ca="1">IFERROR(__xludf.DUMMYFUNCTION("""COMPUTED_VALUE"""),"Email")</f>
        <v>Email</v>
      </c>
    </row>
    <row r="501" spans="1:9" ht="13" x14ac:dyDescent="0.15">
      <c r="A501" s="9">
        <f ca="1">IFERROR(__xludf.DUMMYFUNCTION("""COMPUTED_VALUE"""),31245723)</f>
        <v>31245723</v>
      </c>
      <c r="B501" s="1" t="str">
        <f ca="1">IFERROR(__xludf.DUMMYFUNCTION("""COMPUTED_VALUE"""),"chucktaylor111@msn.com")</f>
        <v>chucktaylor111@msn.com</v>
      </c>
      <c r="C501" s="9" t="str">
        <f ca="1">IFERROR(__xludf.DUMMYFUNCTION("""COMPUTED_VALUE"""),"EVERGREEN - UAN Gated Content - Embedded Petition")</f>
        <v>EVERGREEN - UAN Gated Content - Embedded Petition</v>
      </c>
      <c r="D501" s="10">
        <f ca="1">IFERROR(__xludf.DUMMYFUNCTION("""COMPUTED_VALUE"""),45677)</f>
        <v>45677</v>
      </c>
      <c r="E501" s="1" t="str">
        <f ca="1">IFERROR(__xludf.DUMMYFUNCTION("""COMPUTED_VALUE"""),"Tunisia")</f>
        <v>Tunisia</v>
      </c>
      <c r="F501" s="1" t="str">
        <f ca="1">IFERROR(__xludf.DUMMYFUNCTION("""COMPUTED_VALUE"""),"Second 76.24 Tunisia")</f>
        <v>Second 76.24 Tunisia</v>
      </c>
      <c r="G501" s="1" t="str">
        <f ca="1">IFERROR(__xludf.DUMMYFUNCTION("""COMPUTED_VALUE"""),"Freedom of Expression, Human Rights Defenders")</f>
        <v>Freedom of Expression, Human Rights Defenders</v>
      </c>
      <c r="H501" s="1" t="str">
        <f ca="1">IFERROR(__xludf.DUMMYFUNCTION("""COMPUTED_VALUE"""),"2025")</f>
        <v>2025</v>
      </c>
      <c r="I501" s="1" t="str">
        <f ca="1">IFERROR(__xludf.DUMMYFUNCTION("""COMPUTED_VALUE"""),"Email")</f>
        <v>Email</v>
      </c>
    </row>
    <row r="502" spans="1:9" ht="13" x14ac:dyDescent="0.15">
      <c r="A502" s="9">
        <f ca="1">IFERROR(__xludf.DUMMYFUNCTION("""COMPUTED_VALUE"""),31245723)</f>
        <v>31245723</v>
      </c>
      <c r="B502" s="1" t="str">
        <f ca="1">IFERROR(__xludf.DUMMYFUNCTION("""COMPUTED_VALUE"""),"chucktaylor111@msn.com")</f>
        <v>chucktaylor111@msn.com</v>
      </c>
      <c r="C502" s="9" t="str">
        <f ca="1">IFERROR(__xludf.DUMMYFUNCTION("""COMPUTED_VALUE"""),"EVERGREEN - UAN Gated Content - Embedded Petition")</f>
        <v>EVERGREEN - UAN Gated Content - Embedded Petition</v>
      </c>
      <c r="D502" s="10">
        <f ca="1">IFERROR(__xludf.DUMMYFUNCTION("""COMPUTED_VALUE"""),45677)</f>
        <v>45677</v>
      </c>
      <c r="E502" s="1" t="str">
        <f ca="1">IFERROR(__xludf.DUMMYFUNCTION("""COMPUTED_VALUE"""),"USA")</f>
        <v>USA</v>
      </c>
      <c r="F502" s="1" t="str">
        <f ca="1">IFERROR(__xludf.DUMMYFUNCTION("""COMPUTED_VALUE"""),"105.24 USA")</f>
        <v>105.24 USA</v>
      </c>
      <c r="G502" s="1" t="str">
        <f ca="1">IFERROR(__xludf.DUMMYFUNCTION("""COMPUTED_VALUE"""),"Death Penalty")</f>
        <v>Death Penalty</v>
      </c>
      <c r="H502" s="1" t="str">
        <f ca="1">IFERROR(__xludf.DUMMYFUNCTION("""COMPUTED_VALUE"""),"2024")</f>
        <v>2024</v>
      </c>
      <c r="I502" s="1" t="str">
        <f ca="1">IFERROR(__xludf.DUMMYFUNCTION("""COMPUTED_VALUE"""),"Email")</f>
        <v>Email</v>
      </c>
    </row>
    <row r="503" spans="1:9" ht="13" x14ac:dyDescent="0.15">
      <c r="A503" s="9">
        <f ca="1">IFERROR(__xludf.DUMMYFUNCTION("""COMPUTED_VALUE"""),31245723)</f>
        <v>31245723</v>
      </c>
      <c r="B503" s="1" t="str">
        <f ca="1">IFERROR(__xludf.DUMMYFUNCTION("""COMPUTED_VALUE"""),"chucktaylor111@msn.com")</f>
        <v>chucktaylor111@msn.com</v>
      </c>
      <c r="C503" s="9" t="str">
        <f ca="1">IFERROR(__xludf.DUMMYFUNCTION("""COMPUTED_VALUE"""),"EVERGREEN - UAN Gated Content - Embedded Petition")</f>
        <v>EVERGREEN - UAN Gated Content - Embedded Petition</v>
      </c>
      <c r="D503" s="10">
        <f ca="1">IFERROR(__xludf.DUMMYFUNCTION("""COMPUTED_VALUE"""),45698)</f>
        <v>45698</v>
      </c>
      <c r="E503" s="1" t="str">
        <f ca="1">IFERROR(__xludf.DUMMYFUNCTION("""COMPUTED_VALUE"""),"Tunisia")</f>
        <v>Tunisia</v>
      </c>
      <c r="F503" s="1" t="str">
        <f ca="1">IFERROR(__xludf.DUMMYFUNCTION("""COMPUTED_VALUE"""),"Second 76.24 Tunisia")</f>
        <v>Second 76.24 Tunisia</v>
      </c>
      <c r="G503" s="1" t="str">
        <f ca="1">IFERROR(__xludf.DUMMYFUNCTION("""COMPUTED_VALUE"""),"Freedom of Expression, Human Rights Defenders")</f>
        <v>Freedom of Expression, Human Rights Defenders</v>
      </c>
      <c r="H503" s="1" t="str">
        <f ca="1">IFERROR(__xludf.DUMMYFUNCTION("""COMPUTED_VALUE"""),"2025")</f>
        <v>2025</v>
      </c>
      <c r="I503" s="1" t="str">
        <f ca="1">IFERROR(__xludf.DUMMYFUNCTION("""COMPUTED_VALUE"""),"Email")</f>
        <v>Email</v>
      </c>
    </row>
    <row r="504" spans="1:9" ht="13" x14ac:dyDescent="0.15">
      <c r="A504" s="9">
        <f ca="1">IFERROR(__xludf.DUMMYFUNCTION("""COMPUTED_VALUE"""),31249580)</f>
        <v>31249580</v>
      </c>
      <c r="B504" s="1" t="str">
        <f ca="1">IFERROR(__xludf.DUMMYFUNCTION("""COMPUTED_VALUE"""),"amjad.kayyal@gmail.com")</f>
        <v>amjad.kayyal@gmail.com</v>
      </c>
      <c r="C504" s="9" t="str">
        <f ca="1">IFERROR(__xludf.DUMMYFUNCTION("""COMPUTED_VALUE"""),"EVERGREEN - UAN Gated Content - Embedded Petition")</f>
        <v>EVERGREEN - UAN Gated Content - Embedded Petition</v>
      </c>
      <c r="D504" s="10">
        <f ca="1">IFERROR(__xludf.DUMMYFUNCTION("""COMPUTED_VALUE"""),45694)</f>
        <v>45694</v>
      </c>
      <c r="E504" s="1" t="str">
        <f ca="1">IFERROR(__xludf.DUMMYFUNCTION("""COMPUTED_VALUE"""),"USA")</f>
        <v>USA</v>
      </c>
      <c r="F504" s="1" t="str">
        <f ca="1">IFERROR(__xludf.DUMMYFUNCTION("""COMPUTED_VALUE"""),"105.24 USA")</f>
        <v>105.24 USA</v>
      </c>
      <c r="G504" s="1" t="str">
        <f ca="1">IFERROR(__xludf.DUMMYFUNCTION("""COMPUTED_VALUE"""),"Death Penalty")</f>
        <v>Death Penalty</v>
      </c>
      <c r="H504" s="1" t="str">
        <f ca="1">IFERROR(__xludf.DUMMYFUNCTION("""COMPUTED_VALUE"""),"2024")</f>
        <v>2024</v>
      </c>
      <c r="I504" s="1" t="str">
        <f ca="1">IFERROR(__xludf.DUMMYFUNCTION("""COMPUTED_VALUE"""),"Email")</f>
        <v>Email</v>
      </c>
    </row>
    <row r="505" spans="1:9" ht="13" x14ac:dyDescent="0.15">
      <c r="A505" s="9">
        <f ca="1">IFERROR(__xludf.DUMMYFUNCTION("""COMPUTED_VALUE"""),31251411)</f>
        <v>31251411</v>
      </c>
      <c r="B505" s="1" t="str">
        <f ca="1">IFERROR(__xludf.DUMMYFUNCTION("""COMPUTED_VALUE"""),"danjesposito@yahoo.com")</f>
        <v>danjesposito@yahoo.com</v>
      </c>
      <c r="C505" s="9" t="str">
        <f ca="1">IFERROR(__xludf.DUMMYFUNCTION("""COMPUTED_VALUE"""),"EVERGREEN - UAN Gated Content - Embedded Petition")</f>
        <v>EVERGREEN - UAN Gated Content - Embedded Petition</v>
      </c>
      <c r="D505" s="10">
        <f ca="1">IFERROR(__xludf.DUMMYFUNCTION("""COMPUTED_VALUE"""),45694)</f>
        <v>45694</v>
      </c>
      <c r="E505" s="1" t="str">
        <f ca="1">IFERROR(__xludf.DUMMYFUNCTION("""COMPUTED_VALUE"""),"Tunisia")</f>
        <v>Tunisia</v>
      </c>
      <c r="F505" s="1" t="str">
        <f ca="1">IFERROR(__xludf.DUMMYFUNCTION("""COMPUTED_VALUE"""),"Second 76.24 Tunisia")</f>
        <v>Second 76.24 Tunisia</v>
      </c>
      <c r="G505" s="1" t="str">
        <f ca="1">IFERROR(__xludf.DUMMYFUNCTION("""COMPUTED_VALUE"""),"Freedom of Expression, Human Rights Defenders")</f>
        <v>Freedom of Expression, Human Rights Defenders</v>
      </c>
      <c r="H505" s="1" t="str">
        <f ca="1">IFERROR(__xludf.DUMMYFUNCTION("""COMPUTED_VALUE"""),"2025")</f>
        <v>2025</v>
      </c>
      <c r="I505" s="1" t="str">
        <f ca="1">IFERROR(__xludf.DUMMYFUNCTION("""COMPUTED_VALUE"""),"Email")</f>
        <v>Email</v>
      </c>
    </row>
    <row r="506" spans="1:9" ht="13" x14ac:dyDescent="0.15">
      <c r="A506" s="9">
        <f ca="1">IFERROR(__xludf.DUMMYFUNCTION("""COMPUTED_VALUE"""),31258362)</f>
        <v>31258362</v>
      </c>
      <c r="B506" s="1" t="str">
        <f ca="1">IFERROR(__xludf.DUMMYFUNCTION("""COMPUTED_VALUE"""),"j65d65@gmail.com")</f>
        <v>j65d65@gmail.com</v>
      </c>
      <c r="C506" s="9" t="str">
        <f ca="1">IFERROR(__xludf.DUMMYFUNCTION("""COMPUTED_VALUE"""),"EVERGREEN - UAN Gated Content - Embedded Petition")</f>
        <v>EVERGREEN - UAN Gated Content - Embedded Petition</v>
      </c>
      <c r="D506" s="10">
        <f ca="1">IFERROR(__xludf.DUMMYFUNCTION("""COMPUTED_VALUE"""),45694)</f>
        <v>45694</v>
      </c>
      <c r="E506" s="1" t="str">
        <f ca="1">IFERROR(__xludf.DUMMYFUNCTION("""COMPUTED_VALUE"""),"Dominican Republic")</f>
        <v>Dominican Republic</v>
      </c>
      <c r="F506" s="1" t="str">
        <f ca="1">IFERROR(__xludf.DUMMYFUNCTION("""COMPUTED_VALUE"""),"88.24 Dominican Republic")</f>
        <v>88.24 Dominican Republic</v>
      </c>
      <c r="G506" s="1" t="str">
        <f ca="1">IFERROR(__xludf.DUMMYFUNCTION("""COMPUTED_VALUE"""),"Individuals At Risk, Refugee and Migrant Rights")</f>
        <v>Individuals At Risk, Refugee and Migrant Rights</v>
      </c>
      <c r="H506" s="1" t="str">
        <f ca="1">IFERROR(__xludf.DUMMYFUNCTION("""COMPUTED_VALUE"""),"2024")</f>
        <v>2024</v>
      </c>
      <c r="I506" s="1" t="str">
        <f ca="1">IFERROR(__xludf.DUMMYFUNCTION("""COMPUTED_VALUE"""),"Letter")</f>
        <v>Letter</v>
      </c>
    </row>
    <row r="507" spans="1:9" ht="13" x14ac:dyDescent="0.15">
      <c r="A507" s="9">
        <f ca="1">IFERROR(__xludf.DUMMYFUNCTION("""COMPUTED_VALUE"""),31258483)</f>
        <v>31258483</v>
      </c>
      <c r="B507" s="1" t="str">
        <f ca="1">IFERROR(__xludf.DUMMYFUNCTION("""COMPUTED_VALUE"""),"anne.geyer@comcast.net")</f>
        <v>anne.geyer@comcast.net</v>
      </c>
      <c r="C507" s="9" t="str">
        <f ca="1">IFERROR(__xludf.DUMMYFUNCTION("""COMPUTED_VALUE"""),"UAN mid-page Lightbox - Step 1 of 4 - Landing Page")</f>
        <v>UAN mid-page Lightbox - Step 1 of 4 - Landing Page</v>
      </c>
      <c r="D507" s="10">
        <f ca="1">IFERROR(__xludf.DUMMYFUNCTION("""COMPUTED_VALUE"""),45616)</f>
        <v>45616</v>
      </c>
      <c r="E507" s="1" t="str">
        <f ca="1">IFERROR(__xludf.DUMMYFUNCTION("""COMPUTED_VALUE"""),"USA")</f>
        <v>USA</v>
      </c>
      <c r="F507" s="1" t="str">
        <f ca="1">IFERROR(__xludf.DUMMYFUNCTION("""COMPUTED_VALUE"""),"96.24 USA")</f>
        <v>96.24 USA</v>
      </c>
      <c r="G507" s="1" t="str">
        <f ca="1">IFERROR(__xludf.DUMMYFUNCTION("""COMPUTED_VALUE"""),"Death Penalty")</f>
        <v>Death Penalty</v>
      </c>
      <c r="H507" s="1" t="str">
        <f ca="1">IFERROR(__xludf.DUMMYFUNCTION("""COMPUTED_VALUE"""),"2024")</f>
        <v>2024</v>
      </c>
      <c r="I507" s="1" t="str">
        <f ca="1">IFERROR(__xludf.DUMMYFUNCTION("""COMPUTED_VALUE"""),"Email")</f>
        <v>Email</v>
      </c>
    </row>
    <row r="508" spans="1:9" ht="13" x14ac:dyDescent="0.15">
      <c r="A508" s="9">
        <f ca="1">IFERROR(__xludf.DUMMYFUNCTION("""COMPUTED_VALUE"""),31258483)</f>
        <v>31258483</v>
      </c>
      <c r="B508" s="1" t="str">
        <f ca="1">IFERROR(__xludf.DUMMYFUNCTION("""COMPUTED_VALUE"""),"anne.geyer@comcast.net")</f>
        <v>anne.geyer@comcast.net</v>
      </c>
      <c r="C508" s="9" t="str">
        <f ca="1">IFERROR(__xludf.DUMMYFUNCTION("""COMPUTED_VALUE"""),"UAN mid-page Lightbox - Step 2 of 4 - More personal info fields")</f>
        <v>UAN mid-page Lightbox - Step 2 of 4 - More personal info fields</v>
      </c>
      <c r="D508" s="10">
        <f ca="1">IFERROR(__xludf.DUMMYFUNCTION("""COMPUTED_VALUE"""),45616)</f>
        <v>45616</v>
      </c>
      <c r="E508" s="1" t="str">
        <f ca="1">IFERROR(__xludf.DUMMYFUNCTION("""COMPUTED_VALUE"""),"Tunisia")</f>
        <v>Tunisia</v>
      </c>
      <c r="F508" s="1" t="str">
        <f ca="1">IFERROR(__xludf.DUMMYFUNCTION("""COMPUTED_VALUE"""),"Second 76.24 Tunisia")</f>
        <v>Second 76.24 Tunisia</v>
      </c>
      <c r="G508" s="1" t="str">
        <f ca="1">IFERROR(__xludf.DUMMYFUNCTION("""COMPUTED_VALUE"""),"Freedom of Expression, Human Rights Defenders")</f>
        <v>Freedom of Expression, Human Rights Defenders</v>
      </c>
      <c r="H508" s="1" t="str">
        <f ca="1">IFERROR(__xludf.DUMMYFUNCTION("""COMPUTED_VALUE"""),"2025")</f>
        <v>2025</v>
      </c>
      <c r="I508" s="1" t="str">
        <f ca="1">IFERROR(__xludf.DUMMYFUNCTION("""COMPUTED_VALUE"""),"Email")</f>
        <v>Email</v>
      </c>
    </row>
    <row r="509" spans="1:9" ht="13" x14ac:dyDescent="0.15">
      <c r="A509" s="9">
        <f ca="1">IFERROR(__xludf.DUMMYFUNCTION("""COMPUTED_VALUE"""),31263263)</f>
        <v>31263263</v>
      </c>
      <c r="B509" s="1" t="str">
        <f ca="1">IFERROR(__xludf.DUMMYFUNCTION("""COMPUTED_VALUE"""),"glennn.zen@verizon.net")</f>
        <v>glennn.zen@verizon.net</v>
      </c>
      <c r="C509" s="9" t="str">
        <f ca="1">IFERROR(__xludf.DUMMYFUNCTION("""COMPUTED_VALUE"""),"EVERGREEN - UAN Gated Content - Embedded Petition")</f>
        <v>EVERGREEN - UAN Gated Content - Embedded Petition</v>
      </c>
      <c r="D509" s="10">
        <f ca="1">IFERROR(__xludf.DUMMYFUNCTION("""COMPUTED_VALUE"""),45695)</f>
        <v>45695</v>
      </c>
      <c r="E509" s="1" t="str">
        <f ca="1">IFERROR(__xludf.DUMMYFUNCTION("""COMPUTED_VALUE"""),"Saudi Arabia")</f>
        <v>Saudi Arabia</v>
      </c>
      <c r="F509" s="1" t="str">
        <f ca="1">IFERROR(__xludf.DUMMYFUNCTION("""COMPUTED_VALUE"""),"Second 85.23 Saudi Arabia")</f>
        <v>Second 85.23 Saudi Arabia</v>
      </c>
      <c r="G509" s="1" t="str">
        <f ca="1">IFERROR(__xludf.DUMMYFUNCTION("""COMPUTED_VALUE"""),"Freedom of Expression")</f>
        <v>Freedom of Expression</v>
      </c>
      <c r="H509" s="1" t="str">
        <f ca="1">IFERROR(__xludf.DUMMYFUNCTION("""COMPUTED_VALUE"""),"2024")</f>
        <v>2024</v>
      </c>
      <c r="I509" s="1" t="str">
        <f ca="1">IFERROR(__xludf.DUMMYFUNCTION("""COMPUTED_VALUE"""),"Letter")</f>
        <v>Letter</v>
      </c>
    </row>
    <row r="510" spans="1:9" ht="13" x14ac:dyDescent="0.15">
      <c r="A510" s="9">
        <f ca="1">IFERROR(__xludf.DUMMYFUNCTION("""COMPUTED_VALUE"""),31263263)</f>
        <v>31263263</v>
      </c>
      <c r="B510" s="1" t="str">
        <f ca="1">IFERROR(__xludf.DUMMYFUNCTION("""COMPUTED_VALUE"""),"glennn.zen@verizon.net")</f>
        <v>glennn.zen@verizon.net</v>
      </c>
      <c r="C510" s="9" t="str">
        <f ca="1">IFERROR(__xludf.DUMMYFUNCTION("""COMPUTED_VALUE"""),"EVERGREEN - UAN Gated Content - Embedded Petition")</f>
        <v>EVERGREEN - UAN Gated Content - Embedded Petition</v>
      </c>
      <c r="D510" s="10">
        <f ca="1">IFERROR(__xludf.DUMMYFUNCTION("""COMPUTED_VALUE"""),45674)</f>
        <v>45674</v>
      </c>
      <c r="E510" s="1" t="str">
        <f ca="1">IFERROR(__xludf.DUMMYFUNCTION("""COMPUTED_VALUE"""),"Dominican Republic")</f>
        <v>Dominican Republic</v>
      </c>
      <c r="F510" s="1" t="str">
        <f ca="1">IFERROR(__xludf.DUMMYFUNCTION("""COMPUTED_VALUE"""),"88.24 Dominican Republic")</f>
        <v>88.24 Dominican Republic</v>
      </c>
      <c r="G510" s="1" t="str">
        <f ca="1">IFERROR(__xludf.DUMMYFUNCTION("""COMPUTED_VALUE"""),"Individuals At Risk, Refugee and Migrant Rights")</f>
        <v>Individuals At Risk, Refugee and Migrant Rights</v>
      </c>
      <c r="H510" s="1" t="str">
        <f ca="1">IFERROR(__xludf.DUMMYFUNCTION("""COMPUTED_VALUE"""),"2024")</f>
        <v>2024</v>
      </c>
      <c r="I510" s="1" t="str">
        <f ca="1">IFERROR(__xludf.DUMMYFUNCTION("""COMPUTED_VALUE"""),"Letter")</f>
        <v>Letter</v>
      </c>
    </row>
    <row r="511" spans="1:9" ht="13" x14ac:dyDescent="0.15">
      <c r="A511" s="9">
        <f ca="1">IFERROR(__xludf.DUMMYFUNCTION("""COMPUTED_VALUE"""),31263263)</f>
        <v>31263263</v>
      </c>
      <c r="B511" s="1" t="str">
        <f ca="1">IFERROR(__xludf.DUMMYFUNCTION("""COMPUTED_VALUE"""),"glennn.zen@verizon.net")</f>
        <v>glennn.zen@verizon.net</v>
      </c>
      <c r="C511" s="9" t="str">
        <f ca="1">IFERROR(__xludf.DUMMYFUNCTION("""COMPUTED_VALUE"""),"EVERGREEN - UAN Gated Content - Embedded Petition")</f>
        <v>EVERGREEN - UAN Gated Content - Embedded Petition</v>
      </c>
      <c r="D511" s="10">
        <f ca="1">IFERROR(__xludf.DUMMYFUNCTION("""COMPUTED_VALUE"""),45674)</f>
        <v>45674</v>
      </c>
      <c r="E511" s="1" t="str">
        <f ca="1">IFERROR(__xludf.DUMMYFUNCTION("""COMPUTED_VALUE"""),"Egypt")</f>
        <v>Egypt</v>
      </c>
      <c r="F511" s="1" t="str">
        <f ca="1">IFERROR(__xludf.DUMMYFUNCTION("""COMPUTED_VALUE"""),"Ninth 190.18 Egypt")</f>
        <v>Ninth 190.18 Egypt</v>
      </c>
      <c r="G511" s="1" t="str">
        <f ca="1">IFERROR(__xludf.DUMMYFUNCTION("""COMPUTED_VALUE"""),"Freedom of Expression, Individuals At Risk")</f>
        <v>Freedom of Expression, Individuals At Risk</v>
      </c>
      <c r="H511" s="1" t="str">
        <f ca="1">IFERROR(__xludf.DUMMYFUNCTION("""COMPUTED_VALUE"""),"2024")</f>
        <v>2024</v>
      </c>
      <c r="I511" s="1" t="str">
        <f ca="1">IFERROR(__xludf.DUMMYFUNCTION("""COMPUTED_VALUE"""),"Letter")</f>
        <v>Letter</v>
      </c>
    </row>
    <row r="512" spans="1:9" ht="13" x14ac:dyDescent="0.15">
      <c r="A512" s="9">
        <f ca="1">IFERROR(__xludf.DUMMYFUNCTION("""COMPUTED_VALUE"""),31263263)</f>
        <v>31263263</v>
      </c>
      <c r="B512" s="1" t="str">
        <f ca="1">IFERROR(__xludf.DUMMYFUNCTION("""COMPUTED_VALUE"""),"glennn.zen@verizon.net")</f>
        <v>glennn.zen@verizon.net</v>
      </c>
      <c r="C512" s="9" t="str">
        <f ca="1">IFERROR(__xludf.DUMMYFUNCTION("""COMPUTED_VALUE"""),"EVERGREEN - UAN Gated Content - Embedded Petition")</f>
        <v>EVERGREEN - UAN Gated Content - Embedded Petition</v>
      </c>
      <c r="D512" s="10">
        <f ca="1">IFERROR(__xludf.DUMMYFUNCTION("""COMPUTED_VALUE"""),45674)</f>
        <v>45674</v>
      </c>
      <c r="E512" s="1" t="str">
        <f ca="1">IFERROR(__xludf.DUMMYFUNCTION("""COMPUTED_VALUE"""),"Iran")</f>
        <v>Iran</v>
      </c>
      <c r="F512" s="1" t="str">
        <f ca="1">IFERROR(__xludf.DUMMYFUNCTION("""COMPUTED_VALUE"""),"10.25 Iran")</f>
        <v>10.25 Iran</v>
      </c>
      <c r="G512" s="1" t="str">
        <f ca="1">IFERROR(__xludf.DUMMYFUNCTION("""COMPUTED_VALUE"""),"Death Penalty, Individuals At Risk")</f>
        <v>Death Penalty, Individuals At Risk</v>
      </c>
      <c r="H512" s="1" t="str">
        <f ca="1">IFERROR(__xludf.DUMMYFUNCTION("""COMPUTED_VALUE"""),"2025")</f>
        <v>2025</v>
      </c>
      <c r="I512" s="1" t="str">
        <f ca="1">IFERROR(__xludf.DUMMYFUNCTION("""COMPUTED_VALUE"""),"Email")</f>
        <v>Email</v>
      </c>
    </row>
    <row r="513" spans="1:9" ht="13" x14ac:dyDescent="0.15">
      <c r="A513" s="9">
        <f ca="1">IFERROR(__xludf.DUMMYFUNCTION("""COMPUTED_VALUE"""),31267757)</f>
        <v>31267757</v>
      </c>
      <c r="B513" s="1" t="str">
        <f ca="1">IFERROR(__xludf.DUMMYFUNCTION("""COMPUTED_VALUE"""),"givory@nmsu.edu")</f>
        <v>givory@nmsu.edu</v>
      </c>
      <c r="C513" s="9" t="str">
        <f ca="1">IFERROR(__xludf.DUMMYFUNCTION("""COMPUTED_VALUE"""),"EVERGREEN - UAN Gated Content - Embedded Petition")</f>
        <v>EVERGREEN - UAN Gated Content - Embedded Petition</v>
      </c>
      <c r="D513" s="10">
        <f ca="1">IFERROR(__xludf.DUMMYFUNCTION("""COMPUTED_VALUE"""),45671)</f>
        <v>45671</v>
      </c>
      <c r="E513" s="1" t="str">
        <f ca="1">IFERROR(__xludf.DUMMYFUNCTION("""COMPUTED_VALUE"""),"Iran")</f>
        <v>Iran</v>
      </c>
      <c r="F513" s="1" t="str">
        <f ca="1">IFERROR(__xludf.DUMMYFUNCTION("""COMPUTED_VALUE"""),"10.25 Iran")</f>
        <v>10.25 Iran</v>
      </c>
      <c r="G513" s="1" t="str">
        <f ca="1">IFERROR(__xludf.DUMMYFUNCTION("""COMPUTED_VALUE"""),"Death Penalty, Individuals At Risk")</f>
        <v>Death Penalty, Individuals At Risk</v>
      </c>
      <c r="H513" s="1" t="str">
        <f ca="1">IFERROR(__xludf.DUMMYFUNCTION("""COMPUTED_VALUE"""),"2025")</f>
        <v>2025</v>
      </c>
      <c r="I513" s="1" t="str">
        <f ca="1">IFERROR(__xludf.DUMMYFUNCTION("""COMPUTED_VALUE"""),"Email")</f>
        <v>Email</v>
      </c>
    </row>
    <row r="514" spans="1:9" ht="13" x14ac:dyDescent="0.15">
      <c r="A514" s="9">
        <f ca="1">IFERROR(__xludf.DUMMYFUNCTION("""COMPUTED_VALUE"""),31267757)</f>
        <v>31267757</v>
      </c>
      <c r="B514" s="1" t="str">
        <f ca="1">IFERROR(__xludf.DUMMYFUNCTION("""COMPUTED_VALUE"""),"givory@nmsu.edu")</f>
        <v>givory@nmsu.edu</v>
      </c>
      <c r="C514" s="9" t="str">
        <f ca="1">IFERROR(__xludf.DUMMYFUNCTION("""COMPUTED_VALUE"""),"EVERGREEN - UAN Gated Content - Embedded Petition")</f>
        <v>EVERGREEN - UAN Gated Content - Embedded Petition</v>
      </c>
      <c r="D514" s="10">
        <f ca="1">IFERROR(__xludf.DUMMYFUNCTION("""COMPUTED_VALUE"""),45652)</f>
        <v>45652</v>
      </c>
      <c r="E514" s="1" t="str">
        <f ca="1">IFERROR(__xludf.DUMMYFUNCTION("""COMPUTED_VALUE"""),"Iran")</f>
        <v>Iran</v>
      </c>
      <c r="F514" s="1" t="str">
        <f ca="1">IFERROR(__xludf.DUMMYFUNCTION("""COMPUTED_VALUE"""),"Seventh 103.22 Iran")</f>
        <v>Seventh 103.22 Iran</v>
      </c>
      <c r="G514" s="1" t="str">
        <f ca="1">IFERROR(__xludf.DUMMYFUNCTION("""COMPUTED_VALUE"""),"Death Penalty, Freedom of Expression, Individuals At Risk")</f>
        <v>Death Penalty, Freedom of Expression, Individuals At Risk</v>
      </c>
      <c r="H514" s="1" t="str">
        <f ca="1">IFERROR(__xludf.DUMMYFUNCTION("""COMPUTED_VALUE"""),"2024")</f>
        <v>2024</v>
      </c>
      <c r="I514" s="1" t="str">
        <f ca="1">IFERROR(__xludf.DUMMYFUNCTION("""COMPUTED_VALUE"""),"Email")</f>
        <v>Email</v>
      </c>
    </row>
    <row r="515" spans="1:9" ht="13" x14ac:dyDescent="0.15">
      <c r="A515" s="9">
        <f ca="1">IFERROR(__xludf.DUMMYFUNCTION("""COMPUTED_VALUE"""),31267757)</f>
        <v>31267757</v>
      </c>
      <c r="B515" s="1" t="str">
        <f ca="1">IFERROR(__xludf.DUMMYFUNCTION("""COMPUTED_VALUE"""),"givory@nmsu.edu")</f>
        <v>givory@nmsu.edu</v>
      </c>
      <c r="C515" s="9" t="str">
        <f ca="1">IFERROR(__xludf.DUMMYFUNCTION("""COMPUTED_VALUE"""),"EVERGREEN - UAN Gated Content - Embedded Petition")</f>
        <v>EVERGREEN - UAN Gated Content - Embedded Petition</v>
      </c>
      <c r="D515" s="10">
        <f ca="1">IFERROR(__xludf.DUMMYFUNCTION("""COMPUTED_VALUE"""),45662)</f>
        <v>45662</v>
      </c>
      <c r="E515" s="1" t="str">
        <f ca="1">IFERROR(__xludf.DUMMYFUNCTION("""COMPUTED_VALUE"""),"Tunisia")</f>
        <v>Tunisia</v>
      </c>
      <c r="F515" s="1" t="str">
        <f ca="1">IFERROR(__xludf.DUMMYFUNCTION("""COMPUTED_VALUE"""),"Second 76.24 Tunisia")</f>
        <v>Second 76.24 Tunisia</v>
      </c>
      <c r="G515" s="1" t="str">
        <f ca="1">IFERROR(__xludf.DUMMYFUNCTION("""COMPUTED_VALUE"""),"Freedom of Expression, Human Rights Defenders")</f>
        <v>Freedom of Expression, Human Rights Defenders</v>
      </c>
      <c r="H515" s="1" t="str">
        <f ca="1">IFERROR(__xludf.DUMMYFUNCTION("""COMPUTED_VALUE"""),"2025")</f>
        <v>2025</v>
      </c>
      <c r="I515" s="1" t="str">
        <f ca="1">IFERROR(__xludf.DUMMYFUNCTION("""COMPUTED_VALUE"""),"Email")</f>
        <v>Email</v>
      </c>
    </row>
    <row r="516" spans="1:9" ht="13" x14ac:dyDescent="0.15">
      <c r="A516" s="9">
        <f ca="1">IFERROR(__xludf.DUMMYFUNCTION("""COMPUTED_VALUE"""),31267757)</f>
        <v>31267757</v>
      </c>
      <c r="B516" s="1" t="str">
        <f ca="1">IFERROR(__xludf.DUMMYFUNCTION("""COMPUTED_VALUE"""),"givory@nmsu.edu")</f>
        <v>givory@nmsu.edu</v>
      </c>
      <c r="C516" s="9" t="str">
        <f ca="1">IFERROR(__xludf.DUMMYFUNCTION("""COMPUTED_VALUE"""),"EVERGREEN - UAN Gated Content - Embedded Petition")</f>
        <v>EVERGREEN - UAN Gated Content - Embedded Petition</v>
      </c>
      <c r="D516" s="10">
        <f ca="1">IFERROR(__xludf.DUMMYFUNCTION("""COMPUTED_VALUE"""),45677)</f>
        <v>45677</v>
      </c>
      <c r="E516" s="1" t="str">
        <f ca="1">IFERROR(__xludf.DUMMYFUNCTION("""COMPUTED_VALUE"""),"USA")</f>
        <v>USA</v>
      </c>
      <c r="F516" s="1" t="str">
        <f ca="1">IFERROR(__xludf.DUMMYFUNCTION("""COMPUTED_VALUE"""),"96.24 USA")</f>
        <v>96.24 USA</v>
      </c>
      <c r="G516" s="1" t="str">
        <f ca="1">IFERROR(__xludf.DUMMYFUNCTION("""COMPUTED_VALUE"""),"Death Penalty")</f>
        <v>Death Penalty</v>
      </c>
      <c r="H516" s="1" t="str">
        <f ca="1">IFERROR(__xludf.DUMMYFUNCTION("""COMPUTED_VALUE"""),"2024")</f>
        <v>2024</v>
      </c>
      <c r="I516" s="1" t="str">
        <f ca="1">IFERROR(__xludf.DUMMYFUNCTION("""COMPUTED_VALUE"""),"Email")</f>
        <v>Email</v>
      </c>
    </row>
    <row r="517" spans="1:9" ht="13" x14ac:dyDescent="0.15">
      <c r="A517" s="9">
        <f ca="1">IFERROR(__xludf.DUMMYFUNCTION("""COMPUTED_VALUE"""),31267757)</f>
        <v>31267757</v>
      </c>
      <c r="B517" s="1" t="str">
        <f ca="1">IFERROR(__xludf.DUMMYFUNCTION("""COMPUTED_VALUE"""),"givory@nmsu.edu")</f>
        <v>givory@nmsu.edu</v>
      </c>
      <c r="C517" s="9" t="str">
        <f ca="1">IFERROR(__xludf.DUMMYFUNCTION("""COMPUTED_VALUE"""),"EVERGREEN - UAN Gated Content - Embedded Petition")</f>
        <v>EVERGREEN - UAN Gated Content - Embedded Petition</v>
      </c>
      <c r="D517" s="10">
        <f ca="1">IFERROR(__xludf.DUMMYFUNCTION("""COMPUTED_VALUE"""),45687)</f>
        <v>45687</v>
      </c>
      <c r="E517" s="1" t="str">
        <f ca="1">IFERROR(__xludf.DUMMYFUNCTION("""COMPUTED_VALUE"""),"Tunisia")</f>
        <v>Tunisia</v>
      </c>
      <c r="F517" s="1" t="str">
        <f ca="1">IFERROR(__xludf.DUMMYFUNCTION("""COMPUTED_VALUE"""),"Second 76.24 Tunisia")</f>
        <v>Second 76.24 Tunisia</v>
      </c>
      <c r="G517" s="1" t="str">
        <f ca="1">IFERROR(__xludf.DUMMYFUNCTION("""COMPUTED_VALUE"""),"Freedom of Expression, Human Rights Defenders")</f>
        <v>Freedom of Expression, Human Rights Defenders</v>
      </c>
      <c r="H517" s="1" t="str">
        <f ca="1">IFERROR(__xludf.DUMMYFUNCTION("""COMPUTED_VALUE"""),"2025")</f>
        <v>2025</v>
      </c>
      <c r="I517" s="1" t="str">
        <f ca="1">IFERROR(__xludf.DUMMYFUNCTION("""COMPUTED_VALUE"""),"Email")</f>
        <v>Email</v>
      </c>
    </row>
    <row r="518" spans="1:9" ht="13" x14ac:dyDescent="0.15">
      <c r="A518" s="9">
        <f ca="1">IFERROR(__xludf.DUMMYFUNCTION("""COMPUTED_VALUE"""),31267757)</f>
        <v>31267757</v>
      </c>
      <c r="B518" s="1" t="str">
        <f ca="1">IFERROR(__xludf.DUMMYFUNCTION("""COMPUTED_VALUE"""),"givory@nmsu.edu")</f>
        <v>givory@nmsu.edu</v>
      </c>
      <c r="C518" s="9" t="str">
        <f ca="1">IFERROR(__xludf.DUMMYFUNCTION("""COMPUTED_VALUE"""),"EVERGREEN - UAN Gated Content - Embedded Petition")</f>
        <v>EVERGREEN - UAN Gated Content - Embedded Petition</v>
      </c>
      <c r="D518" s="10">
        <f ca="1">IFERROR(__xludf.DUMMYFUNCTION("""COMPUTED_VALUE"""),45698)</f>
        <v>45698</v>
      </c>
      <c r="E518" s="1" t="str">
        <f ca="1">IFERROR(__xludf.DUMMYFUNCTION("""COMPUTED_VALUE"""),"Uganda")</f>
        <v>Uganda</v>
      </c>
      <c r="F518" s="1" t="str">
        <f ca="1">IFERROR(__xludf.DUMMYFUNCTION("""COMPUTED_VALUE"""),"100.24 Uganda")</f>
        <v>100.24 Uganda</v>
      </c>
      <c r="G518" s="1" t="str">
        <f ca="1">IFERROR(__xludf.DUMMYFUNCTION("""COMPUTED_VALUE"""),"Freedom of Expression")</f>
        <v>Freedom of Expression</v>
      </c>
      <c r="H518" s="1" t="str">
        <f ca="1">IFERROR(__xludf.DUMMYFUNCTION("""COMPUTED_VALUE"""),"2024")</f>
        <v>2024</v>
      </c>
      <c r="I518" s="1" t="str">
        <f ca="1">IFERROR(__xludf.DUMMYFUNCTION("""COMPUTED_VALUE"""),"Email")</f>
        <v>Email</v>
      </c>
    </row>
    <row r="519" spans="1:9" ht="13" x14ac:dyDescent="0.15">
      <c r="A519" s="9">
        <f ca="1">IFERROR(__xludf.DUMMYFUNCTION("""COMPUTED_VALUE"""),31267757)</f>
        <v>31267757</v>
      </c>
      <c r="B519" s="1" t="str">
        <f ca="1">IFERROR(__xludf.DUMMYFUNCTION("""COMPUTED_VALUE"""),"givory@nmsu.edu")</f>
        <v>givory@nmsu.edu</v>
      </c>
      <c r="C519" s="9" t="str">
        <f ca="1">IFERROR(__xludf.DUMMYFUNCTION("""COMPUTED_VALUE"""),"EVERGREEN - UAN Gated Content - Embedded Petition")</f>
        <v>EVERGREEN - UAN Gated Content - Embedded Petition</v>
      </c>
      <c r="D519" s="10">
        <f ca="1">IFERROR(__xludf.DUMMYFUNCTION("""COMPUTED_VALUE"""),45669)</f>
        <v>45669</v>
      </c>
      <c r="E519" s="1" t="str">
        <f ca="1">IFERROR(__xludf.DUMMYFUNCTION("""COMPUTED_VALUE"""),"USA")</f>
        <v>USA</v>
      </c>
      <c r="F519" s="1" t="str">
        <f ca="1">IFERROR(__xludf.DUMMYFUNCTION("""COMPUTED_VALUE"""),"105.24 USA")</f>
        <v>105.24 USA</v>
      </c>
      <c r="G519" s="1" t="str">
        <f ca="1">IFERROR(__xludf.DUMMYFUNCTION("""COMPUTED_VALUE"""),"Death Penalty")</f>
        <v>Death Penalty</v>
      </c>
      <c r="H519" s="1" t="str">
        <f ca="1">IFERROR(__xludf.DUMMYFUNCTION("""COMPUTED_VALUE"""),"2024")</f>
        <v>2024</v>
      </c>
      <c r="I519" s="1" t="str">
        <f ca="1">IFERROR(__xludf.DUMMYFUNCTION("""COMPUTED_VALUE"""),"Email")</f>
        <v>Email</v>
      </c>
    </row>
    <row r="520" spans="1:9" ht="13" x14ac:dyDescent="0.15">
      <c r="A520" s="9">
        <f ca="1">IFERROR(__xludf.DUMMYFUNCTION("""COMPUTED_VALUE"""),31267757)</f>
        <v>31267757</v>
      </c>
      <c r="B520" s="1" t="str">
        <f ca="1">IFERROR(__xludf.DUMMYFUNCTION("""COMPUTED_VALUE"""),"givory@nmsu.edu")</f>
        <v>givory@nmsu.edu</v>
      </c>
      <c r="C520" s="9" t="str">
        <f ca="1">IFERROR(__xludf.DUMMYFUNCTION("""COMPUTED_VALUE"""),"EVERGREEN - UAN Gated Content - Embedded Petition")</f>
        <v>EVERGREEN - UAN Gated Content - Embedded Petition</v>
      </c>
      <c r="D520" s="10">
        <f ca="1">IFERROR(__xludf.DUMMYFUNCTION("""COMPUTED_VALUE"""),45668)</f>
        <v>45668</v>
      </c>
      <c r="E520" s="1" t="str">
        <f ca="1">IFERROR(__xludf.DUMMYFUNCTION("""COMPUTED_VALUE"""),"Uganda")</f>
        <v>Uganda</v>
      </c>
      <c r="F520" s="1" t="str">
        <f ca="1">IFERROR(__xludf.DUMMYFUNCTION("""COMPUTED_VALUE"""),"100.24 Uganda")</f>
        <v>100.24 Uganda</v>
      </c>
      <c r="G520" s="1" t="str">
        <f ca="1">IFERROR(__xludf.DUMMYFUNCTION("""COMPUTED_VALUE"""),"Freedom of Expression")</f>
        <v>Freedom of Expression</v>
      </c>
      <c r="H520" s="1" t="str">
        <f ca="1">IFERROR(__xludf.DUMMYFUNCTION("""COMPUTED_VALUE"""),"2024")</f>
        <v>2024</v>
      </c>
      <c r="I520" s="1" t="str">
        <f ca="1">IFERROR(__xludf.DUMMYFUNCTION("""COMPUTED_VALUE"""),"Email")</f>
        <v>Email</v>
      </c>
    </row>
    <row r="521" spans="1:9" ht="13" x14ac:dyDescent="0.15">
      <c r="A521" s="9">
        <f ca="1">IFERROR(__xludf.DUMMYFUNCTION("""COMPUTED_VALUE"""),31267757)</f>
        <v>31267757</v>
      </c>
      <c r="B521" s="1" t="str">
        <f ca="1">IFERROR(__xludf.DUMMYFUNCTION("""COMPUTED_VALUE"""),"givory@nmsu.edu")</f>
        <v>givory@nmsu.edu</v>
      </c>
      <c r="C521" s="9" t="str">
        <f ca="1">IFERROR(__xludf.DUMMYFUNCTION("""COMPUTED_VALUE"""),"EVERGREEN - UAN Gated Content - Embedded Petition")</f>
        <v>EVERGREEN - UAN Gated Content - Embedded Petition</v>
      </c>
      <c r="D521" s="10">
        <f ca="1">IFERROR(__xludf.DUMMYFUNCTION("""COMPUTED_VALUE"""),45677)</f>
        <v>45677</v>
      </c>
      <c r="E521" s="1" t="str">
        <f ca="1">IFERROR(__xludf.DUMMYFUNCTION("""COMPUTED_VALUE"""),"Iran")</f>
        <v>Iran</v>
      </c>
      <c r="F521" s="1" t="str">
        <f ca="1">IFERROR(__xludf.DUMMYFUNCTION("""COMPUTED_VALUE"""),"101.24 Iran")</f>
        <v>101.24 Iran</v>
      </c>
      <c r="G521" s="1" t="str">
        <f ca="1">IFERROR(__xludf.DUMMYFUNCTION("""COMPUTED_VALUE"""),"Death Penalty, Freedom of Expression, Individuals At Risk, Right to Protest")</f>
        <v>Death Penalty, Freedom of Expression, Individuals At Risk, Right to Protest</v>
      </c>
      <c r="H521" s="1" t="str">
        <f ca="1">IFERROR(__xludf.DUMMYFUNCTION("""COMPUTED_VALUE"""),"2024")</f>
        <v>2024</v>
      </c>
      <c r="I521" s="1" t="str">
        <f ca="1">IFERROR(__xludf.DUMMYFUNCTION("""COMPUTED_VALUE"""),"Email")</f>
        <v>Email</v>
      </c>
    </row>
    <row r="522" spans="1:9" ht="13" x14ac:dyDescent="0.15">
      <c r="A522" s="9">
        <f ca="1">IFERROR(__xludf.DUMMYFUNCTION("""COMPUTED_VALUE"""),31267757)</f>
        <v>31267757</v>
      </c>
      <c r="B522" s="1" t="str">
        <f ca="1">IFERROR(__xludf.DUMMYFUNCTION("""COMPUTED_VALUE"""),"givory@nmsu.edu")</f>
        <v>givory@nmsu.edu</v>
      </c>
      <c r="C522" s="9" t="str">
        <f ca="1">IFERROR(__xludf.DUMMYFUNCTION("""COMPUTED_VALUE"""),"EVERGREEN - UAN Gated Content - Embedded Petition")</f>
        <v>EVERGREEN - UAN Gated Content - Embedded Petition</v>
      </c>
      <c r="D522" s="10">
        <f ca="1">IFERROR(__xludf.DUMMYFUNCTION("""COMPUTED_VALUE"""),45624)</f>
        <v>45624</v>
      </c>
      <c r="E522" s="1" t="str">
        <f ca="1">IFERROR(__xludf.DUMMYFUNCTION("""COMPUTED_VALUE"""),"Tunisia")</f>
        <v>Tunisia</v>
      </c>
      <c r="F522" s="1" t="str">
        <f ca="1">IFERROR(__xludf.DUMMYFUNCTION("""COMPUTED_VALUE"""),"Second 76.24 Tunisia")</f>
        <v>Second 76.24 Tunisia</v>
      </c>
      <c r="G522" s="1" t="str">
        <f ca="1">IFERROR(__xludf.DUMMYFUNCTION("""COMPUTED_VALUE"""),"Freedom of Expression, Human Rights Defenders")</f>
        <v>Freedom of Expression, Human Rights Defenders</v>
      </c>
      <c r="H522" s="1" t="str">
        <f ca="1">IFERROR(__xludf.DUMMYFUNCTION("""COMPUTED_VALUE"""),"2025")</f>
        <v>2025</v>
      </c>
      <c r="I522" s="1" t="str">
        <f ca="1">IFERROR(__xludf.DUMMYFUNCTION("""COMPUTED_VALUE"""),"Email")</f>
        <v>Email</v>
      </c>
    </row>
    <row r="523" spans="1:9" ht="13" x14ac:dyDescent="0.15">
      <c r="A523" s="9">
        <f ca="1">IFERROR(__xludf.DUMMYFUNCTION("""COMPUTED_VALUE"""),31267757)</f>
        <v>31267757</v>
      </c>
      <c r="B523" s="1" t="str">
        <f ca="1">IFERROR(__xludf.DUMMYFUNCTION("""COMPUTED_VALUE"""),"givory@nmsu.edu")</f>
        <v>givory@nmsu.edu</v>
      </c>
      <c r="C523" s="9" t="str">
        <f ca="1">IFERROR(__xludf.DUMMYFUNCTION("""COMPUTED_VALUE"""),"EVERGREEN - UAN Gated Content - Embedded Petition")</f>
        <v>EVERGREEN - UAN Gated Content - Embedded Petition</v>
      </c>
      <c r="D523" s="10">
        <f ca="1">IFERROR(__xludf.DUMMYFUNCTION("""COMPUTED_VALUE"""),45618)</f>
        <v>45618</v>
      </c>
      <c r="E523" s="1" t="str">
        <f ca="1">IFERROR(__xludf.DUMMYFUNCTION("""COMPUTED_VALUE"""),"Tunisia")</f>
        <v>Tunisia</v>
      </c>
      <c r="F523" s="1" t="str">
        <f ca="1">IFERROR(__xludf.DUMMYFUNCTION("""COMPUTED_VALUE"""),"Second 76.24 Tunisia")</f>
        <v>Second 76.24 Tunisia</v>
      </c>
      <c r="G523" s="1" t="str">
        <f ca="1">IFERROR(__xludf.DUMMYFUNCTION("""COMPUTED_VALUE"""),"Freedom of Expression, Human Rights Defenders")</f>
        <v>Freedom of Expression, Human Rights Defenders</v>
      </c>
      <c r="H523" s="1" t="str">
        <f ca="1">IFERROR(__xludf.DUMMYFUNCTION("""COMPUTED_VALUE"""),"2025")</f>
        <v>2025</v>
      </c>
      <c r="I523" s="1" t="str">
        <f ca="1">IFERROR(__xludf.DUMMYFUNCTION("""COMPUTED_VALUE"""),"Email")</f>
        <v>Email</v>
      </c>
    </row>
    <row r="524" spans="1:9" ht="13" x14ac:dyDescent="0.15">
      <c r="A524" s="9">
        <f ca="1">IFERROR(__xludf.DUMMYFUNCTION("""COMPUTED_VALUE"""),31274883)</f>
        <v>31274883</v>
      </c>
      <c r="B524" s="1" t="str">
        <f ca="1">IFERROR(__xludf.DUMMYFUNCTION("""COMPUTED_VALUE"""),"linda.graham@beehivebotanicals.com")</f>
        <v>linda.graham@beehivebotanicals.com</v>
      </c>
      <c r="C524" s="9" t="str">
        <f ca="1">IFERROR(__xludf.DUMMYFUNCTION("""COMPUTED_VALUE"""),"EVERGREEN - UAN Gated Content - Embedded Petition")</f>
        <v>EVERGREEN - UAN Gated Content - Embedded Petition</v>
      </c>
      <c r="D524" s="10">
        <f ca="1">IFERROR(__xludf.DUMMYFUNCTION("""COMPUTED_VALUE"""),45694)</f>
        <v>45694</v>
      </c>
      <c r="E524" s="1" t="str">
        <f ca="1">IFERROR(__xludf.DUMMYFUNCTION("""COMPUTED_VALUE"""),"Tunisia")</f>
        <v>Tunisia</v>
      </c>
      <c r="F524" s="1" t="str">
        <f ca="1">IFERROR(__xludf.DUMMYFUNCTION("""COMPUTED_VALUE"""),"Second 76.24 Tunisia")</f>
        <v>Second 76.24 Tunisia</v>
      </c>
      <c r="G524" s="1" t="str">
        <f ca="1">IFERROR(__xludf.DUMMYFUNCTION("""COMPUTED_VALUE"""),"Freedom of Expression, Human Rights Defenders")</f>
        <v>Freedom of Expression, Human Rights Defenders</v>
      </c>
      <c r="H524" s="1" t="str">
        <f ca="1">IFERROR(__xludf.DUMMYFUNCTION("""COMPUTED_VALUE"""),"2025")</f>
        <v>2025</v>
      </c>
      <c r="I524" s="1" t="str">
        <f ca="1">IFERROR(__xludf.DUMMYFUNCTION("""COMPUTED_VALUE"""),"Email")</f>
        <v>Email</v>
      </c>
    </row>
    <row r="525" spans="1:9" ht="13" x14ac:dyDescent="0.15">
      <c r="A525" s="9">
        <f ca="1">IFERROR(__xludf.DUMMYFUNCTION("""COMPUTED_VALUE"""),31276264)</f>
        <v>31276264</v>
      </c>
      <c r="B525" s="1" t="str">
        <f ca="1">IFERROR(__xludf.DUMMYFUNCTION("""COMPUTED_VALUE"""),"sapicard@earthlink.net")</f>
        <v>sapicard@earthlink.net</v>
      </c>
      <c r="C525" s="9" t="str">
        <f ca="1">IFERROR(__xludf.DUMMYFUNCTION("""COMPUTED_VALUE"""),"EVERGREEN - UAN Gated Content - Embedded Petition")</f>
        <v>EVERGREEN - UAN Gated Content - Embedded Petition</v>
      </c>
      <c r="D525" s="10">
        <f ca="1">IFERROR(__xludf.DUMMYFUNCTION("""COMPUTED_VALUE"""),45636)</f>
        <v>45636</v>
      </c>
      <c r="E525" s="1" t="str">
        <f ca="1">IFERROR(__xludf.DUMMYFUNCTION("""COMPUTED_VALUE"""),"Egypt")</f>
        <v>Egypt</v>
      </c>
      <c r="F525" s="1" t="str">
        <f ca="1">IFERROR(__xludf.DUMMYFUNCTION("""COMPUTED_VALUE"""),"Ninth 190.18 Egypt")</f>
        <v>Ninth 190.18 Egypt</v>
      </c>
      <c r="G525" s="1" t="str">
        <f ca="1">IFERROR(__xludf.DUMMYFUNCTION("""COMPUTED_VALUE"""),"Freedom of Expression, Individuals At Risk")</f>
        <v>Freedom of Expression, Individuals At Risk</v>
      </c>
      <c r="H525" s="1" t="str">
        <f ca="1">IFERROR(__xludf.DUMMYFUNCTION("""COMPUTED_VALUE"""),"2024")</f>
        <v>2024</v>
      </c>
      <c r="I525" s="1" t="str">
        <f ca="1">IFERROR(__xludf.DUMMYFUNCTION("""COMPUTED_VALUE"""),"Letter")</f>
        <v>Letter</v>
      </c>
    </row>
    <row r="526" spans="1:9" ht="13" x14ac:dyDescent="0.15">
      <c r="A526" s="9">
        <f ca="1">IFERROR(__xludf.DUMMYFUNCTION("""COMPUTED_VALUE"""),31291317)</f>
        <v>31291317</v>
      </c>
      <c r="B526" s="1" t="str">
        <f ca="1">IFERROR(__xludf.DUMMYFUNCTION("""COMPUTED_VALUE"""),"sstaples27@yahoo.com")</f>
        <v>sstaples27@yahoo.com</v>
      </c>
      <c r="C526" s="9" t="str">
        <f ca="1">IFERROR(__xludf.DUMMYFUNCTION("""COMPUTED_VALUE"""),"EVERGREEN - UAN Gated Content - Embedded Petition")</f>
        <v>EVERGREEN - UAN Gated Content - Embedded Petition</v>
      </c>
      <c r="D526" s="10">
        <f ca="1">IFERROR(__xludf.DUMMYFUNCTION("""COMPUTED_VALUE"""),45673)</f>
        <v>45673</v>
      </c>
      <c r="E526" s="1" t="str">
        <f ca="1">IFERROR(__xludf.DUMMYFUNCTION("""COMPUTED_VALUE"""),"Iran")</f>
        <v>Iran</v>
      </c>
      <c r="F526" s="1" t="str">
        <f ca="1">IFERROR(__xludf.DUMMYFUNCTION("""COMPUTED_VALUE"""),"Seventh 103.22 Iran")</f>
        <v>Seventh 103.22 Iran</v>
      </c>
      <c r="G526" s="1" t="str">
        <f ca="1">IFERROR(__xludf.DUMMYFUNCTION("""COMPUTED_VALUE"""),"Death Penalty, Freedom of Expression, Individuals At Risk")</f>
        <v>Death Penalty, Freedom of Expression, Individuals At Risk</v>
      </c>
      <c r="H526" s="1" t="str">
        <f ca="1">IFERROR(__xludf.DUMMYFUNCTION("""COMPUTED_VALUE"""),"2024")</f>
        <v>2024</v>
      </c>
      <c r="I526" s="1" t="str">
        <f ca="1">IFERROR(__xludf.DUMMYFUNCTION("""COMPUTED_VALUE"""),"Email")</f>
        <v>Email</v>
      </c>
    </row>
    <row r="527" spans="1:9" ht="13" x14ac:dyDescent="0.15">
      <c r="A527" s="9">
        <f ca="1">IFERROR(__xludf.DUMMYFUNCTION("""COMPUTED_VALUE"""),31293535)</f>
        <v>31293535</v>
      </c>
      <c r="B527" s="1" t="str">
        <f ca="1">IFERROR(__xludf.DUMMYFUNCTION("""COMPUTED_VALUE"""),"sjfenster@gmail.com")</f>
        <v>sjfenster@gmail.com</v>
      </c>
      <c r="C527" s="9" t="str">
        <f ca="1">IFERROR(__xludf.DUMMYFUNCTION("""COMPUTED_VALUE"""),"EVERGREEN - UAN Gated Content - Embedded Petition")</f>
        <v>EVERGREEN - UAN Gated Content - Embedded Petition</v>
      </c>
      <c r="D527" s="10">
        <f ca="1">IFERROR(__xludf.DUMMYFUNCTION("""COMPUTED_VALUE"""),45694)</f>
        <v>45694</v>
      </c>
      <c r="E527" s="1" t="str">
        <f ca="1">IFERROR(__xludf.DUMMYFUNCTION("""COMPUTED_VALUE"""),"Azerbaijan")</f>
        <v>Azerbaijan</v>
      </c>
      <c r="F527" s="1" t="str">
        <f ca="1">IFERROR(__xludf.DUMMYFUNCTION("""COMPUTED_VALUE"""),"2.25 Azerbaijan")</f>
        <v>2.25 Azerbaijan</v>
      </c>
      <c r="G527" s="1" t="str">
        <f ca="1">IFERROR(__xludf.DUMMYFUNCTION("""COMPUTED_VALUE"""),"Freedom of Expression, Human Rights Defenders")</f>
        <v>Freedom of Expression, Human Rights Defenders</v>
      </c>
      <c r="H527" s="1" t="str">
        <f ca="1">IFERROR(__xludf.DUMMYFUNCTION("""COMPUTED_VALUE"""),"2025")</f>
        <v>2025</v>
      </c>
      <c r="I527" s="1" t="str">
        <f ca="1">IFERROR(__xludf.DUMMYFUNCTION("""COMPUTED_VALUE"""),"Email")</f>
        <v>Email</v>
      </c>
    </row>
    <row r="528" spans="1:9" ht="13" x14ac:dyDescent="0.15">
      <c r="A528" s="9">
        <f ca="1">IFERROR(__xludf.DUMMYFUNCTION("""COMPUTED_VALUE"""),31304779)</f>
        <v>31304779</v>
      </c>
      <c r="B528" s="1" t="str">
        <f ca="1">IFERROR(__xludf.DUMMYFUNCTION("""COMPUTED_VALUE"""),"marvel.maddox@gmail.com")</f>
        <v>marvel.maddox@gmail.com</v>
      </c>
      <c r="C528" s="9" t="str">
        <f ca="1">IFERROR(__xludf.DUMMYFUNCTION("""COMPUTED_VALUE"""),"EVERGREEN - UAN Gated Content - Embedded Petition")</f>
        <v>EVERGREEN - UAN Gated Content - Embedded Petition</v>
      </c>
      <c r="D528" s="10">
        <f ca="1">IFERROR(__xludf.DUMMYFUNCTION("""COMPUTED_VALUE"""),45636)</f>
        <v>45636</v>
      </c>
      <c r="E528" s="1" t="str">
        <f ca="1">IFERROR(__xludf.DUMMYFUNCTION("""COMPUTED_VALUE"""),"Egypt")</f>
        <v>Egypt</v>
      </c>
      <c r="F528" s="1" t="str">
        <f ca="1">IFERROR(__xludf.DUMMYFUNCTION("""COMPUTED_VALUE"""),"Ninth 190.18 Egypt")</f>
        <v>Ninth 190.18 Egypt</v>
      </c>
      <c r="G528" s="1" t="str">
        <f ca="1">IFERROR(__xludf.DUMMYFUNCTION("""COMPUTED_VALUE"""),"Freedom of Expression, Individuals At Risk")</f>
        <v>Freedom of Expression, Individuals At Risk</v>
      </c>
      <c r="H528" s="1" t="str">
        <f ca="1">IFERROR(__xludf.DUMMYFUNCTION("""COMPUTED_VALUE"""),"2024")</f>
        <v>2024</v>
      </c>
      <c r="I528" s="1" t="str">
        <f ca="1">IFERROR(__xludf.DUMMYFUNCTION("""COMPUTED_VALUE"""),"Letter")</f>
        <v>Letter</v>
      </c>
    </row>
    <row r="529" spans="1:9" ht="13" x14ac:dyDescent="0.15">
      <c r="A529" s="9">
        <f ca="1">IFERROR(__xludf.DUMMYFUNCTION("""COMPUTED_VALUE"""),31304779)</f>
        <v>31304779</v>
      </c>
      <c r="B529" s="1" t="str">
        <f ca="1">IFERROR(__xludf.DUMMYFUNCTION("""COMPUTED_VALUE"""),"marvel.maddox@gmail.com")</f>
        <v>marvel.maddox@gmail.com</v>
      </c>
      <c r="C529" s="9" t="str">
        <f ca="1">IFERROR(__xludf.DUMMYFUNCTION("""COMPUTED_VALUE"""),"EVERGREEN - UAN Gated Content - Embedded Petition")</f>
        <v>EVERGREEN - UAN Gated Content - Embedded Petition</v>
      </c>
      <c r="D529" s="10">
        <f ca="1">IFERROR(__xludf.DUMMYFUNCTION("""COMPUTED_VALUE"""),45694)</f>
        <v>45694</v>
      </c>
      <c r="E529" s="1" t="str">
        <f ca="1">IFERROR(__xludf.DUMMYFUNCTION("""COMPUTED_VALUE"""),"Tunisia")</f>
        <v>Tunisia</v>
      </c>
      <c r="F529" s="1" t="str">
        <f ca="1">IFERROR(__xludf.DUMMYFUNCTION("""COMPUTED_VALUE"""),"Second 76.24 Tunisia")</f>
        <v>Second 76.24 Tunisia</v>
      </c>
      <c r="G529" s="1" t="str">
        <f ca="1">IFERROR(__xludf.DUMMYFUNCTION("""COMPUTED_VALUE"""),"Freedom of Expression, Human Rights Defenders")</f>
        <v>Freedom of Expression, Human Rights Defenders</v>
      </c>
      <c r="H529" s="1" t="str">
        <f ca="1">IFERROR(__xludf.DUMMYFUNCTION("""COMPUTED_VALUE"""),"2025")</f>
        <v>2025</v>
      </c>
      <c r="I529" s="1" t="str">
        <f ca="1">IFERROR(__xludf.DUMMYFUNCTION("""COMPUTED_VALUE"""),"Email")</f>
        <v>Email</v>
      </c>
    </row>
    <row r="530" spans="1:9" ht="13" x14ac:dyDescent="0.15">
      <c r="A530" s="9">
        <f ca="1">IFERROR(__xludf.DUMMYFUNCTION("""COMPUTED_VALUE"""),31306930)</f>
        <v>31306930</v>
      </c>
      <c r="B530" s="1" t="str">
        <f ca="1">IFERROR(__xludf.DUMMYFUNCTION("""COMPUTED_VALUE"""),"willie.leight@gmail.com")</f>
        <v>willie.leight@gmail.com</v>
      </c>
      <c r="C530" s="9" t="str">
        <f ca="1">IFERROR(__xludf.DUMMYFUNCTION("""COMPUTED_VALUE"""),"EVERGREEN - UAN Gated Content - Embedded Petition")</f>
        <v>EVERGREEN - UAN Gated Content - Embedded Petition</v>
      </c>
      <c r="D530" s="10">
        <f ca="1">IFERROR(__xludf.DUMMYFUNCTION("""COMPUTED_VALUE"""),45697)</f>
        <v>45697</v>
      </c>
      <c r="E530" s="1" t="str">
        <f ca="1">IFERROR(__xludf.DUMMYFUNCTION("""COMPUTED_VALUE"""),"Tunisia")</f>
        <v>Tunisia</v>
      </c>
      <c r="F530" s="1" t="str">
        <f ca="1">IFERROR(__xludf.DUMMYFUNCTION("""COMPUTED_VALUE"""),"Second 76.24 Tunisia")</f>
        <v>Second 76.24 Tunisia</v>
      </c>
      <c r="G530" s="1" t="str">
        <f ca="1">IFERROR(__xludf.DUMMYFUNCTION("""COMPUTED_VALUE"""),"Freedom of Expression, Human Rights Defenders")</f>
        <v>Freedom of Expression, Human Rights Defenders</v>
      </c>
      <c r="H530" s="1" t="str">
        <f ca="1">IFERROR(__xludf.DUMMYFUNCTION("""COMPUTED_VALUE"""),"2025")</f>
        <v>2025</v>
      </c>
      <c r="I530" s="1" t="str">
        <f ca="1">IFERROR(__xludf.DUMMYFUNCTION("""COMPUTED_VALUE"""),"Email")</f>
        <v>Email</v>
      </c>
    </row>
    <row r="531" spans="1:9" ht="13" x14ac:dyDescent="0.15">
      <c r="A531" s="9">
        <f ca="1">IFERROR(__xludf.DUMMYFUNCTION("""COMPUTED_VALUE"""),31308199)</f>
        <v>31308199</v>
      </c>
      <c r="B531" s="1" t="str">
        <f ca="1">IFERROR(__xludf.DUMMYFUNCTION("""COMPUTED_VALUE"""),"janedineen@gmail.com")</f>
        <v>janedineen@gmail.com</v>
      </c>
      <c r="C531" s="9" t="str">
        <f ca="1">IFERROR(__xludf.DUMMYFUNCTION("""COMPUTED_VALUE"""),"EVERGREEN - UAN Gated Content - Embedded Petition")</f>
        <v>EVERGREEN - UAN Gated Content - Embedded Petition</v>
      </c>
      <c r="D531" s="10">
        <f ca="1">IFERROR(__xludf.DUMMYFUNCTION("""COMPUTED_VALUE"""),45636)</f>
        <v>45636</v>
      </c>
      <c r="E531" s="1" t="str">
        <f ca="1">IFERROR(__xludf.DUMMYFUNCTION("""COMPUTED_VALUE"""),"Tunisia")</f>
        <v>Tunisia</v>
      </c>
      <c r="F531" s="1" t="str">
        <f ca="1">IFERROR(__xludf.DUMMYFUNCTION("""COMPUTED_VALUE"""),"Second 76.24 Tunisia")</f>
        <v>Second 76.24 Tunisia</v>
      </c>
      <c r="G531" s="1" t="str">
        <f ca="1">IFERROR(__xludf.DUMMYFUNCTION("""COMPUTED_VALUE"""),"Freedom of Expression, Human Rights Defenders")</f>
        <v>Freedom of Expression, Human Rights Defenders</v>
      </c>
      <c r="H531" s="1" t="str">
        <f ca="1">IFERROR(__xludf.DUMMYFUNCTION("""COMPUTED_VALUE"""),"2025")</f>
        <v>2025</v>
      </c>
      <c r="I531" s="1" t="str">
        <f ca="1">IFERROR(__xludf.DUMMYFUNCTION("""COMPUTED_VALUE"""),"Email")</f>
        <v>Email</v>
      </c>
    </row>
    <row r="532" spans="1:9" ht="13" x14ac:dyDescent="0.15">
      <c r="A532" s="9">
        <f ca="1">IFERROR(__xludf.DUMMYFUNCTION("""COMPUTED_VALUE"""),31308199)</f>
        <v>31308199</v>
      </c>
      <c r="B532" s="1" t="str">
        <f ca="1">IFERROR(__xludf.DUMMYFUNCTION("""COMPUTED_VALUE"""),"janedineen@gmail.com")</f>
        <v>janedineen@gmail.com</v>
      </c>
      <c r="C532" s="9" t="str">
        <f ca="1">IFERROR(__xludf.DUMMYFUNCTION("""COMPUTED_VALUE"""),"EVERGREEN - UAN Gated Content - Embedded Petition")</f>
        <v>EVERGREEN - UAN Gated Content - Embedded Petition</v>
      </c>
      <c r="D532" s="10">
        <f ca="1">IFERROR(__xludf.DUMMYFUNCTION("""COMPUTED_VALUE"""),45636)</f>
        <v>45636</v>
      </c>
      <c r="E532" s="1" t="str">
        <f ca="1">IFERROR(__xludf.DUMMYFUNCTION("""COMPUTED_VALUE"""),"Egypt")</f>
        <v>Egypt</v>
      </c>
      <c r="F532" s="1" t="str">
        <f ca="1">IFERROR(__xludf.DUMMYFUNCTION("""COMPUTED_VALUE"""),"Ninth 190.18 Egypt")</f>
        <v>Ninth 190.18 Egypt</v>
      </c>
      <c r="G532" s="1" t="str">
        <f ca="1">IFERROR(__xludf.DUMMYFUNCTION("""COMPUTED_VALUE"""),"Freedom of Expression, Individuals At Risk")</f>
        <v>Freedom of Expression, Individuals At Risk</v>
      </c>
      <c r="H532" s="1" t="str">
        <f ca="1">IFERROR(__xludf.DUMMYFUNCTION("""COMPUTED_VALUE"""),"2024")</f>
        <v>2024</v>
      </c>
      <c r="I532" s="1" t="str">
        <f ca="1">IFERROR(__xludf.DUMMYFUNCTION("""COMPUTED_VALUE"""),"Letter")</f>
        <v>Letter</v>
      </c>
    </row>
    <row r="533" spans="1:9" ht="13" x14ac:dyDescent="0.15">
      <c r="A533" s="9">
        <f ca="1">IFERROR(__xludf.DUMMYFUNCTION("""COMPUTED_VALUE"""),31308487)</f>
        <v>31308487</v>
      </c>
      <c r="B533" s="1" t="str">
        <f ca="1">IFERROR(__xludf.DUMMYFUNCTION("""COMPUTED_VALUE"""),"cherez66@aol.com")</f>
        <v>cherez66@aol.com</v>
      </c>
      <c r="C533" s="9" t="str">
        <f ca="1">IFERROR(__xludf.DUMMYFUNCTION("""COMPUTED_VALUE"""),"EVERGREEN - UAN Gated Content - Embedded Petition")</f>
        <v>EVERGREEN - UAN Gated Content - Embedded Petition</v>
      </c>
      <c r="D533" s="10">
        <f ca="1">IFERROR(__xludf.DUMMYFUNCTION("""COMPUTED_VALUE"""),45691)</f>
        <v>45691</v>
      </c>
      <c r="E533" s="1" t="str">
        <f ca="1">IFERROR(__xludf.DUMMYFUNCTION("""COMPUTED_VALUE"""),"Dominican Republic")</f>
        <v>Dominican Republic</v>
      </c>
      <c r="F533" s="1" t="str">
        <f ca="1">IFERROR(__xludf.DUMMYFUNCTION("""COMPUTED_VALUE"""),"88.24 Dominican Republic")</f>
        <v>88.24 Dominican Republic</v>
      </c>
      <c r="G533" s="1" t="str">
        <f ca="1">IFERROR(__xludf.DUMMYFUNCTION("""COMPUTED_VALUE"""),"Individuals At Risk, Refugee and Migrant Rights")</f>
        <v>Individuals At Risk, Refugee and Migrant Rights</v>
      </c>
      <c r="H533" s="1" t="str">
        <f ca="1">IFERROR(__xludf.DUMMYFUNCTION("""COMPUTED_VALUE"""),"2024")</f>
        <v>2024</v>
      </c>
      <c r="I533" s="1" t="str">
        <f ca="1">IFERROR(__xludf.DUMMYFUNCTION("""COMPUTED_VALUE"""),"Letter")</f>
        <v>Letter</v>
      </c>
    </row>
    <row r="534" spans="1:9" ht="13" x14ac:dyDescent="0.15">
      <c r="A534" s="9">
        <f ca="1">IFERROR(__xludf.DUMMYFUNCTION("""COMPUTED_VALUE"""),31310021)</f>
        <v>31310021</v>
      </c>
      <c r="B534" s="1" t="str">
        <f ca="1">IFERROR(__xludf.DUMMYFUNCTION("""COMPUTED_VALUE"""),"losborncoffey@gmail.com")</f>
        <v>losborncoffey@gmail.com</v>
      </c>
      <c r="C534" s="9" t="str">
        <f ca="1">IFERROR(__xludf.DUMMYFUNCTION("""COMPUTED_VALUE"""),"EVERGREEN - UAN Gated Content - Embedded Petition")</f>
        <v>EVERGREEN - UAN Gated Content - Embedded Petition</v>
      </c>
      <c r="D534" s="10">
        <f ca="1">IFERROR(__xludf.DUMMYFUNCTION("""COMPUTED_VALUE"""),45617)</f>
        <v>45617</v>
      </c>
      <c r="E534" s="1" t="str">
        <f ca="1">IFERROR(__xludf.DUMMYFUNCTION("""COMPUTED_VALUE"""),"Uganda")</f>
        <v>Uganda</v>
      </c>
      <c r="F534" s="1" t="str">
        <f ca="1">IFERROR(__xludf.DUMMYFUNCTION("""COMPUTED_VALUE"""),"9.25 Uganda")</f>
        <v>9.25 Uganda</v>
      </c>
      <c r="G534" s="1" t="str">
        <f ca="1">IFERROR(__xludf.DUMMYFUNCTION("""COMPUTED_VALUE"""),"Freedom of Expression, Human Rights Defenders")</f>
        <v>Freedom of Expression, Human Rights Defenders</v>
      </c>
      <c r="H534" s="1" t="str">
        <f ca="1">IFERROR(__xludf.DUMMYFUNCTION("""COMPUTED_VALUE"""),"2025")</f>
        <v>2025</v>
      </c>
      <c r="I534" s="1" t="str">
        <f ca="1">IFERROR(__xludf.DUMMYFUNCTION("""COMPUTED_VALUE"""),"Email")</f>
        <v>Email</v>
      </c>
    </row>
    <row r="535" spans="1:9" ht="13" x14ac:dyDescent="0.15">
      <c r="A535" s="9">
        <f ca="1">IFERROR(__xludf.DUMMYFUNCTION("""COMPUTED_VALUE"""),31318010)</f>
        <v>31318010</v>
      </c>
      <c r="B535" s="1" t="str">
        <f ca="1">IFERROR(__xludf.DUMMYFUNCTION("""COMPUTED_VALUE"""),"ksgolden56@gmail.com")</f>
        <v>ksgolden56@gmail.com</v>
      </c>
      <c r="C535" s="9" t="str">
        <f ca="1">IFERROR(__xludf.DUMMYFUNCTION("""COMPUTED_VALUE"""),"EVERGREEN - UAN Gated Content - Embedded Petition")</f>
        <v>EVERGREEN - UAN Gated Content - Embedded Petition</v>
      </c>
      <c r="D535" s="10">
        <f ca="1">IFERROR(__xludf.DUMMYFUNCTION("""COMPUTED_VALUE"""),45694)</f>
        <v>45694</v>
      </c>
      <c r="E535" s="1" t="str">
        <f ca="1">IFERROR(__xludf.DUMMYFUNCTION("""COMPUTED_VALUE"""),"Uganda")</f>
        <v>Uganda</v>
      </c>
      <c r="F535" s="1" t="str">
        <f ca="1">IFERROR(__xludf.DUMMYFUNCTION("""COMPUTED_VALUE"""),"9.25 Uganda")</f>
        <v>9.25 Uganda</v>
      </c>
      <c r="G535" s="1" t="str">
        <f ca="1">IFERROR(__xludf.DUMMYFUNCTION("""COMPUTED_VALUE"""),"Freedom of Expression, Human Rights Defenders")</f>
        <v>Freedom of Expression, Human Rights Defenders</v>
      </c>
      <c r="H535" s="1" t="str">
        <f ca="1">IFERROR(__xludf.DUMMYFUNCTION("""COMPUTED_VALUE"""),"2025")</f>
        <v>2025</v>
      </c>
      <c r="I535" s="1" t="str">
        <f ca="1">IFERROR(__xludf.DUMMYFUNCTION("""COMPUTED_VALUE"""),"Email")</f>
        <v>Email</v>
      </c>
    </row>
    <row r="536" spans="1:9" ht="13" x14ac:dyDescent="0.15">
      <c r="A536" s="9">
        <f ca="1">IFERROR(__xludf.DUMMYFUNCTION("""COMPUTED_VALUE"""),31318010)</f>
        <v>31318010</v>
      </c>
      <c r="B536" s="1" t="str">
        <f ca="1">IFERROR(__xludf.DUMMYFUNCTION("""COMPUTED_VALUE"""),"ksgolden56@gmail.com")</f>
        <v>ksgolden56@gmail.com</v>
      </c>
      <c r="C536" s="9" t="str">
        <f ca="1">IFERROR(__xludf.DUMMYFUNCTION("""COMPUTED_VALUE"""),"EVERGREEN - UAN Gated Content - Embedded Petition")</f>
        <v>EVERGREEN - UAN Gated Content - Embedded Petition</v>
      </c>
      <c r="D536" s="10">
        <f ca="1">IFERROR(__xludf.DUMMYFUNCTION("""COMPUTED_VALUE"""),45694)</f>
        <v>45694</v>
      </c>
      <c r="E536" s="1" t="str">
        <f ca="1">IFERROR(__xludf.DUMMYFUNCTION("""COMPUTED_VALUE"""),"Tunisia")</f>
        <v>Tunisia</v>
      </c>
      <c r="F536" s="1" t="str">
        <f ca="1">IFERROR(__xludf.DUMMYFUNCTION("""COMPUTED_VALUE"""),"8.25 Tunisia")</f>
        <v>8.25 Tunisia</v>
      </c>
      <c r="G536" s="1" t="str">
        <f ca="1">IFERROR(__xludf.DUMMYFUNCTION("""COMPUTED_VALUE"""),"Freedom of Expression")</f>
        <v>Freedom of Expression</v>
      </c>
      <c r="H536" s="1" t="str">
        <f ca="1">IFERROR(__xludf.DUMMYFUNCTION("""COMPUTED_VALUE"""),"2025")</f>
        <v>2025</v>
      </c>
      <c r="I536" s="1" t="str">
        <f ca="1">IFERROR(__xludf.DUMMYFUNCTION("""COMPUTED_VALUE"""),"Email")</f>
        <v>Email</v>
      </c>
    </row>
    <row r="537" spans="1:9" ht="13" x14ac:dyDescent="0.15">
      <c r="A537" s="9">
        <f ca="1">IFERROR(__xludf.DUMMYFUNCTION("""COMPUTED_VALUE"""),31318010)</f>
        <v>31318010</v>
      </c>
      <c r="B537" s="1" t="str">
        <f ca="1">IFERROR(__xludf.DUMMYFUNCTION("""COMPUTED_VALUE"""),"ksgolden56@gmail.com")</f>
        <v>ksgolden56@gmail.com</v>
      </c>
      <c r="C537" s="9" t="str">
        <f ca="1">IFERROR(__xludf.DUMMYFUNCTION("""COMPUTED_VALUE"""),"EVERGREEN - UAN Gated Content - Embedded Petition")</f>
        <v>EVERGREEN - UAN Gated Content - Embedded Petition</v>
      </c>
      <c r="D537" s="10">
        <f ca="1">IFERROR(__xludf.DUMMYFUNCTION("""COMPUTED_VALUE"""),45694)</f>
        <v>45694</v>
      </c>
      <c r="E537" s="1" t="str">
        <f ca="1">IFERROR(__xludf.DUMMYFUNCTION("""COMPUTED_VALUE"""),"Afghanistan")</f>
        <v>Afghanistan</v>
      </c>
      <c r="F537" s="1" t="str">
        <f ca="1">IFERROR(__xludf.DUMMYFUNCTION("""COMPUTED_VALUE"""),"7.25 Afghanistan")</f>
        <v>7.25 Afghanistan</v>
      </c>
      <c r="G537" s="1" t="str">
        <f ca="1">IFERROR(__xludf.DUMMYFUNCTION("""COMPUTED_VALUE"""),"Freedom of Expression, Individuals At Risk, Women's Rights")</f>
        <v>Freedom of Expression, Individuals At Risk, Women's Rights</v>
      </c>
      <c r="H537" s="1" t="str">
        <f ca="1">IFERROR(__xludf.DUMMYFUNCTION("""COMPUTED_VALUE"""),"2025")</f>
        <v>2025</v>
      </c>
      <c r="I537" s="1" t="str">
        <f ca="1">IFERROR(__xludf.DUMMYFUNCTION("""COMPUTED_VALUE"""),"Email")</f>
        <v>Email</v>
      </c>
    </row>
    <row r="538" spans="1:9" ht="13" x14ac:dyDescent="0.15">
      <c r="A538" s="9">
        <f ca="1">IFERROR(__xludf.DUMMYFUNCTION("""COMPUTED_VALUE"""),31320893)</f>
        <v>31320893</v>
      </c>
      <c r="B538" s="1" t="str">
        <f ca="1">IFERROR(__xludf.DUMMYFUNCTION("""COMPUTED_VALUE"""),"dgendvil@gmail.com")</f>
        <v>dgendvil@gmail.com</v>
      </c>
      <c r="C538" s="9" t="str">
        <f ca="1">IFERROR(__xludf.DUMMYFUNCTION("""COMPUTED_VALUE"""),"EVERGREEN - UAN Gated Content - Embedded Petition")</f>
        <v>EVERGREEN - UAN Gated Content - Embedded Petition</v>
      </c>
      <c r="D538" s="10">
        <f ca="1">IFERROR(__xludf.DUMMYFUNCTION("""COMPUTED_VALUE"""),45694)</f>
        <v>45694</v>
      </c>
      <c r="E538" s="1" t="str">
        <f ca="1">IFERROR(__xludf.DUMMYFUNCTION("""COMPUTED_VALUE"""),"Tunisia")</f>
        <v>Tunisia</v>
      </c>
      <c r="F538" s="1" t="str">
        <f ca="1">IFERROR(__xludf.DUMMYFUNCTION("""COMPUTED_VALUE"""),"Second 76.24 Tunisia")</f>
        <v>Second 76.24 Tunisia</v>
      </c>
      <c r="G538" s="1" t="str">
        <f ca="1">IFERROR(__xludf.DUMMYFUNCTION("""COMPUTED_VALUE"""),"Freedom of Expression, Human Rights Defenders")</f>
        <v>Freedom of Expression, Human Rights Defenders</v>
      </c>
      <c r="H538" s="1" t="str">
        <f ca="1">IFERROR(__xludf.DUMMYFUNCTION("""COMPUTED_VALUE"""),"2025")</f>
        <v>2025</v>
      </c>
      <c r="I538" s="1" t="str">
        <f ca="1">IFERROR(__xludf.DUMMYFUNCTION("""COMPUTED_VALUE"""),"Email")</f>
        <v>Email</v>
      </c>
    </row>
    <row r="539" spans="1:9" ht="13" x14ac:dyDescent="0.15">
      <c r="A539" s="9">
        <f ca="1">IFERROR(__xludf.DUMMYFUNCTION("""COMPUTED_VALUE"""),31356104)</f>
        <v>31356104</v>
      </c>
      <c r="B539" s="1" t="str">
        <f ca="1">IFERROR(__xludf.DUMMYFUNCTION("""COMPUTED_VALUE"""),"kunstef@msn.com")</f>
        <v>kunstef@msn.com</v>
      </c>
      <c r="C539" s="9" t="str">
        <f ca="1">IFERROR(__xludf.DUMMYFUNCTION("""COMPUTED_VALUE"""),"EVERGREEN - UAN Gated Content - Embedded Petition")</f>
        <v>EVERGREEN - UAN Gated Content - Embedded Petition</v>
      </c>
      <c r="D539" s="10">
        <f ca="1">IFERROR(__xludf.DUMMYFUNCTION("""COMPUTED_VALUE"""),45615)</f>
        <v>45615</v>
      </c>
      <c r="E539" s="1" t="str">
        <f ca="1">IFERROR(__xludf.DUMMYFUNCTION("""COMPUTED_VALUE"""),"Iran")</f>
        <v>Iran</v>
      </c>
      <c r="F539" s="1" t="str">
        <f ca="1">IFERROR(__xludf.DUMMYFUNCTION("""COMPUTED_VALUE"""),"Seventh 103.22 Iran")</f>
        <v>Seventh 103.22 Iran</v>
      </c>
      <c r="G539" s="1" t="str">
        <f ca="1">IFERROR(__xludf.DUMMYFUNCTION("""COMPUTED_VALUE"""),"Death Penalty, Freedom of Expression, Individuals At Risk")</f>
        <v>Death Penalty, Freedom of Expression, Individuals At Risk</v>
      </c>
      <c r="H539" s="1" t="str">
        <f ca="1">IFERROR(__xludf.DUMMYFUNCTION("""COMPUTED_VALUE"""),"2024")</f>
        <v>2024</v>
      </c>
      <c r="I539" s="1" t="str">
        <f ca="1">IFERROR(__xludf.DUMMYFUNCTION("""COMPUTED_VALUE"""),"Email")</f>
        <v>Email</v>
      </c>
    </row>
    <row r="540" spans="1:9" ht="13" x14ac:dyDescent="0.15">
      <c r="A540" s="9">
        <f ca="1">IFERROR(__xludf.DUMMYFUNCTION("""COMPUTED_VALUE"""),31379950)</f>
        <v>31379950</v>
      </c>
      <c r="B540" s="1" t="str">
        <f ca="1">IFERROR(__xludf.DUMMYFUNCTION("""COMPUTED_VALUE"""),"kevinofthelake@yahoo.com")</f>
        <v>kevinofthelake@yahoo.com</v>
      </c>
      <c r="C540" s="9" t="str">
        <f ca="1">IFERROR(__xludf.DUMMYFUNCTION("""COMPUTED_VALUE"""),"EVERGREEN - UAN Gated Content - Embedded Petition")</f>
        <v>EVERGREEN - UAN Gated Content - Embedded Petition</v>
      </c>
      <c r="D540" s="10">
        <f ca="1">IFERROR(__xludf.DUMMYFUNCTION("""COMPUTED_VALUE"""),45696)</f>
        <v>45696</v>
      </c>
      <c r="E540" s="1" t="str">
        <f ca="1">IFERROR(__xludf.DUMMYFUNCTION("""COMPUTED_VALUE"""),"USA")</f>
        <v>USA</v>
      </c>
      <c r="F540" s="1" t="str">
        <f ca="1">IFERROR(__xludf.DUMMYFUNCTION("""COMPUTED_VALUE"""),"4.25 USA")</f>
        <v>4.25 USA</v>
      </c>
      <c r="G540" s="1" t="str">
        <f ca="1">IFERROR(__xludf.DUMMYFUNCTION("""COMPUTED_VALUE"""),"Individuals At Risk, Refugee and Migrant Rights")</f>
        <v>Individuals At Risk, Refugee and Migrant Rights</v>
      </c>
      <c r="H540" s="1" t="str">
        <f ca="1">IFERROR(__xludf.DUMMYFUNCTION("""COMPUTED_VALUE"""),"2025")</f>
        <v>2025</v>
      </c>
      <c r="I540" s="1" t="str">
        <f ca="1">IFERROR(__xludf.DUMMYFUNCTION("""COMPUTED_VALUE"""),"Letter")</f>
        <v>Letter</v>
      </c>
    </row>
    <row r="541" spans="1:9" ht="13" x14ac:dyDescent="0.15">
      <c r="A541" s="9">
        <f ca="1">IFERROR(__xludf.DUMMYFUNCTION("""COMPUTED_VALUE"""),31379950)</f>
        <v>31379950</v>
      </c>
      <c r="B541" s="1" t="str">
        <f ca="1">IFERROR(__xludf.DUMMYFUNCTION("""COMPUTED_VALUE"""),"kevinofthelake@yahoo.com")</f>
        <v>kevinofthelake@yahoo.com</v>
      </c>
      <c r="C541" s="9" t="str">
        <f ca="1">IFERROR(__xludf.DUMMYFUNCTION("""COMPUTED_VALUE"""),"EVERGREEN - UAN Gated Content - Embedded Petition")</f>
        <v>EVERGREEN - UAN Gated Content - Embedded Petition</v>
      </c>
      <c r="D541" s="10">
        <f ca="1">IFERROR(__xludf.DUMMYFUNCTION("""COMPUTED_VALUE"""),45638)</f>
        <v>45638</v>
      </c>
      <c r="E541" s="1" t="str">
        <f ca="1">IFERROR(__xludf.DUMMYFUNCTION("""COMPUTED_VALUE"""),"Iran")</f>
        <v>Iran</v>
      </c>
      <c r="F541" s="1" t="str">
        <f ca="1">IFERROR(__xludf.DUMMYFUNCTION("""COMPUTED_VALUE"""),"Seventh 103.22 Iran")</f>
        <v>Seventh 103.22 Iran</v>
      </c>
      <c r="G541" s="1" t="str">
        <f ca="1">IFERROR(__xludf.DUMMYFUNCTION("""COMPUTED_VALUE"""),"Death Penalty, Freedom of Expression, Individuals At Risk")</f>
        <v>Death Penalty, Freedom of Expression, Individuals At Risk</v>
      </c>
      <c r="H541" s="1" t="str">
        <f ca="1">IFERROR(__xludf.DUMMYFUNCTION("""COMPUTED_VALUE"""),"2024")</f>
        <v>2024</v>
      </c>
      <c r="I541" s="1" t="str">
        <f ca="1">IFERROR(__xludf.DUMMYFUNCTION("""COMPUTED_VALUE"""),"Email")</f>
        <v>Email</v>
      </c>
    </row>
    <row r="542" spans="1:9" ht="13" x14ac:dyDescent="0.15">
      <c r="A542" s="9">
        <f ca="1">IFERROR(__xludf.DUMMYFUNCTION("""COMPUTED_VALUE"""),31391919)</f>
        <v>31391919</v>
      </c>
      <c r="B542" s="1" t="str">
        <f ca="1">IFERROR(__xludf.DUMMYFUNCTION("""COMPUTED_VALUE"""),"joel@abrams.net")</f>
        <v>joel@abrams.net</v>
      </c>
      <c r="C542" s="9" t="str">
        <f ca="1">IFERROR(__xludf.DUMMYFUNCTION("""COMPUTED_VALUE"""),"EVERGREEN - UAN Gated Content - Embedded Petition")</f>
        <v>EVERGREEN - UAN Gated Content - Embedded Petition</v>
      </c>
      <c r="D542" s="10">
        <f ca="1">IFERROR(__xludf.DUMMYFUNCTION("""COMPUTED_VALUE"""),45694)</f>
        <v>45694</v>
      </c>
      <c r="E542" s="1" t="str">
        <f ca="1">IFERROR(__xludf.DUMMYFUNCTION("""COMPUTED_VALUE"""),"Egypt")</f>
        <v>Egypt</v>
      </c>
      <c r="F542" s="1" t="str">
        <f ca="1">IFERROR(__xludf.DUMMYFUNCTION("""COMPUTED_VALUE"""),"Ninth 190.18 Egypt")</f>
        <v>Ninth 190.18 Egypt</v>
      </c>
      <c r="G542" s="1" t="str">
        <f ca="1">IFERROR(__xludf.DUMMYFUNCTION("""COMPUTED_VALUE"""),"Freedom of Expression, Individuals At Risk")</f>
        <v>Freedom of Expression, Individuals At Risk</v>
      </c>
      <c r="H542" s="1" t="str">
        <f ca="1">IFERROR(__xludf.DUMMYFUNCTION("""COMPUTED_VALUE"""),"2024")</f>
        <v>2024</v>
      </c>
      <c r="I542" s="1" t="str">
        <f ca="1">IFERROR(__xludf.DUMMYFUNCTION("""COMPUTED_VALUE"""),"Letter")</f>
        <v>Letter</v>
      </c>
    </row>
    <row r="543" spans="1:9" ht="13" x14ac:dyDescent="0.15">
      <c r="A543" s="9">
        <f ca="1">IFERROR(__xludf.DUMMYFUNCTION("""COMPUTED_VALUE"""),31398979)</f>
        <v>31398979</v>
      </c>
      <c r="B543" s="1" t="str">
        <f ca="1">IFERROR(__xludf.DUMMYFUNCTION("""COMPUTED_VALUE"""),"klwhit19@gmail.com")</f>
        <v>klwhit19@gmail.com</v>
      </c>
      <c r="C543" s="9" t="str">
        <f ca="1">IFERROR(__xludf.DUMMYFUNCTION("""COMPUTED_VALUE"""),"EVERGREEN - UAN Gated Content - Embedded Petition")</f>
        <v>EVERGREEN - UAN Gated Content - Embedded Petition</v>
      </c>
      <c r="D543" s="10">
        <f ca="1">IFERROR(__xludf.DUMMYFUNCTION("""COMPUTED_VALUE"""),45635)</f>
        <v>45635</v>
      </c>
      <c r="E543" s="1" t="str">
        <f ca="1">IFERROR(__xludf.DUMMYFUNCTION("""COMPUTED_VALUE"""),"USA")</f>
        <v>USA</v>
      </c>
      <c r="F543" s="1" t="str">
        <f ca="1">IFERROR(__xludf.DUMMYFUNCTION("""COMPUTED_VALUE"""),"96.24 USA")</f>
        <v>96.24 USA</v>
      </c>
      <c r="G543" s="1" t="str">
        <f ca="1">IFERROR(__xludf.DUMMYFUNCTION("""COMPUTED_VALUE"""),"Death Penalty")</f>
        <v>Death Penalty</v>
      </c>
      <c r="H543" s="1" t="str">
        <f ca="1">IFERROR(__xludf.DUMMYFUNCTION("""COMPUTED_VALUE"""),"2024")</f>
        <v>2024</v>
      </c>
      <c r="I543" s="1" t="str">
        <f ca="1">IFERROR(__xludf.DUMMYFUNCTION("""COMPUTED_VALUE"""),"Email")</f>
        <v>Email</v>
      </c>
    </row>
    <row r="544" spans="1:9" ht="13" x14ac:dyDescent="0.15">
      <c r="A544" s="9">
        <f ca="1">IFERROR(__xludf.DUMMYFUNCTION("""COMPUTED_VALUE"""),31398979)</f>
        <v>31398979</v>
      </c>
      <c r="B544" s="1" t="str">
        <f ca="1">IFERROR(__xludf.DUMMYFUNCTION("""COMPUTED_VALUE"""),"klwhit19@gmail.com")</f>
        <v>klwhit19@gmail.com</v>
      </c>
      <c r="C544" s="9" t="str">
        <f ca="1">IFERROR(__xludf.DUMMYFUNCTION("""COMPUTED_VALUE"""),"EVERGREEN - UAN Gated Content - Embedded Petition")</f>
        <v>EVERGREEN - UAN Gated Content - Embedded Petition</v>
      </c>
      <c r="D544" s="10">
        <f ca="1">IFERROR(__xludf.DUMMYFUNCTION("""COMPUTED_VALUE"""),45694)</f>
        <v>45694</v>
      </c>
      <c r="E544" s="1" t="str">
        <f ca="1">IFERROR(__xludf.DUMMYFUNCTION("""COMPUTED_VALUE"""),"Canada")</f>
        <v>Canada</v>
      </c>
      <c r="F544" s="1" t="str">
        <f ca="1">IFERROR(__xludf.DUMMYFUNCTION("""COMPUTED_VALUE"""),"99.24 Canada")</f>
        <v>99.24 Canada</v>
      </c>
      <c r="G544" s="1" t="str">
        <f ca="1">IFERROR(__xludf.DUMMYFUNCTION("""COMPUTED_VALUE"""),"Climate Justice, Indigenous Rights, Right to Protest")</f>
        <v>Climate Justice, Indigenous Rights, Right to Protest</v>
      </c>
      <c r="H544" s="1" t="str">
        <f ca="1">IFERROR(__xludf.DUMMYFUNCTION("""COMPUTED_VALUE"""),"2024")</f>
        <v>2024</v>
      </c>
      <c r="I544" s="1" t="str">
        <f ca="1">IFERROR(__xludf.DUMMYFUNCTION("""COMPUTED_VALUE"""),"Letter")</f>
        <v>Letter</v>
      </c>
    </row>
    <row r="545" spans="1:9" ht="13" x14ac:dyDescent="0.15">
      <c r="A545" s="9">
        <f ca="1">IFERROR(__xludf.DUMMYFUNCTION("""COMPUTED_VALUE"""),31403498)</f>
        <v>31403498</v>
      </c>
      <c r="B545" s="1" t="str">
        <f ca="1">IFERROR(__xludf.DUMMYFUNCTION("""COMPUTED_VALUE"""),"rakedon1@yahoo.com")</f>
        <v>rakedon1@yahoo.com</v>
      </c>
      <c r="C545" s="9" t="str">
        <f ca="1">IFERROR(__xludf.DUMMYFUNCTION("""COMPUTED_VALUE"""),"EVERGREEN - UAN Gated Content - Embedded Petition")</f>
        <v>EVERGREEN - UAN Gated Content - Embedded Petition</v>
      </c>
      <c r="D545" s="10">
        <f ca="1">IFERROR(__xludf.DUMMYFUNCTION("""COMPUTED_VALUE"""),45616)</f>
        <v>45616</v>
      </c>
      <c r="E545" s="1" t="str">
        <f ca="1">IFERROR(__xludf.DUMMYFUNCTION("""COMPUTED_VALUE"""),"Canada")</f>
        <v>Canada</v>
      </c>
      <c r="F545" s="1" t="str">
        <f ca="1">IFERROR(__xludf.DUMMYFUNCTION("""COMPUTED_VALUE"""),"99.24 Canada")</f>
        <v>99.24 Canada</v>
      </c>
      <c r="G545" s="1" t="str">
        <f ca="1">IFERROR(__xludf.DUMMYFUNCTION("""COMPUTED_VALUE"""),"Climate Justice, Indigenous Rights, Right to Protest")</f>
        <v>Climate Justice, Indigenous Rights, Right to Protest</v>
      </c>
      <c r="H545" s="1" t="str">
        <f ca="1">IFERROR(__xludf.DUMMYFUNCTION("""COMPUTED_VALUE"""),"2024")</f>
        <v>2024</v>
      </c>
      <c r="I545" s="1" t="str">
        <f ca="1">IFERROR(__xludf.DUMMYFUNCTION("""COMPUTED_VALUE"""),"Letter")</f>
        <v>Letter</v>
      </c>
    </row>
    <row r="546" spans="1:9" ht="13" x14ac:dyDescent="0.15">
      <c r="A546" s="9">
        <f ca="1">IFERROR(__xludf.DUMMYFUNCTION("""COMPUTED_VALUE"""),31403498)</f>
        <v>31403498</v>
      </c>
      <c r="B546" s="1" t="str">
        <f ca="1">IFERROR(__xludf.DUMMYFUNCTION("""COMPUTED_VALUE"""),"rakedon1@yahoo.com")</f>
        <v>rakedon1@yahoo.com</v>
      </c>
      <c r="C546" s="9" t="str">
        <f ca="1">IFERROR(__xludf.DUMMYFUNCTION("""COMPUTED_VALUE"""),"EVERGREEN - UAN Gated Content - Embedded Petition")</f>
        <v>EVERGREEN - UAN Gated Content - Embedded Petition</v>
      </c>
      <c r="D546" s="10">
        <f ca="1">IFERROR(__xludf.DUMMYFUNCTION("""COMPUTED_VALUE"""),45616)</f>
        <v>45616</v>
      </c>
      <c r="E546" s="1" t="str">
        <f ca="1">IFERROR(__xludf.DUMMYFUNCTION("""COMPUTED_VALUE"""),"Russian Federation")</f>
        <v>Russian Federation</v>
      </c>
      <c r="F546" s="1" t="str">
        <f ca="1">IFERROR(__xludf.DUMMYFUNCTION("""COMPUTED_VALUE"""),"Second 23.24 Russia")</f>
        <v>Second 23.24 Russia</v>
      </c>
      <c r="G546" s="1" t="str">
        <f ca="1">IFERROR(__xludf.DUMMYFUNCTION("""COMPUTED_VALUE"""),"Freedom of Expression")</f>
        <v>Freedom of Expression</v>
      </c>
      <c r="H546" s="1" t="str">
        <f ca="1">IFERROR(__xludf.DUMMYFUNCTION("""COMPUTED_VALUE"""),"2024")</f>
        <v>2024</v>
      </c>
      <c r="I546" s="1" t="str">
        <f ca="1">IFERROR(__xludf.DUMMYFUNCTION("""COMPUTED_VALUE"""),"Letter")</f>
        <v>Letter</v>
      </c>
    </row>
    <row r="547" spans="1:9" ht="13" x14ac:dyDescent="0.15">
      <c r="A547" s="9">
        <f ca="1">IFERROR(__xludf.DUMMYFUNCTION("""COMPUTED_VALUE"""),31403498)</f>
        <v>31403498</v>
      </c>
      <c r="B547" s="1" t="str">
        <f ca="1">IFERROR(__xludf.DUMMYFUNCTION("""COMPUTED_VALUE"""),"rakedon1@yahoo.com")</f>
        <v>rakedon1@yahoo.com</v>
      </c>
      <c r="C547" s="9" t="str">
        <f ca="1">IFERROR(__xludf.DUMMYFUNCTION("""COMPUTED_VALUE"""),"EVERGREEN - UAN Gated Content - Embedded Petition")</f>
        <v>EVERGREEN - UAN Gated Content - Embedded Petition</v>
      </c>
      <c r="D547" s="10">
        <f ca="1">IFERROR(__xludf.DUMMYFUNCTION("""COMPUTED_VALUE"""),45694)</f>
        <v>45694</v>
      </c>
      <c r="E547" s="1" t="str">
        <f ca="1">IFERROR(__xludf.DUMMYFUNCTION("""COMPUTED_VALUE"""),"China")</f>
        <v>China</v>
      </c>
      <c r="F547" s="1" t="str">
        <f ca="1">IFERROR(__xludf.DUMMYFUNCTION("""COMPUTED_VALUE"""),"98.24 China")</f>
        <v>98.24 China</v>
      </c>
      <c r="G547" s="1" t="str">
        <f ca="1">IFERROR(__xludf.DUMMYFUNCTION("""COMPUTED_VALUE"""),"Freedom of Expression, Individuals At Risk")</f>
        <v>Freedom of Expression, Individuals At Risk</v>
      </c>
      <c r="H547" s="1" t="str">
        <f ca="1">IFERROR(__xludf.DUMMYFUNCTION("""COMPUTED_VALUE"""),"2024")</f>
        <v>2024</v>
      </c>
      <c r="I547" s="1" t="str">
        <f ca="1">IFERROR(__xludf.DUMMYFUNCTION("""COMPUTED_VALUE"""),"Letter")</f>
        <v>Letter</v>
      </c>
    </row>
    <row r="548" spans="1:9" ht="13" x14ac:dyDescent="0.15">
      <c r="A548" s="9">
        <f ca="1">IFERROR(__xludf.DUMMYFUNCTION("""COMPUTED_VALUE"""),31403626)</f>
        <v>31403626</v>
      </c>
      <c r="B548" s="1" t="str">
        <f ca="1">IFERROR(__xludf.DUMMYFUNCTION("""COMPUTED_VALUE"""),"firebyrd@earthlink.net")</f>
        <v>firebyrd@earthlink.net</v>
      </c>
      <c r="C548" s="9" t="str">
        <f ca="1">IFERROR(__xludf.DUMMYFUNCTION("""COMPUTED_VALUE"""),"EVERGREEN - UAN Gated Content - Embedded Petition")</f>
        <v>EVERGREEN - UAN Gated Content - Embedded Petition</v>
      </c>
      <c r="D548" s="10">
        <f ca="1">IFERROR(__xludf.DUMMYFUNCTION("""COMPUTED_VALUE"""),45617)</f>
        <v>45617</v>
      </c>
      <c r="E548" s="1" t="str">
        <f ca="1">IFERROR(__xludf.DUMMYFUNCTION("""COMPUTED_VALUE"""),"Venezuela")</f>
        <v>Venezuela</v>
      </c>
      <c r="F548" s="1" t="str">
        <f ca="1">IFERROR(__xludf.DUMMYFUNCTION("""COMPUTED_VALUE"""),"97.24 Venezuela")</f>
        <v>97.24 Venezuela</v>
      </c>
      <c r="G548" s="1" t="str">
        <f ca="1">IFERROR(__xludf.DUMMYFUNCTION("""COMPUTED_VALUE"""),"Freedom of Expression")</f>
        <v>Freedom of Expression</v>
      </c>
      <c r="H548" s="1" t="str">
        <f ca="1">IFERROR(__xludf.DUMMYFUNCTION("""COMPUTED_VALUE"""),"2024")</f>
        <v>2024</v>
      </c>
      <c r="I548" s="1" t="str">
        <f ca="1">IFERROR(__xludf.DUMMYFUNCTION("""COMPUTED_VALUE"""),"Letter")</f>
        <v>Letter</v>
      </c>
    </row>
    <row r="549" spans="1:9" ht="13" x14ac:dyDescent="0.15">
      <c r="A549" s="9">
        <f ca="1">IFERROR(__xludf.DUMMYFUNCTION("""COMPUTED_VALUE"""),31403626)</f>
        <v>31403626</v>
      </c>
      <c r="B549" s="1" t="str">
        <f ca="1">IFERROR(__xludf.DUMMYFUNCTION("""COMPUTED_VALUE"""),"firebyrd@earthlink.net")</f>
        <v>firebyrd@earthlink.net</v>
      </c>
      <c r="C549" s="9" t="str">
        <f ca="1">IFERROR(__xludf.DUMMYFUNCTION("""COMPUTED_VALUE"""),"EVERGREEN - UAN Gated Content - Embedded Petition")</f>
        <v>EVERGREEN - UAN Gated Content - Embedded Petition</v>
      </c>
      <c r="D549" s="10">
        <f ca="1">IFERROR(__xludf.DUMMYFUNCTION("""COMPUTED_VALUE"""),45617)</f>
        <v>45617</v>
      </c>
      <c r="E549" s="1" t="str">
        <f ca="1">IFERROR(__xludf.DUMMYFUNCTION("""COMPUTED_VALUE"""),"Tunisia")</f>
        <v>Tunisia</v>
      </c>
      <c r="F549" s="1" t="str">
        <f ca="1">IFERROR(__xludf.DUMMYFUNCTION("""COMPUTED_VALUE"""),"Second 43.24 Tunisia")</f>
        <v>Second 43.24 Tunisia</v>
      </c>
      <c r="G549" s="1" t="str">
        <f ca="1">IFERROR(__xludf.DUMMYFUNCTION("""COMPUTED_VALUE"""),"Freedom of Expression, Individuals At Risk")</f>
        <v>Freedom of Expression, Individuals At Risk</v>
      </c>
      <c r="H549" s="1" t="str">
        <f ca="1">IFERROR(__xludf.DUMMYFUNCTION("""COMPUTED_VALUE"""),"2024")</f>
        <v>2024</v>
      </c>
      <c r="I549" s="1" t="str">
        <f ca="1">IFERROR(__xludf.DUMMYFUNCTION("""COMPUTED_VALUE"""),"Email")</f>
        <v>Email</v>
      </c>
    </row>
    <row r="550" spans="1:9" ht="13" x14ac:dyDescent="0.15">
      <c r="A550" s="9">
        <f ca="1">IFERROR(__xludf.DUMMYFUNCTION("""COMPUTED_VALUE"""),31403626)</f>
        <v>31403626</v>
      </c>
      <c r="B550" s="1" t="str">
        <f ca="1">IFERROR(__xludf.DUMMYFUNCTION("""COMPUTED_VALUE"""),"firebyrd@earthlink.net")</f>
        <v>firebyrd@earthlink.net</v>
      </c>
      <c r="C550" s="9" t="str">
        <f ca="1">IFERROR(__xludf.DUMMYFUNCTION("""COMPUTED_VALUE"""),"EVERGREEN - UAN Gated Content - Embedded Petition")</f>
        <v>EVERGREEN - UAN Gated Content - Embedded Petition</v>
      </c>
      <c r="D550" s="10">
        <f ca="1">IFERROR(__xludf.DUMMYFUNCTION("""COMPUTED_VALUE"""),45617)</f>
        <v>45617</v>
      </c>
      <c r="E550" s="1" t="str">
        <f ca="1">IFERROR(__xludf.DUMMYFUNCTION("""COMPUTED_VALUE"""),"Tunisia")</f>
        <v>Tunisia</v>
      </c>
      <c r="F550" s="1" t="str">
        <f ca="1">IFERROR(__xludf.DUMMYFUNCTION("""COMPUTED_VALUE"""),"Second 43.24 Tunisia")</f>
        <v>Second 43.24 Tunisia</v>
      </c>
      <c r="G550" s="1" t="str">
        <f ca="1">IFERROR(__xludf.DUMMYFUNCTION("""COMPUTED_VALUE"""),"Freedom of Expression, Individuals At Risk")</f>
        <v>Freedom of Expression, Individuals At Risk</v>
      </c>
      <c r="H550" s="1" t="str">
        <f ca="1">IFERROR(__xludf.DUMMYFUNCTION("""COMPUTED_VALUE"""),"2024")</f>
        <v>2024</v>
      </c>
      <c r="I550" s="1" t="str">
        <f ca="1">IFERROR(__xludf.DUMMYFUNCTION("""COMPUTED_VALUE"""),"Email")</f>
        <v>Email</v>
      </c>
    </row>
    <row r="551" spans="1:9" ht="13" x14ac:dyDescent="0.15">
      <c r="A551" s="9">
        <f ca="1">IFERROR(__xludf.DUMMYFUNCTION("""COMPUTED_VALUE"""),31405098)</f>
        <v>31405098</v>
      </c>
      <c r="B551" s="1" t="str">
        <f ca="1">IFERROR(__xludf.DUMMYFUNCTION("""COMPUTED_VALUE"""),"rredfern@charter.net")</f>
        <v>rredfern@charter.net</v>
      </c>
      <c r="C551" s="9" t="str">
        <f ca="1">IFERROR(__xludf.DUMMYFUNCTION("""COMPUTED_VALUE"""),"EVERGREEN - UAN Gated Content - Embedded Petition")</f>
        <v>EVERGREEN - UAN Gated Content - Embedded Petition</v>
      </c>
      <c r="D551" s="10">
        <f ca="1">IFERROR(__xludf.DUMMYFUNCTION("""COMPUTED_VALUE"""),45706)</f>
        <v>45706</v>
      </c>
      <c r="E551" s="1" t="str">
        <f ca="1">IFERROR(__xludf.DUMMYFUNCTION("""COMPUTED_VALUE"""),"USA")</f>
        <v>USA</v>
      </c>
      <c r="F551" s="1" t="str">
        <f ca="1">IFERROR(__xludf.DUMMYFUNCTION("""COMPUTED_VALUE"""),"Fourth 55.24 USA")</f>
        <v>Fourth 55.24 USA</v>
      </c>
      <c r="G551" s="1" t="str">
        <f ca="1">IFERROR(__xludf.DUMMYFUNCTION("""COMPUTED_VALUE"""),"Climate Justice, Individuals At Risk")</f>
        <v>Climate Justice, Individuals At Risk</v>
      </c>
      <c r="H551" s="1" t="str">
        <f ca="1">IFERROR(__xludf.DUMMYFUNCTION("""COMPUTED_VALUE"""),"2025")</f>
        <v>2025</v>
      </c>
      <c r="I551" s="1" t="str">
        <f ca="1">IFERROR(__xludf.DUMMYFUNCTION("""COMPUTED_VALUE"""),"Email")</f>
        <v>Email</v>
      </c>
    </row>
    <row r="552" spans="1:9" ht="13" x14ac:dyDescent="0.15">
      <c r="A552" s="9">
        <f ca="1">IFERROR(__xludf.DUMMYFUNCTION("""COMPUTED_VALUE"""),31405098)</f>
        <v>31405098</v>
      </c>
      <c r="B552" s="1" t="str">
        <f ca="1">IFERROR(__xludf.DUMMYFUNCTION("""COMPUTED_VALUE"""),"rredfern@charter.net")</f>
        <v>rredfern@charter.net</v>
      </c>
      <c r="C552" s="9" t="str">
        <f ca="1">IFERROR(__xludf.DUMMYFUNCTION("""COMPUTED_VALUE"""),"EVERGREEN - UAN Gated Content - Embedded Petition")</f>
        <v>EVERGREEN - UAN Gated Content - Embedded Petition</v>
      </c>
      <c r="D552" s="10">
        <f ca="1">IFERROR(__xludf.DUMMYFUNCTION("""COMPUTED_VALUE"""),45706)</f>
        <v>45706</v>
      </c>
      <c r="E552" s="1" t="str">
        <f ca="1">IFERROR(__xludf.DUMMYFUNCTION("""COMPUTED_VALUE"""),"Russian Federation")</f>
        <v>Russian Federation</v>
      </c>
      <c r="F552" s="1" t="str">
        <f ca="1">IFERROR(__xludf.DUMMYFUNCTION("""COMPUTED_VALUE"""),"Second 23.24 Russia")</f>
        <v>Second 23.24 Russia</v>
      </c>
      <c r="G552" s="1" t="str">
        <f ca="1">IFERROR(__xludf.DUMMYFUNCTION("""COMPUTED_VALUE"""),"Freedom of Expression")</f>
        <v>Freedom of Expression</v>
      </c>
      <c r="H552" s="1" t="str">
        <f ca="1">IFERROR(__xludf.DUMMYFUNCTION("""COMPUTED_VALUE"""),"2024")</f>
        <v>2024</v>
      </c>
      <c r="I552" s="1" t="str">
        <f ca="1">IFERROR(__xludf.DUMMYFUNCTION("""COMPUTED_VALUE"""),"Letter")</f>
        <v>Letter</v>
      </c>
    </row>
    <row r="553" spans="1:9" ht="13" x14ac:dyDescent="0.15">
      <c r="A553" s="9">
        <f ca="1">IFERROR(__xludf.DUMMYFUNCTION("""COMPUTED_VALUE"""),31408124)</f>
        <v>31408124</v>
      </c>
      <c r="B553" s="1" t="str">
        <f ca="1">IFERROR(__xludf.DUMMYFUNCTION("""COMPUTED_VALUE"""),"17jordan@cox.net")</f>
        <v>17jordan@cox.net</v>
      </c>
      <c r="C553" s="9" t="str">
        <f ca="1">IFERROR(__xludf.DUMMYFUNCTION("""COMPUTED_VALUE"""),"EVERGREEN - UAN Gated Content - Embedded Petition")</f>
        <v>EVERGREEN - UAN Gated Content - Embedded Petition</v>
      </c>
      <c r="D553" s="10">
        <f ca="1">IFERROR(__xludf.DUMMYFUNCTION("""COMPUTED_VALUE"""),45677)</f>
        <v>45677</v>
      </c>
      <c r="E553" s="1" t="str">
        <f ca="1">IFERROR(__xludf.DUMMYFUNCTION("""COMPUTED_VALUE"""),"Russian Federation")</f>
        <v>Russian Federation</v>
      </c>
      <c r="F553" s="1" t="str">
        <f ca="1">IFERROR(__xludf.DUMMYFUNCTION("""COMPUTED_VALUE"""),"Second 23.24 Russia")</f>
        <v>Second 23.24 Russia</v>
      </c>
      <c r="G553" s="1" t="str">
        <f ca="1">IFERROR(__xludf.DUMMYFUNCTION("""COMPUTED_VALUE"""),"Freedom of Expression")</f>
        <v>Freedom of Expression</v>
      </c>
      <c r="H553" s="1" t="str">
        <f ca="1">IFERROR(__xludf.DUMMYFUNCTION("""COMPUTED_VALUE"""),"2024")</f>
        <v>2024</v>
      </c>
      <c r="I553" s="1" t="str">
        <f ca="1">IFERROR(__xludf.DUMMYFUNCTION("""COMPUTED_VALUE"""),"Letter")</f>
        <v>Letter</v>
      </c>
    </row>
    <row r="554" spans="1:9" ht="13" x14ac:dyDescent="0.15">
      <c r="A554" s="9">
        <f ca="1">IFERROR(__xludf.DUMMYFUNCTION("""COMPUTED_VALUE"""),31408124)</f>
        <v>31408124</v>
      </c>
      <c r="B554" s="1" t="str">
        <f ca="1">IFERROR(__xludf.DUMMYFUNCTION("""COMPUTED_VALUE"""),"17jordan@cox.net")</f>
        <v>17jordan@cox.net</v>
      </c>
      <c r="C554" s="9" t="str">
        <f ca="1">IFERROR(__xludf.DUMMYFUNCTION("""COMPUTED_VALUE"""),"EVERGREEN - UAN Gated Content - Embedded Petition")</f>
        <v>EVERGREEN - UAN Gated Content - Embedded Petition</v>
      </c>
      <c r="D554" s="10">
        <f ca="1">IFERROR(__xludf.DUMMYFUNCTION("""COMPUTED_VALUE"""),45694)</f>
        <v>45694</v>
      </c>
      <c r="E554" s="1" t="str">
        <f ca="1">IFERROR(__xludf.DUMMYFUNCTION("""COMPUTED_VALUE"""),"USA")</f>
        <v>USA</v>
      </c>
      <c r="F554" s="1" t="str">
        <f ca="1">IFERROR(__xludf.DUMMYFUNCTION("""COMPUTED_VALUE"""),"Fourth 55.24 USA")</f>
        <v>Fourth 55.24 USA</v>
      </c>
      <c r="G554" s="1" t="str">
        <f ca="1">IFERROR(__xludf.DUMMYFUNCTION("""COMPUTED_VALUE"""),"Climate Justice, Individuals At Risk")</f>
        <v>Climate Justice, Individuals At Risk</v>
      </c>
      <c r="H554" s="1" t="str">
        <f ca="1">IFERROR(__xludf.DUMMYFUNCTION("""COMPUTED_VALUE"""),"2025")</f>
        <v>2025</v>
      </c>
      <c r="I554" s="1" t="str">
        <f ca="1">IFERROR(__xludf.DUMMYFUNCTION("""COMPUTED_VALUE"""),"Email")</f>
        <v>Email</v>
      </c>
    </row>
    <row r="555" spans="1:9" ht="13" x14ac:dyDescent="0.15">
      <c r="A555" s="9">
        <f ca="1">IFERROR(__xludf.DUMMYFUNCTION("""COMPUTED_VALUE"""),31408124)</f>
        <v>31408124</v>
      </c>
      <c r="B555" s="1" t="str">
        <f ca="1">IFERROR(__xludf.DUMMYFUNCTION("""COMPUTED_VALUE"""),"17jordan@cox.net")</f>
        <v>17jordan@cox.net</v>
      </c>
      <c r="C555" s="9" t="str">
        <f ca="1">IFERROR(__xludf.DUMMYFUNCTION("""COMPUTED_VALUE"""),"EVERGREEN - UAN Gated Content - Embedded Petition")</f>
        <v>EVERGREEN - UAN Gated Content - Embedded Petition</v>
      </c>
      <c r="D555" s="10">
        <f ca="1">IFERROR(__xludf.DUMMYFUNCTION("""COMPUTED_VALUE"""),45616)</f>
        <v>45616</v>
      </c>
      <c r="E555" s="1" t="str">
        <f ca="1">IFERROR(__xludf.DUMMYFUNCTION("""COMPUTED_VALUE"""),"Niger")</f>
        <v>Niger</v>
      </c>
      <c r="F555" s="1" t="str">
        <f ca="1">IFERROR(__xludf.DUMMYFUNCTION("""COMPUTED_VALUE"""),"103.24 Niger")</f>
        <v>103.24 Niger</v>
      </c>
      <c r="G555" s="1" t="str">
        <f ca="1">IFERROR(__xludf.DUMMYFUNCTION("""COMPUTED_VALUE"""),"Freedom of Expression, Human Rights Defenders")</f>
        <v>Freedom of Expression, Human Rights Defenders</v>
      </c>
      <c r="H555" s="1" t="str">
        <f ca="1">IFERROR(__xludf.DUMMYFUNCTION("""COMPUTED_VALUE"""),"2024")</f>
        <v>2024</v>
      </c>
      <c r="I555" s="1" t="str">
        <f ca="1">IFERROR(__xludf.DUMMYFUNCTION("""COMPUTED_VALUE"""),"Email")</f>
        <v>Email</v>
      </c>
    </row>
    <row r="556" spans="1:9" ht="13" x14ac:dyDescent="0.15">
      <c r="A556" s="9">
        <f ca="1">IFERROR(__xludf.DUMMYFUNCTION("""COMPUTED_VALUE"""),31415343)</f>
        <v>31415343</v>
      </c>
      <c r="B556" s="1" t="str">
        <f ca="1">IFERROR(__xludf.DUMMYFUNCTION("""COMPUTED_VALUE"""),"brucemagnuson@yahoo.com")</f>
        <v>brucemagnuson@yahoo.com</v>
      </c>
      <c r="C556" s="9" t="str">
        <f ca="1">IFERROR(__xludf.DUMMYFUNCTION("""COMPUTED_VALUE"""),"EVERGREEN - UAN Gated Content - Embedded Petition")</f>
        <v>EVERGREEN - UAN Gated Content - Embedded Petition</v>
      </c>
      <c r="D556" s="10">
        <f ca="1">IFERROR(__xludf.DUMMYFUNCTION("""COMPUTED_VALUE"""),45700)</f>
        <v>45700</v>
      </c>
      <c r="E556" s="1" t="str">
        <f ca="1">IFERROR(__xludf.DUMMYFUNCTION("""COMPUTED_VALUE"""),"Turkiye")</f>
        <v>Turkiye</v>
      </c>
      <c r="F556" s="1" t="str">
        <f ca="1">IFERROR(__xludf.DUMMYFUNCTION("""COMPUTED_VALUE"""),"109.24 Türkiye")</f>
        <v>109.24 Türkiye</v>
      </c>
      <c r="G556" s="1" t="str">
        <f ca="1">IFERROR(__xludf.DUMMYFUNCTION("""COMPUTED_VALUE"""),"Human Rights Defenders, Individuals At Risk")</f>
        <v>Human Rights Defenders, Individuals At Risk</v>
      </c>
      <c r="H556" s="1" t="str">
        <f ca="1">IFERROR(__xludf.DUMMYFUNCTION("""COMPUTED_VALUE"""),"2024")</f>
        <v>2024</v>
      </c>
      <c r="I556" s="1" t="str">
        <f ca="1">IFERROR(__xludf.DUMMYFUNCTION("""COMPUTED_VALUE"""),"Email")</f>
        <v>Email</v>
      </c>
    </row>
    <row r="557" spans="1:9" ht="13" x14ac:dyDescent="0.15">
      <c r="A557" s="9">
        <f ca="1">IFERROR(__xludf.DUMMYFUNCTION("""COMPUTED_VALUE"""),31416295)</f>
        <v>31416295</v>
      </c>
      <c r="B557" s="1" t="str">
        <f ca="1">IFERROR(__xludf.DUMMYFUNCTION("""COMPUTED_VALUE"""),"enohuwa@yahoo.com")</f>
        <v>enohuwa@yahoo.com</v>
      </c>
      <c r="C557" s="9" t="str">
        <f ca="1">IFERROR(__xludf.DUMMYFUNCTION("""COMPUTED_VALUE"""),"EVERGREEN - UAN Gated Content - Embedded Petition")</f>
        <v>EVERGREEN - UAN Gated Content - Embedded Petition</v>
      </c>
      <c r="D557" s="10">
        <f ca="1">IFERROR(__xludf.DUMMYFUNCTION("""COMPUTED_VALUE"""),45636)</f>
        <v>45636</v>
      </c>
      <c r="E557" s="1" t="str">
        <f ca="1">IFERROR(__xludf.DUMMYFUNCTION("""COMPUTED_VALUE"""),"Egypt")</f>
        <v>Egypt</v>
      </c>
      <c r="F557" s="1" t="str">
        <f ca="1">IFERROR(__xludf.DUMMYFUNCTION("""COMPUTED_VALUE"""),"Third 73.23 Egypt")</f>
        <v>Third 73.23 Egypt</v>
      </c>
      <c r="G557" s="1" t="str">
        <f ca="1">IFERROR(__xludf.DUMMYFUNCTION("""COMPUTED_VALUE"""),"Individuals At Risk")</f>
        <v>Individuals At Risk</v>
      </c>
      <c r="H557" s="1" t="str">
        <f ca="1">IFERROR(__xludf.DUMMYFUNCTION("""COMPUTED_VALUE"""),"2024")</f>
        <v>2024</v>
      </c>
      <c r="I557" s="1" t="str">
        <f ca="1">IFERROR(__xludf.DUMMYFUNCTION("""COMPUTED_VALUE"""),"Email")</f>
        <v>Email</v>
      </c>
    </row>
    <row r="558" spans="1:9" ht="13" x14ac:dyDescent="0.15">
      <c r="A558" s="9">
        <f ca="1">IFERROR(__xludf.DUMMYFUNCTION("""COMPUTED_VALUE"""),31416295)</f>
        <v>31416295</v>
      </c>
      <c r="B558" s="1" t="str">
        <f ca="1">IFERROR(__xludf.DUMMYFUNCTION("""COMPUTED_VALUE"""),"enohuwa@yahoo.com")</f>
        <v>enohuwa@yahoo.com</v>
      </c>
      <c r="C558" s="9" t="str">
        <f ca="1">IFERROR(__xludf.DUMMYFUNCTION("""COMPUTED_VALUE"""),"EVERGREEN - UAN Gated Content - Embedded Petition")</f>
        <v>EVERGREEN - UAN Gated Content - Embedded Petition</v>
      </c>
      <c r="D558" s="10">
        <f ca="1">IFERROR(__xludf.DUMMYFUNCTION("""COMPUTED_VALUE"""),45636)</f>
        <v>45636</v>
      </c>
      <c r="E558" s="1" t="str">
        <f ca="1">IFERROR(__xludf.DUMMYFUNCTION("""COMPUTED_VALUE"""),"Israel and Occupied Palestinian Territories")</f>
        <v>Israel and Occupied Palestinian Territories</v>
      </c>
      <c r="F558" s="1" t="str">
        <f ca="1">IFERROR(__xludf.DUMMYFUNCTION("""COMPUTED_VALUE"""),"3.25 IOPT")</f>
        <v>3.25 IOPT</v>
      </c>
      <c r="G558" s="1" t="str">
        <f ca="1">IFERROR(__xludf.DUMMYFUNCTION("""COMPUTED_VALUE"""),"Freedom of Expression, Individuals At Risk")</f>
        <v>Freedom of Expression, Individuals At Risk</v>
      </c>
      <c r="H558" s="1" t="str">
        <f ca="1">IFERROR(__xludf.DUMMYFUNCTION("""COMPUTED_VALUE"""),"2025")</f>
        <v>2025</v>
      </c>
      <c r="I558" s="1" t="str">
        <f ca="1">IFERROR(__xludf.DUMMYFUNCTION("""COMPUTED_VALUE"""),"Email")</f>
        <v>Email</v>
      </c>
    </row>
    <row r="559" spans="1:9" ht="13" x14ac:dyDescent="0.15">
      <c r="A559" s="9">
        <f ca="1">IFERROR(__xludf.DUMMYFUNCTION("""COMPUTED_VALUE"""),31416295)</f>
        <v>31416295</v>
      </c>
      <c r="B559" s="1" t="str">
        <f ca="1">IFERROR(__xludf.DUMMYFUNCTION("""COMPUTED_VALUE"""),"enohuwa@yahoo.com")</f>
        <v>enohuwa@yahoo.com</v>
      </c>
      <c r="C559" s="9" t="str">
        <f ca="1">IFERROR(__xludf.DUMMYFUNCTION("""COMPUTED_VALUE"""),"EVERGREEN - UAN Gated Content - Embedded Petition")</f>
        <v>EVERGREEN - UAN Gated Content - Embedded Petition</v>
      </c>
      <c r="D559" s="10">
        <f ca="1">IFERROR(__xludf.DUMMYFUNCTION("""COMPUTED_VALUE"""),45636)</f>
        <v>45636</v>
      </c>
      <c r="E559" s="1" t="str">
        <f ca="1">IFERROR(__xludf.DUMMYFUNCTION("""COMPUTED_VALUE"""),"Venezuela")</f>
        <v>Venezuela</v>
      </c>
      <c r="F559" s="1" t="str">
        <f ca="1">IFERROR(__xludf.DUMMYFUNCTION("""COMPUTED_VALUE"""),"1.25 Venezuela")</f>
        <v>1.25 Venezuela</v>
      </c>
      <c r="G559" s="1" t="str">
        <f ca="1">IFERROR(__xludf.DUMMYFUNCTION("""COMPUTED_VALUE"""),"Human Rights Defenders, Individuals At Risk")</f>
        <v>Human Rights Defenders, Individuals At Risk</v>
      </c>
      <c r="H559" s="1" t="str">
        <f ca="1">IFERROR(__xludf.DUMMYFUNCTION("""COMPUTED_VALUE"""),"2025")</f>
        <v>2025</v>
      </c>
      <c r="I559" s="1" t="str">
        <f ca="1">IFERROR(__xludf.DUMMYFUNCTION("""COMPUTED_VALUE"""),"Letter")</f>
        <v>Letter</v>
      </c>
    </row>
    <row r="560" spans="1:9" ht="13" x14ac:dyDescent="0.15">
      <c r="A560" s="9">
        <f ca="1">IFERROR(__xludf.DUMMYFUNCTION("""COMPUTED_VALUE"""),31416295)</f>
        <v>31416295</v>
      </c>
      <c r="B560" s="1" t="str">
        <f ca="1">IFERROR(__xludf.DUMMYFUNCTION("""COMPUTED_VALUE"""),"enohuwa@yahoo.com")</f>
        <v>enohuwa@yahoo.com</v>
      </c>
      <c r="C560" s="9" t="str">
        <f ca="1">IFERROR(__xludf.DUMMYFUNCTION("""COMPUTED_VALUE"""),"EVERGREEN - UAN Gated Content - Embedded Petition")</f>
        <v>EVERGREEN - UAN Gated Content - Embedded Petition</v>
      </c>
      <c r="D560" s="10">
        <f ca="1">IFERROR(__xludf.DUMMYFUNCTION("""COMPUTED_VALUE"""),45636)</f>
        <v>45636</v>
      </c>
      <c r="E560" s="1" t="str">
        <f ca="1">IFERROR(__xludf.DUMMYFUNCTION("""COMPUTED_VALUE"""),"Azerbaijan")</f>
        <v>Azerbaijan</v>
      </c>
      <c r="F560" s="1" t="str">
        <f ca="1">IFERROR(__xludf.DUMMYFUNCTION("""COMPUTED_VALUE"""),"2.25 Azerbaijan")</f>
        <v>2.25 Azerbaijan</v>
      </c>
      <c r="G560" s="1" t="str">
        <f ca="1">IFERROR(__xludf.DUMMYFUNCTION("""COMPUTED_VALUE"""),"Freedom of Expression, Human Rights Defenders")</f>
        <v>Freedom of Expression, Human Rights Defenders</v>
      </c>
      <c r="H560" s="1" t="str">
        <f ca="1">IFERROR(__xludf.DUMMYFUNCTION("""COMPUTED_VALUE"""),"2025")</f>
        <v>2025</v>
      </c>
      <c r="I560" s="1" t="str">
        <f ca="1">IFERROR(__xludf.DUMMYFUNCTION("""COMPUTED_VALUE"""),"Email")</f>
        <v>Email</v>
      </c>
    </row>
    <row r="561" spans="1:9" ht="13" x14ac:dyDescent="0.15">
      <c r="A561" s="9">
        <f ca="1">IFERROR(__xludf.DUMMYFUNCTION("""COMPUTED_VALUE"""),31416295)</f>
        <v>31416295</v>
      </c>
      <c r="B561" s="1" t="str">
        <f ca="1">IFERROR(__xludf.DUMMYFUNCTION("""COMPUTED_VALUE"""),"enohuwa@yahoo.com")</f>
        <v>enohuwa@yahoo.com</v>
      </c>
      <c r="C561" s="9" t="str">
        <f ca="1">IFERROR(__xludf.DUMMYFUNCTION("""COMPUTED_VALUE"""),"EVERGREEN - Website Email Capture Form - UAN Pre-Footer")</f>
        <v>EVERGREEN - Website Email Capture Form - UAN Pre-Footer</v>
      </c>
      <c r="D561" s="10">
        <f ca="1">IFERROR(__xludf.DUMMYFUNCTION("""COMPUTED_VALUE"""),45636)</f>
        <v>45636</v>
      </c>
      <c r="E561" s="1" t="str">
        <f ca="1">IFERROR(__xludf.DUMMYFUNCTION("""COMPUTED_VALUE"""),"China")</f>
        <v>China</v>
      </c>
      <c r="F561" s="1" t="str">
        <f ca="1">IFERROR(__xludf.DUMMYFUNCTION("""COMPUTED_VALUE"""),"106.24 China")</f>
        <v>106.24 China</v>
      </c>
      <c r="G561" s="1" t="str">
        <f ca="1">IFERROR(__xludf.DUMMYFUNCTION("""COMPUTED_VALUE"""),"Freedom of Expression, Individuals At Risk")</f>
        <v>Freedom of Expression, Individuals At Risk</v>
      </c>
      <c r="H561" s="1" t="str">
        <f ca="1">IFERROR(__xludf.DUMMYFUNCTION("""COMPUTED_VALUE"""),"2024")</f>
        <v>2024</v>
      </c>
      <c r="I561" s="1" t="str">
        <f ca="1">IFERROR(__xludf.DUMMYFUNCTION("""COMPUTED_VALUE"""),"Email")</f>
        <v>Email</v>
      </c>
    </row>
    <row r="562" spans="1:9" ht="13" x14ac:dyDescent="0.15">
      <c r="A562" s="9">
        <f ca="1">IFERROR(__xludf.DUMMYFUNCTION("""COMPUTED_VALUE"""),31422173)</f>
        <v>31422173</v>
      </c>
      <c r="B562" s="1" t="str">
        <f ca="1">IFERROR(__xludf.DUMMYFUNCTION("""COMPUTED_VALUE"""),"kbwordsworth@gmail.com")</f>
        <v>kbwordsworth@gmail.com</v>
      </c>
      <c r="C562" s="9" t="str">
        <f ca="1">IFERROR(__xludf.DUMMYFUNCTION("""COMPUTED_VALUE"""),"EVERGREEN - UAN Gated Content - Embedded Petition")</f>
        <v>EVERGREEN - UAN Gated Content - Embedded Petition</v>
      </c>
      <c r="D562" s="10">
        <f ca="1">IFERROR(__xludf.DUMMYFUNCTION("""COMPUTED_VALUE"""),45694)</f>
        <v>45694</v>
      </c>
      <c r="E562" s="1" t="str">
        <f ca="1">IFERROR(__xludf.DUMMYFUNCTION("""COMPUTED_VALUE"""),"Tunisia")</f>
        <v>Tunisia</v>
      </c>
      <c r="F562" s="1" t="str">
        <f ca="1">IFERROR(__xludf.DUMMYFUNCTION("""COMPUTED_VALUE"""),"Second 43.24 Tunisia")</f>
        <v>Second 43.24 Tunisia</v>
      </c>
      <c r="G562" s="1" t="str">
        <f ca="1">IFERROR(__xludf.DUMMYFUNCTION("""COMPUTED_VALUE"""),"Freedom of Expression, Individuals At Risk")</f>
        <v>Freedom of Expression, Individuals At Risk</v>
      </c>
      <c r="H562" s="1" t="str">
        <f ca="1">IFERROR(__xludf.DUMMYFUNCTION("""COMPUTED_VALUE"""),"2024")</f>
        <v>2024</v>
      </c>
      <c r="I562" s="1" t="str">
        <f ca="1">IFERROR(__xludf.DUMMYFUNCTION("""COMPUTED_VALUE"""),"Email")</f>
        <v>Email</v>
      </c>
    </row>
    <row r="563" spans="1:9" ht="13" x14ac:dyDescent="0.15">
      <c r="A563" s="9">
        <f ca="1">IFERROR(__xludf.DUMMYFUNCTION("""COMPUTED_VALUE"""),31425906)</f>
        <v>31425906</v>
      </c>
      <c r="B563" s="1" t="str">
        <f ca="1">IFERROR(__xludf.DUMMYFUNCTION("""COMPUTED_VALUE"""),"hwhite321@yahoo.com")</f>
        <v>hwhite321@yahoo.com</v>
      </c>
      <c r="C563" s="9" t="str">
        <f ca="1">IFERROR(__xludf.DUMMYFUNCTION("""COMPUTED_VALUE"""),"EVERGREEN - UAN Gated Content - Embedded Petition")</f>
        <v>EVERGREEN - UAN Gated Content - Embedded Petition</v>
      </c>
      <c r="D563" s="10">
        <f ca="1">IFERROR(__xludf.DUMMYFUNCTION("""COMPUTED_VALUE"""),45699)</f>
        <v>45699</v>
      </c>
      <c r="E563" s="1" t="str">
        <f ca="1">IFERROR(__xludf.DUMMYFUNCTION("""COMPUTED_VALUE"""),"Uganda")</f>
        <v>Uganda</v>
      </c>
      <c r="F563" s="1" t="str">
        <f ca="1">IFERROR(__xludf.DUMMYFUNCTION("""COMPUTED_VALUE"""),"100.24 Uganda")</f>
        <v>100.24 Uganda</v>
      </c>
      <c r="G563" s="1" t="str">
        <f ca="1">IFERROR(__xludf.DUMMYFUNCTION("""COMPUTED_VALUE"""),"Freedom of Expression")</f>
        <v>Freedom of Expression</v>
      </c>
      <c r="H563" s="1" t="str">
        <f ca="1">IFERROR(__xludf.DUMMYFUNCTION("""COMPUTED_VALUE"""),"2024")</f>
        <v>2024</v>
      </c>
      <c r="I563" s="1" t="str">
        <f ca="1">IFERROR(__xludf.DUMMYFUNCTION("""COMPUTED_VALUE"""),"Email")</f>
        <v>Email</v>
      </c>
    </row>
    <row r="564" spans="1:9" ht="13" x14ac:dyDescent="0.15">
      <c r="A564" s="9">
        <f ca="1">IFERROR(__xludf.DUMMYFUNCTION("""COMPUTED_VALUE"""),31443553)</f>
        <v>31443553</v>
      </c>
      <c r="B564" s="1" t="str">
        <f ca="1">IFERROR(__xludf.DUMMYFUNCTION("""COMPUTED_VALUE"""),"punkin5170@gmail.com")</f>
        <v>punkin5170@gmail.com</v>
      </c>
      <c r="C564" s="9" t="str">
        <f ca="1">IFERROR(__xludf.DUMMYFUNCTION("""COMPUTED_VALUE"""),"EVERGREEN - UAN Gated Content - Embedded Petition")</f>
        <v>EVERGREEN - UAN Gated Content - Embedded Petition</v>
      </c>
      <c r="D564" s="10">
        <f ca="1">IFERROR(__xludf.DUMMYFUNCTION("""COMPUTED_VALUE"""),45707)</f>
        <v>45707</v>
      </c>
      <c r="E564" s="1" t="str">
        <f ca="1">IFERROR(__xludf.DUMMYFUNCTION("""COMPUTED_VALUE"""),"USA")</f>
        <v>USA</v>
      </c>
      <c r="F564" s="1" t="str">
        <f ca="1">IFERROR(__xludf.DUMMYFUNCTION("""COMPUTED_VALUE"""),"96.24 USA")</f>
        <v>96.24 USA</v>
      </c>
      <c r="G564" s="1" t="str">
        <f ca="1">IFERROR(__xludf.DUMMYFUNCTION("""COMPUTED_VALUE"""),"Death Penalty")</f>
        <v>Death Penalty</v>
      </c>
      <c r="H564" s="1" t="str">
        <f ca="1">IFERROR(__xludf.DUMMYFUNCTION("""COMPUTED_VALUE"""),"2024")</f>
        <v>2024</v>
      </c>
      <c r="I564" s="1" t="str">
        <f ca="1">IFERROR(__xludf.DUMMYFUNCTION("""COMPUTED_VALUE"""),"Email")</f>
        <v>Email</v>
      </c>
    </row>
    <row r="565" spans="1:9" ht="13" x14ac:dyDescent="0.15">
      <c r="A565" s="9">
        <f ca="1">IFERROR(__xludf.DUMMYFUNCTION("""COMPUTED_VALUE"""),31447225)</f>
        <v>31447225</v>
      </c>
      <c r="B565" s="1" t="str">
        <f ca="1">IFERROR(__xludf.DUMMYFUNCTION("""COMPUTED_VALUE"""),"charles_budd@hotmail.com")</f>
        <v>charles_budd@hotmail.com</v>
      </c>
      <c r="C565" s="9" t="str">
        <f ca="1">IFERROR(__xludf.DUMMYFUNCTION("""COMPUTED_VALUE"""),"EVERGREEN - UAN Gated Content - Embedded Petition")</f>
        <v>EVERGREEN - UAN Gated Content - Embedded Petition</v>
      </c>
      <c r="D565" s="10">
        <f ca="1">IFERROR(__xludf.DUMMYFUNCTION("""COMPUTED_VALUE"""),45636)</f>
        <v>45636</v>
      </c>
      <c r="E565" s="1" t="str">
        <f ca="1">IFERROR(__xludf.DUMMYFUNCTION("""COMPUTED_VALUE"""),"Tunisia")</f>
        <v>Tunisia</v>
      </c>
      <c r="F565" s="1" t="str">
        <f ca="1">IFERROR(__xludf.DUMMYFUNCTION("""COMPUTED_VALUE"""),"Second 76.24 Tunisia")</f>
        <v>Second 76.24 Tunisia</v>
      </c>
      <c r="G565" s="1" t="str">
        <f ca="1">IFERROR(__xludf.DUMMYFUNCTION("""COMPUTED_VALUE"""),"Freedom of Expression, Human Rights Defenders")</f>
        <v>Freedom of Expression, Human Rights Defenders</v>
      </c>
      <c r="H565" s="1" t="str">
        <f ca="1">IFERROR(__xludf.DUMMYFUNCTION("""COMPUTED_VALUE"""),"2025")</f>
        <v>2025</v>
      </c>
      <c r="I565" s="1" t="str">
        <f ca="1">IFERROR(__xludf.DUMMYFUNCTION("""COMPUTED_VALUE"""),"Email")</f>
        <v>Email</v>
      </c>
    </row>
    <row r="566" spans="1:9" ht="13" x14ac:dyDescent="0.15">
      <c r="A566" s="9">
        <f ca="1">IFERROR(__xludf.DUMMYFUNCTION("""COMPUTED_VALUE"""),31447225)</f>
        <v>31447225</v>
      </c>
      <c r="B566" s="1" t="str">
        <f ca="1">IFERROR(__xludf.DUMMYFUNCTION("""COMPUTED_VALUE"""),"charles_budd@hotmail.com")</f>
        <v>charles_budd@hotmail.com</v>
      </c>
      <c r="C566" s="9" t="str">
        <f ca="1">IFERROR(__xludf.DUMMYFUNCTION("""COMPUTED_VALUE"""),"EVERGREEN - UAN Gated Content - Embedded Petition")</f>
        <v>EVERGREEN - UAN Gated Content - Embedded Petition</v>
      </c>
      <c r="D566" s="10">
        <f ca="1">IFERROR(__xludf.DUMMYFUNCTION("""COMPUTED_VALUE"""),45674)</f>
        <v>45674</v>
      </c>
      <c r="E566" s="1" t="str">
        <f ca="1">IFERROR(__xludf.DUMMYFUNCTION("""COMPUTED_VALUE"""),"Iran")</f>
        <v>Iran</v>
      </c>
      <c r="F566" s="1" t="str">
        <f ca="1">IFERROR(__xludf.DUMMYFUNCTION("""COMPUTED_VALUE"""),"Seventh 103.22 Iran")</f>
        <v>Seventh 103.22 Iran</v>
      </c>
      <c r="G566" s="1" t="str">
        <f ca="1">IFERROR(__xludf.DUMMYFUNCTION("""COMPUTED_VALUE"""),"Death Penalty, Freedom of Expression, Individuals At Risk")</f>
        <v>Death Penalty, Freedom of Expression, Individuals At Risk</v>
      </c>
      <c r="H566" s="1" t="str">
        <f ca="1">IFERROR(__xludf.DUMMYFUNCTION("""COMPUTED_VALUE"""),"2024")</f>
        <v>2024</v>
      </c>
      <c r="I566" s="1" t="str">
        <f ca="1">IFERROR(__xludf.DUMMYFUNCTION("""COMPUTED_VALUE"""),"Email")</f>
        <v>Email</v>
      </c>
    </row>
    <row r="567" spans="1:9" ht="13" x14ac:dyDescent="0.15">
      <c r="A567" s="9">
        <f ca="1">IFERROR(__xludf.DUMMYFUNCTION("""COMPUTED_VALUE"""),31447225)</f>
        <v>31447225</v>
      </c>
      <c r="B567" s="1" t="str">
        <f ca="1">IFERROR(__xludf.DUMMYFUNCTION("""COMPUTED_VALUE"""),"charles_budd@hotmail.com")</f>
        <v>charles_budd@hotmail.com</v>
      </c>
      <c r="C567" s="9" t="str">
        <f ca="1">IFERROR(__xludf.DUMMYFUNCTION("""COMPUTED_VALUE"""),"EVERGREEN - UAN Gated Content - Embedded Petition")</f>
        <v>EVERGREEN - UAN Gated Content - Embedded Petition</v>
      </c>
      <c r="D567" s="10">
        <f ca="1">IFERROR(__xludf.DUMMYFUNCTION("""COMPUTED_VALUE"""),45694)</f>
        <v>45694</v>
      </c>
      <c r="E567" s="1" t="str">
        <f ca="1">IFERROR(__xludf.DUMMYFUNCTION("""COMPUTED_VALUE"""),"USA")</f>
        <v>USA</v>
      </c>
      <c r="F567" s="1" t="str">
        <f ca="1">IFERROR(__xludf.DUMMYFUNCTION("""COMPUTED_VALUE"""),"4.25 USA")</f>
        <v>4.25 USA</v>
      </c>
      <c r="G567" s="1" t="str">
        <f ca="1">IFERROR(__xludf.DUMMYFUNCTION("""COMPUTED_VALUE"""),"Individuals At Risk, Refugee and Migrant Rights")</f>
        <v>Individuals At Risk, Refugee and Migrant Rights</v>
      </c>
      <c r="H567" s="1" t="str">
        <f ca="1">IFERROR(__xludf.DUMMYFUNCTION("""COMPUTED_VALUE"""),"2025")</f>
        <v>2025</v>
      </c>
      <c r="I567" s="1" t="str">
        <f ca="1">IFERROR(__xludf.DUMMYFUNCTION("""COMPUTED_VALUE"""),"Letter")</f>
        <v>Letter</v>
      </c>
    </row>
    <row r="568" spans="1:9" ht="13" x14ac:dyDescent="0.15">
      <c r="A568" s="9">
        <f ca="1">IFERROR(__xludf.DUMMYFUNCTION("""COMPUTED_VALUE"""),31447225)</f>
        <v>31447225</v>
      </c>
      <c r="B568" s="1" t="str">
        <f ca="1">IFERROR(__xludf.DUMMYFUNCTION("""COMPUTED_VALUE"""),"charles_budd@hotmail.com")</f>
        <v>charles_budd@hotmail.com</v>
      </c>
      <c r="C568" s="9" t="str">
        <f ca="1">IFERROR(__xludf.DUMMYFUNCTION("""COMPUTED_VALUE"""),"EVERGREEN - UAN Gated Content - Embedded Petition")</f>
        <v>EVERGREEN - UAN Gated Content - Embedded Petition</v>
      </c>
      <c r="D568" s="10">
        <f ca="1">IFERROR(__xludf.DUMMYFUNCTION("""COMPUTED_VALUE"""),45694)</f>
        <v>45694</v>
      </c>
      <c r="E568" s="1" t="str">
        <f ca="1">IFERROR(__xludf.DUMMYFUNCTION("""COMPUTED_VALUE"""),"Tunisia")</f>
        <v>Tunisia</v>
      </c>
      <c r="F568" s="1" t="str">
        <f ca="1">IFERROR(__xludf.DUMMYFUNCTION("""COMPUTED_VALUE"""),"Second 76.24 Tunisia")</f>
        <v>Second 76.24 Tunisia</v>
      </c>
      <c r="G568" s="1" t="str">
        <f ca="1">IFERROR(__xludf.DUMMYFUNCTION("""COMPUTED_VALUE"""),"Freedom of Expression, Human Rights Defenders")</f>
        <v>Freedom of Expression, Human Rights Defenders</v>
      </c>
      <c r="H568" s="1" t="str">
        <f ca="1">IFERROR(__xludf.DUMMYFUNCTION("""COMPUTED_VALUE"""),"2025")</f>
        <v>2025</v>
      </c>
      <c r="I568" s="1" t="str">
        <f ca="1">IFERROR(__xludf.DUMMYFUNCTION("""COMPUTED_VALUE"""),"Email")</f>
        <v>Email</v>
      </c>
    </row>
    <row r="569" spans="1:9" ht="13" x14ac:dyDescent="0.15">
      <c r="A569" s="9">
        <f ca="1">IFERROR(__xludf.DUMMYFUNCTION("""COMPUTED_VALUE"""),31447225)</f>
        <v>31447225</v>
      </c>
      <c r="B569" s="1" t="str">
        <f ca="1">IFERROR(__xludf.DUMMYFUNCTION("""COMPUTED_VALUE"""),"charles_budd@hotmail.com")</f>
        <v>charles_budd@hotmail.com</v>
      </c>
      <c r="C569" s="9" t="str">
        <f ca="1">IFERROR(__xludf.DUMMYFUNCTION("""COMPUTED_VALUE"""),"EVERGREEN - UAN Gated Content - Embedded Petition")</f>
        <v>EVERGREEN - UAN Gated Content - Embedded Petition</v>
      </c>
      <c r="D569" s="10">
        <f ca="1">IFERROR(__xludf.DUMMYFUNCTION("""COMPUTED_VALUE"""),45643)</f>
        <v>45643</v>
      </c>
      <c r="E569" s="1" t="str">
        <f ca="1">IFERROR(__xludf.DUMMYFUNCTION("""COMPUTED_VALUE"""),"Tunisia")</f>
        <v>Tunisia</v>
      </c>
      <c r="F569" s="1" t="str">
        <f ca="1">IFERROR(__xludf.DUMMYFUNCTION("""COMPUTED_VALUE"""),"Second 76.24 Tunisia")</f>
        <v>Second 76.24 Tunisia</v>
      </c>
      <c r="G569" s="1" t="str">
        <f ca="1">IFERROR(__xludf.DUMMYFUNCTION("""COMPUTED_VALUE"""),"Freedom of Expression, Human Rights Defenders")</f>
        <v>Freedom of Expression, Human Rights Defenders</v>
      </c>
      <c r="H569" s="1" t="str">
        <f ca="1">IFERROR(__xludf.DUMMYFUNCTION("""COMPUTED_VALUE"""),"2025")</f>
        <v>2025</v>
      </c>
      <c r="I569" s="1" t="str">
        <f ca="1">IFERROR(__xludf.DUMMYFUNCTION("""COMPUTED_VALUE"""),"Email")</f>
        <v>Email</v>
      </c>
    </row>
    <row r="570" spans="1:9" ht="13" x14ac:dyDescent="0.15">
      <c r="A570" s="9">
        <f ca="1">IFERROR(__xludf.DUMMYFUNCTION("""COMPUTED_VALUE"""),31447225)</f>
        <v>31447225</v>
      </c>
      <c r="B570" s="1" t="str">
        <f ca="1">IFERROR(__xludf.DUMMYFUNCTION("""COMPUTED_VALUE"""),"charles_budd@hotmail.com")</f>
        <v>charles_budd@hotmail.com</v>
      </c>
      <c r="C570" s="9" t="str">
        <f ca="1">IFERROR(__xludf.DUMMYFUNCTION("""COMPUTED_VALUE"""),"EVERGREEN - UAN Gated Content - Embedded Petition")</f>
        <v>EVERGREEN - UAN Gated Content - Embedded Petition</v>
      </c>
      <c r="D570" s="10">
        <f ca="1">IFERROR(__xludf.DUMMYFUNCTION("""COMPUTED_VALUE"""),45694)</f>
        <v>45694</v>
      </c>
      <c r="E570" s="1" t="str">
        <f ca="1">IFERROR(__xludf.DUMMYFUNCTION("""COMPUTED_VALUE"""),"USA")</f>
        <v>USA</v>
      </c>
      <c r="F570" s="1" t="str">
        <f ca="1">IFERROR(__xludf.DUMMYFUNCTION("""COMPUTED_VALUE"""),"105.24 USA")</f>
        <v>105.24 USA</v>
      </c>
      <c r="G570" s="1" t="str">
        <f ca="1">IFERROR(__xludf.DUMMYFUNCTION("""COMPUTED_VALUE"""),"Death Penalty")</f>
        <v>Death Penalty</v>
      </c>
      <c r="H570" s="1" t="str">
        <f ca="1">IFERROR(__xludf.DUMMYFUNCTION("""COMPUTED_VALUE"""),"2024")</f>
        <v>2024</v>
      </c>
      <c r="I570" s="1" t="str">
        <f ca="1">IFERROR(__xludf.DUMMYFUNCTION("""COMPUTED_VALUE"""),"Email")</f>
        <v>Email</v>
      </c>
    </row>
    <row r="571" spans="1:9" ht="13" x14ac:dyDescent="0.15">
      <c r="A571" s="9">
        <f ca="1">IFERROR(__xludf.DUMMYFUNCTION("""COMPUTED_VALUE"""),31450502)</f>
        <v>31450502</v>
      </c>
      <c r="B571" s="1" t="str">
        <f ca="1">IFERROR(__xludf.DUMMYFUNCTION("""COMPUTED_VALUE"""),"dvayo@iwu.edu")</f>
        <v>dvayo@iwu.edu</v>
      </c>
      <c r="C571" s="9" t="str">
        <f ca="1">IFERROR(__xludf.DUMMYFUNCTION("""COMPUTED_VALUE"""),"EVERGREEN - UAN Gated Content - Embedded Petition")</f>
        <v>EVERGREEN - UAN Gated Content - Embedded Petition</v>
      </c>
      <c r="D571" s="10">
        <f ca="1">IFERROR(__xludf.DUMMYFUNCTION("""COMPUTED_VALUE"""),45699)</f>
        <v>45699</v>
      </c>
      <c r="E571" s="1" t="str">
        <f ca="1">IFERROR(__xludf.DUMMYFUNCTION("""COMPUTED_VALUE"""),"Egypt")</f>
        <v>Egypt</v>
      </c>
      <c r="F571" s="1" t="str">
        <f ca="1">IFERROR(__xludf.DUMMYFUNCTION("""COMPUTED_VALUE"""),"Ninth 190.18 Egypt")</f>
        <v>Ninth 190.18 Egypt</v>
      </c>
      <c r="G571" s="1" t="str">
        <f ca="1">IFERROR(__xludf.DUMMYFUNCTION("""COMPUTED_VALUE"""),"Freedom of Expression, Individuals At Risk")</f>
        <v>Freedom of Expression, Individuals At Risk</v>
      </c>
      <c r="H571" s="1" t="str">
        <f ca="1">IFERROR(__xludf.DUMMYFUNCTION("""COMPUTED_VALUE"""),"2024")</f>
        <v>2024</v>
      </c>
      <c r="I571" s="1" t="str">
        <f ca="1">IFERROR(__xludf.DUMMYFUNCTION("""COMPUTED_VALUE"""),"Letter")</f>
        <v>Letter</v>
      </c>
    </row>
    <row r="572" spans="1:9" ht="13" x14ac:dyDescent="0.15">
      <c r="A572" s="9">
        <f ca="1">IFERROR(__xludf.DUMMYFUNCTION("""COMPUTED_VALUE"""),31451349)</f>
        <v>31451349</v>
      </c>
      <c r="B572" s="1" t="str">
        <f ca="1">IFERROR(__xludf.DUMMYFUNCTION("""COMPUTED_VALUE"""),"brenskelle@aol.com")</f>
        <v>brenskelle@aol.com</v>
      </c>
      <c r="C572" s="9" t="str">
        <f ca="1">IFERROR(__xludf.DUMMYFUNCTION("""COMPUTED_VALUE"""),"EVERGREEN - UAN Gated Content - Embedded Petition")</f>
        <v>EVERGREEN - UAN Gated Content - Embedded Petition</v>
      </c>
      <c r="D572" s="10">
        <f ca="1">IFERROR(__xludf.DUMMYFUNCTION("""COMPUTED_VALUE"""),45694)</f>
        <v>45694</v>
      </c>
      <c r="E572" s="1" t="str">
        <f ca="1">IFERROR(__xludf.DUMMYFUNCTION("""COMPUTED_VALUE"""),"USA")</f>
        <v>USA</v>
      </c>
      <c r="F572" s="1" t="str">
        <f ca="1">IFERROR(__xludf.DUMMYFUNCTION("""COMPUTED_VALUE"""),"105.24 USA")</f>
        <v>105.24 USA</v>
      </c>
      <c r="G572" s="1" t="str">
        <f ca="1">IFERROR(__xludf.DUMMYFUNCTION("""COMPUTED_VALUE"""),"Death Penalty")</f>
        <v>Death Penalty</v>
      </c>
      <c r="H572" s="1" t="str">
        <f ca="1">IFERROR(__xludf.DUMMYFUNCTION("""COMPUTED_VALUE"""),"2024")</f>
        <v>2024</v>
      </c>
      <c r="I572" s="1" t="str">
        <f ca="1">IFERROR(__xludf.DUMMYFUNCTION("""COMPUTED_VALUE"""),"Email")</f>
        <v>Email</v>
      </c>
    </row>
    <row r="573" spans="1:9" ht="13" x14ac:dyDescent="0.15">
      <c r="A573" s="9">
        <f ca="1">IFERROR(__xludf.DUMMYFUNCTION("""COMPUTED_VALUE"""),31464748)</f>
        <v>31464748</v>
      </c>
      <c r="B573" s="1" t="str">
        <f ca="1">IFERROR(__xludf.DUMMYFUNCTION("""COMPUTED_VALUE"""),"jmullin422@hotmail.com")</f>
        <v>jmullin422@hotmail.com</v>
      </c>
      <c r="C573" s="9" t="str">
        <f ca="1">IFERROR(__xludf.DUMMYFUNCTION("""COMPUTED_VALUE"""),"EVERGREEN - UAN Gated Content - Embedded Petition")</f>
        <v>EVERGREEN - UAN Gated Content - Embedded Petition</v>
      </c>
      <c r="D573" s="10">
        <f ca="1">IFERROR(__xludf.DUMMYFUNCTION("""COMPUTED_VALUE"""),45631)</f>
        <v>45631</v>
      </c>
      <c r="E573" s="1" t="str">
        <f ca="1">IFERROR(__xludf.DUMMYFUNCTION("""COMPUTED_VALUE"""),"Egypt")</f>
        <v>Egypt</v>
      </c>
      <c r="F573" s="1" t="str">
        <f ca="1">IFERROR(__xludf.DUMMYFUNCTION("""COMPUTED_VALUE"""),"Ninth 190.18 Egypt")</f>
        <v>Ninth 190.18 Egypt</v>
      </c>
      <c r="G573" s="1" t="str">
        <f ca="1">IFERROR(__xludf.DUMMYFUNCTION("""COMPUTED_VALUE"""),"Freedom of Expression, Individuals At Risk")</f>
        <v>Freedom of Expression, Individuals At Risk</v>
      </c>
      <c r="H573" s="1" t="str">
        <f ca="1">IFERROR(__xludf.DUMMYFUNCTION("""COMPUTED_VALUE"""),"2024")</f>
        <v>2024</v>
      </c>
      <c r="I573" s="1" t="str">
        <f ca="1">IFERROR(__xludf.DUMMYFUNCTION("""COMPUTED_VALUE"""),"Letter")</f>
        <v>Letter</v>
      </c>
    </row>
    <row r="574" spans="1:9" ht="13" x14ac:dyDescent="0.15">
      <c r="A574" s="9">
        <f ca="1">IFERROR(__xludf.DUMMYFUNCTION("""COMPUTED_VALUE"""),31464748)</f>
        <v>31464748</v>
      </c>
      <c r="B574" s="1" t="str">
        <f ca="1">IFERROR(__xludf.DUMMYFUNCTION("""COMPUTED_VALUE"""),"jmullin422@hotmail.com")</f>
        <v>jmullin422@hotmail.com</v>
      </c>
      <c r="C574" s="9" t="str">
        <f ca="1">IFERROR(__xludf.DUMMYFUNCTION("""COMPUTED_VALUE"""),"EVERGREEN - UAN Gated Content - Embedded Petition")</f>
        <v>EVERGREEN - UAN Gated Content - Embedded Petition</v>
      </c>
      <c r="D574" s="10">
        <f ca="1">IFERROR(__xludf.DUMMYFUNCTION("""COMPUTED_VALUE"""),45632)</f>
        <v>45632</v>
      </c>
      <c r="E574" s="1" t="str">
        <f ca="1">IFERROR(__xludf.DUMMYFUNCTION("""COMPUTED_VALUE"""),"Venezuela")</f>
        <v>Venezuela</v>
      </c>
      <c r="F574" s="1" t="str">
        <f ca="1">IFERROR(__xludf.DUMMYFUNCTION("""COMPUTED_VALUE"""),"97.24 Venezuela")</f>
        <v>97.24 Venezuela</v>
      </c>
      <c r="G574" s="1" t="str">
        <f ca="1">IFERROR(__xludf.DUMMYFUNCTION("""COMPUTED_VALUE"""),"Freedom of Expression")</f>
        <v>Freedom of Expression</v>
      </c>
      <c r="H574" s="1" t="str">
        <f ca="1">IFERROR(__xludf.DUMMYFUNCTION("""COMPUTED_VALUE"""),"2024")</f>
        <v>2024</v>
      </c>
      <c r="I574" s="1" t="str">
        <f ca="1">IFERROR(__xludf.DUMMYFUNCTION("""COMPUTED_VALUE"""),"Letter")</f>
        <v>Letter</v>
      </c>
    </row>
    <row r="575" spans="1:9" ht="13" x14ac:dyDescent="0.15">
      <c r="A575" s="9">
        <f ca="1">IFERROR(__xludf.DUMMYFUNCTION("""COMPUTED_VALUE"""),31464748)</f>
        <v>31464748</v>
      </c>
      <c r="B575" s="1" t="str">
        <f ca="1">IFERROR(__xludf.DUMMYFUNCTION("""COMPUTED_VALUE"""),"jmullin422@hotmail.com")</f>
        <v>jmullin422@hotmail.com</v>
      </c>
      <c r="C575" s="9" t="str">
        <f ca="1">IFERROR(__xludf.DUMMYFUNCTION("""COMPUTED_VALUE"""),"EVERGREEN - UAN Gated Content - Embedded Petition")</f>
        <v>EVERGREEN - UAN Gated Content - Embedded Petition</v>
      </c>
      <c r="D575" s="10">
        <f ca="1">IFERROR(__xludf.DUMMYFUNCTION("""COMPUTED_VALUE"""),45703)</f>
        <v>45703</v>
      </c>
      <c r="E575" s="1" t="str">
        <f ca="1">IFERROR(__xludf.DUMMYFUNCTION("""COMPUTED_VALUE"""),"Azerbaijan")</f>
        <v>Azerbaijan</v>
      </c>
      <c r="F575" s="1" t="str">
        <f ca="1">IFERROR(__xludf.DUMMYFUNCTION("""COMPUTED_VALUE"""),"2.25 Azerbaijan")</f>
        <v>2.25 Azerbaijan</v>
      </c>
      <c r="G575" s="1" t="str">
        <f ca="1">IFERROR(__xludf.DUMMYFUNCTION("""COMPUTED_VALUE"""),"Freedom of Expression, Human Rights Defenders")</f>
        <v>Freedom of Expression, Human Rights Defenders</v>
      </c>
      <c r="H575" s="1" t="str">
        <f ca="1">IFERROR(__xludf.DUMMYFUNCTION("""COMPUTED_VALUE"""),"2025")</f>
        <v>2025</v>
      </c>
      <c r="I575" s="1" t="str">
        <f ca="1">IFERROR(__xludf.DUMMYFUNCTION("""COMPUTED_VALUE"""),"Email")</f>
        <v>Email</v>
      </c>
    </row>
    <row r="576" spans="1:9" ht="13" x14ac:dyDescent="0.15">
      <c r="A576" s="9">
        <f ca="1">IFERROR(__xludf.DUMMYFUNCTION("""COMPUTED_VALUE"""),31464748)</f>
        <v>31464748</v>
      </c>
      <c r="B576" s="1" t="str">
        <f ca="1">IFERROR(__xludf.DUMMYFUNCTION("""COMPUTED_VALUE"""),"jmullin422@hotmail.com")</f>
        <v>jmullin422@hotmail.com</v>
      </c>
      <c r="C576" s="9" t="str">
        <f ca="1">IFERROR(__xludf.DUMMYFUNCTION("""COMPUTED_VALUE"""),"EVERGREEN - UAN Gated Content - Embedded Petition")</f>
        <v>EVERGREEN - UAN Gated Content - Embedded Petition</v>
      </c>
      <c r="D576" s="10">
        <f ca="1">IFERROR(__xludf.DUMMYFUNCTION("""COMPUTED_VALUE"""),45694)</f>
        <v>45694</v>
      </c>
      <c r="E576" s="1" t="str">
        <f ca="1">IFERROR(__xludf.DUMMYFUNCTION("""COMPUTED_VALUE"""),"Tunisia")</f>
        <v>Tunisia</v>
      </c>
      <c r="F576" s="1" t="str">
        <f ca="1">IFERROR(__xludf.DUMMYFUNCTION("""COMPUTED_VALUE"""),"Second 76.24 Tunisia")</f>
        <v>Second 76.24 Tunisia</v>
      </c>
      <c r="G576" s="1" t="str">
        <f ca="1">IFERROR(__xludf.DUMMYFUNCTION("""COMPUTED_VALUE"""),"Freedom of Expression, Human Rights Defenders")</f>
        <v>Freedom of Expression, Human Rights Defenders</v>
      </c>
      <c r="H576" s="1" t="str">
        <f ca="1">IFERROR(__xludf.DUMMYFUNCTION("""COMPUTED_VALUE"""),"2025")</f>
        <v>2025</v>
      </c>
      <c r="I576" s="1" t="str">
        <f ca="1">IFERROR(__xludf.DUMMYFUNCTION("""COMPUTED_VALUE"""),"Email")</f>
        <v>Email</v>
      </c>
    </row>
    <row r="577" spans="1:9" ht="13" x14ac:dyDescent="0.15">
      <c r="A577" s="9">
        <f ca="1">IFERROR(__xludf.DUMMYFUNCTION("""COMPUTED_VALUE"""),31464748)</f>
        <v>31464748</v>
      </c>
      <c r="B577" s="1" t="str">
        <f ca="1">IFERROR(__xludf.DUMMYFUNCTION("""COMPUTED_VALUE"""),"jmullin422@hotmail.com")</f>
        <v>jmullin422@hotmail.com</v>
      </c>
      <c r="C577" s="9" t="str">
        <f ca="1">IFERROR(__xludf.DUMMYFUNCTION("""COMPUTED_VALUE"""),"EVERGREEN - UAN Gated Content - Embedded Petition")</f>
        <v>EVERGREEN - UAN Gated Content - Embedded Petition</v>
      </c>
      <c r="D577" s="10">
        <f ca="1">IFERROR(__xludf.DUMMYFUNCTION("""COMPUTED_VALUE"""),45694)</f>
        <v>45694</v>
      </c>
      <c r="E577" s="1" t="str">
        <f ca="1">IFERROR(__xludf.DUMMYFUNCTION("""COMPUTED_VALUE"""),"Tunisia")</f>
        <v>Tunisia</v>
      </c>
      <c r="F577" s="1" t="str">
        <f ca="1">IFERROR(__xludf.DUMMYFUNCTION("""COMPUTED_VALUE"""),"Second 76.24 Tunisia")</f>
        <v>Second 76.24 Tunisia</v>
      </c>
      <c r="G577" s="1" t="str">
        <f ca="1">IFERROR(__xludf.DUMMYFUNCTION("""COMPUTED_VALUE"""),"Freedom of Expression, Human Rights Defenders")</f>
        <v>Freedom of Expression, Human Rights Defenders</v>
      </c>
      <c r="H577" s="1" t="str">
        <f ca="1">IFERROR(__xludf.DUMMYFUNCTION("""COMPUTED_VALUE"""),"2025")</f>
        <v>2025</v>
      </c>
      <c r="I577" s="1" t="str">
        <f ca="1">IFERROR(__xludf.DUMMYFUNCTION("""COMPUTED_VALUE"""),"Email")</f>
        <v>Email</v>
      </c>
    </row>
    <row r="578" spans="1:9" ht="13" x14ac:dyDescent="0.15">
      <c r="A578" s="9">
        <f ca="1">IFERROR(__xludf.DUMMYFUNCTION("""COMPUTED_VALUE"""),31464748)</f>
        <v>31464748</v>
      </c>
      <c r="B578" s="1" t="str">
        <f ca="1">IFERROR(__xludf.DUMMYFUNCTION("""COMPUTED_VALUE"""),"jmullin422@hotmail.com")</f>
        <v>jmullin422@hotmail.com</v>
      </c>
      <c r="C578" s="9" t="str">
        <f ca="1">IFERROR(__xludf.DUMMYFUNCTION("""COMPUTED_VALUE"""),"EVERGREEN - UAN Gated Content - Embedded Petition")</f>
        <v>EVERGREEN - UAN Gated Content - Embedded Petition</v>
      </c>
      <c r="D578" s="10">
        <f ca="1">IFERROR(__xludf.DUMMYFUNCTION("""COMPUTED_VALUE"""),45694)</f>
        <v>45694</v>
      </c>
      <c r="E578" s="1" t="str">
        <f ca="1">IFERROR(__xludf.DUMMYFUNCTION("""COMPUTED_VALUE"""),"China")</f>
        <v>China</v>
      </c>
      <c r="F578" s="1" t="str">
        <f ca="1">IFERROR(__xludf.DUMMYFUNCTION("""COMPUTED_VALUE"""),"98.24 China")</f>
        <v>98.24 China</v>
      </c>
      <c r="G578" s="1" t="str">
        <f ca="1">IFERROR(__xludf.DUMMYFUNCTION("""COMPUTED_VALUE"""),"Freedom of Expression, Individuals At Risk")</f>
        <v>Freedom of Expression, Individuals At Risk</v>
      </c>
      <c r="H578" s="1" t="str">
        <f ca="1">IFERROR(__xludf.DUMMYFUNCTION("""COMPUTED_VALUE"""),"2024")</f>
        <v>2024</v>
      </c>
      <c r="I578" s="1" t="str">
        <f ca="1">IFERROR(__xludf.DUMMYFUNCTION("""COMPUTED_VALUE"""),"Letter")</f>
        <v>Letter</v>
      </c>
    </row>
    <row r="579" spans="1:9" ht="13" x14ac:dyDescent="0.15">
      <c r="A579" s="9">
        <f ca="1">IFERROR(__xludf.DUMMYFUNCTION("""COMPUTED_VALUE"""),31464748)</f>
        <v>31464748</v>
      </c>
      <c r="B579" s="1" t="str">
        <f ca="1">IFERROR(__xludf.DUMMYFUNCTION("""COMPUTED_VALUE"""),"jmullin422@hotmail.com")</f>
        <v>jmullin422@hotmail.com</v>
      </c>
      <c r="C579" s="9" t="str">
        <f ca="1">IFERROR(__xludf.DUMMYFUNCTION("""COMPUTED_VALUE"""),"EVERGREEN - UAN Gated Content - Embedded Petition")</f>
        <v>EVERGREEN - UAN Gated Content - Embedded Petition</v>
      </c>
      <c r="D579" s="10">
        <f ca="1">IFERROR(__xludf.DUMMYFUNCTION("""COMPUTED_VALUE"""),45694)</f>
        <v>45694</v>
      </c>
      <c r="E579" s="1" t="str">
        <f ca="1">IFERROR(__xludf.DUMMYFUNCTION("""COMPUTED_VALUE"""),"Dominican Republic")</f>
        <v>Dominican Republic</v>
      </c>
      <c r="F579" s="1" t="str">
        <f ca="1">IFERROR(__xludf.DUMMYFUNCTION("""COMPUTED_VALUE"""),"88.24 Dominican Republic")</f>
        <v>88.24 Dominican Republic</v>
      </c>
      <c r="G579" s="1" t="str">
        <f ca="1">IFERROR(__xludf.DUMMYFUNCTION("""COMPUTED_VALUE"""),"Individuals At Risk, Refugee and Migrant Rights")</f>
        <v>Individuals At Risk, Refugee and Migrant Rights</v>
      </c>
      <c r="H579" s="1" t="str">
        <f ca="1">IFERROR(__xludf.DUMMYFUNCTION("""COMPUTED_VALUE"""),"2024")</f>
        <v>2024</v>
      </c>
      <c r="I579" s="1" t="str">
        <f ca="1">IFERROR(__xludf.DUMMYFUNCTION("""COMPUTED_VALUE"""),"Letter")</f>
        <v>Letter</v>
      </c>
    </row>
    <row r="580" spans="1:9" ht="13" x14ac:dyDescent="0.15">
      <c r="A580" s="9">
        <f ca="1">IFERROR(__xludf.DUMMYFUNCTION("""COMPUTED_VALUE"""),31464748)</f>
        <v>31464748</v>
      </c>
      <c r="B580" s="1" t="str">
        <f ca="1">IFERROR(__xludf.DUMMYFUNCTION("""COMPUTED_VALUE"""),"jmullin422@hotmail.com")</f>
        <v>jmullin422@hotmail.com</v>
      </c>
      <c r="C580" s="9" t="str">
        <f ca="1">IFERROR(__xludf.DUMMYFUNCTION("""COMPUTED_VALUE"""),"EVERGREEN - UAN Gated Content - Embedded Petition")</f>
        <v>EVERGREEN - UAN Gated Content - Embedded Petition</v>
      </c>
      <c r="D580" s="10">
        <f ca="1">IFERROR(__xludf.DUMMYFUNCTION("""COMPUTED_VALUE"""),45678)</f>
        <v>45678</v>
      </c>
      <c r="E580" s="1" t="str">
        <f ca="1">IFERROR(__xludf.DUMMYFUNCTION("""COMPUTED_VALUE"""),"Egypt")</f>
        <v>Egypt</v>
      </c>
      <c r="F580" s="1" t="str">
        <f ca="1">IFERROR(__xludf.DUMMYFUNCTION("""COMPUTED_VALUE"""),"Ninth 190.18 Egypt")</f>
        <v>Ninth 190.18 Egypt</v>
      </c>
      <c r="G580" s="1" t="str">
        <f ca="1">IFERROR(__xludf.DUMMYFUNCTION("""COMPUTED_VALUE"""),"Freedom of Expression, Individuals At Risk")</f>
        <v>Freedom of Expression, Individuals At Risk</v>
      </c>
      <c r="H580" s="1" t="str">
        <f ca="1">IFERROR(__xludf.DUMMYFUNCTION("""COMPUTED_VALUE"""),"2024")</f>
        <v>2024</v>
      </c>
      <c r="I580" s="1" t="str">
        <f ca="1">IFERROR(__xludf.DUMMYFUNCTION("""COMPUTED_VALUE"""),"Letter")</f>
        <v>Letter</v>
      </c>
    </row>
    <row r="581" spans="1:9" ht="13" x14ac:dyDescent="0.15">
      <c r="A581" s="9">
        <f ca="1">IFERROR(__xludf.DUMMYFUNCTION("""COMPUTED_VALUE"""),31464748)</f>
        <v>31464748</v>
      </c>
      <c r="B581" s="1" t="str">
        <f ca="1">IFERROR(__xludf.DUMMYFUNCTION("""COMPUTED_VALUE"""),"jmullin422@hotmail.com")</f>
        <v>jmullin422@hotmail.com</v>
      </c>
      <c r="C581" s="9" t="str">
        <f ca="1">IFERROR(__xludf.DUMMYFUNCTION("""COMPUTED_VALUE"""),"EVERGREEN - UAN Gated Content - Embedded Petition")</f>
        <v>EVERGREEN - UAN Gated Content - Embedded Petition</v>
      </c>
      <c r="D581" s="10">
        <f ca="1">IFERROR(__xludf.DUMMYFUNCTION("""COMPUTED_VALUE"""),45678)</f>
        <v>45678</v>
      </c>
      <c r="E581" s="1" t="str">
        <f ca="1">IFERROR(__xludf.DUMMYFUNCTION("""COMPUTED_VALUE"""),"Russian Federation")</f>
        <v>Russian Federation</v>
      </c>
      <c r="F581" s="1" t="str">
        <f ca="1">IFERROR(__xludf.DUMMYFUNCTION("""COMPUTED_VALUE"""),"Second 23.24 Russia")</f>
        <v>Second 23.24 Russia</v>
      </c>
      <c r="G581" s="1" t="str">
        <f ca="1">IFERROR(__xludf.DUMMYFUNCTION("""COMPUTED_VALUE"""),"Freedom of Expression")</f>
        <v>Freedom of Expression</v>
      </c>
      <c r="H581" s="1" t="str">
        <f ca="1">IFERROR(__xludf.DUMMYFUNCTION("""COMPUTED_VALUE"""),"2024")</f>
        <v>2024</v>
      </c>
      <c r="I581" s="1" t="str">
        <f ca="1">IFERROR(__xludf.DUMMYFUNCTION("""COMPUTED_VALUE"""),"Letter")</f>
        <v>Letter</v>
      </c>
    </row>
    <row r="582" spans="1:9" ht="13" x14ac:dyDescent="0.15">
      <c r="A582" s="9">
        <f ca="1">IFERROR(__xludf.DUMMYFUNCTION("""COMPUTED_VALUE"""),31464748)</f>
        <v>31464748</v>
      </c>
      <c r="B582" s="1" t="str">
        <f ca="1">IFERROR(__xludf.DUMMYFUNCTION("""COMPUTED_VALUE"""),"jmullin422@hotmail.com")</f>
        <v>jmullin422@hotmail.com</v>
      </c>
      <c r="C582" s="9" t="str">
        <f ca="1">IFERROR(__xludf.DUMMYFUNCTION("""COMPUTED_VALUE"""),"EVERGREEN - UAN Gated Content - Embedded Petition")</f>
        <v>EVERGREEN - UAN Gated Content - Embedded Petition</v>
      </c>
      <c r="D582" s="10">
        <f ca="1">IFERROR(__xludf.DUMMYFUNCTION("""COMPUTED_VALUE"""),45659)</f>
        <v>45659</v>
      </c>
      <c r="E582" s="1" t="str">
        <f ca="1">IFERROR(__xludf.DUMMYFUNCTION("""COMPUTED_VALUE"""),"Iran")</f>
        <v>Iran</v>
      </c>
      <c r="F582" s="1" t="str">
        <f ca="1">IFERROR(__xludf.DUMMYFUNCTION("""COMPUTED_VALUE"""),"Seventh 103.22 Iran")</f>
        <v>Seventh 103.22 Iran</v>
      </c>
      <c r="G582" s="1" t="str">
        <f ca="1">IFERROR(__xludf.DUMMYFUNCTION("""COMPUTED_VALUE"""),"Death Penalty, Freedom of Expression, Individuals At Risk")</f>
        <v>Death Penalty, Freedom of Expression, Individuals At Risk</v>
      </c>
      <c r="H582" s="1" t="str">
        <f ca="1">IFERROR(__xludf.DUMMYFUNCTION("""COMPUTED_VALUE"""),"2024")</f>
        <v>2024</v>
      </c>
      <c r="I582" s="1" t="str">
        <f ca="1">IFERROR(__xludf.DUMMYFUNCTION("""COMPUTED_VALUE"""),"Email")</f>
        <v>Email</v>
      </c>
    </row>
    <row r="583" spans="1:9" ht="13" x14ac:dyDescent="0.15">
      <c r="A583" s="9">
        <f ca="1">IFERROR(__xludf.DUMMYFUNCTION("""COMPUTED_VALUE"""),31464748)</f>
        <v>31464748</v>
      </c>
      <c r="B583" s="1" t="str">
        <f ca="1">IFERROR(__xludf.DUMMYFUNCTION("""COMPUTED_VALUE"""),"jmullin422@hotmail.com")</f>
        <v>jmullin422@hotmail.com</v>
      </c>
      <c r="C583" s="9" t="str">
        <f ca="1">IFERROR(__xludf.DUMMYFUNCTION("""COMPUTED_VALUE"""),"EVERGREEN - UAN Gated Content - Embedded Petition")</f>
        <v>EVERGREEN - UAN Gated Content - Embedded Petition</v>
      </c>
      <c r="D583" s="10">
        <f ca="1">IFERROR(__xludf.DUMMYFUNCTION("""COMPUTED_VALUE"""),45630)</f>
        <v>45630</v>
      </c>
      <c r="E583" s="1" t="str">
        <f ca="1">IFERROR(__xludf.DUMMYFUNCTION("""COMPUTED_VALUE"""),"Niger")</f>
        <v>Niger</v>
      </c>
      <c r="F583" s="1" t="str">
        <f ca="1">IFERROR(__xludf.DUMMYFUNCTION("""COMPUTED_VALUE"""),"103.24 Niger")</f>
        <v>103.24 Niger</v>
      </c>
      <c r="G583" s="1" t="str">
        <f ca="1">IFERROR(__xludf.DUMMYFUNCTION("""COMPUTED_VALUE"""),"Freedom of Expression, Human Rights Defenders")</f>
        <v>Freedom of Expression, Human Rights Defenders</v>
      </c>
      <c r="H583" s="1" t="str">
        <f ca="1">IFERROR(__xludf.DUMMYFUNCTION("""COMPUTED_VALUE"""),"2024")</f>
        <v>2024</v>
      </c>
      <c r="I583" s="1" t="str">
        <f ca="1">IFERROR(__xludf.DUMMYFUNCTION("""COMPUTED_VALUE"""),"Email")</f>
        <v>Email</v>
      </c>
    </row>
    <row r="584" spans="1:9" ht="13" x14ac:dyDescent="0.15">
      <c r="A584" s="9">
        <f ca="1">IFERROR(__xludf.DUMMYFUNCTION("""COMPUTED_VALUE"""),31464748)</f>
        <v>31464748</v>
      </c>
      <c r="B584" s="1" t="str">
        <f ca="1">IFERROR(__xludf.DUMMYFUNCTION("""COMPUTED_VALUE"""),"jmullin422@hotmail.com")</f>
        <v>jmullin422@hotmail.com</v>
      </c>
      <c r="C584" s="9" t="str">
        <f ca="1">IFERROR(__xludf.DUMMYFUNCTION("""COMPUTED_VALUE"""),"EVERGREEN - UAN Gated Content - Embedded Petition")</f>
        <v>EVERGREEN - UAN Gated Content - Embedded Petition</v>
      </c>
      <c r="D584" s="10">
        <f ca="1">IFERROR(__xludf.DUMMYFUNCTION("""COMPUTED_VALUE"""),45616)</f>
        <v>45616</v>
      </c>
      <c r="E584" s="1" t="str">
        <f ca="1">IFERROR(__xludf.DUMMYFUNCTION("""COMPUTED_VALUE"""),"Tunisia")</f>
        <v>Tunisia</v>
      </c>
      <c r="F584" s="1" t="str">
        <f ca="1">IFERROR(__xludf.DUMMYFUNCTION("""COMPUTED_VALUE"""),"Second 76.24 Tunisia")</f>
        <v>Second 76.24 Tunisia</v>
      </c>
      <c r="G584" s="1" t="str">
        <f ca="1">IFERROR(__xludf.DUMMYFUNCTION("""COMPUTED_VALUE"""),"Freedom of Expression, Human Rights Defenders")</f>
        <v>Freedom of Expression, Human Rights Defenders</v>
      </c>
      <c r="H584" s="1" t="str">
        <f ca="1">IFERROR(__xludf.DUMMYFUNCTION("""COMPUTED_VALUE"""),"2025")</f>
        <v>2025</v>
      </c>
      <c r="I584" s="1" t="str">
        <f ca="1">IFERROR(__xludf.DUMMYFUNCTION("""COMPUTED_VALUE"""),"Email")</f>
        <v>Email</v>
      </c>
    </row>
    <row r="585" spans="1:9" ht="13" x14ac:dyDescent="0.15">
      <c r="A585" s="9">
        <f ca="1">IFERROR(__xludf.DUMMYFUNCTION("""COMPUTED_VALUE"""),31464748)</f>
        <v>31464748</v>
      </c>
      <c r="B585" s="1" t="str">
        <f ca="1">IFERROR(__xludf.DUMMYFUNCTION("""COMPUTED_VALUE"""),"jmullin422@hotmail.com")</f>
        <v>jmullin422@hotmail.com</v>
      </c>
      <c r="C585" s="9" t="str">
        <f ca="1">IFERROR(__xludf.DUMMYFUNCTION("""COMPUTED_VALUE"""),"EVERGREEN - UAN Gated Content - Embedded Petition")</f>
        <v>EVERGREEN - UAN Gated Content - Embedded Petition</v>
      </c>
      <c r="D585" s="10">
        <f ca="1">IFERROR(__xludf.DUMMYFUNCTION("""COMPUTED_VALUE"""),45635)</f>
        <v>45635</v>
      </c>
      <c r="E585" s="1" t="str">
        <f ca="1">IFERROR(__xludf.DUMMYFUNCTION("""COMPUTED_VALUE"""),"Turkiye")</f>
        <v>Turkiye</v>
      </c>
      <c r="F585" s="1" t="str">
        <f ca="1">IFERROR(__xludf.DUMMYFUNCTION("""COMPUTED_VALUE"""),"Second 109.24 Türkiye")</f>
        <v>Second 109.24 Türkiye</v>
      </c>
      <c r="G585" s="1" t="str">
        <f ca="1">IFERROR(__xludf.DUMMYFUNCTION("""COMPUTED_VALUE"""),"Human Rights Defenders")</f>
        <v>Human Rights Defenders</v>
      </c>
      <c r="H585" s="1" t="str">
        <f ca="1">IFERROR(__xludf.DUMMYFUNCTION("""COMPUTED_VALUE"""),"2025")</f>
        <v>2025</v>
      </c>
      <c r="I585" s="1" t="str">
        <f ca="1">IFERROR(__xludf.DUMMYFUNCTION("""COMPUTED_VALUE"""),"Email")</f>
        <v>Email</v>
      </c>
    </row>
    <row r="586" spans="1:9" ht="13" x14ac:dyDescent="0.15">
      <c r="A586" s="9">
        <f ca="1">IFERROR(__xludf.DUMMYFUNCTION("""COMPUTED_VALUE"""),31464748)</f>
        <v>31464748</v>
      </c>
      <c r="B586" s="1" t="str">
        <f ca="1">IFERROR(__xludf.DUMMYFUNCTION("""COMPUTED_VALUE"""),"jmullin422@hotmail.com")</f>
        <v>jmullin422@hotmail.com</v>
      </c>
      <c r="C586" s="9" t="str">
        <f ca="1">IFERROR(__xludf.DUMMYFUNCTION("""COMPUTED_VALUE"""),"EVERGREEN - UAN Gated Content - Embedded Petition")</f>
        <v>EVERGREEN - UAN Gated Content - Embedded Petition</v>
      </c>
      <c r="D586" s="10">
        <f ca="1">IFERROR(__xludf.DUMMYFUNCTION("""COMPUTED_VALUE"""),45635)</f>
        <v>45635</v>
      </c>
      <c r="E586" s="1" t="str">
        <f ca="1">IFERROR(__xludf.DUMMYFUNCTION("""COMPUTED_VALUE"""),"Colombia")</f>
        <v>Colombia</v>
      </c>
      <c r="F586" s="1" t="str">
        <f ca="1">IFERROR(__xludf.DUMMYFUNCTION("""COMPUTED_VALUE"""),"5.25 Colombia")</f>
        <v>5.25 Colombia</v>
      </c>
      <c r="G586" s="1" t="str">
        <f ca="1">IFERROR(__xludf.DUMMYFUNCTION("""COMPUTED_VALUE"""),"Human Rights Defenders, Individuals At Risk")</f>
        <v>Human Rights Defenders, Individuals At Risk</v>
      </c>
      <c r="H586" s="1" t="str">
        <f ca="1">IFERROR(__xludf.DUMMYFUNCTION("""COMPUTED_VALUE"""),"2025")</f>
        <v>2025</v>
      </c>
      <c r="I586" s="1" t="str">
        <f ca="1">IFERROR(__xludf.DUMMYFUNCTION("""COMPUTED_VALUE"""),"Email")</f>
        <v>Email</v>
      </c>
    </row>
    <row r="587" spans="1:9" ht="13" x14ac:dyDescent="0.15">
      <c r="A587" s="9">
        <f ca="1">IFERROR(__xludf.DUMMYFUNCTION("""COMPUTED_VALUE"""),31464748)</f>
        <v>31464748</v>
      </c>
      <c r="B587" s="1" t="str">
        <f ca="1">IFERROR(__xludf.DUMMYFUNCTION("""COMPUTED_VALUE"""),"jmullin422@hotmail.com")</f>
        <v>jmullin422@hotmail.com</v>
      </c>
      <c r="C587" s="9" t="str">
        <f ca="1">IFERROR(__xludf.DUMMYFUNCTION("""COMPUTED_VALUE"""),"EVERGREEN - UAN Gated Content - Embedded Petition")</f>
        <v>EVERGREEN - UAN Gated Content - Embedded Petition</v>
      </c>
      <c r="D587" s="10">
        <f ca="1">IFERROR(__xludf.DUMMYFUNCTION("""COMPUTED_VALUE"""),45635)</f>
        <v>45635</v>
      </c>
      <c r="E587" s="1" t="str">
        <f ca="1">IFERROR(__xludf.DUMMYFUNCTION("""COMPUTED_VALUE"""),"Colombia")</f>
        <v>Colombia</v>
      </c>
      <c r="F587" s="1" t="str">
        <f ca="1">IFERROR(__xludf.DUMMYFUNCTION("""COMPUTED_VALUE"""),"Third 12.24 Colombia")</f>
        <v>Third 12.24 Colombia</v>
      </c>
      <c r="G587" s="1" t="str">
        <f ca="1">IFERROR(__xludf.DUMMYFUNCTION("""COMPUTED_VALUE"""),"Human Rights Defenders, Individuals At Risk")</f>
        <v>Human Rights Defenders, Individuals At Risk</v>
      </c>
      <c r="H587" s="1" t="str">
        <f ca="1">IFERROR(__xludf.DUMMYFUNCTION("""COMPUTED_VALUE"""),"2025")</f>
        <v>2025</v>
      </c>
      <c r="I587" s="1" t="str">
        <f ca="1">IFERROR(__xludf.DUMMYFUNCTION("""COMPUTED_VALUE"""),"Email")</f>
        <v>Email</v>
      </c>
    </row>
    <row r="588" spans="1:9" ht="13" x14ac:dyDescent="0.15">
      <c r="A588" s="9">
        <f ca="1">IFERROR(__xludf.DUMMYFUNCTION("""COMPUTED_VALUE"""),31464748)</f>
        <v>31464748</v>
      </c>
      <c r="B588" s="1" t="str">
        <f ca="1">IFERROR(__xludf.DUMMYFUNCTION("""COMPUTED_VALUE"""),"jmullin422@hotmail.com")</f>
        <v>jmullin422@hotmail.com</v>
      </c>
      <c r="C588" s="9" t="str">
        <f ca="1">IFERROR(__xludf.DUMMYFUNCTION("""COMPUTED_VALUE"""),"EVERGREEN - UAN Gated Content - Embedded Petition")</f>
        <v>EVERGREEN - UAN Gated Content - Embedded Petition</v>
      </c>
      <c r="D588" s="10">
        <f ca="1">IFERROR(__xludf.DUMMYFUNCTION("""COMPUTED_VALUE"""),45635)</f>
        <v>45635</v>
      </c>
      <c r="E588" s="1" t="str">
        <f ca="1">IFERROR(__xludf.DUMMYFUNCTION("""COMPUTED_VALUE"""),"Venezuela")</f>
        <v>Venezuela</v>
      </c>
      <c r="F588" s="1" t="str">
        <f ca="1">IFERROR(__xludf.DUMMYFUNCTION("""COMPUTED_VALUE"""),"1.25 Venezuela")</f>
        <v>1.25 Venezuela</v>
      </c>
      <c r="G588" s="1" t="str">
        <f ca="1">IFERROR(__xludf.DUMMYFUNCTION("""COMPUTED_VALUE"""),"Human Rights Defenders, Individuals At Risk")</f>
        <v>Human Rights Defenders, Individuals At Risk</v>
      </c>
      <c r="H588" s="1" t="str">
        <f ca="1">IFERROR(__xludf.DUMMYFUNCTION("""COMPUTED_VALUE"""),"2025")</f>
        <v>2025</v>
      </c>
      <c r="I588" s="1" t="str">
        <f ca="1">IFERROR(__xludf.DUMMYFUNCTION("""COMPUTED_VALUE"""),"Letter")</f>
        <v>Letter</v>
      </c>
    </row>
    <row r="589" spans="1:9" ht="13" x14ac:dyDescent="0.15">
      <c r="A589" s="9">
        <f ca="1">IFERROR(__xludf.DUMMYFUNCTION("""COMPUTED_VALUE"""),31464748)</f>
        <v>31464748</v>
      </c>
      <c r="B589" s="1" t="str">
        <f ca="1">IFERROR(__xludf.DUMMYFUNCTION("""COMPUTED_VALUE"""),"jmullin422@hotmail.com")</f>
        <v>jmullin422@hotmail.com</v>
      </c>
      <c r="C589" s="9" t="str">
        <f ca="1">IFERROR(__xludf.DUMMYFUNCTION("""COMPUTED_VALUE"""),"EVERGREEN - UAN Gated Content - Embedded Petition")</f>
        <v>EVERGREEN - UAN Gated Content - Embedded Petition</v>
      </c>
      <c r="D589" s="10">
        <f ca="1">IFERROR(__xludf.DUMMYFUNCTION("""COMPUTED_VALUE"""),45635)</f>
        <v>45635</v>
      </c>
      <c r="E589" s="1" t="str">
        <f ca="1">IFERROR(__xludf.DUMMYFUNCTION("""COMPUTED_VALUE"""),"Azerbaijan")</f>
        <v>Azerbaijan</v>
      </c>
      <c r="F589" s="1" t="str">
        <f ca="1">IFERROR(__xludf.DUMMYFUNCTION("""COMPUTED_VALUE"""),"2.25 Azerbaijan")</f>
        <v>2.25 Azerbaijan</v>
      </c>
      <c r="G589" s="1" t="str">
        <f ca="1">IFERROR(__xludf.DUMMYFUNCTION("""COMPUTED_VALUE"""),"Freedom of Expression, Human Rights Defenders")</f>
        <v>Freedom of Expression, Human Rights Defenders</v>
      </c>
      <c r="H589" s="1" t="str">
        <f ca="1">IFERROR(__xludf.DUMMYFUNCTION("""COMPUTED_VALUE"""),"2025")</f>
        <v>2025</v>
      </c>
      <c r="I589" s="1" t="str">
        <f ca="1">IFERROR(__xludf.DUMMYFUNCTION("""COMPUTED_VALUE"""),"Email")</f>
        <v>Email</v>
      </c>
    </row>
    <row r="590" spans="1:9" ht="13" x14ac:dyDescent="0.15">
      <c r="A590" s="9">
        <f ca="1">IFERROR(__xludf.DUMMYFUNCTION("""COMPUTED_VALUE"""),31464748)</f>
        <v>31464748</v>
      </c>
      <c r="B590" s="1" t="str">
        <f ca="1">IFERROR(__xludf.DUMMYFUNCTION("""COMPUTED_VALUE"""),"jmullin422@hotmail.com")</f>
        <v>jmullin422@hotmail.com</v>
      </c>
      <c r="C590" s="9" t="str">
        <f ca="1">IFERROR(__xludf.DUMMYFUNCTION("""COMPUTED_VALUE"""),"EVERGREEN - UAN Gated Content - Embedded Petition")</f>
        <v>EVERGREEN - UAN Gated Content - Embedded Petition</v>
      </c>
      <c r="D590" s="10">
        <f ca="1">IFERROR(__xludf.DUMMYFUNCTION("""COMPUTED_VALUE"""),45665)</f>
        <v>45665</v>
      </c>
      <c r="E590" s="1" t="str">
        <f ca="1">IFERROR(__xludf.DUMMYFUNCTION("""COMPUTED_VALUE"""),"Tunisia")</f>
        <v>Tunisia</v>
      </c>
      <c r="F590" s="1" t="str">
        <f ca="1">IFERROR(__xludf.DUMMYFUNCTION("""COMPUTED_VALUE"""),"Second 76.24 Tunisia")</f>
        <v>Second 76.24 Tunisia</v>
      </c>
      <c r="G590" s="1" t="str">
        <f ca="1">IFERROR(__xludf.DUMMYFUNCTION("""COMPUTED_VALUE"""),"Freedom of Expression, Human Rights Defenders")</f>
        <v>Freedom of Expression, Human Rights Defenders</v>
      </c>
      <c r="H590" s="1" t="str">
        <f ca="1">IFERROR(__xludf.DUMMYFUNCTION("""COMPUTED_VALUE"""),"2025")</f>
        <v>2025</v>
      </c>
      <c r="I590" s="1" t="str">
        <f ca="1">IFERROR(__xludf.DUMMYFUNCTION("""COMPUTED_VALUE"""),"Email")</f>
        <v>Email</v>
      </c>
    </row>
    <row r="591" spans="1:9" ht="13" x14ac:dyDescent="0.15">
      <c r="A591" s="9">
        <f ca="1">IFERROR(__xludf.DUMMYFUNCTION("""COMPUTED_VALUE"""),31464748)</f>
        <v>31464748</v>
      </c>
      <c r="B591" s="1" t="str">
        <f ca="1">IFERROR(__xludf.DUMMYFUNCTION("""COMPUTED_VALUE"""),"jmullin422@hotmail.com")</f>
        <v>jmullin422@hotmail.com</v>
      </c>
      <c r="C591" s="9" t="str">
        <f ca="1">IFERROR(__xludf.DUMMYFUNCTION("""COMPUTED_VALUE"""),"EVERGREEN - UAN Gated Content - Embedded Petition")</f>
        <v>EVERGREEN - UAN Gated Content - Embedded Petition</v>
      </c>
      <c r="D591" s="10">
        <f ca="1">IFERROR(__xludf.DUMMYFUNCTION("""COMPUTED_VALUE"""),45665)</f>
        <v>45665</v>
      </c>
      <c r="E591" s="1" t="str">
        <f ca="1">IFERROR(__xludf.DUMMYFUNCTION("""COMPUTED_VALUE"""),"Libya")</f>
        <v>Libya</v>
      </c>
      <c r="F591" s="1" t="str">
        <f ca="1">IFERROR(__xludf.DUMMYFUNCTION("""COMPUTED_VALUE"""),"12.25 Libya")</f>
        <v>12.25 Libya</v>
      </c>
      <c r="G591" s="1" t="str">
        <f ca="1">IFERROR(__xludf.DUMMYFUNCTION("""COMPUTED_VALUE"""),"Freedom of Expression, Health, Individuals At Risk")</f>
        <v>Freedom of Expression, Health, Individuals At Risk</v>
      </c>
      <c r="H591" s="1" t="str">
        <f ca="1">IFERROR(__xludf.DUMMYFUNCTION("""COMPUTED_VALUE"""),"2025")</f>
        <v>2025</v>
      </c>
      <c r="I591" s="1" t="str">
        <f ca="1">IFERROR(__xludf.DUMMYFUNCTION("""COMPUTED_VALUE"""),"Email")</f>
        <v>Email</v>
      </c>
    </row>
    <row r="592" spans="1:9" ht="13" x14ac:dyDescent="0.15">
      <c r="A592" s="9">
        <f ca="1">IFERROR(__xludf.DUMMYFUNCTION("""COMPUTED_VALUE"""),31464748)</f>
        <v>31464748</v>
      </c>
      <c r="B592" s="1" t="str">
        <f ca="1">IFERROR(__xludf.DUMMYFUNCTION("""COMPUTED_VALUE"""),"jmullin422@hotmail.com")</f>
        <v>jmullin422@hotmail.com</v>
      </c>
      <c r="C592" s="9" t="str">
        <f ca="1">IFERROR(__xludf.DUMMYFUNCTION("""COMPUTED_VALUE"""),"EVERGREEN - UAN Gated Content - Embedded Petition")</f>
        <v>EVERGREEN - UAN Gated Content - Embedded Petition</v>
      </c>
      <c r="D592" s="10">
        <f ca="1">IFERROR(__xludf.DUMMYFUNCTION("""COMPUTED_VALUE"""),45668)</f>
        <v>45668</v>
      </c>
      <c r="E592" s="1" t="str">
        <f ca="1">IFERROR(__xludf.DUMMYFUNCTION("""COMPUTED_VALUE"""),"USA")</f>
        <v>USA</v>
      </c>
      <c r="F592" s="1" t="str">
        <f ca="1">IFERROR(__xludf.DUMMYFUNCTION("""COMPUTED_VALUE"""),"4.25 USA")</f>
        <v>4.25 USA</v>
      </c>
      <c r="G592" s="1" t="str">
        <f ca="1">IFERROR(__xludf.DUMMYFUNCTION("""COMPUTED_VALUE"""),"Individuals At Risk, Refugee and Migrant Rights")</f>
        <v>Individuals At Risk, Refugee and Migrant Rights</v>
      </c>
      <c r="H592" s="1" t="str">
        <f ca="1">IFERROR(__xludf.DUMMYFUNCTION("""COMPUTED_VALUE"""),"2025")</f>
        <v>2025</v>
      </c>
      <c r="I592" s="1" t="str">
        <f ca="1">IFERROR(__xludf.DUMMYFUNCTION("""COMPUTED_VALUE"""),"Letter")</f>
        <v>Letter</v>
      </c>
    </row>
    <row r="593" spans="1:9" ht="13" x14ac:dyDescent="0.15">
      <c r="A593" s="9">
        <f ca="1">IFERROR(__xludf.DUMMYFUNCTION("""COMPUTED_VALUE"""),31464748)</f>
        <v>31464748</v>
      </c>
      <c r="B593" s="1" t="str">
        <f ca="1">IFERROR(__xludf.DUMMYFUNCTION("""COMPUTED_VALUE"""),"jmullin422@hotmail.com")</f>
        <v>jmullin422@hotmail.com</v>
      </c>
      <c r="C593" s="9" t="str">
        <f ca="1">IFERROR(__xludf.DUMMYFUNCTION("""COMPUTED_VALUE"""),"EVERGREEN - UAN Gated Content - Embedded Petition")</f>
        <v>EVERGREEN - UAN Gated Content - Embedded Petition</v>
      </c>
      <c r="D593" s="10">
        <f ca="1">IFERROR(__xludf.DUMMYFUNCTION("""COMPUTED_VALUE"""),45639)</f>
        <v>45639</v>
      </c>
      <c r="E593" s="1" t="str">
        <f ca="1">IFERROR(__xludf.DUMMYFUNCTION("""COMPUTED_VALUE"""),"Tunisia")</f>
        <v>Tunisia</v>
      </c>
      <c r="F593" s="1" t="str">
        <f ca="1">IFERROR(__xludf.DUMMYFUNCTION("""COMPUTED_VALUE"""),"Second 76.24 Tunisia")</f>
        <v>Second 76.24 Tunisia</v>
      </c>
      <c r="G593" s="1" t="str">
        <f ca="1">IFERROR(__xludf.DUMMYFUNCTION("""COMPUTED_VALUE"""),"Freedom of Expression, Human Rights Defenders")</f>
        <v>Freedom of Expression, Human Rights Defenders</v>
      </c>
      <c r="H593" s="1" t="str">
        <f ca="1">IFERROR(__xludf.DUMMYFUNCTION("""COMPUTED_VALUE"""),"2025")</f>
        <v>2025</v>
      </c>
      <c r="I593" s="1" t="str">
        <f ca="1">IFERROR(__xludf.DUMMYFUNCTION("""COMPUTED_VALUE"""),"Email")</f>
        <v>Email</v>
      </c>
    </row>
    <row r="594" spans="1:9" ht="13" x14ac:dyDescent="0.15">
      <c r="A594" s="9">
        <f ca="1">IFERROR(__xludf.DUMMYFUNCTION("""COMPUTED_VALUE"""),31464748)</f>
        <v>31464748</v>
      </c>
      <c r="B594" s="1" t="str">
        <f ca="1">IFERROR(__xludf.DUMMYFUNCTION("""COMPUTED_VALUE"""),"jmullin422@hotmail.com")</f>
        <v>jmullin422@hotmail.com</v>
      </c>
      <c r="C594" s="9" t="str">
        <f ca="1">IFERROR(__xludf.DUMMYFUNCTION("""COMPUTED_VALUE"""),"EVERGREEN - UAN Gated Content - Embedded Petition")</f>
        <v>EVERGREEN - UAN Gated Content - Embedded Petition</v>
      </c>
      <c r="D594" s="10">
        <f ca="1">IFERROR(__xludf.DUMMYFUNCTION("""COMPUTED_VALUE"""),45637)</f>
        <v>45637</v>
      </c>
      <c r="E594" s="1" t="str">
        <f ca="1">IFERROR(__xludf.DUMMYFUNCTION("""COMPUTED_VALUE"""),"Egypt")</f>
        <v>Egypt</v>
      </c>
      <c r="F594" s="1" t="str">
        <f ca="1">IFERROR(__xludf.DUMMYFUNCTION("""COMPUTED_VALUE"""),"Ninth 190.18 Egypt")</f>
        <v>Ninth 190.18 Egypt</v>
      </c>
      <c r="G594" s="1" t="str">
        <f ca="1">IFERROR(__xludf.DUMMYFUNCTION("""COMPUTED_VALUE"""),"Freedom of Expression, Individuals At Risk")</f>
        <v>Freedom of Expression, Individuals At Risk</v>
      </c>
      <c r="H594" s="1" t="str">
        <f ca="1">IFERROR(__xludf.DUMMYFUNCTION("""COMPUTED_VALUE"""),"2024")</f>
        <v>2024</v>
      </c>
      <c r="I594" s="1" t="str">
        <f ca="1">IFERROR(__xludf.DUMMYFUNCTION("""COMPUTED_VALUE"""),"Letter")</f>
        <v>Letter</v>
      </c>
    </row>
    <row r="595" spans="1:9" ht="13" x14ac:dyDescent="0.15">
      <c r="A595" s="9">
        <f ca="1">IFERROR(__xludf.DUMMYFUNCTION("""COMPUTED_VALUE"""),31464748)</f>
        <v>31464748</v>
      </c>
      <c r="B595" s="1" t="str">
        <f ca="1">IFERROR(__xludf.DUMMYFUNCTION("""COMPUTED_VALUE"""),"jmullin422@hotmail.com")</f>
        <v>jmullin422@hotmail.com</v>
      </c>
      <c r="C595" s="9" t="str">
        <f ca="1">IFERROR(__xludf.DUMMYFUNCTION("""COMPUTED_VALUE"""),"EVERGREEN - UAN Gated Content - Embedded Petition")</f>
        <v>EVERGREEN - UAN Gated Content - Embedded Petition</v>
      </c>
      <c r="D595" s="10">
        <f ca="1">IFERROR(__xludf.DUMMYFUNCTION("""COMPUTED_VALUE"""),45676)</f>
        <v>45676</v>
      </c>
      <c r="E595" s="1" t="str">
        <f ca="1">IFERROR(__xludf.DUMMYFUNCTION("""COMPUTED_VALUE"""),"Egypt")</f>
        <v>Egypt</v>
      </c>
      <c r="F595" s="1" t="str">
        <f ca="1">IFERROR(__xludf.DUMMYFUNCTION("""COMPUTED_VALUE"""),"Ninth 190.18 Egypt")</f>
        <v>Ninth 190.18 Egypt</v>
      </c>
      <c r="G595" s="1" t="str">
        <f ca="1">IFERROR(__xludf.DUMMYFUNCTION("""COMPUTED_VALUE"""),"Freedom of Expression, Individuals At Risk")</f>
        <v>Freedom of Expression, Individuals At Risk</v>
      </c>
      <c r="H595" s="1" t="str">
        <f ca="1">IFERROR(__xludf.DUMMYFUNCTION("""COMPUTED_VALUE"""),"2024")</f>
        <v>2024</v>
      </c>
      <c r="I595" s="1" t="str">
        <f ca="1">IFERROR(__xludf.DUMMYFUNCTION("""COMPUTED_VALUE"""),"Letter")</f>
        <v>Letter</v>
      </c>
    </row>
    <row r="596" spans="1:9" ht="13" x14ac:dyDescent="0.15">
      <c r="A596" s="9">
        <f ca="1">IFERROR(__xludf.DUMMYFUNCTION("""COMPUTED_VALUE"""),31464748)</f>
        <v>31464748</v>
      </c>
      <c r="B596" s="1" t="str">
        <f ca="1">IFERROR(__xludf.DUMMYFUNCTION("""COMPUTED_VALUE"""),"jmullin422@hotmail.com")</f>
        <v>jmullin422@hotmail.com</v>
      </c>
      <c r="C596" s="9" t="str">
        <f ca="1">IFERROR(__xludf.DUMMYFUNCTION("""COMPUTED_VALUE"""),"EVERGREEN - UAN Gated Content - Embedded Petition")</f>
        <v>EVERGREEN - UAN Gated Content - Embedded Petition</v>
      </c>
      <c r="D596" s="10">
        <f ca="1">IFERROR(__xludf.DUMMYFUNCTION("""COMPUTED_VALUE"""),45671)</f>
        <v>45671</v>
      </c>
      <c r="E596" s="1" t="str">
        <f ca="1">IFERROR(__xludf.DUMMYFUNCTION("""COMPUTED_VALUE"""),"USA")</f>
        <v>USA</v>
      </c>
      <c r="F596" s="1" t="str">
        <f ca="1">IFERROR(__xludf.DUMMYFUNCTION("""COMPUTED_VALUE"""),"105.24 USA")</f>
        <v>105.24 USA</v>
      </c>
      <c r="G596" s="1" t="str">
        <f ca="1">IFERROR(__xludf.DUMMYFUNCTION("""COMPUTED_VALUE"""),"Death Penalty")</f>
        <v>Death Penalty</v>
      </c>
      <c r="H596" s="1" t="str">
        <f ca="1">IFERROR(__xludf.DUMMYFUNCTION("""COMPUTED_VALUE"""),"2024")</f>
        <v>2024</v>
      </c>
      <c r="I596" s="1" t="str">
        <f ca="1">IFERROR(__xludf.DUMMYFUNCTION("""COMPUTED_VALUE"""),"Email")</f>
        <v>Email</v>
      </c>
    </row>
    <row r="597" spans="1:9" ht="13" x14ac:dyDescent="0.15">
      <c r="A597" s="9">
        <f ca="1">IFERROR(__xludf.DUMMYFUNCTION("""COMPUTED_VALUE"""),31464748)</f>
        <v>31464748</v>
      </c>
      <c r="B597" s="1" t="str">
        <f ca="1">IFERROR(__xludf.DUMMYFUNCTION("""COMPUTED_VALUE"""),"jmullin422@hotmail.com")</f>
        <v>jmullin422@hotmail.com</v>
      </c>
      <c r="C597" s="9" t="str">
        <f ca="1">IFERROR(__xludf.DUMMYFUNCTION("""COMPUTED_VALUE"""),"EVERGREEN - UAN Gated Content - Embedded Petition")</f>
        <v>EVERGREEN - UAN Gated Content - Embedded Petition</v>
      </c>
      <c r="D597" s="10">
        <f ca="1">IFERROR(__xludf.DUMMYFUNCTION("""COMPUTED_VALUE"""),45671)</f>
        <v>45671</v>
      </c>
      <c r="E597" s="1" t="str">
        <f ca="1">IFERROR(__xludf.DUMMYFUNCTION("""COMPUTED_VALUE"""),"Dominican Republic")</f>
        <v>Dominican Republic</v>
      </c>
      <c r="F597" s="1" t="str">
        <f ca="1">IFERROR(__xludf.DUMMYFUNCTION("""COMPUTED_VALUE"""),"88.24 Dominican Republic")</f>
        <v>88.24 Dominican Republic</v>
      </c>
      <c r="G597" s="1" t="str">
        <f ca="1">IFERROR(__xludf.DUMMYFUNCTION("""COMPUTED_VALUE"""),"Individuals At Risk, Refugee and Migrant Rights")</f>
        <v>Individuals At Risk, Refugee and Migrant Rights</v>
      </c>
      <c r="H597" s="1" t="str">
        <f ca="1">IFERROR(__xludf.DUMMYFUNCTION("""COMPUTED_VALUE"""),"2024")</f>
        <v>2024</v>
      </c>
      <c r="I597" s="1" t="str">
        <f ca="1">IFERROR(__xludf.DUMMYFUNCTION("""COMPUTED_VALUE"""),"Letter")</f>
        <v>Letter</v>
      </c>
    </row>
    <row r="598" spans="1:9" ht="13" x14ac:dyDescent="0.15">
      <c r="A598" s="9">
        <f ca="1">IFERROR(__xludf.DUMMYFUNCTION("""COMPUTED_VALUE"""),31464748)</f>
        <v>31464748</v>
      </c>
      <c r="B598" s="1" t="str">
        <f ca="1">IFERROR(__xludf.DUMMYFUNCTION("""COMPUTED_VALUE"""),"jmullin422@hotmail.com")</f>
        <v>jmullin422@hotmail.com</v>
      </c>
      <c r="C598" s="9" t="str">
        <f ca="1">IFERROR(__xludf.DUMMYFUNCTION("""COMPUTED_VALUE"""),"EVERGREEN - UAN Gated Content - Embedded Petition")</f>
        <v>EVERGREEN - UAN Gated Content - Embedded Petition</v>
      </c>
      <c r="D598" s="10">
        <f ca="1">IFERROR(__xludf.DUMMYFUNCTION("""COMPUTED_VALUE"""),45671)</f>
        <v>45671</v>
      </c>
      <c r="E598" s="1" t="str">
        <f ca="1">IFERROR(__xludf.DUMMYFUNCTION("""COMPUTED_VALUE"""),"Azerbaijan")</f>
        <v>Azerbaijan</v>
      </c>
      <c r="F598" s="1" t="str">
        <f ca="1">IFERROR(__xludf.DUMMYFUNCTION("""COMPUTED_VALUE"""),"2.25 Azerbaijan")</f>
        <v>2.25 Azerbaijan</v>
      </c>
      <c r="G598" s="1" t="str">
        <f ca="1">IFERROR(__xludf.DUMMYFUNCTION("""COMPUTED_VALUE"""),"Freedom of Expression, Human Rights Defenders")</f>
        <v>Freedom of Expression, Human Rights Defenders</v>
      </c>
      <c r="H598" s="1" t="str">
        <f ca="1">IFERROR(__xludf.DUMMYFUNCTION("""COMPUTED_VALUE"""),"2025")</f>
        <v>2025</v>
      </c>
      <c r="I598" s="1" t="str">
        <f ca="1">IFERROR(__xludf.DUMMYFUNCTION("""COMPUTED_VALUE"""),"Email")</f>
        <v>Email</v>
      </c>
    </row>
    <row r="599" spans="1:9" ht="13" x14ac:dyDescent="0.15">
      <c r="A599" s="9">
        <f ca="1">IFERROR(__xludf.DUMMYFUNCTION("""COMPUTED_VALUE"""),31464748)</f>
        <v>31464748</v>
      </c>
      <c r="B599" s="1" t="str">
        <f ca="1">IFERROR(__xludf.DUMMYFUNCTION("""COMPUTED_VALUE"""),"jmullin422@hotmail.com")</f>
        <v>jmullin422@hotmail.com</v>
      </c>
      <c r="C599" s="9" t="str">
        <f ca="1">IFERROR(__xludf.DUMMYFUNCTION("""COMPUTED_VALUE"""),"EVERGREEN - UAN Gated Content - Embedded Petition")</f>
        <v>EVERGREEN - UAN Gated Content - Embedded Petition</v>
      </c>
      <c r="D599" s="10">
        <f ca="1">IFERROR(__xludf.DUMMYFUNCTION("""COMPUTED_VALUE"""),45671)</f>
        <v>45671</v>
      </c>
      <c r="E599" s="1" t="str">
        <f ca="1">IFERROR(__xludf.DUMMYFUNCTION("""COMPUTED_VALUE"""),"Uganda")</f>
        <v>Uganda</v>
      </c>
      <c r="F599" s="1" t="str">
        <f ca="1">IFERROR(__xludf.DUMMYFUNCTION("""COMPUTED_VALUE"""),"100.24 Uganda")</f>
        <v>100.24 Uganda</v>
      </c>
      <c r="G599" s="1" t="str">
        <f ca="1">IFERROR(__xludf.DUMMYFUNCTION("""COMPUTED_VALUE"""),"Freedom of Expression")</f>
        <v>Freedom of Expression</v>
      </c>
      <c r="H599" s="1" t="str">
        <f ca="1">IFERROR(__xludf.DUMMYFUNCTION("""COMPUTED_VALUE"""),"2024")</f>
        <v>2024</v>
      </c>
      <c r="I599" s="1" t="str">
        <f ca="1">IFERROR(__xludf.DUMMYFUNCTION("""COMPUTED_VALUE"""),"Email")</f>
        <v>Email</v>
      </c>
    </row>
    <row r="600" spans="1:9" ht="13" x14ac:dyDescent="0.15">
      <c r="A600" s="9">
        <f ca="1">IFERROR(__xludf.DUMMYFUNCTION("""COMPUTED_VALUE"""),31464748)</f>
        <v>31464748</v>
      </c>
      <c r="B600" s="1" t="str">
        <f ca="1">IFERROR(__xludf.DUMMYFUNCTION("""COMPUTED_VALUE"""),"jmullin422@hotmail.com")</f>
        <v>jmullin422@hotmail.com</v>
      </c>
      <c r="C600" s="9" t="str">
        <f ca="1">IFERROR(__xludf.DUMMYFUNCTION("""COMPUTED_VALUE"""),"EVERGREEN - UAN Gated Content - Embedded Petition")</f>
        <v>EVERGREEN - UAN Gated Content - Embedded Petition</v>
      </c>
      <c r="D600" s="10">
        <f ca="1">IFERROR(__xludf.DUMMYFUNCTION("""COMPUTED_VALUE"""),45671)</f>
        <v>45671</v>
      </c>
      <c r="E600" s="1" t="str">
        <f ca="1">IFERROR(__xludf.DUMMYFUNCTION("""COMPUTED_VALUE"""),"Saudi Arabia")</f>
        <v>Saudi Arabia</v>
      </c>
      <c r="F600" s="1" t="str">
        <f ca="1">IFERROR(__xludf.DUMMYFUNCTION("""COMPUTED_VALUE"""),"Second 85.23 Saudi Arabia")</f>
        <v>Second 85.23 Saudi Arabia</v>
      </c>
      <c r="G600" s="1" t="str">
        <f ca="1">IFERROR(__xludf.DUMMYFUNCTION("""COMPUTED_VALUE"""),"Freedom of Expression")</f>
        <v>Freedom of Expression</v>
      </c>
      <c r="H600" s="1" t="str">
        <f ca="1">IFERROR(__xludf.DUMMYFUNCTION("""COMPUTED_VALUE"""),"2024")</f>
        <v>2024</v>
      </c>
      <c r="I600" s="1" t="str">
        <f ca="1">IFERROR(__xludf.DUMMYFUNCTION("""COMPUTED_VALUE"""),"Letter")</f>
        <v>Letter</v>
      </c>
    </row>
    <row r="601" spans="1:9" ht="13" x14ac:dyDescent="0.15">
      <c r="A601" s="9">
        <f ca="1">IFERROR(__xludf.DUMMYFUNCTION("""COMPUTED_VALUE"""),31464748)</f>
        <v>31464748</v>
      </c>
      <c r="B601" s="1" t="str">
        <f ca="1">IFERROR(__xludf.DUMMYFUNCTION("""COMPUTED_VALUE"""),"jmullin422@hotmail.com")</f>
        <v>jmullin422@hotmail.com</v>
      </c>
      <c r="C601" s="9" t="str">
        <f ca="1">IFERROR(__xludf.DUMMYFUNCTION("""COMPUTED_VALUE"""),"EVERGREEN - UAN Gated Content - Embedded Petition")</f>
        <v>EVERGREEN - UAN Gated Content - Embedded Petition</v>
      </c>
      <c r="D601" s="10">
        <f ca="1">IFERROR(__xludf.DUMMYFUNCTION("""COMPUTED_VALUE"""),45671)</f>
        <v>45671</v>
      </c>
      <c r="E601" s="1" t="str">
        <f ca="1">IFERROR(__xludf.DUMMYFUNCTION("""COMPUTED_VALUE"""),"Egypt")</f>
        <v>Egypt</v>
      </c>
      <c r="F601" s="1" t="str">
        <f ca="1">IFERROR(__xludf.DUMMYFUNCTION("""COMPUTED_VALUE"""),"Ninth 190.18 Egypt")</f>
        <v>Ninth 190.18 Egypt</v>
      </c>
      <c r="G601" s="1" t="str">
        <f ca="1">IFERROR(__xludf.DUMMYFUNCTION("""COMPUTED_VALUE"""),"Freedom of Expression, Individuals At Risk")</f>
        <v>Freedom of Expression, Individuals At Risk</v>
      </c>
      <c r="H601" s="1" t="str">
        <f ca="1">IFERROR(__xludf.DUMMYFUNCTION("""COMPUTED_VALUE"""),"2024")</f>
        <v>2024</v>
      </c>
      <c r="I601" s="1" t="str">
        <f ca="1">IFERROR(__xludf.DUMMYFUNCTION("""COMPUTED_VALUE"""),"Letter")</f>
        <v>Letter</v>
      </c>
    </row>
    <row r="602" spans="1:9" ht="13" x14ac:dyDescent="0.15">
      <c r="A602" s="9">
        <f ca="1">IFERROR(__xludf.DUMMYFUNCTION("""COMPUTED_VALUE"""),31464748)</f>
        <v>31464748</v>
      </c>
      <c r="B602" s="1" t="str">
        <f ca="1">IFERROR(__xludf.DUMMYFUNCTION("""COMPUTED_VALUE"""),"jmullin422@hotmail.com")</f>
        <v>jmullin422@hotmail.com</v>
      </c>
      <c r="C602" s="9" t="str">
        <f ca="1">IFERROR(__xludf.DUMMYFUNCTION("""COMPUTED_VALUE"""),"EVERGREEN - UAN Gated Content - Embedded Petition")</f>
        <v>EVERGREEN - UAN Gated Content - Embedded Petition</v>
      </c>
      <c r="D602" s="10">
        <f ca="1">IFERROR(__xludf.DUMMYFUNCTION("""COMPUTED_VALUE"""),45657)</f>
        <v>45657</v>
      </c>
      <c r="E602" s="1" t="str">
        <f ca="1">IFERROR(__xludf.DUMMYFUNCTION("""COMPUTED_VALUE"""),"Canada")</f>
        <v>Canada</v>
      </c>
      <c r="F602" s="1" t="str">
        <f ca="1">IFERROR(__xludf.DUMMYFUNCTION("""COMPUTED_VALUE"""),"99.24 Canada")</f>
        <v>99.24 Canada</v>
      </c>
      <c r="G602" s="1" t="str">
        <f ca="1">IFERROR(__xludf.DUMMYFUNCTION("""COMPUTED_VALUE"""),"Climate Justice, Indigenous Rights, Right to Protest")</f>
        <v>Climate Justice, Indigenous Rights, Right to Protest</v>
      </c>
      <c r="H602" s="1" t="str">
        <f ca="1">IFERROR(__xludf.DUMMYFUNCTION("""COMPUTED_VALUE"""),"2024")</f>
        <v>2024</v>
      </c>
      <c r="I602" s="1" t="str">
        <f ca="1">IFERROR(__xludf.DUMMYFUNCTION("""COMPUTED_VALUE"""),"Letter")</f>
        <v>Letter</v>
      </c>
    </row>
    <row r="603" spans="1:9" ht="13" x14ac:dyDescent="0.15">
      <c r="A603" s="9">
        <f ca="1">IFERROR(__xludf.DUMMYFUNCTION("""COMPUTED_VALUE"""),31464748)</f>
        <v>31464748</v>
      </c>
      <c r="B603" s="1" t="str">
        <f ca="1">IFERROR(__xludf.DUMMYFUNCTION("""COMPUTED_VALUE"""),"jmullin422@hotmail.com")</f>
        <v>jmullin422@hotmail.com</v>
      </c>
      <c r="C603" s="9" t="str">
        <f ca="1">IFERROR(__xludf.DUMMYFUNCTION("""COMPUTED_VALUE"""),"EVERGREEN - UAN Gated Content - Embedded Petition")</f>
        <v>EVERGREEN - UAN Gated Content - Embedded Petition</v>
      </c>
      <c r="D603" s="10">
        <f ca="1">IFERROR(__xludf.DUMMYFUNCTION("""COMPUTED_VALUE"""),45657)</f>
        <v>45657</v>
      </c>
      <c r="E603" s="1" t="str">
        <f ca="1">IFERROR(__xludf.DUMMYFUNCTION("""COMPUTED_VALUE"""),"Russian Federation")</f>
        <v>Russian Federation</v>
      </c>
      <c r="F603" s="1" t="str">
        <f ca="1">IFERROR(__xludf.DUMMYFUNCTION("""COMPUTED_VALUE"""),"Second 23.24 Russia")</f>
        <v>Second 23.24 Russia</v>
      </c>
      <c r="G603" s="1" t="str">
        <f ca="1">IFERROR(__xludf.DUMMYFUNCTION("""COMPUTED_VALUE"""),"Freedom of Expression")</f>
        <v>Freedom of Expression</v>
      </c>
      <c r="H603" s="1" t="str">
        <f ca="1">IFERROR(__xludf.DUMMYFUNCTION("""COMPUTED_VALUE"""),"2024")</f>
        <v>2024</v>
      </c>
      <c r="I603" s="1" t="str">
        <f ca="1">IFERROR(__xludf.DUMMYFUNCTION("""COMPUTED_VALUE"""),"Letter")</f>
        <v>Letter</v>
      </c>
    </row>
    <row r="604" spans="1:9" ht="13" x14ac:dyDescent="0.15">
      <c r="A604" s="9">
        <f ca="1">IFERROR(__xludf.DUMMYFUNCTION("""COMPUTED_VALUE"""),31464748)</f>
        <v>31464748</v>
      </c>
      <c r="B604" s="1" t="str">
        <f ca="1">IFERROR(__xludf.DUMMYFUNCTION("""COMPUTED_VALUE"""),"jmullin422@hotmail.com")</f>
        <v>jmullin422@hotmail.com</v>
      </c>
      <c r="C604" s="9" t="str">
        <f ca="1">IFERROR(__xludf.DUMMYFUNCTION("""COMPUTED_VALUE"""),"EVERGREEN - Website Email Capture Form - UAN Pre-Footer")</f>
        <v>EVERGREEN - Website Email Capture Form - UAN Pre-Footer</v>
      </c>
      <c r="D604" s="10">
        <f ca="1">IFERROR(__xludf.DUMMYFUNCTION("""COMPUTED_VALUE"""),45616)</f>
        <v>45616</v>
      </c>
      <c r="E604" s="1" t="str">
        <f ca="1">IFERROR(__xludf.DUMMYFUNCTION("""COMPUTED_VALUE"""),"Russian Federation")</f>
        <v>Russian Federation</v>
      </c>
      <c r="F604" s="1" t="str">
        <f ca="1">IFERROR(__xludf.DUMMYFUNCTION("""COMPUTED_VALUE"""),"Second 23.24 Russia")</f>
        <v>Second 23.24 Russia</v>
      </c>
      <c r="G604" s="1" t="str">
        <f ca="1">IFERROR(__xludf.DUMMYFUNCTION("""COMPUTED_VALUE"""),"Freedom of Expression")</f>
        <v>Freedom of Expression</v>
      </c>
      <c r="H604" s="1" t="str">
        <f ca="1">IFERROR(__xludf.DUMMYFUNCTION("""COMPUTED_VALUE"""),"2024")</f>
        <v>2024</v>
      </c>
      <c r="I604" s="1" t="str">
        <f ca="1">IFERROR(__xludf.DUMMYFUNCTION("""COMPUTED_VALUE"""),"Letter")</f>
        <v>Letter</v>
      </c>
    </row>
    <row r="605" spans="1:9" ht="13" x14ac:dyDescent="0.15">
      <c r="A605" s="9">
        <f ca="1">IFERROR(__xludf.DUMMYFUNCTION("""COMPUTED_VALUE"""),31464748)</f>
        <v>31464748</v>
      </c>
      <c r="B605" s="1" t="str">
        <f ca="1">IFERROR(__xludf.DUMMYFUNCTION("""COMPUTED_VALUE"""),"jmullin422@hotmail.com")</f>
        <v>jmullin422@hotmail.com</v>
      </c>
      <c r="C605" s="9" t="str">
        <f ca="1">IFERROR(__xludf.DUMMYFUNCTION("""COMPUTED_VALUE"""),"EVERGREEN - Website Email Capture Form - UAN Pre-Footer")</f>
        <v>EVERGREEN - Website Email Capture Form - UAN Pre-Footer</v>
      </c>
      <c r="D605" s="10">
        <f ca="1">IFERROR(__xludf.DUMMYFUNCTION("""COMPUTED_VALUE"""),45626)</f>
        <v>45626</v>
      </c>
      <c r="E605" s="1" t="str">
        <f ca="1">IFERROR(__xludf.DUMMYFUNCTION("""COMPUTED_VALUE"""),"China")</f>
        <v>China</v>
      </c>
      <c r="F605" s="1" t="str">
        <f ca="1">IFERROR(__xludf.DUMMYFUNCTION("""COMPUTED_VALUE"""),"98.24 China")</f>
        <v>98.24 China</v>
      </c>
      <c r="G605" s="1" t="str">
        <f ca="1">IFERROR(__xludf.DUMMYFUNCTION("""COMPUTED_VALUE"""),"Freedom of Expression, Individuals At Risk")</f>
        <v>Freedom of Expression, Individuals At Risk</v>
      </c>
      <c r="H605" s="1" t="str">
        <f ca="1">IFERROR(__xludf.DUMMYFUNCTION("""COMPUTED_VALUE"""),"2024")</f>
        <v>2024</v>
      </c>
      <c r="I605" s="1" t="str">
        <f ca="1">IFERROR(__xludf.DUMMYFUNCTION("""COMPUTED_VALUE"""),"Letter")</f>
        <v>Letter</v>
      </c>
    </row>
    <row r="606" spans="1:9" ht="13" x14ac:dyDescent="0.15">
      <c r="A606" s="9">
        <f ca="1">IFERROR(__xludf.DUMMYFUNCTION("""COMPUTED_VALUE"""),31464748)</f>
        <v>31464748</v>
      </c>
      <c r="B606" s="1" t="str">
        <f ca="1">IFERROR(__xludf.DUMMYFUNCTION("""COMPUTED_VALUE"""),"jmullin422@hotmail.com")</f>
        <v>jmullin422@hotmail.com</v>
      </c>
      <c r="C606" s="9" t="str">
        <f ca="1">IFERROR(__xludf.DUMMYFUNCTION("""COMPUTED_VALUE"""),"EVERGREEN - Website Email Capture Form - UAN Pre-Footer")</f>
        <v>EVERGREEN - Website Email Capture Form - UAN Pre-Footer</v>
      </c>
      <c r="D606" s="10">
        <f ca="1">IFERROR(__xludf.DUMMYFUNCTION("""COMPUTED_VALUE"""),45696)</f>
        <v>45696</v>
      </c>
      <c r="E606" s="1" t="str">
        <f ca="1">IFERROR(__xludf.DUMMYFUNCTION("""COMPUTED_VALUE"""),"Venezuela")</f>
        <v>Venezuela</v>
      </c>
      <c r="F606" s="1" t="str">
        <f ca="1">IFERROR(__xludf.DUMMYFUNCTION("""COMPUTED_VALUE"""),"97.24 Venezuela")</f>
        <v>97.24 Venezuela</v>
      </c>
      <c r="G606" s="1" t="str">
        <f ca="1">IFERROR(__xludf.DUMMYFUNCTION("""COMPUTED_VALUE"""),"Freedom of Expression")</f>
        <v>Freedom of Expression</v>
      </c>
      <c r="H606" s="1" t="str">
        <f ca="1">IFERROR(__xludf.DUMMYFUNCTION("""COMPUTED_VALUE"""),"2024")</f>
        <v>2024</v>
      </c>
      <c r="I606" s="1" t="str">
        <f ca="1">IFERROR(__xludf.DUMMYFUNCTION("""COMPUTED_VALUE"""),"Letter")</f>
        <v>Letter</v>
      </c>
    </row>
    <row r="607" spans="1:9" ht="13" x14ac:dyDescent="0.15">
      <c r="A607" s="9">
        <f ca="1">IFERROR(__xludf.DUMMYFUNCTION("""COMPUTED_VALUE"""),31464748)</f>
        <v>31464748</v>
      </c>
      <c r="B607" s="1" t="str">
        <f ca="1">IFERROR(__xludf.DUMMYFUNCTION("""COMPUTED_VALUE"""),"jmullin422@hotmail.com")</f>
        <v>jmullin422@hotmail.com</v>
      </c>
      <c r="C607" s="9" t="str">
        <f ca="1">IFERROR(__xludf.DUMMYFUNCTION("""COMPUTED_VALUE"""),"UAN mid-page Lightbox - Step 1 of 4 - Landing Page")</f>
        <v>UAN mid-page Lightbox - Step 1 of 4 - Landing Page</v>
      </c>
      <c r="D607" s="10">
        <f ca="1">IFERROR(__xludf.DUMMYFUNCTION("""COMPUTED_VALUE"""),45626)</f>
        <v>45626</v>
      </c>
      <c r="E607" s="1" t="str">
        <f ca="1">IFERROR(__xludf.DUMMYFUNCTION("""COMPUTED_VALUE"""),"USA")</f>
        <v>USA</v>
      </c>
      <c r="F607" s="1" t="str">
        <f ca="1">IFERROR(__xludf.DUMMYFUNCTION("""COMPUTED_VALUE"""),"105.24 USA")</f>
        <v>105.24 USA</v>
      </c>
      <c r="G607" s="1" t="str">
        <f ca="1">IFERROR(__xludf.DUMMYFUNCTION("""COMPUTED_VALUE"""),"Death Penalty")</f>
        <v>Death Penalty</v>
      </c>
      <c r="H607" s="1" t="str">
        <f ca="1">IFERROR(__xludf.DUMMYFUNCTION("""COMPUTED_VALUE"""),"2024")</f>
        <v>2024</v>
      </c>
      <c r="I607" s="1" t="str">
        <f ca="1">IFERROR(__xludf.DUMMYFUNCTION("""COMPUTED_VALUE"""),"Email")</f>
        <v>Email</v>
      </c>
    </row>
    <row r="608" spans="1:9" ht="13" x14ac:dyDescent="0.15">
      <c r="A608" s="9">
        <f ca="1">IFERROR(__xludf.DUMMYFUNCTION("""COMPUTED_VALUE"""),31464748)</f>
        <v>31464748</v>
      </c>
      <c r="B608" s="1" t="str">
        <f ca="1">IFERROR(__xludf.DUMMYFUNCTION("""COMPUTED_VALUE"""),"jmullin422@hotmail.com")</f>
        <v>jmullin422@hotmail.com</v>
      </c>
      <c r="C608" s="9" t="str">
        <f ca="1">IFERROR(__xludf.DUMMYFUNCTION("""COMPUTED_VALUE"""),"UAN mid-page Lightbox - Step 1 of 4 - Landing Page")</f>
        <v>UAN mid-page Lightbox - Step 1 of 4 - Landing Page</v>
      </c>
      <c r="D608" s="10">
        <f ca="1">IFERROR(__xludf.DUMMYFUNCTION("""COMPUTED_VALUE"""),45678)</f>
        <v>45678</v>
      </c>
      <c r="E608" s="1" t="str">
        <f ca="1">IFERROR(__xludf.DUMMYFUNCTION("""COMPUTED_VALUE"""),"Iran")</f>
        <v>Iran</v>
      </c>
      <c r="F608" s="1" t="str">
        <f ca="1">IFERROR(__xludf.DUMMYFUNCTION("""COMPUTED_VALUE"""),"101.24 Iran")</f>
        <v>101.24 Iran</v>
      </c>
      <c r="G608" s="1" t="str">
        <f ca="1">IFERROR(__xludf.DUMMYFUNCTION("""COMPUTED_VALUE"""),"Death Penalty, Freedom of Expression, Individuals At Risk, Right to Protest")</f>
        <v>Death Penalty, Freedom of Expression, Individuals At Risk, Right to Protest</v>
      </c>
      <c r="H608" s="1" t="str">
        <f ca="1">IFERROR(__xludf.DUMMYFUNCTION("""COMPUTED_VALUE"""),"2024")</f>
        <v>2024</v>
      </c>
      <c r="I608" s="1" t="str">
        <f ca="1">IFERROR(__xludf.DUMMYFUNCTION("""COMPUTED_VALUE"""),"Email")</f>
        <v>Email</v>
      </c>
    </row>
    <row r="609" spans="1:9" ht="13" x14ac:dyDescent="0.15">
      <c r="A609" s="9">
        <f ca="1">IFERROR(__xludf.DUMMYFUNCTION("""COMPUTED_VALUE"""),31464748)</f>
        <v>31464748</v>
      </c>
      <c r="B609" s="1" t="str">
        <f ca="1">IFERROR(__xludf.DUMMYFUNCTION("""COMPUTED_VALUE"""),"jmullin422@hotmail.com")</f>
        <v>jmullin422@hotmail.com</v>
      </c>
      <c r="C609" s="9" t="str">
        <f ca="1">IFERROR(__xludf.DUMMYFUNCTION("""COMPUTED_VALUE"""),"UAN mid-page Lightbox - Step 2 of 4 - More personal info fields")</f>
        <v>UAN mid-page Lightbox - Step 2 of 4 - More personal info fields</v>
      </c>
      <c r="D609" s="10">
        <f ca="1">IFERROR(__xludf.DUMMYFUNCTION("""COMPUTED_VALUE"""),45678)</f>
        <v>45678</v>
      </c>
      <c r="E609" s="1" t="str">
        <f ca="1">IFERROR(__xludf.DUMMYFUNCTION("""COMPUTED_VALUE"""),"Uganda")</f>
        <v>Uganda</v>
      </c>
      <c r="F609" s="1" t="str">
        <f ca="1">IFERROR(__xludf.DUMMYFUNCTION("""COMPUTED_VALUE"""),"100.24 Uganda")</f>
        <v>100.24 Uganda</v>
      </c>
      <c r="G609" s="1" t="str">
        <f ca="1">IFERROR(__xludf.DUMMYFUNCTION("""COMPUTED_VALUE"""),"Freedom of Expression")</f>
        <v>Freedom of Expression</v>
      </c>
      <c r="H609" s="1" t="str">
        <f ca="1">IFERROR(__xludf.DUMMYFUNCTION("""COMPUTED_VALUE"""),"2024")</f>
        <v>2024</v>
      </c>
      <c r="I609" s="1" t="str">
        <f ca="1">IFERROR(__xludf.DUMMYFUNCTION("""COMPUTED_VALUE"""),"Email")</f>
        <v>Email</v>
      </c>
    </row>
    <row r="610" spans="1:9" ht="13" x14ac:dyDescent="0.15">
      <c r="A610" s="9">
        <f ca="1">IFERROR(__xludf.DUMMYFUNCTION("""COMPUTED_VALUE"""),31464748)</f>
        <v>31464748</v>
      </c>
      <c r="B610" s="1" t="str">
        <f ca="1">IFERROR(__xludf.DUMMYFUNCTION("""COMPUTED_VALUE"""),"jmullin422@hotmail.com")</f>
        <v>jmullin422@hotmail.com</v>
      </c>
      <c r="C610" s="9" t="str">
        <f ca="1">IFERROR(__xludf.DUMMYFUNCTION("""COMPUTED_VALUE"""),"UAN mid-page Lightbox - Step 2 of 4 - More personal info fields")</f>
        <v>UAN mid-page Lightbox - Step 2 of 4 - More personal info fields</v>
      </c>
      <c r="D610" s="10">
        <f ca="1">IFERROR(__xludf.DUMMYFUNCTION("""COMPUTED_VALUE"""),45626)</f>
        <v>45626</v>
      </c>
      <c r="E610" s="1" t="str">
        <f ca="1">IFERROR(__xludf.DUMMYFUNCTION("""COMPUTED_VALUE"""),"Tunisia")</f>
        <v>Tunisia</v>
      </c>
      <c r="F610" s="1" t="str">
        <f ca="1">IFERROR(__xludf.DUMMYFUNCTION("""COMPUTED_VALUE"""),"Second 76.24 Tunisia")</f>
        <v>Second 76.24 Tunisia</v>
      </c>
      <c r="G610" s="1" t="str">
        <f ca="1">IFERROR(__xludf.DUMMYFUNCTION("""COMPUTED_VALUE"""),"Freedom of Expression, Human Rights Defenders")</f>
        <v>Freedom of Expression, Human Rights Defenders</v>
      </c>
      <c r="H610" s="1" t="str">
        <f ca="1">IFERROR(__xludf.DUMMYFUNCTION("""COMPUTED_VALUE"""),"2025")</f>
        <v>2025</v>
      </c>
      <c r="I610" s="1" t="str">
        <f ca="1">IFERROR(__xludf.DUMMYFUNCTION("""COMPUTED_VALUE"""),"Email")</f>
        <v>Email</v>
      </c>
    </row>
    <row r="611" spans="1:9" ht="13" x14ac:dyDescent="0.15">
      <c r="A611" s="9">
        <f ca="1">IFERROR(__xludf.DUMMYFUNCTION("""COMPUTED_VALUE"""),31464748)</f>
        <v>31464748</v>
      </c>
      <c r="B611" s="1" t="str">
        <f ca="1">IFERROR(__xludf.DUMMYFUNCTION("""COMPUTED_VALUE"""),"jmullin422@hotmail.com")</f>
        <v>jmullin422@hotmail.com</v>
      </c>
      <c r="C611" s="9" t="str">
        <f ca="1">IFERROR(__xludf.DUMMYFUNCTION("""COMPUTED_VALUE"""),"UAN mid-page Lightbox - Step 3 of 4 - More opt-ins")</f>
        <v>UAN mid-page Lightbox - Step 3 of 4 - More opt-ins</v>
      </c>
      <c r="D611" s="10">
        <f ca="1">IFERROR(__xludf.DUMMYFUNCTION("""COMPUTED_VALUE"""),45678)</f>
        <v>45678</v>
      </c>
      <c r="E611" s="1" t="str">
        <f ca="1">IFERROR(__xludf.DUMMYFUNCTION("""COMPUTED_VALUE"""),"Tunisia")</f>
        <v>Tunisia</v>
      </c>
      <c r="F611" s="1" t="str">
        <f ca="1">IFERROR(__xludf.DUMMYFUNCTION("""COMPUTED_VALUE"""),"Second 76.24 Tunisia")</f>
        <v>Second 76.24 Tunisia</v>
      </c>
      <c r="G611" s="1" t="str">
        <f ca="1">IFERROR(__xludf.DUMMYFUNCTION("""COMPUTED_VALUE"""),"Freedom of Expression, Human Rights Defenders")</f>
        <v>Freedom of Expression, Human Rights Defenders</v>
      </c>
      <c r="H611" s="1" t="str">
        <f ca="1">IFERROR(__xludf.DUMMYFUNCTION("""COMPUTED_VALUE"""),"2025")</f>
        <v>2025</v>
      </c>
      <c r="I611" s="1" t="str">
        <f ca="1">IFERROR(__xludf.DUMMYFUNCTION("""COMPUTED_VALUE"""),"Email")</f>
        <v>Email</v>
      </c>
    </row>
    <row r="612" spans="1:9" ht="13" x14ac:dyDescent="0.15">
      <c r="A612" s="9">
        <f ca="1">IFERROR(__xludf.DUMMYFUNCTION("""COMPUTED_VALUE"""),31464748)</f>
        <v>31464748</v>
      </c>
      <c r="B612" s="1" t="str">
        <f ca="1">IFERROR(__xludf.DUMMYFUNCTION("""COMPUTED_VALUE"""),"jmullin422@hotmail.com")</f>
        <v>jmullin422@hotmail.com</v>
      </c>
      <c r="C612" s="9" t="str">
        <f ca="1">IFERROR(__xludf.DUMMYFUNCTION("""COMPUTED_VALUE"""),"UAN mid-page Lightbox - Step 3 of 4 - More opt-ins")</f>
        <v>UAN mid-page Lightbox - Step 3 of 4 - More opt-ins</v>
      </c>
      <c r="D612" s="10">
        <f ca="1">IFERROR(__xludf.DUMMYFUNCTION("""COMPUTED_VALUE"""),45626)</f>
        <v>45626</v>
      </c>
      <c r="E612" s="1" t="str">
        <f ca="1">IFERROR(__xludf.DUMMYFUNCTION("""COMPUTED_VALUE"""),"Tunisia")</f>
        <v>Tunisia</v>
      </c>
      <c r="F612" s="1" t="str">
        <f ca="1">IFERROR(__xludf.DUMMYFUNCTION("""COMPUTED_VALUE"""),"Second 76.24 Tunisia")</f>
        <v>Second 76.24 Tunisia</v>
      </c>
      <c r="G612" s="1" t="str">
        <f ca="1">IFERROR(__xludf.DUMMYFUNCTION("""COMPUTED_VALUE"""),"Freedom of Expression, Human Rights Defenders")</f>
        <v>Freedom of Expression, Human Rights Defenders</v>
      </c>
      <c r="H612" s="1" t="str">
        <f ca="1">IFERROR(__xludf.DUMMYFUNCTION("""COMPUTED_VALUE"""),"2025")</f>
        <v>2025</v>
      </c>
      <c r="I612" s="1" t="str">
        <f ca="1">IFERROR(__xludf.DUMMYFUNCTION("""COMPUTED_VALUE"""),"Email")</f>
        <v>Email</v>
      </c>
    </row>
    <row r="613" spans="1:9" ht="13" x14ac:dyDescent="0.15">
      <c r="A613" s="9">
        <f ca="1">IFERROR(__xludf.DUMMYFUNCTION("""COMPUTED_VALUE"""),31476211)</f>
        <v>31476211</v>
      </c>
      <c r="B613" s="1" t="str">
        <f ca="1">IFERROR(__xludf.DUMMYFUNCTION("""COMPUTED_VALUE"""),"johnhill@telus.net")</f>
        <v>johnhill@telus.net</v>
      </c>
      <c r="C613" s="9" t="str">
        <f ca="1">IFERROR(__xludf.DUMMYFUNCTION("""COMPUTED_VALUE"""),"EVERGREEN - UAN Gated Content - Embedded Petition")</f>
        <v>EVERGREEN - UAN Gated Content - Embedded Petition</v>
      </c>
      <c r="D613" s="10">
        <f ca="1">IFERROR(__xludf.DUMMYFUNCTION("""COMPUTED_VALUE"""),45637)</f>
        <v>45637</v>
      </c>
      <c r="E613" s="1" t="str">
        <f ca="1">IFERROR(__xludf.DUMMYFUNCTION("""COMPUTED_VALUE"""),"Dominican Republic")</f>
        <v>Dominican Republic</v>
      </c>
      <c r="F613" s="1" t="str">
        <f ca="1">IFERROR(__xludf.DUMMYFUNCTION("""COMPUTED_VALUE"""),"88.24 Dominican Republic")</f>
        <v>88.24 Dominican Republic</v>
      </c>
      <c r="G613" s="1" t="str">
        <f ca="1">IFERROR(__xludf.DUMMYFUNCTION("""COMPUTED_VALUE"""),"Individuals At Risk, Refugee and Migrant Rights")</f>
        <v>Individuals At Risk, Refugee and Migrant Rights</v>
      </c>
      <c r="H613" s="1" t="str">
        <f ca="1">IFERROR(__xludf.DUMMYFUNCTION("""COMPUTED_VALUE"""),"2024")</f>
        <v>2024</v>
      </c>
      <c r="I613" s="1" t="str">
        <f ca="1">IFERROR(__xludf.DUMMYFUNCTION("""COMPUTED_VALUE"""),"Letter")</f>
        <v>Letter</v>
      </c>
    </row>
    <row r="614" spans="1:9" ht="13" x14ac:dyDescent="0.15">
      <c r="A614" s="9">
        <f ca="1">IFERROR(__xludf.DUMMYFUNCTION("""COMPUTED_VALUE"""),31490345)</f>
        <v>31490345</v>
      </c>
      <c r="B614" s="1" t="str">
        <f ca="1">IFERROR(__xludf.DUMMYFUNCTION("""COMPUTED_VALUE"""),"afadel97@gmail.com")</f>
        <v>afadel97@gmail.com</v>
      </c>
      <c r="C614" s="9" t="str">
        <f ca="1">IFERROR(__xludf.DUMMYFUNCTION("""COMPUTED_VALUE"""),"EVERGREEN - UAN Gated Content - Embedded Petition")</f>
        <v>EVERGREEN - UAN Gated Content - Embedded Petition</v>
      </c>
      <c r="D614" s="10">
        <f ca="1">IFERROR(__xludf.DUMMYFUNCTION("""COMPUTED_VALUE"""),45616)</f>
        <v>45616</v>
      </c>
      <c r="E614" s="1" t="str">
        <f ca="1">IFERROR(__xludf.DUMMYFUNCTION("""COMPUTED_VALUE"""),"Dominican Republic")</f>
        <v>Dominican Republic</v>
      </c>
      <c r="F614" s="1" t="str">
        <f ca="1">IFERROR(__xludf.DUMMYFUNCTION("""COMPUTED_VALUE"""),"88.24 Dominican Republic")</f>
        <v>88.24 Dominican Republic</v>
      </c>
      <c r="G614" s="1" t="str">
        <f ca="1">IFERROR(__xludf.DUMMYFUNCTION("""COMPUTED_VALUE"""),"Individuals At Risk, Refugee and Migrant Rights")</f>
        <v>Individuals At Risk, Refugee and Migrant Rights</v>
      </c>
      <c r="H614" s="1" t="str">
        <f ca="1">IFERROR(__xludf.DUMMYFUNCTION("""COMPUTED_VALUE"""),"2024")</f>
        <v>2024</v>
      </c>
      <c r="I614" s="1" t="str">
        <f ca="1">IFERROR(__xludf.DUMMYFUNCTION("""COMPUTED_VALUE"""),"Letter")</f>
        <v>Letter</v>
      </c>
    </row>
    <row r="615" spans="1:9" ht="13" x14ac:dyDescent="0.15">
      <c r="A615" s="9">
        <f ca="1">IFERROR(__xludf.DUMMYFUNCTION("""COMPUTED_VALUE"""),31490345)</f>
        <v>31490345</v>
      </c>
      <c r="B615" s="1" t="str">
        <f ca="1">IFERROR(__xludf.DUMMYFUNCTION("""COMPUTED_VALUE"""),"afadel97@gmail.com")</f>
        <v>afadel97@gmail.com</v>
      </c>
      <c r="C615" s="9" t="str">
        <f ca="1">IFERROR(__xludf.DUMMYFUNCTION("""COMPUTED_VALUE"""),"EVERGREEN - UAN Gated Content - Embedded Petition")</f>
        <v>EVERGREEN - UAN Gated Content - Embedded Petition</v>
      </c>
      <c r="D615" s="10">
        <f ca="1">IFERROR(__xludf.DUMMYFUNCTION("""COMPUTED_VALUE"""),45682)</f>
        <v>45682</v>
      </c>
      <c r="E615" s="1" t="str">
        <f ca="1">IFERROR(__xludf.DUMMYFUNCTION("""COMPUTED_VALUE"""),"Tunisia")</f>
        <v>Tunisia</v>
      </c>
      <c r="F615" s="1" t="str">
        <f ca="1">IFERROR(__xludf.DUMMYFUNCTION("""COMPUTED_VALUE"""),"Second 43.24 Tunisia")</f>
        <v>Second 43.24 Tunisia</v>
      </c>
      <c r="G615" s="1" t="str">
        <f ca="1">IFERROR(__xludf.DUMMYFUNCTION("""COMPUTED_VALUE"""),"Freedom of Expression, Individuals At Risk")</f>
        <v>Freedom of Expression, Individuals At Risk</v>
      </c>
      <c r="H615" s="1" t="str">
        <f ca="1">IFERROR(__xludf.DUMMYFUNCTION("""COMPUTED_VALUE"""),"2024")</f>
        <v>2024</v>
      </c>
      <c r="I615" s="1" t="str">
        <f ca="1">IFERROR(__xludf.DUMMYFUNCTION("""COMPUTED_VALUE"""),"Email")</f>
        <v>Email</v>
      </c>
    </row>
    <row r="616" spans="1:9" ht="13" x14ac:dyDescent="0.15">
      <c r="A616" s="9">
        <f ca="1">IFERROR(__xludf.DUMMYFUNCTION("""COMPUTED_VALUE"""),31490345)</f>
        <v>31490345</v>
      </c>
      <c r="B616" s="1" t="str">
        <f ca="1">IFERROR(__xludf.DUMMYFUNCTION("""COMPUTED_VALUE"""),"afadel97@gmail.com")</f>
        <v>afadel97@gmail.com</v>
      </c>
      <c r="C616" s="9" t="str">
        <f ca="1">IFERROR(__xludf.DUMMYFUNCTION("""COMPUTED_VALUE"""),"EVERGREEN - UAN Gated Content - Embedded Petition")</f>
        <v>EVERGREEN - UAN Gated Content - Embedded Petition</v>
      </c>
      <c r="D616" s="10">
        <f ca="1">IFERROR(__xludf.DUMMYFUNCTION("""COMPUTED_VALUE"""),45694)</f>
        <v>45694</v>
      </c>
      <c r="E616" s="1" t="str">
        <f ca="1">IFERROR(__xludf.DUMMYFUNCTION("""COMPUTED_VALUE"""),"Egypt")</f>
        <v>Egypt</v>
      </c>
      <c r="F616" s="1" t="str">
        <f ca="1">IFERROR(__xludf.DUMMYFUNCTION("""COMPUTED_VALUE"""),"Ninth 190.18 Egypt")</f>
        <v>Ninth 190.18 Egypt</v>
      </c>
      <c r="G616" s="1" t="str">
        <f ca="1">IFERROR(__xludf.DUMMYFUNCTION("""COMPUTED_VALUE"""),"Freedom of Expression, Individuals At Risk")</f>
        <v>Freedom of Expression, Individuals At Risk</v>
      </c>
      <c r="H616" s="1" t="str">
        <f ca="1">IFERROR(__xludf.DUMMYFUNCTION("""COMPUTED_VALUE"""),"2024")</f>
        <v>2024</v>
      </c>
      <c r="I616" s="1" t="str">
        <f ca="1">IFERROR(__xludf.DUMMYFUNCTION("""COMPUTED_VALUE"""),"Letter")</f>
        <v>Letter</v>
      </c>
    </row>
    <row r="617" spans="1:9" ht="13" x14ac:dyDescent="0.15">
      <c r="A617" s="9">
        <f ca="1">IFERROR(__xludf.DUMMYFUNCTION("""COMPUTED_VALUE"""),31490345)</f>
        <v>31490345</v>
      </c>
      <c r="B617" s="1" t="str">
        <f ca="1">IFERROR(__xludf.DUMMYFUNCTION("""COMPUTED_VALUE"""),"afadel97@gmail.com")</f>
        <v>afadel97@gmail.com</v>
      </c>
      <c r="C617" s="9" t="str">
        <f ca="1">IFERROR(__xludf.DUMMYFUNCTION("""COMPUTED_VALUE"""),"EVERGREEN - UAN Gated Content - Embedded Petition")</f>
        <v>EVERGREEN - UAN Gated Content - Embedded Petition</v>
      </c>
      <c r="D617" s="10">
        <f ca="1">IFERROR(__xludf.DUMMYFUNCTION("""COMPUTED_VALUE"""),45694)</f>
        <v>45694</v>
      </c>
      <c r="E617" s="1" t="str">
        <f ca="1">IFERROR(__xludf.DUMMYFUNCTION("""COMPUTED_VALUE"""),"Egypt")</f>
        <v>Egypt</v>
      </c>
      <c r="F617" s="1" t="str">
        <f ca="1">IFERROR(__xludf.DUMMYFUNCTION("""COMPUTED_VALUE"""),"Ninth 190.18 Egypt")</f>
        <v>Ninth 190.18 Egypt</v>
      </c>
      <c r="G617" s="1" t="str">
        <f ca="1">IFERROR(__xludf.DUMMYFUNCTION("""COMPUTED_VALUE"""),"Freedom of Expression, Individuals At Risk")</f>
        <v>Freedom of Expression, Individuals At Risk</v>
      </c>
      <c r="H617" s="1" t="str">
        <f ca="1">IFERROR(__xludf.DUMMYFUNCTION("""COMPUTED_VALUE"""),"2024")</f>
        <v>2024</v>
      </c>
      <c r="I617" s="1" t="str">
        <f ca="1">IFERROR(__xludf.DUMMYFUNCTION("""COMPUTED_VALUE"""),"Letter")</f>
        <v>Letter</v>
      </c>
    </row>
    <row r="618" spans="1:9" ht="13" x14ac:dyDescent="0.15">
      <c r="A618" s="9">
        <f ca="1">IFERROR(__xludf.DUMMYFUNCTION("""COMPUTED_VALUE"""),31490345)</f>
        <v>31490345</v>
      </c>
      <c r="B618" s="1" t="str">
        <f ca="1">IFERROR(__xludf.DUMMYFUNCTION("""COMPUTED_VALUE"""),"afadel97@gmail.com")</f>
        <v>afadel97@gmail.com</v>
      </c>
      <c r="C618" s="9" t="str">
        <f ca="1">IFERROR(__xludf.DUMMYFUNCTION("""COMPUTED_VALUE"""),"EVERGREEN - UAN Gated Content - Embedded Petition")</f>
        <v>EVERGREEN - UAN Gated Content - Embedded Petition</v>
      </c>
      <c r="D618" s="10">
        <f ca="1">IFERROR(__xludf.DUMMYFUNCTION("""COMPUTED_VALUE"""),45694)</f>
        <v>45694</v>
      </c>
      <c r="E618" s="1" t="str">
        <f ca="1">IFERROR(__xludf.DUMMYFUNCTION("""COMPUTED_VALUE"""),"Afghanistan")</f>
        <v>Afghanistan</v>
      </c>
      <c r="F618" s="1" t="str">
        <f ca="1">IFERROR(__xludf.DUMMYFUNCTION("""COMPUTED_VALUE"""),"11.25 Afghanistan")</f>
        <v>11.25 Afghanistan</v>
      </c>
      <c r="G618" s="1" t="str">
        <f ca="1">IFERROR(__xludf.DUMMYFUNCTION("""COMPUTED_VALUE"""),"Freedom of Expression, Health, Individuals At Risk")</f>
        <v>Freedom of Expression, Health, Individuals At Risk</v>
      </c>
      <c r="H618" s="1" t="str">
        <f ca="1">IFERROR(__xludf.DUMMYFUNCTION("""COMPUTED_VALUE"""),"2025")</f>
        <v>2025</v>
      </c>
      <c r="I618" s="1" t="str">
        <f ca="1">IFERROR(__xludf.DUMMYFUNCTION("""COMPUTED_VALUE"""),"Email")</f>
        <v>Email</v>
      </c>
    </row>
    <row r="619" spans="1:9" ht="13" x14ac:dyDescent="0.15">
      <c r="A619" s="9">
        <f ca="1">IFERROR(__xludf.DUMMYFUNCTION("""COMPUTED_VALUE"""),31490345)</f>
        <v>31490345</v>
      </c>
      <c r="B619" s="1" t="str">
        <f ca="1">IFERROR(__xludf.DUMMYFUNCTION("""COMPUTED_VALUE"""),"afadel97@gmail.com")</f>
        <v>afadel97@gmail.com</v>
      </c>
      <c r="C619" s="9" t="str">
        <f ca="1">IFERROR(__xludf.DUMMYFUNCTION("""COMPUTED_VALUE"""),"EVERGREEN - UAN Gated Content - Embedded Petition")</f>
        <v>EVERGREEN - UAN Gated Content - Embedded Petition</v>
      </c>
      <c r="D619" s="10">
        <f ca="1">IFERROR(__xludf.DUMMYFUNCTION("""COMPUTED_VALUE"""),45694)</f>
        <v>45694</v>
      </c>
      <c r="E619" s="1" t="str">
        <f ca="1">IFERROR(__xludf.DUMMYFUNCTION("""COMPUTED_VALUE"""),"Turkiye")</f>
        <v>Turkiye</v>
      </c>
      <c r="F619" s="1" t="str">
        <f ca="1">IFERROR(__xludf.DUMMYFUNCTION("""COMPUTED_VALUE"""),"109.24 Türkiye")</f>
        <v>109.24 Türkiye</v>
      </c>
      <c r="G619" s="1" t="str">
        <f ca="1">IFERROR(__xludf.DUMMYFUNCTION("""COMPUTED_VALUE"""),"Human Rights Defenders, Individuals At Risk")</f>
        <v>Human Rights Defenders, Individuals At Risk</v>
      </c>
      <c r="H619" s="1" t="str">
        <f ca="1">IFERROR(__xludf.DUMMYFUNCTION("""COMPUTED_VALUE"""),"2024")</f>
        <v>2024</v>
      </c>
      <c r="I619" s="1" t="str">
        <f ca="1">IFERROR(__xludf.DUMMYFUNCTION("""COMPUTED_VALUE"""),"Email")</f>
        <v>Email</v>
      </c>
    </row>
    <row r="620" spans="1:9" ht="13" x14ac:dyDescent="0.15">
      <c r="A620" s="9">
        <f ca="1">IFERROR(__xludf.DUMMYFUNCTION("""COMPUTED_VALUE"""),31501821)</f>
        <v>31501821</v>
      </c>
      <c r="B620" s="1" t="str">
        <f ca="1">IFERROR(__xludf.DUMMYFUNCTION("""COMPUTED_VALUE"""),"jimimack23@yahoo.com")</f>
        <v>jimimack23@yahoo.com</v>
      </c>
      <c r="C620" s="9" t="str">
        <f ca="1">IFERROR(__xludf.DUMMYFUNCTION("""COMPUTED_VALUE"""),"EVERGREEN - UAN Gated Content - Embedded Petition")</f>
        <v>EVERGREEN - UAN Gated Content - Embedded Petition</v>
      </c>
      <c r="D620" s="10">
        <f ca="1">IFERROR(__xludf.DUMMYFUNCTION("""COMPUTED_VALUE"""),45694)</f>
        <v>45694</v>
      </c>
      <c r="E620" s="1" t="str">
        <f ca="1">IFERROR(__xludf.DUMMYFUNCTION("""COMPUTED_VALUE"""),"Tunisia")</f>
        <v>Tunisia</v>
      </c>
      <c r="F620" s="1" t="str">
        <f ca="1">IFERROR(__xludf.DUMMYFUNCTION("""COMPUTED_VALUE"""),"Second 43.24 Tunisia")</f>
        <v>Second 43.24 Tunisia</v>
      </c>
      <c r="G620" s="1" t="str">
        <f ca="1">IFERROR(__xludf.DUMMYFUNCTION("""COMPUTED_VALUE"""),"Freedom of Expression, Individuals At Risk")</f>
        <v>Freedom of Expression, Individuals At Risk</v>
      </c>
      <c r="H620" s="1" t="str">
        <f ca="1">IFERROR(__xludf.DUMMYFUNCTION("""COMPUTED_VALUE"""),"2024")</f>
        <v>2024</v>
      </c>
      <c r="I620" s="1" t="str">
        <f ca="1">IFERROR(__xludf.DUMMYFUNCTION("""COMPUTED_VALUE"""),"Email")</f>
        <v>Email</v>
      </c>
    </row>
    <row r="621" spans="1:9" ht="13" x14ac:dyDescent="0.15">
      <c r="A621" s="9">
        <f ca="1">IFERROR(__xludf.DUMMYFUNCTION("""COMPUTED_VALUE"""),31502296)</f>
        <v>31502296</v>
      </c>
      <c r="B621" s="1" t="str">
        <f ca="1">IFERROR(__xludf.DUMMYFUNCTION("""COMPUTED_VALUE"""),"lesleylaing1@gmail.com")</f>
        <v>lesleylaing1@gmail.com</v>
      </c>
      <c r="C621" s="9" t="str">
        <f ca="1">IFERROR(__xludf.DUMMYFUNCTION("""COMPUTED_VALUE"""),"EVERGREEN - UAN Gated Content - Embedded Petition")</f>
        <v>EVERGREEN - UAN Gated Content - Embedded Petition</v>
      </c>
      <c r="D621" s="10">
        <f ca="1">IFERROR(__xludf.DUMMYFUNCTION("""COMPUTED_VALUE"""),45694)</f>
        <v>45694</v>
      </c>
      <c r="E621" s="1" t="str">
        <f ca="1">IFERROR(__xludf.DUMMYFUNCTION("""COMPUTED_VALUE"""),"Afghanistan")</f>
        <v>Afghanistan</v>
      </c>
      <c r="F621" s="1" t="str">
        <f ca="1">IFERROR(__xludf.DUMMYFUNCTION("""COMPUTED_VALUE"""),"11.25 Afghanistan")</f>
        <v>11.25 Afghanistan</v>
      </c>
      <c r="G621" s="1" t="str">
        <f ca="1">IFERROR(__xludf.DUMMYFUNCTION("""COMPUTED_VALUE"""),"Freedom of Expression, Health, Individuals At Risk")</f>
        <v>Freedom of Expression, Health, Individuals At Risk</v>
      </c>
      <c r="H621" s="1" t="str">
        <f ca="1">IFERROR(__xludf.DUMMYFUNCTION("""COMPUTED_VALUE"""),"2025")</f>
        <v>2025</v>
      </c>
      <c r="I621" s="1" t="str">
        <f ca="1">IFERROR(__xludf.DUMMYFUNCTION("""COMPUTED_VALUE"""),"Email")</f>
        <v>Email</v>
      </c>
    </row>
    <row r="622" spans="1:9" ht="13" x14ac:dyDescent="0.15">
      <c r="A622" s="9">
        <f ca="1">IFERROR(__xludf.DUMMYFUNCTION("""COMPUTED_VALUE"""),31521166)</f>
        <v>31521166</v>
      </c>
      <c r="B622" s="1" t="str">
        <f ca="1">IFERROR(__xludf.DUMMYFUNCTION("""COMPUTED_VALUE"""),"galemfran@gmail.com")</f>
        <v>galemfran@gmail.com</v>
      </c>
      <c r="C622" s="9" t="str">
        <f ca="1">IFERROR(__xludf.DUMMYFUNCTION("""COMPUTED_VALUE"""),"EVERGREEN - UAN Gated Content - Embedded Petition")</f>
        <v>EVERGREEN - UAN Gated Content - Embedded Petition</v>
      </c>
      <c r="D622" s="10">
        <f ca="1">IFERROR(__xludf.DUMMYFUNCTION("""COMPUTED_VALUE"""),45636)</f>
        <v>45636</v>
      </c>
      <c r="E622" s="1" t="str">
        <f ca="1">IFERROR(__xludf.DUMMYFUNCTION("""COMPUTED_VALUE"""),"Uganda")</f>
        <v>Uganda</v>
      </c>
      <c r="F622" s="1" t="str">
        <f ca="1">IFERROR(__xludf.DUMMYFUNCTION("""COMPUTED_VALUE"""),"9.25 Uganda")</f>
        <v>9.25 Uganda</v>
      </c>
      <c r="G622" s="1" t="str">
        <f ca="1">IFERROR(__xludf.DUMMYFUNCTION("""COMPUTED_VALUE"""),"Freedom of Expression, Human Rights Defenders")</f>
        <v>Freedom of Expression, Human Rights Defenders</v>
      </c>
      <c r="H622" s="1" t="str">
        <f ca="1">IFERROR(__xludf.DUMMYFUNCTION("""COMPUTED_VALUE"""),"2025")</f>
        <v>2025</v>
      </c>
      <c r="I622" s="1" t="str">
        <f ca="1">IFERROR(__xludf.DUMMYFUNCTION("""COMPUTED_VALUE"""),"Email")</f>
        <v>Email</v>
      </c>
    </row>
    <row r="623" spans="1:9" ht="13" x14ac:dyDescent="0.15">
      <c r="A623" s="9">
        <f ca="1">IFERROR(__xludf.DUMMYFUNCTION("""COMPUTED_VALUE"""),31524930)</f>
        <v>31524930</v>
      </c>
      <c r="B623" s="1" t="str">
        <f ca="1">IFERROR(__xludf.DUMMYFUNCTION("""COMPUTED_VALUE"""),"wfeltham9@gmail.com")</f>
        <v>wfeltham9@gmail.com</v>
      </c>
      <c r="C623" s="9" t="str">
        <f ca="1">IFERROR(__xludf.DUMMYFUNCTION("""COMPUTED_VALUE"""),"EVERGREEN - UAN Gated Content - Embedded Petition")</f>
        <v>EVERGREEN - UAN Gated Content - Embedded Petition</v>
      </c>
      <c r="D623" s="10">
        <f ca="1">IFERROR(__xludf.DUMMYFUNCTION("""COMPUTED_VALUE"""),45637)</f>
        <v>45637</v>
      </c>
      <c r="E623" s="1" t="str">
        <f ca="1">IFERROR(__xludf.DUMMYFUNCTION("""COMPUTED_VALUE"""),"Uganda")</f>
        <v>Uganda</v>
      </c>
      <c r="F623" s="1" t="str">
        <f ca="1">IFERROR(__xludf.DUMMYFUNCTION("""COMPUTED_VALUE"""),"9.25 Uganda")</f>
        <v>9.25 Uganda</v>
      </c>
      <c r="G623" s="1" t="str">
        <f ca="1">IFERROR(__xludf.DUMMYFUNCTION("""COMPUTED_VALUE"""),"Freedom of Expression, Human Rights Defenders")</f>
        <v>Freedom of Expression, Human Rights Defenders</v>
      </c>
      <c r="H623" s="1" t="str">
        <f ca="1">IFERROR(__xludf.DUMMYFUNCTION("""COMPUTED_VALUE"""),"2025")</f>
        <v>2025</v>
      </c>
      <c r="I623" s="1" t="str">
        <f ca="1">IFERROR(__xludf.DUMMYFUNCTION("""COMPUTED_VALUE"""),"Email")</f>
        <v>Email</v>
      </c>
    </row>
    <row r="624" spans="1:9" ht="13" x14ac:dyDescent="0.15">
      <c r="A624" s="9">
        <f ca="1">IFERROR(__xludf.DUMMYFUNCTION("""COMPUTED_VALUE"""),31538800)</f>
        <v>31538800</v>
      </c>
      <c r="B624" s="1" t="str">
        <f ca="1">IFERROR(__xludf.DUMMYFUNCTION("""COMPUTED_VALUE"""),"msmcin2@gmail.com")</f>
        <v>msmcin2@gmail.com</v>
      </c>
      <c r="C624" s="9" t="str">
        <f ca="1">IFERROR(__xludf.DUMMYFUNCTION("""COMPUTED_VALUE"""),"EVERGREEN - UAN Gated Content - Embedded Petition")</f>
        <v>EVERGREEN - UAN Gated Content - Embedded Petition</v>
      </c>
      <c r="D624" s="10">
        <f ca="1">IFERROR(__xludf.DUMMYFUNCTION("""COMPUTED_VALUE"""),45636)</f>
        <v>45636</v>
      </c>
      <c r="E624" s="1" t="str">
        <f ca="1">IFERROR(__xludf.DUMMYFUNCTION("""COMPUTED_VALUE"""),"Turkiye")</f>
        <v>Turkiye</v>
      </c>
      <c r="F624" s="1" t="str">
        <f ca="1">IFERROR(__xludf.DUMMYFUNCTION("""COMPUTED_VALUE"""),"109.24 Türkiye")</f>
        <v>109.24 Türkiye</v>
      </c>
      <c r="G624" s="1" t="str">
        <f ca="1">IFERROR(__xludf.DUMMYFUNCTION("""COMPUTED_VALUE"""),"Human Rights Defenders, Individuals At Risk")</f>
        <v>Human Rights Defenders, Individuals At Risk</v>
      </c>
      <c r="H624" s="1" t="str">
        <f ca="1">IFERROR(__xludf.DUMMYFUNCTION("""COMPUTED_VALUE"""),"2024")</f>
        <v>2024</v>
      </c>
      <c r="I624" s="1" t="str">
        <f ca="1">IFERROR(__xludf.DUMMYFUNCTION("""COMPUTED_VALUE"""),"Email")</f>
        <v>Email</v>
      </c>
    </row>
    <row r="625" spans="1:9" ht="13" x14ac:dyDescent="0.15">
      <c r="A625" s="9">
        <f ca="1">IFERROR(__xludf.DUMMYFUNCTION("""COMPUTED_VALUE"""),31538800)</f>
        <v>31538800</v>
      </c>
      <c r="B625" s="1" t="str">
        <f ca="1">IFERROR(__xludf.DUMMYFUNCTION("""COMPUTED_VALUE"""),"msmcin2@gmail.com")</f>
        <v>msmcin2@gmail.com</v>
      </c>
      <c r="C625" s="9" t="str">
        <f ca="1">IFERROR(__xludf.DUMMYFUNCTION("""COMPUTED_VALUE"""),"EVERGREEN - UAN Gated Content - Embedded Petition")</f>
        <v>EVERGREEN - UAN Gated Content - Embedded Petition</v>
      </c>
      <c r="D625" s="10">
        <f ca="1">IFERROR(__xludf.DUMMYFUNCTION("""COMPUTED_VALUE"""),45636)</f>
        <v>45636</v>
      </c>
      <c r="E625" s="1" t="str">
        <f ca="1">IFERROR(__xludf.DUMMYFUNCTION("""COMPUTED_VALUE"""),"Tunisia")</f>
        <v>Tunisia</v>
      </c>
      <c r="F625" s="1" t="str">
        <f ca="1">IFERROR(__xludf.DUMMYFUNCTION("""COMPUTED_VALUE"""),"Second 76.24 Tunisia")</f>
        <v>Second 76.24 Tunisia</v>
      </c>
      <c r="G625" s="1" t="str">
        <f ca="1">IFERROR(__xludf.DUMMYFUNCTION("""COMPUTED_VALUE"""),"Freedom of Expression, Human Rights Defenders")</f>
        <v>Freedom of Expression, Human Rights Defenders</v>
      </c>
      <c r="H625" s="1" t="str">
        <f ca="1">IFERROR(__xludf.DUMMYFUNCTION("""COMPUTED_VALUE"""),"2025")</f>
        <v>2025</v>
      </c>
      <c r="I625" s="1" t="str">
        <f ca="1">IFERROR(__xludf.DUMMYFUNCTION("""COMPUTED_VALUE"""),"Email")</f>
        <v>Email</v>
      </c>
    </row>
    <row r="626" spans="1:9" ht="13" x14ac:dyDescent="0.15">
      <c r="A626" s="9">
        <f ca="1">IFERROR(__xludf.DUMMYFUNCTION("""COMPUTED_VALUE"""),31538800)</f>
        <v>31538800</v>
      </c>
      <c r="B626" s="1" t="str">
        <f ca="1">IFERROR(__xludf.DUMMYFUNCTION("""COMPUTED_VALUE"""),"msmcin2@gmail.com")</f>
        <v>msmcin2@gmail.com</v>
      </c>
      <c r="C626" s="9" t="str">
        <f ca="1">IFERROR(__xludf.DUMMYFUNCTION("""COMPUTED_VALUE"""),"EVERGREEN - UAN Gated Content - Embedded Petition")</f>
        <v>EVERGREEN - UAN Gated Content - Embedded Petition</v>
      </c>
      <c r="D626" s="10">
        <f ca="1">IFERROR(__xludf.DUMMYFUNCTION("""COMPUTED_VALUE"""),45636)</f>
        <v>45636</v>
      </c>
      <c r="E626" s="1" t="str">
        <f ca="1">IFERROR(__xludf.DUMMYFUNCTION("""COMPUTED_VALUE"""),"Egypt")</f>
        <v>Egypt</v>
      </c>
      <c r="F626" s="1" t="str">
        <f ca="1">IFERROR(__xludf.DUMMYFUNCTION("""COMPUTED_VALUE"""),"Ninth 190.18 Egypt")</f>
        <v>Ninth 190.18 Egypt</v>
      </c>
      <c r="G626" s="1" t="str">
        <f ca="1">IFERROR(__xludf.DUMMYFUNCTION("""COMPUTED_VALUE"""),"Freedom of Expression, Individuals At Risk")</f>
        <v>Freedom of Expression, Individuals At Risk</v>
      </c>
      <c r="H626" s="1" t="str">
        <f ca="1">IFERROR(__xludf.DUMMYFUNCTION("""COMPUTED_VALUE"""),"2024")</f>
        <v>2024</v>
      </c>
      <c r="I626" s="1" t="str">
        <f ca="1">IFERROR(__xludf.DUMMYFUNCTION("""COMPUTED_VALUE"""),"Letter")</f>
        <v>Letter</v>
      </c>
    </row>
    <row r="627" spans="1:9" ht="13" x14ac:dyDescent="0.15">
      <c r="A627" s="9">
        <f ca="1">IFERROR(__xludf.DUMMYFUNCTION("""COMPUTED_VALUE"""),31538800)</f>
        <v>31538800</v>
      </c>
      <c r="B627" s="1" t="str">
        <f ca="1">IFERROR(__xludf.DUMMYFUNCTION("""COMPUTED_VALUE"""),"msmcin2@gmail.com")</f>
        <v>msmcin2@gmail.com</v>
      </c>
      <c r="C627" s="9" t="str">
        <f ca="1">IFERROR(__xludf.DUMMYFUNCTION("""COMPUTED_VALUE"""),"EVERGREEN - UAN Gated Content - Embedded Petition")</f>
        <v>EVERGREEN - UAN Gated Content - Embedded Petition</v>
      </c>
      <c r="D627" s="10">
        <f ca="1">IFERROR(__xludf.DUMMYFUNCTION("""COMPUTED_VALUE"""),45694)</f>
        <v>45694</v>
      </c>
      <c r="E627" s="1" t="str">
        <f ca="1">IFERROR(__xludf.DUMMYFUNCTION("""COMPUTED_VALUE"""),"USA")</f>
        <v>USA</v>
      </c>
      <c r="F627" s="1" t="str">
        <f ca="1">IFERROR(__xludf.DUMMYFUNCTION("""COMPUTED_VALUE"""),"105.24 USA")</f>
        <v>105.24 USA</v>
      </c>
      <c r="G627" s="1" t="str">
        <f ca="1">IFERROR(__xludf.DUMMYFUNCTION("""COMPUTED_VALUE"""),"Death Penalty")</f>
        <v>Death Penalty</v>
      </c>
      <c r="H627" s="1" t="str">
        <f ca="1">IFERROR(__xludf.DUMMYFUNCTION("""COMPUTED_VALUE"""),"2024")</f>
        <v>2024</v>
      </c>
      <c r="I627" s="1" t="str">
        <f ca="1">IFERROR(__xludf.DUMMYFUNCTION("""COMPUTED_VALUE"""),"Email")</f>
        <v>Email</v>
      </c>
    </row>
    <row r="628" spans="1:9" ht="13" x14ac:dyDescent="0.15">
      <c r="A628" s="9">
        <f ca="1">IFERROR(__xludf.DUMMYFUNCTION("""COMPUTED_VALUE"""),31538800)</f>
        <v>31538800</v>
      </c>
      <c r="B628" s="1" t="str">
        <f ca="1">IFERROR(__xludf.DUMMYFUNCTION("""COMPUTED_VALUE"""),"msmcin2@gmail.com")</f>
        <v>msmcin2@gmail.com</v>
      </c>
      <c r="C628" s="9" t="str">
        <f ca="1">IFERROR(__xludf.DUMMYFUNCTION("""COMPUTED_VALUE"""),"EVERGREEN - UAN Gated Content - Embedded Petition")</f>
        <v>EVERGREEN - UAN Gated Content - Embedded Petition</v>
      </c>
      <c r="D628" s="10">
        <f ca="1">IFERROR(__xludf.DUMMYFUNCTION("""COMPUTED_VALUE"""),45694)</f>
        <v>45694</v>
      </c>
      <c r="E628" s="1" t="str">
        <f ca="1">IFERROR(__xludf.DUMMYFUNCTION("""COMPUTED_VALUE"""),"Israel and Occupied Palestinian Territories")</f>
        <v>Israel and Occupied Palestinian Territories</v>
      </c>
      <c r="F628" s="1" t="str">
        <f ca="1">IFERROR(__xludf.DUMMYFUNCTION("""COMPUTED_VALUE"""),"3.25 IOPT")</f>
        <v>3.25 IOPT</v>
      </c>
      <c r="G628" s="1" t="str">
        <f ca="1">IFERROR(__xludf.DUMMYFUNCTION("""COMPUTED_VALUE"""),"Freedom of Expression, Individuals At Risk")</f>
        <v>Freedom of Expression, Individuals At Risk</v>
      </c>
      <c r="H628" s="1" t="str">
        <f ca="1">IFERROR(__xludf.DUMMYFUNCTION("""COMPUTED_VALUE"""),"2025")</f>
        <v>2025</v>
      </c>
      <c r="I628" s="1" t="str">
        <f ca="1">IFERROR(__xludf.DUMMYFUNCTION("""COMPUTED_VALUE"""),"Email")</f>
        <v>Email</v>
      </c>
    </row>
    <row r="629" spans="1:9" ht="13" x14ac:dyDescent="0.15">
      <c r="A629" s="9">
        <f ca="1">IFERROR(__xludf.DUMMYFUNCTION("""COMPUTED_VALUE"""),31538800)</f>
        <v>31538800</v>
      </c>
      <c r="B629" s="1" t="str">
        <f ca="1">IFERROR(__xludf.DUMMYFUNCTION("""COMPUTED_VALUE"""),"msmcin2@gmail.com")</f>
        <v>msmcin2@gmail.com</v>
      </c>
      <c r="C629" s="9" t="str">
        <f ca="1">IFERROR(__xludf.DUMMYFUNCTION("""COMPUTED_VALUE"""),"EVERGREEN - UAN Gated Content - Embedded Petition")</f>
        <v>EVERGREEN - UAN Gated Content - Embedded Petition</v>
      </c>
      <c r="D629" s="10">
        <f ca="1">IFERROR(__xludf.DUMMYFUNCTION("""COMPUTED_VALUE"""),45694)</f>
        <v>45694</v>
      </c>
      <c r="E629" s="1" t="str">
        <f ca="1">IFERROR(__xludf.DUMMYFUNCTION("""COMPUTED_VALUE"""),"USA")</f>
        <v>USA</v>
      </c>
      <c r="F629" s="1" t="str">
        <f ca="1">IFERROR(__xludf.DUMMYFUNCTION("""COMPUTED_VALUE"""),"96.24 USA")</f>
        <v>96.24 USA</v>
      </c>
      <c r="G629" s="1" t="str">
        <f ca="1">IFERROR(__xludf.DUMMYFUNCTION("""COMPUTED_VALUE"""),"Death Penalty")</f>
        <v>Death Penalty</v>
      </c>
      <c r="H629" s="1" t="str">
        <f ca="1">IFERROR(__xludf.DUMMYFUNCTION("""COMPUTED_VALUE"""),"2024")</f>
        <v>2024</v>
      </c>
      <c r="I629" s="1" t="str">
        <f ca="1">IFERROR(__xludf.DUMMYFUNCTION("""COMPUTED_VALUE"""),"Email")</f>
        <v>Email</v>
      </c>
    </row>
    <row r="630" spans="1:9" ht="13" x14ac:dyDescent="0.15">
      <c r="A630" s="9">
        <f ca="1">IFERROR(__xludf.DUMMYFUNCTION("""COMPUTED_VALUE"""),31538800)</f>
        <v>31538800</v>
      </c>
      <c r="B630" s="1" t="str">
        <f ca="1">IFERROR(__xludf.DUMMYFUNCTION("""COMPUTED_VALUE"""),"msmcin2@gmail.com")</f>
        <v>msmcin2@gmail.com</v>
      </c>
      <c r="C630" s="9" t="str">
        <f ca="1">IFERROR(__xludf.DUMMYFUNCTION("""COMPUTED_VALUE"""),"EVERGREEN - UAN Gated Content - Embedded Petition")</f>
        <v>EVERGREEN - UAN Gated Content - Embedded Petition</v>
      </c>
      <c r="D630" s="10">
        <f ca="1">IFERROR(__xludf.DUMMYFUNCTION("""COMPUTED_VALUE"""),45636)</f>
        <v>45636</v>
      </c>
      <c r="E630" s="1" t="str">
        <f ca="1">IFERROR(__xludf.DUMMYFUNCTION("""COMPUTED_VALUE"""),"Tunisia")</f>
        <v>Tunisia</v>
      </c>
      <c r="F630" s="1" t="str">
        <f ca="1">IFERROR(__xludf.DUMMYFUNCTION("""COMPUTED_VALUE"""),"Second 76.24 Tunisia")</f>
        <v>Second 76.24 Tunisia</v>
      </c>
      <c r="G630" s="1" t="str">
        <f ca="1">IFERROR(__xludf.DUMMYFUNCTION("""COMPUTED_VALUE"""),"Freedom of Expression, Human Rights Defenders")</f>
        <v>Freedom of Expression, Human Rights Defenders</v>
      </c>
      <c r="H630" s="1" t="str">
        <f ca="1">IFERROR(__xludf.DUMMYFUNCTION("""COMPUTED_VALUE"""),"2025")</f>
        <v>2025</v>
      </c>
      <c r="I630" s="1" t="str">
        <f ca="1">IFERROR(__xludf.DUMMYFUNCTION("""COMPUTED_VALUE"""),"Email")</f>
        <v>Email</v>
      </c>
    </row>
    <row r="631" spans="1:9" ht="13" x14ac:dyDescent="0.15">
      <c r="A631" s="9">
        <f ca="1">IFERROR(__xludf.DUMMYFUNCTION("""COMPUTED_VALUE"""),31551643)</f>
        <v>31551643</v>
      </c>
      <c r="B631" s="1" t="str">
        <f ca="1">IFERROR(__xludf.DUMMYFUNCTION("""COMPUTED_VALUE"""),"hummelc2@gmail.com")</f>
        <v>hummelc2@gmail.com</v>
      </c>
      <c r="C631" s="9" t="str">
        <f ca="1">IFERROR(__xludf.DUMMYFUNCTION("""COMPUTED_VALUE"""),"EVERGREEN - UAN Gated Content - Embedded Petition")</f>
        <v>EVERGREEN - UAN Gated Content - Embedded Petition</v>
      </c>
      <c r="D631" s="10">
        <f ca="1">IFERROR(__xludf.DUMMYFUNCTION("""COMPUTED_VALUE"""),45629)</f>
        <v>45629</v>
      </c>
      <c r="E631" s="1" t="str">
        <f ca="1">IFERROR(__xludf.DUMMYFUNCTION("""COMPUTED_VALUE"""),"USA")</f>
        <v>USA</v>
      </c>
      <c r="F631" s="1" t="str">
        <f ca="1">IFERROR(__xludf.DUMMYFUNCTION("""COMPUTED_VALUE"""),"105.24 USA")</f>
        <v>105.24 USA</v>
      </c>
      <c r="G631" s="1" t="str">
        <f ca="1">IFERROR(__xludf.DUMMYFUNCTION("""COMPUTED_VALUE"""),"Death Penalty")</f>
        <v>Death Penalty</v>
      </c>
      <c r="H631" s="1" t="str">
        <f ca="1">IFERROR(__xludf.DUMMYFUNCTION("""COMPUTED_VALUE"""),"2024")</f>
        <v>2024</v>
      </c>
      <c r="I631" s="1" t="str">
        <f ca="1">IFERROR(__xludf.DUMMYFUNCTION("""COMPUTED_VALUE"""),"Email")</f>
        <v>Email</v>
      </c>
    </row>
    <row r="632" spans="1:9" ht="13" x14ac:dyDescent="0.15">
      <c r="A632" s="9">
        <f ca="1">IFERROR(__xludf.DUMMYFUNCTION("""COMPUTED_VALUE"""),31551643)</f>
        <v>31551643</v>
      </c>
      <c r="B632" s="1" t="str">
        <f ca="1">IFERROR(__xludf.DUMMYFUNCTION("""COMPUTED_VALUE"""),"hummelc2@gmail.com")</f>
        <v>hummelc2@gmail.com</v>
      </c>
      <c r="C632" s="9" t="str">
        <f ca="1">IFERROR(__xludf.DUMMYFUNCTION("""COMPUTED_VALUE"""),"EVERGREEN - UAN Gated Content - Embedded Petition")</f>
        <v>EVERGREEN - UAN Gated Content - Embedded Petition</v>
      </c>
      <c r="D632" s="10">
        <f ca="1">IFERROR(__xludf.DUMMYFUNCTION("""COMPUTED_VALUE"""),45629)</f>
        <v>45629</v>
      </c>
      <c r="E632" s="1" t="str">
        <f ca="1">IFERROR(__xludf.DUMMYFUNCTION("""COMPUTED_VALUE"""),"USA")</f>
        <v>USA</v>
      </c>
      <c r="F632" s="1" t="str">
        <f ca="1">IFERROR(__xludf.DUMMYFUNCTION("""COMPUTED_VALUE"""),"105.24 USA")</f>
        <v>105.24 USA</v>
      </c>
      <c r="G632" s="1" t="str">
        <f ca="1">IFERROR(__xludf.DUMMYFUNCTION("""COMPUTED_VALUE"""),"Death Penalty")</f>
        <v>Death Penalty</v>
      </c>
      <c r="H632" s="1" t="str">
        <f ca="1">IFERROR(__xludf.DUMMYFUNCTION("""COMPUTED_VALUE"""),"2024")</f>
        <v>2024</v>
      </c>
      <c r="I632" s="1" t="str">
        <f ca="1">IFERROR(__xludf.DUMMYFUNCTION("""COMPUTED_VALUE"""),"Email")</f>
        <v>Email</v>
      </c>
    </row>
    <row r="633" spans="1:9" ht="13" x14ac:dyDescent="0.15">
      <c r="A633" s="9">
        <f ca="1">IFERROR(__xludf.DUMMYFUNCTION("""COMPUTED_VALUE"""),31551643)</f>
        <v>31551643</v>
      </c>
      <c r="B633" s="1" t="str">
        <f ca="1">IFERROR(__xludf.DUMMYFUNCTION("""COMPUTED_VALUE"""),"hummelc2@gmail.com")</f>
        <v>hummelc2@gmail.com</v>
      </c>
      <c r="C633" s="9" t="str">
        <f ca="1">IFERROR(__xludf.DUMMYFUNCTION("""COMPUTED_VALUE"""),"EVERGREEN - UAN Gated Content - Embedded Petition")</f>
        <v>EVERGREEN - UAN Gated Content - Embedded Petition</v>
      </c>
      <c r="D633" s="10">
        <f ca="1">IFERROR(__xludf.DUMMYFUNCTION("""COMPUTED_VALUE"""),45629)</f>
        <v>45629</v>
      </c>
      <c r="E633" s="1" t="str">
        <f ca="1">IFERROR(__xludf.DUMMYFUNCTION("""COMPUTED_VALUE"""),"Venezuela")</f>
        <v>Venezuela</v>
      </c>
      <c r="F633" s="1" t="str">
        <f ca="1">IFERROR(__xludf.DUMMYFUNCTION("""COMPUTED_VALUE"""),"1.25 Venezuela")</f>
        <v>1.25 Venezuela</v>
      </c>
      <c r="G633" s="1" t="str">
        <f ca="1">IFERROR(__xludf.DUMMYFUNCTION("""COMPUTED_VALUE"""),"Human Rights Defenders, Individuals At Risk")</f>
        <v>Human Rights Defenders, Individuals At Risk</v>
      </c>
      <c r="H633" s="1" t="str">
        <f ca="1">IFERROR(__xludf.DUMMYFUNCTION("""COMPUTED_VALUE"""),"2025")</f>
        <v>2025</v>
      </c>
      <c r="I633" s="1" t="str">
        <f ca="1">IFERROR(__xludf.DUMMYFUNCTION("""COMPUTED_VALUE"""),"Letter")</f>
        <v>Letter</v>
      </c>
    </row>
    <row r="634" spans="1:9" ht="13" x14ac:dyDescent="0.15">
      <c r="A634" s="9">
        <f ca="1">IFERROR(__xludf.DUMMYFUNCTION("""COMPUTED_VALUE"""),31551643)</f>
        <v>31551643</v>
      </c>
      <c r="B634" s="1" t="str">
        <f ca="1">IFERROR(__xludf.DUMMYFUNCTION("""COMPUTED_VALUE"""),"hummelc2@gmail.com")</f>
        <v>hummelc2@gmail.com</v>
      </c>
      <c r="C634" s="9" t="str">
        <f ca="1">IFERROR(__xludf.DUMMYFUNCTION("""COMPUTED_VALUE"""),"EVERGREEN - UAN Gated Content - Embedded Petition")</f>
        <v>EVERGREEN - UAN Gated Content - Embedded Petition</v>
      </c>
      <c r="D634" s="10">
        <f ca="1">IFERROR(__xludf.DUMMYFUNCTION("""COMPUTED_VALUE"""),45690)</f>
        <v>45690</v>
      </c>
      <c r="E634" s="1" t="str">
        <f ca="1">IFERROR(__xludf.DUMMYFUNCTION("""COMPUTED_VALUE"""),"Azerbaijan")</f>
        <v>Azerbaijan</v>
      </c>
      <c r="F634" s="1" t="str">
        <f ca="1">IFERROR(__xludf.DUMMYFUNCTION("""COMPUTED_VALUE"""),"2.25 Azerbaijan")</f>
        <v>2.25 Azerbaijan</v>
      </c>
      <c r="G634" s="1" t="str">
        <f ca="1">IFERROR(__xludf.DUMMYFUNCTION("""COMPUTED_VALUE"""),"Freedom of Expression, Human Rights Defenders")</f>
        <v>Freedom of Expression, Human Rights Defenders</v>
      </c>
      <c r="H634" s="1" t="str">
        <f ca="1">IFERROR(__xludf.DUMMYFUNCTION("""COMPUTED_VALUE"""),"2025")</f>
        <v>2025</v>
      </c>
      <c r="I634" s="1" t="str">
        <f ca="1">IFERROR(__xludf.DUMMYFUNCTION("""COMPUTED_VALUE"""),"Email")</f>
        <v>Email</v>
      </c>
    </row>
    <row r="635" spans="1:9" ht="13" x14ac:dyDescent="0.15">
      <c r="A635" s="9">
        <f ca="1">IFERROR(__xludf.DUMMYFUNCTION("""COMPUTED_VALUE"""),31551643)</f>
        <v>31551643</v>
      </c>
      <c r="B635" s="1" t="str">
        <f ca="1">IFERROR(__xludf.DUMMYFUNCTION("""COMPUTED_VALUE"""),"hummelc2@gmail.com")</f>
        <v>hummelc2@gmail.com</v>
      </c>
      <c r="C635" s="9" t="str">
        <f ca="1">IFERROR(__xludf.DUMMYFUNCTION("""COMPUTED_VALUE"""),"EVERGREEN - UAN Gated Content - Embedded Petition")</f>
        <v>EVERGREEN - UAN Gated Content - Embedded Petition</v>
      </c>
      <c r="D635" s="10">
        <f ca="1">IFERROR(__xludf.DUMMYFUNCTION("""COMPUTED_VALUE"""),45690)</f>
        <v>45690</v>
      </c>
      <c r="E635" s="1" t="str">
        <f ca="1">IFERROR(__xludf.DUMMYFUNCTION("""COMPUTED_VALUE"""),"Tunisia")</f>
        <v>Tunisia</v>
      </c>
      <c r="F635" s="1" t="str">
        <f ca="1">IFERROR(__xludf.DUMMYFUNCTION("""COMPUTED_VALUE"""),"Second 76.24 Tunisia")</f>
        <v>Second 76.24 Tunisia</v>
      </c>
      <c r="G635" s="1" t="str">
        <f ca="1">IFERROR(__xludf.DUMMYFUNCTION("""COMPUTED_VALUE"""),"Freedom of Expression, Human Rights Defenders")</f>
        <v>Freedom of Expression, Human Rights Defenders</v>
      </c>
      <c r="H635" s="1" t="str">
        <f ca="1">IFERROR(__xludf.DUMMYFUNCTION("""COMPUTED_VALUE"""),"2025")</f>
        <v>2025</v>
      </c>
      <c r="I635" s="1" t="str">
        <f ca="1">IFERROR(__xludf.DUMMYFUNCTION("""COMPUTED_VALUE"""),"Email")</f>
        <v>Email</v>
      </c>
    </row>
    <row r="636" spans="1:9" ht="13" x14ac:dyDescent="0.15">
      <c r="A636" s="9">
        <f ca="1">IFERROR(__xludf.DUMMYFUNCTION("""COMPUTED_VALUE"""),31551643)</f>
        <v>31551643</v>
      </c>
      <c r="B636" s="1" t="str">
        <f ca="1">IFERROR(__xludf.DUMMYFUNCTION("""COMPUTED_VALUE"""),"hummelc2@gmail.com")</f>
        <v>hummelc2@gmail.com</v>
      </c>
      <c r="C636" s="9" t="str">
        <f ca="1">IFERROR(__xludf.DUMMYFUNCTION("""COMPUTED_VALUE"""),"EVERGREEN - UAN Gated Content - Embedded Petition")</f>
        <v>EVERGREEN - UAN Gated Content - Embedded Petition</v>
      </c>
      <c r="D636" s="10">
        <f ca="1">IFERROR(__xludf.DUMMYFUNCTION("""COMPUTED_VALUE"""),45690)</f>
        <v>45690</v>
      </c>
      <c r="E636" s="1" t="str">
        <f ca="1">IFERROR(__xludf.DUMMYFUNCTION("""COMPUTED_VALUE"""),"Niger")</f>
        <v>Niger</v>
      </c>
      <c r="F636" s="1" t="str">
        <f ca="1">IFERROR(__xludf.DUMMYFUNCTION("""COMPUTED_VALUE"""),"103.24 Niger")</f>
        <v>103.24 Niger</v>
      </c>
      <c r="G636" s="1" t="str">
        <f ca="1">IFERROR(__xludf.DUMMYFUNCTION("""COMPUTED_VALUE"""),"Freedom of Expression, Human Rights Defenders")</f>
        <v>Freedom of Expression, Human Rights Defenders</v>
      </c>
      <c r="H636" s="1" t="str">
        <f ca="1">IFERROR(__xludf.DUMMYFUNCTION("""COMPUTED_VALUE"""),"2024")</f>
        <v>2024</v>
      </c>
      <c r="I636" s="1" t="str">
        <f ca="1">IFERROR(__xludf.DUMMYFUNCTION("""COMPUTED_VALUE"""),"Email")</f>
        <v>Email</v>
      </c>
    </row>
    <row r="637" spans="1:9" ht="13" x14ac:dyDescent="0.15">
      <c r="A637" s="9">
        <f ca="1">IFERROR(__xludf.DUMMYFUNCTION("""COMPUTED_VALUE"""),31551643)</f>
        <v>31551643</v>
      </c>
      <c r="B637" s="1" t="str">
        <f ca="1">IFERROR(__xludf.DUMMYFUNCTION("""COMPUTED_VALUE"""),"hummelc2@gmail.com")</f>
        <v>hummelc2@gmail.com</v>
      </c>
      <c r="C637" s="9" t="str">
        <f ca="1">IFERROR(__xludf.DUMMYFUNCTION("""COMPUTED_VALUE"""),"EVERGREEN - UAN Gated Content - Embedded Petition")</f>
        <v>EVERGREEN - UAN Gated Content - Embedded Petition</v>
      </c>
      <c r="D637" s="10">
        <f ca="1">IFERROR(__xludf.DUMMYFUNCTION("""COMPUTED_VALUE"""),45690)</f>
        <v>45690</v>
      </c>
      <c r="E637" s="1" t="str">
        <f ca="1">IFERROR(__xludf.DUMMYFUNCTION("""COMPUTED_VALUE"""),"USA")</f>
        <v>USA</v>
      </c>
      <c r="F637" s="1" t="str">
        <f ca="1">IFERROR(__xludf.DUMMYFUNCTION("""COMPUTED_VALUE"""),"4.25 USA")</f>
        <v>4.25 USA</v>
      </c>
      <c r="G637" s="1" t="str">
        <f ca="1">IFERROR(__xludf.DUMMYFUNCTION("""COMPUTED_VALUE"""),"Individuals At Risk, Refugee and Migrant Rights")</f>
        <v>Individuals At Risk, Refugee and Migrant Rights</v>
      </c>
      <c r="H637" s="1" t="str">
        <f ca="1">IFERROR(__xludf.DUMMYFUNCTION("""COMPUTED_VALUE"""),"2025")</f>
        <v>2025</v>
      </c>
      <c r="I637" s="1" t="str">
        <f ca="1">IFERROR(__xludf.DUMMYFUNCTION("""COMPUTED_VALUE"""),"Letter")</f>
        <v>Letter</v>
      </c>
    </row>
    <row r="638" spans="1:9" ht="13" x14ac:dyDescent="0.15">
      <c r="A638" s="9">
        <f ca="1">IFERROR(__xludf.DUMMYFUNCTION("""COMPUTED_VALUE"""),31551643)</f>
        <v>31551643</v>
      </c>
      <c r="B638" s="1" t="str">
        <f ca="1">IFERROR(__xludf.DUMMYFUNCTION("""COMPUTED_VALUE"""),"hummelc2@gmail.com")</f>
        <v>hummelc2@gmail.com</v>
      </c>
      <c r="C638" s="9" t="str">
        <f ca="1">IFERROR(__xludf.DUMMYFUNCTION("""COMPUTED_VALUE"""),"EVERGREEN - UAN Gated Content - Embedded Petition")</f>
        <v>EVERGREEN - UAN Gated Content - Embedded Petition</v>
      </c>
      <c r="D638" s="10">
        <f ca="1">IFERROR(__xludf.DUMMYFUNCTION("""COMPUTED_VALUE"""),45690)</f>
        <v>45690</v>
      </c>
      <c r="E638" s="1" t="str">
        <f ca="1">IFERROR(__xludf.DUMMYFUNCTION("""COMPUTED_VALUE"""),"Venezuela")</f>
        <v>Venezuela</v>
      </c>
      <c r="F638" s="1" t="str">
        <f ca="1">IFERROR(__xludf.DUMMYFUNCTION("""COMPUTED_VALUE"""),"97.24 Venezuela")</f>
        <v>97.24 Venezuela</v>
      </c>
      <c r="G638" s="1" t="str">
        <f ca="1">IFERROR(__xludf.DUMMYFUNCTION("""COMPUTED_VALUE"""),"Freedom of Expression")</f>
        <v>Freedom of Expression</v>
      </c>
      <c r="H638" s="1" t="str">
        <f ca="1">IFERROR(__xludf.DUMMYFUNCTION("""COMPUTED_VALUE"""),"2024")</f>
        <v>2024</v>
      </c>
      <c r="I638" s="1" t="str">
        <f ca="1">IFERROR(__xludf.DUMMYFUNCTION("""COMPUTED_VALUE"""),"Letter")</f>
        <v>Letter</v>
      </c>
    </row>
    <row r="639" spans="1:9" ht="13" x14ac:dyDescent="0.15">
      <c r="A639" s="9">
        <f ca="1">IFERROR(__xludf.DUMMYFUNCTION("""COMPUTED_VALUE"""),31551643)</f>
        <v>31551643</v>
      </c>
      <c r="B639" s="1" t="str">
        <f ca="1">IFERROR(__xludf.DUMMYFUNCTION("""COMPUTED_VALUE"""),"hummelc2@gmail.com")</f>
        <v>hummelc2@gmail.com</v>
      </c>
      <c r="C639" s="9" t="str">
        <f ca="1">IFERROR(__xludf.DUMMYFUNCTION("""COMPUTED_VALUE"""),"EVERGREEN - UAN Gated Content - Embedded Petition")</f>
        <v>EVERGREEN - UAN Gated Content - Embedded Petition</v>
      </c>
      <c r="D639" s="10">
        <f ca="1">IFERROR(__xludf.DUMMYFUNCTION("""COMPUTED_VALUE"""),45690)</f>
        <v>45690</v>
      </c>
      <c r="E639" s="1" t="str">
        <f ca="1">IFERROR(__xludf.DUMMYFUNCTION("""COMPUTED_VALUE"""),"Egypt")</f>
        <v>Egypt</v>
      </c>
      <c r="F639" s="1" t="str">
        <f ca="1">IFERROR(__xludf.DUMMYFUNCTION("""COMPUTED_VALUE"""),"Ninth 190.18 Egypt")</f>
        <v>Ninth 190.18 Egypt</v>
      </c>
      <c r="G639" s="1" t="str">
        <f ca="1">IFERROR(__xludf.DUMMYFUNCTION("""COMPUTED_VALUE"""),"Freedom of Expression, Individuals At Risk")</f>
        <v>Freedom of Expression, Individuals At Risk</v>
      </c>
      <c r="H639" s="1" t="str">
        <f ca="1">IFERROR(__xludf.DUMMYFUNCTION("""COMPUTED_VALUE"""),"2024")</f>
        <v>2024</v>
      </c>
      <c r="I639" s="1" t="str">
        <f ca="1">IFERROR(__xludf.DUMMYFUNCTION("""COMPUTED_VALUE"""),"Letter")</f>
        <v>Letter</v>
      </c>
    </row>
    <row r="640" spans="1:9" ht="13" x14ac:dyDescent="0.15">
      <c r="A640" s="9">
        <f ca="1">IFERROR(__xludf.DUMMYFUNCTION("""COMPUTED_VALUE"""),31551643)</f>
        <v>31551643</v>
      </c>
      <c r="B640" s="1" t="str">
        <f ca="1">IFERROR(__xludf.DUMMYFUNCTION("""COMPUTED_VALUE"""),"hummelc2@gmail.com")</f>
        <v>hummelc2@gmail.com</v>
      </c>
      <c r="C640" s="9" t="str">
        <f ca="1">IFERROR(__xludf.DUMMYFUNCTION("""COMPUTED_VALUE"""),"EVERGREEN - UAN Gated Content - Embedded Petition")</f>
        <v>EVERGREEN - UAN Gated Content - Embedded Petition</v>
      </c>
      <c r="D640" s="10">
        <f ca="1">IFERROR(__xludf.DUMMYFUNCTION("""COMPUTED_VALUE"""),45690)</f>
        <v>45690</v>
      </c>
      <c r="E640" s="1" t="str">
        <f ca="1">IFERROR(__xludf.DUMMYFUNCTION("""COMPUTED_VALUE"""),"Dominican Republic")</f>
        <v>Dominican Republic</v>
      </c>
      <c r="F640" s="1" t="str">
        <f ca="1">IFERROR(__xludf.DUMMYFUNCTION("""COMPUTED_VALUE"""),"88.24 Dominican Republic")</f>
        <v>88.24 Dominican Republic</v>
      </c>
      <c r="G640" s="1" t="str">
        <f ca="1">IFERROR(__xludf.DUMMYFUNCTION("""COMPUTED_VALUE"""),"Individuals At Risk, Refugee and Migrant Rights")</f>
        <v>Individuals At Risk, Refugee and Migrant Rights</v>
      </c>
      <c r="H640" s="1" t="str">
        <f ca="1">IFERROR(__xludf.DUMMYFUNCTION("""COMPUTED_VALUE"""),"2024")</f>
        <v>2024</v>
      </c>
      <c r="I640" s="1" t="str">
        <f ca="1">IFERROR(__xludf.DUMMYFUNCTION("""COMPUTED_VALUE"""),"Letter")</f>
        <v>Letter</v>
      </c>
    </row>
    <row r="641" spans="1:9" ht="13" x14ac:dyDescent="0.15">
      <c r="A641" s="9">
        <f ca="1">IFERROR(__xludf.DUMMYFUNCTION("""COMPUTED_VALUE"""),31551643)</f>
        <v>31551643</v>
      </c>
      <c r="B641" s="1" t="str">
        <f ca="1">IFERROR(__xludf.DUMMYFUNCTION("""COMPUTED_VALUE"""),"hummelc2@gmail.com")</f>
        <v>hummelc2@gmail.com</v>
      </c>
      <c r="C641" s="9" t="str">
        <f ca="1">IFERROR(__xludf.DUMMYFUNCTION("""COMPUTED_VALUE"""),"EVERGREEN - UAN Gated Content - Embedded Petition")</f>
        <v>EVERGREEN - UAN Gated Content - Embedded Petition</v>
      </c>
      <c r="D641" s="10">
        <f ca="1">IFERROR(__xludf.DUMMYFUNCTION("""COMPUTED_VALUE"""),45690)</f>
        <v>45690</v>
      </c>
      <c r="E641" s="1" t="str">
        <f ca="1">IFERROR(__xludf.DUMMYFUNCTION("""COMPUTED_VALUE"""),"China")</f>
        <v>China</v>
      </c>
      <c r="F641" s="1" t="str">
        <f ca="1">IFERROR(__xludf.DUMMYFUNCTION("""COMPUTED_VALUE"""),"98.24 China")</f>
        <v>98.24 China</v>
      </c>
      <c r="G641" s="1" t="str">
        <f ca="1">IFERROR(__xludf.DUMMYFUNCTION("""COMPUTED_VALUE"""),"Freedom of Expression, Individuals At Risk")</f>
        <v>Freedom of Expression, Individuals At Risk</v>
      </c>
      <c r="H641" s="1" t="str">
        <f ca="1">IFERROR(__xludf.DUMMYFUNCTION("""COMPUTED_VALUE"""),"2024")</f>
        <v>2024</v>
      </c>
      <c r="I641" s="1" t="str">
        <f ca="1">IFERROR(__xludf.DUMMYFUNCTION("""COMPUTED_VALUE"""),"Letter")</f>
        <v>Letter</v>
      </c>
    </row>
    <row r="642" spans="1:9" ht="13" x14ac:dyDescent="0.15">
      <c r="A642" s="9">
        <f ca="1">IFERROR(__xludf.DUMMYFUNCTION("""COMPUTED_VALUE"""),31551643)</f>
        <v>31551643</v>
      </c>
      <c r="B642" s="1" t="str">
        <f ca="1">IFERROR(__xludf.DUMMYFUNCTION("""COMPUTED_VALUE"""),"hummelc2@gmail.com")</f>
        <v>hummelc2@gmail.com</v>
      </c>
      <c r="C642" s="9" t="str">
        <f ca="1">IFERROR(__xludf.DUMMYFUNCTION("""COMPUTED_VALUE"""),"EVERGREEN - UAN Gated Content - Embedded Petition")</f>
        <v>EVERGREEN - UAN Gated Content - Embedded Petition</v>
      </c>
      <c r="D642" s="10">
        <f ca="1">IFERROR(__xludf.DUMMYFUNCTION("""COMPUTED_VALUE"""),45690)</f>
        <v>45690</v>
      </c>
      <c r="E642" s="1" t="str">
        <f ca="1">IFERROR(__xludf.DUMMYFUNCTION("""COMPUTED_VALUE"""),"USA")</f>
        <v>USA</v>
      </c>
      <c r="F642" s="1" t="str">
        <f ca="1">IFERROR(__xludf.DUMMYFUNCTION("""COMPUTED_VALUE"""),"105.24 USA")</f>
        <v>105.24 USA</v>
      </c>
      <c r="G642" s="1" t="str">
        <f ca="1">IFERROR(__xludf.DUMMYFUNCTION("""COMPUTED_VALUE"""),"Death Penalty")</f>
        <v>Death Penalty</v>
      </c>
      <c r="H642" s="1" t="str">
        <f ca="1">IFERROR(__xludf.DUMMYFUNCTION("""COMPUTED_VALUE"""),"2024")</f>
        <v>2024</v>
      </c>
      <c r="I642" s="1" t="str">
        <f ca="1">IFERROR(__xludf.DUMMYFUNCTION("""COMPUTED_VALUE"""),"Email")</f>
        <v>Email</v>
      </c>
    </row>
    <row r="643" spans="1:9" ht="13" x14ac:dyDescent="0.15">
      <c r="A643" s="9">
        <f ca="1">IFERROR(__xludf.DUMMYFUNCTION("""COMPUTED_VALUE"""),31551643)</f>
        <v>31551643</v>
      </c>
      <c r="B643" s="1" t="str">
        <f ca="1">IFERROR(__xludf.DUMMYFUNCTION("""COMPUTED_VALUE"""),"hummelc2@gmail.com")</f>
        <v>hummelc2@gmail.com</v>
      </c>
      <c r="C643" s="9" t="str">
        <f ca="1">IFERROR(__xludf.DUMMYFUNCTION("""COMPUTED_VALUE"""),"EVERGREEN - UAN Gated Content - Embedded Petition")</f>
        <v>EVERGREEN - UAN Gated Content - Embedded Petition</v>
      </c>
      <c r="D643" s="10">
        <f ca="1">IFERROR(__xludf.DUMMYFUNCTION("""COMPUTED_VALUE"""),45694)</f>
        <v>45694</v>
      </c>
      <c r="E643" s="1" t="str">
        <f ca="1">IFERROR(__xludf.DUMMYFUNCTION("""COMPUTED_VALUE"""),"Dominican Republic")</f>
        <v>Dominican Republic</v>
      </c>
      <c r="F643" s="1" t="str">
        <f ca="1">IFERROR(__xludf.DUMMYFUNCTION("""COMPUTED_VALUE"""),"88.24 Dominican Republic")</f>
        <v>88.24 Dominican Republic</v>
      </c>
      <c r="G643" s="1" t="str">
        <f ca="1">IFERROR(__xludf.DUMMYFUNCTION("""COMPUTED_VALUE"""),"Individuals At Risk, Refugee and Migrant Rights")</f>
        <v>Individuals At Risk, Refugee and Migrant Rights</v>
      </c>
      <c r="H643" s="1" t="str">
        <f ca="1">IFERROR(__xludf.DUMMYFUNCTION("""COMPUTED_VALUE"""),"2024")</f>
        <v>2024</v>
      </c>
      <c r="I643" s="1" t="str">
        <f ca="1">IFERROR(__xludf.DUMMYFUNCTION("""COMPUTED_VALUE"""),"Letter")</f>
        <v>Letter</v>
      </c>
    </row>
    <row r="644" spans="1:9" ht="13" x14ac:dyDescent="0.15">
      <c r="A644" s="9">
        <f ca="1">IFERROR(__xludf.DUMMYFUNCTION("""COMPUTED_VALUE"""),31551643)</f>
        <v>31551643</v>
      </c>
      <c r="B644" s="1" t="str">
        <f ca="1">IFERROR(__xludf.DUMMYFUNCTION("""COMPUTED_VALUE"""),"hummelc2@gmail.com")</f>
        <v>hummelc2@gmail.com</v>
      </c>
      <c r="C644" s="9" t="str">
        <f ca="1">IFERROR(__xludf.DUMMYFUNCTION("""COMPUTED_VALUE"""),"EVERGREEN - Website Email Capture Form - UAN Pre-Footer")</f>
        <v>EVERGREEN - Website Email Capture Form - UAN Pre-Footer</v>
      </c>
      <c r="D644" s="10">
        <f ca="1">IFERROR(__xludf.DUMMYFUNCTION("""COMPUTED_VALUE"""),45629)</f>
        <v>45629</v>
      </c>
      <c r="E644" s="1" t="str">
        <f ca="1">IFERROR(__xludf.DUMMYFUNCTION("""COMPUTED_VALUE"""),"Uganda")</f>
        <v>Uganda</v>
      </c>
      <c r="F644" s="1" t="str">
        <f ca="1">IFERROR(__xludf.DUMMYFUNCTION("""COMPUTED_VALUE"""),"100.24 Uganda")</f>
        <v>100.24 Uganda</v>
      </c>
      <c r="G644" s="1" t="str">
        <f ca="1">IFERROR(__xludf.DUMMYFUNCTION("""COMPUTED_VALUE"""),"Freedom of Expression")</f>
        <v>Freedom of Expression</v>
      </c>
      <c r="H644" s="1" t="str">
        <f ca="1">IFERROR(__xludf.DUMMYFUNCTION("""COMPUTED_VALUE"""),"2024")</f>
        <v>2024</v>
      </c>
      <c r="I644" s="1" t="str">
        <f ca="1">IFERROR(__xludf.DUMMYFUNCTION("""COMPUTED_VALUE"""),"Email")</f>
        <v>Email</v>
      </c>
    </row>
    <row r="645" spans="1:9" ht="13" x14ac:dyDescent="0.15">
      <c r="A645" s="9">
        <f ca="1">IFERROR(__xludf.DUMMYFUNCTION("""COMPUTED_VALUE"""),31564195)</f>
        <v>31564195</v>
      </c>
      <c r="B645" s="1" t="str">
        <f ca="1">IFERROR(__xludf.DUMMYFUNCTION("""COMPUTED_VALUE"""),"azanella@kecksci.claremont.edu")</f>
        <v>azanella@kecksci.claremont.edu</v>
      </c>
      <c r="C645" s="9" t="str">
        <f ca="1">IFERROR(__xludf.DUMMYFUNCTION("""COMPUTED_VALUE"""),"EVERGREEN - UAN Gated Content - Embedded Petition")</f>
        <v>EVERGREEN - UAN Gated Content - Embedded Petition</v>
      </c>
      <c r="D645" s="10">
        <f ca="1">IFERROR(__xludf.DUMMYFUNCTION("""COMPUTED_VALUE"""),45699)</f>
        <v>45699</v>
      </c>
      <c r="E645" s="1" t="str">
        <f ca="1">IFERROR(__xludf.DUMMYFUNCTION("""COMPUTED_VALUE"""),"USA")</f>
        <v>USA</v>
      </c>
      <c r="F645" s="1" t="str">
        <f ca="1">IFERROR(__xludf.DUMMYFUNCTION("""COMPUTED_VALUE"""),"105.24 USA")</f>
        <v>105.24 USA</v>
      </c>
      <c r="G645" s="1" t="str">
        <f ca="1">IFERROR(__xludf.DUMMYFUNCTION("""COMPUTED_VALUE"""),"Death Penalty")</f>
        <v>Death Penalty</v>
      </c>
      <c r="H645" s="1" t="str">
        <f ca="1">IFERROR(__xludf.DUMMYFUNCTION("""COMPUTED_VALUE"""),"2024")</f>
        <v>2024</v>
      </c>
      <c r="I645" s="1" t="str">
        <f ca="1">IFERROR(__xludf.DUMMYFUNCTION("""COMPUTED_VALUE"""),"Email")</f>
        <v>Email</v>
      </c>
    </row>
    <row r="646" spans="1:9" ht="13" x14ac:dyDescent="0.15">
      <c r="A646" s="9">
        <f ca="1">IFERROR(__xludf.DUMMYFUNCTION("""COMPUTED_VALUE"""),31565219)</f>
        <v>31565219</v>
      </c>
      <c r="B646" s="1" t="str">
        <f ca="1">IFERROR(__xludf.DUMMYFUNCTION("""COMPUTED_VALUE"""),"lisa@affentranger.ch")</f>
        <v>lisa@affentranger.ch</v>
      </c>
      <c r="C646" s="9" t="str">
        <f ca="1">IFERROR(__xludf.DUMMYFUNCTION("""COMPUTED_VALUE"""),"EVERGREEN - UAN Gated Content - Embedded Petition")</f>
        <v>EVERGREEN - UAN Gated Content - Embedded Petition</v>
      </c>
      <c r="D646" s="10">
        <f ca="1">IFERROR(__xludf.DUMMYFUNCTION("""COMPUTED_VALUE"""),45696)</f>
        <v>45696</v>
      </c>
      <c r="E646" s="1" t="str">
        <f ca="1">IFERROR(__xludf.DUMMYFUNCTION("""COMPUTED_VALUE"""),"Egypt")</f>
        <v>Egypt</v>
      </c>
      <c r="F646" s="1" t="str">
        <f ca="1">IFERROR(__xludf.DUMMYFUNCTION("""COMPUTED_VALUE"""),"Ninth 190.18 Egypt")</f>
        <v>Ninth 190.18 Egypt</v>
      </c>
      <c r="G646" s="1" t="str">
        <f ca="1">IFERROR(__xludf.DUMMYFUNCTION("""COMPUTED_VALUE"""),"Freedom of Expression, Individuals At Risk")</f>
        <v>Freedom of Expression, Individuals At Risk</v>
      </c>
      <c r="H646" s="1" t="str">
        <f ca="1">IFERROR(__xludf.DUMMYFUNCTION("""COMPUTED_VALUE"""),"2024")</f>
        <v>2024</v>
      </c>
      <c r="I646" s="1" t="str">
        <f ca="1">IFERROR(__xludf.DUMMYFUNCTION("""COMPUTED_VALUE"""),"Letter")</f>
        <v>Letter</v>
      </c>
    </row>
    <row r="647" spans="1:9" ht="13" x14ac:dyDescent="0.15">
      <c r="A647" s="9">
        <f ca="1">IFERROR(__xludf.DUMMYFUNCTION("""COMPUTED_VALUE"""),31565219)</f>
        <v>31565219</v>
      </c>
      <c r="B647" s="1" t="str">
        <f ca="1">IFERROR(__xludf.DUMMYFUNCTION("""COMPUTED_VALUE"""),"lisa@affentranger.ch")</f>
        <v>lisa@affentranger.ch</v>
      </c>
      <c r="C647" s="9" t="str">
        <f ca="1">IFERROR(__xludf.DUMMYFUNCTION("""COMPUTED_VALUE"""),"EVERGREEN - UAN Gated Content - Embedded Petition")</f>
        <v>EVERGREEN - UAN Gated Content - Embedded Petition</v>
      </c>
      <c r="D647" s="10">
        <f ca="1">IFERROR(__xludf.DUMMYFUNCTION("""COMPUTED_VALUE"""),45696)</f>
        <v>45696</v>
      </c>
      <c r="E647" s="1" t="str">
        <f ca="1">IFERROR(__xludf.DUMMYFUNCTION("""COMPUTED_VALUE"""),"USA")</f>
        <v>USA</v>
      </c>
      <c r="F647" s="1" t="str">
        <f ca="1">IFERROR(__xludf.DUMMYFUNCTION("""COMPUTED_VALUE"""),"4.25 USA")</f>
        <v>4.25 USA</v>
      </c>
      <c r="G647" s="1" t="str">
        <f ca="1">IFERROR(__xludf.DUMMYFUNCTION("""COMPUTED_VALUE"""),"Individuals At Risk, Refugee and Migrant Rights")</f>
        <v>Individuals At Risk, Refugee and Migrant Rights</v>
      </c>
      <c r="H647" s="1" t="str">
        <f ca="1">IFERROR(__xludf.DUMMYFUNCTION("""COMPUTED_VALUE"""),"2025")</f>
        <v>2025</v>
      </c>
      <c r="I647" s="1" t="str">
        <f ca="1">IFERROR(__xludf.DUMMYFUNCTION("""COMPUTED_VALUE"""),"Letter")</f>
        <v>Letter</v>
      </c>
    </row>
    <row r="648" spans="1:9" ht="13" x14ac:dyDescent="0.15">
      <c r="A648" s="9">
        <f ca="1">IFERROR(__xludf.DUMMYFUNCTION("""COMPUTED_VALUE"""),31565219)</f>
        <v>31565219</v>
      </c>
      <c r="B648" s="1" t="str">
        <f ca="1">IFERROR(__xludf.DUMMYFUNCTION("""COMPUTED_VALUE"""),"lisa@affentranger.ch")</f>
        <v>lisa@affentranger.ch</v>
      </c>
      <c r="C648" s="9" t="str">
        <f ca="1">IFERROR(__xludf.DUMMYFUNCTION("""COMPUTED_VALUE"""),"EVERGREEN - UAN Gated Content - Embedded Petition")</f>
        <v>EVERGREEN - UAN Gated Content - Embedded Petition</v>
      </c>
      <c r="D648" s="10">
        <f ca="1">IFERROR(__xludf.DUMMYFUNCTION("""COMPUTED_VALUE"""),45619)</f>
        <v>45619</v>
      </c>
      <c r="E648" s="1" t="str">
        <f ca="1">IFERROR(__xludf.DUMMYFUNCTION("""COMPUTED_VALUE"""),"USA")</f>
        <v>USA</v>
      </c>
      <c r="F648" s="1" t="str">
        <f ca="1">IFERROR(__xludf.DUMMYFUNCTION("""COMPUTED_VALUE"""),"4.25 USA")</f>
        <v>4.25 USA</v>
      </c>
      <c r="G648" s="1" t="str">
        <f ca="1">IFERROR(__xludf.DUMMYFUNCTION("""COMPUTED_VALUE"""),"Individuals At Risk, Refugee and Migrant Rights")</f>
        <v>Individuals At Risk, Refugee and Migrant Rights</v>
      </c>
      <c r="H648" s="1" t="str">
        <f ca="1">IFERROR(__xludf.DUMMYFUNCTION("""COMPUTED_VALUE"""),"2025")</f>
        <v>2025</v>
      </c>
      <c r="I648" s="1" t="str">
        <f ca="1">IFERROR(__xludf.DUMMYFUNCTION("""COMPUTED_VALUE"""),"Letter")</f>
        <v>Letter</v>
      </c>
    </row>
    <row r="649" spans="1:9" ht="13" x14ac:dyDescent="0.15">
      <c r="A649" s="9">
        <f ca="1">IFERROR(__xludf.DUMMYFUNCTION("""COMPUTED_VALUE"""),31565219)</f>
        <v>31565219</v>
      </c>
      <c r="B649" s="1" t="str">
        <f ca="1">IFERROR(__xludf.DUMMYFUNCTION("""COMPUTED_VALUE"""),"lisa@affentranger.ch")</f>
        <v>lisa@affentranger.ch</v>
      </c>
      <c r="C649" s="9" t="str">
        <f ca="1">IFERROR(__xludf.DUMMYFUNCTION("""COMPUTED_VALUE"""),"EVERGREEN - UAN Gated Content - Embedded Petition")</f>
        <v>EVERGREEN - UAN Gated Content - Embedded Petition</v>
      </c>
      <c r="D649" s="10">
        <f ca="1">IFERROR(__xludf.DUMMYFUNCTION("""COMPUTED_VALUE"""),45636)</f>
        <v>45636</v>
      </c>
      <c r="E649" s="1" t="str">
        <f ca="1">IFERROR(__xludf.DUMMYFUNCTION("""COMPUTED_VALUE"""),"USA")</f>
        <v>USA</v>
      </c>
      <c r="F649" s="1" t="str">
        <f ca="1">IFERROR(__xludf.DUMMYFUNCTION("""COMPUTED_VALUE"""),"105.24 USA")</f>
        <v>105.24 USA</v>
      </c>
      <c r="G649" s="1" t="str">
        <f ca="1">IFERROR(__xludf.DUMMYFUNCTION("""COMPUTED_VALUE"""),"Death Penalty")</f>
        <v>Death Penalty</v>
      </c>
      <c r="H649" s="1" t="str">
        <f ca="1">IFERROR(__xludf.DUMMYFUNCTION("""COMPUTED_VALUE"""),"2024")</f>
        <v>2024</v>
      </c>
      <c r="I649" s="1" t="str">
        <f ca="1">IFERROR(__xludf.DUMMYFUNCTION("""COMPUTED_VALUE"""),"Email")</f>
        <v>Email</v>
      </c>
    </row>
    <row r="650" spans="1:9" ht="13" x14ac:dyDescent="0.15">
      <c r="A650" s="9">
        <f ca="1">IFERROR(__xludf.DUMMYFUNCTION("""COMPUTED_VALUE"""),31565219)</f>
        <v>31565219</v>
      </c>
      <c r="B650" s="1" t="str">
        <f ca="1">IFERROR(__xludf.DUMMYFUNCTION("""COMPUTED_VALUE"""),"lisa@affentranger.ch")</f>
        <v>lisa@affentranger.ch</v>
      </c>
      <c r="C650" s="9" t="str">
        <f ca="1">IFERROR(__xludf.DUMMYFUNCTION("""COMPUTED_VALUE"""),"EVERGREEN - UAN Gated Content - Embedded Petition")</f>
        <v>EVERGREEN - UAN Gated Content - Embedded Petition</v>
      </c>
      <c r="D650" s="10">
        <f ca="1">IFERROR(__xludf.DUMMYFUNCTION("""COMPUTED_VALUE"""),45636)</f>
        <v>45636</v>
      </c>
      <c r="E650" s="1" t="str">
        <f ca="1">IFERROR(__xludf.DUMMYFUNCTION("""COMPUTED_VALUE"""),"Israel and Occupied Palestinian Territories")</f>
        <v>Israel and Occupied Palestinian Territories</v>
      </c>
      <c r="F650" s="1" t="str">
        <f ca="1">IFERROR(__xludf.DUMMYFUNCTION("""COMPUTED_VALUE"""),"3.25 IOPT")</f>
        <v>3.25 IOPT</v>
      </c>
      <c r="G650" s="1" t="str">
        <f ca="1">IFERROR(__xludf.DUMMYFUNCTION("""COMPUTED_VALUE"""),"Freedom of Expression, Individuals At Risk")</f>
        <v>Freedom of Expression, Individuals At Risk</v>
      </c>
      <c r="H650" s="1" t="str">
        <f ca="1">IFERROR(__xludf.DUMMYFUNCTION("""COMPUTED_VALUE"""),"2025")</f>
        <v>2025</v>
      </c>
      <c r="I650" s="1" t="str">
        <f ca="1">IFERROR(__xludf.DUMMYFUNCTION("""COMPUTED_VALUE"""),"Email")</f>
        <v>Email</v>
      </c>
    </row>
    <row r="651" spans="1:9" ht="13" x14ac:dyDescent="0.15">
      <c r="A651" s="9">
        <f ca="1">IFERROR(__xludf.DUMMYFUNCTION("""COMPUTED_VALUE"""),31565219)</f>
        <v>31565219</v>
      </c>
      <c r="B651" s="1" t="str">
        <f ca="1">IFERROR(__xludf.DUMMYFUNCTION("""COMPUTED_VALUE"""),"lisa@affentranger.ch")</f>
        <v>lisa@affentranger.ch</v>
      </c>
      <c r="C651" s="9" t="str">
        <f ca="1">IFERROR(__xludf.DUMMYFUNCTION("""COMPUTED_VALUE"""),"EVERGREEN - UAN Gated Content - Embedded Petition")</f>
        <v>EVERGREEN - UAN Gated Content - Embedded Petition</v>
      </c>
      <c r="D651" s="10">
        <f ca="1">IFERROR(__xludf.DUMMYFUNCTION("""COMPUTED_VALUE"""),45617)</f>
        <v>45617</v>
      </c>
      <c r="E651" s="1" t="str">
        <f ca="1">IFERROR(__xludf.DUMMYFUNCTION("""COMPUTED_VALUE"""),"USA")</f>
        <v>USA</v>
      </c>
      <c r="F651" s="1" t="str">
        <f ca="1">IFERROR(__xludf.DUMMYFUNCTION("""COMPUTED_VALUE"""),"4.25 USA")</f>
        <v>4.25 USA</v>
      </c>
      <c r="G651" s="1" t="str">
        <f ca="1">IFERROR(__xludf.DUMMYFUNCTION("""COMPUTED_VALUE"""),"Individuals At Risk, Refugee and Migrant Rights")</f>
        <v>Individuals At Risk, Refugee and Migrant Rights</v>
      </c>
      <c r="H651" s="1" t="str">
        <f ca="1">IFERROR(__xludf.DUMMYFUNCTION("""COMPUTED_VALUE"""),"2025")</f>
        <v>2025</v>
      </c>
      <c r="I651" s="1" t="str">
        <f ca="1">IFERROR(__xludf.DUMMYFUNCTION("""COMPUTED_VALUE"""),"Letter")</f>
        <v>Letter</v>
      </c>
    </row>
    <row r="652" spans="1:9" ht="13" x14ac:dyDescent="0.15">
      <c r="A652" s="9">
        <f ca="1">IFERROR(__xludf.DUMMYFUNCTION("""COMPUTED_VALUE"""),31565219)</f>
        <v>31565219</v>
      </c>
      <c r="B652" s="1" t="str">
        <f ca="1">IFERROR(__xludf.DUMMYFUNCTION("""COMPUTED_VALUE"""),"lisa@affentranger.ch")</f>
        <v>lisa@affentranger.ch</v>
      </c>
      <c r="C652" s="9" t="str">
        <f ca="1">IFERROR(__xludf.DUMMYFUNCTION("""COMPUTED_VALUE"""),"EVERGREEN - UAN Gated Content - Embedded Petition")</f>
        <v>EVERGREEN - UAN Gated Content - Embedded Petition</v>
      </c>
      <c r="D652" s="10">
        <f ca="1">IFERROR(__xludf.DUMMYFUNCTION("""COMPUTED_VALUE"""),45696)</f>
        <v>45696</v>
      </c>
      <c r="E652" s="1" t="str">
        <f ca="1">IFERROR(__xludf.DUMMYFUNCTION("""COMPUTED_VALUE"""),"Tunisia")</f>
        <v>Tunisia</v>
      </c>
      <c r="F652" s="1" t="str">
        <f ca="1">IFERROR(__xludf.DUMMYFUNCTION("""COMPUTED_VALUE"""),"Second 76.24 Tunisia")</f>
        <v>Second 76.24 Tunisia</v>
      </c>
      <c r="G652" s="1" t="str">
        <f ca="1">IFERROR(__xludf.DUMMYFUNCTION("""COMPUTED_VALUE"""),"Freedom of Expression, Human Rights Defenders")</f>
        <v>Freedom of Expression, Human Rights Defenders</v>
      </c>
      <c r="H652" s="1" t="str">
        <f ca="1">IFERROR(__xludf.DUMMYFUNCTION("""COMPUTED_VALUE"""),"2025")</f>
        <v>2025</v>
      </c>
      <c r="I652" s="1" t="str">
        <f ca="1">IFERROR(__xludf.DUMMYFUNCTION("""COMPUTED_VALUE"""),"Email")</f>
        <v>Email</v>
      </c>
    </row>
    <row r="653" spans="1:9" ht="13" x14ac:dyDescent="0.15">
      <c r="A653" s="9">
        <f ca="1">IFERROR(__xludf.DUMMYFUNCTION("""COMPUTED_VALUE"""),31565219)</f>
        <v>31565219</v>
      </c>
      <c r="B653" s="1" t="str">
        <f ca="1">IFERROR(__xludf.DUMMYFUNCTION("""COMPUTED_VALUE"""),"lisa@affentranger.ch")</f>
        <v>lisa@affentranger.ch</v>
      </c>
      <c r="C653" s="9" t="str">
        <f ca="1">IFERROR(__xludf.DUMMYFUNCTION("""COMPUTED_VALUE"""),"EVERGREEN - UAN Gated Content - Embedded Petition")</f>
        <v>EVERGREEN - UAN Gated Content - Embedded Petition</v>
      </c>
      <c r="D653" s="10">
        <f ca="1">IFERROR(__xludf.DUMMYFUNCTION("""COMPUTED_VALUE"""),45636)</f>
        <v>45636</v>
      </c>
      <c r="E653" s="1" t="str">
        <f ca="1">IFERROR(__xludf.DUMMYFUNCTION("""COMPUTED_VALUE"""),"Tunisia")</f>
        <v>Tunisia</v>
      </c>
      <c r="F653" s="1" t="str">
        <f ca="1">IFERROR(__xludf.DUMMYFUNCTION("""COMPUTED_VALUE"""),"Second 76.24 Tunisia")</f>
        <v>Second 76.24 Tunisia</v>
      </c>
      <c r="G653" s="1" t="str">
        <f ca="1">IFERROR(__xludf.DUMMYFUNCTION("""COMPUTED_VALUE"""),"Freedom of Expression, Human Rights Defenders")</f>
        <v>Freedom of Expression, Human Rights Defenders</v>
      </c>
      <c r="H653" s="1" t="str">
        <f ca="1">IFERROR(__xludf.DUMMYFUNCTION("""COMPUTED_VALUE"""),"2025")</f>
        <v>2025</v>
      </c>
      <c r="I653" s="1" t="str">
        <f ca="1">IFERROR(__xludf.DUMMYFUNCTION("""COMPUTED_VALUE"""),"Email")</f>
        <v>Email</v>
      </c>
    </row>
    <row r="654" spans="1:9" ht="13" x14ac:dyDescent="0.15">
      <c r="A654" s="9">
        <f ca="1">IFERROR(__xludf.DUMMYFUNCTION("""COMPUTED_VALUE"""),31569070)</f>
        <v>31569070</v>
      </c>
      <c r="B654" s="1" t="str">
        <f ca="1">IFERROR(__xludf.DUMMYFUNCTION("""COMPUTED_VALUE"""),"liz@carletonmccambridge.com")</f>
        <v>liz@carletonmccambridge.com</v>
      </c>
      <c r="C654" s="9" t="str">
        <f ca="1">IFERROR(__xludf.DUMMYFUNCTION("""COMPUTED_VALUE"""),"EVERGREEN - UAN Gated Content - Embedded Petition")</f>
        <v>EVERGREEN - UAN Gated Content - Embedded Petition</v>
      </c>
      <c r="D654" s="10">
        <f ca="1">IFERROR(__xludf.DUMMYFUNCTION("""COMPUTED_VALUE"""),45636)</f>
        <v>45636</v>
      </c>
      <c r="E654" s="1" t="str">
        <f ca="1">IFERROR(__xludf.DUMMYFUNCTION("""COMPUTED_VALUE"""),"Tunisia")</f>
        <v>Tunisia</v>
      </c>
      <c r="F654" s="1" t="str">
        <f ca="1">IFERROR(__xludf.DUMMYFUNCTION("""COMPUTED_VALUE"""),"Second 76.24 Tunisia")</f>
        <v>Second 76.24 Tunisia</v>
      </c>
      <c r="G654" s="1" t="str">
        <f ca="1">IFERROR(__xludf.DUMMYFUNCTION("""COMPUTED_VALUE"""),"Freedom of Expression, Human Rights Defenders")</f>
        <v>Freedom of Expression, Human Rights Defenders</v>
      </c>
      <c r="H654" s="1" t="str">
        <f ca="1">IFERROR(__xludf.DUMMYFUNCTION("""COMPUTED_VALUE"""),"2025")</f>
        <v>2025</v>
      </c>
      <c r="I654" s="1" t="str">
        <f ca="1">IFERROR(__xludf.DUMMYFUNCTION("""COMPUTED_VALUE"""),"Email")</f>
        <v>Email</v>
      </c>
    </row>
    <row r="655" spans="1:9" ht="13" x14ac:dyDescent="0.15">
      <c r="A655" s="9">
        <f ca="1">IFERROR(__xludf.DUMMYFUNCTION("""COMPUTED_VALUE"""),31569070)</f>
        <v>31569070</v>
      </c>
      <c r="B655" s="1" t="str">
        <f ca="1">IFERROR(__xludf.DUMMYFUNCTION("""COMPUTED_VALUE"""),"liz@carletonmccambridge.com")</f>
        <v>liz@carletonmccambridge.com</v>
      </c>
      <c r="C655" s="9" t="str">
        <f ca="1">IFERROR(__xludf.DUMMYFUNCTION("""COMPUTED_VALUE"""),"EVERGREEN - UAN Gated Content - Embedded Petition")</f>
        <v>EVERGREEN - UAN Gated Content - Embedded Petition</v>
      </c>
      <c r="D655" s="10">
        <f ca="1">IFERROR(__xludf.DUMMYFUNCTION("""COMPUTED_VALUE"""),45636)</f>
        <v>45636</v>
      </c>
      <c r="E655" s="1" t="str">
        <f ca="1">IFERROR(__xludf.DUMMYFUNCTION("""COMPUTED_VALUE"""),"Iran")</f>
        <v>Iran</v>
      </c>
      <c r="F655" s="1" t="str">
        <f ca="1">IFERROR(__xludf.DUMMYFUNCTION("""COMPUTED_VALUE"""),"10.25 Iran")</f>
        <v>10.25 Iran</v>
      </c>
      <c r="G655" s="1" t="str">
        <f ca="1">IFERROR(__xludf.DUMMYFUNCTION("""COMPUTED_VALUE"""),"Death Penalty, Individuals At Risk")</f>
        <v>Death Penalty, Individuals At Risk</v>
      </c>
      <c r="H655" s="1" t="str">
        <f ca="1">IFERROR(__xludf.DUMMYFUNCTION("""COMPUTED_VALUE"""),"2025")</f>
        <v>2025</v>
      </c>
      <c r="I655" s="1" t="str">
        <f ca="1">IFERROR(__xludf.DUMMYFUNCTION("""COMPUTED_VALUE"""),"Email")</f>
        <v>Email</v>
      </c>
    </row>
    <row r="656" spans="1:9" ht="13" x14ac:dyDescent="0.15">
      <c r="A656" s="9">
        <f ca="1">IFERROR(__xludf.DUMMYFUNCTION("""COMPUTED_VALUE"""),31569070)</f>
        <v>31569070</v>
      </c>
      <c r="B656" s="1" t="str">
        <f ca="1">IFERROR(__xludf.DUMMYFUNCTION("""COMPUTED_VALUE"""),"liz@carletonmccambridge.com")</f>
        <v>liz@carletonmccambridge.com</v>
      </c>
      <c r="C656" s="9" t="str">
        <f ca="1">IFERROR(__xludf.DUMMYFUNCTION("""COMPUTED_VALUE"""),"EVERGREEN - UAN Gated Content - Embedded Petition")</f>
        <v>EVERGREEN - UAN Gated Content - Embedded Petition</v>
      </c>
      <c r="D656" s="10">
        <f ca="1">IFERROR(__xludf.DUMMYFUNCTION("""COMPUTED_VALUE"""),45636)</f>
        <v>45636</v>
      </c>
      <c r="E656" s="1" t="str">
        <f ca="1">IFERROR(__xludf.DUMMYFUNCTION("""COMPUTED_VALUE"""),"Dominican Republic")</f>
        <v>Dominican Republic</v>
      </c>
      <c r="F656" s="1" t="str">
        <f ca="1">IFERROR(__xludf.DUMMYFUNCTION("""COMPUTED_VALUE"""),"88.24 Dominican Republic")</f>
        <v>88.24 Dominican Republic</v>
      </c>
      <c r="G656" s="1" t="str">
        <f ca="1">IFERROR(__xludf.DUMMYFUNCTION("""COMPUTED_VALUE"""),"Individuals At Risk, Refugee and Migrant Rights")</f>
        <v>Individuals At Risk, Refugee and Migrant Rights</v>
      </c>
      <c r="H656" s="1" t="str">
        <f ca="1">IFERROR(__xludf.DUMMYFUNCTION("""COMPUTED_VALUE"""),"2024")</f>
        <v>2024</v>
      </c>
      <c r="I656" s="1" t="str">
        <f ca="1">IFERROR(__xludf.DUMMYFUNCTION("""COMPUTED_VALUE"""),"Letter")</f>
        <v>Letter</v>
      </c>
    </row>
    <row r="657" spans="1:9" ht="13" x14ac:dyDescent="0.15">
      <c r="A657" s="9">
        <f ca="1">IFERROR(__xludf.DUMMYFUNCTION("""COMPUTED_VALUE"""),31569070)</f>
        <v>31569070</v>
      </c>
      <c r="B657" s="1" t="str">
        <f ca="1">IFERROR(__xludf.DUMMYFUNCTION("""COMPUTED_VALUE"""),"liz@carletonmccambridge.com")</f>
        <v>liz@carletonmccambridge.com</v>
      </c>
      <c r="C657" s="9" t="str">
        <f ca="1">IFERROR(__xludf.DUMMYFUNCTION("""COMPUTED_VALUE"""),"EVERGREEN - UAN Gated Content - Embedded Petition")</f>
        <v>EVERGREEN - UAN Gated Content - Embedded Petition</v>
      </c>
      <c r="D657" s="10">
        <f ca="1">IFERROR(__xludf.DUMMYFUNCTION("""COMPUTED_VALUE"""),45636)</f>
        <v>45636</v>
      </c>
      <c r="E657" s="1" t="str">
        <f ca="1">IFERROR(__xludf.DUMMYFUNCTION("""COMPUTED_VALUE"""),"USA")</f>
        <v>USA</v>
      </c>
      <c r="F657" s="1" t="str">
        <f ca="1">IFERROR(__xludf.DUMMYFUNCTION("""COMPUTED_VALUE"""),"105.24 USA")</f>
        <v>105.24 USA</v>
      </c>
      <c r="G657" s="1" t="str">
        <f ca="1">IFERROR(__xludf.DUMMYFUNCTION("""COMPUTED_VALUE"""),"Death Penalty")</f>
        <v>Death Penalty</v>
      </c>
      <c r="H657" s="1" t="str">
        <f ca="1">IFERROR(__xludf.DUMMYFUNCTION("""COMPUTED_VALUE"""),"2024")</f>
        <v>2024</v>
      </c>
      <c r="I657" s="1" t="str">
        <f ca="1">IFERROR(__xludf.DUMMYFUNCTION("""COMPUTED_VALUE"""),"Email")</f>
        <v>Email</v>
      </c>
    </row>
    <row r="658" spans="1:9" ht="13" x14ac:dyDescent="0.15">
      <c r="A658" s="9">
        <f ca="1">IFERROR(__xludf.DUMMYFUNCTION("""COMPUTED_VALUE"""),31569070)</f>
        <v>31569070</v>
      </c>
      <c r="B658" s="1" t="str">
        <f ca="1">IFERROR(__xludf.DUMMYFUNCTION("""COMPUTED_VALUE"""),"liz@carletonmccambridge.com")</f>
        <v>liz@carletonmccambridge.com</v>
      </c>
      <c r="C658" s="9" t="str">
        <f ca="1">IFERROR(__xludf.DUMMYFUNCTION("""COMPUTED_VALUE"""),"EVERGREEN - UAN Gated Content - Embedded Petition")</f>
        <v>EVERGREEN - UAN Gated Content - Embedded Petition</v>
      </c>
      <c r="D658" s="10">
        <f ca="1">IFERROR(__xludf.DUMMYFUNCTION("""COMPUTED_VALUE"""),45636)</f>
        <v>45636</v>
      </c>
      <c r="E658" s="1" t="str">
        <f ca="1">IFERROR(__xludf.DUMMYFUNCTION("""COMPUTED_VALUE"""),"Iran")</f>
        <v>Iran</v>
      </c>
      <c r="F658" s="1" t="str">
        <f ca="1">IFERROR(__xludf.DUMMYFUNCTION("""COMPUTED_VALUE"""),"Seventh 103.22 Iran")</f>
        <v>Seventh 103.22 Iran</v>
      </c>
      <c r="G658" s="1" t="str">
        <f ca="1">IFERROR(__xludf.DUMMYFUNCTION("""COMPUTED_VALUE"""),"Death Penalty, Freedom of Expression, Individuals At Risk")</f>
        <v>Death Penalty, Freedom of Expression, Individuals At Risk</v>
      </c>
      <c r="H658" s="1" t="str">
        <f ca="1">IFERROR(__xludf.DUMMYFUNCTION("""COMPUTED_VALUE"""),"2024")</f>
        <v>2024</v>
      </c>
      <c r="I658" s="1" t="str">
        <f ca="1">IFERROR(__xludf.DUMMYFUNCTION("""COMPUTED_VALUE"""),"Email")</f>
        <v>Email</v>
      </c>
    </row>
    <row r="659" spans="1:9" ht="13" x14ac:dyDescent="0.15">
      <c r="A659" s="9">
        <f ca="1">IFERROR(__xludf.DUMMYFUNCTION("""COMPUTED_VALUE"""),31569070)</f>
        <v>31569070</v>
      </c>
      <c r="B659" s="1" t="str">
        <f ca="1">IFERROR(__xludf.DUMMYFUNCTION("""COMPUTED_VALUE"""),"liz@carletonmccambridge.com")</f>
        <v>liz@carletonmccambridge.com</v>
      </c>
      <c r="C659" s="9" t="str">
        <f ca="1">IFERROR(__xludf.DUMMYFUNCTION("""COMPUTED_VALUE"""),"EVERGREEN - UAN Gated Content - Embedded Petition")</f>
        <v>EVERGREEN - UAN Gated Content - Embedded Petition</v>
      </c>
      <c r="D659" s="10">
        <f ca="1">IFERROR(__xludf.DUMMYFUNCTION("""COMPUTED_VALUE"""),45636)</f>
        <v>45636</v>
      </c>
      <c r="E659" s="1" t="str">
        <f ca="1">IFERROR(__xludf.DUMMYFUNCTION("""COMPUTED_VALUE"""),"Iran")</f>
        <v>Iran</v>
      </c>
      <c r="F659" s="1" t="str">
        <f ca="1">IFERROR(__xludf.DUMMYFUNCTION("""COMPUTED_VALUE"""),"Seventh 103.22 Iran")</f>
        <v>Seventh 103.22 Iran</v>
      </c>
      <c r="G659" s="1" t="str">
        <f ca="1">IFERROR(__xludf.DUMMYFUNCTION("""COMPUTED_VALUE"""),"Death Penalty, Freedom of Expression, Individuals At Risk")</f>
        <v>Death Penalty, Freedom of Expression, Individuals At Risk</v>
      </c>
      <c r="H659" s="1" t="str">
        <f ca="1">IFERROR(__xludf.DUMMYFUNCTION("""COMPUTED_VALUE"""),"2024")</f>
        <v>2024</v>
      </c>
      <c r="I659" s="1" t="str">
        <f ca="1">IFERROR(__xludf.DUMMYFUNCTION("""COMPUTED_VALUE"""),"Email")</f>
        <v>Email</v>
      </c>
    </row>
    <row r="660" spans="1:9" ht="13" x14ac:dyDescent="0.15">
      <c r="A660" s="9">
        <f ca="1">IFERROR(__xludf.DUMMYFUNCTION("""COMPUTED_VALUE"""),31569070)</f>
        <v>31569070</v>
      </c>
      <c r="B660" s="1" t="str">
        <f ca="1">IFERROR(__xludf.DUMMYFUNCTION("""COMPUTED_VALUE"""),"liz@carletonmccambridge.com")</f>
        <v>liz@carletonmccambridge.com</v>
      </c>
      <c r="C660" s="9" t="str">
        <f ca="1">IFERROR(__xludf.DUMMYFUNCTION("""COMPUTED_VALUE"""),"EVERGREEN - UAN Gated Content - Embedded Petition")</f>
        <v>EVERGREEN - UAN Gated Content - Embedded Petition</v>
      </c>
      <c r="D660" s="10">
        <f ca="1">IFERROR(__xludf.DUMMYFUNCTION("""COMPUTED_VALUE"""),45636)</f>
        <v>45636</v>
      </c>
      <c r="E660" s="1" t="str">
        <f ca="1">IFERROR(__xludf.DUMMYFUNCTION("""COMPUTED_VALUE"""),"Azerbaijan")</f>
        <v>Azerbaijan</v>
      </c>
      <c r="F660" s="1" t="str">
        <f ca="1">IFERROR(__xludf.DUMMYFUNCTION("""COMPUTED_VALUE"""),"2.25 Azerbaijan")</f>
        <v>2.25 Azerbaijan</v>
      </c>
      <c r="G660" s="1" t="str">
        <f ca="1">IFERROR(__xludf.DUMMYFUNCTION("""COMPUTED_VALUE"""),"Freedom of Expression, Human Rights Defenders")</f>
        <v>Freedom of Expression, Human Rights Defenders</v>
      </c>
      <c r="H660" s="1" t="str">
        <f ca="1">IFERROR(__xludf.DUMMYFUNCTION("""COMPUTED_VALUE"""),"2025")</f>
        <v>2025</v>
      </c>
      <c r="I660" s="1" t="str">
        <f ca="1">IFERROR(__xludf.DUMMYFUNCTION("""COMPUTED_VALUE"""),"Email")</f>
        <v>Email</v>
      </c>
    </row>
    <row r="661" spans="1:9" ht="13" x14ac:dyDescent="0.15">
      <c r="A661" s="9">
        <f ca="1">IFERROR(__xludf.DUMMYFUNCTION("""COMPUTED_VALUE"""),31569070)</f>
        <v>31569070</v>
      </c>
      <c r="B661" s="1" t="str">
        <f ca="1">IFERROR(__xludf.DUMMYFUNCTION("""COMPUTED_VALUE"""),"liz@carletonmccambridge.com")</f>
        <v>liz@carletonmccambridge.com</v>
      </c>
      <c r="C661" s="9" t="str">
        <f ca="1">IFERROR(__xludf.DUMMYFUNCTION("""COMPUTED_VALUE"""),"EVERGREEN - UAN Gated Content - Embedded Petition")</f>
        <v>EVERGREEN - UAN Gated Content - Embedded Petition</v>
      </c>
      <c r="D661" s="10">
        <f ca="1">IFERROR(__xludf.DUMMYFUNCTION("""COMPUTED_VALUE"""),45636)</f>
        <v>45636</v>
      </c>
      <c r="E661" s="1" t="str">
        <f ca="1">IFERROR(__xludf.DUMMYFUNCTION("""COMPUTED_VALUE"""),"Tunisia")</f>
        <v>Tunisia</v>
      </c>
      <c r="F661" s="1" t="str">
        <f ca="1">IFERROR(__xludf.DUMMYFUNCTION("""COMPUTED_VALUE"""),"Second 76.24 Tunisia")</f>
        <v>Second 76.24 Tunisia</v>
      </c>
      <c r="G661" s="1" t="str">
        <f ca="1">IFERROR(__xludf.DUMMYFUNCTION("""COMPUTED_VALUE"""),"Freedom of Expression, Human Rights Defenders")</f>
        <v>Freedom of Expression, Human Rights Defenders</v>
      </c>
      <c r="H661" s="1" t="str">
        <f ca="1">IFERROR(__xludf.DUMMYFUNCTION("""COMPUTED_VALUE"""),"2025")</f>
        <v>2025</v>
      </c>
      <c r="I661" s="1" t="str">
        <f ca="1">IFERROR(__xludf.DUMMYFUNCTION("""COMPUTED_VALUE"""),"Email")</f>
        <v>Email</v>
      </c>
    </row>
    <row r="662" spans="1:9" ht="13" x14ac:dyDescent="0.15">
      <c r="A662" s="9">
        <f ca="1">IFERROR(__xludf.DUMMYFUNCTION("""COMPUTED_VALUE"""),31569070)</f>
        <v>31569070</v>
      </c>
      <c r="B662" s="1" t="str">
        <f ca="1">IFERROR(__xludf.DUMMYFUNCTION("""COMPUTED_VALUE"""),"liz@carletonmccambridge.com")</f>
        <v>liz@carletonmccambridge.com</v>
      </c>
      <c r="C662" s="9" t="str">
        <f ca="1">IFERROR(__xludf.DUMMYFUNCTION("""COMPUTED_VALUE"""),"EVERGREEN - UAN Gated Content - Embedded Petition")</f>
        <v>EVERGREEN - UAN Gated Content - Embedded Petition</v>
      </c>
      <c r="D662" s="10">
        <f ca="1">IFERROR(__xludf.DUMMYFUNCTION("""COMPUTED_VALUE"""),45636)</f>
        <v>45636</v>
      </c>
      <c r="E662" s="1" t="str">
        <f ca="1">IFERROR(__xludf.DUMMYFUNCTION("""COMPUTED_VALUE"""),"Egypt")</f>
        <v>Egypt</v>
      </c>
      <c r="F662" s="1" t="str">
        <f ca="1">IFERROR(__xludf.DUMMYFUNCTION("""COMPUTED_VALUE"""),"Ninth 190.18 Egypt")</f>
        <v>Ninth 190.18 Egypt</v>
      </c>
      <c r="G662" s="1" t="str">
        <f ca="1">IFERROR(__xludf.DUMMYFUNCTION("""COMPUTED_VALUE"""),"Freedom of Expression, Individuals At Risk")</f>
        <v>Freedom of Expression, Individuals At Risk</v>
      </c>
      <c r="H662" s="1" t="str">
        <f ca="1">IFERROR(__xludf.DUMMYFUNCTION("""COMPUTED_VALUE"""),"2024")</f>
        <v>2024</v>
      </c>
      <c r="I662" s="1" t="str">
        <f ca="1">IFERROR(__xludf.DUMMYFUNCTION("""COMPUTED_VALUE"""),"Letter")</f>
        <v>Letter</v>
      </c>
    </row>
    <row r="663" spans="1:9" ht="13" x14ac:dyDescent="0.15">
      <c r="A663" s="9">
        <f ca="1">IFERROR(__xludf.DUMMYFUNCTION("""COMPUTED_VALUE"""),31569070)</f>
        <v>31569070</v>
      </c>
      <c r="B663" s="1" t="str">
        <f ca="1">IFERROR(__xludf.DUMMYFUNCTION("""COMPUTED_VALUE"""),"liz@carletonmccambridge.com")</f>
        <v>liz@carletonmccambridge.com</v>
      </c>
      <c r="C663" s="9" t="str">
        <f ca="1">IFERROR(__xludf.DUMMYFUNCTION("""COMPUTED_VALUE"""),"EVERGREEN - UAN Gated Content - Embedded Petition")</f>
        <v>EVERGREEN - UAN Gated Content - Embedded Petition</v>
      </c>
      <c r="D663" s="10">
        <f ca="1">IFERROR(__xludf.DUMMYFUNCTION("""COMPUTED_VALUE"""),45636)</f>
        <v>45636</v>
      </c>
      <c r="E663" s="1" t="str">
        <f ca="1">IFERROR(__xludf.DUMMYFUNCTION("""COMPUTED_VALUE"""),"Tunisia")</f>
        <v>Tunisia</v>
      </c>
      <c r="F663" s="1" t="str">
        <f ca="1">IFERROR(__xludf.DUMMYFUNCTION("""COMPUTED_VALUE"""),"Second 76.24 Tunisia")</f>
        <v>Second 76.24 Tunisia</v>
      </c>
      <c r="G663" s="1" t="str">
        <f ca="1">IFERROR(__xludf.DUMMYFUNCTION("""COMPUTED_VALUE"""),"Freedom of Expression, Human Rights Defenders")</f>
        <v>Freedom of Expression, Human Rights Defenders</v>
      </c>
      <c r="H663" s="1" t="str">
        <f ca="1">IFERROR(__xludf.DUMMYFUNCTION("""COMPUTED_VALUE"""),"2025")</f>
        <v>2025</v>
      </c>
      <c r="I663" s="1" t="str">
        <f ca="1">IFERROR(__xludf.DUMMYFUNCTION("""COMPUTED_VALUE"""),"Email")</f>
        <v>Email</v>
      </c>
    </row>
    <row r="664" spans="1:9" ht="13" x14ac:dyDescent="0.15">
      <c r="A664" s="9">
        <f ca="1">IFERROR(__xludf.DUMMYFUNCTION("""COMPUTED_VALUE"""),31570817)</f>
        <v>31570817</v>
      </c>
      <c r="B664" s="1" t="str">
        <f ca="1">IFERROR(__xludf.DUMMYFUNCTION("""COMPUTED_VALUE"""),"mariabauluz@gmail.com")</f>
        <v>mariabauluz@gmail.com</v>
      </c>
      <c r="C664" s="9" t="str">
        <f ca="1">IFERROR(__xludf.DUMMYFUNCTION("""COMPUTED_VALUE"""),"EVERGREEN - UAN Gated Content - Embedded Petition")</f>
        <v>EVERGREEN - UAN Gated Content - Embedded Petition</v>
      </c>
      <c r="D664" s="10">
        <f ca="1">IFERROR(__xludf.DUMMYFUNCTION("""COMPUTED_VALUE"""),45694)</f>
        <v>45694</v>
      </c>
      <c r="E664" s="1" t="str">
        <f ca="1">IFERROR(__xludf.DUMMYFUNCTION("""COMPUTED_VALUE"""),"Israel and Occupied Palestinian Territories")</f>
        <v>Israel and Occupied Palestinian Territories</v>
      </c>
      <c r="F664" s="1" t="str">
        <f ca="1">IFERROR(__xludf.DUMMYFUNCTION("""COMPUTED_VALUE"""),"3.25 IOPT")</f>
        <v>3.25 IOPT</v>
      </c>
      <c r="G664" s="1" t="str">
        <f ca="1">IFERROR(__xludf.DUMMYFUNCTION("""COMPUTED_VALUE"""),"Freedom of Expression, Individuals At Risk")</f>
        <v>Freedom of Expression, Individuals At Risk</v>
      </c>
      <c r="H664" s="1" t="str">
        <f ca="1">IFERROR(__xludf.DUMMYFUNCTION("""COMPUTED_VALUE"""),"2025")</f>
        <v>2025</v>
      </c>
      <c r="I664" s="1" t="str">
        <f ca="1">IFERROR(__xludf.DUMMYFUNCTION("""COMPUTED_VALUE"""),"Email")</f>
        <v>Email</v>
      </c>
    </row>
    <row r="665" spans="1:9" ht="13" x14ac:dyDescent="0.15">
      <c r="A665" s="9">
        <f ca="1">IFERROR(__xludf.DUMMYFUNCTION("""COMPUTED_VALUE"""),31576011)</f>
        <v>31576011</v>
      </c>
      <c r="B665" s="1" t="str">
        <f ca="1">IFERROR(__xludf.DUMMYFUNCTION("""COMPUTED_VALUE"""),"smwaters@uw.edu")</f>
        <v>smwaters@uw.edu</v>
      </c>
      <c r="C665" s="9" t="str">
        <f ca="1">IFERROR(__xludf.DUMMYFUNCTION("""COMPUTED_VALUE"""),"EVERGREEN - UAN Gated Content - Embedded Petition")</f>
        <v>EVERGREEN - UAN Gated Content - Embedded Petition</v>
      </c>
      <c r="D665" s="10">
        <f ca="1">IFERROR(__xludf.DUMMYFUNCTION("""COMPUTED_VALUE"""),45694)</f>
        <v>45694</v>
      </c>
      <c r="E665" s="1" t="str">
        <f ca="1">IFERROR(__xludf.DUMMYFUNCTION("""COMPUTED_VALUE"""),"Saudi Arabia")</f>
        <v>Saudi Arabia</v>
      </c>
      <c r="F665" s="1" t="str">
        <f ca="1">IFERROR(__xludf.DUMMYFUNCTION("""COMPUTED_VALUE"""),"Second 85.23 Saudi Arabia")</f>
        <v>Second 85.23 Saudi Arabia</v>
      </c>
      <c r="G665" s="1" t="str">
        <f ca="1">IFERROR(__xludf.DUMMYFUNCTION("""COMPUTED_VALUE"""),"Freedom of Expression")</f>
        <v>Freedom of Expression</v>
      </c>
      <c r="H665" s="1" t="str">
        <f ca="1">IFERROR(__xludf.DUMMYFUNCTION("""COMPUTED_VALUE"""),"2024")</f>
        <v>2024</v>
      </c>
      <c r="I665" s="1" t="str">
        <f ca="1">IFERROR(__xludf.DUMMYFUNCTION("""COMPUTED_VALUE"""),"Letter")</f>
        <v>Letter</v>
      </c>
    </row>
    <row r="666" spans="1:9" ht="13" x14ac:dyDescent="0.15">
      <c r="A666" s="9">
        <f ca="1">IFERROR(__xludf.DUMMYFUNCTION("""COMPUTED_VALUE"""),31578357)</f>
        <v>31578357</v>
      </c>
      <c r="B666" s="1" t="str">
        <f ca="1">IFERROR(__xludf.DUMMYFUNCTION("""COMPUTED_VALUE"""),"cowman2424@gmail.com")</f>
        <v>cowman2424@gmail.com</v>
      </c>
      <c r="C666" s="9" t="str">
        <f ca="1">IFERROR(__xludf.DUMMYFUNCTION("""COMPUTED_VALUE"""),"EVERGREEN - UAN Gated Content - Embedded Petition")</f>
        <v>EVERGREEN - UAN Gated Content - Embedded Petition</v>
      </c>
      <c r="D666" s="10">
        <f ca="1">IFERROR(__xludf.DUMMYFUNCTION("""COMPUTED_VALUE"""),45694)</f>
        <v>45694</v>
      </c>
      <c r="E666" s="1" t="str">
        <f ca="1">IFERROR(__xludf.DUMMYFUNCTION("""COMPUTED_VALUE"""),"Egypt")</f>
        <v>Egypt</v>
      </c>
      <c r="F666" s="1" t="str">
        <f ca="1">IFERROR(__xludf.DUMMYFUNCTION("""COMPUTED_VALUE"""),"Ninth 190.18 Egypt")</f>
        <v>Ninth 190.18 Egypt</v>
      </c>
      <c r="G666" s="1" t="str">
        <f ca="1">IFERROR(__xludf.DUMMYFUNCTION("""COMPUTED_VALUE"""),"Freedom of Expression, Individuals At Risk")</f>
        <v>Freedom of Expression, Individuals At Risk</v>
      </c>
      <c r="H666" s="1" t="str">
        <f ca="1">IFERROR(__xludf.DUMMYFUNCTION("""COMPUTED_VALUE"""),"2024")</f>
        <v>2024</v>
      </c>
      <c r="I666" s="1" t="str">
        <f ca="1">IFERROR(__xludf.DUMMYFUNCTION("""COMPUTED_VALUE"""),"Letter")</f>
        <v>Letter</v>
      </c>
    </row>
    <row r="667" spans="1:9" ht="13" x14ac:dyDescent="0.15">
      <c r="A667" s="9">
        <f ca="1">IFERROR(__xludf.DUMMYFUNCTION("""COMPUTED_VALUE"""),31587224)</f>
        <v>31587224</v>
      </c>
      <c r="B667" s="1" t="str">
        <f ca="1">IFERROR(__xludf.DUMMYFUNCTION("""COMPUTED_VALUE"""),"wvandekamp@att.net")</f>
        <v>wvandekamp@att.net</v>
      </c>
      <c r="C667" s="9" t="str">
        <f ca="1">IFERROR(__xludf.DUMMYFUNCTION("""COMPUTED_VALUE"""),"EVERGREEN - UAN Gated Content - Embedded Petition")</f>
        <v>EVERGREEN - UAN Gated Content - Embedded Petition</v>
      </c>
      <c r="D667" s="10">
        <f ca="1">IFERROR(__xludf.DUMMYFUNCTION("""COMPUTED_VALUE"""),45616)</f>
        <v>45616</v>
      </c>
      <c r="E667" s="1" t="str">
        <f ca="1">IFERROR(__xludf.DUMMYFUNCTION("""COMPUTED_VALUE"""),"USA")</f>
        <v>USA</v>
      </c>
      <c r="F667" s="1" t="str">
        <f ca="1">IFERROR(__xludf.DUMMYFUNCTION("""COMPUTED_VALUE"""),"105.24 USA")</f>
        <v>105.24 USA</v>
      </c>
      <c r="G667" s="1" t="str">
        <f ca="1">IFERROR(__xludf.DUMMYFUNCTION("""COMPUTED_VALUE"""),"Death Penalty")</f>
        <v>Death Penalty</v>
      </c>
      <c r="H667" s="1" t="str">
        <f ca="1">IFERROR(__xludf.DUMMYFUNCTION("""COMPUTED_VALUE"""),"2024")</f>
        <v>2024</v>
      </c>
      <c r="I667" s="1" t="str">
        <f ca="1">IFERROR(__xludf.DUMMYFUNCTION("""COMPUTED_VALUE"""),"Email")</f>
        <v>Email</v>
      </c>
    </row>
    <row r="668" spans="1:9" ht="13" x14ac:dyDescent="0.15">
      <c r="A668" s="9">
        <f ca="1">IFERROR(__xludf.DUMMYFUNCTION("""COMPUTED_VALUE"""),31587224)</f>
        <v>31587224</v>
      </c>
      <c r="B668" s="1" t="str">
        <f ca="1">IFERROR(__xludf.DUMMYFUNCTION("""COMPUTED_VALUE"""),"wvandekamp@att.net")</f>
        <v>wvandekamp@att.net</v>
      </c>
      <c r="C668" s="9" t="str">
        <f ca="1">IFERROR(__xludf.DUMMYFUNCTION("""COMPUTED_VALUE"""),"EVERGREEN - UAN Gated Content - Embedded Petition")</f>
        <v>EVERGREEN - UAN Gated Content - Embedded Petition</v>
      </c>
      <c r="D668" s="10">
        <f ca="1">IFERROR(__xludf.DUMMYFUNCTION("""COMPUTED_VALUE"""),45616)</f>
        <v>45616</v>
      </c>
      <c r="E668" s="1" t="str">
        <f ca="1">IFERROR(__xludf.DUMMYFUNCTION("""COMPUTED_VALUE"""),"Venezuela")</f>
        <v>Venezuela</v>
      </c>
      <c r="F668" s="1" t="str">
        <f ca="1">IFERROR(__xludf.DUMMYFUNCTION("""COMPUTED_VALUE"""),"1.25 Venezuela")</f>
        <v>1.25 Venezuela</v>
      </c>
      <c r="G668" s="1" t="str">
        <f ca="1">IFERROR(__xludf.DUMMYFUNCTION("""COMPUTED_VALUE"""),"Human Rights Defenders, Individuals At Risk")</f>
        <v>Human Rights Defenders, Individuals At Risk</v>
      </c>
      <c r="H668" s="1" t="str">
        <f ca="1">IFERROR(__xludf.DUMMYFUNCTION("""COMPUTED_VALUE"""),"2025")</f>
        <v>2025</v>
      </c>
      <c r="I668" s="1" t="str">
        <f ca="1">IFERROR(__xludf.DUMMYFUNCTION("""COMPUTED_VALUE"""),"Letter")</f>
        <v>Letter</v>
      </c>
    </row>
    <row r="669" spans="1:9" ht="13" x14ac:dyDescent="0.15">
      <c r="A669" s="9">
        <f ca="1">IFERROR(__xludf.DUMMYFUNCTION("""COMPUTED_VALUE"""),31587224)</f>
        <v>31587224</v>
      </c>
      <c r="B669" s="1" t="str">
        <f ca="1">IFERROR(__xludf.DUMMYFUNCTION("""COMPUTED_VALUE"""),"wvandekamp@att.net")</f>
        <v>wvandekamp@att.net</v>
      </c>
      <c r="C669" s="9" t="str">
        <f ca="1">IFERROR(__xludf.DUMMYFUNCTION("""COMPUTED_VALUE"""),"EVERGREEN - UAN Gated Content - Embedded Petition")</f>
        <v>EVERGREEN - UAN Gated Content - Embedded Petition</v>
      </c>
      <c r="D669" s="10">
        <f ca="1">IFERROR(__xludf.DUMMYFUNCTION("""COMPUTED_VALUE"""),45665)</f>
        <v>45665</v>
      </c>
      <c r="E669" s="1" t="str">
        <f ca="1">IFERROR(__xludf.DUMMYFUNCTION("""COMPUTED_VALUE"""),"Tunisia")</f>
        <v>Tunisia</v>
      </c>
      <c r="F669" s="1" t="str">
        <f ca="1">IFERROR(__xludf.DUMMYFUNCTION("""COMPUTED_VALUE"""),"Second 76.24 Tunisia")</f>
        <v>Second 76.24 Tunisia</v>
      </c>
      <c r="G669" s="1" t="str">
        <f ca="1">IFERROR(__xludf.DUMMYFUNCTION("""COMPUTED_VALUE"""),"Freedom of Expression, Human Rights Defenders")</f>
        <v>Freedom of Expression, Human Rights Defenders</v>
      </c>
      <c r="H669" s="1" t="str">
        <f ca="1">IFERROR(__xludf.DUMMYFUNCTION("""COMPUTED_VALUE"""),"2025")</f>
        <v>2025</v>
      </c>
      <c r="I669" s="1" t="str">
        <f ca="1">IFERROR(__xludf.DUMMYFUNCTION("""COMPUTED_VALUE"""),"Email")</f>
        <v>Email</v>
      </c>
    </row>
    <row r="670" spans="1:9" ht="13" x14ac:dyDescent="0.15">
      <c r="A670" s="9">
        <f ca="1">IFERROR(__xludf.DUMMYFUNCTION("""COMPUTED_VALUE"""),31587224)</f>
        <v>31587224</v>
      </c>
      <c r="B670" s="1" t="str">
        <f ca="1">IFERROR(__xludf.DUMMYFUNCTION("""COMPUTED_VALUE"""),"wvandekamp@att.net")</f>
        <v>wvandekamp@att.net</v>
      </c>
      <c r="C670" s="9" t="str">
        <f ca="1">IFERROR(__xludf.DUMMYFUNCTION("""COMPUTED_VALUE"""),"EVERGREEN - UAN Gated Content - Embedded Petition")</f>
        <v>EVERGREEN - UAN Gated Content - Embedded Petition</v>
      </c>
      <c r="D670" s="10">
        <f ca="1">IFERROR(__xludf.DUMMYFUNCTION("""COMPUTED_VALUE"""),45647)</f>
        <v>45647</v>
      </c>
      <c r="E670" s="1" t="str">
        <f ca="1">IFERROR(__xludf.DUMMYFUNCTION("""COMPUTED_VALUE"""),"Iran")</f>
        <v>Iran</v>
      </c>
      <c r="F670" s="1" t="str">
        <f ca="1">IFERROR(__xludf.DUMMYFUNCTION("""COMPUTED_VALUE"""),"Seventh 103.22 Iran")</f>
        <v>Seventh 103.22 Iran</v>
      </c>
      <c r="G670" s="1" t="str">
        <f ca="1">IFERROR(__xludf.DUMMYFUNCTION("""COMPUTED_VALUE"""),"Death Penalty, Freedom of Expression, Individuals At Risk")</f>
        <v>Death Penalty, Freedom of Expression, Individuals At Risk</v>
      </c>
      <c r="H670" s="1" t="str">
        <f ca="1">IFERROR(__xludf.DUMMYFUNCTION("""COMPUTED_VALUE"""),"2024")</f>
        <v>2024</v>
      </c>
      <c r="I670" s="1" t="str">
        <f ca="1">IFERROR(__xludf.DUMMYFUNCTION("""COMPUTED_VALUE"""),"Email")</f>
        <v>Email</v>
      </c>
    </row>
    <row r="671" spans="1:9" ht="13" x14ac:dyDescent="0.15">
      <c r="A671" s="9">
        <f ca="1">IFERROR(__xludf.DUMMYFUNCTION("""COMPUTED_VALUE"""),31587224)</f>
        <v>31587224</v>
      </c>
      <c r="B671" s="1" t="str">
        <f ca="1">IFERROR(__xludf.DUMMYFUNCTION("""COMPUTED_VALUE"""),"wvandekamp@att.net")</f>
        <v>wvandekamp@att.net</v>
      </c>
      <c r="C671" s="9" t="str">
        <f ca="1">IFERROR(__xludf.DUMMYFUNCTION("""COMPUTED_VALUE"""),"EVERGREEN - UAN Gated Content - Embedded Petition")</f>
        <v>EVERGREEN - UAN Gated Content - Embedded Petition</v>
      </c>
      <c r="D671" s="10">
        <f ca="1">IFERROR(__xludf.DUMMYFUNCTION("""COMPUTED_VALUE"""),45647)</f>
        <v>45647</v>
      </c>
      <c r="E671" s="1" t="str">
        <f ca="1">IFERROR(__xludf.DUMMYFUNCTION("""COMPUTED_VALUE"""),"Uganda")</f>
        <v>Uganda</v>
      </c>
      <c r="F671" s="1" t="str">
        <f ca="1">IFERROR(__xludf.DUMMYFUNCTION("""COMPUTED_VALUE"""),"100.24 Uganda")</f>
        <v>100.24 Uganda</v>
      </c>
      <c r="G671" s="1" t="str">
        <f ca="1">IFERROR(__xludf.DUMMYFUNCTION("""COMPUTED_VALUE"""),"Freedom of Expression")</f>
        <v>Freedom of Expression</v>
      </c>
      <c r="H671" s="1" t="str">
        <f ca="1">IFERROR(__xludf.DUMMYFUNCTION("""COMPUTED_VALUE"""),"2024")</f>
        <v>2024</v>
      </c>
      <c r="I671" s="1" t="str">
        <f ca="1">IFERROR(__xludf.DUMMYFUNCTION("""COMPUTED_VALUE"""),"Email")</f>
        <v>Email</v>
      </c>
    </row>
    <row r="672" spans="1:9" ht="13" x14ac:dyDescent="0.15">
      <c r="A672" s="9">
        <f ca="1">IFERROR(__xludf.DUMMYFUNCTION("""COMPUTED_VALUE"""),31587224)</f>
        <v>31587224</v>
      </c>
      <c r="B672" s="1" t="str">
        <f ca="1">IFERROR(__xludf.DUMMYFUNCTION("""COMPUTED_VALUE"""),"wvandekamp@att.net")</f>
        <v>wvandekamp@att.net</v>
      </c>
      <c r="C672" s="9" t="str">
        <f ca="1">IFERROR(__xludf.DUMMYFUNCTION("""COMPUTED_VALUE"""),"EVERGREEN - UAN Gated Content - Embedded Petition")</f>
        <v>EVERGREEN - UAN Gated Content - Embedded Petition</v>
      </c>
      <c r="D672" s="10">
        <f ca="1">IFERROR(__xludf.DUMMYFUNCTION("""COMPUTED_VALUE"""),45697)</f>
        <v>45697</v>
      </c>
      <c r="E672" s="1" t="str">
        <f ca="1">IFERROR(__xludf.DUMMYFUNCTION("""COMPUTED_VALUE"""),"Niger")</f>
        <v>Niger</v>
      </c>
      <c r="F672" s="1" t="str">
        <f ca="1">IFERROR(__xludf.DUMMYFUNCTION("""COMPUTED_VALUE"""),"103.24 Niger")</f>
        <v>103.24 Niger</v>
      </c>
      <c r="G672" s="1" t="str">
        <f ca="1">IFERROR(__xludf.DUMMYFUNCTION("""COMPUTED_VALUE"""),"Freedom of Expression, Human Rights Defenders")</f>
        <v>Freedom of Expression, Human Rights Defenders</v>
      </c>
      <c r="H672" s="1" t="str">
        <f ca="1">IFERROR(__xludf.DUMMYFUNCTION("""COMPUTED_VALUE"""),"2024")</f>
        <v>2024</v>
      </c>
      <c r="I672" s="1" t="str">
        <f ca="1">IFERROR(__xludf.DUMMYFUNCTION("""COMPUTED_VALUE"""),"Email")</f>
        <v>Email</v>
      </c>
    </row>
    <row r="673" spans="1:9" ht="13" x14ac:dyDescent="0.15">
      <c r="A673" s="9">
        <f ca="1">IFERROR(__xludf.DUMMYFUNCTION("""COMPUTED_VALUE"""),31587224)</f>
        <v>31587224</v>
      </c>
      <c r="B673" s="1" t="str">
        <f ca="1">IFERROR(__xludf.DUMMYFUNCTION("""COMPUTED_VALUE"""),"wvandekamp@att.net")</f>
        <v>wvandekamp@att.net</v>
      </c>
      <c r="C673" s="9" t="str">
        <f ca="1">IFERROR(__xludf.DUMMYFUNCTION("""COMPUTED_VALUE"""),"EVERGREEN - UAN Gated Content - Embedded Petition")</f>
        <v>EVERGREEN - UAN Gated Content - Embedded Petition</v>
      </c>
      <c r="D673" s="10">
        <f ca="1">IFERROR(__xludf.DUMMYFUNCTION("""COMPUTED_VALUE"""),45653)</f>
        <v>45653</v>
      </c>
      <c r="E673" s="1" t="str">
        <f ca="1">IFERROR(__xludf.DUMMYFUNCTION("""COMPUTED_VALUE"""),"USA")</f>
        <v>USA</v>
      </c>
      <c r="F673" s="1" t="str">
        <f ca="1">IFERROR(__xludf.DUMMYFUNCTION("""COMPUTED_VALUE"""),"105.24 USA")</f>
        <v>105.24 USA</v>
      </c>
      <c r="G673" s="1" t="str">
        <f ca="1">IFERROR(__xludf.DUMMYFUNCTION("""COMPUTED_VALUE"""),"Death Penalty")</f>
        <v>Death Penalty</v>
      </c>
      <c r="H673" s="1" t="str">
        <f ca="1">IFERROR(__xludf.DUMMYFUNCTION("""COMPUTED_VALUE"""),"2024")</f>
        <v>2024</v>
      </c>
      <c r="I673" s="1" t="str">
        <f ca="1">IFERROR(__xludf.DUMMYFUNCTION("""COMPUTED_VALUE"""),"Email")</f>
        <v>Email</v>
      </c>
    </row>
    <row r="674" spans="1:9" ht="13" x14ac:dyDescent="0.15">
      <c r="A674" s="9">
        <f ca="1">IFERROR(__xludf.DUMMYFUNCTION("""COMPUTED_VALUE"""),31587224)</f>
        <v>31587224</v>
      </c>
      <c r="B674" s="1" t="str">
        <f ca="1">IFERROR(__xludf.DUMMYFUNCTION("""COMPUTED_VALUE"""),"wvandekamp@att.net")</f>
        <v>wvandekamp@att.net</v>
      </c>
      <c r="C674" s="9" t="str">
        <f ca="1">IFERROR(__xludf.DUMMYFUNCTION("""COMPUTED_VALUE"""),"EVERGREEN - UAN Gated Content - Embedded Petition")</f>
        <v>EVERGREEN - UAN Gated Content - Embedded Petition</v>
      </c>
      <c r="D674" s="10">
        <f ca="1">IFERROR(__xludf.DUMMYFUNCTION("""COMPUTED_VALUE"""),45659)</f>
        <v>45659</v>
      </c>
      <c r="E674" s="1" t="str">
        <f ca="1">IFERROR(__xludf.DUMMYFUNCTION("""COMPUTED_VALUE"""),"Azerbaijan")</f>
        <v>Azerbaijan</v>
      </c>
      <c r="F674" s="1" t="str">
        <f ca="1">IFERROR(__xludf.DUMMYFUNCTION("""COMPUTED_VALUE"""),"2.25 Azerbaijan")</f>
        <v>2.25 Azerbaijan</v>
      </c>
      <c r="G674" s="1" t="str">
        <f ca="1">IFERROR(__xludf.DUMMYFUNCTION("""COMPUTED_VALUE"""),"Freedom of Expression, Human Rights Defenders")</f>
        <v>Freedom of Expression, Human Rights Defenders</v>
      </c>
      <c r="H674" s="1" t="str">
        <f ca="1">IFERROR(__xludf.DUMMYFUNCTION("""COMPUTED_VALUE"""),"2025")</f>
        <v>2025</v>
      </c>
      <c r="I674" s="1" t="str">
        <f ca="1">IFERROR(__xludf.DUMMYFUNCTION("""COMPUTED_VALUE"""),"Email")</f>
        <v>Email</v>
      </c>
    </row>
    <row r="675" spans="1:9" ht="13" x14ac:dyDescent="0.15">
      <c r="A675" s="9">
        <f ca="1">IFERROR(__xludf.DUMMYFUNCTION("""COMPUTED_VALUE"""),31587224)</f>
        <v>31587224</v>
      </c>
      <c r="B675" s="1" t="str">
        <f ca="1">IFERROR(__xludf.DUMMYFUNCTION("""COMPUTED_VALUE"""),"wvandekamp@att.net")</f>
        <v>wvandekamp@att.net</v>
      </c>
      <c r="C675" s="9" t="str">
        <f ca="1">IFERROR(__xludf.DUMMYFUNCTION("""COMPUTED_VALUE"""),"EVERGREEN - UAN Gated Content - Embedded Petition")</f>
        <v>EVERGREEN - UAN Gated Content - Embedded Petition</v>
      </c>
      <c r="D675" s="10">
        <f ca="1">IFERROR(__xludf.DUMMYFUNCTION("""COMPUTED_VALUE"""),45696)</f>
        <v>45696</v>
      </c>
      <c r="E675" s="1" t="str">
        <f ca="1">IFERROR(__xludf.DUMMYFUNCTION("""COMPUTED_VALUE"""),"USA")</f>
        <v>USA</v>
      </c>
      <c r="F675" s="1" t="str">
        <f ca="1">IFERROR(__xludf.DUMMYFUNCTION("""COMPUTED_VALUE"""),"105.24 USA")</f>
        <v>105.24 USA</v>
      </c>
      <c r="G675" s="1" t="str">
        <f ca="1">IFERROR(__xludf.DUMMYFUNCTION("""COMPUTED_VALUE"""),"Death Penalty")</f>
        <v>Death Penalty</v>
      </c>
      <c r="H675" s="1" t="str">
        <f ca="1">IFERROR(__xludf.DUMMYFUNCTION("""COMPUTED_VALUE"""),"2024")</f>
        <v>2024</v>
      </c>
      <c r="I675" s="1" t="str">
        <f ca="1">IFERROR(__xludf.DUMMYFUNCTION("""COMPUTED_VALUE"""),"Email")</f>
        <v>Email</v>
      </c>
    </row>
    <row r="676" spans="1:9" ht="13" x14ac:dyDescent="0.15">
      <c r="A676" s="9">
        <f ca="1">IFERROR(__xludf.DUMMYFUNCTION("""COMPUTED_VALUE"""),31587224)</f>
        <v>31587224</v>
      </c>
      <c r="B676" s="1" t="str">
        <f ca="1">IFERROR(__xludf.DUMMYFUNCTION("""COMPUTED_VALUE"""),"wvandekamp@att.net")</f>
        <v>wvandekamp@att.net</v>
      </c>
      <c r="C676" s="9" t="str">
        <f ca="1">IFERROR(__xludf.DUMMYFUNCTION("""COMPUTED_VALUE"""),"EVERGREEN - UAN Gated Content - Embedded Petition")</f>
        <v>EVERGREEN - UAN Gated Content - Embedded Petition</v>
      </c>
      <c r="D676" s="10">
        <f ca="1">IFERROR(__xludf.DUMMYFUNCTION("""COMPUTED_VALUE"""),45703)</f>
        <v>45703</v>
      </c>
      <c r="E676" s="1" t="str">
        <f ca="1">IFERROR(__xludf.DUMMYFUNCTION("""COMPUTED_VALUE"""),"USA")</f>
        <v>USA</v>
      </c>
      <c r="F676" s="1" t="str">
        <f ca="1">IFERROR(__xludf.DUMMYFUNCTION("""COMPUTED_VALUE"""),"105.24 USA")</f>
        <v>105.24 USA</v>
      </c>
      <c r="G676" s="1" t="str">
        <f ca="1">IFERROR(__xludf.DUMMYFUNCTION("""COMPUTED_VALUE"""),"Death Penalty")</f>
        <v>Death Penalty</v>
      </c>
      <c r="H676" s="1" t="str">
        <f ca="1">IFERROR(__xludf.DUMMYFUNCTION("""COMPUTED_VALUE"""),"2024")</f>
        <v>2024</v>
      </c>
      <c r="I676" s="1" t="str">
        <f ca="1">IFERROR(__xludf.DUMMYFUNCTION("""COMPUTED_VALUE"""),"Email")</f>
        <v>Email</v>
      </c>
    </row>
    <row r="677" spans="1:9" ht="13" x14ac:dyDescent="0.15">
      <c r="A677" s="9">
        <f ca="1">IFERROR(__xludf.DUMMYFUNCTION("""COMPUTED_VALUE"""),31587224)</f>
        <v>31587224</v>
      </c>
      <c r="B677" s="1" t="str">
        <f ca="1">IFERROR(__xludf.DUMMYFUNCTION("""COMPUTED_VALUE"""),"wvandekamp@att.net")</f>
        <v>wvandekamp@att.net</v>
      </c>
      <c r="C677" s="9" t="str">
        <f ca="1">IFERROR(__xludf.DUMMYFUNCTION("""COMPUTED_VALUE"""),"EVERGREEN - UAN Gated Content - Embedded Petition")</f>
        <v>EVERGREEN - UAN Gated Content - Embedded Petition</v>
      </c>
      <c r="D677" s="10">
        <f ca="1">IFERROR(__xludf.DUMMYFUNCTION("""COMPUTED_VALUE"""),45704)</f>
        <v>45704</v>
      </c>
      <c r="E677" s="1" t="str">
        <f ca="1">IFERROR(__xludf.DUMMYFUNCTION("""COMPUTED_VALUE"""),"USA")</f>
        <v>USA</v>
      </c>
      <c r="F677" s="1" t="str">
        <f ca="1">IFERROR(__xludf.DUMMYFUNCTION("""COMPUTED_VALUE"""),"105.24 USA")</f>
        <v>105.24 USA</v>
      </c>
      <c r="G677" s="1" t="str">
        <f ca="1">IFERROR(__xludf.DUMMYFUNCTION("""COMPUTED_VALUE"""),"Death Penalty")</f>
        <v>Death Penalty</v>
      </c>
      <c r="H677" s="1" t="str">
        <f ca="1">IFERROR(__xludf.DUMMYFUNCTION("""COMPUTED_VALUE"""),"2024")</f>
        <v>2024</v>
      </c>
      <c r="I677" s="1" t="str">
        <f ca="1">IFERROR(__xludf.DUMMYFUNCTION("""COMPUTED_VALUE"""),"Email")</f>
        <v>Email</v>
      </c>
    </row>
    <row r="678" spans="1:9" ht="13" x14ac:dyDescent="0.15">
      <c r="A678" s="9">
        <f ca="1">IFERROR(__xludf.DUMMYFUNCTION("""COMPUTED_VALUE"""),31587224)</f>
        <v>31587224</v>
      </c>
      <c r="B678" s="1" t="str">
        <f ca="1">IFERROR(__xludf.DUMMYFUNCTION("""COMPUTED_VALUE"""),"wvandekamp@att.net")</f>
        <v>wvandekamp@att.net</v>
      </c>
      <c r="C678" s="9" t="str">
        <f ca="1">IFERROR(__xludf.DUMMYFUNCTION("""COMPUTED_VALUE"""),"EVERGREEN - UAN Gated Content - Embedded Petition")</f>
        <v>EVERGREEN - UAN Gated Content - Embedded Petition</v>
      </c>
      <c r="D678" s="10">
        <f ca="1">IFERROR(__xludf.DUMMYFUNCTION("""COMPUTED_VALUE"""),45652)</f>
        <v>45652</v>
      </c>
      <c r="E678" s="1" t="str">
        <f ca="1">IFERROR(__xludf.DUMMYFUNCTION("""COMPUTED_VALUE"""),"Egypt")</f>
        <v>Egypt</v>
      </c>
      <c r="F678" s="1" t="str">
        <f ca="1">IFERROR(__xludf.DUMMYFUNCTION("""COMPUTED_VALUE"""),"Ninth 190.18 Egypt")</f>
        <v>Ninth 190.18 Egypt</v>
      </c>
      <c r="G678" s="1" t="str">
        <f ca="1">IFERROR(__xludf.DUMMYFUNCTION("""COMPUTED_VALUE"""),"Freedom of Expression, Individuals At Risk")</f>
        <v>Freedom of Expression, Individuals At Risk</v>
      </c>
      <c r="H678" s="1" t="str">
        <f ca="1">IFERROR(__xludf.DUMMYFUNCTION("""COMPUTED_VALUE"""),"2024")</f>
        <v>2024</v>
      </c>
      <c r="I678" s="1" t="str">
        <f ca="1">IFERROR(__xludf.DUMMYFUNCTION("""COMPUTED_VALUE"""),"Letter")</f>
        <v>Letter</v>
      </c>
    </row>
    <row r="679" spans="1:9" ht="13" x14ac:dyDescent="0.15">
      <c r="A679" s="9">
        <f ca="1">IFERROR(__xludf.DUMMYFUNCTION("""COMPUTED_VALUE"""),31591080)</f>
        <v>31591080</v>
      </c>
      <c r="B679" s="1" t="str">
        <f ca="1">IFERROR(__xludf.DUMMYFUNCTION("""COMPUTED_VALUE"""),"mtglu2000@yahoo.com")</f>
        <v>mtglu2000@yahoo.com</v>
      </c>
      <c r="C679" s="9" t="str">
        <f ca="1">IFERROR(__xludf.DUMMYFUNCTION("""COMPUTED_VALUE"""),"EVERGREEN - UAN Gated Content - Embedded Petition")</f>
        <v>EVERGREEN - UAN Gated Content - Embedded Petition</v>
      </c>
      <c r="D679" s="10">
        <f ca="1">IFERROR(__xludf.DUMMYFUNCTION("""COMPUTED_VALUE"""),45694)</f>
        <v>45694</v>
      </c>
      <c r="E679" s="1" t="str">
        <f ca="1">IFERROR(__xludf.DUMMYFUNCTION("""COMPUTED_VALUE"""),"Venezuela")</f>
        <v>Venezuela</v>
      </c>
      <c r="F679" s="1" t="str">
        <f ca="1">IFERROR(__xludf.DUMMYFUNCTION("""COMPUTED_VALUE"""),"97.24 Venezuela")</f>
        <v>97.24 Venezuela</v>
      </c>
      <c r="G679" s="1" t="str">
        <f ca="1">IFERROR(__xludf.DUMMYFUNCTION("""COMPUTED_VALUE"""),"Freedom of Expression")</f>
        <v>Freedom of Expression</v>
      </c>
      <c r="H679" s="1" t="str">
        <f ca="1">IFERROR(__xludf.DUMMYFUNCTION("""COMPUTED_VALUE"""),"2024")</f>
        <v>2024</v>
      </c>
      <c r="I679" s="1" t="str">
        <f ca="1">IFERROR(__xludf.DUMMYFUNCTION("""COMPUTED_VALUE"""),"Letter")</f>
        <v>Letter</v>
      </c>
    </row>
    <row r="680" spans="1:9" ht="13" x14ac:dyDescent="0.15">
      <c r="A680" s="9">
        <f ca="1">IFERROR(__xludf.DUMMYFUNCTION("""COMPUTED_VALUE"""),31596292)</f>
        <v>31596292</v>
      </c>
      <c r="B680" s="1" t="str">
        <f ca="1">IFERROR(__xludf.DUMMYFUNCTION("""COMPUTED_VALUE"""),"ndurantini@roadrunner.com")</f>
        <v>ndurantini@roadrunner.com</v>
      </c>
      <c r="C680" s="9" t="str">
        <f ca="1">IFERROR(__xludf.DUMMYFUNCTION("""COMPUTED_VALUE"""),"EVERGREEN - UAN Gated Content - Embedded Petition")</f>
        <v>EVERGREEN - UAN Gated Content - Embedded Petition</v>
      </c>
      <c r="D680" s="10">
        <f ca="1">IFERROR(__xludf.DUMMYFUNCTION("""COMPUTED_VALUE"""),45616)</f>
        <v>45616</v>
      </c>
      <c r="E680" s="1" t="str">
        <f ca="1">IFERROR(__xludf.DUMMYFUNCTION("""COMPUTED_VALUE"""),"China")</f>
        <v>China</v>
      </c>
      <c r="F680" s="1" t="str">
        <f ca="1">IFERROR(__xludf.DUMMYFUNCTION("""COMPUTED_VALUE"""),"98.24 China")</f>
        <v>98.24 China</v>
      </c>
      <c r="G680" s="1" t="str">
        <f ca="1">IFERROR(__xludf.DUMMYFUNCTION("""COMPUTED_VALUE"""),"Freedom of Expression, Individuals At Risk")</f>
        <v>Freedom of Expression, Individuals At Risk</v>
      </c>
      <c r="H680" s="1" t="str">
        <f ca="1">IFERROR(__xludf.DUMMYFUNCTION("""COMPUTED_VALUE"""),"2024")</f>
        <v>2024</v>
      </c>
      <c r="I680" s="1" t="str">
        <f ca="1">IFERROR(__xludf.DUMMYFUNCTION("""COMPUTED_VALUE"""),"Letter")</f>
        <v>Letter</v>
      </c>
    </row>
    <row r="681" spans="1:9" ht="13" x14ac:dyDescent="0.15">
      <c r="A681" s="9">
        <f ca="1">IFERROR(__xludf.DUMMYFUNCTION("""COMPUTED_VALUE"""),31597263)</f>
        <v>31597263</v>
      </c>
      <c r="B681" s="1" t="str">
        <f ca="1">IFERROR(__xludf.DUMMYFUNCTION("""COMPUTED_VALUE"""),"david.kalant@mcgill.ca")</f>
        <v>david.kalant@mcgill.ca</v>
      </c>
      <c r="C681" s="9" t="str">
        <f ca="1">IFERROR(__xludf.DUMMYFUNCTION("""COMPUTED_VALUE"""),"EVERGREEN - UAN Gated Content - Embedded Petition")</f>
        <v>EVERGREEN - UAN Gated Content - Embedded Petition</v>
      </c>
      <c r="D681" s="10">
        <f ca="1">IFERROR(__xludf.DUMMYFUNCTION("""COMPUTED_VALUE"""),45637)</f>
        <v>45637</v>
      </c>
      <c r="E681" s="1" t="str">
        <f ca="1">IFERROR(__xludf.DUMMYFUNCTION("""COMPUTED_VALUE"""),"Venezuela")</f>
        <v>Venezuela</v>
      </c>
      <c r="F681" s="1" t="str">
        <f ca="1">IFERROR(__xludf.DUMMYFUNCTION("""COMPUTED_VALUE"""),"97.24 Venezuela")</f>
        <v>97.24 Venezuela</v>
      </c>
      <c r="G681" s="1" t="str">
        <f ca="1">IFERROR(__xludf.DUMMYFUNCTION("""COMPUTED_VALUE"""),"Freedom of Expression")</f>
        <v>Freedom of Expression</v>
      </c>
      <c r="H681" s="1" t="str">
        <f ca="1">IFERROR(__xludf.DUMMYFUNCTION("""COMPUTED_VALUE"""),"2024")</f>
        <v>2024</v>
      </c>
      <c r="I681" s="1" t="str">
        <f ca="1">IFERROR(__xludf.DUMMYFUNCTION("""COMPUTED_VALUE"""),"Letter")</f>
        <v>Letter</v>
      </c>
    </row>
    <row r="682" spans="1:9" ht="13" x14ac:dyDescent="0.15">
      <c r="A682" s="9">
        <f ca="1">IFERROR(__xludf.DUMMYFUNCTION("""COMPUTED_VALUE"""),31599087)</f>
        <v>31599087</v>
      </c>
      <c r="B682" s="1" t="str">
        <f ca="1">IFERROR(__xludf.DUMMYFUNCTION("""COMPUTED_VALUE"""),"denicetraina@gmail.com")</f>
        <v>denicetraina@gmail.com</v>
      </c>
      <c r="C682" s="9" t="str">
        <f ca="1">IFERROR(__xludf.DUMMYFUNCTION("""COMPUTED_VALUE"""),"EVERGREEN - UAN Gated Content - Embedded Petition")</f>
        <v>EVERGREEN - UAN Gated Content - Embedded Petition</v>
      </c>
      <c r="D682" s="10">
        <f ca="1">IFERROR(__xludf.DUMMYFUNCTION("""COMPUTED_VALUE"""),45682)</f>
        <v>45682</v>
      </c>
      <c r="E682" s="1" t="str">
        <f ca="1">IFERROR(__xludf.DUMMYFUNCTION("""COMPUTED_VALUE"""),"USA")</f>
        <v>USA</v>
      </c>
      <c r="F682" s="1" t="str">
        <f ca="1">IFERROR(__xludf.DUMMYFUNCTION("""COMPUTED_VALUE"""),"105.24 USA")</f>
        <v>105.24 USA</v>
      </c>
      <c r="G682" s="1" t="str">
        <f ca="1">IFERROR(__xludf.DUMMYFUNCTION("""COMPUTED_VALUE"""),"Death Penalty")</f>
        <v>Death Penalty</v>
      </c>
      <c r="H682" s="1" t="str">
        <f ca="1">IFERROR(__xludf.DUMMYFUNCTION("""COMPUTED_VALUE"""),"2024")</f>
        <v>2024</v>
      </c>
      <c r="I682" s="1" t="str">
        <f ca="1">IFERROR(__xludf.DUMMYFUNCTION("""COMPUTED_VALUE"""),"Email")</f>
        <v>Email</v>
      </c>
    </row>
    <row r="683" spans="1:9" ht="13" x14ac:dyDescent="0.15">
      <c r="A683" s="9">
        <f ca="1">IFERROR(__xludf.DUMMYFUNCTION("""COMPUTED_VALUE"""),31612085)</f>
        <v>31612085</v>
      </c>
      <c r="B683" s="1" t="str">
        <f ca="1">IFERROR(__xludf.DUMMYFUNCTION("""COMPUTED_VALUE"""),"kzickterman@gmail.com")</f>
        <v>kzickterman@gmail.com</v>
      </c>
      <c r="C683" s="9" t="str">
        <f ca="1">IFERROR(__xludf.DUMMYFUNCTION("""COMPUTED_VALUE"""),"EVERGREEN - UAN Gated Content - Embedded Petition")</f>
        <v>EVERGREEN - UAN Gated Content - Embedded Petition</v>
      </c>
      <c r="D683" s="10">
        <f ca="1">IFERROR(__xludf.DUMMYFUNCTION("""COMPUTED_VALUE"""),45681)</f>
        <v>45681</v>
      </c>
      <c r="E683" s="1" t="str">
        <f ca="1">IFERROR(__xludf.DUMMYFUNCTION("""COMPUTED_VALUE"""),"Tunisia")</f>
        <v>Tunisia</v>
      </c>
      <c r="F683" s="1" t="str">
        <f ca="1">IFERROR(__xludf.DUMMYFUNCTION("""COMPUTED_VALUE"""),"Second 76.24 Tunisia")</f>
        <v>Second 76.24 Tunisia</v>
      </c>
      <c r="G683" s="1" t="str">
        <f ca="1">IFERROR(__xludf.DUMMYFUNCTION("""COMPUTED_VALUE"""),"Freedom of Expression, Human Rights Defenders")</f>
        <v>Freedom of Expression, Human Rights Defenders</v>
      </c>
      <c r="H683" s="1" t="str">
        <f ca="1">IFERROR(__xludf.DUMMYFUNCTION("""COMPUTED_VALUE"""),"2025")</f>
        <v>2025</v>
      </c>
      <c r="I683" s="1" t="str">
        <f ca="1">IFERROR(__xludf.DUMMYFUNCTION("""COMPUTED_VALUE"""),"Email")</f>
        <v>Email</v>
      </c>
    </row>
    <row r="684" spans="1:9" ht="13" x14ac:dyDescent="0.15">
      <c r="A684" s="9">
        <f ca="1">IFERROR(__xludf.DUMMYFUNCTION("""COMPUTED_VALUE"""),31614305)</f>
        <v>31614305</v>
      </c>
      <c r="B684" s="1" t="str">
        <f ca="1">IFERROR(__xludf.DUMMYFUNCTION("""COMPUTED_VALUE"""),"cfgeorge64@gmail.com")</f>
        <v>cfgeorge64@gmail.com</v>
      </c>
      <c r="C684" s="9" t="str">
        <f ca="1">IFERROR(__xludf.DUMMYFUNCTION("""COMPUTED_VALUE"""),"EVERGREEN - UAN Gated Content - Embedded Petition")</f>
        <v>EVERGREEN - UAN Gated Content - Embedded Petition</v>
      </c>
      <c r="D684" s="10">
        <f ca="1">IFERROR(__xludf.DUMMYFUNCTION("""COMPUTED_VALUE"""),45616)</f>
        <v>45616</v>
      </c>
      <c r="E684" s="1" t="str">
        <f ca="1">IFERROR(__xludf.DUMMYFUNCTION("""COMPUTED_VALUE"""),"Egypt")</f>
        <v>Egypt</v>
      </c>
      <c r="F684" s="1" t="str">
        <f ca="1">IFERROR(__xludf.DUMMYFUNCTION("""COMPUTED_VALUE"""),"Ninth 190.18 Egypt")</f>
        <v>Ninth 190.18 Egypt</v>
      </c>
      <c r="G684" s="1" t="str">
        <f ca="1">IFERROR(__xludf.DUMMYFUNCTION("""COMPUTED_VALUE"""),"Freedom of Expression, Individuals At Risk")</f>
        <v>Freedom of Expression, Individuals At Risk</v>
      </c>
      <c r="H684" s="1" t="str">
        <f ca="1">IFERROR(__xludf.DUMMYFUNCTION("""COMPUTED_VALUE"""),"2024")</f>
        <v>2024</v>
      </c>
      <c r="I684" s="1" t="str">
        <f ca="1">IFERROR(__xludf.DUMMYFUNCTION("""COMPUTED_VALUE"""),"Letter")</f>
        <v>Letter</v>
      </c>
    </row>
    <row r="685" spans="1:9" ht="13" x14ac:dyDescent="0.15">
      <c r="A685" s="9">
        <f ca="1">IFERROR(__xludf.DUMMYFUNCTION("""COMPUTED_VALUE"""),31616227)</f>
        <v>31616227</v>
      </c>
      <c r="B685" s="1" t="str">
        <f ca="1">IFERROR(__xludf.DUMMYFUNCTION("""COMPUTED_VALUE"""),"dtaylor@plenus.ca")</f>
        <v>dtaylor@plenus.ca</v>
      </c>
      <c r="C685" s="9" t="str">
        <f ca="1">IFERROR(__xludf.DUMMYFUNCTION("""COMPUTED_VALUE"""),"EVERGREEN - UAN Gated Content - Embedded Petition")</f>
        <v>EVERGREEN - UAN Gated Content - Embedded Petition</v>
      </c>
      <c r="D685" s="10">
        <f ca="1">IFERROR(__xludf.DUMMYFUNCTION("""COMPUTED_VALUE"""),45694)</f>
        <v>45694</v>
      </c>
      <c r="E685" s="1" t="str">
        <f ca="1">IFERROR(__xludf.DUMMYFUNCTION("""COMPUTED_VALUE"""),"China")</f>
        <v>China</v>
      </c>
      <c r="F685" s="1" t="str">
        <f ca="1">IFERROR(__xludf.DUMMYFUNCTION("""COMPUTED_VALUE"""),"98.24 China")</f>
        <v>98.24 China</v>
      </c>
      <c r="G685" s="1" t="str">
        <f ca="1">IFERROR(__xludf.DUMMYFUNCTION("""COMPUTED_VALUE"""),"Freedom of Expression, Individuals At Risk")</f>
        <v>Freedom of Expression, Individuals At Risk</v>
      </c>
      <c r="H685" s="1" t="str">
        <f ca="1">IFERROR(__xludf.DUMMYFUNCTION("""COMPUTED_VALUE"""),"2024")</f>
        <v>2024</v>
      </c>
      <c r="I685" s="1" t="str">
        <f ca="1">IFERROR(__xludf.DUMMYFUNCTION("""COMPUTED_VALUE"""),"Letter")</f>
        <v>Letter</v>
      </c>
    </row>
    <row r="686" spans="1:9" ht="13" x14ac:dyDescent="0.15">
      <c r="A686" s="9">
        <f ca="1">IFERROR(__xludf.DUMMYFUNCTION("""COMPUTED_VALUE"""),31616227)</f>
        <v>31616227</v>
      </c>
      <c r="B686" s="1" t="str">
        <f ca="1">IFERROR(__xludf.DUMMYFUNCTION("""COMPUTED_VALUE"""),"dtaylor@plenus.ca")</f>
        <v>dtaylor@plenus.ca</v>
      </c>
      <c r="C686" s="9" t="str">
        <f ca="1">IFERROR(__xludf.DUMMYFUNCTION("""COMPUTED_VALUE"""),"EVERGREEN - UAN Gated Content - Embedded Petition")</f>
        <v>EVERGREEN - UAN Gated Content - Embedded Petition</v>
      </c>
      <c r="D686" s="10">
        <f ca="1">IFERROR(__xludf.DUMMYFUNCTION("""COMPUTED_VALUE"""),45636)</f>
        <v>45636</v>
      </c>
      <c r="E686" s="1" t="str">
        <f ca="1">IFERROR(__xludf.DUMMYFUNCTION("""COMPUTED_VALUE"""),"Venezuela")</f>
        <v>Venezuela</v>
      </c>
      <c r="F686" s="1" t="str">
        <f ca="1">IFERROR(__xludf.DUMMYFUNCTION("""COMPUTED_VALUE"""),"97.24 Venezuela")</f>
        <v>97.24 Venezuela</v>
      </c>
      <c r="G686" s="1" t="str">
        <f ca="1">IFERROR(__xludf.DUMMYFUNCTION("""COMPUTED_VALUE"""),"Freedom of Expression")</f>
        <v>Freedom of Expression</v>
      </c>
      <c r="H686" s="1" t="str">
        <f ca="1">IFERROR(__xludf.DUMMYFUNCTION("""COMPUTED_VALUE"""),"2024")</f>
        <v>2024</v>
      </c>
      <c r="I686" s="1" t="str">
        <f ca="1">IFERROR(__xludf.DUMMYFUNCTION("""COMPUTED_VALUE"""),"Letter")</f>
        <v>Letter</v>
      </c>
    </row>
    <row r="687" spans="1:9" ht="13" x14ac:dyDescent="0.15">
      <c r="A687" s="9">
        <f ca="1">IFERROR(__xludf.DUMMYFUNCTION("""COMPUTED_VALUE"""),31618383)</f>
        <v>31618383</v>
      </c>
      <c r="B687" s="1" t="str">
        <f ca="1">IFERROR(__xludf.DUMMYFUNCTION("""COMPUTED_VALUE"""),"nsconrad@gmail.com")</f>
        <v>nsconrad@gmail.com</v>
      </c>
      <c r="C687" s="9" t="str">
        <f ca="1">IFERROR(__xludf.DUMMYFUNCTION("""COMPUTED_VALUE"""),"EVERGREEN - UAN Gated Content - Embedded Petition")</f>
        <v>EVERGREEN - UAN Gated Content - Embedded Petition</v>
      </c>
      <c r="D687" s="10">
        <f ca="1">IFERROR(__xludf.DUMMYFUNCTION("""COMPUTED_VALUE"""),45636)</f>
        <v>45636</v>
      </c>
      <c r="E687" s="1" t="str">
        <f ca="1">IFERROR(__xludf.DUMMYFUNCTION("""COMPUTED_VALUE"""),"Egypt")</f>
        <v>Egypt</v>
      </c>
      <c r="F687" s="1" t="str">
        <f ca="1">IFERROR(__xludf.DUMMYFUNCTION("""COMPUTED_VALUE"""),"Ninth 190.18 Egypt")</f>
        <v>Ninth 190.18 Egypt</v>
      </c>
      <c r="G687" s="1" t="str">
        <f ca="1">IFERROR(__xludf.DUMMYFUNCTION("""COMPUTED_VALUE"""),"Freedom of Expression, Individuals At Risk")</f>
        <v>Freedom of Expression, Individuals At Risk</v>
      </c>
      <c r="H687" s="1" t="str">
        <f ca="1">IFERROR(__xludf.DUMMYFUNCTION("""COMPUTED_VALUE"""),"2024")</f>
        <v>2024</v>
      </c>
      <c r="I687" s="1" t="str">
        <f ca="1">IFERROR(__xludf.DUMMYFUNCTION("""COMPUTED_VALUE"""),"Letter")</f>
        <v>Letter</v>
      </c>
    </row>
    <row r="688" spans="1:9" ht="13" x14ac:dyDescent="0.15">
      <c r="A688" s="9">
        <f ca="1">IFERROR(__xludf.DUMMYFUNCTION("""COMPUTED_VALUE"""),31619755)</f>
        <v>31619755</v>
      </c>
      <c r="B688" s="1" t="str">
        <f ca="1">IFERROR(__xludf.DUMMYFUNCTION("""COMPUTED_VALUE"""),"dorothyjeanrich@gmail.com")</f>
        <v>dorothyjeanrich@gmail.com</v>
      </c>
      <c r="C688" s="9" t="str">
        <f ca="1">IFERROR(__xludf.DUMMYFUNCTION("""COMPUTED_VALUE"""),"EVERGREEN - UAN Gated Content - Embedded Petition")</f>
        <v>EVERGREEN - UAN Gated Content - Embedded Petition</v>
      </c>
      <c r="D688" s="10">
        <f ca="1">IFERROR(__xludf.DUMMYFUNCTION("""COMPUTED_VALUE"""),45675)</f>
        <v>45675</v>
      </c>
      <c r="E688" s="1" t="str">
        <f ca="1">IFERROR(__xludf.DUMMYFUNCTION("""COMPUTED_VALUE"""),"USA")</f>
        <v>USA</v>
      </c>
      <c r="F688" s="1" t="str">
        <f ca="1">IFERROR(__xludf.DUMMYFUNCTION("""COMPUTED_VALUE"""),"4.25 USA")</f>
        <v>4.25 USA</v>
      </c>
      <c r="G688" s="1" t="str">
        <f ca="1">IFERROR(__xludf.DUMMYFUNCTION("""COMPUTED_VALUE"""),"Individuals At Risk, Refugee and Migrant Rights")</f>
        <v>Individuals At Risk, Refugee and Migrant Rights</v>
      </c>
      <c r="H688" s="1" t="str">
        <f ca="1">IFERROR(__xludf.DUMMYFUNCTION("""COMPUTED_VALUE"""),"2025")</f>
        <v>2025</v>
      </c>
      <c r="I688" s="1" t="str">
        <f ca="1">IFERROR(__xludf.DUMMYFUNCTION("""COMPUTED_VALUE"""),"Letter")</f>
        <v>Letter</v>
      </c>
    </row>
    <row r="689" spans="1:9" ht="13" x14ac:dyDescent="0.15">
      <c r="A689" s="9">
        <f ca="1">IFERROR(__xludf.DUMMYFUNCTION("""COMPUTED_VALUE"""),31619755)</f>
        <v>31619755</v>
      </c>
      <c r="B689" s="1" t="str">
        <f ca="1">IFERROR(__xludf.DUMMYFUNCTION("""COMPUTED_VALUE"""),"dorothyjeanrich@gmail.com")</f>
        <v>dorothyjeanrich@gmail.com</v>
      </c>
      <c r="C689" s="9" t="str">
        <f ca="1">IFERROR(__xludf.DUMMYFUNCTION("""COMPUTED_VALUE"""),"EVERGREEN - UAN Gated Content - Embedded Petition")</f>
        <v>EVERGREEN - UAN Gated Content - Embedded Petition</v>
      </c>
      <c r="D689" s="10">
        <f ca="1">IFERROR(__xludf.DUMMYFUNCTION("""COMPUTED_VALUE"""),45675)</f>
        <v>45675</v>
      </c>
      <c r="E689" s="1" t="str">
        <f ca="1">IFERROR(__xludf.DUMMYFUNCTION("""COMPUTED_VALUE"""),"Iran")</f>
        <v>Iran</v>
      </c>
      <c r="F689" s="1" t="str">
        <f ca="1">IFERROR(__xludf.DUMMYFUNCTION("""COMPUTED_VALUE"""),"Seventh 103.22 Iran")</f>
        <v>Seventh 103.22 Iran</v>
      </c>
      <c r="G689" s="1" t="str">
        <f ca="1">IFERROR(__xludf.DUMMYFUNCTION("""COMPUTED_VALUE"""),"Death Penalty, Freedom of Expression, Individuals At Risk")</f>
        <v>Death Penalty, Freedom of Expression, Individuals At Risk</v>
      </c>
      <c r="H689" s="1" t="str">
        <f ca="1">IFERROR(__xludf.DUMMYFUNCTION("""COMPUTED_VALUE"""),"2024")</f>
        <v>2024</v>
      </c>
      <c r="I689" s="1" t="str">
        <f ca="1">IFERROR(__xludf.DUMMYFUNCTION("""COMPUTED_VALUE"""),"Email")</f>
        <v>Email</v>
      </c>
    </row>
    <row r="690" spans="1:9" ht="13" x14ac:dyDescent="0.15">
      <c r="A690" s="9">
        <f ca="1">IFERROR(__xludf.DUMMYFUNCTION("""COMPUTED_VALUE"""),31619755)</f>
        <v>31619755</v>
      </c>
      <c r="B690" s="1" t="str">
        <f ca="1">IFERROR(__xludf.DUMMYFUNCTION("""COMPUTED_VALUE"""),"dorothyjeanrich@gmail.com")</f>
        <v>dorothyjeanrich@gmail.com</v>
      </c>
      <c r="C690" s="9" t="str">
        <f ca="1">IFERROR(__xludf.DUMMYFUNCTION("""COMPUTED_VALUE"""),"EVERGREEN - UAN Gated Content - Embedded Petition")</f>
        <v>EVERGREEN - UAN Gated Content - Embedded Petition</v>
      </c>
      <c r="D690" s="10">
        <f ca="1">IFERROR(__xludf.DUMMYFUNCTION("""COMPUTED_VALUE"""),45694)</f>
        <v>45694</v>
      </c>
      <c r="E690" s="1" t="str">
        <f ca="1">IFERROR(__xludf.DUMMYFUNCTION("""COMPUTED_VALUE"""),"Iran")</f>
        <v>Iran</v>
      </c>
      <c r="F690" s="1" t="str">
        <f ca="1">IFERROR(__xludf.DUMMYFUNCTION("""COMPUTED_VALUE"""),"Seventh 103.22 Iran")</f>
        <v>Seventh 103.22 Iran</v>
      </c>
      <c r="G690" s="1" t="str">
        <f ca="1">IFERROR(__xludf.DUMMYFUNCTION("""COMPUTED_VALUE"""),"Death Penalty, Freedom of Expression, Individuals At Risk")</f>
        <v>Death Penalty, Freedom of Expression, Individuals At Risk</v>
      </c>
      <c r="H690" s="1" t="str">
        <f ca="1">IFERROR(__xludf.DUMMYFUNCTION("""COMPUTED_VALUE"""),"2024")</f>
        <v>2024</v>
      </c>
      <c r="I690" s="1" t="str">
        <f ca="1">IFERROR(__xludf.DUMMYFUNCTION("""COMPUTED_VALUE"""),"Email")</f>
        <v>Email</v>
      </c>
    </row>
    <row r="691" spans="1:9" ht="13" x14ac:dyDescent="0.15">
      <c r="A691" s="9">
        <f ca="1">IFERROR(__xludf.DUMMYFUNCTION("""COMPUTED_VALUE"""),31619755)</f>
        <v>31619755</v>
      </c>
      <c r="B691" s="1" t="str">
        <f ca="1">IFERROR(__xludf.DUMMYFUNCTION("""COMPUTED_VALUE"""),"dorothyjeanrich@gmail.com")</f>
        <v>dorothyjeanrich@gmail.com</v>
      </c>
      <c r="C691" s="9" t="str">
        <f ca="1">IFERROR(__xludf.DUMMYFUNCTION("""COMPUTED_VALUE"""),"EVERGREEN - UAN Gated Content - Embedded Petition")</f>
        <v>EVERGREEN - UAN Gated Content - Embedded Petition</v>
      </c>
      <c r="D691" s="10">
        <f ca="1">IFERROR(__xludf.DUMMYFUNCTION("""COMPUTED_VALUE"""),45675)</f>
        <v>45675</v>
      </c>
      <c r="E691" s="1" t="str">
        <f ca="1">IFERROR(__xludf.DUMMYFUNCTION("""COMPUTED_VALUE"""),"Niger")</f>
        <v>Niger</v>
      </c>
      <c r="F691" s="1" t="str">
        <f ca="1">IFERROR(__xludf.DUMMYFUNCTION("""COMPUTED_VALUE"""),"103.24 Niger")</f>
        <v>103.24 Niger</v>
      </c>
      <c r="G691" s="1" t="str">
        <f ca="1">IFERROR(__xludf.DUMMYFUNCTION("""COMPUTED_VALUE"""),"Freedom of Expression, Human Rights Defenders")</f>
        <v>Freedom of Expression, Human Rights Defenders</v>
      </c>
      <c r="H691" s="1" t="str">
        <f ca="1">IFERROR(__xludf.DUMMYFUNCTION("""COMPUTED_VALUE"""),"2024")</f>
        <v>2024</v>
      </c>
      <c r="I691" s="1" t="str">
        <f ca="1">IFERROR(__xludf.DUMMYFUNCTION("""COMPUTED_VALUE"""),"Email")</f>
        <v>Email</v>
      </c>
    </row>
    <row r="692" spans="1:9" ht="13" x14ac:dyDescent="0.15">
      <c r="A692" s="9">
        <f ca="1">IFERROR(__xludf.DUMMYFUNCTION("""COMPUTED_VALUE"""),31619755)</f>
        <v>31619755</v>
      </c>
      <c r="B692" s="1" t="str">
        <f ca="1">IFERROR(__xludf.DUMMYFUNCTION("""COMPUTED_VALUE"""),"dorothyjeanrich@gmail.com")</f>
        <v>dorothyjeanrich@gmail.com</v>
      </c>
      <c r="C692" s="9" t="str">
        <f ca="1">IFERROR(__xludf.DUMMYFUNCTION("""COMPUTED_VALUE"""),"EVERGREEN - UAN Gated Content - Embedded Petition")</f>
        <v>EVERGREEN - UAN Gated Content - Embedded Petition</v>
      </c>
      <c r="D692" s="10">
        <f ca="1">IFERROR(__xludf.DUMMYFUNCTION("""COMPUTED_VALUE"""),45677)</f>
        <v>45677</v>
      </c>
      <c r="E692" s="1" t="str">
        <f ca="1">IFERROR(__xludf.DUMMYFUNCTION("""COMPUTED_VALUE"""),"Niger")</f>
        <v>Niger</v>
      </c>
      <c r="F692" s="1" t="str">
        <f ca="1">IFERROR(__xludf.DUMMYFUNCTION("""COMPUTED_VALUE"""),"103.24 Niger")</f>
        <v>103.24 Niger</v>
      </c>
      <c r="G692" s="1" t="str">
        <f ca="1">IFERROR(__xludf.DUMMYFUNCTION("""COMPUTED_VALUE"""),"Freedom of Expression, Human Rights Defenders")</f>
        <v>Freedom of Expression, Human Rights Defenders</v>
      </c>
      <c r="H692" s="1" t="str">
        <f ca="1">IFERROR(__xludf.DUMMYFUNCTION("""COMPUTED_VALUE"""),"2024")</f>
        <v>2024</v>
      </c>
      <c r="I692" s="1" t="str">
        <f ca="1">IFERROR(__xludf.DUMMYFUNCTION("""COMPUTED_VALUE"""),"Email")</f>
        <v>Email</v>
      </c>
    </row>
    <row r="693" spans="1:9" ht="13" x14ac:dyDescent="0.15">
      <c r="A693" s="9">
        <f ca="1">IFERROR(__xludf.DUMMYFUNCTION("""COMPUTED_VALUE"""),31619755)</f>
        <v>31619755</v>
      </c>
      <c r="B693" s="1" t="str">
        <f ca="1">IFERROR(__xludf.DUMMYFUNCTION("""COMPUTED_VALUE"""),"dorothyjeanrich@gmail.com")</f>
        <v>dorothyjeanrich@gmail.com</v>
      </c>
      <c r="C693" s="9" t="str">
        <f ca="1">IFERROR(__xludf.DUMMYFUNCTION("""COMPUTED_VALUE"""),"EVERGREEN - UAN Gated Content - Embedded Petition")</f>
        <v>EVERGREEN - UAN Gated Content - Embedded Petition</v>
      </c>
      <c r="D693" s="10">
        <f ca="1">IFERROR(__xludf.DUMMYFUNCTION("""COMPUTED_VALUE"""),45636)</f>
        <v>45636</v>
      </c>
      <c r="E693" s="1" t="str">
        <f ca="1">IFERROR(__xludf.DUMMYFUNCTION("""COMPUTED_VALUE"""),"China")</f>
        <v>China</v>
      </c>
      <c r="F693" s="1" t="str">
        <f ca="1">IFERROR(__xludf.DUMMYFUNCTION("""COMPUTED_VALUE"""),"98.24 China")</f>
        <v>98.24 China</v>
      </c>
      <c r="G693" s="1" t="str">
        <f ca="1">IFERROR(__xludf.DUMMYFUNCTION("""COMPUTED_VALUE"""),"Freedom of Expression, Individuals At Risk")</f>
        <v>Freedom of Expression, Individuals At Risk</v>
      </c>
      <c r="H693" s="1" t="str">
        <f ca="1">IFERROR(__xludf.DUMMYFUNCTION("""COMPUTED_VALUE"""),"2024")</f>
        <v>2024</v>
      </c>
      <c r="I693" s="1" t="str">
        <f ca="1">IFERROR(__xludf.DUMMYFUNCTION("""COMPUTED_VALUE"""),"Letter")</f>
        <v>Letter</v>
      </c>
    </row>
    <row r="694" spans="1:9" ht="13" x14ac:dyDescent="0.15">
      <c r="A694" s="9">
        <f ca="1">IFERROR(__xludf.DUMMYFUNCTION("""COMPUTED_VALUE"""),31619755)</f>
        <v>31619755</v>
      </c>
      <c r="B694" s="1" t="str">
        <f ca="1">IFERROR(__xludf.DUMMYFUNCTION("""COMPUTED_VALUE"""),"dorothyjeanrich@gmail.com")</f>
        <v>dorothyjeanrich@gmail.com</v>
      </c>
      <c r="C694" s="9" t="str">
        <f ca="1">IFERROR(__xludf.DUMMYFUNCTION("""COMPUTED_VALUE"""),"EVERGREEN - UAN Gated Content - Embedded Petition")</f>
        <v>EVERGREEN - UAN Gated Content - Embedded Petition</v>
      </c>
      <c r="D694" s="10">
        <f ca="1">IFERROR(__xludf.DUMMYFUNCTION("""COMPUTED_VALUE"""),45636)</f>
        <v>45636</v>
      </c>
      <c r="E694" s="1" t="str">
        <f ca="1">IFERROR(__xludf.DUMMYFUNCTION("""COMPUTED_VALUE"""),"Iran")</f>
        <v>Iran</v>
      </c>
      <c r="F694" s="1" t="str">
        <f ca="1">IFERROR(__xludf.DUMMYFUNCTION("""COMPUTED_VALUE"""),"Seventh 103.22 Iran")</f>
        <v>Seventh 103.22 Iran</v>
      </c>
      <c r="G694" s="1" t="str">
        <f ca="1">IFERROR(__xludf.DUMMYFUNCTION("""COMPUTED_VALUE"""),"Death Penalty, Freedom of Expression, Individuals At Risk")</f>
        <v>Death Penalty, Freedom of Expression, Individuals At Risk</v>
      </c>
      <c r="H694" s="1" t="str">
        <f ca="1">IFERROR(__xludf.DUMMYFUNCTION("""COMPUTED_VALUE"""),"2024")</f>
        <v>2024</v>
      </c>
      <c r="I694" s="1" t="str">
        <f ca="1">IFERROR(__xludf.DUMMYFUNCTION("""COMPUTED_VALUE"""),"Email")</f>
        <v>Email</v>
      </c>
    </row>
    <row r="695" spans="1:9" ht="13" x14ac:dyDescent="0.15">
      <c r="A695" s="9">
        <f ca="1">IFERROR(__xludf.DUMMYFUNCTION("""COMPUTED_VALUE"""),31619755)</f>
        <v>31619755</v>
      </c>
      <c r="B695" s="1" t="str">
        <f ca="1">IFERROR(__xludf.DUMMYFUNCTION("""COMPUTED_VALUE"""),"dorothyjeanrich@gmail.com")</f>
        <v>dorothyjeanrich@gmail.com</v>
      </c>
      <c r="C695" s="9" t="str">
        <f ca="1">IFERROR(__xludf.DUMMYFUNCTION("""COMPUTED_VALUE"""),"EVERGREEN - UAN Gated Content - Embedded Petition")</f>
        <v>EVERGREEN - UAN Gated Content - Embedded Petition</v>
      </c>
      <c r="D695" s="10">
        <f ca="1">IFERROR(__xludf.DUMMYFUNCTION("""COMPUTED_VALUE"""),45617)</f>
        <v>45617</v>
      </c>
      <c r="E695" s="1" t="str">
        <f ca="1">IFERROR(__xludf.DUMMYFUNCTION("""COMPUTED_VALUE"""),"Tunisia")</f>
        <v>Tunisia</v>
      </c>
      <c r="F695" s="1" t="str">
        <f ca="1">IFERROR(__xludf.DUMMYFUNCTION("""COMPUTED_VALUE"""),"Second 76.24 Tunisia")</f>
        <v>Second 76.24 Tunisia</v>
      </c>
      <c r="G695" s="1" t="str">
        <f ca="1">IFERROR(__xludf.DUMMYFUNCTION("""COMPUTED_VALUE"""),"Freedom of Expression, Human Rights Defenders")</f>
        <v>Freedom of Expression, Human Rights Defenders</v>
      </c>
      <c r="H695" s="1" t="str">
        <f ca="1">IFERROR(__xludf.DUMMYFUNCTION("""COMPUTED_VALUE"""),"2025")</f>
        <v>2025</v>
      </c>
      <c r="I695" s="1" t="str">
        <f ca="1">IFERROR(__xludf.DUMMYFUNCTION("""COMPUTED_VALUE"""),"Email")</f>
        <v>Email</v>
      </c>
    </row>
    <row r="696" spans="1:9" ht="13" x14ac:dyDescent="0.15">
      <c r="A696" s="9">
        <f ca="1">IFERROR(__xludf.DUMMYFUNCTION("""COMPUTED_VALUE"""),31619755)</f>
        <v>31619755</v>
      </c>
      <c r="B696" s="1" t="str">
        <f ca="1">IFERROR(__xludf.DUMMYFUNCTION("""COMPUTED_VALUE"""),"dorothyjeanrich@gmail.com")</f>
        <v>dorothyjeanrich@gmail.com</v>
      </c>
      <c r="C696" s="9" t="str">
        <f ca="1">IFERROR(__xludf.DUMMYFUNCTION("""COMPUTED_VALUE"""),"EVERGREEN - UAN Gated Content - Embedded Petition")</f>
        <v>EVERGREEN - UAN Gated Content - Embedded Petition</v>
      </c>
      <c r="D696" s="10">
        <f ca="1">IFERROR(__xludf.DUMMYFUNCTION("""COMPUTED_VALUE"""),45636)</f>
        <v>45636</v>
      </c>
      <c r="E696" s="1" t="str">
        <f ca="1">IFERROR(__xludf.DUMMYFUNCTION("""COMPUTED_VALUE"""),"Iran")</f>
        <v>Iran</v>
      </c>
      <c r="F696" s="1" t="str">
        <f ca="1">IFERROR(__xludf.DUMMYFUNCTION("""COMPUTED_VALUE"""),"Seventh 103.22 Iran")</f>
        <v>Seventh 103.22 Iran</v>
      </c>
      <c r="G696" s="1" t="str">
        <f ca="1">IFERROR(__xludf.DUMMYFUNCTION("""COMPUTED_VALUE"""),"Death Penalty, Freedom of Expression, Individuals At Risk")</f>
        <v>Death Penalty, Freedom of Expression, Individuals At Risk</v>
      </c>
      <c r="H696" s="1" t="str">
        <f ca="1">IFERROR(__xludf.DUMMYFUNCTION("""COMPUTED_VALUE"""),"2024")</f>
        <v>2024</v>
      </c>
      <c r="I696" s="1" t="str">
        <f ca="1">IFERROR(__xludf.DUMMYFUNCTION("""COMPUTED_VALUE"""),"Email")</f>
        <v>Email</v>
      </c>
    </row>
    <row r="697" spans="1:9" ht="13" x14ac:dyDescent="0.15">
      <c r="A697" s="9">
        <f ca="1">IFERROR(__xludf.DUMMYFUNCTION("""COMPUTED_VALUE"""),31623233)</f>
        <v>31623233</v>
      </c>
      <c r="B697" s="1" t="str">
        <f ca="1">IFERROR(__xludf.DUMMYFUNCTION("""COMPUTED_VALUE"""),"vandermude@acm.org")</f>
        <v>vandermude@acm.org</v>
      </c>
      <c r="C697" s="9" t="str">
        <f ca="1">IFERROR(__xludf.DUMMYFUNCTION("""COMPUTED_VALUE"""),"UAN mid-page Lightbox - Step 1 of 4 - Landing Page")</f>
        <v>UAN mid-page Lightbox - Step 1 of 4 - Landing Page</v>
      </c>
      <c r="D697" s="10">
        <f ca="1">IFERROR(__xludf.DUMMYFUNCTION("""COMPUTED_VALUE"""),45618)</f>
        <v>45618</v>
      </c>
      <c r="E697" s="1" t="str">
        <f ca="1">IFERROR(__xludf.DUMMYFUNCTION("""COMPUTED_VALUE"""),"Tunisia")</f>
        <v>Tunisia</v>
      </c>
      <c r="F697" s="1" t="str">
        <f ca="1">IFERROR(__xludf.DUMMYFUNCTION("""COMPUTED_VALUE"""),"Second 76.24 Tunisia")</f>
        <v>Second 76.24 Tunisia</v>
      </c>
      <c r="G697" s="1" t="str">
        <f ca="1">IFERROR(__xludf.DUMMYFUNCTION("""COMPUTED_VALUE"""),"Freedom of Expression, Human Rights Defenders")</f>
        <v>Freedom of Expression, Human Rights Defenders</v>
      </c>
      <c r="H697" s="1" t="str">
        <f ca="1">IFERROR(__xludf.DUMMYFUNCTION("""COMPUTED_VALUE"""),"2025")</f>
        <v>2025</v>
      </c>
      <c r="I697" s="1" t="str">
        <f ca="1">IFERROR(__xludf.DUMMYFUNCTION("""COMPUTED_VALUE"""),"Email")</f>
        <v>Email</v>
      </c>
    </row>
    <row r="698" spans="1:9" ht="13" x14ac:dyDescent="0.15">
      <c r="A698" s="9">
        <f ca="1">IFERROR(__xludf.DUMMYFUNCTION("""COMPUTED_VALUE"""),31623233)</f>
        <v>31623233</v>
      </c>
      <c r="B698" s="1" t="str">
        <f ca="1">IFERROR(__xludf.DUMMYFUNCTION("""COMPUTED_VALUE"""),"vandermude@acm.org")</f>
        <v>vandermude@acm.org</v>
      </c>
      <c r="C698" s="9" t="str">
        <f ca="1">IFERROR(__xludf.DUMMYFUNCTION("""COMPUTED_VALUE"""),"UAN mid-page Lightbox - Step 2 of 4 - More personal info fields")</f>
        <v>UAN mid-page Lightbox - Step 2 of 4 - More personal info fields</v>
      </c>
      <c r="D698" s="10">
        <f ca="1">IFERROR(__xludf.DUMMYFUNCTION("""COMPUTED_VALUE"""),45618)</f>
        <v>45618</v>
      </c>
      <c r="E698" s="1" t="str">
        <f ca="1">IFERROR(__xludf.DUMMYFUNCTION("""COMPUTED_VALUE"""),"China")</f>
        <v>China</v>
      </c>
      <c r="F698" s="1" t="str">
        <f ca="1">IFERROR(__xludf.DUMMYFUNCTION("""COMPUTED_VALUE"""),"106.24 China")</f>
        <v>106.24 China</v>
      </c>
      <c r="G698" s="1" t="str">
        <f ca="1">IFERROR(__xludf.DUMMYFUNCTION("""COMPUTED_VALUE"""),"Freedom of Expression, Individuals At Risk")</f>
        <v>Freedom of Expression, Individuals At Risk</v>
      </c>
      <c r="H698" s="1" t="str">
        <f ca="1">IFERROR(__xludf.DUMMYFUNCTION("""COMPUTED_VALUE"""),"2024")</f>
        <v>2024</v>
      </c>
      <c r="I698" s="1" t="str">
        <f ca="1">IFERROR(__xludf.DUMMYFUNCTION("""COMPUTED_VALUE"""),"Email")</f>
        <v>Email</v>
      </c>
    </row>
    <row r="699" spans="1:9" ht="13" x14ac:dyDescent="0.15">
      <c r="A699" s="9">
        <f ca="1">IFERROR(__xludf.DUMMYFUNCTION("""COMPUTED_VALUE"""),31623233)</f>
        <v>31623233</v>
      </c>
      <c r="B699" s="1" t="str">
        <f ca="1">IFERROR(__xludf.DUMMYFUNCTION("""COMPUTED_VALUE"""),"vandermude@acm.org")</f>
        <v>vandermude@acm.org</v>
      </c>
      <c r="C699" s="9" t="str">
        <f ca="1">IFERROR(__xludf.DUMMYFUNCTION("""COMPUTED_VALUE"""),"UAN mid-page Lightbox - Step 3 of 4 - More opt-ins")</f>
        <v>UAN mid-page Lightbox - Step 3 of 4 - More opt-ins</v>
      </c>
      <c r="D699" s="10">
        <f ca="1">IFERROR(__xludf.DUMMYFUNCTION("""COMPUTED_VALUE"""),45618)</f>
        <v>45618</v>
      </c>
      <c r="E699" s="1" t="str">
        <f ca="1">IFERROR(__xludf.DUMMYFUNCTION("""COMPUTED_VALUE"""),"Niger")</f>
        <v>Niger</v>
      </c>
      <c r="F699" s="1" t="str">
        <f ca="1">IFERROR(__xludf.DUMMYFUNCTION("""COMPUTED_VALUE"""),"103.24 Niger")</f>
        <v>103.24 Niger</v>
      </c>
      <c r="G699" s="1" t="str">
        <f ca="1">IFERROR(__xludf.DUMMYFUNCTION("""COMPUTED_VALUE"""),"Freedom of Expression, Human Rights Defenders")</f>
        <v>Freedom of Expression, Human Rights Defenders</v>
      </c>
      <c r="H699" s="1" t="str">
        <f ca="1">IFERROR(__xludf.DUMMYFUNCTION("""COMPUTED_VALUE"""),"2024")</f>
        <v>2024</v>
      </c>
      <c r="I699" s="1" t="str">
        <f ca="1">IFERROR(__xludf.DUMMYFUNCTION("""COMPUTED_VALUE"""),"Email")</f>
        <v>Email</v>
      </c>
    </row>
    <row r="700" spans="1:9" ht="13" x14ac:dyDescent="0.15">
      <c r="A700" s="9">
        <f ca="1">IFERROR(__xludf.DUMMYFUNCTION("""COMPUTED_VALUE"""),31628780)</f>
        <v>31628780</v>
      </c>
      <c r="B700" s="1" t="str">
        <f ca="1">IFERROR(__xludf.DUMMYFUNCTION("""COMPUTED_VALUE"""),"k.esancy@live.com")</f>
        <v>k.esancy@live.com</v>
      </c>
      <c r="C700" s="9" t="str">
        <f ca="1">IFERROR(__xludf.DUMMYFUNCTION("""COMPUTED_VALUE"""),"EVERGREEN - UAN Gated Content - Embedded Petition")</f>
        <v>EVERGREEN - UAN Gated Content - Embedded Petition</v>
      </c>
      <c r="D700" s="10">
        <f ca="1">IFERROR(__xludf.DUMMYFUNCTION("""COMPUTED_VALUE"""),45641)</f>
        <v>45641</v>
      </c>
      <c r="E700" s="1" t="str">
        <f ca="1">IFERROR(__xludf.DUMMYFUNCTION("""COMPUTED_VALUE"""),"Saudi Arabia")</f>
        <v>Saudi Arabia</v>
      </c>
      <c r="F700" s="1" t="str">
        <f ca="1">IFERROR(__xludf.DUMMYFUNCTION("""COMPUTED_VALUE"""),"Second 85.23 Saudi Arabia")</f>
        <v>Second 85.23 Saudi Arabia</v>
      </c>
      <c r="G700" s="1" t="str">
        <f ca="1">IFERROR(__xludf.DUMMYFUNCTION("""COMPUTED_VALUE"""),"Freedom of Expression")</f>
        <v>Freedom of Expression</v>
      </c>
      <c r="H700" s="1" t="str">
        <f ca="1">IFERROR(__xludf.DUMMYFUNCTION("""COMPUTED_VALUE"""),"2024")</f>
        <v>2024</v>
      </c>
      <c r="I700" s="1" t="str">
        <f ca="1">IFERROR(__xludf.DUMMYFUNCTION("""COMPUTED_VALUE"""),"Letter")</f>
        <v>Letter</v>
      </c>
    </row>
    <row r="701" spans="1:9" ht="13" x14ac:dyDescent="0.15">
      <c r="A701" s="9">
        <f ca="1">IFERROR(__xludf.DUMMYFUNCTION("""COMPUTED_VALUE"""),31640950)</f>
        <v>31640950</v>
      </c>
      <c r="B701" s="1" t="str">
        <f ca="1">IFERROR(__xludf.DUMMYFUNCTION("""COMPUTED_VALUE"""),"lara3d@hotmail.com")</f>
        <v>lara3d@hotmail.com</v>
      </c>
      <c r="C701" s="9" t="str">
        <f ca="1">IFERROR(__xludf.DUMMYFUNCTION("""COMPUTED_VALUE"""),"EVERGREEN - UAN Gated Content - Embedded Petition")</f>
        <v>EVERGREEN - UAN Gated Content - Embedded Petition</v>
      </c>
      <c r="D701" s="10">
        <f ca="1">IFERROR(__xludf.DUMMYFUNCTION("""COMPUTED_VALUE"""),45668)</f>
        <v>45668</v>
      </c>
      <c r="E701" s="1" t="str">
        <f ca="1">IFERROR(__xludf.DUMMYFUNCTION("""COMPUTED_VALUE"""),"Tunisia")</f>
        <v>Tunisia</v>
      </c>
      <c r="F701" s="1" t="str">
        <f ca="1">IFERROR(__xludf.DUMMYFUNCTION("""COMPUTED_VALUE"""),"Second 76.24 Tunisia")</f>
        <v>Second 76.24 Tunisia</v>
      </c>
      <c r="G701" s="1" t="str">
        <f ca="1">IFERROR(__xludf.DUMMYFUNCTION("""COMPUTED_VALUE"""),"Freedom of Expression, Human Rights Defenders")</f>
        <v>Freedom of Expression, Human Rights Defenders</v>
      </c>
      <c r="H701" s="1" t="str">
        <f ca="1">IFERROR(__xludf.DUMMYFUNCTION("""COMPUTED_VALUE"""),"2025")</f>
        <v>2025</v>
      </c>
      <c r="I701" s="1" t="str">
        <f ca="1">IFERROR(__xludf.DUMMYFUNCTION("""COMPUTED_VALUE"""),"Email")</f>
        <v>Email</v>
      </c>
    </row>
    <row r="702" spans="1:9" ht="13" x14ac:dyDescent="0.15">
      <c r="A702" s="9">
        <f ca="1">IFERROR(__xludf.DUMMYFUNCTION("""COMPUTED_VALUE"""),31646363)</f>
        <v>31646363</v>
      </c>
      <c r="B702" s="1" t="str">
        <f ca="1">IFERROR(__xludf.DUMMYFUNCTION("""COMPUTED_VALUE"""),"awerneke@earthlink.net")</f>
        <v>awerneke@earthlink.net</v>
      </c>
      <c r="C702" s="9" t="str">
        <f ca="1">IFERROR(__xludf.DUMMYFUNCTION("""COMPUTED_VALUE"""),"EVERGREEN - UAN Gated Content - Embedded Petition")</f>
        <v>EVERGREEN - UAN Gated Content - Embedded Petition</v>
      </c>
      <c r="D702" s="10">
        <f ca="1">IFERROR(__xludf.DUMMYFUNCTION("""COMPUTED_VALUE"""),45636)</f>
        <v>45636</v>
      </c>
      <c r="E702" s="1" t="str">
        <f ca="1">IFERROR(__xludf.DUMMYFUNCTION("""COMPUTED_VALUE"""),"Tunisia")</f>
        <v>Tunisia</v>
      </c>
      <c r="F702" s="1" t="str">
        <f ca="1">IFERROR(__xludf.DUMMYFUNCTION("""COMPUTED_VALUE"""),"8.25 Tunisia")</f>
        <v>8.25 Tunisia</v>
      </c>
      <c r="G702" s="1" t="str">
        <f ca="1">IFERROR(__xludf.DUMMYFUNCTION("""COMPUTED_VALUE"""),"Freedom of Expression")</f>
        <v>Freedom of Expression</v>
      </c>
      <c r="H702" s="1" t="str">
        <f ca="1">IFERROR(__xludf.DUMMYFUNCTION("""COMPUTED_VALUE"""),"2025")</f>
        <v>2025</v>
      </c>
      <c r="I702" s="1" t="str">
        <f ca="1">IFERROR(__xludf.DUMMYFUNCTION("""COMPUTED_VALUE"""),"Email")</f>
        <v>Email</v>
      </c>
    </row>
    <row r="703" spans="1:9" ht="13" x14ac:dyDescent="0.15">
      <c r="A703" s="9">
        <f ca="1">IFERROR(__xludf.DUMMYFUNCTION("""COMPUTED_VALUE"""),31646363)</f>
        <v>31646363</v>
      </c>
      <c r="B703" s="1" t="str">
        <f ca="1">IFERROR(__xludf.DUMMYFUNCTION("""COMPUTED_VALUE"""),"awerneke@earthlink.net")</f>
        <v>awerneke@earthlink.net</v>
      </c>
      <c r="C703" s="9" t="str">
        <f ca="1">IFERROR(__xludf.DUMMYFUNCTION("""COMPUTED_VALUE"""),"EVERGREEN - UAN Gated Content - Embedded Petition")</f>
        <v>EVERGREEN - UAN Gated Content - Embedded Petition</v>
      </c>
      <c r="D703" s="10">
        <f ca="1">IFERROR(__xludf.DUMMYFUNCTION("""COMPUTED_VALUE"""),45636)</f>
        <v>45636</v>
      </c>
      <c r="E703" s="1" t="str">
        <f ca="1">IFERROR(__xludf.DUMMYFUNCTION("""COMPUTED_VALUE"""),"Iran")</f>
        <v>Iran</v>
      </c>
      <c r="F703" s="1" t="str">
        <f ca="1">IFERROR(__xludf.DUMMYFUNCTION("""COMPUTED_VALUE"""),"6.25 Iran")</f>
        <v>6.25 Iran</v>
      </c>
      <c r="G703" s="1" t="str">
        <f ca="1">IFERROR(__xludf.DUMMYFUNCTION("""COMPUTED_VALUE"""),"Death Penalty, Freedom of Expression, Individuals At Risk")</f>
        <v>Death Penalty, Freedom of Expression, Individuals At Risk</v>
      </c>
      <c r="H703" s="1" t="str">
        <f ca="1">IFERROR(__xludf.DUMMYFUNCTION("""COMPUTED_VALUE"""),"2025")</f>
        <v>2025</v>
      </c>
      <c r="I703" s="1" t="str">
        <f ca="1">IFERROR(__xludf.DUMMYFUNCTION("""COMPUTED_VALUE"""),"Email")</f>
        <v>Email</v>
      </c>
    </row>
    <row r="704" spans="1:9" ht="13" x14ac:dyDescent="0.15">
      <c r="A704" s="9">
        <f ca="1">IFERROR(__xludf.DUMMYFUNCTION("""COMPUTED_VALUE"""),31646363)</f>
        <v>31646363</v>
      </c>
      <c r="B704" s="1" t="str">
        <f ca="1">IFERROR(__xludf.DUMMYFUNCTION("""COMPUTED_VALUE"""),"awerneke@earthlink.net")</f>
        <v>awerneke@earthlink.net</v>
      </c>
      <c r="C704" s="9" t="str">
        <f ca="1">IFERROR(__xludf.DUMMYFUNCTION("""COMPUTED_VALUE"""),"EVERGREEN - UAN Gated Content - Embedded Petition")</f>
        <v>EVERGREEN - UAN Gated Content - Embedded Petition</v>
      </c>
      <c r="D704" s="10">
        <f ca="1">IFERROR(__xludf.DUMMYFUNCTION("""COMPUTED_VALUE"""),45636)</f>
        <v>45636</v>
      </c>
      <c r="E704" s="1" t="str">
        <f ca="1">IFERROR(__xludf.DUMMYFUNCTION("""COMPUTED_VALUE"""),"Turkiye")</f>
        <v>Turkiye</v>
      </c>
      <c r="F704" s="1" t="str">
        <f ca="1">IFERROR(__xludf.DUMMYFUNCTION("""COMPUTED_VALUE"""),"Second 109.24 Türkiye")</f>
        <v>Second 109.24 Türkiye</v>
      </c>
      <c r="G704" s="1" t="str">
        <f ca="1">IFERROR(__xludf.DUMMYFUNCTION("""COMPUTED_VALUE"""),"Human Rights Defenders")</f>
        <v>Human Rights Defenders</v>
      </c>
      <c r="H704" s="1" t="str">
        <f ca="1">IFERROR(__xludf.DUMMYFUNCTION("""COMPUTED_VALUE"""),"2025")</f>
        <v>2025</v>
      </c>
      <c r="I704" s="1" t="str">
        <f ca="1">IFERROR(__xludf.DUMMYFUNCTION("""COMPUTED_VALUE"""),"Email")</f>
        <v>Email</v>
      </c>
    </row>
    <row r="705" spans="1:9" ht="13" x14ac:dyDescent="0.15">
      <c r="A705" s="9">
        <f ca="1">IFERROR(__xludf.DUMMYFUNCTION("""COMPUTED_VALUE"""),31653143)</f>
        <v>31653143</v>
      </c>
      <c r="B705" s="1" t="str">
        <f ca="1">IFERROR(__xludf.DUMMYFUNCTION("""COMPUTED_VALUE"""),"juli3@aol.com")</f>
        <v>juli3@aol.com</v>
      </c>
      <c r="C705" s="9" t="str">
        <f ca="1">IFERROR(__xludf.DUMMYFUNCTION("""COMPUTED_VALUE"""),"EVERGREEN - UAN Gated Content - Embedded Petition")</f>
        <v>EVERGREEN - UAN Gated Content - Embedded Petition</v>
      </c>
      <c r="D705" s="10">
        <f ca="1">IFERROR(__xludf.DUMMYFUNCTION("""COMPUTED_VALUE"""),45679)</f>
        <v>45679</v>
      </c>
      <c r="E705" s="1" t="str">
        <f ca="1">IFERROR(__xludf.DUMMYFUNCTION("""COMPUTED_VALUE"""),"Uganda")</f>
        <v>Uganda</v>
      </c>
      <c r="F705" s="1" t="str">
        <f ca="1">IFERROR(__xludf.DUMMYFUNCTION("""COMPUTED_VALUE"""),"9.25 Uganda")</f>
        <v>9.25 Uganda</v>
      </c>
      <c r="G705" s="1" t="str">
        <f ca="1">IFERROR(__xludf.DUMMYFUNCTION("""COMPUTED_VALUE"""),"Freedom of Expression, Human Rights Defenders")</f>
        <v>Freedom of Expression, Human Rights Defenders</v>
      </c>
      <c r="H705" s="1" t="str">
        <f ca="1">IFERROR(__xludf.DUMMYFUNCTION("""COMPUTED_VALUE"""),"2025")</f>
        <v>2025</v>
      </c>
      <c r="I705" s="1" t="str">
        <f ca="1">IFERROR(__xludf.DUMMYFUNCTION("""COMPUTED_VALUE"""),"Email")</f>
        <v>Email</v>
      </c>
    </row>
    <row r="706" spans="1:9" ht="13" x14ac:dyDescent="0.15">
      <c r="A706" s="9">
        <f ca="1">IFERROR(__xludf.DUMMYFUNCTION("""COMPUTED_VALUE"""),31654358)</f>
        <v>31654358</v>
      </c>
      <c r="B706" s="1" t="str">
        <f ca="1">IFERROR(__xludf.DUMMYFUNCTION("""COMPUTED_VALUE"""),"lisa.boeschenstein@bluewin.ch")</f>
        <v>lisa.boeschenstein@bluewin.ch</v>
      </c>
      <c r="C706" s="9" t="str">
        <f ca="1">IFERROR(__xludf.DUMMYFUNCTION("""COMPUTED_VALUE"""),"EVERGREEN - UAN Gated Content - Embedded Petition")</f>
        <v>EVERGREEN - UAN Gated Content - Embedded Petition</v>
      </c>
      <c r="D706" s="10">
        <f ca="1">IFERROR(__xludf.DUMMYFUNCTION("""COMPUTED_VALUE"""),45700)</f>
        <v>45700</v>
      </c>
      <c r="E706" s="1" t="str">
        <f ca="1">IFERROR(__xludf.DUMMYFUNCTION("""COMPUTED_VALUE"""),"Iran")</f>
        <v>Iran</v>
      </c>
      <c r="F706" s="1" t="str">
        <f ca="1">IFERROR(__xludf.DUMMYFUNCTION("""COMPUTED_VALUE"""),"10.25 Iran")</f>
        <v>10.25 Iran</v>
      </c>
      <c r="G706" s="1" t="str">
        <f ca="1">IFERROR(__xludf.DUMMYFUNCTION("""COMPUTED_VALUE"""),"Death Penalty, Individuals At Risk")</f>
        <v>Death Penalty, Individuals At Risk</v>
      </c>
      <c r="H706" s="1" t="str">
        <f ca="1">IFERROR(__xludf.DUMMYFUNCTION("""COMPUTED_VALUE"""),"2025")</f>
        <v>2025</v>
      </c>
      <c r="I706" s="1" t="str">
        <f ca="1">IFERROR(__xludf.DUMMYFUNCTION("""COMPUTED_VALUE"""),"Email")</f>
        <v>Email</v>
      </c>
    </row>
    <row r="707" spans="1:9" ht="13" x14ac:dyDescent="0.15">
      <c r="A707" s="9">
        <f ca="1">IFERROR(__xludf.DUMMYFUNCTION("""COMPUTED_VALUE"""),31655996)</f>
        <v>31655996</v>
      </c>
      <c r="B707" s="1" t="str">
        <f ca="1">IFERROR(__xludf.DUMMYFUNCTION("""COMPUTED_VALUE"""),"oceanminded09@gmail.com")</f>
        <v>oceanminded09@gmail.com</v>
      </c>
      <c r="C707" s="9" t="str">
        <f ca="1">IFERROR(__xludf.DUMMYFUNCTION("""COMPUTED_VALUE"""),"EVERGREEN - UAN Gated Content - Embedded Petition")</f>
        <v>EVERGREEN - UAN Gated Content - Embedded Petition</v>
      </c>
      <c r="D707" s="10">
        <f ca="1">IFERROR(__xludf.DUMMYFUNCTION("""COMPUTED_VALUE"""),45636)</f>
        <v>45636</v>
      </c>
      <c r="E707" s="1" t="str">
        <f ca="1">IFERROR(__xludf.DUMMYFUNCTION("""COMPUTED_VALUE"""),"Libya")</f>
        <v>Libya</v>
      </c>
      <c r="F707" s="1" t="str">
        <f ca="1">IFERROR(__xludf.DUMMYFUNCTION("""COMPUTED_VALUE"""),"12.25 Libya")</f>
        <v>12.25 Libya</v>
      </c>
      <c r="G707" s="1" t="str">
        <f ca="1">IFERROR(__xludf.DUMMYFUNCTION("""COMPUTED_VALUE"""),"Freedom of Expression, Health, Individuals At Risk")</f>
        <v>Freedom of Expression, Health, Individuals At Risk</v>
      </c>
      <c r="H707" s="1" t="str">
        <f ca="1">IFERROR(__xludf.DUMMYFUNCTION("""COMPUTED_VALUE"""),"2025")</f>
        <v>2025</v>
      </c>
      <c r="I707" s="1" t="str">
        <f ca="1">IFERROR(__xludf.DUMMYFUNCTION("""COMPUTED_VALUE"""),"Email")</f>
        <v>Email</v>
      </c>
    </row>
    <row r="708" spans="1:9" ht="13" x14ac:dyDescent="0.15">
      <c r="A708" s="9">
        <f ca="1">IFERROR(__xludf.DUMMYFUNCTION("""COMPUTED_VALUE"""),31655996)</f>
        <v>31655996</v>
      </c>
      <c r="B708" s="1" t="str">
        <f ca="1">IFERROR(__xludf.DUMMYFUNCTION("""COMPUTED_VALUE"""),"oceanminded09@gmail.com")</f>
        <v>oceanminded09@gmail.com</v>
      </c>
      <c r="C708" s="9" t="str">
        <f ca="1">IFERROR(__xludf.DUMMYFUNCTION("""COMPUTED_VALUE"""),"EVERGREEN - UAN Gated Content - Embedded Petition")</f>
        <v>EVERGREEN - UAN Gated Content - Embedded Petition</v>
      </c>
      <c r="D708" s="10">
        <f ca="1">IFERROR(__xludf.DUMMYFUNCTION("""COMPUTED_VALUE"""),45674)</f>
        <v>45674</v>
      </c>
      <c r="E708" s="1" t="str">
        <f ca="1">IFERROR(__xludf.DUMMYFUNCTION("""COMPUTED_VALUE"""),"Afghanistan")</f>
        <v>Afghanistan</v>
      </c>
      <c r="F708" s="1" t="str">
        <f ca="1">IFERROR(__xludf.DUMMYFUNCTION("""COMPUTED_VALUE"""),"11.25 Afghanistan")</f>
        <v>11.25 Afghanistan</v>
      </c>
      <c r="G708" s="1" t="str">
        <f ca="1">IFERROR(__xludf.DUMMYFUNCTION("""COMPUTED_VALUE"""),"Freedom of Expression, Health, Individuals At Risk")</f>
        <v>Freedom of Expression, Health, Individuals At Risk</v>
      </c>
      <c r="H708" s="1" t="str">
        <f ca="1">IFERROR(__xludf.DUMMYFUNCTION("""COMPUTED_VALUE"""),"2025")</f>
        <v>2025</v>
      </c>
      <c r="I708" s="1" t="str">
        <f ca="1">IFERROR(__xludf.DUMMYFUNCTION("""COMPUTED_VALUE"""),"Email")</f>
        <v>Email</v>
      </c>
    </row>
    <row r="709" spans="1:9" ht="13" x14ac:dyDescent="0.15">
      <c r="A709" s="9">
        <f ca="1">IFERROR(__xludf.DUMMYFUNCTION("""COMPUTED_VALUE"""),31655996)</f>
        <v>31655996</v>
      </c>
      <c r="B709" s="1" t="str">
        <f ca="1">IFERROR(__xludf.DUMMYFUNCTION("""COMPUTED_VALUE"""),"oceanminded09@gmail.com")</f>
        <v>oceanminded09@gmail.com</v>
      </c>
      <c r="C709" s="9" t="str">
        <f ca="1">IFERROR(__xludf.DUMMYFUNCTION("""COMPUTED_VALUE"""),"EVERGREEN - UAN Gated Content - Embedded Petition")</f>
        <v>EVERGREEN - UAN Gated Content - Embedded Petition</v>
      </c>
      <c r="D709" s="10">
        <f ca="1">IFERROR(__xludf.DUMMYFUNCTION("""COMPUTED_VALUE"""),45677)</f>
        <v>45677</v>
      </c>
      <c r="E709" s="1" t="str">
        <f ca="1">IFERROR(__xludf.DUMMYFUNCTION("""COMPUTED_VALUE"""),"Saudi Arabia")</f>
        <v>Saudi Arabia</v>
      </c>
      <c r="F709" s="1" t="str">
        <f ca="1">IFERROR(__xludf.DUMMYFUNCTION("""COMPUTED_VALUE"""),"Fifth 257.12")</f>
        <v>Fifth 257.12</v>
      </c>
      <c r="G709" s="1" t="str">
        <f ca="1">IFERROR(__xludf.DUMMYFUNCTION("""COMPUTED_VALUE"""),"Freedom of Expression, Human Rights Defenders")</f>
        <v>Freedom of Expression, Human Rights Defenders</v>
      </c>
      <c r="H709" s="1" t="str">
        <f ca="1">IFERROR(__xludf.DUMMYFUNCTION("""COMPUTED_VALUE"""),"2025")</f>
        <v>2025</v>
      </c>
      <c r="I709" s="1" t="str">
        <f ca="1">IFERROR(__xludf.DUMMYFUNCTION("""COMPUTED_VALUE"""),"Email")</f>
        <v>Email</v>
      </c>
    </row>
    <row r="710" spans="1:9" ht="13" x14ac:dyDescent="0.15">
      <c r="A710" s="9">
        <f ca="1">IFERROR(__xludf.DUMMYFUNCTION("""COMPUTED_VALUE"""),31655996)</f>
        <v>31655996</v>
      </c>
      <c r="B710" s="1" t="str">
        <f ca="1">IFERROR(__xludf.DUMMYFUNCTION("""COMPUTED_VALUE"""),"oceanminded09@gmail.com")</f>
        <v>oceanminded09@gmail.com</v>
      </c>
      <c r="C710" s="9" t="str">
        <f ca="1">IFERROR(__xludf.DUMMYFUNCTION("""COMPUTED_VALUE"""),"EVERGREEN - UAN Gated Content - Embedded Petition")</f>
        <v>EVERGREEN - UAN Gated Content - Embedded Petition</v>
      </c>
      <c r="D710" s="10">
        <f ca="1">IFERROR(__xludf.DUMMYFUNCTION("""COMPUTED_VALUE"""),45694)</f>
        <v>45694</v>
      </c>
      <c r="E710" s="1" t="str">
        <f ca="1">IFERROR(__xludf.DUMMYFUNCTION("""COMPUTED_VALUE"""),"USA")</f>
        <v>USA</v>
      </c>
      <c r="F710" s="1" t="str">
        <f ca="1">IFERROR(__xludf.DUMMYFUNCTION("""COMPUTED_VALUE"""),"4.25 USA")</f>
        <v>4.25 USA</v>
      </c>
      <c r="G710" s="1" t="str">
        <f ca="1">IFERROR(__xludf.DUMMYFUNCTION("""COMPUTED_VALUE"""),"Individuals At Risk, Refugee and Migrant Rights")</f>
        <v>Individuals At Risk, Refugee and Migrant Rights</v>
      </c>
      <c r="H710" s="1" t="str">
        <f ca="1">IFERROR(__xludf.DUMMYFUNCTION("""COMPUTED_VALUE"""),"2025")</f>
        <v>2025</v>
      </c>
      <c r="I710" s="1" t="str">
        <f ca="1">IFERROR(__xludf.DUMMYFUNCTION("""COMPUTED_VALUE"""),"Letter")</f>
        <v>Letter</v>
      </c>
    </row>
    <row r="711" spans="1:9" ht="13" x14ac:dyDescent="0.15">
      <c r="A711" s="9">
        <f ca="1">IFERROR(__xludf.DUMMYFUNCTION("""COMPUTED_VALUE"""),31657594)</f>
        <v>31657594</v>
      </c>
      <c r="B711" s="1" t="str">
        <f ca="1">IFERROR(__xludf.DUMMYFUNCTION("""COMPUTED_VALUE"""),"airwormdad@yahoo.com")</f>
        <v>airwormdad@yahoo.com</v>
      </c>
      <c r="C711" s="9" t="str">
        <f ca="1">IFERROR(__xludf.DUMMYFUNCTION("""COMPUTED_VALUE"""),"EVERGREEN - UAN Gated Content - Embedded Petition")</f>
        <v>EVERGREEN - UAN Gated Content - Embedded Petition</v>
      </c>
      <c r="D711" s="10">
        <f ca="1">IFERROR(__xludf.DUMMYFUNCTION("""COMPUTED_VALUE"""),45700)</f>
        <v>45700</v>
      </c>
      <c r="E711" s="1" t="str">
        <f ca="1">IFERROR(__xludf.DUMMYFUNCTION("""COMPUTED_VALUE"""),"Egypt")</f>
        <v>Egypt</v>
      </c>
      <c r="F711" s="1" t="str">
        <f ca="1">IFERROR(__xludf.DUMMYFUNCTION("""COMPUTED_VALUE"""),"Second 80.23 Egypt")</f>
        <v>Second 80.23 Egypt</v>
      </c>
      <c r="G711" s="1" t="str">
        <f ca="1">IFERROR(__xludf.DUMMYFUNCTION("""COMPUTED_VALUE"""),"Health, Individuals At Risk")</f>
        <v>Health, Individuals At Risk</v>
      </c>
      <c r="H711" s="1" t="str">
        <f ca="1">IFERROR(__xludf.DUMMYFUNCTION("""COMPUTED_VALUE"""),"2025")</f>
        <v>2025</v>
      </c>
      <c r="I711" s="1" t="str">
        <f ca="1">IFERROR(__xludf.DUMMYFUNCTION("""COMPUTED_VALUE"""),"Email")</f>
        <v>Email</v>
      </c>
    </row>
    <row r="712" spans="1:9" ht="13" x14ac:dyDescent="0.15">
      <c r="A712" s="9">
        <f ca="1">IFERROR(__xludf.DUMMYFUNCTION("""COMPUTED_VALUE"""),31657594)</f>
        <v>31657594</v>
      </c>
      <c r="B712" s="1" t="str">
        <f ca="1">IFERROR(__xludf.DUMMYFUNCTION("""COMPUTED_VALUE"""),"airwormdad@yahoo.com")</f>
        <v>airwormdad@yahoo.com</v>
      </c>
      <c r="C712" s="9" t="str">
        <f ca="1">IFERROR(__xludf.DUMMYFUNCTION("""COMPUTED_VALUE"""),"EVERGREEN - UAN Gated Content - Embedded Petition")</f>
        <v>EVERGREEN - UAN Gated Content - Embedded Petition</v>
      </c>
      <c r="D712" s="10">
        <f ca="1">IFERROR(__xludf.DUMMYFUNCTION("""COMPUTED_VALUE"""),45701)</f>
        <v>45701</v>
      </c>
      <c r="E712" s="1" t="str">
        <f ca="1">IFERROR(__xludf.DUMMYFUNCTION("""COMPUTED_VALUE"""),"Uganda")</f>
        <v>Uganda</v>
      </c>
      <c r="F712" s="1" t="str">
        <f ca="1">IFERROR(__xludf.DUMMYFUNCTION("""COMPUTED_VALUE"""),"9.25 Uganda")</f>
        <v>9.25 Uganda</v>
      </c>
      <c r="G712" s="1" t="str">
        <f ca="1">IFERROR(__xludf.DUMMYFUNCTION("""COMPUTED_VALUE"""),"Freedom of Expression, Human Rights Defenders")</f>
        <v>Freedom of Expression, Human Rights Defenders</v>
      </c>
      <c r="H712" s="1" t="str">
        <f ca="1">IFERROR(__xludf.DUMMYFUNCTION("""COMPUTED_VALUE"""),"2025")</f>
        <v>2025</v>
      </c>
      <c r="I712" s="1" t="str">
        <f ca="1">IFERROR(__xludf.DUMMYFUNCTION("""COMPUTED_VALUE"""),"Email")</f>
        <v>Email</v>
      </c>
    </row>
    <row r="713" spans="1:9" ht="13" x14ac:dyDescent="0.15">
      <c r="A713" s="9">
        <f ca="1">IFERROR(__xludf.DUMMYFUNCTION("""COMPUTED_VALUE"""),31657594)</f>
        <v>31657594</v>
      </c>
      <c r="B713" s="1" t="str">
        <f ca="1">IFERROR(__xludf.DUMMYFUNCTION("""COMPUTED_VALUE"""),"airwormdad@yahoo.com")</f>
        <v>airwormdad@yahoo.com</v>
      </c>
      <c r="C713" s="9" t="str">
        <f ca="1">IFERROR(__xludf.DUMMYFUNCTION("""COMPUTED_VALUE"""),"EVERGREEN - UAN Gated Content - Embedded Petition")</f>
        <v>EVERGREEN - UAN Gated Content - Embedded Petition</v>
      </c>
      <c r="D713" s="10">
        <f ca="1">IFERROR(__xludf.DUMMYFUNCTION("""COMPUTED_VALUE"""),45701)</f>
        <v>45701</v>
      </c>
      <c r="E713" s="1" t="str">
        <f ca="1">IFERROR(__xludf.DUMMYFUNCTION("""COMPUTED_VALUE"""),"Tunisia")</f>
        <v>Tunisia</v>
      </c>
      <c r="F713" s="1" t="str">
        <f ca="1">IFERROR(__xludf.DUMMYFUNCTION("""COMPUTED_VALUE"""),"Second 76.24 Tunisia")</f>
        <v>Second 76.24 Tunisia</v>
      </c>
      <c r="G713" s="1" t="str">
        <f ca="1">IFERROR(__xludf.DUMMYFUNCTION("""COMPUTED_VALUE"""),"Freedom of Expression, Human Rights Defenders")</f>
        <v>Freedom of Expression, Human Rights Defenders</v>
      </c>
      <c r="H713" s="1" t="str">
        <f ca="1">IFERROR(__xludf.DUMMYFUNCTION("""COMPUTED_VALUE"""),"2025")</f>
        <v>2025</v>
      </c>
      <c r="I713" s="1" t="str">
        <f ca="1">IFERROR(__xludf.DUMMYFUNCTION("""COMPUTED_VALUE"""),"Email")</f>
        <v>Email</v>
      </c>
    </row>
    <row r="714" spans="1:9" ht="13" x14ac:dyDescent="0.15">
      <c r="A714" s="9">
        <f ca="1">IFERROR(__xludf.DUMMYFUNCTION("""COMPUTED_VALUE"""),31662979)</f>
        <v>31662979</v>
      </c>
      <c r="B714" s="1" t="str">
        <f ca="1">IFERROR(__xludf.DUMMYFUNCTION("""COMPUTED_VALUE"""),"fogcitypete@hotmail.com")</f>
        <v>fogcitypete@hotmail.com</v>
      </c>
      <c r="C714" s="9" t="str">
        <f ca="1">IFERROR(__xludf.DUMMYFUNCTION("""COMPUTED_VALUE"""),"EVERGREEN - UAN Gated Content - Embedded Petition")</f>
        <v>EVERGREEN - UAN Gated Content - Embedded Petition</v>
      </c>
      <c r="D714" s="10">
        <f ca="1">IFERROR(__xludf.DUMMYFUNCTION("""COMPUTED_VALUE"""),45631)</f>
        <v>45631</v>
      </c>
      <c r="E714" s="1" t="str">
        <f ca="1">IFERROR(__xludf.DUMMYFUNCTION("""COMPUTED_VALUE"""),"Venezuela")</f>
        <v>Venezuela</v>
      </c>
      <c r="F714" s="1" t="str">
        <f ca="1">IFERROR(__xludf.DUMMYFUNCTION("""COMPUTED_VALUE"""),"1.25 Venezuela")</f>
        <v>1.25 Venezuela</v>
      </c>
      <c r="G714" s="1" t="str">
        <f ca="1">IFERROR(__xludf.DUMMYFUNCTION("""COMPUTED_VALUE"""),"Human Rights Defenders, Individuals At Risk")</f>
        <v>Human Rights Defenders, Individuals At Risk</v>
      </c>
      <c r="H714" s="1" t="str">
        <f ca="1">IFERROR(__xludf.DUMMYFUNCTION("""COMPUTED_VALUE"""),"2025")</f>
        <v>2025</v>
      </c>
      <c r="I714" s="1" t="str">
        <f ca="1">IFERROR(__xludf.DUMMYFUNCTION("""COMPUTED_VALUE"""),"Letter")</f>
        <v>Letter</v>
      </c>
    </row>
    <row r="715" spans="1:9" ht="13" x14ac:dyDescent="0.15">
      <c r="A715" s="9">
        <f ca="1">IFERROR(__xludf.DUMMYFUNCTION("""COMPUTED_VALUE"""),31662979)</f>
        <v>31662979</v>
      </c>
      <c r="B715" s="1" t="str">
        <f ca="1">IFERROR(__xludf.DUMMYFUNCTION("""COMPUTED_VALUE"""),"fogcitypete@hotmail.com")</f>
        <v>fogcitypete@hotmail.com</v>
      </c>
      <c r="C715" s="9" t="str">
        <f ca="1">IFERROR(__xludf.DUMMYFUNCTION("""COMPUTED_VALUE"""),"EVERGREEN - UAN Gated Content - Embedded Petition")</f>
        <v>EVERGREEN - UAN Gated Content - Embedded Petition</v>
      </c>
      <c r="D715" s="10">
        <f ca="1">IFERROR(__xludf.DUMMYFUNCTION("""COMPUTED_VALUE"""),45633)</f>
        <v>45633</v>
      </c>
      <c r="E715" s="1" t="str">
        <f ca="1">IFERROR(__xludf.DUMMYFUNCTION("""COMPUTED_VALUE"""),"Azerbaijan")</f>
        <v>Azerbaijan</v>
      </c>
      <c r="F715" s="1" t="str">
        <f ca="1">IFERROR(__xludf.DUMMYFUNCTION("""COMPUTED_VALUE"""),"2.25 Azerbaijan")</f>
        <v>2.25 Azerbaijan</v>
      </c>
      <c r="G715" s="1" t="str">
        <f ca="1">IFERROR(__xludf.DUMMYFUNCTION("""COMPUTED_VALUE"""),"Freedom of Expression, Human Rights Defenders")</f>
        <v>Freedom of Expression, Human Rights Defenders</v>
      </c>
      <c r="H715" s="1" t="str">
        <f ca="1">IFERROR(__xludf.DUMMYFUNCTION("""COMPUTED_VALUE"""),"2025")</f>
        <v>2025</v>
      </c>
      <c r="I715" s="1" t="str">
        <f ca="1">IFERROR(__xludf.DUMMYFUNCTION("""COMPUTED_VALUE"""),"Email")</f>
        <v>Email</v>
      </c>
    </row>
    <row r="716" spans="1:9" ht="13" x14ac:dyDescent="0.15">
      <c r="A716" s="9">
        <f ca="1">IFERROR(__xludf.DUMMYFUNCTION("""COMPUTED_VALUE"""),31662979)</f>
        <v>31662979</v>
      </c>
      <c r="B716" s="1" t="str">
        <f ca="1">IFERROR(__xludf.DUMMYFUNCTION("""COMPUTED_VALUE"""),"fogcitypete@hotmail.com")</f>
        <v>fogcitypete@hotmail.com</v>
      </c>
      <c r="C716" s="9" t="str">
        <f ca="1">IFERROR(__xludf.DUMMYFUNCTION("""COMPUTED_VALUE"""),"EVERGREEN - UAN Gated Content - Embedded Petition")</f>
        <v>EVERGREEN - UAN Gated Content - Embedded Petition</v>
      </c>
      <c r="D716" s="10">
        <f ca="1">IFERROR(__xludf.DUMMYFUNCTION("""COMPUTED_VALUE"""),45658)</f>
        <v>45658</v>
      </c>
      <c r="E716" s="1" t="str">
        <f ca="1">IFERROR(__xludf.DUMMYFUNCTION("""COMPUTED_VALUE"""),"China")</f>
        <v>China</v>
      </c>
      <c r="F716" s="1" t="str">
        <f ca="1">IFERROR(__xludf.DUMMYFUNCTION("""COMPUTED_VALUE"""),"98.24 China")</f>
        <v>98.24 China</v>
      </c>
      <c r="G716" s="1" t="str">
        <f ca="1">IFERROR(__xludf.DUMMYFUNCTION("""COMPUTED_VALUE"""),"Freedom of Expression, Individuals At Risk")</f>
        <v>Freedom of Expression, Individuals At Risk</v>
      </c>
      <c r="H716" s="1" t="str">
        <f ca="1">IFERROR(__xludf.DUMMYFUNCTION("""COMPUTED_VALUE"""),"2024")</f>
        <v>2024</v>
      </c>
      <c r="I716" s="1" t="str">
        <f ca="1">IFERROR(__xludf.DUMMYFUNCTION("""COMPUTED_VALUE"""),"Letter")</f>
        <v>Letter</v>
      </c>
    </row>
    <row r="717" spans="1:9" ht="13" x14ac:dyDescent="0.15">
      <c r="A717" s="9">
        <f ca="1">IFERROR(__xludf.DUMMYFUNCTION("""COMPUTED_VALUE"""),31662979)</f>
        <v>31662979</v>
      </c>
      <c r="B717" s="1" t="str">
        <f ca="1">IFERROR(__xludf.DUMMYFUNCTION("""COMPUTED_VALUE"""),"fogcitypete@hotmail.com")</f>
        <v>fogcitypete@hotmail.com</v>
      </c>
      <c r="C717" s="9" t="str">
        <f ca="1">IFERROR(__xludf.DUMMYFUNCTION("""COMPUTED_VALUE"""),"UAN mid-page Lightbox - Step 1 of 4 - Landing Page")</f>
        <v>UAN mid-page Lightbox - Step 1 of 4 - Landing Page</v>
      </c>
      <c r="D717" s="10">
        <f ca="1">IFERROR(__xludf.DUMMYFUNCTION("""COMPUTED_VALUE"""),45627)</f>
        <v>45627</v>
      </c>
      <c r="E717" s="1" t="str">
        <f ca="1">IFERROR(__xludf.DUMMYFUNCTION("""COMPUTED_VALUE"""),"Singapore")</f>
        <v>Singapore</v>
      </c>
      <c r="F717" s="1" t="str">
        <f ca="1">IFERROR(__xludf.DUMMYFUNCTION("""COMPUTED_VALUE"""),"107.24 Singapore")</f>
        <v>107.24 Singapore</v>
      </c>
      <c r="G717" s="1" t="str">
        <f ca="1">IFERROR(__xludf.DUMMYFUNCTION("""COMPUTED_VALUE"""),"Death Penalty")</f>
        <v>Death Penalty</v>
      </c>
      <c r="H717" s="1" t="str">
        <f ca="1">IFERROR(__xludf.DUMMYFUNCTION("""COMPUTED_VALUE"""),"2024")</f>
        <v>2024</v>
      </c>
      <c r="I717" s="1" t="str">
        <f ca="1">IFERROR(__xludf.DUMMYFUNCTION("""COMPUTED_VALUE"""),"Email")</f>
        <v>Email</v>
      </c>
    </row>
    <row r="718" spans="1:9" ht="13" x14ac:dyDescent="0.15">
      <c r="A718" s="9">
        <f ca="1">IFERROR(__xludf.DUMMYFUNCTION("""COMPUTED_VALUE"""),31681443)</f>
        <v>31681443</v>
      </c>
      <c r="B718" s="1" t="str">
        <f ca="1">IFERROR(__xludf.DUMMYFUNCTION("""COMPUTED_VALUE"""),"howardmead@comcast.net")</f>
        <v>howardmead@comcast.net</v>
      </c>
      <c r="C718" s="9" t="str">
        <f ca="1">IFERROR(__xludf.DUMMYFUNCTION("""COMPUTED_VALUE"""),"EVERGREEN - UAN Gated Content - Embedded Petition")</f>
        <v>EVERGREEN - UAN Gated Content - Embedded Petition</v>
      </c>
      <c r="D718" s="10">
        <f ca="1">IFERROR(__xludf.DUMMYFUNCTION("""COMPUTED_VALUE"""),45674)</f>
        <v>45674</v>
      </c>
      <c r="E718" s="1" t="str">
        <f ca="1">IFERROR(__xludf.DUMMYFUNCTION("""COMPUTED_VALUE"""),"")</f>
        <v/>
      </c>
      <c r="F718" s="1" t="str">
        <f ca="1">IFERROR(__xludf.DUMMYFUNCTION("""COMPUTED_VALUE"""),"104.24 Saudi Arabia")</f>
        <v>104.24 Saudi Arabia</v>
      </c>
      <c r="G718" s="1" t="str">
        <f ca="1">IFERROR(__xludf.DUMMYFUNCTION("""COMPUTED_VALUE"""),"")</f>
        <v/>
      </c>
      <c r="H718" s="1" t="str">
        <f ca="1">IFERROR(__xludf.DUMMYFUNCTION("""COMPUTED_VALUE"""),"2024")</f>
        <v>2024</v>
      </c>
      <c r="I718" s="1" t="str">
        <f ca="1">IFERROR(__xludf.DUMMYFUNCTION("""COMPUTED_VALUE"""),"Letter")</f>
        <v>Letter</v>
      </c>
    </row>
    <row r="719" spans="1:9" ht="13" x14ac:dyDescent="0.15">
      <c r="A719" s="9">
        <f ca="1">IFERROR(__xludf.DUMMYFUNCTION("""COMPUTED_VALUE"""),31681443)</f>
        <v>31681443</v>
      </c>
      <c r="B719" s="1" t="str">
        <f ca="1">IFERROR(__xludf.DUMMYFUNCTION("""COMPUTED_VALUE"""),"howardmead@comcast.net")</f>
        <v>howardmead@comcast.net</v>
      </c>
      <c r="C719" s="9" t="str">
        <f ca="1">IFERROR(__xludf.DUMMYFUNCTION("""COMPUTED_VALUE"""),"EVERGREEN - UAN Gated Content - Embedded Petition")</f>
        <v>EVERGREEN - UAN Gated Content - Embedded Petition</v>
      </c>
      <c r="D719" s="10">
        <f ca="1">IFERROR(__xludf.DUMMYFUNCTION("""COMPUTED_VALUE"""),45674)</f>
        <v>45674</v>
      </c>
      <c r="E719" s="1" t="str">
        <f ca="1">IFERROR(__xludf.DUMMYFUNCTION("""COMPUTED_VALUE"""),"Egypt")</f>
        <v>Egypt</v>
      </c>
      <c r="F719" s="1" t="str">
        <f ca="1">IFERROR(__xludf.DUMMYFUNCTION("""COMPUTED_VALUE"""),"Fourth 29.23 Egypt")</f>
        <v>Fourth 29.23 Egypt</v>
      </c>
      <c r="G719" s="1" t="str">
        <f ca="1">IFERROR(__xludf.DUMMYFUNCTION("""COMPUTED_VALUE"""),"Freedom of Expression, Individuals At Risk, Right to Protest")</f>
        <v>Freedom of Expression, Individuals At Risk, Right to Protest</v>
      </c>
      <c r="H719" s="1" t="str">
        <f ca="1">IFERROR(__xludf.DUMMYFUNCTION("""COMPUTED_VALUE"""),"2024")</f>
        <v>2024</v>
      </c>
      <c r="I719" s="1" t="str">
        <f ca="1">IFERROR(__xludf.DUMMYFUNCTION("""COMPUTED_VALUE"""),"Email")</f>
        <v>Email</v>
      </c>
    </row>
    <row r="720" spans="1:9" ht="13" x14ac:dyDescent="0.15">
      <c r="A720" s="9">
        <f ca="1">IFERROR(__xludf.DUMMYFUNCTION("""COMPUTED_VALUE"""),31681687)</f>
        <v>31681687</v>
      </c>
      <c r="B720" s="1" t="str">
        <f ca="1">IFERROR(__xludf.DUMMYFUNCTION("""COMPUTED_VALUE"""),"srkepner@comcast.net")</f>
        <v>srkepner@comcast.net</v>
      </c>
      <c r="C720" s="9" t="str">
        <f ca="1">IFERROR(__xludf.DUMMYFUNCTION("""COMPUTED_VALUE"""),"EVERGREEN - UAN Gated Content - Embedded Petition")</f>
        <v>EVERGREEN - UAN Gated Content - Embedded Petition</v>
      </c>
      <c r="D720" s="10">
        <f ca="1">IFERROR(__xludf.DUMMYFUNCTION("""COMPUTED_VALUE"""),45694)</f>
        <v>45694</v>
      </c>
      <c r="E720" s="1" t="str">
        <f ca="1">IFERROR(__xludf.DUMMYFUNCTION("""COMPUTED_VALUE"""),"Uganda")</f>
        <v>Uganda</v>
      </c>
      <c r="F720" s="1" t="str">
        <f ca="1">IFERROR(__xludf.DUMMYFUNCTION("""COMPUTED_VALUE"""),"100.24 Uganda")</f>
        <v>100.24 Uganda</v>
      </c>
      <c r="G720" s="1" t="str">
        <f ca="1">IFERROR(__xludf.DUMMYFUNCTION("""COMPUTED_VALUE"""),"Freedom of Expression")</f>
        <v>Freedom of Expression</v>
      </c>
      <c r="H720" s="1" t="str">
        <f ca="1">IFERROR(__xludf.DUMMYFUNCTION("""COMPUTED_VALUE"""),"2024")</f>
        <v>2024</v>
      </c>
      <c r="I720" s="1" t="str">
        <f ca="1">IFERROR(__xludf.DUMMYFUNCTION("""COMPUTED_VALUE"""),"Email")</f>
        <v>Email</v>
      </c>
    </row>
    <row r="721" spans="1:9" ht="13" x14ac:dyDescent="0.15">
      <c r="A721" s="9">
        <f ca="1">IFERROR(__xludf.DUMMYFUNCTION("""COMPUTED_VALUE"""),31686427)</f>
        <v>31686427</v>
      </c>
      <c r="B721" s="1" t="str">
        <f ca="1">IFERROR(__xludf.DUMMYFUNCTION("""COMPUTED_VALUE"""),"lakepoet@pacbell.net")</f>
        <v>lakepoet@pacbell.net</v>
      </c>
      <c r="C721" s="9" t="str">
        <f ca="1">IFERROR(__xludf.DUMMYFUNCTION("""COMPUTED_VALUE"""),"EVERGREEN - UAN Gated Content - Embedded Petition")</f>
        <v>EVERGREEN - UAN Gated Content - Embedded Petition</v>
      </c>
      <c r="D721" s="10">
        <f ca="1">IFERROR(__xludf.DUMMYFUNCTION("""COMPUTED_VALUE"""),45642)</f>
        <v>45642</v>
      </c>
      <c r="E721" s="1" t="str">
        <f ca="1">IFERROR(__xludf.DUMMYFUNCTION("""COMPUTED_VALUE"""),"Iran")</f>
        <v>Iran</v>
      </c>
      <c r="F721" s="1" t="str">
        <f ca="1">IFERROR(__xludf.DUMMYFUNCTION("""COMPUTED_VALUE"""),"101.24 Iran")</f>
        <v>101.24 Iran</v>
      </c>
      <c r="G721" s="1" t="str">
        <f ca="1">IFERROR(__xludf.DUMMYFUNCTION("""COMPUTED_VALUE"""),"Death Penalty, Freedom of Expression, Individuals At Risk, Right to Protest")</f>
        <v>Death Penalty, Freedom of Expression, Individuals At Risk, Right to Protest</v>
      </c>
      <c r="H721" s="1" t="str">
        <f ca="1">IFERROR(__xludf.DUMMYFUNCTION("""COMPUTED_VALUE"""),"2024")</f>
        <v>2024</v>
      </c>
      <c r="I721" s="1" t="str">
        <f ca="1">IFERROR(__xludf.DUMMYFUNCTION("""COMPUTED_VALUE"""),"Email")</f>
        <v>Email</v>
      </c>
    </row>
    <row r="722" spans="1:9" ht="13" x14ac:dyDescent="0.15">
      <c r="A722" s="9">
        <f ca="1">IFERROR(__xludf.DUMMYFUNCTION("""COMPUTED_VALUE"""),31686427)</f>
        <v>31686427</v>
      </c>
      <c r="B722" s="1" t="str">
        <f ca="1">IFERROR(__xludf.DUMMYFUNCTION("""COMPUTED_VALUE"""),"lakepoet@pacbell.net")</f>
        <v>lakepoet@pacbell.net</v>
      </c>
      <c r="C722" s="9" t="str">
        <f ca="1">IFERROR(__xludf.DUMMYFUNCTION("""COMPUTED_VALUE"""),"EVERGREEN - UAN Gated Content - Embedded Petition")</f>
        <v>EVERGREEN - UAN Gated Content - Embedded Petition</v>
      </c>
      <c r="D722" s="10">
        <f ca="1">IFERROR(__xludf.DUMMYFUNCTION("""COMPUTED_VALUE"""),45694)</f>
        <v>45694</v>
      </c>
      <c r="E722" s="1" t="str">
        <f ca="1">IFERROR(__xludf.DUMMYFUNCTION("""COMPUTED_VALUE"""),"Venezuela")</f>
        <v>Venezuela</v>
      </c>
      <c r="F722" s="1" t="str">
        <f ca="1">IFERROR(__xludf.DUMMYFUNCTION("""COMPUTED_VALUE"""),"97.24 Venezuela")</f>
        <v>97.24 Venezuela</v>
      </c>
      <c r="G722" s="1" t="str">
        <f ca="1">IFERROR(__xludf.DUMMYFUNCTION("""COMPUTED_VALUE"""),"Freedom of Expression")</f>
        <v>Freedom of Expression</v>
      </c>
      <c r="H722" s="1" t="str">
        <f ca="1">IFERROR(__xludf.DUMMYFUNCTION("""COMPUTED_VALUE"""),"2024")</f>
        <v>2024</v>
      </c>
      <c r="I722" s="1" t="str">
        <f ca="1">IFERROR(__xludf.DUMMYFUNCTION("""COMPUTED_VALUE"""),"Letter")</f>
        <v>Letter</v>
      </c>
    </row>
    <row r="723" spans="1:9" ht="13" x14ac:dyDescent="0.15">
      <c r="A723" s="9">
        <f ca="1">IFERROR(__xludf.DUMMYFUNCTION("""COMPUTED_VALUE"""),31686427)</f>
        <v>31686427</v>
      </c>
      <c r="B723" s="1" t="str">
        <f ca="1">IFERROR(__xludf.DUMMYFUNCTION("""COMPUTED_VALUE"""),"lakepoet@pacbell.net")</f>
        <v>lakepoet@pacbell.net</v>
      </c>
      <c r="C723" s="9" t="str">
        <f ca="1">IFERROR(__xludf.DUMMYFUNCTION("""COMPUTED_VALUE"""),"EVERGREEN - UAN Gated Content - Embedded Petition")</f>
        <v>EVERGREEN - UAN Gated Content - Embedded Petition</v>
      </c>
      <c r="D723" s="10">
        <f ca="1">IFERROR(__xludf.DUMMYFUNCTION("""COMPUTED_VALUE"""),45694)</f>
        <v>45694</v>
      </c>
      <c r="E723" s="1" t="str">
        <f ca="1">IFERROR(__xludf.DUMMYFUNCTION("""COMPUTED_VALUE"""),"Russian Federation")</f>
        <v>Russian Federation</v>
      </c>
      <c r="F723" s="1" t="str">
        <f ca="1">IFERROR(__xludf.DUMMYFUNCTION("""COMPUTED_VALUE"""),"Second 23.24 Russia")</f>
        <v>Second 23.24 Russia</v>
      </c>
      <c r="G723" s="1" t="str">
        <f ca="1">IFERROR(__xludf.DUMMYFUNCTION("""COMPUTED_VALUE"""),"Freedom of Expression")</f>
        <v>Freedom of Expression</v>
      </c>
      <c r="H723" s="1" t="str">
        <f ca="1">IFERROR(__xludf.DUMMYFUNCTION("""COMPUTED_VALUE"""),"2024")</f>
        <v>2024</v>
      </c>
      <c r="I723" s="1" t="str">
        <f ca="1">IFERROR(__xludf.DUMMYFUNCTION("""COMPUTED_VALUE"""),"Letter")</f>
        <v>Letter</v>
      </c>
    </row>
    <row r="724" spans="1:9" ht="13" x14ac:dyDescent="0.15">
      <c r="A724" s="9">
        <f ca="1">IFERROR(__xludf.DUMMYFUNCTION("""COMPUTED_VALUE"""),31686427)</f>
        <v>31686427</v>
      </c>
      <c r="B724" s="1" t="str">
        <f ca="1">IFERROR(__xludf.DUMMYFUNCTION("""COMPUTED_VALUE"""),"lakepoet@pacbell.net")</f>
        <v>lakepoet@pacbell.net</v>
      </c>
      <c r="C724" s="9" t="str">
        <f ca="1">IFERROR(__xludf.DUMMYFUNCTION("""COMPUTED_VALUE"""),"EVERGREEN - UAN Gated Content - Embedded Petition")</f>
        <v>EVERGREEN - UAN Gated Content - Embedded Petition</v>
      </c>
      <c r="D724" s="10">
        <f ca="1">IFERROR(__xludf.DUMMYFUNCTION("""COMPUTED_VALUE"""),45621)</f>
        <v>45621</v>
      </c>
      <c r="E724" s="1" t="str">
        <f ca="1">IFERROR(__xludf.DUMMYFUNCTION("""COMPUTED_VALUE"""),"Venezuela")</f>
        <v>Venezuela</v>
      </c>
      <c r="F724" s="1" t="str">
        <f ca="1">IFERROR(__xludf.DUMMYFUNCTION("""COMPUTED_VALUE"""),"97.24 Venezuela")</f>
        <v>97.24 Venezuela</v>
      </c>
      <c r="G724" s="1" t="str">
        <f ca="1">IFERROR(__xludf.DUMMYFUNCTION("""COMPUTED_VALUE"""),"Freedom of Expression")</f>
        <v>Freedom of Expression</v>
      </c>
      <c r="H724" s="1" t="str">
        <f ca="1">IFERROR(__xludf.DUMMYFUNCTION("""COMPUTED_VALUE"""),"2024")</f>
        <v>2024</v>
      </c>
      <c r="I724" s="1" t="str">
        <f ca="1">IFERROR(__xludf.DUMMYFUNCTION("""COMPUTED_VALUE"""),"Letter")</f>
        <v>Letter</v>
      </c>
    </row>
    <row r="725" spans="1:9" ht="13" x14ac:dyDescent="0.15">
      <c r="A725" s="9">
        <f ca="1">IFERROR(__xludf.DUMMYFUNCTION("""COMPUTED_VALUE"""),31686427)</f>
        <v>31686427</v>
      </c>
      <c r="B725" s="1" t="str">
        <f ca="1">IFERROR(__xludf.DUMMYFUNCTION("""COMPUTED_VALUE"""),"lakepoet@pacbell.net")</f>
        <v>lakepoet@pacbell.net</v>
      </c>
      <c r="C725" s="9" t="str">
        <f ca="1">IFERROR(__xludf.DUMMYFUNCTION("""COMPUTED_VALUE"""),"EVERGREEN - UAN Gated Content - Embedded Petition")</f>
        <v>EVERGREEN - UAN Gated Content - Embedded Petition</v>
      </c>
      <c r="D725" s="10">
        <f ca="1">IFERROR(__xludf.DUMMYFUNCTION("""COMPUTED_VALUE"""),45621)</f>
        <v>45621</v>
      </c>
      <c r="E725" s="1" t="str">
        <f ca="1">IFERROR(__xludf.DUMMYFUNCTION("""COMPUTED_VALUE"""),"USA")</f>
        <v>USA</v>
      </c>
      <c r="F725" s="1" t="str">
        <f ca="1">IFERROR(__xludf.DUMMYFUNCTION("""COMPUTED_VALUE"""),"Fourth 55.24 USA")</f>
        <v>Fourth 55.24 USA</v>
      </c>
      <c r="G725" s="1" t="str">
        <f ca="1">IFERROR(__xludf.DUMMYFUNCTION("""COMPUTED_VALUE"""),"Climate Justice, Individuals At Risk")</f>
        <v>Climate Justice, Individuals At Risk</v>
      </c>
      <c r="H725" s="1" t="str">
        <f ca="1">IFERROR(__xludf.DUMMYFUNCTION("""COMPUTED_VALUE"""),"2025")</f>
        <v>2025</v>
      </c>
      <c r="I725" s="1" t="str">
        <f ca="1">IFERROR(__xludf.DUMMYFUNCTION("""COMPUTED_VALUE"""),"Email")</f>
        <v>Email</v>
      </c>
    </row>
    <row r="726" spans="1:9" ht="13" x14ac:dyDescent="0.15">
      <c r="A726" s="9">
        <f ca="1">IFERROR(__xludf.DUMMYFUNCTION("""COMPUTED_VALUE"""),31691382)</f>
        <v>31691382</v>
      </c>
      <c r="B726" s="1" t="str">
        <f ca="1">IFERROR(__xludf.DUMMYFUNCTION("""COMPUTED_VALUE"""),"gavrilah@sbcglobal.net")</f>
        <v>gavrilah@sbcglobal.net</v>
      </c>
      <c r="C726" s="9" t="str">
        <f ca="1">IFERROR(__xludf.DUMMYFUNCTION("""COMPUTED_VALUE"""),"EVERGREEN - UAN Gated Content - Embedded Petition")</f>
        <v>EVERGREEN - UAN Gated Content - Embedded Petition</v>
      </c>
      <c r="D726" s="10">
        <f ca="1">IFERROR(__xludf.DUMMYFUNCTION("""COMPUTED_VALUE"""),45632)</f>
        <v>45632</v>
      </c>
      <c r="E726" s="1" t="str">
        <f ca="1">IFERROR(__xludf.DUMMYFUNCTION("""COMPUTED_VALUE"""),"Venezuela")</f>
        <v>Venezuela</v>
      </c>
      <c r="F726" s="1" t="str">
        <f ca="1">IFERROR(__xludf.DUMMYFUNCTION("""COMPUTED_VALUE"""),"97.24 Venezuela")</f>
        <v>97.24 Venezuela</v>
      </c>
      <c r="G726" s="1" t="str">
        <f ca="1">IFERROR(__xludf.DUMMYFUNCTION("""COMPUTED_VALUE"""),"Freedom of Expression")</f>
        <v>Freedom of Expression</v>
      </c>
      <c r="H726" s="1" t="str">
        <f ca="1">IFERROR(__xludf.DUMMYFUNCTION("""COMPUTED_VALUE"""),"2024")</f>
        <v>2024</v>
      </c>
      <c r="I726" s="1" t="str">
        <f ca="1">IFERROR(__xludf.DUMMYFUNCTION("""COMPUTED_VALUE"""),"Letter")</f>
        <v>Letter</v>
      </c>
    </row>
    <row r="727" spans="1:9" ht="13" x14ac:dyDescent="0.15">
      <c r="A727" s="9">
        <f ca="1">IFERROR(__xludf.DUMMYFUNCTION("""COMPUTED_VALUE"""),31691382)</f>
        <v>31691382</v>
      </c>
      <c r="B727" s="1" t="str">
        <f ca="1">IFERROR(__xludf.DUMMYFUNCTION("""COMPUTED_VALUE"""),"gavrilah@sbcglobal.net")</f>
        <v>gavrilah@sbcglobal.net</v>
      </c>
      <c r="C727" s="9" t="str">
        <f ca="1">IFERROR(__xludf.DUMMYFUNCTION("""COMPUTED_VALUE"""),"EVERGREEN - UAN Gated Content - Embedded Petition")</f>
        <v>EVERGREEN - UAN Gated Content - Embedded Petition</v>
      </c>
      <c r="D727" s="10">
        <f ca="1">IFERROR(__xludf.DUMMYFUNCTION("""COMPUTED_VALUE"""),45701)</f>
        <v>45701</v>
      </c>
      <c r="E727" s="1" t="str">
        <f ca="1">IFERROR(__xludf.DUMMYFUNCTION("""COMPUTED_VALUE"""),"Israel and Occupied Palestinian Territories")</f>
        <v>Israel and Occupied Palestinian Territories</v>
      </c>
      <c r="F727" s="1" t="str">
        <f ca="1">IFERROR(__xludf.DUMMYFUNCTION("""COMPUTED_VALUE"""),"3.25 IOPT")</f>
        <v>3.25 IOPT</v>
      </c>
      <c r="G727" s="1" t="str">
        <f ca="1">IFERROR(__xludf.DUMMYFUNCTION("""COMPUTED_VALUE"""),"Freedom of Expression, Individuals At Risk")</f>
        <v>Freedom of Expression, Individuals At Risk</v>
      </c>
      <c r="H727" s="1" t="str">
        <f ca="1">IFERROR(__xludf.DUMMYFUNCTION("""COMPUTED_VALUE"""),"2025")</f>
        <v>2025</v>
      </c>
      <c r="I727" s="1" t="str">
        <f ca="1">IFERROR(__xludf.DUMMYFUNCTION("""COMPUTED_VALUE"""),"Email")</f>
        <v>Email</v>
      </c>
    </row>
    <row r="728" spans="1:9" ht="13" x14ac:dyDescent="0.15">
      <c r="A728" s="9">
        <f ca="1">IFERROR(__xludf.DUMMYFUNCTION("""COMPUTED_VALUE"""),31698048)</f>
        <v>31698048</v>
      </c>
      <c r="B728" s="1" t="str">
        <f ca="1">IFERROR(__xludf.DUMMYFUNCTION("""COMPUTED_VALUE"""),"contactlindanelson@gmail.com")</f>
        <v>contactlindanelson@gmail.com</v>
      </c>
      <c r="C728" s="9" t="str">
        <f ca="1">IFERROR(__xludf.DUMMYFUNCTION("""COMPUTED_VALUE"""),"EVERGREEN - UAN Gated Content - Embedded Petition")</f>
        <v>EVERGREEN - UAN Gated Content - Embedded Petition</v>
      </c>
      <c r="D728" s="10">
        <f ca="1">IFERROR(__xludf.DUMMYFUNCTION("""COMPUTED_VALUE"""),45678)</f>
        <v>45678</v>
      </c>
      <c r="E728" s="1" t="str">
        <f ca="1">IFERROR(__xludf.DUMMYFUNCTION("""COMPUTED_VALUE"""),"Uganda")</f>
        <v>Uganda</v>
      </c>
      <c r="F728" s="1" t="str">
        <f ca="1">IFERROR(__xludf.DUMMYFUNCTION("""COMPUTED_VALUE"""),"100.24 Uganda")</f>
        <v>100.24 Uganda</v>
      </c>
      <c r="G728" s="1" t="str">
        <f ca="1">IFERROR(__xludf.DUMMYFUNCTION("""COMPUTED_VALUE"""),"Freedom of Expression")</f>
        <v>Freedom of Expression</v>
      </c>
      <c r="H728" s="1" t="str">
        <f ca="1">IFERROR(__xludf.DUMMYFUNCTION("""COMPUTED_VALUE"""),"2024")</f>
        <v>2024</v>
      </c>
      <c r="I728" s="1" t="str">
        <f ca="1">IFERROR(__xludf.DUMMYFUNCTION("""COMPUTED_VALUE"""),"Email")</f>
        <v>Email</v>
      </c>
    </row>
    <row r="729" spans="1:9" ht="13" x14ac:dyDescent="0.15">
      <c r="A729" s="9">
        <f ca="1">IFERROR(__xludf.DUMMYFUNCTION("""COMPUTED_VALUE"""),31699346)</f>
        <v>31699346</v>
      </c>
      <c r="B729" s="1" t="str">
        <f ca="1">IFERROR(__xludf.DUMMYFUNCTION("""COMPUTED_VALUE"""),"hgoldstein55@gmail.com")</f>
        <v>hgoldstein55@gmail.com</v>
      </c>
      <c r="C729" s="9" t="str">
        <f ca="1">IFERROR(__xludf.DUMMYFUNCTION("""COMPUTED_VALUE"""),"EVERGREEN - UAN Gated Content - Embedded Petition")</f>
        <v>EVERGREEN - UAN Gated Content - Embedded Petition</v>
      </c>
      <c r="D729" s="10">
        <f ca="1">IFERROR(__xludf.DUMMYFUNCTION("""COMPUTED_VALUE"""),45694)</f>
        <v>45694</v>
      </c>
      <c r="E729" s="1" t="str">
        <f ca="1">IFERROR(__xludf.DUMMYFUNCTION("""COMPUTED_VALUE"""),"Israel and Occupied Palestinian Territories")</f>
        <v>Israel and Occupied Palestinian Territories</v>
      </c>
      <c r="F729" s="1" t="str">
        <f ca="1">IFERROR(__xludf.DUMMYFUNCTION("""COMPUTED_VALUE"""),"3.25 IOPT")</f>
        <v>3.25 IOPT</v>
      </c>
      <c r="G729" s="1" t="str">
        <f ca="1">IFERROR(__xludf.DUMMYFUNCTION("""COMPUTED_VALUE"""),"Freedom of Expression, Individuals At Risk")</f>
        <v>Freedom of Expression, Individuals At Risk</v>
      </c>
      <c r="H729" s="1" t="str">
        <f ca="1">IFERROR(__xludf.DUMMYFUNCTION("""COMPUTED_VALUE"""),"2025")</f>
        <v>2025</v>
      </c>
      <c r="I729" s="1" t="str">
        <f ca="1">IFERROR(__xludf.DUMMYFUNCTION("""COMPUTED_VALUE"""),"Email")</f>
        <v>Email</v>
      </c>
    </row>
    <row r="730" spans="1:9" ht="13" x14ac:dyDescent="0.15">
      <c r="A730" s="9">
        <f ca="1">IFERROR(__xludf.DUMMYFUNCTION("""COMPUTED_VALUE"""),31699640)</f>
        <v>31699640</v>
      </c>
      <c r="B730" s="1" t="str">
        <f ca="1">IFERROR(__xludf.DUMMYFUNCTION("""COMPUTED_VALUE"""),"sandywag@gmail.com")</f>
        <v>sandywag@gmail.com</v>
      </c>
      <c r="C730" s="9" t="str">
        <f ca="1">IFERROR(__xludf.DUMMYFUNCTION("""COMPUTED_VALUE"""),"EVERGREEN - UAN Gated Content - Embedded Petition")</f>
        <v>EVERGREEN - UAN Gated Content - Embedded Petition</v>
      </c>
      <c r="D730" s="10">
        <f ca="1">IFERROR(__xludf.DUMMYFUNCTION("""COMPUTED_VALUE"""),45674)</f>
        <v>45674</v>
      </c>
      <c r="E730" s="1" t="str">
        <f ca="1">IFERROR(__xludf.DUMMYFUNCTION("""COMPUTED_VALUE"""),"USA")</f>
        <v>USA</v>
      </c>
      <c r="F730" s="1" t="str">
        <f ca="1">IFERROR(__xludf.DUMMYFUNCTION("""COMPUTED_VALUE"""),"4.25 USA")</f>
        <v>4.25 USA</v>
      </c>
      <c r="G730" s="1" t="str">
        <f ca="1">IFERROR(__xludf.DUMMYFUNCTION("""COMPUTED_VALUE"""),"Individuals At Risk, Refugee and Migrant Rights")</f>
        <v>Individuals At Risk, Refugee and Migrant Rights</v>
      </c>
      <c r="H730" s="1" t="str">
        <f ca="1">IFERROR(__xludf.DUMMYFUNCTION("""COMPUTED_VALUE"""),"2025")</f>
        <v>2025</v>
      </c>
      <c r="I730" s="1" t="str">
        <f ca="1">IFERROR(__xludf.DUMMYFUNCTION("""COMPUTED_VALUE"""),"Letter")</f>
        <v>Letter</v>
      </c>
    </row>
    <row r="731" spans="1:9" ht="13" x14ac:dyDescent="0.15">
      <c r="A731" s="9">
        <f ca="1">IFERROR(__xludf.DUMMYFUNCTION("""COMPUTED_VALUE"""),31699640)</f>
        <v>31699640</v>
      </c>
      <c r="B731" s="1" t="str">
        <f ca="1">IFERROR(__xludf.DUMMYFUNCTION("""COMPUTED_VALUE"""),"sandywag@gmail.com")</f>
        <v>sandywag@gmail.com</v>
      </c>
      <c r="C731" s="9" t="str">
        <f ca="1">IFERROR(__xludf.DUMMYFUNCTION("""COMPUTED_VALUE"""),"EVERGREEN - UAN Gated Content - Embedded Petition")</f>
        <v>EVERGREEN - UAN Gated Content - Embedded Petition</v>
      </c>
      <c r="D731" s="10">
        <f ca="1">IFERROR(__xludf.DUMMYFUNCTION("""COMPUTED_VALUE"""),45636)</f>
        <v>45636</v>
      </c>
      <c r="E731" s="1" t="str">
        <f ca="1">IFERROR(__xludf.DUMMYFUNCTION("""COMPUTED_VALUE"""),"Iran")</f>
        <v>Iran</v>
      </c>
      <c r="F731" s="1" t="str">
        <f ca="1">IFERROR(__xludf.DUMMYFUNCTION("""COMPUTED_VALUE"""),"101.24 Iran")</f>
        <v>101.24 Iran</v>
      </c>
      <c r="G731" s="1" t="str">
        <f ca="1">IFERROR(__xludf.DUMMYFUNCTION("""COMPUTED_VALUE"""),"Death Penalty, Freedom of Expression, Individuals At Risk, Right to Protest")</f>
        <v>Death Penalty, Freedom of Expression, Individuals At Risk, Right to Protest</v>
      </c>
      <c r="H731" s="1" t="str">
        <f ca="1">IFERROR(__xludf.DUMMYFUNCTION("""COMPUTED_VALUE"""),"2024")</f>
        <v>2024</v>
      </c>
      <c r="I731" s="1" t="str">
        <f ca="1">IFERROR(__xludf.DUMMYFUNCTION("""COMPUTED_VALUE"""),"Email")</f>
        <v>Email</v>
      </c>
    </row>
    <row r="732" spans="1:9" ht="13" x14ac:dyDescent="0.15">
      <c r="A732" s="9">
        <f ca="1">IFERROR(__xludf.DUMMYFUNCTION("""COMPUTED_VALUE"""),31699640)</f>
        <v>31699640</v>
      </c>
      <c r="B732" s="1" t="str">
        <f ca="1">IFERROR(__xludf.DUMMYFUNCTION("""COMPUTED_VALUE"""),"sandywag@gmail.com")</f>
        <v>sandywag@gmail.com</v>
      </c>
      <c r="C732" s="9" t="str">
        <f ca="1">IFERROR(__xludf.DUMMYFUNCTION("""COMPUTED_VALUE"""),"EVERGREEN - UAN Gated Content - Embedded Petition")</f>
        <v>EVERGREEN - UAN Gated Content - Embedded Petition</v>
      </c>
      <c r="D732" s="10">
        <f ca="1">IFERROR(__xludf.DUMMYFUNCTION("""COMPUTED_VALUE"""),45674)</f>
        <v>45674</v>
      </c>
      <c r="E732" s="1" t="str">
        <f ca="1">IFERROR(__xludf.DUMMYFUNCTION("""COMPUTED_VALUE"""),"Mexico")</f>
        <v>Mexico</v>
      </c>
      <c r="F732" s="1" t="str">
        <f ca="1">IFERROR(__xludf.DUMMYFUNCTION("""COMPUTED_VALUE"""),"92.24 Mexico")</f>
        <v>92.24 Mexico</v>
      </c>
      <c r="G732" s="1" t="str">
        <f ca="1">IFERROR(__xludf.DUMMYFUNCTION("""COMPUTED_VALUE"""),"Human Rights Defenders")</f>
        <v>Human Rights Defenders</v>
      </c>
      <c r="H732" s="1" t="str">
        <f ca="1">IFERROR(__xludf.DUMMYFUNCTION("""COMPUTED_VALUE"""),"2024")</f>
        <v>2024</v>
      </c>
      <c r="I732" s="1" t="str">
        <f ca="1">IFERROR(__xludf.DUMMYFUNCTION("""COMPUTED_VALUE"""),"Email")</f>
        <v>Email</v>
      </c>
    </row>
    <row r="733" spans="1:9" ht="13" x14ac:dyDescent="0.15">
      <c r="A733" s="9">
        <f ca="1">IFERROR(__xludf.DUMMYFUNCTION("""COMPUTED_VALUE"""),31703207)</f>
        <v>31703207</v>
      </c>
      <c r="B733" s="1" t="str">
        <f ca="1">IFERROR(__xludf.DUMMYFUNCTION("""COMPUTED_VALUE"""),"kagetsu26@yahoo.com")</f>
        <v>kagetsu26@yahoo.com</v>
      </c>
      <c r="C733" s="9" t="str">
        <f ca="1">IFERROR(__xludf.DUMMYFUNCTION("""COMPUTED_VALUE"""),"EVERGREEN - UAN Gated Content - Embedded Petition")</f>
        <v>EVERGREEN - UAN Gated Content - Embedded Petition</v>
      </c>
      <c r="D733" s="10">
        <f ca="1">IFERROR(__xludf.DUMMYFUNCTION("""COMPUTED_VALUE"""),45636)</f>
        <v>45636</v>
      </c>
      <c r="E733" s="1" t="str">
        <f ca="1">IFERROR(__xludf.DUMMYFUNCTION("""COMPUTED_VALUE"""),"Honduras")</f>
        <v>Honduras</v>
      </c>
      <c r="F733" s="1" t="str">
        <f ca="1">IFERROR(__xludf.DUMMYFUNCTION("""COMPUTED_VALUE"""),"Second 85.24 Honduras")</f>
        <v>Second 85.24 Honduras</v>
      </c>
      <c r="G733" s="1" t="str">
        <f ca="1">IFERROR(__xludf.DUMMYFUNCTION("""COMPUTED_VALUE"""),"Climate Justice, Human Rights Defenders, Right to Protest")</f>
        <v>Climate Justice, Human Rights Defenders, Right to Protest</v>
      </c>
      <c r="H733" s="1" t="str">
        <f ca="1">IFERROR(__xludf.DUMMYFUNCTION("""COMPUTED_VALUE"""),"2024")</f>
        <v>2024</v>
      </c>
      <c r="I733" s="1" t="str">
        <f ca="1">IFERROR(__xludf.DUMMYFUNCTION("""COMPUTED_VALUE"""),"Email")</f>
        <v>Email</v>
      </c>
    </row>
    <row r="734" spans="1:9" ht="13" x14ac:dyDescent="0.15">
      <c r="A734" s="9">
        <f ca="1">IFERROR(__xludf.DUMMYFUNCTION("""COMPUTED_VALUE"""),31703207)</f>
        <v>31703207</v>
      </c>
      <c r="B734" s="1" t="str">
        <f ca="1">IFERROR(__xludf.DUMMYFUNCTION("""COMPUTED_VALUE"""),"kagetsu26@yahoo.com")</f>
        <v>kagetsu26@yahoo.com</v>
      </c>
      <c r="C734" s="9" t="str">
        <f ca="1">IFERROR(__xludf.DUMMYFUNCTION("""COMPUTED_VALUE"""),"EVERGREEN - UAN Gated Content - Embedded Petition")</f>
        <v>EVERGREEN - UAN Gated Content - Embedded Petition</v>
      </c>
      <c r="D734" s="10">
        <f ca="1">IFERROR(__xludf.DUMMYFUNCTION("""COMPUTED_VALUE"""),45697)</f>
        <v>45697</v>
      </c>
      <c r="E734" s="1" t="str">
        <f ca="1">IFERROR(__xludf.DUMMYFUNCTION("""COMPUTED_VALUE"""),"China")</f>
        <v>China</v>
      </c>
      <c r="F734" s="1" t="str">
        <f ca="1">IFERROR(__xludf.DUMMYFUNCTION("""COMPUTED_VALUE"""),"106.24 China")</f>
        <v>106.24 China</v>
      </c>
      <c r="G734" s="1" t="str">
        <f ca="1">IFERROR(__xludf.DUMMYFUNCTION("""COMPUTED_VALUE"""),"Freedom of Expression, Individuals At Risk")</f>
        <v>Freedom of Expression, Individuals At Risk</v>
      </c>
      <c r="H734" s="1" t="str">
        <f ca="1">IFERROR(__xludf.DUMMYFUNCTION("""COMPUTED_VALUE"""),"2024")</f>
        <v>2024</v>
      </c>
      <c r="I734" s="1" t="str">
        <f ca="1">IFERROR(__xludf.DUMMYFUNCTION("""COMPUTED_VALUE"""),"Email")</f>
        <v>Email</v>
      </c>
    </row>
    <row r="735" spans="1:9" ht="13" x14ac:dyDescent="0.15">
      <c r="A735" s="9">
        <f ca="1">IFERROR(__xludf.DUMMYFUNCTION("""COMPUTED_VALUE"""),31703207)</f>
        <v>31703207</v>
      </c>
      <c r="B735" s="1" t="str">
        <f ca="1">IFERROR(__xludf.DUMMYFUNCTION("""COMPUTED_VALUE"""),"kagetsu26@yahoo.com")</f>
        <v>kagetsu26@yahoo.com</v>
      </c>
      <c r="C735" s="9" t="str">
        <f ca="1">IFERROR(__xludf.DUMMYFUNCTION("""COMPUTED_VALUE"""),"EVERGREEN - UAN Gated Content - Embedded Petition")</f>
        <v>EVERGREEN - UAN Gated Content - Embedded Petition</v>
      </c>
      <c r="D735" s="10">
        <f ca="1">IFERROR(__xludf.DUMMYFUNCTION("""COMPUTED_VALUE"""),45636)</f>
        <v>45636</v>
      </c>
      <c r="E735" s="1" t="str">
        <f ca="1">IFERROR(__xludf.DUMMYFUNCTION("""COMPUTED_VALUE"""),"Tunisia")</f>
        <v>Tunisia</v>
      </c>
      <c r="F735" s="1" t="str">
        <f ca="1">IFERROR(__xludf.DUMMYFUNCTION("""COMPUTED_VALUE"""),"Second 43.24 Tunisia")</f>
        <v>Second 43.24 Tunisia</v>
      </c>
      <c r="G735" s="1" t="str">
        <f ca="1">IFERROR(__xludf.DUMMYFUNCTION("""COMPUTED_VALUE"""),"Freedom of Expression, Individuals At Risk")</f>
        <v>Freedom of Expression, Individuals At Risk</v>
      </c>
      <c r="H735" s="1" t="str">
        <f ca="1">IFERROR(__xludf.DUMMYFUNCTION("""COMPUTED_VALUE"""),"2024")</f>
        <v>2024</v>
      </c>
      <c r="I735" s="1" t="str">
        <f ca="1">IFERROR(__xludf.DUMMYFUNCTION("""COMPUTED_VALUE"""),"Email")</f>
        <v>Email</v>
      </c>
    </row>
    <row r="736" spans="1:9" ht="13" x14ac:dyDescent="0.15">
      <c r="A736" s="9">
        <f ca="1">IFERROR(__xludf.DUMMYFUNCTION("""COMPUTED_VALUE"""),31703207)</f>
        <v>31703207</v>
      </c>
      <c r="B736" s="1" t="str">
        <f ca="1">IFERROR(__xludf.DUMMYFUNCTION("""COMPUTED_VALUE"""),"kagetsu26@yahoo.com")</f>
        <v>kagetsu26@yahoo.com</v>
      </c>
      <c r="C736" s="9" t="str">
        <f ca="1">IFERROR(__xludf.DUMMYFUNCTION("""COMPUTED_VALUE"""),"EVERGREEN - UAN Gated Content - Embedded Petition")</f>
        <v>EVERGREEN - UAN Gated Content - Embedded Petition</v>
      </c>
      <c r="D736" s="10">
        <f ca="1">IFERROR(__xludf.DUMMYFUNCTION("""COMPUTED_VALUE"""),45636)</f>
        <v>45636</v>
      </c>
      <c r="E736" s="1" t="str">
        <f ca="1">IFERROR(__xludf.DUMMYFUNCTION("""COMPUTED_VALUE"""),"Niger")</f>
        <v>Niger</v>
      </c>
      <c r="F736" s="1" t="str">
        <f ca="1">IFERROR(__xludf.DUMMYFUNCTION("""COMPUTED_VALUE"""),"103.24 Niger")</f>
        <v>103.24 Niger</v>
      </c>
      <c r="G736" s="1" t="str">
        <f ca="1">IFERROR(__xludf.DUMMYFUNCTION("""COMPUTED_VALUE"""),"Freedom of Expression, Human Rights Defenders")</f>
        <v>Freedom of Expression, Human Rights Defenders</v>
      </c>
      <c r="H736" s="1" t="str">
        <f ca="1">IFERROR(__xludf.DUMMYFUNCTION("""COMPUTED_VALUE"""),"2024")</f>
        <v>2024</v>
      </c>
      <c r="I736" s="1" t="str">
        <f ca="1">IFERROR(__xludf.DUMMYFUNCTION("""COMPUTED_VALUE"""),"Email")</f>
        <v>Email</v>
      </c>
    </row>
    <row r="737" spans="1:9" ht="13" x14ac:dyDescent="0.15">
      <c r="A737" s="9">
        <f ca="1">IFERROR(__xludf.DUMMYFUNCTION("""COMPUTED_VALUE"""),31703207)</f>
        <v>31703207</v>
      </c>
      <c r="B737" s="1" t="str">
        <f ca="1">IFERROR(__xludf.DUMMYFUNCTION("""COMPUTED_VALUE"""),"kagetsu26@yahoo.com")</f>
        <v>kagetsu26@yahoo.com</v>
      </c>
      <c r="C737" s="9" t="str">
        <f ca="1">IFERROR(__xludf.DUMMYFUNCTION("""COMPUTED_VALUE"""),"EVERGREEN - UAN Gated Content - Embedded Petition")</f>
        <v>EVERGREEN - UAN Gated Content - Embedded Petition</v>
      </c>
      <c r="D737" s="10">
        <f ca="1">IFERROR(__xludf.DUMMYFUNCTION("""COMPUTED_VALUE"""),45636)</f>
        <v>45636</v>
      </c>
      <c r="E737" s="1" t="str">
        <f ca="1">IFERROR(__xludf.DUMMYFUNCTION("""COMPUTED_VALUE"""),"Turkiye")</f>
        <v>Turkiye</v>
      </c>
      <c r="F737" s="1" t="str">
        <f ca="1">IFERROR(__xludf.DUMMYFUNCTION("""COMPUTED_VALUE"""),"109.24 Türkiye")</f>
        <v>109.24 Türkiye</v>
      </c>
      <c r="G737" s="1" t="str">
        <f ca="1">IFERROR(__xludf.DUMMYFUNCTION("""COMPUTED_VALUE"""),"Human Rights Defenders, Individuals At Risk")</f>
        <v>Human Rights Defenders, Individuals At Risk</v>
      </c>
      <c r="H737" s="1" t="str">
        <f ca="1">IFERROR(__xludf.DUMMYFUNCTION("""COMPUTED_VALUE"""),"2024")</f>
        <v>2024</v>
      </c>
      <c r="I737" s="1" t="str">
        <f ca="1">IFERROR(__xludf.DUMMYFUNCTION("""COMPUTED_VALUE"""),"Email")</f>
        <v>Email</v>
      </c>
    </row>
    <row r="738" spans="1:9" ht="13" x14ac:dyDescent="0.15">
      <c r="A738" s="9">
        <f ca="1">IFERROR(__xludf.DUMMYFUNCTION("""COMPUTED_VALUE"""),31703207)</f>
        <v>31703207</v>
      </c>
      <c r="B738" s="1" t="str">
        <f ca="1">IFERROR(__xludf.DUMMYFUNCTION("""COMPUTED_VALUE"""),"kagetsu26@yahoo.com")</f>
        <v>kagetsu26@yahoo.com</v>
      </c>
      <c r="C738" s="9" t="str">
        <f ca="1">IFERROR(__xludf.DUMMYFUNCTION("""COMPUTED_VALUE"""),"EVERGREEN - UAN Gated Content - Embedded Petition")</f>
        <v>EVERGREEN - UAN Gated Content - Embedded Petition</v>
      </c>
      <c r="D738" s="10">
        <f ca="1">IFERROR(__xludf.DUMMYFUNCTION("""COMPUTED_VALUE"""),45636)</f>
        <v>45636</v>
      </c>
      <c r="E738" s="1" t="str">
        <f ca="1">IFERROR(__xludf.DUMMYFUNCTION("""COMPUTED_VALUE"""),"Egypt")</f>
        <v>Egypt</v>
      </c>
      <c r="F738" s="1" t="str">
        <f ca="1">IFERROR(__xludf.DUMMYFUNCTION("""COMPUTED_VALUE"""),"Third 73.23 Egypt")</f>
        <v>Third 73.23 Egypt</v>
      </c>
      <c r="G738" s="1" t="str">
        <f ca="1">IFERROR(__xludf.DUMMYFUNCTION("""COMPUTED_VALUE"""),"Individuals At Risk")</f>
        <v>Individuals At Risk</v>
      </c>
      <c r="H738" s="1" t="str">
        <f ca="1">IFERROR(__xludf.DUMMYFUNCTION("""COMPUTED_VALUE"""),"2024")</f>
        <v>2024</v>
      </c>
      <c r="I738" s="1" t="str">
        <f ca="1">IFERROR(__xludf.DUMMYFUNCTION("""COMPUTED_VALUE"""),"Email")</f>
        <v>Email</v>
      </c>
    </row>
    <row r="739" spans="1:9" ht="13" x14ac:dyDescent="0.15">
      <c r="A739" s="9">
        <f ca="1">IFERROR(__xludf.DUMMYFUNCTION("""COMPUTED_VALUE"""),31703207)</f>
        <v>31703207</v>
      </c>
      <c r="B739" s="1" t="str">
        <f ca="1">IFERROR(__xludf.DUMMYFUNCTION("""COMPUTED_VALUE"""),"kagetsu26@yahoo.com")</f>
        <v>kagetsu26@yahoo.com</v>
      </c>
      <c r="C739" s="9" t="str">
        <f ca="1">IFERROR(__xludf.DUMMYFUNCTION("""COMPUTED_VALUE"""),"EVERGREEN - UAN Gated Content - Embedded Petition")</f>
        <v>EVERGREEN - UAN Gated Content - Embedded Petition</v>
      </c>
      <c r="D739" s="10">
        <f ca="1">IFERROR(__xludf.DUMMYFUNCTION("""COMPUTED_VALUE"""),45636)</f>
        <v>45636</v>
      </c>
      <c r="E739" s="1" t="str">
        <f ca="1">IFERROR(__xludf.DUMMYFUNCTION("""COMPUTED_VALUE"""),"Iran")</f>
        <v>Iran</v>
      </c>
      <c r="F739" s="1" t="str">
        <f ca="1">IFERROR(__xludf.DUMMYFUNCTION("""COMPUTED_VALUE"""),"Seventh 103.22 Iran")</f>
        <v>Seventh 103.22 Iran</v>
      </c>
      <c r="G739" s="1" t="str">
        <f ca="1">IFERROR(__xludf.DUMMYFUNCTION("""COMPUTED_VALUE"""),"Death Penalty, Freedom of Expression, Individuals At Risk")</f>
        <v>Death Penalty, Freedom of Expression, Individuals At Risk</v>
      </c>
      <c r="H739" s="1" t="str">
        <f ca="1">IFERROR(__xludf.DUMMYFUNCTION("""COMPUTED_VALUE"""),"2024")</f>
        <v>2024</v>
      </c>
      <c r="I739" s="1" t="str">
        <f ca="1">IFERROR(__xludf.DUMMYFUNCTION("""COMPUTED_VALUE"""),"Email")</f>
        <v>Email</v>
      </c>
    </row>
    <row r="740" spans="1:9" ht="13" x14ac:dyDescent="0.15">
      <c r="A740" s="9">
        <f ca="1">IFERROR(__xludf.DUMMYFUNCTION("""COMPUTED_VALUE"""),31703207)</f>
        <v>31703207</v>
      </c>
      <c r="B740" s="1" t="str">
        <f ca="1">IFERROR(__xludf.DUMMYFUNCTION("""COMPUTED_VALUE"""),"kagetsu26@yahoo.com")</f>
        <v>kagetsu26@yahoo.com</v>
      </c>
      <c r="C740" s="9" t="str">
        <f ca="1">IFERROR(__xludf.DUMMYFUNCTION("""COMPUTED_VALUE"""),"EVERGREEN - UAN Gated Content - Embedded Petition")</f>
        <v>EVERGREEN - UAN Gated Content - Embedded Petition</v>
      </c>
      <c r="D740" s="10">
        <f ca="1">IFERROR(__xludf.DUMMYFUNCTION("""COMPUTED_VALUE"""),45636)</f>
        <v>45636</v>
      </c>
      <c r="E740" s="1" t="str">
        <f ca="1">IFERROR(__xludf.DUMMYFUNCTION("""COMPUTED_VALUE"""),"USA")</f>
        <v>USA</v>
      </c>
      <c r="F740" s="1" t="str">
        <f ca="1">IFERROR(__xludf.DUMMYFUNCTION("""COMPUTED_VALUE"""),"4.25 USA")</f>
        <v>4.25 USA</v>
      </c>
      <c r="G740" s="1" t="str">
        <f ca="1">IFERROR(__xludf.DUMMYFUNCTION("""COMPUTED_VALUE"""),"Individuals At Risk, Refugee and Migrant Rights")</f>
        <v>Individuals At Risk, Refugee and Migrant Rights</v>
      </c>
      <c r="H740" s="1" t="str">
        <f ca="1">IFERROR(__xludf.DUMMYFUNCTION("""COMPUTED_VALUE"""),"2025")</f>
        <v>2025</v>
      </c>
      <c r="I740" s="1" t="str">
        <f ca="1">IFERROR(__xludf.DUMMYFUNCTION("""COMPUTED_VALUE"""),"Letter")</f>
        <v>Letter</v>
      </c>
    </row>
    <row r="741" spans="1:9" ht="13" x14ac:dyDescent="0.15">
      <c r="A741" s="9">
        <f ca="1">IFERROR(__xludf.DUMMYFUNCTION("""COMPUTED_VALUE"""),31703207)</f>
        <v>31703207</v>
      </c>
      <c r="B741" s="1" t="str">
        <f ca="1">IFERROR(__xludf.DUMMYFUNCTION("""COMPUTED_VALUE"""),"kagetsu26@yahoo.com")</f>
        <v>kagetsu26@yahoo.com</v>
      </c>
      <c r="C741" s="9" t="str">
        <f ca="1">IFERROR(__xludf.DUMMYFUNCTION("""COMPUTED_VALUE"""),"EVERGREEN - UAN Gated Content - Embedded Petition")</f>
        <v>EVERGREEN - UAN Gated Content - Embedded Petition</v>
      </c>
      <c r="D741" s="10">
        <f ca="1">IFERROR(__xludf.DUMMYFUNCTION("""COMPUTED_VALUE"""),45636)</f>
        <v>45636</v>
      </c>
      <c r="E741" s="1" t="str">
        <f ca="1">IFERROR(__xludf.DUMMYFUNCTION("""COMPUTED_VALUE"""),"Tunisia")</f>
        <v>Tunisia</v>
      </c>
      <c r="F741" s="1" t="str">
        <f ca="1">IFERROR(__xludf.DUMMYFUNCTION("""COMPUTED_VALUE"""),"Second 76.24 Tunisia")</f>
        <v>Second 76.24 Tunisia</v>
      </c>
      <c r="G741" s="1" t="str">
        <f ca="1">IFERROR(__xludf.DUMMYFUNCTION("""COMPUTED_VALUE"""),"Freedom of Expression, Human Rights Defenders")</f>
        <v>Freedom of Expression, Human Rights Defenders</v>
      </c>
      <c r="H741" s="1" t="str">
        <f ca="1">IFERROR(__xludf.DUMMYFUNCTION("""COMPUTED_VALUE"""),"2025")</f>
        <v>2025</v>
      </c>
      <c r="I741" s="1" t="str">
        <f ca="1">IFERROR(__xludf.DUMMYFUNCTION("""COMPUTED_VALUE"""),"Email")</f>
        <v>Email</v>
      </c>
    </row>
    <row r="742" spans="1:9" ht="13" x14ac:dyDescent="0.15">
      <c r="A742" s="9">
        <f ca="1">IFERROR(__xludf.DUMMYFUNCTION("""COMPUTED_VALUE"""),31703207)</f>
        <v>31703207</v>
      </c>
      <c r="B742" s="1" t="str">
        <f ca="1">IFERROR(__xludf.DUMMYFUNCTION("""COMPUTED_VALUE"""),"kagetsu26@yahoo.com")</f>
        <v>kagetsu26@yahoo.com</v>
      </c>
      <c r="C742" s="9" t="str">
        <f ca="1">IFERROR(__xludf.DUMMYFUNCTION("""COMPUTED_VALUE"""),"EVERGREEN - UAN Gated Content - Embedded Petition")</f>
        <v>EVERGREEN - UAN Gated Content - Embedded Petition</v>
      </c>
      <c r="D742" s="10">
        <f ca="1">IFERROR(__xludf.DUMMYFUNCTION("""COMPUTED_VALUE"""),45636)</f>
        <v>45636</v>
      </c>
      <c r="E742" s="1" t="str">
        <f ca="1">IFERROR(__xludf.DUMMYFUNCTION("""COMPUTED_VALUE"""),"Iran")</f>
        <v>Iran</v>
      </c>
      <c r="F742" s="1" t="str">
        <f ca="1">IFERROR(__xludf.DUMMYFUNCTION("""COMPUTED_VALUE"""),"Seventh 103.22 Iran")</f>
        <v>Seventh 103.22 Iran</v>
      </c>
      <c r="G742" s="1" t="str">
        <f ca="1">IFERROR(__xludf.DUMMYFUNCTION("""COMPUTED_VALUE"""),"Death Penalty, Freedom of Expression, Individuals At Risk")</f>
        <v>Death Penalty, Freedom of Expression, Individuals At Risk</v>
      </c>
      <c r="H742" s="1" t="str">
        <f ca="1">IFERROR(__xludf.DUMMYFUNCTION("""COMPUTED_VALUE"""),"2024")</f>
        <v>2024</v>
      </c>
      <c r="I742" s="1" t="str">
        <f ca="1">IFERROR(__xludf.DUMMYFUNCTION("""COMPUTED_VALUE"""),"Email")</f>
        <v>Email</v>
      </c>
    </row>
    <row r="743" spans="1:9" ht="13" x14ac:dyDescent="0.15">
      <c r="A743" s="9">
        <f ca="1">IFERROR(__xludf.DUMMYFUNCTION("""COMPUTED_VALUE"""),31703207)</f>
        <v>31703207</v>
      </c>
      <c r="B743" s="1" t="str">
        <f ca="1">IFERROR(__xludf.DUMMYFUNCTION("""COMPUTED_VALUE"""),"kagetsu26@yahoo.com")</f>
        <v>kagetsu26@yahoo.com</v>
      </c>
      <c r="C743" s="9" t="str">
        <f ca="1">IFERROR(__xludf.DUMMYFUNCTION("""COMPUTED_VALUE"""),"EVERGREEN - UAN Gated Content - Embedded Petition")</f>
        <v>EVERGREEN - UAN Gated Content - Embedded Petition</v>
      </c>
      <c r="D743" s="10">
        <f ca="1">IFERROR(__xludf.DUMMYFUNCTION("""COMPUTED_VALUE"""),45694)</f>
        <v>45694</v>
      </c>
      <c r="E743" s="1" t="str">
        <f ca="1">IFERROR(__xludf.DUMMYFUNCTION("""COMPUTED_VALUE"""),"USA")</f>
        <v>USA</v>
      </c>
      <c r="F743" s="1" t="str">
        <f ca="1">IFERROR(__xludf.DUMMYFUNCTION("""COMPUTED_VALUE"""),"4.25 USA")</f>
        <v>4.25 USA</v>
      </c>
      <c r="G743" s="1" t="str">
        <f ca="1">IFERROR(__xludf.DUMMYFUNCTION("""COMPUTED_VALUE"""),"Individuals At Risk, Refugee and Migrant Rights")</f>
        <v>Individuals At Risk, Refugee and Migrant Rights</v>
      </c>
      <c r="H743" s="1" t="str">
        <f ca="1">IFERROR(__xludf.DUMMYFUNCTION("""COMPUTED_VALUE"""),"2025")</f>
        <v>2025</v>
      </c>
      <c r="I743" s="1" t="str">
        <f ca="1">IFERROR(__xludf.DUMMYFUNCTION("""COMPUTED_VALUE"""),"Letter")</f>
        <v>Letter</v>
      </c>
    </row>
    <row r="744" spans="1:9" ht="13" x14ac:dyDescent="0.15">
      <c r="A744" s="9">
        <f ca="1">IFERROR(__xludf.DUMMYFUNCTION("""COMPUTED_VALUE"""),31703207)</f>
        <v>31703207</v>
      </c>
      <c r="B744" s="1" t="str">
        <f ca="1">IFERROR(__xludf.DUMMYFUNCTION("""COMPUTED_VALUE"""),"kagetsu26@yahoo.com")</f>
        <v>kagetsu26@yahoo.com</v>
      </c>
      <c r="C744" s="9" t="str">
        <f ca="1">IFERROR(__xludf.DUMMYFUNCTION("""COMPUTED_VALUE"""),"EVERGREEN - UAN Gated Content - Embedded Petition")</f>
        <v>EVERGREEN - UAN Gated Content - Embedded Petition</v>
      </c>
      <c r="D744" s="10">
        <f ca="1">IFERROR(__xludf.DUMMYFUNCTION("""COMPUTED_VALUE"""),45680)</f>
        <v>45680</v>
      </c>
      <c r="E744" s="1" t="str">
        <f ca="1">IFERROR(__xludf.DUMMYFUNCTION("""COMPUTED_VALUE"""),"Tunisia")</f>
        <v>Tunisia</v>
      </c>
      <c r="F744" s="1" t="str">
        <f ca="1">IFERROR(__xludf.DUMMYFUNCTION("""COMPUTED_VALUE"""),"Second 76.24 Tunisia")</f>
        <v>Second 76.24 Tunisia</v>
      </c>
      <c r="G744" s="1" t="str">
        <f ca="1">IFERROR(__xludf.DUMMYFUNCTION("""COMPUTED_VALUE"""),"Freedom of Expression, Human Rights Defenders")</f>
        <v>Freedom of Expression, Human Rights Defenders</v>
      </c>
      <c r="H744" s="1" t="str">
        <f ca="1">IFERROR(__xludf.DUMMYFUNCTION("""COMPUTED_VALUE"""),"2025")</f>
        <v>2025</v>
      </c>
      <c r="I744" s="1" t="str">
        <f ca="1">IFERROR(__xludf.DUMMYFUNCTION("""COMPUTED_VALUE"""),"Email")</f>
        <v>Email</v>
      </c>
    </row>
    <row r="745" spans="1:9" ht="13" x14ac:dyDescent="0.15">
      <c r="A745" s="9">
        <f ca="1">IFERROR(__xludf.DUMMYFUNCTION("""COMPUTED_VALUE"""),31703207)</f>
        <v>31703207</v>
      </c>
      <c r="B745" s="1" t="str">
        <f ca="1">IFERROR(__xludf.DUMMYFUNCTION("""COMPUTED_VALUE"""),"kagetsu26@yahoo.com")</f>
        <v>kagetsu26@yahoo.com</v>
      </c>
      <c r="C745" s="9" t="str">
        <f ca="1">IFERROR(__xludf.DUMMYFUNCTION("""COMPUTED_VALUE"""),"EVERGREEN - UAN Gated Content - Embedded Petition")</f>
        <v>EVERGREEN - UAN Gated Content - Embedded Petition</v>
      </c>
      <c r="D745" s="10">
        <f ca="1">IFERROR(__xludf.DUMMYFUNCTION("""COMPUTED_VALUE"""),45680)</f>
        <v>45680</v>
      </c>
      <c r="E745" s="1" t="str">
        <f ca="1">IFERROR(__xludf.DUMMYFUNCTION("""COMPUTED_VALUE"""),"USA")</f>
        <v>USA</v>
      </c>
      <c r="F745" s="1" t="str">
        <f ca="1">IFERROR(__xludf.DUMMYFUNCTION("""COMPUTED_VALUE"""),"105.24 USA")</f>
        <v>105.24 USA</v>
      </c>
      <c r="G745" s="1" t="str">
        <f ca="1">IFERROR(__xludf.DUMMYFUNCTION("""COMPUTED_VALUE"""),"Death Penalty")</f>
        <v>Death Penalty</v>
      </c>
      <c r="H745" s="1" t="str">
        <f ca="1">IFERROR(__xludf.DUMMYFUNCTION("""COMPUTED_VALUE"""),"2024")</f>
        <v>2024</v>
      </c>
      <c r="I745" s="1" t="str">
        <f ca="1">IFERROR(__xludf.DUMMYFUNCTION("""COMPUTED_VALUE"""),"Email")</f>
        <v>Email</v>
      </c>
    </row>
    <row r="746" spans="1:9" ht="13" x14ac:dyDescent="0.15">
      <c r="A746" s="9">
        <f ca="1">IFERROR(__xludf.DUMMYFUNCTION("""COMPUTED_VALUE"""),31703207)</f>
        <v>31703207</v>
      </c>
      <c r="B746" s="1" t="str">
        <f ca="1">IFERROR(__xludf.DUMMYFUNCTION("""COMPUTED_VALUE"""),"kagetsu26@yahoo.com")</f>
        <v>kagetsu26@yahoo.com</v>
      </c>
      <c r="C746" s="9" t="str">
        <f ca="1">IFERROR(__xludf.DUMMYFUNCTION("""COMPUTED_VALUE"""),"EVERGREEN - UAN Gated Content - Embedded Petition")</f>
        <v>EVERGREEN - UAN Gated Content - Embedded Petition</v>
      </c>
      <c r="D746" s="10">
        <f ca="1">IFERROR(__xludf.DUMMYFUNCTION("""COMPUTED_VALUE"""),45680)</f>
        <v>45680</v>
      </c>
      <c r="E746" s="1" t="str">
        <f ca="1">IFERROR(__xludf.DUMMYFUNCTION("""COMPUTED_VALUE"""),"Niger")</f>
        <v>Niger</v>
      </c>
      <c r="F746" s="1" t="str">
        <f ca="1">IFERROR(__xludf.DUMMYFUNCTION("""COMPUTED_VALUE"""),"103.24 Niger")</f>
        <v>103.24 Niger</v>
      </c>
      <c r="G746" s="1" t="str">
        <f ca="1">IFERROR(__xludf.DUMMYFUNCTION("""COMPUTED_VALUE"""),"Freedom of Expression, Human Rights Defenders")</f>
        <v>Freedom of Expression, Human Rights Defenders</v>
      </c>
      <c r="H746" s="1" t="str">
        <f ca="1">IFERROR(__xludf.DUMMYFUNCTION("""COMPUTED_VALUE"""),"2024")</f>
        <v>2024</v>
      </c>
      <c r="I746" s="1" t="str">
        <f ca="1">IFERROR(__xludf.DUMMYFUNCTION("""COMPUTED_VALUE"""),"Email")</f>
        <v>Email</v>
      </c>
    </row>
    <row r="747" spans="1:9" ht="13" x14ac:dyDescent="0.15">
      <c r="A747" s="9">
        <f ca="1">IFERROR(__xludf.DUMMYFUNCTION("""COMPUTED_VALUE"""),31703207)</f>
        <v>31703207</v>
      </c>
      <c r="B747" s="1" t="str">
        <f ca="1">IFERROR(__xludf.DUMMYFUNCTION("""COMPUTED_VALUE"""),"kagetsu26@yahoo.com")</f>
        <v>kagetsu26@yahoo.com</v>
      </c>
      <c r="C747" s="9" t="str">
        <f ca="1">IFERROR(__xludf.DUMMYFUNCTION("""COMPUTED_VALUE"""),"EVERGREEN - UAN Gated Content - Embedded Petition")</f>
        <v>EVERGREEN - UAN Gated Content - Embedded Petition</v>
      </c>
      <c r="D747" s="10">
        <f ca="1">IFERROR(__xludf.DUMMYFUNCTION("""COMPUTED_VALUE"""),45680)</f>
        <v>45680</v>
      </c>
      <c r="E747" s="1" t="str">
        <f ca="1">IFERROR(__xludf.DUMMYFUNCTION("""COMPUTED_VALUE"""),"Iran")</f>
        <v>Iran</v>
      </c>
      <c r="F747" s="1" t="str">
        <f ca="1">IFERROR(__xludf.DUMMYFUNCTION("""COMPUTED_VALUE"""),"Seventh 103.22 Iran")</f>
        <v>Seventh 103.22 Iran</v>
      </c>
      <c r="G747" s="1" t="str">
        <f ca="1">IFERROR(__xludf.DUMMYFUNCTION("""COMPUTED_VALUE"""),"Death Penalty, Freedom of Expression, Individuals At Risk")</f>
        <v>Death Penalty, Freedom of Expression, Individuals At Risk</v>
      </c>
      <c r="H747" s="1" t="str">
        <f ca="1">IFERROR(__xludf.DUMMYFUNCTION("""COMPUTED_VALUE"""),"2024")</f>
        <v>2024</v>
      </c>
      <c r="I747" s="1" t="str">
        <f ca="1">IFERROR(__xludf.DUMMYFUNCTION("""COMPUTED_VALUE"""),"Email")</f>
        <v>Email</v>
      </c>
    </row>
    <row r="748" spans="1:9" ht="13" x14ac:dyDescent="0.15">
      <c r="A748" s="9">
        <f ca="1">IFERROR(__xludf.DUMMYFUNCTION("""COMPUTED_VALUE"""),31703207)</f>
        <v>31703207</v>
      </c>
      <c r="B748" s="1" t="str">
        <f ca="1">IFERROR(__xludf.DUMMYFUNCTION("""COMPUTED_VALUE"""),"kagetsu26@yahoo.com")</f>
        <v>kagetsu26@yahoo.com</v>
      </c>
      <c r="C748" s="9" t="str">
        <f ca="1">IFERROR(__xludf.DUMMYFUNCTION("""COMPUTED_VALUE"""),"EVERGREEN - UAN Gated Content - Embedded Petition")</f>
        <v>EVERGREEN - UAN Gated Content - Embedded Petition</v>
      </c>
      <c r="D748" s="10">
        <f ca="1">IFERROR(__xludf.DUMMYFUNCTION("""COMPUTED_VALUE"""),45679)</f>
        <v>45679</v>
      </c>
      <c r="E748" s="1" t="str">
        <f ca="1">IFERROR(__xludf.DUMMYFUNCTION("""COMPUTED_VALUE"""),"Tunisia")</f>
        <v>Tunisia</v>
      </c>
      <c r="F748" s="1" t="str">
        <f ca="1">IFERROR(__xludf.DUMMYFUNCTION("""COMPUTED_VALUE"""),"Second 76.24 Tunisia")</f>
        <v>Second 76.24 Tunisia</v>
      </c>
      <c r="G748" s="1" t="str">
        <f ca="1">IFERROR(__xludf.DUMMYFUNCTION("""COMPUTED_VALUE"""),"Freedom of Expression, Human Rights Defenders")</f>
        <v>Freedom of Expression, Human Rights Defenders</v>
      </c>
      <c r="H748" s="1" t="str">
        <f ca="1">IFERROR(__xludf.DUMMYFUNCTION("""COMPUTED_VALUE"""),"2025")</f>
        <v>2025</v>
      </c>
      <c r="I748" s="1" t="str">
        <f ca="1">IFERROR(__xludf.DUMMYFUNCTION("""COMPUTED_VALUE"""),"Email")</f>
        <v>Email</v>
      </c>
    </row>
    <row r="749" spans="1:9" ht="13" x14ac:dyDescent="0.15">
      <c r="A749" s="9">
        <f ca="1">IFERROR(__xludf.DUMMYFUNCTION("""COMPUTED_VALUE"""),31703207)</f>
        <v>31703207</v>
      </c>
      <c r="B749" s="1" t="str">
        <f ca="1">IFERROR(__xludf.DUMMYFUNCTION("""COMPUTED_VALUE"""),"kagetsu26@yahoo.com")</f>
        <v>kagetsu26@yahoo.com</v>
      </c>
      <c r="C749" s="9" t="str">
        <f ca="1">IFERROR(__xludf.DUMMYFUNCTION("""COMPUTED_VALUE"""),"EVERGREEN - UAN Gated Content - Embedded Petition")</f>
        <v>EVERGREEN - UAN Gated Content - Embedded Petition</v>
      </c>
      <c r="D749" s="10">
        <f ca="1">IFERROR(__xludf.DUMMYFUNCTION("""COMPUTED_VALUE"""),45680)</f>
        <v>45680</v>
      </c>
      <c r="E749" s="1" t="str">
        <f ca="1">IFERROR(__xludf.DUMMYFUNCTION("""COMPUTED_VALUE"""),"Tunisia")</f>
        <v>Tunisia</v>
      </c>
      <c r="F749" s="1" t="str">
        <f ca="1">IFERROR(__xludf.DUMMYFUNCTION("""COMPUTED_VALUE"""),"Second 76.24 Tunisia")</f>
        <v>Second 76.24 Tunisia</v>
      </c>
      <c r="G749" s="1" t="str">
        <f ca="1">IFERROR(__xludf.DUMMYFUNCTION("""COMPUTED_VALUE"""),"Freedom of Expression, Human Rights Defenders")</f>
        <v>Freedom of Expression, Human Rights Defenders</v>
      </c>
      <c r="H749" s="1" t="str">
        <f ca="1">IFERROR(__xludf.DUMMYFUNCTION("""COMPUTED_VALUE"""),"2025")</f>
        <v>2025</v>
      </c>
      <c r="I749" s="1" t="str">
        <f ca="1">IFERROR(__xludf.DUMMYFUNCTION("""COMPUTED_VALUE"""),"Email")</f>
        <v>Email</v>
      </c>
    </row>
    <row r="750" spans="1:9" ht="13" x14ac:dyDescent="0.15">
      <c r="A750" s="9">
        <f ca="1">IFERROR(__xludf.DUMMYFUNCTION("""COMPUTED_VALUE"""),31703207)</f>
        <v>31703207</v>
      </c>
      <c r="B750" s="1" t="str">
        <f ca="1">IFERROR(__xludf.DUMMYFUNCTION("""COMPUTED_VALUE"""),"kagetsu26@yahoo.com")</f>
        <v>kagetsu26@yahoo.com</v>
      </c>
      <c r="C750" s="9" t="str">
        <f ca="1">IFERROR(__xludf.DUMMYFUNCTION("""COMPUTED_VALUE"""),"EVERGREEN - UAN Gated Content - Embedded Petition")</f>
        <v>EVERGREEN - UAN Gated Content - Embedded Petition</v>
      </c>
      <c r="D750" s="10">
        <f ca="1">IFERROR(__xludf.DUMMYFUNCTION("""COMPUTED_VALUE"""),45680)</f>
        <v>45680</v>
      </c>
      <c r="E750" s="1" t="str">
        <f ca="1">IFERROR(__xludf.DUMMYFUNCTION("""COMPUTED_VALUE"""),"China")</f>
        <v>China</v>
      </c>
      <c r="F750" s="1" t="str">
        <f ca="1">IFERROR(__xludf.DUMMYFUNCTION("""COMPUTED_VALUE"""),"98.24 China")</f>
        <v>98.24 China</v>
      </c>
      <c r="G750" s="1" t="str">
        <f ca="1">IFERROR(__xludf.DUMMYFUNCTION("""COMPUTED_VALUE"""),"Freedom of Expression, Individuals At Risk")</f>
        <v>Freedom of Expression, Individuals At Risk</v>
      </c>
      <c r="H750" s="1" t="str">
        <f ca="1">IFERROR(__xludf.DUMMYFUNCTION("""COMPUTED_VALUE"""),"2024")</f>
        <v>2024</v>
      </c>
      <c r="I750" s="1" t="str">
        <f ca="1">IFERROR(__xludf.DUMMYFUNCTION("""COMPUTED_VALUE"""),"Letter")</f>
        <v>Letter</v>
      </c>
    </row>
    <row r="751" spans="1:9" ht="13" x14ac:dyDescent="0.15">
      <c r="A751" s="9">
        <f ca="1">IFERROR(__xludf.DUMMYFUNCTION("""COMPUTED_VALUE"""),31703207)</f>
        <v>31703207</v>
      </c>
      <c r="B751" s="1" t="str">
        <f ca="1">IFERROR(__xludf.DUMMYFUNCTION("""COMPUTED_VALUE"""),"kagetsu26@yahoo.com")</f>
        <v>kagetsu26@yahoo.com</v>
      </c>
      <c r="C751" s="9" t="str">
        <f ca="1">IFERROR(__xludf.DUMMYFUNCTION("""COMPUTED_VALUE"""),"EVERGREEN - UAN Gated Content - Embedded Petition")</f>
        <v>EVERGREEN - UAN Gated Content - Embedded Petition</v>
      </c>
      <c r="D751" s="10">
        <f ca="1">IFERROR(__xludf.DUMMYFUNCTION("""COMPUTED_VALUE"""),45680)</f>
        <v>45680</v>
      </c>
      <c r="E751" s="1" t="str">
        <f ca="1">IFERROR(__xludf.DUMMYFUNCTION("""COMPUTED_VALUE"""),"China")</f>
        <v>China</v>
      </c>
      <c r="F751" s="1" t="str">
        <f ca="1">IFERROR(__xludf.DUMMYFUNCTION("""COMPUTED_VALUE"""),"98.24 China")</f>
        <v>98.24 China</v>
      </c>
      <c r="G751" s="1" t="str">
        <f ca="1">IFERROR(__xludf.DUMMYFUNCTION("""COMPUTED_VALUE"""),"Freedom of Expression, Individuals At Risk")</f>
        <v>Freedom of Expression, Individuals At Risk</v>
      </c>
      <c r="H751" s="1" t="str">
        <f ca="1">IFERROR(__xludf.DUMMYFUNCTION("""COMPUTED_VALUE"""),"2024")</f>
        <v>2024</v>
      </c>
      <c r="I751" s="1" t="str">
        <f ca="1">IFERROR(__xludf.DUMMYFUNCTION("""COMPUTED_VALUE"""),"Letter")</f>
        <v>Letter</v>
      </c>
    </row>
    <row r="752" spans="1:9" ht="13" x14ac:dyDescent="0.15">
      <c r="A752" s="9">
        <f ca="1">IFERROR(__xludf.DUMMYFUNCTION("""COMPUTED_VALUE"""),31703207)</f>
        <v>31703207</v>
      </c>
      <c r="B752" s="1" t="str">
        <f ca="1">IFERROR(__xludf.DUMMYFUNCTION("""COMPUTED_VALUE"""),"kagetsu26@yahoo.com")</f>
        <v>kagetsu26@yahoo.com</v>
      </c>
      <c r="C752" s="9" t="str">
        <f ca="1">IFERROR(__xludf.DUMMYFUNCTION("""COMPUTED_VALUE"""),"EVERGREEN - UAN Gated Content - Embedded Petition")</f>
        <v>EVERGREEN - UAN Gated Content - Embedded Petition</v>
      </c>
      <c r="D752" s="10">
        <f ca="1">IFERROR(__xludf.DUMMYFUNCTION("""COMPUTED_VALUE"""),45680)</f>
        <v>45680</v>
      </c>
      <c r="E752" s="1" t="str">
        <f ca="1">IFERROR(__xludf.DUMMYFUNCTION("""COMPUTED_VALUE"""),"Dominican Republic")</f>
        <v>Dominican Republic</v>
      </c>
      <c r="F752" s="1" t="str">
        <f ca="1">IFERROR(__xludf.DUMMYFUNCTION("""COMPUTED_VALUE"""),"88.24 Dominican Republic")</f>
        <v>88.24 Dominican Republic</v>
      </c>
      <c r="G752" s="1" t="str">
        <f ca="1">IFERROR(__xludf.DUMMYFUNCTION("""COMPUTED_VALUE"""),"Individuals At Risk, Refugee and Migrant Rights")</f>
        <v>Individuals At Risk, Refugee and Migrant Rights</v>
      </c>
      <c r="H752" s="1" t="str">
        <f ca="1">IFERROR(__xludf.DUMMYFUNCTION("""COMPUTED_VALUE"""),"2024")</f>
        <v>2024</v>
      </c>
      <c r="I752" s="1" t="str">
        <f ca="1">IFERROR(__xludf.DUMMYFUNCTION("""COMPUTED_VALUE"""),"Letter")</f>
        <v>Letter</v>
      </c>
    </row>
    <row r="753" spans="1:9" ht="13" x14ac:dyDescent="0.15">
      <c r="A753" s="9">
        <f ca="1">IFERROR(__xludf.DUMMYFUNCTION("""COMPUTED_VALUE"""),31705400)</f>
        <v>31705400</v>
      </c>
      <c r="B753" s="1" t="str">
        <f ca="1">IFERROR(__xludf.DUMMYFUNCTION("""COMPUTED_VALUE"""),"jwelan@gmail.com")</f>
        <v>jwelan@gmail.com</v>
      </c>
      <c r="C753" s="9" t="str">
        <f ca="1">IFERROR(__xludf.DUMMYFUNCTION("""COMPUTED_VALUE"""),"EVERGREEN - UAN Gated Content - Embedded Petition")</f>
        <v>EVERGREEN - UAN Gated Content - Embedded Petition</v>
      </c>
      <c r="D753" s="10">
        <f ca="1">IFERROR(__xludf.DUMMYFUNCTION("""COMPUTED_VALUE"""),45651)</f>
        <v>45651</v>
      </c>
      <c r="E753" s="1" t="str">
        <f ca="1">IFERROR(__xludf.DUMMYFUNCTION("""COMPUTED_VALUE"""),"Niger")</f>
        <v>Niger</v>
      </c>
      <c r="F753" s="1" t="str">
        <f ca="1">IFERROR(__xludf.DUMMYFUNCTION("""COMPUTED_VALUE"""),"103.24 Niger")</f>
        <v>103.24 Niger</v>
      </c>
      <c r="G753" s="1" t="str">
        <f ca="1">IFERROR(__xludf.DUMMYFUNCTION("""COMPUTED_VALUE"""),"Freedom of Expression, Human Rights Defenders")</f>
        <v>Freedom of Expression, Human Rights Defenders</v>
      </c>
      <c r="H753" s="1" t="str">
        <f ca="1">IFERROR(__xludf.DUMMYFUNCTION("""COMPUTED_VALUE"""),"2024")</f>
        <v>2024</v>
      </c>
      <c r="I753" s="1" t="str">
        <f ca="1">IFERROR(__xludf.DUMMYFUNCTION("""COMPUTED_VALUE"""),"Email")</f>
        <v>Email</v>
      </c>
    </row>
    <row r="754" spans="1:9" ht="13" x14ac:dyDescent="0.15">
      <c r="A754" s="9">
        <f ca="1">IFERROR(__xludf.DUMMYFUNCTION("""COMPUTED_VALUE"""),31705400)</f>
        <v>31705400</v>
      </c>
      <c r="B754" s="1" t="str">
        <f ca="1">IFERROR(__xludf.DUMMYFUNCTION("""COMPUTED_VALUE"""),"jwelan@gmail.com")</f>
        <v>jwelan@gmail.com</v>
      </c>
      <c r="C754" s="9" t="str">
        <f ca="1">IFERROR(__xludf.DUMMYFUNCTION("""COMPUTED_VALUE"""),"EVERGREEN - UAN Gated Content - Embedded Petition")</f>
        <v>EVERGREEN - UAN Gated Content - Embedded Petition</v>
      </c>
      <c r="D754" s="10">
        <f ca="1">IFERROR(__xludf.DUMMYFUNCTION("""COMPUTED_VALUE"""),45677)</f>
        <v>45677</v>
      </c>
      <c r="E754" s="1" t="str">
        <f ca="1">IFERROR(__xludf.DUMMYFUNCTION("""COMPUTED_VALUE"""),"China")</f>
        <v>China</v>
      </c>
      <c r="F754" s="1" t="str">
        <f ca="1">IFERROR(__xludf.DUMMYFUNCTION("""COMPUTED_VALUE"""),"106.24 China")</f>
        <v>106.24 China</v>
      </c>
      <c r="G754" s="1" t="str">
        <f ca="1">IFERROR(__xludf.DUMMYFUNCTION("""COMPUTED_VALUE"""),"Freedom of Expression, Individuals At Risk")</f>
        <v>Freedom of Expression, Individuals At Risk</v>
      </c>
      <c r="H754" s="1" t="str">
        <f ca="1">IFERROR(__xludf.DUMMYFUNCTION("""COMPUTED_VALUE"""),"2024")</f>
        <v>2024</v>
      </c>
      <c r="I754" s="1" t="str">
        <f ca="1">IFERROR(__xludf.DUMMYFUNCTION("""COMPUTED_VALUE"""),"Email")</f>
        <v>Email</v>
      </c>
    </row>
    <row r="755" spans="1:9" ht="13" x14ac:dyDescent="0.15">
      <c r="A755" s="9">
        <f ca="1">IFERROR(__xludf.DUMMYFUNCTION("""COMPUTED_VALUE"""),31705625)</f>
        <v>31705625</v>
      </c>
      <c r="B755" s="1" t="str">
        <f ca="1">IFERROR(__xludf.DUMMYFUNCTION("""COMPUTED_VALUE"""),"tierrabodhi@gmail.com")</f>
        <v>tierrabodhi@gmail.com</v>
      </c>
      <c r="C755" s="9" t="str">
        <f ca="1">IFERROR(__xludf.DUMMYFUNCTION("""COMPUTED_VALUE"""),"EVERGREEN - UAN Gated Content - Embedded Petition")</f>
        <v>EVERGREEN - UAN Gated Content - Embedded Petition</v>
      </c>
      <c r="D755" s="10">
        <f ca="1">IFERROR(__xludf.DUMMYFUNCTION("""COMPUTED_VALUE"""),45694)</f>
        <v>45694</v>
      </c>
      <c r="E755" s="1" t="str">
        <f ca="1">IFERROR(__xludf.DUMMYFUNCTION("""COMPUTED_VALUE"""),"Azerbaijan")</f>
        <v>Azerbaijan</v>
      </c>
      <c r="F755" s="1" t="str">
        <f ca="1">IFERROR(__xludf.DUMMYFUNCTION("""COMPUTED_VALUE"""),"2.25 Azerbaijan")</f>
        <v>2.25 Azerbaijan</v>
      </c>
      <c r="G755" s="1" t="str">
        <f ca="1">IFERROR(__xludf.DUMMYFUNCTION("""COMPUTED_VALUE"""),"Freedom of Expression, Human Rights Defenders")</f>
        <v>Freedom of Expression, Human Rights Defenders</v>
      </c>
      <c r="H755" s="1" t="str">
        <f ca="1">IFERROR(__xludf.DUMMYFUNCTION("""COMPUTED_VALUE"""),"2025")</f>
        <v>2025</v>
      </c>
      <c r="I755" s="1" t="str">
        <f ca="1">IFERROR(__xludf.DUMMYFUNCTION("""COMPUTED_VALUE"""),"Email")</f>
        <v>Email</v>
      </c>
    </row>
    <row r="756" spans="1:9" ht="13" x14ac:dyDescent="0.15">
      <c r="A756" s="9">
        <f ca="1">IFERROR(__xludf.DUMMYFUNCTION("""COMPUTED_VALUE"""),31705625)</f>
        <v>31705625</v>
      </c>
      <c r="B756" s="1" t="str">
        <f ca="1">IFERROR(__xludf.DUMMYFUNCTION("""COMPUTED_VALUE"""),"tierrabodhi@gmail.com")</f>
        <v>tierrabodhi@gmail.com</v>
      </c>
      <c r="C756" s="9" t="str">
        <f ca="1">IFERROR(__xludf.DUMMYFUNCTION("""COMPUTED_VALUE"""),"EVERGREEN - UAN Gated Content - Embedded Petition")</f>
        <v>EVERGREEN - UAN Gated Content - Embedded Petition</v>
      </c>
      <c r="D756" s="10">
        <f ca="1">IFERROR(__xludf.DUMMYFUNCTION("""COMPUTED_VALUE"""),45674)</f>
        <v>45674</v>
      </c>
      <c r="E756" s="1" t="str">
        <f ca="1">IFERROR(__xludf.DUMMYFUNCTION("""COMPUTED_VALUE"""),"Russian Federation")</f>
        <v>Russian Federation</v>
      </c>
      <c r="F756" s="1" t="str">
        <f ca="1">IFERROR(__xludf.DUMMYFUNCTION("""COMPUTED_VALUE"""),"102.24 Russia")</f>
        <v>102.24 Russia</v>
      </c>
      <c r="G756" s="1" t="str">
        <f ca="1">IFERROR(__xludf.DUMMYFUNCTION("""COMPUTED_VALUE"""),"Freedom of Expression, Individuals At Risk, Right to Protest")</f>
        <v>Freedom of Expression, Individuals At Risk, Right to Protest</v>
      </c>
      <c r="H756" s="1" t="str">
        <f ca="1">IFERROR(__xludf.DUMMYFUNCTION("""COMPUTED_VALUE"""),"2024")</f>
        <v>2024</v>
      </c>
      <c r="I756" s="1" t="str">
        <f ca="1">IFERROR(__xludf.DUMMYFUNCTION("""COMPUTED_VALUE"""),"Email")</f>
        <v>Email</v>
      </c>
    </row>
    <row r="757" spans="1:9" ht="13" x14ac:dyDescent="0.15">
      <c r="A757" s="9">
        <f ca="1">IFERROR(__xludf.DUMMYFUNCTION("""COMPUTED_VALUE"""),31707012)</f>
        <v>31707012</v>
      </c>
      <c r="B757" s="1" t="str">
        <f ca="1">IFERROR(__xludf.DUMMYFUNCTION("""COMPUTED_VALUE"""),"citizenkahn@gmail.com")</f>
        <v>citizenkahn@gmail.com</v>
      </c>
      <c r="C757" s="9" t="str">
        <f ca="1">IFERROR(__xludf.DUMMYFUNCTION("""COMPUTED_VALUE"""),"EVERGREEN - UAN Gated Content - Embedded Petition")</f>
        <v>EVERGREEN - UAN Gated Content - Embedded Petition</v>
      </c>
      <c r="D757" s="10">
        <f ca="1">IFERROR(__xludf.DUMMYFUNCTION("""COMPUTED_VALUE"""),45694)</f>
        <v>45694</v>
      </c>
      <c r="E757" s="1" t="str">
        <f ca="1">IFERROR(__xludf.DUMMYFUNCTION("""COMPUTED_VALUE"""),"Uganda")</f>
        <v>Uganda</v>
      </c>
      <c r="F757" s="1" t="str">
        <f ca="1">IFERROR(__xludf.DUMMYFUNCTION("""COMPUTED_VALUE"""),"100.24 Uganda")</f>
        <v>100.24 Uganda</v>
      </c>
      <c r="G757" s="1" t="str">
        <f ca="1">IFERROR(__xludf.DUMMYFUNCTION("""COMPUTED_VALUE"""),"Freedom of Expression")</f>
        <v>Freedom of Expression</v>
      </c>
      <c r="H757" s="1" t="str">
        <f ca="1">IFERROR(__xludf.DUMMYFUNCTION("""COMPUTED_VALUE"""),"2024")</f>
        <v>2024</v>
      </c>
      <c r="I757" s="1" t="str">
        <f ca="1">IFERROR(__xludf.DUMMYFUNCTION("""COMPUTED_VALUE"""),"Email")</f>
        <v>Email</v>
      </c>
    </row>
    <row r="758" spans="1:9" ht="13" x14ac:dyDescent="0.15">
      <c r="A758" s="9">
        <f ca="1">IFERROR(__xludf.DUMMYFUNCTION("""COMPUTED_VALUE"""),31707062)</f>
        <v>31707062</v>
      </c>
      <c r="B758" s="1" t="str">
        <f ca="1">IFERROR(__xludf.DUMMYFUNCTION("""COMPUTED_VALUE"""),"masheahan@aol.com")</f>
        <v>masheahan@aol.com</v>
      </c>
      <c r="C758" s="9" t="str">
        <f ca="1">IFERROR(__xludf.DUMMYFUNCTION("""COMPUTED_VALUE"""),"EVERGREEN - UAN Gated Content - Embedded Petition")</f>
        <v>EVERGREEN - UAN Gated Content - Embedded Petition</v>
      </c>
      <c r="D758" s="10">
        <f ca="1">IFERROR(__xludf.DUMMYFUNCTION("""COMPUTED_VALUE"""),45703)</f>
        <v>45703</v>
      </c>
      <c r="E758" s="1" t="str">
        <f ca="1">IFERROR(__xludf.DUMMYFUNCTION("""COMPUTED_VALUE"""),"Venezuela")</f>
        <v>Venezuela</v>
      </c>
      <c r="F758" s="1" t="str">
        <f ca="1">IFERROR(__xludf.DUMMYFUNCTION("""COMPUTED_VALUE"""),"1.25 Venezuela")</f>
        <v>1.25 Venezuela</v>
      </c>
      <c r="G758" s="1" t="str">
        <f ca="1">IFERROR(__xludf.DUMMYFUNCTION("""COMPUTED_VALUE"""),"Human Rights Defenders, Individuals At Risk")</f>
        <v>Human Rights Defenders, Individuals At Risk</v>
      </c>
      <c r="H758" s="1" t="str">
        <f ca="1">IFERROR(__xludf.DUMMYFUNCTION("""COMPUTED_VALUE"""),"2025")</f>
        <v>2025</v>
      </c>
      <c r="I758" s="1" t="str">
        <f ca="1">IFERROR(__xludf.DUMMYFUNCTION("""COMPUTED_VALUE"""),"Letter")</f>
        <v>Letter</v>
      </c>
    </row>
    <row r="759" spans="1:9" ht="13" x14ac:dyDescent="0.15">
      <c r="A759" s="9">
        <f ca="1">IFERROR(__xludf.DUMMYFUNCTION("""COMPUTED_VALUE"""),31717045)</f>
        <v>31717045</v>
      </c>
      <c r="B759" s="1" t="str">
        <f ca="1">IFERROR(__xludf.DUMMYFUNCTION("""COMPUTED_VALUE"""),"specialkvh@verizon.net")</f>
        <v>specialkvh@verizon.net</v>
      </c>
      <c r="C759" s="9" t="str">
        <f ca="1">IFERROR(__xludf.DUMMYFUNCTION("""COMPUTED_VALUE"""),"EVERGREEN - UAN Gated Content - Embedded Petition")</f>
        <v>EVERGREEN - UAN Gated Content - Embedded Petition</v>
      </c>
      <c r="D759" s="10">
        <f ca="1">IFERROR(__xludf.DUMMYFUNCTION("""COMPUTED_VALUE"""),45676)</f>
        <v>45676</v>
      </c>
      <c r="E759" s="1" t="str">
        <f ca="1">IFERROR(__xludf.DUMMYFUNCTION("""COMPUTED_VALUE"""),"Niger")</f>
        <v>Niger</v>
      </c>
      <c r="F759" s="1" t="str">
        <f ca="1">IFERROR(__xludf.DUMMYFUNCTION("""COMPUTED_VALUE"""),"103.24 Niger")</f>
        <v>103.24 Niger</v>
      </c>
      <c r="G759" s="1" t="str">
        <f ca="1">IFERROR(__xludf.DUMMYFUNCTION("""COMPUTED_VALUE"""),"Freedom of Expression, Human Rights Defenders")</f>
        <v>Freedom of Expression, Human Rights Defenders</v>
      </c>
      <c r="H759" s="1" t="str">
        <f ca="1">IFERROR(__xludf.DUMMYFUNCTION("""COMPUTED_VALUE"""),"2024")</f>
        <v>2024</v>
      </c>
      <c r="I759" s="1" t="str">
        <f ca="1">IFERROR(__xludf.DUMMYFUNCTION("""COMPUTED_VALUE"""),"Email")</f>
        <v>Email</v>
      </c>
    </row>
    <row r="760" spans="1:9" ht="13" x14ac:dyDescent="0.15">
      <c r="A760" s="9">
        <f ca="1">IFERROR(__xludf.DUMMYFUNCTION("""COMPUTED_VALUE"""),31720199)</f>
        <v>31720199</v>
      </c>
      <c r="B760" s="1" t="str">
        <f ca="1">IFERROR(__xludf.DUMMYFUNCTION("""COMPUTED_VALUE"""),"ewb2@cornell.edu")</f>
        <v>ewb2@cornell.edu</v>
      </c>
      <c r="C760" s="9" t="str">
        <f ca="1">IFERROR(__xludf.DUMMYFUNCTION("""COMPUTED_VALUE"""),"EVERGREEN - UAN Gated Content - Embedded Petition")</f>
        <v>EVERGREEN - UAN Gated Content - Embedded Petition</v>
      </c>
      <c r="D760" s="10">
        <f ca="1">IFERROR(__xludf.DUMMYFUNCTION("""COMPUTED_VALUE"""),45614)</f>
        <v>45614</v>
      </c>
      <c r="E760" s="1" t="str">
        <f ca="1">IFERROR(__xludf.DUMMYFUNCTION("""COMPUTED_VALUE"""),"Iran")</f>
        <v>Iran</v>
      </c>
      <c r="F760" s="1" t="str">
        <f ca="1">IFERROR(__xludf.DUMMYFUNCTION("""COMPUTED_VALUE"""),"Seventh 103.22 Iran")</f>
        <v>Seventh 103.22 Iran</v>
      </c>
      <c r="G760" s="1" t="str">
        <f ca="1">IFERROR(__xludf.DUMMYFUNCTION("""COMPUTED_VALUE"""),"Death Penalty, Freedom of Expression, Individuals At Risk")</f>
        <v>Death Penalty, Freedom of Expression, Individuals At Risk</v>
      </c>
      <c r="H760" s="1" t="str">
        <f ca="1">IFERROR(__xludf.DUMMYFUNCTION("""COMPUTED_VALUE"""),"2024")</f>
        <v>2024</v>
      </c>
      <c r="I760" s="1" t="str">
        <f ca="1">IFERROR(__xludf.DUMMYFUNCTION("""COMPUTED_VALUE"""),"Email")</f>
        <v>Email</v>
      </c>
    </row>
    <row r="761" spans="1:9" ht="13" x14ac:dyDescent="0.15">
      <c r="A761" s="9">
        <f ca="1">IFERROR(__xludf.DUMMYFUNCTION("""COMPUTED_VALUE"""),31720199)</f>
        <v>31720199</v>
      </c>
      <c r="B761" s="1" t="str">
        <f ca="1">IFERROR(__xludf.DUMMYFUNCTION("""COMPUTED_VALUE"""),"ewb2@cornell.edu")</f>
        <v>ewb2@cornell.edu</v>
      </c>
      <c r="C761" s="9" t="str">
        <f ca="1">IFERROR(__xludf.DUMMYFUNCTION("""COMPUTED_VALUE"""),"EVERGREEN - UAN Gated Content - Embedded Petition")</f>
        <v>EVERGREEN - UAN Gated Content - Embedded Petition</v>
      </c>
      <c r="D761" s="10">
        <f ca="1">IFERROR(__xludf.DUMMYFUNCTION("""COMPUTED_VALUE"""),45619)</f>
        <v>45619</v>
      </c>
      <c r="E761" s="1" t="str">
        <f ca="1">IFERROR(__xludf.DUMMYFUNCTION("""COMPUTED_VALUE"""),"Venezuela")</f>
        <v>Venezuela</v>
      </c>
      <c r="F761" s="1" t="str">
        <f ca="1">IFERROR(__xludf.DUMMYFUNCTION("""COMPUTED_VALUE"""),"97.24 Venezuela")</f>
        <v>97.24 Venezuela</v>
      </c>
      <c r="G761" s="1" t="str">
        <f ca="1">IFERROR(__xludf.DUMMYFUNCTION("""COMPUTED_VALUE"""),"Freedom of Expression")</f>
        <v>Freedom of Expression</v>
      </c>
      <c r="H761" s="1" t="str">
        <f ca="1">IFERROR(__xludf.DUMMYFUNCTION("""COMPUTED_VALUE"""),"2024")</f>
        <v>2024</v>
      </c>
      <c r="I761" s="1" t="str">
        <f ca="1">IFERROR(__xludf.DUMMYFUNCTION("""COMPUTED_VALUE"""),"Letter")</f>
        <v>Letter</v>
      </c>
    </row>
    <row r="762" spans="1:9" ht="13" x14ac:dyDescent="0.15">
      <c r="A762" s="9">
        <f ca="1">IFERROR(__xludf.DUMMYFUNCTION("""COMPUTED_VALUE"""),31720199)</f>
        <v>31720199</v>
      </c>
      <c r="B762" s="1" t="str">
        <f ca="1">IFERROR(__xludf.DUMMYFUNCTION("""COMPUTED_VALUE"""),"ewb2@cornell.edu")</f>
        <v>ewb2@cornell.edu</v>
      </c>
      <c r="C762" s="9" t="str">
        <f ca="1">IFERROR(__xludf.DUMMYFUNCTION("""COMPUTED_VALUE"""),"EVERGREEN - UAN Gated Content - Embedded Petition")</f>
        <v>EVERGREEN - UAN Gated Content - Embedded Petition</v>
      </c>
      <c r="D762" s="10">
        <f ca="1">IFERROR(__xludf.DUMMYFUNCTION("""COMPUTED_VALUE"""),45706)</f>
        <v>45706</v>
      </c>
      <c r="E762" s="1" t="str">
        <f ca="1">IFERROR(__xludf.DUMMYFUNCTION("""COMPUTED_VALUE"""),"Mexico")</f>
        <v>Mexico</v>
      </c>
      <c r="F762" s="1" t="str">
        <f ca="1">IFERROR(__xludf.DUMMYFUNCTION("""COMPUTED_VALUE"""),"92.24 Mexico")</f>
        <v>92.24 Mexico</v>
      </c>
      <c r="G762" s="1" t="str">
        <f ca="1">IFERROR(__xludf.DUMMYFUNCTION("""COMPUTED_VALUE"""),"Human Rights Defenders")</f>
        <v>Human Rights Defenders</v>
      </c>
      <c r="H762" s="1" t="str">
        <f ca="1">IFERROR(__xludf.DUMMYFUNCTION("""COMPUTED_VALUE"""),"2024")</f>
        <v>2024</v>
      </c>
      <c r="I762" s="1" t="str">
        <f ca="1">IFERROR(__xludf.DUMMYFUNCTION("""COMPUTED_VALUE"""),"Email")</f>
        <v>Email</v>
      </c>
    </row>
    <row r="763" spans="1:9" ht="13" x14ac:dyDescent="0.15">
      <c r="A763" s="9">
        <f ca="1">IFERROR(__xludf.DUMMYFUNCTION("""COMPUTED_VALUE"""),31720199)</f>
        <v>31720199</v>
      </c>
      <c r="B763" s="1" t="str">
        <f ca="1">IFERROR(__xludf.DUMMYFUNCTION("""COMPUTED_VALUE"""),"ewb2@cornell.edu")</f>
        <v>ewb2@cornell.edu</v>
      </c>
      <c r="C763" s="9" t="str">
        <f ca="1">IFERROR(__xludf.DUMMYFUNCTION("""COMPUTED_VALUE"""),"EVERGREEN - UAN Gated Content - Embedded Petition")</f>
        <v>EVERGREEN - UAN Gated Content - Embedded Petition</v>
      </c>
      <c r="D763" s="10">
        <f ca="1">IFERROR(__xludf.DUMMYFUNCTION("""COMPUTED_VALUE"""),45706)</f>
        <v>45706</v>
      </c>
      <c r="E763" s="1" t="str">
        <f ca="1">IFERROR(__xludf.DUMMYFUNCTION("""COMPUTED_VALUE"""),"Dominican Republic")</f>
        <v>Dominican Republic</v>
      </c>
      <c r="F763" s="1" t="str">
        <f ca="1">IFERROR(__xludf.DUMMYFUNCTION("""COMPUTED_VALUE"""),"88.24 Dominican Republic")</f>
        <v>88.24 Dominican Republic</v>
      </c>
      <c r="G763" s="1" t="str">
        <f ca="1">IFERROR(__xludf.DUMMYFUNCTION("""COMPUTED_VALUE"""),"Individuals At Risk, Refugee and Migrant Rights")</f>
        <v>Individuals At Risk, Refugee and Migrant Rights</v>
      </c>
      <c r="H763" s="1" t="str">
        <f ca="1">IFERROR(__xludf.DUMMYFUNCTION("""COMPUTED_VALUE"""),"2024")</f>
        <v>2024</v>
      </c>
      <c r="I763" s="1" t="str">
        <f ca="1">IFERROR(__xludf.DUMMYFUNCTION("""COMPUTED_VALUE"""),"Letter")</f>
        <v>Letter</v>
      </c>
    </row>
    <row r="764" spans="1:9" ht="13" x14ac:dyDescent="0.15">
      <c r="A764" s="9">
        <f ca="1">IFERROR(__xludf.DUMMYFUNCTION("""COMPUTED_VALUE"""),31720199)</f>
        <v>31720199</v>
      </c>
      <c r="B764" s="1" t="str">
        <f ca="1">IFERROR(__xludf.DUMMYFUNCTION("""COMPUTED_VALUE"""),"ewb2@cornell.edu")</f>
        <v>ewb2@cornell.edu</v>
      </c>
      <c r="C764" s="9" t="str">
        <f ca="1">IFERROR(__xludf.DUMMYFUNCTION("""COMPUTED_VALUE"""),"EVERGREEN - UAN Gated Content - Embedded Petition")</f>
        <v>EVERGREEN - UAN Gated Content - Embedded Petition</v>
      </c>
      <c r="D764" s="10">
        <f ca="1">IFERROR(__xludf.DUMMYFUNCTION("""COMPUTED_VALUE"""),45706)</f>
        <v>45706</v>
      </c>
      <c r="E764" s="1" t="str">
        <f ca="1">IFERROR(__xludf.DUMMYFUNCTION("""COMPUTED_VALUE"""),"USA")</f>
        <v>USA</v>
      </c>
      <c r="F764" s="1" t="str">
        <f ca="1">IFERROR(__xludf.DUMMYFUNCTION("""COMPUTED_VALUE"""),"105.24 USA")</f>
        <v>105.24 USA</v>
      </c>
      <c r="G764" s="1" t="str">
        <f ca="1">IFERROR(__xludf.DUMMYFUNCTION("""COMPUTED_VALUE"""),"Death Penalty")</f>
        <v>Death Penalty</v>
      </c>
      <c r="H764" s="1" t="str">
        <f ca="1">IFERROR(__xludf.DUMMYFUNCTION("""COMPUTED_VALUE"""),"2024")</f>
        <v>2024</v>
      </c>
      <c r="I764" s="1" t="str">
        <f ca="1">IFERROR(__xludf.DUMMYFUNCTION("""COMPUTED_VALUE"""),"Email")</f>
        <v>Email</v>
      </c>
    </row>
    <row r="765" spans="1:9" ht="13" x14ac:dyDescent="0.15">
      <c r="A765" s="9">
        <f ca="1">IFERROR(__xludf.DUMMYFUNCTION("""COMPUTED_VALUE"""),31720199)</f>
        <v>31720199</v>
      </c>
      <c r="B765" s="1" t="str">
        <f ca="1">IFERROR(__xludf.DUMMYFUNCTION("""COMPUTED_VALUE"""),"ewb2@cornell.edu")</f>
        <v>ewb2@cornell.edu</v>
      </c>
      <c r="C765" s="9" t="str">
        <f ca="1">IFERROR(__xludf.DUMMYFUNCTION("""COMPUTED_VALUE"""),"EVERGREEN - UAN Gated Content - Embedded Petition")</f>
        <v>EVERGREEN - UAN Gated Content - Embedded Petition</v>
      </c>
      <c r="D765" s="10">
        <f ca="1">IFERROR(__xludf.DUMMYFUNCTION("""COMPUTED_VALUE"""),45706)</f>
        <v>45706</v>
      </c>
      <c r="E765" s="1" t="str">
        <f ca="1">IFERROR(__xludf.DUMMYFUNCTION("""COMPUTED_VALUE"""),"Israel and Occupied Palestinian Territories")</f>
        <v>Israel and Occupied Palestinian Territories</v>
      </c>
      <c r="F765" s="1" t="str">
        <f ca="1">IFERROR(__xludf.DUMMYFUNCTION("""COMPUTED_VALUE"""),"3.25 IOPT")</f>
        <v>3.25 IOPT</v>
      </c>
      <c r="G765" s="1" t="str">
        <f ca="1">IFERROR(__xludf.DUMMYFUNCTION("""COMPUTED_VALUE"""),"Freedom of Expression, Individuals At Risk")</f>
        <v>Freedom of Expression, Individuals At Risk</v>
      </c>
      <c r="H765" s="1" t="str">
        <f ca="1">IFERROR(__xludf.DUMMYFUNCTION("""COMPUTED_VALUE"""),"2025")</f>
        <v>2025</v>
      </c>
      <c r="I765" s="1" t="str">
        <f ca="1">IFERROR(__xludf.DUMMYFUNCTION("""COMPUTED_VALUE"""),"Email")</f>
        <v>Email</v>
      </c>
    </row>
    <row r="766" spans="1:9" ht="13" x14ac:dyDescent="0.15">
      <c r="A766" s="9">
        <f ca="1">IFERROR(__xludf.DUMMYFUNCTION("""COMPUTED_VALUE"""),31720199)</f>
        <v>31720199</v>
      </c>
      <c r="B766" s="1" t="str">
        <f ca="1">IFERROR(__xludf.DUMMYFUNCTION("""COMPUTED_VALUE"""),"ewb2@cornell.edu")</f>
        <v>ewb2@cornell.edu</v>
      </c>
      <c r="C766" s="9" t="str">
        <f ca="1">IFERROR(__xludf.DUMMYFUNCTION("""COMPUTED_VALUE"""),"EVERGREEN - UAN Gated Content - Embedded Petition")</f>
        <v>EVERGREEN - UAN Gated Content - Embedded Petition</v>
      </c>
      <c r="D766" s="10">
        <f ca="1">IFERROR(__xludf.DUMMYFUNCTION("""COMPUTED_VALUE"""),45705)</f>
        <v>45705</v>
      </c>
      <c r="E766" s="1" t="str">
        <f ca="1">IFERROR(__xludf.DUMMYFUNCTION("""COMPUTED_VALUE"""),"Azerbaijan")</f>
        <v>Azerbaijan</v>
      </c>
      <c r="F766" s="1" t="str">
        <f ca="1">IFERROR(__xludf.DUMMYFUNCTION("""COMPUTED_VALUE"""),"2.25 Azerbaijan")</f>
        <v>2.25 Azerbaijan</v>
      </c>
      <c r="G766" s="1" t="str">
        <f ca="1">IFERROR(__xludf.DUMMYFUNCTION("""COMPUTED_VALUE"""),"Freedom of Expression, Human Rights Defenders")</f>
        <v>Freedom of Expression, Human Rights Defenders</v>
      </c>
      <c r="H766" s="1" t="str">
        <f ca="1">IFERROR(__xludf.DUMMYFUNCTION("""COMPUTED_VALUE"""),"2025")</f>
        <v>2025</v>
      </c>
      <c r="I766" s="1" t="str">
        <f ca="1">IFERROR(__xludf.DUMMYFUNCTION("""COMPUTED_VALUE"""),"Email")</f>
        <v>Email</v>
      </c>
    </row>
    <row r="767" spans="1:9" ht="13" x14ac:dyDescent="0.15">
      <c r="A767" s="9">
        <f ca="1">IFERROR(__xludf.DUMMYFUNCTION("""COMPUTED_VALUE"""),31720199)</f>
        <v>31720199</v>
      </c>
      <c r="B767" s="1" t="str">
        <f ca="1">IFERROR(__xludf.DUMMYFUNCTION("""COMPUTED_VALUE"""),"ewb2@cornell.edu")</f>
        <v>ewb2@cornell.edu</v>
      </c>
      <c r="C767" s="9" t="str">
        <f ca="1">IFERROR(__xludf.DUMMYFUNCTION("""COMPUTED_VALUE"""),"EVERGREEN - UAN Gated Content - Embedded Petition")</f>
        <v>EVERGREEN - UAN Gated Content - Embedded Petition</v>
      </c>
      <c r="D767" s="10">
        <f ca="1">IFERROR(__xludf.DUMMYFUNCTION("""COMPUTED_VALUE"""),45705)</f>
        <v>45705</v>
      </c>
      <c r="E767" s="1" t="str">
        <f ca="1">IFERROR(__xludf.DUMMYFUNCTION("""COMPUTED_VALUE"""),"USA")</f>
        <v>USA</v>
      </c>
      <c r="F767" s="1" t="str">
        <f ca="1">IFERROR(__xludf.DUMMYFUNCTION("""COMPUTED_VALUE"""),"96.24 USA")</f>
        <v>96.24 USA</v>
      </c>
      <c r="G767" s="1" t="str">
        <f ca="1">IFERROR(__xludf.DUMMYFUNCTION("""COMPUTED_VALUE"""),"Death Penalty")</f>
        <v>Death Penalty</v>
      </c>
      <c r="H767" s="1" t="str">
        <f ca="1">IFERROR(__xludf.DUMMYFUNCTION("""COMPUTED_VALUE"""),"2024")</f>
        <v>2024</v>
      </c>
      <c r="I767" s="1" t="str">
        <f ca="1">IFERROR(__xludf.DUMMYFUNCTION("""COMPUTED_VALUE"""),"Email")</f>
        <v>Email</v>
      </c>
    </row>
    <row r="768" spans="1:9" ht="13" x14ac:dyDescent="0.15">
      <c r="A768" s="9">
        <f ca="1">IFERROR(__xludf.DUMMYFUNCTION("""COMPUTED_VALUE"""),31720199)</f>
        <v>31720199</v>
      </c>
      <c r="B768" s="1" t="str">
        <f ca="1">IFERROR(__xludf.DUMMYFUNCTION("""COMPUTED_VALUE"""),"ewb2@cornell.edu")</f>
        <v>ewb2@cornell.edu</v>
      </c>
      <c r="C768" s="9" t="str">
        <f ca="1">IFERROR(__xludf.DUMMYFUNCTION("""COMPUTED_VALUE"""),"EVERGREEN - UAN Gated Content - Embedded Petition")</f>
        <v>EVERGREEN - UAN Gated Content - Embedded Petition</v>
      </c>
      <c r="D768" s="10">
        <f ca="1">IFERROR(__xludf.DUMMYFUNCTION("""COMPUTED_VALUE"""),45705)</f>
        <v>45705</v>
      </c>
      <c r="E768" s="1" t="str">
        <f ca="1">IFERROR(__xludf.DUMMYFUNCTION("""COMPUTED_VALUE"""),"Tunisia")</f>
        <v>Tunisia</v>
      </c>
      <c r="F768" s="1" t="str">
        <f ca="1">IFERROR(__xludf.DUMMYFUNCTION("""COMPUTED_VALUE"""),"Second 76.24 Tunisia")</f>
        <v>Second 76.24 Tunisia</v>
      </c>
      <c r="G768" s="1" t="str">
        <f ca="1">IFERROR(__xludf.DUMMYFUNCTION("""COMPUTED_VALUE"""),"Freedom of Expression, Human Rights Defenders")</f>
        <v>Freedom of Expression, Human Rights Defenders</v>
      </c>
      <c r="H768" s="1" t="str">
        <f ca="1">IFERROR(__xludf.DUMMYFUNCTION("""COMPUTED_VALUE"""),"2025")</f>
        <v>2025</v>
      </c>
      <c r="I768" s="1" t="str">
        <f ca="1">IFERROR(__xludf.DUMMYFUNCTION("""COMPUTED_VALUE"""),"Email")</f>
        <v>Email</v>
      </c>
    </row>
    <row r="769" spans="1:9" ht="13" x14ac:dyDescent="0.15">
      <c r="A769" s="9">
        <f ca="1">IFERROR(__xludf.DUMMYFUNCTION("""COMPUTED_VALUE"""),31720199)</f>
        <v>31720199</v>
      </c>
      <c r="B769" s="1" t="str">
        <f ca="1">IFERROR(__xludf.DUMMYFUNCTION("""COMPUTED_VALUE"""),"ewb2@cornell.edu")</f>
        <v>ewb2@cornell.edu</v>
      </c>
      <c r="C769" s="9" t="str">
        <f ca="1">IFERROR(__xludf.DUMMYFUNCTION("""COMPUTED_VALUE"""),"EVERGREEN - UAN Gated Content - Embedded Petition")</f>
        <v>EVERGREEN - UAN Gated Content - Embedded Petition</v>
      </c>
      <c r="D769" s="10">
        <f ca="1">IFERROR(__xludf.DUMMYFUNCTION("""COMPUTED_VALUE"""),45705)</f>
        <v>45705</v>
      </c>
      <c r="E769" s="1" t="str">
        <f ca="1">IFERROR(__xludf.DUMMYFUNCTION("""COMPUTED_VALUE"""),"Tunisia")</f>
        <v>Tunisia</v>
      </c>
      <c r="F769" s="1" t="str">
        <f ca="1">IFERROR(__xludf.DUMMYFUNCTION("""COMPUTED_VALUE"""),"Second 76.24 Tunisia")</f>
        <v>Second 76.24 Tunisia</v>
      </c>
      <c r="G769" s="1" t="str">
        <f ca="1">IFERROR(__xludf.DUMMYFUNCTION("""COMPUTED_VALUE"""),"Freedom of Expression, Human Rights Defenders")</f>
        <v>Freedom of Expression, Human Rights Defenders</v>
      </c>
      <c r="H769" s="1" t="str">
        <f ca="1">IFERROR(__xludf.DUMMYFUNCTION("""COMPUTED_VALUE"""),"2025")</f>
        <v>2025</v>
      </c>
      <c r="I769" s="1" t="str">
        <f ca="1">IFERROR(__xludf.DUMMYFUNCTION("""COMPUTED_VALUE"""),"Email")</f>
        <v>Email</v>
      </c>
    </row>
    <row r="770" spans="1:9" ht="13" x14ac:dyDescent="0.15">
      <c r="A770" s="9">
        <f ca="1">IFERROR(__xludf.DUMMYFUNCTION("""COMPUTED_VALUE"""),31720199)</f>
        <v>31720199</v>
      </c>
      <c r="B770" s="1" t="str">
        <f ca="1">IFERROR(__xludf.DUMMYFUNCTION("""COMPUTED_VALUE"""),"ewb2@cornell.edu")</f>
        <v>ewb2@cornell.edu</v>
      </c>
      <c r="C770" s="9" t="str">
        <f ca="1">IFERROR(__xludf.DUMMYFUNCTION("""COMPUTED_VALUE"""),"EVERGREEN - UAN Gated Content - Embedded Petition")</f>
        <v>EVERGREEN - UAN Gated Content - Embedded Petition</v>
      </c>
      <c r="D770" s="10">
        <f ca="1">IFERROR(__xludf.DUMMYFUNCTION("""COMPUTED_VALUE"""),45705)</f>
        <v>45705</v>
      </c>
      <c r="E770" s="1" t="str">
        <f ca="1">IFERROR(__xludf.DUMMYFUNCTION("""COMPUTED_VALUE"""),"Tunisia")</f>
        <v>Tunisia</v>
      </c>
      <c r="F770" s="1" t="str">
        <f ca="1">IFERROR(__xludf.DUMMYFUNCTION("""COMPUTED_VALUE"""),"Second 76.24 Tunisia")</f>
        <v>Second 76.24 Tunisia</v>
      </c>
      <c r="G770" s="1" t="str">
        <f ca="1">IFERROR(__xludf.DUMMYFUNCTION("""COMPUTED_VALUE"""),"Freedom of Expression, Human Rights Defenders")</f>
        <v>Freedom of Expression, Human Rights Defenders</v>
      </c>
      <c r="H770" s="1" t="str">
        <f ca="1">IFERROR(__xludf.DUMMYFUNCTION("""COMPUTED_VALUE"""),"2025")</f>
        <v>2025</v>
      </c>
      <c r="I770" s="1" t="str">
        <f ca="1">IFERROR(__xludf.DUMMYFUNCTION("""COMPUTED_VALUE"""),"Email")</f>
        <v>Email</v>
      </c>
    </row>
    <row r="771" spans="1:9" ht="13" x14ac:dyDescent="0.15">
      <c r="A771" s="9">
        <f ca="1">IFERROR(__xludf.DUMMYFUNCTION("""COMPUTED_VALUE"""),31720199)</f>
        <v>31720199</v>
      </c>
      <c r="B771" s="1" t="str">
        <f ca="1">IFERROR(__xludf.DUMMYFUNCTION("""COMPUTED_VALUE"""),"ewb2@cornell.edu")</f>
        <v>ewb2@cornell.edu</v>
      </c>
      <c r="C771" s="9" t="str">
        <f ca="1">IFERROR(__xludf.DUMMYFUNCTION("""COMPUTED_VALUE"""),"EVERGREEN - UAN Gated Content - Embedded Petition")</f>
        <v>EVERGREEN - UAN Gated Content - Embedded Petition</v>
      </c>
      <c r="D771" s="10">
        <f ca="1">IFERROR(__xludf.DUMMYFUNCTION("""COMPUTED_VALUE"""),45705)</f>
        <v>45705</v>
      </c>
      <c r="E771" s="1" t="str">
        <f ca="1">IFERROR(__xludf.DUMMYFUNCTION("""COMPUTED_VALUE"""),"Azerbaijan")</f>
        <v>Azerbaijan</v>
      </c>
      <c r="F771" s="1" t="str">
        <f ca="1">IFERROR(__xludf.DUMMYFUNCTION("""COMPUTED_VALUE"""),"2.25 Azerbaijan")</f>
        <v>2.25 Azerbaijan</v>
      </c>
      <c r="G771" s="1" t="str">
        <f ca="1">IFERROR(__xludf.DUMMYFUNCTION("""COMPUTED_VALUE"""),"Freedom of Expression, Human Rights Defenders")</f>
        <v>Freedom of Expression, Human Rights Defenders</v>
      </c>
      <c r="H771" s="1" t="str">
        <f ca="1">IFERROR(__xludf.DUMMYFUNCTION("""COMPUTED_VALUE"""),"2025")</f>
        <v>2025</v>
      </c>
      <c r="I771" s="1" t="str">
        <f ca="1">IFERROR(__xludf.DUMMYFUNCTION("""COMPUTED_VALUE"""),"Email")</f>
        <v>Email</v>
      </c>
    </row>
    <row r="772" spans="1:9" ht="13" x14ac:dyDescent="0.15">
      <c r="A772" s="9">
        <f ca="1">IFERROR(__xludf.DUMMYFUNCTION("""COMPUTED_VALUE"""),31720199)</f>
        <v>31720199</v>
      </c>
      <c r="B772" s="1" t="str">
        <f ca="1">IFERROR(__xludf.DUMMYFUNCTION("""COMPUTED_VALUE"""),"ewb2@cornell.edu")</f>
        <v>ewb2@cornell.edu</v>
      </c>
      <c r="C772" s="9" t="str">
        <f ca="1">IFERROR(__xludf.DUMMYFUNCTION("""COMPUTED_VALUE"""),"EVERGREEN - UAN Gated Content - Embedded Petition")</f>
        <v>EVERGREEN - UAN Gated Content - Embedded Petition</v>
      </c>
      <c r="D772" s="10">
        <f ca="1">IFERROR(__xludf.DUMMYFUNCTION("""COMPUTED_VALUE"""),45705)</f>
        <v>45705</v>
      </c>
      <c r="E772" s="1" t="str">
        <f ca="1">IFERROR(__xludf.DUMMYFUNCTION("""COMPUTED_VALUE"""),"Tunisia")</f>
        <v>Tunisia</v>
      </c>
      <c r="F772" s="1" t="str">
        <f ca="1">IFERROR(__xludf.DUMMYFUNCTION("""COMPUTED_VALUE"""),"Second 76.24 Tunisia")</f>
        <v>Second 76.24 Tunisia</v>
      </c>
      <c r="G772" s="1" t="str">
        <f ca="1">IFERROR(__xludf.DUMMYFUNCTION("""COMPUTED_VALUE"""),"Freedom of Expression, Human Rights Defenders")</f>
        <v>Freedom of Expression, Human Rights Defenders</v>
      </c>
      <c r="H772" s="1" t="str">
        <f ca="1">IFERROR(__xludf.DUMMYFUNCTION("""COMPUTED_VALUE"""),"2025")</f>
        <v>2025</v>
      </c>
      <c r="I772" s="1" t="str">
        <f ca="1">IFERROR(__xludf.DUMMYFUNCTION("""COMPUTED_VALUE"""),"Email")</f>
        <v>Email</v>
      </c>
    </row>
    <row r="773" spans="1:9" ht="13" x14ac:dyDescent="0.15">
      <c r="A773" s="9">
        <f ca="1">IFERROR(__xludf.DUMMYFUNCTION("""COMPUTED_VALUE"""),31720199)</f>
        <v>31720199</v>
      </c>
      <c r="B773" s="1" t="str">
        <f ca="1">IFERROR(__xludf.DUMMYFUNCTION("""COMPUTED_VALUE"""),"ewb2@cornell.edu")</f>
        <v>ewb2@cornell.edu</v>
      </c>
      <c r="C773" s="9" t="str">
        <f ca="1">IFERROR(__xludf.DUMMYFUNCTION("""COMPUTED_VALUE"""),"EVERGREEN - UAN Gated Content - Embedded Petition")</f>
        <v>EVERGREEN - UAN Gated Content - Embedded Petition</v>
      </c>
      <c r="D773" s="10">
        <f ca="1">IFERROR(__xludf.DUMMYFUNCTION("""COMPUTED_VALUE"""),45700)</f>
        <v>45700</v>
      </c>
      <c r="E773" s="1" t="str">
        <f ca="1">IFERROR(__xludf.DUMMYFUNCTION("""COMPUTED_VALUE"""),"Libya")</f>
        <v>Libya</v>
      </c>
      <c r="F773" s="1" t="str">
        <f ca="1">IFERROR(__xludf.DUMMYFUNCTION("""COMPUTED_VALUE"""),"12.25 Libya")</f>
        <v>12.25 Libya</v>
      </c>
      <c r="G773" s="1" t="str">
        <f ca="1">IFERROR(__xludf.DUMMYFUNCTION("""COMPUTED_VALUE"""),"Freedom of Expression, Health, Individuals At Risk")</f>
        <v>Freedom of Expression, Health, Individuals At Risk</v>
      </c>
      <c r="H773" s="1" t="str">
        <f ca="1">IFERROR(__xludf.DUMMYFUNCTION("""COMPUTED_VALUE"""),"2025")</f>
        <v>2025</v>
      </c>
      <c r="I773" s="1" t="str">
        <f ca="1">IFERROR(__xludf.DUMMYFUNCTION("""COMPUTED_VALUE"""),"Email")</f>
        <v>Email</v>
      </c>
    </row>
    <row r="774" spans="1:9" ht="13" x14ac:dyDescent="0.15">
      <c r="A774" s="9">
        <f ca="1">IFERROR(__xludf.DUMMYFUNCTION("""COMPUTED_VALUE"""),31720199)</f>
        <v>31720199</v>
      </c>
      <c r="B774" s="1" t="str">
        <f ca="1">IFERROR(__xludf.DUMMYFUNCTION("""COMPUTED_VALUE"""),"ewb2@cornell.edu")</f>
        <v>ewb2@cornell.edu</v>
      </c>
      <c r="C774" s="9" t="str">
        <f ca="1">IFERROR(__xludf.DUMMYFUNCTION("""COMPUTED_VALUE"""),"EVERGREEN - UAN Gated Content - Embedded Petition")</f>
        <v>EVERGREEN - UAN Gated Content - Embedded Petition</v>
      </c>
      <c r="D774" s="10">
        <f ca="1">IFERROR(__xludf.DUMMYFUNCTION("""COMPUTED_VALUE"""),45700)</f>
        <v>45700</v>
      </c>
      <c r="E774" s="1" t="str">
        <f ca="1">IFERROR(__xludf.DUMMYFUNCTION("""COMPUTED_VALUE"""),"Afghanistan")</f>
        <v>Afghanistan</v>
      </c>
      <c r="F774" s="1" t="str">
        <f ca="1">IFERROR(__xludf.DUMMYFUNCTION("""COMPUTED_VALUE"""),"11.25 Afghanistan")</f>
        <v>11.25 Afghanistan</v>
      </c>
      <c r="G774" s="1" t="str">
        <f ca="1">IFERROR(__xludf.DUMMYFUNCTION("""COMPUTED_VALUE"""),"Freedom of Expression, Health, Individuals At Risk")</f>
        <v>Freedom of Expression, Health, Individuals At Risk</v>
      </c>
      <c r="H774" s="1" t="str">
        <f ca="1">IFERROR(__xludf.DUMMYFUNCTION("""COMPUTED_VALUE"""),"2025")</f>
        <v>2025</v>
      </c>
      <c r="I774" s="1" t="str">
        <f ca="1">IFERROR(__xludf.DUMMYFUNCTION("""COMPUTED_VALUE"""),"Email")</f>
        <v>Email</v>
      </c>
    </row>
    <row r="775" spans="1:9" ht="13" x14ac:dyDescent="0.15">
      <c r="A775" s="9">
        <f ca="1">IFERROR(__xludf.DUMMYFUNCTION("""COMPUTED_VALUE"""),31720199)</f>
        <v>31720199</v>
      </c>
      <c r="B775" s="1" t="str">
        <f ca="1">IFERROR(__xludf.DUMMYFUNCTION("""COMPUTED_VALUE"""),"ewb2@cornell.edu")</f>
        <v>ewb2@cornell.edu</v>
      </c>
      <c r="C775" s="9" t="str">
        <f ca="1">IFERROR(__xludf.DUMMYFUNCTION("""COMPUTED_VALUE"""),"EVERGREEN - UAN Gated Content - Embedded Petition")</f>
        <v>EVERGREEN - UAN Gated Content - Embedded Petition</v>
      </c>
      <c r="D775" s="10">
        <f ca="1">IFERROR(__xludf.DUMMYFUNCTION("""COMPUTED_VALUE"""),45675)</f>
        <v>45675</v>
      </c>
      <c r="E775" s="1" t="str">
        <f ca="1">IFERROR(__xludf.DUMMYFUNCTION("""COMPUTED_VALUE"""),"Egypt")</f>
        <v>Egypt</v>
      </c>
      <c r="F775" s="1" t="str">
        <f ca="1">IFERROR(__xludf.DUMMYFUNCTION("""COMPUTED_VALUE"""),"Second 80.23 Egypt")</f>
        <v>Second 80.23 Egypt</v>
      </c>
      <c r="G775" s="1" t="str">
        <f ca="1">IFERROR(__xludf.DUMMYFUNCTION("""COMPUTED_VALUE"""),"Health, Individuals At Risk")</f>
        <v>Health, Individuals At Risk</v>
      </c>
      <c r="H775" s="1" t="str">
        <f ca="1">IFERROR(__xludf.DUMMYFUNCTION("""COMPUTED_VALUE"""),"2025")</f>
        <v>2025</v>
      </c>
      <c r="I775" s="1" t="str">
        <f ca="1">IFERROR(__xludf.DUMMYFUNCTION("""COMPUTED_VALUE"""),"Email")</f>
        <v>Email</v>
      </c>
    </row>
    <row r="776" spans="1:9" ht="13" x14ac:dyDescent="0.15">
      <c r="A776" s="9">
        <f ca="1">IFERROR(__xludf.DUMMYFUNCTION("""COMPUTED_VALUE"""),31720199)</f>
        <v>31720199</v>
      </c>
      <c r="B776" s="1" t="str">
        <f ca="1">IFERROR(__xludf.DUMMYFUNCTION("""COMPUTED_VALUE"""),"ewb2@cornell.edu")</f>
        <v>ewb2@cornell.edu</v>
      </c>
      <c r="C776" s="9" t="str">
        <f ca="1">IFERROR(__xludf.DUMMYFUNCTION("""COMPUTED_VALUE"""),"EVERGREEN - UAN Gated Content - Embedded Petition")</f>
        <v>EVERGREEN - UAN Gated Content - Embedded Petition</v>
      </c>
      <c r="D776" s="10">
        <f ca="1">IFERROR(__xludf.DUMMYFUNCTION("""COMPUTED_VALUE"""),45675)</f>
        <v>45675</v>
      </c>
      <c r="E776" s="1" t="str">
        <f ca="1">IFERROR(__xludf.DUMMYFUNCTION("""COMPUTED_VALUE"""),"Iran")</f>
        <v>Iran</v>
      </c>
      <c r="F776" s="1" t="str">
        <f ca="1">IFERROR(__xludf.DUMMYFUNCTION("""COMPUTED_VALUE"""),"Seventh 103.22 Iran")</f>
        <v>Seventh 103.22 Iran</v>
      </c>
      <c r="G776" s="1" t="str">
        <f ca="1">IFERROR(__xludf.DUMMYFUNCTION("""COMPUTED_VALUE"""),"Death Penalty, Freedom of Expression, Individuals At Risk")</f>
        <v>Death Penalty, Freedom of Expression, Individuals At Risk</v>
      </c>
      <c r="H776" s="1" t="str">
        <f ca="1">IFERROR(__xludf.DUMMYFUNCTION("""COMPUTED_VALUE"""),"2024")</f>
        <v>2024</v>
      </c>
      <c r="I776" s="1" t="str">
        <f ca="1">IFERROR(__xludf.DUMMYFUNCTION("""COMPUTED_VALUE"""),"Email")</f>
        <v>Email</v>
      </c>
    </row>
    <row r="777" spans="1:9" ht="13" x14ac:dyDescent="0.15">
      <c r="A777" s="9">
        <f ca="1">IFERROR(__xludf.DUMMYFUNCTION("""COMPUTED_VALUE"""),31720199)</f>
        <v>31720199</v>
      </c>
      <c r="B777" s="1" t="str">
        <f ca="1">IFERROR(__xludf.DUMMYFUNCTION("""COMPUTED_VALUE"""),"ewb2@cornell.edu")</f>
        <v>ewb2@cornell.edu</v>
      </c>
      <c r="C777" s="9" t="str">
        <f ca="1">IFERROR(__xludf.DUMMYFUNCTION("""COMPUTED_VALUE"""),"EVERGREEN - UAN Gated Content - Embedded Petition")</f>
        <v>EVERGREEN - UAN Gated Content - Embedded Petition</v>
      </c>
      <c r="D777" s="10">
        <f ca="1">IFERROR(__xludf.DUMMYFUNCTION("""COMPUTED_VALUE"""),45642)</f>
        <v>45642</v>
      </c>
      <c r="E777" s="1" t="str">
        <f ca="1">IFERROR(__xludf.DUMMYFUNCTION("""COMPUTED_VALUE"""),"Saudi Arabia")</f>
        <v>Saudi Arabia</v>
      </c>
      <c r="F777" s="1" t="str">
        <f ca="1">IFERROR(__xludf.DUMMYFUNCTION("""COMPUTED_VALUE"""),"Fifth 257.12")</f>
        <v>Fifth 257.12</v>
      </c>
      <c r="G777" s="1" t="str">
        <f ca="1">IFERROR(__xludf.DUMMYFUNCTION("""COMPUTED_VALUE"""),"Freedom of Expression, Human Rights Defenders")</f>
        <v>Freedom of Expression, Human Rights Defenders</v>
      </c>
      <c r="H777" s="1" t="str">
        <f ca="1">IFERROR(__xludf.DUMMYFUNCTION("""COMPUTED_VALUE"""),"2025")</f>
        <v>2025</v>
      </c>
      <c r="I777" s="1" t="str">
        <f ca="1">IFERROR(__xludf.DUMMYFUNCTION("""COMPUTED_VALUE"""),"Email")</f>
        <v>Email</v>
      </c>
    </row>
    <row r="778" spans="1:9" ht="13" x14ac:dyDescent="0.15">
      <c r="A778" s="9">
        <f ca="1">IFERROR(__xludf.DUMMYFUNCTION("""COMPUTED_VALUE"""),31720199)</f>
        <v>31720199</v>
      </c>
      <c r="B778" s="1" t="str">
        <f ca="1">IFERROR(__xludf.DUMMYFUNCTION("""COMPUTED_VALUE"""),"ewb2@cornell.edu")</f>
        <v>ewb2@cornell.edu</v>
      </c>
      <c r="C778" s="9" t="str">
        <f ca="1">IFERROR(__xludf.DUMMYFUNCTION("""COMPUTED_VALUE"""),"EVERGREEN - UAN Gated Content - Embedded Petition")</f>
        <v>EVERGREEN - UAN Gated Content - Embedded Petition</v>
      </c>
      <c r="D778" s="10">
        <f ca="1">IFERROR(__xludf.DUMMYFUNCTION("""COMPUTED_VALUE"""),45642)</f>
        <v>45642</v>
      </c>
      <c r="E778" s="1" t="str">
        <f ca="1">IFERROR(__xludf.DUMMYFUNCTION("""COMPUTED_VALUE"""),"Tunisia")</f>
        <v>Tunisia</v>
      </c>
      <c r="F778" s="1" t="str">
        <f ca="1">IFERROR(__xludf.DUMMYFUNCTION("""COMPUTED_VALUE"""),"Second 76.24 Tunisia")</f>
        <v>Second 76.24 Tunisia</v>
      </c>
      <c r="G778" s="1" t="str">
        <f ca="1">IFERROR(__xludf.DUMMYFUNCTION("""COMPUTED_VALUE"""),"Freedom of Expression, Human Rights Defenders")</f>
        <v>Freedom of Expression, Human Rights Defenders</v>
      </c>
      <c r="H778" s="1" t="str">
        <f ca="1">IFERROR(__xludf.DUMMYFUNCTION("""COMPUTED_VALUE"""),"2025")</f>
        <v>2025</v>
      </c>
      <c r="I778" s="1" t="str">
        <f ca="1">IFERROR(__xludf.DUMMYFUNCTION("""COMPUTED_VALUE"""),"Email")</f>
        <v>Email</v>
      </c>
    </row>
    <row r="779" spans="1:9" ht="13" x14ac:dyDescent="0.15">
      <c r="A779" s="9">
        <f ca="1">IFERROR(__xludf.DUMMYFUNCTION("""COMPUTED_VALUE"""),31720199)</f>
        <v>31720199</v>
      </c>
      <c r="B779" s="1" t="str">
        <f ca="1">IFERROR(__xludf.DUMMYFUNCTION("""COMPUTED_VALUE"""),"ewb2@cornell.edu")</f>
        <v>ewb2@cornell.edu</v>
      </c>
      <c r="C779" s="9" t="str">
        <f ca="1">IFERROR(__xludf.DUMMYFUNCTION("""COMPUTED_VALUE"""),"EVERGREEN - UAN Gated Content - Embedded Petition")</f>
        <v>EVERGREEN - UAN Gated Content - Embedded Petition</v>
      </c>
      <c r="D779" s="10">
        <f ca="1">IFERROR(__xludf.DUMMYFUNCTION("""COMPUTED_VALUE"""),45642)</f>
        <v>45642</v>
      </c>
      <c r="E779" s="1" t="str">
        <f ca="1">IFERROR(__xludf.DUMMYFUNCTION("""COMPUTED_VALUE"""),"Iran")</f>
        <v>Iran</v>
      </c>
      <c r="F779" s="1" t="str">
        <f ca="1">IFERROR(__xludf.DUMMYFUNCTION("""COMPUTED_VALUE"""),"Seventh 103.22 Iran")</f>
        <v>Seventh 103.22 Iran</v>
      </c>
      <c r="G779" s="1" t="str">
        <f ca="1">IFERROR(__xludf.DUMMYFUNCTION("""COMPUTED_VALUE"""),"Death Penalty, Freedom of Expression, Individuals At Risk")</f>
        <v>Death Penalty, Freedom of Expression, Individuals At Risk</v>
      </c>
      <c r="H779" s="1" t="str">
        <f ca="1">IFERROR(__xludf.DUMMYFUNCTION("""COMPUTED_VALUE"""),"2024")</f>
        <v>2024</v>
      </c>
      <c r="I779" s="1" t="str">
        <f ca="1">IFERROR(__xludf.DUMMYFUNCTION("""COMPUTED_VALUE"""),"Email")</f>
        <v>Email</v>
      </c>
    </row>
    <row r="780" spans="1:9" ht="13" x14ac:dyDescent="0.15">
      <c r="A780" s="9">
        <f ca="1">IFERROR(__xludf.DUMMYFUNCTION("""COMPUTED_VALUE"""),31720199)</f>
        <v>31720199</v>
      </c>
      <c r="B780" s="1" t="str">
        <f ca="1">IFERROR(__xludf.DUMMYFUNCTION("""COMPUTED_VALUE"""),"ewb2@cornell.edu")</f>
        <v>ewb2@cornell.edu</v>
      </c>
      <c r="C780" s="9" t="str">
        <f ca="1">IFERROR(__xludf.DUMMYFUNCTION("""COMPUTED_VALUE"""),"EVERGREEN - UAN Gated Content - Embedded Petition")</f>
        <v>EVERGREEN - UAN Gated Content - Embedded Petition</v>
      </c>
      <c r="D780" s="10">
        <f ca="1">IFERROR(__xludf.DUMMYFUNCTION("""COMPUTED_VALUE"""),45642)</f>
        <v>45642</v>
      </c>
      <c r="E780" s="1" t="str">
        <f ca="1">IFERROR(__xludf.DUMMYFUNCTION("""COMPUTED_VALUE"""),"Israel and Occupied Palestinian Territories")</f>
        <v>Israel and Occupied Palestinian Territories</v>
      </c>
      <c r="F780" s="1" t="str">
        <f ca="1">IFERROR(__xludf.DUMMYFUNCTION("""COMPUTED_VALUE"""),"3.25 IOPT")</f>
        <v>3.25 IOPT</v>
      </c>
      <c r="G780" s="1" t="str">
        <f ca="1">IFERROR(__xludf.DUMMYFUNCTION("""COMPUTED_VALUE"""),"Freedom of Expression, Individuals At Risk")</f>
        <v>Freedom of Expression, Individuals At Risk</v>
      </c>
      <c r="H780" s="1" t="str">
        <f ca="1">IFERROR(__xludf.DUMMYFUNCTION("""COMPUTED_VALUE"""),"2025")</f>
        <v>2025</v>
      </c>
      <c r="I780" s="1" t="str">
        <f ca="1">IFERROR(__xludf.DUMMYFUNCTION("""COMPUTED_VALUE"""),"Email")</f>
        <v>Email</v>
      </c>
    </row>
    <row r="781" spans="1:9" ht="13" x14ac:dyDescent="0.15">
      <c r="A781" s="9">
        <f ca="1">IFERROR(__xludf.DUMMYFUNCTION("""COMPUTED_VALUE"""),31720199)</f>
        <v>31720199</v>
      </c>
      <c r="B781" s="1" t="str">
        <f ca="1">IFERROR(__xludf.DUMMYFUNCTION("""COMPUTED_VALUE"""),"ewb2@cornell.edu")</f>
        <v>ewb2@cornell.edu</v>
      </c>
      <c r="C781" s="9" t="str">
        <f ca="1">IFERROR(__xludf.DUMMYFUNCTION("""COMPUTED_VALUE"""),"EVERGREEN - UAN Gated Content - Embedded Petition")</f>
        <v>EVERGREEN - UAN Gated Content - Embedded Petition</v>
      </c>
      <c r="D781" s="10">
        <f ca="1">IFERROR(__xludf.DUMMYFUNCTION("""COMPUTED_VALUE"""),45642)</f>
        <v>45642</v>
      </c>
      <c r="E781" s="1" t="str">
        <f ca="1">IFERROR(__xludf.DUMMYFUNCTION("""COMPUTED_VALUE"""),"Iran")</f>
        <v>Iran</v>
      </c>
      <c r="F781" s="1" t="str">
        <f ca="1">IFERROR(__xludf.DUMMYFUNCTION("""COMPUTED_VALUE"""),"Seventh 103.22 Iran")</f>
        <v>Seventh 103.22 Iran</v>
      </c>
      <c r="G781" s="1" t="str">
        <f ca="1">IFERROR(__xludf.DUMMYFUNCTION("""COMPUTED_VALUE"""),"Death Penalty, Freedom of Expression, Individuals At Risk")</f>
        <v>Death Penalty, Freedom of Expression, Individuals At Risk</v>
      </c>
      <c r="H781" s="1" t="str">
        <f ca="1">IFERROR(__xludf.DUMMYFUNCTION("""COMPUTED_VALUE"""),"2024")</f>
        <v>2024</v>
      </c>
      <c r="I781" s="1" t="str">
        <f ca="1">IFERROR(__xludf.DUMMYFUNCTION("""COMPUTED_VALUE"""),"Email")</f>
        <v>Email</v>
      </c>
    </row>
    <row r="782" spans="1:9" ht="13" x14ac:dyDescent="0.15">
      <c r="A782" s="9">
        <f ca="1">IFERROR(__xludf.DUMMYFUNCTION("""COMPUTED_VALUE"""),31720199)</f>
        <v>31720199</v>
      </c>
      <c r="B782" s="1" t="str">
        <f ca="1">IFERROR(__xludf.DUMMYFUNCTION("""COMPUTED_VALUE"""),"ewb2@cornell.edu")</f>
        <v>ewb2@cornell.edu</v>
      </c>
      <c r="C782" s="9" t="str">
        <f ca="1">IFERROR(__xludf.DUMMYFUNCTION("""COMPUTED_VALUE"""),"EVERGREEN - UAN Gated Content - Embedded Petition")</f>
        <v>EVERGREEN - UAN Gated Content - Embedded Petition</v>
      </c>
      <c r="D782" s="10">
        <f ca="1">IFERROR(__xludf.DUMMYFUNCTION("""COMPUTED_VALUE"""),45642)</f>
        <v>45642</v>
      </c>
      <c r="E782" s="1" t="str">
        <f ca="1">IFERROR(__xludf.DUMMYFUNCTION("""COMPUTED_VALUE"""),"Egypt")</f>
        <v>Egypt</v>
      </c>
      <c r="F782" s="1" t="str">
        <f ca="1">IFERROR(__xludf.DUMMYFUNCTION("""COMPUTED_VALUE"""),"Third 73.23 Egypt")</f>
        <v>Third 73.23 Egypt</v>
      </c>
      <c r="G782" s="1" t="str">
        <f ca="1">IFERROR(__xludf.DUMMYFUNCTION("""COMPUTED_VALUE"""),"Individuals At Risk")</f>
        <v>Individuals At Risk</v>
      </c>
      <c r="H782" s="1" t="str">
        <f ca="1">IFERROR(__xludf.DUMMYFUNCTION("""COMPUTED_VALUE"""),"2024")</f>
        <v>2024</v>
      </c>
      <c r="I782" s="1" t="str">
        <f ca="1">IFERROR(__xludf.DUMMYFUNCTION("""COMPUTED_VALUE"""),"Email")</f>
        <v>Email</v>
      </c>
    </row>
    <row r="783" spans="1:9" ht="13" x14ac:dyDescent="0.15">
      <c r="A783" s="9">
        <f ca="1">IFERROR(__xludf.DUMMYFUNCTION("""COMPUTED_VALUE"""),31720199)</f>
        <v>31720199</v>
      </c>
      <c r="B783" s="1" t="str">
        <f ca="1">IFERROR(__xludf.DUMMYFUNCTION("""COMPUTED_VALUE"""),"ewb2@cornell.edu")</f>
        <v>ewb2@cornell.edu</v>
      </c>
      <c r="C783" s="9" t="str">
        <f ca="1">IFERROR(__xludf.DUMMYFUNCTION("""COMPUTED_VALUE"""),"EVERGREEN - UAN Gated Content - Embedded Petition")</f>
        <v>EVERGREEN - UAN Gated Content - Embedded Petition</v>
      </c>
      <c r="D783" s="10">
        <f ca="1">IFERROR(__xludf.DUMMYFUNCTION("""COMPUTED_VALUE"""),45642)</f>
        <v>45642</v>
      </c>
      <c r="E783" s="1" t="str">
        <f ca="1">IFERROR(__xludf.DUMMYFUNCTION("""COMPUTED_VALUE"""),"Tunisia")</f>
        <v>Tunisia</v>
      </c>
      <c r="F783" s="1" t="str">
        <f ca="1">IFERROR(__xludf.DUMMYFUNCTION("""COMPUTED_VALUE"""),"Second 43.24 Tunisia")</f>
        <v>Second 43.24 Tunisia</v>
      </c>
      <c r="G783" s="1" t="str">
        <f ca="1">IFERROR(__xludf.DUMMYFUNCTION("""COMPUTED_VALUE"""),"Freedom of Expression, Individuals At Risk")</f>
        <v>Freedom of Expression, Individuals At Risk</v>
      </c>
      <c r="H783" s="1" t="str">
        <f ca="1">IFERROR(__xludf.DUMMYFUNCTION("""COMPUTED_VALUE"""),"2024")</f>
        <v>2024</v>
      </c>
      <c r="I783" s="1" t="str">
        <f ca="1">IFERROR(__xludf.DUMMYFUNCTION("""COMPUTED_VALUE"""),"Email")</f>
        <v>Email</v>
      </c>
    </row>
    <row r="784" spans="1:9" ht="13" x14ac:dyDescent="0.15">
      <c r="A784" s="9">
        <f ca="1">IFERROR(__xludf.DUMMYFUNCTION("""COMPUTED_VALUE"""),31720199)</f>
        <v>31720199</v>
      </c>
      <c r="B784" s="1" t="str">
        <f ca="1">IFERROR(__xludf.DUMMYFUNCTION("""COMPUTED_VALUE"""),"ewb2@cornell.edu")</f>
        <v>ewb2@cornell.edu</v>
      </c>
      <c r="C784" s="9" t="str">
        <f ca="1">IFERROR(__xludf.DUMMYFUNCTION("""COMPUTED_VALUE"""),"EVERGREEN - UAN Gated Content - Embedded Petition")</f>
        <v>EVERGREEN - UAN Gated Content - Embedded Petition</v>
      </c>
      <c r="D784" s="10">
        <f ca="1">IFERROR(__xludf.DUMMYFUNCTION("""COMPUTED_VALUE"""),45643)</f>
        <v>45643</v>
      </c>
      <c r="E784" s="1" t="str">
        <f ca="1">IFERROR(__xludf.DUMMYFUNCTION("""COMPUTED_VALUE"""),"Niger")</f>
        <v>Niger</v>
      </c>
      <c r="F784" s="1" t="str">
        <f ca="1">IFERROR(__xludf.DUMMYFUNCTION("""COMPUTED_VALUE"""),"103.24 Niger")</f>
        <v>103.24 Niger</v>
      </c>
      <c r="G784" s="1" t="str">
        <f ca="1">IFERROR(__xludf.DUMMYFUNCTION("""COMPUTED_VALUE"""),"Freedom of Expression, Human Rights Defenders")</f>
        <v>Freedom of Expression, Human Rights Defenders</v>
      </c>
      <c r="H784" s="1" t="str">
        <f ca="1">IFERROR(__xludf.DUMMYFUNCTION("""COMPUTED_VALUE"""),"2024")</f>
        <v>2024</v>
      </c>
      <c r="I784" s="1" t="str">
        <f ca="1">IFERROR(__xludf.DUMMYFUNCTION("""COMPUTED_VALUE"""),"Email")</f>
        <v>Email</v>
      </c>
    </row>
    <row r="785" spans="1:9" ht="13" x14ac:dyDescent="0.15">
      <c r="A785" s="9">
        <f ca="1">IFERROR(__xludf.DUMMYFUNCTION("""COMPUTED_VALUE"""),31720199)</f>
        <v>31720199</v>
      </c>
      <c r="B785" s="1" t="str">
        <f ca="1">IFERROR(__xludf.DUMMYFUNCTION("""COMPUTED_VALUE"""),"ewb2@cornell.edu")</f>
        <v>ewb2@cornell.edu</v>
      </c>
      <c r="C785" s="9" t="str">
        <f ca="1">IFERROR(__xludf.DUMMYFUNCTION("""COMPUTED_VALUE"""),"EVERGREEN - UAN Gated Content - Embedded Petition")</f>
        <v>EVERGREEN - UAN Gated Content - Embedded Petition</v>
      </c>
      <c r="D785" s="10">
        <f ca="1">IFERROR(__xludf.DUMMYFUNCTION("""COMPUTED_VALUE"""),45637)</f>
        <v>45637</v>
      </c>
      <c r="E785" s="1" t="str">
        <f ca="1">IFERROR(__xludf.DUMMYFUNCTION("""COMPUTED_VALUE"""),"Turkiye")</f>
        <v>Turkiye</v>
      </c>
      <c r="F785" s="1" t="str">
        <f ca="1">IFERROR(__xludf.DUMMYFUNCTION("""COMPUTED_VALUE"""),"109.24 Türkiye")</f>
        <v>109.24 Türkiye</v>
      </c>
      <c r="G785" s="1" t="str">
        <f ca="1">IFERROR(__xludf.DUMMYFUNCTION("""COMPUTED_VALUE"""),"Human Rights Defenders, Individuals At Risk")</f>
        <v>Human Rights Defenders, Individuals At Risk</v>
      </c>
      <c r="H785" s="1" t="str">
        <f ca="1">IFERROR(__xludf.DUMMYFUNCTION("""COMPUTED_VALUE"""),"2024")</f>
        <v>2024</v>
      </c>
      <c r="I785" s="1" t="str">
        <f ca="1">IFERROR(__xludf.DUMMYFUNCTION("""COMPUTED_VALUE"""),"Email")</f>
        <v>Email</v>
      </c>
    </row>
    <row r="786" spans="1:9" ht="13" x14ac:dyDescent="0.15">
      <c r="A786" s="9">
        <f ca="1">IFERROR(__xludf.DUMMYFUNCTION("""COMPUTED_VALUE"""),31720199)</f>
        <v>31720199</v>
      </c>
      <c r="B786" s="1" t="str">
        <f ca="1">IFERROR(__xludf.DUMMYFUNCTION("""COMPUTED_VALUE"""),"ewb2@cornell.edu")</f>
        <v>ewb2@cornell.edu</v>
      </c>
      <c r="C786" s="9" t="str">
        <f ca="1">IFERROR(__xludf.DUMMYFUNCTION("""COMPUTED_VALUE"""),"EVERGREEN - UAN Gated Content - Embedded Petition")</f>
        <v>EVERGREEN - UAN Gated Content - Embedded Petition</v>
      </c>
      <c r="D786" s="10">
        <f ca="1">IFERROR(__xludf.DUMMYFUNCTION("""COMPUTED_VALUE"""),45670)</f>
        <v>45670</v>
      </c>
      <c r="E786" s="1" t="str">
        <f ca="1">IFERROR(__xludf.DUMMYFUNCTION("""COMPUTED_VALUE"""),"Israel and Occupied Palestinian Territories")</f>
        <v>Israel and Occupied Palestinian Territories</v>
      </c>
      <c r="F786" s="1" t="str">
        <f ca="1">IFERROR(__xludf.DUMMYFUNCTION("""COMPUTED_VALUE"""),"3.25 IOPT")</f>
        <v>3.25 IOPT</v>
      </c>
      <c r="G786" s="1" t="str">
        <f ca="1">IFERROR(__xludf.DUMMYFUNCTION("""COMPUTED_VALUE"""),"Freedom of Expression, Individuals At Risk")</f>
        <v>Freedom of Expression, Individuals At Risk</v>
      </c>
      <c r="H786" s="1" t="str">
        <f ca="1">IFERROR(__xludf.DUMMYFUNCTION("""COMPUTED_VALUE"""),"2025")</f>
        <v>2025</v>
      </c>
      <c r="I786" s="1" t="str">
        <f ca="1">IFERROR(__xludf.DUMMYFUNCTION("""COMPUTED_VALUE"""),"Email")</f>
        <v>Email</v>
      </c>
    </row>
    <row r="787" spans="1:9" ht="13" x14ac:dyDescent="0.15">
      <c r="A787" s="9">
        <f ca="1">IFERROR(__xludf.DUMMYFUNCTION("""COMPUTED_VALUE"""),31720199)</f>
        <v>31720199</v>
      </c>
      <c r="B787" s="1" t="str">
        <f ca="1">IFERROR(__xludf.DUMMYFUNCTION("""COMPUTED_VALUE"""),"ewb2@cornell.edu")</f>
        <v>ewb2@cornell.edu</v>
      </c>
      <c r="C787" s="9" t="str">
        <f ca="1">IFERROR(__xludf.DUMMYFUNCTION("""COMPUTED_VALUE"""),"EVERGREEN - UAN Gated Content - Embedded Petition")</f>
        <v>EVERGREEN - UAN Gated Content - Embedded Petition</v>
      </c>
      <c r="D787" s="10">
        <f ca="1">IFERROR(__xludf.DUMMYFUNCTION("""COMPUTED_VALUE"""),45672)</f>
        <v>45672</v>
      </c>
      <c r="E787" s="1" t="str">
        <f ca="1">IFERROR(__xludf.DUMMYFUNCTION("""COMPUTED_VALUE"""),"Afghanistan")</f>
        <v>Afghanistan</v>
      </c>
      <c r="F787" s="1" t="str">
        <f ca="1">IFERROR(__xludf.DUMMYFUNCTION("""COMPUTED_VALUE"""),"11.25 Afghanistan")</f>
        <v>11.25 Afghanistan</v>
      </c>
      <c r="G787" s="1" t="str">
        <f ca="1">IFERROR(__xludf.DUMMYFUNCTION("""COMPUTED_VALUE"""),"Freedom of Expression, Health, Individuals At Risk")</f>
        <v>Freedom of Expression, Health, Individuals At Risk</v>
      </c>
      <c r="H787" s="1" t="str">
        <f ca="1">IFERROR(__xludf.DUMMYFUNCTION("""COMPUTED_VALUE"""),"2025")</f>
        <v>2025</v>
      </c>
      <c r="I787" s="1" t="str">
        <f ca="1">IFERROR(__xludf.DUMMYFUNCTION("""COMPUTED_VALUE"""),"Email")</f>
        <v>Email</v>
      </c>
    </row>
    <row r="788" spans="1:9" ht="13" x14ac:dyDescent="0.15">
      <c r="A788" s="9">
        <f ca="1">IFERROR(__xludf.DUMMYFUNCTION("""COMPUTED_VALUE"""),31720199)</f>
        <v>31720199</v>
      </c>
      <c r="B788" s="1" t="str">
        <f ca="1">IFERROR(__xludf.DUMMYFUNCTION("""COMPUTED_VALUE"""),"ewb2@cornell.edu")</f>
        <v>ewb2@cornell.edu</v>
      </c>
      <c r="C788" s="9" t="str">
        <f ca="1">IFERROR(__xludf.DUMMYFUNCTION("""COMPUTED_VALUE"""),"EVERGREEN - UAN Gated Content - Embedded Petition")</f>
        <v>EVERGREEN - UAN Gated Content - Embedded Petition</v>
      </c>
      <c r="D788" s="10">
        <f ca="1">IFERROR(__xludf.DUMMYFUNCTION("""COMPUTED_VALUE"""),45672)</f>
        <v>45672</v>
      </c>
      <c r="E788" s="1" t="str">
        <f ca="1">IFERROR(__xludf.DUMMYFUNCTION("""COMPUTED_VALUE"""),"Libya")</f>
        <v>Libya</v>
      </c>
      <c r="F788" s="1" t="str">
        <f ca="1">IFERROR(__xludf.DUMMYFUNCTION("""COMPUTED_VALUE"""),"12.25 Libya")</f>
        <v>12.25 Libya</v>
      </c>
      <c r="G788" s="1" t="str">
        <f ca="1">IFERROR(__xludf.DUMMYFUNCTION("""COMPUTED_VALUE"""),"Freedom of Expression, Health, Individuals At Risk")</f>
        <v>Freedom of Expression, Health, Individuals At Risk</v>
      </c>
      <c r="H788" s="1" t="str">
        <f ca="1">IFERROR(__xludf.DUMMYFUNCTION("""COMPUTED_VALUE"""),"2025")</f>
        <v>2025</v>
      </c>
      <c r="I788" s="1" t="str">
        <f ca="1">IFERROR(__xludf.DUMMYFUNCTION("""COMPUTED_VALUE"""),"Email")</f>
        <v>Email</v>
      </c>
    </row>
    <row r="789" spans="1:9" ht="13" x14ac:dyDescent="0.15">
      <c r="A789" s="9">
        <f ca="1">IFERROR(__xludf.DUMMYFUNCTION("""COMPUTED_VALUE"""),31720199)</f>
        <v>31720199</v>
      </c>
      <c r="B789" s="1" t="str">
        <f ca="1">IFERROR(__xludf.DUMMYFUNCTION("""COMPUTED_VALUE"""),"ewb2@cornell.edu")</f>
        <v>ewb2@cornell.edu</v>
      </c>
      <c r="C789" s="9" t="str">
        <f ca="1">IFERROR(__xludf.DUMMYFUNCTION("""COMPUTED_VALUE"""),"EVERGREEN - UAN Gated Content - Embedded Petition")</f>
        <v>EVERGREEN - UAN Gated Content - Embedded Petition</v>
      </c>
      <c r="D789" s="10">
        <f ca="1">IFERROR(__xludf.DUMMYFUNCTION("""COMPUTED_VALUE"""),45648)</f>
        <v>45648</v>
      </c>
      <c r="E789" s="1" t="str">
        <f ca="1">IFERROR(__xludf.DUMMYFUNCTION("""COMPUTED_VALUE"""),"Uganda")</f>
        <v>Uganda</v>
      </c>
      <c r="F789" s="1" t="str">
        <f ca="1">IFERROR(__xludf.DUMMYFUNCTION("""COMPUTED_VALUE"""),"9.25 Uganda")</f>
        <v>9.25 Uganda</v>
      </c>
      <c r="G789" s="1" t="str">
        <f ca="1">IFERROR(__xludf.DUMMYFUNCTION("""COMPUTED_VALUE"""),"Freedom of Expression, Human Rights Defenders")</f>
        <v>Freedom of Expression, Human Rights Defenders</v>
      </c>
      <c r="H789" s="1" t="str">
        <f ca="1">IFERROR(__xludf.DUMMYFUNCTION("""COMPUTED_VALUE"""),"2025")</f>
        <v>2025</v>
      </c>
      <c r="I789" s="1" t="str">
        <f ca="1">IFERROR(__xludf.DUMMYFUNCTION("""COMPUTED_VALUE"""),"Email")</f>
        <v>Email</v>
      </c>
    </row>
    <row r="790" spans="1:9" ht="13" x14ac:dyDescent="0.15">
      <c r="A790" s="9">
        <f ca="1">IFERROR(__xludf.DUMMYFUNCTION("""COMPUTED_VALUE"""),31720199)</f>
        <v>31720199</v>
      </c>
      <c r="B790" s="1" t="str">
        <f ca="1">IFERROR(__xludf.DUMMYFUNCTION("""COMPUTED_VALUE"""),"ewb2@cornell.edu")</f>
        <v>ewb2@cornell.edu</v>
      </c>
      <c r="C790" s="9" t="str">
        <f ca="1">IFERROR(__xludf.DUMMYFUNCTION("""COMPUTED_VALUE"""),"EVERGREEN - UAN Gated Content - Embedded Petition")</f>
        <v>EVERGREEN - UAN Gated Content - Embedded Petition</v>
      </c>
      <c r="D790" s="10">
        <f ca="1">IFERROR(__xludf.DUMMYFUNCTION("""COMPUTED_VALUE"""),45679)</f>
        <v>45679</v>
      </c>
      <c r="E790" s="1" t="str">
        <f ca="1">IFERROR(__xludf.DUMMYFUNCTION("""COMPUTED_VALUE"""),"Iran")</f>
        <v>Iran</v>
      </c>
      <c r="F790" s="1" t="str">
        <f ca="1">IFERROR(__xludf.DUMMYFUNCTION("""COMPUTED_VALUE"""),"10.25 Iran")</f>
        <v>10.25 Iran</v>
      </c>
      <c r="G790" s="1" t="str">
        <f ca="1">IFERROR(__xludf.DUMMYFUNCTION("""COMPUTED_VALUE"""),"Death Penalty, Individuals At Risk")</f>
        <v>Death Penalty, Individuals At Risk</v>
      </c>
      <c r="H790" s="1" t="str">
        <f ca="1">IFERROR(__xludf.DUMMYFUNCTION("""COMPUTED_VALUE"""),"2025")</f>
        <v>2025</v>
      </c>
      <c r="I790" s="1" t="str">
        <f ca="1">IFERROR(__xludf.DUMMYFUNCTION("""COMPUTED_VALUE"""),"Email")</f>
        <v>Email</v>
      </c>
    </row>
    <row r="791" spans="1:9" ht="13" x14ac:dyDescent="0.15">
      <c r="A791" s="9">
        <f ca="1">IFERROR(__xludf.DUMMYFUNCTION("""COMPUTED_VALUE"""),31720199)</f>
        <v>31720199</v>
      </c>
      <c r="B791" s="1" t="str">
        <f ca="1">IFERROR(__xludf.DUMMYFUNCTION("""COMPUTED_VALUE"""),"ewb2@cornell.edu")</f>
        <v>ewb2@cornell.edu</v>
      </c>
      <c r="C791" s="9" t="str">
        <f ca="1">IFERROR(__xludf.DUMMYFUNCTION("""COMPUTED_VALUE"""),"EVERGREEN - UAN Gated Content - Embedded Petition")</f>
        <v>EVERGREEN - UAN Gated Content - Embedded Petition</v>
      </c>
      <c r="D791" s="10">
        <f ca="1">IFERROR(__xludf.DUMMYFUNCTION("""COMPUTED_VALUE"""),45677)</f>
        <v>45677</v>
      </c>
      <c r="E791" s="1" t="str">
        <f ca="1">IFERROR(__xludf.DUMMYFUNCTION("""COMPUTED_VALUE"""),"Uganda")</f>
        <v>Uganda</v>
      </c>
      <c r="F791" s="1" t="str">
        <f ca="1">IFERROR(__xludf.DUMMYFUNCTION("""COMPUTED_VALUE"""),"100.24 Uganda")</f>
        <v>100.24 Uganda</v>
      </c>
      <c r="G791" s="1" t="str">
        <f ca="1">IFERROR(__xludf.DUMMYFUNCTION("""COMPUTED_VALUE"""),"Freedom of Expression")</f>
        <v>Freedom of Expression</v>
      </c>
      <c r="H791" s="1" t="str">
        <f ca="1">IFERROR(__xludf.DUMMYFUNCTION("""COMPUTED_VALUE"""),"2024")</f>
        <v>2024</v>
      </c>
      <c r="I791" s="1" t="str">
        <f ca="1">IFERROR(__xludf.DUMMYFUNCTION("""COMPUTED_VALUE"""),"Email")</f>
        <v>Email</v>
      </c>
    </row>
    <row r="792" spans="1:9" ht="13" x14ac:dyDescent="0.15">
      <c r="A792" s="9">
        <f ca="1">IFERROR(__xludf.DUMMYFUNCTION("""COMPUTED_VALUE"""),31720199)</f>
        <v>31720199</v>
      </c>
      <c r="B792" s="1" t="str">
        <f ca="1">IFERROR(__xludf.DUMMYFUNCTION("""COMPUTED_VALUE"""),"ewb2@cornell.edu")</f>
        <v>ewb2@cornell.edu</v>
      </c>
      <c r="C792" s="9" t="str">
        <f ca="1">IFERROR(__xludf.DUMMYFUNCTION("""COMPUTED_VALUE"""),"EVERGREEN - UAN Gated Content - Embedded Petition")</f>
        <v>EVERGREEN - UAN Gated Content - Embedded Petition</v>
      </c>
      <c r="D792" s="10">
        <f ca="1">IFERROR(__xludf.DUMMYFUNCTION("""COMPUTED_VALUE"""),45677)</f>
        <v>45677</v>
      </c>
      <c r="E792" s="1" t="str">
        <f ca="1">IFERROR(__xludf.DUMMYFUNCTION("""COMPUTED_VALUE"""),"Saudi Arabia")</f>
        <v>Saudi Arabia</v>
      </c>
      <c r="F792" s="1" t="str">
        <f ca="1">IFERROR(__xludf.DUMMYFUNCTION("""COMPUTED_VALUE"""),"Fifth 257.12")</f>
        <v>Fifth 257.12</v>
      </c>
      <c r="G792" s="1" t="str">
        <f ca="1">IFERROR(__xludf.DUMMYFUNCTION("""COMPUTED_VALUE"""),"Freedom of Expression, Human Rights Defenders")</f>
        <v>Freedom of Expression, Human Rights Defenders</v>
      </c>
      <c r="H792" s="1" t="str">
        <f ca="1">IFERROR(__xludf.DUMMYFUNCTION("""COMPUTED_VALUE"""),"2025")</f>
        <v>2025</v>
      </c>
      <c r="I792" s="1" t="str">
        <f ca="1">IFERROR(__xludf.DUMMYFUNCTION("""COMPUTED_VALUE"""),"Email")</f>
        <v>Email</v>
      </c>
    </row>
    <row r="793" spans="1:9" ht="13" x14ac:dyDescent="0.15">
      <c r="A793" s="9">
        <f ca="1">IFERROR(__xludf.DUMMYFUNCTION("""COMPUTED_VALUE"""),31720199)</f>
        <v>31720199</v>
      </c>
      <c r="B793" s="1" t="str">
        <f ca="1">IFERROR(__xludf.DUMMYFUNCTION("""COMPUTED_VALUE"""),"ewb2@cornell.edu")</f>
        <v>ewb2@cornell.edu</v>
      </c>
      <c r="C793" s="9" t="str">
        <f ca="1">IFERROR(__xludf.DUMMYFUNCTION("""COMPUTED_VALUE"""),"EVERGREEN - UAN Gated Content - Embedded Petition")</f>
        <v>EVERGREEN - UAN Gated Content - Embedded Petition</v>
      </c>
      <c r="D793" s="10">
        <f ca="1">IFERROR(__xludf.DUMMYFUNCTION("""COMPUTED_VALUE"""),45675)</f>
        <v>45675</v>
      </c>
      <c r="E793" s="1" t="str">
        <f ca="1">IFERROR(__xludf.DUMMYFUNCTION("""COMPUTED_VALUE"""),"Venezuela")</f>
        <v>Venezuela</v>
      </c>
      <c r="F793" s="1" t="str">
        <f ca="1">IFERROR(__xludf.DUMMYFUNCTION("""COMPUTED_VALUE"""),"97.24 Venezuela")</f>
        <v>97.24 Venezuela</v>
      </c>
      <c r="G793" s="1" t="str">
        <f ca="1">IFERROR(__xludf.DUMMYFUNCTION("""COMPUTED_VALUE"""),"Freedom of Expression")</f>
        <v>Freedom of Expression</v>
      </c>
      <c r="H793" s="1" t="str">
        <f ca="1">IFERROR(__xludf.DUMMYFUNCTION("""COMPUTED_VALUE"""),"2024")</f>
        <v>2024</v>
      </c>
      <c r="I793" s="1" t="str">
        <f ca="1">IFERROR(__xludf.DUMMYFUNCTION("""COMPUTED_VALUE"""),"Letter")</f>
        <v>Letter</v>
      </c>
    </row>
    <row r="794" spans="1:9" ht="13" x14ac:dyDescent="0.15">
      <c r="A794" s="9">
        <f ca="1">IFERROR(__xludf.DUMMYFUNCTION("""COMPUTED_VALUE"""),31720199)</f>
        <v>31720199</v>
      </c>
      <c r="B794" s="1" t="str">
        <f ca="1">IFERROR(__xludf.DUMMYFUNCTION("""COMPUTED_VALUE"""),"ewb2@cornell.edu")</f>
        <v>ewb2@cornell.edu</v>
      </c>
      <c r="C794" s="9" t="str">
        <f ca="1">IFERROR(__xludf.DUMMYFUNCTION("""COMPUTED_VALUE"""),"EVERGREEN - UAN Gated Content - Embedded Petition")</f>
        <v>EVERGREEN - UAN Gated Content - Embedded Petition</v>
      </c>
      <c r="D794" s="10">
        <f ca="1">IFERROR(__xludf.DUMMYFUNCTION("""COMPUTED_VALUE"""),45675)</f>
        <v>45675</v>
      </c>
      <c r="E794" s="1" t="str">
        <f ca="1">IFERROR(__xludf.DUMMYFUNCTION("""COMPUTED_VALUE"""),"China")</f>
        <v>China</v>
      </c>
      <c r="F794" s="1" t="str">
        <f ca="1">IFERROR(__xludf.DUMMYFUNCTION("""COMPUTED_VALUE"""),"98.24 China")</f>
        <v>98.24 China</v>
      </c>
      <c r="G794" s="1" t="str">
        <f ca="1">IFERROR(__xludf.DUMMYFUNCTION("""COMPUTED_VALUE"""),"Freedom of Expression, Individuals At Risk")</f>
        <v>Freedom of Expression, Individuals At Risk</v>
      </c>
      <c r="H794" s="1" t="str">
        <f ca="1">IFERROR(__xludf.DUMMYFUNCTION("""COMPUTED_VALUE"""),"2024")</f>
        <v>2024</v>
      </c>
      <c r="I794" s="1" t="str">
        <f ca="1">IFERROR(__xludf.DUMMYFUNCTION("""COMPUTED_VALUE"""),"Letter")</f>
        <v>Letter</v>
      </c>
    </row>
    <row r="795" spans="1:9" ht="13" x14ac:dyDescent="0.15">
      <c r="A795" s="9">
        <f ca="1">IFERROR(__xludf.DUMMYFUNCTION("""COMPUTED_VALUE"""),31720199)</f>
        <v>31720199</v>
      </c>
      <c r="B795" s="1" t="str">
        <f ca="1">IFERROR(__xludf.DUMMYFUNCTION("""COMPUTED_VALUE"""),"ewb2@cornell.edu")</f>
        <v>ewb2@cornell.edu</v>
      </c>
      <c r="C795" s="9" t="str">
        <f ca="1">IFERROR(__xludf.DUMMYFUNCTION("""COMPUTED_VALUE"""),"EVERGREEN - UAN Gated Content - Embedded Petition")</f>
        <v>EVERGREEN - UAN Gated Content - Embedded Petition</v>
      </c>
      <c r="D795" s="10">
        <f ca="1">IFERROR(__xludf.DUMMYFUNCTION("""COMPUTED_VALUE"""),45675)</f>
        <v>45675</v>
      </c>
      <c r="E795" s="1" t="str">
        <f ca="1">IFERROR(__xludf.DUMMYFUNCTION("""COMPUTED_VALUE"""),"Russian Federation")</f>
        <v>Russian Federation</v>
      </c>
      <c r="F795" s="1" t="str">
        <f ca="1">IFERROR(__xludf.DUMMYFUNCTION("""COMPUTED_VALUE"""),"Second 23.24 Russia")</f>
        <v>Second 23.24 Russia</v>
      </c>
      <c r="G795" s="1" t="str">
        <f ca="1">IFERROR(__xludf.DUMMYFUNCTION("""COMPUTED_VALUE"""),"Freedom of Expression")</f>
        <v>Freedom of Expression</v>
      </c>
      <c r="H795" s="1" t="str">
        <f ca="1">IFERROR(__xludf.DUMMYFUNCTION("""COMPUTED_VALUE"""),"2024")</f>
        <v>2024</v>
      </c>
      <c r="I795" s="1" t="str">
        <f ca="1">IFERROR(__xludf.DUMMYFUNCTION("""COMPUTED_VALUE"""),"Letter")</f>
        <v>Letter</v>
      </c>
    </row>
    <row r="796" spans="1:9" ht="13" x14ac:dyDescent="0.15">
      <c r="A796" s="9">
        <f ca="1">IFERROR(__xludf.DUMMYFUNCTION("""COMPUTED_VALUE"""),31720199)</f>
        <v>31720199</v>
      </c>
      <c r="B796" s="1" t="str">
        <f ca="1">IFERROR(__xludf.DUMMYFUNCTION("""COMPUTED_VALUE"""),"ewb2@cornell.edu")</f>
        <v>ewb2@cornell.edu</v>
      </c>
      <c r="C796" s="9" t="str">
        <f ca="1">IFERROR(__xludf.DUMMYFUNCTION("""COMPUTED_VALUE"""),"EVERGREEN - UAN Gated Content - Embedded Petition")</f>
        <v>EVERGREEN - UAN Gated Content - Embedded Petition</v>
      </c>
      <c r="D796" s="10">
        <f ca="1">IFERROR(__xludf.DUMMYFUNCTION("""COMPUTED_VALUE"""),45675)</f>
        <v>45675</v>
      </c>
      <c r="E796" s="1" t="str">
        <f ca="1">IFERROR(__xludf.DUMMYFUNCTION("""COMPUTED_VALUE"""),"Iran")</f>
        <v>Iran</v>
      </c>
      <c r="F796" s="1" t="str">
        <f ca="1">IFERROR(__xludf.DUMMYFUNCTION("""COMPUTED_VALUE"""),"101.24 Iran")</f>
        <v>101.24 Iran</v>
      </c>
      <c r="G796" s="1" t="str">
        <f ca="1">IFERROR(__xludf.DUMMYFUNCTION("""COMPUTED_VALUE"""),"Death Penalty, Freedom of Expression, Individuals At Risk, Right to Protest")</f>
        <v>Death Penalty, Freedom of Expression, Individuals At Risk, Right to Protest</v>
      </c>
      <c r="H796" s="1" t="str">
        <f ca="1">IFERROR(__xludf.DUMMYFUNCTION("""COMPUTED_VALUE"""),"2024")</f>
        <v>2024</v>
      </c>
      <c r="I796" s="1" t="str">
        <f ca="1">IFERROR(__xludf.DUMMYFUNCTION("""COMPUTED_VALUE"""),"Email")</f>
        <v>Email</v>
      </c>
    </row>
    <row r="797" spans="1:9" ht="13" x14ac:dyDescent="0.15">
      <c r="A797" s="9">
        <f ca="1">IFERROR(__xludf.DUMMYFUNCTION("""COMPUTED_VALUE"""),31720199)</f>
        <v>31720199</v>
      </c>
      <c r="B797" s="1" t="str">
        <f ca="1">IFERROR(__xludf.DUMMYFUNCTION("""COMPUTED_VALUE"""),"ewb2@cornell.edu")</f>
        <v>ewb2@cornell.edu</v>
      </c>
      <c r="C797" s="9" t="str">
        <f ca="1">IFERROR(__xludf.DUMMYFUNCTION("""COMPUTED_VALUE"""),"EVERGREEN - UAN Gated Content - Embedded Petition")</f>
        <v>EVERGREEN - UAN Gated Content - Embedded Petition</v>
      </c>
      <c r="D797" s="10">
        <f ca="1">IFERROR(__xludf.DUMMYFUNCTION("""COMPUTED_VALUE"""),45675)</f>
        <v>45675</v>
      </c>
      <c r="E797" s="1" t="str">
        <f ca="1">IFERROR(__xludf.DUMMYFUNCTION("""COMPUTED_VALUE"""),"Iran")</f>
        <v>Iran</v>
      </c>
      <c r="F797" s="1" t="str">
        <f ca="1">IFERROR(__xludf.DUMMYFUNCTION("""COMPUTED_VALUE"""),"101.24 Iran")</f>
        <v>101.24 Iran</v>
      </c>
      <c r="G797" s="1" t="str">
        <f ca="1">IFERROR(__xludf.DUMMYFUNCTION("""COMPUTED_VALUE"""),"Death Penalty, Freedom of Expression, Individuals At Risk, Right to Protest")</f>
        <v>Death Penalty, Freedom of Expression, Individuals At Risk, Right to Protest</v>
      </c>
      <c r="H797" s="1" t="str">
        <f ca="1">IFERROR(__xludf.DUMMYFUNCTION("""COMPUTED_VALUE"""),"2024")</f>
        <v>2024</v>
      </c>
      <c r="I797" s="1" t="str">
        <f ca="1">IFERROR(__xludf.DUMMYFUNCTION("""COMPUTED_VALUE"""),"Email")</f>
        <v>Email</v>
      </c>
    </row>
    <row r="798" spans="1:9" ht="13" x14ac:dyDescent="0.15">
      <c r="A798" s="9">
        <f ca="1">IFERROR(__xludf.DUMMYFUNCTION("""COMPUTED_VALUE"""),31720199)</f>
        <v>31720199</v>
      </c>
      <c r="B798" s="1" t="str">
        <f ca="1">IFERROR(__xludf.DUMMYFUNCTION("""COMPUTED_VALUE"""),"ewb2@cornell.edu")</f>
        <v>ewb2@cornell.edu</v>
      </c>
      <c r="C798" s="9" t="str">
        <f ca="1">IFERROR(__xludf.DUMMYFUNCTION("""COMPUTED_VALUE"""),"EVERGREEN - UAN Gated Content - Embedded Petition")</f>
        <v>EVERGREEN - UAN Gated Content - Embedded Petition</v>
      </c>
      <c r="D798" s="10">
        <f ca="1">IFERROR(__xludf.DUMMYFUNCTION("""COMPUTED_VALUE"""),45675)</f>
        <v>45675</v>
      </c>
      <c r="E798" s="1" t="str">
        <f ca="1">IFERROR(__xludf.DUMMYFUNCTION("""COMPUTED_VALUE"""),"Uganda")</f>
        <v>Uganda</v>
      </c>
      <c r="F798" s="1" t="str">
        <f ca="1">IFERROR(__xludf.DUMMYFUNCTION("""COMPUTED_VALUE"""),"9.25 Uganda")</f>
        <v>9.25 Uganda</v>
      </c>
      <c r="G798" s="1" t="str">
        <f ca="1">IFERROR(__xludf.DUMMYFUNCTION("""COMPUTED_VALUE"""),"Freedom of Expression, Human Rights Defenders")</f>
        <v>Freedom of Expression, Human Rights Defenders</v>
      </c>
      <c r="H798" s="1" t="str">
        <f ca="1">IFERROR(__xludf.DUMMYFUNCTION("""COMPUTED_VALUE"""),"2025")</f>
        <v>2025</v>
      </c>
      <c r="I798" s="1" t="str">
        <f ca="1">IFERROR(__xludf.DUMMYFUNCTION("""COMPUTED_VALUE"""),"Email")</f>
        <v>Email</v>
      </c>
    </row>
    <row r="799" spans="1:9" ht="13" x14ac:dyDescent="0.15">
      <c r="A799" s="9">
        <f ca="1">IFERROR(__xludf.DUMMYFUNCTION("""COMPUTED_VALUE"""),31720199)</f>
        <v>31720199</v>
      </c>
      <c r="B799" s="1" t="str">
        <f ca="1">IFERROR(__xludf.DUMMYFUNCTION("""COMPUTED_VALUE"""),"ewb2@cornell.edu")</f>
        <v>ewb2@cornell.edu</v>
      </c>
      <c r="C799" s="9" t="str">
        <f ca="1">IFERROR(__xludf.DUMMYFUNCTION("""COMPUTED_VALUE"""),"EVERGREEN - UAN Gated Content - Embedded Petition")</f>
        <v>EVERGREEN - UAN Gated Content - Embedded Petition</v>
      </c>
      <c r="D799" s="10">
        <f ca="1">IFERROR(__xludf.DUMMYFUNCTION("""COMPUTED_VALUE"""),45675)</f>
        <v>45675</v>
      </c>
      <c r="E799" s="1" t="str">
        <f ca="1">IFERROR(__xludf.DUMMYFUNCTION("""COMPUTED_VALUE"""),"Libya")</f>
        <v>Libya</v>
      </c>
      <c r="F799" s="1" t="str">
        <f ca="1">IFERROR(__xludf.DUMMYFUNCTION("""COMPUTED_VALUE"""),"12.25 Libya")</f>
        <v>12.25 Libya</v>
      </c>
      <c r="G799" s="1" t="str">
        <f ca="1">IFERROR(__xludf.DUMMYFUNCTION("""COMPUTED_VALUE"""),"Freedom of Expression, Health, Individuals At Risk")</f>
        <v>Freedom of Expression, Health, Individuals At Risk</v>
      </c>
      <c r="H799" s="1" t="str">
        <f ca="1">IFERROR(__xludf.DUMMYFUNCTION("""COMPUTED_VALUE"""),"2025")</f>
        <v>2025</v>
      </c>
      <c r="I799" s="1" t="str">
        <f ca="1">IFERROR(__xludf.DUMMYFUNCTION("""COMPUTED_VALUE"""),"Email")</f>
        <v>Email</v>
      </c>
    </row>
    <row r="800" spans="1:9" ht="13" x14ac:dyDescent="0.15">
      <c r="A800" s="9">
        <f ca="1">IFERROR(__xludf.DUMMYFUNCTION("""COMPUTED_VALUE"""),31720199)</f>
        <v>31720199</v>
      </c>
      <c r="B800" s="1" t="str">
        <f ca="1">IFERROR(__xludf.DUMMYFUNCTION("""COMPUTED_VALUE"""),"ewb2@cornell.edu")</f>
        <v>ewb2@cornell.edu</v>
      </c>
      <c r="C800" s="9" t="str">
        <f ca="1">IFERROR(__xludf.DUMMYFUNCTION("""COMPUTED_VALUE"""),"EVERGREEN - UAN Gated Content - Embedded Petition")</f>
        <v>EVERGREEN - UAN Gated Content - Embedded Petition</v>
      </c>
      <c r="D800" s="10">
        <f ca="1">IFERROR(__xludf.DUMMYFUNCTION("""COMPUTED_VALUE"""),45675)</f>
        <v>45675</v>
      </c>
      <c r="E800" s="1" t="str">
        <f ca="1">IFERROR(__xludf.DUMMYFUNCTION("""COMPUTED_VALUE"""),"Egypt")</f>
        <v>Egypt</v>
      </c>
      <c r="F800" s="1" t="str">
        <f ca="1">IFERROR(__xludf.DUMMYFUNCTION("""COMPUTED_VALUE"""),"Fourth 29.23 Egypt")</f>
        <v>Fourth 29.23 Egypt</v>
      </c>
      <c r="G800" s="1" t="str">
        <f ca="1">IFERROR(__xludf.DUMMYFUNCTION("""COMPUTED_VALUE"""),"Freedom of Expression, Individuals At Risk, Right to Protest")</f>
        <v>Freedom of Expression, Individuals At Risk, Right to Protest</v>
      </c>
      <c r="H800" s="1" t="str">
        <f ca="1">IFERROR(__xludf.DUMMYFUNCTION("""COMPUTED_VALUE"""),"2024")</f>
        <v>2024</v>
      </c>
      <c r="I800" s="1" t="str">
        <f ca="1">IFERROR(__xludf.DUMMYFUNCTION("""COMPUTED_VALUE"""),"Email")</f>
        <v>Email</v>
      </c>
    </row>
    <row r="801" spans="1:9" ht="13" x14ac:dyDescent="0.15">
      <c r="A801" s="9">
        <f ca="1">IFERROR(__xludf.DUMMYFUNCTION("""COMPUTED_VALUE"""),31720199)</f>
        <v>31720199</v>
      </c>
      <c r="B801" s="1" t="str">
        <f ca="1">IFERROR(__xludf.DUMMYFUNCTION("""COMPUTED_VALUE"""),"ewb2@cornell.edu")</f>
        <v>ewb2@cornell.edu</v>
      </c>
      <c r="C801" s="9" t="str">
        <f ca="1">IFERROR(__xludf.DUMMYFUNCTION("""COMPUTED_VALUE"""),"UAN mid-page Lightbox - Step 1 of 4 - Landing Page")</f>
        <v>UAN mid-page Lightbox - Step 1 of 4 - Landing Page</v>
      </c>
      <c r="D801" s="10">
        <f ca="1">IFERROR(__xludf.DUMMYFUNCTION("""COMPUTED_VALUE"""),45614)</f>
        <v>45614</v>
      </c>
      <c r="E801" s="1" t="str">
        <f ca="1">IFERROR(__xludf.DUMMYFUNCTION("""COMPUTED_VALUE"""),"Israel and Occupied Palestinian Territories")</f>
        <v>Israel and Occupied Palestinian Territories</v>
      </c>
      <c r="F801" s="1" t="str">
        <f ca="1">IFERROR(__xludf.DUMMYFUNCTION("""COMPUTED_VALUE"""),"3.25 IOPT")</f>
        <v>3.25 IOPT</v>
      </c>
      <c r="G801" s="1" t="str">
        <f ca="1">IFERROR(__xludf.DUMMYFUNCTION("""COMPUTED_VALUE"""),"Freedom of Expression, Individuals At Risk")</f>
        <v>Freedom of Expression, Individuals At Risk</v>
      </c>
      <c r="H801" s="1" t="str">
        <f ca="1">IFERROR(__xludf.DUMMYFUNCTION("""COMPUTED_VALUE"""),"2025")</f>
        <v>2025</v>
      </c>
      <c r="I801" s="1" t="str">
        <f ca="1">IFERROR(__xludf.DUMMYFUNCTION("""COMPUTED_VALUE"""),"Email")</f>
        <v>Email</v>
      </c>
    </row>
    <row r="802" spans="1:9" ht="13" x14ac:dyDescent="0.15">
      <c r="A802" s="9">
        <f ca="1">IFERROR(__xludf.DUMMYFUNCTION("""COMPUTED_VALUE"""),31720199)</f>
        <v>31720199</v>
      </c>
      <c r="B802" s="1" t="str">
        <f ca="1">IFERROR(__xludf.DUMMYFUNCTION("""COMPUTED_VALUE"""),"ewb2@cornell.edu")</f>
        <v>ewb2@cornell.edu</v>
      </c>
      <c r="C802" s="9" t="str">
        <f ca="1">IFERROR(__xludf.DUMMYFUNCTION("""COMPUTED_VALUE"""),"UAN mid-page Lightbox - Step 1 of 4 - Landing Page")</f>
        <v>UAN mid-page Lightbox - Step 1 of 4 - Landing Page</v>
      </c>
      <c r="D802" s="10">
        <f ca="1">IFERROR(__xludf.DUMMYFUNCTION("""COMPUTED_VALUE"""),45642)</f>
        <v>45642</v>
      </c>
      <c r="E802" s="1" t="str">
        <f ca="1">IFERROR(__xludf.DUMMYFUNCTION("""COMPUTED_VALUE"""),"Azerbaijan")</f>
        <v>Azerbaijan</v>
      </c>
      <c r="F802" s="1" t="str">
        <f ca="1">IFERROR(__xludf.DUMMYFUNCTION("""COMPUTED_VALUE"""),"2.25 Azerbaijan")</f>
        <v>2.25 Azerbaijan</v>
      </c>
      <c r="G802" s="1" t="str">
        <f ca="1">IFERROR(__xludf.DUMMYFUNCTION("""COMPUTED_VALUE"""),"Freedom of Expression, Human Rights Defenders")</f>
        <v>Freedom of Expression, Human Rights Defenders</v>
      </c>
      <c r="H802" s="1" t="str">
        <f ca="1">IFERROR(__xludf.DUMMYFUNCTION("""COMPUTED_VALUE"""),"2025")</f>
        <v>2025</v>
      </c>
      <c r="I802" s="1" t="str">
        <f ca="1">IFERROR(__xludf.DUMMYFUNCTION("""COMPUTED_VALUE"""),"Email")</f>
        <v>Email</v>
      </c>
    </row>
    <row r="803" spans="1:9" ht="13" x14ac:dyDescent="0.15">
      <c r="A803" s="9">
        <f ca="1">IFERROR(__xludf.DUMMYFUNCTION("""COMPUTED_VALUE"""),31720199)</f>
        <v>31720199</v>
      </c>
      <c r="B803" s="1" t="str">
        <f ca="1">IFERROR(__xludf.DUMMYFUNCTION("""COMPUTED_VALUE"""),"ewb2@cornell.edu")</f>
        <v>ewb2@cornell.edu</v>
      </c>
      <c r="C803" s="9" t="str">
        <f ca="1">IFERROR(__xludf.DUMMYFUNCTION("""COMPUTED_VALUE"""),"UAN mid-page Lightbox - Step 2 of 4 - More personal info fields")</f>
        <v>UAN mid-page Lightbox - Step 2 of 4 - More personal info fields</v>
      </c>
      <c r="D803" s="10">
        <f ca="1">IFERROR(__xludf.DUMMYFUNCTION("""COMPUTED_VALUE"""),45642)</f>
        <v>45642</v>
      </c>
      <c r="E803" s="1" t="str">
        <f ca="1">IFERROR(__xludf.DUMMYFUNCTION("""COMPUTED_VALUE"""),"Iran")</f>
        <v>Iran</v>
      </c>
      <c r="F803" s="1" t="str">
        <f ca="1">IFERROR(__xludf.DUMMYFUNCTION("""COMPUTED_VALUE"""),"Seventh 103.22 Iran")</f>
        <v>Seventh 103.22 Iran</v>
      </c>
      <c r="G803" s="1" t="str">
        <f ca="1">IFERROR(__xludf.DUMMYFUNCTION("""COMPUTED_VALUE"""),"Death Penalty, Freedom of Expression, Individuals At Risk")</f>
        <v>Death Penalty, Freedom of Expression, Individuals At Risk</v>
      </c>
      <c r="H803" s="1" t="str">
        <f ca="1">IFERROR(__xludf.DUMMYFUNCTION("""COMPUTED_VALUE"""),"2024")</f>
        <v>2024</v>
      </c>
      <c r="I803" s="1" t="str">
        <f ca="1">IFERROR(__xludf.DUMMYFUNCTION("""COMPUTED_VALUE"""),"Email")</f>
        <v>Email</v>
      </c>
    </row>
    <row r="804" spans="1:9" ht="13" x14ac:dyDescent="0.15">
      <c r="A804" s="9">
        <f ca="1">IFERROR(__xludf.DUMMYFUNCTION("""COMPUTED_VALUE"""),31720199)</f>
        <v>31720199</v>
      </c>
      <c r="B804" s="1" t="str">
        <f ca="1">IFERROR(__xludf.DUMMYFUNCTION("""COMPUTED_VALUE"""),"ewb2@cornell.edu")</f>
        <v>ewb2@cornell.edu</v>
      </c>
      <c r="C804" s="9" t="str">
        <f ca="1">IFERROR(__xludf.DUMMYFUNCTION("""COMPUTED_VALUE"""),"UAN mid-page Lightbox - Step 2 of 4 - More personal info fields")</f>
        <v>UAN mid-page Lightbox - Step 2 of 4 - More personal info fields</v>
      </c>
      <c r="D804" s="10">
        <f ca="1">IFERROR(__xludf.DUMMYFUNCTION("""COMPUTED_VALUE"""),45614)</f>
        <v>45614</v>
      </c>
      <c r="E804" s="1" t="str">
        <f ca="1">IFERROR(__xludf.DUMMYFUNCTION("""COMPUTED_VALUE"""),"Egypt")</f>
        <v>Egypt</v>
      </c>
      <c r="F804" s="1" t="str">
        <f ca="1">IFERROR(__xludf.DUMMYFUNCTION("""COMPUTED_VALUE"""),"Third 73.23 Egypt")</f>
        <v>Third 73.23 Egypt</v>
      </c>
      <c r="G804" s="1" t="str">
        <f ca="1">IFERROR(__xludf.DUMMYFUNCTION("""COMPUTED_VALUE"""),"Individuals At Risk")</f>
        <v>Individuals At Risk</v>
      </c>
      <c r="H804" s="1" t="str">
        <f ca="1">IFERROR(__xludf.DUMMYFUNCTION("""COMPUTED_VALUE"""),"2024")</f>
        <v>2024</v>
      </c>
      <c r="I804" s="1" t="str">
        <f ca="1">IFERROR(__xludf.DUMMYFUNCTION("""COMPUTED_VALUE"""),"Email")</f>
        <v>Email</v>
      </c>
    </row>
    <row r="805" spans="1:9" ht="13" x14ac:dyDescent="0.15">
      <c r="A805" s="9">
        <f ca="1">IFERROR(__xludf.DUMMYFUNCTION("""COMPUTED_VALUE"""),31720199)</f>
        <v>31720199</v>
      </c>
      <c r="B805" s="1" t="str">
        <f ca="1">IFERROR(__xludf.DUMMYFUNCTION("""COMPUTED_VALUE"""),"ewb2@cornell.edu")</f>
        <v>ewb2@cornell.edu</v>
      </c>
      <c r="C805" s="9" t="str">
        <f ca="1">IFERROR(__xludf.DUMMYFUNCTION("""COMPUTED_VALUE"""),"UAN mid-page Lightbox - Step 3 of 4 - More opt-ins")</f>
        <v>UAN mid-page Lightbox - Step 3 of 4 - More opt-ins</v>
      </c>
      <c r="D805" s="10">
        <f ca="1">IFERROR(__xludf.DUMMYFUNCTION("""COMPUTED_VALUE"""),45642)</f>
        <v>45642</v>
      </c>
      <c r="E805" s="1" t="str">
        <f ca="1">IFERROR(__xludf.DUMMYFUNCTION("""COMPUTED_VALUE"""),"Turkiye")</f>
        <v>Turkiye</v>
      </c>
      <c r="F805" s="1" t="str">
        <f ca="1">IFERROR(__xludf.DUMMYFUNCTION("""COMPUTED_VALUE"""),"109.24 Türkiye")</f>
        <v>109.24 Türkiye</v>
      </c>
      <c r="G805" s="1" t="str">
        <f ca="1">IFERROR(__xludf.DUMMYFUNCTION("""COMPUTED_VALUE"""),"Human Rights Defenders, Individuals At Risk")</f>
        <v>Human Rights Defenders, Individuals At Risk</v>
      </c>
      <c r="H805" s="1" t="str">
        <f ca="1">IFERROR(__xludf.DUMMYFUNCTION("""COMPUTED_VALUE"""),"2024")</f>
        <v>2024</v>
      </c>
      <c r="I805" s="1" t="str">
        <f ca="1">IFERROR(__xludf.DUMMYFUNCTION("""COMPUTED_VALUE"""),"Email")</f>
        <v>Email</v>
      </c>
    </row>
    <row r="806" spans="1:9" ht="13" x14ac:dyDescent="0.15">
      <c r="A806" s="9">
        <f ca="1">IFERROR(__xludf.DUMMYFUNCTION("""COMPUTED_VALUE"""),31720199)</f>
        <v>31720199</v>
      </c>
      <c r="B806" s="1" t="str">
        <f ca="1">IFERROR(__xludf.DUMMYFUNCTION("""COMPUTED_VALUE"""),"ewb2@cornell.edu")</f>
        <v>ewb2@cornell.edu</v>
      </c>
      <c r="C806" s="9" t="str">
        <f ca="1">IFERROR(__xludf.DUMMYFUNCTION("""COMPUTED_VALUE"""),"UAN mid-page Lightbox - Step 3 of 4 - More opt-ins")</f>
        <v>UAN mid-page Lightbox - Step 3 of 4 - More opt-ins</v>
      </c>
      <c r="D806" s="10">
        <f ca="1">IFERROR(__xludf.DUMMYFUNCTION("""COMPUTED_VALUE"""),45614)</f>
        <v>45614</v>
      </c>
      <c r="E806" s="1" t="str">
        <f ca="1">IFERROR(__xludf.DUMMYFUNCTION("""COMPUTED_VALUE"""),"Niger")</f>
        <v>Niger</v>
      </c>
      <c r="F806" s="1" t="str">
        <f ca="1">IFERROR(__xludf.DUMMYFUNCTION("""COMPUTED_VALUE"""),"103.24 Niger")</f>
        <v>103.24 Niger</v>
      </c>
      <c r="G806" s="1" t="str">
        <f ca="1">IFERROR(__xludf.DUMMYFUNCTION("""COMPUTED_VALUE"""),"Freedom of Expression, Human Rights Defenders")</f>
        <v>Freedom of Expression, Human Rights Defenders</v>
      </c>
      <c r="H806" s="1" t="str">
        <f ca="1">IFERROR(__xludf.DUMMYFUNCTION("""COMPUTED_VALUE"""),"2024")</f>
        <v>2024</v>
      </c>
      <c r="I806" s="1" t="str">
        <f ca="1">IFERROR(__xludf.DUMMYFUNCTION("""COMPUTED_VALUE"""),"Email")</f>
        <v>Email</v>
      </c>
    </row>
    <row r="807" spans="1:9" ht="13" x14ac:dyDescent="0.15">
      <c r="A807" s="9">
        <f ca="1">IFERROR(__xludf.DUMMYFUNCTION("""COMPUTED_VALUE"""),31720804)</f>
        <v>31720804</v>
      </c>
      <c r="B807" s="1" t="str">
        <f ca="1">IFERROR(__xludf.DUMMYFUNCTION("""COMPUTED_VALUE"""),"ceciliaburns001@hotmail.com")</f>
        <v>ceciliaburns001@hotmail.com</v>
      </c>
      <c r="C807" s="9" t="str">
        <f ca="1">IFERROR(__xludf.DUMMYFUNCTION("""COMPUTED_VALUE"""),"EVERGREEN - UAN Gated Content - Embedded Petition")</f>
        <v>EVERGREEN - UAN Gated Content - Embedded Petition</v>
      </c>
      <c r="D807" s="10">
        <f ca="1">IFERROR(__xludf.DUMMYFUNCTION("""COMPUTED_VALUE"""),45677)</f>
        <v>45677</v>
      </c>
      <c r="E807" s="1" t="str">
        <f ca="1">IFERROR(__xludf.DUMMYFUNCTION("""COMPUTED_VALUE"""),"Tunisia")</f>
        <v>Tunisia</v>
      </c>
      <c r="F807" s="1" t="str">
        <f ca="1">IFERROR(__xludf.DUMMYFUNCTION("""COMPUTED_VALUE"""),"Second 43.24 Tunisia")</f>
        <v>Second 43.24 Tunisia</v>
      </c>
      <c r="G807" s="1" t="str">
        <f ca="1">IFERROR(__xludf.DUMMYFUNCTION("""COMPUTED_VALUE"""),"Freedom of Expression, Individuals At Risk")</f>
        <v>Freedom of Expression, Individuals At Risk</v>
      </c>
      <c r="H807" s="1" t="str">
        <f ca="1">IFERROR(__xludf.DUMMYFUNCTION("""COMPUTED_VALUE"""),"2024")</f>
        <v>2024</v>
      </c>
      <c r="I807" s="1" t="str">
        <f ca="1">IFERROR(__xludf.DUMMYFUNCTION("""COMPUTED_VALUE"""),"Email")</f>
        <v>Email</v>
      </c>
    </row>
    <row r="808" spans="1:9" ht="13" x14ac:dyDescent="0.15">
      <c r="A808" s="9">
        <f ca="1">IFERROR(__xludf.DUMMYFUNCTION("""COMPUTED_VALUE"""),31720804)</f>
        <v>31720804</v>
      </c>
      <c r="B808" s="1" t="str">
        <f ca="1">IFERROR(__xludf.DUMMYFUNCTION("""COMPUTED_VALUE"""),"ceciliaburns001@hotmail.com")</f>
        <v>ceciliaburns001@hotmail.com</v>
      </c>
      <c r="C808" s="9" t="str">
        <f ca="1">IFERROR(__xludf.DUMMYFUNCTION("""COMPUTED_VALUE"""),"EVERGREEN - UAN Gated Content - Embedded Petition")</f>
        <v>EVERGREEN - UAN Gated Content - Embedded Petition</v>
      </c>
      <c r="D808" s="10">
        <f ca="1">IFERROR(__xludf.DUMMYFUNCTION("""COMPUTED_VALUE"""),45694)</f>
        <v>45694</v>
      </c>
      <c r="E808" s="1" t="str">
        <f ca="1">IFERROR(__xludf.DUMMYFUNCTION("""COMPUTED_VALUE"""),"Singapore")</f>
        <v>Singapore</v>
      </c>
      <c r="F808" s="1" t="str">
        <f ca="1">IFERROR(__xludf.DUMMYFUNCTION("""COMPUTED_VALUE"""),"107.24 Singapore")</f>
        <v>107.24 Singapore</v>
      </c>
      <c r="G808" s="1" t="str">
        <f ca="1">IFERROR(__xludf.DUMMYFUNCTION("""COMPUTED_VALUE"""),"Death Penalty")</f>
        <v>Death Penalty</v>
      </c>
      <c r="H808" s="1" t="str">
        <f ca="1">IFERROR(__xludf.DUMMYFUNCTION("""COMPUTED_VALUE"""),"2024")</f>
        <v>2024</v>
      </c>
      <c r="I808" s="1" t="str">
        <f ca="1">IFERROR(__xludf.DUMMYFUNCTION("""COMPUTED_VALUE"""),"Email")</f>
        <v>Email</v>
      </c>
    </row>
    <row r="809" spans="1:9" ht="13" x14ac:dyDescent="0.15">
      <c r="A809" s="9">
        <f ca="1">IFERROR(__xludf.DUMMYFUNCTION("""COMPUTED_VALUE"""),31721361)</f>
        <v>31721361</v>
      </c>
      <c r="B809" s="1" t="str">
        <f ca="1">IFERROR(__xludf.DUMMYFUNCTION("""COMPUTED_VALUE"""),"ksinks@hotmail.com")</f>
        <v>ksinks@hotmail.com</v>
      </c>
      <c r="C809" s="9" t="str">
        <f ca="1">IFERROR(__xludf.DUMMYFUNCTION("""COMPUTED_VALUE"""),"EVERGREEN - UAN Gated Content - Embedded Petition")</f>
        <v>EVERGREEN - UAN Gated Content - Embedded Petition</v>
      </c>
      <c r="D809" s="10">
        <f ca="1">IFERROR(__xludf.DUMMYFUNCTION("""COMPUTED_VALUE"""),45676)</f>
        <v>45676</v>
      </c>
      <c r="E809" s="1" t="str">
        <f ca="1">IFERROR(__xludf.DUMMYFUNCTION("""COMPUTED_VALUE"""),"Uganda")</f>
        <v>Uganda</v>
      </c>
      <c r="F809" s="1" t="str">
        <f ca="1">IFERROR(__xludf.DUMMYFUNCTION("""COMPUTED_VALUE"""),"100.24 Uganda")</f>
        <v>100.24 Uganda</v>
      </c>
      <c r="G809" s="1" t="str">
        <f ca="1">IFERROR(__xludf.DUMMYFUNCTION("""COMPUTED_VALUE"""),"Freedom of Expression")</f>
        <v>Freedom of Expression</v>
      </c>
      <c r="H809" s="1" t="str">
        <f ca="1">IFERROR(__xludf.DUMMYFUNCTION("""COMPUTED_VALUE"""),"2024")</f>
        <v>2024</v>
      </c>
      <c r="I809" s="1" t="str">
        <f ca="1">IFERROR(__xludf.DUMMYFUNCTION("""COMPUTED_VALUE"""),"Email")</f>
        <v>Email</v>
      </c>
    </row>
    <row r="810" spans="1:9" ht="13" x14ac:dyDescent="0.15">
      <c r="A810" s="9">
        <f ca="1">IFERROR(__xludf.DUMMYFUNCTION("""COMPUTED_VALUE"""),31721361)</f>
        <v>31721361</v>
      </c>
      <c r="B810" s="1" t="str">
        <f ca="1">IFERROR(__xludf.DUMMYFUNCTION("""COMPUTED_VALUE"""),"ksinks@hotmail.com")</f>
        <v>ksinks@hotmail.com</v>
      </c>
      <c r="C810" s="9" t="str">
        <f ca="1">IFERROR(__xludf.DUMMYFUNCTION("""COMPUTED_VALUE"""),"EVERGREEN - UAN Gated Content - Embedded Petition")</f>
        <v>EVERGREEN - UAN Gated Content - Embedded Petition</v>
      </c>
      <c r="D810" s="10">
        <f ca="1">IFERROR(__xludf.DUMMYFUNCTION("""COMPUTED_VALUE"""),45677)</f>
        <v>45677</v>
      </c>
      <c r="E810" s="1" t="str">
        <f ca="1">IFERROR(__xludf.DUMMYFUNCTION("""COMPUTED_VALUE"""),"Tunisia")</f>
        <v>Tunisia</v>
      </c>
      <c r="F810" s="1" t="str">
        <f ca="1">IFERROR(__xludf.DUMMYFUNCTION("""COMPUTED_VALUE"""),"Second 76.24 Tunisia")</f>
        <v>Second 76.24 Tunisia</v>
      </c>
      <c r="G810" s="1" t="str">
        <f ca="1">IFERROR(__xludf.DUMMYFUNCTION("""COMPUTED_VALUE"""),"Freedom of Expression, Human Rights Defenders")</f>
        <v>Freedom of Expression, Human Rights Defenders</v>
      </c>
      <c r="H810" s="1" t="str">
        <f ca="1">IFERROR(__xludf.DUMMYFUNCTION("""COMPUTED_VALUE"""),"2025")</f>
        <v>2025</v>
      </c>
      <c r="I810" s="1" t="str">
        <f ca="1">IFERROR(__xludf.DUMMYFUNCTION("""COMPUTED_VALUE"""),"Email")</f>
        <v>Email</v>
      </c>
    </row>
    <row r="811" spans="1:9" ht="13" x14ac:dyDescent="0.15">
      <c r="A811" s="9">
        <f ca="1">IFERROR(__xludf.DUMMYFUNCTION("""COMPUTED_VALUE"""),31721361)</f>
        <v>31721361</v>
      </c>
      <c r="B811" s="1" t="str">
        <f ca="1">IFERROR(__xludf.DUMMYFUNCTION("""COMPUTED_VALUE"""),"ksinks@hotmail.com")</f>
        <v>ksinks@hotmail.com</v>
      </c>
      <c r="C811" s="9" t="str">
        <f ca="1">IFERROR(__xludf.DUMMYFUNCTION("""COMPUTED_VALUE"""),"EVERGREEN - UAN Gated Content - Embedded Petition")</f>
        <v>EVERGREEN - UAN Gated Content - Embedded Petition</v>
      </c>
      <c r="D811" s="10">
        <f ca="1">IFERROR(__xludf.DUMMYFUNCTION("""COMPUTED_VALUE"""),45697)</f>
        <v>45697</v>
      </c>
      <c r="E811" s="1" t="str">
        <f ca="1">IFERROR(__xludf.DUMMYFUNCTION("""COMPUTED_VALUE"""),"Tunisia")</f>
        <v>Tunisia</v>
      </c>
      <c r="F811" s="1" t="str">
        <f ca="1">IFERROR(__xludf.DUMMYFUNCTION("""COMPUTED_VALUE"""),"Second 76.24 Tunisia")</f>
        <v>Second 76.24 Tunisia</v>
      </c>
      <c r="G811" s="1" t="str">
        <f ca="1">IFERROR(__xludf.DUMMYFUNCTION("""COMPUTED_VALUE"""),"Freedom of Expression, Human Rights Defenders")</f>
        <v>Freedom of Expression, Human Rights Defenders</v>
      </c>
      <c r="H811" s="1" t="str">
        <f ca="1">IFERROR(__xludf.DUMMYFUNCTION("""COMPUTED_VALUE"""),"2025")</f>
        <v>2025</v>
      </c>
      <c r="I811" s="1" t="str">
        <f ca="1">IFERROR(__xludf.DUMMYFUNCTION("""COMPUTED_VALUE"""),"Email")</f>
        <v>Email</v>
      </c>
    </row>
    <row r="812" spans="1:9" ht="13" x14ac:dyDescent="0.15">
      <c r="A812" s="9">
        <f ca="1">IFERROR(__xludf.DUMMYFUNCTION("""COMPUTED_VALUE"""),31721361)</f>
        <v>31721361</v>
      </c>
      <c r="B812" s="1" t="str">
        <f ca="1">IFERROR(__xludf.DUMMYFUNCTION("""COMPUTED_VALUE"""),"ksinks@hotmail.com")</f>
        <v>ksinks@hotmail.com</v>
      </c>
      <c r="C812" s="9" t="str">
        <f ca="1">IFERROR(__xludf.DUMMYFUNCTION("""COMPUTED_VALUE"""),"EVERGREEN - UAN Gated Content - Embedded Petition")</f>
        <v>EVERGREEN - UAN Gated Content - Embedded Petition</v>
      </c>
      <c r="D812" s="10">
        <f ca="1">IFERROR(__xludf.DUMMYFUNCTION("""COMPUTED_VALUE"""),45640)</f>
        <v>45640</v>
      </c>
      <c r="E812" s="1" t="str">
        <f ca="1">IFERROR(__xludf.DUMMYFUNCTION("""COMPUTED_VALUE"""),"Israel and Occupied Palestinian Territories")</f>
        <v>Israel and Occupied Palestinian Territories</v>
      </c>
      <c r="F812" s="1" t="str">
        <f ca="1">IFERROR(__xludf.DUMMYFUNCTION("""COMPUTED_VALUE"""),"3.25 IOPT")</f>
        <v>3.25 IOPT</v>
      </c>
      <c r="G812" s="1" t="str">
        <f ca="1">IFERROR(__xludf.DUMMYFUNCTION("""COMPUTED_VALUE"""),"Freedom of Expression, Individuals At Risk")</f>
        <v>Freedom of Expression, Individuals At Risk</v>
      </c>
      <c r="H812" s="1" t="str">
        <f ca="1">IFERROR(__xludf.DUMMYFUNCTION("""COMPUTED_VALUE"""),"2025")</f>
        <v>2025</v>
      </c>
      <c r="I812" s="1" t="str">
        <f ca="1">IFERROR(__xludf.DUMMYFUNCTION("""COMPUTED_VALUE"""),"Email")</f>
        <v>Email</v>
      </c>
    </row>
    <row r="813" spans="1:9" ht="13" x14ac:dyDescent="0.15">
      <c r="A813" s="9">
        <f ca="1">IFERROR(__xludf.DUMMYFUNCTION("""COMPUTED_VALUE"""),31721361)</f>
        <v>31721361</v>
      </c>
      <c r="B813" s="1" t="str">
        <f ca="1">IFERROR(__xludf.DUMMYFUNCTION("""COMPUTED_VALUE"""),"ksinks@hotmail.com")</f>
        <v>ksinks@hotmail.com</v>
      </c>
      <c r="C813" s="9" t="str">
        <f ca="1">IFERROR(__xludf.DUMMYFUNCTION("""COMPUTED_VALUE"""),"EVERGREEN - UAN Gated Content - Embedded Petition")</f>
        <v>EVERGREEN - UAN Gated Content - Embedded Petition</v>
      </c>
      <c r="D813" s="10">
        <f ca="1">IFERROR(__xludf.DUMMYFUNCTION("""COMPUTED_VALUE"""),45676)</f>
        <v>45676</v>
      </c>
      <c r="E813" s="1" t="str">
        <f ca="1">IFERROR(__xludf.DUMMYFUNCTION("""COMPUTED_VALUE"""),"Tunisia")</f>
        <v>Tunisia</v>
      </c>
      <c r="F813" s="1" t="str">
        <f ca="1">IFERROR(__xludf.DUMMYFUNCTION("""COMPUTED_VALUE"""),"Second 76.24 Tunisia")</f>
        <v>Second 76.24 Tunisia</v>
      </c>
      <c r="G813" s="1" t="str">
        <f ca="1">IFERROR(__xludf.DUMMYFUNCTION("""COMPUTED_VALUE"""),"Freedom of Expression, Human Rights Defenders")</f>
        <v>Freedom of Expression, Human Rights Defenders</v>
      </c>
      <c r="H813" s="1" t="str">
        <f ca="1">IFERROR(__xludf.DUMMYFUNCTION("""COMPUTED_VALUE"""),"2025")</f>
        <v>2025</v>
      </c>
      <c r="I813" s="1" t="str">
        <f ca="1">IFERROR(__xludf.DUMMYFUNCTION("""COMPUTED_VALUE"""),"Email")</f>
        <v>Email</v>
      </c>
    </row>
    <row r="814" spans="1:9" ht="13" x14ac:dyDescent="0.15">
      <c r="A814" s="9">
        <f ca="1">IFERROR(__xludf.DUMMYFUNCTION("""COMPUTED_VALUE"""),31721361)</f>
        <v>31721361</v>
      </c>
      <c r="B814" s="1" t="str">
        <f ca="1">IFERROR(__xludf.DUMMYFUNCTION("""COMPUTED_VALUE"""),"ksinks@hotmail.com")</f>
        <v>ksinks@hotmail.com</v>
      </c>
      <c r="C814" s="9" t="str">
        <f ca="1">IFERROR(__xludf.DUMMYFUNCTION("""COMPUTED_VALUE"""),"EVERGREEN - UAN Gated Content - Embedded Petition")</f>
        <v>EVERGREEN - UAN Gated Content - Embedded Petition</v>
      </c>
      <c r="D814" s="10">
        <f ca="1">IFERROR(__xludf.DUMMYFUNCTION("""COMPUTED_VALUE"""),45676)</f>
        <v>45676</v>
      </c>
      <c r="E814" s="1" t="str">
        <f ca="1">IFERROR(__xludf.DUMMYFUNCTION("""COMPUTED_VALUE"""),"Tunisia")</f>
        <v>Tunisia</v>
      </c>
      <c r="F814" s="1" t="str">
        <f ca="1">IFERROR(__xludf.DUMMYFUNCTION("""COMPUTED_VALUE"""),"Second 76.24 Tunisia")</f>
        <v>Second 76.24 Tunisia</v>
      </c>
      <c r="G814" s="1" t="str">
        <f ca="1">IFERROR(__xludf.DUMMYFUNCTION("""COMPUTED_VALUE"""),"Freedom of Expression, Human Rights Defenders")</f>
        <v>Freedom of Expression, Human Rights Defenders</v>
      </c>
      <c r="H814" s="1" t="str">
        <f ca="1">IFERROR(__xludf.DUMMYFUNCTION("""COMPUTED_VALUE"""),"2025")</f>
        <v>2025</v>
      </c>
      <c r="I814" s="1" t="str">
        <f ca="1">IFERROR(__xludf.DUMMYFUNCTION("""COMPUTED_VALUE"""),"Email")</f>
        <v>Email</v>
      </c>
    </row>
    <row r="815" spans="1:9" ht="13" x14ac:dyDescent="0.15">
      <c r="A815" s="9">
        <f ca="1">IFERROR(__xludf.DUMMYFUNCTION("""COMPUTED_VALUE"""),31724896)</f>
        <v>31724896</v>
      </c>
      <c r="B815" s="1" t="str">
        <f ca="1">IFERROR(__xludf.DUMMYFUNCTION("""COMPUTED_VALUE"""),"shanzboilini@yahoo.com")</f>
        <v>shanzboilini@yahoo.com</v>
      </c>
      <c r="C815" s="9" t="str">
        <f ca="1">IFERROR(__xludf.DUMMYFUNCTION("""COMPUTED_VALUE"""),"EVERGREEN - UAN Gated Content - Embedded Petition")</f>
        <v>EVERGREEN - UAN Gated Content - Embedded Petition</v>
      </c>
      <c r="D815" s="10">
        <f ca="1">IFERROR(__xludf.DUMMYFUNCTION("""COMPUTED_VALUE"""),45694)</f>
        <v>45694</v>
      </c>
      <c r="E815" s="1" t="str">
        <f ca="1">IFERROR(__xludf.DUMMYFUNCTION("""COMPUTED_VALUE"""),"USA")</f>
        <v>USA</v>
      </c>
      <c r="F815" s="1" t="str">
        <f ca="1">IFERROR(__xludf.DUMMYFUNCTION("""COMPUTED_VALUE"""),"105.24 USA")</f>
        <v>105.24 USA</v>
      </c>
      <c r="G815" s="1" t="str">
        <f ca="1">IFERROR(__xludf.DUMMYFUNCTION("""COMPUTED_VALUE"""),"Death Penalty")</f>
        <v>Death Penalty</v>
      </c>
      <c r="H815" s="1" t="str">
        <f ca="1">IFERROR(__xludf.DUMMYFUNCTION("""COMPUTED_VALUE"""),"2024")</f>
        <v>2024</v>
      </c>
      <c r="I815" s="1" t="str">
        <f ca="1">IFERROR(__xludf.DUMMYFUNCTION("""COMPUTED_VALUE"""),"Email")</f>
        <v>Email</v>
      </c>
    </row>
    <row r="816" spans="1:9" ht="13" x14ac:dyDescent="0.15">
      <c r="A816" s="9">
        <f ca="1">IFERROR(__xludf.DUMMYFUNCTION("""COMPUTED_VALUE"""),31725496)</f>
        <v>31725496</v>
      </c>
      <c r="B816" s="1" t="str">
        <f ca="1">IFERROR(__xludf.DUMMYFUNCTION("""COMPUTED_VALUE"""),"shyviola@gmail.com")</f>
        <v>shyviola@gmail.com</v>
      </c>
      <c r="C816" s="9" t="str">
        <f ca="1">IFERROR(__xludf.DUMMYFUNCTION("""COMPUTED_VALUE"""),"EVERGREEN - UAN Gated Content - Embedded Petition")</f>
        <v>EVERGREEN - UAN Gated Content - Embedded Petition</v>
      </c>
      <c r="D816" s="10">
        <f ca="1">IFERROR(__xludf.DUMMYFUNCTION("""COMPUTED_VALUE"""),45694)</f>
        <v>45694</v>
      </c>
      <c r="E816" s="1" t="str">
        <f ca="1">IFERROR(__xludf.DUMMYFUNCTION("""COMPUTED_VALUE"""),"Tunisia")</f>
        <v>Tunisia</v>
      </c>
      <c r="F816" s="1" t="str">
        <f ca="1">IFERROR(__xludf.DUMMYFUNCTION("""COMPUTED_VALUE"""),"Second 76.24 Tunisia")</f>
        <v>Second 76.24 Tunisia</v>
      </c>
      <c r="G816" s="1" t="str">
        <f ca="1">IFERROR(__xludf.DUMMYFUNCTION("""COMPUTED_VALUE"""),"Freedom of Expression, Human Rights Defenders")</f>
        <v>Freedom of Expression, Human Rights Defenders</v>
      </c>
      <c r="H816" s="1" t="str">
        <f ca="1">IFERROR(__xludf.DUMMYFUNCTION("""COMPUTED_VALUE"""),"2025")</f>
        <v>2025</v>
      </c>
      <c r="I816" s="1" t="str">
        <f ca="1">IFERROR(__xludf.DUMMYFUNCTION("""COMPUTED_VALUE"""),"Email")</f>
        <v>Email</v>
      </c>
    </row>
    <row r="817" spans="1:9" ht="13" x14ac:dyDescent="0.15">
      <c r="A817" s="9">
        <f ca="1">IFERROR(__xludf.DUMMYFUNCTION("""COMPUTED_VALUE"""),31730406)</f>
        <v>31730406</v>
      </c>
      <c r="B817" s="1" t="str">
        <f ca="1">IFERROR(__xludf.DUMMYFUNCTION("""COMPUTED_VALUE"""),"meleib48@gmail.com")</f>
        <v>meleib48@gmail.com</v>
      </c>
      <c r="C817" s="9" t="str">
        <f ca="1">IFERROR(__xludf.DUMMYFUNCTION("""COMPUTED_VALUE"""),"EVERGREEN - UAN Gated Content - Embedded Petition")</f>
        <v>EVERGREEN - UAN Gated Content - Embedded Petition</v>
      </c>
      <c r="D817" s="10">
        <f ca="1">IFERROR(__xludf.DUMMYFUNCTION("""COMPUTED_VALUE"""),45631)</f>
        <v>45631</v>
      </c>
      <c r="E817" s="1" t="str">
        <f ca="1">IFERROR(__xludf.DUMMYFUNCTION("""COMPUTED_VALUE"""),"USA")</f>
        <v>USA</v>
      </c>
      <c r="F817" s="1" t="str">
        <f ca="1">IFERROR(__xludf.DUMMYFUNCTION("""COMPUTED_VALUE"""),"4.25 USA")</f>
        <v>4.25 USA</v>
      </c>
      <c r="G817" s="1" t="str">
        <f ca="1">IFERROR(__xludf.DUMMYFUNCTION("""COMPUTED_VALUE"""),"Individuals At Risk, Refugee and Migrant Rights")</f>
        <v>Individuals At Risk, Refugee and Migrant Rights</v>
      </c>
      <c r="H817" s="1" t="str">
        <f ca="1">IFERROR(__xludf.DUMMYFUNCTION("""COMPUTED_VALUE"""),"2025")</f>
        <v>2025</v>
      </c>
      <c r="I817" s="1" t="str">
        <f ca="1">IFERROR(__xludf.DUMMYFUNCTION("""COMPUTED_VALUE"""),"Letter")</f>
        <v>Letter</v>
      </c>
    </row>
    <row r="818" spans="1:9" ht="13" x14ac:dyDescent="0.15">
      <c r="A818" s="9">
        <f ca="1">IFERROR(__xludf.DUMMYFUNCTION("""COMPUTED_VALUE"""),31730406)</f>
        <v>31730406</v>
      </c>
      <c r="B818" s="1" t="str">
        <f ca="1">IFERROR(__xludf.DUMMYFUNCTION("""COMPUTED_VALUE"""),"meleib48@gmail.com")</f>
        <v>meleib48@gmail.com</v>
      </c>
      <c r="C818" s="9" t="str">
        <f ca="1">IFERROR(__xludf.DUMMYFUNCTION("""COMPUTED_VALUE"""),"EVERGREEN - UAN Gated Content - Embedded Petition")</f>
        <v>EVERGREEN - UAN Gated Content - Embedded Petition</v>
      </c>
      <c r="D818" s="10">
        <f ca="1">IFERROR(__xludf.DUMMYFUNCTION("""COMPUTED_VALUE"""),45636)</f>
        <v>45636</v>
      </c>
      <c r="E818" s="1" t="str">
        <f ca="1">IFERROR(__xludf.DUMMYFUNCTION("""COMPUTED_VALUE"""),"Tunisia")</f>
        <v>Tunisia</v>
      </c>
      <c r="F818" s="1" t="str">
        <f ca="1">IFERROR(__xludf.DUMMYFUNCTION("""COMPUTED_VALUE"""),"Second 76.24 Tunisia")</f>
        <v>Second 76.24 Tunisia</v>
      </c>
      <c r="G818" s="1" t="str">
        <f ca="1">IFERROR(__xludf.DUMMYFUNCTION("""COMPUTED_VALUE"""),"Freedom of Expression, Human Rights Defenders")</f>
        <v>Freedom of Expression, Human Rights Defenders</v>
      </c>
      <c r="H818" s="1" t="str">
        <f ca="1">IFERROR(__xludf.DUMMYFUNCTION("""COMPUTED_VALUE"""),"2025")</f>
        <v>2025</v>
      </c>
      <c r="I818" s="1" t="str">
        <f ca="1">IFERROR(__xludf.DUMMYFUNCTION("""COMPUTED_VALUE"""),"Email")</f>
        <v>Email</v>
      </c>
    </row>
    <row r="819" spans="1:9" ht="13" x14ac:dyDescent="0.15">
      <c r="A819" s="9">
        <f ca="1">IFERROR(__xludf.DUMMYFUNCTION("""COMPUTED_VALUE"""),31730406)</f>
        <v>31730406</v>
      </c>
      <c r="B819" s="1" t="str">
        <f ca="1">IFERROR(__xludf.DUMMYFUNCTION("""COMPUTED_VALUE"""),"meleib48@gmail.com")</f>
        <v>meleib48@gmail.com</v>
      </c>
      <c r="C819" s="9" t="str">
        <f ca="1">IFERROR(__xludf.DUMMYFUNCTION("""COMPUTED_VALUE"""),"EVERGREEN - UAN Gated Content - Embedded Petition")</f>
        <v>EVERGREEN - UAN Gated Content - Embedded Petition</v>
      </c>
      <c r="D819" s="10">
        <f ca="1">IFERROR(__xludf.DUMMYFUNCTION("""COMPUTED_VALUE"""),45628)</f>
        <v>45628</v>
      </c>
      <c r="E819" s="1" t="str">
        <f ca="1">IFERROR(__xludf.DUMMYFUNCTION("""COMPUTED_VALUE"""),"Israel and Occupied Palestinian Territories")</f>
        <v>Israel and Occupied Palestinian Territories</v>
      </c>
      <c r="F819" s="1" t="str">
        <f ca="1">IFERROR(__xludf.DUMMYFUNCTION("""COMPUTED_VALUE"""),"3.25 IOPT")</f>
        <v>3.25 IOPT</v>
      </c>
      <c r="G819" s="1" t="str">
        <f ca="1">IFERROR(__xludf.DUMMYFUNCTION("""COMPUTED_VALUE"""),"Freedom of Expression, Individuals At Risk")</f>
        <v>Freedom of Expression, Individuals At Risk</v>
      </c>
      <c r="H819" s="1" t="str">
        <f ca="1">IFERROR(__xludf.DUMMYFUNCTION("""COMPUTED_VALUE"""),"2025")</f>
        <v>2025</v>
      </c>
      <c r="I819" s="1" t="str">
        <f ca="1">IFERROR(__xludf.DUMMYFUNCTION("""COMPUTED_VALUE"""),"Email")</f>
        <v>Email</v>
      </c>
    </row>
    <row r="820" spans="1:9" ht="13" x14ac:dyDescent="0.15">
      <c r="A820" s="9">
        <f ca="1">IFERROR(__xludf.DUMMYFUNCTION("""COMPUTED_VALUE"""),31730406)</f>
        <v>31730406</v>
      </c>
      <c r="B820" s="1" t="str">
        <f ca="1">IFERROR(__xludf.DUMMYFUNCTION("""COMPUTED_VALUE"""),"meleib48@gmail.com")</f>
        <v>meleib48@gmail.com</v>
      </c>
      <c r="C820" s="9" t="str">
        <f ca="1">IFERROR(__xludf.DUMMYFUNCTION("""COMPUTED_VALUE"""),"EVERGREEN - UAN Gated Content - Embedded Petition")</f>
        <v>EVERGREEN - UAN Gated Content - Embedded Petition</v>
      </c>
      <c r="D820" s="10">
        <f ca="1">IFERROR(__xludf.DUMMYFUNCTION("""COMPUTED_VALUE"""),45662)</f>
        <v>45662</v>
      </c>
      <c r="E820" s="1" t="str">
        <f ca="1">IFERROR(__xludf.DUMMYFUNCTION("""COMPUTED_VALUE"""),"Israel and Occupied Palestinian Territories")</f>
        <v>Israel and Occupied Palestinian Territories</v>
      </c>
      <c r="F820" s="1" t="str">
        <f ca="1">IFERROR(__xludf.DUMMYFUNCTION("""COMPUTED_VALUE"""),"3.25 IOPT")</f>
        <v>3.25 IOPT</v>
      </c>
      <c r="G820" s="1" t="str">
        <f ca="1">IFERROR(__xludf.DUMMYFUNCTION("""COMPUTED_VALUE"""),"Freedom of Expression, Individuals At Risk")</f>
        <v>Freedom of Expression, Individuals At Risk</v>
      </c>
      <c r="H820" s="1" t="str">
        <f ca="1">IFERROR(__xludf.DUMMYFUNCTION("""COMPUTED_VALUE"""),"2025")</f>
        <v>2025</v>
      </c>
      <c r="I820" s="1" t="str">
        <f ca="1">IFERROR(__xludf.DUMMYFUNCTION("""COMPUTED_VALUE"""),"Email")</f>
        <v>Email</v>
      </c>
    </row>
    <row r="821" spans="1:9" ht="13" x14ac:dyDescent="0.15">
      <c r="A821" s="9">
        <f ca="1">IFERROR(__xludf.DUMMYFUNCTION("""COMPUTED_VALUE"""),31730406)</f>
        <v>31730406</v>
      </c>
      <c r="B821" s="1" t="str">
        <f ca="1">IFERROR(__xludf.DUMMYFUNCTION("""COMPUTED_VALUE"""),"meleib48@gmail.com")</f>
        <v>meleib48@gmail.com</v>
      </c>
      <c r="C821" s="9" t="str">
        <f ca="1">IFERROR(__xludf.DUMMYFUNCTION("""COMPUTED_VALUE"""),"EVERGREEN - UAN Gated Content - Embedded Petition")</f>
        <v>EVERGREEN - UAN Gated Content - Embedded Petition</v>
      </c>
      <c r="D821" s="10">
        <f ca="1">IFERROR(__xludf.DUMMYFUNCTION("""COMPUTED_VALUE"""),45645)</f>
        <v>45645</v>
      </c>
      <c r="E821" s="1" t="str">
        <f ca="1">IFERROR(__xludf.DUMMYFUNCTION("""COMPUTED_VALUE"""),"USA")</f>
        <v>USA</v>
      </c>
      <c r="F821" s="1" t="str">
        <f ca="1">IFERROR(__xludf.DUMMYFUNCTION("""COMPUTED_VALUE"""),"Fourth 55.24 USA")</f>
        <v>Fourth 55.24 USA</v>
      </c>
      <c r="G821" s="1" t="str">
        <f ca="1">IFERROR(__xludf.DUMMYFUNCTION("""COMPUTED_VALUE"""),"Climate Justice, Individuals At Risk")</f>
        <v>Climate Justice, Individuals At Risk</v>
      </c>
      <c r="H821" s="1" t="str">
        <f ca="1">IFERROR(__xludf.DUMMYFUNCTION("""COMPUTED_VALUE"""),"2025")</f>
        <v>2025</v>
      </c>
      <c r="I821" s="1" t="str">
        <f ca="1">IFERROR(__xludf.DUMMYFUNCTION("""COMPUTED_VALUE"""),"Email")</f>
        <v>Email</v>
      </c>
    </row>
    <row r="822" spans="1:9" ht="13" x14ac:dyDescent="0.15">
      <c r="A822" s="9">
        <f ca="1">IFERROR(__xludf.DUMMYFUNCTION("""COMPUTED_VALUE"""),31730406)</f>
        <v>31730406</v>
      </c>
      <c r="B822" s="1" t="str">
        <f ca="1">IFERROR(__xludf.DUMMYFUNCTION("""COMPUTED_VALUE"""),"meleib48@gmail.com")</f>
        <v>meleib48@gmail.com</v>
      </c>
      <c r="C822" s="9" t="str">
        <f ca="1">IFERROR(__xludf.DUMMYFUNCTION("""COMPUTED_VALUE"""),"EVERGREEN - UAN Gated Content - Embedded Petition")</f>
        <v>EVERGREEN - UAN Gated Content - Embedded Petition</v>
      </c>
      <c r="D822" s="10">
        <f ca="1">IFERROR(__xludf.DUMMYFUNCTION("""COMPUTED_VALUE"""),45690)</f>
        <v>45690</v>
      </c>
      <c r="E822" s="1" t="str">
        <f ca="1">IFERROR(__xludf.DUMMYFUNCTION("""COMPUTED_VALUE"""),"Dominican Republic")</f>
        <v>Dominican Republic</v>
      </c>
      <c r="F822" s="1" t="str">
        <f ca="1">IFERROR(__xludf.DUMMYFUNCTION("""COMPUTED_VALUE"""),"88.24 Dominican Republic")</f>
        <v>88.24 Dominican Republic</v>
      </c>
      <c r="G822" s="1" t="str">
        <f ca="1">IFERROR(__xludf.DUMMYFUNCTION("""COMPUTED_VALUE"""),"Individuals At Risk, Refugee and Migrant Rights")</f>
        <v>Individuals At Risk, Refugee and Migrant Rights</v>
      </c>
      <c r="H822" s="1" t="str">
        <f ca="1">IFERROR(__xludf.DUMMYFUNCTION("""COMPUTED_VALUE"""),"2024")</f>
        <v>2024</v>
      </c>
      <c r="I822" s="1" t="str">
        <f ca="1">IFERROR(__xludf.DUMMYFUNCTION("""COMPUTED_VALUE"""),"Letter")</f>
        <v>Letter</v>
      </c>
    </row>
    <row r="823" spans="1:9" ht="13" x14ac:dyDescent="0.15">
      <c r="A823" s="9">
        <f ca="1">IFERROR(__xludf.DUMMYFUNCTION("""COMPUTED_VALUE"""),31730406)</f>
        <v>31730406</v>
      </c>
      <c r="B823" s="1" t="str">
        <f ca="1">IFERROR(__xludf.DUMMYFUNCTION("""COMPUTED_VALUE"""),"meleib48@gmail.com")</f>
        <v>meleib48@gmail.com</v>
      </c>
      <c r="C823" s="9" t="str">
        <f ca="1">IFERROR(__xludf.DUMMYFUNCTION("""COMPUTED_VALUE"""),"EVERGREEN - UAN Gated Content - Embedded Petition")</f>
        <v>EVERGREEN - UAN Gated Content - Embedded Petition</v>
      </c>
      <c r="D823" s="10">
        <f ca="1">IFERROR(__xludf.DUMMYFUNCTION("""COMPUTED_VALUE"""),45649)</f>
        <v>45649</v>
      </c>
      <c r="E823" s="1" t="str">
        <f ca="1">IFERROR(__xludf.DUMMYFUNCTION("""COMPUTED_VALUE"""),"China")</f>
        <v>China</v>
      </c>
      <c r="F823" s="1" t="str">
        <f ca="1">IFERROR(__xludf.DUMMYFUNCTION("""COMPUTED_VALUE"""),"98.24 China")</f>
        <v>98.24 China</v>
      </c>
      <c r="G823" s="1" t="str">
        <f ca="1">IFERROR(__xludf.DUMMYFUNCTION("""COMPUTED_VALUE"""),"Freedom of Expression, Individuals At Risk")</f>
        <v>Freedom of Expression, Individuals At Risk</v>
      </c>
      <c r="H823" s="1" t="str">
        <f ca="1">IFERROR(__xludf.DUMMYFUNCTION("""COMPUTED_VALUE"""),"2024")</f>
        <v>2024</v>
      </c>
      <c r="I823" s="1" t="str">
        <f ca="1">IFERROR(__xludf.DUMMYFUNCTION("""COMPUTED_VALUE"""),"Letter")</f>
        <v>Letter</v>
      </c>
    </row>
    <row r="824" spans="1:9" ht="13" x14ac:dyDescent="0.15">
      <c r="A824" s="9">
        <f ca="1">IFERROR(__xludf.DUMMYFUNCTION("""COMPUTED_VALUE"""),31730406)</f>
        <v>31730406</v>
      </c>
      <c r="B824" s="1" t="str">
        <f ca="1">IFERROR(__xludf.DUMMYFUNCTION("""COMPUTED_VALUE"""),"meleib48@gmail.com")</f>
        <v>meleib48@gmail.com</v>
      </c>
      <c r="C824" s="9" t="str">
        <f ca="1">IFERROR(__xludf.DUMMYFUNCTION("""COMPUTED_VALUE"""),"EVERGREEN - UAN Gated Content - Embedded Petition")</f>
        <v>EVERGREEN - UAN Gated Content - Embedded Petition</v>
      </c>
      <c r="D824" s="10">
        <f ca="1">IFERROR(__xludf.DUMMYFUNCTION("""COMPUTED_VALUE"""),45650)</f>
        <v>45650</v>
      </c>
      <c r="E824" s="1" t="str">
        <f ca="1">IFERROR(__xludf.DUMMYFUNCTION("""COMPUTED_VALUE"""),"Tunisia")</f>
        <v>Tunisia</v>
      </c>
      <c r="F824" s="1" t="str">
        <f ca="1">IFERROR(__xludf.DUMMYFUNCTION("""COMPUTED_VALUE"""),"Second 76.24 Tunisia")</f>
        <v>Second 76.24 Tunisia</v>
      </c>
      <c r="G824" s="1" t="str">
        <f ca="1">IFERROR(__xludf.DUMMYFUNCTION("""COMPUTED_VALUE"""),"Freedom of Expression, Human Rights Defenders")</f>
        <v>Freedom of Expression, Human Rights Defenders</v>
      </c>
      <c r="H824" s="1" t="str">
        <f ca="1">IFERROR(__xludf.DUMMYFUNCTION("""COMPUTED_VALUE"""),"2025")</f>
        <v>2025</v>
      </c>
      <c r="I824" s="1" t="str">
        <f ca="1">IFERROR(__xludf.DUMMYFUNCTION("""COMPUTED_VALUE"""),"Email")</f>
        <v>Email</v>
      </c>
    </row>
    <row r="825" spans="1:9" ht="13" x14ac:dyDescent="0.15">
      <c r="A825" s="9">
        <f ca="1">IFERROR(__xludf.DUMMYFUNCTION("""COMPUTED_VALUE"""),31730406)</f>
        <v>31730406</v>
      </c>
      <c r="B825" s="1" t="str">
        <f ca="1">IFERROR(__xludf.DUMMYFUNCTION("""COMPUTED_VALUE"""),"meleib48@gmail.com")</f>
        <v>meleib48@gmail.com</v>
      </c>
      <c r="C825" s="9" t="str">
        <f ca="1">IFERROR(__xludf.DUMMYFUNCTION("""COMPUTED_VALUE"""),"EVERGREEN - UAN Gated Content - Embedded Petition")</f>
        <v>EVERGREEN - UAN Gated Content - Embedded Petition</v>
      </c>
      <c r="D825" s="10">
        <f ca="1">IFERROR(__xludf.DUMMYFUNCTION("""COMPUTED_VALUE"""),45672)</f>
        <v>45672</v>
      </c>
      <c r="E825" s="1" t="str">
        <f ca="1">IFERROR(__xludf.DUMMYFUNCTION("""COMPUTED_VALUE"""),"Tunisia")</f>
        <v>Tunisia</v>
      </c>
      <c r="F825" s="1" t="str">
        <f ca="1">IFERROR(__xludf.DUMMYFUNCTION("""COMPUTED_VALUE"""),"Second 76.24 Tunisia")</f>
        <v>Second 76.24 Tunisia</v>
      </c>
      <c r="G825" s="1" t="str">
        <f ca="1">IFERROR(__xludf.DUMMYFUNCTION("""COMPUTED_VALUE"""),"Freedom of Expression, Human Rights Defenders")</f>
        <v>Freedom of Expression, Human Rights Defenders</v>
      </c>
      <c r="H825" s="1" t="str">
        <f ca="1">IFERROR(__xludf.DUMMYFUNCTION("""COMPUTED_VALUE"""),"2025")</f>
        <v>2025</v>
      </c>
      <c r="I825" s="1" t="str">
        <f ca="1">IFERROR(__xludf.DUMMYFUNCTION("""COMPUTED_VALUE"""),"Email")</f>
        <v>Email</v>
      </c>
    </row>
    <row r="826" spans="1:9" ht="13" x14ac:dyDescent="0.15">
      <c r="A826" s="9">
        <f ca="1">IFERROR(__xludf.DUMMYFUNCTION("""COMPUTED_VALUE"""),31733360)</f>
        <v>31733360</v>
      </c>
      <c r="B826" s="1" t="str">
        <f ca="1">IFERROR(__xludf.DUMMYFUNCTION("""COMPUTED_VALUE"""),"marabraverman@gmail.com")</f>
        <v>marabraverman@gmail.com</v>
      </c>
      <c r="C826" s="9" t="str">
        <f ca="1">IFERROR(__xludf.DUMMYFUNCTION("""COMPUTED_VALUE"""),"EVERGREEN - UAN Gated Content - Embedded Petition")</f>
        <v>EVERGREEN - UAN Gated Content - Embedded Petition</v>
      </c>
      <c r="D826" s="10">
        <f ca="1">IFERROR(__xludf.DUMMYFUNCTION("""COMPUTED_VALUE"""),45675)</f>
        <v>45675</v>
      </c>
      <c r="E826" s="1" t="str">
        <f ca="1">IFERROR(__xludf.DUMMYFUNCTION("""COMPUTED_VALUE"""),"China")</f>
        <v>China</v>
      </c>
      <c r="F826" s="1" t="str">
        <f ca="1">IFERROR(__xludf.DUMMYFUNCTION("""COMPUTED_VALUE"""),"106.24 China")</f>
        <v>106.24 China</v>
      </c>
      <c r="G826" s="1" t="str">
        <f ca="1">IFERROR(__xludf.DUMMYFUNCTION("""COMPUTED_VALUE"""),"Freedom of Expression, Individuals At Risk")</f>
        <v>Freedom of Expression, Individuals At Risk</v>
      </c>
      <c r="H826" s="1" t="str">
        <f ca="1">IFERROR(__xludf.DUMMYFUNCTION("""COMPUTED_VALUE"""),"2024")</f>
        <v>2024</v>
      </c>
      <c r="I826" s="1" t="str">
        <f ca="1">IFERROR(__xludf.DUMMYFUNCTION("""COMPUTED_VALUE"""),"Email")</f>
        <v>Email</v>
      </c>
    </row>
    <row r="827" spans="1:9" ht="13" x14ac:dyDescent="0.15">
      <c r="A827" s="9">
        <f ca="1">IFERROR(__xludf.DUMMYFUNCTION("""COMPUTED_VALUE"""),31733360)</f>
        <v>31733360</v>
      </c>
      <c r="B827" s="1" t="str">
        <f ca="1">IFERROR(__xludf.DUMMYFUNCTION("""COMPUTED_VALUE"""),"marabraverman@gmail.com")</f>
        <v>marabraverman@gmail.com</v>
      </c>
      <c r="C827" s="9" t="str">
        <f ca="1">IFERROR(__xludf.DUMMYFUNCTION("""COMPUTED_VALUE"""),"EVERGREEN - UAN Gated Content - Embedded Petition")</f>
        <v>EVERGREEN - UAN Gated Content - Embedded Petition</v>
      </c>
      <c r="D827" s="10">
        <f ca="1">IFERROR(__xludf.DUMMYFUNCTION("""COMPUTED_VALUE"""),45675)</f>
        <v>45675</v>
      </c>
      <c r="E827" s="1" t="str">
        <f ca="1">IFERROR(__xludf.DUMMYFUNCTION("""COMPUTED_VALUE"""),"USA")</f>
        <v>USA</v>
      </c>
      <c r="F827" s="1" t="str">
        <f ca="1">IFERROR(__xludf.DUMMYFUNCTION("""COMPUTED_VALUE"""),"4.25 USA")</f>
        <v>4.25 USA</v>
      </c>
      <c r="G827" s="1" t="str">
        <f ca="1">IFERROR(__xludf.DUMMYFUNCTION("""COMPUTED_VALUE"""),"Individuals At Risk, Refugee and Migrant Rights")</f>
        <v>Individuals At Risk, Refugee and Migrant Rights</v>
      </c>
      <c r="H827" s="1" t="str">
        <f ca="1">IFERROR(__xludf.DUMMYFUNCTION("""COMPUTED_VALUE"""),"2025")</f>
        <v>2025</v>
      </c>
      <c r="I827" s="1" t="str">
        <f ca="1">IFERROR(__xludf.DUMMYFUNCTION("""COMPUTED_VALUE"""),"Letter")</f>
        <v>Letter</v>
      </c>
    </row>
    <row r="828" spans="1:9" ht="13" x14ac:dyDescent="0.15">
      <c r="A828" s="9">
        <f ca="1">IFERROR(__xludf.DUMMYFUNCTION("""COMPUTED_VALUE"""),31750527)</f>
        <v>31750527</v>
      </c>
      <c r="B828" s="1" t="str">
        <f ca="1">IFERROR(__xludf.DUMMYFUNCTION("""COMPUTED_VALUE"""),"jimmycarl@hotmail.com")</f>
        <v>jimmycarl@hotmail.com</v>
      </c>
      <c r="C828" s="9" t="str">
        <f ca="1">IFERROR(__xludf.DUMMYFUNCTION("""COMPUTED_VALUE"""),"EVERGREEN - UAN Gated Content - Embedded Petition")</f>
        <v>EVERGREEN - UAN Gated Content - Embedded Petition</v>
      </c>
      <c r="D828" s="10">
        <f ca="1">IFERROR(__xludf.DUMMYFUNCTION("""COMPUTED_VALUE"""),45650)</f>
        <v>45650</v>
      </c>
      <c r="E828" s="1" t="str">
        <f ca="1">IFERROR(__xludf.DUMMYFUNCTION("""COMPUTED_VALUE"""),"Iran")</f>
        <v>Iran</v>
      </c>
      <c r="F828" s="1" t="str">
        <f ca="1">IFERROR(__xludf.DUMMYFUNCTION("""COMPUTED_VALUE"""),"Seventh 103.22 Iran")</f>
        <v>Seventh 103.22 Iran</v>
      </c>
      <c r="G828" s="1" t="str">
        <f ca="1">IFERROR(__xludf.DUMMYFUNCTION("""COMPUTED_VALUE"""),"Death Penalty, Freedom of Expression, Individuals At Risk")</f>
        <v>Death Penalty, Freedom of Expression, Individuals At Risk</v>
      </c>
      <c r="H828" s="1" t="str">
        <f ca="1">IFERROR(__xludf.DUMMYFUNCTION("""COMPUTED_VALUE"""),"2024")</f>
        <v>2024</v>
      </c>
      <c r="I828" s="1" t="str">
        <f ca="1">IFERROR(__xludf.DUMMYFUNCTION("""COMPUTED_VALUE"""),"Email")</f>
        <v>Email</v>
      </c>
    </row>
    <row r="829" spans="1:9" ht="13" x14ac:dyDescent="0.15">
      <c r="A829" s="9">
        <f ca="1">IFERROR(__xludf.DUMMYFUNCTION("""COMPUTED_VALUE"""),31750527)</f>
        <v>31750527</v>
      </c>
      <c r="B829" s="1" t="str">
        <f ca="1">IFERROR(__xludf.DUMMYFUNCTION("""COMPUTED_VALUE"""),"jimmycarl@hotmail.com")</f>
        <v>jimmycarl@hotmail.com</v>
      </c>
      <c r="C829" s="9" t="str">
        <f ca="1">IFERROR(__xludf.DUMMYFUNCTION("""COMPUTED_VALUE"""),"EVERGREEN - UAN Gated Content - Embedded Petition")</f>
        <v>EVERGREEN - UAN Gated Content - Embedded Petition</v>
      </c>
      <c r="D829" s="10">
        <f ca="1">IFERROR(__xludf.DUMMYFUNCTION("""COMPUTED_VALUE"""),45700)</f>
        <v>45700</v>
      </c>
      <c r="E829" s="1" t="str">
        <f ca="1">IFERROR(__xludf.DUMMYFUNCTION("""COMPUTED_VALUE"""),"USA")</f>
        <v>USA</v>
      </c>
      <c r="F829" s="1" t="str">
        <f ca="1">IFERROR(__xludf.DUMMYFUNCTION("""COMPUTED_VALUE"""),"4.25 USA")</f>
        <v>4.25 USA</v>
      </c>
      <c r="G829" s="1" t="str">
        <f ca="1">IFERROR(__xludf.DUMMYFUNCTION("""COMPUTED_VALUE"""),"Individuals At Risk, Refugee and Migrant Rights")</f>
        <v>Individuals At Risk, Refugee and Migrant Rights</v>
      </c>
      <c r="H829" s="1" t="str">
        <f ca="1">IFERROR(__xludf.DUMMYFUNCTION("""COMPUTED_VALUE"""),"2025")</f>
        <v>2025</v>
      </c>
      <c r="I829" s="1" t="str">
        <f ca="1">IFERROR(__xludf.DUMMYFUNCTION("""COMPUTED_VALUE"""),"Letter")</f>
        <v>Letter</v>
      </c>
    </row>
    <row r="830" spans="1:9" ht="13" x14ac:dyDescent="0.15">
      <c r="A830" s="9">
        <f ca="1">IFERROR(__xludf.DUMMYFUNCTION("""COMPUTED_VALUE"""),31750527)</f>
        <v>31750527</v>
      </c>
      <c r="B830" s="1" t="str">
        <f ca="1">IFERROR(__xludf.DUMMYFUNCTION("""COMPUTED_VALUE"""),"jimmycarl@hotmail.com")</f>
        <v>jimmycarl@hotmail.com</v>
      </c>
      <c r="C830" s="9" t="str">
        <f ca="1">IFERROR(__xludf.DUMMYFUNCTION("""COMPUTED_VALUE"""),"EVERGREEN - UAN Gated Content - Embedded Petition")</f>
        <v>EVERGREEN - UAN Gated Content - Embedded Petition</v>
      </c>
      <c r="D830" s="10">
        <f ca="1">IFERROR(__xludf.DUMMYFUNCTION("""COMPUTED_VALUE"""),45628)</f>
        <v>45628</v>
      </c>
      <c r="E830" s="1" t="str">
        <f ca="1">IFERROR(__xludf.DUMMYFUNCTION("""COMPUTED_VALUE"""),"USA")</f>
        <v>USA</v>
      </c>
      <c r="F830" s="1" t="str">
        <f ca="1">IFERROR(__xludf.DUMMYFUNCTION("""COMPUTED_VALUE"""),"Fourth 55.24 USA")</f>
        <v>Fourth 55.24 USA</v>
      </c>
      <c r="G830" s="1" t="str">
        <f ca="1">IFERROR(__xludf.DUMMYFUNCTION("""COMPUTED_VALUE"""),"Climate Justice, Individuals At Risk")</f>
        <v>Climate Justice, Individuals At Risk</v>
      </c>
      <c r="H830" s="1" t="str">
        <f ca="1">IFERROR(__xludf.DUMMYFUNCTION("""COMPUTED_VALUE"""),"2025")</f>
        <v>2025</v>
      </c>
      <c r="I830" s="1" t="str">
        <f ca="1">IFERROR(__xludf.DUMMYFUNCTION("""COMPUTED_VALUE"""),"Email")</f>
        <v>Email</v>
      </c>
    </row>
    <row r="831" spans="1:9" ht="13" x14ac:dyDescent="0.15">
      <c r="A831" s="9">
        <f ca="1">IFERROR(__xludf.DUMMYFUNCTION("""COMPUTED_VALUE"""),31750527)</f>
        <v>31750527</v>
      </c>
      <c r="B831" s="1" t="str">
        <f ca="1">IFERROR(__xludf.DUMMYFUNCTION("""COMPUTED_VALUE"""),"jimmycarl@hotmail.com")</f>
        <v>jimmycarl@hotmail.com</v>
      </c>
      <c r="C831" s="9" t="str">
        <f ca="1">IFERROR(__xludf.DUMMYFUNCTION("""COMPUTED_VALUE"""),"EVERGREEN - UAN Gated Content - Embedded Petition")</f>
        <v>EVERGREEN - UAN Gated Content - Embedded Petition</v>
      </c>
      <c r="D831" s="10">
        <f ca="1">IFERROR(__xludf.DUMMYFUNCTION("""COMPUTED_VALUE"""),45643)</f>
        <v>45643</v>
      </c>
      <c r="E831" s="1" t="str">
        <f ca="1">IFERROR(__xludf.DUMMYFUNCTION("""COMPUTED_VALUE"""),"Azerbaijan")</f>
        <v>Azerbaijan</v>
      </c>
      <c r="F831" s="1" t="str">
        <f ca="1">IFERROR(__xludf.DUMMYFUNCTION("""COMPUTED_VALUE"""),"2.25 Azerbaijan")</f>
        <v>2.25 Azerbaijan</v>
      </c>
      <c r="G831" s="1" t="str">
        <f ca="1">IFERROR(__xludf.DUMMYFUNCTION("""COMPUTED_VALUE"""),"Freedom of Expression, Human Rights Defenders")</f>
        <v>Freedom of Expression, Human Rights Defenders</v>
      </c>
      <c r="H831" s="1" t="str">
        <f ca="1">IFERROR(__xludf.DUMMYFUNCTION("""COMPUTED_VALUE"""),"2025")</f>
        <v>2025</v>
      </c>
      <c r="I831" s="1" t="str">
        <f ca="1">IFERROR(__xludf.DUMMYFUNCTION("""COMPUTED_VALUE"""),"Email")</f>
        <v>Email</v>
      </c>
    </row>
    <row r="832" spans="1:9" ht="13" x14ac:dyDescent="0.15">
      <c r="A832" s="9">
        <f ca="1">IFERROR(__xludf.DUMMYFUNCTION("""COMPUTED_VALUE"""),31750527)</f>
        <v>31750527</v>
      </c>
      <c r="B832" s="1" t="str">
        <f ca="1">IFERROR(__xludf.DUMMYFUNCTION("""COMPUTED_VALUE"""),"jimmycarl@hotmail.com")</f>
        <v>jimmycarl@hotmail.com</v>
      </c>
      <c r="C832" s="9" t="str">
        <f ca="1">IFERROR(__xludf.DUMMYFUNCTION("""COMPUTED_VALUE"""),"EVERGREEN - UAN Gated Content - Embedded Petition")</f>
        <v>EVERGREEN - UAN Gated Content - Embedded Petition</v>
      </c>
      <c r="D832" s="10">
        <f ca="1">IFERROR(__xludf.DUMMYFUNCTION("""COMPUTED_VALUE"""),45672)</f>
        <v>45672</v>
      </c>
      <c r="E832" s="1" t="str">
        <f ca="1">IFERROR(__xludf.DUMMYFUNCTION("""COMPUTED_VALUE"""),"Tunisia")</f>
        <v>Tunisia</v>
      </c>
      <c r="F832" s="1" t="str">
        <f ca="1">IFERROR(__xludf.DUMMYFUNCTION("""COMPUTED_VALUE"""),"Second 76.24 Tunisia")</f>
        <v>Second 76.24 Tunisia</v>
      </c>
      <c r="G832" s="1" t="str">
        <f ca="1">IFERROR(__xludf.DUMMYFUNCTION("""COMPUTED_VALUE"""),"Freedom of Expression, Human Rights Defenders")</f>
        <v>Freedom of Expression, Human Rights Defenders</v>
      </c>
      <c r="H832" s="1" t="str">
        <f ca="1">IFERROR(__xludf.DUMMYFUNCTION("""COMPUTED_VALUE"""),"2025")</f>
        <v>2025</v>
      </c>
      <c r="I832" s="1" t="str">
        <f ca="1">IFERROR(__xludf.DUMMYFUNCTION("""COMPUTED_VALUE"""),"Email")</f>
        <v>Email</v>
      </c>
    </row>
    <row r="833" spans="1:9" ht="13" x14ac:dyDescent="0.15">
      <c r="A833" s="9">
        <f ca="1">IFERROR(__xludf.DUMMYFUNCTION("""COMPUTED_VALUE"""),31750527)</f>
        <v>31750527</v>
      </c>
      <c r="B833" s="1" t="str">
        <f ca="1">IFERROR(__xludf.DUMMYFUNCTION("""COMPUTED_VALUE"""),"jimmycarl@hotmail.com")</f>
        <v>jimmycarl@hotmail.com</v>
      </c>
      <c r="C833" s="9" t="str">
        <f ca="1">IFERROR(__xludf.DUMMYFUNCTION("""COMPUTED_VALUE"""),"EVERGREEN - UAN Gated Content - Embedded Petition")</f>
        <v>EVERGREEN - UAN Gated Content - Embedded Petition</v>
      </c>
      <c r="D833" s="10">
        <f ca="1">IFERROR(__xludf.DUMMYFUNCTION("""COMPUTED_VALUE"""),45678)</f>
        <v>45678</v>
      </c>
      <c r="E833" s="1" t="str">
        <f ca="1">IFERROR(__xludf.DUMMYFUNCTION("""COMPUTED_VALUE"""),"Russian Federation")</f>
        <v>Russian Federation</v>
      </c>
      <c r="F833" s="1" t="str">
        <f ca="1">IFERROR(__xludf.DUMMYFUNCTION("""COMPUTED_VALUE"""),"102.24 Russia")</f>
        <v>102.24 Russia</v>
      </c>
      <c r="G833" s="1" t="str">
        <f ca="1">IFERROR(__xludf.DUMMYFUNCTION("""COMPUTED_VALUE"""),"Freedom of Expression, Individuals At Risk, Right to Protest")</f>
        <v>Freedom of Expression, Individuals At Risk, Right to Protest</v>
      </c>
      <c r="H833" s="1" t="str">
        <f ca="1">IFERROR(__xludf.DUMMYFUNCTION("""COMPUTED_VALUE"""),"2024")</f>
        <v>2024</v>
      </c>
      <c r="I833" s="1" t="str">
        <f ca="1">IFERROR(__xludf.DUMMYFUNCTION("""COMPUTED_VALUE"""),"Email")</f>
        <v>Email</v>
      </c>
    </row>
    <row r="834" spans="1:9" ht="13" x14ac:dyDescent="0.15">
      <c r="A834" s="9">
        <f ca="1">IFERROR(__xludf.DUMMYFUNCTION("""COMPUTED_VALUE"""),31750527)</f>
        <v>31750527</v>
      </c>
      <c r="B834" s="1" t="str">
        <f ca="1">IFERROR(__xludf.DUMMYFUNCTION("""COMPUTED_VALUE"""),"jimmycarl@hotmail.com")</f>
        <v>jimmycarl@hotmail.com</v>
      </c>
      <c r="C834" s="9" t="str">
        <f ca="1">IFERROR(__xludf.DUMMYFUNCTION("""COMPUTED_VALUE"""),"EVERGREEN - UAN Gated Content - Embedded Petition")</f>
        <v>EVERGREEN - UAN Gated Content - Embedded Petition</v>
      </c>
      <c r="D834" s="10">
        <f ca="1">IFERROR(__xludf.DUMMYFUNCTION("""COMPUTED_VALUE"""),45700)</f>
        <v>45700</v>
      </c>
      <c r="E834" s="1" t="str">
        <f ca="1">IFERROR(__xludf.DUMMYFUNCTION("""COMPUTED_VALUE"""),"Saudi Arabia")</f>
        <v>Saudi Arabia</v>
      </c>
      <c r="F834" s="1" t="str">
        <f ca="1">IFERROR(__xludf.DUMMYFUNCTION("""COMPUTED_VALUE"""),"Fifth 257.12")</f>
        <v>Fifth 257.12</v>
      </c>
      <c r="G834" s="1" t="str">
        <f ca="1">IFERROR(__xludf.DUMMYFUNCTION("""COMPUTED_VALUE"""),"Freedom of Expression, Human Rights Defenders")</f>
        <v>Freedom of Expression, Human Rights Defenders</v>
      </c>
      <c r="H834" s="1" t="str">
        <f ca="1">IFERROR(__xludf.DUMMYFUNCTION("""COMPUTED_VALUE"""),"2025")</f>
        <v>2025</v>
      </c>
      <c r="I834" s="1" t="str">
        <f ca="1">IFERROR(__xludf.DUMMYFUNCTION("""COMPUTED_VALUE"""),"Email")</f>
        <v>Email</v>
      </c>
    </row>
    <row r="835" spans="1:9" ht="13" x14ac:dyDescent="0.15">
      <c r="A835" s="9">
        <f ca="1">IFERROR(__xludf.DUMMYFUNCTION("""COMPUTED_VALUE"""),31750603)</f>
        <v>31750603</v>
      </c>
      <c r="B835" s="1" t="str">
        <f ca="1">IFERROR(__xludf.DUMMYFUNCTION("""COMPUTED_VALUE"""),"smilburn@igc.org")</f>
        <v>smilburn@igc.org</v>
      </c>
      <c r="C835" s="9" t="str">
        <f ca="1">IFERROR(__xludf.DUMMYFUNCTION("""COMPUTED_VALUE"""),"EVERGREEN - UAN Gated Content - Embedded Petition")</f>
        <v>EVERGREEN - UAN Gated Content - Embedded Petition</v>
      </c>
      <c r="D835" s="10">
        <f ca="1">IFERROR(__xludf.DUMMYFUNCTION("""COMPUTED_VALUE"""),45616)</f>
        <v>45616</v>
      </c>
      <c r="E835" s="1" t="str">
        <f ca="1">IFERROR(__xludf.DUMMYFUNCTION("""COMPUTED_VALUE"""),"Egypt")</f>
        <v>Egypt</v>
      </c>
      <c r="F835" s="1" t="str">
        <f ca="1">IFERROR(__xludf.DUMMYFUNCTION("""COMPUTED_VALUE"""),"Ninth 190.18 Egypt")</f>
        <v>Ninth 190.18 Egypt</v>
      </c>
      <c r="G835" s="1" t="str">
        <f ca="1">IFERROR(__xludf.DUMMYFUNCTION("""COMPUTED_VALUE"""),"Freedom of Expression, Individuals At Risk")</f>
        <v>Freedom of Expression, Individuals At Risk</v>
      </c>
      <c r="H835" s="1" t="str">
        <f ca="1">IFERROR(__xludf.DUMMYFUNCTION("""COMPUTED_VALUE"""),"2024")</f>
        <v>2024</v>
      </c>
      <c r="I835" s="1" t="str">
        <f ca="1">IFERROR(__xludf.DUMMYFUNCTION("""COMPUTED_VALUE"""),"Letter")</f>
        <v>Letter</v>
      </c>
    </row>
    <row r="836" spans="1:9" ht="13" x14ac:dyDescent="0.15">
      <c r="A836" s="9">
        <f ca="1">IFERROR(__xludf.DUMMYFUNCTION("""COMPUTED_VALUE"""),31752860)</f>
        <v>31752860</v>
      </c>
      <c r="B836" s="1" t="str">
        <f ca="1">IFERROR(__xludf.DUMMYFUNCTION("""COMPUTED_VALUE"""),"fpbelcast@gmail.com")</f>
        <v>fpbelcast@gmail.com</v>
      </c>
      <c r="C836" s="9" t="str">
        <f ca="1">IFERROR(__xludf.DUMMYFUNCTION("""COMPUTED_VALUE"""),"EVERGREEN - UAN Gated Content - Embedded Petition")</f>
        <v>EVERGREEN - UAN Gated Content - Embedded Petition</v>
      </c>
      <c r="D836" s="10">
        <f ca="1">IFERROR(__xludf.DUMMYFUNCTION("""COMPUTED_VALUE"""),45694)</f>
        <v>45694</v>
      </c>
      <c r="E836" s="1" t="str">
        <f ca="1">IFERROR(__xludf.DUMMYFUNCTION("""COMPUTED_VALUE"""),"Venezuela")</f>
        <v>Venezuela</v>
      </c>
      <c r="F836" s="1" t="str">
        <f ca="1">IFERROR(__xludf.DUMMYFUNCTION("""COMPUTED_VALUE"""),"97.24 Venezuela")</f>
        <v>97.24 Venezuela</v>
      </c>
      <c r="G836" s="1" t="str">
        <f ca="1">IFERROR(__xludf.DUMMYFUNCTION("""COMPUTED_VALUE"""),"Freedom of Expression")</f>
        <v>Freedom of Expression</v>
      </c>
      <c r="H836" s="1" t="str">
        <f ca="1">IFERROR(__xludf.DUMMYFUNCTION("""COMPUTED_VALUE"""),"2024")</f>
        <v>2024</v>
      </c>
      <c r="I836" s="1" t="str">
        <f ca="1">IFERROR(__xludf.DUMMYFUNCTION("""COMPUTED_VALUE"""),"Letter")</f>
        <v>Letter</v>
      </c>
    </row>
    <row r="837" spans="1:9" ht="13" x14ac:dyDescent="0.15">
      <c r="A837" s="9">
        <f ca="1">IFERROR(__xludf.DUMMYFUNCTION("""COMPUTED_VALUE"""),31765916)</f>
        <v>31765916</v>
      </c>
      <c r="B837" s="1" t="str">
        <f ca="1">IFERROR(__xludf.DUMMYFUNCTION("""COMPUTED_VALUE"""),"jconsiglio@rocketmail.com")</f>
        <v>jconsiglio@rocketmail.com</v>
      </c>
      <c r="C837" s="9" t="str">
        <f ca="1">IFERROR(__xludf.DUMMYFUNCTION("""COMPUTED_VALUE"""),"EVERGREEN - UAN Gated Content - Embedded Petition")</f>
        <v>EVERGREEN - UAN Gated Content - Embedded Petition</v>
      </c>
      <c r="D837" s="10">
        <f ca="1">IFERROR(__xludf.DUMMYFUNCTION("""COMPUTED_VALUE"""),45694)</f>
        <v>45694</v>
      </c>
      <c r="E837" s="1" t="str">
        <f ca="1">IFERROR(__xludf.DUMMYFUNCTION("""COMPUTED_VALUE"""),"China")</f>
        <v>China</v>
      </c>
      <c r="F837" s="1" t="str">
        <f ca="1">IFERROR(__xludf.DUMMYFUNCTION("""COMPUTED_VALUE"""),"98.24 China")</f>
        <v>98.24 China</v>
      </c>
      <c r="G837" s="1" t="str">
        <f ca="1">IFERROR(__xludf.DUMMYFUNCTION("""COMPUTED_VALUE"""),"Freedom of Expression, Individuals At Risk")</f>
        <v>Freedom of Expression, Individuals At Risk</v>
      </c>
      <c r="H837" s="1" t="str">
        <f ca="1">IFERROR(__xludf.DUMMYFUNCTION("""COMPUTED_VALUE"""),"2024")</f>
        <v>2024</v>
      </c>
      <c r="I837" s="1" t="str">
        <f ca="1">IFERROR(__xludf.DUMMYFUNCTION("""COMPUTED_VALUE"""),"Letter")</f>
        <v>Letter</v>
      </c>
    </row>
    <row r="838" spans="1:9" ht="13" x14ac:dyDescent="0.15">
      <c r="A838" s="9">
        <f ca="1">IFERROR(__xludf.DUMMYFUNCTION("""COMPUTED_VALUE"""),31771228)</f>
        <v>31771228</v>
      </c>
      <c r="B838" s="1" t="str">
        <f ca="1">IFERROR(__xludf.DUMMYFUNCTION("""COMPUTED_VALUE"""),"victoria.brogdon@yahoo.com")</f>
        <v>victoria.brogdon@yahoo.com</v>
      </c>
      <c r="C838" s="9" t="str">
        <f ca="1">IFERROR(__xludf.DUMMYFUNCTION("""COMPUTED_VALUE"""),"EVERGREEN - UAN Gated Content - Embedded Petition")</f>
        <v>EVERGREEN - UAN Gated Content - Embedded Petition</v>
      </c>
      <c r="D838" s="10">
        <f ca="1">IFERROR(__xludf.DUMMYFUNCTION("""COMPUTED_VALUE"""),45694)</f>
        <v>45694</v>
      </c>
      <c r="E838" s="1" t="str">
        <f ca="1">IFERROR(__xludf.DUMMYFUNCTION("""COMPUTED_VALUE"""),"Azerbaijan")</f>
        <v>Azerbaijan</v>
      </c>
      <c r="F838" s="1" t="str">
        <f ca="1">IFERROR(__xludf.DUMMYFUNCTION("""COMPUTED_VALUE"""),"2.25 Azerbaijan")</f>
        <v>2.25 Azerbaijan</v>
      </c>
      <c r="G838" s="1" t="str">
        <f ca="1">IFERROR(__xludf.DUMMYFUNCTION("""COMPUTED_VALUE"""),"Freedom of Expression, Human Rights Defenders")</f>
        <v>Freedom of Expression, Human Rights Defenders</v>
      </c>
      <c r="H838" s="1" t="str">
        <f ca="1">IFERROR(__xludf.DUMMYFUNCTION("""COMPUTED_VALUE"""),"2025")</f>
        <v>2025</v>
      </c>
      <c r="I838" s="1" t="str">
        <f ca="1">IFERROR(__xludf.DUMMYFUNCTION("""COMPUTED_VALUE"""),"Email")</f>
        <v>Email</v>
      </c>
    </row>
    <row r="839" spans="1:9" ht="13" x14ac:dyDescent="0.15">
      <c r="A839" s="9">
        <f ca="1">IFERROR(__xludf.DUMMYFUNCTION("""COMPUTED_VALUE"""),31772984)</f>
        <v>31772984</v>
      </c>
      <c r="B839" s="1" t="str">
        <f ca="1">IFERROR(__xludf.DUMMYFUNCTION("""COMPUTED_VALUE"""),"landers1961@yahoo.com")</f>
        <v>landers1961@yahoo.com</v>
      </c>
      <c r="C839" s="9" t="str">
        <f ca="1">IFERROR(__xludf.DUMMYFUNCTION("""COMPUTED_VALUE"""),"EVERGREEN - UAN Gated Content - Embedded Petition")</f>
        <v>EVERGREEN - UAN Gated Content - Embedded Petition</v>
      </c>
      <c r="D839" s="10">
        <f ca="1">IFERROR(__xludf.DUMMYFUNCTION("""COMPUTED_VALUE"""),45674)</f>
        <v>45674</v>
      </c>
      <c r="E839" s="1" t="str">
        <f ca="1">IFERROR(__xludf.DUMMYFUNCTION("""COMPUTED_VALUE"""),"China")</f>
        <v>China</v>
      </c>
      <c r="F839" s="1" t="str">
        <f ca="1">IFERROR(__xludf.DUMMYFUNCTION("""COMPUTED_VALUE"""),"98.24 China")</f>
        <v>98.24 China</v>
      </c>
      <c r="G839" s="1" t="str">
        <f ca="1">IFERROR(__xludf.DUMMYFUNCTION("""COMPUTED_VALUE"""),"Freedom of Expression, Individuals At Risk")</f>
        <v>Freedom of Expression, Individuals At Risk</v>
      </c>
      <c r="H839" s="1" t="str">
        <f ca="1">IFERROR(__xludf.DUMMYFUNCTION("""COMPUTED_VALUE"""),"2024")</f>
        <v>2024</v>
      </c>
      <c r="I839" s="1" t="str">
        <f ca="1">IFERROR(__xludf.DUMMYFUNCTION("""COMPUTED_VALUE"""),"Letter")</f>
        <v>Letter</v>
      </c>
    </row>
    <row r="840" spans="1:9" ht="13" x14ac:dyDescent="0.15">
      <c r="A840" s="9">
        <f ca="1">IFERROR(__xludf.DUMMYFUNCTION("""COMPUTED_VALUE"""),31772984)</f>
        <v>31772984</v>
      </c>
      <c r="B840" s="1" t="str">
        <f ca="1">IFERROR(__xludf.DUMMYFUNCTION("""COMPUTED_VALUE"""),"landers1961@yahoo.com")</f>
        <v>landers1961@yahoo.com</v>
      </c>
      <c r="C840" s="9" t="str">
        <f ca="1">IFERROR(__xludf.DUMMYFUNCTION("""COMPUTED_VALUE"""),"EVERGREEN - UAN Gated Content - Embedded Petition")</f>
        <v>EVERGREEN - UAN Gated Content - Embedded Petition</v>
      </c>
      <c r="D840" s="10">
        <f ca="1">IFERROR(__xludf.DUMMYFUNCTION("""COMPUTED_VALUE"""),45694)</f>
        <v>45694</v>
      </c>
      <c r="E840" s="1" t="str">
        <f ca="1">IFERROR(__xludf.DUMMYFUNCTION("""COMPUTED_VALUE"""),"China")</f>
        <v>China</v>
      </c>
      <c r="F840" s="1" t="str">
        <f ca="1">IFERROR(__xludf.DUMMYFUNCTION("""COMPUTED_VALUE"""),"98.24 China")</f>
        <v>98.24 China</v>
      </c>
      <c r="G840" s="1" t="str">
        <f ca="1">IFERROR(__xludf.DUMMYFUNCTION("""COMPUTED_VALUE"""),"Freedom of Expression, Individuals At Risk")</f>
        <v>Freedom of Expression, Individuals At Risk</v>
      </c>
      <c r="H840" s="1" t="str">
        <f ca="1">IFERROR(__xludf.DUMMYFUNCTION("""COMPUTED_VALUE"""),"2024")</f>
        <v>2024</v>
      </c>
      <c r="I840" s="1" t="str">
        <f ca="1">IFERROR(__xludf.DUMMYFUNCTION("""COMPUTED_VALUE"""),"Letter")</f>
        <v>Letter</v>
      </c>
    </row>
    <row r="841" spans="1:9" ht="13" x14ac:dyDescent="0.15">
      <c r="A841" s="9">
        <f ca="1">IFERROR(__xludf.DUMMYFUNCTION("""COMPUTED_VALUE"""),31772984)</f>
        <v>31772984</v>
      </c>
      <c r="B841" s="1" t="str">
        <f ca="1">IFERROR(__xludf.DUMMYFUNCTION("""COMPUTED_VALUE"""),"landers1961@yahoo.com")</f>
        <v>landers1961@yahoo.com</v>
      </c>
      <c r="C841" s="9" t="str">
        <f ca="1">IFERROR(__xludf.DUMMYFUNCTION("""COMPUTED_VALUE"""),"EVERGREEN - UAN Gated Content - Embedded Petition")</f>
        <v>EVERGREEN - UAN Gated Content - Embedded Petition</v>
      </c>
      <c r="D841" s="10">
        <f ca="1">IFERROR(__xludf.DUMMYFUNCTION("""COMPUTED_VALUE"""),45695)</f>
        <v>45695</v>
      </c>
      <c r="E841" s="1" t="str">
        <f ca="1">IFERROR(__xludf.DUMMYFUNCTION("""COMPUTED_VALUE"""),"USA")</f>
        <v>USA</v>
      </c>
      <c r="F841" s="1" t="str">
        <f ca="1">IFERROR(__xludf.DUMMYFUNCTION("""COMPUTED_VALUE"""),"4.25 USA")</f>
        <v>4.25 USA</v>
      </c>
      <c r="G841" s="1" t="str">
        <f ca="1">IFERROR(__xludf.DUMMYFUNCTION("""COMPUTED_VALUE"""),"Individuals At Risk, Refugee and Migrant Rights")</f>
        <v>Individuals At Risk, Refugee and Migrant Rights</v>
      </c>
      <c r="H841" s="1" t="str">
        <f ca="1">IFERROR(__xludf.DUMMYFUNCTION("""COMPUTED_VALUE"""),"2025")</f>
        <v>2025</v>
      </c>
      <c r="I841" s="1" t="str">
        <f ca="1">IFERROR(__xludf.DUMMYFUNCTION("""COMPUTED_VALUE"""),"Letter")</f>
        <v>Letter</v>
      </c>
    </row>
    <row r="842" spans="1:9" ht="13" x14ac:dyDescent="0.15">
      <c r="A842" s="9">
        <f ca="1">IFERROR(__xludf.DUMMYFUNCTION("""COMPUTED_VALUE"""),31772984)</f>
        <v>31772984</v>
      </c>
      <c r="B842" s="1" t="str">
        <f ca="1">IFERROR(__xludf.DUMMYFUNCTION("""COMPUTED_VALUE"""),"landers1961@yahoo.com")</f>
        <v>landers1961@yahoo.com</v>
      </c>
      <c r="C842" s="9" t="str">
        <f ca="1">IFERROR(__xludf.DUMMYFUNCTION("""COMPUTED_VALUE"""),"EVERGREEN - UAN Gated Content - Embedded Petition")</f>
        <v>EVERGREEN - UAN Gated Content - Embedded Petition</v>
      </c>
      <c r="D842" s="10">
        <f ca="1">IFERROR(__xludf.DUMMYFUNCTION("""COMPUTED_VALUE"""),45695)</f>
        <v>45695</v>
      </c>
      <c r="E842" s="1" t="str">
        <f ca="1">IFERROR(__xludf.DUMMYFUNCTION("""COMPUTED_VALUE"""),"Dominican Republic")</f>
        <v>Dominican Republic</v>
      </c>
      <c r="F842" s="1" t="str">
        <f ca="1">IFERROR(__xludf.DUMMYFUNCTION("""COMPUTED_VALUE"""),"88.24 Dominican Republic")</f>
        <v>88.24 Dominican Republic</v>
      </c>
      <c r="G842" s="1" t="str">
        <f ca="1">IFERROR(__xludf.DUMMYFUNCTION("""COMPUTED_VALUE"""),"Individuals At Risk, Refugee and Migrant Rights")</f>
        <v>Individuals At Risk, Refugee and Migrant Rights</v>
      </c>
      <c r="H842" s="1" t="str">
        <f ca="1">IFERROR(__xludf.DUMMYFUNCTION("""COMPUTED_VALUE"""),"2024")</f>
        <v>2024</v>
      </c>
      <c r="I842" s="1" t="str">
        <f ca="1">IFERROR(__xludf.DUMMYFUNCTION("""COMPUTED_VALUE"""),"Letter")</f>
        <v>Letter</v>
      </c>
    </row>
    <row r="843" spans="1:9" ht="13" x14ac:dyDescent="0.15">
      <c r="A843" s="9">
        <f ca="1">IFERROR(__xludf.DUMMYFUNCTION("""COMPUTED_VALUE"""),31772984)</f>
        <v>31772984</v>
      </c>
      <c r="B843" s="1" t="str">
        <f ca="1">IFERROR(__xludf.DUMMYFUNCTION("""COMPUTED_VALUE"""),"landers1961@yahoo.com")</f>
        <v>landers1961@yahoo.com</v>
      </c>
      <c r="C843" s="9" t="str">
        <f ca="1">IFERROR(__xludf.DUMMYFUNCTION("""COMPUTED_VALUE"""),"EVERGREEN - UAN Gated Content - Embedded Petition")</f>
        <v>EVERGREEN - UAN Gated Content - Embedded Petition</v>
      </c>
      <c r="D843" s="10">
        <f ca="1">IFERROR(__xludf.DUMMYFUNCTION("""COMPUTED_VALUE"""),45695)</f>
        <v>45695</v>
      </c>
      <c r="E843" s="1" t="str">
        <f ca="1">IFERROR(__xludf.DUMMYFUNCTION("""COMPUTED_VALUE"""),"Dominican Republic")</f>
        <v>Dominican Republic</v>
      </c>
      <c r="F843" s="1" t="str">
        <f ca="1">IFERROR(__xludf.DUMMYFUNCTION("""COMPUTED_VALUE"""),"88.24 Dominican Republic")</f>
        <v>88.24 Dominican Republic</v>
      </c>
      <c r="G843" s="1" t="str">
        <f ca="1">IFERROR(__xludf.DUMMYFUNCTION("""COMPUTED_VALUE"""),"Individuals At Risk, Refugee and Migrant Rights")</f>
        <v>Individuals At Risk, Refugee and Migrant Rights</v>
      </c>
      <c r="H843" s="1" t="str">
        <f ca="1">IFERROR(__xludf.DUMMYFUNCTION("""COMPUTED_VALUE"""),"2024")</f>
        <v>2024</v>
      </c>
      <c r="I843" s="1" t="str">
        <f ca="1">IFERROR(__xludf.DUMMYFUNCTION("""COMPUTED_VALUE"""),"Letter")</f>
        <v>Letter</v>
      </c>
    </row>
    <row r="844" spans="1:9" ht="13" x14ac:dyDescent="0.15">
      <c r="A844" s="9">
        <f ca="1">IFERROR(__xludf.DUMMYFUNCTION("""COMPUTED_VALUE"""),31772984)</f>
        <v>31772984</v>
      </c>
      <c r="B844" s="1" t="str">
        <f ca="1">IFERROR(__xludf.DUMMYFUNCTION("""COMPUTED_VALUE"""),"landers1961@yahoo.com")</f>
        <v>landers1961@yahoo.com</v>
      </c>
      <c r="C844" s="9" t="str">
        <f ca="1">IFERROR(__xludf.DUMMYFUNCTION("""COMPUTED_VALUE"""),"EVERGREEN - UAN Gated Content - Embedded Petition")</f>
        <v>EVERGREEN - UAN Gated Content - Embedded Petition</v>
      </c>
      <c r="D844" s="10">
        <f ca="1">IFERROR(__xludf.DUMMYFUNCTION("""COMPUTED_VALUE"""),45674)</f>
        <v>45674</v>
      </c>
      <c r="E844" s="1" t="str">
        <f ca="1">IFERROR(__xludf.DUMMYFUNCTION("""COMPUTED_VALUE"""),"Uganda")</f>
        <v>Uganda</v>
      </c>
      <c r="F844" s="1" t="str">
        <f ca="1">IFERROR(__xludf.DUMMYFUNCTION("""COMPUTED_VALUE"""),"9.25 Uganda")</f>
        <v>9.25 Uganda</v>
      </c>
      <c r="G844" s="1" t="str">
        <f ca="1">IFERROR(__xludf.DUMMYFUNCTION("""COMPUTED_VALUE"""),"Freedom of Expression, Human Rights Defenders")</f>
        <v>Freedom of Expression, Human Rights Defenders</v>
      </c>
      <c r="H844" s="1" t="str">
        <f ca="1">IFERROR(__xludf.DUMMYFUNCTION("""COMPUTED_VALUE"""),"2025")</f>
        <v>2025</v>
      </c>
      <c r="I844" s="1" t="str">
        <f ca="1">IFERROR(__xludf.DUMMYFUNCTION("""COMPUTED_VALUE"""),"Email")</f>
        <v>Email</v>
      </c>
    </row>
    <row r="845" spans="1:9" ht="13" x14ac:dyDescent="0.15">
      <c r="A845" s="9">
        <f ca="1">IFERROR(__xludf.DUMMYFUNCTION("""COMPUTED_VALUE"""),31772984)</f>
        <v>31772984</v>
      </c>
      <c r="B845" s="1" t="str">
        <f ca="1">IFERROR(__xludf.DUMMYFUNCTION("""COMPUTED_VALUE"""),"landers1961@yahoo.com")</f>
        <v>landers1961@yahoo.com</v>
      </c>
      <c r="C845" s="9" t="str">
        <f ca="1">IFERROR(__xludf.DUMMYFUNCTION("""COMPUTED_VALUE"""),"EVERGREEN - UAN Gated Content - Embedded Petition")</f>
        <v>EVERGREEN - UAN Gated Content - Embedded Petition</v>
      </c>
      <c r="D845" s="10">
        <f ca="1">IFERROR(__xludf.DUMMYFUNCTION("""COMPUTED_VALUE"""),45695)</f>
        <v>45695</v>
      </c>
      <c r="E845" s="1" t="str">
        <f ca="1">IFERROR(__xludf.DUMMYFUNCTION("""COMPUTED_VALUE"""),"USA")</f>
        <v>USA</v>
      </c>
      <c r="F845" s="1" t="str">
        <f ca="1">IFERROR(__xludf.DUMMYFUNCTION("""COMPUTED_VALUE"""),"4.25 USA")</f>
        <v>4.25 USA</v>
      </c>
      <c r="G845" s="1" t="str">
        <f ca="1">IFERROR(__xludf.DUMMYFUNCTION("""COMPUTED_VALUE"""),"Individuals At Risk, Refugee and Migrant Rights")</f>
        <v>Individuals At Risk, Refugee and Migrant Rights</v>
      </c>
      <c r="H845" s="1" t="str">
        <f ca="1">IFERROR(__xludf.DUMMYFUNCTION("""COMPUTED_VALUE"""),"2025")</f>
        <v>2025</v>
      </c>
      <c r="I845" s="1" t="str">
        <f ca="1">IFERROR(__xludf.DUMMYFUNCTION("""COMPUTED_VALUE"""),"Letter")</f>
        <v>Letter</v>
      </c>
    </row>
    <row r="846" spans="1:9" ht="13" x14ac:dyDescent="0.15">
      <c r="A846" s="9">
        <f ca="1">IFERROR(__xludf.DUMMYFUNCTION("""COMPUTED_VALUE"""),31781883)</f>
        <v>31781883</v>
      </c>
      <c r="B846" s="1" t="str">
        <f ca="1">IFERROR(__xludf.DUMMYFUNCTION("""COMPUTED_VALUE"""),"pavadai.sarah@gmail.com")</f>
        <v>pavadai.sarah@gmail.com</v>
      </c>
      <c r="C846" s="9" t="str">
        <f ca="1">IFERROR(__xludf.DUMMYFUNCTION("""COMPUTED_VALUE"""),"EVERGREEN - UAN Gated Content - Embedded Petition")</f>
        <v>EVERGREEN - UAN Gated Content - Embedded Petition</v>
      </c>
      <c r="D846" s="10">
        <f ca="1">IFERROR(__xludf.DUMMYFUNCTION("""COMPUTED_VALUE"""),45702)</f>
        <v>45702</v>
      </c>
      <c r="E846" s="1" t="str">
        <f ca="1">IFERROR(__xludf.DUMMYFUNCTION("""COMPUTED_VALUE"""),"Uganda")</f>
        <v>Uganda</v>
      </c>
      <c r="F846" s="1" t="str">
        <f ca="1">IFERROR(__xludf.DUMMYFUNCTION("""COMPUTED_VALUE"""),"9.25 Uganda")</f>
        <v>9.25 Uganda</v>
      </c>
      <c r="G846" s="1" t="str">
        <f ca="1">IFERROR(__xludf.DUMMYFUNCTION("""COMPUTED_VALUE"""),"Freedom of Expression, Human Rights Defenders")</f>
        <v>Freedom of Expression, Human Rights Defenders</v>
      </c>
      <c r="H846" s="1" t="str">
        <f ca="1">IFERROR(__xludf.DUMMYFUNCTION("""COMPUTED_VALUE"""),"2025")</f>
        <v>2025</v>
      </c>
      <c r="I846" s="1" t="str">
        <f ca="1">IFERROR(__xludf.DUMMYFUNCTION("""COMPUTED_VALUE"""),"Email")</f>
        <v>Email</v>
      </c>
    </row>
    <row r="847" spans="1:9" ht="13" x14ac:dyDescent="0.15">
      <c r="A847" s="9">
        <f ca="1">IFERROR(__xludf.DUMMYFUNCTION("""COMPUTED_VALUE"""),31785060)</f>
        <v>31785060</v>
      </c>
      <c r="B847" s="1" t="str">
        <f ca="1">IFERROR(__xludf.DUMMYFUNCTION("""COMPUTED_VALUE"""),"azamnrad@gmail.com")</f>
        <v>azamnrad@gmail.com</v>
      </c>
      <c r="C847" s="9" t="str">
        <f ca="1">IFERROR(__xludf.DUMMYFUNCTION("""COMPUTED_VALUE"""),"EVERGREEN - UAN Gated Content - Embedded Petition")</f>
        <v>EVERGREEN - UAN Gated Content - Embedded Petition</v>
      </c>
      <c r="D847" s="10">
        <f ca="1">IFERROR(__xludf.DUMMYFUNCTION("""COMPUTED_VALUE"""),45674)</f>
        <v>45674</v>
      </c>
      <c r="E847" s="1" t="str">
        <f ca="1">IFERROR(__xludf.DUMMYFUNCTION("""COMPUTED_VALUE"""),"Honduras")</f>
        <v>Honduras</v>
      </c>
      <c r="F847" s="1" t="str">
        <f ca="1">IFERROR(__xludf.DUMMYFUNCTION("""COMPUTED_VALUE"""),"Second 85.24 Honduras")</f>
        <v>Second 85.24 Honduras</v>
      </c>
      <c r="G847" s="1" t="str">
        <f ca="1">IFERROR(__xludf.DUMMYFUNCTION("""COMPUTED_VALUE"""),"Climate Justice, Human Rights Defenders, Right to Protest")</f>
        <v>Climate Justice, Human Rights Defenders, Right to Protest</v>
      </c>
      <c r="H847" s="1" t="str">
        <f ca="1">IFERROR(__xludf.DUMMYFUNCTION("""COMPUTED_VALUE"""),"2024")</f>
        <v>2024</v>
      </c>
      <c r="I847" s="1" t="str">
        <f ca="1">IFERROR(__xludf.DUMMYFUNCTION("""COMPUTED_VALUE"""),"Email")</f>
        <v>Email</v>
      </c>
    </row>
    <row r="848" spans="1:9" ht="13" x14ac:dyDescent="0.15">
      <c r="A848" s="9">
        <f ca="1">IFERROR(__xludf.DUMMYFUNCTION("""COMPUTED_VALUE"""),31785060)</f>
        <v>31785060</v>
      </c>
      <c r="B848" s="1" t="str">
        <f ca="1">IFERROR(__xludf.DUMMYFUNCTION("""COMPUTED_VALUE"""),"azamnrad@gmail.com")</f>
        <v>azamnrad@gmail.com</v>
      </c>
      <c r="C848" s="9" t="str">
        <f ca="1">IFERROR(__xludf.DUMMYFUNCTION("""COMPUTED_VALUE"""),"EVERGREEN - UAN Gated Content - Embedded Petition")</f>
        <v>EVERGREEN - UAN Gated Content - Embedded Petition</v>
      </c>
      <c r="D848" s="10">
        <f ca="1">IFERROR(__xludf.DUMMYFUNCTION("""COMPUTED_VALUE"""),45679)</f>
        <v>45679</v>
      </c>
      <c r="E848" s="1" t="str">
        <f ca="1">IFERROR(__xludf.DUMMYFUNCTION("""COMPUTED_VALUE"""),"Venezuela")</f>
        <v>Venezuela</v>
      </c>
      <c r="F848" s="1" t="str">
        <f ca="1">IFERROR(__xludf.DUMMYFUNCTION("""COMPUTED_VALUE"""),"1.25 Venezuela")</f>
        <v>1.25 Venezuela</v>
      </c>
      <c r="G848" s="1" t="str">
        <f ca="1">IFERROR(__xludf.DUMMYFUNCTION("""COMPUTED_VALUE"""),"Human Rights Defenders, Individuals At Risk")</f>
        <v>Human Rights Defenders, Individuals At Risk</v>
      </c>
      <c r="H848" s="1" t="str">
        <f ca="1">IFERROR(__xludf.DUMMYFUNCTION("""COMPUTED_VALUE"""),"2025")</f>
        <v>2025</v>
      </c>
      <c r="I848" s="1" t="str">
        <f ca="1">IFERROR(__xludf.DUMMYFUNCTION("""COMPUTED_VALUE"""),"Letter")</f>
        <v>Letter</v>
      </c>
    </row>
    <row r="849" spans="1:9" ht="13" x14ac:dyDescent="0.15">
      <c r="A849" s="9">
        <f ca="1">IFERROR(__xludf.DUMMYFUNCTION("""COMPUTED_VALUE"""),31785060)</f>
        <v>31785060</v>
      </c>
      <c r="B849" s="1" t="str">
        <f ca="1">IFERROR(__xludf.DUMMYFUNCTION("""COMPUTED_VALUE"""),"azamnrad@gmail.com")</f>
        <v>azamnrad@gmail.com</v>
      </c>
      <c r="C849" s="9" t="str">
        <f ca="1">IFERROR(__xludf.DUMMYFUNCTION("""COMPUTED_VALUE"""),"EVERGREEN - Website Email Capture Form - UAN Pre-Footer")</f>
        <v>EVERGREEN - Website Email Capture Form - UAN Pre-Footer</v>
      </c>
      <c r="D849" s="10">
        <f ca="1">IFERROR(__xludf.DUMMYFUNCTION("""COMPUTED_VALUE"""),45674)</f>
        <v>45674</v>
      </c>
      <c r="E849" s="1" t="str">
        <f ca="1">IFERROR(__xludf.DUMMYFUNCTION("""COMPUTED_VALUE"""),"Venezuela")</f>
        <v>Venezuela</v>
      </c>
      <c r="F849" s="1" t="str">
        <f ca="1">IFERROR(__xludf.DUMMYFUNCTION("""COMPUTED_VALUE"""),"1.25 Venezuela")</f>
        <v>1.25 Venezuela</v>
      </c>
      <c r="G849" s="1" t="str">
        <f ca="1">IFERROR(__xludf.DUMMYFUNCTION("""COMPUTED_VALUE"""),"Human Rights Defenders, Individuals At Risk")</f>
        <v>Human Rights Defenders, Individuals At Risk</v>
      </c>
      <c r="H849" s="1" t="str">
        <f ca="1">IFERROR(__xludf.DUMMYFUNCTION("""COMPUTED_VALUE"""),"2025")</f>
        <v>2025</v>
      </c>
      <c r="I849" s="1" t="str">
        <f ca="1">IFERROR(__xludf.DUMMYFUNCTION("""COMPUTED_VALUE"""),"Letter")</f>
        <v>Letter</v>
      </c>
    </row>
    <row r="850" spans="1:9" ht="13" x14ac:dyDescent="0.15">
      <c r="A850" s="9">
        <f ca="1">IFERROR(__xludf.DUMMYFUNCTION("""COMPUTED_VALUE"""),31791059)</f>
        <v>31791059</v>
      </c>
      <c r="B850" s="1" t="str">
        <f ca="1">IFERROR(__xludf.DUMMYFUNCTION("""COMPUTED_VALUE"""),"jquatrine@gmail.com")</f>
        <v>jquatrine@gmail.com</v>
      </c>
      <c r="C850" s="9" t="str">
        <f ca="1">IFERROR(__xludf.DUMMYFUNCTION("""COMPUTED_VALUE"""),"EVERGREEN - UAN Gated Content - Embedded Petition")</f>
        <v>EVERGREEN - UAN Gated Content - Embedded Petition</v>
      </c>
      <c r="D850" s="10">
        <f ca="1">IFERROR(__xludf.DUMMYFUNCTION("""COMPUTED_VALUE"""),45663)</f>
        <v>45663</v>
      </c>
      <c r="E850" s="1" t="str">
        <f ca="1">IFERROR(__xludf.DUMMYFUNCTION("""COMPUTED_VALUE"""),"Venezuela")</f>
        <v>Venezuela</v>
      </c>
      <c r="F850" s="1" t="str">
        <f ca="1">IFERROR(__xludf.DUMMYFUNCTION("""COMPUTED_VALUE"""),"1.25 Venezuela")</f>
        <v>1.25 Venezuela</v>
      </c>
      <c r="G850" s="1" t="str">
        <f ca="1">IFERROR(__xludf.DUMMYFUNCTION("""COMPUTED_VALUE"""),"Human Rights Defenders, Individuals At Risk")</f>
        <v>Human Rights Defenders, Individuals At Risk</v>
      </c>
      <c r="H850" s="1" t="str">
        <f ca="1">IFERROR(__xludf.DUMMYFUNCTION("""COMPUTED_VALUE"""),"2025")</f>
        <v>2025</v>
      </c>
      <c r="I850" s="1" t="str">
        <f ca="1">IFERROR(__xludf.DUMMYFUNCTION("""COMPUTED_VALUE"""),"Letter")</f>
        <v>Letter</v>
      </c>
    </row>
    <row r="851" spans="1:9" ht="13" x14ac:dyDescent="0.15">
      <c r="A851" s="9">
        <f ca="1">IFERROR(__xludf.DUMMYFUNCTION("""COMPUTED_VALUE"""),31791059)</f>
        <v>31791059</v>
      </c>
      <c r="B851" s="1" t="str">
        <f ca="1">IFERROR(__xludf.DUMMYFUNCTION("""COMPUTED_VALUE"""),"jquatrine@gmail.com")</f>
        <v>jquatrine@gmail.com</v>
      </c>
      <c r="C851" s="9" t="str">
        <f ca="1">IFERROR(__xludf.DUMMYFUNCTION("""COMPUTED_VALUE"""),"EVERGREEN - UAN Gated Content - Embedded Petition")</f>
        <v>EVERGREEN - UAN Gated Content - Embedded Petition</v>
      </c>
      <c r="D851" s="10">
        <f ca="1">IFERROR(__xludf.DUMMYFUNCTION("""COMPUTED_VALUE"""),45663)</f>
        <v>45663</v>
      </c>
      <c r="E851" s="1" t="str">
        <f ca="1">IFERROR(__xludf.DUMMYFUNCTION("""COMPUTED_VALUE"""),"Tunisia")</f>
        <v>Tunisia</v>
      </c>
      <c r="F851" s="1" t="str">
        <f ca="1">IFERROR(__xludf.DUMMYFUNCTION("""COMPUTED_VALUE"""),"Second 76.24 Tunisia")</f>
        <v>Second 76.24 Tunisia</v>
      </c>
      <c r="G851" s="1" t="str">
        <f ca="1">IFERROR(__xludf.DUMMYFUNCTION("""COMPUTED_VALUE"""),"Freedom of Expression, Human Rights Defenders")</f>
        <v>Freedom of Expression, Human Rights Defenders</v>
      </c>
      <c r="H851" s="1" t="str">
        <f ca="1">IFERROR(__xludf.DUMMYFUNCTION("""COMPUTED_VALUE"""),"2025")</f>
        <v>2025</v>
      </c>
      <c r="I851" s="1" t="str">
        <f ca="1">IFERROR(__xludf.DUMMYFUNCTION("""COMPUTED_VALUE"""),"Email")</f>
        <v>Email</v>
      </c>
    </row>
    <row r="852" spans="1:9" ht="13" x14ac:dyDescent="0.15">
      <c r="A852" s="9">
        <f ca="1">IFERROR(__xludf.DUMMYFUNCTION("""COMPUTED_VALUE"""),31791059)</f>
        <v>31791059</v>
      </c>
      <c r="B852" s="1" t="str">
        <f ca="1">IFERROR(__xludf.DUMMYFUNCTION("""COMPUTED_VALUE"""),"jquatrine@gmail.com")</f>
        <v>jquatrine@gmail.com</v>
      </c>
      <c r="C852" s="9" t="str">
        <f ca="1">IFERROR(__xludf.DUMMYFUNCTION("""COMPUTED_VALUE"""),"EVERGREEN - UAN Gated Content - Embedded Petition")</f>
        <v>EVERGREEN - UAN Gated Content - Embedded Petition</v>
      </c>
      <c r="D852" s="10">
        <f ca="1">IFERROR(__xludf.DUMMYFUNCTION("""COMPUTED_VALUE"""),45663)</f>
        <v>45663</v>
      </c>
      <c r="E852" s="1" t="str">
        <f ca="1">IFERROR(__xludf.DUMMYFUNCTION("""COMPUTED_VALUE"""),"Tunisia")</f>
        <v>Tunisia</v>
      </c>
      <c r="F852" s="1" t="str">
        <f ca="1">IFERROR(__xludf.DUMMYFUNCTION("""COMPUTED_VALUE"""),"Second 76.24 Tunisia")</f>
        <v>Second 76.24 Tunisia</v>
      </c>
      <c r="G852" s="1" t="str">
        <f ca="1">IFERROR(__xludf.DUMMYFUNCTION("""COMPUTED_VALUE"""),"Freedom of Expression, Human Rights Defenders")</f>
        <v>Freedom of Expression, Human Rights Defenders</v>
      </c>
      <c r="H852" s="1" t="str">
        <f ca="1">IFERROR(__xludf.DUMMYFUNCTION("""COMPUTED_VALUE"""),"2025")</f>
        <v>2025</v>
      </c>
      <c r="I852" s="1" t="str">
        <f ca="1">IFERROR(__xludf.DUMMYFUNCTION("""COMPUTED_VALUE"""),"Email")</f>
        <v>Email</v>
      </c>
    </row>
    <row r="853" spans="1:9" ht="13" x14ac:dyDescent="0.15">
      <c r="A853" s="9">
        <f ca="1">IFERROR(__xludf.DUMMYFUNCTION("""COMPUTED_VALUE"""),31791059)</f>
        <v>31791059</v>
      </c>
      <c r="B853" s="1" t="str">
        <f ca="1">IFERROR(__xludf.DUMMYFUNCTION("""COMPUTED_VALUE"""),"jquatrine@gmail.com")</f>
        <v>jquatrine@gmail.com</v>
      </c>
      <c r="C853" s="9" t="str">
        <f ca="1">IFERROR(__xludf.DUMMYFUNCTION("""COMPUTED_VALUE"""),"EVERGREEN - UAN Gated Content - Embedded Petition")</f>
        <v>EVERGREEN - UAN Gated Content - Embedded Petition</v>
      </c>
      <c r="D853" s="10">
        <f ca="1">IFERROR(__xludf.DUMMYFUNCTION("""COMPUTED_VALUE"""),45663)</f>
        <v>45663</v>
      </c>
      <c r="E853" s="1" t="str">
        <f ca="1">IFERROR(__xludf.DUMMYFUNCTION("""COMPUTED_VALUE"""),"USA")</f>
        <v>USA</v>
      </c>
      <c r="F853" s="1" t="str">
        <f ca="1">IFERROR(__xludf.DUMMYFUNCTION("""COMPUTED_VALUE"""),"96.24 USA")</f>
        <v>96.24 USA</v>
      </c>
      <c r="G853" s="1" t="str">
        <f ca="1">IFERROR(__xludf.DUMMYFUNCTION("""COMPUTED_VALUE"""),"Death Penalty")</f>
        <v>Death Penalty</v>
      </c>
      <c r="H853" s="1" t="str">
        <f ca="1">IFERROR(__xludf.DUMMYFUNCTION("""COMPUTED_VALUE"""),"2024")</f>
        <v>2024</v>
      </c>
      <c r="I853" s="1" t="str">
        <f ca="1">IFERROR(__xludf.DUMMYFUNCTION("""COMPUTED_VALUE"""),"Email")</f>
        <v>Email</v>
      </c>
    </row>
    <row r="854" spans="1:9" ht="13" x14ac:dyDescent="0.15">
      <c r="A854" s="9">
        <f ca="1">IFERROR(__xludf.DUMMYFUNCTION("""COMPUTED_VALUE"""),31791059)</f>
        <v>31791059</v>
      </c>
      <c r="B854" s="1" t="str">
        <f ca="1">IFERROR(__xludf.DUMMYFUNCTION("""COMPUTED_VALUE"""),"jquatrine@gmail.com")</f>
        <v>jquatrine@gmail.com</v>
      </c>
      <c r="C854" s="9" t="str">
        <f ca="1">IFERROR(__xludf.DUMMYFUNCTION("""COMPUTED_VALUE"""),"EVERGREEN - UAN Gated Content - Embedded Petition")</f>
        <v>EVERGREEN - UAN Gated Content - Embedded Petition</v>
      </c>
      <c r="D854" s="10">
        <f ca="1">IFERROR(__xludf.DUMMYFUNCTION("""COMPUTED_VALUE"""),45663)</f>
        <v>45663</v>
      </c>
      <c r="E854" s="1" t="str">
        <f ca="1">IFERROR(__xludf.DUMMYFUNCTION("""COMPUTED_VALUE"""),"USA")</f>
        <v>USA</v>
      </c>
      <c r="F854" s="1" t="str">
        <f ca="1">IFERROR(__xludf.DUMMYFUNCTION("""COMPUTED_VALUE"""),"4.25 USA")</f>
        <v>4.25 USA</v>
      </c>
      <c r="G854" s="1" t="str">
        <f ca="1">IFERROR(__xludf.DUMMYFUNCTION("""COMPUTED_VALUE"""),"Individuals At Risk, Refugee and Migrant Rights")</f>
        <v>Individuals At Risk, Refugee and Migrant Rights</v>
      </c>
      <c r="H854" s="1" t="str">
        <f ca="1">IFERROR(__xludf.DUMMYFUNCTION("""COMPUTED_VALUE"""),"2025")</f>
        <v>2025</v>
      </c>
      <c r="I854" s="1" t="str">
        <f ca="1">IFERROR(__xludf.DUMMYFUNCTION("""COMPUTED_VALUE"""),"Letter")</f>
        <v>Letter</v>
      </c>
    </row>
    <row r="855" spans="1:9" ht="13" x14ac:dyDescent="0.15">
      <c r="A855" s="9">
        <f ca="1">IFERROR(__xludf.DUMMYFUNCTION("""COMPUTED_VALUE"""),31817200)</f>
        <v>31817200</v>
      </c>
      <c r="B855" s="1" t="str">
        <f ca="1">IFERROR(__xludf.DUMMYFUNCTION("""COMPUTED_VALUE"""),"kathsfort@yahoo.com")</f>
        <v>kathsfort@yahoo.com</v>
      </c>
      <c r="C855" s="9" t="str">
        <f ca="1">IFERROR(__xludf.DUMMYFUNCTION("""COMPUTED_VALUE"""),"EVERGREEN - UAN Gated Content - Embedded Petition")</f>
        <v>EVERGREEN - UAN Gated Content - Embedded Petition</v>
      </c>
      <c r="D855" s="10">
        <f ca="1">IFERROR(__xludf.DUMMYFUNCTION("""COMPUTED_VALUE"""),45679)</f>
        <v>45679</v>
      </c>
      <c r="E855" s="1" t="str">
        <f ca="1">IFERROR(__xludf.DUMMYFUNCTION("""COMPUTED_VALUE"""),"Tunisia")</f>
        <v>Tunisia</v>
      </c>
      <c r="F855" s="1" t="str">
        <f ca="1">IFERROR(__xludf.DUMMYFUNCTION("""COMPUTED_VALUE"""),"Second 76.24 Tunisia")</f>
        <v>Second 76.24 Tunisia</v>
      </c>
      <c r="G855" s="1" t="str">
        <f ca="1">IFERROR(__xludf.DUMMYFUNCTION("""COMPUTED_VALUE"""),"Freedom of Expression, Human Rights Defenders")</f>
        <v>Freedom of Expression, Human Rights Defenders</v>
      </c>
      <c r="H855" s="1" t="str">
        <f ca="1">IFERROR(__xludf.DUMMYFUNCTION("""COMPUTED_VALUE"""),"2025")</f>
        <v>2025</v>
      </c>
      <c r="I855" s="1" t="str">
        <f ca="1">IFERROR(__xludf.DUMMYFUNCTION("""COMPUTED_VALUE"""),"Email")</f>
        <v>Email</v>
      </c>
    </row>
    <row r="856" spans="1:9" ht="13" x14ac:dyDescent="0.15">
      <c r="A856" s="9">
        <f ca="1">IFERROR(__xludf.DUMMYFUNCTION("""COMPUTED_VALUE"""),31823681)</f>
        <v>31823681</v>
      </c>
      <c r="B856" s="1" t="str">
        <f ca="1">IFERROR(__xludf.DUMMYFUNCTION("""COMPUTED_VALUE"""),"rredford112@gmail.com")</f>
        <v>rredford112@gmail.com</v>
      </c>
      <c r="C856" s="9" t="str">
        <f ca="1">IFERROR(__xludf.DUMMYFUNCTION("""COMPUTED_VALUE"""),"EVERGREEN - UAN Gated Content - Embedded Petition")</f>
        <v>EVERGREEN - UAN Gated Content - Embedded Petition</v>
      </c>
      <c r="D856" s="10">
        <f ca="1">IFERROR(__xludf.DUMMYFUNCTION("""COMPUTED_VALUE"""),45642)</f>
        <v>45642</v>
      </c>
      <c r="E856" s="1" t="str">
        <f ca="1">IFERROR(__xludf.DUMMYFUNCTION("""COMPUTED_VALUE"""),"Tunisia")</f>
        <v>Tunisia</v>
      </c>
      <c r="F856" s="1" t="str">
        <f ca="1">IFERROR(__xludf.DUMMYFUNCTION("""COMPUTED_VALUE"""),"Second 76.24 Tunisia")</f>
        <v>Second 76.24 Tunisia</v>
      </c>
      <c r="G856" s="1" t="str">
        <f ca="1">IFERROR(__xludf.DUMMYFUNCTION("""COMPUTED_VALUE"""),"Freedom of Expression, Human Rights Defenders")</f>
        <v>Freedom of Expression, Human Rights Defenders</v>
      </c>
      <c r="H856" s="1" t="str">
        <f ca="1">IFERROR(__xludf.DUMMYFUNCTION("""COMPUTED_VALUE"""),"2025")</f>
        <v>2025</v>
      </c>
      <c r="I856" s="1" t="str">
        <f ca="1">IFERROR(__xludf.DUMMYFUNCTION("""COMPUTED_VALUE"""),"Email")</f>
        <v>Email</v>
      </c>
    </row>
    <row r="857" spans="1:9" ht="13" x14ac:dyDescent="0.15">
      <c r="A857" s="9">
        <f ca="1">IFERROR(__xludf.DUMMYFUNCTION("""COMPUTED_VALUE"""),31838412)</f>
        <v>31838412</v>
      </c>
      <c r="B857" s="1" t="str">
        <f ca="1">IFERROR(__xludf.DUMMYFUNCTION("""COMPUTED_VALUE"""),"occbass@hotmail.com")</f>
        <v>occbass@hotmail.com</v>
      </c>
      <c r="C857" s="9" t="str">
        <f ca="1">IFERROR(__xludf.DUMMYFUNCTION("""COMPUTED_VALUE"""),"EVERGREEN - UAN Gated Content - Embedded Petition")</f>
        <v>EVERGREEN - UAN Gated Content - Embedded Petition</v>
      </c>
      <c r="D857" s="10">
        <f ca="1">IFERROR(__xludf.DUMMYFUNCTION("""COMPUTED_VALUE"""),45696)</f>
        <v>45696</v>
      </c>
      <c r="E857" s="1" t="str">
        <f ca="1">IFERROR(__xludf.DUMMYFUNCTION("""COMPUTED_VALUE"""),"Iran")</f>
        <v>Iran</v>
      </c>
      <c r="F857" s="1" t="str">
        <f ca="1">IFERROR(__xludf.DUMMYFUNCTION("""COMPUTED_VALUE"""),"Seventh 103.22 Iran")</f>
        <v>Seventh 103.22 Iran</v>
      </c>
      <c r="G857" s="1" t="str">
        <f ca="1">IFERROR(__xludf.DUMMYFUNCTION("""COMPUTED_VALUE"""),"Death Penalty, Freedom of Expression, Individuals At Risk")</f>
        <v>Death Penalty, Freedom of Expression, Individuals At Risk</v>
      </c>
      <c r="H857" s="1" t="str">
        <f ca="1">IFERROR(__xludf.DUMMYFUNCTION("""COMPUTED_VALUE"""),"2024")</f>
        <v>2024</v>
      </c>
      <c r="I857" s="1" t="str">
        <f ca="1">IFERROR(__xludf.DUMMYFUNCTION("""COMPUTED_VALUE"""),"Email")</f>
        <v>Email</v>
      </c>
    </row>
    <row r="858" spans="1:9" ht="13" x14ac:dyDescent="0.15">
      <c r="A858" s="9">
        <f ca="1">IFERROR(__xludf.DUMMYFUNCTION("""COMPUTED_VALUE"""),31838412)</f>
        <v>31838412</v>
      </c>
      <c r="B858" s="1" t="str">
        <f ca="1">IFERROR(__xludf.DUMMYFUNCTION("""COMPUTED_VALUE"""),"occbass@hotmail.com")</f>
        <v>occbass@hotmail.com</v>
      </c>
      <c r="C858" s="9" t="str">
        <f ca="1">IFERROR(__xludf.DUMMYFUNCTION("""COMPUTED_VALUE"""),"EVERGREEN - UAN Gated Content - Embedded Petition")</f>
        <v>EVERGREEN - UAN Gated Content - Embedded Petition</v>
      </c>
      <c r="D858" s="10">
        <f ca="1">IFERROR(__xludf.DUMMYFUNCTION("""COMPUTED_VALUE"""),45696)</f>
        <v>45696</v>
      </c>
      <c r="E858" s="1" t="str">
        <f ca="1">IFERROR(__xludf.DUMMYFUNCTION("""COMPUTED_VALUE"""),"Tunisia")</f>
        <v>Tunisia</v>
      </c>
      <c r="F858" s="1" t="str">
        <f ca="1">IFERROR(__xludf.DUMMYFUNCTION("""COMPUTED_VALUE"""),"Second 76.24 Tunisia")</f>
        <v>Second 76.24 Tunisia</v>
      </c>
      <c r="G858" s="1" t="str">
        <f ca="1">IFERROR(__xludf.DUMMYFUNCTION("""COMPUTED_VALUE"""),"Freedom of Expression, Human Rights Defenders")</f>
        <v>Freedom of Expression, Human Rights Defenders</v>
      </c>
      <c r="H858" s="1" t="str">
        <f ca="1">IFERROR(__xludf.DUMMYFUNCTION("""COMPUTED_VALUE"""),"2025")</f>
        <v>2025</v>
      </c>
      <c r="I858" s="1" t="str">
        <f ca="1">IFERROR(__xludf.DUMMYFUNCTION("""COMPUTED_VALUE"""),"Email")</f>
        <v>Email</v>
      </c>
    </row>
    <row r="859" spans="1:9" ht="13" x14ac:dyDescent="0.15">
      <c r="A859" s="9">
        <f ca="1">IFERROR(__xludf.DUMMYFUNCTION("""COMPUTED_VALUE"""),31838412)</f>
        <v>31838412</v>
      </c>
      <c r="B859" s="1" t="str">
        <f ca="1">IFERROR(__xludf.DUMMYFUNCTION("""COMPUTED_VALUE"""),"occbass@hotmail.com")</f>
        <v>occbass@hotmail.com</v>
      </c>
      <c r="C859" s="9" t="str">
        <f ca="1">IFERROR(__xludf.DUMMYFUNCTION("""COMPUTED_VALUE"""),"EVERGREEN - UAN Gated Content - Embedded Petition")</f>
        <v>EVERGREEN - UAN Gated Content - Embedded Petition</v>
      </c>
      <c r="D859" s="10">
        <f ca="1">IFERROR(__xludf.DUMMYFUNCTION("""COMPUTED_VALUE"""),45696)</f>
        <v>45696</v>
      </c>
      <c r="E859" s="1" t="str">
        <f ca="1">IFERROR(__xludf.DUMMYFUNCTION("""COMPUTED_VALUE"""),"USA")</f>
        <v>USA</v>
      </c>
      <c r="F859" s="1" t="str">
        <f ca="1">IFERROR(__xludf.DUMMYFUNCTION("""COMPUTED_VALUE"""),"4.25 USA")</f>
        <v>4.25 USA</v>
      </c>
      <c r="G859" s="1" t="str">
        <f ca="1">IFERROR(__xludf.DUMMYFUNCTION("""COMPUTED_VALUE"""),"Individuals At Risk, Refugee and Migrant Rights")</f>
        <v>Individuals At Risk, Refugee and Migrant Rights</v>
      </c>
      <c r="H859" s="1" t="str">
        <f ca="1">IFERROR(__xludf.DUMMYFUNCTION("""COMPUTED_VALUE"""),"2025")</f>
        <v>2025</v>
      </c>
      <c r="I859" s="1" t="str">
        <f ca="1">IFERROR(__xludf.DUMMYFUNCTION("""COMPUTED_VALUE"""),"Letter")</f>
        <v>Letter</v>
      </c>
    </row>
    <row r="860" spans="1:9" ht="13" x14ac:dyDescent="0.15">
      <c r="A860" s="9">
        <f ca="1">IFERROR(__xludf.DUMMYFUNCTION("""COMPUTED_VALUE"""),31838412)</f>
        <v>31838412</v>
      </c>
      <c r="B860" s="1" t="str">
        <f ca="1">IFERROR(__xludf.DUMMYFUNCTION("""COMPUTED_VALUE"""),"occbass@hotmail.com")</f>
        <v>occbass@hotmail.com</v>
      </c>
      <c r="C860" s="9" t="str">
        <f ca="1">IFERROR(__xludf.DUMMYFUNCTION("""COMPUTED_VALUE"""),"EVERGREEN - UAN Gated Content - Embedded Petition")</f>
        <v>EVERGREEN - UAN Gated Content - Embedded Petition</v>
      </c>
      <c r="D860" s="10">
        <f ca="1">IFERROR(__xludf.DUMMYFUNCTION("""COMPUTED_VALUE"""),45696)</f>
        <v>45696</v>
      </c>
      <c r="E860" s="1" t="str">
        <f ca="1">IFERROR(__xludf.DUMMYFUNCTION("""COMPUTED_VALUE"""),"Tunisia")</f>
        <v>Tunisia</v>
      </c>
      <c r="F860" s="1" t="str">
        <f ca="1">IFERROR(__xludf.DUMMYFUNCTION("""COMPUTED_VALUE"""),"Second 76.24 Tunisia")</f>
        <v>Second 76.24 Tunisia</v>
      </c>
      <c r="G860" s="1" t="str">
        <f ca="1">IFERROR(__xludf.DUMMYFUNCTION("""COMPUTED_VALUE"""),"Freedom of Expression, Human Rights Defenders")</f>
        <v>Freedom of Expression, Human Rights Defenders</v>
      </c>
      <c r="H860" s="1" t="str">
        <f ca="1">IFERROR(__xludf.DUMMYFUNCTION("""COMPUTED_VALUE"""),"2025")</f>
        <v>2025</v>
      </c>
      <c r="I860" s="1" t="str">
        <f ca="1">IFERROR(__xludf.DUMMYFUNCTION("""COMPUTED_VALUE"""),"Email")</f>
        <v>Email</v>
      </c>
    </row>
    <row r="861" spans="1:9" ht="13" x14ac:dyDescent="0.15">
      <c r="A861" s="9">
        <f ca="1">IFERROR(__xludf.DUMMYFUNCTION("""COMPUTED_VALUE"""),31851256)</f>
        <v>31851256</v>
      </c>
      <c r="B861" s="1" t="str">
        <f ca="1">IFERROR(__xludf.DUMMYFUNCTION("""COMPUTED_VALUE"""),"bibliofool1@verizon.net")</f>
        <v>bibliofool1@verizon.net</v>
      </c>
      <c r="C861" s="9" t="str">
        <f ca="1">IFERROR(__xludf.DUMMYFUNCTION("""COMPUTED_VALUE"""),"EVERGREEN - UAN Gated Content - Embedded Petition")</f>
        <v>EVERGREEN - UAN Gated Content - Embedded Petition</v>
      </c>
      <c r="D861" s="10">
        <f ca="1">IFERROR(__xludf.DUMMYFUNCTION("""COMPUTED_VALUE"""),45638)</f>
        <v>45638</v>
      </c>
      <c r="E861" s="1" t="str">
        <f ca="1">IFERROR(__xludf.DUMMYFUNCTION("""COMPUTED_VALUE"""),"USA")</f>
        <v>USA</v>
      </c>
      <c r="F861" s="1" t="str">
        <f ca="1">IFERROR(__xludf.DUMMYFUNCTION("""COMPUTED_VALUE"""),"4.25 USA")</f>
        <v>4.25 USA</v>
      </c>
      <c r="G861" s="1" t="str">
        <f ca="1">IFERROR(__xludf.DUMMYFUNCTION("""COMPUTED_VALUE"""),"Individuals At Risk, Refugee and Migrant Rights")</f>
        <v>Individuals At Risk, Refugee and Migrant Rights</v>
      </c>
      <c r="H861" s="1" t="str">
        <f ca="1">IFERROR(__xludf.DUMMYFUNCTION("""COMPUTED_VALUE"""),"2025")</f>
        <v>2025</v>
      </c>
      <c r="I861" s="1" t="str">
        <f ca="1">IFERROR(__xludf.DUMMYFUNCTION("""COMPUTED_VALUE"""),"Letter")</f>
        <v>Letter</v>
      </c>
    </row>
    <row r="862" spans="1:9" ht="13" x14ac:dyDescent="0.15">
      <c r="A862" s="9">
        <f ca="1">IFERROR(__xludf.DUMMYFUNCTION("""COMPUTED_VALUE"""),31851256)</f>
        <v>31851256</v>
      </c>
      <c r="B862" s="1" t="str">
        <f ca="1">IFERROR(__xludf.DUMMYFUNCTION("""COMPUTED_VALUE"""),"bibliofool1@verizon.net")</f>
        <v>bibliofool1@verizon.net</v>
      </c>
      <c r="C862" s="9" t="str">
        <f ca="1">IFERROR(__xludf.DUMMYFUNCTION("""COMPUTED_VALUE"""),"EVERGREEN - UAN Gated Content - Embedded Petition")</f>
        <v>EVERGREEN - UAN Gated Content - Embedded Petition</v>
      </c>
      <c r="D862" s="10">
        <f ca="1">IFERROR(__xludf.DUMMYFUNCTION("""COMPUTED_VALUE"""),45703)</f>
        <v>45703</v>
      </c>
      <c r="E862" s="1" t="str">
        <f ca="1">IFERROR(__xludf.DUMMYFUNCTION("""COMPUTED_VALUE"""),"Tunisia")</f>
        <v>Tunisia</v>
      </c>
      <c r="F862" s="1" t="str">
        <f ca="1">IFERROR(__xludf.DUMMYFUNCTION("""COMPUTED_VALUE"""),"Second 76.24 Tunisia")</f>
        <v>Second 76.24 Tunisia</v>
      </c>
      <c r="G862" s="1" t="str">
        <f ca="1">IFERROR(__xludf.DUMMYFUNCTION("""COMPUTED_VALUE"""),"Freedom of Expression, Human Rights Defenders")</f>
        <v>Freedom of Expression, Human Rights Defenders</v>
      </c>
      <c r="H862" s="1" t="str">
        <f ca="1">IFERROR(__xludf.DUMMYFUNCTION("""COMPUTED_VALUE"""),"2025")</f>
        <v>2025</v>
      </c>
      <c r="I862" s="1" t="str">
        <f ca="1">IFERROR(__xludf.DUMMYFUNCTION("""COMPUTED_VALUE"""),"Email")</f>
        <v>Email</v>
      </c>
    </row>
    <row r="863" spans="1:9" ht="13" x14ac:dyDescent="0.15">
      <c r="A863" s="9">
        <f ca="1">IFERROR(__xludf.DUMMYFUNCTION("""COMPUTED_VALUE"""),31851256)</f>
        <v>31851256</v>
      </c>
      <c r="B863" s="1" t="str">
        <f ca="1">IFERROR(__xludf.DUMMYFUNCTION("""COMPUTED_VALUE"""),"bibliofool1@verizon.net")</f>
        <v>bibliofool1@verizon.net</v>
      </c>
      <c r="C863" s="9" t="str">
        <f ca="1">IFERROR(__xludf.DUMMYFUNCTION("""COMPUTED_VALUE"""),"EVERGREEN - UAN Gated Content - Embedded Petition")</f>
        <v>EVERGREEN - UAN Gated Content - Embedded Petition</v>
      </c>
      <c r="D863" s="10">
        <f ca="1">IFERROR(__xludf.DUMMYFUNCTION("""COMPUTED_VALUE"""),45638)</f>
        <v>45638</v>
      </c>
      <c r="E863" s="1" t="str">
        <f ca="1">IFERROR(__xludf.DUMMYFUNCTION("""COMPUTED_VALUE"""),"Russian Federation")</f>
        <v>Russian Federation</v>
      </c>
      <c r="F863" s="1" t="str">
        <f ca="1">IFERROR(__xludf.DUMMYFUNCTION("""COMPUTED_VALUE"""),"Second 23.24 Russia")</f>
        <v>Second 23.24 Russia</v>
      </c>
      <c r="G863" s="1" t="str">
        <f ca="1">IFERROR(__xludf.DUMMYFUNCTION("""COMPUTED_VALUE"""),"Freedom of Expression")</f>
        <v>Freedom of Expression</v>
      </c>
      <c r="H863" s="1" t="str">
        <f ca="1">IFERROR(__xludf.DUMMYFUNCTION("""COMPUTED_VALUE"""),"2024")</f>
        <v>2024</v>
      </c>
      <c r="I863" s="1" t="str">
        <f ca="1">IFERROR(__xludf.DUMMYFUNCTION("""COMPUTED_VALUE"""),"Letter")</f>
        <v>Letter</v>
      </c>
    </row>
    <row r="864" spans="1:9" ht="13" x14ac:dyDescent="0.15">
      <c r="A864" s="9">
        <f ca="1">IFERROR(__xludf.DUMMYFUNCTION("""COMPUTED_VALUE"""),31851256)</f>
        <v>31851256</v>
      </c>
      <c r="B864" s="1" t="str">
        <f ca="1">IFERROR(__xludf.DUMMYFUNCTION("""COMPUTED_VALUE"""),"bibliofool1@verizon.net")</f>
        <v>bibliofool1@verizon.net</v>
      </c>
      <c r="C864" s="9" t="str">
        <f ca="1">IFERROR(__xludf.DUMMYFUNCTION("""COMPUTED_VALUE"""),"EVERGREEN - UAN Gated Content - Embedded Petition")</f>
        <v>EVERGREEN - UAN Gated Content - Embedded Petition</v>
      </c>
      <c r="D864" s="10">
        <f ca="1">IFERROR(__xludf.DUMMYFUNCTION("""COMPUTED_VALUE"""),45638)</f>
        <v>45638</v>
      </c>
      <c r="E864" s="1" t="str">
        <f ca="1">IFERROR(__xludf.DUMMYFUNCTION("""COMPUTED_VALUE"""),"China")</f>
        <v>China</v>
      </c>
      <c r="F864" s="1" t="str">
        <f ca="1">IFERROR(__xludf.DUMMYFUNCTION("""COMPUTED_VALUE"""),"98.24 China")</f>
        <v>98.24 China</v>
      </c>
      <c r="G864" s="1" t="str">
        <f ca="1">IFERROR(__xludf.DUMMYFUNCTION("""COMPUTED_VALUE"""),"Freedom of Expression, Individuals At Risk")</f>
        <v>Freedom of Expression, Individuals At Risk</v>
      </c>
      <c r="H864" s="1" t="str">
        <f ca="1">IFERROR(__xludf.DUMMYFUNCTION("""COMPUTED_VALUE"""),"2024")</f>
        <v>2024</v>
      </c>
      <c r="I864" s="1" t="str">
        <f ca="1">IFERROR(__xludf.DUMMYFUNCTION("""COMPUTED_VALUE"""),"Letter")</f>
        <v>Letter</v>
      </c>
    </row>
    <row r="865" spans="1:9" ht="13" x14ac:dyDescent="0.15">
      <c r="A865" s="9">
        <f ca="1">IFERROR(__xludf.DUMMYFUNCTION("""COMPUTED_VALUE"""),31851256)</f>
        <v>31851256</v>
      </c>
      <c r="B865" s="1" t="str">
        <f ca="1">IFERROR(__xludf.DUMMYFUNCTION("""COMPUTED_VALUE"""),"bibliofool1@verizon.net")</f>
        <v>bibliofool1@verizon.net</v>
      </c>
      <c r="C865" s="9" t="str">
        <f ca="1">IFERROR(__xludf.DUMMYFUNCTION("""COMPUTED_VALUE"""),"EVERGREEN - UAN Gated Content - Embedded Petition")</f>
        <v>EVERGREEN - UAN Gated Content - Embedded Petition</v>
      </c>
      <c r="D865" s="10">
        <f ca="1">IFERROR(__xludf.DUMMYFUNCTION("""COMPUTED_VALUE"""),45638)</f>
        <v>45638</v>
      </c>
      <c r="E865" s="1" t="str">
        <f ca="1">IFERROR(__xludf.DUMMYFUNCTION("""COMPUTED_VALUE"""),"Venezuela")</f>
        <v>Venezuela</v>
      </c>
      <c r="F865" s="1" t="str">
        <f ca="1">IFERROR(__xludf.DUMMYFUNCTION("""COMPUTED_VALUE"""),"97.24 Venezuela")</f>
        <v>97.24 Venezuela</v>
      </c>
      <c r="G865" s="1" t="str">
        <f ca="1">IFERROR(__xludf.DUMMYFUNCTION("""COMPUTED_VALUE"""),"Freedom of Expression")</f>
        <v>Freedom of Expression</v>
      </c>
      <c r="H865" s="1" t="str">
        <f ca="1">IFERROR(__xludf.DUMMYFUNCTION("""COMPUTED_VALUE"""),"2024")</f>
        <v>2024</v>
      </c>
      <c r="I865" s="1" t="str">
        <f ca="1">IFERROR(__xludf.DUMMYFUNCTION("""COMPUTED_VALUE"""),"Letter")</f>
        <v>Letter</v>
      </c>
    </row>
    <row r="866" spans="1:9" ht="13" x14ac:dyDescent="0.15">
      <c r="A866" s="9">
        <f ca="1">IFERROR(__xludf.DUMMYFUNCTION("""COMPUTED_VALUE"""),31851256)</f>
        <v>31851256</v>
      </c>
      <c r="B866" s="1" t="str">
        <f ca="1">IFERROR(__xludf.DUMMYFUNCTION("""COMPUTED_VALUE"""),"bibliofool1@verizon.net")</f>
        <v>bibliofool1@verizon.net</v>
      </c>
      <c r="C866" s="9" t="str">
        <f ca="1">IFERROR(__xludf.DUMMYFUNCTION("""COMPUTED_VALUE"""),"EVERGREEN - UAN Gated Content - Embedded Petition")</f>
        <v>EVERGREEN - UAN Gated Content - Embedded Petition</v>
      </c>
      <c r="D866" s="10">
        <f ca="1">IFERROR(__xludf.DUMMYFUNCTION("""COMPUTED_VALUE"""),45638)</f>
        <v>45638</v>
      </c>
      <c r="E866" s="1" t="str">
        <f ca="1">IFERROR(__xludf.DUMMYFUNCTION("""COMPUTED_VALUE"""),"Venezuela")</f>
        <v>Venezuela</v>
      </c>
      <c r="F866" s="1" t="str">
        <f ca="1">IFERROR(__xludf.DUMMYFUNCTION("""COMPUTED_VALUE"""),"97.24 Venezuela")</f>
        <v>97.24 Venezuela</v>
      </c>
      <c r="G866" s="1" t="str">
        <f ca="1">IFERROR(__xludf.DUMMYFUNCTION("""COMPUTED_VALUE"""),"Freedom of Expression")</f>
        <v>Freedom of Expression</v>
      </c>
      <c r="H866" s="1" t="str">
        <f ca="1">IFERROR(__xludf.DUMMYFUNCTION("""COMPUTED_VALUE"""),"2024")</f>
        <v>2024</v>
      </c>
      <c r="I866" s="1" t="str">
        <f ca="1">IFERROR(__xludf.DUMMYFUNCTION("""COMPUTED_VALUE"""),"Letter")</f>
        <v>Letter</v>
      </c>
    </row>
    <row r="867" spans="1:9" ht="13" x14ac:dyDescent="0.15">
      <c r="A867" s="9">
        <f ca="1">IFERROR(__xludf.DUMMYFUNCTION("""COMPUTED_VALUE"""),31851256)</f>
        <v>31851256</v>
      </c>
      <c r="B867" s="1" t="str">
        <f ca="1">IFERROR(__xludf.DUMMYFUNCTION("""COMPUTED_VALUE"""),"bibliofool1@verizon.net")</f>
        <v>bibliofool1@verizon.net</v>
      </c>
      <c r="C867" s="9" t="str">
        <f ca="1">IFERROR(__xludf.DUMMYFUNCTION("""COMPUTED_VALUE"""),"EVERGREEN - UAN Gated Content - Embedded Petition")</f>
        <v>EVERGREEN - UAN Gated Content - Embedded Petition</v>
      </c>
      <c r="D867" s="10">
        <f ca="1">IFERROR(__xludf.DUMMYFUNCTION("""COMPUTED_VALUE"""),45638)</f>
        <v>45638</v>
      </c>
      <c r="E867" s="1" t="str">
        <f ca="1">IFERROR(__xludf.DUMMYFUNCTION("""COMPUTED_VALUE"""),"USA")</f>
        <v>USA</v>
      </c>
      <c r="F867" s="1" t="str">
        <f ca="1">IFERROR(__xludf.DUMMYFUNCTION("""COMPUTED_VALUE"""),"105.24 USA")</f>
        <v>105.24 USA</v>
      </c>
      <c r="G867" s="1" t="str">
        <f ca="1">IFERROR(__xludf.DUMMYFUNCTION("""COMPUTED_VALUE"""),"Death Penalty")</f>
        <v>Death Penalty</v>
      </c>
      <c r="H867" s="1" t="str">
        <f ca="1">IFERROR(__xludf.DUMMYFUNCTION("""COMPUTED_VALUE"""),"2024")</f>
        <v>2024</v>
      </c>
      <c r="I867" s="1" t="str">
        <f ca="1">IFERROR(__xludf.DUMMYFUNCTION("""COMPUTED_VALUE"""),"Email")</f>
        <v>Email</v>
      </c>
    </row>
    <row r="868" spans="1:9" ht="13" x14ac:dyDescent="0.15">
      <c r="A868" s="9">
        <f ca="1">IFERROR(__xludf.DUMMYFUNCTION("""COMPUTED_VALUE"""),31851256)</f>
        <v>31851256</v>
      </c>
      <c r="B868" s="1" t="str">
        <f ca="1">IFERROR(__xludf.DUMMYFUNCTION("""COMPUTED_VALUE"""),"bibliofool1@verizon.net")</f>
        <v>bibliofool1@verizon.net</v>
      </c>
      <c r="C868" s="9" t="str">
        <f ca="1">IFERROR(__xludf.DUMMYFUNCTION("""COMPUTED_VALUE"""),"EVERGREEN - UAN Gated Content - Embedded Petition")</f>
        <v>EVERGREEN - UAN Gated Content - Embedded Petition</v>
      </c>
      <c r="D868" s="10">
        <f ca="1">IFERROR(__xludf.DUMMYFUNCTION("""COMPUTED_VALUE"""),45703)</f>
        <v>45703</v>
      </c>
      <c r="E868" s="1" t="str">
        <f ca="1">IFERROR(__xludf.DUMMYFUNCTION("""COMPUTED_VALUE"""),"Egypt")</f>
        <v>Egypt</v>
      </c>
      <c r="F868" s="1" t="str">
        <f ca="1">IFERROR(__xludf.DUMMYFUNCTION("""COMPUTED_VALUE"""),"Ninth 190.18 Egypt")</f>
        <v>Ninth 190.18 Egypt</v>
      </c>
      <c r="G868" s="1" t="str">
        <f ca="1">IFERROR(__xludf.DUMMYFUNCTION("""COMPUTED_VALUE"""),"Freedom of Expression, Individuals At Risk")</f>
        <v>Freedom of Expression, Individuals At Risk</v>
      </c>
      <c r="H868" s="1" t="str">
        <f ca="1">IFERROR(__xludf.DUMMYFUNCTION("""COMPUTED_VALUE"""),"2024")</f>
        <v>2024</v>
      </c>
      <c r="I868" s="1" t="str">
        <f ca="1">IFERROR(__xludf.DUMMYFUNCTION("""COMPUTED_VALUE"""),"Letter")</f>
        <v>Letter</v>
      </c>
    </row>
    <row r="869" spans="1:9" ht="13" x14ac:dyDescent="0.15">
      <c r="A869" s="9">
        <f ca="1">IFERROR(__xludf.DUMMYFUNCTION("""COMPUTED_VALUE"""),31851256)</f>
        <v>31851256</v>
      </c>
      <c r="B869" s="1" t="str">
        <f ca="1">IFERROR(__xludf.DUMMYFUNCTION("""COMPUTED_VALUE"""),"bibliofool1@verizon.net")</f>
        <v>bibliofool1@verizon.net</v>
      </c>
      <c r="C869" s="9" t="str">
        <f ca="1">IFERROR(__xludf.DUMMYFUNCTION("""COMPUTED_VALUE"""),"EVERGREEN - UAN Gated Content - Embedded Petition")</f>
        <v>EVERGREEN - UAN Gated Content - Embedded Petition</v>
      </c>
      <c r="D869" s="10">
        <f ca="1">IFERROR(__xludf.DUMMYFUNCTION("""COMPUTED_VALUE"""),45703)</f>
        <v>45703</v>
      </c>
      <c r="E869" s="1" t="str">
        <f ca="1">IFERROR(__xludf.DUMMYFUNCTION("""COMPUTED_VALUE"""),"Uganda")</f>
        <v>Uganda</v>
      </c>
      <c r="F869" s="1" t="str">
        <f ca="1">IFERROR(__xludf.DUMMYFUNCTION("""COMPUTED_VALUE"""),"100.24 Uganda")</f>
        <v>100.24 Uganda</v>
      </c>
      <c r="G869" s="1" t="str">
        <f ca="1">IFERROR(__xludf.DUMMYFUNCTION("""COMPUTED_VALUE"""),"Freedom of Expression")</f>
        <v>Freedom of Expression</v>
      </c>
      <c r="H869" s="1" t="str">
        <f ca="1">IFERROR(__xludf.DUMMYFUNCTION("""COMPUTED_VALUE"""),"2024")</f>
        <v>2024</v>
      </c>
      <c r="I869" s="1" t="str">
        <f ca="1">IFERROR(__xludf.DUMMYFUNCTION("""COMPUTED_VALUE"""),"Email")</f>
        <v>Email</v>
      </c>
    </row>
    <row r="870" spans="1:9" ht="13" x14ac:dyDescent="0.15">
      <c r="A870" s="9">
        <f ca="1">IFERROR(__xludf.DUMMYFUNCTION("""COMPUTED_VALUE"""),31851256)</f>
        <v>31851256</v>
      </c>
      <c r="B870" s="1" t="str">
        <f ca="1">IFERROR(__xludf.DUMMYFUNCTION("""COMPUTED_VALUE"""),"bibliofool1@verizon.net")</f>
        <v>bibliofool1@verizon.net</v>
      </c>
      <c r="C870" s="9" t="str">
        <f ca="1">IFERROR(__xludf.DUMMYFUNCTION("""COMPUTED_VALUE"""),"EVERGREEN - UAN Gated Content - Embedded Petition")</f>
        <v>EVERGREEN - UAN Gated Content - Embedded Petition</v>
      </c>
      <c r="D870" s="10">
        <f ca="1">IFERROR(__xludf.DUMMYFUNCTION("""COMPUTED_VALUE"""),45682)</f>
        <v>45682</v>
      </c>
      <c r="E870" s="1" t="str">
        <f ca="1">IFERROR(__xludf.DUMMYFUNCTION("""COMPUTED_VALUE"""),"Iran")</f>
        <v>Iran</v>
      </c>
      <c r="F870" s="1" t="str">
        <f ca="1">IFERROR(__xludf.DUMMYFUNCTION("""COMPUTED_VALUE"""),"101.24 Iran")</f>
        <v>101.24 Iran</v>
      </c>
      <c r="G870" s="1" t="str">
        <f ca="1">IFERROR(__xludf.DUMMYFUNCTION("""COMPUTED_VALUE"""),"Death Penalty, Freedom of Expression, Individuals At Risk, Right to Protest")</f>
        <v>Death Penalty, Freedom of Expression, Individuals At Risk, Right to Protest</v>
      </c>
      <c r="H870" s="1" t="str">
        <f ca="1">IFERROR(__xludf.DUMMYFUNCTION("""COMPUTED_VALUE"""),"2024")</f>
        <v>2024</v>
      </c>
      <c r="I870" s="1" t="str">
        <f ca="1">IFERROR(__xludf.DUMMYFUNCTION("""COMPUTED_VALUE"""),"Email")</f>
        <v>Email</v>
      </c>
    </row>
    <row r="871" spans="1:9" ht="13" x14ac:dyDescent="0.15">
      <c r="A871" s="9">
        <f ca="1">IFERROR(__xludf.DUMMYFUNCTION("""COMPUTED_VALUE"""),31851256)</f>
        <v>31851256</v>
      </c>
      <c r="B871" s="1" t="str">
        <f ca="1">IFERROR(__xludf.DUMMYFUNCTION("""COMPUTED_VALUE"""),"bibliofool1@verizon.net")</f>
        <v>bibliofool1@verizon.net</v>
      </c>
      <c r="C871" s="9" t="str">
        <f ca="1">IFERROR(__xludf.DUMMYFUNCTION("""COMPUTED_VALUE"""),"EVERGREEN - UAN Gated Content - Embedded Petition")</f>
        <v>EVERGREEN - UAN Gated Content - Embedded Petition</v>
      </c>
      <c r="D871" s="10">
        <f ca="1">IFERROR(__xludf.DUMMYFUNCTION("""COMPUTED_VALUE"""),45682)</f>
        <v>45682</v>
      </c>
      <c r="E871" s="1" t="str">
        <f ca="1">IFERROR(__xludf.DUMMYFUNCTION("""COMPUTED_VALUE"""),"USA")</f>
        <v>USA</v>
      </c>
      <c r="F871" s="1" t="str">
        <f ca="1">IFERROR(__xludf.DUMMYFUNCTION("""COMPUTED_VALUE"""),"105.24 USA")</f>
        <v>105.24 USA</v>
      </c>
      <c r="G871" s="1" t="str">
        <f ca="1">IFERROR(__xludf.DUMMYFUNCTION("""COMPUTED_VALUE"""),"Death Penalty")</f>
        <v>Death Penalty</v>
      </c>
      <c r="H871" s="1" t="str">
        <f ca="1">IFERROR(__xludf.DUMMYFUNCTION("""COMPUTED_VALUE"""),"2024")</f>
        <v>2024</v>
      </c>
      <c r="I871" s="1" t="str">
        <f ca="1">IFERROR(__xludf.DUMMYFUNCTION("""COMPUTED_VALUE"""),"Email")</f>
        <v>Email</v>
      </c>
    </row>
    <row r="872" spans="1:9" ht="13" x14ac:dyDescent="0.15">
      <c r="A872" s="9">
        <f ca="1">IFERROR(__xludf.DUMMYFUNCTION("""COMPUTED_VALUE"""),31851256)</f>
        <v>31851256</v>
      </c>
      <c r="B872" s="1" t="str">
        <f ca="1">IFERROR(__xludf.DUMMYFUNCTION("""COMPUTED_VALUE"""),"bibliofool1@verizon.net")</f>
        <v>bibliofool1@verizon.net</v>
      </c>
      <c r="C872" s="9" t="str">
        <f ca="1">IFERROR(__xludf.DUMMYFUNCTION("""COMPUTED_VALUE"""),"EVERGREEN - UAN Gated Content - Embedded Petition")</f>
        <v>EVERGREEN - UAN Gated Content - Embedded Petition</v>
      </c>
      <c r="D872" s="10">
        <f ca="1">IFERROR(__xludf.DUMMYFUNCTION("""COMPUTED_VALUE"""),45682)</f>
        <v>45682</v>
      </c>
      <c r="E872" s="1" t="str">
        <f ca="1">IFERROR(__xludf.DUMMYFUNCTION("""COMPUTED_VALUE"""),"USA")</f>
        <v>USA</v>
      </c>
      <c r="F872" s="1" t="str">
        <f ca="1">IFERROR(__xludf.DUMMYFUNCTION("""COMPUTED_VALUE"""),"96.24 USA")</f>
        <v>96.24 USA</v>
      </c>
      <c r="G872" s="1" t="str">
        <f ca="1">IFERROR(__xludf.DUMMYFUNCTION("""COMPUTED_VALUE"""),"Death Penalty")</f>
        <v>Death Penalty</v>
      </c>
      <c r="H872" s="1" t="str">
        <f ca="1">IFERROR(__xludf.DUMMYFUNCTION("""COMPUTED_VALUE"""),"2024")</f>
        <v>2024</v>
      </c>
      <c r="I872" s="1" t="str">
        <f ca="1">IFERROR(__xludf.DUMMYFUNCTION("""COMPUTED_VALUE"""),"Email")</f>
        <v>Email</v>
      </c>
    </row>
    <row r="873" spans="1:9" ht="13" x14ac:dyDescent="0.15">
      <c r="A873" s="9">
        <f ca="1">IFERROR(__xludf.DUMMYFUNCTION("""COMPUTED_VALUE"""),31851256)</f>
        <v>31851256</v>
      </c>
      <c r="B873" s="1" t="str">
        <f ca="1">IFERROR(__xludf.DUMMYFUNCTION("""COMPUTED_VALUE"""),"bibliofool1@verizon.net")</f>
        <v>bibliofool1@verizon.net</v>
      </c>
      <c r="C873" s="9" t="str">
        <f ca="1">IFERROR(__xludf.DUMMYFUNCTION("""COMPUTED_VALUE"""),"EVERGREEN - UAN Gated Content - Embedded Petition")</f>
        <v>EVERGREEN - UAN Gated Content - Embedded Petition</v>
      </c>
      <c r="D873" s="10">
        <f ca="1">IFERROR(__xludf.DUMMYFUNCTION("""COMPUTED_VALUE"""),45682)</f>
        <v>45682</v>
      </c>
      <c r="E873" s="1" t="str">
        <f ca="1">IFERROR(__xludf.DUMMYFUNCTION("""COMPUTED_VALUE"""),"Tunisia")</f>
        <v>Tunisia</v>
      </c>
      <c r="F873" s="1" t="str">
        <f ca="1">IFERROR(__xludf.DUMMYFUNCTION("""COMPUTED_VALUE"""),"Second 76.24 Tunisia")</f>
        <v>Second 76.24 Tunisia</v>
      </c>
      <c r="G873" s="1" t="str">
        <f ca="1">IFERROR(__xludf.DUMMYFUNCTION("""COMPUTED_VALUE"""),"Freedom of Expression, Human Rights Defenders")</f>
        <v>Freedom of Expression, Human Rights Defenders</v>
      </c>
      <c r="H873" s="1" t="str">
        <f ca="1">IFERROR(__xludf.DUMMYFUNCTION("""COMPUTED_VALUE"""),"2025")</f>
        <v>2025</v>
      </c>
      <c r="I873" s="1" t="str">
        <f ca="1">IFERROR(__xludf.DUMMYFUNCTION("""COMPUTED_VALUE"""),"Email")</f>
        <v>Email</v>
      </c>
    </row>
    <row r="874" spans="1:9" ht="13" x14ac:dyDescent="0.15">
      <c r="A874" s="9">
        <f ca="1">IFERROR(__xludf.DUMMYFUNCTION("""COMPUTED_VALUE"""),31851256)</f>
        <v>31851256</v>
      </c>
      <c r="B874" s="1" t="str">
        <f ca="1">IFERROR(__xludf.DUMMYFUNCTION("""COMPUTED_VALUE"""),"bibliofool1@verizon.net")</f>
        <v>bibliofool1@verizon.net</v>
      </c>
      <c r="C874" s="9" t="str">
        <f ca="1">IFERROR(__xludf.DUMMYFUNCTION("""COMPUTED_VALUE"""),"EVERGREEN - UAN Gated Content - Embedded Petition")</f>
        <v>EVERGREEN - UAN Gated Content - Embedded Petition</v>
      </c>
      <c r="D874" s="10">
        <f ca="1">IFERROR(__xludf.DUMMYFUNCTION("""COMPUTED_VALUE"""),45682)</f>
        <v>45682</v>
      </c>
      <c r="E874" s="1" t="str">
        <f ca="1">IFERROR(__xludf.DUMMYFUNCTION("""COMPUTED_VALUE"""),"Tunisia")</f>
        <v>Tunisia</v>
      </c>
      <c r="F874" s="1" t="str">
        <f ca="1">IFERROR(__xludf.DUMMYFUNCTION("""COMPUTED_VALUE"""),"Second 76.24 Tunisia")</f>
        <v>Second 76.24 Tunisia</v>
      </c>
      <c r="G874" s="1" t="str">
        <f ca="1">IFERROR(__xludf.DUMMYFUNCTION("""COMPUTED_VALUE"""),"Freedom of Expression, Human Rights Defenders")</f>
        <v>Freedom of Expression, Human Rights Defenders</v>
      </c>
      <c r="H874" s="1" t="str">
        <f ca="1">IFERROR(__xludf.DUMMYFUNCTION("""COMPUTED_VALUE"""),"2025")</f>
        <v>2025</v>
      </c>
      <c r="I874" s="1" t="str">
        <f ca="1">IFERROR(__xludf.DUMMYFUNCTION("""COMPUTED_VALUE"""),"Email")</f>
        <v>Email</v>
      </c>
    </row>
    <row r="875" spans="1:9" ht="13" x14ac:dyDescent="0.15">
      <c r="A875" s="9">
        <f ca="1">IFERROR(__xludf.DUMMYFUNCTION("""COMPUTED_VALUE"""),31851256)</f>
        <v>31851256</v>
      </c>
      <c r="B875" s="1" t="str">
        <f ca="1">IFERROR(__xludf.DUMMYFUNCTION("""COMPUTED_VALUE"""),"bibliofool1@verizon.net")</f>
        <v>bibliofool1@verizon.net</v>
      </c>
      <c r="C875" s="9" t="str">
        <f ca="1">IFERROR(__xludf.DUMMYFUNCTION("""COMPUTED_VALUE"""),"EVERGREEN - UAN Gated Content - Embedded Petition")</f>
        <v>EVERGREEN - UAN Gated Content - Embedded Petition</v>
      </c>
      <c r="D875" s="10">
        <f ca="1">IFERROR(__xludf.DUMMYFUNCTION("""COMPUTED_VALUE"""),45682)</f>
        <v>45682</v>
      </c>
      <c r="E875" s="1" t="str">
        <f ca="1">IFERROR(__xludf.DUMMYFUNCTION("""COMPUTED_VALUE"""),"USA")</f>
        <v>USA</v>
      </c>
      <c r="F875" s="1" t="str">
        <f ca="1">IFERROR(__xludf.DUMMYFUNCTION("""COMPUTED_VALUE"""),"96.24 USA")</f>
        <v>96.24 USA</v>
      </c>
      <c r="G875" s="1" t="str">
        <f ca="1">IFERROR(__xludf.DUMMYFUNCTION("""COMPUTED_VALUE"""),"Death Penalty")</f>
        <v>Death Penalty</v>
      </c>
      <c r="H875" s="1" t="str">
        <f ca="1">IFERROR(__xludf.DUMMYFUNCTION("""COMPUTED_VALUE"""),"2024")</f>
        <v>2024</v>
      </c>
      <c r="I875" s="1" t="str">
        <f ca="1">IFERROR(__xludf.DUMMYFUNCTION("""COMPUTED_VALUE"""),"Email")</f>
        <v>Email</v>
      </c>
    </row>
    <row r="876" spans="1:9" ht="13" x14ac:dyDescent="0.15">
      <c r="A876" s="9">
        <f ca="1">IFERROR(__xludf.DUMMYFUNCTION("""COMPUTED_VALUE"""),31851256)</f>
        <v>31851256</v>
      </c>
      <c r="B876" s="1" t="str">
        <f ca="1">IFERROR(__xludf.DUMMYFUNCTION("""COMPUTED_VALUE"""),"bibliofool1@verizon.net")</f>
        <v>bibliofool1@verizon.net</v>
      </c>
      <c r="C876" s="9" t="str">
        <f ca="1">IFERROR(__xludf.DUMMYFUNCTION("""COMPUTED_VALUE"""),"EVERGREEN - UAN Gated Content - Embedded Petition")</f>
        <v>EVERGREEN - UAN Gated Content - Embedded Petition</v>
      </c>
      <c r="D876" s="10">
        <f ca="1">IFERROR(__xludf.DUMMYFUNCTION("""COMPUTED_VALUE"""),45682)</f>
        <v>45682</v>
      </c>
      <c r="E876" s="1" t="str">
        <f ca="1">IFERROR(__xludf.DUMMYFUNCTION("""COMPUTED_VALUE"""),"Uganda")</f>
        <v>Uganda</v>
      </c>
      <c r="F876" s="1" t="str">
        <f ca="1">IFERROR(__xludf.DUMMYFUNCTION("""COMPUTED_VALUE"""),"100.24 Uganda")</f>
        <v>100.24 Uganda</v>
      </c>
      <c r="G876" s="1" t="str">
        <f ca="1">IFERROR(__xludf.DUMMYFUNCTION("""COMPUTED_VALUE"""),"Freedom of Expression")</f>
        <v>Freedom of Expression</v>
      </c>
      <c r="H876" s="1" t="str">
        <f ca="1">IFERROR(__xludf.DUMMYFUNCTION("""COMPUTED_VALUE"""),"2024")</f>
        <v>2024</v>
      </c>
      <c r="I876" s="1" t="str">
        <f ca="1">IFERROR(__xludf.DUMMYFUNCTION("""COMPUTED_VALUE"""),"Email")</f>
        <v>Email</v>
      </c>
    </row>
    <row r="877" spans="1:9" ht="13" x14ac:dyDescent="0.15">
      <c r="A877" s="9">
        <f ca="1">IFERROR(__xludf.DUMMYFUNCTION("""COMPUTED_VALUE"""),31851256)</f>
        <v>31851256</v>
      </c>
      <c r="B877" s="1" t="str">
        <f ca="1">IFERROR(__xludf.DUMMYFUNCTION("""COMPUTED_VALUE"""),"bibliofool1@verizon.net")</f>
        <v>bibliofool1@verizon.net</v>
      </c>
      <c r="C877" s="9" t="str">
        <f ca="1">IFERROR(__xludf.DUMMYFUNCTION("""COMPUTED_VALUE"""),"EVERGREEN - UAN Gated Content - Embedded Petition")</f>
        <v>EVERGREEN - UAN Gated Content - Embedded Petition</v>
      </c>
      <c r="D877" s="10">
        <f ca="1">IFERROR(__xludf.DUMMYFUNCTION("""COMPUTED_VALUE"""),45682)</f>
        <v>45682</v>
      </c>
      <c r="E877" s="1" t="str">
        <f ca="1">IFERROR(__xludf.DUMMYFUNCTION("""COMPUTED_VALUE"""),"Iran")</f>
        <v>Iran</v>
      </c>
      <c r="F877" s="1" t="str">
        <f ca="1">IFERROR(__xludf.DUMMYFUNCTION("""COMPUTED_VALUE"""),"101.24 Iran")</f>
        <v>101.24 Iran</v>
      </c>
      <c r="G877" s="1" t="str">
        <f ca="1">IFERROR(__xludf.DUMMYFUNCTION("""COMPUTED_VALUE"""),"Death Penalty, Freedom of Expression, Individuals At Risk, Right to Protest")</f>
        <v>Death Penalty, Freedom of Expression, Individuals At Risk, Right to Protest</v>
      </c>
      <c r="H877" s="1" t="str">
        <f ca="1">IFERROR(__xludf.DUMMYFUNCTION("""COMPUTED_VALUE"""),"2024")</f>
        <v>2024</v>
      </c>
      <c r="I877" s="1" t="str">
        <f ca="1">IFERROR(__xludf.DUMMYFUNCTION("""COMPUTED_VALUE"""),"Email")</f>
        <v>Email</v>
      </c>
    </row>
    <row r="878" spans="1:9" ht="13" x14ac:dyDescent="0.15">
      <c r="A878" s="9">
        <f ca="1">IFERROR(__xludf.DUMMYFUNCTION("""COMPUTED_VALUE"""),31851256)</f>
        <v>31851256</v>
      </c>
      <c r="B878" s="1" t="str">
        <f ca="1">IFERROR(__xludf.DUMMYFUNCTION("""COMPUTED_VALUE"""),"bibliofool1@verizon.net")</f>
        <v>bibliofool1@verizon.net</v>
      </c>
      <c r="C878" s="9" t="str">
        <f ca="1">IFERROR(__xludf.DUMMYFUNCTION("""COMPUTED_VALUE"""),"EVERGREEN - UAN Gated Content - Embedded Petition")</f>
        <v>EVERGREEN - UAN Gated Content - Embedded Petition</v>
      </c>
      <c r="D878" s="10">
        <f ca="1">IFERROR(__xludf.DUMMYFUNCTION("""COMPUTED_VALUE"""),45682)</f>
        <v>45682</v>
      </c>
      <c r="E878" s="1" t="str">
        <f ca="1">IFERROR(__xludf.DUMMYFUNCTION("""COMPUTED_VALUE"""),"Iran")</f>
        <v>Iran</v>
      </c>
      <c r="F878" s="1" t="str">
        <f ca="1">IFERROR(__xludf.DUMMYFUNCTION("""COMPUTED_VALUE"""),"Seventh 103.22 Iran")</f>
        <v>Seventh 103.22 Iran</v>
      </c>
      <c r="G878" s="1" t="str">
        <f ca="1">IFERROR(__xludf.DUMMYFUNCTION("""COMPUTED_VALUE"""),"Death Penalty, Freedom of Expression, Individuals At Risk")</f>
        <v>Death Penalty, Freedom of Expression, Individuals At Risk</v>
      </c>
      <c r="H878" s="1" t="str">
        <f ca="1">IFERROR(__xludf.DUMMYFUNCTION("""COMPUTED_VALUE"""),"2024")</f>
        <v>2024</v>
      </c>
      <c r="I878" s="1" t="str">
        <f ca="1">IFERROR(__xludf.DUMMYFUNCTION("""COMPUTED_VALUE"""),"Email")</f>
        <v>Email</v>
      </c>
    </row>
    <row r="879" spans="1:9" ht="13" x14ac:dyDescent="0.15">
      <c r="A879" s="9">
        <f ca="1">IFERROR(__xludf.DUMMYFUNCTION("""COMPUTED_VALUE"""),31851256)</f>
        <v>31851256</v>
      </c>
      <c r="B879" s="1" t="str">
        <f ca="1">IFERROR(__xludf.DUMMYFUNCTION("""COMPUTED_VALUE"""),"bibliofool1@verizon.net")</f>
        <v>bibliofool1@verizon.net</v>
      </c>
      <c r="C879" s="9" t="str">
        <f ca="1">IFERROR(__xludf.DUMMYFUNCTION("""COMPUTED_VALUE"""),"EVERGREEN - UAN Gated Content - Embedded Petition")</f>
        <v>EVERGREEN - UAN Gated Content - Embedded Petition</v>
      </c>
      <c r="D879" s="10">
        <f ca="1">IFERROR(__xludf.DUMMYFUNCTION("""COMPUTED_VALUE"""),45682)</f>
        <v>45682</v>
      </c>
      <c r="E879" s="1" t="str">
        <f ca="1">IFERROR(__xludf.DUMMYFUNCTION("""COMPUTED_VALUE"""),"Egypt")</f>
        <v>Egypt</v>
      </c>
      <c r="F879" s="1" t="str">
        <f ca="1">IFERROR(__xludf.DUMMYFUNCTION("""COMPUTED_VALUE"""),"Ninth 190.18 Egypt")</f>
        <v>Ninth 190.18 Egypt</v>
      </c>
      <c r="G879" s="1" t="str">
        <f ca="1">IFERROR(__xludf.DUMMYFUNCTION("""COMPUTED_VALUE"""),"Freedom of Expression, Individuals At Risk")</f>
        <v>Freedom of Expression, Individuals At Risk</v>
      </c>
      <c r="H879" s="1" t="str">
        <f ca="1">IFERROR(__xludf.DUMMYFUNCTION("""COMPUTED_VALUE"""),"2024")</f>
        <v>2024</v>
      </c>
      <c r="I879" s="1" t="str">
        <f ca="1">IFERROR(__xludf.DUMMYFUNCTION("""COMPUTED_VALUE"""),"Letter")</f>
        <v>Letter</v>
      </c>
    </row>
    <row r="880" spans="1:9" ht="13" x14ac:dyDescent="0.15">
      <c r="A880" s="9">
        <f ca="1">IFERROR(__xludf.DUMMYFUNCTION("""COMPUTED_VALUE"""),31851256)</f>
        <v>31851256</v>
      </c>
      <c r="B880" s="1" t="str">
        <f ca="1">IFERROR(__xludf.DUMMYFUNCTION("""COMPUTED_VALUE"""),"bibliofool1@verizon.net")</f>
        <v>bibliofool1@verizon.net</v>
      </c>
      <c r="C880" s="9" t="str">
        <f ca="1">IFERROR(__xludf.DUMMYFUNCTION("""COMPUTED_VALUE"""),"EVERGREEN - UAN Gated Content - Embedded Petition")</f>
        <v>EVERGREEN - UAN Gated Content - Embedded Petition</v>
      </c>
      <c r="D880" s="10">
        <f ca="1">IFERROR(__xludf.DUMMYFUNCTION("""COMPUTED_VALUE"""),45703)</f>
        <v>45703</v>
      </c>
      <c r="E880" s="1" t="str">
        <f ca="1">IFERROR(__xludf.DUMMYFUNCTION("""COMPUTED_VALUE"""),"Dominican Republic")</f>
        <v>Dominican Republic</v>
      </c>
      <c r="F880" s="1" t="str">
        <f ca="1">IFERROR(__xludf.DUMMYFUNCTION("""COMPUTED_VALUE"""),"88.24 Dominican Republic")</f>
        <v>88.24 Dominican Republic</v>
      </c>
      <c r="G880" s="1" t="str">
        <f ca="1">IFERROR(__xludf.DUMMYFUNCTION("""COMPUTED_VALUE"""),"Individuals At Risk, Refugee and Migrant Rights")</f>
        <v>Individuals At Risk, Refugee and Migrant Rights</v>
      </c>
      <c r="H880" s="1" t="str">
        <f ca="1">IFERROR(__xludf.DUMMYFUNCTION("""COMPUTED_VALUE"""),"2024")</f>
        <v>2024</v>
      </c>
      <c r="I880" s="1" t="str">
        <f ca="1">IFERROR(__xludf.DUMMYFUNCTION("""COMPUTED_VALUE"""),"Letter")</f>
        <v>Letter</v>
      </c>
    </row>
    <row r="881" spans="1:9" ht="13" x14ac:dyDescent="0.15">
      <c r="A881" s="9">
        <f ca="1">IFERROR(__xludf.DUMMYFUNCTION("""COMPUTED_VALUE"""),31858435)</f>
        <v>31858435</v>
      </c>
      <c r="B881" s="1" t="str">
        <f ca="1">IFERROR(__xludf.DUMMYFUNCTION("""COMPUTED_VALUE"""),"na.overgard@gmail.com")</f>
        <v>na.overgard@gmail.com</v>
      </c>
      <c r="C881" s="9" t="str">
        <f ca="1">IFERROR(__xludf.DUMMYFUNCTION("""COMPUTED_VALUE"""),"EVERGREEN - UAN Gated Content - Embedded Petition")</f>
        <v>EVERGREEN - UAN Gated Content - Embedded Petition</v>
      </c>
      <c r="D881" s="10">
        <f ca="1">IFERROR(__xludf.DUMMYFUNCTION("""COMPUTED_VALUE"""),45694)</f>
        <v>45694</v>
      </c>
      <c r="E881" s="1" t="str">
        <f ca="1">IFERROR(__xludf.DUMMYFUNCTION("""COMPUTED_VALUE"""),"Egypt")</f>
        <v>Egypt</v>
      </c>
      <c r="F881" s="1" t="str">
        <f ca="1">IFERROR(__xludf.DUMMYFUNCTION("""COMPUTED_VALUE"""),"Ninth 190.18 Egypt")</f>
        <v>Ninth 190.18 Egypt</v>
      </c>
      <c r="G881" s="1" t="str">
        <f ca="1">IFERROR(__xludf.DUMMYFUNCTION("""COMPUTED_VALUE"""),"Freedom of Expression, Individuals At Risk")</f>
        <v>Freedom of Expression, Individuals At Risk</v>
      </c>
      <c r="H881" s="1" t="str">
        <f ca="1">IFERROR(__xludf.DUMMYFUNCTION("""COMPUTED_VALUE"""),"2024")</f>
        <v>2024</v>
      </c>
      <c r="I881" s="1" t="str">
        <f ca="1">IFERROR(__xludf.DUMMYFUNCTION("""COMPUTED_VALUE"""),"Letter")</f>
        <v>Letter</v>
      </c>
    </row>
    <row r="882" spans="1:9" ht="13" x14ac:dyDescent="0.15">
      <c r="A882" s="9">
        <f ca="1">IFERROR(__xludf.DUMMYFUNCTION("""COMPUTED_VALUE"""),31858435)</f>
        <v>31858435</v>
      </c>
      <c r="B882" s="1" t="str">
        <f ca="1">IFERROR(__xludf.DUMMYFUNCTION("""COMPUTED_VALUE"""),"na.overgard@gmail.com")</f>
        <v>na.overgard@gmail.com</v>
      </c>
      <c r="C882" s="9" t="str">
        <f ca="1">IFERROR(__xludf.DUMMYFUNCTION("""COMPUTED_VALUE"""),"EVERGREEN - UAN Gated Content - Embedded Petition")</f>
        <v>EVERGREEN - UAN Gated Content - Embedded Petition</v>
      </c>
      <c r="D882" s="10">
        <f ca="1">IFERROR(__xludf.DUMMYFUNCTION("""COMPUTED_VALUE"""),45672)</f>
        <v>45672</v>
      </c>
      <c r="E882" s="1" t="str">
        <f ca="1">IFERROR(__xludf.DUMMYFUNCTION("""COMPUTED_VALUE"""),"China")</f>
        <v>China</v>
      </c>
      <c r="F882" s="1" t="str">
        <f ca="1">IFERROR(__xludf.DUMMYFUNCTION("""COMPUTED_VALUE"""),"98.24 China")</f>
        <v>98.24 China</v>
      </c>
      <c r="G882" s="1" t="str">
        <f ca="1">IFERROR(__xludf.DUMMYFUNCTION("""COMPUTED_VALUE"""),"Freedom of Expression, Individuals At Risk")</f>
        <v>Freedom of Expression, Individuals At Risk</v>
      </c>
      <c r="H882" s="1" t="str">
        <f ca="1">IFERROR(__xludf.DUMMYFUNCTION("""COMPUTED_VALUE"""),"2024")</f>
        <v>2024</v>
      </c>
      <c r="I882" s="1" t="str">
        <f ca="1">IFERROR(__xludf.DUMMYFUNCTION("""COMPUTED_VALUE"""),"Letter")</f>
        <v>Letter</v>
      </c>
    </row>
    <row r="883" spans="1:9" ht="13" x14ac:dyDescent="0.15">
      <c r="A883" s="9">
        <f ca="1">IFERROR(__xludf.DUMMYFUNCTION("""COMPUTED_VALUE"""),31858651)</f>
        <v>31858651</v>
      </c>
      <c r="B883" s="1" t="str">
        <f ca="1">IFERROR(__xludf.DUMMYFUNCTION("""COMPUTED_VALUE"""),"mrs.sapience@gmail.com")</f>
        <v>mrs.sapience@gmail.com</v>
      </c>
      <c r="C883" s="9" t="str">
        <f ca="1">IFERROR(__xludf.DUMMYFUNCTION("""COMPUTED_VALUE"""),"EVERGREEN - UAN Gated Content - Embedded Petition")</f>
        <v>EVERGREEN - UAN Gated Content - Embedded Petition</v>
      </c>
      <c r="D883" s="10">
        <f ca="1">IFERROR(__xludf.DUMMYFUNCTION("""COMPUTED_VALUE"""),45694)</f>
        <v>45694</v>
      </c>
      <c r="E883" s="1" t="str">
        <f ca="1">IFERROR(__xludf.DUMMYFUNCTION("""COMPUTED_VALUE"""),"Azerbaijan")</f>
        <v>Azerbaijan</v>
      </c>
      <c r="F883" s="1" t="str">
        <f ca="1">IFERROR(__xludf.DUMMYFUNCTION("""COMPUTED_VALUE"""),"2.25 Azerbaijan")</f>
        <v>2.25 Azerbaijan</v>
      </c>
      <c r="G883" s="1" t="str">
        <f ca="1">IFERROR(__xludf.DUMMYFUNCTION("""COMPUTED_VALUE"""),"Freedom of Expression, Human Rights Defenders")</f>
        <v>Freedom of Expression, Human Rights Defenders</v>
      </c>
      <c r="H883" s="1" t="str">
        <f ca="1">IFERROR(__xludf.DUMMYFUNCTION("""COMPUTED_VALUE"""),"2025")</f>
        <v>2025</v>
      </c>
      <c r="I883" s="1" t="str">
        <f ca="1">IFERROR(__xludf.DUMMYFUNCTION("""COMPUTED_VALUE"""),"Email")</f>
        <v>Email</v>
      </c>
    </row>
    <row r="884" spans="1:9" ht="13" x14ac:dyDescent="0.15">
      <c r="A884" s="9">
        <f ca="1">IFERROR(__xludf.DUMMYFUNCTION("""COMPUTED_VALUE"""),31861761)</f>
        <v>31861761</v>
      </c>
      <c r="B884" s="1" t="str">
        <f ca="1">IFERROR(__xludf.DUMMYFUNCTION("""COMPUTED_VALUE"""),"sslyman@verizon.net")</f>
        <v>sslyman@verizon.net</v>
      </c>
      <c r="C884" s="9" t="str">
        <f ca="1">IFERROR(__xludf.DUMMYFUNCTION("""COMPUTED_VALUE"""),"EVERGREEN - UAN Gated Content - Embedded Petition")</f>
        <v>EVERGREEN - UAN Gated Content - Embedded Petition</v>
      </c>
      <c r="D884" s="10">
        <f ca="1">IFERROR(__xludf.DUMMYFUNCTION("""COMPUTED_VALUE"""),45694)</f>
        <v>45694</v>
      </c>
      <c r="E884" s="1" t="str">
        <f ca="1">IFERROR(__xludf.DUMMYFUNCTION("""COMPUTED_VALUE"""),"USA")</f>
        <v>USA</v>
      </c>
      <c r="F884" s="1" t="str">
        <f ca="1">IFERROR(__xludf.DUMMYFUNCTION("""COMPUTED_VALUE"""),"Fourth 55.24 USA")</f>
        <v>Fourth 55.24 USA</v>
      </c>
      <c r="G884" s="1" t="str">
        <f ca="1">IFERROR(__xludf.DUMMYFUNCTION("""COMPUTED_VALUE"""),"Climate Justice, Individuals At Risk")</f>
        <v>Climate Justice, Individuals At Risk</v>
      </c>
      <c r="H884" s="1" t="str">
        <f ca="1">IFERROR(__xludf.DUMMYFUNCTION("""COMPUTED_VALUE"""),"2025")</f>
        <v>2025</v>
      </c>
      <c r="I884" s="1" t="str">
        <f ca="1">IFERROR(__xludf.DUMMYFUNCTION("""COMPUTED_VALUE"""),"Email")</f>
        <v>Email</v>
      </c>
    </row>
    <row r="885" spans="1:9" ht="13" x14ac:dyDescent="0.15">
      <c r="A885" s="9">
        <f ca="1">IFERROR(__xludf.DUMMYFUNCTION("""COMPUTED_VALUE"""),31861761)</f>
        <v>31861761</v>
      </c>
      <c r="B885" s="1" t="str">
        <f ca="1">IFERROR(__xludf.DUMMYFUNCTION("""COMPUTED_VALUE"""),"sslyman@verizon.net")</f>
        <v>sslyman@verizon.net</v>
      </c>
      <c r="C885" s="9" t="str">
        <f ca="1">IFERROR(__xludf.DUMMYFUNCTION("""COMPUTED_VALUE"""),"EVERGREEN - UAN Gated Content - Embedded Petition")</f>
        <v>EVERGREEN - UAN Gated Content - Embedded Petition</v>
      </c>
      <c r="D885" s="10">
        <f ca="1">IFERROR(__xludf.DUMMYFUNCTION("""COMPUTED_VALUE"""),45636)</f>
        <v>45636</v>
      </c>
      <c r="E885" s="1" t="str">
        <f ca="1">IFERROR(__xludf.DUMMYFUNCTION("""COMPUTED_VALUE"""),"Iran")</f>
        <v>Iran</v>
      </c>
      <c r="F885" s="1" t="str">
        <f ca="1">IFERROR(__xludf.DUMMYFUNCTION("""COMPUTED_VALUE"""),"Seventh 103.22 Iran")</f>
        <v>Seventh 103.22 Iran</v>
      </c>
      <c r="G885" s="1" t="str">
        <f ca="1">IFERROR(__xludf.DUMMYFUNCTION("""COMPUTED_VALUE"""),"Death Penalty, Freedom of Expression, Individuals At Risk")</f>
        <v>Death Penalty, Freedom of Expression, Individuals At Risk</v>
      </c>
      <c r="H885" s="1" t="str">
        <f ca="1">IFERROR(__xludf.DUMMYFUNCTION("""COMPUTED_VALUE"""),"2024")</f>
        <v>2024</v>
      </c>
      <c r="I885" s="1" t="str">
        <f ca="1">IFERROR(__xludf.DUMMYFUNCTION("""COMPUTED_VALUE"""),"Email")</f>
        <v>Email</v>
      </c>
    </row>
    <row r="886" spans="1:9" ht="13" x14ac:dyDescent="0.15">
      <c r="A886" s="9">
        <f ca="1">IFERROR(__xludf.DUMMYFUNCTION("""COMPUTED_VALUE"""),31874041)</f>
        <v>31874041</v>
      </c>
      <c r="B886" s="1" t="str">
        <f ca="1">IFERROR(__xludf.DUMMYFUNCTION("""COMPUTED_VALUE"""),"tomrepko@gmail.com")</f>
        <v>tomrepko@gmail.com</v>
      </c>
      <c r="C886" s="9" t="str">
        <f ca="1">IFERROR(__xludf.DUMMYFUNCTION("""COMPUTED_VALUE"""),"EVERGREEN - UAN Gated Content - Embedded Petition")</f>
        <v>EVERGREEN - UAN Gated Content - Embedded Petition</v>
      </c>
      <c r="D886" s="10">
        <f ca="1">IFERROR(__xludf.DUMMYFUNCTION("""COMPUTED_VALUE"""),45694)</f>
        <v>45694</v>
      </c>
      <c r="E886" s="1" t="str">
        <f ca="1">IFERROR(__xludf.DUMMYFUNCTION("""COMPUTED_VALUE"""),"Egypt")</f>
        <v>Egypt</v>
      </c>
      <c r="F886" s="1" t="str">
        <f ca="1">IFERROR(__xludf.DUMMYFUNCTION("""COMPUTED_VALUE"""),"Third 73.23 Egypt")</f>
        <v>Third 73.23 Egypt</v>
      </c>
      <c r="G886" s="1" t="str">
        <f ca="1">IFERROR(__xludf.DUMMYFUNCTION("""COMPUTED_VALUE"""),"Individuals At Risk")</f>
        <v>Individuals At Risk</v>
      </c>
      <c r="H886" s="1" t="str">
        <f ca="1">IFERROR(__xludf.DUMMYFUNCTION("""COMPUTED_VALUE"""),"2024")</f>
        <v>2024</v>
      </c>
      <c r="I886" s="1" t="str">
        <f ca="1">IFERROR(__xludf.DUMMYFUNCTION("""COMPUTED_VALUE"""),"Email")</f>
        <v>Email</v>
      </c>
    </row>
    <row r="887" spans="1:9" ht="13" x14ac:dyDescent="0.15">
      <c r="A887" s="9">
        <f ca="1">IFERROR(__xludf.DUMMYFUNCTION("""COMPUTED_VALUE"""),31899022)</f>
        <v>31899022</v>
      </c>
      <c r="B887" s="1" t="str">
        <f ca="1">IFERROR(__xludf.DUMMYFUNCTION("""COMPUTED_VALUE"""),"jerry.mcintire@gmail.com")</f>
        <v>jerry.mcintire@gmail.com</v>
      </c>
      <c r="C887" s="9" t="str">
        <f ca="1">IFERROR(__xludf.DUMMYFUNCTION("""COMPUTED_VALUE"""),"EVERGREEN - UAN Gated Content - Embedded Petition")</f>
        <v>EVERGREEN - UAN Gated Content - Embedded Petition</v>
      </c>
      <c r="D887" s="10">
        <f ca="1">IFERROR(__xludf.DUMMYFUNCTION("""COMPUTED_VALUE"""),45685)</f>
        <v>45685</v>
      </c>
      <c r="E887" s="1" t="str">
        <f ca="1">IFERROR(__xludf.DUMMYFUNCTION("""COMPUTED_VALUE"""),"Turkiye")</f>
        <v>Turkiye</v>
      </c>
      <c r="F887" s="1" t="str">
        <f ca="1">IFERROR(__xludf.DUMMYFUNCTION("""COMPUTED_VALUE"""),"109.24 Türkiye")</f>
        <v>109.24 Türkiye</v>
      </c>
      <c r="G887" s="1" t="str">
        <f ca="1">IFERROR(__xludf.DUMMYFUNCTION("""COMPUTED_VALUE"""),"Human Rights Defenders, Individuals At Risk")</f>
        <v>Human Rights Defenders, Individuals At Risk</v>
      </c>
      <c r="H887" s="1" t="str">
        <f ca="1">IFERROR(__xludf.DUMMYFUNCTION("""COMPUTED_VALUE"""),"2024")</f>
        <v>2024</v>
      </c>
      <c r="I887" s="1" t="str">
        <f ca="1">IFERROR(__xludf.DUMMYFUNCTION("""COMPUTED_VALUE"""),"Email")</f>
        <v>Email</v>
      </c>
    </row>
    <row r="888" spans="1:9" ht="13" x14ac:dyDescent="0.15">
      <c r="A888" s="9">
        <f ca="1">IFERROR(__xludf.DUMMYFUNCTION("""COMPUTED_VALUE"""),31956576)</f>
        <v>31956576</v>
      </c>
      <c r="B888" s="1" t="str">
        <f ca="1">IFERROR(__xludf.DUMMYFUNCTION("""COMPUTED_VALUE"""),"pfairbank@yahoo.com")</f>
        <v>pfairbank@yahoo.com</v>
      </c>
      <c r="C888" s="9" t="str">
        <f ca="1">IFERROR(__xludf.DUMMYFUNCTION("""COMPUTED_VALUE"""),"EVERGREEN - UAN Gated Content - Embedded Petition")</f>
        <v>EVERGREEN - UAN Gated Content - Embedded Petition</v>
      </c>
      <c r="D888" s="10">
        <f ca="1">IFERROR(__xludf.DUMMYFUNCTION("""COMPUTED_VALUE"""),45694)</f>
        <v>45694</v>
      </c>
      <c r="E888" s="1" t="str">
        <f ca="1">IFERROR(__xludf.DUMMYFUNCTION("""COMPUTED_VALUE"""),"Niger")</f>
        <v>Niger</v>
      </c>
      <c r="F888" s="1" t="str">
        <f ca="1">IFERROR(__xludf.DUMMYFUNCTION("""COMPUTED_VALUE"""),"103.24 Niger")</f>
        <v>103.24 Niger</v>
      </c>
      <c r="G888" s="1" t="str">
        <f ca="1">IFERROR(__xludf.DUMMYFUNCTION("""COMPUTED_VALUE"""),"Freedom of Expression, Human Rights Defenders")</f>
        <v>Freedom of Expression, Human Rights Defenders</v>
      </c>
      <c r="H888" s="1" t="str">
        <f ca="1">IFERROR(__xludf.DUMMYFUNCTION("""COMPUTED_VALUE"""),"2024")</f>
        <v>2024</v>
      </c>
      <c r="I888" s="1" t="str">
        <f ca="1">IFERROR(__xludf.DUMMYFUNCTION("""COMPUTED_VALUE"""),"Email")</f>
        <v>Email</v>
      </c>
    </row>
    <row r="889" spans="1:9" ht="13" x14ac:dyDescent="0.15">
      <c r="A889" s="9">
        <f ca="1">IFERROR(__xludf.DUMMYFUNCTION("""COMPUTED_VALUE"""),31956742)</f>
        <v>31956742</v>
      </c>
      <c r="B889" s="1" t="str">
        <f ca="1">IFERROR(__xludf.DUMMYFUNCTION("""COMPUTED_VALUE"""),"colleenhcurtis@hotmail.com")</f>
        <v>colleenhcurtis@hotmail.com</v>
      </c>
      <c r="C889" s="9" t="str">
        <f ca="1">IFERROR(__xludf.DUMMYFUNCTION("""COMPUTED_VALUE"""),"EVERGREEN - UAN Gated Content - Embedded Petition")</f>
        <v>EVERGREEN - UAN Gated Content - Embedded Petition</v>
      </c>
      <c r="D889" s="10">
        <f ca="1">IFERROR(__xludf.DUMMYFUNCTION("""COMPUTED_VALUE"""),45672)</f>
        <v>45672</v>
      </c>
      <c r="E889" s="1" t="str">
        <f ca="1">IFERROR(__xludf.DUMMYFUNCTION("""COMPUTED_VALUE"""),"Tunisia")</f>
        <v>Tunisia</v>
      </c>
      <c r="F889" s="1" t="str">
        <f ca="1">IFERROR(__xludf.DUMMYFUNCTION("""COMPUTED_VALUE"""),"Second 43.24 Tunisia")</f>
        <v>Second 43.24 Tunisia</v>
      </c>
      <c r="G889" s="1" t="str">
        <f ca="1">IFERROR(__xludf.DUMMYFUNCTION("""COMPUTED_VALUE"""),"Freedom of Expression, Individuals At Risk")</f>
        <v>Freedom of Expression, Individuals At Risk</v>
      </c>
      <c r="H889" s="1" t="str">
        <f ca="1">IFERROR(__xludf.DUMMYFUNCTION("""COMPUTED_VALUE"""),"2024")</f>
        <v>2024</v>
      </c>
      <c r="I889" s="1" t="str">
        <f ca="1">IFERROR(__xludf.DUMMYFUNCTION("""COMPUTED_VALUE"""),"Email")</f>
        <v>Email</v>
      </c>
    </row>
    <row r="890" spans="1:9" ht="13" x14ac:dyDescent="0.15">
      <c r="A890" s="9">
        <f ca="1">IFERROR(__xludf.DUMMYFUNCTION("""COMPUTED_VALUE"""),31956742)</f>
        <v>31956742</v>
      </c>
      <c r="B890" s="1" t="str">
        <f ca="1">IFERROR(__xludf.DUMMYFUNCTION("""COMPUTED_VALUE"""),"colleenhcurtis@hotmail.com")</f>
        <v>colleenhcurtis@hotmail.com</v>
      </c>
      <c r="C890" s="9" t="str">
        <f ca="1">IFERROR(__xludf.DUMMYFUNCTION("""COMPUTED_VALUE"""),"EVERGREEN - UAN Gated Content - Embedded Petition")</f>
        <v>EVERGREEN - UAN Gated Content - Embedded Petition</v>
      </c>
      <c r="D890" s="10">
        <f ca="1">IFERROR(__xludf.DUMMYFUNCTION("""COMPUTED_VALUE"""),45681)</f>
        <v>45681</v>
      </c>
      <c r="E890" s="1" t="str">
        <f ca="1">IFERROR(__xludf.DUMMYFUNCTION("""COMPUTED_VALUE"""),"Singapore")</f>
        <v>Singapore</v>
      </c>
      <c r="F890" s="1" t="str">
        <f ca="1">IFERROR(__xludf.DUMMYFUNCTION("""COMPUTED_VALUE"""),"107.24 Singapore")</f>
        <v>107.24 Singapore</v>
      </c>
      <c r="G890" s="1" t="str">
        <f ca="1">IFERROR(__xludf.DUMMYFUNCTION("""COMPUTED_VALUE"""),"Death Penalty")</f>
        <v>Death Penalty</v>
      </c>
      <c r="H890" s="1" t="str">
        <f ca="1">IFERROR(__xludf.DUMMYFUNCTION("""COMPUTED_VALUE"""),"2024")</f>
        <v>2024</v>
      </c>
      <c r="I890" s="1" t="str">
        <f ca="1">IFERROR(__xludf.DUMMYFUNCTION("""COMPUTED_VALUE"""),"Email")</f>
        <v>Email</v>
      </c>
    </row>
    <row r="891" spans="1:9" ht="13" x14ac:dyDescent="0.15">
      <c r="A891" s="9">
        <f ca="1">IFERROR(__xludf.DUMMYFUNCTION("""COMPUTED_VALUE"""),31956742)</f>
        <v>31956742</v>
      </c>
      <c r="B891" s="1" t="str">
        <f ca="1">IFERROR(__xludf.DUMMYFUNCTION("""COMPUTED_VALUE"""),"colleenhcurtis@hotmail.com")</f>
        <v>colleenhcurtis@hotmail.com</v>
      </c>
      <c r="C891" s="9" t="str">
        <f ca="1">IFERROR(__xludf.DUMMYFUNCTION("""COMPUTED_VALUE"""),"EVERGREEN - UAN Gated Content - Embedded Petition")</f>
        <v>EVERGREEN - UAN Gated Content - Embedded Petition</v>
      </c>
      <c r="D891" s="10">
        <f ca="1">IFERROR(__xludf.DUMMYFUNCTION("""COMPUTED_VALUE"""),45674)</f>
        <v>45674</v>
      </c>
      <c r="E891" s="1" t="str">
        <f ca="1">IFERROR(__xludf.DUMMYFUNCTION("""COMPUTED_VALUE"""),"Saudi Arabia")</f>
        <v>Saudi Arabia</v>
      </c>
      <c r="F891" s="1" t="str">
        <f ca="1">IFERROR(__xludf.DUMMYFUNCTION("""COMPUTED_VALUE"""),"104.24 Saudi Arabia")</f>
        <v>104.24 Saudi Arabia</v>
      </c>
      <c r="G891" s="1" t="str">
        <f ca="1">IFERROR(__xludf.DUMMYFUNCTION("""COMPUTED_VALUE"""),"Individuals At Risk, Refugee and Migrant Rights")</f>
        <v>Individuals At Risk, Refugee and Migrant Rights</v>
      </c>
      <c r="H891" s="1" t="str">
        <f ca="1">IFERROR(__xludf.DUMMYFUNCTION("""COMPUTED_VALUE"""),"2024")</f>
        <v>2024</v>
      </c>
      <c r="I891" s="1" t="str">
        <f ca="1">IFERROR(__xludf.DUMMYFUNCTION("""COMPUTED_VALUE"""),"Email")</f>
        <v>Email</v>
      </c>
    </row>
    <row r="892" spans="1:9" ht="13" x14ac:dyDescent="0.15">
      <c r="A892" s="9">
        <f ca="1">IFERROR(__xludf.DUMMYFUNCTION("""COMPUTED_VALUE"""),31956742)</f>
        <v>31956742</v>
      </c>
      <c r="B892" s="1" t="str">
        <f ca="1">IFERROR(__xludf.DUMMYFUNCTION("""COMPUTED_VALUE"""),"colleenhcurtis@hotmail.com")</f>
        <v>colleenhcurtis@hotmail.com</v>
      </c>
      <c r="C892" s="9" t="str">
        <f ca="1">IFERROR(__xludf.DUMMYFUNCTION("""COMPUTED_VALUE"""),"EVERGREEN - UAN Gated Content - Embedded Petition")</f>
        <v>EVERGREEN - UAN Gated Content - Embedded Petition</v>
      </c>
      <c r="D892" s="10">
        <f ca="1">IFERROR(__xludf.DUMMYFUNCTION("""COMPUTED_VALUE"""),45616)</f>
        <v>45616</v>
      </c>
      <c r="E892" s="1" t="str">
        <f ca="1">IFERROR(__xludf.DUMMYFUNCTION("""COMPUTED_VALUE"""),"Egypt")</f>
        <v>Egypt</v>
      </c>
      <c r="F892" s="1" t="str">
        <f ca="1">IFERROR(__xludf.DUMMYFUNCTION("""COMPUTED_VALUE"""),"Fourth 29.23 Egypt")</f>
        <v>Fourth 29.23 Egypt</v>
      </c>
      <c r="G892" s="1" t="str">
        <f ca="1">IFERROR(__xludf.DUMMYFUNCTION("""COMPUTED_VALUE"""),"Freedom of Expression, Individuals At Risk, Right to Protest")</f>
        <v>Freedom of Expression, Individuals At Risk, Right to Protest</v>
      </c>
      <c r="H892" s="1" t="str">
        <f ca="1">IFERROR(__xludf.DUMMYFUNCTION("""COMPUTED_VALUE"""),"2024")</f>
        <v>2024</v>
      </c>
      <c r="I892" s="1" t="str">
        <f ca="1">IFERROR(__xludf.DUMMYFUNCTION("""COMPUTED_VALUE"""),"Email")</f>
        <v>Email</v>
      </c>
    </row>
    <row r="893" spans="1:9" ht="13" x14ac:dyDescent="0.15">
      <c r="A893" s="9">
        <f ca="1">IFERROR(__xludf.DUMMYFUNCTION("""COMPUTED_VALUE"""),31956742)</f>
        <v>31956742</v>
      </c>
      <c r="B893" s="1" t="str">
        <f ca="1">IFERROR(__xludf.DUMMYFUNCTION("""COMPUTED_VALUE"""),"colleenhcurtis@hotmail.com")</f>
        <v>colleenhcurtis@hotmail.com</v>
      </c>
      <c r="C893" s="9" t="str">
        <f ca="1">IFERROR(__xludf.DUMMYFUNCTION("""COMPUTED_VALUE"""),"EVERGREEN - UAN Gated Content - Embedded Petition")</f>
        <v>EVERGREEN - UAN Gated Content - Embedded Petition</v>
      </c>
      <c r="D893" s="10">
        <f ca="1">IFERROR(__xludf.DUMMYFUNCTION("""COMPUTED_VALUE"""),45651)</f>
        <v>45651</v>
      </c>
      <c r="E893" s="1" t="str">
        <f ca="1">IFERROR(__xludf.DUMMYFUNCTION("""COMPUTED_VALUE"""),"Russian Federation")</f>
        <v>Russian Federation</v>
      </c>
      <c r="F893" s="1" t="str">
        <f ca="1">IFERROR(__xludf.DUMMYFUNCTION("""COMPUTED_VALUE"""),"102.24 Russia")</f>
        <v>102.24 Russia</v>
      </c>
      <c r="G893" s="1" t="str">
        <f ca="1">IFERROR(__xludf.DUMMYFUNCTION("""COMPUTED_VALUE"""),"Freedom of Expression, Individuals At Risk, Right to Protest")</f>
        <v>Freedom of Expression, Individuals At Risk, Right to Protest</v>
      </c>
      <c r="H893" s="1" t="str">
        <f ca="1">IFERROR(__xludf.DUMMYFUNCTION("""COMPUTED_VALUE"""),"2024")</f>
        <v>2024</v>
      </c>
      <c r="I893" s="1" t="str">
        <f ca="1">IFERROR(__xludf.DUMMYFUNCTION("""COMPUTED_VALUE"""),"Email")</f>
        <v>Email</v>
      </c>
    </row>
    <row r="894" spans="1:9" ht="13" x14ac:dyDescent="0.15">
      <c r="A894" s="9">
        <f ca="1">IFERROR(__xludf.DUMMYFUNCTION("""COMPUTED_VALUE"""),31976329)</f>
        <v>31976329</v>
      </c>
      <c r="B894" s="1" t="str">
        <f ca="1">IFERROR(__xludf.DUMMYFUNCTION("""COMPUTED_VALUE"""),"beralmu@gmail.com")</f>
        <v>beralmu@gmail.com</v>
      </c>
      <c r="C894" s="9" t="str">
        <f ca="1">IFERROR(__xludf.DUMMYFUNCTION("""COMPUTED_VALUE"""),"EVERGREEN - UAN Gated Content - Embedded Petition")</f>
        <v>EVERGREEN - UAN Gated Content - Embedded Petition</v>
      </c>
      <c r="D894" s="10">
        <f ca="1">IFERROR(__xludf.DUMMYFUNCTION("""COMPUTED_VALUE"""),45694)</f>
        <v>45694</v>
      </c>
      <c r="E894" s="1" t="str">
        <f ca="1">IFERROR(__xludf.DUMMYFUNCTION("""COMPUTED_VALUE"""),"Tunisia")</f>
        <v>Tunisia</v>
      </c>
      <c r="F894" s="1" t="str">
        <f ca="1">IFERROR(__xludf.DUMMYFUNCTION("""COMPUTED_VALUE"""),"Second 76.24 Tunisia")</f>
        <v>Second 76.24 Tunisia</v>
      </c>
      <c r="G894" s="1" t="str">
        <f ca="1">IFERROR(__xludf.DUMMYFUNCTION("""COMPUTED_VALUE"""),"Freedom of Expression, Human Rights Defenders")</f>
        <v>Freedom of Expression, Human Rights Defenders</v>
      </c>
      <c r="H894" s="1" t="str">
        <f ca="1">IFERROR(__xludf.DUMMYFUNCTION("""COMPUTED_VALUE"""),"2025")</f>
        <v>2025</v>
      </c>
      <c r="I894" s="1" t="str">
        <f ca="1">IFERROR(__xludf.DUMMYFUNCTION("""COMPUTED_VALUE"""),"Email")</f>
        <v>Email</v>
      </c>
    </row>
    <row r="895" spans="1:9" ht="13" x14ac:dyDescent="0.15">
      <c r="A895" s="9">
        <f ca="1">IFERROR(__xludf.DUMMYFUNCTION("""COMPUTED_VALUE"""),31981741)</f>
        <v>31981741</v>
      </c>
      <c r="B895" s="1" t="str">
        <f ca="1">IFERROR(__xludf.DUMMYFUNCTION("""COMPUTED_VALUE"""),"threeoutside@gmail.com")</f>
        <v>threeoutside@gmail.com</v>
      </c>
      <c r="C895" s="9" t="str">
        <f ca="1">IFERROR(__xludf.DUMMYFUNCTION("""COMPUTED_VALUE"""),"EVERGREEN - UAN Gated Content - Embedded Petition")</f>
        <v>EVERGREEN - UAN Gated Content - Embedded Petition</v>
      </c>
      <c r="D895" s="10">
        <f ca="1">IFERROR(__xludf.DUMMYFUNCTION("""COMPUTED_VALUE"""),45694)</f>
        <v>45694</v>
      </c>
      <c r="E895" s="1" t="str">
        <f ca="1">IFERROR(__xludf.DUMMYFUNCTION("""COMPUTED_VALUE"""),"China")</f>
        <v>China</v>
      </c>
      <c r="F895" s="1" t="str">
        <f ca="1">IFERROR(__xludf.DUMMYFUNCTION("""COMPUTED_VALUE"""),"98.24 China")</f>
        <v>98.24 China</v>
      </c>
      <c r="G895" s="1" t="str">
        <f ca="1">IFERROR(__xludf.DUMMYFUNCTION("""COMPUTED_VALUE"""),"Freedom of Expression, Individuals At Risk")</f>
        <v>Freedom of Expression, Individuals At Risk</v>
      </c>
      <c r="H895" s="1" t="str">
        <f ca="1">IFERROR(__xludf.DUMMYFUNCTION("""COMPUTED_VALUE"""),"2024")</f>
        <v>2024</v>
      </c>
      <c r="I895" s="1" t="str">
        <f ca="1">IFERROR(__xludf.DUMMYFUNCTION("""COMPUTED_VALUE"""),"Letter")</f>
        <v>Letter</v>
      </c>
    </row>
    <row r="896" spans="1:9" ht="13" x14ac:dyDescent="0.15">
      <c r="A896" s="9">
        <f ca="1">IFERROR(__xludf.DUMMYFUNCTION("""COMPUTED_VALUE"""),31983682)</f>
        <v>31983682</v>
      </c>
      <c r="B896" s="1" t="str">
        <f ca="1">IFERROR(__xludf.DUMMYFUNCTION("""COMPUTED_VALUE"""),"dfwiest@comcast.net")</f>
        <v>dfwiest@comcast.net</v>
      </c>
      <c r="C896" s="9" t="str">
        <f ca="1">IFERROR(__xludf.DUMMYFUNCTION("""COMPUTED_VALUE"""),"EVERGREEN - UAN Gated Content - Embedded Petition")</f>
        <v>EVERGREEN - UAN Gated Content - Embedded Petition</v>
      </c>
      <c r="D896" s="10">
        <f ca="1">IFERROR(__xludf.DUMMYFUNCTION("""COMPUTED_VALUE"""),45705)</f>
        <v>45705</v>
      </c>
      <c r="E896" s="1" t="str">
        <f ca="1">IFERROR(__xludf.DUMMYFUNCTION("""COMPUTED_VALUE"""),"Iran")</f>
        <v>Iran</v>
      </c>
      <c r="F896" s="1" t="str">
        <f ca="1">IFERROR(__xludf.DUMMYFUNCTION("""COMPUTED_VALUE"""),"101.24 Iran")</f>
        <v>101.24 Iran</v>
      </c>
      <c r="G896" s="1" t="str">
        <f ca="1">IFERROR(__xludf.DUMMYFUNCTION("""COMPUTED_VALUE"""),"Death Penalty, Freedom of Expression, Individuals At Risk, Right to Protest")</f>
        <v>Death Penalty, Freedom of Expression, Individuals At Risk, Right to Protest</v>
      </c>
      <c r="H896" s="1" t="str">
        <f ca="1">IFERROR(__xludf.DUMMYFUNCTION("""COMPUTED_VALUE"""),"2024")</f>
        <v>2024</v>
      </c>
      <c r="I896" s="1" t="str">
        <f ca="1">IFERROR(__xludf.DUMMYFUNCTION("""COMPUTED_VALUE"""),"Email")</f>
        <v>Email</v>
      </c>
    </row>
    <row r="897" spans="1:9" ht="13" x14ac:dyDescent="0.15">
      <c r="A897" s="9">
        <f ca="1">IFERROR(__xludf.DUMMYFUNCTION("""COMPUTED_VALUE"""),32092309)</f>
        <v>32092309</v>
      </c>
      <c r="B897" s="1" t="str">
        <f ca="1">IFERROR(__xludf.DUMMYFUNCTION("""COMPUTED_VALUE"""),"craigcollinsyoung@gmail.com")</f>
        <v>craigcollinsyoung@gmail.com</v>
      </c>
      <c r="C897" s="9" t="str">
        <f ca="1">IFERROR(__xludf.DUMMYFUNCTION("""COMPUTED_VALUE"""),"EVERGREEN - UAN Gated Content - Embedded Petition")</f>
        <v>EVERGREEN - UAN Gated Content - Embedded Petition</v>
      </c>
      <c r="D897" s="10">
        <f ca="1">IFERROR(__xludf.DUMMYFUNCTION("""COMPUTED_VALUE"""),45691)</f>
        <v>45691</v>
      </c>
      <c r="E897" s="1" t="str">
        <f ca="1">IFERROR(__xludf.DUMMYFUNCTION("""COMPUTED_VALUE"""),"Uganda")</f>
        <v>Uganda</v>
      </c>
      <c r="F897" s="1" t="str">
        <f ca="1">IFERROR(__xludf.DUMMYFUNCTION("""COMPUTED_VALUE"""),"100.24 Uganda")</f>
        <v>100.24 Uganda</v>
      </c>
      <c r="G897" s="1" t="str">
        <f ca="1">IFERROR(__xludf.DUMMYFUNCTION("""COMPUTED_VALUE"""),"Freedom of Expression")</f>
        <v>Freedom of Expression</v>
      </c>
      <c r="H897" s="1" t="str">
        <f ca="1">IFERROR(__xludf.DUMMYFUNCTION("""COMPUTED_VALUE"""),"2024")</f>
        <v>2024</v>
      </c>
      <c r="I897" s="1" t="str">
        <f ca="1">IFERROR(__xludf.DUMMYFUNCTION("""COMPUTED_VALUE"""),"Email")</f>
        <v>Email</v>
      </c>
    </row>
    <row r="898" spans="1:9" ht="13" x14ac:dyDescent="0.15">
      <c r="A898" s="9">
        <f ca="1">IFERROR(__xludf.DUMMYFUNCTION("""COMPUTED_VALUE"""),32138932)</f>
        <v>32138932</v>
      </c>
      <c r="B898" s="1" t="str">
        <f ca="1">IFERROR(__xludf.DUMMYFUNCTION("""COMPUTED_VALUE"""),"mgrant9850@gmail.com")</f>
        <v>mgrant9850@gmail.com</v>
      </c>
      <c r="C898" s="9" t="str">
        <f ca="1">IFERROR(__xludf.DUMMYFUNCTION("""COMPUTED_VALUE"""),"EVERGREEN - UAN Gated Content - Embedded Petition")</f>
        <v>EVERGREEN - UAN Gated Content - Embedded Petition</v>
      </c>
      <c r="D898" s="10">
        <f ca="1">IFERROR(__xludf.DUMMYFUNCTION("""COMPUTED_VALUE"""),45674)</f>
        <v>45674</v>
      </c>
      <c r="E898" s="1" t="str">
        <f ca="1">IFERROR(__xludf.DUMMYFUNCTION("""COMPUTED_VALUE"""),"Dominican Republic")</f>
        <v>Dominican Republic</v>
      </c>
      <c r="F898" s="1" t="str">
        <f ca="1">IFERROR(__xludf.DUMMYFUNCTION("""COMPUTED_VALUE"""),"88.24 Dominican Republic")</f>
        <v>88.24 Dominican Republic</v>
      </c>
      <c r="G898" s="1" t="str">
        <f ca="1">IFERROR(__xludf.DUMMYFUNCTION("""COMPUTED_VALUE"""),"Individuals At Risk, Refugee and Migrant Rights")</f>
        <v>Individuals At Risk, Refugee and Migrant Rights</v>
      </c>
      <c r="H898" s="1" t="str">
        <f ca="1">IFERROR(__xludf.DUMMYFUNCTION("""COMPUTED_VALUE"""),"2024")</f>
        <v>2024</v>
      </c>
      <c r="I898" s="1" t="str">
        <f ca="1">IFERROR(__xludf.DUMMYFUNCTION("""COMPUTED_VALUE"""),"Letter")</f>
        <v>Letter</v>
      </c>
    </row>
    <row r="899" spans="1:9" ht="13" x14ac:dyDescent="0.15">
      <c r="A899" s="9">
        <f ca="1">IFERROR(__xludf.DUMMYFUNCTION("""COMPUTED_VALUE"""),32187680)</f>
        <v>32187680</v>
      </c>
      <c r="B899" s="1" t="str">
        <f ca="1">IFERROR(__xludf.DUMMYFUNCTION("""COMPUTED_VALUE"""),"beralmu@hotmail.com")</f>
        <v>beralmu@hotmail.com</v>
      </c>
      <c r="C899" s="9" t="str">
        <f ca="1">IFERROR(__xludf.DUMMYFUNCTION("""COMPUTED_VALUE"""),"EVERGREEN - UAN Gated Content - Embedded Petition")</f>
        <v>EVERGREEN - UAN Gated Content - Embedded Petition</v>
      </c>
      <c r="D899" s="10">
        <f ca="1">IFERROR(__xludf.DUMMYFUNCTION("""COMPUTED_VALUE"""),45677)</f>
        <v>45677</v>
      </c>
      <c r="E899" s="1" t="str">
        <f ca="1">IFERROR(__xludf.DUMMYFUNCTION("""COMPUTED_VALUE"""),"Tunisia")</f>
        <v>Tunisia</v>
      </c>
      <c r="F899" s="1" t="str">
        <f ca="1">IFERROR(__xludf.DUMMYFUNCTION("""COMPUTED_VALUE"""),"Second 76.24 Tunisia")</f>
        <v>Second 76.24 Tunisia</v>
      </c>
      <c r="G899" s="1" t="str">
        <f ca="1">IFERROR(__xludf.DUMMYFUNCTION("""COMPUTED_VALUE"""),"Freedom of Expression, Human Rights Defenders")</f>
        <v>Freedom of Expression, Human Rights Defenders</v>
      </c>
      <c r="H899" s="1" t="str">
        <f ca="1">IFERROR(__xludf.DUMMYFUNCTION("""COMPUTED_VALUE"""),"2025")</f>
        <v>2025</v>
      </c>
      <c r="I899" s="1" t="str">
        <f ca="1">IFERROR(__xludf.DUMMYFUNCTION("""COMPUTED_VALUE"""),"Email")</f>
        <v>Email</v>
      </c>
    </row>
    <row r="900" spans="1:9" ht="13" x14ac:dyDescent="0.15">
      <c r="A900" s="9">
        <f ca="1">IFERROR(__xludf.DUMMYFUNCTION("""COMPUTED_VALUE"""),32222502)</f>
        <v>32222502</v>
      </c>
      <c r="B900" s="1" t="str">
        <f ca="1">IFERROR(__xludf.DUMMYFUNCTION("""COMPUTED_VALUE"""),"lsdarman@gmail.com")</f>
        <v>lsdarman@gmail.com</v>
      </c>
      <c r="C900" s="9" t="str">
        <f ca="1">IFERROR(__xludf.DUMMYFUNCTION("""COMPUTED_VALUE"""),"EVERGREEN - UAN Gated Content - Embedded Petition")</f>
        <v>EVERGREEN - UAN Gated Content - Embedded Petition</v>
      </c>
      <c r="D900" s="10">
        <f ca="1">IFERROR(__xludf.DUMMYFUNCTION("""COMPUTED_VALUE"""),45674)</f>
        <v>45674</v>
      </c>
      <c r="E900" s="1" t="str">
        <f ca="1">IFERROR(__xludf.DUMMYFUNCTION("""COMPUTED_VALUE"""),"Niger")</f>
        <v>Niger</v>
      </c>
      <c r="F900" s="1" t="str">
        <f ca="1">IFERROR(__xludf.DUMMYFUNCTION("""COMPUTED_VALUE"""),"103.24 Niger")</f>
        <v>103.24 Niger</v>
      </c>
      <c r="G900" s="1" t="str">
        <f ca="1">IFERROR(__xludf.DUMMYFUNCTION("""COMPUTED_VALUE"""),"Freedom of Expression, Human Rights Defenders")</f>
        <v>Freedom of Expression, Human Rights Defenders</v>
      </c>
      <c r="H900" s="1" t="str">
        <f ca="1">IFERROR(__xludf.DUMMYFUNCTION("""COMPUTED_VALUE"""),"2024")</f>
        <v>2024</v>
      </c>
      <c r="I900" s="1" t="str">
        <f ca="1">IFERROR(__xludf.DUMMYFUNCTION("""COMPUTED_VALUE"""),"Email")</f>
        <v>Email</v>
      </c>
    </row>
    <row r="901" spans="1:9" ht="13" x14ac:dyDescent="0.15">
      <c r="A901" s="9">
        <f ca="1">IFERROR(__xludf.DUMMYFUNCTION("""COMPUTED_VALUE"""),32222502)</f>
        <v>32222502</v>
      </c>
      <c r="B901" s="1" t="str">
        <f ca="1">IFERROR(__xludf.DUMMYFUNCTION("""COMPUTED_VALUE"""),"lsdarman@gmail.com")</f>
        <v>lsdarman@gmail.com</v>
      </c>
      <c r="C901" s="9" t="str">
        <f ca="1">IFERROR(__xludf.DUMMYFUNCTION("""COMPUTED_VALUE"""),"EVERGREEN - UAN Gated Content - Embedded Petition")</f>
        <v>EVERGREEN - UAN Gated Content - Embedded Petition</v>
      </c>
      <c r="D901" s="10">
        <f ca="1">IFERROR(__xludf.DUMMYFUNCTION("""COMPUTED_VALUE"""),45674)</f>
        <v>45674</v>
      </c>
      <c r="E901" s="1" t="str">
        <f ca="1">IFERROR(__xludf.DUMMYFUNCTION("""COMPUTED_VALUE"""),"Iran")</f>
        <v>Iran</v>
      </c>
      <c r="F901" s="1" t="str">
        <f ca="1">IFERROR(__xludf.DUMMYFUNCTION("""COMPUTED_VALUE"""),"Seventh 103.22 Iran")</f>
        <v>Seventh 103.22 Iran</v>
      </c>
      <c r="G901" s="1" t="str">
        <f ca="1">IFERROR(__xludf.DUMMYFUNCTION("""COMPUTED_VALUE"""),"Death Penalty, Freedom of Expression, Individuals At Risk")</f>
        <v>Death Penalty, Freedom of Expression, Individuals At Risk</v>
      </c>
      <c r="H901" s="1" t="str">
        <f ca="1">IFERROR(__xludf.DUMMYFUNCTION("""COMPUTED_VALUE"""),"2024")</f>
        <v>2024</v>
      </c>
      <c r="I901" s="1" t="str">
        <f ca="1">IFERROR(__xludf.DUMMYFUNCTION("""COMPUTED_VALUE"""),"Email")</f>
        <v>Email</v>
      </c>
    </row>
    <row r="902" spans="1:9" ht="13" x14ac:dyDescent="0.15">
      <c r="A902" s="9">
        <f ca="1">IFERROR(__xludf.DUMMYFUNCTION("""COMPUTED_VALUE"""),32222502)</f>
        <v>32222502</v>
      </c>
      <c r="B902" s="1" t="str">
        <f ca="1">IFERROR(__xludf.DUMMYFUNCTION("""COMPUTED_VALUE"""),"lsdarman@gmail.com")</f>
        <v>lsdarman@gmail.com</v>
      </c>
      <c r="C902" s="9" t="str">
        <f ca="1">IFERROR(__xludf.DUMMYFUNCTION("""COMPUTED_VALUE"""),"EVERGREEN - UAN Gated Content - Embedded Petition")</f>
        <v>EVERGREEN - UAN Gated Content - Embedded Petition</v>
      </c>
      <c r="D902" s="10">
        <f ca="1">IFERROR(__xludf.DUMMYFUNCTION("""COMPUTED_VALUE"""),45699)</f>
        <v>45699</v>
      </c>
      <c r="E902" s="1" t="str">
        <f ca="1">IFERROR(__xludf.DUMMYFUNCTION("""COMPUTED_VALUE"""),"Iran")</f>
        <v>Iran</v>
      </c>
      <c r="F902" s="1" t="str">
        <f ca="1">IFERROR(__xludf.DUMMYFUNCTION("""COMPUTED_VALUE"""),"Seventh 103.22 Iran")</f>
        <v>Seventh 103.22 Iran</v>
      </c>
      <c r="G902" s="1" t="str">
        <f ca="1">IFERROR(__xludf.DUMMYFUNCTION("""COMPUTED_VALUE"""),"Death Penalty, Freedom of Expression, Individuals At Risk")</f>
        <v>Death Penalty, Freedom of Expression, Individuals At Risk</v>
      </c>
      <c r="H902" s="1" t="str">
        <f ca="1">IFERROR(__xludf.DUMMYFUNCTION("""COMPUTED_VALUE"""),"2024")</f>
        <v>2024</v>
      </c>
      <c r="I902" s="1" t="str">
        <f ca="1">IFERROR(__xludf.DUMMYFUNCTION("""COMPUTED_VALUE"""),"Email")</f>
        <v>Email</v>
      </c>
    </row>
    <row r="903" spans="1:9" ht="13" x14ac:dyDescent="0.15">
      <c r="A903" s="9">
        <f ca="1">IFERROR(__xludf.DUMMYFUNCTION("""COMPUTED_VALUE"""),32222502)</f>
        <v>32222502</v>
      </c>
      <c r="B903" s="1" t="str">
        <f ca="1">IFERROR(__xludf.DUMMYFUNCTION("""COMPUTED_VALUE"""),"lsdarman@gmail.com")</f>
        <v>lsdarman@gmail.com</v>
      </c>
      <c r="C903" s="9" t="str">
        <f ca="1">IFERROR(__xludf.DUMMYFUNCTION("""COMPUTED_VALUE"""),"EVERGREEN - UAN Gated Content - Embedded Petition")</f>
        <v>EVERGREEN - UAN Gated Content - Embedded Petition</v>
      </c>
      <c r="D903" s="10">
        <f ca="1">IFERROR(__xludf.DUMMYFUNCTION("""COMPUTED_VALUE"""),45674)</f>
        <v>45674</v>
      </c>
      <c r="E903" s="1" t="str">
        <f ca="1">IFERROR(__xludf.DUMMYFUNCTION("""COMPUTED_VALUE"""),"Venezuela")</f>
        <v>Venezuela</v>
      </c>
      <c r="F903" s="1" t="str">
        <f ca="1">IFERROR(__xludf.DUMMYFUNCTION("""COMPUTED_VALUE"""),"1.25 Venezuela")</f>
        <v>1.25 Venezuela</v>
      </c>
      <c r="G903" s="1" t="str">
        <f ca="1">IFERROR(__xludf.DUMMYFUNCTION("""COMPUTED_VALUE"""),"Human Rights Defenders, Individuals At Risk")</f>
        <v>Human Rights Defenders, Individuals At Risk</v>
      </c>
      <c r="H903" s="1" t="str">
        <f ca="1">IFERROR(__xludf.DUMMYFUNCTION("""COMPUTED_VALUE"""),"2025")</f>
        <v>2025</v>
      </c>
      <c r="I903" s="1" t="str">
        <f ca="1">IFERROR(__xludf.DUMMYFUNCTION("""COMPUTED_VALUE"""),"Letter")</f>
        <v>Letter</v>
      </c>
    </row>
    <row r="904" spans="1:9" ht="13" x14ac:dyDescent="0.15">
      <c r="A904" s="9">
        <f ca="1">IFERROR(__xludf.DUMMYFUNCTION("""COMPUTED_VALUE"""),32222502)</f>
        <v>32222502</v>
      </c>
      <c r="B904" s="1" t="str">
        <f ca="1">IFERROR(__xludf.DUMMYFUNCTION("""COMPUTED_VALUE"""),"lsdarman@gmail.com")</f>
        <v>lsdarman@gmail.com</v>
      </c>
      <c r="C904" s="9" t="str">
        <f ca="1">IFERROR(__xludf.DUMMYFUNCTION("""COMPUTED_VALUE"""),"EVERGREEN - UAN Gated Content - Embedded Petition")</f>
        <v>EVERGREEN - UAN Gated Content - Embedded Petition</v>
      </c>
      <c r="D904" s="10">
        <f ca="1">IFERROR(__xludf.DUMMYFUNCTION("""COMPUTED_VALUE"""),45699)</f>
        <v>45699</v>
      </c>
      <c r="E904" s="1" t="str">
        <f ca="1">IFERROR(__xludf.DUMMYFUNCTION("""COMPUTED_VALUE"""),"Iran")</f>
        <v>Iran</v>
      </c>
      <c r="F904" s="1" t="str">
        <f ca="1">IFERROR(__xludf.DUMMYFUNCTION("""COMPUTED_VALUE"""),"Seventh 103.22 Iran")</f>
        <v>Seventh 103.22 Iran</v>
      </c>
      <c r="G904" s="1" t="str">
        <f ca="1">IFERROR(__xludf.DUMMYFUNCTION("""COMPUTED_VALUE"""),"Death Penalty, Freedom of Expression, Individuals At Risk")</f>
        <v>Death Penalty, Freedom of Expression, Individuals At Risk</v>
      </c>
      <c r="H904" s="1" t="str">
        <f ca="1">IFERROR(__xludf.DUMMYFUNCTION("""COMPUTED_VALUE"""),"2024")</f>
        <v>2024</v>
      </c>
      <c r="I904" s="1" t="str">
        <f ca="1">IFERROR(__xludf.DUMMYFUNCTION("""COMPUTED_VALUE"""),"Email")</f>
        <v>Email</v>
      </c>
    </row>
    <row r="905" spans="1:9" ht="13" x14ac:dyDescent="0.15">
      <c r="A905" s="9">
        <f ca="1">IFERROR(__xludf.DUMMYFUNCTION("""COMPUTED_VALUE"""),32222502)</f>
        <v>32222502</v>
      </c>
      <c r="B905" s="1" t="str">
        <f ca="1">IFERROR(__xludf.DUMMYFUNCTION("""COMPUTED_VALUE"""),"lsdarman@gmail.com")</f>
        <v>lsdarman@gmail.com</v>
      </c>
      <c r="C905" s="9" t="str">
        <f ca="1">IFERROR(__xludf.DUMMYFUNCTION("""COMPUTED_VALUE"""),"EVERGREEN - UAN Gated Content - Embedded Petition")</f>
        <v>EVERGREEN - UAN Gated Content - Embedded Petition</v>
      </c>
      <c r="D905" s="10">
        <f ca="1">IFERROR(__xludf.DUMMYFUNCTION("""COMPUTED_VALUE"""),45661)</f>
        <v>45661</v>
      </c>
      <c r="E905" s="1" t="str">
        <f ca="1">IFERROR(__xludf.DUMMYFUNCTION("""COMPUTED_VALUE"""),"Dominican Republic")</f>
        <v>Dominican Republic</v>
      </c>
      <c r="F905" s="1" t="str">
        <f ca="1">IFERROR(__xludf.DUMMYFUNCTION("""COMPUTED_VALUE"""),"88.24 Dominican Republic")</f>
        <v>88.24 Dominican Republic</v>
      </c>
      <c r="G905" s="1" t="str">
        <f ca="1">IFERROR(__xludf.DUMMYFUNCTION("""COMPUTED_VALUE"""),"Individuals At Risk, Refugee and Migrant Rights")</f>
        <v>Individuals At Risk, Refugee and Migrant Rights</v>
      </c>
      <c r="H905" s="1" t="str">
        <f ca="1">IFERROR(__xludf.DUMMYFUNCTION("""COMPUTED_VALUE"""),"2024")</f>
        <v>2024</v>
      </c>
      <c r="I905" s="1" t="str">
        <f ca="1">IFERROR(__xludf.DUMMYFUNCTION("""COMPUTED_VALUE"""),"Letter")</f>
        <v>Letter</v>
      </c>
    </row>
    <row r="906" spans="1:9" ht="13" x14ac:dyDescent="0.15">
      <c r="A906" s="9">
        <f ca="1">IFERROR(__xludf.DUMMYFUNCTION("""COMPUTED_VALUE"""),32222502)</f>
        <v>32222502</v>
      </c>
      <c r="B906" s="1" t="str">
        <f ca="1">IFERROR(__xludf.DUMMYFUNCTION("""COMPUTED_VALUE"""),"lsdarman@gmail.com")</f>
        <v>lsdarman@gmail.com</v>
      </c>
      <c r="C906" s="9" t="str">
        <f ca="1">IFERROR(__xludf.DUMMYFUNCTION("""COMPUTED_VALUE"""),"EVERGREEN - UAN Gated Content - Embedded Petition")</f>
        <v>EVERGREEN - UAN Gated Content - Embedded Petition</v>
      </c>
      <c r="D906" s="10">
        <f ca="1">IFERROR(__xludf.DUMMYFUNCTION("""COMPUTED_VALUE"""),45661)</f>
        <v>45661</v>
      </c>
      <c r="E906" s="1" t="str">
        <f ca="1">IFERROR(__xludf.DUMMYFUNCTION("""COMPUTED_VALUE"""),"China")</f>
        <v>China</v>
      </c>
      <c r="F906" s="1" t="str">
        <f ca="1">IFERROR(__xludf.DUMMYFUNCTION("""COMPUTED_VALUE"""),"98.24 China")</f>
        <v>98.24 China</v>
      </c>
      <c r="G906" s="1" t="str">
        <f ca="1">IFERROR(__xludf.DUMMYFUNCTION("""COMPUTED_VALUE"""),"Freedom of Expression, Individuals At Risk")</f>
        <v>Freedom of Expression, Individuals At Risk</v>
      </c>
      <c r="H906" s="1" t="str">
        <f ca="1">IFERROR(__xludf.DUMMYFUNCTION("""COMPUTED_VALUE"""),"2024")</f>
        <v>2024</v>
      </c>
      <c r="I906" s="1" t="str">
        <f ca="1">IFERROR(__xludf.DUMMYFUNCTION("""COMPUTED_VALUE"""),"Letter")</f>
        <v>Letter</v>
      </c>
    </row>
    <row r="907" spans="1:9" ht="13" x14ac:dyDescent="0.15">
      <c r="A907" s="9">
        <f ca="1">IFERROR(__xludf.DUMMYFUNCTION("""COMPUTED_VALUE"""),32222502)</f>
        <v>32222502</v>
      </c>
      <c r="B907" s="1" t="str">
        <f ca="1">IFERROR(__xludf.DUMMYFUNCTION("""COMPUTED_VALUE"""),"lsdarman@gmail.com")</f>
        <v>lsdarman@gmail.com</v>
      </c>
      <c r="C907" s="9" t="str">
        <f ca="1">IFERROR(__xludf.DUMMYFUNCTION("""COMPUTED_VALUE"""),"EVERGREEN - UAN Gated Content - Embedded Petition")</f>
        <v>EVERGREEN - UAN Gated Content - Embedded Petition</v>
      </c>
      <c r="D907" s="10">
        <f ca="1">IFERROR(__xludf.DUMMYFUNCTION("""COMPUTED_VALUE"""),45661)</f>
        <v>45661</v>
      </c>
      <c r="E907" s="1" t="str">
        <f ca="1">IFERROR(__xludf.DUMMYFUNCTION("""COMPUTED_VALUE"""),"Venezuela")</f>
        <v>Venezuela</v>
      </c>
      <c r="F907" s="1" t="str">
        <f ca="1">IFERROR(__xludf.DUMMYFUNCTION("""COMPUTED_VALUE"""),"97.24 Venezuela")</f>
        <v>97.24 Venezuela</v>
      </c>
      <c r="G907" s="1" t="str">
        <f ca="1">IFERROR(__xludf.DUMMYFUNCTION("""COMPUTED_VALUE"""),"Freedom of Expression")</f>
        <v>Freedom of Expression</v>
      </c>
      <c r="H907" s="1" t="str">
        <f ca="1">IFERROR(__xludf.DUMMYFUNCTION("""COMPUTED_VALUE"""),"2024")</f>
        <v>2024</v>
      </c>
      <c r="I907" s="1" t="str">
        <f ca="1">IFERROR(__xludf.DUMMYFUNCTION("""COMPUTED_VALUE"""),"Letter")</f>
        <v>Letter</v>
      </c>
    </row>
    <row r="908" spans="1:9" ht="13" x14ac:dyDescent="0.15">
      <c r="A908" s="9">
        <f ca="1">IFERROR(__xludf.DUMMYFUNCTION("""COMPUTED_VALUE"""),32222502)</f>
        <v>32222502</v>
      </c>
      <c r="B908" s="1" t="str">
        <f ca="1">IFERROR(__xludf.DUMMYFUNCTION("""COMPUTED_VALUE"""),"lsdarman@gmail.com")</f>
        <v>lsdarman@gmail.com</v>
      </c>
      <c r="C908" s="9" t="str">
        <f ca="1">IFERROR(__xludf.DUMMYFUNCTION("""COMPUTED_VALUE"""),"EVERGREEN - UAN Gated Content - Embedded Petition")</f>
        <v>EVERGREEN - UAN Gated Content - Embedded Petition</v>
      </c>
      <c r="D908" s="10">
        <f ca="1">IFERROR(__xludf.DUMMYFUNCTION("""COMPUTED_VALUE"""),45674)</f>
        <v>45674</v>
      </c>
      <c r="E908" s="1" t="str">
        <f ca="1">IFERROR(__xludf.DUMMYFUNCTION("""COMPUTED_VALUE"""),"USA")</f>
        <v>USA</v>
      </c>
      <c r="F908" s="1" t="str">
        <f ca="1">IFERROR(__xludf.DUMMYFUNCTION("""COMPUTED_VALUE"""),"96.24 USA")</f>
        <v>96.24 USA</v>
      </c>
      <c r="G908" s="1" t="str">
        <f ca="1">IFERROR(__xludf.DUMMYFUNCTION("""COMPUTED_VALUE"""),"Death Penalty")</f>
        <v>Death Penalty</v>
      </c>
      <c r="H908" s="1" t="str">
        <f ca="1">IFERROR(__xludf.DUMMYFUNCTION("""COMPUTED_VALUE"""),"2024")</f>
        <v>2024</v>
      </c>
      <c r="I908" s="1" t="str">
        <f ca="1">IFERROR(__xludf.DUMMYFUNCTION("""COMPUTED_VALUE"""),"Email")</f>
        <v>Email</v>
      </c>
    </row>
    <row r="909" spans="1:9" ht="13" x14ac:dyDescent="0.15">
      <c r="A909" s="9">
        <f ca="1">IFERROR(__xludf.DUMMYFUNCTION("""COMPUTED_VALUE"""),32243010)</f>
        <v>32243010</v>
      </c>
      <c r="B909" s="1" t="str">
        <f ca="1">IFERROR(__xludf.DUMMYFUNCTION("""COMPUTED_VALUE"""),"gkgrunow@grunows.net")</f>
        <v>gkgrunow@grunows.net</v>
      </c>
      <c r="C909" s="9" t="str">
        <f ca="1">IFERROR(__xludf.DUMMYFUNCTION("""COMPUTED_VALUE"""),"EVERGREEN - UAN Gated Content - Embedded Petition")</f>
        <v>EVERGREEN - UAN Gated Content - Embedded Petition</v>
      </c>
      <c r="D909" s="10">
        <f ca="1">IFERROR(__xludf.DUMMYFUNCTION("""COMPUTED_VALUE"""),45636)</f>
        <v>45636</v>
      </c>
      <c r="E909" s="1" t="str">
        <f ca="1">IFERROR(__xludf.DUMMYFUNCTION("""COMPUTED_VALUE"""),"USA")</f>
        <v>USA</v>
      </c>
      <c r="F909" s="1" t="str">
        <f ca="1">IFERROR(__xludf.DUMMYFUNCTION("""COMPUTED_VALUE"""),"105.24 USA")</f>
        <v>105.24 USA</v>
      </c>
      <c r="G909" s="1" t="str">
        <f ca="1">IFERROR(__xludf.DUMMYFUNCTION("""COMPUTED_VALUE"""),"Death Penalty")</f>
        <v>Death Penalty</v>
      </c>
      <c r="H909" s="1" t="str">
        <f ca="1">IFERROR(__xludf.DUMMYFUNCTION("""COMPUTED_VALUE"""),"2024")</f>
        <v>2024</v>
      </c>
      <c r="I909" s="1" t="str">
        <f ca="1">IFERROR(__xludf.DUMMYFUNCTION("""COMPUTED_VALUE"""),"Email")</f>
        <v>Email</v>
      </c>
    </row>
    <row r="910" spans="1:9" ht="13" x14ac:dyDescent="0.15">
      <c r="A910" s="9">
        <f ca="1">IFERROR(__xludf.DUMMYFUNCTION("""COMPUTED_VALUE"""),32243010)</f>
        <v>32243010</v>
      </c>
      <c r="B910" s="1" t="str">
        <f ca="1">IFERROR(__xludf.DUMMYFUNCTION("""COMPUTED_VALUE"""),"gkgrunow@grunows.net")</f>
        <v>gkgrunow@grunows.net</v>
      </c>
      <c r="C910" s="9" t="str">
        <f ca="1">IFERROR(__xludf.DUMMYFUNCTION("""COMPUTED_VALUE"""),"EVERGREEN - UAN Gated Content - Embedded Petition")</f>
        <v>EVERGREEN - UAN Gated Content - Embedded Petition</v>
      </c>
      <c r="D910" s="10">
        <f ca="1">IFERROR(__xludf.DUMMYFUNCTION("""COMPUTED_VALUE"""),45636)</f>
        <v>45636</v>
      </c>
      <c r="E910" s="1" t="str">
        <f ca="1">IFERROR(__xludf.DUMMYFUNCTION("""COMPUTED_VALUE"""),"Egypt")</f>
        <v>Egypt</v>
      </c>
      <c r="F910" s="1" t="str">
        <f ca="1">IFERROR(__xludf.DUMMYFUNCTION("""COMPUTED_VALUE"""),"Ninth 190.18 Egypt")</f>
        <v>Ninth 190.18 Egypt</v>
      </c>
      <c r="G910" s="1" t="str">
        <f ca="1">IFERROR(__xludf.DUMMYFUNCTION("""COMPUTED_VALUE"""),"Freedom of Expression, Individuals At Risk")</f>
        <v>Freedom of Expression, Individuals At Risk</v>
      </c>
      <c r="H910" s="1" t="str">
        <f ca="1">IFERROR(__xludf.DUMMYFUNCTION("""COMPUTED_VALUE"""),"2024")</f>
        <v>2024</v>
      </c>
      <c r="I910" s="1" t="str">
        <f ca="1">IFERROR(__xludf.DUMMYFUNCTION("""COMPUTED_VALUE"""),"Letter")</f>
        <v>Letter</v>
      </c>
    </row>
    <row r="911" spans="1:9" ht="13" x14ac:dyDescent="0.15">
      <c r="A911" s="9">
        <f ca="1">IFERROR(__xludf.DUMMYFUNCTION("""COMPUTED_VALUE"""),32243010)</f>
        <v>32243010</v>
      </c>
      <c r="B911" s="1" t="str">
        <f ca="1">IFERROR(__xludf.DUMMYFUNCTION("""COMPUTED_VALUE"""),"gkgrunow@grunows.net")</f>
        <v>gkgrunow@grunows.net</v>
      </c>
      <c r="C911" s="9" t="str">
        <f ca="1">IFERROR(__xludf.DUMMYFUNCTION("""COMPUTED_VALUE"""),"EVERGREEN - UAN Gated Content - Embedded Petition")</f>
        <v>EVERGREEN - UAN Gated Content - Embedded Petition</v>
      </c>
      <c r="D911" s="10">
        <f ca="1">IFERROR(__xludf.DUMMYFUNCTION("""COMPUTED_VALUE"""),45679)</f>
        <v>45679</v>
      </c>
      <c r="E911" s="1" t="str">
        <f ca="1">IFERROR(__xludf.DUMMYFUNCTION("""COMPUTED_VALUE"""),"USA")</f>
        <v>USA</v>
      </c>
      <c r="F911" s="1" t="str">
        <f ca="1">IFERROR(__xludf.DUMMYFUNCTION("""COMPUTED_VALUE"""),"4.25 USA")</f>
        <v>4.25 USA</v>
      </c>
      <c r="G911" s="1" t="str">
        <f ca="1">IFERROR(__xludf.DUMMYFUNCTION("""COMPUTED_VALUE"""),"Individuals At Risk, Refugee and Migrant Rights")</f>
        <v>Individuals At Risk, Refugee and Migrant Rights</v>
      </c>
      <c r="H911" s="1" t="str">
        <f ca="1">IFERROR(__xludf.DUMMYFUNCTION("""COMPUTED_VALUE"""),"2025")</f>
        <v>2025</v>
      </c>
      <c r="I911" s="1" t="str">
        <f ca="1">IFERROR(__xludf.DUMMYFUNCTION("""COMPUTED_VALUE"""),"Letter")</f>
        <v>Letter</v>
      </c>
    </row>
    <row r="912" spans="1:9" ht="13" x14ac:dyDescent="0.15">
      <c r="A912" s="9">
        <f ca="1">IFERROR(__xludf.DUMMYFUNCTION("""COMPUTED_VALUE"""),32256742)</f>
        <v>32256742</v>
      </c>
      <c r="B912" s="1" t="str">
        <f ca="1">IFERROR(__xludf.DUMMYFUNCTION("""COMPUTED_VALUE"""),"allisonmidorireilly@gmail.com")</f>
        <v>allisonmidorireilly@gmail.com</v>
      </c>
      <c r="C912" s="9" t="str">
        <f ca="1">IFERROR(__xludf.DUMMYFUNCTION("""COMPUTED_VALUE"""),"EVERGREEN - UAN Gated Content - Embedded Petition")</f>
        <v>EVERGREEN - UAN Gated Content - Embedded Petition</v>
      </c>
      <c r="D912" s="10">
        <f ca="1">IFERROR(__xludf.DUMMYFUNCTION("""COMPUTED_VALUE"""),45622)</f>
        <v>45622</v>
      </c>
      <c r="E912" s="1" t="str">
        <f ca="1">IFERROR(__xludf.DUMMYFUNCTION("""COMPUTED_VALUE"""),"Tunisia")</f>
        <v>Tunisia</v>
      </c>
      <c r="F912" s="1" t="str">
        <f ca="1">IFERROR(__xludf.DUMMYFUNCTION("""COMPUTED_VALUE"""),"Second 76.24 Tunisia")</f>
        <v>Second 76.24 Tunisia</v>
      </c>
      <c r="G912" s="1" t="str">
        <f ca="1">IFERROR(__xludf.DUMMYFUNCTION("""COMPUTED_VALUE"""),"Freedom of Expression, Human Rights Defenders")</f>
        <v>Freedom of Expression, Human Rights Defenders</v>
      </c>
      <c r="H912" s="1" t="str">
        <f ca="1">IFERROR(__xludf.DUMMYFUNCTION("""COMPUTED_VALUE"""),"2025")</f>
        <v>2025</v>
      </c>
      <c r="I912" s="1" t="str">
        <f ca="1">IFERROR(__xludf.DUMMYFUNCTION("""COMPUTED_VALUE"""),"Email")</f>
        <v>Email</v>
      </c>
    </row>
    <row r="913" spans="1:9" ht="13" x14ac:dyDescent="0.15">
      <c r="A913" s="9">
        <f ca="1">IFERROR(__xludf.DUMMYFUNCTION("""COMPUTED_VALUE"""),32256742)</f>
        <v>32256742</v>
      </c>
      <c r="B913" s="1" t="str">
        <f ca="1">IFERROR(__xludf.DUMMYFUNCTION("""COMPUTED_VALUE"""),"allisonmidorireilly@gmail.com")</f>
        <v>allisonmidorireilly@gmail.com</v>
      </c>
      <c r="C913" s="9" t="str">
        <f ca="1">IFERROR(__xludf.DUMMYFUNCTION("""COMPUTED_VALUE"""),"EVERGREEN - UAN Gated Content - Embedded Petition")</f>
        <v>EVERGREEN - UAN Gated Content - Embedded Petition</v>
      </c>
      <c r="D913" s="10">
        <f ca="1">IFERROR(__xludf.DUMMYFUNCTION("""COMPUTED_VALUE"""),45618)</f>
        <v>45618</v>
      </c>
      <c r="E913" s="1" t="str">
        <f ca="1">IFERROR(__xludf.DUMMYFUNCTION("""COMPUTED_VALUE"""),"USA")</f>
        <v>USA</v>
      </c>
      <c r="F913" s="1" t="str">
        <f ca="1">IFERROR(__xludf.DUMMYFUNCTION("""COMPUTED_VALUE"""),"4.25 USA")</f>
        <v>4.25 USA</v>
      </c>
      <c r="G913" s="1" t="str">
        <f ca="1">IFERROR(__xludf.DUMMYFUNCTION("""COMPUTED_VALUE"""),"Individuals At Risk, Refugee and Migrant Rights")</f>
        <v>Individuals At Risk, Refugee and Migrant Rights</v>
      </c>
      <c r="H913" s="1" t="str">
        <f ca="1">IFERROR(__xludf.DUMMYFUNCTION("""COMPUTED_VALUE"""),"2025")</f>
        <v>2025</v>
      </c>
      <c r="I913" s="1" t="str">
        <f ca="1">IFERROR(__xludf.DUMMYFUNCTION("""COMPUTED_VALUE"""),"Letter")</f>
        <v>Letter</v>
      </c>
    </row>
    <row r="914" spans="1:9" ht="13" x14ac:dyDescent="0.15">
      <c r="A914" s="9">
        <f ca="1">IFERROR(__xludf.DUMMYFUNCTION("""COMPUTED_VALUE"""),32256742)</f>
        <v>32256742</v>
      </c>
      <c r="B914" s="1" t="str">
        <f ca="1">IFERROR(__xludf.DUMMYFUNCTION("""COMPUTED_VALUE"""),"allisonmidorireilly@gmail.com")</f>
        <v>allisonmidorireilly@gmail.com</v>
      </c>
      <c r="C914" s="9" t="str">
        <f ca="1">IFERROR(__xludf.DUMMYFUNCTION("""COMPUTED_VALUE"""),"EVERGREEN - UAN Gated Content - Embedded Petition")</f>
        <v>EVERGREEN - UAN Gated Content - Embedded Petition</v>
      </c>
      <c r="D914" s="10">
        <f ca="1">IFERROR(__xludf.DUMMYFUNCTION("""COMPUTED_VALUE"""),45706)</f>
        <v>45706</v>
      </c>
      <c r="E914" s="1" t="str">
        <f ca="1">IFERROR(__xludf.DUMMYFUNCTION("""COMPUTED_VALUE"""),"Azerbaijan")</f>
        <v>Azerbaijan</v>
      </c>
      <c r="F914" s="1" t="str">
        <f ca="1">IFERROR(__xludf.DUMMYFUNCTION("""COMPUTED_VALUE"""),"2.25 Azerbaijan")</f>
        <v>2.25 Azerbaijan</v>
      </c>
      <c r="G914" s="1" t="str">
        <f ca="1">IFERROR(__xludf.DUMMYFUNCTION("""COMPUTED_VALUE"""),"Freedom of Expression, Human Rights Defenders")</f>
        <v>Freedom of Expression, Human Rights Defenders</v>
      </c>
      <c r="H914" s="1" t="str">
        <f ca="1">IFERROR(__xludf.DUMMYFUNCTION("""COMPUTED_VALUE"""),"2025")</f>
        <v>2025</v>
      </c>
      <c r="I914" s="1" t="str">
        <f ca="1">IFERROR(__xludf.DUMMYFUNCTION("""COMPUTED_VALUE"""),"Email")</f>
        <v>Email</v>
      </c>
    </row>
    <row r="915" spans="1:9" ht="13" x14ac:dyDescent="0.15">
      <c r="A915" s="9">
        <f ca="1">IFERROR(__xludf.DUMMYFUNCTION("""COMPUTED_VALUE"""),32256742)</f>
        <v>32256742</v>
      </c>
      <c r="B915" s="1" t="str">
        <f ca="1">IFERROR(__xludf.DUMMYFUNCTION("""COMPUTED_VALUE"""),"allisonmidorireilly@gmail.com")</f>
        <v>allisonmidorireilly@gmail.com</v>
      </c>
      <c r="C915" s="9" t="str">
        <f ca="1">IFERROR(__xludf.DUMMYFUNCTION("""COMPUTED_VALUE"""),"EVERGREEN - UAN Gated Content - Embedded Petition")</f>
        <v>EVERGREEN - UAN Gated Content - Embedded Petition</v>
      </c>
      <c r="D915" s="10">
        <f ca="1">IFERROR(__xludf.DUMMYFUNCTION("""COMPUTED_VALUE"""),45705)</f>
        <v>45705</v>
      </c>
      <c r="E915" s="1" t="str">
        <f ca="1">IFERROR(__xludf.DUMMYFUNCTION("""COMPUTED_VALUE"""),"Iran")</f>
        <v>Iran</v>
      </c>
      <c r="F915" s="1" t="str">
        <f ca="1">IFERROR(__xludf.DUMMYFUNCTION("""COMPUTED_VALUE"""),"Seventh 103.22 Iran")</f>
        <v>Seventh 103.22 Iran</v>
      </c>
      <c r="G915" s="1" t="str">
        <f ca="1">IFERROR(__xludf.DUMMYFUNCTION("""COMPUTED_VALUE"""),"Death Penalty, Freedom of Expression, Individuals At Risk")</f>
        <v>Death Penalty, Freedom of Expression, Individuals At Risk</v>
      </c>
      <c r="H915" s="1" t="str">
        <f ca="1">IFERROR(__xludf.DUMMYFUNCTION("""COMPUTED_VALUE"""),"2024")</f>
        <v>2024</v>
      </c>
      <c r="I915" s="1" t="str">
        <f ca="1">IFERROR(__xludf.DUMMYFUNCTION("""COMPUTED_VALUE"""),"Email")</f>
        <v>Email</v>
      </c>
    </row>
    <row r="916" spans="1:9" ht="13" x14ac:dyDescent="0.15">
      <c r="A916" s="9">
        <f ca="1">IFERROR(__xludf.DUMMYFUNCTION("""COMPUTED_VALUE"""),32256742)</f>
        <v>32256742</v>
      </c>
      <c r="B916" s="1" t="str">
        <f ca="1">IFERROR(__xludf.DUMMYFUNCTION("""COMPUTED_VALUE"""),"allisonmidorireilly@gmail.com")</f>
        <v>allisonmidorireilly@gmail.com</v>
      </c>
      <c r="C916" s="9" t="str">
        <f ca="1">IFERROR(__xludf.DUMMYFUNCTION("""COMPUTED_VALUE"""),"EVERGREEN - UAN Gated Content - Embedded Petition")</f>
        <v>EVERGREEN - UAN Gated Content - Embedded Petition</v>
      </c>
      <c r="D916" s="10">
        <f ca="1">IFERROR(__xludf.DUMMYFUNCTION("""COMPUTED_VALUE"""),45706)</f>
        <v>45706</v>
      </c>
      <c r="E916" s="1" t="str">
        <f ca="1">IFERROR(__xludf.DUMMYFUNCTION("""COMPUTED_VALUE"""),"USA")</f>
        <v>USA</v>
      </c>
      <c r="F916" s="1" t="str">
        <f ca="1">IFERROR(__xludf.DUMMYFUNCTION("""COMPUTED_VALUE"""),"Fourth 55.24 USA")</f>
        <v>Fourth 55.24 USA</v>
      </c>
      <c r="G916" s="1" t="str">
        <f ca="1">IFERROR(__xludf.DUMMYFUNCTION("""COMPUTED_VALUE"""),"Climate Justice, Individuals At Risk")</f>
        <v>Climate Justice, Individuals At Risk</v>
      </c>
      <c r="H916" s="1" t="str">
        <f ca="1">IFERROR(__xludf.DUMMYFUNCTION("""COMPUTED_VALUE"""),"2025")</f>
        <v>2025</v>
      </c>
      <c r="I916" s="1" t="str">
        <f ca="1">IFERROR(__xludf.DUMMYFUNCTION("""COMPUTED_VALUE"""),"Email")</f>
        <v>Email</v>
      </c>
    </row>
    <row r="917" spans="1:9" ht="13" x14ac:dyDescent="0.15">
      <c r="A917" s="9">
        <f ca="1">IFERROR(__xludf.DUMMYFUNCTION("""COMPUTED_VALUE"""),32260309)</f>
        <v>32260309</v>
      </c>
      <c r="B917" s="1" t="str">
        <f ca="1">IFERROR(__xludf.DUMMYFUNCTION("""COMPUTED_VALUE"""),"sauerbac@mchsi.com")</f>
        <v>sauerbac@mchsi.com</v>
      </c>
      <c r="C917" s="9" t="str">
        <f ca="1">IFERROR(__xludf.DUMMYFUNCTION("""COMPUTED_VALUE"""),"EVERGREEN - UAN Gated Content - Embedded Petition")</f>
        <v>EVERGREEN - UAN Gated Content - Embedded Petition</v>
      </c>
      <c r="D917" s="10">
        <f ca="1">IFERROR(__xludf.DUMMYFUNCTION("""COMPUTED_VALUE"""),45678)</f>
        <v>45678</v>
      </c>
      <c r="E917" s="1" t="str">
        <f ca="1">IFERROR(__xludf.DUMMYFUNCTION("""COMPUTED_VALUE"""),"Iran")</f>
        <v>Iran</v>
      </c>
      <c r="F917" s="1" t="str">
        <f ca="1">IFERROR(__xludf.DUMMYFUNCTION("""COMPUTED_VALUE"""),"Seventh 103.22 Iran")</f>
        <v>Seventh 103.22 Iran</v>
      </c>
      <c r="G917" s="1" t="str">
        <f ca="1">IFERROR(__xludf.DUMMYFUNCTION("""COMPUTED_VALUE"""),"Death Penalty, Freedom of Expression, Individuals At Risk")</f>
        <v>Death Penalty, Freedom of Expression, Individuals At Risk</v>
      </c>
      <c r="H917" s="1" t="str">
        <f ca="1">IFERROR(__xludf.DUMMYFUNCTION("""COMPUTED_VALUE"""),"2024")</f>
        <v>2024</v>
      </c>
      <c r="I917" s="1" t="str">
        <f ca="1">IFERROR(__xludf.DUMMYFUNCTION("""COMPUTED_VALUE"""),"Email")</f>
        <v>Email</v>
      </c>
    </row>
    <row r="918" spans="1:9" ht="13" x14ac:dyDescent="0.15">
      <c r="A918" s="9">
        <f ca="1">IFERROR(__xludf.DUMMYFUNCTION("""COMPUTED_VALUE"""),32260309)</f>
        <v>32260309</v>
      </c>
      <c r="B918" s="1" t="str">
        <f ca="1">IFERROR(__xludf.DUMMYFUNCTION("""COMPUTED_VALUE"""),"sauerbac@mchsi.com")</f>
        <v>sauerbac@mchsi.com</v>
      </c>
      <c r="C918" s="9" t="str">
        <f ca="1">IFERROR(__xludf.DUMMYFUNCTION("""COMPUTED_VALUE"""),"EVERGREEN - UAN Gated Content - Embedded Petition")</f>
        <v>EVERGREEN - UAN Gated Content - Embedded Petition</v>
      </c>
      <c r="D918" s="10">
        <f ca="1">IFERROR(__xludf.DUMMYFUNCTION("""COMPUTED_VALUE"""),45614)</f>
        <v>45614</v>
      </c>
      <c r="E918" s="1" t="str">
        <f ca="1">IFERROR(__xludf.DUMMYFUNCTION("""COMPUTED_VALUE"""),"Egypt")</f>
        <v>Egypt</v>
      </c>
      <c r="F918" s="1" t="str">
        <f ca="1">IFERROR(__xludf.DUMMYFUNCTION("""COMPUTED_VALUE"""),"Third 73.23 Egypt")</f>
        <v>Third 73.23 Egypt</v>
      </c>
      <c r="G918" s="1" t="str">
        <f ca="1">IFERROR(__xludf.DUMMYFUNCTION("""COMPUTED_VALUE"""),"Individuals At Risk")</f>
        <v>Individuals At Risk</v>
      </c>
      <c r="H918" s="1" t="str">
        <f ca="1">IFERROR(__xludf.DUMMYFUNCTION("""COMPUTED_VALUE"""),"2024")</f>
        <v>2024</v>
      </c>
      <c r="I918" s="1" t="str">
        <f ca="1">IFERROR(__xludf.DUMMYFUNCTION("""COMPUTED_VALUE"""),"Email")</f>
        <v>Email</v>
      </c>
    </row>
    <row r="919" spans="1:9" ht="13" x14ac:dyDescent="0.15">
      <c r="A919" s="9">
        <f ca="1">IFERROR(__xludf.DUMMYFUNCTION("""COMPUTED_VALUE"""),32260309)</f>
        <v>32260309</v>
      </c>
      <c r="B919" s="1" t="str">
        <f ca="1">IFERROR(__xludf.DUMMYFUNCTION("""COMPUTED_VALUE"""),"sauerbac@mchsi.com")</f>
        <v>sauerbac@mchsi.com</v>
      </c>
      <c r="C919" s="9" t="str">
        <f ca="1">IFERROR(__xludf.DUMMYFUNCTION("""COMPUTED_VALUE"""),"EVERGREEN - UAN Gated Content - Embedded Petition")</f>
        <v>EVERGREEN - UAN Gated Content - Embedded Petition</v>
      </c>
      <c r="D919" s="10">
        <f ca="1">IFERROR(__xludf.DUMMYFUNCTION("""COMPUTED_VALUE"""),45614)</f>
        <v>45614</v>
      </c>
      <c r="E919" s="1" t="str">
        <f ca="1">IFERROR(__xludf.DUMMYFUNCTION("""COMPUTED_VALUE"""),"Niger")</f>
        <v>Niger</v>
      </c>
      <c r="F919" s="1" t="str">
        <f ca="1">IFERROR(__xludf.DUMMYFUNCTION("""COMPUTED_VALUE"""),"103.24 Niger")</f>
        <v>103.24 Niger</v>
      </c>
      <c r="G919" s="1" t="str">
        <f ca="1">IFERROR(__xludf.DUMMYFUNCTION("""COMPUTED_VALUE"""),"Freedom of Expression, Human Rights Defenders")</f>
        <v>Freedom of Expression, Human Rights Defenders</v>
      </c>
      <c r="H919" s="1" t="str">
        <f ca="1">IFERROR(__xludf.DUMMYFUNCTION("""COMPUTED_VALUE"""),"2024")</f>
        <v>2024</v>
      </c>
      <c r="I919" s="1" t="str">
        <f ca="1">IFERROR(__xludf.DUMMYFUNCTION("""COMPUTED_VALUE"""),"Email")</f>
        <v>Email</v>
      </c>
    </row>
    <row r="920" spans="1:9" ht="13" x14ac:dyDescent="0.15">
      <c r="A920" s="9">
        <f ca="1">IFERROR(__xludf.DUMMYFUNCTION("""COMPUTED_VALUE"""),32260309)</f>
        <v>32260309</v>
      </c>
      <c r="B920" s="1" t="str">
        <f ca="1">IFERROR(__xludf.DUMMYFUNCTION("""COMPUTED_VALUE"""),"sauerbac@mchsi.com")</f>
        <v>sauerbac@mchsi.com</v>
      </c>
      <c r="C920" s="9" t="str">
        <f ca="1">IFERROR(__xludf.DUMMYFUNCTION("""COMPUTED_VALUE"""),"EVERGREEN - UAN Gated Content - Embedded Petition")</f>
        <v>EVERGREEN - UAN Gated Content - Embedded Petition</v>
      </c>
      <c r="D920" s="10">
        <f ca="1">IFERROR(__xludf.DUMMYFUNCTION("""COMPUTED_VALUE"""),45615)</f>
        <v>45615</v>
      </c>
      <c r="E920" s="1" t="str">
        <f ca="1">IFERROR(__xludf.DUMMYFUNCTION("""COMPUTED_VALUE"""),"USA")</f>
        <v>USA</v>
      </c>
      <c r="F920" s="1" t="str">
        <f ca="1">IFERROR(__xludf.DUMMYFUNCTION("""COMPUTED_VALUE"""),"105.24 USA")</f>
        <v>105.24 USA</v>
      </c>
      <c r="G920" s="1" t="str">
        <f ca="1">IFERROR(__xludf.DUMMYFUNCTION("""COMPUTED_VALUE"""),"Death Penalty")</f>
        <v>Death Penalty</v>
      </c>
      <c r="H920" s="1" t="str">
        <f ca="1">IFERROR(__xludf.DUMMYFUNCTION("""COMPUTED_VALUE"""),"2024")</f>
        <v>2024</v>
      </c>
      <c r="I920" s="1" t="str">
        <f ca="1">IFERROR(__xludf.DUMMYFUNCTION("""COMPUTED_VALUE"""),"Email")</f>
        <v>Email</v>
      </c>
    </row>
    <row r="921" spans="1:9" ht="13" x14ac:dyDescent="0.15">
      <c r="A921" s="9">
        <f ca="1">IFERROR(__xludf.DUMMYFUNCTION("""COMPUTED_VALUE"""),32260309)</f>
        <v>32260309</v>
      </c>
      <c r="B921" s="1" t="str">
        <f ca="1">IFERROR(__xludf.DUMMYFUNCTION("""COMPUTED_VALUE"""),"sauerbac@mchsi.com")</f>
        <v>sauerbac@mchsi.com</v>
      </c>
      <c r="C921" s="9" t="str">
        <f ca="1">IFERROR(__xludf.DUMMYFUNCTION("""COMPUTED_VALUE"""),"EVERGREEN - UAN Gated Content - Embedded Petition")</f>
        <v>EVERGREEN - UAN Gated Content - Embedded Petition</v>
      </c>
      <c r="D921" s="10">
        <f ca="1">IFERROR(__xludf.DUMMYFUNCTION("""COMPUTED_VALUE"""),45678)</f>
        <v>45678</v>
      </c>
      <c r="E921" s="1" t="str">
        <f ca="1">IFERROR(__xludf.DUMMYFUNCTION("""COMPUTED_VALUE"""),"Egypt")</f>
        <v>Egypt</v>
      </c>
      <c r="F921" s="1" t="str">
        <f ca="1">IFERROR(__xludf.DUMMYFUNCTION("""COMPUTED_VALUE"""),"Ninth 190.18 Egypt")</f>
        <v>Ninth 190.18 Egypt</v>
      </c>
      <c r="G921" s="1" t="str">
        <f ca="1">IFERROR(__xludf.DUMMYFUNCTION("""COMPUTED_VALUE"""),"Freedom of Expression, Individuals At Risk")</f>
        <v>Freedom of Expression, Individuals At Risk</v>
      </c>
      <c r="H921" s="1" t="str">
        <f ca="1">IFERROR(__xludf.DUMMYFUNCTION("""COMPUTED_VALUE"""),"2024")</f>
        <v>2024</v>
      </c>
      <c r="I921" s="1" t="str">
        <f ca="1">IFERROR(__xludf.DUMMYFUNCTION("""COMPUTED_VALUE"""),"Letter")</f>
        <v>Letter</v>
      </c>
    </row>
    <row r="922" spans="1:9" ht="13" x14ac:dyDescent="0.15">
      <c r="A922" s="9">
        <f ca="1">IFERROR(__xludf.DUMMYFUNCTION("""COMPUTED_VALUE"""),32260309)</f>
        <v>32260309</v>
      </c>
      <c r="B922" s="1" t="str">
        <f ca="1">IFERROR(__xludf.DUMMYFUNCTION("""COMPUTED_VALUE"""),"sauerbac@mchsi.com")</f>
        <v>sauerbac@mchsi.com</v>
      </c>
      <c r="C922" s="9" t="str">
        <f ca="1">IFERROR(__xludf.DUMMYFUNCTION("""COMPUTED_VALUE"""),"EVERGREEN - UAN Gated Content - Embedded Petition")</f>
        <v>EVERGREEN - UAN Gated Content - Embedded Petition</v>
      </c>
      <c r="D922" s="10">
        <f ca="1">IFERROR(__xludf.DUMMYFUNCTION("""COMPUTED_VALUE"""),45678)</f>
        <v>45678</v>
      </c>
      <c r="E922" s="1" t="str">
        <f ca="1">IFERROR(__xludf.DUMMYFUNCTION("""COMPUTED_VALUE"""),"Tunisia")</f>
        <v>Tunisia</v>
      </c>
      <c r="F922" s="1" t="str">
        <f ca="1">IFERROR(__xludf.DUMMYFUNCTION("""COMPUTED_VALUE"""),"Second 76.24 Tunisia")</f>
        <v>Second 76.24 Tunisia</v>
      </c>
      <c r="G922" s="1" t="str">
        <f ca="1">IFERROR(__xludf.DUMMYFUNCTION("""COMPUTED_VALUE"""),"Freedom of Expression, Human Rights Defenders")</f>
        <v>Freedom of Expression, Human Rights Defenders</v>
      </c>
      <c r="H922" s="1" t="str">
        <f ca="1">IFERROR(__xludf.DUMMYFUNCTION("""COMPUTED_VALUE"""),"2025")</f>
        <v>2025</v>
      </c>
      <c r="I922" s="1" t="str">
        <f ca="1">IFERROR(__xludf.DUMMYFUNCTION("""COMPUTED_VALUE"""),"Email")</f>
        <v>Email</v>
      </c>
    </row>
    <row r="923" spans="1:9" ht="13" x14ac:dyDescent="0.15">
      <c r="A923" s="9">
        <f ca="1">IFERROR(__xludf.DUMMYFUNCTION("""COMPUTED_VALUE"""),32260309)</f>
        <v>32260309</v>
      </c>
      <c r="B923" s="1" t="str">
        <f ca="1">IFERROR(__xludf.DUMMYFUNCTION("""COMPUTED_VALUE"""),"sauerbac@mchsi.com")</f>
        <v>sauerbac@mchsi.com</v>
      </c>
      <c r="C923" s="9" t="str">
        <f ca="1">IFERROR(__xludf.DUMMYFUNCTION("""COMPUTED_VALUE"""),"EVERGREEN - UAN Gated Content - Embedded Petition")</f>
        <v>EVERGREEN - UAN Gated Content - Embedded Petition</v>
      </c>
      <c r="D923" s="10">
        <f ca="1">IFERROR(__xludf.DUMMYFUNCTION("""COMPUTED_VALUE"""),45676)</f>
        <v>45676</v>
      </c>
      <c r="E923" s="1" t="str">
        <f ca="1">IFERROR(__xludf.DUMMYFUNCTION("""COMPUTED_VALUE"""),"Egypt")</f>
        <v>Egypt</v>
      </c>
      <c r="F923" s="1" t="str">
        <f ca="1">IFERROR(__xludf.DUMMYFUNCTION("""COMPUTED_VALUE"""),"Ninth 190.18 Egypt")</f>
        <v>Ninth 190.18 Egypt</v>
      </c>
      <c r="G923" s="1" t="str">
        <f ca="1">IFERROR(__xludf.DUMMYFUNCTION("""COMPUTED_VALUE"""),"Freedom of Expression, Individuals At Risk")</f>
        <v>Freedom of Expression, Individuals At Risk</v>
      </c>
      <c r="H923" s="1" t="str">
        <f ca="1">IFERROR(__xludf.DUMMYFUNCTION("""COMPUTED_VALUE"""),"2024")</f>
        <v>2024</v>
      </c>
      <c r="I923" s="1" t="str">
        <f ca="1">IFERROR(__xludf.DUMMYFUNCTION("""COMPUTED_VALUE"""),"Letter")</f>
        <v>Letter</v>
      </c>
    </row>
    <row r="924" spans="1:9" ht="13" x14ac:dyDescent="0.15">
      <c r="A924" s="9">
        <f ca="1">IFERROR(__xludf.DUMMYFUNCTION("""COMPUTED_VALUE"""),32261282)</f>
        <v>32261282</v>
      </c>
      <c r="B924" s="1" t="str">
        <f ca="1">IFERROR(__xludf.DUMMYFUNCTION("""COMPUTED_VALUE"""),"bdmcgee@gmail.com")</f>
        <v>bdmcgee@gmail.com</v>
      </c>
      <c r="C924" s="9" t="str">
        <f ca="1">IFERROR(__xludf.DUMMYFUNCTION("""COMPUTED_VALUE"""),"EVERGREEN - UAN Gated Content - Embedded Petition")</f>
        <v>EVERGREEN - UAN Gated Content - Embedded Petition</v>
      </c>
      <c r="D924" s="10">
        <f ca="1">IFERROR(__xludf.DUMMYFUNCTION("""COMPUTED_VALUE"""),45694)</f>
        <v>45694</v>
      </c>
      <c r="E924" s="1" t="str">
        <f ca="1">IFERROR(__xludf.DUMMYFUNCTION("""COMPUTED_VALUE"""),"Uganda")</f>
        <v>Uganda</v>
      </c>
      <c r="F924" s="1" t="str">
        <f ca="1">IFERROR(__xludf.DUMMYFUNCTION("""COMPUTED_VALUE"""),"9.25 Uganda")</f>
        <v>9.25 Uganda</v>
      </c>
      <c r="G924" s="1" t="str">
        <f ca="1">IFERROR(__xludf.DUMMYFUNCTION("""COMPUTED_VALUE"""),"Freedom of Expression, Human Rights Defenders")</f>
        <v>Freedom of Expression, Human Rights Defenders</v>
      </c>
      <c r="H924" s="1" t="str">
        <f ca="1">IFERROR(__xludf.DUMMYFUNCTION("""COMPUTED_VALUE"""),"2025")</f>
        <v>2025</v>
      </c>
      <c r="I924" s="1" t="str">
        <f ca="1">IFERROR(__xludf.DUMMYFUNCTION("""COMPUTED_VALUE"""),"Email")</f>
        <v>Email</v>
      </c>
    </row>
    <row r="925" spans="1:9" ht="13" x14ac:dyDescent="0.15">
      <c r="A925" s="9">
        <f ca="1">IFERROR(__xludf.DUMMYFUNCTION("""COMPUTED_VALUE"""),32274250)</f>
        <v>32274250</v>
      </c>
      <c r="B925" s="1" t="str">
        <f ca="1">IFERROR(__xludf.DUMMYFUNCTION("""COMPUTED_VALUE"""),"jdunn936@yahoo.com")</f>
        <v>jdunn936@yahoo.com</v>
      </c>
      <c r="C925" s="9" t="str">
        <f ca="1">IFERROR(__xludf.DUMMYFUNCTION("""COMPUTED_VALUE"""),"EVERGREEN - UAN Gated Content - Embedded Petition")</f>
        <v>EVERGREEN - UAN Gated Content - Embedded Petition</v>
      </c>
      <c r="D925" s="10">
        <f ca="1">IFERROR(__xludf.DUMMYFUNCTION("""COMPUTED_VALUE"""),45695)</f>
        <v>45695</v>
      </c>
      <c r="E925" s="1" t="str">
        <f ca="1">IFERROR(__xludf.DUMMYFUNCTION("""COMPUTED_VALUE"""),"Egypt")</f>
        <v>Egypt</v>
      </c>
      <c r="F925" s="1" t="str">
        <f ca="1">IFERROR(__xludf.DUMMYFUNCTION("""COMPUTED_VALUE"""),"Second 80.23 Egypt")</f>
        <v>Second 80.23 Egypt</v>
      </c>
      <c r="G925" s="1" t="str">
        <f ca="1">IFERROR(__xludf.DUMMYFUNCTION("""COMPUTED_VALUE"""),"Health, Individuals At Risk")</f>
        <v>Health, Individuals At Risk</v>
      </c>
      <c r="H925" s="1" t="str">
        <f ca="1">IFERROR(__xludf.DUMMYFUNCTION("""COMPUTED_VALUE"""),"2025")</f>
        <v>2025</v>
      </c>
      <c r="I925" s="1" t="str">
        <f ca="1">IFERROR(__xludf.DUMMYFUNCTION("""COMPUTED_VALUE"""),"Email")</f>
        <v>Email</v>
      </c>
    </row>
    <row r="926" spans="1:9" ht="13" x14ac:dyDescent="0.15">
      <c r="A926" s="9">
        <f ca="1">IFERROR(__xludf.DUMMYFUNCTION("""COMPUTED_VALUE"""),32295076)</f>
        <v>32295076</v>
      </c>
      <c r="B926" s="1" t="str">
        <f ca="1">IFERROR(__xludf.DUMMYFUNCTION("""COMPUTED_VALUE"""),"lonnajean@gmail.com")</f>
        <v>lonnajean@gmail.com</v>
      </c>
      <c r="C926" s="9" t="str">
        <f ca="1">IFERROR(__xludf.DUMMYFUNCTION("""COMPUTED_VALUE"""),"EVERGREEN - UAN Gated Content - Embedded Petition")</f>
        <v>EVERGREEN - UAN Gated Content - Embedded Petition</v>
      </c>
      <c r="D926" s="10">
        <f ca="1">IFERROR(__xludf.DUMMYFUNCTION("""COMPUTED_VALUE"""),45616)</f>
        <v>45616</v>
      </c>
      <c r="E926" s="1" t="str">
        <f ca="1">IFERROR(__xludf.DUMMYFUNCTION("""COMPUTED_VALUE"""),"Tunisia")</f>
        <v>Tunisia</v>
      </c>
      <c r="F926" s="1" t="str">
        <f ca="1">IFERROR(__xludf.DUMMYFUNCTION("""COMPUTED_VALUE"""),"Second 76.24 Tunisia")</f>
        <v>Second 76.24 Tunisia</v>
      </c>
      <c r="G926" s="1" t="str">
        <f ca="1">IFERROR(__xludf.DUMMYFUNCTION("""COMPUTED_VALUE"""),"Freedom of Expression, Human Rights Defenders")</f>
        <v>Freedom of Expression, Human Rights Defenders</v>
      </c>
      <c r="H926" s="1" t="str">
        <f ca="1">IFERROR(__xludf.DUMMYFUNCTION("""COMPUTED_VALUE"""),"2025")</f>
        <v>2025</v>
      </c>
      <c r="I926" s="1" t="str">
        <f ca="1">IFERROR(__xludf.DUMMYFUNCTION("""COMPUTED_VALUE"""),"Email")</f>
        <v>Email</v>
      </c>
    </row>
    <row r="927" spans="1:9" ht="13" x14ac:dyDescent="0.15">
      <c r="A927" s="9">
        <f ca="1">IFERROR(__xludf.DUMMYFUNCTION("""COMPUTED_VALUE"""),32296350)</f>
        <v>32296350</v>
      </c>
      <c r="B927" s="1" t="str">
        <f ca="1">IFERROR(__xludf.DUMMYFUNCTION("""COMPUTED_VALUE"""),"jimloveland52@yahoo.com")</f>
        <v>jimloveland52@yahoo.com</v>
      </c>
      <c r="C927" s="9" t="str">
        <f ca="1">IFERROR(__xludf.DUMMYFUNCTION("""COMPUTED_VALUE"""),"EVERGREEN - UAN Gated Content - Embedded Petition")</f>
        <v>EVERGREEN - UAN Gated Content - Embedded Petition</v>
      </c>
      <c r="D927" s="10">
        <f ca="1">IFERROR(__xludf.DUMMYFUNCTION("""COMPUTED_VALUE"""),45699)</f>
        <v>45699</v>
      </c>
      <c r="E927" s="1" t="str">
        <f ca="1">IFERROR(__xludf.DUMMYFUNCTION("""COMPUTED_VALUE"""),"USA")</f>
        <v>USA</v>
      </c>
      <c r="F927" s="1" t="str">
        <f ca="1">IFERROR(__xludf.DUMMYFUNCTION("""COMPUTED_VALUE"""),"4.25 USA")</f>
        <v>4.25 USA</v>
      </c>
      <c r="G927" s="1" t="str">
        <f ca="1">IFERROR(__xludf.DUMMYFUNCTION("""COMPUTED_VALUE"""),"Individuals At Risk, Refugee and Migrant Rights")</f>
        <v>Individuals At Risk, Refugee and Migrant Rights</v>
      </c>
      <c r="H927" s="1" t="str">
        <f ca="1">IFERROR(__xludf.DUMMYFUNCTION("""COMPUTED_VALUE"""),"2025")</f>
        <v>2025</v>
      </c>
      <c r="I927" s="1" t="str">
        <f ca="1">IFERROR(__xludf.DUMMYFUNCTION("""COMPUTED_VALUE"""),"Letter")</f>
        <v>Letter</v>
      </c>
    </row>
    <row r="928" spans="1:9" ht="13" x14ac:dyDescent="0.15">
      <c r="A928" s="9">
        <f ca="1">IFERROR(__xludf.DUMMYFUNCTION("""COMPUTED_VALUE"""),32325765)</f>
        <v>32325765</v>
      </c>
      <c r="B928" s="1" t="str">
        <f ca="1">IFERROR(__xludf.DUMMYFUNCTION("""COMPUTED_VALUE"""),"amy.sellars@gmail.com")</f>
        <v>amy.sellars@gmail.com</v>
      </c>
      <c r="C928" s="9" t="str">
        <f ca="1">IFERROR(__xludf.DUMMYFUNCTION("""COMPUTED_VALUE"""),"EVERGREEN - UAN Gated Content - Embedded Petition")</f>
        <v>EVERGREEN - UAN Gated Content - Embedded Petition</v>
      </c>
      <c r="D928" s="10">
        <f ca="1">IFERROR(__xludf.DUMMYFUNCTION("""COMPUTED_VALUE"""),45694)</f>
        <v>45694</v>
      </c>
      <c r="E928" s="1" t="str">
        <f ca="1">IFERROR(__xludf.DUMMYFUNCTION("""COMPUTED_VALUE"""),"Niger")</f>
        <v>Niger</v>
      </c>
      <c r="F928" s="1" t="str">
        <f ca="1">IFERROR(__xludf.DUMMYFUNCTION("""COMPUTED_VALUE"""),"103.24 Niger")</f>
        <v>103.24 Niger</v>
      </c>
      <c r="G928" s="1" t="str">
        <f ca="1">IFERROR(__xludf.DUMMYFUNCTION("""COMPUTED_VALUE"""),"Freedom of Expression, Human Rights Defenders")</f>
        <v>Freedom of Expression, Human Rights Defenders</v>
      </c>
      <c r="H928" s="1" t="str">
        <f ca="1">IFERROR(__xludf.DUMMYFUNCTION("""COMPUTED_VALUE"""),"2024")</f>
        <v>2024</v>
      </c>
      <c r="I928" s="1" t="str">
        <f ca="1">IFERROR(__xludf.DUMMYFUNCTION("""COMPUTED_VALUE"""),"Email")</f>
        <v>Email</v>
      </c>
    </row>
    <row r="929" spans="1:9" ht="13" x14ac:dyDescent="0.15">
      <c r="A929" s="9">
        <f ca="1">IFERROR(__xludf.DUMMYFUNCTION("""COMPUTED_VALUE"""),32334706)</f>
        <v>32334706</v>
      </c>
      <c r="B929" s="1" t="str">
        <f ca="1">IFERROR(__xludf.DUMMYFUNCTION("""COMPUTED_VALUE"""),"sogilvie@msn.com")</f>
        <v>sogilvie@msn.com</v>
      </c>
      <c r="C929" s="9" t="str">
        <f ca="1">IFERROR(__xludf.DUMMYFUNCTION("""COMPUTED_VALUE"""),"EVERGREEN - UAN Gated Content - Embedded Petition")</f>
        <v>EVERGREEN - UAN Gated Content - Embedded Petition</v>
      </c>
      <c r="D929" s="10">
        <f ca="1">IFERROR(__xludf.DUMMYFUNCTION("""COMPUTED_VALUE"""),45694)</f>
        <v>45694</v>
      </c>
      <c r="E929" s="1" t="str">
        <f ca="1">IFERROR(__xludf.DUMMYFUNCTION("""COMPUTED_VALUE"""),"Israel and Occupied Palestinian Territories")</f>
        <v>Israel and Occupied Palestinian Territories</v>
      </c>
      <c r="F929" s="1" t="str">
        <f ca="1">IFERROR(__xludf.DUMMYFUNCTION("""COMPUTED_VALUE"""),"3.25 IOPT")</f>
        <v>3.25 IOPT</v>
      </c>
      <c r="G929" s="1" t="str">
        <f ca="1">IFERROR(__xludf.DUMMYFUNCTION("""COMPUTED_VALUE"""),"Freedom of Expression, Individuals At Risk")</f>
        <v>Freedom of Expression, Individuals At Risk</v>
      </c>
      <c r="H929" s="1" t="str">
        <f ca="1">IFERROR(__xludf.DUMMYFUNCTION("""COMPUTED_VALUE"""),"2025")</f>
        <v>2025</v>
      </c>
      <c r="I929" s="1" t="str">
        <f ca="1">IFERROR(__xludf.DUMMYFUNCTION("""COMPUTED_VALUE"""),"Email")</f>
        <v>Email</v>
      </c>
    </row>
    <row r="930" spans="1:9" ht="13" x14ac:dyDescent="0.15">
      <c r="A930" s="9">
        <f ca="1">IFERROR(__xludf.DUMMYFUNCTION("""COMPUTED_VALUE"""),32341680)</f>
        <v>32341680</v>
      </c>
      <c r="B930" s="1" t="str">
        <f ca="1">IFERROR(__xludf.DUMMYFUNCTION("""COMPUTED_VALUE"""),"mkenosha@aol.com")</f>
        <v>mkenosha@aol.com</v>
      </c>
      <c r="C930" s="9" t="str">
        <f ca="1">IFERROR(__xludf.DUMMYFUNCTION("""COMPUTED_VALUE"""),"EVERGREEN - UAN Gated Content - Embedded Petition")</f>
        <v>EVERGREEN - UAN Gated Content - Embedded Petition</v>
      </c>
      <c r="D930" s="10">
        <f ca="1">IFERROR(__xludf.DUMMYFUNCTION("""COMPUTED_VALUE"""),45674)</f>
        <v>45674</v>
      </c>
      <c r="E930" s="1" t="str">
        <f ca="1">IFERROR(__xludf.DUMMYFUNCTION("""COMPUTED_VALUE"""),"USA")</f>
        <v>USA</v>
      </c>
      <c r="F930" s="1" t="str">
        <f ca="1">IFERROR(__xludf.DUMMYFUNCTION("""COMPUTED_VALUE"""),"4.25 USA")</f>
        <v>4.25 USA</v>
      </c>
      <c r="G930" s="1" t="str">
        <f ca="1">IFERROR(__xludf.DUMMYFUNCTION("""COMPUTED_VALUE"""),"Individuals At Risk, Refugee and Migrant Rights")</f>
        <v>Individuals At Risk, Refugee and Migrant Rights</v>
      </c>
      <c r="H930" s="1" t="str">
        <f ca="1">IFERROR(__xludf.DUMMYFUNCTION("""COMPUTED_VALUE"""),"2025")</f>
        <v>2025</v>
      </c>
      <c r="I930" s="1" t="str">
        <f ca="1">IFERROR(__xludf.DUMMYFUNCTION("""COMPUTED_VALUE"""),"Letter")</f>
        <v>Letter</v>
      </c>
    </row>
    <row r="931" spans="1:9" ht="13" x14ac:dyDescent="0.15">
      <c r="A931" s="9">
        <f ca="1">IFERROR(__xludf.DUMMYFUNCTION("""COMPUTED_VALUE"""),32341680)</f>
        <v>32341680</v>
      </c>
      <c r="B931" s="1" t="str">
        <f ca="1">IFERROR(__xludf.DUMMYFUNCTION("""COMPUTED_VALUE"""),"mkenosha@aol.com")</f>
        <v>mkenosha@aol.com</v>
      </c>
      <c r="C931" s="9" t="str">
        <f ca="1">IFERROR(__xludf.DUMMYFUNCTION("""COMPUTED_VALUE"""),"EVERGREEN - UAN Gated Content - Embedded Petition")</f>
        <v>EVERGREEN - UAN Gated Content - Embedded Petition</v>
      </c>
      <c r="D931" s="10">
        <f ca="1">IFERROR(__xludf.DUMMYFUNCTION("""COMPUTED_VALUE"""),45694)</f>
        <v>45694</v>
      </c>
      <c r="E931" s="1" t="str">
        <f ca="1">IFERROR(__xludf.DUMMYFUNCTION("""COMPUTED_VALUE"""),"USA")</f>
        <v>USA</v>
      </c>
      <c r="F931" s="1" t="str">
        <f ca="1">IFERROR(__xludf.DUMMYFUNCTION("""COMPUTED_VALUE"""),"96.24 USA")</f>
        <v>96.24 USA</v>
      </c>
      <c r="G931" s="1" t="str">
        <f ca="1">IFERROR(__xludf.DUMMYFUNCTION("""COMPUTED_VALUE"""),"Death Penalty")</f>
        <v>Death Penalty</v>
      </c>
      <c r="H931" s="1" t="str">
        <f ca="1">IFERROR(__xludf.DUMMYFUNCTION("""COMPUTED_VALUE"""),"2024")</f>
        <v>2024</v>
      </c>
      <c r="I931" s="1" t="str">
        <f ca="1">IFERROR(__xludf.DUMMYFUNCTION("""COMPUTED_VALUE"""),"Email")</f>
        <v>Email</v>
      </c>
    </row>
    <row r="932" spans="1:9" ht="13" x14ac:dyDescent="0.15">
      <c r="A932" s="9">
        <f ca="1">IFERROR(__xludf.DUMMYFUNCTION("""COMPUTED_VALUE"""),32341680)</f>
        <v>32341680</v>
      </c>
      <c r="B932" s="1" t="str">
        <f ca="1">IFERROR(__xludf.DUMMYFUNCTION("""COMPUTED_VALUE"""),"mkenosha@aol.com")</f>
        <v>mkenosha@aol.com</v>
      </c>
      <c r="C932" s="9" t="str">
        <f ca="1">IFERROR(__xludf.DUMMYFUNCTION("""COMPUTED_VALUE"""),"EVERGREEN - Website Email Capture Form - UAN Pre-Footer")</f>
        <v>EVERGREEN - Website Email Capture Form - UAN Pre-Footer</v>
      </c>
      <c r="D932" s="10">
        <f ca="1">IFERROR(__xludf.DUMMYFUNCTION("""COMPUTED_VALUE"""),45640)</f>
        <v>45640</v>
      </c>
      <c r="E932" s="1" t="str">
        <f ca="1">IFERROR(__xludf.DUMMYFUNCTION("""COMPUTED_VALUE"""),"Tunisia")</f>
        <v>Tunisia</v>
      </c>
      <c r="F932" s="1" t="str">
        <f ca="1">IFERROR(__xludf.DUMMYFUNCTION("""COMPUTED_VALUE"""),"Second 76.24 Tunisia")</f>
        <v>Second 76.24 Tunisia</v>
      </c>
      <c r="G932" s="1" t="str">
        <f ca="1">IFERROR(__xludf.DUMMYFUNCTION("""COMPUTED_VALUE"""),"Freedom of Expression, Human Rights Defenders")</f>
        <v>Freedom of Expression, Human Rights Defenders</v>
      </c>
      <c r="H932" s="1" t="str">
        <f ca="1">IFERROR(__xludf.DUMMYFUNCTION("""COMPUTED_VALUE"""),"2025")</f>
        <v>2025</v>
      </c>
      <c r="I932" s="1" t="str">
        <f ca="1">IFERROR(__xludf.DUMMYFUNCTION("""COMPUTED_VALUE"""),"Email")</f>
        <v>Email</v>
      </c>
    </row>
    <row r="933" spans="1:9" ht="13" x14ac:dyDescent="0.15">
      <c r="A933" s="9">
        <f ca="1">IFERROR(__xludf.DUMMYFUNCTION("""COMPUTED_VALUE"""),32343433)</f>
        <v>32343433</v>
      </c>
      <c r="B933" s="1" t="str">
        <f ca="1">IFERROR(__xludf.DUMMYFUNCTION("""COMPUTED_VALUE"""),"mechannon@yahoo.com")</f>
        <v>mechannon@yahoo.com</v>
      </c>
      <c r="C933" s="9" t="str">
        <f ca="1">IFERROR(__xludf.DUMMYFUNCTION("""COMPUTED_VALUE"""),"EVERGREEN - UAN Gated Content - Embedded Petition")</f>
        <v>EVERGREEN - UAN Gated Content - Embedded Petition</v>
      </c>
      <c r="D933" s="10">
        <f ca="1">IFERROR(__xludf.DUMMYFUNCTION("""COMPUTED_VALUE"""),45677)</f>
        <v>45677</v>
      </c>
      <c r="E933" s="1" t="str">
        <f ca="1">IFERROR(__xludf.DUMMYFUNCTION("""COMPUTED_VALUE"""),"USA")</f>
        <v>USA</v>
      </c>
      <c r="F933" s="1" t="str">
        <f ca="1">IFERROR(__xludf.DUMMYFUNCTION("""COMPUTED_VALUE"""),"96.24 USA")</f>
        <v>96.24 USA</v>
      </c>
      <c r="G933" s="1" t="str">
        <f ca="1">IFERROR(__xludf.DUMMYFUNCTION("""COMPUTED_VALUE"""),"Death Penalty")</f>
        <v>Death Penalty</v>
      </c>
      <c r="H933" s="1" t="str">
        <f ca="1">IFERROR(__xludf.DUMMYFUNCTION("""COMPUTED_VALUE"""),"2024")</f>
        <v>2024</v>
      </c>
      <c r="I933" s="1" t="str">
        <f ca="1">IFERROR(__xludf.DUMMYFUNCTION("""COMPUTED_VALUE"""),"Email")</f>
        <v>Email</v>
      </c>
    </row>
    <row r="934" spans="1:9" ht="13" x14ac:dyDescent="0.15">
      <c r="A934" s="9">
        <f ca="1">IFERROR(__xludf.DUMMYFUNCTION("""COMPUTED_VALUE"""),32343433)</f>
        <v>32343433</v>
      </c>
      <c r="B934" s="1" t="str">
        <f ca="1">IFERROR(__xludf.DUMMYFUNCTION("""COMPUTED_VALUE"""),"mechannon@yahoo.com")</f>
        <v>mechannon@yahoo.com</v>
      </c>
      <c r="C934" s="9" t="str">
        <f ca="1">IFERROR(__xludf.DUMMYFUNCTION("""COMPUTED_VALUE"""),"EVERGREEN - UAN Gated Content - Embedded Petition")</f>
        <v>EVERGREEN - UAN Gated Content - Embedded Petition</v>
      </c>
      <c r="D934" s="10">
        <f ca="1">IFERROR(__xludf.DUMMYFUNCTION("""COMPUTED_VALUE"""),45636)</f>
        <v>45636</v>
      </c>
      <c r="E934" s="1" t="str">
        <f ca="1">IFERROR(__xludf.DUMMYFUNCTION("""COMPUTED_VALUE"""),"USA")</f>
        <v>USA</v>
      </c>
      <c r="F934" s="1" t="str">
        <f ca="1">IFERROR(__xludf.DUMMYFUNCTION("""COMPUTED_VALUE"""),"105.24 USA")</f>
        <v>105.24 USA</v>
      </c>
      <c r="G934" s="1" t="str">
        <f ca="1">IFERROR(__xludf.DUMMYFUNCTION("""COMPUTED_VALUE"""),"Death Penalty")</f>
        <v>Death Penalty</v>
      </c>
      <c r="H934" s="1" t="str">
        <f ca="1">IFERROR(__xludf.DUMMYFUNCTION("""COMPUTED_VALUE"""),"2024")</f>
        <v>2024</v>
      </c>
      <c r="I934" s="1" t="str">
        <f ca="1">IFERROR(__xludf.DUMMYFUNCTION("""COMPUTED_VALUE"""),"Email")</f>
        <v>Email</v>
      </c>
    </row>
    <row r="935" spans="1:9" ht="13" x14ac:dyDescent="0.15">
      <c r="A935" s="9">
        <f ca="1">IFERROR(__xludf.DUMMYFUNCTION("""COMPUTED_VALUE"""),32343648)</f>
        <v>32343648</v>
      </c>
      <c r="B935" s="1" t="str">
        <f ca="1">IFERROR(__xludf.DUMMYFUNCTION("""COMPUTED_VALUE"""),"bosolds@lisco.com")</f>
        <v>bosolds@lisco.com</v>
      </c>
      <c r="C935" s="9" t="str">
        <f ca="1">IFERROR(__xludf.DUMMYFUNCTION("""COMPUTED_VALUE"""),"EVERGREEN - UAN Gated Content - Embedded Petition")</f>
        <v>EVERGREEN - UAN Gated Content - Embedded Petition</v>
      </c>
      <c r="D935" s="10">
        <f ca="1">IFERROR(__xludf.DUMMYFUNCTION("""COMPUTED_VALUE"""),45677)</f>
        <v>45677</v>
      </c>
      <c r="E935" s="1" t="str">
        <f ca="1">IFERROR(__xludf.DUMMYFUNCTION("""COMPUTED_VALUE"""),"Tunisia")</f>
        <v>Tunisia</v>
      </c>
      <c r="F935" s="1" t="str">
        <f ca="1">IFERROR(__xludf.DUMMYFUNCTION("""COMPUTED_VALUE"""),"Second 76.24 Tunisia")</f>
        <v>Second 76.24 Tunisia</v>
      </c>
      <c r="G935" s="1" t="str">
        <f ca="1">IFERROR(__xludf.DUMMYFUNCTION("""COMPUTED_VALUE"""),"Freedom of Expression, Human Rights Defenders")</f>
        <v>Freedom of Expression, Human Rights Defenders</v>
      </c>
      <c r="H935" s="1" t="str">
        <f ca="1">IFERROR(__xludf.DUMMYFUNCTION("""COMPUTED_VALUE"""),"2025")</f>
        <v>2025</v>
      </c>
      <c r="I935" s="1" t="str">
        <f ca="1">IFERROR(__xludf.DUMMYFUNCTION("""COMPUTED_VALUE"""),"Email")</f>
        <v>Email</v>
      </c>
    </row>
    <row r="936" spans="1:9" ht="13" x14ac:dyDescent="0.15">
      <c r="A936" s="9">
        <f ca="1">IFERROR(__xludf.DUMMYFUNCTION("""COMPUTED_VALUE"""),32350084)</f>
        <v>32350084</v>
      </c>
      <c r="B936" s="1" t="str">
        <f ca="1">IFERROR(__xludf.DUMMYFUNCTION("""COMPUTED_VALUE"""),"peaceman@purecode.com")</f>
        <v>peaceman@purecode.com</v>
      </c>
      <c r="C936" s="9" t="str">
        <f ca="1">IFERROR(__xludf.DUMMYFUNCTION("""COMPUTED_VALUE"""),"EVERGREEN - UAN Gated Content - Embedded Petition")</f>
        <v>EVERGREEN - UAN Gated Content - Embedded Petition</v>
      </c>
      <c r="D936" s="10">
        <f ca="1">IFERROR(__xludf.DUMMYFUNCTION("""COMPUTED_VALUE"""),45694)</f>
        <v>45694</v>
      </c>
      <c r="E936" s="1" t="str">
        <f ca="1">IFERROR(__xludf.DUMMYFUNCTION("""COMPUTED_VALUE"""),"Venezuela")</f>
        <v>Venezuela</v>
      </c>
      <c r="F936" s="1" t="str">
        <f ca="1">IFERROR(__xludf.DUMMYFUNCTION("""COMPUTED_VALUE"""),"97.24 Venezuela")</f>
        <v>97.24 Venezuela</v>
      </c>
      <c r="G936" s="1" t="str">
        <f ca="1">IFERROR(__xludf.DUMMYFUNCTION("""COMPUTED_VALUE"""),"Freedom of Expression")</f>
        <v>Freedom of Expression</v>
      </c>
      <c r="H936" s="1" t="str">
        <f ca="1">IFERROR(__xludf.DUMMYFUNCTION("""COMPUTED_VALUE"""),"2024")</f>
        <v>2024</v>
      </c>
      <c r="I936" s="1" t="str">
        <f ca="1">IFERROR(__xludf.DUMMYFUNCTION("""COMPUTED_VALUE"""),"Letter")</f>
        <v>Letter</v>
      </c>
    </row>
    <row r="937" spans="1:9" ht="13" x14ac:dyDescent="0.15">
      <c r="A937" s="9">
        <f ca="1">IFERROR(__xludf.DUMMYFUNCTION("""COMPUTED_VALUE"""),32352329)</f>
        <v>32352329</v>
      </c>
      <c r="B937" s="1" t="str">
        <f ca="1">IFERROR(__xludf.DUMMYFUNCTION("""COMPUTED_VALUE"""),"pwtate12@yahoo.com")</f>
        <v>pwtate12@yahoo.com</v>
      </c>
      <c r="C937" s="9" t="str">
        <f ca="1">IFERROR(__xludf.DUMMYFUNCTION("""COMPUTED_VALUE"""),"EVERGREEN - UAN Gated Content - Embedded Petition")</f>
        <v>EVERGREEN - UAN Gated Content - Embedded Petition</v>
      </c>
      <c r="D937" s="10">
        <f ca="1">IFERROR(__xludf.DUMMYFUNCTION("""COMPUTED_VALUE"""),45677)</f>
        <v>45677</v>
      </c>
      <c r="E937" s="1" t="str">
        <f ca="1">IFERROR(__xludf.DUMMYFUNCTION("""COMPUTED_VALUE"""),"China")</f>
        <v>China</v>
      </c>
      <c r="F937" s="1" t="str">
        <f ca="1">IFERROR(__xludf.DUMMYFUNCTION("""COMPUTED_VALUE"""),"98.24 China")</f>
        <v>98.24 China</v>
      </c>
      <c r="G937" s="1" t="str">
        <f ca="1">IFERROR(__xludf.DUMMYFUNCTION("""COMPUTED_VALUE"""),"Freedom of Expression, Individuals At Risk")</f>
        <v>Freedom of Expression, Individuals At Risk</v>
      </c>
      <c r="H937" s="1" t="str">
        <f ca="1">IFERROR(__xludf.DUMMYFUNCTION("""COMPUTED_VALUE"""),"2024")</f>
        <v>2024</v>
      </c>
      <c r="I937" s="1" t="str">
        <f ca="1">IFERROR(__xludf.DUMMYFUNCTION("""COMPUTED_VALUE"""),"Letter")</f>
        <v>Letter</v>
      </c>
    </row>
    <row r="938" spans="1:9" ht="13" x14ac:dyDescent="0.15">
      <c r="A938" s="9">
        <f ca="1">IFERROR(__xludf.DUMMYFUNCTION("""COMPUTED_VALUE"""),32360532)</f>
        <v>32360532</v>
      </c>
      <c r="B938" s="1" t="str">
        <f ca="1">IFERROR(__xludf.DUMMYFUNCTION("""COMPUTED_VALUE"""),"palmer.r.violin@gmail.com")</f>
        <v>palmer.r.violin@gmail.com</v>
      </c>
      <c r="C938" s="9" t="str">
        <f ca="1">IFERROR(__xludf.DUMMYFUNCTION("""COMPUTED_VALUE"""),"EVERGREEN - UAN Gated Content - Embedded Petition")</f>
        <v>EVERGREEN - UAN Gated Content - Embedded Petition</v>
      </c>
      <c r="D938" s="10">
        <f ca="1">IFERROR(__xludf.DUMMYFUNCTION("""COMPUTED_VALUE"""),45694)</f>
        <v>45694</v>
      </c>
      <c r="E938" s="1" t="str">
        <f ca="1">IFERROR(__xludf.DUMMYFUNCTION("""COMPUTED_VALUE"""),"Iran")</f>
        <v>Iran</v>
      </c>
      <c r="F938" s="1" t="str">
        <f ca="1">IFERROR(__xludf.DUMMYFUNCTION("""COMPUTED_VALUE"""),"101.24 Iran")</f>
        <v>101.24 Iran</v>
      </c>
      <c r="G938" s="1" t="str">
        <f ca="1">IFERROR(__xludf.DUMMYFUNCTION("""COMPUTED_VALUE"""),"Death Penalty, Freedom of Expression, Individuals At Risk, Right to Protest")</f>
        <v>Death Penalty, Freedom of Expression, Individuals At Risk, Right to Protest</v>
      </c>
      <c r="H938" s="1" t="str">
        <f ca="1">IFERROR(__xludf.DUMMYFUNCTION("""COMPUTED_VALUE"""),"2024")</f>
        <v>2024</v>
      </c>
      <c r="I938" s="1" t="str">
        <f ca="1">IFERROR(__xludf.DUMMYFUNCTION("""COMPUTED_VALUE"""),"Email")</f>
        <v>Email</v>
      </c>
    </row>
    <row r="939" spans="1:9" ht="13" x14ac:dyDescent="0.15">
      <c r="A939" s="9">
        <f ca="1">IFERROR(__xludf.DUMMYFUNCTION("""COMPUTED_VALUE"""),32363056)</f>
        <v>32363056</v>
      </c>
      <c r="B939" s="1" t="str">
        <f ca="1">IFERROR(__xludf.DUMMYFUNCTION("""COMPUTED_VALUE"""),"m.mk@juno.com")</f>
        <v>m.mk@juno.com</v>
      </c>
      <c r="C939" s="9" t="str">
        <f ca="1">IFERROR(__xludf.DUMMYFUNCTION("""COMPUTED_VALUE"""),"EVERGREEN - UAN Gated Content - Embedded Petition")</f>
        <v>EVERGREEN - UAN Gated Content - Embedded Petition</v>
      </c>
      <c r="D939" s="10">
        <f ca="1">IFERROR(__xludf.DUMMYFUNCTION("""COMPUTED_VALUE"""),45636)</f>
        <v>45636</v>
      </c>
      <c r="E939" s="1" t="str">
        <f ca="1">IFERROR(__xludf.DUMMYFUNCTION("""COMPUTED_VALUE"""),"Venezuela")</f>
        <v>Venezuela</v>
      </c>
      <c r="F939" s="1" t="str">
        <f ca="1">IFERROR(__xludf.DUMMYFUNCTION("""COMPUTED_VALUE"""),"97.24 Venezuela")</f>
        <v>97.24 Venezuela</v>
      </c>
      <c r="G939" s="1" t="str">
        <f ca="1">IFERROR(__xludf.DUMMYFUNCTION("""COMPUTED_VALUE"""),"Freedom of Expression")</f>
        <v>Freedom of Expression</v>
      </c>
      <c r="H939" s="1" t="str">
        <f ca="1">IFERROR(__xludf.DUMMYFUNCTION("""COMPUTED_VALUE"""),"2024")</f>
        <v>2024</v>
      </c>
      <c r="I939" s="1" t="str">
        <f ca="1">IFERROR(__xludf.DUMMYFUNCTION("""COMPUTED_VALUE"""),"Letter")</f>
        <v>Letter</v>
      </c>
    </row>
    <row r="940" spans="1:9" ht="13" x14ac:dyDescent="0.15">
      <c r="A940" s="9">
        <f ca="1">IFERROR(__xludf.DUMMYFUNCTION("""COMPUTED_VALUE"""),32363056)</f>
        <v>32363056</v>
      </c>
      <c r="B940" s="1" t="str">
        <f ca="1">IFERROR(__xludf.DUMMYFUNCTION("""COMPUTED_VALUE"""),"m.mk@juno.com")</f>
        <v>m.mk@juno.com</v>
      </c>
      <c r="C940" s="9" t="str">
        <f ca="1">IFERROR(__xludf.DUMMYFUNCTION("""COMPUTED_VALUE"""),"EVERGREEN - UAN Gated Content - Embedded Petition")</f>
        <v>EVERGREEN - UAN Gated Content - Embedded Petition</v>
      </c>
      <c r="D940" s="10">
        <f ca="1">IFERROR(__xludf.DUMMYFUNCTION("""COMPUTED_VALUE"""),45636)</f>
        <v>45636</v>
      </c>
      <c r="E940" s="1" t="str">
        <f ca="1">IFERROR(__xludf.DUMMYFUNCTION("""COMPUTED_VALUE"""),"USA")</f>
        <v>USA</v>
      </c>
      <c r="F940" s="1" t="str">
        <f ca="1">IFERROR(__xludf.DUMMYFUNCTION("""COMPUTED_VALUE"""),"105.24 USA")</f>
        <v>105.24 USA</v>
      </c>
      <c r="G940" s="1" t="str">
        <f ca="1">IFERROR(__xludf.DUMMYFUNCTION("""COMPUTED_VALUE"""),"Death Penalty")</f>
        <v>Death Penalty</v>
      </c>
      <c r="H940" s="1" t="str">
        <f ca="1">IFERROR(__xludf.DUMMYFUNCTION("""COMPUTED_VALUE"""),"2024")</f>
        <v>2024</v>
      </c>
      <c r="I940" s="1" t="str">
        <f ca="1">IFERROR(__xludf.DUMMYFUNCTION("""COMPUTED_VALUE"""),"Email")</f>
        <v>Email</v>
      </c>
    </row>
    <row r="941" spans="1:9" ht="13" x14ac:dyDescent="0.15">
      <c r="A941" s="9">
        <f ca="1">IFERROR(__xludf.DUMMYFUNCTION("""COMPUTED_VALUE"""),32363056)</f>
        <v>32363056</v>
      </c>
      <c r="B941" s="1" t="str">
        <f ca="1">IFERROR(__xludf.DUMMYFUNCTION("""COMPUTED_VALUE"""),"m.mk@juno.com")</f>
        <v>m.mk@juno.com</v>
      </c>
      <c r="C941" s="9" t="str">
        <f ca="1">IFERROR(__xludf.DUMMYFUNCTION("""COMPUTED_VALUE"""),"EVERGREEN - UAN Gated Content - Embedded Petition")</f>
        <v>EVERGREEN - UAN Gated Content - Embedded Petition</v>
      </c>
      <c r="D941" s="10">
        <f ca="1">IFERROR(__xludf.DUMMYFUNCTION("""COMPUTED_VALUE"""),45636)</f>
        <v>45636</v>
      </c>
      <c r="E941" s="1" t="str">
        <f ca="1">IFERROR(__xludf.DUMMYFUNCTION("""COMPUTED_VALUE"""),"USA")</f>
        <v>USA</v>
      </c>
      <c r="F941" s="1" t="str">
        <f ca="1">IFERROR(__xludf.DUMMYFUNCTION("""COMPUTED_VALUE"""),"105.24 USA")</f>
        <v>105.24 USA</v>
      </c>
      <c r="G941" s="1" t="str">
        <f ca="1">IFERROR(__xludf.DUMMYFUNCTION("""COMPUTED_VALUE"""),"Death Penalty")</f>
        <v>Death Penalty</v>
      </c>
      <c r="H941" s="1" t="str">
        <f ca="1">IFERROR(__xludf.DUMMYFUNCTION("""COMPUTED_VALUE"""),"2024")</f>
        <v>2024</v>
      </c>
      <c r="I941" s="1" t="str">
        <f ca="1">IFERROR(__xludf.DUMMYFUNCTION("""COMPUTED_VALUE"""),"Email")</f>
        <v>Email</v>
      </c>
    </row>
    <row r="942" spans="1:9" ht="13" x14ac:dyDescent="0.15">
      <c r="A942" s="9">
        <f ca="1">IFERROR(__xludf.DUMMYFUNCTION("""COMPUTED_VALUE"""),32363056)</f>
        <v>32363056</v>
      </c>
      <c r="B942" s="1" t="str">
        <f ca="1">IFERROR(__xludf.DUMMYFUNCTION("""COMPUTED_VALUE"""),"m.mk@juno.com")</f>
        <v>m.mk@juno.com</v>
      </c>
      <c r="C942" s="9" t="str">
        <f ca="1">IFERROR(__xludf.DUMMYFUNCTION("""COMPUTED_VALUE"""),"EVERGREEN - UAN Gated Content - Embedded Petition")</f>
        <v>EVERGREEN - UAN Gated Content - Embedded Petition</v>
      </c>
      <c r="D942" s="10">
        <f ca="1">IFERROR(__xludf.DUMMYFUNCTION("""COMPUTED_VALUE"""),45636)</f>
        <v>45636</v>
      </c>
      <c r="E942" s="1" t="str">
        <f ca="1">IFERROR(__xludf.DUMMYFUNCTION("""COMPUTED_VALUE"""),"Dominican Republic")</f>
        <v>Dominican Republic</v>
      </c>
      <c r="F942" s="1" t="str">
        <f ca="1">IFERROR(__xludf.DUMMYFUNCTION("""COMPUTED_VALUE"""),"88.24 Dominican Republic")</f>
        <v>88.24 Dominican Republic</v>
      </c>
      <c r="G942" s="1" t="str">
        <f ca="1">IFERROR(__xludf.DUMMYFUNCTION("""COMPUTED_VALUE"""),"Individuals At Risk, Refugee and Migrant Rights")</f>
        <v>Individuals At Risk, Refugee and Migrant Rights</v>
      </c>
      <c r="H942" s="1" t="str">
        <f ca="1">IFERROR(__xludf.DUMMYFUNCTION("""COMPUTED_VALUE"""),"2024")</f>
        <v>2024</v>
      </c>
      <c r="I942" s="1" t="str">
        <f ca="1">IFERROR(__xludf.DUMMYFUNCTION("""COMPUTED_VALUE"""),"Letter")</f>
        <v>Letter</v>
      </c>
    </row>
    <row r="943" spans="1:9" ht="13" x14ac:dyDescent="0.15">
      <c r="A943" s="9">
        <f ca="1">IFERROR(__xludf.DUMMYFUNCTION("""COMPUTED_VALUE"""),32363056)</f>
        <v>32363056</v>
      </c>
      <c r="B943" s="1" t="str">
        <f ca="1">IFERROR(__xludf.DUMMYFUNCTION("""COMPUTED_VALUE"""),"m.mk@juno.com")</f>
        <v>m.mk@juno.com</v>
      </c>
      <c r="C943" s="9" t="str">
        <f ca="1">IFERROR(__xludf.DUMMYFUNCTION("""COMPUTED_VALUE"""),"EVERGREEN - UAN Gated Content - Embedded Petition")</f>
        <v>EVERGREEN - UAN Gated Content - Embedded Petition</v>
      </c>
      <c r="D943" s="10">
        <f ca="1">IFERROR(__xludf.DUMMYFUNCTION("""COMPUTED_VALUE"""),45636)</f>
        <v>45636</v>
      </c>
      <c r="E943" s="1" t="str">
        <f ca="1">IFERROR(__xludf.DUMMYFUNCTION("""COMPUTED_VALUE"""),"Egypt")</f>
        <v>Egypt</v>
      </c>
      <c r="F943" s="1" t="str">
        <f ca="1">IFERROR(__xludf.DUMMYFUNCTION("""COMPUTED_VALUE"""),"Ninth 190.18 Egypt")</f>
        <v>Ninth 190.18 Egypt</v>
      </c>
      <c r="G943" s="1" t="str">
        <f ca="1">IFERROR(__xludf.DUMMYFUNCTION("""COMPUTED_VALUE"""),"Freedom of Expression, Individuals At Risk")</f>
        <v>Freedom of Expression, Individuals At Risk</v>
      </c>
      <c r="H943" s="1" t="str">
        <f ca="1">IFERROR(__xludf.DUMMYFUNCTION("""COMPUTED_VALUE"""),"2024")</f>
        <v>2024</v>
      </c>
      <c r="I943" s="1" t="str">
        <f ca="1">IFERROR(__xludf.DUMMYFUNCTION("""COMPUTED_VALUE"""),"Letter")</f>
        <v>Letter</v>
      </c>
    </row>
    <row r="944" spans="1:9" ht="13" x14ac:dyDescent="0.15">
      <c r="A944" s="9">
        <f ca="1">IFERROR(__xludf.DUMMYFUNCTION("""COMPUTED_VALUE"""),32363056)</f>
        <v>32363056</v>
      </c>
      <c r="B944" s="1" t="str">
        <f ca="1">IFERROR(__xludf.DUMMYFUNCTION("""COMPUTED_VALUE"""),"m.mk@juno.com")</f>
        <v>m.mk@juno.com</v>
      </c>
      <c r="C944" s="9" t="str">
        <f ca="1">IFERROR(__xludf.DUMMYFUNCTION("""COMPUTED_VALUE"""),"EVERGREEN - UAN Gated Content - Embedded Petition")</f>
        <v>EVERGREEN - UAN Gated Content - Embedded Petition</v>
      </c>
      <c r="D944" s="10">
        <f ca="1">IFERROR(__xludf.DUMMYFUNCTION("""COMPUTED_VALUE"""),45636)</f>
        <v>45636</v>
      </c>
      <c r="E944" s="1" t="str">
        <f ca="1">IFERROR(__xludf.DUMMYFUNCTION("""COMPUTED_VALUE"""),"Azerbaijan")</f>
        <v>Azerbaijan</v>
      </c>
      <c r="F944" s="1" t="str">
        <f ca="1">IFERROR(__xludf.DUMMYFUNCTION("""COMPUTED_VALUE"""),"2.25 Azerbaijan")</f>
        <v>2.25 Azerbaijan</v>
      </c>
      <c r="G944" s="1" t="str">
        <f ca="1">IFERROR(__xludf.DUMMYFUNCTION("""COMPUTED_VALUE"""),"Freedom of Expression, Human Rights Defenders")</f>
        <v>Freedom of Expression, Human Rights Defenders</v>
      </c>
      <c r="H944" s="1" t="str">
        <f ca="1">IFERROR(__xludf.DUMMYFUNCTION("""COMPUTED_VALUE"""),"2025")</f>
        <v>2025</v>
      </c>
      <c r="I944" s="1" t="str">
        <f ca="1">IFERROR(__xludf.DUMMYFUNCTION("""COMPUTED_VALUE"""),"Email")</f>
        <v>Email</v>
      </c>
    </row>
    <row r="945" spans="1:9" ht="13" x14ac:dyDescent="0.15">
      <c r="A945" s="9">
        <f ca="1">IFERROR(__xludf.DUMMYFUNCTION("""COMPUTED_VALUE"""),32363056)</f>
        <v>32363056</v>
      </c>
      <c r="B945" s="1" t="str">
        <f ca="1">IFERROR(__xludf.DUMMYFUNCTION("""COMPUTED_VALUE"""),"m.mk@juno.com")</f>
        <v>m.mk@juno.com</v>
      </c>
      <c r="C945" s="9" t="str">
        <f ca="1">IFERROR(__xludf.DUMMYFUNCTION("""COMPUTED_VALUE"""),"EVERGREEN - UAN Gated Content - Embedded Petition")</f>
        <v>EVERGREEN - UAN Gated Content - Embedded Petition</v>
      </c>
      <c r="D945" s="10">
        <f ca="1">IFERROR(__xludf.DUMMYFUNCTION("""COMPUTED_VALUE"""),45636)</f>
        <v>45636</v>
      </c>
      <c r="E945" s="1" t="str">
        <f ca="1">IFERROR(__xludf.DUMMYFUNCTION("""COMPUTED_VALUE"""),"Iran")</f>
        <v>Iran</v>
      </c>
      <c r="F945" s="1" t="str">
        <f ca="1">IFERROR(__xludf.DUMMYFUNCTION("""COMPUTED_VALUE"""),"Seventh 103.22 Iran")</f>
        <v>Seventh 103.22 Iran</v>
      </c>
      <c r="G945" s="1" t="str">
        <f ca="1">IFERROR(__xludf.DUMMYFUNCTION("""COMPUTED_VALUE"""),"Death Penalty, Freedom of Expression, Individuals At Risk")</f>
        <v>Death Penalty, Freedom of Expression, Individuals At Risk</v>
      </c>
      <c r="H945" s="1" t="str">
        <f ca="1">IFERROR(__xludf.DUMMYFUNCTION("""COMPUTED_VALUE"""),"2024")</f>
        <v>2024</v>
      </c>
      <c r="I945" s="1" t="str">
        <f ca="1">IFERROR(__xludf.DUMMYFUNCTION("""COMPUTED_VALUE"""),"Email")</f>
        <v>Email</v>
      </c>
    </row>
    <row r="946" spans="1:9" ht="13" x14ac:dyDescent="0.15">
      <c r="A946" s="9">
        <f ca="1">IFERROR(__xludf.DUMMYFUNCTION("""COMPUTED_VALUE"""),32363056)</f>
        <v>32363056</v>
      </c>
      <c r="B946" s="1" t="str">
        <f ca="1">IFERROR(__xludf.DUMMYFUNCTION("""COMPUTED_VALUE"""),"m.mk@juno.com")</f>
        <v>m.mk@juno.com</v>
      </c>
      <c r="C946" s="9" t="str">
        <f ca="1">IFERROR(__xludf.DUMMYFUNCTION("""COMPUTED_VALUE"""),"EVERGREEN - UAN Gated Content - Embedded Petition")</f>
        <v>EVERGREEN - UAN Gated Content - Embedded Petition</v>
      </c>
      <c r="D946" s="10">
        <f ca="1">IFERROR(__xludf.DUMMYFUNCTION("""COMPUTED_VALUE"""),45636)</f>
        <v>45636</v>
      </c>
      <c r="E946" s="1" t="str">
        <f ca="1">IFERROR(__xludf.DUMMYFUNCTION("""COMPUTED_VALUE"""),"USA")</f>
        <v>USA</v>
      </c>
      <c r="F946" s="1" t="str">
        <f ca="1">IFERROR(__xludf.DUMMYFUNCTION("""COMPUTED_VALUE"""),"96.24 USA")</f>
        <v>96.24 USA</v>
      </c>
      <c r="G946" s="1" t="str">
        <f ca="1">IFERROR(__xludf.DUMMYFUNCTION("""COMPUTED_VALUE"""),"Death Penalty")</f>
        <v>Death Penalty</v>
      </c>
      <c r="H946" s="1" t="str">
        <f ca="1">IFERROR(__xludf.DUMMYFUNCTION("""COMPUTED_VALUE"""),"2024")</f>
        <v>2024</v>
      </c>
      <c r="I946" s="1" t="str">
        <f ca="1">IFERROR(__xludf.DUMMYFUNCTION("""COMPUTED_VALUE"""),"Email")</f>
        <v>Email</v>
      </c>
    </row>
    <row r="947" spans="1:9" ht="13" x14ac:dyDescent="0.15">
      <c r="A947" s="9">
        <f ca="1">IFERROR(__xludf.DUMMYFUNCTION("""COMPUTED_VALUE"""),32363056)</f>
        <v>32363056</v>
      </c>
      <c r="B947" s="1" t="str">
        <f ca="1">IFERROR(__xludf.DUMMYFUNCTION("""COMPUTED_VALUE"""),"m.mk@juno.com")</f>
        <v>m.mk@juno.com</v>
      </c>
      <c r="C947" s="9" t="str">
        <f ca="1">IFERROR(__xludf.DUMMYFUNCTION("""COMPUTED_VALUE"""),"EVERGREEN - UAN Gated Content - Embedded Petition")</f>
        <v>EVERGREEN - UAN Gated Content - Embedded Petition</v>
      </c>
      <c r="D947" s="10">
        <f ca="1">IFERROR(__xludf.DUMMYFUNCTION("""COMPUTED_VALUE"""),45636)</f>
        <v>45636</v>
      </c>
      <c r="E947" s="1" t="str">
        <f ca="1">IFERROR(__xludf.DUMMYFUNCTION("""COMPUTED_VALUE"""),"Tunisia")</f>
        <v>Tunisia</v>
      </c>
      <c r="F947" s="1" t="str">
        <f ca="1">IFERROR(__xludf.DUMMYFUNCTION("""COMPUTED_VALUE"""),"Second 76.24 Tunisia")</f>
        <v>Second 76.24 Tunisia</v>
      </c>
      <c r="G947" s="1" t="str">
        <f ca="1">IFERROR(__xludf.DUMMYFUNCTION("""COMPUTED_VALUE"""),"Freedom of Expression, Human Rights Defenders")</f>
        <v>Freedom of Expression, Human Rights Defenders</v>
      </c>
      <c r="H947" s="1" t="str">
        <f ca="1">IFERROR(__xludf.DUMMYFUNCTION("""COMPUTED_VALUE"""),"2025")</f>
        <v>2025</v>
      </c>
      <c r="I947" s="1" t="str">
        <f ca="1">IFERROR(__xludf.DUMMYFUNCTION("""COMPUTED_VALUE"""),"Email")</f>
        <v>Email</v>
      </c>
    </row>
    <row r="948" spans="1:9" ht="13" x14ac:dyDescent="0.15">
      <c r="A948" s="9">
        <f ca="1">IFERROR(__xludf.DUMMYFUNCTION("""COMPUTED_VALUE"""),32371942)</f>
        <v>32371942</v>
      </c>
      <c r="B948" s="1" t="str">
        <f ca="1">IFERROR(__xludf.DUMMYFUNCTION("""COMPUTED_VALUE"""),"mary@lindleyg.com")</f>
        <v>mary@lindleyg.com</v>
      </c>
      <c r="C948" s="9" t="str">
        <f ca="1">IFERROR(__xludf.DUMMYFUNCTION("""COMPUTED_VALUE"""),"EVERGREEN - UAN Gated Content - Embedded Petition")</f>
        <v>EVERGREEN - UAN Gated Content - Embedded Petition</v>
      </c>
      <c r="D948" s="10">
        <f ca="1">IFERROR(__xludf.DUMMYFUNCTION("""COMPUTED_VALUE"""),45616)</f>
        <v>45616</v>
      </c>
      <c r="E948" s="1" t="str">
        <f ca="1">IFERROR(__xludf.DUMMYFUNCTION("""COMPUTED_VALUE"""),"USA")</f>
        <v>USA</v>
      </c>
      <c r="F948" s="1" t="str">
        <f ca="1">IFERROR(__xludf.DUMMYFUNCTION("""COMPUTED_VALUE"""),"4.25 USA")</f>
        <v>4.25 USA</v>
      </c>
      <c r="G948" s="1" t="str">
        <f ca="1">IFERROR(__xludf.DUMMYFUNCTION("""COMPUTED_VALUE"""),"Individuals At Risk, Refugee and Migrant Rights")</f>
        <v>Individuals At Risk, Refugee and Migrant Rights</v>
      </c>
      <c r="H948" s="1" t="str">
        <f ca="1">IFERROR(__xludf.DUMMYFUNCTION("""COMPUTED_VALUE"""),"2025")</f>
        <v>2025</v>
      </c>
      <c r="I948" s="1" t="str">
        <f ca="1">IFERROR(__xludf.DUMMYFUNCTION("""COMPUTED_VALUE"""),"Letter")</f>
        <v>Letter</v>
      </c>
    </row>
    <row r="949" spans="1:9" ht="13" x14ac:dyDescent="0.15">
      <c r="A949" s="9">
        <f ca="1">IFERROR(__xludf.DUMMYFUNCTION("""COMPUTED_VALUE"""),32371942)</f>
        <v>32371942</v>
      </c>
      <c r="B949" s="1" t="str">
        <f ca="1">IFERROR(__xludf.DUMMYFUNCTION("""COMPUTED_VALUE"""),"mary@lindleyg.com")</f>
        <v>mary@lindleyg.com</v>
      </c>
      <c r="C949" s="9" t="str">
        <f ca="1">IFERROR(__xludf.DUMMYFUNCTION("""COMPUTED_VALUE"""),"EVERGREEN - UAN Gated Content - Embedded Petition")</f>
        <v>EVERGREEN - UAN Gated Content - Embedded Petition</v>
      </c>
      <c r="D949" s="10">
        <f ca="1">IFERROR(__xludf.DUMMYFUNCTION("""COMPUTED_VALUE"""),45694)</f>
        <v>45694</v>
      </c>
      <c r="E949" s="1" t="str">
        <f ca="1">IFERROR(__xludf.DUMMYFUNCTION("""COMPUTED_VALUE"""),"Tunisia")</f>
        <v>Tunisia</v>
      </c>
      <c r="F949" s="1" t="str">
        <f ca="1">IFERROR(__xludf.DUMMYFUNCTION("""COMPUTED_VALUE"""),"Second 76.24 Tunisia")</f>
        <v>Second 76.24 Tunisia</v>
      </c>
      <c r="G949" s="1" t="str">
        <f ca="1">IFERROR(__xludf.DUMMYFUNCTION("""COMPUTED_VALUE"""),"Freedom of Expression, Human Rights Defenders")</f>
        <v>Freedom of Expression, Human Rights Defenders</v>
      </c>
      <c r="H949" s="1" t="str">
        <f ca="1">IFERROR(__xludf.DUMMYFUNCTION("""COMPUTED_VALUE"""),"2025")</f>
        <v>2025</v>
      </c>
      <c r="I949" s="1" t="str">
        <f ca="1">IFERROR(__xludf.DUMMYFUNCTION("""COMPUTED_VALUE"""),"Email")</f>
        <v>Email</v>
      </c>
    </row>
    <row r="950" spans="1:9" ht="13" x14ac:dyDescent="0.15">
      <c r="A950" s="9">
        <f ca="1">IFERROR(__xludf.DUMMYFUNCTION("""COMPUTED_VALUE"""),32371942)</f>
        <v>32371942</v>
      </c>
      <c r="B950" s="1" t="str">
        <f ca="1">IFERROR(__xludf.DUMMYFUNCTION("""COMPUTED_VALUE"""),"mary@lindleyg.com")</f>
        <v>mary@lindleyg.com</v>
      </c>
      <c r="C950" s="9" t="str">
        <f ca="1">IFERROR(__xludf.DUMMYFUNCTION("""COMPUTED_VALUE"""),"EVERGREEN - UAN Gated Content - Embedded Petition")</f>
        <v>EVERGREEN - UAN Gated Content - Embedded Petition</v>
      </c>
      <c r="D950" s="10">
        <f ca="1">IFERROR(__xludf.DUMMYFUNCTION("""COMPUTED_VALUE"""),45700)</f>
        <v>45700</v>
      </c>
      <c r="E950" s="1" t="str">
        <f ca="1">IFERROR(__xludf.DUMMYFUNCTION("""COMPUTED_VALUE"""),"Iran")</f>
        <v>Iran</v>
      </c>
      <c r="F950" s="1" t="str">
        <f ca="1">IFERROR(__xludf.DUMMYFUNCTION("""COMPUTED_VALUE"""),"Seventh 103.22 Iran")</f>
        <v>Seventh 103.22 Iran</v>
      </c>
      <c r="G950" s="1" t="str">
        <f ca="1">IFERROR(__xludf.DUMMYFUNCTION("""COMPUTED_VALUE"""),"Death Penalty, Freedom of Expression, Individuals At Risk")</f>
        <v>Death Penalty, Freedom of Expression, Individuals At Risk</v>
      </c>
      <c r="H950" s="1" t="str">
        <f ca="1">IFERROR(__xludf.DUMMYFUNCTION("""COMPUTED_VALUE"""),"2024")</f>
        <v>2024</v>
      </c>
      <c r="I950" s="1" t="str">
        <f ca="1">IFERROR(__xludf.DUMMYFUNCTION("""COMPUTED_VALUE"""),"Email")</f>
        <v>Email</v>
      </c>
    </row>
    <row r="951" spans="1:9" ht="13" x14ac:dyDescent="0.15">
      <c r="A951" s="9">
        <f ca="1">IFERROR(__xludf.DUMMYFUNCTION("""COMPUTED_VALUE"""),32371942)</f>
        <v>32371942</v>
      </c>
      <c r="B951" s="1" t="str">
        <f ca="1">IFERROR(__xludf.DUMMYFUNCTION("""COMPUTED_VALUE"""),"mary@lindleyg.com")</f>
        <v>mary@lindleyg.com</v>
      </c>
      <c r="C951" s="9" t="str">
        <f ca="1">IFERROR(__xludf.DUMMYFUNCTION("""COMPUTED_VALUE"""),"EVERGREEN - UAN Gated Content - Embedded Petition")</f>
        <v>EVERGREEN - UAN Gated Content - Embedded Petition</v>
      </c>
      <c r="D951" s="10">
        <f ca="1">IFERROR(__xludf.DUMMYFUNCTION("""COMPUTED_VALUE"""),45616)</f>
        <v>45616</v>
      </c>
      <c r="E951" s="1" t="str">
        <f ca="1">IFERROR(__xludf.DUMMYFUNCTION("""COMPUTED_VALUE"""),"Dominican Republic")</f>
        <v>Dominican Republic</v>
      </c>
      <c r="F951" s="1" t="str">
        <f ca="1">IFERROR(__xludf.DUMMYFUNCTION("""COMPUTED_VALUE"""),"88.24 Dominican Republic")</f>
        <v>88.24 Dominican Republic</v>
      </c>
      <c r="G951" s="1" t="str">
        <f ca="1">IFERROR(__xludf.DUMMYFUNCTION("""COMPUTED_VALUE"""),"Individuals At Risk, Refugee and Migrant Rights")</f>
        <v>Individuals At Risk, Refugee and Migrant Rights</v>
      </c>
      <c r="H951" s="1" t="str">
        <f ca="1">IFERROR(__xludf.DUMMYFUNCTION("""COMPUTED_VALUE"""),"2024")</f>
        <v>2024</v>
      </c>
      <c r="I951" s="1" t="str">
        <f ca="1">IFERROR(__xludf.DUMMYFUNCTION("""COMPUTED_VALUE"""),"Letter")</f>
        <v>Letter</v>
      </c>
    </row>
    <row r="952" spans="1:9" ht="13" x14ac:dyDescent="0.15">
      <c r="A952" s="9">
        <f ca="1">IFERROR(__xludf.DUMMYFUNCTION("""COMPUTED_VALUE"""),32371942)</f>
        <v>32371942</v>
      </c>
      <c r="B952" s="1" t="str">
        <f ca="1">IFERROR(__xludf.DUMMYFUNCTION("""COMPUTED_VALUE"""),"mary@lindleyg.com")</f>
        <v>mary@lindleyg.com</v>
      </c>
      <c r="C952" s="9" t="str">
        <f ca="1">IFERROR(__xludf.DUMMYFUNCTION("""COMPUTED_VALUE"""),"EVERGREEN - UAN Gated Content - Embedded Petition")</f>
        <v>EVERGREEN - UAN Gated Content - Embedded Petition</v>
      </c>
      <c r="D952" s="10">
        <f ca="1">IFERROR(__xludf.DUMMYFUNCTION("""COMPUTED_VALUE"""),45636)</f>
        <v>45636</v>
      </c>
      <c r="E952" s="1" t="str">
        <f ca="1">IFERROR(__xludf.DUMMYFUNCTION("""COMPUTED_VALUE"""),"USA")</f>
        <v>USA</v>
      </c>
      <c r="F952" s="1" t="str">
        <f ca="1">IFERROR(__xludf.DUMMYFUNCTION("""COMPUTED_VALUE"""),"96.24 USA")</f>
        <v>96.24 USA</v>
      </c>
      <c r="G952" s="1" t="str">
        <f ca="1">IFERROR(__xludf.DUMMYFUNCTION("""COMPUTED_VALUE"""),"Death Penalty")</f>
        <v>Death Penalty</v>
      </c>
      <c r="H952" s="1" t="str">
        <f ca="1">IFERROR(__xludf.DUMMYFUNCTION("""COMPUTED_VALUE"""),"2024")</f>
        <v>2024</v>
      </c>
      <c r="I952" s="1" t="str">
        <f ca="1">IFERROR(__xludf.DUMMYFUNCTION("""COMPUTED_VALUE"""),"Email")</f>
        <v>Email</v>
      </c>
    </row>
    <row r="953" spans="1:9" ht="13" x14ac:dyDescent="0.15">
      <c r="A953" s="9">
        <f ca="1">IFERROR(__xludf.DUMMYFUNCTION("""COMPUTED_VALUE"""),32371942)</f>
        <v>32371942</v>
      </c>
      <c r="B953" s="1" t="str">
        <f ca="1">IFERROR(__xludf.DUMMYFUNCTION("""COMPUTED_VALUE"""),"mary@lindleyg.com")</f>
        <v>mary@lindleyg.com</v>
      </c>
      <c r="C953" s="9" t="str">
        <f ca="1">IFERROR(__xludf.DUMMYFUNCTION("""COMPUTED_VALUE"""),"EVERGREEN - UAN Gated Content - Embedded Petition")</f>
        <v>EVERGREEN - UAN Gated Content - Embedded Petition</v>
      </c>
      <c r="D953" s="10">
        <f ca="1">IFERROR(__xludf.DUMMYFUNCTION("""COMPUTED_VALUE"""),45636)</f>
        <v>45636</v>
      </c>
      <c r="E953" s="1" t="str">
        <f ca="1">IFERROR(__xludf.DUMMYFUNCTION("""COMPUTED_VALUE"""),"Niger")</f>
        <v>Niger</v>
      </c>
      <c r="F953" s="1" t="str">
        <f ca="1">IFERROR(__xludf.DUMMYFUNCTION("""COMPUTED_VALUE"""),"103.24 Niger")</f>
        <v>103.24 Niger</v>
      </c>
      <c r="G953" s="1" t="str">
        <f ca="1">IFERROR(__xludf.DUMMYFUNCTION("""COMPUTED_VALUE"""),"Freedom of Expression, Human Rights Defenders")</f>
        <v>Freedom of Expression, Human Rights Defenders</v>
      </c>
      <c r="H953" s="1" t="str">
        <f ca="1">IFERROR(__xludf.DUMMYFUNCTION("""COMPUTED_VALUE"""),"2024")</f>
        <v>2024</v>
      </c>
      <c r="I953" s="1" t="str">
        <f ca="1">IFERROR(__xludf.DUMMYFUNCTION("""COMPUTED_VALUE"""),"Email")</f>
        <v>Email</v>
      </c>
    </row>
    <row r="954" spans="1:9" ht="13" x14ac:dyDescent="0.15">
      <c r="A954" s="9">
        <f ca="1">IFERROR(__xludf.DUMMYFUNCTION("""COMPUTED_VALUE"""),32392057)</f>
        <v>32392057</v>
      </c>
      <c r="B954" s="1" t="str">
        <f ca="1">IFERROR(__xludf.DUMMYFUNCTION("""COMPUTED_VALUE"""),"chrisriff@aol.com")</f>
        <v>chrisriff@aol.com</v>
      </c>
      <c r="C954" s="9" t="str">
        <f ca="1">IFERROR(__xludf.DUMMYFUNCTION("""COMPUTED_VALUE"""),"EVERGREEN - UAN Gated Content - Embedded Petition")</f>
        <v>EVERGREEN - UAN Gated Content - Embedded Petition</v>
      </c>
      <c r="D954" s="10">
        <f ca="1">IFERROR(__xludf.DUMMYFUNCTION("""COMPUTED_VALUE"""),45676)</f>
        <v>45676</v>
      </c>
      <c r="E954" s="1" t="str">
        <f ca="1">IFERROR(__xludf.DUMMYFUNCTION("""COMPUTED_VALUE"""),"Iran")</f>
        <v>Iran</v>
      </c>
      <c r="F954" s="1" t="str">
        <f ca="1">IFERROR(__xludf.DUMMYFUNCTION("""COMPUTED_VALUE"""),"Seventh 103.22 Iran")</f>
        <v>Seventh 103.22 Iran</v>
      </c>
      <c r="G954" s="1" t="str">
        <f ca="1">IFERROR(__xludf.DUMMYFUNCTION("""COMPUTED_VALUE"""),"Death Penalty, Freedom of Expression, Individuals At Risk")</f>
        <v>Death Penalty, Freedom of Expression, Individuals At Risk</v>
      </c>
      <c r="H954" s="1" t="str">
        <f ca="1">IFERROR(__xludf.DUMMYFUNCTION("""COMPUTED_VALUE"""),"2024")</f>
        <v>2024</v>
      </c>
      <c r="I954" s="1" t="str">
        <f ca="1">IFERROR(__xludf.DUMMYFUNCTION("""COMPUTED_VALUE"""),"Email")</f>
        <v>Email</v>
      </c>
    </row>
    <row r="955" spans="1:9" ht="13" x14ac:dyDescent="0.15">
      <c r="A955" s="9">
        <f ca="1">IFERROR(__xludf.DUMMYFUNCTION("""COMPUTED_VALUE"""),32392062)</f>
        <v>32392062</v>
      </c>
      <c r="B955" s="1" t="str">
        <f ca="1">IFERROR(__xludf.DUMMYFUNCTION("""COMPUTED_VALUE"""),"dgkphildon@verizon.net")</f>
        <v>dgkphildon@verizon.net</v>
      </c>
      <c r="C955" s="9" t="str">
        <f ca="1">IFERROR(__xludf.DUMMYFUNCTION("""COMPUTED_VALUE"""),"EVERGREEN - UAN Gated Content - Embedded Petition")</f>
        <v>EVERGREEN - UAN Gated Content - Embedded Petition</v>
      </c>
      <c r="D955" s="10">
        <f ca="1">IFERROR(__xludf.DUMMYFUNCTION("""COMPUTED_VALUE"""),45623)</f>
        <v>45623</v>
      </c>
      <c r="E955" s="1" t="str">
        <f ca="1">IFERROR(__xludf.DUMMYFUNCTION("""COMPUTED_VALUE"""),"Iran")</f>
        <v>Iran</v>
      </c>
      <c r="F955" s="1" t="str">
        <f ca="1">IFERROR(__xludf.DUMMYFUNCTION("""COMPUTED_VALUE"""),"Seventh 103.22 Iran")</f>
        <v>Seventh 103.22 Iran</v>
      </c>
      <c r="G955" s="1" t="str">
        <f ca="1">IFERROR(__xludf.DUMMYFUNCTION("""COMPUTED_VALUE"""),"Death Penalty, Freedom of Expression, Individuals At Risk")</f>
        <v>Death Penalty, Freedom of Expression, Individuals At Risk</v>
      </c>
      <c r="H955" s="1" t="str">
        <f ca="1">IFERROR(__xludf.DUMMYFUNCTION("""COMPUTED_VALUE"""),"2024")</f>
        <v>2024</v>
      </c>
      <c r="I955" s="1" t="str">
        <f ca="1">IFERROR(__xludf.DUMMYFUNCTION("""COMPUTED_VALUE"""),"Email")</f>
        <v>Email</v>
      </c>
    </row>
    <row r="956" spans="1:9" ht="13" x14ac:dyDescent="0.15">
      <c r="A956" s="9">
        <f ca="1">IFERROR(__xludf.DUMMYFUNCTION("""COMPUTED_VALUE"""),32392062)</f>
        <v>32392062</v>
      </c>
      <c r="B956" s="1" t="str">
        <f ca="1">IFERROR(__xludf.DUMMYFUNCTION("""COMPUTED_VALUE"""),"dgkphildon@verizon.net")</f>
        <v>dgkphildon@verizon.net</v>
      </c>
      <c r="C956" s="9" t="str">
        <f ca="1">IFERROR(__xludf.DUMMYFUNCTION("""COMPUTED_VALUE"""),"EVERGREEN - UAN Gated Content - Embedded Petition")</f>
        <v>EVERGREEN - UAN Gated Content - Embedded Petition</v>
      </c>
      <c r="D956" s="10">
        <f ca="1">IFERROR(__xludf.DUMMYFUNCTION("""COMPUTED_VALUE"""),45623)</f>
        <v>45623</v>
      </c>
      <c r="E956" s="1" t="str">
        <f ca="1">IFERROR(__xludf.DUMMYFUNCTION("""COMPUTED_VALUE"""),"Israel and Occupied Palestinian Territories")</f>
        <v>Israel and Occupied Palestinian Territories</v>
      </c>
      <c r="F956" s="1" t="str">
        <f ca="1">IFERROR(__xludf.DUMMYFUNCTION("""COMPUTED_VALUE"""),"3.25 IOPT")</f>
        <v>3.25 IOPT</v>
      </c>
      <c r="G956" s="1" t="str">
        <f ca="1">IFERROR(__xludf.DUMMYFUNCTION("""COMPUTED_VALUE"""),"Freedom of Expression, Individuals At Risk")</f>
        <v>Freedom of Expression, Individuals At Risk</v>
      </c>
      <c r="H956" s="1" t="str">
        <f ca="1">IFERROR(__xludf.DUMMYFUNCTION("""COMPUTED_VALUE"""),"2025")</f>
        <v>2025</v>
      </c>
      <c r="I956" s="1" t="str">
        <f ca="1">IFERROR(__xludf.DUMMYFUNCTION("""COMPUTED_VALUE"""),"Email")</f>
        <v>Email</v>
      </c>
    </row>
    <row r="957" spans="1:9" ht="13" x14ac:dyDescent="0.15">
      <c r="A957" s="9">
        <f ca="1">IFERROR(__xludf.DUMMYFUNCTION("""COMPUTED_VALUE"""),32392062)</f>
        <v>32392062</v>
      </c>
      <c r="B957" s="1" t="str">
        <f ca="1">IFERROR(__xludf.DUMMYFUNCTION("""COMPUTED_VALUE"""),"dgkphildon@verizon.net")</f>
        <v>dgkphildon@verizon.net</v>
      </c>
      <c r="C957" s="9" t="str">
        <f ca="1">IFERROR(__xludf.DUMMYFUNCTION("""COMPUTED_VALUE"""),"EVERGREEN - UAN Gated Content - Embedded Petition")</f>
        <v>EVERGREEN - UAN Gated Content - Embedded Petition</v>
      </c>
      <c r="D957" s="10">
        <f ca="1">IFERROR(__xludf.DUMMYFUNCTION("""COMPUTED_VALUE"""),45648)</f>
        <v>45648</v>
      </c>
      <c r="E957" s="1" t="str">
        <f ca="1">IFERROR(__xludf.DUMMYFUNCTION("""COMPUTED_VALUE"""),"Tunisia")</f>
        <v>Tunisia</v>
      </c>
      <c r="F957" s="1" t="str">
        <f ca="1">IFERROR(__xludf.DUMMYFUNCTION("""COMPUTED_VALUE"""),"Second 76.24 Tunisia")</f>
        <v>Second 76.24 Tunisia</v>
      </c>
      <c r="G957" s="1" t="str">
        <f ca="1">IFERROR(__xludf.DUMMYFUNCTION("""COMPUTED_VALUE"""),"Freedom of Expression, Human Rights Defenders")</f>
        <v>Freedom of Expression, Human Rights Defenders</v>
      </c>
      <c r="H957" s="1" t="str">
        <f ca="1">IFERROR(__xludf.DUMMYFUNCTION("""COMPUTED_VALUE"""),"2025")</f>
        <v>2025</v>
      </c>
      <c r="I957" s="1" t="str">
        <f ca="1">IFERROR(__xludf.DUMMYFUNCTION("""COMPUTED_VALUE"""),"Email")</f>
        <v>Email</v>
      </c>
    </row>
    <row r="958" spans="1:9" ht="13" x14ac:dyDescent="0.15">
      <c r="A958" s="9">
        <f ca="1">IFERROR(__xludf.DUMMYFUNCTION("""COMPUTED_VALUE"""),32392062)</f>
        <v>32392062</v>
      </c>
      <c r="B958" s="1" t="str">
        <f ca="1">IFERROR(__xludf.DUMMYFUNCTION("""COMPUTED_VALUE"""),"dgkphildon@verizon.net")</f>
        <v>dgkphildon@verizon.net</v>
      </c>
      <c r="C958" s="9" t="str">
        <f ca="1">IFERROR(__xludf.DUMMYFUNCTION("""COMPUTED_VALUE"""),"EVERGREEN - UAN Gated Content - Embedded Petition")</f>
        <v>EVERGREEN - UAN Gated Content - Embedded Petition</v>
      </c>
      <c r="D958" s="10">
        <f ca="1">IFERROR(__xludf.DUMMYFUNCTION("""COMPUTED_VALUE"""),45648)</f>
        <v>45648</v>
      </c>
      <c r="E958" s="1" t="str">
        <f ca="1">IFERROR(__xludf.DUMMYFUNCTION("""COMPUTED_VALUE"""),"USA")</f>
        <v>USA</v>
      </c>
      <c r="F958" s="1" t="str">
        <f ca="1">IFERROR(__xludf.DUMMYFUNCTION("""COMPUTED_VALUE"""),"4.25 USA")</f>
        <v>4.25 USA</v>
      </c>
      <c r="G958" s="1" t="str">
        <f ca="1">IFERROR(__xludf.DUMMYFUNCTION("""COMPUTED_VALUE"""),"Individuals At Risk, Refugee and Migrant Rights")</f>
        <v>Individuals At Risk, Refugee and Migrant Rights</v>
      </c>
      <c r="H958" s="1" t="str">
        <f ca="1">IFERROR(__xludf.DUMMYFUNCTION("""COMPUTED_VALUE"""),"2025")</f>
        <v>2025</v>
      </c>
      <c r="I958" s="1" t="str">
        <f ca="1">IFERROR(__xludf.DUMMYFUNCTION("""COMPUTED_VALUE"""),"Letter")</f>
        <v>Letter</v>
      </c>
    </row>
    <row r="959" spans="1:9" ht="13" x14ac:dyDescent="0.15">
      <c r="A959" s="9">
        <f ca="1">IFERROR(__xludf.DUMMYFUNCTION("""COMPUTED_VALUE"""),32392062)</f>
        <v>32392062</v>
      </c>
      <c r="B959" s="1" t="str">
        <f ca="1">IFERROR(__xludf.DUMMYFUNCTION("""COMPUTED_VALUE"""),"dgkphildon@verizon.net")</f>
        <v>dgkphildon@verizon.net</v>
      </c>
      <c r="C959" s="9" t="str">
        <f ca="1">IFERROR(__xludf.DUMMYFUNCTION("""COMPUTED_VALUE"""),"EVERGREEN - UAN Gated Content - Embedded Petition")</f>
        <v>EVERGREEN - UAN Gated Content - Embedded Petition</v>
      </c>
      <c r="D959" s="10">
        <f ca="1">IFERROR(__xludf.DUMMYFUNCTION("""COMPUTED_VALUE"""),45674)</f>
        <v>45674</v>
      </c>
      <c r="E959" s="1" t="str">
        <f ca="1">IFERROR(__xludf.DUMMYFUNCTION("""COMPUTED_VALUE"""),"Dominican Republic")</f>
        <v>Dominican Republic</v>
      </c>
      <c r="F959" s="1" t="str">
        <f ca="1">IFERROR(__xludf.DUMMYFUNCTION("""COMPUTED_VALUE"""),"88.24 Dominican Republic")</f>
        <v>88.24 Dominican Republic</v>
      </c>
      <c r="G959" s="1" t="str">
        <f ca="1">IFERROR(__xludf.DUMMYFUNCTION("""COMPUTED_VALUE"""),"Individuals At Risk, Refugee and Migrant Rights")</f>
        <v>Individuals At Risk, Refugee and Migrant Rights</v>
      </c>
      <c r="H959" s="1" t="str">
        <f ca="1">IFERROR(__xludf.DUMMYFUNCTION("""COMPUTED_VALUE"""),"2024")</f>
        <v>2024</v>
      </c>
      <c r="I959" s="1" t="str">
        <f ca="1">IFERROR(__xludf.DUMMYFUNCTION("""COMPUTED_VALUE"""),"Letter")</f>
        <v>Letter</v>
      </c>
    </row>
    <row r="960" spans="1:9" ht="13" x14ac:dyDescent="0.15">
      <c r="A960" s="9">
        <f ca="1">IFERROR(__xludf.DUMMYFUNCTION("""COMPUTED_VALUE"""),32392062)</f>
        <v>32392062</v>
      </c>
      <c r="B960" s="1" t="str">
        <f ca="1">IFERROR(__xludf.DUMMYFUNCTION("""COMPUTED_VALUE"""),"dgkphildon@verizon.net")</f>
        <v>dgkphildon@verizon.net</v>
      </c>
      <c r="C960" s="9" t="str">
        <f ca="1">IFERROR(__xludf.DUMMYFUNCTION("""COMPUTED_VALUE"""),"EVERGREEN - UAN Gated Content - Embedded Petition")</f>
        <v>EVERGREEN - UAN Gated Content - Embedded Petition</v>
      </c>
      <c r="D960" s="10">
        <f ca="1">IFERROR(__xludf.DUMMYFUNCTION("""COMPUTED_VALUE"""),45674)</f>
        <v>45674</v>
      </c>
      <c r="E960" s="1" t="str">
        <f ca="1">IFERROR(__xludf.DUMMYFUNCTION("""COMPUTED_VALUE"""),"Egypt")</f>
        <v>Egypt</v>
      </c>
      <c r="F960" s="1" t="str">
        <f ca="1">IFERROR(__xludf.DUMMYFUNCTION("""COMPUTED_VALUE"""),"Ninth 190.18 Egypt")</f>
        <v>Ninth 190.18 Egypt</v>
      </c>
      <c r="G960" s="1" t="str">
        <f ca="1">IFERROR(__xludf.DUMMYFUNCTION("""COMPUTED_VALUE"""),"Freedom of Expression, Individuals At Risk")</f>
        <v>Freedom of Expression, Individuals At Risk</v>
      </c>
      <c r="H960" s="1" t="str">
        <f ca="1">IFERROR(__xludf.DUMMYFUNCTION("""COMPUTED_VALUE"""),"2024")</f>
        <v>2024</v>
      </c>
      <c r="I960" s="1" t="str">
        <f ca="1">IFERROR(__xludf.DUMMYFUNCTION("""COMPUTED_VALUE"""),"Letter")</f>
        <v>Letter</v>
      </c>
    </row>
    <row r="961" spans="1:9" ht="13" x14ac:dyDescent="0.15">
      <c r="A961" s="9">
        <f ca="1">IFERROR(__xludf.DUMMYFUNCTION("""COMPUTED_VALUE"""),32392062)</f>
        <v>32392062</v>
      </c>
      <c r="B961" s="1" t="str">
        <f ca="1">IFERROR(__xludf.DUMMYFUNCTION("""COMPUTED_VALUE"""),"dgkphildon@verizon.net")</f>
        <v>dgkphildon@verizon.net</v>
      </c>
      <c r="C961" s="9" t="str">
        <f ca="1">IFERROR(__xludf.DUMMYFUNCTION("""COMPUTED_VALUE"""),"EVERGREEN - UAN Gated Content - Embedded Petition")</f>
        <v>EVERGREEN - UAN Gated Content - Embedded Petition</v>
      </c>
      <c r="D961" s="10">
        <f ca="1">IFERROR(__xludf.DUMMYFUNCTION("""COMPUTED_VALUE"""),45674)</f>
        <v>45674</v>
      </c>
      <c r="E961" s="1" t="str">
        <f ca="1">IFERROR(__xludf.DUMMYFUNCTION("""COMPUTED_VALUE"""),"Tunisia")</f>
        <v>Tunisia</v>
      </c>
      <c r="F961" s="1" t="str">
        <f ca="1">IFERROR(__xludf.DUMMYFUNCTION("""COMPUTED_VALUE"""),"Second 76.24 Tunisia")</f>
        <v>Second 76.24 Tunisia</v>
      </c>
      <c r="G961" s="1" t="str">
        <f ca="1">IFERROR(__xludf.DUMMYFUNCTION("""COMPUTED_VALUE"""),"Freedom of Expression, Human Rights Defenders")</f>
        <v>Freedom of Expression, Human Rights Defenders</v>
      </c>
      <c r="H961" s="1" t="str">
        <f ca="1">IFERROR(__xludf.DUMMYFUNCTION("""COMPUTED_VALUE"""),"2025")</f>
        <v>2025</v>
      </c>
      <c r="I961" s="1" t="str">
        <f ca="1">IFERROR(__xludf.DUMMYFUNCTION("""COMPUTED_VALUE"""),"Email")</f>
        <v>Email</v>
      </c>
    </row>
    <row r="962" spans="1:9" ht="13" x14ac:dyDescent="0.15">
      <c r="A962" s="9">
        <f ca="1">IFERROR(__xludf.DUMMYFUNCTION("""COMPUTED_VALUE"""),32392062)</f>
        <v>32392062</v>
      </c>
      <c r="B962" s="1" t="str">
        <f ca="1">IFERROR(__xludf.DUMMYFUNCTION("""COMPUTED_VALUE"""),"dgkphildon@verizon.net")</f>
        <v>dgkphildon@verizon.net</v>
      </c>
      <c r="C962" s="9" t="str">
        <f ca="1">IFERROR(__xludf.DUMMYFUNCTION("""COMPUTED_VALUE"""),"EVERGREEN - UAN Gated Content - Embedded Petition")</f>
        <v>EVERGREEN - UAN Gated Content - Embedded Petition</v>
      </c>
      <c r="D962" s="10">
        <f ca="1">IFERROR(__xludf.DUMMYFUNCTION("""COMPUTED_VALUE"""),45674)</f>
        <v>45674</v>
      </c>
      <c r="E962" s="1" t="str">
        <f ca="1">IFERROR(__xludf.DUMMYFUNCTION("""COMPUTED_VALUE"""),"Azerbaijan")</f>
        <v>Azerbaijan</v>
      </c>
      <c r="F962" s="1" t="str">
        <f ca="1">IFERROR(__xludf.DUMMYFUNCTION("""COMPUTED_VALUE"""),"2.25 Azerbaijan")</f>
        <v>2.25 Azerbaijan</v>
      </c>
      <c r="G962" s="1" t="str">
        <f ca="1">IFERROR(__xludf.DUMMYFUNCTION("""COMPUTED_VALUE"""),"Freedom of Expression, Human Rights Defenders")</f>
        <v>Freedom of Expression, Human Rights Defenders</v>
      </c>
      <c r="H962" s="1" t="str">
        <f ca="1">IFERROR(__xludf.DUMMYFUNCTION("""COMPUTED_VALUE"""),"2025")</f>
        <v>2025</v>
      </c>
      <c r="I962" s="1" t="str">
        <f ca="1">IFERROR(__xludf.DUMMYFUNCTION("""COMPUTED_VALUE"""),"Email")</f>
        <v>Email</v>
      </c>
    </row>
    <row r="963" spans="1:9" ht="13" x14ac:dyDescent="0.15">
      <c r="A963" s="9">
        <f ca="1">IFERROR(__xludf.DUMMYFUNCTION("""COMPUTED_VALUE"""),32392062)</f>
        <v>32392062</v>
      </c>
      <c r="B963" s="1" t="str">
        <f ca="1">IFERROR(__xludf.DUMMYFUNCTION("""COMPUTED_VALUE"""),"dgkphildon@verizon.net")</f>
        <v>dgkphildon@verizon.net</v>
      </c>
      <c r="C963" s="9" t="str">
        <f ca="1">IFERROR(__xludf.DUMMYFUNCTION("""COMPUTED_VALUE"""),"EVERGREEN - UAN Gated Content - Embedded Petition")</f>
        <v>EVERGREEN - UAN Gated Content - Embedded Petition</v>
      </c>
      <c r="D963" s="10">
        <f ca="1">IFERROR(__xludf.DUMMYFUNCTION("""COMPUTED_VALUE"""),45674)</f>
        <v>45674</v>
      </c>
      <c r="E963" s="1" t="str">
        <f ca="1">IFERROR(__xludf.DUMMYFUNCTION("""COMPUTED_VALUE"""),"Azerbaijan")</f>
        <v>Azerbaijan</v>
      </c>
      <c r="F963" s="1" t="str">
        <f ca="1">IFERROR(__xludf.DUMMYFUNCTION("""COMPUTED_VALUE"""),"2.25 Azerbaijan")</f>
        <v>2.25 Azerbaijan</v>
      </c>
      <c r="G963" s="1" t="str">
        <f ca="1">IFERROR(__xludf.DUMMYFUNCTION("""COMPUTED_VALUE"""),"Freedom of Expression, Human Rights Defenders")</f>
        <v>Freedom of Expression, Human Rights Defenders</v>
      </c>
      <c r="H963" s="1" t="str">
        <f ca="1">IFERROR(__xludf.DUMMYFUNCTION("""COMPUTED_VALUE"""),"2025")</f>
        <v>2025</v>
      </c>
      <c r="I963" s="1" t="str">
        <f ca="1">IFERROR(__xludf.DUMMYFUNCTION("""COMPUTED_VALUE"""),"Email")</f>
        <v>Email</v>
      </c>
    </row>
    <row r="964" spans="1:9" ht="13" x14ac:dyDescent="0.15">
      <c r="A964" s="9">
        <f ca="1">IFERROR(__xludf.DUMMYFUNCTION("""COMPUTED_VALUE"""),32392062)</f>
        <v>32392062</v>
      </c>
      <c r="B964" s="1" t="str">
        <f ca="1">IFERROR(__xludf.DUMMYFUNCTION("""COMPUTED_VALUE"""),"dgkphildon@verizon.net")</f>
        <v>dgkphildon@verizon.net</v>
      </c>
      <c r="C964" s="9" t="str">
        <f ca="1">IFERROR(__xludf.DUMMYFUNCTION("""COMPUTED_VALUE"""),"EVERGREEN - UAN Gated Content - Embedded Petition")</f>
        <v>EVERGREEN - UAN Gated Content - Embedded Petition</v>
      </c>
      <c r="D964" s="10">
        <f ca="1">IFERROR(__xludf.DUMMYFUNCTION("""COMPUTED_VALUE"""),45674)</f>
        <v>45674</v>
      </c>
      <c r="E964" s="1" t="str">
        <f ca="1">IFERROR(__xludf.DUMMYFUNCTION("""COMPUTED_VALUE"""),"Azerbaijan")</f>
        <v>Azerbaijan</v>
      </c>
      <c r="F964" s="1" t="str">
        <f ca="1">IFERROR(__xludf.DUMMYFUNCTION("""COMPUTED_VALUE"""),"2.25 Azerbaijan")</f>
        <v>2.25 Azerbaijan</v>
      </c>
      <c r="G964" s="1" t="str">
        <f ca="1">IFERROR(__xludf.DUMMYFUNCTION("""COMPUTED_VALUE"""),"Freedom of Expression, Human Rights Defenders")</f>
        <v>Freedom of Expression, Human Rights Defenders</v>
      </c>
      <c r="H964" s="1" t="str">
        <f ca="1">IFERROR(__xludf.DUMMYFUNCTION("""COMPUTED_VALUE"""),"2025")</f>
        <v>2025</v>
      </c>
      <c r="I964" s="1" t="str">
        <f ca="1">IFERROR(__xludf.DUMMYFUNCTION("""COMPUTED_VALUE"""),"Email")</f>
        <v>Email</v>
      </c>
    </row>
    <row r="965" spans="1:9" ht="13" x14ac:dyDescent="0.15">
      <c r="A965" s="9">
        <f ca="1">IFERROR(__xludf.DUMMYFUNCTION("""COMPUTED_VALUE"""),32392062)</f>
        <v>32392062</v>
      </c>
      <c r="B965" s="1" t="str">
        <f ca="1">IFERROR(__xludf.DUMMYFUNCTION("""COMPUTED_VALUE"""),"dgkphildon@verizon.net")</f>
        <v>dgkphildon@verizon.net</v>
      </c>
      <c r="C965" s="9" t="str">
        <f ca="1">IFERROR(__xludf.DUMMYFUNCTION("""COMPUTED_VALUE"""),"EVERGREEN - UAN Gated Content - Embedded Petition")</f>
        <v>EVERGREEN - UAN Gated Content - Embedded Petition</v>
      </c>
      <c r="D965" s="10">
        <f ca="1">IFERROR(__xludf.DUMMYFUNCTION("""COMPUTED_VALUE"""),45674)</f>
        <v>45674</v>
      </c>
      <c r="E965" s="1" t="str">
        <f ca="1">IFERROR(__xludf.DUMMYFUNCTION("""COMPUTED_VALUE"""),"Azerbaijan")</f>
        <v>Azerbaijan</v>
      </c>
      <c r="F965" s="1" t="str">
        <f ca="1">IFERROR(__xludf.DUMMYFUNCTION("""COMPUTED_VALUE"""),"2.25 Azerbaijan")</f>
        <v>2.25 Azerbaijan</v>
      </c>
      <c r="G965" s="1" t="str">
        <f ca="1">IFERROR(__xludf.DUMMYFUNCTION("""COMPUTED_VALUE"""),"Freedom of Expression, Human Rights Defenders")</f>
        <v>Freedom of Expression, Human Rights Defenders</v>
      </c>
      <c r="H965" s="1" t="str">
        <f ca="1">IFERROR(__xludf.DUMMYFUNCTION("""COMPUTED_VALUE"""),"2025")</f>
        <v>2025</v>
      </c>
      <c r="I965" s="1" t="str">
        <f ca="1">IFERROR(__xludf.DUMMYFUNCTION("""COMPUTED_VALUE"""),"Email")</f>
        <v>Email</v>
      </c>
    </row>
    <row r="966" spans="1:9" ht="13" x14ac:dyDescent="0.15">
      <c r="A966" s="9">
        <f ca="1">IFERROR(__xludf.DUMMYFUNCTION("""COMPUTED_VALUE"""),32392062)</f>
        <v>32392062</v>
      </c>
      <c r="B966" s="1" t="str">
        <f ca="1">IFERROR(__xludf.DUMMYFUNCTION("""COMPUTED_VALUE"""),"dgkphildon@verizon.net")</f>
        <v>dgkphildon@verizon.net</v>
      </c>
      <c r="C966" s="9" t="str">
        <f ca="1">IFERROR(__xludf.DUMMYFUNCTION("""COMPUTED_VALUE"""),"EVERGREEN - UAN Gated Content - Embedded Petition")</f>
        <v>EVERGREEN - UAN Gated Content - Embedded Petition</v>
      </c>
      <c r="D966" s="10">
        <f ca="1">IFERROR(__xludf.DUMMYFUNCTION("""COMPUTED_VALUE"""),45674)</f>
        <v>45674</v>
      </c>
      <c r="E966" s="1" t="str">
        <f ca="1">IFERROR(__xludf.DUMMYFUNCTION("""COMPUTED_VALUE"""),"Egypt")</f>
        <v>Egypt</v>
      </c>
      <c r="F966" s="1" t="str">
        <f ca="1">IFERROR(__xludf.DUMMYFUNCTION("""COMPUTED_VALUE"""),"Third 73.23 Egypt")</f>
        <v>Third 73.23 Egypt</v>
      </c>
      <c r="G966" s="1" t="str">
        <f ca="1">IFERROR(__xludf.DUMMYFUNCTION("""COMPUTED_VALUE"""),"Individuals At Risk")</f>
        <v>Individuals At Risk</v>
      </c>
      <c r="H966" s="1" t="str">
        <f ca="1">IFERROR(__xludf.DUMMYFUNCTION("""COMPUTED_VALUE"""),"2024")</f>
        <v>2024</v>
      </c>
      <c r="I966" s="1" t="str">
        <f ca="1">IFERROR(__xludf.DUMMYFUNCTION("""COMPUTED_VALUE"""),"Email")</f>
        <v>Email</v>
      </c>
    </row>
    <row r="967" spans="1:9" ht="13" x14ac:dyDescent="0.15">
      <c r="A967" s="9">
        <f ca="1">IFERROR(__xludf.DUMMYFUNCTION("""COMPUTED_VALUE"""),32392062)</f>
        <v>32392062</v>
      </c>
      <c r="B967" s="1" t="str">
        <f ca="1">IFERROR(__xludf.DUMMYFUNCTION("""COMPUTED_VALUE"""),"dgkphildon@verizon.net")</f>
        <v>dgkphildon@verizon.net</v>
      </c>
      <c r="C967" s="9" t="str">
        <f ca="1">IFERROR(__xludf.DUMMYFUNCTION("""COMPUTED_VALUE"""),"EVERGREEN - UAN Gated Content - Embedded Petition")</f>
        <v>EVERGREEN - UAN Gated Content - Embedded Petition</v>
      </c>
      <c r="D967" s="10">
        <f ca="1">IFERROR(__xludf.DUMMYFUNCTION("""COMPUTED_VALUE"""),45674)</f>
        <v>45674</v>
      </c>
      <c r="E967" s="1" t="str">
        <f ca="1">IFERROR(__xludf.DUMMYFUNCTION("""COMPUTED_VALUE"""),"Tunisia")</f>
        <v>Tunisia</v>
      </c>
      <c r="F967" s="1" t="str">
        <f ca="1">IFERROR(__xludf.DUMMYFUNCTION("""COMPUTED_VALUE"""),"Second 76.24 Tunisia")</f>
        <v>Second 76.24 Tunisia</v>
      </c>
      <c r="G967" s="1" t="str">
        <f ca="1">IFERROR(__xludf.DUMMYFUNCTION("""COMPUTED_VALUE"""),"Freedom of Expression, Human Rights Defenders")</f>
        <v>Freedom of Expression, Human Rights Defenders</v>
      </c>
      <c r="H967" s="1" t="str">
        <f ca="1">IFERROR(__xludf.DUMMYFUNCTION("""COMPUTED_VALUE"""),"2025")</f>
        <v>2025</v>
      </c>
      <c r="I967" s="1" t="str">
        <f ca="1">IFERROR(__xludf.DUMMYFUNCTION("""COMPUTED_VALUE"""),"Email")</f>
        <v>Email</v>
      </c>
    </row>
    <row r="968" spans="1:9" ht="13" x14ac:dyDescent="0.15">
      <c r="A968" s="9">
        <f ca="1">IFERROR(__xludf.DUMMYFUNCTION("""COMPUTED_VALUE"""),32392062)</f>
        <v>32392062</v>
      </c>
      <c r="B968" s="1" t="str">
        <f ca="1">IFERROR(__xludf.DUMMYFUNCTION("""COMPUTED_VALUE"""),"dgkphildon@verizon.net")</f>
        <v>dgkphildon@verizon.net</v>
      </c>
      <c r="C968" s="9" t="str">
        <f ca="1">IFERROR(__xludf.DUMMYFUNCTION("""COMPUTED_VALUE"""),"EVERGREEN - UAN Gated Content - Embedded Petition")</f>
        <v>EVERGREEN - UAN Gated Content - Embedded Petition</v>
      </c>
      <c r="D968" s="10">
        <f ca="1">IFERROR(__xludf.DUMMYFUNCTION("""COMPUTED_VALUE"""),45674)</f>
        <v>45674</v>
      </c>
      <c r="E968" s="1" t="str">
        <f ca="1">IFERROR(__xludf.DUMMYFUNCTION("""COMPUTED_VALUE"""),"Afghanistan")</f>
        <v>Afghanistan</v>
      </c>
      <c r="F968" s="1" t="str">
        <f ca="1">IFERROR(__xludf.DUMMYFUNCTION("""COMPUTED_VALUE"""),"11.25 Afghanistan")</f>
        <v>11.25 Afghanistan</v>
      </c>
      <c r="G968" s="1" t="str">
        <f ca="1">IFERROR(__xludf.DUMMYFUNCTION("""COMPUTED_VALUE"""),"Freedom of Expression, Health, Individuals At Risk")</f>
        <v>Freedom of Expression, Health, Individuals At Risk</v>
      </c>
      <c r="H968" s="1" t="str">
        <f ca="1">IFERROR(__xludf.DUMMYFUNCTION("""COMPUTED_VALUE"""),"2025")</f>
        <v>2025</v>
      </c>
      <c r="I968" s="1" t="str">
        <f ca="1">IFERROR(__xludf.DUMMYFUNCTION("""COMPUTED_VALUE"""),"Email")</f>
        <v>Email</v>
      </c>
    </row>
    <row r="969" spans="1:9" ht="13" x14ac:dyDescent="0.15">
      <c r="A969" s="9">
        <f ca="1">IFERROR(__xludf.DUMMYFUNCTION("""COMPUTED_VALUE"""),32392062)</f>
        <v>32392062</v>
      </c>
      <c r="B969" s="1" t="str">
        <f ca="1">IFERROR(__xludf.DUMMYFUNCTION("""COMPUTED_VALUE"""),"dgkphildon@verizon.net")</f>
        <v>dgkphildon@verizon.net</v>
      </c>
      <c r="C969" s="9" t="str">
        <f ca="1">IFERROR(__xludf.DUMMYFUNCTION("""COMPUTED_VALUE"""),"EVERGREEN - UAN Gated Content - Embedded Petition")</f>
        <v>EVERGREEN - UAN Gated Content - Embedded Petition</v>
      </c>
      <c r="D969" s="10">
        <f ca="1">IFERROR(__xludf.DUMMYFUNCTION("""COMPUTED_VALUE"""),45674)</f>
        <v>45674</v>
      </c>
      <c r="E969" s="1" t="str">
        <f ca="1">IFERROR(__xludf.DUMMYFUNCTION("""COMPUTED_VALUE"""),"Niger")</f>
        <v>Niger</v>
      </c>
      <c r="F969" s="1" t="str">
        <f ca="1">IFERROR(__xludf.DUMMYFUNCTION("""COMPUTED_VALUE"""),"103.24 Niger")</f>
        <v>103.24 Niger</v>
      </c>
      <c r="G969" s="1" t="str">
        <f ca="1">IFERROR(__xludf.DUMMYFUNCTION("""COMPUTED_VALUE"""),"Freedom of Expression, Human Rights Defenders")</f>
        <v>Freedom of Expression, Human Rights Defenders</v>
      </c>
      <c r="H969" s="1" t="str">
        <f ca="1">IFERROR(__xludf.DUMMYFUNCTION("""COMPUTED_VALUE"""),"2024")</f>
        <v>2024</v>
      </c>
      <c r="I969" s="1" t="str">
        <f ca="1">IFERROR(__xludf.DUMMYFUNCTION("""COMPUTED_VALUE"""),"Email")</f>
        <v>Email</v>
      </c>
    </row>
    <row r="970" spans="1:9" ht="13" x14ac:dyDescent="0.15">
      <c r="A970" s="9">
        <f ca="1">IFERROR(__xludf.DUMMYFUNCTION("""COMPUTED_VALUE"""),32392062)</f>
        <v>32392062</v>
      </c>
      <c r="B970" s="1" t="str">
        <f ca="1">IFERROR(__xludf.DUMMYFUNCTION("""COMPUTED_VALUE"""),"dgkphildon@verizon.net")</f>
        <v>dgkphildon@verizon.net</v>
      </c>
      <c r="C970" s="9" t="str">
        <f ca="1">IFERROR(__xludf.DUMMYFUNCTION("""COMPUTED_VALUE"""),"EVERGREEN - UAN Gated Content - Embedded Petition")</f>
        <v>EVERGREEN - UAN Gated Content - Embedded Petition</v>
      </c>
      <c r="D970" s="10">
        <f ca="1">IFERROR(__xludf.DUMMYFUNCTION("""COMPUTED_VALUE"""),45694)</f>
        <v>45694</v>
      </c>
      <c r="E970" s="1" t="str">
        <f ca="1">IFERROR(__xludf.DUMMYFUNCTION("""COMPUTED_VALUE"""),"Azerbaijan")</f>
        <v>Azerbaijan</v>
      </c>
      <c r="F970" s="1" t="str">
        <f ca="1">IFERROR(__xludf.DUMMYFUNCTION("""COMPUTED_VALUE"""),"2.25 Azerbaijan")</f>
        <v>2.25 Azerbaijan</v>
      </c>
      <c r="G970" s="1" t="str">
        <f ca="1">IFERROR(__xludf.DUMMYFUNCTION("""COMPUTED_VALUE"""),"Freedom of Expression, Human Rights Defenders")</f>
        <v>Freedom of Expression, Human Rights Defenders</v>
      </c>
      <c r="H970" s="1" t="str">
        <f ca="1">IFERROR(__xludf.DUMMYFUNCTION("""COMPUTED_VALUE"""),"2025")</f>
        <v>2025</v>
      </c>
      <c r="I970" s="1" t="str">
        <f ca="1">IFERROR(__xludf.DUMMYFUNCTION("""COMPUTED_VALUE"""),"Email")</f>
        <v>Email</v>
      </c>
    </row>
    <row r="971" spans="1:9" ht="13" x14ac:dyDescent="0.15">
      <c r="A971" s="9">
        <f ca="1">IFERROR(__xludf.DUMMYFUNCTION("""COMPUTED_VALUE"""),32392062)</f>
        <v>32392062</v>
      </c>
      <c r="B971" s="1" t="str">
        <f ca="1">IFERROR(__xludf.DUMMYFUNCTION("""COMPUTED_VALUE"""),"dgkphildon@verizon.net")</f>
        <v>dgkphildon@verizon.net</v>
      </c>
      <c r="C971" s="9" t="str">
        <f ca="1">IFERROR(__xludf.DUMMYFUNCTION("""COMPUTED_VALUE"""),"EVERGREEN - UAN Gated Content - Embedded Petition")</f>
        <v>EVERGREEN - UAN Gated Content - Embedded Petition</v>
      </c>
      <c r="D971" s="10">
        <f ca="1">IFERROR(__xludf.DUMMYFUNCTION("""COMPUTED_VALUE"""),45674)</f>
        <v>45674</v>
      </c>
      <c r="E971" s="1" t="str">
        <f ca="1">IFERROR(__xludf.DUMMYFUNCTION("""COMPUTED_VALUE"""),"Tunisia")</f>
        <v>Tunisia</v>
      </c>
      <c r="F971" s="1" t="str">
        <f ca="1">IFERROR(__xludf.DUMMYFUNCTION("""COMPUTED_VALUE"""),"Second 76.24 Tunisia")</f>
        <v>Second 76.24 Tunisia</v>
      </c>
      <c r="G971" s="1" t="str">
        <f ca="1">IFERROR(__xludf.DUMMYFUNCTION("""COMPUTED_VALUE"""),"Freedom of Expression, Human Rights Defenders")</f>
        <v>Freedom of Expression, Human Rights Defenders</v>
      </c>
      <c r="H971" s="1" t="str">
        <f ca="1">IFERROR(__xludf.DUMMYFUNCTION("""COMPUTED_VALUE"""),"2025")</f>
        <v>2025</v>
      </c>
      <c r="I971" s="1" t="str">
        <f ca="1">IFERROR(__xludf.DUMMYFUNCTION("""COMPUTED_VALUE"""),"Email")</f>
        <v>Email</v>
      </c>
    </row>
    <row r="972" spans="1:9" ht="13" x14ac:dyDescent="0.15">
      <c r="A972" s="9">
        <f ca="1">IFERROR(__xludf.DUMMYFUNCTION("""COMPUTED_VALUE"""),32392062)</f>
        <v>32392062</v>
      </c>
      <c r="B972" s="1" t="str">
        <f ca="1">IFERROR(__xludf.DUMMYFUNCTION("""COMPUTED_VALUE"""),"dgkphildon@verizon.net")</f>
        <v>dgkphildon@verizon.net</v>
      </c>
      <c r="C972" s="9" t="str">
        <f ca="1">IFERROR(__xludf.DUMMYFUNCTION("""COMPUTED_VALUE"""),"EVERGREEN - UAN Gated Content - Embedded Petition")</f>
        <v>EVERGREEN - UAN Gated Content - Embedded Petition</v>
      </c>
      <c r="D972" s="10">
        <f ca="1">IFERROR(__xludf.DUMMYFUNCTION("""COMPUTED_VALUE"""),45674)</f>
        <v>45674</v>
      </c>
      <c r="E972" s="1" t="str">
        <f ca="1">IFERROR(__xludf.DUMMYFUNCTION("""COMPUTED_VALUE"""),"USA")</f>
        <v>USA</v>
      </c>
      <c r="F972" s="1" t="str">
        <f ca="1">IFERROR(__xludf.DUMMYFUNCTION("""COMPUTED_VALUE"""),"105.24 USA")</f>
        <v>105.24 USA</v>
      </c>
      <c r="G972" s="1" t="str">
        <f ca="1">IFERROR(__xludf.DUMMYFUNCTION("""COMPUTED_VALUE"""),"Death Penalty")</f>
        <v>Death Penalty</v>
      </c>
      <c r="H972" s="1" t="str">
        <f ca="1">IFERROR(__xludf.DUMMYFUNCTION("""COMPUTED_VALUE"""),"2024")</f>
        <v>2024</v>
      </c>
      <c r="I972" s="1" t="str">
        <f ca="1">IFERROR(__xludf.DUMMYFUNCTION("""COMPUTED_VALUE"""),"Email")</f>
        <v>Email</v>
      </c>
    </row>
    <row r="973" spans="1:9" ht="13" x14ac:dyDescent="0.15">
      <c r="A973" s="9">
        <f ca="1">IFERROR(__xludf.DUMMYFUNCTION("""COMPUTED_VALUE"""),32392062)</f>
        <v>32392062</v>
      </c>
      <c r="B973" s="1" t="str">
        <f ca="1">IFERROR(__xludf.DUMMYFUNCTION("""COMPUTED_VALUE"""),"dgkphildon@verizon.net")</f>
        <v>dgkphildon@verizon.net</v>
      </c>
      <c r="C973" s="9" t="str">
        <f ca="1">IFERROR(__xludf.DUMMYFUNCTION("""COMPUTED_VALUE"""),"EVERGREEN - UAN Gated Content - Embedded Petition")</f>
        <v>EVERGREEN - UAN Gated Content - Embedded Petition</v>
      </c>
      <c r="D973" s="10">
        <f ca="1">IFERROR(__xludf.DUMMYFUNCTION("""COMPUTED_VALUE"""),45674)</f>
        <v>45674</v>
      </c>
      <c r="E973" s="1" t="str">
        <f ca="1">IFERROR(__xludf.DUMMYFUNCTION("""COMPUTED_VALUE"""),"Egypt")</f>
        <v>Egypt</v>
      </c>
      <c r="F973" s="1" t="str">
        <f ca="1">IFERROR(__xludf.DUMMYFUNCTION("""COMPUTED_VALUE"""),"Ninth 190.18 Egypt")</f>
        <v>Ninth 190.18 Egypt</v>
      </c>
      <c r="G973" s="1" t="str">
        <f ca="1">IFERROR(__xludf.DUMMYFUNCTION("""COMPUTED_VALUE"""),"Freedom of Expression, Individuals At Risk")</f>
        <v>Freedom of Expression, Individuals At Risk</v>
      </c>
      <c r="H973" s="1" t="str">
        <f ca="1">IFERROR(__xludf.DUMMYFUNCTION("""COMPUTED_VALUE"""),"2024")</f>
        <v>2024</v>
      </c>
      <c r="I973" s="1" t="str">
        <f ca="1">IFERROR(__xludf.DUMMYFUNCTION("""COMPUTED_VALUE"""),"Letter")</f>
        <v>Letter</v>
      </c>
    </row>
    <row r="974" spans="1:9" ht="13" x14ac:dyDescent="0.15">
      <c r="A974" s="9">
        <f ca="1">IFERROR(__xludf.DUMMYFUNCTION("""COMPUTED_VALUE"""),32407162)</f>
        <v>32407162</v>
      </c>
      <c r="B974" s="1" t="str">
        <f ca="1">IFERROR(__xludf.DUMMYFUNCTION("""COMPUTED_VALUE"""),"amanda.armstrong08@gmail.com")</f>
        <v>amanda.armstrong08@gmail.com</v>
      </c>
      <c r="C974" s="9" t="str">
        <f ca="1">IFERROR(__xludf.DUMMYFUNCTION("""COMPUTED_VALUE"""),"EVERGREEN - UAN Gated Content - Embedded Petition")</f>
        <v>EVERGREEN - UAN Gated Content - Embedded Petition</v>
      </c>
      <c r="D974" s="10">
        <f ca="1">IFERROR(__xludf.DUMMYFUNCTION("""COMPUTED_VALUE"""),45629)</f>
        <v>45629</v>
      </c>
      <c r="E974" s="1" t="str">
        <f ca="1">IFERROR(__xludf.DUMMYFUNCTION("""COMPUTED_VALUE"""),"China")</f>
        <v>China</v>
      </c>
      <c r="F974" s="1" t="str">
        <f ca="1">IFERROR(__xludf.DUMMYFUNCTION("""COMPUTED_VALUE"""),"98.24 China")</f>
        <v>98.24 China</v>
      </c>
      <c r="G974" s="1" t="str">
        <f ca="1">IFERROR(__xludf.DUMMYFUNCTION("""COMPUTED_VALUE"""),"Freedom of Expression, Individuals At Risk")</f>
        <v>Freedom of Expression, Individuals At Risk</v>
      </c>
      <c r="H974" s="1" t="str">
        <f ca="1">IFERROR(__xludf.DUMMYFUNCTION("""COMPUTED_VALUE"""),"2024")</f>
        <v>2024</v>
      </c>
      <c r="I974" s="1" t="str">
        <f ca="1">IFERROR(__xludf.DUMMYFUNCTION("""COMPUTED_VALUE"""),"Letter")</f>
        <v>Letter</v>
      </c>
    </row>
    <row r="975" spans="1:9" ht="13" x14ac:dyDescent="0.15">
      <c r="A975" s="9">
        <f ca="1">IFERROR(__xludf.DUMMYFUNCTION("""COMPUTED_VALUE"""),32423096)</f>
        <v>32423096</v>
      </c>
      <c r="B975" s="1" t="str">
        <f ca="1">IFERROR(__xludf.DUMMYFUNCTION("""COMPUTED_VALUE"""),"taniahharrison@gmail.com")</f>
        <v>taniahharrison@gmail.com</v>
      </c>
      <c r="C975" s="9" t="str">
        <f ca="1">IFERROR(__xludf.DUMMYFUNCTION("""COMPUTED_VALUE"""),"EVERGREEN - UAN Gated Content - Embedded Petition")</f>
        <v>EVERGREEN - UAN Gated Content - Embedded Petition</v>
      </c>
      <c r="D975" s="10">
        <f ca="1">IFERROR(__xludf.DUMMYFUNCTION("""COMPUTED_VALUE"""),45694)</f>
        <v>45694</v>
      </c>
      <c r="E975" s="1" t="str">
        <f ca="1">IFERROR(__xludf.DUMMYFUNCTION("""COMPUTED_VALUE"""),"Tunisia")</f>
        <v>Tunisia</v>
      </c>
      <c r="F975" s="1" t="str">
        <f ca="1">IFERROR(__xludf.DUMMYFUNCTION("""COMPUTED_VALUE"""),"Second 76.24 Tunisia")</f>
        <v>Second 76.24 Tunisia</v>
      </c>
      <c r="G975" s="1" t="str">
        <f ca="1">IFERROR(__xludf.DUMMYFUNCTION("""COMPUTED_VALUE"""),"Freedom of Expression, Human Rights Defenders")</f>
        <v>Freedom of Expression, Human Rights Defenders</v>
      </c>
      <c r="H975" s="1" t="str">
        <f ca="1">IFERROR(__xludf.DUMMYFUNCTION("""COMPUTED_VALUE"""),"2025")</f>
        <v>2025</v>
      </c>
      <c r="I975" s="1" t="str">
        <f ca="1">IFERROR(__xludf.DUMMYFUNCTION("""COMPUTED_VALUE"""),"Email")</f>
        <v>Email</v>
      </c>
    </row>
    <row r="976" spans="1:9" ht="13" x14ac:dyDescent="0.15">
      <c r="A976" s="9">
        <f ca="1">IFERROR(__xludf.DUMMYFUNCTION("""COMPUTED_VALUE"""),32474276)</f>
        <v>32474276</v>
      </c>
      <c r="B976" s="1" t="str">
        <f ca="1">IFERROR(__xludf.DUMMYFUNCTION("""COMPUTED_VALUE"""),"willjudymack@gmail.com")</f>
        <v>willjudymack@gmail.com</v>
      </c>
      <c r="C976" s="9" t="str">
        <f ca="1">IFERROR(__xludf.DUMMYFUNCTION("""COMPUTED_VALUE"""),"EVERGREEN - UAN Gated Content - Embedded Petition")</f>
        <v>EVERGREEN - UAN Gated Content - Embedded Petition</v>
      </c>
      <c r="D976" s="10">
        <f ca="1">IFERROR(__xludf.DUMMYFUNCTION("""COMPUTED_VALUE"""),45674)</f>
        <v>45674</v>
      </c>
      <c r="E976" s="1" t="str">
        <f ca="1">IFERROR(__xludf.DUMMYFUNCTION("""COMPUTED_VALUE"""),"Tunisia")</f>
        <v>Tunisia</v>
      </c>
      <c r="F976" s="1" t="str">
        <f ca="1">IFERROR(__xludf.DUMMYFUNCTION("""COMPUTED_VALUE"""),"Second 76.24 Tunisia")</f>
        <v>Second 76.24 Tunisia</v>
      </c>
      <c r="G976" s="1" t="str">
        <f ca="1">IFERROR(__xludf.DUMMYFUNCTION("""COMPUTED_VALUE"""),"Freedom of Expression, Human Rights Defenders")</f>
        <v>Freedom of Expression, Human Rights Defenders</v>
      </c>
      <c r="H976" s="1" t="str">
        <f ca="1">IFERROR(__xludf.DUMMYFUNCTION("""COMPUTED_VALUE"""),"2025")</f>
        <v>2025</v>
      </c>
      <c r="I976" s="1" t="str">
        <f ca="1">IFERROR(__xludf.DUMMYFUNCTION("""COMPUTED_VALUE"""),"Email")</f>
        <v>Email</v>
      </c>
    </row>
    <row r="977" spans="1:9" ht="13" x14ac:dyDescent="0.15">
      <c r="A977" s="9">
        <f ca="1">IFERROR(__xludf.DUMMYFUNCTION("""COMPUTED_VALUE"""),32474276)</f>
        <v>32474276</v>
      </c>
      <c r="B977" s="1" t="str">
        <f ca="1">IFERROR(__xludf.DUMMYFUNCTION("""COMPUTED_VALUE"""),"willjudymack@gmail.com")</f>
        <v>willjudymack@gmail.com</v>
      </c>
      <c r="C977" s="9" t="str">
        <f ca="1">IFERROR(__xludf.DUMMYFUNCTION("""COMPUTED_VALUE"""),"EVERGREEN - UAN Gated Content - Embedded Petition")</f>
        <v>EVERGREEN - UAN Gated Content - Embedded Petition</v>
      </c>
      <c r="D977" s="10">
        <f ca="1">IFERROR(__xludf.DUMMYFUNCTION("""COMPUTED_VALUE"""),45674)</f>
        <v>45674</v>
      </c>
      <c r="E977" s="1" t="str">
        <f ca="1">IFERROR(__xludf.DUMMYFUNCTION("""COMPUTED_VALUE"""),"Venezuela")</f>
        <v>Venezuela</v>
      </c>
      <c r="F977" s="1" t="str">
        <f ca="1">IFERROR(__xludf.DUMMYFUNCTION("""COMPUTED_VALUE"""),"1.25 Venezuela")</f>
        <v>1.25 Venezuela</v>
      </c>
      <c r="G977" s="1" t="str">
        <f ca="1">IFERROR(__xludf.DUMMYFUNCTION("""COMPUTED_VALUE"""),"Human Rights Defenders, Individuals At Risk")</f>
        <v>Human Rights Defenders, Individuals At Risk</v>
      </c>
      <c r="H977" s="1" t="str">
        <f ca="1">IFERROR(__xludf.DUMMYFUNCTION("""COMPUTED_VALUE"""),"2025")</f>
        <v>2025</v>
      </c>
      <c r="I977" s="1" t="str">
        <f ca="1">IFERROR(__xludf.DUMMYFUNCTION("""COMPUTED_VALUE"""),"Letter")</f>
        <v>Letter</v>
      </c>
    </row>
    <row r="978" spans="1:9" ht="13" x14ac:dyDescent="0.15">
      <c r="A978" s="9">
        <f ca="1">IFERROR(__xludf.DUMMYFUNCTION("""COMPUTED_VALUE"""),32474276)</f>
        <v>32474276</v>
      </c>
      <c r="B978" s="1" t="str">
        <f ca="1">IFERROR(__xludf.DUMMYFUNCTION("""COMPUTED_VALUE"""),"willjudymack@gmail.com")</f>
        <v>willjudymack@gmail.com</v>
      </c>
      <c r="C978" s="9" t="str">
        <f ca="1">IFERROR(__xludf.DUMMYFUNCTION("""COMPUTED_VALUE"""),"EVERGREEN - UAN Gated Content - Embedded Petition")</f>
        <v>EVERGREEN - UAN Gated Content - Embedded Petition</v>
      </c>
      <c r="D978" s="10">
        <f ca="1">IFERROR(__xludf.DUMMYFUNCTION("""COMPUTED_VALUE"""),45689)</f>
        <v>45689</v>
      </c>
      <c r="E978" s="1" t="str">
        <f ca="1">IFERROR(__xludf.DUMMYFUNCTION("""COMPUTED_VALUE"""),"Egypt")</f>
        <v>Egypt</v>
      </c>
      <c r="F978" s="1" t="str">
        <f ca="1">IFERROR(__xludf.DUMMYFUNCTION("""COMPUTED_VALUE"""),"Third 73.23 Egypt")</f>
        <v>Third 73.23 Egypt</v>
      </c>
      <c r="G978" s="1" t="str">
        <f ca="1">IFERROR(__xludf.DUMMYFUNCTION("""COMPUTED_VALUE"""),"Individuals At Risk")</f>
        <v>Individuals At Risk</v>
      </c>
      <c r="H978" s="1" t="str">
        <f ca="1">IFERROR(__xludf.DUMMYFUNCTION("""COMPUTED_VALUE"""),"2024")</f>
        <v>2024</v>
      </c>
      <c r="I978" s="1" t="str">
        <f ca="1">IFERROR(__xludf.DUMMYFUNCTION("""COMPUTED_VALUE"""),"Email")</f>
        <v>Email</v>
      </c>
    </row>
    <row r="979" spans="1:9" ht="13" x14ac:dyDescent="0.15">
      <c r="A979" s="9">
        <f ca="1">IFERROR(__xludf.DUMMYFUNCTION("""COMPUTED_VALUE"""),32474276)</f>
        <v>32474276</v>
      </c>
      <c r="B979" s="1" t="str">
        <f ca="1">IFERROR(__xludf.DUMMYFUNCTION("""COMPUTED_VALUE"""),"willjudymack@gmail.com")</f>
        <v>willjudymack@gmail.com</v>
      </c>
      <c r="C979" s="9" t="str">
        <f ca="1">IFERROR(__xludf.DUMMYFUNCTION("""COMPUTED_VALUE"""),"EVERGREEN - UAN Gated Content - Embedded Petition")</f>
        <v>EVERGREEN - UAN Gated Content - Embedded Petition</v>
      </c>
      <c r="D979" s="10">
        <f ca="1">IFERROR(__xludf.DUMMYFUNCTION("""COMPUTED_VALUE"""),45689)</f>
        <v>45689</v>
      </c>
      <c r="E979" s="1" t="str">
        <f ca="1">IFERROR(__xludf.DUMMYFUNCTION("""COMPUTED_VALUE"""),"Egypt")</f>
        <v>Egypt</v>
      </c>
      <c r="F979" s="1" t="str">
        <f ca="1">IFERROR(__xludf.DUMMYFUNCTION("""COMPUTED_VALUE"""),"Ninth 190.18 Egypt")</f>
        <v>Ninth 190.18 Egypt</v>
      </c>
      <c r="G979" s="1" t="str">
        <f ca="1">IFERROR(__xludf.DUMMYFUNCTION("""COMPUTED_VALUE"""),"Freedom of Expression, Individuals At Risk")</f>
        <v>Freedom of Expression, Individuals At Risk</v>
      </c>
      <c r="H979" s="1" t="str">
        <f ca="1">IFERROR(__xludf.DUMMYFUNCTION("""COMPUTED_VALUE"""),"2024")</f>
        <v>2024</v>
      </c>
      <c r="I979" s="1" t="str">
        <f ca="1">IFERROR(__xludf.DUMMYFUNCTION("""COMPUTED_VALUE"""),"Letter")</f>
        <v>Letter</v>
      </c>
    </row>
    <row r="980" spans="1:9" ht="13" x14ac:dyDescent="0.15">
      <c r="A980" s="9">
        <f ca="1">IFERROR(__xludf.DUMMYFUNCTION("""COMPUTED_VALUE"""),32474276)</f>
        <v>32474276</v>
      </c>
      <c r="B980" s="1" t="str">
        <f ca="1">IFERROR(__xludf.DUMMYFUNCTION("""COMPUTED_VALUE"""),"willjudymack@gmail.com")</f>
        <v>willjudymack@gmail.com</v>
      </c>
      <c r="C980" s="9" t="str">
        <f ca="1">IFERROR(__xludf.DUMMYFUNCTION("""COMPUTED_VALUE"""),"EVERGREEN - UAN Gated Content - Embedded Petition")</f>
        <v>EVERGREEN - UAN Gated Content - Embedded Petition</v>
      </c>
      <c r="D980" s="10">
        <f ca="1">IFERROR(__xludf.DUMMYFUNCTION("""COMPUTED_VALUE"""),45674)</f>
        <v>45674</v>
      </c>
      <c r="E980" s="1" t="str">
        <f ca="1">IFERROR(__xludf.DUMMYFUNCTION("""COMPUTED_VALUE"""),"Russian Federation")</f>
        <v>Russian Federation</v>
      </c>
      <c r="F980" s="1" t="str">
        <f ca="1">IFERROR(__xludf.DUMMYFUNCTION("""COMPUTED_VALUE"""),"Second 23.24 Russia")</f>
        <v>Second 23.24 Russia</v>
      </c>
      <c r="G980" s="1" t="str">
        <f ca="1">IFERROR(__xludf.DUMMYFUNCTION("""COMPUTED_VALUE"""),"Freedom of Expression")</f>
        <v>Freedom of Expression</v>
      </c>
      <c r="H980" s="1" t="str">
        <f ca="1">IFERROR(__xludf.DUMMYFUNCTION("""COMPUTED_VALUE"""),"2024")</f>
        <v>2024</v>
      </c>
      <c r="I980" s="1" t="str">
        <f ca="1">IFERROR(__xludf.DUMMYFUNCTION("""COMPUTED_VALUE"""),"Letter")</f>
        <v>Letter</v>
      </c>
    </row>
    <row r="981" spans="1:9" ht="13" x14ac:dyDescent="0.15">
      <c r="A981" s="9">
        <f ca="1">IFERROR(__xludf.DUMMYFUNCTION("""COMPUTED_VALUE"""),32501715)</f>
        <v>32501715</v>
      </c>
      <c r="B981" s="1" t="str">
        <f ca="1">IFERROR(__xludf.DUMMYFUNCTION("""COMPUTED_VALUE"""),"lfurman844@gmail.com")</f>
        <v>lfurman844@gmail.com</v>
      </c>
      <c r="C981" s="9" t="str">
        <f ca="1">IFERROR(__xludf.DUMMYFUNCTION("""COMPUTED_VALUE"""),"EVERGREEN - UAN Gated Content - Embedded Petition")</f>
        <v>EVERGREEN - UAN Gated Content - Embedded Petition</v>
      </c>
      <c r="D981" s="10">
        <f ca="1">IFERROR(__xludf.DUMMYFUNCTION("""COMPUTED_VALUE"""),45616)</f>
        <v>45616</v>
      </c>
      <c r="E981" s="1" t="str">
        <f ca="1">IFERROR(__xludf.DUMMYFUNCTION("""COMPUTED_VALUE"""),"Tunisia")</f>
        <v>Tunisia</v>
      </c>
      <c r="F981" s="1" t="str">
        <f ca="1">IFERROR(__xludf.DUMMYFUNCTION("""COMPUTED_VALUE"""),"Second 76.24 Tunisia")</f>
        <v>Second 76.24 Tunisia</v>
      </c>
      <c r="G981" s="1" t="str">
        <f ca="1">IFERROR(__xludf.DUMMYFUNCTION("""COMPUTED_VALUE"""),"Freedom of Expression, Human Rights Defenders")</f>
        <v>Freedom of Expression, Human Rights Defenders</v>
      </c>
      <c r="H981" s="1" t="str">
        <f ca="1">IFERROR(__xludf.DUMMYFUNCTION("""COMPUTED_VALUE"""),"2025")</f>
        <v>2025</v>
      </c>
      <c r="I981" s="1" t="str">
        <f ca="1">IFERROR(__xludf.DUMMYFUNCTION("""COMPUTED_VALUE"""),"Email")</f>
        <v>Email</v>
      </c>
    </row>
    <row r="982" spans="1:9" ht="13" x14ac:dyDescent="0.15">
      <c r="A982" s="9">
        <f ca="1">IFERROR(__xludf.DUMMYFUNCTION("""COMPUTED_VALUE"""),32501715)</f>
        <v>32501715</v>
      </c>
      <c r="B982" s="1" t="str">
        <f ca="1">IFERROR(__xludf.DUMMYFUNCTION("""COMPUTED_VALUE"""),"lfurman844@gmail.com")</f>
        <v>lfurman844@gmail.com</v>
      </c>
      <c r="C982" s="9" t="str">
        <f ca="1">IFERROR(__xludf.DUMMYFUNCTION("""COMPUTED_VALUE"""),"EVERGREEN - UAN Gated Content - Embedded Petition")</f>
        <v>EVERGREEN - UAN Gated Content - Embedded Petition</v>
      </c>
      <c r="D982" s="10">
        <f ca="1">IFERROR(__xludf.DUMMYFUNCTION("""COMPUTED_VALUE"""),45636)</f>
        <v>45636</v>
      </c>
      <c r="E982" s="1" t="str">
        <f ca="1">IFERROR(__xludf.DUMMYFUNCTION("""COMPUTED_VALUE"""),"Saudi Arabia")</f>
        <v>Saudi Arabia</v>
      </c>
      <c r="F982" s="1" t="str">
        <f ca="1">IFERROR(__xludf.DUMMYFUNCTION("""COMPUTED_VALUE"""),"Second 85.23 Saudi Arabia")</f>
        <v>Second 85.23 Saudi Arabia</v>
      </c>
      <c r="G982" s="1" t="str">
        <f ca="1">IFERROR(__xludf.DUMMYFUNCTION("""COMPUTED_VALUE"""),"Freedom of Expression")</f>
        <v>Freedom of Expression</v>
      </c>
      <c r="H982" s="1" t="str">
        <f ca="1">IFERROR(__xludf.DUMMYFUNCTION("""COMPUTED_VALUE"""),"2024")</f>
        <v>2024</v>
      </c>
      <c r="I982" s="1" t="str">
        <f ca="1">IFERROR(__xludf.DUMMYFUNCTION("""COMPUTED_VALUE"""),"Letter")</f>
        <v>Letter</v>
      </c>
    </row>
    <row r="983" spans="1:9" ht="13" x14ac:dyDescent="0.15">
      <c r="A983" s="9">
        <f ca="1">IFERROR(__xludf.DUMMYFUNCTION("""COMPUTED_VALUE"""),32501715)</f>
        <v>32501715</v>
      </c>
      <c r="B983" s="1" t="str">
        <f ca="1">IFERROR(__xludf.DUMMYFUNCTION("""COMPUTED_VALUE"""),"lfurman844@gmail.com")</f>
        <v>lfurman844@gmail.com</v>
      </c>
      <c r="C983" s="9" t="str">
        <f ca="1">IFERROR(__xludf.DUMMYFUNCTION("""COMPUTED_VALUE"""),"EVERGREEN - UAN Gated Content - Embedded Petition")</f>
        <v>EVERGREEN - UAN Gated Content - Embedded Petition</v>
      </c>
      <c r="D983" s="10">
        <f ca="1">IFERROR(__xludf.DUMMYFUNCTION("""COMPUTED_VALUE"""),45636)</f>
        <v>45636</v>
      </c>
      <c r="E983" s="1" t="str">
        <f ca="1">IFERROR(__xludf.DUMMYFUNCTION("""COMPUTED_VALUE"""),"Canada")</f>
        <v>Canada</v>
      </c>
      <c r="F983" s="1" t="str">
        <f ca="1">IFERROR(__xludf.DUMMYFUNCTION("""COMPUTED_VALUE"""),"99.24 Canada")</f>
        <v>99.24 Canada</v>
      </c>
      <c r="G983" s="1" t="str">
        <f ca="1">IFERROR(__xludf.DUMMYFUNCTION("""COMPUTED_VALUE"""),"Climate Justice, Indigenous Rights, Right to Protest")</f>
        <v>Climate Justice, Indigenous Rights, Right to Protest</v>
      </c>
      <c r="H983" s="1" t="str">
        <f ca="1">IFERROR(__xludf.DUMMYFUNCTION("""COMPUTED_VALUE"""),"2024")</f>
        <v>2024</v>
      </c>
      <c r="I983" s="1" t="str">
        <f ca="1">IFERROR(__xludf.DUMMYFUNCTION("""COMPUTED_VALUE"""),"Letter")</f>
        <v>Letter</v>
      </c>
    </row>
    <row r="984" spans="1:9" ht="13" x14ac:dyDescent="0.15">
      <c r="A984" s="9">
        <f ca="1">IFERROR(__xludf.DUMMYFUNCTION("""COMPUTED_VALUE"""),32501715)</f>
        <v>32501715</v>
      </c>
      <c r="B984" s="1" t="str">
        <f ca="1">IFERROR(__xludf.DUMMYFUNCTION("""COMPUTED_VALUE"""),"lfurman844@gmail.com")</f>
        <v>lfurman844@gmail.com</v>
      </c>
      <c r="C984" s="9" t="str">
        <f ca="1">IFERROR(__xludf.DUMMYFUNCTION("""COMPUTED_VALUE"""),"EVERGREEN - UAN Gated Content - Embedded Petition")</f>
        <v>EVERGREEN - UAN Gated Content - Embedded Petition</v>
      </c>
      <c r="D984" s="10">
        <f ca="1">IFERROR(__xludf.DUMMYFUNCTION("""COMPUTED_VALUE"""),45616)</f>
        <v>45616</v>
      </c>
      <c r="E984" s="1" t="str">
        <f ca="1">IFERROR(__xludf.DUMMYFUNCTION("""COMPUTED_VALUE"""),"Russian Federation")</f>
        <v>Russian Federation</v>
      </c>
      <c r="F984" s="1" t="str">
        <f ca="1">IFERROR(__xludf.DUMMYFUNCTION("""COMPUTED_VALUE"""),"Second 23.24 Russia")</f>
        <v>Second 23.24 Russia</v>
      </c>
      <c r="G984" s="1" t="str">
        <f ca="1">IFERROR(__xludf.DUMMYFUNCTION("""COMPUTED_VALUE"""),"Freedom of Expression")</f>
        <v>Freedom of Expression</v>
      </c>
      <c r="H984" s="1" t="str">
        <f ca="1">IFERROR(__xludf.DUMMYFUNCTION("""COMPUTED_VALUE"""),"2024")</f>
        <v>2024</v>
      </c>
      <c r="I984" s="1" t="str">
        <f ca="1">IFERROR(__xludf.DUMMYFUNCTION("""COMPUTED_VALUE"""),"Letter")</f>
        <v>Letter</v>
      </c>
    </row>
    <row r="985" spans="1:9" ht="13" x14ac:dyDescent="0.15">
      <c r="A985" s="9">
        <f ca="1">IFERROR(__xludf.DUMMYFUNCTION("""COMPUTED_VALUE"""),32501715)</f>
        <v>32501715</v>
      </c>
      <c r="B985" s="1" t="str">
        <f ca="1">IFERROR(__xludf.DUMMYFUNCTION("""COMPUTED_VALUE"""),"lfurman844@gmail.com")</f>
        <v>lfurman844@gmail.com</v>
      </c>
      <c r="C985" s="9" t="str">
        <f ca="1">IFERROR(__xludf.DUMMYFUNCTION("""COMPUTED_VALUE"""),"EVERGREEN - UAN Gated Content - Embedded Petition")</f>
        <v>EVERGREEN - UAN Gated Content - Embedded Petition</v>
      </c>
      <c r="D985" s="10">
        <f ca="1">IFERROR(__xludf.DUMMYFUNCTION("""COMPUTED_VALUE"""),45636)</f>
        <v>45636</v>
      </c>
      <c r="E985" s="1" t="str">
        <f ca="1">IFERROR(__xludf.DUMMYFUNCTION("""COMPUTED_VALUE"""),"Dominican Republic")</f>
        <v>Dominican Republic</v>
      </c>
      <c r="F985" s="1" t="str">
        <f ca="1">IFERROR(__xludf.DUMMYFUNCTION("""COMPUTED_VALUE"""),"88.24 Dominican Republic")</f>
        <v>88.24 Dominican Republic</v>
      </c>
      <c r="G985" s="1" t="str">
        <f ca="1">IFERROR(__xludf.DUMMYFUNCTION("""COMPUTED_VALUE"""),"Individuals At Risk, Refugee and Migrant Rights")</f>
        <v>Individuals At Risk, Refugee and Migrant Rights</v>
      </c>
      <c r="H985" s="1" t="str">
        <f ca="1">IFERROR(__xludf.DUMMYFUNCTION("""COMPUTED_VALUE"""),"2024")</f>
        <v>2024</v>
      </c>
      <c r="I985" s="1" t="str">
        <f ca="1">IFERROR(__xludf.DUMMYFUNCTION("""COMPUTED_VALUE"""),"Letter")</f>
        <v>Letter</v>
      </c>
    </row>
    <row r="986" spans="1:9" ht="13" x14ac:dyDescent="0.15">
      <c r="A986" s="9">
        <f ca="1">IFERROR(__xludf.DUMMYFUNCTION("""COMPUTED_VALUE"""),32501715)</f>
        <v>32501715</v>
      </c>
      <c r="B986" s="1" t="str">
        <f ca="1">IFERROR(__xludf.DUMMYFUNCTION("""COMPUTED_VALUE"""),"lfurman844@gmail.com")</f>
        <v>lfurman844@gmail.com</v>
      </c>
      <c r="C986" s="9" t="str">
        <f ca="1">IFERROR(__xludf.DUMMYFUNCTION("""COMPUTED_VALUE"""),"EVERGREEN - UAN Gated Content - Embedded Petition")</f>
        <v>EVERGREEN - UAN Gated Content - Embedded Petition</v>
      </c>
      <c r="D986" s="10">
        <f ca="1">IFERROR(__xludf.DUMMYFUNCTION("""COMPUTED_VALUE"""),45636)</f>
        <v>45636</v>
      </c>
      <c r="E986" s="1" t="str">
        <f ca="1">IFERROR(__xludf.DUMMYFUNCTION("""COMPUTED_VALUE"""),"Egypt")</f>
        <v>Egypt</v>
      </c>
      <c r="F986" s="1" t="str">
        <f ca="1">IFERROR(__xludf.DUMMYFUNCTION("""COMPUTED_VALUE"""),"Ninth 190.18 Egypt")</f>
        <v>Ninth 190.18 Egypt</v>
      </c>
      <c r="G986" s="1" t="str">
        <f ca="1">IFERROR(__xludf.DUMMYFUNCTION("""COMPUTED_VALUE"""),"Freedom of Expression, Individuals At Risk")</f>
        <v>Freedom of Expression, Individuals At Risk</v>
      </c>
      <c r="H986" s="1" t="str">
        <f ca="1">IFERROR(__xludf.DUMMYFUNCTION("""COMPUTED_VALUE"""),"2024")</f>
        <v>2024</v>
      </c>
      <c r="I986" s="1" t="str">
        <f ca="1">IFERROR(__xludf.DUMMYFUNCTION("""COMPUTED_VALUE"""),"Letter")</f>
        <v>Letter</v>
      </c>
    </row>
    <row r="987" spans="1:9" ht="13" x14ac:dyDescent="0.15">
      <c r="A987" s="9">
        <f ca="1">IFERROR(__xludf.DUMMYFUNCTION("""COMPUTED_VALUE"""),33794365)</f>
        <v>33794365</v>
      </c>
      <c r="B987" s="1" t="str">
        <f ca="1">IFERROR(__xludf.DUMMYFUNCTION("""COMPUTED_VALUE"""),"patricia.p0907@att.net")</f>
        <v>patricia.p0907@att.net</v>
      </c>
      <c r="C987" s="9" t="str">
        <f ca="1">IFERROR(__xludf.DUMMYFUNCTION("""COMPUTED_VALUE"""),"EVERGREEN - UAN Gated Content - Embedded Petition")</f>
        <v>EVERGREEN - UAN Gated Content - Embedded Petition</v>
      </c>
      <c r="D987" s="10">
        <f ca="1">IFERROR(__xludf.DUMMYFUNCTION("""COMPUTED_VALUE"""),45678)</f>
        <v>45678</v>
      </c>
      <c r="E987" s="1" t="str">
        <f ca="1">IFERROR(__xludf.DUMMYFUNCTION("""COMPUTED_VALUE"""),"China")</f>
        <v>China</v>
      </c>
      <c r="F987" s="1" t="str">
        <f ca="1">IFERROR(__xludf.DUMMYFUNCTION("""COMPUTED_VALUE"""),"98.24 China")</f>
        <v>98.24 China</v>
      </c>
      <c r="G987" s="1" t="str">
        <f ca="1">IFERROR(__xludf.DUMMYFUNCTION("""COMPUTED_VALUE"""),"Freedom of Expression, Individuals At Risk")</f>
        <v>Freedom of Expression, Individuals At Risk</v>
      </c>
      <c r="H987" s="1" t="str">
        <f ca="1">IFERROR(__xludf.DUMMYFUNCTION("""COMPUTED_VALUE"""),"2024")</f>
        <v>2024</v>
      </c>
      <c r="I987" s="1" t="str">
        <f ca="1">IFERROR(__xludf.DUMMYFUNCTION("""COMPUTED_VALUE"""),"Letter")</f>
        <v>Letter</v>
      </c>
    </row>
    <row r="988" spans="1:9" ht="13" x14ac:dyDescent="0.15">
      <c r="A988" s="9">
        <f ca="1">IFERROR(__xludf.DUMMYFUNCTION("""COMPUTED_VALUE"""),33801449)</f>
        <v>33801449</v>
      </c>
      <c r="B988" s="1" t="str">
        <f ca="1">IFERROR(__xludf.DUMMYFUNCTION("""COMPUTED_VALUE"""),"jo.margaret.murphy@gmail.com")</f>
        <v>jo.margaret.murphy@gmail.com</v>
      </c>
      <c r="C988" s="9" t="str">
        <f ca="1">IFERROR(__xludf.DUMMYFUNCTION("""COMPUTED_VALUE"""),"EVERGREEN - UAN Gated Content - Embedded Petition")</f>
        <v>EVERGREEN - UAN Gated Content - Embedded Petition</v>
      </c>
      <c r="D988" s="10">
        <f ca="1">IFERROR(__xludf.DUMMYFUNCTION("""COMPUTED_VALUE"""),45694)</f>
        <v>45694</v>
      </c>
      <c r="E988" s="1" t="str">
        <f ca="1">IFERROR(__xludf.DUMMYFUNCTION("""COMPUTED_VALUE"""),"Dominican Republic")</f>
        <v>Dominican Republic</v>
      </c>
      <c r="F988" s="1" t="str">
        <f ca="1">IFERROR(__xludf.DUMMYFUNCTION("""COMPUTED_VALUE"""),"88.24 Dominican Republic")</f>
        <v>88.24 Dominican Republic</v>
      </c>
      <c r="G988" s="1" t="str">
        <f ca="1">IFERROR(__xludf.DUMMYFUNCTION("""COMPUTED_VALUE"""),"Individuals At Risk, Refugee and Migrant Rights")</f>
        <v>Individuals At Risk, Refugee and Migrant Rights</v>
      </c>
      <c r="H988" s="1" t="str">
        <f ca="1">IFERROR(__xludf.DUMMYFUNCTION("""COMPUTED_VALUE"""),"2024")</f>
        <v>2024</v>
      </c>
      <c r="I988" s="1" t="str">
        <f ca="1">IFERROR(__xludf.DUMMYFUNCTION("""COMPUTED_VALUE"""),"Letter")</f>
        <v>Letter</v>
      </c>
    </row>
    <row r="989" spans="1:9" ht="13" x14ac:dyDescent="0.15">
      <c r="A989" s="9">
        <f ca="1">IFERROR(__xludf.DUMMYFUNCTION("""COMPUTED_VALUE"""),33834102)</f>
        <v>33834102</v>
      </c>
      <c r="B989" s="1" t="str">
        <f ca="1">IFERROR(__xludf.DUMMYFUNCTION("""COMPUTED_VALUE"""),"ebertranou@csbsju.edu")</f>
        <v>ebertranou@csbsju.edu</v>
      </c>
      <c r="C989" s="9" t="str">
        <f ca="1">IFERROR(__xludf.DUMMYFUNCTION("""COMPUTED_VALUE"""),"EVERGREEN - UAN Gated Content - Embedded Petition")</f>
        <v>EVERGREEN - UAN Gated Content - Embedded Petition</v>
      </c>
      <c r="D989" s="10">
        <f ca="1">IFERROR(__xludf.DUMMYFUNCTION("""COMPUTED_VALUE"""),45678)</f>
        <v>45678</v>
      </c>
      <c r="E989" s="1" t="str">
        <f ca="1">IFERROR(__xludf.DUMMYFUNCTION("""COMPUTED_VALUE"""),"Saudi Arabia")</f>
        <v>Saudi Arabia</v>
      </c>
      <c r="F989" s="1" t="str">
        <f ca="1">IFERROR(__xludf.DUMMYFUNCTION("""COMPUTED_VALUE"""),"Second 85.23 Saudi Arabia")</f>
        <v>Second 85.23 Saudi Arabia</v>
      </c>
      <c r="G989" s="1" t="str">
        <f ca="1">IFERROR(__xludf.DUMMYFUNCTION("""COMPUTED_VALUE"""),"Freedom of Expression")</f>
        <v>Freedom of Expression</v>
      </c>
      <c r="H989" s="1" t="str">
        <f ca="1">IFERROR(__xludf.DUMMYFUNCTION("""COMPUTED_VALUE"""),"2024")</f>
        <v>2024</v>
      </c>
      <c r="I989" s="1" t="str">
        <f ca="1">IFERROR(__xludf.DUMMYFUNCTION("""COMPUTED_VALUE"""),"Letter")</f>
        <v>Letter</v>
      </c>
    </row>
    <row r="990" spans="1:9" ht="13" x14ac:dyDescent="0.15">
      <c r="A990" s="9">
        <f ca="1">IFERROR(__xludf.DUMMYFUNCTION("""COMPUTED_VALUE"""),33841601)</f>
        <v>33841601</v>
      </c>
      <c r="B990" s="1" t="str">
        <f ca="1">IFERROR(__xludf.DUMMYFUNCTION("""COMPUTED_VALUE"""),"snaimon@yahoo.com")</f>
        <v>snaimon@yahoo.com</v>
      </c>
      <c r="C990" s="9" t="str">
        <f ca="1">IFERROR(__xludf.DUMMYFUNCTION("""COMPUTED_VALUE"""),"EVERGREEN - UAN Gated Content - Embedded Petition")</f>
        <v>EVERGREEN - UAN Gated Content - Embedded Petition</v>
      </c>
      <c r="D990" s="10">
        <f ca="1">IFERROR(__xludf.DUMMYFUNCTION("""COMPUTED_VALUE"""),45672)</f>
        <v>45672</v>
      </c>
      <c r="E990" s="1" t="str">
        <f ca="1">IFERROR(__xludf.DUMMYFUNCTION("""COMPUTED_VALUE"""),"Saudi Arabia")</f>
        <v>Saudi Arabia</v>
      </c>
      <c r="F990" s="1" t="str">
        <f ca="1">IFERROR(__xludf.DUMMYFUNCTION("""COMPUTED_VALUE"""),"Second 85.23 Saudi Arabia")</f>
        <v>Second 85.23 Saudi Arabia</v>
      </c>
      <c r="G990" s="1" t="str">
        <f ca="1">IFERROR(__xludf.DUMMYFUNCTION("""COMPUTED_VALUE"""),"Freedom of Expression")</f>
        <v>Freedom of Expression</v>
      </c>
      <c r="H990" s="1" t="str">
        <f ca="1">IFERROR(__xludf.DUMMYFUNCTION("""COMPUTED_VALUE"""),"2024")</f>
        <v>2024</v>
      </c>
      <c r="I990" s="1" t="str">
        <f ca="1">IFERROR(__xludf.DUMMYFUNCTION("""COMPUTED_VALUE"""),"Letter")</f>
        <v>Letter</v>
      </c>
    </row>
    <row r="991" spans="1:9" ht="13" x14ac:dyDescent="0.15">
      <c r="A991" s="9">
        <f ca="1">IFERROR(__xludf.DUMMYFUNCTION("""COMPUTED_VALUE"""),33841601)</f>
        <v>33841601</v>
      </c>
      <c r="B991" s="1" t="str">
        <f ca="1">IFERROR(__xludf.DUMMYFUNCTION("""COMPUTED_VALUE"""),"snaimon@yahoo.com")</f>
        <v>snaimon@yahoo.com</v>
      </c>
      <c r="C991" s="9" t="str">
        <f ca="1">IFERROR(__xludf.DUMMYFUNCTION("""COMPUTED_VALUE"""),"EVERGREEN - UAN Gated Content - Embedded Petition")</f>
        <v>EVERGREEN - UAN Gated Content - Embedded Petition</v>
      </c>
      <c r="D991" s="10">
        <f ca="1">IFERROR(__xludf.DUMMYFUNCTION("""COMPUTED_VALUE"""),45672)</f>
        <v>45672</v>
      </c>
      <c r="E991" s="1" t="str">
        <f ca="1">IFERROR(__xludf.DUMMYFUNCTION("""COMPUTED_VALUE"""),"Egypt")</f>
        <v>Egypt</v>
      </c>
      <c r="F991" s="1" t="str">
        <f ca="1">IFERROR(__xludf.DUMMYFUNCTION("""COMPUTED_VALUE"""),"Ninth 190.18 Egypt")</f>
        <v>Ninth 190.18 Egypt</v>
      </c>
      <c r="G991" s="1" t="str">
        <f ca="1">IFERROR(__xludf.DUMMYFUNCTION("""COMPUTED_VALUE"""),"Freedom of Expression, Individuals At Risk")</f>
        <v>Freedom of Expression, Individuals At Risk</v>
      </c>
      <c r="H991" s="1" t="str">
        <f ca="1">IFERROR(__xludf.DUMMYFUNCTION("""COMPUTED_VALUE"""),"2024")</f>
        <v>2024</v>
      </c>
      <c r="I991" s="1" t="str">
        <f ca="1">IFERROR(__xludf.DUMMYFUNCTION("""COMPUTED_VALUE"""),"Letter")</f>
        <v>Letter</v>
      </c>
    </row>
    <row r="992" spans="1:9" ht="13" x14ac:dyDescent="0.15">
      <c r="A992" s="9">
        <f ca="1">IFERROR(__xludf.DUMMYFUNCTION("""COMPUTED_VALUE"""),33841601)</f>
        <v>33841601</v>
      </c>
      <c r="B992" s="1" t="str">
        <f ca="1">IFERROR(__xludf.DUMMYFUNCTION("""COMPUTED_VALUE"""),"snaimon@yahoo.com")</f>
        <v>snaimon@yahoo.com</v>
      </c>
      <c r="C992" s="9" t="str">
        <f ca="1">IFERROR(__xludf.DUMMYFUNCTION("""COMPUTED_VALUE"""),"EVERGREEN - UAN Gated Content - Embedded Petition")</f>
        <v>EVERGREEN - UAN Gated Content - Embedded Petition</v>
      </c>
      <c r="D992" s="10">
        <f ca="1">IFERROR(__xludf.DUMMYFUNCTION("""COMPUTED_VALUE"""),45672)</f>
        <v>45672</v>
      </c>
      <c r="E992" s="1" t="str">
        <f ca="1">IFERROR(__xludf.DUMMYFUNCTION("""COMPUTED_VALUE"""),"Tunisia")</f>
        <v>Tunisia</v>
      </c>
      <c r="F992" s="1" t="str">
        <f ca="1">IFERROR(__xludf.DUMMYFUNCTION("""COMPUTED_VALUE"""),"Second 76.24 Tunisia")</f>
        <v>Second 76.24 Tunisia</v>
      </c>
      <c r="G992" s="1" t="str">
        <f ca="1">IFERROR(__xludf.DUMMYFUNCTION("""COMPUTED_VALUE"""),"Freedom of Expression, Human Rights Defenders")</f>
        <v>Freedom of Expression, Human Rights Defenders</v>
      </c>
      <c r="H992" s="1" t="str">
        <f ca="1">IFERROR(__xludf.DUMMYFUNCTION("""COMPUTED_VALUE"""),"2025")</f>
        <v>2025</v>
      </c>
      <c r="I992" s="1" t="str">
        <f ca="1">IFERROR(__xludf.DUMMYFUNCTION("""COMPUTED_VALUE"""),"Email")</f>
        <v>Email</v>
      </c>
    </row>
    <row r="993" spans="1:9" ht="13" x14ac:dyDescent="0.15">
      <c r="A993" s="9">
        <f ca="1">IFERROR(__xludf.DUMMYFUNCTION("""COMPUTED_VALUE"""),33841601)</f>
        <v>33841601</v>
      </c>
      <c r="B993" s="1" t="str">
        <f ca="1">IFERROR(__xludf.DUMMYFUNCTION("""COMPUTED_VALUE"""),"snaimon@yahoo.com")</f>
        <v>snaimon@yahoo.com</v>
      </c>
      <c r="C993" s="9" t="str">
        <f ca="1">IFERROR(__xludf.DUMMYFUNCTION("""COMPUTED_VALUE"""),"EVERGREEN - UAN Gated Content - Embedded Petition")</f>
        <v>EVERGREEN - UAN Gated Content - Embedded Petition</v>
      </c>
      <c r="D993" s="10">
        <f ca="1">IFERROR(__xludf.DUMMYFUNCTION("""COMPUTED_VALUE"""),45672)</f>
        <v>45672</v>
      </c>
      <c r="E993" s="1" t="str">
        <f ca="1">IFERROR(__xludf.DUMMYFUNCTION("""COMPUTED_VALUE"""),"USA")</f>
        <v>USA</v>
      </c>
      <c r="F993" s="1" t="str">
        <f ca="1">IFERROR(__xludf.DUMMYFUNCTION("""COMPUTED_VALUE"""),"4.25 USA")</f>
        <v>4.25 USA</v>
      </c>
      <c r="G993" s="1" t="str">
        <f ca="1">IFERROR(__xludf.DUMMYFUNCTION("""COMPUTED_VALUE"""),"Individuals At Risk, Refugee and Migrant Rights")</f>
        <v>Individuals At Risk, Refugee and Migrant Rights</v>
      </c>
      <c r="H993" s="1" t="str">
        <f ca="1">IFERROR(__xludf.DUMMYFUNCTION("""COMPUTED_VALUE"""),"2025")</f>
        <v>2025</v>
      </c>
      <c r="I993" s="1" t="str">
        <f ca="1">IFERROR(__xludf.DUMMYFUNCTION("""COMPUTED_VALUE"""),"Letter")</f>
        <v>Letter</v>
      </c>
    </row>
    <row r="994" spans="1:9" ht="13" x14ac:dyDescent="0.15">
      <c r="A994" s="9">
        <f ca="1">IFERROR(__xludf.DUMMYFUNCTION("""COMPUTED_VALUE"""),33841601)</f>
        <v>33841601</v>
      </c>
      <c r="B994" s="1" t="str">
        <f ca="1">IFERROR(__xludf.DUMMYFUNCTION("""COMPUTED_VALUE"""),"snaimon@yahoo.com")</f>
        <v>snaimon@yahoo.com</v>
      </c>
      <c r="C994" s="9" t="str">
        <f ca="1">IFERROR(__xludf.DUMMYFUNCTION("""COMPUTED_VALUE"""),"EVERGREEN - UAN Gated Content - Embedded Petition")</f>
        <v>EVERGREEN - UAN Gated Content - Embedded Petition</v>
      </c>
      <c r="D994" s="10">
        <f ca="1">IFERROR(__xludf.DUMMYFUNCTION("""COMPUTED_VALUE"""),45674)</f>
        <v>45674</v>
      </c>
      <c r="E994" s="1" t="str">
        <f ca="1">IFERROR(__xludf.DUMMYFUNCTION("""COMPUTED_VALUE"""),"USA")</f>
        <v>USA</v>
      </c>
      <c r="F994" s="1" t="str">
        <f ca="1">IFERROR(__xludf.DUMMYFUNCTION("""COMPUTED_VALUE"""),"4.25 USA")</f>
        <v>4.25 USA</v>
      </c>
      <c r="G994" s="1" t="str">
        <f ca="1">IFERROR(__xludf.DUMMYFUNCTION("""COMPUTED_VALUE"""),"Individuals At Risk, Refugee and Migrant Rights")</f>
        <v>Individuals At Risk, Refugee and Migrant Rights</v>
      </c>
      <c r="H994" s="1" t="str">
        <f ca="1">IFERROR(__xludf.DUMMYFUNCTION("""COMPUTED_VALUE"""),"2025")</f>
        <v>2025</v>
      </c>
      <c r="I994" s="1" t="str">
        <f ca="1">IFERROR(__xludf.DUMMYFUNCTION("""COMPUTED_VALUE"""),"Letter")</f>
        <v>Letter</v>
      </c>
    </row>
    <row r="995" spans="1:9" ht="13" x14ac:dyDescent="0.15">
      <c r="A995" s="9">
        <f ca="1">IFERROR(__xludf.DUMMYFUNCTION("""COMPUTED_VALUE"""),33841601)</f>
        <v>33841601</v>
      </c>
      <c r="B995" s="1" t="str">
        <f ca="1">IFERROR(__xludf.DUMMYFUNCTION("""COMPUTED_VALUE"""),"snaimon@yahoo.com")</f>
        <v>snaimon@yahoo.com</v>
      </c>
      <c r="C995" s="9" t="str">
        <f ca="1">IFERROR(__xludf.DUMMYFUNCTION("""COMPUTED_VALUE"""),"EVERGREEN - UAN Gated Content - Embedded Petition")</f>
        <v>EVERGREEN - UAN Gated Content - Embedded Petition</v>
      </c>
      <c r="D995" s="10">
        <f ca="1">IFERROR(__xludf.DUMMYFUNCTION("""COMPUTED_VALUE"""),45649)</f>
        <v>45649</v>
      </c>
      <c r="E995" s="1" t="str">
        <f ca="1">IFERROR(__xludf.DUMMYFUNCTION("""COMPUTED_VALUE"""),"Tunisia")</f>
        <v>Tunisia</v>
      </c>
      <c r="F995" s="1" t="str">
        <f ca="1">IFERROR(__xludf.DUMMYFUNCTION("""COMPUTED_VALUE"""),"Second 76.24 Tunisia")</f>
        <v>Second 76.24 Tunisia</v>
      </c>
      <c r="G995" s="1" t="str">
        <f ca="1">IFERROR(__xludf.DUMMYFUNCTION("""COMPUTED_VALUE"""),"Freedom of Expression, Human Rights Defenders")</f>
        <v>Freedom of Expression, Human Rights Defenders</v>
      </c>
      <c r="H995" s="1" t="str">
        <f ca="1">IFERROR(__xludf.DUMMYFUNCTION("""COMPUTED_VALUE"""),"2025")</f>
        <v>2025</v>
      </c>
      <c r="I995" s="1" t="str">
        <f ca="1">IFERROR(__xludf.DUMMYFUNCTION("""COMPUTED_VALUE"""),"Email")</f>
        <v>Email</v>
      </c>
    </row>
    <row r="996" spans="1:9" ht="13" x14ac:dyDescent="0.15">
      <c r="A996" s="9">
        <f ca="1">IFERROR(__xludf.DUMMYFUNCTION("""COMPUTED_VALUE"""),33841601)</f>
        <v>33841601</v>
      </c>
      <c r="B996" s="1" t="str">
        <f ca="1">IFERROR(__xludf.DUMMYFUNCTION("""COMPUTED_VALUE"""),"snaimon@yahoo.com")</f>
        <v>snaimon@yahoo.com</v>
      </c>
      <c r="C996" s="9" t="str">
        <f ca="1">IFERROR(__xludf.DUMMYFUNCTION("""COMPUTED_VALUE"""),"EVERGREEN - UAN Gated Content - Embedded Petition")</f>
        <v>EVERGREEN - UAN Gated Content - Embedded Petition</v>
      </c>
      <c r="D996" s="10">
        <f ca="1">IFERROR(__xludf.DUMMYFUNCTION("""COMPUTED_VALUE"""),45641)</f>
        <v>45641</v>
      </c>
      <c r="E996" s="1" t="str">
        <f ca="1">IFERROR(__xludf.DUMMYFUNCTION("""COMPUTED_VALUE"""),"USA")</f>
        <v>USA</v>
      </c>
      <c r="F996" s="1" t="str">
        <f ca="1">IFERROR(__xludf.DUMMYFUNCTION("""COMPUTED_VALUE"""),"105.24 USA")</f>
        <v>105.24 USA</v>
      </c>
      <c r="G996" s="1" t="str">
        <f ca="1">IFERROR(__xludf.DUMMYFUNCTION("""COMPUTED_VALUE"""),"Death Penalty")</f>
        <v>Death Penalty</v>
      </c>
      <c r="H996" s="1" t="str">
        <f ca="1">IFERROR(__xludf.DUMMYFUNCTION("""COMPUTED_VALUE"""),"2024")</f>
        <v>2024</v>
      </c>
      <c r="I996" s="1" t="str">
        <f ca="1">IFERROR(__xludf.DUMMYFUNCTION("""COMPUTED_VALUE"""),"Email")</f>
        <v>Email</v>
      </c>
    </row>
    <row r="997" spans="1:9" ht="13" x14ac:dyDescent="0.15">
      <c r="A997" s="9">
        <f ca="1">IFERROR(__xludf.DUMMYFUNCTION("""COMPUTED_VALUE"""),33841601)</f>
        <v>33841601</v>
      </c>
      <c r="B997" s="1" t="str">
        <f ca="1">IFERROR(__xludf.DUMMYFUNCTION("""COMPUTED_VALUE"""),"snaimon@yahoo.com")</f>
        <v>snaimon@yahoo.com</v>
      </c>
      <c r="C997" s="9" t="str">
        <f ca="1">IFERROR(__xludf.DUMMYFUNCTION("""COMPUTED_VALUE"""),"EVERGREEN - UAN Gated Content - Embedded Petition")</f>
        <v>EVERGREEN - UAN Gated Content - Embedded Petition</v>
      </c>
      <c r="D997" s="10">
        <f ca="1">IFERROR(__xludf.DUMMYFUNCTION("""COMPUTED_VALUE"""),45641)</f>
        <v>45641</v>
      </c>
      <c r="E997" s="1" t="str">
        <f ca="1">IFERROR(__xludf.DUMMYFUNCTION("""COMPUTED_VALUE"""),"Iran")</f>
        <v>Iran</v>
      </c>
      <c r="F997" s="1" t="str">
        <f ca="1">IFERROR(__xludf.DUMMYFUNCTION("""COMPUTED_VALUE"""),"Seventh 103.22 Iran")</f>
        <v>Seventh 103.22 Iran</v>
      </c>
      <c r="G997" s="1" t="str">
        <f ca="1">IFERROR(__xludf.DUMMYFUNCTION("""COMPUTED_VALUE"""),"Death Penalty, Freedom of Expression, Individuals At Risk")</f>
        <v>Death Penalty, Freedom of Expression, Individuals At Risk</v>
      </c>
      <c r="H997" s="1" t="str">
        <f ca="1">IFERROR(__xludf.DUMMYFUNCTION("""COMPUTED_VALUE"""),"2024")</f>
        <v>2024</v>
      </c>
      <c r="I997" s="1" t="str">
        <f ca="1">IFERROR(__xludf.DUMMYFUNCTION("""COMPUTED_VALUE"""),"Email")</f>
        <v>Email</v>
      </c>
    </row>
    <row r="998" spans="1:9" ht="13" x14ac:dyDescent="0.15">
      <c r="A998" s="9">
        <f ca="1">IFERROR(__xludf.DUMMYFUNCTION("""COMPUTED_VALUE"""),33841601)</f>
        <v>33841601</v>
      </c>
      <c r="B998" s="1" t="str">
        <f ca="1">IFERROR(__xludf.DUMMYFUNCTION("""COMPUTED_VALUE"""),"snaimon@yahoo.com")</f>
        <v>snaimon@yahoo.com</v>
      </c>
      <c r="C998" s="9" t="str">
        <f ca="1">IFERROR(__xludf.DUMMYFUNCTION("""COMPUTED_VALUE"""),"EVERGREEN - UAN Gated Content - Embedded Petition")</f>
        <v>EVERGREEN - UAN Gated Content - Embedded Petition</v>
      </c>
      <c r="D998" s="10">
        <f ca="1">IFERROR(__xludf.DUMMYFUNCTION("""COMPUTED_VALUE"""),45694)</f>
        <v>45694</v>
      </c>
      <c r="E998" s="1" t="str">
        <f ca="1">IFERROR(__xludf.DUMMYFUNCTION("""COMPUTED_VALUE"""),"Tunisia")</f>
        <v>Tunisia</v>
      </c>
      <c r="F998" s="1" t="str">
        <f ca="1">IFERROR(__xludf.DUMMYFUNCTION("""COMPUTED_VALUE"""),"Second 76.24 Tunisia")</f>
        <v>Second 76.24 Tunisia</v>
      </c>
      <c r="G998" s="1" t="str">
        <f ca="1">IFERROR(__xludf.DUMMYFUNCTION("""COMPUTED_VALUE"""),"Freedom of Expression, Human Rights Defenders")</f>
        <v>Freedom of Expression, Human Rights Defenders</v>
      </c>
      <c r="H998" s="1" t="str">
        <f ca="1">IFERROR(__xludf.DUMMYFUNCTION("""COMPUTED_VALUE"""),"2025")</f>
        <v>2025</v>
      </c>
      <c r="I998" s="1" t="str">
        <f ca="1">IFERROR(__xludf.DUMMYFUNCTION("""COMPUTED_VALUE"""),"Email")</f>
        <v>Email</v>
      </c>
    </row>
    <row r="999" spans="1:9" ht="13" x14ac:dyDescent="0.15">
      <c r="A999" s="9">
        <f ca="1">IFERROR(__xludf.DUMMYFUNCTION("""COMPUTED_VALUE"""),33841601)</f>
        <v>33841601</v>
      </c>
      <c r="B999" s="1" t="str">
        <f ca="1">IFERROR(__xludf.DUMMYFUNCTION("""COMPUTED_VALUE"""),"snaimon@yahoo.com")</f>
        <v>snaimon@yahoo.com</v>
      </c>
      <c r="C999" s="9" t="str">
        <f ca="1">IFERROR(__xludf.DUMMYFUNCTION("""COMPUTED_VALUE"""),"EVERGREEN - UAN Gated Content - Embedded Petition")</f>
        <v>EVERGREEN - UAN Gated Content - Embedded Petition</v>
      </c>
      <c r="D999" s="10">
        <f ca="1">IFERROR(__xludf.DUMMYFUNCTION("""COMPUTED_VALUE"""),45618)</f>
        <v>45618</v>
      </c>
      <c r="E999" s="1" t="str">
        <f ca="1">IFERROR(__xludf.DUMMYFUNCTION("""COMPUTED_VALUE"""),"USA")</f>
        <v>USA</v>
      </c>
      <c r="F999" s="1" t="str">
        <f ca="1">IFERROR(__xludf.DUMMYFUNCTION("""COMPUTED_VALUE"""),"105.24 USA")</f>
        <v>105.24 USA</v>
      </c>
      <c r="G999" s="1" t="str">
        <f ca="1">IFERROR(__xludf.DUMMYFUNCTION("""COMPUTED_VALUE"""),"Death Penalty")</f>
        <v>Death Penalty</v>
      </c>
      <c r="H999" s="1" t="str">
        <f ca="1">IFERROR(__xludf.DUMMYFUNCTION("""COMPUTED_VALUE"""),"2024")</f>
        <v>2024</v>
      </c>
      <c r="I999" s="1" t="str">
        <f ca="1">IFERROR(__xludf.DUMMYFUNCTION("""COMPUTED_VALUE"""),"Email")</f>
        <v>Email</v>
      </c>
    </row>
    <row r="1000" spans="1:9" ht="13" x14ac:dyDescent="0.15">
      <c r="A1000" s="9">
        <f ca="1">IFERROR(__xludf.DUMMYFUNCTION("""COMPUTED_VALUE"""),33841601)</f>
        <v>33841601</v>
      </c>
      <c r="B1000" s="1" t="str">
        <f ca="1">IFERROR(__xludf.DUMMYFUNCTION("""COMPUTED_VALUE"""),"snaimon@yahoo.com")</f>
        <v>snaimon@yahoo.com</v>
      </c>
      <c r="C1000" s="9" t="str">
        <f ca="1">IFERROR(__xludf.DUMMYFUNCTION("""COMPUTED_VALUE"""),"EVERGREEN - UAN Gated Content - Embedded Petition")</f>
        <v>EVERGREEN - UAN Gated Content - Embedded Petition</v>
      </c>
      <c r="D1000" s="10">
        <f ca="1">IFERROR(__xludf.DUMMYFUNCTION("""COMPUTED_VALUE"""),45694)</f>
        <v>45694</v>
      </c>
      <c r="E1000" s="1" t="str">
        <f ca="1">IFERROR(__xludf.DUMMYFUNCTION("""COMPUTED_VALUE"""),"Israel and Occupied Palestinian Territories")</f>
        <v>Israel and Occupied Palestinian Territories</v>
      </c>
      <c r="F1000" s="1" t="str">
        <f ca="1">IFERROR(__xludf.DUMMYFUNCTION("""COMPUTED_VALUE"""),"3.25 IOPT")</f>
        <v>3.25 IOPT</v>
      </c>
      <c r="G1000" s="1" t="str">
        <f ca="1">IFERROR(__xludf.DUMMYFUNCTION("""COMPUTED_VALUE"""),"Freedom of Expression, Individuals At Risk")</f>
        <v>Freedom of Expression, Individuals At Risk</v>
      </c>
      <c r="H1000" s="1" t="str">
        <f ca="1">IFERROR(__xludf.DUMMYFUNCTION("""COMPUTED_VALUE"""),"2025")</f>
        <v>2025</v>
      </c>
      <c r="I1000" s="1" t="str">
        <f ca="1">IFERROR(__xludf.DUMMYFUNCTION("""COMPUTED_VALUE"""),"Email")</f>
        <v>Email</v>
      </c>
    </row>
    <row r="1001" spans="1:9" ht="13" x14ac:dyDescent="0.15">
      <c r="A1001" s="9">
        <f ca="1">IFERROR(__xludf.DUMMYFUNCTION("""COMPUTED_VALUE"""),33841601)</f>
        <v>33841601</v>
      </c>
      <c r="B1001" s="1" t="str">
        <f ca="1">IFERROR(__xludf.DUMMYFUNCTION("""COMPUTED_VALUE"""),"snaimon@yahoo.com")</f>
        <v>snaimon@yahoo.com</v>
      </c>
      <c r="C1001" s="9" t="str">
        <f ca="1">IFERROR(__xludf.DUMMYFUNCTION("""COMPUTED_VALUE"""),"EVERGREEN - UAN Gated Content - Embedded Petition")</f>
        <v>EVERGREEN - UAN Gated Content - Embedded Petition</v>
      </c>
      <c r="D1001" s="10">
        <f ca="1">IFERROR(__xludf.DUMMYFUNCTION("""COMPUTED_VALUE"""),45694)</f>
        <v>45694</v>
      </c>
      <c r="E1001" s="1" t="str">
        <f ca="1">IFERROR(__xludf.DUMMYFUNCTION("""COMPUTED_VALUE"""),"Israel and Occupied Palestinian Territories")</f>
        <v>Israel and Occupied Palestinian Territories</v>
      </c>
      <c r="F1001" s="1" t="str">
        <f ca="1">IFERROR(__xludf.DUMMYFUNCTION("""COMPUTED_VALUE"""),"3.25 IOPT")</f>
        <v>3.25 IOPT</v>
      </c>
      <c r="G1001" s="1" t="str">
        <f ca="1">IFERROR(__xludf.DUMMYFUNCTION("""COMPUTED_VALUE"""),"Freedom of Expression, Individuals At Risk")</f>
        <v>Freedom of Expression, Individuals At Risk</v>
      </c>
      <c r="H1001" s="1" t="str">
        <f ca="1">IFERROR(__xludf.DUMMYFUNCTION("""COMPUTED_VALUE"""),"2025")</f>
        <v>2025</v>
      </c>
      <c r="I1001" s="1" t="str">
        <f ca="1">IFERROR(__xludf.DUMMYFUNCTION("""COMPUTED_VALUE"""),"Email")</f>
        <v>Email</v>
      </c>
    </row>
    <row r="1002" spans="1:9" ht="13" x14ac:dyDescent="0.15">
      <c r="A1002" s="9">
        <f ca="1">IFERROR(__xludf.DUMMYFUNCTION("""COMPUTED_VALUE"""),38695445)</f>
        <v>38695445</v>
      </c>
      <c r="B1002" s="1" t="str">
        <f ca="1">IFERROR(__xludf.DUMMYFUNCTION("""COMPUTED_VALUE"""),"lolo2636@verizon.net")</f>
        <v>lolo2636@verizon.net</v>
      </c>
      <c r="C1002" s="9" t="str">
        <f ca="1">IFERROR(__xludf.DUMMYFUNCTION("""COMPUTED_VALUE"""),"EVERGREEN - UAN Gated Content - Embedded Petition")</f>
        <v>EVERGREEN - UAN Gated Content - Embedded Petition</v>
      </c>
      <c r="D1002" s="10">
        <f ca="1">IFERROR(__xludf.DUMMYFUNCTION("""COMPUTED_VALUE"""),45694)</f>
        <v>45694</v>
      </c>
      <c r="E1002" s="1" t="str">
        <f ca="1">IFERROR(__xludf.DUMMYFUNCTION("""COMPUTED_VALUE"""),"Israel and Occupied Palestinian Territories")</f>
        <v>Israel and Occupied Palestinian Territories</v>
      </c>
      <c r="F1002" s="1" t="str">
        <f ca="1">IFERROR(__xludf.DUMMYFUNCTION("""COMPUTED_VALUE"""),"3.25 IOPT")</f>
        <v>3.25 IOPT</v>
      </c>
      <c r="G1002" s="1" t="str">
        <f ca="1">IFERROR(__xludf.DUMMYFUNCTION("""COMPUTED_VALUE"""),"Freedom of Expression, Individuals At Risk")</f>
        <v>Freedom of Expression, Individuals At Risk</v>
      </c>
      <c r="H1002" s="1" t="str">
        <f ca="1">IFERROR(__xludf.DUMMYFUNCTION("""COMPUTED_VALUE"""),"2025")</f>
        <v>2025</v>
      </c>
      <c r="I1002" s="1" t="str">
        <f ca="1">IFERROR(__xludf.DUMMYFUNCTION("""COMPUTED_VALUE"""),"Email")</f>
        <v>Email</v>
      </c>
    </row>
    <row r="1003" spans="1:9" ht="13" x14ac:dyDescent="0.15">
      <c r="A1003" s="9">
        <f ca="1">IFERROR(__xludf.DUMMYFUNCTION("""COMPUTED_VALUE"""),38735830)</f>
        <v>38735830</v>
      </c>
      <c r="B1003" s="1" t="str">
        <f ca="1">IFERROR(__xludf.DUMMYFUNCTION("""COMPUTED_VALUE"""),"julie.ann.southwell@gmail.com")</f>
        <v>julie.ann.southwell@gmail.com</v>
      </c>
      <c r="C1003" s="9" t="str">
        <f ca="1">IFERROR(__xludf.DUMMYFUNCTION("""COMPUTED_VALUE"""),"EVERGREEN - UAN Gated Content - Embedded Petition")</f>
        <v>EVERGREEN - UAN Gated Content - Embedded Petition</v>
      </c>
      <c r="D1003" s="10">
        <f ca="1">IFERROR(__xludf.DUMMYFUNCTION("""COMPUTED_VALUE"""),45698)</f>
        <v>45698</v>
      </c>
      <c r="E1003" s="1" t="str">
        <f ca="1">IFERROR(__xludf.DUMMYFUNCTION("""COMPUTED_VALUE"""),"USA")</f>
        <v>USA</v>
      </c>
      <c r="F1003" s="1" t="str">
        <f ca="1">IFERROR(__xludf.DUMMYFUNCTION("""COMPUTED_VALUE"""),"4.25 USA")</f>
        <v>4.25 USA</v>
      </c>
      <c r="G1003" s="1" t="str">
        <f ca="1">IFERROR(__xludf.DUMMYFUNCTION("""COMPUTED_VALUE"""),"Individuals At Risk, Refugee and Migrant Rights")</f>
        <v>Individuals At Risk, Refugee and Migrant Rights</v>
      </c>
      <c r="H1003" s="1" t="str">
        <f ca="1">IFERROR(__xludf.DUMMYFUNCTION("""COMPUTED_VALUE"""),"2025")</f>
        <v>2025</v>
      </c>
      <c r="I1003" s="1" t="str">
        <f ca="1">IFERROR(__xludf.DUMMYFUNCTION("""COMPUTED_VALUE"""),"Letter")</f>
        <v>Letter</v>
      </c>
    </row>
    <row r="1004" spans="1:9" ht="13" x14ac:dyDescent="0.15">
      <c r="A1004" s="9">
        <f ca="1">IFERROR(__xludf.DUMMYFUNCTION("""COMPUTED_VALUE"""),38735830)</f>
        <v>38735830</v>
      </c>
      <c r="B1004" s="1" t="str">
        <f ca="1">IFERROR(__xludf.DUMMYFUNCTION("""COMPUTED_VALUE"""),"julie.ann.southwell@gmail.com")</f>
        <v>julie.ann.southwell@gmail.com</v>
      </c>
      <c r="C1004" s="9" t="str">
        <f ca="1">IFERROR(__xludf.DUMMYFUNCTION("""COMPUTED_VALUE"""),"EVERGREEN - UAN Gated Content - Embedded Petition")</f>
        <v>EVERGREEN - UAN Gated Content - Embedded Petition</v>
      </c>
      <c r="D1004" s="10">
        <f ca="1">IFERROR(__xludf.DUMMYFUNCTION("""COMPUTED_VALUE"""),45580)</f>
        <v>45580</v>
      </c>
      <c r="E1004" s="1" t="str">
        <f ca="1">IFERROR(__xludf.DUMMYFUNCTION("""COMPUTED_VALUE"""),"Tunisia")</f>
        <v>Tunisia</v>
      </c>
      <c r="F1004" s="1" t="str">
        <f ca="1">IFERROR(__xludf.DUMMYFUNCTION("""COMPUTED_VALUE"""),"Second 76.24 Tunisia")</f>
        <v>Second 76.24 Tunisia</v>
      </c>
      <c r="G1004" s="1" t="str">
        <f ca="1">IFERROR(__xludf.DUMMYFUNCTION("""COMPUTED_VALUE"""),"Freedom of Expression, Human Rights Defenders")</f>
        <v>Freedom of Expression, Human Rights Defenders</v>
      </c>
      <c r="H1004" s="1" t="str">
        <f ca="1">IFERROR(__xludf.DUMMYFUNCTION("""COMPUTED_VALUE"""),"2025")</f>
        <v>2025</v>
      </c>
      <c r="I1004" s="1" t="str">
        <f ca="1">IFERROR(__xludf.DUMMYFUNCTION("""COMPUTED_VALUE"""),"Email")</f>
        <v>Email</v>
      </c>
    </row>
    <row r="1005" spans="1:9" ht="13" x14ac:dyDescent="0.15">
      <c r="A1005" s="9">
        <f ca="1">IFERROR(__xludf.DUMMYFUNCTION("""COMPUTED_VALUE"""),38735830)</f>
        <v>38735830</v>
      </c>
      <c r="B1005" s="1" t="str">
        <f ca="1">IFERROR(__xludf.DUMMYFUNCTION("""COMPUTED_VALUE"""),"julie.ann.southwell@gmail.com")</f>
        <v>julie.ann.southwell@gmail.com</v>
      </c>
      <c r="C1005" s="9" t="str">
        <f ca="1">IFERROR(__xludf.DUMMYFUNCTION("""COMPUTED_VALUE"""),"EVERGREEN - UAN Gated Content - Embedded Petition")</f>
        <v>EVERGREEN - UAN Gated Content - Embedded Petition</v>
      </c>
      <c r="D1005" s="10">
        <f ca="1">IFERROR(__xludf.DUMMYFUNCTION("""COMPUTED_VALUE"""),45665)</f>
        <v>45665</v>
      </c>
      <c r="E1005" s="1" t="str">
        <f ca="1">IFERROR(__xludf.DUMMYFUNCTION("""COMPUTED_VALUE"""),"USA")</f>
        <v>USA</v>
      </c>
      <c r="F1005" s="1" t="str">
        <f ca="1">IFERROR(__xludf.DUMMYFUNCTION("""COMPUTED_VALUE"""),"4.25 USA")</f>
        <v>4.25 USA</v>
      </c>
      <c r="G1005" s="1" t="str">
        <f ca="1">IFERROR(__xludf.DUMMYFUNCTION("""COMPUTED_VALUE"""),"Individuals At Risk, Refugee and Migrant Rights")</f>
        <v>Individuals At Risk, Refugee and Migrant Rights</v>
      </c>
      <c r="H1005" s="1" t="str">
        <f ca="1">IFERROR(__xludf.DUMMYFUNCTION("""COMPUTED_VALUE"""),"2025")</f>
        <v>2025</v>
      </c>
      <c r="I1005" s="1" t="str">
        <f ca="1">IFERROR(__xludf.DUMMYFUNCTION("""COMPUTED_VALUE"""),"Letter")</f>
        <v>Letter</v>
      </c>
    </row>
    <row r="1006" spans="1:9" ht="13" x14ac:dyDescent="0.15">
      <c r="A1006" s="9">
        <f ca="1">IFERROR(__xludf.DUMMYFUNCTION("""COMPUTED_VALUE"""),38735830)</f>
        <v>38735830</v>
      </c>
      <c r="B1006" s="1" t="str">
        <f ca="1">IFERROR(__xludf.DUMMYFUNCTION("""COMPUTED_VALUE"""),"julie.ann.southwell@gmail.com")</f>
        <v>julie.ann.southwell@gmail.com</v>
      </c>
      <c r="C1006" s="9" t="str">
        <f ca="1">IFERROR(__xludf.DUMMYFUNCTION("""COMPUTED_VALUE"""),"EVERGREEN - UAN Gated Content - Embedded Petition")</f>
        <v>EVERGREEN - UAN Gated Content - Embedded Petition</v>
      </c>
      <c r="D1006" s="10">
        <f ca="1">IFERROR(__xludf.DUMMYFUNCTION("""COMPUTED_VALUE"""),45674)</f>
        <v>45674</v>
      </c>
      <c r="E1006" s="1" t="str">
        <f ca="1">IFERROR(__xludf.DUMMYFUNCTION("""COMPUTED_VALUE"""),"Venezuela")</f>
        <v>Venezuela</v>
      </c>
      <c r="F1006" s="1" t="str">
        <f ca="1">IFERROR(__xludf.DUMMYFUNCTION("""COMPUTED_VALUE"""),"1.25 Venezuela")</f>
        <v>1.25 Venezuela</v>
      </c>
      <c r="G1006" s="1" t="str">
        <f ca="1">IFERROR(__xludf.DUMMYFUNCTION("""COMPUTED_VALUE"""),"Human Rights Defenders, Individuals At Risk")</f>
        <v>Human Rights Defenders, Individuals At Risk</v>
      </c>
      <c r="H1006" s="1" t="str">
        <f ca="1">IFERROR(__xludf.DUMMYFUNCTION("""COMPUTED_VALUE"""),"2025")</f>
        <v>2025</v>
      </c>
      <c r="I1006" s="1" t="str">
        <f ca="1">IFERROR(__xludf.DUMMYFUNCTION("""COMPUTED_VALUE"""),"Letter")</f>
        <v>Letter</v>
      </c>
    </row>
    <row r="1007" spans="1:9" ht="13" x14ac:dyDescent="0.15">
      <c r="A1007" s="9">
        <f ca="1">IFERROR(__xludf.DUMMYFUNCTION("""COMPUTED_VALUE"""),38735830)</f>
        <v>38735830</v>
      </c>
      <c r="B1007" s="1" t="str">
        <f ca="1">IFERROR(__xludf.DUMMYFUNCTION("""COMPUTED_VALUE"""),"julie.ann.southwell@gmail.com")</f>
        <v>julie.ann.southwell@gmail.com</v>
      </c>
      <c r="C1007" s="9" t="str">
        <f ca="1">IFERROR(__xludf.DUMMYFUNCTION("""COMPUTED_VALUE"""),"EVERGREEN - UAN Gated Content - Embedded Petition")</f>
        <v>EVERGREEN - UAN Gated Content - Embedded Petition</v>
      </c>
      <c r="D1007" s="10">
        <f ca="1">IFERROR(__xludf.DUMMYFUNCTION("""COMPUTED_VALUE"""),45680)</f>
        <v>45680</v>
      </c>
      <c r="E1007" s="1" t="str">
        <f ca="1">IFERROR(__xludf.DUMMYFUNCTION("""COMPUTED_VALUE"""),"Tunisia")</f>
        <v>Tunisia</v>
      </c>
      <c r="F1007" s="1" t="str">
        <f ca="1">IFERROR(__xludf.DUMMYFUNCTION("""COMPUTED_VALUE"""),"Second 76.24 Tunisia")</f>
        <v>Second 76.24 Tunisia</v>
      </c>
      <c r="G1007" s="1" t="str">
        <f ca="1">IFERROR(__xludf.DUMMYFUNCTION("""COMPUTED_VALUE"""),"Freedom of Expression, Human Rights Defenders")</f>
        <v>Freedom of Expression, Human Rights Defenders</v>
      </c>
      <c r="H1007" s="1" t="str">
        <f ca="1">IFERROR(__xludf.DUMMYFUNCTION("""COMPUTED_VALUE"""),"2025")</f>
        <v>2025</v>
      </c>
      <c r="I1007" s="1" t="str">
        <f ca="1">IFERROR(__xludf.DUMMYFUNCTION("""COMPUTED_VALUE"""),"Email")</f>
        <v>Email</v>
      </c>
    </row>
    <row r="1008" spans="1:9" ht="13" x14ac:dyDescent="0.15">
      <c r="A1008" s="9">
        <f ca="1">IFERROR(__xludf.DUMMYFUNCTION("""COMPUTED_VALUE"""),38735830)</f>
        <v>38735830</v>
      </c>
      <c r="B1008" s="1" t="str">
        <f ca="1">IFERROR(__xludf.DUMMYFUNCTION("""COMPUTED_VALUE"""),"julie.ann.southwell@gmail.com")</f>
        <v>julie.ann.southwell@gmail.com</v>
      </c>
      <c r="C1008" s="9" t="str">
        <f ca="1">IFERROR(__xludf.DUMMYFUNCTION("""COMPUTED_VALUE"""),"EVERGREEN - UAN Gated Content - Embedded Petition")</f>
        <v>EVERGREEN - UAN Gated Content - Embedded Petition</v>
      </c>
      <c r="D1008" s="10">
        <f ca="1">IFERROR(__xludf.DUMMYFUNCTION("""COMPUTED_VALUE"""),45616)</f>
        <v>45616</v>
      </c>
      <c r="E1008" s="1" t="str">
        <f ca="1">IFERROR(__xludf.DUMMYFUNCTION("""COMPUTED_VALUE"""),"USA")</f>
        <v>USA</v>
      </c>
      <c r="F1008" s="1" t="str">
        <f ca="1">IFERROR(__xludf.DUMMYFUNCTION("""COMPUTED_VALUE"""),"105.24 USA")</f>
        <v>105.24 USA</v>
      </c>
      <c r="G1008" s="1" t="str">
        <f ca="1">IFERROR(__xludf.DUMMYFUNCTION("""COMPUTED_VALUE"""),"Death Penalty")</f>
        <v>Death Penalty</v>
      </c>
      <c r="H1008" s="1" t="str">
        <f ca="1">IFERROR(__xludf.DUMMYFUNCTION("""COMPUTED_VALUE"""),"2024")</f>
        <v>2024</v>
      </c>
      <c r="I1008" s="1" t="str">
        <f ca="1">IFERROR(__xludf.DUMMYFUNCTION("""COMPUTED_VALUE"""),"Email")</f>
        <v>Email</v>
      </c>
    </row>
    <row r="1009" spans="1:9" ht="13" x14ac:dyDescent="0.15">
      <c r="A1009" s="9">
        <f ca="1">IFERROR(__xludf.DUMMYFUNCTION("""COMPUTED_VALUE"""),38735830)</f>
        <v>38735830</v>
      </c>
      <c r="B1009" s="1" t="str">
        <f ca="1">IFERROR(__xludf.DUMMYFUNCTION("""COMPUTED_VALUE"""),"julie.ann.southwell@gmail.com")</f>
        <v>julie.ann.southwell@gmail.com</v>
      </c>
      <c r="C1009" s="9" t="str">
        <f ca="1">IFERROR(__xludf.DUMMYFUNCTION("""COMPUTED_VALUE"""),"UAN mid-page Lightbox - Step 1 of 4 - Landing Page")</f>
        <v>UAN mid-page Lightbox - Step 1 of 4 - Landing Page</v>
      </c>
      <c r="D1009" s="10">
        <f ca="1">IFERROR(__xludf.DUMMYFUNCTION("""COMPUTED_VALUE"""),45561)</f>
        <v>45561</v>
      </c>
      <c r="E1009" s="1" t="str">
        <f ca="1">IFERROR(__xludf.DUMMYFUNCTION("""COMPUTED_VALUE"""),"Tunisia")</f>
        <v>Tunisia</v>
      </c>
      <c r="F1009" s="1" t="str">
        <f ca="1">IFERROR(__xludf.DUMMYFUNCTION("""COMPUTED_VALUE"""),"Second 76.24 Tunisia")</f>
        <v>Second 76.24 Tunisia</v>
      </c>
      <c r="G1009" s="1" t="str">
        <f ca="1">IFERROR(__xludf.DUMMYFUNCTION("""COMPUTED_VALUE"""),"Freedom of Expression, Human Rights Defenders")</f>
        <v>Freedom of Expression, Human Rights Defenders</v>
      </c>
      <c r="H1009" s="1" t="str">
        <f ca="1">IFERROR(__xludf.DUMMYFUNCTION("""COMPUTED_VALUE"""),"2025")</f>
        <v>2025</v>
      </c>
      <c r="I1009" s="1" t="str">
        <f ca="1">IFERROR(__xludf.DUMMYFUNCTION("""COMPUTED_VALUE"""),"Email")</f>
        <v>Email</v>
      </c>
    </row>
    <row r="1010" spans="1:9" ht="13" x14ac:dyDescent="0.15">
      <c r="A1010" s="9">
        <f ca="1">IFERROR(__xludf.DUMMYFUNCTION("""COMPUTED_VALUE"""),38735830)</f>
        <v>38735830</v>
      </c>
      <c r="B1010" s="1" t="str">
        <f ca="1">IFERROR(__xludf.DUMMYFUNCTION("""COMPUTED_VALUE"""),"julie.ann.southwell@gmail.com")</f>
        <v>julie.ann.southwell@gmail.com</v>
      </c>
      <c r="C1010" s="9" t="str">
        <f ca="1">IFERROR(__xludf.DUMMYFUNCTION("""COMPUTED_VALUE"""),"UAN mid-page Lightbox - Step 1 of 4 - Landing Page")</f>
        <v>UAN mid-page Lightbox - Step 1 of 4 - Landing Page</v>
      </c>
      <c r="D1010" s="10">
        <f ca="1">IFERROR(__xludf.DUMMYFUNCTION("""COMPUTED_VALUE"""),45580)</f>
        <v>45580</v>
      </c>
      <c r="E1010" s="1" t="str">
        <f ca="1">IFERROR(__xludf.DUMMYFUNCTION("""COMPUTED_VALUE"""),"Dominican Republic")</f>
        <v>Dominican Republic</v>
      </c>
      <c r="F1010" s="1" t="str">
        <f ca="1">IFERROR(__xludf.DUMMYFUNCTION("""COMPUTED_VALUE"""),"88.24 Dominican Republic")</f>
        <v>88.24 Dominican Republic</v>
      </c>
      <c r="G1010" s="1" t="str">
        <f ca="1">IFERROR(__xludf.DUMMYFUNCTION("""COMPUTED_VALUE"""),"Individuals At Risk, Refugee and Migrant Rights")</f>
        <v>Individuals At Risk, Refugee and Migrant Rights</v>
      </c>
      <c r="H1010" s="1" t="str">
        <f ca="1">IFERROR(__xludf.DUMMYFUNCTION("""COMPUTED_VALUE"""),"2024")</f>
        <v>2024</v>
      </c>
      <c r="I1010" s="1" t="str">
        <f ca="1">IFERROR(__xludf.DUMMYFUNCTION("""COMPUTED_VALUE"""),"Letter")</f>
        <v>Letter</v>
      </c>
    </row>
    <row r="1011" spans="1:9" ht="13" x14ac:dyDescent="0.15">
      <c r="A1011" s="9">
        <f ca="1">IFERROR(__xludf.DUMMYFUNCTION("""COMPUTED_VALUE"""),38735830)</f>
        <v>38735830</v>
      </c>
      <c r="B1011" s="1" t="str">
        <f ca="1">IFERROR(__xludf.DUMMYFUNCTION("""COMPUTED_VALUE"""),"julie.ann.southwell@gmail.com")</f>
        <v>julie.ann.southwell@gmail.com</v>
      </c>
      <c r="C1011" s="9" t="str">
        <f ca="1">IFERROR(__xludf.DUMMYFUNCTION("""COMPUTED_VALUE"""),"UAN mid-page Lightbox - Step 2 of 4 - More personal info fields")</f>
        <v>UAN mid-page Lightbox - Step 2 of 4 - More personal info fields</v>
      </c>
      <c r="D1011" s="10">
        <f ca="1">IFERROR(__xludf.DUMMYFUNCTION("""COMPUTED_VALUE"""),45580)</f>
        <v>45580</v>
      </c>
      <c r="E1011" s="1" t="str">
        <f ca="1">IFERROR(__xludf.DUMMYFUNCTION("""COMPUTED_VALUE"""),"USA")</f>
        <v>USA</v>
      </c>
      <c r="F1011" s="1" t="str">
        <f ca="1">IFERROR(__xludf.DUMMYFUNCTION("""COMPUTED_VALUE"""),"96.24 USA")</f>
        <v>96.24 USA</v>
      </c>
      <c r="G1011" s="1" t="str">
        <f ca="1">IFERROR(__xludf.DUMMYFUNCTION("""COMPUTED_VALUE"""),"Death Penalty")</f>
        <v>Death Penalty</v>
      </c>
      <c r="H1011" s="1" t="str">
        <f ca="1">IFERROR(__xludf.DUMMYFUNCTION("""COMPUTED_VALUE"""),"2024")</f>
        <v>2024</v>
      </c>
      <c r="I1011" s="1" t="str">
        <f ca="1">IFERROR(__xludf.DUMMYFUNCTION("""COMPUTED_VALUE"""),"Email")</f>
        <v>Email</v>
      </c>
    </row>
    <row r="1012" spans="1:9" ht="13" x14ac:dyDescent="0.15">
      <c r="A1012" s="9">
        <f ca="1">IFERROR(__xludf.DUMMYFUNCTION("""COMPUTED_VALUE"""),38735830)</f>
        <v>38735830</v>
      </c>
      <c r="B1012" s="1" t="str">
        <f ca="1">IFERROR(__xludf.DUMMYFUNCTION("""COMPUTED_VALUE"""),"julie.ann.southwell@gmail.com")</f>
        <v>julie.ann.southwell@gmail.com</v>
      </c>
      <c r="C1012" s="9" t="str">
        <f ca="1">IFERROR(__xludf.DUMMYFUNCTION("""COMPUTED_VALUE"""),"UAN mid-page Lightbox - Step 2 of 4 - More personal info fields")</f>
        <v>UAN mid-page Lightbox - Step 2 of 4 - More personal info fields</v>
      </c>
      <c r="D1012" s="10">
        <f ca="1">IFERROR(__xludf.DUMMYFUNCTION("""COMPUTED_VALUE"""),45561)</f>
        <v>45561</v>
      </c>
      <c r="E1012" s="1" t="str">
        <f ca="1">IFERROR(__xludf.DUMMYFUNCTION("""COMPUTED_VALUE"""),"Iran")</f>
        <v>Iran</v>
      </c>
      <c r="F1012" s="1" t="str">
        <f ca="1">IFERROR(__xludf.DUMMYFUNCTION("""COMPUTED_VALUE"""),"Seventh 103.22 Iran")</f>
        <v>Seventh 103.22 Iran</v>
      </c>
      <c r="G1012" s="1" t="str">
        <f ca="1">IFERROR(__xludf.DUMMYFUNCTION("""COMPUTED_VALUE"""),"Death Penalty, Freedom of Expression, Individuals At Risk")</f>
        <v>Death Penalty, Freedom of Expression, Individuals At Risk</v>
      </c>
      <c r="H1012" s="1" t="str">
        <f ca="1">IFERROR(__xludf.DUMMYFUNCTION("""COMPUTED_VALUE"""),"2024")</f>
        <v>2024</v>
      </c>
      <c r="I1012" s="1" t="str">
        <f ca="1">IFERROR(__xludf.DUMMYFUNCTION("""COMPUTED_VALUE"""),"Email")</f>
        <v>Email</v>
      </c>
    </row>
    <row r="1013" spans="1:9" ht="13" x14ac:dyDescent="0.15">
      <c r="A1013" s="9">
        <f ca="1">IFERROR(__xludf.DUMMYFUNCTION("""COMPUTED_VALUE"""),38735830)</f>
        <v>38735830</v>
      </c>
      <c r="B1013" s="1" t="str">
        <f ca="1">IFERROR(__xludf.DUMMYFUNCTION("""COMPUTED_VALUE"""),"julie.ann.southwell@gmail.com")</f>
        <v>julie.ann.southwell@gmail.com</v>
      </c>
      <c r="C1013" s="9" t="str">
        <f ca="1">IFERROR(__xludf.DUMMYFUNCTION("""COMPUTED_VALUE"""),"UAN mid-page Lightbox - Step 3 of 4 - More opt-ins")</f>
        <v>UAN mid-page Lightbox - Step 3 of 4 - More opt-ins</v>
      </c>
      <c r="D1013" s="10">
        <f ca="1">IFERROR(__xludf.DUMMYFUNCTION("""COMPUTED_VALUE"""),45580)</f>
        <v>45580</v>
      </c>
      <c r="E1013" s="1" t="str">
        <f ca="1">IFERROR(__xludf.DUMMYFUNCTION("""COMPUTED_VALUE"""),"Iran")</f>
        <v>Iran</v>
      </c>
      <c r="F1013" s="1" t="str">
        <f ca="1">IFERROR(__xludf.DUMMYFUNCTION("""COMPUTED_VALUE"""),"Seventh 103.22 Iran")</f>
        <v>Seventh 103.22 Iran</v>
      </c>
      <c r="G1013" s="1" t="str">
        <f ca="1">IFERROR(__xludf.DUMMYFUNCTION("""COMPUTED_VALUE"""),"Death Penalty, Freedom of Expression, Individuals At Risk")</f>
        <v>Death Penalty, Freedom of Expression, Individuals At Risk</v>
      </c>
      <c r="H1013" s="1" t="str">
        <f ca="1">IFERROR(__xludf.DUMMYFUNCTION("""COMPUTED_VALUE"""),"2024")</f>
        <v>2024</v>
      </c>
      <c r="I1013" s="1" t="str">
        <f ca="1">IFERROR(__xludf.DUMMYFUNCTION("""COMPUTED_VALUE"""),"Email")</f>
        <v>Email</v>
      </c>
    </row>
    <row r="1014" spans="1:9" ht="13" x14ac:dyDescent="0.15">
      <c r="A1014" s="9">
        <f ca="1">IFERROR(__xludf.DUMMYFUNCTION("""COMPUTED_VALUE"""),38735830)</f>
        <v>38735830</v>
      </c>
      <c r="B1014" s="1" t="str">
        <f ca="1">IFERROR(__xludf.DUMMYFUNCTION("""COMPUTED_VALUE"""),"julie.ann.southwell@gmail.com")</f>
        <v>julie.ann.southwell@gmail.com</v>
      </c>
      <c r="C1014" s="9" t="str">
        <f ca="1">IFERROR(__xludf.DUMMYFUNCTION("""COMPUTED_VALUE"""),"UAN mid-page Lightbox - Step 3 of 4 - More opt-ins")</f>
        <v>UAN mid-page Lightbox - Step 3 of 4 - More opt-ins</v>
      </c>
      <c r="D1014" s="10">
        <f ca="1">IFERROR(__xludf.DUMMYFUNCTION("""COMPUTED_VALUE"""),45561)</f>
        <v>45561</v>
      </c>
      <c r="E1014" s="1" t="str">
        <f ca="1">IFERROR(__xludf.DUMMYFUNCTION("""COMPUTED_VALUE"""),"Saudi Arabia")</f>
        <v>Saudi Arabia</v>
      </c>
      <c r="F1014" s="1" t="str">
        <f ca="1">IFERROR(__xludf.DUMMYFUNCTION("""COMPUTED_VALUE"""),"Second 85.23 Saudi Arabia")</f>
        <v>Second 85.23 Saudi Arabia</v>
      </c>
      <c r="G1014" s="1" t="str">
        <f ca="1">IFERROR(__xludf.DUMMYFUNCTION("""COMPUTED_VALUE"""),"Freedom of Expression")</f>
        <v>Freedom of Expression</v>
      </c>
      <c r="H1014" s="1" t="str">
        <f ca="1">IFERROR(__xludf.DUMMYFUNCTION("""COMPUTED_VALUE"""),"2024")</f>
        <v>2024</v>
      </c>
      <c r="I1014" s="1" t="str">
        <f ca="1">IFERROR(__xludf.DUMMYFUNCTION("""COMPUTED_VALUE"""),"Letter")</f>
        <v>Letter</v>
      </c>
    </row>
    <row r="1015" spans="1:9" ht="13" x14ac:dyDescent="0.15">
      <c r="A1015" s="9">
        <f ca="1">IFERROR(__xludf.DUMMYFUNCTION("""COMPUTED_VALUE"""),40931334)</f>
        <v>40931334</v>
      </c>
      <c r="B1015" s="1" t="str">
        <f ca="1">IFERROR(__xludf.DUMMYFUNCTION("""COMPUTED_VALUE"""),"maruortiz324@yahoo.com")</f>
        <v>maruortiz324@yahoo.com</v>
      </c>
      <c r="C1015" s="9" t="str">
        <f ca="1">IFERROR(__xludf.DUMMYFUNCTION("""COMPUTED_VALUE"""),"EVERGREEN - UAN Gated Content - Embedded Petition")</f>
        <v>EVERGREEN - UAN Gated Content - Embedded Petition</v>
      </c>
      <c r="D1015" s="10">
        <f ca="1">IFERROR(__xludf.DUMMYFUNCTION("""COMPUTED_VALUE"""),45694)</f>
        <v>45694</v>
      </c>
      <c r="E1015" s="1" t="str">
        <f ca="1">IFERROR(__xludf.DUMMYFUNCTION("""COMPUTED_VALUE"""),"Singapore")</f>
        <v>Singapore</v>
      </c>
      <c r="F1015" s="1" t="str">
        <f ca="1">IFERROR(__xludf.DUMMYFUNCTION("""COMPUTED_VALUE"""),"107.24 Singapore")</f>
        <v>107.24 Singapore</v>
      </c>
      <c r="G1015" s="1" t="str">
        <f ca="1">IFERROR(__xludf.DUMMYFUNCTION("""COMPUTED_VALUE"""),"Death Penalty")</f>
        <v>Death Penalty</v>
      </c>
      <c r="H1015" s="1" t="str">
        <f ca="1">IFERROR(__xludf.DUMMYFUNCTION("""COMPUTED_VALUE"""),"2024")</f>
        <v>2024</v>
      </c>
      <c r="I1015" s="1" t="str">
        <f ca="1">IFERROR(__xludf.DUMMYFUNCTION("""COMPUTED_VALUE"""),"Email")</f>
        <v>Email</v>
      </c>
    </row>
    <row r="1016" spans="1:9" ht="13" x14ac:dyDescent="0.15">
      <c r="A1016" s="9">
        <f ca="1">IFERROR(__xludf.DUMMYFUNCTION("""COMPUTED_VALUE"""),40978344)</f>
        <v>40978344</v>
      </c>
      <c r="B1016" s="1" t="str">
        <f ca="1">IFERROR(__xludf.DUMMYFUNCTION("""COMPUTED_VALUE"""),"kukaber33@gmail.com")</f>
        <v>kukaber33@gmail.com</v>
      </c>
      <c r="C1016" s="9" t="str">
        <f ca="1">IFERROR(__xludf.DUMMYFUNCTION("""COMPUTED_VALUE"""),"EVERGREEN - UAN Gated Content - Embedded Petition")</f>
        <v>EVERGREEN - UAN Gated Content - Embedded Petition</v>
      </c>
      <c r="D1016" s="10">
        <f ca="1">IFERROR(__xludf.DUMMYFUNCTION("""COMPUTED_VALUE"""),45616)</f>
        <v>45616</v>
      </c>
      <c r="E1016" s="1" t="str">
        <f ca="1">IFERROR(__xludf.DUMMYFUNCTION("""COMPUTED_VALUE"""),"Turkiye")</f>
        <v>Turkiye</v>
      </c>
      <c r="F1016" s="1" t="str">
        <f ca="1">IFERROR(__xludf.DUMMYFUNCTION("""COMPUTED_VALUE"""),"109.24 Türkiye")</f>
        <v>109.24 Türkiye</v>
      </c>
      <c r="G1016" s="1" t="str">
        <f ca="1">IFERROR(__xludf.DUMMYFUNCTION("""COMPUTED_VALUE"""),"Human Rights Defenders, Individuals At Risk")</f>
        <v>Human Rights Defenders, Individuals At Risk</v>
      </c>
      <c r="H1016" s="1" t="str">
        <f ca="1">IFERROR(__xludf.DUMMYFUNCTION("""COMPUTED_VALUE"""),"2024")</f>
        <v>2024</v>
      </c>
      <c r="I1016" s="1" t="str">
        <f ca="1">IFERROR(__xludf.DUMMYFUNCTION("""COMPUTED_VALUE"""),"Email")</f>
        <v>Email</v>
      </c>
    </row>
    <row r="1017" spans="1:9" ht="13" x14ac:dyDescent="0.15">
      <c r="A1017" s="9">
        <f ca="1">IFERROR(__xludf.DUMMYFUNCTION("""COMPUTED_VALUE"""),40985103)</f>
        <v>40985103</v>
      </c>
      <c r="B1017" s="1" t="str">
        <f ca="1">IFERROR(__xludf.DUMMYFUNCTION("""COMPUTED_VALUE"""),"maggyjv27@gmail.com")</f>
        <v>maggyjv27@gmail.com</v>
      </c>
      <c r="C1017" s="9" t="str">
        <f ca="1">IFERROR(__xludf.DUMMYFUNCTION("""COMPUTED_VALUE"""),"EVERGREEN - UAN Gated Content - Embedded Petition")</f>
        <v>EVERGREEN - UAN Gated Content - Embedded Petition</v>
      </c>
      <c r="D1017" s="10">
        <f ca="1">IFERROR(__xludf.DUMMYFUNCTION("""COMPUTED_VALUE"""),45641)</f>
        <v>45641</v>
      </c>
      <c r="E1017" s="1" t="str">
        <f ca="1">IFERROR(__xludf.DUMMYFUNCTION("""COMPUTED_VALUE"""),"China")</f>
        <v>China</v>
      </c>
      <c r="F1017" s="1" t="str">
        <f ca="1">IFERROR(__xludf.DUMMYFUNCTION("""COMPUTED_VALUE"""),"98.24 China")</f>
        <v>98.24 China</v>
      </c>
      <c r="G1017" s="1" t="str">
        <f ca="1">IFERROR(__xludf.DUMMYFUNCTION("""COMPUTED_VALUE"""),"Freedom of Expression, Individuals At Risk")</f>
        <v>Freedom of Expression, Individuals At Risk</v>
      </c>
      <c r="H1017" s="1" t="str">
        <f ca="1">IFERROR(__xludf.DUMMYFUNCTION("""COMPUTED_VALUE"""),"2024")</f>
        <v>2024</v>
      </c>
      <c r="I1017" s="1" t="str">
        <f ca="1">IFERROR(__xludf.DUMMYFUNCTION("""COMPUTED_VALUE"""),"Letter")</f>
        <v>Letter</v>
      </c>
    </row>
    <row r="1018" spans="1:9" ht="13" x14ac:dyDescent="0.15">
      <c r="A1018" s="9">
        <f ca="1">IFERROR(__xludf.DUMMYFUNCTION("""COMPUTED_VALUE"""),40985103)</f>
        <v>40985103</v>
      </c>
      <c r="B1018" s="1" t="str">
        <f ca="1">IFERROR(__xludf.DUMMYFUNCTION("""COMPUTED_VALUE"""),"maggyjv27@gmail.com")</f>
        <v>maggyjv27@gmail.com</v>
      </c>
      <c r="C1018" s="9" t="str">
        <f ca="1">IFERROR(__xludf.DUMMYFUNCTION("""COMPUTED_VALUE"""),"EVERGREEN - UAN Gated Content - Embedded Petition")</f>
        <v>EVERGREEN - UAN Gated Content - Embedded Petition</v>
      </c>
      <c r="D1018" s="10">
        <f ca="1">IFERROR(__xludf.DUMMYFUNCTION("""COMPUTED_VALUE"""),45694)</f>
        <v>45694</v>
      </c>
      <c r="E1018" s="1" t="str">
        <f ca="1">IFERROR(__xludf.DUMMYFUNCTION("""COMPUTED_VALUE"""),"Venezuela")</f>
        <v>Venezuela</v>
      </c>
      <c r="F1018" s="1" t="str">
        <f ca="1">IFERROR(__xludf.DUMMYFUNCTION("""COMPUTED_VALUE"""),"97.24 Venezuela")</f>
        <v>97.24 Venezuela</v>
      </c>
      <c r="G1018" s="1" t="str">
        <f ca="1">IFERROR(__xludf.DUMMYFUNCTION("""COMPUTED_VALUE"""),"Freedom of Expression")</f>
        <v>Freedom of Expression</v>
      </c>
      <c r="H1018" s="1" t="str">
        <f ca="1">IFERROR(__xludf.DUMMYFUNCTION("""COMPUTED_VALUE"""),"2024")</f>
        <v>2024</v>
      </c>
      <c r="I1018" s="1" t="str">
        <f ca="1">IFERROR(__xludf.DUMMYFUNCTION("""COMPUTED_VALUE"""),"Letter")</f>
        <v>Letter</v>
      </c>
    </row>
    <row r="1019" spans="1:9" ht="13" x14ac:dyDescent="0.15">
      <c r="A1019" s="9">
        <f ca="1">IFERROR(__xludf.DUMMYFUNCTION("""COMPUTED_VALUE"""),40985400)</f>
        <v>40985400</v>
      </c>
      <c r="B1019" s="1" t="str">
        <f ca="1">IFERROR(__xludf.DUMMYFUNCTION("""COMPUTED_VALUE"""),"nannickers@gmail.com")</f>
        <v>nannickers@gmail.com</v>
      </c>
      <c r="C1019" s="9" t="str">
        <f ca="1">IFERROR(__xludf.DUMMYFUNCTION("""COMPUTED_VALUE"""),"EVERGREEN - UAN Gated Content - Embedded Petition")</f>
        <v>EVERGREEN - UAN Gated Content - Embedded Petition</v>
      </c>
      <c r="D1019" s="10">
        <f ca="1">IFERROR(__xludf.DUMMYFUNCTION("""COMPUTED_VALUE"""),45637)</f>
        <v>45637</v>
      </c>
      <c r="E1019" s="1" t="str">
        <f ca="1">IFERROR(__xludf.DUMMYFUNCTION("""COMPUTED_VALUE"""),"Egypt")</f>
        <v>Egypt</v>
      </c>
      <c r="F1019" s="1" t="str">
        <f ca="1">IFERROR(__xludf.DUMMYFUNCTION("""COMPUTED_VALUE"""),"Ninth 190.18 Egypt")</f>
        <v>Ninth 190.18 Egypt</v>
      </c>
      <c r="G1019" s="1" t="str">
        <f ca="1">IFERROR(__xludf.DUMMYFUNCTION("""COMPUTED_VALUE"""),"Freedom of Expression, Individuals At Risk")</f>
        <v>Freedom of Expression, Individuals At Risk</v>
      </c>
      <c r="H1019" s="1" t="str">
        <f ca="1">IFERROR(__xludf.DUMMYFUNCTION("""COMPUTED_VALUE"""),"2024")</f>
        <v>2024</v>
      </c>
      <c r="I1019" s="1" t="str">
        <f ca="1">IFERROR(__xludf.DUMMYFUNCTION("""COMPUTED_VALUE"""),"Letter")</f>
        <v>Letter</v>
      </c>
    </row>
    <row r="1020" spans="1:9" ht="13" x14ac:dyDescent="0.15">
      <c r="A1020" s="9">
        <f ca="1">IFERROR(__xludf.DUMMYFUNCTION("""COMPUTED_VALUE"""),40985400)</f>
        <v>40985400</v>
      </c>
      <c r="B1020" s="1" t="str">
        <f ca="1">IFERROR(__xludf.DUMMYFUNCTION("""COMPUTED_VALUE"""),"nannickers@gmail.com")</f>
        <v>nannickers@gmail.com</v>
      </c>
      <c r="C1020" s="9" t="str">
        <f ca="1">IFERROR(__xludf.DUMMYFUNCTION("""COMPUTED_VALUE"""),"EVERGREEN - UAN Gated Content - Embedded Petition")</f>
        <v>EVERGREEN - UAN Gated Content - Embedded Petition</v>
      </c>
      <c r="D1020" s="10">
        <f ca="1">IFERROR(__xludf.DUMMYFUNCTION("""COMPUTED_VALUE"""),45637)</f>
        <v>45637</v>
      </c>
      <c r="E1020" s="1" t="str">
        <f ca="1">IFERROR(__xludf.DUMMYFUNCTION("""COMPUTED_VALUE"""),"USA")</f>
        <v>USA</v>
      </c>
      <c r="F1020" s="1" t="str">
        <f ca="1">IFERROR(__xludf.DUMMYFUNCTION("""COMPUTED_VALUE"""),"105.24 USA")</f>
        <v>105.24 USA</v>
      </c>
      <c r="G1020" s="1" t="str">
        <f ca="1">IFERROR(__xludf.DUMMYFUNCTION("""COMPUTED_VALUE"""),"Death Penalty")</f>
        <v>Death Penalty</v>
      </c>
      <c r="H1020" s="1" t="str">
        <f ca="1">IFERROR(__xludf.DUMMYFUNCTION("""COMPUTED_VALUE"""),"2024")</f>
        <v>2024</v>
      </c>
      <c r="I1020" s="1" t="str">
        <f ca="1">IFERROR(__xludf.DUMMYFUNCTION("""COMPUTED_VALUE"""),"Email")</f>
        <v>Email</v>
      </c>
    </row>
    <row r="1021" spans="1:9" ht="13" x14ac:dyDescent="0.15">
      <c r="A1021" s="9">
        <f ca="1">IFERROR(__xludf.DUMMYFUNCTION("""COMPUTED_VALUE"""),40985400)</f>
        <v>40985400</v>
      </c>
      <c r="B1021" s="1" t="str">
        <f ca="1">IFERROR(__xludf.DUMMYFUNCTION("""COMPUTED_VALUE"""),"nannickers@gmail.com")</f>
        <v>nannickers@gmail.com</v>
      </c>
      <c r="C1021" s="9" t="str">
        <f ca="1">IFERROR(__xludf.DUMMYFUNCTION("""COMPUTED_VALUE"""),"EVERGREEN - UAN Gated Content - Embedded Petition")</f>
        <v>EVERGREEN - UAN Gated Content - Embedded Petition</v>
      </c>
      <c r="D1021" s="10">
        <f ca="1">IFERROR(__xludf.DUMMYFUNCTION("""COMPUTED_VALUE"""),45637)</f>
        <v>45637</v>
      </c>
      <c r="E1021" s="1" t="str">
        <f ca="1">IFERROR(__xludf.DUMMYFUNCTION("""COMPUTED_VALUE"""),"Russian Federation")</f>
        <v>Russian Federation</v>
      </c>
      <c r="F1021" s="1" t="str">
        <f ca="1">IFERROR(__xludf.DUMMYFUNCTION("""COMPUTED_VALUE"""),"Second 23.24 Russia")</f>
        <v>Second 23.24 Russia</v>
      </c>
      <c r="G1021" s="1" t="str">
        <f ca="1">IFERROR(__xludf.DUMMYFUNCTION("""COMPUTED_VALUE"""),"Freedom of Expression")</f>
        <v>Freedom of Expression</v>
      </c>
      <c r="H1021" s="1" t="str">
        <f ca="1">IFERROR(__xludf.DUMMYFUNCTION("""COMPUTED_VALUE"""),"2024")</f>
        <v>2024</v>
      </c>
      <c r="I1021" s="1" t="str">
        <f ca="1">IFERROR(__xludf.DUMMYFUNCTION("""COMPUTED_VALUE"""),"Letter")</f>
        <v>Letter</v>
      </c>
    </row>
    <row r="1022" spans="1:9" ht="13" x14ac:dyDescent="0.15">
      <c r="A1022" s="9">
        <f ca="1">IFERROR(__xludf.DUMMYFUNCTION("""COMPUTED_VALUE"""),40985400)</f>
        <v>40985400</v>
      </c>
      <c r="B1022" s="1" t="str">
        <f ca="1">IFERROR(__xludf.DUMMYFUNCTION("""COMPUTED_VALUE"""),"nannickers@gmail.com")</f>
        <v>nannickers@gmail.com</v>
      </c>
      <c r="C1022" s="9" t="str">
        <f ca="1">IFERROR(__xludf.DUMMYFUNCTION("""COMPUTED_VALUE"""),"EVERGREEN - UAN Gated Content - Embedded Petition")</f>
        <v>EVERGREEN - UAN Gated Content - Embedded Petition</v>
      </c>
      <c r="D1022" s="10">
        <f ca="1">IFERROR(__xludf.DUMMYFUNCTION("""COMPUTED_VALUE"""),45638)</f>
        <v>45638</v>
      </c>
      <c r="E1022" s="1" t="str">
        <f ca="1">IFERROR(__xludf.DUMMYFUNCTION("""COMPUTED_VALUE"""),"Niger")</f>
        <v>Niger</v>
      </c>
      <c r="F1022" s="1" t="str">
        <f ca="1">IFERROR(__xludf.DUMMYFUNCTION("""COMPUTED_VALUE"""),"103.24 Niger")</f>
        <v>103.24 Niger</v>
      </c>
      <c r="G1022" s="1" t="str">
        <f ca="1">IFERROR(__xludf.DUMMYFUNCTION("""COMPUTED_VALUE"""),"Freedom of Expression, Human Rights Defenders")</f>
        <v>Freedom of Expression, Human Rights Defenders</v>
      </c>
      <c r="H1022" s="1" t="str">
        <f ca="1">IFERROR(__xludf.DUMMYFUNCTION("""COMPUTED_VALUE"""),"2024")</f>
        <v>2024</v>
      </c>
      <c r="I1022" s="1" t="str">
        <f ca="1">IFERROR(__xludf.DUMMYFUNCTION("""COMPUTED_VALUE"""),"Email")</f>
        <v>Email</v>
      </c>
    </row>
    <row r="1023" spans="1:9" ht="13" x14ac:dyDescent="0.15">
      <c r="A1023" s="9">
        <f ca="1">IFERROR(__xludf.DUMMYFUNCTION("""COMPUTED_VALUE"""),40985400)</f>
        <v>40985400</v>
      </c>
      <c r="B1023" s="1" t="str">
        <f ca="1">IFERROR(__xludf.DUMMYFUNCTION("""COMPUTED_VALUE"""),"nannickers@gmail.com")</f>
        <v>nannickers@gmail.com</v>
      </c>
      <c r="C1023" s="9" t="str">
        <f ca="1">IFERROR(__xludf.DUMMYFUNCTION("""COMPUTED_VALUE"""),"EVERGREEN - UAN Gated Content - Embedded Petition")</f>
        <v>EVERGREEN - UAN Gated Content - Embedded Petition</v>
      </c>
      <c r="D1023" s="10">
        <f ca="1">IFERROR(__xludf.DUMMYFUNCTION("""COMPUTED_VALUE"""),45636)</f>
        <v>45636</v>
      </c>
      <c r="E1023" s="1" t="str">
        <f ca="1">IFERROR(__xludf.DUMMYFUNCTION("""COMPUTED_VALUE"""),"Israel and Occupied Palestinian Territories")</f>
        <v>Israel and Occupied Palestinian Territories</v>
      </c>
      <c r="F1023" s="1" t="str">
        <f ca="1">IFERROR(__xludf.DUMMYFUNCTION("""COMPUTED_VALUE"""),"3.25 IOPT")</f>
        <v>3.25 IOPT</v>
      </c>
      <c r="G1023" s="1" t="str">
        <f ca="1">IFERROR(__xludf.DUMMYFUNCTION("""COMPUTED_VALUE"""),"Freedom of Expression, Individuals At Risk")</f>
        <v>Freedom of Expression, Individuals At Risk</v>
      </c>
      <c r="H1023" s="1" t="str">
        <f ca="1">IFERROR(__xludf.DUMMYFUNCTION("""COMPUTED_VALUE"""),"2025")</f>
        <v>2025</v>
      </c>
      <c r="I1023" s="1" t="str">
        <f ca="1">IFERROR(__xludf.DUMMYFUNCTION("""COMPUTED_VALUE"""),"Email")</f>
        <v>Email</v>
      </c>
    </row>
    <row r="1024" spans="1:9" ht="13" x14ac:dyDescent="0.15">
      <c r="A1024" s="9">
        <f ca="1">IFERROR(__xludf.DUMMYFUNCTION("""COMPUTED_VALUE"""),40985400)</f>
        <v>40985400</v>
      </c>
      <c r="B1024" s="1" t="str">
        <f ca="1">IFERROR(__xludf.DUMMYFUNCTION("""COMPUTED_VALUE"""),"nannickers@gmail.com")</f>
        <v>nannickers@gmail.com</v>
      </c>
      <c r="C1024" s="9" t="str">
        <f ca="1">IFERROR(__xludf.DUMMYFUNCTION("""COMPUTED_VALUE"""),"EVERGREEN - UAN Gated Content - Embedded Petition")</f>
        <v>EVERGREEN - UAN Gated Content - Embedded Petition</v>
      </c>
      <c r="D1024" s="10">
        <f ca="1">IFERROR(__xludf.DUMMYFUNCTION("""COMPUTED_VALUE"""),45636)</f>
        <v>45636</v>
      </c>
      <c r="E1024" s="1" t="str">
        <f ca="1">IFERROR(__xludf.DUMMYFUNCTION("""COMPUTED_VALUE"""),"USA")</f>
        <v>USA</v>
      </c>
      <c r="F1024" s="1" t="str">
        <f ca="1">IFERROR(__xludf.DUMMYFUNCTION("""COMPUTED_VALUE"""),"4.25 USA")</f>
        <v>4.25 USA</v>
      </c>
      <c r="G1024" s="1" t="str">
        <f ca="1">IFERROR(__xludf.DUMMYFUNCTION("""COMPUTED_VALUE"""),"Individuals At Risk, Refugee and Migrant Rights")</f>
        <v>Individuals At Risk, Refugee and Migrant Rights</v>
      </c>
      <c r="H1024" s="1" t="str">
        <f ca="1">IFERROR(__xludf.DUMMYFUNCTION("""COMPUTED_VALUE"""),"2025")</f>
        <v>2025</v>
      </c>
      <c r="I1024" s="1" t="str">
        <f ca="1">IFERROR(__xludf.DUMMYFUNCTION("""COMPUTED_VALUE"""),"Letter")</f>
        <v>Letter</v>
      </c>
    </row>
    <row r="1025" spans="1:9" ht="13" x14ac:dyDescent="0.15">
      <c r="A1025" s="9">
        <f ca="1">IFERROR(__xludf.DUMMYFUNCTION("""COMPUTED_VALUE"""),40985400)</f>
        <v>40985400</v>
      </c>
      <c r="B1025" s="1" t="str">
        <f ca="1">IFERROR(__xludf.DUMMYFUNCTION("""COMPUTED_VALUE"""),"nannickers@gmail.com")</f>
        <v>nannickers@gmail.com</v>
      </c>
      <c r="C1025" s="9" t="str">
        <f ca="1">IFERROR(__xludf.DUMMYFUNCTION("""COMPUTED_VALUE"""),"EVERGREEN - UAN Gated Content - Embedded Petition")</f>
        <v>EVERGREEN - UAN Gated Content - Embedded Petition</v>
      </c>
      <c r="D1025" s="10">
        <f ca="1">IFERROR(__xludf.DUMMYFUNCTION("""COMPUTED_VALUE"""),45624)</f>
        <v>45624</v>
      </c>
      <c r="E1025" s="1" t="str">
        <f ca="1">IFERROR(__xludf.DUMMYFUNCTION("""COMPUTED_VALUE"""),"Tunisia")</f>
        <v>Tunisia</v>
      </c>
      <c r="F1025" s="1" t="str">
        <f ca="1">IFERROR(__xludf.DUMMYFUNCTION("""COMPUTED_VALUE"""),"Second 76.24 Tunisia")</f>
        <v>Second 76.24 Tunisia</v>
      </c>
      <c r="G1025" s="1" t="str">
        <f ca="1">IFERROR(__xludf.DUMMYFUNCTION("""COMPUTED_VALUE"""),"Freedom of Expression, Human Rights Defenders")</f>
        <v>Freedom of Expression, Human Rights Defenders</v>
      </c>
      <c r="H1025" s="1" t="str">
        <f ca="1">IFERROR(__xludf.DUMMYFUNCTION("""COMPUTED_VALUE"""),"2025")</f>
        <v>2025</v>
      </c>
      <c r="I1025" s="1" t="str">
        <f ca="1">IFERROR(__xludf.DUMMYFUNCTION("""COMPUTED_VALUE"""),"Email")</f>
        <v>Email</v>
      </c>
    </row>
    <row r="1026" spans="1:9" ht="13" x14ac:dyDescent="0.15">
      <c r="A1026" s="9">
        <f ca="1">IFERROR(__xludf.DUMMYFUNCTION("""COMPUTED_VALUE"""),40985400)</f>
        <v>40985400</v>
      </c>
      <c r="B1026" s="1" t="str">
        <f ca="1">IFERROR(__xludf.DUMMYFUNCTION("""COMPUTED_VALUE"""),"nannickers@gmail.com")</f>
        <v>nannickers@gmail.com</v>
      </c>
      <c r="C1026" s="9" t="str">
        <f ca="1">IFERROR(__xludf.DUMMYFUNCTION("""COMPUTED_VALUE"""),"EVERGREEN - UAN Gated Content - Embedded Petition")</f>
        <v>EVERGREEN - UAN Gated Content - Embedded Petition</v>
      </c>
      <c r="D1026" s="10">
        <f ca="1">IFERROR(__xludf.DUMMYFUNCTION("""COMPUTED_VALUE"""),45625)</f>
        <v>45625</v>
      </c>
      <c r="E1026" s="1" t="str">
        <f ca="1">IFERROR(__xludf.DUMMYFUNCTION("""COMPUTED_VALUE"""),"Egypt")</f>
        <v>Egypt</v>
      </c>
      <c r="F1026" s="1" t="str">
        <f ca="1">IFERROR(__xludf.DUMMYFUNCTION("""COMPUTED_VALUE"""),"Second 80.23 Egypt")</f>
        <v>Second 80.23 Egypt</v>
      </c>
      <c r="G1026" s="1" t="str">
        <f ca="1">IFERROR(__xludf.DUMMYFUNCTION("""COMPUTED_VALUE"""),"Health, Individuals At Risk")</f>
        <v>Health, Individuals At Risk</v>
      </c>
      <c r="H1026" s="1" t="str">
        <f ca="1">IFERROR(__xludf.DUMMYFUNCTION("""COMPUTED_VALUE"""),"2025")</f>
        <v>2025</v>
      </c>
      <c r="I1026" s="1" t="str">
        <f ca="1">IFERROR(__xludf.DUMMYFUNCTION("""COMPUTED_VALUE"""),"Email")</f>
        <v>Email</v>
      </c>
    </row>
    <row r="1027" spans="1:9" ht="13" x14ac:dyDescent="0.15">
      <c r="A1027" s="9">
        <f ca="1">IFERROR(__xludf.DUMMYFUNCTION("""COMPUTED_VALUE"""),40985400)</f>
        <v>40985400</v>
      </c>
      <c r="B1027" s="1" t="str">
        <f ca="1">IFERROR(__xludf.DUMMYFUNCTION("""COMPUTED_VALUE"""),"nannickers@gmail.com")</f>
        <v>nannickers@gmail.com</v>
      </c>
      <c r="C1027" s="9" t="str">
        <f ca="1">IFERROR(__xludf.DUMMYFUNCTION("""COMPUTED_VALUE"""),"EVERGREEN - UAN Gated Content - Embedded Petition")</f>
        <v>EVERGREEN - UAN Gated Content - Embedded Petition</v>
      </c>
      <c r="D1027" s="10">
        <f ca="1">IFERROR(__xludf.DUMMYFUNCTION("""COMPUTED_VALUE"""),45681)</f>
        <v>45681</v>
      </c>
      <c r="E1027" s="1" t="str">
        <f ca="1">IFERROR(__xludf.DUMMYFUNCTION("""COMPUTED_VALUE"""),"Uganda")</f>
        <v>Uganda</v>
      </c>
      <c r="F1027" s="1" t="str">
        <f ca="1">IFERROR(__xludf.DUMMYFUNCTION("""COMPUTED_VALUE"""),"9.25 Uganda")</f>
        <v>9.25 Uganda</v>
      </c>
      <c r="G1027" s="1" t="str">
        <f ca="1">IFERROR(__xludf.DUMMYFUNCTION("""COMPUTED_VALUE"""),"Freedom of Expression, Human Rights Defenders")</f>
        <v>Freedom of Expression, Human Rights Defenders</v>
      </c>
      <c r="H1027" s="1" t="str">
        <f ca="1">IFERROR(__xludf.DUMMYFUNCTION("""COMPUTED_VALUE"""),"2025")</f>
        <v>2025</v>
      </c>
      <c r="I1027" s="1" t="str">
        <f ca="1">IFERROR(__xludf.DUMMYFUNCTION("""COMPUTED_VALUE"""),"Email")</f>
        <v>Email</v>
      </c>
    </row>
    <row r="1028" spans="1:9" ht="13" x14ac:dyDescent="0.15">
      <c r="A1028" s="9">
        <f ca="1">IFERROR(__xludf.DUMMYFUNCTION("""COMPUTED_VALUE"""),40985400)</f>
        <v>40985400</v>
      </c>
      <c r="B1028" s="1" t="str">
        <f ca="1">IFERROR(__xludf.DUMMYFUNCTION("""COMPUTED_VALUE"""),"nannickers@gmail.com")</f>
        <v>nannickers@gmail.com</v>
      </c>
      <c r="C1028" s="9" t="str">
        <f ca="1">IFERROR(__xludf.DUMMYFUNCTION("""COMPUTED_VALUE"""),"EVERGREEN - UAN Gated Content - Embedded Petition")</f>
        <v>EVERGREEN - UAN Gated Content - Embedded Petition</v>
      </c>
      <c r="D1028" s="10">
        <f ca="1">IFERROR(__xludf.DUMMYFUNCTION("""COMPUTED_VALUE"""),45681)</f>
        <v>45681</v>
      </c>
      <c r="E1028" s="1" t="str">
        <f ca="1">IFERROR(__xludf.DUMMYFUNCTION("""COMPUTED_VALUE"""),"Saudi Arabia")</f>
        <v>Saudi Arabia</v>
      </c>
      <c r="F1028" s="1" t="str">
        <f ca="1">IFERROR(__xludf.DUMMYFUNCTION("""COMPUTED_VALUE"""),"Fifth 257.12")</f>
        <v>Fifth 257.12</v>
      </c>
      <c r="G1028" s="1" t="str">
        <f ca="1">IFERROR(__xludf.DUMMYFUNCTION("""COMPUTED_VALUE"""),"Freedom of Expression, Human Rights Defenders")</f>
        <v>Freedom of Expression, Human Rights Defenders</v>
      </c>
      <c r="H1028" s="1" t="str">
        <f ca="1">IFERROR(__xludf.DUMMYFUNCTION("""COMPUTED_VALUE"""),"2025")</f>
        <v>2025</v>
      </c>
      <c r="I1028" s="1" t="str">
        <f ca="1">IFERROR(__xludf.DUMMYFUNCTION("""COMPUTED_VALUE"""),"Email")</f>
        <v>Email</v>
      </c>
    </row>
    <row r="1029" spans="1:9" ht="13" x14ac:dyDescent="0.15">
      <c r="A1029" s="9">
        <f ca="1">IFERROR(__xludf.DUMMYFUNCTION("""COMPUTED_VALUE"""),40985400)</f>
        <v>40985400</v>
      </c>
      <c r="B1029" s="1" t="str">
        <f ca="1">IFERROR(__xludf.DUMMYFUNCTION("""COMPUTED_VALUE"""),"nannickers@gmail.com")</f>
        <v>nannickers@gmail.com</v>
      </c>
      <c r="C1029" s="9" t="str">
        <f ca="1">IFERROR(__xludf.DUMMYFUNCTION("""COMPUTED_VALUE"""),"EVERGREEN - UAN Gated Content - Embedded Petition")</f>
        <v>EVERGREEN - UAN Gated Content - Embedded Petition</v>
      </c>
      <c r="D1029" s="10">
        <f ca="1">IFERROR(__xludf.DUMMYFUNCTION("""COMPUTED_VALUE"""),45616)</f>
        <v>45616</v>
      </c>
      <c r="E1029" s="1" t="str">
        <f ca="1">IFERROR(__xludf.DUMMYFUNCTION("""COMPUTED_VALUE"""),"Afghanistan")</f>
        <v>Afghanistan</v>
      </c>
      <c r="F1029" s="1" t="str">
        <f ca="1">IFERROR(__xludf.DUMMYFUNCTION("""COMPUTED_VALUE"""),"11.25 Afghanistan")</f>
        <v>11.25 Afghanistan</v>
      </c>
      <c r="G1029" s="1" t="str">
        <f ca="1">IFERROR(__xludf.DUMMYFUNCTION("""COMPUTED_VALUE"""),"Freedom of Expression, Health, Individuals At Risk")</f>
        <v>Freedom of Expression, Health, Individuals At Risk</v>
      </c>
      <c r="H1029" s="1" t="str">
        <f ca="1">IFERROR(__xludf.DUMMYFUNCTION("""COMPUTED_VALUE"""),"2025")</f>
        <v>2025</v>
      </c>
      <c r="I1029" s="1" t="str">
        <f ca="1">IFERROR(__xludf.DUMMYFUNCTION("""COMPUTED_VALUE"""),"Email")</f>
        <v>Email</v>
      </c>
    </row>
    <row r="1030" spans="1:9" ht="13" x14ac:dyDescent="0.15">
      <c r="A1030" s="9">
        <f ca="1">IFERROR(__xludf.DUMMYFUNCTION("""COMPUTED_VALUE"""),40985400)</f>
        <v>40985400</v>
      </c>
      <c r="B1030" s="1" t="str">
        <f ca="1">IFERROR(__xludf.DUMMYFUNCTION("""COMPUTED_VALUE"""),"nannickers@gmail.com")</f>
        <v>nannickers@gmail.com</v>
      </c>
      <c r="C1030" s="9" t="str">
        <f ca="1">IFERROR(__xludf.DUMMYFUNCTION("""COMPUTED_VALUE"""),"EVERGREEN - UAN Gated Content - Embedded Petition")</f>
        <v>EVERGREEN - UAN Gated Content - Embedded Petition</v>
      </c>
      <c r="D1030" s="10">
        <f ca="1">IFERROR(__xludf.DUMMYFUNCTION("""COMPUTED_VALUE"""),45695)</f>
        <v>45695</v>
      </c>
      <c r="E1030" s="1" t="str">
        <f ca="1">IFERROR(__xludf.DUMMYFUNCTION("""COMPUTED_VALUE"""),"Libya")</f>
        <v>Libya</v>
      </c>
      <c r="F1030" s="1" t="str">
        <f ca="1">IFERROR(__xludf.DUMMYFUNCTION("""COMPUTED_VALUE"""),"12.25 Libya")</f>
        <v>12.25 Libya</v>
      </c>
      <c r="G1030" s="1" t="str">
        <f ca="1">IFERROR(__xludf.DUMMYFUNCTION("""COMPUTED_VALUE"""),"Freedom of Expression, Health, Individuals At Risk")</f>
        <v>Freedom of Expression, Health, Individuals At Risk</v>
      </c>
      <c r="H1030" s="1" t="str">
        <f ca="1">IFERROR(__xludf.DUMMYFUNCTION("""COMPUTED_VALUE"""),"2025")</f>
        <v>2025</v>
      </c>
      <c r="I1030" s="1" t="str">
        <f ca="1">IFERROR(__xludf.DUMMYFUNCTION("""COMPUTED_VALUE"""),"Email")</f>
        <v>Email</v>
      </c>
    </row>
    <row r="1031" spans="1:9" ht="13" x14ac:dyDescent="0.15">
      <c r="A1031" s="9">
        <f ca="1">IFERROR(__xludf.DUMMYFUNCTION("""COMPUTED_VALUE"""),40985400)</f>
        <v>40985400</v>
      </c>
      <c r="B1031" s="1" t="str">
        <f ca="1">IFERROR(__xludf.DUMMYFUNCTION("""COMPUTED_VALUE"""),"nannickers@gmail.com")</f>
        <v>nannickers@gmail.com</v>
      </c>
      <c r="C1031" s="9" t="str">
        <f ca="1">IFERROR(__xludf.DUMMYFUNCTION("""COMPUTED_VALUE"""),"EVERGREEN - UAN Gated Content - Embedded Petition")</f>
        <v>EVERGREEN - UAN Gated Content - Embedded Petition</v>
      </c>
      <c r="D1031" s="10">
        <f ca="1">IFERROR(__xludf.DUMMYFUNCTION("""COMPUTED_VALUE"""),45695)</f>
        <v>45695</v>
      </c>
      <c r="E1031" s="1" t="str">
        <f ca="1">IFERROR(__xludf.DUMMYFUNCTION("""COMPUTED_VALUE"""),"Tunisia")</f>
        <v>Tunisia</v>
      </c>
      <c r="F1031" s="1" t="str">
        <f ca="1">IFERROR(__xludf.DUMMYFUNCTION("""COMPUTED_VALUE"""),"Second 76.24 Tunisia")</f>
        <v>Second 76.24 Tunisia</v>
      </c>
      <c r="G1031" s="1" t="str">
        <f ca="1">IFERROR(__xludf.DUMMYFUNCTION("""COMPUTED_VALUE"""),"Freedom of Expression, Human Rights Defenders")</f>
        <v>Freedom of Expression, Human Rights Defenders</v>
      </c>
      <c r="H1031" s="1" t="str">
        <f ca="1">IFERROR(__xludf.DUMMYFUNCTION("""COMPUTED_VALUE"""),"2025")</f>
        <v>2025</v>
      </c>
      <c r="I1031" s="1" t="str">
        <f ca="1">IFERROR(__xludf.DUMMYFUNCTION("""COMPUTED_VALUE"""),"Email")</f>
        <v>Email</v>
      </c>
    </row>
    <row r="1032" spans="1:9" ht="13" x14ac:dyDescent="0.15">
      <c r="A1032" s="9">
        <f ca="1">IFERROR(__xludf.DUMMYFUNCTION("""COMPUTED_VALUE"""),40986110)</f>
        <v>40986110</v>
      </c>
      <c r="B1032" s="1" t="str">
        <f ca="1">IFERROR(__xludf.DUMMYFUNCTION("""COMPUTED_VALUE"""),"vincentamari1@gmail.com")</f>
        <v>vincentamari1@gmail.com</v>
      </c>
      <c r="C1032" s="9" t="str">
        <f ca="1">IFERROR(__xludf.DUMMYFUNCTION("""COMPUTED_VALUE"""),"EVERGREEN - UAN Gated Content - Embedded Petition")</f>
        <v>EVERGREEN - UAN Gated Content - Embedded Petition</v>
      </c>
      <c r="D1032" s="10">
        <f ca="1">IFERROR(__xludf.DUMMYFUNCTION("""COMPUTED_VALUE"""),45694)</f>
        <v>45694</v>
      </c>
      <c r="E1032" s="1" t="str">
        <f ca="1">IFERROR(__xludf.DUMMYFUNCTION("""COMPUTED_VALUE"""),"Tunisia")</f>
        <v>Tunisia</v>
      </c>
      <c r="F1032" s="1" t="str">
        <f ca="1">IFERROR(__xludf.DUMMYFUNCTION("""COMPUTED_VALUE"""),"Second 76.24 Tunisia")</f>
        <v>Second 76.24 Tunisia</v>
      </c>
      <c r="G1032" s="1" t="str">
        <f ca="1">IFERROR(__xludf.DUMMYFUNCTION("""COMPUTED_VALUE"""),"Freedom of Expression, Human Rights Defenders")</f>
        <v>Freedom of Expression, Human Rights Defenders</v>
      </c>
      <c r="H1032" s="1" t="str">
        <f ca="1">IFERROR(__xludf.DUMMYFUNCTION("""COMPUTED_VALUE"""),"2025")</f>
        <v>2025</v>
      </c>
      <c r="I1032" s="1" t="str">
        <f ca="1">IFERROR(__xludf.DUMMYFUNCTION("""COMPUTED_VALUE"""),"Email")</f>
        <v>Email</v>
      </c>
    </row>
    <row r="1033" spans="1:9" ht="13" x14ac:dyDescent="0.15">
      <c r="A1033" s="9">
        <f ca="1">IFERROR(__xludf.DUMMYFUNCTION("""COMPUTED_VALUE"""),47173578)</f>
        <v>47173578</v>
      </c>
      <c r="B1033" s="1" t="str">
        <f ca="1">IFERROR(__xludf.DUMMYFUNCTION("""COMPUTED_VALUE"""),"jameslinda81@gmail.com")</f>
        <v>jameslinda81@gmail.com</v>
      </c>
      <c r="C1033" s="9" t="str">
        <f ca="1">IFERROR(__xludf.DUMMYFUNCTION("""COMPUTED_VALUE"""),"EVERGREEN - UAN Gated Content - Embedded Petition")</f>
        <v>EVERGREEN - UAN Gated Content - Embedded Petition</v>
      </c>
      <c r="D1033" s="10">
        <f ca="1">IFERROR(__xludf.DUMMYFUNCTION("""COMPUTED_VALUE"""),45674)</f>
        <v>45674</v>
      </c>
      <c r="E1033" s="1" t="str">
        <f ca="1">IFERROR(__xludf.DUMMYFUNCTION("""COMPUTED_VALUE"""),"Tunisia")</f>
        <v>Tunisia</v>
      </c>
      <c r="F1033" s="1" t="str">
        <f ca="1">IFERROR(__xludf.DUMMYFUNCTION("""COMPUTED_VALUE"""),"Second 76.24 Tunisia")</f>
        <v>Second 76.24 Tunisia</v>
      </c>
      <c r="G1033" s="1" t="str">
        <f ca="1">IFERROR(__xludf.DUMMYFUNCTION("""COMPUTED_VALUE"""),"Freedom of Expression, Human Rights Defenders")</f>
        <v>Freedom of Expression, Human Rights Defenders</v>
      </c>
      <c r="H1033" s="1" t="str">
        <f ca="1">IFERROR(__xludf.DUMMYFUNCTION("""COMPUTED_VALUE"""),"2025")</f>
        <v>2025</v>
      </c>
      <c r="I1033" s="1" t="str">
        <f ca="1">IFERROR(__xludf.DUMMYFUNCTION("""COMPUTED_VALUE"""),"Email")</f>
        <v>Email</v>
      </c>
    </row>
    <row r="1034" spans="1:9" ht="13" x14ac:dyDescent="0.15">
      <c r="A1034" s="9">
        <f ca="1">IFERROR(__xludf.DUMMYFUNCTION("""COMPUTED_VALUE"""),48608602)</f>
        <v>48608602</v>
      </c>
      <c r="B1034" s="1" t="str">
        <f ca="1">IFERROR(__xludf.DUMMYFUNCTION("""COMPUTED_VALUE"""),"alicia@alilippman.com")</f>
        <v>alicia@alilippman.com</v>
      </c>
      <c r="C1034" s="9" t="str">
        <f ca="1">IFERROR(__xludf.DUMMYFUNCTION("""COMPUTED_VALUE"""),"EVERGREEN - UAN Gated Content - Embedded Petition")</f>
        <v>EVERGREEN - UAN Gated Content - Embedded Petition</v>
      </c>
      <c r="D1034" s="10">
        <f ca="1">IFERROR(__xludf.DUMMYFUNCTION("""COMPUTED_VALUE"""),45616)</f>
        <v>45616</v>
      </c>
      <c r="E1034" s="1" t="str">
        <f ca="1">IFERROR(__xludf.DUMMYFUNCTION("""COMPUTED_VALUE"""),"Tunisia")</f>
        <v>Tunisia</v>
      </c>
      <c r="F1034" s="1" t="str">
        <f ca="1">IFERROR(__xludf.DUMMYFUNCTION("""COMPUTED_VALUE"""),"Second 76.24 Tunisia")</f>
        <v>Second 76.24 Tunisia</v>
      </c>
      <c r="G1034" s="1" t="str">
        <f ca="1">IFERROR(__xludf.DUMMYFUNCTION("""COMPUTED_VALUE"""),"Freedom of Expression, Human Rights Defenders")</f>
        <v>Freedom of Expression, Human Rights Defenders</v>
      </c>
      <c r="H1034" s="1" t="str">
        <f ca="1">IFERROR(__xludf.DUMMYFUNCTION("""COMPUTED_VALUE"""),"2025")</f>
        <v>2025</v>
      </c>
      <c r="I1034" s="1" t="str">
        <f ca="1">IFERROR(__xludf.DUMMYFUNCTION("""COMPUTED_VALUE"""),"Email")</f>
        <v>Email</v>
      </c>
    </row>
    <row r="1035" spans="1:9" ht="13" x14ac:dyDescent="0.15">
      <c r="A1035" s="9">
        <f ca="1">IFERROR(__xludf.DUMMYFUNCTION("""COMPUTED_VALUE"""),48608602)</f>
        <v>48608602</v>
      </c>
      <c r="B1035" s="1" t="str">
        <f ca="1">IFERROR(__xludf.DUMMYFUNCTION("""COMPUTED_VALUE"""),"alicia@alilippman.com")</f>
        <v>alicia@alilippman.com</v>
      </c>
      <c r="C1035" s="9" t="str">
        <f ca="1">IFERROR(__xludf.DUMMYFUNCTION("""COMPUTED_VALUE"""),"EVERGREEN - UAN Gated Content - Embedded Petition")</f>
        <v>EVERGREEN - UAN Gated Content - Embedded Petition</v>
      </c>
      <c r="D1035" s="10">
        <f ca="1">IFERROR(__xludf.DUMMYFUNCTION("""COMPUTED_VALUE"""),45616)</f>
        <v>45616</v>
      </c>
      <c r="E1035" s="1" t="str">
        <f ca="1">IFERROR(__xludf.DUMMYFUNCTION("""COMPUTED_VALUE"""),"Niger")</f>
        <v>Niger</v>
      </c>
      <c r="F1035" s="1" t="str">
        <f ca="1">IFERROR(__xludf.DUMMYFUNCTION("""COMPUTED_VALUE"""),"103.24 Niger")</f>
        <v>103.24 Niger</v>
      </c>
      <c r="G1035" s="1" t="str">
        <f ca="1">IFERROR(__xludf.DUMMYFUNCTION("""COMPUTED_VALUE"""),"Freedom of Expression, Human Rights Defenders")</f>
        <v>Freedom of Expression, Human Rights Defenders</v>
      </c>
      <c r="H1035" s="1" t="str">
        <f ca="1">IFERROR(__xludf.DUMMYFUNCTION("""COMPUTED_VALUE"""),"2024")</f>
        <v>2024</v>
      </c>
      <c r="I1035" s="1" t="str">
        <f ca="1">IFERROR(__xludf.DUMMYFUNCTION("""COMPUTED_VALUE"""),"Email")</f>
        <v>Email</v>
      </c>
    </row>
    <row r="1036" spans="1:9" ht="13" x14ac:dyDescent="0.15">
      <c r="A1036" s="9">
        <f ca="1">IFERROR(__xludf.DUMMYFUNCTION("""COMPUTED_VALUE"""),49033409)</f>
        <v>49033409</v>
      </c>
      <c r="B1036" s="1" t="str">
        <f ca="1">IFERROR(__xludf.DUMMYFUNCTION("""COMPUTED_VALUE"""),"304pms@gmail.com")</f>
        <v>304pms@gmail.com</v>
      </c>
      <c r="C1036" s="9" t="str">
        <f ca="1">IFERROR(__xludf.DUMMYFUNCTION("""COMPUTED_VALUE"""),"EVERGREEN - UAN Gated Content - Embedded Petition")</f>
        <v>EVERGREEN - UAN Gated Content - Embedded Petition</v>
      </c>
      <c r="D1036" s="10">
        <f ca="1">IFERROR(__xludf.DUMMYFUNCTION("""COMPUTED_VALUE"""),45674)</f>
        <v>45674</v>
      </c>
      <c r="E1036" s="1" t="str">
        <f ca="1">IFERROR(__xludf.DUMMYFUNCTION("""COMPUTED_VALUE"""),"Iran")</f>
        <v>Iran</v>
      </c>
      <c r="F1036" s="1" t="str">
        <f ca="1">IFERROR(__xludf.DUMMYFUNCTION("""COMPUTED_VALUE"""),"Seventh 103.22 Iran")</f>
        <v>Seventh 103.22 Iran</v>
      </c>
      <c r="G1036" s="1" t="str">
        <f ca="1">IFERROR(__xludf.DUMMYFUNCTION("""COMPUTED_VALUE"""),"Death Penalty, Freedom of Expression, Individuals At Risk")</f>
        <v>Death Penalty, Freedom of Expression, Individuals At Risk</v>
      </c>
      <c r="H1036" s="1" t="str">
        <f ca="1">IFERROR(__xludf.DUMMYFUNCTION("""COMPUTED_VALUE"""),"2024")</f>
        <v>2024</v>
      </c>
      <c r="I1036" s="1" t="str">
        <f ca="1">IFERROR(__xludf.DUMMYFUNCTION("""COMPUTED_VALUE"""),"Email")</f>
        <v>Email</v>
      </c>
    </row>
    <row r="1037" spans="1:9" ht="13" x14ac:dyDescent="0.15">
      <c r="A1037" s="9">
        <f ca="1">IFERROR(__xludf.DUMMYFUNCTION("""COMPUTED_VALUE"""),49033409)</f>
        <v>49033409</v>
      </c>
      <c r="B1037" s="1" t="str">
        <f ca="1">IFERROR(__xludf.DUMMYFUNCTION("""COMPUTED_VALUE"""),"304pms@gmail.com")</f>
        <v>304pms@gmail.com</v>
      </c>
      <c r="C1037" s="9" t="str">
        <f ca="1">IFERROR(__xludf.DUMMYFUNCTION("""COMPUTED_VALUE"""),"EVERGREEN - UAN Gated Content - Embedded Petition")</f>
        <v>EVERGREEN - UAN Gated Content - Embedded Petition</v>
      </c>
      <c r="D1037" s="10">
        <f ca="1">IFERROR(__xludf.DUMMYFUNCTION("""COMPUTED_VALUE"""),45674)</f>
        <v>45674</v>
      </c>
      <c r="E1037" s="1" t="str">
        <f ca="1">IFERROR(__xludf.DUMMYFUNCTION("""COMPUTED_VALUE"""),"Iran")</f>
        <v>Iran</v>
      </c>
      <c r="F1037" s="1" t="str">
        <f ca="1">IFERROR(__xludf.DUMMYFUNCTION("""COMPUTED_VALUE"""),"Seventh 103.22 Iran")</f>
        <v>Seventh 103.22 Iran</v>
      </c>
      <c r="G1037" s="1" t="str">
        <f ca="1">IFERROR(__xludf.DUMMYFUNCTION("""COMPUTED_VALUE"""),"Death Penalty, Freedom of Expression, Individuals At Risk")</f>
        <v>Death Penalty, Freedom of Expression, Individuals At Risk</v>
      </c>
      <c r="H1037" s="1" t="str">
        <f ca="1">IFERROR(__xludf.DUMMYFUNCTION("""COMPUTED_VALUE"""),"2024")</f>
        <v>2024</v>
      </c>
      <c r="I1037" s="1" t="str">
        <f ca="1">IFERROR(__xludf.DUMMYFUNCTION("""COMPUTED_VALUE"""),"Email")</f>
        <v>Email</v>
      </c>
    </row>
    <row r="1038" spans="1:9" ht="13" x14ac:dyDescent="0.15">
      <c r="A1038" s="9">
        <f ca="1">IFERROR(__xludf.DUMMYFUNCTION("""COMPUTED_VALUE"""),49033409)</f>
        <v>49033409</v>
      </c>
      <c r="B1038" s="1" t="str">
        <f ca="1">IFERROR(__xludf.DUMMYFUNCTION("""COMPUTED_VALUE"""),"304pms@gmail.com")</f>
        <v>304pms@gmail.com</v>
      </c>
      <c r="C1038" s="9" t="str">
        <f ca="1">IFERROR(__xludf.DUMMYFUNCTION("""COMPUTED_VALUE"""),"EVERGREEN - UAN Gated Content - Embedded Petition")</f>
        <v>EVERGREEN - UAN Gated Content - Embedded Petition</v>
      </c>
      <c r="D1038" s="10">
        <f ca="1">IFERROR(__xludf.DUMMYFUNCTION("""COMPUTED_VALUE"""),45674)</f>
        <v>45674</v>
      </c>
      <c r="E1038" s="1" t="str">
        <f ca="1">IFERROR(__xludf.DUMMYFUNCTION("""COMPUTED_VALUE"""),"Venezuela")</f>
        <v>Venezuela</v>
      </c>
      <c r="F1038" s="1" t="str">
        <f ca="1">IFERROR(__xludf.DUMMYFUNCTION("""COMPUTED_VALUE"""),"97.24 Venezuela")</f>
        <v>97.24 Venezuela</v>
      </c>
      <c r="G1038" s="1" t="str">
        <f ca="1">IFERROR(__xludf.DUMMYFUNCTION("""COMPUTED_VALUE"""),"Freedom of Expression")</f>
        <v>Freedom of Expression</v>
      </c>
      <c r="H1038" s="1" t="str">
        <f ca="1">IFERROR(__xludf.DUMMYFUNCTION("""COMPUTED_VALUE"""),"2024")</f>
        <v>2024</v>
      </c>
      <c r="I1038" s="1" t="str">
        <f ca="1">IFERROR(__xludf.DUMMYFUNCTION("""COMPUTED_VALUE"""),"Letter")</f>
        <v>Letter</v>
      </c>
    </row>
    <row r="1039" spans="1:9" ht="13" x14ac:dyDescent="0.15">
      <c r="A1039" s="9">
        <f ca="1">IFERROR(__xludf.DUMMYFUNCTION("""COMPUTED_VALUE"""),49033409)</f>
        <v>49033409</v>
      </c>
      <c r="B1039" s="1" t="str">
        <f ca="1">IFERROR(__xludf.DUMMYFUNCTION("""COMPUTED_VALUE"""),"304pms@gmail.com")</f>
        <v>304pms@gmail.com</v>
      </c>
      <c r="C1039" s="9" t="str">
        <f ca="1">IFERROR(__xludf.DUMMYFUNCTION("""COMPUTED_VALUE"""),"EVERGREEN - UAN Gated Content - Embedded Petition")</f>
        <v>EVERGREEN - UAN Gated Content - Embedded Petition</v>
      </c>
      <c r="D1039" s="10">
        <f ca="1">IFERROR(__xludf.DUMMYFUNCTION("""COMPUTED_VALUE"""),45677)</f>
        <v>45677</v>
      </c>
      <c r="E1039" s="1" t="str">
        <f ca="1">IFERROR(__xludf.DUMMYFUNCTION("""COMPUTED_VALUE"""),"China")</f>
        <v>China</v>
      </c>
      <c r="F1039" s="1" t="str">
        <f ca="1">IFERROR(__xludf.DUMMYFUNCTION("""COMPUTED_VALUE"""),"98.24 China")</f>
        <v>98.24 China</v>
      </c>
      <c r="G1039" s="1" t="str">
        <f ca="1">IFERROR(__xludf.DUMMYFUNCTION("""COMPUTED_VALUE"""),"Freedom of Expression, Individuals At Risk")</f>
        <v>Freedom of Expression, Individuals At Risk</v>
      </c>
      <c r="H1039" s="1" t="str">
        <f ca="1">IFERROR(__xludf.DUMMYFUNCTION("""COMPUTED_VALUE"""),"2024")</f>
        <v>2024</v>
      </c>
      <c r="I1039" s="1" t="str">
        <f ca="1">IFERROR(__xludf.DUMMYFUNCTION("""COMPUTED_VALUE"""),"Letter")</f>
        <v>Letter</v>
      </c>
    </row>
    <row r="1040" spans="1:9" ht="13" x14ac:dyDescent="0.15">
      <c r="A1040" s="9">
        <f ca="1">IFERROR(__xludf.DUMMYFUNCTION("""COMPUTED_VALUE"""),49420957)</f>
        <v>49420957</v>
      </c>
      <c r="B1040" s="1" t="str">
        <f ca="1">IFERROR(__xludf.DUMMYFUNCTION("""COMPUTED_VALUE"""),"reginaie@uol.com.br")</f>
        <v>reginaie@uol.com.br</v>
      </c>
      <c r="C1040" s="9" t="str">
        <f ca="1">IFERROR(__xludf.DUMMYFUNCTION("""COMPUTED_VALUE"""),"EVERGREEN - UAN Gated Content - Embedded Petition")</f>
        <v>EVERGREEN - UAN Gated Content - Embedded Petition</v>
      </c>
      <c r="D1040" s="10">
        <f ca="1">IFERROR(__xludf.DUMMYFUNCTION("""COMPUTED_VALUE"""),45672)</f>
        <v>45672</v>
      </c>
      <c r="E1040" s="1" t="str">
        <f ca="1">IFERROR(__xludf.DUMMYFUNCTION("""COMPUTED_VALUE"""),"USA")</f>
        <v>USA</v>
      </c>
      <c r="F1040" s="1" t="str">
        <f ca="1">IFERROR(__xludf.DUMMYFUNCTION("""COMPUTED_VALUE"""),"105.24 USA")</f>
        <v>105.24 USA</v>
      </c>
      <c r="G1040" s="1" t="str">
        <f ca="1">IFERROR(__xludf.DUMMYFUNCTION("""COMPUTED_VALUE"""),"Death Penalty")</f>
        <v>Death Penalty</v>
      </c>
      <c r="H1040" s="1" t="str">
        <f ca="1">IFERROR(__xludf.DUMMYFUNCTION("""COMPUTED_VALUE"""),"2024")</f>
        <v>2024</v>
      </c>
      <c r="I1040" s="1" t="str">
        <f ca="1">IFERROR(__xludf.DUMMYFUNCTION("""COMPUTED_VALUE"""),"Email")</f>
        <v>Email</v>
      </c>
    </row>
    <row r="1041" spans="1:9" ht="13" x14ac:dyDescent="0.15">
      <c r="A1041" s="9">
        <f ca="1">IFERROR(__xludf.DUMMYFUNCTION("""COMPUTED_VALUE"""),49420957)</f>
        <v>49420957</v>
      </c>
      <c r="B1041" s="1" t="str">
        <f ca="1">IFERROR(__xludf.DUMMYFUNCTION("""COMPUTED_VALUE"""),"reginaie@uol.com.br")</f>
        <v>reginaie@uol.com.br</v>
      </c>
      <c r="C1041" s="9" t="str">
        <f ca="1">IFERROR(__xludf.DUMMYFUNCTION("""COMPUTED_VALUE"""),"EVERGREEN - UAN Gated Content - Embedded Petition")</f>
        <v>EVERGREEN - UAN Gated Content - Embedded Petition</v>
      </c>
      <c r="D1041" s="10">
        <f ca="1">IFERROR(__xludf.DUMMYFUNCTION("""COMPUTED_VALUE"""),45694)</f>
        <v>45694</v>
      </c>
      <c r="E1041" s="1" t="str">
        <f ca="1">IFERROR(__xludf.DUMMYFUNCTION("""COMPUTED_VALUE"""),"Egypt")</f>
        <v>Egypt</v>
      </c>
      <c r="F1041" s="1" t="str">
        <f ca="1">IFERROR(__xludf.DUMMYFUNCTION("""COMPUTED_VALUE"""),"Ninth 190.18 Egypt")</f>
        <v>Ninth 190.18 Egypt</v>
      </c>
      <c r="G1041" s="1" t="str">
        <f ca="1">IFERROR(__xludf.DUMMYFUNCTION("""COMPUTED_VALUE"""),"Freedom of Expression, Individuals At Risk")</f>
        <v>Freedom of Expression, Individuals At Risk</v>
      </c>
      <c r="H1041" s="1" t="str">
        <f ca="1">IFERROR(__xludf.DUMMYFUNCTION("""COMPUTED_VALUE"""),"2024")</f>
        <v>2024</v>
      </c>
      <c r="I1041" s="1" t="str">
        <f ca="1">IFERROR(__xludf.DUMMYFUNCTION("""COMPUTED_VALUE"""),"Letter")</f>
        <v>Letter</v>
      </c>
    </row>
    <row r="1042" spans="1:9" ht="13" x14ac:dyDescent="0.15">
      <c r="A1042" s="9">
        <f ca="1">IFERROR(__xludf.DUMMYFUNCTION("""COMPUTED_VALUE"""),49481600)</f>
        <v>49481600</v>
      </c>
      <c r="B1042" s="1" t="str">
        <f ca="1">IFERROR(__xludf.DUMMYFUNCTION("""COMPUTED_VALUE"""),"aahuddleson@yahoo.com")</f>
        <v>aahuddleson@yahoo.com</v>
      </c>
      <c r="C1042" s="9" t="str">
        <f ca="1">IFERROR(__xludf.DUMMYFUNCTION("""COMPUTED_VALUE"""),"EVERGREEN - UAN Gated Content - Embedded Petition")</f>
        <v>EVERGREEN - UAN Gated Content - Embedded Petition</v>
      </c>
      <c r="D1042" s="10">
        <f ca="1">IFERROR(__xludf.DUMMYFUNCTION("""COMPUTED_VALUE"""),45677)</f>
        <v>45677</v>
      </c>
      <c r="E1042" s="1" t="str">
        <f ca="1">IFERROR(__xludf.DUMMYFUNCTION("""COMPUTED_VALUE"""),"Tunisia")</f>
        <v>Tunisia</v>
      </c>
      <c r="F1042" s="1" t="str">
        <f ca="1">IFERROR(__xludf.DUMMYFUNCTION("""COMPUTED_VALUE"""),"Second 76.24 Tunisia")</f>
        <v>Second 76.24 Tunisia</v>
      </c>
      <c r="G1042" s="1" t="str">
        <f ca="1">IFERROR(__xludf.DUMMYFUNCTION("""COMPUTED_VALUE"""),"Freedom of Expression, Human Rights Defenders")</f>
        <v>Freedom of Expression, Human Rights Defenders</v>
      </c>
      <c r="H1042" s="1" t="str">
        <f ca="1">IFERROR(__xludf.DUMMYFUNCTION("""COMPUTED_VALUE"""),"2025")</f>
        <v>2025</v>
      </c>
      <c r="I1042" s="1" t="str">
        <f ca="1">IFERROR(__xludf.DUMMYFUNCTION("""COMPUTED_VALUE"""),"Email")</f>
        <v>Email</v>
      </c>
    </row>
    <row r="1043" spans="1:9" ht="13" x14ac:dyDescent="0.15">
      <c r="A1043" s="9">
        <f ca="1">IFERROR(__xludf.DUMMYFUNCTION("""COMPUTED_VALUE"""),49507115)</f>
        <v>49507115</v>
      </c>
      <c r="B1043" s="1" t="str">
        <f ca="1">IFERROR(__xludf.DUMMYFUNCTION("""COMPUTED_VALUE"""),"susieseligson@gmail.com")</f>
        <v>susieseligson@gmail.com</v>
      </c>
      <c r="C1043" s="9" t="str">
        <f ca="1">IFERROR(__xludf.DUMMYFUNCTION("""COMPUTED_VALUE"""),"EVERGREEN - UAN Gated Content - Embedded Petition")</f>
        <v>EVERGREEN - UAN Gated Content - Embedded Petition</v>
      </c>
      <c r="D1043" s="10">
        <f ca="1">IFERROR(__xludf.DUMMYFUNCTION("""COMPUTED_VALUE"""),45616)</f>
        <v>45616</v>
      </c>
      <c r="E1043" s="1" t="str">
        <f ca="1">IFERROR(__xludf.DUMMYFUNCTION("""COMPUTED_VALUE"""),"Tunisia")</f>
        <v>Tunisia</v>
      </c>
      <c r="F1043" s="1" t="str">
        <f ca="1">IFERROR(__xludf.DUMMYFUNCTION("""COMPUTED_VALUE"""),"Second 76.24 Tunisia")</f>
        <v>Second 76.24 Tunisia</v>
      </c>
      <c r="G1043" s="1" t="str">
        <f ca="1">IFERROR(__xludf.DUMMYFUNCTION("""COMPUTED_VALUE"""),"Freedom of Expression, Human Rights Defenders")</f>
        <v>Freedom of Expression, Human Rights Defenders</v>
      </c>
      <c r="H1043" s="1" t="str">
        <f ca="1">IFERROR(__xludf.DUMMYFUNCTION("""COMPUTED_VALUE"""),"2025")</f>
        <v>2025</v>
      </c>
      <c r="I1043" s="1" t="str">
        <f ca="1">IFERROR(__xludf.DUMMYFUNCTION("""COMPUTED_VALUE"""),"Email")</f>
        <v>Email</v>
      </c>
    </row>
    <row r="1044" spans="1:9" ht="13" x14ac:dyDescent="0.15">
      <c r="A1044" s="9">
        <f ca="1">IFERROR(__xludf.DUMMYFUNCTION("""COMPUTED_VALUE"""),49507115)</f>
        <v>49507115</v>
      </c>
      <c r="B1044" s="1" t="str">
        <f ca="1">IFERROR(__xludf.DUMMYFUNCTION("""COMPUTED_VALUE"""),"susieseligson@gmail.com")</f>
        <v>susieseligson@gmail.com</v>
      </c>
      <c r="C1044" s="9" t="str">
        <f ca="1">IFERROR(__xludf.DUMMYFUNCTION("""COMPUTED_VALUE"""),"EVERGREEN - UAN Gated Content - Embedded Petition")</f>
        <v>EVERGREEN - UAN Gated Content - Embedded Petition</v>
      </c>
      <c r="D1044" s="10">
        <f ca="1">IFERROR(__xludf.DUMMYFUNCTION("""COMPUTED_VALUE"""),45636)</f>
        <v>45636</v>
      </c>
      <c r="E1044" s="1" t="str">
        <f ca="1">IFERROR(__xludf.DUMMYFUNCTION("""COMPUTED_VALUE"""),"Tunisia")</f>
        <v>Tunisia</v>
      </c>
      <c r="F1044" s="1" t="str">
        <f ca="1">IFERROR(__xludf.DUMMYFUNCTION("""COMPUTED_VALUE"""),"Second 76.24 Tunisia")</f>
        <v>Second 76.24 Tunisia</v>
      </c>
      <c r="G1044" s="1" t="str">
        <f ca="1">IFERROR(__xludf.DUMMYFUNCTION("""COMPUTED_VALUE"""),"Freedom of Expression, Human Rights Defenders")</f>
        <v>Freedom of Expression, Human Rights Defenders</v>
      </c>
      <c r="H1044" s="1" t="str">
        <f ca="1">IFERROR(__xludf.DUMMYFUNCTION("""COMPUTED_VALUE"""),"2025")</f>
        <v>2025</v>
      </c>
      <c r="I1044" s="1" t="str">
        <f ca="1">IFERROR(__xludf.DUMMYFUNCTION("""COMPUTED_VALUE"""),"Email")</f>
        <v>Email</v>
      </c>
    </row>
    <row r="1045" spans="1:9" ht="13" x14ac:dyDescent="0.15">
      <c r="A1045" s="9">
        <f ca="1">IFERROR(__xludf.DUMMYFUNCTION("""COMPUTED_VALUE"""),50432820)</f>
        <v>50432820</v>
      </c>
      <c r="B1045" s="1" t="str">
        <f ca="1">IFERROR(__xludf.DUMMYFUNCTION("""COMPUTED_VALUE"""),"bentelcri@gmail.com")</f>
        <v>bentelcri@gmail.com</v>
      </c>
      <c r="C1045" s="9" t="str">
        <f ca="1">IFERROR(__xludf.DUMMYFUNCTION("""COMPUTED_VALUE"""),"EVERGREEN - UAN Gated Content - Embedded Petition")</f>
        <v>EVERGREEN - UAN Gated Content - Embedded Petition</v>
      </c>
      <c r="D1045" s="10">
        <f ca="1">IFERROR(__xludf.DUMMYFUNCTION("""COMPUTED_VALUE"""),45706)</f>
        <v>45706</v>
      </c>
      <c r="E1045" s="1" t="str">
        <f ca="1">IFERROR(__xludf.DUMMYFUNCTION("""COMPUTED_VALUE"""),"Venezuela")</f>
        <v>Venezuela</v>
      </c>
      <c r="F1045" s="1" t="str">
        <f ca="1">IFERROR(__xludf.DUMMYFUNCTION("""COMPUTED_VALUE"""),"97.24 Venezuela")</f>
        <v>97.24 Venezuela</v>
      </c>
      <c r="G1045" s="1" t="str">
        <f ca="1">IFERROR(__xludf.DUMMYFUNCTION("""COMPUTED_VALUE"""),"Freedom of Expression")</f>
        <v>Freedom of Expression</v>
      </c>
      <c r="H1045" s="1" t="str">
        <f ca="1">IFERROR(__xludf.DUMMYFUNCTION("""COMPUTED_VALUE"""),"2024")</f>
        <v>2024</v>
      </c>
      <c r="I1045" s="1" t="str">
        <f ca="1">IFERROR(__xludf.DUMMYFUNCTION("""COMPUTED_VALUE"""),"Letter")</f>
        <v>Letter</v>
      </c>
    </row>
    <row r="1046" spans="1:9" ht="13" x14ac:dyDescent="0.15">
      <c r="A1046" s="9">
        <f ca="1">IFERROR(__xludf.DUMMYFUNCTION("""COMPUTED_VALUE"""),50629549)</f>
        <v>50629549</v>
      </c>
      <c r="B1046" s="1" t="str">
        <f ca="1">IFERROR(__xludf.DUMMYFUNCTION("""COMPUTED_VALUE"""),"lrossthedens@gmail.com")</f>
        <v>lrossthedens@gmail.com</v>
      </c>
      <c r="C1046" s="9" t="str">
        <f ca="1">IFERROR(__xludf.DUMMYFUNCTION("""COMPUTED_VALUE"""),"EVERGREEN - UAN Gated Content - Embedded Petition")</f>
        <v>EVERGREEN - UAN Gated Content - Embedded Petition</v>
      </c>
      <c r="D1046" s="10">
        <f ca="1">IFERROR(__xludf.DUMMYFUNCTION("""COMPUTED_VALUE"""),45679)</f>
        <v>45679</v>
      </c>
      <c r="E1046" s="1" t="str">
        <f ca="1">IFERROR(__xludf.DUMMYFUNCTION("""COMPUTED_VALUE"""),"China")</f>
        <v>China</v>
      </c>
      <c r="F1046" s="1" t="str">
        <f ca="1">IFERROR(__xludf.DUMMYFUNCTION("""COMPUTED_VALUE"""),"98.24 China")</f>
        <v>98.24 China</v>
      </c>
      <c r="G1046" s="1" t="str">
        <f ca="1">IFERROR(__xludf.DUMMYFUNCTION("""COMPUTED_VALUE"""),"Freedom of Expression, Individuals At Risk")</f>
        <v>Freedom of Expression, Individuals At Risk</v>
      </c>
      <c r="H1046" s="1" t="str">
        <f ca="1">IFERROR(__xludf.DUMMYFUNCTION("""COMPUTED_VALUE"""),"2024")</f>
        <v>2024</v>
      </c>
      <c r="I1046" s="1" t="str">
        <f ca="1">IFERROR(__xludf.DUMMYFUNCTION("""COMPUTED_VALUE"""),"Letter")</f>
        <v>Letter</v>
      </c>
    </row>
    <row r="1047" spans="1:9" ht="13" x14ac:dyDescent="0.15">
      <c r="A1047" s="9">
        <f ca="1">IFERROR(__xludf.DUMMYFUNCTION("""COMPUTED_VALUE"""),50629549)</f>
        <v>50629549</v>
      </c>
      <c r="B1047" s="1" t="str">
        <f ca="1">IFERROR(__xludf.DUMMYFUNCTION("""COMPUTED_VALUE"""),"lrossthedens@gmail.com")</f>
        <v>lrossthedens@gmail.com</v>
      </c>
      <c r="C1047" s="9" t="str">
        <f ca="1">IFERROR(__xludf.DUMMYFUNCTION("""COMPUTED_VALUE"""),"EVERGREEN - UAN Gated Content - Embedded Petition")</f>
        <v>EVERGREEN - UAN Gated Content - Embedded Petition</v>
      </c>
      <c r="D1047" s="10">
        <f ca="1">IFERROR(__xludf.DUMMYFUNCTION("""COMPUTED_VALUE"""),45614)</f>
        <v>45614</v>
      </c>
      <c r="E1047" s="1" t="str">
        <f ca="1">IFERROR(__xludf.DUMMYFUNCTION("""COMPUTED_VALUE"""),"Uganda")</f>
        <v>Uganda</v>
      </c>
      <c r="F1047" s="1" t="str">
        <f ca="1">IFERROR(__xludf.DUMMYFUNCTION("""COMPUTED_VALUE"""),"100.24 Uganda")</f>
        <v>100.24 Uganda</v>
      </c>
      <c r="G1047" s="1" t="str">
        <f ca="1">IFERROR(__xludf.DUMMYFUNCTION("""COMPUTED_VALUE"""),"Freedom of Expression")</f>
        <v>Freedom of Expression</v>
      </c>
      <c r="H1047" s="1" t="str">
        <f ca="1">IFERROR(__xludf.DUMMYFUNCTION("""COMPUTED_VALUE"""),"2024")</f>
        <v>2024</v>
      </c>
      <c r="I1047" s="1" t="str">
        <f ca="1">IFERROR(__xludf.DUMMYFUNCTION("""COMPUTED_VALUE"""),"Email")</f>
        <v>Email</v>
      </c>
    </row>
    <row r="1048" spans="1:9" ht="13" x14ac:dyDescent="0.15">
      <c r="A1048" s="9">
        <f ca="1">IFERROR(__xludf.DUMMYFUNCTION("""COMPUTED_VALUE"""),50629549)</f>
        <v>50629549</v>
      </c>
      <c r="B1048" s="1" t="str">
        <f ca="1">IFERROR(__xludf.DUMMYFUNCTION("""COMPUTED_VALUE"""),"lrossthedens@gmail.com")</f>
        <v>lrossthedens@gmail.com</v>
      </c>
      <c r="C1048" s="9" t="str">
        <f ca="1">IFERROR(__xludf.DUMMYFUNCTION("""COMPUTED_VALUE"""),"EVERGREEN - UAN Gated Content - Embedded Petition")</f>
        <v>EVERGREEN - UAN Gated Content - Embedded Petition</v>
      </c>
      <c r="D1048" s="10">
        <f ca="1">IFERROR(__xludf.DUMMYFUNCTION("""COMPUTED_VALUE"""),45679)</f>
        <v>45679</v>
      </c>
      <c r="E1048" s="1" t="str">
        <f ca="1">IFERROR(__xludf.DUMMYFUNCTION("""COMPUTED_VALUE"""),"Venezuela")</f>
        <v>Venezuela</v>
      </c>
      <c r="F1048" s="1" t="str">
        <f ca="1">IFERROR(__xludf.DUMMYFUNCTION("""COMPUTED_VALUE"""),"97.24 Venezuela")</f>
        <v>97.24 Venezuela</v>
      </c>
      <c r="G1048" s="1" t="str">
        <f ca="1">IFERROR(__xludf.DUMMYFUNCTION("""COMPUTED_VALUE"""),"Freedom of Expression")</f>
        <v>Freedom of Expression</v>
      </c>
      <c r="H1048" s="1" t="str">
        <f ca="1">IFERROR(__xludf.DUMMYFUNCTION("""COMPUTED_VALUE"""),"2024")</f>
        <v>2024</v>
      </c>
      <c r="I1048" s="1" t="str">
        <f ca="1">IFERROR(__xludf.DUMMYFUNCTION("""COMPUTED_VALUE"""),"Letter")</f>
        <v>Letter</v>
      </c>
    </row>
    <row r="1049" spans="1:9" ht="13" x14ac:dyDescent="0.15">
      <c r="A1049" s="9">
        <f ca="1">IFERROR(__xludf.DUMMYFUNCTION("""COMPUTED_VALUE"""),50629549)</f>
        <v>50629549</v>
      </c>
      <c r="B1049" s="1" t="str">
        <f ca="1">IFERROR(__xludf.DUMMYFUNCTION("""COMPUTED_VALUE"""),"lrossthedens@gmail.com")</f>
        <v>lrossthedens@gmail.com</v>
      </c>
      <c r="C1049" s="9" t="str">
        <f ca="1">IFERROR(__xludf.DUMMYFUNCTION("""COMPUTED_VALUE"""),"EVERGREEN - UAN Gated Content - Embedded Petition")</f>
        <v>EVERGREEN - UAN Gated Content - Embedded Petition</v>
      </c>
      <c r="D1049" s="10">
        <f ca="1">IFERROR(__xludf.DUMMYFUNCTION("""COMPUTED_VALUE"""),45614)</f>
        <v>45614</v>
      </c>
      <c r="E1049" s="1" t="str">
        <f ca="1">IFERROR(__xludf.DUMMYFUNCTION("""COMPUTED_VALUE"""),"Iran")</f>
        <v>Iran</v>
      </c>
      <c r="F1049" s="1" t="str">
        <f ca="1">IFERROR(__xludf.DUMMYFUNCTION("""COMPUTED_VALUE"""),"101.24 Iran")</f>
        <v>101.24 Iran</v>
      </c>
      <c r="G1049" s="1" t="str">
        <f ca="1">IFERROR(__xludf.DUMMYFUNCTION("""COMPUTED_VALUE"""),"Death Penalty, Freedom of Expression, Individuals At Risk, Right to Protest")</f>
        <v>Death Penalty, Freedom of Expression, Individuals At Risk, Right to Protest</v>
      </c>
      <c r="H1049" s="1" t="str">
        <f ca="1">IFERROR(__xludf.DUMMYFUNCTION("""COMPUTED_VALUE"""),"2024")</f>
        <v>2024</v>
      </c>
      <c r="I1049" s="1" t="str">
        <f ca="1">IFERROR(__xludf.DUMMYFUNCTION("""COMPUTED_VALUE"""),"Email")</f>
        <v>Email</v>
      </c>
    </row>
    <row r="1050" spans="1:9" ht="13" x14ac:dyDescent="0.15">
      <c r="A1050" s="9">
        <f ca="1">IFERROR(__xludf.DUMMYFUNCTION("""COMPUTED_VALUE"""),50629549)</f>
        <v>50629549</v>
      </c>
      <c r="B1050" s="1" t="str">
        <f ca="1">IFERROR(__xludf.DUMMYFUNCTION("""COMPUTED_VALUE"""),"lrossthedens@gmail.com")</f>
        <v>lrossthedens@gmail.com</v>
      </c>
      <c r="C1050" s="9" t="str">
        <f ca="1">IFERROR(__xludf.DUMMYFUNCTION("""COMPUTED_VALUE"""),"EVERGREEN - UAN Gated Content - Embedded Petition")</f>
        <v>EVERGREEN - UAN Gated Content - Embedded Petition</v>
      </c>
      <c r="D1050" s="10">
        <f ca="1">IFERROR(__xludf.DUMMYFUNCTION("""COMPUTED_VALUE"""),45679)</f>
        <v>45679</v>
      </c>
      <c r="E1050" s="1" t="str">
        <f ca="1">IFERROR(__xludf.DUMMYFUNCTION("""COMPUTED_VALUE"""),"Uganda")</f>
        <v>Uganda</v>
      </c>
      <c r="F1050" s="1" t="str">
        <f ca="1">IFERROR(__xludf.DUMMYFUNCTION("""COMPUTED_VALUE"""),"100.24 Uganda")</f>
        <v>100.24 Uganda</v>
      </c>
      <c r="G1050" s="1" t="str">
        <f ca="1">IFERROR(__xludf.DUMMYFUNCTION("""COMPUTED_VALUE"""),"Freedom of Expression")</f>
        <v>Freedom of Expression</v>
      </c>
      <c r="H1050" s="1" t="str">
        <f ca="1">IFERROR(__xludf.DUMMYFUNCTION("""COMPUTED_VALUE"""),"2024")</f>
        <v>2024</v>
      </c>
      <c r="I1050" s="1" t="str">
        <f ca="1">IFERROR(__xludf.DUMMYFUNCTION("""COMPUTED_VALUE"""),"Email")</f>
        <v>Email</v>
      </c>
    </row>
    <row r="1051" spans="1:9" ht="13" x14ac:dyDescent="0.15">
      <c r="A1051" s="9">
        <f ca="1">IFERROR(__xludf.DUMMYFUNCTION("""COMPUTED_VALUE"""),50629549)</f>
        <v>50629549</v>
      </c>
      <c r="B1051" s="1" t="str">
        <f ca="1">IFERROR(__xludf.DUMMYFUNCTION("""COMPUTED_VALUE"""),"lrossthedens@gmail.com")</f>
        <v>lrossthedens@gmail.com</v>
      </c>
      <c r="C1051" s="9" t="str">
        <f ca="1">IFERROR(__xludf.DUMMYFUNCTION("""COMPUTED_VALUE"""),"EVERGREEN - UAN Gated Content - Embedded Petition")</f>
        <v>EVERGREEN - UAN Gated Content - Embedded Petition</v>
      </c>
      <c r="D1051" s="10">
        <f ca="1">IFERROR(__xludf.DUMMYFUNCTION("""COMPUTED_VALUE"""),45678)</f>
        <v>45678</v>
      </c>
      <c r="E1051" s="1" t="str">
        <f ca="1">IFERROR(__xludf.DUMMYFUNCTION("""COMPUTED_VALUE"""),"USA")</f>
        <v>USA</v>
      </c>
      <c r="F1051" s="1" t="str">
        <f ca="1">IFERROR(__xludf.DUMMYFUNCTION("""COMPUTED_VALUE"""),"105.24 USA")</f>
        <v>105.24 USA</v>
      </c>
      <c r="G1051" s="1" t="str">
        <f ca="1">IFERROR(__xludf.DUMMYFUNCTION("""COMPUTED_VALUE"""),"Death Penalty")</f>
        <v>Death Penalty</v>
      </c>
      <c r="H1051" s="1" t="str">
        <f ca="1">IFERROR(__xludf.DUMMYFUNCTION("""COMPUTED_VALUE"""),"2024")</f>
        <v>2024</v>
      </c>
      <c r="I1051" s="1" t="str">
        <f ca="1">IFERROR(__xludf.DUMMYFUNCTION("""COMPUTED_VALUE"""),"Email")</f>
        <v>Email</v>
      </c>
    </row>
    <row r="1052" spans="1:9" ht="13" x14ac:dyDescent="0.15">
      <c r="A1052" s="9">
        <f ca="1">IFERROR(__xludf.DUMMYFUNCTION("""COMPUTED_VALUE"""),50629549)</f>
        <v>50629549</v>
      </c>
      <c r="B1052" s="1" t="str">
        <f ca="1">IFERROR(__xludf.DUMMYFUNCTION("""COMPUTED_VALUE"""),"lrossthedens@gmail.com")</f>
        <v>lrossthedens@gmail.com</v>
      </c>
      <c r="C1052" s="9" t="str">
        <f ca="1">IFERROR(__xludf.DUMMYFUNCTION("""COMPUTED_VALUE"""),"EVERGREEN - UAN Gated Content - Embedded Petition")</f>
        <v>EVERGREEN - UAN Gated Content - Embedded Petition</v>
      </c>
      <c r="D1052" s="10">
        <f ca="1">IFERROR(__xludf.DUMMYFUNCTION("""COMPUTED_VALUE"""),45678)</f>
        <v>45678</v>
      </c>
      <c r="E1052" s="1" t="str">
        <f ca="1">IFERROR(__xludf.DUMMYFUNCTION("""COMPUTED_VALUE"""),"Iran")</f>
        <v>Iran</v>
      </c>
      <c r="F1052" s="1" t="str">
        <f ca="1">IFERROR(__xludf.DUMMYFUNCTION("""COMPUTED_VALUE"""),"101.24 Iran")</f>
        <v>101.24 Iran</v>
      </c>
      <c r="G1052" s="1" t="str">
        <f ca="1">IFERROR(__xludf.DUMMYFUNCTION("""COMPUTED_VALUE"""),"Death Penalty, Freedom of Expression, Individuals At Risk, Right to Protest")</f>
        <v>Death Penalty, Freedom of Expression, Individuals At Risk, Right to Protest</v>
      </c>
      <c r="H1052" s="1" t="str">
        <f ca="1">IFERROR(__xludf.DUMMYFUNCTION("""COMPUTED_VALUE"""),"2024")</f>
        <v>2024</v>
      </c>
      <c r="I1052" s="1" t="str">
        <f ca="1">IFERROR(__xludf.DUMMYFUNCTION("""COMPUTED_VALUE"""),"Email")</f>
        <v>Email</v>
      </c>
    </row>
    <row r="1053" spans="1:9" ht="13" x14ac:dyDescent="0.15">
      <c r="A1053" s="9">
        <f ca="1">IFERROR(__xludf.DUMMYFUNCTION("""COMPUTED_VALUE"""),50633732)</f>
        <v>50633732</v>
      </c>
      <c r="B1053" s="1" t="str">
        <f ca="1">IFERROR(__xludf.DUMMYFUNCTION("""COMPUTED_VALUE"""),"barbquin@gmail.com")</f>
        <v>barbquin@gmail.com</v>
      </c>
      <c r="C1053" s="9" t="str">
        <f ca="1">IFERROR(__xludf.DUMMYFUNCTION("""COMPUTED_VALUE"""),"EVERGREEN - UAN Gated Content - Embedded Petition")</f>
        <v>EVERGREEN - UAN Gated Content - Embedded Petition</v>
      </c>
      <c r="D1053" s="10">
        <f ca="1">IFERROR(__xludf.DUMMYFUNCTION("""COMPUTED_VALUE"""),45694)</f>
        <v>45694</v>
      </c>
      <c r="E1053" s="1" t="str">
        <f ca="1">IFERROR(__xludf.DUMMYFUNCTION("""COMPUTED_VALUE"""),"Tunisia")</f>
        <v>Tunisia</v>
      </c>
      <c r="F1053" s="1" t="str">
        <f ca="1">IFERROR(__xludf.DUMMYFUNCTION("""COMPUTED_VALUE"""),"Second 76.24 Tunisia")</f>
        <v>Second 76.24 Tunisia</v>
      </c>
      <c r="G1053" s="1" t="str">
        <f ca="1">IFERROR(__xludf.DUMMYFUNCTION("""COMPUTED_VALUE"""),"Freedom of Expression, Human Rights Defenders")</f>
        <v>Freedom of Expression, Human Rights Defenders</v>
      </c>
      <c r="H1053" s="1" t="str">
        <f ca="1">IFERROR(__xludf.DUMMYFUNCTION("""COMPUTED_VALUE"""),"2025")</f>
        <v>2025</v>
      </c>
      <c r="I1053" s="1" t="str">
        <f ca="1">IFERROR(__xludf.DUMMYFUNCTION("""COMPUTED_VALUE"""),"Email")</f>
        <v>Email</v>
      </c>
    </row>
    <row r="1054" spans="1:9" ht="13" x14ac:dyDescent="0.15">
      <c r="A1054" s="9">
        <f ca="1">IFERROR(__xludf.DUMMYFUNCTION("""COMPUTED_VALUE"""),50633732)</f>
        <v>50633732</v>
      </c>
      <c r="B1054" s="1" t="str">
        <f ca="1">IFERROR(__xludf.DUMMYFUNCTION("""COMPUTED_VALUE"""),"barbquin@gmail.com")</f>
        <v>barbquin@gmail.com</v>
      </c>
      <c r="C1054" s="9" t="str">
        <f ca="1">IFERROR(__xludf.DUMMYFUNCTION("""COMPUTED_VALUE"""),"EVERGREEN - UAN Gated Content - Embedded Petition")</f>
        <v>EVERGREEN - UAN Gated Content - Embedded Petition</v>
      </c>
      <c r="D1054" s="10">
        <f ca="1">IFERROR(__xludf.DUMMYFUNCTION("""COMPUTED_VALUE"""),45708)</f>
        <v>45708</v>
      </c>
      <c r="E1054" s="1" t="str">
        <f ca="1">IFERROR(__xludf.DUMMYFUNCTION("""COMPUTED_VALUE"""),"Tunisia")</f>
        <v>Tunisia</v>
      </c>
      <c r="F1054" s="1" t="str">
        <f ca="1">IFERROR(__xludf.DUMMYFUNCTION("""COMPUTED_VALUE"""),"Second 76.24 Tunisia")</f>
        <v>Second 76.24 Tunisia</v>
      </c>
      <c r="G1054" s="1" t="str">
        <f ca="1">IFERROR(__xludf.DUMMYFUNCTION("""COMPUTED_VALUE"""),"Freedom of Expression, Human Rights Defenders")</f>
        <v>Freedom of Expression, Human Rights Defenders</v>
      </c>
      <c r="H1054" s="1" t="str">
        <f ca="1">IFERROR(__xludf.DUMMYFUNCTION("""COMPUTED_VALUE"""),"2025")</f>
        <v>2025</v>
      </c>
      <c r="I1054" s="1" t="str">
        <f ca="1">IFERROR(__xludf.DUMMYFUNCTION("""COMPUTED_VALUE"""),"Email")</f>
        <v>Email</v>
      </c>
    </row>
    <row r="1055" spans="1:9" ht="13" x14ac:dyDescent="0.15">
      <c r="A1055" s="9">
        <f ca="1">IFERROR(__xludf.DUMMYFUNCTION("""COMPUTED_VALUE"""),53561319)</f>
        <v>53561319</v>
      </c>
      <c r="B1055" s="1" t="str">
        <f ca="1">IFERROR(__xludf.DUMMYFUNCTION("""COMPUTED_VALUE"""),"dancingredraven@hotmail.com")</f>
        <v>dancingredraven@hotmail.com</v>
      </c>
      <c r="C1055" s="9" t="str">
        <f ca="1">IFERROR(__xludf.DUMMYFUNCTION("""COMPUTED_VALUE"""),"EVERGREEN - UAN Gated Content - Embedded Petition")</f>
        <v>EVERGREEN - UAN Gated Content - Embedded Petition</v>
      </c>
      <c r="D1055" s="10">
        <f ca="1">IFERROR(__xludf.DUMMYFUNCTION("""COMPUTED_VALUE"""),45655)</f>
        <v>45655</v>
      </c>
      <c r="E1055" s="1" t="str">
        <f ca="1">IFERROR(__xludf.DUMMYFUNCTION("""COMPUTED_VALUE"""),"Iran")</f>
        <v>Iran</v>
      </c>
      <c r="F1055" s="1" t="str">
        <f ca="1">IFERROR(__xludf.DUMMYFUNCTION("""COMPUTED_VALUE"""),"Seventh 103.22 Iran")</f>
        <v>Seventh 103.22 Iran</v>
      </c>
      <c r="G1055" s="1" t="str">
        <f ca="1">IFERROR(__xludf.DUMMYFUNCTION("""COMPUTED_VALUE"""),"Death Penalty, Freedom of Expression, Individuals At Risk")</f>
        <v>Death Penalty, Freedom of Expression, Individuals At Risk</v>
      </c>
      <c r="H1055" s="1" t="str">
        <f ca="1">IFERROR(__xludf.DUMMYFUNCTION("""COMPUTED_VALUE"""),"2024")</f>
        <v>2024</v>
      </c>
      <c r="I1055" s="1" t="str">
        <f ca="1">IFERROR(__xludf.DUMMYFUNCTION("""COMPUTED_VALUE"""),"Email")</f>
        <v>Email</v>
      </c>
    </row>
    <row r="1056" spans="1:9" ht="13" x14ac:dyDescent="0.15">
      <c r="A1056" s="9">
        <f ca="1">IFERROR(__xludf.DUMMYFUNCTION("""COMPUTED_VALUE"""),54187541)</f>
        <v>54187541</v>
      </c>
      <c r="B1056" s="1" t="str">
        <f ca="1">IFERROR(__xludf.DUMMYFUNCTION("""COMPUTED_VALUE"""),"walshkevink@yahoo.com")</f>
        <v>walshkevink@yahoo.com</v>
      </c>
      <c r="C1056" s="9" t="str">
        <f ca="1">IFERROR(__xludf.DUMMYFUNCTION("""COMPUTED_VALUE"""),"EVERGREEN - UAN Gated Content - Embedded Petition")</f>
        <v>EVERGREEN - UAN Gated Content - Embedded Petition</v>
      </c>
      <c r="D1056" s="10">
        <f ca="1">IFERROR(__xludf.DUMMYFUNCTION("""COMPUTED_VALUE"""),45694)</f>
        <v>45694</v>
      </c>
      <c r="E1056" s="1" t="str">
        <f ca="1">IFERROR(__xludf.DUMMYFUNCTION("""COMPUTED_VALUE"""),"Tunisia")</f>
        <v>Tunisia</v>
      </c>
      <c r="F1056" s="1" t="str">
        <f ca="1">IFERROR(__xludf.DUMMYFUNCTION("""COMPUTED_VALUE"""),"Second 76.24 Tunisia")</f>
        <v>Second 76.24 Tunisia</v>
      </c>
      <c r="G1056" s="1" t="str">
        <f ca="1">IFERROR(__xludf.DUMMYFUNCTION("""COMPUTED_VALUE"""),"Freedom of Expression, Human Rights Defenders")</f>
        <v>Freedom of Expression, Human Rights Defenders</v>
      </c>
      <c r="H1056" s="1" t="str">
        <f ca="1">IFERROR(__xludf.DUMMYFUNCTION("""COMPUTED_VALUE"""),"2025")</f>
        <v>2025</v>
      </c>
      <c r="I1056" s="1" t="str">
        <f ca="1">IFERROR(__xludf.DUMMYFUNCTION("""COMPUTED_VALUE"""),"Email")</f>
        <v>Email</v>
      </c>
    </row>
    <row r="1057" spans="1:9" ht="13" x14ac:dyDescent="0.15">
      <c r="A1057" s="9">
        <f ca="1">IFERROR(__xludf.DUMMYFUNCTION("""COMPUTED_VALUE"""),54187541)</f>
        <v>54187541</v>
      </c>
      <c r="B1057" s="1" t="str">
        <f ca="1">IFERROR(__xludf.DUMMYFUNCTION("""COMPUTED_VALUE"""),"walshkevink@yahoo.com")</f>
        <v>walshkevink@yahoo.com</v>
      </c>
      <c r="C1057" s="9" t="str">
        <f ca="1">IFERROR(__xludf.DUMMYFUNCTION("""COMPUTED_VALUE"""),"EVERGREEN - UAN Gated Content - Embedded Petition")</f>
        <v>EVERGREEN - UAN Gated Content - Embedded Petition</v>
      </c>
      <c r="D1057" s="10">
        <f ca="1">IFERROR(__xludf.DUMMYFUNCTION("""COMPUTED_VALUE"""),45694)</f>
        <v>45694</v>
      </c>
      <c r="E1057" s="1" t="str">
        <f ca="1">IFERROR(__xludf.DUMMYFUNCTION("""COMPUTED_VALUE"""),"Tunisia")</f>
        <v>Tunisia</v>
      </c>
      <c r="F1057" s="1" t="str">
        <f ca="1">IFERROR(__xludf.DUMMYFUNCTION("""COMPUTED_VALUE"""),"Second 76.24 Tunisia")</f>
        <v>Second 76.24 Tunisia</v>
      </c>
      <c r="G1057" s="1" t="str">
        <f ca="1">IFERROR(__xludf.DUMMYFUNCTION("""COMPUTED_VALUE"""),"Freedom of Expression, Human Rights Defenders")</f>
        <v>Freedom of Expression, Human Rights Defenders</v>
      </c>
      <c r="H1057" s="1" t="str">
        <f ca="1">IFERROR(__xludf.DUMMYFUNCTION("""COMPUTED_VALUE"""),"2025")</f>
        <v>2025</v>
      </c>
      <c r="I1057" s="1" t="str">
        <f ca="1">IFERROR(__xludf.DUMMYFUNCTION("""COMPUTED_VALUE"""),"Email")</f>
        <v>Email</v>
      </c>
    </row>
    <row r="1058" spans="1:9" ht="13" x14ac:dyDescent="0.15">
      <c r="A1058" s="9">
        <f ca="1">IFERROR(__xludf.DUMMYFUNCTION("""COMPUTED_VALUE"""),54188052)</f>
        <v>54188052</v>
      </c>
      <c r="B1058" s="1" t="str">
        <f ca="1">IFERROR(__xludf.DUMMYFUNCTION("""COMPUTED_VALUE"""),"amiwoman@gmail.com")</f>
        <v>amiwoman@gmail.com</v>
      </c>
      <c r="C1058" s="9" t="str">
        <f ca="1">IFERROR(__xludf.DUMMYFUNCTION("""COMPUTED_VALUE"""),"EVERGREEN - UAN Gated Content - Embedded Petition")</f>
        <v>EVERGREEN - UAN Gated Content - Embedded Petition</v>
      </c>
      <c r="D1058" s="10">
        <f ca="1">IFERROR(__xludf.DUMMYFUNCTION("""COMPUTED_VALUE"""),45636)</f>
        <v>45636</v>
      </c>
      <c r="E1058" s="1" t="str">
        <f ca="1">IFERROR(__xludf.DUMMYFUNCTION("""COMPUTED_VALUE"""),"Niger")</f>
        <v>Niger</v>
      </c>
      <c r="F1058" s="1" t="str">
        <f ca="1">IFERROR(__xludf.DUMMYFUNCTION("""COMPUTED_VALUE"""),"103.24 Niger")</f>
        <v>103.24 Niger</v>
      </c>
      <c r="G1058" s="1" t="str">
        <f ca="1">IFERROR(__xludf.DUMMYFUNCTION("""COMPUTED_VALUE"""),"Freedom of Expression, Human Rights Defenders")</f>
        <v>Freedom of Expression, Human Rights Defenders</v>
      </c>
      <c r="H1058" s="1" t="str">
        <f ca="1">IFERROR(__xludf.DUMMYFUNCTION("""COMPUTED_VALUE"""),"2024")</f>
        <v>2024</v>
      </c>
      <c r="I1058" s="1" t="str">
        <f ca="1">IFERROR(__xludf.DUMMYFUNCTION("""COMPUTED_VALUE"""),"Email")</f>
        <v>Email</v>
      </c>
    </row>
    <row r="1059" spans="1:9" ht="13" x14ac:dyDescent="0.15">
      <c r="A1059" s="9">
        <f ca="1">IFERROR(__xludf.DUMMYFUNCTION("""COMPUTED_VALUE"""),54188052)</f>
        <v>54188052</v>
      </c>
      <c r="B1059" s="1" t="str">
        <f ca="1">IFERROR(__xludf.DUMMYFUNCTION("""COMPUTED_VALUE"""),"amiwoman@gmail.com")</f>
        <v>amiwoman@gmail.com</v>
      </c>
      <c r="C1059" s="9" t="str">
        <f ca="1">IFERROR(__xludf.DUMMYFUNCTION("""COMPUTED_VALUE"""),"EVERGREEN - UAN Gated Content - Embedded Petition")</f>
        <v>EVERGREEN - UAN Gated Content - Embedded Petition</v>
      </c>
      <c r="D1059" s="10">
        <f ca="1">IFERROR(__xludf.DUMMYFUNCTION("""COMPUTED_VALUE"""),45636)</f>
        <v>45636</v>
      </c>
      <c r="E1059" s="1" t="str">
        <f ca="1">IFERROR(__xludf.DUMMYFUNCTION("""COMPUTED_VALUE"""),"Azerbaijan")</f>
        <v>Azerbaijan</v>
      </c>
      <c r="F1059" s="1" t="str">
        <f ca="1">IFERROR(__xludf.DUMMYFUNCTION("""COMPUTED_VALUE"""),"2.25 Azerbaijan")</f>
        <v>2.25 Azerbaijan</v>
      </c>
      <c r="G1059" s="1" t="str">
        <f ca="1">IFERROR(__xludf.DUMMYFUNCTION("""COMPUTED_VALUE"""),"Freedom of Expression, Human Rights Defenders")</f>
        <v>Freedom of Expression, Human Rights Defenders</v>
      </c>
      <c r="H1059" s="1" t="str">
        <f ca="1">IFERROR(__xludf.DUMMYFUNCTION("""COMPUTED_VALUE"""),"2025")</f>
        <v>2025</v>
      </c>
      <c r="I1059" s="1" t="str">
        <f ca="1">IFERROR(__xludf.DUMMYFUNCTION("""COMPUTED_VALUE"""),"Email")</f>
        <v>Email</v>
      </c>
    </row>
    <row r="1060" spans="1:9" ht="13" x14ac:dyDescent="0.15">
      <c r="A1060" s="9">
        <f ca="1">IFERROR(__xludf.DUMMYFUNCTION("""COMPUTED_VALUE"""),54688730)</f>
        <v>54688730</v>
      </c>
      <c r="B1060" s="1" t="str">
        <f ca="1">IFERROR(__xludf.DUMMYFUNCTION("""COMPUTED_VALUE"""),"pmbrown1944@gmail.com")</f>
        <v>pmbrown1944@gmail.com</v>
      </c>
      <c r="C1060" s="9" t="str">
        <f ca="1">IFERROR(__xludf.DUMMYFUNCTION("""COMPUTED_VALUE"""),"EVERGREEN - UAN Gated Content - Embedded Petition")</f>
        <v>EVERGREEN - UAN Gated Content - Embedded Petition</v>
      </c>
      <c r="D1060" s="10">
        <f ca="1">IFERROR(__xludf.DUMMYFUNCTION("""COMPUTED_VALUE"""),45636)</f>
        <v>45636</v>
      </c>
      <c r="E1060" s="1" t="str">
        <f ca="1">IFERROR(__xludf.DUMMYFUNCTION("""COMPUTED_VALUE"""),"USA")</f>
        <v>USA</v>
      </c>
      <c r="F1060" s="1" t="str">
        <f ca="1">IFERROR(__xludf.DUMMYFUNCTION("""COMPUTED_VALUE"""),"Fourth 55.24 USA")</f>
        <v>Fourth 55.24 USA</v>
      </c>
      <c r="G1060" s="1" t="str">
        <f ca="1">IFERROR(__xludf.DUMMYFUNCTION("""COMPUTED_VALUE"""),"Climate Justice, Individuals At Risk")</f>
        <v>Climate Justice, Individuals At Risk</v>
      </c>
      <c r="H1060" s="1" t="str">
        <f ca="1">IFERROR(__xludf.DUMMYFUNCTION("""COMPUTED_VALUE"""),"2025")</f>
        <v>2025</v>
      </c>
      <c r="I1060" s="1" t="str">
        <f ca="1">IFERROR(__xludf.DUMMYFUNCTION("""COMPUTED_VALUE"""),"Email")</f>
        <v>Email</v>
      </c>
    </row>
    <row r="1061" spans="1:9" ht="13" x14ac:dyDescent="0.15">
      <c r="A1061" s="9">
        <f ca="1">IFERROR(__xludf.DUMMYFUNCTION("""COMPUTED_VALUE"""),54688730)</f>
        <v>54688730</v>
      </c>
      <c r="B1061" s="1" t="str">
        <f ca="1">IFERROR(__xludf.DUMMYFUNCTION("""COMPUTED_VALUE"""),"pmbrown1944@gmail.com")</f>
        <v>pmbrown1944@gmail.com</v>
      </c>
      <c r="C1061" s="9" t="str">
        <f ca="1">IFERROR(__xludf.DUMMYFUNCTION("""COMPUTED_VALUE"""),"EVERGREEN - UAN Gated Content - Embedded Petition")</f>
        <v>EVERGREEN - UAN Gated Content - Embedded Petition</v>
      </c>
      <c r="D1061" s="10">
        <f ca="1">IFERROR(__xludf.DUMMYFUNCTION("""COMPUTED_VALUE"""),45694)</f>
        <v>45694</v>
      </c>
      <c r="E1061" s="1" t="str">
        <f ca="1">IFERROR(__xludf.DUMMYFUNCTION("""COMPUTED_VALUE"""),"USA")</f>
        <v>USA</v>
      </c>
      <c r="F1061" s="1" t="str">
        <f ca="1">IFERROR(__xludf.DUMMYFUNCTION("""COMPUTED_VALUE"""),"Fourth 55.24 USA")</f>
        <v>Fourth 55.24 USA</v>
      </c>
      <c r="G1061" s="1" t="str">
        <f ca="1">IFERROR(__xludf.DUMMYFUNCTION("""COMPUTED_VALUE"""),"Climate Justice, Individuals At Risk")</f>
        <v>Climate Justice, Individuals At Risk</v>
      </c>
      <c r="H1061" s="1" t="str">
        <f ca="1">IFERROR(__xludf.DUMMYFUNCTION("""COMPUTED_VALUE"""),"2025")</f>
        <v>2025</v>
      </c>
      <c r="I1061" s="1" t="str">
        <f ca="1">IFERROR(__xludf.DUMMYFUNCTION("""COMPUTED_VALUE"""),"Email")</f>
        <v>Email</v>
      </c>
    </row>
    <row r="1062" spans="1:9" ht="13" x14ac:dyDescent="0.15">
      <c r="A1062" s="9">
        <f ca="1">IFERROR(__xludf.DUMMYFUNCTION("""COMPUTED_VALUE"""),55289782)</f>
        <v>55289782</v>
      </c>
      <c r="B1062" s="1" t="str">
        <f ca="1">IFERROR(__xludf.DUMMYFUNCTION("""COMPUTED_VALUE"""),"gravjm55@gmail.com")</f>
        <v>gravjm55@gmail.com</v>
      </c>
      <c r="C1062" s="9" t="str">
        <f ca="1">IFERROR(__xludf.DUMMYFUNCTION("""COMPUTED_VALUE"""),"EVERGREEN - UAN Gated Content - Embedded Petition")</f>
        <v>EVERGREEN - UAN Gated Content - Embedded Petition</v>
      </c>
      <c r="D1062" s="10">
        <f ca="1">IFERROR(__xludf.DUMMYFUNCTION("""COMPUTED_VALUE"""),45695)</f>
        <v>45695</v>
      </c>
      <c r="E1062" s="1" t="str">
        <f ca="1">IFERROR(__xludf.DUMMYFUNCTION("""COMPUTED_VALUE"""),"Iran")</f>
        <v>Iran</v>
      </c>
      <c r="F1062" s="1" t="str">
        <f ca="1">IFERROR(__xludf.DUMMYFUNCTION("""COMPUTED_VALUE"""),"Seventh 103.22 Iran")</f>
        <v>Seventh 103.22 Iran</v>
      </c>
      <c r="G1062" s="1" t="str">
        <f ca="1">IFERROR(__xludf.DUMMYFUNCTION("""COMPUTED_VALUE"""),"Death Penalty, Freedom of Expression, Individuals At Risk")</f>
        <v>Death Penalty, Freedom of Expression, Individuals At Risk</v>
      </c>
      <c r="H1062" s="1" t="str">
        <f ca="1">IFERROR(__xludf.DUMMYFUNCTION("""COMPUTED_VALUE"""),"2024")</f>
        <v>2024</v>
      </c>
      <c r="I1062" s="1" t="str">
        <f ca="1">IFERROR(__xludf.DUMMYFUNCTION("""COMPUTED_VALUE"""),"Email")</f>
        <v>Email</v>
      </c>
    </row>
    <row r="1063" spans="1:9" ht="13" x14ac:dyDescent="0.15">
      <c r="A1063" s="9">
        <f ca="1">IFERROR(__xludf.DUMMYFUNCTION("""COMPUTED_VALUE"""),55289782)</f>
        <v>55289782</v>
      </c>
      <c r="B1063" s="1" t="str">
        <f ca="1">IFERROR(__xludf.DUMMYFUNCTION("""COMPUTED_VALUE"""),"gravjm55@gmail.com")</f>
        <v>gravjm55@gmail.com</v>
      </c>
      <c r="C1063" s="9" t="str">
        <f ca="1">IFERROR(__xludf.DUMMYFUNCTION("""COMPUTED_VALUE"""),"EVERGREEN - UAN Gated Content - Embedded Petition")</f>
        <v>EVERGREEN - UAN Gated Content - Embedded Petition</v>
      </c>
      <c r="D1063" s="10">
        <f ca="1">IFERROR(__xludf.DUMMYFUNCTION("""COMPUTED_VALUE"""),45671)</f>
        <v>45671</v>
      </c>
      <c r="E1063" s="1" t="str">
        <f ca="1">IFERROR(__xludf.DUMMYFUNCTION("""COMPUTED_VALUE"""),"Iran")</f>
        <v>Iran</v>
      </c>
      <c r="F1063" s="1" t="str">
        <f ca="1">IFERROR(__xludf.DUMMYFUNCTION("""COMPUTED_VALUE"""),"Seventh 103.22 Iran")</f>
        <v>Seventh 103.22 Iran</v>
      </c>
      <c r="G1063" s="1" t="str">
        <f ca="1">IFERROR(__xludf.DUMMYFUNCTION("""COMPUTED_VALUE"""),"Death Penalty, Freedom of Expression, Individuals At Risk")</f>
        <v>Death Penalty, Freedom of Expression, Individuals At Risk</v>
      </c>
      <c r="H1063" s="1" t="str">
        <f ca="1">IFERROR(__xludf.DUMMYFUNCTION("""COMPUTED_VALUE"""),"2024")</f>
        <v>2024</v>
      </c>
      <c r="I1063" s="1" t="str">
        <f ca="1">IFERROR(__xludf.DUMMYFUNCTION("""COMPUTED_VALUE"""),"Email")</f>
        <v>Email</v>
      </c>
    </row>
    <row r="1064" spans="1:9" ht="13" x14ac:dyDescent="0.15">
      <c r="A1064" s="9">
        <f ca="1">IFERROR(__xludf.DUMMYFUNCTION("""COMPUTED_VALUE"""),55289782)</f>
        <v>55289782</v>
      </c>
      <c r="B1064" s="1" t="str">
        <f ca="1">IFERROR(__xludf.DUMMYFUNCTION("""COMPUTED_VALUE"""),"gravjm55@gmail.com")</f>
        <v>gravjm55@gmail.com</v>
      </c>
      <c r="C1064" s="9" t="str">
        <f ca="1">IFERROR(__xludf.DUMMYFUNCTION("""COMPUTED_VALUE"""),"EVERGREEN - UAN Gated Content - Embedded Petition")</f>
        <v>EVERGREEN - UAN Gated Content - Embedded Petition</v>
      </c>
      <c r="D1064" s="10">
        <f ca="1">IFERROR(__xludf.DUMMYFUNCTION("""COMPUTED_VALUE"""),45671)</f>
        <v>45671</v>
      </c>
      <c r="E1064" s="1" t="str">
        <f ca="1">IFERROR(__xludf.DUMMYFUNCTION("""COMPUTED_VALUE"""),"Egypt")</f>
        <v>Egypt</v>
      </c>
      <c r="F1064" s="1" t="str">
        <f ca="1">IFERROR(__xludf.DUMMYFUNCTION("""COMPUTED_VALUE"""),"Third 73.23 Egypt")</f>
        <v>Third 73.23 Egypt</v>
      </c>
      <c r="G1064" s="1" t="str">
        <f ca="1">IFERROR(__xludf.DUMMYFUNCTION("""COMPUTED_VALUE"""),"Individuals At Risk")</f>
        <v>Individuals At Risk</v>
      </c>
      <c r="H1064" s="1" t="str">
        <f ca="1">IFERROR(__xludf.DUMMYFUNCTION("""COMPUTED_VALUE"""),"2024")</f>
        <v>2024</v>
      </c>
      <c r="I1064" s="1" t="str">
        <f ca="1">IFERROR(__xludf.DUMMYFUNCTION("""COMPUTED_VALUE"""),"Email")</f>
        <v>Email</v>
      </c>
    </row>
    <row r="1065" spans="1:9" ht="13" x14ac:dyDescent="0.15">
      <c r="A1065" s="9">
        <f ca="1">IFERROR(__xludf.DUMMYFUNCTION("""COMPUTED_VALUE"""),55330641)</f>
        <v>55330641</v>
      </c>
      <c r="B1065" s="1" t="str">
        <f ca="1">IFERROR(__xludf.DUMMYFUNCTION("""COMPUTED_VALUE"""),"jgould1526@gmail.com")</f>
        <v>jgould1526@gmail.com</v>
      </c>
      <c r="C1065" s="9" t="str">
        <f ca="1">IFERROR(__xludf.DUMMYFUNCTION("""COMPUTED_VALUE"""),"EVERGREEN - UAN Gated Content - Embedded Petition")</f>
        <v>EVERGREEN - UAN Gated Content - Embedded Petition</v>
      </c>
      <c r="D1065" s="10">
        <f ca="1">IFERROR(__xludf.DUMMYFUNCTION("""COMPUTED_VALUE"""),45647)</f>
        <v>45647</v>
      </c>
      <c r="E1065" s="1" t="str">
        <f ca="1">IFERROR(__xludf.DUMMYFUNCTION("""COMPUTED_VALUE"""),"Dominican Republic")</f>
        <v>Dominican Republic</v>
      </c>
      <c r="F1065" s="1" t="str">
        <f ca="1">IFERROR(__xludf.DUMMYFUNCTION("""COMPUTED_VALUE"""),"88.24 Dominican Republic")</f>
        <v>88.24 Dominican Republic</v>
      </c>
      <c r="G1065" s="1" t="str">
        <f ca="1">IFERROR(__xludf.DUMMYFUNCTION("""COMPUTED_VALUE"""),"Individuals At Risk, Refugee and Migrant Rights")</f>
        <v>Individuals At Risk, Refugee and Migrant Rights</v>
      </c>
      <c r="H1065" s="1" t="str">
        <f ca="1">IFERROR(__xludf.DUMMYFUNCTION("""COMPUTED_VALUE"""),"2024")</f>
        <v>2024</v>
      </c>
      <c r="I1065" s="1" t="str">
        <f ca="1">IFERROR(__xludf.DUMMYFUNCTION("""COMPUTED_VALUE"""),"Letter")</f>
        <v>Letter</v>
      </c>
    </row>
    <row r="1066" spans="1:9" ht="13" x14ac:dyDescent="0.15">
      <c r="A1066" s="9">
        <f ca="1">IFERROR(__xludf.DUMMYFUNCTION("""COMPUTED_VALUE"""),55330641)</f>
        <v>55330641</v>
      </c>
      <c r="B1066" s="1" t="str">
        <f ca="1">IFERROR(__xludf.DUMMYFUNCTION("""COMPUTED_VALUE"""),"jgould1526@gmail.com")</f>
        <v>jgould1526@gmail.com</v>
      </c>
      <c r="C1066" s="9" t="str">
        <f ca="1">IFERROR(__xludf.DUMMYFUNCTION("""COMPUTED_VALUE"""),"EVERGREEN - UAN Gated Content - Embedded Petition")</f>
        <v>EVERGREEN - UAN Gated Content - Embedded Petition</v>
      </c>
      <c r="D1066" s="10">
        <f ca="1">IFERROR(__xludf.DUMMYFUNCTION("""COMPUTED_VALUE"""),45631)</f>
        <v>45631</v>
      </c>
      <c r="E1066" s="1" t="str">
        <f ca="1">IFERROR(__xludf.DUMMYFUNCTION("""COMPUTED_VALUE"""),"Niger")</f>
        <v>Niger</v>
      </c>
      <c r="F1066" s="1" t="str">
        <f ca="1">IFERROR(__xludf.DUMMYFUNCTION("""COMPUTED_VALUE"""),"103.24 Niger")</f>
        <v>103.24 Niger</v>
      </c>
      <c r="G1066" s="1" t="str">
        <f ca="1">IFERROR(__xludf.DUMMYFUNCTION("""COMPUTED_VALUE"""),"Freedom of Expression, Human Rights Defenders")</f>
        <v>Freedom of Expression, Human Rights Defenders</v>
      </c>
      <c r="H1066" s="1" t="str">
        <f ca="1">IFERROR(__xludf.DUMMYFUNCTION("""COMPUTED_VALUE"""),"2024")</f>
        <v>2024</v>
      </c>
      <c r="I1066" s="1" t="str">
        <f ca="1">IFERROR(__xludf.DUMMYFUNCTION("""COMPUTED_VALUE"""),"Email")</f>
        <v>Email</v>
      </c>
    </row>
    <row r="1067" spans="1:9" ht="13" x14ac:dyDescent="0.15">
      <c r="A1067" s="9">
        <f ca="1">IFERROR(__xludf.DUMMYFUNCTION("""COMPUTED_VALUE"""),55330641)</f>
        <v>55330641</v>
      </c>
      <c r="B1067" s="1" t="str">
        <f ca="1">IFERROR(__xludf.DUMMYFUNCTION("""COMPUTED_VALUE"""),"jgould1526@gmail.com")</f>
        <v>jgould1526@gmail.com</v>
      </c>
      <c r="C1067" s="9" t="str">
        <f ca="1">IFERROR(__xludf.DUMMYFUNCTION("""COMPUTED_VALUE"""),"EVERGREEN - UAN Gated Content - Embedded Petition")</f>
        <v>EVERGREEN - UAN Gated Content - Embedded Petition</v>
      </c>
      <c r="D1067" s="10">
        <f ca="1">IFERROR(__xludf.DUMMYFUNCTION("""COMPUTED_VALUE"""),45694)</f>
        <v>45694</v>
      </c>
      <c r="E1067" s="1" t="str">
        <f ca="1">IFERROR(__xludf.DUMMYFUNCTION("""COMPUTED_VALUE"""),"Tunisia")</f>
        <v>Tunisia</v>
      </c>
      <c r="F1067" s="1" t="str">
        <f ca="1">IFERROR(__xludf.DUMMYFUNCTION("""COMPUTED_VALUE"""),"Second 43.24 Tunisia")</f>
        <v>Second 43.24 Tunisia</v>
      </c>
      <c r="G1067" s="1" t="str">
        <f ca="1">IFERROR(__xludf.DUMMYFUNCTION("""COMPUTED_VALUE"""),"Freedom of Expression, Individuals At Risk")</f>
        <v>Freedom of Expression, Individuals At Risk</v>
      </c>
      <c r="H1067" s="1" t="str">
        <f ca="1">IFERROR(__xludf.DUMMYFUNCTION("""COMPUTED_VALUE"""),"2024")</f>
        <v>2024</v>
      </c>
      <c r="I1067" s="1" t="str">
        <f ca="1">IFERROR(__xludf.DUMMYFUNCTION("""COMPUTED_VALUE"""),"Email")</f>
        <v>Email</v>
      </c>
    </row>
    <row r="1068" spans="1:9" ht="13" x14ac:dyDescent="0.15">
      <c r="A1068" s="9">
        <f ca="1">IFERROR(__xludf.DUMMYFUNCTION("""COMPUTED_VALUE"""),55330641)</f>
        <v>55330641</v>
      </c>
      <c r="B1068" s="1" t="str">
        <f ca="1">IFERROR(__xludf.DUMMYFUNCTION("""COMPUTED_VALUE"""),"jgould1526@gmail.com")</f>
        <v>jgould1526@gmail.com</v>
      </c>
      <c r="C1068" s="9" t="str">
        <f ca="1">IFERROR(__xludf.DUMMYFUNCTION("""COMPUTED_VALUE"""),"EVERGREEN - UAN Gated Content - Embedded Petition")</f>
        <v>EVERGREEN - UAN Gated Content - Embedded Petition</v>
      </c>
      <c r="D1068" s="10">
        <f ca="1">IFERROR(__xludf.DUMMYFUNCTION("""COMPUTED_VALUE"""),45631)</f>
        <v>45631</v>
      </c>
      <c r="E1068" s="1" t="str">
        <f ca="1">IFERROR(__xludf.DUMMYFUNCTION("""COMPUTED_VALUE"""),"China")</f>
        <v>China</v>
      </c>
      <c r="F1068" s="1" t="str">
        <f ca="1">IFERROR(__xludf.DUMMYFUNCTION("""COMPUTED_VALUE"""),"106.24 China")</f>
        <v>106.24 China</v>
      </c>
      <c r="G1068" s="1" t="str">
        <f ca="1">IFERROR(__xludf.DUMMYFUNCTION("""COMPUTED_VALUE"""),"Freedom of Expression, Individuals At Risk")</f>
        <v>Freedom of Expression, Individuals At Risk</v>
      </c>
      <c r="H1068" s="1" t="str">
        <f ca="1">IFERROR(__xludf.DUMMYFUNCTION("""COMPUTED_VALUE"""),"2024")</f>
        <v>2024</v>
      </c>
      <c r="I1068" s="1" t="str">
        <f ca="1">IFERROR(__xludf.DUMMYFUNCTION("""COMPUTED_VALUE"""),"Email")</f>
        <v>Email</v>
      </c>
    </row>
    <row r="1069" spans="1:9" ht="13" x14ac:dyDescent="0.15">
      <c r="A1069" s="9">
        <f ca="1">IFERROR(__xludf.DUMMYFUNCTION("""COMPUTED_VALUE"""),55330641)</f>
        <v>55330641</v>
      </c>
      <c r="B1069" s="1" t="str">
        <f ca="1">IFERROR(__xludf.DUMMYFUNCTION("""COMPUTED_VALUE"""),"jgould1526@gmail.com")</f>
        <v>jgould1526@gmail.com</v>
      </c>
      <c r="C1069" s="9" t="str">
        <f ca="1">IFERROR(__xludf.DUMMYFUNCTION("""COMPUTED_VALUE"""),"EVERGREEN - UAN Gated Content - Embedded Petition")</f>
        <v>EVERGREEN - UAN Gated Content - Embedded Petition</v>
      </c>
      <c r="D1069" s="10">
        <f ca="1">IFERROR(__xludf.DUMMYFUNCTION("""COMPUTED_VALUE"""),45631)</f>
        <v>45631</v>
      </c>
      <c r="E1069" s="1" t="str">
        <f ca="1">IFERROR(__xludf.DUMMYFUNCTION("""COMPUTED_VALUE"""),"Egypt")</f>
        <v>Egypt</v>
      </c>
      <c r="F1069" s="1" t="str">
        <f ca="1">IFERROR(__xludf.DUMMYFUNCTION("""COMPUTED_VALUE"""),"Ninth 190.18 Egypt")</f>
        <v>Ninth 190.18 Egypt</v>
      </c>
      <c r="G1069" s="1" t="str">
        <f ca="1">IFERROR(__xludf.DUMMYFUNCTION("""COMPUTED_VALUE"""),"Freedom of Expression, Individuals At Risk")</f>
        <v>Freedom of Expression, Individuals At Risk</v>
      </c>
      <c r="H1069" s="1" t="str">
        <f ca="1">IFERROR(__xludf.DUMMYFUNCTION("""COMPUTED_VALUE"""),"2024")</f>
        <v>2024</v>
      </c>
      <c r="I1069" s="1" t="str">
        <f ca="1">IFERROR(__xludf.DUMMYFUNCTION("""COMPUTED_VALUE"""),"Letter")</f>
        <v>Letter</v>
      </c>
    </row>
    <row r="1070" spans="1:9" ht="13" x14ac:dyDescent="0.15">
      <c r="A1070" s="9">
        <f ca="1">IFERROR(__xludf.DUMMYFUNCTION("""COMPUTED_VALUE"""),55330641)</f>
        <v>55330641</v>
      </c>
      <c r="B1070" s="1" t="str">
        <f ca="1">IFERROR(__xludf.DUMMYFUNCTION("""COMPUTED_VALUE"""),"jgould1526@gmail.com")</f>
        <v>jgould1526@gmail.com</v>
      </c>
      <c r="C1070" s="9" t="str">
        <f ca="1">IFERROR(__xludf.DUMMYFUNCTION("""COMPUTED_VALUE"""),"EVERGREEN - UAN Gated Content - Embedded Petition")</f>
        <v>EVERGREEN - UAN Gated Content - Embedded Petition</v>
      </c>
      <c r="D1070" s="10">
        <f ca="1">IFERROR(__xludf.DUMMYFUNCTION("""COMPUTED_VALUE"""),45631)</f>
        <v>45631</v>
      </c>
      <c r="E1070" s="1" t="str">
        <f ca="1">IFERROR(__xludf.DUMMYFUNCTION("""COMPUTED_VALUE"""),"Israel and Occupied Palestinian Territories")</f>
        <v>Israel and Occupied Palestinian Territories</v>
      </c>
      <c r="F1070" s="1" t="str">
        <f ca="1">IFERROR(__xludf.DUMMYFUNCTION("""COMPUTED_VALUE"""),"3.25 IOPT")</f>
        <v>3.25 IOPT</v>
      </c>
      <c r="G1070" s="1" t="str">
        <f ca="1">IFERROR(__xludf.DUMMYFUNCTION("""COMPUTED_VALUE"""),"Freedom of Expression, Individuals At Risk")</f>
        <v>Freedom of Expression, Individuals At Risk</v>
      </c>
      <c r="H1070" s="1" t="str">
        <f ca="1">IFERROR(__xludf.DUMMYFUNCTION("""COMPUTED_VALUE"""),"2025")</f>
        <v>2025</v>
      </c>
      <c r="I1070" s="1" t="str">
        <f ca="1">IFERROR(__xludf.DUMMYFUNCTION("""COMPUTED_VALUE"""),"Email")</f>
        <v>Email</v>
      </c>
    </row>
    <row r="1071" spans="1:9" ht="13" x14ac:dyDescent="0.15">
      <c r="A1071" s="9">
        <f ca="1">IFERROR(__xludf.DUMMYFUNCTION("""COMPUTED_VALUE"""),55330641)</f>
        <v>55330641</v>
      </c>
      <c r="B1071" s="1" t="str">
        <f ca="1">IFERROR(__xludf.DUMMYFUNCTION("""COMPUTED_VALUE"""),"jgould1526@gmail.com")</f>
        <v>jgould1526@gmail.com</v>
      </c>
      <c r="C1071" s="9" t="str">
        <f ca="1">IFERROR(__xludf.DUMMYFUNCTION("""COMPUTED_VALUE"""),"EVERGREEN - UAN Gated Content - Embedded Petition")</f>
        <v>EVERGREEN - UAN Gated Content - Embedded Petition</v>
      </c>
      <c r="D1071" s="10">
        <f ca="1">IFERROR(__xludf.DUMMYFUNCTION("""COMPUTED_VALUE"""),45631)</f>
        <v>45631</v>
      </c>
      <c r="E1071" s="1" t="str">
        <f ca="1">IFERROR(__xludf.DUMMYFUNCTION("""COMPUTED_VALUE"""),"Israel and Occupied Palestinian Territories")</f>
        <v>Israel and Occupied Palestinian Territories</v>
      </c>
      <c r="F1071" s="1" t="str">
        <f ca="1">IFERROR(__xludf.DUMMYFUNCTION("""COMPUTED_VALUE"""),"3.25 IOPT")</f>
        <v>3.25 IOPT</v>
      </c>
      <c r="G1071" s="1" t="str">
        <f ca="1">IFERROR(__xludf.DUMMYFUNCTION("""COMPUTED_VALUE"""),"Freedom of Expression, Individuals At Risk")</f>
        <v>Freedom of Expression, Individuals At Risk</v>
      </c>
      <c r="H1071" s="1" t="str">
        <f ca="1">IFERROR(__xludf.DUMMYFUNCTION("""COMPUTED_VALUE"""),"2025")</f>
        <v>2025</v>
      </c>
      <c r="I1071" s="1" t="str">
        <f ca="1">IFERROR(__xludf.DUMMYFUNCTION("""COMPUTED_VALUE"""),"Email")</f>
        <v>Email</v>
      </c>
    </row>
    <row r="1072" spans="1:9" ht="13" x14ac:dyDescent="0.15">
      <c r="A1072" s="9">
        <f ca="1">IFERROR(__xludf.DUMMYFUNCTION("""COMPUTED_VALUE"""),55330641)</f>
        <v>55330641</v>
      </c>
      <c r="B1072" s="1" t="str">
        <f ca="1">IFERROR(__xludf.DUMMYFUNCTION("""COMPUTED_VALUE"""),"jgould1526@gmail.com")</f>
        <v>jgould1526@gmail.com</v>
      </c>
      <c r="C1072" s="9" t="str">
        <f ca="1">IFERROR(__xludf.DUMMYFUNCTION("""COMPUTED_VALUE"""),"EVERGREEN - UAN Gated Content - Embedded Petition")</f>
        <v>EVERGREEN - UAN Gated Content - Embedded Petition</v>
      </c>
      <c r="D1072" s="10">
        <f ca="1">IFERROR(__xludf.DUMMYFUNCTION("""COMPUTED_VALUE"""),45631)</f>
        <v>45631</v>
      </c>
      <c r="E1072" s="1" t="str">
        <f ca="1">IFERROR(__xludf.DUMMYFUNCTION("""COMPUTED_VALUE"""),"Egypt")</f>
        <v>Egypt</v>
      </c>
      <c r="F1072" s="1" t="str">
        <f ca="1">IFERROR(__xludf.DUMMYFUNCTION("""COMPUTED_VALUE"""),"Ninth 190.18 Egypt")</f>
        <v>Ninth 190.18 Egypt</v>
      </c>
      <c r="G1072" s="1" t="str">
        <f ca="1">IFERROR(__xludf.DUMMYFUNCTION("""COMPUTED_VALUE"""),"Freedom of Expression, Individuals At Risk")</f>
        <v>Freedom of Expression, Individuals At Risk</v>
      </c>
      <c r="H1072" s="1" t="str">
        <f ca="1">IFERROR(__xludf.DUMMYFUNCTION("""COMPUTED_VALUE"""),"2024")</f>
        <v>2024</v>
      </c>
      <c r="I1072" s="1" t="str">
        <f ca="1">IFERROR(__xludf.DUMMYFUNCTION("""COMPUTED_VALUE"""),"Letter")</f>
        <v>Letter</v>
      </c>
    </row>
    <row r="1073" spans="1:9" ht="13" x14ac:dyDescent="0.15">
      <c r="A1073" s="9">
        <f ca="1">IFERROR(__xludf.DUMMYFUNCTION("""COMPUTED_VALUE"""),55330641)</f>
        <v>55330641</v>
      </c>
      <c r="B1073" s="1" t="str">
        <f ca="1">IFERROR(__xludf.DUMMYFUNCTION("""COMPUTED_VALUE"""),"jgould1526@gmail.com")</f>
        <v>jgould1526@gmail.com</v>
      </c>
      <c r="C1073" s="9" t="str">
        <f ca="1">IFERROR(__xludf.DUMMYFUNCTION("""COMPUTED_VALUE"""),"EVERGREEN - UAN Gated Content - Embedded Petition")</f>
        <v>EVERGREEN - UAN Gated Content - Embedded Petition</v>
      </c>
      <c r="D1073" s="10">
        <f ca="1">IFERROR(__xludf.DUMMYFUNCTION("""COMPUTED_VALUE"""),45631)</f>
        <v>45631</v>
      </c>
      <c r="E1073" s="1" t="str">
        <f ca="1">IFERROR(__xludf.DUMMYFUNCTION("""COMPUTED_VALUE"""),"Venezuela")</f>
        <v>Venezuela</v>
      </c>
      <c r="F1073" s="1" t="str">
        <f ca="1">IFERROR(__xludf.DUMMYFUNCTION("""COMPUTED_VALUE"""),"97.24 Venezuela")</f>
        <v>97.24 Venezuela</v>
      </c>
      <c r="G1073" s="1" t="str">
        <f ca="1">IFERROR(__xludf.DUMMYFUNCTION("""COMPUTED_VALUE"""),"Freedom of Expression")</f>
        <v>Freedom of Expression</v>
      </c>
      <c r="H1073" s="1" t="str">
        <f ca="1">IFERROR(__xludf.DUMMYFUNCTION("""COMPUTED_VALUE"""),"2024")</f>
        <v>2024</v>
      </c>
      <c r="I1073" s="1" t="str">
        <f ca="1">IFERROR(__xludf.DUMMYFUNCTION("""COMPUTED_VALUE"""),"Letter")</f>
        <v>Letter</v>
      </c>
    </row>
    <row r="1074" spans="1:9" ht="13" x14ac:dyDescent="0.15">
      <c r="A1074" s="9">
        <f ca="1">IFERROR(__xludf.DUMMYFUNCTION("""COMPUTED_VALUE"""),55330741)</f>
        <v>55330741</v>
      </c>
      <c r="B1074" s="1" t="str">
        <f ca="1">IFERROR(__xludf.DUMMYFUNCTION("""COMPUTED_VALUE"""),"shenyen@wavecable.com")</f>
        <v>shenyen@wavecable.com</v>
      </c>
      <c r="C1074" s="9" t="str">
        <f ca="1">IFERROR(__xludf.DUMMYFUNCTION("""COMPUTED_VALUE"""),"EVERGREEN - UAN Gated Content - Embedded Petition")</f>
        <v>EVERGREEN - UAN Gated Content - Embedded Petition</v>
      </c>
      <c r="D1074" s="10">
        <f ca="1">IFERROR(__xludf.DUMMYFUNCTION("""COMPUTED_VALUE"""),45618)</f>
        <v>45618</v>
      </c>
      <c r="E1074" s="1" t="str">
        <f ca="1">IFERROR(__xludf.DUMMYFUNCTION("""COMPUTED_VALUE"""),"China")</f>
        <v>China</v>
      </c>
      <c r="F1074" s="1" t="str">
        <f ca="1">IFERROR(__xludf.DUMMYFUNCTION("""COMPUTED_VALUE"""),"98.24 China")</f>
        <v>98.24 China</v>
      </c>
      <c r="G1074" s="1" t="str">
        <f ca="1">IFERROR(__xludf.DUMMYFUNCTION("""COMPUTED_VALUE"""),"Freedom of Expression, Individuals At Risk")</f>
        <v>Freedom of Expression, Individuals At Risk</v>
      </c>
      <c r="H1074" s="1" t="str">
        <f ca="1">IFERROR(__xludf.DUMMYFUNCTION("""COMPUTED_VALUE"""),"2024")</f>
        <v>2024</v>
      </c>
      <c r="I1074" s="1" t="str">
        <f ca="1">IFERROR(__xludf.DUMMYFUNCTION("""COMPUTED_VALUE"""),"Letter")</f>
        <v>Letter</v>
      </c>
    </row>
    <row r="1075" spans="1:9" ht="13" x14ac:dyDescent="0.15">
      <c r="A1075" s="9">
        <f ca="1">IFERROR(__xludf.DUMMYFUNCTION("""COMPUTED_VALUE"""),55330741)</f>
        <v>55330741</v>
      </c>
      <c r="B1075" s="1" t="str">
        <f ca="1">IFERROR(__xludf.DUMMYFUNCTION("""COMPUTED_VALUE"""),"shenyen@wavecable.com")</f>
        <v>shenyen@wavecable.com</v>
      </c>
      <c r="C1075" s="9" t="str">
        <f ca="1">IFERROR(__xludf.DUMMYFUNCTION("""COMPUTED_VALUE"""),"EVERGREEN - UAN Gated Content - Embedded Petition")</f>
        <v>EVERGREEN - UAN Gated Content - Embedded Petition</v>
      </c>
      <c r="D1075" s="10">
        <f ca="1">IFERROR(__xludf.DUMMYFUNCTION("""COMPUTED_VALUE"""),45618)</f>
        <v>45618</v>
      </c>
      <c r="E1075" s="1" t="str">
        <f ca="1">IFERROR(__xludf.DUMMYFUNCTION("""COMPUTED_VALUE"""),"Niger")</f>
        <v>Niger</v>
      </c>
      <c r="F1075" s="1" t="str">
        <f ca="1">IFERROR(__xludf.DUMMYFUNCTION("""COMPUTED_VALUE"""),"103.24 Niger")</f>
        <v>103.24 Niger</v>
      </c>
      <c r="G1075" s="1" t="str">
        <f ca="1">IFERROR(__xludf.DUMMYFUNCTION("""COMPUTED_VALUE"""),"Freedom of Expression, Human Rights Defenders")</f>
        <v>Freedom of Expression, Human Rights Defenders</v>
      </c>
      <c r="H1075" s="1" t="str">
        <f ca="1">IFERROR(__xludf.DUMMYFUNCTION("""COMPUTED_VALUE"""),"2024")</f>
        <v>2024</v>
      </c>
      <c r="I1075" s="1" t="str">
        <f ca="1">IFERROR(__xludf.DUMMYFUNCTION("""COMPUTED_VALUE"""),"Email")</f>
        <v>Email</v>
      </c>
    </row>
    <row r="1076" spans="1:9" ht="13" x14ac:dyDescent="0.15">
      <c r="A1076" s="9">
        <f ca="1">IFERROR(__xludf.DUMMYFUNCTION("""COMPUTED_VALUE"""),55330741)</f>
        <v>55330741</v>
      </c>
      <c r="B1076" s="1" t="str">
        <f ca="1">IFERROR(__xludf.DUMMYFUNCTION("""COMPUTED_VALUE"""),"shenyen@wavecable.com")</f>
        <v>shenyen@wavecable.com</v>
      </c>
      <c r="C1076" s="9" t="str">
        <f ca="1">IFERROR(__xludf.DUMMYFUNCTION("""COMPUTED_VALUE"""),"EVERGREEN - UAN Gated Content - Embedded Petition")</f>
        <v>EVERGREEN - UAN Gated Content - Embedded Petition</v>
      </c>
      <c r="D1076" s="10">
        <f ca="1">IFERROR(__xludf.DUMMYFUNCTION("""COMPUTED_VALUE"""),45618)</f>
        <v>45618</v>
      </c>
      <c r="E1076" s="1" t="str">
        <f ca="1">IFERROR(__xludf.DUMMYFUNCTION("""COMPUTED_VALUE"""),"Iran")</f>
        <v>Iran</v>
      </c>
      <c r="F1076" s="1" t="str">
        <f ca="1">IFERROR(__xludf.DUMMYFUNCTION("""COMPUTED_VALUE"""),"Seventh 103.22 Iran")</f>
        <v>Seventh 103.22 Iran</v>
      </c>
      <c r="G1076" s="1" t="str">
        <f ca="1">IFERROR(__xludf.DUMMYFUNCTION("""COMPUTED_VALUE"""),"Death Penalty, Freedom of Expression, Individuals At Risk")</f>
        <v>Death Penalty, Freedom of Expression, Individuals At Risk</v>
      </c>
      <c r="H1076" s="1" t="str">
        <f ca="1">IFERROR(__xludf.DUMMYFUNCTION("""COMPUTED_VALUE"""),"2024")</f>
        <v>2024</v>
      </c>
      <c r="I1076" s="1" t="str">
        <f ca="1">IFERROR(__xludf.DUMMYFUNCTION("""COMPUTED_VALUE"""),"Email")</f>
        <v>Email</v>
      </c>
    </row>
    <row r="1077" spans="1:9" ht="13" x14ac:dyDescent="0.15">
      <c r="A1077" s="9">
        <f ca="1">IFERROR(__xludf.DUMMYFUNCTION("""COMPUTED_VALUE"""),55330741)</f>
        <v>55330741</v>
      </c>
      <c r="B1077" s="1" t="str">
        <f ca="1">IFERROR(__xludf.DUMMYFUNCTION("""COMPUTED_VALUE"""),"shenyen@wavecable.com")</f>
        <v>shenyen@wavecable.com</v>
      </c>
      <c r="C1077" s="9" t="str">
        <f ca="1">IFERROR(__xludf.DUMMYFUNCTION("""COMPUTED_VALUE"""),"EVERGREEN - UAN Gated Content - Embedded Petition")</f>
        <v>EVERGREEN - UAN Gated Content - Embedded Petition</v>
      </c>
      <c r="D1077" s="10">
        <f ca="1">IFERROR(__xludf.DUMMYFUNCTION("""COMPUTED_VALUE"""),45618)</f>
        <v>45618</v>
      </c>
      <c r="E1077" s="1" t="str">
        <f ca="1">IFERROR(__xludf.DUMMYFUNCTION("""COMPUTED_VALUE"""),"Honduras")</f>
        <v>Honduras</v>
      </c>
      <c r="F1077" s="1" t="str">
        <f ca="1">IFERROR(__xludf.DUMMYFUNCTION("""COMPUTED_VALUE"""),"Second 85.24 Honduras")</f>
        <v>Second 85.24 Honduras</v>
      </c>
      <c r="G1077" s="1" t="str">
        <f ca="1">IFERROR(__xludf.DUMMYFUNCTION("""COMPUTED_VALUE"""),"Climate Justice, Human Rights Defenders, Right to Protest")</f>
        <v>Climate Justice, Human Rights Defenders, Right to Protest</v>
      </c>
      <c r="H1077" s="1" t="str">
        <f ca="1">IFERROR(__xludf.DUMMYFUNCTION("""COMPUTED_VALUE"""),"2024")</f>
        <v>2024</v>
      </c>
      <c r="I1077" s="1" t="str">
        <f ca="1">IFERROR(__xludf.DUMMYFUNCTION("""COMPUTED_VALUE"""),"Email")</f>
        <v>Email</v>
      </c>
    </row>
    <row r="1078" spans="1:9" ht="13" x14ac:dyDescent="0.15">
      <c r="A1078" s="9">
        <f ca="1">IFERROR(__xludf.DUMMYFUNCTION("""COMPUTED_VALUE"""),59085832)</f>
        <v>59085832</v>
      </c>
      <c r="B1078" s="1" t="str">
        <f ca="1">IFERROR(__xludf.DUMMYFUNCTION("""COMPUTED_VALUE"""),"8tinaann@gmail.com")</f>
        <v>8tinaann@gmail.com</v>
      </c>
      <c r="C1078" s="9" t="str">
        <f ca="1">IFERROR(__xludf.DUMMYFUNCTION("""COMPUTED_VALUE"""),"EVERGREEN - UAN Gated Content - Embedded Petition")</f>
        <v>EVERGREEN - UAN Gated Content - Embedded Petition</v>
      </c>
      <c r="D1078" s="10">
        <f ca="1">IFERROR(__xludf.DUMMYFUNCTION("""COMPUTED_VALUE"""),45694)</f>
        <v>45694</v>
      </c>
      <c r="E1078" s="1" t="str">
        <f ca="1">IFERROR(__xludf.DUMMYFUNCTION("""COMPUTED_VALUE"""),"USA")</f>
        <v>USA</v>
      </c>
      <c r="F1078" s="1" t="str">
        <f ca="1">IFERROR(__xludf.DUMMYFUNCTION("""COMPUTED_VALUE"""),"4.25 USA")</f>
        <v>4.25 USA</v>
      </c>
      <c r="G1078" s="1" t="str">
        <f ca="1">IFERROR(__xludf.DUMMYFUNCTION("""COMPUTED_VALUE"""),"Individuals At Risk, Refugee and Migrant Rights")</f>
        <v>Individuals At Risk, Refugee and Migrant Rights</v>
      </c>
      <c r="H1078" s="1" t="str">
        <f ca="1">IFERROR(__xludf.DUMMYFUNCTION("""COMPUTED_VALUE"""),"2025")</f>
        <v>2025</v>
      </c>
      <c r="I1078" s="1" t="str">
        <f ca="1">IFERROR(__xludf.DUMMYFUNCTION("""COMPUTED_VALUE"""),"Letter")</f>
        <v>Letter</v>
      </c>
    </row>
    <row r="1079" spans="1:9" ht="13" x14ac:dyDescent="0.15">
      <c r="A1079" s="9">
        <f ca="1">IFERROR(__xludf.DUMMYFUNCTION("""COMPUTED_VALUE"""),59085832)</f>
        <v>59085832</v>
      </c>
      <c r="B1079" s="1" t="str">
        <f ca="1">IFERROR(__xludf.DUMMYFUNCTION("""COMPUTED_VALUE"""),"8tinaann@gmail.com")</f>
        <v>8tinaann@gmail.com</v>
      </c>
      <c r="C1079" s="9" t="str">
        <f ca="1">IFERROR(__xludf.DUMMYFUNCTION("""COMPUTED_VALUE"""),"EVERGREEN - UAN Gated Content - Embedded Petition")</f>
        <v>EVERGREEN - UAN Gated Content - Embedded Petition</v>
      </c>
      <c r="D1079" s="10">
        <f ca="1">IFERROR(__xludf.DUMMYFUNCTION("""COMPUTED_VALUE"""),45677)</f>
        <v>45677</v>
      </c>
      <c r="E1079" s="1" t="str">
        <f ca="1">IFERROR(__xludf.DUMMYFUNCTION("""COMPUTED_VALUE"""),"Turkiye")</f>
        <v>Turkiye</v>
      </c>
      <c r="F1079" s="1" t="str">
        <f ca="1">IFERROR(__xludf.DUMMYFUNCTION("""COMPUTED_VALUE"""),"109.24 Türkiye")</f>
        <v>109.24 Türkiye</v>
      </c>
      <c r="G1079" s="1" t="str">
        <f ca="1">IFERROR(__xludf.DUMMYFUNCTION("""COMPUTED_VALUE"""),"Human Rights Defenders, Individuals At Risk")</f>
        <v>Human Rights Defenders, Individuals At Risk</v>
      </c>
      <c r="H1079" s="1" t="str">
        <f ca="1">IFERROR(__xludf.DUMMYFUNCTION("""COMPUTED_VALUE"""),"2024")</f>
        <v>2024</v>
      </c>
      <c r="I1079" s="1" t="str">
        <f ca="1">IFERROR(__xludf.DUMMYFUNCTION("""COMPUTED_VALUE"""),"Email")</f>
        <v>Email</v>
      </c>
    </row>
    <row r="1080" spans="1:9" ht="13" x14ac:dyDescent="0.15">
      <c r="A1080" s="9">
        <f ca="1">IFERROR(__xludf.DUMMYFUNCTION("""COMPUTED_VALUE"""),59225296)</f>
        <v>59225296</v>
      </c>
      <c r="B1080" s="1" t="str">
        <f ca="1">IFERROR(__xludf.DUMMYFUNCTION("""COMPUTED_VALUE"""),"khborges@icloud.com")</f>
        <v>khborges@icloud.com</v>
      </c>
      <c r="C1080" s="9" t="str">
        <f ca="1">IFERROR(__xludf.DUMMYFUNCTION("""COMPUTED_VALUE"""),"EVERGREEN - UAN Gated Content - Embedded Petition")</f>
        <v>EVERGREEN - UAN Gated Content - Embedded Petition</v>
      </c>
      <c r="D1080" s="10">
        <f ca="1">IFERROR(__xludf.DUMMYFUNCTION("""COMPUTED_VALUE"""),45678)</f>
        <v>45678</v>
      </c>
      <c r="E1080" s="1" t="str">
        <f ca="1">IFERROR(__xludf.DUMMYFUNCTION("""COMPUTED_VALUE"""),"Tunisia")</f>
        <v>Tunisia</v>
      </c>
      <c r="F1080" s="1" t="str">
        <f ca="1">IFERROR(__xludf.DUMMYFUNCTION("""COMPUTED_VALUE"""),"Second 76.24 Tunisia")</f>
        <v>Second 76.24 Tunisia</v>
      </c>
      <c r="G1080" s="1" t="str">
        <f ca="1">IFERROR(__xludf.DUMMYFUNCTION("""COMPUTED_VALUE"""),"Freedom of Expression, Human Rights Defenders")</f>
        <v>Freedom of Expression, Human Rights Defenders</v>
      </c>
      <c r="H1080" s="1" t="str">
        <f ca="1">IFERROR(__xludf.DUMMYFUNCTION("""COMPUTED_VALUE"""),"2025")</f>
        <v>2025</v>
      </c>
      <c r="I1080" s="1" t="str">
        <f ca="1">IFERROR(__xludf.DUMMYFUNCTION("""COMPUTED_VALUE"""),"Email")</f>
        <v>Email</v>
      </c>
    </row>
    <row r="1081" spans="1:9" ht="13" x14ac:dyDescent="0.15">
      <c r="A1081" s="9">
        <f ca="1">IFERROR(__xludf.DUMMYFUNCTION("""COMPUTED_VALUE"""),59225296)</f>
        <v>59225296</v>
      </c>
      <c r="B1081" s="1" t="str">
        <f ca="1">IFERROR(__xludf.DUMMYFUNCTION("""COMPUTED_VALUE"""),"khborges@icloud.com")</f>
        <v>khborges@icloud.com</v>
      </c>
      <c r="C1081" s="9" t="str">
        <f ca="1">IFERROR(__xludf.DUMMYFUNCTION("""COMPUTED_VALUE"""),"EVERGREEN - UAN Gated Content - Embedded Petition")</f>
        <v>EVERGREEN - UAN Gated Content - Embedded Petition</v>
      </c>
      <c r="D1081" s="10">
        <f ca="1">IFERROR(__xludf.DUMMYFUNCTION("""COMPUTED_VALUE"""),45694)</f>
        <v>45694</v>
      </c>
      <c r="E1081" s="1" t="str">
        <f ca="1">IFERROR(__xludf.DUMMYFUNCTION("""COMPUTED_VALUE"""),"USA")</f>
        <v>USA</v>
      </c>
      <c r="F1081" s="1" t="str">
        <f ca="1">IFERROR(__xludf.DUMMYFUNCTION("""COMPUTED_VALUE"""),"96.24 USA")</f>
        <v>96.24 USA</v>
      </c>
      <c r="G1081" s="1" t="str">
        <f ca="1">IFERROR(__xludf.DUMMYFUNCTION("""COMPUTED_VALUE"""),"Death Penalty")</f>
        <v>Death Penalty</v>
      </c>
      <c r="H1081" s="1" t="str">
        <f ca="1">IFERROR(__xludf.DUMMYFUNCTION("""COMPUTED_VALUE"""),"2024")</f>
        <v>2024</v>
      </c>
      <c r="I1081" s="1" t="str">
        <f ca="1">IFERROR(__xludf.DUMMYFUNCTION("""COMPUTED_VALUE"""),"Email")</f>
        <v>Email</v>
      </c>
    </row>
    <row r="1082" spans="1:9" ht="13" x14ac:dyDescent="0.15">
      <c r="A1082" s="9">
        <f ca="1">IFERROR(__xludf.DUMMYFUNCTION("""COMPUTED_VALUE"""),60541574)</f>
        <v>60541574</v>
      </c>
      <c r="B1082" s="1" t="str">
        <f ca="1">IFERROR(__xludf.DUMMYFUNCTION("""COMPUTED_VALUE"""),"karen.burkhart.in@gmail.com")</f>
        <v>karen.burkhart.in@gmail.com</v>
      </c>
      <c r="C1082" s="9" t="str">
        <f ca="1">IFERROR(__xludf.DUMMYFUNCTION("""COMPUTED_VALUE"""),"EVERGREEN - UAN Gated Content - Embedded Petition")</f>
        <v>EVERGREEN - UAN Gated Content - Embedded Petition</v>
      </c>
      <c r="D1082" s="10">
        <f ca="1">IFERROR(__xludf.DUMMYFUNCTION("""COMPUTED_VALUE"""),45636)</f>
        <v>45636</v>
      </c>
      <c r="E1082" s="1" t="str">
        <f ca="1">IFERROR(__xludf.DUMMYFUNCTION("""COMPUTED_VALUE"""),"USA")</f>
        <v>USA</v>
      </c>
      <c r="F1082" s="1" t="str">
        <f ca="1">IFERROR(__xludf.DUMMYFUNCTION("""COMPUTED_VALUE"""),"4.25 USA")</f>
        <v>4.25 USA</v>
      </c>
      <c r="G1082" s="1" t="str">
        <f ca="1">IFERROR(__xludf.DUMMYFUNCTION("""COMPUTED_VALUE"""),"Individuals At Risk, Refugee and Migrant Rights")</f>
        <v>Individuals At Risk, Refugee and Migrant Rights</v>
      </c>
      <c r="H1082" s="1" t="str">
        <f ca="1">IFERROR(__xludf.DUMMYFUNCTION("""COMPUTED_VALUE"""),"2025")</f>
        <v>2025</v>
      </c>
      <c r="I1082" s="1" t="str">
        <f ca="1">IFERROR(__xludf.DUMMYFUNCTION("""COMPUTED_VALUE"""),"Letter")</f>
        <v>Letter</v>
      </c>
    </row>
    <row r="1083" spans="1:9" ht="13" x14ac:dyDescent="0.15">
      <c r="A1083" s="9">
        <f ca="1">IFERROR(__xludf.DUMMYFUNCTION("""COMPUTED_VALUE"""),60632268)</f>
        <v>60632268</v>
      </c>
      <c r="B1083" s="1" t="str">
        <f ca="1">IFERROR(__xludf.DUMMYFUNCTION("""COMPUTED_VALUE"""),"conbro.32578@gmail.com")</f>
        <v>conbro.32578@gmail.com</v>
      </c>
      <c r="C1083" s="9" t="str">
        <f ca="1">IFERROR(__xludf.DUMMYFUNCTION("""COMPUTED_VALUE"""),"EVERGREEN - UAN Gated Content - Embedded Petition")</f>
        <v>EVERGREEN - UAN Gated Content - Embedded Petition</v>
      </c>
      <c r="D1083" s="10">
        <f ca="1">IFERROR(__xludf.DUMMYFUNCTION("""COMPUTED_VALUE"""),45674)</f>
        <v>45674</v>
      </c>
      <c r="E1083" s="1" t="str">
        <f ca="1">IFERROR(__xludf.DUMMYFUNCTION("""COMPUTED_VALUE"""),"Saudi Arabia")</f>
        <v>Saudi Arabia</v>
      </c>
      <c r="F1083" s="1" t="str">
        <f ca="1">IFERROR(__xludf.DUMMYFUNCTION("""COMPUTED_VALUE"""),"Fifth 257.12")</f>
        <v>Fifth 257.12</v>
      </c>
      <c r="G1083" s="1" t="str">
        <f ca="1">IFERROR(__xludf.DUMMYFUNCTION("""COMPUTED_VALUE"""),"Freedom of Expression, Human Rights Defenders")</f>
        <v>Freedom of Expression, Human Rights Defenders</v>
      </c>
      <c r="H1083" s="1" t="str">
        <f ca="1">IFERROR(__xludf.DUMMYFUNCTION("""COMPUTED_VALUE"""),"2025")</f>
        <v>2025</v>
      </c>
      <c r="I1083" s="1" t="str">
        <f ca="1">IFERROR(__xludf.DUMMYFUNCTION("""COMPUTED_VALUE"""),"Email")</f>
        <v>Email</v>
      </c>
    </row>
    <row r="1084" spans="1:9" ht="13" x14ac:dyDescent="0.15">
      <c r="A1084" s="9">
        <f ca="1">IFERROR(__xludf.DUMMYFUNCTION("""COMPUTED_VALUE"""),60632268)</f>
        <v>60632268</v>
      </c>
      <c r="B1084" s="1" t="str">
        <f ca="1">IFERROR(__xludf.DUMMYFUNCTION("""COMPUTED_VALUE"""),"conbro.32578@gmail.com")</f>
        <v>conbro.32578@gmail.com</v>
      </c>
      <c r="C1084" s="9" t="str">
        <f ca="1">IFERROR(__xludf.DUMMYFUNCTION("""COMPUTED_VALUE"""),"EVERGREEN - UAN Gated Content - Embedded Petition")</f>
        <v>EVERGREEN - UAN Gated Content - Embedded Petition</v>
      </c>
      <c r="D1084" s="10">
        <f ca="1">IFERROR(__xludf.DUMMYFUNCTION("""COMPUTED_VALUE"""),45694)</f>
        <v>45694</v>
      </c>
      <c r="E1084" s="1" t="str">
        <f ca="1">IFERROR(__xludf.DUMMYFUNCTION("""COMPUTED_VALUE"""),"USA")</f>
        <v>USA</v>
      </c>
      <c r="F1084" s="1" t="str">
        <f ca="1">IFERROR(__xludf.DUMMYFUNCTION("""COMPUTED_VALUE"""),"96.24 USA")</f>
        <v>96.24 USA</v>
      </c>
      <c r="G1084" s="1" t="str">
        <f ca="1">IFERROR(__xludf.DUMMYFUNCTION("""COMPUTED_VALUE"""),"Death Penalty")</f>
        <v>Death Penalty</v>
      </c>
      <c r="H1084" s="1" t="str">
        <f ca="1">IFERROR(__xludf.DUMMYFUNCTION("""COMPUTED_VALUE"""),"2024")</f>
        <v>2024</v>
      </c>
      <c r="I1084" s="1" t="str">
        <f ca="1">IFERROR(__xludf.DUMMYFUNCTION("""COMPUTED_VALUE"""),"Email")</f>
        <v>Email</v>
      </c>
    </row>
    <row r="1085" spans="1:9" ht="13" x14ac:dyDescent="0.15">
      <c r="A1085" s="9">
        <f ca="1">IFERROR(__xludf.DUMMYFUNCTION("""COMPUTED_VALUE"""),60632268)</f>
        <v>60632268</v>
      </c>
      <c r="B1085" s="1" t="str">
        <f ca="1">IFERROR(__xludf.DUMMYFUNCTION("""COMPUTED_VALUE"""),"conbro.32578@gmail.com")</f>
        <v>conbro.32578@gmail.com</v>
      </c>
      <c r="C1085" s="9" t="str">
        <f ca="1">IFERROR(__xludf.DUMMYFUNCTION("""COMPUTED_VALUE"""),"EVERGREEN - UAN Gated Content - Embedded Petition")</f>
        <v>EVERGREEN - UAN Gated Content - Embedded Petition</v>
      </c>
      <c r="D1085" s="10">
        <f ca="1">IFERROR(__xludf.DUMMYFUNCTION("""COMPUTED_VALUE"""),45636)</f>
        <v>45636</v>
      </c>
      <c r="E1085" s="1" t="str">
        <f ca="1">IFERROR(__xludf.DUMMYFUNCTION("""COMPUTED_VALUE"""),"USA")</f>
        <v>USA</v>
      </c>
      <c r="F1085" s="1" t="str">
        <f ca="1">IFERROR(__xludf.DUMMYFUNCTION("""COMPUTED_VALUE"""),"4.25 USA")</f>
        <v>4.25 USA</v>
      </c>
      <c r="G1085" s="1" t="str">
        <f ca="1">IFERROR(__xludf.DUMMYFUNCTION("""COMPUTED_VALUE"""),"Individuals At Risk, Refugee and Migrant Rights")</f>
        <v>Individuals At Risk, Refugee and Migrant Rights</v>
      </c>
      <c r="H1085" s="1" t="str">
        <f ca="1">IFERROR(__xludf.DUMMYFUNCTION("""COMPUTED_VALUE"""),"2025")</f>
        <v>2025</v>
      </c>
      <c r="I1085" s="1" t="str">
        <f ca="1">IFERROR(__xludf.DUMMYFUNCTION("""COMPUTED_VALUE"""),"Letter")</f>
        <v>Letter</v>
      </c>
    </row>
    <row r="1086" spans="1:9" ht="13" x14ac:dyDescent="0.15">
      <c r="A1086" s="9">
        <f ca="1">IFERROR(__xludf.DUMMYFUNCTION("""COMPUTED_VALUE"""),60632771)</f>
        <v>60632771</v>
      </c>
      <c r="B1086" s="1" t="str">
        <f ca="1">IFERROR(__xludf.DUMMYFUNCTION("""COMPUTED_VALUE"""),"citizenmonkey@gmail.com")</f>
        <v>citizenmonkey@gmail.com</v>
      </c>
      <c r="C1086" s="9" t="str">
        <f ca="1">IFERROR(__xludf.DUMMYFUNCTION("""COMPUTED_VALUE"""),"EVERGREEN - UAN Gated Content - Embedded Petition")</f>
        <v>EVERGREEN - UAN Gated Content - Embedded Petition</v>
      </c>
      <c r="D1086" s="10">
        <f ca="1">IFERROR(__xludf.DUMMYFUNCTION("""COMPUTED_VALUE"""),45672)</f>
        <v>45672</v>
      </c>
      <c r="E1086" s="1" t="str">
        <f ca="1">IFERROR(__xludf.DUMMYFUNCTION("""COMPUTED_VALUE"""),"USA")</f>
        <v>USA</v>
      </c>
      <c r="F1086" s="1" t="str">
        <f ca="1">IFERROR(__xludf.DUMMYFUNCTION("""COMPUTED_VALUE"""),"4.25 USA")</f>
        <v>4.25 USA</v>
      </c>
      <c r="G1086" s="1" t="str">
        <f ca="1">IFERROR(__xludf.DUMMYFUNCTION("""COMPUTED_VALUE"""),"Individuals At Risk, Refugee and Migrant Rights")</f>
        <v>Individuals At Risk, Refugee and Migrant Rights</v>
      </c>
      <c r="H1086" s="1" t="str">
        <f ca="1">IFERROR(__xludf.DUMMYFUNCTION("""COMPUTED_VALUE"""),"2025")</f>
        <v>2025</v>
      </c>
      <c r="I1086" s="1" t="str">
        <f ca="1">IFERROR(__xludf.DUMMYFUNCTION("""COMPUTED_VALUE"""),"Letter")</f>
        <v>Letter</v>
      </c>
    </row>
    <row r="1087" spans="1:9" ht="13" x14ac:dyDescent="0.15">
      <c r="A1087" s="9">
        <f ca="1">IFERROR(__xludf.DUMMYFUNCTION("""COMPUTED_VALUE"""),60632771)</f>
        <v>60632771</v>
      </c>
      <c r="B1087" s="1" t="str">
        <f ca="1">IFERROR(__xludf.DUMMYFUNCTION("""COMPUTED_VALUE"""),"citizenmonkey@gmail.com")</f>
        <v>citizenmonkey@gmail.com</v>
      </c>
      <c r="C1087" s="9" t="str">
        <f ca="1">IFERROR(__xludf.DUMMYFUNCTION("""COMPUTED_VALUE"""),"EVERGREEN - UAN Gated Content - Embedded Petition")</f>
        <v>EVERGREEN - UAN Gated Content - Embedded Petition</v>
      </c>
      <c r="D1087" s="10">
        <f ca="1">IFERROR(__xludf.DUMMYFUNCTION("""COMPUTED_VALUE"""),45672)</f>
        <v>45672</v>
      </c>
      <c r="E1087" s="1" t="str">
        <f ca="1">IFERROR(__xludf.DUMMYFUNCTION("""COMPUTED_VALUE"""),"USA")</f>
        <v>USA</v>
      </c>
      <c r="F1087" s="1" t="str">
        <f ca="1">IFERROR(__xludf.DUMMYFUNCTION("""COMPUTED_VALUE"""),"4.25 USA")</f>
        <v>4.25 USA</v>
      </c>
      <c r="G1087" s="1" t="str">
        <f ca="1">IFERROR(__xludf.DUMMYFUNCTION("""COMPUTED_VALUE"""),"Individuals At Risk, Refugee and Migrant Rights")</f>
        <v>Individuals At Risk, Refugee and Migrant Rights</v>
      </c>
      <c r="H1087" s="1" t="str">
        <f ca="1">IFERROR(__xludf.DUMMYFUNCTION("""COMPUTED_VALUE"""),"2025")</f>
        <v>2025</v>
      </c>
      <c r="I1087" s="1" t="str">
        <f ca="1">IFERROR(__xludf.DUMMYFUNCTION("""COMPUTED_VALUE"""),"Letter")</f>
        <v>Letter</v>
      </c>
    </row>
    <row r="1088" spans="1:9" ht="13" x14ac:dyDescent="0.15">
      <c r="A1088" s="9">
        <f ca="1">IFERROR(__xludf.DUMMYFUNCTION("""COMPUTED_VALUE"""),60632771)</f>
        <v>60632771</v>
      </c>
      <c r="B1088" s="1" t="str">
        <f ca="1">IFERROR(__xludf.DUMMYFUNCTION("""COMPUTED_VALUE"""),"citizenmonkey@gmail.com")</f>
        <v>citizenmonkey@gmail.com</v>
      </c>
      <c r="C1088" s="9" t="str">
        <f ca="1">IFERROR(__xludf.DUMMYFUNCTION("""COMPUTED_VALUE"""),"EVERGREEN - UAN Gated Content - Embedded Petition")</f>
        <v>EVERGREEN - UAN Gated Content - Embedded Petition</v>
      </c>
      <c r="D1088" s="10">
        <f ca="1">IFERROR(__xludf.DUMMYFUNCTION("""COMPUTED_VALUE"""),45672)</f>
        <v>45672</v>
      </c>
      <c r="E1088" s="1" t="str">
        <f ca="1">IFERROR(__xludf.DUMMYFUNCTION("""COMPUTED_VALUE"""),"Tunisia")</f>
        <v>Tunisia</v>
      </c>
      <c r="F1088" s="1" t="str">
        <f ca="1">IFERROR(__xludf.DUMMYFUNCTION("""COMPUTED_VALUE"""),"Second 76.24 Tunisia")</f>
        <v>Second 76.24 Tunisia</v>
      </c>
      <c r="G1088" s="1" t="str">
        <f ca="1">IFERROR(__xludf.DUMMYFUNCTION("""COMPUTED_VALUE"""),"Freedom of Expression, Human Rights Defenders")</f>
        <v>Freedom of Expression, Human Rights Defenders</v>
      </c>
      <c r="H1088" s="1" t="str">
        <f ca="1">IFERROR(__xludf.DUMMYFUNCTION("""COMPUTED_VALUE"""),"2025")</f>
        <v>2025</v>
      </c>
      <c r="I1088" s="1" t="str">
        <f ca="1">IFERROR(__xludf.DUMMYFUNCTION("""COMPUTED_VALUE"""),"Email")</f>
        <v>Email</v>
      </c>
    </row>
    <row r="1089" spans="1:9" ht="13" x14ac:dyDescent="0.15">
      <c r="A1089" s="9">
        <f ca="1">IFERROR(__xludf.DUMMYFUNCTION("""COMPUTED_VALUE"""),62665801)</f>
        <v>62665801</v>
      </c>
      <c r="B1089" s="1" t="str">
        <f ca="1">IFERROR(__xludf.DUMMYFUNCTION("""COMPUTED_VALUE"""),"billwesq@mail.com")</f>
        <v>billwesq@mail.com</v>
      </c>
      <c r="C1089" s="9" t="str">
        <f ca="1">IFERROR(__xludf.DUMMYFUNCTION("""COMPUTED_VALUE"""),"EVERGREEN - UAN Gated Content - Embedded Petition")</f>
        <v>EVERGREEN - UAN Gated Content - Embedded Petition</v>
      </c>
      <c r="D1089" s="10">
        <f ca="1">IFERROR(__xludf.DUMMYFUNCTION("""COMPUTED_VALUE"""),45679)</f>
        <v>45679</v>
      </c>
      <c r="E1089" s="1" t="str">
        <f ca="1">IFERROR(__xludf.DUMMYFUNCTION("""COMPUTED_VALUE"""),"Iran")</f>
        <v>Iran</v>
      </c>
      <c r="F1089" s="1" t="str">
        <f ca="1">IFERROR(__xludf.DUMMYFUNCTION("""COMPUTED_VALUE"""),"Seventh 103.22 Iran")</f>
        <v>Seventh 103.22 Iran</v>
      </c>
      <c r="G1089" s="1" t="str">
        <f ca="1">IFERROR(__xludf.DUMMYFUNCTION("""COMPUTED_VALUE"""),"Death Penalty, Freedom of Expression, Individuals At Risk")</f>
        <v>Death Penalty, Freedom of Expression, Individuals At Risk</v>
      </c>
      <c r="H1089" s="1" t="str">
        <f ca="1">IFERROR(__xludf.DUMMYFUNCTION("""COMPUTED_VALUE"""),"2024")</f>
        <v>2024</v>
      </c>
      <c r="I1089" s="1" t="str">
        <f ca="1">IFERROR(__xludf.DUMMYFUNCTION("""COMPUTED_VALUE"""),"Email")</f>
        <v>Email</v>
      </c>
    </row>
    <row r="1090" spans="1:9" ht="13" x14ac:dyDescent="0.15">
      <c r="A1090" s="9">
        <f ca="1">IFERROR(__xludf.DUMMYFUNCTION("""COMPUTED_VALUE"""),63010678)</f>
        <v>63010678</v>
      </c>
      <c r="B1090" s="1" t="str">
        <f ca="1">IFERROR(__xludf.DUMMYFUNCTION("""COMPUTED_VALUE"""),"rayeharper34@gmail.com")</f>
        <v>rayeharper34@gmail.com</v>
      </c>
      <c r="C1090" s="9" t="str">
        <f ca="1">IFERROR(__xludf.DUMMYFUNCTION("""COMPUTED_VALUE"""),"EVERGREEN - UAN Gated Content - Embedded Petition")</f>
        <v>EVERGREEN - UAN Gated Content - Embedded Petition</v>
      </c>
      <c r="D1090" s="10">
        <f ca="1">IFERROR(__xludf.DUMMYFUNCTION("""COMPUTED_VALUE"""),45694)</f>
        <v>45694</v>
      </c>
      <c r="E1090" s="1" t="str">
        <f ca="1">IFERROR(__xludf.DUMMYFUNCTION("""COMPUTED_VALUE"""),"Israel and Occupied Palestinian Territories")</f>
        <v>Israel and Occupied Palestinian Territories</v>
      </c>
      <c r="F1090" s="1" t="str">
        <f ca="1">IFERROR(__xludf.DUMMYFUNCTION("""COMPUTED_VALUE"""),"3.25 IOPT")</f>
        <v>3.25 IOPT</v>
      </c>
      <c r="G1090" s="1" t="str">
        <f ca="1">IFERROR(__xludf.DUMMYFUNCTION("""COMPUTED_VALUE"""),"Freedom of Expression, Individuals At Risk")</f>
        <v>Freedom of Expression, Individuals At Risk</v>
      </c>
      <c r="H1090" s="1" t="str">
        <f ca="1">IFERROR(__xludf.DUMMYFUNCTION("""COMPUTED_VALUE"""),"2025")</f>
        <v>2025</v>
      </c>
      <c r="I1090" s="1" t="str">
        <f ca="1">IFERROR(__xludf.DUMMYFUNCTION("""COMPUTED_VALUE"""),"Email")</f>
        <v>Email</v>
      </c>
    </row>
    <row r="1091" spans="1:9" ht="13" x14ac:dyDescent="0.15">
      <c r="A1091" s="9">
        <f ca="1">IFERROR(__xludf.DUMMYFUNCTION("""COMPUTED_VALUE"""),63010678)</f>
        <v>63010678</v>
      </c>
      <c r="B1091" s="1" t="str">
        <f ca="1">IFERROR(__xludf.DUMMYFUNCTION("""COMPUTED_VALUE"""),"rayeharper34@gmail.com")</f>
        <v>rayeharper34@gmail.com</v>
      </c>
      <c r="C1091" s="9" t="str">
        <f ca="1">IFERROR(__xludf.DUMMYFUNCTION("""COMPUTED_VALUE"""),"EVERGREEN - UAN Gated Content - Embedded Petition")</f>
        <v>EVERGREEN - UAN Gated Content - Embedded Petition</v>
      </c>
      <c r="D1091" s="10">
        <f ca="1">IFERROR(__xludf.DUMMYFUNCTION("""COMPUTED_VALUE"""),45677)</f>
        <v>45677</v>
      </c>
      <c r="E1091" s="1" t="str">
        <f ca="1">IFERROR(__xludf.DUMMYFUNCTION("""COMPUTED_VALUE"""),"Dominican Republic")</f>
        <v>Dominican Republic</v>
      </c>
      <c r="F1091" s="1" t="str">
        <f ca="1">IFERROR(__xludf.DUMMYFUNCTION("""COMPUTED_VALUE"""),"88.24 Dominican Republic")</f>
        <v>88.24 Dominican Republic</v>
      </c>
      <c r="G1091" s="1" t="str">
        <f ca="1">IFERROR(__xludf.DUMMYFUNCTION("""COMPUTED_VALUE"""),"Individuals At Risk, Refugee and Migrant Rights")</f>
        <v>Individuals At Risk, Refugee and Migrant Rights</v>
      </c>
      <c r="H1091" s="1" t="str">
        <f ca="1">IFERROR(__xludf.DUMMYFUNCTION("""COMPUTED_VALUE"""),"2024")</f>
        <v>2024</v>
      </c>
      <c r="I1091" s="1" t="str">
        <f ca="1">IFERROR(__xludf.DUMMYFUNCTION("""COMPUTED_VALUE"""),"Letter")</f>
        <v>Letter</v>
      </c>
    </row>
    <row r="1092" spans="1:9" ht="13" x14ac:dyDescent="0.15">
      <c r="A1092" s="9">
        <f ca="1">IFERROR(__xludf.DUMMYFUNCTION("""COMPUTED_VALUE"""),63010678)</f>
        <v>63010678</v>
      </c>
      <c r="B1092" s="1" t="str">
        <f ca="1">IFERROR(__xludf.DUMMYFUNCTION("""COMPUTED_VALUE"""),"rayeharper34@gmail.com")</f>
        <v>rayeharper34@gmail.com</v>
      </c>
      <c r="C1092" s="9" t="str">
        <f ca="1">IFERROR(__xludf.DUMMYFUNCTION("""COMPUTED_VALUE"""),"EVERGREEN - UAN Gated Content - Embedded Petition")</f>
        <v>EVERGREEN - UAN Gated Content - Embedded Petition</v>
      </c>
      <c r="D1092" s="10">
        <f ca="1">IFERROR(__xludf.DUMMYFUNCTION("""COMPUTED_VALUE"""),45691)</f>
        <v>45691</v>
      </c>
      <c r="E1092" s="1" t="str">
        <f ca="1">IFERROR(__xludf.DUMMYFUNCTION("""COMPUTED_VALUE"""),"Niger")</f>
        <v>Niger</v>
      </c>
      <c r="F1092" s="1" t="str">
        <f ca="1">IFERROR(__xludf.DUMMYFUNCTION("""COMPUTED_VALUE"""),"103.24 Niger")</f>
        <v>103.24 Niger</v>
      </c>
      <c r="G1092" s="1" t="str">
        <f ca="1">IFERROR(__xludf.DUMMYFUNCTION("""COMPUTED_VALUE"""),"Freedom of Expression, Human Rights Defenders")</f>
        <v>Freedom of Expression, Human Rights Defenders</v>
      </c>
      <c r="H1092" s="1" t="str">
        <f ca="1">IFERROR(__xludf.DUMMYFUNCTION("""COMPUTED_VALUE"""),"2024")</f>
        <v>2024</v>
      </c>
      <c r="I1092" s="1" t="str">
        <f ca="1">IFERROR(__xludf.DUMMYFUNCTION("""COMPUTED_VALUE"""),"Email")</f>
        <v>Email</v>
      </c>
    </row>
    <row r="1093" spans="1:9" ht="13" x14ac:dyDescent="0.15">
      <c r="A1093" s="9">
        <f ca="1">IFERROR(__xludf.DUMMYFUNCTION("""COMPUTED_VALUE"""),65060325)</f>
        <v>65060325</v>
      </c>
      <c r="B1093" s="1" t="str">
        <f ca="1">IFERROR(__xludf.DUMMYFUNCTION("""COMPUTED_VALUE"""),"sargani@comcast.net")</f>
        <v>sargani@comcast.net</v>
      </c>
      <c r="C1093" s="9" t="str">
        <f ca="1">IFERROR(__xludf.DUMMYFUNCTION("""COMPUTED_VALUE"""),"EVERGREEN - UAN Gated Content - Embedded Petition")</f>
        <v>EVERGREEN - UAN Gated Content - Embedded Petition</v>
      </c>
      <c r="D1093" s="10">
        <f ca="1">IFERROR(__xludf.DUMMYFUNCTION("""COMPUTED_VALUE"""),45705)</f>
        <v>45705</v>
      </c>
      <c r="E1093" s="1" t="str">
        <f ca="1">IFERROR(__xludf.DUMMYFUNCTION("""COMPUTED_VALUE"""),"USA")</f>
        <v>USA</v>
      </c>
      <c r="F1093" s="1" t="str">
        <f ca="1">IFERROR(__xludf.DUMMYFUNCTION("""COMPUTED_VALUE"""),"96.24 USA")</f>
        <v>96.24 USA</v>
      </c>
      <c r="G1093" s="1" t="str">
        <f ca="1">IFERROR(__xludf.DUMMYFUNCTION("""COMPUTED_VALUE"""),"Death Penalty")</f>
        <v>Death Penalty</v>
      </c>
      <c r="H1093" s="1" t="str">
        <f ca="1">IFERROR(__xludf.DUMMYFUNCTION("""COMPUTED_VALUE"""),"2024")</f>
        <v>2024</v>
      </c>
      <c r="I1093" s="1" t="str">
        <f ca="1">IFERROR(__xludf.DUMMYFUNCTION("""COMPUTED_VALUE"""),"Email")</f>
        <v>Email</v>
      </c>
    </row>
    <row r="1094" spans="1:9" ht="13" x14ac:dyDescent="0.15">
      <c r="A1094" s="9">
        <f ca="1">IFERROR(__xludf.DUMMYFUNCTION("""COMPUTED_VALUE"""),65060325)</f>
        <v>65060325</v>
      </c>
      <c r="B1094" s="1" t="str">
        <f ca="1">IFERROR(__xludf.DUMMYFUNCTION("""COMPUTED_VALUE"""),"sargani@comcast.net")</f>
        <v>sargani@comcast.net</v>
      </c>
      <c r="C1094" s="9" t="str">
        <f ca="1">IFERROR(__xludf.DUMMYFUNCTION("""COMPUTED_VALUE"""),"EVERGREEN - UAN Gated Content - Embedded Petition")</f>
        <v>EVERGREEN - UAN Gated Content - Embedded Petition</v>
      </c>
      <c r="D1094" s="10">
        <f ca="1">IFERROR(__xludf.DUMMYFUNCTION("""COMPUTED_VALUE"""),45636)</f>
        <v>45636</v>
      </c>
      <c r="E1094" s="1" t="str">
        <f ca="1">IFERROR(__xludf.DUMMYFUNCTION("""COMPUTED_VALUE"""),"Tunisia")</f>
        <v>Tunisia</v>
      </c>
      <c r="F1094" s="1" t="str">
        <f ca="1">IFERROR(__xludf.DUMMYFUNCTION("""COMPUTED_VALUE"""),"Second 76.24 Tunisia")</f>
        <v>Second 76.24 Tunisia</v>
      </c>
      <c r="G1094" s="1" t="str">
        <f ca="1">IFERROR(__xludf.DUMMYFUNCTION("""COMPUTED_VALUE"""),"Freedom of Expression, Human Rights Defenders")</f>
        <v>Freedom of Expression, Human Rights Defenders</v>
      </c>
      <c r="H1094" s="1" t="str">
        <f ca="1">IFERROR(__xludf.DUMMYFUNCTION("""COMPUTED_VALUE"""),"2025")</f>
        <v>2025</v>
      </c>
      <c r="I1094" s="1" t="str">
        <f ca="1">IFERROR(__xludf.DUMMYFUNCTION("""COMPUTED_VALUE"""),"Email")</f>
        <v>Email</v>
      </c>
    </row>
    <row r="1095" spans="1:9" ht="13" x14ac:dyDescent="0.15">
      <c r="A1095" s="9">
        <f ca="1">IFERROR(__xludf.DUMMYFUNCTION("""COMPUTED_VALUE"""),65199726)</f>
        <v>65199726</v>
      </c>
      <c r="B1095" s="1" t="str">
        <f ca="1">IFERROR(__xludf.DUMMYFUNCTION("""COMPUTED_VALUE"""),"stephanielarro@gmail.com")</f>
        <v>stephanielarro@gmail.com</v>
      </c>
      <c r="C1095" s="9" t="str">
        <f ca="1">IFERROR(__xludf.DUMMYFUNCTION("""COMPUTED_VALUE"""),"EVERGREEN - UAN Gated Content - Embedded Petition")</f>
        <v>EVERGREEN - UAN Gated Content - Embedded Petition</v>
      </c>
      <c r="D1095" s="10">
        <f ca="1">IFERROR(__xludf.DUMMYFUNCTION("""COMPUTED_VALUE"""),45696)</f>
        <v>45696</v>
      </c>
      <c r="E1095" s="1" t="str">
        <f ca="1">IFERROR(__xludf.DUMMYFUNCTION("""COMPUTED_VALUE"""),"Niger")</f>
        <v>Niger</v>
      </c>
      <c r="F1095" s="1" t="str">
        <f ca="1">IFERROR(__xludf.DUMMYFUNCTION("""COMPUTED_VALUE"""),"103.24 Niger")</f>
        <v>103.24 Niger</v>
      </c>
      <c r="G1095" s="1" t="str">
        <f ca="1">IFERROR(__xludf.DUMMYFUNCTION("""COMPUTED_VALUE"""),"Freedom of Expression, Human Rights Defenders")</f>
        <v>Freedom of Expression, Human Rights Defenders</v>
      </c>
      <c r="H1095" s="1" t="str">
        <f ca="1">IFERROR(__xludf.DUMMYFUNCTION("""COMPUTED_VALUE"""),"2024")</f>
        <v>2024</v>
      </c>
      <c r="I1095" s="1" t="str">
        <f ca="1">IFERROR(__xludf.DUMMYFUNCTION("""COMPUTED_VALUE"""),"Email")</f>
        <v>Email</v>
      </c>
    </row>
    <row r="1096" spans="1:9" ht="13" x14ac:dyDescent="0.15">
      <c r="A1096" s="9">
        <f ca="1">IFERROR(__xludf.DUMMYFUNCTION("""COMPUTED_VALUE"""),65338569)</f>
        <v>65338569</v>
      </c>
      <c r="B1096" s="1" t="str">
        <f ca="1">IFERROR(__xludf.DUMMYFUNCTION("""COMPUTED_VALUE"""),"emilyblank@gmail.com")</f>
        <v>emilyblank@gmail.com</v>
      </c>
      <c r="C1096" s="9" t="str">
        <f ca="1">IFERROR(__xludf.DUMMYFUNCTION("""COMPUTED_VALUE"""),"EVERGREEN - UAN Gated Content - Embedded Petition")</f>
        <v>EVERGREEN - UAN Gated Content - Embedded Petition</v>
      </c>
      <c r="D1096" s="10">
        <f ca="1">IFERROR(__xludf.DUMMYFUNCTION("""COMPUTED_VALUE"""),45616)</f>
        <v>45616</v>
      </c>
      <c r="E1096" s="1" t="str">
        <f ca="1">IFERROR(__xludf.DUMMYFUNCTION("""COMPUTED_VALUE"""),"Iran")</f>
        <v>Iran</v>
      </c>
      <c r="F1096" s="1" t="str">
        <f ca="1">IFERROR(__xludf.DUMMYFUNCTION("""COMPUTED_VALUE"""),"Seventh 103.22 Iran")</f>
        <v>Seventh 103.22 Iran</v>
      </c>
      <c r="G1096" s="1" t="str">
        <f ca="1">IFERROR(__xludf.DUMMYFUNCTION("""COMPUTED_VALUE"""),"Death Penalty, Freedom of Expression, Individuals At Risk")</f>
        <v>Death Penalty, Freedom of Expression, Individuals At Risk</v>
      </c>
      <c r="H1096" s="1" t="str">
        <f ca="1">IFERROR(__xludf.DUMMYFUNCTION("""COMPUTED_VALUE"""),"2024")</f>
        <v>2024</v>
      </c>
      <c r="I1096" s="1" t="str">
        <f ca="1">IFERROR(__xludf.DUMMYFUNCTION("""COMPUTED_VALUE"""),"Email")</f>
        <v>Email</v>
      </c>
    </row>
    <row r="1097" spans="1:9" ht="13" x14ac:dyDescent="0.15">
      <c r="A1097" s="9">
        <f ca="1">IFERROR(__xludf.DUMMYFUNCTION("""COMPUTED_VALUE"""),65338569)</f>
        <v>65338569</v>
      </c>
      <c r="B1097" s="1" t="str">
        <f ca="1">IFERROR(__xludf.DUMMYFUNCTION("""COMPUTED_VALUE"""),"emilyblank@gmail.com")</f>
        <v>emilyblank@gmail.com</v>
      </c>
      <c r="C1097" s="9" t="str">
        <f ca="1">IFERROR(__xludf.DUMMYFUNCTION("""COMPUTED_VALUE"""),"EVERGREEN - UAN Gated Content - Embedded Petition")</f>
        <v>EVERGREEN - UAN Gated Content - Embedded Petition</v>
      </c>
      <c r="D1097" s="10">
        <f ca="1">IFERROR(__xludf.DUMMYFUNCTION("""COMPUTED_VALUE"""),45616)</f>
        <v>45616</v>
      </c>
      <c r="E1097" s="1" t="str">
        <f ca="1">IFERROR(__xludf.DUMMYFUNCTION("""COMPUTED_VALUE"""),"Afghanistan")</f>
        <v>Afghanistan</v>
      </c>
      <c r="F1097" s="1" t="str">
        <f ca="1">IFERROR(__xludf.DUMMYFUNCTION("""COMPUTED_VALUE"""),"11.25 Afghanistan")</f>
        <v>11.25 Afghanistan</v>
      </c>
      <c r="G1097" s="1" t="str">
        <f ca="1">IFERROR(__xludf.DUMMYFUNCTION("""COMPUTED_VALUE"""),"Freedom of Expression, Health, Individuals At Risk")</f>
        <v>Freedom of Expression, Health, Individuals At Risk</v>
      </c>
      <c r="H1097" s="1" t="str">
        <f ca="1">IFERROR(__xludf.DUMMYFUNCTION("""COMPUTED_VALUE"""),"2025")</f>
        <v>2025</v>
      </c>
      <c r="I1097" s="1" t="str">
        <f ca="1">IFERROR(__xludf.DUMMYFUNCTION("""COMPUTED_VALUE"""),"Email")</f>
        <v>Email</v>
      </c>
    </row>
    <row r="1098" spans="1:9" ht="13" x14ac:dyDescent="0.15">
      <c r="A1098" s="9">
        <f ca="1">IFERROR(__xludf.DUMMYFUNCTION("""COMPUTED_VALUE"""),65338569)</f>
        <v>65338569</v>
      </c>
      <c r="B1098" s="1" t="str">
        <f ca="1">IFERROR(__xludf.DUMMYFUNCTION("""COMPUTED_VALUE"""),"emilyblank@gmail.com")</f>
        <v>emilyblank@gmail.com</v>
      </c>
      <c r="C1098" s="9" t="str">
        <f ca="1">IFERROR(__xludf.DUMMYFUNCTION("""COMPUTED_VALUE"""),"EVERGREEN - UAN Gated Content - Embedded Petition")</f>
        <v>EVERGREEN - UAN Gated Content - Embedded Petition</v>
      </c>
      <c r="D1098" s="10">
        <f ca="1">IFERROR(__xludf.DUMMYFUNCTION("""COMPUTED_VALUE"""),45674)</f>
        <v>45674</v>
      </c>
      <c r="E1098" s="1" t="str">
        <f ca="1">IFERROR(__xludf.DUMMYFUNCTION("""COMPUTED_VALUE"""),"Afghanistan")</f>
        <v>Afghanistan</v>
      </c>
      <c r="F1098" s="1" t="str">
        <f ca="1">IFERROR(__xludf.DUMMYFUNCTION("""COMPUTED_VALUE"""),"11.25 Afghanistan")</f>
        <v>11.25 Afghanistan</v>
      </c>
      <c r="G1098" s="1" t="str">
        <f ca="1">IFERROR(__xludf.DUMMYFUNCTION("""COMPUTED_VALUE"""),"Freedom of Expression, Health, Individuals At Risk")</f>
        <v>Freedom of Expression, Health, Individuals At Risk</v>
      </c>
      <c r="H1098" s="1" t="str">
        <f ca="1">IFERROR(__xludf.DUMMYFUNCTION("""COMPUTED_VALUE"""),"2025")</f>
        <v>2025</v>
      </c>
      <c r="I1098" s="1" t="str">
        <f ca="1">IFERROR(__xludf.DUMMYFUNCTION("""COMPUTED_VALUE"""),"Email")</f>
        <v>Email</v>
      </c>
    </row>
    <row r="1099" spans="1:9" ht="13" x14ac:dyDescent="0.15">
      <c r="A1099" s="9">
        <f ca="1">IFERROR(__xludf.DUMMYFUNCTION("""COMPUTED_VALUE"""),65338569)</f>
        <v>65338569</v>
      </c>
      <c r="B1099" s="1" t="str">
        <f ca="1">IFERROR(__xludf.DUMMYFUNCTION("""COMPUTED_VALUE"""),"emilyblank@gmail.com")</f>
        <v>emilyblank@gmail.com</v>
      </c>
      <c r="C1099" s="9" t="str">
        <f ca="1">IFERROR(__xludf.DUMMYFUNCTION("""COMPUTED_VALUE"""),"EVERGREEN - UAN Gated Content - Embedded Petition")</f>
        <v>EVERGREEN - UAN Gated Content - Embedded Petition</v>
      </c>
      <c r="D1099" s="10">
        <f ca="1">IFERROR(__xludf.DUMMYFUNCTION("""COMPUTED_VALUE"""),45674)</f>
        <v>45674</v>
      </c>
      <c r="E1099" s="1" t="str">
        <f ca="1">IFERROR(__xludf.DUMMYFUNCTION("""COMPUTED_VALUE"""),"Egypt")</f>
        <v>Egypt</v>
      </c>
      <c r="F1099" s="1" t="str">
        <f ca="1">IFERROR(__xludf.DUMMYFUNCTION("""COMPUTED_VALUE"""),"Second 80.23 Egypt")</f>
        <v>Second 80.23 Egypt</v>
      </c>
      <c r="G1099" s="1" t="str">
        <f ca="1">IFERROR(__xludf.DUMMYFUNCTION("""COMPUTED_VALUE"""),"Health, Individuals At Risk")</f>
        <v>Health, Individuals At Risk</v>
      </c>
      <c r="H1099" s="1" t="str">
        <f ca="1">IFERROR(__xludf.DUMMYFUNCTION("""COMPUTED_VALUE"""),"2025")</f>
        <v>2025</v>
      </c>
      <c r="I1099" s="1" t="str">
        <f ca="1">IFERROR(__xludf.DUMMYFUNCTION("""COMPUTED_VALUE"""),"Email")</f>
        <v>Email</v>
      </c>
    </row>
    <row r="1100" spans="1:9" ht="13" x14ac:dyDescent="0.15">
      <c r="A1100" s="9">
        <f ca="1">IFERROR(__xludf.DUMMYFUNCTION("""COMPUTED_VALUE"""),65338569)</f>
        <v>65338569</v>
      </c>
      <c r="B1100" s="1" t="str">
        <f ca="1">IFERROR(__xludf.DUMMYFUNCTION("""COMPUTED_VALUE"""),"emilyblank@gmail.com")</f>
        <v>emilyblank@gmail.com</v>
      </c>
      <c r="C1100" s="9" t="str">
        <f ca="1">IFERROR(__xludf.DUMMYFUNCTION("""COMPUTED_VALUE"""),"EVERGREEN - UAN Gated Content - Embedded Petition")</f>
        <v>EVERGREEN - UAN Gated Content - Embedded Petition</v>
      </c>
      <c r="D1100" s="10">
        <f ca="1">IFERROR(__xludf.DUMMYFUNCTION("""COMPUTED_VALUE"""),45616)</f>
        <v>45616</v>
      </c>
      <c r="E1100" s="1" t="str">
        <f ca="1">IFERROR(__xludf.DUMMYFUNCTION("""COMPUTED_VALUE"""),"Libya")</f>
        <v>Libya</v>
      </c>
      <c r="F1100" s="1" t="str">
        <f ca="1">IFERROR(__xludf.DUMMYFUNCTION("""COMPUTED_VALUE"""),"12.25 Libya")</f>
        <v>12.25 Libya</v>
      </c>
      <c r="G1100" s="1" t="str">
        <f ca="1">IFERROR(__xludf.DUMMYFUNCTION("""COMPUTED_VALUE"""),"Freedom of Expression, Health, Individuals At Risk")</f>
        <v>Freedom of Expression, Health, Individuals At Risk</v>
      </c>
      <c r="H1100" s="1" t="str">
        <f ca="1">IFERROR(__xludf.DUMMYFUNCTION("""COMPUTED_VALUE"""),"2025")</f>
        <v>2025</v>
      </c>
      <c r="I1100" s="1" t="str">
        <f ca="1">IFERROR(__xludf.DUMMYFUNCTION("""COMPUTED_VALUE"""),"Email")</f>
        <v>Email</v>
      </c>
    </row>
    <row r="1101" spans="1:9" ht="13" x14ac:dyDescent="0.15">
      <c r="A1101" s="9">
        <f ca="1">IFERROR(__xludf.DUMMYFUNCTION("""COMPUTED_VALUE"""),65451739)</f>
        <v>65451739</v>
      </c>
      <c r="B1101" s="1" t="str">
        <f ca="1">IFERROR(__xludf.DUMMYFUNCTION("""COMPUTED_VALUE"""),"rod.weaver23@yahoo.com")</f>
        <v>rod.weaver23@yahoo.com</v>
      </c>
      <c r="C1101" s="9" t="str">
        <f ca="1">IFERROR(__xludf.DUMMYFUNCTION("""COMPUTED_VALUE"""),"EVERGREEN - UAN Gated Content - Embedded Petition")</f>
        <v>EVERGREEN - UAN Gated Content - Embedded Petition</v>
      </c>
      <c r="D1101" s="10">
        <f ca="1">IFERROR(__xludf.DUMMYFUNCTION("""COMPUTED_VALUE"""),45648)</f>
        <v>45648</v>
      </c>
      <c r="E1101" s="1" t="str">
        <f ca="1">IFERROR(__xludf.DUMMYFUNCTION("""COMPUTED_VALUE"""),"Saudi Arabia")</f>
        <v>Saudi Arabia</v>
      </c>
      <c r="F1101" s="1" t="str">
        <f ca="1">IFERROR(__xludf.DUMMYFUNCTION("""COMPUTED_VALUE"""),"Fifth 257.12")</f>
        <v>Fifth 257.12</v>
      </c>
      <c r="G1101" s="1" t="str">
        <f ca="1">IFERROR(__xludf.DUMMYFUNCTION("""COMPUTED_VALUE"""),"Freedom of Expression, Human Rights Defenders")</f>
        <v>Freedom of Expression, Human Rights Defenders</v>
      </c>
      <c r="H1101" s="1" t="str">
        <f ca="1">IFERROR(__xludf.DUMMYFUNCTION("""COMPUTED_VALUE"""),"2025")</f>
        <v>2025</v>
      </c>
      <c r="I1101" s="1" t="str">
        <f ca="1">IFERROR(__xludf.DUMMYFUNCTION("""COMPUTED_VALUE"""),"Email")</f>
        <v>Email</v>
      </c>
    </row>
    <row r="1102" spans="1:9" ht="13" x14ac:dyDescent="0.15">
      <c r="A1102" s="9">
        <f ca="1">IFERROR(__xludf.DUMMYFUNCTION("""COMPUTED_VALUE"""),65451739)</f>
        <v>65451739</v>
      </c>
      <c r="B1102" s="1" t="str">
        <f ca="1">IFERROR(__xludf.DUMMYFUNCTION("""COMPUTED_VALUE"""),"rod.weaver23@yahoo.com")</f>
        <v>rod.weaver23@yahoo.com</v>
      </c>
      <c r="C1102" s="9" t="str">
        <f ca="1">IFERROR(__xludf.DUMMYFUNCTION("""COMPUTED_VALUE"""),"EVERGREEN - UAN Gated Content - Embedded Petition")</f>
        <v>EVERGREEN - UAN Gated Content - Embedded Petition</v>
      </c>
      <c r="D1102" s="10">
        <f ca="1">IFERROR(__xludf.DUMMYFUNCTION("""COMPUTED_VALUE"""),45648)</f>
        <v>45648</v>
      </c>
      <c r="E1102" s="1" t="str">
        <f ca="1">IFERROR(__xludf.DUMMYFUNCTION("""COMPUTED_VALUE"""),"Turkiye")</f>
        <v>Turkiye</v>
      </c>
      <c r="F1102" s="1" t="str">
        <f ca="1">IFERROR(__xludf.DUMMYFUNCTION("""COMPUTED_VALUE"""),"109.24 Türkiye")</f>
        <v>109.24 Türkiye</v>
      </c>
      <c r="G1102" s="1" t="str">
        <f ca="1">IFERROR(__xludf.DUMMYFUNCTION("""COMPUTED_VALUE"""),"Human Rights Defenders, Individuals At Risk")</f>
        <v>Human Rights Defenders, Individuals At Risk</v>
      </c>
      <c r="H1102" s="1" t="str">
        <f ca="1">IFERROR(__xludf.DUMMYFUNCTION("""COMPUTED_VALUE"""),"2024")</f>
        <v>2024</v>
      </c>
      <c r="I1102" s="1" t="str">
        <f ca="1">IFERROR(__xludf.DUMMYFUNCTION("""COMPUTED_VALUE"""),"Email")</f>
        <v>Email</v>
      </c>
    </row>
    <row r="1103" spans="1:9" ht="13" x14ac:dyDescent="0.15">
      <c r="A1103" s="9">
        <f ca="1">IFERROR(__xludf.DUMMYFUNCTION("""COMPUTED_VALUE"""),65451739)</f>
        <v>65451739</v>
      </c>
      <c r="B1103" s="1" t="str">
        <f ca="1">IFERROR(__xludf.DUMMYFUNCTION("""COMPUTED_VALUE"""),"rod.weaver23@yahoo.com")</f>
        <v>rod.weaver23@yahoo.com</v>
      </c>
      <c r="C1103" s="9" t="str">
        <f ca="1">IFERROR(__xludf.DUMMYFUNCTION("""COMPUTED_VALUE"""),"EVERGREEN - UAN Gated Content - Embedded Petition")</f>
        <v>EVERGREEN - UAN Gated Content - Embedded Petition</v>
      </c>
      <c r="D1103" s="10">
        <f ca="1">IFERROR(__xludf.DUMMYFUNCTION("""COMPUTED_VALUE"""),45636)</f>
        <v>45636</v>
      </c>
      <c r="E1103" s="1" t="str">
        <f ca="1">IFERROR(__xludf.DUMMYFUNCTION("""COMPUTED_VALUE"""),"Iran")</f>
        <v>Iran</v>
      </c>
      <c r="F1103" s="1" t="str">
        <f ca="1">IFERROR(__xludf.DUMMYFUNCTION("""COMPUTED_VALUE"""),"Seventh 103.22 Iran")</f>
        <v>Seventh 103.22 Iran</v>
      </c>
      <c r="G1103" s="1" t="str">
        <f ca="1">IFERROR(__xludf.DUMMYFUNCTION("""COMPUTED_VALUE"""),"Death Penalty, Freedom of Expression, Individuals At Risk")</f>
        <v>Death Penalty, Freedom of Expression, Individuals At Risk</v>
      </c>
      <c r="H1103" s="1" t="str">
        <f ca="1">IFERROR(__xludf.DUMMYFUNCTION("""COMPUTED_VALUE"""),"2024")</f>
        <v>2024</v>
      </c>
      <c r="I1103" s="1" t="str">
        <f ca="1">IFERROR(__xludf.DUMMYFUNCTION("""COMPUTED_VALUE"""),"Email")</f>
        <v>Email</v>
      </c>
    </row>
    <row r="1104" spans="1:9" ht="13" x14ac:dyDescent="0.15">
      <c r="A1104" s="9">
        <f ca="1">IFERROR(__xludf.DUMMYFUNCTION("""COMPUTED_VALUE"""),65451739)</f>
        <v>65451739</v>
      </c>
      <c r="B1104" s="1" t="str">
        <f ca="1">IFERROR(__xludf.DUMMYFUNCTION("""COMPUTED_VALUE"""),"rod.weaver23@yahoo.com")</f>
        <v>rod.weaver23@yahoo.com</v>
      </c>
      <c r="C1104" s="9" t="str">
        <f ca="1">IFERROR(__xludf.DUMMYFUNCTION("""COMPUTED_VALUE"""),"EVERGREEN - UAN Gated Content - Embedded Petition")</f>
        <v>EVERGREEN - UAN Gated Content - Embedded Petition</v>
      </c>
      <c r="D1104" s="10">
        <f ca="1">IFERROR(__xludf.DUMMYFUNCTION("""COMPUTED_VALUE"""),45635)</f>
        <v>45635</v>
      </c>
      <c r="E1104" s="1" t="str">
        <f ca="1">IFERROR(__xludf.DUMMYFUNCTION("""COMPUTED_VALUE"""),"Azerbaijan")</f>
        <v>Azerbaijan</v>
      </c>
      <c r="F1104" s="1" t="str">
        <f ca="1">IFERROR(__xludf.DUMMYFUNCTION("""COMPUTED_VALUE"""),"2.25 Azerbaijan")</f>
        <v>2.25 Azerbaijan</v>
      </c>
      <c r="G1104" s="1" t="str">
        <f ca="1">IFERROR(__xludf.DUMMYFUNCTION("""COMPUTED_VALUE"""),"Freedom of Expression, Human Rights Defenders")</f>
        <v>Freedom of Expression, Human Rights Defenders</v>
      </c>
      <c r="H1104" s="1" t="str">
        <f ca="1">IFERROR(__xludf.DUMMYFUNCTION("""COMPUTED_VALUE"""),"2025")</f>
        <v>2025</v>
      </c>
      <c r="I1104" s="1" t="str">
        <f ca="1">IFERROR(__xludf.DUMMYFUNCTION("""COMPUTED_VALUE"""),"Email")</f>
        <v>Email</v>
      </c>
    </row>
    <row r="1105" spans="1:9" ht="13" x14ac:dyDescent="0.15">
      <c r="A1105" s="9">
        <f ca="1">IFERROR(__xludf.DUMMYFUNCTION("""COMPUTED_VALUE"""),65451739)</f>
        <v>65451739</v>
      </c>
      <c r="B1105" s="1" t="str">
        <f ca="1">IFERROR(__xludf.DUMMYFUNCTION("""COMPUTED_VALUE"""),"rod.weaver23@yahoo.com")</f>
        <v>rod.weaver23@yahoo.com</v>
      </c>
      <c r="C1105" s="9" t="str">
        <f ca="1">IFERROR(__xludf.DUMMYFUNCTION("""COMPUTED_VALUE"""),"EVERGREEN - UAN Gated Content - Embedded Petition")</f>
        <v>EVERGREEN - UAN Gated Content - Embedded Petition</v>
      </c>
      <c r="D1105" s="10">
        <f ca="1">IFERROR(__xludf.DUMMYFUNCTION("""COMPUTED_VALUE"""),45624)</f>
        <v>45624</v>
      </c>
      <c r="E1105" s="1" t="str">
        <f ca="1">IFERROR(__xludf.DUMMYFUNCTION("""COMPUTED_VALUE"""),"Tunisia")</f>
        <v>Tunisia</v>
      </c>
      <c r="F1105" s="1" t="str">
        <f ca="1">IFERROR(__xludf.DUMMYFUNCTION("""COMPUTED_VALUE"""),"Second 76.24 Tunisia")</f>
        <v>Second 76.24 Tunisia</v>
      </c>
      <c r="G1105" s="1" t="str">
        <f ca="1">IFERROR(__xludf.DUMMYFUNCTION("""COMPUTED_VALUE"""),"Freedom of Expression, Human Rights Defenders")</f>
        <v>Freedom of Expression, Human Rights Defenders</v>
      </c>
      <c r="H1105" s="1" t="str">
        <f ca="1">IFERROR(__xludf.DUMMYFUNCTION("""COMPUTED_VALUE"""),"2025")</f>
        <v>2025</v>
      </c>
      <c r="I1105" s="1" t="str">
        <f ca="1">IFERROR(__xludf.DUMMYFUNCTION("""COMPUTED_VALUE"""),"Email")</f>
        <v>Email</v>
      </c>
    </row>
    <row r="1106" spans="1:9" ht="13" x14ac:dyDescent="0.15">
      <c r="A1106" s="9">
        <f ca="1">IFERROR(__xludf.DUMMYFUNCTION("""COMPUTED_VALUE"""),65451739)</f>
        <v>65451739</v>
      </c>
      <c r="B1106" s="1" t="str">
        <f ca="1">IFERROR(__xludf.DUMMYFUNCTION("""COMPUTED_VALUE"""),"rod.weaver23@yahoo.com")</f>
        <v>rod.weaver23@yahoo.com</v>
      </c>
      <c r="C1106" s="9" t="str">
        <f ca="1">IFERROR(__xludf.DUMMYFUNCTION("""COMPUTED_VALUE"""),"EVERGREEN - UAN Gated Content - Embedded Petition")</f>
        <v>EVERGREEN - UAN Gated Content - Embedded Petition</v>
      </c>
      <c r="D1106" s="10">
        <f ca="1">IFERROR(__xludf.DUMMYFUNCTION("""COMPUTED_VALUE"""),45634)</f>
        <v>45634</v>
      </c>
      <c r="E1106" s="1" t="str">
        <f ca="1">IFERROR(__xludf.DUMMYFUNCTION("""COMPUTED_VALUE"""),"Egypt")</f>
        <v>Egypt</v>
      </c>
      <c r="F1106" s="1" t="str">
        <f ca="1">IFERROR(__xludf.DUMMYFUNCTION("""COMPUTED_VALUE"""),"Ninth 190.18 Egypt")</f>
        <v>Ninth 190.18 Egypt</v>
      </c>
      <c r="G1106" s="1" t="str">
        <f ca="1">IFERROR(__xludf.DUMMYFUNCTION("""COMPUTED_VALUE"""),"Freedom of Expression, Individuals At Risk")</f>
        <v>Freedom of Expression, Individuals At Risk</v>
      </c>
      <c r="H1106" s="1" t="str">
        <f ca="1">IFERROR(__xludf.DUMMYFUNCTION("""COMPUTED_VALUE"""),"2024")</f>
        <v>2024</v>
      </c>
      <c r="I1106" s="1" t="str">
        <f ca="1">IFERROR(__xludf.DUMMYFUNCTION("""COMPUTED_VALUE"""),"Letter")</f>
        <v>Letter</v>
      </c>
    </row>
    <row r="1107" spans="1:9" ht="13" x14ac:dyDescent="0.15">
      <c r="A1107" s="9">
        <f ca="1">IFERROR(__xludf.DUMMYFUNCTION("""COMPUTED_VALUE"""),65451739)</f>
        <v>65451739</v>
      </c>
      <c r="B1107" s="1" t="str">
        <f ca="1">IFERROR(__xludf.DUMMYFUNCTION("""COMPUTED_VALUE"""),"rod.weaver23@yahoo.com")</f>
        <v>rod.weaver23@yahoo.com</v>
      </c>
      <c r="C1107" s="9" t="str">
        <f ca="1">IFERROR(__xludf.DUMMYFUNCTION("""COMPUTED_VALUE"""),"EVERGREEN - UAN Gated Content - Embedded Petition")</f>
        <v>EVERGREEN - UAN Gated Content - Embedded Petition</v>
      </c>
      <c r="D1107" s="10">
        <f ca="1">IFERROR(__xludf.DUMMYFUNCTION("""COMPUTED_VALUE"""),45631)</f>
        <v>45631</v>
      </c>
      <c r="E1107" s="1" t="str">
        <f ca="1">IFERROR(__xludf.DUMMYFUNCTION("""COMPUTED_VALUE"""),"USA")</f>
        <v>USA</v>
      </c>
      <c r="F1107" s="1" t="str">
        <f ca="1">IFERROR(__xludf.DUMMYFUNCTION("""COMPUTED_VALUE"""),"105.24 USA")</f>
        <v>105.24 USA</v>
      </c>
      <c r="G1107" s="1" t="str">
        <f ca="1">IFERROR(__xludf.DUMMYFUNCTION("""COMPUTED_VALUE"""),"Death Penalty")</f>
        <v>Death Penalty</v>
      </c>
      <c r="H1107" s="1" t="str">
        <f ca="1">IFERROR(__xludf.DUMMYFUNCTION("""COMPUTED_VALUE"""),"2024")</f>
        <v>2024</v>
      </c>
      <c r="I1107" s="1" t="str">
        <f ca="1">IFERROR(__xludf.DUMMYFUNCTION("""COMPUTED_VALUE"""),"Email")</f>
        <v>Email</v>
      </c>
    </row>
    <row r="1108" spans="1:9" ht="13" x14ac:dyDescent="0.15">
      <c r="A1108" s="9">
        <f ca="1">IFERROR(__xludf.DUMMYFUNCTION("""COMPUTED_VALUE"""),65451739)</f>
        <v>65451739</v>
      </c>
      <c r="B1108" s="1" t="str">
        <f ca="1">IFERROR(__xludf.DUMMYFUNCTION("""COMPUTED_VALUE"""),"rod.weaver23@yahoo.com")</f>
        <v>rod.weaver23@yahoo.com</v>
      </c>
      <c r="C1108" s="9" t="str">
        <f ca="1">IFERROR(__xludf.DUMMYFUNCTION("""COMPUTED_VALUE"""),"EVERGREEN - UAN Gated Content - Embedded Petition")</f>
        <v>EVERGREEN - UAN Gated Content - Embedded Petition</v>
      </c>
      <c r="D1108" s="10">
        <f ca="1">IFERROR(__xludf.DUMMYFUNCTION("""COMPUTED_VALUE"""),45647)</f>
        <v>45647</v>
      </c>
      <c r="E1108" s="1" t="str">
        <f ca="1">IFERROR(__xludf.DUMMYFUNCTION("""COMPUTED_VALUE"""),"Saudi Arabia")</f>
        <v>Saudi Arabia</v>
      </c>
      <c r="F1108" s="1" t="str">
        <f ca="1">IFERROR(__xludf.DUMMYFUNCTION("""COMPUTED_VALUE"""),"Second 85.23 Saudi Arabia")</f>
        <v>Second 85.23 Saudi Arabia</v>
      </c>
      <c r="G1108" s="1" t="str">
        <f ca="1">IFERROR(__xludf.DUMMYFUNCTION("""COMPUTED_VALUE"""),"Freedom of Expression")</f>
        <v>Freedom of Expression</v>
      </c>
      <c r="H1108" s="1" t="str">
        <f ca="1">IFERROR(__xludf.DUMMYFUNCTION("""COMPUTED_VALUE"""),"2024")</f>
        <v>2024</v>
      </c>
      <c r="I1108" s="1" t="str">
        <f ca="1">IFERROR(__xludf.DUMMYFUNCTION("""COMPUTED_VALUE"""),"Letter")</f>
        <v>Letter</v>
      </c>
    </row>
    <row r="1109" spans="1:9" ht="13" x14ac:dyDescent="0.15">
      <c r="A1109" s="9">
        <f ca="1">IFERROR(__xludf.DUMMYFUNCTION("""COMPUTED_VALUE"""),65451739)</f>
        <v>65451739</v>
      </c>
      <c r="B1109" s="1" t="str">
        <f ca="1">IFERROR(__xludf.DUMMYFUNCTION("""COMPUTED_VALUE"""),"rod.weaver23@yahoo.com")</f>
        <v>rod.weaver23@yahoo.com</v>
      </c>
      <c r="C1109" s="9" t="str">
        <f ca="1">IFERROR(__xludf.DUMMYFUNCTION("""COMPUTED_VALUE"""),"EVERGREEN - UAN Gated Content - Embedded Petition")</f>
        <v>EVERGREEN - UAN Gated Content - Embedded Petition</v>
      </c>
      <c r="D1109" s="10">
        <f ca="1">IFERROR(__xludf.DUMMYFUNCTION("""COMPUTED_VALUE"""),45672)</f>
        <v>45672</v>
      </c>
      <c r="E1109" s="1" t="str">
        <f ca="1">IFERROR(__xludf.DUMMYFUNCTION("""COMPUTED_VALUE"""),"Tunisia")</f>
        <v>Tunisia</v>
      </c>
      <c r="F1109" s="1" t="str">
        <f ca="1">IFERROR(__xludf.DUMMYFUNCTION("""COMPUTED_VALUE"""),"Second 76.24 Tunisia")</f>
        <v>Second 76.24 Tunisia</v>
      </c>
      <c r="G1109" s="1" t="str">
        <f ca="1">IFERROR(__xludf.DUMMYFUNCTION("""COMPUTED_VALUE"""),"Freedom of Expression, Human Rights Defenders")</f>
        <v>Freedom of Expression, Human Rights Defenders</v>
      </c>
      <c r="H1109" s="1" t="str">
        <f ca="1">IFERROR(__xludf.DUMMYFUNCTION("""COMPUTED_VALUE"""),"2025")</f>
        <v>2025</v>
      </c>
      <c r="I1109" s="1" t="str">
        <f ca="1">IFERROR(__xludf.DUMMYFUNCTION("""COMPUTED_VALUE"""),"Email")</f>
        <v>Email</v>
      </c>
    </row>
    <row r="1110" spans="1:9" ht="13" x14ac:dyDescent="0.15">
      <c r="A1110" s="9">
        <f ca="1">IFERROR(__xludf.DUMMYFUNCTION("""COMPUTED_VALUE"""),65451739)</f>
        <v>65451739</v>
      </c>
      <c r="B1110" s="1" t="str">
        <f ca="1">IFERROR(__xludf.DUMMYFUNCTION("""COMPUTED_VALUE"""),"rod.weaver23@yahoo.com")</f>
        <v>rod.weaver23@yahoo.com</v>
      </c>
      <c r="C1110" s="9" t="str">
        <f ca="1">IFERROR(__xludf.DUMMYFUNCTION("""COMPUTED_VALUE"""),"EVERGREEN - UAN Gated Content - Embedded Petition")</f>
        <v>EVERGREEN - UAN Gated Content - Embedded Petition</v>
      </c>
      <c r="D1110" s="10">
        <f ca="1">IFERROR(__xludf.DUMMYFUNCTION("""COMPUTED_VALUE"""),45678)</f>
        <v>45678</v>
      </c>
      <c r="E1110" s="1" t="str">
        <f ca="1">IFERROR(__xludf.DUMMYFUNCTION("""COMPUTED_VALUE"""),"USA")</f>
        <v>USA</v>
      </c>
      <c r="F1110" s="1" t="str">
        <f ca="1">IFERROR(__xludf.DUMMYFUNCTION("""COMPUTED_VALUE"""),"96.24 USA")</f>
        <v>96.24 USA</v>
      </c>
      <c r="G1110" s="1" t="str">
        <f ca="1">IFERROR(__xludf.DUMMYFUNCTION("""COMPUTED_VALUE"""),"Death Penalty")</f>
        <v>Death Penalty</v>
      </c>
      <c r="H1110" s="1" t="str">
        <f ca="1">IFERROR(__xludf.DUMMYFUNCTION("""COMPUTED_VALUE"""),"2024")</f>
        <v>2024</v>
      </c>
      <c r="I1110" s="1" t="str">
        <f ca="1">IFERROR(__xludf.DUMMYFUNCTION("""COMPUTED_VALUE"""),"Email")</f>
        <v>Email</v>
      </c>
    </row>
    <row r="1111" spans="1:9" ht="13" x14ac:dyDescent="0.15">
      <c r="A1111" s="9">
        <f ca="1">IFERROR(__xludf.DUMMYFUNCTION("""COMPUTED_VALUE"""),65451739)</f>
        <v>65451739</v>
      </c>
      <c r="B1111" s="1" t="str">
        <f ca="1">IFERROR(__xludf.DUMMYFUNCTION("""COMPUTED_VALUE"""),"rod.weaver23@yahoo.com")</f>
        <v>rod.weaver23@yahoo.com</v>
      </c>
      <c r="C1111" s="9" t="str">
        <f ca="1">IFERROR(__xludf.DUMMYFUNCTION("""COMPUTED_VALUE"""),"EVERGREEN - UAN Gated Content - Embedded Petition")</f>
        <v>EVERGREEN - UAN Gated Content - Embedded Petition</v>
      </c>
      <c r="D1111" s="10">
        <f ca="1">IFERROR(__xludf.DUMMYFUNCTION("""COMPUTED_VALUE"""),45694)</f>
        <v>45694</v>
      </c>
      <c r="E1111" s="1" t="str">
        <f ca="1">IFERROR(__xludf.DUMMYFUNCTION("""COMPUTED_VALUE"""),"USA")</f>
        <v>USA</v>
      </c>
      <c r="F1111" s="1" t="str">
        <f ca="1">IFERROR(__xludf.DUMMYFUNCTION("""COMPUTED_VALUE"""),"4.25 USA")</f>
        <v>4.25 USA</v>
      </c>
      <c r="G1111" s="1" t="str">
        <f ca="1">IFERROR(__xludf.DUMMYFUNCTION("""COMPUTED_VALUE"""),"Individuals At Risk, Refugee and Migrant Rights")</f>
        <v>Individuals At Risk, Refugee and Migrant Rights</v>
      </c>
      <c r="H1111" s="1" t="str">
        <f ca="1">IFERROR(__xludf.DUMMYFUNCTION("""COMPUTED_VALUE"""),"2025")</f>
        <v>2025</v>
      </c>
      <c r="I1111" s="1" t="str">
        <f ca="1">IFERROR(__xludf.DUMMYFUNCTION("""COMPUTED_VALUE"""),"Letter")</f>
        <v>Letter</v>
      </c>
    </row>
    <row r="1112" spans="1:9" ht="13" x14ac:dyDescent="0.15">
      <c r="A1112" s="9">
        <f ca="1">IFERROR(__xludf.DUMMYFUNCTION("""COMPUTED_VALUE"""),65451739)</f>
        <v>65451739</v>
      </c>
      <c r="B1112" s="1" t="str">
        <f ca="1">IFERROR(__xludf.DUMMYFUNCTION("""COMPUTED_VALUE"""),"rod.weaver23@yahoo.com")</f>
        <v>rod.weaver23@yahoo.com</v>
      </c>
      <c r="C1112" s="9" t="str">
        <f ca="1">IFERROR(__xludf.DUMMYFUNCTION("""COMPUTED_VALUE"""),"EVERGREEN - UAN Gated Content - Embedded Petition")</f>
        <v>EVERGREEN - UAN Gated Content - Embedded Petition</v>
      </c>
      <c r="D1112" s="10">
        <f ca="1">IFERROR(__xludf.DUMMYFUNCTION("""COMPUTED_VALUE"""),45707)</f>
        <v>45707</v>
      </c>
      <c r="E1112" s="1" t="str">
        <f ca="1">IFERROR(__xludf.DUMMYFUNCTION("""COMPUTED_VALUE"""),"Tunisia")</f>
        <v>Tunisia</v>
      </c>
      <c r="F1112" s="1" t="str">
        <f ca="1">IFERROR(__xludf.DUMMYFUNCTION("""COMPUTED_VALUE"""),"Second 76.24 Tunisia")</f>
        <v>Second 76.24 Tunisia</v>
      </c>
      <c r="G1112" s="1" t="str">
        <f ca="1">IFERROR(__xludf.DUMMYFUNCTION("""COMPUTED_VALUE"""),"Freedom of Expression, Human Rights Defenders")</f>
        <v>Freedom of Expression, Human Rights Defenders</v>
      </c>
      <c r="H1112" s="1" t="str">
        <f ca="1">IFERROR(__xludf.DUMMYFUNCTION("""COMPUTED_VALUE"""),"2025")</f>
        <v>2025</v>
      </c>
      <c r="I1112" s="1" t="str">
        <f ca="1">IFERROR(__xludf.DUMMYFUNCTION("""COMPUTED_VALUE"""),"Email")</f>
        <v>Email</v>
      </c>
    </row>
    <row r="1113" spans="1:9" ht="13" x14ac:dyDescent="0.15">
      <c r="A1113" s="9">
        <f ca="1">IFERROR(__xludf.DUMMYFUNCTION("""COMPUTED_VALUE"""),65451739)</f>
        <v>65451739</v>
      </c>
      <c r="B1113" s="1" t="str">
        <f ca="1">IFERROR(__xludf.DUMMYFUNCTION("""COMPUTED_VALUE"""),"rod.weaver23@yahoo.com")</f>
        <v>rod.weaver23@yahoo.com</v>
      </c>
      <c r="C1113" s="9" t="str">
        <f ca="1">IFERROR(__xludf.DUMMYFUNCTION("""COMPUTED_VALUE"""),"EVERGREEN - UAN Gated Content - Embedded Petition")</f>
        <v>EVERGREEN - UAN Gated Content - Embedded Petition</v>
      </c>
      <c r="D1113" s="10">
        <f ca="1">IFERROR(__xludf.DUMMYFUNCTION("""COMPUTED_VALUE"""),45705)</f>
        <v>45705</v>
      </c>
      <c r="E1113" s="1" t="str">
        <f ca="1">IFERROR(__xludf.DUMMYFUNCTION("""COMPUTED_VALUE"""),"Uganda")</f>
        <v>Uganda</v>
      </c>
      <c r="F1113" s="1" t="str">
        <f ca="1">IFERROR(__xludf.DUMMYFUNCTION("""COMPUTED_VALUE"""),"9.25 Uganda")</f>
        <v>9.25 Uganda</v>
      </c>
      <c r="G1113" s="1" t="str">
        <f ca="1">IFERROR(__xludf.DUMMYFUNCTION("""COMPUTED_VALUE"""),"Freedom of Expression, Human Rights Defenders")</f>
        <v>Freedom of Expression, Human Rights Defenders</v>
      </c>
      <c r="H1113" s="1" t="str">
        <f ca="1">IFERROR(__xludf.DUMMYFUNCTION("""COMPUTED_VALUE"""),"2025")</f>
        <v>2025</v>
      </c>
      <c r="I1113" s="1" t="str">
        <f ca="1">IFERROR(__xludf.DUMMYFUNCTION("""COMPUTED_VALUE"""),"Email")</f>
        <v>Email</v>
      </c>
    </row>
    <row r="1114" spans="1:9" ht="13" x14ac:dyDescent="0.15">
      <c r="A1114" s="9">
        <f ca="1">IFERROR(__xludf.DUMMYFUNCTION("""COMPUTED_VALUE"""),65451739)</f>
        <v>65451739</v>
      </c>
      <c r="B1114" s="1" t="str">
        <f ca="1">IFERROR(__xludf.DUMMYFUNCTION("""COMPUTED_VALUE"""),"rod.weaver23@yahoo.com")</f>
        <v>rod.weaver23@yahoo.com</v>
      </c>
      <c r="C1114" s="9" t="str">
        <f ca="1">IFERROR(__xludf.DUMMYFUNCTION("""COMPUTED_VALUE"""),"EVERGREEN - UAN Gated Content - Embedded Petition")</f>
        <v>EVERGREEN - UAN Gated Content - Embedded Petition</v>
      </c>
      <c r="D1114" s="10">
        <f ca="1">IFERROR(__xludf.DUMMYFUNCTION("""COMPUTED_VALUE"""),45708)</f>
        <v>45708</v>
      </c>
      <c r="E1114" s="1" t="str">
        <f ca="1">IFERROR(__xludf.DUMMYFUNCTION("""COMPUTED_VALUE"""),"Libya")</f>
        <v>Libya</v>
      </c>
      <c r="F1114" s="1" t="str">
        <f ca="1">IFERROR(__xludf.DUMMYFUNCTION("""COMPUTED_VALUE"""),"12.25 Libya")</f>
        <v>12.25 Libya</v>
      </c>
      <c r="G1114" s="1" t="str">
        <f ca="1">IFERROR(__xludf.DUMMYFUNCTION("""COMPUTED_VALUE"""),"Freedom of Expression, Health, Individuals At Risk")</f>
        <v>Freedom of Expression, Health, Individuals At Risk</v>
      </c>
      <c r="H1114" s="1" t="str">
        <f ca="1">IFERROR(__xludf.DUMMYFUNCTION("""COMPUTED_VALUE"""),"2025")</f>
        <v>2025</v>
      </c>
      <c r="I1114" s="1" t="str">
        <f ca="1">IFERROR(__xludf.DUMMYFUNCTION("""COMPUTED_VALUE"""),"Email")</f>
        <v>Email</v>
      </c>
    </row>
    <row r="1115" spans="1:9" ht="13" x14ac:dyDescent="0.15">
      <c r="A1115" s="9">
        <f ca="1">IFERROR(__xludf.DUMMYFUNCTION("""COMPUTED_VALUE"""),65451739)</f>
        <v>65451739</v>
      </c>
      <c r="B1115" s="1" t="str">
        <f ca="1">IFERROR(__xludf.DUMMYFUNCTION("""COMPUTED_VALUE"""),"rod.weaver23@yahoo.com")</f>
        <v>rod.weaver23@yahoo.com</v>
      </c>
      <c r="C1115" s="9" t="str">
        <f ca="1">IFERROR(__xludf.DUMMYFUNCTION("""COMPUTED_VALUE"""),"EVERGREEN - UAN Gated Content - Embedded Petition")</f>
        <v>EVERGREEN - UAN Gated Content - Embedded Petition</v>
      </c>
      <c r="D1115" s="10">
        <f ca="1">IFERROR(__xludf.DUMMYFUNCTION("""COMPUTED_VALUE"""),45703)</f>
        <v>45703</v>
      </c>
      <c r="E1115" s="1" t="str">
        <f ca="1">IFERROR(__xludf.DUMMYFUNCTION("""COMPUTED_VALUE"""),"Venezuela")</f>
        <v>Venezuela</v>
      </c>
      <c r="F1115" s="1" t="str">
        <f ca="1">IFERROR(__xludf.DUMMYFUNCTION("""COMPUTED_VALUE"""),"97.24 Venezuela")</f>
        <v>97.24 Venezuela</v>
      </c>
      <c r="G1115" s="1" t="str">
        <f ca="1">IFERROR(__xludf.DUMMYFUNCTION("""COMPUTED_VALUE"""),"Freedom of Expression")</f>
        <v>Freedom of Expression</v>
      </c>
      <c r="H1115" s="1" t="str">
        <f ca="1">IFERROR(__xludf.DUMMYFUNCTION("""COMPUTED_VALUE"""),"2024")</f>
        <v>2024</v>
      </c>
      <c r="I1115" s="1" t="str">
        <f ca="1">IFERROR(__xludf.DUMMYFUNCTION("""COMPUTED_VALUE"""),"Letter")</f>
        <v>Letter</v>
      </c>
    </row>
    <row r="1116" spans="1:9" ht="13" x14ac:dyDescent="0.15">
      <c r="A1116" s="9">
        <f ca="1">IFERROR(__xludf.DUMMYFUNCTION("""COMPUTED_VALUE"""),65451739)</f>
        <v>65451739</v>
      </c>
      <c r="B1116" s="1" t="str">
        <f ca="1">IFERROR(__xludf.DUMMYFUNCTION("""COMPUTED_VALUE"""),"rod.weaver23@yahoo.com")</f>
        <v>rod.weaver23@yahoo.com</v>
      </c>
      <c r="C1116" s="9" t="str">
        <f ca="1">IFERROR(__xludf.DUMMYFUNCTION("""COMPUTED_VALUE"""),"EVERGREEN - UAN Gated Content - Embedded Petition")</f>
        <v>EVERGREEN - UAN Gated Content - Embedded Petition</v>
      </c>
      <c r="D1116" s="10">
        <f ca="1">IFERROR(__xludf.DUMMYFUNCTION("""COMPUTED_VALUE"""),45704)</f>
        <v>45704</v>
      </c>
      <c r="E1116" s="1" t="str">
        <f ca="1">IFERROR(__xludf.DUMMYFUNCTION("""COMPUTED_VALUE"""),"Tunisia")</f>
        <v>Tunisia</v>
      </c>
      <c r="F1116" s="1" t="str">
        <f ca="1">IFERROR(__xludf.DUMMYFUNCTION("""COMPUTED_VALUE"""),"Second 76.24 Tunisia")</f>
        <v>Second 76.24 Tunisia</v>
      </c>
      <c r="G1116" s="1" t="str">
        <f ca="1">IFERROR(__xludf.DUMMYFUNCTION("""COMPUTED_VALUE"""),"Freedom of Expression, Human Rights Defenders")</f>
        <v>Freedom of Expression, Human Rights Defenders</v>
      </c>
      <c r="H1116" s="1" t="str">
        <f ca="1">IFERROR(__xludf.DUMMYFUNCTION("""COMPUTED_VALUE"""),"2025")</f>
        <v>2025</v>
      </c>
      <c r="I1116" s="1" t="str">
        <f ca="1">IFERROR(__xludf.DUMMYFUNCTION("""COMPUTED_VALUE"""),"Email")</f>
        <v>Email</v>
      </c>
    </row>
    <row r="1117" spans="1:9" ht="13" x14ac:dyDescent="0.15">
      <c r="A1117" s="9">
        <f ca="1">IFERROR(__xludf.DUMMYFUNCTION("""COMPUTED_VALUE"""),65616037)</f>
        <v>65616037</v>
      </c>
      <c r="B1117" s="1" t="str">
        <f ca="1">IFERROR(__xludf.DUMMYFUNCTION("""COMPUTED_VALUE"""),"georgeshermanjr@gmail.com")</f>
        <v>georgeshermanjr@gmail.com</v>
      </c>
      <c r="C1117" s="9" t="str">
        <f ca="1">IFERROR(__xludf.DUMMYFUNCTION("""COMPUTED_VALUE"""),"EVERGREEN - UAN Gated Content - Embedded Petition")</f>
        <v>EVERGREEN - UAN Gated Content - Embedded Petition</v>
      </c>
      <c r="D1117" s="10">
        <f ca="1">IFERROR(__xludf.DUMMYFUNCTION("""COMPUTED_VALUE"""),45694)</f>
        <v>45694</v>
      </c>
      <c r="E1117" s="1" t="str">
        <f ca="1">IFERROR(__xludf.DUMMYFUNCTION("""COMPUTED_VALUE"""),"Tunisia")</f>
        <v>Tunisia</v>
      </c>
      <c r="F1117" s="1" t="str">
        <f ca="1">IFERROR(__xludf.DUMMYFUNCTION("""COMPUTED_VALUE"""),"Second 76.24 Tunisia")</f>
        <v>Second 76.24 Tunisia</v>
      </c>
      <c r="G1117" s="1" t="str">
        <f ca="1">IFERROR(__xludf.DUMMYFUNCTION("""COMPUTED_VALUE"""),"Freedom of Expression, Human Rights Defenders")</f>
        <v>Freedom of Expression, Human Rights Defenders</v>
      </c>
      <c r="H1117" s="1" t="str">
        <f ca="1">IFERROR(__xludf.DUMMYFUNCTION("""COMPUTED_VALUE"""),"2025")</f>
        <v>2025</v>
      </c>
      <c r="I1117" s="1" t="str">
        <f ca="1">IFERROR(__xludf.DUMMYFUNCTION("""COMPUTED_VALUE"""),"Email")</f>
        <v>Email</v>
      </c>
    </row>
    <row r="1118" spans="1:9" ht="13" x14ac:dyDescent="0.15">
      <c r="A1118" s="9">
        <f ca="1">IFERROR(__xludf.DUMMYFUNCTION("""COMPUTED_VALUE"""),68655136)</f>
        <v>68655136</v>
      </c>
      <c r="B1118" s="1" t="str">
        <f ca="1">IFERROR(__xludf.DUMMYFUNCTION("""COMPUTED_VALUE"""),"rhenighan@igc.org")</f>
        <v>rhenighan@igc.org</v>
      </c>
      <c r="C1118" s="9" t="str">
        <f ca="1">IFERROR(__xludf.DUMMYFUNCTION("""COMPUTED_VALUE"""),"EVERGREEN - UAN Gated Content - Embedded Petition")</f>
        <v>EVERGREEN - UAN Gated Content - Embedded Petition</v>
      </c>
      <c r="D1118" s="10">
        <f ca="1">IFERROR(__xludf.DUMMYFUNCTION("""COMPUTED_VALUE"""),45694)</f>
        <v>45694</v>
      </c>
      <c r="E1118" s="1" t="str">
        <f ca="1">IFERROR(__xludf.DUMMYFUNCTION("""COMPUTED_VALUE"""),"USA")</f>
        <v>USA</v>
      </c>
      <c r="F1118" s="1" t="str">
        <f ca="1">IFERROR(__xludf.DUMMYFUNCTION("""COMPUTED_VALUE"""),"4.25 USA")</f>
        <v>4.25 USA</v>
      </c>
      <c r="G1118" s="1" t="str">
        <f ca="1">IFERROR(__xludf.DUMMYFUNCTION("""COMPUTED_VALUE"""),"Individuals At Risk, Refugee and Migrant Rights")</f>
        <v>Individuals At Risk, Refugee and Migrant Rights</v>
      </c>
      <c r="H1118" s="1" t="str">
        <f ca="1">IFERROR(__xludf.DUMMYFUNCTION("""COMPUTED_VALUE"""),"2025")</f>
        <v>2025</v>
      </c>
      <c r="I1118" s="1" t="str">
        <f ca="1">IFERROR(__xludf.DUMMYFUNCTION("""COMPUTED_VALUE"""),"Letter")</f>
        <v>Letter</v>
      </c>
    </row>
    <row r="1119" spans="1:9" ht="13" x14ac:dyDescent="0.15">
      <c r="A1119" s="9">
        <f ca="1">IFERROR(__xludf.DUMMYFUNCTION("""COMPUTED_VALUE"""),68743017)</f>
        <v>68743017</v>
      </c>
      <c r="B1119" s="1" t="str">
        <f ca="1">IFERROR(__xludf.DUMMYFUNCTION("""COMPUTED_VALUE"""),"mystenamarina@yahoo.com")</f>
        <v>mystenamarina@yahoo.com</v>
      </c>
      <c r="C1119" s="9" t="str">
        <f ca="1">IFERROR(__xludf.DUMMYFUNCTION("""COMPUTED_VALUE"""),"EVERGREEN - UAN Gated Content - Embedded Petition")</f>
        <v>EVERGREEN - UAN Gated Content - Embedded Petition</v>
      </c>
      <c r="D1119" s="10">
        <f ca="1">IFERROR(__xludf.DUMMYFUNCTION("""COMPUTED_VALUE"""),45694)</f>
        <v>45694</v>
      </c>
      <c r="E1119" s="1" t="str">
        <f ca="1">IFERROR(__xludf.DUMMYFUNCTION("""COMPUTED_VALUE"""),"Saudi Arabia")</f>
        <v>Saudi Arabia</v>
      </c>
      <c r="F1119" s="1" t="str">
        <f ca="1">IFERROR(__xludf.DUMMYFUNCTION("""COMPUTED_VALUE"""),"Second 85.23 Saudi Arabia")</f>
        <v>Second 85.23 Saudi Arabia</v>
      </c>
      <c r="G1119" s="1" t="str">
        <f ca="1">IFERROR(__xludf.DUMMYFUNCTION("""COMPUTED_VALUE"""),"Freedom of Expression")</f>
        <v>Freedom of Expression</v>
      </c>
      <c r="H1119" s="1" t="str">
        <f ca="1">IFERROR(__xludf.DUMMYFUNCTION("""COMPUTED_VALUE"""),"2024")</f>
        <v>2024</v>
      </c>
      <c r="I1119" s="1" t="str">
        <f ca="1">IFERROR(__xludf.DUMMYFUNCTION("""COMPUTED_VALUE"""),"Letter")</f>
        <v>Letter</v>
      </c>
    </row>
    <row r="1120" spans="1:9" ht="13" x14ac:dyDescent="0.15">
      <c r="A1120" s="9">
        <f ca="1">IFERROR(__xludf.DUMMYFUNCTION("""COMPUTED_VALUE"""),68883897)</f>
        <v>68883897</v>
      </c>
      <c r="B1120" s="1" t="str">
        <f ca="1">IFERROR(__xludf.DUMMYFUNCTION("""COMPUTED_VALUE"""),"mbrothe71@gmail.com")</f>
        <v>mbrothe71@gmail.com</v>
      </c>
      <c r="C1120" s="9" t="str">
        <f ca="1">IFERROR(__xludf.DUMMYFUNCTION("""COMPUTED_VALUE"""),"EVERGREEN - UAN Gated Content - Embedded Petition")</f>
        <v>EVERGREEN - UAN Gated Content - Embedded Petition</v>
      </c>
      <c r="D1120" s="10">
        <f ca="1">IFERROR(__xludf.DUMMYFUNCTION("""COMPUTED_VALUE"""),45694)</f>
        <v>45694</v>
      </c>
      <c r="E1120" s="1" t="str">
        <f ca="1">IFERROR(__xludf.DUMMYFUNCTION("""COMPUTED_VALUE"""),"China")</f>
        <v>China</v>
      </c>
      <c r="F1120" s="1" t="str">
        <f ca="1">IFERROR(__xludf.DUMMYFUNCTION("""COMPUTED_VALUE"""),"98.24 China")</f>
        <v>98.24 China</v>
      </c>
      <c r="G1120" s="1" t="str">
        <f ca="1">IFERROR(__xludf.DUMMYFUNCTION("""COMPUTED_VALUE"""),"Freedom of Expression, Individuals At Risk")</f>
        <v>Freedom of Expression, Individuals At Risk</v>
      </c>
      <c r="H1120" s="1" t="str">
        <f ca="1">IFERROR(__xludf.DUMMYFUNCTION("""COMPUTED_VALUE"""),"2024")</f>
        <v>2024</v>
      </c>
      <c r="I1120" s="1" t="str">
        <f ca="1">IFERROR(__xludf.DUMMYFUNCTION("""COMPUTED_VALUE"""),"Letter")</f>
        <v>Letter</v>
      </c>
    </row>
    <row r="1121" spans="1:9" ht="13" x14ac:dyDescent="0.15">
      <c r="A1121" s="9">
        <f ca="1">IFERROR(__xludf.DUMMYFUNCTION("""COMPUTED_VALUE"""),69571639)</f>
        <v>69571639</v>
      </c>
      <c r="B1121" s="1" t="str">
        <f ca="1">IFERROR(__xludf.DUMMYFUNCTION("""COMPUTED_VALUE"""),"sebastien.vigneau@gmail.com")</f>
        <v>sebastien.vigneau@gmail.com</v>
      </c>
      <c r="C1121" s="9" t="str">
        <f ca="1">IFERROR(__xludf.DUMMYFUNCTION("""COMPUTED_VALUE"""),"EVERGREEN - UAN Gated Content - Embedded Petition")</f>
        <v>EVERGREEN - UAN Gated Content - Embedded Petition</v>
      </c>
      <c r="D1121" s="10">
        <f ca="1">IFERROR(__xludf.DUMMYFUNCTION("""COMPUTED_VALUE"""),45674)</f>
        <v>45674</v>
      </c>
      <c r="E1121" s="1" t="str">
        <f ca="1">IFERROR(__xludf.DUMMYFUNCTION("""COMPUTED_VALUE"""),"Egypt")</f>
        <v>Egypt</v>
      </c>
      <c r="F1121" s="1" t="str">
        <f ca="1">IFERROR(__xludf.DUMMYFUNCTION("""COMPUTED_VALUE"""),"Ninth 190.18 Egypt")</f>
        <v>Ninth 190.18 Egypt</v>
      </c>
      <c r="G1121" s="1" t="str">
        <f ca="1">IFERROR(__xludf.DUMMYFUNCTION("""COMPUTED_VALUE"""),"Freedom of Expression, Individuals At Risk")</f>
        <v>Freedom of Expression, Individuals At Risk</v>
      </c>
      <c r="H1121" s="1" t="str">
        <f ca="1">IFERROR(__xludf.DUMMYFUNCTION("""COMPUTED_VALUE"""),"2024")</f>
        <v>2024</v>
      </c>
      <c r="I1121" s="1" t="str">
        <f ca="1">IFERROR(__xludf.DUMMYFUNCTION("""COMPUTED_VALUE"""),"Letter")</f>
        <v>Letter</v>
      </c>
    </row>
    <row r="1122" spans="1:9" ht="13" x14ac:dyDescent="0.15">
      <c r="A1122" s="9">
        <f ca="1">IFERROR(__xludf.DUMMYFUNCTION("""COMPUTED_VALUE"""),69571639)</f>
        <v>69571639</v>
      </c>
      <c r="B1122" s="1" t="str">
        <f ca="1">IFERROR(__xludf.DUMMYFUNCTION("""COMPUTED_VALUE"""),"sebastien.vigneau@gmail.com")</f>
        <v>sebastien.vigneau@gmail.com</v>
      </c>
      <c r="C1122" s="9" t="str">
        <f ca="1">IFERROR(__xludf.DUMMYFUNCTION("""COMPUTED_VALUE"""),"EVERGREEN - UAN Gated Content - Embedded Petition")</f>
        <v>EVERGREEN - UAN Gated Content - Embedded Petition</v>
      </c>
      <c r="D1122" s="10">
        <f ca="1">IFERROR(__xludf.DUMMYFUNCTION("""COMPUTED_VALUE"""),45674)</f>
        <v>45674</v>
      </c>
      <c r="E1122" s="1" t="str">
        <f ca="1">IFERROR(__xludf.DUMMYFUNCTION("""COMPUTED_VALUE"""),"Egypt")</f>
        <v>Egypt</v>
      </c>
      <c r="F1122" s="1" t="str">
        <f ca="1">IFERROR(__xludf.DUMMYFUNCTION("""COMPUTED_VALUE"""),"Ninth 190.18 Egypt")</f>
        <v>Ninth 190.18 Egypt</v>
      </c>
      <c r="G1122" s="1" t="str">
        <f ca="1">IFERROR(__xludf.DUMMYFUNCTION("""COMPUTED_VALUE"""),"Freedom of Expression, Individuals At Risk")</f>
        <v>Freedom of Expression, Individuals At Risk</v>
      </c>
      <c r="H1122" s="1" t="str">
        <f ca="1">IFERROR(__xludf.DUMMYFUNCTION("""COMPUTED_VALUE"""),"2024")</f>
        <v>2024</v>
      </c>
      <c r="I1122" s="1" t="str">
        <f ca="1">IFERROR(__xludf.DUMMYFUNCTION("""COMPUTED_VALUE"""),"Letter")</f>
        <v>Letter</v>
      </c>
    </row>
    <row r="1123" spans="1:9" ht="13" x14ac:dyDescent="0.15">
      <c r="A1123" s="9">
        <f ca="1">IFERROR(__xludf.DUMMYFUNCTION("""COMPUTED_VALUE"""),69571639)</f>
        <v>69571639</v>
      </c>
      <c r="B1123" s="1" t="str">
        <f ca="1">IFERROR(__xludf.DUMMYFUNCTION("""COMPUTED_VALUE"""),"sebastien.vigneau@gmail.com")</f>
        <v>sebastien.vigneau@gmail.com</v>
      </c>
      <c r="C1123" s="9" t="str">
        <f ca="1">IFERROR(__xludf.DUMMYFUNCTION("""COMPUTED_VALUE"""),"EVERGREEN - UAN Gated Content - Embedded Petition")</f>
        <v>EVERGREEN - UAN Gated Content - Embedded Petition</v>
      </c>
      <c r="D1123" s="10">
        <f ca="1">IFERROR(__xludf.DUMMYFUNCTION("""COMPUTED_VALUE"""),45674)</f>
        <v>45674</v>
      </c>
      <c r="E1123" s="1" t="str">
        <f ca="1">IFERROR(__xludf.DUMMYFUNCTION("""COMPUTED_VALUE"""),"Tunisia")</f>
        <v>Tunisia</v>
      </c>
      <c r="F1123" s="1" t="str">
        <f ca="1">IFERROR(__xludf.DUMMYFUNCTION("""COMPUTED_VALUE"""),"Second 76.24 Tunisia")</f>
        <v>Second 76.24 Tunisia</v>
      </c>
      <c r="G1123" s="1" t="str">
        <f ca="1">IFERROR(__xludf.DUMMYFUNCTION("""COMPUTED_VALUE"""),"Freedom of Expression, Human Rights Defenders")</f>
        <v>Freedom of Expression, Human Rights Defenders</v>
      </c>
      <c r="H1123" s="1" t="str">
        <f ca="1">IFERROR(__xludf.DUMMYFUNCTION("""COMPUTED_VALUE"""),"2025")</f>
        <v>2025</v>
      </c>
      <c r="I1123" s="1" t="str">
        <f ca="1">IFERROR(__xludf.DUMMYFUNCTION("""COMPUTED_VALUE"""),"Email")</f>
        <v>Email</v>
      </c>
    </row>
    <row r="1124" spans="1:9" ht="13" x14ac:dyDescent="0.15">
      <c r="A1124" s="9">
        <f ca="1">IFERROR(__xludf.DUMMYFUNCTION("""COMPUTED_VALUE"""),69571639)</f>
        <v>69571639</v>
      </c>
      <c r="B1124" s="1" t="str">
        <f ca="1">IFERROR(__xludf.DUMMYFUNCTION("""COMPUTED_VALUE"""),"sebastien.vigneau@gmail.com")</f>
        <v>sebastien.vigneau@gmail.com</v>
      </c>
      <c r="C1124" s="9" t="str">
        <f ca="1">IFERROR(__xludf.DUMMYFUNCTION("""COMPUTED_VALUE"""),"EVERGREEN - UAN Gated Content - Embedded Petition")</f>
        <v>EVERGREEN - UAN Gated Content - Embedded Petition</v>
      </c>
      <c r="D1124" s="10">
        <f ca="1">IFERROR(__xludf.DUMMYFUNCTION("""COMPUTED_VALUE"""),45636)</f>
        <v>45636</v>
      </c>
      <c r="E1124" s="1" t="str">
        <f ca="1">IFERROR(__xludf.DUMMYFUNCTION("""COMPUTED_VALUE"""),"Iran")</f>
        <v>Iran</v>
      </c>
      <c r="F1124" s="1" t="str">
        <f ca="1">IFERROR(__xludf.DUMMYFUNCTION("""COMPUTED_VALUE"""),"Seventh 103.22 Iran")</f>
        <v>Seventh 103.22 Iran</v>
      </c>
      <c r="G1124" s="1" t="str">
        <f ca="1">IFERROR(__xludf.DUMMYFUNCTION("""COMPUTED_VALUE"""),"Death Penalty, Freedom of Expression, Individuals At Risk")</f>
        <v>Death Penalty, Freedom of Expression, Individuals At Risk</v>
      </c>
      <c r="H1124" s="1" t="str">
        <f ca="1">IFERROR(__xludf.DUMMYFUNCTION("""COMPUTED_VALUE"""),"2024")</f>
        <v>2024</v>
      </c>
      <c r="I1124" s="1" t="str">
        <f ca="1">IFERROR(__xludf.DUMMYFUNCTION("""COMPUTED_VALUE"""),"Email")</f>
        <v>Email</v>
      </c>
    </row>
    <row r="1125" spans="1:9" ht="13" x14ac:dyDescent="0.15">
      <c r="A1125" s="9">
        <f ca="1">IFERROR(__xludf.DUMMYFUNCTION("""COMPUTED_VALUE"""),69571639)</f>
        <v>69571639</v>
      </c>
      <c r="B1125" s="1" t="str">
        <f ca="1">IFERROR(__xludf.DUMMYFUNCTION("""COMPUTED_VALUE"""),"sebastien.vigneau@gmail.com")</f>
        <v>sebastien.vigneau@gmail.com</v>
      </c>
      <c r="C1125" s="9" t="str">
        <f ca="1">IFERROR(__xludf.DUMMYFUNCTION("""COMPUTED_VALUE"""),"EVERGREEN - UAN Gated Content - Embedded Petition")</f>
        <v>EVERGREEN - UAN Gated Content - Embedded Petition</v>
      </c>
      <c r="D1125" s="10">
        <f ca="1">IFERROR(__xludf.DUMMYFUNCTION("""COMPUTED_VALUE"""),45636)</f>
        <v>45636</v>
      </c>
      <c r="E1125" s="1" t="str">
        <f ca="1">IFERROR(__xludf.DUMMYFUNCTION("""COMPUTED_VALUE"""),"Iran")</f>
        <v>Iran</v>
      </c>
      <c r="F1125" s="1" t="str">
        <f ca="1">IFERROR(__xludf.DUMMYFUNCTION("""COMPUTED_VALUE"""),"Seventh 103.22 Iran")</f>
        <v>Seventh 103.22 Iran</v>
      </c>
      <c r="G1125" s="1" t="str">
        <f ca="1">IFERROR(__xludf.DUMMYFUNCTION("""COMPUTED_VALUE"""),"Death Penalty, Freedom of Expression, Individuals At Risk")</f>
        <v>Death Penalty, Freedom of Expression, Individuals At Risk</v>
      </c>
      <c r="H1125" s="1" t="str">
        <f ca="1">IFERROR(__xludf.DUMMYFUNCTION("""COMPUTED_VALUE"""),"2024")</f>
        <v>2024</v>
      </c>
      <c r="I1125" s="1" t="str">
        <f ca="1">IFERROR(__xludf.DUMMYFUNCTION("""COMPUTED_VALUE"""),"Email")</f>
        <v>Email</v>
      </c>
    </row>
    <row r="1126" spans="1:9" ht="13" x14ac:dyDescent="0.15">
      <c r="A1126" s="9">
        <f ca="1">IFERROR(__xludf.DUMMYFUNCTION("""COMPUTED_VALUE"""),69571639)</f>
        <v>69571639</v>
      </c>
      <c r="B1126" s="1" t="str">
        <f ca="1">IFERROR(__xludf.DUMMYFUNCTION("""COMPUTED_VALUE"""),"sebastien.vigneau@gmail.com")</f>
        <v>sebastien.vigneau@gmail.com</v>
      </c>
      <c r="C1126" s="9" t="str">
        <f ca="1">IFERROR(__xludf.DUMMYFUNCTION("""COMPUTED_VALUE"""),"EVERGREEN - UAN Gated Content - Embedded Petition")</f>
        <v>EVERGREEN - UAN Gated Content - Embedded Petition</v>
      </c>
      <c r="D1126" s="10">
        <f ca="1">IFERROR(__xludf.DUMMYFUNCTION("""COMPUTED_VALUE"""),45636)</f>
        <v>45636</v>
      </c>
      <c r="E1126" s="1" t="str">
        <f ca="1">IFERROR(__xludf.DUMMYFUNCTION("""COMPUTED_VALUE"""),"Niger")</f>
        <v>Niger</v>
      </c>
      <c r="F1126" s="1" t="str">
        <f ca="1">IFERROR(__xludf.DUMMYFUNCTION("""COMPUTED_VALUE"""),"103.24 Niger")</f>
        <v>103.24 Niger</v>
      </c>
      <c r="G1126" s="1" t="str">
        <f ca="1">IFERROR(__xludf.DUMMYFUNCTION("""COMPUTED_VALUE"""),"Freedom of Expression, Human Rights Defenders")</f>
        <v>Freedom of Expression, Human Rights Defenders</v>
      </c>
      <c r="H1126" s="1" t="str">
        <f ca="1">IFERROR(__xludf.DUMMYFUNCTION("""COMPUTED_VALUE"""),"2024")</f>
        <v>2024</v>
      </c>
      <c r="I1126" s="1" t="str">
        <f ca="1">IFERROR(__xludf.DUMMYFUNCTION("""COMPUTED_VALUE"""),"Email")</f>
        <v>Email</v>
      </c>
    </row>
    <row r="1127" spans="1:9" ht="13" x14ac:dyDescent="0.15">
      <c r="A1127" s="9">
        <f ca="1">IFERROR(__xludf.DUMMYFUNCTION("""COMPUTED_VALUE"""),69571639)</f>
        <v>69571639</v>
      </c>
      <c r="B1127" s="1" t="str">
        <f ca="1">IFERROR(__xludf.DUMMYFUNCTION("""COMPUTED_VALUE"""),"sebastien.vigneau@gmail.com")</f>
        <v>sebastien.vigneau@gmail.com</v>
      </c>
      <c r="C1127" s="9" t="str">
        <f ca="1">IFERROR(__xludf.DUMMYFUNCTION("""COMPUTED_VALUE"""),"EVERGREEN - UAN Gated Content - Embedded Petition")</f>
        <v>EVERGREEN - UAN Gated Content - Embedded Petition</v>
      </c>
      <c r="D1127" s="10">
        <f ca="1">IFERROR(__xludf.DUMMYFUNCTION("""COMPUTED_VALUE"""),45636)</f>
        <v>45636</v>
      </c>
      <c r="E1127" s="1" t="str">
        <f ca="1">IFERROR(__xludf.DUMMYFUNCTION("""COMPUTED_VALUE"""),"USA")</f>
        <v>USA</v>
      </c>
      <c r="F1127" s="1" t="str">
        <f ca="1">IFERROR(__xludf.DUMMYFUNCTION("""COMPUTED_VALUE"""),"4.25 USA")</f>
        <v>4.25 USA</v>
      </c>
      <c r="G1127" s="1" t="str">
        <f ca="1">IFERROR(__xludf.DUMMYFUNCTION("""COMPUTED_VALUE"""),"Individuals At Risk, Refugee and Migrant Rights")</f>
        <v>Individuals At Risk, Refugee and Migrant Rights</v>
      </c>
      <c r="H1127" s="1" t="str">
        <f ca="1">IFERROR(__xludf.DUMMYFUNCTION("""COMPUTED_VALUE"""),"2025")</f>
        <v>2025</v>
      </c>
      <c r="I1127" s="1" t="str">
        <f ca="1">IFERROR(__xludf.DUMMYFUNCTION("""COMPUTED_VALUE"""),"Letter")</f>
        <v>Letter</v>
      </c>
    </row>
    <row r="1128" spans="1:9" ht="13" x14ac:dyDescent="0.15">
      <c r="A1128" s="9">
        <f ca="1">IFERROR(__xludf.DUMMYFUNCTION("""COMPUTED_VALUE"""),69662633)</f>
        <v>69662633</v>
      </c>
      <c r="B1128" s="1" t="str">
        <f ca="1">IFERROR(__xludf.DUMMYFUNCTION("""COMPUTED_VALUE"""),"joteed2000@yahoo.com")</f>
        <v>joteed2000@yahoo.com</v>
      </c>
      <c r="C1128" s="9" t="str">
        <f ca="1">IFERROR(__xludf.DUMMYFUNCTION("""COMPUTED_VALUE"""),"EVERGREEN - UAN Gated Content - Embedded Petition")</f>
        <v>EVERGREEN - UAN Gated Content - Embedded Petition</v>
      </c>
      <c r="D1128" s="10">
        <f ca="1">IFERROR(__xludf.DUMMYFUNCTION("""COMPUTED_VALUE"""),45694)</f>
        <v>45694</v>
      </c>
      <c r="E1128" s="1" t="str">
        <f ca="1">IFERROR(__xludf.DUMMYFUNCTION("""COMPUTED_VALUE"""),"Tunisia")</f>
        <v>Tunisia</v>
      </c>
      <c r="F1128" s="1" t="str">
        <f ca="1">IFERROR(__xludf.DUMMYFUNCTION("""COMPUTED_VALUE"""),"Second 76.24 Tunisia")</f>
        <v>Second 76.24 Tunisia</v>
      </c>
      <c r="G1128" s="1" t="str">
        <f ca="1">IFERROR(__xludf.DUMMYFUNCTION("""COMPUTED_VALUE"""),"Freedom of Expression, Human Rights Defenders")</f>
        <v>Freedom of Expression, Human Rights Defenders</v>
      </c>
      <c r="H1128" s="1" t="str">
        <f ca="1">IFERROR(__xludf.DUMMYFUNCTION("""COMPUTED_VALUE"""),"2025")</f>
        <v>2025</v>
      </c>
      <c r="I1128" s="1" t="str">
        <f ca="1">IFERROR(__xludf.DUMMYFUNCTION("""COMPUTED_VALUE"""),"Email")</f>
        <v>Email</v>
      </c>
    </row>
    <row r="1129" spans="1:9" ht="13" x14ac:dyDescent="0.15">
      <c r="A1129" s="9">
        <f ca="1">IFERROR(__xludf.DUMMYFUNCTION("""COMPUTED_VALUE"""),71159193)</f>
        <v>71159193</v>
      </c>
      <c r="B1129" s="1" t="str">
        <f ca="1">IFERROR(__xludf.DUMMYFUNCTION("""COMPUTED_VALUE"""),"jeanne184490@gmail.com")</f>
        <v>jeanne184490@gmail.com</v>
      </c>
      <c r="C1129" s="9" t="str">
        <f ca="1">IFERROR(__xludf.DUMMYFUNCTION("""COMPUTED_VALUE"""),"EVERGREEN - UAN Gated Content - Embedded Petition")</f>
        <v>EVERGREEN - UAN Gated Content - Embedded Petition</v>
      </c>
      <c r="D1129" s="10">
        <f ca="1">IFERROR(__xludf.DUMMYFUNCTION("""COMPUTED_VALUE"""),45694)</f>
        <v>45694</v>
      </c>
      <c r="E1129" s="1" t="str">
        <f ca="1">IFERROR(__xludf.DUMMYFUNCTION("""COMPUTED_VALUE"""),"China")</f>
        <v>China</v>
      </c>
      <c r="F1129" s="1" t="str">
        <f ca="1">IFERROR(__xludf.DUMMYFUNCTION("""COMPUTED_VALUE"""),"98.24 China")</f>
        <v>98.24 China</v>
      </c>
      <c r="G1129" s="1" t="str">
        <f ca="1">IFERROR(__xludf.DUMMYFUNCTION("""COMPUTED_VALUE"""),"Freedom of Expression, Individuals At Risk")</f>
        <v>Freedom of Expression, Individuals At Risk</v>
      </c>
      <c r="H1129" s="1" t="str">
        <f ca="1">IFERROR(__xludf.DUMMYFUNCTION("""COMPUTED_VALUE"""),"2024")</f>
        <v>2024</v>
      </c>
      <c r="I1129" s="1" t="str">
        <f ca="1">IFERROR(__xludf.DUMMYFUNCTION("""COMPUTED_VALUE"""),"Letter")</f>
        <v>Letter</v>
      </c>
    </row>
    <row r="1130" spans="1:9" ht="13" x14ac:dyDescent="0.15">
      <c r="A1130" s="9">
        <f ca="1">IFERROR(__xludf.DUMMYFUNCTION("""COMPUTED_VALUE"""),71159193)</f>
        <v>71159193</v>
      </c>
      <c r="B1130" s="1" t="str">
        <f ca="1">IFERROR(__xludf.DUMMYFUNCTION("""COMPUTED_VALUE"""),"jeanne184490@gmail.com")</f>
        <v>jeanne184490@gmail.com</v>
      </c>
      <c r="C1130" s="9" t="str">
        <f ca="1">IFERROR(__xludf.DUMMYFUNCTION("""COMPUTED_VALUE"""),"EVERGREEN - UAN Gated Content - Embedded Petition")</f>
        <v>EVERGREEN - UAN Gated Content - Embedded Petition</v>
      </c>
      <c r="D1130" s="10">
        <f ca="1">IFERROR(__xludf.DUMMYFUNCTION("""COMPUTED_VALUE"""),45697)</f>
        <v>45697</v>
      </c>
      <c r="E1130" s="1" t="str">
        <f ca="1">IFERROR(__xludf.DUMMYFUNCTION("""COMPUTED_VALUE"""),"Iran")</f>
        <v>Iran</v>
      </c>
      <c r="F1130" s="1" t="str">
        <f ca="1">IFERROR(__xludf.DUMMYFUNCTION("""COMPUTED_VALUE"""),"Seventh 103.22 Iran")</f>
        <v>Seventh 103.22 Iran</v>
      </c>
      <c r="G1130" s="1" t="str">
        <f ca="1">IFERROR(__xludf.DUMMYFUNCTION("""COMPUTED_VALUE"""),"Death Penalty, Freedom of Expression, Individuals At Risk")</f>
        <v>Death Penalty, Freedom of Expression, Individuals At Risk</v>
      </c>
      <c r="H1130" s="1" t="str">
        <f ca="1">IFERROR(__xludf.DUMMYFUNCTION("""COMPUTED_VALUE"""),"2024")</f>
        <v>2024</v>
      </c>
      <c r="I1130" s="1" t="str">
        <f ca="1">IFERROR(__xludf.DUMMYFUNCTION("""COMPUTED_VALUE"""),"Email")</f>
        <v>Email</v>
      </c>
    </row>
    <row r="1131" spans="1:9" ht="13" x14ac:dyDescent="0.15">
      <c r="A1131" s="9">
        <f ca="1">IFERROR(__xludf.DUMMYFUNCTION("""COMPUTED_VALUE"""),72196890)</f>
        <v>72196890</v>
      </c>
      <c r="B1131" s="1" t="str">
        <f ca="1">IFERROR(__xludf.DUMMYFUNCTION("""COMPUTED_VALUE"""),"brian@bcmaarch.com")</f>
        <v>brian@bcmaarch.com</v>
      </c>
      <c r="C1131" s="9" t="str">
        <f ca="1">IFERROR(__xludf.DUMMYFUNCTION("""COMPUTED_VALUE"""),"EVERGREEN - UAN Gated Content - Embedded Petition")</f>
        <v>EVERGREEN - UAN Gated Content - Embedded Petition</v>
      </c>
      <c r="D1131" s="10">
        <f ca="1">IFERROR(__xludf.DUMMYFUNCTION("""COMPUTED_VALUE"""),45636)</f>
        <v>45636</v>
      </c>
      <c r="E1131" s="1" t="str">
        <f ca="1">IFERROR(__xludf.DUMMYFUNCTION("""COMPUTED_VALUE"""),"Egypt")</f>
        <v>Egypt</v>
      </c>
      <c r="F1131" s="1" t="str">
        <f ca="1">IFERROR(__xludf.DUMMYFUNCTION("""COMPUTED_VALUE"""),"Ninth 190.18 Egypt")</f>
        <v>Ninth 190.18 Egypt</v>
      </c>
      <c r="G1131" s="1" t="str">
        <f ca="1">IFERROR(__xludf.DUMMYFUNCTION("""COMPUTED_VALUE"""),"Freedom of Expression, Individuals At Risk")</f>
        <v>Freedom of Expression, Individuals At Risk</v>
      </c>
      <c r="H1131" s="1" t="str">
        <f ca="1">IFERROR(__xludf.DUMMYFUNCTION("""COMPUTED_VALUE"""),"2024")</f>
        <v>2024</v>
      </c>
      <c r="I1131" s="1" t="str">
        <f ca="1">IFERROR(__xludf.DUMMYFUNCTION("""COMPUTED_VALUE"""),"Letter")</f>
        <v>Letter</v>
      </c>
    </row>
    <row r="1132" spans="1:9" ht="13" x14ac:dyDescent="0.15">
      <c r="A1132" s="9">
        <f ca="1">IFERROR(__xludf.DUMMYFUNCTION("""COMPUTED_VALUE"""),72196890)</f>
        <v>72196890</v>
      </c>
      <c r="B1132" s="1" t="str">
        <f ca="1">IFERROR(__xludf.DUMMYFUNCTION("""COMPUTED_VALUE"""),"brian@bcmaarch.com")</f>
        <v>brian@bcmaarch.com</v>
      </c>
      <c r="C1132" s="9" t="str">
        <f ca="1">IFERROR(__xludf.DUMMYFUNCTION("""COMPUTED_VALUE"""),"EVERGREEN - UAN Gated Content - Embedded Petition")</f>
        <v>EVERGREEN - UAN Gated Content - Embedded Petition</v>
      </c>
      <c r="D1132" s="10">
        <f ca="1">IFERROR(__xludf.DUMMYFUNCTION("""COMPUTED_VALUE"""),45636)</f>
        <v>45636</v>
      </c>
      <c r="E1132" s="1" t="str">
        <f ca="1">IFERROR(__xludf.DUMMYFUNCTION("""COMPUTED_VALUE"""),"Tunisia")</f>
        <v>Tunisia</v>
      </c>
      <c r="F1132" s="1" t="str">
        <f ca="1">IFERROR(__xludf.DUMMYFUNCTION("""COMPUTED_VALUE"""),"Second 76.24 Tunisia")</f>
        <v>Second 76.24 Tunisia</v>
      </c>
      <c r="G1132" s="1" t="str">
        <f ca="1">IFERROR(__xludf.DUMMYFUNCTION("""COMPUTED_VALUE"""),"Freedom of Expression, Human Rights Defenders")</f>
        <v>Freedom of Expression, Human Rights Defenders</v>
      </c>
      <c r="H1132" s="1" t="str">
        <f ca="1">IFERROR(__xludf.DUMMYFUNCTION("""COMPUTED_VALUE"""),"2025")</f>
        <v>2025</v>
      </c>
      <c r="I1132" s="1" t="str">
        <f ca="1">IFERROR(__xludf.DUMMYFUNCTION("""COMPUTED_VALUE"""),"Email")</f>
        <v>Email</v>
      </c>
    </row>
    <row r="1133" spans="1:9" ht="13" x14ac:dyDescent="0.15">
      <c r="A1133" s="9">
        <f ca="1">IFERROR(__xludf.DUMMYFUNCTION("""COMPUTED_VALUE"""),72196890)</f>
        <v>72196890</v>
      </c>
      <c r="B1133" s="1" t="str">
        <f ca="1">IFERROR(__xludf.DUMMYFUNCTION("""COMPUTED_VALUE"""),"brian@bcmaarch.com")</f>
        <v>brian@bcmaarch.com</v>
      </c>
      <c r="C1133" s="9" t="str">
        <f ca="1">IFERROR(__xludf.DUMMYFUNCTION("""COMPUTED_VALUE"""),"EVERGREEN - UAN Gated Content - Embedded Petition")</f>
        <v>EVERGREEN - UAN Gated Content - Embedded Petition</v>
      </c>
      <c r="D1133" s="10">
        <f ca="1">IFERROR(__xludf.DUMMYFUNCTION("""COMPUTED_VALUE"""),45636)</f>
        <v>45636</v>
      </c>
      <c r="E1133" s="1" t="str">
        <f ca="1">IFERROR(__xludf.DUMMYFUNCTION("""COMPUTED_VALUE"""),"USA")</f>
        <v>USA</v>
      </c>
      <c r="F1133" s="1" t="str">
        <f ca="1">IFERROR(__xludf.DUMMYFUNCTION("""COMPUTED_VALUE"""),"4.25 USA")</f>
        <v>4.25 USA</v>
      </c>
      <c r="G1133" s="1" t="str">
        <f ca="1">IFERROR(__xludf.DUMMYFUNCTION("""COMPUTED_VALUE"""),"Individuals At Risk, Refugee and Migrant Rights")</f>
        <v>Individuals At Risk, Refugee and Migrant Rights</v>
      </c>
      <c r="H1133" s="1" t="str">
        <f ca="1">IFERROR(__xludf.DUMMYFUNCTION("""COMPUTED_VALUE"""),"2025")</f>
        <v>2025</v>
      </c>
      <c r="I1133" s="1" t="str">
        <f ca="1">IFERROR(__xludf.DUMMYFUNCTION("""COMPUTED_VALUE"""),"Letter")</f>
        <v>Letter</v>
      </c>
    </row>
    <row r="1134" spans="1:9" ht="13" x14ac:dyDescent="0.15">
      <c r="A1134" s="9">
        <f ca="1">IFERROR(__xludf.DUMMYFUNCTION("""COMPUTED_VALUE"""),72196890)</f>
        <v>72196890</v>
      </c>
      <c r="B1134" s="1" t="str">
        <f ca="1">IFERROR(__xludf.DUMMYFUNCTION("""COMPUTED_VALUE"""),"brian@bcmaarch.com")</f>
        <v>brian@bcmaarch.com</v>
      </c>
      <c r="C1134" s="9" t="str">
        <f ca="1">IFERROR(__xludf.DUMMYFUNCTION("""COMPUTED_VALUE"""),"EVERGREEN - UAN Gated Content - Embedded Petition")</f>
        <v>EVERGREEN - UAN Gated Content - Embedded Petition</v>
      </c>
      <c r="D1134" s="10">
        <f ca="1">IFERROR(__xludf.DUMMYFUNCTION("""COMPUTED_VALUE"""),45636)</f>
        <v>45636</v>
      </c>
      <c r="E1134" s="1" t="str">
        <f ca="1">IFERROR(__xludf.DUMMYFUNCTION("""COMPUTED_VALUE"""),"Tunisia")</f>
        <v>Tunisia</v>
      </c>
      <c r="F1134" s="1" t="str">
        <f ca="1">IFERROR(__xludf.DUMMYFUNCTION("""COMPUTED_VALUE"""),"Second 76.24 Tunisia")</f>
        <v>Second 76.24 Tunisia</v>
      </c>
      <c r="G1134" s="1" t="str">
        <f ca="1">IFERROR(__xludf.DUMMYFUNCTION("""COMPUTED_VALUE"""),"Freedom of Expression, Human Rights Defenders")</f>
        <v>Freedom of Expression, Human Rights Defenders</v>
      </c>
      <c r="H1134" s="1" t="str">
        <f ca="1">IFERROR(__xludf.DUMMYFUNCTION("""COMPUTED_VALUE"""),"2025")</f>
        <v>2025</v>
      </c>
      <c r="I1134" s="1" t="str">
        <f ca="1">IFERROR(__xludf.DUMMYFUNCTION("""COMPUTED_VALUE"""),"Email")</f>
        <v>Email</v>
      </c>
    </row>
    <row r="1135" spans="1:9" ht="13" x14ac:dyDescent="0.15">
      <c r="A1135" s="9">
        <f ca="1">IFERROR(__xludf.DUMMYFUNCTION("""COMPUTED_VALUE"""),72196890)</f>
        <v>72196890</v>
      </c>
      <c r="B1135" s="1" t="str">
        <f ca="1">IFERROR(__xludf.DUMMYFUNCTION("""COMPUTED_VALUE"""),"brian@bcmaarch.com")</f>
        <v>brian@bcmaarch.com</v>
      </c>
      <c r="C1135" s="9" t="str">
        <f ca="1">IFERROR(__xludf.DUMMYFUNCTION("""COMPUTED_VALUE"""),"EVERGREEN - UAN Gated Content - Embedded Petition")</f>
        <v>EVERGREEN - UAN Gated Content - Embedded Petition</v>
      </c>
      <c r="D1135" s="10">
        <f ca="1">IFERROR(__xludf.DUMMYFUNCTION("""COMPUTED_VALUE"""),45636)</f>
        <v>45636</v>
      </c>
      <c r="E1135" s="1" t="str">
        <f ca="1">IFERROR(__xludf.DUMMYFUNCTION("""COMPUTED_VALUE"""),"Uganda")</f>
        <v>Uganda</v>
      </c>
      <c r="F1135" s="1" t="str">
        <f ca="1">IFERROR(__xludf.DUMMYFUNCTION("""COMPUTED_VALUE"""),"9.25 Uganda")</f>
        <v>9.25 Uganda</v>
      </c>
      <c r="G1135" s="1" t="str">
        <f ca="1">IFERROR(__xludf.DUMMYFUNCTION("""COMPUTED_VALUE"""),"Freedom of Expression, Human Rights Defenders")</f>
        <v>Freedom of Expression, Human Rights Defenders</v>
      </c>
      <c r="H1135" s="1" t="str">
        <f ca="1">IFERROR(__xludf.DUMMYFUNCTION("""COMPUTED_VALUE"""),"2025")</f>
        <v>2025</v>
      </c>
      <c r="I1135" s="1" t="str">
        <f ca="1">IFERROR(__xludf.DUMMYFUNCTION("""COMPUTED_VALUE"""),"Email")</f>
        <v>Email</v>
      </c>
    </row>
    <row r="1136" spans="1:9" ht="13" x14ac:dyDescent="0.15">
      <c r="A1136" s="9">
        <f ca="1">IFERROR(__xludf.DUMMYFUNCTION("""COMPUTED_VALUE"""),72196890)</f>
        <v>72196890</v>
      </c>
      <c r="B1136" s="1" t="str">
        <f ca="1">IFERROR(__xludf.DUMMYFUNCTION("""COMPUTED_VALUE"""),"brian@bcmaarch.com")</f>
        <v>brian@bcmaarch.com</v>
      </c>
      <c r="C1136" s="9" t="str">
        <f ca="1">IFERROR(__xludf.DUMMYFUNCTION("""COMPUTED_VALUE"""),"EVERGREEN - UAN Gated Content - Embedded Petition")</f>
        <v>EVERGREEN - UAN Gated Content - Embedded Petition</v>
      </c>
      <c r="D1136" s="10">
        <f ca="1">IFERROR(__xludf.DUMMYFUNCTION("""COMPUTED_VALUE"""),45636)</f>
        <v>45636</v>
      </c>
      <c r="E1136" s="1" t="str">
        <f ca="1">IFERROR(__xludf.DUMMYFUNCTION("""COMPUTED_VALUE"""),"Uganda")</f>
        <v>Uganda</v>
      </c>
      <c r="F1136" s="1" t="str">
        <f ca="1">IFERROR(__xludf.DUMMYFUNCTION("""COMPUTED_VALUE"""),"9.25 Uganda")</f>
        <v>9.25 Uganda</v>
      </c>
      <c r="G1136" s="1" t="str">
        <f ca="1">IFERROR(__xludf.DUMMYFUNCTION("""COMPUTED_VALUE"""),"Freedom of Expression, Human Rights Defenders")</f>
        <v>Freedom of Expression, Human Rights Defenders</v>
      </c>
      <c r="H1136" s="1" t="str">
        <f ca="1">IFERROR(__xludf.DUMMYFUNCTION("""COMPUTED_VALUE"""),"2025")</f>
        <v>2025</v>
      </c>
      <c r="I1136" s="1" t="str">
        <f ca="1">IFERROR(__xludf.DUMMYFUNCTION("""COMPUTED_VALUE"""),"Email")</f>
        <v>Email</v>
      </c>
    </row>
    <row r="1137" spans="1:9" ht="13" x14ac:dyDescent="0.15">
      <c r="A1137" s="9">
        <f ca="1">IFERROR(__xludf.DUMMYFUNCTION("""COMPUTED_VALUE"""),72196890)</f>
        <v>72196890</v>
      </c>
      <c r="B1137" s="1" t="str">
        <f ca="1">IFERROR(__xludf.DUMMYFUNCTION("""COMPUTED_VALUE"""),"brian@bcmaarch.com")</f>
        <v>brian@bcmaarch.com</v>
      </c>
      <c r="C1137" s="9" t="str">
        <f ca="1">IFERROR(__xludf.DUMMYFUNCTION("""COMPUTED_VALUE"""),"EVERGREEN - UAN Gated Content - Embedded Petition")</f>
        <v>EVERGREEN - UAN Gated Content - Embedded Petition</v>
      </c>
      <c r="D1137" s="10">
        <f ca="1">IFERROR(__xludf.DUMMYFUNCTION("""COMPUTED_VALUE"""),45636)</f>
        <v>45636</v>
      </c>
      <c r="E1137" s="1" t="str">
        <f ca="1">IFERROR(__xludf.DUMMYFUNCTION("""COMPUTED_VALUE"""),"Uganda")</f>
        <v>Uganda</v>
      </c>
      <c r="F1137" s="1" t="str">
        <f ca="1">IFERROR(__xludf.DUMMYFUNCTION("""COMPUTED_VALUE"""),"9.25 Uganda")</f>
        <v>9.25 Uganda</v>
      </c>
      <c r="G1137" s="1" t="str">
        <f ca="1">IFERROR(__xludf.DUMMYFUNCTION("""COMPUTED_VALUE"""),"Freedom of Expression, Human Rights Defenders")</f>
        <v>Freedom of Expression, Human Rights Defenders</v>
      </c>
      <c r="H1137" s="1" t="str">
        <f ca="1">IFERROR(__xludf.DUMMYFUNCTION("""COMPUTED_VALUE"""),"2025")</f>
        <v>2025</v>
      </c>
      <c r="I1137" s="1" t="str">
        <f ca="1">IFERROR(__xludf.DUMMYFUNCTION("""COMPUTED_VALUE"""),"Email")</f>
        <v>Email</v>
      </c>
    </row>
    <row r="1138" spans="1:9" ht="13" x14ac:dyDescent="0.15">
      <c r="A1138" s="9">
        <f ca="1">IFERROR(__xludf.DUMMYFUNCTION("""COMPUTED_VALUE"""),72196890)</f>
        <v>72196890</v>
      </c>
      <c r="B1138" s="1" t="str">
        <f ca="1">IFERROR(__xludf.DUMMYFUNCTION("""COMPUTED_VALUE"""),"brian@bcmaarch.com")</f>
        <v>brian@bcmaarch.com</v>
      </c>
      <c r="C1138" s="9" t="str">
        <f ca="1">IFERROR(__xludf.DUMMYFUNCTION("""COMPUTED_VALUE"""),"EVERGREEN - UAN Gated Content - Embedded Petition")</f>
        <v>EVERGREEN - UAN Gated Content - Embedded Petition</v>
      </c>
      <c r="D1138" s="10">
        <f ca="1">IFERROR(__xludf.DUMMYFUNCTION("""COMPUTED_VALUE"""),45636)</f>
        <v>45636</v>
      </c>
      <c r="E1138" s="1" t="str">
        <f ca="1">IFERROR(__xludf.DUMMYFUNCTION("""COMPUTED_VALUE"""),"Uganda")</f>
        <v>Uganda</v>
      </c>
      <c r="F1138" s="1" t="str">
        <f ca="1">IFERROR(__xludf.DUMMYFUNCTION("""COMPUTED_VALUE"""),"9.25 Uganda")</f>
        <v>9.25 Uganda</v>
      </c>
      <c r="G1138" s="1" t="str">
        <f ca="1">IFERROR(__xludf.DUMMYFUNCTION("""COMPUTED_VALUE"""),"Freedom of Expression, Human Rights Defenders")</f>
        <v>Freedom of Expression, Human Rights Defenders</v>
      </c>
      <c r="H1138" s="1" t="str">
        <f ca="1">IFERROR(__xludf.DUMMYFUNCTION("""COMPUTED_VALUE"""),"2025")</f>
        <v>2025</v>
      </c>
      <c r="I1138" s="1" t="str">
        <f ca="1">IFERROR(__xludf.DUMMYFUNCTION("""COMPUTED_VALUE"""),"Email")</f>
        <v>Email</v>
      </c>
    </row>
    <row r="1139" spans="1:9" ht="13" x14ac:dyDescent="0.15">
      <c r="A1139" s="9">
        <f ca="1">IFERROR(__xludf.DUMMYFUNCTION("""COMPUTED_VALUE"""),74276733)</f>
        <v>74276733</v>
      </c>
      <c r="B1139" s="1" t="str">
        <f ca="1">IFERROR(__xludf.DUMMYFUNCTION("""COMPUTED_VALUE"""),"lannyclawler@gmail.com")</f>
        <v>lannyclawler@gmail.com</v>
      </c>
      <c r="C1139" s="9" t="str">
        <f ca="1">IFERROR(__xludf.DUMMYFUNCTION("""COMPUTED_VALUE"""),"EVERGREEN - UAN Gated Content - Embedded Petition")</f>
        <v>EVERGREEN - UAN Gated Content - Embedded Petition</v>
      </c>
      <c r="D1139" s="10">
        <f ca="1">IFERROR(__xludf.DUMMYFUNCTION("""COMPUTED_VALUE"""),45694)</f>
        <v>45694</v>
      </c>
      <c r="E1139" s="1" t="str">
        <f ca="1">IFERROR(__xludf.DUMMYFUNCTION("""COMPUTED_VALUE"""),"Egypt")</f>
        <v>Egypt</v>
      </c>
      <c r="F1139" s="1" t="str">
        <f ca="1">IFERROR(__xludf.DUMMYFUNCTION("""COMPUTED_VALUE"""),"Ninth 190.18 Egypt")</f>
        <v>Ninth 190.18 Egypt</v>
      </c>
      <c r="G1139" s="1" t="str">
        <f ca="1">IFERROR(__xludf.DUMMYFUNCTION("""COMPUTED_VALUE"""),"Freedom of Expression, Individuals At Risk")</f>
        <v>Freedom of Expression, Individuals At Risk</v>
      </c>
      <c r="H1139" s="1" t="str">
        <f ca="1">IFERROR(__xludf.DUMMYFUNCTION("""COMPUTED_VALUE"""),"2024")</f>
        <v>2024</v>
      </c>
      <c r="I1139" s="1" t="str">
        <f ca="1">IFERROR(__xludf.DUMMYFUNCTION("""COMPUTED_VALUE"""),"Letter")</f>
        <v>Letter</v>
      </c>
    </row>
    <row r="1140" spans="1:9" ht="13" x14ac:dyDescent="0.15">
      <c r="A1140" s="9">
        <f ca="1">IFERROR(__xludf.DUMMYFUNCTION("""COMPUTED_VALUE"""),74276733)</f>
        <v>74276733</v>
      </c>
      <c r="B1140" s="1" t="str">
        <f ca="1">IFERROR(__xludf.DUMMYFUNCTION("""COMPUTED_VALUE"""),"lannyclawler@gmail.com")</f>
        <v>lannyclawler@gmail.com</v>
      </c>
      <c r="C1140" s="9" t="str">
        <f ca="1">IFERROR(__xludf.DUMMYFUNCTION("""COMPUTED_VALUE"""),"EVERGREEN - UAN Gated Content - Embedded Petition")</f>
        <v>EVERGREEN - UAN Gated Content - Embedded Petition</v>
      </c>
      <c r="D1140" s="10">
        <f ca="1">IFERROR(__xludf.DUMMYFUNCTION("""COMPUTED_VALUE"""),45694)</f>
        <v>45694</v>
      </c>
      <c r="E1140" s="1" t="str">
        <f ca="1">IFERROR(__xludf.DUMMYFUNCTION("""COMPUTED_VALUE"""),"Egypt")</f>
        <v>Egypt</v>
      </c>
      <c r="F1140" s="1" t="str">
        <f ca="1">IFERROR(__xludf.DUMMYFUNCTION("""COMPUTED_VALUE"""),"Second 80.23 Egypt")</f>
        <v>Second 80.23 Egypt</v>
      </c>
      <c r="G1140" s="1" t="str">
        <f ca="1">IFERROR(__xludf.DUMMYFUNCTION("""COMPUTED_VALUE"""),"Health, Individuals At Risk")</f>
        <v>Health, Individuals At Risk</v>
      </c>
      <c r="H1140" s="1" t="str">
        <f ca="1">IFERROR(__xludf.DUMMYFUNCTION("""COMPUTED_VALUE"""),"2025")</f>
        <v>2025</v>
      </c>
      <c r="I1140" s="1" t="str">
        <f ca="1">IFERROR(__xludf.DUMMYFUNCTION("""COMPUTED_VALUE"""),"Email")</f>
        <v>Email</v>
      </c>
    </row>
    <row r="1141" spans="1:9" ht="13" x14ac:dyDescent="0.15">
      <c r="A1141" s="9">
        <f ca="1">IFERROR(__xludf.DUMMYFUNCTION("""COMPUTED_VALUE"""),75585287)</f>
        <v>75585287</v>
      </c>
      <c r="B1141" s="1" t="str">
        <f ca="1">IFERROR(__xludf.DUMMYFUNCTION("""COMPUTED_VALUE"""),"keetcat@cjpsd.com")</f>
        <v>keetcat@cjpsd.com</v>
      </c>
      <c r="C1141" s="9" t="str">
        <f ca="1">IFERROR(__xludf.DUMMYFUNCTION("""COMPUTED_VALUE"""),"EVERGREEN - UAN Gated Content - Embedded Petition")</f>
        <v>EVERGREEN - UAN Gated Content - Embedded Petition</v>
      </c>
      <c r="D1141" s="10">
        <f ca="1">IFERROR(__xludf.DUMMYFUNCTION("""COMPUTED_VALUE"""),45667)</f>
        <v>45667</v>
      </c>
      <c r="E1141" s="1" t="str">
        <f ca="1">IFERROR(__xludf.DUMMYFUNCTION("""COMPUTED_VALUE"""),"Afghanistan")</f>
        <v>Afghanistan</v>
      </c>
      <c r="F1141" s="1" t="str">
        <f ca="1">IFERROR(__xludf.DUMMYFUNCTION("""COMPUTED_VALUE"""),"11.25 Afghanistan")</f>
        <v>11.25 Afghanistan</v>
      </c>
      <c r="G1141" s="1" t="str">
        <f ca="1">IFERROR(__xludf.DUMMYFUNCTION("""COMPUTED_VALUE"""),"Freedom of Expression, Health, Individuals At Risk")</f>
        <v>Freedom of Expression, Health, Individuals At Risk</v>
      </c>
      <c r="H1141" s="1" t="str">
        <f ca="1">IFERROR(__xludf.DUMMYFUNCTION("""COMPUTED_VALUE"""),"2025")</f>
        <v>2025</v>
      </c>
      <c r="I1141" s="1" t="str">
        <f ca="1">IFERROR(__xludf.DUMMYFUNCTION("""COMPUTED_VALUE"""),"Email")</f>
        <v>Email</v>
      </c>
    </row>
    <row r="1142" spans="1:9" ht="13" x14ac:dyDescent="0.15">
      <c r="A1142" s="9">
        <f ca="1">IFERROR(__xludf.DUMMYFUNCTION("""COMPUTED_VALUE"""),75585287)</f>
        <v>75585287</v>
      </c>
      <c r="B1142" s="1" t="str">
        <f ca="1">IFERROR(__xludf.DUMMYFUNCTION("""COMPUTED_VALUE"""),"keetcat@cjpsd.com")</f>
        <v>keetcat@cjpsd.com</v>
      </c>
      <c r="C1142" s="9" t="str">
        <f ca="1">IFERROR(__xludf.DUMMYFUNCTION("""COMPUTED_VALUE"""),"EVERGREEN - UAN Gated Content - Embedded Petition")</f>
        <v>EVERGREEN - UAN Gated Content - Embedded Petition</v>
      </c>
      <c r="D1142" s="10">
        <f ca="1">IFERROR(__xludf.DUMMYFUNCTION("""COMPUTED_VALUE"""),45690)</f>
        <v>45690</v>
      </c>
      <c r="E1142" s="1" t="str">
        <f ca="1">IFERROR(__xludf.DUMMYFUNCTION("""COMPUTED_VALUE"""),"Niger")</f>
        <v>Niger</v>
      </c>
      <c r="F1142" s="1" t="str">
        <f ca="1">IFERROR(__xludf.DUMMYFUNCTION("""COMPUTED_VALUE"""),"103.24 Niger")</f>
        <v>103.24 Niger</v>
      </c>
      <c r="G1142" s="1" t="str">
        <f ca="1">IFERROR(__xludf.DUMMYFUNCTION("""COMPUTED_VALUE"""),"Freedom of Expression, Human Rights Defenders")</f>
        <v>Freedom of Expression, Human Rights Defenders</v>
      </c>
      <c r="H1142" s="1" t="str">
        <f ca="1">IFERROR(__xludf.DUMMYFUNCTION("""COMPUTED_VALUE"""),"2024")</f>
        <v>2024</v>
      </c>
      <c r="I1142" s="1" t="str">
        <f ca="1">IFERROR(__xludf.DUMMYFUNCTION("""COMPUTED_VALUE"""),"Email")</f>
        <v>Email</v>
      </c>
    </row>
    <row r="1143" spans="1:9" ht="13" x14ac:dyDescent="0.15">
      <c r="A1143" s="9">
        <f ca="1">IFERROR(__xludf.DUMMYFUNCTION("""COMPUTED_VALUE"""),75585287)</f>
        <v>75585287</v>
      </c>
      <c r="B1143" s="1" t="str">
        <f ca="1">IFERROR(__xludf.DUMMYFUNCTION("""COMPUTED_VALUE"""),"keetcat@cjpsd.com")</f>
        <v>keetcat@cjpsd.com</v>
      </c>
      <c r="C1143" s="9" t="str">
        <f ca="1">IFERROR(__xludf.DUMMYFUNCTION("""COMPUTED_VALUE"""),"EVERGREEN - UAN Gated Content - Embedded Petition")</f>
        <v>EVERGREEN - UAN Gated Content - Embedded Petition</v>
      </c>
      <c r="D1143" s="10">
        <f ca="1">IFERROR(__xludf.DUMMYFUNCTION("""COMPUTED_VALUE"""),45690)</f>
        <v>45690</v>
      </c>
      <c r="E1143" s="1" t="str">
        <f ca="1">IFERROR(__xludf.DUMMYFUNCTION("""COMPUTED_VALUE"""),"USA")</f>
        <v>USA</v>
      </c>
      <c r="F1143" s="1" t="str">
        <f ca="1">IFERROR(__xludf.DUMMYFUNCTION("""COMPUTED_VALUE"""),"105.24 USA")</f>
        <v>105.24 USA</v>
      </c>
      <c r="G1143" s="1" t="str">
        <f ca="1">IFERROR(__xludf.DUMMYFUNCTION("""COMPUTED_VALUE"""),"Death Penalty")</f>
        <v>Death Penalty</v>
      </c>
      <c r="H1143" s="1" t="str">
        <f ca="1">IFERROR(__xludf.DUMMYFUNCTION("""COMPUTED_VALUE"""),"2024")</f>
        <v>2024</v>
      </c>
      <c r="I1143" s="1" t="str">
        <f ca="1">IFERROR(__xludf.DUMMYFUNCTION("""COMPUTED_VALUE"""),"Email")</f>
        <v>Email</v>
      </c>
    </row>
    <row r="1144" spans="1:9" ht="13" x14ac:dyDescent="0.15">
      <c r="A1144" s="9">
        <f ca="1">IFERROR(__xludf.DUMMYFUNCTION("""COMPUTED_VALUE"""),75585287)</f>
        <v>75585287</v>
      </c>
      <c r="B1144" s="1" t="str">
        <f ca="1">IFERROR(__xludf.DUMMYFUNCTION("""COMPUTED_VALUE"""),"keetcat@cjpsd.com")</f>
        <v>keetcat@cjpsd.com</v>
      </c>
      <c r="C1144" s="9" t="str">
        <f ca="1">IFERROR(__xludf.DUMMYFUNCTION("""COMPUTED_VALUE"""),"EVERGREEN - UAN Gated Content - Embedded Petition")</f>
        <v>EVERGREEN - UAN Gated Content - Embedded Petition</v>
      </c>
      <c r="D1144" s="10">
        <f ca="1">IFERROR(__xludf.DUMMYFUNCTION("""COMPUTED_VALUE"""),45667)</f>
        <v>45667</v>
      </c>
      <c r="E1144" s="1" t="str">
        <f ca="1">IFERROR(__xludf.DUMMYFUNCTION("""COMPUTED_VALUE"""),"Venezuela")</f>
        <v>Venezuela</v>
      </c>
      <c r="F1144" s="1" t="str">
        <f ca="1">IFERROR(__xludf.DUMMYFUNCTION("""COMPUTED_VALUE"""),"97.24 Venezuela")</f>
        <v>97.24 Venezuela</v>
      </c>
      <c r="G1144" s="1" t="str">
        <f ca="1">IFERROR(__xludf.DUMMYFUNCTION("""COMPUTED_VALUE"""),"Freedom of Expression")</f>
        <v>Freedom of Expression</v>
      </c>
      <c r="H1144" s="1" t="str">
        <f ca="1">IFERROR(__xludf.DUMMYFUNCTION("""COMPUTED_VALUE"""),"2024")</f>
        <v>2024</v>
      </c>
      <c r="I1144" s="1" t="str">
        <f ca="1">IFERROR(__xludf.DUMMYFUNCTION("""COMPUTED_VALUE"""),"Letter")</f>
        <v>Letter</v>
      </c>
    </row>
    <row r="1145" spans="1:9" ht="13" x14ac:dyDescent="0.15">
      <c r="A1145" s="9">
        <f ca="1">IFERROR(__xludf.DUMMYFUNCTION("""COMPUTED_VALUE"""),75650847)</f>
        <v>75650847</v>
      </c>
      <c r="B1145" s="1" t="str">
        <f ca="1">IFERROR(__xludf.DUMMYFUNCTION("""COMPUTED_VALUE"""),"marchoffman313@gmail.com")</f>
        <v>marchoffman313@gmail.com</v>
      </c>
      <c r="C1145" s="9" t="str">
        <f ca="1">IFERROR(__xludf.DUMMYFUNCTION("""COMPUTED_VALUE"""),"EVERGREEN - UAN Gated Content - Embedded Petition")</f>
        <v>EVERGREEN - UAN Gated Content - Embedded Petition</v>
      </c>
      <c r="D1145" s="10">
        <f ca="1">IFERROR(__xludf.DUMMYFUNCTION("""COMPUTED_VALUE"""),45674)</f>
        <v>45674</v>
      </c>
      <c r="E1145" s="1" t="str">
        <f ca="1">IFERROR(__xludf.DUMMYFUNCTION("""COMPUTED_VALUE"""),"Tunisia")</f>
        <v>Tunisia</v>
      </c>
      <c r="F1145" s="1" t="str">
        <f ca="1">IFERROR(__xludf.DUMMYFUNCTION("""COMPUTED_VALUE"""),"Second 76.24 Tunisia")</f>
        <v>Second 76.24 Tunisia</v>
      </c>
      <c r="G1145" s="1" t="str">
        <f ca="1">IFERROR(__xludf.DUMMYFUNCTION("""COMPUTED_VALUE"""),"Freedom of Expression, Human Rights Defenders")</f>
        <v>Freedom of Expression, Human Rights Defenders</v>
      </c>
      <c r="H1145" s="1" t="str">
        <f ca="1">IFERROR(__xludf.DUMMYFUNCTION("""COMPUTED_VALUE"""),"2025")</f>
        <v>2025</v>
      </c>
      <c r="I1145" s="1" t="str">
        <f ca="1">IFERROR(__xludf.DUMMYFUNCTION("""COMPUTED_VALUE"""),"Email")</f>
        <v>Email</v>
      </c>
    </row>
    <row r="1146" spans="1:9" ht="13" x14ac:dyDescent="0.15">
      <c r="A1146" s="9">
        <f ca="1">IFERROR(__xludf.DUMMYFUNCTION("""COMPUTED_VALUE"""),75650847)</f>
        <v>75650847</v>
      </c>
      <c r="B1146" s="1" t="str">
        <f ca="1">IFERROR(__xludf.DUMMYFUNCTION("""COMPUTED_VALUE"""),"marchoffman313@gmail.com")</f>
        <v>marchoffman313@gmail.com</v>
      </c>
      <c r="C1146" s="9" t="str">
        <f ca="1">IFERROR(__xludf.DUMMYFUNCTION("""COMPUTED_VALUE"""),"EVERGREEN - UAN Gated Content - Embedded Petition")</f>
        <v>EVERGREEN - UAN Gated Content - Embedded Petition</v>
      </c>
      <c r="D1146" s="10">
        <f ca="1">IFERROR(__xludf.DUMMYFUNCTION("""COMPUTED_VALUE"""),45674)</f>
        <v>45674</v>
      </c>
      <c r="E1146" s="1" t="str">
        <f ca="1">IFERROR(__xludf.DUMMYFUNCTION("""COMPUTED_VALUE"""),"Egypt")</f>
        <v>Egypt</v>
      </c>
      <c r="F1146" s="1" t="str">
        <f ca="1">IFERROR(__xludf.DUMMYFUNCTION("""COMPUTED_VALUE"""),"Ninth 190.18 Egypt")</f>
        <v>Ninth 190.18 Egypt</v>
      </c>
      <c r="G1146" s="1" t="str">
        <f ca="1">IFERROR(__xludf.DUMMYFUNCTION("""COMPUTED_VALUE"""),"Freedom of Expression, Individuals At Risk")</f>
        <v>Freedom of Expression, Individuals At Risk</v>
      </c>
      <c r="H1146" s="1" t="str">
        <f ca="1">IFERROR(__xludf.DUMMYFUNCTION("""COMPUTED_VALUE"""),"2024")</f>
        <v>2024</v>
      </c>
      <c r="I1146" s="1" t="str">
        <f ca="1">IFERROR(__xludf.DUMMYFUNCTION("""COMPUTED_VALUE"""),"Letter")</f>
        <v>Letter</v>
      </c>
    </row>
    <row r="1147" spans="1:9" ht="13" x14ac:dyDescent="0.15">
      <c r="A1147" s="9">
        <f ca="1">IFERROR(__xludf.DUMMYFUNCTION("""COMPUTED_VALUE"""),75650847)</f>
        <v>75650847</v>
      </c>
      <c r="B1147" s="1" t="str">
        <f ca="1">IFERROR(__xludf.DUMMYFUNCTION("""COMPUTED_VALUE"""),"marchoffman313@gmail.com")</f>
        <v>marchoffman313@gmail.com</v>
      </c>
      <c r="C1147" s="9" t="str">
        <f ca="1">IFERROR(__xludf.DUMMYFUNCTION("""COMPUTED_VALUE"""),"EVERGREEN - UAN Gated Content - Embedded Petition")</f>
        <v>EVERGREEN - UAN Gated Content - Embedded Petition</v>
      </c>
      <c r="D1147" s="10">
        <f ca="1">IFERROR(__xludf.DUMMYFUNCTION("""COMPUTED_VALUE"""),45674)</f>
        <v>45674</v>
      </c>
      <c r="E1147" s="1" t="str">
        <f ca="1">IFERROR(__xludf.DUMMYFUNCTION("""COMPUTED_VALUE"""),"Tunisia")</f>
        <v>Tunisia</v>
      </c>
      <c r="F1147" s="1" t="str">
        <f ca="1">IFERROR(__xludf.DUMMYFUNCTION("""COMPUTED_VALUE"""),"Second 76.24 Tunisia")</f>
        <v>Second 76.24 Tunisia</v>
      </c>
      <c r="G1147" s="1" t="str">
        <f ca="1">IFERROR(__xludf.DUMMYFUNCTION("""COMPUTED_VALUE"""),"Freedom of Expression, Human Rights Defenders")</f>
        <v>Freedom of Expression, Human Rights Defenders</v>
      </c>
      <c r="H1147" s="1" t="str">
        <f ca="1">IFERROR(__xludf.DUMMYFUNCTION("""COMPUTED_VALUE"""),"2025")</f>
        <v>2025</v>
      </c>
      <c r="I1147" s="1" t="str">
        <f ca="1">IFERROR(__xludf.DUMMYFUNCTION("""COMPUTED_VALUE"""),"Email")</f>
        <v>Email</v>
      </c>
    </row>
    <row r="1148" spans="1:9" ht="13" x14ac:dyDescent="0.15">
      <c r="A1148" s="9">
        <f ca="1">IFERROR(__xludf.DUMMYFUNCTION("""COMPUTED_VALUE"""),75650847)</f>
        <v>75650847</v>
      </c>
      <c r="B1148" s="1" t="str">
        <f ca="1">IFERROR(__xludf.DUMMYFUNCTION("""COMPUTED_VALUE"""),"marchoffman313@gmail.com")</f>
        <v>marchoffman313@gmail.com</v>
      </c>
      <c r="C1148" s="9" t="str">
        <f ca="1">IFERROR(__xludf.DUMMYFUNCTION("""COMPUTED_VALUE"""),"EVERGREEN - UAN Gated Content - Embedded Petition")</f>
        <v>EVERGREEN - UAN Gated Content - Embedded Petition</v>
      </c>
      <c r="D1148" s="10">
        <f ca="1">IFERROR(__xludf.DUMMYFUNCTION("""COMPUTED_VALUE"""),45674)</f>
        <v>45674</v>
      </c>
      <c r="E1148" s="1" t="str">
        <f ca="1">IFERROR(__xludf.DUMMYFUNCTION("""COMPUTED_VALUE"""),"Tunisia")</f>
        <v>Tunisia</v>
      </c>
      <c r="F1148" s="1" t="str">
        <f ca="1">IFERROR(__xludf.DUMMYFUNCTION("""COMPUTED_VALUE"""),"Second 76.24 Tunisia")</f>
        <v>Second 76.24 Tunisia</v>
      </c>
      <c r="G1148" s="1" t="str">
        <f ca="1">IFERROR(__xludf.DUMMYFUNCTION("""COMPUTED_VALUE"""),"Freedom of Expression, Human Rights Defenders")</f>
        <v>Freedom of Expression, Human Rights Defenders</v>
      </c>
      <c r="H1148" s="1" t="str">
        <f ca="1">IFERROR(__xludf.DUMMYFUNCTION("""COMPUTED_VALUE"""),"2025")</f>
        <v>2025</v>
      </c>
      <c r="I1148" s="1" t="str">
        <f ca="1">IFERROR(__xludf.DUMMYFUNCTION("""COMPUTED_VALUE"""),"Email")</f>
        <v>Email</v>
      </c>
    </row>
    <row r="1149" spans="1:9" ht="13" x14ac:dyDescent="0.15">
      <c r="A1149" s="9">
        <f ca="1">IFERROR(__xludf.DUMMYFUNCTION("""COMPUTED_VALUE"""),75650847)</f>
        <v>75650847</v>
      </c>
      <c r="B1149" s="1" t="str">
        <f ca="1">IFERROR(__xludf.DUMMYFUNCTION("""COMPUTED_VALUE"""),"marchoffman313@gmail.com")</f>
        <v>marchoffman313@gmail.com</v>
      </c>
      <c r="C1149" s="9" t="str">
        <f ca="1">IFERROR(__xludf.DUMMYFUNCTION("""COMPUTED_VALUE"""),"EVERGREEN - UAN Gated Content - Embedded Petition")</f>
        <v>EVERGREEN - UAN Gated Content - Embedded Petition</v>
      </c>
      <c r="D1149" s="10">
        <f ca="1">IFERROR(__xludf.DUMMYFUNCTION("""COMPUTED_VALUE"""),45674)</f>
        <v>45674</v>
      </c>
      <c r="E1149" s="1" t="str">
        <f ca="1">IFERROR(__xludf.DUMMYFUNCTION("""COMPUTED_VALUE"""),"Tunisia")</f>
        <v>Tunisia</v>
      </c>
      <c r="F1149" s="1" t="str">
        <f ca="1">IFERROR(__xludf.DUMMYFUNCTION("""COMPUTED_VALUE"""),"Second 76.24 Tunisia")</f>
        <v>Second 76.24 Tunisia</v>
      </c>
      <c r="G1149" s="1" t="str">
        <f ca="1">IFERROR(__xludf.DUMMYFUNCTION("""COMPUTED_VALUE"""),"Freedom of Expression, Human Rights Defenders")</f>
        <v>Freedom of Expression, Human Rights Defenders</v>
      </c>
      <c r="H1149" s="1" t="str">
        <f ca="1">IFERROR(__xludf.DUMMYFUNCTION("""COMPUTED_VALUE"""),"2025")</f>
        <v>2025</v>
      </c>
      <c r="I1149" s="1" t="str">
        <f ca="1">IFERROR(__xludf.DUMMYFUNCTION("""COMPUTED_VALUE"""),"Email")</f>
        <v>Email</v>
      </c>
    </row>
    <row r="1150" spans="1:9" ht="13" x14ac:dyDescent="0.15">
      <c r="A1150" s="9">
        <f ca="1">IFERROR(__xludf.DUMMYFUNCTION("""COMPUTED_VALUE"""),75650847)</f>
        <v>75650847</v>
      </c>
      <c r="B1150" s="1" t="str">
        <f ca="1">IFERROR(__xludf.DUMMYFUNCTION("""COMPUTED_VALUE"""),"marchoffman313@gmail.com")</f>
        <v>marchoffman313@gmail.com</v>
      </c>
      <c r="C1150" s="9" t="str">
        <f ca="1">IFERROR(__xludf.DUMMYFUNCTION("""COMPUTED_VALUE"""),"EVERGREEN - UAN Gated Content - Embedded Petition")</f>
        <v>EVERGREEN - UAN Gated Content - Embedded Petition</v>
      </c>
      <c r="D1150" s="10">
        <f ca="1">IFERROR(__xludf.DUMMYFUNCTION("""COMPUTED_VALUE"""),45674)</f>
        <v>45674</v>
      </c>
      <c r="E1150" s="1" t="str">
        <f ca="1">IFERROR(__xludf.DUMMYFUNCTION("""COMPUTED_VALUE"""),"Tunisia")</f>
        <v>Tunisia</v>
      </c>
      <c r="F1150" s="1" t="str">
        <f ca="1">IFERROR(__xludf.DUMMYFUNCTION("""COMPUTED_VALUE"""),"Second 76.24 Tunisia")</f>
        <v>Second 76.24 Tunisia</v>
      </c>
      <c r="G1150" s="1" t="str">
        <f ca="1">IFERROR(__xludf.DUMMYFUNCTION("""COMPUTED_VALUE"""),"Freedom of Expression, Human Rights Defenders")</f>
        <v>Freedom of Expression, Human Rights Defenders</v>
      </c>
      <c r="H1150" s="1" t="str">
        <f ca="1">IFERROR(__xludf.DUMMYFUNCTION("""COMPUTED_VALUE"""),"2025")</f>
        <v>2025</v>
      </c>
      <c r="I1150" s="1" t="str">
        <f ca="1">IFERROR(__xludf.DUMMYFUNCTION("""COMPUTED_VALUE"""),"Email")</f>
        <v>Email</v>
      </c>
    </row>
    <row r="1151" spans="1:9" ht="13" x14ac:dyDescent="0.15">
      <c r="A1151" s="9">
        <f ca="1">IFERROR(__xludf.DUMMYFUNCTION("""COMPUTED_VALUE"""),75650847)</f>
        <v>75650847</v>
      </c>
      <c r="B1151" s="1" t="str">
        <f ca="1">IFERROR(__xludf.DUMMYFUNCTION("""COMPUTED_VALUE"""),"marchoffman313@gmail.com")</f>
        <v>marchoffman313@gmail.com</v>
      </c>
      <c r="C1151" s="9" t="str">
        <f ca="1">IFERROR(__xludf.DUMMYFUNCTION("""COMPUTED_VALUE"""),"EVERGREEN - UAN Gated Content - Embedded Petition")</f>
        <v>EVERGREEN - UAN Gated Content - Embedded Petition</v>
      </c>
      <c r="D1151" s="10">
        <f ca="1">IFERROR(__xludf.DUMMYFUNCTION("""COMPUTED_VALUE"""),45616)</f>
        <v>45616</v>
      </c>
      <c r="E1151" s="1" t="str">
        <f ca="1">IFERROR(__xludf.DUMMYFUNCTION("""COMPUTED_VALUE"""),"Tunisia")</f>
        <v>Tunisia</v>
      </c>
      <c r="F1151" s="1" t="str">
        <f ca="1">IFERROR(__xludf.DUMMYFUNCTION("""COMPUTED_VALUE"""),"Second 76.24 Tunisia")</f>
        <v>Second 76.24 Tunisia</v>
      </c>
      <c r="G1151" s="1" t="str">
        <f ca="1">IFERROR(__xludf.DUMMYFUNCTION("""COMPUTED_VALUE"""),"Freedom of Expression, Human Rights Defenders")</f>
        <v>Freedom of Expression, Human Rights Defenders</v>
      </c>
      <c r="H1151" s="1" t="str">
        <f ca="1">IFERROR(__xludf.DUMMYFUNCTION("""COMPUTED_VALUE"""),"2025")</f>
        <v>2025</v>
      </c>
      <c r="I1151" s="1" t="str">
        <f ca="1">IFERROR(__xludf.DUMMYFUNCTION("""COMPUTED_VALUE"""),"Email")</f>
        <v>Email</v>
      </c>
    </row>
    <row r="1152" spans="1:9" ht="13" x14ac:dyDescent="0.15">
      <c r="A1152" s="9">
        <f ca="1">IFERROR(__xludf.DUMMYFUNCTION("""COMPUTED_VALUE"""),75650847)</f>
        <v>75650847</v>
      </c>
      <c r="B1152" s="1" t="str">
        <f ca="1">IFERROR(__xludf.DUMMYFUNCTION("""COMPUTED_VALUE"""),"marchoffman313@gmail.com")</f>
        <v>marchoffman313@gmail.com</v>
      </c>
      <c r="C1152" s="9" t="str">
        <f ca="1">IFERROR(__xludf.DUMMYFUNCTION("""COMPUTED_VALUE"""),"EVERGREEN - UAN Gated Content - Embedded Petition")</f>
        <v>EVERGREEN - UAN Gated Content - Embedded Petition</v>
      </c>
      <c r="D1152" s="10">
        <f ca="1">IFERROR(__xludf.DUMMYFUNCTION("""COMPUTED_VALUE"""),45674)</f>
        <v>45674</v>
      </c>
      <c r="E1152" s="1" t="str">
        <f ca="1">IFERROR(__xludf.DUMMYFUNCTION("""COMPUTED_VALUE"""),"Tunisia")</f>
        <v>Tunisia</v>
      </c>
      <c r="F1152" s="1" t="str">
        <f ca="1">IFERROR(__xludf.DUMMYFUNCTION("""COMPUTED_VALUE"""),"Second 76.24 Tunisia")</f>
        <v>Second 76.24 Tunisia</v>
      </c>
      <c r="G1152" s="1" t="str">
        <f ca="1">IFERROR(__xludf.DUMMYFUNCTION("""COMPUTED_VALUE"""),"Freedom of Expression, Human Rights Defenders")</f>
        <v>Freedom of Expression, Human Rights Defenders</v>
      </c>
      <c r="H1152" s="1" t="str">
        <f ca="1">IFERROR(__xludf.DUMMYFUNCTION("""COMPUTED_VALUE"""),"2025")</f>
        <v>2025</v>
      </c>
      <c r="I1152" s="1" t="str">
        <f ca="1">IFERROR(__xludf.DUMMYFUNCTION("""COMPUTED_VALUE"""),"Email")</f>
        <v>Email</v>
      </c>
    </row>
    <row r="1153" spans="1:9" ht="13" x14ac:dyDescent="0.15">
      <c r="A1153" s="9">
        <f ca="1">IFERROR(__xludf.DUMMYFUNCTION("""COMPUTED_VALUE"""),75650847)</f>
        <v>75650847</v>
      </c>
      <c r="B1153" s="1" t="str">
        <f ca="1">IFERROR(__xludf.DUMMYFUNCTION("""COMPUTED_VALUE"""),"marchoffman313@gmail.com")</f>
        <v>marchoffman313@gmail.com</v>
      </c>
      <c r="C1153" s="9" t="str">
        <f ca="1">IFERROR(__xludf.DUMMYFUNCTION("""COMPUTED_VALUE"""),"EVERGREEN - UAN Gated Content - Embedded Petition")</f>
        <v>EVERGREEN - UAN Gated Content - Embedded Petition</v>
      </c>
      <c r="D1153" s="10">
        <f ca="1">IFERROR(__xludf.DUMMYFUNCTION("""COMPUTED_VALUE"""),45674)</f>
        <v>45674</v>
      </c>
      <c r="E1153" s="1" t="str">
        <f ca="1">IFERROR(__xludf.DUMMYFUNCTION("""COMPUTED_VALUE"""),"Iran")</f>
        <v>Iran</v>
      </c>
      <c r="F1153" s="1" t="str">
        <f ca="1">IFERROR(__xludf.DUMMYFUNCTION("""COMPUTED_VALUE"""),"Seventh 103.22 Iran")</f>
        <v>Seventh 103.22 Iran</v>
      </c>
      <c r="G1153" s="1" t="str">
        <f ca="1">IFERROR(__xludf.DUMMYFUNCTION("""COMPUTED_VALUE"""),"Death Penalty, Freedom of Expression, Individuals At Risk")</f>
        <v>Death Penalty, Freedom of Expression, Individuals At Risk</v>
      </c>
      <c r="H1153" s="1" t="str">
        <f ca="1">IFERROR(__xludf.DUMMYFUNCTION("""COMPUTED_VALUE"""),"2024")</f>
        <v>2024</v>
      </c>
      <c r="I1153" s="1" t="str">
        <f ca="1">IFERROR(__xludf.DUMMYFUNCTION("""COMPUTED_VALUE"""),"Email")</f>
        <v>Email</v>
      </c>
    </row>
    <row r="1154" spans="1:9" ht="13" x14ac:dyDescent="0.15">
      <c r="A1154" s="9">
        <f ca="1">IFERROR(__xludf.DUMMYFUNCTION("""COMPUTED_VALUE"""),75650847)</f>
        <v>75650847</v>
      </c>
      <c r="B1154" s="1" t="str">
        <f ca="1">IFERROR(__xludf.DUMMYFUNCTION("""COMPUTED_VALUE"""),"marchoffman313@gmail.com")</f>
        <v>marchoffman313@gmail.com</v>
      </c>
      <c r="C1154" s="9" t="str">
        <f ca="1">IFERROR(__xludf.DUMMYFUNCTION("""COMPUTED_VALUE"""),"EVERGREEN - UAN Gated Content - Embedded Petition")</f>
        <v>EVERGREEN - UAN Gated Content - Embedded Petition</v>
      </c>
      <c r="D1154" s="10">
        <f ca="1">IFERROR(__xludf.DUMMYFUNCTION("""COMPUTED_VALUE"""),45674)</f>
        <v>45674</v>
      </c>
      <c r="E1154" s="1" t="str">
        <f ca="1">IFERROR(__xludf.DUMMYFUNCTION("""COMPUTED_VALUE"""),"Tunisia")</f>
        <v>Tunisia</v>
      </c>
      <c r="F1154" s="1" t="str">
        <f ca="1">IFERROR(__xludf.DUMMYFUNCTION("""COMPUTED_VALUE"""),"Second 76.24 Tunisia")</f>
        <v>Second 76.24 Tunisia</v>
      </c>
      <c r="G1154" s="1" t="str">
        <f ca="1">IFERROR(__xludf.DUMMYFUNCTION("""COMPUTED_VALUE"""),"Freedom of Expression, Human Rights Defenders")</f>
        <v>Freedom of Expression, Human Rights Defenders</v>
      </c>
      <c r="H1154" s="1" t="str">
        <f ca="1">IFERROR(__xludf.DUMMYFUNCTION("""COMPUTED_VALUE"""),"2025")</f>
        <v>2025</v>
      </c>
      <c r="I1154" s="1" t="str">
        <f ca="1">IFERROR(__xludf.DUMMYFUNCTION("""COMPUTED_VALUE"""),"Email")</f>
        <v>Email</v>
      </c>
    </row>
    <row r="1155" spans="1:9" ht="13" x14ac:dyDescent="0.15">
      <c r="A1155" s="9">
        <f ca="1">IFERROR(__xludf.DUMMYFUNCTION("""COMPUTED_VALUE"""),75650847)</f>
        <v>75650847</v>
      </c>
      <c r="B1155" s="1" t="str">
        <f ca="1">IFERROR(__xludf.DUMMYFUNCTION("""COMPUTED_VALUE"""),"marchoffman313@gmail.com")</f>
        <v>marchoffman313@gmail.com</v>
      </c>
      <c r="C1155" s="9" t="str">
        <f ca="1">IFERROR(__xludf.DUMMYFUNCTION("""COMPUTED_VALUE"""),"EVERGREEN - UAN Gated Content - Embedded Petition")</f>
        <v>EVERGREEN - UAN Gated Content - Embedded Petition</v>
      </c>
      <c r="D1155" s="10">
        <f ca="1">IFERROR(__xludf.DUMMYFUNCTION("""COMPUTED_VALUE"""),45674)</f>
        <v>45674</v>
      </c>
      <c r="E1155" s="1" t="str">
        <f ca="1">IFERROR(__xludf.DUMMYFUNCTION("""COMPUTED_VALUE"""),"Tunisia")</f>
        <v>Tunisia</v>
      </c>
      <c r="F1155" s="1" t="str">
        <f ca="1">IFERROR(__xludf.DUMMYFUNCTION("""COMPUTED_VALUE"""),"Second 76.24 Tunisia")</f>
        <v>Second 76.24 Tunisia</v>
      </c>
      <c r="G1155" s="1" t="str">
        <f ca="1">IFERROR(__xludf.DUMMYFUNCTION("""COMPUTED_VALUE"""),"Freedom of Expression, Human Rights Defenders")</f>
        <v>Freedom of Expression, Human Rights Defenders</v>
      </c>
      <c r="H1155" s="1" t="str">
        <f ca="1">IFERROR(__xludf.DUMMYFUNCTION("""COMPUTED_VALUE"""),"2025")</f>
        <v>2025</v>
      </c>
      <c r="I1155" s="1" t="str">
        <f ca="1">IFERROR(__xludf.DUMMYFUNCTION("""COMPUTED_VALUE"""),"Email")</f>
        <v>Email</v>
      </c>
    </row>
    <row r="1156" spans="1:9" ht="13" x14ac:dyDescent="0.15">
      <c r="A1156" s="9">
        <f ca="1">IFERROR(__xludf.DUMMYFUNCTION("""COMPUTED_VALUE"""),75650847)</f>
        <v>75650847</v>
      </c>
      <c r="B1156" s="1" t="str">
        <f ca="1">IFERROR(__xludf.DUMMYFUNCTION("""COMPUTED_VALUE"""),"marchoffman313@gmail.com")</f>
        <v>marchoffman313@gmail.com</v>
      </c>
      <c r="C1156" s="9" t="str">
        <f ca="1">IFERROR(__xludf.DUMMYFUNCTION("""COMPUTED_VALUE"""),"EVERGREEN - UAN Gated Content - Embedded Petition")</f>
        <v>EVERGREEN - UAN Gated Content - Embedded Petition</v>
      </c>
      <c r="D1156" s="10">
        <f ca="1">IFERROR(__xludf.DUMMYFUNCTION("""COMPUTED_VALUE"""),45674)</f>
        <v>45674</v>
      </c>
      <c r="E1156" s="1" t="str">
        <f ca="1">IFERROR(__xludf.DUMMYFUNCTION("""COMPUTED_VALUE"""),"Tunisia")</f>
        <v>Tunisia</v>
      </c>
      <c r="F1156" s="1" t="str">
        <f ca="1">IFERROR(__xludf.DUMMYFUNCTION("""COMPUTED_VALUE"""),"Second 76.24 Tunisia")</f>
        <v>Second 76.24 Tunisia</v>
      </c>
      <c r="G1156" s="1" t="str">
        <f ca="1">IFERROR(__xludf.DUMMYFUNCTION("""COMPUTED_VALUE"""),"Freedom of Expression, Human Rights Defenders")</f>
        <v>Freedom of Expression, Human Rights Defenders</v>
      </c>
      <c r="H1156" s="1" t="str">
        <f ca="1">IFERROR(__xludf.DUMMYFUNCTION("""COMPUTED_VALUE"""),"2025")</f>
        <v>2025</v>
      </c>
      <c r="I1156" s="1" t="str">
        <f ca="1">IFERROR(__xludf.DUMMYFUNCTION("""COMPUTED_VALUE"""),"Email")</f>
        <v>Email</v>
      </c>
    </row>
    <row r="1157" spans="1:9" ht="13" x14ac:dyDescent="0.15">
      <c r="A1157" s="9">
        <f ca="1">IFERROR(__xludf.DUMMYFUNCTION("""COMPUTED_VALUE"""),75650847)</f>
        <v>75650847</v>
      </c>
      <c r="B1157" s="1" t="str">
        <f ca="1">IFERROR(__xludf.DUMMYFUNCTION("""COMPUTED_VALUE"""),"marchoffman313@gmail.com")</f>
        <v>marchoffman313@gmail.com</v>
      </c>
      <c r="C1157" s="9" t="str">
        <f ca="1">IFERROR(__xludf.DUMMYFUNCTION("""COMPUTED_VALUE"""),"EVERGREEN - UAN Gated Content - Embedded Petition")</f>
        <v>EVERGREEN - UAN Gated Content - Embedded Petition</v>
      </c>
      <c r="D1157" s="10">
        <f ca="1">IFERROR(__xludf.DUMMYFUNCTION("""COMPUTED_VALUE"""),45674)</f>
        <v>45674</v>
      </c>
      <c r="E1157" s="1" t="str">
        <f ca="1">IFERROR(__xludf.DUMMYFUNCTION("""COMPUTED_VALUE"""),"Israel and Occupied Palestinian Territories")</f>
        <v>Israel and Occupied Palestinian Territories</v>
      </c>
      <c r="F1157" s="1" t="str">
        <f ca="1">IFERROR(__xludf.DUMMYFUNCTION("""COMPUTED_VALUE"""),"3.25 IOPT")</f>
        <v>3.25 IOPT</v>
      </c>
      <c r="G1157" s="1" t="str">
        <f ca="1">IFERROR(__xludf.DUMMYFUNCTION("""COMPUTED_VALUE"""),"Freedom of Expression, Individuals At Risk")</f>
        <v>Freedom of Expression, Individuals At Risk</v>
      </c>
      <c r="H1157" s="1" t="str">
        <f ca="1">IFERROR(__xludf.DUMMYFUNCTION("""COMPUTED_VALUE"""),"2025")</f>
        <v>2025</v>
      </c>
      <c r="I1157" s="1" t="str">
        <f ca="1">IFERROR(__xludf.DUMMYFUNCTION("""COMPUTED_VALUE"""),"Email")</f>
        <v>Email</v>
      </c>
    </row>
    <row r="1158" spans="1:9" ht="13" x14ac:dyDescent="0.15">
      <c r="A1158" s="9">
        <f ca="1">IFERROR(__xludf.DUMMYFUNCTION("""COMPUTED_VALUE"""),75650847)</f>
        <v>75650847</v>
      </c>
      <c r="B1158" s="1" t="str">
        <f ca="1">IFERROR(__xludf.DUMMYFUNCTION("""COMPUTED_VALUE"""),"marchoffman313@gmail.com")</f>
        <v>marchoffman313@gmail.com</v>
      </c>
      <c r="C1158" s="9" t="str">
        <f ca="1">IFERROR(__xludf.DUMMYFUNCTION("""COMPUTED_VALUE"""),"EVERGREEN - UAN Gated Content - Embedded Petition")</f>
        <v>EVERGREEN - UAN Gated Content - Embedded Petition</v>
      </c>
      <c r="D1158" s="10">
        <f ca="1">IFERROR(__xludf.DUMMYFUNCTION("""COMPUTED_VALUE"""),45636)</f>
        <v>45636</v>
      </c>
      <c r="E1158" s="1" t="str">
        <f ca="1">IFERROR(__xludf.DUMMYFUNCTION("""COMPUTED_VALUE"""),"Tunisia")</f>
        <v>Tunisia</v>
      </c>
      <c r="F1158" s="1" t="str">
        <f ca="1">IFERROR(__xludf.DUMMYFUNCTION("""COMPUTED_VALUE"""),"Second 76.24 Tunisia")</f>
        <v>Second 76.24 Tunisia</v>
      </c>
      <c r="G1158" s="1" t="str">
        <f ca="1">IFERROR(__xludf.DUMMYFUNCTION("""COMPUTED_VALUE"""),"Freedom of Expression, Human Rights Defenders")</f>
        <v>Freedom of Expression, Human Rights Defenders</v>
      </c>
      <c r="H1158" s="1" t="str">
        <f ca="1">IFERROR(__xludf.DUMMYFUNCTION("""COMPUTED_VALUE"""),"2025")</f>
        <v>2025</v>
      </c>
      <c r="I1158" s="1" t="str">
        <f ca="1">IFERROR(__xludf.DUMMYFUNCTION("""COMPUTED_VALUE"""),"Email")</f>
        <v>Email</v>
      </c>
    </row>
    <row r="1159" spans="1:9" ht="13" x14ac:dyDescent="0.15">
      <c r="A1159" s="9">
        <f ca="1">IFERROR(__xludf.DUMMYFUNCTION("""COMPUTED_VALUE"""),75650847)</f>
        <v>75650847</v>
      </c>
      <c r="B1159" s="1" t="str">
        <f ca="1">IFERROR(__xludf.DUMMYFUNCTION("""COMPUTED_VALUE"""),"marchoffman313@gmail.com")</f>
        <v>marchoffman313@gmail.com</v>
      </c>
      <c r="C1159" s="9" t="str">
        <f ca="1">IFERROR(__xludf.DUMMYFUNCTION("""COMPUTED_VALUE"""),"EVERGREEN - UAN Gated Content - Embedded Petition")</f>
        <v>EVERGREEN - UAN Gated Content - Embedded Petition</v>
      </c>
      <c r="D1159" s="10">
        <f ca="1">IFERROR(__xludf.DUMMYFUNCTION("""COMPUTED_VALUE"""),45636)</f>
        <v>45636</v>
      </c>
      <c r="E1159" s="1" t="str">
        <f ca="1">IFERROR(__xludf.DUMMYFUNCTION("""COMPUTED_VALUE"""),"Tunisia")</f>
        <v>Tunisia</v>
      </c>
      <c r="F1159" s="1" t="str">
        <f ca="1">IFERROR(__xludf.DUMMYFUNCTION("""COMPUTED_VALUE"""),"Second 76.24 Tunisia")</f>
        <v>Second 76.24 Tunisia</v>
      </c>
      <c r="G1159" s="1" t="str">
        <f ca="1">IFERROR(__xludf.DUMMYFUNCTION("""COMPUTED_VALUE"""),"Freedom of Expression, Human Rights Defenders")</f>
        <v>Freedom of Expression, Human Rights Defenders</v>
      </c>
      <c r="H1159" s="1" t="str">
        <f ca="1">IFERROR(__xludf.DUMMYFUNCTION("""COMPUTED_VALUE"""),"2025")</f>
        <v>2025</v>
      </c>
      <c r="I1159" s="1" t="str">
        <f ca="1">IFERROR(__xludf.DUMMYFUNCTION("""COMPUTED_VALUE"""),"Email")</f>
        <v>Email</v>
      </c>
    </row>
    <row r="1160" spans="1:9" ht="13" x14ac:dyDescent="0.15">
      <c r="A1160" s="9">
        <f ca="1">IFERROR(__xludf.DUMMYFUNCTION("""COMPUTED_VALUE"""),75650847)</f>
        <v>75650847</v>
      </c>
      <c r="B1160" s="1" t="str">
        <f ca="1">IFERROR(__xludf.DUMMYFUNCTION("""COMPUTED_VALUE"""),"marchoffman313@gmail.com")</f>
        <v>marchoffman313@gmail.com</v>
      </c>
      <c r="C1160" s="9" t="str">
        <f ca="1">IFERROR(__xludf.DUMMYFUNCTION("""COMPUTED_VALUE"""),"EVERGREEN - UAN Gated Content - Embedded Petition")</f>
        <v>EVERGREEN - UAN Gated Content - Embedded Petition</v>
      </c>
      <c r="D1160" s="10">
        <f ca="1">IFERROR(__xludf.DUMMYFUNCTION("""COMPUTED_VALUE"""),45636)</f>
        <v>45636</v>
      </c>
      <c r="E1160" s="1" t="str">
        <f ca="1">IFERROR(__xludf.DUMMYFUNCTION("""COMPUTED_VALUE"""),"USA")</f>
        <v>USA</v>
      </c>
      <c r="F1160" s="1" t="str">
        <f ca="1">IFERROR(__xludf.DUMMYFUNCTION("""COMPUTED_VALUE"""),"4.25 USA")</f>
        <v>4.25 USA</v>
      </c>
      <c r="G1160" s="1" t="str">
        <f ca="1">IFERROR(__xludf.DUMMYFUNCTION("""COMPUTED_VALUE"""),"Individuals At Risk, Refugee and Migrant Rights")</f>
        <v>Individuals At Risk, Refugee and Migrant Rights</v>
      </c>
      <c r="H1160" s="1" t="str">
        <f ca="1">IFERROR(__xludf.DUMMYFUNCTION("""COMPUTED_VALUE"""),"2025")</f>
        <v>2025</v>
      </c>
      <c r="I1160" s="1" t="str">
        <f ca="1">IFERROR(__xludf.DUMMYFUNCTION("""COMPUTED_VALUE"""),"Letter")</f>
        <v>Letter</v>
      </c>
    </row>
    <row r="1161" spans="1:9" ht="13" x14ac:dyDescent="0.15">
      <c r="A1161" s="9">
        <f ca="1">IFERROR(__xludf.DUMMYFUNCTION("""COMPUTED_VALUE"""),75650847)</f>
        <v>75650847</v>
      </c>
      <c r="B1161" s="1" t="str">
        <f ca="1">IFERROR(__xludf.DUMMYFUNCTION("""COMPUTED_VALUE"""),"marchoffman313@gmail.com")</f>
        <v>marchoffman313@gmail.com</v>
      </c>
      <c r="C1161" s="9" t="str">
        <f ca="1">IFERROR(__xludf.DUMMYFUNCTION("""COMPUTED_VALUE"""),"EVERGREEN - UAN Gated Content - Embedded Petition")</f>
        <v>EVERGREEN - UAN Gated Content - Embedded Petition</v>
      </c>
      <c r="D1161" s="10">
        <f ca="1">IFERROR(__xludf.DUMMYFUNCTION("""COMPUTED_VALUE"""),45674)</f>
        <v>45674</v>
      </c>
      <c r="E1161" s="1" t="str">
        <f ca="1">IFERROR(__xludf.DUMMYFUNCTION("""COMPUTED_VALUE"""),"Tunisia")</f>
        <v>Tunisia</v>
      </c>
      <c r="F1161" s="1" t="str">
        <f ca="1">IFERROR(__xludf.DUMMYFUNCTION("""COMPUTED_VALUE"""),"8.25 Tunisia")</f>
        <v>8.25 Tunisia</v>
      </c>
      <c r="G1161" s="1" t="str">
        <f ca="1">IFERROR(__xludf.DUMMYFUNCTION("""COMPUTED_VALUE"""),"Freedom of Expression")</f>
        <v>Freedom of Expression</v>
      </c>
      <c r="H1161" s="1" t="str">
        <f ca="1">IFERROR(__xludf.DUMMYFUNCTION("""COMPUTED_VALUE"""),"2025")</f>
        <v>2025</v>
      </c>
      <c r="I1161" s="1" t="str">
        <f ca="1">IFERROR(__xludf.DUMMYFUNCTION("""COMPUTED_VALUE"""),"Email")</f>
        <v>Email</v>
      </c>
    </row>
    <row r="1162" spans="1:9" ht="13" x14ac:dyDescent="0.15">
      <c r="A1162" s="9">
        <f ca="1">IFERROR(__xludf.DUMMYFUNCTION("""COMPUTED_VALUE"""),75650847)</f>
        <v>75650847</v>
      </c>
      <c r="B1162" s="1" t="str">
        <f ca="1">IFERROR(__xludf.DUMMYFUNCTION("""COMPUTED_VALUE"""),"marchoffman313@gmail.com")</f>
        <v>marchoffman313@gmail.com</v>
      </c>
      <c r="C1162" s="9" t="str">
        <f ca="1">IFERROR(__xludf.DUMMYFUNCTION("""COMPUTED_VALUE"""),"EVERGREEN - UAN Gated Content - Embedded Petition")</f>
        <v>EVERGREEN - UAN Gated Content - Embedded Petition</v>
      </c>
      <c r="D1162" s="10">
        <f ca="1">IFERROR(__xludf.DUMMYFUNCTION("""COMPUTED_VALUE"""),45674)</f>
        <v>45674</v>
      </c>
      <c r="E1162" s="1" t="str">
        <f ca="1">IFERROR(__xludf.DUMMYFUNCTION("""COMPUTED_VALUE"""),"Afghanistan")</f>
        <v>Afghanistan</v>
      </c>
      <c r="F1162" s="1" t="str">
        <f ca="1">IFERROR(__xludf.DUMMYFUNCTION("""COMPUTED_VALUE"""),"7.25 Afghanistan")</f>
        <v>7.25 Afghanistan</v>
      </c>
      <c r="G1162" s="1" t="str">
        <f ca="1">IFERROR(__xludf.DUMMYFUNCTION("""COMPUTED_VALUE"""),"Freedom of Expression, Individuals At Risk, Women's Rights")</f>
        <v>Freedom of Expression, Individuals At Risk, Women's Rights</v>
      </c>
      <c r="H1162" s="1" t="str">
        <f ca="1">IFERROR(__xludf.DUMMYFUNCTION("""COMPUTED_VALUE"""),"2025")</f>
        <v>2025</v>
      </c>
      <c r="I1162" s="1" t="str">
        <f ca="1">IFERROR(__xludf.DUMMYFUNCTION("""COMPUTED_VALUE"""),"Email")</f>
        <v>Email</v>
      </c>
    </row>
    <row r="1163" spans="1:9" ht="13" x14ac:dyDescent="0.15">
      <c r="A1163" s="9">
        <f ca="1">IFERROR(__xludf.DUMMYFUNCTION("""COMPUTED_VALUE"""),75650847)</f>
        <v>75650847</v>
      </c>
      <c r="B1163" s="1" t="str">
        <f ca="1">IFERROR(__xludf.DUMMYFUNCTION("""COMPUTED_VALUE"""),"marchoffman313@gmail.com")</f>
        <v>marchoffman313@gmail.com</v>
      </c>
      <c r="C1163" s="9" t="str">
        <f ca="1">IFERROR(__xludf.DUMMYFUNCTION("""COMPUTED_VALUE"""),"EVERGREEN - UAN Gated Content - Embedded Petition")</f>
        <v>EVERGREEN - UAN Gated Content - Embedded Petition</v>
      </c>
      <c r="D1163" s="10">
        <f ca="1">IFERROR(__xludf.DUMMYFUNCTION("""COMPUTED_VALUE"""),45675)</f>
        <v>45675</v>
      </c>
      <c r="E1163" s="1" t="str">
        <f ca="1">IFERROR(__xludf.DUMMYFUNCTION("""COMPUTED_VALUE"""),"Tunisia")</f>
        <v>Tunisia</v>
      </c>
      <c r="F1163" s="1" t="str">
        <f ca="1">IFERROR(__xludf.DUMMYFUNCTION("""COMPUTED_VALUE"""),"Second 76.24 Tunisia")</f>
        <v>Second 76.24 Tunisia</v>
      </c>
      <c r="G1163" s="1" t="str">
        <f ca="1">IFERROR(__xludf.DUMMYFUNCTION("""COMPUTED_VALUE"""),"Freedom of Expression, Human Rights Defenders")</f>
        <v>Freedom of Expression, Human Rights Defenders</v>
      </c>
      <c r="H1163" s="1" t="str">
        <f ca="1">IFERROR(__xludf.DUMMYFUNCTION("""COMPUTED_VALUE"""),"2025")</f>
        <v>2025</v>
      </c>
      <c r="I1163" s="1" t="str">
        <f ca="1">IFERROR(__xludf.DUMMYFUNCTION("""COMPUTED_VALUE"""),"Email")</f>
        <v>Email</v>
      </c>
    </row>
    <row r="1164" spans="1:9" ht="13" x14ac:dyDescent="0.15">
      <c r="A1164" s="9">
        <f ca="1">IFERROR(__xludf.DUMMYFUNCTION("""COMPUTED_VALUE"""),75650847)</f>
        <v>75650847</v>
      </c>
      <c r="B1164" s="1" t="str">
        <f ca="1">IFERROR(__xludf.DUMMYFUNCTION("""COMPUTED_VALUE"""),"marchoffman313@gmail.com")</f>
        <v>marchoffman313@gmail.com</v>
      </c>
      <c r="C1164" s="9" t="str">
        <f ca="1">IFERROR(__xludf.DUMMYFUNCTION("""COMPUTED_VALUE"""),"EVERGREEN - UAN Gated Content - Embedded Petition")</f>
        <v>EVERGREEN - UAN Gated Content - Embedded Petition</v>
      </c>
      <c r="D1164" s="10">
        <f ca="1">IFERROR(__xludf.DUMMYFUNCTION("""COMPUTED_VALUE"""),45677)</f>
        <v>45677</v>
      </c>
      <c r="E1164" s="1" t="str">
        <f ca="1">IFERROR(__xludf.DUMMYFUNCTION("""COMPUTED_VALUE"""),"Colombia")</f>
        <v>Colombia</v>
      </c>
      <c r="F1164" s="1" t="str">
        <f ca="1">IFERROR(__xludf.DUMMYFUNCTION("""COMPUTED_VALUE"""),"Third 12.24 Colombia")</f>
        <v>Third 12.24 Colombia</v>
      </c>
      <c r="G1164" s="1" t="str">
        <f ca="1">IFERROR(__xludf.DUMMYFUNCTION("""COMPUTED_VALUE"""),"Human Rights Defenders, Individuals At Risk")</f>
        <v>Human Rights Defenders, Individuals At Risk</v>
      </c>
      <c r="H1164" s="1" t="str">
        <f ca="1">IFERROR(__xludf.DUMMYFUNCTION("""COMPUTED_VALUE"""),"2025")</f>
        <v>2025</v>
      </c>
      <c r="I1164" s="1" t="str">
        <f ca="1">IFERROR(__xludf.DUMMYFUNCTION("""COMPUTED_VALUE"""),"Email")</f>
        <v>Email</v>
      </c>
    </row>
    <row r="1165" spans="1:9" ht="13" x14ac:dyDescent="0.15">
      <c r="A1165" s="9">
        <f ca="1">IFERROR(__xludf.DUMMYFUNCTION("""COMPUTED_VALUE"""),75650847)</f>
        <v>75650847</v>
      </c>
      <c r="B1165" s="1" t="str">
        <f ca="1">IFERROR(__xludf.DUMMYFUNCTION("""COMPUTED_VALUE"""),"marchoffman313@gmail.com")</f>
        <v>marchoffman313@gmail.com</v>
      </c>
      <c r="C1165" s="9" t="str">
        <f ca="1">IFERROR(__xludf.DUMMYFUNCTION("""COMPUTED_VALUE"""),"EVERGREEN - UAN Gated Content - Embedded Petition")</f>
        <v>EVERGREEN - UAN Gated Content - Embedded Petition</v>
      </c>
      <c r="D1165" s="10">
        <f ca="1">IFERROR(__xludf.DUMMYFUNCTION("""COMPUTED_VALUE"""),45674)</f>
        <v>45674</v>
      </c>
      <c r="E1165" s="1" t="str">
        <f ca="1">IFERROR(__xludf.DUMMYFUNCTION("""COMPUTED_VALUE"""),"Turkiye")</f>
        <v>Turkiye</v>
      </c>
      <c r="F1165" s="1" t="str">
        <f ca="1">IFERROR(__xludf.DUMMYFUNCTION("""COMPUTED_VALUE"""),"Second 109.24 Türkiye")</f>
        <v>Second 109.24 Türkiye</v>
      </c>
      <c r="G1165" s="1" t="str">
        <f ca="1">IFERROR(__xludf.DUMMYFUNCTION("""COMPUTED_VALUE"""),"Human Rights Defenders")</f>
        <v>Human Rights Defenders</v>
      </c>
      <c r="H1165" s="1" t="str">
        <f ca="1">IFERROR(__xludf.DUMMYFUNCTION("""COMPUTED_VALUE"""),"2025")</f>
        <v>2025</v>
      </c>
      <c r="I1165" s="1" t="str">
        <f ca="1">IFERROR(__xludf.DUMMYFUNCTION("""COMPUTED_VALUE"""),"Email")</f>
        <v>Email</v>
      </c>
    </row>
    <row r="1166" spans="1:9" ht="13" x14ac:dyDescent="0.15">
      <c r="A1166" s="9">
        <f ca="1">IFERROR(__xludf.DUMMYFUNCTION("""COMPUTED_VALUE"""),78294660)</f>
        <v>78294660</v>
      </c>
      <c r="B1166" s="1" t="str">
        <f ca="1">IFERROR(__xludf.DUMMYFUNCTION("""COMPUTED_VALUE"""),"krisheartstone@gmail.com")</f>
        <v>krisheartstone@gmail.com</v>
      </c>
      <c r="C1166" s="9" t="str">
        <f ca="1">IFERROR(__xludf.DUMMYFUNCTION("""COMPUTED_VALUE"""),"EVERGREEN - UAN Gated Content - Embedded Petition")</f>
        <v>EVERGREEN - UAN Gated Content - Embedded Petition</v>
      </c>
      <c r="D1166" s="10">
        <f ca="1">IFERROR(__xludf.DUMMYFUNCTION("""COMPUTED_VALUE"""),45694)</f>
        <v>45694</v>
      </c>
      <c r="E1166" s="1" t="str">
        <f ca="1">IFERROR(__xludf.DUMMYFUNCTION("""COMPUTED_VALUE"""),"Iran")</f>
        <v>Iran</v>
      </c>
      <c r="F1166" s="1" t="str">
        <f ca="1">IFERROR(__xludf.DUMMYFUNCTION("""COMPUTED_VALUE"""),"6.25 Iran")</f>
        <v>6.25 Iran</v>
      </c>
      <c r="G1166" s="1" t="str">
        <f ca="1">IFERROR(__xludf.DUMMYFUNCTION("""COMPUTED_VALUE"""),"Death Penalty, Freedom of Expression, Individuals At Risk")</f>
        <v>Death Penalty, Freedom of Expression, Individuals At Risk</v>
      </c>
      <c r="H1166" s="1" t="str">
        <f ca="1">IFERROR(__xludf.DUMMYFUNCTION("""COMPUTED_VALUE"""),"2025")</f>
        <v>2025</v>
      </c>
      <c r="I1166" s="1" t="str">
        <f ca="1">IFERROR(__xludf.DUMMYFUNCTION("""COMPUTED_VALUE"""),"Email")</f>
        <v>Email</v>
      </c>
    </row>
    <row r="1167" spans="1:9" ht="13" x14ac:dyDescent="0.15">
      <c r="A1167" s="9">
        <f ca="1">IFERROR(__xludf.DUMMYFUNCTION("""COMPUTED_VALUE"""),79416109)</f>
        <v>79416109</v>
      </c>
      <c r="B1167" s="1" t="str">
        <f ca="1">IFERROR(__xludf.DUMMYFUNCTION("""COMPUTED_VALUE"""),"chuckgyver@aceweb.com")</f>
        <v>chuckgyver@aceweb.com</v>
      </c>
      <c r="C1167" s="9" t="str">
        <f ca="1">IFERROR(__xludf.DUMMYFUNCTION("""COMPUTED_VALUE"""),"EVERGREEN - UAN Gated Content - Embedded Petition")</f>
        <v>EVERGREEN - UAN Gated Content - Embedded Petition</v>
      </c>
      <c r="D1167" s="10">
        <f ca="1">IFERROR(__xludf.DUMMYFUNCTION("""COMPUTED_VALUE"""),45616)</f>
        <v>45616</v>
      </c>
      <c r="E1167" s="1" t="str">
        <f ca="1">IFERROR(__xludf.DUMMYFUNCTION("""COMPUTED_VALUE"""),"USA")</f>
        <v>USA</v>
      </c>
      <c r="F1167" s="1" t="str">
        <f ca="1">IFERROR(__xludf.DUMMYFUNCTION("""COMPUTED_VALUE"""),"4.25 USA")</f>
        <v>4.25 USA</v>
      </c>
      <c r="G1167" s="1" t="str">
        <f ca="1">IFERROR(__xludf.DUMMYFUNCTION("""COMPUTED_VALUE"""),"Individuals At Risk, Refugee and Migrant Rights")</f>
        <v>Individuals At Risk, Refugee and Migrant Rights</v>
      </c>
      <c r="H1167" s="1" t="str">
        <f ca="1">IFERROR(__xludf.DUMMYFUNCTION("""COMPUTED_VALUE"""),"2025")</f>
        <v>2025</v>
      </c>
      <c r="I1167" s="1" t="str">
        <f ca="1">IFERROR(__xludf.DUMMYFUNCTION("""COMPUTED_VALUE"""),"Letter")</f>
        <v>Letter</v>
      </c>
    </row>
    <row r="1168" spans="1:9" ht="13" x14ac:dyDescent="0.15">
      <c r="A1168" s="9">
        <f ca="1">IFERROR(__xludf.DUMMYFUNCTION("""COMPUTED_VALUE"""),79416109)</f>
        <v>79416109</v>
      </c>
      <c r="B1168" s="1" t="str">
        <f ca="1">IFERROR(__xludf.DUMMYFUNCTION("""COMPUTED_VALUE"""),"chuckgyver@aceweb.com")</f>
        <v>chuckgyver@aceweb.com</v>
      </c>
      <c r="C1168" s="9" t="str">
        <f ca="1">IFERROR(__xludf.DUMMYFUNCTION("""COMPUTED_VALUE"""),"EVERGREEN - UAN Gated Content - Embedded Petition")</f>
        <v>EVERGREEN - UAN Gated Content - Embedded Petition</v>
      </c>
      <c r="D1168" s="10">
        <f ca="1">IFERROR(__xludf.DUMMYFUNCTION("""COMPUTED_VALUE"""),45677)</f>
        <v>45677</v>
      </c>
      <c r="E1168" s="1" t="str">
        <f ca="1">IFERROR(__xludf.DUMMYFUNCTION("""COMPUTED_VALUE"""),"Turkiye")</f>
        <v>Turkiye</v>
      </c>
      <c r="F1168" s="1" t="str">
        <f ca="1">IFERROR(__xludf.DUMMYFUNCTION("""COMPUTED_VALUE"""),"Second 109.24 Türkiye")</f>
        <v>Second 109.24 Türkiye</v>
      </c>
      <c r="G1168" s="1" t="str">
        <f ca="1">IFERROR(__xludf.DUMMYFUNCTION("""COMPUTED_VALUE"""),"Human Rights Defenders")</f>
        <v>Human Rights Defenders</v>
      </c>
      <c r="H1168" s="1" t="str">
        <f ca="1">IFERROR(__xludf.DUMMYFUNCTION("""COMPUTED_VALUE"""),"2025")</f>
        <v>2025</v>
      </c>
      <c r="I1168" s="1" t="str">
        <f ca="1">IFERROR(__xludf.DUMMYFUNCTION("""COMPUTED_VALUE"""),"Email")</f>
        <v>Email</v>
      </c>
    </row>
    <row r="1169" spans="1:9" ht="13" x14ac:dyDescent="0.15">
      <c r="A1169" s="9">
        <f ca="1">IFERROR(__xludf.DUMMYFUNCTION("""COMPUTED_VALUE"""),79646042)</f>
        <v>79646042</v>
      </c>
      <c r="B1169" s="1" t="str">
        <f ca="1">IFERROR(__xludf.DUMMYFUNCTION("""COMPUTED_VALUE"""),"amnesty39@gmail.com")</f>
        <v>amnesty39@gmail.com</v>
      </c>
      <c r="C1169" s="9" t="str">
        <f ca="1">IFERROR(__xludf.DUMMYFUNCTION("""COMPUTED_VALUE"""),"EVERGREEN - UAN Gated Content - Embedded Petition")</f>
        <v>EVERGREEN - UAN Gated Content - Embedded Petition</v>
      </c>
      <c r="D1169" s="10">
        <f ca="1">IFERROR(__xludf.DUMMYFUNCTION("""COMPUTED_VALUE"""),45697)</f>
        <v>45697</v>
      </c>
      <c r="E1169" s="1" t="str">
        <f ca="1">IFERROR(__xludf.DUMMYFUNCTION("""COMPUTED_VALUE"""),"Colombia")</f>
        <v>Colombia</v>
      </c>
      <c r="F1169" s="1" t="str">
        <f ca="1">IFERROR(__xludf.DUMMYFUNCTION("""COMPUTED_VALUE"""),"5.25 Colombia")</f>
        <v>5.25 Colombia</v>
      </c>
      <c r="G1169" s="1" t="str">
        <f ca="1">IFERROR(__xludf.DUMMYFUNCTION("""COMPUTED_VALUE"""),"Human Rights Defenders, Individuals At Risk")</f>
        <v>Human Rights Defenders, Individuals At Risk</v>
      </c>
      <c r="H1169" s="1" t="str">
        <f ca="1">IFERROR(__xludf.DUMMYFUNCTION("""COMPUTED_VALUE"""),"2025")</f>
        <v>2025</v>
      </c>
      <c r="I1169" s="1" t="str">
        <f ca="1">IFERROR(__xludf.DUMMYFUNCTION("""COMPUTED_VALUE"""),"Email")</f>
        <v>Email</v>
      </c>
    </row>
    <row r="1170" spans="1:9" ht="13" x14ac:dyDescent="0.15">
      <c r="A1170" s="9">
        <f ca="1">IFERROR(__xludf.DUMMYFUNCTION("""COMPUTED_VALUE"""),79737588)</f>
        <v>79737588</v>
      </c>
      <c r="B1170" s="1" t="str">
        <f ca="1">IFERROR(__xludf.DUMMYFUNCTION("""COMPUTED_VALUE"""),"nasreenm@hushmail.com")</f>
        <v>nasreenm@hushmail.com</v>
      </c>
      <c r="C1170" s="9" t="str">
        <f ca="1">IFERROR(__xludf.DUMMYFUNCTION("""COMPUTED_VALUE"""),"EVERGREEN - UAN Gated Content - Embedded Petition")</f>
        <v>EVERGREEN - UAN Gated Content - Embedded Petition</v>
      </c>
      <c r="D1170" s="10">
        <f ca="1">IFERROR(__xludf.DUMMYFUNCTION("""COMPUTED_VALUE"""),45616)</f>
        <v>45616</v>
      </c>
      <c r="E1170" s="1" t="str">
        <f ca="1">IFERROR(__xludf.DUMMYFUNCTION("""COMPUTED_VALUE"""),"Colombia")</f>
        <v>Colombia</v>
      </c>
      <c r="F1170" s="1" t="str">
        <f ca="1">IFERROR(__xludf.DUMMYFUNCTION("""COMPUTED_VALUE"""),"Third 12.24 Colombia")</f>
        <v>Third 12.24 Colombia</v>
      </c>
      <c r="G1170" s="1" t="str">
        <f ca="1">IFERROR(__xludf.DUMMYFUNCTION("""COMPUTED_VALUE"""),"Human Rights Defenders, Individuals At Risk")</f>
        <v>Human Rights Defenders, Individuals At Risk</v>
      </c>
      <c r="H1170" s="1" t="str">
        <f ca="1">IFERROR(__xludf.DUMMYFUNCTION("""COMPUTED_VALUE"""),"2025")</f>
        <v>2025</v>
      </c>
      <c r="I1170" s="1" t="str">
        <f ca="1">IFERROR(__xludf.DUMMYFUNCTION("""COMPUTED_VALUE"""),"Email")</f>
        <v>Email</v>
      </c>
    </row>
    <row r="1171" spans="1:9" ht="13" x14ac:dyDescent="0.15">
      <c r="A1171" s="9">
        <f ca="1">IFERROR(__xludf.DUMMYFUNCTION("""COMPUTED_VALUE"""),79737588)</f>
        <v>79737588</v>
      </c>
      <c r="B1171" s="1" t="str">
        <f ca="1">IFERROR(__xludf.DUMMYFUNCTION("""COMPUTED_VALUE"""),"nasreenm@hushmail.com")</f>
        <v>nasreenm@hushmail.com</v>
      </c>
      <c r="C1171" s="9" t="str">
        <f ca="1">IFERROR(__xludf.DUMMYFUNCTION("""COMPUTED_VALUE"""),"EVERGREEN - UAN Gated Content - Embedded Petition")</f>
        <v>EVERGREEN - UAN Gated Content - Embedded Petition</v>
      </c>
      <c r="D1171" s="10">
        <f ca="1">IFERROR(__xludf.DUMMYFUNCTION("""COMPUTED_VALUE"""),45685)</f>
        <v>45685</v>
      </c>
      <c r="E1171" s="1" t="str">
        <f ca="1">IFERROR(__xludf.DUMMYFUNCTION("""COMPUTED_VALUE"""),"Iran")</f>
        <v>Iran</v>
      </c>
      <c r="F1171" s="1" t="str">
        <f ca="1">IFERROR(__xludf.DUMMYFUNCTION("""COMPUTED_VALUE"""),"6.25 Iran")</f>
        <v>6.25 Iran</v>
      </c>
      <c r="G1171" s="1" t="str">
        <f ca="1">IFERROR(__xludf.DUMMYFUNCTION("""COMPUTED_VALUE"""),"Death Penalty, Freedom of Expression, Individuals At Risk")</f>
        <v>Death Penalty, Freedom of Expression, Individuals At Risk</v>
      </c>
      <c r="H1171" s="1" t="str">
        <f ca="1">IFERROR(__xludf.DUMMYFUNCTION("""COMPUTED_VALUE"""),"2025")</f>
        <v>2025</v>
      </c>
      <c r="I1171" s="1" t="str">
        <f ca="1">IFERROR(__xludf.DUMMYFUNCTION("""COMPUTED_VALUE"""),"Email")</f>
        <v>Email</v>
      </c>
    </row>
    <row r="1172" spans="1:9" ht="13" x14ac:dyDescent="0.15">
      <c r="A1172" s="9">
        <f ca="1">IFERROR(__xludf.DUMMYFUNCTION("""COMPUTED_VALUE"""),79737588)</f>
        <v>79737588</v>
      </c>
      <c r="B1172" s="1" t="str">
        <f ca="1">IFERROR(__xludf.DUMMYFUNCTION("""COMPUTED_VALUE"""),"nasreenm@hushmail.com")</f>
        <v>nasreenm@hushmail.com</v>
      </c>
      <c r="C1172" s="9" t="str">
        <f ca="1">IFERROR(__xludf.DUMMYFUNCTION("""COMPUTED_VALUE"""),"EVERGREEN - UAN Gated Content - Embedded Petition")</f>
        <v>EVERGREEN - UAN Gated Content - Embedded Petition</v>
      </c>
      <c r="D1172" s="10">
        <f ca="1">IFERROR(__xludf.DUMMYFUNCTION("""COMPUTED_VALUE"""),45680)</f>
        <v>45680</v>
      </c>
      <c r="E1172" s="1" t="str">
        <f ca="1">IFERROR(__xludf.DUMMYFUNCTION("""COMPUTED_VALUE"""),"Tunisia")</f>
        <v>Tunisia</v>
      </c>
      <c r="F1172" s="1" t="str">
        <f ca="1">IFERROR(__xludf.DUMMYFUNCTION("""COMPUTED_VALUE"""),"Second 76.24 Tunisia")</f>
        <v>Second 76.24 Tunisia</v>
      </c>
      <c r="G1172" s="1" t="str">
        <f ca="1">IFERROR(__xludf.DUMMYFUNCTION("""COMPUTED_VALUE"""),"Freedom of Expression, Human Rights Defenders")</f>
        <v>Freedom of Expression, Human Rights Defenders</v>
      </c>
      <c r="H1172" s="1" t="str">
        <f ca="1">IFERROR(__xludf.DUMMYFUNCTION("""COMPUTED_VALUE"""),"2025")</f>
        <v>2025</v>
      </c>
      <c r="I1172" s="1" t="str">
        <f ca="1">IFERROR(__xludf.DUMMYFUNCTION("""COMPUTED_VALUE"""),"Email")</f>
        <v>Email</v>
      </c>
    </row>
    <row r="1173" spans="1:9" ht="13" x14ac:dyDescent="0.15">
      <c r="A1173" s="9">
        <f ca="1">IFERROR(__xludf.DUMMYFUNCTION("""COMPUTED_VALUE"""),80182176)</f>
        <v>80182176</v>
      </c>
      <c r="B1173" s="1" t="str">
        <f ca="1">IFERROR(__xludf.DUMMYFUNCTION("""COMPUTED_VALUE"""),"rae33710@gmail.com")</f>
        <v>rae33710@gmail.com</v>
      </c>
      <c r="C1173" s="9" t="str">
        <f ca="1">IFERROR(__xludf.DUMMYFUNCTION("""COMPUTED_VALUE"""),"EVERGREEN - UAN Gated Content - Embedded Petition")</f>
        <v>EVERGREEN - UAN Gated Content - Embedded Petition</v>
      </c>
      <c r="D1173" s="10">
        <f ca="1">IFERROR(__xludf.DUMMYFUNCTION("""COMPUTED_VALUE"""),45677)</f>
        <v>45677</v>
      </c>
      <c r="E1173" s="1" t="str">
        <f ca="1">IFERROR(__xludf.DUMMYFUNCTION("""COMPUTED_VALUE"""),"Venezuela")</f>
        <v>Venezuela</v>
      </c>
      <c r="F1173" s="1" t="str">
        <f ca="1">IFERROR(__xludf.DUMMYFUNCTION("""COMPUTED_VALUE"""),"1.25 Venezuela")</f>
        <v>1.25 Venezuela</v>
      </c>
      <c r="G1173" s="1" t="str">
        <f ca="1">IFERROR(__xludf.DUMMYFUNCTION("""COMPUTED_VALUE"""),"Human Rights Defenders, Individuals At Risk")</f>
        <v>Human Rights Defenders, Individuals At Risk</v>
      </c>
      <c r="H1173" s="1" t="str">
        <f ca="1">IFERROR(__xludf.DUMMYFUNCTION("""COMPUTED_VALUE"""),"2025")</f>
        <v>2025</v>
      </c>
      <c r="I1173" s="1" t="str">
        <f ca="1">IFERROR(__xludf.DUMMYFUNCTION("""COMPUTED_VALUE"""),"Letter")</f>
        <v>Letter</v>
      </c>
    </row>
    <row r="1174" spans="1:9" ht="13" x14ac:dyDescent="0.15">
      <c r="A1174" s="9">
        <f ca="1">IFERROR(__xludf.DUMMYFUNCTION("""COMPUTED_VALUE"""),80182176)</f>
        <v>80182176</v>
      </c>
      <c r="B1174" s="1" t="str">
        <f ca="1">IFERROR(__xludf.DUMMYFUNCTION("""COMPUTED_VALUE"""),"rae33710@gmail.com")</f>
        <v>rae33710@gmail.com</v>
      </c>
      <c r="C1174" s="9" t="str">
        <f ca="1">IFERROR(__xludf.DUMMYFUNCTION("""COMPUTED_VALUE"""),"EVERGREEN - UAN Gated Content - Embedded Petition")</f>
        <v>EVERGREEN - UAN Gated Content - Embedded Petition</v>
      </c>
      <c r="D1174" s="10">
        <f ca="1">IFERROR(__xludf.DUMMYFUNCTION("""COMPUTED_VALUE"""),45694)</f>
        <v>45694</v>
      </c>
      <c r="E1174" s="1" t="str">
        <f ca="1">IFERROR(__xludf.DUMMYFUNCTION("""COMPUTED_VALUE"""),"Azerbaijan")</f>
        <v>Azerbaijan</v>
      </c>
      <c r="F1174" s="1" t="str">
        <f ca="1">IFERROR(__xludf.DUMMYFUNCTION("""COMPUTED_VALUE"""),"2.25 Azerbaijan")</f>
        <v>2.25 Azerbaijan</v>
      </c>
      <c r="G1174" s="1" t="str">
        <f ca="1">IFERROR(__xludf.DUMMYFUNCTION("""COMPUTED_VALUE"""),"Freedom of Expression, Human Rights Defenders")</f>
        <v>Freedom of Expression, Human Rights Defenders</v>
      </c>
      <c r="H1174" s="1" t="str">
        <f ca="1">IFERROR(__xludf.DUMMYFUNCTION("""COMPUTED_VALUE"""),"2025")</f>
        <v>2025</v>
      </c>
      <c r="I1174" s="1" t="str">
        <f ca="1">IFERROR(__xludf.DUMMYFUNCTION("""COMPUTED_VALUE"""),"Email")</f>
        <v>Email</v>
      </c>
    </row>
    <row r="1175" spans="1:9" ht="13" x14ac:dyDescent="0.15">
      <c r="A1175" s="9">
        <f ca="1">IFERROR(__xludf.DUMMYFUNCTION("""COMPUTED_VALUE"""),80267018)</f>
        <v>80267018</v>
      </c>
      <c r="B1175" s="1" t="str">
        <f ca="1">IFERROR(__xludf.DUMMYFUNCTION("""COMPUTED_VALUE"""),"jjsuhr621953@gmail.com")</f>
        <v>jjsuhr621953@gmail.com</v>
      </c>
      <c r="C1175" s="9" t="str">
        <f ca="1">IFERROR(__xludf.DUMMYFUNCTION("""COMPUTED_VALUE"""),"EVERGREEN - UAN Gated Content - Embedded Petition")</f>
        <v>EVERGREEN - UAN Gated Content - Embedded Petition</v>
      </c>
      <c r="D1175" s="10">
        <f ca="1">IFERROR(__xludf.DUMMYFUNCTION("""COMPUTED_VALUE"""),45684)</f>
        <v>45684</v>
      </c>
      <c r="E1175" s="1" t="str">
        <f ca="1">IFERROR(__xludf.DUMMYFUNCTION("""COMPUTED_VALUE"""),"Israel and Occupied Palestinian Territories")</f>
        <v>Israel and Occupied Palestinian Territories</v>
      </c>
      <c r="F1175" s="1" t="str">
        <f ca="1">IFERROR(__xludf.DUMMYFUNCTION("""COMPUTED_VALUE"""),"3.25 IOPT")</f>
        <v>3.25 IOPT</v>
      </c>
      <c r="G1175" s="1" t="str">
        <f ca="1">IFERROR(__xludf.DUMMYFUNCTION("""COMPUTED_VALUE"""),"Freedom of Expression, Individuals At Risk")</f>
        <v>Freedom of Expression, Individuals At Risk</v>
      </c>
      <c r="H1175" s="1" t="str">
        <f ca="1">IFERROR(__xludf.DUMMYFUNCTION("""COMPUTED_VALUE"""),"2025")</f>
        <v>2025</v>
      </c>
      <c r="I1175" s="1" t="str">
        <f ca="1">IFERROR(__xludf.DUMMYFUNCTION("""COMPUTED_VALUE"""),"Email")</f>
        <v>Email</v>
      </c>
    </row>
    <row r="1176" spans="1:9" ht="13" x14ac:dyDescent="0.15">
      <c r="A1176" s="9">
        <f ca="1">IFERROR(__xludf.DUMMYFUNCTION("""COMPUTED_VALUE"""),80296899)</f>
        <v>80296899</v>
      </c>
      <c r="B1176" s="1" t="str">
        <f ca="1">IFERROR(__xludf.DUMMYFUNCTION("""COMPUTED_VALUE"""),"svondehn@hotmail.com")</f>
        <v>svondehn@hotmail.com</v>
      </c>
      <c r="C1176" s="9" t="str">
        <f ca="1">IFERROR(__xludf.DUMMYFUNCTION("""COMPUTED_VALUE"""),"EVERGREEN - UAN Gated Content - Embedded Petition")</f>
        <v>EVERGREEN - UAN Gated Content - Embedded Petition</v>
      </c>
      <c r="D1176" s="10">
        <f ca="1">IFERROR(__xludf.DUMMYFUNCTION("""COMPUTED_VALUE"""),45673)</f>
        <v>45673</v>
      </c>
      <c r="E1176" s="1" t="str">
        <f ca="1">IFERROR(__xludf.DUMMYFUNCTION("""COMPUTED_VALUE"""),"USA")</f>
        <v>USA</v>
      </c>
      <c r="F1176" s="1" t="str">
        <f ca="1">IFERROR(__xludf.DUMMYFUNCTION("""COMPUTED_VALUE"""),"4.25 USA")</f>
        <v>4.25 USA</v>
      </c>
      <c r="G1176" s="1" t="str">
        <f ca="1">IFERROR(__xludf.DUMMYFUNCTION("""COMPUTED_VALUE"""),"Individuals At Risk, Refugee and Migrant Rights")</f>
        <v>Individuals At Risk, Refugee and Migrant Rights</v>
      </c>
      <c r="H1176" s="1" t="str">
        <f ca="1">IFERROR(__xludf.DUMMYFUNCTION("""COMPUTED_VALUE"""),"2025")</f>
        <v>2025</v>
      </c>
      <c r="I1176" s="1" t="str">
        <f ca="1">IFERROR(__xludf.DUMMYFUNCTION("""COMPUTED_VALUE"""),"Letter")</f>
        <v>Letter</v>
      </c>
    </row>
    <row r="1177" spans="1:9" ht="13" x14ac:dyDescent="0.15">
      <c r="A1177" s="9">
        <f ca="1">IFERROR(__xludf.DUMMYFUNCTION("""COMPUTED_VALUE"""),80338976)</f>
        <v>80338976</v>
      </c>
      <c r="B1177" s="1" t="str">
        <f ca="1">IFERROR(__xludf.DUMMYFUNCTION("""COMPUTED_VALUE"""),"lccleary@gmail.com")</f>
        <v>lccleary@gmail.com</v>
      </c>
      <c r="C1177" s="9" t="str">
        <f ca="1">IFERROR(__xludf.DUMMYFUNCTION("""COMPUTED_VALUE"""),"EVERGREEN - UAN Gated Content - Embedded Petition")</f>
        <v>EVERGREEN - UAN Gated Content - Embedded Petition</v>
      </c>
      <c r="D1177" s="10">
        <f ca="1">IFERROR(__xludf.DUMMYFUNCTION("""COMPUTED_VALUE"""),45631)</f>
        <v>45631</v>
      </c>
      <c r="E1177" s="1" t="str">
        <f ca="1">IFERROR(__xludf.DUMMYFUNCTION("""COMPUTED_VALUE"""),"Iran")</f>
        <v>Iran</v>
      </c>
      <c r="F1177" s="1" t="str">
        <f ca="1">IFERROR(__xludf.DUMMYFUNCTION("""COMPUTED_VALUE"""),"Seventh 103.22 Iran")</f>
        <v>Seventh 103.22 Iran</v>
      </c>
      <c r="G1177" s="1" t="str">
        <f ca="1">IFERROR(__xludf.DUMMYFUNCTION("""COMPUTED_VALUE"""),"Death Penalty, Freedom of Expression, Individuals At Risk")</f>
        <v>Death Penalty, Freedom of Expression, Individuals At Risk</v>
      </c>
      <c r="H1177" s="1" t="str">
        <f ca="1">IFERROR(__xludf.DUMMYFUNCTION("""COMPUTED_VALUE"""),"2024")</f>
        <v>2024</v>
      </c>
      <c r="I1177" s="1" t="str">
        <f ca="1">IFERROR(__xludf.DUMMYFUNCTION("""COMPUTED_VALUE"""),"Email")</f>
        <v>Email</v>
      </c>
    </row>
    <row r="1178" spans="1:9" ht="13" x14ac:dyDescent="0.15">
      <c r="A1178" s="9">
        <f ca="1">IFERROR(__xludf.DUMMYFUNCTION("""COMPUTED_VALUE"""),80338976)</f>
        <v>80338976</v>
      </c>
      <c r="B1178" s="1" t="str">
        <f ca="1">IFERROR(__xludf.DUMMYFUNCTION("""COMPUTED_VALUE"""),"lccleary@gmail.com")</f>
        <v>lccleary@gmail.com</v>
      </c>
      <c r="C1178" s="9" t="str">
        <f ca="1">IFERROR(__xludf.DUMMYFUNCTION("""COMPUTED_VALUE"""),"EVERGREEN - UAN Gated Content - Embedded Petition")</f>
        <v>EVERGREEN - UAN Gated Content - Embedded Petition</v>
      </c>
      <c r="D1178" s="10">
        <f ca="1">IFERROR(__xludf.DUMMYFUNCTION("""COMPUTED_VALUE"""),45658)</f>
        <v>45658</v>
      </c>
      <c r="E1178" s="1" t="str">
        <f ca="1">IFERROR(__xludf.DUMMYFUNCTION("""COMPUTED_VALUE"""),"Egypt")</f>
        <v>Egypt</v>
      </c>
      <c r="F1178" s="1" t="str">
        <f ca="1">IFERROR(__xludf.DUMMYFUNCTION("""COMPUTED_VALUE"""),"Third 73.23 Egypt")</f>
        <v>Third 73.23 Egypt</v>
      </c>
      <c r="G1178" s="1" t="str">
        <f ca="1">IFERROR(__xludf.DUMMYFUNCTION("""COMPUTED_VALUE"""),"Individuals At Risk")</f>
        <v>Individuals At Risk</v>
      </c>
      <c r="H1178" s="1" t="str">
        <f ca="1">IFERROR(__xludf.DUMMYFUNCTION("""COMPUTED_VALUE"""),"2024")</f>
        <v>2024</v>
      </c>
      <c r="I1178" s="1" t="str">
        <f ca="1">IFERROR(__xludf.DUMMYFUNCTION("""COMPUTED_VALUE"""),"Email")</f>
        <v>Email</v>
      </c>
    </row>
    <row r="1179" spans="1:9" ht="13" x14ac:dyDescent="0.15">
      <c r="A1179" s="9">
        <f ca="1">IFERROR(__xludf.DUMMYFUNCTION("""COMPUTED_VALUE"""),80338976)</f>
        <v>80338976</v>
      </c>
      <c r="B1179" s="1" t="str">
        <f ca="1">IFERROR(__xludf.DUMMYFUNCTION("""COMPUTED_VALUE"""),"lccleary@gmail.com")</f>
        <v>lccleary@gmail.com</v>
      </c>
      <c r="C1179" s="9" t="str">
        <f ca="1">IFERROR(__xludf.DUMMYFUNCTION("""COMPUTED_VALUE"""),"UAN mid-page Lightbox - Step 1 of 4 - Landing Page")</f>
        <v>UAN mid-page Lightbox - Step 1 of 4 - Landing Page</v>
      </c>
      <c r="D1179" s="10">
        <f ca="1">IFERROR(__xludf.DUMMYFUNCTION("""COMPUTED_VALUE"""),45658)</f>
        <v>45658</v>
      </c>
      <c r="E1179" s="1" t="str">
        <f ca="1">IFERROR(__xludf.DUMMYFUNCTION("""COMPUTED_VALUE"""),"Tunisia")</f>
        <v>Tunisia</v>
      </c>
      <c r="F1179" s="1" t="str">
        <f ca="1">IFERROR(__xludf.DUMMYFUNCTION("""COMPUTED_VALUE"""),"Second 43.24 Tunisia")</f>
        <v>Second 43.24 Tunisia</v>
      </c>
      <c r="G1179" s="1" t="str">
        <f ca="1">IFERROR(__xludf.DUMMYFUNCTION("""COMPUTED_VALUE"""),"Freedom of Expression, Individuals At Risk")</f>
        <v>Freedom of Expression, Individuals At Risk</v>
      </c>
      <c r="H1179" s="1" t="str">
        <f ca="1">IFERROR(__xludf.DUMMYFUNCTION("""COMPUTED_VALUE"""),"2024")</f>
        <v>2024</v>
      </c>
      <c r="I1179" s="1" t="str">
        <f ca="1">IFERROR(__xludf.DUMMYFUNCTION("""COMPUTED_VALUE"""),"Email")</f>
        <v>Email</v>
      </c>
    </row>
    <row r="1180" spans="1:9" ht="13" x14ac:dyDescent="0.15">
      <c r="A1180" s="9">
        <f ca="1">IFERROR(__xludf.DUMMYFUNCTION("""COMPUTED_VALUE"""),80338976)</f>
        <v>80338976</v>
      </c>
      <c r="B1180" s="1" t="str">
        <f ca="1">IFERROR(__xludf.DUMMYFUNCTION("""COMPUTED_VALUE"""),"lccleary@gmail.com")</f>
        <v>lccleary@gmail.com</v>
      </c>
      <c r="C1180" s="9" t="str">
        <f ca="1">IFERROR(__xludf.DUMMYFUNCTION("""COMPUTED_VALUE"""),"UAN mid-page Lightbox - Step 2 of 4 - More personal info fields")</f>
        <v>UAN mid-page Lightbox - Step 2 of 4 - More personal info fields</v>
      </c>
      <c r="D1180" s="10">
        <f ca="1">IFERROR(__xludf.DUMMYFUNCTION("""COMPUTED_VALUE"""),45658)</f>
        <v>45658</v>
      </c>
      <c r="E1180" s="1" t="str">
        <f ca="1">IFERROR(__xludf.DUMMYFUNCTION("""COMPUTED_VALUE"""),"Turkiye")</f>
        <v>Turkiye</v>
      </c>
      <c r="F1180" s="1" t="str">
        <f ca="1">IFERROR(__xludf.DUMMYFUNCTION("""COMPUTED_VALUE"""),"109.24 Türkiye")</f>
        <v>109.24 Türkiye</v>
      </c>
      <c r="G1180" s="1" t="str">
        <f ca="1">IFERROR(__xludf.DUMMYFUNCTION("""COMPUTED_VALUE"""),"Human Rights Defenders, Individuals At Risk")</f>
        <v>Human Rights Defenders, Individuals At Risk</v>
      </c>
      <c r="H1180" s="1" t="str">
        <f ca="1">IFERROR(__xludf.DUMMYFUNCTION("""COMPUTED_VALUE"""),"2024")</f>
        <v>2024</v>
      </c>
      <c r="I1180" s="1" t="str">
        <f ca="1">IFERROR(__xludf.DUMMYFUNCTION("""COMPUTED_VALUE"""),"Email")</f>
        <v>Email</v>
      </c>
    </row>
    <row r="1181" spans="1:9" ht="13" x14ac:dyDescent="0.15">
      <c r="A1181" s="9">
        <f ca="1">IFERROR(__xludf.DUMMYFUNCTION("""COMPUTED_VALUE"""),80338976)</f>
        <v>80338976</v>
      </c>
      <c r="B1181" s="1" t="str">
        <f ca="1">IFERROR(__xludf.DUMMYFUNCTION("""COMPUTED_VALUE"""),"lccleary@gmail.com")</f>
        <v>lccleary@gmail.com</v>
      </c>
      <c r="C1181" s="9" t="str">
        <f ca="1">IFERROR(__xludf.DUMMYFUNCTION("""COMPUTED_VALUE"""),"UAN mid-page Lightbox - Step 3 of 4 - More opt-ins")</f>
        <v>UAN mid-page Lightbox - Step 3 of 4 - More opt-ins</v>
      </c>
      <c r="D1181" s="10">
        <f ca="1">IFERROR(__xludf.DUMMYFUNCTION("""COMPUTED_VALUE"""),45658)</f>
        <v>45658</v>
      </c>
      <c r="E1181" s="1" t="str">
        <f ca="1">IFERROR(__xludf.DUMMYFUNCTION("""COMPUTED_VALUE"""),"Niger")</f>
        <v>Niger</v>
      </c>
      <c r="F1181" s="1" t="str">
        <f ca="1">IFERROR(__xludf.DUMMYFUNCTION("""COMPUTED_VALUE"""),"103.24 Niger")</f>
        <v>103.24 Niger</v>
      </c>
      <c r="G1181" s="1" t="str">
        <f ca="1">IFERROR(__xludf.DUMMYFUNCTION("""COMPUTED_VALUE"""),"Freedom of Expression, Human Rights Defenders")</f>
        <v>Freedom of Expression, Human Rights Defenders</v>
      </c>
      <c r="H1181" s="1" t="str">
        <f ca="1">IFERROR(__xludf.DUMMYFUNCTION("""COMPUTED_VALUE"""),"2024")</f>
        <v>2024</v>
      </c>
      <c r="I1181" s="1" t="str">
        <f ca="1">IFERROR(__xludf.DUMMYFUNCTION("""COMPUTED_VALUE"""),"Email")</f>
        <v>Email</v>
      </c>
    </row>
    <row r="1182" spans="1:9" ht="13" x14ac:dyDescent="0.15">
      <c r="A1182" s="9">
        <f ca="1">IFERROR(__xludf.DUMMYFUNCTION("""COMPUTED_VALUE"""),85305684)</f>
        <v>85305684</v>
      </c>
      <c r="B1182" s="1" t="str">
        <f ca="1">IFERROR(__xludf.DUMMYFUNCTION("""COMPUTED_VALUE"""),"johnjbalza@gmail.com")</f>
        <v>johnjbalza@gmail.com</v>
      </c>
      <c r="C1182" s="9" t="str">
        <f ca="1">IFERROR(__xludf.DUMMYFUNCTION("""COMPUTED_VALUE"""),"EVERGREEN - UAN Gated Content - Embedded Petition")</f>
        <v>EVERGREEN - UAN Gated Content - Embedded Petition</v>
      </c>
      <c r="D1182" s="10">
        <f ca="1">IFERROR(__xludf.DUMMYFUNCTION("""COMPUTED_VALUE"""),45616)</f>
        <v>45616</v>
      </c>
      <c r="E1182" s="1" t="str">
        <f ca="1">IFERROR(__xludf.DUMMYFUNCTION("""COMPUTED_VALUE"""),"Uganda")</f>
        <v>Uganda</v>
      </c>
      <c r="F1182" s="1" t="str">
        <f ca="1">IFERROR(__xludf.DUMMYFUNCTION("""COMPUTED_VALUE"""),"100.24 Uganda")</f>
        <v>100.24 Uganda</v>
      </c>
      <c r="G1182" s="1" t="str">
        <f ca="1">IFERROR(__xludf.DUMMYFUNCTION("""COMPUTED_VALUE"""),"Freedom of Expression")</f>
        <v>Freedom of Expression</v>
      </c>
      <c r="H1182" s="1" t="str">
        <f ca="1">IFERROR(__xludf.DUMMYFUNCTION("""COMPUTED_VALUE"""),"2024")</f>
        <v>2024</v>
      </c>
      <c r="I1182" s="1" t="str">
        <f ca="1">IFERROR(__xludf.DUMMYFUNCTION("""COMPUTED_VALUE"""),"Email")</f>
        <v>Email</v>
      </c>
    </row>
    <row r="1183" spans="1:9" ht="13" x14ac:dyDescent="0.15">
      <c r="A1183" s="9">
        <f ca="1">IFERROR(__xludf.DUMMYFUNCTION("""COMPUTED_VALUE"""),86825629)</f>
        <v>86825629</v>
      </c>
      <c r="B1183" s="1" t="str">
        <f ca="1">IFERROR(__xludf.DUMMYFUNCTION("""COMPUTED_VALUE"""),"reidrussell24@gmail.com")</f>
        <v>reidrussell24@gmail.com</v>
      </c>
      <c r="C1183" s="9" t="str">
        <f ca="1">IFERROR(__xludf.DUMMYFUNCTION("""COMPUTED_VALUE"""),"EVERGREEN - UAN Gated Content - Embedded Petition")</f>
        <v>EVERGREEN - UAN Gated Content - Embedded Petition</v>
      </c>
      <c r="D1183" s="10">
        <f ca="1">IFERROR(__xludf.DUMMYFUNCTION("""COMPUTED_VALUE"""),45698)</f>
        <v>45698</v>
      </c>
      <c r="E1183" s="1" t="str">
        <f ca="1">IFERROR(__xludf.DUMMYFUNCTION("""COMPUTED_VALUE"""),"Venezuela")</f>
        <v>Venezuela</v>
      </c>
      <c r="F1183" s="1" t="str">
        <f ca="1">IFERROR(__xludf.DUMMYFUNCTION("""COMPUTED_VALUE"""),"97.24 Venezuela")</f>
        <v>97.24 Venezuela</v>
      </c>
      <c r="G1183" s="1" t="str">
        <f ca="1">IFERROR(__xludf.DUMMYFUNCTION("""COMPUTED_VALUE"""),"Freedom of Expression")</f>
        <v>Freedom of Expression</v>
      </c>
      <c r="H1183" s="1" t="str">
        <f ca="1">IFERROR(__xludf.DUMMYFUNCTION("""COMPUTED_VALUE"""),"2024")</f>
        <v>2024</v>
      </c>
      <c r="I1183" s="1" t="str">
        <f ca="1">IFERROR(__xludf.DUMMYFUNCTION("""COMPUTED_VALUE"""),"Letter")</f>
        <v>Letter</v>
      </c>
    </row>
    <row r="1184" spans="1:9" ht="13" x14ac:dyDescent="0.15">
      <c r="A1184" s="9">
        <f ca="1">IFERROR(__xludf.DUMMYFUNCTION("""COMPUTED_VALUE"""),86825629)</f>
        <v>86825629</v>
      </c>
      <c r="B1184" s="1" t="str">
        <f ca="1">IFERROR(__xludf.DUMMYFUNCTION("""COMPUTED_VALUE"""),"reidrussell24@gmail.com")</f>
        <v>reidrussell24@gmail.com</v>
      </c>
      <c r="C1184" s="9" t="str">
        <f ca="1">IFERROR(__xludf.DUMMYFUNCTION("""COMPUTED_VALUE"""),"EVERGREEN - UAN Gated Content - Embedded Petition")</f>
        <v>EVERGREEN - UAN Gated Content - Embedded Petition</v>
      </c>
      <c r="D1184" s="10">
        <f ca="1">IFERROR(__xludf.DUMMYFUNCTION("""COMPUTED_VALUE"""),45700)</f>
        <v>45700</v>
      </c>
      <c r="E1184" s="1" t="str">
        <f ca="1">IFERROR(__xludf.DUMMYFUNCTION("""COMPUTED_VALUE"""),"Iran")</f>
        <v>Iran</v>
      </c>
      <c r="F1184" s="1" t="str">
        <f ca="1">IFERROR(__xludf.DUMMYFUNCTION("""COMPUTED_VALUE"""),"101.24 Iran")</f>
        <v>101.24 Iran</v>
      </c>
      <c r="G1184" s="1" t="str">
        <f ca="1">IFERROR(__xludf.DUMMYFUNCTION("""COMPUTED_VALUE"""),"Death Penalty, Freedom of Expression, Individuals At Risk, Right to Protest")</f>
        <v>Death Penalty, Freedom of Expression, Individuals At Risk, Right to Protest</v>
      </c>
      <c r="H1184" s="1" t="str">
        <f ca="1">IFERROR(__xludf.DUMMYFUNCTION("""COMPUTED_VALUE"""),"2024")</f>
        <v>2024</v>
      </c>
      <c r="I1184" s="1" t="str">
        <f ca="1">IFERROR(__xludf.DUMMYFUNCTION("""COMPUTED_VALUE"""),"Email")</f>
        <v>Email</v>
      </c>
    </row>
    <row r="1185" spans="1:9" ht="13" x14ac:dyDescent="0.15">
      <c r="A1185" s="9">
        <f ca="1">IFERROR(__xludf.DUMMYFUNCTION("""COMPUTED_VALUE"""),86825629)</f>
        <v>86825629</v>
      </c>
      <c r="B1185" s="1" t="str">
        <f ca="1">IFERROR(__xludf.DUMMYFUNCTION("""COMPUTED_VALUE"""),"reidrussell24@gmail.com")</f>
        <v>reidrussell24@gmail.com</v>
      </c>
      <c r="C1185" s="9" t="str">
        <f ca="1">IFERROR(__xludf.DUMMYFUNCTION("""COMPUTED_VALUE"""),"EVERGREEN - UAN Gated Content - Embedded Petition")</f>
        <v>EVERGREEN - UAN Gated Content - Embedded Petition</v>
      </c>
      <c r="D1185" s="10">
        <f ca="1">IFERROR(__xludf.DUMMYFUNCTION("""COMPUTED_VALUE"""),45698)</f>
        <v>45698</v>
      </c>
      <c r="E1185" s="1" t="str">
        <f ca="1">IFERROR(__xludf.DUMMYFUNCTION("""COMPUTED_VALUE"""),"Saudi Arabia")</f>
        <v>Saudi Arabia</v>
      </c>
      <c r="F1185" s="1" t="str">
        <f ca="1">IFERROR(__xludf.DUMMYFUNCTION("""COMPUTED_VALUE"""),"104.24 Saudi Arabia")</f>
        <v>104.24 Saudi Arabia</v>
      </c>
      <c r="G1185" s="1" t="str">
        <f ca="1">IFERROR(__xludf.DUMMYFUNCTION("""COMPUTED_VALUE"""),"Individuals At Risk, Refugee and Migrant Rights")</f>
        <v>Individuals At Risk, Refugee and Migrant Rights</v>
      </c>
      <c r="H1185" s="1" t="str">
        <f ca="1">IFERROR(__xludf.DUMMYFUNCTION("""COMPUTED_VALUE"""),"2024")</f>
        <v>2024</v>
      </c>
      <c r="I1185" s="1" t="str">
        <f ca="1">IFERROR(__xludf.DUMMYFUNCTION("""COMPUTED_VALUE"""),"Email")</f>
        <v>Email</v>
      </c>
    </row>
    <row r="1186" spans="1:9" ht="13" x14ac:dyDescent="0.15">
      <c r="A1186" s="9">
        <f ca="1">IFERROR(__xludf.DUMMYFUNCTION("""COMPUTED_VALUE"""),88395854)</f>
        <v>88395854</v>
      </c>
      <c r="B1186" s="1" t="str">
        <f ca="1">IFERROR(__xludf.DUMMYFUNCTION("""COMPUTED_VALUE"""),"agoldberg16@nyc.rr.com")</f>
        <v>agoldberg16@nyc.rr.com</v>
      </c>
      <c r="C1186" s="9" t="str">
        <f ca="1">IFERROR(__xludf.DUMMYFUNCTION("""COMPUTED_VALUE"""),"EVERGREEN - UAN Gated Content - Embedded Petition")</f>
        <v>EVERGREEN - UAN Gated Content - Embedded Petition</v>
      </c>
      <c r="D1186" s="10">
        <f ca="1">IFERROR(__xludf.DUMMYFUNCTION("""COMPUTED_VALUE"""),45700)</f>
        <v>45700</v>
      </c>
      <c r="E1186" s="1" t="str">
        <f ca="1">IFERROR(__xludf.DUMMYFUNCTION("""COMPUTED_VALUE"""),"China")</f>
        <v>China</v>
      </c>
      <c r="F1186" s="1" t="str">
        <f ca="1">IFERROR(__xludf.DUMMYFUNCTION("""COMPUTED_VALUE"""),"106.24 China")</f>
        <v>106.24 China</v>
      </c>
      <c r="G1186" s="1" t="str">
        <f ca="1">IFERROR(__xludf.DUMMYFUNCTION("""COMPUTED_VALUE"""),"Freedom of Expression, Individuals At Risk")</f>
        <v>Freedom of Expression, Individuals At Risk</v>
      </c>
      <c r="H1186" s="1" t="str">
        <f ca="1">IFERROR(__xludf.DUMMYFUNCTION("""COMPUTED_VALUE"""),"2024")</f>
        <v>2024</v>
      </c>
      <c r="I1186" s="1" t="str">
        <f ca="1">IFERROR(__xludf.DUMMYFUNCTION("""COMPUTED_VALUE"""),"Email")</f>
        <v>Email</v>
      </c>
    </row>
    <row r="1187" spans="1:9" ht="13" x14ac:dyDescent="0.15">
      <c r="A1187" s="9">
        <f ca="1">IFERROR(__xludf.DUMMYFUNCTION("""COMPUTED_VALUE"""),88395854)</f>
        <v>88395854</v>
      </c>
      <c r="B1187" s="1" t="str">
        <f ca="1">IFERROR(__xludf.DUMMYFUNCTION("""COMPUTED_VALUE"""),"agoldberg16@nyc.rr.com")</f>
        <v>agoldberg16@nyc.rr.com</v>
      </c>
      <c r="C1187" s="9" t="str">
        <f ca="1">IFERROR(__xludf.DUMMYFUNCTION("""COMPUTED_VALUE"""),"EVERGREEN - UAN Gated Content - Embedded Petition")</f>
        <v>EVERGREEN - UAN Gated Content - Embedded Petition</v>
      </c>
      <c r="D1187" s="10">
        <f ca="1">IFERROR(__xludf.DUMMYFUNCTION("""COMPUTED_VALUE"""),45700)</f>
        <v>45700</v>
      </c>
      <c r="E1187" s="1" t="str">
        <f ca="1">IFERROR(__xludf.DUMMYFUNCTION("""COMPUTED_VALUE"""),"Venezuela")</f>
        <v>Venezuela</v>
      </c>
      <c r="F1187" s="1" t="str">
        <f ca="1">IFERROR(__xludf.DUMMYFUNCTION("""COMPUTED_VALUE"""),"1.25 Venezuela")</f>
        <v>1.25 Venezuela</v>
      </c>
      <c r="G1187" s="1" t="str">
        <f ca="1">IFERROR(__xludf.DUMMYFUNCTION("""COMPUTED_VALUE"""),"Human Rights Defenders, Individuals At Risk")</f>
        <v>Human Rights Defenders, Individuals At Risk</v>
      </c>
      <c r="H1187" s="1" t="str">
        <f ca="1">IFERROR(__xludf.DUMMYFUNCTION("""COMPUTED_VALUE"""),"2025")</f>
        <v>2025</v>
      </c>
      <c r="I1187" s="1" t="str">
        <f ca="1">IFERROR(__xludf.DUMMYFUNCTION("""COMPUTED_VALUE"""),"Letter")</f>
        <v>Letter</v>
      </c>
    </row>
    <row r="1188" spans="1:9" ht="13" x14ac:dyDescent="0.15">
      <c r="A1188" s="9">
        <f ca="1">IFERROR(__xludf.DUMMYFUNCTION("""COMPUTED_VALUE"""),88395854)</f>
        <v>88395854</v>
      </c>
      <c r="B1188" s="1" t="str">
        <f ca="1">IFERROR(__xludf.DUMMYFUNCTION("""COMPUTED_VALUE"""),"agoldberg16@nyc.rr.com")</f>
        <v>agoldberg16@nyc.rr.com</v>
      </c>
      <c r="C1188" s="9" t="str">
        <f ca="1">IFERROR(__xludf.DUMMYFUNCTION("""COMPUTED_VALUE"""),"EVERGREEN - UAN Gated Content - Embedded Petition")</f>
        <v>EVERGREEN - UAN Gated Content - Embedded Petition</v>
      </c>
      <c r="D1188" s="10">
        <f ca="1">IFERROR(__xludf.DUMMYFUNCTION("""COMPUTED_VALUE"""),45700)</f>
        <v>45700</v>
      </c>
      <c r="E1188" s="1" t="str">
        <f ca="1">IFERROR(__xludf.DUMMYFUNCTION("""COMPUTED_VALUE"""),"Azerbaijan")</f>
        <v>Azerbaijan</v>
      </c>
      <c r="F1188" s="1" t="str">
        <f ca="1">IFERROR(__xludf.DUMMYFUNCTION("""COMPUTED_VALUE"""),"2.25 Azerbaijan")</f>
        <v>2.25 Azerbaijan</v>
      </c>
      <c r="G1188" s="1" t="str">
        <f ca="1">IFERROR(__xludf.DUMMYFUNCTION("""COMPUTED_VALUE"""),"Freedom of Expression, Human Rights Defenders")</f>
        <v>Freedom of Expression, Human Rights Defenders</v>
      </c>
      <c r="H1188" s="1" t="str">
        <f ca="1">IFERROR(__xludf.DUMMYFUNCTION("""COMPUTED_VALUE"""),"2025")</f>
        <v>2025</v>
      </c>
      <c r="I1188" s="1" t="str">
        <f ca="1">IFERROR(__xludf.DUMMYFUNCTION("""COMPUTED_VALUE"""),"Email")</f>
        <v>Email</v>
      </c>
    </row>
    <row r="1189" spans="1:9" ht="13" x14ac:dyDescent="0.15">
      <c r="A1189" s="9">
        <f ca="1">IFERROR(__xludf.DUMMYFUNCTION("""COMPUTED_VALUE"""),88395854)</f>
        <v>88395854</v>
      </c>
      <c r="B1189" s="1" t="str">
        <f ca="1">IFERROR(__xludf.DUMMYFUNCTION("""COMPUTED_VALUE"""),"agoldberg16@nyc.rr.com")</f>
        <v>agoldberg16@nyc.rr.com</v>
      </c>
      <c r="C1189" s="9" t="str">
        <f ca="1">IFERROR(__xludf.DUMMYFUNCTION("""COMPUTED_VALUE"""),"EVERGREEN - UAN Gated Content - Embedded Petition")</f>
        <v>EVERGREEN - UAN Gated Content - Embedded Petition</v>
      </c>
      <c r="D1189" s="10">
        <f ca="1">IFERROR(__xludf.DUMMYFUNCTION("""COMPUTED_VALUE"""),45700)</f>
        <v>45700</v>
      </c>
      <c r="E1189" s="1" t="str">
        <f ca="1">IFERROR(__xludf.DUMMYFUNCTION("""COMPUTED_VALUE"""),"Uganda")</f>
        <v>Uganda</v>
      </c>
      <c r="F1189" s="1" t="str">
        <f ca="1">IFERROR(__xludf.DUMMYFUNCTION("""COMPUTED_VALUE"""),"100.24 Uganda")</f>
        <v>100.24 Uganda</v>
      </c>
      <c r="G1189" s="1" t="str">
        <f ca="1">IFERROR(__xludf.DUMMYFUNCTION("""COMPUTED_VALUE"""),"Freedom of Expression")</f>
        <v>Freedom of Expression</v>
      </c>
      <c r="H1189" s="1" t="str">
        <f ca="1">IFERROR(__xludf.DUMMYFUNCTION("""COMPUTED_VALUE"""),"2024")</f>
        <v>2024</v>
      </c>
      <c r="I1189" s="1" t="str">
        <f ca="1">IFERROR(__xludf.DUMMYFUNCTION("""COMPUTED_VALUE"""),"Email")</f>
        <v>Email</v>
      </c>
    </row>
    <row r="1190" spans="1:9" ht="13" x14ac:dyDescent="0.15">
      <c r="A1190" s="9">
        <f ca="1">IFERROR(__xludf.DUMMYFUNCTION("""COMPUTED_VALUE"""),88395854)</f>
        <v>88395854</v>
      </c>
      <c r="B1190" s="1" t="str">
        <f ca="1">IFERROR(__xludf.DUMMYFUNCTION("""COMPUTED_VALUE"""),"agoldberg16@nyc.rr.com")</f>
        <v>agoldberg16@nyc.rr.com</v>
      </c>
      <c r="C1190" s="9" t="str">
        <f ca="1">IFERROR(__xludf.DUMMYFUNCTION("""COMPUTED_VALUE"""),"EVERGREEN - UAN Gated Content - Embedded Petition")</f>
        <v>EVERGREEN - UAN Gated Content - Embedded Petition</v>
      </c>
      <c r="D1190" s="10">
        <f ca="1">IFERROR(__xludf.DUMMYFUNCTION("""COMPUTED_VALUE"""),45700)</f>
        <v>45700</v>
      </c>
      <c r="E1190" s="1" t="str">
        <f ca="1">IFERROR(__xludf.DUMMYFUNCTION("""COMPUTED_VALUE"""),"Venezuela")</f>
        <v>Venezuela</v>
      </c>
      <c r="F1190" s="1" t="str">
        <f ca="1">IFERROR(__xludf.DUMMYFUNCTION("""COMPUTED_VALUE"""),"97.24 Venezuela")</f>
        <v>97.24 Venezuela</v>
      </c>
      <c r="G1190" s="1" t="str">
        <f ca="1">IFERROR(__xludf.DUMMYFUNCTION("""COMPUTED_VALUE"""),"Freedom of Expression")</f>
        <v>Freedom of Expression</v>
      </c>
      <c r="H1190" s="1" t="str">
        <f ca="1">IFERROR(__xludf.DUMMYFUNCTION("""COMPUTED_VALUE"""),"2024")</f>
        <v>2024</v>
      </c>
      <c r="I1190" s="1" t="str">
        <f ca="1">IFERROR(__xludf.DUMMYFUNCTION("""COMPUTED_VALUE"""),"Letter")</f>
        <v>Letter</v>
      </c>
    </row>
    <row r="1191" spans="1:9" ht="13" x14ac:dyDescent="0.15">
      <c r="A1191" s="9">
        <f ca="1">IFERROR(__xludf.DUMMYFUNCTION("""COMPUTED_VALUE"""),89953352)</f>
        <v>89953352</v>
      </c>
      <c r="B1191" s="1" t="str">
        <f ca="1">IFERROR(__xludf.DUMMYFUNCTION("""COMPUTED_VALUE"""),"adahle48@gmail.com")</f>
        <v>adahle48@gmail.com</v>
      </c>
      <c r="C1191" s="9" t="str">
        <f ca="1">IFERROR(__xludf.DUMMYFUNCTION("""COMPUTED_VALUE"""),"EVERGREEN - UAN Gated Content - Embedded Petition")</f>
        <v>EVERGREEN - UAN Gated Content - Embedded Petition</v>
      </c>
      <c r="D1191" s="10">
        <f ca="1">IFERROR(__xludf.DUMMYFUNCTION("""COMPUTED_VALUE"""),45677)</f>
        <v>45677</v>
      </c>
      <c r="E1191" s="1" t="str">
        <f ca="1">IFERROR(__xludf.DUMMYFUNCTION("""COMPUTED_VALUE"""),"China")</f>
        <v>China</v>
      </c>
      <c r="F1191" s="1" t="str">
        <f ca="1">IFERROR(__xludf.DUMMYFUNCTION("""COMPUTED_VALUE"""),"98.24 China")</f>
        <v>98.24 China</v>
      </c>
      <c r="G1191" s="1" t="str">
        <f ca="1">IFERROR(__xludf.DUMMYFUNCTION("""COMPUTED_VALUE"""),"Freedom of Expression, Individuals At Risk")</f>
        <v>Freedom of Expression, Individuals At Risk</v>
      </c>
      <c r="H1191" s="1" t="str">
        <f ca="1">IFERROR(__xludf.DUMMYFUNCTION("""COMPUTED_VALUE"""),"2024")</f>
        <v>2024</v>
      </c>
      <c r="I1191" s="1" t="str">
        <f ca="1">IFERROR(__xludf.DUMMYFUNCTION("""COMPUTED_VALUE"""),"Letter")</f>
        <v>Letter</v>
      </c>
    </row>
    <row r="1192" spans="1:9" ht="13" x14ac:dyDescent="0.15">
      <c r="A1192" s="9">
        <f ca="1">IFERROR(__xludf.DUMMYFUNCTION("""COMPUTED_VALUE"""),89953352)</f>
        <v>89953352</v>
      </c>
      <c r="B1192" s="1" t="str">
        <f ca="1">IFERROR(__xludf.DUMMYFUNCTION("""COMPUTED_VALUE"""),"adahle48@gmail.com")</f>
        <v>adahle48@gmail.com</v>
      </c>
      <c r="C1192" s="9" t="str">
        <f ca="1">IFERROR(__xludf.DUMMYFUNCTION("""COMPUTED_VALUE"""),"EVERGREEN - UAN Gated Content - Embedded Petition")</f>
        <v>EVERGREEN - UAN Gated Content - Embedded Petition</v>
      </c>
      <c r="D1192" s="10">
        <f ca="1">IFERROR(__xludf.DUMMYFUNCTION("""COMPUTED_VALUE"""),45677)</f>
        <v>45677</v>
      </c>
      <c r="E1192" s="1" t="str">
        <f ca="1">IFERROR(__xludf.DUMMYFUNCTION("""COMPUTED_VALUE"""),"Egypt")</f>
        <v>Egypt</v>
      </c>
      <c r="F1192" s="1" t="str">
        <f ca="1">IFERROR(__xludf.DUMMYFUNCTION("""COMPUTED_VALUE"""),"Third 73.23 Egypt")</f>
        <v>Third 73.23 Egypt</v>
      </c>
      <c r="G1192" s="1" t="str">
        <f ca="1">IFERROR(__xludf.DUMMYFUNCTION("""COMPUTED_VALUE"""),"Individuals At Risk")</f>
        <v>Individuals At Risk</v>
      </c>
      <c r="H1192" s="1" t="str">
        <f ca="1">IFERROR(__xludf.DUMMYFUNCTION("""COMPUTED_VALUE"""),"2024")</f>
        <v>2024</v>
      </c>
      <c r="I1192" s="1" t="str">
        <f ca="1">IFERROR(__xludf.DUMMYFUNCTION("""COMPUTED_VALUE"""),"Email")</f>
        <v>Email</v>
      </c>
    </row>
    <row r="1193" spans="1:9" ht="13" x14ac:dyDescent="0.15">
      <c r="A1193" s="9">
        <f ca="1">IFERROR(__xludf.DUMMYFUNCTION("""COMPUTED_VALUE"""),89953352)</f>
        <v>89953352</v>
      </c>
      <c r="B1193" s="1" t="str">
        <f ca="1">IFERROR(__xludf.DUMMYFUNCTION("""COMPUTED_VALUE"""),"adahle48@gmail.com")</f>
        <v>adahle48@gmail.com</v>
      </c>
      <c r="C1193" s="9" t="str">
        <f ca="1">IFERROR(__xludf.DUMMYFUNCTION("""COMPUTED_VALUE"""),"EVERGREEN - UAN Gated Content - Embedded Petition")</f>
        <v>EVERGREEN - UAN Gated Content - Embedded Petition</v>
      </c>
      <c r="D1193" s="10">
        <f ca="1">IFERROR(__xludf.DUMMYFUNCTION("""COMPUTED_VALUE"""),45678)</f>
        <v>45678</v>
      </c>
      <c r="E1193" s="1" t="str">
        <f ca="1">IFERROR(__xludf.DUMMYFUNCTION("""COMPUTED_VALUE"""),"Turkiye")</f>
        <v>Turkiye</v>
      </c>
      <c r="F1193" s="1" t="str">
        <f ca="1">IFERROR(__xludf.DUMMYFUNCTION("""COMPUTED_VALUE"""),"109.24 Türkiye")</f>
        <v>109.24 Türkiye</v>
      </c>
      <c r="G1193" s="1" t="str">
        <f ca="1">IFERROR(__xludf.DUMMYFUNCTION("""COMPUTED_VALUE"""),"Human Rights Defenders, Individuals At Risk")</f>
        <v>Human Rights Defenders, Individuals At Risk</v>
      </c>
      <c r="H1193" s="1" t="str">
        <f ca="1">IFERROR(__xludf.DUMMYFUNCTION("""COMPUTED_VALUE"""),"2024")</f>
        <v>2024</v>
      </c>
      <c r="I1193" s="1" t="str">
        <f ca="1">IFERROR(__xludf.DUMMYFUNCTION("""COMPUTED_VALUE"""),"Email")</f>
        <v>Email</v>
      </c>
    </row>
    <row r="1194" spans="1:9" ht="13" x14ac:dyDescent="0.15">
      <c r="A1194" s="9">
        <f ca="1">IFERROR(__xludf.DUMMYFUNCTION("""COMPUTED_VALUE"""),90641209)</f>
        <v>90641209</v>
      </c>
      <c r="B1194" s="1" t="str">
        <f ca="1">IFERROR(__xludf.DUMMYFUNCTION("""COMPUTED_VALUE"""),"sisterpamop@gmail.com")</f>
        <v>sisterpamop@gmail.com</v>
      </c>
      <c r="C1194" s="9" t="str">
        <f ca="1">IFERROR(__xludf.DUMMYFUNCTION("""COMPUTED_VALUE"""),"EVERGREEN - UAN Gated Content - Embedded Petition")</f>
        <v>EVERGREEN - UAN Gated Content - Embedded Petition</v>
      </c>
      <c r="D1194" s="10">
        <f ca="1">IFERROR(__xludf.DUMMYFUNCTION("""COMPUTED_VALUE"""),45696)</f>
        <v>45696</v>
      </c>
      <c r="E1194" s="1" t="str">
        <f ca="1">IFERROR(__xludf.DUMMYFUNCTION("""COMPUTED_VALUE"""),"Niger")</f>
        <v>Niger</v>
      </c>
      <c r="F1194" s="1" t="str">
        <f ca="1">IFERROR(__xludf.DUMMYFUNCTION("""COMPUTED_VALUE"""),"103.24 Niger")</f>
        <v>103.24 Niger</v>
      </c>
      <c r="G1194" s="1" t="str">
        <f ca="1">IFERROR(__xludf.DUMMYFUNCTION("""COMPUTED_VALUE"""),"Freedom of Expression, Human Rights Defenders")</f>
        <v>Freedom of Expression, Human Rights Defenders</v>
      </c>
      <c r="H1194" s="1" t="str">
        <f ca="1">IFERROR(__xludf.DUMMYFUNCTION("""COMPUTED_VALUE"""),"2024")</f>
        <v>2024</v>
      </c>
      <c r="I1194" s="1" t="str">
        <f ca="1">IFERROR(__xludf.DUMMYFUNCTION("""COMPUTED_VALUE"""),"Email")</f>
        <v>Email</v>
      </c>
    </row>
    <row r="1195" spans="1:9" ht="13" x14ac:dyDescent="0.15">
      <c r="A1195" s="9">
        <f ca="1">IFERROR(__xludf.DUMMYFUNCTION("""COMPUTED_VALUE"""),95069175)</f>
        <v>95069175</v>
      </c>
      <c r="B1195" s="1" t="str">
        <f ca="1">IFERROR(__xludf.DUMMYFUNCTION("""COMPUTED_VALUE"""),"sadie8882@gmail.com")</f>
        <v>sadie8882@gmail.com</v>
      </c>
      <c r="C1195" s="9" t="str">
        <f ca="1">IFERROR(__xludf.DUMMYFUNCTION("""COMPUTED_VALUE"""),"EVERGREEN - UAN Gated Content - Embedded Petition")</f>
        <v>EVERGREEN - UAN Gated Content - Embedded Petition</v>
      </c>
      <c r="D1195" s="10">
        <f ca="1">IFERROR(__xludf.DUMMYFUNCTION("""COMPUTED_VALUE"""),45636)</f>
        <v>45636</v>
      </c>
      <c r="E1195" s="1" t="str">
        <f ca="1">IFERROR(__xludf.DUMMYFUNCTION("""COMPUTED_VALUE"""),"Tunisia")</f>
        <v>Tunisia</v>
      </c>
      <c r="F1195" s="1" t="str">
        <f ca="1">IFERROR(__xludf.DUMMYFUNCTION("""COMPUTED_VALUE"""),"Second 43.24 Tunisia")</f>
        <v>Second 43.24 Tunisia</v>
      </c>
      <c r="G1195" s="1" t="str">
        <f ca="1">IFERROR(__xludf.DUMMYFUNCTION("""COMPUTED_VALUE"""),"Freedom of Expression, Individuals At Risk")</f>
        <v>Freedom of Expression, Individuals At Risk</v>
      </c>
      <c r="H1195" s="1" t="str">
        <f ca="1">IFERROR(__xludf.DUMMYFUNCTION("""COMPUTED_VALUE"""),"2024")</f>
        <v>2024</v>
      </c>
      <c r="I1195" s="1" t="str">
        <f ca="1">IFERROR(__xludf.DUMMYFUNCTION("""COMPUTED_VALUE"""),"Email")</f>
        <v>Email</v>
      </c>
    </row>
    <row r="1196" spans="1:9" ht="13" x14ac:dyDescent="0.15">
      <c r="A1196" s="9">
        <f ca="1">IFERROR(__xludf.DUMMYFUNCTION("""COMPUTED_VALUE"""),95309197)</f>
        <v>95309197</v>
      </c>
      <c r="B1196" s="1" t="str">
        <f ca="1">IFERROR(__xludf.DUMMYFUNCTION("""COMPUTED_VALUE"""),"r_e_rutkowski@att.net")</f>
        <v>r_e_rutkowski@att.net</v>
      </c>
      <c r="C1196" s="9" t="str">
        <f ca="1">IFERROR(__xludf.DUMMYFUNCTION("""COMPUTED_VALUE"""),"EVERGREEN - UAN Gated Content - Embedded Petition")</f>
        <v>EVERGREEN - UAN Gated Content - Embedded Petition</v>
      </c>
      <c r="D1196" s="10">
        <f ca="1">IFERROR(__xludf.DUMMYFUNCTION("""COMPUTED_VALUE"""),45636)</f>
        <v>45636</v>
      </c>
      <c r="E1196" s="1" t="str">
        <f ca="1">IFERROR(__xludf.DUMMYFUNCTION("""COMPUTED_VALUE"""),"China")</f>
        <v>China</v>
      </c>
      <c r="F1196" s="1" t="str">
        <f ca="1">IFERROR(__xludf.DUMMYFUNCTION("""COMPUTED_VALUE"""),"106.24 China")</f>
        <v>106.24 China</v>
      </c>
      <c r="G1196" s="1" t="str">
        <f ca="1">IFERROR(__xludf.DUMMYFUNCTION("""COMPUTED_VALUE"""),"Freedom of Expression, Individuals At Risk")</f>
        <v>Freedom of Expression, Individuals At Risk</v>
      </c>
      <c r="H1196" s="1" t="str">
        <f ca="1">IFERROR(__xludf.DUMMYFUNCTION("""COMPUTED_VALUE"""),"2024")</f>
        <v>2024</v>
      </c>
      <c r="I1196" s="1" t="str">
        <f ca="1">IFERROR(__xludf.DUMMYFUNCTION("""COMPUTED_VALUE"""),"Email")</f>
        <v>Email</v>
      </c>
    </row>
    <row r="1197" spans="1:9" ht="13" x14ac:dyDescent="0.15">
      <c r="A1197" s="9">
        <f ca="1">IFERROR(__xludf.DUMMYFUNCTION("""COMPUTED_VALUE"""),95482221)</f>
        <v>95482221</v>
      </c>
      <c r="B1197" s="1" t="str">
        <f ca="1">IFERROR(__xludf.DUMMYFUNCTION("""COMPUTED_VALUE"""),"jesaitisl@gmail.com")</f>
        <v>jesaitisl@gmail.com</v>
      </c>
      <c r="C1197" s="9" t="str">
        <f ca="1">IFERROR(__xludf.DUMMYFUNCTION("""COMPUTED_VALUE"""),"EVERGREEN - UAN Gated Content - Embedded Petition")</f>
        <v>EVERGREEN - UAN Gated Content - Embedded Petition</v>
      </c>
      <c r="D1197" s="10">
        <f ca="1">IFERROR(__xludf.DUMMYFUNCTION("""COMPUTED_VALUE"""),45616)</f>
        <v>45616</v>
      </c>
      <c r="E1197" s="1" t="str">
        <f ca="1">IFERROR(__xludf.DUMMYFUNCTION("""COMPUTED_VALUE"""),"Saudi Arabia")</f>
        <v>Saudi Arabia</v>
      </c>
      <c r="F1197" s="1" t="str">
        <f ca="1">IFERROR(__xludf.DUMMYFUNCTION("""COMPUTED_VALUE"""),"104.24 Saudi Arabia")</f>
        <v>104.24 Saudi Arabia</v>
      </c>
      <c r="G1197" s="1" t="str">
        <f ca="1">IFERROR(__xludf.DUMMYFUNCTION("""COMPUTED_VALUE"""),"Individuals At Risk, Refugee and Migrant Rights")</f>
        <v>Individuals At Risk, Refugee and Migrant Rights</v>
      </c>
      <c r="H1197" s="1" t="str">
        <f ca="1">IFERROR(__xludf.DUMMYFUNCTION("""COMPUTED_VALUE"""),"2024")</f>
        <v>2024</v>
      </c>
      <c r="I1197" s="1" t="str">
        <f ca="1">IFERROR(__xludf.DUMMYFUNCTION("""COMPUTED_VALUE"""),"Email")</f>
        <v>Email</v>
      </c>
    </row>
    <row r="1198" spans="1:9" ht="13" x14ac:dyDescent="0.15">
      <c r="A1198" s="9">
        <f ca="1">IFERROR(__xludf.DUMMYFUNCTION("""COMPUTED_VALUE"""),97330329)</f>
        <v>97330329</v>
      </c>
      <c r="B1198" s="1" t="str">
        <f ca="1">IFERROR(__xludf.DUMMYFUNCTION("""COMPUTED_VALUE"""),"mslattery0404@gmail.com")</f>
        <v>mslattery0404@gmail.com</v>
      </c>
      <c r="C1198" s="9" t="str">
        <f ca="1">IFERROR(__xludf.DUMMYFUNCTION("""COMPUTED_VALUE"""),"EVERGREEN - UAN Gated Content - Embedded Petition")</f>
        <v>EVERGREEN - UAN Gated Content - Embedded Petition</v>
      </c>
      <c r="D1198" s="10">
        <f ca="1">IFERROR(__xludf.DUMMYFUNCTION("""COMPUTED_VALUE"""),45694)</f>
        <v>45694</v>
      </c>
      <c r="E1198" s="1" t="str">
        <f ca="1">IFERROR(__xludf.DUMMYFUNCTION("""COMPUTED_VALUE"""),"Egypt")</f>
        <v>Egypt</v>
      </c>
      <c r="F1198" s="1" t="str">
        <f ca="1">IFERROR(__xludf.DUMMYFUNCTION("""COMPUTED_VALUE"""),"Fourth 29.23 Egypt")</f>
        <v>Fourth 29.23 Egypt</v>
      </c>
      <c r="G1198" s="1" t="str">
        <f ca="1">IFERROR(__xludf.DUMMYFUNCTION("""COMPUTED_VALUE"""),"Freedom of Expression, Individuals At Risk, Right to Protest")</f>
        <v>Freedom of Expression, Individuals At Risk, Right to Protest</v>
      </c>
      <c r="H1198" s="1" t="str">
        <f ca="1">IFERROR(__xludf.DUMMYFUNCTION("""COMPUTED_VALUE"""),"2024")</f>
        <v>2024</v>
      </c>
      <c r="I1198" s="1" t="str">
        <f ca="1">IFERROR(__xludf.DUMMYFUNCTION("""COMPUTED_VALUE"""),"Email")</f>
        <v>Email</v>
      </c>
    </row>
    <row r="1199" spans="1:9" ht="13" x14ac:dyDescent="0.15">
      <c r="A1199" s="9">
        <f ca="1">IFERROR(__xludf.DUMMYFUNCTION("""COMPUTED_VALUE"""),100847660)</f>
        <v>100847660</v>
      </c>
      <c r="B1199" s="1" t="str">
        <f ca="1">IFERROR(__xludf.DUMMYFUNCTION("""COMPUTED_VALUE"""),"khernd@gmail.com")</f>
        <v>khernd@gmail.com</v>
      </c>
      <c r="C1199" s="9" t="str">
        <f ca="1">IFERROR(__xludf.DUMMYFUNCTION("""COMPUTED_VALUE"""),"EVERGREEN - UAN Gated Content - Embedded Petition")</f>
        <v>EVERGREEN - UAN Gated Content - Embedded Petition</v>
      </c>
      <c r="D1199" s="10">
        <f ca="1">IFERROR(__xludf.DUMMYFUNCTION("""COMPUTED_VALUE"""),45616)</f>
        <v>45616</v>
      </c>
      <c r="E1199" s="1" t="str">
        <f ca="1">IFERROR(__xludf.DUMMYFUNCTION("""COMPUTED_VALUE"""),"Russian Federation")</f>
        <v>Russian Federation</v>
      </c>
      <c r="F1199" s="1" t="str">
        <f ca="1">IFERROR(__xludf.DUMMYFUNCTION("""COMPUTED_VALUE"""),"102.24 Russia")</f>
        <v>102.24 Russia</v>
      </c>
      <c r="G1199" s="1" t="str">
        <f ca="1">IFERROR(__xludf.DUMMYFUNCTION("""COMPUTED_VALUE"""),"Freedom of Expression, Individuals At Risk, Right to Protest")</f>
        <v>Freedom of Expression, Individuals At Risk, Right to Protest</v>
      </c>
      <c r="H1199" s="1" t="str">
        <f ca="1">IFERROR(__xludf.DUMMYFUNCTION("""COMPUTED_VALUE"""),"2024")</f>
        <v>2024</v>
      </c>
      <c r="I1199" s="1" t="str">
        <f ca="1">IFERROR(__xludf.DUMMYFUNCTION("""COMPUTED_VALUE"""),"Email")</f>
        <v>Email</v>
      </c>
    </row>
    <row r="1200" spans="1:9" ht="13" x14ac:dyDescent="0.15">
      <c r="A1200" s="9">
        <f ca="1">IFERROR(__xludf.DUMMYFUNCTION("""COMPUTED_VALUE"""),100852661)</f>
        <v>100852661</v>
      </c>
      <c r="B1200" s="1" t="str">
        <f ca="1">IFERROR(__xludf.DUMMYFUNCTION("""COMPUTED_VALUE"""),"gregfest@cltel.net")</f>
        <v>gregfest@cltel.net</v>
      </c>
      <c r="C1200" s="9" t="str">
        <f ca="1">IFERROR(__xludf.DUMMYFUNCTION("""COMPUTED_VALUE"""),"EVERGREEN - UAN Gated Content - Embedded Petition")</f>
        <v>EVERGREEN - UAN Gated Content - Embedded Petition</v>
      </c>
      <c r="D1200" s="10">
        <f ca="1">IFERROR(__xludf.DUMMYFUNCTION("""COMPUTED_VALUE"""),45677)</f>
        <v>45677</v>
      </c>
      <c r="E1200" s="1" t="str">
        <f ca="1">IFERROR(__xludf.DUMMYFUNCTION("""COMPUTED_VALUE"""),"Iran")</f>
        <v>Iran</v>
      </c>
      <c r="F1200" s="1" t="str">
        <f ca="1">IFERROR(__xludf.DUMMYFUNCTION("""COMPUTED_VALUE"""),"101.24 Iran")</f>
        <v>101.24 Iran</v>
      </c>
      <c r="G1200" s="1" t="str">
        <f ca="1">IFERROR(__xludf.DUMMYFUNCTION("""COMPUTED_VALUE"""),"Death Penalty, Freedom of Expression, Individuals At Risk, Right to Protest")</f>
        <v>Death Penalty, Freedom of Expression, Individuals At Risk, Right to Protest</v>
      </c>
      <c r="H1200" s="1" t="str">
        <f ca="1">IFERROR(__xludf.DUMMYFUNCTION("""COMPUTED_VALUE"""),"2024")</f>
        <v>2024</v>
      </c>
      <c r="I1200" s="1" t="str">
        <f ca="1">IFERROR(__xludf.DUMMYFUNCTION("""COMPUTED_VALUE"""),"Email")</f>
        <v>Email</v>
      </c>
    </row>
    <row r="1201" spans="1:9" ht="13" x14ac:dyDescent="0.15">
      <c r="A1201" s="9">
        <f ca="1">IFERROR(__xludf.DUMMYFUNCTION("""COMPUTED_VALUE"""),101796544)</f>
        <v>101796544</v>
      </c>
      <c r="B1201" s="1" t="str">
        <f ca="1">IFERROR(__xludf.DUMMYFUNCTION("""COMPUTED_VALUE"""),"stluc2.4@gmail.com")</f>
        <v>stluc2.4@gmail.com</v>
      </c>
      <c r="C1201" s="9" t="str">
        <f ca="1">IFERROR(__xludf.DUMMYFUNCTION("""COMPUTED_VALUE"""),"EVERGREEN - UAN Gated Content - Embedded Petition")</f>
        <v>EVERGREEN - UAN Gated Content - Embedded Petition</v>
      </c>
      <c r="D1201" s="10">
        <f ca="1">IFERROR(__xludf.DUMMYFUNCTION("""COMPUTED_VALUE"""),45697)</f>
        <v>45697</v>
      </c>
      <c r="E1201" s="1" t="str">
        <f ca="1">IFERROR(__xludf.DUMMYFUNCTION("""COMPUTED_VALUE"""),"Iran")</f>
        <v>Iran</v>
      </c>
      <c r="F1201" s="1" t="str">
        <f ca="1">IFERROR(__xludf.DUMMYFUNCTION("""COMPUTED_VALUE"""),"101.24 Iran")</f>
        <v>101.24 Iran</v>
      </c>
      <c r="G1201" s="1" t="str">
        <f ca="1">IFERROR(__xludf.DUMMYFUNCTION("""COMPUTED_VALUE"""),"Death Penalty, Freedom of Expression, Individuals At Risk, Right to Protest")</f>
        <v>Death Penalty, Freedom of Expression, Individuals At Risk, Right to Protest</v>
      </c>
      <c r="H1201" s="1" t="str">
        <f ca="1">IFERROR(__xludf.DUMMYFUNCTION("""COMPUTED_VALUE"""),"2024")</f>
        <v>2024</v>
      </c>
      <c r="I1201" s="1" t="str">
        <f ca="1">IFERROR(__xludf.DUMMYFUNCTION("""COMPUTED_VALUE"""),"Email")</f>
        <v>Email</v>
      </c>
    </row>
    <row r="1202" spans="1:9" ht="13" x14ac:dyDescent="0.15">
      <c r="A1202" s="9">
        <f ca="1">IFERROR(__xludf.DUMMYFUNCTION("""COMPUTED_VALUE"""),103712330)</f>
        <v>103712330</v>
      </c>
      <c r="B1202" s="1" t="str">
        <f ca="1">IFERROR(__xludf.DUMMYFUNCTION("""COMPUTED_VALUE"""),"rmarshall@fastmail.com")</f>
        <v>rmarshall@fastmail.com</v>
      </c>
      <c r="C1202" s="9" t="str">
        <f ca="1">IFERROR(__xludf.DUMMYFUNCTION("""COMPUTED_VALUE"""),"EVERGREEN - UAN Gated Content - Embedded Petition")</f>
        <v>EVERGREEN - UAN Gated Content - Embedded Petition</v>
      </c>
      <c r="D1202" s="10">
        <f ca="1">IFERROR(__xludf.DUMMYFUNCTION("""COMPUTED_VALUE"""),45702)</f>
        <v>45702</v>
      </c>
      <c r="E1202" s="1" t="str">
        <f ca="1">IFERROR(__xludf.DUMMYFUNCTION("""COMPUTED_VALUE"""),"Egypt")</f>
        <v>Egypt</v>
      </c>
      <c r="F1202" s="1" t="str">
        <f ca="1">IFERROR(__xludf.DUMMYFUNCTION("""COMPUTED_VALUE"""),"Ninth 190.18 Egypt")</f>
        <v>Ninth 190.18 Egypt</v>
      </c>
      <c r="G1202" s="1" t="str">
        <f ca="1">IFERROR(__xludf.DUMMYFUNCTION("""COMPUTED_VALUE"""),"Freedom of Expression, Individuals At Risk")</f>
        <v>Freedom of Expression, Individuals At Risk</v>
      </c>
      <c r="H1202" s="1" t="str">
        <f ca="1">IFERROR(__xludf.DUMMYFUNCTION("""COMPUTED_VALUE"""),"2024")</f>
        <v>2024</v>
      </c>
      <c r="I1202" s="1" t="str">
        <f ca="1">IFERROR(__xludf.DUMMYFUNCTION("""COMPUTED_VALUE"""),"Letter")</f>
        <v>Letter</v>
      </c>
    </row>
    <row r="1203" spans="1:9" ht="13" x14ac:dyDescent="0.15">
      <c r="A1203" s="9">
        <f ca="1">IFERROR(__xludf.DUMMYFUNCTION("""COMPUTED_VALUE"""),103712330)</f>
        <v>103712330</v>
      </c>
      <c r="B1203" s="1" t="str">
        <f ca="1">IFERROR(__xludf.DUMMYFUNCTION("""COMPUTED_VALUE"""),"rmarshall@fastmail.com")</f>
        <v>rmarshall@fastmail.com</v>
      </c>
      <c r="C1203" s="9" t="str">
        <f ca="1">IFERROR(__xludf.DUMMYFUNCTION("""COMPUTED_VALUE"""),"EVERGREEN - UAN Gated Content - Embedded Petition")</f>
        <v>EVERGREEN - UAN Gated Content - Embedded Petition</v>
      </c>
      <c r="D1203" s="10">
        <f ca="1">IFERROR(__xludf.DUMMYFUNCTION("""COMPUTED_VALUE"""),45702)</f>
        <v>45702</v>
      </c>
      <c r="E1203" s="1" t="str">
        <f ca="1">IFERROR(__xludf.DUMMYFUNCTION("""COMPUTED_VALUE"""),"Saudi Arabia")</f>
        <v>Saudi Arabia</v>
      </c>
      <c r="F1203" s="1" t="str">
        <f ca="1">IFERROR(__xludf.DUMMYFUNCTION("""COMPUTED_VALUE"""),"Second 85.23 Saudi Arabia")</f>
        <v>Second 85.23 Saudi Arabia</v>
      </c>
      <c r="G1203" s="1" t="str">
        <f ca="1">IFERROR(__xludf.DUMMYFUNCTION("""COMPUTED_VALUE"""),"Freedom of Expression")</f>
        <v>Freedom of Expression</v>
      </c>
      <c r="H1203" s="1" t="str">
        <f ca="1">IFERROR(__xludf.DUMMYFUNCTION("""COMPUTED_VALUE"""),"2024")</f>
        <v>2024</v>
      </c>
      <c r="I1203" s="1" t="str">
        <f ca="1">IFERROR(__xludf.DUMMYFUNCTION("""COMPUTED_VALUE"""),"Letter")</f>
        <v>Letter</v>
      </c>
    </row>
    <row r="1204" spans="1:9" ht="13" x14ac:dyDescent="0.15">
      <c r="A1204" s="9">
        <f ca="1">IFERROR(__xludf.DUMMYFUNCTION("""COMPUTED_VALUE"""),103712330)</f>
        <v>103712330</v>
      </c>
      <c r="B1204" s="1" t="str">
        <f ca="1">IFERROR(__xludf.DUMMYFUNCTION("""COMPUTED_VALUE"""),"rmarshall@fastmail.com")</f>
        <v>rmarshall@fastmail.com</v>
      </c>
      <c r="C1204" s="9" t="str">
        <f ca="1">IFERROR(__xludf.DUMMYFUNCTION("""COMPUTED_VALUE"""),"EVERGREEN - UAN Gated Content - Embedded Petition")</f>
        <v>EVERGREEN - UAN Gated Content - Embedded Petition</v>
      </c>
      <c r="D1204" s="10">
        <f ca="1">IFERROR(__xludf.DUMMYFUNCTION("""COMPUTED_VALUE"""),45633)</f>
        <v>45633</v>
      </c>
      <c r="E1204" s="1" t="str">
        <f ca="1">IFERROR(__xludf.DUMMYFUNCTION("""COMPUTED_VALUE"""),"Egypt")</f>
        <v>Egypt</v>
      </c>
      <c r="F1204" s="1" t="str">
        <f ca="1">IFERROR(__xludf.DUMMYFUNCTION("""COMPUTED_VALUE"""),"Ninth 190.18 Egypt")</f>
        <v>Ninth 190.18 Egypt</v>
      </c>
      <c r="G1204" s="1" t="str">
        <f ca="1">IFERROR(__xludf.DUMMYFUNCTION("""COMPUTED_VALUE"""),"Freedom of Expression, Individuals At Risk")</f>
        <v>Freedom of Expression, Individuals At Risk</v>
      </c>
      <c r="H1204" s="1" t="str">
        <f ca="1">IFERROR(__xludf.DUMMYFUNCTION("""COMPUTED_VALUE"""),"2024")</f>
        <v>2024</v>
      </c>
      <c r="I1204" s="1" t="str">
        <f ca="1">IFERROR(__xludf.DUMMYFUNCTION("""COMPUTED_VALUE"""),"Letter")</f>
        <v>Letter</v>
      </c>
    </row>
    <row r="1205" spans="1:9" ht="13" x14ac:dyDescent="0.15">
      <c r="A1205" s="9">
        <f ca="1">IFERROR(__xludf.DUMMYFUNCTION("""COMPUTED_VALUE"""),104935454)</f>
        <v>104935454</v>
      </c>
      <c r="B1205" s="1" t="str">
        <f ca="1">IFERROR(__xludf.DUMMYFUNCTION("""COMPUTED_VALUE"""),"luismesquitafonseca@hotmail.com")</f>
        <v>luismesquitafonseca@hotmail.com</v>
      </c>
      <c r="C1205" s="9" t="str">
        <f ca="1">IFERROR(__xludf.DUMMYFUNCTION("""COMPUTED_VALUE"""),"EVERGREEN - UAN Gated Content - Embedded Petition")</f>
        <v>EVERGREEN - UAN Gated Content - Embedded Petition</v>
      </c>
      <c r="D1205" s="10">
        <f ca="1">IFERROR(__xludf.DUMMYFUNCTION("""COMPUTED_VALUE"""),45694)</f>
        <v>45694</v>
      </c>
      <c r="E1205" s="1" t="str">
        <f ca="1">IFERROR(__xludf.DUMMYFUNCTION("""COMPUTED_VALUE"""),"Saudi Arabia")</f>
        <v>Saudi Arabia</v>
      </c>
      <c r="F1205" s="1" t="str">
        <f ca="1">IFERROR(__xludf.DUMMYFUNCTION("""COMPUTED_VALUE"""),"Second 85.23 Saudi Arabia")</f>
        <v>Second 85.23 Saudi Arabia</v>
      </c>
      <c r="G1205" s="1" t="str">
        <f ca="1">IFERROR(__xludf.DUMMYFUNCTION("""COMPUTED_VALUE"""),"Freedom of Expression")</f>
        <v>Freedom of Expression</v>
      </c>
      <c r="H1205" s="1" t="str">
        <f ca="1">IFERROR(__xludf.DUMMYFUNCTION("""COMPUTED_VALUE"""),"2024")</f>
        <v>2024</v>
      </c>
      <c r="I1205" s="1" t="str">
        <f ca="1">IFERROR(__xludf.DUMMYFUNCTION("""COMPUTED_VALUE"""),"Letter")</f>
        <v>Letter</v>
      </c>
    </row>
    <row r="1206" spans="1:9" ht="13" x14ac:dyDescent="0.15">
      <c r="A1206" s="9">
        <f ca="1">IFERROR(__xludf.DUMMYFUNCTION("""COMPUTED_VALUE"""),106012094)</f>
        <v>106012094</v>
      </c>
      <c r="B1206" s="1" t="str">
        <f ca="1">IFERROR(__xludf.DUMMYFUNCTION("""COMPUTED_VALUE"""),"jnkpauley@gmail.com")</f>
        <v>jnkpauley@gmail.com</v>
      </c>
      <c r="C1206" s="9" t="str">
        <f ca="1">IFERROR(__xludf.DUMMYFUNCTION("""COMPUTED_VALUE"""),"EVERGREEN - UAN Gated Content - Embedded Petition")</f>
        <v>EVERGREEN - UAN Gated Content - Embedded Petition</v>
      </c>
      <c r="D1206" s="10">
        <f ca="1">IFERROR(__xludf.DUMMYFUNCTION("""COMPUTED_VALUE"""),45694)</f>
        <v>45694</v>
      </c>
      <c r="E1206" s="1" t="str">
        <f ca="1">IFERROR(__xludf.DUMMYFUNCTION("""COMPUTED_VALUE"""),"Russian Federation")</f>
        <v>Russian Federation</v>
      </c>
      <c r="F1206" s="1" t="str">
        <f ca="1">IFERROR(__xludf.DUMMYFUNCTION("""COMPUTED_VALUE"""),"Second 23.24 Russia")</f>
        <v>Second 23.24 Russia</v>
      </c>
      <c r="G1206" s="1" t="str">
        <f ca="1">IFERROR(__xludf.DUMMYFUNCTION("""COMPUTED_VALUE"""),"Freedom of Expression")</f>
        <v>Freedom of Expression</v>
      </c>
      <c r="H1206" s="1" t="str">
        <f ca="1">IFERROR(__xludf.DUMMYFUNCTION("""COMPUTED_VALUE"""),"2024")</f>
        <v>2024</v>
      </c>
      <c r="I1206" s="1" t="str">
        <f ca="1">IFERROR(__xludf.DUMMYFUNCTION("""COMPUTED_VALUE"""),"Letter")</f>
        <v>Letter</v>
      </c>
    </row>
    <row r="1207" spans="1:9" ht="13" x14ac:dyDescent="0.15">
      <c r="A1207" s="9">
        <f ca="1">IFERROR(__xludf.DUMMYFUNCTION("""COMPUTED_VALUE"""),108543739)</f>
        <v>108543739</v>
      </c>
      <c r="B1207" s="1" t="str">
        <f ca="1">IFERROR(__xludf.DUMMYFUNCTION("""COMPUTED_VALUE"""),"cclaireham@gmail.com")</f>
        <v>cclaireham@gmail.com</v>
      </c>
      <c r="C1207" s="9" t="str">
        <f ca="1">IFERROR(__xludf.DUMMYFUNCTION("""COMPUTED_VALUE"""),"EVERGREEN - UAN Gated Content - Embedded Petition")</f>
        <v>EVERGREEN - UAN Gated Content - Embedded Petition</v>
      </c>
      <c r="D1207" s="10">
        <f ca="1">IFERROR(__xludf.DUMMYFUNCTION("""COMPUTED_VALUE"""),45700)</f>
        <v>45700</v>
      </c>
      <c r="E1207" s="1" t="str">
        <f ca="1">IFERROR(__xludf.DUMMYFUNCTION("""COMPUTED_VALUE"""),"China")</f>
        <v>China</v>
      </c>
      <c r="F1207" s="1" t="str">
        <f ca="1">IFERROR(__xludf.DUMMYFUNCTION("""COMPUTED_VALUE"""),"98.24 China")</f>
        <v>98.24 China</v>
      </c>
      <c r="G1207" s="1" t="str">
        <f ca="1">IFERROR(__xludf.DUMMYFUNCTION("""COMPUTED_VALUE"""),"Freedom of Expression, Individuals At Risk")</f>
        <v>Freedom of Expression, Individuals At Risk</v>
      </c>
      <c r="H1207" s="1" t="str">
        <f ca="1">IFERROR(__xludf.DUMMYFUNCTION("""COMPUTED_VALUE"""),"2024")</f>
        <v>2024</v>
      </c>
      <c r="I1207" s="1" t="str">
        <f ca="1">IFERROR(__xludf.DUMMYFUNCTION("""COMPUTED_VALUE"""),"Letter")</f>
        <v>Letter</v>
      </c>
    </row>
    <row r="1208" spans="1:9" ht="13" x14ac:dyDescent="0.15">
      <c r="A1208" s="9">
        <f ca="1">IFERROR(__xludf.DUMMYFUNCTION("""COMPUTED_VALUE"""),111279340)</f>
        <v>111279340</v>
      </c>
      <c r="B1208" s="1" t="str">
        <f ca="1">IFERROR(__xludf.DUMMYFUNCTION("""COMPUTED_VALUE"""),"pbchmelik@icloud.com")</f>
        <v>pbchmelik@icloud.com</v>
      </c>
      <c r="C1208" s="9" t="str">
        <f ca="1">IFERROR(__xludf.DUMMYFUNCTION("""COMPUTED_VALUE"""),"EVERGREEN - UAN Gated Content - Embedded Petition")</f>
        <v>EVERGREEN - UAN Gated Content - Embedded Petition</v>
      </c>
      <c r="D1208" s="10">
        <f ca="1">IFERROR(__xludf.DUMMYFUNCTION("""COMPUTED_VALUE"""),45635)</f>
        <v>45635</v>
      </c>
      <c r="E1208" s="1" t="str">
        <f ca="1">IFERROR(__xludf.DUMMYFUNCTION("""COMPUTED_VALUE"""),"Uganda")</f>
        <v>Uganda</v>
      </c>
      <c r="F1208" s="1" t="str">
        <f ca="1">IFERROR(__xludf.DUMMYFUNCTION("""COMPUTED_VALUE"""),"9.25 Uganda")</f>
        <v>9.25 Uganda</v>
      </c>
      <c r="G1208" s="1" t="str">
        <f ca="1">IFERROR(__xludf.DUMMYFUNCTION("""COMPUTED_VALUE"""),"Freedom of Expression, Human Rights Defenders")</f>
        <v>Freedom of Expression, Human Rights Defenders</v>
      </c>
      <c r="H1208" s="1" t="str">
        <f ca="1">IFERROR(__xludf.DUMMYFUNCTION("""COMPUTED_VALUE"""),"2025")</f>
        <v>2025</v>
      </c>
      <c r="I1208" s="1" t="str">
        <f ca="1">IFERROR(__xludf.DUMMYFUNCTION("""COMPUTED_VALUE"""),"Email")</f>
        <v>Email</v>
      </c>
    </row>
    <row r="1209" spans="1:9" ht="13" x14ac:dyDescent="0.15">
      <c r="A1209" s="9">
        <f ca="1">IFERROR(__xludf.DUMMYFUNCTION("""COMPUTED_VALUE"""),111279340)</f>
        <v>111279340</v>
      </c>
      <c r="B1209" s="1" t="str">
        <f ca="1">IFERROR(__xludf.DUMMYFUNCTION("""COMPUTED_VALUE"""),"pbchmelik@icloud.com")</f>
        <v>pbchmelik@icloud.com</v>
      </c>
      <c r="C1209" s="9" t="str">
        <f ca="1">IFERROR(__xludf.DUMMYFUNCTION("""COMPUTED_VALUE"""),"EVERGREEN - UAN Gated Content - Embedded Petition")</f>
        <v>EVERGREEN - UAN Gated Content - Embedded Petition</v>
      </c>
      <c r="D1209" s="10">
        <f ca="1">IFERROR(__xludf.DUMMYFUNCTION("""COMPUTED_VALUE"""),45631)</f>
        <v>45631</v>
      </c>
      <c r="E1209" s="1" t="str">
        <f ca="1">IFERROR(__xludf.DUMMYFUNCTION("""COMPUTED_VALUE"""),"Iran")</f>
        <v>Iran</v>
      </c>
      <c r="F1209" s="1" t="str">
        <f ca="1">IFERROR(__xludf.DUMMYFUNCTION("""COMPUTED_VALUE"""),"10.25 Iran")</f>
        <v>10.25 Iran</v>
      </c>
      <c r="G1209" s="1" t="str">
        <f ca="1">IFERROR(__xludf.DUMMYFUNCTION("""COMPUTED_VALUE"""),"Death Penalty, Individuals At Risk")</f>
        <v>Death Penalty, Individuals At Risk</v>
      </c>
      <c r="H1209" s="1" t="str">
        <f ca="1">IFERROR(__xludf.DUMMYFUNCTION("""COMPUTED_VALUE"""),"2025")</f>
        <v>2025</v>
      </c>
      <c r="I1209" s="1" t="str">
        <f ca="1">IFERROR(__xludf.DUMMYFUNCTION("""COMPUTED_VALUE"""),"Email")</f>
        <v>Email</v>
      </c>
    </row>
    <row r="1210" spans="1:9" ht="13" x14ac:dyDescent="0.15">
      <c r="A1210" s="9">
        <f ca="1">IFERROR(__xludf.DUMMYFUNCTION("""COMPUTED_VALUE"""),111279340)</f>
        <v>111279340</v>
      </c>
      <c r="B1210" s="1" t="str">
        <f ca="1">IFERROR(__xludf.DUMMYFUNCTION("""COMPUTED_VALUE"""),"pbchmelik@icloud.com")</f>
        <v>pbchmelik@icloud.com</v>
      </c>
      <c r="C1210" s="9" t="str">
        <f ca="1">IFERROR(__xludf.DUMMYFUNCTION("""COMPUTED_VALUE"""),"EVERGREEN - UAN Gated Content - Embedded Petition")</f>
        <v>EVERGREEN - UAN Gated Content - Embedded Petition</v>
      </c>
      <c r="D1210" s="10">
        <f ca="1">IFERROR(__xludf.DUMMYFUNCTION("""COMPUTED_VALUE"""),45629)</f>
        <v>45629</v>
      </c>
      <c r="E1210" s="1" t="str">
        <f ca="1">IFERROR(__xludf.DUMMYFUNCTION("""COMPUTED_VALUE"""),"Egypt")</f>
        <v>Egypt</v>
      </c>
      <c r="F1210" s="1" t="str">
        <f ca="1">IFERROR(__xludf.DUMMYFUNCTION("""COMPUTED_VALUE"""),"Second 80.23 Egypt")</f>
        <v>Second 80.23 Egypt</v>
      </c>
      <c r="G1210" s="1" t="str">
        <f ca="1">IFERROR(__xludf.DUMMYFUNCTION("""COMPUTED_VALUE"""),"Health, Individuals At Risk")</f>
        <v>Health, Individuals At Risk</v>
      </c>
      <c r="H1210" s="1" t="str">
        <f ca="1">IFERROR(__xludf.DUMMYFUNCTION("""COMPUTED_VALUE"""),"2025")</f>
        <v>2025</v>
      </c>
      <c r="I1210" s="1" t="str">
        <f ca="1">IFERROR(__xludf.DUMMYFUNCTION("""COMPUTED_VALUE"""),"Email")</f>
        <v>Email</v>
      </c>
    </row>
    <row r="1211" spans="1:9" ht="13" x14ac:dyDescent="0.15">
      <c r="A1211" s="9">
        <f ca="1">IFERROR(__xludf.DUMMYFUNCTION("""COMPUTED_VALUE"""),111279340)</f>
        <v>111279340</v>
      </c>
      <c r="B1211" s="1" t="str">
        <f ca="1">IFERROR(__xludf.DUMMYFUNCTION("""COMPUTED_VALUE"""),"pbchmelik@icloud.com")</f>
        <v>pbchmelik@icloud.com</v>
      </c>
      <c r="C1211" s="9" t="str">
        <f ca="1">IFERROR(__xludf.DUMMYFUNCTION("""COMPUTED_VALUE"""),"EVERGREEN - UAN Gated Content - Embedded Petition")</f>
        <v>EVERGREEN - UAN Gated Content - Embedded Petition</v>
      </c>
      <c r="D1211" s="10">
        <f ca="1">IFERROR(__xludf.DUMMYFUNCTION("""COMPUTED_VALUE"""),45622)</f>
        <v>45622</v>
      </c>
      <c r="E1211" s="1" t="str">
        <f ca="1">IFERROR(__xludf.DUMMYFUNCTION("""COMPUTED_VALUE"""),"Libya")</f>
        <v>Libya</v>
      </c>
      <c r="F1211" s="1" t="str">
        <f ca="1">IFERROR(__xludf.DUMMYFUNCTION("""COMPUTED_VALUE"""),"12.25 Libya")</f>
        <v>12.25 Libya</v>
      </c>
      <c r="G1211" s="1" t="str">
        <f ca="1">IFERROR(__xludf.DUMMYFUNCTION("""COMPUTED_VALUE"""),"Freedom of Expression, Health, Individuals At Risk")</f>
        <v>Freedom of Expression, Health, Individuals At Risk</v>
      </c>
      <c r="H1211" s="1" t="str">
        <f ca="1">IFERROR(__xludf.DUMMYFUNCTION("""COMPUTED_VALUE"""),"2025")</f>
        <v>2025</v>
      </c>
      <c r="I1211" s="1" t="str">
        <f ca="1">IFERROR(__xludf.DUMMYFUNCTION("""COMPUTED_VALUE"""),"Email")</f>
        <v>Email</v>
      </c>
    </row>
    <row r="1212" spans="1:9" ht="13" x14ac:dyDescent="0.15">
      <c r="A1212" s="9">
        <f ca="1">IFERROR(__xludf.DUMMYFUNCTION("""COMPUTED_VALUE"""),111279340)</f>
        <v>111279340</v>
      </c>
      <c r="B1212" s="1" t="str">
        <f ca="1">IFERROR(__xludf.DUMMYFUNCTION("""COMPUTED_VALUE"""),"pbchmelik@icloud.com")</f>
        <v>pbchmelik@icloud.com</v>
      </c>
      <c r="C1212" s="9" t="str">
        <f ca="1">IFERROR(__xludf.DUMMYFUNCTION("""COMPUTED_VALUE"""),"EVERGREEN - UAN Gated Content - Embedded Petition")</f>
        <v>EVERGREEN - UAN Gated Content - Embedded Petition</v>
      </c>
      <c r="D1212" s="10">
        <f ca="1">IFERROR(__xludf.DUMMYFUNCTION("""COMPUTED_VALUE"""),45694)</f>
        <v>45694</v>
      </c>
      <c r="E1212" s="1" t="str">
        <f ca="1">IFERROR(__xludf.DUMMYFUNCTION("""COMPUTED_VALUE"""),"Saudi Arabia")</f>
        <v>Saudi Arabia</v>
      </c>
      <c r="F1212" s="1" t="str">
        <f ca="1">IFERROR(__xludf.DUMMYFUNCTION("""COMPUTED_VALUE"""),"Fifth 257.12")</f>
        <v>Fifth 257.12</v>
      </c>
      <c r="G1212" s="1" t="str">
        <f ca="1">IFERROR(__xludf.DUMMYFUNCTION("""COMPUTED_VALUE"""),"Freedom of Expression, Human Rights Defenders")</f>
        <v>Freedom of Expression, Human Rights Defenders</v>
      </c>
      <c r="H1212" s="1" t="str">
        <f ca="1">IFERROR(__xludf.DUMMYFUNCTION("""COMPUTED_VALUE"""),"2025")</f>
        <v>2025</v>
      </c>
      <c r="I1212" s="1" t="str">
        <f ca="1">IFERROR(__xludf.DUMMYFUNCTION("""COMPUTED_VALUE"""),"Email")</f>
        <v>Email</v>
      </c>
    </row>
    <row r="1213" spans="1:9" ht="13" x14ac:dyDescent="0.15">
      <c r="A1213" s="9">
        <f ca="1">IFERROR(__xludf.DUMMYFUNCTION("""COMPUTED_VALUE"""),111279340)</f>
        <v>111279340</v>
      </c>
      <c r="B1213" s="1" t="str">
        <f ca="1">IFERROR(__xludf.DUMMYFUNCTION("""COMPUTED_VALUE"""),"pbchmelik@icloud.com")</f>
        <v>pbchmelik@icloud.com</v>
      </c>
      <c r="C1213" s="9" t="str">
        <f ca="1">IFERROR(__xludf.DUMMYFUNCTION("""COMPUTED_VALUE"""),"EVERGREEN - UAN Gated Content - Embedded Petition")</f>
        <v>EVERGREEN - UAN Gated Content - Embedded Petition</v>
      </c>
      <c r="D1213" s="10">
        <f ca="1">IFERROR(__xludf.DUMMYFUNCTION("""COMPUTED_VALUE"""),45690)</f>
        <v>45690</v>
      </c>
      <c r="E1213" s="1" t="str">
        <f ca="1">IFERROR(__xludf.DUMMYFUNCTION("""COMPUTED_VALUE"""),"Venezuela")</f>
        <v>Venezuela</v>
      </c>
      <c r="F1213" s="1" t="str">
        <f ca="1">IFERROR(__xludf.DUMMYFUNCTION("""COMPUTED_VALUE"""),"97.24 Venezuela")</f>
        <v>97.24 Venezuela</v>
      </c>
      <c r="G1213" s="1" t="str">
        <f ca="1">IFERROR(__xludf.DUMMYFUNCTION("""COMPUTED_VALUE"""),"Freedom of Expression")</f>
        <v>Freedom of Expression</v>
      </c>
      <c r="H1213" s="1" t="str">
        <f ca="1">IFERROR(__xludf.DUMMYFUNCTION("""COMPUTED_VALUE"""),"2024")</f>
        <v>2024</v>
      </c>
      <c r="I1213" s="1" t="str">
        <f ca="1">IFERROR(__xludf.DUMMYFUNCTION("""COMPUTED_VALUE"""),"Letter")</f>
        <v>Letter</v>
      </c>
    </row>
    <row r="1214" spans="1:9" ht="13" x14ac:dyDescent="0.15">
      <c r="A1214" s="9">
        <f ca="1">IFERROR(__xludf.DUMMYFUNCTION("""COMPUTED_VALUE"""),111279340)</f>
        <v>111279340</v>
      </c>
      <c r="B1214" s="1" t="str">
        <f ca="1">IFERROR(__xludf.DUMMYFUNCTION("""COMPUTED_VALUE"""),"pbchmelik@icloud.com")</f>
        <v>pbchmelik@icloud.com</v>
      </c>
      <c r="C1214" s="9" t="str">
        <f ca="1">IFERROR(__xludf.DUMMYFUNCTION("""COMPUTED_VALUE"""),"EVERGREEN - UAN Gated Content - Embedded Petition")</f>
        <v>EVERGREEN - UAN Gated Content - Embedded Petition</v>
      </c>
      <c r="D1214" s="10">
        <f ca="1">IFERROR(__xludf.DUMMYFUNCTION("""COMPUTED_VALUE"""),45690)</f>
        <v>45690</v>
      </c>
      <c r="E1214" s="1" t="str">
        <f ca="1">IFERROR(__xludf.DUMMYFUNCTION("""COMPUTED_VALUE"""),"Afghanistan")</f>
        <v>Afghanistan</v>
      </c>
      <c r="F1214" s="1" t="str">
        <f ca="1">IFERROR(__xludf.DUMMYFUNCTION("""COMPUTED_VALUE"""),"11.25 Afghanistan")</f>
        <v>11.25 Afghanistan</v>
      </c>
      <c r="G1214" s="1" t="str">
        <f ca="1">IFERROR(__xludf.DUMMYFUNCTION("""COMPUTED_VALUE"""),"Freedom of Expression, Health, Individuals At Risk")</f>
        <v>Freedom of Expression, Health, Individuals At Risk</v>
      </c>
      <c r="H1214" s="1" t="str">
        <f ca="1">IFERROR(__xludf.DUMMYFUNCTION("""COMPUTED_VALUE"""),"2025")</f>
        <v>2025</v>
      </c>
      <c r="I1214" s="1" t="str">
        <f ca="1">IFERROR(__xludf.DUMMYFUNCTION("""COMPUTED_VALUE"""),"Email")</f>
        <v>Email</v>
      </c>
    </row>
    <row r="1215" spans="1:9" ht="13" x14ac:dyDescent="0.15">
      <c r="A1215" s="9">
        <f ca="1">IFERROR(__xludf.DUMMYFUNCTION("""COMPUTED_VALUE"""),111279340)</f>
        <v>111279340</v>
      </c>
      <c r="B1215" s="1" t="str">
        <f ca="1">IFERROR(__xludf.DUMMYFUNCTION("""COMPUTED_VALUE"""),"pbchmelik@icloud.com")</f>
        <v>pbchmelik@icloud.com</v>
      </c>
      <c r="C1215" s="9" t="str">
        <f ca="1">IFERROR(__xludf.DUMMYFUNCTION("""COMPUTED_VALUE"""),"EVERGREEN - UAN Gated Content - Embedded Petition")</f>
        <v>EVERGREEN - UAN Gated Content - Embedded Petition</v>
      </c>
      <c r="D1215" s="10">
        <f ca="1">IFERROR(__xludf.DUMMYFUNCTION("""COMPUTED_VALUE"""),45687)</f>
        <v>45687</v>
      </c>
      <c r="E1215" s="1" t="str">
        <f ca="1">IFERROR(__xludf.DUMMYFUNCTION("""COMPUTED_VALUE"""),"Libya")</f>
        <v>Libya</v>
      </c>
      <c r="F1215" s="1" t="str">
        <f ca="1">IFERROR(__xludf.DUMMYFUNCTION("""COMPUTED_VALUE"""),"12.25 Libya")</f>
        <v>12.25 Libya</v>
      </c>
      <c r="G1215" s="1" t="str">
        <f ca="1">IFERROR(__xludf.DUMMYFUNCTION("""COMPUTED_VALUE"""),"Freedom of Expression, Health, Individuals At Risk")</f>
        <v>Freedom of Expression, Health, Individuals At Risk</v>
      </c>
      <c r="H1215" s="1" t="str">
        <f ca="1">IFERROR(__xludf.DUMMYFUNCTION("""COMPUTED_VALUE"""),"2025")</f>
        <v>2025</v>
      </c>
      <c r="I1215" s="1" t="str">
        <f ca="1">IFERROR(__xludf.DUMMYFUNCTION("""COMPUTED_VALUE"""),"Email")</f>
        <v>Email</v>
      </c>
    </row>
    <row r="1216" spans="1:9" ht="13" x14ac:dyDescent="0.15">
      <c r="A1216" s="9">
        <f ca="1">IFERROR(__xludf.DUMMYFUNCTION("""COMPUTED_VALUE"""),111279340)</f>
        <v>111279340</v>
      </c>
      <c r="B1216" s="1" t="str">
        <f ca="1">IFERROR(__xludf.DUMMYFUNCTION("""COMPUTED_VALUE"""),"pbchmelik@icloud.com")</f>
        <v>pbchmelik@icloud.com</v>
      </c>
      <c r="C1216" s="9" t="str">
        <f ca="1">IFERROR(__xludf.DUMMYFUNCTION("""COMPUTED_VALUE"""),"EVERGREEN - UAN Gated Content - Embedded Petition")</f>
        <v>EVERGREEN - UAN Gated Content - Embedded Petition</v>
      </c>
      <c r="D1216" s="10">
        <f ca="1">IFERROR(__xludf.DUMMYFUNCTION("""COMPUTED_VALUE"""),45678)</f>
        <v>45678</v>
      </c>
      <c r="E1216" s="1" t="str">
        <f ca="1">IFERROR(__xludf.DUMMYFUNCTION("""COMPUTED_VALUE"""),"Venezuela")</f>
        <v>Venezuela</v>
      </c>
      <c r="F1216" s="1" t="str">
        <f ca="1">IFERROR(__xludf.DUMMYFUNCTION("""COMPUTED_VALUE"""),"1.25 Venezuela")</f>
        <v>1.25 Venezuela</v>
      </c>
      <c r="G1216" s="1" t="str">
        <f ca="1">IFERROR(__xludf.DUMMYFUNCTION("""COMPUTED_VALUE"""),"Human Rights Defenders, Individuals At Risk")</f>
        <v>Human Rights Defenders, Individuals At Risk</v>
      </c>
      <c r="H1216" s="1" t="str">
        <f ca="1">IFERROR(__xludf.DUMMYFUNCTION("""COMPUTED_VALUE"""),"2025")</f>
        <v>2025</v>
      </c>
      <c r="I1216" s="1" t="str">
        <f ca="1">IFERROR(__xludf.DUMMYFUNCTION("""COMPUTED_VALUE"""),"Letter")</f>
        <v>Letter</v>
      </c>
    </row>
    <row r="1217" spans="1:9" ht="13" x14ac:dyDescent="0.15">
      <c r="A1217" s="9">
        <f ca="1">IFERROR(__xludf.DUMMYFUNCTION("""COMPUTED_VALUE"""),113364663)</f>
        <v>113364663</v>
      </c>
      <c r="B1217" s="1" t="str">
        <f ca="1">IFERROR(__xludf.DUMMYFUNCTION("""COMPUTED_VALUE"""),"sfinlan@bu.edu")</f>
        <v>sfinlan@bu.edu</v>
      </c>
      <c r="C1217" s="9" t="str">
        <f ca="1">IFERROR(__xludf.DUMMYFUNCTION("""COMPUTED_VALUE"""),"EVERGREEN - UAN Gated Content - Embedded Petition")</f>
        <v>EVERGREEN - UAN Gated Content - Embedded Petition</v>
      </c>
      <c r="D1217" s="10">
        <f ca="1">IFERROR(__xludf.DUMMYFUNCTION("""COMPUTED_VALUE"""),45696)</f>
        <v>45696</v>
      </c>
      <c r="E1217" s="1" t="str">
        <f ca="1">IFERROR(__xludf.DUMMYFUNCTION("""COMPUTED_VALUE"""),"USA")</f>
        <v>USA</v>
      </c>
      <c r="F1217" s="1" t="str">
        <f ca="1">IFERROR(__xludf.DUMMYFUNCTION("""COMPUTED_VALUE"""),"105.24 USA")</f>
        <v>105.24 USA</v>
      </c>
      <c r="G1217" s="1" t="str">
        <f ca="1">IFERROR(__xludf.DUMMYFUNCTION("""COMPUTED_VALUE"""),"Death Penalty")</f>
        <v>Death Penalty</v>
      </c>
      <c r="H1217" s="1" t="str">
        <f ca="1">IFERROR(__xludf.DUMMYFUNCTION("""COMPUTED_VALUE"""),"2024")</f>
        <v>2024</v>
      </c>
      <c r="I1217" s="1" t="str">
        <f ca="1">IFERROR(__xludf.DUMMYFUNCTION("""COMPUTED_VALUE"""),"Email")</f>
        <v>Email</v>
      </c>
    </row>
    <row r="1218" spans="1:9" ht="13" x14ac:dyDescent="0.15">
      <c r="A1218" s="9">
        <f ca="1">IFERROR(__xludf.DUMMYFUNCTION("""COMPUTED_VALUE"""),113364663)</f>
        <v>113364663</v>
      </c>
      <c r="B1218" s="1" t="str">
        <f ca="1">IFERROR(__xludf.DUMMYFUNCTION("""COMPUTED_VALUE"""),"sfinlan@bu.edu")</f>
        <v>sfinlan@bu.edu</v>
      </c>
      <c r="C1218" s="9" t="str">
        <f ca="1">IFERROR(__xludf.DUMMYFUNCTION("""COMPUTED_VALUE"""),"EVERGREEN - UAN Gated Content - Embedded Petition")</f>
        <v>EVERGREEN - UAN Gated Content - Embedded Petition</v>
      </c>
      <c r="D1218" s="10">
        <f ca="1">IFERROR(__xludf.DUMMYFUNCTION("""COMPUTED_VALUE"""),45636)</f>
        <v>45636</v>
      </c>
      <c r="E1218" s="1" t="str">
        <f ca="1">IFERROR(__xludf.DUMMYFUNCTION("""COMPUTED_VALUE"""),"USA")</f>
        <v>USA</v>
      </c>
      <c r="F1218" s="1" t="str">
        <f ca="1">IFERROR(__xludf.DUMMYFUNCTION("""COMPUTED_VALUE"""),"105.24 USA")</f>
        <v>105.24 USA</v>
      </c>
      <c r="G1218" s="1" t="str">
        <f ca="1">IFERROR(__xludf.DUMMYFUNCTION("""COMPUTED_VALUE"""),"Death Penalty")</f>
        <v>Death Penalty</v>
      </c>
      <c r="H1218" s="1" t="str">
        <f ca="1">IFERROR(__xludf.DUMMYFUNCTION("""COMPUTED_VALUE"""),"2024")</f>
        <v>2024</v>
      </c>
      <c r="I1218" s="1" t="str">
        <f ca="1">IFERROR(__xludf.DUMMYFUNCTION("""COMPUTED_VALUE"""),"Email")</f>
        <v>Email</v>
      </c>
    </row>
    <row r="1219" spans="1:9" ht="13" x14ac:dyDescent="0.15">
      <c r="A1219" s="9">
        <f ca="1">IFERROR(__xludf.DUMMYFUNCTION("""COMPUTED_VALUE"""),113364663)</f>
        <v>113364663</v>
      </c>
      <c r="B1219" s="1" t="str">
        <f ca="1">IFERROR(__xludf.DUMMYFUNCTION("""COMPUTED_VALUE"""),"sfinlan@bu.edu")</f>
        <v>sfinlan@bu.edu</v>
      </c>
      <c r="C1219" s="9" t="str">
        <f ca="1">IFERROR(__xludf.DUMMYFUNCTION("""COMPUTED_VALUE"""),"EVERGREEN - UAN Gated Content - Embedded Petition")</f>
        <v>EVERGREEN - UAN Gated Content - Embedded Petition</v>
      </c>
      <c r="D1219" s="10">
        <f ca="1">IFERROR(__xludf.DUMMYFUNCTION("""COMPUTED_VALUE"""),45679)</f>
        <v>45679</v>
      </c>
      <c r="E1219" s="1" t="str">
        <f ca="1">IFERROR(__xludf.DUMMYFUNCTION("""COMPUTED_VALUE"""),"Iran")</f>
        <v>Iran</v>
      </c>
      <c r="F1219" s="1" t="str">
        <f ca="1">IFERROR(__xludf.DUMMYFUNCTION("""COMPUTED_VALUE"""),"101.24 Iran")</f>
        <v>101.24 Iran</v>
      </c>
      <c r="G1219" s="1" t="str">
        <f ca="1">IFERROR(__xludf.DUMMYFUNCTION("""COMPUTED_VALUE"""),"Death Penalty, Freedom of Expression, Individuals At Risk, Right to Protest")</f>
        <v>Death Penalty, Freedom of Expression, Individuals At Risk, Right to Protest</v>
      </c>
      <c r="H1219" s="1" t="str">
        <f ca="1">IFERROR(__xludf.DUMMYFUNCTION("""COMPUTED_VALUE"""),"2024")</f>
        <v>2024</v>
      </c>
      <c r="I1219" s="1" t="str">
        <f ca="1">IFERROR(__xludf.DUMMYFUNCTION("""COMPUTED_VALUE"""),"Email")</f>
        <v>Email</v>
      </c>
    </row>
    <row r="1220" spans="1:9" ht="13" x14ac:dyDescent="0.15">
      <c r="A1220" s="9">
        <f ca="1">IFERROR(__xludf.DUMMYFUNCTION("""COMPUTED_VALUE"""),113364663)</f>
        <v>113364663</v>
      </c>
      <c r="B1220" s="1" t="str">
        <f ca="1">IFERROR(__xludf.DUMMYFUNCTION("""COMPUTED_VALUE"""),"sfinlan@bu.edu")</f>
        <v>sfinlan@bu.edu</v>
      </c>
      <c r="C1220" s="9" t="str">
        <f ca="1">IFERROR(__xludf.DUMMYFUNCTION("""COMPUTED_VALUE"""),"EVERGREEN - UAN Gated Content - Embedded Petition")</f>
        <v>EVERGREEN - UAN Gated Content - Embedded Petition</v>
      </c>
      <c r="D1220" s="10">
        <f ca="1">IFERROR(__xludf.DUMMYFUNCTION("""COMPUTED_VALUE"""),45636)</f>
        <v>45636</v>
      </c>
      <c r="E1220" s="1" t="str">
        <f ca="1">IFERROR(__xludf.DUMMYFUNCTION("""COMPUTED_VALUE"""),"Russian Federation")</f>
        <v>Russian Federation</v>
      </c>
      <c r="F1220" s="1" t="str">
        <f ca="1">IFERROR(__xludf.DUMMYFUNCTION("""COMPUTED_VALUE"""),"Second 23.24 Russia")</f>
        <v>Second 23.24 Russia</v>
      </c>
      <c r="G1220" s="1" t="str">
        <f ca="1">IFERROR(__xludf.DUMMYFUNCTION("""COMPUTED_VALUE"""),"Freedom of Expression")</f>
        <v>Freedom of Expression</v>
      </c>
      <c r="H1220" s="1" t="str">
        <f ca="1">IFERROR(__xludf.DUMMYFUNCTION("""COMPUTED_VALUE"""),"2024")</f>
        <v>2024</v>
      </c>
      <c r="I1220" s="1" t="str">
        <f ca="1">IFERROR(__xludf.DUMMYFUNCTION("""COMPUTED_VALUE"""),"Letter")</f>
        <v>Letter</v>
      </c>
    </row>
    <row r="1221" spans="1:9" ht="13" x14ac:dyDescent="0.15">
      <c r="A1221" s="9">
        <f ca="1">IFERROR(__xludf.DUMMYFUNCTION("""COMPUTED_VALUE"""),113668735)</f>
        <v>113668735</v>
      </c>
      <c r="B1221" s="1" t="str">
        <f ca="1">IFERROR(__xludf.DUMMYFUNCTION("""COMPUTED_VALUE"""),"blsbrown@yahoo.com")</f>
        <v>blsbrown@yahoo.com</v>
      </c>
      <c r="C1221" s="9" t="str">
        <f ca="1">IFERROR(__xludf.DUMMYFUNCTION("""COMPUTED_VALUE"""),"EVERGREEN - UAN Gated Content - Embedded Petition")</f>
        <v>EVERGREEN - UAN Gated Content - Embedded Petition</v>
      </c>
      <c r="D1221" s="10">
        <f ca="1">IFERROR(__xludf.DUMMYFUNCTION("""COMPUTED_VALUE"""),45695)</f>
        <v>45695</v>
      </c>
      <c r="E1221" s="1" t="str">
        <f ca="1">IFERROR(__xludf.DUMMYFUNCTION("""COMPUTED_VALUE"""),"Egypt")</f>
        <v>Egypt</v>
      </c>
      <c r="F1221" s="1" t="str">
        <f ca="1">IFERROR(__xludf.DUMMYFUNCTION("""COMPUTED_VALUE"""),"Ninth 190.18 Egypt")</f>
        <v>Ninth 190.18 Egypt</v>
      </c>
      <c r="G1221" s="1" t="str">
        <f ca="1">IFERROR(__xludf.DUMMYFUNCTION("""COMPUTED_VALUE"""),"Freedom of Expression, Individuals At Risk")</f>
        <v>Freedom of Expression, Individuals At Risk</v>
      </c>
      <c r="H1221" s="1" t="str">
        <f ca="1">IFERROR(__xludf.DUMMYFUNCTION("""COMPUTED_VALUE"""),"2024")</f>
        <v>2024</v>
      </c>
      <c r="I1221" s="1" t="str">
        <f ca="1">IFERROR(__xludf.DUMMYFUNCTION("""COMPUTED_VALUE"""),"Letter")</f>
        <v>Letter</v>
      </c>
    </row>
    <row r="1222" spans="1:9" ht="13" x14ac:dyDescent="0.15">
      <c r="A1222" s="9">
        <f ca="1">IFERROR(__xludf.DUMMYFUNCTION("""COMPUTED_VALUE"""),114167972)</f>
        <v>114167972</v>
      </c>
      <c r="B1222" s="1" t="str">
        <f ca="1">IFERROR(__xludf.DUMMYFUNCTION("""COMPUTED_VALUE"""),"mattrector26@gmail.com")</f>
        <v>mattrector26@gmail.com</v>
      </c>
      <c r="C1222" s="9" t="str">
        <f ca="1">IFERROR(__xludf.DUMMYFUNCTION("""COMPUTED_VALUE"""),"EVERGREEN - UAN Gated Content - Embedded Petition")</f>
        <v>EVERGREEN - UAN Gated Content - Embedded Petition</v>
      </c>
      <c r="D1222" s="10">
        <f ca="1">IFERROR(__xludf.DUMMYFUNCTION("""COMPUTED_VALUE"""),45686)</f>
        <v>45686</v>
      </c>
      <c r="E1222" s="1" t="str">
        <f ca="1">IFERROR(__xludf.DUMMYFUNCTION("""COMPUTED_VALUE"""),"USA")</f>
        <v>USA</v>
      </c>
      <c r="F1222" s="1" t="str">
        <f ca="1">IFERROR(__xludf.DUMMYFUNCTION("""COMPUTED_VALUE"""),"4.25 USA")</f>
        <v>4.25 USA</v>
      </c>
      <c r="G1222" s="1" t="str">
        <f ca="1">IFERROR(__xludf.DUMMYFUNCTION("""COMPUTED_VALUE"""),"Individuals At Risk, Refugee and Migrant Rights")</f>
        <v>Individuals At Risk, Refugee and Migrant Rights</v>
      </c>
      <c r="H1222" s="1" t="str">
        <f ca="1">IFERROR(__xludf.DUMMYFUNCTION("""COMPUTED_VALUE"""),"2025")</f>
        <v>2025</v>
      </c>
      <c r="I1222" s="1" t="str">
        <f ca="1">IFERROR(__xludf.DUMMYFUNCTION("""COMPUTED_VALUE"""),"Letter")</f>
        <v>Letter</v>
      </c>
    </row>
    <row r="1223" spans="1:9" ht="13" x14ac:dyDescent="0.15">
      <c r="A1223" s="9">
        <f ca="1">IFERROR(__xludf.DUMMYFUNCTION("""COMPUTED_VALUE"""),114167972)</f>
        <v>114167972</v>
      </c>
      <c r="B1223" s="1" t="str">
        <f ca="1">IFERROR(__xludf.DUMMYFUNCTION("""COMPUTED_VALUE"""),"mattrector26@gmail.com")</f>
        <v>mattrector26@gmail.com</v>
      </c>
      <c r="C1223" s="9" t="str">
        <f ca="1">IFERROR(__xludf.DUMMYFUNCTION("""COMPUTED_VALUE"""),"EVERGREEN - UAN Gated Content - Embedded Petition")</f>
        <v>EVERGREEN - UAN Gated Content - Embedded Petition</v>
      </c>
      <c r="D1223" s="10">
        <f ca="1">IFERROR(__xludf.DUMMYFUNCTION("""COMPUTED_VALUE"""),45694)</f>
        <v>45694</v>
      </c>
      <c r="E1223" s="1" t="str">
        <f ca="1">IFERROR(__xludf.DUMMYFUNCTION("""COMPUTED_VALUE"""),"Iran")</f>
        <v>Iran</v>
      </c>
      <c r="F1223" s="1" t="str">
        <f ca="1">IFERROR(__xludf.DUMMYFUNCTION("""COMPUTED_VALUE"""),"Seventh 103.22 Iran")</f>
        <v>Seventh 103.22 Iran</v>
      </c>
      <c r="G1223" s="1" t="str">
        <f ca="1">IFERROR(__xludf.DUMMYFUNCTION("""COMPUTED_VALUE"""),"Death Penalty, Freedom of Expression, Individuals At Risk")</f>
        <v>Death Penalty, Freedom of Expression, Individuals At Risk</v>
      </c>
      <c r="H1223" s="1" t="str">
        <f ca="1">IFERROR(__xludf.DUMMYFUNCTION("""COMPUTED_VALUE"""),"2024")</f>
        <v>2024</v>
      </c>
      <c r="I1223" s="1" t="str">
        <f ca="1">IFERROR(__xludf.DUMMYFUNCTION("""COMPUTED_VALUE"""),"Email")</f>
        <v>Email</v>
      </c>
    </row>
    <row r="1224" spans="1:9" ht="13" x14ac:dyDescent="0.15">
      <c r="A1224" s="9">
        <f ca="1">IFERROR(__xludf.DUMMYFUNCTION("""COMPUTED_VALUE"""),115371035)</f>
        <v>115371035</v>
      </c>
      <c r="B1224" s="1" t="str">
        <f ca="1">IFERROR(__xludf.DUMMYFUNCTION("""COMPUTED_VALUE"""),"amnestykc@gmail.com")</f>
        <v>amnestykc@gmail.com</v>
      </c>
      <c r="C1224" s="9" t="str">
        <f ca="1">IFERROR(__xludf.DUMMYFUNCTION("""COMPUTED_VALUE"""),"EVERGREEN - UAN Gated Content - Embedded Petition")</f>
        <v>EVERGREEN - UAN Gated Content - Embedded Petition</v>
      </c>
      <c r="D1224" s="10">
        <f ca="1">IFERROR(__xludf.DUMMYFUNCTION("""COMPUTED_VALUE"""),45705)</f>
        <v>45705</v>
      </c>
      <c r="E1224" s="1" t="str">
        <f ca="1">IFERROR(__xludf.DUMMYFUNCTION("""COMPUTED_VALUE"""),"Niger")</f>
        <v>Niger</v>
      </c>
      <c r="F1224" s="1" t="str">
        <f ca="1">IFERROR(__xludf.DUMMYFUNCTION("""COMPUTED_VALUE"""),"103.24 Niger")</f>
        <v>103.24 Niger</v>
      </c>
      <c r="G1224" s="1" t="str">
        <f ca="1">IFERROR(__xludf.DUMMYFUNCTION("""COMPUTED_VALUE"""),"Freedom of Expression, Human Rights Defenders")</f>
        <v>Freedom of Expression, Human Rights Defenders</v>
      </c>
      <c r="H1224" s="1" t="str">
        <f ca="1">IFERROR(__xludf.DUMMYFUNCTION("""COMPUTED_VALUE"""),"2024")</f>
        <v>2024</v>
      </c>
      <c r="I1224" s="1" t="str">
        <f ca="1">IFERROR(__xludf.DUMMYFUNCTION("""COMPUTED_VALUE"""),"Email")</f>
        <v>Email</v>
      </c>
    </row>
    <row r="1225" spans="1:9" ht="13" x14ac:dyDescent="0.15">
      <c r="A1225" s="9">
        <f ca="1">IFERROR(__xludf.DUMMYFUNCTION("""COMPUTED_VALUE"""),115371035)</f>
        <v>115371035</v>
      </c>
      <c r="B1225" s="1" t="str">
        <f ca="1">IFERROR(__xludf.DUMMYFUNCTION("""COMPUTED_VALUE"""),"amnestykc@gmail.com")</f>
        <v>amnestykc@gmail.com</v>
      </c>
      <c r="C1225" s="9" t="str">
        <f ca="1">IFERROR(__xludf.DUMMYFUNCTION("""COMPUTED_VALUE"""),"EVERGREEN - UAN Gated Content - Embedded Petition")</f>
        <v>EVERGREEN - UAN Gated Content - Embedded Petition</v>
      </c>
      <c r="D1225" s="10">
        <f ca="1">IFERROR(__xludf.DUMMYFUNCTION("""COMPUTED_VALUE"""),45707)</f>
        <v>45707</v>
      </c>
      <c r="E1225" s="1" t="str">
        <f ca="1">IFERROR(__xludf.DUMMYFUNCTION("""COMPUTED_VALUE"""),"Egypt")</f>
        <v>Egypt</v>
      </c>
      <c r="F1225" s="1" t="str">
        <f ca="1">IFERROR(__xludf.DUMMYFUNCTION("""COMPUTED_VALUE"""),"Fourth 29.23 Egypt")</f>
        <v>Fourth 29.23 Egypt</v>
      </c>
      <c r="G1225" s="1" t="str">
        <f ca="1">IFERROR(__xludf.DUMMYFUNCTION("""COMPUTED_VALUE"""),"Freedom of Expression, Individuals At Risk, Right to Protest")</f>
        <v>Freedom of Expression, Individuals At Risk, Right to Protest</v>
      </c>
      <c r="H1225" s="1" t="str">
        <f ca="1">IFERROR(__xludf.DUMMYFUNCTION("""COMPUTED_VALUE"""),"2024")</f>
        <v>2024</v>
      </c>
      <c r="I1225" s="1" t="str">
        <f ca="1">IFERROR(__xludf.DUMMYFUNCTION("""COMPUTED_VALUE"""),"Email")</f>
        <v>Email</v>
      </c>
    </row>
    <row r="1226" spans="1:9" ht="13" x14ac:dyDescent="0.15">
      <c r="A1226" s="9">
        <f ca="1">IFERROR(__xludf.DUMMYFUNCTION("""COMPUTED_VALUE"""),115371035)</f>
        <v>115371035</v>
      </c>
      <c r="B1226" s="1" t="str">
        <f ca="1">IFERROR(__xludf.DUMMYFUNCTION("""COMPUTED_VALUE"""),"amnestykc@gmail.com")</f>
        <v>amnestykc@gmail.com</v>
      </c>
      <c r="C1226" s="9" t="str">
        <f ca="1">IFERROR(__xludf.DUMMYFUNCTION("""COMPUTED_VALUE"""),"EVERGREEN - UAN Gated Content - Embedded Petition")</f>
        <v>EVERGREEN - UAN Gated Content - Embedded Petition</v>
      </c>
      <c r="D1226" s="10">
        <f ca="1">IFERROR(__xludf.DUMMYFUNCTION("""COMPUTED_VALUE"""),45707)</f>
        <v>45707</v>
      </c>
      <c r="E1226" s="1" t="str">
        <f ca="1">IFERROR(__xludf.DUMMYFUNCTION("""COMPUTED_VALUE"""),"Iran")</f>
        <v>Iran</v>
      </c>
      <c r="F1226" s="1" t="str">
        <f ca="1">IFERROR(__xludf.DUMMYFUNCTION("""COMPUTED_VALUE"""),"Seventh 103.22 Iran")</f>
        <v>Seventh 103.22 Iran</v>
      </c>
      <c r="G1226" s="1" t="str">
        <f ca="1">IFERROR(__xludf.DUMMYFUNCTION("""COMPUTED_VALUE"""),"Death Penalty, Freedom of Expression, Individuals At Risk")</f>
        <v>Death Penalty, Freedom of Expression, Individuals At Risk</v>
      </c>
      <c r="H1226" s="1" t="str">
        <f ca="1">IFERROR(__xludf.DUMMYFUNCTION("""COMPUTED_VALUE"""),"2024")</f>
        <v>2024</v>
      </c>
      <c r="I1226" s="1" t="str">
        <f ca="1">IFERROR(__xludf.DUMMYFUNCTION("""COMPUTED_VALUE"""),"Email")</f>
        <v>Email</v>
      </c>
    </row>
    <row r="1227" spans="1:9" ht="13" x14ac:dyDescent="0.15">
      <c r="A1227" s="9">
        <f ca="1">IFERROR(__xludf.DUMMYFUNCTION("""COMPUTED_VALUE"""),115371035)</f>
        <v>115371035</v>
      </c>
      <c r="B1227" s="1" t="str">
        <f ca="1">IFERROR(__xludf.DUMMYFUNCTION("""COMPUTED_VALUE"""),"amnestykc@gmail.com")</f>
        <v>amnestykc@gmail.com</v>
      </c>
      <c r="C1227" s="9" t="str">
        <f ca="1">IFERROR(__xludf.DUMMYFUNCTION("""COMPUTED_VALUE"""),"EVERGREEN - UAN Gated Content - Embedded Petition")</f>
        <v>EVERGREEN - UAN Gated Content - Embedded Petition</v>
      </c>
      <c r="D1227" s="10">
        <f ca="1">IFERROR(__xludf.DUMMYFUNCTION("""COMPUTED_VALUE"""),45706)</f>
        <v>45706</v>
      </c>
      <c r="E1227" s="1" t="str">
        <f ca="1">IFERROR(__xludf.DUMMYFUNCTION("""COMPUTED_VALUE"""),"Iran")</f>
        <v>Iran</v>
      </c>
      <c r="F1227" s="1" t="str">
        <f ca="1">IFERROR(__xludf.DUMMYFUNCTION("""COMPUTED_VALUE"""),"Seventh 103.22 Iran")</f>
        <v>Seventh 103.22 Iran</v>
      </c>
      <c r="G1227" s="1" t="str">
        <f ca="1">IFERROR(__xludf.DUMMYFUNCTION("""COMPUTED_VALUE"""),"Death Penalty, Freedom of Expression, Individuals At Risk")</f>
        <v>Death Penalty, Freedom of Expression, Individuals At Risk</v>
      </c>
      <c r="H1227" s="1" t="str">
        <f ca="1">IFERROR(__xludf.DUMMYFUNCTION("""COMPUTED_VALUE"""),"2024")</f>
        <v>2024</v>
      </c>
      <c r="I1227" s="1" t="str">
        <f ca="1">IFERROR(__xludf.DUMMYFUNCTION("""COMPUTED_VALUE"""),"Email")</f>
        <v>Email</v>
      </c>
    </row>
    <row r="1228" spans="1:9" ht="13" x14ac:dyDescent="0.15">
      <c r="A1228" s="9">
        <f ca="1">IFERROR(__xludf.DUMMYFUNCTION("""COMPUTED_VALUE"""),115371035)</f>
        <v>115371035</v>
      </c>
      <c r="B1228" s="1" t="str">
        <f ca="1">IFERROR(__xludf.DUMMYFUNCTION("""COMPUTED_VALUE"""),"amnestykc@gmail.com")</f>
        <v>amnestykc@gmail.com</v>
      </c>
      <c r="C1228" s="9" t="str">
        <f ca="1">IFERROR(__xludf.DUMMYFUNCTION("""COMPUTED_VALUE"""),"UAN mid-page Lightbox - Step 1 of 4 - Landing Page")</f>
        <v>UAN mid-page Lightbox - Step 1 of 4 - Landing Page</v>
      </c>
      <c r="D1228" s="10">
        <f ca="1">IFERROR(__xludf.DUMMYFUNCTION("""COMPUTED_VALUE"""),45706)</f>
        <v>45706</v>
      </c>
      <c r="E1228" s="1" t="str">
        <f ca="1">IFERROR(__xludf.DUMMYFUNCTION("""COMPUTED_VALUE"""),"Russian Federation")</f>
        <v>Russian Federation</v>
      </c>
      <c r="F1228" s="1" t="str">
        <f ca="1">IFERROR(__xludf.DUMMYFUNCTION("""COMPUTED_VALUE"""),"102.24 Russia")</f>
        <v>102.24 Russia</v>
      </c>
      <c r="G1228" s="1" t="str">
        <f ca="1">IFERROR(__xludf.DUMMYFUNCTION("""COMPUTED_VALUE"""),"Freedom of Expression, Individuals At Risk, Right to Protest")</f>
        <v>Freedom of Expression, Individuals At Risk, Right to Protest</v>
      </c>
      <c r="H1228" s="1" t="str">
        <f ca="1">IFERROR(__xludf.DUMMYFUNCTION("""COMPUTED_VALUE"""),"2024")</f>
        <v>2024</v>
      </c>
      <c r="I1228" s="1" t="str">
        <f ca="1">IFERROR(__xludf.DUMMYFUNCTION("""COMPUTED_VALUE"""),"Email")</f>
        <v>Email</v>
      </c>
    </row>
    <row r="1229" spans="1:9" ht="13" x14ac:dyDescent="0.15">
      <c r="A1229" s="9">
        <f ca="1">IFERROR(__xludf.DUMMYFUNCTION("""COMPUTED_VALUE"""),115371035)</f>
        <v>115371035</v>
      </c>
      <c r="B1229" s="1" t="str">
        <f ca="1">IFERROR(__xludf.DUMMYFUNCTION("""COMPUTED_VALUE"""),"amnestykc@gmail.com")</f>
        <v>amnestykc@gmail.com</v>
      </c>
      <c r="C1229" s="9" t="str">
        <f ca="1">IFERROR(__xludf.DUMMYFUNCTION("""COMPUTED_VALUE"""),"UAN mid-page Lightbox - Step 2 of 4 - More personal info fields")</f>
        <v>UAN mid-page Lightbox - Step 2 of 4 - More personal info fields</v>
      </c>
      <c r="D1229" s="10">
        <f ca="1">IFERROR(__xludf.DUMMYFUNCTION("""COMPUTED_VALUE"""),45706)</f>
        <v>45706</v>
      </c>
      <c r="E1229" s="1" t="str">
        <f ca="1">IFERROR(__xludf.DUMMYFUNCTION("""COMPUTED_VALUE"""),"Russian Federation")</f>
        <v>Russian Federation</v>
      </c>
      <c r="F1229" s="1" t="str">
        <f ca="1">IFERROR(__xludf.DUMMYFUNCTION("""COMPUTED_VALUE"""),"Second 23.24 Russia")</f>
        <v>Second 23.24 Russia</v>
      </c>
      <c r="G1229" s="1" t="str">
        <f ca="1">IFERROR(__xludf.DUMMYFUNCTION("""COMPUTED_VALUE"""),"Freedom of Expression")</f>
        <v>Freedom of Expression</v>
      </c>
      <c r="H1229" s="1" t="str">
        <f ca="1">IFERROR(__xludf.DUMMYFUNCTION("""COMPUTED_VALUE"""),"2024")</f>
        <v>2024</v>
      </c>
      <c r="I1229" s="1" t="str">
        <f ca="1">IFERROR(__xludf.DUMMYFUNCTION("""COMPUTED_VALUE"""),"Letter")</f>
        <v>Letter</v>
      </c>
    </row>
    <row r="1230" spans="1:9" ht="13" x14ac:dyDescent="0.15">
      <c r="A1230" s="9">
        <f ca="1">IFERROR(__xludf.DUMMYFUNCTION("""COMPUTED_VALUE"""),117019199)</f>
        <v>117019199</v>
      </c>
      <c r="B1230" s="1" t="str">
        <f ca="1">IFERROR(__xludf.DUMMYFUNCTION("""COMPUTED_VALUE"""),"eperryire@gmail.com")</f>
        <v>eperryire@gmail.com</v>
      </c>
      <c r="C1230" s="9" t="str">
        <f ca="1">IFERROR(__xludf.DUMMYFUNCTION("""COMPUTED_VALUE"""),"EVERGREEN - UAN Gated Content - Embedded Petition")</f>
        <v>EVERGREEN - UAN Gated Content - Embedded Petition</v>
      </c>
      <c r="D1230" s="10">
        <f ca="1">IFERROR(__xludf.DUMMYFUNCTION("""COMPUTED_VALUE"""),45631)</f>
        <v>45631</v>
      </c>
      <c r="E1230" s="1" t="str">
        <f ca="1">IFERROR(__xludf.DUMMYFUNCTION("""COMPUTED_VALUE"""),"Azerbaijan")</f>
        <v>Azerbaijan</v>
      </c>
      <c r="F1230" s="1" t="str">
        <f ca="1">IFERROR(__xludf.DUMMYFUNCTION("""COMPUTED_VALUE"""),"2.25 Azerbaijan")</f>
        <v>2.25 Azerbaijan</v>
      </c>
      <c r="G1230" s="1" t="str">
        <f ca="1">IFERROR(__xludf.DUMMYFUNCTION("""COMPUTED_VALUE"""),"Freedom of Expression, Human Rights Defenders")</f>
        <v>Freedom of Expression, Human Rights Defenders</v>
      </c>
      <c r="H1230" s="1" t="str">
        <f ca="1">IFERROR(__xludf.DUMMYFUNCTION("""COMPUTED_VALUE"""),"2025")</f>
        <v>2025</v>
      </c>
      <c r="I1230" s="1" t="str">
        <f ca="1">IFERROR(__xludf.DUMMYFUNCTION("""COMPUTED_VALUE"""),"Email")</f>
        <v>Email</v>
      </c>
    </row>
    <row r="1231" spans="1:9" ht="13" x14ac:dyDescent="0.15">
      <c r="A1231" s="9">
        <f ca="1">IFERROR(__xludf.DUMMYFUNCTION("""COMPUTED_VALUE"""),117019199)</f>
        <v>117019199</v>
      </c>
      <c r="B1231" s="1" t="str">
        <f ca="1">IFERROR(__xludf.DUMMYFUNCTION("""COMPUTED_VALUE"""),"eperryire@gmail.com")</f>
        <v>eperryire@gmail.com</v>
      </c>
      <c r="C1231" s="9" t="str">
        <f ca="1">IFERROR(__xludf.DUMMYFUNCTION("""COMPUTED_VALUE"""),"EVERGREEN - UAN Gated Content - Embedded Petition")</f>
        <v>EVERGREEN - UAN Gated Content - Embedded Petition</v>
      </c>
      <c r="D1231" s="10">
        <f ca="1">IFERROR(__xludf.DUMMYFUNCTION("""COMPUTED_VALUE"""),45706)</f>
        <v>45706</v>
      </c>
      <c r="E1231" s="1" t="str">
        <f ca="1">IFERROR(__xludf.DUMMYFUNCTION("""COMPUTED_VALUE"""),"Russian Federation")</f>
        <v>Russian Federation</v>
      </c>
      <c r="F1231" s="1" t="str">
        <f ca="1">IFERROR(__xludf.DUMMYFUNCTION("""COMPUTED_VALUE"""),"Second 23.24 Russia")</f>
        <v>Second 23.24 Russia</v>
      </c>
      <c r="G1231" s="1" t="str">
        <f ca="1">IFERROR(__xludf.DUMMYFUNCTION("""COMPUTED_VALUE"""),"Freedom of Expression")</f>
        <v>Freedom of Expression</v>
      </c>
      <c r="H1231" s="1" t="str">
        <f ca="1">IFERROR(__xludf.DUMMYFUNCTION("""COMPUTED_VALUE"""),"2024")</f>
        <v>2024</v>
      </c>
      <c r="I1231" s="1" t="str">
        <f ca="1">IFERROR(__xludf.DUMMYFUNCTION("""COMPUTED_VALUE"""),"Letter")</f>
        <v>Letter</v>
      </c>
    </row>
    <row r="1232" spans="1:9" ht="13" x14ac:dyDescent="0.15">
      <c r="A1232" s="9">
        <f ca="1">IFERROR(__xludf.DUMMYFUNCTION("""COMPUTED_VALUE"""),117019199)</f>
        <v>117019199</v>
      </c>
      <c r="B1232" s="1" t="str">
        <f ca="1">IFERROR(__xludf.DUMMYFUNCTION("""COMPUTED_VALUE"""),"eperryire@gmail.com")</f>
        <v>eperryire@gmail.com</v>
      </c>
      <c r="C1232" s="9" t="str">
        <f ca="1">IFERROR(__xludf.DUMMYFUNCTION("""COMPUTED_VALUE"""),"EVERGREEN - UAN Gated Content - Embedded Petition")</f>
        <v>EVERGREEN - UAN Gated Content - Embedded Petition</v>
      </c>
      <c r="D1232" s="10">
        <f ca="1">IFERROR(__xludf.DUMMYFUNCTION("""COMPUTED_VALUE"""),45706)</f>
        <v>45706</v>
      </c>
      <c r="E1232" s="1" t="str">
        <f ca="1">IFERROR(__xludf.DUMMYFUNCTION("""COMPUTED_VALUE"""),"Egypt")</f>
        <v>Egypt</v>
      </c>
      <c r="F1232" s="1" t="str">
        <f ca="1">IFERROR(__xludf.DUMMYFUNCTION("""COMPUTED_VALUE"""),"Ninth 190.18 Egypt")</f>
        <v>Ninth 190.18 Egypt</v>
      </c>
      <c r="G1232" s="1" t="str">
        <f ca="1">IFERROR(__xludf.DUMMYFUNCTION("""COMPUTED_VALUE"""),"Freedom of Expression, Individuals At Risk")</f>
        <v>Freedom of Expression, Individuals At Risk</v>
      </c>
      <c r="H1232" s="1" t="str">
        <f ca="1">IFERROR(__xludf.DUMMYFUNCTION("""COMPUTED_VALUE"""),"2024")</f>
        <v>2024</v>
      </c>
      <c r="I1232" s="1" t="str">
        <f ca="1">IFERROR(__xludf.DUMMYFUNCTION("""COMPUTED_VALUE"""),"Letter")</f>
        <v>Letter</v>
      </c>
    </row>
    <row r="1233" spans="1:9" ht="13" x14ac:dyDescent="0.15">
      <c r="A1233" s="9">
        <f ca="1">IFERROR(__xludf.DUMMYFUNCTION("""COMPUTED_VALUE"""),117019199)</f>
        <v>117019199</v>
      </c>
      <c r="B1233" s="1" t="str">
        <f ca="1">IFERROR(__xludf.DUMMYFUNCTION("""COMPUTED_VALUE"""),"eperryire@gmail.com")</f>
        <v>eperryire@gmail.com</v>
      </c>
      <c r="C1233" s="9" t="str">
        <f ca="1">IFERROR(__xludf.DUMMYFUNCTION("""COMPUTED_VALUE"""),"EVERGREEN - UAN Gated Content - Embedded Petition")</f>
        <v>EVERGREEN - UAN Gated Content - Embedded Petition</v>
      </c>
      <c r="D1233" s="10">
        <f ca="1">IFERROR(__xludf.DUMMYFUNCTION("""COMPUTED_VALUE"""),45664)</f>
        <v>45664</v>
      </c>
      <c r="E1233" s="1" t="str">
        <f ca="1">IFERROR(__xludf.DUMMYFUNCTION("""COMPUTED_VALUE"""),"China")</f>
        <v>China</v>
      </c>
      <c r="F1233" s="1" t="str">
        <f ca="1">IFERROR(__xludf.DUMMYFUNCTION("""COMPUTED_VALUE"""),"106.24 China")</f>
        <v>106.24 China</v>
      </c>
      <c r="G1233" s="1" t="str">
        <f ca="1">IFERROR(__xludf.DUMMYFUNCTION("""COMPUTED_VALUE"""),"Freedom of Expression, Individuals At Risk")</f>
        <v>Freedom of Expression, Individuals At Risk</v>
      </c>
      <c r="H1233" s="1" t="str">
        <f ca="1">IFERROR(__xludf.DUMMYFUNCTION("""COMPUTED_VALUE"""),"2024")</f>
        <v>2024</v>
      </c>
      <c r="I1233" s="1" t="str">
        <f ca="1">IFERROR(__xludf.DUMMYFUNCTION("""COMPUTED_VALUE"""),"Email")</f>
        <v>Email</v>
      </c>
    </row>
    <row r="1234" spans="1:9" ht="13" x14ac:dyDescent="0.15">
      <c r="A1234" s="9">
        <f ca="1">IFERROR(__xludf.DUMMYFUNCTION("""COMPUTED_VALUE"""),117505282)</f>
        <v>117505282</v>
      </c>
      <c r="B1234" s="1" t="str">
        <f ca="1">IFERROR(__xludf.DUMMYFUNCTION("""COMPUTED_VALUE"""),"denisemarlowe5729@gmail.com")</f>
        <v>denisemarlowe5729@gmail.com</v>
      </c>
      <c r="C1234" s="9" t="str">
        <f ca="1">IFERROR(__xludf.DUMMYFUNCTION("""COMPUTED_VALUE"""),"EVERGREEN - UAN Gated Content - Embedded Petition")</f>
        <v>EVERGREEN - UAN Gated Content - Embedded Petition</v>
      </c>
      <c r="D1234" s="10">
        <f ca="1">IFERROR(__xludf.DUMMYFUNCTION("""COMPUTED_VALUE"""),45636)</f>
        <v>45636</v>
      </c>
      <c r="E1234" s="1" t="str">
        <f ca="1">IFERROR(__xludf.DUMMYFUNCTION("""COMPUTED_VALUE"""),"Singapore")</f>
        <v>Singapore</v>
      </c>
      <c r="F1234" s="1" t="str">
        <f ca="1">IFERROR(__xludf.DUMMYFUNCTION("""COMPUTED_VALUE"""),"107.24 Singapore")</f>
        <v>107.24 Singapore</v>
      </c>
      <c r="G1234" s="1" t="str">
        <f ca="1">IFERROR(__xludf.DUMMYFUNCTION("""COMPUTED_VALUE"""),"Death Penalty")</f>
        <v>Death Penalty</v>
      </c>
      <c r="H1234" s="1" t="str">
        <f ca="1">IFERROR(__xludf.DUMMYFUNCTION("""COMPUTED_VALUE"""),"2024")</f>
        <v>2024</v>
      </c>
      <c r="I1234" s="1" t="str">
        <f ca="1">IFERROR(__xludf.DUMMYFUNCTION("""COMPUTED_VALUE"""),"Email")</f>
        <v>Email</v>
      </c>
    </row>
    <row r="1235" spans="1:9" ht="13" x14ac:dyDescent="0.15">
      <c r="A1235" s="9">
        <f ca="1">IFERROR(__xludf.DUMMYFUNCTION("""COMPUTED_VALUE"""),117505282)</f>
        <v>117505282</v>
      </c>
      <c r="B1235" s="1" t="str">
        <f ca="1">IFERROR(__xludf.DUMMYFUNCTION("""COMPUTED_VALUE"""),"denisemarlowe5729@gmail.com")</f>
        <v>denisemarlowe5729@gmail.com</v>
      </c>
      <c r="C1235" s="9" t="str">
        <f ca="1">IFERROR(__xludf.DUMMYFUNCTION("""COMPUTED_VALUE"""),"EVERGREEN - UAN Gated Content - Embedded Petition")</f>
        <v>EVERGREEN - UAN Gated Content - Embedded Petition</v>
      </c>
      <c r="D1235" s="10">
        <f ca="1">IFERROR(__xludf.DUMMYFUNCTION("""COMPUTED_VALUE"""),45636)</f>
        <v>45636</v>
      </c>
      <c r="E1235" s="1" t="str">
        <f ca="1">IFERROR(__xludf.DUMMYFUNCTION("""COMPUTED_VALUE"""),"Tunisia")</f>
        <v>Tunisia</v>
      </c>
      <c r="F1235" s="1" t="str">
        <f ca="1">IFERROR(__xludf.DUMMYFUNCTION("""COMPUTED_VALUE"""),"Second 76.24 Tunisia")</f>
        <v>Second 76.24 Tunisia</v>
      </c>
      <c r="G1235" s="1" t="str">
        <f ca="1">IFERROR(__xludf.DUMMYFUNCTION("""COMPUTED_VALUE"""),"Freedom of Expression, Human Rights Defenders")</f>
        <v>Freedom of Expression, Human Rights Defenders</v>
      </c>
      <c r="H1235" s="1" t="str">
        <f ca="1">IFERROR(__xludf.DUMMYFUNCTION("""COMPUTED_VALUE"""),"2025")</f>
        <v>2025</v>
      </c>
      <c r="I1235" s="1" t="str">
        <f ca="1">IFERROR(__xludf.DUMMYFUNCTION("""COMPUTED_VALUE"""),"Email")</f>
        <v>Email</v>
      </c>
    </row>
    <row r="1236" spans="1:9" ht="13" x14ac:dyDescent="0.15">
      <c r="A1236" s="9">
        <f ca="1">IFERROR(__xludf.DUMMYFUNCTION("""COMPUTED_VALUE"""),117505282)</f>
        <v>117505282</v>
      </c>
      <c r="B1236" s="1" t="str">
        <f ca="1">IFERROR(__xludf.DUMMYFUNCTION("""COMPUTED_VALUE"""),"denisemarlowe5729@gmail.com")</f>
        <v>denisemarlowe5729@gmail.com</v>
      </c>
      <c r="C1236" s="9" t="str">
        <f ca="1">IFERROR(__xludf.DUMMYFUNCTION("""COMPUTED_VALUE"""),"EVERGREEN - UAN Gated Content - Embedded Petition")</f>
        <v>EVERGREEN - UAN Gated Content - Embedded Petition</v>
      </c>
      <c r="D1236" s="10">
        <f ca="1">IFERROR(__xludf.DUMMYFUNCTION("""COMPUTED_VALUE"""),45694)</f>
        <v>45694</v>
      </c>
      <c r="E1236" s="1" t="str">
        <f ca="1">IFERROR(__xludf.DUMMYFUNCTION("""COMPUTED_VALUE"""),"Tunisia")</f>
        <v>Tunisia</v>
      </c>
      <c r="F1236" s="1" t="str">
        <f ca="1">IFERROR(__xludf.DUMMYFUNCTION("""COMPUTED_VALUE"""),"Second 76.24 Tunisia")</f>
        <v>Second 76.24 Tunisia</v>
      </c>
      <c r="G1236" s="1" t="str">
        <f ca="1">IFERROR(__xludf.DUMMYFUNCTION("""COMPUTED_VALUE"""),"Freedom of Expression, Human Rights Defenders")</f>
        <v>Freedom of Expression, Human Rights Defenders</v>
      </c>
      <c r="H1236" s="1" t="str">
        <f ca="1">IFERROR(__xludf.DUMMYFUNCTION("""COMPUTED_VALUE"""),"2025")</f>
        <v>2025</v>
      </c>
      <c r="I1236" s="1" t="str">
        <f ca="1">IFERROR(__xludf.DUMMYFUNCTION("""COMPUTED_VALUE"""),"Email")</f>
        <v>Email</v>
      </c>
    </row>
    <row r="1237" spans="1:9" ht="13" x14ac:dyDescent="0.15">
      <c r="A1237" s="9">
        <f ca="1">IFERROR(__xludf.DUMMYFUNCTION("""COMPUTED_VALUE"""),118188099)</f>
        <v>118188099</v>
      </c>
      <c r="B1237" s="1" t="str">
        <f ca="1">IFERROR(__xludf.DUMMYFUNCTION("""COMPUTED_VALUE"""),"captainirons@gmail.com")</f>
        <v>captainirons@gmail.com</v>
      </c>
      <c r="C1237" s="9" t="str">
        <f ca="1">IFERROR(__xludf.DUMMYFUNCTION("""COMPUTED_VALUE"""),"EVERGREEN - UAN Gated Content - Embedded Petition")</f>
        <v>EVERGREEN - UAN Gated Content - Embedded Petition</v>
      </c>
      <c r="D1237" s="10">
        <f ca="1">IFERROR(__xludf.DUMMYFUNCTION("""COMPUTED_VALUE"""),45640)</f>
        <v>45640</v>
      </c>
      <c r="E1237" s="1" t="str">
        <f ca="1">IFERROR(__xludf.DUMMYFUNCTION("""COMPUTED_VALUE"""),"USA")</f>
        <v>USA</v>
      </c>
      <c r="F1237" s="1" t="str">
        <f ca="1">IFERROR(__xludf.DUMMYFUNCTION("""COMPUTED_VALUE"""),"4.25 USA")</f>
        <v>4.25 USA</v>
      </c>
      <c r="G1237" s="1" t="str">
        <f ca="1">IFERROR(__xludf.DUMMYFUNCTION("""COMPUTED_VALUE"""),"Individuals At Risk, Refugee and Migrant Rights")</f>
        <v>Individuals At Risk, Refugee and Migrant Rights</v>
      </c>
      <c r="H1237" s="1" t="str">
        <f ca="1">IFERROR(__xludf.DUMMYFUNCTION("""COMPUTED_VALUE"""),"2025")</f>
        <v>2025</v>
      </c>
      <c r="I1237" s="1" t="str">
        <f ca="1">IFERROR(__xludf.DUMMYFUNCTION("""COMPUTED_VALUE"""),"Letter")</f>
        <v>Letter</v>
      </c>
    </row>
    <row r="1238" spans="1:9" ht="13" x14ac:dyDescent="0.15">
      <c r="A1238" s="9">
        <f ca="1">IFERROR(__xludf.DUMMYFUNCTION("""COMPUTED_VALUE"""),118188099)</f>
        <v>118188099</v>
      </c>
      <c r="B1238" s="1" t="str">
        <f ca="1">IFERROR(__xludf.DUMMYFUNCTION("""COMPUTED_VALUE"""),"captainirons@gmail.com")</f>
        <v>captainirons@gmail.com</v>
      </c>
      <c r="C1238" s="9" t="str">
        <f ca="1">IFERROR(__xludf.DUMMYFUNCTION("""COMPUTED_VALUE"""),"EVERGREEN - Website Email Capture Form - UAN Pre-Footer")</f>
        <v>EVERGREEN - Website Email Capture Form - UAN Pre-Footer</v>
      </c>
      <c r="D1238" s="10">
        <f ca="1">IFERROR(__xludf.DUMMYFUNCTION("""COMPUTED_VALUE"""),45641)</f>
        <v>45641</v>
      </c>
      <c r="E1238" s="1" t="str">
        <f ca="1">IFERROR(__xludf.DUMMYFUNCTION("""COMPUTED_VALUE"""),"USA")</f>
        <v>USA</v>
      </c>
      <c r="F1238" s="1" t="str">
        <f ca="1">IFERROR(__xludf.DUMMYFUNCTION("""COMPUTED_VALUE"""),"105.24 USA")</f>
        <v>105.24 USA</v>
      </c>
      <c r="G1238" s="1" t="str">
        <f ca="1">IFERROR(__xludf.DUMMYFUNCTION("""COMPUTED_VALUE"""),"Death Penalty")</f>
        <v>Death Penalty</v>
      </c>
      <c r="H1238" s="1" t="str">
        <f ca="1">IFERROR(__xludf.DUMMYFUNCTION("""COMPUTED_VALUE"""),"2024")</f>
        <v>2024</v>
      </c>
      <c r="I1238" s="1" t="str">
        <f ca="1">IFERROR(__xludf.DUMMYFUNCTION("""COMPUTED_VALUE"""),"Email")</f>
        <v>Email</v>
      </c>
    </row>
    <row r="1239" spans="1:9" ht="13" x14ac:dyDescent="0.15">
      <c r="A1239" s="9">
        <f ca="1">IFERROR(__xludf.DUMMYFUNCTION("""COMPUTED_VALUE"""),118274883)</f>
        <v>118274883</v>
      </c>
      <c r="B1239" s="1" t="str">
        <f ca="1">IFERROR(__xludf.DUMMYFUNCTION("""COMPUTED_VALUE"""),"sashasampaio@gmail.com")</f>
        <v>sashasampaio@gmail.com</v>
      </c>
      <c r="C1239" s="9" t="str">
        <f ca="1">IFERROR(__xludf.DUMMYFUNCTION("""COMPUTED_VALUE"""),"EVERGREEN - UAN Gated Content - Embedded Petition")</f>
        <v>EVERGREEN - UAN Gated Content - Embedded Petition</v>
      </c>
      <c r="D1239" s="10">
        <f ca="1">IFERROR(__xludf.DUMMYFUNCTION("""COMPUTED_VALUE"""),45700)</f>
        <v>45700</v>
      </c>
      <c r="E1239" s="1" t="str">
        <f ca="1">IFERROR(__xludf.DUMMYFUNCTION("""COMPUTED_VALUE"""),"China")</f>
        <v>China</v>
      </c>
      <c r="F1239" s="1" t="str">
        <f ca="1">IFERROR(__xludf.DUMMYFUNCTION("""COMPUTED_VALUE"""),"98.24 China")</f>
        <v>98.24 China</v>
      </c>
      <c r="G1239" s="1" t="str">
        <f ca="1">IFERROR(__xludf.DUMMYFUNCTION("""COMPUTED_VALUE"""),"Freedom of Expression, Individuals At Risk")</f>
        <v>Freedom of Expression, Individuals At Risk</v>
      </c>
      <c r="H1239" s="1" t="str">
        <f ca="1">IFERROR(__xludf.DUMMYFUNCTION("""COMPUTED_VALUE"""),"2024")</f>
        <v>2024</v>
      </c>
      <c r="I1239" s="1" t="str">
        <f ca="1">IFERROR(__xludf.DUMMYFUNCTION("""COMPUTED_VALUE"""),"Letter")</f>
        <v>Letter</v>
      </c>
    </row>
    <row r="1240" spans="1:9" ht="13" x14ac:dyDescent="0.15">
      <c r="A1240" s="9">
        <f ca="1">IFERROR(__xludf.DUMMYFUNCTION("""COMPUTED_VALUE"""),118283878)</f>
        <v>118283878</v>
      </c>
      <c r="B1240" s="1" t="str">
        <f ca="1">IFERROR(__xludf.DUMMYFUNCTION("""COMPUTED_VALUE"""),"lorilstefano@gmail.com")</f>
        <v>lorilstefano@gmail.com</v>
      </c>
      <c r="C1240" s="9" t="str">
        <f ca="1">IFERROR(__xludf.DUMMYFUNCTION("""COMPUTED_VALUE"""),"EVERGREEN - UAN Gated Content - Embedded Petition")</f>
        <v>EVERGREEN - UAN Gated Content - Embedded Petition</v>
      </c>
      <c r="D1240" s="10">
        <f ca="1">IFERROR(__xludf.DUMMYFUNCTION("""COMPUTED_VALUE"""),45694)</f>
        <v>45694</v>
      </c>
      <c r="E1240" s="1" t="str">
        <f ca="1">IFERROR(__xludf.DUMMYFUNCTION("""COMPUTED_VALUE"""),"Israel and Occupied Palestinian Territories")</f>
        <v>Israel and Occupied Palestinian Territories</v>
      </c>
      <c r="F1240" s="1" t="str">
        <f ca="1">IFERROR(__xludf.DUMMYFUNCTION("""COMPUTED_VALUE"""),"3.25 IOPT")</f>
        <v>3.25 IOPT</v>
      </c>
      <c r="G1240" s="1" t="str">
        <f ca="1">IFERROR(__xludf.DUMMYFUNCTION("""COMPUTED_VALUE"""),"Freedom of Expression, Individuals At Risk")</f>
        <v>Freedom of Expression, Individuals At Risk</v>
      </c>
      <c r="H1240" s="1" t="str">
        <f ca="1">IFERROR(__xludf.DUMMYFUNCTION("""COMPUTED_VALUE"""),"2025")</f>
        <v>2025</v>
      </c>
      <c r="I1240" s="1" t="str">
        <f ca="1">IFERROR(__xludf.DUMMYFUNCTION("""COMPUTED_VALUE"""),"Email")</f>
        <v>Email</v>
      </c>
    </row>
    <row r="1241" spans="1:9" ht="13" x14ac:dyDescent="0.15">
      <c r="A1241" s="9">
        <f ca="1">IFERROR(__xludf.DUMMYFUNCTION("""COMPUTED_VALUE"""),118293070)</f>
        <v>118293070</v>
      </c>
      <c r="B1241" s="1" t="str">
        <f ca="1">IFERROR(__xludf.DUMMYFUNCTION("""COMPUTED_VALUE"""),"mstuhlreyer@ihmsisters.org")</f>
        <v>mstuhlreyer@ihmsisters.org</v>
      </c>
      <c r="C1241" s="9" t="str">
        <f ca="1">IFERROR(__xludf.DUMMYFUNCTION("""COMPUTED_VALUE"""),"EVERGREEN - UAN Gated Content - Embedded Petition")</f>
        <v>EVERGREEN - UAN Gated Content - Embedded Petition</v>
      </c>
      <c r="D1241" s="10">
        <f ca="1">IFERROR(__xludf.DUMMYFUNCTION("""COMPUTED_VALUE"""),45694)</f>
        <v>45694</v>
      </c>
      <c r="E1241" s="1" t="str">
        <f ca="1">IFERROR(__xludf.DUMMYFUNCTION("""COMPUTED_VALUE"""),"Tunisia")</f>
        <v>Tunisia</v>
      </c>
      <c r="F1241" s="1" t="str">
        <f ca="1">IFERROR(__xludf.DUMMYFUNCTION("""COMPUTED_VALUE"""),"Second 43.24 Tunisia")</f>
        <v>Second 43.24 Tunisia</v>
      </c>
      <c r="G1241" s="1" t="str">
        <f ca="1">IFERROR(__xludf.DUMMYFUNCTION("""COMPUTED_VALUE"""),"Freedom of Expression, Individuals At Risk")</f>
        <v>Freedom of Expression, Individuals At Risk</v>
      </c>
      <c r="H1241" s="1" t="str">
        <f ca="1">IFERROR(__xludf.DUMMYFUNCTION("""COMPUTED_VALUE"""),"2024")</f>
        <v>2024</v>
      </c>
      <c r="I1241" s="1" t="str">
        <f ca="1">IFERROR(__xludf.DUMMYFUNCTION("""COMPUTED_VALUE"""),"Email")</f>
        <v>Email</v>
      </c>
    </row>
    <row r="1242" spans="1:9" ht="13" x14ac:dyDescent="0.15">
      <c r="A1242" s="9">
        <f ca="1">IFERROR(__xludf.DUMMYFUNCTION("""COMPUTED_VALUE"""),118295600)</f>
        <v>118295600</v>
      </c>
      <c r="B1242" s="1" t="str">
        <f ca="1">IFERROR(__xludf.DUMMYFUNCTION("""COMPUTED_VALUE"""),"yogablu@gmail.com")</f>
        <v>yogablu@gmail.com</v>
      </c>
      <c r="C1242" s="9" t="str">
        <f ca="1">IFERROR(__xludf.DUMMYFUNCTION("""COMPUTED_VALUE"""),"EVERGREEN - UAN Gated Content - Embedded Petition")</f>
        <v>EVERGREEN - UAN Gated Content - Embedded Petition</v>
      </c>
      <c r="D1242" s="10">
        <f ca="1">IFERROR(__xludf.DUMMYFUNCTION("""COMPUTED_VALUE"""),45694)</f>
        <v>45694</v>
      </c>
      <c r="E1242" s="1" t="str">
        <f ca="1">IFERROR(__xludf.DUMMYFUNCTION("""COMPUTED_VALUE"""),"Tunisia")</f>
        <v>Tunisia</v>
      </c>
      <c r="F1242" s="1" t="str">
        <f ca="1">IFERROR(__xludf.DUMMYFUNCTION("""COMPUTED_VALUE"""),"Second 76.24 Tunisia")</f>
        <v>Second 76.24 Tunisia</v>
      </c>
      <c r="G1242" s="1" t="str">
        <f ca="1">IFERROR(__xludf.DUMMYFUNCTION("""COMPUTED_VALUE"""),"Freedom of Expression, Human Rights Defenders")</f>
        <v>Freedom of Expression, Human Rights Defenders</v>
      </c>
      <c r="H1242" s="1" t="str">
        <f ca="1">IFERROR(__xludf.DUMMYFUNCTION("""COMPUTED_VALUE"""),"2025")</f>
        <v>2025</v>
      </c>
      <c r="I1242" s="1" t="str">
        <f ca="1">IFERROR(__xludf.DUMMYFUNCTION("""COMPUTED_VALUE"""),"Email")</f>
        <v>Email</v>
      </c>
    </row>
    <row r="1243" spans="1:9" ht="13" x14ac:dyDescent="0.15">
      <c r="A1243" s="9">
        <f ca="1">IFERROR(__xludf.DUMMYFUNCTION("""COMPUTED_VALUE"""),118295697)</f>
        <v>118295697</v>
      </c>
      <c r="B1243" s="1" t="str">
        <f ca="1">IFERROR(__xludf.DUMMYFUNCTION("""COMPUTED_VALUE"""),"hbrogers@yahoo.com")</f>
        <v>hbrogers@yahoo.com</v>
      </c>
      <c r="C1243" s="9" t="str">
        <f ca="1">IFERROR(__xludf.DUMMYFUNCTION("""COMPUTED_VALUE"""),"EVERGREEN - UAN Gated Content - Embedded Petition")</f>
        <v>EVERGREEN - UAN Gated Content - Embedded Petition</v>
      </c>
      <c r="D1243" s="10">
        <f ca="1">IFERROR(__xludf.DUMMYFUNCTION("""COMPUTED_VALUE"""),45697)</f>
        <v>45697</v>
      </c>
      <c r="E1243" s="1" t="str">
        <f ca="1">IFERROR(__xludf.DUMMYFUNCTION("""COMPUTED_VALUE"""),"Tunisia")</f>
        <v>Tunisia</v>
      </c>
      <c r="F1243" s="1" t="str">
        <f ca="1">IFERROR(__xludf.DUMMYFUNCTION("""COMPUTED_VALUE"""),"Second 76.24 Tunisia")</f>
        <v>Second 76.24 Tunisia</v>
      </c>
      <c r="G1243" s="1" t="str">
        <f ca="1">IFERROR(__xludf.DUMMYFUNCTION("""COMPUTED_VALUE"""),"Freedom of Expression, Human Rights Defenders")</f>
        <v>Freedom of Expression, Human Rights Defenders</v>
      </c>
      <c r="H1243" s="1" t="str">
        <f ca="1">IFERROR(__xludf.DUMMYFUNCTION("""COMPUTED_VALUE"""),"2025")</f>
        <v>2025</v>
      </c>
      <c r="I1243" s="1" t="str">
        <f ca="1">IFERROR(__xludf.DUMMYFUNCTION("""COMPUTED_VALUE"""),"Email")</f>
        <v>Email</v>
      </c>
    </row>
    <row r="1244" spans="1:9" ht="13" x14ac:dyDescent="0.15">
      <c r="A1244" s="9">
        <f ca="1">IFERROR(__xludf.DUMMYFUNCTION("""COMPUTED_VALUE"""),118429002)</f>
        <v>118429002</v>
      </c>
      <c r="B1244" s="1" t="str">
        <f ca="1">IFERROR(__xludf.DUMMYFUNCTION("""COMPUTED_VALUE"""),"alexeritrea1@yahoo.co.uk")</f>
        <v>alexeritrea1@yahoo.co.uk</v>
      </c>
      <c r="C1244" s="9" t="str">
        <f ca="1">IFERROR(__xludf.DUMMYFUNCTION("""COMPUTED_VALUE"""),"EVERGREEN - UAN Gated Content - Embedded Petition")</f>
        <v>EVERGREEN - UAN Gated Content - Embedded Petition</v>
      </c>
      <c r="D1244" s="10">
        <f ca="1">IFERROR(__xludf.DUMMYFUNCTION("""COMPUTED_VALUE"""),45694)</f>
        <v>45694</v>
      </c>
      <c r="E1244" s="1" t="str">
        <f ca="1">IFERROR(__xludf.DUMMYFUNCTION("""COMPUTED_VALUE"""),"USA")</f>
        <v>USA</v>
      </c>
      <c r="F1244" s="1" t="str">
        <f ca="1">IFERROR(__xludf.DUMMYFUNCTION("""COMPUTED_VALUE"""),"105.24 USA")</f>
        <v>105.24 USA</v>
      </c>
      <c r="G1244" s="1" t="str">
        <f ca="1">IFERROR(__xludf.DUMMYFUNCTION("""COMPUTED_VALUE"""),"Death Penalty")</f>
        <v>Death Penalty</v>
      </c>
      <c r="H1244" s="1" t="str">
        <f ca="1">IFERROR(__xludf.DUMMYFUNCTION("""COMPUTED_VALUE"""),"2024")</f>
        <v>2024</v>
      </c>
      <c r="I1244" s="1" t="str">
        <f ca="1">IFERROR(__xludf.DUMMYFUNCTION("""COMPUTED_VALUE"""),"Email")</f>
        <v>Email</v>
      </c>
    </row>
    <row r="1245" spans="1:9" ht="13" x14ac:dyDescent="0.15">
      <c r="A1245" s="9">
        <f ca="1">IFERROR(__xludf.DUMMYFUNCTION("""COMPUTED_VALUE"""),118779909)</f>
        <v>118779909</v>
      </c>
      <c r="B1245" s="1" t="str">
        <f ca="1">IFERROR(__xludf.DUMMYFUNCTION("""COMPUTED_VALUE"""),"sdelturk@outlook.com")</f>
        <v>sdelturk@outlook.com</v>
      </c>
      <c r="C1245" s="9" t="str">
        <f ca="1">IFERROR(__xludf.DUMMYFUNCTION("""COMPUTED_VALUE"""),"EVERGREEN - UAN Gated Content - Embedded Petition")</f>
        <v>EVERGREEN - UAN Gated Content - Embedded Petition</v>
      </c>
      <c r="D1245" s="10">
        <f ca="1">IFERROR(__xludf.DUMMYFUNCTION("""COMPUTED_VALUE"""),45697)</f>
        <v>45697</v>
      </c>
      <c r="E1245" s="1" t="str">
        <f ca="1">IFERROR(__xludf.DUMMYFUNCTION("""COMPUTED_VALUE"""),"Tunisia")</f>
        <v>Tunisia</v>
      </c>
      <c r="F1245" s="1" t="str">
        <f ca="1">IFERROR(__xludf.DUMMYFUNCTION("""COMPUTED_VALUE"""),"Second 76.24 Tunisia")</f>
        <v>Second 76.24 Tunisia</v>
      </c>
      <c r="G1245" s="1" t="str">
        <f ca="1">IFERROR(__xludf.DUMMYFUNCTION("""COMPUTED_VALUE"""),"Freedom of Expression, Human Rights Defenders")</f>
        <v>Freedom of Expression, Human Rights Defenders</v>
      </c>
      <c r="H1245" s="1" t="str">
        <f ca="1">IFERROR(__xludf.DUMMYFUNCTION("""COMPUTED_VALUE"""),"2025")</f>
        <v>2025</v>
      </c>
      <c r="I1245" s="1" t="str">
        <f ca="1">IFERROR(__xludf.DUMMYFUNCTION("""COMPUTED_VALUE"""),"Email")</f>
        <v>Email</v>
      </c>
    </row>
    <row r="1246" spans="1:9" ht="13" x14ac:dyDescent="0.15">
      <c r="A1246" s="9">
        <f ca="1">IFERROR(__xludf.DUMMYFUNCTION("""COMPUTED_VALUE"""),118788101)</f>
        <v>118788101</v>
      </c>
      <c r="B1246" s="1" t="str">
        <f ca="1">IFERROR(__xludf.DUMMYFUNCTION("""COMPUTED_VALUE"""),"gemmadee2003@gmail.com")</f>
        <v>gemmadee2003@gmail.com</v>
      </c>
      <c r="C1246" s="9" t="str">
        <f ca="1">IFERROR(__xludf.DUMMYFUNCTION("""COMPUTED_VALUE"""),"EVERGREEN - UAN Gated Content - Embedded Petition")</f>
        <v>EVERGREEN - UAN Gated Content - Embedded Petition</v>
      </c>
      <c r="D1246" s="10">
        <f ca="1">IFERROR(__xludf.DUMMYFUNCTION("""COMPUTED_VALUE"""),45677)</f>
        <v>45677</v>
      </c>
      <c r="E1246" s="1" t="str">
        <f ca="1">IFERROR(__xludf.DUMMYFUNCTION("""COMPUTED_VALUE"""),"Tunisia")</f>
        <v>Tunisia</v>
      </c>
      <c r="F1246" s="1" t="str">
        <f ca="1">IFERROR(__xludf.DUMMYFUNCTION("""COMPUTED_VALUE"""),"Second 76.24 Tunisia")</f>
        <v>Second 76.24 Tunisia</v>
      </c>
      <c r="G1246" s="1" t="str">
        <f ca="1">IFERROR(__xludf.DUMMYFUNCTION("""COMPUTED_VALUE"""),"Freedom of Expression, Human Rights Defenders")</f>
        <v>Freedom of Expression, Human Rights Defenders</v>
      </c>
      <c r="H1246" s="1" t="str">
        <f ca="1">IFERROR(__xludf.DUMMYFUNCTION("""COMPUTED_VALUE"""),"2025")</f>
        <v>2025</v>
      </c>
      <c r="I1246" s="1" t="str">
        <f ca="1">IFERROR(__xludf.DUMMYFUNCTION("""COMPUTED_VALUE"""),"Email")</f>
        <v>Email</v>
      </c>
    </row>
    <row r="1247" spans="1:9" ht="13" x14ac:dyDescent="0.15">
      <c r="A1247" s="9">
        <f ca="1">IFERROR(__xludf.DUMMYFUNCTION("""COMPUTED_VALUE"""),118788101)</f>
        <v>118788101</v>
      </c>
      <c r="B1247" s="1" t="str">
        <f ca="1">IFERROR(__xludf.DUMMYFUNCTION("""COMPUTED_VALUE"""),"gemmadee2003@gmail.com")</f>
        <v>gemmadee2003@gmail.com</v>
      </c>
      <c r="C1247" s="9" t="str">
        <f ca="1">IFERROR(__xludf.DUMMYFUNCTION("""COMPUTED_VALUE"""),"EVERGREEN - UAN Gated Content - Embedded Petition")</f>
        <v>EVERGREEN - UAN Gated Content - Embedded Petition</v>
      </c>
      <c r="D1247" s="10">
        <f ca="1">IFERROR(__xludf.DUMMYFUNCTION("""COMPUTED_VALUE"""),45698)</f>
        <v>45698</v>
      </c>
      <c r="E1247" s="1" t="str">
        <f ca="1">IFERROR(__xludf.DUMMYFUNCTION("""COMPUTED_VALUE"""),"Dominican Republic")</f>
        <v>Dominican Republic</v>
      </c>
      <c r="F1247" s="1" t="str">
        <f ca="1">IFERROR(__xludf.DUMMYFUNCTION("""COMPUTED_VALUE"""),"88.24 Dominican Republic")</f>
        <v>88.24 Dominican Republic</v>
      </c>
      <c r="G1247" s="1" t="str">
        <f ca="1">IFERROR(__xludf.DUMMYFUNCTION("""COMPUTED_VALUE"""),"Individuals At Risk, Refugee and Migrant Rights")</f>
        <v>Individuals At Risk, Refugee and Migrant Rights</v>
      </c>
      <c r="H1247" s="1" t="str">
        <f ca="1">IFERROR(__xludf.DUMMYFUNCTION("""COMPUTED_VALUE"""),"2024")</f>
        <v>2024</v>
      </c>
      <c r="I1247" s="1" t="str">
        <f ca="1">IFERROR(__xludf.DUMMYFUNCTION("""COMPUTED_VALUE"""),"Letter")</f>
        <v>Letter</v>
      </c>
    </row>
    <row r="1248" spans="1:9" ht="13" x14ac:dyDescent="0.15">
      <c r="A1248" s="9">
        <f ca="1">IFERROR(__xludf.DUMMYFUNCTION("""COMPUTED_VALUE"""),119184246)</f>
        <v>119184246</v>
      </c>
      <c r="B1248" s="1" t="str">
        <f ca="1">IFERROR(__xludf.DUMMYFUNCTION("""COMPUTED_VALUE"""),"ddonahue60@gmail.com")</f>
        <v>ddonahue60@gmail.com</v>
      </c>
      <c r="C1248" s="9" t="str">
        <f ca="1">IFERROR(__xludf.DUMMYFUNCTION("""COMPUTED_VALUE"""),"EVERGREEN - UAN Gated Content - Embedded Petition")</f>
        <v>EVERGREEN - UAN Gated Content - Embedded Petition</v>
      </c>
      <c r="D1248" s="10">
        <f ca="1">IFERROR(__xludf.DUMMYFUNCTION("""COMPUTED_VALUE"""),45695)</f>
        <v>45695</v>
      </c>
      <c r="E1248" s="1" t="str">
        <f ca="1">IFERROR(__xludf.DUMMYFUNCTION("""COMPUTED_VALUE"""),"USA")</f>
        <v>USA</v>
      </c>
      <c r="F1248" s="1" t="str">
        <f ca="1">IFERROR(__xludf.DUMMYFUNCTION("""COMPUTED_VALUE"""),"4.25 USA")</f>
        <v>4.25 USA</v>
      </c>
      <c r="G1248" s="1" t="str">
        <f ca="1">IFERROR(__xludf.DUMMYFUNCTION("""COMPUTED_VALUE"""),"Individuals At Risk, Refugee and Migrant Rights")</f>
        <v>Individuals At Risk, Refugee and Migrant Rights</v>
      </c>
      <c r="H1248" s="1" t="str">
        <f ca="1">IFERROR(__xludf.DUMMYFUNCTION("""COMPUTED_VALUE"""),"2025")</f>
        <v>2025</v>
      </c>
      <c r="I1248" s="1" t="str">
        <f ca="1">IFERROR(__xludf.DUMMYFUNCTION("""COMPUTED_VALUE"""),"Letter")</f>
        <v>Letter</v>
      </c>
    </row>
    <row r="1249" spans="1:9" ht="13" x14ac:dyDescent="0.15">
      <c r="A1249" s="9">
        <f ca="1">IFERROR(__xludf.DUMMYFUNCTION("""COMPUTED_VALUE"""),119568159)</f>
        <v>119568159</v>
      </c>
      <c r="B1249" s="1" t="str">
        <f ca="1">IFERROR(__xludf.DUMMYFUNCTION("""COMPUTED_VALUE"""),"chip.lee54@yahoo.com")</f>
        <v>chip.lee54@yahoo.com</v>
      </c>
      <c r="C1249" s="9" t="str">
        <f ca="1">IFERROR(__xludf.DUMMYFUNCTION("""COMPUTED_VALUE"""),"EVERGREEN - UAN Gated Content - Embedded Petition")</f>
        <v>EVERGREEN - UAN Gated Content - Embedded Petition</v>
      </c>
      <c r="D1249" s="10">
        <f ca="1">IFERROR(__xludf.DUMMYFUNCTION("""COMPUTED_VALUE"""),45694)</f>
        <v>45694</v>
      </c>
      <c r="E1249" s="1" t="str">
        <f ca="1">IFERROR(__xludf.DUMMYFUNCTION("""COMPUTED_VALUE"""),"Israel and Occupied Palestinian Territories")</f>
        <v>Israel and Occupied Palestinian Territories</v>
      </c>
      <c r="F1249" s="1" t="str">
        <f ca="1">IFERROR(__xludf.DUMMYFUNCTION("""COMPUTED_VALUE"""),"3.25 IOPT")</f>
        <v>3.25 IOPT</v>
      </c>
      <c r="G1249" s="1" t="str">
        <f ca="1">IFERROR(__xludf.DUMMYFUNCTION("""COMPUTED_VALUE"""),"Freedom of Expression, Individuals At Risk")</f>
        <v>Freedom of Expression, Individuals At Risk</v>
      </c>
      <c r="H1249" s="1" t="str">
        <f ca="1">IFERROR(__xludf.DUMMYFUNCTION("""COMPUTED_VALUE"""),"2025")</f>
        <v>2025</v>
      </c>
      <c r="I1249" s="1" t="str">
        <f ca="1">IFERROR(__xludf.DUMMYFUNCTION("""COMPUTED_VALUE"""),"Email")</f>
        <v>Email</v>
      </c>
    </row>
    <row r="1250" spans="1:9" ht="13" x14ac:dyDescent="0.15">
      <c r="A1250" s="9">
        <f ca="1">IFERROR(__xludf.DUMMYFUNCTION("""COMPUTED_VALUE"""),119619422)</f>
        <v>119619422</v>
      </c>
      <c r="B1250" s="1" t="str">
        <f ca="1">IFERROR(__xludf.DUMMYFUNCTION("""COMPUTED_VALUE"""),"ecollin7@gmail.com")</f>
        <v>ecollin7@gmail.com</v>
      </c>
      <c r="C1250" s="9" t="str">
        <f ca="1">IFERROR(__xludf.DUMMYFUNCTION("""COMPUTED_VALUE"""),"EVERGREEN - UAN Gated Content - Embedded Petition")</f>
        <v>EVERGREEN - UAN Gated Content - Embedded Petition</v>
      </c>
      <c r="D1250" s="10">
        <f ca="1">IFERROR(__xludf.DUMMYFUNCTION("""COMPUTED_VALUE"""),45690)</f>
        <v>45690</v>
      </c>
      <c r="E1250" s="1" t="str">
        <f ca="1">IFERROR(__xludf.DUMMYFUNCTION("""COMPUTED_VALUE"""),"Tunisia")</f>
        <v>Tunisia</v>
      </c>
      <c r="F1250" s="1" t="str">
        <f ca="1">IFERROR(__xludf.DUMMYFUNCTION("""COMPUTED_VALUE"""),"Second 76.24 Tunisia")</f>
        <v>Second 76.24 Tunisia</v>
      </c>
      <c r="G1250" s="1" t="str">
        <f ca="1">IFERROR(__xludf.DUMMYFUNCTION("""COMPUTED_VALUE"""),"Freedom of Expression, Human Rights Defenders")</f>
        <v>Freedom of Expression, Human Rights Defenders</v>
      </c>
      <c r="H1250" s="1" t="str">
        <f ca="1">IFERROR(__xludf.DUMMYFUNCTION("""COMPUTED_VALUE"""),"2025")</f>
        <v>2025</v>
      </c>
      <c r="I1250" s="1" t="str">
        <f ca="1">IFERROR(__xludf.DUMMYFUNCTION("""COMPUTED_VALUE"""),"Email")</f>
        <v>Email</v>
      </c>
    </row>
    <row r="1251" spans="1:9" ht="13" x14ac:dyDescent="0.15">
      <c r="A1251" s="9">
        <f ca="1">IFERROR(__xludf.DUMMYFUNCTION("""COMPUTED_VALUE"""),119806655)</f>
        <v>119806655</v>
      </c>
      <c r="B1251" s="1" t="str">
        <f ca="1">IFERROR(__xludf.DUMMYFUNCTION("""COMPUTED_VALUE"""),"dasred@msn.com")</f>
        <v>dasred@msn.com</v>
      </c>
      <c r="C1251" s="9" t="str">
        <f ca="1">IFERROR(__xludf.DUMMYFUNCTION("""COMPUTED_VALUE"""),"EVERGREEN - UAN Gated Content - Embedded Petition")</f>
        <v>EVERGREEN - UAN Gated Content - Embedded Petition</v>
      </c>
      <c r="D1251" s="10">
        <f ca="1">IFERROR(__xludf.DUMMYFUNCTION("""COMPUTED_VALUE"""),45694)</f>
        <v>45694</v>
      </c>
      <c r="E1251" s="1" t="str">
        <f ca="1">IFERROR(__xludf.DUMMYFUNCTION("""COMPUTED_VALUE"""),"Tunisia")</f>
        <v>Tunisia</v>
      </c>
      <c r="F1251" s="1" t="str">
        <f ca="1">IFERROR(__xludf.DUMMYFUNCTION("""COMPUTED_VALUE"""),"Second 76.24 Tunisia")</f>
        <v>Second 76.24 Tunisia</v>
      </c>
      <c r="G1251" s="1" t="str">
        <f ca="1">IFERROR(__xludf.DUMMYFUNCTION("""COMPUTED_VALUE"""),"Freedom of Expression, Human Rights Defenders")</f>
        <v>Freedom of Expression, Human Rights Defenders</v>
      </c>
      <c r="H1251" s="1" t="str">
        <f ca="1">IFERROR(__xludf.DUMMYFUNCTION("""COMPUTED_VALUE"""),"2025")</f>
        <v>2025</v>
      </c>
      <c r="I1251" s="1" t="str">
        <f ca="1">IFERROR(__xludf.DUMMYFUNCTION("""COMPUTED_VALUE"""),"Email")</f>
        <v>Email</v>
      </c>
    </row>
    <row r="1252" spans="1:9" ht="13" x14ac:dyDescent="0.15">
      <c r="A1252" s="9">
        <f ca="1">IFERROR(__xludf.DUMMYFUNCTION("""COMPUTED_VALUE"""),119808753)</f>
        <v>119808753</v>
      </c>
      <c r="B1252" s="1" t="str">
        <f ca="1">IFERROR(__xludf.DUMMYFUNCTION("""COMPUTED_VALUE"""),"tmmacc15@aol.com")</f>
        <v>tmmacc15@aol.com</v>
      </c>
      <c r="C1252" s="9" t="str">
        <f ca="1">IFERROR(__xludf.DUMMYFUNCTION("""COMPUTED_VALUE"""),"EVERGREEN - UAN Gated Content - Embedded Petition")</f>
        <v>EVERGREEN - UAN Gated Content - Embedded Petition</v>
      </c>
      <c r="D1252" s="10">
        <f ca="1">IFERROR(__xludf.DUMMYFUNCTION("""COMPUTED_VALUE"""),45695)</f>
        <v>45695</v>
      </c>
      <c r="E1252" s="1" t="str">
        <f ca="1">IFERROR(__xludf.DUMMYFUNCTION("""COMPUTED_VALUE"""),"Israel and Occupied Palestinian Territories")</f>
        <v>Israel and Occupied Palestinian Territories</v>
      </c>
      <c r="F1252" s="1" t="str">
        <f ca="1">IFERROR(__xludf.DUMMYFUNCTION("""COMPUTED_VALUE"""),"3.25 IOPT")</f>
        <v>3.25 IOPT</v>
      </c>
      <c r="G1252" s="1" t="str">
        <f ca="1">IFERROR(__xludf.DUMMYFUNCTION("""COMPUTED_VALUE"""),"Freedom of Expression, Individuals At Risk")</f>
        <v>Freedom of Expression, Individuals At Risk</v>
      </c>
      <c r="H1252" s="1" t="str">
        <f ca="1">IFERROR(__xludf.DUMMYFUNCTION("""COMPUTED_VALUE"""),"2025")</f>
        <v>2025</v>
      </c>
      <c r="I1252" s="1" t="str">
        <f ca="1">IFERROR(__xludf.DUMMYFUNCTION("""COMPUTED_VALUE"""),"Email")</f>
        <v>Email</v>
      </c>
    </row>
    <row r="1253" spans="1:9" ht="13" x14ac:dyDescent="0.15">
      <c r="A1253" s="9">
        <f ca="1">IFERROR(__xludf.DUMMYFUNCTION("""COMPUTED_VALUE"""),119814476)</f>
        <v>119814476</v>
      </c>
      <c r="B1253" s="1" t="str">
        <f ca="1">IFERROR(__xludf.DUMMYFUNCTION("""COMPUTED_VALUE"""),"mkboz1313@gmail.com")</f>
        <v>mkboz1313@gmail.com</v>
      </c>
      <c r="C1253" s="9" t="str">
        <f ca="1">IFERROR(__xludf.DUMMYFUNCTION("""COMPUTED_VALUE"""),"EVERGREEN - UAN Gated Content - Embedded Petition")</f>
        <v>EVERGREEN - UAN Gated Content - Embedded Petition</v>
      </c>
      <c r="D1253" s="10">
        <f ca="1">IFERROR(__xludf.DUMMYFUNCTION("""COMPUTED_VALUE"""),45682)</f>
        <v>45682</v>
      </c>
      <c r="E1253" s="1" t="str">
        <f ca="1">IFERROR(__xludf.DUMMYFUNCTION("""COMPUTED_VALUE"""),"USA")</f>
        <v>USA</v>
      </c>
      <c r="F1253" s="1" t="str">
        <f ca="1">IFERROR(__xludf.DUMMYFUNCTION("""COMPUTED_VALUE"""),"4.25 USA")</f>
        <v>4.25 USA</v>
      </c>
      <c r="G1253" s="1" t="str">
        <f ca="1">IFERROR(__xludf.DUMMYFUNCTION("""COMPUTED_VALUE"""),"Individuals At Risk, Refugee and Migrant Rights")</f>
        <v>Individuals At Risk, Refugee and Migrant Rights</v>
      </c>
      <c r="H1253" s="1" t="str">
        <f ca="1">IFERROR(__xludf.DUMMYFUNCTION("""COMPUTED_VALUE"""),"2025")</f>
        <v>2025</v>
      </c>
      <c r="I1253" s="1" t="str">
        <f ca="1">IFERROR(__xludf.DUMMYFUNCTION("""COMPUTED_VALUE"""),"Letter")</f>
        <v>Letter</v>
      </c>
    </row>
    <row r="1254" spans="1:9" ht="13" x14ac:dyDescent="0.15">
      <c r="A1254" s="9">
        <f ca="1">IFERROR(__xludf.DUMMYFUNCTION("""COMPUTED_VALUE"""),119857509)</f>
        <v>119857509</v>
      </c>
      <c r="B1254" s="1" t="str">
        <f ca="1">IFERROR(__xludf.DUMMYFUNCTION("""COMPUTED_VALUE"""),"stevepastis@yahoo.com")</f>
        <v>stevepastis@yahoo.com</v>
      </c>
      <c r="C1254" s="9" t="str">
        <f ca="1">IFERROR(__xludf.DUMMYFUNCTION("""COMPUTED_VALUE"""),"EVERGREEN - UAN Gated Content - Embedded Petition")</f>
        <v>EVERGREEN - UAN Gated Content - Embedded Petition</v>
      </c>
      <c r="D1254" s="10">
        <f ca="1">IFERROR(__xludf.DUMMYFUNCTION("""COMPUTED_VALUE"""),45697)</f>
        <v>45697</v>
      </c>
      <c r="E1254" s="1" t="str">
        <f ca="1">IFERROR(__xludf.DUMMYFUNCTION("""COMPUTED_VALUE"""),"Dominican Republic")</f>
        <v>Dominican Republic</v>
      </c>
      <c r="F1254" s="1" t="str">
        <f ca="1">IFERROR(__xludf.DUMMYFUNCTION("""COMPUTED_VALUE"""),"88.24 Dominican Republic")</f>
        <v>88.24 Dominican Republic</v>
      </c>
      <c r="G1254" s="1" t="str">
        <f ca="1">IFERROR(__xludf.DUMMYFUNCTION("""COMPUTED_VALUE"""),"Individuals At Risk, Refugee and Migrant Rights")</f>
        <v>Individuals At Risk, Refugee and Migrant Rights</v>
      </c>
      <c r="H1254" s="1" t="str">
        <f ca="1">IFERROR(__xludf.DUMMYFUNCTION("""COMPUTED_VALUE"""),"2024")</f>
        <v>2024</v>
      </c>
      <c r="I1254" s="1" t="str">
        <f ca="1">IFERROR(__xludf.DUMMYFUNCTION("""COMPUTED_VALUE"""),"Letter")</f>
        <v>Letter</v>
      </c>
    </row>
    <row r="1255" spans="1:9" ht="13" x14ac:dyDescent="0.15">
      <c r="A1255" s="9">
        <f ca="1">IFERROR(__xludf.DUMMYFUNCTION("""COMPUTED_VALUE"""),119857509)</f>
        <v>119857509</v>
      </c>
      <c r="B1255" s="1" t="str">
        <f ca="1">IFERROR(__xludf.DUMMYFUNCTION("""COMPUTED_VALUE"""),"stevepastis@yahoo.com")</f>
        <v>stevepastis@yahoo.com</v>
      </c>
      <c r="C1255" s="9" t="str">
        <f ca="1">IFERROR(__xludf.DUMMYFUNCTION("""COMPUTED_VALUE"""),"EVERGREEN - UAN Gated Content - Embedded Petition")</f>
        <v>EVERGREEN - UAN Gated Content - Embedded Petition</v>
      </c>
      <c r="D1255" s="10">
        <f ca="1">IFERROR(__xludf.DUMMYFUNCTION("""COMPUTED_VALUE"""),45697)</f>
        <v>45697</v>
      </c>
      <c r="E1255" s="1" t="str">
        <f ca="1">IFERROR(__xludf.DUMMYFUNCTION("""COMPUTED_VALUE"""),"China")</f>
        <v>China</v>
      </c>
      <c r="F1255" s="1" t="str">
        <f ca="1">IFERROR(__xludf.DUMMYFUNCTION("""COMPUTED_VALUE"""),"98.24 China")</f>
        <v>98.24 China</v>
      </c>
      <c r="G1255" s="1" t="str">
        <f ca="1">IFERROR(__xludf.DUMMYFUNCTION("""COMPUTED_VALUE"""),"Freedom of Expression, Individuals At Risk")</f>
        <v>Freedom of Expression, Individuals At Risk</v>
      </c>
      <c r="H1255" s="1" t="str">
        <f ca="1">IFERROR(__xludf.DUMMYFUNCTION("""COMPUTED_VALUE"""),"2024")</f>
        <v>2024</v>
      </c>
      <c r="I1255" s="1" t="str">
        <f ca="1">IFERROR(__xludf.DUMMYFUNCTION("""COMPUTED_VALUE"""),"Letter")</f>
        <v>Letter</v>
      </c>
    </row>
    <row r="1256" spans="1:9" ht="13" x14ac:dyDescent="0.15">
      <c r="A1256" s="9">
        <f ca="1">IFERROR(__xludf.DUMMYFUNCTION("""COMPUTED_VALUE"""),119857509)</f>
        <v>119857509</v>
      </c>
      <c r="B1256" s="1" t="str">
        <f ca="1">IFERROR(__xludf.DUMMYFUNCTION("""COMPUTED_VALUE"""),"stevepastis@yahoo.com")</f>
        <v>stevepastis@yahoo.com</v>
      </c>
      <c r="C1256" s="9" t="str">
        <f ca="1">IFERROR(__xludf.DUMMYFUNCTION("""COMPUTED_VALUE"""),"EVERGREEN - UAN Gated Content - Embedded Petition")</f>
        <v>EVERGREEN - UAN Gated Content - Embedded Petition</v>
      </c>
      <c r="D1256" s="10">
        <f ca="1">IFERROR(__xludf.DUMMYFUNCTION("""COMPUTED_VALUE"""),45697)</f>
        <v>45697</v>
      </c>
      <c r="E1256" s="1" t="str">
        <f ca="1">IFERROR(__xludf.DUMMYFUNCTION("""COMPUTED_VALUE"""),"Iran")</f>
        <v>Iran</v>
      </c>
      <c r="F1256" s="1" t="str">
        <f ca="1">IFERROR(__xludf.DUMMYFUNCTION("""COMPUTED_VALUE"""),"101.24 Iran")</f>
        <v>101.24 Iran</v>
      </c>
      <c r="G1256" s="1" t="str">
        <f ca="1">IFERROR(__xludf.DUMMYFUNCTION("""COMPUTED_VALUE"""),"Death Penalty, Freedom of Expression, Individuals At Risk, Right to Protest")</f>
        <v>Death Penalty, Freedom of Expression, Individuals At Risk, Right to Protest</v>
      </c>
      <c r="H1256" s="1" t="str">
        <f ca="1">IFERROR(__xludf.DUMMYFUNCTION("""COMPUTED_VALUE"""),"2024")</f>
        <v>2024</v>
      </c>
      <c r="I1256" s="1" t="str">
        <f ca="1">IFERROR(__xludf.DUMMYFUNCTION("""COMPUTED_VALUE"""),"Email")</f>
        <v>Email</v>
      </c>
    </row>
    <row r="1257" spans="1:9" ht="13" x14ac:dyDescent="0.15">
      <c r="A1257" s="9">
        <f ca="1">IFERROR(__xludf.DUMMYFUNCTION("""COMPUTED_VALUE"""),119857509)</f>
        <v>119857509</v>
      </c>
      <c r="B1257" s="1" t="str">
        <f ca="1">IFERROR(__xludf.DUMMYFUNCTION("""COMPUTED_VALUE"""),"stevepastis@yahoo.com")</f>
        <v>stevepastis@yahoo.com</v>
      </c>
      <c r="C1257" s="9" t="str">
        <f ca="1">IFERROR(__xludf.DUMMYFUNCTION("""COMPUTED_VALUE"""),"EVERGREEN - UAN Gated Content - Embedded Petition")</f>
        <v>EVERGREEN - UAN Gated Content - Embedded Petition</v>
      </c>
      <c r="D1257" s="10">
        <f ca="1">IFERROR(__xludf.DUMMYFUNCTION("""COMPUTED_VALUE"""),45697)</f>
        <v>45697</v>
      </c>
      <c r="E1257" s="1" t="str">
        <f ca="1">IFERROR(__xludf.DUMMYFUNCTION("""COMPUTED_VALUE"""),"Uganda")</f>
        <v>Uganda</v>
      </c>
      <c r="F1257" s="1" t="str">
        <f ca="1">IFERROR(__xludf.DUMMYFUNCTION("""COMPUTED_VALUE"""),"100.24 Uganda")</f>
        <v>100.24 Uganda</v>
      </c>
      <c r="G1257" s="1" t="str">
        <f ca="1">IFERROR(__xludf.DUMMYFUNCTION("""COMPUTED_VALUE"""),"Freedom of Expression")</f>
        <v>Freedom of Expression</v>
      </c>
      <c r="H1257" s="1" t="str">
        <f ca="1">IFERROR(__xludf.DUMMYFUNCTION("""COMPUTED_VALUE"""),"2024")</f>
        <v>2024</v>
      </c>
      <c r="I1257" s="1" t="str">
        <f ca="1">IFERROR(__xludf.DUMMYFUNCTION("""COMPUTED_VALUE"""),"Email")</f>
        <v>Email</v>
      </c>
    </row>
    <row r="1258" spans="1:9" ht="13" x14ac:dyDescent="0.15">
      <c r="A1258" s="9">
        <f ca="1">IFERROR(__xludf.DUMMYFUNCTION("""COMPUTED_VALUE"""),119857509)</f>
        <v>119857509</v>
      </c>
      <c r="B1258" s="1" t="str">
        <f ca="1">IFERROR(__xludf.DUMMYFUNCTION("""COMPUTED_VALUE"""),"stevepastis@yahoo.com")</f>
        <v>stevepastis@yahoo.com</v>
      </c>
      <c r="C1258" s="9" t="str">
        <f ca="1">IFERROR(__xludf.DUMMYFUNCTION("""COMPUTED_VALUE"""),"EVERGREEN - UAN Gated Content - Embedded Petition")</f>
        <v>EVERGREEN - UAN Gated Content - Embedded Petition</v>
      </c>
      <c r="D1258" s="10">
        <f ca="1">IFERROR(__xludf.DUMMYFUNCTION("""COMPUTED_VALUE"""),45697)</f>
        <v>45697</v>
      </c>
      <c r="E1258" s="1" t="str">
        <f ca="1">IFERROR(__xludf.DUMMYFUNCTION("""COMPUTED_VALUE"""),"Egypt")</f>
        <v>Egypt</v>
      </c>
      <c r="F1258" s="1" t="str">
        <f ca="1">IFERROR(__xludf.DUMMYFUNCTION("""COMPUTED_VALUE"""),"Fourth 29.23 Egypt")</f>
        <v>Fourth 29.23 Egypt</v>
      </c>
      <c r="G1258" s="1" t="str">
        <f ca="1">IFERROR(__xludf.DUMMYFUNCTION("""COMPUTED_VALUE"""),"Freedom of Expression, Individuals At Risk, Right to Protest")</f>
        <v>Freedom of Expression, Individuals At Risk, Right to Protest</v>
      </c>
      <c r="H1258" s="1" t="str">
        <f ca="1">IFERROR(__xludf.DUMMYFUNCTION("""COMPUTED_VALUE"""),"2024")</f>
        <v>2024</v>
      </c>
      <c r="I1258" s="1" t="str">
        <f ca="1">IFERROR(__xludf.DUMMYFUNCTION("""COMPUTED_VALUE"""),"Email")</f>
        <v>Email</v>
      </c>
    </row>
    <row r="1259" spans="1:9" ht="13" x14ac:dyDescent="0.15">
      <c r="A1259" s="9">
        <f ca="1">IFERROR(__xludf.DUMMYFUNCTION("""COMPUTED_VALUE"""),119857509)</f>
        <v>119857509</v>
      </c>
      <c r="B1259" s="1" t="str">
        <f ca="1">IFERROR(__xludf.DUMMYFUNCTION("""COMPUTED_VALUE"""),"stevepastis@yahoo.com")</f>
        <v>stevepastis@yahoo.com</v>
      </c>
      <c r="C1259" s="9" t="str">
        <f ca="1">IFERROR(__xludf.DUMMYFUNCTION("""COMPUTED_VALUE"""),"EVERGREEN - UAN Gated Content - Embedded Petition")</f>
        <v>EVERGREEN - UAN Gated Content - Embedded Petition</v>
      </c>
      <c r="D1259" s="10">
        <f ca="1">IFERROR(__xludf.DUMMYFUNCTION("""COMPUTED_VALUE"""),45697)</f>
        <v>45697</v>
      </c>
      <c r="E1259" s="1" t="str">
        <f ca="1">IFERROR(__xludf.DUMMYFUNCTION("""COMPUTED_VALUE"""),"Saudi Arabia")</f>
        <v>Saudi Arabia</v>
      </c>
      <c r="F1259" s="1" t="str">
        <f ca="1">IFERROR(__xludf.DUMMYFUNCTION("""COMPUTED_VALUE"""),"104.24 Saudi Arabia")</f>
        <v>104.24 Saudi Arabia</v>
      </c>
      <c r="G1259" s="1" t="str">
        <f ca="1">IFERROR(__xludf.DUMMYFUNCTION("""COMPUTED_VALUE"""),"Individuals At Risk, Refugee and Migrant Rights")</f>
        <v>Individuals At Risk, Refugee and Migrant Rights</v>
      </c>
      <c r="H1259" s="1" t="str">
        <f ca="1">IFERROR(__xludf.DUMMYFUNCTION("""COMPUTED_VALUE"""),"2024")</f>
        <v>2024</v>
      </c>
      <c r="I1259" s="1" t="str">
        <f ca="1">IFERROR(__xludf.DUMMYFUNCTION("""COMPUTED_VALUE"""),"Email")</f>
        <v>Email</v>
      </c>
    </row>
    <row r="1260" spans="1:9" ht="13" x14ac:dyDescent="0.15">
      <c r="A1260" s="9">
        <f ca="1">IFERROR(__xludf.DUMMYFUNCTION("""COMPUTED_VALUE"""),119857509)</f>
        <v>119857509</v>
      </c>
      <c r="B1260" s="1" t="str">
        <f ca="1">IFERROR(__xludf.DUMMYFUNCTION("""COMPUTED_VALUE"""),"stevepastis@yahoo.com")</f>
        <v>stevepastis@yahoo.com</v>
      </c>
      <c r="C1260" s="9" t="str">
        <f ca="1">IFERROR(__xludf.DUMMYFUNCTION("""COMPUTED_VALUE"""),"EVERGREEN - UAN Gated Content - Embedded Petition")</f>
        <v>EVERGREEN - UAN Gated Content - Embedded Petition</v>
      </c>
      <c r="D1260" s="10">
        <f ca="1">IFERROR(__xludf.DUMMYFUNCTION("""COMPUTED_VALUE"""),45682)</f>
        <v>45682</v>
      </c>
      <c r="E1260" s="1" t="str">
        <f ca="1">IFERROR(__xludf.DUMMYFUNCTION("""COMPUTED_VALUE"""),"Singapore")</f>
        <v>Singapore</v>
      </c>
      <c r="F1260" s="1" t="str">
        <f ca="1">IFERROR(__xludf.DUMMYFUNCTION("""COMPUTED_VALUE"""),"107.24 Singapore")</f>
        <v>107.24 Singapore</v>
      </c>
      <c r="G1260" s="1" t="str">
        <f ca="1">IFERROR(__xludf.DUMMYFUNCTION("""COMPUTED_VALUE"""),"Death Penalty")</f>
        <v>Death Penalty</v>
      </c>
      <c r="H1260" s="1" t="str">
        <f ca="1">IFERROR(__xludf.DUMMYFUNCTION("""COMPUTED_VALUE"""),"2024")</f>
        <v>2024</v>
      </c>
      <c r="I1260" s="1" t="str">
        <f ca="1">IFERROR(__xludf.DUMMYFUNCTION("""COMPUTED_VALUE"""),"Email")</f>
        <v>Email</v>
      </c>
    </row>
    <row r="1261" spans="1:9" ht="13" x14ac:dyDescent="0.15">
      <c r="A1261" s="9">
        <f ca="1">IFERROR(__xludf.DUMMYFUNCTION("""COMPUTED_VALUE"""),119857509)</f>
        <v>119857509</v>
      </c>
      <c r="B1261" s="1" t="str">
        <f ca="1">IFERROR(__xludf.DUMMYFUNCTION("""COMPUTED_VALUE"""),"stevepastis@yahoo.com")</f>
        <v>stevepastis@yahoo.com</v>
      </c>
      <c r="C1261" s="9" t="str">
        <f ca="1">IFERROR(__xludf.DUMMYFUNCTION("""COMPUTED_VALUE"""),"EVERGREEN - UAN Gated Content - Embedded Petition")</f>
        <v>EVERGREEN - UAN Gated Content - Embedded Petition</v>
      </c>
      <c r="D1261" s="10">
        <f ca="1">IFERROR(__xludf.DUMMYFUNCTION("""COMPUTED_VALUE"""),45685)</f>
        <v>45685</v>
      </c>
      <c r="E1261" s="1" t="str">
        <f ca="1">IFERROR(__xludf.DUMMYFUNCTION("""COMPUTED_VALUE"""),"China")</f>
        <v>China</v>
      </c>
      <c r="F1261" s="1" t="str">
        <f ca="1">IFERROR(__xludf.DUMMYFUNCTION("""COMPUTED_VALUE"""),"106.24 China")</f>
        <v>106.24 China</v>
      </c>
      <c r="G1261" s="1" t="str">
        <f ca="1">IFERROR(__xludf.DUMMYFUNCTION("""COMPUTED_VALUE"""),"Freedom of Expression, Individuals At Risk")</f>
        <v>Freedom of Expression, Individuals At Risk</v>
      </c>
      <c r="H1261" s="1" t="str">
        <f ca="1">IFERROR(__xludf.DUMMYFUNCTION("""COMPUTED_VALUE"""),"2024")</f>
        <v>2024</v>
      </c>
      <c r="I1261" s="1" t="str">
        <f ca="1">IFERROR(__xludf.DUMMYFUNCTION("""COMPUTED_VALUE"""),"Email")</f>
        <v>Email</v>
      </c>
    </row>
    <row r="1262" spans="1:9" ht="13" x14ac:dyDescent="0.15">
      <c r="A1262" s="9">
        <f ca="1">IFERROR(__xludf.DUMMYFUNCTION("""COMPUTED_VALUE"""),119857509)</f>
        <v>119857509</v>
      </c>
      <c r="B1262" s="1" t="str">
        <f ca="1">IFERROR(__xludf.DUMMYFUNCTION("""COMPUTED_VALUE"""),"stevepastis@yahoo.com")</f>
        <v>stevepastis@yahoo.com</v>
      </c>
      <c r="C1262" s="9" t="str">
        <f ca="1">IFERROR(__xludf.DUMMYFUNCTION("""COMPUTED_VALUE"""),"EVERGREEN - UAN Gated Content - Embedded Petition")</f>
        <v>EVERGREEN - UAN Gated Content - Embedded Petition</v>
      </c>
      <c r="D1262" s="10">
        <f ca="1">IFERROR(__xludf.DUMMYFUNCTION("""COMPUTED_VALUE"""),45685)</f>
        <v>45685</v>
      </c>
      <c r="E1262" s="1" t="str">
        <f ca="1">IFERROR(__xludf.DUMMYFUNCTION("""COMPUTED_VALUE"""),"Turkiye")</f>
        <v>Turkiye</v>
      </c>
      <c r="F1262" s="1" t="str">
        <f ca="1">IFERROR(__xludf.DUMMYFUNCTION("""COMPUTED_VALUE"""),"109.24 Türkiye")</f>
        <v>109.24 Türkiye</v>
      </c>
      <c r="G1262" s="1" t="str">
        <f ca="1">IFERROR(__xludf.DUMMYFUNCTION("""COMPUTED_VALUE"""),"Human Rights Defenders, Individuals At Risk")</f>
        <v>Human Rights Defenders, Individuals At Risk</v>
      </c>
      <c r="H1262" s="1" t="str">
        <f ca="1">IFERROR(__xludf.DUMMYFUNCTION("""COMPUTED_VALUE"""),"2024")</f>
        <v>2024</v>
      </c>
      <c r="I1262" s="1" t="str">
        <f ca="1">IFERROR(__xludf.DUMMYFUNCTION("""COMPUTED_VALUE"""),"Email")</f>
        <v>Email</v>
      </c>
    </row>
    <row r="1263" spans="1:9" ht="13" x14ac:dyDescent="0.15">
      <c r="A1263" s="9">
        <f ca="1">IFERROR(__xludf.DUMMYFUNCTION("""COMPUTED_VALUE"""),119857509)</f>
        <v>119857509</v>
      </c>
      <c r="B1263" s="1" t="str">
        <f ca="1">IFERROR(__xludf.DUMMYFUNCTION("""COMPUTED_VALUE"""),"stevepastis@yahoo.com")</f>
        <v>stevepastis@yahoo.com</v>
      </c>
      <c r="C1263" s="9" t="str">
        <f ca="1">IFERROR(__xludf.DUMMYFUNCTION("""COMPUTED_VALUE"""),"EVERGREEN - UAN Gated Content - Embedded Petition")</f>
        <v>EVERGREEN - UAN Gated Content - Embedded Petition</v>
      </c>
      <c r="D1263" s="10">
        <f ca="1">IFERROR(__xludf.DUMMYFUNCTION("""COMPUTED_VALUE"""),45685)</f>
        <v>45685</v>
      </c>
      <c r="E1263" s="1" t="str">
        <f ca="1">IFERROR(__xludf.DUMMYFUNCTION("""COMPUTED_VALUE"""),"Egypt")</f>
        <v>Egypt</v>
      </c>
      <c r="F1263" s="1" t="str">
        <f ca="1">IFERROR(__xludf.DUMMYFUNCTION("""COMPUTED_VALUE"""),"Third 73.23 Egypt")</f>
        <v>Third 73.23 Egypt</v>
      </c>
      <c r="G1263" s="1" t="str">
        <f ca="1">IFERROR(__xludf.DUMMYFUNCTION("""COMPUTED_VALUE"""),"Individuals At Risk")</f>
        <v>Individuals At Risk</v>
      </c>
      <c r="H1263" s="1" t="str">
        <f ca="1">IFERROR(__xludf.DUMMYFUNCTION("""COMPUTED_VALUE"""),"2024")</f>
        <v>2024</v>
      </c>
      <c r="I1263" s="1" t="str">
        <f ca="1">IFERROR(__xludf.DUMMYFUNCTION("""COMPUTED_VALUE"""),"Email")</f>
        <v>Email</v>
      </c>
    </row>
    <row r="1264" spans="1:9" ht="13" x14ac:dyDescent="0.15">
      <c r="A1264" s="9">
        <f ca="1">IFERROR(__xludf.DUMMYFUNCTION("""COMPUTED_VALUE"""),119857509)</f>
        <v>119857509</v>
      </c>
      <c r="B1264" s="1" t="str">
        <f ca="1">IFERROR(__xludf.DUMMYFUNCTION("""COMPUTED_VALUE"""),"stevepastis@yahoo.com")</f>
        <v>stevepastis@yahoo.com</v>
      </c>
      <c r="C1264" s="9" t="str">
        <f ca="1">IFERROR(__xludf.DUMMYFUNCTION("""COMPUTED_VALUE"""),"EVERGREEN - UAN Gated Content - Embedded Petition")</f>
        <v>EVERGREEN - UAN Gated Content - Embedded Petition</v>
      </c>
      <c r="D1264" s="10">
        <f ca="1">IFERROR(__xludf.DUMMYFUNCTION("""COMPUTED_VALUE"""),45691)</f>
        <v>45691</v>
      </c>
      <c r="E1264" s="1" t="str">
        <f ca="1">IFERROR(__xludf.DUMMYFUNCTION("""COMPUTED_VALUE"""),"Iran")</f>
        <v>Iran</v>
      </c>
      <c r="F1264" s="1" t="str">
        <f ca="1">IFERROR(__xludf.DUMMYFUNCTION("""COMPUTED_VALUE"""),"Seventh 103.22 Iran")</f>
        <v>Seventh 103.22 Iran</v>
      </c>
      <c r="G1264" s="1" t="str">
        <f ca="1">IFERROR(__xludf.DUMMYFUNCTION("""COMPUTED_VALUE"""),"Death Penalty, Freedom of Expression, Individuals At Risk")</f>
        <v>Death Penalty, Freedom of Expression, Individuals At Risk</v>
      </c>
      <c r="H1264" s="1" t="str">
        <f ca="1">IFERROR(__xludf.DUMMYFUNCTION("""COMPUTED_VALUE"""),"2024")</f>
        <v>2024</v>
      </c>
      <c r="I1264" s="1" t="str">
        <f ca="1">IFERROR(__xludf.DUMMYFUNCTION("""COMPUTED_VALUE"""),"Email")</f>
        <v>Email</v>
      </c>
    </row>
    <row r="1265" spans="1:9" ht="13" x14ac:dyDescent="0.15">
      <c r="A1265" s="9">
        <f ca="1">IFERROR(__xludf.DUMMYFUNCTION("""COMPUTED_VALUE"""),119857509)</f>
        <v>119857509</v>
      </c>
      <c r="B1265" s="1" t="str">
        <f ca="1">IFERROR(__xludf.DUMMYFUNCTION("""COMPUTED_VALUE"""),"stevepastis@yahoo.com")</f>
        <v>stevepastis@yahoo.com</v>
      </c>
      <c r="C1265" s="9" t="str">
        <f ca="1">IFERROR(__xludf.DUMMYFUNCTION("""COMPUTED_VALUE"""),"EVERGREEN - UAN Gated Content - Embedded Petition")</f>
        <v>EVERGREEN - UAN Gated Content - Embedded Petition</v>
      </c>
      <c r="D1265" s="10">
        <f ca="1">IFERROR(__xludf.DUMMYFUNCTION("""COMPUTED_VALUE"""),45691)</f>
        <v>45691</v>
      </c>
      <c r="E1265" s="1" t="str">
        <f ca="1">IFERROR(__xludf.DUMMYFUNCTION("""COMPUTED_VALUE"""),"USA")</f>
        <v>USA</v>
      </c>
      <c r="F1265" s="1" t="str">
        <f ca="1">IFERROR(__xludf.DUMMYFUNCTION("""COMPUTED_VALUE"""),"Fourth 55.24 USA")</f>
        <v>Fourth 55.24 USA</v>
      </c>
      <c r="G1265" s="1" t="str">
        <f ca="1">IFERROR(__xludf.DUMMYFUNCTION("""COMPUTED_VALUE"""),"Climate Justice, Individuals At Risk")</f>
        <v>Climate Justice, Individuals At Risk</v>
      </c>
      <c r="H1265" s="1" t="str">
        <f ca="1">IFERROR(__xludf.DUMMYFUNCTION("""COMPUTED_VALUE"""),"2025")</f>
        <v>2025</v>
      </c>
      <c r="I1265" s="1" t="str">
        <f ca="1">IFERROR(__xludf.DUMMYFUNCTION("""COMPUTED_VALUE"""),"Email")</f>
        <v>Email</v>
      </c>
    </row>
    <row r="1266" spans="1:9" ht="13" x14ac:dyDescent="0.15">
      <c r="A1266" s="9">
        <f ca="1">IFERROR(__xludf.DUMMYFUNCTION("""COMPUTED_VALUE"""),119857509)</f>
        <v>119857509</v>
      </c>
      <c r="B1266" s="1" t="str">
        <f ca="1">IFERROR(__xludf.DUMMYFUNCTION("""COMPUTED_VALUE"""),"stevepastis@yahoo.com")</f>
        <v>stevepastis@yahoo.com</v>
      </c>
      <c r="C1266" s="9" t="str">
        <f ca="1">IFERROR(__xludf.DUMMYFUNCTION("""COMPUTED_VALUE"""),"EVERGREEN - UAN Gated Content - Embedded Petition")</f>
        <v>EVERGREEN - UAN Gated Content - Embedded Petition</v>
      </c>
      <c r="D1266" s="10">
        <f ca="1">IFERROR(__xludf.DUMMYFUNCTION("""COMPUTED_VALUE"""),45676)</f>
        <v>45676</v>
      </c>
      <c r="E1266" s="1" t="str">
        <f ca="1">IFERROR(__xludf.DUMMYFUNCTION("""COMPUTED_VALUE"""),"Azerbaijan")</f>
        <v>Azerbaijan</v>
      </c>
      <c r="F1266" s="1" t="str">
        <f ca="1">IFERROR(__xludf.DUMMYFUNCTION("""COMPUTED_VALUE"""),"2.25 Azerbaijan")</f>
        <v>2.25 Azerbaijan</v>
      </c>
      <c r="G1266" s="1" t="str">
        <f ca="1">IFERROR(__xludf.DUMMYFUNCTION("""COMPUTED_VALUE"""),"Freedom of Expression, Human Rights Defenders")</f>
        <v>Freedom of Expression, Human Rights Defenders</v>
      </c>
      <c r="H1266" s="1" t="str">
        <f ca="1">IFERROR(__xludf.DUMMYFUNCTION("""COMPUTED_VALUE"""),"2025")</f>
        <v>2025</v>
      </c>
      <c r="I1266" s="1" t="str">
        <f ca="1">IFERROR(__xludf.DUMMYFUNCTION("""COMPUTED_VALUE"""),"Email")</f>
        <v>Email</v>
      </c>
    </row>
    <row r="1267" spans="1:9" ht="13" x14ac:dyDescent="0.15">
      <c r="A1267" s="9">
        <f ca="1">IFERROR(__xludf.DUMMYFUNCTION("""COMPUTED_VALUE"""),119857509)</f>
        <v>119857509</v>
      </c>
      <c r="B1267" s="1" t="str">
        <f ca="1">IFERROR(__xludf.DUMMYFUNCTION("""COMPUTED_VALUE"""),"stevepastis@yahoo.com")</f>
        <v>stevepastis@yahoo.com</v>
      </c>
      <c r="C1267" s="9" t="str">
        <f ca="1">IFERROR(__xludf.DUMMYFUNCTION("""COMPUTED_VALUE"""),"EVERGREEN - UAN Gated Content - Embedded Petition")</f>
        <v>EVERGREEN - UAN Gated Content - Embedded Petition</v>
      </c>
      <c r="D1267" s="10">
        <f ca="1">IFERROR(__xludf.DUMMYFUNCTION("""COMPUTED_VALUE"""),45676)</f>
        <v>45676</v>
      </c>
      <c r="E1267" s="1" t="str">
        <f ca="1">IFERROR(__xludf.DUMMYFUNCTION("""COMPUTED_VALUE"""),"Mexico")</f>
        <v>Mexico</v>
      </c>
      <c r="F1267" s="1" t="str">
        <f ca="1">IFERROR(__xludf.DUMMYFUNCTION("""COMPUTED_VALUE"""),"92.24 Mexico")</f>
        <v>92.24 Mexico</v>
      </c>
      <c r="G1267" s="1" t="str">
        <f ca="1">IFERROR(__xludf.DUMMYFUNCTION("""COMPUTED_VALUE"""),"Human Rights Defenders")</f>
        <v>Human Rights Defenders</v>
      </c>
      <c r="H1267" s="1" t="str">
        <f ca="1">IFERROR(__xludf.DUMMYFUNCTION("""COMPUTED_VALUE"""),"2024")</f>
        <v>2024</v>
      </c>
      <c r="I1267" s="1" t="str">
        <f ca="1">IFERROR(__xludf.DUMMYFUNCTION("""COMPUTED_VALUE"""),"Email")</f>
        <v>Email</v>
      </c>
    </row>
    <row r="1268" spans="1:9" ht="13" x14ac:dyDescent="0.15">
      <c r="A1268" s="9">
        <f ca="1">IFERROR(__xludf.DUMMYFUNCTION("""COMPUTED_VALUE"""),119857509)</f>
        <v>119857509</v>
      </c>
      <c r="B1268" s="1" t="str">
        <f ca="1">IFERROR(__xludf.DUMMYFUNCTION("""COMPUTED_VALUE"""),"stevepastis@yahoo.com")</f>
        <v>stevepastis@yahoo.com</v>
      </c>
      <c r="C1268" s="9" t="str">
        <f ca="1">IFERROR(__xludf.DUMMYFUNCTION("""COMPUTED_VALUE"""),"EVERGREEN - UAN Gated Content - Embedded Petition")</f>
        <v>EVERGREEN - UAN Gated Content - Embedded Petition</v>
      </c>
      <c r="D1268" s="10">
        <f ca="1">IFERROR(__xludf.DUMMYFUNCTION("""COMPUTED_VALUE"""),45678)</f>
        <v>45678</v>
      </c>
      <c r="E1268" s="1" t="str">
        <f ca="1">IFERROR(__xludf.DUMMYFUNCTION("""COMPUTED_VALUE"""),"Tunisia")</f>
        <v>Tunisia</v>
      </c>
      <c r="F1268" s="1" t="str">
        <f ca="1">IFERROR(__xludf.DUMMYFUNCTION("""COMPUTED_VALUE"""),"Second 76.24 Tunisia")</f>
        <v>Second 76.24 Tunisia</v>
      </c>
      <c r="G1268" s="1" t="str">
        <f ca="1">IFERROR(__xludf.DUMMYFUNCTION("""COMPUTED_VALUE"""),"Freedom of Expression, Human Rights Defenders")</f>
        <v>Freedom of Expression, Human Rights Defenders</v>
      </c>
      <c r="H1268" s="1" t="str">
        <f ca="1">IFERROR(__xludf.DUMMYFUNCTION("""COMPUTED_VALUE"""),"2025")</f>
        <v>2025</v>
      </c>
      <c r="I1268" s="1" t="str">
        <f ca="1">IFERROR(__xludf.DUMMYFUNCTION("""COMPUTED_VALUE"""),"Email")</f>
        <v>Email</v>
      </c>
    </row>
    <row r="1269" spans="1:9" ht="13" x14ac:dyDescent="0.15">
      <c r="A1269" s="9">
        <f ca="1">IFERROR(__xludf.DUMMYFUNCTION("""COMPUTED_VALUE"""),119857509)</f>
        <v>119857509</v>
      </c>
      <c r="B1269" s="1" t="str">
        <f ca="1">IFERROR(__xludf.DUMMYFUNCTION("""COMPUTED_VALUE"""),"stevepastis@yahoo.com")</f>
        <v>stevepastis@yahoo.com</v>
      </c>
      <c r="C1269" s="9" t="str">
        <f ca="1">IFERROR(__xludf.DUMMYFUNCTION("""COMPUTED_VALUE"""),"EVERGREEN - UAN Gated Content - Embedded Petition")</f>
        <v>EVERGREEN - UAN Gated Content - Embedded Petition</v>
      </c>
      <c r="D1269" s="10">
        <f ca="1">IFERROR(__xludf.DUMMYFUNCTION("""COMPUTED_VALUE"""),45678)</f>
        <v>45678</v>
      </c>
      <c r="E1269" s="1" t="str">
        <f ca="1">IFERROR(__xludf.DUMMYFUNCTION("""COMPUTED_VALUE"""),"Egypt")</f>
        <v>Egypt</v>
      </c>
      <c r="F1269" s="1" t="str">
        <f ca="1">IFERROR(__xludf.DUMMYFUNCTION("""COMPUTED_VALUE"""),"Ninth 190.18 Egypt")</f>
        <v>Ninth 190.18 Egypt</v>
      </c>
      <c r="G1269" s="1" t="str">
        <f ca="1">IFERROR(__xludf.DUMMYFUNCTION("""COMPUTED_VALUE"""),"Freedom of Expression, Individuals At Risk")</f>
        <v>Freedom of Expression, Individuals At Risk</v>
      </c>
      <c r="H1269" s="1" t="str">
        <f ca="1">IFERROR(__xludf.DUMMYFUNCTION("""COMPUTED_VALUE"""),"2024")</f>
        <v>2024</v>
      </c>
      <c r="I1269" s="1" t="str">
        <f ca="1">IFERROR(__xludf.DUMMYFUNCTION("""COMPUTED_VALUE"""),"Letter")</f>
        <v>Letter</v>
      </c>
    </row>
    <row r="1270" spans="1:9" ht="13" x14ac:dyDescent="0.15">
      <c r="A1270" s="9">
        <f ca="1">IFERROR(__xludf.DUMMYFUNCTION("""COMPUTED_VALUE"""),119857509)</f>
        <v>119857509</v>
      </c>
      <c r="B1270" s="1" t="str">
        <f ca="1">IFERROR(__xludf.DUMMYFUNCTION("""COMPUTED_VALUE"""),"stevepastis@yahoo.com")</f>
        <v>stevepastis@yahoo.com</v>
      </c>
      <c r="C1270" s="9" t="str">
        <f ca="1">IFERROR(__xludf.DUMMYFUNCTION("""COMPUTED_VALUE"""),"EVERGREEN - UAN Gated Content - Embedded Petition")</f>
        <v>EVERGREEN - UAN Gated Content - Embedded Petition</v>
      </c>
      <c r="D1270" s="10">
        <f ca="1">IFERROR(__xludf.DUMMYFUNCTION("""COMPUTED_VALUE"""),45659)</f>
        <v>45659</v>
      </c>
      <c r="E1270" s="1" t="str">
        <f ca="1">IFERROR(__xludf.DUMMYFUNCTION("""COMPUTED_VALUE"""),"Saudi Arabia")</f>
        <v>Saudi Arabia</v>
      </c>
      <c r="F1270" s="1" t="str">
        <f ca="1">IFERROR(__xludf.DUMMYFUNCTION("""COMPUTED_VALUE"""),"Second 85.23 Saudi Arabia")</f>
        <v>Second 85.23 Saudi Arabia</v>
      </c>
      <c r="G1270" s="1" t="str">
        <f ca="1">IFERROR(__xludf.DUMMYFUNCTION("""COMPUTED_VALUE"""),"Freedom of Expression")</f>
        <v>Freedom of Expression</v>
      </c>
      <c r="H1270" s="1" t="str">
        <f ca="1">IFERROR(__xludf.DUMMYFUNCTION("""COMPUTED_VALUE"""),"2024")</f>
        <v>2024</v>
      </c>
      <c r="I1270" s="1" t="str">
        <f ca="1">IFERROR(__xludf.DUMMYFUNCTION("""COMPUTED_VALUE"""),"Letter")</f>
        <v>Letter</v>
      </c>
    </row>
    <row r="1271" spans="1:9" ht="13" x14ac:dyDescent="0.15">
      <c r="A1271" s="9">
        <f ca="1">IFERROR(__xludf.DUMMYFUNCTION("""COMPUTED_VALUE"""),119857509)</f>
        <v>119857509</v>
      </c>
      <c r="B1271" s="1" t="str">
        <f ca="1">IFERROR(__xludf.DUMMYFUNCTION("""COMPUTED_VALUE"""),"stevepastis@yahoo.com")</f>
        <v>stevepastis@yahoo.com</v>
      </c>
      <c r="C1271" s="9" t="str">
        <f ca="1">IFERROR(__xludf.DUMMYFUNCTION("""COMPUTED_VALUE"""),"EVERGREEN - UAN Gated Content - Embedded Petition")</f>
        <v>EVERGREEN - UAN Gated Content - Embedded Petition</v>
      </c>
      <c r="D1271" s="10">
        <f ca="1">IFERROR(__xludf.DUMMYFUNCTION("""COMPUTED_VALUE"""),45654)</f>
        <v>45654</v>
      </c>
      <c r="E1271" s="1" t="str">
        <f ca="1">IFERROR(__xludf.DUMMYFUNCTION("""COMPUTED_VALUE"""),"Honduras")</f>
        <v>Honduras</v>
      </c>
      <c r="F1271" s="1" t="str">
        <f ca="1">IFERROR(__xludf.DUMMYFUNCTION("""COMPUTED_VALUE"""),"Second 85.24 Honduras")</f>
        <v>Second 85.24 Honduras</v>
      </c>
      <c r="G1271" s="1" t="str">
        <f ca="1">IFERROR(__xludf.DUMMYFUNCTION("""COMPUTED_VALUE"""),"Climate Justice, Human Rights Defenders, Right to Protest")</f>
        <v>Climate Justice, Human Rights Defenders, Right to Protest</v>
      </c>
      <c r="H1271" s="1" t="str">
        <f ca="1">IFERROR(__xludf.DUMMYFUNCTION("""COMPUTED_VALUE"""),"2024")</f>
        <v>2024</v>
      </c>
      <c r="I1271" s="1" t="str">
        <f ca="1">IFERROR(__xludf.DUMMYFUNCTION("""COMPUTED_VALUE"""),"Email")</f>
        <v>Email</v>
      </c>
    </row>
    <row r="1272" spans="1:9" ht="13" x14ac:dyDescent="0.15">
      <c r="A1272" s="9">
        <f ca="1">IFERROR(__xludf.DUMMYFUNCTION("""COMPUTED_VALUE"""),119857509)</f>
        <v>119857509</v>
      </c>
      <c r="B1272" s="1" t="str">
        <f ca="1">IFERROR(__xludf.DUMMYFUNCTION("""COMPUTED_VALUE"""),"stevepastis@yahoo.com")</f>
        <v>stevepastis@yahoo.com</v>
      </c>
      <c r="C1272" s="9" t="str">
        <f ca="1">IFERROR(__xludf.DUMMYFUNCTION("""COMPUTED_VALUE"""),"EVERGREEN - UAN Gated Content - Embedded Petition")</f>
        <v>EVERGREEN - UAN Gated Content - Embedded Petition</v>
      </c>
      <c r="D1272" s="10">
        <f ca="1">IFERROR(__xludf.DUMMYFUNCTION("""COMPUTED_VALUE"""),45654)</f>
        <v>45654</v>
      </c>
      <c r="E1272" s="1" t="str">
        <f ca="1">IFERROR(__xludf.DUMMYFUNCTION("""COMPUTED_VALUE"""),"Tunisia")</f>
        <v>Tunisia</v>
      </c>
      <c r="F1272" s="1" t="str">
        <f ca="1">IFERROR(__xludf.DUMMYFUNCTION("""COMPUTED_VALUE"""),"Second 76.24 Tunisia")</f>
        <v>Second 76.24 Tunisia</v>
      </c>
      <c r="G1272" s="1" t="str">
        <f ca="1">IFERROR(__xludf.DUMMYFUNCTION("""COMPUTED_VALUE"""),"Freedom of Expression, Human Rights Defenders")</f>
        <v>Freedom of Expression, Human Rights Defenders</v>
      </c>
      <c r="H1272" s="1" t="str">
        <f ca="1">IFERROR(__xludf.DUMMYFUNCTION("""COMPUTED_VALUE"""),"2025")</f>
        <v>2025</v>
      </c>
      <c r="I1272" s="1" t="str">
        <f ca="1">IFERROR(__xludf.DUMMYFUNCTION("""COMPUTED_VALUE"""),"Email")</f>
        <v>Email</v>
      </c>
    </row>
    <row r="1273" spans="1:9" ht="13" x14ac:dyDescent="0.15">
      <c r="A1273" s="9">
        <f ca="1">IFERROR(__xludf.DUMMYFUNCTION("""COMPUTED_VALUE"""),119857509)</f>
        <v>119857509</v>
      </c>
      <c r="B1273" s="1" t="str">
        <f ca="1">IFERROR(__xludf.DUMMYFUNCTION("""COMPUTED_VALUE"""),"stevepastis@yahoo.com")</f>
        <v>stevepastis@yahoo.com</v>
      </c>
      <c r="C1273" s="9" t="str">
        <f ca="1">IFERROR(__xludf.DUMMYFUNCTION("""COMPUTED_VALUE"""),"EVERGREEN - UAN Gated Content - Embedded Petition")</f>
        <v>EVERGREEN - UAN Gated Content - Embedded Petition</v>
      </c>
      <c r="D1273" s="10">
        <f ca="1">IFERROR(__xludf.DUMMYFUNCTION("""COMPUTED_VALUE"""),45654)</f>
        <v>45654</v>
      </c>
      <c r="E1273" s="1" t="str">
        <f ca="1">IFERROR(__xludf.DUMMYFUNCTION("""COMPUTED_VALUE"""),"Iran")</f>
        <v>Iran</v>
      </c>
      <c r="F1273" s="1" t="str">
        <f ca="1">IFERROR(__xludf.DUMMYFUNCTION("""COMPUTED_VALUE"""),"Seventh 103.22 Iran")</f>
        <v>Seventh 103.22 Iran</v>
      </c>
      <c r="G1273" s="1" t="str">
        <f ca="1">IFERROR(__xludf.DUMMYFUNCTION("""COMPUTED_VALUE"""),"Death Penalty, Freedom of Expression, Individuals At Risk")</f>
        <v>Death Penalty, Freedom of Expression, Individuals At Risk</v>
      </c>
      <c r="H1273" s="1" t="str">
        <f ca="1">IFERROR(__xludf.DUMMYFUNCTION("""COMPUTED_VALUE"""),"2024")</f>
        <v>2024</v>
      </c>
      <c r="I1273" s="1" t="str">
        <f ca="1">IFERROR(__xludf.DUMMYFUNCTION("""COMPUTED_VALUE"""),"Email")</f>
        <v>Email</v>
      </c>
    </row>
    <row r="1274" spans="1:9" ht="13" x14ac:dyDescent="0.15">
      <c r="A1274" s="9">
        <f ca="1">IFERROR(__xludf.DUMMYFUNCTION("""COMPUTED_VALUE"""),119857509)</f>
        <v>119857509</v>
      </c>
      <c r="B1274" s="1" t="str">
        <f ca="1">IFERROR(__xludf.DUMMYFUNCTION("""COMPUTED_VALUE"""),"stevepastis@yahoo.com")</f>
        <v>stevepastis@yahoo.com</v>
      </c>
      <c r="C1274" s="9" t="str">
        <f ca="1">IFERROR(__xludf.DUMMYFUNCTION("""COMPUTED_VALUE"""),"EVERGREEN - UAN Gated Content - Embedded Petition")</f>
        <v>EVERGREEN - UAN Gated Content - Embedded Petition</v>
      </c>
      <c r="D1274" s="10">
        <f ca="1">IFERROR(__xludf.DUMMYFUNCTION("""COMPUTED_VALUE"""),45654)</f>
        <v>45654</v>
      </c>
      <c r="E1274" s="1" t="str">
        <f ca="1">IFERROR(__xludf.DUMMYFUNCTION("""COMPUTED_VALUE"""),"Saudi Arabia")</f>
        <v>Saudi Arabia</v>
      </c>
      <c r="F1274" s="1" t="str">
        <f ca="1">IFERROR(__xludf.DUMMYFUNCTION("""COMPUTED_VALUE"""),"Fifth 257.12")</f>
        <v>Fifth 257.12</v>
      </c>
      <c r="G1274" s="1" t="str">
        <f ca="1">IFERROR(__xludf.DUMMYFUNCTION("""COMPUTED_VALUE"""),"Freedom of Expression, Human Rights Defenders")</f>
        <v>Freedom of Expression, Human Rights Defenders</v>
      </c>
      <c r="H1274" s="1" t="str">
        <f ca="1">IFERROR(__xludf.DUMMYFUNCTION("""COMPUTED_VALUE"""),"2025")</f>
        <v>2025</v>
      </c>
      <c r="I1274" s="1" t="str">
        <f ca="1">IFERROR(__xludf.DUMMYFUNCTION("""COMPUTED_VALUE"""),"Email")</f>
        <v>Email</v>
      </c>
    </row>
    <row r="1275" spans="1:9" ht="13" x14ac:dyDescent="0.15">
      <c r="A1275" s="9">
        <f ca="1">IFERROR(__xludf.DUMMYFUNCTION("""COMPUTED_VALUE"""),119857509)</f>
        <v>119857509</v>
      </c>
      <c r="B1275" s="1" t="str">
        <f ca="1">IFERROR(__xludf.DUMMYFUNCTION("""COMPUTED_VALUE"""),"stevepastis@yahoo.com")</f>
        <v>stevepastis@yahoo.com</v>
      </c>
      <c r="C1275" s="9" t="str">
        <f ca="1">IFERROR(__xludf.DUMMYFUNCTION("""COMPUTED_VALUE"""),"EVERGREEN - UAN Gated Content - Embedded Petition")</f>
        <v>EVERGREEN - UAN Gated Content - Embedded Petition</v>
      </c>
      <c r="D1275" s="10">
        <f ca="1">IFERROR(__xludf.DUMMYFUNCTION("""COMPUTED_VALUE"""),45654)</f>
        <v>45654</v>
      </c>
      <c r="E1275" s="1" t="str">
        <f ca="1">IFERROR(__xludf.DUMMYFUNCTION("""COMPUTED_VALUE"""),"Uganda")</f>
        <v>Uganda</v>
      </c>
      <c r="F1275" s="1" t="str">
        <f ca="1">IFERROR(__xludf.DUMMYFUNCTION("""COMPUTED_VALUE"""),"9.25 Uganda")</f>
        <v>9.25 Uganda</v>
      </c>
      <c r="G1275" s="1" t="str">
        <f ca="1">IFERROR(__xludf.DUMMYFUNCTION("""COMPUTED_VALUE"""),"Freedom of Expression, Human Rights Defenders")</f>
        <v>Freedom of Expression, Human Rights Defenders</v>
      </c>
      <c r="H1275" s="1" t="str">
        <f ca="1">IFERROR(__xludf.DUMMYFUNCTION("""COMPUTED_VALUE"""),"2025")</f>
        <v>2025</v>
      </c>
      <c r="I1275" s="1" t="str">
        <f ca="1">IFERROR(__xludf.DUMMYFUNCTION("""COMPUTED_VALUE"""),"Email")</f>
        <v>Email</v>
      </c>
    </row>
    <row r="1276" spans="1:9" ht="13" x14ac:dyDescent="0.15">
      <c r="A1276" s="9">
        <f ca="1">IFERROR(__xludf.DUMMYFUNCTION("""COMPUTED_VALUE"""),119857509)</f>
        <v>119857509</v>
      </c>
      <c r="B1276" s="1" t="str">
        <f ca="1">IFERROR(__xludf.DUMMYFUNCTION("""COMPUTED_VALUE"""),"stevepastis@yahoo.com")</f>
        <v>stevepastis@yahoo.com</v>
      </c>
      <c r="C1276" s="9" t="str">
        <f ca="1">IFERROR(__xludf.DUMMYFUNCTION("""COMPUTED_VALUE"""),"EVERGREEN - UAN Gated Content - Embedded Petition")</f>
        <v>EVERGREEN - UAN Gated Content - Embedded Petition</v>
      </c>
      <c r="D1276" s="10">
        <f ca="1">IFERROR(__xludf.DUMMYFUNCTION("""COMPUTED_VALUE"""),45654)</f>
        <v>45654</v>
      </c>
      <c r="E1276" s="1" t="str">
        <f ca="1">IFERROR(__xludf.DUMMYFUNCTION("""COMPUTED_VALUE"""),"Egypt")</f>
        <v>Egypt</v>
      </c>
      <c r="F1276" s="1" t="str">
        <f ca="1">IFERROR(__xludf.DUMMYFUNCTION("""COMPUTED_VALUE"""),"Second 80.23 Egypt")</f>
        <v>Second 80.23 Egypt</v>
      </c>
      <c r="G1276" s="1" t="str">
        <f ca="1">IFERROR(__xludf.DUMMYFUNCTION("""COMPUTED_VALUE"""),"Health, Individuals At Risk")</f>
        <v>Health, Individuals At Risk</v>
      </c>
      <c r="H1276" s="1" t="str">
        <f ca="1">IFERROR(__xludf.DUMMYFUNCTION("""COMPUTED_VALUE"""),"2025")</f>
        <v>2025</v>
      </c>
      <c r="I1276" s="1" t="str">
        <f ca="1">IFERROR(__xludf.DUMMYFUNCTION("""COMPUTED_VALUE"""),"Email")</f>
        <v>Email</v>
      </c>
    </row>
    <row r="1277" spans="1:9" ht="13" x14ac:dyDescent="0.15">
      <c r="A1277" s="9">
        <f ca="1">IFERROR(__xludf.DUMMYFUNCTION("""COMPUTED_VALUE"""),119857509)</f>
        <v>119857509</v>
      </c>
      <c r="B1277" s="1" t="str">
        <f ca="1">IFERROR(__xludf.DUMMYFUNCTION("""COMPUTED_VALUE"""),"stevepastis@yahoo.com")</f>
        <v>stevepastis@yahoo.com</v>
      </c>
      <c r="C1277" s="9" t="str">
        <f ca="1">IFERROR(__xludf.DUMMYFUNCTION("""COMPUTED_VALUE"""),"EVERGREEN - UAN Gated Content - Embedded Petition")</f>
        <v>EVERGREEN - UAN Gated Content - Embedded Petition</v>
      </c>
      <c r="D1277" s="10">
        <f ca="1">IFERROR(__xludf.DUMMYFUNCTION("""COMPUTED_VALUE"""),45654)</f>
        <v>45654</v>
      </c>
      <c r="E1277" s="1" t="str">
        <f ca="1">IFERROR(__xludf.DUMMYFUNCTION("""COMPUTED_VALUE"""),"Egypt")</f>
        <v>Egypt</v>
      </c>
      <c r="F1277" s="1" t="str">
        <f ca="1">IFERROR(__xludf.DUMMYFUNCTION("""COMPUTED_VALUE"""),"Second 80.23 Egypt")</f>
        <v>Second 80.23 Egypt</v>
      </c>
      <c r="G1277" s="1" t="str">
        <f ca="1">IFERROR(__xludf.DUMMYFUNCTION("""COMPUTED_VALUE"""),"Health, Individuals At Risk")</f>
        <v>Health, Individuals At Risk</v>
      </c>
      <c r="H1277" s="1" t="str">
        <f ca="1">IFERROR(__xludf.DUMMYFUNCTION("""COMPUTED_VALUE"""),"2025")</f>
        <v>2025</v>
      </c>
      <c r="I1277" s="1" t="str">
        <f ca="1">IFERROR(__xludf.DUMMYFUNCTION("""COMPUTED_VALUE"""),"Email")</f>
        <v>Email</v>
      </c>
    </row>
    <row r="1278" spans="1:9" ht="13" x14ac:dyDescent="0.15">
      <c r="A1278" s="9">
        <f ca="1">IFERROR(__xludf.DUMMYFUNCTION("""COMPUTED_VALUE"""),119857509)</f>
        <v>119857509</v>
      </c>
      <c r="B1278" s="1" t="str">
        <f ca="1">IFERROR(__xludf.DUMMYFUNCTION("""COMPUTED_VALUE"""),"stevepastis@yahoo.com")</f>
        <v>stevepastis@yahoo.com</v>
      </c>
      <c r="C1278" s="9" t="str">
        <f ca="1">IFERROR(__xludf.DUMMYFUNCTION("""COMPUTED_VALUE"""),"EVERGREEN - UAN Gated Content - Embedded Petition")</f>
        <v>EVERGREEN - UAN Gated Content - Embedded Petition</v>
      </c>
      <c r="D1278" s="10">
        <f ca="1">IFERROR(__xludf.DUMMYFUNCTION("""COMPUTED_VALUE"""),45654)</f>
        <v>45654</v>
      </c>
      <c r="E1278" s="1" t="str">
        <f ca="1">IFERROR(__xludf.DUMMYFUNCTION("""COMPUTED_VALUE"""),"Uganda")</f>
        <v>Uganda</v>
      </c>
      <c r="F1278" s="1" t="str">
        <f ca="1">IFERROR(__xludf.DUMMYFUNCTION("""COMPUTED_VALUE"""),"9.25 Uganda")</f>
        <v>9.25 Uganda</v>
      </c>
      <c r="G1278" s="1" t="str">
        <f ca="1">IFERROR(__xludf.DUMMYFUNCTION("""COMPUTED_VALUE"""),"Freedom of Expression, Human Rights Defenders")</f>
        <v>Freedom of Expression, Human Rights Defenders</v>
      </c>
      <c r="H1278" s="1" t="str">
        <f ca="1">IFERROR(__xludf.DUMMYFUNCTION("""COMPUTED_VALUE"""),"2025")</f>
        <v>2025</v>
      </c>
      <c r="I1278" s="1" t="str">
        <f ca="1">IFERROR(__xludf.DUMMYFUNCTION("""COMPUTED_VALUE"""),"Email")</f>
        <v>Email</v>
      </c>
    </row>
    <row r="1279" spans="1:9" ht="13" x14ac:dyDescent="0.15">
      <c r="A1279" s="9">
        <f ca="1">IFERROR(__xludf.DUMMYFUNCTION("""COMPUTED_VALUE"""),119857509)</f>
        <v>119857509</v>
      </c>
      <c r="B1279" s="1" t="str">
        <f ca="1">IFERROR(__xludf.DUMMYFUNCTION("""COMPUTED_VALUE"""),"stevepastis@yahoo.com")</f>
        <v>stevepastis@yahoo.com</v>
      </c>
      <c r="C1279" s="9" t="str">
        <f ca="1">IFERROR(__xludf.DUMMYFUNCTION("""COMPUTED_VALUE"""),"EVERGREEN - UAN Gated Content - Embedded Petition")</f>
        <v>EVERGREEN - UAN Gated Content - Embedded Petition</v>
      </c>
      <c r="D1279" s="10">
        <f ca="1">IFERROR(__xludf.DUMMYFUNCTION("""COMPUTED_VALUE"""),45654)</f>
        <v>45654</v>
      </c>
      <c r="E1279" s="1" t="str">
        <f ca="1">IFERROR(__xludf.DUMMYFUNCTION("""COMPUTED_VALUE"""),"Saudi Arabia")</f>
        <v>Saudi Arabia</v>
      </c>
      <c r="F1279" s="1" t="str">
        <f ca="1">IFERROR(__xludf.DUMMYFUNCTION("""COMPUTED_VALUE"""),"Fifth 257.12")</f>
        <v>Fifth 257.12</v>
      </c>
      <c r="G1279" s="1" t="str">
        <f ca="1">IFERROR(__xludf.DUMMYFUNCTION("""COMPUTED_VALUE"""),"Freedom of Expression, Human Rights Defenders")</f>
        <v>Freedom of Expression, Human Rights Defenders</v>
      </c>
      <c r="H1279" s="1" t="str">
        <f ca="1">IFERROR(__xludf.DUMMYFUNCTION("""COMPUTED_VALUE"""),"2025")</f>
        <v>2025</v>
      </c>
      <c r="I1279" s="1" t="str">
        <f ca="1">IFERROR(__xludf.DUMMYFUNCTION("""COMPUTED_VALUE"""),"Email")</f>
        <v>Email</v>
      </c>
    </row>
    <row r="1280" spans="1:9" ht="13" x14ac:dyDescent="0.15">
      <c r="A1280" s="9">
        <f ca="1">IFERROR(__xludf.DUMMYFUNCTION("""COMPUTED_VALUE"""),119857509)</f>
        <v>119857509</v>
      </c>
      <c r="B1280" s="1" t="str">
        <f ca="1">IFERROR(__xludf.DUMMYFUNCTION("""COMPUTED_VALUE"""),"stevepastis@yahoo.com")</f>
        <v>stevepastis@yahoo.com</v>
      </c>
      <c r="C1280" s="9" t="str">
        <f ca="1">IFERROR(__xludf.DUMMYFUNCTION("""COMPUTED_VALUE"""),"EVERGREEN - UAN Gated Content - Embedded Petition")</f>
        <v>EVERGREEN - UAN Gated Content - Embedded Petition</v>
      </c>
      <c r="D1280" s="10">
        <f ca="1">IFERROR(__xludf.DUMMYFUNCTION("""COMPUTED_VALUE"""),45671)</f>
        <v>45671</v>
      </c>
      <c r="E1280" s="1" t="str">
        <f ca="1">IFERROR(__xludf.DUMMYFUNCTION("""COMPUTED_VALUE"""),"Saudi Arabia")</f>
        <v>Saudi Arabia</v>
      </c>
      <c r="F1280" s="1" t="str">
        <f ca="1">IFERROR(__xludf.DUMMYFUNCTION("""COMPUTED_VALUE"""),"Fifth 257.12")</f>
        <v>Fifth 257.12</v>
      </c>
      <c r="G1280" s="1" t="str">
        <f ca="1">IFERROR(__xludf.DUMMYFUNCTION("""COMPUTED_VALUE"""),"Freedom of Expression, Human Rights Defenders")</f>
        <v>Freedom of Expression, Human Rights Defenders</v>
      </c>
      <c r="H1280" s="1" t="str">
        <f ca="1">IFERROR(__xludf.DUMMYFUNCTION("""COMPUTED_VALUE"""),"2025")</f>
        <v>2025</v>
      </c>
      <c r="I1280" s="1" t="str">
        <f ca="1">IFERROR(__xludf.DUMMYFUNCTION("""COMPUTED_VALUE"""),"Email")</f>
        <v>Email</v>
      </c>
    </row>
    <row r="1281" spans="1:9" ht="13" x14ac:dyDescent="0.15">
      <c r="A1281" s="9">
        <f ca="1">IFERROR(__xludf.DUMMYFUNCTION("""COMPUTED_VALUE"""),119857509)</f>
        <v>119857509</v>
      </c>
      <c r="B1281" s="1" t="str">
        <f ca="1">IFERROR(__xludf.DUMMYFUNCTION("""COMPUTED_VALUE"""),"stevepastis@yahoo.com")</f>
        <v>stevepastis@yahoo.com</v>
      </c>
      <c r="C1281" s="9" t="str">
        <f ca="1">IFERROR(__xludf.DUMMYFUNCTION("""COMPUTED_VALUE"""),"EVERGREEN - UAN Gated Content - Embedded Petition")</f>
        <v>EVERGREEN - UAN Gated Content - Embedded Petition</v>
      </c>
      <c r="D1281" s="10">
        <f ca="1">IFERROR(__xludf.DUMMYFUNCTION("""COMPUTED_VALUE"""),45671)</f>
        <v>45671</v>
      </c>
      <c r="E1281" s="1" t="str">
        <f ca="1">IFERROR(__xludf.DUMMYFUNCTION("""COMPUTED_VALUE"""),"Uganda")</f>
        <v>Uganda</v>
      </c>
      <c r="F1281" s="1" t="str">
        <f ca="1">IFERROR(__xludf.DUMMYFUNCTION("""COMPUTED_VALUE"""),"9.25 Uganda")</f>
        <v>9.25 Uganda</v>
      </c>
      <c r="G1281" s="1" t="str">
        <f ca="1">IFERROR(__xludf.DUMMYFUNCTION("""COMPUTED_VALUE"""),"Freedom of Expression, Human Rights Defenders")</f>
        <v>Freedom of Expression, Human Rights Defenders</v>
      </c>
      <c r="H1281" s="1" t="str">
        <f ca="1">IFERROR(__xludf.DUMMYFUNCTION("""COMPUTED_VALUE"""),"2025")</f>
        <v>2025</v>
      </c>
      <c r="I1281" s="1" t="str">
        <f ca="1">IFERROR(__xludf.DUMMYFUNCTION("""COMPUTED_VALUE"""),"Email")</f>
        <v>Email</v>
      </c>
    </row>
    <row r="1282" spans="1:9" ht="13" x14ac:dyDescent="0.15">
      <c r="A1282" s="9">
        <f ca="1">IFERROR(__xludf.DUMMYFUNCTION("""COMPUTED_VALUE"""),119857509)</f>
        <v>119857509</v>
      </c>
      <c r="B1282" s="1" t="str">
        <f ca="1">IFERROR(__xludf.DUMMYFUNCTION("""COMPUTED_VALUE"""),"stevepastis@yahoo.com")</f>
        <v>stevepastis@yahoo.com</v>
      </c>
      <c r="C1282" s="9" t="str">
        <f ca="1">IFERROR(__xludf.DUMMYFUNCTION("""COMPUTED_VALUE"""),"EVERGREEN - UAN Gated Content - Embedded Petition")</f>
        <v>EVERGREEN - UAN Gated Content - Embedded Petition</v>
      </c>
      <c r="D1282" s="10">
        <f ca="1">IFERROR(__xludf.DUMMYFUNCTION("""COMPUTED_VALUE"""),45651)</f>
        <v>45651</v>
      </c>
      <c r="E1282" s="1" t="str">
        <f ca="1">IFERROR(__xludf.DUMMYFUNCTION("""COMPUTED_VALUE"""),"Tunisia")</f>
        <v>Tunisia</v>
      </c>
      <c r="F1282" s="1" t="str">
        <f ca="1">IFERROR(__xludf.DUMMYFUNCTION("""COMPUTED_VALUE"""),"Second 76.24 Tunisia")</f>
        <v>Second 76.24 Tunisia</v>
      </c>
      <c r="G1282" s="1" t="str">
        <f ca="1">IFERROR(__xludf.DUMMYFUNCTION("""COMPUTED_VALUE"""),"Freedom of Expression, Human Rights Defenders")</f>
        <v>Freedom of Expression, Human Rights Defenders</v>
      </c>
      <c r="H1282" s="1" t="str">
        <f ca="1">IFERROR(__xludf.DUMMYFUNCTION("""COMPUTED_VALUE"""),"2025")</f>
        <v>2025</v>
      </c>
      <c r="I1282" s="1" t="str">
        <f ca="1">IFERROR(__xludf.DUMMYFUNCTION("""COMPUTED_VALUE"""),"Email")</f>
        <v>Email</v>
      </c>
    </row>
    <row r="1283" spans="1:9" ht="13" x14ac:dyDescent="0.15">
      <c r="A1283" s="9">
        <f ca="1">IFERROR(__xludf.DUMMYFUNCTION("""COMPUTED_VALUE"""),119857509)</f>
        <v>119857509</v>
      </c>
      <c r="B1283" s="1" t="str">
        <f ca="1">IFERROR(__xludf.DUMMYFUNCTION("""COMPUTED_VALUE"""),"stevepastis@yahoo.com")</f>
        <v>stevepastis@yahoo.com</v>
      </c>
      <c r="C1283" s="9" t="str">
        <f ca="1">IFERROR(__xludf.DUMMYFUNCTION("""COMPUTED_VALUE"""),"EVERGREEN - UAN Gated Content - Embedded Petition")</f>
        <v>EVERGREEN - UAN Gated Content - Embedded Petition</v>
      </c>
      <c r="D1283" s="10">
        <f ca="1">IFERROR(__xludf.DUMMYFUNCTION("""COMPUTED_VALUE"""),45641)</f>
        <v>45641</v>
      </c>
      <c r="E1283" s="1" t="str">
        <f ca="1">IFERROR(__xludf.DUMMYFUNCTION("""COMPUTED_VALUE"""),"USA")</f>
        <v>USA</v>
      </c>
      <c r="F1283" s="1" t="str">
        <f ca="1">IFERROR(__xludf.DUMMYFUNCTION("""COMPUTED_VALUE"""),"105.24 USA")</f>
        <v>105.24 USA</v>
      </c>
      <c r="G1283" s="1" t="str">
        <f ca="1">IFERROR(__xludf.DUMMYFUNCTION("""COMPUTED_VALUE"""),"Death Penalty")</f>
        <v>Death Penalty</v>
      </c>
      <c r="H1283" s="1" t="str">
        <f ca="1">IFERROR(__xludf.DUMMYFUNCTION("""COMPUTED_VALUE"""),"2024")</f>
        <v>2024</v>
      </c>
      <c r="I1283" s="1" t="str">
        <f ca="1">IFERROR(__xludf.DUMMYFUNCTION("""COMPUTED_VALUE"""),"Email")</f>
        <v>Email</v>
      </c>
    </row>
    <row r="1284" spans="1:9" ht="13" x14ac:dyDescent="0.15">
      <c r="A1284" s="9">
        <f ca="1">IFERROR(__xludf.DUMMYFUNCTION("""COMPUTED_VALUE"""),119857509)</f>
        <v>119857509</v>
      </c>
      <c r="B1284" s="1" t="str">
        <f ca="1">IFERROR(__xludf.DUMMYFUNCTION("""COMPUTED_VALUE"""),"stevepastis@yahoo.com")</f>
        <v>stevepastis@yahoo.com</v>
      </c>
      <c r="C1284" s="9" t="str">
        <f ca="1">IFERROR(__xludf.DUMMYFUNCTION("""COMPUTED_VALUE"""),"EVERGREEN - UAN Gated Content - Embedded Petition")</f>
        <v>EVERGREEN - UAN Gated Content - Embedded Petition</v>
      </c>
      <c r="D1284" s="10">
        <f ca="1">IFERROR(__xludf.DUMMYFUNCTION("""COMPUTED_VALUE"""),45641)</f>
        <v>45641</v>
      </c>
      <c r="E1284" s="1" t="str">
        <f ca="1">IFERROR(__xludf.DUMMYFUNCTION("""COMPUTED_VALUE"""),"Israel and Occupied Palestinian Territories")</f>
        <v>Israel and Occupied Palestinian Territories</v>
      </c>
      <c r="F1284" s="1" t="str">
        <f ca="1">IFERROR(__xludf.DUMMYFUNCTION("""COMPUTED_VALUE"""),"3.25 IOPT")</f>
        <v>3.25 IOPT</v>
      </c>
      <c r="G1284" s="1" t="str">
        <f ca="1">IFERROR(__xludf.DUMMYFUNCTION("""COMPUTED_VALUE"""),"Freedom of Expression, Individuals At Risk")</f>
        <v>Freedom of Expression, Individuals At Risk</v>
      </c>
      <c r="H1284" s="1" t="str">
        <f ca="1">IFERROR(__xludf.DUMMYFUNCTION("""COMPUTED_VALUE"""),"2025")</f>
        <v>2025</v>
      </c>
      <c r="I1284" s="1" t="str">
        <f ca="1">IFERROR(__xludf.DUMMYFUNCTION("""COMPUTED_VALUE"""),"Email")</f>
        <v>Email</v>
      </c>
    </row>
    <row r="1285" spans="1:9" ht="13" x14ac:dyDescent="0.15">
      <c r="A1285" s="9">
        <f ca="1">IFERROR(__xludf.DUMMYFUNCTION("""COMPUTED_VALUE"""),119857509)</f>
        <v>119857509</v>
      </c>
      <c r="B1285" s="1" t="str">
        <f ca="1">IFERROR(__xludf.DUMMYFUNCTION("""COMPUTED_VALUE"""),"stevepastis@yahoo.com")</f>
        <v>stevepastis@yahoo.com</v>
      </c>
      <c r="C1285" s="9" t="str">
        <f ca="1">IFERROR(__xludf.DUMMYFUNCTION("""COMPUTED_VALUE"""),"EVERGREEN - UAN Gated Content - Embedded Petition")</f>
        <v>EVERGREEN - UAN Gated Content - Embedded Petition</v>
      </c>
      <c r="D1285" s="10">
        <f ca="1">IFERROR(__xludf.DUMMYFUNCTION("""COMPUTED_VALUE"""),45651)</f>
        <v>45651</v>
      </c>
      <c r="E1285" s="1" t="str">
        <f ca="1">IFERROR(__xludf.DUMMYFUNCTION("""COMPUTED_VALUE"""),"Turkiye")</f>
        <v>Turkiye</v>
      </c>
      <c r="F1285" s="1" t="str">
        <f ca="1">IFERROR(__xludf.DUMMYFUNCTION("""COMPUTED_VALUE"""),"109.24 Türkiye")</f>
        <v>109.24 Türkiye</v>
      </c>
      <c r="G1285" s="1" t="str">
        <f ca="1">IFERROR(__xludf.DUMMYFUNCTION("""COMPUTED_VALUE"""),"Human Rights Defenders, Individuals At Risk")</f>
        <v>Human Rights Defenders, Individuals At Risk</v>
      </c>
      <c r="H1285" s="1" t="str">
        <f ca="1">IFERROR(__xludf.DUMMYFUNCTION("""COMPUTED_VALUE"""),"2024")</f>
        <v>2024</v>
      </c>
      <c r="I1285" s="1" t="str">
        <f ca="1">IFERROR(__xludf.DUMMYFUNCTION("""COMPUTED_VALUE"""),"Email")</f>
        <v>Email</v>
      </c>
    </row>
    <row r="1286" spans="1:9" ht="13" x14ac:dyDescent="0.15">
      <c r="A1286" s="9">
        <f ca="1">IFERROR(__xludf.DUMMYFUNCTION("""COMPUTED_VALUE"""),119857509)</f>
        <v>119857509</v>
      </c>
      <c r="B1286" s="1" t="str">
        <f ca="1">IFERROR(__xludf.DUMMYFUNCTION("""COMPUTED_VALUE"""),"stevepastis@yahoo.com")</f>
        <v>stevepastis@yahoo.com</v>
      </c>
      <c r="C1286" s="9" t="str">
        <f ca="1">IFERROR(__xludf.DUMMYFUNCTION("""COMPUTED_VALUE"""),"EVERGREEN - UAN Gated Content - Embedded Petition")</f>
        <v>EVERGREEN - UAN Gated Content - Embedded Petition</v>
      </c>
      <c r="D1286" s="10">
        <f ca="1">IFERROR(__xludf.DUMMYFUNCTION("""COMPUTED_VALUE"""),45651)</f>
        <v>45651</v>
      </c>
      <c r="E1286" s="1" t="str">
        <f ca="1">IFERROR(__xludf.DUMMYFUNCTION("""COMPUTED_VALUE"""),"Tunisia")</f>
        <v>Tunisia</v>
      </c>
      <c r="F1286" s="1" t="str">
        <f ca="1">IFERROR(__xludf.DUMMYFUNCTION("""COMPUTED_VALUE"""),"Second 43.24 Tunisia")</f>
        <v>Second 43.24 Tunisia</v>
      </c>
      <c r="G1286" s="1" t="str">
        <f ca="1">IFERROR(__xludf.DUMMYFUNCTION("""COMPUTED_VALUE"""),"Freedom of Expression, Individuals At Risk")</f>
        <v>Freedom of Expression, Individuals At Risk</v>
      </c>
      <c r="H1286" s="1" t="str">
        <f ca="1">IFERROR(__xludf.DUMMYFUNCTION("""COMPUTED_VALUE"""),"2024")</f>
        <v>2024</v>
      </c>
      <c r="I1286" s="1" t="str">
        <f ca="1">IFERROR(__xludf.DUMMYFUNCTION("""COMPUTED_VALUE"""),"Email")</f>
        <v>Email</v>
      </c>
    </row>
    <row r="1287" spans="1:9" ht="13" x14ac:dyDescent="0.15">
      <c r="A1287" s="9">
        <f ca="1">IFERROR(__xludf.DUMMYFUNCTION("""COMPUTED_VALUE"""),119857509)</f>
        <v>119857509</v>
      </c>
      <c r="B1287" s="1" t="str">
        <f ca="1">IFERROR(__xludf.DUMMYFUNCTION("""COMPUTED_VALUE"""),"stevepastis@yahoo.com")</f>
        <v>stevepastis@yahoo.com</v>
      </c>
      <c r="C1287" s="9" t="str">
        <f ca="1">IFERROR(__xludf.DUMMYFUNCTION("""COMPUTED_VALUE"""),"EVERGREEN - UAN Gated Content - Embedded Petition")</f>
        <v>EVERGREEN - UAN Gated Content - Embedded Petition</v>
      </c>
      <c r="D1287" s="10">
        <f ca="1">IFERROR(__xludf.DUMMYFUNCTION("""COMPUTED_VALUE"""),45651)</f>
        <v>45651</v>
      </c>
      <c r="E1287" s="1" t="str">
        <f ca="1">IFERROR(__xludf.DUMMYFUNCTION("""COMPUTED_VALUE"""),"Venezuela")</f>
        <v>Venezuela</v>
      </c>
      <c r="F1287" s="1" t="str">
        <f ca="1">IFERROR(__xludf.DUMMYFUNCTION("""COMPUTED_VALUE"""),"1.25 Venezuela")</f>
        <v>1.25 Venezuela</v>
      </c>
      <c r="G1287" s="1" t="str">
        <f ca="1">IFERROR(__xludf.DUMMYFUNCTION("""COMPUTED_VALUE"""),"Human Rights Defenders, Individuals At Risk")</f>
        <v>Human Rights Defenders, Individuals At Risk</v>
      </c>
      <c r="H1287" s="1" t="str">
        <f ca="1">IFERROR(__xludf.DUMMYFUNCTION("""COMPUTED_VALUE"""),"2025")</f>
        <v>2025</v>
      </c>
      <c r="I1287" s="1" t="str">
        <f ca="1">IFERROR(__xludf.DUMMYFUNCTION("""COMPUTED_VALUE"""),"Letter")</f>
        <v>Letter</v>
      </c>
    </row>
    <row r="1288" spans="1:9" ht="13" x14ac:dyDescent="0.15">
      <c r="A1288" s="9">
        <f ca="1">IFERROR(__xludf.DUMMYFUNCTION("""COMPUTED_VALUE"""),119857509)</f>
        <v>119857509</v>
      </c>
      <c r="B1288" s="1" t="str">
        <f ca="1">IFERROR(__xludf.DUMMYFUNCTION("""COMPUTED_VALUE"""),"stevepastis@yahoo.com")</f>
        <v>stevepastis@yahoo.com</v>
      </c>
      <c r="C1288" s="9" t="str">
        <f ca="1">IFERROR(__xludf.DUMMYFUNCTION("""COMPUTED_VALUE"""),"EVERGREEN - UAN Gated Content - Embedded Petition")</f>
        <v>EVERGREEN - UAN Gated Content - Embedded Petition</v>
      </c>
      <c r="D1288" s="10">
        <f ca="1">IFERROR(__xludf.DUMMYFUNCTION("""COMPUTED_VALUE"""),45651)</f>
        <v>45651</v>
      </c>
      <c r="E1288" s="1" t="str">
        <f ca="1">IFERROR(__xludf.DUMMYFUNCTION("""COMPUTED_VALUE"""),"Azerbaijan")</f>
        <v>Azerbaijan</v>
      </c>
      <c r="F1288" s="1" t="str">
        <f ca="1">IFERROR(__xludf.DUMMYFUNCTION("""COMPUTED_VALUE"""),"2.25 Azerbaijan")</f>
        <v>2.25 Azerbaijan</v>
      </c>
      <c r="G1288" s="1" t="str">
        <f ca="1">IFERROR(__xludf.DUMMYFUNCTION("""COMPUTED_VALUE"""),"Freedom of Expression, Human Rights Defenders")</f>
        <v>Freedom of Expression, Human Rights Defenders</v>
      </c>
      <c r="H1288" s="1" t="str">
        <f ca="1">IFERROR(__xludf.DUMMYFUNCTION("""COMPUTED_VALUE"""),"2025")</f>
        <v>2025</v>
      </c>
      <c r="I1288" s="1" t="str">
        <f ca="1">IFERROR(__xludf.DUMMYFUNCTION("""COMPUTED_VALUE"""),"Email")</f>
        <v>Email</v>
      </c>
    </row>
    <row r="1289" spans="1:9" ht="13" x14ac:dyDescent="0.15">
      <c r="A1289" s="9">
        <f ca="1">IFERROR(__xludf.DUMMYFUNCTION("""COMPUTED_VALUE"""),119857509)</f>
        <v>119857509</v>
      </c>
      <c r="B1289" s="1" t="str">
        <f ca="1">IFERROR(__xludf.DUMMYFUNCTION("""COMPUTED_VALUE"""),"stevepastis@yahoo.com")</f>
        <v>stevepastis@yahoo.com</v>
      </c>
      <c r="C1289" s="9" t="str">
        <f ca="1">IFERROR(__xludf.DUMMYFUNCTION("""COMPUTED_VALUE"""),"EVERGREEN - UAN Gated Content - Embedded Petition")</f>
        <v>EVERGREEN - UAN Gated Content - Embedded Petition</v>
      </c>
      <c r="D1289" s="10">
        <f ca="1">IFERROR(__xludf.DUMMYFUNCTION("""COMPUTED_VALUE"""),45651)</f>
        <v>45651</v>
      </c>
      <c r="E1289" s="1" t="str">
        <f ca="1">IFERROR(__xludf.DUMMYFUNCTION("""COMPUTED_VALUE"""),"Turkiye")</f>
        <v>Turkiye</v>
      </c>
      <c r="F1289" s="1" t="str">
        <f ca="1">IFERROR(__xludf.DUMMYFUNCTION("""COMPUTED_VALUE"""),"109.24 Türkiye")</f>
        <v>109.24 Türkiye</v>
      </c>
      <c r="G1289" s="1" t="str">
        <f ca="1">IFERROR(__xludf.DUMMYFUNCTION("""COMPUTED_VALUE"""),"Human Rights Defenders, Individuals At Risk")</f>
        <v>Human Rights Defenders, Individuals At Risk</v>
      </c>
      <c r="H1289" s="1" t="str">
        <f ca="1">IFERROR(__xludf.DUMMYFUNCTION("""COMPUTED_VALUE"""),"2024")</f>
        <v>2024</v>
      </c>
      <c r="I1289" s="1" t="str">
        <f ca="1">IFERROR(__xludf.DUMMYFUNCTION("""COMPUTED_VALUE"""),"Email")</f>
        <v>Email</v>
      </c>
    </row>
    <row r="1290" spans="1:9" ht="13" x14ac:dyDescent="0.15">
      <c r="A1290" s="9">
        <f ca="1">IFERROR(__xludf.DUMMYFUNCTION("""COMPUTED_VALUE"""),119857509)</f>
        <v>119857509</v>
      </c>
      <c r="B1290" s="1" t="str">
        <f ca="1">IFERROR(__xludf.DUMMYFUNCTION("""COMPUTED_VALUE"""),"stevepastis@yahoo.com")</f>
        <v>stevepastis@yahoo.com</v>
      </c>
      <c r="C1290" s="9" t="str">
        <f ca="1">IFERROR(__xludf.DUMMYFUNCTION("""COMPUTED_VALUE"""),"EVERGREEN - UAN Gated Content - Embedded Petition")</f>
        <v>EVERGREEN - UAN Gated Content - Embedded Petition</v>
      </c>
      <c r="D1290" s="10">
        <f ca="1">IFERROR(__xludf.DUMMYFUNCTION("""COMPUTED_VALUE"""),45651)</f>
        <v>45651</v>
      </c>
      <c r="E1290" s="1" t="str">
        <f ca="1">IFERROR(__xludf.DUMMYFUNCTION("""COMPUTED_VALUE"""),"Singapore")</f>
        <v>Singapore</v>
      </c>
      <c r="F1290" s="1" t="str">
        <f ca="1">IFERROR(__xludf.DUMMYFUNCTION("""COMPUTED_VALUE"""),"107.24 Singapore")</f>
        <v>107.24 Singapore</v>
      </c>
      <c r="G1290" s="1" t="str">
        <f ca="1">IFERROR(__xludf.DUMMYFUNCTION("""COMPUTED_VALUE"""),"Death Penalty")</f>
        <v>Death Penalty</v>
      </c>
      <c r="H1290" s="1" t="str">
        <f ca="1">IFERROR(__xludf.DUMMYFUNCTION("""COMPUTED_VALUE"""),"2024")</f>
        <v>2024</v>
      </c>
      <c r="I1290" s="1" t="str">
        <f ca="1">IFERROR(__xludf.DUMMYFUNCTION("""COMPUTED_VALUE"""),"Email")</f>
        <v>Email</v>
      </c>
    </row>
    <row r="1291" spans="1:9" ht="13" x14ac:dyDescent="0.15">
      <c r="A1291" s="9">
        <f ca="1">IFERROR(__xludf.DUMMYFUNCTION("""COMPUTED_VALUE"""),119857509)</f>
        <v>119857509</v>
      </c>
      <c r="B1291" s="1" t="str">
        <f ca="1">IFERROR(__xludf.DUMMYFUNCTION("""COMPUTED_VALUE"""),"stevepastis@yahoo.com")</f>
        <v>stevepastis@yahoo.com</v>
      </c>
      <c r="C1291" s="9" t="str">
        <f ca="1">IFERROR(__xludf.DUMMYFUNCTION("""COMPUTED_VALUE"""),"EVERGREEN - UAN Gated Content - Embedded Petition")</f>
        <v>EVERGREEN - UAN Gated Content - Embedded Petition</v>
      </c>
      <c r="D1291" s="10">
        <f ca="1">IFERROR(__xludf.DUMMYFUNCTION("""COMPUTED_VALUE"""),45651)</f>
        <v>45651</v>
      </c>
      <c r="E1291" s="1" t="str">
        <f ca="1">IFERROR(__xludf.DUMMYFUNCTION("""COMPUTED_VALUE"""),"Tunisia")</f>
        <v>Tunisia</v>
      </c>
      <c r="F1291" s="1" t="str">
        <f ca="1">IFERROR(__xludf.DUMMYFUNCTION("""COMPUTED_VALUE"""),"Second 43.24 Tunisia")</f>
        <v>Second 43.24 Tunisia</v>
      </c>
      <c r="G1291" s="1" t="str">
        <f ca="1">IFERROR(__xludf.DUMMYFUNCTION("""COMPUTED_VALUE"""),"Freedom of Expression, Individuals At Risk")</f>
        <v>Freedom of Expression, Individuals At Risk</v>
      </c>
      <c r="H1291" s="1" t="str">
        <f ca="1">IFERROR(__xludf.DUMMYFUNCTION("""COMPUTED_VALUE"""),"2024")</f>
        <v>2024</v>
      </c>
      <c r="I1291" s="1" t="str">
        <f ca="1">IFERROR(__xludf.DUMMYFUNCTION("""COMPUTED_VALUE"""),"Email")</f>
        <v>Email</v>
      </c>
    </row>
    <row r="1292" spans="1:9" ht="13" x14ac:dyDescent="0.15">
      <c r="A1292" s="9">
        <f ca="1">IFERROR(__xludf.DUMMYFUNCTION("""COMPUTED_VALUE"""),119857509)</f>
        <v>119857509</v>
      </c>
      <c r="B1292" s="1" t="str">
        <f ca="1">IFERROR(__xludf.DUMMYFUNCTION("""COMPUTED_VALUE"""),"stevepastis@yahoo.com")</f>
        <v>stevepastis@yahoo.com</v>
      </c>
      <c r="C1292" s="9" t="str">
        <f ca="1">IFERROR(__xludf.DUMMYFUNCTION("""COMPUTED_VALUE"""),"EVERGREEN - UAN Gated Content - Embedded Petition")</f>
        <v>EVERGREEN - UAN Gated Content - Embedded Petition</v>
      </c>
      <c r="D1292" s="10">
        <f ca="1">IFERROR(__xludf.DUMMYFUNCTION("""COMPUTED_VALUE"""),45651)</f>
        <v>45651</v>
      </c>
      <c r="E1292" s="1" t="str">
        <f ca="1">IFERROR(__xludf.DUMMYFUNCTION("""COMPUTED_VALUE"""),"Egypt")</f>
        <v>Egypt</v>
      </c>
      <c r="F1292" s="1" t="str">
        <f ca="1">IFERROR(__xludf.DUMMYFUNCTION("""COMPUTED_VALUE"""),"Fourth 29.23 Egypt")</f>
        <v>Fourth 29.23 Egypt</v>
      </c>
      <c r="G1292" s="1" t="str">
        <f ca="1">IFERROR(__xludf.DUMMYFUNCTION("""COMPUTED_VALUE"""),"Freedom of Expression, Individuals At Risk, Right to Protest")</f>
        <v>Freedom of Expression, Individuals At Risk, Right to Protest</v>
      </c>
      <c r="H1292" s="1" t="str">
        <f ca="1">IFERROR(__xludf.DUMMYFUNCTION("""COMPUTED_VALUE"""),"2024")</f>
        <v>2024</v>
      </c>
      <c r="I1292" s="1" t="str">
        <f ca="1">IFERROR(__xludf.DUMMYFUNCTION("""COMPUTED_VALUE"""),"Email")</f>
        <v>Email</v>
      </c>
    </row>
    <row r="1293" spans="1:9" ht="13" x14ac:dyDescent="0.15">
      <c r="A1293" s="9">
        <f ca="1">IFERROR(__xludf.DUMMYFUNCTION("""COMPUTED_VALUE"""),119857509)</f>
        <v>119857509</v>
      </c>
      <c r="B1293" s="1" t="str">
        <f ca="1">IFERROR(__xludf.DUMMYFUNCTION("""COMPUTED_VALUE"""),"stevepastis@yahoo.com")</f>
        <v>stevepastis@yahoo.com</v>
      </c>
      <c r="C1293" s="9" t="str">
        <f ca="1">IFERROR(__xludf.DUMMYFUNCTION("""COMPUTED_VALUE"""),"EVERGREEN - UAN Gated Content - Embedded Petition")</f>
        <v>EVERGREEN - UAN Gated Content - Embedded Petition</v>
      </c>
      <c r="D1293" s="10">
        <f ca="1">IFERROR(__xludf.DUMMYFUNCTION("""COMPUTED_VALUE"""),45651)</f>
        <v>45651</v>
      </c>
      <c r="E1293" s="1" t="str">
        <f ca="1">IFERROR(__xludf.DUMMYFUNCTION("""COMPUTED_VALUE"""),"Dominican Republic")</f>
        <v>Dominican Republic</v>
      </c>
      <c r="F1293" s="1" t="str">
        <f ca="1">IFERROR(__xludf.DUMMYFUNCTION("""COMPUTED_VALUE"""),"88.24 Dominican Republic")</f>
        <v>88.24 Dominican Republic</v>
      </c>
      <c r="G1293" s="1" t="str">
        <f ca="1">IFERROR(__xludf.DUMMYFUNCTION("""COMPUTED_VALUE"""),"Individuals At Risk, Refugee and Migrant Rights")</f>
        <v>Individuals At Risk, Refugee and Migrant Rights</v>
      </c>
      <c r="H1293" s="1" t="str">
        <f ca="1">IFERROR(__xludf.DUMMYFUNCTION("""COMPUTED_VALUE"""),"2024")</f>
        <v>2024</v>
      </c>
      <c r="I1293" s="1" t="str">
        <f ca="1">IFERROR(__xludf.DUMMYFUNCTION("""COMPUTED_VALUE"""),"Letter")</f>
        <v>Letter</v>
      </c>
    </row>
    <row r="1294" spans="1:9" ht="13" x14ac:dyDescent="0.15">
      <c r="A1294" s="9">
        <f ca="1">IFERROR(__xludf.DUMMYFUNCTION("""COMPUTED_VALUE"""),119857509)</f>
        <v>119857509</v>
      </c>
      <c r="B1294" s="1" t="str">
        <f ca="1">IFERROR(__xludf.DUMMYFUNCTION("""COMPUTED_VALUE"""),"stevepastis@yahoo.com")</f>
        <v>stevepastis@yahoo.com</v>
      </c>
      <c r="C1294" s="9" t="str">
        <f ca="1">IFERROR(__xludf.DUMMYFUNCTION("""COMPUTED_VALUE"""),"EVERGREEN - UAN Gated Content - Embedded Petition")</f>
        <v>EVERGREEN - UAN Gated Content - Embedded Petition</v>
      </c>
      <c r="D1294" s="10">
        <f ca="1">IFERROR(__xludf.DUMMYFUNCTION("""COMPUTED_VALUE"""),45651)</f>
        <v>45651</v>
      </c>
      <c r="E1294" s="1" t="str">
        <f ca="1">IFERROR(__xludf.DUMMYFUNCTION("""COMPUTED_VALUE"""),"Venezuela")</f>
        <v>Venezuela</v>
      </c>
      <c r="F1294" s="1" t="str">
        <f ca="1">IFERROR(__xludf.DUMMYFUNCTION("""COMPUTED_VALUE"""),"1.25 Venezuela")</f>
        <v>1.25 Venezuela</v>
      </c>
      <c r="G1294" s="1" t="str">
        <f ca="1">IFERROR(__xludf.DUMMYFUNCTION("""COMPUTED_VALUE"""),"Human Rights Defenders, Individuals At Risk")</f>
        <v>Human Rights Defenders, Individuals At Risk</v>
      </c>
      <c r="H1294" s="1" t="str">
        <f ca="1">IFERROR(__xludf.DUMMYFUNCTION("""COMPUTED_VALUE"""),"2025")</f>
        <v>2025</v>
      </c>
      <c r="I1294" s="1" t="str">
        <f ca="1">IFERROR(__xludf.DUMMYFUNCTION("""COMPUTED_VALUE"""),"Letter")</f>
        <v>Letter</v>
      </c>
    </row>
    <row r="1295" spans="1:9" ht="13" x14ac:dyDescent="0.15">
      <c r="A1295" s="9">
        <f ca="1">IFERROR(__xludf.DUMMYFUNCTION("""COMPUTED_VALUE"""),119857509)</f>
        <v>119857509</v>
      </c>
      <c r="B1295" s="1" t="str">
        <f ca="1">IFERROR(__xludf.DUMMYFUNCTION("""COMPUTED_VALUE"""),"stevepastis@yahoo.com")</f>
        <v>stevepastis@yahoo.com</v>
      </c>
      <c r="C1295" s="9" t="str">
        <f ca="1">IFERROR(__xludf.DUMMYFUNCTION("""COMPUTED_VALUE"""),"EVERGREEN - UAN Gated Content - Embedded Petition")</f>
        <v>EVERGREEN - UAN Gated Content - Embedded Petition</v>
      </c>
      <c r="D1295" s="10">
        <f ca="1">IFERROR(__xludf.DUMMYFUNCTION("""COMPUTED_VALUE"""),45618)</f>
        <v>45618</v>
      </c>
      <c r="E1295" s="1" t="str">
        <f ca="1">IFERROR(__xludf.DUMMYFUNCTION("""COMPUTED_VALUE"""),"China")</f>
        <v>China</v>
      </c>
      <c r="F1295" s="1" t="str">
        <f ca="1">IFERROR(__xludf.DUMMYFUNCTION("""COMPUTED_VALUE"""),"106.24 China")</f>
        <v>106.24 China</v>
      </c>
      <c r="G1295" s="1" t="str">
        <f ca="1">IFERROR(__xludf.DUMMYFUNCTION("""COMPUTED_VALUE"""),"Freedom of Expression, Individuals At Risk")</f>
        <v>Freedom of Expression, Individuals At Risk</v>
      </c>
      <c r="H1295" s="1" t="str">
        <f ca="1">IFERROR(__xludf.DUMMYFUNCTION("""COMPUTED_VALUE"""),"2024")</f>
        <v>2024</v>
      </c>
      <c r="I1295" s="1" t="str">
        <f ca="1">IFERROR(__xludf.DUMMYFUNCTION("""COMPUTED_VALUE"""),"Email")</f>
        <v>Email</v>
      </c>
    </row>
    <row r="1296" spans="1:9" ht="13" x14ac:dyDescent="0.15">
      <c r="A1296" s="9">
        <f ca="1">IFERROR(__xludf.DUMMYFUNCTION("""COMPUTED_VALUE"""),119857509)</f>
        <v>119857509</v>
      </c>
      <c r="B1296" s="1" t="str">
        <f ca="1">IFERROR(__xludf.DUMMYFUNCTION("""COMPUTED_VALUE"""),"stevepastis@yahoo.com")</f>
        <v>stevepastis@yahoo.com</v>
      </c>
      <c r="C1296" s="9" t="str">
        <f ca="1">IFERROR(__xludf.DUMMYFUNCTION("""COMPUTED_VALUE"""),"EVERGREEN - UAN Gated Content - Embedded Petition")</f>
        <v>EVERGREEN - UAN Gated Content - Embedded Petition</v>
      </c>
      <c r="D1296" s="10">
        <f ca="1">IFERROR(__xludf.DUMMYFUNCTION("""COMPUTED_VALUE"""),45618)</f>
        <v>45618</v>
      </c>
      <c r="E1296" s="1" t="str">
        <f ca="1">IFERROR(__xludf.DUMMYFUNCTION("""COMPUTED_VALUE"""),"China")</f>
        <v>China</v>
      </c>
      <c r="F1296" s="1" t="str">
        <f ca="1">IFERROR(__xludf.DUMMYFUNCTION("""COMPUTED_VALUE"""),"98.24 China")</f>
        <v>98.24 China</v>
      </c>
      <c r="G1296" s="1" t="str">
        <f ca="1">IFERROR(__xludf.DUMMYFUNCTION("""COMPUTED_VALUE"""),"Freedom of Expression, Individuals At Risk")</f>
        <v>Freedom of Expression, Individuals At Risk</v>
      </c>
      <c r="H1296" s="1" t="str">
        <f ca="1">IFERROR(__xludf.DUMMYFUNCTION("""COMPUTED_VALUE"""),"2024")</f>
        <v>2024</v>
      </c>
      <c r="I1296" s="1" t="str">
        <f ca="1">IFERROR(__xludf.DUMMYFUNCTION("""COMPUTED_VALUE"""),"Letter")</f>
        <v>Letter</v>
      </c>
    </row>
    <row r="1297" spans="1:9" ht="13" x14ac:dyDescent="0.15">
      <c r="A1297" s="9">
        <f ca="1">IFERROR(__xludf.DUMMYFUNCTION("""COMPUTED_VALUE"""),119857509)</f>
        <v>119857509</v>
      </c>
      <c r="B1297" s="1" t="str">
        <f ca="1">IFERROR(__xludf.DUMMYFUNCTION("""COMPUTED_VALUE"""),"stevepastis@yahoo.com")</f>
        <v>stevepastis@yahoo.com</v>
      </c>
      <c r="C1297" s="9" t="str">
        <f ca="1">IFERROR(__xludf.DUMMYFUNCTION("""COMPUTED_VALUE"""),"EVERGREEN - UAN Gated Content - Embedded Petition")</f>
        <v>EVERGREEN - UAN Gated Content - Embedded Petition</v>
      </c>
      <c r="D1297" s="10">
        <f ca="1">IFERROR(__xludf.DUMMYFUNCTION("""COMPUTED_VALUE"""),45620)</f>
        <v>45620</v>
      </c>
      <c r="E1297" s="1" t="str">
        <f ca="1">IFERROR(__xludf.DUMMYFUNCTION("""COMPUTED_VALUE"""),"Saudi Arabia")</f>
        <v>Saudi Arabia</v>
      </c>
      <c r="F1297" s="1" t="str">
        <f ca="1">IFERROR(__xludf.DUMMYFUNCTION("""COMPUTED_VALUE"""),"Second 85.23 Saudi Arabia")</f>
        <v>Second 85.23 Saudi Arabia</v>
      </c>
      <c r="G1297" s="1" t="str">
        <f ca="1">IFERROR(__xludf.DUMMYFUNCTION("""COMPUTED_VALUE"""),"Freedom of Expression")</f>
        <v>Freedom of Expression</v>
      </c>
      <c r="H1297" s="1" t="str">
        <f ca="1">IFERROR(__xludf.DUMMYFUNCTION("""COMPUTED_VALUE"""),"2024")</f>
        <v>2024</v>
      </c>
      <c r="I1297" s="1" t="str">
        <f ca="1">IFERROR(__xludf.DUMMYFUNCTION("""COMPUTED_VALUE"""),"Letter")</f>
        <v>Letter</v>
      </c>
    </row>
    <row r="1298" spans="1:9" ht="13" x14ac:dyDescent="0.15">
      <c r="A1298" s="9">
        <f ca="1">IFERROR(__xludf.DUMMYFUNCTION("""COMPUTED_VALUE"""),119857509)</f>
        <v>119857509</v>
      </c>
      <c r="B1298" s="1" t="str">
        <f ca="1">IFERROR(__xludf.DUMMYFUNCTION("""COMPUTED_VALUE"""),"stevepastis@yahoo.com")</f>
        <v>stevepastis@yahoo.com</v>
      </c>
      <c r="C1298" s="9" t="str">
        <f ca="1">IFERROR(__xludf.DUMMYFUNCTION("""COMPUTED_VALUE"""),"EVERGREEN - UAN Gated Content - Embedded Petition")</f>
        <v>EVERGREEN - UAN Gated Content - Embedded Petition</v>
      </c>
      <c r="D1298" s="10">
        <f ca="1">IFERROR(__xludf.DUMMYFUNCTION("""COMPUTED_VALUE"""),45620)</f>
        <v>45620</v>
      </c>
      <c r="E1298" s="1" t="str">
        <f ca="1">IFERROR(__xludf.DUMMYFUNCTION("""COMPUTED_VALUE"""),"Niger")</f>
        <v>Niger</v>
      </c>
      <c r="F1298" s="1" t="str">
        <f ca="1">IFERROR(__xludf.DUMMYFUNCTION("""COMPUTED_VALUE"""),"103.24 Niger")</f>
        <v>103.24 Niger</v>
      </c>
      <c r="G1298" s="1" t="str">
        <f ca="1">IFERROR(__xludf.DUMMYFUNCTION("""COMPUTED_VALUE"""),"Freedom of Expression, Human Rights Defenders")</f>
        <v>Freedom of Expression, Human Rights Defenders</v>
      </c>
      <c r="H1298" s="1" t="str">
        <f ca="1">IFERROR(__xludf.DUMMYFUNCTION("""COMPUTED_VALUE"""),"2024")</f>
        <v>2024</v>
      </c>
      <c r="I1298" s="1" t="str">
        <f ca="1">IFERROR(__xludf.DUMMYFUNCTION("""COMPUTED_VALUE"""),"Email")</f>
        <v>Email</v>
      </c>
    </row>
    <row r="1299" spans="1:9" ht="13" x14ac:dyDescent="0.15">
      <c r="A1299" s="9">
        <f ca="1">IFERROR(__xludf.DUMMYFUNCTION("""COMPUTED_VALUE"""),119857509)</f>
        <v>119857509</v>
      </c>
      <c r="B1299" s="1" t="str">
        <f ca="1">IFERROR(__xludf.DUMMYFUNCTION("""COMPUTED_VALUE"""),"stevepastis@yahoo.com")</f>
        <v>stevepastis@yahoo.com</v>
      </c>
      <c r="C1299" s="9" t="str">
        <f ca="1">IFERROR(__xludf.DUMMYFUNCTION("""COMPUTED_VALUE"""),"EVERGREEN - UAN Gated Content - Embedded Petition")</f>
        <v>EVERGREEN - UAN Gated Content - Embedded Petition</v>
      </c>
      <c r="D1299" s="10">
        <f ca="1">IFERROR(__xludf.DUMMYFUNCTION("""COMPUTED_VALUE"""),45631)</f>
        <v>45631</v>
      </c>
      <c r="E1299" s="1" t="str">
        <f ca="1">IFERROR(__xludf.DUMMYFUNCTION("""COMPUTED_VALUE"""),"Iran")</f>
        <v>Iran</v>
      </c>
      <c r="F1299" s="1" t="str">
        <f ca="1">IFERROR(__xludf.DUMMYFUNCTION("""COMPUTED_VALUE"""),"Seventh 103.22 Iran")</f>
        <v>Seventh 103.22 Iran</v>
      </c>
      <c r="G1299" s="1" t="str">
        <f ca="1">IFERROR(__xludf.DUMMYFUNCTION("""COMPUTED_VALUE"""),"Death Penalty, Freedom of Expression, Individuals At Risk")</f>
        <v>Death Penalty, Freedom of Expression, Individuals At Risk</v>
      </c>
      <c r="H1299" s="1" t="str">
        <f ca="1">IFERROR(__xludf.DUMMYFUNCTION("""COMPUTED_VALUE"""),"2024")</f>
        <v>2024</v>
      </c>
      <c r="I1299" s="1" t="str">
        <f ca="1">IFERROR(__xludf.DUMMYFUNCTION("""COMPUTED_VALUE"""),"Email")</f>
        <v>Email</v>
      </c>
    </row>
    <row r="1300" spans="1:9" ht="13" x14ac:dyDescent="0.15">
      <c r="A1300" s="9">
        <f ca="1">IFERROR(__xludf.DUMMYFUNCTION("""COMPUTED_VALUE"""),119857509)</f>
        <v>119857509</v>
      </c>
      <c r="B1300" s="1" t="str">
        <f ca="1">IFERROR(__xludf.DUMMYFUNCTION("""COMPUTED_VALUE"""),"stevepastis@yahoo.com")</f>
        <v>stevepastis@yahoo.com</v>
      </c>
      <c r="C1300" s="9" t="str">
        <f ca="1">IFERROR(__xludf.DUMMYFUNCTION("""COMPUTED_VALUE"""),"EVERGREEN - UAN Gated Content - Embedded Petition")</f>
        <v>EVERGREEN - UAN Gated Content - Embedded Petition</v>
      </c>
      <c r="D1300" s="10">
        <f ca="1">IFERROR(__xludf.DUMMYFUNCTION("""COMPUTED_VALUE"""),45635)</f>
        <v>45635</v>
      </c>
      <c r="E1300" s="1" t="str">
        <f ca="1">IFERROR(__xludf.DUMMYFUNCTION("""COMPUTED_VALUE"""),"Turkiye")</f>
        <v>Turkiye</v>
      </c>
      <c r="F1300" s="1" t="str">
        <f ca="1">IFERROR(__xludf.DUMMYFUNCTION("""COMPUTED_VALUE"""),"109.24 Türkiye")</f>
        <v>109.24 Türkiye</v>
      </c>
      <c r="G1300" s="1" t="str">
        <f ca="1">IFERROR(__xludf.DUMMYFUNCTION("""COMPUTED_VALUE"""),"Human Rights Defenders, Individuals At Risk")</f>
        <v>Human Rights Defenders, Individuals At Risk</v>
      </c>
      <c r="H1300" s="1" t="str">
        <f ca="1">IFERROR(__xludf.DUMMYFUNCTION("""COMPUTED_VALUE"""),"2024")</f>
        <v>2024</v>
      </c>
      <c r="I1300" s="1" t="str">
        <f ca="1">IFERROR(__xludf.DUMMYFUNCTION("""COMPUTED_VALUE"""),"Email")</f>
        <v>Email</v>
      </c>
    </row>
    <row r="1301" spans="1:9" ht="13" x14ac:dyDescent="0.15">
      <c r="A1301" s="9">
        <f ca="1">IFERROR(__xludf.DUMMYFUNCTION("""COMPUTED_VALUE"""),119857509)</f>
        <v>119857509</v>
      </c>
      <c r="B1301" s="1" t="str">
        <f ca="1">IFERROR(__xludf.DUMMYFUNCTION("""COMPUTED_VALUE"""),"stevepastis@yahoo.com")</f>
        <v>stevepastis@yahoo.com</v>
      </c>
      <c r="C1301" s="9" t="str">
        <f ca="1">IFERROR(__xludf.DUMMYFUNCTION("""COMPUTED_VALUE"""),"EVERGREEN - UAN Gated Content - Embedded Petition")</f>
        <v>EVERGREEN - UAN Gated Content - Embedded Petition</v>
      </c>
      <c r="D1301" s="10">
        <f ca="1">IFERROR(__xludf.DUMMYFUNCTION("""COMPUTED_VALUE"""),45697)</f>
        <v>45697</v>
      </c>
      <c r="E1301" s="1" t="str">
        <f ca="1">IFERROR(__xludf.DUMMYFUNCTION("""COMPUTED_VALUE"""),"Iran")</f>
        <v>Iran</v>
      </c>
      <c r="F1301" s="1" t="str">
        <f ca="1">IFERROR(__xludf.DUMMYFUNCTION("""COMPUTED_VALUE"""),"Seventh 103.22 Iran")</f>
        <v>Seventh 103.22 Iran</v>
      </c>
      <c r="G1301" s="1" t="str">
        <f ca="1">IFERROR(__xludf.DUMMYFUNCTION("""COMPUTED_VALUE"""),"Death Penalty, Freedom of Expression, Individuals At Risk")</f>
        <v>Death Penalty, Freedom of Expression, Individuals At Risk</v>
      </c>
      <c r="H1301" s="1" t="str">
        <f ca="1">IFERROR(__xludf.DUMMYFUNCTION("""COMPUTED_VALUE"""),"2024")</f>
        <v>2024</v>
      </c>
      <c r="I1301" s="1" t="str">
        <f ca="1">IFERROR(__xludf.DUMMYFUNCTION("""COMPUTED_VALUE"""),"Email")</f>
        <v>Email</v>
      </c>
    </row>
    <row r="1302" spans="1:9" ht="13" x14ac:dyDescent="0.15">
      <c r="A1302" s="9">
        <f ca="1">IFERROR(__xludf.DUMMYFUNCTION("""COMPUTED_VALUE"""),119857509)</f>
        <v>119857509</v>
      </c>
      <c r="B1302" s="1" t="str">
        <f ca="1">IFERROR(__xludf.DUMMYFUNCTION("""COMPUTED_VALUE"""),"stevepastis@yahoo.com")</f>
        <v>stevepastis@yahoo.com</v>
      </c>
      <c r="C1302" s="9" t="str">
        <f ca="1">IFERROR(__xludf.DUMMYFUNCTION("""COMPUTED_VALUE"""),"EVERGREEN - UAN Gated Content - Embedded Petition")</f>
        <v>EVERGREEN - UAN Gated Content - Embedded Petition</v>
      </c>
      <c r="D1302" s="10">
        <f ca="1">IFERROR(__xludf.DUMMYFUNCTION("""COMPUTED_VALUE"""),45697)</f>
        <v>45697</v>
      </c>
      <c r="E1302" s="1" t="str">
        <f ca="1">IFERROR(__xludf.DUMMYFUNCTION("""COMPUTED_VALUE"""),"Tunisia")</f>
        <v>Tunisia</v>
      </c>
      <c r="F1302" s="1" t="str">
        <f ca="1">IFERROR(__xludf.DUMMYFUNCTION("""COMPUTED_VALUE"""),"Second 76.24 Tunisia")</f>
        <v>Second 76.24 Tunisia</v>
      </c>
      <c r="G1302" s="1" t="str">
        <f ca="1">IFERROR(__xludf.DUMMYFUNCTION("""COMPUTED_VALUE"""),"Freedom of Expression, Human Rights Defenders")</f>
        <v>Freedom of Expression, Human Rights Defenders</v>
      </c>
      <c r="H1302" s="1" t="str">
        <f ca="1">IFERROR(__xludf.DUMMYFUNCTION("""COMPUTED_VALUE"""),"2025")</f>
        <v>2025</v>
      </c>
      <c r="I1302" s="1" t="str">
        <f ca="1">IFERROR(__xludf.DUMMYFUNCTION("""COMPUTED_VALUE"""),"Email")</f>
        <v>Email</v>
      </c>
    </row>
    <row r="1303" spans="1:9" ht="13" x14ac:dyDescent="0.15">
      <c r="A1303" s="9">
        <f ca="1">IFERROR(__xludf.DUMMYFUNCTION("""COMPUTED_VALUE"""),119857509)</f>
        <v>119857509</v>
      </c>
      <c r="B1303" s="1" t="str">
        <f ca="1">IFERROR(__xludf.DUMMYFUNCTION("""COMPUTED_VALUE"""),"stevepastis@yahoo.com")</f>
        <v>stevepastis@yahoo.com</v>
      </c>
      <c r="C1303" s="9" t="str">
        <f ca="1">IFERROR(__xludf.DUMMYFUNCTION("""COMPUTED_VALUE"""),"EVERGREEN - UAN Gated Content - Embedded Petition")</f>
        <v>EVERGREEN - UAN Gated Content - Embedded Petition</v>
      </c>
      <c r="D1303" s="10">
        <f ca="1">IFERROR(__xludf.DUMMYFUNCTION("""COMPUTED_VALUE"""),45697)</f>
        <v>45697</v>
      </c>
      <c r="E1303" s="1" t="str">
        <f ca="1">IFERROR(__xludf.DUMMYFUNCTION("""COMPUTED_VALUE"""),"USA")</f>
        <v>USA</v>
      </c>
      <c r="F1303" s="1" t="str">
        <f ca="1">IFERROR(__xludf.DUMMYFUNCTION("""COMPUTED_VALUE"""),"96.24 USA")</f>
        <v>96.24 USA</v>
      </c>
      <c r="G1303" s="1" t="str">
        <f ca="1">IFERROR(__xludf.DUMMYFUNCTION("""COMPUTED_VALUE"""),"Death Penalty")</f>
        <v>Death Penalty</v>
      </c>
      <c r="H1303" s="1" t="str">
        <f ca="1">IFERROR(__xludf.DUMMYFUNCTION("""COMPUTED_VALUE"""),"2024")</f>
        <v>2024</v>
      </c>
      <c r="I1303" s="1" t="str">
        <f ca="1">IFERROR(__xludf.DUMMYFUNCTION("""COMPUTED_VALUE"""),"Email")</f>
        <v>Email</v>
      </c>
    </row>
    <row r="1304" spans="1:9" ht="13" x14ac:dyDescent="0.15">
      <c r="A1304" s="9">
        <f ca="1">IFERROR(__xludf.DUMMYFUNCTION("""COMPUTED_VALUE"""),119857509)</f>
        <v>119857509</v>
      </c>
      <c r="B1304" s="1" t="str">
        <f ca="1">IFERROR(__xludf.DUMMYFUNCTION("""COMPUTED_VALUE"""),"stevepastis@yahoo.com")</f>
        <v>stevepastis@yahoo.com</v>
      </c>
      <c r="C1304" s="9" t="str">
        <f ca="1">IFERROR(__xludf.DUMMYFUNCTION("""COMPUTED_VALUE"""),"EVERGREEN - UAN Gated Content - Embedded Petition")</f>
        <v>EVERGREEN - UAN Gated Content - Embedded Petition</v>
      </c>
      <c r="D1304" s="10">
        <f ca="1">IFERROR(__xludf.DUMMYFUNCTION("""COMPUTED_VALUE"""),45697)</f>
        <v>45697</v>
      </c>
      <c r="E1304" s="1" t="str">
        <f ca="1">IFERROR(__xludf.DUMMYFUNCTION("""COMPUTED_VALUE"""),"USA")</f>
        <v>USA</v>
      </c>
      <c r="F1304" s="1" t="str">
        <f ca="1">IFERROR(__xludf.DUMMYFUNCTION("""COMPUTED_VALUE"""),"4.25 USA")</f>
        <v>4.25 USA</v>
      </c>
      <c r="G1304" s="1" t="str">
        <f ca="1">IFERROR(__xludf.DUMMYFUNCTION("""COMPUTED_VALUE"""),"Individuals At Risk, Refugee and Migrant Rights")</f>
        <v>Individuals At Risk, Refugee and Migrant Rights</v>
      </c>
      <c r="H1304" s="1" t="str">
        <f ca="1">IFERROR(__xludf.DUMMYFUNCTION("""COMPUTED_VALUE"""),"2025")</f>
        <v>2025</v>
      </c>
      <c r="I1304" s="1" t="str">
        <f ca="1">IFERROR(__xludf.DUMMYFUNCTION("""COMPUTED_VALUE"""),"Letter")</f>
        <v>Letter</v>
      </c>
    </row>
    <row r="1305" spans="1:9" ht="13" x14ac:dyDescent="0.15">
      <c r="A1305" s="9">
        <f ca="1">IFERROR(__xludf.DUMMYFUNCTION("""COMPUTED_VALUE"""),119857509)</f>
        <v>119857509</v>
      </c>
      <c r="B1305" s="1" t="str">
        <f ca="1">IFERROR(__xludf.DUMMYFUNCTION("""COMPUTED_VALUE"""),"stevepastis@yahoo.com")</f>
        <v>stevepastis@yahoo.com</v>
      </c>
      <c r="C1305" s="9" t="str">
        <f ca="1">IFERROR(__xludf.DUMMYFUNCTION("""COMPUTED_VALUE"""),"EVERGREEN - UAN Gated Content - Embedded Petition")</f>
        <v>EVERGREEN - UAN Gated Content - Embedded Petition</v>
      </c>
      <c r="D1305" s="10">
        <f ca="1">IFERROR(__xludf.DUMMYFUNCTION("""COMPUTED_VALUE"""),45697)</f>
        <v>45697</v>
      </c>
      <c r="E1305" s="1" t="str">
        <f ca="1">IFERROR(__xludf.DUMMYFUNCTION("""COMPUTED_VALUE"""),"Tunisia")</f>
        <v>Tunisia</v>
      </c>
      <c r="F1305" s="1" t="str">
        <f ca="1">IFERROR(__xludf.DUMMYFUNCTION("""COMPUTED_VALUE"""),"Second 76.24 Tunisia")</f>
        <v>Second 76.24 Tunisia</v>
      </c>
      <c r="G1305" s="1" t="str">
        <f ca="1">IFERROR(__xludf.DUMMYFUNCTION("""COMPUTED_VALUE"""),"Freedom of Expression, Human Rights Defenders")</f>
        <v>Freedom of Expression, Human Rights Defenders</v>
      </c>
      <c r="H1305" s="1" t="str">
        <f ca="1">IFERROR(__xludf.DUMMYFUNCTION("""COMPUTED_VALUE"""),"2025")</f>
        <v>2025</v>
      </c>
      <c r="I1305" s="1" t="str">
        <f ca="1">IFERROR(__xludf.DUMMYFUNCTION("""COMPUTED_VALUE"""),"Email")</f>
        <v>Email</v>
      </c>
    </row>
    <row r="1306" spans="1:9" ht="13" x14ac:dyDescent="0.15">
      <c r="A1306" s="9">
        <f ca="1">IFERROR(__xludf.DUMMYFUNCTION("""COMPUTED_VALUE"""),119857509)</f>
        <v>119857509</v>
      </c>
      <c r="B1306" s="1" t="str">
        <f ca="1">IFERROR(__xludf.DUMMYFUNCTION("""COMPUTED_VALUE"""),"stevepastis@yahoo.com")</f>
        <v>stevepastis@yahoo.com</v>
      </c>
      <c r="C1306" s="9" t="str">
        <f ca="1">IFERROR(__xludf.DUMMYFUNCTION("""COMPUTED_VALUE"""),"EVERGREEN - UAN Gated Content - Embedded Petition")</f>
        <v>EVERGREEN - UAN Gated Content - Embedded Petition</v>
      </c>
      <c r="D1306" s="10">
        <f ca="1">IFERROR(__xludf.DUMMYFUNCTION("""COMPUTED_VALUE"""),45635)</f>
        <v>45635</v>
      </c>
      <c r="E1306" s="1" t="str">
        <f ca="1">IFERROR(__xludf.DUMMYFUNCTION("""COMPUTED_VALUE"""),"Tunisia")</f>
        <v>Tunisia</v>
      </c>
      <c r="F1306" s="1" t="str">
        <f ca="1">IFERROR(__xludf.DUMMYFUNCTION("""COMPUTED_VALUE"""),"Second 76.24 Tunisia")</f>
        <v>Second 76.24 Tunisia</v>
      </c>
      <c r="G1306" s="1" t="str">
        <f ca="1">IFERROR(__xludf.DUMMYFUNCTION("""COMPUTED_VALUE"""),"Freedom of Expression, Human Rights Defenders")</f>
        <v>Freedom of Expression, Human Rights Defenders</v>
      </c>
      <c r="H1306" s="1" t="str">
        <f ca="1">IFERROR(__xludf.DUMMYFUNCTION("""COMPUTED_VALUE"""),"2025")</f>
        <v>2025</v>
      </c>
      <c r="I1306" s="1" t="str">
        <f ca="1">IFERROR(__xludf.DUMMYFUNCTION("""COMPUTED_VALUE"""),"Email")</f>
        <v>Email</v>
      </c>
    </row>
    <row r="1307" spans="1:9" ht="13" x14ac:dyDescent="0.15">
      <c r="A1307" s="9">
        <f ca="1">IFERROR(__xludf.DUMMYFUNCTION("""COMPUTED_VALUE"""),119857509)</f>
        <v>119857509</v>
      </c>
      <c r="B1307" s="1" t="str">
        <f ca="1">IFERROR(__xludf.DUMMYFUNCTION("""COMPUTED_VALUE"""),"stevepastis@yahoo.com")</f>
        <v>stevepastis@yahoo.com</v>
      </c>
      <c r="C1307" s="9" t="str">
        <f ca="1">IFERROR(__xludf.DUMMYFUNCTION("""COMPUTED_VALUE"""),"EVERGREEN - UAN Gated Content - Embedded Petition")</f>
        <v>EVERGREEN - UAN Gated Content - Embedded Petition</v>
      </c>
      <c r="D1307" s="10">
        <f ca="1">IFERROR(__xludf.DUMMYFUNCTION("""COMPUTED_VALUE"""),45697)</f>
        <v>45697</v>
      </c>
      <c r="E1307" s="1" t="str">
        <f ca="1">IFERROR(__xludf.DUMMYFUNCTION("""COMPUTED_VALUE"""),"Iran")</f>
        <v>Iran</v>
      </c>
      <c r="F1307" s="1" t="str">
        <f ca="1">IFERROR(__xludf.DUMMYFUNCTION("""COMPUTED_VALUE"""),"Seventh 103.22 Iran")</f>
        <v>Seventh 103.22 Iran</v>
      </c>
      <c r="G1307" s="1" t="str">
        <f ca="1">IFERROR(__xludf.DUMMYFUNCTION("""COMPUTED_VALUE"""),"Death Penalty, Freedom of Expression, Individuals At Risk")</f>
        <v>Death Penalty, Freedom of Expression, Individuals At Risk</v>
      </c>
      <c r="H1307" s="1" t="str">
        <f ca="1">IFERROR(__xludf.DUMMYFUNCTION("""COMPUTED_VALUE"""),"2024")</f>
        <v>2024</v>
      </c>
      <c r="I1307" s="1" t="str">
        <f ca="1">IFERROR(__xludf.DUMMYFUNCTION("""COMPUTED_VALUE"""),"Email")</f>
        <v>Email</v>
      </c>
    </row>
    <row r="1308" spans="1:9" ht="13" x14ac:dyDescent="0.15">
      <c r="A1308" s="9">
        <f ca="1">IFERROR(__xludf.DUMMYFUNCTION("""COMPUTED_VALUE"""),120113464)</f>
        <v>120113464</v>
      </c>
      <c r="B1308" s="1" t="str">
        <f ca="1">IFERROR(__xludf.DUMMYFUNCTION("""COMPUTED_VALUE"""),"jagsingh@comcast.net")</f>
        <v>jagsingh@comcast.net</v>
      </c>
      <c r="C1308" s="9" t="str">
        <f ca="1">IFERROR(__xludf.DUMMYFUNCTION("""COMPUTED_VALUE"""),"EVERGREEN - UAN Gated Content - Embedded Petition")</f>
        <v>EVERGREEN - UAN Gated Content - Embedded Petition</v>
      </c>
      <c r="D1308" s="10">
        <f ca="1">IFERROR(__xludf.DUMMYFUNCTION("""COMPUTED_VALUE"""),45707)</f>
        <v>45707</v>
      </c>
      <c r="E1308" s="1" t="str">
        <f ca="1">IFERROR(__xludf.DUMMYFUNCTION("""COMPUTED_VALUE"""),"Israel and Occupied Palestinian Territories")</f>
        <v>Israel and Occupied Palestinian Territories</v>
      </c>
      <c r="F1308" s="1" t="str">
        <f ca="1">IFERROR(__xludf.DUMMYFUNCTION("""COMPUTED_VALUE"""),"3.25 IOPT")</f>
        <v>3.25 IOPT</v>
      </c>
      <c r="G1308" s="1" t="str">
        <f ca="1">IFERROR(__xludf.DUMMYFUNCTION("""COMPUTED_VALUE"""),"Freedom of Expression, Individuals At Risk")</f>
        <v>Freedom of Expression, Individuals At Risk</v>
      </c>
      <c r="H1308" s="1" t="str">
        <f ca="1">IFERROR(__xludf.DUMMYFUNCTION("""COMPUTED_VALUE"""),"2025")</f>
        <v>2025</v>
      </c>
      <c r="I1308" s="1" t="str">
        <f ca="1">IFERROR(__xludf.DUMMYFUNCTION("""COMPUTED_VALUE"""),"Email")</f>
        <v>Email</v>
      </c>
    </row>
    <row r="1309" spans="1:9" ht="13" x14ac:dyDescent="0.15">
      <c r="A1309" s="9">
        <f ca="1">IFERROR(__xludf.DUMMYFUNCTION("""COMPUTED_VALUE"""),120113464)</f>
        <v>120113464</v>
      </c>
      <c r="B1309" s="1" t="str">
        <f ca="1">IFERROR(__xludf.DUMMYFUNCTION("""COMPUTED_VALUE"""),"jagsingh@comcast.net")</f>
        <v>jagsingh@comcast.net</v>
      </c>
      <c r="C1309" s="9" t="str">
        <f ca="1">IFERROR(__xludf.DUMMYFUNCTION("""COMPUTED_VALUE"""),"EVERGREEN - UAN Gated Content - Embedded Petition")</f>
        <v>EVERGREEN - UAN Gated Content - Embedded Petition</v>
      </c>
      <c r="D1309" s="10">
        <f ca="1">IFERROR(__xludf.DUMMYFUNCTION("""COMPUTED_VALUE"""),45672)</f>
        <v>45672</v>
      </c>
      <c r="E1309" s="1" t="str">
        <f ca="1">IFERROR(__xludf.DUMMYFUNCTION("""COMPUTED_VALUE"""),"China")</f>
        <v>China</v>
      </c>
      <c r="F1309" s="1" t="str">
        <f ca="1">IFERROR(__xludf.DUMMYFUNCTION("""COMPUTED_VALUE"""),"98.24 China")</f>
        <v>98.24 China</v>
      </c>
      <c r="G1309" s="1" t="str">
        <f ca="1">IFERROR(__xludf.DUMMYFUNCTION("""COMPUTED_VALUE"""),"Freedom of Expression, Individuals At Risk")</f>
        <v>Freedom of Expression, Individuals At Risk</v>
      </c>
      <c r="H1309" s="1" t="str">
        <f ca="1">IFERROR(__xludf.DUMMYFUNCTION("""COMPUTED_VALUE"""),"2024")</f>
        <v>2024</v>
      </c>
      <c r="I1309" s="1" t="str">
        <f ca="1">IFERROR(__xludf.DUMMYFUNCTION("""COMPUTED_VALUE"""),"Letter")</f>
        <v>Letter</v>
      </c>
    </row>
    <row r="1310" spans="1:9" ht="13" x14ac:dyDescent="0.15">
      <c r="A1310" s="9">
        <f ca="1">IFERROR(__xludf.DUMMYFUNCTION("""COMPUTED_VALUE"""),120113464)</f>
        <v>120113464</v>
      </c>
      <c r="B1310" s="1" t="str">
        <f ca="1">IFERROR(__xludf.DUMMYFUNCTION("""COMPUTED_VALUE"""),"jagsingh@comcast.net")</f>
        <v>jagsingh@comcast.net</v>
      </c>
      <c r="C1310" s="9" t="str">
        <f ca="1">IFERROR(__xludf.DUMMYFUNCTION("""COMPUTED_VALUE"""),"EVERGREEN - UAN Gated Content - Embedded Petition")</f>
        <v>EVERGREEN - UAN Gated Content - Embedded Petition</v>
      </c>
      <c r="D1310" s="10">
        <f ca="1">IFERROR(__xludf.DUMMYFUNCTION("""COMPUTED_VALUE"""),45636)</f>
        <v>45636</v>
      </c>
      <c r="E1310" s="1" t="str">
        <f ca="1">IFERROR(__xludf.DUMMYFUNCTION("""COMPUTED_VALUE"""),"Egypt")</f>
        <v>Egypt</v>
      </c>
      <c r="F1310" s="1" t="str">
        <f ca="1">IFERROR(__xludf.DUMMYFUNCTION("""COMPUTED_VALUE"""),"Third 73.23 Egypt")</f>
        <v>Third 73.23 Egypt</v>
      </c>
      <c r="G1310" s="1" t="str">
        <f ca="1">IFERROR(__xludf.DUMMYFUNCTION("""COMPUTED_VALUE"""),"Individuals At Risk")</f>
        <v>Individuals At Risk</v>
      </c>
      <c r="H1310" s="1" t="str">
        <f ca="1">IFERROR(__xludf.DUMMYFUNCTION("""COMPUTED_VALUE"""),"2024")</f>
        <v>2024</v>
      </c>
      <c r="I1310" s="1" t="str">
        <f ca="1">IFERROR(__xludf.DUMMYFUNCTION("""COMPUTED_VALUE"""),"Email")</f>
        <v>Email</v>
      </c>
    </row>
    <row r="1311" spans="1:9" ht="13" x14ac:dyDescent="0.15">
      <c r="A1311" s="9">
        <f ca="1">IFERROR(__xludf.DUMMYFUNCTION("""COMPUTED_VALUE"""),120113464)</f>
        <v>120113464</v>
      </c>
      <c r="B1311" s="1" t="str">
        <f ca="1">IFERROR(__xludf.DUMMYFUNCTION("""COMPUTED_VALUE"""),"jagsingh@comcast.net")</f>
        <v>jagsingh@comcast.net</v>
      </c>
      <c r="C1311" s="9" t="str">
        <f ca="1">IFERROR(__xludf.DUMMYFUNCTION("""COMPUTED_VALUE"""),"EVERGREEN - UAN Gated Content - Embedded Petition")</f>
        <v>EVERGREEN - UAN Gated Content - Embedded Petition</v>
      </c>
      <c r="D1311" s="10">
        <f ca="1">IFERROR(__xludf.DUMMYFUNCTION("""COMPUTED_VALUE"""),45636)</f>
        <v>45636</v>
      </c>
      <c r="E1311" s="1" t="str">
        <f ca="1">IFERROR(__xludf.DUMMYFUNCTION("""COMPUTED_VALUE"""),"Turkiye")</f>
        <v>Turkiye</v>
      </c>
      <c r="F1311" s="1" t="str">
        <f ca="1">IFERROR(__xludf.DUMMYFUNCTION("""COMPUTED_VALUE"""),"109.24 Türkiye")</f>
        <v>109.24 Türkiye</v>
      </c>
      <c r="G1311" s="1" t="str">
        <f ca="1">IFERROR(__xludf.DUMMYFUNCTION("""COMPUTED_VALUE"""),"Human Rights Defenders, Individuals At Risk")</f>
        <v>Human Rights Defenders, Individuals At Risk</v>
      </c>
      <c r="H1311" s="1" t="str">
        <f ca="1">IFERROR(__xludf.DUMMYFUNCTION("""COMPUTED_VALUE"""),"2024")</f>
        <v>2024</v>
      </c>
      <c r="I1311" s="1" t="str">
        <f ca="1">IFERROR(__xludf.DUMMYFUNCTION("""COMPUTED_VALUE"""),"Email")</f>
        <v>Email</v>
      </c>
    </row>
    <row r="1312" spans="1:9" ht="13" x14ac:dyDescent="0.15">
      <c r="A1312" s="9">
        <f ca="1">IFERROR(__xludf.DUMMYFUNCTION("""COMPUTED_VALUE"""),120113464)</f>
        <v>120113464</v>
      </c>
      <c r="B1312" s="1" t="str">
        <f ca="1">IFERROR(__xludf.DUMMYFUNCTION("""COMPUTED_VALUE"""),"jagsingh@comcast.net")</f>
        <v>jagsingh@comcast.net</v>
      </c>
      <c r="C1312" s="9" t="str">
        <f ca="1">IFERROR(__xludf.DUMMYFUNCTION("""COMPUTED_VALUE"""),"EVERGREEN - UAN Gated Content - Embedded Petition")</f>
        <v>EVERGREEN - UAN Gated Content - Embedded Petition</v>
      </c>
      <c r="D1312" s="10">
        <f ca="1">IFERROR(__xludf.DUMMYFUNCTION("""COMPUTED_VALUE"""),45635)</f>
        <v>45635</v>
      </c>
      <c r="E1312" s="1" t="str">
        <f ca="1">IFERROR(__xludf.DUMMYFUNCTION("""COMPUTED_VALUE"""),"Venezuela")</f>
        <v>Venezuela</v>
      </c>
      <c r="F1312" s="1" t="str">
        <f ca="1">IFERROR(__xludf.DUMMYFUNCTION("""COMPUTED_VALUE"""),"97.24 Venezuela")</f>
        <v>97.24 Venezuela</v>
      </c>
      <c r="G1312" s="1" t="str">
        <f ca="1">IFERROR(__xludf.DUMMYFUNCTION("""COMPUTED_VALUE"""),"Freedom of Expression")</f>
        <v>Freedom of Expression</v>
      </c>
      <c r="H1312" s="1" t="str">
        <f ca="1">IFERROR(__xludf.DUMMYFUNCTION("""COMPUTED_VALUE"""),"2024")</f>
        <v>2024</v>
      </c>
      <c r="I1312" s="1" t="str">
        <f ca="1">IFERROR(__xludf.DUMMYFUNCTION("""COMPUTED_VALUE"""),"Letter")</f>
        <v>Letter</v>
      </c>
    </row>
    <row r="1313" spans="1:9" ht="13" x14ac:dyDescent="0.15">
      <c r="A1313" s="9">
        <f ca="1">IFERROR(__xludf.DUMMYFUNCTION("""COMPUTED_VALUE"""),120113464)</f>
        <v>120113464</v>
      </c>
      <c r="B1313" s="1" t="str">
        <f ca="1">IFERROR(__xludf.DUMMYFUNCTION("""COMPUTED_VALUE"""),"jagsingh@comcast.net")</f>
        <v>jagsingh@comcast.net</v>
      </c>
      <c r="C1313" s="9" t="str">
        <f ca="1">IFERROR(__xludf.DUMMYFUNCTION("""COMPUTED_VALUE"""),"EVERGREEN - UAN Gated Content - Embedded Petition")</f>
        <v>EVERGREEN - UAN Gated Content - Embedded Petition</v>
      </c>
      <c r="D1313" s="10">
        <f ca="1">IFERROR(__xludf.DUMMYFUNCTION("""COMPUTED_VALUE"""),45630)</f>
        <v>45630</v>
      </c>
      <c r="E1313" s="1" t="str">
        <f ca="1">IFERROR(__xludf.DUMMYFUNCTION("""COMPUTED_VALUE"""),"Tunisia")</f>
        <v>Tunisia</v>
      </c>
      <c r="F1313" s="1" t="str">
        <f ca="1">IFERROR(__xludf.DUMMYFUNCTION("""COMPUTED_VALUE"""),"Second 76.24 Tunisia")</f>
        <v>Second 76.24 Tunisia</v>
      </c>
      <c r="G1313" s="1" t="str">
        <f ca="1">IFERROR(__xludf.DUMMYFUNCTION("""COMPUTED_VALUE"""),"Freedom of Expression, Human Rights Defenders")</f>
        <v>Freedom of Expression, Human Rights Defenders</v>
      </c>
      <c r="H1313" s="1" t="str">
        <f ca="1">IFERROR(__xludf.DUMMYFUNCTION("""COMPUTED_VALUE"""),"2025")</f>
        <v>2025</v>
      </c>
      <c r="I1313" s="1" t="str">
        <f ca="1">IFERROR(__xludf.DUMMYFUNCTION("""COMPUTED_VALUE"""),"Email")</f>
        <v>Email</v>
      </c>
    </row>
    <row r="1314" spans="1:9" ht="13" x14ac:dyDescent="0.15">
      <c r="A1314" s="9">
        <f ca="1">IFERROR(__xludf.DUMMYFUNCTION("""COMPUTED_VALUE"""),120113464)</f>
        <v>120113464</v>
      </c>
      <c r="B1314" s="1" t="str">
        <f ca="1">IFERROR(__xludf.DUMMYFUNCTION("""COMPUTED_VALUE"""),"jagsingh@comcast.net")</f>
        <v>jagsingh@comcast.net</v>
      </c>
      <c r="C1314" s="9" t="str">
        <f ca="1">IFERROR(__xludf.DUMMYFUNCTION("""COMPUTED_VALUE"""),"EVERGREEN - UAN Gated Content - Embedded Petition")</f>
        <v>EVERGREEN - UAN Gated Content - Embedded Petition</v>
      </c>
      <c r="D1314" s="10">
        <f ca="1">IFERROR(__xludf.DUMMYFUNCTION("""COMPUTED_VALUE"""),45642)</f>
        <v>45642</v>
      </c>
      <c r="E1314" s="1" t="str">
        <f ca="1">IFERROR(__xludf.DUMMYFUNCTION("""COMPUTED_VALUE"""),"Venezuela")</f>
        <v>Venezuela</v>
      </c>
      <c r="F1314" s="1" t="str">
        <f ca="1">IFERROR(__xludf.DUMMYFUNCTION("""COMPUTED_VALUE"""),"1.25 Venezuela")</f>
        <v>1.25 Venezuela</v>
      </c>
      <c r="G1314" s="1" t="str">
        <f ca="1">IFERROR(__xludf.DUMMYFUNCTION("""COMPUTED_VALUE"""),"Human Rights Defenders, Individuals At Risk")</f>
        <v>Human Rights Defenders, Individuals At Risk</v>
      </c>
      <c r="H1314" s="1" t="str">
        <f ca="1">IFERROR(__xludf.DUMMYFUNCTION("""COMPUTED_VALUE"""),"2025")</f>
        <v>2025</v>
      </c>
      <c r="I1314" s="1" t="str">
        <f ca="1">IFERROR(__xludf.DUMMYFUNCTION("""COMPUTED_VALUE"""),"Letter")</f>
        <v>Letter</v>
      </c>
    </row>
    <row r="1315" spans="1:9" ht="13" x14ac:dyDescent="0.15">
      <c r="A1315" s="9">
        <f ca="1">IFERROR(__xludf.DUMMYFUNCTION("""COMPUTED_VALUE"""),120113464)</f>
        <v>120113464</v>
      </c>
      <c r="B1315" s="1" t="str">
        <f ca="1">IFERROR(__xludf.DUMMYFUNCTION("""COMPUTED_VALUE"""),"jagsingh@comcast.net")</f>
        <v>jagsingh@comcast.net</v>
      </c>
      <c r="C1315" s="9" t="str">
        <f ca="1">IFERROR(__xludf.DUMMYFUNCTION("""COMPUTED_VALUE"""),"EVERGREEN - UAN Gated Content - Embedded Petition")</f>
        <v>EVERGREEN - UAN Gated Content - Embedded Petition</v>
      </c>
      <c r="D1315" s="10">
        <f ca="1">IFERROR(__xludf.DUMMYFUNCTION("""COMPUTED_VALUE"""),45679)</f>
        <v>45679</v>
      </c>
      <c r="E1315" s="1" t="str">
        <f ca="1">IFERROR(__xludf.DUMMYFUNCTION("""COMPUTED_VALUE"""),"Tunisia")</f>
        <v>Tunisia</v>
      </c>
      <c r="F1315" s="1" t="str">
        <f ca="1">IFERROR(__xludf.DUMMYFUNCTION("""COMPUTED_VALUE"""),"Second 76.24 Tunisia")</f>
        <v>Second 76.24 Tunisia</v>
      </c>
      <c r="G1315" s="1" t="str">
        <f ca="1">IFERROR(__xludf.DUMMYFUNCTION("""COMPUTED_VALUE"""),"Freedom of Expression, Human Rights Defenders")</f>
        <v>Freedom of Expression, Human Rights Defenders</v>
      </c>
      <c r="H1315" s="1" t="str">
        <f ca="1">IFERROR(__xludf.DUMMYFUNCTION("""COMPUTED_VALUE"""),"2025")</f>
        <v>2025</v>
      </c>
      <c r="I1315" s="1" t="str">
        <f ca="1">IFERROR(__xludf.DUMMYFUNCTION("""COMPUTED_VALUE"""),"Email")</f>
        <v>Email</v>
      </c>
    </row>
    <row r="1316" spans="1:9" ht="13" x14ac:dyDescent="0.15">
      <c r="A1316" s="9">
        <f ca="1">IFERROR(__xludf.DUMMYFUNCTION("""COMPUTED_VALUE"""),120113464)</f>
        <v>120113464</v>
      </c>
      <c r="B1316" s="1" t="str">
        <f ca="1">IFERROR(__xludf.DUMMYFUNCTION("""COMPUTED_VALUE"""),"jagsingh@comcast.net")</f>
        <v>jagsingh@comcast.net</v>
      </c>
      <c r="C1316" s="9" t="str">
        <f ca="1">IFERROR(__xludf.DUMMYFUNCTION("""COMPUTED_VALUE"""),"EVERGREEN - UAN Gated Content - Embedded Petition")</f>
        <v>EVERGREEN - UAN Gated Content - Embedded Petition</v>
      </c>
      <c r="D1316" s="10">
        <f ca="1">IFERROR(__xludf.DUMMYFUNCTION("""COMPUTED_VALUE"""),45658)</f>
        <v>45658</v>
      </c>
      <c r="E1316" s="1" t="str">
        <f ca="1">IFERROR(__xludf.DUMMYFUNCTION("""COMPUTED_VALUE"""),"USA")</f>
        <v>USA</v>
      </c>
      <c r="F1316" s="1" t="str">
        <f ca="1">IFERROR(__xludf.DUMMYFUNCTION("""COMPUTED_VALUE"""),"4.25 USA")</f>
        <v>4.25 USA</v>
      </c>
      <c r="G1316" s="1" t="str">
        <f ca="1">IFERROR(__xludf.DUMMYFUNCTION("""COMPUTED_VALUE"""),"Individuals At Risk, Refugee and Migrant Rights")</f>
        <v>Individuals At Risk, Refugee and Migrant Rights</v>
      </c>
      <c r="H1316" s="1" t="str">
        <f ca="1">IFERROR(__xludf.DUMMYFUNCTION("""COMPUTED_VALUE"""),"2025")</f>
        <v>2025</v>
      </c>
      <c r="I1316" s="1" t="str">
        <f ca="1">IFERROR(__xludf.DUMMYFUNCTION("""COMPUTED_VALUE"""),"Letter")</f>
        <v>Letter</v>
      </c>
    </row>
    <row r="1317" spans="1:9" ht="13" x14ac:dyDescent="0.15">
      <c r="A1317" s="9">
        <f ca="1">IFERROR(__xludf.DUMMYFUNCTION("""COMPUTED_VALUE"""),120113464)</f>
        <v>120113464</v>
      </c>
      <c r="B1317" s="1" t="str">
        <f ca="1">IFERROR(__xludf.DUMMYFUNCTION("""COMPUTED_VALUE"""),"jagsingh@comcast.net")</f>
        <v>jagsingh@comcast.net</v>
      </c>
      <c r="C1317" s="9" t="str">
        <f ca="1">IFERROR(__xludf.DUMMYFUNCTION("""COMPUTED_VALUE"""),"EVERGREEN - UAN Gated Content - Embedded Petition")</f>
        <v>EVERGREEN - UAN Gated Content - Embedded Petition</v>
      </c>
      <c r="D1317" s="10">
        <f ca="1">IFERROR(__xludf.DUMMYFUNCTION("""COMPUTED_VALUE"""),45659)</f>
        <v>45659</v>
      </c>
      <c r="E1317" s="1" t="str">
        <f ca="1">IFERROR(__xludf.DUMMYFUNCTION("""COMPUTED_VALUE"""),"USA")</f>
        <v>USA</v>
      </c>
      <c r="F1317" s="1" t="str">
        <f ca="1">IFERROR(__xludf.DUMMYFUNCTION("""COMPUTED_VALUE"""),"4.25 USA")</f>
        <v>4.25 USA</v>
      </c>
      <c r="G1317" s="1" t="str">
        <f ca="1">IFERROR(__xludf.DUMMYFUNCTION("""COMPUTED_VALUE"""),"Individuals At Risk, Refugee and Migrant Rights")</f>
        <v>Individuals At Risk, Refugee and Migrant Rights</v>
      </c>
      <c r="H1317" s="1" t="str">
        <f ca="1">IFERROR(__xludf.DUMMYFUNCTION("""COMPUTED_VALUE"""),"2025")</f>
        <v>2025</v>
      </c>
      <c r="I1317" s="1" t="str">
        <f ca="1">IFERROR(__xludf.DUMMYFUNCTION("""COMPUTED_VALUE"""),"Letter")</f>
        <v>Letter</v>
      </c>
    </row>
    <row r="1318" spans="1:9" ht="13" x14ac:dyDescent="0.15">
      <c r="A1318" s="9">
        <f ca="1">IFERROR(__xludf.DUMMYFUNCTION("""COMPUTED_VALUE"""),120113464)</f>
        <v>120113464</v>
      </c>
      <c r="B1318" s="1" t="str">
        <f ca="1">IFERROR(__xludf.DUMMYFUNCTION("""COMPUTED_VALUE"""),"jagsingh@comcast.net")</f>
        <v>jagsingh@comcast.net</v>
      </c>
      <c r="C1318" s="9" t="str">
        <f ca="1">IFERROR(__xludf.DUMMYFUNCTION("""COMPUTED_VALUE"""),"EVERGREEN - UAN Gated Content - Embedded Petition")</f>
        <v>EVERGREEN - UAN Gated Content - Embedded Petition</v>
      </c>
      <c r="D1318" s="10">
        <f ca="1">IFERROR(__xludf.DUMMYFUNCTION("""COMPUTED_VALUE"""),45664)</f>
        <v>45664</v>
      </c>
      <c r="E1318" s="1" t="str">
        <f ca="1">IFERROR(__xludf.DUMMYFUNCTION("""COMPUTED_VALUE"""),"Tunisia")</f>
        <v>Tunisia</v>
      </c>
      <c r="F1318" s="1" t="str">
        <f ca="1">IFERROR(__xludf.DUMMYFUNCTION("""COMPUTED_VALUE"""),"Second 76.24 Tunisia")</f>
        <v>Second 76.24 Tunisia</v>
      </c>
      <c r="G1318" s="1" t="str">
        <f ca="1">IFERROR(__xludf.DUMMYFUNCTION("""COMPUTED_VALUE"""),"Freedom of Expression, Human Rights Defenders")</f>
        <v>Freedom of Expression, Human Rights Defenders</v>
      </c>
      <c r="H1318" s="1" t="str">
        <f ca="1">IFERROR(__xludf.DUMMYFUNCTION("""COMPUTED_VALUE"""),"2025")</f>
        <v>2025</v>
      </c>
      <c r="I1318" s="1" t="str">
        <f ca="1">IFERROR(__xludf.DUMMYFUNCTION("""COMPUTED_VALUE"""),"Email")</f>
        <v>Email</v>
      </c>
    </row>
    <row r="1319" spans="1:9" ht="13" x14ac:dyDescent="0.15">
      <c r="A1319" s="9">
        <f ca="1">IFERROR(__xludf.DUMMYFUNCTION("""COMPUTED_VALUE"""),120113464)</f>
        <v>120113464</v>
      </c>
      <c r="B1319" s="1" t="str">
        <f ca="1">IFERROR(__xludf.DUMMYFUNCTION("""COMPUTED_VALUE"""),"jagsingh@comcast.net")</f>
        <v>jagsingh@comcast.net</v>
      </c>
      <c r="C1319" s="9" t="str">
        <f ca="1">IFERROR(__xludf.DUMMYFUNCTION("""COMPUTED_VALUE"""),"EVERGREEN - UAN Gated Content - Embedded Petition")</f>
        <v>EVERGREEN - UAN Gated Content - Embedded Petition</v>
      </c>
      <c r="D1319" s="10">
        <f ca="1">IFERROR(__xludf.DUMMYFUNCTION("""COMPUTED_VALUE"""),45665)</f>
        <v>45665</v>
      </c>
      <c r="E1319" s="1" t="str">
        <f ca="1">IFERROR(__xludf.DUMMYFUNCTION("""COMPUTED_VALUE"""),"USA")</f>
        <v>USA</v>
      </c>
      <c r="F1319" s="1" t="str">
        <f ca="1">IFERROR(__xludf.DUMMYFUNCTION("""COMPUTED_VALUE"""),"4.25 USA")</f>
        <v>4.25 USA</v>
      </c>
      <c r="G1319" s="1" t="str">
        <f ca="1">IFERROR(__xludf.DUMMYFUNCTION("""COMPUTED_VALUE"""),"Individuals At Risk, Refugee and Migrant Rights")</f>
        <v>Individuals At Risk, Refugee and Migrant Rights</v>
      </c>
      <c r="H1319" s="1" t="str">
        <f ca="1">IFERROR(__xludf.DUMMYFUNCTION("""COMPUTED_VALUE"""),"2025")</f>
        <v>2025</v>
      </c>
      <c r="I1319" s="1" t="str">
        <f ca="1">IFERROR(__xludf.DUMMYFUNCTION("""COMPUTED_VALUE"""),"Letter")</f>
        <v>Letter</v>
      </c>
    </row>
    <row r="1320" spans="1:9" ht="13" x14ac:dyDescent="0.15">
      <c r="A1320" s="9">
        <f ca="1">IFERROR(__xludf.DUMMYFUNCTION("""COMPUTED_VALUE"""),120113464)</f>
        <v>120113464</v>
      </c>
      <c r="B1320" s="1" t="str">
        <f ca="1">IFERROR(__xludf.DUMMYFUNCTION("""COMPUTED_VALUE"""),"jagsingh@comcast.net")</f>
        <v>jagsingh@comcast.net</v>
      </c>
      <c r="C1320" s="9" t="str">
        <f ca="1">IFERROR(__xludf.DUMMYFUNCTION("""COMPUTED_VALUE"""),"EVERGREEN - UAN Gated Content - Embedded Petition")</f>
        <v>EVERGREEN - UAN Gated Content - Embedded Petition</v>
      </c>
      <c r="D1320" s="10">
        <f ca="1">IFERROR(__xludf.DUMMYFUNCTION("""COMPUTED_VALUE"""),45667)</f>
        <v>45667</v>
      </c>
      <c r="E1320" s="1" t="str">
        <f ca="1">IFERROR(__xludf.DUMMYFUNCTION("""COMPUTED_VALUE"""),"Iran")</f>
        <v>Iran</v>
      </c>
      <c r="F1320" s="1" t="str">
        <f ca="1">IFERROR(__xludf.DUMMYFUNCTION("""COMPUTED_VALUE"""),"10.25 Iran")</f>
        <v>10.25 Iran</v>
      </c>
      <c r="G1320" s="1" t="str">
        <f ca="1">IFERROR(__xludf.DUMMYFUNCTION("""COMPUTED_VALUE"""),"Death Penalty, Individuals At Risk")</f>
        <v>Death Penalty, Individuals At Risk</v>
      </c>
      <c r="H1320" s="1" t="str">
        <f ca="1">IFERROR(__xludf.DUMMYFUNCTION("""COMPUTED_VALUE"""),"2025")</f>
        <v>2025</v>
      </c>
      <c r="I1320" s="1" t="str">
        <f ca="1">IFERROR(__xludf.DUMMYFUNCTION("""COMPUTED_VALUE"""),"Email")</f>
        <v>Email</v>
      </c>
    </row>
    <row r="1321" spans="1:9" ht="13" x14ac:dyDescent="0.15">
      <c r="A1321" s="9">
        <f ca="1">IFERROR(__xludf.DUMMYFUNCTION("""COMPUTED_VALUE"""),120113464)</f>
        <v>120113464</v>
      </c>
      <c r="B1321" s="1" t="str">
        <f ca="1">IFERROR(__xludf.DUMMYFUNCTION("""COMPUTED_VALUE"""),"jagsingh@comcast.net")</f>
        <v>jagsingh@comcast.net</v>
      </c>
      <c r="C1321" s="9" t="str">
        <f ca="1">IFERROR(__xludf.DUMMYFUNCTION("""COMPUTED_VALUE"""),"EVERGREEN - UAN Gated Content - Embedded Petition")</f>
        <v>EVERGREEN - UAN Gated Content - Embedded Petition</v>
      </c>
      <c r="D1321" s="10">
        <f ca="1">IFERROR(__xludf.DUMMYFUNCTION("""COMPUTED_VALUE"""),45667)</f>
        <v>45667</v>
      </c>
      <c r="E1321" s="1" t="str">
        <f ca="1">IFERROR(__xludf.DUMMYFUNCTION("""COMPUTED_VALUE"""),"Saudi Arabia")</f>
        <v>Saudi Arabia</v>
      </c>
      <c r="F1321" s="1" t="str">
        <f ca="1">IFERROR(__xludf.DUMMYFUNCTION("""COMPUTED_VALUE"""),"Fifth 257.12")</f>
        <v>Fifth 257.12</v>
      </c>
      <c r="G1321" s="1" t="str">
        <f ca="1">IFERROR(__xludf.DUMMYFUNCTION("""COMPUTED_VALUE"""),"Freedom of Expression, Human Rights Defenders")</f>
        <v>Freedom of Expression, Human Rights Defenders</v>
      </c>
      <c r="H1321" s="1" t="str">
        <f ca="1">IFERROR(__xludf.DUMMYFUNCTION("""COMPUTED_VALUE"""),"2025")</f>
        <v>2025</v>
      </c>
      <c r="I1321" s="1" t="str">
        <f ca="1">IFERROR(__xludf.DUMMYFUNCTION("""COMPUTED_VALUE"""),"Email")</f>
        <v>Email</v>
      </c>
    </row>
    <row r="1322" spans="1:9" ht="13" x14ac:dyDescent="0.15">
      <c r="A1322" s="9">
        <f ca="1">IFERROR(__xludf.DUMMYFUNCTION("""COMPUTED_VALUE"""),120113464)</f>
        <v>120113464</v>
      </c>
      <c r="B1322" s="1" t="str">
        <f ca="1">IFERROR(__xludf.DUMMYFUNCTION("""COMPUTED_VALUE"""),"jagsingh@comcast.net")</f>
        <v>jagsingh@comcast.net</v>
      </c>
      <c r="C1322" s="9" t="str">
        <f ca="1">IFERROR(__xludf.DUMMYFUNCTION("""COMPUTED_VALUE"""),"EVERGREEN - UAN Gated Content - Embedded Petition")</f>
        <v>EVERGREEN - UAN Gated Content - Embedded Petition</v>
      </c>
      <c r="D1322" s="10">
        <f ca="1">IFERROR(__xludf.DUMMYFUNCTION("""COMPUTED_VALUE"""),45636)</f>
        <v>45636</v>
      </c>
      <c r="E1322" s="1" t="str">
        <f ca="1">IFERROR(__xludf.DUMMYFUNCTION("""COMPUTED_VALUE"""),"Libya")</f>
        <v>Libya</v>
      </c>
      <c r="F1322" s="1" t="str">
        <f ca="1">IFERROR(__xludf.DUMMYFUNCTION("""COMPUTED_VALUE"""),"12.25 Libya")</f>
        <v>12.25 Libya</v>
      </c>
      <c r="G1322" s="1" t="str">
        <f ca="1">IFERROR(__xludf.DUMMYFUNCTION("""COMPUTED_VALUE"""),"Freedom of Expression, Health, Individuals At Risk")</f>
        <v>Freedom of Expression, Health, Individuals At Risk</v>
      </c>
      <c r="H1322" s="1" t="str">
        <f ca="1">IFERROR(__xludf.DUMMYFUNCTION("""COMPUTED_VALUE"""),"2025")</f>
        <v>2025</v>
      </c>
      <c r="I1322" s="1" t="str">
        <f ca="1">IFERROR(__xludf.DUMMYFUNCTION("""COMPUTED_VALUE"""),"Email")</f>
        <v>Email</v>
      </c>
    </row>
    <row r="1323" spans="1:9" ht="13" x14ac:dyDescent="0.15">
      <c r="A1323" s="9">
        <f ca="1">IFERROR(__xludf.DUMMYFUNCTION("""COMPUTED_VALUE"""),120113464)</f>
        <v>120113464</v>
      </c>
      <c r="B1323" s="1" t="str">
        <f ca="1">IFERROR(__xludf.DUMMYFUNCTION("""COMPUTED_VALUE"""),"jagsingh@comcast.net")</f>
        <v>jagsingh@comcast.net</v>
      </c>
      <c r="C1323" s="9" t="str">
        <f ca="1">IFERROR(__xludf.DUMMYFUNCTION("""COMPUTED_VALUE"""),"EVERGREEN - UAN Gated Content - Embedded Petition")</f>
        <v>EVERGREEN - UAN Gated Content - Embedded Petition</v>
      </c>
      <c r="D1323" s="10">
        <f ca="1">IFERROR(__xludf.DUMMYFUNCTION("""COMPUTED_VALUE"""),45672)</f>
        <v>45672</v>
      </c>
      <c r="E1323" s="1" t="str">
        <f ca="1">IFERROR(__xludf.DUMMYFUNCTION("""COMPUTED_VALUE"""),"Tunisia")</f>
        <v>Tunisia</v>
      </c>
      <c r="F1323" s="1" t="str">
        <f ca="1">IFERROR(__xludf.DUMMYFUNCTION("""COMPUTED_VALUE"""),"Second 76.24 Tunisia")</f>
        <v>Second 76.24 Tunisia</v>
      </c>
      <c r="G1323" s="1" t="str">
        <f ca="1">IFERROR(__xludf.DUMMYFUNCTION("""COMPUTED_VALUE"""),"Freedom of Expression, Human Rights Defenders")</f>
        <v>Freedom of Expression, Human Rights Defenders</v>
      </c>
      <c r="H1323" s="1" t="str">
        <f ca="1">IFERROR(__xludf.DUMMYFUNCTION("""COMPUTED_VALUE"""),"2025")</f>
        <v>2025</v>
      </c>
      <c r="I1323" s="1" t="str">
        <f ca="1">IFERROR(__xludf.DUMMYFUNCTION("""COMPUTED_VALUE"""),"Email")</f>
        <v>Email</v>
      </c>
    </row>
    <row r="1324" spans="1:9" ht="13" x14ac:dyDescent="0.15">
      <c r="A1324" s="9">
        <f ca="1">IFERROR(__xludf.DUMMYFUNCTION("""COMPUTED_VALUE"""),120113464)</f>
        <v>120113464</v>
      </c>
      <c r="B1324" s="1" t="str">
        <f ca="1">IFERROR(__xludf.DUMMYFUNCTION("""COMPUTED_VALUE"""),"jagsingh@comcast.net")</f>
        <v>jagsingh@comcast.net</v>
      </c>
      <c r="C1324" s="9" t="str">
        <f ca="1">IFERROR(__xludf.DUMMYFUNCTION("""COMPUTED_VALUE"""),"EVERGREEN - UAN Gated Content - Embedded Petition")</f>
        <v>EVERGREEN - UAN Gated Content - Embedded Petition</v>
      </c>
      <c r="D1324" s="10">
        <f ca="1">IFERROR(__xludf.DUMMYFUNCTION("""COMPUTED_VALUE"""),45637)</f>
        <v>45637</v>
      </c>
      <c r="E1324" s="1" t="str">
        <f ca="1">IFERROR(__xludf.DUMMYFUNCTION("""COMPUTED_VALUE"""),"Tunisia")</f>
        <v>Tunisia</v>
      </c>
      <c r="F1324" s="1" t="str">
        <f ca="1">IFERROR(__xludf.DUMMYFUNCTION("""COMPUTED_VALUE"""),"Second 76.24 Tunisia")</f>
        <v>Second 76.24 Tunisia</v>
      </c>
      <c r="G1324" s="1" t="str">
        <f ca="1">IFERROR(__xludf.DUMMYFUNCTION("""COMPUTED_VALUE"""),"Freedom of Expression, Human Rights Defenders")</f>
        <v>Freedom of Expression, Human Rights Defenders</v>
      </c>
      <c r="H1324" s="1" t="str">
        <f ca="1">IFERROR(__xludf.DUMMYFUNCTION("""COMPUTED_VALUE"""),"2025")</f>
        <v>2025</v>
      </c>
      <c r="I1324" s="1" t="str">
        <f ca="1">IFERROR(__xludf.DUMMYFUNCTION("""COMPUTED_VALUE"""),"Email")</f>
        <v>Email</v>
      </c>
    </row>
    <row r="1325" spans="1:9" ht="13" x14ac:dyDescent="0.15">
      <c r="A1325" s="9">
        <f ca="1">IFERROR(__xludf.DUMMYFUNCTION("""COMPUTED_VALUE"""),120113464)</f>
        <v>120113464</v>
      </c>
      <c r="B1325" s="1" t="str">
        <f ca="1">IFERROR(__xludf.DUMMYFUNCTION("""COMPUTED_VALUE"""),"jagsingh@comcast.net")</f>
        <v>jagsingh@comcast.net</v>
      </c>
      <c r="C1325" s="9" t="str">
        <f ca="1">IFERROR(__xludf.DUMMYFUNCTION("""COMPUTED_VALUE"""),"EVERGREEN - UAN Gated Content - Embedded Petition")</f>
        <v>EVERGREEN - UAN Gated Content - Embedded Petition</v>
      </c>
      <c r="D1325" s="10">
        <f ca="1">IFERROR(__xludf.DUMMYFUNCTION("""COMPUTED_VALUE"""),45637)</f>
        <v>45637</v>
      </c>
      <c r="E1325" s="1" t="str">
        <f ca="1">IFERROR(__xludf.DUMMYFUNCTION("""COMPUTED_VALUE"""),"USA")</f>
        <v>USA</v>
      </c>
      <c r="F1325" s="1" t="str">
        <f ca="1">IFERROR(__xludf.DUMMYFUNCTION("""COMPUTED_VALUE"""),"4.25 USA")</f>
        <v>4.25 USA</v>
      </c>
      <c r="G1325" s="1" t="str">
        <f ca="1">IFERROR(__xludf.DUMMYFUNCTION("""COMPUTED_VALUE"""),"Individuals At Risk, Refugee and Migrant Rights")</f>
        <v>Individuals At Risk, Refugee and Migrant Rights</v>
      </c>
      <c r="H1325" s="1" t="str">
        <f ca="1">IFERROR(__xludf.DUMMYFUNCTION("""COMPUTED_VALUE"""),"2025")</f>
        <v>2025</v>
      </c>
      <c r="I1325" s="1" t="str">
        <f ca="1">IFERROR(__xludf.DUMMYFUNCTION("""COMPUTED_VALUE"""),"Letter")</f>
        <v>Letter</v>
      </c>
    </row>
    <row r="1326" spans="1:9" ht="13" x14ac:dyDescent="0.15">
      <c r="A1326" s="9">
        <f ca="1">IFERROR(__xludf.DUMMYFUNCTION("""COMPUTED_VALUE"""),120113464)</f>
        <v>120113464</v>
      </c>
      <c r="B1326" s="1" t="str">
        <f ca="1">IFERROR(__xludf.DUMMYFUNCTION("""COMPUTED_VALUE"""),"jagsingh@comcast.net")</f>
        <v>jagsingh@comcast.net</v>
      </c>
      <c r="C1326" s="9" t="str">
        <f ca="1">IFERROR(__xludf.DUMMYFUNCTION("""COMPUTED_VALUE"""),"EVERGREEN - UAN Gated Content - Embedded Petition")</f>
        <v>EVERGREEN - UAN Gated Content - Embedded Petition</v>
      </c>
      <c r="D1326" s="10">
        <f ca="1">IFERROR(__xludf.DUMMYFUNCTION("""COMPUTED_VALUE"""),45640)</f>
        <v>45640</v>
      </c>
      <c r="E1326" s="1" t="str">
        <f ca="1">IFERROR(__xludf.DUMMYFUNCTION("""COMPUTED_VALUE"""),"Iran")</f>
        <v>Iran</v>
      </c>
      <c r="F1326" s="1" t="str">
        <f ca="1">IFERROR(__xludf.DUMMYFUNCTION("""COMPUTED_VALUE"""),"Seventh 103.22 Iran")</f>
        <v>Seventh 103.22 Iran</v>
      </c>
      <c r="G1326" s="1" t="str">
        <f ca="1">IFERROR(__xludf.DUMMYFUNCTION("""COMPUTED_VALUE"""),"Death Penalty, Freedom of Expression, Individuals At Risk")</f>
        <v>Death Penalty, Freedom of Expression, Individuals At Risk</v>
      </c>
      <c r="H1326" s="1" t="str">
        <f ca="1">IFERROR(__xludf.DUMMYFUNCTION("""COMPUTED_VALUE"""),"2024")</f>
        <v>2024</v>
      </c>
      <c r="I1326" s="1" t="str">
        <f ca="1">IFERROR(__xludf.DUMMYFUNCTION("""COMPUTED_VALUE"""),"Email")</f>
        <v>Email</v>
      </c>
    </row>
    <row r="1327" spans="1:9" ht="13" x14ac:dyDescent="0.15">
      <c r="A1327" s="9">
        <f ca="1">IFERROR(__xludf.DUMMYFUNCTION("""COMPUTED_VALUE"""),120113464)</f>
        <v>120113464</v>
      </c>
      <c r="B1327" s="1" t="str">
        <f ca="1">IFERROR(__xludf.DUMMYFUNCTION("""COMPUTED_VALUE"""),"jagsingh@comcast.net")</f>
        <v>jagsingh@comcast.net</v>
      </c>
      <c r="C1327" s="9" t="str">
        <f ca="1">IFERROR(__xludf.DUMMYFUNCTION("""COMPUTED_VALUE"""),"EVERGREEN - UAN Gated Content - Embedded Petition")</f>
        <v>EVERGREEN - UAN Gated Content - Embedded Petition</v>
      </c>
      <c r="D1327" s="10">
        <f ca="1">IFERROR(__xludf.DUMMYFUNCTION("""COMPUTED_VALUE"""),45640)</f>
        <v>45640</v>
      </c>
      <c r="E1327" s="1" t="str">
        <f ca="1">IFERROR(__xludf.DUMMYFUNCTION("""COMPUTED_VALUE"""),"Israel and Occupied Palestinian Territories")</f>
        <v>Israel and Occupied Palestinian Territories</v>
      </c>
      <c r="F1327" s="1" t="str">
        <f ca="1">IFERROR(__xludf.DUMMYFUNCTION("""COMPUTED_VALUE"""),"3.25 IOPT")</f>
        <v>3.25 IOPT</v>
      </c>
      <c r="G1327" s="1" t="str">
        <f ca="1">IFERROR(__xludf.DUMMYFUNCTION("""COMPUTED_VALUE"""),"Freedom of Expression, Individuals At Risk")</f>
        <v>Freedom of Expression, Individuals At Risk</v>
      </c>
      <c r="H1327" s="1" t="str">
        <f ca="1">IFERROR(__xludf.DUMMYFUNCTION("""COMPUTED_VALUE"""),"2025")</f>
        <v>2025</v>
      </c>
      <c r="I1327" s="1" t="str">
        <f ca="1">IFERROR(__xludf.DUMMYFUNCTION("""COMPUTED_VALUE"""),"Email")</f>
        <v>Email</v>
      </c>
    </row>
    <row r="1328" spans="1:9" ht="13" x14ac:dyDescent="0.15">
      <c r="A1328" s="9">
        <f ca="1">IFERROR(__xludf.DUMMYFUNCTION("""COMPUTED_VALUE"""),120113492)</f>
        <v>120113492</v>
      </c>
      <c r="B1328" s="1" t="str">
        <f ca="1">IFERROR(__xludf.DUMMYFUNCTION("""COMPUTED_VALUE"""),"elagamytarek@yahoo.com")</f>
        <v>elagamytarek@yahoo.com</v>
      </c>
      <c r="C1328" s="9" t="str">
        <f ca="1">IFERROR(__xludf.DUMMYFUNCTION("""COMPUTED_VALUE"""),"EVERGREEN - UAN Gated Content - Embedded Petition")</f>
        <v>EVERGREEN - UAN Gated Content - Embedded Petition</v>
      </c>
      <c r="D1328" s="10">
        <f ca="1">IFERROR(__xludf.DUMMYFUNCTION("""COMPUTED_VALUE"""),45694)</f>
        <v>45694</v>
      </c>
      <c r="E1328" s="1" t="str">
        <f ca="1">IFERROR(__xludf.DUMMYFUNCTION("""COMPUTED_VALUE"""),"Tunisia")</f>
        <v>Tunisia</v>
      </c>
      <c r="F1328" s="1" t="str">
        <f ca="1">IFERROR(__xludf.DUMMYFUNCTION("""COMPUTED_VALUE"""),"Second 76.24 Tunisia")</f>
        <v>Second 76.24 Tunisia</v>
      </c>
      <c r="G1328" s="1" t="str">
        <f ca="1">IFERROR(__xludf.DUMMYFUNCTION("""COMPUTED_VALUE"""),"Freedom of Expression, Human Rights Defenders")</f>
        <v>Freedom of Expression, Human Rights Defenders</v>
      </c>
      <c r="H1328" s="1" t="str">
        <f ca="1">IFERROR(__xludf.DUMMYFUNCTION("""COMPUTED_VALUE"""),"2025")</f>
        <v>2025</v>
      </c>
      <c r="I1328" s="1" t="str">
        <f ca="1">IFERROR(__xludf.DUMMYFUNCTION("""COMPUTED_VALUE"""),"Email")</f>
        <v>Email</v>
      </c>
    </row>
    <row r="1329" spans="1:9" ht="13" x14ac:dyDescent="0.15">
      <c r="A1329" s="9">
        <f ca="1">IFERROR(__xludf.DUMMYFUNCTION("""COMPUTED_VALUE"""),120418912)</f>
        <v>120418912</v>
      </c>
      <c r="B1329" s="1" t="str">
        <f ca="1">IFERROR(__xludf.DUMMYFUNCTION("""COMPUTED_VALUE"""),"jimcorriere@yahoo.com")</f>
        <v>jimcorriere@yahoo.com</v>
      </c>
      <c r="C1329" s="9" t="str">
        <f ca="1">IFERROR(__xludf.DUMMYFUNCTION("""COMPUTED_VALUE"""),"EVERGREEN - UAN Gated Content - Embedded Petition")</f>
        <v>EVERGREEN - UAN Gated Content - Embedded Petition</v>
      </c>
      <c r="D1329" s="10">
        <f ca="1">IFERROR(__xludf.DUMMYFUNCTION("""COMPUTED_VALUE"""),45694)</f>
        <v>45694</v>
      </c>
      <c r="E1329" s="1" t="str">
        <f ca="1">IFERROR(__xludf.DUMMYFUNCTION("""COMPUTED_VALUE"""),"Tunisia")</f>
        <v>Tunisia</v>
      </c>
      <c r="F1329" s="1" t="str">
        <f ca="1">IFERROR(__xludf.DUMMYFUNCTION("""COMPUTED_VALUE"""),"Second 76.24 Tunisia")</f>
        <v>Second 76.24 Tunisia</v>
      </c>
      <c r="G1329" s="1" t="str">
        <f ca="1">IFERROR(__xludf.DUMMYFUNCTION("""COMPUTED_VALUE"""),"Freedom of Expression, Human Rights Defenders")</f>
        <v>Freedom of Expression, Human Rights Defenders</v>
      </c>
      <c r="H1329" s="1" t="str">
        <f ca="1">IFERROR(__xludf.DUMMYFUNCTION("""COMPUTED_VALUE"""),"2025")</f>
        <v>2025</v>
      </c>
      <c r="I1329" s="1" t="str">
        <f ca="1">IFERROR(__xludf.DUMMYFUNCTION("""COMPUTED_VALUE"""),"Email")</f>
        <v>Email</v>
      </c>
    </row>
    <row r="1330" spans="1:9" ht="13" x14ac:dyDescent="0.15">
      <c r="A1330" s="9">
        <f ca="1">IFERROR(__xludf.DUMMYFUNCTION("""COMPUTED_VALUE"""),120578233)</f>
        <v>120578233</v>
      </c>
      <c r="B1330" s="1" t="str">
        <f ca="1">IFERROR(__xludf.DUMMYFUNCTION("""COMPUTED_VALUE"""),"csimonian@fastmail.net")</f>
        <v>csimonian@fastmail.net</v>
      </c>
      <c r="C1330" s="9" t="str">
        <f ca="1">IFERROR(__xludf.DUMMYFUNCTION("""COMPUTED_VALUE"""),"EVERGREEN - UAN Gated Content - Embedded Petition")</f>
        <v>EVERGREEN - UAN Gated Content - Embedded Petition</v>
      </c>
      <c r="D1330" s="10">
        <f ca="1">IFERROR(__xludf.DUMMYFUNCTION("""COMPUTED_VALUE"""),45690)</f>
        <v>45690</v>
      </c>
      <c r="E1330" s="1" t="str">
        <f ca="1">IFERROR(__xludf.DUMMYFUNCTION("""COMPUTED_VALUE"""),"Venezuela")</f>
        <v>Venezuela</v>
      </c>
      <c r="F1330" s="1" t="str">
        <f ca="1">IFERROR(__xludf.DUMMYFUNCTION("""COMPUTED_VALUE"""),"1.25 Venezuela")</f>
        <v>1.25 Venezuela</v>
      </c>
      <c r="G1330" s="1" t="str">
        <f ca="1">IFERROR(__xludf.DUMMYFUNCTION("""COMPUTED_VALUE"""),"Human Rights Defenders, Individuals At Risk")</f>
        <v>Human Rights Defenders, Individuals At Risk</v>
      </c>
      <c r="H1330" s="1" t="str">
        <f ca="1">IFERROR(__xludf.DUMMYFUNCTION("""COMPUTED_VALUE"""),"2025")</f>
        <v>2025</v>
      </c>
      <c r="I1330" s="1" t="str">
        <f ca="1">IFERROR(__xludf.DUMMYFUNCTION("""COMPUTED_VALUE"""),"Letter")</f>
        <v>Letter</v>
      </c>
    </row>
    <row r="1331" spans="1:9" ht="13" x14ac:dyDescent="0.15">
      <c r="A1331" s="9">
        <f ca="1">IFERROR(__xludf.DUMMYFUNCTION("""COMPUTED_VALUE"""),120680752)</f>
        <v>120680752</v>
      </c>
      <c r="B1331" s="1" t="str">
        <f ca="1">IFERROR(__xludf.DUMMYFUNCTION("""COMPUTED_VALUE"""),"kwandawn@gmail.com")</f>
        <v>kwandawn@gmail.com</v>
      </c>
      <c r="C1331" s="9" t="str">
        <f ca="1">IFERROR(__xludf.DUMMYFUNCTION("""COMPUTED_VALUE"""),"EVERGREEN - UAN Gated Content - Embedded Petition")</f>
        <v>EVERGREEN - UAN Gated Content - Embedded Petition</v>
      </c>
      <c r="D1331" s="10">
        <f ca="1">IFERROR(__xludf.DUMMYFUNCTION("""COMPUTED_VALUE"""),45636)</f>
        <v>45636</v>
      </c>
      <c r="E1331" s="1" t="str">
        <f ca="1">IFERROR(__xludf.DUMMYFUNCTION("""COMPUTED_VALUE"""),"Tunisia")</f>
        <v>Tunisia</v>
      </c>
      <c r="F1331" s="1" t="str">
        <f ca="1">IFERROR(__xludf.DUMMYFUNCTION("""COMPUTED_VALUE"""),"Second 76.24 Tunisia")</f>
        <v>Second 76.24 Tunisia</v>
      </c>
      <c r="G1331" s="1" t="str">
        <f ca="1">IFERROR(__xludf.DUMMYFUNCTION("""COMPUTED_VALUE"""),"Freedom of Expression, Human Rights Defenders")</f>
        <v>Freedom of Expression, Human Rights Defenders</v>
      </c>
      <c r="H1331" s="1" t="str">
        <f ca="1">IFERROR(__xludf.DUMMYFUNCTION("""COMPUTED_VALUE"""),"2025")</f>
        <v>2025</v>
      </c>
      <c r="I1331" s="1" t="str">
        <f ca="1">IFERROR(__xludf.DUMMYFUNCTION("""COMPUTED_VALUE"""),"Email")</f>
        <v>Email</v>
      </c>
    </row>
    <row r="1332" spans="1:9" ht="13" x14ac:dyDescent="0.15">
      <c r="A1332" s="9">
        <f ca="1">IFERROR(__xludf.DUMMYFUNCTION("""COMPUTED_VALUE"""),120680752)</f>
        <v>120680752</v>
      </c>
      <c r="B1332" s="1" t="str">
        <f ca="1">IFERROR(__xludf.DUMMYFUNCTION("""COMPUTED_VALUE"""),"kwandawn@gmail.com")</f>
        <v>kwandawn@gmail.com</v>
      </c>
      <c r="C1332" s="9" t="str">
        <f ca="1">IFERROR(__xludf.DUMMYFUNCTION("""COMPUTED_VALUE"""),"EVERGREEN - UAN Gated Content - Embedded Petition")</f>
        <v>EVERGREEN - UAN Gated Content - Embedded Petition</v>
      </c>
      <c r="D1332" s="10">
        <f ca="1">IFERROR(__xludf.DUMMYFUNCTION("""COMPUTED_VALUE"""),45643)</f>
        <v>45643</v>
      </c>
      <c r="E1332" s="1" t="str">
        <f ca="1">IFERROR(__xludf.DUMMYFUNCTION("""COMPUTED_VALUE"""),"USA")</f>
        <v>USA</v>
      </c>
      <c r="F1332" s="1" t="str">
        <f ca="1">IFERROR(__xludf.DUMMYFUNCTION("""COMPUTED_VALUE"""),"4.25 USA")</f>
        <v>4.25 USA</v>
      </c>
      <c r="G1332" s="1" t="str">
        <f ca="1">IFERROR(__xludf.DUMMYFUNCTION("""COMPUTED_VALUE"""),"Individuals At Risk, Refugee and Migrant Rights")</f>
        <v>Individuals At Risk, Refugee and Migrant Rights</v>
      </c>
      <c r="H1332" s="1" t="str">
        <f ca="1">IFERROR(__xludf.DUMMYFUNCTION("""COMPUTED_VALUE"""),"2025")</f>
        <v>2025</v>
      </c>
      <c r="I1332" s="1" t="str">
        <f ca="1">IFERROR(__xludf.DUMMYFUNCTION("""COMPUTED_VALUE"""),"Letter")</f>
        <v>Letter</v>
      </c>
    </row>
    <row r="1333" spans="1:9" ht="13" x14ac:dyDescent="0.15">
      <c r="A1333" s="9">
        <f ca="1">IFERROR(__xludf.DUMMYFUNCTION("""COMPUTED_VALUE"""),120680752)</f>
        <v>120680752</v>
      </c>
      <c r="B1333" s="1" t="str">
        <f ca="1">IFERROR(__xludf.DUMMYFUNCTION("""COMPUTED_VALUE"""),"kwandawn@gmail.com")</f>
        <v>kwandawn@gmail.com</v>
      </c>
      <c r="C1333" s="9" t="str">
        <f ca="1">IFERROR(__xludf.DUMMYFUNCTION("""COMPUTED_VALUE"""),"EVERGREEN - UAN Gated Content - Embedded Petition")</f>
        <v>EVERGREEN - UAN Gated Content - Embedded Petition</v>
      </c>
      <c r="D1333" s="10">
        <f ca="1">IFERROR(__xludf.DUMMYFUNCTION("""COMPUTED_VALUE"""),45673)</f>
        <v>45673</v>
      </c>
      <c r="E1333" s="1" t="str">
        <f ca="1">IFERROR(__xludf.DUMMYFUNCTION("""COMPUTED_VALUE"""),"USA")</f>
        <v>USA</v>
      </c>
      <c r="F1333" s="1" t="str">
        <f ca="1">IFERROR(__xludf.DUMMYFUNCTION("""COMPUTED_VALUE"""),"4.25 USA")</f>
        <v>4.25 USA</v>
      </c>
      <c r="G1333" s="1" t="str">
        <f ca="1">IFERROR(__xludf.DUMMYFUNCTION("""COMPUTED_VALUE"""),"Individuals At Risk, Refugee and Migrant Rights")</f>
        <v>Individuals At Risk, Refugee and Migrant Rights</v>
      </c>
      <c r="H1333" s="1" t="str">
        <f ca="1">IFERROR(__xludf.DUMMYFUNCTION("""COMPUTED_VALUE"""),"2025")</f>
        <v>2025</v>
      </c>
      <c r="I1333" s="1" t="str">
        <f ca="1">IFERROR(__xludf.DUMMYFUNCTION("""COMPUTED_VALUE"""),"Letter")</f>
        <v>Letter</v>
      </c>
    </row>
    <row r="1334" spans="1:9" ht="13" x14ac:dyDescent="0.15">
      <c r="A1334" s="9">
        <f ca="1">IFERROR(__xludf.DUMMYFUNCTION("""COMPUTED_VALUE"""),121280949)</f>
        <v>121280949</v>
      </c>
      <c r="B1334" s="1" t="str">
        <f ca="1">IFERROR(__xludf.DUMMYFUNCTION("""COMPUTED_VALUE"""),"bha19@comcast.net")</f>
        <v>bha19@comcast.net</v>
      </c>
      <c r="C1334" s="9" t="str">
        <f ca="1">IFERROR(__xludf.DUMMYFUNCTION("""COMPUTED_VALUE"""),"EVERGREEN - UAN Gated Content - Embedded Petition")</f>
        <v>EVERGREEN - UAN Gated Content - Embedded Petition</v>
      </c>
      <c r="D1334" s="10">
        <f ca="1">IFERROR(__xludf.DUMMYFUNCTION("""COMPUTED_VALUE"""),45650)</f>
        <v>45650</v>
      </c>
      <c r="E1334" s="1" t="str">
        <f ca="1">IFERROR(__xludf.DUMMYFUNCTION("""COMPUTED_VALUE"""),"Tunisia")</f>
        <v>Tunisia</v>
      </c>
      <c r="F1334" s="1" t="str">
        <f ca="1">IFERROR(__xludf.DUMMYFUNCTION("""COMPUTED_VALUE"""),"Second 76.24 Tunisia")</f>
        <v>Second 76.24 Tunisia</v>
      </c>
      <c r="G1334" s="1" t="str">
        <f ca="1">IFERROR(__xludf.DUMMYFUNCTION("""COMPUTED_VALUE"""),"Freedom of Expression, Human Rights Defenders")</f>
        <v>Freedom of Expression, Human Rights Defenders</v>
      </c>
      <c r="H1334" s="1" t="str">
        <f ca="1">IFERROR(__xludf.DUMMYFUNCTION("""COMPUTED_VALUE"""),"2025")</f>
        <v>2025</v>
      </c>
      <c r="I1334" s="1" t="str">
        <f ca="1">IFERROR(__xludf.DUMMYFUNCTION("""COMPUTED_VALUE"""),"Email")</f>
        <v>Email</v>
      </c>
    </row>
    <row r="1335" spans="1:9" ht="13" x14ac:dyDescent="0.15">
      <c r="A1335" s="9">
        <f ca="1">IFERROR(__xludf.DUMMYFUNCTION("""COMPUTED_VALUE"""),121481416)</f>
        <v>121481416</v>
      </c>
      <c r="B1335" s="1" t="str">
        <f ca="1">IFERROR(__xludf.DUMMYFUNCTION("""COMPUTED_VALUE"""),"annemariesaxe@gmail.com")</f>
        <v>annemariesaxe@gmail.com</v>
      </c>
      <c r="C1335" s="9" t="str">
        <f ca="1">IFERROR(__xludf.DUMMYFUNCTION("""COMPUTED_VALUE"""),"EVERGREEN - UAN Gated Content - Embedded Petition")</f>
        <v>EVERGREEN - UAN Gated Content - Embedded Petition</v>
      </c>
      <c r="D1335" s="10">
        <f ca="1">IFERROR(__xludf.DUMMYFUNCTION("""COMPUTED_VALUE"""),45694)</f>
        <v>45694</v>
      </c>
      <c r="E1335" s="1" t="str">
        <f ca="1">IFERROR(__xludf.DUMMYFUNCTION("""COMPUTED_VALUE"""),"USA")</f>
        <v>USA</v>
      </c>
      <c r="F1335" s="1" t="str">
        <f ca="1">IFERROR(__xludf.DUMMYFUNCTION("""COMPUTED_VALUE"""),"4.25 USA")</f>
        <v>4.25 USA</v>
      </c>
      <c r="G1335" s="1" t="str">
        <f ca="1">IFERROR(__xludf.DUMMYFUNCTION("""COMPUTED_VALUE"""),"Individuals At Risk, Refugee and Migrant Rights")</f>
        <v>Individuals At Risk, Refugee and Migrant Rights</v>
      </c>
      <c r="H1335" s="1" t="str">
        <f ca="1">IFERROR(__xludf.DUMMYFUNCTION("""COMPUTED_VALUE"""),"2025")</f>
        <v>2025</v>
      </c>
      <c r="I1335" s="1" t="str">
        <f ca="1">IFERROR(__xludf.DUMMYFUNCTION("""COMPUTED_VALUE"""),"Letter")</f>
        <v>Letter</v>
      </c>
    </row>
    <row r="1336" spans="1:9" ht="13" x14ac:dyDescent="0.15">
      <c r="A1336" s="9">
        <f ca="1">IFERROR(__xludf.DUMMYFUNCTION("""COMPUTED_VALUE"""),121714432)</f>
        <v>121714432</v>
      </c>
      <c r="B1336" s="1" t="str">
        <f ca="1">IFERROR(__xludf.DUMMYFUNCTION("""COMPUTED_VALUE"""),"patience.robbins@gmail.com")</f>
        <v>patience.robbins@gmail.com</v>
      </c>
      <c r="C1336" s="9" t="str">
        <f ca="1">IFERROR(__xludf.DUMMYFUNCTION("""COMPUTED_VALUE"""),"EVERGREEN - UAN Gated Content - Embedded Petition")</f>
        <v>EVERGREEN - UAN Gated Content - Embedded Petition</v>
      </c>
      <c r="D1336" s="10">
        <f ca="1">IFERROR(__xludf.DUMMYFUNCTION("""COMPUTED_VALUE"""),45694)</f>
        <v>45694</v>
      </c>
      <c r="E1336" s="1" t="str">
        <f ca="1">IFERROR(__xludf.DUMMYFUNCTION("""COMPUTED_VALUE"""),"Iran")</f>
        <v>Iran</v>
      </c>
      <c r="F1336" s="1" t="str">
        <f ca="1">IFERROR(__xludf.DUMMYFUNCTION("""COMPUTED_VALUE"""),"Seventh 103.22 Iran")</f>
        <v>Seventh 103.22 Iran</v>
      </c>
      <c r="G1336" s="1" t="str">
        <f ca="1">IFERROR(__xludf.DUMMYFUNCTION("""COMPUTED_VALUE"""),"Death Penalty, Freedom of Expression, Individuals At Risk")</f>
        <v>Death Penalty, Freedom of Expression, Individuals At Risk</v>
      </c>
      <c r="H1336" s="1" t="str">
        <f ca="1">IFERROR(__xludf.DUMMYFUNCTION("""COMPUTED_VALUE"""),"2024")</f>
        <v>2024</v>
      </c>
      <c r="I1336" s="1" t="str">
        <f ca="1">IFERROR(__xludf.DUMMYFUNCTION("""COMPUTED_VALUE"""),"Email")</f>
        <v>Email</v>
      </c>
    </row>
    <row r="1337" spans="1:9" ht="13" x14ac:dyDescent="0.15">
      <c r="A1337" s="9">
        <f ca="1">IFERROR(__xludf.DUMMYFUNCTION("""COMPUTED_VALUE"""),121714432)</f>
        <v>121714432</v>
      </c>
      <c r="B1337" s="1" t="str">
        <f ca="1">IFERROR(__xludf.DUMMYFUNCTION("""COMPUTED_VALUE"""),"patience.robbins@gmail.com")</f>
        <v>patience.robbins@gmail.com</v>
      </c>
      <c r="C1337" s="9" t="str">
        <f ca="1">IFERROR(__xludf.DUMMYFUNCTION("""COMPUTED_VALUE"""),"EVERGREEN - UAN Gated Content - Embedded Petition")</f>
        <v>EVERGREEN - UAN Gated Content - Embedded Petition</v>
      </c>
      <c r="D1337" s="10">
        <f ca="1">IFERROR(__xludf.DUMMYFUNCTION("""COMPUTED_VALUE"""),45636)</f>
        <v>45636</v>
      </c>
      <c r="E1337" s="1" t="str">
        <f ca="1">IFERROR(__xludf.DUMMYFUNCTION("""COMPUTED_VALUE"""),"Niger")</f>
        <v>Niger</v>
      </c>
      <c r="F1337" s="1" t="str">
        <f ca="1">IFERROR(__xludf.DUMMYFUNCTION("""COMPUTED_VALUE"""),"103.24 Niger")</f>
        <v>103.24 Niger</v>
      </c>
      <c r="G1337" s="1" t="str">
        <f ca="1">IFERROR(__xludf.DUMMYFUNCTION("""COMPUTED_VALUE"""),"Freedom of Expression, Human Rights Defenders")</f>
        <v>Freedom of Expression, Human Rights Defenders</v>
      </c>
      <c r="H1337" s="1" t="str">
        <f ca="1">IFERROR(__xludf.DUMMYFUNCTION("""COMPUTED_VALUE"""),"2024")</f>
        <v>2024</v>
      </c>
      <c r="I1337" s="1" t="str">
        <f ca="1">IFERROR(__xludf.DUMMYFUNCTION("""COMPUTED_VALUE"""),"Email")</f>
        <v>Email</v>
      </c>
    </row>
    <row r="1338" spans="1:9" ht="13" x14ac:dyDescent="0.15">
      <c r="A1338" s="9">
        <f ca="1">IFERROR(__xludf.DUMMYFUNCTION("""COMPUTED_VALUE"""),122173299)</f>
        <v>122173299</v>
      </c>
      <c r="B1338" s="1" t="str">
        <f ca="1">IFERROR(__xludf.DUMMYFUNCTION("""COMPUTED_VALUE"""),"conderc@me.com")</f>
        <v>conderc@me.com</v>
      </c>
      <c r="C1338" s="9" t="str">
        <f ca="1">IFERROR(__xludf.DUMMYFUNCTION("""COMPUTED_VALUE"""),"EVERGREEN - UAN Gated Content - Embedded Petition")</f>
        <v>EVERGREEN - UAN Gated Content - Embedded Petition</v>
      </c>
      <c r="D1338" s="10">
        <f ca="1">IFERROR(__xludf.DUMMYFUNCTION("""COMPUTED_VALUE"""),45694)</f>
        <v>45694</v>
      </c>
      <c r="E1338" s="1" t="str">
        <f ca="1">IFERROR(__xludf.DUMMYFUNCTION("""COMPUTED_VALUE"""),"Niger")</f>
        <v>Niger</v>
      </c>
      <c r="F1338" s="1" t="str">
        <f ca="1">IFERROR(__xludf.DUMMYFUNCTION("""COMPUTED_VALUE"""),"103.24 Niger")</f>
        <v>103.24 Niger</v>
      </c>
      <c r="G1338" s="1" t="str">
        <f ca="1">IFERROR(__xludf.DUMMYFUNCTION("""COMPUTED_VALUE"""),"Freedom of Expression, Human Rights Defenders")</f>
        <v>Freedom of Expression, Human Rights Defenders</v>
      </c>
      <c r="H1338" s="1" t="str">
        <f ca="1">IFERROR(__xludf.DUMMYFUNCTION("""COMPUTED_VALUE"""),"2024")</f>
        <v>2024</v>
      </c>
      <c r="I1338" s="1" t="str">
        <f ca="1">IFERROR(__xludf.DUMMYFUNCTION("""COMPUTED_VALUE"""),"Email")</f>
        <v>Email</v>
      </c>
    </row>
    <row r="1339" spans="1:9" ht="13" x14ac:dyDescent="0.15">
      <c r="A1339" s="9">
        <f ca="1">IFERROR(__xludf.DUMMYFUNCTION("""COMPUTED_VALUE"""),122173299)</f>
        <v>122173299</v>
      </c>
      <c r="B1339" s="1" t="str">
        <f ca="1">IFERROR(__xludf.DUMMYFUNCTION("""COMPUTED_VALUE"""),"conderc@me.com")</f>
        <v>conderc@me.com</v>
      </c>
      <c r="C1339" s="9" t="str">
        <f ca="1">IFERROR(__xludf.DUMMYFUNCTION("""COMPUTED_VALUE"""),"EVERGREEN - UAN Gated Content - Embedded Petition")</f>
        <v>EVERGREEN - UAN Gated Content - Embedded Petition</v>
      </c>
      <c r="D1339" s="10">
        <f ca="1">IFERROR(__xludf.DUMMYFUNCTION("""COMPUTED_VALUE"""),45694)</f>
        <v>45694</v>
      </c>
      <c r="E1339" s="1" t="str">
        <f ca="1">IFERROR(__xludf.DUMMYFUNCTION("""COMPUTED_VALUE"""),"Tunisia")</f>
        <v>Tunisia</v>
      </c>
      <c r="F1339" s="1" t="str">
        <f ca="1">IFERROR(__xludf.DUMMYFUNCTION("""COMPUTED_VALUE"""),"Second 76.24 Tunisia")</f>
        <v>Second 76.24 Tunisia</v>
      </c>
      <c r="G1339" s="1" t="str">
        <f ca="1">IFERROR(__xludf.DUMMYFUNCTION("""COMPUTED_VALUE"""),"Freedom of Expression, Human Rights Defenders")</f>
        <v>Freedom of Expression, Human Rights Defenders</v>
      </c>
      <c r="H1339" s="1" t="str">
        <f ca="1">IFERROR(__xludf.DUMMYFUNCTION("""COMPUTED_VALUE"""),"2025")</f>
        <v>2025</v>
      </c>
      <c r="I1339" s="1" t="str">
        <f ca="1">IFERROR(__xludf.DUMMYFUNCTION("""COMPUTED_VALUE"""),"Email")</f>
        <v>Email</v>
      </c>
    </row>
    <row r="1340" spans="1:9" ht="13" x14ac:dyDescent="0.15">
      <c r="A1340" s="9">
        <f ca="1">IFERROR(__xludf.DUMMYFUNCTION("""COMPUTED_VALUE"""),122173299)</f>
        <v>122173299</v>
      </c>
      <c r="B1340" s="1" t="str">
        <f ca="1">IFERROR(__xludf.DUMMYFUNCTION("""COMPUTED_VALUE"""),"conderc@me.com")</f>
        <v>conderc@me.com</v>
      </c>
      <c r="C1340" s="9" t="str">
        <f ca="1">IFERROR(__xludf.DUMMYFUNCTION("""COMPUTED_VALUE"""),"EVERGREEN - UAN Gated Content - Embedded Petition")</f>
        <v>EVERGREEN - UAN Gated Content - Embedded Petition</v>
      </c>
      <c r="D1340" s="10">
        <f ca="1">IFERROR(__xludf.DUMMYFUNCTION("""COMPUTED_VALUE"""),45623)</f>
        <v>45623</v>
      </c>
      <c r="E1340" s="1" t="str">
        <f ca="1">IFERROR(__xludf.DUMMYFUNCTION("""COMPUTED_VALUE"""),"USA")</f>
        <v>USA</v>
      </c>
      <c r="F1340" s="1" t="str">
        <f ca="1">IFERROR(__xludf.DUMMYFUNCTION("""COMPUTED_VALUE"""),"96.24 USA")</f>
        <v>96.24 USA</v>
      </c>
      <c r="G1340" s="1" t="str">
        <f ca="1">IFERROR(__xludf.DUMMYFUNCTION("""COMPUTED_VALUE"""),"Death Penalty")</f>
        <v>Death Penalty</v>
      </c>
      <c r="H1340" s="1" t="str">
        <f ca="1">IFERROR(__xludf.DUMMYFUNCTION("""COMPUTED_VALUE"""),"2024")</f>
        <v>2024</v>
      </c>
      <c r="I1340" s="1" t="str">
        <f ca="1">IFERROR(__xludf.DUMMYFUNCTION("""COMPUTED_VALUE"""),"Email")</f>
        <v>Email</v>
      </c>
    </row>
    <row r="1341" spans="1:9" ht="13" x14ac:dyDescent="0.15">
      <c r="A1341" s="9">
        <f ca="1">IFERROR(__xludf.DUMMYFUNCTION("""COMPUTED_VALUE"""),122358189)</f>
        <v>122358189</v>
      </c>
      <c r="B1341" s="1" t="str">
        <f ca="1">IFERROR(__xludf.DUMMYFUNCTION("""COMPUTED_VALUE"""),"querido@queridomundo.com")</f>
        <v>querido@queridomundo.com</v>
      </c>
      <c r="C1341" s="9" t="str">
        <f ca="1">IFERROR(__xludf.DUMMYFUNCTION("""COMPUTED_VALUE"""),"EVERGREEN - UAN Gated Content - Embedded Petition")</f>
        <v>EVERGREEN - UAN Gated Content - Embedded Petition</v>
      </c>
      <c r="D1341" s="10">
        <f ca="1">IFERROR(__xludf.DUMMYFUNCTION("""COMPUTED_VALUE"""),45679)</f>
        <v>45679</v>
      </c>
      <c r="E1341" s="1" t="str">
        <f ca="1">IFERROR(__xludf.DUMMYFUNCTION("""COMPUTED_VALUE"""),"Dominican Republic")</f>
        <v>Dominican Republic</v>
      </c>
      <c r="F1341" s="1" t="str">
        <f ca="1">IFERROR(__xludf.DUMMYFUNCTION("""COMPUTED_VALUE"""),"88.24 Dominican Republic")</f>
        <v>88.24 Dominican Republic</v>
      </c>
      <c r="G1341" s="1" t="str">
        <f ca="1">IFERROR(__xludf.DUMMYFUNCTION("""COMPUTED_VALUE"""),"Individuals At Risk, Refugee and Migrant Rights")</f>
        <v>Individuals At Risk, Refugee and Migrant Rights</v>
      </c>
      <c r="H1341" s="1" t="str">
        <f ca="1">IFERROR(__xludf.DUMMYFUNCTION("""COMPUTED_VALUE"""),"2024")</f>
        <v>2024</v>
      </c>
      <c r="I1341" s="1" t="str">
        <f ca="1">IFERROR(__xludf.DUMMYFUNCTION("""COMPUTED_VALUE"""),"Letter")</f>
        <v>Letter</v>
      </c>
    </row>
    <row r="1342" spans="1:9" ht="13" x14ac:dyDescent="0.15">
      <c r="A1342" s="9">
        <f ca="1">IFERROR(__xludf.DUMMYFUNCTION("""COMPUTED_VALUE"""),122524473)</f>
        <v>122524473</v>
      </c>
      <c r="B1342" s="1" t="str">
        <f ca="1">IFERROR(__xludf.DUMMYFUNCTION("""COMPUTED_VALUE"""),"dianne.smith.rn@gmail.com")</f>
        <v>dianne.smith.rn@gmail.com</v>
      </c>
      <c r="C1342" s="9" t="str">
        <f ca="1">IFERROR(__xludf.DUMMYFUNCTION("""COMPUTED_VALUE"""),"EVERGREEN - UAN Gated Content - Embedded Petition")</f>
        <v>EVERGREEN - UAN Gated Content - Embedded Petition</v>
      </c>
      <c r="D1342" s="10">
        <f ca="1">IFERROR(__xludf.DUMMYFUNCTION("""COMPUTED_VALUE"""),45673)</f>
        <v>45673</v>
      </c>
      <c r="E1342" s="1" t="str">
        <f ca="1">IFERROR(__xludf.DUMMYFUNCTION("""COMPUTED_VALUE"""),"Egypt")</f>
        <v>Egypt</v>
      </c>
      <c r="F1342" s="1" t="str">
        <f ca="1">IFERROR(__xludf.DUMMYFUNCTION("""COMPUTED_VALUE"""),"Third 73.23 Egypt")</f>
        <v>Third 73.23 Egypt</v>
      </c>
      <c r="G1342" s="1" t="str">
        <f ca="1">IFERROR(__xludf.DUMMYFUNCTION("""COMPUTED_VALUE"""),"Individuals At Risk")</f>
        <v>Individuals At Risk</v>
      </c>
      <c r="H1342" s="1" t="str">
        <f ca="1">IFERROR(__xludf.DUMMYFUNCTION("""COMPUTED_VALUE"""),"2024")</f>
        <v>2024</v>
      </c>
      <c r="I1342" s="1" t="str">
        <f ca="1">IFERROR(__xludf.DUMMYFUNCTION("""COMPUTED_VALUE"""),"Email")</f>
        <v>Email</v>
      </c>
    </row>
    <row r="1343" spans="1:9" ht="13" x14ac:dyDescent="0.15">
      <c r="A1343" s="9">
        <f ca="1">IFERROR(__xludf.DUMMYFUNCTION("""COMPUTED_VALUE"""),122626488)</f>
        <v>122626488</v>
      </c>
      <c r="B1343" s="1" t="str">
        <f ca="1">IFERROR(__xludf.DUMMYFUNCTION("""COMPUTED_VALUE"""),"navarrochristine@hotmail.com")</f>
        <v>navarrochristine@hotmail.com</v>
      </c>
      <c r="C1343" s="9" t="str">
        <f ca="1">IFERROR(__xludf.DUMMYFUNCTION("""COMPUTED_VALUE"""),"EVERGREEN - UAN Gated Content - Embedded Petition")</f>
        <v>EVERGREEN - UAN Gated Content - Embedded Petition</v>
      </c>
      <c r="D1343" s="10">
        <f ca="1">IFERROR(__xludf.DUMMYFUNCTION("""COMPUTED_VALUE"""),45694)</f>
        <v>45694</v>
      </c>
      <c r="E1343" s="1" t="str">
        <f ca="1">IFERROR(__xludf.DUMMYFUNCTION("""COMPUTED_VALUE"""),"Israel and Occupied Palestinian Territories")</f>
        <v>Israel and Occupied Palestinian Territories</v>
      </c>
      <c r="F1343" s="1" t="str">
        <f ca="1">IFERROR(__xludf.DUMMYFUNCTION("""COMPUTED_VALUE"""),"3.25 IOPT")</f>
        <v>3.25 IOPT</v>
      </c>
      <c r="G1343" s="1" t="str">
        <f ca="1">IFERROR(__xludf.DUMMYFUNCTION("""COMPUTED_VALUE"""),"Freedom of Expression, Individuals At Risk")</f>
        <v>Freedom of Expression, Individuals At Risk</v>
      </c>
      <c r="H1343" s="1" t="str">
        <f ca="1">IFERROR(__xludf.DUMMYFUNCTION("""COMPUTED_VALUE"""),"2025")</f>
        <v>2025</v>
      </c>
      <c r="I1343" s="1" t="str">
        <f ca="1">IFERROR(__xludf.DUMMYFUNCTION("""COMPUTED_VALUE"""),"Email")</f>
        <v>Email</v>
      </c>
    </row>
    <row r="1344" spans="1:9" ht="13" x14ac:dyDescent="0.15">
      <c r="A1344" s="9">
        <f ca="1">IFERROR(__xludf.DUMMYFUNCTION("""COMPUTED_VALUE"""),123194952)</f>
        <v>123194952</v>
      </c>
      <c r="B1344" s="1" t="str">
        <f ca="1">IFERROR(__xludf.DUMMYFUNCTION("""COMPUTED_VALUE"""),"prolixities@yahoo.com")</f>
        <v>prolixities@yahoo.com</v>
      </c>
      <c r="C1344" s="9" t="str">
        <f ca="1">IFERROR(__xludf.DUMMYFUNCTION("""COMPUTED_VALUE"""),"EVERGREEN - UAN Gated Content - Embedded Petition")</f>
        <v>EVERGREEN - UAN Gated Content - Embedded Petition</v>
      </c>
      <c r="D1344" s="10">
        <f ca="1">IFERROR(__xludf.DUMMYFUNCTION("""COMPUTED_VALUE"""),45694)</f>
        <v>45694</v>
      </c>
      <c r="E1344" s="1" t="str">
        <f ca="1">IFERROR(__xludf.DUMMYFUNCTION("""COMPUTED_VALUE"""),"Azerbaijan")</f>
        <v>Azerbaijan</v>
      </c>
      <c r="F1344" s="1" t="str">
        <f ca="1">IFERROR(__xludf.DUMMYFUNCTION("""COMPUTED_VALUE"""),"2.25 Azerbaijan")</f>
        <v>2.25 Azerbaijan</v>
      </c>
      <c r="G1344" s="1" t="str">
        <f ca="1">IFERROR(__xludf.DUMMYFUNCTION("""COMPUTED_VALUE"""),"Freedom of Expression, Human Rights Defenders")</f>
        <v>Freedom of Expression, Human Rights Defenders</v>
      </c>
      <c r="H1344" s="1" t="str">
        <f ca="1">IFERROR(__xludf.DUMMYFUNCTION("""COMPUTED_VALUE"""),"2025")</f>
        <v>2025</v>
      </c>
      <c r="I1344" s="1" t="str">
        <f ca="1">IFERROR(__xludf.DUMMYFUNCTION("""COMPUTED_VALUE"""),"Email")</f>
        <v>Email</v>
      </c>
    </row>
    <row r="1345" spans="1:9" ht="13" x14ac:dyDescent="0.15">
      <c r="A1345" s="9">
        <f ca="1">IFERROR(__xludf.DUMMYFUNCTION("""COMPUTED_VALUE"""),123215564)</f>
        <v>123215564</v>
      </c>
      <c r="B1345" s="1" t="str">
        <f ca="1">IFERROR(__xludf.DUMMYFUNCTION("""COMPUTED_VALUE"""),"frephill@icloud.com")</f>
        <v>frephill@icloud.com</v>
      </c>
      <c r="C1345" s="9" t="str">
        <f ca="1">IFERROR(__xludf.DUMMYFUNCTION("""COMPUTED_VALUE"""),"EVERGREEN - UAN Gated Content - Embedded Petition")</f>
        <v>EVERGREEN - UAN Gated Content - Embedded Petition</v>
      </c>
      <c r="D1345" s="10">
        <f ca="1">IFERROR(__xludf.DUMMYFUNCTION("""COMPUTED_VALUE"""),45673)</f>
        <v>45673</v>
      </c>
      <c r="E1345" s="1" t="str">
        <f ca="1">IFERROR(__xludf.DUMMYFUNCTION("""COMPUTED_VALUE"""),"Venezuela")</f>
        <v>Venezuela</v>
      </c>
      <c r="F1345" s="1" t="str">
        <f ca="1">IFERROR(__xludf.DUMMYFUNCTION("""COMPUTED_VALUE"""),"1.25 Venezuela")</f>
        <v>1.25 Venezuela</v>
      </c>
      <c r="G1345" s="1" t="str">
        <f ca="1">IFERROR(__xludf.DUMMYFUNCTION("""COMPUTED_VALUE"""),"Human Rights Defenders, Individuals At Risk")</f>
        <v>Human Rights Defenders, Individuals At Risk</v>
      </c>
      <c r="H1345" s="1" t="str">
        <f ca="1">IFERROR(__xludf.DUMMYFUNCTION("""COMPUTED_VALUE"""),"2025")</f>
        <v>2025</v>
      </c>
      <c r="I1345" s="1" t="str">
        <f ca="1">IFERROR(__xludf.DUMMYFUNCTION("""COMPUTED_VALUE"""),"Letter")</f>
        <v>Letter</v>
      </c>
    </row>
    <row r="1346" spans="1:9" ht="13" x14ac:dyDescent="0.15">
      <c r="A1346" s="9">
        <f ca="1">IFERROR(__xludf.DUMMYFUNCTION("""COMPUTED_VALUE"""),124050476)</f>
        <v>124050476</v>
      </c>
      <c r="B1346" s="1" t="str">
        <f ca="1">IFERROR(__xludf.DUMMYFUNCTION("""COMPUTED_VALUE"""),"rebecca.saclolo@gmail.com")</f>
        <v>rebecca.saclolo@gmail.com</v>
      </c>
      <c r="C1346" s="9" t="str">
        <f ca="1">IFERROR(__xludf.DUMMYFUNCTION("""COMPUTED_VALUE"""),"EVERGREEN - UAN Gated Content - Embedded Petition")</f>
        <v>EVERGREEN - UAN Gated Content - Embedded Petition</v>
      </c>
      <c r="D1346" s="10">
        <f ca="1">IFERROR(__xludf.DUMMYFUNCTION("""COMPUTED_VALUE"""),45696)</f>
        <v>45696</v>
      </c>
      <c r="E1346" s="1" t="str">
        <f ca="1">IFERROR(__xludf.DUMMYFUNCTION("""COMPUTED_VALUE"""),"Uganda")</f>
        <v>Uganda</v>
      </c>
      <c r="F1346" s="1" t="str">
        <f ca="1">IFERROR(__xludf.DUMMYFUNCTION("""COMPUTED_VALUE"""),"9.25 Uganda")</f>
        <v>9.25 Uganda</v>
      </c>
      <c r="G1346" s="1" t="str">
        <f ca="1">IFERROR(__xludf.DUMMYFUNCTION("""COMPUTED_VALUE"""),"Freedom of Expression, Human Rights Defenders")</f>
        <v>Freedom of Expression, Human Rights Defenders</v>
      </c>
      <c r="H1346" s="1" t="str">
        <f ca="1">IFERROR(__xludf.DUMMYFUNCTION("""COMPUTED_VALUE"""),"2025")</f>
        <v>2025</v>
      </c>
      <c r="I1346" s="1" t="str">
        <f ca="1">IFERROR(__xludf.DUMMYFUNCTION("""COMPUTED_VALUE"""),"Email")</f>
        <v>Email</v>
      </c>
    </row>
    <row r="1347" spans="1:9" ht="13" x14ac:dyDescent="0.15">
      <c r="A1347" s="9">
        <f ca="1">IFERROR(__xludf.DUMMYFUNCTION("""COMPUTED_VALUE"""),124091599)</f>
        <v>124091599</v>
      </c>
      <c r="B1347" s="1" t="str">
        <f ca="1">IFERROR(__xludf.DUMMYFUNCTION("""COMPUTED_VALUE"""),"shirley.vernick@gmail.com")</f>
        <v>shirley.vernick@gmail.com</v>
      </c>
      <c r="C1347" s="9" t="str">
        <f ca="1">IFERROR(__xludf.DUMMYFUNCTION("""COMPUTED_VALUE"""),"EVERGREEN - UAN Gated Content - Embedded Petition")</f>
        <v>EVERGREEN - UAN Gated Content - Embedded Petition</v>
      </c>
      <c r="D1347" s="10">
        <f ca="1">IFERROR(__xludf.DUMMYFUNCTION("""COMPUTED_VALUE"""),45680)</f>
        <v>45680</v>
      </c>
      <c r="E1347" s="1" t="str">
        <f ca="1">IFERROR(__xludf.DUMMYFUNCTION("""COMPUTED_VALUE"""),"Iran")</f>
        <v>Iran</v>
      </c>
      <c r="F1347" s="1" t="str">
        <f ca="1">IFERROR(__xludf.DUMMYFUNCTION("""COMPUTED_VALUE"""),"10.25 Iran")</f>
        <v>10.25 Iran</v>
      </c>
      <c r="G1347" s="1" t="str">
        <f ca="1">IFERROR(__xludf.DUMMYFUNCTION("""COMPUTED_VALUE"""),"Death Penalty, Individuals At Risk")</f>
        <v>Death Penalty, Individuals At Risk</v>
      </c>
      <c r="H1347" s="1" t="str">
        <f ca="1">IFERROR(__xludf.DUMMYFUNCTION("""COMPUTED_VALUE"""),"2025")</f>
        <v>2025</v>
      </c>
      <c r="I1347" s="1" t="str">
        <f ca="1">IFERROR(__xludf.DUMMYFUNCTION("""COMPUTED_VALUE"""),"Email")</f>
        <v>Email</v>
      </c>
    </row>
    <row r="1348" spans="1:9" ht="13" x14ac:dyDescent="0.15">
      <c r="A1348" s="9">
        <f ca="1">IFERROR(__xludf.DUMMYFUNCTION("""COMPUTED_VALUE"""),124091599)</f>
        <v>124091599</v>
      </c>
      <c r="B1348" s="1" t="str">
        <f ca="1">IFERROR(__xludf.DUMMYFUNCTION("""COMPUTED_VALUE"""),"shirley.vernick@gmail.com")</f>
        <v>shirley.vernick@gmail.com</v>
      </c>
      <c r="C1348" s="9" t="str">
        <f ca="1">IFERROR(__xludf.DUMMYFUNCTION("""COMPUTED_VALUE"""),"EVERGREEN - UAN Gated Content - Embedded Petition")</f>
        <v>EVERGREEN - UAN Gated Content - Embedded Petition</v>
      </c>
      <c r="D1348" s="10">
        <f ca="1">IFERROR(__xludf.DUMMYFUNCTION("""COMPUTED_VALUE"""),45678)</f>
        <v>45678</v>
      </c>
      <c r="E1348" s="1" t="str">
        <f ca="1">IFERROR(__xludf.DUMMYFUNCTION("""COMPUTED_VALUE"""),"Egypt")</f>
        <v>Egypt</v>
      </c>
      <c r="F1348" s="1" t="str">
        <f ca="1">IFERROR(__xludf.DUMMYFUNCTION("""COMPUTED_VALUE"""),"Second 80.23 Egypt")</f>
        <v>Second 80.23 Egypt</v>
      </c>
      <c r="G1348" s="1" t="str">
        <f ca="1">IFERROR(__xludf.DUMMYFUNCTION("""COMPUTED_VALUE"""),"Health, Individuals At Risk")</f>
        <v>Health, Individuals At Risk</v>
      </c>
      <c r="H1348" s="1" t="str">
        <f ca="1">IFERROR(__xludf.DUMMYFUNCTION("""COMPUTED_VALUE"""),"2025")</f>
        <v>2025</v>
      </c>
      <c r="I1348" s="1" t="str">
        <f ca="1">IFERROR(__xludf.DUMMYFUNCTION("""COMPUTED_VALUE"""),"Email")</f>
        <v>Email</v>
      </c>
    </row>
    <row r="1349" spans="1:9" ht="13" x14ac:dyDescent="0.15">
      <c r="A1349" s="9">
        <f ca="1">IFERROR(__xludf.DUMMYFUNCTION("""COMPUTED_VALUE"""),124091599)</f>
        <v>124091599</v>
      </c>
      <c r="B1349" s="1" t="str">
        <f ca="1">IFERROR(__xludf.DUMMYFUNCTION("""COMPUTED_VALUE"""),"shirley.vernick@gmail.com")</f>
        <v>shirley.vernick@gmail.com</v>
      </c>
      <c r="C1349" s="9" t="str">
        <f ca="1">IFERROR(__xludf.DUMMYFUNCTION("""COMPUTED_VALUE"""),"EVERGREEN - UAN Gated Content - Embedded Petition")</f>
        <v>EVERGREEN - UAN Gated Content - Embedded Petition</v>
      </c>
      <c r="D1349" s="10">
        <f ca="1">IFERROR(__xludf.DUMMYFUNCTION("""COMPUTED_VALUE"""),45678)</f>
        <v>45678</v>
      </c>
      <c r="E1349" s="1" t="str">
        <f ca="1">IFERROR(__xludf.DUMMYFUNCTION("""COMPUTED_VALUE"""),"Libya")</f>
        <v>Libya</v>
      </c>
      <c r="F1349" s="1" t="str">
        <f ca="1">IFERROR(__xludf.DUMMYFUNCTION("""COMPUTED_VALUE"""),"12.25 Libya")</f>
        <v>12.25 Libya</v>
      </c>
      <c r="G1349" s="1" t="str">
        <f ca="1">IFERROR(__xludf.DUMMYFUNCTION("""COMPUTED_VALUE"""),"Freedom of Expression, Health, Individuals At Risk")</f>
        <v>Freedom of Expression, Health, Individuals At Risk</v>
      </c>
      <c r="H1349" s="1" t="str">
        <f ca="1">IFERROR(__xludf.DUMMYFUNCTION("""COMPUTED_VALUE"""),"2025")</f>
        <v>2025</v>
      </c>
      <c r="I1349" s="1" t="str">
        <f ca="1">IFERROR(__xludf.DUMMYFUNCTION("""COMPUTED_VALUE"""),"Email")</f>
        <v>Email</v>
      </c>
    </row>
    <row r="1350" spans="1:9" ht="13" x14ac:dyDescent="0.15">
      <c r="A1350" s="9">
        <f ca="1">IFERROR(__xludf.DUMMYFUNCTION("""COMPUTED_VALUE"""),124091599)</f>
        <v>124091599</v>
      </c>
      <c r="B1350" s="1" t="str">
        <f ca="1">IFERROR(__xludf.DUMMYFUNCTION("""COMPUTED_VALUE"""),"shirley.vernick@gmail.com")</f>
        <v>shirley.vernick@gmail.com</v>
      </c>
      <c r="C1350" s="9" t="str">
        <f ca="1">IFERROR(__xludf.DUMMYFUNCTION("""COMPUTED_VALUE"""),"EVERGREEN - UAN Gated Content - Embedded Petition")</f>
        <v>EVERGREEN - UAN Gated Content - Embedded Petition</v>
      </c>
      <c r="D1350" s="10">
        <f ca="1">IFERROR(__xludf.DUMMYFUNCTION("""COMPUTED_VALUE"""),45678)</f>
        <v>45678</v>
      </c>
      <c r="E1350" s="1" t="str">
        <f ca="1">IFERROR(__xludf.DUMMYFUNCTION("""COMPUTED_VALUE"""),"Afghanistan")</f>
        <v>Afghanistan</v>
      </c>
      <c r="F1350" s="1" t="str">
        <f ca="1">IFERROR(__xludf.DUMMYFUNCTION("""COMPUTED_VALUE"""),"11.25 Afghanistan")</f>
        <v>11.25 Afghanistan</v>
      </c>
      <c r="G1350" s="1" t="str">
        <f ca="1">IFERROR(__xludf.DUMMYFUNCTION("""COMPUTED_VALUE"""),"Freedom of Expression, Health, Individuals At Risk")</f>
        <v>Freedom of Expression, Health, Individuals At Risk</v>
      </c>
      <c r="H1350" s="1" t="str">
        <f ca="1">IFERROR(__xludf.DUMMYFUNCTION("""COMPUTED_VALUE"""),"2025")</f>
        <v>2025</v>
      </c>
      <c r="I1350" s="1" t="str">
        <f ca="1">IFERROR(__xludf.DUMMYFUNCTION("""COMPUTED_VALUE"""),"Email")</f>
        <v>Email</v>
      </c>
    </row>
    <row r="1351" spans="1:9" ht="13" x14ac:dyDescent="0.15">
      <c r="A1351" s="9">
        <f ca="1">IFERROR(__xludf.DUMMYFUNCTION("""COMPUTED_VALUE"""),124091599)</f>
        <v>124091599</v>
      </c>
      <c r="B1351" s="1" t="str">
        <f ca="1">IFERROR(__xludf.DUMMYFUNCTION("""COMPUTED_VALUE"""),"shirley.vernick@gmail.com")</f>
        <v>shirley.vernick@gmail.com</v>
      </c>
      <c r="C1351" s="9" t="str">
        <f ca="1">IFERROR(__xludf.DUMMYFUNCTION("""COMPUTED_VALUE"""),"EVERGREEN - UAN Gated Content - Embedded Petition")</f>
        <v>EVERGREEN - UAN Gated Content - Embedded Petition</v>
      </c>
      <c r="D1351" s="10">
        <f ca="1">IFERROR(__xludf.DUMMYFUNCTION("""COMPUTED_VALUE"""),45678)</f>
        <v>45678</v>
      </c>
      <c r="E1351" s="1" t="str">
        <f ca="1">IFERROR(__xludf.DUMMYFUNCTION("""COMPUTED_VALUE"""),"Saudi Arabia")</f>
        <v>Saudi Arabia</v>
      </c>
      <c r="F1351" s="1" t="str">
        <f ca="1">IFERROR(__xludf.DUMMYFUNCTION("""COMPUTED_VALUE"""),"Fifth 257.12")</f>
        <v>Fifth 257.12</v>
      </c>
      <c r="G1351" s="1" t="str">
        <f ca="1">IFERROR(__xludf.DUMMYFUNCTION("""COMPUTED_VALUE"""),"Freedom of Expression, Human Rights Defenders")</f>
        <v>Freedom of Expression, Human Rights Defenders</v>
      </c>
      <c r="H1351" s="1" t="str">
        <f ca="1">IFERROR(__xludf.DUMMYFUNCTION("""COMPUTED_VALUE"""),"2025")</f>
        <v>2025</v>
      </c>
      <c r="I1351" s="1" t="str">
        <f ca="1">IFERROR(__xludf.DUMMYFUNCTION("""COMPUTED_VALUE"""),"Email")</f>
        <v>Email</v>
      </c>
    </row>
    <row r="1352" spans="1:9" ht="13" x14ac:dyDescent="0.15">
      <c r="A1352" s="9">
        <f ca="1">IFERROR(__xludf.DUMMYFUNCTION("""COMPUTED_VALUE"""),124091599)</f>
        <v>124091599</v>
      </c>
      <c r="B1352" s="1" t="str">
        <f ca="1">IFERROR(__xludf.DUMMYFUNCTION("""COMPUTED_VALUE"""),"shirley.vernick@gmail.com")</f>
        <v>shirley.vernick@gmail.com</v>
      </c>
      <c r="C1352" s="9" t="str">
        <f ca="1">IFERROR(__xludf.DUMMYFUNCTION("""COMPUTED_VALUE"""),"EVERGREEN - UAN Gated Content - Embedded Petition")</f>
        <v>EVERGREEN - UAN Gated Content - Embedded Petition</v>
      </c>
      <c r="D1352" s="10">
        <f ca="1">IFERROR(__xludf.DUMMYFUNCTION("""COMPUTED_VALUE"""),45675)</f>
        <v>45675</v>
      </c>
      <c r="E1352" s="1" t="str">
        <f ca="1">IFERROR(__xludf.DUMMYFUNCTION("""COMPUTED_VALUE"""),"USA")</f>
        <v>USA</v>
      </c>
      <c r="F1352" s="1" t="str">
        <f ca="1">IFERROR(__xludf.DUMMYFUNCTION("""COMPUTED_VALUE"""),"4.25 USA")</f>
        <v>4.25 USA</v>
      </c>
      <c r="G1352" s="1" t="str">
        <f ca="1">IFERROR(__xludf.DUMMYFUNCTION("""COMPUTED_VALUE"""),"Individuals At Risk, Refugee and Migrant Rights")</f>
        <v>Individuals At Risk, Refugee and Migrant Rights</v>
      </c>
      <c r="H1352" s="1" t="str">
        <f ca="1">IFERROR(__xludf.DUMMYFUNCTION("""COMPUTED_VALUE"""),"2025")</f>
        <v>2025</v>
      </c>
      <c r="I1352" s="1" t="str">
        <f ca="1">IFERROR(__xludf.DUMMYFUNCTION("""COMPUTED_VALUE"""),"Letter")</f>
        <v>Letter</v>
      </c>
    </row>
    <row r="1353" spans="1:9" ht="13" x14ac:dyDescent="0.15">
      <c r="A1353" s="9">
        <f ca="1">IFERROR(__xludf.DUMMYFUNCTION("""COMPUTED_VALUE"""),124091599)</f>
        <v>124091599</v>
      </c>
      <c r="B1353" s="1" t="str">
        <f ca="1">IFERROR(__xludf.DUMMYFUNCTION("""COMPUTED_VALUE"""),"shirley.vernick@gmail.com")</f>
        <v>shirley.vernick@gmail.com</v>
      </c>
      <c r="C1353" s="9" t="str">
        <f ca="1">IFERROR(__xludf.DUMMYFUNCTION("""COMPUTED_VALUE"""),"EVERGREEN - UAN Gated Content - Embedded Petition")</f>
        <v>EVERGREEN - UAN Gated Content - Embedded Petition</v>
      </c>
      <c r="D1353" s="10">
        <f ca="1">IFERROR(__xludf.DUMMYFUNCTION("""COMPUTED_VALUE"""),45675)</f>
        <v>45675</v>
      </c>
      <c r="E1353" s="1" t="str">
        <f ca="1">IFERROR(__xludf.DUMMYFUNCTION("""COMPUTED_VALUE"""),"Iran")</f>
        <v>Iran</v>
      </c>
      <c r="F1353" s="1" t="str">
        <f ca="1">IFERROR(__xludf.DUMMYFUNCTION("""COMPUTED_VALUE"""),"Seventh 103.22 Iran")</f>
        <v>Seventh 103.22 Iran</v>
      </c>
      <c r="G1353" s="1" t="str">
        <f ca="1">IFERROR(__xludf.DUMMYFUNCTION("""COMPUTED_VALUE"""),"Death Penalty, Freedom of Expression, Individuals At Risk")</f>
        <v>Death Penalty, Freedom of Expression, Individuals At Risk</v>
      </c>
      <c r="H1353" s="1" t="str">
        <f ca="1">IFERROR(__xludf.DUMMYFUNCTION("""COMPUTED_VALUE"""),"2024")</f>
        <v>2024</v>
      </c>
      <c r="I1353" s="1" t="str">
        <f ca="1">IFERROR(__xludf.DUMMYFUNCTION("""COMPUTED_VALUE"""),"Email")</f>
        <v>Email</v>
      </c>
    </row>
    <row r="1354" spans="1:9" ht="13" x14ac:dyDescent="0.15">
      <c r="A1354" s="9">
        <f ca="1">IFERROR(__xludf.DUMMYFUNCTION("""COMPUTED_VALUE"""),124091599)</f>
        <v>124091599</v>
      </c>
      <c r="B1354" s="1" t="str">
        <f ca="1">IFERROR(__xludf.DUMMYFUNCTION("""COMPUTED_VALUE"""),"shirley.vernick@gmail.com")</f>
        <v>shirley.vernick@gmail.com</v>
      </c>
      <c r="C1354" s="9" t="str">
        <f ca="1">IFERROR(__xludf.DUMMYFUNCTION("""COMPUTED_VALUE"""),"EVERGREEN - UAN Gated Content - Embedded Petition")</f>
        <v>EVERGREEN - UAN Gated Content - Embedded Petition</v>
      </c>
      <c r="D1354" s="10">
        <f ca="1">IFERROR(__xludf.DUMMYFUNCTION("""COMPUTED_VALUE"""),45675)</f>
        <v>45675</v>
      </c>
      <c r="E1354" s="1" t="str">
        <f ca="1">IFERROR(__xludf.DUMMYFUNCTION("""COMPUTED_VALUE"""),"USA")</f>
        <v>USA</v>
      </c>
      <c r="F1354" s="1" t="str">
        <f ca="1">IFERROR(__xludf.DUMMYFUNCTION("""COMPUTED_VALUE"""),"105.24 USA")</f>
        <v>105.24 USA</v>
      </c>
      <c r="G1354" s="1" t="str">
        <f ca="1">IFERROR(__xludf.DUMMYFUNCTION("""COMPUTED_VALUE"""),"Death Penalty")</f>
        <v>Death Penalty</v>
      </c>
      <c r="H1354" s="1" t="str">
        <f ca="1">IFERROR(__xludf.DUMMYFUNCTION("""COMPUTED_VALUE"""),"2024")</f>
        <v>2024</v>
      </c>
      <c r="I1354" s="1" t="str">
        <f ca="1">IFERROR(__xludf.DUMMYFUNCTION("""COMPUTED_VALUE"""),"Email")</f>
        <v>Email</v>
      </c>
    </row>
    <row r="1355" spans="1:9" ht="13" x14ac:dyDescent="0.15">
      <c r="A1355" s="9">
        <f ca="1">IFERROR(__xludf.DUMMYFUNCTION("""COMPUTED_VALUE"""),124091599)</f>
        <v>124091599</v>
      </c>
      <c r="B1355" s="1" t="str">
        <f ca="1">IFERROR(__xludf.DUMMYFUNCTION("""COMPUTED_VALUE"""),"shirley.vernick@gmail.com")</f>
        <v>shirley.vernick@gmail.com</v>
      </c>
      <c r="C1355" s="9" t="str">
        <f ca="1">IFERROR(__xludf.DUMMYFUNCTION("""COMPUTED_VALUE"""),"EVERGREEN - UAN Gated Content - Embedded Petition")</f>
        <v>EVERGREEN - UAN Gated Content - Embedded Petition</v>
      </c>
      <c r="D1355" s="10">
        <f ca="1">IFERROR(__xludf.DUMMYFUNCTION("""COMPUTED_VALUE"""),45675)</f>
        <v>45675</v>
      </c>
      <c r="E1355" s="1" t="str">
        <f ca="1">IFERROR(__xludf.DUMMYFUNCTION("""COMPUTED_VALUE"""),"USA")</f>
        <v>USA</v>
      </c>
      <c r="F1355" s="1" t="str">
        <f ca="1">IFERROR(__xludf.DUMMYFUNCTION("""COMPUTED_VALUE"""),"4.25 USA")</f>
        <v>4.25 USA</v>
      </c>
      <c r="G1355" s="1" t="str">
        <f ca="1">IFERROR(__xludf.DUMMYFUNCTION("""COMPUTED_VALUE"""),"Individuals At Risk, Refugee and Migrant Rights")</f>
        <v>Individuals At Risk, Refugee and Migrant Rights</v>
      </c>
      <c r="H1355" s="1" t="str">
        <f ca="1">IFERROR(__xludf.DUMMYFUNCTION("""COMPUTED_VALUE"""),"2025")</f>
        <v>2025</v>
      </c>
      <c r="I1355" s="1" t="str">
        <f ca="1">IFERROR(__xludf.DUMMYFUNCTION("""COMPUTED_VALUE"""),"Letter")</f>
        <v>Letter</v>
      </c>
    </row>
    <row r="1356" spans="1:9" ht="13" x14ac:dyDescent="0.15">
      <c r="A1356" s="9">
        <f ca="1">IFERROR(__xludf.DUMMYFUNCTION("""COMPUTED_VALUE"""),124091599)</f>
        <v>124091599</v>
      </c>
      <c r="B1356" s="1" t="str">
        <f ca="1">IFERROR(__xludf.DUMMYFUNCTION("""COMPUTED_VALUE"""),"shirley.vernick@gmail.com")</f>
        <v>shirley.vernick@gmail.com</v>
      </c>
      <c r="C1356" s="9" t="str">
        <f ca="1">IFERROR(__xludf.DUMMYFUNCTION("""COMPUTED_VALUE"""),"EVERGREEN - UAN Gated Content - Embedded Petition")</f>
        <v>EVERGREEN - UAN Gated Content - Embedded Petition</v>
      </c>
      <c r="D1356" s="10">
        <f ca="1">IFERROR(__xludf.DUMMYFUNCTION("""COMPUTED_VALUE"""),45675)</f>
        <v>45675</v>
      </c>
      <c r="E1356" s="1" t="str">
        <f ca="1">IFERROR(__xludf.DUMMYFUNCTION("""COMPUTED_VALUE"""),"Iran")</f>
        <v>Iran</v>
      </c>
      <c r="F1356" s="1" t="str">
        <f ca="1">IFERROR(__xludf.DUMMYFUNCTION("""COMPUTED_VALUE"""),"Seventh 103.22 Iran")</f>
        <v>Seventh 103.22 Iran</v>
      </c>
      <c r="G1356" s="1" t="str">
        <f ca="1">IFERROR(__xludf.DUMMYFUNCTION("""COMPUTED_VALUE"""),"Death Penalty, Freedom of Expression, Individuals At Risk")</f>
        <v>Death Penalty, Freedom of Expression, Individuals At Risk</v>
      </c>
      <c r="H1356" s="1" t="str">
        <f ca="1">IFERROR(__xludf.DUMMYFUNCTION("""COMPUTED_VALUE"""),"2024")</f>
        <v>2024</v>
      </c>
      <c r="I1356" s="1" t="str">
        <f ca="1">IFERROR(__xludf.DUMMYFUNCTION("""COMPUTED_VALUE"""),"Email")</f>
        <v>Email</v>
      </c>
    </row>
    <row r="1357" spans="1:9" ht="13" x14ac:dyDescent="0.15">
      <c r="A1357" s="9">
        <f ca="1">IFERROR(__xludf.DUMMYFUNCTION("""COMPUTED_VALUE"""),124091599)</f>
        <v>124091599</v>
      </c>
      <c r="B1357" s="1" t="str">
        <f ca="1">IFERROR(__xludf.DUMMYFUNCTION("""COMPUTED_VALUE"""),"shirley.vernick@gmail.com")</f>
        <v>shirley.vernick@gmail.com</v>
      </c>
      <c r="C1357" s="9" t="str">
        <f ca="1">IFERROR(__xludf.DUMMYFUNCTION("""COMPUTED_VALUE"""),"EVERGREEN - UAN Gated Content - Embedded Petition")</f>
        <v>EVERGREEN - UAN Gated Content - Embedded Petition</v>
      </c>
      <c r="D1357" s="10">
        <f ca="1">IFERROR(__xludf.DUMMYFUNCTION("""COMPUTED_VALUE"""),45675)</f>
        <v>45675</v>
      </c>
      <c r="E1357" s="1" t="str">
        <f ca="1">IFERROR(__xludf.DUMMYFUNCTION("""COMPUTED_VALUE"""),"Venezuela")</f>
        <v>Venezuela</v>
      </c>
      <c r="F1357" s="1" t="str">
        <f ca="1">IFERROR(__xludf.DUMMYFUNCTION("""COMPUTED_VALUE"""),"1.25 Venezuela")</f>
        <v>1.25 Venezuela</v>
      </c>
      <c r="G1357" s="1" t="str">
        <f ca="1">IFERROR(__xludf.DUMMYFUNCTION("""COMPUTED_VALUE"""),"Human Rights Defenders, Individuals At Risk")</f>
        <v>Human Rights Defenders, Individuals At Risk</v>
      </c>
      <c r="H1357" s="1" t="str">
        <f ca="1">IFERROR(__xludf.DUMMYFUNCTION("""COMPUTED_VALUE"""),"2025")</f>
        <v>2025</v>
      </c>
      <c r="I1357" s="1" t="str">
        <f ca="1">IFERROR(__xludf.DUMMYFUNCTION("""COMPUTED_VALUE"""),"Letter")</f>
        <v>Letter</v>
      </c>
    </row>
    <row r="1358" spans="1:9" ht="13" x14ac:dyDescent="0.15">
      <c r="A1358" s="9">
        <f ca="1">IFERROR(__xludf.DUMMYFUNCTION("""COMPUTED_VALUE"""),124091599)</f>
        <v>124091599</v>
      </c>
      <c r="B1358" s="1" t="str">
        <f ca="1">IFERROR(__xludf.DUMMYFUNCTION("""COMPUTED_VALUE"""),"shirley.vernick@gmail.com")</f>
        <v>shirley.vernick@gmail.com</v>
      </c>
      <c r="C1358" s="9" t="str">
        <f ca="1">IFERROR(__xludf.DUMMYFUNCTION("""COMPUTED_VALUE"""),"EVERGREEN - UAN Gated Content - Embedded Petition")</f>
        <v>EVERGREEN - UAN Gated Content - Embedded Petition</v>
      </c>
      <c r="D1358" s="10">
        <f ca="1">IFERROR(__xludf.DUMMYFUNCTION("""COMPUTED_VALUE"""),45675)</f>
        <v>45675</v>
      </c>
      <c r="E1358" s="1" t="str">
        <f ca="1">IFERROR(__xludf.DUMMYFUNCTION("""COMPUTED_VALUE"""),"Venezuela")</f>
        <v>Venezuela</v>
      </c>
      <c r="F1358" s="1" t="str">
        <f ca="1">IFERROR(__xludf.DUMMYFUNCTION("""COMPUTED_VALUE"""),"1.25 Venezuela")</f>
        <v>1.25 Venezuela</v>
      </c>
      <c r="G1358" s="1" t="str">
        <f ca="1">IFERROR(__xludf.DUMMYFUNCTION("""COMPUTED_VALUE"""),"Human Rights Defenders, Individuals At Risk")</f>
        <v>Human Rights Defenders, Individuals At Risk</v>
      </c>
      <c r="H1358" s="1" t="str">
        <f ca="1">IFERROR(__xludf.DUMMYFUNCTION("""COMPUTED_VALUE"""),"2025")</f>
        <v>2025</v>
      </c>
      <c r="I1358" s="1" t="str">
        <f ca="1">IFERROR(__xludf.DUMMYFUNCTION("""COMPUTED_VALUE"""),"Letter")</f>
        <v>Letter</v>
      </c>
    </row>
    <row r="1359" spans="1:9" ht="13" x14ac:dyDescent="0.15">
      <c r="A1359" s="9">
        <f ca="1">IFERROR(__xludf.DUMMYFUNCTION("""COMPUTED_VALUE"""),124091599)</f>
        <v>124091599</v>
      </c>
      <c r="B1359" s="1" t="str">
        <f ca="1">IFERROR(__xludf.DUMMYFUNCTION("""COMPUTED_VALUE"""),"shirley.vernick@gmail.com")</f>
        <v>shirley.vernick@gmail.com</v>
      </c>
      <c r="C1359" s="9" t="str">
        <f ca="1">IFERROR(__xludf.DUMMYFUNCTION("""COMPUTED_VALUE"""),"EVERGREEN - UAN Gated Content - Embedded Petition")</f>
        <v>EVERGREEN - UAN Gated Content - Embedded Petition</v>
      </c>
      <c r="D1359" s="10">
        <f ca="1">IFERROR(__xludf.DUMMYFUNCTION("""COMPUTED_VALUE"""),45675)</f>
        <v>45675</v>
      </c>
      <c r="E1359" s="1" t="str">
        <f ca="1">IFERROR(__xludf.DUMMYFUNCTION("""COMPUTED_VALUE"""),"USA")</f>
        <v>USA</v>
      </c>
      <c r="F1359" s="1" t="str">
        <f ca="1">IFERROR(__xludf.DUMMYFUNCTION("""COMPUTED_VALUE"""),"105.24 USA")</f>
        <v>105.24 USA</v>
      </c>
      <c r="G1359" s="1" t="str">
        <f ca="1">IFERROR(__xludf.DUMMYFUNCTION("""COMPUTED_VALUE"""),"Death Penalty")</f>
        <v>Death Penalty</v>
      </c>
      <c r="H1359" s="1" t="str">
        <f ca="1">IFERROR(__xludf.DUMMYFUNCTION("""COMPUTED_VALUE"""),"2024")</f>
        <v>2024</v>
      </c>
      <c r="I1359" s="1" t="str">
        <f ca="1">IFERROR(__xludf.DUMMYFUNCTION("""COMPUTED_VALUE"""),"Email")</f>
        <v>Email</v>
      </c>
    </row>
    <row r="1360" spans="1:9" ht="13" x14ac:dyDescent="0.15">
      <c r="A1360" s="9">
        <f ca="1">IFERROR(__xludf.DUMMYFUNCTION("""COMPUTED_VALUE"""),124091599)</f>
        <v>124091599</v>
      </c>
      <c r="B1360" s="1" t="str">
        <f ca="1">IFERROR(__xludf.DUMMYFUNCTION("""COMPUTED_VALUE"""),"shirley.vernick@gmail.com")</f>
        <v>shirley.vernick@gmail.com</v>
      </c>
      <c r="C1360" s="9" t="str">
        <f ca="1">IFERROR(__xludf.DUMMYFUNCTION("""COMPUTED_VALUE"""),"EVERGREEN - UAN Gated Content - Embedded Petition")</f>
        <v>EVERGREEN - UAN Gated Content - Embedded Petition</v>
      </c>
      <c r="D1360" s="10">
        <f ca="1">IFERROR(__xludf.DUMMYFUNCTION("""COMPUTED_VALUE"""),45687)</f>
        <v>45687</v>
      </c>
      <c r="E1360" s="1" t="str">
        <f ca="1">IFERROR(__xludf.DUMMYFUNCTION("""COMPUTED_VALUE"""),"Iran")</f>
        <v>Iran</v>
      </c>
      <c r="F1360" s="1" t="str">
        <f ca="1">IFERROR(__xludf.DUMMYFUNCTION("""COMPUTED_VALUE"""),"101.24 Iran")</f>
        <v>101.24 Iran</v>
      </c>
      <c r="G1360" s="1" t="str">
        <f ca="1">IFERROR(__xludf.DUMMYFUNCTION("""COMPUTED_VALUE"""),"Death Penalty, Freedom of Expression, Individuals At Risk, Right to Protest")</f>
        <v>Death Penalty, Freedom of Expression, Individuals At Risk, Right to Protest</v>
      </c>
      <c r="H1360" s="1" t="str">
        <f ca="1">IFERROR(__xludf.DUMMYFUNCTION("""COMPUTED_VALUE"""),"2024")</f>
        <v>2024</v>
      </c>
      <c r="I1360" s="1" t="str">
        <f ca="1">IFERROR(__xludf.DUMMYFUNCTION("""COMPUTED_VALUE"""),"Email")</f>
        <v>Email</v>
      </c>
    </row>
    <row r="1361" spans="1:9" ht="13" x14ac:dyDescent="0.15">
      <c r="A1361" s="9">
        <f ca="1">IFERROR(__xludf.DUMMYFUNCTION("""COMPUTED_VALUE"""),124091599)</f>
        <v>124091599</v>
      </c>
      <c r="B1361" s="1" t="str">
        <f ca="1">IFERROR(__xludf.DUMMYFUNCTION("""COMPUTED_VALUE"""),"shirley.vernick@gmail.com")</f>
        <v>shirley.vernick@gmail.com</v>
      </c>
      <c r="C1361" s="9" t="str">
        <f ca="1">IFERROR(__xludf.DUMMYFUNCTION("""COMPUTED_VALUE"""),"EVERGREEN - UAN Gated Content - Embedded Petition")</f>
        <v>EVERGREEN - UAN Gated Content - Embedded Petition</v>
      </c>
      <c r="D1361" s="10">
        <f ca="1">IFERROR(__xludf.DUMMYFUNCTION("""COMPUTED_VALUE"""),45694)</f>
        <v>45694</v>
      </c>
      <c r="E1361" s="1" t="str">
        <f ca="1">IFERROR(__xludf.DUMMYFUNCTION("""COMPUTED_VALUE"""),"China")</f>
        <v>China</v>
      </c>
      <c r="F1361" s="1" t="str">
        <f ca="1">IFERROR(__xludf.DUMMYFUNCTION("""COMPUTED_VALUE"""),"98.24 China")</f>
        <v>98.24 China</v>
      </c>
      <c r="G1361" s="1" t="str">
        <f ca="1">IFERROR(__xludf.DUMMYFUNCTION("""COMPUTED_VALUE"""),"Freedom of Expression, Individuals At Risk")</f>
        <v>Freedom of Expression, Individuals At Risk</v>
      </c>
      <c r="H1361" s="1" t="str">
        <f ca="1">IFERROR(__xludf.DUMMYFUNCTION("""COMPUTED_VALUE"""),"2024")</f>
        <v>2024</v>
      </c>
      <c r="I1361" s="1" t="str">
        <f ca="1">IFERROR(__xludf.DUMMYFUNCTION("""COMPUTED_VALUE"""),"Letter")</f>
        <v>Letter</v>
      </c>
    </row>
    <row r="1362" spans="1:9" ht="13" x14ac:dyDescent="0.15">
      <c r="A1362" s="9">
        <f ca="1">IFERROR(__xludf.DUMMYFUNCTION("""COMPUTED_VALUE"""),124091599)</f>
        <v>124091599</v>
      </c>
      <c r="B1362" s="1" t="str">
        <f ca="1">IFERROR(__xludf.DUMMYFUNCTION("""COMPUTED_VALUE"""),"shirley.vernick@gmail.com")</f>
        <v>shirley.vernick@gmail.com</v>
      </c>
      <c r="C1362" s="9" t="str">
        <f ca="1">IFERROR(__xludf.DUMMYFUNCTION("""COMPUTED_VALUE"""),"EVERGREEN - UAN Gated Content - Embedded Petition")</f>
        <v>EVERGREEN - UAN Gated Content - Embedded Petition</v>
      </c>
      <c r="D1362" s="10">
        <f ca="1">IFERROR(__xludf.DUMMYFUNCTION("""COMPUTED_VALUE"""),45680)</f>
        <v>45680</v>
      </c>
      <c r="E1362" s="1" t="str">
        <f ca="1">IFERROR(__xludf.DUMMYFUNCTION("""COMPUTED_VALUE"""),"Egypt")</f>
        <v>Egypt</v>
      </c>
      <c r="F1362" s="1" t="str">
        <f ca="1">IFERROR(__xludf.DUMMYFUNCTION("""COMPUTED_VALUE"""),"Ninth 190.18 Egypt")</f>
        <v>Ninth 190.18 Egypt</v>
      </c>
      <c r="G1362" s="1" t="str">
        <f ca="1">IFERROR(__xludf.DUMMYFUNCTION("""COMPUTED_VALUE"""),"Freedom of Expression, Individuals At Risk")</f>
        <v>Freedom of Expression, Individuals At Risk</v>
      </c>
      <c r="H1362" s="1" t="str">
        <f ca="1">IFERROR(__xludf.DUMMYFUNCTION("""COMPUTED_VALUE"""),"2024")</f>
        <v>2024</v>
      </c>
      <c r="I1362" s="1" t="str">
        <f ca="1">IFERROR(__xludf.DUMMYFUNCTION("""COMPUTED_VALUE"""),"Letter")</f>
        <v>Letter</v>
      </c>
    </row>
    <row r="1363" spans="1:9" ht="13" x14ac:dyDescent="0.15">
      <c r="A1363" s="9">
        <f ca="1">IFERROR(__xludf.DUMMYFUNCTION("""COMPUTED_VALUE"""),124091599)</f>
        <v>124091599</v>
      </c>
      <c r="B1363" s="1" t="str">
        <f ca="1">IFERROR(__xludf.DUMMYFUNCTION("""COMPUTED_VALUE"""),"shirley.vernick@gmail.com")</f>
        <v>shirley.vernick@gmail.com</v>
      </c>
      <c r="C1363" s="9" t="str">
        <f ca="1">IFERROR(__xludf.DUMMYFUNCTION("""COMPUTED_VALUE"""),"EVERGREEN - UAN Gated Content - Embedded Petition")</f>
        <v>EVERGREEN - UAN Gated Content - Embedded Petition</v>
      </c>
      <c r="D1363" s="10">
        <f ca="1">IFERROR(__xludf.DUMMYFUNCTION("""COMPUTED_VALUE"""),45680)</f>
        <v>45680</v>
      </c>
      <c r="E1363" s="1" t="str">
        <f ca="1">IFERROR(__xludf.DUMMYFUNCTION("""COMPUTED_VALUE"""),"Venezuela")</f>
        <v>Venezuela</v>
      </c>
      <c r="F1363" s="1" t="str">
        <f ca="1">IFERROR(__xludf.DUMMYFUNCTION("""COMPUTED_VALUE"""),"97.24 Venezuela")</f>
        <v>97.24 Venezuela</v>
      </c>
      <c r="G1363" s="1" t="str">
        <f ca="1">IFERROR(__xludf.DUMMYFUNCTION("""COMPUTED_VALUE"""),"Freedom of Expression")</f>
        <v>Freedom of Expression</v>
      </c>
      <c r="H1363" s="1" t="str">
        <f ca="1">IFERROR(__xludf.DUMMYFUNCTION("""COMPUTED_VALUE"""),"2024")</f>
        <v>2024</v>
      </c>
      <c r="I1363" s="1" t="str">
        <f ca="1">IFERROR(__xludf.DUMMYFUNCTION("""COMPUTED_VALUE"""),"Letter")</f>
        <v>Letter</v>
      </c>
    </row>
    <row r="1364" spans="1:9" ht="13" x14ac:dyDescent="0.15">
      <c r="A1364" s="9">
        <f ca="1">IFERROR(__xludf.DUMMYFUNCTION("""COMPUTED_VALUE"""),124091599)</f>
        <v>124091599</v>
      </c>
      <c r="B1364" s="1" t="str">
        <f ca="1">IFERROR(__xludf.DUMMYFUNCTION("""COMPUTED_VALUE"""),"shirley.vernick@gmail.com")</f>
        <v>shirley.vernick@gmail.com</v>
      </c>
      <c r="C1364" s="9" t="str">
        <f ca="1">IFERROR(__xludf.DUMMYFUNCTION("""COMPUTED_VALUE"""),"EVERGREEN - UAN Gated Content - Embedded Petition")</f>
        <v>EVERGREEN - UAN Gated Content - Embedded Petition</v>
      </c>
      <c r="D1364" s="10">
        <f ca="1">IFERROR(__xludf.DUMMYFUNCTION("""COMPUTED_VALUE"""),45684)</f>
        <v>45684</v>
      </c>
      <c r="E1364" s="1" t="str">
        <f ca="1">IFERROR(__xludf.DUMMYFUNCTION("""COMPUTED_VALUE"""),"USA")</f>
        <v>USA</v>
      </c>
      <c r="F1364" s="1" t="str">
        <f ca="1">IFERROR(__xludf.DUMMYFUNCTION("""COMPUTED_VALUE"""),"105.24 USA")</f>
        <v>105.24 USA</v>
      </c>
      <c r="G1364" s="1" t="str">
        <f ca="1">IFERROR(__xludf.DUMMYFUNCTION("""COMPUTED_VALUE"""),"Death Penalty")</f>
        <v>Death Penalty</v>
      </c>
      <c r="H1364" s="1" t="str">
        <f ca="1">IFERROR(__xludf.DUMMYFUNCTION("""COMPUTED_VALUE"""),"2024")</f>
        <v>2024</v>
      </c>
      <c r="I1364" s="1" t="str">
        <f ca="1">IFERROR(__xludf.DUMMYFUNCTION("""COMPUTED_VALUE"""),"Email")</f>
        <v>Email</v>
      </c>
    </row>
    <row r="1365" spans="1:9" ht="13" x14ac:dyDescent="0.15">
      <c r="A1365" s="9">
        <f ca="1">IFERROR(__xludf.DUMMYFUNCTION("""COMPUTED_VALUE"""),124197325)</f>
        <v>124197325</v>
      </c>
      <c r="B1365" s="1" t="str">
        <f ca="1">IFERROR(__xludf.DUMMYFUNCTION("""COMPUTED_VALUE"""),"b_margay@yahoo.com")</f>
        <v>b_margay@yahoo.com</v>
      </c>
      <c r="C1365" s="9" t="str">
        <f ca="1">IFERROR(__xludf.DUMMYFUNCTION("""COMPUTED_VALUE"""),"EVERGREEN - UAN Gated Content - Embedded Petition")</f>
        <v>EVERGREEN - UAN Gated Content - Embedded Petition</v>
      </c>
      <c r="D1365" s="10">
        <f ca="1">IFERROR(__xludf.DUMMYFUNCTION("""COMPUTED_VALUE"""),45694)</f>
        <v>45694</v>
      </c>
      <c r="E1365" s="1" t="str">
        <f ca="1">IFERROR(__xludf.DUMMYFUNCTION("""COMPUTED_VALUE"""),"Tunisia")</f>
        <v>Tunisia</v>
      </c>
      <c r="F1365" s="1" t="str">
        <f ca="1">IFERROR(__xludf.DUMMYFUNCTION("""COMPUTED_VALUE"""),"Second 76.24 Tunisia")</f>
        <v>Second 76.24 Tunisia</v>
      </c>
      <c r="G1365" s="1" t="str">
        <f ca="1">IFERROR(__xludf.DUMMYFUNCTION("""COMPUTED_VALUE"""),"Freedom of Expression, Human Rights Defenders")</f>
        <v>Freedom of Expression, Human Rights Defenders</v>
      </c>
      <c r="H1365" s="1" t="str">
        <f ca="1">IFERROR(__xludf.DUMMYFUNCTION("""COMPUTED_VALUE"""),"2025")</f>
        <v>2025</v>
      </c>
      <c r="I1365" s="1" t="str">
        <f ca="1">IFERROR(__xludf.DUMMYFUNCTION("""COMPUTED_VALUE"""),"Email")</f>
        <v>Email</v>
      </c>
    </row>
    <row r="1366" spans="1:9" ht="13" x14ac:dyDescent="0.15">
      <c r="A1366" s="9">
        <f ca="1">IFERROR(__xludf.DUMMYFUNCTION("""COMPUTED_VALUE"""),124197325)</f>
        <v>124197325</v>
      </c>
      <c r="B1366" s="1" t="str">
        <f ca="1">IFERROR(__xludf.DUMMYFUNCTION("""COMPUTED_VALUE"""),"b_margay@yahoo.com")</f>
        <v>b_margay@yahoo.com</v>
      </c>
      <c r="C1366" s="9" t="str">
        <f ca="1">IFERROR(__xludf.DUMMYFUNCTION("""COMPUTED_VALUE"""),"EVERGREEN - UAN Gated Content - Embedded Petition")</f>
        <v>EVERGREEN - UAN Gated Content - Embedded Petition</v>
      </c>
      <c r="D1366" s="10">
        <f ca="1">IFERROR(__xludf.DUMMYFUNCTION("""COMPUTED_VALUE"""),45675)</f>
        <v>45675</v>
      </c>
      <c r="E1366" s="1" t="str">
        <f ca="1">IFERROR(__xludf.DUMMYFUNCTION("""COMPUTED_VALUE"""),"Israel and Occupied Palestinian Territories")</f>
        <v>Israel and Occupied Palestinian Territories</v>
      </c>
      <c r="F1366" s="1" t="str">
        <f ca="1">IFERROR(__xludf.DUMMYFUNCTION("""COMPUTED_VALUE"""),"3.25 IOPT")</f>
        <v>3.25 IOPT</v>
      </c>
      <c r="G1366" s="1" t="str">
        <f ca="1">IFERROR(__xludf.DUMMYFUNCTION("""COMPUTED_VALUE"""),"Freedom of Expression, Individuals At Risk")</f>
        <v>Freedom of Expression, Individuals At Risk</v>
      </c>
      <c r="H1366" s="1" t="str">
        <f ca="1">IFERROR(__xludf.DUMMYFUNCTION("""COMPUTED_VALUE"""),"2025")</f>
        <v>2025</v>
      </c>
      <c r="I1366" s="1" t="str">
        <f ca="1">IFERROR(__xludf.DUMMYFUNCTION("""COMPUTED_VALUE"""),"Email")</f>
        <v>Email</v>
      </c>
    </row>
    <row r="1367" spans="1:9" ht="13" x14ac:dyDescent="0.15">
      <c r="A1367" s="9">
        <f ca="1">IFERROR(__xludf.DUMMYFUNCTION("""COMPUTED_VALUE"""),124231681)</f>
        <v>124231681</v>
      </c>
      <c r="B1367" s="1" t="str">
        <f ca="1">IFERROR(__xludf.DUMMYFUNCTION("""COMPUTED_VALUE"""),"debby20878@yahoo.com")</f>
        <v>debby20878@yahoo.com</v>
      </c>
      <c r="C1367" s="9" t="str">
        <f ca="1">IFERROR(__xludf.DUMMYFUNCTION("""COMPUTED_VALUE"""),"EVERGREEN - UAN Gated Content - Embedded Petition")</f>
        <v>EVERGREEN - UAN Gated Content - Embedded Petition</v>
      </c>
      <c r="D1367" s="10">
        <f ca="1">IFERROR(__xludf.DUMMYFUNCTION("""COMPUTED_VALUE"""),45705)</f>
        <v>45705</v>
      </c>
      <c r="E1367" s="1" t="str">
        <f ca="1">IFERROR(__xludf.DUMMYFUNCTION("""COMPUTED_VALUE"""),"Tunisia")</f>
        <v>Tunisia</v>
      </c>
      <c r="F1367" s="1" t="str">
        <f ca="1">IFERROR(__xludf.DUMMYFUNCTION("""COMPUTED_VALUE"""),"Second 76.24 Tunisia")</f>
        <v>Second 76.24 Tunisia</v>
      </c>
      <c r="G1367" s="1" t="str">
        <f ca="1">IFERROR(__xludf.DUMMYFUNCTION("""COMPUTED_VALUE"""),"Freedom of Expression, Human Rights Defenders")</f>
        <v>Freedom of Expression, Human Rights Defenders</v>
      </c>
      <c r="H1367" s="1" t="str">
        <f ca="1">IFERROR(__xludf.DUMMYFUNCTION("""COMPUTED_VALUE"""),"2025")</f>
        <v>2025</v>
      </c>
      <c r="I1367" s="1" t="str">
        <f ca="1">IFERROR(__xludf.DUMMYFUNCTION("""COMPUTED_VALUE"""),"Email")</f>
        <v>Email</v>
      </c>
    </row>
    <row r="1368" spans="1:9" ht="13" x14ac:dyDescent="0.15">
      <c r="A1368" s="9">
        <f ca="1">IFERROR(__xludf.DUMMYFUNCTION("""COMPUTED_VALUE"""),124365896)</f>
        <v>124365896</v>
      </c>
      <c r="B1368" s="1" t="str">
        <f ca="1">IFERROR(__xludf.DUMMYFUNCTION("""COMPUTED_VALUE"""),"azanella@jsd.claremont.edu")</f>
        <v>azanella@jsd.claremont.edu</v>
      </c>
      <c r="C1368" s="9" t="str">
        <f ca="1">IFERROR(__xludf.DUMMYFUNCTION("""COMPUTED_VALUE"""),"EVERGREEN - UAN Gated Content - Embedded Petition")</f>
        <v>EVERGREEN - UAN Gated Content - Embedded Petition</v>
      </c>
      <c r="D1368" s="10">
        <f ca="1">IFERROR(__xludf.DUMMYFUNCTION("""COMPUTED_VALUE"""),45700)</f>
        <v>45700</v>
      </c>
      <c r="E1368" s="1" t="str">
        <f ca="1">IFERROR(__xludf.DUMMYFUNCTION("""COMPUTED_VALUE"""),"Tunisia")</f>
        <v>Tunisia</v>
      </c>
      <c r="F1368" s="1" t="str">
        <f ca="1">IFERROR(__xludf.DUMMYFUNCTION("""COMPUTED_VALUE"""),"Second 76.24 Tunisia")</f>
        <v>Second 76.24 Tunisia</v>
      </c>
      <c r="G1368" s="1" t="str">
        <f ca="1">IFERROR(__xludf.DUMMYFUNCTION("""COMPUTED_VALUE"""),"Freedom of Expression, Human Rights Defenders")</f>
        <v>Freedom of Expression, Human Rights Defenders</v>
      </c>
      <c r="H1368" s="1" t="str">
        <f ca="1">IFERROR(__xludf.DUMMYFUNCTION("""COMPUTED_VALUE"""),"2025")</f>
        <v>2025</v>
      </c>
      <c r="I1368" s="1" t="str">
        <f ca="1">IFERROR(__xludf.DUMMYFUNCTION("""COMPUTED_VALUE"""),"Email")</f>
        <v>Email</v>
      </c>
    </row>
    <row r="1369" spans="1:9" ht="13" x14ac:dyDescent="0.15">
      <c r="A1369" s="9">
        <f ca="1">IFERROR(__xludf.DUMMYFUNCTION("""COMPUTED_VALUE"""),124365896)</f>
        <v>124365896</v>
      </c>
      <c r="B1369" s="1" t="str">
        <f ca="1">IFERROR(__xludf.DUMMYFUNCTION("""COMPUTED_VALUE"""),"azanella@jsd.claremont.edu")</f>
        <v>azanella@jsd.claremont.edu</v>
      </c>
      <c r="C1369" s="9" t="str">
        <f ca="1">IFERROR(__xludf.DUMMYFUNCTION("""COMPUTED_VALUE"""),"EVERGREEN - UAN Gated Content - Embedded Petition")</f>
        <v>EVERGREEN - UAN Gated Content - Embedded Petition</v>
      </c>
      <c r="D1369" s="10">
        <f ca="1">IFERROR(__xludf.DUMMYFUNCTION("""COMPUTED_VALUE"""),45699)</f>
        <v>45699</v>
      </c>
      <c r="E1369" s="1" t="str">
        <f ca="1">IFERROR(__xludf.DUMMYFUNCTION("""COMPUTED_VALUE"""),"Iran")</f>
        <v>Iran</v>
      </c>
      <c r="F1369" s="1" t="str">
        <f ca="1">IFERROR(__xludf.DUMMYFUNCTION("""COMPUTED_VALUE"""),"10.25 Iran")</f>
        <v>10.25 Iran</v>
      </c>
      <c r="G1369" s="1" t="str">
        <f ca="1">IFERROR(__xludf.DUMMYFUNCTION("""COMPUTED_VALUE"""),"Death Penalty, Individuals At Risk")</f>
        <v>Death Penalty, Individuals At Risk</v>
      </c>
      <c r="H1369" s="1" t="str">
        <f ca="1">IFERROR(__xludf.DUMMYFUNCTION("""COMPUTED_VALUE"""),"2025")</f>
        <v>2025</v>
      </c>
      <c r="I1369" s="1" t="str">
        <f ca="1">IFERROR(__xludf.DUMMYFUNCTION("""COMPUTED_VALUE"""),"Email")</f>
        <v>Email</v>
      </c>
    </row>
    <row r="1370" spans="1:9" ht="13" x14ac:dyDescent="0.15">
      <c r="A1370" s="9">
        <f ca="1">IFERROR(__xludf.DUMMYFUNCTION("""COMPUTED_VALUE"""),124365896)</f>
        <v>124365896</v>
      </c>
      <c r="B1370" s="1" t="str">
        <f ca="1">IFERROR(__xludf.DUMMYFUNCTION("""COMPUTED_VALUE"""),"azanella@jsd.claremont.edu")</f>
        <v>azanella@jsd.claremont.edu</v>
      </c>
      <c r="C1370" s="9" t="str">
        <f ca="1">IFERROR(__xludf.DUMMYFUNCTION("""COMPUTED_VALUE"""),"EVERGREEN - UAN Gated Content - Embedded Petition")</f>
        <v>EVERGREEN - UAN Gated Content - Embedded Petition</v>
      </c>
      <c r="D1370" s="10">
        <f ca="1">IFERROR(__xludf.DUMMYFUNCTION("""COMPUTED_VALUE"""),45700)</f>
        <v>45700</v>
      </c>
      <c r="E1370" s="1" t="str">
        <f ca="1">IFERROR(__xludf.DUMMYFUNCTION("""COMPUTED_VALUE"""),"Iran")</f>
        <v>Iran</v>
      </c>
      <c r="F1370" s="1" t="str">
        <f ca="1">IFERROR(__xludf.DUMMYFUNCTION("""COMPUTED_VALUE"""),"6.25 Iran")</f>
        <v>6.25 Iran</v>
      </c>
      <c r="G1370" s="1" t="str">
        <f ca="1">IFERROR(__xludf.DUMMYFUNCTION("""COMPUTED_VALUE"""),"Death Penalty, Freedom of Expression, Individuals At Risk")</f>
        <v>Death Penalty, Freedom of Expression, Individuals At Risk</v>
      </c>
      <c r="H1370" s="1" t="str">
        <f ca="1">IFERROR(__xludf.DUMMYFUNCTION("""COMPUTED_VALUE"""),"2025")</f>
        <v>2025</v>
      </c>
      <c r="I1370" s="1" t="str">
        <f ca="1">IFERROR(__xludf.DUMMYFUNCTION("""COMPUTED_VALUE"""),"Email")</f>
        <v>Email</v>
      </c>
    </row>
    <row r="1371" spans="1:9" ht="13" x14ac:dyDescent="0.15">
      <c r="A1371" s="9">
        <f ca="1">IFERROR(__xludf.DUMMYFUNCTION("""COMPUTED_VALUE"""),124365896)</f>
        <v>124365896</v>
      </c>
      <c r="B1371" s="1" t="str">
        <f ca="1">IFERROR(__xludf.DUMMYFUNCTION("""COMPUTED_VALUE"""),"azanella@jsd.claremont.edu")</f>
        <v>azanella@jsd.claremont.edu</v>
      </c>
      <c r="C1371" s="9" t="str">
        <f ca="1">IFERROR(__xludf.DUMMYFUNCTION("""COMPUTED_VALUE"""),"EVERGREEN - UAN Gated Content - Embedded Petition")</f>
        <v>EVERGREEN - UAN Gated Content - Embedded Petition</v>
      </c>
      <c r="D1371" s="10">
        <f ca="1">IFERROR(__xludf.DUMMYFUNCTION("""COMPUTED_VALUE"""),45699)</f>
        <v>45699</v>
      </c>
      <c r="E1371" s="1" t="str">
        <f ca="1">IFERROR(__xludf.DUMMYFUNCTION("""COMPUTED_VALUE"""),"Turkiye")</f>
        <v>Turkiye</v>
      </c>
      <c r="F1371" s="1" t="str">
        <f ca="1">IFERROR(__xludf.DUMMYFUNCTION("""COMPUTED_VALUE"""),"Second 109.24 Türkiye")</f>
        <v>Second 109.24 Türkiye</v>
      </c>
      <c r="G1371" s="1" t="str">
        <f ca="1">IFERROR(__xludf.DUMMYFUNCTION("""COMPUTED_VALUE"""),"Human Rights Defenders")</f>
        <v>Human Rights Defenders</v>
      </c>
      <c r="H1371" s="1" t="str">
        <f ca="1">IFERROR(__xludf.DUMMYFUNCTION("""COMPUTED_VALUE"""),"2025")</f>
        <v>2025</v>
      </c>
      <c r="I1371" s="1" t="str">
        <f ca="1">IFERROR(__xludf.DUMMYFUNCTION("""COMPUTED_VALUE"""),"Email")</f>
        <v>Email</v>
      </c>
    </row>
    <row r="1372" spans="1:9" ht="13" x14ac:dyDescent="0.15">
      <c r="A1372" s="9">
        <f ca="1">IFERROR(__xludf.DUMMYFUNCTION("""COMPUTED_VALUE"""),124365896)</f>
        <v>124365896</v>
      </c>
      <c r="B1372" s="1" t="str">
        <f ca="1">IFERROR(__xludf.DUMMYFUNCTION("""COMPUTED_VALUE"""),"azanella@jsd.claremont.edu")</f>
        <v>azanella@jsd.claremont.edu</v>
      </c>
      <c r="C1372" s="9" t="str">
        <f ca="1">IFERROR(__xludf.DUMMYFUNCTION("""COMPUTED_VALUE"""),"EVERGREEN - UAN Gated Content - Embedded Petition")</f>
        <v>EVERGREEN - UAN Gated Content - Embedded Petition</v>
      </c>
      <c r="D1372" s="10">
        <f ca="1">IFERROR(__xludf.DUMMYFUNCTION("""COMPUTED_VALUE"""),45702)</f>
        <v>45702</v>
      </c>
      <c r="E1372" s="1" t="str">
        <f ca="1">IFERROR(__xludf.DUMMYFUNCTION("""COMPUTED_VALUE"""),"USA")</f>
        <v>USA</v>
      </c>
      <c r="F1372" s="1" t="str">
        <f ca="1">IFERROR(__xludf.DUMMYFUNCTION("""COMPUTED_VALUE"""),"4.25 USA")</f>
        <v>4.25 USA</v>
      </c>
      <c r="G1372" s="1" t="str">
        <f ca="1">IFERROR(__xludf.DUMMYFUNCTION("""COMPUTED_VALUE"""),"Individuals At Risk, Refugee and Migrant Rights")</f>
        <v>Individuals At Risk, Refugee and Migrant Rights</v>
      </c>
      <c r="H1372" s="1" t="str">
        <f ca="1">IFERROR(__xludf.DUMMYFUNCTION("""COMPUTED_VALUE"""),"2025")</f>
        <v>2025</v>
      </c>
      <c r="I1372" s="1" t="str">
        <f ca="1">IFERROR(__xludf.DUMMYFUNCTION("""COMPUTED_VALUE"""),"Letter")</f>
        <v>Letter</v>
      </c>
    </row>
    <row r="1373" spans="1:9" ht="13" x14ac:dyDescent="0.15">
      <c r="A1373" s="9">
        <f ca="1">IFERROR(__xludf.DUMMYFUNCTION("""COMPUTED_VALUE"""),124365896)</f>
        <v>124365896</v>
      </c>
      <c r="B1373" s="1" t="str">
        <f ca="1">IFERROR(__xludf.DUMMYFUNCTION("""COMPUTED_VALUE"""),"azanella@jsd.claremont.edu")</f>
        <v>azanella@jsd.claremont.edu</v>
      </c>
      <c r="C1373" s="9" t="str">
        <f ca="1">IFERROR(__xludf.DUMMYFUNCTION("""COMPUTED_VALUE"""),"EVERGREEN - UAN Gated Content - Embedded Petition")</f>
        <v>EVERGREEN - UAN Gated Content - Embedded Petition</v>
      </c>
      <c r="D1373" s="10">
        <f ca="1">IFERROR(__xludf.DUMMYFUNCTION("""COMPUTED_VALUE"""),45701)</f>
        <v>45701</v>
      </c>
      <c r="E1373" s="1" t="str">
        <f ca="1">IFERROR(__xludf.DUMMYFUNCTION("""COMPUTED_VALUE"""),"Iran")</f>
        <v>Iran</v>
      </c>
      <c r="F1373" s="1" t="str">
        <f ca="1">IFERROR(__xludf.DUMMYFUNCTION("""COMPUTED_VALUE"""),"Seventh 103.22 Iran")</f>
        <v>Seventh 103.22 Iran</v>
      </c>
      <c r="G1373" s="1" t="str">
        <f ca="1">IFERROR(__xludf.DUMMYFUNCTION("""COMPUTED_VALUE"""),"Death Penalty, Freedom of Expression, Individuals At Risk")</f>
        <v>Death Penalty, Freedom of Expression, Individuals At Risk</v>
      </c>
      <c r="H1373" s="1" t="str">
        <f ca="1">IFERROR(__xludf.DUMMYFUNCTION("""COMPUTED_VALUE"""),"2024")</f>
        <v>2024</v>
      </c>
      <c r="I1373" s="1" t="str">
        <f ca="1">IFERROR(__xludf.DUMMYFUNCTION("""COMPUTED_VALUE"""),"Email")</f>
        <v>Email</v>
      </c>
    </row>
    <row r="1374" spans="1:9" ht="13" x14ac:dyDescent="0.15">
      <c r="A1374" s="9">
        <f ca="1">IFERROR(__xludf.DUMMYFUNCTION("""COMPUTED_VALUE"""),124365896)</f>
        <v>124365896</v>
      </c>
      <c r="B1374" s="1" t="str">
        <f ca="1">IFERROR(__xludf.DUMMYFUNCTION("""COMPUTED_VALUE"""),"azanella@jsd.claremont.edu")</f>
        <v>azanella@jsd.claremont.edu</v>
      </c>
      <c r="C1374" s="9" t="str">
        <f ca="1">IFERROR(__xludf.DUMMYFUNCTION("""COMPUTED_VALUE"""),"EVERGREEN - UAN Gated Content - Embedded Petition")</f>
        <v>EVERGREEN - UAN Gated Content - Embedded Petition</v>
      </c>
      <c r="D1374" s="10">
        <f ca="1">IFERROR(__xludf.DUMMYFUNCTION("""COMPUTED_VALUE"""),45700)</f>
        <v>45700</v>
      </c>
      <c r="E1374" s="1" t="str">
        <f ca="1">IFERROR(__xludf.DUMMYFUNCTION("""COMPUTED_VALUE"""),"Iran")</f>
        <v>Iran</v>
      </c>
      <c r="F1374" s="1" t="str">
        <f ca="1">IFERROR(__xludf.DUMMYFUNCTION("""COMPUTED_VALUE"""),"Seventh 103.22 Iran")</f>
        <v>Seventh 103.22 Iran</v>
      </c>
      <c r="G1374" s="1" t="str">
        <f ca="1">IFERROR(__xludf.DUMMYFUNCTION("""COMPUTED_VALUE"""),"Death Penalty, Freedom of Expression, Individuals At Risk")</f>
        <v>Death Penalty, Freedom of Expression, Individuals At Risk</v>
      </c>
      <c r="H1374" s="1" t="str">
        <f ca="1">IFERROR(__xludf.DUMMYFUNCTION("""COMPUTED_VALUE"""),"2024")</f>
        <v>2024</v>
      </c>
      <c r="I1374" s="1" t="str">
        <f ca="1">IFERROR(__xludf.DUMMYFUNCTION("""COMPUTED_VALUE"""),"Email")</f>
        <v>Email</v>
      </c>
    </row>
    <row r="1375" spans="1:9" ht="13" x14ac:dyDescent="0.15">
      <c r="A1375" s="9">
        <f ca="1">IFERROR(__xludf.DUMMYFUNCTION("""COMPUTED_VALUE"""),124432460)</f>
        <v>124432460</v>
      </c>
      <c r="B1375" s="1" t="str">
        <f ca="1">IFERROR(__xludf.DUMMYFUNCTION("""COMPUTED_VALUE"""),"jilevy55@gmail.com")</f>
        <v>jilevy55@gmail.com</v>
      </c>
      <c r="C1375" s="9" t="str">
        <f ca="1">IFERROR(__xludf.DUMMYFUNCTION("""COMPUTED_VALUE"""),"EVERGREEN - UAN Gated Content - Embedded Petition")</f>
        <v>EVERGREEN - UAN Gated Content - Embedded Petition</v>
      </c>
      <c r="D1375" s="10">
        <f ca="1">IFERROR(__xludf.DUMMYFUNCTION("""COMPUTED_VALUE"""),45694)</f>
        <v>45694</v>
      </c>
      <c r="E1375" s="1" t="str">
        <f ca="1">IFERROR(__xludf.DUMMYFUNCTION("""COMPUTED_VALUE"""),"USA")</f>
        <v>USA</v>
      </c>
      <c r="F1375" s="1" t="str">
        <f ca="1">IFERROR(__xludf.DUMMYFUNCTION("""COMPUTED_VALUE"""),"105.24 USA")</f>
        <v>105.24 USA</v>
      </c>
      <c r="G1375" s="1" t="str">
        <f ca="1">IFERROR(__xludf.DUMMYFUNCTION("""COMPUTED_VALUE"""),"Death Penalty")</f>
        <v>Death Penalty</v>
      </c>
      <c r="H1375" s="1" t="str">
        <f ca="1">IFERROR(__xludf.DUMMYFUNCTION("""COMPUTED_VALUE"""),"2024")</f>
        <v>2024</v>
      </c>
      <c r="I1375" s="1" t="str">
        <f ca="1">IFERROR(__xludf.DUMMYFUNCTION("""COMPUTED_VALUE"""),"Email")</f>
        <v>Email</v>
      </c>
    </row>
    <row r="1376" spans="1:9" ht="13" x14ac:dyDescent="0.15">
      <c r="A1376" s="9">
        <f ca="1">IFERROR(__xludf.DUMMYFUNCTION("""COMPUTED_VALUE"""),124926707)</f>
        <v>124926707</v>
      </c>
      <c r="B1376" s="1" t="str">
        <f ca="1">IFERROR(__xludf.DUMMYFUNCTION("""COMPUTED_VALUE"""),"mltessler88@gmail.com")</f>
        <v>mltessler88@gmail.com</v>
      </c>
      <c r="C1376" s="9" t="str">
        <f ca="1">IFERROR(__xludf.DUMMYFUNCTION("""COMPUTED_VALUE"""),"EVERGREEN - UAN Gated Content - Embedded Petition")</f>
        <v>EVERGREEN - UAN Gated Content - Embedded Petition</v>
      </c>
      <c r="D1376" s="10">
        <f ca="1">IFERROR(__xludf.DUMMYFUNCTION("""COMPUTED_VALUE"""),45636)</f>
        <v>45636</v>
      </c>
      <c r="E1376" s="1" t="str">
        <f ca="1">IFERROR(__xludf.DUMMYFUNCTION("""COMPUTED_VALUE"""),"USA")</f>
        <v>USA</v>
      </c>
      <c r="F1376" s="1" t="str">
        <f ca="1">IFERROR(__xludf.DUMMYFUNCTION("""COMPUTED_VALUE"""),"Fourth 55.24 USA")</f>
        <v>Fourth 55.24 USA</v>
      </c>
      <c r="G1376" s="1" t="str">
        <f ca="1">IFERROR(__xludf.DUMMYFUNCTION("""COMPUTED_VALUE"""),"Climate Justice, Individuals At Risk")</f>
        <v>Climate Justice, Individuals At Risk</v>
      </c>
      <c r="H1376" s="1" t="str">
        <f ca="1">IFERROR(__xludf.DUMMYFUNCTION("""COMPUTED_VALUE"""),"2025")</f>
        <v>2025</v>
      </c>
      <c r="I1376" s="1" t="str">
        <f ca="1">IFERROR(__xludf.DUMMYFUNCTION("""COMPUTED_VALUE"""),"Email")</f>
        <v>Email</v>
      </c>
    </row>
    <row r="1377" spans="1:9" ht="13" x14ac:dyDescent="0.15">
      <c r="A1377" s="9">
        <f ca="1">IFERROR(__xludf.DUMMYFUNCTION("""COMPUTED_VALUE"""),124926707)</f>
        <v>124926707</v>
      </c>
      <c r="B1377" s="1" t="str">
        <f ca="1">IFERROR(__xludf.DUMMYFUNCTION("""COMPUTED_VALUE"""),"mltessler88@gmail.com")</f>
        <v>mltessler88@gmail.com</v>
      </c>
      <c r="C1377" s="9" t="str">
        <f ca="1">IFERROR(__xludf.DUMMYFUNCTION("""COMPUTED_VALUE"""),"EVERGREEN - Website Email Capture Form - UAN Pre-Footer")</f>
        <v>EVERGREEN - Website Email Capture Form - UAN Pre-Footer</v>
      </c>
      <c r="D1377" s="10">
        <f ca="1">IFERROR(__xludf.DUMMYFUNCTION("""COMPUTED_VALUE"""),45655)</f>
        <v>45655</v>
      </c>
      <c r="E1377" s="1" t="str">
        <f ca="1">IFERROR(__xludf.DUMMYFUNCTION("""COMPUTED_VALUE"""),"Israel and Occupied Palestinian Territories")</f>
        <v>Israel and Occupied Palestinian Territories</v>
      </c>
      <c r="F1377" s="1" t="str">
        <f ca="1">IFERROR(__xludf.DUMMYFUNCTION("""COMPUTED_VALUE"""),"3.25 IOPT")</f>
        <v>3.25 IOPT</v>
      </c>
      <c r="G1377" s="1" t="str">
        <f ca="1">IFERROR(__xludf.DUMMYFUNCTION("""COMPUTED_VALUE"""),"Freedom of Expression, Individuals At Risk")</f>
        <v>Freedom of Expression, Individuals At Risk</v>
      </c>
      <c r="H1377" s="1" t="str">
        <f ca="1">IFERROR(__xludf.DUMMYFUNCTION("""COMPUTED_VALUE"""),"2025")</f>
        <v>2025</v>
      </c>
      <c r="I1377" s="1" t="str">
        <f ca="1">IFERROR(__xludf.DUMMYFUNCTION("""COMPUTED_VALUE"""),"Email")</f>
        <v>Email</v>
      </c>
    </row>
    <row r="1378" spans="1:9" ht="13" x14ac:dyDescent="0.15">
      <c r="A1378" s="9">
        <f ca="1">IFERROR(__xludf.DUMMYFUNCTION("""COMPUTED_VALUE"""),124926707)</f>
        <v>124926707</v>
      </c>
      <c r="B1378" s="1" t="str">
        <f ca="1">IFERROR(__xludf.DUMMYFUNCTION("""COMPUTED_VALUE"""),"mltessler88@gmail.com")</f>
        <v>mltessler88@gmail.com</v>
      </c>
      <c r="C1378" s="9" t="str">
        <f ca="1">IFERROR(__xludf.DUMMYFUNCTION("""COMPUTED_VALUE"""),"EVERGREEN - Website Email Capture Form - UAN Pre-Footer")</f>
        <v>EVERGREEN - Website Email Capture Form - UAN Pre-Footer</v>
      </c>
      <c r="D1378" s="10">
        <f ca="1">IFERROR(__xludf.DUMMYFUNCTION("""COMPUTED_VALUE"""),45675)</f>
        <v>45675</v>
      </c>
      <c r="E1378" s="1" t="str">
        <f ca="1">IFERROR(__xludf.DUMMYFUNCTION("""COMPUTED_VALUE"""),"Canada")</f>
        <v>Canada</v>
      </c>
      <c r="F1378" s="1" t="str">
        <f ca="1">IFERROR(__xludf.DUMMYFUNCTION("""COMPUTED_VALUE"""),"99.24 Canada")</f>
        <v>99.24 Canada</v>
      </c>
      <c r="G1378" s="1" t="str">
        <f ca="1">IFERROR(__xludf.DUMMYFUNCTION("""COMPUTED_VALUE"""),"Climate Justice, Indigenous Rights, Right to Protest")</f>
        <v>Climate Justice, Indigenous Rights, Right to Protest</v>
      </c>
      <c r="H1378" s="1" t="str">
        <f ca="1">IFERROR(__xludf.DUMMYFUNCTION("""COMPUTED_VALUE"""),"2024")</f>
        <v>2024</v>
      </c>
      <c r="I1378" s="1" t="str">
        <f ca="1">IFERROR(__xludf.DUMMYFUNCTION("""COMPUTED_VALUE"""),"Letter")</f>
        <v>Letter</v>
      </c>
    </row>
    <row r="1379" spans="1:9" ht="13" x14ac:dyDescent="0.15">
      <c r="A1379" s="9">
        <f ca="1">IFERROR(__xludf.DUMMYFUNCTION("""COMPUTED_VALUE"""),125096057)</f>
        <v>125096057</v>
      </c>
      <c r="B1379" s="1" t="str">
        <f ca="1">IFERROR(__xludf.DUMMYFUNCTION("""COMPUTED_VALUE"""),"luckydog@tutamail.com")</f>
        <v>luckydog@tutamail.com</v>
      </c>
      <c r="C1379" s="9" t="str">
        <f ca="1">IFERROR(__xludf.DUMMYFUNCTION("""COMPUTED_VALUE"""),"EVERGREEN - UAN Gated Content - Embedded Petition")</f>
        <v>EVERGREEN - UAN Gated Content - Embedded Petition</v>
      </c>
      <c r="D1379" s="10">
        <f ca="1">IFERROR(__xludf.DUMMYFUNCTION("""COMPUTED_VALUE"""),45680)</f>
        <v>45680</v>
      </c>
      <c r="E1379" s="1" t="str">
        <f ca="1">IFERROR(__xludf.DUMMYFUNCTION("""COMPUTED_VALUE"""),"Iran")</f>
        <v>Iran</v>
      </c>
      <c r="F1379" s="1" t="str">
        <f ca="1">IFERROR(__xludf.DUMMYFUNCTION("""COMPUTED_VALUE"""),"101.24 Iran")</f>
        <v>101.24 Iran</v>
      </c>
      <c r="G1379" s="1" t="str">
        <f ca="1">IFERROR(__xludf.DUMMYFUNCTION("""COMPUTED_VALUE"""),"Death Penalty, Freedom of Expression, Individuals At Risk, Right to Protest")</f>
        <v>Death Penalty, Freedom of Expression, Individuals At Risk, Right to Protest</v>
      </c>
      <c r="H1379" s="1" t="str">
        <f ca="1">IFERROR(__xludf.DUMMYFUNCTION("""COMPUTED_VALUE"""),"2024")</f>
        <v>2024</v>
      </c>
      <c r="I1379" s="1" t="str">
        <f ca="1">IFERROR(__xludf.DUMMYFUNCTION("""COMPUTED_VALUE"""),"Email")</f>
        <v>Email</v>
      </c>
    </row>
    <row r="1380" spans="1:9" ht="13" x14ac:dyDescent="0.15">
      <c r="A1380" s="9">
        <f ca="1">IFERROR(__xludf.DUMMYFUNCTION("""COMPUTED_VALUE"""),125096057)</f>
        <v>125096057</v>
      </c>
      <c r="B1380" s="1" t="str">
        <f ca="1">IFERROR(__xludf.DUMMYFUNCTION("""COMPUTED_VALUE"""),"luckydog@tutamail.com")</f>
        <v>luckydog@tutamail.com</v>
      </c>
      <c r="C1380" s="9" t="str">
        <f ca="1">IFERROR(__xludf.DUMMYFUNCTION("""COMPUTED_VALUE"""),"EVERGREEN - UAN Gated Content - Embedded Petition")</f>
        <v>EVERGREEN - UAN Gated Content - Embedded Petition</v>
      </c>
      <c r="D1380" s="10">
        <f ca="1">IFERROR(__xludf.DUMMYFUNCTION("""COMPUTED_VALUE"""),45652)</f>
        <v>45652</v>
      </c>
      <c r="E1380" s="1" t="str">
        <f ca="1">IFERROR(__xludf.DUMMYFUNCTION("""COMPUTED_VALUE"""),"")</f>
        <v/>
      </c>
      <c r="F1380" s="1" t="str">
        <f ca="1">IFERROR(__xludf.DUMMYFUNCTION("""COMPUTED_VALUE"""),"104.24 Saudi Arabia")</f>
        <v>104.24 Saudi Arabia</v>
      </c>
      <c r="G1380" s="1" t="str">
        <f ca="1">IFERROR(__xludf.DUMMYFUNCTION("""COMPUTED_VALUE"""),"")</f>
        <v/>
      </c>
      <c r="H1380" s="1" t="str">
        <f ca="1">IFERROR(__xludf.DUMMYFUNCTION("""COMPUTED_VALUE"""),"2024")</f>
        <v>2024</v>
      </c>
      <c r="I1380" s="1" t="str">
        <f ca="1">IFERROR(__xludf.DUMMYFUNCTION("""COMPUTED_VALUE"""),"Letter")</f>
        <v>Letter</v>
      </c>
    </row>
    <row r="1381" spans="1:9" ht="13" x14ac:dyDescent="0.15">
      <c r="A1381" s="9">
        <f ca="1">IFERROR(__xludf.DUMMYFUNCTION("""COMPUTED_VALUE"""),125096057)</f>
        <v>125096057</v>
      </c>
      <c r="B1381" s="1" t="str">
        <f ca="1">IFERROR(__xludf.DUMMYFUNCTION("""COMPUTED_VALUE"""),"luckydog@tutamail.com")</f>
        <v>luckydog@tutamail.com</v>
      </c>
      <c r="C1381" s="9" t="str">
        <f ca="1">IFERROR(__xludf.DUMMYFUNCTION("""COMPUTED_VALUE"""),"EVERGREEN - UAN Gated Content - Embedded Petition")</f>
        <v>EVERGREEN - UAN Gated Content - Embedded Petition</v>
      </c>
      <c r="D1381" s="10">
        <f ca="1">IFERROR(__xludf.DUMMYFUNCTION("""COMPUTED_VALUE"""),45652)</f>
        <v>45652</v>
      </c>
      <c r="E1381" s="1" t="str">
        <f ca="1">IFERROR(__xludf.DUMMYFUNCTION("""COMPUTED_VALUE"""),"Singapore")</f>
        <v>Singapore</v>
      </c>
      <c r="F1381" s="1" t="str">
        <f ca="1">IFERROR(__xludf.DUMMYFUNCTION("""COMPUTED_VALUE"""),"107.24 Singapore")</f>
        <v>107.24 Singapore</v>
      </c>
      <c r="G1381" s="1" t="str">
        <f ca="1">IFERROR(__xludf.DUMMYFUNCTION("""COMPUTED_VALUE"""),"Death Penalty")</f>
        <v>Death Penalty</v>
      </c>
      <c r="H1381" s="1" t="str">
        <f ca="1">IFERROR(__xludf.DUMMYFUNCTION("""COMPUTED_VALUE"""),"2024")</f>
        <v>2024</v>
      </c>
      <c r="I1381" s="1" t="str">
        <f ca="1">IFERROR(__xludf.DUMMYFUNCTION("""COMPUTED_VALUE"""),"Email")</f>
        <v>Email</v>
      </c>
    </row>
    <row r="1382" spans="1:9" ht="13" x14ac:dyDescent="0.15">
      <c r="A1382" s="9">
        <f ca="1">IFERROR(__xludf.DUMMYFUNCTION("""COMPUTED_VALUE"""),125096057)</f>
        <v>125096057</v>
      </c>
      <c r="B1382" s="1" t="str">
        <f ca="1">IFERROR(__xludf.DUMMYFUNCTION("""COMPUTED_VALUE"""),"luckydog@tutamail.com")</f>
        <v>luckydog@tutamail.com</v>
      </c>
      <c r="C1382" s="9" t="str">
        <f ca="1">IFERROR(__xludf.DUMMYFUNCTION("""COMPUTED_VALUE"""),"EVERGREEN - UAN Gated Content - Embedded Petition")</f>
        <v>EVERGREEN - UAN Gated Content - Embedded Petition</v>
      </c>
      <c r="D1382" s="10">
        <f ca="1">IFERROR(__xludf.DUMMYFUNCTION("""COMPUTED_VALUE"""),45680)</f>
        <v>45680</v>
      </c>
      <c r="E1382" s="1" t="str">
        <f ca="1">IFERROR(__xludf.DUMMYFUNCTION("""COMPUTED_VALUE"""),"Canada")</f>
        <v>Canada</v>
      </c>
      <c r="F1382" s="1" t="str">
        <f ca="1">IFERROR(__xludf.DUMMYFUNCTION("""COMPUTED_VALUE"""),"99.24 Canada")</f>
        <v>99.24 Canada</v>
      </c>
      <c r="G1382" s="1" t="str">
        <f ca="1">IFERROR(__xludf.DUMMYFUNCTION("""COMPUTED_VALUE"""),"Climate Justice, Indigenous Rights, Right to Protest")</f>
        <v>Climate Justice, Indigenous Rights, Right to Protest</v>
      </c>
      <c r="H1382" s="1" t="str">
        <f ca="1">IFERROR(__xludf.DUMMYFUNCTION("""COMPUTED_VALUE"""),"2024")</f>
        <v>2024</v>
      </c>
      <c r="I1382" s="1" t="str">
        <f ca="1">IFERROR(__xludf.DUMMYFUNCTION("""COMPUTED_VALUE"""),"Letter")</f>
        <v>Letter</v>
      </c>
    </row>
    <row r="1383" spans="1:9" ht="13" x14ac:dyDescent="0.15">
      <c r="A1383" s="9">
        <f ca="1">IFERROR(__xludf.DUMMYFUNCTION("""COMPUTED_VALUE"""),125096057)</f>
        <v>125096057</v>
      </c>
      <c r="B1383" s="1" t="str">
        <f ca="1">IFERROR(__xludf.DUMMYFUNCTION("""COMPUTED_VALUE"""),"luckydog@tutamail.com")</f>
        <v>luckydog@tutamail.com</v>
      </c>
      <c r="C1383" s="9" t="str">
        <f ca="1">IFERROR(__xludf.DUMMYFUNCTION("""COMPUTED_VALUE"""),"EVERGREEN - UAN Gated Content - Embedded Petition")</f>
        <v>EVERGREEN - UAN Gated Content - Embedded Petition</v>
      </c>
      <c r="D1383" s="10">
        <f ca="1">IFERROR(__xludf.DUMMYFUNCTION("""COMPUTED_VALUE"""),45680)</f>
        <v>45680</v>
      </c>
      <c r="E1383" s="1" t="str">
        <f ca="1">IFERROR(__xludf.DUMMYFUNCTION("""COMPUTED_VALUE"""),"Egypt")</f>
        <v>Egypt</v>
      </c>
      <c r="F1383" s="1" t="str">
        <f ca="1">IFERROR(__xludf.DUMMYFUNCTION("""COMPUTED_VALUE"""),"Ninth 190.18 Egypt")</f>
        <v>Ninth 190.18 Egypt</v>
      </c>
      <c r="G1383" s="1" t="str">
        <f ca="1">IFERROR(__xludf.DUMMYFUNCTION("""COMPUTED_VALUE"""),"Freedom of Expression, Individuals At Risk")</f>
        <v>Freedom of Expression, Individuals At Risk</v>
      </c>
      <c r="H1383" s="1" t="str">
        <f ca="1">IFERROR(__xludf.DUMMYFUNCTION("""COMPUTED_VALUE"""),"2024")</f>
        <v>2024</v>
      </c>
      <c r="I1383" s="1" t="str">
        <f ca="1">IFERROR(__xludf.DUMMYFUNCTION("""COMPUTED_VALUE"""),"Letter")</f>
        <v>Letter</v>
      </c>
    </row>
    <row r="1384" spans="1:9" ht="13" x14ac:dyDescent="0.15">
      <c r="A1384" s="9">
        <f ca="1">IFERROR(__xludf.DUMMYFUNCTION("""COMPUTED_VALUE"""),125096057)</f>
        <v>125096057</v>
      </c>
      <c r="B1384" s="1" t="str">
        <f ca="1">IFERROR(__xludf.DUMMYFUNCTION("""COMPUTED_VALUE"""),"luckydog@tutamail.com")</f>
        <v>luckydog@tutamail.com</v>
      </c>
      <c r="C1384" s="9" t="str">
        <f ca="1">IFERROR(__xludf.DUMMYFUNCTION("""COMPUTED_VALUE"""),"EVERGREEN - UAN Gated Content - Embedded Petition")</f>
        <v>EVERGREEN - UAN Gated Content - Embedded Petition</v>
      </c>
      <c r="D1384" s="10">
        <f ca="1">IFERROR(__xludf.DUMMYFUNCTION("""COMPUTED_VALUE"""),45680)</f>
        <v>45680</v>
      </c>
      <c r="E1384" s="1" t="str">
        <f ca="1">IFERROR(__xludf.DUMMYFUNCTION("""COMPUTED_VALUE"""),"Egypt")</f>
        <v>Egypt</v>
      </c>
      <c r="F1384" s="1" t="str">
        <f ca="1">IFERROR(__xludf.DUMMYFUNCTION("""COMPUTED_VALUE"""),"Ninth 190.18 Egypt")</f>
        <v>Ninth 190.18 Egypt</v>
      </c>
      <c r="G1384" s="1" t="str">
        <f ca="1">IFERROR(__xludf.DUMMYFUNCTION("""COMPUTED_VALUE"""),"Freedom of Expression, Individuals At Risk")</f>
        <v>Freedom of Expression, Individuals At Risk</v>
      </c>
      <c r="H1384" s="1" t="str">
        <f ca="1">IFERROR(__xludf.DUMMYFUNCTION("""COMPUTED_VALUE"""),"2024")</f>
        <v>2024</v>
      </c>
      <c r="I1384" s="1" t="str">
        <f ca="1">IFERROR(__xludf.DUMMYFUNCTION("""COMPUTED_VALUE"""),"Letter")</f>
        <v>Letter</v>
      </c>
    </row>
    <row r="1385" spans="1:9" ht="13" x14ac:dyDescent="0.15">
      <c r="A1385" s="9">
        <f ca="1">IFERROR(__xludf.DUMMYFUNCTION("""COMPUTED_VALUE"""),125096057)</f>
        <v>125096057</v>
      </c>
      <c r="B1385" s="1" t="str">
        <f ca="1">IFERROR(__xludf.DUMMYFUNCTION("""COMPUTED_VALUE"""),"luckydog@tutamail.com")</f>
        <v>luckydog@tutamail.com</v>
      </c>
      <c r="C1385" s="9" t="str">
        <f ca="1">IFERROR(__xludf.DUMMYFUNCTION("""COMPUTED_VALUE"""),"EVERGREEN - UAN Gated Content - Embedded Petition")</f>
        <v>EVERGREEN - UAN Gated Content - Embedded Petition</v>
      </c>
      <c r="D1385" s="10">
        <f ca="1">IFERROR(__xludf.DUMMYFUNCTION("""COMPUTED_VALUE"""),45680)</f>
        <v>45680</v>
      </c>
      <c r="E1385" s="1" t="str">
        <f ca="1">IFERROR(__xludf.DUMMYFUNCTION("""COMPUTED_VALUE"""),"Saudi Arabia")</f>
        <v>Saudi Arabia</v>
      </c>
      <c r="F1385" s="1" t="str">
        <f ca="1">IFERROR(__xludf.DUMMYFUNCTION("""COMPUTED_VALUE"""),"Second 85.23 Saudi Arabia")</f>
        <v>Second 85.23 Saudi Arabia</v>
      </c>
      <c r="G1385" s="1" t="str">
        <f ca="1">IFERROR(__xludf.DUMMYFUNCTION("""COMPUTED_VALUE"""),"Freedom of Expression")</f>
        <v>Freedom of Expression</v>
      </c>
      <c r="H1385" s="1" t="str">
        <f ca="1">IFERROR(__xludf.DUMMYFUNCTION("""COMPUTED_VALUE"""),"2024")</f>
        <v>2024</v>
      </c>
      <c r="I1385" s="1" t="str">
        <f ca="1">IFERROR(__xludf.DUMMYFUNCTION("""COMPUTED_VALUE"""),"Letter")</f>
        <v>Letter</v>
      </c>
    </row>
    <row r="1386" spans="1:9" ht="13" x14ac:dyDescent="0.15">
      <c r="A1386" s="9">
        <f ca="1">IFERROR(__xludf.DUMMYFUNCTION("""COMPUTED_VALUE"""),125096057)</f>
        <v>125096057</v>
      </c>
      <c r="B1386" s="1" t="str">
        <f ca="1">IFERROR(__xludf.DUMMYFUNCTION("""COMPUTED_VALUE"""),"luckydog@tutamail.com")</f>
        <v>luckydog@tutamail.com</v>
      </c>
      <c r="C1386" s="9" t="str">
        <f ca="1">IFERROR(__xludf.DUMMYFUNCTION("""COMPUTED_VALUE"""),"EVERGREEN - UAN Gated Content - Embedded Petition")</f>
        <v>EVERGREEN - UAN Gated Content - Embedded Petition</v>
      </c>
      <c r="D1386" s="10">
        <f ca="1">IFERROR(__xludf.DUMMYFUNCTION("""COMPUTED_VALUE"""),45681)</f>
        <v>45681</v>
      </c>
      <c r="E1386" s="1" t="str">
        <f ca="1">IFERROR(__xludf.DUMMYFUNCTION("""COMPUTED_VALUE"""),"Saudi Arabia")</f>
        <v>Saudi Arabia</v>
      </c>
      <c r="F1386" s="1" t="str">
        <f ca="1">IFERROR(__xludf.DUMMYFUNCTION("""COMPUTED_VALUE"""),"Fifth 257.12")</f>
        <v>Fifth 257.12</v>
      </c>
      <c r="G1386" s="1" t="str">
        <f ca="1">IFERROR(__xludf.DUMMYFUNCTION("""COMPUTED_VALUE"""),"Freedom of Expression, Human Rights Defenders")</f>
        <v>Freedom of Expression, Human Rights Defenders</v>
      </c>
      <c r="H1386" s="1" t="str">
        <f ca="1">IFERROR(__xludf.DUMMYFUNCTION("""COMPUTED_VALUE"""),"2025")</f>
        <v>2025</v>
      </c>
      <c r="I1386" s="1" t="str">
        <f ca="1">IFERROR(__xludf.DUMMYFUNCTION("""COMPUTED_VALUE"""),"Email")</f>
        <v>Email</v>
      </c>
    </row>
    <row r="1387" spans="1:9" ht="13" x14ac:dyDescent="0.15">
      <c r="A1387" s="9">
        <f ca="1">IFERROR(__xludf.DUMMYFUNCTION("""COMPUTED_VALUE"""),125096057)</f>
        <v>125096057</v>
      </c>
      <c r="B1387" s="1" t="str">
        <f ca="1">IFERROR(__xludf.DUMMYFUNCTION("""COMPUTED_VALUE"""),"luckydog@tutamail.com")</f>
        <v>luckydog@tutamail.com</v>
      </c>
      <c r="C1387" s="9" t="str">
        <f ca="1">IFERROR(__xludf.DUMMYFUNCTION("""COMPUTED_VALUE"""),"EVERGREEN - UAN Gated Content - Embedded Petition")</f>
        <v>EVERGREEN - UAN Gated Content - Embedded Petition</v>
      </c>
      <c r="D1387" s="10">
        <f ca="1">IFERROR(__xludf.DUMMYFUNCTION("""COMPUTED_VALUE"""),45681)</f>
        <v>45681</v>
      </c>
      <c r="E1387" s="1" t="str">
        <f ca="1">IFERROR(__xludf.DUMMYFUNCTION("""COMPUTED_VALUE"""),"Libya")</f>
        <v>Libya</v>
      </c>
      <c r="F1387" s="1" t="str">
        <f ca="1">IFERROR(__xludf.DUMMYFUNCTION("""COMPUTED_VALUE"""),"12.25 Libya")</f>
        <v>12.25 Libya</v>
      </c>
      <c r="G1387" s="1" t="str">
        <f ca="1">IFERROR(__xludf.DUMMYFUNCTION("""COMPUTED_VALUE"""),"Freedom of Expression, Health, Individuals At Risk")</f>
        <v>Freedom of Expression, Health, Individuals At Risk</v>
      </c>
      <c r="H1387" s="1" t="str">
        <f ca="1">IFERROR(__xludf.DUMMYFUNCTION("""COMPUTED_VALUE"""),"2025")</f>
        <v>2025</v>
      </c>
      <c r="I1387" s="1" t="str">
        <f ca="1">IFERROR(__xludf.DUMMYFUNCTION("""COMPUTED_VALUE"""),"Email")</f>
        <v>Email</v>
      </c>
    </row>
    <row r="1388" spans="1:9" ht="13" x14ac:dyDescent="0.15">
      <c r="A1388" s="9">
        <f ca="1">IFERROR(__xludf.DUMMYFUNCTION("""COMPUTED_VALUE"""),125096057)</f>
        <v>125096057</v>
      </c>
      <c r="B1388" s="1" t="str">
        <f ca="1">IFERROR(__xludf.DUMMYFUNCTION("""COMPUTED_VALUE"""),"luckydog@tutamail.com")</f>
        <v>luckydog@tutamail.com</v>
      </c>
      <c r="C1388" s="9" t="str">
        <f ca="1">IFERROR(__xludf.DUMMYFUNCTION("""COMPUTED_VALUE"""),"EVERGREEN - UAN Gated Content - Embedded Petition")</f>
        <v>EVERGREEN - UAN Gated Content - Embedded Petition</v>
      </c>
      <c r="D1388" s="10">
        <f ca="1">IFERROR(__xludf.DUMMYFUNCTION("""COMPUTED_VALUE"""),45681)</f>
        <v>45681</v>
      </c>
      <c r="E1388" s="1" t="str">
        <f ca="1">IFERROR(__xludf.DUMMYFUNCTION("""COMPUTED_VALUE"""),"Saudi Arabia")</f>
        <v>Saudi Arabia</v>
      </c>
      <c r="F1388" s="1" t="str">
        <f ca="1">IFERROR(__xludf.DUMMYFUNCTION("""COMPUTED_VALUE"""),"Second 85.23 Saudi Arabia")</f>
        <v>Second 85.23 Saudi Arabia</v>
      </c>
      <c r="G1388" s="1" t="str">
        <f ca="1">IFERROR(__xludf.DUMMYFUNCTION("""COMPUTED_VALUE"""),"Freedom of Expression")</f>
        <v>Freedom of Expression</v>
      </c>
      <c r="H1388" s="1" t="str">
        <f ca="1">IFERROR(__xludf.DUMMYFUNCTION("""COMPUTED_VALUE"""),"2024")</f>
        <v>2024</v>
      </c>
      <c r="I1388" s="1" t="str">
        <f ca="1">IFERROR(__xludf.DUMMYFUNCTION("""COMPUTED_VALUE"""),"Letter")</f>
        <v>Letter</v>
      </c>
    </row>
    <row r="1389" spans="1:9" ht="13" x14ac:dyDescent="0.15">
      <c r="A1389" s="9">
        <f ca="1">IFERROR(__xludf.DUMMYFUNCTION("""COMPUTED_VALUE"""),125096057)</f>
        <v>125096057</v>
      </c>
      <c r="B1389" s="1" t="str">
        <f ca="1">IFERROR(__xludf.DUMMYFUNCTION("""COMPUTED_VALUE"""),"luckydog@tutamail.com")</f>
        <v>luckydog@tutamail.com</v>
      </c>
      <c r="C1389" s="9" t="str">
        <f ca="1">IFERROR(__xludf.DUMMYFUNCTION("""COMPUTED_VALUE"""),"EVERGREEN - UAN Gated Content - Embedded Petition")</f>
        <v>EVERGREEN - UAN Gated Content - Embedded Petition</v>
      </c>
      <c r="D1389" s="10">
        <f ca="1">IFERROR(__xludf.DUMMYFUNCTION("""COMPUTED_VALUE"""),45681)</f>
        <v>45681</v>
      </c>
      <c r="E1389" s="1" t="str">
        <f ca="1">IFERROR(__xludf.DUMMYFUNCTION("""COMPUTED_VALUE"""),"Tunisia")</f>
        <v>Tunisia</v>
      </c>
      <c r="F1389" s="1" t="str">
        <f ca="1">IFERROR(__xludf.DUMMYFUNCTION("""COMPUTED_VALUE"""),"Second 76.24 Tunisia")</f>
        <v>Second 76.24 Tunisia</v>
      </c>
      <c r="G1389" s="1" t="str">
        <f ca="1">IFERROR(__xludf.DUMMYFUNCTION("""COMPUTED_VALUE"""),"Freedom of Expression, Human Rights Defenders")</f>
        <v>Freedom of Expression, Human Rights Defenders</v>
      </c>
      <c r="H1389" s="1" t="str">
        <f ca="1">IFERROR(__xludf.DUMMYFUNCTION("""COMPUTED_VALUE"""),"2025")</f>
        <v>2025</v>
      </c>
      <c r="I1389" s="1" t="str">
        <f ca="1">IFERROR(__xludf.DUMMYFUNCTION("""COMPUTED_VALUE"""),"Email")</f>
        <v>Email</v>
      </c>
    </row>
    <row r="1390" spans="1:9" ht="13" x14ac:dyDescent="0.15">
      <c r="A1390" s="9">
        <f ca="1">IFERROR(__xludf.DUMMYFUNCTION("""COMPUTED_VALUE"""),125096057)</f>
        <v>125096057</v>
      </c>
      <c r="B1390" s="1" t="str">
        <f ca="1">IFERROR(__xludf.DUMMYFUNCTION("""COMPUTED_VALUE"""),"luckydog@tutamail.com")</f>
        <v>luckydog@tutamail.com</v>
      </c>
      <c r="C1390" s="9" t="str">
        <f ca="1">IFERROR(__xludf.DUMMYFUNCTION("""COMPUTED_VALUE"""),"EVERGREEN - UAN Gated Content - Embedded Petition")</f>
        <v>EVERGREEN - UAN Gated Content - Embedded Petition</v>
      </c>
      <c r="D1390" s="10">
        <f ca="1">IFERROR(__xludf.DUMMYFUNCTION("""COMPUTED_VALUE"""),45684)</f>
        <v>45684</v>
      </c>
      <c r="E1390" s="1" t="str">
        <f ca="1">IFERROR(__xludf.DUMMYFUNCTION("""COMPUTED_VALUE"""),"USA")</f>
        <v>USA</v>
      </c>
      <c r="F1390" s="1" t="str">
        <f ca="1">IFERROR(__xludf.DUMMYFUNCTION("""COMPUTED_VALUE"""),"105.24 USA")</f>
        <v>105.24 USA</v>
      </c>
      <c r="G1390" s="1" t="str">
        <f ca="1">IFERROR(__xludf.DUMMYFUNCTION("""COMPUTED_VALUE"""),"Death Penalty")</f>
        <v>Death Penalty</v>
      </c>
      <c r="H1390" s="1" t="str">
        <f ca="1">IFERROR(__xludf.DUMMYFUNCTION("""COMPUTED_VALUE"""),"2024")</f>
        <v>2024</v>
      </c>
      <c r="I1390" s="1" t="str">
        <f ca="1">IFERROR(__xludf.DUMMYFUNCTION("""COMPUTED_VALUE"""),"Email")</f>
        <v>Email</v>
      </c>
    </row>
    <row r="1391" spans="1:9" ht="13" x14ac:dyDescent="0.15">
      <c r="A1391" s="9">
        <f ca="1">IFERROR(__xludf.DUMMYFUNCTION("""COMPUTED_VALUE"""),125096057)</f>
        <v>125096057</v>
      </c>
      <c r="B1391" s="1" t="str">
        <f ca="1">IFERROR(__xludf.DUMMYFUNCTION("""COMPUTED_VALUE"""),"luckydog@tutamail.com")</f>
        <v>luckydog@tutamail.com</v>
      </c>
      <c r="C1391" s="9" t="str">
        <f ca="1">IFERROR(__xludf.DUMMYFUNCTION("""COMPUTED_VALUE"""),"EVERGREEN - UAN Gated Content - Embedded Petition")</f>
        <v>EVERGREEN - UAN Gated Content - Embedded Petition</v>
      </c>
      <c r="D1391" s="10">
        <f ca="1">IFERROR(__xludf.DUMMYFUNCTION("""COMPUTED_VALUE"""),45684)</f>
        <v>45684</v>
      </c>
      <c r="E1391" s="1" t="str">
        <f ca="1">IFERROR(__xludf.DUMMYFUNCTION("""COMPUTED_VALUE"""),"USA")</f>
        <v>USA</v>
      </c>
      <c r="F1391" s="1" t="str">
        <f ca="1">IFERROR(__xludf.DUMMYFUNCTION("""COMPUTED_VALUE"""),"96.24 USA")</f>
        <v>96.24 USA</v>
      </c>
      <c r="G1391" s="1" t="str">
        <f ca="1">IFERROR(__xludf.DUMMYFUNCTION("""COMPUTED_VALUE"""),"Death Penalty")</f>
        <v>Death Penalty</v>
      </c>
      <c r="H1391" s="1" t="str">
        <f ca="1">IFERROR(__xludf.DUMMYFUNCTION("""COMPUTED_VALUE"""),"2024")</f>
        <v>2024</v>
      </c>
      <c r="I1391" s="1" t="str">
        <f ca="1">IFERROR(__xludf.DUMMYFUNCTION("""COMPUTED_VALUE"""),"Email")</f>
        <v>Email</v>
      </c>
    </row>
    <row r="1392" spans="1:9" ht="13" x14ac:dyDescent="0.15">
      <c r="A1392" s="9">
        <f ca="1">IFERROR(__xludf.DUMMYFUNCTION("""COMPUTED_VALUE"""),125096057)</f>
        <v>125096057</v>
      </c>
      <c r="B1392" s="1" t="str">
        <f ca="1">IFERROR(__xludf.DUMMYFUNCTION("""COMPUTED_VALUE"""),"luckydog@tutamail.com")</f>
        <v>luckydog@tutamail.com</v>
      </c>
      <c r="C1392" s="9" t="str">
        <f ca="1">IFERROR(__xludf.DUMMYFUNCTION("""COMPUTED_VALUE"""),"EVERGREEN - UAN Gated Content - Embedded Petition")</f>
        <v>EVERGREEN - UAN Gated Content - Embedded Petition</v>
      </c>
      <c r="D1392" s="10">
        <f ca="1">IFERROR(__xludf.DUMMYFUNCTION("""COMPUTED_VALUE"""),45681)</f>
        <v>45681</v>
      </c>
      <c r="E1392" s="1" t="str">
        <f ca="1">IFERROR(__xludf.DUMMYFUNCTION("""COMPUTED_VALUE"""),"USA")</f>
        <v>USA</v>
      </c>
      <c r="F1392" s="1" t="str">
        <f ca="1">IFERROR(__xludf.DUMMYFUNCTION("""COMPUTED_VALUE"""),"4.25 USA")</f>
        <v>4.25 USA</v>
      </c>
      <c r="G1392" s="1" t="str">
        <f ca="1">IFERROR(__xludf.DUMMYFUNCTION("""COMPUTED_VALUE"""),"Individuals At Risk, Refugee and Migrant Rights")</f>
        <v>Individuals At Risk, Refugee and Migrant Rights</v>
      </c>
      <c r="H1392" s="1" t="str">
        <f ca="1">IFERROR(__xludf.DUMMYFUNCTION("""COMPUTED_VALUE"""),"2025")</f>
        <v>2025</v>
      </c>
      <c r="I1392" s="1" t="str">
        <f ca="1">IFERROR(__xludf.DUMMYFUNCTION("""COMPUTED_VALUE"""),"Letter")</f>
        <v>Letter</v>
      </c>
    </row>
    <row r="1393" spans="1:9" ht="13" x14ac:dyDescent="0.15">
      <c r="A1393" s="9">
        <f ca="1">IFERROR(__xludf.DUMMYFUNCTION("""COMPUTED_VALUE"""),125096057)</f>
        <v>125096057</v>
      </c>
      <c r="B1393" s="1" t="str">
        <f ca="1">IFERROR(__xludf.DUMMYFUNCTION("""COMPUTED_VALUE"""),"luckydog@tutamail.com")</f>
        <v>luckydog@tutamail.com</v>
      </c>
      <c r="C1393" s="9" t="str">
        <f ca="1">IFERROR(__xludf.DUMMYFUNCTION("""COMPUTED_VALUE"""),"EVERGREEN - UAN Gated Content - Embedded Petition")</f>
        <v>EVERGREEN - UAN Gated Content - Embedded Petition</v>
      </c>
      <c r="D1393" s="10">
        <f ca="1">IFERROR(__xludf.DUMMYFUNCTION("""COMPUTED_VALUE"""),45680)</f>
        <v>45680</v>
      </c>
      <c r="E1393" s="1" t="str">
        <f ca="1">IFERROR(__xludf.DUMMYFUNCTION("""COMPUTED_VALUE"""),"China")</f>
        <v>China</v>
      </c>
      <c r="F1393" s="1" t="str">
        <f ca="1">IFERROR(__xludf.DUMMYFUNCTION("""COMPUTED_VALUE"""),"98.24 China")</f>
        <v>98.24 China</v>
      </c>
      <c r="G1393" s="1" t="str">
        <f ca="1">IFERROR(__xludf.DUMMYFUNCTION("""COMPUTED_VALUE"""),"Freedom of Expression, Individuals At Risk")</f>
        <v>Freedom of Expression, Individuals At Risk</v>
      </c>
      <c r="H1393" s="1" t="str">
        <f ca="1">IFERROR(__xludf.DUMMYFUNCTION("""COMPUTED_VALUE"""),"2024")</f>
        <v>2024</v>
      </c>
      <c r="I1393" s="1" t="str">
        <f ca="1">IFERROR(__xludf.DUMMYFUNCTION("""COMPUTED_VALUE"""),"Letter")</f>
        <v>Letter</v>
      </c>
    </row>
    <row r="1394" spans="1:9" ht="13" x14ac:dyDescent="0.15">
      <c r="A1394" s="9">
        <f ca="1">IFERROR(__xludf.DUMMYFUNCTION("""COMPUTED_VALUE"""),125096057)</f>
        <v>125096057</v>
      </c>
      <c r="B1394" s="1" t="str">
        <f ca="1">IFERROR(__xludf.DUMMYFUNCTION("""COMPUTED_VALUE"""),"luckydog@tutamail.com")</f>
        <v>luckydog@tutamail.com</v>
      </c>
      <c r="C1394" s="9" t="str">
        <f ca="1">IFERROR(__xludf.DUMMYFUNCTION("""COMPUTED_VALUE"""),"EVERGREEN - UAN Gated Content - Embedded Petition")</f>
        <v>EVERGREEN - UAN Gated Content - Embedded Petition</v>
      </c>
      <c r="D1394" s="10">
        <f ca="1">IFERROR(__xludf.DUMMYFUNCTION("""COMPUTED_VALUE"""),45664)</f>
        <v>45664</v>
      </c>
      <c r="E1394" s="1" t="str">
        <f ca="1">IFERROR(__xludf.DUMMYFUNCTION("""COMPUTED_VALUE"""),"USA")</f>
        <v>USA</v>
      </c>
      <c r="F1394" s="1" t="str">
        <f ca="1">IFERROR(__xludf.DUMMYFUNCTION("""COMPUTED_VALUE"""),"4.25 USA")</f>
        <v>4.25 USA</v>
      </c>
      <c r="G1394" s="1" t="str">
        <f ca="1">IFERROR(__xludf.DUMMYFUNCTION("""COMPUTED_VALUE"""),"Individuals At Risk, Refugee and Migrant Rights")</f>
        <v>Individuals At Risk, Refugee and Migrant Rights</v>
      </c>
      <c r="H1394" s="1" t="str">
        <f ca="1">IFERROR(__xludf.DUMMYFUNCTION("""COMPUTED_VALUE"""),"2025")</f>
        <v>2025</v>
      </c>
      <c r="I1394" s="1" t="str">
        <f ca="1">IFERROR(__xludf.DUMMYFUNCTION("""COMPUTED_VALUE"""),"Letter")</f>
        <v>Letter</v>
      </c>
    </row>
    <row r="1395" spans="1:9" ht="13" x14ac:dyDescent="0.15">
      <c r="A1395" s="9">
        <f ca="1">IFERROR(__xludf.DUMMYFUNCTION("""COMPUTED_VALUE"""),125096057)</f>
        <v>125096057</v>
      </c>
      <c r="B1395" s="1" t="str">
        <f ca="1">IFERROR(__xludf.DUMMYFUNCTION("""COMPUTED_VALUE"""),"luckydog@tutamail.com")</f>
        <v>luckydog@tutamail.com</v>
      </c>
      <c r="C1395" s="9" t="str">
        <f ca="1">IFERROR(__xludf.DUMMYFUNCTION("""COMPUTED_VALUE"""),"EVERGREEN - UAN Gated Content - Embedded Petition")</f>
        <v>EVERGREEN - UAN Gated Content - Embedded Petition</v>
      </c>
      <c r="D1395" s="10">
        <f ca="1">IFERROR(__xludf.DUMMYFUNCTION("""COMPUTED_VALUE"""),45664)</f>
        <v>45664</v>
      </c>
      <c r="E1395" s="1" t="str">
        <f ca="1">IFERROR(__xludf.DUMMYFUNCTION("""COMPUTED_VALUE"""),"Egypt")</f>
        <v>Egypt</v>
      </c>
      <c r="F1395" s="1" t="str">
        <f ca="1">IFERROR(__xludf.DUMMYFUNCTION("""COMPUTED_VALUE"""),"Ninth 190.18 Egypt")</f>
        <v>Ninth 190.18 Egypt</v>
      </c>
      <c r="G1395" s="1" t="str">
        <f ca="1">IFERROR(__xludf.DUMMYFUNCTION("""COMPUTED_VALUE"""),"Freedom of Expression, Individuals At Risk")</f>
        <v>Freedom of Expression, Individuals At Risk</v>
      </c>
      <c r="H1395" s="1" t="str">
        <f ca="1">IFERROR(__xludf.DUMMYFUNCTION("""COMPUTED_VALUE"""),"2024")</f>
        <v>2024</v>
      </c>
      <c r="I1395" s="1" t="str">
        <f ca="1">IFERROR(__xludf.DUMMYFUNCTION("""COMPUTED_VALUE"""),"Letter")</f>
        <v>Letter</v>
      </c>
    </row>
    <row r="1396" spans="1:9" ht="13" x14ac:dyDescent="0.15">
      <c r="A1396" s="9">
        <f ca="1">IFERROR(__xludf.DUMMYFUNCTION("""COMPUTED_VALUE"""),125096057)</f>
        <v>125096057</v>
      </c>
      <c r="B1396" s="1" t="str">
        <f ca="1">IFERROR(__xludf.DUMMYFUNCTION("""COMPUTED_VALUE"""),"luckydog@tutamail.com")</f>
        <v>luckydog@tutamail.com</v>
      </c>
      <c r="C1396" s="9" t="str">
        <f ca="1">IFERROR(__xludf.DUMMYFUNCTION("""COMPUTED_VALUE"""),"EVERGREEN - UAN Gated Content - Embedded Petition")</f>
        <v>EVERGREEN - UAN Gated Content - Embedded Petition</v>
      </c>
      <c r="D1396" s="10">
        <f ca="1">IFERROR(__xludf.DUMMYFUNCTION("""COMPUTED_VALUE"""),45664)</f>
        <v>45664</v>
      </c>
      <c r="E1396" s="1" t="str">
        <f ca="1">IFERROR(__xludf.DUMMYFUNCTION("""COMPUTED_VALUE"""),"Tunisia")</f>
        <v>Tunisia</v>
      </c>
      <c r="F1396" s="1" t="str">
        <f ca="1">IFERROR(__xludf.DUMMYFUNCTION("""COMPUTED_VALUE"""),"Second 76.24 Tunisia")</f>
        <v>Second 76.24 Tunisia</v>
      </c>
      <c r="G1396" s="1" t="str">
        <f ca="1">IFERROR(__xludf.DUMMYFUNCTION("""COMPUTED_VALUE"""),"Freedom of Expression, Human Rights Defenders")</f>
        <v>Freedom of Expression, Human Rights Defenders</v>
      </c>
      <c r="H1396" s="1" t="str">
        <f ca="1">IFERROR(__xludf.DUMMYFUNCTION("""COMPUTED_VALUE"""),"2025")</f>
        <v>2025</v>
      </c>
      <c r="I1396" s="1" t="str">
        <f ca="1">IFERROR(__xludf.DUMMYFUNCTION("""COMPUTED_VALUE"""),"Email")</f>
        <v>Email</v>
      </c>
    </row>
    <row r="1397" spans="1:9" ht="13" x14ac:dyDescent="0.15">
      <c r="A1397" s="9">
        <f ca="1">IFERROR(__xludf.DUMMYFUNCTION("""COMPUTED_VALUE"""),125096057)</f>
        <v>125096057</v>
      </c>
      <c r="B1397" s="1" t="str">
        <f ca="1">IFERROR(__xludf.DUMMYFUNCTION("""COMPUTED_VALUE"""),"luckydog@tutamail.com")</f>
        <v>luckydog@tutamail.com</v>
      </c>
      <c r="C1397" s="9" t="str">
        <f ca="1">IFERROR(__xludf.DUMMYFUNCTION("""COMPUTED_VALUE"""),"EVERGREEN - UAN Gated Content - Embedded Petition")</f>
        <v>EVERGREEN - UAN Gated Content - Embedded Petition</v>
      </c>
      <c r="D1397" s="10">
        <f ca="1">IFERROR(__xludf.DUMMYFUNCTION("""COMPUTED_VALUE"""),45664)</f>
        <v>45664</v>
      </c>
      <c r="E1397" s="1" t="str">
        <f ca="1">IFERROR(__xludf.DUMMYFUNCTION("""COMPUTED_VALUE"""),"Venezuela")</f>
        <v>Venezuela</v>
      </c>
      <c r="F1397" s="1" t="str">
        <f ca="1">IFERROR(__xludf.DUMMYFUNCTION("""COMPUTED_VALUE"""),"97.24 Venezuela")</f>
        <v>97.24 Venezuela</v>
      </c>
      <c r="G1397" s="1" t="str">
        <f ca="1">IFERROR(__xludf.DUMMYFUNCTION("""COMPUTED_VALUE"""),"Freedom of Expression")</f>
        <v>Freedom of Expression</v>
      </c>
      <c r="H1397" s="1" t="str">
        <f ca="1">IFERROR(__xludf.DUMMYFUNCTION("""COMPUTED_VALUE"""),"2024")</f>
        <v>2024</v>
      </c>
      <c r="I1397" s="1" t="str">
        <f ca="1">IFERROR(__xludf.DUMMYFUNCTION("""COMPUTED_VALUE"""),"Letter")</f>
        <v>Letter</v>
      </c>
    </row>
    <row r="1398" spans="1:9" ht="13" x14ac:dyDescent="0.15">
      <c r="A1398" s="9">
        <f ca="1">IFERROR(__xludf.DUMMYFUNCTION("""COMPUTED_VALUE"""),125152026)</f>
        <v>125152026</v>
      </c>
      <c r="B1398" s="1" t="str">
        <f ca="1">IFERROR(__xludf.DUMMYFUNCTION("""COMPUTED_VALUE"""),"sujamthe@gmail.com")</f>
        <v>sujamthe@gmail.com</v>
      </c>
      <c r="C1398" s="9" t="str">
        <f ca="1">IFERROR(__xludf.DUMMYFUNCTION("""COMPUTED_VALUE"""),"EVERGREEN - UAN Gated Content - Embedded Petition")</f>
        <v>EVERGREEN - UAN Gated Content - Embedded Petition</v>
      </c>
      <c r="D1398" s="10">
        <f ca="1">IFERROR(__xludf.DUMMYFUNCTION("""COMPUTED_VALUE"""),45694)</f>
        <v>45694</v>
      </c>
      <c r="E1398" s="1" t="str">
        <f ca="1">IFERROR(__xludf.DUMMYFUNCTION("""COMPUTED_VALUE"""),"Tunisia")</f>
        <v>Tunisia</v>
      </c>
      <c r="F1398" s="1" t="str">
        <f ca="1">IFERROR(__xludf.DUMMYFUNCTION("""COMPUTED_VALUE"""),"Second 76.24 Tunisia")</f>
        <v>Second 76.24 Tunisia</v>
      </c>
      <c r="G1398" s="1" t="str">
        <f ca="1">IFERROR(__xludf.DUMMYFUNCTION("""COMPUTED_VALUE"""),"Freedom of Expression, Human Rights Defenders")</f>
        <v>Freedom of Expression, Human Rights Defenders</v>
      </c>
      <c r="H1398" s="1" t="str">
        <f ca="1">IFERROR(__xludf.DUMMYFUNCTION("""COMPUTED_VALUE"""),"2025")</f>
        <v>2025</v>
      </c>
      <c r="I1398" s="1" t="str">
        <f ca="1">IFERROR(__xludf.DUMMYFUNCTION("""COMPUTED_VALUE"""),"Email")</f>
        <v>Email</v>
      </c>
    </row>
    <row r="1399" spans="1:9" ht="13" x14ac:dyDescent="0.15">
      <c r="A1399" s="9">
        <f ca="1">IFERROR(__xludf.DUMMYFUNCTION("""COMPUTED_VALUE"""),125225643)</f>
        <v>125225643</v>
      </c>
      <c r="B1399" s="1" t="str">
        <f ca="1">IFERROR(__xludf.DUMMYFUNCTION("""COMPUTED_VALUE"""),"jamiek@netidea.com")</f>
        <v>jamiek@netidea.com</v>
      </c>
      <c r="C1399" s="9" t="str">
        <f ca="1">IFERROR(__xludf.DUMMYFUNCTION("""COMPUTED_VALUE"""),"EVERGREEN - UAN Gated Content - Embedded Petition")</f>
        <v>EVERGREEN - UAN Gated Content - Embedded Petition</v>
      </c>
      <c r="D1399" s="10">
        <f ca="1">IFERROR(__xludf.DUMMYFUNCTION("""COMPUTED_VALUE"""),45616)</f>
        <v>45616</v>
      </c>
      <c r="E1399" s="1" t="str">
        <f ca="1">IFERROR(__xludf.DUMMYFUNCTION("""COMPUTED_VALUE"""),"Tunisia")</f>
        <v>Tunisia</v>
      </c>
      <c r="F1399" s="1" t="str">
        <f ca="1">IFERROR(__xludf.DUMMYFUNCTION("""COMPUTED_VALUE"""),"Second 76.24 Tunisia")</f>
        <v>Second 76.24 Tunisia</v>
      </c>
      <c r="G1399" s="1" t="str">
        <f ca="1">IFERROR(__xludf.DUMMYFUNCTION("""COMPUTED_VALUE"""),"Freedom of Expression, Human Rights Defenders")</f>
        <v>Freedom of Expression, Human Rights Defenders</v>
      </c>
      <c r="H1399" s="1" t="str">
        <f ca="1">IFERROR(__xludf.DUMMYFUNCTION("""COMPUTED_VALUE"""),"2025")</f>
        <v>2025</v>
      </c>
      <c r="I1399" s="1" t="str">
        <f ca="1">IFERROR(__xludf.DUMMYFUNCTION("""COMPUTED_VALUE"""),"Email")</f>
        <v>Email</v>
      </c>
    </row>
    <row r="1400" spans="1:9" ht="13" x14ac:dyDescent="0.15">
      <c r="A1400" s="9">
        <f ca="1">IFERROR(__xludf.DUMMYFUNCTION("""COMPUTED_VALUE"""),125278096)</f>
        <v>125278096</v>
      </c>
      <c r="B1400" s="1" t="str">
        <f ca="1">IFERROR(__xludf.DUMMYFUNCTION("""COMPUTED_VALUE"""),"pheralicious@yahoo.com")</f>
        <v>pheralicious@yahoo.com</v>
      </c>
      <c r="C1400" s="9" t="str">
        <f ca="1">IFERROR(__xludf.DUMMYFUNCTION("""COMPUTED_VALUE"""),"EVERGREEN - UAN Gated Content - Embedded Petition")</f>
        <v>EVERGREEN - UAN Gated Content - Embedded Petition</v>
      </c>
      <c r="D1400" s="10">
        <f ca="1">IFERROR(__xludf.DUMMYFUNCTION("""COMPUTED_VALUE"""),45678)</f>
        <v>45678</v>
      </c>
      <c r="E1400" s="1" t="str">
        <f ca="1">IFERROR(__xludf.DUMMYFUNCTION("""COMPUTED_VALUE"""),"Tunisia")</f>
        <v>Tunisia</v>
      </c>
      <c r="F1400" s="1" t="str">
        <f ca="1">IFERROR(__xludf.DUMMYFUNCTION("""COMPUTED_VALUE"""),"Second 76.24 Tunisia")</f>
        <v>Second 76.24 Tunisia</v>
      </c>
      <c r="G1400" s="1" t="str">
        <f ca="1">IFERROR(__xludf.DUMMYFUNCTION("""COMPUTED_VALUE"""),"Freedom of Expression, Human Rights Defenders")</f>
        <v>Freedom of Expression, Human Rights Defenders</v>
      </c>
      <c r="H1400" s="1" t="str">
        <f ca="1">IFERROR(__xludf.DUMMYFUNCTION("""COMPUTED_VALUE"""),"2025")</f>
        <v>2025</v>
      </c>
      <c r="I1400" s="1" t="str">
        <f ca="1">IFERROR(__xludf.DUMMYFUNCTION("""COMPUTED_VALUE"""),"Email")</f>
        <v>Email</v>
      </c>
    </row>
    <row r="1401" spans="1:9" ht="13" x14ac:dyDescent="0.15">
      <c r="A1401" s="9">
        <f ca="1">IFERROR(__xludf.DUMMYFUNCTION("""COMPUTED_VALUE"""),126182769)</f>
        <v>126182769</v>
      </c>
      <c r="B1401" s="1" t="str">
        <f ca="1">IFERROR(__xludf.DUMMYFUNCTION("""COMPUTED_VALUE"""),"kii081682@gmail.com")</f>
        <v>kii081682@gmail.com</v>
      </c>
      <c r="C1401" s="9" t="str">
        <f ca="1">IFERROR(__xludf.DUMMYFUNCTION("""COMPUTED_VALUE"""),"EVERGREEN - UAN Gated Content - Embedded Petition")</f>
        <v>EVERGREEN - UAN Gated Content - Embedded Petition</v>
      </c>
      <c r="D1401" s="10">
        <f ca="1">IFERROR(__xludf.DUMMYFUNCTION("""COMPUTED_VALUE"""),45694)</f>
        <v>45694</v>
      </c>
      <c r="E1401" s="1" t="str">
        <f ca="1">IFERROR(__xludf.DUMMYFUNCTION("""COMPUTED_VALUE"""),"Tunisia")</f>
        <v>Tunisia</v>
      </c>
      <c r="F1401" s="1" t="str">
        <f ca="1">IFERROR(__xludf.DUMMYFUNCTION("""COMPUTED_VALUE"""),"Second 76.24 Tunisia")</f>
        <v>Second 76.24 Tunisia</v>
      </c>
      <c r="G1401" s="1" t="str">
        <f ca="1">IFERROR(__xludf.DUMMYFUNCTION("""COMPUTED_VALUE"""),"Freedom of Expression, Human Rights Defenders")</f>
        <v>Freedom of Expression, Human Rights Defenders</v>
      </c>
      <c r="H1401" s="1" t="str">
        <f ca="1">IFERROR(__xludf.DUMMYFUNCTION("""COMPUTED_VALUE"""),"2025")</f>
        <v>2025</v>
      </c>
      <c r="I1401" s="1" t="str">
        <f ca="1">IFERROR(__xludf.DUMMYFUNCTION("""COMPUTED_VALUE"""),"Email")</f>
        <v>Email</v>
      </c>
    </row>
    <row r="1402" spans="1:9" ht="13" x14ac:dyDescent="0.15">
      <c r="A1402" s="9">
        <f ca="1">IFERROR(__xludf.DUMMYFUNCTION("""COMPUTED_VALUE"""),127660598)</f>
        <v>127660598</v>
      </c>
      <c r="B1402" s="1" t="str">
        <f ca="1">IFERROR(__xludf.DUMMYFUNCTION("""COMPUTED_VALUE"""),"jpmasiello@aol.com")</f>
        <v>jpmasiello@aol.com</v>
      </c>
      <c r="C1402" s="9" t="str">
        <f ca="1">IFERROR(__xludf.DUMMYFUNCTION("""COMPUTED_VALUE"""),"EVERGREEN - UAN Gated Content - Embedded Petition")</f>
        <v>EVERGREEN - UAN Gated Content - Embedded Petition</v>
      </c>
      <c r="D1402" s="10">
        <f ca="1">IFERROR(__xludf.DUMMYFUNCTION("""COMPUTED_VALUE"""),45694)</f>
        <v>45694</v>
      </c>
      <c r="E1402" s="1" t="str">
        <f ca="1">IFERROR(__xludf.DUMMYFUNCTION("""COMPUTED_VALUE"""),"Tunisia")</f>
        <v>Tunisia</v>
      </c>
      <c r="F1402" s="1" t="str">
        <f ca="1">IFERROR(__xludf.DUMMYFUNCTION("""COMPUTED_VALUE"""),"Second 76.24 Tunisia")</f>
        <v>Second 76.24 Tunisia</v>
      </c>
      <c r="G1402" s="1" t="str">
        <f ca="1">IFERROR(__xludf.DUMMYFUNCTION("""COMPUTED_VALUE"""),"Freedom of Expression, Human Rights Defenders")</f>
        <v>Freedom of Expression, Human Rights Defenders</v>
      </c>
      <c r="H1402" s="1" t="str">
        <f ca="1">IFERROR(__xludf.DUMMYFUNCTION("""COMPUTED_VALUE"""),"2025")</f>
        <v>2025</v>
      </c>
      <c r="I1402" s="1" t="str">
        <f ca="1">IFERROR(__xludf.DUMMYFUNCTION("""COMPUTED_VALUE"""),"Email")</f>
        <v>Email</v>
      </c>
    </row>
    <row r="1403" spans="1:9" ht="13" x14ac:dyDescent="0.15">
      <c r="A1403" s="9">
        <f ca="1">IFERROR(__xludf.DUMMYFUNCTION("""COMPUTED_VALUE"""),127693417)</f>
        <v>127693417</v>
      </c>
      <c r="B1403" s="1" t="str">
        <f ca="1">IFERROR(__xludf.DUMMYFUNCTION("""COMPUTED_VALUE"""),"swetstein21@gmail.com")</f>
        <v>swetstein21@gmail.com</v>
      </c>
      <c r="C1403" s="9" t="str">
        <f ca="1">IFERROR(__xludf.DUMMYFUNCTION("""COMPUTED_VALUE"""),"EVERGREEN - UAN Gated Content - Embedded Petition")</f>
        <v>EVERGREEN - UAN Gated Content - Embedded Petition</v>
      </c>
      <c r="D1403" s="10">
        <f ca="1">IFERROR(__xludf.DUMMYFUNCTION("""COMPUTED_VALUE"""),45675)</f>
        <v>45675</v>
      </c>
      <c r="E1403" s="1" t="str">
        <f ca="1">IFERROR(__xludf.DUMMYFUNCTION("""COMPUTED_VALUE"""),"Tunisia")</f>
        <v>Tunisia</v>
      </c>
      <c r="F1403" s="1" t="str">
        <f ca="1">IFERROR(__xludf.DUMMYFUNCTION("""COMPUTED_VALUE"""),"Second 76.24 Tunisia")</f>
        <v>Second 76.24 Tunisia</v>
      </c>
      <c r="G1403" s="1" t="str">
        <f ca="1">IFERROR(__xludf.DUMMYFUNCTION("""COMPUTED_VALUE"""),"Freedom of Expression, Human Rights Defenders")</f>
        <v>Freedom of Expression, Human Rights Defenders</v>
      </c>
      <c r="H1403" s="1" t="str">
        <f ca="1">IFERROR(__xludf.DUMMYFUNCTION("""COMPUTED_VALUE"""),"2025")</f>
        <v>2025</v>
      </c>
      <c r="I1403" s="1" t="str">
        <f ca="1">IFERROR(__xludf.DUMMYFUNCTION("""COMPUTED_VALUE"""),"Email")</f>
        <v>Email</v>
      </c>
    </row>
    <row r="1404" spans="1:9" ht="13" x14ac:dyDescent="0.15">
      <c r="A1404" s="9">
        <f ca="1">IFERROR(__xludf.DUMMYFUNCTION("""COMPUTED_VALUE"""),127693417)</f>
        <v>127693417</v>
      </c>
      <c r="B1404" s="1" t="str">
        <f ca="1">IFERROR(__xludf.DUMMYFUNCTION("""COMPUTED_VALUE"""),"swetstein21@gmail.com")</f>
        <v>swetstein21@gmail.com</v>
      </c>
      <c r="C1404" s="9" t="str">
        <f ca="1">IFERROR(__xludf.DUMMYFUNCTION("""COMPUTED_VALUE"""),"EVERGREEN - UAN Gated Content - Embedded Petition")</f>
        <v>EVERGREEN - UAN Gated Content - Embedded Petition</v>
      </c>
      <c r="D1404" s="10">
        <f ca="1">IFERROR(__xludf.DUMMYFUNCTION("""COMPUTED_VALUE"""),45672)</f>
        <v>45672</v>
      </c>
      <c r="E1404" s="1" t="str">
        <f ca="1">IFERROR(__xludf.DUMMYFUNCTION("""COMPUTED_VALUE"""),"Tunisia")</f>
        <v>Tunisia</v>
      </c>
      <c r="F1404" s="1" t="str">
        <f ca="1">IFERROR(__xludf.DUMMYFUNCTION("""COMPUTED_VALUE"""),"Second 76.24 Tunisia")</f>
        <v>Second 76.24 Tunisia</v>
      </c>
      <c r="G1404" s="1" t="str">
        <f ca="1">IFERROR(__xludf.DUMMYFUNCTION("""COMPUTED_VALUE"""),"Freedom of Expression, Human Rights Defenders")</f>
        <v>Freedom of Expression, Human Rights Defenders</v>
      </c>
      <c r="H1404" s="1" t="str">
        <f ca="1">IFERROR(__xludf.DUMMYFUNCTION("""COMPUTED_VALUE"""),"2025")</f>
        <v>2025</v>
      </c>
      <c r="I1404" s="1" t="str">
        <f ca="1">IFERROR(__xludf.DUMMYFUNCTION("""COMPUTED_VALUE"""),"Email")</f>
        <v>Email</v>
      </c>
    </row>
    <row r="1405" spans="1:9" ht="13" x14ac:dyDescent="0.15">
      <c r="A1405" s="9">
        <f ca="1">IFERROR(__xludf.DUMMYFUNCTION("""COMPUTED_VALUE"""),127693417)</f>
        <v>127693417</v>
      </c>
      <c r="B1405" s="1" t="str">
        <f ca="1">IFERROR(__xludf.DUMMYFUNCTION("""COMPUTED_VALUE"""),"swetstein21@gmail.com")</f>
        <v>swetstein21@gmail.com</v>
      </c>
      <c r="C1405" s="9" t="str">
        <f ca="1">IFERROR(__xludf.DUMMYFUNCTION("""COMPUTED_VALUE"""),"EVERGREEN - UAN Gated Content - Embedded Petition")</f>
        <v>EVERGREEN - UAN Gated Content - Embedded Petition</v>
      </c>
      <c r="D1405" s="10">
        <f ca="1">IFERROR(__xludf.DUMMYFUNCTION("""COMPUTED_VALUE"""),45633)</f>
        <v>45633</v>
      </c>
      <c r="E1405" s="1" t="str">
        <f ca="1">IFERROR(__xludf.DUMMYFUNCTION("""COMPUTED_VALUE"""),"USA")</f>
        <v>USA</v>
      </c>
      <c r="F1405" s="1" t="str">
        <f ca="1">IFERROR(__xludf.DUMMYFUNCTION("""COMPUTED_VALUE"""),"4.25 USA")</f>
        <v>4.25 USA</v>
      </c>
      <c r="G1405" s="1" t="str">
        <f ca="1">IFERROR(__xludf.DUMMYFUNCTION("""COMPUTED_VALUE"""),"Individuals At Risk, Refugee and Migrant Rights")</f>
        <v>Individuals At Risk, Refugee and Migrant Rights</v>
      </c>
      <c r="H1405" s="1" t="str">
        <f ca="1">IFERROR(__xludf.DUMMYFUNCTION("""COMPUTED_VALUE"""),"2025")</f>
        <v>2025</v>
      </c>
      <c r="I1405" s="1" t="str">
        <f ca="1">IFERROR(__xludf.DUMMYFUNCTION("""COMPUTED_VALUE"""),"Letter")</f>
        <v>Letter</v>
      </c>
    </row>
    <row r="1406" spans="1:9" ht="13" x14ac:dyDescent="0.15">
      <c r="A1406" s="9">
        <f ca="1">IFERROR(__xludf.DUMMYFUNCTION("""COMPUTED_VALUE"""),127693417)</f>
        <v>127693417</v>
      </c>
      <c r="B1406" s="1" t="str">
        <f ca="1">IFERROR(__xludf.DUMMYFUNCTION("""COMPUTED_VALUE"""),"swetstein21@gmail.com")</f>
        <v>swetstein21@gmail.com</v>
      </c>
      <c r="C1406" s="9" t="str">
        <f ca="1">IFERROR(__xludf.DUMMYFUNCTION("""COMPUTED_VALUE"""),"EVERGREEN - UAN Gated Content - Embedded Petition")</f>
        <v>EVERGREEN - UAN Gated Content - Embedded Petition</v>
      </c>
      <c r="D1406" s="10">
        <f ca="1">IFERROR(__xludf.DUMMYFUNCTION("""COMPUTED_VALUE"""),45651)</f>
        <v>45651</v>
      </c>
      <c r="E1406" s="1" t="str">
        <f ca="1">IFERROR(__xludf.DUMMYFUNCTION("""COMPUTED_VALUE"""),"Tunisia")</f>
        <v>Tunisia</v>
      </c>
      <c r="F1406" s="1" t="str">
        <f ca="1">IFERROR(__xludf.DUMMYFUNCTION("""COMPUTED_VALUE"""),"Second 76.24 Tunisia")</f>
        <v>Second 76.24 Tunisia</v>
      </c>
      <c r="G1406" s="1" t="str">
        <f ca="1">IFERROR(__xludf.DUMMYFUNCTION("""COMPUTED_VALUE"""),"Freedom of Expression, Human Rights Defenders")</f>
        <v>Freedom of Expression, Human Rights Defenders</v>
      </c>
      <c r="H1406" s="1" t="str">
        <f ca="1">IFERROR(__xludf.DUMMYFUNCTION("""COMPUTED_VALUE"""),"2025")</f>
        <v>2025</v>
      </c>
      <c r="I1406" s="1" t="str">
        <f ca="1">IFERROR(__xludf.DUMMYFUNCTION("""COMPUTED_VALUE"""),"Email")</f>
        <v>Email</v>
      </c>
    </row>
    <row r="1407" spans="1:9" ht="13" x14ac:dyDescent="0.15">
      <c r="A1407" s="9">
        <f ca="1">IFERROR(__xludf.DUMMYFUNCTION("""COMPUTED_VALUE"""),127693417)</f>
        <v>127693417</v>
      </c>
      <c r="B1407" s="1" t="str">
        <f ca="1">IFERROR(__xludf.DUMMYFUNCTION("""COMPUTED_VALUE"""),"swetstein21@gmail.com")</f>
        <v>swetstein21@gmail.com</v>
      </c>
      <c r="C1407" s="9" t="str">
        <f ca="1">IFERROR(__xludf.DUMMYFUNCTION("""COMPUTED_VALUE"""),"EVERGREEN - UAN Gated Content - Embedded Petition")</f>
        <v>EVERGREEN - UAN Gated Content - Embedded Petition</v>
      </c>
      <c r="D1407" s="10">
        <f ca="1">IFERROR(__xludf.DUMMYFUNCTION("""COMPUTED_VALUE"""),45651)</f>
        <v>45651</v>
      </c>
      <c r="E1407" s="1" t="str">
        <f ca="1">IFERROR(__xludf.DUMMYFUNCTION("""COMPUTED_VALUE"""),"Tunisia")</f>
        <v>Tunisia</v>
      </c>
      <c r="F1407" s="1" t="str">
        <f ca="1">IFERROR(__xludf.DUMMYFUNCTION("""COMPUTED_VALUE"""),"Second 76.24 Tunisia")</f>
        <v>Second 76.24 Tunisia</v>
      </c>
      <c r="G1407" s="1" t="str">
        <f ca="1">IFERROR(__xludf.DUMMYFUNCTION("""COMPUTED_VALUE"""),"Freedom of Expression, Human Rights Defenders")</f>
        <v>Freedom of Expression, Human Rights Defenders</v>
      </c>
      <c r="H1407" s="1" t="str">
        <f ca="1">IFERROR(__xludf.DUMMYFUNCTION("""COMPUTED_VALUE"""),"2025")</f>
        <v>2025</v>
      </c>
      <c r="I1407" s="1" t="str">
        <f ca="1">IFERROR(__xludf.DUMMYFUNCTION("""COMPUTED_VALUE"""),"Email")</f>
        <v>Email</v>
      </c>
    </row>
    <row r="1408" spans="1:9" ht="13" x14ac:dyDescent="0.15">
      <c r="A1408" s="9">
        <f ca="1">IFERROR(__xludf.DUMMYFUNCTION("""COMPUTED_VALUE"""),127693417)</f>
        <v>127693417</v>
      </c>
      <c r="B1408" s="1" t="str">
        <f ca="1">IFERROR(__xludf.DUMMYFUNCTION("""COMPUTED_VALUE"""),"swetstein21@gmail.com")</f>
        <v>swetstein21@gmail.com</v>
      </c>
      <c r="C1408" s="9" t="str">
        <f ca="1">IFERROR(__xludf.DUMMYFUNCTION("""COMPUTED_VALUE"""),"EVERGREEN - UAN Gated Content - Embedded Petition")</f>
        <v>EVERGREEN - UAN Gated Content - Embedded Petition</v>
      </c>
      <c r="D1408" s="10">
        <f ca="1">IFERROR(__xludf.DUMMYFUNCTION("""COMPUTED_VALUE"""),45633)</f>
        <v>45633</v>
      </c>
      <c r="E1408" s="1" t="str">
        <f ca="1">IFERROR(__xludf.DUMMYFUNCTION("""COMPUTED_VALUE"""),"Tunisia")</f>
        <v>Tunisia</v>
      </c>
      <c r="F1408" s="1" t="str">
        <f ca="1">IFERROR(__xludf.DUMMYFUNCTION("""COMPUTED_VALUE"""),"Second 76.24 Tunisia")</f>
        <v>Second 76.24 Tunisia</v>
      </c>
      <c r="G1408" s="1" t="str">
        <f ca="1">IFERROR(__xludf.DUMMYFUNCTION("""COMPUTED_VALUE"""),"Freedom of Expression, Human Rights Defenders")</f>
        <v>Freedom of Expression, Human Rights Defenders</v>
      </c>
      <c r="H1408" s="1" t="str">
        <f ca="1">IFERROR(__xludf.DUMMYFUNCTION("""COMPUTED_VALUE"""),"2025")</f>
        <v>2025</v>
      </c>
      <c r="I1408" s="1" t="str">
        <f ca="1">IFERROR(__xludf.DUMMYFUNCTION("""COMPUTED_VALUE"""),"Email")</f>
        <v>Email</v>
      </c>
    </row>
    <row r="1409" spans="1:9" ht="13" x14ac:dyDescent="0.15">
      <c r="A1409" s="9">
        <f ca="1">IFERROR(__xludf.DUMMYFUNCTION("""COMPUTED_VALUE"""),127693417)</f>
        <v>127693417</v>
      </c>
      <c r="B1409" s="1" t="str">
        <f ca="1">IFERROR(__xludf.DUMMYFUNCTION("""COMPUTED_VALUE"""),"swetstein21@gmail.com")</f>
        <v>swetstein21@gmail.com</v>
      </c>
      <c r="C1409" s="9" t="str">
        <f ca="1">IFERROR(__xludf.DUMMYFUNCTION("""COMPUTED_VALUE"""),"EVERGREEN - UAN Gated Content - Embedded Petition")</f>
        <v>EVERGREEN - UAN Gated Content - Embedded Petition</v>
      </c>
      <c r="D1409" s="10">
        <f ca="1">IFERROR(__xludf.DUMMYFUNCTION("""COMPUTED_VALUE"""),45694)</f>
        <v>45694</v>
      </c>
      <c r="E1409" s="1" t="str">
        <f ca="1">IFERROR(__xludf.DUMMYFUNCTION("""COMPUTED_VALUE"""),"Iran")</f>
        <v>Iran</v>
      </c>
      <c r="F1409" s="1" t="str">
        <f ca="1">IFERROR(__xludf.DUMMYFUNCTION("""COMPUTED_VALUE"""),"Seventh 103.22 Iran")</f>
        <v>Seventh 103.22 Iran</v>
      </c>
      <c r="G1409" s="1" t="str">
        <f ca="1">IFERROR(__xludf.DUMMYFUNCTION("""COMPUTED_VALUE"""),"Death Penalty, Freedom of Expression, Individuals At Risk")</f>
        <v>Death Penalty, Freedom of Expression, Individuals At Risk</v>
      </c>
      <c r="H1409" s="1" t="str">
        <f ca="1">IFERROR(__xludf.DUMMYFUNCTION("""COMPUTED_VALUE"""),"2024")</f>
        <v>2024</v>
      </c>
      <c r="I1409" s="1" t="str">
        <f ca="1">IFERROR(__xludf.DUMMYFUNCTION("""COMPUTED_VALUE"""),"Email")</f>
        <v>Email</v>
      </c>
    </row>
    <row r="1410" spans="1:9" ht="13" x14ac:dyDescent="0.15">
      <c r="A1410" s="9">
        <f ca="1">IFERROR(__xludf.DUMMYFUNCTION("""COMPUTED_VALUE"""),127693417)</f>
        <v>127693417</v>
      </c>
      <c r="B1410" s="1" t="str">
        <f ca="1">IFERROR(__xludf.DUMMYFUNCTION("""COMPUTED_VALUE"""),"swetstein21@gmail.com")</f>
        <v>swetstein21@gmail.com</v>
      </c>
      <c r="C1410" s="9" t="str">
        <f ca="1">IFERROR(__xludf.DUMMYFUNCTION("""COMPUTED_VALUE"""),"EVERGREEN - UAN Gated Content - Embedded Petition")</f>
        <v>EVERGREEN - UAN Gated Content - Embedded Petition</v>
      </c>
      <c r="D1410" s="10">
        <f ca="1">IFERROR(__xludf.DUMMYFUNCTION("""COMPUTED_VALUE"""),45672)</f>
        <v>45672</v>
      </c>
      <c r="E1410" s="1" t="str">
        <f ca="1">IFERROR(__xludf.DUMMYFUNCTION("""COMPUTED_VALUE"""),"Israel and Occupied Palestinian Territories")</f>
        <v>Israel and Occupied Palestinian Territories</v>
      </c>
      <c r="F1410" s="1" t="str">
        <f ca="1">IFERROR(__xludf.DUMMYFUNCTION("""COMPUTED_VALUE"""),"3.25 IOPT")</f>
        <v>3.25 IOPT</v>
      </c>
      <c r="G1410" s="1" t="str">
        <f ca="1">IFERROR(__xludf.DUMMYFUNCTION("""COMPUTED_VALUE"""),"Freedom of Expression, Individuals At Risk")</f>
        <v>Freedom of Expression, Individuals At Risk</v>
      </c>
      <c r="H1410" s="1" t="str">
        <f ca="1">IFERROR(__xludf.DUMMYFUNCTION("""COMPUTED_VALUE"""),"2025")</f>
        <v>2025</v>
      </c>
      <c r="I1410" s="1" t="str">
        <f ca="1">IFERROR(__xludf.DUMMYFUNCTION("""COMPUTED_VALUE"""),"Email")</f>
        <v>Email</v>
      </c>
    </row>
    <row r="1411" spans="1:9" ht="13" x14ac:dyDescent="0.15">
      <c r="A1411" s="9">
        <f ca="1">IFERROR(__xludf.DUMMYFUNCTION("""COMPUTED_VALUE"""),128007191)</f>
        <v>128007191</v>
      </c>
      <c r="B1411" s="1" t="str">
        <f ca="1">IFERROR(__xludf.DUMMYFUNCTION("""COMPUTED_VALUE"""),"lwlmon@aol.com")</f>
        <v>lwlmon@aol.com</v>
      </c>
      <c r="C1411" s="9" t="str">
        <f ca="1">IFERROR(__xludf.DUMMYFUNCTION("""COMPUTED_VALUE"""),"EVERGREEN - UAN Gated Content - Embedded Petition")</f>
        <v>EVERGREEN - UAN Gated Content - Embedded Petition</v>
      </c>
      <c r="D1411" s="10">
        <f ca="1">IFERROR(__xludf.DUMMYFUNCTION("""COMPUTED_VALUE"""),45694)</f>
        <v>45694</v>
      </c>
      <c r="E1411" s="1" t="str">
        <f ca="1">IFERROR(__xludf.DUMMYFUNCTION("""COMPUTED_VALUE"""),"Tunisia")</f>
        <v>Tunisia</v>
      </c>
      <c r="F1411" s="1" t="str">
        <f ca="1">IFERROR(__xludf.DUMMYFUNCTION("""COMPUTED_VALUE"""),"Second 76.24 Tunisia")</f>
        <v>Second 76.24 Tunisia</v>
      </c>
      <c r="G1411" s="1" t="str">
        <f ca="1">IFERROR(__xludf.DUMMYFUNCTION("""COMPUTED_VALUE"""),"Freedom of Expression, Human Rights Defenders")</f>
        <v>Freedom of Expression, Human Rights Defenders</v>
      </c>
      <c r="H1411" s="1" t="str">
        <f ca="1">IFERROR(__xludf.DUMMYFUNCTION("""COMPUTED_VALUE"""),"2025")</f>
        <v>2025</v>
      </c>
      <c r="I1411" s="1" t="str">
        <f ca="1">IFERROR(__xludf.DUMMYFUNCTION("""COMPUTED_VALUE"""),"Email")</f>
        <v>Email</v>
      </c>
    </row>
    <row r="1412" spans="1:9" ht="13" x14ac:dyDescent="0.15">
      <c r="A1412" s="9">
        <f ca="1">IFERROR(__xludf.DUMMYFUNCTION("""COMPUTED_VALUE"""),128007191)</f>
        <v>128007191</v>
      </c>
      <c r="B1412" s="1" t="str">
        <f ca="1">IFERROR(__xludf.DUMMYFUNCTION("""COMPUTED_VALUE"""),"lwlmon@aol.com")</f>
        <v>lwlmon@aol.com</v>
      </c>
      <c r="C1412" s="9" t="str">
        <f ca="1">IFERROR(__xludf.DUMMYFUNCTION("""COMPUTED_VALUE"""),"EVERGREEN - UAN Gated Content - Embedded Petition")</f>
        <v>EVERGREEN - UAN Gated Content - Embedded Petition</v>
      </c>
      <c r="D1412" s="10">
        <f ca="1">IFERROR(__xludf.DUMMYFUNCTION("""COMPUTED_VALUE"""),45694)</f>
        <v>45694</v>
      </c>
      <c r="E1412" s="1" t="str">
        <f ca="1">IFERROR(__xludf.DUMMYFUNCTION("""COMPUTED_VALUE"""),"Niger")</f>
        <v>Niger</v>
      </c>
      <c r="F1412" s="1" t="str">
        <f ca="1">IFERROR(__xludf.DUMMYFUNCTION("""COMPUTED_VALUE"""),"103.24 Niger")</f>
        <v>103.24 Niger</v>
      </c>
      <c r="G1412" s="1" t="str">
        <f ca="1">IFERROR(__xludf.DUMMYFUNCTION("""COMPUTED_VALUE"""),"Freedom of Expression, Human Rights Defenders")</f>
        <v>Freedom of Expression, Human Rights Defenders</v>
      </c>
      <c r="H1412" s="1" t="str">
        <f ca="1">IFERROR(__xludf.DUMMYFUNCTION("""COMPUTED_VALUE"""),"2024")</f>
        <v>2024</v>
      </c>
      <c r="I1412" s="1" t="str">
        <f ca="1">IFERROR(__xludf.DUMMYFUNCTION("""COMPUTED_VALUE"""),"Email")</f>
        <v>Email</v>
      </c>
    </row>
    <row r="1413" spans="1:9" ht="13" x14ac:dyDescent="0.15">
      <c r="A1413" s="9">
        <f ca="1">IFERROR(__xludf.DUMMYFUNCTION("""COMPUTED_VALUE"""),128077216)</f>
        <v>128077216</v>
      </c>
      <c r="B1413" s="1" t="str">
        <f ca="1">IFERROR(__xludf.DUMMYFUNCTION("""COMPUTED_VALUE"""),"pepperlafreniere@gmail.com")</f>
        <v>pepperlafreniere@gmail.com</v>
      </c>
      <c r="C1413" s="9" t="str">
        <f ca="1">IFERROR(__xludf.DUMMYFUNCTION("""COMPUTED_VALUE"""),"EVERGREEN - UAN Gated Content - Embedded Petition")</f>
        <v>EVERGREEN - UAN Gated Content - Embedded Petition</v>
      </c>
      <c r="D1413" s="10">
        <f ca="1">IFERROR(__xludf.DUMMYFUNCTION("""COMPUTED_VALUE"""),45679)</f>
        <v>45679</v>
      </c>
      <c r="E1413" s="1" t="str">
        <f ca="1">IFERROR(__xludf.DUMMYFUNCTION("""COMPUTED_VALUE"""),"Egypt")</f>
        <v>Egypt</v>
      </c>
      <c r="F1413" s="1" t="str">
        <f ca="1">IFERROR(__xludf.DUMMYFUNCTION("""COMPUTED_VALUE"""),"Ninth 190.18 Egypt")</f>
        <v>Ninth 190.18 Egypt</v>
      </c>
      <c r="G1413" s="1" t="str">
        <f ca="1">IFERROR(__xludf.DUMMYFUNCTION("""COMPUTED_VALUE"""),"Freedom of Expression, Individuals At Risk")</f>
        <v>Freedom of Expression, Individuals At Risk</v>
      </c>
      <c r="H1413" s="1" t="str">
        <f ca="1">IFERROR(__xludf.DUMMYFUNCTION("""COMPUTED_VALUE"""),"2024")</f>
        <v>2024</v>
      </c>
      <c r="I1413" s="1" t="str">
        <f ca="1">IFERROR(__xludf.DUMMYFUNCTION("""COMPUTED_VALUE"""),"Letter")</f>
        <v>Letter</v>
      </c>
    </row>
    <row r="1414" spans="1:9" ht="13" x14ac:dyDescent="0.15">
      <c r="A1414" s="9">
        <f ca="1">IFERROR(__xludf.DUMMYFUNCTION("""COMPUTED_VALUE"""),128411593)</f>
        <v>128411593</v>
      </c>
      <c r="B1414" s="1" t="str">
        <f ca="1">IFERROR(__xludf.DUMMYFUNCTION("""COMPUTED_VALUE"""),"mandrpanes@gmail.com")</f>
        <v>mandrpanes@gmail.com</v>
      </c>
      <c r="C1414" s="9" t="str">
        <f ca="1">IFERROR(__xludf.DUMMYFUNCTION("""COMPUTED_VALUE"""),"EVERGREEN - UAN Gated Content - Embedded Petition")</f>
        <v>EVERGREEN - UAN Gated Content - Embedded Petition</v>
      </c>
      <c r="D1414" s="10">
        <f ca="1">IFERROR(__xludf.DUMMYFUNCTION("""COMPUTED_VALUE"""),45695)</f>
        <v>45695</v>
      </c>
      <c r="E1414" s="1" t="str">
        <f ca="1">IFERROR(__xludf.DUMMYFUNCTION("""COMPUTED_VALUE"""),"Tunisia")</f>
        <v>Tunisia</v>
      </c>
      <c r="F1414" s="1" t="str">
        <f ca="1">IFERROR(__xludf.DUMMYFUNCTION("""COMPUTED_VALUE"""),"Second 76.24 Tunisia")</f>
        <v>Second 76.24 Tunisia</v>
      </c>
      <c r="G1414" s="1" t="str">
        <f ca="1">IFERROR(__xludf.DUMMYFUNCTION("""COMPUTED_VALUE"""),"Freedom of Expression, Human Rights Defenders")</f>
        <v>Freedom of Expression, Human Rights Defenders</v>
      </c>
      <c r="H1414" s="1" t="str">
        <f ca="1">IFERROR(__xludf.DUMMYFUNCTION("""COMPUTED_VALUE"""),"2025")</f>
        <v>2025</v>
      </c>
      <c r="I1414" s="1" t="str">
        <f ca="1">IFERROR(__xludf.DUMMYFUNCTION("""COMPUTED_VALUE"""),"Email")</f>
        <v>Email</v>
      </c>
    </row>
    <row r="1415" spans="1:9" ht="13" x14ac:dyDescent="0.15">
      <c r="A1415" s="9">
        <f ca="1">IFERROR(__xludf.DUMMYFUNCTION("""COMPUTED_VALUE"""),128411593)</f>
        <v>128411593</v>
      </c>
      <c r="B1415" s="1" t="str">
        <f ca="1">IFERROR(__xludf.DUMMYFUNCTION("""COMPUTED_VALUE"""),"mandrpanes@gmail.com")</f>
        <v>mandrpanes@gmail.com</v>
      </c>
      <c r="C1415" s="9" t="str">
        <f ca="1">IFERROR(__xludf.DUMMYFUNCTION("""COMPUTED_VALUE"""),"EVERGREEN - UAN Gated Content - Embedded Petition")</f>
        <v>EVERGREEN - UAN Gated Content - Embedded Petition</v>
      </c>
      <c r="D1415" s="10">
        <f ca="1">IFERROR(__xludf.DUMMYFUNCTION("""COMPUTED_VALUE"""),45695)</f>
        <v>45695</v>
      </c>
      <c r="E1415" s="1" t="str">
        <f ca="1">IFERROR(__xludf.DUMMYFUNCTION("""COMPUTED_VALUE"""),"Venezuela")</f>
        <v>Venezuela</v>
      </c>
      <c r="F1415" s="1" t="str">
        <f ca="1">IFERROR(__xludf.DUMMYFUNCTION("""COMPUTED_VALUE"""),"1.25 Venezuela")</f>
        <v>1.25 Venezuela</v>
      </c>
      <c r="G1415" s="1" t="str">
        <f ca="1">IFERROR(__xludf.DUMMYFUNCTION("""COMPUTED_VALUE"""),"Human Rights Defenders, Individuals At Risk")</f>
        <v>Human Rights Defenders, Individuals At Risk</v>
      </c>
      <c r="H1415" s="1" t="str">
        <f ca="1">IFERROR(__xludf.DUMMYFUNCTION("""COMPUTED_VALUE"""),"2025")</f>
        <v>2025</v>
      </c>
      <c r="I1415" s="1" t="str">
        <f ca="1">IFERROR(__xludf.DUMMYFUNCTION("""COMPUTED_VALUE"""),"Letter")</f>
        <v>Letter</v>
      </c>
    </row>
    <row r="1416" spans="1:9" ht="13" x14ac:dyDescent="0.15">
      <c r="A1416" s="9">
        <f ca="1">IFERROR(__xludf.DUMMYFUNCTION("""COMPUTED_VALUE"""),128411593)</f>
        <v>128411593</v>
      </c>
      <c r="B1416" s="1" t="str">
        <f ca="1">IFERROR(__xludf.DUMMYFUNCTION("""COMPUTED_VALUE"""),"mandrpanes@gmail.com")</f>
        <v>mandrpanes@gmail.com</v>
      </c>
      <c r="C1416" s="9" t="str">
        <f ca="1">IFERROR(__xludf.DUMMYFUNCTION("""COMPUTED_VALUE"""),"EVERGREEN - UAN Gated Content - Embedded Petition")</f>
        <v>EVERGREEN - UAN Gated Content - Embedded Petition</v>
      </c>
      <c r="D1416" s="10">
        <f ca="1">IFERROR(__xludf.DUMMYFUNCTION("""COMPUTED_VALUE"""),45700)</f>
        <v>45700</v>
      </c>
      <c r="E1416" s="1" t="str">
        <f ca="1">IFERROR(__xludf.DUMMYFUNCTION("""COMPUTED_VALUE"""),"Iran")</f>
        <v>Iran</v>
      </c>
      <c r="F1416" s="1" t="str">
        <f ca="1">IFERROR(__xludf.DUMMYFUNCTION("""COMPUTED_VALUE"""),"Seventh 103.22 Iran")</f>
        <v>Seventh 103.22 Iran</v>
      </c>
      <c r="G1416" s="1" t="str">
        <f ca="1">IFERROR(__xludf.DUMMYFUNCTION("""COMPUTED_VALUE"""),"Death Penalty, Freedom of Expression, Individuals At Risk")</f>
        <v>Death Penalty, Freedom of Expression, Individuals At Risk</v>
      </c>
      <c r="H1416" s="1" t="str">
        <f ca="1">IFERROR(__xludf.DUMMYFUNCTION("""COMPUTED_VALUE"""),"2024")</f>
        <v>2024</v>
      </c>
      <c r="I1416" s="1" t="str">
        <f ca="1">IFERROR(__xludf.DUMMYFUNCTION("""COMPUTED_VALUE"""),"Email")</f>
        <v>Email</v>
      </c>
    </row>
    <row r="1417" spans="1:9" ht="13" x14ac:dyDescent="0.15">
      <c r="A1417" s="9">
        <f ca="1">IFERROR(__xludf.DUMMYFUNCTION("""COMPUTED_VALUE"""),128411593)</f>
        <v>128411593</v>
      </c>
      <c r="B1417" s="1" t="str">
        <f ca="1">IFERROR(__xludf.DUMMYFUNCTION("""COMPUTED_VALUE"""),"mandrpanes@gmail.com")</f>
        <v>mandrpanes@gmail.com</v>
      </c>
      <c r="C1417" s="9" t="str">
        <f ca="1">IFERROR(__xludf.DUMMYFUNCTION("""COMPUTED_VALUE"""),"EVERGREEN - UAN Gated Content - Embedded Petition")</f>
        <v>EVERGREEN - UAN Gated Content - Embedded Petition</v>
      </c>
      <c r="D1417" s="10">
        <f ca="1">IFERROR(__xludf.DUMMYFUNCTION("""COMPUTED_VALUE"""),45697)</f>
        <v>45697</v>
      </c>
      <c r="E1417" s="1" t="str">
        <f ca="1">IFERROR(__xludf.DUMMYFUNCTION("""COMPUTED_VALUE"""),"Iran")</f>
        <v>Iran</v>
      </c>
      <c r="F1417" s="1" t="str">
        <f ca="1">IFERROR(__xludf.DUMMYFUNCTION("""COMPUTED_VALUE"""),"Seventh 103.22 Iran")</f>
        <v>Seventh 103.22 Iran</v>
      </c>
      <c r="G1417" s="1" t="str">
        <f ca="1">IFERROR(__xludf.DUMMYFUNCTION("""COMPUTED_VALUE"""),"Death Penalty, Freedom of Expression, Individuals At Risk")</f>
        <v>Death Penalty, Freedom of Expression, Individuals At Risk</v>
      </c>
      <c r="H1417" s="1" t="str">
        <f ca="1">IFERROR(__xludf.DUMMYFUNCTION("""COMPUTED_VALUE"""),"2024")</f>
        <v>2024</v>
      </c>
      <c r="I1417" s="1" t="str">
        <f ca="1">IFERROR(__xludf.DUMMYFUNCTION("""COMPUTED_VALUE"""),"Email")</f>
        <v>Email</v>
      </c>
    </row>
    <row r="1418" spans="1:9" ht="13" x14ac:dyDescent="0.15">
      <c r="A1418" s="9">
        <f ca="1">IFERROR(__xludf.DUMMYFUNCTION("""COMPUTED_VALUE"""),128411593)</f>
        <v>128411593</v>
      </c>
      <c r="B1418" s="1" t="str">
        <f ca="1">IFERROR(__xludf.DUMMYFUNCTION("""COMPUTED_VALUE"""),"mandrpanes@gmail.com")</f>
        <v>mandrpanes@gmail.com</v>
      </c>
      <c r="C1418" s="9" t="str">
        <f ca="1">IFERROR(__xludf.DUMMYFUNCTION("""COMPUTED_VALUE"""),"EVERGREEN - UAN Gated Content - Embedded Petition")</f>
        <v>EVERGREEN - UAN Gated Content - Embedded Petition</v>
      </c>
      <c r="D1418" s="10">
        <f ca="1">IFERROR(__xludf.DUMMYFUNCTION("""COMPUTED_VALUE"""),45705)</f>
        <v>45705</v>
      </c>
      <c r="E1418" s="1" t="str">
        <f ca="1">IFERROR(__xludf.DUMMYFUNCTION("""COMPUTED_VALUE"""),"Dominican Republic")</f>
        <v>Dominican Republic</v>
      </c>
      <c r="F1418" s="1" t="str">
        <f ca="1">IFERROR(__xludf.DUMMYFUNCTION("""COMPUTED_VALUE"""),"88.24 Dominican Republic")</f>
        <v>88.24 Dominican Republic</v>
      </c>
      <c r="G1418" s="1" t="str">
        <f ca="1">IFERROR(__xludf.DUMMYFUNCTION("""COMPUTED_VALUE"""),"Individuals At Risk, Refugee and Migrant Rights")</f>
        <v>Individuals At Risk, Refugee and Migrant Rights</v>
      </c>
      <c r="H1418" s="1" t="str">
        <f ca="1">IFERROR(__xludf.DUMMYFUNCTION("""COMPUTED_VALUE"""),"2024")</f>
        <v>2024</v>
      </c>
      <c r="I1418" s="1" t="str">
        <f ca="1">IFERROR(__xludf.DUMMYFUNCTION("""COMPUTED_VALUE"""),"Letter")</f>
        <v>Letter</v>
      </c>
    </row>
    <row r="1419" spans="1:9" ht="13" x14ac:dyDescent="0.15">
      <c r="A1419" s="9">
        <f ca="1">IFERROR(__xludf.DUMMYFUNCTION("""COMPUTED_VALUE"""),128411593)</f>
        <v>128411593</v>
      </c>
      <c r="B1419" s="1" t="str">
        <f ca="1">IFERROR(__xludf.DUMMYFUNCTION("""COMPUTED_VALUE"""),"mandrpanes@gmail.com")</f>
        <v>mandrpanes@gmail.com</v>
      </c>
      <c r="C1419" s="9" t="str">
        <f ca="1">IFERROR(__xludf.DUMMYFUNCTION("""COMPUTED_VALUE"""),"EVERGREEN - UAN Gated Content - Embedded Petition")</f>
        <v>EVERGREEN - UAN Gated Content - Embedded Petition</v>
      </c>
      <c r="D1419" s="10">
        <f ca="1">IFERROR(__xludf.DUMMYFUNCTION("""COMPUTED_VALUE"""),45695)</f>
        <v>45695</v>
      </c>
      <c r="E1419" s="1" t="str">
        <f ca="1">IFERROR(__xludf.DUMMYFUNCTION("""COMPUTED_VALUE"""),"Dominican Republic")</f>
        <v>Dominican Republic</v>
      </c>
      <c r="F1419" s="1" t="str">
        <f ca="1">IFERROR(__xludf.DUMMYFUNCTION("""COMPUTED_VALUE"""),"88.24 Dominican Republic")</f>
        <v>88.24 Dominican Republic</v>
      </c>
      <c r="G1419" s="1" t="str">
        <f ca="1">IFERROR(__xludf.DUMMYFUNCTION("""COMPUTED_VALUE"""),"Individuals At Risk, Refugee and Migrant Rights")</f>
        <v>Individuals At Risk, Refugee and Migrant Rights</v>
      </c>
      <c r="H1419" s="1" t="str">
        <f ca="1">IFERROR(__xludf.DUMMYFUNCTION("""COMPUTED_VALUE"""),"2024")</f>
        <v>2024</v>
      </c>
      <c r="I1419" s="1" t="str">
        <f ca="1">IFERROR(__xludf.DUMMYFUNCTION("""COMPUTED_VALUE"""),"Letter")</f>
        <v>Letter</v>
      </c>
    </row>
    <row r="1420" spans="1:9" ht="13" x14ac:dyDescent="0.15">
      <c r="A1420" s="9">
        <f ca="1">IFERROR(__xludf.DUMMYFUNCTION("""COMPUTED_VALUE"""),128464291)</f>
        <v>128464291</v>
      </c>
      <c r="B1420" s="1" t="str">
        <f ca="1">IFERROR(__xludf.DUMMYFUNCTION("""COMPUTED_VALUE"""),"gemk65@mailbox.org")</f>
        <v>gemk65@mailbox.org</v>
      </c>
      <c r="C1420" s="9" t="str">
        <f ca="1">IFERROR(__xludf.DUMMYFUNCTION("""COMPUTED_VALUE"""),"EVERGREEN - UAN Gated Content - Embedded Petition")</f>
        <v>EVERGREEN - UAN Gated Content - Embedded Petition</v>
      </c>
      <c r="D1420" s="10">
        <f ca="1">IFERROR(__xludf.DUMMYFUNCTION("""COMPUTED_VALUE"""),45694)</f>
        <v>45694</v>
      </c>
      <c r="E1420" s="1" t="str">
        <f ca="1">IFERROR(__xludf.DUMMYFUNCTION("""COMPUTED_VALUE"""),"USA")</f>
        <v>USA</v>
      </c>
      <c r="F1420" s="1" t="str">
        <f ca="1">IFERROR(__xludf.DUMMYFUNCTION("""COMPUTED_VALUE"""),"105.24 USA")</f>
        <v>105.24 USA</v>
      </c>
      <c r="G1420" s="1" t="str">
        <f ca="1">IFERROR(__xludf.DUMMYFUNCTION("""COMPUTED_VALUE"""),"Death Penalty")</f>
        <v>Death Penalty</v>
      </c>
      <c r="H1420" s="1" t="str">
        <f ca="1">IFERROR(__xludf.DUMMYFUNCTION("""COMPUTED_VALUE"""),"2024")</f>
        <v>2024</v>
      </c>
      <c r="I1420" s="1" t="str">
        <f ca="1">IFERROR(__xludf.DUMMYFUNCTION("""COMPUTED_VALUE"""),"Email")</f>
        <v>Email</v>
      </c>
    </row>
    <row r="1421" spans="1:9" ht="13" x14ac:dyDescent="0.15">
      <c r="A1421" s="9">
        <f ca="1">IFERROR(__xludf.DUMMYFUNCTION("""COMPUTED_VALUE"""),130466319)</f>
        <v>130466319</v>
      </c>
      <c r="B1421" s="1" t="str">
        <f ca="1">IFERROR(__xludf.DUMMYFUNCTION("""COMPUTED_VALUE"""),"a3sth3tic@hotmail.com")</f>
        <v>a3sth3tic@hotmail.com</v>
      </c>
      <c r="C1421" s="9" t="str">
        <f ca="1">IFERROR(__xludf.DUMMYFUNCTION("""COMPUTED_VALUE"""),"EVERGREEN - UAN Gated Content - Embedded Petition")</f>
        <v>EVERGREEN - UAN Gated Content - Embedded Petition</v>
      </c>
      <c r="D1421" s="10">
        <f ca="1">IFERROR(__xludf.DUMMYFUNCTION("""COMPUTED_VALUE"""),45691)</f>
        <v>45691</v>
      </c>
      <c r="E1421" s="1" t="str">
        <f ca="1">IFERROR(__xludf.DUMMYFUNCTION("""COMPUTED_VALUE"""),"USA")</f>
        <v>USA</v>
      </c>
      <c r="F1421" s="1" t="str">
        <f ca="1">IFERROR(__xludf.DUMMYFUNCTION("""COMPUTED_VALUE"""),"105.24 USA")</f>
        <v>105.24 USA</v>
      </c>
      <c r="G1421" s="1" t="str">
        <f ca="1">IFERROR(__xludf.DUMMYFUNCTION("""COMPUTED_VALUE"""),"Death Penalty")</f>
        <v>Death Penalty</v>
      </c>
      <c r="H1421" s="1" t="str">
        <f ca="1">IFERROR(__xludf.DUMMYFUNCTION("""COMPUTED_VALUE"""),"2024")</f>
        <v>2024</v>
      </c>
      <c r="I1421" s="1" t="str">
        <f ca="1">IFERROR(__xludf.DUMMYFUNCTION("""COMPUTED_VALUE"""),"Email")</f>
        <v>Email</v>
      </c>
    </row>
    <row r="1422" spans="1:9" ht="13" x14ac:dyDescent="0.15">
      <c r="A1422" s="9">
        <f ca="1">IFERROR(__xludf.DUMMYFUNCTION("""COMPUTED_VALUE"""),130466443)</f>
        <v>130466443</v>
      </c>
      <c r="B1422" s="1" t="str">
        <f ca="1">IFERROR(__xludf.DUMMYFUNCTION("""COMPUTED_VALUE"""),"timlietzke@gmail.com")</f>
        <v>timlietzke@gmail.com</v>
      </c>
      <c r="C1422" s="9" t="str">
        <f ca="1">IFERROR(__xludf.DUMMYFUNCTION("""COMPUTED_VALUE"""),"EVERGREEN - UAN Gated Content - Embedded Petition")</f>
        <v>EVERGREEN - UAN Gated Content - Embedded Petition</v>
      </c>
      <c r="D1422" s="10">
        <f ca="1">IFERROR(__xludf.DUMMYFUNCTION("""COMPUTED_VALUE"""),45657)</f>
        <v>45657</v>
      </c>
      <c r="E1422" s="1" t="str">
        <f ca="1">IFERROR(__xludf.DUMMYFUNCTION("""COMPUTED_VALUE"""),"Tunisia")</f>
        <v>Tunisia</v>
      </c>
      <c r="F1422" s="1" t="str">
        <f ca="1">IFERROR(__xludf.DUMMYFUNCTION("""COMPUTED_VALUE"""),"Second 76.24 Tunisia")</f>
        <v>Second 76.24 Tunisia</v>
      </c>
      <c r="G1422" s="1" t="str">
        <f ca="1">IFERROR(__xludf.DUMMYFUNCTION("""COMPUTED_VALUE"""),"Freedom of Expression, Human Rights Defenders")</f>
        <v>Freedom of Expression, Human Rights Defenders</v>
      </c>
      <c r="H1422" s="1" t="str">
        <f ca="1">IFERROR(__xludf.DUMMYFUNCTION("""COMPUTED_VALUE"""),"2025")</f>
        <v>2025</v>
      </c>
      <c r="I1422" s="1" t="str">
        <f ca="1">IFERROR(__xludf.DUMMYFUNCTION("""COMPUTED_VALUE"""),"Email")</f>
        <v>Email</v>
      </c>
    </row>
    <row r="1423" spans="1:9" ht="13" x14ac:dyDescent="0.15">
      <c r="A1423" s="9">
        <f ca="1">IFERROR(__xludf.DUMMYFUNCTION("""COMPUTED_VALUE"""),130963270)</f>
        <v>130963270</v>
      </c>
      <c r="B1423" s="1" t="str">
        <f ca="1">IFERROR(__xludf.DUMMYFUNCTION("""COMPUTED_VALUE"""),"georginashanley@gmail.com")</f>
        <v>georginashanley@gmail.com</v>
      </c>
      <c r="C1423" s="9" t="str">
        <f ca="1">IFERROR(__xludf.DUMMYFUNCTION("""COMPUTED_VALUE"""),"EVERGREEN - UAN Gated Content - Embedded Petition")</f>
        <v>EVERGREEN - UAN Gated Content - Embedded Petition</v>
      </c>
      <c r="D1423" s="10">
        <f ca="1">IFERROR(__xludf.DUMMYFUNCTION("""COMPUTED_VALUE"""),45673)</f>
        <v>45673</v>
      </c>
      <c r="E1423" s="1" t="str">
        <f ca="1">IFERROR(__xludf.DUMMYFUNCTION("""COMPUTED_VALUE"""),"Niger")</f>
        <v>Niger</v>
      </c>
      <c r="F1423" s="1" t="str">
        <f ca="1">IFERROR(__xludf.DUMMYFUNCTION("""COMPUTED_VALUE"""),"103.24 Niger")</f>
        <v>103.24 Niger</v>
      </c>
      <c r="G1423" s="1" t="str">
        <f ca="1">IFERROR(__xludf.DUMMYFUNCTION("""COMPUTED_VALUE"""),"Freedom of Expression, Human Rights Defenders")</f>
        <v>Freedom of Expression, Human Rights Defenders</v>
      </c>
      <c r="H1423" s="1" t="str">
        <f ca="1">IFERROR(__xludf.DUMMYFUNCTION("""COMPUTED_VALUE"""),"2024")</f>
        <v>2024</v>
      </c>
      <c r="I1423" s="1" t="str">
        <f ca="1">IFERROR(__xludf.DUMMYFUNCTION("""COMPUTED_VALUE"""),"Email")</f>
        <v>Email</v>
      </c>
    </row>
    <row r="1424" spans="1:9" ht="13" x14ac:dyDescent="0.15">
      <c r="A1424" s="9">
        <f ca="1">IFERROR(__xludf.DUMMYFUNCTION("""COMPUTED_VALUE"""),131805566)</f>
        <v>131805566</v>
      </c>
      <c r="B1424" s="1" t="str">
        <f ca="1">IFERROR(__xludf.DUMMYFUNCTION("""COMPUTED_VALUE"""),"renee.enteen@gmail.com")</f>
        <v>renee.enteen@gmail.com</v>
      </c>
      <c r="C1424" s="9" t="str">
        <f ca="1">IFERROR(__xludf.DUMMYFUNCTION("""COMPUTED_VALUE"""),"EVERGREEN - UAN Gated Content - Embedded Petition")</f>
        <v>EVERGREEN - UAN Gated Content - Embedded Petition</v>
      </c>
      <c r="D1424" s="10">
        <f ca="1">IFERROR(__xludf.DUMMYFUNCTION("""COMPUTED_VALUE"""),45694)</f>
        <v>45694</v>
      </c>
      <c r="E1424" s="1" t="str">
        <f ca="1">IFERROR(__xludf.DUMMYFUNCTION("""COMPUTED_VALUE"""),"Iran")</f>
        <v>Iran</v>
      </c>
      <c r="F1424" s="1" t="str">
        <f ca="1">IFERROR(__xludf.DUMMYFUNCTION("""COMPUTED_VALUE"""),"Seventh 103.22 Iran")</f>
        <v>Seventh 103.22 Iran</v>
      </c>
      <c r="G1424" s="1" t="str">
        <f ca="1">IFERROR(__xludf.DUMMYFUNCTION("""COMPUTED_VALUE"""),"Death Penalty, Freedom of Expression, Individuals At Risk")</f>
        <v>Death Penalty, Freedom of Expression, Individuals At Risk</v>
      </c>
      <c r="H1424" s="1" t="str">
        <f ca="1">IFERROR(__xludf.DUMMYFUNCTION("""COMPUTED_VALUE"""),"2024")</f>
        <v>2024</v>
      </c>
      <c r="I1424" s="1" t="str">
        <f ca="1">IFERROR(__xludf.DUMMYFUNCTION("""COMPUTED_VALUE"""),"Email")</f>
        <v>Email</v>
      </c>
    </row>
    <row r="1425" spans="1:9" ht="13" x14ac:dyDescent="0.15">
      <c r="A1425" s="9">
        <f ca="1">IFERROR(__xludf.DUMMYFUNCTION("""COMPUTED_VALUE"""),134510762)</f>
        <v>134510762</v>
      </c>
      <c r="B1425" s="1" t="str">
        <f ca="1">IFERROR(__xludf.DUMMYFUNCTION("""COMPUTED_VALUE"""),"indiacruz65@gmail.com")</f>
        <v>indiacruz65@gmail.com</v>
      </c>
      <c r="C1425" s="9" t="str">
        <f ca="1">IFERROR(__xludf.DUMMYFUNCTION("""COMPUTED_VALUE"""),"EVERGREEN - UAN Gated Content - Embedded Petition")</f>
        <v>EVERGREEN - UAN Gated Content - Embedded Petition</v>
      </c>
      <c r="D1425" s="10">
        <f ca="1">IFERROR(__xludf.DUMMYFUNCTION("""COMPUTED_VALUE"""),45695)</f>
        <v>45695</v>
      </c>
      <c r="E1425" s="1" t="str">
        <f ca="1">IFERROR(__xludf.DUMMYFUNCTION("""COMPUTED_VALUE"""),"Tunisia")</f>
        <v>Tunisia</v>
      </c>
      <c r="F1425" s="1" t="str">
        <f ca="1">IFERROR(__xludf.DUMMYFUNCTION("""COMPUTED_VALUE"""),"Second 76.24 Tunisia")</f>
        <v>Second 76.24 Tunisia</v>
      </c>
      <c r="G1425" s="1" t="str">
        <f ca="1">IFERROR(__xludf.DUMMYFUNCTION("""COMPUTED_VALUE"""),"Freedom of Expression, Human Rights Defenders")</f>
        <v>Freedom of Expression, Human Rights Defenders</v>
      </c>
      <c r="H1425" s="1" t="str">
        <f ca="1">IFERROR(__xludf.DUMMYFUNCTION("""COMPUTED_VALUE"""),"2025")</f>
        <v>2025</v>
      </c>
      <c r="I1425" s="1" t="str">
        <f ca="1">IFERROR(__xludf.DUMMYFUNCTION("""COMPUTED_VALUE"""),"Email")</f>
        <v>Email</v>
      </c>
    </row>
    <row r="1426" spans="1:9" ht="13" x14ac:dyDescent="0.15">
      <c r="A1426" s="9">
        <f ca="1">IFERROR(__xludf.DUMMYFUNCTION("""COMPUTED_VALUE"""),135292365)</f>
        <v>135292365</v>
      </c>
      <c r="B1426" s="1" t="str">
        <f ca="1">IFERROR(__xludf.DUMMYFUNCTION("""COMPUTED_VALUE"""),"dstemarie39@gmail.com")</f>
        <v>dstemarie39@gmail.com</v>
      </c>
      <c r="C1426" s="9" t="str">
        <f ca="1">IFERROR(__xludf.DUMMYFUNCTION("""COMPUTED_VALUE"""),"EVERGREEN - UAN Gated Content - Embedded Petition")</f>
        <v>EVERGREEN - UAN Gated Content - Embedded Petition</v>
      </c>
      <c r="D1426" s="10">
        <f ca="1">IFERROR(__xludf.DUMMYFUNCTION("""COMPUTED_VALUE"""),45692)</f>
        <v>45692</v>
      </c>
      <c r="E1426" s="1" t="str">
        <f ca="1">IFERROR(__xludf.DUMMYFUNCTION("""COMPUTED_VALUE"""),"Israel and Occupied Palestinian Territories")</f>
        <v>Israel and Occupied Palestinian Territories</v>
      </c>
      <c r="F1426" s="1" t="str">
        <f ca="1">IFERROR(__xludf.DUMMYFUNCTION("""COMPUTED_VALUE"""),"3.25 IOPT")</f>
        <v>3.25 IOPT</v>
      </c>
      <c r="G1426" s="1" t="str">
        <f ca="1">IFERROR(__xludf.DUMMYFUNCTION("""COMPUTED_VALUE"""),"Freedom of Expression, Individuals At Risk")</f>
        <v>Freedom of Expression, Individuals At Risk</v>
      </c>
      <c r="H1426" s="1" t="str">
        <f ca="1">IFERROR(__xludf.DUMMYFUNCTION("""COMPUTED_VALUE"""),"2025")</f>
        <v>2025</v>
      </c>
      <c r="I1426" s="1" t="str">
        <f ca="1">IFERROR(__xludf.DUMMYFUNCTION("""COMPUTED_VALUE"""),"Email")</f>
        <v>Email</v>
      </c>
    </row>
    <row r="1427" spans="1:9" ht="13" x14ac:dyDescent="0.15">
      <c r="A1427" s="9">
        <f ca="1">IFERROR(__xludf.DUMMYFUNCTION("""COMPUTED_VALUE"""),135292365)</f>
        <v>135292365</v>
      </c>
      <c r="B1427" s="1" t="str">
        <f ca="1">IFERROR(__xludf.DUMMYFUNCTION("""COMPUTED_VALUE"""),"dstemarie39@gmail.com")</f>
        <v>dstemarie39@gmail.com</v>
      </c>
      <c r="C1427" s="9" t="str">
        <f ca="1">IFERROR(__xludf.DUMMYFUNCTION("""COMPUTED_VALUE"""),"EVERGREEN - UAN Gated Content - Embedded Petition")</f>
        <v>EVERGREEN - UAN Gated Content - Embedded Petition</v>
      </c>
      <c r="D1427" s="10">
        <f ca="1">IFERROR(__xludf.DUMMYFUNCTION("""COMPUTED_VALUE"""),45694)</f>
        <v>45694</v>
      </c>
      <c r="E1427" s="1" t="str">
        <f ca="1">IFERROR(__xludf.DUMMYFUNCTION("""COMPUTED_VALUE"""),"Saudi Arabia")</f>
        <v>Saudi Arabia</v>
      </c>
      <c r="F1427" s="1" t="str">
        <f ca="1">IFERROR(__xludf.DUMMYFUNCTION("""COMPUTED_VALUE"""),"Fifth 257.12")</f>
        <v>Fifth 257.12</v>
      </c>
      <c r="G1427" s="1" t="str">
        <f ca="1">IFERROR(__xludf.DUMMYFUNCTION("""COMPUTED_VALUE"""),"Freedom of Expression, Human Rights Defenders")</f>
        <v>Freedom of Expression, Human Rights Defenders</v>
      </c>
      <c r="H1427" s="1" t="str">
        <f ca="1">IFERROR(__xludf.DUMMYFUNCTION("""COMPUTED_VALUE"""),"2025")</f>
        <v>2025</v>
      </c>
      <c r="I1427" s="1" t="str">
        <f ca="1">IFERROR(__xludf.DUMMYFUNCTION("""COMPUTED_VALUE"""),"Email")</f>
        <v>Email</v>
      </c>
    </row>
    <row r="1428" spans="1:9" ht="13" x14ac:dyDescent="0.15">
      <c r="A1428" s="9">
        <f ca="1">IFERROR(__xludf.DUMMYFUNCTION("""COMPUTED_VALUE"""),135292365)</f>
        <v>135292365</v>
      </c>
      <c r="B1428" s="1" t="str">
        <f ca="1">IFERROR(__xludf.DUMMYFUNCTION("""COMPUTED_VALUE"""),"dstemarie39@gmail.com")</f>
        <v>dstemarie39@gmail.com</v>
      </c>
      <c r="C1428" s="9" t="str">
        <f ca="1">IFERROR(__xludf.DUMMYFUNCTION("""COMPUTED_VALUE"""),"EVERGREEN - UAN Gated Content - Embedded Petition")</f>
        <v>EVERGREEN - UAN Gated Content - Embedded Petition</v>
      </c>
      <c r="D1428" s="10">
        <f ca="1">IFERROR(__xludf.DUMMYFUNCTION("""COMPUTED_VALUE"""),45692)</f>
        <v>45692</v>
      </c>
      <c r="E1428" s="1" t="str">
        <f ca="1">IFERROR(__xludf.DUMMYFUNCTION("""COMPUTED_VALUE"""),"Azerbaijan")</f>
        <v>Azerbaijan</v>
      </c>
      <c r="F1428" s="1" t="str">
        <f ca="1">IFERROR(__xludf.DUMMYFUNCTION("""COMPUTED_VALUE"""),"2.25 Azerbaijan")</f>
        <v>2.25 Azerbaijan</v>
      </c>
      <c r="G1428" s="1" t="str">
        <f ca="1">IFERROR(__xludf.DUMMYFUNCTION("""COMPUTED_VALUE"""),"Freedom of Expression, Human Rights Defenders")</f>
        <v>Freedom of Expression, Human Rights Defenders</v>
      </c>
      <c r="H1428" s="1" t="str">
        <f ca="1">IFERROR(__xludf.DUMMYFUNCTION("""COMPUTED_VALUE"""),"2025")</f>
        <v>2025</v>
      </c>
      <c r="I1428" s="1" t="str">
        <f ca="1">IFERROR(__xludf.DUMMYFUNCTION("""COMPUTED_VALUE"""),"Email")</f>
        <v>Email</v>
      </c>
    </row>
    <row r="1429" spans="1:9" ht="13" x14ac:dyDescent="0.15">
      <c r="A1429" s="9">
        <f ca="1">IFERROR(__xludf.DUMMYFUNCTION("""COMPUTED_VALUE"""),135702714)</f>
        <v>135702714</v>
      </c>
      <c r="B1429" s="1" t="str">
        <f ca="1">IFERROR(__xludf.DUMMYFUNCTION("""COMPUTED_VALUE"""),"alexhowe333@gmail.com")</f>
        <v>alexhowe333@gmail.com</v>
      </c>
      <c r="C1429" s="9" t="str">
        <f ca="1">IFERROR(__xludf.DUMMYFUNCTION("""COMPUTED_VALUE"""),"EVERGREEN - UAN Gated Content - Embedded Petition")</f>
        <v>EVERGREEN - UAN Gated Content - Embedded Petition</v>
      </c>
      <c r="D1429" s="10">
        <f ca="1">IFERROR(__xludf.DUMMYFUNCTION("""COMPUTED_VALUE"""),45679)</f>
        <v>45679</v>
      </c>
      <c r="E1429" s="1" t="str">
        <f ca="1">IFERROR(__xludf.DUMMYFUNCTION("""COMPUTED_VALUE"""),"Azerbaijan")</f>
        <v>Azerbaijan</v>
      </c>
      <c r="F1429" s="1" t="str">
        <f ca="1">IFERROR(__xludf.DUMMYFUNCTION("""COMPUTED_VALUE"""),"2.25 Azerbaijan")</f>
        <v>2.25 Azerbaijan</v>
      </c>
      <c r="G1429" s="1" t="str">
        <f ca="1">IFERROR(__xludf.DUMMYFUNCTION("""COMPUTED_VALUE"""),"Freedom of Expression, Human Rights Defenders")</f>
        <v>Freedom of Expression, Human Rights Defenders</v>
      </c>
      <c r="H1429" s="1" t="str">
        <f ca="1">IFERROR(__xludf.DUMMYFUNCTION("""COMPUTED_VALUE"""),"2025")</f>
        <v>2025</v>
      </c>
      <c r="I1429" s="1" t="str">
        <f ca="1">IFERROR(__xludf.DUMMYFUNCTION("""COMPUTED_VALUE"""),"Email")</f>
        <v>Email</v>
      </c>
    </row>
    <row r="1430" spans="1:9" ht="13" x14ac:dyDescent="0.15">
      <c r="A1430" s="9">
        <f ca="1">IFERROR(__xludf.DUMMYFUNCTION("""COMPUTED_VALUE"""),135702714)</f>
        <v>135702714</v>
      </c>
      <c r="B1430" s="1" t="str">
        <f ca="1">IFERROR(__xludf.DUMMYFUNCTION("""COMPUTED_VALUE"""),"alexhowe333@gmail.com")</f>
        <v>alexhowe333@gmail.com</v>
      </c>
      <c r="C1430" s="9" t="str">
        <f ca="1">IFERROR(__xludf.DUMMYFUNCTION("""COMPUTED_VALUE"""),"EVERGREEN - UAN Gated Content - Embedded Petition")</f>
        <v>EVERGREEN - UAN Gated Content - Embedded Petition</v>
      </c>
      <c r="D1430" s="10">
        <f ca="1">IFERROR(__xludf.DUMMYFUNCTION("""COMPUTED_VALUE"""),45703)</f>
        <v>45703</v>
      </c>
      <c r="E1430" s="1" t="str">
        <f ca="1">IFERROR(__xludf.DUMMYFUNCTION("""COMPUTED_VALUE"""),"Iran")</f>
        <v>Iran</v>
      </c>
      <c r="F1430" s="1" t="str">
        <f ca="1">IFERROR(__xludf.DUMMYFUNCTION("""COMPUTED_VALUE"""),"Seventh 103.22 Iran")</f>
        <v>Seventh 103.22 Iran</v>
      </c>
      <c r="G1430" s="1" t="str">
        <f ca="1">IFERROR(__xludf.DUMMYFUNCTION("""COMPUTED_VALUE"""),"Death Penalty, Freedom of Expression, Individuals At Risk")</f>
        <v>Death Penalty, Freedom of Expression, Individuals At Risk</v>
      </c>
      <c r="H1430" s="1" t="str">
        <f ca="1">IFERROR(__xludf.DUMMYFUNCTION("""COMPUTED_VALUE"""),"2024")</f>
        <v>2024</v>
      </c>
      <c r="I1430" s="1" t="str">
        <f ca="1">IFERROR(__xludf.DUMMYFUNCTION("""COMPUTED_VALUE"""),"Email")</f>
        <v>Email</v>
      </c>
    </row>
    <row r="1431" spans="1:9" ht="13" x14ac:dyDescent="0.15">
      <c r="A1431" s="9">
        <f ca="1">IFERROR(__xludf.DUMMYFUNCTION("""COMPUTED_VALUE"""),135702714)</f>
        <v>135702714</v>
      </c>
      <c r="B1431" s="1" t="str">
        <f ca="1">IFERROR(__xludf.DUMMYFUNCTION("""COMPUTED_VALUE"""),"alexhowe333@gmail.com")</f>
        <v>alexhowe333@gmail.com</v>
      </c>
      <c r="C1431" s="9" t="str">
        <f ca="1">IFERROR(__xludf.DUMMYFUNCTION("""COMPUTED_VALUE"""),"EVERGREEN - UAN Gated Content - Embedded Petition")</f>
        <v>EVERGREEN - UAN Gated Content - Embedded Petition</v>
      </c>
      <c r="D1431" s="10">
        <f ca="1">IFERROR(__xludf.DUMMYFUNCTION("""COMPUTED_VALUE"""),45692)</f>
        <v>45692</v>
      </c>
      <c r="E1431" s="1" t="str">
        <f ca="1">IFERROR(__xludf.DUMMYFUNCTION("""COMPUTED_VALUE"""),"Tunisia")</f>
        <v>Tunisia</v>
      </c>
      <c r="F1431" s="1" t="str">
        <f ca="1">IFERROR(__xludf.DUMMYFUNCTION("""COMPUTED_VALUE"""),"Second 76.24 Tunisia")</f>
        <v>Second 76.24 Tunisia</v>
      </c>
      <c r="G1431" s="1" t="str">
        <f ca="1">IFERROR(__xludf.DUMMYFUNCTION("""COMPUTED_VALUE"""),"Freedom of Expression, Human Rights Defenders")</f>
        <v>Freedom of Expression, Human Rights Defenders</v>
      </c>
      <c r="H1431" s="1" t="str">
        <f ca="1">IFERROR(__xludf.DUMMYFUNCTION("""COMPUTED_VALUE"""),"2025")</f>
        <v>2025</v>
      </c>
      <c r="I1431" s="1" t="str">
        <f ca="1">IFERROR(__xludf.DUMMYFUNCTION("""COMPUTED_VALUE"""),"Email")</f>
        <v>Email</v>
      </c>
    </row>
    <row r="1432" spans="1:9" ht="13" x14ac:dyDescent="0.15">
      <c r="A1432" s="9">
        <f ca="1">IFERROR(__xludf.DUMMYFUNCTION("""COMPUTED_VALUE"""),135702714)</f>
        <v>135702714</v>
      </c>
      <c r="B1432" s="1" t="str">
        <f ca="1">IFERROR(__xludf.DUMMYFUNCTION("""COMPUTED_VALUE"""),"alexhowe333@gmail.com")</f>
        <v>alexhowe333@gmail.com</v>
      </c>
      <c r="C1432" s="9" t="str">
        <f ca="1">IFERROR(__xludf.DUMMYFUNCTION("""COMPUTED_VALUE"""),"EVERGREEN - UAN Gated Content - Embedded Petition")</f>
        <v>EVERGREEN - UAN Gated Content - Embedded Petition</v>
      </c>
      <c r="D1432" s="10">
        <f ca="1">IFERROR(__xludf.DUMMYFUNCTION("""COMPUTED_VALUE"""),45682)</f>
        <v>45682</v>
      </c>
      <c r="E1432" s="1" t="str">
        <f ca="1">IFERROR(__xludf.DUMMYFUNCTION("""COMPUTED_VALUE"""),"Uganda")</f>
        <v>Uganda</v>
      </c>
      <c r="F1432" s="1" t="str">
        <f ca="1">IFERROR(__xludf.DUMMYFUNCTION("""COMPUTED_VALUE"""),"100.24 Uganda")</f>
        <v>100.24 Uganda</v>
      </c>
      <c r="G1432" s="1" t="str">
        <f ca="1">IFERROR(__xludf.DUMMYFUNCTION("""COMPUTED_VALUE"""),"Freedom of Expression")</f>
        <v>Freedom of Expression</v>
      </c>
      <c r="H1432" s="1" t="str">
        <f ca="1">IFERROR(__xludf.DUMMYFUNCTION("""COMPUTED_VALUE"""),"2024")</f>
        <v>2024</v>
      </c>
      <c r="I1432" s="1" t="str">
        <f ca="1">IFERROR(__xludf.DUMMYFUNCTION("""COMPUTED_VALUE"""),"Email")</f>
        <v>Email</v>
      </c>
    </row>
    <row r="1433" spans="1:9" ht="13" x14ac:dyDescent="0.15">
      <c r="A1433" s="9">
        <f ca="1">IFERROR(__xludf.DUMMYFUNCTION("""COMPUTED_VALUE"""),135702714)</f>
        <v>135702714</v>
      </c>
      <c r="B1433" s="1" t="str">
        <f ca="1">IFERROR(__xludf.DUMMYFUNCTION("""COMPUTED_VALUE"""),"alexhowe333@gmail.com")</f>
        <v>alexhowe333@gmail.com</v>
      </c>
      <c r="C1433" s="9" t="str">
        <f ca="1">IFERROR(__xludf.DUMMYFUNCTION("""COMPUTED_VALUE"""),"EVERGREEN - UAN Gated Content - Embedded Petition")</f>
        <v>EVERGREEN - UAN Gated Content - Embedded Petition</v>
      </c>
      <c r="D1433" s="10">
        <f ca="1">IFERROR(__xludf.DUMMYFUNCTION("""COMPUTED_VALUE"""),45686)</f>
        <v>45686</v>
      </c>
      <c r="E1433" s="1" t="str">
        <f ca="1">IFERROR(__xludf.DUMMYFUNCTION("""COMPUTED_VALUE"""),"Iran")</f>
        <v>Iran</v>
      </c>
      <c r="F1433" s="1" t="str">
        <f ca="1">IFERROR(__xludf.DUMMYFUNCTION("""COMPUTED_VALUE"""),"Seventh 103.22 Iran")</f>
        <v>Seventh 103.22 Iran</v>
      </c>
      <c r="G1433" s="1" t="str">
        <f ca="1">IFERROR(__xludf.DUMMYFUNCTION("""COMPUTED_VALUE"""),"Death Penalty, Freedom of Expression, Individuals At Risk")</f>
        <v>Death Penalty, Freedom of Expression, Individuals At Risk</v>
      </c>
      <c r="H1433" s="1" t="str">
        <f ca="1">IFERROR(__xludf.DUMMYFUNCTION("""COMPUTED_VALUE"""),"2024")</f>
        <v>2024</v>
      </c>
      <c r="I1433" s="1" t="str">
        <f ca="1">IFERROR(__xludf.DUMMYFUNCTION("""COMPUTED_VALUE"""),"Email")</f>
        <v>Email</v>
      </c>
    </row>
    <row r="1434" spans="1:9" ht="13" x14ac:dyDescent="0.15">
      <c r="A1434" s="9">
        <f ca="1">IFERROR(__xludf.DUMMYFUNCTION("""COMPUTED_VALUE"""),135702714)</f>
        <v>135702714</v>
      </c>
      <c r="B1434" s="1" t="str">
        <f ca="1">IFERROR(__xludf.DUMMYFUNCTION("""COMPUTED_VALUE"""),"alexhowe333@gmail.com")</f>
        <v>alexhowe333@gmail.com</v>
      </c>
      <c r="C1434" s="9" t="str">
        <f ca="1">IFERROR(__xludf.DUMMYFUNCTION("""COMPUTED_VALUE"""),"EVERGREEN - UAN Gated Content - Embedded Petition")</f>
        <v>EVERGREEN - UAN Gated Content - Embedded Petition</v>
      </c>
      <c r="D1434" s="10">
        <f ca="1">IFERROR(__xludf.DUMMYFUNCTION("""COMPUTED_VALUE"""),45690)</f>
        <v>45690</v>
      </c>
      <c r="E1434" s="1" t="str">
        <f ca="1">IFERROR(__xludf.DUMMYFUNCTION("""COMPUTED_VALUE"""),"Tunisia")</f>
        <v>Tunisia</v>
      </c>
      <c r="F1434" s="1" t="str">
        <f ca="1">IFERROR(__xludf.DUMMYFUNCTION("""COMPUTED_VALUE"""),"Second 76.24 Tunisia")</f>
        <v>Second 76.24 Tunisia</v>
      </c>
      <c r="G1434" s="1" t="str">
        <f ca="1">IFERROR(__xludf.DUMMYFUNCTION("""COMPUTED_VALUE"""),"Freedom of Expression, Human Rights Defenders")</f>
        <v>Freedom of Expression, Human Rights Defenders</v>
      </c>
      <c r="H1434" s="1" t="str">
        <f ca="1">IFERROR(__xludf.DUMMYFUNCTION("""COMPUTED_VALUE"""),"2025")</f>
        <v>2025</v>
      </c>
      <c r="I1434" s="1" t="str">
        <f ca="1">IFERROR(__xludf.DUMMYFUNCTION("""COMPUTED_VALUE"""),"Email")</f>
        <v>Email</v>
      </c>
    </row>
    <row r="1435" spans="1:9" ht="13" x14ac:dyDescent="0.15">
      <c r="A1435" s="9">
        <f ca="1">IFERROR(__xludf.DUMMYFUNCTION("""COMPUTED_VALUE"""),135727591)</f>
        <v>135727591</v>
      </c>
      <c r="B1435" s="1" t="str">
        <f ca="1">IFERROR(__xludf.DUMMYFUNCTION("""COMPUTED_VALUE"""),"jackdavidm@gmail.com")</f>
        <v>jackdavidm@gmail.com</v>
      </c>
      <c r="C1435" s="9" t="str">
        <f ca="1">IFERROR(__xludf.DUMMYFUNCTION("""COMPUTED_VALUE"""),"EVERGREEN - UAN Gated Content - Embedded Petition")</f>
        <v>EVERGREEN - UAN Gated Content - Embedded Petition</v>
      </c>
      <c r="D1435" s="10">
        <f ca="1">IFERROR(__xludf.DUMMYFUNCTION("""COMPUTED_VALUE"""),45694)</f>
        <v>45694</v>
      </c>
      <c r="E1435" s="1" t="str">
        <f ca="1">IFERROR(__xludf.DUMMYFUNCTION("""COMPUTED_VALUE"""),"Tunisia")</f>
        <v>Tunisia</v>
      </c>
      <c r="F1435" s="1" t="str">
        <f ca="1">IFERROR(__xludf.DUMMYFUNCTION("""COMPUTED_VALUE"""),"Second 76.24 Tunisia")</f>
        <v>Second 76.24 Tunisia</v>
      </c>
      <c r="G1435" s="1" t="str">
        <f ca="1">IFERROR(__xludf.DUMMYFUNCTION("""COMPUTED_VALUE"""),"Freedom of Expression, Human Rights Defenders")</f>
        <v>Freedom of Expression, Human Rights Defenders</v>
      </c>
      <c r="H1435" s="1" t="str">
        <f ca="1">IFERROR(__xludf.DUMMYFUNCTION("""COMPUTED_VALUE"""),"2025")</f>
        <v>2025</v>
      </c>
      <c r="I1435" s="1" t="str">
        <f ca="1">IFERROR(__xludf.DUMMYFUNCTION("""COMPUTED_VALUE"""),"Email")</f>
        <v>Email</v>
      </c>
    </row>
    <row r="1436" spans="1:9" ht="13" x14ac:dyDescent="0.15">
      <c r="A1436" s="9">
        <f ca="1">IFERROR(__xludf.DUMMYFUNCTION("""COMPUTED_VALUE"""),135727591)</f>
        <v>135727591</v>
      </c>
      <c r="B1436" s="1" t="str">
        <f ca="1">IFERROR(__xludf.DUMMYFUNCTION("""COMPUTED_VALUE"""),"jackdavidm@gmail.com")</f>
        <v>jackdavidm@gmail.com</v>
      </c>
      <c r="C1436" s="9" t="str">
        <f ca="1">IFERROR(__xludf.DUMMYFUNCTION("""COMPUTED_VALUE"""),"EVERGREEN - UAN Gated Content - Embedded Petition")</f>
        <v>EVERGREEN - UAN Gated Content - Embedded Petition</v>
      </c>
      <c r="D1436" s="10">
        <f ca="1">IFERROR(__xludf.DUMMYFUNCTION("""COMPUTED_VALUE"""),45616)</f>
        <v>45616</v>
      </c>
      <c r="E1436" s="1" t="str">
        <f ca="1">IFERROR(__xludf.DUMMYFUNCTION("""COMPUTED_VALUE"""),"USA")</f>
        <v>USA</v>
      </c>
      <c r="F1436" s="1" t="str">
        <f ca="1">IFERROR(__xludf.DUMMYFUNCTION("""COMPUTED_VALUE"""),"105.24 USA")</f>
        <v>105.24 USA</v>
      </c>
      <c r="G1436" s="1" t="str">
        <f ca="1">IFERROR(__xludf.DUMMYFUNCTION("""COMPUTED_VALUE"""),"Death Penalty")</f>
        <v>Death Penalty</v>
      </c>
      <c r="H1436" s="1" t="str">
        <f ca="1">IFERROR(__xludf.DUMMYFUNCTION("""COMPUTED_VALUE"""),"2024")</f>
        <v>2024</v>
      </c>
      <c r="I1436" s="1" t="str">
        <f ca="1">IFERROR(__xludf.DUMMYFUNCTION("""COMPUTED_VALUE"""),"Email")</f>
        <v>Email</v>
      </c>
    </row>
    <row r="1437" spans="1:9" ht="13" x14ac:dyDescent="0.15">
      <c r="A1437" s="9">
        <f ca="1">IFERROR(__xludf.DUMMYFUNCTION("""COMPUTED_VALUE"""),135727591)</f>
        <v>135727591</v>
      </c>
      <c r="B1437" s="1" t="str">
        <f ca="1">IFERROR(__xludf.DUMMYFUNCTION("""COMPUTED_VALUE"""),"jackdavidm@gmail.com")</f>
        <v>jackdavidm@gmail.com</v>
      </c>
      <c r="C1437" s="9" t="str">
        <f ca="1">IFERROR(__xludf.DUMMYFUNCTION("""COMPUTED_VALUE"""),"EVERGREEN - UAN Gated Content - Embedded Petition")</f>
        <v>EVERGREEN - UAN Gated Content - Embedded Petition</v>
      </c>
      <c r="D1437" s="10">
        <f ca="1">IFERROR(__xludf.DUMMYFUNCTION("""COMPUTED_VALUE"""),45616)</f>
        <v>45616</v>
      </c>
      <c r="E1437" s="1" t="str">
        <f ca="1">IFERROR(__xludf.DUMMYFUNCTION("""COMPUTED_VALUE"""),"Niger")</f>
        <v>Niger</v>
      </c>
      <c r="F1437" s="1" t="str">
        <f ca="1">IFERROR(__xludf.DUMMYFUNCTION("""COMPUTED_VALUE"""),"103.24 Niger")</f>
        <v>103.24 Niger</v>
      </c>
      <c r="G1437" s="1" t="str">
        <f ca="1">IFERROR(__xludf.DUMMYFUNCTION("""COMPUTED_VALUE"""),"Freedom of Expression, Human Rights Defenders")</f>
        <v>Freedom of Expression, Human Rights Defenders</v>
      </c>
      <c r="H1437" s="1" t="str">
        <f ca="1">IFERROR(__xludf.DUMMYFUNCTION("""COMPUTED_VALUE"""),"2024")</f>
        <v>2024</v>
      </c>
      <c r="I1437" s="1" t="str">
        <f ca="1">IFERROR(__xludf.DUMMYFUNCTION("""COMPUTED_VALUE"""),"Email")</f>
        <v>Email</v>
      </c>
    </row>
    <row r="1438" spans="1:9" ht="13" x14ac:dyDescent="0.15">
      <c r="A1438" s="9">
        <f ca="1">IFERROR(__xludf.DUMMYFUNCTION("""COMPUTED_VALUE"""),135729680)</f>
        <v>135729680</v>
      </c>
      <c r="B1438" s="1" t="str">
        <f ca="1">IFERROR(__xludf.DUMMYFUNCTION("""COMPUTED_VALUE"""),"rreichmann76@gmail.com")</f>
        <v>rreichmann76@gmail.com</v>
      </c>
      <c r="C1438" s="9" t="str">
        <f ca="1">IFERROR(__xludf.DUMMYFUNCTION("""COMPUTED_VALUE"""),"EVERGREEN - UAN Gated Content - Embedded Petition")</f>
        <v>EVERGREEN - UAN Gated Content - Embedded Petition</v>
      </c>
      <c r="D1438" s="10">
        <f ca="1">IFERROR(__xludf.DUMMYFUNCTION("""COMPUTED_VALUE"""),45677)</f>
        <v>45677</v>
      </c>
      <c r="E1438" s="1" t="str">
        <f ca="1">IFERROR(__xludf.DUMMYFUNCTION("""COMPUTED_VALUE"""),"Tunisia")</f>
        <v>Tunisia</v>
      </c>
      <c r="F1438" s="1" t="str">
        <f ca="1">IFERROR(__xludf.DUMMYFUNCTION("""COMPUTED_VALUE"""),"Second 76.24 Tunisia")</f>
        <v>Second 76.24 Tunisia</v>
      </c>
      <c r="G1438" s="1" t="str">
        <f ca="1">IFERROR(__xludf.DUMMYFUNCTION("""COMPUTED_VALUE"""),"Freedom of Expression, Human Rights Defenders")</f>
        <v>Freedom of Expression, Human Rights Defenders</v>
      </c>
      <c r="H1438" s="1" t="str">
        <f ca="1">IFERROR(__xludf.DUMMYFUNCTION("""COMPUTED_VALUE"""),"2025")</f>
        <v>2025</v>
      </c>
      <c r="I1438" s="1" t="str">
        <f ca="1">IFERROR(__xludf.DUMMYFUNCTION("""COMPUTED_VALUE"""),"Email")</f>
        <v>Email</v>
      </c>
    </row>
    <row r="1439" spans="1:9" ht="13" x14ac:dyDescent="0.15">
      <c r="A1439" s="9">
        <f ca="1">IFERROR(__xludf.DUMMYFUNCTION("""COMPUTED_VALUE"""),135729680)</f>
        <v>135729680</v>
      </c>
      <c r="B1439" s="1" t="str">
        <f ca="1">IFERROR(__xludf.DUMMYFUNCTION("""COMPUTED_VALUE"""),"rreichmann76@gmail.com")</f>
        <v>rreichmann76@gmail.com</v>
      </c>
      <c r="C1439" s="9" t="str">
        <f ca="1">IFERROR(__xludf.DUMMYFUNCTION("""COMPUTED_VALUE"""),"EVERGREEN - UAN Gated Content - Embedded Petition")</f>
        <v>EVERGREEN - UAN Gated Content - Embedded Petition</v>
      </c>
      <c r="D1439" s="10">
        <f ca="1">IFERROR(__xludf.DUMMYFUNCTION("""COMPUTED_VALUE"""),45677)</f>
        <v>45677</v>
      </c>
      <c r="E1439" s="1" t="str">
        <f ca="1">IFERROR(__xludf.DUMMYFUNCTION("""COMPUTED_VALUE"""),"Tunisia")</f>
        <v>Tunisia</v>
      </c>
      <c r="F1439" s="1" t="str">
        <f ca="1">IFERROR(__xludf.DUMMYFUNCTION("""COMPUTED_VALUE"""),"Second 76.24 Tunisia")</f>
        <v>Second 76.24 Tunisia</v>
      </c>
      <c r="G1439" s="1" t="str">
        <f ca="1">IFERROR(__xludf.DUMMYFUNCTION("""COMPUTED_VALUE"""),"Freedom of Expression, Human Rights Defenders")</f>
        <v>Freedom of Expression, Human Rights Defenders</v>
      </c>
      <c r="H1439" s="1" t="str">
        <f ca="1">IFERROR(__xludf.DUMMYFUNCTION("""COMPUTED_VALUE"""),"2025")</f>
        <v>2025</v>
      </c>
      <c r="I1439" s="1" t="str">
        <f ca="1">IFERROR(__xludf.DUMMYFUNCTION("""COMPUTED_VALUE"""),"Email")</f>
        <v>Email</v>
      </c>
    </row>
    <row r="1440" spans="1:9" ht="13" x14ac:dyDescent="0.15">
      <c r="A1440" s="9">
        <f ca="1">IFERROR(__xludf.DUMMYFUNCTION("""COMPUTED_VALUE"""),135729680)</f>
        <v>135729680</v>
      </c>
      <c r="B1440" s="1" t="str">
        <f ca="1">IFERROR(__xludf.DUMMYFUNCTION("""COMPUTED_VALUE"""),"rreichmann76@gmail.com")</f>
        <v>rreichmann76@gmail.com</v>
      </c>
      <c r="C1440" s="9" t="str">
        <f ca="1">IFERROR(__xludf.DUMMYFUNCTION("""COMPUTED_VALUE"""),"EVERGREEN - UAN Gated Content - Embedded Petition")</f>
        <v>EVERGREEN - UAN Gated Content - Embedded Petition</v>
      </c>
      <c r="D1440" s="10">
        <f ca="1">IFERROR(__xludf.DUMMYFUNCTION("""COMPUTED_VALUE"""),45677)</f>
        <v>45677</v>
      </c>
      <c r="E1440" s="1" t="str">
        <f ca="1">IFERROR(__xludf.DUMMYFUNCTION("""COMPUTED_VALUE"""),"Tunisia")</f>
        <v>Tunisia</v>
      </c>
      <c r="F1440" s="1" t="str">
        <f ca="1">IFERROR(__xludf.DUMMYFUNCTION("""COMPUTED_VALUE"""),"Second 76.24 Tunisia")</f>
        <v>Second 76.24 Tunisia</v>
      </c>
      <c r="G1440" s="1" t="str">
        <f ca="1">IFERROR(__xludf.DUMMYFUNCTION("""COMPUTED_VALUE"""),"Freedom of Expression, Human Rights Defenders")</f>
        <v>Freedom of Expression, Human Rights Defenders</v>
      </c>
      <c r="H1440" s="1" t="str">
        <f ca="1">IFERROR(__xludf.DUMMYFUNCTION("""COMPUTED_VALUE"""),"2025")</f>
        <v>2025</v>
      </c>
      <c r="I1440" s="1" t="str">
        <f ca="1">IFERROR(__xludf.DUMMYFUNCTION("""COMPUTED_VALUE"""),"Email")</f>
        <v>Email</v>
      </c>
    </row>
    <row r="1441" spans="1:9" ht="13" x14ac:dyDescent="0.15">
      <c r="A1441" s="9">
        <f ca="1">IFERROR(__xludf.DUMMYFUNCTION("""COMPUTED_VALUE"""),135729680)</f>
        <v>135729680</v>
      </c>
      <c r="B1441" s="1" t="str">
        <f ca="1">IFERROR(__xludf.DUMMYFUNCTION("""COMPUTED_VALUE"""),"rreichmann76@gmail.com")</f>
        <v>rreichmann76@gmail.com</v>
      </c>
      <c r="C1441" s="9" t="str">
        <f ca="1">IFERROR(__xludf.DUMMYFUNCTION("""COMPUTED_VALUE"""),"EVERGREEN - UAN Gated Content - Embedded Petition")</f>
        <v>EVERGREEN - UAN Gated Content - Embedded Petition</v>
      </c>
      <c r="D1441" s="10">
        <f ca="1">IFERROR(__xludf.DUMMYFUNCTION("""COMPUTED_VALUE"""),45677)</f>
        <v>45677</v>
      </c>
      <c r="E1441" s="1" t="str">
        <f ca="1">IFERROR(__xludf.DUMMYFUNCTION("""COMPUTED_VALUE"""),"Niger")</f>
        <v>Niger</v>
      </c>
      <c r="F1441" s="1" t="str">
        <f ca="1">IFERROR(__xludf.DUMMYFUNCTION("""COMPUTED_VALUE"""),"103.24 Niger")</f>
        <v>103.24 Niger</v>
      </c>
      <c r="G1441" s="1" t="str">
        <f ca="1">IFERROR(__xludf.DUMMYFUNCTION("""COMPUTED_VALUE"""),"Freedom of Expression, Human Rights Defenders")</f>
        <v>Freedom of Expression, Human Rights Defenders</v>
      </c>
      <c r="H1441" s="1" t="str">
        <f ca="1">IFERROR(__xludf.DUMMYFUNCTION("""COMPUTED_VALUE"""),"2024")</f>
        <v>2024</v>
      </c>
      <c r="I1441" s="1" t="str">
        <f ca="1">IFERROR(__xludf.DUMMYFUNCTION("""COMPUTED_VALUE"""),"Email")</f>
        <v>Email</v>
      </c>
    </row>
    <row r="1442" spans="1:9" ht="13" x14ac:dyDescent="0.15">
      <c r="A1442" s="9">
        <f ca="1">IFERROR(__xludf.DUMMYFUNCTION("""COMPUTED_VALUE"""),135729680)</f>
        <v>135729680</v>
      </c>
      <c r="B1442" s="1" t="str">
        <f ca="1">IFERROR(__xludf.DUMMYFUNCTION("""COMPUTED_VALUE"""),"rreichmann76@gmail.com")</f>
        <v>rreichmann76@gmail.com</v>
      </c>
      <c r="C1442" s="9" t="str">
        <f ca="1">IFERROR(__xludf.DUMMYFUNCTION("""COMPUTED_VALUE"""),"EVERGREEN - UAN Gated Content - Embedded Petition")</f>
        <v>EVERGREEN - UAN Gated Content - Embedded Petition</v>
      </c>
      <c r="D1442" s="10">
        <f ca="1">IFERROR(__xludf.DUMMYFUNCTION("""COMPUTED_VALUE"""),45697)</f>
        <v>45697</v>
      </c>
      <c r="E1442" s="1" t="str">
        <f ca="1">IFERROR(__xludf.DUMMYFUNCTION("""COMPUTED_VALUE"""),"Niger")</f>
        <v>Niger</v>
      </c>
      <c r="F1442" s="1" t="str">
        <f ca="1">IFERROR(__xludf.DUMMYFUNCTION("""COMPUTED_VALUE"""),"103.24 Niger")</f>
        <v>103.24 Niger</v>
      </c>
      <c r="G1442" s="1" t="str">
        <f ca="1">IFERROR(__xludf.DUMMYFUNCTION("""COMPUTED_VALUE"""),"Freedom of Expression, Human Rights Defenders")</f>
        <v>Freedom of Expression, Human Rights Defenders</v>
      </c>
      <c r="H1442" s="1" t="str">
        <f ca="1">IFERROR(__xludf.DUMMYFUNCTION("""COMPUTED_VALUE"""),"2024")</f>
        <v>2024</v>
      </c>
      <c r="I1442" s="1" t="str">
        <f ca="1">IFERROR(__xludf.DUMMYFUNCTION("""COMPUTED_VALUE"""),"Email")</f>
        <v>Email</v>
      </c>
    </row>
    <row r="1443" spans="1:9" ht="13" x14ac:dyDescent="0.15">
      <c r="A1443" s="9">
        <f ca="1">IFERROR(__xludf.DUMMYFUNCTION("""COMPUTED_VALUE"""),135729680)</f>
        <v>135729680</v>
      </c>
      <c r="B1443" s="1" t="str">
        <f ca="1">IFERROR(__xludf.DUMMYFUNCTION("""COMPUTED_VALUE"""),"rreichmann76@gmail.com")</f>
        <v>rreichmann76@gmail.com</v>
      </c>
      <c r="C1443" s="9" t="str">
        <f ca="1">IFERROR(__xludf.DUMMYFUNCTION("""COMPUTED_VALUE"""),"EVERGREEN - UAN Gated Content - Embedded Petition")</f>
        <v>EVERGREEN - UAN Gated Content - Embedded Petition</v>
      </c>
      <c r="D1443" s="10">
        <f ca="1">IFERROR(__xludf.DUMMYFUNCTION("""COMPUTED_VALUE"""),45697)</f>
        <v>45697</v>
      </c>
      <c r="E1443" s="1" t="str">
        <f ca="1">IFERROR(__xludf.DUMMYFUNCTION("""COMPUTED_VALUE"""),"China")</f>
        <v>China</v>
      </c>
      <c r="F1443" s="1" t="str">
        <f ca="1">IFERROR(__xludf.DUMMYFUNCTION("""COMPUTED_VALUE"""),"106.24 China")</f>
        <v>106.24 China</v>
      </c>
      <c r="G1443" s="1" t="str">
        <f ca="1">IFERROR(__xludf.DUMMYFUNCTION("""COMPUTED_VALUE"""),"Freedom of Expression, Individuals At Risk")</f>
        <v>Freedom of Expression, Individuals At Risk</v>
      </c>
      <c r="H1443" s="1" t="str">
        <f ca="1">IFERROR(__xludf.DUMMYFUNCTION("""COMPUTED_VALUE"""),"2024")</f>
        <v>2024</v>
      </c>
      <c r="I1443" s="1" t="str">
        <f ca="1">IFERROR(__xludf.DUMMYFUNCTION("""COMPUTED_VALUE"""),"Email")</f>
        <v>Email</v>
      </c>
    </row>
    <row r="1444" spans="1:9" ht="13" x14ac:dyDescent="0.15">
      <c r="A1444" s="9">
        <f ca="1">IFERROR(__xludf.DUMMYFUNCTION("""COMPUTED_VALUE"""),135729680)</f>
        <v>135729680</v>
      </c>
      <c r="B1444" s="1" t="str">
        <f ca="1">IFERROR(__xludf.DUMMYFUNCTION("""COMPUTED_VALUE"""),"rreichmann76@gmail.com")</f>
        <v>rreichmann76@gmail.com</v>
      </c>
      <c r="C1444" s="9" t="str">
        <f ca="1">IFERROR(__xludf.DUMMYFUNCTION("""COMPUTED_VALUE"""),"EVERGREEN - UAN Gated Content - Embedded Petition")</f>
        <v>EVERGREEN - UAN Gated Content - Embedded Petition</v>
      </c>
      <c r="D1444" s="10">
        <f ca="1">IFERROR(__xludf.DUMMYFUNCTION("""COMPUTED_VALUE"""),45697)</f>
        <v>45697</v>
      </c>
      <c r="E1444" s="1" t="str">
        <f ca="1">IFERROR(__xludf.DUMMYFUNCTION("""COMPUTED_VALUE"""),"Turkiye")</f>
        <v>Turkiye</v>
      </c>
      <c r="F1444" s="1" t="str">
        <f ca="1">IFERROR(__xludf.DUMMYFUNCTION("""COMPUTED_VALUE"""),"109.24 Türkiye")</f>
        <v>109.24 Türkiye</v>
      </c>
      <c r="G1444" s="1" t="str">
        <f ca="1">IFERROR(__xludf.DUMMYFUNCTION("""COMPUTED_VALUE"""),"Human Rights Defenders, Individuals At Risk")</f>
        <v>Human Rights Defenders, Individuals At Risk</v>
      </c>
      <c r="H1444" s="1" t="str">
        <f ca="1">IFERROR(__xludf.DUMMYFUNCTION("""COMPUTED_VALUE"""),"2024")</f>
        <v>2024</v>
      </c>
      <c r="I1444" s="1" t="str">
        <f ca="1">IFERROR(__xludf.DUMMYFUNCTION("""COMPUTED_VALUE"""),"Email")</f>
        <v>Email</v>
      </c>
    </row>
    <row r="1445" spans="1:9" ht="13" x14ac:dyDescent="0.15">
      <c r="A1445" s="9">
        <f ca="1">IFERROR(__xludf.DUMMYFUNCTION("""COMPUTED_VALUE"""),135729680)</f>
        <v>135729680</v>
      </c>
      <c r="B1445" s="1" t="str">
        <f ca="1">IFERROR(__xludf.DUMMYFUNCTION("""COMPUTED_VALUE"""),"rreichmann76@gmail.com")</f>
        <v>rreichmann76@gmail.com</v>
      </c>
      <c r="C1445" s="9" t="str">
        <f ca="1">IFERROR(__xludf.DUMMYFUNCTION("""COMPUTED_VALUE"""),"EVERGREEN - UAN Gated Content - Embedded Petition")</f>
        <v>EVERGREEN - UAN Gated Content - Embedded Petition</v>
      </c>
      <c r="D1445" s="10">
        <f ca="1">IFERROR(__xludf.DUMMYFUNCTION("""COMPUTED_VALUE"""),45697)</f>
        <v>45697</v>
      </c>
      <c r="E1445" s="1" t="str">
        <f ca="1">IFERROR(__xludf.DUMMYFUNCTION("""COMPUTED_VALUE"""),"USA")</f>
        <v>USA</v>
      </c>
      <c r="F1445" s="1" t="str">
        <f ca="1">IFERROR(__xludf.DUMMYFUNCTION("""COMPUTED_VALUE"""),"4.25 USA")</f>
        <v>4.25 USA</v>
      </c>
      <c r="G1445" s="1" t="str">
        <f ca="1">IFERROR(__xludf.DUMMYFUNCTION("""COMPUTED_VALUE"""),"Individuals At Risk, Refugee and Migrant Rights")</f>
        <v>Individuals At Risk, Refugee and Migrant Rights</v>
      </c>
      <c r="H1445" s="1" t="str">
        <f ca="1">IFERROR(__xludf.DUMMYFUNCTION("""COMPUTED_VALUE"""),"2025")</f>
        <v>2025</v>
      </c>
      <c r="I1445" s="1" t="str">
        <f ca="1">IFERROR(__xludf.DUMMYFUNCTION("""COMPUTED_VALUE"""),"Letter")</f>
        <v>Letter</v>
      </c>
    </row>
    <row r="1446" spans="1:9" ht="13" x14ac:dyDescent="0.15">
      <c r="A1446" s="9">
        <f ca="1">IFERROR(__xludf.DUMMYFUNCTION("""COMPUTED_VALUE"""),135729680)</f>
        <v>135729680</v>
      </c>
      <c r="B1446" s="1" t="str">
        <f ca="1">IFERROR(__xludf.DUMMYFUNCTION("""COMPUTED_VALUE"""),"rreichmann76@gmail.com")</f>
        <v>rreichmann76@gmail.com</v>
      </c>
      <c r="C1446" s="9" t="str">
        <f ca="1">IFERROR(__xludf.DUMMYFUNCTION("""COMPUTED_VALUE"""),"EVERGREEN - UAN Gated Content - Embedded Petition")</f>
        <v>EVERGREEN - UAN Gated Content - Embedded Petition</v>
      </c>
      <c r="D1446" s="10">
        <f ca="1">IFERROR(__xludf.DUMMYFUNCTION("""COMPUTED_VALUE"""),45697)</f>
        <v>45697</v>
      </c>
      <c r="E1446" s="1" t="str">
        <f ca="1">IFERROR(__xludf.DUMMYFUNCTION("""COMPUTED_VALUE"""),"Tunisia")</f>
        <v>Tunisia</v>
      </c>
      <c r="F1446" s="1" t="str">
        <f ca="1">IFERROR(__xludf.DUMMYFUNCTION("""COMPUTED_VALUE"""),"Second 76.24 Tunisia")</f>
        <v>Second 76.24 Tunisia</v>
      </c>
      <c r="G1446" s="1" t="str">
        <f ca="1">IFERROR(__xludf.DUMMYFUNCTION("""COMPUTED_VALUE"""),"Freedom of Expression, Human Rights Defenders")</f>
        <v>Freedom of Expression, Human Rights Defenders</v>
      </c>
      <c r="H1446" s="1" t="str">
        <f ca="1">IFERROR(__xludf.DUMMYFUNCTION("""COMPUTED_VALUE"""),"2025")</f>
        <v>2025</v>
      </c>
      <c r="I1446" s="1" t="str">
        <f ca="1">IFERROR(__xludf.DUMMYFUNCTION("""COMPUTED_VALUE"""),"Email")</f>
        <v>Email</v>
      </c>
    </row>
    <row r="1447" spans="1:9" ht="13" x14ac:dyDescent="0.15">
      <c r="A1447" s="9">
        <f ca="1">IFERROR(__xludf.DUMMYFUNCTION("""COMPUTED_VALUE"""),135729680)</f>
        <v>135729680</v>
      </c>
      <c r="B1447" s="1" t="str">
        <f ca="1">IFERROR(__xludf.DUMMYFUNCTION("""COMPUTED_VALUE"""),"rreichmann76@gmail.com")</f>
        <v>rreichmann76@gmail.com</v>
      </c>
      <c r="C1447" s="9" t="str">
        <f ca="1">IFERROR(__xludf.DUMMYFUNCTION("""COMPUTED_VALUE"""),"EVERGREEN - UAN Gated Content - Embedded Petition")</f>
        <v>EVERGREEN - UAN Gated Content - Embedded Petition</v>
      </c>
      <c r="D1447" s="10">
        <f ca="1">IFERROR(__xludf.DUMMYFUNCTION("""COMPUTED_VALUE"""),45697)</f>
        <v>45697</v>
      </c>
      <c r="E1447" s="1" t="str">
        <f ca="1">IFERROR(__xludf.DUMMYFUNCTION("""COMPUTED_VALUE"""),"Tunisia")</f>
        <v>Tunisia</v>
      </c>
      <c r="F1447" s="1" t="str">
        <f ca="1">IFERROR(__xludf.DUMMYFUNCTION("""COMPUTED_VALUE"""),"Second 76.24 Tunisia")</f>
        <v>Second 76.24 Tunisia</v>
      </c>
      <c r="G1447" s="1" t="str">
        <f ca="1">IFERROR(__xludf.DUMMYFUNCTION("""COMPUTED_VALUE"""),"Freedom of Expression, Human Rights Defenders")</f>
        <v>Freedom of Expression, Human Rights Defenders</v>
      </c>
      <c r="H1447" s="1" t="str">
        <f ca="1">IFERROR(__xludf.DUMMYFUNCTION("""COMPUTED_VALUE"""),"2025")</f>
        <v>2025</v>
      </c>
      <c r="I1447" s="1" t="str">
        <f ca="1">IFERROR(__xludf.DUMMYFUNCTION("""COMPUTED_VALUE"""),"Email")</f>
        <v>Email</v>
      </c>
    </row>
    <row r="1448" spans="1:9" ht="13" x14ac:dyDescent="0.15">
      <c r="A1448" s="9">
        <f ca="1">IFERROR(__xludf.DUMMYFUNCTION("""COMPUTED_VALUE"""),135729680)</f>
        <v>135729680</v>
      </c>
      <c r="B1448" s="1" t="str">
        <f ca="1">IFERROR(__xludf.DUMMYFUNCTION("""COMPUTED_VALUE"""),"rreichmann76@gmail.com")</f>
        <v>rreichmann76@gmail.com</v>
      </c>
      <c r="C1448" s="9" t="str">
        <f ca="1">IFERROR(__xludf.DUMMYFUNCTION("""COMPUTED_VALUE"""),"EVERGREEN - UAN Gated Content - Embedded Petition")</f>
        <v>EVERGREEN - UAN Gated Content - Embedded Petition</v>
      </c>
      <c r="D1448" s="10">
        <f ca="1">IFERROR(__xludf.DUMMYFUNCTION("""COMPUTED_VALUE"""),45707)</f>
        <v>45707</v>
      </c>
      <c r="E1448" s="1" t="str">
        <f ca="1">IFERROR(__xludf.DUMMYFUNCTION("""COMPUTED_VALUE"""),"Uganda")</f>
        <v>Uganda</v>
      </c>
      <c r="F1448" s="1" t="str">
        <f ca="1">IFERROR(__xludf.DUMMYFUNCTION("""COMPUTED_VALUE"""),"100.24 Uganda")</f>
        <v>100.24 Uganda</v>
      </c>
      <c r="G1448" s="1" t="str">
        <f ca="1">IFERROR(__xludf.DUMMYFUNCTION("""COMPUTED_VALUE"""),"Freedom of Expression")</f>
        <v>Freedom of Expression</v>
      </c>
      <c r="H1448" s="1" t="str">
        <f ca="1">IFERROR(__xludf.DUMMYFUNCTION("""COMPUTED_VALUE"""),"2024")</f>
        <v>2024</v>
      </c>
      <c r="I1448" s="1" t="str">
        <f ca="1">IFERROR(__xludf.DUMMYFUNCTION("""COMPUTED_VALUE"""),"Email")</f>
        <v>Email</v>
      </c>
    </row>
    <row r="1449" spans="1:9" ht="13" x14ac:dyDescent="0.15">
      <c r="A1449" s="9">
        <f ca="1">IFERROR(__xludf.DUMMYFUNCTION("""COMPUTED_VALUE"""),135729680)</f>
        <v>135729680</v>
      </c>
      <c r="B1449" s="1" t="str">
        <f ca="1">IFERROR(__xludf.DUMMYFUNCTION("""COMPUTED_VALUE"""),"rreichmann76@gmail.com")</f>
        <v>rreichmann76@gmail.com</v>
      </c>
      <c r="C1449" s="9" t="str">
        <f ca="1">IFERROR(__xludf.DUMMYFUNCTION("""COMPUTED_VALUE"""),"EVERGREEN - UAN Gated Content - Embedded Petition")</f>
        <v>EVERGREEN - UAN Gated Content - Embedded Petition</v>
      </c>
      <c r="D1449" s="10">
        <f ca="1">IFERROR(__xludf.DUMMYFUNCTION("""COMPUTED_VALUE"""),45677)</f>
        <v>45677</v>
      </c>
      <c r="E1449" s="1" t="str">
        <f ca="1">IFERROR(__xludf.DUMMYFUNCTION("""COMPUTED_VALUE"""),"Tunisia")</f>
        <v>Tunisia</v>
      </c>
      <c r="F1449" s="1" t="str">
        <f ca="1">IFERROR(__xludf.DUMMYFUNCTION("""COMPUTED_VALUE"""),"Second 76.24 Tunisia")</f>
        <v>Second 76.24 Tunisia</v>
      </c>
      <c r="G1449" s="1" t="str">
        <f ca="1">IFERROR(__xludf.DUMMYFUNCTION("""COMPUTED_VALUE"""),"Freedom of Expression, Human Rights Defenders")</f>
        <v>Freedom of Expression, Human Rights Defenders</v>
      </c>
      <c r="H1449" s="1" t="str">
        <f ca="1">IFERROR(__xludf.DUMMYFUNCTION("""COMPUTED_VALUE"""),"2025")</f>
        <v>2025</v>
      </c>
      <c r="I1449" s="1" t="str">
        <f ca="1">IFERROR(__xludf.DUMMYFUNCTION("""COMPUTED_VALUE"""),"Email")</f>
        <v>Email</v>
      </c>
    </row>
    <row r="1450" spans="1:9" ht="13" x14ac:dyDescent="0.15">
      <c r="A1450" s="9">
        <f ca="1">IFERROR(__xludf.DUMMYFUNCTION("""COMPUTED_VALUE"""),135729680)</f>
        <v>135729680</v>
      </c>
      <c r="B1450" s="1" t="str">
        <f ca="1">IFERROR(__xludf.DUMMYFUNCTION("""COMPUTED_VALUE"""),"rreichmann76@gmail.com")</f>
        <v>rreichmann76@gmail.com</v>
      </c>
      <c r="C1450" s="9" t="str">
        <f ca="1">IFERROR(__xludf.DUMMYFUNCTION("""COMPUTED_VALUE"""),"EVERGREEN - UAN Gated Content - Embedded Petition")</f>
        <v>EVERGREEN - UAN Gated Content - Embedded Petition</v>
      </c>
      <c r="D1450" s="10">
        <f ca="1">IFERROR(__xludf.DUMMYFUNCTION("""COMPUTED_VALUE"""),45642)</f>
        <v>45642</v>
      </c>
      <c r="E1450" s="1" t="str">
        <f ca="1">IFERROR(__xludf.DUMMYFUNCTION("""COMPUTED_VALUE"""),"Turkiye")</f>
        <v>Turkiye</v>
      </c>
      <c r="F1450" s="1" t="str">
        <f ca="1">IFERROR(__xludf.DUMMYFUNCTION("""COMPUTED_VALUE"""),"Second 109.24 Türkiye")</f>
        <v>Second 109.24 Türkiye</v>
      </c>
      <c r="G1450" s="1" t="str">
        <f ca="1">IFERROR(__xludf.DUMMYFUNCTION("""COMPUTED_VALUE"""),"Human Rights Defenders")</f>
        <v>Human Rights Defenders</v>
      </c>
      <c r="H1450" s="1" t="str">
        <f ca="1">IFERROR(__xludf.DUMMYFUNCTION("""COMPUTED_VALUE"""),"2025")</f>
        <v>2025</v>
      </c>
      <c r="I1450" s="1" t="str">
        <f ca="1">IFERROR(__xludf.DUMMYFUNCTION("""COMPUTED_VALUE"""),"Email")</f>
        <v>Email</v>
      </c>
    </row>
    <row r="1451" spans="1:9" ht="13" x14ac:dyDescent="0.15">
      <c r="A1451" s="9">
        <f ca="1">IFERROR(__xludf.DUMMYFUNCTION("""COMPUTED_VALUE"""),135951287)</f>
        <v>135951287</v>
      </c>
      <c r="B1451" s="1" t="str">
        <f ca="1">IFERROR(__xludf.DUMMYFUNCTION("""COMPUTED_VALUE"""),"dmaclean2@macleanfogg.com")</f>
        <v>dmaclean2@macleanfogg.com</v>
      </c>
      <c r="C1451" s="9" t="str">
        <f ca="1">IFERROR(__xludf.DUMMYFUNCTION("""COMPUTED_VALUE"""),"EVERGREEN - UAN Gated Content - Embedded Petition")</f>
        <v>EVERGREEN - UAN Gated Content - Embedded Petition</v>
      </c>
      <c r="D1451" s="10">
        <f ca="1">IFERROR(__xludf.DUMMYFUNCTION("""COMPUTED_VALUE"""),45679)</f>
        <v>45679</v>
      </c>
      <c r="E1451" s="1" t="str">
        <f ca="1">IFERROR(__xludf.DUMMYFUNCTION("""COMPUTED_VALUE"""),"Colombia")</f>
        <v>Colombia</v>
      </c>
      <c r="F1451" s="1" t="str">
        <f ca="1">IFERROR(__xludf.DUMMYFUNCTION("""COMPUTED_VALUE"""),"Third 12.24 Colombia")</f>
        <v>Third 12.24 Colombia</v>
      </c>
      <c r="G1451" s="1" t="str">
        <f ca="1">IFERROR(__xludf.DUMMYFUNCTION("""COMPUTED_VALUE"""),"Human Rights Defenders, Individuals At Risk")</f>
        <v>Human Rights Defenders, Individuals At Risk</v>
      </c>
      <c r="H1451" s="1" t="str">
        <f ca="1">IFERROR(__xludf.DUMMYFUNCTION("""COMPUTED_VALUE"""),"2025")</f>
        <v>2025</v>
      </c>
      <c r="I1451" s="1" t="str">
        <f ca="1">IFERROR(__xludf.DUMMYFUNCTION("""COMPUTED_VALUE"""),"Email")</f>
        <v>Email</v>
      </c>
    </row>
    <row r="1452" spans="1:9" ht="13" x14ac:dyDescent="0.15">
      <c r="A1452" s="9">
        <f ca="1">IFERROR(__xludf.DUMMYFUNCTION("""COMPUTED_VALUE"""),135951287)</f>
        <v>135951287</v>
      </c>
      <c r="B1452" s="1" t="str">
        <f ca="1">IFERROR(__xludf.DUMMYFUNCTION("""COMPUTED_VALUE"""),"dmaclean2@macleanfogg.com")</f>
        <v>dmaclean2@macleanfogg.com</v>
      </c>
      <c r="C1452" s="9" t="str">
        <f ca="1">IFERROR(__xludf.DUMMYFUNCTION("""COMPUTED_VALUE"""),"EVERGREEN - UAN Gated Content - Embedded Petition")</f>
        <v>EVERGREEN - UAN Gated Content - Embedded Petition</v>
      </c>
      <c r="D1452" s="10">
        <f ca="1">IFERROR(__xludf.DUMMYFUNCTION("""COMPUTED_VALUE"""),45679)</f>
        <v>45679</v>
      </c>
      <c r="E1452" s="1" t="str">
        <f ca="1">IFERROR(__xludf.DUMMYFUNCTION("""COMPUTED_VALUE"""),"Iran")</f>
        <v>Iran</v>
      </c>
      <c r="F1452" s="1" t="str">
        <f ca="1">IFERROR(__xludf.DUMMYFUNCTION("""COMPUTED_VALUE"""),"6.25 Iran")</f>
        <v>6.25 Iran</v>
      </c>
      <c r="G1452" s="1" t="str">
        <f ca="1">IFERROR(__xludf.DUMMYFUNCTION("""COMPUTED_VALUE"""),"Death Penalty, Freedom of Expression, Individuals At Risk")</f>
        <v>Death Penalty, Freedom of Expression, Individuals At Risk</v>
      </c>
      <c r="H1452" s="1" t="str">
        <f ca="1">IFERROR(__xludf.DUMMYFUNCTION("""COMPUTED_VALUE"""),"2025")</f>
        <v>2025</v>
      </c>
      <c r="I1452" s="1" t="str">
        <f ca="1">IFERROR(__xludf.DUMMYFUNCTION("""COMPUTED_VALUE"""),"Email")</f>
        <v>Email</v>
      </c>
    </row>
    <row r="1453" spans="1:9" ht="13" x14ac:dyDescent="0.15">
      <c r="A1453" s="9">
        <f ca="1">IFERROR(__xludf.DUMMYFUNCTION("""COMPUTED_VALUE"""),135951287)</f>
        <v>135951287</v>
      </c>
      <c r="B1453" s="1" t="str">
        <f ca="1">IFERROR(__xludf.DUMMYFUNCTION("""COMPUTED_VALUE"""),"dmaclean2@macleanfogg.com")</f>
        <v>dmaclean2@macleanfogg.com</v>
      </c>
      <c r="C1453" s="9" t="str">
        <f ca="1">IFERROR(__xludf.DUMMYFUNCTION("""COMPUTED_VALUE"""),"EVERGREEN - UAN Gated Content - Embedded Petition")</f>
        <v>EVERGREEN - UAN Gated Content - Embedded Petition</v>
      </c>
      <c r="D1453" s="10">
        <f ca="1">IFERROR(__xludf.DUMMYFUNCTION("""COMPUTED_VALUE"""),45679)</f>
        <v>45679</v>
      </c>
      <c r="E1453" s="1" t="str">
        <f ca="1">IFERROR(__xludf.DUMMYFUNCTION("""COMPUTED_VALUE"""),"Tunisia")</f>
        <v>Tunisia</v>
      </c>
      <c r="F1453" s="1" t="str">
        <f ca="1">IFERROR(__xludf.DUMMYFUNCTION("""COMPUTED_VALUE"""),"Second 76.24 Tunisia")</f>
        <v>Second 76.24 Tunisia</v>
      </c>
      <c r="G1453" s="1" t="str">
        <f ca="1">IFERROR(__xludf.DUMMYFUNCTION("""COMPUTED_VALUE"""),"Freedom of Expression, Human Rights Defenders")</f>
        <v>Freedom of Expression, Human Rights Defenders</v>
      </c>
      <c r="H1453" s="1" t="str">
        <f ca="1">IFERROR(__xludf.DUMMYFUNCTION("""COMPUTED_VALUE"""),"2025")</f>
        <v>2025</v>
      </c>
      <c r="I1453" s="1" t="str">
        <f ca="1">IFERROR(__xludf.DUMMYFUNCTION("""COMPUTED_VALUE"""),"Email")</f>
        <v>Email</v>
      </c>
    </row>
    <row r="1454" spans="1:9" ht="13" x14ac:dyDescent="0.15">
      <c r="A1454" s="9">
        <f ca="1">IFERROR(__xludf.DUMMYFUNCTION("""COMPUTED_VALUE"""),135951287)</f>
        <v>135951287</v>
      </c>
      <c r="B1454" s="1" t="str">
        <f ca="1">IFERROR(__xludf.DUMMYFUNCTION("""COMPUTED_VALUE"""),"dmaclean2@macleanfogg.com")</f>
        <v>dmaclean2@macleanfogg.com</v>
      </c>
      <c r="C1454" s="9" t="str">
        <f ca="1">IFERROR(__xludf.DUMMYFUNCTION("""COMPUTED_VALUE"""),"EVERGREEN - UAN Gated Content - Embedded Petition")</f>
        <v>EVERGREEN - UAN Gated Content - Embedded Petition</v>
      </c>
      <c r="D1454" s="10">
        <f ca="1">IFERROR(__xludf.DUMMYFUNCTION("""COMPUTED_VALUE"""),45679)</f>
        <v>45679</v>
      </c>
      <c r="E1454" s="1" t="str">
        <f ca="1">IFERROR(__xludf.DUMMYFUNCTION("""COMPUTED_VALUE"""),"Iran")</f>
        <v>Iran</v>
      </c>
      <c r="F1454" s="1" t="str">
        <f ca="1">IFERROR(__xludf.DUMMYFUNCTION("""COMPUTED_VALUE"""),"Seventh 103.22 Iran")</f>
        <v>Seventh 103.22 Iran</v>
      </c>
      <c r="G1454" s="1" t="str">
        <f ca="1">IFERROR(__xludf.DUMMYFUNCTION("""COMPUTED_VALUE"""),"Death Penalty, Freedom of Expression, Individuals At Risk")</f>
        <v>Death Penalty, Freedom of Expression, Individuals At Risk</v>
      </c>
      <c r="H1454" s="1" t="str">
        <f ca="1">IFERROR(__xludf.DUMMYFUNCTION("""COMPUTED_VALUE"""),"2024")</f>
        <v>2024</v>
      </c>
      <c r="I1454" s="1" t="str">
        <f ca="1">IFERROR(__xludf.DUMMYFUNCTION("""COMPUTED_VALUE"""),"Email")</f>
        <v>Email</v>
      </c>
    </row>
    <row r="1455" spans="1:9" ht="13" x14ac:dyDescent="0.15">
      <c r="A1455" s="9">
        <f ca="1">IFERROR(__xludf.DUMMYFUNCTION("""COMPUTED_VALUE"""),135951287)</f>
        <v>135951287</v>
      </c>
      <c r="B1455" s="1" t="str">
        <f ca="1">IFERROR(__xludf.DUMMYFUNCTION("""COMPUTED_VALUE"""),"dmaclean2@macleanfogg.com")</f>
        <v>dmaclean2@macleanfogg.com</v>
      </c>
      <c r="C1455" s="9" t="str">
        <f ca="1">IFERROR(__xludf.DUMMYFUNCTION("""COMPUTED_VALUE"""),"EVERGREEN - UAN Gated Content - Embedded Petition")</f>
        <v>EVERGREEN - UAN Gated Content - Embedded Petition</v>
      </c>
      <c r="D1455" s="10">
        <f ca="1">IFERROR(__xludf.DUMMYFUNCTION("""COMPUTED_VALUE"""),45636)</f>
        <v>45636</v>
      </c>
      <c r="E1455" s="1" t="str">
        <f ca="1">IFERROR(__xludf.DUMMYFUNCTION("""COMPUTED_VALUE"""),"Afghanistan")</f>
        <v>Afghanistan</v>
      </c>
      <c r="F1455" s="1" t="str">
        <f ca="1">IFERROR(__xludf.DUMMYFUNCTION("""COMPUTED_VALUE"""),"11.25 Afghanistan")</f>
        <v>11.25 Afghanistan</v>
      </c>
      <c r="G1455" s="1" t="str">
        <f ca="1">IFERROR(__xludf.DUMMYFUNCTION("""COMPUTED_VALUE"""),"Freedom of Expression, Health, Individuals At Risk")</f>
        <v>Freedom of Expression, Health, Individuals At Risk</v>
      </c>
      <c r="H1455" s="1" t="str">
        <f ca="1">IFERROR(__xludf.DUMMYFUNCTION("""COMPUTED_VALUE"""),"2025")</f>
        <v>2025</v>
      </c>
      <c r="I1455" s="1" t="str">
        <f ca="1">IFERROR(__xludf.DUMMYFUNCTION("""COMPUTED_VALUE"""),"Email")</f>
        <v>Email</v>
      </c>
    </row>
    <row r="1456" spans="1:9" ht="13" x14ac:dyDescent="0.15">
      <c r="A1456" s="9">
        <f ca="1">IFERROR(__xludf.DUMMYFUNCTION("""COMPUTED_VALUE"""),135951287)</f>
        <v>135951287</v>
      </c>
      <c r="B1456" s="1" t="str">
        <f ca="1">IFERROR(__xludf.DUMMYFUNCTION("""COMPUTED_VALUE"""),"dmaclean2@macleanfogg.com")</f>
        <v>dmaclean2@macleanfogg.com</v>
      </c>
      <c r="C1456" s="9" t="str">
        <f ca="1">IFERROR(__xludf.DUMMYFUNCTION("""COMPUTED_VALUE"""),"EVERGREEN - UAN Gated Content - Embedded Petition")</f>
        <v>EVERGREEN - UAN Gated Content - Embedded Petition</v>
      </c>
      <c r="D1456" s="10">
        <f ca="1">IFERROR(__xludf.DUMMYFUNCTION("""COMPUTED_VALUE"""),45636)</f>
        <v>45636</v>
      </c>
      <c r="E1456" s="1" t="str">
        <f ca="1">IFERROR(__xludf.DUMMYFUNCTION("""COMPUTED_VALUE"""),"Tunisia")</f>
        <v>Tunisia</v>
      </c>
      <c r="F1456" s="1" t="str">
        <f ca="1">IFERROR(__xludf.DUMMYFUNCTION("""COMPUTED_VALUE"""),"Second 76.24 Tunisia")</f>
        <v>Second 76.24 Tunisia</v>
      </c>
      <c r="G1456" s="1" t="str">
        <f ca="1">IFERROR(__xludf.DUMMYFUNCTION("""COMPUTED_VALUE"""),"Freedom of Expression, Human Rights Defenders")</f>
        <v>Freedom of Expression, Human Rights Defenders</v>
      </c>
      <c r="H1456" s="1" t="str">
        <f ca="1">IFERROR(__xludf.DUMMYFUNCTION("""COMPUTED_VALUE"""),"2025")</f>
        <v>2025</v>
      </c>
      <c r="I1456" s="1" t="str">
        <f ca="1">IFERROR(__xludf.DUMMYFUNCTION("""COMPUTED_VALUE"""),"Email")</f>
        <v>Email</v>
      </c>
    </row>
    <row r="1457" spans="1:9" ht="13" x14ac:dyDescent="0.15">
      <c r="A1457" s="9">
        <f ca="1">IFERROR(__xludf.DUMMYFUNCTION("""COMPUTED_VALUE"""),135951287)</f>
        <v>135951287</v>
      </c>
      <c r="B1457" s="1" t="str">
        <f ca="1">IFERROR(__xludf.DUMMYFUNCTION("""COMPUTED_VALUE"""),"dmaclean2@macleanfogg.com")</f>
        <v>dmaclean2@macleanfogg.com</v>
      </c>
      <c r="C1457" s="9" t="str">
        <f ca="1">IFERROR(__xludf.DUMMYFUNCTION("""COMPUTED_VALUE"""),"EVERGREEN - UAN Gated Content - Embedded Petition")</f>
        <v>EVERGREEN - UAN Gated Content - Embedded Petition</v>
      </c>
      <c r="D1457" s="10">
        <f ca="1">IFERROR(__xludf.DUMMYFUNCTION("""COMPUTED_VALUE"""),45636)</f>
        <v>45636</v>
      </c>
      <c r="E1457" s="1" t="str">
        <f ca="1">IFERROR(__xludf.DUMMYFUNCTION("""COMPUTED_VALUE"""),"Libya")</f>
        <v>Libya</v>
      </c>
      <c r="F1457" s="1" t="str">
        <f ca="1">IFERROR(__xludf.DUMMYFUNCTION("""COMPUTED_VALUE"""),"12.25 Libya")</f>
        <v>12.25 Libya</v>
      </c>
      <c r="G1457" s="1" t="str">
        <f ca="1">IFERROR(__xludf.DUMMYFUNCTION("""COMPUTED_VALUE"""),"Freedom of Expression, Health, Individuals At Risk")</f>
        <v>Freedom of Expression, Health, Individuals At Risk</v>
      </c>
      <c r="H1457" s="1" t="str">
        <f ca="1">IFERROR(__xludf.DUMMYFUNCTION("""COMPUTED_VALUE"""),"2025")</f>
        <v>2025</v>
      </c>
      <c r="I1457" s="1" t="str">
        <f ca="1">IFERROR(__xludf.DUMMYFUNCTION("""COMPUTED_VALUE"""),"Email")</f>
        <v>Email</v>
      </c>
    </row>
    <row r="1458" spans="1:9" ht="13" x14ac:dyDescent="0.15">
      <c r="A1458" s="9">
        <f ca="1">IFERROR(__xludf.DUMMYFUNCTION("""COMPUTED_VALUE"""),135951287)</f>
        <v>135951287</v>
      </c>
      <c r="B1458" s="1" t="str">
        <f ca="1">IFERROR(__xludf.DUMMYFUNCTION("""COMPUTED_VALUE"""),"dmaclean2@macleanfogg.com")</f>
        <v>dmaclean2@macleanfogg.com</v>
      </c>
      <c r="C1458" s="9" t="str">
        <f ca="1">IFERROR(__xludf.DUMMYFUNCTION("""COMPUTED_VALUE"""),"EVERGREEN - UAN Gated Content - Embedded Petition")</f>
        <v>EVERGREEN - UAN Gated Content - Embedded Petition</v>
      </c>
      <c r="D1458" s="10">
        <f ca="1">IFERROR(__xludf.DUMMYFUNCTION("""COMPUTED_VALUE"""),45636)</f>
        <v>45636</v>
      </c>
      <c r="E1458" s="1" t="str">
        <f ca="1">IFERROR(__xludf.DUMMYFUNCTION("""COMPUTED_VALUE"""),"Afghanistan")</f>
        <v>Afghanistan</v>
      </c>
      <c r="F1458" s="1" t="str">
        <f ca="1">IFERROR(__xludf.DUMMYFUNCTION("""COMPUTED_VALUE"""),"11.25 Afghanistan")</f>
        <v>11.25 Afghanistan</v>
      </c>
      <c r="G1458" s="1" t="str">
        <f ca="1">IFERROR(__xludf.DUMMYFUNCTION("""COMPUTED_VALUE"""),"Freedom of Expression, Health, Individuals At Risk")</f>
        <v>Freedom of Expression, Health, Individuals At Risk</v>
      </c>
      <c r="H1458" s="1" t="str">
        <f ca="1">IFERROR(__xludf.DUMMYFUNCTION("""COMPUTED_VALUE"""),"2025")</f>
        <v>2025</v>
      </c>
      <c r="I1458" s="1" t="str">
        <f ca="1">IFERROR(__xludf.DUMMYFUNCTION("""COMPUTED_VALUE"""),"Email")</f>
        <v>Email</v>
      </c>
    </row>
    <row r="1459" spans="1:9" ht="13" x14ac:dyDescent="0.15">
      <c r="A1459" s="9">
        <f ca="1">IFERROR(__xludf.DUMMYFUNCTION("""COMPUTED_VALUE"""),135951287)</f>
        <v>135951287</v>
      </c>
      <c r="B1459" s="1" t="str">
        <f ca="1">IFERROR(__xludf.DUMMYFUNCTION("""COMPUTED_VALUE"""),"dmaclean2@macleanfogg.com")</f>
        <v>dmaclean2@macleanfogg.com</v>
      </c>
      <c r="C1459" s="9" t="str">
        <f ca="1">IFERROR(__xludf.DUMMYFUNCTION("""COMPUTED_VALUE"""),"EVERGREEN - UAN Gated Content - Embedded Petition")</f>
        <v>EVERGREEN - UAN Gated Content - Embedded Petition</v>
      </c>
      <c r="D1459" s="10">
        <f ca="1">IFERROR(__xludf.DUMMYFUNCTION("""COMPUTED_VALUE"""),45636)</f>
        <v>45636</v>
      </c>
      <c r="E1459" s="1" t="str">
        <f ca="1">IFERROR(__xludf.DUMMYFUNCTION("""COMPUTED_VALUE"""),"Iran")</f>
        <v>Iran</v>
      </c>
      <c r="F1459" s="1" t="str">
        <f ca="1">IFERROR(__xludf.DUMMYFUNCTION("""COMPUTED_VALUE"""),"101.24 Iran")</f>
        <v>101.24 Iran</v>
      </c>
      <c r="G1459" s="1" t="str">
        <f ca="1">IFERROR(__xludf.DUMMYFUNCTION("""COMPUTED_VALUE"""),"Death Penalty, Freedom of Expression, Individuals At Risk, Right to Protest")</f>
        <v>Death Penalty, Freedom of Expression, Individuals At Risk, Right to Protest</v>
      </c>
      <c r="H1459" s="1" t="str">
        <f ca="1">IFERROR(__xludf.DUMMYFUNCTION("""COMPUTED_VALUE"""),"2024")</f>
        <v>2024</v>
      </c>
      <c r="I1459" s="1" t="str">
        <f ca="1">IFERROR(__xludf.DUMMYFUNCTION("""COMPUTED_VALUE"""),"Email")</f>
        <v>Email</v>
      </c>
    </row>
    <row r="1460" spans="1:9" ht="13" x14ac:dyDescent="0.15">
      <c r="A1460" s="9">
        <f ca="1">IFERROR(__xludf.DUMMYFUNCTION("""COMPUTED_VALUE"""),135951287)</f>
        <v>135951287</v>
      </c>
      <c r="B1460" s="1" t="str">
        <f ca="1">IFERROR(__xludf.DUMMYFUNCTION("""COMPUTED_VALUE"""),"dmaclean2@macleanfogg.com")</f>
        <v>dmaclean2@macleanfogg.com</v>
      </c>
      <c r="C1460" s="9" t="str">
        <f ca="1">IFERROR(__xludf.DUMMYFUNCTION("""COMPUTED_VALUE"""),"EVERGREEN - UAN Gated Content - Embedded Petition")</f>
        <v>EVERGREEN - UAN Gated Content - Embedded Petition</v>
      </c>
      <c r="D1460" s="10">
        <f ca="1">IFERROR(__xludf.DUMMYFUNCTION("""COMPUTED_VALUE"""),45636)</f>
        <v>45636</v>
      </c>
      <c r="E1460" s="1" t="str">
        <f ca="1">IFERROR(__xludf.DUMMYFUNCTION("""COMPUTED_VALUE"""),"Afghanistan")</f>
        <v>Afghanistan</v>
      </c>
      <c r="F1460" s="1" t="str">
        <f ca="1">IFERROR(__xludf.DUMMYFUNCTION("""COMPUTED_VALUE"""),"11.25 Afghanistan")</f>
        <v>11.25 Afghanistan</v>
      </c>
      <c r="G1460" s="1" t="str">
        <f ca="1">IFERROR(__xludf.DUMMYFUNCTION("""COMPUTED_VALUE"""),"Freedom of Expression, Health, Individuals At Risk")</f>
        <v>Freedom of Expression, Health, Individuals At Risk</v>
      </c>
      <c r="H1460" s="1" t="str">
        <f ca="1">IFERROR(__xludf.DUMMYFUNCTION("""COMPUTED_VALUE"""),"2025")</f>
        <v>2025</v>
      </c>
      <c r="I1460" s="1" t="str">
        <f ca="1">IFERROR(__xludf.DUMMYFUNCTION("""COMPUTED_VALUE"""),"Email")</f>
        <v>Email</v>
      </c>
    </row>
    <row r="1461" spans="1:9" ht="13" x14ac:dyDescent="0.15">
      <c r="A1461" s="9">
        <f ca="1">IFERROR(__xludf.DUMMYFUNCTION("""COMPUTED_VALUE"""),135951287)</f>
        <v>135951287</v>
      </c>
      <c r="B1461" s="1" t="str">
        <f ca="1">IFERROR(__xludf.DUMMYFUNCTION("""COMPUTED_VALUE"""),"dmaclean2@macleanfogg.com")</f>
        <v>dmaclean2@macleanfogg.com</v>
      </c>
      <c r="C1461" s="9" t="str">
        <f ca="1">IFERROR(__xludf.DUMMYFUNCTION("""COMPUTED_VALUE"""),"EVERGREEN - UAN Gated Content - Embedded Petition")</f>
        <v>EVERGREEN - UAN Gated Content - Embedded Petition</v>
      </c>
      <c r="D1461" s="10">
        <f ca="1">IFERROR(__xludf.DUMMYFUNCTION("""COMPUTED_VALUE"""),45694)</f>
        <v>45694</v>
      </c>
      <c r="E1461" s="1" t="str">
        <f ca="1">IFERROR(__xludf.DUMMYFUNCTION("""COMPUTED_VALUE"""),"Saudi Arabia")</f>
        <v>Saudi Arabia</v>
      </c>
      <c r="F1461" s="1" t="str">
        <f ca="1">IFERROR(__xludf.DUMMYFUNCTION("""COMPUTED_VALUE"""),"Fifth 257.12")</f>
        <v>Fifth 257.12</v>
      </c>
      <c r="G1461" s="1" t="str">
        <f ca="1">IFERROR(__xludf.DUMMYFUNCTION("""COMPUTED_VALUE"""),"Freedom of Expression, Human Rights Defenders")</f>
        <v>Freedom of Expression, Human Rights Defenders</v>
      </c>
      <c r="H1461" s="1" t="str">
        <f ca="1">IFERROR(__xludf.DUMMYFUNCTION("""COMPUTED_VALUE"""),"2025")</f>
        <v>2025</v>
      </c>
      <c r="I1461" s="1" t="str">
        <f ca="1">IFERROR(__xludf.DUMMYFUNCTION("""COMPUTED_VALUE"""),"Email")</f>
        <v>Email</v>
      </c>
    </row>
    <row r="1462" spans="1:9" ht="13" x14ac:dyDescent="0.15">
      <c r="A1462" s="9">
        <f ca="1">IFERROR(__xludf.DUMMYFUNCTION("""COMPUTED_VALUE"""),135951287)</f>
        <v>135951287</v>
      </c>
      <c r="B1462" s="1" t="str">
        <f ca="1">IFERROR(__xludf.DUMMYFUNCTION("""COMPUTED_VALUE"""),"dmaclean2@macleanfogg.com")</f>
        <v>dmaclean2@macleanfogg.com</v>
      </c>
      <c r="C1462" s="9" t="str">
        <f ca="1">IFERROR(__xludf.DUMMYFUNCTION("""COMPUTED_VALUE"""),"EVERGREEN - UAN Gated Content - Embedded Petition")</f>
        <v>EVERGREEN - UAN Gated Content - Embedded Petition</v>
      </c>
      <c r="D1462" s="10">
        <f ca="1">IFERROR(__xludf.DUMMYFUNCTION("""COMPUTED_VALUE"""),45679)</f>
        <v>45679</v>
      </c>
      <c r="E1462" s="1" t="str">
        <f ca="1">IFERROR(__xludf.DUMMYFUNCTION("""COMPUTED_VALUE"""),"Libya")</f>
        <v>Libya</v>
      </c>
      <c r="F1462" s="1" t="str">
        <f ca="1">IFERROR(__xludf.DUMMYFUNCTION("""COMPUTED_VALUE"""),"12.25 Libya")</f>
        <v>12.25 Libya</v>
      </c>
      <c r="G1462" s="1" t="str">
        <f ca="1">IFERROR(__xludf.DUMMYFUNCTION("""COMPUTED_VALUE"""),"Freedom of Expression, Health, Individuals At Risk")</f>
        <v>Freedom of Expression, Health, Individuals At Risk</v>
      </c>
      <c r="H1462" s="1" t="str">
        <f ca="1">IFERROR(__xludf.DUMMYFUNCTION("""COMPUTED_VALUE"""),"2025")</f>
        <v>2025</v>
      </c>
      <c r="I1462" s="1" t="str">
        <f ca="1">IFERROR(__xludf.DUMMYFUNCTION("""COMPUTED_VALUE"""),"Email")</f>
        <v>Email</v>
      </c>
    </row>
    <row r="1463" spans="1:9" ht="13" x14ac:dyDescent="0.15">
      <c r="A1463" s="9">
        <f ca="1">IFERROR(__xludf.DUMMYFUNCTION("""COMPUTED_VALUE"""),135951287)</f>
        <v>135951287</v>
      </c>
      <c r="B1463" s="1" t="str">
        <f ca="1">IFERROR(__xludf.DUMMYFUNCTION("""COMPUTED_VALUE"""),"dmaclean2@macleanfogg.com")</f>
        <v>dmaclean2@macleanfogg.com</v>
      </c>
      <c r="C1463" s="9" t="str">
        <f ca="1">IFERROR(__xludf.DUMMYFUNCTION("""COMPUTED_VALUE"""),"EVERGREEN - Website Email Capture Form - UAN Pre-Footer")</f>
        <v>EVERGREEN - Website Email Capture Form - UAN Pre-Footer</v>
      </c>
      <c r="D1463" s="10">
        <f ca="1">IFERROR(__xludf.DUMMYFUNCTION("""COMPUTED_VALUE"""),45679)</f>
        <v>45679</v>
      </c>
      <c r="E1463" s="1" t="str">
        <f ca="1">IFERROR(__xludf.DUMMYFUNCTION("""COMPUTED_VALUE"""),"Libya")</f>
        <v>Libya</v>
      </c>
      <c r="F1463" s="1" t="str">
        <f ca="1">IFERROR(__xludf.DUMMYFUNCTION("""COMPUTED_VALUE"""),"12.25 Libya")</f>
        <v>12.25 Libya</v>
      </c>
      <c r="G1463" s="1" t="str">
        <f ca="1">IFERROR(__xludf.DUMMYFUNCTION("""COMPUTED_VALUE"""),"Freedom of Expression, Health, Individuals At Risk")</f>
        <v>Freedom of Expression, Health, Individuals At Risk</v>
      </c>
      <c r="H1463" s="1" t="str">
        <f ca="1">IFERROR(__xludf.DUMMYFUNCTION("""COMPUTED_VALUE"""),"2025")</f>
        <v>2025</v>
      </c>
      <c r="I1463" s="1" t="str">
        <f ca="1">IFERROR(__xludf.DUMMYFUNCTION("""COMPUTED_VALUE"""),"Email")</f>
        <v>Email</v>
      </c>
    </row>
    <row r="1464" spans="1:9" ht="13" x14ac:dyDescent="0.15">
      <c r="A1464" s="9">
        <f ca="1">IFERROR(__xludf.DUMMYFUNCTION("""COMPUTED_VALUE"""),136012659)</f>
        <v>136012659</v>
      </c>
      <c r="B1464" s="1" t="str">
        <f ca="1">IFERROR(__xludf.DUMMYFUNCTION("""COMPUTED_VALUE"""),"mcrowden@aol.com")</f>
        <v>mcrowden@aol.com</v>
      </c>
      <c r="C1464" s="9" t="str">
        <f ca="1">IFERROR(__xludf.DUMMYFUNCTION("""COMPUTED_VALUE"""),"EVERGREEN - UAN Gated Content - Embedded Petition")</f>
        <v>EVERGREEN - UAN Gated Content - Embedded Petition</v>
      </c>
      <c r="D1464" s="10">
        <f ca="1">IFERROR(__xludf.DUMMYFUNCTION("""COMPUTED_VALUE"""),45695)</f>
        <v>45695</v>
      </c>
      <c r="E1464" s="1" t="str">
        <f ca="1">IFERROR(__xludf.DUMMYFUNCTION("""COMPUTED_VALUE"""),"Afghanistan")</f>
        <v>Afghanistan</v>
      </c>
      <c r="F1464" s="1" t="str">
        <f ca="1">IFERROR(__xludf.DUMMYFUNCTION("""COMPUTED_VALUE"""),"7.25 Afghanistan")</f>
        <v>7.25 Afghanistan</v>
      </c>
      <c r="G1464" s="1" t="str">
        <f ca="1">IFERROR(__xludf.DUMMYFUNCTION("""COMPUTED_VALUE"""),"Freedom of Expression, Individuals At Risk, Women's Rights")</f>
        <v>Freedom of Expression, Individuals At Risk, Women's Rights</v>
      </c>
      <c r="H1464" s="1" t="str">
        <f ca="1">IFERROR(__xludf.DUMMYFUNCTION("""COMPUTED_VALUE"""),"2025")</f>
        <v>2025</v>
      </c>
      <c r="I1464" s="1" t="str">
        <f ca="1">IFERROR(__xludf.DUMMYFUNCTION("""COMPUTED_VALUE"""),"Email")</f>
        <v>Email</v>
      </c>
    </row>
    <row r="1465" spans="1:9" ht="13" x14ac:dyDescent="0.15">
      <c r="A1465" s="9">
        <f ca="1">IFERROR(__xludf.DUMMYFUNCTION("""COMPUTED_VALUE"""),136120416)</f>
        <v>136120416</v>
      </c>
      <c r="B1465" s="1" t="str">
        <f ca="1">IFERROR(__xludf.DUMMYFUNCTION("""COMPUTED_VALUE"""),"julieellen56@gmail.com")</f>
        <v>julieellen56@gmail.com</v>
      </c>
      <c r="C1465" s="9" t="str">
        <f ca="1">IFERROR(__xludf.DUMMYFUNCTION("""COMPUTED_VALUE"""),"EVERGREEN - UAN Gated Content - Embedded Petition")</f>
        <v>EVERGREEN - UAN Gated Content - Embedded Petition</v>
      </c>
      <c r="D1465" s="10">
        <f ca="1">IFERROR(__xludf.DUMMYFUNCTION("""COMPUTED_VALUE"""),45694)</f>
        <v>45694</v>
      </c>
      <c r="E1465" s="1" t="str">
        <f ca="1">IFERROR(__xludf.DUMMYFUNCTION("""COMPUTED_VALUE"""),"Tunisia")</f>
        <v>Tunisia</v>
      </c>
      <c r="F1465" s="1" t="str">
        <f ca="1">IFERROR(__xludf.DUMMYFUNCTION("""COMPUTED_VALUE"""),"8.25 Tunisia")</f>
        <v>8.25 Tunisia</v>
      </c>
      <c r="G1465" s="1" t="str">
        <f ca="1">IFERROR(__xludf.DUMMYFUNCTION("""COMPUTED_VALUE"""),"Freedom of Expression")</f>
        <v>Freedom of Expression</v>
      </c>
      <c r="H1465" s="1" t="str">
        <f ca="1">IFERROR(__xludf.DUMMYFUNCTION("""COMPUTED_VALUE"""),"2025")</f>
        <v>2025</v>
      </c>
      <c r="I1465" s="1" t="str">
        <f ca="1">IFERROR(__xludf.DUMMYFUNCTION("""COMPUTED_VALUE"""),"Email")</f>
        <v>Email</v>
      </c>
    </row>
    <row r="1466" spans="1:9" ht="13" x14ac:dyDescent="0.15">
      <c r="A1466" s="9">
        <f ca="1">IFERROR(__xludf.DUMMYFUNCTION("""COMPUTED_VALUE"""),136429130)</f>
        <v>136429130</v>
      </c>
      <c r="B1466" s="1" t="str">
        <f ca="1">IFERROR(__xludf.DUMMYFUNCTION("""COMPUTED_VALUE"""),"fatimachagani@gmail.com")</f>
        <v>fatimachagani@gmail.com</v>
      </c>
      <c r="C1466" s="9" t="str">
        <f ca="1">IFERROR(__xludf.DUMMYFUNCTION("""COMPUTED_VALUE"""),"EVERGREEN - UAN Gated Content - Embedded Petition")</f>
        <v>EVERGREEN - UAN Gated Content - Embedded Petition</v>
      </c>
      <c r="D1466" s="10">
        <f ca="1">IFERROR(__xludf.DUMMYFUNCTION("""COMPUTED_VALUE"""),45703)</f>
        <v>45703</v>
      </c>
      <c r="E1466" s="1" t="str">
        <f ca="1">IFERROR(__xludf.DUMMYFUNCTION("""COMPUTED_VALUE"""),"USA")</f>
        <v>USA</v>
      </c>
      <c r="F1466" s="1" t="str">
        <f ca="1">IFERROR(__xludf.DUMMYFUNCTION("""COMPUTED_VALUE"""),"105.24 USA")</f>
        <v>105.24 USA</v>
      </c>
      <c r="G1466" s="1" t="str">
        <f ca="1">IFERROR(__xludf.DUMMYFUNCTION("""COMPUTED_VALUE"""),"Death Penalty")</f>
        <v>Death Penalty</v>
      </c>
      <c r="H1466" s="1" t="str">
        <f ca="1">IFERROR(__xludf.DUMMYFUNCTION("""COMPUTED_VALUE"""),"2024")</f>
        <v>2024</v>
      </c>
      <c r="I1466" s="1" t="str">
        <f ca="1">IFERROR(__xludf.DUMMYFUNCTION("""COMPUTED_VALUE"""),"Email")</f>
        <v>Email</v>
      </c>
    </row>
    <row r="1467" spans="1:9" ht="13" x14ac:dyDescent="0.15">
      <c r="A1467" s="9">
        <f ca="1">IFERROR(__xludf.DUMMYFUNCTION("""COMPUTED_VALUE"""),136429130)</f>
        <v>136429130</v>
      </c>
      <c r="B1467" s="1" t="str">
        <f ca="1">IFERROR(__xludf.DUMMYFUNCTION("""COMPUTED_VALUE"""),"fatimachagani@gmail.com")</f>
        <v>fatimachagani@gmail.com</v>
      </c>
      <c r="C1467" s="9" t="str">
        <f ca="1">IFERROR(__xludf.DUMMYFUNCTION("""COMPUTED_VALUE"""),"EVERGREEN - UAN Gated Content - Embedded Petition")</f>
        <v>EVERGREEN - UAN Gated Content - Embedded Petition</v>
      </c>
      <c r="D1467" s="10">
        <f ca="1">IFERROR(__xludf.DUMMYFUNCTION("""COMPUTED_VALUE"""),45688)</f>
        <v>45688</v>
      </c>
      <c r="E1467" s="1" t="str">
        <f ca="1">IFERROR(__xludf.DUMMYFUNCTION("""COMPUTED_VALUE"""),"Russian Federation")</f>
        <v>Russian Federation</v>
      </c>
      <c r="F1467" s="1" t="str">
        <f ca="1">IFERROR(__xludf.DUMMYFUNCTION("""COMPUTED_VALUE"""),"102.24 Russia")</f>
        <v>102.24 Russia</v>
      </c>
      <c r="G1467" s="1" t="str">
        <f ca="1">IFERROR(__xludf.DUMMYFUNCTION("""COMPUTED_VALUE"""),"Freedom of Expression, Individuals At Risk, Right to Protest")</f>
        <v>Freedom of Expression, Individuals At Risk, Right to Protest</v>
      </c>
      <c r="H1467" s="1" t="str">
        <f ca="1">IFERROR(__xludf.DUMMYFUNCTION("""COMPUTED_VALUE"""),"2024")</f>
        <v>2024</v>
      </c>
      <c r="I1467" s="1" t="str">
        <f ca="1">IFERROR(__xludf.DUMMYFUNCTION("""COMPUTED_VALUE"""),"Email")</f>
        <v>Email</v>
      </c>
    </row>
    <row r="1468" spans="1:9" ht="13" x14ac:dyDescent="0.15">
      <c r="A1468" s="9">
        <f ca="1">IFERROR(__xludf.DUMMYFUNCTION("""COMPUTED_VALUE"""),136429130)</f>
        <v>136429130</v>
      </c>
      <c r="B1468" s="1" t="str">
        <f ca="1">IFERROR(__xludf.DUMMYFUNCTION("""COMPUTED_VALUE"""),"fatimachagani@gmail.com")</f>
        <v>fatimachagani@gmail.com</v>
      </c>
      <c r="C1468" s="9" t="str">
        <f ca="1">IFERROR(__xludf.DUMMYFUNCTION("""COMPUTED_VALUE"""),"EVERGREEN - UAN Gated Content - Embedded Petition")</f>
        <v>EVERGREEN - UAN Gated Content - Embedded Petition</v>
      </c>
      <c r="D1468" s="10">
        <f ca="1">IFERROR(__xludf.DUMMYFUNCTION("""COMPUTED_VALUE"""),45688)</f>
        <v>45688</v>
      </c>
      <c r="E1468" s="1" t="str">
        <f ca="1">IFERROR(__xludf.DUMMYFUNCTION("""COMPUTED_VALUE"""),"Iran")</f>
        <v>Iran</v>
      </c>
      <c r="F1468" s="1" t="str">
        <f ca="1">IFERROR(__xludf.DUMMYFUNCTION("""COMPUTED_VALUE"""),"Seventh 103.22 Iran")</f>
        <v>Seventh 103.22 Iran</v>
      </c>
      <c r="G1468" s="1" t="str">
        <f ca="1">IFERROR(__xludf.DUMMYFUNCTION("""COMPUTED_VALUE"""),"Death Penalty, Freedom of Expression, Individuals At Risk")</f>
        <v>Death Penalty, Freedom of Expression, Individuals At Risk</v>
      </c>
      <c r="H1468" s="1" t="str">
        <f ca="1">IFERROR(__xludf.DUMMYFUNCTION("""COMPUTED_VALUE"""),"2024")</f>
        <v>2024</v>
      </c>
      <c r="I1468" s="1" t="str">
        <f ca="1">IFERROR(__xludf.DUMMYFUNCTION("""COMPUTED_VALUE"""),"Email")</f>
        <v>Email</v>
      </c>
    </row>
    <row r="1469" spans="1:9" ht="13" x14ac:dyDescent="0.15">
      <c r="A1469" s="9">
        <f ca="1">IFERROR(__xludf.DUMMYFUNCTION("""COMPUTED_VALUE"""),136429130)</f>
        <v>136429130</v>
      </c>
      <c r="B1469" s="1" t="str">
        <f ca="1">IFERROR(__xludf.DUMMYFUNCTION("""COMPUTED_VALUE"""),"fatimachagani@gmail.com")</f>
        <v>fatimachagani@gmail.com</v>
      </c>
      <c r="C1469" s="9" t="str">
        <f ca="1">IFERROR(__xludf.DUMMYFUNCTION("""COMPUTED_VALUE"""),"EVERGREEN - UAN Gated Content - Embedded Petition")</f>
        <v>EVERGREEN - UAN Gated Content - Embedded Petition</v>
      </c>
      <c r="D1469" s="10">
        <f ca="1">IFERROR(__xludf.DUMMYFUNCTION("""COMPUTED_VALUE"""),45679)</f>
        <v>45679</v>
      </c>
      <c r="E1469" s="1" t="str">
        <f ca="1">IFERROR(__xludf.DUMMYFUNCTION("""COMPUTED_VALUE"""),"Venezuela")</f>
        <v>Venezuela</v>
      </c>
      <c r="F1469" s="1" t="str">
        <f ca="1">IFERROR(__xludf.DUMMYFUNCTION("""COMPUTED_VALUE"""),"1.25 Venezuela")</f>
        <v>1.25 Venezuela</v>
      </c>
      <c r="G1469" s="1" t="str">
        <f ca="1">IFERROR(__xludf.DUMMYFUNCTION("""COMPUTED_VALUE"""),"Human Rights Defenders, Individuals At Risk")</f>
        <v>Human Rights Defenders, Individuals At Risk</v>
      </c>
      <c r="H1469" s="1" t="str">
        <f ca="1">IFERROR(__xludf.DUMMYFUNCTION("""COMPUTED_VALUE"""),"2025")</f>
        <v>2025</v>
      </c>
      <c r="I1469" s="1" t="str">
        <f ca="1">IFERROR(__xludf.DUMMYFUNCTION("""COMPUTED_VALUE"""),"Letter")</f>
        <v>Letter</v>
      </c>
    </row>
    <row r="1470" spans="1:9" ht="13" x14ac:dyDescent="0.15">
      <c r="A1470" s="9">
        <f ca="1">IFERROR(__xludf.DUMMYFUNCTION("""COMPUTED_VALUE"""),136429130)</f>
        <v>136429130</v>
      </c>
      <c r="B1470" s="1" t="str">
        <f ca="1">IFERROR(__xludf.DUMMYFUNCTION("""COMPUTED_VALUE"""),"fatimachagani@gmail.com")</f>
        <v>fatimachagani@gmail.com</v>
      </c>
      <c r="C1470" s="9" t="str">
        <f ca="1">IFERROR(__xludf.DUMMYFUNCTION("""COMPUTED_VALUE"""),"EVERGREEN - UAN Gated Content - Embedded Petition")</f>
        <v>EVERGREEN - UAN Gated Content - Embedded Petition</v>
      </c>
      <c r="D1470" s="10">
        <f ca="1">IFERROR(__xludf.DUMMYFUNCTION("""COMPUTED_VALUE"""),45655)</f>
        <v>45655</v>
      </c>
      <c r="E1470" s="1" t="str">
        <f ca="1">IFERROR(__xludf.DUMMYFUNCTION("""COMPUTED_VALUE"""),"Azerbaijan")</f>
        <v>Azerbaijan</v>
      </c>
      <c r="F1470" s="1" t="str">
        <f ca="1">IFERROR(__xludf.DUMMYFUNCTION("""COMPUTED_VALUE"""),"2.25 Azerbaijan")</f>
        <v>2.25 Azerbaijan</v>
      </c>
      <c r="G1470" s="1" t="str">
        <f ca="1">IFERROR(__xludf.DUMMYFUNCTION("""COMPUTED_VALUE"""),"Freedom of Expression, Human Rights Defenders")</f>
        <v>Freedom of Expression, Human Rights Defenders</v>
      </c>
      <c r="H1470" s="1" t="str">
        <f ca="1">IFERROR(__xludf.DUMMYFUNCTION("""COMPUTED_VALUE"""),"2025")</f>
        <v>2025</v>
      </c>
      <c r="I1470" s="1" t="str">
        <f ca="1">IFERROR(__xludf.DUMMYFUNCTION("""COMPUTED_VALUE"""),"Email")</f>
        <v>Email</v>
      </c>
    </row>
    <row r="1471" spans="1:9" ht="13" x14ac:dyDescent="0.15">
      <c r="A1471" s="9">
        <f ca="1">IFERROR(__xludf.DUMMYFUNCTION("""COMPUTED_VALUE"""),136429130)</f>
        <v>136429130</v>
      </c>
      <c r="B1471" s="1" t="str">
        <f ca="1">IFERROR(__xludf.DUMMYFUNCTION("""COMPUTED_VALUE"""),"fatimachagani@gmail.com")</f>
        <v>fatimachagani@gmail.com</v>
      </c>
      <c r="C1471" s="9" t="str">
        <f ca="1">IFERROR(__xludf.DUMMYFUNCTION("""COMPUTED_VALUE"""),"EVERGREEN - UAN Gated Content - Embedded Petition")</f>
        <v>EVERGREEN - UAN Gated Content - Embedded Petition</v>
      </c>
      <c r="D1471" s="10">
        <f ca="1">IFERROR(__xludf.DUMMYFUNCTION("""COMPUTED_VALUE"""),45658)</f>
        <v>45658</v>
      </c>
      <c r="E1471" s="1" t="str">
        <f ca="1">IFERROR(__xludf.DUMMYFUNCTION("""COMPUTED_VALUE"""),"Venezuela")</f>
        <v>Venezuela</v>
      </c>
      <c r="F1471" s="1" t="str">
        <f ca="1">IFERROR(__xludf.DUMMYFUNCTION("""COMPUTED_VALUE"""),"1.25 Venezuela")</f>
        <v>1.25 Venezuela</v>
      </c>
      <c r="G1471" s="1" t="str">
        <f ca="1">IFERROR(__xludf.DUMMYFUNCTION("""COMPUTED_VALUE"""),"Human Rights Defenders, Individuals At Risk")</f>
        <v>Human Rights Defenders, Individuals At Risk</v>
      </c>
      <c r="H1471" s="1" t="str">
        <f ca="1">IFERROR(__xludf.DUMMYFUNCTION("""COMPUTED_VALUE"""),"2025")</f>
        <v>2025</v>
      </c>
      <c r="I1471" s="1" t="str">
        <f ca="1">IFERROR(__xludf.DUMMYFUNCTION("""COMPUTED_VALUE"""),"Letter")</f>
        <v>Letter</v>
      </c>
    </row>
    <row r="1472" spans="1:9" ht="13" x14ac:dyDescent="0.15">
      <c r="A1472" s="9">
        <f ca="1">IFERROR(__xludf.DUMMYFUNCTION("""COMPUTED_VALUE"""),136429130)</f>
        <v>136429130</v>
      </c>
      <c r="B1472" s="1" t="str">
        <f ca="1">IFERROR(__xludf.DUMMYFUNCTION("""COMPUTED_VALUE"""),"fatimachagani@gmail.com")</f>
        <v>fatimachagani@gmail.com</v>
      </c>
      <c r="C1472" s="9" t="str">
        <f ca="1">IFERROR(__xludf.DUMMYFUNCTION("""COMPUTED_VALUE"""),"EVERGREEN - UAN Gated Content - Embedded Petition")</f>
        <v>EVERGREEN - UAN Gated Content - Embedded Petition</v>
      </c>
      <c r="D1472" s="10">
        <f ca="1">IFERROR(__xludf.DUMMYFUNCTION("""COMPUTED_VALUE"""),45633)</f>
        <v>45633</v>
      </c>
      <c r="E1472" s="1" t="str">
        <f ca="1">IFERROR(__xludf.DUMMYFUNCTION("""COMPUTED_VALUE"""),"Israel and Occupied Palestinian Territories")</f>
        <v>Israel and Occupied Palestinian Territories</v>
      </c>
      <c r="F1472" s="1" t="str">
        <f ca="1">IFERROR(__xludf.DUMMYFUNCTION("""COMPUTED_VALUE"""),"3.25 IOPT")</f>
        <v>3.25 IOPT</v>
      </c>
      <c r="G1472" s="1" t="str">
        <f ca="1">IFERROR(__xludf.DUMMYFUNCTION("""COMPUTED_VALUE"""),"Freedom of Expression, Individuals At Risk")</f>
        <v>Freedom of Expression, Individuals At Risk</v>
      </c>
      <c r="H1472" s="1" t="str">
        <f ca="1">IFERROR(__xludf.DUMMYFUNCTION("""COMPUTED_VALUE"""),"2025")</f>
        <v>2025</v>
      </c>
      <c r="I1472" s="1" t="str">
        <f ca="1">IFERROR(__xludf.DUMMYFUNCTION("""COMPUTED_VALUE"""),"Email")</f>
        <v>Email</v>
      </c>
    </row>
    <row r="1473" spans="1:9" ht="13" x14ac:dyDescent="0.15">
      <c r="A1473" s="9">
        <f ca="1">IFERROR(__xludf.DUMMYFUNCTION("""COMPUTED_VALUE"""),136429130)</f>
        <v>136429130</v>
      </c>
      <c r="B1473" s="1" t="str">
        <f ca="1">IFERROR(__xludf.DUMMYFUNCTION("""COMPUTED_VALUE"""),"fatimachagani@gmail.com")</f>
        <v>fatimachagani@gmail.com</v>
      </c>
      <c r="C1473" s="9" t="str">
        <f ca="1">IFERROR(__xludf.DUMMYFUNCTION("""COMPUTED_VALUE"""),"EVERGREEN - UAN Gated Content - Embedded Petition")</f>
        <v>EVERGREEN - UAN Gated Content - Embedded Petition</v>
      </c>
      <c r="D1473" s="10">
        <f ca="1">IFERROR(__xludf.DUMMYFUNCTION("""COMPUTED_VALUE"""),45666)</f>
        <v>45666</v>
      </c>
      <c r="E1473" s="1" t="str">
        <f ca="1">IFERROR(__xludf.DUMMYFUNCTION("""COMPUTED_VALUE"""),"Iran")</f>
        <v>Iran</v>
      </c>
      <c r="F1473" s="1" t="str">
        <f ca="1">IFERROR(__xludf.DUMMYFUNCTION("""COMPUTED_VALUE"""),"Seventh 103.22 Iran")</f>
        <v>Seventh 103.22 Iran</v>
      </c>
      <c r="G1473" s="1" t="str">
        <f ca="1">IFERROR(__xludf.DUMMYFUNCTION("""COMPUTED_VALUE"""),"Death Penalty, Freedom of Expression, Individuals At Risk")</f>
        <v>Death Penalty, Freedom of Expression, Individuals At Risk</v>
      </c>
      <c r="H1473" s="1" t="str">
        <f ca="1">IFERROR(__xludf.DUMMYFUNCTION("""COMPUTED_VALUE"""),"2024")</f>
        <v>2024</v>
      </c>
      <c r="I1473" s="1" t="str">
        <f ca="1">IFERROR(__xludf.DUMMYFUNCTION("""COMPUTED_VALUE"""),"Email")</f>
        <v>Email</v>
      </c>
    </row>
    <row r="1474" spans="1:9" ht="13" x14ac:dyDescent="0.15">
      <c r="A1474" s="9">
        <f ca="1">IFERROR(__xludf.DUMMYFUNCTION("""COMPUTED_VALUE"""),136429130)</f>
        <v>136429130</v>
      </c>
      <c r="B1474" s="1" t="str">
        <f ca="1">IFERROR(__xludf.DUMMYFUNCTION("""COMPUTED_VALUE"""),"fatimachagani@gmail.com")</f>
        <v>fatimachagani@gmail.com</v>
      </c>
      <c r="C1474" s="9" t="str">
        <f ca="1">IFERROR(__xludf.DUMMYFUNCTION("""COMPUTED_VALUE"""),"EVERGREEN - UAN Gated Content - Embedded Petition")</f>
        <v>EVERGREEN - UAN Gated Content - Embedded Petition</v>
      </c>
      <c r="D1474" s="10">
        <f ca="1">IFERROR(__xludf.DUMMYFUNCTION("""COMPUTED_VALUE"""),45672)</f>
        <v>45672</v>
      </c>
      <c r="E1474" s="1" t="str">
        <f ca="1">IFERROR(__xludf.DUMMYFUNCTION("""COMPUTED_VALUE"""),"USA")</f>
        <v>USA</v>
      </c>
      <c r="F1474" s="1" t="str">
        <f ca="1">IFERROR(__xludf.DUMMYFUNCTION("""COMPUTED_VALUE"""),"4.25 USA")</f>
        <v>4.25 USA</v>
      </c>
      <c r="G1474" s="1" t="str">
        <f ca="1">IFERROR(__xludf.DUMMYFUNCTION("""COMPUTED_VALUE"""),"Individuals At Risk, Refugee and Migrant Rights")</f>
        <v>Individuals At Risk, Refugee and Migrant Rights</v>
      </c>
      <c r="H1474" s="1" t="str">
        <f ca="1">IFERROR(__xludf.DUMMYFUNCTION("""COMPUTED_VALUE"""),"2025")</f>
        <v>2025</v>
      </c>
      <c r="I1474" s="1" t="str">
        <f ca="1">IFERROR(__xludf.DUMMYFUNCTION("""COMPUTED_VALUE"""),"Letter")</f>
        <v>Letter</v>
      </c>
    </row>
    <row r="1475" spans="1:9" ht="13" x14ac:dyDescent="0.15">
      <c r="A1475" s="9">
        <f ca="1">IFERROR(__xludf.DUMMYFUNCTION("""COMPUTED_VALUE"""),136429130)</f>
        <v>136429130</v>
      </c>
      <c r="B1475" s="1" t="str">
        <f ca="1">IFERROR(__xludf.DUMMYFUNCTION("""COMPUTED_VALUE"""),"fatimachagani@gmail.com")</f>
        <v>fatimachagani@gmail.com</v>
      </c>
      <c r="C1475" s="9" t="str">
        <f ca="1">IFERROR(__xludf.DUMMYFUNCTION("""COMPUTED_VALUE"""),"EVERGREEN - UAN Gated Content - Embedded Petition")</f>
        <v>EVERGREEN - UAN Gated Content - Embedded Petition</v>
      </c>
      <c r="D1475" s="10">
        <f ca="1">IFERROR(__xludf.DUMMYFUNCTION("""COMPUTED_VALUE"""),45640)</f>
        <v>45640</v>
      </c>
      <c r="E1475" s="1" t="str">
        <f ca="1">IFERROR(__xludf.DUMMYFUNCTION("""COMPUTED_VALUE"""),"Venezuela")</f>
        <v>Venezuela</v>
      </c>
      <c r="F1475" s="1" t="str">
        <f ca="1">IFERROR(__xludf.DUMMYFUNCTION("""COMPUTED_VALUE"""),"1.25 Venezuela")</f>
        <v>1.25 Venezuela</v>
      </c>
      <c r="G1475" s="1" t="str">
        <f ca="1">IFERROR(__xludf.DUMMYFUNCTION("""COMPUTED_VALUE"""),"Human Rights Defenders, Individuals At Risk")</f>
        <v>Human Rights Defenders, Individuals At Risk</v>
      </c>
      <c r="H1475" s="1" t="str">
        <f ca="1">IFERROR(__xludf.DUMMYFUNCTION("""COMPUTED_VALUE"""),"2025")</f>
        <v>2025</v>
      </c>
      <c r="I1475" s="1" t="str">
        <f ca="1">IFERROR(__xludf.DUMMYFUNCTION("""COMPUTED_VALUE"""),"Letter")</f>
        <v>Letter</v>
      </c>
    </row>
    <row r="1476" spans="1:9" ht="13" x14ac:dyDescent="0.15">
      <c r="A1476" s="9">
        <f ca="1">IFERROR(__xludf.DUMMYFUNCTION("""COMPUTED_VALUE"""),136429130)</f>
        <v>136429130</v>
      </c>
      <c r="B1476" s="1" t="str">
        <f ca="1">IFERROR(__xludf.DUMMYFUNCTION("""COMPUTED_VALUE"""),"fatimachagani@gmail.com")</f>
        <v>fatimachagani@gmail.com</v>
      </c>
      <c r="C1476" s="9" t="str">
        <f ca="1">IFERROR(__xludf.DUMMYFUNCTION("""COMPUTED_VALUE"""),"EVERGREEN - UAN Gated Content - Embedded Petition")</f>
        <v>EVERGREEN - UAN Gated Content - Embedded Petition</v>
      </c>
      <c r="D1476" s="10">
        <f ca="1">IFERROR(__xludf.DUMMYFUNCTION("""COMPUTED_VALUE"""),45643)</f>
        <v>45643</v>
      </c>
      <c r="E1476" s="1" t="str">
        <f ca="1">IFERROR(__xludf.DUMMYFUNCTION("""COMPUTED_VALUE"""),"Russian Federation")</f>
        <v>Russian Federation</v>
      </c>
      <c r="F1476" s="1" t="str">
        <f ca="1">IFERROR(__xludf.DUMMYFUNCTION("""COMPUTED_VALUE"""),"102.24 Russia")</f>
        <v>102.24 Russia</v>
      </c>
      <c r="G1476" s="1" t="str">
        <f ca="1">IFERROR(__xludf.DUMMYFUNCTION("""COMPUTED_VALUE"""),"Freedom of Expression, Individuals At Risk, Right to Protest")</f>
        <v>Freedom of Expression, Individuals At Risk, Right to Protest</v>
      </c>
      <c r="H1476" s="1" t="str">
        <f ca="1">IFERROR(__xludf.DUMMYFUNCTION("""COMPUTED_VALUE"""),"2024")</f>
        <v>2024</v>
      </c>
      <c r="I1476" s="1" t="str">
        <f ca="1">IFERROR(__xludf.DUMMYFUNCTION("""COMPUTED_VALUE"""),"Email")</f>
        <v>Email</v>
      </c>
    </row>
    <row r="1477" spans="1:9" ht="13" x14ac:dyDescent="0.15">
      <c r="A1477" s="9">
        <f ca="1">IFERROR(__xludf.DUMMYFUNCTION("""COMPUTED_VALUE"""),136429130)</f>
        <v>136429130</v>
      </c>
      <c r="B1477" s="1" t="str">
        <f ca="1">IFERROR(__xludf.DUMMYFUNCTION("""COMPUTED_VALUE"""),"fatimachagani@gmail.com")</f>
        <v>fatimachagani@gmail.com</v>
      </c>
      <c r="C1477" s="9" t="str">
        <f ca="1">IFERROR(__xludf.DUMMYFUNCTION("""COMPUTED_VALUE"""),"EVERGREEN - UAN Gated Content - Embedded Petition")</f>
        <v>EVERGREEN - UAN Gated Content - Embedded Petition</v>
      </c>
      <c r="D1477" s="10">
        <f ca="1">IFERROR(__xludf.DUMMYFUNCTION("""COMPUTED_VALUE"""),45643)</f>
        <v>45643</v>
      </c>
      <c r="E1477" s="1" t="str">
        <f ca="1">IFERROR(__xludf.DUMMYFUNCTION("""COMPUTED_VALUE"""),"Iran")</f>
        <v>Iran</v>
      </c>
      <c r="F1477" s="1" t="str">
        <f ca="1">IFERROR(__xludf.DUMMYFUNCTION("""COMPUTED_VALUE"""),"Seventh 103.22 Iran")</f>
        <v>Seventh 103.22 Iran</v>
      </c>
      <c r="G1477" s="1" t="str">
        <f ca="1">IFERROR(__xludf.DUMMYFUNCTION("""COMPUTED_VALUE"""),"Death Penalty, Freedom of Expression, Individuals At Risk")</f>
        <v>Death Penalty, Freedom of Expression, Individuals At Risk</v>
      </c>
      <c r="H1477" s="1" t="str">
        <f ca="1">IFERROR(__xludf.DUMMYFUNCTION("""COMPUTED_VALUE"""),"2024")</f>
        <v>2024</v>
      </c>
      <c r="I1477" s="1" t="str">
        <f ca="1">IFERROR(__xludf.DUMMYFUNCTION("""COMPUTED_VALUE"""),"Email")</f>
        <v>Email</v>
      </c>
    </row>
    <row r="1478" spans="1:9" ht="13" x14ac:dyDescent="0.15">
      <c r="A1478" s="9">
        <f ca="1">IFERROR(__xludf.DUMMYFUNCTION("""COMPUTED_VALUE"""),136429130)</f>
        <v>136429130</v>
      </c>
      <c r="B1478" s="1" t="str">
        <f ca="1">IFERROR(__xludf.DUMMYFUNCTION("""COMPUTED_VALUE"""),"fatimachagani@gmail.com")</f>
        <v>fatimachagani@gmail.com</v>
      </c>
      <c r="C1478" s="9" t="str">
        <f ca="1">IFERROR(__xludf.DUMMYFUNCTION("""COMPUTED_VALUE"""),"EVERGREEN - UAN Gated Content - Embedded Petition")</f>
        <v>EVERGREEN - UAN Gated Content - Embedded Petition</v>
      </c>
      <c r="D1478" s="10">
        <f ca="1">IFERROR(__xludf.DUMMYFUNCTION("""COMPUTED_VALUE"""),45649)</f>
        <v>45649</v>
      </c>
      <c r="E1478" s="1" t="str">
        <f ca="1">IFERROR(__xludf.DUMMYFUNCTION("""COMPUTED_VALUE"""),"Egypt")</f>
        <v>Egypt</v>
      </c>
      <c r="F1478" s="1" t="str">
        <f ca="1">IFERROR(__xludf.DUMMYFUNCTION("""COMPUTED_VALUE"""),"Third 73.23 Egypt")</f>
        <v>Third 73.23 Egypt</v>
      </c>
      <c r="G1478" s="1" t="str">
        <f ca="1">IFERROR(__xludf.DUMMYFUNCTION("""COMPUTED_VALUE"""),"Individuals At Risk")</f>
        <v>Individuals At Risk</v>
      </c>
      <c r="H1478" s="1" t="str">
        <f ca="1">IFERROR(__xludf.DUMMYFUNCTION("""COMPUTED_VALUE"""),"2024")</f>
        <v>2024</v>
      </c>
      <c r="I1478" s="1" t="str">
        <f ca="1">IFERROR(__xludf.DUMMYFUNCTION("""COMPUTED_VALUE"""),"Email")</f>
        <v>Email</v>
      </c>
    </row>
    <row r="1479" spans="1:9" ht="13" x14ac:dyDescent="0.15">
      <c r="A1479" s="9">
        <f ca="1">IFERROR(__xludf.DUMMYFUNCTION("""COMPUTED_VALUE"""),136429130)</f>
        <v>136429130</v>
      </c>
      <c r="B1479" s="1" t="str">
        <f ca="1">IFERROR(__xludf.DUMMYFUNCTION("""COMPUTED_VALUE"""),"fatimachagani@gmail.com")</f>
        <v>fatimachagani@gmail.com</v>
      </c>
      <c r="C1479" s="9" t="str">
        <f ca="1">IFERROR(__xludf.DUMMYFUNCTION("""COMPUTED_VALUE"""),"EVERGREEN - UAN Gated Content - Embedded Petition")</f>
        <v>EVERGREEN - UAN Gated Content - Embedded Petition</v>
      </c>
      <c r="D1479" s="10">
        <f ca="1">IFERROR(__xludf.DUMMYFUNCTION("""COMPUTED_VALUE"""),45649)</f>
        <v>45649</v>
      </c>
      <c r="E1479" s="1" t="str">
        <f ca="1">IFERROR(__xludf.DUMMYFUNCTION("""COMPUTED_VALUE"""),"China")</f>
        <v>China</v>
      </c>
      <c r="F1479" s="1" t="str">
        <f ca="1">IFERROR(__xludf.DUMMYFUNCTION("""COMPUTED_VALUE"""),"98.24 China")</f>
        <v>98.24 China</v>
      </c>
      <c r="G1479" s="1" t="str">
        <f ca="1">IFERROR(__xludf.DUMMYFUNCTION("""COMPUTED_VALUE"""),"Freedom of Expression, Individuals At Risk")</f>
        <v>Freedom of Expression, Individuals At Risk</v>
      </c>
      <c r="H1479" s="1" t="str">
        <f ca="1">IFERROR(__xludf.DUMMYFUNCTION("""COMPUTED_VALUE"""),"2024")</f>
        <v>2024</v>
      </c>
      <c r="I1479" s="1" t="str">
        <f ca="1">IFERROR(__xludf.DUMMYFUNCTION("""COMPUTED_VALUE"""),"Letter")</f>
        <v>Letter</v>
      </c>
    </row>
    <row r="1480" spans="1:9" ht="13" x14ac:dyDescent="0.15">
      <c r="A1480" s="9">
        <f ca="1">IFERROR(__xludf.DUMMYFUNCTION("""COMPUTED_VALUE"""),136429130)</f>
        <v>136429130</v>
      </c>
      <c r="B1480" s="1" t="str">
        <f ca="1">IFERROR(__xludf.DUMMYFUNCTION("""COMPUTED_VALUE"""),"fatimachagani@gmail.com")</f>
        <v>fatimachagani@gmail.com</v>
      </c>
      <c r="C1480" s="9" t="str">
        <f ca="1">IFERROR(__xludf.DUMMYFUNCTION("""COMPUTED_VALUE"""),"EVERGREEN - UAN Gated Content - Embedded Petition")</f>
        <v>EVERGREEN - UAN Gated Content - Embedded Petition</v>
      </c>
      <c r="D1480" s="10">
        <f ca="1">IFERROR(__xludf.DUMMYFUNCTION("""COMPUTED_VALUE"""),45623)</f>
        <v>45623</v>
      </c>
      <c r="E1480" s="1" t="str">
        <f ca="1">IFERROR(__xludf.DUMMYFUNCTION("""COMPUTED_VALUE"""),"Egypt")</f>
        <v>Egypt</v>
      </c>
      <c r="F1480" s="1" t="str">
        <f ca="1">IFERROR(__xludf.DUMMYFUNCTION("""COMPUTED_VALUE"""),"Ninth 190.18 Egypt")</f>
        <v>Ninth 190.18 Egypt</v>
      </c>
      <c r="G1480" s="1" t="str">
        <f ca="1">IFERROR(__xludf.DUMMYFUNCTION("""COMPUTED_VALUE"""),"Freedom of Expression, Individuals At Risk")</f>
        <v>Freedom of Expression, Individuals At Risk</v>
      </c>
      <c r="H1480" s="1" t="str">
        <f ca="1">IFERROR(__xludf.DUMMYFUNCTION("""COMPUTED_VALUE"""),"2024")</f>
        <v>2024</v>
      </c>
      <c r="I1480" s="1" t="str">
        <f ca="1">IFERROR(__xludf.DUMMYFUNCTION("""COMPUTED_VALUE"""),"Letter")</f>
        <v>Letter</v>
      </c>
    </row>
    <row r="1481" spans="1:9" ht="13" x14ac:dyDescent="0.15">
      <c r="A1481" s="9">
        <f ca="1">IFERROR(__xludf.DUMMYFUNCTION("""COMPUTED_VALUE"""),136429130)</f>
        <v>136429130</v>
      </c>
      <c r="B1481" s="1" t="str">
        <f ca="1">IFERROR(__xludf.DUMMYFUNCTION("""COMPUTED_VALUE"""),"fatimachagani@gmail.com")</f>
        <v>fatimachagani@gmail.com</v>
      </c>
      <c r="C1481" s="9" t="str">
        <f ca="1">IFERROR(__xludf.DUMMYFUNCTION("""COMPUTED_VALUE"""),"EVERGREEN - UAN Gated Content - Embedded Petition")</f>
        <v>EVERGREEN - UAN Gated Content - Embedded Petition</v>
      </c>
      <c r="D1481" s="10">
        <f ca="1">IFERROR(__xludf.DUMMYFUNCTION("""COMPUTED_VALUE"""),45626)</f>
        <v>45626</v>
      </c>
      <c r="E1481" s="1" t="str">
        <f ca="1">IFERROR(__xludf.DUMMYFUNCTION("""COMPUTED_VALUE"""),"Iran")</f>
        <v>Iran</v>
      </c>
      <c r="F1481" s="1" t="str">
        <f ca="1">IFERROR(__xludf.DUMMYFUNCTION("""COMPUTED_VALUE"""),"Seventh 103.22 Iran")</f>
        <v>Seventh 103.22 Iran</v>
      </c>
      <c r="G1481" s="1" t="str">
        <f ca="1">IFERROR(__xludf.DUMMYFUNCTION("""COMPUTED_VALUE"""),"Death Penalty, Freedom of Expression, Individuals At Risk")</f>
        <v>Death Penalty, Freedom of Expression, Individuals At Risk</v>
      </c>
      <c r="H1481" s="1" t="str">
        <f ca="1">IFERROR(__xludf.DUMMYFUNCTION("""COMPUTED_VALUE"""),"2024")</f>
        <v>2024</v>
      </c>
      <c r="I1481" s="1" t="str">
        <f ca="1">IFERROR(__xludf.DUMMYFUNCTION("""COMPUTED_VALUE"""),"Email")</f>
        <v>Email</v>
      </c>
    </row>
    <row r="1482" spans="1:9" ht="13" x14ac:dyDescent="0.15">
      <c r="A1482" s="9">
        <f ca="1">IFERROR(__xludf.DUMMYFUNCTION("""COMPUTED_VALUE"""),136429130)</f>
        <v>136429130</v>
      </c>
      <c r="B1482" s="1" t="str">
        <f ca="1">IFERROR(__xludf.DUMMYFUNCTION("""COMPUTED_VALUE"""),"fatimachagani@gmail.com")</f>
        <v>fatimachagani@gmail.com</v>
      </c>
      <c r="C1482" s="9" t="str">
        <f ca="1">IFERROR(__xludf.DUMMYFUNCTION("""COMPUTED_VALUE"""),"EVERGREEN - UAN Gated Content - Embedded Petition")</f>
        <v>EVERGREEN - UAN Gated Content - Embedded Petition</v>
      </c>
      <c r="D1482" s="10">
        <f ca="1">IFERROR(__xludf.DUMMYFUNCTION("""COMPUTED_VALUE"""),45626)</f>
        <v>45626</v>
      </c>
      <c r="E1482" s="1" t="str">
        <f ca="1">IFERROR(__xludf.DUMMYFUNCTION("""COMPUTED_VALUE"""),"Tunisia")</f>
        <v>Tunisia</v>
      </c>
      <c r="F1482" s="1" t="str">
        <f ca="1">IFERROR(__xludf.DUMMYFUNCTION("""COMPUTED_VALUE"""),"Second 76.24 Tunisia")</f>
        <v>Second 76.24 Tunisia</v>
      </c>
      <c r="G1482" s="1" t="str">
        <f ca="1">IFERROR(__xludf.DUMMYFUNCTION("""COMPUTED_VALUE"""),"Freedom of Expression, Human Rights Defenders")</f>
        <v>Freedom of Expression, Human Rights Defenders</v>
      </c>
      <c r="H1482" s="1" t="str">
        <f ca="1">IFERROR(__xludf.DUMMYFUNCTION("""COMPUTED_VALUE"""),"2025")</f>
        <v>2025</v>
      </c>
      <c r="I1482" s="1" t="str">
        <f ca="1">IFERROR(__xludf.DUMMYFUNCTION("""COMPUTED_VALUE"""),"Email")</f>
        <v>Email</v>
      </c>
    </row>
    <row r="1483" spans="1:9" ht="13" x14ac:dyDescent="0.15">
      <c r="A1483" s="9">
        <f ca="1">IFERROR(__xludf.DUMMYFUNCTION("""COMPUTED_VALUE"""),136429130)</f>
        <v>136429130</v>
      </c>
      <c r="B1483" s="1" t="str">
        <f ca="1">IFERROR(__xludf.DUMMYFUNCTION("""COMPUTED_VALUE"""),"fatimachagani@gmail.com")</f>
        <v>fatimachagani@gmail.com</v>
      </c>
      <c r="C1483" s="9" t="str">
        <f ca="1">IFERROR(__xludf.DUMMYFUNCTION("""COMPUTED_VALUE"""),"EVERGREEN - UAN Gated Content - Embedded Petition")</f>
        <v>EVERGREEN - UAN Gated Content - Embedded Petition</v>
      </c>
      <c r="D1483" s="10">
        <f ca="1">IFERROR(__xludf.DUMMYFUNCTION("""COMPUTED_VALUE"""),45703)</f>
        <v>45703</v>
      </c>
      <c r="E1483" s="1" t="str">
        <f ca="1">IFERROR(__xludf.DUMMYFUNCTION("""COMPUTED_VALUE"""),"Tunisia")</f>
        <v>Tunisia</v>
      </c>
      <c r="F1483" s="1" t="str">
        <f ca="1">IFERROR(__xludf.DUMMYFUNCTION("""COMPUTED_VALUE"""),"Second 76.24 Tunisia")</f>
        <v>Second 76.24 Tunisia</v>
      </c>
      <c r="G1483" s="1" t="str">
        <f ca="1">IFERROR(__xludf.DUMMYFUNCTION("""COMPUTED_VALUE"""),"Freedom of Expression, Human Rights Defenders")</f>
        <v>Freedom of Expression, Human Rights Defenders</v>
      </c>
      <c r="H1483" s="1" t="str">
        <f ca="1">IFERROR(__xludf.DUMMYFUNCTION("""COMPUTED_VALUE"""),"2025")</f>
        <v>2025</v>
      </c>
      <c r="I1483" s="1" t="str">
        <f ca="1">IFERROR(__xludf.DUMMYFUNCTION("""COMPUTED_VALUE"""),"Email")</f>
        <v>Email</v>
      </c>
    </row>
    <row r="1484" spans="1:9" ht="13" x14ac:dyDescent="0.15">
      <c r="A1484" s="9">
        <f ca="1">IFERROR(__xludf.DUMMYFUNCTION("""COMPUTED_VALUE"""),136429130)</f>
        <v>136429130</v>
      </c>
      <c r="B1484" s="1" t="str">
        <f ca="1">IFERROR(__xludf.DUMMYFUNCTION("""COMPUTED_VALUE"""),"fatimachagani@gmail.com")</f>
        <v>fatimachagani@gmail.com</v>
      </c>
      <c r="C1484" s="9" t="str">
        <f ca="1">IFERROR(__xludf.DUMMYFUNCTION("""COMPUTED_VALUE"""),"EVERGREEN - UAN Gated Content - Embedded Petition")</f>
        <v>EVERGREEN - UAN Gated Content - Embedded Petition</v>
      </c>
      <c r="D1484" s="10">
        <f ca="1">IFERROR(__xludf.DUMMYFUNCTION("""COMPUTED_VALUE"""),45707)</f>
        <v>45707</v>
      </c>
      <c r="E1484" s="1" t="str">
        <f ca="1">IFERROR(__xludf.DUMMYFUNCTION("""COMPUTED_VALUE"""),"Tunisia")</f>
        <v>Tunisia</v>
      </c>
      <c r="F1484" s="1" t="str">
        <f ca="1">IFERROR(__xludf.DUMMYFUNCTION("""COMPUTED_VALUE"""),"Second 76.24 Tunisia")</f>
        <v>Second 76.24 Tunisia</v>
      </c>
      <c r="G1484" s="1" t="str">
        <f ca="1">IFERROR(__xludf.DUMMYFUNCTION("""COMPUTED_VALUE"""),"Freedom of Expression, Human Rights Defenders")</f>
        <v>Freedom of Expression, Human Rights Defenders</v>
      </c>
      <c r="H1484" s="1" t="str">
        <f ca="1">IFERROR(__xludf.DUMMYFUNCTION("""COMPUTED_VALUE"""),"2025")</f>
        <v>2025</v>
      </c>
      <c r="I1484" s="1" t="str">
        <f ca="1">IFERROR(__xludf.DUMMYFUNCTION("""COMPUTED_VALUE"""),"Email")</f>
        <v>Email</v>
      </c>
    </row>
    <row r="1485" spans="1:9" ht="13" x14ac:dyDescent="0.15">
      <c r="A1485" s="9">
        <f ca="1">IFERROR(__xludf.DUMMYFUNCTION("""COMPUTED_VALUE"""),136429130)</f>
        <v>136429130</v>
      </c>
      <c r="B1485" s="1" t="str">
        <f ca="1">IFERROR(__xludf.DUMMYFUNCTION("""COMPUTED_VALUE"""),"fatimachagani@gmail.com")</f>
        <v>fatimachagani@gmail.com</v>
      </c>
      <c r="C1485" s="9" t="str">
        <f ca="1">IFERROR(__xludf.DUMMYFUNCTION("""COMPUTED_VALUE"""),"EVERGREEN - UAN Gated Content - Embedded Petition")</f>
        <v>EVERGREEN - UAN Gated Content - Embedded Petition</v>
      </c>
      <c r="D1485" s="10">
        <f ca="1">IFERROR(__xludf.DUMMYFUNCTION("""COMPUTED_VALUE"""),45662)</f>
        <v>45662</v>
      </c>
      <c r="E1485" s="1" t="str">
        <f ca="1">IFERROR(__xludf.DUMMYFUNCTION("""COMPUTED_VALUE"""),"Tunisia")</f>
        <v>Tunisia</v>
      </c>
      <c r="F1485" s="1" t="str">
        <f ca="1">IFERROR(__xludf.DUMMYFUNCTION("""COMPUTED_VALUE"""),"Second 76.24 Tunisia")</f>
        <v>Second 76.24 Tunisia</v>
      </c>
      <c r="G1485" s="1" t="str">
        <f ca="1">IFERROR(__xludf.DUMMYFUNCTION("""COMPUTED_VALUE"""),"Freedom of Expression, Human Rights Defenders")</f>
        <v>Freedom of Expression, Human Rights Defenders</v>
      </c>
      <c r="H1485" s="1" t="str">
        <f ca="1">IFERROR(__xludf.DUMMYFUNCTION("""COMPUTED_VALUE"""),"2025")</f>
        <v>2025</v>
      </c>
      <c r="I1485" s="1" t="str">
        <f ca="1">IFERROR(__xludf.DUMMYFUNCTION("""COMPUTED_VALUE"""),"Email")</f>
        <v>Email</v>
      </c>
    </row>
    <row r="1486" spans="1:9" ht="13" x14ac:dyDescent="0.15">
      <c r="A1486" s="9">
        <f ca="1">IFERROR(__xludf.DUMMYFUNCTION("""COMPUTED_VALUE"""),137224579)</f>
        <v>137224579</v>
      </c>
      <c r="B1486" s="1" t="str">
        <f ca="1">IFERROR(__xludf.DUMMYFUNCTION("""COMPUTED_VALUE"""),"philad49@att.net")</f>
        <v>philad49@att.net</v>
      </c>
      <c r="C1486" s="9" t="str">
        <f ca="1">IFERROR(__xludf.DUMMYFUNCTION("""COMPUTED_VALUE"""),"EVERGREEN - UAN Gated Content - Embedded Petition")</f>
        <v>EVERGREEN - UAN Gated Content - Embedded Petition</v>
      </c>
      <c r="D1486" s="10">
        <f ca="1">IFERROR(__xludf.DUMMYFUNCTION("""COMPUTED_VALUE"""),45694)</f>
        <v>45694</v>
      </c>
      <c r="E1486" s="1" t="str">
        <f ca="1">IFERROR(__xludf.DUMMYFUNCTION("""COMPUTED_VALUE"""),"Iran")</f>
        <v>Iran</v>
      </c>
      <c r="F1486" s="1" t="str">
        <f ca="1">IFERROR(__xludf.DUMMYFUNCTION("""COMPUTED_VALUE"""),"Seventh 103.22 Iran")</f>
        <v>Seventh 103.22 Iran</v>
      </c>
      <c r="G1486" s="1" t="str">
        <f ca="1">IFERROR(__xludf.DUMMYFUNCTION("""COMPUTED_VALUE"""),"Death Penalty, Freedom of Expression, Individuals At Risk")</f>
        <v>Death Penalty, Freedom of Expression, Individuals At Risk</v>
      </c>
      <c r="H1486" s="1" t="str">
        <f ca="1">IFERROR(__xludf.DUMMYFUNCTION("""COMPUTED_VALUE"""),"2024")</f>
        <v>2024</v>
      </c>
      <c r="I1486" s="1" t="str">
        <f ca="1">IFERROR(__xludf.DUMMYFUNCTION("""COMPUTED_VALUE"""),"Email")</f>
        <v>Email</v>
      </c>
    </row>
    <row r="1487" spans="1:9" ht="13" x14ac:dyDescent="0.15">
      <c r="A1487" s="9">
        <f ca="1">IFERROR(__xludf.DUMMYFUNCTION("""COMPUTED_VALUE"""),137388026)</f>
        <v>137388026</v>
      </c>
      <c r="B1487" s="1" t="str">
        <f ca="1">IFERROR(__xludf.DUMMYFUNCTION("""COMPUTED_VALUE"""),"cabomail@comcast.net")</f>
        <v>cabomail@comcast.net</v>
      </c>
      <c r="C1487" s="9" t="str">
        <f ca="1">IFERROR(__xludf.DUMMYFUNCTION("""COMPUTED_VALUE"""),"EVERGREEN - UAN Gated Content - Embedded Petition")</f>
        <v>EVERGREEN - UAN Gated Content - Embedded Petition</v>
      </c>
      <c r="D1487" s="10">
        <f ca="1">IFERROR(__xludf.DUMMYFUNCTION("""COMPUTED_VALUE"""),45636)</f>
        <v>45636</v>
      </c>
      <c r="E1487" s="1" t="str">
        <f ca="1">IFERROR(__xludf.DUMMYFUNCTION("""COMPUTED_VALUE"""),"USA")</f>
        <v>USA</v>
      </c>
      <c r="F1487" s="1" t="str">
        <f ca="1">IFERROR(__xludf.DUMMYFUNCTION("""COMPUTED_VALUE"""),"4.25 USA")</f>
        <v>4.25 USA</v>
      </c>
      <c r="G1487" s="1" t="str">
        <f ca="1">IFERROR(__xludf.DUMMYFUNCTION("""COMPUTED_VALUE"""),"Individuals At Risk, Refugee and Migrant Rights")</f>
        <v>Individuals At Risk, Refugee and Migrant Rights</v>
      </c>
      <c r="H1487" s="1" t="str">
        <f ca="1">IFERROR(__xludf.DUMMYFUNCTION("""COMPUTED_VALUE"""),"2025")</f>
        <v>2025</v>
      </c>
      <c r="I1487" s="1" t="str">
        <f ca="1">IFERROR(__xludf.DUMMYFUNCTION("""COMPUTED_VALUE"""),"Letter")</f>
        <v>Letter</v>
      </c>
    </row>
    <row r="1488" spans="1:9" ht="13" x14ac:dyDescent="0.15">
      <c r="A1488" s="9">
        <f ca="1">IFERROR(__xludf.DUMMYFUNCTION("""COMPUTED_VALUE"""),137388026)</f>
        <v>137388026</v>
      </c>
      <c r="B1488" s="1" t="str">
        <f ca="1">IFERROR(__xludf.DUMMYFUNCTION("""COMPUTED_VALUE"""),"cabomail@comcast.net")</f>
        <v>cabomail@comcast.net</v>
      </c>
      <c r="C1488" s="9" t="str">
        <f ca="1">IFERROR(__xludf.DUMMYFUNCTION("""COMPUTED_VALUE"""),"EVERGREEN - UAN Gated Content - Embedded Petition")</f>
        <v>EVERGREEN - UAN Gated Content - Embedded Petition</v>
      </c>
      <c r="D1488" s="10">
        <f ca="1">IFERROR(__xludf.DUMMYFUNCTION("""COMPUTED_VALUE"""),45616)</f>
        <v>45616</v>
      </c>
      <c r="E1488" s="1" t="str">
        <f ca="1">IFERROR(__xludf.DUMMYFUNCTION("""COMPUTED_VALUE"""),"USA")</f>
        <v>USA</v>
      </c>
      <c r="F1488" s="1" t="str">
        <f ca="1">IFERROR(__xludf.DUMMYFUNCTION("""COMPUTED_VALUE"""),"4.25 USA")</f>
        <v>4.25 USA</v>
      </c>
      <c r="G1488" s="1" t="str">
        <f ca="1">IFERROR(__xludf.DUMMYFUNCTION("""COMPUTED_VALUE"""),"Individuals At Risk, Refugee and Migrant Rights")</f>
        <v>Individuals At Risk, Refugee and Migrant Rights</v>
      </c>
      <c r="H1488" s="1" t="str">
        <f ca="1">IFERROR(__xludf.DUMMYFUNCTION("""COMPUTED_VALUE"""),"2025")</f>
        <v>2025</v>
      </c>
      <c r="I1488" s="1" t="str">
        <f ca="1">IFERROR(__xludf.DUMMYFUNCTION("""COMPUTED_VALUE"""),"Letter")</f>
        <v>Letter</v>
      </c>
    </row>
    <row r="1489" spans="1:9" ht="13" x14ac:dyDescent="0.15">
      <c r="A1489" s="9">
        <f ca="1">IFERROR(__xludf.DUMMYFUNCTION("""COMPUTED_VALUE"""),137990095)</f>
        <v>137990095</v>
      </c>
      <c r="B1489" s="1" t="str">
        <f ca="1">IFERROR(__xludf.DUMMYFUNCTION("""COMPUTED_VALUE"""),"maryl.ml570@gmail.com")</f>
        <v>maryl.ml570@gmail.com</v>
      </c>
      <c r="C1489" s="9" t="str">
        <f ca="1">IFERROR(__xludf.DUMMYFUNCTION("""COMPUTED_VALUE"""),"EVERGREEN - Website Email Capture Form - UAN Pre-Footer")</f>
        <v>EVERGREEN - Website Email Capture Form - UAN Pre-Footer</v>
      </c>
      <c r="D1489" s="10">
        <f ca="1">IFERROR(__xludf.DUMMYFUNCTION("""COMPUTED_VALUE"""),45692)</f>
        <v>45692</v>
      </c>
      <c r="E1489" s="1" t="str">
        <f ca="1">IFERROR(__xludf.DUMMYFUNCTION("""COMPUTED_VALUE"""),"USA")</f>
        <v>USA</v>
      </c>
      <c r="F1489" s="1" t="str">
        <f ca="1">IFERROR(__xludf.DUMMYFUNCTION("""COMPUTED_VALUE"""),"105.24 USA")</f>
        <v>105.24 USA</v>
      </c>
      <c r="G1489" s="1" t="str">
        <f ca="1">IFERROR(__xludf.DUMMYFUNCTION("""COMPUTED_VALUE"""),"Death Penalty")</f>
        <v>Death Penalty</v>
      </c>
      <c r="H1489" s="1" t="str">
        <f ca="1">IFERROR(__xludf.DUMMYFUNCTION("""COMPUTED_VALUE"""),"2024")</f>
        <v>2024</v>
      </c>
      <c r="I1489" s="1" t="str">
        <f ca="1">IFERROR(__xludf.DUMMYFUNCTION("""COMPUTED_VALUE"""),"Email")</f>
        <v>Email</v>
      </c>
    </row>
    <row r="1490" spans="1:9" ht="13" x14ac:dyDescent="0.15">
      <c r="A1490" s="9">
        <f ca="1">IFERROR(__xludf.DUMMYFUNCTION("""COMPUTED_VALUE"""),138353222)</f>
        <v>138353222</v>
      </c>
      <c r="B1490" s="1" t="str">
        <f ca="1">IFERROR(__xludf.DUMMYFUNCTION("""COMPUTED_VALUE"""),"aprilarleneyahne@gmail.com")</f>
        <v>aprilarleneyahne@gmail.com</v>
      </c>
      <c r="C1490" s="9" t="str">
        <f ca="1">IFERROR(__xludf.DUMMYFUNCTION("""COMPUTED_VALUE"""),"EVERGREEN - UAN Gated Content - Embedded Petition")</f>
        <v>EVERGREEN - UAN Gated Content - Embedded Petition</v>
      </c>
      <c r="D1490" s="10">
        <f ca="1">IFERROR(__xludf.DUMMYFUNCTION("""COMPUTED_VALUE"""),45686)</f>
        <v>45686</v>
      </c>
      <c r="E1490" s="1" t="str">
        <f ca="1">IFERROR(__xludf.DUMMYFUNCTION("""COMPUTED_VALUE"""),"Egypt")</f>
        <v>Egypt</v>
      </c>
      <c r="F1490" s="1" t="str">
        <f ca="1">IFERROR(__xludf.DUMMYFUNCTION("""COMPUTED_VALUE"""),"Ninth 190.18 Egypt")</f>
        <v>Ninth 190.18 Egypt</v>
      </c>
      <c r="G1490" s="1" t="str">
        <f ca="1">IFERROR(__xludf.DUMMYFUNCTION("""COMPUTED_VALUE"""),"Freedom of Expression, Individuals At Risk")</f>
        <v>Freedom of Expression, Individuals At Risk</v>
      </c>
      <c r="H1490" s="1" t="str">
        <f ca="1">IFERROR(__xludf.DUMMYFUNCTION("""COMPUTED_VALUE"""),"2024")</f>
        <v>2024</v>
      </c>
      <c r="I1490" s="1" t="str">
        <f ca="1">IFERROR(__xludf.DUMMYFUNCTION("""COMPUTED_VALUE"""),"Letter")</f>
        <v>Letter</v>
      </c>
    </row>
    <row r="1491" spans="1:9" ht="13" x14ac:dyDescent="0.15">
      <c r="A1491" s="9">
        <f ca="1">IFERROR(__xludf.DUMMYFUNCTION("""COMPUTED_VALUE"""),138418435)</f>
        <v>138418435</v>
      </c>
      <c r="B1491" s="1" t="str">
        <f ca="1">IFERROR(__xludf.DUMMYFUNCTION("""COMPUTED_VALUE"""),"ordersolnit@optonline.net")</f>
        <v>ordersolnit@optonline.net</v>
      </c>
      <c r="C1491" s="9" t="str">
        <f ca="1">IFERROR(__xludf.DUMMYFUNCTION("""COMPUTED_VALUE"""),"EVERGREEN - UAN Gated Content - Embedded Petition")</f>
        <v>EVERGREEN - UAN Gated Content - Embedded Petition</v>
      </c>
      <c r="D1491" s="10">
        <f ca="1">IFERROR(__xludf.DUMMYFUNCTION("""COMPUTED_VALUE"""),45636)</f>
        <v>45636</v>
      </c>
      <c r="E1491" s="1" t="str">
        <f ca="1">IFERROR(__xludf.DUMMYFUNCTION("""COMPUTED_VALUE"""),"Saudi Arabia")</f>
        <v>Saudi Arabia</v>
      </c>
      <c r="F1491" s="1" t="str">
        <f ca="1">IFERROR(__xludf.DUMMYFUNCTION("""COMPUTED_VALUE"""),"Second 85.23 Saudi Arabia")</f>
        <v>Second 85.23 Saudi Arabia</v>
      </c>
      <c r="G1491" s="1" t="str">
        <f ca="1">IFERROR(__xludf.DUMMYFUNCTION("""COMPUTED_VALUE"""),"Freedom of Expression")</f>
        <v>Freedom of Expression</v>
      </c>
      <c r="H1491" s="1" t="str">
        <f ca="1">IFERROR(__xludf.DUMMYFUNCTION("""COMPUTED_VALUE"""),"2024")</f>
        <v>2024</v>
      </c>
      <c r="I1491" s="1" t="str">
        <f ca="1">IFERROR(__xludf.DUMMYFUNCTION("""COMPUTED_VALUE"""),"Letter")</f>
        <v>Letter</v>
      </c>
    </row>
    <row r="1492" spans="1:9" ht="13" x14ac:dyDescent="0.15">
      <c r="A1492" s="9">
        <f ca="1">IFERROR(__xludf.DUMMYFUNCTION("""COMPUTED_VALUE"""),138418435)</f>
        <v>138418435</v>
      </c>
      <c r="B1492" s="1" t="str">
        <f ca="1">IFERROR(__xludf.DUMMYFUNCTION("""COMPUTED_VALUE"""),"ordersolnit@optonline.net")</f>
        <v>ordersolnit@optonline.net</v>
      </c>
      <c r="C1492" s="9" t="str">
        <f ca="1">IFERROR(__xludf.DUMMYFUNCTION("""COMPUTED_VALUE"""),"EVERGREEN - UAN Gated Content - Embedded Petition")</f>
        <v>EVERGREEN - UAN Gated Content - Embedded Petition</v>
      </c>
      <c r="D1492" s="10">
        <f ca="1">IFERROR(__xludf.DUMMYFUNCTION("""COMPUTED_VALUE"""),45701)</f>
        <v>45701</v>
      </c>
      <c r="E1492" s="1" t="str">
        <f ca="1">IFERROR(__xludf.DUMMYFUNCTION("""COMPUTED_VALUE"""),"Dominican Republic")</f>
        <v>Dominican Republic</v>
      </c>
      <c r="F1492" s="1" t="str">
        <f ca="1">IFERROR(__xludf.DUMMYFUNCTION("""COMPUTED_VALUE"""),"88.24 Dominican Republic")</f>
        <v>88.24 Dominican Republic</v>
      </c>
      <c r="G1492" s="1" t="str">
        <f ca="1">IFERROR(__xludf.DUMMYFUNCTION("""COMPUTED_VALUE"""),"Individuals At Risk, Refugee and Migrant Rights")</f>
        <v>Individuals At Risk, Refugee and Migrant Rights</v>
      </c>
      <c r="H1492" s="1" t="str">
        <f ca="1">IFERROR(__xludf.DUMMYFUNCTION("""COMPUTED_VALUE"""),"2024")</f>
        <v>2024</v>
      </c>
      <c r="I1492" s="1" t="str">
        <f ca="1">IFERROR(__xludf.DUMMYFUNCTION("""COMPUTED_VALUE"""),"Letter")</f>
        <v>Letter</v>
      </c>
    </row>
    <row r="1493" spans="1:9" ht="13" x14ac:dyDescent="0.15">
      <c r="A1493" s="9">
        <f ca="1">IFERROR(__xludf.DUMMYFUNCTION("""COMPUTED_VALUE"""),139182238)</f>
        <v>139182238</v>
      </c>
      <c r="B1493" s="1" t="str">
        <f ca="1">IFERROR(__xludf.DUMMYFUNCTION("""COMPUTED_VALUE"""),"amenoartemis@gmail.com")</f>
        <v>amenoartemis@gmail.com</v>
      </c>
      <c r="C1493" s="9" t="str">
        <f ca="1">IFERROR(__xludf.DUMMYFUNCTION("""COMPUTED_VALUE"""),"EVERGREEN - UAN Gated Content - Embedded Petition")</f>
        <v>EVERGREEN - UAN Gated Content - Embedded Petition</v>
      </c>
      <c r="D1493" s="10">
        <f ca="1">IFERROR(__xludf.DUMMYFUNCTION("""COMPUTED_VALUE"""),45637)</f>
        <v>45637</v>
      </c>
      <c r="E1493" s="1" t="str">
        <f ca="1">IFERROR(__xludf.DUMMYFUNCTION("""COMPUTED_VALUE"""),"Israel and Occupied Palestinian Territories")</f>
        <v>Israel and Occupied Palestinian Territories</v>
      </c>
      <c r="F1493" s="1" t="str">
        <f ca="1">IFERROR(__xludf.DUMMYFUNCTION("""COMPUTED_VALUE"""),"3.25 IOPT")</f>
        <v>3.25 IOPT</v>
      </c>
      <c r="G1493" s="1" t="str">
        <f ca="1">IFERROR(__xludf.DUMMYFUNCTION("""COMPUTED_VALUE"""),"Freedom of Expression, Individuals At Risk")</f>
        <v>Freedom of Expression, Individuals At Risk</v>
      </c>
      <c r="H1493" s="1" t="str">
        <f ca="1">IFERROR(__xludf.DUMMYFUNCTION("""COMPUTED_VALUE"""),"2025")</f>
        <v>2025</v>
      </c>
      <c r="I1493" s="1" t="str">
        <f ca="1">IFERROR(__xludf.DUMMYFUNCTION("""COMPUTED_VALUE"""),"Email")</f>
        <v>Email</v>
      </c>
    </row>
    <row r="1494" spans="1:9" ht="13" x14ac:dyDescent="0.15">
      <c r="A1494" s="9">
        <f ca="1">IFERROR(__xludf.DUMMYFUNCTION("""COMPUTED_VALUE"""),139182238)</f>
        <v>139182238</v>
      </c>
      <c r="B1494" s="1" t="str">
        <f ca="1">IFERROR(__xludf.DUMMYFUNCTION("""COMPUTED_VALUE"""),"amenoartemis@gmail.com")</f>
        <v>amenoartemis@gmail.com</v>
      </c>
      <c r="C1494" s="9" t="str">
        <f ca="1">IFERROR(__xludf.DUMMYFUNCTION("""COMPUTED_VALUE"""),"EVERGREEN - UAN Gated Content - Embedded Petition")</f>
        <v>EVERGREEN - UAN Gated Content - Embedded Petition</v>
      </c>
      <c r="D1494" s="10">
        <f ca="1">IFERROR(__xludf.DUMMYFUNCTION("""COMPUTED_VALUE"""),45694)</f>
        <v>45694</v>
      </c>
      <c r="E1494" s="1" t="str">
        <f ca="1">IFERROR(__xludf.DUMMYFUNCTION("""COMPUTED_VALUE"""),"Saudi Arabia")</f>
        <v>Saudi Arabia</v>
      </c>
      <c r="F1494" s="1" t="str">
        <f ca="1">IFERROR(__xludf.DUMMYFUNCTION("""COMPUTED_VALUE"""),"Fifth 257.12")</f>
        <v>Fifth 257.12</v>
      </c>
      <c r="G1494" s="1" t="str">
        <f ca="1">IFERROR(__xludf.DUMMYFUNCTION("""COMPUTED_VALUE"""),"Freedom of Expression, Human Rights Defenders")</f>
        <v>Freedom of Expression, Human Rights Defenders</v>
      </c>
      <c r="H1494" s="1" t="str">
        <f ca="1">IFERROR(__xludf.DUMMYFUNCTION("""COMPUTED_VALUE"""),"2025")</f>
        <v>2025</v>
      </c>
      <c r="I1494" s="1" t="str">
        <f ca="1">IFERROR(__xludf.DUMMYFUNCTION("""COMPUTED_VALUE"""),"Email")</f>
        <v>Email</v>
      </c>
    </row>
    <row r="1495" spans="1:9" ht="13" x14ac:dyDescent="0.15">
      <c r="A1495" s="9">
        <f ca="1">IFERROR(__xludf.DUMMYFUNCTION("""COMPUTED_VALUE"""),139182238)</f>
        <v>139182238</v>
      </c>
      <c r="B1495" s="1" t="str">
        <f ca="1">IFERROR(__xludf.DUMMYFUNCTION("""COMPUTED_VALUE"""),"amenoartemis@gmail.com")</f>
        <v>amenoartemis@gmail.com</v>
      </c>
      <c r="C1495" s="9" t="str">
        <f ca="1">IFERROR(__xludf.DUMMYFUNCTION("""COMPUTED_VALUE"""),"EVERGREEN - UAN Gated Content - Embedded Petition")</f>
        <v>EVERGREEN - UAN Gated Content - Embedded Petition</v>
      </c>
      <c r="D1495" s="10">
        <f ca="1">IFERROR(__xludf.DUMMYFUNCTION("""COMPUTED_VALUE"""),45637)</f>
        <v>45637</v>
      </c>
      <c r="E1495" s="1" t="str">
        <f ca="1">IFERROR(__xludf.DUMMYFUNCTION("""COMPUTED_VALUE"""),"Iran")</f>
        <v>Iran</v>
      </c>
      <c r="F1495" s="1" t="str">
        <f ca="1">IFERROR(__xludf.DUMMYFUNCTION("""COMPUTED_VALUE"""),"101.24 Iran")</f>
        <v>101.24 Iran</v>
      </c>
      <c r="G1495" s="1" t="str">
        <f ca="1">IFERROR(__xludf.DUMMYFUNCTION("""COMPUTED_VALUE"""),"Death Penalty, Freedom of Expression, Individuals At Risk, Right to Protest")</f>
        <v>Death Penalty, Freedom of Expression, Individuals At Risk, Right to Protest</v>
      </c>
      <c r="H1495" s="1" t="str">
        <f ca="1">IFERROR(__xludf.DUMMYFUNCTION("""COMPUTED_VALUE"""),"2024")</f>
        <v>2024</v>
      </c>
      <c r="I1495" s="1" t="str">
        <f ca="1">IFERROR(__xludf.DUMMYFUNCTION("""COMPUTED_VALUE"""),"Email")</f>
        <v>Email</v>
      </c>
    </row>
    <row r="1496" spans="1:9" ht="13" x14ac:dyDescent="0.15">
      <c r="A1496" s="9">
        <f ca="1">IFERROR(__xludf.DUMMYFUNCTION("""COMPUTED_VALUE"""),139182238)</f>
        <v>139182238</v>
      </c>
      <c r="B1496" s="1" t="str">
        <f ca="1">IFERROR(__xludf.DUMMYFUNCTION("""COMPUTED_VALUE"""),"amenoartemis@gmail.com")</f>
        <v>amenoartemis@gmail.com</v>
      </c>
      <c r="C1496" s="9" t="str">
        <f ca="1">IFERROR(__xludf.DUMMYFUNCTION("""COMPUTED_VALUE"""),"EVERGREEN - UAN Gated Content - Embedded Petition")</f>
        <v>EVERGREEN - UAN Gated Content - Embedded Petition</v>
      </c>
      <c r="D1496" s="10">
        <f ca="1">IFERROR(__xludf.DUMMYFUNCTION("""COMPUTED_VALUE"""),45637)</f>
        <v>45637</v>
      </c>
      <c r="E1496" s="1" t="str">
        <f ca="1">IFERROR(__xludf.DUMMYFUNCTION("""COMPUTED_VALUE"""),"Afghanistan")</f>
        <v>Afghanistan</v>
      </c>
      <c r="F1496" s="1" t="str">
        <f ca="1">IFERROR(__xludf.DUMMYFUNCTION("""COMPUTED_VALUE"""),"11.25 Afghanistan")</f>
        <v>11.25 Afghanistan</v>
      </c>
      <c r="G1496" s="1" t="str">
        <f ca="1">IFERROR(__xludf.DUMMYFUNCTION("""COMPUTED_VALUE"""),"Freedom of Expression, Health, Individuals At Risk")</f>
        <v>Freedom of Expression, Health, Individuals At Risk</v>
      </c>
      <c r="H1496" s="1" t="str">
        <f ca="1">IFERROR(__xludf.DUMMYFUNCTION("""COMPUTED_VALUE"""),"2025")</f>
        <v>2025</v>
      </c>
      <c r="I1496" s="1" t="str">
        <f ca="1">IFERROR(__xludf.DUMMYFUNCTION("""COMPUTED_VALUE"""),"Email")</f>
        <v>Email</v>
      </c>
    </row>
    <row r="1497" spans="1:9" ht="13" x14ac:dyDescent="0.15">
      <c r="A1497" s="9">
        <f ca="1">IFERROR(__xludf.DUMMYFUNCTION("""COMPUTED_VALUE"""),139182238)</f>
        <v>139182238</v>
      </c>
      <c r="B1497" s="1" t="str">
        <f ca="1">IFERROR(__xludf.DUMMYFUNCTION("""COMPUTED_VALUE"""),"amenoartemis@gmail.com")</f>
        <v>amenoartemis@gmail.com</v>
      </c>
      <c r="C1497" s="9" t="str">
        <f ca="1">IFERROR(__xludf.DUMMYFUNCTION("""COMPUTED_VALUE"""),"EVERGREEN - UAN Gated Content - Embedded Petition")</f>
        <v>EVERGREEN - UAN Gated Content - Embedded Petition</v>
      </c>
      <c r="D1497" s="10">
        <f ca="1">IFERROR(__xludf.DUMMYFUNCTION("""COMPUTED_VALUE"""),45637)</f>
        <v>45637</v>
      </c>
      <c r="E1497" s="1" t="str">
        <f ca="1">IFERROR(__xludf.DUMMYFUNCTION("""COMPUTED_VALUE"""),"Egypt")</f>
        <v>Egypt</v>
      </c>
      <c r="F1497" s="1" t="str">
        <f ca="1">IFERROR(__xludf.DUMMYFUNCTION("""COMPUTED_VALUE"""),"Second 80.23 Egypt")</f>
        <v>Second 80.23 Egypt</v>
      </c>
      <c r="G1497" s="1" t="str">
        <f ca="1">IFERROR(__xludf.DUMMYFUNCTION("""COMPUTED_VALUE"""),"Health, Individuals At Risk")</f>
        <v>Health, Individuals At Risk</v>
      </c>
      <c r="H1497" s="1" t="str">
        <f ca="1">IFERROR(__xludf.DUMMYFUNCTION("""COMPUTED_VALUE"""),"2025")</f>
        <v>2025</v>
      </c>
      <c r="I1497" s="1" t="str">
        <f ca="1">IFERROR(__xludf.DUMMYFUNCTION("""COMPUTED_VALUE"""),"Email")</f>
        <v>Email</v>
      </c>
    </row>
    <row r="1498" spans="1:9" ht="13" x14ac:dyDescent="0.15">
      <c r="A1498" s="9">
        <f ca="1">IFERROR(__xludf.DUMMYFUNCTION("""COMPUTED_VALUE"""),139443425)</f>
        <v>139443425</v>
      </c>
      <c r="B1498" s="1" t="str">
        <f ca="1">IFERROR(__xludf.DUMMYFUNCTION("""COMPUTED_VALUE"""),"annbromig@gmail.com")</f>
        <v>annbromig@gmail.com</v>
      </c>
      <c r="C1498" s="9" t="str">
        <f ca="1">IFERROR(__xludf.DUMMYFUNCTION("""COMPUTED_VALUE"""),"EVERGREEN - UAN Gated Content - Embedded Petition")</f>
        <v>EVERGREEN - UAN Gated Content - Embedded Petition</v>
      </c>
      <c r="D1498" s="10">
        <f ca="1">IFERROR(__xludf.DUMMYFUNCTION("""COMPUTED_VALUE"""),45694)</f>
        <v>45694</v>
      </c>
      <c r="E1498" s="1" t="str">
        <f ca="1">IFERROR(__xludf.DUMMYFUNCTION("""COMPUTED_VALUE"""),"Iran")</f>
        <v>Iran</v>
      </c>
      <c r="F1498" s="1" t="str">
        <f ca="1">IFERROR(__xludf.DUMMYFUNCTION("""COMPUTED_VALUE"""),"10.25 Iran")</f>
        <v>10.25 Iran</v>
      </c>
      <c r="G1498" s="1" t="str">
        <f ca="1">IFERROR(__xludf.DUMMYFUNCTION("""COMPUTED_VALUE"""),"Death Penalty, Individuals At Risk")</f>
        <v>Death Penalty, Individuals At Risk</v>
      </c>
      <c r="H1498" s="1" t="str">
        <f ca="1">IFERROR(__xludf.DUMMYFUNCTION("""COMPUTED_VALUE"""),"2025")</f>
        <v>2025</v>
      </c>
      <c r="I1498" s="1" t="str">
        <f ca="1">IFERROR(__xludf.DUMMYFUNCTION("""COMPUTED_VALUE"""),"Email")</f>
        <v>Email</v>
      </c>
    </row>
    <row r="1499" spans="1:9" ht="13" x14ac:dyDescent="0.15">
      <c r="A1499" s="9">
        <f ca="1">IFERROR(__xludf.DUMMYFUNCTION("""COMPUTED_VALUE"""),140043434)</f>
        <v>140043434</v>
      </c>
      <c r="B1499" s="1" t="str">
        <f ca="1">IFERROR(__xludf.DUMMYFUNCTION("""COMPUTED_VALUE"""),"rroebig119@gmail.com")</f>
        <v>rroebig119@gmail.com</v>
      </c>
      <c r="C1499" s="9" t="str">
        <f ca="1">IFERROR(__xludf.DUMMYFUNCTION("""COMPUTED_VALUE"""),"EVERGREEN - UAN Gated Content - Embedded Petition")</f>
        <v>EVERGREEN - UAN Gated Content - Embedded Petition</v>
      </c>
      <c r="D1499" s="10">
        <f ca="1">IFERROR(__xludf.DUMMYFUNCTION("""COMPUTED_VALUE"""),45694)</f>
        <v>45694</v>
      </c>
      <c r="E1499" s="1" t="str">
        <f ca="1">IFERROR(__xludf.DUMMYFUNCTION("""COMPUTED_VALUE"""),"Turkiye")</f>
        <v>Turkiye</v>
      </c>
      <c r="F1499" s="1" t="str">
        <f ca="1">IFERROR(__xludf.DUMMYFUNCTION("""COMPUTED_VALUE"""),"Second 109.24 Türkiye")</f>
        <v>Second 109.24 Türkiye</v>
      </c>
      <c r="G1499" s="1" t="str">
        <f ca="1">IFERROR(__xludf.DUMMYFUNCTION("""COMPUTED_VALUE"""),"Human Rights Defenders")</f>
        <v>Human Rights Defenders</v>
      </c>
      <c r="H1499" s="1" t="str">
        <f ca="1">IFERROR(__xludf.DUMMYFUNCTION("""COMPUTED_VALUE"""),"2025")</f>
        <v>2025</v>
      </c>
      <c r="I1499" s="1" t="str">
        <f ca="1">IFERROR(__xludf.DUMMYFUNCTION("""COMPUTED_VALUE"""),"Email")</f>
        <v>Email</v>
      </c>
    </row>
    <row r="1500" spans="1:9" ht="13" x14ac:dyDescent="0.15">
      <c r="A1500" s="9">
        <f ca="1">IFERROR(__xludf.DUMMYFUNCTION("""COMPUTED_VALUE"""),140695542)</f>
        <v>140695542</v>
      </c>
      <c r="B1500" s="1" t="str">
        <f ca="1">IFERROR(__xludf.DUMMYFUNCTION("""COMPUTED_VALUE"""),"marklattman@gmail.com")</f>
        <v>marklattman@gmail.com</v>
      </c>
      <c r="C1500" s="9" t="str">
        <f ca="1">IFERROR(__xludf.DUMMYFUNCTION("""COMPUTED_VALUE"""),"EVERGREEN - UAN Gated Content - Embedded Petition")</f>
        <v>EVERGREEN - UAN Gated Content - Embedded Petition</v>
      </c>
      <c r="D1500" s="10">
        <f ca="1">IFERROR(__xludf.DUMMYFUNCTION("""COMPUTED_VALUE"""),45694)</f>
        <v>45694</v>
      </c>
      <c r="E1500" s="1" t="str">
        <f ca="1">IFERROR(__xludf.DUMMYFUNCTION("""COMPUTED_VALUE"""),"Colombia")</f>
        <v>Colombia</v>
      </c>
      <c r="F1500" s="1" t="str">
        <f ca="1">IFERROR(__xludf.DUMMYFUNCTION("""COMPUTED_VALUE"""),"Third 12.24 Colombia")</f>
        <v>Third 12.24 Colombia</v>
      </c>
      <c r="G1500" s="1" t="str">
        <f ca="1">IFERROR(__xludf.DUMMYFUNCTION("""COMPUTED_VALUE"""),"Human Rights Defenders, Individuals At Risk")</f>
        <v>Human Rights Defenders, Individuals At Risk</v>
      </c>
      <c r="H1500" s="1" t="str">
        <f ca="1">IFERROR(__xludf.DUMMYFUNCTION("""COMPUTED_VALUE"""),"2025")</f>
        <v>2025</v>
      </c>
      <c r="I1500" s="1" t="str">
        <f ca="1">IFERROR(__xludf.DUMMYFUNCTION("""COMPUTED_VALUE"""),"Email")</f>
        <v>Email</v>
      </c>
    </row>
    <row r="1501" spans="1:9" ht="13" x14ac:dyDescent="0.15">
      <c r="A1501" s="9">
        <f ca="1">IFERROR(__xludf.DUMMYFUNCTION("""COMPUTED_VALUE"""),142075276)</f>
        <v>142075276</v>
      </c>
      <c r="B1501" s="1" t="str">
        <f ca="1">IFERROR(__xludf.DUMMYFUNCTION("""COMPUTED_VALUE"""),"vdestefano54@gmail.com")</f>
        <v>vdestefano54@gmail.com</v>
      </c>
      <c r="C1501" s="9" t="str">
        <f ca="1">IFERROR(__xludf.DUMMYFUNCTION("""COMPUTED_VALUE"""),"EVERGREEN - Website Email Capture Form - UAN Pre-Footer")</f>
        <v>EVERGREEN - Website Email Capture Form - UAN Pre-Footer</v>
      </c>
      <c r="D1501" s="10">
        <f ca="1">IFERROR(__xludf.DUMMYFUNCTION("""COMPUTED_VALUE"""),45636)</f>
        <v>45636</v>
      </c>
      <c r="E1501" s="1" t="str">
        <f ca="1">IFERROR(__xludf.DUMMYFUNCTION("""COMPUTED_VALUE"""),"Iran")</f>
        <v>Iran</v>
      </c>
      <c r="F1501" s="1" t="str">
        <f ca="1">IFERROR(__xludf.DUMMYFUNCTION("""COMPUTED_VALUE"""),"6.25 Iran")</f>
        <v>6.25 Iran</v>
      </c>
      <c r="G1501" s="1" t="str">
        <f ca="1">IFERROR(__xludf.DUMMYFUNCTION("""COMPUTED_VALUE"""),"Death Penalty, Freedom of Expression, Individuals At Risk")</f>
        <v>Death Penalty, Freedom of Expression, Individuals At Risk</v>
      </c>
      <c r="H1501" s="1" t="str">
        <f ca="1">IFERROR(__xludf.DUMMYFUNCTION("""COMPUTED_VALUE"""),"2025")</f>
        <v>2025</v>
      </c>
      <c r="I1501" s="1" t="str">
        <f ca="1">IFERROR(__xludf.DUMMYFUNCTION("""COMPUTED_VALUE"""),"Email")</f>
        <v>Email</v>
      </c>
    </row>
    <row r="1502" spans="1:9" ht="13" x14ac:dyDescent="0.15">
      <c r="A1502" s="9">
        <f ca="1">IFERROR(__xludf.DUMMYFUNCTION("""COMPUTED_VALUE"""),142746541)</f>
        <v>142746541</v>
      </c>
      <c r="B1502" s="1" t="str">
        <f ca="1">IFERROR(__xludf.DUMMYFUNCTION("""COMPUTED_VALUE"""),"toucheboucher@gmail.com")</f>
        <v>toucheboucher@gmail.com</v>
      </c>
      <c r="C1502" s="9" t="str">
        <f ca="1">IFERROR(__xludf.DUMMYFUNCTION("""COMPUTED_VALUE"""),"EVERGREEN - UAN Gated Content - Embedded Petition")</f>
        <v>EVERGREEN - UAN Gated Content - Embedded Petition</v>
      </c>
      <c r="D1502" s="10">
        <f ca="1">IFERROR(__xludf.DUMMYFUNCTION("""COMPUTED_VALUE"""),45694)</f>
        <v>45694</v>
      </c>
      <c r="E1502" s="1" t="str">
        <f ca="1">IFERROR(__xludf.DUMMYFUNCTION("""COMPUTED_VALUE"""),"Colombia")</f>
        <v>Colombia</v>
      </c>
      <c r="F1502" s="1" t="str">
        <f ca="1">IFERROR(__xludf.DUMMYFUNCTION("""COMPUTED_VALUE"""),"5.25 Colombia")</f>
        <v>5.25 Colombia</v>
      </c>
      <c r="G1502" s="1" t="str">
        <f ca="1">IFERROR(__xludf.DUMMYFUNCTION("""COMPUTED_VALUE"""),"Human Rights Defenders, Individuals At Risk")</f>
        <v>Human Rights Defenders, Individuals At Risk</v>
      </c>
      <c r="H1502" s="1" t="str">
        <f ca="1">IFERROR(__xludf.DUMMYFUNCTION("""COMPUTED_VALUE"""),"2025")</f>
        <v>2025</v>
      </c>
      <c r="I1502" s="1" t="str">
        <f ca="1">IFERROR(__xludf.DUMMYFUNCTION("""COMPUTED_VALUE"""),"Email")</f>
        <v>Email</v>
      </c>
    </row>
    <row r="1503" spans="1:9" ht="13" x14ac:dyDescent="0.15">
      <c r="A1503" s="9">
        <f ca="1">IFERROR(__xludf.DUMMYFUNCTION("""COMPUTED_VALUE"""),142753892)</f>
        <v>142753892</v>
      </c>
      <c r="B1503" s="1" t="str">
        <f ca="1">IFERROR(__xludf.DUMMYFUNCTION("""COMPUTED_VALUE"""),"betzpi@aol.com")</f>
        <v>betzpi@aol.com</v>
      </c>
      <c r="C1503" s="9" t="str">
        <f ca="1">IFERROR(__xludf.DUMMYFUNCTION("""COMPUTED_VALUE"""),"EVERGREEN - UAN Gated Content - Embedded Petition")</f>
        <v>EVERGREEN - UAN Gated Content - Embedded Petition</v>
      </c>
      <c r="D1503" s="10">
        <f ca="1">IFERROR(__xludf.DUMMYFUNCTION("""COMPUTED_VALUE"""),45695)</f>
        <v>45695</v>
      </c>
      <c r="E1503" s="1" t="str">
        <f ca="1">IFERROR(__xludf.DUMMYFUNCTION("""COMPUTED_VALUE"""),"Tunisia")</f>
        <v>Tunisia</v>
      </c>
      <c r="F1503" s="1" t="str">
        <f ca="1">IFERROR(__xludf.DUMMYFUNCTION("""COMPUTED_VALUE"""),"Second 76.24 Tunisia")</f>
        <v>Second 76.24 Tunisia</v>
      </c>
      <c r="G1503" s="1" t="str">
        <f ca="1">IFERROR(__xludf.DUMMYFUNCTION("""COMPUTED_VALUE"""),"Freedom of Expression, Human Rights Defenders")</f>
        <v>Freedom of Expression, Human Rights Defenders</v>
      </c>
      <c r="H1503" s="1" t="str">
        <f ca="1">IFERROR(__xludf.DUMMYFUNCTION("""COMPUTED_VALUE"""),"2025")</f>
        <v>2025</v>
      </c>
      <c r="I1503" s="1" t="str">
        <f ca="1">IFERROR(__xludf.DUMMYFUNCTION("""COMPUTED_VALUE"""),"Email")</f>
        <v>Email</v>
      </c>
    </row>
    <row r="1504" spans="1:9" ht="13" x14ac:dyDescent="0.15">
      <c r="A1504" s="9">
        <f ca="1">IFERROR(__xludf.DUMMYFUNCTION("""COMPUTED_VALUE"""),143032636)</f>
        <v>143032636</v>
      </c>
      <c r="B1504" s="1" t="str">
        <f ca="1">IFERROR(__xludf.DUMMYFUNCTION("""COMPUTED_VALUE"""),"wingscatchfire@gmail.com")</f>
        <v>wingscatchfire@gmail.com</v>
      </c>
      <c r="C1504" s="9" t="str">
        <f ca="1">IFERROR(__xludf.DUMMYFUNCTION("""COMPUTED_VALUE"""),"EVERGREEN - UAN Gated Content - Embedded Petition")</f>
        <v>EVERGREEN - UAN Gated Content - Embedded Petition</v>
      </c>
      <c r="D1504" s="10">
        <f ca="1">IFERROR(__xludf.DUMMYFUNCTION("""COMPUTED_VALUE"""),45694)</f>
        <v>45694</v>
      </c>
      <c r="E1504" s="1" t="str">
        <f ca="1">IFERROR(__xludf.DUMMYFUNCTION("""COMPUTED_VALUE"""),"Uganda")</f>
        <v>Uganda</v>
      </c>
      <c r="F1504" s="1" t="str">
        <f ca="1">IFERROR(__xludf.DUMMYFUNCTION("""COMPUTED_VALUE"""),"9.25 Uganda")</f>
        <v>9.25 Uganda</v>
      </c>
      <c r="G1504" s="1" t="str">
        <f ca="1">IFERROR(__xludf.DUMMYFUNCTION("""COMPUTED_VALUE"""),"Freedom of Expression, Human Rights Defenders")</f>
        <v>Freedom of Expression, Human Rights Defenders</v>
      </c>
      <c r="H1504" s="1" t="str">
        <f ca="1">IFERROR(__xludf.DUMMYFUNCTION("""COMPUTED_VALUE"""),"2025")</f>
        <v>2025</v>
      </c>
      <c r="I1504" s="1" t="str">
        <f ca="1">IFERROR(__xludf.DUMMYFUNCTION("""COMPUTED_VALUE"""),"Email")</f>
        <v>Email</v>
      </c>
    </row>
    <row r="1505" spans="1:9" ht="13" x14ac:dyDescent="0.15">
      <c r="A1505" s="9">
        <f ca="1">IFERROR(__xludf.DUMMYFUNCTION("""COMPUTED_VALUE"""),143231423)</f>
        <v>143231423</v>
      </c>
      <c r="B1505" s="1" t="str">
        <f ca="1">IFERROR(__xludf.DUMMYFUNCTION("""COMPUTED_VALUE"""),"lizeth.gomez@gmail.com")</f>
        <v>lizeth.gomez@gmail.com</v>
      </c>
      <c r="C1505" s="9" t="str">
        <f ca="1">IFERROR(__xludf.DUMMYFUNCTION("""COMPUTED_VALUE"""),"EVERGREEN - UAN Gated Content - Embedded Petition")</f>
        <v>EVERGREEN - UAN Gated Content - Embedded Petition</v>
      </c>
      <c r="D1505" s="10">
        <f ca="1">IFERROR(__xludf.DUMMYFUNCTION("""COMPUTED_VALUE"""),45694)</f>
        <v>45694</v>
      </c>
      <c r="E1505" s="1" t="str">
        <f ca="1">IFERROR(__xludf.DUMMYFUNCTION("""COMPUTED_VALUE"""),"Iran")</f>
        <v>Iran</v>
      </c>
      <c r="F1505" s="1" t="str">
        <f ca="1">IFERROR(__xludf.DUMMYFUNCTION("""COMPUTED_VALUE"""),"Seventh 103.22 Iran")</f>
        <v>Seventh 103.22 Iran</v>
      </c>
      <c r="G1505" s="1" t="str">
        <f ca="1">IFERROR(__xludf.DUMMYFUNCTION("""COMPUTED_VALUE"""),"Death Penalty, Freedom of Expression, Individuals At Risk")</f>
        <v>Death Penalty, Freedom of Expression, Individuals At Risk</v>
      </c>
      <c r="H1505" s="1" t="str">
        <f ca="1">IFERROR(__xludf.DUMMYFUNCTION("""COMPUTED_VALUE"""),"2024")</f>
        <v>2024</v>
      </c>
      <c r="I1505" s="1" t="str">
        <f ca="1">IFERROR(__xludf.DUMMYFUNCTION("""COMPUTED_VALUE"""),"Email")</f>
        <v>Email</v>
      </c>
    </row>
    <row r="1506" spans="1:9" ht="13" x14ac:dyDescent="0.15">
      <c r="A1506" s="9">
        <f ca="1">IFERROR(__xludf.DUMMYFUNCTION("""COMPUTED_VALUE"""),145083380)</f>
        <v>145083380</v>
      </c>
      <c r="B1506" s="1" t="str">
        <f ca="1">IFERROR(__xludf.DUMMYFUNCTION("""COMPUTED_VALUE"""),"pmc.politics@outlook.com")</f>
        <v>pmc.politics@outlook.com</v>
      </c>
      <c r="C1506" s="9" t="str">
        <f ca="1">IFERROR(__xludf.DUMMYFUNCTION("""COMPUTED_VALUE"""),"EVERGREEN - UAN Gated Content - Embedded Petition")</f>
        <v>EVERGREEN - UAN Gated Content - Embedded Petition</v>
      </c>
      <c r="D1506" s="10">
        <f ca="1">IFERROR(__xludf.DUMMYFUNCTION("""COMPUTED_VALUE"""),45691)</f>
        <v>45691</v>
      </c>
      <c r="E1506" s="1" t="str">
        <f ca="1">IFERROR(__xludf.DUMMYFUNCTION("""COMPUTED_VALUE"""),"Venezuela")</f>
        <v>Venezuela</v>
      </c>
      <c r="F1506" s="1" t="str">
        <f ca="1">IFERROR(__xludf.DUMMYFUNCTION("""COMPUTED_VALUE"""),"1.25 Venezuela")</f>
        <v>1.25 Venezuela</v>
      </c>
      <c r="G1506" s="1" t="str">
        <f ca="1">IFERROR(__xludf.DUMMYFUNCTION("""COMPUTED_VALUE"""),"Human Rights Defenders, Individuals At Risk")</f>
        <v>Human Rights Defenders, Individuals At Risk</v>
      </c>
      <c r="H1506" s="1" t="str">
        <f ca="1">IFERROR(__xludf.DUMMYFUNCTION("""COMPUTED_VALUE"""),"2025")</f>
        <v>2025</v>
      </c>
      <c r="I1506" s="1" t="str">
        <f ca="1">IFERROR(__xludf.DUMMYFUNCTION("""COMPUTED_VALUE"""),"Letter")</f>
        <v>Letter</v>
      </c>
    </row>
    <row r="1507" spans="1:9" ht="13" x14ac:dyDescent="0.15">
      <c r="A1507" s="9">
        <f ca="1">IFERROR(__xludf.DUMMYFUNCTION("""COMPUTED_VALUE"""),147576359)</f>
        <v>147576359</v>
      </c>
      <c r="B1507" s="1" t="str">
        <f ca="1">IFERROR(__xludf.DUMMYFUNCTION("""COMPUTED_VALUE"""),"leighjcoffey@gmail.com")</f>
        <v>leighjcoffey@gmail.com</v>
      </c>
      <c r="C1507" s="9" t="str">
        <f ca="1">IFERROR(__xludf.DUMMYFUNCTION("""COMPUTED_VALUE"""),"EVERGREEN - UAN Gated Content - Embedded Petition")</f>
        <v>EVERGREEN - UAN Gated Content - Embedded Petition</v>
      </c>
      <c r="D1507" s="10">
        <f ca="1">IFERROR(__xludf.DUMMYFUNCTION("""COMPUTED_VALUE"""),45697)</f>
        <v>45697</v>
      </c>
      <c r="E1507" s="1" t="str">
        <f ca="1">IFERROR(__xludf.DUMMYFUNCTION("""COMPUTED_VALUE"""),"Azerbaijan")</f>
        <v>Azerbaijan</v>
      </c>
      <c r="F1507" s="1" t="str">
        <f ca="1">IFERROR(__xludf.DUMMYFUNCTION("""COMPUTED_VALUE"""),"2.25 Azerbaijan")</f>
        <v>2.25 Azerbaijan</v>
      </c>
      <c r="G1507" s="1" t="str">
        <f ca="1">IFERROR(__xludf.DUMMYFUNCTION("""COMPUTED_VALUE"""),"Freedom of Expression, Human Rights Defenders")</f>
        <v>Freedom of Expression, Human Rights Defenders</v>
      </c>
      <c r="H1507" s="1" t="str">
        <f ca="1">IFERROR(__xludf.DUMMYFUNCTION("""COMPUTED_VALUE"""),"2025")</f>
        <v>2025</v>
      </c>
      <c r="I1507" s="1" t="str">
        <f ca="1">IFERROR(__xludf.DUMMYFUNCTION("""COMPUTED_VALUE"""),"Email")</f>
        <v>Email</v>
      </c>
    </row>
    <row r="1508" spans="1:9" ht="13" x14ac:dyDescent="0.15">
      <c r="A1508" s="9">
        <f ca="1">IFERROR(__xludf.DUMMYFUNCTION("""COMPUTED_VALUE"""),147576359)</f>
        <v>147576359</v>
      </c>
      <c r="B1508" s="1" t="str">
        <f ca="1">IFERROR(__xludf.DUMMYFUNCTION("""COMPUTED_VALUE"""),"leighjcoffey@gmail.com")</f>
        <v>leighjcoffey@gmail.com</v>
      </c>
      <c r="C1508" s="9" t="str">
        <f ca="1">IFERROR(__xludf.DUMMYFUNCTION("""COMPUTED_VALUE"""),"EVERGREEN - UAN Gated Content - Embedded Petition")</f>
        <v>EVERGREEN - UAN Gated Content - Embedded Petition</v>
      </c>
      <c r="D1508" s="10">
        <f ca="1">IFERROR(__xludf.DUMMYFUNCTION("""COMPUTED_VALUE"""),45694)</f>
        <v>45694</v>
      </c>
      <c r="E1508" s="1" t="str">
        <f ca="1">IFERROR(__xludf.DUMMYFUNCTION("""COMPUTED_VALUE"""),"China")</f>
        <v>China</v>
      </c>
      <c r="F1508" s="1" t="str">
        <f ca="1">IFERROR(__xludf.DUMMYFUNCTION("""COMPUTED_VALUE"""),"106.24 China")</f>
        <v>106.24 China</v>
      </c>
      <c r="G1508" s="1" t="str">
        <f ca="1">IFERROR(__xludf.DUMMYFUNCTION("""COMPUTED_VALUE"""),"Freedom of Expression, Individuals At Risk")</f>
        <v>Freedom of Expression, Individuals At Risk</v>
      </c>
      <c r="H1508" s="1" t="str">
        <f ca="1">IFERROR(__xludf.DUMMYFUNCTION("""COMPUTED_VALUE"""),"2024")</f>
        <v>2024</v>
      </c>
      <c r="I1508" s="1" t="str">
        <f ca="1">IFERROR(__xludf.DUMMYFUNCTION("""COMPUTED_VALUE"""),"Email")</f>
        <v>Email</v>
      </c>
    </row>
    <row r="1509" spans="1:9" ht="13" x14ac:dyDescent="0.15">
      <c r="A1509" s="9">
        <f ca="1">IFERROR(__xludf.DUMMYFUNCTION("""COMPUTED_VALUE"""),149056573)</f>
        <v>149056573</v>
      </c>
      <c r="B1509" s="1" t="str">
        <f ca="1">IFERROR(__xludf.DUMMYFUNCTION("""COMPUTED_VALUE"""),"dodge611@icloud.com")</f>
        <v>dodge611@icloud.com</v>
      </c>
      <c r="C1509" s="9" t="str">
        <f ca="1">IFERROR(__xludf.DUMMYFUNCTION("""COMPUTED_VALUE"""),"EVERGREEN - UAN Gated Content - Embedded Petition")</f>
        <v>EVERGREEN - UAN Gated Content - Embedded Petition</v>
      </c>
      <c r="D1509" s="10">
        <f ca="1">IFERROR(__xludf.DUMMYFUNCTION("""COMPUTED_VALUE"""),45694)</f>
        <v>45694</v>
      </c>
      <c r="E1509" s="1" t="str">
        <f ca="1">IFERROR(__xludf.DUMMYFUNCTION("""COMPUTED_VALUE"""),"Niger")</f>
        <v>Niger</v>
      </c>
      <c r="F1509" s="1" t="str">
        <f ca="1">IFERROR(__xludf.DUMMYFUNCTION("""COMPUTED_VALUE"""),"103.24 Niger")</f>
        <v>103.24 Niger</v>
      </c>
      <c r="G1509" s="1" t="str">
        <f ca="1">IFERROR(__xludf.DUMMYFUNCTION("""COMPUTED_VALUE"""),"Freedom of Expression, Human Rights Defenders")</f>
        <v>Freedom of Expression, Human Rights Defenders</v>
      </c>
      <c r="H1509" s="1" t="str">
        <f ca="1">IFERROR(__xludf.DUMMYFUNCTION("""COMPUTED_VALUE"""),"2024")</f>
        <v>2024</v>
      </c>
      <c r="I1509" s="1" t="str">
        <f ca="1">IFERROR(__xludf.DUMMYFUNCTION("""COMPUTED_VALUE"""),"Email")</f>
        <v>Email</v>
      </c>
    </row>
    <row r="1510" spans="1:9" ht="13" x14ac:dyDescent="0.15">
      <c r="A1510" s="9">
        <f ca="1">IFERROR(__xludf.DUMMYFUNCTION("""COMPUTED_VALUE"""),149802003)</f>
        <v>149802003</v>
      </c>
      <c r="B1510" s="1" t="str">
        <f ca="1">IFERROR(__xludf.DUMMYFUNCTION("""COMPUTED_VALUE"""),"rhlinsey@gmail.com")</f>
        <v>rhlinsey@gmail.com</v>
      </c>
      <c r="C1510" s="9" t="str">
        <f ca="1">IFERROR(__xludf.DUMMYFUNCTION("""COMPUTED_VALUE"""),"EVERGREEN - UAN Gated Content - Embedded Petition")</f>
        <v>EVERGREEN - UAN Gated Content - Embedded Petition</v>
      </c>
      <c r="D1510" s="10">
        <f ca="1">IFERROR(__xludf.DUMMYFUNCTION("""COMPUTED_VALUE"""),45674)</f>
        <v>45674</v>
      </c>
      <c r="E1510" s="1" t="str">
        <f ca="1">IFERROR(__xludf.DUMMYFUNCTION("""COMPUTED_VALUE"""),"Egypt")</f>
        <v>Egypt</v>
      </c>
      <c r="F1510" s="1" t="str">
        <f ca="1">IFERROR(__xludf.DUMMYFUNCTION("""COMPUTED_VALUE"""),"Third 73.23 Egypt")</f>
        <v>Third 73.23 Egypt</v>
      </c>
      <c r="G1510" s="1" t="str">
        <f ca="1">IFERROR(__xludf.DUMMYFUNCTION("""COMPUTED_VALUE"""),"Individuals At Risk")</f>
        <v>Individuals At Risk</v>
      </c>
      <c r="H1510" s="1" t="str">
        <f ca="1">IFERROR(__xludf.DUMMYFUNCTION("""COMPUTED_VALUE"""),"2024")</f>
        <v>2024</v>
      </c>
      <c r="I1510" s="1" t="str">
        <f ca="1">IFERROR(__xludf.DUMMYFUNCTION("""COMPUTED_VALUE"""),"Email")</f>
        <v>Email</v>
      </c>
    </row>
    <row r="1511" spans="1:9" ht="13" x14ac:dyDescent="0.15">
      <c r="A1511" s="9">
        <f ca="1">IFERROR(__xludf.DUMMYFUNCTION("""COMPUTED_VALUE"""),149901183)</f>
        <v>149901183</v>
      </c>
      <c r="B1511" s="1" t="str">
        <f ca="1">IFERROR(__xludf.DUMMYFUNCTION("""COMPUTED_VALUE"""),"gailhazengonsalves@gmail.com")</f>
        <v>gailhazengonsalves@gmail.com</v>
      </c>
      <c r="C1511" s="9" t="str">
        <f ca="1">IFERROR(__xludf.DUMMYFUNCTION("""COMPUTED_VALUE"""),"EVERGREEN - Website Email Capture Form - UAN Pre-Footer")</f>
        <v>EVERGREEN - Website Email Capture Form - UAN Pre-Footer</v>
      </c>
      <c r="D1511" s="10">
        <f ca="1">IFERROR(__xludf.DUMMYFUNCTION("""COMPUTED_VALUE"""),45663)</f>
        <v>45663</v>
      </c>
      <c r="E1511" s="1" t="str">
        <f ca="1">IFERROR(__xludf.DUMMYFUNCTION("""COMPUTED_VALUE"""),"Turkiye")</f>
        <v>Turkiye</v>
      </c>
      <c r="F1511" s="1" t="str">
        <f ca="1">IFERROR(__xludf.DUMMYFUNCTION("""COMPUTED_VALUE"""),"109.24 Türkiye")</f>
        <v>109.24 Türkiye</v>
      </c>
      <c r="G1511" s="1" t="str">
        <f ca="1">IFERROR(__xludf.DUMMYFUNCTION("""COMPUTED_VALUE"""),"Human Rights Defenders, Individuals At Risk")</f>
        <v>Human Rights Defenders, Individuals At Risk</v>
      </c>
      <c r="H1511" s="1" t="str">
        <f ca="1">IFERROR(__xludf.DUMMYFUNCTION("""COMPUTED_VALUE"""),"2024")</f>
        <v>2024</v>
      </c>
      <c r="I1511" s="1" t="str">
        <f ca="1">IFERROR(__xludf.DUMMYFUNCTION("""COMPUTED_VALUE"""),"Email")</f>
        <v>Email</v>
      </c>
    </row>
    <row r="1512" spans="1:9" ht="13" x14ac:dyDescent="0.15">
      <c r="A1512" s="9">
        <f ca="1">IFERROR(__xludf.DUMMYFUNCTION("""COMPUTED_VALUE"""),150000962)</f>
        <v>150000962</v>
      </c>
      <c r="B1512" s="1" t="str">
        <f ca="1">IFERROR(__xludf.DUMMYFUNCTION("""COMPUTED_VALUE"""),"artsy.tayeh@gmail.com")</f>
        <v>artsy.tayeh@gmail.com</v>
      </c>
      <c r="C1512" s="9" t="str">
        <f ca="1">IFERROR(__xludf.DUMMYFUNCTION("""COMPUTED_VALUE"""),"EVERGREEN - UAN Gated Content - Embedded Petition")</f>
        <v>EVERGREEN - UAN Gated Content - Embedded Petition</v>
      </c>
      <c r="D1512" s="10">
        <f ca="1">IFERROR(__xludf.DUMMYFUNCTION("""COMPUTED_VALUE"""),45673)</f>
        <v>45673</v>
      </c>
      <c r="E1512" s="1" t="str">
        <f ca="1">IFERROR(__xludf.DUMMYFUNCTION("""COMPUTED_VALUE"""),"Tunisia")</f>
        <v>Tunisia</v>
      </c>
      <c r="F1512" s="1" t="str">
        <f ca="1">IFERROR(__xludf.DUMMYFUNCTION("""COMPUTED_VALUE"""),"Second 43.24 Tunisia")</f>
        <v>Second 43.24 Tunisia</v>
      </c>
      <c r="G1512" s="1" t="str">
        <f ca="1">IFERROR(__xludf.DUMMYFUNCTION("""COMPUTED_VALUE"""),"Freedom of Expression, Individuals At Risk")</f>
        <v>Freedom of Expression, Individuals At Risk</v>
      </c>
      <c r="H1512" s="1" t="str">
        <f ca="1">IFERROR(__xludf.DUMMYFUNCTION("""COMPUTED_VALUE"""),"2024")</f>
        <v>2024</v>
      </c>
      <c r="I1512" s="1" t="str">
        <f ca="1">IFERROR(__xludf.DUMMYFUNCTION("""COMPUTED_VALUE"""),"Email")</f>
        <v>Email</v>
      </c>
    </row>
    <row r="1513" spans="1:9" ht="13" x14ac:dyDescent="0.15">
      <c r="A1513" s="9">
        <f ca="1">IFERROR(__xludf.DUMMYFUNCTION("""COMPUTED_VALUE"""),150070492)</f>
        <v>150070492</v>
      </c>
      <c r="B1513" s="1" t="str">
        <f ca="1">IFERROR(__xludf.DUMMYFUNCTION("""COMPUTED_VALUE"""),"deanza222@gmail.com")</f>
        <v>deanza222@gmail.com</v>
      </c>
      <c r="C1513" s="9" t="str">
        <f ca="1">IFERROR(__xludf.DUMMYFUNCTION("""COMPUTED_VALUE"""),"EVERGREEN - UAN Gated Content - Embedded Petition")</f>
        <v>EVERGREEN - UAN Gated Content - Embedded Petition</v>
      </c>
      <c r="D1513" s="10">
        <f ca="1">IFERROR(__xludf.DUMMYFUNCTION("""COMPUTED_VALUE"""),45695)</f>
        <v>45695</v>
      </c>
      <c r="E1513" s="1" t="str">
        <f ca="1">IFERROR(__xludf.DUMMYFUNCTION("""COMPUTED_VALUE"""),"Egypt")</f>
        <v>Egypt</v>
      </c>
      <c r="F1513" s="1" t="str">
        <f ca="1">IFERROR(__xludf.DUMMYFUNCTION("""COMPUTED_VALUE"""),"Ninth 190.18 Egypt")</f>
        <v>Ninth 190.18 Egypt</v>
      </c>
      <c r="G1513" s="1" t="str">
        <f ca="1">IFERROR(__xludf.DUMMYFUNCTION("""COMPUTED_VALUE"""),"Freedom of Expression, Individuals At Risk")</f>
        <v>Freedom of Expression, Individuals At Risk</v>
      </c>
      <c r="H1513" s="1" t="str">
        <f ca="1">IFERROR(__xludf.DUMMYFUNCTION("""COMPUTED_VALUE"""),"2024")</f>
        <v>2024</v>
      </c>
      <c r="I1513" s="1" t="str">
        <f ca="1">IFERROR(__xludf.DUMMYFUNCTION("""COMPUTED_VALUE"""),"Letter")</f>
        <v>Letter</v>
      </c>
    </row>
    <row r="1514" spans="1:9" ht="13" x14ac:dyDescent="0.15">
      <c r="A1514" s="9">
        <f ca="1">IFERROR(__xludf.DUMMYFUNCTION("""COMPUTED_VALUE"""),151001318)</f>
        <v>151001318</v>
      </c>
      <c r="B1514" s="1" t="str">
        <f ca="1">IFERROR(__xludf.DUMMYFUNCTION("""COMPUTED_VALUE"""),"ssue1995@gmail.com")</f>
        <v>ssue1995@gmail.com</v>
      </c>
      <c r="C1514" s="9" t="str">
        <f ca="1">IFERROR(__xludf.DUMMYFUNCTION("""COMPUTED_VALUE"""),"EVERGREEN - UAN Gated Content - Embedded Petition")</f>
        <v>EVERGREEN - UAN Gated Content - Embedded Petition</v>
      </c>
      <c r="D1514" s="10">
        <f ca="1">IFERROR(__xludf.DUMMYFUNCTION("""COMPUTED_VALUE"""),45664)</f>
        <v>45664</v>
      </c>
      <c r="E1514" s="1" t="str">
        <f ca="1">IFERROR(__xludf.DUMMYFUNCTION("""COMPUTED_VALUE"""),"Saudi Arabia")</f>
        <v>Saudi Arabia</v>
      </c>
      <c r="F1514" s="1" t="str">
        <f ca="1">IFERROR(__xludf.DUMMYFUNCTION("""COMPUTED_VALUE"""),"Second 85.23 Saudi Arabia")</f>
        <v>Second 85.23 Saudi Arabia</v>
      </c>
      <c r="G1514" s="1" t="str">
        <f ca="1">IFERROR(__xludf.DUMMYFUNCTION("""COMPUTED_VALUE"""),"Freedom of Expression")</f>
        <v>Freedom of Expression</v>
      </c>
      <c r="H1514" s="1" t="str">
        <f ca="1">IFERROR(__xludf.DUMMYFUNCTION("""COMPUTED_VALUE"""),"2024")</f>
        <v>2024</v>
      </c>
      <c r="I1514" s="1" t="str">
        <f ca="1">IFERROR(__xludf.DUMMYFUNCTION("""COMPUTED_VALUE"""),"Letter")</f>
        <v>Letter</v>
      </c>
    </row>
    <row r="1515" spans="1:9" ht="13" x14ac:dyDescent="0.15">
      <c r="A1515" s="9">
        <f ca="1">IFERROR(__xludf.DUMMYFUNCTION("""COMPUTED_VALUE"""),151001318)</f>
        <v>151001318</v>
      </c>
      <c r="B1515" s="1" t="str">
        <f ca="1">IFERROR(__xludf.DUMMYFUNCTION("""COMPUTED_VALUE"""),"ssue1995@gmail.com")</f>
        <v>ssue1995@gmail.com</v>
      </c>
      <c r="C1515" s="9" t="str">
        <f ca="1">IFERROR(__xludf.DUMMYFUNCTION("""COMPUTED_VALUE"""),"EVERGREEN - UAN Gated Content - Embedded Petition")</f>
        <v>EVERGREEN - UAN Gated Content - Embedded Petition</v>
      </c>
      <c r="D1515" s="10">
        <f ca="1">IFERROR(__xludf.DUMMYFUNCTION("""COMPUTED_VALUE"""),45620)</f>
        <v>45620</v>
      </c>
      <c r="E1515" s="1" t="str">
        <f ca="1">IFERROR(__xludf.DUMMYFUNCTION("""COMPUTED_VALUE"""),"Saudi Arabia")</f>
        <v>Saudi Arabia</v>
      </c>
      <c r="F1515" s="1" t="str">
        <f ca="1">IFERROR(__xludf.DUMMYFUNCTION("""COMPUTED_VALUE"""),"Second 85.23 Saudi Arabia")</f>
        <v>Second 85.23 Saudi Arabia</v>
      </c>
      <c r="G1515" s="1" t="str">
        <f ca="1">IFERROR(__xludf.DUMMYFUNCTION("""COMPUTED_VALUE"""),"Freedom of Expression")</f>
        <v>Freedom of Expression</v>
      </c>
      <c r="H1515" s="1" t="str">
        <f ca="1">IFERROR(__xludf.DUMMYFUNCTION("""COMPUTED_VALUE"""),"2024")</f>
        <v>2024</v>
      </c>
      <c r="I1515" s="1" t="str">
        <f ca="1">IFERROR(__xludf.DUMMYFUNCTION("""COMPUTED_VALUE"""),"Letter")</f>
        <v>Letter</v>
      </c>
    </row>
    <row r="1516" spans="1:9" ht="13" x14ac:dyDescent="0.15">
      <c r="A1516" s="9">
        <f ca="1">IFERROR(__xludf.DUMMYFUNCTION("""COMPUTED_VALUE"""),151001318)</f>
        <v>151001318</v>
      </c>
      <c r="B1516" s="1" t="str">
        <f ca="1">IFERROR(__xludf.DUMMYFUNCTION("""COMPUTED_VALUE"""),"ssue1995@gmail.com")</f>
        <v>ssue1995@gmail.com</v>
      </c>
      <c r="C1516" s="9" t="str">
        <f ca="1">IFERROR(__xludf.DUMMYFUNCTION("""COMPUTED_VALUE"""),"EVERGREEN - UAN Gated Content - Embedded Petition")</f>
        <v>EVERGREEN - UAN Gated Content - Embedded Petition</v>
      </c>
      <c r="D1516" s="10">
        <f ca="1">IFERROR(__xludf.DUMMYFUNCTION("""COMPUTED_VALUE"""),45694)</f>
        <v>45694</v>
      </c>
      <c r="E1516" s="1" t="str">
        <f ca="1">IFERROR(__xludf.DUMMYFUNCTION("""COMPUTED_VALUE"""),"Russian Federation")</f>
        <v>Russian Federation</v>
      </c>
      <c r="F1516" s="1" t="str">
        <f ca="1">IFERROR(__xludf.DUMMYFUNCTION("""COMPUTED_VALUE"""),"Second 23.24 Russia")</f>
        <v>Second 23.24 Russia</v>
      </c>
      <c r="G1516" s="1" t="str">
        <f ca="1">IFERROR(__xludf.DUMMYFUNCTION("""COMPUTED_VALUE"""),"Freedom of Expression")</f>
        <v>Freedom of Expression</v>
      </c>
      <c r="H1516" s="1" t="str">
        <f ca="1">IFERROR(__xludf.DUMMYFUNCTION("""COMPUTED_VALUE"""),"2024")</f>
        <v>2024</v>
      </c>
      <c r="I1516" s="1" t="str">
        <f ca="1">IFERROR(__xludf.DUMMYFUNCTION("""COMPUTED_VALUE"""),"Letter")</f>
        <v>Letter</v>
      </c>
    </row>
    <row r="1517" spans="1:9" ht="13" x14ac:dyDescent="0.15">
      <c r="A1517" s="9">
        <f ca="1">IFERROR(__xludf.DUMMYFUNCTION("""COMPUTED_VALUE"""),151001318)</f>
        <v>151001318</v>
      </c>
      <c r="B1517" s="1" t="str">
        <f ca="1">IFERROR(__xludf.DUMMYFUNCTION("""COMPUTED_VALUE"""),"ssue1995@gmail.com")</f>
        <v>ssue1995@gmail.com</v>
      </c>
      <c r="C1517" s="9" t="str">
        <f ca="1">IFERROR(__xludf.DUMMYFUNCTION("""COMPUTED_VALUE"""),"EVERGREEN - UAN Gated Content - Embedded Petition")</f>
        <v>EVERGREEN - UAN Gated Content - Embedded Petition</v>
      </c>
      <c r="D1517" s="10">
        <f ca="1">IFERROR(__xludf.DUMMYFUNCTION("""COMPUTED_VALUE"""),45674)</f>
        <v>45674</v>
      </c>
      <c r="E1517" s="1" t="str">
        <f ca="1">IFERROR(__xludf.DUMMYFUNCTION("""COMPUTED_VALUE"""),"China")</f>
        <v>China</v>
      </c>
      <c r="F1517" s="1" t="str">
        <f ca="1">IFERROR(__xludf.DUMMYFUNCTION("""COMPUTED_VALUE"""),"98.24 China")</f>
        <v>98.24 China</v>
      </c>
      <c r="G1517" s="1" t="str">
        <f ca="1">IFERROR(__xludf.DUMMYFUNCTION("""COMPUTED_VALUE"""),"Freedom of Expression, Individuals At Risk")</f>
        <v>Freedom of Expression, Individuals At Risk</v>
      </c>
      <c r="H1517" s="1" t="str">
        <f ca="1">IFERROR(__xludf.DUMMYFUNCTION("""COMPUTED_VALUE"""),"2024")</f>
        <v>2024</v>
      </c>
      <c r="I1517" s="1" t="str">
        <f ca="1">IFERROR(__xludf.DUMMYFUNCTION("""COMPUTED_VALUE"""),"Letter")</f>
        <v>Letter</v>
      </c>
    </row>
    <row r="1518" spans="1:9" ht="13" x14ac:dyDescent="0.15">
      <c r="A1518" s="9">
        <f ca="1">IFERROR(__xludf.DUMMYFUNCTION("""COMPUTED_VALUE"""),151001318)</f>
        <v>151001318</v>
      </c>
      <c r="B1518" s="1" t="str">
        <f ca="1">IFERROR(__xludf.DUMMYFUNCTION("""COMPUTED_VALUE"""),"ssue1995@gmail.com")</f>
        <v>ssue1995@gmail.com</v>
      </c>
      <c r="C1518" s="9" t="str">
        <f ca="1">IFERROR(__xludf.DUMMYFUNCTION("""COMPUTED_VALUE"""),"EVERGREEN - UAN Gated Content - Embedded Petition")</f>
        <v>EVERGREEN - UAN Gated Content - Embedded Petition</v>
      </c>
      <c r="D1518" s="10">
        <f ca="1">IFERROR(__xludf.DUMMYFUNCTION("""COMPUTED_VALUE"""),45660)</f>
        <v>45660</v>
      </c>
      <c r="E1518" s="1" t="str">
        <f ca="1">IFERROR(__xludf.DUMMYFUNCTION("""COMPUTED_VALUE"""),"Venezuela")</f>
        <v>Venezuela</v>
      </c>
      <c r="F1518" s="1" t="str">
        <f ca="1">IFERROR(__xludf.DUMMYFUNCTION("""COMPUTED_VALUE"""),"97.24 Venezuela")</f>
        <v>97.24 Venezuela</v>
      </c>
      <c r="G1518" s="1" t="str">
        <f ca="1">IFERROR(__xludf.DUMMYFUNCTION("""COMPUTED_VALUE"""),"Freedom of Expression")</f>
        <v>Freedom of Expression</v>
      </c>
      <c r="H1518" s="1" t="str">
        <f ca="1">IFERROR(__xludf.DUMMYFUNCTION("""COMPUTED_VALUE"""),"2024")</f>
        <v>2024</v>
      </c>
      <c r="I1518" s="1" t="str">
        <f ca="1">IFERROR(__xludf.DUMMYFUNCTION("""COMPUTED_VALUE"""),"Letter")</f>
        <v>Letter</v>
      </c>
    </row>
    <row r="1519" spans="1:9" ht="13" x14ac:dyDescent="0.15">
      <c r="A1519" s="9">
        <f ca="1">IFERROR(__xludf.DUMMYFUNCTION("""COMPUTED_VALUE"""),151001318)</f>
        <v>151001318</v>
      </c>
      <c r="B1519" s="1" t="str">
        <f ca="1">IFERROR(__xludf.DUMMYFUNCTION("""COMPUTED_VALUE"""),"ssue1995@gmail.com")</f>
        <v>ssue1995@gmail.com</v>
      </c>
      <c r="C1519" s="9" t="str">
        <f ca="1">IFERROR(__xludf.DUMMYFUNCTION("""COMPUTED_VALUE"""),"EVERGREEN - UAN Gated Content - Embedded Petition")</f>
        <v>EVERGREEN - UAN Gated Content - Embedded Petition</v>
      </c>
      <c r="D1519" s="10">
        <f ca="1">IFERROR(__xludf.DUMMYFUNCTION("""COMPUTED_VALUE"""),45664)</f>
        <v>45664</v>
      </c>
      <c r="E1519" s="1" t="str">
        <f ca="1">IFERROR(__xludf.DUMMYFUNCTION("""COMPUTED_VALUE"""),"Tunisia")</f>
        <v>Tunisia</v>
      </c>
      <c r="F1519" s="1" t="str">
        <f ca="1">IFERROR(__xludf.DUMMYFUNCTION("""COMPUTED_VALUE"""),"Second 76.24 Tunisia")</f>
        <v>Second 76.24 Tunisia</v>
      </c>
      <c r="G1519" s="1" t="str">
        <f ca="1">IFERROR(__xludf.DUMMYFUNCTION("""COMPUTED_VALUE"""),"Freedom of Expression, Human Rights Defenders")</f>
        <v>Freedom of Expression, Human Rights Defenders</v>
      </c>
      <c r="H1519" s="1" t="str">
        <f ca="1">IFERROR(__xludf.DUMMYFUNCTION("""COMPUTED_VALUE"""),"2025")</f>
        <v>2025</v>
      </c>
      <c r="I1519" s="1" t="str">
        <f ca="1">IFERROR(__xludf.DUMMYFUNCTION("""COMPUTED_VALUE"""),"Email")</f>
        <v>Email</v>
      </c>
    </row>
    <row r="1520" spans="1:9" ht="13" x14ac:dyDescent="0.15">
      <c r="A1520" s="9">
        <f ca="1">IFERROR(__xludf.DUMMYFUNCTION("""COMPUTED_VALUE"""),151001318)</f>
        <v>151001318</v>
      </c>
      <c r="B1520" s="1" t="str">
        <f ca="1">IFERROR(__xludf.DUMMYFUNCTION("""COMPUTED_VALUE"""),"ssue1995@gmail.com")</f>
        <v>ssue1995@gmail.com</v>
      </c>
      <c r="C1520" s="9" t="str">
        <f ca="1">IFERROR(__xludf.DUMMYFUNCTION("""COMPUTED_VALUE"""),"EVERGREEN - UAN Gated Content - Embedded Petition")</f>
        <v>EVERGREEN - UAN Gated Content - Embedded Petition</v>
      </c>
      <c r="D1520" s="10">
        <f ca="1">IFERROR(__xludf.DUMMYFUNCTION("""COMPUTED_VALUE"""),45617)</f>
        <v>45617</v>
      </c>
      <c r="E1520" s="1" t="str">
        <f ca="1">IFERROR(__xludf.DUMMYFUNCTION("""COMPUTED_VALUE"""),"Iran")</f>
        <v>Iran</v>
      </c>
      <c r="F1520" s="1" t="str">
        <f ca="1">IFERROR(__xludf.DUMMYFUNCTION("""COMPUTED_VALUE"""),"Seventh 103.22 Iran")</f>
        <v>Seventh 103.22 Iran</v>
      </c>
      <c r="G1520" s="1" t="str">
        <f ca="1">IFERROR(__xludf.DUMMYFUNCTION("""COMPUTED_VALUE"""),"Death Penalty, Freedom of Expression, Individuals At Risk")</f>
        <v>Death Penalty, Freedom of Expression, Individuals At Risk</v>
      </c>
      <c r="H1520" s="1" t="str">
        <f ca="1">IFERROR(__xludf.DUMMYFUNCTION("""COMPUTED_VALUE"""),"2024")</f>
        <v>2024</v>
      </c>
      <c r="I1520" s="1" t="str">
        <f ca="1">IFERROR(__xludf.DUMMYFUNCTION("""COMPUTED_VALUE"""),"Email")</f>
        <v>Email</v>
      </c>
    </row>
    <row r="1521" spans="1:9" ht="13" x14ac:dyDescent="0.15">
      <c r="A1521" s="9">
        <f ca="1">IFERROR(__xludf.DUMMYFUNCTION("""COMPUTED_VALUE"""),151001318)</f>
        <v>151001318</v>
      </c>
      <c r="B1521" s="1" t="str">
        <f ca="1">IFERROR(__xludf.DUMMYFUNCTION("""COMPUTED_VALUE"""),"ssue1995@gmail.com")</f>
        <v>ssue1995@gmail.com</v>
      </c>
      <c r="C1521" s="9" t="str">
        <f ca="1">IFERROR(__xludf.DUMMYFUNCTION("""COMPUTED_VALUE"""),"EVERGREEN - UAN Gated Content - Embedded Petition")</f>
        <v>EVERGREEN - UAN Gated Content - Embedded Petition</v>
      </c>
      <c r="D1521" s="10">
        <f ca="1">IFERROR(__xludf.DUMMYFUNCTION("""COMPUTED_VALUE"""),45617)</f>
        <v>45617</v>
      </c>
      <c r="E1521" s="1" t="str">
        <f ca="1">IFERROR(__xludf.DUMMYFUNCTION("""COMPUTED_VALUE"""),"Saudi Arabia")</f>
        <v>Saudi Arabia</v>
      </c>
      <c r="F1521" s="1" t="str">
        <f ca="1">IFERROR(__xludf.DUMMYFUNCTION("""COMPUTED_VALUE"""),"Fifth 257.12")</f>
        <v>Fifth 257.12</v>
      </c>
      <c r="G1521" s="1" t="str">
        <f ca="1">IFERROR(__xludf.DUMMYFUNCTION("""COMPUTED_VALUE"""),"Freedom of Expression, Human Rights Defenders")</f>
        <v>Freedom of Expression, Human Rights Defenders</v>
      </c>
      <c r="H1521" s="1" t="str">
        <f ca="1">IFERROR(__xludf.DUMMYFUNCTION("""COMPUTED_VALUE"""),"2025")</f>
        <v>2025</v>
      </c>
      <c r="I1521" s="1" t="str">
        <f ca="1">IFERROR(__xludf.DUMMYFUNCTION("""COMPUTED_VALUE"""),"Email")</f>
        <v>Email</v>
      </c>
    </row>
    <row r="1522" spans="1:9" ht="13" x14ac:dyDescent="0.15">
      <c r="A1522" s="9">
        <f ca="1">IFERROR(__xludf.DUMMYFUNCTION("""COMPUTED_VALUE"""),151001318)</f>
        <v>151001318</v>
      </c>
      <c r="B1522" s="1" t="str">
        <f ca="1">IFERROR(__xludf.DUMMYFUNCTION("""COMPUTED_VALUE"""),"ssue1995@gmail.com")</f>
        <v>ssue1995@gmail.com</v>
      </c>
      <c r="C1522" s="9" t="str">
        <f ca="1">IFERROR(__xludf.DUMMYFUNCTION("""COMPUTED_VALUE"""),"EVERGREEN - Website Email Capture Form - UAN Pre-Footer")</f>
        <v>EVERGREEN - Website Email Capture Form - UAN Pre-Footer</v>
      </c>
      <c r="D1522" s="10">
        <f ca="1">IFERROR(__xludf.DUMMYFUNCTION("""COMPUTED_VALUE"""),45639)</f>
        <v>45639</v>
      </c>
      <c r="E1522" s="1" t="str">
        <f ca="1">IFERROR(__xludf.DUMMYFUNCTION("""COMPUTED_VALUE"""),"Tunisia")</f>
        <v>Tunisia</v>
      </c>
      <c r="F1522" s="1" t="str">
        <f ca="1">IFERROR(__xludf.DUMMYFUNCTION("""COMPUTED_VALUE"""),"Second 76.24 Tunisia")</f>
        <v>Second 76.24 Tunisia</v>
      </c>
      <c r="G1522" s="1" t="str">
        <f ca="1">IFERROR(__xludf.DUMMYFUNCTION("""COMPUTED_VALUE"""),"Freedom of Expression, Human Rights Defenders")</f>
        <v>Freedom of Expression, Human Rights Defenders</v>
      </c>
      <c r="H1522" s="1" t="str">
        <f ca="1">IFERROR(__xludf.DUMMYFUNCTION("""COMPUTED_VALUE"""),"2025")</f>
        <v>2025</v>
      </c>
      <c r="I1522" s="1" t="str">
        <f ca="1">IFERROR(__xludf.DUMMYFUNCTION("""COMPUTED_VALUE"""),"Email")</f>
        <v>Email</v>
      </c>
    </row>
    <row r="1523" spans="1:9" ht="13" x14ac:dyDescent="0.15">
      <c r="A1523" s="9">
        <f ca="1">IFERROR(__xludf.DUMMYFUNCTION("""COMPUTED_VALUE"""),151696660)</f>
        <v>151696660</v>
      </c>
      <c r="B1523" s="1" t="str">
        <f ca="1">IFERROR(__xludf.DUMMYFUNCTION("""COMPUTED_VALUE"""),"kcirtap61@gmail.com")</f>
        <v>kcirtap61@gmail.com</v>
      </c>
      <c r="C1523" s="9" t="str">
        <f ca="1">IFERROR(__xludf.DUMMYFUNCTION("""COMPUTED_VALUE"""),"EVERGREEN - UAN Gated Content - Embedded Petition")</f>
        <v>EVERGREEN - UAN Gated Content - Embedded Petition</v>
      </c>
      <c r="D1523" s="10">
        <f ca="1">IFERROR(__xludf.DUMMYFUNCTION("""COMPUTED_VALUE"""),45636)</f>
        <v>45636</v>
      </c>
      <c r="E1523" s="1" t="str">
        <f ca="1">IFERROR(__xludf.DUMMYFUNCTION("""COMPUTED_VALUE"""),"Tunisia")</f>
        <v>Tunisia</v>
      </c>
      <c r="F1523" s="1" t="str">
        <f ca="1">IFERROR(__xludf.DUMMYFUNCTION("""COMPUTED_VALUE"""),"Second 76.24 Tunisia")</f>
        <v>Second 76.24 Tunisia</v>
      </c>
      <c r="G1523" s="1" t="str">
        <f ca="1">IFERROR(__xludf.DUMMYFUNCTION("""COMPUTED_VALUE"""),"Freedom of Expression, Human Rights Defenders")</f>
        <v>Freedom of Expression, Human Rights Defenders</v>
      </c>
      <c r="H1523" s="1" t="str">
        <f ca="1">IFERROR(__xludf.DUMMYFUNCTION("""COMPUTED_VALUE"""),"2025")</f>
        <v>2025</v>
      </c>
      <c r="I1523" s="1" t="str">
        <f ca="1">IFERROR(__xludf.DUMMYFUNCTION("""COMPUTED_VALUE"""),"Email")</f>
        <v>Email</v>
      </c>
    </row>
    <row r="1524" spans="1:9" ht="13" x14ac:dyDescent="0.15">
      <c r="A1524" s="9">
        <f ca="1">IFERROR(__xludf.DUMMYFUNCTION("""COMPUTED_VALUE"""),154613277)</f>
        <v>154613277</v>
      </c>
      <c r="B1524" s="1" t="str">
        <f ca="1">IFERROR(__xludf.DUMMYFUNCTION("""COMPUTED_VALUE"""),"ann.v.stevenson@gmail.com")</f>
        <v>ann.v.stevenson@gmail.com</v>
      </c>
      <c r="C1524" s="9" t="str">
        <f ca="1">IFERROR(__xludf.DUMMYFUNCTION("""COMPUTED_VALUE"""),"EVERGREEN - UAN Gated Content - Embedded Petition")</f>
        <v>EVERGREEN - UAN Gated Content - Embedded Petition</v>
      </c>
      <c r="D1524" s="10">
        <f ca="1">IFERROR(__xludf.DUMMYFUNCTION("""COMPUTED_VALUE"""),45638)</f>
        <v>45638</v>
      </c>
      <c r="E1524" s="1" t="str">
        <f ca="1">IFERROR(__xludf.DUMMYFUNCTION("""COMPUTED_VALUE"""),"USA")</f>
        <v>USA</v>
      </c>
      <c r="F1524" s="1" t="str">
        <f ca="1">IFERROR(__xludf.DUMMYFUNCTION("""COMPUTED_VALUE"""),"105.24 USA")</f>
        <v>105.24 USA</v>
      </c>
      <c r="G1524" s="1" t="str">
        <f ca="1">IFERROR(__xludf.DUMMYFUNCTION("""COMPUTED_VALUE"""),"Death Penalty")</f>
        <v>Death Penalty</v>
      </c>
      <c r="H1524" s="1" t="str">
        <f ca="1">IFERROR(__xludf.DUMMYFUNCTION("""COMPUTED_VALUE"""),"2024")</f>
        <v>2024</v>
      </c>
      <c r="I1524" s="1" t="str">
        <f ca="1">IFERROR(__xludf.DUMMYFUNCTION("""COMPUTED_VALUE"""),"Email")</f>
        <v>Email</v>
      </c>
    </row>
    <row r="1525" spans="1:9" ht="13" x14ac:dyDescent="0.15">
      <c r="A1525" s="9">
        <f ca="1">IFERROR(__xludf.DUMMYFUNCTION("""COMPUTED_VALUE"""),154768599)</f>
        <v>154768599</v>
      </c>
      <c r="B1525" s="1" t="str">
        <f ca="1">IFERROR(__xludf.DUMMYFUNCTION("""COMPUTED_VALUE"""),"kims.opin@gmail.com")</f>
        <v>kims.opin@gmail.com</v>
      </c>
      <c r="C1525" s="9" t="str">
        <f ca="1">IFERROR(__xludf.DUMMYFUNCTION("""COMPUTED_VALUE"""),"EVERGREEN - UAN Gated Content - Embedded Petition")</f>
        <v>EVERGREEN - UAN Gated Content - Embedded Petition</v>
      </c>
      <c r="D1525" s="10">
        <f ca="1">IFERROR(__xludf.DUMMYFUNCTION("""COMPUTED_VALUE"""),45697)</f>
        <v>45697</v>
      </c>
      <c r="E1525" s="1" t="str">
        <f ca="1">IFERROR(__xludf.DUMMYFUNCTION("""COMPUTED_VALUE"""),"Tunisia")</f>
        <v>Tunisia</v>
      </c>
      <c r="F1525" s="1" t="str">
        <f ca="1">IFERROR(__xludf.DUMMYFUNCTION("""COMPUTED_VALUE"""),"Second 76.24 Tunisia")</f>
        <v>Second 76.24 Tunisia</v>
      </c>
      <c r="G1525" s="1" t="str">
        <f ca="1">IFERROR(__xludf.DUMMYFUNCTION("""COMPUTED_VALUE"""),"Freedom of Expression, Human Rights Defenders")</f>
        <v>Freedom of Expression, Human Rights Defenders</v>
      </c>
      <c r="H1525" s="1" t="str">
        <f ca="1">IFERROR(__xludf.DUMMYFUNCTION("""COMPUTED_VALUE"""),"2025")</f>
        <v>2025</v>
      </c>
      <c r="I1525" s="1" t="str">
        <f ca="1">IFERROR(__xludf.DUMMYFUNCTION("""COMPUTED_VALUE"""),"Email")</f>
        <v>Email</v>
      </c>
    </row>
    <row r="1526" spans="1:9" ht="13" x14ac:dyDescent="0.15">
      <c r="A1526" s="9">
        <f ca="1">IFERROR(__xludf.DUMMYFUNCTION("""COMPUTED_VALUE"""),155580479)</f>
        <v>155580479</v>
      </c>
      <c r="B1526" s="1" t="str">
        <f ca="1">IFERROR(__xludf.DUMMYFUNCTION("""COMPUTED_VALUE"""),"amy@wozabooks.com")</f>
        <v>amy@wozabooks.com</v>
      </c>
      <c r="C1526" s="9" t="str">
        <f ca="1">IFERROR(__xludf.DUMMYFUNCTION("""COMPUTED_VALUE"""),"EVERGREEN - UAN Gated Content - Embedded Petition")</f>
        <v>EVERGREEN - UAN Gated Content - Embedded Petition</v>
      </c>
      <c r="D1526" s="10">
        <f ca="1">IFERROR(__xludf.DUMMYFUNCTION("""COMPUTED_VALUE"""),45675)</f>
        <v>45675</v>
      </c>
      <c r="E1526" s="1" t="str">
        <f ca="1">IFERROR(__xludf.DUMMYFUNCTION("""COMPUTED_VALUE"""),"Tunisia")</f>
        <v>Tunisia</v>
      </c>
      <c r="F1526" s="1" t="str">
        <f ca="1">IFERROR(__xludf.DUMMYFUNCTION("""COMPUTED_VALUE"""),"Second 76.24 Tunisia")</f>
        <v>Second 76.24 Tunisia</v>
      </c>
      <c r="G1526" s="1" t="str">
        <f ca="1">IFERROR(__xludf.DUMMYFUNCTION("""COMPUTED_VALUE"""),"Freedom of Expression, Human Rights Defenders")</f>
        <v>Freedom of Expression, Human Rights Defenders</v>
      </c>
      <c r="H1526" s="1" t="str">
        <f ca="1">IFERROR(__xludf.DUMMYFUNCTION("""COMPUTED_VALUE"""),"2025")</f>
        <v>2025</v>
      </c>
      <c r="I1526" s="1" t="str">
        <f ca="1">IFERROR(__xludf.DUMMYFUNCTION("""COMPUTED_VALUE"""),"Email")</f>
        <v>Email</v>
      </c>
    </row>
    <row r="1527" spans="1:9" ht="13" x14ac:dyDescent="0.15">
      <c r="A1527" s="9">
        <f ca="1">IFERROR(__xludf.DUMMYFUNCTION("""COMPUTED_VALUE"""),155580479)</f>
        <v>155580479</v>
      </c>
      <c r="B1527" s="1" t="str">
        <f ca="1">IFERROR(__xludf.DUMMYFUNCTION("""COMPUTED_VALUE"""),"amy@wozabooks.com")</f>
        <v>amy@wozabooks.com</v>
      </c>
      <c r="C1527" s="9" t="str">
        <f ca="1">IFERROR(__xludf.DUMMYFUNCTION("""COMPUTED_VALUE"""),"EVERGREEN - UAN Gated Content - Embedded Petition")</f>
        <v>EVERGREEN - UAN Gated Content - Embedded Petition</v>
      </c>
      <c r="D1527" s="10">
        <f ca="1">IFERROR(__xludf.DUMMYFUNCTION("""COMPUTED_VALUE"""),45657)</f>
        <v>45657</v>
      </c>
      <c r="E1527" s="1" t="str">
        <f ca="1">IFERROR(__xludf.DUMMYFUNCTION("""COMPUTED_VALUE"""),"Tunisia")</f>
        <v>Tunisia</v>
      </c>
      <c r="F1527" s="1" t="str">
        <f ca="1">IFERROR(__xludf.DUMMYFUNCTION("""COMPUTED_VALUE"""),"Second 76.24 Tunisia")</f>
        <v>Second 76.24 Tunisia</v>
      </c>
      <c r="G1527" s="1" t="str">
        <f ca="1">IFERROR(__xludf.DUMMYFUNCTION("""COMPUTED_VALUE"""),"Freedom of Expression, Human Rights Defenders")</f>
        <v>Freedom of Expression, Human Rights Defenders</v>
      </c>
      <c r="H1527" s="1" t="str">
        <f ca="1">IFERROR(__xludf.DUMMYFUNCTION("""COMPUTED_VALUE"""),"2025")</f>
        <v>2025</v>
      </c>
      <c r="I1527" s="1" t="str">
        <f ca="1">IFERROR(__xludf.DUMMYFUNCTION("""COMPUTED_VALUE"""),"Email")</f>
        <v>Email</v>
      </c>
    </row>
    <row r="1528" spans="1:9" ht="13" x14ac:dyDescent="0.15">
      <c r="A1528" s="9">
        <f ca="1">IFERROR(__xludf.DUMMYFUNCTION("""COMPUTED_VALUE"""),155580479)</f>
        <v>155580479</v>
      </c>
      <c r="B1528" s="1" t="str">
        <f ca="1">IFERROR(__xludf.DUMMYFUNCTION("""COMPUTED_VALUE"""),"amy@wozabooks.com")</f>
        <v>amy@wozabooks.com</v>
      </c>
      <c r="C1528" s="9" t="str">
        <f ca="1">IFERROR(__xludf.DUMMYFUNCTION("""COMPUTED_VALUE"""),"EVERGREEN - UAN Gated Content - Embedded Petition")</f>
        <v>EVERGREEN - UAN Gated Content - Embedded Petition</v>
      </c>
      <c r="D1528" s="10">
        <f ca="1">IFERROR(__xludf.DUMMYFUNCTION("""COMPUTED_VALUE"""),45694)</f>
        <v>45694</v>
      </c>
      <c r="E1528" s="1" t="str">
        <f ca="1">IFERROR(__xludf.DUMMYFUNCTION("""COMPUTED_VALUE"""),"USA")</f>
        <v>USA</v>
      </c>
      <c r="F1528" s="1" t="str">
        <f ca="1">IFERROR(__xludf.DUMMYFUNCTION("""COMPUTED_VALUE"""),"105.24 USA")</f>
        <v>105.24 USA</v>
      </c>
      <c r="G1528" s="1" t="str">
        <f ca="1">IFERROR(__xludf.DUMMYFUNCTION("""COMPUTED_VALUE"""),"Death Penalty")</f>
        <v>Death Penalty</v>
      </c>
      <c r="H1528" s="1" t="str">
        <f ca="1">IFERROR(__xludf.DUMMYFUNCTION("""COMPUTED_VALUE"""),"2024")</f>
        <v>2024</v>
      </c>
      <c r="I1528" s="1" t="str">
        <f ca="1">IFERROR(__xludf.DUMMYFUNCTION("""COMPUTED_VALUE"""),"Email")</f>
        <v>Email</v>
      </c>
    </row>
    <row r="1529" spans="1:9" ht="13" x14ac:dyDescent="0.15">
      <c r="A1529" s="9">
        <f ca="1">IFERROR(__xludf.DUMMYFUNCTION("""COMPUTED_VALUE"""),155606080)</f>
        <v>155606080</v>
      </c>
      <c r="B1529" s="1" t="str">
        <f ca="1">IFERROR(__xludf.DUMMYFUNCTION("""COMPUTED_VALUE"""),"agoodwin@aiusa.org")</f>
        <v>agoodwin@aiusa.org</v>
      </c>
      <c r="C1529" s="9" t="str">
        <f ca="1">IFERROR(__xludf.DUMMYFUNCTION("""COMPUTED_VALUE"""),"EVERGREEN - UAN Gated Content - Embedded Petition")</f>
        <v>EVERGREEN - UAN Gated Content - Embedded Petition</v>
      </c>
      <c r="D1529" s="10">
        <f ca="1">IFERROR(__xludf.DUMMYFUNCTION("""COMPUTED_VALUE"""),45678)</f>
        <v>45678</v>
      </c>
      <c r="E1529" s="1" t="str">
        <f ca="1">IFERROR(__xludf.DUMMYFUNCTION("""COMPUTED_VALUE"""),"Tunisia")</f>
        <v>Tunisia</v>
      </c>
      <c r="F1529" s="1" t="str">
        <f ca="1">IFERROR(__xludf.DUMMYFUNCTION("""COMPUTED_VALUE"""),"Second 76.24 Tunisia")</f>
        <v>Second 76.24 Tunisia</v>
      </c>
      <c r="G1529" s="1" t="str">
        <f ca="1">IFERROR(__xludf.DUMMYFUNCTION("""COMPUTED_VALUE"""),"Freedom of Expression, Human Rights Defenders")</f>
        <v>Freedom of Expression, Human Rights Defenders</v>
      </c>
      <c r="H1529" s="1" t="str">
        <f ca="1">IFERROR(__xludf.DUMMYFUNCTION("""COMPUTED_VALUE"""),"2025")</f>
        <v>2025</v>
      </c>
      <c r="I1529" s="1" t="str">
        <f ca="1">IFERROR(__xludf.DUMMYFUNCTION("""COMPUTED_VALUE"""),"Email")</f>
        <v>Email</v>
      </c>
    </row>
    <row r="1530" spans="1:9" ht="13" x14ac:dyDescent="0.15">
      <c r="A1530" s="9">
        <f ca="1">IFERROR(__xludf.DUMMYFUNCTION("""COMPUTED_VALUE"""),155606080)</f>
        <v>155606080</v>
      </c>
      <c r="B1530" s="1" t="str">
        <f ca="1">IFERROR(__xludf.DUMMYFUNCTION("""COMPUTED_VALUE"""),"agoodwin@aiusa.org")</f>
        <v>agoodwin@aiusa.org</v>
      </c>
      <c r="C1530" s="9" t="str">
        <f ca="1">IFERROR(__xludf.DUMMYFUNCTION("""COMPUTED_VALUE"""),"EVERGREEN - UAN Gated Content - Embedded Petition")</f>
        <v>EVERGREEN - UAN Gated Content - Embedded Petition</v>
      </c>
      <c r="D1530" s="10">
        <f ca="1">IFERROR(__xludf.DUMMYFUNCTION("""COMPUTED_VALUE"""),45673)</f>
        <v>45673</v>
      </c>
      <c r="E1530" s="1" t="str">
        <f ca="1">IFERROR(__xludf.DUMMYFUNCTION("""COMPUTED_VALUE"""),"Tunisia")</f>
        <v>Tunisia</v>
      </c>
      <c r="F1530" s="1" t="str">
        <f ca="1">IFERROR(__xludf.DUMMYFUNCTION("""COMPUTED_VALUE"""),"Second 76.24 Tunisia")</f>
        <v>Second 76.24 Tunisia</v>
      </c>
      <c r="G1530" s="1" t="str">
        <f ca="1">IFERROR(__xludf.DUMMYFUNCTION("""COMPUTED_VALUE"""),"Freedom of Expression, Human Rights Defenders")</f>
        <v>Freedom of Expression, Human Rights Defenders</v>
      </c>
      <c r="H1530" s="1" t="str">
        <f ca="1">IFERROR(__xludf.DUMMYFUNCTION("""COMPUTED_VALUE"""),"2025")</f>
        <v>2025</v>
      </c>
      <c r="I1530" s="1" t="str">
        <f ca="1">IFERROR(__xludf.DUMMYFUNCTION("""COMPUTED_VALUE"""),"Email")</f>
        <v>Email</v>
      </c>
    </row>
    <row r="1531" spans="1:9" ht="13" x14ac:dyDescent="0.15">
      <c r="A1531" s="9">
        <f ca="1">IFERROR(__xludf.DUMMYFUNCTION("""COMPUTED_VALUE"""),155902891)</f>
        <v>155902891</v>
      </c>
      <c r="B1531" s="1" t="str">
        <f ca="1">IFERROR(__xludf.DUMMYFUNCTION("""COMPUTED_VALUE"""),"inkeepingnotsorestless@gmail.com")</f>
        <v>inkeepingnotsorestless@gmail.com</v>
      </c>
      <c r="C1531" s="9" t="str">
        <f ca="1">IFERROR(__xludf.DUMMYFUNCTION("""COMPUTED_VALUE"""),"EVERGREEN - UAN Gated Content - Embedded Petition")</f>
        <v>EVERGREEN - UAN Gated Content - Embedded Petition</v>
      </c>
      <c r="D1531" s="10">
        <f ca="1">IFERROR(__xludf.DUMMYFUNCTION("""COMPUTED_VALUE"""),45700)</f>
        <v>45700</v>
      </c>
      <c r="E1531" s="1" t="str">
        <f ca="1">IFERROR(__xludf.DUMMYFUNCTION("""COMPUTED_VALUE"""),"Dominican Republic")</f>
        <v>Dominican Republic</v>
      </c>
      <c r="F1531" s="1" t="str">
        <f ca="1">IFERROR(__xludf.DUMMYFUNCTION("""COMPUTED_VALUE"""),"88.24 Dominican Republic")</f>
        <v>88.24 Dominican Republic</v>
      </c>
      <c r="G1531" s="1" t="str">
        <f ca="1">IFERROR(__xludf.DUMMYFUNCTION("""COMPUTED_VALUE"""),"Individuals At Risk, Refugee and Migrant Rights")</f>
        <v>Individuals At Risk, Refugee and Migrant Rights</v>
      </c>
      <c r="H1531" s="1" t="str">
        <f ca="1">IFERROR(__xludf.DUMMYFUNCTION("""COMPUTED_VALUE"""),"2024")</f>
        <v>2024</v>
      </c>
      <c r="I1531" s="1" t="str">
        <f ca="1">IFERROR(__xludf.DUMMYFUNCTION("""COMPUTED_VALUE"""),"Letter")</f>
        <v>Letter</v>
      </c>
    </row>
    <row r="1532" spans="1:9" ht="13" x14ac:dyDescent="0.15">
      <c r="A1532" s="9">
        <f ca="1">IFERROR(__xludf.DUMMYFUNCTION("""COMPUTED_VALUE"""),155905619)</f>
        <v>155905619</v>
      </c>
      <c r="B1532" s="1" t="str">
        <f ca="1">IFERROR(__xludf.DUMMYFUNCTION("""COMPUTED_VALUE"""),"marth0214@gmail.com")</f>
        <v>marth0214@gmail.com</v>
      </c>
      <c r="C1532" s="9" t="str">
        <f ca="1">IFERROR(__xludf.DUMMYFUNCTION("""COMPUTED_VALUE"""),"EVERGREEN - UAN Gated Content - Embedded Petition")</f>
        <v>EVERGREEN - UAN Gated Content - Embedded Petition</v>
      </c>
      <c r="D1532" s="10">
        <f ca="1">IFERROR(__xludf.DUMMYFUNCTION("""COMPUTED_VALUE"""),45675)</f>
        <v>45675</v>
      </c>
      <c r="E1532" s="1" t="str">
        <f ca="1">IFERROR(__xludf.DUMMYFUNCTION("""COMPUTED_VALUE"""),"Tunisia")</f>
        <v>Tunisia</v>
      </c>
      <c r="F1532" s="1" t="str">
        <f ca="1">IFERROR(__xludf.DUMMYFUNCTION("""COMPUTED_VALUE"""),"Second 76.24 Tunisia")</f>
        <v>Second 76.24 Tunisia</v>
      </c>
      <c r="G1532" s="1" t="str">
        <f ca="1">IFERROR(__xludf.DUMMYFUNCTION("""COMPUTED_VALUE"""),"Freedom of Expression, Human Rights Defenders")</f>
        <v>Freedom of Expression, Human Rights Defenders</v>
      </c>
      <c r="H1532" s="1" t="str">
        <f ca="1">IFERROR(__xludf.DUMMYFUNCTION("""COMPUTED_VALUE"""),"2025")</f>
        <v>2025</v>
      </c>
      <c r="I1532" s="1" t="str">
        <f ca="1">IFERROR(__xludf.DUMMYFUNCTION("""COMPUTED_VALUE"""),"Email")</f>
        <v>Email</v>
      </c>
    </row>
    <row r="1533" spans="1:9" ht="13" x14ac:dyDescent="0.15">
      <c r="A1533" s="9">
        <f ca="1">IFERROR(__xludf.DUMMYFUNCTION("""COMPUTED_VALUE"""),155905619)</f>
        <v>155905619</v>
      </c>
      <c r="B1533" s="1" t="str">
        <f ca="1">IFERROR(__xludf.DUMMYFUNCTION("""COMPUTED_VALUE"""),"marth0214@gmail.com")</f>
        <v>marth0214@gmail.com</v>
      </c>
      <c r="C1533" s="9" t="str">
        <f ca="1">IFERROR(__xludf.DUMMYFUNCTION("""COMPUTED_VALUE"""),"EVERGREEN - UAN Gated Content - Embedded Petition")</f>
        <v>EVERGREEN - UAN Gated Content - Embedded Petition</v>
      </c>
      <c r="D1533" s="10">
        <f ca="1">IFERROR(__xludf.DUMMYFUNCTION("""COMPUTED_VALUE"""),45675)</f>
        <v>45675</v>
      </c>
      <c r="E1533" s="1" t="str">
        <f ca="1">IFERROR(__xludf.DUMMYFUNCTION("""COMPUTED_VALUE"""),"USA")</f>
        <v>USA</v>
      </c>
      <c r="F1533" s="1" t="str">
        <f ca="1">IFERROR(__xludf.DUMMYFUNCTION("""COMPUTED_VALUE"""),"4.25 USA")</f>
        <v>4.25 USA</v>
      </c>
      <c r="G1533" s="1" t="str">
        <f ca="1">IFERROR(__xludf.DUMMYFUNCTION("""COMPUTED_VALUE"""),"Individuals At Risk, Refugee and Migrant Rights")</f>
        <v>Individuals At Risk, Refugee and Migrant Rights</v>
      </c>
      <c r="H1533" s="1" t="str">
        <f ca="1">IFERROR(__xludf.DUMMYFUNCTION("""COMPUTED_VALUE"""),"2025")</f>
        <v>2025</v>
      </c>
      <c r="I1533" s="1" t="str">
        <f ca="1">IFERROR(__xludf.DUMMYFUNCTION("""COMPUTED_VALUE"""),"Letter")</f>
        <v>Letter</v>
      </c>
    </row>
    <row r="1534" spans="1:9" ht="13" x14ac:dyDescent="0.15">
      <c r="A1534" s="9">
        <f ca="1">IFERROR(__xludf.DUMMYFUNCTION("""COMPUTED_VALUE"""),155905619)</f>
        <v>155905619</v>
      </c>
      <c r="B1534" s="1" t="str">
        <f ca="1">IFERROR(__xludf.DUMMYFUNCTION("""COMPUTED_VALUE"""),"marth0214@gmail.com")</f>
        <v>marth0214@gmail.com</v>
      </c>
      <c r="C1534" s="9" t="str">
        <f ca="1">IFERROR(__xludf.DUMMYFUNCTION("""COMPUTED_VALUE"""),"EVERGREEN - UAN Gated Content - Embedded Petition")</f>
        <v>EVERGREEN - UAN Gated Content - Embedded Petition</v>
      </c>
      <c r="D1534" s="10">
        <f ca="1">IFERROR(__xludf.DUMMYFUNCTION("""COMPUTED_VALUE"""),45677)</f>
        <v>45677</v>
      </c>
      <c r="E1534" s="1" t="str">
        <f ca="1">IFERROR(__xludf.DUMMYFUNCTION("""COMPUTED_VALUE"""),"Iran")</f>
        <v>Iran</v>
      </c>
      <c r="F1534" s="1" t="str">
        <f ca="1">IFERROR(__xludf.DUMMYFUNCTION("""COMPUTED_VALUE"""),"101.24 Iran")</f>
        <v>101.24 Iran</v>
      </c>
      <c r="G1534" s="1" t="str">
        <f ca="1">IFERROR(__xludf.DUMMYFUNCTION("""COMPUTED_VALUE"""),"Death Penalty, Freedom of Expression, Individuals At Risk, Right to Protest")</f>
        <v>Death Penalty, Freedom of Expression, Individuals At Risk, Right to Protest</v>
      </c>
      <c r="H1534" s="1" t="str">
        <f ca="1">IFERROR(__xludf.DUMMYFUNCTION("""COMPUTED_VALUE"""),"2024")</f>
        <v>2024</v>
      </c>
      <c r="I1534" s="1" t="str">
        <f ca="1">IFERROR(__xludf.DUMMYFUNCTION("""COMPUTED_VALUE"""),"Email")</f>
        <v>Email</v>
      </c>
    </row>
    <row r="1535" spans="1:9" ht="13" x14ac:dyDescent="0.15">
      <c r="A1535" s="9">
        <f ca="1">IFERROR(__xludf.DUMMYFUNCTION("""COMPUTED_VALUE"""),155905619)</f>
        <v>155905619</v>
      </c>
      <c r="B1535" s="1" t="str">
        <f ca="1">IFERROR(__xludf.DUMMYFUNCTION("""COMPUTED_VALUE"""),"marth0214@gmail.com")</f>
        <v>marth0214@gmail.com</v>
      </c>
      <c r="C1535" s="9" t="str">
        <f ca="1">IFERROR(__xludf.DUMMYFUNCTION("""COMPUTED_VALUE"""),"EVERGREEN - UAN Gated Content - Embedded Petition")</f>
        <v>EVERGREEN - UAN Gated Content - Embedded Petition</v>
      </c>
      <c r="D1535" s="10">
        <f ca="1">IFERROR(__xludf.DUMMYFUNCTION("""COMPUTED_VALUE"""),45694)</f>
        <v>45694</v>
      </c>
      <c r="E1535" s="1" t="str">
        <f ca="1">IFERROR(__xludf.DUMMYFUNCTION("""COMPUTED_VALUE"""),"Uganda")</f>
        <v>Uganda</v>
      </c>
      <c r="F1535" s="1" t="str">
        <f ca="1">IFERROR(__xludf.DUMMYFUNCTION("""COMPUTED_VALUE"""),"100.24 Uganda")</f>
        <v>100.24 Uganda</v>
      </c>
      <c r="G1535" s="1" t="str">
        <f ca="1">IFERROR(__xludf.DUMMYFUNCTION("""COMPUTED_VALUE"""),"Freedom of Expression")</f>
        <v>Freedom of Expression</v>
      </c>
      <c r="H1535" s="1" t="str">
        <f ca="1">IFERROR(__xludf.DUMMYFUNCTION("""COMPUTED_VALUE"""),"2024")</f>
        <v>2024</v>
      </c>
      <c r="I1535" s="1" t="str">
        <f ca="1">IFERROR(__xludf.DUMMYFUNCTION("""COMPUTED_VALUE"""),"Email")</f>
        <v>Email</v>
      </c>
    </row>
    <row r="1536" spans="1:9" ht="13" x14ac:dyDescent="0.15">
      <c r="A1536" s="9">
        <f ca="1">IFERROR(__xludf.DUMMYFUNCTION("""COMPUTED_VALUE"""),155941743)</f>
        <v>155941743</v>
      </c>
      <c r="B1536" s="1" t="str">
        <f ca="1">IFERROR(__xludf.DUMMYFUNCTION("""COMPUTED_VALUE"""),"novicedetective@gmail.com")</f>
        <v>novicedetective@gmail.com</v>
      </c>
      <c r="C1536" s="9" t="str">
        <f ca="1">IFERROR(__xludf.DUMMYFUNCTION("""COMPUTED_VALUE"""),"EVERGREEN - UAN Gated Content - Embedded Petition")</f>
        <v>EVERGREEN - UAN Gated Content - Embedded Petition</v>
      </c>
      <c r="D1536" s="10">
        <f ca="1">IFERROR(__xludf.DUMMYFUNCTION("""COMPUTED_VALUE"""),45636)</f>
        <v>45636</v>
      </c>
      <c r="E1536" s="1" t="str">
        <f ca="1">IFERROR(__xludf.DUMMYFUNCTION("""COMPUTED_VALUE"""),"Uganda")</f>
        <v>Uganda</v>
      </c>
      <c r="F1536" s="1" t="str">
        <f ca="1">IFERROR(__xludf.DUMMYFUNCTION("""COMPUTED_VALUE"""),"100.24 Uganda")</f>
        <v>100.24 Uganda</v>
      </c>
      <c r="G1536" s="1" t="str">
        <f ca="1">IFERROR(__xludf.DUMMYFUNCTION("""COMPUTED_VALUE"""),"Freedom of Expression")</f>
        <v>Freedom of Expression</v>
      </c>
      <c r="H1536" s="1" t="str">
        <f ca="1">IFERROR(__xludf.DUMMYFUNCTION("""COMPUTED_VALUE"""),"2024")</f>
        <v>2024</v>
      </c>
      <c r="I1536" s="1" t="str">
        <f ca="1">IFERROR(__xludf.DUMMYFUNCTION("""COMPUTED_VALUE"""),"Email")</f>
        <v>Email</v>
      </c>
    </row>
    <row r="1537" spans="1:9" ht="13" x14ac:dyDescent="0.15">
      <c r="A1537" s="9">
        <f ca="1">IFERROR(__xludf.DUMMYFUNCTION("""COMPUTED_VALUE"""),156763166)</f>
        <v>156763166</v>
      </c>
      <c r="B1537" s="1" t="str">
        <f ca="1">IFERROR(__xludf.DUMMYFUNCTION("""COMPUTED_VALUE"""),"coloraturacanary@gmail.com")</f>
        <v>coloraturacanary@gmail.com</v>
      </c>
      <c r="C1537" s="9" t="str">
        <f ca="1">IFERROR(__xludf.DUMMYFUNCTION("""COMPUTED_VALUE"""),"EVERGREEN - UAN Gated Content - Embedded Petition")</f>
        <v>EVERGREEN - UAN Gated Content - Embedded Petition</v>
      </c>
      <c r="D1537" s="10">
        <f ca="1">IFERROR(__xludf.DUMMYFUNCTION("""COMPUTED_VALUE"""),45674)</f>
        <v>45674</v>
      </c>
      <c r="E1537" s="1" t="str">
        <f ca="1">IFERROR(__xludf.DUMMYFUNCTION("""COMPUTED_VALUE"""),"Uganda")</f>
        <v>Uganda</v>
      </c>
      <c r="F1537" s="1" t="str">
        <f ca="1">IFERROR(__xludf.DUMMYFUNCTION("""COMPUTED_VALUE"""),"100.24 Uganda")</f>
        <v>100.24 Uganda</v>
      </c>
      <c r="G1537" s="1" t="str">
        <f ca="1">IFERROR(__xludf.DUMMYFUNCTION("""COMPUTED_VALUE"""),"Freedom of Expression")</f>
        <v>Freedom of Expression</v>
      </c>
      <c r="H1537" s="1" t="str">
        <f ca="1">IFERROR(__xludf.DUMMYFUNCTION("""COMPUTED_VALUE"""),"2024")</f>
        <v>2024</v>
      </c>
      <c r="I1537" s="1" t="str">
        <f ca="1">IFERROR(__xludf.DUMMYFUNCTION("""COMPUTED_VALUE"""),"Email")</f>
        <v>Email</v>
      </c>
    </row>
    <row r="1538" spans="1:9" ht="13" x14ac:dyDescent="0.15">
      <c r="A1538" s="9">
        <f ca="1">IFERROR(__xludf.DUMMYFUNCTION("""COMPUTED_VALUE"""),156763166)</f>
        <v>156763166</v>
      </c>
      <c r="B1538" s="1" t="str">
        <f ca="1">IFERROR(__xludf.DUMMYFUNCTION("""COMPUTED_VALUE"""),"coloraturacanary@gmail.com")</f>
        <v>coloraturacanary@gmail.com</v>
      </c>
      <c r="C1538" s="9" t="str">
        <f ca="1">IFERROR(__xludf.DUMMYFUNCTION("""COMPUTED_VALUE"""),"EVERGREEN - UAN Gated Content - Embedded Petition")</f>
        <v>EVERGREEN - UAN Gated Content - Embedded Petition</v>
      </c>
      <c r="D1538" s="10">
        <f ca="1">IFERROR(__xludf.DUMMYFUNCTION("""COMPUTED_VALUE"""),45694)</f>
        <v>45694</v>
      </c>
      <c r="E1538" s="1" t="str">
        <f ca="1">IFERROR(__xludf.DUMMYFUNCTION("""COMPUTED_VALUE"""),"Dominican Republic")</f>
        <v>Dominican Republic</v>
      </c>
      <c r="F1538" s="1" t="str">
        <f ca="1">IFERROR(__xludf.DUMMYFUNCTION("""COMPUTED_VALUE"""),"88.24 Dominican Republic")</f>
        <v>88.24 Dominican Republic</v>
      </c>
      <c r="G1538" s="1" t="str">
        <f ca="1">IFERROR(__xludf.DUMMYFUNCTION("""COMPUTED_VALUE"""),"Individuals At Risk, Refugee and Migrant Rights")</f>
        <v>Individuals At Risk, Refugee and Migrant Rights</v>
      </c>
      <c r="H1538" s="1" t="str">
        <f ca="1">IFERROR(__xludf.DUMMYFUNCTION("""COMPUTED_VALUE"""),"2024")</f>
        <v>2024</v>
      </c>
      <c r="I1538" s="1" t="str">
        <f ca="1">IFERROR(__xludf.DUMMYFUNCTION("""COMPUTED_VALUE"""),"Letter")</f>
        <v>Letter</v>
      </c>
    </row>
    <row r="1539" spans="1:9" ht="13" x14ac:dyDescent="0.15">
      <c r="A1539" s="9">
        <f ca="1">IFERROR(__xludf.DUMMYFUNCTION("""COMPUTED_VALUE"""),157686459)</f>
        <v>157686459</v>
      </c>
      <c r="B1539" s="1" t="str">
        <f ca="1">IFERROR(__xludf.DUMMYFUNCTION("""COMPUTED_VALUE"""),"gmumma17@gmail.com")</f>
        <v>gmumma17@gmail.com</v>
      </c>
      <c r="C1539" s="9" t="str">
        <f ca="1">IFERROR(__xludf.DUMMYFUNCTION("""COMPUTED_VALUE"""),"EVERGREEN - UAN Gated Content - Embedded Petition")</f>
        <v>EVERGREEN - UAN Gated Content - Embedded Petition</v>
      </c>
      <c r="D1539" s="10">
        <f ca="1">IFERROR(__xludf.DUMMYFUNCTION("""COMPUTED_VALUE"""),45697)</f>
        <v>45697</v>
      </c>
      <c r="E1539" s="1" t="str">
        <f ca="1">IFERROR(__xludf.DUMMYFUNCTION("""COMPUTED_VALUE"""),"USA")</f>
        <v>USA</v>
      </c>
      <c r="F1539" s="1" t="str">
        <f ca="1">IFERROR(__xludf.DUMMYFUNCTION("""COMPUTED_VALUE"""),"96.24 USA")</f>
        <v>96.24 USA</v>
      </c>
      <c r="G1539" s="1" t="str">
        <f ca="1">IFERROR(__xludf.DUMMYFUNCTION("""COMPUTED_VALUE"""),"Death Penalty")</f>
        <v>Death Penalty</v>
      </c>
      <c r="H1539" s="1" t="str">
        <f ca="1">IFERROR(__xludf.DUMMYFUNCTION("""COMPUTED_VALUE"""),"2024")</f>
        <v>2024</v>
      </c>
      <c r="I1539" s="1" t="str">
        <f ca="1">IFERROR(__xludf.DUMMYFUNCTION("""COMPUTED_VALUE"""),"Email")</f>
        <v>Email</v>
      </c>
    </row>
    <row r="1540" spans="1:9" ht="13" x14ac:dyDescent="0.15">
      <c r="A1540" s="9">
        <f ca="1">IFERROR(__xludf.DUMMYFUNCTION("""COMPUTED_VALUE"""),157686459)</f>
        <v>157686459</v>
      </c>
      <c r="B1540" s="1" t="str">
        <f ca="1">IFERROR(__xludf.DUMMYFUNCTION("""COMPUTED_VALUE"""),"gmumma17@gmail.com")</f>
        <v>gmumma17@gmail.com</v>
      </c>
      <c r="C1540" s="9" t="str">
        <f ca="1">IFERROR(__xludf.DUMMYFUNCTION("""COMPUTED_VALUE"""),"EVERGREEN - UAN Gated Content - Embedded Petition")</f>
        <v>EVERGREEN - UAN Gated Content - Embedded Petition</v>
      </c>
      <c r="D1540" s="10">
        <f ca="1">IFERROR(__xludf.DUMMYFUNCTION("""COMPUTED_VALUE"""),45639)</f>
        <v>45639</v>
      </c>
      <c r="E1540" s="1" t="str">
        <f ca="1">IFERROR(__xludf.DUMMYFUNCTION("""COMPUTED_VALUE"""),"Tunisia")</f>
        <v>Tunisia</v>
      </c>
      <c r="F1540" s="1" t="str">
        <f ca="1">IFERROR(__xludf.DUMMYFUNCTION("""COMPUTED_VALUE"""),"Second 76.24 Tunisia")</f>
        <v>Second 76.24 Tunisia</v>
      </c>
      <c r="G1540" s="1" t="str">
        <f ca="1">IFERROR(__xludf.DUMMYFUNCTION("""COMPUTED_VALUE"""),"Freedom of Expression, Human Rights Defenders")</f>
        <v>Freedom of Expression, Human Rights Defenders</v>
      </c>
      <c r="H1540" s="1" t="str">
        <f ca="1">IFERROR(__xludf.DUMMYFUNCTION("""COMPUTED_VALUE"""),"2025")</f>
        <v>2025</v>
      </c>
      <c r="I1540" s="1" t="str">
        <f ca="1">IFERROR(__xludf.DUMMYFUNCTION("""COMPUTED_VALUE"""),"Email")</f>
        <v>Email</v>
      </c>
    </row>
    <row r="1541" spans="1:9" ht="13" x14ac:dyDescent="0.15">
      <c r="A1541" s="9">
        <f ca="1">IFERROR(__xludf.DUMMYFUNCTION("""COMPUTED_VALUE"""),157686459)</f>
        <v>157686459</v>
      </c>
      <c r="B1541" s="1" t="str">
        <f ca="1">IFERROR(__xludf.DUMMYFUNCTION("""COMPUTED_VALUE"""),"gmumma17@gmail.com")</f>
        <v>gmumma17@gmail.com</v>
      </c>
      <c r="C1541" s="9" t="str">
        <f ca="1">IFERROR(__xludf.DUMMYFUNCTION("""COMPUTED_VALUE"""),"EVERGREEN - UAN Gated Content - Embedded Petition")</f>
        <v>EVERGREEN - UAN Gated Content - Embedded Petition</v>
      </c>
      <c r="D1541" s="10">
        <f ca="1">IFERROR(__xludf.DUMMYFUNCTION("""COMPUTED_VALUE"""),45683)</f>
        <v>45683</v>
      </c>
      <c r="E1541" s="1" t="str">
        <f ca="1">IFERROR(__xludf.DUMMYFUNCTION("""COMPUTED_VALUE"""),"USA")</f>
        <v>USA</v>
      </c>
      <c r="F1541" s="1" t="str">
        <f ca="1">IFERROR(__xludf.DUMMYFUNCTION("""COMPUTED_VALUE"""),"105.24 USA")</f>
        <v>105.24 USA</v>
      </c>
      <c r="G1541" s="1" t="str">
        <f ca="1">IFERROR(__xludf.DUMMYFUNCTION("""COMPUTED_VALUE"""),"Death Penalty")</f>
        <v>Death Penalty</v>
      </c>
      <c r="H1541" s="1" t="str">
        <f ca="1">IFERROR(__xludf.DUMMYFUNCTION("""COMPUTED_VALUE"""),"2024")</f>
        <v>2024</v>
      </c>
      <c r="I1541" s="1" t="str">
        <f ca="1">IFERROR(__xludf.DUMMYFUNCTION("""COMPUTED_VALUE"""),"Email")</f>
        <v>Email</v>
      </c>
    </row>
    <row r="1542" spans="1:9" ht="13" x14ac:dyDescent="0.15">
      <c r="A1542" s="9">
        <f ca="1">IFERROR(__xludf.DUMMYFUNCTION("""COMPUTED_VALUE"""),158993404)</f>
        <v>158993404</v>
      </c>
      <c r="B1542" s="1" t="str">
        <f ca="1">IFERROR(__xludf.DUMMYFUNCTION("""COMPUTED_VALUE"""),"wendy.manganiello@gmail.com")</f>
        <v>wendy.manganiello@gmail.com</v>
      </c>
      <c r="C1542" s="9" t="str">
        <f ca="1">IFERROR(__xludf.DUMMYFUNCTION("""COMPUTED_VALUE"""),"EVERGREEN - UAN Gated Content - Embedded Petition")</f>
        <v>EVERGREEN - UAN Gated Content - Embedded Petition</v>
      </c>
      <c r="D1542" s="10">
        <f ca="1">IFERROR(__xludf.DUMMYFUNCTION("""COMPUTED_VALUE"""),45697)</f>
        <v>45697</v>
      </c>
      <c r="E1542" s="1" t="str">
        <f ca="1">IFERROR(__xludf.DUMMYFUNCTION("""COMPUTED_VALUE"""),"USA")</f>
        <v>USA</v>
      </c>
      <c r="F1542" s="1" t="str">
        <f ca="1">IFERROR(__xludf.DUMMYFUNCTION("""COMPUTED_VALUE"""),"105.24 USA")</f>
        <v>105.24 USA</v>
      </c>
      <c r="G1542" s="1" t="str">
        <f ca="1">IFERROR(__xludf.DUMMYFUNCTION("""COMPUTED_VALUE"""),"Death Penalty")</f>
        <v>Death Penalty</v>
      </c>
      <c r="H1542" s="1" t="str">
        <f ca="1">IFERROR(__xludf.DUMMYFUNCTION("""COMPUTED_VALUE"""),"2024")</f>
        <v>2024</v>
      </c>
      <c r="I1542" s="1" t="str">
        <f ca="1">IFERROR(__xludf.DUMMYFUNCTION("""COMPUTED_VALUE"""),"Email")</f>
        <v>Email</v>
      </c>
    </row>
    <row r="1543" spans="1:9" ht="13" x14ac:dyDescent="0.15">
      <c r="A1543" s="9">
        <f ca="1">IFERROR(__xludf.DUMMYFUNCTION("""COMPUTED_VALUE"""),160778536)</f>
        <v>160778536</v>
      </c>
      <c r="B1543" s="1" t="str">
        <f ca="1">IFERROR(__xludf.DUMMYFUNCTION("""COMPUTED_VALUE"""),"jsgoodly@gmail.com")</f>
        <v>jsgoodly@gmail.com</v>
      </c>
      <c r="C1543" s="9" t="str">
        <f ca="1">IFERROR(__xludf.DUMMYFUNCTION("""COMPUTED_VALUE"""),"EVERGREEN - UAN Gated Content - Embedded Petition")</f>
        <v>EVERGREEN - UAN Gated Content - Embedded Petition</v>
      </c>
      <c r="D1543" s="10">
        <f ca="1">IFERROR(__xludf.DUMMYFUNCTION("""COMPUTED_VALUE"""),45694)</f>
        <v>45694</v>
      </c>
      <c r="E1543" s="1" t="str">
        <f ca="1">IFERROR(__xludf.DUMMYFUNCTION("""COMPUTED_VALUE"""),"USA")</f>
        <v>USA</v>
      </c>
      <c r="F1543" s="1" t="str">
        <f ca="1">IFERROR(__xludf.DUMMYFUNCTION("""COMPUTED_VALUE"""),"4.25 USA")</f>
        <v>4.25 USA</v>
      </c>
      <c r="G1543" s="1" t="str">
        <f ca="1">IFERROR(__xludf.DUMMYFUNCTION("""COMPUTED_VALUE"""),"Individuals At Risk, Refugee and Migrant Rights")</f>
        <v>Individuals At Risk, Refugee and Migrant Rights</v>
      </c>
      <c r="H1543" s="1" t="str">
        <f ca="1">IFERROR(__xludf.DUMMYFUNCTION("""COMPUTED_VALUE"""),"2025")</f>
        <v>2025</v>
      </c>
      <c r="I1543" s="1" t="str">
        <f ca="1">IFERROR(__xludf.DUMMYFUNCTION("""COMPUTED_VALUE"""),"Letter")</f>
        <v>Letter</v>
      </c>
    </row>
    <row r="1544" spans="1:9" ht="13" x14ac:dyDescent="0.15">
      <c r="A1544" s="9">
        <f ca="1">IFERROR(__xludf.DUMMYFUNCTION("""COMPUTED_VALUE"""),160847928)</f>
        <v>160847928</v>
      </c>
      <c r="B1544" s="1" t="str">
        <f ca="1">IFERROR(__xludf.DUMMYFUNCTION("""COMPUTED_VALUE"""),"djchit@yahoo.com")</f>
        <v>djchit@yahoo.com</v>
      </c>
      <c r="C1544" s="9" t="str">
        <f ca="1">IFERROR(__xludf.DUMMYFUNCTION("""COMPUTED_VALUE"""),"EVERGREEN - UAN Gated Content - Embedded Petition")</f>
        <v>EVERGREEN - UAN Gated Content - Embedded Petition</v>
      </c>
      <c r="D1544" s="10">
        <f ca="1">IFERROR(__xludf.DUMMYFUNCTION("""COMPUTED_VALUE"""),45694)</f>
        <v>45694</v>
      </c>
      <c r="E1544" s="1" t="str">
        <f ca="1">IFERROR(__xludf.DUMMYFUNCTION("""COMPUTED_VALUE"""),"Iran")</f>
        <v>Iran</v>
      </c>
      <c r="F1544" s="1" t="str">
        <f ca="1">IFERROR(__xludf.DUMMYFUNCTION("""COMPUTED_VALUE"""),"Seventh 103.22 Iran")</f>
        <v>Seventh 103.22 Iran</v>
      </c>
      <c r="G1544" s="1" t="str">
        <f ca="1">IFERROR(__xludf.DUMMYFUNCTION("""COMPUTED_VALUE"""),"Death Penalty, Freedom of Expression, Individuals At Risk")</f>
        <v>Death Penalty, Freedom of Expression, Individuals At Risk</v>
      </c>
      <c r="H1544" s="1" t="str">
        <f ca="1">IFERROR(__xludf.DUMMYFUNCTION("""COMPUTED_VALUE"""),"2024")</f>
        <v>2024</v>
      </c>
      <c r="I1544" s="1" t="str">
        <f ca="1">IFERROR(__xludf.DUMMYFUNCTION("""COMPUTED_VALUE"""),"Email")</f>
        <v>Email</v>
      </c>
    </row>
    <row r="1545" spans="1:9" ht="13" x14ac:dyDescent="0.15">
      <c r="A1545" s="9">
        <f ca="1">IFERROR(__xludf.DUMMYFUNCTION("""COMPUTED_VALUE"""),160850862)</f>
        <v>160850862</v>
      </c>
      <c r="B1545" s="1" t="str">
        <f ca="1">IFERROR(__xludf.DUMMYFUNCTION("""COMPUTED_VALUE"""),"raddink@nycap.rr.com")</f>
        <v>raddink@nycap.rr.com</v>
      </c>
      <c r="C1545" s="9" t="str">
        <f ca="1">IFERROR(__xludf.DUMMYFUNCTION("""COMPUTED_VALUE"""),"EVERGREEN - UAN Gated Content - Embedded Petition")</f>
        <v>EVERGREEN - UAN Gated Content - Embedded Petition</v>
      </c>
      <c r="D1545" s="10">
        <f ca="1">IFERROR(__xludf.DUMMYFUNCTION("""COMPUTED_VALUE"""),45653)</f>
        <v>45653</v>
      </c>
      <c r="E1545" s="1" t="str">
        <f ca="1">IFERROR(__xludf.DUMMYFUNCTION("""COMPUTED_VALUE"""),"USA")</f>
        <v>USA</v>
      </c>
      <c r="F1545" s="1" t="str">
        <f ca="1">IFERROR(__xludf.DUMMYFUNCTION("""COMPUTED_VALUE"""),"4.25 USA")</f>
        <v>4.25 USA</v>
      </c>
      <c r="G1545" s="1" t="str">
        <f ca="1">IFERROR(__xludf.DUMMYFUNCTION("""COMPUTED_VALUE"""),"Individuals At Risk, Refugee and Migrant Rights")</f>
        <v>Individuals At Risk, Refugee and Migrant Rights</v>
      </c>
      <c r="H1545" s="1" t="str">
        <f ca="1">IFERROR(__xludf.DUMMYFUNCTION("""COMPUTED_VALUE"""),"2025")</f>
        <v>2025</v>
      </c>
      <c r="I1545" s="1" t="str">
        <f ca="1">IFERROR(__xludf.DUMMYFUNCTION("""COMPUTED_VALUE"""),"Letter")</f>
        <v>Letter</v>
      </c>
    </row>
    <row r="1546" spans="1:9" ht="13" x14ac:dyDescent="0.15">
      <c r="A1546" s="9">
        <f ca="1">IFERROR(__xludf.DUMMYFUNCTION("""COMPUTED_VALUE"""),160850862)</f>
        <v>160850862</v>
      </c>
      <c r="B1546" s="1" t="str">
        <f ca="1">IFERROR(__xludf.DUMMYFUNCTION("""COMPUTED_VALUE"""),"raddink@nycap.rr.com")</f>
        <v>raddink@nycap.rr.com</v>
      </c>
      <c r="C1546" s="9" t="str">
        <f ca="1">IFERROR(__xludf.DUMMYFUNCTION("""COMPUTED_VALUE"""),"EVERGREEN - UAN Gated Content - Embedded Petition")</f>
        <v>EVERGREEN - UAN Gated Content - Embedded Petition</v>
      </c>
      <c r="D1546" s="10">
        <f ca="1">IFERROR(__xludf.DUMMYFUNCTION("""COMPUTED_VALUE"""),45653)</f>
        <v>45653</v>
      </c>
      <c r="E1546" s="1" t="str">
        <f ca="1">IFERROR(__xludf.DUMMYFUNCTION("""COMPUTED_VALUE"""),"Iran")</f>
        <v>Iran</v>
      </c>
      <c r="F1546" s="1" t="str">
        <f ca="1">IFERROR(__xludf.DUMMYFUNCTION("""COMPUTED_VALUE"""),"Seventh 103.22 Iran")</f>
        <v>Seventh 103.22 Iran</v>
      </c>
      <c r="G1546" s="1" t="str">
        <f ca="1">IFERROR(__xludf.DUMMYFUNCTION("""COMPUTED_VALUE"""),"Death Penalty, Freedom of Expression, Individuals At Risk")</f>
        <v>Death Penalty, Freedom of Expression, Individuals At Risk</v>
      </c>
      <c r="H1546" s="1" t="str">
        <f ca="1">IFERROR(__xludf.DUMMYFUNCTION("""COMPUTED_VALUE"""),"2024")</f>
        <v>2024</v>
      </c>
      <c r="I1546" s="1" t="str">
        <f ca="1">IFERROR(__xludf.DUMMYFUNCTION("""COMPUTED_VALUE"""),"Email")</f>
        <v>Email</v>
      </c>
    </row>
    <row r="1547" spans="1:9" ht="13" x14ac:dyDescent="0.15">
      <c r="A1547" s="9">
        <f ca="1">IFERROR(__xludf.DUMMYFUNCTION("""COMPUTED_VALUE"""),160850862)</f>
        <v>160850862</v>
      </c>
      <c r="B1547" s="1" t="str">
        <f ca="1">IFERROR(__xludf.DUMMYFUNCTION("""COMPUTED_VALUE"""),"raddink@nycap.rr.com")</f>
        <v>raddink@nycap.rr.com</v>
      </c>
      <c r="C1547" s="9" t="str">
        <f ca="1">IFERROR(__xludf.DUMMYFUNCTION("""COMPUTED_VALUE"""),"EVERGREEN - UAN Gated Content - Embedded Petition")</f>
        <v>EVERGREEN - UAN Gated Content - Embedded Petition</v>
      </c>
      <c r="D1547" s="10">
        <f ca="1">IFERROR(__xludf.DUMMYFUNCTION("""COMPUTED_VALUE"""),45653)</f>
        <v>45653</v>
      </c>
      <c r="E1547" s="1" t="str">
        <f ca="1">IFERROR(__xludf.DUMMYFUNCTION("""COMPUTED_VALUE"""),"Egypt")</f>
        <v>Egypt</v>
      </c>
      <c r="F1547" s="1" t="str">
        <f ca="1">IFERROR(__xludf.DUMMYFUNCTION("""COMPUTED_VALUE"""),"Ninth 190.18 Egypt")</f>
        <v>Ninth 190.18 Egypt</v>
      </c>
      <c r="G1547" s="1" t="str">
        <f ca="1">IFERROR(__xludf.DUMMYFUNCTION("""COMPUTED_VALUE"""),"Freedom of Expression, Individuals At Risk")</f>
        <v>Freedom of Expression, Individuals At Risk</v>
      </c>
      <c r="H1547" s="1" t="str">
        <f ca="1">IFERROR(__xludf.DUMMYFUNCTION("""COMPUTED_VALUE"""),"2024")</f>
        <v>2024</v>
      </c>
      <c r="I1547" s="1" t="str">
        <f ca="1">IFERROR(__xludf.DUMMYFUNCTION("""COMPUTED_VALUE"""),"Letter")</f>
        <v>Letter</v>
      </c>
    </row>
    <row r="1548" spans="1:9" ht="13" x14ac:dyDescent="0.15">
      <c r="A1548" s="9">
        <f ca="1">IFERROR(__xludf.DUMMYFUNCTION("""COMPUTED_VALUE"""),160850862)</f>
        <v>160850862</v>
      </c>
      <c r="B1548" s="1" t="str">
        <f ca="1">IFERROR(__xludf.DUMMYFUNCTION("""COMPUTED_VALUE"""),"raddink@nycap.rr.com")</f>
        <v>raddink@nycap.rr.com</v>
      </c>
      <c r="C1548" s="9" t="str">
        <f ca="1">IFERROR(__xludf.DUMMYFUNCTION("""COMPUTED_VALUE"""),"EVERGREEN - UAN Gated Content - Embedded Petition")</f>
        <v>EVERGREEN - UAN Gated Content - Embedded Petition</v>
      </c>
      <c r="D1548" s="10">
        <f ca="1">IFERROR(__xludf.DUMMYFUNCTION("""COMPUTED_VALUE"""),45653)</f>
        <v>45653</v>
      </c>
      <c r="E1548" s="1" t="str">
        <f ca="1">IFERROR(__xludf.DUMMYFUNCTION("""COMPUTED_VALUE"""),"Niger")</f>
        <v>Niger</v>
      </c>
      <c r="F1548" s="1" t="str">
        <f ca="1">IFERROR(__xludf.DUMMYFUNCTION("""COMPUTED_VALUE"""),"103.24 Niger")</f>
        <v>103.24 Niger</v>
      </c>
      <c r="G1548" s="1" t="str">
        <f ca="1">IFERROR(__xludf.DUMMYFUNCTION("""COMPUTED_VALUE"""),"Freedom of Expression, Human Rights Defenders")</f>
        <v>Freedom of Expression, Human Rights Defenders</v>
      </c>
      <c r="H1548" s="1" t="str">
        <f ca="1">IFERROR(__xludf.DUMMYFUNCTION("""COMPUTED_VALUE"""),"2024")</f>
        <v>2024</v>
      </c>
      <c r="I1548" s="1" t="str">
        <f ca="1">IFERROR(__xludf.DUMMYFUNCTION("""COMPUTED_VALUE"""),"Email")</f>
        <v>Email</v>
      </c>
    </row>
    <row r="1549" spans="1:9" ht="13" x14ac:dyDescent="0.15">
      <c r="A1549" s="9">
        <f ca="1">IFERROR(__xludf.DUMMYFUNCTION("""COMPUTED_VALUE"""),160851888)</f>
        <v>160851888</v>
      </c>
      <c r="B1549" s="1" t="str">
        <f ca="1">IFERROR(__xludf.DUMMYFUNCTION("""COMPUTED_VALUE"""),"wabaldwin@aol.com")</f>
        <v>wabaldwin@aol.com</v>
      </c>
      <c r="C1549" s="9" t="str">
        <f ca="1">IFERROR(__xludf.DUMMYFUNCTION("""COMPUTED_VALUE"""),"EVERGREEN - UAN Gated Content - Embedded Petition")</f>
        <v>EVERGREEN - UAN Gated Content - Embedded Petition</v>
      </c>
      <c r="D1549" s="10">
        <f ca="1">IFERROR(__xludf.DUMMYFUNCTION("""COMPUTED_VALUE"""),45684)</f>
        <v>45684</v>
      </c>
      <c r="E1549" s="1" t="str">
        <f ca="1">IFERROR(__xludf.DUMMYFUNCTION("""COMPUTED_VALUE"""),"China")</f>
        <v>China</v>
      </c>
      <c r="F1549" s="1" t="str">
        <f ca="1">IFERROR(__xludf.DUMMYFUNCTION("""COMPUTED_VALUE"""),"98.24 China")</f>
        <v>98.24 China</v>
      </c>
      <c r="G1549" s="1" t="str">
        <f ca="1">IFERROR(__xludf.DUMMYFUNCTION("""COMPUTED_VALUE"""),"Freedom of Expression, Individuals At Risk")</f>
        <v>Freedom of Expression, Individuals At Risk</v>
      </c>
      <c r="H1549" s="1" t="str">
        <f ca="1">IFERROR(__xludf.DUMMYFUNCTION("""COMPUTED_VALUE"""),"2024")</f>
        <v>2024</v>
      </c>
      <c r="I1549" s="1" t="str">
        <f ca="1">IFERROR(__xludf.DUMMYFUNCTION("""COMPUTED_VALUE"""),"Letter")</f>
        <v>Letter</v>
      </c>
    </row>
    <row r="1550" spans="1:9" ht="13" x14ac:dyDescent="0.15">
      <c r="A1550" s="9">
        <f ca="1">IFERROR(__xludf.DUMMYFUNCTION("""COMPUTED_VALUE"""),160894541)</f>
        <v>160894541</v>
      </c>
      <c r="B1550" s="1" t="str">
        <f ca="1">IFERROR(__xludf.DUMMYFUNCTION("""COMPUTED_VALUE"""),"nanking1224@earthlink.net")</f>
        <v>nanking1224@earthlink.net</v>
      </c>
      <c r="C1550" s="9" t="str">
        <f ca="1">IFERROR(__xludf.DUMMYFUNCTION("""COMPUTED_VALUE"""),"EVERGREEN - UAN Gated Content - Embedded Petition")</f>
        <v>EVERGREEN - UAN Gated Content - Embedded Petition</v>
      </c>
      <c r="D1550" s="10">
        <f ca="1">IFERROR(__xludf.DUMMYFUNCTION("""COMPUTED_VALUE"""),45694)</f>
        <v>45694</v>
      </c>
      <c r="E1550" s="1" t="str">
        <f ca="1">IFERROR(__xludf.DUMMYFUNCTION("""COMPUTED_VALUE"""),"Niger")</f>
        <v>Niger</v>
      </c>
      <c r="F1550" s="1" t="str">
        <f ca="1">IFERROR(__xludf.DUMMYFUNCTION("""COMPUTED_VALUE"""),"103.24 Niger")</f>
        <v>103.24 Niger</v>
      </c>
      <c r="G1550" s="1" t="str">
        <f ca="1">IFERROR(__xludf.DUMMYFUNCTION("""COMPUTED_VALUE"""),"Freedom of Expression, Human Rights Defenders")</f>
        <v>Freedom of Expression, Human Rights Defenders</v>
      </c>
      <c r="H1550" s="1" t="str">
        <f ca="1">IFERROR(__xludf.DUMMYFUNCTION("""COMPUTED_VALUE"""),"2024")</f>
        <v>2024</v>
      </c>
      <c r="I1550" s="1" t="str">
        <f ca="1">IFERROR(__xludf.DUMMYFUNCTION("""COMPUTED_VALUE"""),"Email")</f>
        <v>Email</v>
      </c>
    </row>
    <row r="1551" spans="1:9" ht="13" x14ac:dyDescent="0.15">
      <c r="A1551" s="9">
        <f ca="1">IFERROR(__xludf.DUMMYFUNCTION("""COMPUTED_VALUE"""),160894541)</f>
        <v>160894541</v>
      </c>
      <c r="B1551" s="1" t="str">
        <f ca="1">IFERROR(__xludf.DUMMYFUNCTION("""COMPUTED_VALUE"""),"nanking1224@earthlink.net")</f>
        <v>nanking1224@earthlink.net</v>
      </c>
      <c r="C1551" s="9" t="str">
        <f ca="1">IFERROR(__xludf.DUMMYFUNCTION("""COMPUTED_VALUE"""),"EVERGREEN - UAN Gated Content - Embedded Petition")</f>
        <v>EVERGREEN - UAN Gated Content - Embedded Petition</v>
      </c>
      <c r="D1551" s="10">
        <f ca="1">IFERROR(__xludf.DUMMYFUNCTION("""COMPUTED_VALUE"""),45694)</f>
        <v>45694</v>
      </c>
      <c r="E1551" s="1" t="str">
        <f ca="1">IFERROR(__xludf.DUMMYFUNCTION("""COMPUTED_VALUE"""),"Saudi Arabia")</f>
        <v>Saudi Arabia</v>
      </c>
      <c r="F1551" s="1" t="str">
        <f ca="1">IFERROR(__xludf.DUMMYFUNCTION("""COMPUTED_VALUE"""),"Fifth 257.12")</f>
        <v>Fifth 257.12</v>
      </c>
      <c r="G1551" s="1" t="str">
        <f ca="1">IFERROR(__xludf.DUMMYFUNCTION("""COMPUTED_VALUE"""),"Freedom of Expression, Human Rights Defenders")</f>
        <v>Freedom of Expression, Human Rights Defenders</v>
      </c>
      <c r="H1551" s="1" t="str">
        <f ca="1">IFERROR(__xludf.DUMMYFUNCTION("""COMPUTED_VALUE"""),"2025")</f>
        <v>2025</v>
      </c>
      <c r="I1551" s="1" t="str">
        <f ca="1">IFERROR(__xludf.DUMMYFUNCTION("""COMPUTED_VALUE"""),"Email")</f>
        <v>Email</v>
      </c>
    </row>
    <row r="1552" spans="1:9" ht="13" x14ac:dyDescent="0.15">
      <c r="A1552" s="9">
        <f ca="1">IFERROR(__xludf.DUMMYFUNCTION("""COMPUTED_VALUE"""),160894541)</f>
        <v>160894541</v>
      </c>
      <c r="B1552" s="1" t="str">
        <f ca="1">IFERROR(__xludf.DUMMYFUNCTION("""COMPUTED_VALUE"""),"nanking1224@earthlink.net")</f>
        <v>nanking1224@earthlink.net</v>
      </c>
      <c r="C1552" s="9" t="str">
        <f ca="1">IFERROR(__xludf.DUMMYFUNCTION("""COMPUTED_VALUE"""),"EVERGREEN - UAN Gated Content - Embedded Petition")</f>
        <v>EVERGREEN - UAN Gated Content - Embedded Petition</v>
      </c>
      <c r="D1552" s="10">
        <f ca="1">IFERROR(__xludf.DUMMYFUNCTION("""COMPUTED_VALUE"""),45636)</f>
        <v>45636</v>
      </c>
      <c r="E1552" s="1" t="str">
        <f ca="1">IFERROR(__xludf.DUMMYFUNCTION("""COMPUTED_VALUE"""),"Iran")</f>
        <v>Iran</v>
      </c>
      <c r="F1552" s="1" t="str">
        <f ca="1">IFERROR(__xludf.DUMMYFUNCTION("""COMPUTED_VALUE"""),"101.24 Iran")</f>
        <v>101.24 Iran</v>
      </c>
      <c r="G1552" s="1" t="str">
        <f ca="1">IFERROR(__xludf.DUMMYFUNCTION("""COMPUTED_VALUE"""),"Death Penalty, Freedom of Expression, Individuals At Risk, Right to Protest")</f>
        <v>Death Penalty, Freedom of Expression, Individuals At Risk, Right to Protest</v>
      </c>
      <c r="H1552" s="1" t="str">
        <f ca="1">IFERROR(__xludf.DUMMYFUNCTION("""COMPUTED_VALUE"""),"2024")</f>
        <v>2024</v>
      </c>
      <c r="I1552" s="1" t="str">
        <f ca="1">IFERROR(__xludf.DUMMYFUNCTION("""COMPUTED_VALUE"""),"Email")</f>
        <v>Email</v>
      </c>
    </row>
    <row r="1553" spans="1:9" ht="13" x14ac:dyDescent="0.15">
      <c r="A1553" s="9">
        <f ca="1">IFERROR(__xludf.DUMMYFUNCTION("""COMPUTED_VALUE"""),160894542)</f>
        <v>160894542</v>
      </c>
      <c r="B1553" s="1" t="str">
        <f ca="1">IFERROR(__xludf.DUMMYFUNCTION("""COMPUTED_VALUE"""),"anthony.tuemler@yahoo.com")</f>
        <v>anthony.tuemler@yahoo.com</v>
      </c>
      <c r="C1553" s="9" t="str">
        <f ca="1">IFERROR(__xludf.DUMMYFUNCTION("""COMPUTED_VALUE"""),"EVERGREEN - UAN Gated Content - Embedded Petition")</f>
        <v>EVERGREEN - UAN Gated Content - Embedded Petition</v>
      </c>
      <c r="D1553" s="10">
        <f ca="1">IFERROR(__xludf.DUMMYFUNCTION("""COMPUTED_VALUE"""),45689)</f>
        <v>45689</v>
      </c>
      <c r="E1553" s="1" t="str">
        <f ca="1">IFERROR(__xludf.DUMMYFUNCTION("""COMPUTED_VALUE"""),"Tunisia")</f>
        <v>Tunisia</v>
      </c>
      <c r="F1553" s="1" t="str">
        <f ca="1">IFERROR(__xludf.DUMMYFUNCTION("""COMPUTED_VALUE"""),"Second 76.24 Tunisia")</f>
        <v>Second 76.24 Tunisia</v>
      </c>
      <c r="G1553" s="1" t="str">
        <f ca="1">IFERROR(__xludf.DUMMYFUNCTION("""COMPUTED_VALUE"""),"Freedom of Expression, Human Rights Defenders")</f>
        <v>Freedom of Expression, Human Rights Defenders</v>
      </c>
      <c r="H1553" s="1" t="str">
        <f ca="1">IFERROR(__xludf.DUMMYFUNCTION("""COMPUTED_VALUE"""),"2025")</f>
        <v>2025</v>
      </c>
      <c r="I1553" s="1" t="str">
        <f ca="1">IFERROR(__xludf.DUMMYFUNCTION("""COMPUTED_VALUE"""),"Email")</f>
        <v>Email</v>
      </c>
    </row>
    <row r="1554" spans="1:9" ht="13" x14ac:dyDescent="0.15">
      <c r="A1554" s="9">
        <f ca="1">IFERROR(__xludf.DUMMYFUNCTION("""COMPUTED_VALUE"""),160894542)</f>
        <v>160894542</v>
      </c>
      <c r="B1554" s="1" t="str">
        <f ca="1">IFERROR(__xludf.DUMMYFUNCTION("""COMPUTED_VALUE"""),"anthony.tuemler@yahoo.com")</f>
        <v>anthony.tuemler@yahoo.com</v>
      </c>
      <c r="C1554" s="9" t="str">
        <f ca="1">IFERROR(__xludf.DUMMYFUNCTION("""COMPUTED_VALUE"""),"EVERGREEN - UAN Gated Content - Embedded Petition")</f>
        <v>EVERGREEN - UAN Gated Content - Embedded Petition</v>
      </c>
      <c r="D1554" s="10">
        <f ca="1">IFERROR(__xludf.DUMMYFUNCTION("""COMPUTED_VALUE"""),45685)</f>
        <v>45685</v>
      </c>
      <c r="E1554" s="1" t="str">
        <f ca="1">IFERROR(__xludf.DUMMYFUNCTION("""COMPUTED_VALUE"""),"Venezuela")</f>
        <v>Venezuela</v>
      </c>
      <c r="F1554" s="1" t="str">
        <f ca="1">IFERROR(__xludf.DUMMYFUNCTION("""COMPUTED_VALUE"""),"1.25 Venezuela")</f>
        <v>1.25 Venezuela</v>
      </c>
      <c r="G1554" s="1" t="str">
        <f ca="1">IFERROR(__xludf.DUMMYFUNCTION("""COMPUTED_VALUE"""),"Human Rights Defenders, Individuals At Risk")</f>
        <v>Human Rights Defenders, Individuals At Risk</v>
      </c>
      <c r="H1554" s="1" t="str">
        <f ca="1">IFERROR(__xludf.DUMMYFUNCTION("""COMPUTED_VALUE"""),"2025")</f>
        <v>2025</v>
      </c>
      <c r="I1554" s="1" t="str">
        <f ca="1">IFERROR(__xludf.DUMMYFUNCTION("""COMPUTED_VALUE"""),"Letter")</f>
        <v>Letter</v>
      </c>
    </row>
    <row r="1555" spans="1:9" ht="13" x14ac:dyDescent="0.15">
      <c r="A1555" s="9">
        <f ca="1">IFERROR(__xludf.DUMMYFUNCTION("""COMPUTED_VALUE"""),160894542)</f>
        <v>160894542</v>
      </c>
      <c r="B1555" s="1" t="str">
        <f ca="1">IFERROR(__xludf.DUMMYFUNCTION("""COMPUTED_VALUE"""),"anthony.tuemler@yahoo.com")</f>
        <v>anthony.tuemler@yahoo.com</v>
      </c>
      <c r="C1555" s="9" t="str">
        <f ca="1">IFERROR(__xludf.DUMMYFUNCTION("""COMPUTED_VALUE"""),"EVERGREEN - UAN Gated Content - Embedded Petition")</f>
        <v>EVERGREEN - UAN Gated Content - Embedded Petition</v>
      </c>
      <c r="D1555" s="10">
        <f ca="1">IFERROR(__xludf.DUMMYFUNCTION("""COMPUTED_VALUE"""),45685)</f>
        <v>45685</v>
      </c>
      <c r="E1555" s="1" t="str">
        <f ca="1">IFERROR(__xludf.DUMMYFUNCTION("""COMPUTED_VALUE"""),"Azerbaijan")</f>
        <v>Azerbaijan</v>
      </c>
      <c r="F1555" s="1" t="str">
        <f ca="1">IFERROR(__xludf.DUMMYFUNCTION("""COMPUTED_VALUE"""),"2.25 Azerbaijan")</f>
        <v>2.25 Azerbaijan</v>
      </c>
      <c r="G1555" s="1" t="str">
        <f ca="1">IFERROR(__xludf.DUMMYFUNCTION("""COMPUTED_VALUE"""),"Freedom of Expression, Human Rights Defenders")</f>
        <v>Freedom of Expression, Human Rights Defenders</v>
      </c>
      <c r="H1555" s="1" t="str">
        <f ca="1">IFERROR(__xludf.DUMMYFUNCTION("""COMPUTED_VALUE"""),"2025")</f>
        <v>2025</v>
      </c>
      <c r="I1555" s="1" t="str">
        <f ca="1">IFERROR(__xludf.DUMMYFUNCTION("""COMPUTED_VALUE"""),"Email")</f>
        <v>Email</v>
      </c>
    </row>
    <row r="1556" spans="1:9" ht="13" x14ac:dyDescent="0.15">
      <c r="A1556" s="9">
        <f ca="1">IFERROR(__xludf.DUMMYFUNCTION("""COMPUTED_VALUE"""),160894542)</f>
        <v>160894542</v>
      </c>
      <c r="B1556" s="1" t="str">
        <f ca="1">IFERROR(__xludf.DUMMYFUNCTION("""COMPUTED_VALUE"""),"anthony.tuemler@yahoo.com")</f>
        <v>anthony.tuemler@yahoo.com</v>
      </c>
      <c r="C1556" s="9" t="str">
        <f ca="1">IFERROR(__xludf.DUMMYFUNCTION("""COMPUTED_VALUE"""),"EVERGREEN - UAN Gated Content - Embedded Petition")</f>
        <v>EVERGREEN - UAN Gated Content - Embedded Petition</v>
      </c>
      <c r="D1556" s="10">
        <f ca="1">IFERROR(__xludf.DUMMYFUNCTION("""COMPUTED_VALUE"""),45688)</f>
        <v>45688</v>
      </c>
      <c r="E1556" s="1" t="str">
        <f ca="1">IFERROR(__xludf.DUMMYFUNCTION("""COMPUTED_VALUE"""),"Iran")</f>
        <v>Iran</v>
      </c>
      <c r="F1556" s="1" t="str">
        <f ca="1">IFERROR(__xludf.DUMMYFUNCTION("""COMPUTED_VALUE"""),"Seventh 103.22 Iran")</f>
        <v>Seventh 103.22 Iran</v>
      </c>
      <c r="G1556" s="1" t="str">
        <f ca="1">IFERROR(__xludf.DUMMYFUNCTION("""COMPUTED_VALUE"""),"Death Penalty, Freedom of Expression, Individuals At Risk")</f>
        <v>Death Penalty, Freedom of Expression, Individuals At Risk</v>
      </c>
      <c r="H1556" s="1" t="str">
        <f ca="1">IFERROR(__xludf.DUMMYFUNCTION("""COMPUTED_VALUE"""),"2024")</f>
        <v>2024</v>
      </c>
      <c r="I1556" s="1" t="str">
        <f ca="1">IFERROR(__xludf.DUMMYFUNCTION("""COMPUTED_VALUE"""),"Email")</f>
        <v>Email</v>
      </c>
    </row>
    <row r="1557" spans="1:9" ht="13" x14ac:dyDescent="0.15">
      <c r="A1557" s="9">
        <f ca="1">IFERROR(__xludf.DUMMYFUNCTION("""COMPUTED_VALUE"""),160894542)</f>
        <v>160894542</v>
      </c>
      <c r="B1557" s="1" t="str">
        <f ca="1">IFERROR(__xludf.DUMMYFUNCTION("""COMPUTED_VALUE"""),"anthony.tuemler@yahoo.com")</f>
        <v>anthony.tuemler@yahoo.com</v>
      </c>
      <c r="C1557" s="9" t="str">
        <f ca="1">IFERROR(__xludf.DUMMYFUNCTION("""COMPUTED_VALUE"""),"EVERGREEN - UAN Gated Content - Embedded Petition")</f>
        <v>EVERGREEN - UAN Gated Content - Embedded Petition</v>
      </c>
      <c r="D1557" s="10">
        <f ca="1">IFERROR(__xludf.DUMMYFUNCTION("""COMPUTED_VALUE"""),45689)</f>
        <v>45689</v>
      </c>
      <c r="E1557" s="1" t="str">
        <f ca="1">IFERROR(__xludf.DUMMYFUNCTION("""COMPUTED_VALUE"""),"Niger")</f>
        <v>Niger</v>
      </c>
      <c r="F1557" s="1" t="str">
        <f ca="1">IFERROR(__xludf.DUMMYFUNCTION("""COMPUTED_VALUE"""),"103.24 Niger")</f>
        <v>103.24 Niger</v>
      </c>
      <c r="G1557" s="1" t="str">
        <f ca="1">IFERROR(__xludf.DUMMYFUNCTION("""COMPUTED_VALUE"""),"Freedom of Expression, Human Rights Defenders")</f>
        <v>Freedom of Expression, Human Rights Defenders</v>
      </c>
      <c r="H1557" s="1" t="str">
        <f ca="1">IFERROR(__xludf.DUMMYFUNCTION("""COMPUTED_VALUE"""),"2024")</f>
        <v>2024</v>
      </c>
      <c r="I1557" s="1" t="str">
        <f ca="1">IFERROR(__xludf.DUMMYFUNCTION("""COMPUTED_VALUE"""),"Email")</f>
        <v>Email</v>
      </c>
    </row>
    <row r="1558" spans="1:9" ht="13" x14ac:dyDescent="0.15">
      <c r="A1558" s="9">
        <f ca="1">IFERROR(__xludf.DUMMYFUNCTION("""COMPUTED_VALUE"""),160894542)</f>
        <v>160894542</v>
      </c>
      <c r="B1558" s="1" t="str">
        <f ca="1">IFERROR(__xludf.DUMMYFUNCTION("""COMPUTED_VALUE"""),"anthony.tuemler@yahoo.com")</f>
        <v>anthony.tuemler@yahoo.com</v>
      </c>
      <c r="C1558" s="9" t="str">
        <f ca="1">IFERROR(__xludf.DUMMYFUNCTION("""COMPUTED_VALUE"""),"EVERGREEN - UAN Gated Content - Embedded Petition")</f>
        <v>EVERGREEN - UAN Gated Content - Embedded Petition</v>
      </c>
      <c r="D1558" s="10">
        <f ca="1">IFERROR(__xludf.DUMMYFUNCTION("""COMPUTED_VALUE"""),45675)</f>
        <v>45675</v>
      </c>
      <c r="E1558" s="1" t="str">
        <f ca="1">IFERROR(__xludf.DUMMYFUNCTION("""COMPUTED_VALUE"""),"Turkiye")</f>
        <v>Turkiye</v>
      </c>
      <c r="F1558" s="1" t="str">
        <f ca="1">IFERROR(__xludf.DUMMYFUNCTION("""COMPUTED_VALUE"""),"109.24 Türkiye")</f>
        <v>109.24 Türkiye</v>
      </c>
      <c r="G1558" s="1" t="str">
        <f ca="1">IFERROR(__xludf.DUMMYFUNCTION("""COMPUTED_VALUE"""),"Human Rights Defenders, Individuals At Risk")</f>
        <v>Human Rights Defenders, Individuals At Risk</v>
      </c>
      <c r="H1558" s="1" t="str">
        <f ca="1">IFERROR(__xludf.DUMMYFUNCTION("""COMPUTED_VALUE"""),"2024")</f>
        <v>2024</v>
      </c>
      <c r="I1558" s="1" t="str">
        <f ca="1">IFERROR(__xludf.DUMMYFUNCTION("""COMPUTED_VALUE"""),"Email")</f>
        <v>Email</v>
      </c>
    </row>
    <row r="1559" spans="1:9" ht="13" x14ac:dyDescent="0.15">
      <c r="A1559" s="9">
        <f ca="1">IFERROR(__xludf.DUMMYFUNCTION("""COMPUTED_VALUE"""),160894542)</f>
        <v>160894542</v>
      </c>
      <c r="B1559" s="1" t="str">
        <f ca="1">IFERROR(__xludf.DUMMYFUNCTION("""COMPUTED_VALUE"""),"anthony.tuemler@yahoo.com")</f>
        <v>anthony.tuemler@yahoo.com</v>
      </c>
      <c r="C1559" s="9" t="str">
        <f ca="1">IFERROR(__xludf.DUMMYFUNCTION("""COMPUTED_VALUE"""),"EVERGREEN - UAN Gated Content - Embedded Petition")</f>
        <v>EVERGREEN - UAN Gated Content - Embedded Petition</v>
      </c>
      <c r="D1559" s="10">
        <f ca="1">IFERROR(__xludf.DUMMYFUNCTION("""COMPUTED_VALUE"""),45696)</f>
        <v>45696</v>
      </c>
      <c r="E1559" s="1" t="str">
        <f ca="1">IFERROR(__xludf.DUMMYFUNCTION("""COMPUTED_VALUE"""),"USA")</f>
        <v>USA</v>
      </c>
      <c r="F1559" s="1" t="str">
        <f ca="1">IFERROR(__xludf.DUMMYFUNCTION("""COMPUTED_VALUE"""),"Fourth 55.24 USA")</f>
        <v>Fourth 55.24 USA</v>
      </c>
      <c r="G1559" s="1" t="str">
        <f ca="1">IFERROR(__xludf.DUMMYFUNCTION("""COMPUTED_VALUE"""),"Climate Justice, Individuals At Risk")</f>
        <v>Climate Justice, Individuals At Risk</v>
      </c>
      <c r="H1559" s="1" t="str">
        <f ca="1">IFERROR(__xludf.DUMMYFUNCTION("""COMPUTED_VALUE"""),"2025")</f>
        <v>2025</v>
      </c>
      <c r="I1559" s="1" t="str">
        <f ca="1">IFERROR(__xludf.DUMMYFUNCTION("""COMPUTED_VALUE"""),"Email")</f>
        <v>Email</v>
      </c>
    </row>
    <row r="1560" spans="1:9" ht="13" x14ac:dyDescent="0.15">
      <c r="A1560" s="9">
        <f ca="1">IFERROR(__xludf.DUMMYFUNCTION("""COMPUTED_VALUE"""),160894542)</f>
        <v>160894542</v>
      </c>
      <c r="B1560" s="1" t="str">
        <f ca="1">IFERROR(__xludf.DUMMYFUNCTION("""COMPUTED_VALUE"""),"anthony.tuemler@yahoo.com")</f>
        <v>anthony.tuemler@yahoo.com</v>
      </c>
      <c r="C1560" s="9" t="str">
        <f ca="1">IFERROR(__xludf.DUMMYFUNCTION("""COMPUTED_VALUE"""),"EVERGREEN - UAN Gated Content - Embedded Petition")</f>
        <v>EVERGREEN - UAN Gated Content - Embedded Petition</v>
      </c>
      <c r="D1560" s="10">
        <f ca="1">IFERROR(__xludf.DUMMYFUNCTION("""COMPUTED_VALUE"""),45694)</f>
        <v>45694</v>
      </c>
      <c r="E1560" s="1" t="str">
        <f ca="1">IFERROR(__xludf.DUMMYFUNCTION("""COMPUTED_VALUE"""),"Tunisia")</f>
        <v>Tunisia</v>
      </c>
      <c r="F1560" s="1" t="str">
        <f ca="1">IFERROR(__xludf.DUMMYFUNCTION("""COMPUTED_VALUE"""),"Second 43.24 Tunisia")</f>
        <v>Second 43.24 Tunisia</v>
      </c>
      <c r="G1560" s="1" t="str">
        <f ca="1">IFERROR(__xludf.DUMMYFUNCTION("""COMPUTED_VALUE"""),"Freedom of Expression, Individuals At Risk")</f>
        <v>Freedom of Expression, Individuals At Risk</v>
      </c>
      <c r="H1560" s="1" t="str">
        <f ca="1">IFERROR(__xludf.DUMMYFUNCTION("""COMPUTED_VALUE"""),"2024")</f>
        <v>2024</v>
      </c>
      <c r="I1560" s="1" t="str">
        <f ca="1">IFERROR(__xludf.DUMMYFUNCTION("""COMPUTED_VALUE"""),"Email")</f>
        <v>Email</v>
      </c>
    </row>
    <row r="1561" spans="1:9" ht="13" x14ac:dyDescent="0.15">
      <c r="A1561" s="9">
        <f ca="1">IFERROR(__xludf.DUMMYFUNCTION("""COMPUTED_VALUE"""),160894542)</f>
        <v>160894542</v>
      </c>
      <c r="B1561" s="1" t="str">
        <f ca="1">IFERROR(__xludf.DUMMYFUNCTION("""COMPUTED_VALUE"""),"anthony.tuemler@yahoo.com")</f>
        <v>anthony.tuemler@yahoo.com</v>
      </c>
      <c r="C1561" s="9" t="str">
        <f ca="1">IFERROR(__xludf.DUMMYFUNCTION("""COMPUTED_VALUE"""),"EVERGREEN - UAN Gated Content - Embedded Petition")</f>
        <v>EVERGREEN - UAN Gated Content - Embedded Petition</v>
      </c>
      <c r="D1561" s="10">
        <f ca="1">IFERROR(__xludf.DUMMYFUNCTION("""COMPUTED_VALUE"""),45702)</f>
        <v>45702</v>
      </c>
      <c r="E1561" s="1" t="str">
        <f ca="1">IFERROR(__xludf.DUMMYFUNCTION("""COMPUTED_VALUE"""),"China")</f>
        <v>China</v>
      </c>
      <c r="F1561" s="1" t="str">
        <f ca="1">IFERROR(__xludf.DUMMYFUNCTION("""COMPUTED_VALUE"""),"106.24 China")</f>
        <v>106.24 China</v>
      </c>
      <c r="G1561" s="1" t="str">
        <f ca="1">IFERROR(__xludf.DUMMYFUNCTION("""COMPUTED_VALUE"""),"Freedom of Expression, Individuals At Risk")</f>
        <v>Freedom of Expression, Individuals At Risk</v>
      </c>
      <c r="H1561" s="1" t="str">
        <f ca="1">IFERROR(__xludf.DUMMYFUNCTION("""COMPUTED_VALUE"""),"2024")</f>
        <v>2024</v>
      </c>
      <c r="I1561" s="1" t="str">
        <f ca="1">IFERROR(__xludf.DUMMYFUNCTION("""COMPUTED_VALUE"""),"Email")</f>
        <v>Email</v>
      </c>
    </row>
    <row r="1562" spans="1:9" ht="13" x14ac:dyDescent="0.15">
      <c r="A1562" s="9">
        <f ca="1">IFERROR(__xludf.DUMMYFUNCTION("""COMPUTED_VALUE"""),160894542)</f>
        <v>160894542</v>
      </c>
      <c r="B1562" s="1" t="str">
        <f ca="1">IFERROR(__xludf.DUMMYFUNCTION("""COMPUTED_VALUE"""),"anthony.tuemler@yahoo.com")</f>
        <v>anthony.tuemler@yahoo.com</v>
      </c>
      <c r="C1562" s="9" t="str">
        <f ca="1">IFERROR(__xludf.DUMMYFUNCTION("""COMPUTED_VALUE"""),"EVERGREEN - UAN Gated Content - Embedded Petition")</f>
        <v>EVERGREEN - UAN Gated Content - Embedded Petition</v>
      </c>
      <c r="D1562" s="10">
        <f ca="1">IFERROR(__xludf.DUMMYFUNCTION("""COMPUTED_VALUE"""),45700)</f>
        <v>45700</v>
      </c>
      <c r="E1562" s="1" t="str">
        <f ca="1">IFERROR(__xludf.DUMMYFUNCTION("""COMPUTED_VALUE"""),"Singapore")</f>
        <v>Singapore</v>
      </c>
      <c r="F1562" s="1" t="str">
        <f ca="1">IFERROR(__xludf.DUMMYFUNCTION("""COMPUTED_VALUE"""),"107.24 Singapore")</f>
        <v>107.24 Singapore</v>
      </c>
      <c r="G1562" s="1" t="str">
        <f ca="1">IFERROR(__xludf.DUMMYFUNCTION("""COMPUTED_VALUE"""),"Death Penalty")</f>
        <v>Death Penalty</v>
      </c>
      <c r="H1562" s="1" t="str">
        <f ca="1">IFERROR(__xludf.DUMMYFUNCTION("""COMPUTED_VALUE"""),"2024")</f>
        <v>2024</v>
      </c>
      <c r="I1562" s="1" t="str">
        <f ca="1">IFERROR(__xludf.DUMMYFUNCTION("""COMPUTED_VALUE"""),"Email")</f>
        <v>Email</v>
      </c>
    </row>
    <row r="1563" spans="1:9" ht="13" x14ac:dyDescent="0.15">
      <c r="A1563" s="9">
        <f ca="1">IFERROR(__xludf.DUMMYFUNCTION("""COMPUTED_VALUE"""),160894542)</f>
        <v>160894542</v>
      </c>
      <c r="B1563" s="1" t="str">
        <f ca="1">IFERROR(__xludf.DUMMYFUNCTION("""COMPUTED_VALUE"""),"anthony.tuemler@yahoo.com")</f>
        <v>anthony.tuemler@yahoo.com</v>
      </c>
      <c r="C1563" s="9" t="str">
        <f ca="1">IFERROR(__xludf.DUMMYFUNCTION("""COMPUTED_VALUE"""),"EVERGREEN - UAN Gated Content - Embedded Petition")</f>
        <v>EVERGREEN - UAN Gated Content - Embedded Petition</v>
      </c>
      <c r="D1563" s="10">
        <f ca="1">IFERROR(__xludf.DUMMYFUNCTION("""COMPUTED_VALUE"""),45698)</f>
        <v>45698</v>
      </c>
      <c r="E1563" s="1" t="str">
        <f ca="1">IFERROR(__xludf.DUMMYFUNCTION("""COMPUTED_VALUE"""),"Egypt")</f>
        <v>Egypt</v>
      </c>
      <c r="F1563" s="1" t="str">
        <f ca="1">IFERROR(__xludf.DUMMYFUNCTION("""COMPUTED_VALUE"""),"Ninth 190.18 Egypt")</f>
        <v>Ninth 190.18 Egypt</v>
      </c>
      <c r="G1563" s="1" t="str">
        <f ca="1">IFERROR(__xludf.DUMMYFUNCTION("""COMPUTED_VALUE"""),"Freedom of Expression, Individuals At Risk")</f>
        <v>Freedom of Expression, Individuals At Risk</v>
      </c>
      <c r="H1563" s="1" t="str">
        <f ca="1">IFERROR(__xludf.DUMMYFUNCTION("""COMPUTED_VALUE"""),"2024")</f>
        <v>2024</v>
      </c>
      <c r="I1563" s="1" t="str">
        <f ca="1">IFERROR(__xludf.DUMMYFUNCTION("""COMPUTED_VALUE"""),"Letter")</f>
        <v>Letter</v>
      </c>
    </row>
    <row r="1564" spans="1:9" ht="13" x14ac:dyDescent="0.15">
      <c r="A1564" s="9">
        <f ca="1">IFERROR(__xludf.DUMMYFUNCTION("""COMPUTED_VALUE"""),160894542)</f>
        <v>160894542</v>
      </c>
      <c r="B1564" s="1" t="str">
        <f ca="1">IFERROR(__xludf.DUMMYFUNCTION("""COMPUTED_VALUE"""),"anthony.tuemler@yahoo.com")</f>
        <v>anthony.tuemler@yahoo.com</v>
      </c>
      <c r="C1564" s="9" t="str">
        <f ca="1">IFERROR(__xludf.DUMMYFUNCTION("""COMPUTED_VALUE"""),"EVERGREEN - UAN Gated Content - Embedded Petition")</f>
        <v>EVERGREEN - UAN Gated Content - Embedded Petition</v>
      </c>
      <c r="D1564" s="10">
        <f ca="1">IFERROR(__xludf.DUMMYFUNCTION("""COMPUTED_VALUE"""),45696)</f>
        <v>45696</v>
      </c>
      <c r="E1564" s="1" t="str">
        <f ca="1">IFERROR(__xludf.DUMMYFUNCTION("""COMPUTED_VALUE"""),"Saudi Arabia")</f>
        <v>Saudi Arabia</v>
      </c>
      <c r="F1564" s="1" t="str">
        <f ca="1">IFERROR(__xludf.DUMMYFUNCTION("""COMPUTED_VALUE"""),"Second 85.23 Saudi Arabia")</f>
        <v>Second 85.23 Saudi Arabia</v>
      </c>
      <c r="G1564" s="1" t="str">
        <f ca="1">IFERROR(__xludf.DUMMYFUNCTION("""COMPUTED_VALUE"""),"Freedom of Expression")</f>
        <v>Freedom of Expression</v>
      </c>
      <c r="H1564" s="1" t="str">
        <f ca="1">IFERROR(__xludf.DUMMYFUNCTION("""COMPUTED_VALUE"""),"2024")</f>
        <v>2024</v>
      </c>
      <c r="I1564" s="1" t="str">
        <f ca="1">IFERROR(__xludf.DUMMYFUNCTION("""COMPUTED_VALUE"""),"Letter")</f>
        <v>Letter</v>
      </c>
    </row>
    <row r="1565" spans="1:9" ht="13" x14ac:dyDescent="0.15">
      <c r="A1565" s="9">
        <f ca="1">IFERROR(__xludf.DUMMYFUNCTION("""COMPUTED_VALUE"""),160894542)</f>
        <v>160894542</v>
      </c>
      <c r="B1565" s="1" t="str">
        <f ca="1">IFERROR(__xludf.DUMMYFUNCTION("""COMPUTED_VALUE"""),"anthony.tuemler@yahoo.com")</f>
        <v>anthony.tuemler@yahoo.com</v>
      </c>
      <c r="C1565" s="9" t="str">
        <f ca="1">IFERROR(__xludf.DUMMYFUNCTION("""COMPUTED_VALUE"""),"EVERGREEN - UAN Gated Content - Embedded Petition")</f>
        <v>EVERGREEN - UAN Gated Content - Embedded Petition</v>
      </c>
      <c r="D1565" s="10">
        <f ca="1">IFERROR(__xludf.DUMMYFUNCTION("""COMPUTED_VALUE"""),45696)</f>
        <v>45696</v>
      </c>
      <c r="E1565" s="1" t="str">
        <f ca="1">IFERROR(__xludf.DUMMYFUNCTION("""COMPUTED_VALUE"""),"Egypt")</f>
        <v>Egypt</v>
      </c>
      <c r="F1565" s="1" t="str">
        <f ca="1">IFERROR(__xludf.DUMMYFUNCTION("""COMPUTED_VALUE"""),"Third 73.23 Egypt")</f>
        <v>Third 73.23 Egypt</v>
      </c>
      <c r="G1565" s="1" t="str">
        <f ca="1">IFERROR(__xludf.DUMMYFUNCTION("""COMPUTED_VALUE"""),"Individuals At Risk")</f>
        <v>Individuals At Risk</v>
      </c>
      <c r="H1565" s="1" t="str">
        <f ca="1">IFERROR(__xludf.DUMMYFUNCTION("""COMPUTED_VALUE"""),"2024")</f>
        <v>2024</v>
      </c>
      <c r="I1565" s="1" t="str">
        <f ca="1">IFERROR(__xludf.DUMMYFUNCTION("""COMPUTED_VALUE"""),"Email")</f>
        <v>Email</v>
      </c>
    </row>
    <row r="1566" spans="1:9" ht="13" x14ac:dyDescent="0.15">
      <c r="A1566" s="9">
        <f ca="1">IFERROR(__xludf.DUMMYFUNCTION("""COMPUTED_VALUE"""),160894542)</f>
        <v>160894542</v>
      </c>
      <c r="B1566" s="1" t="str">
        <f ca="1">IFERROR(__xludf.DUMMYFUNCTION("""COMPUTED_VALUE"""),"anthony.tuemler@yahoo.com")</f>
        <v>anthony.tuemler@yahoo.com</v>
      </c>
      <c r="C1566" s="9" t="str">
        <f ca="1">IFERROR(__xludf.DUMMYFUNCTION("""COMPUTED_VALUE"""),"EVERGREEN - UAN Gated Content - Embedded Petition")</f>
        <v>EVERGREEN - UAN Gated Content - Embedded Petition</v>
      </c>
      <c r="D1566" s="10">
        <f ca="1">IFERROR(__xludf.DUMMYFUNCTION("""COMPUTED_VALUE"""),45695)</f>
        <v>45695</v>
      </c>
      <c r="E1566" s="1" t="str">
        <f ca="1">IFERROR(__xludf.DUMMYFUNCTION("""COMPUTED_VALUE"""),"Iran")</f>
        <v>Iran</v>
      </c>
      <c r="F1566" s="1" t="str">
        <f ca="1">IFERROR(__xludf.DUMMYFUNCTION("""COMPUTED_VALUE"""),"10.25 Iran")</f>
        <v>10.25 Iran</v>
      </c>
      <c r="G1566" s="1" t="str">
        <f ca="1">IFERROR(__xludf.DUMMYFUNCTION("""COMPUTED_VALUE"""),"Death Penalty, Individuals At Risk")</f>
        <v>Death Penalty, Individuals At Risk</v>
      </c>
      <c r="H1566" s="1" t="str">
        <f ca="1">IFERROR(__xludf.DUMMYFUNCTION("""COMPUTED_VALUE"""),"2025")</f>
        <v>2025</v>
      </c>
      <c r="I1566" s="1" t="str">
        <f ca="1">IFERROR(__xludf.DUMMYFUNCTION("""COMPUTED_VALUE"""),"Email")</f>
        <v>Email</v>
      </c>
    </row>
    <row r="1567" spans="1:9" ht="13" x14ac:dyDescent="0.15">
      <c r="A1567" s="9">
        <f ca="1">IFERROR(__xludf.DUMMYFUNCTION("""COMPUTED_VALUE"""),160894542)</f>
        <v>160894542</v>
      </c>
      <c r="B1567" s="1" t="str">
        <f ca="1">IFERROR(__xludf.DUMMYFUNCTION("""COMPUTED_VALUE"""),"anthony.tuemler@yahoo.com")</f>
        <v>anthony.tuemler@yahoo.com</v>
      </c>
      <c r="C1567" s="9" t="str">
        <f ca="1">IFERROR(__xludf.DUMMYFUNCTION("""COMPUTED_VALUE"""),"EVERGREEN - UAN Gated Content - Embedded Petition")</f>
        <v>EVERGREEN - UAN Gated Content - Embedded Petition</v>
      </c>
      <c r="D1567" s="10">
        <f ca="1">IFERROR(__xludf.DUMMYFUNCTION("""COMPUTED_VALUE"""),45706)</f>
        <v>45706</v>
      </c>
      <c r="E1567" s="1" t="str">
        <f ca="1">IFERROR(__xludf.DUMMYFUNCTION("""COMPUTED_VALUE"""),"Saudi Arabia")</f>
        <v>Saudi Arabia</v>
      </c>
      <c r="F1567" s="1" t="str">
        <f ca="1">IFERROR(__xludf.DUMMYFUNCTION("""COMPUTED_VALUE"""),"Fifth 257.12")</f>
        <v>Fifth 257.12</v>
      </c>
      <c r="G1567" s="1" t="str">
        <f ca="1">IFERROR(__xludf.DUMMYFUNCTION("""COMPUTED_VALUE"""),"Freedom of Expression, Human Rights Defenders")</f>
        <v>Freedom of Expression, Human Rights Defenders</v>
      </c>
      <c r="H1567" s="1" t="str">
        <f ca="1">IFERROR(__xludf.DUMMYFUNCTION("""COMPUTED_VALUE"""),"2025")</f>
        <v>2025</v>
      </c>
      <c r="I1567" s="1" t="str">
        <f ca="1">IFERROR(__xludf.DUMMYFUNCTION("""COMPUTED_VALUE"""),"Email")</f>
        <v>Email</v>
      </c>
    </row>
    <row r="1568" spans="1:9" ht="13" x14ac:dyDescent="0.15">
      <c r="A1568" s="9">
        <f ca="1">IFERROR(__xludf.DUMMYFUNCTION("""COMPUTED_VALUE"""),160894542)</f>
        <v>160894542</v>
      </c>
      <c r="B1568" s="1" t="str">
        <f ca="1">IFERROR(__xludf.DUMMYFUNCTION("""COMPUTED_VALUE"""),"anthony.tuemler@yahoo.com")</f>
        <v>anthony.tuemler@yahoo.com</v>
      </c>
      <c r="C1568" s="9" t="str">
        <f ca="1">IFERROR(__xludf.DUMMYFUNCTION("""COMPUTED_VALUE"""),"EVERGREEN - UAN Gated Content - Embedded Petition")</f>
        <v>EVERGREEN - UAN Gated Content - Embedded Petition</v>
      </c>
      <c r="D1568" s="10">
        <f ca="1">IFERROR(__xludf.DUMMYFUNCTION("""COMPUTED_VALUE"""),45704)</f>
        <v>45704</v>
      </c>
      <c r="E1568" s="1" t="str">
        <f ca="1">IFERROR(__xludf.DUMMYFUNCTION("""COMPUTED_VALUE"""),"USA")</f>
        <v>USA</v>
      </c>
      <c r="F1568" s="1" t="str">
        <f ca="1">IFERROR(__xludf.DUMMYFUNCTION("""COMPUTED_VALUE"""),"4.25 USA")</f>
        <v>4.25 USA</v>
      </c>
      <c r="G1568" s="1" t="str">
        <f ca="1">IFERROR(__xludf.DUMMYFUNCTION("""COMPUTED_VALUE"""),"Individuals At Risk, Refugee and Migrant Rights")</f>
        <v>Individuals At Risk, Refugee and Migrant Rights</v>
      </c>
      <c r="H1568" s="1" t="str">
        <f ca="1">IFERROR(__xludf.DUMMYFUNCTION("""COMPUTED_VALUE"""),"2025")</f>
        <v>2025</v>
      </c>
      <c r="I1568" s="1" t="str">
        <f ca="1">IFERROR(__xludf.DUMMYFUNCTION("""COMPUTED_VALUE"""),"Letter")</f>
        <v>Letter</v>
      </c>
    </row>
    <row r="1569" spans="1:9" ht="13" x14ac:dyDescent="0.15">
      <c r="A1569" s="9">
        <f ca="1">IFERROR(__xludf.DUMMYFUNCTION("""COMPUTED_VALUE"""),160894542)</f>
        <v>160894542</v>
      </c>
      <c r="B1569" s="1" t="str">
        <f ca="1">IFERROR(__xludf.DUMMYFUNCTION("""COMPUTED_VALUE"""),"anthony.tuemler@yahoo.com")</f>
        <v>anthony.tuemler@yahoo.com</v>
      </c>
      <c r="C1569" s="9" t="str">
        <f ca="1">IFERROR(__xludf.DUMMYFUNCTION("""COMPUTED_VALUE"""),"EVERGREEN - UAN Gated Content - Embedded Petition")</f>
        <v>EVERGREEN - UAN Gated Content - Embedded Petition</v>
      </c>
      <c r="D1569" s="10">
        <f ca="1">IFERROR(__xludf.DUMMYFUNCTION("""COMPUTED_VALUE"""),45704)</f>
        <v>45704</v>
      </c>
      <c r="E1569" s="1" t="str">
        <f ca="1">IFERROR(__xludf.DUMMYFUNCTION("""COMPUTED_VALUE"""),"USA")</f>
        <v>USA</v>
      </c>
      <c r="F1569" s="1" t="str">
        <f ca="1">IFERROR(__xludf.DUMMYFUNCTION("""COMPUTED_VALUE"""),"4.25 USA")</f>
        <v>4.25 USA</v>
      </c>
      <c r="G1569" s="1" t="str">
        <f ca="1">IFERROR(__xludf.DUMMYFUNCTION("""COMPUTED_VALUE"""),"Individuals At Risk, Refugee and Migrant Rights")</f>
        <v>Individuals At Risk, Refugee and Migrant Rights</v>
      </c>
      <c r="H1569" s="1" t="str">
        <f ca="1">IFERROR(__xludf.DUMMYFUNCTION("""COMPUTED_VALUE"""),"2025")</f>
        <v>2025</v>
      </c>
      <c r="I1569" s="1" t="str">
        <f ca="1">IFERROR(__xludf.DUMMYFUNCTION("""COMPUTED_VALUE"""),"Letter")</f>
        <v>Letter</v>
      </c>
    </row>
    <row r="1570" spans="1:9" ht="13" x14ac:dyDescent="0.15">
      <c r="A1570" s="9">
        <f ca="1">IFERROR(__xludf.DUMMYFUNCTION("""COMPUTED_VALUE"""),160894542)</f>
        <v>160894542</v>
      </c>
      <c r="B1570" s="1" t="str">
        <f ca="1">IFERROR(__xludf.DUMMYFUNCTION("""COMPUTED_VALUE"""),"anthony.tuemler@yahoo.com")</f>
        <v>anthony.tuemler@yahoo.com</v>
      </c>
      <c r="C1570" s="9" t="str">
        <f ca="1">IFERROR(__xludf.DUMMYFUNCTION("""COMPUTED_VALUE"""),"EVERGREEN - UAN Gated Content - Embedded Petition")</f>
        <v>EVERGREEN - UAN Gated Content - Embedded Petition</v>
      </c>
      <c r="D1570" s="10">
        <f ca="1">IFERROR(__xludf.DUMMYFUNCTION("""COMPUTED_VALUE"""),45633)</f>
        <v>45633</v>
      </c>
      <c r="E1570" s="1" t="str">
        <f ca="1">IFERROR(__xludf.DUMMYFUNCTION("""COMPUTED_VALUE"""),"Iran")</f>
        <v>Iran</v>
      </c>
      <c r="F1570" s="1" t="str">
        <f ca="1">IFERROR(__xludf.DUMMYFUNCTION("""COMPUTED_VALUE"""),"6.25 Iran")</f>
        <v>6.25 Iran</v>
      </c>
      <c r="G1570" s="1" t="str">
        <f ca="1">IFERROR(__xludf.DUMMYFUNCTION("""COMPUTED_VALUE"""),"Death Penalty, Freedom of Expression, Individuals At Risk")</f>
        <v>Death Penalty, Freedom of Expression, Individuals At Risk</v>
      </c>
      <c r="H1570" s="1" t="str">
        <f ca="1">IFERROR(__xludf.DUMMYFUNCTION("""COMPUTED_VALUE"""),"2025")</f>
        <v>2025</v>
      </c>
      <c r="I1570" s="1" t="str">
        <f ca="1">IFERROR(__xludf.DUMMYFUNCTION("""COMPUTED_VALUE"""),"Email")</f>
        <v>Email</v>
      </c>
    </row>
    <row r="1571" spans="1:9" ht="13" x14ac:dyDescent="0.15">
      <c r="A1571" s="9">
        <f ca="1">IFERROR(__xludf.DUMMYFUNCTION("""COMPUTED_VALUE"""),160894542)</f>
        <v>160894542</v>
      </c>
      <c r="B1571" s="1" t="str">
        <f ca="1">IFERROR(__xludf.DUMMYFUNCTION("""COMPUTED_VALUE"""),"anthony.tuemler@yahoo.com")</f>
        <v>anthony.tuemler@yahoo.com</v>
      </c>
      <c r="C1571" s="9" t="str">
        <f ca="1">IFERROR(__xludf.DUMMYFUNCTION("""COMPUTED_VALUE"""),"EVERGREEN - UAN Gated Content - Embedded Petition")</f>
        <v>EVERGREEN - UAN Gated Content - Embedded Petition</v>
      </c>
      <c r="D1571" s="10">
        <f ca="1">IFERROR(__xludf.DUMMYFUNCTION("""COMPUTED_VALUE"""),45641)</f>
        <v>45641</v>
      </c>
      <c r="E1571" s="1" t="str">
        <f ca="1">IFERROR(__xludf.DUMMYFUNCTION("""COMPUTED_VALUE"""),"Colombia")</f>
        <v>Colombia</v>
      </c>
      <c r="F1571" s="1" t="str">
        <f ca="1">IFERROR(__xludf.DUMMYFUNCTION("""COMPUTED_VALUE"""),"Third 12.24 Colombia")</f>
        <v>Third 12.24 Colombia</v>
      </c>
      <c r="G1571" s="1" t="str">
        <f ca="1">IFERROR(__xludf.DUMMYFUNCTION("""COMPUTED_VALUE"""),"Human Rights Defenders, Individuals At Risk")</f>
        <v>Human Rights Defenders, Individuals At Risk</v>
      </c>
      <c r="H1571" s="1" t="str">
        <f ca="1">IFERROR(__xludf.DUMMYFUNCTION("""COMPUTED_VALUE"""),"2025")</f>
        <v>2025</v>
      </c>
      <c r="I1571" s="1" t="str">
        <f ca="1">IFERROR(__xludf.DUMMYFUNCTION("""COMPUTED_VALUE"""),"Email")</f>
        <v>Email</v>
      </c>
    </row>
    <row r="1572" spans="1:9" ht="13" x14ac:dyDescent="0.15">
      <c r="A1572" s="9">
        <f ca="1">IFERROR(__xludf.DUMMYFUNCTION("""COMPUTED_VALUE"""),160894542)</f>
        <v>160894542</v>
      </c>
      <c r="B1572" s="1" t="str">
        <f ca="1">IFERROR(__xludf.DUMMYFUNCTION("""COMPUTED_VALUE"""),"anthony.tuemler@yahoo.com")</f>
        <v>anthony.tuemler@yahoo.com</v>
      </c>
      <c r="C1572" s="9" t="str">
        <f ca="1">IFERROR(__xludf.DUMMYFUNCTION("""COMPUTED_VALUE"""),"EVERGREEN - UAN Gated Content - Embedded Petition")</f>
        <v>EVERGREEN - UAN Gated Content - Embedded Petition</v>
      </c>
      <c r="D1572" s="10">
        <f ca="1">IFERROR(__xludf.DUMMYFUNCTION("""COMPUTED_VALUE"""),45673)</f>
        <v>45673</v>
      </c>
      <c r="E1572" s="1" t="str">
        <f ca="1">IFERROR(__xludf.DUMMYFUNCTION("""COMPUTED_VALUE"""),"Tunisia")</f>
        <v>Tunisia</v>
      </c>
      <c r="F1572" s="1" t="str">
        <f ca="1">IFERROR(__xludf.DUMMYFUNCTION("""COMPUTED_VALUE"""),"Second 76.24 Tunisia")</f>
        <v>Second 76.24 Tunisia</v>
      </c>
      <c r="G1572" s="1" t="str">
        <f ca="1">IFERROR(__xludf.DUMMYFUNCTION("""COMPUTED_VALUE"""),"Freedom of Expression, Human Rights Defenders")</f>
        <v>Freedom of Expression, Human Rights Defenders</v>
      </c>
      <c r="H1572" s="1" t="str">
        <f ca="1">IFERROR(__xludf.DUMMYFUNCTION("""COMPUTED_VALUE"""),"2025")</f>
        <v>2025</v>
      </c>
      <c r="I1572" s="1" t="str">
        <f ca="1">IFERROR(__xludf.DUMMYFUNCTION("""COMPUTED_VALUE"""),"Email")</f>
        <v>Email</v>
      </c>
    </row>
    <row r="1573" spans="1:9" ht="13" x14ac:dyDescent="0.15">
      <c r="A1573" s="9">
        <f ca="1">IFERROR(__xludf.DUMMYFUNCTION("""COMPUTED_VALUE"""),160894542)</f>
        <v>160894542</v>
      </c>
      <c r="B1573" s="1" t="str">
        <f ca="1">IFERROR(__xludf.DUMMYFUNCTION("""COMPUTED_VALUE"""),"anthony.tuemler@yahoo.com")</f>
        <v>anthony.tuemler@yahoo.com</v>
      </c>
      <c r="C1573" s="9" t="str">
        <f ca="1">IFERROR(__xludf.DUMMYFUNCTION("""COMPUTED_VALUE"""),"EVERGREEN - UAN Gated Content - Embedded Petition")</f>
        <v>EVERGREEN - UAN Gated Content - Embedded Petition</v>
      </c>
      <c r="D1573" s="10">
        <f ca="1">IFERROR(__xludf.DUMMYFUNCTION("""COMPUTED_VALUE"""),45672)</f>
        <v>45672</v>
      </c>
      <c r="E1573" s="1" t="str">
        <f ca="1">IFERROR(__xludf.DUMMYFUNCTION("""COMPUTED_VALUE"""),"Egypt")</f>
        <v>Egypt</v>
      </c>
      <c r="F1573" s="1" t="str">
        <f ca="1">IFERROR(__xludf.DUMMYFUNCTION("""COMPUTED_VALUE"""),"Ninth 190.18 Egypt")</f>
        <v>Ninth 190.18 Egypt</v>
      </c>
      <c r="G1573" s="1" t="str">
        <f ca="1">IFERROR(__xludf.DUMMYFUNCTION("""COMPUTED_VALUE"""),"Freedom of Expression, Individuals At Risk")</f>
        <v>Freedom of Expression, Individuals At Risk</v>
      </c>
      <c r="H1573" s="1" t="str">
        <f ca="1">IFERROR(__xludf.DUMMYFUNCTION("""COMPUTED_VALUE"""),"2024")</f>
        <v>2024</v>
      </c>
      <c r="I1573" s="1" t="str">
        <f ca="1">IFERROR(__xludf.DUMMYFUNCTION("""COMPUTED_VALUE"""),"Letter")</f>
        <v>Letter</v>
      </c>
    </row>
    <row r="1574" spans="1:9" ht="13" x14ac:dyDescent="0.15">
      <c r="A1574" s="9">
        <f ca="1">IFERROR(__xludf.DUMMYFUNCTION("""COMPUTED_VALUE"""),160894542)</f>
        <v>160894542</v>
      </c>
      <c r="B1574" s="1" t="str">
        <f ca="1">IFERROR(__xludf.DUMMYFUNCTION("""COMPUTED_VALUE"""),"anthony.tuemler@yahoo.com")</f>
        <v>anthony.tuemler@yahoo.com</v>
      </c>
      <c r="C1574" s="9" t="str">
        <f ca="1">IFERROR(__xludf.DUMMYFUNCTION("""COMPUTED_VALUE"""),"EVERGREEN - UAN Gated Content - Embedded Petition")</f>
        <v>EVERGREEN - UAN Gated Content - Embedded Petition</v>
      </c>
      <c r="D1574" s="10">
        <f ca="1">IFERROR(__xludf.DUMMYFUNCTION("""COMPUTED_VALUE"""),45672)</f>
        <v>45672</v>
      </c>
      <c r="E1574" s="1" t="str">
        <f ca="1">IFERROR(__xludf.DUMMYFUNCTION("""COMPUTED_VALUE"""),"Uganda")</f>
        <v>Uganda</v>
      </c>
      <c r="F1574" s="1" t="str">
        <f ca="1">IFERROR(__xludf.DUMMYFUNCTION("""COMPUTED_VALUE"""),"100.24 Uganda")</f>
        <v>100.24 Uganda</v>
      </c>
      <c r="G1574" s="1" t="str">
        <f ca="1">IFERROR(__xludf.DUMMYFUNCTION("""COMPUTED_VALUE"""),"Freedom of Expression")</f>
        <v>Freedom of Expression</v>
      </c>
      <c r="H1574" s="1" t="str">
        <f ca="1">IFERROR(__xludf.DUMMYFUNCTION("""COMPUTED_VALUE"""),"2024")</f>
        <v>2024</v>
      </c>
      <c r="I1574" s="1" t="str">
        <f ca="1">IFERROR(__xludf.DUMMYFUNCTION("""COMPUTED_VALUE"""),"Email")</f>
        <v>Email</v>
      </c>
    </row>
    <row r="1575" spans="1:9" ht="13" x14ac:dyDescent="0.15">
      <c r="A1575" s="9">
        <f ca="1">IFERROR(__xludf.DUMMYFUNCTION("""COMPUTED_VALUE"""),160894542)</f>
        <v>160894542</v>
      </c>
      <c r="B1575" s="1" t="str">
        <f ca="1">IFERROR(__xludf.DUMMYFUNCTION("""COMPUTED_VALUE"""),"anthony.tuemler@yahoo.com")</f>
        <v>anthony.tuemler@yahoo.com</v>
      </c>
      <c r="C1575" s="9" t="str">
        <f ca="1">IFERROR(__xludf.DUMMYFUNCTION("""COMPUTED_VALUE"""),"EVERGREEN - UAN Gated Content - Embedded Petition")</f>
        <v>EVERGREEN - UAN Gated Content - Embedded Petition</v>
      </c>
      <c r="D1575" s="10">
        <f ca="1">IFERROR(__xludf.DUMMYFUNCTION("""COMPUTED_VALUE"""),45672)</f>
        <v>45672</v>
      </c>
      <c r="E1575" s="1" t="str">
        <f ca="1">IFERROR(__xludf.DUMMYFUNCTION("""COMPUTED_VALUE"""),"Iran")</f>
        <v>Iran</v>
      </c>
      <c r="F1575" s="1" t="str">
        <f ca="1">IFERROR(__xludf.DUMMYFUNCTION("""COMPUTED_VALUE"""),"101.24 Iran")</f>
        <v>101.24 Iran</v>
      </c>
      <c r="G1575" s="1" t="str">
        <f ca="1">IFERROR(__xludf.DUMMYFUNCTION("""COMPUTED_VALUE"""),"Death Penalty, Freedom of Expression, Individuals At Risk, Right to Protest")</f>
        <v>Death Penalty, Freedom of Expression, Individuals At Risk, Right to Protest</v>
      </c>
      <c r="H1575" s="1" t="str">
        <f ca="1">IFERROR(__xludf.DUMMYFUNCTION("""COMPUTED_VALUE"""),"2024")</f>
        <v>2024</v>
      </c>
      <c r="I1575" s="1" t="str">
        <f ca="1">IFERROR(__xludf.DUMMYFUNCTION("""COMPUTED_VALUE"""),"Email")</f>
        <v>Email</v>
      </c>
    </row>
    <row r="1576" spans="1:9" ht="13" x14ac:dyDescent="0.15">
      <c r="A1576" s="9">
        <f ca="1">IFERROR(__xludf.DUMMYFUNCTION("""COMPUTED_VALUE"""),160894542)</f>
        <v>160894542</v>
      </c>
      <c r="B1576" s="1" t="str">
        <f ca="1">IFERROR(__xludf.DUMMYFUNCTION("""COMPUTED_VALUE"""),"anthony.tuemler@yahoo.com")</f>
        <v>anthony.tuemler@yahoo.com</v>
      </c>
      <c r="C1576" s="9" t="str">
        <f ca="1">IFERROR(__xludf.DUMMYFUNCTION("""COMPUTED_VALUE"""),"EVERGREEN - UAN Gated Content - Embedded Petition")</f>
        <v>EVERGREEN - UAN Gated Content - Embedded Petition</v>
      </c>
      <c r="D1576" s="10">
        <f ca="1">IFERROR(__xludf.DUMMYFUNCTION("""COMPUTED_VALUE"""),45672)</f>
        <v>45672</v>
      </c>
      <c r="E1576" s="1" t="str">
        <f ca="1">IFERROR(__xludf.DUMMYFUNCTION("""COMPUTED_VALUE"""),"Venezuela")</f>
        <v>Venezuela</v>
      </c>
      <c r="F1576" s="1" t="str">
        <f ca="1">IFERROR(__xludf.DUMMYFUNCTION("""COMPUTED_VALUE"""),"97.24 Venezuela")</f>
        <v>97.24 Venezuela</v>
      </c>
      <c r="G1576" s="1" t="str">
        <f ca="1">IFERROR(__xludf.DUMMYFUNCTION("""COMPUTED_VALUE"""),"Freedom of Expression")</f>
        <v>Freedom of Expression</v>
      </c>
      <c r="H1576" s="1" t="str">
        <f ca="1">IFERROR(__xludf.DUMMYFUNCTION("""COMPUTED_VALUE"""),"2024")</f>
        <v>2024</v>
      </c>
      <c r="I1576" s="1" t="str">
        <f ca="1">IFERROR(__xludf.DUMMYFUNCTION("""COMPUTED_VALUE"""),"Letter")</f>
        <v>Letter</v>
      </c>
    </row>
    <row r="1577" spans="1:9" ht="13" x14ac:dyDescent="0.15">
      <c r="A1577" s="9">
        <f ca="1">IFERROR(__xludf.DUMMYFUNCTION("""COMPUTED_VALUE"""),160894542)</f>
        <v>160894542</v>
      </c>
      <c r="B1577" s="1" t="str">
        <f ca="1">IFERROR(__xludf.DUMMYFUNCTION("""COMPUTED_VALUE"""),"anthony.tuemler@yahoo.com")</f>
        <v>anthony.tuemler@yahoo.com</v>
      </c>
      <c r="C1577" s="9" t="str">
        <f ca="1">IFERROR(__xludf.DUMMYFUNCTION("""COMPUTED_VALUE"""),"EVERGREEN - UAN Gated Content - Embedded Petition")</f>
        <v>EVERGREEN - UAN Gated Content - Embedded Petition</v>
      </c>
      <c r="D1577" s="10">
        <f ca="1">IFERROR(__xludf.DUMMYFUNCTION("""COMPUTED_VALUE"""),45676)</f>
        <v>45676</v>
      </c>
      <c r="E1577" s="1" t="str">
        <f ca="1">IFERROR(__xludf.DUMMYFUNCTION("""COMPUTED_VALUE"""),"Iran")</f>
        <v>Iran</v>
      </c>
      <c r="F1577" s="1" t="str">
        <f ca="1">IFERROR(__xludf.DUMMYFUNCTION("""COMPUTED_VALUE"""),"Seventh 103.22 Iran")</f>
        <v>Seventh 103.22 Iran</v>
      </c>
      <c r="G1577" s="1" t="str">
        <f ca="1">IFERROR(__xludf.DUMMYFUNCTION("""COMPUTED_VALUE"""),"Death Penalty, Freedom of Expression, Individuals At Risk")</f>
        <v>Death Penalty, Freedom of Expression, Individuals At Risk</v>
      </c>
      <c r="H1577" s="1" t="str">
        <f ca="1">IFERROR(__xludf.DUMMYFUNCTION("""COMPUTED_VALUE"""),"2024")</f>
        <v>2024</v>
      </c>
      <c r="I1577" s="1" t="str">
        <f ca="1">IFERROR(__xludf.DUMMYFUNCTION("""COMPUTED_VALUE"""),"Email")</f>
        <v>Email</v>
      </c>
    </row>
    <row r="1578" spans="1:9" ht="13" x14ac:dyDescent="0.15">
      <c r="A1578" s="9">
        <f ca="1">IFERROR(__xludf.DUMMYFUNCTION("""COMPUTED_VALUE"""),160894542)</f>
        <v>160894542</v>
      </c>
      <c r="B1578" s="1" t="str">
        <f ca="1">IFERROR(__xludf.DUMMYFUNCTION("""COMPUTED_VALUE"""),"anthony.tuemler@yahoo.com")</f>
        <v>anthony.tuemler@yahoo.com</v>
      </c>
      <c r="C1578" s="9" t="str">
        <f ca="1">IFERROR(__xludf.DUMMYFUNCTION("""COMPUTED_VALUE"""),"EVERGREEN - UAN Gated Content - Embedded Petition")</f>
        <v>EVERGREEN - UAN Gated Content - Embedded Petition</v>
      </c>
      <c r="D1578" s="10">
        <f ca="1">IFERROR(__xludf.DUMMYFUNCTION("""COMPUTED_VALUE"""),45679)</f>
        <v>45679</v>
      </c>
      <c r="E1578" s="1" t="str">
        <f ca="1">IFERROR(__xludf.DUMMYFUNCTION("""COMPUTED_VALUE"""),"Niger")</f>
        <v>Niger</v>
      </c>
      <c r="F1578" s="1" t="str">
        <f ca="1">IFERROR(__xludf.DUMMYFUNCTION("""COMPUTED_VALUE"""),"103.24 Niger")</f>
        <v>103.24 Niger</v>
      </c>
      <c r="G1578" s="1" t="str">
        <f ca="1">IFERROR(__xludf.DUMMYFUNCTION("""COMPUTED_VALUE"""),"Freedom of Expression, Human Rights Defenders")</f>
        <v>Freedom of Expression, Human Rights Defenders</v>
      </c>
      <c r="H1578" s="1" t="str">
        <f ca="1">IFERROR(__xludf.DUMMYFUNCTION("""COMPUTED_VALUE"""),"2024")</f>
        <v>2024</v>
      </c>
      <c r="I1578" s="1" t="str">
        <f ca="1">IFERROR(__xludf.DUMMYFUNCTION("""COMPUTED_VALUE"""),"Email")</f>
        <v>Email</v>
      </c>
    </row>
    <row r="1579" spans="1:9" ht="13" x14ac:dyDescent="0.15">
      <c r="A1579" s="9">
        <f ca="1">IFERROR(__xludf.DUMMYFUNCTION("""COMPUTED_VALUE"""),160894542)</f>
        <v>160894542</v>
      </c>
      <c r="B1579" s="1" t="str">
        <f ca="1">IFERROR(__xludf.DUMMYFUNCTION("""COMPUTED_VALUE"""),"anthony.tuemler@yahoo.com")</f>
        <v>anthony.tuemler@yahoo.com</v>
      </c>
      <c r="C1579" s="9" t="str">
        <f ca="1">IFERROR(__xludf.DUMMYFUNCTION("""COMPUTED_VALUE"""),"EVERGREEN - UAN Gated Content - Embedded Petition")</f>
        <v>EVERGREEN - UAN Gated Content - Embedded Petition</v>
      </c>
      <c r="D1579" s="10">
        <f ca="1">IFERROR(__xludf.DUMMYFUNCTION("""COMPUTED_VALUE"""),45680)</f>
        <v>45680</v>
      </c>
      <c r="E1579" s="1" t="str">
        <f ca="1">IFERROR(__xludf.DUMMYFUNCTION("""COMPUTED_VALUE"""),"Tunisia")</f>
        <v>Tunisia</v>
      </c>
      <c r="F1579" s="1" t="str">
        <f ca="1">IFERROR(__xludf.DUMMYFUNCTION("""COMPUTED_VALUE"""),"Second 76.24 Tunisia")</f>
        <v>Second 76.24 Tunisia</v>
      </c>
      <c r="G1579" s="1" t="str">
        <f ca="1">IFERROR(__xludf.DUMMYFUNCTION("""COMPUTED_VALUE"""),"Freedom of Expression, Human Rights Defenders")</f>
        <v>Freedom of Expression, Human Rights Defenders</v>
      </c>
      <c r="H1579" s="1" t="str">
        <f ca="1">IFERROR(__xludf.DUMMYFUNCTION("""COMPUTED_VALUE"""),"2025")</f>
        <v>2025</v>
      </c>
      <c r="I1579" s="1" t="str">
        <f ca="1">IFERROR(__xludf.DUMMYFUNCTION("""COMPUTED_VALUE"""),"Email")</f>
        <v>Email</v>
      </c>
    </row>
    <row r="1580" spans="1:9" ht="13" x14ac:dyDescent="0.15">
      <c r="A1580" s="9">
        <f ca="1">IFERROR(__xludf.DUMMYFUNCTION("""COMPUTED_VALUE"""),160894542)</f>
        <v>160894542</v>
      </c>
      <c r="B1580" s="1" t="str">
        <f ca="1">IFERROR(__xludf.DUMMYFUNCTION("""COMPUTED_VALUE"""),"anthony.tuemler@yahoo.com")</f>
        <v>anthony.tuemler@yahoo.com</v>
      </c>
      <c r="C1580" s="9" t="str">
        <f ca="1">IFERROR(__xludf.DUMMYFUNCTION("""COMPUTED_VALUE"""),"EVERGREEN - UAN Gated Content - Embedded Petition")</f>
        <v>EVERGREEN - UAN Gated Content - Embedded Petition</v>
      </c>
      <c r="D1580" s="10">
        <f ca="1">IFERROR(__xludf.DUMMYFUNCTION("""COMPUTED_VALUE"""),45659)</f>
        <v>45659</v>
      </c>
      <c r="E1580" s="1" t="str">
        <f ca="1">IFERROR(__xludf.DUMMYFUNCTION("""COMPUTED_VALUE"""),"Canada")</f>
        <v>Canada</v>
      </c>
      <c r="F1580" s="1" t="str">
        <f ca="1">IFERROR(__xludf.DUMMYFUNCTION("""COMPUTED_VALUE"""),"99.24 Canada")</f>
        <v>99.24 Canada</v>
      </c>
      <c r="G1580" s="1" t="str">
        <f ca="1">IFERROR(__xludf.DUMMYFUNCTION("""COMPUTED_VALUE"""),"Climate Justice, Indigenous Rights, Right to Protest")</f>
        <v>Climate Justice, Indigenous Rights, Right to Protest</v>
      </c>
      <c r="H1580" s="1" t="str">
        <f ca="1">IFERROR(__xludf.DUMMYFUNCTION("""COMPUTED_VALUE"""),"2024")</f>
        <v>2024</v>
      </c>
      <c r="I1580" s="1" t="str">
        <f ca="1">IFERROR(__xludf.DUMMYFUNCTION("""COMPUTED_VALUE"""),"Letter")</f>
        <v>Letter</v>
      </c>
    </row>
    <row r="1581" spans="1:9" ht="13" x14ac:dyDescent="0.15">
      <c r="A1581" s="9">
        <f ca="1">IFERROR(__xludf.DUMMYFUNCTION("""COMPUTED_VALUE"""),160894542)</f>
        <v>160894542</v>
      </c>
      <c r="B1581" s="1" t="str">
        <f ca="1">IFERROR(__xludf.DUMMYFUNCTION("""COMPUTED_VALUE"""),"anthony.tuemler@yahoo.com")</f>
        <v>anthony.tuemler@yahoo.com</v>
      </c>
      <c r="C1581" s="9" t="str">
        <f ca="1">IFERROR(__xludf.DUMMYFUNCTION("""COMPUTED_VALUE"""),"EVERGREEN - UAN Gated Content - Embedded Petition")</f>
        <v>EVERGREEN - UAN Gated Content - Embedded Petition</v>
      </c>
      <c r="D1581" s="10">
        <f ca="1">IFERROR(__xludf.DUMMYFUNCTION("""COMPUTED_VALUE"""),45668)</f>
        <v>45668</v>
      </c>
      <c r="E1581" s="1" t="str">
        <f ca="1">IFERROR(__xludf.DUMMYFUNCTION("""COMPUTED_VALUE"""),"Dominican Republic")</f>
        <v>Dominican Republic</v>
      </c>
      <c r="F1581" s="1" t="str">
        <f ca="1">IFERROR(__xludf.DUMMYFUNCTION("""COMPUTED_VALUE"""),"88.24 Dominican Republic")</f>
        <v>88.24 Dominican Republic</v>
      </c>
      <c r="G1581" s="1" t="str">
        <f ca="1">IFERROR(__xludf.DUMMYFUNCTION("""COMPUTED_VALUE"""),"Individuals At Risk, Refugee and Migrant Rights")</f>
        <v>Individuals At Risk, Refugee and Migrant Rights</v>
      </c>
      <c r="H1581" s="1" t="str">
        <f ca="1">IFERROR(__xludf.DUMMYFUNCTION("""COMPUTED_VALUE"""),"2024")</f>
        <v>2024</v>
      </c>
      <c r="I1581" s="1" t="str">
        <f ca="1">IFERROR(__xludf.DUMMYFUNCTION("""COMPUTED_VALUE"""),"Letter")</f>
        <v>Letter</v>
      </c>
    </row>
    <row r="1582" spans="1:9" ht="13" x14ac:dyDescent="0.15">
      <c r="A1582" s="9">
        <f ca="1">IFERROR(__xludf.DUMMYFUNCTION("""COMPUTED_VALUE"""),160894542)</f>
        <v>160894542</v>
      </c>
      <c r="B1582" s="1" t="str">
        <f ca="1">IFERROR(__xludf.DUMMYFUNCTION("""COMPUTED_VALUE"""),"anthony.tuemler@yahoo.com")</f>
        <v>anthony.tuemler@yahoo.com</v>
      </c>
      <c r="C1582" s="9" t="str">
        <f ca="1">IFERROR(__xludf.DUMMYFUNCTION("""COMPUTED_VALUE"""),"EVERGREEN - UAN Gated Content - Embedded Petition")</f>
        <v>EVERGREEN - UAN Gated Content - Embedded Petition</v>
      </c>
      <c r="D1582" s="10">
        <f ca="1">IFERROR(__xludf.DUMMYFUNCTION("""COMPUTED_VALUE"""),45670)</f>
        <v>45670</v>
      </c>
      <c r="E1582" s="1" t="str">
        <f ca="1">IFERROR(__xludf.DUMMYFUNCTION("""COMPUTED_VALUE"""),"USA")</f>
        <v>USA</v>
      </c>
      <c r="F1582" s="1" t="str">
        <f ca="1">IFERROR(__xludf.DUMMYFUNCTION("""COMPUTED_VALUE"""),"96.24 USA")</f>
        <v>96.24 USA</v>
      </c>
      <c r="G1582" s="1" t="str">
        <f ca="1">IFERROR(__xludf.DUMMYFUNCTION("""COMPUTED_VALUE"""),"Death Penalty")</f>
        <v>Death Penalty</v>
      </c>
      <c r="H1582" s="1" t="str">
        <f ca="1">IFERROR(__xludf.DUMMYFUNCTION("""COMPUTED_VALUE"""),"2024")</f>
        <v>2024</v>
      </c>
      <c r="I1582" s="1" t="str">
        <f ca="1">IFERROR(__xludf.DUMMYFUNCTION("""COMPUTED_VALUE"""),"Email")</f>
        <v>Email</v>
      </c>
    </row>
    <row r="1583" spans="1:9" ht="13" x14ac:dyDescent="0.15">
      <c r="A1583" s="9">
        <f ca="1">IFERROR(__xludf.DUMMYFUNCTION("""COMPUTED_VALUE"""),160894620)</f>
        <v>160894620</v>
      </c>
      <c r="B1583" s="1" t="str">
        <f ca="1">IFERROR(__xludf.DUMMYFUNCTION("""COMPUTED_VALUE"""),"marcarr9@comcast.net")</f>
        <v>marcarr9@comcast.net</v>
      </c>
      <c r="C1583" s="9" t="str">
        <f ca="1">IFERROR(__xludf.DUMMYFUNCTION("""COMPUTED_VALUE"""),"EVERGREEN - UAN Gated Content - Embedded Petition")</f>
        <v>EVERGREEN - UAN Gated Content - Embedded Petition</v>
      </c>
      <c r="D1583" s="10">
        <f ca="1">IFERROR(__xludf.DUMMYFUNCTION("""COMPUTED_VALUE"""),45675)</f>
        <v>45675</v>
      </c>
      <c r="E1583" s="1" t="str">
        <f ca="1">IFERROR(__xludf.DUMMYFUNCTION("""COMPUTED_VALUE"""),"USA")</f>
        <v>USA</v>
      </c>
      <c r="F1583" s="1" t="str">
        <f ca="1">IFERROR(__xludf.DUMMYFUNCTION("""COMPUTED_VALUE"""),"4.25 USA")</f>
        <v>4.25 USA</v>
      </c>
      <c r="G1583" s="1" t="str">
        <f ca="1">IFERROR(__xludf.DUMMYFUNCTION("""COMPUTED_VALUE"""),"Individuals At Risk, Refugee and Migrant Rights")</f>
        <v>Individuals At Risk, Refugee and Migrant Rights</v>
      </c>
      <c r="H1583" s="1" t="str">
        <f ca="1">IFERROR(__xludf.DUMMYFUNCTION("""COMPUTED_VALUE"""),"2025")</f>
        <v>2025</v>
      </c>
      <c r="I1583" s="1" t="str">
        <f ca="1">IFERROR(__xludf.DUMMYFUNCTION("""COMPUTED_VALUE"""),"Letter")</f>
        <v>Letter</v>
      </c>
    </row>
    <row r="1584" spans="1:9" ht="13" x14ac:dyDescent="0.15">
      <c r="A1584" s="9">
        <f ca="1">IFERROR(__xludf.DUMMYFUNCTION("""COMPUTED_VALUE"""),160894620)</f>
        <v>160894620</v>
      </c>
      <c r="B1584" s="1" t="str">
        <f ca="1">IFERROR(__xludf.DUMMYFUNCTION("""COMPUTED_VALUE"""),"marcarr9@comcast.net")</f>
        <v>marcarr9@comcast.net</v>
      </c>
      <c r="C1584" s="9" t="str">
        <f ca="1">IFERROR(__xludf.DUMMYFUNCTION("""COMPUTED_VALUE"""),"EVERGREEN - UAN Gated Content - Embedded Petition")</f>
        <v>EVERGREEN - UAN Gated Content - Embedded Petition</v>
      </c>
      <c r="D1584" s="10">
        <f ca="1">IFERROR(__xludf.DUMMYFUNCTION("""COMPUTED_VALUE"""),45675)</f>
        <v>45675</v>
      </c>
      <c r="E1584" s="1" t="str">
        <f ca="1">IFERROR(__xludf.DUMMYFUNCTION("""COMPUTED_VALUE"""),"Tunisia")</f>
        <v>Tunisia</v>
      </c>
      <c r="F1584" s="1" t="str">
        <f ca="1">IFERROR(__xludf.DUMMYFUNCTION("""COMPUTED_VALUE"""),"Second 76.24 Tunisia")</f>
        <v>Second 76.24 Tunisia</v>
      </c>
      <c r="G1584" s="1" t="str">
        <f ca="1">IFERROR(__xludf.DUMMYFUNCTION("""COMPUTED_VALUE"""),"Freedom of Expression, Human Rights Defenders")</f>
        <v>Freedom of Expression, Human Rights Defenders</v>
      </c>
      <c r="H1584" s="1" t="str">
        <f ca="1">IFERROR(__xludf.DUMMYFUNCTION("""COMPUTED_VALUE"""),"2025")</f>
        <v>2025</v>
      </c>
      <c r="I1584" s="1" t="str">
        <f ca="1">IFERROR(__xludf.DUMMYFUNCTION("""COMPUTED_VALUE"""),"Email")</f>
        <v>Email</v>
      </c>
    </row>
    <row r="1585" spans="1:9" ht="13" x14ac:dyDescent="0.15">
      <c r="A1585" s="9">
        <f ca="1">IFERROR(__xludf.DUMMYFUNCTION("""COMPUTED_VALUE"""),160894620)</f>
        <v>160894620</v>
      </c>
      <c r="B1585" s="1" t="str">
        <f ca="1">IFERROR(__xludf.DUMMYFUNCTION("""COMPUTED_VALUE"""),"marcarr9@comcast.net")</f>
        <v>marcarr9@comcast.net</v>
      </c>
      <c r="C1585" s="9" t="str">
        <f ca="1">IFERROR(__xludf.DUMMYFUNCTION("""COMPUTED_VALUE"""),"EVERGREEN - UAN Gated Content - Embedded Petition")</f>
        <v>EVERGREEN - UAN Gated Content - Embedded Petition</v>
      </c>
      <c r="D1585" s="10">
        <f ca="1">IFERROR(__xludf.DUMMYFUNCTION("""COMPUTED_VALUE"""),45675)</f>
        <v>45675</v>
      </c>
      <c r="E1585" s="1" t="str">
        <f ca="1">IFERROR(__xludf.DUMMYFUNCTION("""COMPUTED_VALUE"""),"USA")</f>
        <v>USA</v>
      </c>
      <c r="F1585" s="1" t="str">
        <f ca="1">IFERROR(__xludf.DUMMYFUNCTION("""COMPUTED_VALUE"""),"4.25 USA")</f>
        <v>4.25 USA</v>
      </c>
      <c r="G1585" s="1" t="str">
        <f ca="1">IFERROR(__xludf.DUMMYFUNCTION("""COMPUTED_VALUE"""),"Individuals At Risk, Refugee and Migrant Rights")</f>
        <v>Individuals At Risk, Refugee and Migrant Rights</v>
      </c>
      <c r="H1585" s="1" t="str">
        <f ca="1">IFERROR(__xludf.DUMMYFUNCTION("""COMPUTED_VALUE"""),"2025")</f>
        <v>2025</v>
      </c>
      <c r="I1585" s="1" t="str">
        <f ca="1">IFERROR(__xludf.DUMMYFUNCTION("""COMPUTED_VALUE"""),"Letter")</f>
        <v>Letter</v>
      </c>
    </row>
    <row r="1586" spans="1:9" ht="13" x14ac:dyDescent="0.15">
      <c r="A1586" s="9">
        <f ca="1">IFERROR(__xludf.DUMMYFUNCTION("""COMPUTED_VALUE"""),160894625)</f>
        <v>160894625</v>
      </c>
      <c r="B1586" s="1" t="str">
        <f ca="1">IFERROR(__xludf.DUMMYFUNCTION("""COMPUTED_VALUE"""),"dragonfly6160@yahoo.com")</f>
        <v>dragonfly6160@yahoo.com</v>
      </c>
      <c r="C1586" s="9" t="str">
        <f ca="1">IFERROR(__xludf.DUMMYFUNCTION("""COMPUTED_VALUE"""),"EVERGREEN - UAN Gated Content - Embedded Petition")</f>
        <v>EVERGREEN - UAN Gated Content - Embedded Petition</v>
      </c>
      <c r="D1586" s="10">
        <f ca="1">IFERROR(__xludf.DUMMYFUNCTION("""COMPUTED_VALUE"""),45700)</f>
        <v>45700</v>
      </c>
      <c r="E1586" s="1" t="str">
        <f ca="1">IFERROR(__xludf.DUMMYFUNCTION("""COMPUTED_VALUE"""),"Tunisia")</f>
        <v>Tunisia</v>
      </c>
      <c r="F1586" s="1" t="str">
        <f ca="1">IFERROR(__xludf.DUMMYFUNCTION("""COMPUTED_VALUE"""),"Second 76.24 Tunisia")</f>
        <v>Second 76.24 Tunisia</v>
      </c>
      <c r="G1586" s="1" t="str">
        <f ca="1">IFERROR(__xludf.DUMMYFUNCTION("""COMPUTED_VALUE"""),"Freedom of Expression, Human Rights Defenders")</f>
        <v>Freedom of Expression, Human Rights Defenders</v>
      </c>
      <c r="H1586" s="1" t="str">
        <f ca="1">IFERROR(__xludf.DUMMYFUNCTION("""COMPUTED_VALUE"""),"2025")</f>
        <v>2025</v>
      </c>
      <c r="I1586" s="1" t="str">
        <f ca="1">IFERROR(__xludf.DUMMYFUNCTION("""COMPUTED_VALUE"""),"Email")</f>
        <v>Email</v>
      </c>
    </row>
    <row r="1587" spans="1:9" ht="13" x14ac:dyDescent="0.15">
      <c r="A1587" s="9">
        <f ca="1">IFERROR(__xludf.DUMMYFUNCTION("""COMPUTED_VALUE"""),160894625)</f>
        <v>160894625</v>
      </c>
      <c r="B1587" s="1" t="str">
        <f ca="1">IFERROR(__xludf.DUMMYFUNCTION("""COMPUTED_VALUE"""),"dragonfly6160@yahoo.com")</f>
        <v>dragonfly6160@yahoo.com</v>
      </c>
      <c r="C1587" s="9" t="str">
        <f ca="1">IFERROR(__xludf.DUMMYFUNCTION("""COMPUTED_VALUE"""),"EVERGREEN - UAN Gated Content - Embedded Petition")</f>
        <v>EVERGREEN - UAN Gated Content - Embedded Petition</v>
      </c>
      <c r="D1587" s="10">
        <f ca="1">IFERROR(__xludf.DUMMYFUNCTION("""COMPUTED_VALUE"""),45700)</f>
        <v>45700</v>
      </c>
      <c r="E1587" s="1" t="str">
        <f ca="1">IFERROR(__xludf.DUMMYFUNCTION("""COMPUTED_VALUE"""),"USA")</f>
        <v>USA</v>
      </c>
      <c r="F1587" s="1" t="str">
        <f ca="1">IFERROR(__xludf.DUMMYFUNCTION("""COMPUTED_VALUE"""),"105.24 USA")</f>
        <v>105.24 USA</v>
      </c>
      <c r="G1587" s="1" t="str">
        <f ca="1">IFERROR(__xludf.DUMMYFUNCTION("""COMPUTED_VALUE"""),"Death Penalty")</f>
        <v>Death Penalty</v>
      </c>
      <c r="H1587" s="1" t="str">
        <f ca="1">IFERROR(__xludf.DUMMYFUNCTION("""COMPUTED_VALUE"""),"2024")</f>
        <v>2024</v>
      </c>
      <c r="I1587" s="1" t="str">
        <f ca="1">IFERROR(__xludf.DUMMYFUNCTION("""COMPUTED_VALUE"""),"Email")</f>
        <v>Email</v>
      </c>
    </row>
    <row r="1588" spans="1:9" ht="13" x14ac:dyDescent="0.15">
      <c r="A1588" s="9">
        <f ca="1">IFERROR(__xludf.DUMMYFUNCTION("""COMPUTED_VALUE"""),160894732)</f>
        <v>160894732</v>
      </c>
      <c r="B1588" s="1" t="str">
        <f ca="1">IFERROR(__xludf.DUMMYFUNCTION("""COMPUTED_VALUE"""),"ax2tap@gmail.com")</f>
        <v>ax2tap@gmail.com</v>
      </c>
      <c r="C1588" s="9" t="str">
        <f ca="1">IFERROR(__xludf.DUMMYFUNCTION("""COMPUTED_VALUE"""),"EVERGREEN - UAN Gated Content - Embedded Petition")</f>
        <v>EVERGREEN - UAN Gated Content - Embedded Petition</v>
      </c>
      <c r="D1588" s="10">
        <f ca="1">IFERROR(__xludf.DUMMYFUNCTION("""COMPUTED_VALUE"""),45694)</f>
        <v>45694</v>
      </c>
      <c r="E1588" s="1" t="str">
        <f ca="1">IFERROR(__xludf.DUMMYFUNCTION("""COMPUTED_VALUE"""),"USA")</f>
        <v>USA</v>
      </c>
      <c r="F1588" s="1" t="str">
        <f ca="1">IFERROR(__xludf.DUMMYFUNCTION("""COMPUTED_VALUE"""),"4.25 USA")</f>
        <v>4.25 USA</v>
      </c>
      <c r="G1588" s="1" t="str">
        <f ca="1">IFERROR(__xludf.DUMMYFUNCTION("""COMPUTED_VALUE"""),"Individuals At Risk, Refugee and Migrant Rights")</f>
        <v>Individuals At Risk, Refugee and Migrant Rights</v>
      </c>
      <c r="H1588" s="1" t="str">
        <f ca="1">IFERROR(__xludf.DUMMYFUNCTION("""COMPUTED_VALUE"""),"2025")</f>
        <v>2025</v>
      </c>
      <c r="I1588" s="1" t="str">
        <f ca="1">IFERROR(__xludf.DUMMYFUNCTION("""COMPUTED_VALUE"""),"Letter")</f>
        <v>Letter</v>
      </c>
    </row>
    <row r="1589" spans="1:9" ht="13" x14ac:dyDescent="0.15">
      <c r="A1589" s="9">
        <f ca="1">IFERROR(__xludf.DUMMYFUNCTION("""COMPUTED_VALUE"""),160934209)</f>
        <v>160934209</v>
      </c>
      <c r="B1589" s="1" t="str">
        <f ca="1">IFERROR(__xludf.DUMMYFUNCTION("""COMPUTED_VALUE"""),"maureens5656@aol.com")</f>
        <v>maureens5656@aol.com</v>
      </c>
      <c r="C1589" s="9" t="str">
        <f ca="1">IFERROR(__xludf.DUMMYFUNCTION("""COMPUTED_VALUE"""),"EVERGREEN - UAN Gated Content - Embedded Petition")</f>
        <v>EVERGREEN - UAN Gated Content - Embedded Petition</v>
      </c>
      <c r="D1589" s="10">
        <f ca="1">IFERROR(__xludf.DUMMYFUNCTION("""COMPUTED_VALUE"""),45694)</f>
        <v>45694</v>
      </c>
      <c r="E1589" s="1" t="str">
        <f ca="1">IFERROR(__xludf.DUMMYFUNCTION("""COMPUTED_VALUE"""),"Dominican Republic")</f>
        <v>Dominican Republic</v>
      </c>
      <c r="F1589" s="1" t="str">
        <f ca="1">IFERROR(__xludf.DUMMYFUNCTION("""COMPUTED_VALUE"""),"88.24 Dominican Republic")</f>
        <v>88.24 Dominican Republic</v>
      </c>
      <c r="G1589" s="1" t="str">
        <f ca="1">IFERROR(__xludf.DUMMYFUNCTION("""COMPUTED_VALUE"""),"Individuals At Risk, Refugee and Migrant Rights")</f>
        <v>Individuals At Risk, Refugee and Migrant Rights</v>
      </c>
      <c r="H1589" s="1" t="str">
        <f ca="1">IFERROR(__xludf.DUMMYFUNCTION("""COMPUTED_VALUE"""),"2024")</f>
        <v>2024</v>
      </c>
      <c r="I1589" s="1" t="str">
        <f ca="1">IFERROR(__xludf.DUMMYFUNCTION("""COMPUTED_VALUE"""),"Letter")</f>
        <v>Letter</v>
      </c>
    </row>
    <row r="1590" spans="1:9" ht="13" x14ac:dyDescent="0.15">
      <c r="A1590" s="9">
        <f ca="1">IFERROR(__xludf.DUMMYFUNCTION("""COMPUTED_VALUE"""),160971296)</f>
        <v>160971296</v>
      </c>
      <c r="B1590" s="1" t="str">
        <f ca="1">IFERROR(__xludf.DUMMYFUNCTION("""COMPUTED_VALUE"""),"janetlsmarr@gmail.com")</f>
        <v>janetlsmarr@gmail.com</v>
      </c>
      <c r="C1590" s="9" t="str">
        <f ca="1">IFERROR(__xludf.DUMMYFUNCTION("""COMPUTED_VALUE"""),"EVERGREEN - UAN Gated Content - Embedded Petition")</f>
        <v>EVERGREEN - UAN Gated Content - Embedded Petition</v>
      </c>
      <c r="D1590" s="10">
        <f ca="1">IFERROR(__xludf.DUMMYFUNCTION("""COMPUTED_VALUE"""),45678)</f>
        <v>45678</v>
      </c>
      <c r="E1590" s="1" t="str">
        <f ca="1">IFERROR(__xludf.DUMMYFUNCTION("""COMPUTED_VALUE"""),"Dominican Republic")</f>
        <v>Dominican Republic</v>
      </c>
      <c r="F1590" s="1" t="str">
        <f ca="1">IFERROR(__xludf.DUMMYFUNCTION("""COMPUTED_VALUE"""),"88.24 Dominican Republic")</f>
        <v>88.24 Dominican Republic</v>
      </c>
      <c r="G1590" s="1" t="str">
        <f ca="1">IFERROR(__xludf.DUMMYFUNCTION("""COMPUTED_VALUE"""),"Individuals At Risk, Refugee and Migrant Rights")</f>
        <v>Individuals At Risk, Refugee and Migrant Rights</v>
      </c>
      <c r="H1590" s="1" t="str">
        <f ca="1">IFERROR(__xludf.DUMMYFUNCTION("""COMPUTED_VALUE"""),"2024")</f>
        <v>2024</v>
      </c>
      <c r="I1590" s="1" t="str">
        <f ca="1">IFERROR(__xludf.DUMMYFUNCTION("""COMPUTED_VALUE"""),"Letter")</f>
        <v>Letter</v>
      </c>
    </row>
    <row r="1591" spans="1:9" ht="13" x14ac:dyDescent="0.15">
      <c r="A1591" s="9">
        <f ca="1">IFERROR(__xludf.DUMMYFUNCTION("""COMPUTED_VALUE"""),161568213)</f>
        <v>161568213</v>
      </c>
      <c r="B1591" s="1" t="str">
        <f ca="1">IFERROR(__xludf.DUMMYFUNCTION("""COMPUTED_VALUE"""),"dmlongrie@gmail.com")</f>
        <v>dmlongrie@gmail.com</v>
      </c>
      <c r="C1591" s="9" t="str">
        <f ca="1">IFERROR(__xludf.DUMMYFUNCTION("""COMPUTED_VALUE"""),"EVERGREEN - UAN Gated Content - Embedded Petition")</f>
        <v>EVERGREEN - UAN Gated Content - Embedded Petition</v>
      </c>
      <c r="D1591" s="10">
        <f ca="1">IFERROR(__xludf.DUMMYFUNCTION("""COMPUTED_VALUE"""),45703)</f>
        <v>45703</v>
      </c>
      <c r="E1591" s="1" t="str">
        <f ca="1">IFERROR(__xludf.DUMMYFUNCTION("""COMPUTED_VALUE"""),"Dominican Republic")</f>
        <v>Dominican Republic</v>
      </c>
      <c r="F1591" s="1" t="str">
        <f ca="1">IFERROR(__xludf.DUMMYFUNCTION("""COMPUTED_VALUE"""),"88.24 Dominican Republic")</f>
        <v>88.24 Dominican Republic</v>
      </c>
      <c r="G1591" s="1" t="str">
        <f ca="1">IFERROR(__xludf.DUMMYFUNCTION("""COMPUTED_VALUE"""),"Individuals At Risk, Refugee and Migrant Rights")</f>
        <v>Individuals At Risk, Refugee and Migrant Rights</v>
      </c>
      <c r="H1591" s="1" t="str">
        <f ca="1">IFERROR(__xludf.DUMMYFUNCTION("""COMPUTED_VALUE"""),"2024")</f>
        <v>2024</v>
      </c>
      <c r="I1591" s="1" t="str">
        <f ca="1">IFERROR(__xludf.DUMMYFUNCTION("""COMPUTED_VALUE"""),"Letter")</f>
        <v>Letter</v>
      </c>
    </row>
    <row r="1592" spans="1:9" ht="13" x14ac:dyDescent="0.15">
      <c r="A1592" s="9">
        <f ca="1">IFERROR(__xludf.DUMMYFUNCTION("""COMPUTED_VALUE"""),161568213)</f>
        <v>161568213</v>
      </c>
      <c r="B1592" s="1" t="str">
        <f ca="1">IFERROR(__xludf.DUMMYFUNCTION("""COMPUTED_VALUE"""),"dmlongrie@gmail.com")</f>
        <v>dmlongrie@gmail.com</v>
      </c>
      <c r="C1592" s="9" t="str">
        <f ca="1">IFERROR(__xludf.DUMMYFUNCTION("""COMPUTED_VALUE"""),"EVERGREEN - UAN Gated Content - Embedded Petition")</f>
        <v>EVERGREEN - UAN Gated Content - Embedded Petition</v>
      </c>
      <c r="D1592" s="10">
        <f ca="1">IFERROR(__xludf.DUMMYFUNCTION("""COMPUTED_VALUE"""),45686)</f>
        <v>45686</v>
      </c>
      <c r="E1592" s="1" t="str">
        <f ca="1">IFERROR(__xludf.DUMMYFUNCTION("""COMPUTED_VALUE"""),"Tunisia")</f>
        <v>Tunisia</v>
      </c>
      <c r="F1592" s="1" t="str">
        <f ca="1">IFERROR(__xludf.DUMMYFUNCTION("""COMPUTED_VALUE"""),"Second 76.24 Tunisia")</f>
        <v>Second 76.24 Tunisia</v>
      </c>
      <c r="G1592" s="1" t="str">
        <f ca="1">IFERROR(__xludf.DUMMYFUNCTION("""COMPUTED_VALUE"""),"Freedom of Expression, Human Rights Defenders")</f>
        <v>Freedom of Expression, Human Rights Defenders</v>
      </c>
      <c r="H1592" s="1" t="str">
        <f ca="1">IFERROR(__xludf.DUMMYFUNCTION("""COMPUTED_VALUE"""),"2025")</f>
        <v>2025</v>
      </c>
      <c r="I1592" s="1" t="str">
        <f ca="1">IFERROR(__xludf.DUMMYFUNCTION("""COMPUTED_VALUE"""),"Email")</f>
        <v>Email</v>
      </c>
    </row>
    <row r="1593" spans="1:9" ht="13" x14ac:dyDescent="0.15">
      <c r="A1593" s="9">
        <f ca="1">IFERROR(__xludf.DUMMYFUNCTION("""COMPUTED_VALUE"""),161568213)</f>
        <v>161568213</v>
      </c>
      <c r="B1593" s="1" t="str">
        <f ca="1">IFERROR(__xludf.DUMMYFUNCTION("""COMPUTED_VALUE"""),"dmlongrie@gmail.com")</f>
        <v>dmlongrie@gmail.com</v>
      </c>
      <c r="C1593" s="9" t="str">
        <f ca="1">IFERROR(__xludf.DUMMYFUNCTION("""COMPUTED_VALUE"""),"EVERGREEN - UAN Gated Content - Embedded Petition")</f>
        <v>EVERGREEN - UAN Gated Content - Embedded Petition</v>
      </c>
      <c r="D1593" s="10">
        <f ca="1">IFERROR(__xludf.DUMMYFUNCTION("""COMPUTED_VALUE"""),45633)</f>
        <v>45633</v>
      </c>
      <c r="E1593" s="1" t="str">
        <f ca="1">IFERROR(__xludf.DUMMYFUNCTION("""COMPUTED_VALUE"""),"Saudi Arabia")</f>
        <v>Saudi Arabia</v>
      </c>
      <c r="F1593" s="1" t="str">
        <f ca="1">IFERROR(__xludf.DUMMYFUNCTION("""COMPUTED_VALUE"""),"Second 85.23 Saudi Arabia")</f>
        <v>Second 85.23 Saudi Arabia</v>
      </c>
      <c r="G1593" s="1" t="str">
        <f ca="1">IFERROR(__xludf.DUMMYFUNCTION("""COMPUTED_VALUE"""),"Freedom of Expression")</f>
        <v>Freedom of Expression</v>
      </c>
      <c r="H1593" s="1" t="str">
        <f ca="1">IFERROR(__xludf.DUMMYFUNCTION("""COMPUTED_VALUE"""),"2024")</f>
        <v>2024</v>
      </c>
      <c r="I1593" s="1" t="str">
        <f ca="1">IFERROR(__xludf.DUMMYFUNCTION("""COMPUTED_VALUE"""),"Letter")</f>
        <v>Letter</v>
      </c>
    </row>
    <row r="1594" spans="1:9" ht="13" x14ac:dyDescent="0.15">
      <c r="A1594" s="9">
        <f ca="1">IFERROR(__xludf.DUMMYFUNCTION("""COMPUTED_VALUE"""),161568213)</f>
        <v>161568213</v>
      </c>
      <c r="B1594" s="1" t="str">
        <f ca="1">IFERROR(__xludf.DUMMYFUNCTION("""COMPUTED_VALUE"""),"dmlongrie@gmail.com")</f>
        <v>dmlongrie@gmail.com</v>
      </c>
      <c r="C1594" s="9" t="str">
        <f ca="1">IFERROR(__xludf.DUMMYFUNCTION("""COMPUTED_VALUE"""),"EVERGREEN - UAN Gated Content - Embedded Petition")</f>
        <v>EVERGREEN - UAN Gated Content - Embedded Petition</v>
      </c>
      <c r="D1594" s="10">
        <f ca="1">IFERROR(__xludf.DUMMYFUNCTION("""COMPUTED_VALUE"""),45625)</f>
        <v>45625</v>
      </c>
      <c r="E1594" s="1" t="str">
        <f ca="1">IFERROR(__xludf.DUMMYFUNCTION("""COMPUTED_VALUE"""),"Tunisia")</f>
        <v>Tunisia</v>
      </c>
      <c r="F1594" s="1" t="str">
        <f ca="1">IFERROR(__xludf.DUMMYFUNCTION("""COMPUTED_VALUE"""),"Second 76.24 Tunisia")</f>
        <v>Second 76.24 Tunisia</v>
      </c>
      <c r="G1594" s="1" t="str">
        <f ca="1">IFERROR(__xludf.DUMMYFUNCTION("""COMPUTED_VALUE"""),"Freedom of Expression, Human Rights Defenders")</f>
        <v>Freedom of Expression, Human Rights Defenders</v>
      </c>
      <c r="H1594" s="1" t="str">
        <f ca="1">IFERROR(__xludf.DUMMYFUNCTION("""COMPUTED_VALUE"""),"2025")</f>
        <v>2025</v>
      </c>
      <c r="I1594" s="1" t="str">
        <f ca="1">IFERROR(__xludf.DUMMYFUNCTION("""COMPUTED_VALUE"""),"Email")</f>
        <v>Email</v>
      </c>
    </row>
    <row r="1595" spans="1:9" ht="13" x14ac:dyDescent="0.15">
      <c r="A1595" s="9">
        <f ca="1">IFERROR(__xludf.DUMMYFUNCTION("""COMPUTED_VALUE"""),161568213)</f>
        <v>161568213</v>
      </c>
      <c r="B1595" s="1" t="str">
        <f ca="1">IFERROR(__xludf.DUMMYFUNCTION("""COMPUTED_VALUE"""),"dmlongrie@gmail.com")</f>
        <v>dmlongrie@gmail.com</v>
      </c>
      <c r="C1595" s="9" t="str">
        <f ca="1">IFERROR(__xludf.DUMMYFUNCTION("""COMPUTED_VALUE"""),"EVERGREEN - UAN Gated Content - Embedded Petition")</f>
        <v>EVERGREEN - UAN Gated Content - Embedded Petition</v>
      </c>
      <c r="D1595" s="10">
        <f ca="1">IFERROR(__xludf.DUMMYFUNCTION("""COMPUTED_VALUE"""),45627)</f>
        <v>45627</v>
      </c>
      <c r="E1595" s="1" t="str">
        <f ca="1">IFERROR(__xludf.DUMMYFUNCTION("""COMPUTED_VALUE"""),"USA")</f>
        <v>USA</v>
      </c>
      <c r="F1595" s="1" t="str">
        <f ca="1">IFERROR(__xludf.DUMMYFUNCTION("""COMPUTED_VALUE"""),"105.24 USA")</f>
        <v>105.24 USA</v>
      </c>
      <c r="G1595" s="1" t="str">
        <f ca="1">IFERROR(__xludf.DUMMYFUNCTION("""COMPUTED_VALUE"""),"Death Penalty")</f>
        <v>Death Penalty</v>
      </c>
      <c r="H1595" s="1" t="str">
        <f ca="1">IFERROR(__xludf.DUMMYFUNCTION("""COMPUTED_VALUE"""),"2024")</f>
        <v>2024</v>
      </c>
      <c r="I1595" s="1" t="str">
        <f ca="1">IFERROR(__xludf.DUMMYFUNCTION("""COMPUTED_VALUE"""),"Email")</f>
        <v>Email</v>
      </c>
    </row>
    <row r="1596" spans="1:9" ht="13" x14ac:dyDescent="0.15">
      <c r="A1596" s="9">
        <f ca="1">IFERROR(__xludf.DUMMYFUNCTION("""COMPUTED_VALUE"""),161568213)</f>
        <v>161568213</v>
      </c>
      <c r="B1596" s="1" t="str">
        <f ca="1">IFERROR(__xludf.DUMMYFUNCTION("""COMPUTED_VALUE"""),"dmlongrie@gmail.com")</f>
        <v>dmlongrie@gmail.com</v>
      </c>
      <c r="C1596" s="9" t="str">
        <f ca="1">IFERROR(__xludf.DUMMYFUNCTION("""COMPUTED_VALUE"""),"EVERGREEN - UAN Gated Content - Embedded Petition")</f>
        <v>EVERGREEN - UAN Gated Content - Embedded Petition</v>
      </c>
      <c r="D1596" s="10">
        <f ca="1">IFERROR(__xludf.DUMMYFUNCTION("""COMPUTED_VALUE"""),45623)</f>
        <v>45623</v>
      </c>
      <c r="E1596" s="1" t="str">
        <f ca="1">IFERROR(__xludf.DUMMYFUNCTION("""COMPUTED_VALUE"""),"USA")</f>
        <v>USA</v>
      </c>
      <c r="F1596" s="1" t="str">
        <f ca="1">IFERROR(__xludf.DUMMYFUNCTION("""COMPUTED_VALUE"""),"Fourth 55.24 USA")</f>
        <v>Fourth 55.24 USA</v>
      </c>
      <c r="G1596" s="1" t="str">
        <f ca="1">IFERROR(__xludf.DUMMYFUNCTION("""COMPUTED_VALUE"""),"Climate Justice, Individuals At Risk")</f>
        <v>Climate Justice, Individuals At Risk</v>
      </c>
      <c r="H1596" s="1" t="str">
        <f ca="1">IFERROR(__xludf.DUMMYFUNCTION("""COMPUTED_VALUE"""),"2025")</f>
        <v>2025</v>
      </c>
      <c r="I1596" s="1" t="str">
        <f ca="1">IFERROR(__xludf.DUMMYFUNCTION("""COMPUTED_VALUE"""),"Email")</f>
        <v>Email</v>
      </c>
    </row>
    <row r="1597" spans="1:9" ht="13" x14ac:dyDescent="0.15">
      <c r="A1597" s="9">
        <f ca="1">IFERROR(__xludf.DUMMYFUNCTION("""COMPUTED_VALUE"""),164998965)</f>
        <v>164998965</v>
      </c>
      <c r="B1597" s="1" t="str">
        <f ca="1">IFERROR(__xludf.DUMMYFUNCTION("""COMPUTED_VALUE"""),"pinkypico@yahoo.com")</f>
        <v>pinkypico@yahoo.com</v>
      </c>
      <c r="C1597" s="9" t="str">
        <f ca="1">IFERROR(__xludf.DUMMYFUNCTION("""COMPUTED_VALUE"""),"EVERGREEN - UAN Gated Content - Embedded Petition")</f>
        <v>EVERGREEN - UAN Gated Content - Embedded Petition</v>
      </c>
      <c r="D1597" s="10">
        <f ca="1">IFERROR(__xludf.DUMMYFUNCTION("""COMPUTED_VALUE"""),45689)</f>
        <v>45689</v>
      </c>
      <c r="E1597" s="1" t="str">
        <f ca="1">IFERROR(__xludf.DUMMYFUNCTION("""COMPUTED_VALUE"""),"Israel and Occupied Palestinian Territories")</f>
        <v>Israel and Occupied Palestinian Territories</v>
      </c>
      <c r="F1597" s="1" t="str">
        <f ca="1">IFERROR(__xludf.DUMMYFUNCTION("""COMPUTED_VALUE"""),"3.25 IOPT")</f>
        <v>3.25 IOPT</v>
      </c>
      <c r="G1597" s="1" t="str">
        <f ca="1">IFERROR(__xludf.DUMMYFUNCTION("""COMPUTED_VALUE"""),"Freedom of Expression, Individuals At Risk")</f>
        <v>Freedom of Expression, Individuals At Risk</v>
      </c>
      <c r="H1597" s="1" t="str">
        <f ca="1">IFERROR(__xludf.DUMMYFUNCTION("""COMPUTED_VALUE"""),"2025")</f>
        <v>2025</v>
      </c>
      <c r="I1597" s="1" t="str">
        <f ca="1">IFERROR(__xludf.DUMMYFUNCTION("""COMPUTED_VALUE"""),"Email")</f>
        <v>Email</v>
      </c>
    </row>
    <row r="1598" spans="1:9" ht="13" x14ac:dyDescent="0.15">
      <c r="A1598" s="9">
        <f ca="1">IFERROR(__xludf.DUMMYFUNCTION("""COMPUTED_VALUE"""),165520775)</f>
        <v>165520775</v>
      </c>
      <c r="B1598" s="1" t="str">
        <f ca="1">IFERROR(__xludf.DUMMYFUNCTION("""COMPUTED_VALUE"""),"davidwolfson@sbcglobal.net")</f>
        <v>davidwolfson@sbcglobal.net</v>
      </c>
      <c r="C1598" s="9" t="str">
        <f ca="1">IFERROR(__xludf.DUMMYFUNCTION("""COMPUTED_VALUE"""),"EVERGREEN - UAN Gated Content - Embedded Petition")</f>
        <v>EVERGREEN - UAN Gated Content - Embedded Petition</v>
      </c>
      <c r="D1598" s="10">
        <f ca="1">IFERROR(__xludf.DUMMYFUNCTION("""COMPUTED_VALUE"""),45696)</f>
        <v>45696</v>
      </c>
      <c r="E1598" s="1" t="str">
        <f ca="1">IFERROR(__xludf.DUMMYFUNCTION("""COMPUTED_VALUE"""),"Afghanistan")</f>
        <v>Afghanistan</v>
      </c>
      <c r="F1598" s="1" t="str">
        <f ca="1">IFERROR(__xludf.DUMMYFUNCTION("""COMPUTED_VALUE"""),"11.25 Afghanistan")</f>
        <v>11.25 Afghanistan</v>
      </c>
      <c r="G1598" s="1" t="str">
        <f ca="1">IFERROR(__xludf.DUMMYFUNCTION("""COMPUTED_VALUE"""),"Freedom of Expression, Health, Individuals At Risk")</f>
        <v>Freedom of Expression, Health, Individuals At Risk</v>
      </c>
      <c r="H1598" s="1" t="str">
        <f ca="1">IFERROR(__xludf.DUMMYFUNCTION("""COMPUTED_VALUE"""),"2025")</f>
        <v>2025</v>
      </c>
      <c r="I1598" s="1" t="str">
        <f ca="1">IFERROR(__xludf.DUMMYFUNCTION("""COMPUTED_VALUE"""),"Email")</f>
        <v>Email</v>
      </c>
    </row>
    <row r="1599" spans="1:9" ht="13" x14ac:dyDescent="0.15">
      <c r="A1599" s="9">
        <f ca="1">IFERROR(__xludf.DUMMYFUNCTION("""COMPUTED_VALUE"""),165520775)</f>
        <v>165520775</v>
      </c>
      <c r="B1599" s="1" t="str">
        <f ca="1">IFERROR(__xludf.DUMMYFUNCTION("""COMPUTED_VALUE"""),"davidwolfson@sbcglobal.net")</f>
        <v>davidwolfson@sbcglobal.net</v>
      </c>
      <c r="C1599" s="9" t="str">
        <f ca="1">IFERROR(__xludf.DUMMYFUNCTION("""COMPUTED_VALUE"""),"EVERGREEN - UAN Gated Content - Embedded Petition")</f>
        <v>EVERGREEN - UAN Gated Content - Embedded Petition</v>
      </c>
      <c r="D1599" s="10">
        <f ca="1">IFERROR(__xludf.DUMMYFUNCTION("""COMPUTED_VALUE"""),45636)</f>
        <v>45636</v>
      </c>
      <c r="E1599" s="1" t="str">
        <f ca="1">IFERROR(__xludf.DUMMYFUNCTION("""COMPUTED_VALUE"""),"Tunisia")</f>
        <v>Tunisia</v>
      </c>
      <c r="F1599" s="1" t="str">
        <f ca="1">IFERROR(__xludf.DUMMYFUNCTION("""COMPUTED_VALUE"""),"Second 76.24 Tunisia")</f>
        <v>Second 76.24 Tunisia</v>
      </c>
      <c r="G1599" s="1" t="str">
        <f ca="1">IFERROR(__xludf.DUMMYFUNCTION("""COMPUTED_VALUE"""),"Freedom of Expression, Human Rights Defenders")</f>
        <v>Freedom of Expression, Human Rights Defenders</v>
      </c>
      <c r="H1599" s="1" t="str">
        <f ca="1">IFERROR(__xludf.DUMMYFUNCTION("""COMPUTED_VALUE"""),"2025")</f>
        <v>2025</v>
      </c>
      <c r="I1599" s="1" t="str">
        <f ca="1">IFERROR(__xludf.DUMMYFUNCTION("""COMPUTED_VALUE"""),"Email")</f>
        <v>Email</v>
      </c>
    </row>
    <row r="1600" spans="1:9" ht="13" x14ac:dyDescent="0.15">
      <c r="A1600" s="9">
        <f ca="1">IFERROR(__xludf.DUMMYFUNCTION("""COMPUTED_VALUE"""),165520775)</f>
        <v>165520775</v>
      </c>
      <c r="B1600" s="1" t="str">
        <f ca="1">IFERROR(__xludf.DUMMYFUNCTION("""COMPUTED_VALUE"""),"davidwolfson@sbcglobal.net")</f>
        <v>davidwolfson@sbcglobal.net</v>
      </c>
      <c r="C1600" s="9" t="str">
        <f ca="1">IFERROR(__xludf.DUMMYFUNCTION("""COMPUTED_VALUE"""),"EVERGREEN - UAN Gated Content - Embedded Petition")</f>
        <v>EVERGREEN - UAN Gated Content - Embedded Petition</v>
      </c>
      <c r="D1600" s="10">
        <f ca="1">IFERROR(__xludf.DUMMYFUNCTION("""COMPUTED_VALUE"""),45700)</f>
        <v>45700</v>
      </c>
      <c r="E1600" s="1" t="str">
        <f ca="1">IFERROR(__xludf.DUMMYFUNCTION("""COMPUTED_VALUE"""),"Iran")</f>
        <v>Iran</v>
      </c>
      <c r="F1600" s="1" t="str">
        <f ca="1">IFERROR(__xludf.DUMMYFUNCTION("""COMPUTED_VALUE"""),"Seventh 103.22 Iran")</f>
        <v>Seventh 103.22 Iran</v>
      </c>
      <c r="G1600" s="1" t="str">
        <f ca="1">IFERROR(__xludf.DUMMYFUNCTION("""COMPUTED_VALUE"""),"Death Penalty, Freedom of Expression, Individuals At Risk")</f>
        <v>Death Penalty, Freedom of Expression, Individuals At Risk</v>
      </c>
      <c r="H1600" s="1" t="str">
        <f ca="1">IFERROR(__xludf.DUMMYFUNCTION("""COMPUTED_VALUE"""),"2024")</f>
        <v>2024</v>
      </c>
      <c r="I1600" s="1" t="str">
        <f ca="1">IFERROR(__xludf.DUMMYFUNCTION("""COMPUTED_VALUE"""),"Email")</f>
        <v>Email</v>
      </c>
    </row>
    <row r="1601" spans="1:9" ht="13" x14ac:dyDescent="0.15">
      <c r="A1601" s="9">
        <f ca="1">IFERROR(__xludf.DUMMYFUNCTION("""COMPUTED_VALUE"""),165520775)</f>
        <v>165520775</v>
      </c>
      <c r="B1601" s="1" t="str">
        <f ca="1">IFERROR(__xludf.DUMMYFUNCTION("""COMPUTED_VALUE"""),"davidwolfson@sbcglobal.net")</f>
        <v>davidwolfson@sbcglobal.net</v>
      </c>
      <c r="C1601" s="9" t="str">
        <f ca="1">IFERROR(__xludf.DUMMYFUNCTION("""COMPUTED_VALUE"""),"EVERGREEN - UAN Gated Content - Embedded Petition")</f>
        <v>EVERGREEN - UAN Gated Content - Embedded Petition</v>
      </c>
      <c r="D1601" s="10">
        <f ca="1">IFERROR(__xludf.DUMMYFUNCTION("""COMPUTED_VALUE"""),45697)</f>
        <v>45697</v>
      </c>
      <c r="E1601" s="1" t="str">
        <f ca="1">IFERROR(__xludf.DUMMYFUNCTION("""COMPUTED_VALUE"""),"Israel and Occupied Palestinian Territories")</f>
        <v>Israel and Occupied Palestinian Territories</v>
      </c>
      <c r="F1601" s="1" t="str">
        <f ca="1">IFERROR(__xludf.DUMMYFUNCTION("""COMPUTED_VALUE"""),"3.25 IOPT")</f>
        <v>3.25 IOPT</v>
      </c>
      <c r="G1601" s="1" t="str">
        <f ca="1">IFERROR(__xludf.DUMMYFUNCTION("""COMPUTED_VALUE"""),"Freedom of Expression, Individuals At Risk")</f>
        <v>Freedom of Expression, Individuals At Risk</v>
      </c>
      <c r="H1601" s="1" t="str">
        <f ca="1">IFERROR(__xludf.DUMMYFUNCTION("""COMPUTED_VALUE"""),"2025")</f>
        <v>2025</v>
      </c>
      <c r="I1601" s="1" t="str">
        <f ca="1">IFERROR(__xludf.DUMMYFUNCTION("""COMPUTED_VALUE"""),"Email")</f>
        <v>Email</v>
      </c>
    </row>
    <row r="1602" spans="1:9" ht="13" x14ac:dyDescent="0.15">
      <c r="A1602" s="9">
        <f ca="1">IFERROR(__xludf.DUMMYFUNCTION("""COMPUTED_VALUE"""),165520775)</f>
        <v>165520775</v>
      </c>
      <c r="B1602" s="1" t="str">
        <f ca="1">IFERROR(__xludf.DUMMYFUNCTION("""COMPUTED_VALUE"""),"davidwolfson@sbcglobal.net")</f>
        <v>davidwolfson@sbcglobal.net</v>
      </c>
      <c r="C1602" s="9" t="str">
        <f ca="1">IFERROR(__xludf.DUMMYFUNCTION("""COMPUTED_VALUE"""),"EVERGREEN - UAN Gated Content - Embedded Petition")</f>
        <v>EVERGREEN - UAN Gated Content - Embedded Petition</v>
      </c>
      <c r="D1602" s="10">
        <f ca="1">IFERROR(__xludf.DUMMYFUNCTION("""COMPUTED_VALUE"""),45695)</f>
        <v>45695</v>
      </c>
      <c r="E1602" s="1" t="str">
        <f ca="1">IFERROR(__xludf.DUMMYFUNCTION("""COMPUTED_VALUE"""),"USA")</f>
        <v>USA</v>
      </c>
      <c r="F1602" s="1" t="str">
        <f ca="1">IFERROR(__xludf.DUMMYFUNCTION("""COMPUTED_VALUE"""),"Fourth 55.24 USA")</f>
        <v>Fourth 55.24 USA</v>
      </c>
      <c r="G1602" s="1" t="str">
        <f ca="1">IFERROR(__xludf.DUMMYFUNCTION("""COMPUTED_VALUE"""),"Climate Justice, Individuals At Risk")</f>
        <v>Climate Justice, Individuals At Risk</v>
      </c>
      <c r="H1602" s="1" t="str">
        <f ca="1">IFERROR(__xludf.DUMMYFUNCTION("""COMPUTED_VALUE"""),"2025")</f>
        <v>2025</v>
      </c>
      <c r="I1602" s="1" t="str">
        <f ca="1">IFERROR(__xludf.DUMMYFUNCTION("""COMPUTED_VALUE"""),"Email")</f>
        <v>Email</v>
      </c>
    </row>
    <row r="1603" spans="1:9" ht="13" x14ac:dyDescent="0.15">
      <c r="A1603" s="9">
        <f ca="1">IFERROR(__xludf.DUMMYFUNCTION("""COMPUTED_VALUE"""),165520775)</f>
        <v>165520775</v>
      </c>
      <c r="B1603" s="1" t="str">
        <f ca="1">IFERROR(__xludf.DUMMYFUNCTION("""COMPUTED_VALUE"""),"davidwolfson@sbcglobal.net")</f>
        <v>davidwolfson@sbcglobal.net</v>
      </c>
      <c r="C1603" s="9" t="str">
        <f ca="1">IFERROR(__xludf.DUMMYFUNCTION("""COMPUTED_VALUE"""),"EVERGREEN - UAN Gated Content - Embedded Petition")</f>
        <v>EVERGREEN - UAN Gated Content - Embedded Petition</v>
      </c>
      <c r="D1603" s="10">
        <f ca="1">IFERROR(__xludf.DUMMYFUNCTION("""COMPUTED_VALUE"""),45685)</f>
        <v>45685</v>
      </c>
      <c r="E1603" s="1" t="str">
        <f ca="1">IFERROR(__xludf.DUMMYFUNCTION("""COMPUTED_VALUE"""),"Egypt")</f>
        <v>Egypt</v>
      </c>
      <c r="F1603" s="1" t="str">
        <f ca="1">IFERROR(__xludf.DUMMYFUNCTION("""COMPUTED_VALUE"""),"Ninth 190.18 Egypt")</f>
        <v>Ninth 190.18 Egypt</v>
      </c>
      <c r="G1603" s="1" t="str">
        <f ca="1">IFERROR(__xludf.DUMMYFUNCTION("""COMPUTED_VALUE"""),"Freedom of Expression, Individuals At Risk")</f>
        <v>Freedom of Expression, Individuals At Risk</v>
      </c>
      <c r="H1603" s="1" t="str">
        <f ca="1">IFERROR(__xludf.DUMMYFUNCTION("""COMPUTED_VALUE"""),"2024")</f>
        <v>2024</v>
      </c>
      <c r="I1603" s="1" t="str">
        <f ca="1">IFERROR(__xludf.DUMMYFUNCTION("""COMPUTED_VALUE"""),"Letter")</f>
        <v>Letter</v>
      </c>
    </row>
    <row r="1604" spans="1:9" ht="13" x14ac:dyDescent="0.15">
      <c r="A1604" s="9">
        <f ca="1">IFERROR(__xludf.DUMMYFUNCTION("""COMPUTED_VALUE"""),165520775)</f>
        <v>165520775</v>
      </c>
      <c r="B1604" s="1" t="str">
        <f ca="1">IFERROR(__xludf.DUMMYFUNCTION("""COMPUTED_VALUE"""),"davidwolfson@sbcglobal.net")</f>
        <v>davidwolfson@sbcglobal.net</v>
      </c>
      <c r="C1604" s="9" t="str">
        <f ca="1">IFERROR(__xludf.DUMMYFUNCTION("""COMPUTED_VALUE"""),"EVERGREEN - UAN Gated Content - Embedded Petition")</f>
        <v>EVERGREEN - UAN Gated Content - Embedded Petition</v>
      </c>
      <c r="D1604" s="10">
        <f ca="1">IFERROR(__xludf.DUMMYFUNCTION("""COMPUTED_VALUE"""),45686)</f>
        <v>45686</v>
      </c>
      <c r="E1604" s="1" t="str">
        <f ca="1">IFERROR(__xludf.DUMMYFUNCTION("""COMPUTED_VALUE"""),"Venezuela")</f>
        <v>Venezuela</v>
      </c>
      <c r="F1604" s="1" t="str">
        <f ca="1">IFERROR(__xludf.DUMMYFUNCTION("""COMPUTED_VALUE"""),"97.24 Venezuela")</f>
        <v>97.24 Venezuela</v>
      </c>
      <c r="G1604" s="1" t="str">
        <f ca="1">IFERROR(__xludf.DUMMYFUNCTION("""COMPUTED_VALUE"""),"Freedom of Expression")</f>
        <v>Freedom of Expression</v>
      </c>
      <c r="H1604" s="1" t="str">
        <f ca="1">IFERROR(__xludf.DUMMYFUNCTION("""COMPUTED_VALUE"""),"2024")</f>
        <v>2024</v>
      </c>
      <c r="I1604" s="1" t="str">
        <f ca="1">IFERROR(__xludf.DUMMYFUNCTION("""COMPUTED_VALUE"""),"Letter")</f>
        <v>Letter</v>
      </c>
    </row>
    <row r="1605" spans="1:9" ht="13" x14ac:dyDescent="0.15">
      <c r="A1605" s="9">
        <f ca="1">IFERROR(__xludf.DUMMYFUNCTION("""COMPUTED_VALUE"""),165520775)</f>
        <v>165520775</v>
      </c>
      <c r="B1605" s="1" t="str">
        <f ca="1">IFERROR(__xludf.DUMMYFUNCTION("""COMPUTED_VALUE"""),"davidwolfson@sbcglobal.net")</f>
        <v>davidwolfson@sbcglobal.net</v>
      </c>
      <c r="C1605" s="9" t="str">
        <f ca="1">IFERROR(__xludf.DUMMYFUNCTION("""COMPUTED_VALUE"""),"EVERGREEN - UAN Gated Content - Embedded Petition")</f>
        <v>EVERGREEN - UAN Gated Content - Embedded Petition</v>
      </c>
      <c r="D1605" s="10">
        <f ca="1">IFERROR(__xludf.DUMMYFUNCTION("""COMPUTED_VALUE"""),45687)</f>
        <v>45687</v>
      </c>
      <c r="E1605" s="1" t="str">
        <f ca="1">IFERROR(__xludf.DUMMYFUNCTION("""COMPUTED_VALUE"""),"Tunisia")</f>
        <v>Tunisia</v>
      </c>
      <c r="F1605" s="1" t="str">
        <f ca="1">IFERROR(__xludf.DUMMYFUNCTION("""COMPUTED_VALUE"""),"Second 76.24 Tunisia")</f>
        <v>Second 76.24 Tunisia</v>
      </c>
      <c r="G1605" s="1" t="str">
        <f ca="1">IFERROR(__xludf.DUMMYFUNCTION("""COMPUTED_VALUE"""),"Freedom of Expression, Human Rights Defenders")</f>
        <v>Freedom of Expression, Human Rights Defenders</v>
      </c>
      <c r="H1605" s="1" t="str">
        <f ca="1">IFERROR(__xludf.DUMMYFUNCTION("""COMPUTED_VALUE"""),"2025")</f>
        <v>2025</v>
      </c>
      <c r="I1605" s="1" t="str">
        <f ca="1">IFERROR(__xludf.DUMMYFUNCTION("""COMPUTED_VALUE"""),"Email")</f>
        <v>Email</v>
      </c>
    </row>
    <row r="1606" spans="1:9" ht="13" x14ac:dyDescent="0.15">
      <c r="A1606" s="9">
        <f ca="1">IFERROR(__xludf.DUMMYFUNCTION("""COMPUTED_VALUE"""),165520775)</f>
        <v>165520775</v>
      </c>
      <c r="B1606" s="1" t="str">
        <f ca="1">IFERROR(__xludf.DUMMYFUNCTION("""COMPUTED_VALUE"""),"davidwolfson@sbcglobal.net")</f>
        <v>davidwolfson@sbcglobal.net</v>
      </c>
      <c r="C1606" s="9" t="str">
        <f ca="1">IFERROR(__xludf.DUMMYFUNCTION("""COMPUTED_VALUE"""),"EVERGREEN - UAN Gated Content - Embedded Petition")</f>
        <v>EVERGREEN - UAN Gated Content - Embedded Petition</v>
      </c>
      <c r="D1606" s="10">
        <f ca="1">IFERROR(__xludf.DUMMYFUNCTION("""COMPUTED_VALUE"""),45688)</f>
        <v>45688</v>
      </c>
      <c r="E1606" s="1" t="str">
        <f ca="1">IFERROR(__xludf.DUMMYFUNCTION("""COMPUTED_VALUE"""),"China")</f>
        <v>China</v>
      </c>
      <c r="F1606" s="1" t="str">
        <f ca="1">IFERROR(__xludf.DUMMYFUNCTION("""COMPUTED_VALUE"""),"106.24 China")</f>
        <v>106.24 China</v>
      </c>
      <c r="G1606" s="1" t="str">
        <f ca="1">IFERROR(__xludf.DUMMYFUNCTION("""COMPUTED_VALUE"""),"Freedom of Expression, Individuals At Risk")</f>
        <v>Freedom of Expression, Individuals At Risk</v>
      </c>
      <c r="H1606" s="1" t="str">
        <f ca="1">IFERROR(__xludf.DUMMYFUNCTION("""COMPUTED_VALUE"""),"2024")</f>
        <v>2024</v>
      </c>
      <c r="I1606" s="1" t="str">
        <f ca="1">IFERROR(__xludf.DUMMYFUNCTION("""COMPUTED_VALUE"""),"Email")</f>
        <v>Email</v>
      </c>
    </row>
    <row r="1607" spans="1:9" ht="13" x14ac:dyDescent="0.15">
      <c r="A1607" s="9">
        <f ca="1">IFERROR(__xludf.DUMMYFUNCTION("""COMPUTED_VALUE"""),165520775)</f>
        <v>165520775</v>
      </c>
      <c r="B1607" s="1" t="str">
        <f ca="1">IFERROR(__xludf.DUMMYFUNCTION("""COMPUTED_VALUE"""),"davidwolfson@sbcglobal.net")</f>
        <v>davidwolfson@sbcglobal.net</v>
      </c>
      <c r="C1607" s="9" t="str">
        <f ca="1">IFERROR(__xludf.DUMMYFUNCTION("""COMPUTED_VALUE"""),"EVERGREEN - UAN Gated Content - Embedded Petition")</f>
        <v>EVERGREEN - UAN Gated Content - Embedded Petition</v>
      </c>
      <c r="D1607" s="10">
        <f ca="1">IFERROR(__xludf.DUMMYFUNCTION("""COMPUTED_VALUE"""),45689)</f>
        <v>45689</v>
      </c>
      <c r="E1607" s="1" t="str">
        <f ca="1">IFERROR(__xludf.DUMMYFUNCTION("""COMPUTED_VALUE"""),"Venezuela")</f>
        <v>Venezuela</v>
      </c>
      <c r="F1607" s="1" t="str">
        <f ca="1">IFERROR(__xludf.DUMMYFUNCTION("""COMPUTED_VALUE"""),"97.24 Venezuela")</f>
        <v>97.24 Venezuela</v>
      </c>
      <c r="G1607" s="1" t="str">
        <f ca="1">IFERROR(__xludf.DUMMYFUNCTION("""COMPUTED_VALUE"""),"Freedom of Expression")</f>
        <v>Freedom of Expression</v>
      </c>
      <c r="H1607" s="1" t="str">
        <f ca="1">IFERROR(__xludf.DUMMYFUNCTION("""COMPUTED_VALUE"""),"2024")</f>
        <v>2024</v>
      </c>
      <c r="I1607" s="1" t="str">
        <f ca="1">IFERROR(__xludf.DUMMYFUNCTION("""COMPUTED_VALUE"""),"Letter")</f>
        <v>Letter</v>
      </c>
    </row>
    <row r="1608" spans="1:9" ht="13" x14ac:dyDescent="0.15">
      <c r="A1608" s="9">
        <f ca="1">IFERROR(__xludf.DUMMYFUNCTION("""COMPUTED_VALUE"""),165520775)</f>
        <v>165520775</v>
      </c>
      <c r="B1608" s="1" t="str">
        <f ca="1">IFERROR(__xludf.DUMMYFUNCTION("""COMPUTED_VALUE"""),"davidwolfson@sbcglobal.net")</f>
        <v>davidwolfson@sbcglobal.net</v>
      </c>
      <c r="C1608" s="9" t="str">
        <f ca="1">IFERROR(__xludf.DUMMYFUNCTION("""COMPUTED_VALUE"""),"EVERGREEN - UAN Gated Content - Embedded Petition")</f>
        <v>EVERGREEN - UAN Gated Content - Embedded Petition</v>
      </c>
      <c r="D1608" s="10">
        <f ca="1">IFERROR(__xludf.DUMMYFUNCTION("""COMPUTED_VALUE"""),45694)</f>
        <v>45694</v>
      </c>
      <c r="E1608" s="1" t="str">
        <f ca="1">IFERROR(__xludf.DUMMYFUNCTION("""COMPUTED_VALUE"""),"Tunisia")</f>
        <v>Tunisia</v>
      </c>
      <c r="F1608" s="1" t="str">
        <f ca="1">IFERROR(__xludf.DUMMYFUNCTION("""COMPUTED_VALUE"""),"Second 76.24 Tunisia")</f>
        <v>Second 76.24 Tunisia</v>
      </c>
      <c r="G1608" s="1" t="str">
        <f ca="1">IFERROR(__xludf.DUMMYFUNCTION("""COMPUTED_VALUE"""),"Freedom of Expression, Human Rights Defenders")</f>
        <v>Freedom of Expression, Human Rights Defenders</v>
      </c>
      <c r="H1608" s="1" t="str">
        <f ca="1">IFERROR(__xludf.DUMMYFUNCTION("""COMPUTED_VALUE"""),"2025")</f>
        <v>2025</v>
      </c>
      <c r="I1608" s="1" t="str">
        <f ca="1">IFERROR(__xludf.DUMMYFUNCTION("""COMPUTED_VALUE"""),"Email")</f>
        <v>Email</v>
      </c>
    </row>
    <row r="1609" spans="1:9" ht="13" x14ac:dyDescent="0.15">
      <c r="A1609" s="9">
        <f ca="1">IFERROR(__xludf.DUMMYFUNCTION("""COMPUTED_VALUE"""),165520775)</f>
        <v>165520775</v>
      </c>
      <c r="B1609" s="1" t="str">
        <f ca="1">IFERROR(__xludf.DUMMYFUNCTION("""COMPUTED_VALUE"""),"davidwolfson@sbcglobal.net")</f>
        <v>davidwolfson@sbcglobal.net</v>
      </c>
      <c r="C1609" s="9" t="str">
        <f ca="1">IFERROR(__xludf.DUMMYFUNCTION("""COMPUTED_VALUE"""),"EVERGREEN - UAN Gated Content - Embedded Petition")</f>
        <v>EVERGREEN - UAN Gated Content - Embedded Petition</v>
      </c>
      <c r="D1609" s="10">
        <f ca="1">IFERROR(__xludf.DUMMYFUNCTION("""COMPUTED_VALUE"""),45660)</f>
        <v>45660</v>
      </c>
      <c r="E1609" s="1" t="str">
        <f ca="1">IFERROR(__xludf.DUMMYFUNCTION("""COMPUTED_VALUE"""),"Mexico")</f>
        <v>Mexico</v>
      </c>
      <c r="F1609" s="1" t="str">
        <f ca="1">IFERROR(__xludf.DUMMYFUNCTION("""COMPUTED_VALUE"""),"92.24 Mexico")</f>
        <v>92.24 Mexico</v>
      </c>
      <c r="G1609" s="1" t="str">
        <f ca="1">IFERROR(__xludf.DUMMYFUNCTION("""COMPUTED_VALUE"""),"Human Rights Defenders")</f>
        <v>Human Rights Defenders</v>
      </c>
      <c r="H1609" s="1" t="str">
        <f ca="1">IFERROR(__xludf.DUMMYFUNCTION("""COMPUTED_VALUE"""),"2024")</f>
        <v>2024</v>
      </c>
      <c r="I1609" s="1" t="str">
        <f ca="1">IFERROR(__xludf.DUMMYFUNCTION("""COMPUTED_VALUE"""),"Email")</f>
        <v>Email</v>
      </c>
    </row>
    <row r="1610" spans="1:9" ht="13" x14ac:dyDescent="0.15">
      <c r="A1610" s="9">
        <f ca="1">IFERROR(__xludf.DUMMYFUNCTION("""COMPUTED_VALUE"""),165520775)</f>
        <v>165520775</v>
      </c>
      <c r="B1610" s="1" t="str">
        <f ca="1">IFERROR(__xludf.DUMMYFUNCTION("""COMPUTED_VALUE"""),"davidwolfson@sbcglobal.net")</f>
        <v>davidwolfson@sbcglobal.net</v>
      </c>
      <c r="C1610" s="9" t="str">
        <f ca="1">IFERROR(__xludf.DUMMYFUNCTION("""COMPUTED_VALUE"""),"EVERGREEN - UAN Gated Content - Embedded Petition")</f>
        <v>EVERGREEN - UAN Gated Content - Embedded Petition</v>
      </c>
      <c r="D1610" s="10">
        <f ca="1">IFERROR(__xludf.DUMMYFUNCTION("""COMPUTED_VALUE"""),45670)</f>
        <v>45670</v>
      </c>
      <c r="E1610" s="1" t="str">
        <f ca="1">IFERROR(__xludf.DUMMYFUNCTION("""COMPUTED_VALUE"""),"USA")</f>
        <v>USA</v>
      </c>
      <c r="F1610" s="1" t="str">
        <f ca="1">IFERROR(__xludf.DUMMYFUNCTION("""COMPUTED_VALUE"""),"4.25 USA")</f>
        <v>4.25 USA</v>
      </c>
      <c r="G1610" s="1" t="str">
        <f ca="1">IFERROR(__xludf.DUMMYFUNCTION("""COMPUTED_VALUE"""),"Individuals At Risk, Refugee and Migrant Rights")</f>
        <v>Individuals At Risk, Refugee and Migrant Rights</v>
      </c>
      <c r="H1610" s="1" t="str">
        <f ca="1">IFERROR(__xludf.DUMMYFUNCTION("""COMPUTED_VALUE"""),"2025")</f>
        <v>2025</v>
      </c>
      <c r="I1610" s="1" t="str">
        <f ca="1">IFERROR(__xludf.DUMMYFUNCTION("""COMPUTED_VALUE"""),"Letter")</f>
        <v>Letter</v>
      </c>
    </row>
    <row r="1611" spans="1:9" ht="13" x14ac:dyDescent="0.15">
      <c r="A1611" s="9">
        <f ca="1">IFERROR(__xludf.DUMMYFUNCTION("""COMPUTED_VALUE"""),165520775)</f>
        <v>165520775</v>
      </c>
      <c r="B1611" s="1" t="str">
        <f ca="1">IFERROR(__xludf.DUMMYFUNCTION("""COMPUTED_VALUE"""),"davidwolfson@sbcglobal.net")</f>
        <v>davidwolfson@sbcglobal.net</v>
      </c>
      <c r="C1611" s="9" t="str">
        <f ca="1">IFERROR(__xludf.DUMMYFUNCTION("""COMPUTED_VALUE"""),"EVERGREEN - UAN Gated Content - Embedded Petition")</f>
        <v>EVERGREEN - UAN Gated Content - Embedded Petition</v>
      </c>
      <c r="D1611" s="10">
        <f ca="1">IFERROR(__xludf.DUMMYFUNCTION("""COMPUTED_VALUE"""),45672)</f>
        <v>45672</v>
      </c>
      <c r="E1611" s="1" t="str">
        <f ca="1">IFERROR(__xludf.DUMMYFUNCTION("""COMPUTED_VALUE"""),"Iran")</f>
        <v>Iran</v>
      </c>
      <c r="F1611" s="1" t="str">
        <f ca="1">IFERROR(__xludf.DUMMYFUNCTION("""COMPUTED_VALUE"""),"Seventh 103.22 Iran")</f>
        <v>Seventh 103.22 Iran</v>
      </c>
      <c r="G1611" s="1" t="str">
        <f ca="1">IFERROR(__xludf.DUMMYFUNCTION("""COMPUTED_VALUE"""),"Death Penalty, Freedom of Expression, Individuals At Risk")</f>
        <v>Death Penalty, Freedom of Expression, Individuals At Risk</v>
      </c>
      <c r="H1611" s="1" t="str">
        <f ca="1">IFERROR(__xludf.DUMMYFUNCTION("""COMPUTED_VALUE"""),"2024")</f>
        <v>2024</v>
      </c>
      <c r="I1611" s="1" t="str">
        <f ca="1">IFERROR(__xludf.DUMMYFUNCTION("""COMPUTED_VALUE"""),"Email")</f>
        <v>Email</v>
      </c>
    </row>
    <row r="1612" spans="1:9" ht="13" x14ac:dyDescent="0.15">
      <c r="A1612" s="9">
        <f ca="1">IFERROR(__xludf.DUMMYFUNCTION("""COMPUTED_VALUE"""),165520775)</f>
        <v>165520775</v>
      </c>
      <c r="B1612" s="1" t="str">
        <f ca="1">IFERROR(__xludf.DUMMYFUNCTION("""COMPUTED_VALUE"""),"davidwolfson@sbcglobal.net")</f>
        <v>davidwolfson@sbcglobal.net</v>
      </c>
      <c r="C1612" s="9" t="str">
        <f ca="1">IFERROR(__xludf.DUMMYFUNCTION("""COMPUTED_VALUE"""),"EVERGREEN - UAN Gated Content - Embedded Petition")</f>
        <v>EVERGREEN - UAN Gated Content - Embedded Petition</v>
      </c>
      <c r="D1612" s="10">
        <f ca="1">IFERROR(__xludf.DUMMYFUNCTION("""COMPUTED_VALUE"""),45646)</f>
        <v>45646</v>
      </c>
      <c r="E1612" s="1" t="str">
        <f ca="1">IFERROR(__xludf.DUMMYFUNCTION("""COMPUTED_VALUE"""),"Niger")</f>
        <v>Niger</v>
      </c>
      <c r="F1612" s="1" t="str">
        <f ca="1">IFERROR(__xludf.DUMMYFUNCTION("""COMPUTED_VALUE"""),"103.24 Niger")</f>
        <v>103.24 Niger</v>
      </c>
      <c r="G1612" s="1" t="str">
        <f ca="1">IFERROR(__xludf.DUMMYFUNCTION("""COMPUTED_VALUE"""),"Freedom of Expression, Human Rights Defenders")</f>
        <v>Freedom of Expression, Human Rights Defenders</v>
      </c>
      <c r="H1612" s="1" t="str">
        <f ca="1">IFERROR(__xludf.DUMMYFUNCTION("""COMPUTED_VALUE"""),"2024")</f>
        <v>2024</v>
      </c>
      <c r="I1612" s="1" t="str">
        <f ca="1">IFERROR(__xludf.DUMMYFUNCTION("""COMPUTED_VALUE"""),"Email")</f>
        <v>Email</v>
      </c>
    </row>
    <row r="1613" spans="1:9" ht="13" x14ac:dyDescent="0.15">
      <c r="A1613" s="9">
        <f ca="1">IFERROR(__xludf.DUMMYFUNCTION("""COMPUTED_VALUE"""),165520775)</f>
        <v>165520775</v>
      </c>
      <c r="B1613" s="1" t="str">
        <f ca="1">IFERROR(__xludf.DUMMYFUNCTION("""COMPUTED_VALUE"""),"davidwolfson@sbcglobal.net")</f>
        <v>davidwolfson@sbcglobal.net</v>
      </c>
      <c r="C1613" s="9" t="str">
        <f ca="1">IFERROR(__xludf.DUMMYFUNCTION("""COMPUTED_VALUE"""),"EVERGREEN - UAN Gated Content - Embedded Petition")</f>
        <v>EVERGREEN - UAN Gated Content - Embedded Petition</v>
      </c>
      <c r="D1613" s="10">
        <f ca="1">IFERROR(__xludf.DUMMYFUNCTION("""COMPUTED_VALUE"""),45647)</f>
        <v>45647</v>
      </c>
      <c r="E1613" s="1" t="str">
        <f ca="1">IFERROR(__xludf.DUMMYFUNCTION("""COMPUTED_VALUE"""),"Azerbaijan")</f>
        <v>Azerbaijan</v>
      </c>
      <c r="F1613" s="1" t="str">
        <f ca="1">IFERROR(__xludf.DUMMYFUNCTION("""COMPUTED_VALUE"""),"2.25 Azerbaijan")</f>
        <v>2.25 Azerbaijan</v>
      </c>
      <c r="G1613" s="1" t="str">
        <f ca="1">IFERROR(__xludf.DUMMYFUNCTION("""COMPUTED_VALUE"""),"Freedom of Expression, Human Rights Defenders")</f>
        <v>Freedom of Expression, Human Rights Defenders</v>
      </c>
      <c r="H1613" s="1" t="str">
        <f ca="1">IFERROR(__xludf.DUMMYFUNCTION("""COMPUTED_VALUE"""),"2025")</f>
        <v>2025</v>
      </c>
      <c r="I1613" s="1" t="str">
        <f ca="1">IFERROR(__xludf.DUMMYFUNCTION("""COMPUTED_VALUE"""),"Email")</f>
        <v>Email</v>
      </c>
    </row>
    <row r="1614" spans="1:9" ht="13" x14ac:dyDescent="0.15">
      <c r="A1614" s="9">
        <f ca="1">IFERROR(__xludf.DUMMYFUNCTION("""COMPUTED_VALUE"""),165520775)</f>
        <v>165520775</v>
      </c>
      <c r="B1614" s="1" t="str">
        <f ca="1">IFERROR(__xludf.DUMMYFUNCTION("""COMPUTED_VALUE"""),"davidwolfson@sbcglobal.net")</f>
        <v>davidwolfson@sbcglobal.net</v>
      </c>
      <c r="C1614" s="9" t="str">
        <f ca="1">IFERROR(__xludf.DUMMYFUNCTION("""COMPUTED_VALUE"""),"EVERGREEN - UAN Gated Content - Embedded Petition")</f>
        <v>EVERGREEN - UAN Gated Content - Embedded Petition</v>
      </c>
      <c r="D1614" s="10">
        <f ca="1">IFERROR(__xludf.DUMMYFUNCTION("""COMPUTED_VALUE"""),45648)</f>
        <v>45648</v>
      </c>
      <c r="E1614" s="1" t="str">
        <f ca="1">IFERROR(__xludf.DUMMYFUNCTION("""COMPUTED_VALUE"""),"Egypt")</f>
        <v>Egypt</v>
      </c>
      <c r="F1614" s="1" t="str">
        <f ca="1">IFERROR(__xludf.DUMMYFUNCTION("""COMPUTED_VALUE"""),"Third 73.23 Egypt")</f>
        <v>Third 73.23 Egypt</v>
      </c>
      <c r="G1614" s="1" t="str">
        <f ca="1">IFERROR(__xludf.DUMMYFUNCTION("""COMPUTED_VALUE"""),"Individuals At Risk")</f>
        <v>Individuals At Risk</v>
      </c>
      <c r="H1614" s="1" t="str">
        <f ca="1">IFERROR(__xludf.DUMMYFUNCTION("""COMPUTED_VALUE"""),"2024")</f>
        <v>2024</v>
      </c>
      <c r="I1614" s="1" t="str">
        <f ca="1">IFERROR(__xludf.DUMMYFUNCTION("""COMPUTED_VALUE"""),"Email")</f>
        <v>Email</v>
      </c>
    </row>
    <row r="1615" spans="1:9" ht="13" x14ac:dyDescent="0.15">
      <c r="A1615" s="9">
        <f ca="1">IFERROR(__xludf.DUMMYFUNCTION("""COMPUTED_VALUE"""),165520775)</f>
        <v>165520775</v>
      </c>
      <c r="B1615" s="1" t="str">
        <f ca="1">IFERROR(__xludf.DUMMYFUNCTION("""COMPUTED_VALUE"""),"davidwolfson@sbcglobal.net")</f>
        <v>davidwolfson@sbcglobal.net</v>
      </c>
      <c r="C1615" s="9" t="str">
        <f ca="1">IFERROR(__xludf.DUMMYFUNCTION("""COMPUTED_VALUE"""),"EVERGREEN - UAN Gated Content - Embedded Petition")</f>
        <v>EVERGREEN - UAN Gated Content - Embedded Petition</v>
      </c>
      <c r="D1615" s="10">
        <f ca="1">IFERROR(__xludf.DUMMYFUNCTION("""COMPUTED_VALUE"""),45650)</f>
        <v>45650</v>
      </c>
      <c r="E1615" s="1" t="str">
        <f ca="1">IFERROR(__xludf.DUMMYFUNCTION("""COMPUTED_VALUE"""),"Turkiye")</f>
        <v>Turkiye</v>
      </c>
      <c r="F1615" s="1" t="str">
        <f ca="1">IFERROR(__xludf.DUMMYFUNCTION("""COMPUTED_VALUE"""),"109.24 Türkiye")</f>
        <v>109.24 Türkiye</v>
      </c>
      <c r="G1615" s="1" t="str">
        <f ca="1">IFERROR(__xludf.DUMMYFUNCTION("""COMPUTED_VALUE"""),"Human Rights Defenders, Individuals At Risk")</f>
        <v>Human Rights Defenders, Individuals At Risk</v>
      </c>
      <c r="H1615" s="1" t="str">
        <f ca="1">IFERROR(__xludf.DUMMYFUNCTION("""COMPUTED_VALUE"""),"2024")</f>
        <v>2024</v>
      </c>
      <c r="I1615" s="1" t="str">
        <f ca="1">IFERROR(__xludf.DUMMYFUNCTION("""COMPUTED_VALUE"""),"Email")</f>
        <v>Email</v>
      </c>
    </row>
    <row r="1616" spans="1:9" ht="13" x14ac:dyDescent="0.15">
      <c r="A1616" s="9">
        <f ca="1">IFERROR(__xludf.DUMMYFUNCTION("""COMPUTED_VALUE"""),165520775)</f>
        <v>165520775</v>
      </c>
      <c r="B1616" s="1" t="str">
        <f ca="1">IFERROR(__xludf.DUMMYFUNCTION("""COMPUTED_VALUE"""),"davidwolfson@sbcglobal.net")</f>
        <v>davidwolfson@sbcglobal.net</v>
      </c>
      <c r="C1616" s="9" t="str">
        <f ca="1">IFERROR(__xludf.DUMMYFUNCTION("""COMPUTED_VALUE"""),"EVERGREEN - UAN Gated Content - Embedded Petition")</f>
        <v>EVERGREEN - UAN Gated Content - Embedded Petition</v>
      </c>
      <c r="D1616" s="10">
        <f ca="1">IFERROR(__xludf.DUMMYFUNCTION("""COMPUTED_VALUE"""),45650)</f>
        <v>45650</v>
      </c>
      <c r="E1616" s="1" t="str">
        <f ca="1">IFERROR(__xludf.DUMMYFUNCTION("""COMPUTED_VALUE"""),"Tunisia")</f>
        <v>Tunisia</v>
      </c>
      <c r="F1616" s="1" t="str">
        <f ca="1">IFERROR(__xludf.DUMMYFUNCTION("""COMPUTED_VALUE"""),"Second 43.24 Tunisia")</f>
        <v>Second 43.24 Tunisia</v>
      </c>
      <c r="G1616" s="1" t="str">
        <f ca="1">IFERROR(__xludf.DUMMYFUNCTION("""COMPUTED_VALUE"""),"Freedom of Expression, Individuals At Risk")</f>
        <v>Freedom of Expression, Individuals At Risk</v>
      </c>
      <c r="H1616" s="1" t="str">
        <f ca="1">IFERROR(__xludf.DUMMYFUNCTION("""COMPUTED_VALUE"""),"2024")</f>
        <v>2024</v>
      </c>
      <c r="I1616" s="1" t="str">
        <f ca="1">IFERROR(__xludf.DUMMYFUNCTION("""COMPUTED_VALUE"""),"Email")</f>
        <v>Email</v>
      </c>
    </row>
    <row r="1617" spans="1:9" ht="13" x14ac:dyDescent="0.15">
      <c r="A1617" s="9">
        <f ca="1">IFERROR(__xludf.DUMMYFUNCTION("""COMPUTED_VALUE"""),165520775)</f>
        <v>165520775</v>
      </c>
      <c r="B1617" s="1" t="str">
        <f ca="1">IFERROR(__xludf.DUMMYFUNCTION("""COMPUTED_VALUE"""),"davidwolfson@sbcglobal.net")</f>
        <v>davidwolfson@sbcglobal.net</v>
      </c>
      <c r="C1617" s="9" t="str">
        <f ca="1">IFERROR(__xludf.DUMMYFUNCTION("""COMPUTED_VALUE"""),"EVERGREEN - UAN Gated Content - Embedded Petition")</f>
        <v>EVERGREEN - UAN Gated Content - Embedded Petition</v>
      </c>
      <c r="D1617" s="10">
        <f ca="1">IFERROR(__xludf.DUMMYFUNCTION("""COMPUTED_VALUE"""),45619)</f>
        <v>45619</v>
      </c>
      <c r="E1617" s="1" t="str">
        <f ca="1">IFERROR(__xludf.DUMMYFUNCTION("""COMPUTED_VALUE"""),"China")</f>
        <v>China</v>
      </c>
      <c r="F1617" s="1" t="str">
        <f ca="1">IFERROR(__xludf.DUMMYFUNCTION("""COMPUTED_VALUE"""),"98.24 China")</f>
        <v>98.24 China</v>
      </c>
      <c r="G1617" s="1" t="str">
        <f ca="1">IFERROR(__xludf.DUMMYFUNCTION("""COMPUTED_VALUE"""),"Freedom of Expression, Individuals At Risk")</f>
        <v>Freedom of Expression, Individuals At Risk</v>
      </c>
      <c r="H1617" s="1" t="str">
        <f ca="1">IFERROR(__xludf.DUMMYFUNCTION("""COMPUTED_VALUE"""),"2024")</f>
        <v>2024</v>
      </c>
      <c r="I1617" s="1" t="str">
        <f ca="1">IFERROR(__xludf.DUMMYFUNCTION("""COMPUTED_VALUE"""),"Letter")</f>
        <v>Letter</v>
      </c>
    </row>
    <row r="1618" spans="1:9" ht="13" x14ac:dyDescent="0.15">
      <c r="A1618" s="9">
        <f ca="1">IFERROR(__xludf.DUMMYFUNCTION("""COMPUTED_VALUE"""),165520775)</f>
        <v>165520775</v>
      </c>
      <c r="B1618" s="1" t="str">
        <f ca="1">IFERROR(__xludf.DUMMYFUNCTION("""COMPUTED_VALUE"""),"davidwolfson@sbcglobal.net")</f>
        <v>davidwolfson@sbcglobal.net</v>
      </c>
      <c r="C1618" s="9" t="str">
        <f ca="1">IFERROR(__xludf.DUMMYFUNCTION("""COMPUTED_VALUE"""),"EVERGREEN - UAN Gated Content - Embedded Petition")</f>
        <v>EVERGREEN - UAN Gated Content - Embedded Petition</v>
      </c>
      <c r="D1618" s="10">
        <f ca="1">IFERROR(__xludf.DUMMYFUNCTION("""COMPUTED_VALUE"""),45620)</f>
        <v>45620</v>
      </c>
      <c r="E1618" s="1" t="str">
        <f ca="1">IFERROR(__xludf.DUMMYFUNCTION("""COMPUTED_VALUE"""),"Singapore")</f>
        <v>Singapore</v>
      </c>
      <c r="F1618" s="1" t="str">
        <f ca="1">IFERROR(__xludf.DUMMYFUNCTION("""COMPUTED_VALUE"""),"107.24 Singapore")</f>
        <v>107.24 Singapore</v>
      </c>
      <c r="G1618" s="1" t="str">
        <f ca="1">IFERROR(__xludf.DUMMYFUNCTION("""COMPUTED_VALUE"""),"Death Penalty")</f>
        <v>Death Penalty</v>
      </c>
      <c r="H1618" s="1" t="str">
        <f ca="1">IFERROR(__xludf.DUMMYFUNCTION("""COMPUTED_VALUE"""),"2024")</f>
        <v>2024</v>
      </c>
      <c r="I1618" s="1" t="str">
        <f ca="1">IFERROR(__xludf.DUMMYFUNCTION("""COMPUTED_VALUE"""),"Email")</f>
        <v>Email</v>
      </c>
    </row>
    <row r="1619" spans="1:9" ht="13" x14ac:dyDescent="0.15">
      <c r="A1619" s="9">
        <f ca="1">IFERROR(__xludf.DUMMYFUNCTION("""COMPUTED_VALUE"""),165520775)</f>
        <v>165520775</v>
      </c>
      <c r="B1619" s="1" t="str">
        <f ca="1">IFERROR(__xludf.DUMMYFUNCTION("""COMPUTED_VALUE"""),"davidwolfson@sbcglobal.net")</f>
        <v>davidwolfson@sbcglobal.net</v>
      </c>
      <c r="C1619" s="9" t="str">
        <f ca="1">IFERROR(__xludf.DUMMYFUNCTION("""COMPUTED_VALUE"""),"EVERGREEN - UAN Gated Content - Embedded Petition")</f>
        <v>EVERGREEN - UAN Gated Content - Embedded Petition</v>
      </c>
      <c r="D1619" s="10">
        <f ca="1">IFERROR(__xludf.DUMMYFUNCTION("""COMPUTED_VALUE"""),45620)</f>
        <v>45620</v>
      </c>
      <c r="E1619" s="1" t="str">
        <f ca="1">IFERROR(__xludf.DUMMYFUNCTION("""COMPUTED_VALUE"""),"Saudi Arabia")</f>
        <v>Saudi Arabia</v>
      </c>
      <c r="F1619" s="1" t="str">
        <f ca="1">IFERROR(__xludf.DUMMYFUNCTION("""COMPUTED_VALUE"""),"104.24 Saudi Arabia")</f>
        <v>104.24 Saudi Arabia</v>
      </c>
      <c r="G1619" s="1" t="str">
        <f ca="1">IFERROR(__xludf.DUMMYFUNCTION("""COMPUTED_VALUE"""),"Individuals At Risk, Refugee and Migrant Rights")</f>
        <v>Individuals At Risk, Refugee and Migrant Rights</v>
      </c>
      <c r="H1619" s="1" t="str">
        <f ca="1">IFERROR(__xludf.DUMMYFUNCTION("""COMPUTED_VALUE"""),"2024")</f>
        <v>2024</v>
      </c>
      <c r="I1619" s="1" t="str">
        <f ca="1">IFERROR(__xludf.DUMMYFUNCTION("""COMPUTED_VALUE"""),"Email")</f>
        <v>Email</v>
      </c>
    </row>
    <row r="1620" spans="1:9" ht="13" x14ac:dyDescent="0.15">
      <c r="A1620" s="9">
        <f ca="1">IFERROR(__xludf.DUMMYFUNCTION("""COMPUTED_VALUE"""),165520775)</f>
        <v>165520775</v>
      </c>
      <c r="B1620" s="1" t="str">
        <f ca="1">IFERROR(__xludf.DUMMYFUNCTION("""COMPUTED_VALUE"""),"davidwolfson@sbcglobal.net")</f>
        <v>davidwolfson@sbcglobal.net</v>
      </c>
      <c r="C1620" s="9" t="str">
        <f ca="1">IFERROR(__xludf.DUMMYFUNCTION("""COMPUTED_VALUE"""),"EVERGREEN - UAN Gated Content - Embedded Petition")</f>
        <v>EVERGREEN - UAN Gated Content - Embedded Petition</v>
      </c>
      <c r="D1620" s="10">
        <f ca="1">IFERROR(__xludf.DUMMYFUNCTION("""COMPUTED_VALUE"""),45631)</f>
        <v>45631</v>
      </c>
      <c r="E1620" s="1" t="str">
        <f ca="1">IFERROR(__xludf.DUMMYFUNCTION("""COMPUTED_VALUE"""),"Egypt")</f>
        <v>Egypt</v>
      </c>
      <c r="F1620" s="1" t="str">
        <f ca="1">IFERROR(__xludf.DUMMYFUNCTION("""COMPUTED_VALUE"""),"Fourth 29.23 Egypt")</f>
        <v>Fourth 29.23 Egypt</v>
      </c>
      <c r="G1620" s="1" t="str">
        <f ca="1">IFERROR(__xludf.DUMMYFUNCTION("""COMPUTED_VALUE"""),"Freedom of Expression, Individuals At Risk, Right to Protest")</f>
        <v>Freedom of Expression, Individuals At Risk, Right to Protest</v>
      </c>
      <c r="H1620" s="1" t="str">
        <f ca="1">IFERROR(__xludf.DUMMYFUNCTION("""COMPUTED_VALUE"""),"2024")</f>
        <v>2024</v>
      </c>
      <c r="I1620" s="1" t="str">
        <f ca="1">IFERROR(__xludf.DUMMYFUNCTION("""COMPUTED_VALUE"""),"Email")</f>
        <v>Email</v>
      </c>
    </row>
    <row r="1621" spans="1:9" ht="13" x14ac:dyDescent="0.15">
      <c r="A1621" s="9">
        <f ca="1">IFERROR(__xludf.DUMMYFUNCTION("""COMPUTED_VALUE"""),165520775)</f>
        <v>165520775</v>
      </c>
      <c r="B1621" s="1" t="str">
        <f ca="1">IFERROR(__xludf.DUMMYFUNCTION("""COMPUTED_VALUE"""),"davidwolfson@sbcglobal.net")</f>
        <v>davidwolfson@sbcglobal.net</v>
      </c>
      <c r="C1621" s="9" t="str">
        <f ca="1">IFERROR(__xludf.DUMMYFUNCTION("""COMPUTED_VALUE"""),"EVERGREEN - UAN Gated Content - Embedded Petition")</f>
        <v>EVERGREEN - UAN Gated Content - Embedded Petition</v>
      </c>
      <c r="D1621" s="10">
        <f ca="1">IFERROR(__xludf.DUMMYFUNCTION("""COMPUTED_VALUE"""),45631)</f>
        <v>45631</v>
      </c>
      <c r="E1621" s="1" t="str">
        <f ca="1">IFERROR(__xludf.DUMMYFUNCTION("""COMPUTED_VALUE"""),"Russian Federation")</f>
        <v>Russian Federation</v>
      </c>
      <c r="F1621" s="1" t="str">
        <f ca="1">IFERROR(__xludf.DUMMYFUNCTION("""COMPUTED_VALUE"""),"102.24 Russia")</f>
        <v>102.24 Russia</v>
      </c>
      <c r="G1621" s="1" t="str">
        <f ca="1">IFERROR(__xludf.DUMMYFUNCTION("""COMPUTED_VALUE"""),"Freedom of Expression, Individuals At Risk, Right to Protest")</f>
        <v>Freedom of Expression, Individuals At Risk, Right to Protest</v>
      </c>
      <c r="H1621" s="1" t="str">
        <f ca="1">IFERROR(__xludf.DUMMYFUNCTION("""COMPUTED_VALUE"""),"2024")</f>
        <v>2024</v>
      </c>
      <c r="I1621" s="1" t="str">
        <f ca="1">IFERROR(__xludf.DUMMYFUNCTION("""COMPUTED_VALUE"""),"Email")</f>
        <v>Email</v>
      </c>
    </row>
    <row r="1622" spans="1:9" ht="13" x14ac:dyDescent="0.15">
      <c r="A1622" s="9">
        <f ca="1">IFERROR(__xludf.DUMMYFUNCTION("""COMPUTED_VALUE"""),165520775)</f>
        <v>165520775</v>
      </c>
      <c r="B1622" s="1" t="str">
        <f ca="1">IFERROR(__xludf.DUMMYFUNCTION("""COMPUTED_VALUE"""),"davidwolfson@sbcglobal.net")</f>
        <v>davidwolfson@sbcglobal.net</v>
      </c>
      <c r="C1622" s="9" t="str">
        <f ca="1">IFERROR(__xludf.DUMMYFUNCTION("""COMPUTED_VALUE"""),"EVERGREEN - UAN Gated Content - Embedded Petition")</f>
        <v>EVERGREEN - UAN Gated Content - Embedded Petition</v>
      </c>
      <c r="D1622" s="10">
        <f ca="1">IFERROR(__xludf.DUMMYFUNCTION("""COMPUTED_VALUE"""),45632)</f>
        <v>45632</v>
      </c>
      <c r="E1622" s="1" t="str">
        <f ca="1">IFERROR(__xludf.DUMMYFUNCTION("""COMPUTED_VALUE"""),"Uganda")</f>
        <v>Uganda</v>
      </c>
      <c r="F1622" s="1" t="str">
        <f ca="1">IFERROR(__xludf.DUMMYFUNCTION("""COMPUTED_VALUE"""),"100.24 Uganda")</f>
        <v>100.24 Uganda</v>
      </c>
      <c r="G1622" s="1" t="str">
        <f ca="1">IFERROR(__xludf.DUMMYFUNCTION("""COMPUTED_VALUE"""),"Freedom of Expression")</f>
        <v>Freedom of Expression</v>
      </c>
      <c r="H1622" s="1" t="str">
        <f ca="1">IFERROR(__xludf.DUMMYFUNCTION("""COMPUTED_VALUE"""),"2024")</f>
        <v>2024</v>
      </c>
      <c r="I1622" s="1" t="str">
        <f ca="1">IFERROR(__xludf.DUMMYFUNCTION("""COMPUTED_VALUE"""),"Email")</f>
        <v>Email</v>
      </c>
    </row>
    <row r="1623" spans="1:9" ht="13" x14ac:dyDescent="0.15">
      <c r="A1623" s="9">
        <f ca="1">IFERROR(__xludf.DUMMYFUNCTION("""COMPUTED_VALUE"""),165662256)</f>
        <v>165662256</v>
      </c>
      <c r="B1623" s="1" t="str">
        <f ca="1">IFERROR(__xludf.DUMMYFUNCTION("""COMPUTED_VALUE"""),"bnewberg@kent.edu")</f>
        <v>bnewberg@kent.edu</v>
      </c>
      <c r="C1623" s="9" t="str">
        <f ca="1">IFERROR(__xludf.DUMMYFUNCTION("""COMPUTED_VALUE"""),"EVERGREEN - UAN Gated Content - Embedded Petition")</f>
        <v>EVERGREEN - UAN Gated Content - Embedded Petition</v>
      </c>
      <c r="D1623" s="10">
        <f ca="1">IFERROR(__xludf.DUMMYFUNCTION("""COMPUTED_VALUE"""),45694)</f>
        <v>45694</v>
      </c>
      <c r="E1623" s="1" t="str">
        <f ca="1">IFERROR(__xludf.DUMMYFUNCTION("""COMPUTED_VALUE"""),"Azerbaijan")</f>
        <v>Azerbaijan</v>
      </c>
      <c r="F1623" s="1" t="str">
        <f ca="1">IFERROR(__xludf.DUMMYFUNCTION("""COMPUTED_VALUE"""),"2.25 Azerbaijan")</f>
        <v>2.25 Azerbaijan</v>
      </c>
      <c r="G1623" s="1" t="str">
        <f ca="1">IFERROR(__xludf.DUMMYFUNCTION("""COMPUTED_VALUE"""),"Freedom of Expression, Human Rights Defenders")</f>
        <v>Freedom of Expression, Human Rights Defenders</v>
      </c>
      <c r="H1623" s="1" t="str">
        <f ca="1">IFERROR(__xludf.DUMMYFUNCTION("""COMPUTED_VALUE"""),"2025")</f>
        <v>2025</v>
      </c>
      <c r="I1623" s="1" t="str">
        <f ca="1">IFERROR(__xludf.DUMMYFUNCTION("""COMPUTED_VALUE"""),"Email")</f>
        <v>Email</v>
      </c>
    </row>
    <row r="1624" spans="1:9" ht="13" x14ac:dyDescent="0.15">
      <c r="A1624" s="9">
        <f ca="1">IFERROR(__xludf.DUMMYFUNCTION("""COMPUTED_VALUE"""),166897144)</f>
        <v>166897144</v>
      </c>
      <c r="B1624" s="1" t="str">
        <f ca="1">IFERROR(__xludf.DUMMYFUNCTION("""COMPUTED_VALUE"""),"mejat3@gmail.com")</f>
        <v>mejat3@gmail.com</v>
      </c>
      <c r="C1624" s="9" t="str">
        <f ca="1">IFERROR(__xludf.DUMMYFUNCTION("""COMPUTED_VALUE"""),"EVERGREEN - UAN Gated Content - Embedded Petition")</f>
        <v>EVERGREEN - UAN Gated Content - Embedded Petition</v>
      </c>
      <c r="D1624" s="10">
        <f ca="1">IFERROR(__xludf.DUMMYFUNCTION("""COMPUTED_VALUE"""),45679)</f>
        <v>45679</v>
      </c>
      <c r="E1624" s="1" t="str">
        <f ca="1">IFERROR(__xludf.DUMMYFUNCTION("""COMPUTED_VALUE"""),"Iran")</f>
        <v>Iran</v>
      </c>
      <c r="F1624" s="1" t="str">
        <f ca="1">IFERROR(__xludf.DUMMYFUNCTION("""COMPUTED_VALUE"""),"101.24 Iran")</f>
        <v>101.24 Iran</v>
      </c>
      <c r="G1624" s="1" t="str">
        <f ca="1">IFERROR(__xludf.DUMMYFUNCTION("""COMPUTED_VALUE"""),"Death Penalty, Freedom of Expression, Individuals At Risk, Right to Protest")</f>
        <v>Death Penalty, Freedom of Expression, Individuals At Risk, Right to Protest</v>
      </c>
      <c r="H1624" s="1" t="str">
        <f ca="1">IFERROR(__xludf.DUMMYFUNCTION("""COMPUTED_VALUE"""),"2024")</f>
        <v>2024</v>
      </c>
      <c r="I1624" s="1" t="str">
        <f ca="1">IFERROR(__xludf.DUMMYFUNCTION("""COMPUTED_VALUE"""),"Email")</f>
        <v>Email</v>
      </c>
    </row>
    <row r="1625" spans="1:9" ht="13" x14ac:dyDescent="0.15">
      <c r="A1625" s="9">
        <f ca="1">IFERROR(__xludf.DUMMYFUNCTION("""COMPUTED_VALUE"""),166898507)</f>
        <v>166898507</v>
      </c>
      <c r="B1625" s="1" t="str">
        <f ca="1">IFERROR(__xludf.DUMMYFUNCTION("""COMPUTED_VALUE"""),"tommayhew@gmail.com")</f>
        <v>tommayhew@gmail.com</v>
      </c>
      <c r="C1625" s="9" t="str">
        <f ca="1">IFERROR(__xludf.DUMMYFUNCTION("""COMPUTED_VALUE"""),"EVERGREEN - UAN Gated Content - Embedded Petition")</f>
        <v>EVERGREEN - UAN Gated Content - Embedded Petition</v>
      </c>
      <c r="D1625" s="10">
        <f ca="1">IFERROR(__xludf.DUMMYFUNCTION("""COMPUTED_VALUE"""),45707)</f>
        <v>45707</v>
      </c>
      <c r="E1625" s="1" t="str">
        <f ca="1">IFERROR(__xludf.DUMMYFUNCTION("""COMPUTED_VALUE"""),"Honduras")</f>
        <v>Honduras</v>
      </c>
      <c r="F1625" s="1" t="str">
        <f ca="1">IFERROR(__xludf.DUMMYFUNCTION("""COMPUTED_VALUE"""),"Second 85.24 Honduras")</f>
        <v>Second 85.24 Honduras</v>
      </c>
      <c r="G1625" s="1" t="str">
        <f ca="1">IFERROR(__xludf.DUMMYFUNCTION("""COMPUTED_VALUE"""),"Climate Justice, Human Rights Defenders, Right to Protest")</f>
        <v>Climate Justice, Human Rights Defenders, Right to Protest</v>
      </c>
      <c r="H1625" s="1" t="str">
        <f ca="1">IFERROR(__xludf.DUMMYFUNCTION("""COMPUTED_VALUE"""),"2024")</f>
        <v>2024</v>
      </c>
      <c r="I1625" s="1" t="str">
        <f ca="1">IFERROR(__xludf.DUMMYFUNCTION("""COMPUTED_VALUE"""),"Email")</f>
        <v>Email</v>
      </c>
    </row>
    <row r="1626" spans="1:9" ht="13" x14ac:dyDescent="0.15">
      <c r="A1626" s="9">
        <f ca="1">IFERROR(__xludf.DUMMYFUNCTION("""COMPUTED_VALUE"""),167351100)</f>
        <v>167351100</v>
      </c>
      <c r="B1626" s="1" t="str">
        <f ca="1">IFERROR(__xludf.DUMMYFUNCTION("""COMPUTED_VALUE"""),"rdibble265@gmail.com")</f>
        <v>rdibble265@gmail.com</v>
      </c>
      <c r="C1626" s="9" t="str">
        <f ca="1">IFERROR(__xludf.DUMMYFUNCTION("""COMPUTED_VALUE"""),"EVERGREEN - UAN Gated Content - Embedded Petition")</f>
        <v>EVERGREEN - UAN Gated Content - Embedded Petition</v>
      </c>
      <c r="D1626" s="10">
        <f ca="1">IFERROR(__xludf.DUMMYFUNCTION("""COMPUTED_VALUE"""),45694)</f>
        <v>45694</v>
      </c>
      <c r="E1626" s="1" t="str">
        <f ca="1">IFERROR(__xludf.DUMMYFUNCTION("""COMPUTED_VALUE"""),"USA")</f>
        <v>USA</v>
      </c>
      <c r="F1626" s="1" t="str">
        <f ca="1">IFERROR(__xludf.DUMMYFUNCTION("""COMPUTED_VALUE"""),"105.24 USA")</f>
        <v>105.24 USA</v>
      </c>
      <c r="G1626" s="1" t="str">
        <f ca="1">IFERROR(__xludf.DUMMYFUNCTION("""COMPUTED_VALUE"""),"Death Penalty")</f>
        <v>Death Penalty</v>
      </c>
      <c r="H1626" s="1" t="str">
        <f ca="1">IFERROR(__xludf.DUMMYFUNCTION("""COMPUTED_VALUE"""),"2024")</f>
        <v>2024</v>
      </c>
      <c r="I1626" s="1" t="str">
        <f ca="1">IFERROR(__xludf.DUMMYFUNCTION("""COMPUTED_VALUE"""),"Email")</f>
        <v>Email</v>
      </c>
    </row>
    <row r="1627" spans="1:9" ht="13" x14ac:dyDescent="0.15">
      <c r="A1627" s="9">
        <f ca="1">IFERROR(__xludf.DUMMYFUNCTION("""COMPUTED_VALUE"""),167745279)</f>
        <v>167745279</v>
      </c>
      <c r="B1627" s="1" t="str">
        <f ca="1">IFERROR(__xludf.DUMMYFUNCTION("""COMPUTED_VALUE"""),"leslielethridge2658@comcast.net")</f>
        <v>leslielethridge2658@comcast.net</v>
      </c>
      <c r="C1627" s="9" t="str">
        <f ca="1">IFERROR(__xludf.DUMMYFUNCTION("""COMPUTED_VALUE"""),"EVERGREEN - UAN Gated Content - Embedded Petition")</f>
        <v>EVERGREEN - UAN Gated Content - Embedded Petition</v>
      </c>
      <c r="D1627" s="10">
        <f ca="1">IFERROR(__xludf.DUMMYFUNCTION("""COMPUTED_VALUE"""),45694)</f>
        <v>45694</v>
      </c>
      <c r="E1627" s="1" t="str">
        <f ca="1">IFERROR(__xludf.DUMMYFUNCTION("""COMPUTED_VALUE"""),"Egypt")</f>
        <v>Egypt</v>
      </c>
      <c r="F1627" s="1" t="str">
        <f ca="1">IFERROR(__xludf.DUMMYFUNCTION("""COMPUTED_VALUE"""),"Ninth 190.18 Egypt")</f>
        <v>Ninth 190.18 Egypt</v>
      </c>
      <c r="G1627" s="1" t="str">
        <f ca="1">IFERROR(__xludf.DUMMYFUNCTION("""COMPUTED_VALUE"""),"Freedom of Expression, Individuals At Risk")</f>
        <v>Freedom of Expression, Individuals At Risk</v>
      </c>
      <c r="H1627" s="1" t="str">
        <f ca="1">IFERROR(__xludf.DUMMYFUNCTION("""COMPUTED_VALUE"""),"2024")</f>
        <v>2024</v>
      </c>
      <c r="I1627" s="1" t="str">
        <f ca="1">IFERROR(__xludf.DUMMYFUNCTION("""COMPUTED_VALUE"""),"Letter")</f>
        <v>Letter</v>
      </c>
    </row>
    <row r="1628" spans="1:9" ht="13" x14ac:dyDescent="0.15">
      <c r="A1628" s="9">
        <f ca="1">IFERROR(__xludf.DUMMYFUNCTION("""COMPUTED_VALUE"""),167769882)</f>
        <v>167769882</v>
      </c>
      <c r="B1628" s="1" t="str">
        <f ca="1">IFERROR(__xludf.DUMMYFUNCTION("""COMPUTED_VALUE"""),"bgershenson@yahoo.com")</f>
        <v>bgershenson@yahoo.com</v>
      </c>
      <c r="C1628" s="9" t="str">
        <f ca="1">IFERROR(__xludf.DUMMYFUNCTION("""COMPUTED_VALUE"""),"EVERGREEN - UAN Gated Content - Embedded Petition")</f>
        <v>EVERGREEN - UAN Gated Content - Embedded Petition</v>
      </c>
      <c r="D1628" s="10">
        <f ca="1">IFERROR(__xludf.DUMMYFUNCTION("""COMPUTED_VALUE"""),45639)</f>
        <v>45639</v>
      </c>
      <c r="E1628" s="1" t="str">
        <f ca="1">IFERROR(__xludf.DUMMYFUNCTION("""COMPUTED_VALUE"""),"Tunisia")</f>
        <v>Tunisia</v>
      </c>
      <c r="F1628" s="1" t="str">
        <f ca="1">IFERROR(__xludf.DUMMYFUNCTION("""COMPUTED_VALUE"""),"Second 76.24 Tunisia")</f>
        <v>Second 76.24 Tunisia</v>
      </c>
      <c r="G1628" s="1" t="str">
        <f ca="1">IFERROR(__xludf.DUMMYFUNCTION("""COMPUTED_VALUE"""),"Freedom of Expression, Human Rights Defenders")</f>
        <v>Freedom of Expression, Human Rights Defenders</v>
      </c>
      <c r="H1628" s="1" t="str">
        <f ca="1">IFERROR(__xludf.DUMMYFUNCTION("""COMPUTED_VALUE"""),"2025")</f>
        <v>2025</v>
      </c>
      <c r="I1628" s="1" t="str">
        <f ca="1">IFERROR(__xludf.DUMMYFUNCTION("""COMPUTED_VALUE"""),"Email")</f>
        <v>Email</v>
      </c>
    </row>
    <row r="1629" spans="1:9" ht="13" x14ac:dyDescent="0.15">
      <c r="A1629" s="9">
        <f ca="1">IFERROR(__xludf.DUMMYFUNCTION("""COMPUTED_VALUE"""),171119272)</f>
        <v>171119272</v>
      </c>
      <c r="B1629" s="1" t="str">
        <f ca="1">IFERROR(__xludf.DUMMYFUNCTION("""COMPUTED_VALUE"""),"abeisiegelvt@gmail.com")</f>
        <v>abeisiegelvt@gmail.com</v>
      </c>
      <c r="C1629" s="9" t="str">
        <f ca="1">IFERROR(__xludf.DUMMYFUNCTION("""COMPUTED_VALUE"""),"EVERGREEN - UAN Gated Content - Embedded Petition")</f>
        <v>EVERGREEN - UAN Gated Content - Embedded Petition</v>
      </c>
      <c r="D1629" s="10">
        <f ca="1">IFERROR(__xludf.DUMMYFUNCTION("""COMPUTED_VALUE"""),45694)</f>
        <v>45694</v>
      </c>
      <c r="E1629" s="1" t="str">
        <f ca="1">IFERROR(__xludf.DUMMYFUNCTION("""COMPUTED_VALUE"""),"Venezuela")</f>
        <v>Venezuela</v>
      </c>
      <c r="F1629" s="1" t="str">
        <f ca="1">IFERROR(__xludf.DUMMYFUNCTION("""COMPUTED_VALUE"""),"1.25 Venezuela")</f>
        <v>1.25 Venezuela</v>
      </c>
      <c r="G1629" s="1" t="str">
        <f ca="1">IFERROR(__xludf.DUMMYFUNCTION("""COMPUTED_VALUE"""),"Human Rights Defenders, Individuals At Risk")</f>
        <v>Human Rights Defenders, Individuals At Risk</v>
      </c>
      <c r="H1629" s="1" t="str">
        <f ca="1">IFERROR(__xludf.DUMMYFUNCTION("""COMPUTED_VALUE"""),"2025")</f>
        <v>2025</v>
      </c>
      <c r="I1629" s="1" t="str">
        <f ca="1">IFERROR(__xludf.DUMMYFUNCTION("""COMPUTED_VALUE"""),"Letter")</f>
        <v>Letter</v>
      </c>
    </row>
    <row r="1630" spans="1:9" ht="13" x14ac:dyDescent="0.15">
      <c r="A1630" s="9">
        <f ca="1">IFERROR(__xludf.DUMMYFUNCTION("""COMPUTED_VALUE"""),173429159)</f>
        <v>173429159</v>
      </c>
      <c r="B1630" s="1" t="str">
        <f ca="1">IFERROR(__xludf.DUMMYFUNCTION("""COMPUTED_VALUE"""),"elkes.mw@gmail.com")</f>
        <v>elkes.mw@gmail.com</v>
      </c>
      <c r="C1630" s="9" t="str">
        <f ca="1">IFERROR(__xludf.DUMMYFUNCTION("""COMPUTED_VALUE"""),"EVERGREEN - UAN Gated Content - Embedded Petition")</f>
        <v>EVERGREEN - UAN Gated Content - Embedded Petition</v>
      </c>
      <c r="D1630" s="10">
        <f ca="1">IFERROR(__xludf.DUMMYFUNCTION("""COMPUTED_VALUE"""),45694)</f>
        <v>45694</v>
      </c>
      <c r="E1630" s="1" t="str">
        <f ca="1">IFERROR(__xludf.DUMMYFUNCTION("""COMPUTED_VALUE"""),"Tunisia")</f>
        <v>Tunisia</v>
      </c>
      <c r="F1630" s="1" t="str">
        <f ca="1">IFERROR(__xludf.DUMMYFUNCTION("""COMPUTED_VALUE"""),"Second 76.24 Tunisia")</f>
        <v>Second 76.24 Tunisia</v>
      </c>
      <c r="G1630" s="1" t="str">
        <f ca="1">IFERROR(__xludf.DUMMYFUNCTION("""COMPUTED_VALUE"""),"Freedom of Expression, Human Rights Defenders")</f>
        <v>Freedom of Expression, Human Rights Defenders</v>
      </c>
      <c r="H1630" s="1" t="str">
        <f ca="1">IFERROR(__xludf.DUMMYFUNCTION("""COMPUTED_VALUE"""),"2025")</f>
        <v>2025</v>
      </c>
      <c r="I1630" s="1" t="str">
        <f ca="1">IFERROR(__xludf.DUMMYFUNCTION("""COMPUTED_VALUE"""),"Email")</f>
        <v>Email</v>
      </c>
    </row>
    <row r="1631" spans="1:9" ht="13" x14ac:dyDescent="0.15">
      <c r="A1631" s="9">
        <f ca="1">IFERROR(__xludf.DUMMYFUNCTION("""COMPUTED_VALUE"""),173429159)</f>
        <v>173429159</v>
      </c>
      <c r="B1631" s="1" t="str">
        <f ca="1">IFERROR(__xludf.DUMMYFUNCTION("""COMPUTED_VALUE"""),"elkes.mw@gmail.com")</f>
        <v>elkes.mw@gmail.com</v>
      </c>
      <c r="C1631" s="9" t="str">
        <f ca="1">IFERROR(__xludf.DUMMYFUNCTION("""COMPUTED_VALUE"""),"EVERGREEN - UAN Gated Content - Embedded Petition")</f>
        <v>EVERGREEN - UAN Gated Content - Embedded Petition</v>
      </c>
      <c r="D1631" s="10">
        <f ca="1">IFERROR(__xludf.DUMMYFUNCTION("""COMPUTED_VALUE"""),45694)</f>
        <v>45694</v>
      </c>
      <c r="E1631" s="1" t="str">
        <f ca="1">IFERROR(__xludf.DUMMYFUNCTION("""COMPUTED_VALUE"""),"Tunisia")</f>
        <v>Tunisia</v>
      </c>
      <c r="F1631" s="1" t="str">
        <f ca="1">IFERROR(__xludf.DUMMYFUNCTION("""COMPUTED_VALUE"""),"Second 76.24 Tunisia")</f>
        <v>Second 76.24 Tunisia</v>
      </c>
      <c r="G1631" s="1" t="str">
        <f ca="1">IFERROR(__xludf.DUMMYFUNCTION("""COMPUTED_VALUE"""),"Freedom of Expression, Human Rights Defenders")</f>
        <v>Freedom of Expression, Human Rights Defenders</v>
      </c>
      <c r="H1631" s="1" t="str">
        <f ca="1">IFERROR(__xludf.DUMMYFUNCTION("""COMPUTED_VALUE"""),"2025")</f>
        <v>2025</v>
      </c>
      <c r="I1631" s="1" t="str">
        <f ca="1">IFERROR(__xludf.DUMMYFUNCTION("""COMPUTED_VALUE"""),"Email")</f>
        <v>Email</v>
      </c>
    </row>
    <row r="1632" spans="1:9" ht="13" x14ac:dyDescent="0.15">
      <c r="A1632" s="9">
        <f ca="1">IFERROR(__xludf.DUMMYFUNCTION("""COMPUTED_VALUE"""),175751700)</f>
        <v>175751700</v>
      </c>
      <c r="B1632" s="1" t="str">
        <f ca="1">IFERROR(__xludf.DUMMYFUNCTION("""COMPUTED_VALUE"""),"lambtrees@gmail.com")</f>
        <v>lambtrees@gmail.com</v>
      </c>
      <c r="C1632" s="9" t="str">
        <f ca="1">IFERROR(__xludf.DUMMYFUNCTION("""COMPUTED_VALUE"""),"EVERGREEN - UAN Gated Content - Embedded Petition")</f>
        <v>EVERGREEN - UAN Gated Content - Embedded Petition</v>
      </c>
      <c r="D1632" s="10">
        <f ca="1">IFERROR(__xludf.DUMMYFUNCTION("""COMPUTED_VALUE"""),45636)</f>
        <v>45636</v>
      </c>
      <c r="E1632" s="1" t="str">
        <f ca="1">IFERROR(__xludf.DUMMYFUNCTION("""COMPUTED_VALUE"""),"USA")</f>
        <v>USA</v>
      </c>
      <c r="F1632" s="1" t="str">
        <f ca="1">IFERROR(__xludf.DUMMYFUNCTION("""COMPUTED_VALUE"""),"4.25 USA")</f>
        <v>4.25 USA</v>
      </c>
      <c r="G1632" s="1" t="str">
        <f ca="1">IFERROR(__xludf.DUMMYFUNCTION("""COMPUTED_VALUE"""),"Individuals At Risk, Refugee and Migrant Rights")</f>
        <v>Individuals At Risk, Refugee and Migrant Rights</v>
      </c>
      <c r="H1632" s="1" t="str">
        <f ca="1">IFERROR(__xludf.DUMMYFUNCTION("""COMPUTED_VALUE"""),"2025")</f>
        <v>2025</v>
      </c>
      <c r="I1632" s="1" t="str">
        <f ca="1">IFERROR(__xludf.DUMMYFUNCTION("""COMPUTED_VALUE"""),"Letter")</f>
        <v>Letter</v>
      </c>
    </row>
    <row r="1633" spans="1:9" ht="13" x14ac:dyDescent="0.15">
      <c r="A1633" s="9">
        <f ca="1">IFERROR(__xludf.DUMMYFUNCTION("""COMPUTED_VALUE"""),175751700)</f>
        <v>175751700</v>
      </c>
      <c r="B1633" s="1" t="str">
        <f ca="1">IFERROR(__xludf.DUMMYFUNCTION("""COMPUTED_VALUE"""),"lambtrees@gmail.com")</f>
        <v>lambtrees@gmail.com</v>
      </c>
      <c r="C1633" s="9" t="str">
        <f ca="1">IFERROR(__xludf.DUMMYFUNCTION("""COMPUTED_VALUE"""),"EVERGREEN - UAN Gated Content - Embedded Petition")</f>
        <v>EVERGREEN - UAN Gated Content - Embedded Petition</v>
      </c>
      <c r="D1633" s="10">
        <f ca="1">IFERROR(__xludf.DUMMYFUNCTION("""COMPUTED_VALUE"""),45694)</f>
        <v>45694</v>
      </c>
      <c r="E1633" s="1" t="str">
        <f ca="1">IFERROR(__xludf.DUMMYFUNCTION("""COMPUTED_VALUE"""),"USA")</f>
        <v>USA</v>
      </c>
      <c r="F1633" s="1" t="str">
        <f ca="1">IFERROR(__xludf.DUMMYFUNCTION("""COMPUTED_VALUE"""),"4.25 USA")</f>
        <v>4.25 USA</v>
      </c>
      <c r="G1633" s="1" t="str">
        <f ca="1">IFERROR(__xludf.DUMMYFUNCTION("""COMPUTED_VALUE"""),"Individuals At Risk, Refugee and Migrant Rights")</f>
        <v>Individuals At Risk, Refugee and Migrant Rights</v>
      </c>
      <c r="H1633" s="1" t="str">
        <f ca="1">IFERROR(__xludf.DUMMYFUNCTION("""COMPUTED_VALUE"""),"2025")</f>
        <v>2025</v>
      </c>
      <c r="I1633" s="1" t="str">
        <f ca="1">IFERROR(__xludf.DUMMYFUNCTION("""COMPUTED_VALUE"""),"Letter")</f>
        <v>Letter</v>
      </c>
    </row>
    <row r="1634" spans="1:9" ht="13" x14ac:dyDescent="0.15">
      <c r="A1634" s="9">
        <f ca="1">IFERROR(__xludf.DUMMYFUNCTION("""COMPUTED_VALUE"""),178860948)</f>
        <v>178860948</v>
      </c>
      <c r="B1634" s="1" t="str">
        <f ca="1">IFERROR(__xludf.DUMMYFUNCTION("""COMPUTED_VALUE"""),"tomcborkowski@yahoo.com")</f>
        <v>tomcborkowski@yahoo.com</v>
      </c>
      <c r="C1634" s="9" t="str">
        <f ca="1">IFERROR(__xludf.DUMMYFUNCTION("""COMPUTED_VALUE"""),"EVERGREEN - UAN Gated Content - Embedded Petition")</f>
        <v>EVERGREEN - UAN Gated Content - Embedded Petition</v>
      </c>
      <c r="D1634" s="10">
        <f ca="1">IFERROR(__xludf.DUMMYFUNCTION("""COMPUTED_VALUE"""),45695)</f>
        <v>45695</v>
      </c>
      <c r="E1634" s="1" t="str">
        <f ca="1">IFERROR(__xludf.DUMMYFUNCTION("""COMPUTED_VALUE"""),"Tunisia")</f>
        <v>Tunisia</v>
      </c>
      <c r="F1634" s="1" t="str">
        <f ca="1">IFERROR(__xludf.DUMMYFUNCTION("""COMPUTED_VALUE"""),"Second 76.24 Tunisia")</f>
        <v>Second 76.24 Tunisia</v>
      </c>
      <c r="G1634" s="1" t="str">
        <f ca="1">IFERROR(__xludf.DUMMYFUNCTION("""COMPUTED_VALUE"""),"Freedom of Expression, Human Rights Defenders")</f>
        <v>Freedom of Expression, Human Rights Defenders</v>
      </c>
      <c r="H1634" s="1" t="str">
        <f ca="1">IFERROR(__xludf.DUMMYFUNCTION("""COMPUTED_VALUE"""),"2025")</f>
        <v>2025</v>
      </c>
      <c r="I1634" s="1" t="str">
        <f ca="1">IFERROR(__xludf.DUMMYFUNCTION("""COMPUTED_VALUE"""),"Email")</f>
        <v>Email</v>
      </c>
    </row>
    <row r="1635" spans="1:9" ht="13" x14ac:dyDescent="0.15">
      <c r="A1635" s="9">
        <f ca="1">IFERROR(__xludf.DUMMYFUNCTION("""COMPUTED_VALUE"""),179115374)</f>
        <v>179115374</v>
      </c>
      <c r="B1635" s="1" t="str">
        <f ca="1">IFERROR(__xludf.DUMMYFUNCTION("""COMPUTED_VALUE"""),"ouassim.sadellah@gmail.com")</f>
        <v>ouassim.sadellah@gmail.com</v>
      </c>
      <c r="C1635" s="9" t="str">
        <f ca="1">IFERROR(__xludf.DUMMYFUNCTION("""COMPUTED_VALUE"""),"EVERGREEN - UAN Gated Content - Embedded Petition")</f>
        <v>EVERGREEN - UAN Gated Content - Embedded Petition</v>
      </c>
      <c r="D1635" s="10">
        <f ca="1">IFERROR(__xludf.DUMMYFUNCTION("""COMPUTED_VALUE"""),45616)</f>
        <v>45616</v>
      </c>
      <c r="E1635" s="1" t="str">
        <f ca="1">IFERROR(__xludf.DUMMYFUNCTION("""COMPUTED_VALUE"""),"USA")</f>
        <v>USA</v>
      </c>
      <c r="F1635" s="1" t="str">
        <f ca="1">IFERROR(__xludf.DUMMYFUNCTION("""COMPUTED_VALUE"""),"4.25 USA")</f>
        <v>4.25 USA</v>
      </c>
      <c r="G1635" s="1" t="str">
        <f ca="1">IFERROR(__xludf.DUMMYFUNCTION("""COMPUTED_VALUE"""),"Individuals At Risk, Refugee and Migrant Rights")</f>
        <v>Individuals At Risk, Refugee and Migrant Rights</v>
      </c>
      <c r="H1635" s="1" t="str">
        <f ca="1">IFERROR(__xludf.DUMMYFUNCTION("""COMPUTED_VALUE"""),"2025")</f>
        <v>2025</v>
      </c>
      <c r="I1635" s="1" t="str">
        <f ca="1">IFERROR(__xludf.DUMMYFUNCTION("""COMPUTED_VALUE"""),"Letter")</f>
        <v>Letter</v>
      </c>
    </row>
    <row r="1636" spans="1:9" ht="13" x14ac:dyDescent="0.15">
      <c r="A1636" s="9">
        <f ca="1">IFERROR(__xludf.DUMMYFUNCTION("""COMPUTED_VALUE"""),179116905)</f>
        <v>179116905</v>
      </c>
      <c r="B1636" s="1" t="str">
        <f ca="1">IFERROR(__xludf.DUMMYFUNCTION("""COMPUTED_VALUE"""),"mangcoding@gmail.com")</f>
        <v>mangcoding@gmail.com</v>
      </c>
      <c r="C1636" s="9" t="str">
        <f ca="1">IFERROR(__xludf.DUMMYFUNCTION("""COMPUTED_VALUE"""),"EVERGREEN - UAN Gated Content - Embedded Petition")</f>
        <v>EVERGREEN - UAN Gated Content - Embedded Petition</v>
      </c>
      <c r="D1636" s="10">
        <f ca="1">IFERROR(__xludf.DUMMYFUNCTION("""COMPUTED_VALUE"""),45568)</f>
        <v>45568</v>
      </c>
      <c r="E1636" s="1" t="str">
        <f ca="1">IFERROR(__xludf.DUMMYFUNCTION("""COMPUTED_VALUE"""),"Iran")</f>
        <v>Iran</v>
      </c>
      <c r="F1636" s="1" t="str">
        <f ca="1">IFERROR(__xludf.DUMMYFUNCTION("""COMPUTED_VALUE"""),"Seventh 103.22 Iran")</f>
        <v>Seventh 103.22 Iran</v>
      </c>
      <c r="G1636" s="1" t="str">
        <f ca="1">IFERROR(__xludf.DUMMYFUNCTION("""COMPUTED_VALUE"""),"Death Penalty, Freedom of Expression, Individuals At Risk")</f>
        <v>Death Penalty, Freedom of Expression, Individuals At Risk</v>
      </c>
      <c r="H1636" s="1" t="str">
        <f ca="1">IFERROR(__xludf.DUMMYFUNCTION("""COMPUTED_VALUE"""),"2024")</f>
        <v>2024</v>
      </c>
      <c r="I1636" s="1" t="str">
        <f ca="1">IFERROR(__xludf.DUMMYFUNCTION("""COMPUTED_VALUE"""),"Email")</f>
        <v>Email</v>
      </c>
    </row>
    <row r="1637" spans="1:9" ht="13" x14ac:dyDescent="0.15">
      <c r="A1637" s="9">
        <f ca="1">IFERROR(__xludf.DUMMYFUNCTION("""COMPUTED_VALUE"""),179116905)</f>
        <v>179116905</v>
      </c>
      <c r="B1637" s="1" t="str">
        <f ca="1">IFERROR(__xludf.DUMMYFUNCTION("""COMPUTED_VALUE"""),"mangcoding@gmail.com")</f>
        <v>mangcoding@gmail.com</v>
      </c>
      <c r="C1637" s="9" t="str">
        <f ca="1">IFERROR(__xludf.DUMMYFUNCTION("""COMPUTED_VALUE"""),"EVERGREEN - UAN Gated Content - Embedded Petition")</f>
        <v>EVERGREEN - UAN Gated Content - Embedded Petition</v>
      </c>
      <c r="D1637" s="10">
        <f ca="1">IFERROR(__xludf.DUMMYFUNCTION("""COMPUTED_VALUE"""),45611)</f>
        <v>45611</v>
      </c>
      <c r="E1637" s="1" t="str">
        <f ca="1">IFERROR(__xludf.DUMMYFUNCTION("""COMPUTED_VALUE"""),"Egypt")</f>
        <v>Egypt</v>
      </c>
      <c r="F1637" s="1" t="str">
        <f ca="1">IFERROR(__xludf.DUMMYFUNCTION("""COMPUTED_VALUE"""),"Ninth 190.18 Egypt")</f>
        <v>Ninth 190.18 Egypt</v>
      </c>
      <c r="G1637" s="1" t="str">
        <f ca="1">IFERROR(__xludf.DUMMYFUNCTION("""COMPUTED_VALUE"""),"Freedom of Expression, Individuals At Risk")</f>
        <v>Freedom of Expression, Individuals At Risk</v>
      </c>
      <c r="H1637" s="1" t="str">
        <f ca="1">IFERROR(__xludf.DUMMYFUNCTION("""COMPUTED_VALUE"""),"2024")</f>
        <v>2024</v>
      </c>
      <c r="I1637" s="1" t="str">
        <f ca="1">IFERROR(__xludf.DUMMYFUNCTION("""COMPUTED_VALUE"""),"Letter")</f>
        <v>Letter</v>
      </c>
    </row>
    <row r="1638" spans="1:9" ht="13" x14ac:dyDescent="0.15">
      <c r="A1638" s="9">
        <f ca="1">IFERROR(__xludf.DUMMYFUNCTION("""COMPUTED_VALUE"""),179549632)</f>
        <v>179549632</v>
      </c>
      <c r="B1638" s="1" t="str">
        <f ca="1">IFERROR(__xludf.DUMMYFUNCTION("""COMPUTED_VALUE"""),"kenj46@gmail.com")</f>
        <v>kenj46@gmail.com</v>
      </c>
      <c r="C1638" s="9" t="str">
        <f ca="1">IFERROR(__xludf.DUMMYFUNCTION("""COMPUTED_VALUE"""),"EVERGREEN - Website Email Capture Form - UAN Pre-Footer")</f>
        <v>EVERGREEN - Website Email Capture Form - UAN Pre-Footer</v>
      </c>
      <c r="D1638" s="10">
        <f ca="1">IFERROR(__xludf.DUMMYFUNCTION("""COMPUTED_VALUE"""),45636)</f>
        <v>45636</v>
      </c>
      <c r="E1638" s="1" t="str">
        <f ca="1">IFERROR(__xludf.DUMMYFUNCTION("""COMPUTED_VALUE"""),"USA")</f>
        <v>USA</v>
      </c>
      <c r="F1638" s="1" t="str">
        <f ca="1">IFERROR(__xludf.DUMMYFUNCTION("""COMPUTED_VALUE"""),"105.24 USA")</f>
        <v>105.24 USA</v>
      </c>
      <c r="G1638" s="1" t="str">
        <f ca="1">IFERROR(__xludf.DUMMYFUNCTION("""COMPUTED_VALUE"""),"Death Penalty")</f>
        <v>Death Penalty</v>
      </c>
      <c r="H1638" s="1" t="str">
        <f ca="1">IFERROR(__xludf.DUMMYFUNCTION("""COMPUTED_VALUE"""),"2024")</f>
        <v>2024</v>
      </c>
      <c r="I1638" s="1" t="str">
        <f ca="1">IFERROR(__xludf.DUMMYFUNCTION("""COMPUTED_VALUE"""),"Email")</f>
        <v>Email</v>
      </c>
    </row>
    <row r="1639" spans="1:9" ht="13" x14ac:dyDescent="0.15">
      <c r="A1639" s="9">
        <f ca="1">IFERROR(__xludf.DUMMYFUNCTION("""COMPUTED_VALUE"""),180736750)</f>
        <v>180736750</v>
      </c>
      <c r="B1639" s="1" t="str">
        <f ca="1">IFERROR(__xludf.DUMMYFUNCTION("""COMPUTED_VALUE"""),"keith@burmaoaks.com")</f>
        <v>keith@burmaoaks.com</v>
      </c>
      <c r="C1639" s="9" t="str">
        <f ca="1">IFERROR(__xludf.DUMMYFUNCTION("""COMPUTED_VALUE"""),"EVERGREEN - UAN Gated Content - Embedded Petition")</f>
        <v>EVERGREEN - UAN Gated Content - Embedded Petition</v>
      </c>
      <c r="D1639" s="10">
        <f ca="1">IFERROR(__xludf.DUMMYFUNCTION("""COMPUTED_VALUE"""),45694)</f>
        <v>45694</v>
      </c>
      <c r="E1639" s="1" t="str">
        <f ca="1">IFERROR(__xludf.DUMMYFUNCTION("""COMPUTED_VALUE"""),"Iran")</f>
        <v>Iran</v>
      </c>
      <c r="F1639" s="1" t="str">
        <f ca="1">IFERROR(__xludf.DUMMYFUNCTION("""COMPUTED_VALUE"""),"101.24 Iran")</f>
        <v>101.24 Iran</v>
      </c>
      <c r="G1639" s="1" t="str">
        <f ca="1">IFERROR(__xludf.DUMMYFUNCTION("""COMPUTED_VALUE"""),"Death Penalty, Freedom of Expression, Individuals At Risk, Right to Protest")</f>
        <v>Death Penalty, Freedom of Expression, Individuals At Risk, Right to Protest</v>
      </c>
      <c r="H1639" s="1" t="str">
        <f ca="1">IFERROR(__xludf.DUMMYFUNCTION("""COMPUTED_VALUE"""),"2024")</f>
        <v>2024</v>
      </c>
      <c r="I1639" s="1" t="str">
        <f ca="1">IFERROR(__xludf.DUMMYFUNCTION("""COMPUTED_VALUE"""),"Email")</f>
        <v>Email</v>
      </c>
    </row>
    <row r="1640" spans="1:9" ht="13" x14ac:dyDescent="0.15">
      <c r="A1640" s="9">
        <f ca="1">IFERROR(__xludf.DUMMYFUNCTION("""COMPUTED_VALUE"""),182001403)</f>
        <v>182001403</v>
      </c>
      <c r="B1640" s="1" t="str">
        <f ca="1">IFERROR(__xludf.DUMMYFUNCTION("""COMPUTED_VALUE"""),"stacy.strobel@gordon.edu")</f>
        <v>stacy.strobel@gordon.edu</v>
      </c>
      <c r="C1640" s="9" t="str">
        <f ca="1">IFERROR(__xludf.DUMMYFUNCTION("""COMPUTED_VALUE"""),"EVERGREEN - UAN Gated Content - Embedded Petition")</f>
        <v>EVERGREEN - UAN Gated Content - Embedded Petition</v>
      </c>
      <c r="D1640" s="10">
        <f ca="1">IFERROR(__xludf.DUMMYFUNCTION("""COMPUTED_VALUE"""),45677)</f>
        <v>45677</v>
      </c>
      <c r="E1640" s="1" t="str">
        <f ca="1">IFERROR(__xludf.DUMMYFUNCTION("""COMPUTED_VALUE"""),"Iran")</f>
        <v>Iran</v>
      </c>
      <c r="F1640" s="1" t="str">
        <f ca="1">IFERROR(__xludf.DUMMYFUNCTION("""COMPUTED_VALUE"""),"10.25 Iran")</f>
        <v>10.25 Iran</v>
      </c>
      <c r="G1640" s="1" t="str">
        <f ca="1">IFERROR(__xludf.DUMMYFUNCTION("""COMPUTED_VALUE"""),"Death Penalty, Individuals At Risk")</f>
        <v>Death Penalty, Individuals At Risk</v>
      </c>
      <c r="H1640" s="1" t="str">
        <f ca="1">IFERROR(__xludf.DUMMYFUNCTION("""COMPUTED_VALUE"""),"2025")</f>
        <v>2025</v>
      </c>
      <c r="I1640" s="1" t="str">
        <f ca="1">IFERROR(__xludf.DUMMYFUNCTION("""COMPUTED_VALUE"""),"Email")</f>
        <v>Email</v>
      </c>
    </row>
    <row r="1641" spans="1:9" ht="13" x14ac:dyDescent="0.15">
      <c r="A1641" s="9">
        <f ca="1">IFERROR(__xludf.DUMMYFUNCTION("""COMPUTED_VALUE"""),183753171)</f>
        <v>183753171</v>
      </c>
      <c r="B1641" s="1" t="str">
        <f ca="1">IFERROR(__xludf.DUMMYFUNCTION("""COMPUTED_VALUE"""),"tigana0118@gmail.com")</f>
        <v>tigana0118@gmail.com</v>
      </c>
      <c r="C1641" s="9" t="str">
        <f ca="1">IFERROR(__xludf.DUMMYFUNCTION("""COMPUTED_VALUE"""),"EVERGREEN - UAN Gated Content - Embedded Petition")</f>
        <v>EVERGREEN - UAN Gated Content - Embedded Petition</v>
      </c>
      <c r="D1641" s="10">
        <f ca="1">IFERROR(__xludf.DUMMYFUNCTION("""COMPUTED_VALUE"""),45636)</f>
        <v>45636</v>
      </c>
      <c r="E1641" s="1" t="str">
        <f ca="1">IFERROR(__xludf.DUMMYFUNCTION("""COMPUTED_VALUE"""),"USA")</f>
        <v>USA</v>
      </c>
      <c r="F1641" s="1" t="str">
        <f ca="1">IFERROR(__xludf.DUMMYFUNCTION("""COMPUTED_VALUE"""),"4.25 USA")</f>
        <v>4.25 USA</v>
      </c>
      <c r="G1641" s="1" t="str">
        <f ca="1">IFERROR(__xludf.DUMMYFUNCTION("""COMPUTED_VALUE"""),"Individuals At Risk, Refugee and Migrant Rights")</f>
        <v>Individuals At Risk, Refugee and Migrant Rights</v>
      </c>
      <c r="H1641" s="1" t="str">
        <f ca="1">IFERROR(__xludf.DUMMYFUNCTION("""COMPUTED_VALUE"""),"2025")</f>
        <v>2025</v>
      </c>
      <c r="I1641" s="1" t="str">
        <f ca="1">IFERROR(__xludf.DUMMYFUNCTION("""COMPUTED_VALUE"""),"Letter")</f>
        <v>Letter</v>
      </c>
    </row>
    <row r="1642" spans="1:9" ht="13" x14ac:dyDescent="0.15">
      <c r="A1642" s="9">
        <f ca="1">IFERROR(__xludf.DUMMYFUNCTION("""COMPUTED_VALUE"""),183753171)</f>
        <v>183753171</v>
      </c>
      <c r="B1642" s="1" t="str">
        <f ca="1">IFERROR(__xludf.DUMMYFUNCTION("""COMPUTED_VALUE"""),"tigana0118@gmail.com")</f>
        <v>tigana0118@gmail.com</v>
      </c>
      <c r="C1642" s="9" t="str">
        <f ca="1">IFERROR(__xludf.DUMMYFUNCTION("""COMPUTED_VALUE"""),"EVERGREEN - UAN Gated Content - Embedded Petition")</f>
        <v>EVERGREEN - UAN Gated Content - Embedded Petition</v>
      </c>
      <c r="D1642" s="10">
        <f ca="1">IFERROR(__xludf.DUMMYFUNCTION("""COMPUTED_VALUE"""),45636)</f>
        <v>45636</v>
      </c>
      <c r="E1642" s="1" t="str">
        <f ca="1">IFERROR(__xludf.DUMMYFUNCTION("""COMPUTED_VALUE"""),"Iran")</f>
        <v>Iran</v>
      </c>
      <c r="F1642" s="1" t="str">
        <f ca="1">IFERROR(__xludf.DUMMYFUNCTION("""COMPUTED_VALUE"""),"Seventh 103.22 Iran")</f>
        <v>Seventh 103.22 Iran</v>
      </c>
      <c r="G1642" s="1" t="str">
        <f ca="1">IFERROR(__xludf.DUMMYFUNCTION("""COMPUTED_VALUE"""),"Death Penalty, Freedom of Expression, Individuals At Risk")</f>
        <v>Death Penalty, Freedom of Expression, Individuals At Risk</v>
      </c>
      <c r="H1642" s="1" t="str">
        <f ca="1">IFERROR(__xludf.DUMMYFUNCTION("""COMPUTED_VALUE"""),"2024")</f>
        <v>2024</v>
      </c>
      <c r="I1642" s="1" t="str">
        <f ca="1">IFERROR(__xludf.DUMMYFUNCTION("""COMPUTED_VALUE"""),"Email")</f>
        <v>Email</v>
      </c>
    </row>
    <row r="1643" spans="1:9" ht="13" x14ac:dyDescent="0.15">
      <c r="A1643" s="9">
        <f ca="1">IFERROR(__xludf.DUMMYFUNCTION("""COMPUTED_VALUE"""),183753171)</f>
        <v>183753171</v>
      </c>
      <c r="B1643" s="1" t="str">
        <f ca="1">IFERROR(__xludf.DUMMYFUNCTION("""COMPUTED_VALUE"""),"tigana0118@gmail.com")</f>
        <v>tigana0118@gmail.com</v>
      </c>
      <c r="C1643" s="9" t="str">
        <f ca="1">IFERROR(__xludf.DUMMYFUNCTION("""COMPUTED_VALUE"""),"EVERGREEN - UAN Gated Content - Embedded Petition")</f>
        <v>EVERGREEN - UAN Gated Content - Embedded Petition</v>
      </c>
      <c r="D1643" s="10">
        <f ca="1">IFERROR(__xludf.DUMMYFUNCTION("""COMPUTED_VALUE"""),45636)</f>
        <v>45636</v>
      </c>
      <c r="E1643" s="1" t="str">
        <f ca="1">IFERROR(__xludf.DUMMYFUNCTION("""COMPUTED_VALUE"""),"Iran")</f>
        <v>Iran</v>
      </c>
      <c r="F1643" s="1" t="str">
        <f ca="1">IFERROR(__xludf.DUMMYFUNCTION("""COMPUTED_VALUE"""),"Seventh 103.22 Iran")</f>
        <v>Seventh 103.22 Iran</v>
      </c>
      <c r="G1643" s="1" t="str">
        <f ca="1">IFERROR(__xludf.DUMMYFUNCTION("""COMPUTED_VALUE"""),"Death Penalty, Freedom of Expression, Individuals At Risk")</f>
        <v>Death Penalty, Freedom of Expression, Individuals At Risk</v>
      </c>
      <c r="H1643" s="1" t="str">
        <f ca="1">IFERROR(__xludf.DUMMYFUNCTION("""COMPUTED_VALUE"""),"2024")</f>
        <v>2024</v>
      </c>
      <c r="I1643" s="1" t="str">
        <f ca="1">IFERROR(__xludf.DUMMYFUNCTION("""COMPUTED_VALUE"""),"Email")</f>
        <v>Email</v>
      </c>
    </row>
    <row r="1644" spans="1:9" ht="13" x14ac:dyDescent="0.15">
      <c r="A1644" s="9">
        <f ca="1">IFERROR(__xludf.DUMMYFUNCTION("""COMPUTED_VALUE"""),183753171)</f>
        <v>183753171</v>
      </c>
      <c r="B1644" s="1" t="str">
        <f ca="1">IFERROR(__xludf.DUMMYFUNCTION("""COMPUTED_VALUE"""),"tigana0118@gmail.com")</f>
        <v>tigana0118@gmail.com</v>
      </c>
      <c r="C1644" s="9" t="str">
        <f ca="1">IFERROR(__xludf.DUMMYFUNCTION("""COMPUTED_VALUE"""),"EVERGREEN - UAN Gated Content - Embedded Petition")</f>
        <v>EVERGREEN - UAN Gated Content - Embedded Petition</v>
      </c>
      <c r="D1644" s="10">
        <f ca="1">IFERROR(__xludf.DUMMYFUNCTION("""COMPUTED_VALUE"""),45636)</f>
        <v>45636</v>
      </c>
      <c r="E1644" s="1" t="str">
        <f ca="1">IFERROR(__xludf.DUMMYFUNCTION("""COMPUTED_VALUE"""),"USA")</f>
        <v>USA</v>
      </c>
      <c r="F1644" s="1" t="str">
        <f ca="1">IFERROR(__xludf.DUMMYFUNCTION("""COMPUTED_VALUE"""),"105.24 USA")</f>
        <v>105.24 USA</v>
      </c>
      <c r="G1644" s="1" t="str">
        <f ca="1">IFERROR(__xludf.DUMMYFUNCTION("""COMPUTED_VALUE"""),"Death Penalty")</f>
        <v>Death Penalty</v>
      </c>
      <c r="H1644" s="1" t="str">
        <f ca="1">IFERROR(__xludf.DUMMYFUNCTION("""COMPUTED_VALUE"""),"2024")</f>
        <v>2024</v>
      </c>
      <c r="I1644" s="1" t="str">
        <f ca="1">IFERROR(__xludf.DUMMYFUNCTION("""COMPUTED_VALUE"""),"Email")</f>
        <v>Email</v>
      </c>
    </row>
    <row r="1645" spans="1:9" ht="13" x14ac:dyDescent="0.15">
      <c r="A1645" s="9">
        <f ca="1">IFERROR(__xludf.DUMMYFUNCTION("""COMPUTED_VALUE"""),183979957)</f>
        <v>183979957</v>
      </c>
      <c r="B1645" s="1" t="str">
        <f ca="1">IFERROR(__xludf.DUMMYFUNCTION("""COMPUTED_VALUE"""),"sdpabken@gmail.com")</f>
        <v>sdpabken@gmail.com</v>
      </c>
      <c r="C1645" s="9" t="str">
        <f ca="1">IFERROR(__xludf.DUMMYFUNCTION("""COMPUTED_VALUE"""),"EVERGREEN - UAN Gated Content - Embedded Petition")</f>
        <v>EVERGREEN - UAN Gated Content - Embedded Petition</v>
      </c>
      <c r="D1645" s="10">
        <f ca="1">IFERROR(__xludf.DUMMYFUNCTION("""COMPUTED_VALUE"""),45616)</f>
        <v>45616</v>
      </c>
      <c r="E1645" s="1" t="str">
        <f ca="1">IFERROR(__xludf.DUMMYFUNCTION("""COMPUTED_VALUE"""),"Iran")</f>
        <v>Iran</v>
      </c>
      <c r="F1645" s="1" t="str">
        <f ca="1">IFERROR(__xludf.DUMMYFUNCTION("""COMPUTED_VALUE"""),"101.24 Iran")</f>
        <v>101.24 Iran</v>
      </c>
      <c r="G1645" s="1" t="str">
        <f ca="1">IFERROR(__xludf.DUMMYFUNCTION("""COMPUTED_VALUE"""),"Death Penalty, Freedom of Expression, Individuals At Risk, Right to Protest")</f>
        <v>Death Penalty, Freedom of Expression, Individuals At Risk, Right to Protest</v>
      </c>
      <c r="H1645" s="1" t="str">
        <f ca="1">IFERROR(__xludf.DUMMYFUNCTION("""COMPUTED_VALUE"""),"2024")</f>
        <v>2024</v>
      </c>
      <c r="I1645" s="1" t="str">
        <f ca="1">IFERROR(__xludf.DUMMYFUNCTION("""COMPUTED_VALUE"""),"Email")</f>
        <v>Email</v>
      </c>
    </row>
    <row r="1646" spans="1:9" ht="13" x14ac:dyDescent="0.15">
      <c r="A1646" s="9">
        <f ca="1">IFERROR(__xludf.DUMMYFUNCTION("""COMPUTED_VALUE"""),183979957)</f>
        <v>183979957</v>
      </c>
      <c r="B1646" s="1" t="str">
        <f ca="1">IFERROR(__xludf.DUMMYFUNCTION("""COMPUTED_VALUE"""),"sdpabken@gmail.com")</f>
        <v>sdpabken@gmail.com</v>
      </c>
      <c r="C1646" s="9" t="str">
        <f ca="1">IFERROR(__xludf.DUMMYFUNCTION("""COMPUTED_VALUE"""),"EVERGREEN - UAN Gated Content - Embedded Petition")</f>
        <v>EVERGREEN - UAN Gated Content - Embedded Petition</v>
      </c>
      <c r="D1646" s="10">
        <f ca="1">IFERROR(__xludf.DUMMYFUNCTION("""COMPUTED_VALUE"""),45616)</f>
        <v>45616</v>
      </c>
      <c r="E1646" s="1" t="str">
        <f ca="1">IFERROR(__xludf.DUMMYFUNCTION("""COMPUTED_VALUE"""),"USA")</f>
        <v>USA</v>
      </c>
      <c r="F1646" s="1" t="str">
        <f ca="1">IFERROR(__xludf.DUMMYFUNCTION("""COMPUTED_VALUE"""),"4.25 USA")</f>
        <v>4.25 USA</v>
      </c>
      <c r="G1646" s="1" t="str">
        <f ca="1">IFERROR(__xludf.DUMMYFUNCTION("""COMPUTED_VALUE"""),"Individuals At Risk, Refugee and Migrant Rights")</f>
        <v>Individuals At Risk, Refugee and Migrant Rights</v>
      </c>
      <c r="H1646" s="1" t="str">
        <f ca="1">IFERROR(__xludf.DUMMYFUNCTION("""COMPUTED_VALUE"""),"2025")</f>
        <v>2025</v>
      </c>
      <c r="I1646" s="1" t="str">
        <f ca="1">IFERROR(__xludf.DUMMYFUNCTION("""COMPUTED_VALUE"""),"Letter")</f>
        <v>Letter</v>
      </c>
    </row>
    <row r="1647" spans="1:9" ht="13" x14ac:dyDescent="0.15">
      <c r="A1647" s="9">
        <f ca="1">IFERROR(__xludf.DUMMYFUNCTION("""COMPUTED_VALUE"""),183979957)</f>
        <v>183979957</v>
      </c>
      <c r="B1647" s="1" t="str">
        <f ca="1">IFERROR(__xludf.DUMMYFUNCTION("""COMPUTED_VALUE"""),"sdpabken@gmail.com")</f>
        <v>sdpabken@gmail.com</v>
      </c>
      <c r="C1647" s="9" t="str">
        <f ca="1">IFERROR(__xludf.DUMMYFUNCTION("""COMPUTED_VALUE"""),"EVERGREEN - UAN Gated Content - Embedded Petition")</f>
        <v>EVERGREEN - UAN Gated Content - Embedded Petition</v>
      </c>
      <c r="D1647" s="10">
        <f ca="1">IFERROR(__xludf.DUMMYFUNCTION("""COMPUTED_VALUE"""),45694)</f>
        <v>45694</v>
      </c>
      <c r="E1647" s="1" t="str">
        <f ca="1">IFERROR(__xludf.DUMMYFUNCTION("""COMPUTED_VALUE"""),"Egypt")</f>
        <v>Egypt</v>
      </c>
      <c r="F1647" s="1" t="str">
        <f ca="1">IFERROR(__xludf.DUMMYFUNCTION("""COMPUTED_VALUE"""),"Ninth 190.18 Egypt")</f>
        <v>Ninth 190.18 Egypt</v>
      </c>
      <c r="G1647" s="1" t="str">
        <f ca="1">IFERROR(__xludf.DUMMYFUNCTION("""COMPUTED_VALUE"""),"Freedom of Expression, Individuals At Risk")</f>
        <v>Freedom of Expression, Individuals At Risk</v>
      </c>
      <c r="H1647" s="1" t="str">
        <f ca="1">IFERROR(__xludf.DUMMYFUNCTION("""COMPUTED_VALUE"""),"2024")</f>
        <v>2024</v>
      </c>
      <c r="I1647" s="1" t="str">
        <f ca="1">IFERROR(__xludf.DUMMYFUNCTION("""COMPUTED_VALUE"""),"Letter")</f>
        <v>Letter</v>
      </c>
    </row>
    <row r="1648" spans="1:9" ht="13" x14ac:dyDescent="0.15">
      <c r="A1648" s="9">
        <f ca="1">IFERROR(__xludf.DUMMYFUNCTION("""COMPUTED_VALUE"""),185767454)</f>
        <v>185767454</v>
      </c>
      <c r="B1648" s="1" t="str">
        <f ca="1">IFERROR(__xludf.DUMMYFUNCTION("""COMPUTED_VALUE"""),"saenzalca@gmail.com")</f>
        <v>saenzalca@gmail.com</v>
      </c>
      <c r="C1648" s="9" t="str">
        <f ca="1">IFERROR(__xludf.DUMMYFUNCTION("""COMPUTED_VALUE"""),"EVERGREEN - UAN Gated Content - Embedded Petition")</f>
        <v>EVERGREEN - UAN Gated Content - Embedded Petition</v>
      </c>
      <c r="D1648" s="10">
        <f ca="1">IFERROR(__xludf.DUMMYFUNCTION("""COMPUTED_VALUE"""),45643)</f>
        <v>45643</v>
      </c>
      <c r="E1648" s="1" t="str">
        <f ca="1">IFERROR(__xludf.DUMMYFUNCTION("""COMPUTED_VALUE"""),"USA")</f>
        <v>USA</v>
      </c>
      <c r="F1648" s="1" t="str">
        <f ca="1">IFERROR(__xludf.DUMMYFUNCTION("""COMPUTED_VALUE"""),"105.24 USA")</f>
        <v>105.24 USA</v>
      </c>
      <c r="G1648" s="1" t="str">
        <f ca="1">IFERROR(__xludf.DUMMYFUNCTION("""COMPUTED_VALUE"""),"Death Penalty")</f>
        <v>Death Penalty</v>
      </c>
      <c r="H1648" s="1" t="str">
        <f ca="1">IFERROR(__xludf.DUMMYFUNCTION("""COMPUTED_VALUE"""),"2024")</f>
        <v>2024</v>
      </c>
      <c r="I1648" s="1" t="str">
        <f ca="1">IFERROR(__xludf.DUMMYFUNCTION("""COMPUTED_VALUE"""),"Email")</f>
        <v>Email</v>
      </c>
    </row>
    <row r="1649" spans="1:9" ht="13" x14ac:dyDescent="0.15">
      <c r="A1649" s="9">
        <f ca="1">IFERROR(__xludf.DUMMYFUNCTION("""COMPUTED_VALUE"""),185767454)</f>
        <v>185767454</v>
      </c>
      <c r="B1649" s="1" t="str">
        <f ca="1">IFERROR(__xludf.DUMMYFUNCTION("""COMPUTED_VALUE"""),"saenzalca@gmail.com")</f>
        <v>saenzalca@gmail.com</v>
      </c>
      <c r="C1649" s="9" t="str">
        <f ca="1">IFERROR(__xludf.DUMMYFUNCTION("""COMPUTED_VALUE"""),"EVERGREEN - UAN Gated Content - Embedded Petition")</f>
        <v>EVERGREEN - UAN Gated Content - Embedded Petition</v>
      </c>
      <c r="D1649" s="10">
        <f ca="1">IFERROR(__xludf.DUMMYFUNCTION("""COMPUTED_VALUE"""),45636)</f>
        <v>45636</v>
      </c>
      <c r="E1649" s="1" t="str">
        <f ca="1">IFERROR(__xludf.DUMMYFUNCTION("""COMPUTED_VALUE"""),"Egypt")</f>
        <v>Egypt</v>
      </c>
      <c r="F1649" s="1" t="str">
        <f ca="1">IFERROR(__xludf.DUMMYFUNCTION("""COMPUTED_VALUE"""),"Ninth 190.18 Egypt")</f>
        <v>Ninth 190.18 Egypt</v>
      </c>
      <c r="G1649" s="1" t="str">
        <f ca="1">IFERROR(__xludf.DUMMYFUNCTION("""COMPUTED_VALUE"""),"Freedom of Expression, Individuals At Risk")</f>
        <v>Freedom of Expression, Individuals At Risk</v>
      </c>
      <c r="H1649" s="1" t="str">
        <f ca="1">IFERROR(__xludf.DUMMYFUNCTION("""COMPUTED_VALUE"""),"2024")</f>
        <v>2024</v>
      </c>
      <c r="I1649" s="1" t="str">
        <f ca="1">IFERROR(__xludf.DUMMYFUNCTION("""COMPUTED_VALUE"""),"Letter")</f>
        <v>Letter</v>
      </c>
    </row>
    <row r="1650" spans="1:9" ht="13" x14ac:dyDescent="0.15">
      <c r="A1650" s="9">
        <f ca="1">IFERROR(__xludf.DUMMYFUNCTION("""COMPUTED_VALUE"""),185891764)</f>
        <v>185891764</v>
      </c>
      <c r="B1650" s="1" t="str">
        <f ca="1">IFERROR(__xludf.DUMMYFUNCTION("""COMPUTED_VALUE"""),"mcraealexander@yahoo.com.au")</f>
        <v>mcraealexander@yahoo.com.au</v>
      </c>
      <c r="C1650" s="9" t="str">
        <f ca="1">IFERROR(__xludf.DUMMYFUNCTION("""COMPUTED_VALUE"""),"EVERGREEN - UAN Gated Content - Embedded Petition")</f>
        <v>EVERGREEN - UAN Gated Content - Embedded Petition</v>
      </c>
      <c r="D1650" s="10">
        <f ca="1">IFERROR(__xludf.DUMMYFUNCTION("""COMPUTED_VALUE"""),45699)</f>
        <v>45699</v>
      </c>
      <c r="E1650" s="1" t="str">
        <f ca="1">IFERROR(__xludf.DUMMYFUNCTION("""COMPUTED_VALUE"""),"Niger")</f>
        <v>Niger</v>
      </c>
      <c r="F1650" s="1" t="str">
        <f ca="1">IFERROR(__xludf.DUMMYFUNCTION("""COMPUTED_VALUE"""),"103.24 Niger")</f>
        <v>103.24 Niger</v>
      </c>
      <c r="G1650" s="1" t="str">
        <f ca="1">IFERROR(__xludf.DUMMYFUNCTION("""COMPUTED_VALUE"""),"Freedom of Expression, Human Rights Defenders")</f>
        <v>Freedom of Expression, Human Rights Defenders</v>
      </c>
      <c r="H1650" s="1" t="str">
        <f ca="1">IFERROR(__xludf.DUMMYFUNCTION("""COMPUTED_VALUE"""),"2024")</f>
        <v>2024</v>
      </c>
      <c r="I1650" s="1" t="str">
        <f ca="1">IFERROR(__xludf.DUMMYFUNCTION("""COMPUTED_VALUE"""),"Email")</f>
        <v>Email</v>
      </c>
    </row>
    <row r="1651" spans="1:9" ht="13" x14ac:dyDescent="0.15">
      <c r="A1651" s="9">
        <f ca="1">IFERROR(__xludf.DUMMYFUNCTION("""COMPUTED_VALUE"""),185891764)</f>
        <v>185891764</v>
      </c>
      <c r="B1651" s="1" t="str">
        <f ca="1">IFERROR(__xludf.DUMMYFUNCTION("""COMPUTED_VALUE"""),"mcraealexander@yahoo.com.au")</f>
        <v>mcraealexander@yahoo.com.au</v>
      </c>
      <c r="C1651" s="9" t="str">
        <f ca="1">IFERROR(__xludf.DUMMYFUNCTION("""COMPUTED_VALUE"""),"EVERGREEN - UAN Gated Content - Embedded Petition")</f>
        <v>EVERGREEN - UAN Gated Content - Embedded Petition</v>
      </c>
      <c r="D1651" s="10">
        <f ca="1">IFERROR(__xludf.DUMMYFUNCTION("""COMPUTED_VALUE"""),45670)</f>
        <v>45670</v>
      </c>
      <c r="E1651" s="1" t="str">
        <f ca="1">IFERROR(__xludf.DUMMYFUNCTION("""COMPUTED_VALUE"""),"Dominican Republic")</f>
        <v>Dominican Republic</v>
      </c>
      <c r="F1651" s="1" t="str">
        <f ca="1">IFERROR(__xludf.DUMMYFUNCTION("""COMPUTED_VALUE"""),"88.24 Dominican Republic")</f>
        <v>88.24 Dominican Republic</v>
      </c>
      <c r="G1651" s="1" t="str">
        <f ca="1">IFERROR(__xludf.DUMMYFUNCTION("""COMPUTED_VALUE"""),"Individuals At Risk, Refugee and Migrant Rights")</f>
        <v>Individuals At Risk, Refugee and Migrant Rights</v>
      </c>
      <c r="H1651" s="1" t="str">
        <f ca="1">IFERROR(__xludf.DUMMYFUNCTION("""COMPUTED_VALUE"""),"2024")</f>
        <v>2024</v>
      </c>
      <c r="I1651" s="1" t="str">
        <f ca="1">IFERROR(__xludf.DUMMYFUNCTION("""COMPUTED_VALUE"""),"Letter")</f>
        <v>Letter</v>
      </c>
    </row>
    <row r="1652" spans="1:9" ht="13" x14ac:dyDescent="0.15">
      <c r="A1652" s="9">
        <f ca="1">IFERROR(__xludf.DUMMYFUNCTION("""COMPUTED_VALUE"""),185891764)</f>
        <v>185891764</v>
      </c>
      <c r="B1652" s="1" t="str">
        <f ca="1">IFERROR(__xludf.DUMMYFUNCTION("""COMPUTED_VALUE"""),"mcraealexander@yahoo.com.au")</f>
        <v>mcraealexander@yahoo.com.au</v>
      </c>
      <c r="C1652" s="9" t="str">
        <f ca="1">IFERROR(__xludf.DUMMYFUNCTION("""COMPUTED_VALUE"""),"EVERGREEN - UAN Gated Content - Embedded Petition")</f>
        <v>EVERGREEN - UAN Gated Content - Embedded Petition</v>
      </c>
      <c r="D1652" s="10">
        <f ca="1">IFERROR(__xludf.DUMMYFUNCTION("""COMPUTED_VALUE"""),45698)</f>
        <v>45698</v>
      </c>
      <c r="E1652" s="1" t="str">
        <f ca="1">IFERROR(__xludf.DUMMYFUNCTION("""COMPUTED_VALUE"""),"Tunisia")</f>
        <v>Tunisia</v>
      </c>
      <c r="F1652" s="1" t="str">
        <f ca="1">IFERROR(__xludf.DUMMYFUNCTION("""COMPUTED_VALUE"""),"Second 76.24 Tunisia")</f>
        <v>Second 76.24 Tunisia</v>
      </c>
      <c r="G1652" s="1" t="str">
        <f ca="1">IFERROR(__xludf.DUMMYFUNCTION("""COMPUTED_VALUE"""),"Freedom of Expression, Human Rights Defenders")</f>
        <v>Freedom of Expression, Human Rights Defenders</v>
      </c>
      <c r="H1652" s="1" t="str">
        <f ca="1">IFERROR(__xludf.DUMMYFUNCTION("""COMPUTED_VALUE"""),"2025")</f>
        <v>2025</v>
      </c>
      <c r="I1652" s="1" t="str">
        <f ca="1">IFERROR(__xludf.DUMMYFUNCTION("""COMPUTED_VALUE"""),"Email")</f>
        <v>Email</v>
      </c>
    </row>
    <row r="1653" spans="1:9" ht="13" x14ac:dyDescent="0.15">
      <c r="A1653" s="9">
        <f ca="1">IFERROR(__xludf.DUMMYFUNCTION("""COMPUTED_VALUE"""),185891764)</f>
        <v>185891764</v>
      </c>
      <c r="B1653" s="1" t="str">
        <f ca="1">IFERROR(__xludf.DUMMYFUNCTION("""COMPUTED_VALUE"""),"mcraealexander@yahoo.com.au")</f>
        <v>mcraealexander@yahoo.com.au</v>
      </c>
      <c r="C1653" s="9" t="str">
        <f ca="1">IFERROR(__xludf.DUMMYFUNCTION("""COMPUTED_VALUE"""),"EVERGREEN - UAN Gated Content - Embedded Petition")</f>
        <v>EVERGREEN - UAN Gated Content - Embedded Petition</v>
      </c>
      <c r="D1653" s="10">
        <f ca="1">IFERROR(__xludf.DUMMYFUNCTION("""COMPUTED_VALUE"""),45698)</f>
        <v>45698</v>
      </c>
      <c r="E1653" s="1" t="str">
        <f ca="1">IFERROR(__xludf.DUMMYFUNCTION("""COMPUTED_VALUE"""),"Tunisia")</f>
        <v>Tunisia</v>
      </c>
      <c r="F1653" s="1" t="str">
        <f ca="1">IFERROR(__xludf.DUMMYFUNCTION("""COMPUTED_VALUE"""),"Second 76.24 Tunisia")</f>
        <v>Second 76.24 Tunisia</v>
      </c>
      <c r="G1653" s="1" t="str">
        <f ca="1">IFERROR(__xludf.DUMMYFUNCTION("""COMPUTED_VALUE"""),"Freedom of Expression, Human Rights Defenders")</f>
        <v>Freedom of Expression, Human Rights Defenders</v>
      </c>
      <c r="H1653" s="1" t="str">
        <f ca="1">IFERROR(__xludf.DUMMYFUNCTION("""COMPUTED_VALUE"""),"2025")</f>
        <v>2025</v>
      </c>
      <c r="I1653" s="1" t="str">
        <f ca="1">IFERROR(__xludf.DUMMYFUNCTION("""COMPUTED_VALUE"""),"Email")</f>
        <v>Email</v>
      </c>
    </row>
    <row r="1654" spans="1:9" ht="13" x14ac:dyDescent="0.15">
      <c r="A1654" s="9">
        <f ca="1">IFERROR(__xludf.DUMMYFUNCTION("""COMPUTED_VALUE"""),185891764)</f>
        <v>185891764</v>
      </c>
      <c r="B1654" s="1" t="str">
        <f ca="1">IFERROR(__xludf.DUMMYFUNCTION("""COMPUTED_VALUE"""),"mcraealexander@yahoo.com.au")</f>
        <v>mcraealexander@yahoo.com.au</v>
      </c>
      <c r="C1654" s="9" t="str">
        <f ca="1">IFERROR(__xludf.DUMMYFUNCTION("""COMPUTED_VALUE"""),"EVERGREEN - UAN Gated Content - Embedded Petition")</f>
        <v>EVERGREEN - UAN Gated Content - Embedded Petition</v>
      </c>
      <c r="D1654" s="10">
        <f ca="1">IFERROR(__xludf.DUMMYFUNCTION("""COMPUTED_VALUE"""),45670)</f>
        <v>45670</v>
      </c>
      <c r="E1654" s="1" t="str">
        <f ca="1">IFERROR(__xludf.DUMMYFUNCTION("""COMPUTED_VALUE"""),"Dominican Republic")</f>
        <v>Dominican Republic</v>
      </c>
      <c r="F1654" s="1" t="str">
        <f ca="1">IFERROR(__xludf.DUMMYFUNCTION("""COMPUTED_VALUE"""),"88.24 Dominican Republic")</f>
        <v>88.24 Dominican Republic</v>
      </c>
      <c r="G1654" s="1" t="str">
        <f ca="1">IFERROR(__xludf.DUMMYFUNCTION("""COMPUTED_VALUE"""),"Individuals At Risk, Refugee and Migrant Rights")</f>
        <v>Individuals At Risk, Refugee and Migrant Rights</v>
      </c>
      <c r="H1654" s="1" t="str">
        <f ca="1">IFERROR(__xludf.DUMMYFUNCTION("""COMPUTED_VALUE"""),"2024")</f>
        <v>2024</v>
      </c>
      <c r="I1654" s="1" t="str">
        <f ca="1">IFERROR(__xludf.DUMMYFUNCTION("""COMPUTED_VALUE"""),"Letter")</f>
        <v>Letter</v>
      </c>
    </row>
    <row r="1655" spans="1:9" ht="13" x14ac:dyDescent="0.15">
      <c r="A1655" s="9">
        <f ca="1">IFERROR(__xludf.DUMMYFUNCTION("""COMPUTED_VALUE"""),186657703)</f>
        <v>186657703</v>
      </c>
      <c r="B1655" s="1" t="str">
        <f ca="1">IFERROR(__xludf.DUMMYFUNCTION("""COMPUTED_VALUE"""),"philbertr46@gmail.com")</f>
        <v>philbertr46@gmail.com</v>
      </c>
      <c r="C1655" s="9" t="str">
        <f ca="1">IFERROR(__xludf.DUMMYFUNCTION("""COMPUTED_VALUE"""),"EVERGREEN - UAN Gated Content - Embedded Petition")</f>
        <v>EVERGREEN - UAN Gated Content - Embedded Petition</v>
      </c>
      <c r="D1655" s="10">
        <f ca="1">IFERROR(__xludf.DUMMYFUNCTION("""COMPUTED_VALUE"""),45636)</f>
        <v>45636</v>
      </c>
      <c r="E1655" s="1" t="str">
        <f ca="1">IFERROR(__xludf.DUMMYFUNCTION("""COMPUTED_VALUE"""),"USA")</f>
        <v>USA</v>
      </c>
      <c r="F1655" s="1" t="str">
        <f ca="1">IFERROR(__xludf.DUMMYFUNCTION("""COMPUTED_VALUE"""),"105.24 USA")</f>
        <v>105.24 USA</v>
      </c>
      <c r="G1655" s="1" t="str">
        <f ca="1">IFERROR(__xludf.DUMMYFUNCTION("""COMPUTED_VALUE"""),"Death Penalty")</f>
        <v>Death Penalty</v>
      </c>
      <c r="H1655" s="1" t="str">
        <f ca="1">IFERROR(__xludf.DUMMYFUNCTION("""COMPUTED_VALUE"""),"2024")</f>
        <v>2024</v>
      </c>
      <c r="I1655" s="1" t="str">
        <f ca="1">IFERROR(__xludf.DUMMYFUNCTION("""COMPUTED_VALUE"""),"Email")</f>
        <v>Email</v>
      </c>
    </row>
    <row r="1656" spans="1:9" ht="13" x14ac:dyDescent="0.15">
      <c r="A1656" s="9">
        <f ca="1">IFERROR(__xludf.DUMMYFUNCTION("""COMPUTED_VALUE"""),186657703)</f>
        <v>186657703</v>
      </c>
      <c r="B1656" s="1" t="str">
        <f ca="1">IFERROR(__xludf.DUMMYFUNCTION("""COMPUTED_VALUE"""),"philbertr46@gmail.com")</f>
        <v>philbertr46@gmail.com</v>
      </c>
      <c r="C1656" s="9" t="str">
        <f ca="1">IFERROR(__xludf.DUMMYFUNCTION("""COMPUTED_VALUE"""),"EVERGREEN - UAN Gated Content - Embedded Petition")</f>
        <v>EVERGREEN - UAN Gated Content - Embedded Petition</v>
      </c>
      <c r="D1656" s="10">
        <f ca="1">IFERROR(__xludf.DUMMYFUNCTION("""COMPUTED_VALUE"""),45692)</f>
        <v>45692</v>
      </c>
      <c r="E1656" s="1" t="str">
        <f ca="1">IFERROR(__xludf.DUMMYFUNCTION("""COMPUTED_VALUE"""),"Tunisia")</f>
        <v>Tunisia</v>
      </c>
      <c r="F1656" s="1" t="str">
        <f ca="1">IFERROR(__xludf.DUMMYFUNCTION("""COMPUTED_VALUE"""),"Second 76.24 Tunisia")</f>
        <v>Second 76.24 Tunisia</v>
      </c>
      <c r="G1656" s="1" t="str">
        <f ca="1">IFERROR(__xludf.DUMMYFUNCTION("""COMPUTED_VALUE"""),"Freedom of Expression, Human Rights Defenders")</f>
        <v>Freedom of Expression, Human Rights Defenders</v>
      </c>
      <c r="H1656" s="1" t="str">
        <f ca="1">IFERROR(__xludf.DUMMYFUNCTION("""COMPUTED_VALUE"""),"2025")</f>
        <v>2025</v>
      </c>
      <c r="I1656" s="1" t="str">
        <f ca="1">IFERROR(__xludf.DUMMYFUNCTION("""COMPUTED_VALUE"""),"Email")</f>
        <v>Email</v>
      </c>
    </row>
    <row r="1657" spans="1:9" ht="13" x14ac:dyDescent="0.15">
      <c r="A1657" s="9">
        <f ca="1">IFERROR(__xludf.DUMMYFUNCTION("""COMPUTED_VALUE"""),186657703)</f>
        <v>186657703</v>
      </c>
      <c r="B1657" s="1" t="str">
        <f ca="1">IFERROR(__xludf.DUMMYFUNCTION("""COMPUTED_VALUE"""),"philbertr46@gmail.com")</f>
        <v>philbertr46@gmail.com</v>
      </c>
      <c r="C1657" s="9" t="str">
        <f ca="1">IFERROR(__xludf.DUMMYFUNCTION("""COMPUTED_VALUE"""),"EVERGREEN - UAN Gated Content - Embedded Petition")</f>
        <v>EVERGREEN - UAN Gated Content - Embedded Petition</v>
      </c>
      <c r="D1657" s="10">
        <f ca="1">IFERROR(__xludf.DUMMYFUNCTION("""COMPUTED_VALUE"""),45653)</f>
        <v>45653</v>
      </c>
      <c r="E1657" s="1" t="str">
        <f ca="1">IFERROR(__xludf.DUMMYFUNCTION("""COMPUTED_VALUE"""),"USA")</f>
        <v>USA</v>
      </c>
      <c r="F1657" s="1" t="str">
        <f ca="1">IFERROR(__xludf.DUMMYFUNCTION("""COMPUTED_VALUE"""),"Fourth 55.24 USA")</f>
        <v>Fourth 55.24 USA</v>
      </c>
      <c r="G1657" s="1" t="str">
        <f ca="1">IFERROR(__xludf.DUMMYFUNCTION("""COMPUTED_VALUE"""),"Climate Justice, Individuals At Risk")</f>
        <v>Climate Justice, Individuals At Risk</v>
      </c>
      <c r="H1657" s="1" t="str">
        <f ca="1">IFERROR(__xludf.DUMMYFUNCTION("""COMPUTED_VALUE"""),"2025")</f>
        <v>2025</v>
      </c>
      <c r="I1657" s="1" t="str">
        <f ca="1">IFERROR(__xludf.DUMMYFUNCTION("""COMPUTED_VALUE"""),"Email")</f>
        <v>Email</v>
      </c>
    </row>
    <row r="1658" spans="1:9" ht="13" x14ac:dyDescent="0.15">
      <c r="A1658" s="9">
        <f ca="1">IFERROR(__xludf.DUMMYFUNCTION("""COMPUTED_VALUE"""),186657703)</f>
        <v>186657703</v>
      </c>
      <c r="B1658" s="1" t="str">
        <f ca="1">IFERROR(__xludf.DUMMYFUNCTION("""COMPUTED_VALUE"""),"philbertr46@gmail.com")</f>
        <v>philbertr46@gmail.com</v>
      </c>
      <c r="C1658" s="9" t="str">
        <f ca="1">IFERROR(__xludf.DUMMYFUNCTION("""COMPUTED_VALUE"""),"EVERGREEN - UAN Gated Content - Embedded Petition")</f>
        <v>EVERGREEN - UAN Gated Content - Embedded Petition</v>
      </c>
      <c r="D1658" s="10">
        <f ca="1">IFERROR(__xludf.DUMMYFUNCTION("""COMPUTED_VALUE"""),45692)</f>
        <v>45692</v>
      </c>
      <c r="E1658" s="1" t="str">
        <f ca="1">IFERROR(__xludf.DUMMYFUNCTION("""COMPUTED_VALUE"""),"Israel and Occupied Palestinian Territories")</f>
        <v>Israel and Occupied Palestinian Territories</v>
      </c>
      <c r="F1658" s="1" t="str">
        <f ca="1">IFERROR(__xludf.DUMMYFUNCTION("""COMPUTED_VALUE"""),"3.25 IOPT")</f>
        <v>3.25 IOPT</v>
      </c>
      <c r="G1658" s="1" t="str">
        <f ca="1">IFERROR(__xludf.DUMMYFUNCTION("""COMPUTED_VALUE"""),"Freedom of Expression, Individuals At Risk")</f>
        <v>Freedom of Expression, Individuals At Risk</v>
      </c>
      <c r="H1658" s="1" t="str">
        <f ca="1">IFERROR(__xludf.DUMMYFUNCTION("""COMPUTED_VALUE"""),"2025")</f>
        <v>2025</v>
      </c>
      <c r="I1658" s="1" t="str">
        <f ca="1">IFERROR(__xludf.DUMMYFUNCTION("""COMPUTED_VALUE"""),"Email")</f>
        <v>Email</v>
      </c>
    </row>
    <row r="1659" spans="1:9" ht="13" x14ac:dyDescent="0.15">
      <c r="A1659" s="9">
        <f ca="1">IFERROR(__xludf.DUMMYFUNCTION("""COMPUTED_VALUE"""),186657703)</f>
        <v>186657703</v>
      </c>
      <c r="B1659" s="1" t="str">
        <f ca="1">IFERROR(__xludf.DUMMYFUNCTION("""COMPUTED_VALUE"""),"philbertr46@gmail.com")</f>
        <v>philbertr46@gmail.com</v>
      </c>
      <c r="C1659" s="9" t="str">
        <f ca="1">IFERROR(__xludf.DUMMYFUNCTION("""COMPUTED_VALUE"""),"EVERGREEN - UAN Gated Content - Embedded Petition")</f>
        <v>EVERGREEN - UAN Gated Content - Embedded Petition</v>
      </c>
      <c r="D1659" s="10">
        <f ca="1">IFERROR(__xludf.DUMMYFUNCTION("""COMPUTED_VALUE"""),45703)</f>
        <v>45703</v>
      </c>
      <c r="E1659" s="1" t="str">
        <f ca="1">IFERROR(__xludf.DUMMYFUNCTION("""COMPUTED_VALUE"""),"Saudi Arabia")</f>
        <v>Saudi Arabia</v>
      </c>
      <c r="F1659" s="1" t="str">
        <f ca="1">IFERROR(__xludf.DUMMYFUNCTION("""COMPUTED_VALUE"""),"104.24 Saudi Arabia")</f>
        <v>104.24 Saudi Arabia</v>
      </c>
      <c r="G1659" s="1" t="str">
        <f ca="1">IFERROR(__xludf.DUMMYFUNCTION("""COMPUTED_VALUE"""),"Individuals At Risk, Refugee and Migrant Rights")</f>
        <v>Individuals At Risk, Refugee and Migrant Rights</v>
      </c>
      <c r="H1659" s="1" t="str">
        <f ca="1">IFERROR(__xludf.DUMMYFUNCTION("""COMPUTED_VALUE"""),"2024")</f>
        <v>2024</v>
      </c>
      <c r="I1659" s="1" t="str">
        <f ca="1">IFERROR(__xludf.DUMMYFUNCTION("""COMPUTED_VALUE"""),"Email")</f>
        <v>Email</v>
      </c>
    </row>
    <row r="1660" spans="1:9" ht="13" x14ac:dyDescent="0.15">
      <c r="A1660" s="9">
        <f ca="1">IFERROR(__xludf.DUMMYFUNCTION("""COMPUTED_VALUE"""),186657703)</f>
        <v>186657703</v>
      </c>
      <c r="B1660" s="1" t="str">
        <f ca="1">IFERROR(__xludf.DUMMYFUNCTION("""COMPUTED_VALUE"""),"philbertr46@gmail.com")</f>
        <v>philbertr46@gmail.com</v>
      </c>
      <c r="C1660" s="9" t="str">
        <f ca="1">IFERROR(__xludf.DUMMYFUNCTION("""COMPUTED_VALUE"""),"EVERGREEN - UAN Gated Content - Embedded Petition")</f>
        <v>EVERGREEN - UAN Gated Content - Embedded Petition</v>
      </c>
      <c r="D1660" s="10">
        <f ca="1">IFERROR(__xludf.DUMMYFUNCTION("""COMPUTED_VALUE"""),45700)</f>
        <v>45700</v>
      </c>
      <c r="E1660" s="1" t="str">
        <f ca="1">IFERROR(__xludf.DUMMYFUNCTION("""COMPUTED_VALUE"""),"Tunisia")</f>
        <v>Tunisia</v>
      </c>
      <c r="F1660" s="1" t="str">
        <f ca="1">IFERROR(__xludf.DUMMYFUNCTION("""COMPUTED_VALUE"""),"Second 76.24 Tunisia")</f>
        <v>Second 76.24 Tunisia</v>
      </c>
      <c r="G1660" s="1" t="str">
        <f ca="1">IFERROR(__xludf.DUMMYFUNCTION("""COMPUTED_VALUE"""),"Freedom of Expression, Human Rights Defenders")</f>
        <v>Freedom of Expression, Human Rights Defenders</v>
      </c>
      <c r="H1660" s="1" t="str">
        <f ca="1">IFERROR(__xludf.DUMMYFUNCTION("""COMPUTED_VALUE"""),"2025")</f>
        <v>2025</v>
      </c>
      <c r="I1660" s="1" t="str">
        <f ca="1">IFERROR(__xludf.DUMMYFUNCTION("""COMPUTED_VALUE"""),"Email")</f>
        <v>Email</v>
      </c>
    </row>
    <row r="1661" spans="1:9" ht="13" x14ac:dyDescent="0.15">
      <c r="A1661" s="9">
        <f ca="1">IFERROR(__xludf.DUMMYFUNCTION("""COMPUTED_VALUE"""),186875078)</f>
        <v>186875078</v>
      </c>
      <c r="B1661" s="1" t="str">
        <f ca="1">IFERROR(__xludf.DUMMYFUNCTION("""COMPUTED_VALUE"""),"psabol19@gmail.com")</f>
        <v>psabol19@gmail.com</v>
      </c>
      <c r="C1661" s="9" t="str">
        <f ca="1">IFERROR(__xludf.DUMMYFUNCTION("""COMPUTED_VALUE"""),"EVERGREEN - UAN Gated Content - Embedded Petition")</f>
        <v>EVERGREEN - UAN Gated Content - Embedded Petition</v>
      </c>
      <c r="D1661" s="10">
        <f ca="1">IFERROR(__xludf.DUMMYFUNCTION("""COMPUTED_VALUE"""),45683)</f>
        <v>45683</v>
      </c>
      <c r="E1661" s="1" t="str">
        <f ca="1">IFERROR(__xludf.DUMMYFUNCTION("""COMPUTED_VALUE"""),"Tunisia")</f>
        <v>Tunisia</v>
      </c>
      <c r="F1661" s="1" t="str">
        <f ca="1">IFERROR(__xludf.DUMMYFUNCTION("""COMPUTED_VALUE"""),"Second 76.24 Tunisia")</f>
        <v>Second 76.24 Tunisia</v>
      </c>
      <c r="G1661" s="1" t="str">
        <f ca="1">IFERROR(__xludf.DUMMYFUNCTION("""COMPUTED_VALUE"""),"Freedom of Expression, Human Rights Defenders")</f>
        <v>Freedom of Expression, Human Rights Defenders</v>
      </c>
      <c r="H1661" s="1" t="str">
        <f ca="1">IFERROR(__xludf.DUMMYFUNCTION("""COMPUTED_VALUE"""),"2025")</f>
        <v>2025</v>
      </c>
      <c r="I1661" s="1" t="str">
        <f ca="1">IFERROR(__xludf.DUMMYFUNCTION("""COMPUTED_VALUE"""),"Email")</f>
        <v>Email</v>
      </c>
    </row>
    <row r="1662" spans="1:9" ht="13" x14ac:dyDescent="0.15">
      <c r="A1662" s="9">
        <f ca="1">IFERROR(__xludf.DUMMYFUNCTION("""COMPUTED_VALUE"""),186875078)</f>
        <v>186875078</v>
      </c>
      <c r="B1662" s="1" t="str">
        <f ca="1">IFERROR(__xludf.DUMMYFUNCTION("""COMPUTED_VALUE"""),"psabol19@gmail.com")</f>
        <v>psabol19@gmail.com</v>
      </c>
      <c r="C1662" s="9" t="str">
        <f ca="1">IFERROR(__xludf.DUMMYFUNCTION("""COMPUTED_VALUE"""),"EVERGREEN - UAN Gated Content - Embedded Petition")</f>
        <v>EVERGREEN - UAN Gated Content - Embedded Petition</v>
      </c>
      <c r="D1662" s="10">
        <f ca="1">IFERROR(__xludf.DUMMYFUNCTION("""COMPUTED_VALUE"""),45689)</f>
        <v>45689</v>
      </c>
      <c r="E1662" s="1" t="str">
        <f ca="1">IFERROR(__xludf.DUMMYFUNCTION("""COMPUTED_VALUE"""),"Russian Federation")</f>
        <v>Russian Federation</v>
      </c>
      <c r="F1662" s="1" t="str">
        <f ca="1">IFERROR(__xludf.DUMMYFUNCTION("""COMPUTED_VALUE"""),"102.24 Russia")</f>
        <v>102.24 Russia</v>
      </c>
      <c r="G1662" s="1" t="str">
        <f ca="1">IFERROR(__xludf.DUMMYFUNCTION("""COMPUTED_VALUE"""),"Freedom of Expression, Individuals At Risk, Right to Protest")</f>
        <v>Freedom of Expression, Individuals At Risk, Right to Protest</v>
      </c>
      <c r="H1662" s="1" t="str">
        <f ca="1">IFERROR(__xludf.DUMMYFUNCTION("""COMPUTED_VALUE"""),"2024")</f>
        <v>2024</v>
      </c>
      <c r="I1662" s="1" t="str">
        <f ca="1">IFERROR(__xludf.DUMMYFUNCTION("""COMPUTED_VALUE"""),"Email")</f>
        <v>Email</v>
      </c>
    </row>
    <row r="1663" spans="1:9" ht="13" x14ac:dyDescent="0.15">
      <c r="A1663" s="9">
        <f ca="1">IFERROR(__xludf.DUMMYFUNCTION("""COMPUTED_VALUE"""),186875078)</f>
        <v>186875078</v>
      </c>
      <c r="B1663" s="1" t="str">
        <f ca="1">IFERROR(__xludf.DUMMYFUNCTION("""COMPUTED_VALUE"""),"psabol19@gmail.com")</f>
        <v>psabol19@gmail.com</v>
      </c>
      <c r="C1663" s="9" t="str">
        <f ca="1">IFERROR(__xludf.DUMMYFUNCTION("""COMPUTED_VALUE"""),"EVERGREEN - UAN Gated Content - Embedded Petition")</f>
        <v>EVERGREEN - UAN Gated Content - Embedded Petition</v>
      </c>
      <c r="D1663" s="10">
        <f ca="1">IFERROR(__xludf.DUMMYFUNCTION("""COMPUTED_VALUE"""),45676)</f>
        <v>45676</v>
      </c>
      <c r="E1663" s="1" t="str">
        <f ca="1">IFERROR(__xludf.DUMMYFUNCTION("""COMPUTED_VALUE"""),"Russian Federation")</f>
        <v>Russian Federation</v>
      </c>
      <c r="F1663" s="1" t="str">
        <f ca="1">IFERROR(__xludf.DUMMYFUNCTION("""COMPUTED_VALUE"""),"102.24 Russia")</f>
        <v>102.24 Russia</v>
      </c>
      <c r="G1663" s="1" t="str">
        <f ca="1">IFERROR(__xludf.DUMMYFUNCTION("""COMPUTED_VALUE"""),"Freedom of Expression, Individuals At Risk, Right to Protest")</f>
        <v>Freedom of Expression, Individuals At Risk, Right to Protest</v>
      </c>
      <c r="H1663" s="1" t="str">
        <f ca="1">IFERROR(__xludf.DUMMYFUNCTION("""COMPUTED_VALUE"""),"2024")</f>
        <v>2024</v>
      </c>
      <c r="I1663" s="1" t="str">
        <f ca="1">IFERROR(__xludf.DUMMYFUNCTION("""COMPUTED_VALUE"""),"Email")</f>
        <v>Email</v>
      </c>
    </row>
    <row r="1664" spans="1:9" ht="13" x14ac:dyDescent="0.15">
      <c r="A1664" s="9">
        <f ca="1">IFERROR(__xludf.DUMMYFUNCTION("""COMPUTED_VALUE"""),186875078)</f>
        <v>186875078</v>
      </c>
      <c r="B1664" s="1" t="str">
        <f ca="1">IFERROR(__xludf.DUMMYFUNCTION("""COMPUTED_VALUE"""),"psabol19@gmail.com")</f>
        <v>psabol19@gmail.com</v>
      </c>
      <c r="C1664" s="9" t="str">
        <f ca="1">IFERROR(__xludf.DUMMYFUNCTION("""COMPUTED_VALUE"""),"EVERGREEN - UAN Gated Content - Embedded Petition")</f>
        <v>EVERGREEN - UAN Gated Content - Embedded Petition</v>
      </c>
      <c r="D1664" s="10">
        <f ca="1">IFERROR(__xludf.DUMMYFUNCTION("""COMPUTED_VALUE"""),45677)</f>
        <v>45677</v>
      </c>
      <c r="E1664" s="1" t="str">
        <f ca="1">IFERROR(__xludf.DUMMYFUNCTION("""COMPUTED_VALUE"""),"Tunisia")</f>
        <v>Tunisia</v>
      </c>
      <c r="F1664" s="1" t="str">
        <f ca="1">IFERROR(__xludf.DUMMYFUNCTION("""COMPUTED_VALUE"""),"Second 76.24 Tunisia")</f>
        <v>Second 76.24 Tunisia</v>
      </c>
      <c r="G1664" s="1" t="str">
        <f ca="1">IFERROR(__xludf.DUMMYFUNCTION("""COMPUTED_VALUE"""),"Freedom of Expression, Human Rights Defenders")</f>
        <v>Freedom of Expression, Human Rights Defenders</v>
      </c>
      <c r="H1664" s="1" t="str">
        <f ca="1">IFERROR(__xludf.DUMMYFUNCTION("""COMPUTED_VALUE"""),"2025")</f>
        <v>2025</v>
      </c>
      <c r="I1664" s="1" t="str">
        <f ca="1">IFERROR(__xludf.DUMMYFUNCTION("""COMPUTED_VALUE"""),"Email")</f>
        <v>Email</v>
      </c>
    </row>
    <row r="1665" spans="1:9" ht="13" x14ac:dyDescent="0.15">
      <c r="A1665" s="9">
        <f ca="1">IFERROR(__xludf.DUMMYFUNCTION("""COMPUTED_VALUE"""),186875078)</f>
        <v>186875078</v>
      </c>
      <c r="B1665" s="1" t="str">
        <f ca="1">IFERROR(__xludf.DUMMYFUNCTION("""COMPUTED_VALUE"""),"psabol19@gmail.com")</f>
        <v>psabol19@gmail.com</v>
      </c>
      <c r="C1665" s="9" t="str">
        <f ca="1">IFERROR(__xludf.DUMMYFUNCTION("""COMPUTED_VALUE"""),"EVERGREEN - UAN Gated Content - Embedded Petition")</f>
        <v>EVERGREEN - UAN Gated Content - Embedded Petition</v>
      </c>
      <c r="D1665" s="10">
        <f ca="1">IFERROR(__xludf.DUMMYFUNCTION("""COMPUTED_VALUE"""),45655)</f>
        <v>45655</v>
      </c>
      <c r="E1665" s="1" t="str">
        <f ca="1">IFERROR(__xludf.DUMMYFUNCTION("""COMPUTED_VALUE"""),"USA")</f>
        <v>USA</v>
      </c>
      <c r="F1665" s="1" t="str">
        <f ca="1">IFERROR(__xludf.DUMMYFUNCTION("""COMPUTED_VALUE"""),"4.25 USA")</f>
        <v>4.25 USA</v>
      </c>
      <c r="G1665" s="1" t="str">
        <f ca="1">IFERROR(__xludf.DUMMYFUNCTION("""COMPUTED_VALUE"""),"Individuals At Risk, Refugee and Migrant Rights")</f>
        <v>Individuals At Risk, Refugee and Migrant Rights</v>
      </c>
      <c r="H1665" s="1" t="str">
        <f ca="1">IFERROR(__xludf.DUMMYFUNCTION("""COMPUTED_VALUE"""),"2025")</f>
        <v>2025</v>
      </c>
      <c r="I1665" s="1" t="str">
        <f ca="1">IFERROR(__xludf.DUMMYFUNCTION("""COMPUTED_VALUE"""),"Letter")</f>
        <v>Letter</v>
      </c>
    </row>
    <row r="1666" spans="1:9" ht="13" x14ac:dyDescent="0.15">
      <c r="A1666" s="9">
        <f ca="1">IFERROR(__xludf.DUMMYFUNCTION("""COMPUTED_VALUE"""),186875078)</f>
        <v>186875078</v>
      </c>
      <c r="B1666" s="1" t="str">
        <f ca="1">IFERROR(__xludf.DUMMYFUNCTION("""COMPUTED_VALUE"""),"psabol19@gmail.com")</f>
        <v>psabol19@gmail.com</v>
      </c>
      <c r="C1666" s="9" t="str">
        <f ca="1">IFERROR(__xludf.DUMMYFUNCTION("""COMPUTED_VALUE"""),"EVERGREEN - UAN Gated Content - Embedded Petition")</f>
        <v>EVERGREEN - UAN Gated Content - Embedded Petition</v>
      </c>
      <c r="D1666" s="10">
        <f ca="1">IFERROR(__xludf.DUMMYFUNCTION("""COMPUTED_VALUE"""),45661)</f>
        <v>45661</v>
      </c>
      <c r="E1666" s="1" t="str">
        <f ca="1">IFERROR(__xludf.DUMMYFUNCTION("""COMPUTED_VALUE"""),"Israel and Occupied Palestinian Territories")</f>
        <v>Israel and Occupied Palestinian Territories</v>
      </c>
      <c r="F1666" s="1" t="str">
        <f ca="1">IFERROR(__xludf.DUMMYFUNCTION("""COMPUTED_VALUE"""),"3.25 IOPT")</f>
        <v>3.25 IOPT</v>
      </c>
      <c r="G1666" s="1" t="str">
        <f ca="1">IFERROR(__xludf.DUMMYFUNCTION("""COMPUTED_VALUE"""),"Freedom of Expression, Individuals At Risk")</f>
        <v>Freedom of Expression, Individuals At Risk</v>
      </c>
      <c r="H1666" s="1" t="str">
        <f ca="1">IFERROR(__xludf.DUMMYFUNCTION("""COMPUTED_VALUE"""),"2025")</f>
        <v>2025</v>
      </c>
      <c r="I1666" s="1" t="str">
        <f ca="1">IFERROR(__xludf.DUMMYFUNCTION("""COMPUTED_VALUE"""),"Email")</f>
        <v>Email</v>
      </c>
    </row>
    <row r="1667" spans="1:9" ht="13" x14ac:dyDescent="0.15">
      <c r="A1667" s="9">
        <f ca="1">IFERROR(__xludf.DUMMYFUNCTION("""COMPUTED_VALUE"""),186875078)</f>
        <v>186875078</v>
      </c>
      <c r="B1667" s="1" t="str">
        <f ca="1">IFERROR(__xludf.DUMMYFUNCTION("""COMPUTED_VALUE"""),"psabol19@gmail.com")</f>
        <v>psabol19@gmail.com</v>
      </c>
      <c r="C1667" s="9" t="str">
        <f ca="1">IFERROR(__xludf.DUMMYFUNCTION("""COMPUTED_VALUE"""),"EVERGREEN - UAN Gated Content - Embedded Petition")</f>
        <v>EVERGREEN - UAN Gated Content - Embedded Petition</v>
      </c>
      <c r="D1667" s="10">
        <f ca="1">IFERROR(__xludf.DUMMYFUNCTION("""COMPUTED_VALUE"""),45662)</f>
        <v>45662</v>
      </c>
      <c r="E1667" s="1" t="str">
        <f ca="1">IFERROR(__xludf.DUMMYFUNCTION("""COMPUTED_VALUE"""),"USA")</f>
        <v>USA</v>
      </c>
      <c r="F1667" s="1" t="str">
        <f ca="1">IFERROR(__xludf.DUMMYFUNCTION("""COMPUTED_VALUE"""),"4.25 USA")</f>
        <v>4.25 USA</v>
      </c>
      <c r="G1667" s="1" t="str">
        <f ca="1">IFERROR(__xludf.DUMMYFUNCTION("""COMPUTED_VALUE"""),"Individuals At Risk, Refugee and Migrant Rights")</f>
        <v>Individuals At Risk, Refugee and Migrant Rights</v>
      </c>
      <c r="H1667" s="1" t="str">
        <f ca="1">IFERROR(__xludf.DUMMYFUNCTION("""COMPUTED_VALUE"""),"2025")</f>
        <v>2025</v>
      </c>
      <c r="I1667" s="1" t="str">
        <f ca="1">IFERROR(__xludf.DUMMYFUNCTION("""COMPUTED_VALUE"""),"Letter")</f>
        <v>Letter</v>
      </c>
    </row>
    <row r="1668" spans="1:9" ht="13" x14ac:dyDescent="0.15">
      <c r="A1668" s="9">
        <f ca="1">IFERROR(__xludf.DUMMYFUNCTION("""COMPUTED_VALUE"""),186875078)</f>
        <v>186875078</v>
      </c>
      <c r="B1668" s="1" t="str">
        <f ca="1">IFERROR(__xludf.DUMMYFUNCTION("""COMPUTED_VALUE"""),"psabol19@gmail.com")</f>
        <v>psabol19@gmail.com</v>
      </c>
      <c r="C1668" s="9" t="str">
        <f ca="1">IFERROR(__xludf.DUMMYFUNCTION("""COMPUTED_VALUE"""),"EVERGREEN - UAN Gated Content - Embedded Petition")</f>
        <v>EVERGREEN - UAN Gated Content - Embedded Petition</v>
      </c>
      <c r="D1668" s="10">
        <f ca="1">IFERROR(__xludf.DUMMYFUNCTION("""COMPUTED_VALUE"""),45668)</f>
        <v>45668</v>
      </c>
      <c r="E1668" s="1" t="str">
        <f ca="1">IFERROR(__xludf.DUMMYFUNCTION("""COMPUTED_VALUE"""),"USA")</f>
        <v>USA</v>
      </c>
      <c r="F1668" s="1" t="str">
        <f ca="1">IFERROR(__xludf.DUMMYFUNCTION("""COMPUTED_VALUE"""),"4.25 USA")</f>
        <v>4.25 USA</v>
      </c>
      <c r="G1668" s="1" t="str">
        <f ca="1">IFERROR(__xludf.DUMMYFUNCTION("""COMPUTED_VALUE"""),"Individuals At Risk, Refugee and Migrant Rights")</f>
        <v>Individuals At Risk, Refugee and Migrant Rights</v>
      </c>
      <c r="H1668" s="1" t="str">
        <f ca="1">IFERROR(__xludf.DUMMYFUNCTION("""COMPUTED_VALUE"""),"2025")</f>
        <v>2025</v>
      </c>
      <c r="I1668" s="1" t="str">
        <f ca="1">IFERROR(__xludf.DUMMYFUNCTION("""COMPUTED_VALUE"""),"Letter")</f>
        <v>Letter</v>
      </c>
    </row>
    <row r="1669" spans="1:9" ht="13" x14ac:dyDescent="0.15">
      <c r="A1669" s="9">
        <f ca="1">IFERROR(__xludf.DUMMYFUNCTION("""COMPUTED_VALUE"""),186875078)</f>
        <v>186875078</v>
      </c>
      <c r="B1669" s="1" t="str">
        <f ca="1">IFERROR(__xludf.DUMMYFUNCTION("""COMPUTED_VALUE"""),"psabol19@gmail.com")</f>
        <v>psabol19@gmail.com</v>
      </c>
      <c r="C1669" s="9" t="str">
        <f ca="1">IFERROR(__xludf.DUMMYFUNCTION("""COMPUTED_VALUE"""),"EVERGREEN - UAN Gated Content - Embedded Petition")</f>
        <v>EVERGREEN - UAN Gated Content - Embedded Petition</v>
      </c>
      <c r="D1669" s="10">
        <f ca="1">IFERROR(__xludf.DUMMYFUNCTION("""COMPUTED_VALUE"""),45668)</f>
        <v>45668</v>
      </c>
      <c r="E1669" s="1" t="str">
        <f ca="1">IFERROR(__xludf.DUMMYFUNCTION("""COMPUTED_VALUE"""),"Israel and Occupied Palestinian Territories")</f>
        <v>Israel and Occupied Palestinian Territories</v>
      </c>
      <c r="F1669" s="1" t="str">
        <f ca="1">IFERROR(__xludf.DUMMYFUNCTION("""COMPUTED_VALUE"""),"3.25 IOPT")</f>
        <v>3.25 IOPT</v>
      </c>
      <c r="G1669" s="1" t="str">
        <f ca="1">IFERROR(__xludf.DUMMYFUNCTION("""COMPUTED_VALUE"""),"Freedom of Expression, Individuals At Risk")</f>
        <v>Freedom of Expression, Individuals At Risk</v>
      </c>
      <c r="H1669" s="1" t="str">
        <f ca="1">IFERROR(__xludf.DUMMYFUNCTION("""COMPUTED_VALUE"""),"2025")</f>
        <v>2025</v>
      </c>
      <c r="I1669" s="1" t="str">
        <f ca="1">IFERROR(__xludf.DUMMYFUNCTION("""COMPUTED_VALUE"""),"Email")</f>
        <v>Email</v>
      </c>
    </row>
    <row r="1670" spans="1:9" ht="13" x14ac:dyDescent="0.15">
      <c r="A1670" s="9">
        <f ca="1">IFERROR(__xludf.DUMMYFUNCTION("""COMPUTED_VALUE"""),186875078)</f>
        <v>186875078</v>
      </c>
      <c r="B1670" s="1" t="str">
        <f ca="1">IFERROR(__xludf.DUMMYFUNCTION("""COMPUTED_VALUE"""),"psabol19@gmail.com")</f>
        <v>psabol19@gmail.com</v>
      </c>
      <c r="C1670" s="9" t="str">
        <f ca="1">IFERROR(__xludf.DUMMYFUNCTION("""COMPUTED_VALUE"""),"EVERGREEN - UAN Gated Content - Embedded Petition")</f>
        <v>EVERGREEN - UAN Gated Content - Embedded Petition</v>
      </c>
      <c r="D1670" s="10">
        <f ca="1">IFERROR(__xludf.DUMMYFUNCTION("""COMPUTED_VALUE"""),45669)</f>
        <v>45669</v>
      </c>
      <c r="E1670" s="1" t="str">
        <f ca="1">IFERROR(__xludf.DUMMYFUNCTION("""COMPUTED_VALUE"""),"Israel and Occupied Palestinian Territories")</f>
        <v>Israel and Occupied Palestinian Territories</v>
      </c>
      <c r="F1670" s="1" t="str">
        <f ca="1">IFERROR(__xludf.DUMMYFUNCTION("""COMPUTED_VALUE"""),"3.25 IOPT")</f>
        <v>3.25 IOPT</v>
      </c>
      <c r="G1670" s="1" t="str">
        <f ca="1">IFERROR(__xludf.DUMMYFUNCTION("""COMPUTED_VALUE"""),"Freedom of Expression, Individuals At Risk")</f>
        <v>Freedom of Expression, Individuals At Risk</v>
      </c>
      <c r="H1670" s="1" t="str">
        <f ca="1">IFERROR(__xludf.DUMMYFUNCTION("""COMPUTED_VALUE"""),"2025")</f>
        <v>2025</v>
      </c>
      <c r="I1670" s="1" t="str">
        <f ca="1">IFERROR(__xludf.DUMMYFUNCTION("""COMPUTED_VALUE"""),"Email")</f>
        <v>Email</v>
      </c>
    </row>
    <row r="1671" spans="1:9" ht="13" x14ac:dyDescent="0.15">
      <c r="A1671" s="9">
        <f ca="1">IFERROR(__xludf.DUMMYFUNCTION("""COMPUTED_VALUE"""),186875078)</f>
        <v>186875078</v>
      </c>
      <c r="B1671" s="1" t="str">
        <f ca="1">IFERROR(__xludf.DUMMYFUNCTION("""COMPUTED_VALUE"""),"psabol19@gmail.com")</f>
        <v>psabol19@gmail.com</v>
      </c>
      <c r="C1671" s="9" t="str">
        <f ca="1">IFERROR(__xludf.DUMMYFUNCTION("""COMPUTED_VALUE"""),"EVERGREEN - UAN Gated Content - Embedded Petition")</f>
        <v>EVERGREEN - UAN Gated Content - Embedded Petition</v>
      </c>
      <c r="D1671" s="10">
        <f ca="1">IFERROR(__xludf.DUMMYFUNCTION("""COMPUTED_VALUE"""),45647)</f>
        <v>45647</v>
      </c>
      <c r="E1671" s="1" t="str">
        <f ca="1">IFERROR(__xludf.DUMMYFUNCTION("""COMPUTED_VALUE"""),"USA")</f>
        <v>USA</v>
      </c>
      <c r="F1671" s="1" t="str">
        <f ca="1">IFERROR(__xludf.DUMMYFUNCTION("""COMPUTED_VALUE"""),"4.25 USA")</f>
        <v>4.25 USA</v>
      </c>
      <c r="G1671" s="1" t="str">
        <f ca="1">IFERROR(__xludf.DUMMYFUNCTION("""COMPUTED_VALUE"""),"Individuals At Risk, Refugee and Migrant Rights")</f>
        <v>Individuals At Risk, Refugee and Migrant Rights</v>
      </c>
      <c r="H1671" s="1" t="str">
        <f ca="1">IFERROR(__xludf.DUMMYFUNCTION("""COMPUTED_VALUE"""),"2025")</f>
        <v>2025</v>
      </c>
      <c r="I1671" s="1" t="str">
        <f ca="1">IFERROR(__xludf.DUMMYFUNCTION("""COMPUTED_VALUE"""),"Letter")</f>
        <v>Letter</v>
      </c>
    </row>
    <row r="1672" spans="1:9" ht="13" x14ac:dyDescent="0.15">
      <c r="A1672" s="9">
        <f ca="1">IFERROR(__xludf.DUMMYFUNCTION("""COMPUTED_VALUE"""),186875078)</f>
        <v>186875078</v>
      </c>
      <c r="B1672" s="1" t="str">
        <f ca="1">IFERROR(__xludf.DUMMYFUNCTION("""COMPUTED_VALUE"""),"psabol19@gmail.com")</f>
        <v>psabol19@gmail.com</v>
      </c>
      <c r="C1672" s="9" t="str">
        <f ca="1">IFERROR(__xludf.DUMMYFUNCTION("""COMPUTED_VALUE"""),"EVERGREEN - UAN Gated Content - Embedded Petition")</f>
        <v>EVERGREEN - UAN Gated Content - Embedded Petition</v>
      </c>
      <c r="D1672" s="10">
        <f ca="1">IFERROR(__xludf.DUMMYFUNCTION("""COMPUTED_VALUE"""),45619)</f>
        <v>45619</v>
      </c>
      <c r="E1672" s="1" t="str">
        <f ca="1">IFERROR(__xludf.DUMMYFUNCTION("""COMPUTED_VALUE"""),"Egypt")</f>
        <v>Egypt</v>
      </c>
      <c r="F1672" s="1" t="str">
        <f ca="1">IFERROR(__xludf.DUMMYFUNCTION("""COMPUTED_VALUE"""),"Ninth 190.18 Egypt")</f>
        <v>Ninth 190.18 Egypt</v>
      </c>
      <c r="G1672" s="1" t="str">
        <f ca="1">IFERROR(__xludf.DUMMYFUNCTION("""COMPUTED_VALUE"""),"Freedom of Expression, Individuals At Risk")</f>
        <v>Freedom of Expression, Individuals At Risk</v>
      </c>
      <c r="H1672" s="1" t="str">
        <f ca="1">IFERROR(__xludf.DUMMYFUNCTION("""COMPUTED_VALUE"""),"2024")</f>
        <v>2024</v>
      </c>
      <c r="I1672" s="1" t="str">
        <f ca="1">IFERROR(__xludf.DUMMYFUNCTION("""COMPUTED_VALUE"""),"Letter")</f>
        <v>Letter</v>
      </c>
    </row>
    <row r="1673" spans="1:9" ht="13" x14ac:dyDescent="0.15">
      <c r="A1673" s="9">
        <f ca="1">IFERROR(__xludf.DUMMYFUNCTION("""COMPUTED_VALUE"""),186875078)</f>
        <v>186875078</v>
      </c>
      <c r="B1673" s="1" t="str">
        <f ca="1">IFERROR(__xludf.DUMMYFUNCTION("""COMPUTED_VALUE"""),"psabol19@gmail.com")</f>
        <v>psabol19@gmail.com</v>
      </c>
      <c r="C1673" s="9" t="str">
        <f ca="1">IFERROR(__xludf.DUMMYFUNCTION("""COMPUTED_VALUE"""),"EVERGREEN - UAN Gated Content - Embedded Petition")</f>
        <v>EVERGREEN - UAN Gated Content - Embedded Petition</v>
      </c>
      <c r="D1673" s="10">
        <f ca="1">IFERROR(__xludf.DUMMYFUNCTION("""COMPUTED_VALUE"""),45627)</f>
        <v>45627</v>
      </c>
      <c r="E1673" s="1" t="str">
        <f ca="1">IFERROR(__xludf.DUMMYFUNCTION("""COMPUTED_VALUE"""),"Venezuela")</f>
        <v>Venezuela</v>
      </c>
      <c r="F1673" s="1" t="str">
        <f ca="1">IFERROR(__xludf.DUMMYFUNCTION("""COMPUTED_VALUE"""),"97.24 Venezuela")</f>
        <v>97.24 Venezuela</v>
      </c>
      <c r="G1673" s="1" t="str">
        <f ca="1">IFERROR(__xludf.DUMMYFUNCTION("""COMPUTED_VALUE"""),"Freedom of Expression")</f>
        <v>Freedom of Expression</v>
      </c>
      <c r="H1673" s="1" t="str">
        <f ca="1">IFERROR(__xludf.DUMMYFUNCTION("""COMPUTED_VALUE"""),"2024")</f>
        <v>2024</v>
      </c>
      <c r="I1673" s="1" t="str">
        <f ca="1">IFERROR(__xludf.DUMMYFUNCTION("""COMPUTED_VALUE"""),"Letter")</f>
        <v>Letter</v>
      </c>
    </row>
    <row r="1674" spans="1:9" ht="13" x14ac:dyDescent="0.15">
      <c r="A1674" s="9">
        <f ca="1">IFERROR(__xludf.DUMMYFUNCTION("""COMPUTED_VALUE"""),186875078)</f>
        <v>186875078</v>
      </c>
      <c r="B1674" s="1" t="str">
        <f ca="1">IFERROR(__xludf.DUMMYFUNCTION("""COMPUTED_VALUE"""),"psabol19@gmail.com")</f>
        <v>psabol19@gmail.com</v>
      </c>
      <c r="C1674" s="9" t="str">
        <f ca="1">IFERROR(__xludf.DUMMYFUNCTION("""COMPUTED_VALUE"""),"EVERGREEN - UAN Gated Content - Embedded Petition")</f>
        <v>EVERGREEN - UAN Gated Content - Embedded Petition</v>
      </c>
      <c r="D1674" s="10">
        <f ca="1">IFERROR(__xludf.DUMMYFUNCTION("""COMPUTED_VALUE"""),45682)</f>
        <v>45682</v>
      </c>
      <c r="E1674" s="1" t="str">
        <f ca="1">IFERROR(__xludf.DUMMYFUNCTION("""COMPUTED_VALUE"""),"USA")</f>
        <v>USA</v>
      </c>
      <c r="F1674" s="1" t="str">
        <f ca="1">IFERROR(__xludf.DUMMYFUNCTION("""COMPUTED_VALUE"""),"105.24 USA")</f>
        <v>105.24 USA</v>
      </c>
      <c r="G1674" s="1" t="str">
        <f ca="1">IFERROR(__xludf.DUMMYFUNCTION("""COMPUTED_VALUE"""),"Death Penalty")</f>
        <v>Death Penalty</v>
      </c>
      <c r="H1674" s="1" t="str">
        <f ca="1">IFERROR(__xludf.DUMMYFUNCTION("""COMPUTED_VALUE"""),"2024")</f>
        <v>2024</v>
      </c>
      <c r="I1674" s="1" t="str">
        <f ca="1">IFERROR(__xludf.DUMMYFUNCTION("""COMPUTED_VALUE"""),"Email")</f>
        <v>Email</v>
      </c>
    </row>
    <row r="1675" spans="1:9" ht="13" x14ac:dyDescent="0.15">
      <c r="A1675" s="9">
        <f ca="1">IFERROR(__xludf.DUMMYFUNCTION("""COMPUTED_VALUE"""),186875078)</f>
        <v>186875078</v>
      </c>
      <c r="B1675" s="1" t="str">
        <f ca="1">IFERROR(__xludf.DUMMYFUNCTION("""COMPUTED_VALUE"""),"psabol19@gmail.com")</f>
        <v>psabol19@gmail.com</v>
      </c>
      <c r="C1675" s="9" t="str">
        <f ca="1">IFERROR(__xludf.DUMMYFUNCTION("""COMPUTED_VALUE"""),"EVERGREEN - UAN Gated Content - Embedded Petition")</f>
        <v>EVERGREEN - UAN Gated Content - Embedded Petition</v>
      </c>
      <c r="D1675" s="10">
        <f ca="1">IFERROR(__xludf.DUMMYFUNCTION("""COMPUTED_VALUE"""),45703)</f>
        <v>45703</v>
      </c>
      <c r="E1675" s="1" t="str">
        <f ca="1">IFERROR(__xludf.DUMMYFUNCTION("""COMPUTED_VALUE"""),"China")</f>
        <v>China</v>
      </c>
      <c r="F1675" s="1" t="str">
        <f ca="1">IFERROR(__xludf.DUMMYFUNCTION("""COMPUTED_VALUE"""),"98.24 China")</f>
        <v>98.24 China</v>
      </c>
      <c r="G1675" s="1" t="str">
        <f ca="1">IFERROR(__xludf.DUMMYFUNCTION("""COMPUTED_VALUE"""),"Freedom of Expression, Individuals At Risk")</f>
        <v>Freedom of Expression, Individuals At Risk</v>
      </c>
      <c r="H1675" s="1" t="str">
        <f ca="1">IFERROR(__xludf.DUMMYFUNCTION("""COMPUTED_VALUE"""),"2024")</f>
        <v>2024</v>
      </c>
      <c r="I1675" s="1" t="str">
        <f ca="1">IFERROR(__xludf.DUMMYFUNCTION("""COMPUTED_VALUE"""),"Letter")</f>
        <v>Letter</v>
      </c>
    </row>
    <row r="1676" spans="1:9" ht="13" x14ac:dyDescent="0.15">
      <c r="A1676" s="9">
        <f ca="1">IFERROR(__xludf.DUMMYFUNCTION("""COMPUTED_VALUE"""),186875078)</f>
        <v>186875078</v>
      </c>
      <c r="B1676" s="1" t="str">
        <f ca="1">IFERROR(__xludf.DUMMYFUNCTION("""COMPUTED_VALUE"""),"psabol19@gmail.com")</f>
        <v>psabol19@gmail.com</v>
      </c>
      <c r="C1676" s="9" t="str">
        <f ca="1">IFERROR(__xludf.DUMMYFUNCTION("""COMPUTED_VALUE"""),"EVERGREEN - UAN Gated Content - Embedded Petition")</f>
        <v>EVERGREEN - UAN Gated Content - Embedded Petition</v>
      </c>
      <c r="D1676" s="10">
        <f ca="1">IFERROR(__xludf.DUMMYFUNCTION("""COMPUTED_VALUE"""),45703)</f>
        <v>45703</v>
      </c>
      <c r="E1676" s="1" t="str">
        <f ca="1">IFERROR(__xludf.DUMMYFUNCTION("""COMPUTED_VALUE"""),"Iran")</f>
        <v>Iran</v>
      </c>
      <c r="F1676" s="1" t="str">
        <f ca="1">IFERROR(__xludf.DUMMYFUNCTION("""COMPUTED_VALUE"""),"Seventh 103.22 Iran")</f>
        <v>Seventh 103.22 Iran</v>
      </c>
      <c r="G1676" s="1" t="str">
        <f ca="1">IFERROR(__xludf.DUMMYFUNCTION("""COMPUTED_VALUE"""),"Death Penalty, Freedom of Expression, Individuals At Risk")</f>
        <v>Death Penalty, Freedom of Expression, Individuals At Risk</v>
      </c>
      <c r="H1676" s="1" t="str">
        <f ca="1">IFERROR(__xludf.DUMMYFUNCTION("""COMPUTED_VALUE"""),"2024")</f>
        <v>2024</v>
      </c>
      <c r="I1676" s="1" t="str">
        <f ca="1">IFERROR(__xludf.DUMMYFUNCTION("""COMPUTED_VALUE"""),"Email")</f>
        <v>Email</v>
      </c>
    </row>
    <row r="1677" spans="1:9" ht="13" x14ac:dyDescent="0.15">
      <c r="A1677" s="9">
        <f ca="1">IFERROR(__xludf.DUMMYFUNCTION("""COMPUTED_VALUE"""),186875078)</f>
        <v>186875078</v>
      </c>
      <c r="B1677" s="1" t="str">
        <f ca="1">IFERROR(__xludf.DUMMYFUNCTION("""COMPUTED_VALUE"""),"psabol19@gmail.com")</f>
        <v>psabol19@gmail.com</v>
      </c>
      <c r="C1677" s="9" t="str">
        <f ca="1">IFERROR(__xludf.DUMMYFUNCTION("""COMPUTED_VALUE"""),"EVERGREEN - UAN Gated Content - Embedded Petition")</f>
        <v>EVERGREEN - UAN Gated Content - Embedded Petition</v>
      </c>
      <c r="D1677" s="10">
        <f ca="1">IFERROR(__xludf.DUMMYFUNCTION("""COMPUTED_VALUE"""),45697)</f>
        <v>45697</v>
      </c>
      <c r="E1677" s="1" t="str">
        <f ca="1">IFERROR(__xludf.DUMMYFUNCTION("""COMPUTED_VALUE"""),"Tunisia")</f>
        <v>Tunisia</v>
      </c>
      <c r="F1677" s="1" t="str">
        <f ca="1">IFERROR(__xludf.DUMMYFUNCTION("""COMPUTED_VALUE"""),"Second 76.24 Tunisia")</f>
        <v>Second 76.24 Tunisia</v>
      </c>
      <c r="G1677" s="1" t="str">
        <f ca="1">IFERROR(__xludf.DUMMYFUNCTION("""COMPUTED_VALUE"""),"Freedom of Expression, Human Rights Defenders")</f>
        <v>Freedom of Expression, Human Rights Defenders</v>
      </c>
      <c r="H1677" s="1" t="str">
        <f ca="1">IFERROR(__xludf.DUMMYFUNCTION("""COMPUTED_VALUE"""),"2025")</f>
        <v>2025</v>
      </c>
      <c r="I1677" s="1" t="str">
        <f ca="1">IFERROR(__xludf.DUMMYFUNCTION("""COMPUTED_VALUE"""),"Email")</f>
        <v>Email</v>
      </c>
    </row>
    <row r="1678" spans="1:9" ht="13" x14ac:dyDescent="0.15">
      <c r="A1678" s="9">
        <f ca="1">IFERROR(__xludf.DUMMYFUNCTION("""COMPUTED_VALUE"""),186875078)</f>
        <v>186875078</v>
      </c>
      <c r="B1678" s="1" t="str">
        <f ca="1">IFERROR(__xludf.DUMMYFUNCTION("""COMPUTED_VALUE"""),"psabol19@gmail.com")</f>
        <v>psabol19@gmail.com</v>
      </c>
      <c r="C1678" s="9" t="str">
        <f ca="1">IFERROR(__xludf.DUMMYFUNCTION("""COMPUTED_VALUE"""),"EVERGREEN - UAN Gated Content - Embedded Petition")</f>
        <v>EVERGREEN - UAN Gated Content - Embedded Petition</v>
      </c>
      <c r="D1678" s="10">
        <f ca="1">IFERROR(__xludf.DUMMYFUNCTION("""COMPUTED_VALUE"""),45697)</f>
        <v>45697</v>
      </c>
      <c r="E1678" s="1" t="str">
        <f ca="1">IFERROR(__xludf.DUMMYFUNCTION("""COMPUTED_VALUE"""),"Niger")</f>
        <v>Niger</v>
      </c>
      <c r="F1678" s="1" t="str">
        <f ca="1">IFERROR(__xludf.DUMMYFUNCTION("""COMPUTED_VALUE"""),"103.24 Niger")</f>
        <v>103.24 Niger</v>
      </c>
      <c r="G1678" s="1" t="str">
        <f ca="1">IFERROR(__xludf.DUMMYFUNCTION("""COMPUTED_VALUE"""),"Freedom of Expression, Human Rights Defenders")</f>
        <v>Freedom of Expression, Human Rights Defenders</v>
      </c>
      <c r="H1678" s="1" t="str">
        <f ca="1">IFERROR(__xludf.DUMMYFUNCTION("""COMPUTED_VALUE"""),"2024")</f>
        <v>2024</v>
      </c>
      <c r="I1678" s="1" t="str">
        <f ca="1">IFERROR(__xludf.DUMMYFUNCTION("""COMPUTED_VALUE"""),"Email")</f>
        <v>Email</v>
      </c>
    </row>
    <row r="1679" spans="1:9" ht="13" x14ac:dyDescent="0.15">
      <c r="A1679" s="9">
        <f ca="1">IFERROR(__xludf.DUMMYFUNCTION("""COMPUTED_VALUE"""),186875078)</f>
        <v>186875078</v>
      </c>
      <c r="B1679" s="1" t="str">
        <f ca="1">IFERROR(__xludf.DUMMYFUNCTION("""COMPUTED_VALUE"""),"psabol19@gmail.com")</f>
        <v>psabol19@gmail.com</v>
      </c>
      <c r="C1679" s="9" t="str">
        <f ca="1">IFERROR(__xludf.DUMMYFUNCTION("""COMPUTED_VALUE"""),"EVERGREEN - UAN Gated Content - Embedded Petition")</f>
        <v>EVERGREEN - UAN Gated Content - Embedded Petition</v>
      </c>
      <c r="D1679" s="10">
        <f ca="1">IFERROR(__xludf.DUMMYFUNCTION("""COMPUTED_VALUE"""),45696)</f>
        <v>45696</v>
      </c>
      <c r="E1679" s="1" t="str">
        <f ca="1">IFERROR(__xludf.DUMMYFUNCTION("""COMPUTED_VALUE"""),"USA")</f>
        <v>USA</v>
      </c>
      <c r="F1679" s="1" t="str">
        <f ca="1">IFERROR(__xludf.DUMMYFUNCTION("""COMPUTED_VALUE"""),"96.24 USA")</f>
        <v>96.24 USA</v>
      </c>
      <c r="G1679" s="1" t="str">
        <f ca="1">IFERROR(__xludf.DUMMYFUNCTION("""COMPUTED_VALUE"""),"Death Penalty")</f>
        <v>Death Penalty</v>
      </c>
      <c r="H1679" s="1" t="str">
        <f ca="1">IFERROR(__xludf.DUMMYFUNCTION("""COMPUTED_VALUE"""),"2024")</f>
        <v>2024</v>
      </c>
      <c r="I1679" s="1" t="str">
        <f ca="1">IFERROR(__xludf.DUMMYFUNCTION("""COMPUTED_VALUE"""),"Email")</f>
        <v>Email</v>
      </c>
    </row>
    <row r="1680" spans="1:9" ht="13" x14ac:dyDescent="0.15">
      <c r="A1680" s="9">
        <f ca="1">IFERROR(__xludf.DUMMYFUNCTION("""COMPUTED_VALUE"""),186875078)</f>
        <v>186875078</v>
      </c>
      <c r="B1680" s="1" t="str">
        <f ca="1">IFERROR(__xludf.DUMMYFUNCTION("""COMPUTED_VALUE"""),"psabol19@gmail.com")</f>
        <v>psabol19@gmail.com</v>
      </c>
      <c r="C1680" s="9" t="str">
        <f ca="1">IFERROR(__xludf.DUMMYFUNCTION("""COMPUTED_VALUE"""),"EVERGREEN - UAN Gated Content - Embedded Petition")</f>
        <v>EVERGREEN - UAN Gated Content - Embedded Petition</v>
      </c>
      <c r="D1680" s="10">
        <f ca="1">IFERROR(__xludf.DUMMYFUNCTION("""COMPUTED_VALUE"""),45696)</f>
        <v>45696</v>
      </c>
      <c r="E1680" s="1" t="str">
        <f ca="1">IFERROR(__xludf.DUMMYFUNCTION("""COMPUTED_VALUE"""),"Iran")</f>
        <v>Iran</v>
      </c>
      <c r="F1680" s="1" t="str">
        <f ca="1">IFERROR(__xludf.DUMMYFUNCTION("""COMPUTED_VALUE"""),"Seventh 103.22 Iran")</f>
        <v>Seventh 103.22 Iran</v>
      </c>
      <c r="G1680" s="1" t="str">
        <f ca="1">IFERROR(__xludf.DUMMYFUNCTION("""COMPUTED_VALUE"""),"Death Penalty, Freedom of Expression, Individuals At Risk")</f>
        <v>Death Penalty, Freedom of Expression, Individuals At Risk</v>
      </c>
      <c r="H1680" s="1" t="str">
        <f ca="1">IFERROR(__xludf.DUMMYFUNCTION("""COMPUTED_VALUE"""),"2024")</f>
        <v>2024</v>
      </c>
      <c r="I1680" s="1" t="str">
        <f ca="1">IFERROR(__xludf.DUMMYFUNCTION("""COMPUTED_VALUE"""),"Email")</f>
        <v>Email</v>
      </c>
    </row>
    <row r="1681" spans="1:9" ht="13" x14ac:dyDescent="0.15">
      <c r="A1681" s="9">
        <f ca="1">IFERROR(__xludf.DUMMYFUNCTION("""COMPUTED_VALUE"""),188333836)</f>
        <v>188333836</v>
      </c>
      <c r="B1681" s="1" t="str">
        <f ca="1">IFERROR(__xludf.DUMMYFUNCTION("""COMPUTED_VALUE"""),"cchambers06@icloud.com")</f>
        <v>cchambers06@icloud.com</v>
      </c>
      <c r="C1681" s="9" t="str">
        <f ca="1">IFERROR(__xludf.DUMMYFUNCTION("""COMPUTED_VALUE"""),"EVERGREEN - UAN Gated Content - Embedded Petition")</f>
        <v>EVERGREEN - UAN Gated Content - Embedded Petition</v>
      </c>
      <c r="D1681" s="10">
        <f ca="1">IFERROR(__xludf.DUMMYFUNCTION("""COMPUTED_VALUE"""),45708)</f>
        <v>45708</v>
      </c>
      <c r="E1681" s="1" t="str">
        <f ca="1">IFERROR(__xludf.DUMMYFUNCTION("""COMPUTED_VALUE"""),"Egypt")</f>
        <v>Egypt</v>
      </c>
      <c r="F1681" s="1" t="str">
        <f ca="1">IFERROR(__xludf.DUMMYFUNCTION("""COMPUTED_VALUE"""),"Ninth 190.18 Egypt")</f>
        <v>Ninth 190.18 Egypt</v>
      </c>
      <c r="G1681" s="1" t="str">
        <f ca="1">IFERROR(__xludf.DUMMYFUNCTION("""COMPUTED_VALUE"""),"Freedom of Expression, Individuals At Risk")</f>
        <v>Freedom of Expression, Individuals At Risk</v>
      </c>
      <c r="H1681" s="1" t="str">
        <f ca="1">IFERROR(__xludf.DUMMYFUNCTION("""COMPUTED_VALUE"""),"2024")</f>
        <v>2024</v>
      </c>
      <c r="I1681" s="1" t="str">
        <f ca="1">IFERROR(__xludf.DUMMYFUNCTION("""COMPUTED_VALUE"""),"Letter")</f>
        <v>Letter</v>
      </c>
    </row>
    <row r="1682" spans="1:9" ht="13" x14ac:dyDescent="0.15">
      <c r="A1682" s="9">
        <f ca="1">IFERROR(__xludf.DUMMYFUNCTION("""COMPUTED_VALUE"""),188333836)</f>
        <v>188333836</v>
      </c>
      <c r="B1682" s="1" t="str">
        <f ca="1">IFERROR(__xludf.DUMMYFUNCTION("""COMPUTED_VALUE"""),"cchambers06@icloud.com")</f>
        <v>cchambers06@icloud.com</v>
      </c>
      <c r="C1682" s="9" t="str">
        <f ca="1">IFERROR(__xludf.DUMMYFUNCTION("""COMPUTED_VALUE"""),"EVERGREEN - UAN Gated Content - Embedded Petition")</f>
        <v>EVERGREEN - UAN Gated Content - Embedded Petition</v>
      </c>
      <c r="D1682" s="10">
        <f ca="1">IFERROR(__xludf.DUMMYFUNCTION("""COMPUTED_VALUE"""),45638)</f>
        <v>45638</v>
      </c>
      <c r="E1682" s="1" t="str">
        <f ca="1">IFERROR(__xludf.DUMMYFUNCTION("""COMPUTED_VALUE"""),"USA")</f>
        <v>USA</v>
      </c>
      <c r="F1682" s="1" t="str">
        <f ca="1">IFERROR(__xludf.DUMMYFUNCTION("""COMPUTED_VALUE"""),"4.25 USA")</f>
        <v>4.25 USA</v>
      </c>
      <c r="G1682" s="1" t="str">
        <f ca="1">IFERROR(__xludf.DUMMYFUNCTION("""COMPUTED_VALUE"""),"Individuals At Risk, Refugee and Migrant Rights")</f>
        <v>Individuals At Risk, Refugee and Migrant Rights</v>
      </c>
      <c r="H1682" s="1" t="str">
        <f ca="1">IFERROR(__xludf.DUMMYFUNCTION("""COMPUTED_VALUE"""),"2025")</f>
        <v>2025</v>
      </c>
      <c r="I1682" s="1" t="str">
        <f ca="1">IFERROR(__xludf.DUMMYFUNCTION("""COMPUTED_VALUE"""),"Letter")</f>
        <v>Letter</v>
      </c>
    </row>
    <row r="1683" spans="1:9" ht="13" x14ac:dyDescent="0.15">
      <c r="A1683" s="9">
        <f ca="1">IFERROR(__xludf.DUMMYFUNCTION("""COMPUTED_VALUE"""),188333836)</f>
        <v>188333836</v>
      </c>
      <c r="B1683" s="1" t="str">
        <f ca="1">IFERROR(__xludf.DUMMYFUNCTION("""COMPUTED_VALUE"""),"cchambers06@icloud.com")</f>
        <v>cchambers06@icloud.com</v>
      </c>
      <c r="C1683" s="9" t="str">
        <f ca="1">IFERROR(__xludf.DUMMYFUNCTION("""COMPUTED_VALUE"""),"EVERGREEN - UAN Gated Content - Embedded Petition")</f>
        <v>EVERGREEN - UAN Gated Content - Embedded Petition</v>
      </c>
      <c r="D1683" s="10">
        <f ca="1">IFERROR(__xludf.DUMMYFUNCTION("""COMPUTED_VALUE"""),45638)</f>
        <v>45638</v>
      </c>
      <c r="E1683" s="1" t="str">
        <f ca="1">IFERROR(__xludf.DUMMYFUNCTION("""COMPUTED_VALUE"""),"Libya")</f>
        <v>Libya</v>
      </c>
      <c r="F1683" s="1" t="str">
        <f ca="1">IFERROR(__xludf.DUMMYFUNCTION("""COMPUTED_VALUE"""),"12.25 Libya")</f>
        <v>12.25 Libya</v>
      </c>
      <c r="G1683" s="1" t="str">
        <f ca="1">IFERROR(__xludf.DUMMYFUNCTION("""COMPUTED_VALUE"""),"Freedom of Expression, Health, Individuals At Risk")</f>
        <v>Freedom of Expression, Health, Individuals At Risk</v>
      </c>
      <c r="H1683" s="1" t="str">
        <f ca="1">IFERROR(__xludf.DUMMYFUNCTION("""COMPUTED_VALUE"""),"2025")</f>
        <v>2025</v>
      </c>
      <c r="I1683" s="1" t="str">
        <f ca="1">IFERROR(__xludf.DUMMYFUNCTION("""COMPUTED_VALUE"""),"Email")</f>
        <v>Email</v>
      </c>
    </row>
    <row r="1684" spans="1:9" ht="13" x14ac:dyDescent="0.15">
      <c r="A1684" s="9">
        <f ca="1">IFERROR(__xludf.DUMMYFUNCTION("""COMPUTED_VALUE"""),188333836)</f>
        <v>188333836</v>
      </c>
      <c r="B1684" s="1" t="str">
        <f ca="1">IFERROR(__xludf.DUMMYFUNCTION("""COMPUTED_VALUE"""),"cchambers06@icloud.com")</f>
        <v>cchambers06@icloud.com</v>
      </c>
      <c r="C1684" s="9" t="str">
        <f ca="1">IFERROR(__xludf.DUMMYFUNCTION("""COMPUTED_VALUE"""),"EVERGREEN - UAN Gated Content - Embedded Petition")</f>
        <v>EVERGREEN - UAN Gated Content - Embedded Petition</v>
      </c>
      <c r="D1684" s="10">
        <f ca="1">IFERROR(__xludf.DUMMYFUNCTION("""COMPUTED_VALUE"""),45638)</f>
        <v>45638</v>
      </c>
      <c r="E1684" s="1" t="str">
        <f ca="1">IFERROR(__xludf.DUMMYFUNCTION("""COMPUTED_VALUE"""),"USA")</f>
        <v>USA</v>
      </c>
      <c r="F1684" s="1" t="str">
        <f ca="1">IFERROR(__xludf.DUMMYFUNCTION("""COMPUTED_VALUE"""),"4.25 USA")</f>
        <v>4.25 USA</v>
      </c>
      <c r="G1684" s="1" t="str">
        <f ca="1">IFERROR(__xludf.DUMMYFUNCTION("""COMPUTED_VALUE"""),"Individuals At Risk, Refugee and Migrant Rights")</f>
        <v>Individuals At Risk, Refugee and Migrant Rights</v>
      </c>
      <c r="H1684" s="1" t="str">
        <f ca="1">IFERROR(__xludf.DUMMYFUNCTION("""COMPUTED_VALUE"""),"2025")</f>
        <v>2025</v>
      </c>
      <c r="I1684" s="1" t="str">
        <f ca="1">IFERROR(__xludf.DUMMYFUNCTION("""COMPUTED_VALUE"""),"Letter")</f>
        <v>Letter</v>
      </c>
    </row>
    <row r="1685" spans="1:9" ht="13" x14ac:dyDescent="0.15">
      <c r="A1685" s="9">
        <f ca="1">IFERROR(__xludf.DUMMYFUNCTION("""COMPUTED_VALUE"""),188333836)</f>
        <v>188333836</v>
      </c>
      <c r="B1685" s="1" t="str">
        <f ca="1">IFERROR(__xludf.DUMMYFUNCTION("""COMPUTED_VALUE"""),"cchambers06@icloud.com")</f>
        <v>cchambers06@icloud.com</v>
      </c>
      <c r="C1685" s="9" t="str">
        <f ca="1">IFERROR(__xludf.DUMMYFUNCTION("""COMPUTED_VALUE"""),"EVERGREEN - UAN Gated Content - Embedded Petition")</f>
        <v>EVERGREEN - UAN Gated Content - Embedded Petition</v>
      </c>
      <c r="D1685" s="10">
        <f ca="1">IFERROR(__xludf.DUMMYFUNCTION("""COMPUTED_VALUE"""),45638)</f>
        <v>45638</v>
      </c>
      <c r="E1685" s="1" t="str">
        <f ca="1">IFERROR(__xludf.DUMMYFUNCTION("""COMPUTED_VALUE"""),"Singapore")</f>
        <v>Singapore</v>
      </c>
      <c r="F1685" s="1" t="str">
        <f ca="1">IFERROR(__xludf.DUMMYFUNCTION("""COMPUTED_VALUE"""),"107.24 Singapore")</f>
        <v>107.24 Singapore</v>
      </c>
      <c r="G1685" s="1" t="str">
        <f ca="1">IFERROR(__xludf.DUMMYFUNCTION("""COMPUTED_VALUE"""),"Death Penalty")</f>
        <v>Death Penalty</v>
      </c>
      <c r="H1685" s="1" t="str">
        <f ca="1">IFERROR(__xludf.DUMMYFUNCTION("""COMPUTED_VALUE"""),"2024")</f>
        <v>2024</v>
      </c>
      <c r="I1685" s="1" t="str">
        <f ca="1">IFERROR(__xludf.DUMMYFUNCTION("""COMPUTED_VALUE"""),"Email")</f>
        <v>Email</v>
      </c>
    </row>
    <row r="1686" spans="1:9" ht="13" x14ac:dyDescent="0.15">
      <c r="A1686" s="9">
        <f ca="1">IFERROR(__xludf.DUMMYFUNCTION("""COMPUTED_VALUE"""),189531814)</f>
        <v>189531814</v>
      </c>
      <c r="B1686" s="1" t="str">
        <f ca="1">IFERROR(__xludf.DUMMYFUNCTION("""COMPUTED_VALUE"""),"makerttula@comcast.net")</f>
        <v>makerttula@comcast.net</v>
      </c>
      <c r="C1686" s="9" t="str">
        <f ca="1">IFERROR(__xludf.DUMMYFUNCTION("""COMPUTED_VALUE"""),"EVERGREEN - UAN Gated Content - Embedded Petition")</f>
        <v>EVERGREEN - UAN Gated Content - Embedded Petition</v>
      </c>
      <c r="D1686" s="10">
        <f ca="1">IFERROR(__xludf.DUMMYFUNCTION("""COMPUTED_VALUE"""),45674)</f>
        <v>45674</v>
      </c>
      <c r="E1686" s="1" t="str">
        <f ca="1">IFERROR(__xludf.DUMMYFUNCTION("""COMPUTED_VALUE"""),"Tunisia")</f>
        <v>Tunisia</v>
      </c>
      <c r="F1686" s="1" t="str">
        <f ca="1">IFERROR(__xludf.DUMMYFUNCTION("""COMPUTED_VALUE"""),"Second 43.24 Tunisia")</f>
        <v>Second 43.24 Tunisia</v>
      </c>
      <c r="G1686" s="1" t="str">
        <f ca="1">IFERROR(__xludf.DUMMYFUNCTION("""COMPUTED_VALUE"""),"Freedom of Expression, Individuals At Risk")</f>
        <v>Freedom of Expression, Individuals At Risk</v>
      </c>
      <c r="H1686" s="1" t="str">
        <f ca="1">IFERROR(__xludf.DUMMYFUNCTION("""COMPUTED_VALUE"""),"2024")</f>
        <v>2024</v>
      </c>
      <c r="I1686" s="1" t="str">
        <f ca="1">IFERROR(__xludf.DUMMYFUNCTION("""COMPUTED_VALUE"""),"Email")</f>
        <v>Email</v>
      </c>
    </row>
    <row r="1687" spans="1:9" ht="13" x14ac:dyDescent="0.15">
      <c r="A1687" s="9">
        <f ca="1">IFERROR(__xludf.DUMMYFUNCTION("""COMPUTED_VALUE"""),189531814)</f>
        <v>189531814</v>
      </c>
      <c r="B1687" s="1" t="str">
        <f ca="1">IFERROR(__xludf.DUMMYFUNCTION("""COMPUTED_VALUE"""),"makerttula@comcast.net")</f>
        <v>makerttula@comcast.net</v>
      </c>
      <c r="C1687" s="9" t="str">
        <f ca="1">IFERROR(__xludf.DUMMYFUNCTION("""COMPUTED_VALUE"""),"EVERGREEN - UAN Gated Content - Embedded Petition")</f>
        <v>EVERGREEN - UAN Gated Content - Embedded Petition</v>
      </c>
      <c r="D1687" s="10">
        <f ca="1">IFERROR(__xludf.DUMMYFUNCTION("""COMPUTED_VALUE"""),45674)</f>
        <v>45674</v>
      </c>
      <c r="E1687" s="1" t="str">
        <f ca="1">IFERROR(__xludf.DUMMYFUNCTION("""COMPUTED_VALUE"""),"Turkiye")</f>
        <v>Turkiye</v>
      </c>
      <c r="F1687" s="1" t="str">
        <f ca="1">IFERROR(__xludf.DUMMYFUNCTION("""COMPUTED_VALUE"""),"109.24 Türkiye")</f>
        <v>109.24 Türkiye</v>
      </c>
      <c r="G1687" s="1" t="str">
        <f ca="1">IFERROR(__xludf.DUMMYFUNCTION("""COMPUTED_VALUE"""),"Human Rights Defenders, Individuals At Risk")</f>
        <v>Human Rights Defenders, Individuals At Risk</v>
      </c>
      <c r="H1687" s="1" t="str">
        <f ca="1">IFERROR(__xludf.DUMMYFUNCTION("""COMPUTED_VALUE"""),"2024")</f>
        <v>2024</v>
      </c>
      <c r="I1687" s="1" t="str">
        <f ca="1">IFERROR(__xludf.DUMMYFUNCTION("""COMPUTED_VALUE"""),"Email")</f>
        <v>Email</v>
      </c>
    </row>
    <row r="1688" spans="1:9" ht="13" x14ac:dyDescent="0.15">
      <c r="A1688" s="9">
        <f ca="1">IFERROR(__xludf.DUMMYFUNCTION("""COMPUTED_VALUE"""),189648150)</f>
        <v>189648150</v>
      </c>
      <c r="B1688" s="1" t="str">
        <f ca="1">IFERROR(__xludf.DUMMYFUNCTION("""COMPUTED_VALUE"""),"lrdeegan123@gmail.com")</f>
        <v>lrdeegan123@gmail.com</v>
      </c>
      <c r="C1688" s="9" t="str">
        <f ca="1">IFERROR(__xludf.DUMMYFUNCTION("""COMPUTED_VALUE"""),"EVERGREEN - UAN Gated Content - Embedded Petition")</f>
        <v>EVERGREEN - UAN Gated Content - Embedded Petition</v>
      </c>
      <c r="D1688" s="10">
        <f ca="1">IFERROR(__xludf.DUMMYFUNCTION("""COMPUTED_VALUE"""),45694)</f>
        <v>45694</v>
      </c>
      <c r="E1688" s="1" t="str">
        <f ca="1">IFERROR(__xludf.DUMMYFUNCTION("""COMPUTED_VALUE"""),"Israel and Occupied Palestinian Territories")</f>
        <v>Israel and Occupied Palestinian Territories</v>
      </c>
      <c r="F1688" s="1" t="str">
        <f ca="1">IFERROR(__xludf.DUMMYFUNCTION("""COMPUTED_VALUE"""),"3.25 IOPT")</f>
        <v>3.25 IOPT</v>
      </c>
      <c r="G1688" s="1" t="str">
        <f ca="1">IFERROR(__xludf.DUMMYFUNCTION("""COMPUTED_VALUE"""),"Freedom of Expression, Individuals At Risk")</f>
        <v>Freedom of Expression, Individuals At Risk</v>
      </c>
      <c r="H1688" s="1" t="str">
        <f ca="1">IFERROR(__xludf.DUMMYFUNCTION("""COMPUTED_VALUE"""),"2025")</f>
        <v>2025</v>
      </c>
      <c r="I1688" s="1" t="str">
        <f ca="1">IFERROR(__xludf.DUMMYFUNCTION("""COMPUTED_VALUE"""),"Email")</f>
        <v>Email</v>
      </c>
    </row>
    <row r="1689" spans="1:9" ht="13" x14ac:dyDescent="0.15">
      <c r="A1689" s="9">
        <f ca="1">IFERROR(__xludf.DUMMYFUNCTION("""COMPUTED_VALUE"""),191927105)</f>
        <v>191927105</v>
      </c>
      <c r="B1689" s="1" t="str">
        <f ca="1">IFERROR(__xludf.DUMMYFUNCTION("""COMPUTED_VALUE"""),"fernando@4sitestudios.com")</f>
        <v>fernando@4sitestudios.com</v>
      </c>
      <c r="C1689" s="9" t="str">
        <f ca="1">IFERROR(__xludf.DUMMYFUNCTION("""COMPUTED_VALUE"""),"UAN mid-page Lightbox - Step 1 of 4 - Landing Page")</f>
        <v>UAN mid-page Lightbox - Step 1 of 4 - Landing Page</v>
      </c>
      <c r="D1689" s="10">
        <f ca="1">IFERROR(__xludf.DUMMYFUNCTION("""COMPUTED_VALUE"""),45561)</f>
        <v>45561</v>
      </c>
      <c r="E1689" s="1" t="str">
        <f ca="1">IFERROR(__xludf.DUMMYFUNCTION("""COMPUTED_VALUE"""),"Turkiye")</f>
        <v>Turkiye</v>
      </c>
      <c r="F1689" s="1" t="str">
        <f ca="1">IFERROR(__xludf.DUMMYFUNCTION("""COMPUTED_VALUE"""),"Second 109.24 Türkiye")</f>
        <v>Second 109.24 Türkiye</v>
      </c>
      <c r="G1689" s="1" t="str">
        <f ca="1">IFERROR(__xludf.DUMMYFUNCTION("""COMPUTED_VALUE"""),"Human Rights Defenders")</f>
        <v>Human Rights Defenders</v>
      </c>
      <c r="H1689" s="1" t="str">
        <f ca="1">IFERROR(__xludf.DUMMYFUNCTION("""COMPUTED_VALUE"""),"2025")</f>
        <v>2025</v>
      </c>
      <c r="I1689" s="1" t="str">
        <f ca="1">IFERROR(__xludf.DUMMYFUNCTION("""COMPUTED_VALUE"""),"Email")</f>
        <v>Email</v>
      </c>
    </row>
    <row r="1690" spans="1:9" ht="13" x14ac:dyDescent="0.15">
      <c r="A1690" s="9">
        <f ca="1">IFERROR(__xludf.DUMMYFUNCTION("""COMPUTED_VALUE"""),191927105)</f>
        <v>191927105</v>
      </c>
      <c r="B1690" s="1" t="str">
        <f ca="1">IFERROR(__xludf.DUMMYFUNCTION("""COMPUTED_VALUE"""),"fernando@4sitestudios.com")</f>
        <v>fernando@4sitestudios.com</v>
      </c>
      <c r="C1690" s="9" t="str">
        <f ca="1">IFERROR(__xludf.DUMMYFUNCTION("""COMPUTED_VALUE"""),"UAN mid-page Lightbox - Step 2 of 4 - More personal info fields")</f>
        <v>UAN mid-page Lightbox - Step 2 of 4 - More personal info fields</v>
      </c>
      <c r="D1690" s="10">
        <f ca="1">IFERROR(__xludf.DUMMYFUNCTION("""COMPUTED_VALUE"""),45561)</f>
        <v>45561</v>
      </c>
      <c r="E1690" s="1" t="str">
        <f ca="1">IFERROR(__xludf.DUMMYFUNCTION("""COMPUTED_VALUE"""),"Tunisia")</f>
        <v>Tunisia</v>
      </c>
      <c r="F1690" s="1" t="str">
        <f ca="1">IFERROR(__xludf.DUMMYFUNCTION("""COMPUTED_VALUE"""),"Second 76.24 Tunisia")</f>
        <v>Second 76.24 Tunisia</v>
      </c>
      <c r="G1690" s="1" t="str">
        <f ca="1">IFERROR(__xludf.DUMMYFUNCTION("""COMPUTED_VALUE"""),"Freedom of Expression, Human Rights Defenders")</f>
        <v>Freedom of Expression, Human Rights Defenders</v>
      </c>
      <c r="H1690" s="1" t="str">
        <f ca="1">IFERROR(__xludf.DUMMYFUNCTION("""COMPUTED_VALUE"""),"2025")</f>
        <v>2025</v>
      </c>
      <c r="I1690" s="1" t="str">
        <f ca="1">IFERROR(__xludf.DUMMYFUNCTION("""COMPUTED_VALUE"""),"Email")</f>
        <v>Email</v>
      </c>
    </row>
    <row r="1691" spans="1:9" ht="13" x14ac:dyDescent="0.15">
      <c r="A1691" s="9">
        <f ca="1">IFERROR(__xludf.DUMMYFUNCTION("""COMPUTED_VALUE"""),191927105)</f>
        <v>191927105</v>
      </c>
      <c r="B1691" s="1" t="str">
        <f ca="1">IFERROR(__xludf.DUMMYFUNCTION("""COMPUTED_VALUE"""),"fernando@4sitestudios.com")</f>
        <v>fernando@4sitestudios.com</v>
      </c>
      <c r="C1691" s="9" t="str">
        <f ca="1">IFERROR(__xludf.DUMMYFUNCTION("""COMPUTED_VALUE"""),"UAN mid-page Lightbox - Step 3 of 4 - More opt-ins")</f>
        <v>UAN mid-page Lightbox - Step 3 of 4 - More opt-ins</v>
      </c>
      <c r="D1691" s="10">
        <f ca="1">IFERROR(__xludf.DUMMYFUNCTION("""COMPUTED_VALUE"""),45561)</f>
        <v>45561</v>
      </c>
      <c r="E1691" s="1" t="str">
        <f ca="1">IFERROR(__xludf.DUMMYFUNCTION("""COMPUTED_VALUE"""),"Tunisia")</f>
        <v>Tunisia</v>
      </c>
      <c r="F1691" s="1" t="str">
        <f ca="1">IFERROR(__xludf.DUMMYFUNCTION("""COMPUTED_VALUE"""),"8.25 Tunisia")</f>
        <v>8.25 Tunisia</v>
      </c>
      <c r="G1691" s="1" t="str">
        <f ca="1">IFERROR(__xludf.DUMMYFUNCTION("""COMPUTED_VALUE"""),"Freedom of Expression")</f>
        <v>Freedom of Expression</v>
      </c>
      <c r="H1691" s="1" t="str">
        <f ca="1">IFERROR(__xludf.DUMMYFUNCTION("""COMPUTED_VALUE"""),"2025")</f>
        <v>2025</v>
      </c>
      <c r="I1691" s="1" t="str">
        <f ca="1">IFERROR(__xludf.DUMMYFUNCTION("""COMPUTED_VALUE"""),"Email")</f>
        <v>Email</v>
      </c>
    </row>
    <row r="1692" spans="1:9" ht="13" x14ac:dyDescent="0.15">
      <c r="A1692" s="9">
        <f ca="1">IFERROR(__xludf.DUMMYFUNCTION("""COMPUTED_VALUE"""),192023408)</f>
        <v>192023408</v>
      </c>
      <c r="B1692" s="1" t="str">
        <f ca="1">IFERROR(__xludf.DUMMYFUNCTION("""COMPUTED_VALUE"""),"lovetruemusic@gmail.com")</f>
        <v>lovetruemusic@gmail.com</v>
      </c>
      <c r="C1692" s="9" t="str">
        <f ca="1">IFERROR(__xludf.DUMMYFUNCTION("""COMPUTED_VALUE"""),"EVERGREEN - UAN Gated Content - Embedded Petition")</f>
        <v>EVERGREEN - UAN Gated Content - Embedded Petition</v>
      </c>
      <c r="D1692" s="10">
        <f ca="1">IFERROR(__xludf.DUMMYFUNCTION("""COMPUTED_VALUE"""),45643)</f>
        <v>45643</v>
      </c>
      <c r="E1692" s="1" t="str">
        <f ca="1">IFERROR(__xludf.DUMMYFUNCTION("""COMPUTED_VALUE"""),"Uganda")</f>
        <v>Uganda</v>
      </c>
      <c r="F1692" s="1" t="str">
        <f ca="1">IFERROR(__xludf.DUMMYFUNCTION("""COMPUTED_VALUE"""),"9.25 Uganda")</f>
        <v>9.25 Uganda</v>
      </c>
      <c r="G1692" s="1" t="str">
        <f ca="1">IFERROR(__xludf.DUMMYFUNCTION("""COMPUTED_VALUE"""),"Freedom of Expression, Human Rights Defenders")</f>
        <v>Freedom of Expression, Human Rights Defenders</v>
      </c>
      <c r="H1692" s="1" t="str">
        <f ca="1">IFERROR(__xludf.DUMMYFUNCTION("""COMPUTED_VALUE"""),"2025")</f>
        <v>2025</v>
      </c>
      <c r="I1692" s="1" t="str">
        <f ca="1">IFERROR(__xludf.DUMMYFUNCTION("""COMPUTED_VALUE"""),"Email")</f>
        <v>Email</v>
      </c>
    </row>
    <row r="1693" spans="1:9" ht="13" x14ac:dyDescent="0.15">
      <c r="A1693" s="9">
        <f ca="1">IFERROR(__xludf.DUMMYFUNCTION("""COMPUTED_VALUE"""),194337839)</f>
        <v>194337839</v>
      </c>
      <c r="B1693" s="1" t="str">
        <f ca="1">IFERROR(__xludf.DUMMYFUNCTION("""COMPUTED_VALUE"""),"sgreenough@charter.net")</f>
        <v>sgreenough@charter.net</v>
      </c>
      <c r="C1693" s="9" t="str">
        <f ca="1">IFERROR(__xludf.DUMMYFUNCTION("""COMPUTED_VALUE"""),"EVERGREEN - UAN Gated Content - Embedded Petition")</f>
        <v>EVERGREEN - UAN Gated Content - Embedded Petition</v>
      </c>
      <c r="D1693" s="10">
        <f ca="1">IFERROR(__xludf.DUMMYFUNCTION("""COMPUTED_VALUE"""),45616)</f>
        <v>45616</v>
      </c>
      <c r="E1693" s="1" t="str">
        <f ca="1">IFERROR(__xludf.DUMMYFUNCTION("""COMPUTED_VALUE"""),"Egypt")</f>
        <v>Egypt</v>
      </c>
      <c r="F1693" s="1" t="str">
        <f ca="1">IFERROR(__xludf.DUMMYFUNCTION("""COMPUTED_VALUE"""),"Second 80.23 Egypt")</f>
        <v>Second 80.23 Egypt</v>
      </c>
      <c r="G1693" s="1" t="str">
        <f ca="1">IFERROR(__xludf.DUMMYFUNCTION("""COMPUTED_VALUE"""),"Health, Individuals At Risk")</f>
        <v>Health, Individuals At Risk</v>
      </c>
      <c r="H1693" s="1" t="str">
        <f ca="1">IFERROR(__xludf.DUMMYFUNCTION("""COMPUTED_VALUE"""),"2025")</f>
        <v>2025</v>
      </c>
      <c r="I1693" s="1" t="str">
        <f ca="1">IFERROR(__xludf.DUMMYFUNCTION("""COMPUTED_VALUE"""),"Email")</f>
        <v>Email</v>
      </c>
    </row>
    <row r="1694" spans="1:9" ht="13" x14ac:dyDescent="0.15">
      <c r="A1694" s="9">
        <f ca="1">IFERROR(__xludf.DUMMYFUNCTION("""COMPUTED_VALUE"""),194337839)</f>
        <v>194337839</v>
      </c>
      <c r="B1694" s="1" t="str">
        <f ca="1">IFERROR(__xludf.DUMMYFUNCTION("""COMPUTED_VALUE"""),"sgreenough@charter.net")</f>
        <v>sgreenough@charter.net</v>
      </c>
      <c r="C1694" s="9" t="str">
        <f ca="1">IFERROR(__xludf.DUMMYFUNCTION("""COMPUTED_VALUE"""),"EVERGREEN - UAN Gated Content - Embedded Petition")</f>
        <v>EVERGREEN - UAN Gated Content - Embedded Petition</v>
      </c>
      <c r="D1694" s="10">
        <f ca="1">IFERROR(__xludf.DUMMYFUNCTION("""COMPUTED_VALUE"""),45616)</f>
        <v>45616</v>
      </c>
      <c r="E1694" s="1" t="str">
        <f ca="1">IFERROR(__xludf.DUMMYFUNCTION("""COMPUTED_VALUE"""),"Niger")</f>
        <v>Niger</v>
      </c>
      <c r="F1694" s="1" t="str">
        <f ca="1">IFERROR(__xludf.DUMMYFUNCTION("""COMPUTED_VALUE"""),"103.24 Niger")</f>
        <v>103.24 Niger</v>
      </c>
      <c r="G1694" s="1" t="str">
        <f ca="1">IFERROR(__xludf.DUMMYFUNCTION("""COMPUTED_VALUE"""),"Freedom of Expression, Human Rights Defenders")</f>
        <v>Freedom of Expression, Human Rights Defenders</v>
      </c>
      <c r="H1694" s="1" t="str">
        <f ca="1">IFERROR(__xludf.DUMMYFUNCTION("""COMPUTED_VALUE"""),"2024")</f>
        <v>2024</v>
      </c>
      <c r="I1694" s="1" t="str">
        <f ca="1">IFERROR(__xludf.DUMMYFUNCTION("""COMPUTED_VALUE"""),"Email")</f>
        <v>Email</v>
      </c>
    </row>
    <row r="1695" spans="1:9" ht="13" x14ac:dyDescent="0.15">
      <c r="A1695" s="9">
        <f ca="1">IFERROR(__xludf.DUMMYFUNCTION("""COMPUTED_VALUE"""),194337839)</f>
        <v>194337839</v>
      </c>
      <c r="B1695" s="1" t="str">
        <f ca="1">IFERROR(__xludf.DUMMYFUNCTION("""COMPUTED_VALUE"""),"sgreenough@charter.net")</f>
        <v>sgreenough@charter.net</v>
      </c>
      <c r="C1695" s="9" t="str">
        <f ca="1">IFERROR(__xludf.DUMMYFUNCTION("""COMPUTED_VALUE"""),"EVERGREEN - UAN Gated Content - Embedded Petition")</f>
        <v>EVERGREEN - UAN Gated Content - Embedded Petition</v>
      </c>
      <c r="D1695" s="10">
        <f ca="1">IFERROR(__xludf.DUMMYFUNCTION("""COMPUTED_VALUE"""),45677)</f>
        <v>45677</v>
      </c>
      <c r="E1695" s="1" t="str">
        <f ca="1">IFERROR(__xludf.DUMMYFUNCTION("""COMPUTED_VALUE"""),"Tunisia")</f>
        <v>Tunisia</v>
      </c>
      <c r="F1695" s="1" t="str">
        <f ca="1">IFERROR(__xludf.DUMMYFUNCTION("""COMPUTED_VALUE"""),"Second 43.24 Tunisia")</f>
        <v>Second 43.24 Tunisia</v>
      </c>
      <c r="G1695" s="1" t="str">
        <f ca="1">IFERROR(__xludf.DUMMYFUNCTION("""COMPUTED_VALUE"""),"Freedom of Expression, Individuals At Risk")</f>
        <v>Freedom of Expression, Individuals At Risk</v>
      </c>
      <c r="H1695" s="1" t="str">
        <f ca="1">IFERROR(__xludf.DUMMYFUNCTION("""COMPUTED_VALUE"""),"2024")</f>
        <v>2024</v>
      </c>
      <c r="I1695" s="1" t="str">
        <f ca="1">IFERROR(__xludf.DUMMYFUNCTION("""COMPUTED_VALUE"""),"Email")</f>
        <v>Email</v>
      </c>
    </row>
    <row r="1696" spans="1:9" ht="13" x14ac:dyDescent="0.15">
      <c r="A1696" s="9">
        <f ca="1">IFERROR(__xludf.DUMMYFUNCTION("""COMPUTED_VALUE"""),194337839)</f>
        <v>194337839</v>
      </c>
      <c r="B1696" s="1" t="str">
        <f ca="1">IFERROR(__xludf.DUMMYFUNCTION("""COMPUTED_VALUE"""),"sgreenough@charter.net")</f>
        <v>sgreenough@charter.net</v>
      </c>
      <c r="C1696" s="9" t="str">
        <f ca="1">IFERROR(__xludf.DUMMYFUNCTION("""COMPUTED_VALUE"""),"EVERGREEN - UAN Gated Content - Embedded Petition")</f>
        <v>EVERGREEN - UAN Gated Content - Embedded Petition</v>
      </c>
      <c r="D1696" s="10">
        <f ca="1">IFERROR(__xludf.DUMMYFUNCTION("""COMPUTED_VALUE"""),45694)</f>
        <v>45694</v>
      </c>
      <c r="E1696" s="1" t="str">
        <f ca="1">IFERROR(__xludf.DUMMYFUNCTION("""COMPUTED_VALUE"""),"Singapore")</f>
        <v>Singapore</v>
      </c>
      <c r="F1696" s="1" t="str">
        <f ca="1">IFERROR(__xludf.DUMMYFUNCTION("""COMPUTED_VALUE"""),"107.24 Singapore")</f>
        <v>107.24 Singapore</v>
      </c>
      <c r="G1696" s="1" t="str">
        <f ca="1">IFERROR(__xludf.DUMMYFUNCTION("""COMPUTED_VALUE"""),"Death Penalty")</f>
        <v>Death Penalty</v>
      </c>
      <c r="H1696" s="1" t="str">
        <f ca="1">IFERROR(__xludf.DUMMYFUNCTION("""COMPUTED_VALUE"""),"2024")</f>
        <v>2024</v>
      </c>
      <c r="I1696" s="1" t="str">
        <f ca="1">IFERROR(__xludf.DUMMYFUNCTION("""COMPUTED_VALUE"""),"Email")</f>
        <v>Email</v>
      </c>
    </row>
    <row r="1697" spans="1:9" ht="13" x14ac:dyDescent="0.15">
      <c r="A1697" s="9">
        <f ca="1">IFERROR(__xludf.DUMMYFUNCTION("""COMPUTED_VALUE"""),194337839)</f>
        <v>194337839</v>
      </c>
      <c r="B1697" s="1" t="str">
        <f ca="1">IFERROR(__xludf.DUMMYFUNCTION("""COMPUTED_VALUE"""),"sgreenough@charter.net")</f>
        <v>sgreenough@charter.net</v>
      </c>
      <c r="C1697" s="9" t="str">
        <f ca="1">IFERROR(__xludf.DUMMYFUNCTION("""COMPUTED_VALUE"""),"EVERGREEN - UAN Gated Content - Embedded Petition")</f>
        <v>EVERGREEN - UAN Gated Content - Embedded Petition</v>
      </c>
      <c r="D1697" s="10">
        <f ca="1">IFERROR(__xludf.DUMMYFUNCTION("""COMPUTED_VALUE"""),45684)</f>
        <v>45684</v>
      </c>
      <c r="E1697" s="1" t="str">
        <f ca="1">IFERROR(__xludf.DUMMYFUNCTION("""COMPUTED_VALUE"""),"Colombia")</f>
        <v>Colombia</v>
      </c>
      <c r="F1697" s="1" t="str">
        <f ca="1">IFERROR(__xludf.DUMMYFUNCTION("""COMPUTED_VALUE"""),"Third 12.24 Colombia")</f>
        <v>Third 12.24 Colombia</v>
      </c>
      <c r="G1697" s="1" t="str">
        <f ca="1">IFERROR(__xludf.DUMMYFUNCTION("""COMPUTED_VALUE"""),"Human Rights Defenders, Individuals At Risk")</f>
        <v>Human Rights Defenders, Individuals At Risk</v>
      </c>
      <c r="H1697" s="1" t="str">
        <f ca="1">IFERROR(__xludf.DUMMYFUNCTION("""COMPUTED_VALUE"""),"2025")</f>
        <v>2025</v>
      </c>
      <c r="I1697" s="1" t="str">
        <f ca="1">IFERROR(__xludf.DUMMYFUNCTION("""COMPUTED_VALUE"""),"Email")</f>
        <v>Email</v>
      </c>
    </row>
    <row r="1698" spans="1:9" ht="13" x14ac:dyDescent="0.15">
      <c r="A1698" s="9">
        <f ca="1">IFERROR(__xludf.DUMMYFUNCTION("""COMPUTED_VALUE"""),194397598)</f>
        <v>194397598</v>
      </c>
      <c r="B1698" s="1" t="str">
        <f ca="1">IFERROR(__xludf.DUMMYFUNCTION("""COMPUTED_VALUE"""),"beakylenore@gmail.com")</f>
        <v>beakylenore@gmail.com</v>
      </c>
      <c r="C1698" s="9" t="str">
        <f ca="1">IFERROR(__xludf.DUMMYFUNCTION("""COMPUTED_VALUE"""),"EVERGREEN - UAN Gated Content - Embedded Petition")</f>
        <v>EVERGREEN - UAN Gated Content - Embedded Petition</v>
      </c>
      <c r="D1698" s="10">
        <f ca="1">IFERROR(__xludf.DUMMYFUNCTION("""COMPUTED_VALUE"""),45694)</f>
        <v>45694</v>
      </c>
      <c r="E1698" s="1" t="str">
        <f ca="1">IFERROR(__xludf.DUMMYFUNCTION("""COMPUTED_VALUE"""),"USA")</f>
        <v>USA</v>
      </c>
      <c r="F1698" s="1" t="str">
        <f ca="1">IFERROR(__xludf.DUMMYFUNCTION("""COMPUTED_VALUE"""),"96.24 USA")</f>
        <v>96.24 USA</v>
      </c>
      <c r="G1698" s="1" t="str">
        <f ca="1">IFERROR(__xludf.DUMMYFUNCTION("""COMPUTED_VALUE"""),"Death Penalty")</f>
        <v>Death Penalty</v>
      </c>
      <c r="H1698" s="1" t="str">
        <f ca="1">IFERROR(__xludf.DUMMYFUNCTION("""COMPUTED_VALUE"""),"2024")</f>
        <v>2024</v>
      </c>
      <c r="I1698" s="1" t="str">
        <f ca="1">IFERROR(__xludf.DUMMYFUNCTION("""COMPUTED_VALUE"""),"Email")</f>
        <v>Email</v>
      </c>
    </row>
    <row r="1699" spans="1:9" ht="13" x14ac:dyDescent="0.15">
      <c r="A1699" s="9">
        <f ca="1">IFERROR(__xludf.DUMMYFUNCTION("""COMPUTED_VALUE"""),194397598)</f>
        <v>194397598</v>
      </c>
      <c r="B1699" s="1" t="str">
        <f ca="1">IFERROR(__xludf.DUMMYFUNCTION("""COMPUTED_VALUE"""),"beakylenore@gmail.com")</f>
        <v>beakylenore@gmail.com</v>
      </c>
      <c r="C1699" s="9" t="str">
        <f ca="1">IFERROR(__xludf.DUMMYFUNCTION("""COMPUTED_VALUE"""),"EVERGREEN - UAN Gated Content - Embedded Petition")</f>
        <v>EVERGREEN - UAN Gated Content - Embedded Petition</v>
      </c>
      <c r="D1699" s="10">
        <f ca="1">IFERROR(__xludf.DUMMYFUNCTION("""COMPUTED_VALUE"""),45637)</f>
        <v>45637</v>
      </c>
      <c r="E1699" s="1" t="str">
        <f ca="1">IFERROR(__xludf.DUMMYFUNCTION("""COMPUTED_VALUE"""),"USA")</f>
        <v>USA</v>
      </c>
      <c r="F1699" s="1" t="str">
        <f ca="1">IFERROR(__xludf.DUMMYFUNCTION("""COMPUTED_VALUE"""),"96.24 USA")</f>
        <v>96.24 USA</v>
      </c>
      <c r="G1699" s="1" t="str">
        <f ca="1">IFERROR(__xludf.DUMMYFUNCTION("""COMPUTED_VALUE"""),"Death Penalty")</f>
        <v>Death Penalty</v>
      </c>
      <c r="H1699" s="1" t="str">
        <f ca="1">IFERROR(__xludf.DUMMYFUNCTION("""COMPUTED_VALUE"""),"2024")</f>
        <v>2024</v>
      </c>
      <c r="I1699" s="1" t="str">
        <f ca="1">IFERROR(__xludf.DUMMYFUNCTION("""COMPUTED_VALUE"""),"Email")</f>
        <v>Email</v>
      </c>
    </row>
    <row r="1700" spans="1:9" ht="13" x14ac:dyDescent="0.15">
      <c r="A1700" s="9">
        <f ca="1">IFERROR(__xludf.DUMMYFUNCTION("""COMPUTED_VALUE"""),194448242)</f>
        <v>194448242</v>
      </c>
      <c r="B1700" s="1" t="str">
        <f ca="1">IFERROR(__xludf.DUMMYFUNCTION("""COMPUTED_VALUE"""),"mallorybacon@protonmail.com")</f>
        <v>mallorybacon@protonmail.com</v>
      </c>
      <c r="C1700" s="9" t="str">
        <f ca="1">IFERROR(__xludf.DUMMYFUNCTION("""COMPUTED_VALUE"""),"EVERGREEN - UAN Gated Content - Embedded Petition")</f>
        <v>EVERGREEN - UAN Gated Content - Embedded Petition</v>
      </c>
      <c r="D1700" s="10">
        <f ca="1">IFERROR(__xludf.DUMMYFUNCTION("""COMPUTED_VALUE"""),45691)</f>
        <v>45691</v>
      </c>
      <c r="E1700" s="1" t="str">
        <f ca="1">IFERROR(__xludf.DUMMYFUNCTION("""COMPUTED_VALUE"""),"Dominican Republic")</f>
        <v>Dominican Republic</v>
      </c>
      <c r="F1700" s="1" t="str">
        <f ca="1">IFERROR(__xludf.DUMMYFUNCTION("""COMPUTED_VALUE"""),"88.24 Dominican Republic")</f>
        <v>88.24 Dominican Republic</v>
      </c>
      <c r="G1700" s="1" t="str">
        <f ca="1">IFERROR(__xludf.DUMMYFUNCTION("""COMPUTED_VALUE"""),"Individuals At Risk, Refugee and Migrant Rights")</f>
        <v>Individuals At Risk, Refugee and Migrant Rights</v>
      </c>
      <c r="H1700" s="1" t="str">
        <f ca="1">IFERROR(__xludf.DUMMYFUNCTION("""COMPUTED_VALUE"""),"2024")</f>
        <v>2024</v>
      </c>
      <c r="I1700" s="1" t="str">
        <f ca="1">IFERROR(__xludf.DUMMYFUNCTION("""COMPUTED_VALUE"""),"Letter")</f>
        <v>Letter</v>
      </c>
    </row>
    <row r="1701" spans="1:9" ht="13" x14ac:dyDescent="0.15">
      <c r="A1701" s="9">
        <f ca="1">IFERROR(__xludf.DUMMYFUNCTION("""COMPUTED_VALUE"""),194448242)</f>
        <v>194448242</v>
      </c>
      <c r="B1701" s="1" t="str">
        <f ca="1">IFERROR(__xludf.DUMMYFUNCTION("""COMPUTED_VALUE"""),"mallorybacon@protonmail.com")</f>
        <v>mallorybacon@protonmail.com</v>
      </c>
      <c r="C1701" s="9" t="str">
        <f ca="1">IFERROR(__xludf.DUMMYFUNCTION("""COMPUTED_VALUE"""),"EVERGREEN - UAN Gated Content - Embedded Petition")</f>
        <v>EVERGREEN - UAN Gated Content - Embedded Petition</v>
      </c>
      <c r="D1701" s="10">
        <f ca="1">IFERROR(__xludf.DUMMYFUNCTION("""COMPUTED_VALUE"""),45643)</f>
        <v>45643</v>
      </c>
      <c r="E1701" s="1" t="str">
        <f ca="1">IFERROR(__xludf.DUMMYFUNCTION("""COMPUTED_VALUE"""),"USA")</f>
        <v>USA</v>
      </c>
      <c r="F1701" s="1" t="str">
        <f ca="1">IFERROR(__xludf.DUMMYFUNCTION("""COMPUTED_VALUE"""),"4.25 USA")</f>
        <v>4.25 USA</v>
      </c>
      <c r="G1701" s="1" t="str">
        <f ca="1">IFERROR(__xludf.DUMMYFUNCTION("""COMPUTED_VALUE"""),"Individuals At Risk, Refugee and Migrant Rights")</f>
        <v>Individuals At Risk, Refugee and Migrant Rights</v>
      </c>
      <c r="H1701" s="1" t="str">
        <f ca="1">IFERROR(__xludf.DUMMYFUNCTION("""COMPUTED_VALUE"""),"2025")</f>
        <v>2025</v>
      </c>
      <c r="I1701" s="1" t="str">
        <f ca="1">IFERROR(__xludf.DUMMYFUNCTION("""COMPUTED_VALUE"""),"Letter")</f>
        <v>Letter</v>
      </c>
    </row>
    <row r="1702" spans="1:9" ht="13" x14ac:dyDescent="0.15">
      <c r="A1702" s="9">
        <f ca="1">IFERROR(__xludf.DUMMYFUNCTION("""COMPUTED_VALUE"""),194448253)</f>
        <v>194448253</v>
      </c>
      <c r="B1702" s="1" t="str">
        <f ca="1">IFERROR(__xludf.DUMMYFUNCTION("""COMPUTED_VALUE"""),"missikiti@gmail.com")</f>
        <v>missikiti@gmail.com</v>
      </c>
      <c r="C1702" s="9" t="str">
        <f ca="1">IFERROR(__xludf.DUMMYFUNCTION("""COMPUTED_VALUE"""),"EVERGREEN - UAN Gated Content - Embedded Petition")</f>
        <v>EVERGREEN - UAN Gated Content - Embedded Petition</v>
      </c>
      <c r="D1702" s="10">
        <f ca="1">IFERROR(__xludf.DUMMYFUNCTION("""COMPUTED_VALUE"""),45616)</f>
        <v>45616</v>
      </c>
      <c r="E1702" s="1" t="str">
        <f ca="1">IFERROR(__xludf.DUMMYFUNCTION("""COMPUTED_VALUE"""),"Iran")</f>
        <v>Iran</v>
      </c>
      <c r="F1702" s="1" t="str">
        <f ca="1">IFERROR(__xludf.DUMMYFUNCTION("""COMPUTED_VALUE"""),"Seventh 103.22 Iran")</f>
        <v>Seventh 103.22 Iran</v>
      </c>
      <c r="G1702" s="1" t="str">
        <f ca="1">IFERROR(__xludf.DUMMYFUNCTION("""COMPUTED_VALUE"""),"Death Penalty, Freedom of Expression, Individuals At Risk")</f>
        <v>Death Penalty, Freedom of Expression, Individuals At Risk</v>
      </c>
      <c r="H1702" s="1" t="str">
        <f ca="1">IFERROR(__xludf.DUMMYFUNCTION("""COMPUTED_VALUE"""),"2024")</f>
        <v>2024</v>
      </c>
      <c r="I1702" s="1" t="str">
        <f ca="1">IFERROR(__xludf.DUMMYFUNCTION("""COMPUTED_VALUE"""),"Email")</f>
        <v>Email</v>
      </c>
    </row>
    <row r="1703" spans="1:9" ht="13" x14ac:dyDescent="0.15">
      <c r="A1703" s="9">
        <f ca="1">IFERROR(__xludf.DUMMYFUNCTION("""COMPUTED_VALUE"""),194687454)</f>
        <v>194687454</v>
      </c>
      <c r="B1703" s="1" t="str">
        <f ca="1">IFERROR(__xludf.DUMMYFUNCTION("""COMPUTED_VALUE"""),"judiokeefe@yahoo.com")</f>
        <v>judiokeefe@yahoo.com</v>
      </c>
      <c r="C1703" s="9" t="str">
        <f ca="1">IFERROR(__xludf.DUMMYFUNCTION("""COMPUTED_VALUE"""),"EVERGREEN - UAN Gated Content - Embedded Petition")</f>
        <v>EVERGREEN - UAN Gated Content - Embedded Petition</v>
      </c>
      <c r="D1703" s="10">
        <f ca="1">IFERROR(__xludf.DUMMYFUNCTION("""COMPUTED_VALUE"""),45616)</f>
        <v>45616</v>
      </c>
      <c r="E1703" s="1" t="str">
        <f ca="1">IFERROR(__xludf.DUMMYFUNCTION("""COMPUTED_VALUE"""),"USA")</f>
        <v>USA</v>
      </c>
      <c r="F1703" s="1" t="str">
        <f ca="1">IFERROR(__xludf.DUMMYFUNCTION("""COMPUTED_VALUE"""),"105.24 USA")</f>
        <v>105.24 USA</v>
      </c>
      <c r="G1703" s="1" t="str">
        <f ca="1">IFERROR(__xludf.DUMMYFUNCTION("""COMPUTED_VALUE"""),"Death Penalty")</f>
        <v>Death Penalty</v>
      </c>
      <c r="H1703" s="1" t="str">
        <f ca="1">IFERROR(__xludf.DUMMYFUNCTION("""COMPUTED_VALUE"""),"2024")</f>
        <v>2024</v>
      </c>
      <c r="I1703" s="1" t="str">
        <f ca="1">IFERROR(__xludf.DUMMYFUNCTION("""COMPUTED_VALUE"""),"Email")</f>
        <v>Email</v>
      </c>
    </row>
    <row r="1704" spans="1:9" ht="13" x14ac:dyDescent="0.15">
      <c r="A1704" s="9">
        <f ca="1">IFERROR(__xludf.DUMMYFUNCTION("""COMPUTED_VALUE"""),194687454)</f>
        <v>194687454</v>
      </c>
      <c r="B1704" s="1" t="str">
        <f ca="1">IFERROR(__xludf.DUMMYFUNCTION("""COMPUTED_VALUE"""),"judiokeefe@yahoo.com")</f>
        <v>judiokeefe@yahoo.com</v>
      </c>
      <c r="C1704" s="9" t="str">
        <f ca="1">IFERROR(__xludf.DUMMYFUNCTION("""COMPUTED_VALUE"""),"EVERGREEN - UAN Gated Content - Embedded Petition")</f>
        <v>EVERGREEN - UAN Gated Content - Embedded Petition</v>
      </c>
      <c r="D1704" s="10">
        <f ca="1">IFERROR(__xludf.DUMMYFUNCTION("""COMPUTED_VALUE"""),45694)</f>
        <v>45694</v>
      </c>
      <c r="E1704" s="1" t="str">
        <f ca="1">IFERROR(__xludf.DUMMYFUNCTION("""COMPUTED_VALUE"""),"USA")</f>
        <v>USA</v>
      </c>
      <c r="F1704" s="1" t="str">
        <f ca="1">IFERROR(__xludf.DUMMYFUNCTION("""COMPUTED_VALUE"""),"4.25 USA")</f>
        <v>4.25 USA</v>
      </c>
      <c r="G1704" s="1" t="str">
        <f ca="1">IFERROR(__xludf.DUMMYFUNCTION("""COMPUTED_VALUE"""),"Individuals At Risk, Refugee and Migrant Rights")</f>
        <v>Individuals At Risk, Refugee and Migrant Rights</v>
      </c>
      <c r="H1704" s="1" t="str">
        <f ca="1">IFERROR(__xludf.DUMMYFUNCTION("""COMPUTED_VALUE"""),"2025")</f>
        <v>2025</v>
      </c>
      <c r="I1704" s="1" t="str">
        <f ca="1">IFERROR(__xludf.DUMMYFUNCTION("""COMPUTED_VALUE"""),"Letter")</f>
        <v>Letter</v>
      </c>
    </row>
    <row r="1705" spans="1:9" ht="13" x14ac:dyDescent="0.15">
      <c r="A1705" s="9">
        <f ca="1">IFERROR(__xludf.DUMMYFUNCTION("""COMPUTED_VALUE"""),194687454)</f>
        <v>194687454</v>
      </c>
      <c r="B1705" s="1" t="str">
        <f ca="1">IFERROR(__xludf.DUMMYFUNCTION("""COMPUTED_VALUE"""),"judiokeefe@yahoo.com")</f>
        <v>judiokeefe@yahoo.com</v>
      </c>
      <c r="C1705" s="9" t="str">
        <f ca="1">IFERROR(__xludf.DUMMYFUNCTION("""COMPUTED_VALUE"""),"EVERGREEN - UAN Gated Content - Embedded Petition")</f>
        <v>EVERGREEN - UAN Gated Content - Embedded Petition</v>
      </c>
      <c r="D1705" s="10">
        <f ca="1">IFERROR(__xludf.DUMMYFUNCTION("""COMPUTED_VALUE"""),45616)</f>
        <v>45616</v>
      </c>
      <c r="E1705" s="1" t="str">
        <f ca="1">IFERROR(__xludf.DUMMYFUNCTION("""COMPUTED_VALUE"""),"Iran")</f>
        <v>Iran</v>
      </c>
      <c r="F1705" s="1" t="str">
        <f ca="1">IFERROR(__xludf.DUMMYFUNCTION("""COMPUTED_VALUE"""),"Seventh 103.22 Iran")</f>
        <v>Seventh 103.22 Iran</v>
      </c>
      <c r="G1705" s="1" t="str">
        <f ca="1">IFERROR(__xludf.DUMMYFUNCTION("""COMPUTED_VALUE"""),"Death Penalty, Freedom of Expression, Individuals At Risk")</f>
        <v>Death Penalty, Freedom of Expression, Individuals At Risk</v>
      </c>
      <c r="H1705" s="1" t="str">
        <f ca="1">IFERROR(__xludf.DUMMYFUNCTION("""COMPUTED_VALUE"""),"2024")</f>
        <v>2024</v>
      </c>
      <c r="I1705" s="1" t="str">
        <f ca="1">IFERROR(__xludf.DUMMYFUNCTION("""COMPUTED_VALUE"""),"Email")</f>
        <v>Email</v>
      </c>
    </row>
    <row r="1706" spans="1:9" ht="13" x14ac:dyDescent="0.15">
      <c r="A1706" s="9">
        <f ca="1">IFERROR(__xludf.DUMMYFUNCTION("""COMPUTED_VALUE"""),194687454)</f>
        <v>194687454</v>
      </c>
      <c r="B1706" s="1" t="str">
        <f ca="1">IFERROR(__xludf.DUMMYFUNCTION("""COMPUTED_VALUE"""),"judiokeefe@yahoo.com")</f>
        <v>judiokeefe@yahoo.com</v>
      </c>
      <c r="C1706" s="9" t="str">
        <f ca="1">IFERROR(__xludf.DUMMYFUNCTION("""COMPUTED_VALUE"""),"EVERGREEN - UAN Gated Content - Embedded Petition")</f>
        <v>EVERGREEN - UAN Gated Content - Embedded Petition</v>
      </c>
      <c r="D1706" s="10">
        <f ca="1">IFERROR(__xludf.DUMMYFUNCTION("""COMPUTED_VALUE"""),45694)</f>
        <v>45694</v>
      </c>
      <c r="E1706" s="1" t="str">
        <f ca="1">IFERROR(__xludf.DUMMYFUNCTION("""COMPUTED_VALUE"""),"Venezuela")</f>
        <v>Venezuela</v>
      </c>
      <c r="F1706" s="1" t="str">
        <f ca="1">IFERROR(__xludf.DUMMYFUNCTION("""COMPUTED_VALUE"""),"1.25 Venezuela")</f>
        <v>1.25 Venezuela</v>
      </c>
      <c r="G1706" s="1" t="str">
        <f ca="1">IFERROR(__xludf.DUMMYFUNCTION("""COMPUTED_VALUE"""),"Human Rights Defenders, Individuals At Risk")</f>
        <v>Human Rights Defenders, Individuals At Risk</v>
      </c>
      <c r="H1706" s="1" t="str">
        <f ca="1">IFERROR(__xludf.DUMMYFUNCTION("""COMPUTED_VALUE"""),"2025")</f>
        <v>2025</v>
      </c>
      <c r="I1706" s="1" t="str">
        <f ca="1">IFERROR(__xludf.DUMMYFUNCTION("""COMPUTED_VALUE"""),"Letter")</f>
        <v>Letter</v>
      </c>
    </row>
    <row r="1707" spans="1:9" ht="13" x14ac:dyDescent="0.15">
      <c r="A1707" s="9">
        <f ca="1">IFERROR(__xludf.DUMMYFUNCTION("""COMPUTED_VALUE"""),194687454)</f>
        <v>194687454</v>
      </c>
      <c r="B1707" s="1" t="str">
        <f ca="1">IFERROR(__xludf.DUMMYFUNCTION("""COMPUTED_VALUE"""),"judiokeefe@yahoo.com")</f>
        <v>judiokeefe@yahoo.com</v>
      </c>
      <c r="C1707" s="9" t="str">
        <f ca="1">IFERROR(__xludf.DUMMYFUNCTION("""COMPUTED_VALUE"""),"EVERGREEN - UAN Gated Content - Embedded Petition")</f>
        <v>EVERGREEN - UAN Gated Content - Embedded Petition</v>
      </c>
      <c r="D1707" s="10">
        <f ca="1">IFERROR(__xludf.DUMMYFUNCTION("""COMPUTED_VALUE"""),45638)</f>
        <v>45638</v>
      </c>
      <c r="E1707" s="1" t="str">
        <f ca="1">IFERROR(__xludf.DUMMYFUNCTION("""COMPUTED_VALUE"""),"Tunisia")</f>
        <v>Tunisia</v>
      </c>
      <c r="F1707" s="1" t="str">
        <f ca="1">IFERROR(__xludf.DUMMYFUNCTION("""COMPUTED_VALUE"""),"Second 76.24 Tunisia")</f>
        <v>Second 76.24 Tunisia</v>
      </c>
      <c r="G1707" s="1" t="str">
        <f ca="1">IFERROR(__xludf.DUMMYFUNCTION("""COMPUTED_VALUE"""),"Freedom of Expression, Human Rights Defenders")</f>
        <v>Freedom of Expression, Human Rights Defenders</v>
      </c>
      <c r="H1707" s="1" t="str">
        <f ca="1">IFERROR(__xludf.DUMMYFUNCTION("""COMPUTED_VALUE"""),"2025")</f>
        <v>2025</v>
      </c>
      <c r="I1707" s="1" t="str">
        <f ca="1">IFERROR(__xludf.DUMMYFUNCTION("""COMPUTED_VALUE"""),"Email")</f>
        <v>Email</v>
      </c>
    </row>
    <row r="1708" spans="1:9" ht="13" x14ac:dyDescent="0.15">
      <c r="A1708" s="9">
        <f ca="1">IFERROR(__xludf.DUMMYFUNCTION("""COMPUTED_VALUE"""),194687454)</f>
        <v>194687454</v>
      </c>
      <c r="B1708" s="1" t="str">
        <f ca="1">IFERROR(__xludf.DUMMYFUNCTION("""COMPUTED_VALUE"""),"judiokeefe@yahoo.com")</f>
        <v>judiokeefe@yahoo.com</v>
      </c>
      <c r="C1708" s="9" t="str">
        <f ca="1">IFERROR(__xludf.DUMMYFUNCTION("""COMPUTED_VALUE"""),"EVERGREEN - Website Email Capture Form - UAN Pre-Footer")</f>
        <v>EVERGREEN - Website Email Capture Form - UAN Pre-Footer</v>
      </c>
      <c r="D1708" s="10">
        <f ca="1">IFERROR(__xludf.DUMMYFUNCTION("""COMPUTED_VALUE"""),45616)</f>
        <v>45616</v>
      </c>
      <c r="E1708" s="1" t="str">
        <f ca="1">IFERROR(__xludf.DUMMYFUNCTION("""COMPUTED_VALUE"""),"Egypt")</f>
        <v>Egypt</v>
      </c>
      <c r="F1708" s="1" t="str">
        <f ca="1">IFERROR(__xludf.DUMMYFUNCTION("""COMPUTED_VALUE"""),"Third 73.23 Egypt")</f>
        <v>Third 73.23 Egypt</v>
      </c>
      <c r="G1708" s="1" t="str">
        <f ca="1">IFERROR(__xludf.DUMMYFUNCTION("""COMPUTED_VALUE"""),"Individuals At Risk")</f>
        <v>Individuals At Risk</v>
      </c>
      <c r="H1708" s="1" t="str">
        <f ca="1">IFERROR(__xludf.DUMMYFUNCTION("""COMPUTED_VALUE"""),"2024")</f>
        <v>2024</v>
      </c>
      <c r="I1708" s="1" t="str">
        <f ca="1">IFERROR(__xludf.DUMMYFUNCTION("""COMPUTED_VALUE"""),"Email")</f>
        <v>Email</v>
      </c>
    </row>
    <row r="1709" spans="1:9" ht="13" x14ac:dyDescent="0.15">
      <c r="A1709" s="9">
        <f ca="1">IFERROR(__xludf.DUMMYFUNCTION("""COMPUTED_VALUE"""),195443226)</f>
        <v>195443226</v>
      </c>
      <c r="B1709" s="1" t="str">
        <f ca="1">IFERROR(__xludf.DUMMYFUNCTION("""COMPUTED_VALUE"""),"jagsingh@comast.net")</f>
        <v>jagsingh@comast.net</v>
      </c>
      <c r="C1709" s="9" t="str">
        <f ca="1">IFERROR(__xludf.DUMMYFUNCTION("""COMPUTED_VALUE"""),"UAN mid-page Lightbox - Step 1 of 4 - Landing Page")</f>
        <v>UAN mid-page Lightbox - Step 1 of 4 - Landing Page</v>
      </c>
      <c r="D1709" s="10">
        <f ca="1">IFERROR(__xludf.DUMMYFUNCTION("""COMPUTED_VALUE"""),45631)</f>
        <v>45631</v>
      </c>
      <c r="E1709" s="1" t="str">
        <f ca="1">IFERROR(__xludf.DUMMYFUNCTION("""COMPUTED_VALUE"""),"Niger")</f>
        <v>Niger</v>
      </c>
      <c r="F1709" s="1" t="str">
        <f ca="1">IFERROR(__xludf.DUMMYFUNCTION("""COMPUTED_VALUE"""),"103.24 Niger")</f>
        <v>103.24 Niger</v>
      </c>
      <c r="G1709" s="1" t="str">
        <f ca="1">IFERROR(__xludf.DUMMYFUNCTION("""COMPUTED_VALUE"""),"Freedom of Expression, Human Rights Defenders")</f>
        <v>Freedom of Expression, Human Rights Defenders</v>
      </c>
      <c r="H1709" s="1" t="str">
        <f ca="1">IFERROR(__xludf.DUMMYFUNCTION("""COMPUTED_VALUE"""),"2024")</f>
        <v>2024</v>
      </c>
      <c r="I1709" s="1" t="str">
        <f ca="1">IFERROR(__xludf.DUMMYFUNCTION("""COMPUTED_VALUE"""),"Email")</f>
        <v>Email</v>
      </c>
    </row>
    <row r="1710" spans="1:9" ht="13" x14ac:dyDescent="0.15">
      <c r="A1710" s="9">
        <f ca="1">IFERROR(__xludf.DUMMYFUNCTION("""COMPUTED_VALUE"""),195443226)</f>
        <v>195443226</v>
      </c>
      <c r="B1710" s="1" t="str">
        <f ca="1">IFERROR(__xludf.DUMMYFUNCTION("""COMPUTED_VALUE"""),"jagsingh@comast.net")</f>
        <v>jagsingh@comast.net</v>
      </c>
      <c r="C1710" s="9" t="str">
        <f ca="1">IFERROR(__xludf.DUMMYFUNCTION("""COMPUTED_VALUE"""),"UAN mid-page Lightbox - Step 2 of 4 - More personal info fields")</f>
        <v>UAN mid-page Lightbox - Step 2 of 4 - More personal info fields</v>
      </c>
      <c r="D1710" s="10">
        <f ca="1">IFERROR(__xludf.DUMMYFUNCTION("""COMPUTED_VALUE"""),45631)</f>
        <v>45631</v>
      </c>
      <c r="E1710" s="1" t="str">
        <f ca="1">IFERROR(__xludf.DUMMYFUNCTION("""COMPUTED_VALUE"""),"Egypt")</f>
        <v>Egypt</v>
      </c>
      <c r="F1710" s="1" t="str">
        <f ca="1">IFERROR(__xludf.DUMMYFUNCTION("""COMPUTED_VALUE"""),"Ninth 190.18 Egypt")</f>
        <v>Ninth 190.18 Egypt</v>
      </c>
      <c r="G1710" s="1" t="str">
        <f ca="1">IFERROR(__xludf.DUMMYFUNCTION("""COMPUTED_VALUE"""),"Freedom of Expression, Individuals At Risk")</f>
        <v>Freedom of Expression, Individuals At Risk</v>
      </c>
      <c r="H1710" s="1" t="str">
        <f ca="1">IFERROR(__xludf.DUMMYFUNCTION("""COMPUTED_VALUE"""),"2024")</f>
        <v>2024</v>
      </c>
      <c r="I1710" s="1" t="str">
        <f ca="1">IFERROR(__xludf.DUMMYFUNCTION("""COMPUTED_VALUE"""),"Letter")</f>
        <v>Letter</v>
      </c>
    </row>
    <row r="1711" spans="1:9" ht="13" x14ac:dyDescent="0.15">
      <c r="A1711" s="9">
        <f ca="1">IFERROR(__xludf.DUMMYFUNCTION("""COMPUTED_VALUE"""),195443226)</f>
        <v>195443226</v>
      </c>
      <c r="B1711" s="1" t="str">
        <f ca="1">IFERROR(__xludf.DUMMYFUNCTION("""COMPUTED_VALUE"""),"jagsingh@comast.net")</f>
        <v>jagsingh@comast.net</v>
      </c>
      <c r="C1711" s="9" t="str">
        <f ca="1">IFERROR(__xludf.DUMMYFUNCTION("""COMPUTED_VALUE"""),"UAN mid-page Lightbox - Step 3 of 4 - More opt-ins")</f>
        <v>UAN mid-page Lightbox - Step 3 of 4 - More opt-ins</v>
      </c>
      <c r="D1711" s="10">
        <f ca="1">IFERROR(__xludf.DUMMYFUNCTION("""COMPUTED_VALUE"""),45631)</f>
        <v>45631</v>
      </c>
      <c r="E1711" s="1" t="str">
        <f ca="1">IFERROR(__xludf.DUMMYFUNCTION("""COMPUTED_VALUE"""),"Tunisia")</f>
        <v>Tunisia</v>
      </c>
      <c r="F1711" s="1" t="str">
        <f ca="1">IFERROR(__xludf.DUMMYFUNCTION("""COMPUTED_VALUE"""),"Second 43.24 Tunisia")</f>
        <v>Second 43.24 Tunisia</v>
      </c>
      <c r="G1711" s="1" t="str">
        <f ca="1">IFERROR(__xludf.DUMMYFUNCTION("""COMPUTED_VALUE"""),"Freedom of Expression, Individuals At Risk")</f>
        <v>Freedom of Expression, Individuals At Risk</v>
      </c>
      <c r="H1711" s="1" t="str">
        <f ca="1">IFERROR(__xludf.DUMMYFUNCTION("""COMPUTED_VALUE"""),"2024")</f>
        <v>2024</v>
      </c>
      <c r="I1711" s="1" t="str">
        <f ca="1">IFERROR(__xludf.DUMMYFUNCTION("""COMPUTED_VALUE"""),"Email")</f>
        <v>Email</v>
      </c>
    </row>
    <row r="1712" spans="1:9" ht="13" x14ac:dyDescent="0.15">
      <c r="A1712" s="9">
        <f ca="1">IFERROR(__xludf.DUMMYFUNCTION("""COMPUTED_VALUE"""),196580510)</f>
        <v>196580510</v>
      </c>
      <c r="B1712" s="1" t="str">
        <f ca="1">IFERROR(__xludf.DUMMYFUNCTION("""COMPUTED_VALUE"""),"diane.rosenblum@gmail.com")</f>
        <v>diane.rosenblum@gmail.com</v>
      </c>
      <c r="C1712" s="9" t="str">
        <f ca="1">IFERROR(__xludf.DUMMYFUNCTION("""COMPUTED_VALUE"""),"EVERGREEN - UAN Gated Content - Embedded Petition")</f>
        <v>EVERGREEN - UAN Gated Content - Embedded Petition</v>
      </c>
      <c r="D1712" s="10">
        <f ca="1">IFERROR(__xludf.DUMMYFUNCTION("""COMPUTED_VALUE"""),45669)</f>
        <v>45669</v>
      </c>
      <c r="E1712" s="1" t="str">
        <f ca="1">IFERROR(__xludf.DUMMYFUNCTION("""COMPUTED_VALUE"""),"Israel and Occupied Palestinian Territories")</f>
        <v>Israel and Occupied Palestinian Territories</v>
      </c>
      <c r="F1712" s="1" t="str">
        <f ca="1">IFERROR(__xludf.DUMMYFUNCTION("""COMPUTED_VALUE"""),"3.25 IOPT")</f>
        <v>3.25 IOPT</v>
      </c>
      <c r="G1712" s="1" t="str">
        <f ca="1">IFERROR(__xludf.DUMMYFUNCTION("""COMPUTED_VALUE"""),"Freedom of Expression, Individuals At Risk")</f>
        <v>Freedom of Expression, Individuals At Risk</v>
      </c>
      <c r="H1712" s="1" t="str">
        <f ca="1">IFERROR(__xludf.DUMMYFUNCTION("""COMPUTED_VALUE"""),"2025")</f>
        <v>2025</v>
      </c>
      <c r="I1712" s="1" t="str">
        <f ca="1">IFERROR(__xludf.DUMMYFUNCTION("""COMPUTED_VALUE"""),"Email")</f>
        <v>Email</v>
      </c>
    </row>
    <row r="1713" spans="1:9" ht="13" x14ac:dyDescent="0.15">
      <c r="A1713" s="9">
        <f ca="1">IFERROR(__xludf.DUMMYFUNCTION("""COMPUTED_VALUE"""),197076156)</f>
        <v>197076156</v>
      </c>
      <c r="B1713" s="1" t="str">
        <f ca="1">IFERROR(__xludf.DUMMYFUNCTION("""COMPUTED_VALUE"""),"aclu@ricks-cafe.net")</f>
        <v>aclu@ricks-cafe.net</v>
      </c>
      <c r="C1713" s="9" t="str">
        <f ca="1">IFERROR(__xludf.DUMMYFUNCTION("""COMPUTED_VALUE"""),"EVERGREEN - UAN Gated Content - Embedded Petition")</f>
        <v>EVERGREEN - UAN Gated Content - Embedded Petition</v>
      </c>
      <c r="D1713" s="10">
        <f ca="1">IFERROR(__xludf.DUMMYFUNCTION("""COMPUTED_VALUE"""),45674)</f>
        <v>45674</v>
      </c>
      <c r="E1713" s="1" t="str">
        <f ca="1">IFERROR(__xludf.DUMMYFUNCTION("""COMPUTED_VALUE"""),"Israel and Occupied Palestinian Territories")</f>
        <v>Israel and Occupied Palestinian Territories</v>
      </c>
      <c r="F1713" s="1" t="str">
        <f ca="1">IFERROR(__xludf.DUMMYFUNCTION("""COMPUTED_VALUE"""),"3.25 IOPT")</f>
        <v>3.25 IOPT</v>
      </c>
      <c r="G1713" s="1" t="str">
        <f ca="1">IFERROR(__xludf.DUMMYFUNCTION("""COMPUTED_VALUE"""),"Freedom of Expression, Individuals At Risk")</f>
        <v>Freedom of Expression, Individuals At Risk</v>
      </c>
      <c r="H1713" s="1" t="str">
        <f ca="1">IFERROR(__xludf.DUMMYFUNCTION("""COMPUTED_VALUE"""),"2025")</f>
        <v>2025</v>
      </c>
      <c r="I1713" s="1" t="str">
        <f ca="1">IFERROR(__xludf.DUMMYFUNCTION("""COMPUTED_VALUE"""),"Email")</f>
        <v>Email</v>
      </c>
    </row>
    <row r="1714" spans="1:9" ht="13" x14ac:dyDescent="0.15">
      <c r="A1714" s="9">
        <f ca="1">IFERROR(__xludf.DUMMYFUNCTION("""COMPUTED_VALUE"""),197703120)</f>
        <v>197703120</v>
      </c>
      <c r="B1714" s="1" t="str">
        <f ca="1">IFERROR(__xludf.DUMMYFUNCTION("""COMPUTED_VALUE"""),"catherine.clemo@gmail.com")</f>
        <v>catherine.clemo@gmail.com</v>
      </c>
      <c r="C1714" s="9" t="str">
        <f ca="1">IFERROR(__xludf.DUMMYFUNCTION("""COMPUTED_VALUE"""),"EVERGREEN - UAN Gated Content - Embedded Petition")</f>
        <v>EVERGREEN - UAN Gated Content - Embedded Petition</v>
      </c>
      <c r="D1714" s="10">
        <f ca="1">IFERROR(__xludf.DUMMYFUNCTION("""COMPUTED_VALUE"""),45700)</f>
        <v>45700</v>
      </c>
      <c r="E1714" s="1" t="str">
        <f ca="1">IFERROR(__xludf.DUMMYFUNCTION("""COMPUTED_VALUE"""),"USA")</f>
        <v>USA</v>
      </c>
      <c r="F1714" s="1" t="str">
        <f ca="1">IFERROR(__xludf.DUMMYFUNCTION("""COMPUTED_VALUE"""),"4.25 USA")</f>
        <v>4.25 USA</v>
      </c>
      <c r="G1714" s="1" t="str">
        <f ca="1">IFERROR(__xludf.DUMMYFUNCTION("""COMPUTED_VALUE"""),"Individuals At Risk, Refugee and Migrant Rights")</f>
        <v>Individuals At Risk, Refugee and Migrant Rights</v>
      </c>
      <c r="H1714" s="1" t="str">
        <f ca="1">IFERROR(__xludf.DUMMYFUNCTION("""COMPUTED_VALUE"""),"2025")</f>
        <v>2025</v>
      </c>
      <c r="I1714" s="1" t="str">
        <f ca="1">IFERROR(__xludf.DUMMYFUNCTION("""COMPUTED_VALUE"""),"Letter")</f>
        <v>Letter</v>
      </c>
    </row>
    <row r="1715" spans="1:9" ht="13" x14ac:dyDescent="0.15">
      <c r="A1715" s="9">
        <f ca="1">IFERROR(__xludf.DUMMYFUNCTION("""COMPUTED_VALUE"""),197877512)</f>
        <v>197877512</v>
      </c>
      <c r="B1715" s="1" t="str">
        <f ca="1">IFERROR(__xludf.DUMMYFUNCTION("""COMPUTED_VALUE"""),"oldtimeradio@riseup.net")</f>
        <v>oldtimeradio@riseup.net</v>
      </c>
      <c r="C1715" s="9" t="str">
        <f ca="1">IFERROR(__xludf.DUMMYFUNCTION("""COMPUTED_VALUE"""),"EVERGREEN - UAN Gated Content - Embedded Petition")</f>
        <v>EVERGREEN - UAN Gated Content - Embedded Petition</v>
      </c>
      <c r="D1715" s="10">
        <f ca="1">IFERROR(__xludf.DUMMYFUNCTION("""COMPUTED_VALUE"""),45695)</f>
        <v>45695</v>
      </c>
      <c r="E1715" s="1" t="str">
        <f ca="1">IFERROR(__xludf.DUMMYFUNCTION("""COMPUTED_VALUE"""),"Israel and Occupied Palestinian Territories")</f>
        <v>Israel and Occupied Palestinian Territories</v>
      </c>
      <c r="F1715" s="1" t="str">
        <f ca="1">IFERROR(__xludf.DUMMYFUNCTION("""COMPUTED_VALUE"""),"3.25 IOPT")</f>
        <v>3.25 IOPT</v>
      </c>
      <c r="G1715" s="1" t="str">
        <f ca="1">IFERROR(__xludf.DUMMYFUNCTION("""COMPUTED_VALUE"""),"Freedom of Expression, Individuals At Risk")</f>
        <v>Freedom of Expression, Individuals At Risk</v>
      </c>
      <c r="H1715" s="1" t="str">
        <f ca="1">IFERROR(__xludf.DUMMYFUNCTION("""COMPUTED_VALUE"""),"2025")</f>
        <v>2025</v>
      </c>
      <c r="I1715" s="1" t="str">
        <f ca="1">IFERROR(__xludf.DUMMYFUNCTION("""COMPUTED_VALUE"""),"Email")</f>
        <v>Email</v>
      </c>
    </row>
    <row r="1716" spans="1:9" ht="13" x14ac:dyDescent="0.15">
      <c r="A1716" s="9">
        <f ca="1">IFERROR(__xludf.DUMMYFUNCTION("""COMPUTED_VALUE"""),197883238)</f>
        <v>197883238</v>
      </c>
      <c r="B1716" s="1" t="str">
        <f ca="1">IFERROR(__xludf.DUMMYFUNCTION("""COMPUTED_VALUE"""),"world1livemtg@gmail.com")</f>
        <v>world1livemtg@gmail.com</v>
      </c>
      <c r="C1716" s="9" t="str">
        <f ca="1">IFERROR(__xludf.DUMMYFUNCTION("""COMPUTED_VALUE"""),"EVERGREEN - UAN Gated Content - Embedded Petition")</f>
        <v>EVERGREEN - UAN Gated Content - Embedded Petition</v>
      </c>
      <c r="D1716" s="10">
        <f ca="1">IFERROR(__xludf.DUMMYFUNCTION("""COMPUTED_VALUE"""),45680)</f>
        <v>45680</v>
      </c>
      <c r="E1716" s="1" t="str">
        <f ca="1">IFERROR(__xludf.DUMMYFUNCTION("""COMPUTED_VALUE"""),"USA")</f>
        <v>USA</v>
      </c>
      <c r="F1716" s="1" t="str">
        <f ca="1">IFERROR(__xludf.DUMMYFUNCTION("""COMPUTED_VALUE"""),"4.25 USA")</f>
        <v>4.25 USA</v>
      </c>
      <c r="G1716" s="1" t="str">
        <f ca="1">IFERROR(__xludf.DUMMYFUNCTION("""COMPUTED_VALUE"""),"Individuals At Risk, Refugee and Migrant Rights")</f>
        <v>Individuals At Risk, Refugee and Migrant Rights</v>
      </c>
      <c r="H1716" s="1" t="str">
        <f ca="1">IFERROR(__xludf.DUMMYFUNCTION("""COMPUTED_VALUE"""),"2025")</f>
        <v>2025</v>
      </c>
      <c r="I1716" s="1" t="str">
        <f ca="1">IFERROR(__xludf.DUMMYFUNCTION("""COMPUTED_VALUE"""),"Letter")</f>
        <v>Letter</v>
      </c>
    </row>
    <row r="1717" spans="1:9" ht="13" x14ac:dyDescent="0.15">
      <c r="A1717" s="9">
        <f ca="1">IFERROR(__xludf.DUMMYFUNCTION("""COMPUTED_VALUE"""),198698033)</f>
        <v>198698033</v>
      </c>
      <c r="B1717" s="1" t="str">
        <f ca="1">IFERROR(__xludf.DUMMYFUNCTION("""COMPUTED_VALUE"""),"mfookson@gmail.com")</f>
        <v>mfookson@gmail.com</v>
      </c>
      <c r="C1717" s="9" t="str">
        <f ca="1">IFERROR(__xludf.DUMMYFUNCTION("""COMPUTED_VALUE"""),"EVERGREEN - UAN Gated Content - Embedded Petition")</f>
        <v>EVERGREEN - UAN Gated Content - Embedded Petition</v>
      </c>
      <c r="D1717" s="10">
        <f ca="1">IFERROR(__xludf.DUMMYFUNCTION("""COMPUTED_VALUE"""),45673)</f>
        <v>45673</v>
      </c>
      <c r="E1717" s="1" t="str">
        <f ca="1">IFERROR(__xludf.DUMMYFUNCTION("""COMPUTED_VALUE"""),"Tunisia")</f>
        <v>Tunisia</v>
      </c>
      <c r="F1717" s="1" t="str">
        <f ca="1">IFERROR(__xludf.DUMMYFUNCTION("""COMPUTED_VALUE"""),"Second 76.24 Tunisia")</f>
        <v>Second 76.24 Tunisia</v>
      </c>
      <c r="G1717" s="1" t="str">
        <f ca="1">IFERROR(__xludf.DUMMYFUNCTION("""COMPUTED_VALUE"""),"Freedom of Expression, Human Rights Defenders")</f>
        <v>Freedom of Expression, Human Rights Defenders</v>
      </c>
      <c r="H1717" s="1" t="str">
        <f ca="1">IFERROR(__xludf.DUMMYFUNCTION("""COMPUTED_VALUE"""),"2025")</f>
        <v>2025</v>
      </c>
      <c r="I1717" s="1" t="str">
        <f ca="1">IFERROR(__xludf.DUMMYFUNCTION("""COMPUTED_VALUE"""),"Email")</f>
        <v>Email</v>
      </c>
    </row>
    <row r="1718" spans="1:9" ht="13" x14ac:dyDescent="0.15">
      <c r="A1718" s="9">
        <f ca="1">IFERROR(__xludf.DUMMYFUNCTION("""COMPUTED_VALUE"""),199224208)</f>
        <v>199224208</v>
      </c>
      <c r="B1718" s="1" t="str">
        <f ca="1">IFERROR(__xludf.DUMMYFUNCTION("""COMPUTED_VALUE"""),"rp4rp@verizon.net")</f>
        <v>rp4rp@verizon.net</v>
      </c>
      <c r="C1718" s="9" t="str">
        <f ca="1">IFERROR(__xludf.DUMMYFUNCTION("""COMPUTED_VALUE"""),"EVERGREEN - UAN Gated Content - Embedded Petition")</f>
        <v>EVERGREEN - UAN Gated Content - Embedded Petition</v>
      </c>
      <c r="D1718" s="10">
        <f ca="1">IFERROR(__xludf.DUMMYFUNCTION("""COMPUTED_VALUE"""),45674)</f>
        <v>45674</v>
      </c>
      <c r="E1718" s="1" t="str">
        <f ca="1">IFERROR(__xludf.DUMMYFUNCTION("""COMPUTED_VALUE"""),"Israel and Occupied Palestinian Territories")</f>
        <v>Israel and Occupied Palestinian Territories</v>
      </c>
      <c r="F1718" s="1" t="str">
        <f ca="1">IFERROR(__xludf.DUMMYFUNCTION("""COMPUTED_VALUE"""),"3.25 IOPT")</f>
        <v>3.25 IOPT</v>
      </c>
      <c r="G1718" s="1" t="str">
        <f ca="1">IFERROR(__xludf.DUMMYFUNCTION("""COMPUTED_VALUE"""),"Freedom of Expression, Individuals At Risk")</f>
        <v>Freedom of Expression, Individuals At Risk</v>
      </c>
      <c r="H1718" s="1" t="str">
        <f ca="1">IFERROR(__xludf.DUMMYFUNCTION("""COMPUTED_VALUE"""),"2025")</f>
        <v>2025</v>
      </c>
      <c r="I1718" s="1" t="str">
        <f ca="1">IFERROR(__xludf.DUMMYFUNCTION("""COMPUTED_VALUE"""),"Email")</f>
        <v>Email</v>
      </c>
    </row>
    <row r="1719" spans="1:9" ht="13" x14ac:dyDescent="0.15">
      <c r="A1719" s="9">
        <f ca="1">IFERROR(__xludf.DUMMYFUNCTION("""COMPUTED_VALUE"""),199224208)</f>
        <v>199224208</v>
      </c>
      <c r="B1719" s="1" t="str">
        <f ca="1">IFERROR(__xludf.DUMMYFUNCTION("""COMPUTED_VALUE"""),"rp4rp@verizon.net")</f>
        <v>rp4rp@verizon.net</v>
      </c>
      <c r="C1719" s="9" t="str">
        <f ca="1">IFERROR(__xludf.DUMMYFUNCTION("""COMPUTED_VALUE"""),"EVERGREEN - UAN Gated Content - Embedded Petition")</f>
        <v>EVERGREEN - UAN Gated Content - Embedded Petition</v>
      </c>
      <c r="D1719" s="10">
        <f ca="1">IFERROR(__xludf.DUMMYFUNCTION("""COMPUTED_VALUE"""),45637)</f>
        <v>45637</v>
      </c>
      <c r="E1719" s="1" t="str">
        <f ca="1">IFERROR(__xludf.DUMMYFUNCTION("""COMPUTED_VALUE"""),"USA")</f>
        <v>USA</v>
      </c>
      <c r="F1719" s="1" t="str">
        <f ca="1">IFERROR(__xludf.DUMMYFUNCTION("""COMPUTED_VALUE"""),"105.24 USA")</f>
        <v>105.24 USA</v>
      </c>
      <c r="G1719" s="1" t="str">
        <f ca="1">IFERROR(__xludf.DUMMYFUNCTION("""COMPUTED_VALUE"""),"Death Penalty")</f>
        <v>Death Penalty</v>
      </c>
      <c r="H1719" s="1" t="str">
        <f ca="1">IFERROR(__xludf.DUMMYFUNCTION("""COMPUTED_VALUE"""),"2024")</f>
        <v>2024</v>
      </c>
      <c r="I1719" s="1" t="str">
        <f ca="1">IFERROR(__xludf.DUMMYFUNCTION("""COMPUTED_VALUE"""),"Email")</f>
        <v>Email</v>
      </c>
    </row>
    <row r="1720" spans="1:9" ht="13" x14ac:dyDescent="0.15">
      <c r="A1720" s="9">
        <f ca="1">IFERROR(__xludf.DUMMYFUNCTION("""COMPUTED_VALUE"""),199224208)</f>
        <v>199224208</v>
      </c>
      <c r="B1720" s="1" t="str">
        <f ca="1">IFERROR(__xludf.DUMMYFUNCTION("""COMPUTED_VALUE"""),"rp4rp@verizon.net")</f>
        <v>rp4rp@verizon.net</v>
      </c>
      <c r="C1720" s="9" t="str">
        <f ca="1">IFERROR(__xludf.DUMMYFUNCTION("""COMPUTED_VALUE"""),"EVERGREEN - UAN Gated Content - Embedded Petition")</f>
        <v>EVERGREEN - UAN Gated Content - Embedded Petition</v>
      </c>
      <c r="D1720" s="10">
        <f ca="1">IFERROR(__xludf.DUMMYFUNCTION("""COMPUTED_VALUE"""),45637)</f>
        <v>45637</v>
      </c>
      <c r="E1720" s="1" t="str">
        <f ca="1">IFERROR(__xludf.DUMMYFUNCTION("""COMPUTED_VALUE"""),"Egypt")</f>
        <v>Egypt</v>
      </c>
      <c r="F1720" s="1" t="str">
        <f ca="1">IFERROR(__xludf.DUMMYFUNCTION("""COMPUTED_VALUE"""),"Ninth 190.18 Egypt")</f>
        <v>Ninth 190.18 Egypt</v>
      </c>
      <c r="G1720" s="1" t="str">
        <f ca="1">IFERROR(__xludf.DUMMYFUNCTION("""COMPUTED_VALUE"""),"Freedom of Expression, Individuals At Risk")</f>
        <v>Freedom of Expression, Individuals At Risk</v>
      </c>
      <c r="H1720" s="1" t="str">
        <f ca="1">IFERROR(__xludf.DUMMYFUNCTION("""COMPUTED_VALUE"""),"2024")</f>
        <v>2024</v>
      </c>
      <c r="I1720" s="1" t="str">
        <f ca="1">IFERROR(__xludf.DUMMYFUNCTION("""COMPUTED_VALUE"""),"Letter")</f>
        <v>Letter</v>
      </c>
    </row>
    <row r="1721" spans="1:9" ht="13" x14ac:dyDescent="0.15">
      <c r="A1721" s="9">
        <f ca="1">IFERROR(__xludf.DUMMYFUNCTION("""COMPUTED_VALUE"""),200541701)</f>
        <v>200541701</v>
      </c>
      <c r="B1721" s="1" t="str">
        <f ca="1">IFERROR(__xludf.DUMMYFUNCTION("""COMPUTED_VALUE"""),"jillhamze@gmail.com")</f>
        <v>jillhamze@gmail.com</v>
      </c>
      <c r="C1721" s="9" t="str">
        <f ca="1">IFERROR(__xludf.DUMMYFUNCTION("""COMPUTED_VALUE"""),"EVERGREEN - UAN Gated Content - Embedded Petition")</f>
        <v>EVERGREEN - UAN Gated Content - Embedded Petition</v>
      </c>
      <c r="D1721" s="10">
        <f ca="1">IFERROR(__xludf.DUMMYFUNCTION("""COMPUTED_VALUE"""),45694)</f>
        <v>45694</v>
      </c>
      <c r="E1721" s="1" t="str">
        <f ca="1">IFERROR(__xludf.DUMMYFUNCTION("""COMPUTED_VALUE"""),"Venezuela")</f>
        <v>Venezuela</v>
      </c>
      <c r="F1721" s="1" t="str">
        <f ca="1">IFERROR(__xludf.DUMMYFUNCTION("""COMPUTED_VALUE"""),"97.24 Venezuela")</f>
        <v>97.24 Venezuela</v>
      </c>
      <c r="G1721" s="1" t="str">
        <f ca="1">IFERROR(__xludf.DUMMYFUNCTION("""COMPUTED_VALUE"""),"Freedom of Expression")</f>
        <v>Freedom of Expression</v>
      </c>
      <c r="H1721" s="1" t="str">
        <f ca="1">IFERROR(__xludf.DUMMYFUNCTION("""COMPUTED_VALUE"""),"2024")</f>
        <v>2024</v>
      </c>
      <c r="I1721" s="1" t="str">
        <f ca="1">IFERROR(__xludf.DUMMYFUNCTION("""COMPUTED_VALUE"""),"Letter")</f>
        <v>Letter</v>
      </c>
    </row>
    <row r="1722" spans="1:9" ht="13" x14ac:dyDescent="0.15">
      <c r="A1722" s="9">
        <f ca="1">IFERROR(__xludf.DUMMYFUNCTION("""COMPUTED_VALUE"""),200544077)</f>
        <v>200544077</v>
      </c>
      <c r="B1722" s="1" t="str">
        <f ca="1">IFERROR(__xludf.DUMMYFUNCTION("""COMPUTED_VALUE"""),"n.hughey623@gmail.com")</f>
        <v>n.hughey623@gmail.com</v>
      </c>
      <c r="C1722" s="9" t="str">
        <f ca="1">IFERROR(__xludf.DUMMYFUNCTION("""COMPUTED_VALUE"""),"EVERGREEN - UAN Gated Content - Embedded Petition")</f>
        <v>EVERGREEN - UAN Gated Content - Embedded Petition</v>
      </c>
      <c r="D1722" s="10">
        <f ca="1">IFERROR(__xludf.DUMMYFUNCTION("""COMPUTED_VALUE"""),45674)</f>
        <v>45674</v>
      </c>
      <c r="E1722" s="1" t="str">
        <f ca="1">IFERROR(__xludf.DUMMYFUNCTION("""COMPUTED_VALUE"""),"Turkiye")</f>
        <v>Turkiye</v>
      </c>
      <c r="F1722" s="1" t="str">
        <f ca="1">IFERROR(__xludf.DUMMYFUNCTION("""COMPUTED_VALUE"""),"109.24 Türkiye")</f>
        <v>109.24 Türkiye</v>
      </c>
      <c r="G1722" s="1" t="str">
        <f ca="1">IFERROR(__xludf.DUMMYFUNCTION("""COMPUTED_VALUE"""),"Human Rights Defenders, Individuals At Risk")</f>
        <v>Human Rights Defenders, Individuals At Risk</v>
      </c>
      <c r="H1722" s="1" t="str">
        <f ca="1">IFERROR(__xludf.DUMMYFUNCTION("""COMPUTED_VALUE"""),"2024")</f>
        <v>2024</v>
      </c>
      <c r="I1722" s="1" t="str">
        <f ca="1">IFERROR(__xludf.DUMMYFUNCTION("""COMPUTED_VALUE"""),"Email")</f>
        <v>Email</v>
      </c>
    </row>
    <row r="1723" spans="1:9" ht="13" x14ac:dyDescent="0.15">
      <c r="A1723" s="9">
        <f ca="1">IFERROR(__xludf.DUMMYFUNCTION("""COMPUTED_VALUE"""),200544077)</f>
        <v>200544077</v>
      </c>
      <c r="B1723" s="1" t="str">
        <f ca="1">IFERROR(__xludf.DUMMYFUNCTION("""COMPUTED_VALUE"""),"n.hughey623@gmail.com")</f>
        <v>n.hughey623@gmail.com</v>
      </c>
      <c r="C1723" s="9" t="str">
        <f ca="1">IFERROR(__xludf.DUMMYFUNCTION("""COMPUTED_VALUE"""),"EVERGREEN - UAN Gated Content - Embedded Petition")</f>
        <v>EVERGREEN - UAN Gated Content - Embedded Petition</v>
      </c>
      <c r="D1723" s="10">
        <f ca="1">IFERROR(__xludf.DUMMYFUNCTION("""COMPUTED_VALUE"""),45636)</f>
        <v>45636</v>
      </c>
      <c r="E1723" s="1" t="str">
        <f ca="1">IFERROR(__xludf.DUMMYFUNCTION("""COMPUTED_VALUE"""),"Iran")</f>
        <v>Iran</v>
      </c>
      <c r="F1723" s="1" t="str">
        <f ca="1">IFERROR(__xludf.DUMMYFUNCTION("""COMPUTED_VALUE"""),"Seventh 103.22 Iran")</f>
        <v>Seventh 103.22 Iran</v>
      </c>
      <c r="G1723" s="1" t="str">
        <f ca="1">IFERROR(__xludf.DUMMYFUNCTION("""COMPUTED_VALUE"""),"Death Penalty, Freedom of Expression, Individuals At Risk")</f>
        <v>Death Penalty, Freedom of Expression, Individuals At Risk</v>
      </c>
      <c r="H1723" s="1" t="str">
        <f ca="1">IFERROR(__xludf.DUMMYFUNCTION("""COMPUTED_VALUE"""),"2024")</f>
        <v>2024</v>
      </c>
      <c r="I1723" s="1" t="str">
        <f ca="1">IFERROR(__xludf.DUMMYFUNCTION("""COMPUTED_VALUE"""),"Email")</f>
        <v>Email</v>
      </c>
    </row>
    <row r="1724" spans="1:9" ht="13" x14ac:dyDescent="0.15">
      <c r="A1724" s="9">
        <f ca="1">IFERROR(__xludf.DUMMYFUNCTION("""COMPUTED_VALUE"""),200544077)</f>
        <v>200544077</v>
      </c>
      <c r="B1724" s="1" t="str">
        <f ca="1">IFERROR(__xludf.DUMMYFUNCTION("""COMPUTED_VALUE"""),"n.hughey623@gmail.com")</f>
        <v>n.hughey623@gmail.com</v>
      </c>
      <c r="C1724" s="9" t="str">
        <f ca="1">IFERROR(__xludf.DUMMYFUNCTION("""COMPUTED_VALUE"""),"EVERGREEN - UAN Gated Content - Embedded Petition")</f>
        <v>EVERGREEN - UAN Gated Content - Embedded Petition</v>
      </c>
      <c r="D1724" s="10">
        <f ca="1">IFERROR(__xludf.DUMMYFUNCTION("""COMPUTED_VALUE"""),45694)</f>
        <v>45694</v>
      </c>
      <c r="E1724" s="1" t="str">
        <f ca="1">IFERROR(__xludf.DUMMYFUNCTION("""COMPUTED_VALUE"""),"Iran")</f>
        <v>Iran</v>
      </c>
      <c r="F1724" s="1" t="str">
        <f ca="1">IFERROR(__xludf.DUMMYFUNCTION("""COMPUTED_VALUE"""),"101.24 Iran")</f>
        <v>101.24 Iran</v>
      </c>
      <c r="G1724" s="1" t="str">
        <f ca="1">IFERROR(__xludf.DUMMYFUNCTION("""COMPUTED_VALUE"""),"Death Penalty, Freedom of Expression, Individuals At Risk, Right to Protest")</f>
        <v>Death Penalty, Freedom of Expression, Individuals At Risk, Right to Protest</v>
      </c>
      <c r="H1724" s="1" t="str">
        <f ca="1">IFERROR(__xludf.DUMMYFUNCTION("""COMPUTED_VALUE"""),"2024")</f>
        <v>2024</v>
      </c>
      <c r="I1724" s="1" t="str">
        <f ca="1">IFERROR(__xludf.DUMMYFUNCTION("""COMPUTED_VALUE"""),"Email")</f>
        <v>Email</v>
      </c>
    </row>
    <row r="1725" spans="1:9" ht="13" x14ac:dyDescent="0.15">
      <c r="A1725" s="9">
        <f ca="1">IFERROR(__xludf.DUMMYFUNCTION("""COMPUTED_VALUE"""),200544077)</f>
        <v>200544077</v>
      </c>
      <c r="B1725" s="1" t="str">
        <f ca="1">IFERROR(__xludf.DUMMYFUNCTION("""COMPUTED_VALUE"""),"n.hughey623@gmail.com")</f>
        <v>n.hughey623@gmail.com</v>
      </c>
      <c r="C1725" s="9" t="str">
        <f ca="1">IFERROR(__xludf.DUMMYFUNCTION("""COMPUTED_VALUE"""),"EVERGREEN - UAN Gated Content - Embedded Petition")</f>
        <v>EVERGREEN - UAN Gated Content - Embedded Petition</v>
      </c>
      <c r="D1725" s="10">
        <f ca="1">IFERROR(__xludf.DUMMYFUNCTION("""COMPUTED_VALUE"""),45675)</f>
        <v>45675</v>
      </c>
      <c r="E1725" s="1" t="str">
        <f ca="1">IFERROR(__xludf.DUMMYFUNCTION("""COMPUTED_VALUE"""),"Turkiye")</f>
        <v>Turkiye</v>
      </c>
      <c r="F1725" s="1" t="str">
        <f ca="1">IFERROR(__xludf.DUMMYFUNCTION("""COMPUTED_VALUE"""),"Second 109.24 Türkiye")</f>
        <v>Second 109.24 Türkiye</v>
      </c>
      <c r="G1725" s="1" t="str">
        <f ca="1">IFERROR(__xludf.DUMMYFUNCTION("""COMPUTED_VALUE"""),"Human Rights Defenders")</f>
        <v>Human Rights Defenders</v>
      </c>
      <c r="H1725" s="1" t="str">
        <f ca="1">IFERROR(__xludf.DUMMYFUNCTION("""COMPUTED_VALUE"""),"2025")</f>
        <v>2025</v>
      </c>
      <c r="I1725" s="1" t="str">
        <f ca="1">IFERROR(__xludf.DUMMYFUNCTION("""COMPUTED_VALUE"""),"Email")</f>
        <v>Email</v>
      </c>
    </row>
    <row r="1726" spans="1:9" ht="13" x14ac:dyDescent="0.15">
      <c r="A1726" s="9">
        <f ca="1">IFERROR(__xludf.DUMMYFUNCTION("""COMPUTED_VALUE"""),200544077)</f>
        <v>200544077</v>
      </c>
      <c r="B1726" s="1" t="str">
        <f ca="1">IFERROR(__xludf.DUMMYFUNCTION("""COMPUTED_VALUE"""),"n.hughey623@gmail.com")</f>
        <v>n.hughey623@gmail.com</v>
      </c>
      <c r="C1726" s="9" t="str">
        <f ca="1">IFERROR(__xludf.DUMMYFUNCTION("""COMPUTED_VALUE"""),"EVERGREEN - UAN Gated Content - Embedded Petition")</f>
        <v>EVERGREEN - UAN Gated Content - Embedded Petition</v>
      </c>
      <c r="D1726" s="10">
        <f ca="1">IFERROR(__xludf.DUMMYFUNCTION("""COMPUTED_VALUE"""),45677)</f>
        <v>45677</v>
      </c>
      <c r="E1726" s="1" t="str">
        <f ca="1">IFERROR(__xludf.DUMMYFUNCTION("""COMPUTED_VALUE"""),"Israel and Occupied Palestinian Territories")</f>
        <v>Israel and Occupied Palestinian Territories</v>
      </c>
      <c r="F1726" s="1" t="str">
        <f ca="1">IFERROR(__xludf.DUMMYFUNCTION("""COMPUTED_VALUE"""),"3.25 IOPT")</f>
        <v>3.25 IOPT</v>
      </c>
      <c r="G1726" s="1" t="str">
        <f ca="1">IFERROR(__xludf.DUMMYFUNCTION("""COMPUTED_VALUE"""),"Freedom of Expression, Individuals At Risk")</f>
        <v>Freedom of Expression, Individuals At Risk</v>
      </c>
      <c r="H1726" s="1" t="str">
        <f ca="1">IFERROR(__xludf.DUMMYFUNCTION("""COMPUTED_VALUE"""),"2025")</f>
        <v>2025</v>
      </c>
      <c r="I1726" s="1" t="str">
        <f ca="1">IFERROR(__xludf.DUMMYFUNCTION("""COMPUTED_VALUE"""),"Email")</f>
        <v>Email</v>
      </c>
    </row>
    <row r="1727" spans="1:9" ht="13" x14ac:dyDescent="0.15">
      <c r="A1727" s="9">
        <f ca="1">IFERROR(__xludf.DUMMYFUNCTION("""COMPUTED_VALUE"""),200544077)</f>
        <v>200544077</v>
      </c>
      <c r="B1727" s="1" t="str">
        <f ca="1">IFERROR(__xludf.DUMMYFUNCTION("""COMPUTED_VALUE"""),"n.hughey623@gmail.com")</f>
        <v>n.hughey623@gmail.com</v>
      </c>
      <c r="C1727" s="9" t="str">
        <f ca="1">IFERROR(__xludf.DUMMYFUNCTION("""COMPUTED_VALUE"""),"EVERGREEN - UAN Gated Content - Embedded Petition")</f>
        <v>EVERGREEN - UAN Gated Content - Embedded Petition</v>
      </c>
      <c r="D1727" s="10">
        <f ca="1">IFERROR(__xludf.DUMMYFUNCTION("""COMPUTED_VALUE"""),45674)</f>
        <v>45674</v>
      </c>
      <c r="E1727" s="1" t="str">
        <f ca="1">IFERROR(__xludf.DUMMYFUNCTION("""COMPUTED_VALUE"""),"Tunisia")</f>
        <v>Tunisia</v>
      </c>
      <c r="F1727" s="1" t="str">
        <f ca="1">IFERROR(__xludf.DUMMYFUNCTION("""COMPUTED_VALUE"""),"Second 76.24 Tunisia")</f>
        <v>Second 76.24 Tunisia</v>
      </c>
      <c r="G1727" s="1" t="str">
        <f ca="1">IFERROR(__xludf.DUMMYFUNCTION("""COMPUTED_VALUE"""),"Freedom of Expression, Human Rights Defenders")</f>
        <v>Freedom of Expression, Human Rights Defenders</v>
      </c>
      <c r="H1727" s="1" t="str">
        <f ca="1">IFERROR(__xludf.DUMMYFUNCTION("""COMPUTED_VALUE"""),"2025")</f>
        <v>2025</v>
      </c>
      <c r="I1727" s="1" t="str">
        <f ca="1">IFERROR(__xludf.DUMMYFUNCTION("""COMPUTED_VALUE"""),"Email")</f>
        <v>Email</v>
      </c>
    </row>
    <row r="1728" spans="1:9" ht="13" x14ac:dyDescent="0.15">
      <c r="A1728" s="9">
        <f ca="1">IFERROR(__xludf.DUMMYFUNCTION("""COMPUTED_VALUE"""),200544077)</f>
        <v>200544077</v>
      </c>
      <c r="B1728" s="1" t="str">
        <f ca="1">IFERROR(__xludf.DUMMYFUNCTION("""COMPUTED_VALUE"""),"n.hughey623@gmail.com")</f>
        <v>n.hughey623@gmail.com</v>
      </c>
      <c r="C1728" s="9" t="str">
        <f ca="1">IFERROR(__xludf.DUMMYFUNCTION("""COMPUTED_VALUE"""),"EVERGREEN - UAN Gated Content - Embedded Petition")</f>
        <v>EVERGREEN - UAN Gated Content - Embedded Petition</v>
      </c>
      <c r="D1728" s="10">
        <f ca="1">IFERROR(__xludf.DUMMYFUNCTION("""COMPUTED_VALUE"""),45674)</f>
        <v>45674</v>
      </c>
      <c r="E1728" s="1" t="str">
        <f ca="1">IFERROR(__xludf.DUMMYFUNCTION("""COMPUTED_VALUE"""),"Israel and Occupied Palestinian Territories")</f>
        <v>Israel and Occupied Palestinian Territories</v>
      </c>
      <c r="F1728" s="1" t="str">
        <f ca="1">IFERROR(__xludf.DUMMYFUNCTION("""COMPUTED_VALUE"""),"3.25 IOPT")</f>
        <v>3.25 IOPT</v>
      </c>
      <c r="G1728" s="1" t="str">
        <f ca="1">IFERROR(__xludf.DUMMYFUNCTION("""COMPUTED_VALUE"""),"Freedom of Expression, Individuals At Risk")</f>
        <v>Freedom of Expression, Individuals At Risk</v>
      </c>
      <c r="H1728" s="1" t="str">
        <f ca="1">IFERROR(__xludf.DUMMYFUNCTION("""COMPUTED_VALUE"""),"2025")</f>
        <v>2025</v>
      </c>
      <c r="I1728" s="1" t="str">
        <f ca="1">IFERROR(__xludf.DUMMYFUNCTION("""COMPUTED_VALUE"""),"Email")</f>
        <v>Email</v>
      </c>
    </row>
    <row r="1729" spans="1:9" ht="13" x14ac:dyDescent="0.15">
      <c r="A1729" s="9">
        <f ca="1">IFERROR(__xludf.DUMMYFUNCTION("""COMPUTED_VALUE"""),200544077)</f>
        <v>200544077</v>
      </c>
      <c r="B1729" s="1" t="str">
        <f ca="1">IFERROR(__xludf.DUMMYFUNCTION("""COMPUTED_VALUE"""),"n.hughey623@gmail.com")</f>
        <v>n.hughey623@gmail.com</v>
      </c>
      <c r="C1729" s="9" t="str">
        <f ca="1">IFERROR(__xludf.DUMMYFUNCTION("""COMPUTED_VALUE"""),"EVERGREEN - UAN Gated Content - Embedded Petition")</f>
        <v>EVERGREEN - UAN Gated Content - Embedded Petition</v>
      </c>
      <c r="D1729" s="10">
        <f ca="1">IFERROR(__xludf.DUMMYFUNCTION("""COMPUTED_VALUE"""),45674)</f>
        <v>45674</v>
      </c>
      <c r="E1729" s="1" t="str">
        <f ca="1">IFERROR(__xludf.DUMMYFUNCTION("""COMPUTED_VALUE"""),"Tunisia")</f>
        <v>Tunisia</v>
      </c>
      <c r="F1729" s="1" t="str">
        <f ca="1">IFERROR(__xludf.DUMMYFUNCTION("""COMPUTED_VALUE"""),"Second 76.24 Tunisia")</f>
        <v>Second 76.24 Tunisia</v>
      </c>
      <c r="G1729" s="1" t="str">
        <f ca="1">IFERROR(__xludf.DUMMYFUNCTION("""COMPUTED_VALUE"""),"Freedom of Expression, Human Rights Defenders")</f>
        <v>Freedom of Expression, Human Rights Defenders</v>
      </c>
      <c r="H1729" s="1" t="str">
        <f ca="1">IFERROR(__xludf.DUMMYFUNCTION("""COMPUTED_VALUE"""),"2025")</f>
        <v>2025</v>
      </c>
      <c r="I1729" s="1" t="str">
        <f ca="1">IFERROR(__xludf.DUMMYFUNCTION("""COMPUTED_VALUE"""),"Email")</f>
        <v>Email</v>
      </c>
    </row>
    <row r="1730" spans="1:9" ht="13" x14ac:dyDescent="0.15">
      <c r="A1730" s="9">
        <f ca="1">IFERROR(__xludf.DUMMYFUNCTION("""COMPUTED_VALUE"""),200544077)</f>
        <v>200544077</v>
      </c>
      <c r="B1730" s="1" t="str">
        <f ca="1">IFERROR(__xludf.DUMMYFUNCTION("""COMPUTED_VALUE"""),"n.hughey623@gmail.com")</f>
        <v>n.hughey623@gmail.com</v>
      </c>
      <c r="C1730" s="9" t="str">
        <f ca="1">IFERROR(__xludf.DUMMYFUNCTION("""COMPUTED_VALUE"""),"EVERGREEN - UAN Gated Content - Embedded Petition")</f>
        <v>EVERGREEN - UAN Gated Content - Embedded Petition</v>
      </c>
      <c r="D1730" s="10">
        <f ca="1">IFERROR(__xludf.DUMMYFUNCTION("""COMPUTED_VALUE"""),45674)</f>
        <v>45674</v>
      </c>
      <c r="E1730" s="1" t="str">
        <f ca="1">IFERROR(__xludf.DUMMYFUNCTION("""COMPUTED_VALUE"""),"USA")</f>
        <v>USA</v>
      </c>
      <c r="F1730" s="1" t="str">
        <f ca="1">IFERROR(__xludf.DUMMYFUNCTION("""COMPUTED_VALUE"""),"4.25 USA")</f>
        <v>4.25 USA</v>
      </c>
      <c r="G1730" s="1" t="str">
        <f ca="1">IFERROR(__xludf.DUMMYFUNCTION("""COMPUTED_VALUE"""),"Individuals At Risk, Refugee and Migrant Rights")</f>
        <v>Individuals At Risk, Refugee and Migrant Rights</v>
      </c>
      <c r="H1730" s="1" t="str">
        <f ca="1">IFERROR(__xludf.DUMMYFUNCTION("""COMPUTED_VALUE"""),"2025")</f>
        <v>2025</v>
      </c>
      <c r="I1730" s="1" t="str">
        <f ca="1">IFERROR(__xludf.DUMMYFUNCTION("""COMPUTED_VALUE"""),"Letter")</f>
        <v>Letter</v>
      </c>
    </row>
    <row r="1731" spans="1:9" ht="13" x14ac:dyDescent="0.15">
      <c r="A1731" s="9">
        <f ca="1">IFERROR(__xludf.DUMMYFUNCTION("""COMPUTED_VALUE"""),200544077)</f>
        <v>200544077</v>
      </c>
      <c r="B1731" s="1" t="str">
        <f ca="1">IFERROR(__xludf.DUMMYFUNCTION("""COMPUTED_VALUE"""),"n.hughey623@gmail.com")</f>
        <v>n.hughey623@gmail.com</v>
      </c>
      <c r="C1731" s="9" t="str">
        <f ca="1">IFERROR(__xludf.DUMMYFUNCTION("""COMPUTED_VALUE"""),"EVERGREEN - UAN Gated Content - Embedded Petition")</f>
        <v>EVERGREEN - UAN Gated Content - Embedded Petition</v>
      </c>
      <c r="D1731" s="10">
        <f ca="1">IFERROR(__xludf.DUMMYFUNCTION("""COMPUTED_VALUE"""),45674)</f>
        <v>45674</v>
      </c>
      <c r="E1731" s="1" t="str">
        <f ca="1">IFERROR(__xludf.DUMMYFUNCTION("""COMPUTED_VALUE"""),"USA")</f>
        <v>USA</v>
      </c>
      <c r="F1731" s="1" t="str">
        <f ca="1">IFERROR(__xludf.DUMMYFUNCTION("""COMPUTED_VALUE"""),"105.24 USA")</f>
        <v>105.24 USA</v>
      </c>
      <c r="G1731" s="1" t="str">
        <f ca="1">IFERROR(__xludf.DUMMYFUNCTION("""COMPUTED_VALUE"""),"Death Penalty")</f>
        <v>Death Penalty</v>
      </c>
      <c r="H1731" s="1" t="str">
        <f ca="1">IFERROR(__xludf.DUMMYFUNCTION("""COMPUTED_VALUE"""),"2024")</f>
        <v>2024</v>
      </c>
      <c r="I1731" s="1" t="str">
        <f ca="1">IFERROR(__xludf.DUMMYFUNCTION("""COMPUTED_VALUE"""),"Email")</f>
        <v>Email</v>
      </c>
    </row>
    <row r="1732" spans="1:9" ht="13" x14ac:dyDescent="0.15">
      <c r="A1732" s="9">
        <f ca="1">IFERROR(__xludf.DUMMYFUNCTION("""COMPUTED_VALUE"""),200544077)</f>
        <v>200544077</v>
      </c>
      <c r="B1732" s="1" t="str">
        <f ca="1">IFERROR(__xludf.DUMMYFUNCTION("""COMPUTED_VALUE"""),"n.hughey623@gmail.com")</f>
        <v>n.hughey623@gmail.com</v>
      </c>
      <c r="C1732" s="9" t="str">
        <f ca="1">IFERROR(__xludf.DUMMYFUNCTION("""COMPUTED_VALUE"""),"EVERGREEN - UAN Gated Content - Embedded Petition")</f>
        <v>EVERGREEN - UAN Gated Content - Embedded Petition</v>
      </c>
      <c r="D1732" s="10">
        <f ca="1">IFERROR(__xludf.DUMMYFUNCTION("""COMPUTED_VALUE"""),45674)</f>
        <v>45674</v>
      </c>
      <c r="E1732" s="1" t="str">
        <f ca="1">IFERROR(__xludf.DUMMYFUNCTION("""COMPUTED_VALUE"""),"Tunisia")</f>
        <v>Tunisia</v>
      </c>
      <c r="F1732" s="1" t="str">
        <f ca="1">IFERROR(__xludf.DUMMYFUNCTION("""COMPUTED_VALUE"""),"Second 76.24 Tunisia")</f>
        <v>Second 76.24 Tunisia</v>
      </c>
      <c r="G1732" s="1" t="str">
        <f ca="1">IFERROR(__xludf.DUMMYFUNCTION("""COMPUTED_VALUE"""),"Freedom of Expression, Human Rights Defenders")</f>
        <v>Freedom of Expression, Human Rights Defenders</v>
      </c>
      <c r="H1732" s="1" t="str">
        <f ca="1">IFERROR(__xludf.DUMMYFUNCTION("""COMPUTED_VALUE"""),"2025")</f>
        <v>2025</v>
      </c>
      <c r="I1732" s="1" t="str">
        <f ca="1">IFERROR(__xludf.DUMMYFUNCTION("""COMPUTED_VALUE"""),"Email")</f>
        <v>Email</v>
      </c>
    </row>
    <row r="1733" spans="1:9" ht="13" x14ac:dyDescent="0.15">
      <c r="A1733" s="9">
        <f ca="1">IFERROR(__xludf.DUMMYFUNCTION("""COMPUTED_VALUE"""),200544077)</f>
        <v>200544077</v>
      </c>
      <c r="B1733" s="1" t="str">
        <f ca="1">IFERROR(__xludf.DUMMYFUNCTION("""COMPUTED_VALUE"""),"n.hughey623@gmail.com")</f>
        <v>n.hughey623@gmail.com</v>
      </c>
      <c r="C1733" s="9" t="str">
        <f ca="1">IFERROR(__xludf.DUMMYFUNCTION("""COMPUTED_VALUE"""),"EVERGREEN - UAN Gated Content - Embedded Petition")</f>
        <v>EVERGREEN - UAN Gated Content - Embedded Petition</v>
      </c>
      <c r="D1733" s="10">
        <f ca="1">IFERROR(__xludf.DUMMYFUNCTION("""COMPUTED_VALUE"""),45636)</f>
        <v>45636</v>
      </c>
      <c r="E1733" s="1" t="str">
        <f ca="1">IFERROR(__xludf.DUMMYFUNCTION("""COMPUTED_VALUE"""),"USA")</f>
        <v>USA</v>
      </c>
      <c r="F1733" s="1" t="str">
        <f ca="1">IFERROR(__xludf.DUMMYFUNCTION("""COMPUTED_VALUE"""),"96.24 USA")</f>
        <v>96.24 USA</v>
      </c>
      <c r="G1733" s="1" t="str">
        <f ca="1">IFERROR(__xludf.DUMMYFUNCTION("""COMPUTED_VALUE"""),"Death Penalty")</f>
        <v>Death Penalty</v>
      </c>
      <c r="H1733" s="1" t="str">
        <f ca="1">IFERROR(__xludf.DUMMYFUNCTION("""COMPUTED_VALUE"""),"2024")</f>
        <v>2024</v>
      </c>
      <c r="I1733" s="1" t="str">
        <f ca="1">IFERROR(__xludf.DUMMYFUNCTION("""COMPUTED_VALUE"""),"Email")</f>
        <v>Email</v>
      </c>
    </row>
    <row r="1734" spans="1:9" ht="13" x14ac:dyDescent="0.15">
      <c r="A1734" s="9">
        <f ca="1">IFERROR(__xludf.DUMMYFUNCTION("""COMPUTED_VALUE"""),200544077)</f>
        <v>200544077</v>
      </c>
      <c r="B1734" s="1" t="str">
        <f ca="1">IFERROR(__xludf.DUMMYFUNCTION("""COMPUTED_VALUE"""),"n.hughey623@gmail.com")</f>
        <v>n.hughey623@gmail.com</v>
      </c>
      <c r="C1734" s="9" t="str">
        <f ca="1">IFERROR(__xludf.DUMMYFUNCTION("""COMPUTED_VALUE"""),"EVERGREEN - UAN Gated Content - Embedded Petition")</f>
        <v>EVERGREEN - UAN Gated Content - Embedded Petition</v>
      </c>
      <c r="D1734" s="10">
        <f ca="1">IFERROR(__xludf.DUMMYFUNCTION("""COMPUTED_VALUE"""),45674)</f>
        <v>45674</v>
      </c>
      <c r="E1734" s="1" t="str">
        <f ca="1">IFERROR(__xludf.DUMMYFUNCTION("""COMPUTED_VALUE"""),"Iran")</f>
        <v>Iran</v>
      </c>
      <c r="F1734" s="1" t="str">
        <f ca="1">IFERROR(__xludf.DUMMYFUNCTION("""COMPUTED_VALUE"""),"Seventh 103.22 Iran")</f>
        <v>Seventh 103.22 Iran</v>
      </c>
      <c r="G1734" s="1" t="str">
        <f ca="1">IFERROR(__xludf.DUMMYFUNCTION("""COMPUTED_VALUE"""),"Death Penalty, Freedom of Expression, Individuals At Risk")</f>
        <v>Death Penalty, Freedom of Expression, Individuals At Risk</v>
      </c>
      <c r="H1734" s="1" t="str">
        <f ca="1">IFERROR(__xludf.DUMMYFUNCTION("""COMPUTED_VALUE"""),"2024")</f>
        <v>2024</v>
      </c>
      <c r="I1734" s="1" t="str">
        <f ca="1">IFERROR(__xludf.DUMMYFUNCTION("""COMPUTED_VALUE"""),"Email")</f>
        <v>Email</v>
      </c>
    </row>
    <row r="1735" spans="1:9" ht="13" x14ac:dyDescent="0.15">
      <c r="A1735" s="9">
        <f ca="1">IFERROR(__xludf.DUMMYFUNCTION("""COMPUTED_VALUE"""),200544077)</f>
        <v>200544077</v>
      </c>
      <c r="B1735" s="1" t="str">
        <f ca="1">IFERROR(__xludf.DUMMYFUNCTION("""COMPUTED_VALUE"""),"n.hughey623@gmail.com")</f>
        <v>n.hughey623@gmail.com</v>
      </c>
      <c r="C1735" s="9" t="str">
        <f ca="1">IFERROR(__xludf.DUMMYFUNCTION("""COMPUTED_VALUE"""),"EVERGREEN - UAN Gated Content - Embedded Petition")</f>
        <v>EVERGREEN - UAN Gated Content - Embedded Petition</v>
      </c>
      <c r="D1735" s="10">
        <f ca="1">IFERROR(__xludf.DUMMYFUNCTION("""COMPUTED_VALUE"""),45674)</f>
        <v>45674</v>
      </c>
      <c r="E1735" s="1" t="str">
        <f ca="1">IFERROR(__xludf.DUMMYFUNCTION("""COMPUTED_VALUE"""),"Niger")</f>
        <v>Niger</v>
      </c>
      <c r="F1735" s="1" t="str">
        <f ca="1">IFERROR(__xludf.DUMMYFUNCTION("""COMPUTED_VALUE"""),"103.24 Niger")</f>
        <v>103.24 Niger</v>
      </c>
      <c r="G1735" s="1" t="str">
        <f ca="1">IFERROR(__xludf.DUMMYFUNCTION("""COMPUTED_VALUE"""),"Freedom of Expression, Human Rights Defenders")</f>
        <v>Freedom of Expression, Human Rights Defenders</v>
      </c>
      <c r="H1735" s="1" t="str">
        <f ca="1">IFERROR(__xludf.DUMMYFUNCTION("""COMPUTED_VALUE"""),"2024")</f>
        <v>2024</v>
      </c>
      <c r="I1735" s="1" t="str">
        <f ca="1">IFERROR(__xludf.DUMMYFUNCTION("""COMPUTED_VALUE"""),"Email")</f>
        <v>Email</v>
      </c>
    </row>
    <row r="1736" spans="1:9" ht="13" x14ac:dyDescent="0.15">
      <c r="A1736" s="9">
        <f ca="1">IFERROR(__xludf.DUMMYFUNCTION("""COMPUTED_VALUE"""),200544077)</f>
        <v>200544077</v>
      </c>
      <c r="B1736" s="1" t="str">
        <f ca="1">IFERROR(__xludf.DUMMYFUNCTION("""COMPUTED_VALUE"""),"n.hughey623@gmail.com")</f>
        <v>n.hughey623@gmail.com</v>
      </c>
      <c r="C1736" s="9" t="str">
        <f ca="1">IFERROR(__xludf.DUMMYFUNCTION("""COMPUTED_VALUE"""),"EVERGREEN - UAN Gated Content - Embedded Petition")</f>
        <v>EVERGREEN - UAN Gated Content - Embedded Petition</v>
      </c>
      <c r="D1736" s="10">
        <f ca="1">IFERROR(__xludf.DUMMYFUNCTION("""COMPUTED_VALUE"""),45674)</f>
        <v>45674</v>
      </c>
      <c r="E1736" s="1" t="str">
        <f ca="1">IFERROR(__xludf.DUMMYFUNCTION("""COMPUTED_VALUE"""),"Azerbaijan")</f>
        <v>Azerbaijan</v>
      </c>
      <c r="F1736" s="1" t="str">
        <f ca="1">IFERROR(__xludf.DUMMYFUNCTION("""COMPUTED_VALUE"""),"2.25 Azerbaijan")</f>
        <v>2.25 Azerbaijan</v>
      </c>
      <c r="G1736" s="1" t="str">
        <f ca="1">IFERROR(__xludf.DUMMYFUNCTION("""COMPUTED_VALUE"""),"Freedom of Expression, Human Rights Defenders")</f>
        <v>Freedom of Expression, Human Rights Defenders</v>
      </c>
      <c r="H1736" s="1" t="str">
        <f ca="1">IFERROR(__xludf.DUMMYFUNCTION("""COMPUTED_VALUE"""),"2025")</f>
        <v>2025</v>
      </c>
      <c r="I1736" s="1" t="str">
        <f ca="1">IFERROR(__xludf.DUMMYFUNCTION("""COMPUTED_VALUE"""),"Email")</f>
        <v>Email</v>
      </c>
    </row>
    <row r="1737" spans="1:9" ht="13" x14ac:dyDescent="0.15">
      <c r="A1737" s="9">
        <f ca="1">IFERROR(__xludf.DUMMYFUNCTION("""COMPUTED_VALUE"""),200544077)</f>
        <v>200544077</v>
      </c>
      <c r="B1737" s="1" t="str">
        <f ca="1">IFERROR(__xludf.DUMMYFUNCTION("""COMPUTED_VALUE"""),"n.hughey623@gmail.com")</f>
        <v>n.hughey623@gmail.com</v>
      </c>
      <c r="C1737" s="9" t="str">
        <f ca="1">IFERROR(__xludf.DUMMYFUNCTION("""COMPUTED_VALUE"""),"EVERGREEN - UAN Gated Content - Embedded Petition")</f>
        <v>EVERGREEN - UAN Gated Content - Embedded Petition</v>
      </c>
      <c r="D1737" s="10">
        <f ca="1">IFERROR(__xludf.DUMMYFUNCTION("""COMPUTED_VALUE"""),45674)</f>
        <v>45674</v>
      </c>
      <c r="E1737" s="1" t="str">
        <f ca="1">IFERROR(__xludf.DUMMYFUNCTION("""COMPUTED_VALUE"""),"USA")</f>
        <v>USA</v>
      </c>
      <c r="F1737" s="1" t="str">
        <f ca="1">IFERROR(__xludf.DUMMYFUNCTION("""COMPUTED_VALUE"""),"Fourth 55.24 USA")</f>
        <v>Fourth 55.24 USA</v>
      </c>
      <c r="G1737" s="1" t="str">
        <f ca="1">IFERROR(__xludf.DUMMYFUNCTION("""COMPUTED_VALUE"""),"Climate Justice, Individuals At Risk")</f>
        <v>Climate Justice, Individuals At Risk</v>
      </c>
      <c r="H1737" s="1" t="str">
        <f ca="1">IFERROR(__xludf.DUMMYFUNCTION("""COMPUTED_VALUE"""),"2025")</f>
        <v>2025</v>
      </c>
      <c r="I1737" s="1" t="str">
        <f ca="1">IFERROR(__xludf.DUMMYFUNCTION("""COMPUTED_VALUE"""),"Email")</f>
        <v>Email</v>
      </c>
    </row>
    <row r="1738" spans="1:9" ht="13" x14ac:dyDescent="0.15">
      <c r="A1738" s="9">
        <f ca="1">IFERROR(__xludf.DUMMYFUNCTION("""COMPUTED_VALUE"""),200544077)</f>
        <v>200544077</v>
      </c>
      <c r="B1738" s="1" t="str">
        <f ca="1">IFERROR(__xludf.DUMMYFUNCTION("""COMPUTED_VALUE"""),"n.hughey623@gmail.com")</f>
        <v>n.hughey623@gmail.com</v>
      </c>
      <c r="C1738" s="9" t="str">
        <f ca="1">IFERROR(__xludf.DUMMYFUNCTION("""COMPUTED_VALUE"""),"EVERGREEN - UAN Gated Content - Embedded Petition")</f>
        <v>EVERGREEN - UAN Gated Content - Embedded Petition</v>
      </c>
      <c r="D1738" s="10">
        <f ca="1">IFERROR(__xludf.DUMMYFUNCTION("""COMPUTED_VALUE"""),45674)</f>
        <v>45674</v>
      </c>
      <c r="E1738" s="1" t="str">
        <f ca="1">IFERROR(__xludf.DUMMYFUNCTION("""COMPUTED_VALUE"""),"USA")</f>
        <v>USA</v>
      </c>
      <c r="F1738" s="1" t="str">
        <f ca="1">IFERROR(__xludf.DUMMYFUNCTION("""COMPUTED_VALUE"""),"4.25 USA")</f>
        <v>4.25 USA</v>
      </c>
      <c r="G1738" s="1" t="str">
        <f ca="1">IFERROR(__xludf.DUMMYFUNCTION("""COMPUTED_VALUE"""),"Individuals At Risk, Refugee and Migrant Rights")</f>
        <v>Individuals At Risk, Refugee and Migrant Rights</v>
      </c>
      <c r="H1738" s="1" t="str">
        <f ca="1">IFERROR(__xludf.DUMMYFUNCTION("""COMPUTED_VALUE"""),"2025")</f>
        <v>2025</v>
      </c>
      <c r="I1738" s="1" t="str">
        <f ca="1">IFERROR(__xludf.DUMMYFUNCTION("""COMPUTED_VALUE"""),"Letter")</f>
        <v>Letter</v>
      </c>
    </row>
    <row r="1739" spans="1:9" ht="13" x14ac:dyDescent="0.15">
      <c r="A1739" s="9">
        <f ca="1">IFERROR(__xludf.DUMMYFUNCTION("""COMPUTED_VALUE"""),200544077)</f>
        <v>200544077</v>
      </c>
      <c r="B1739" s="1" t="str">
        <f ca="1">IFERROR(__xludf.DUMMYFUNCTION("""COMPUTED_VALUE"""),"n.hughey623@gmail.com")</f>
        <v>n.hughey623@gmail.com</v>
      </c>
      <c r="C1739" s="9" t="str">
        <f ca="1">IFERROR(__xludf.DUMMYFUNCTION("""COMPUTED_VALUE"""),"EVERGREEN - UAN Gated Content - Embedded Petition")</f>
        <v>EVERGREEN - UAN Gated Content - Embedded Petition</v>
      </c>
      <c r="D1739" s="10">
        <f ca="1">IFERROR(__xludf.DUMMYFUNCTION("""COMPUTED_VALUE"""),45674)</f>
        <v>45674</v>
      </c>
      <c r="E1739" s="1" t="str">
        <f ca="1">IFERROR(__xludf.DUMMYFUNCTION("""COMPUTED_VALUE"""),"Tunisia")</f>
        <v>Tunisia</v>
      </c>
      <c r="F1739" s="1" t="str">
        <f ca="1">IFERROR(__xludf.DUMMYFUNCTION("""COMPUTED_VALUE"""),"Second 76.24 Tunisia")</f>
        <v>Second 76.24 Tunisia</v>
      </c>
      <c r="G1739" s="1" t="str">
        <f ca="1">IFERROR(__xludf.DUMMYFUNCTION("""COMPUTED_VALUE"""),"Freedom of Expression, Human Rights Defenders")</f>
        <v>Freedom of Expression, Human Rights Defenders</v>
      </c>
      <c r="H1739" s="1" t="str">
        <f ca="1">IFERROR(__xludf.DUMMYFUNCTION("""COMPUTED_VALUE"""),"2025")</f>
        <v>2025</v>
      </c>
      <c r="I1739" s="1" t="str">
        <f ca="1">IFERROR(__xludf.DUMMYFUNCTION("""COMPUTED_VALUE"""),"Email")</f>
        <v>Email</v>
      </c>
    </row>
    <row r="1740" spans="1:9" ht="13" x14ac:dyDescent="0.15">
      <c r="A1740" s="9">
        <f ca="1">IFERROR(__xludf.DUMMYFUNCTION("""COMPUTED_VALUE"""),200544077)</f>
        <v>200544077</v>
      </c>
      <c r="B1740" s="1" t="str">
        <f ca="1">IFERROR(__xludf.DUMMYFUNCTION("""COMPUTED_VALUE"""),"n.hughey623@gmail.com")</f>
        <v>n.hughey623@gmail.com</v>
      </c>
      <c r="C1740" s="9" t="str">
        <f ca="1">IFERROR(__xludf.DUMMYFUNCTION("""COMPUTED_VALUE"""),"EVERGREEN - UAN Gated Content - Embedded Petition")</f>
        <v>EVERGREEN - UAN Gated Content - Embedded Petition</v>
      </c>
      <c r="D1740" s="10">
        <f ca="1">IFERROR(__xludf.DUMMYFUNCTION("""COMPUTED_VALUE"""),45674)</f>
        <v>45674</v>
      </c>
      <c r="E1740" s="1" t="str">
        <f ca="1">IFERROR(__xludf.DUMMYFUNCTION("""COMPUTED_VALUE"""),"Tunisia")</f>
        <v>Tunisia</v>
      </c>
      <c r="F1740" s="1" t="str">
        <f ca="1">IFERROR(__xludf.DUMMYFUNCTION("""COMPUTED_VALUE"""),"Second 76.24 Tunisia")</f>
        <v>Second 76.24 Tunisia</v>
      </c>
      <c r="G1740" s="1" t="str">
        <f ca="1">IFERROR(__xludf.DUMMYFUNCTION("""COMPUTED_VALUE"""),"Freedom of Expression, Human Rights Defenders")</f>
        <v>Freedom of Expression, Human Rights Defenders</v>
      </c>
      <c r="H1740" s="1" t="str">
        <f ca="1">IFERROR(__xludf.DUMMYFUNCTION("""COMPUTED_VALUE"""),"2025")</f>
        <v>2025</v>
      </c>
      <c r="I1740" s="1" t="str">
        <f ca="1">IFERROR(__xludf.DUMMYFUNCTION("""COMPUTED_VALUE"""),"Email")</f>
        <v>Email</v>
      </c>
    </row>
    <row r="1741" spans="1:9" ht="13" x14ac:dyDescent="0.15">
      <c r="A1741" s="9">
        <f ca="1">IFERROR(__xludf.DUMMYFUNCTION("""COMPUTED_VALUE"""),200544077)</f>
        <v>200544077</v>
      </c>
      <c r="B1741" s="1" t="str">
        <f ca="1">IFERROR(__xludf.DUMMYFUNCTION("""COMPUTED_VALUE"""),"n.hughey623@gmail.com")</f>
        <v>n.hughey623@gmail.com</v>
      </c>
      <c r="C1741" s="9" t="str">
        <f ca="1">IFERROR(__xludf.DUMMYFUNCTION("""COMPUTED_VALUE"""),"EVERGREEN - UAN Gated Content - Embedded Petition")</f>
        <v>EVERGREEN - UAN Gated Content - Embedded Petition</v>
      </c>
      <c r="D1741" s="10">
        <f ca="1">IFERROR(__xludf.DUMMYFUNCTION("""COMPUTED_VALUE"""),45675)</f>
        <v>45675</v>
      </c>
      <c r="E1741" s="1" t="str">
        <f ca="1">IFERROR(__xludf.DUMMYFUNCTION("""COMPUTED_VALUE"""),"USA")</f>
        <v>USA</v>
      </c>
      <c r="F1741" s="1" t="str">
        <f ca="1">IFERROR(__xludf.DUMMYFUNCTION("""COMPUTED_VALUE"""),"4.25 USA")</f>
        <v>4.25 USA</v>
      </c>
      <c r="G1741" s="1" t="str">
        <f ca="1">IFERROR(__xludf.DUMMYFUNCTION("""COMPUTED_VALUE"""),"Individuals At Risk, Refugee and Migrant Rights")</f>
        <v>Individuals At Risk, Refugee and Migrant Rights</v>
      </c>
      <c r="H1741" s="1" t="str">
        <f ca="1">IFERROR(__xludf.DUMMYFUNCTION("""COMPUTED_VALUE"""),"2025")</f>
        <v>2025</v>
      </c>
      <c r="I1741" s="1" t="str">
        <f ca="1">IFERROR(__xludf.DUMMYFUNCTION("""COMPUTED_VALUE"""),"Letter")</f>
        <v>Letter</v>
      </c>
    </row>
    <row r="1742" spans="1:9" ht="13" x14ac:dyDescent="0.15">
      <c r="A1742" s="9">
        <f ca="1">IFERROR(__xludf.DUMMYFUNCTION("""COMPUTED_VALUE"""),200544077)</f>
        <v>200544077</v>
      </c>
      <c r="B1742" s="1" t="str">
        <f ca="1">IFERROR(__xludf.DUMMYFUNCTION("""COMPUTED_VALUE"""),"n.hughey623@gmail.com")</f>
        <v>n.hughey623@gmail.com</v>
      </c>
      <c r="C1742" s="9" t="str">
        <f ca="1">IFERROR(__xludf.DUMMYFUNCTION("""COMPUTED_VALUE"""),"EVERGREEN - UAN Gated Content - Embedded Petition")</f>
        <v>EVERGREEN - UAN Gated Content - Embedded Petition</v>
      </c>
      <c r="D1742" s="10">
        <f ca="1">IFERROR(__xludf.DUMMYFUNCTION("""COMPUTED_VALUE"""),45636)</f>
        <v>45636</v>
      </c>
      <c r="E1742" s="1" t="str">
        <f ca="1">IFERROR(__xludf.DUMMYFUNCTION("""COMPUTED_VALUE"""),"Venezuela")</f>
        <v>Venezuela</v>
      </c>
      <c r="F1742" s="1" t="str">
        <f ca="1">IFERROR(__xludf.DUMMYFUNCTION("""COMPUTED_VALUE"""),"1.25 Venezuela")</f>
        <v>1.25 Venezuela</v>
      </c>
      <c r="G1742" s="1" t="str">
        <f ca="1">IFERROR(__xludf.DUMMYFUNCTION("""COMPUTED_VALUE"""),"Human Rights Defenders, Individuals At Risk")</f>
        <v>Human Rights Defenders, Individuals At Risk</v>
      </c>
      <c r="H1742" s="1" t="str">
        <f ca="1">IFERROR(__xludf.DUMMYFUNCTION("""COMPUTED_VALUE"""),"2025")</f>
        <v>2025</v>
      </c>
      <c r="I1742" s="1" t="str">
        <f ca="1">IFERROR(__xludf.DUMMYFUNCTION("""COMPUTED_VALUE"""),"Letter")</f>
        <v>Letter</v>
      </c>
    </row>
    <row r="1743" spans="1:9" ht="13" x14ac:dyDescent="0.15">
      <c r="A1743" s="9">
        <f ca="1">IFERROR(__xludf.DUMMYFUNCTION("""COMPUTED_VALUE"""),200544077)</f>
        <v>200544077</v>
      </c>
      <c r="B1743" s="1" t="str">
        <f ca="1">IFERROR(__xludf.DUMMYFUNCTION("""COMPUTED_VALUE"""),"n.hughey623@gmail.com")</f>
        <v>n.hughey623@gmail.com</v>
      </c>
      <c r="C1743" s="9" t="str">
        <f ca="1">IFERROR(__xludf.DUMMYFUNCTION("""COMPUTED_VALUE"""),"EVERGREEN - UAN Gated Content - Embedded Petition")</f>
        <v>EVERGREEN - UAN Gated Content - Embedded Petition</v>
      </c>
      <c r="D1743" s="10">
        <f ca="1">IFERROR(__xludf.DUMMYFUNCTION("""COMPUTED_VALUE"""),45636)</f>
        <v>45636</v>
      </c>
      <c r="E1743" s="1" t="str">
        <f ca="1">IFERROR(__xludf.DUMMYFUNCTION("""COMPUTED_VALUE"""),"Saudi Arabia")</f>
        <v>Saudi Arabia</v>
      </c>
      <c r="F1743" s="1" t="str">
        <f ca="1">IFERROR(__xludf.DUMMYFUNCTION("""COMPUTED_VALUE"""),"104.24 Saudi Arabia")</f>
        <v>104.24 Saudi Arabia</v>
      </c>
      <c r="G1743" s="1" t="str">
        <f ca="1">IFERROR(__xludf.DUMMYFUNCTION("""COMPUTED_VALUE"""),"Individuals At Risk, Refugee and Migrant Rights")</f>
        <v>Individuals At Risk, Refugee and Migrant Rights</v>
      </c>
      <c r="H1743" s="1" t="str">
        <f ca="1">IFERROR(__xludf.DUMMYFUNCTION("""COMPUTED_VALUE"""),"2024")</f>
        <v>2024</v>
      </c>
      <c r="I1743" s="1" t="str">
        <f ca="1">IFERROR(__xludf.DUMMYFUNCTION("""COMPUTED_VALUE"""),"Email")</f>
        <v>Email</v>
      </c>
    </row>
    <row r="1744" spans="1:9" ht="13" x14ac:dyDescent="0.15">
      <c r="A1744" s="9">
        <f ca="1">IFERROR(__xludf.DUMMYFUNCTION("""COMPUTED_VALUE"""),200545729)</f>
        <v>200545729</v>
      </c>
      <c r="B1744" s="1" t="str">
        <f ca="1">IFERROR(__xludf.DUMMYFUNCTION("""COMPUTED_VALUE"""),"smbitney@gmail.com")</f>
        <v>smbitney@gmail.com</v>
      </c>
      <c r="C1744" s="9" t="str">
        <f ca="1">IFERROR(__xludf.DUMMYFUNCTION("""COMPUTED_VALUE"""),"EVERGREEN - UAN Gated Content - Embedded Petition")</f>
        <v>EVERGREEN - UAN Gated Content - Embedded Petition</v>
      </c>
      <c r="D1744" s="10">
        <f ca="1">IFERROR(__xludf.DUMMYFUNCTION("""COMPUTED_VALUE"""),45694)</f>
        <v>45694</v>
      </c>
      <c r="E1744" s="1" t="str">
        <f ca="1">IFERROR(__xludf.DUMMYFUNCTION("""COMPUTED_VALUE"""),"Venezuela")</f>
        <v>Venezuela</v>
      </c>
      <c r="F1744" s="1" t="str">
        <f ca="1">IFERROR(__xludf.DUMMYFUNCTION("""COMPUTED_VALUE"""),"97.24 Venezuela")</f>
        <v>97.24 Venezuela</v>
      </c>
      <c r="G1744" s="1" t="str">
        <f ca="1">IFERROR(__xludf.DUMMYFUNCTION("""COMPUTED_VALUE"""),"Freedom of Expression")</f>
        <v>Freedom of Expression</v>
      </c>
      <c r="H1744" s="1" t="str">
        <f ca="1">IFERROR(__xludf.DUMMYFUNCTION("""COMPUTED_VALUE"""),"2024")</f>
        <v>2024</v>
      </c>
      <c r="I1744" s="1" t="str">
        <f ca="1">IFERROR(__xludf.DUMMYFUNCTION("""COMPUTED_VALUE"""),"Letter")</f>
        <v>Letter</v>
      </c>
    </row>
    <row r="1745" spans="1:9" ht="13" x14ac:dyDescent="0.15">
      <c r="A1745" s="9">
        <f ca="1">IFERROR(__xludf.DUMMYFUNCTION("""COMPUTED_VALUE"""),200809966)</f>
        <v>200809966</v>
      </c>
      <c r="B1745" s="1" t="str">
        <f ca="1">IFERROR(__xludf.DUMMYFUNCTION("""COMPUTED_VALUE"""),"pattianderson60@yahoo.com")</f>
        <v>pattianderson60@yahoo.com</v>
      </c>
      <c r="C1745" s="9" t="str">
        <f ca="1">IFERROR(__xludf.DUMMYFUNCTION("""COMPUTED_VALUE"""),"EVERGREEN - UAN Gated Content - Embedded Petition")</f>
        <v>EVERGREEN - UAN Gated Content - Embedded Petition</v>
      </c>
      <c r="D1745" s="10">
        <f ca="1">IFERROR(__xludf.DUMMYFUNCTION("""COMPUTED_VALUE"""),45696)</f>
        <v>45696</v>
      </c>
      <c r="E1745" s="1" t="str">
        <f ca="1">IFERROR(__xludf.DUMMYFUNCTION("""COMPUTED_VALUE"""),"USA")</f>
        <v>USA</v>
      </c>
      <c r="F1745" s="1" t="str">
        <f ca="1">IFERROR(__xludf.DUMMYFUNCTION("""COMPUTED_VALUE"""),"105.24 USA")</f>
        <v>105.24 USA</v>
      </c>
      <c r="G1745" s="1" t="str">
        <f ca="1">IFERROR(__xludf.DUMMYFUNCTION("""COMPUTED_VALUE"""),"Death Penalty")</f>
        <v>Death Penalty</v>
      </c>
      <c r="H1745" s="1" t="str">
        <f ca="1">IFERROR(__xludf.DUMMYFUNCTION("""COMPUTED_VALUE"""),"2024")</f>
        <v>2024</v>
      </c>
      <c r="I1745" s="1" t="str">
        <f ca="1">IFERROR(__xludf.DUMMYFUNCTION("""COMPUTED_VALUE"""),"Email")</f>
        <v>Email</v>
      </c>
    </row>
    <row r="1746" spans="1:9" ht="13" x14ac:dyDescent="0.15">
      <c r="A1746" s="9">
        <f ca="1">IFERROR(__xludf.DUMMYFUNCTION("""COMPUTED_VALUE"""),201190809)</f>
        <v>201190809</v>
      </c>
      <c r="B1746" s="1" t="str">
        <f ca="1">IFERROR(__xludf.DUMMYFUNCTION("""COMPUTED_VALUE"""),"nancy.obyrne@currently.com")</f>
        <v>nancy.obyrne@currently.com</v>
      </c>
      <c r="C1746" s="9" t="str">
        <f ca="1">IFERROR(__xludf.DUMMYFUNCTION("""COMPUTED_VALUE"""),"EVERGREEN - UAN Gated Content - Embedded Petition")</f>
        <v>EVERGREEN - UAN Gated Content - Embedded Petition</v>
      </c>
      <c r="D1746" s="10">
        <f ca="1">IFERROR(__xludf.DUMMYFUNCTION("""COMPUTED_VALUE"""),45694)</f>
        <v>45694</v>
      </c>
      <c r="E1746" s="1" t="str">
        <f ca="1">IFERROR(__xludf.DUMMYFUNCTION("""COMPUTED_VALUE"""),"USA")</f>
        <v>USA</v>
      </c>
      <c r="F1746" s="1" t="str">
        <f ca="1">IFERROR(__xludf.DUMMYFUNCTION("""COMPUTED_VALUE"""),"105.24 USA")</f>
        <v>105.24 USA</v>
      </c>
      <c r="G1746" s="1" t="str">
        <f ca="1">IFERROR(__xludf.DUMMYFUNCTION("""COMPUTED_VALUE"""),"Death Penalty")</f>
        <v>Death Penalty</v>
      </c>
      <c r="H1746" s="1" t="str">
        <f ca="1">IFERROR(__xludf.DUMMYFUNCTION("""COMPUTED_VALUE"""),"2024")</f>
        <v>2024</v>
      </c>
      <c r="I1746" s="1" t="str">
        <f ca="1">IFERROR(__xludf.DUMMYFUNCTION("""COMPUTED_VALUE"""),"Email")</f>
        <v>Email</v>
      </c>
    </row>
    <row r="1747" spans="1:9" ht="13" x14ac:dyDescent="0.15">
      <c r="A1747" s="9">
        <f ca="1">IFERROR(__xludf.DUMMYFUNCTION("""COMPUTED_VALUE"""),201561805)</f>
        <v>201561805</v>
      </c>
      <c r="B1747" s="1" t="str">
        <f ca="1">IFERROR(__xludf.DUMMYFUNCTION("""COMPUTED_VALUE"""),"mccpax@gmail.com")</f>
        <v>mccpax@gmail.com</v>
      </c>
      <c r="C1747" s="9" t="str">
        <f ca="1">IFERROR(__xludf.DUMMYFUNCTION("""COMPUTED_VALUE"""),"EVERGREEN - UAN Gated Content - Embedded Petition")</f>
        <v>EVERGREEN - UAN Gated Content - Embedded Petition</v>
      </c>
      <c r="D1747" s="10">
        <f ca="1">IFERROR(__xludf.DUMMYFUNCTION("""COMPUTED_VALUE"""),45694)</f>
        <v>45694</v>
      </c>
      <c r="E1747" s="1" t="str">
        <f ca="1">IFERROR(__xludf.DUMMYFUNCTION("""COMPUTED_VALUE"""),"USA")</f>
        <v>USA</v>
      </c>
      <c r="F1747" s="1" t="str">
        <f ca="1">IFERROR(__xludf.DUMMYFUNCTION("""COMPUTED_VALUE"""),"4.25 USA")</f>
        <v>4.25 USA</v>
      </c>
      <c r="G1747" s="1" t="str">
        <f ca="1">IFERROR(__xludf.DUMMYFUNCTION("""COMPUTED_VALUE"""),"Individuals At Risk, Refugee and Migrant Rights")</f>
        <v>Individuals At Risk, Refugee and Migrant Rights</v>
      </c>
      <c r="H1747" s="1" t="str">
        <f ca="1">IFERROR(__xludf.DUMMYFUNCTION("""COMPUTED_VALUE"""),"2025")</f>
        <v>2025</v>
      </c>
      <c r="I1747" s="1" t="str">
        <f ca="1">IFERROR(__xludf.DUMMYFUNCTION("""COMPUTED_VALUE"""),"Letter")</f>
        <v>Letter</v>
      </c>
    </row>
    <row r="1748" spans="1:9" ht="13" x14ac:dyDescent="0.15">
      <c r="A1748" s="9">
        <f ca="1">IFERROR(__xludf.DUMMYFUNCTION("""COMPUTED_VALUE"""),201561805)</f>
        <v>201561805</v>
      </c>
      <c r="B1748" s="1" t="str">
        <f ca="1">IFERROR(__xludf.DUMMYFUNCTION("""COMPUTED_VALUE"""),"mccpax@gmail.com")</f>
        <v>mccpax@gmail.com</v>
      </c>
      <c r="C1748" s="9" t="str">
        <f ca="1">IFERROR(__xludf.DUMMYFUNCTION("""COMPUTED_VALUE"""),"EVERGREEN - UAN Gated Content - Embedded Petition")</f>
        <v>EVERGREEN - UAN Gated Content - Embedded Petition</v>
      </c>
      <c r="D1748" s="10">
        <f ca="1">IFERROR(__xludf.DUMMYFUNCTION("""COMPUTED_VALUE"""),45686)</f>
        <v>45686</v>
      </c>
      <c r="E1748" s="1" t="str">
        <f ca="1">IFERROR(__xludf.DUMMYFUNCTION("""COMPUTED_VALUE"""),"Iran")</f>
        <v>Iran</v>
      </c>
      <c r="F1748" s="1" t="str">
        <f ca="1">IFERROR(__xludf.DUMMYFUNCTION("""COMPUTED_VALUE"""),"Seventh 103.22 Iran")</f>
        <v>Seventh 103.22 Iran</v>
      </c>
      <c r="G1748" s="1" t="str">
        <f ca="1">IFERROR(__xludf.DUMMYFUNCTION("""COMPUTED_VALUE"""),"Death Penalty, Freedom of Expression, Individuals At Risk")</f>
        <v>Death Penalty, Freedom of Expression, Individuals At Risk</v>
      </c>
      <c r="H1748" s="1" t="str">
        <f ca="1">IFERROR(__xludf.DUMMYFUNCTION("""COMPUTED_VALUE"""),"2024")</f>
        <v>2024</v>
      </c>
      <c r="I1748" s="1" t="str">
        <f ca="1">IFERROR(__xludf.DUMMYFUNCTION("""COMPUTED_VALUE"""),"Email")</f>
        <v>Email</v>
      </c>
    </row>
    <row r="1749" spans="1:9" ht="13" x14ac:dyDescent="0.15">
      <c r="A1749" s="9">
        <f ca="1">IFERROR(__xludf.DUMMYFUNCTION("""COMPUTED_VALUE"""),201872392)</f>
        <v>201872392</v>
      </c>
      <c r="B1749" s="1" t="str">
        <f ca="1">IFERROR(__xludf.DUMMYFUNCTION("""COMPUTED_VALUE"""),"mabbott14214@yahoo.com")</f>
        <v>mabbott14214@yahoo.com</v>
      </c>
      <c r="C1749" s="9" t="str">
        <f ca="1">IFERROR(__xludf.DUMMYFUNCTION("""COMPUTED_VALUE"""),"EVERGREEN - UAN Gated Content - Embedded Petition")</f>
        <v>EVERGREEN - UAN Gated Content - Embedded Petition</v>
      </c>
      <c r="D1749" s="10">
        <f ca="1">IFERROR(__xludf.DUMMYFUNCTION("""COMPUTED_VALUE"""),45698)</f>
        <v>45698</v>
      </c>
      <c r="E1749" s="1" t="str">
        <f ca="1">IFERROR(__xludf.DUMMYFUNCTION("""COMPUTED_VALUE"""),"Tunisia")</f>
        <v>Tunisia</v>
      </c>
      <c r="F1749" s="1" t="str">
        <f ca="1">IFERROR(__xludf.DUMMYFUNCTION("""COMPUTED_VALUE"""),"Second 76.24 Tunisia")</f>
        <v>Second 76.24 Tunisia</v>
      </c>
      <c r="G1749" s="1" t="str">
        <f ca="1">IFERROR(__xludf.DUMMYFUNCTION("""COMPUTED_VALUE"""),"Freedom of Expression, Human Rights Defenders")</f>
        <v>Freedom of Expression, Human Rights Defenders</v>
      </c>
      <c r="H1749" s="1" t="str">
        <f ca="1">IFERROR(__xludf.DUMMYFUNCTION("""COMPUTED_VALUE"""),"2025")</f>
        <v>2025</v>
      </c>
      <c r="I1749" s="1" t="str">
        <f ca="1">IFERROR(__xludf.DUMMYFUNCTION("""COMPUTED_VALUE"""),"Email")</f>
        <v>Email</v>
      </c>
    </row>
    <row r="1750" spans="1:9" ht="13" x14ac:dyDescent="0.15">
      <c r="A1750" s="9">
        <f ca="1">IFERROR(__xludf.DUMMYFUNCTION("""COMPUTED_VALUE"""),201874257)</f>
        <v>201874257</v>
      </c>
      <c r="B1750" s="1" t="str">
        <f ca="1">IFERROR(__xludf.DUMMYFUNCTION("""COMPUTED_VALUE"""),"brooksrobinson335@yahoo.com")</f>
        <v>brooksrobinson335@yahoo.com</v>
      </c>
      <c r="C1750" s="9" t="str">
        <f ca="1">IFERROR(__xludf.DUMMYFUNCTION("""COMPUTED_VALUE"""),"EVERGREEN - UAN Gated Content - Embedded Petition")</f>
        <v>EVERGREEN - UAN Gated Content - Embedded Petition</v>
      </c>
      <c r="D1750" s="10">
        <f ca="1">IFERROR(__xludf.DUMMYFUNCTION("""COMPUTED_VALUE"""),45694)</f>
        <v>45694</v>
      </c>
      <c r="E1750" s="1" t="str">
        <f ca="1">IFERROR(__xludf.DUMMYFUNCTION("""COMPUTED_VALUE"""),"Tunisia")</f>
        <v>Tunisia</v>
      </c>
      <c r="F1750" s="1" t="str">
        <f ca="1">IFERROR(__xludf.DUMMYFUNCTION("""COMPUTED_VALUE"""),"Second 76.24 Tunisia")</f>
        <v>Second 76.24 Tunisia</v>
      </c>
      <c r="G1750" s="1" t="str">
        <f ca="1">IFERROR(__xludf.DUMMYFUNCTION("""COMPUTED_VALUE"""),"Freedom of Expression, Human Rights Defenders")</f>
        <v>Freedom of Expression, Human Rights Defenders</v>
      </c>
      <c r="H1750" s="1" t="str">
        <f ca="1">IFERROR(__xludf.DUMMYFUNCTION("""COMPUTED_VALUE"""),"2025")</f>
        <v>2025</v>
      </c>
      <c r="I1750" s="1" t="str">
        <f ca="1">IFERROR(__xludf.DUMMYFUNCTION("""COMPUTED_VALUE"""),"Email")</f>
        <v>Email</v>
      </c>
    </row>
    <row r="1751" spans="1:9" ht="13" x14ac:dyDescent="0.15">
      <c r="A1751" s="9">
        <f ca="1">IFERROR(__xludf.DUMMYFUNCTION("""COMPUTED_VALUE"""),201874257)</f>
        <v>201874257</v>
      </c>
      <c r="B1751" s="1" t="str">
        <f ca="1">IFERROR(__xludf.DUMMYFUNCTION("""COMPUTED_VALUE"""),"brooksrobinson335@yahoo.com")</f>
        <v>brooksrobinson335@yahoo.com</v>
      </c>
      <c r="C1751" s="9" t="str">
        <f ca="1">IFERROR(__xludf.DUMMYFUNCTION("""COMPUTED_VALUE"""),"EVERGREEN - UAN Gated Content - Embedded Petition")</f>
        <v>EVERGREEN - UAN Gated Content - Embedded Petition</v>
      </c>
      <c r="D1751" s="10">
        <f ca="1">IFERROR(__xludf.DUMMYFUNCTION("""COMPUTED_VALUE"""),45693)</f>
        <v>45693</v>
      </c>
      <c r="E1751" s="1" t="str">
        <f ca="1">IFERROR(__xludf.DUMMYFUNCTION("""COMPUTED_VALUE"""),"USA")</f>
        <v>USA</v>
      </c>
      <c r="F1751" s="1" t="str">
        <f ca="1">IFERROR(__xludf.DUMMYFUNCTION("""COMPUTED_VALUE"""),"105.24 USA")</f>
        <v>105.24 USA</v>
      </c>
      <c r="G1751" s="1" t="str">
        <f ca="1">IFERROR(__xludf.DUMMYFUNCTION("""COMPUTED_VALUE"""),"Death Penalty")</f>
        <v>Death Penalty</v>
      </c>
      <c r="H1751" s="1" t="str">
        <f ca="1">IFERROR(__xludf.DUMMYFUNCTION("""COMPUTED_VALUE"""),"2024")</f>
        <v>2024</v>
      </c>
      <c r="I1751" s="1" t="str">
        <f ca="1">IFERROR(__xludf.DUMMYFUNCTION("""COMPUTED_VALUE"""),"Email")</f>
        <v>Email</v>
      </c>
    </row>
    <row r="1752" spans="1:9" ht="13" x14ac:dyDescent="0.15">
      <c r="A1752" s="9">
        <f ca="1">IFERROR(__xludf.DUMMYFUNCTION("""COMPUTED_VALUE"""),202305675)</f>
        <v>202305675</v>
      </c>
      <c r="B1752" s="1" t="str">
        <f ca="1">IFERROR(__xludf.DUMMYFUNCTION("""COMPUTED_VALUE"""),"margaretsheeran515@gmail.com")</f>
        <v>margaretsheeran515@gmail.com</v>
      </c>
      <c r="C1752" s="9" t="str">
        <f ca="1">IFERROR(__xludf.DUMMYFUNCTION("""COMPUTED_VALUE"""),"EVERGREEN - UAN Gated Content - Embedded Petition")</f>
        <v>EVERGREEN - UAN Gated Content - Embedded Petition</v>
      </c>
      <c r="D1752" s="10">
        <f ca="1">IFERROR(__xludf.DUMMYFUNCTION("""COMPUTED_VALUE"""),45658)</f>
        <v>45658</v>
      </c>
      <c r="E1752" s="1" t="str">
        <f ca="1">IFERROR(__xludf.DUMMYFUNCTION("""COMPUTED_VALUE"""),"USA")</f>
        <v>USA</v>
      </c>
      <c r="F1752" s="1" t="str">
        <f ca="1">IFERROR(__xludf.DUMMYFUNCTION("""COMPUTED_VALUE"""),"105.24 USA")</f>
        <v>105.24 USA</v>
      </c>
      <c r="G1752" s="1" t="str">
        <f ca="1">IFERROR(__xludf.DUMMYFUNCTION("""COMPUTED_VALUE"""),"Death Penalty")</f>
        <v>Death Penalty</v>
      </c>
      <c r="H1752" s="1" t="str">
        <f ca="1">IFERROR(__xludf.DUMMYFUNCTION("""COMPUTED_VALUE"""),"2024")</f>
        <v>2024</v>
      </c>
      <c r="I1752" s="1" t="str">
        <f ca="1">IFERROR(__xludf.DUMMYFUNCTION("""COMPUTED_VALUE"""),"Email")</f>
        <v>Email</v>
      </c>
    </row>
    <row r="1753" spans="1:9" ht="13" x14ac:dyDescent="0.15">
      <c r="A1753" s="9">
        <f ca="1">IFERROR(__xludf.DUMMYFUNCTION("""COMPUTED_VALUE"""),202305675)</f>
        <v>202305675</v>
      </c>
      <c r="B1753" s="1" t="str">
        <f ca="1">IFERROR(__xludf.DUMMYFUNCTION("""COMPUTED_VALUE"""),"margaretsheeran515@gmail.com")</f>
        <v>margaretsheeran515@gmail.com</v>
      </c>
      <c r="C1753" s="9" t="str">
        <f ca="1">IFERROR(__xludf.DUMMYFUNCTION("""COMPUTED_VALUE"""),"EVERGREEN - UAN Gated Content - Embedded Petition")</f>
        <v>EVERGREEN - UAN Gated Content - Embedded Petition</v>
      </c>
      <c r="D1753" s="10">
        <f ca="1">IFERROR(__xludf.DUMMYFUNCTION("""COMPUTED_VALUE"""),45637)</f>
        <v>45637</v>
      </c>
      <c r="E1753" s="1" t="str">
        <f ca="1">IFERROR(__xludf.DUMMYFUNCTION("""COMPUTED_VALUE"""),"Israel and Occupied Palestinian Territories")</f>
        <v>Israel and Occupied Palestinian Territories</v>
      </c>
      <c r="F1753" s="1" t="str">
        <f ca="1">IFERROR(__xludf.DUMMYFUNCTION("""COMPUTED_VALUE"""),"3.25 IOPT")</f>
        <v>3.25 IOPT</v>
      </c>
      <c r="G1753" s="1" t="str">
        <f ca="1">IFERROR(__xludf.DUMMYFUNCTION("""COMPUTED_VALUE"""),"Freedom of Expression, Individuals At Risk")</f>
        <v>Freedom of Expression, Individuals At Risk</v>
      </c>
      <c r="H1753" s="1" t="str">
        <f ca="1">IFERROR(__xludf.DUMMYFUNCTION("""COMPUTED_VALUE"""),"2025")</f>
        <v>2025</v>
      </c>
      <c r="I1753" s="1" t="str">
        <f ca="1">IFERROR(__xludf.DUMMYFUNCTION("""COMPUTED_VALUE"""),"Email")</f>
        <v>Email</v>
      </c>
    </row>
    <row r="1754" spans="1:9" ht="13" x14ac:dyDescent="0.15">
      <c r="A1754" s="9">
        <f ca="1">IFERROR(__xludf.DUMMYFUNCTION("""COMPUTED_VALUE"""),202305675)</f>
        <v>202305675</v>
      </c>
      <c r="B1754" s="1" t="str">
        <f ca="1">IFERROR(__xludf.DUMMYFUNCTION("""COMPUTED_VALUE"""),"margaretsheeran515@gmail.com")</f>
        <v>margaretsheeran515@gmail.com</v>
      </c>
      <c r="C1754" s="9" t="str">
        <f ca="1">IFERROR(__xludf.DUMMYFUNCTION("""COMPUTED_VALUE"""),"EVERGREEN - UAN Gated Content - Embedded Petition")</f>
        <v>EVERGREEN - UAN Gated Content - Embedded Petition</v>
      </c>
      <c r="D1754" s="10">
        <f ca="1">IFERROR(__xludf.DUMMYFUNCTION("""COMPUTED_VALUE"""),45635)</f>
        <v>45635</v>
      </c>
      <c r="E1754" s="1" t="str">
        <f ca="1">IFERROR(__xludf.DUMMYFUNCTION("""COMPUTED_VALUE"""),"Tunisia")</f>
        <v>Tunisia</v>
      </c>
      <c r="F1754" s="1" t="str">
        <f ca="1">IFERROR(__xludf.DUMMYFUNCTION("""COMPUTED_VALUE"""),"Second 76.24 Tunisia")</f>
        <v>Second 76.24 Tunisia</v>
      </c>
      <c r="G1754" s="1" t="str">
        <f ca="1">IFERROR(__xludf.DUMMYFUNCTION("""COMPUTED_VALUE"""),"Freedom of Expression, Human Rights Defenders")</f>
        <v>Freedom of Expression, Human Rights Defenders</v>
      </c>
      <c r="H1754" s="1" t="str">
        <f ca="1">IFERROR(__xludf.DUMMYFUNCTION("""COMPUTED_VALUE"""),"2025")</f>
        <v>2025</v>
      </c>
      <c r="I1754" s="1" t="str">
        <f ca="1">IFERROR(__xludf.DUMMYFUNCTION("""COMPUTED_VALUE"""),"Email")</f>
        <v>Email</v>
      </c>
    </row>
    <row r="1755" spans="1:9" ht="13" x14ac:dyDescent="0.15">
      <c r="A1755" s="9">
        <f ca="1">IFERROR(__xludf.DUMMYFUNCTION("""COMPUTED_VALUE"""),202305675)</f>
        <v>202305675</v>
      </c>
      <c r="B1755" s="1" t="str">
        <f ca="1">IFERROR(__xludf.DUMMYFUNCTION("""COMPUTED_VALUE"""),"margaretsheeran515@gmail.com")</f>
        <v>margaretsheeran515@gmail.com</v>
      </c>
      <c r="C1755" s="9" t="str">
        <f ca="1">IFERROR(__xludf.DUMMYFUNCTION("""COMPUTED_VALUE"""),"EVERGREEN - UAN Gated Content - Embedded Petition")</f>
        <v>EVERGREEN - UAN Gated Content - Embedded Petition</v>
      </c>
      <c r="D1755" s="10">
        <f ca="1">IFERROR(__xludf.DUMMYFUNCTION("""COMPUTED_VALUE"""),45663)</f>
        <v>45663</v>
      </c>
      <c r="E1755" s="1" t="str">
        <f ca="1">IFERROR(__xludf.DUMMYFUNCTION("""COMPUTED_VALUE"""),"Israel and Occupied Palestinian Territories")</f>
        <v>Israel and Occupied Palestinian Territories</v>
      </c>
      <c r="F1755" s="1" t="str">
        <f ca="1">IFERROR(__xludf.DUMMYFUNCTION("""COMPUTED_VALUE"""),"3.25 IOPT")</f>
        <v>3.25 IOPT</v>
      </c>
      <c r="G1755" s="1" t="str">
        <f ca="1">IFERROR(__xludf.DUMMYFUNCTION("""COMPUTED_VALUE"""),"Freedom of Expression, Individuals At Risk")</f>
        <v>Freedom of Expression, Individuals At Risk</v>
      </c>
      <c r="H1755" s="1" t="str">
        <f ca="1">IFERROR(__xludf.DUMMYFUNCTION("""COMPUTED_VALUE"""),"2025")</f>
        <v>2025</v>
      </c>
      <c r="I1755" s="1" t="str">
        <f ca="1">IFERROR(__xludf.DUMMYFUNCTION("""COMPUTED_VALUE"""),"Email")</f>
        <v>Email</v>
      </c>
    </row>
    <row r="1756" spans="1:9" ht="13" x14ac:dyDescent="0.15">
      <c r="A1756" s="9">
        <f ca="1">IFERROR(__xludf.DUMMYFUNCTION("""COMPUTED_VALUE"""),202305675)</f>
        <v>202305675</v>
      </c>
      <c r="B1756" s="1" t="str">
        <f ca="1">IFERROR(__xludf.DUMMYFUNCTION("""COMPUTED_VALUE"""),"margaretsheeran515@gmail.com")</f>
        <v>margaretsheeran515@gmail.com</v>
      </c>
      <c r="C1756" s="9" t="str">
        <f ca="1">IFERROR(__xludf.DUMMYFUNCTION("""COMPUTED_VALUE"""),"EVERGREEN - UAN Gated Content - Embedded Petition")</f>
        <v>EVERGREEN - UAN Gated Content - Embedded Petition</v>
      </c>
      <c r="D1756" s="10">
        <f ca="1">IFERROR(__xludf.DUMMYFUNCTION("""COMPUTED_VALUE"""),45699)</f>
        <v>45699</v>
      </c>
      <c r="E1756" s="1" t="str">
        <f ca="1">IFERROR(__xludf.DUMMYFUNCTION("""COMPUTED_VALUE"""),"USA")</f>
        <v>USA</v>
      </c>
      <c r="F1756" s="1" t="str">
        <f ca="1">IFERROR(__xludf.DUMMYFUNCTION("""COMPUTED_VALUE"""),"4.25 USA")</f>
        <v>4.25 USA</v>
      </c>
      <c r="G1756" s="1" t="str">
        <f ca="1">IFERROR(__xludf.DUMMYFUNCTION("""COMPUTED_VALUE"""),"Individuals At Risk, Refugee and Migrant Rights")</f>
        <v>Individuals At Risk, Refugee and Migrant Rights</v>
      </c>
      <c r="H1756" s="1" t="str">
        <f ca="1">IFERROR(__xludf.DUMMYFUNCTION("""COMPUTED_VALUE"""),"2025")</f>
        <v>2025</v>
      </c>
      <c r="I1756" s="1" t="str">
        <f ca="1">IFERROR(__xludf.DUMMYFUNCTION("""COMPUTED_VALUE"""),"Letter")</f>
        <v>Letter</v>
      </c>
    </row>
    <row r="1757" spans="1:9" ht="13" x14ac:dyDescent="0.15">
      <c r="A1757" s="9">
        <f ca="1">IFERROR(__xludf.DUMMYFUNCTION("""COMPUTED_VALUE"""),202305675)</f>
        <v>202305675</v>
      </c>
      <c r="B1757" s="1" t="str">
        <f ca="1">IFERROR(__xludf.DUMMYFUNCTION("""COMPUTED_VALUE"""),"margaretsheeran515@gmail.com")</f>
        <v>margaretsheeran515@gmail.com</v>
      </c>
      <c r="C1757" s="9" t="str">
        <f ca="1">IFERROR(__xludf.DUMMYFUNCTION("""COMPUTED_VALUE"""),"EVERGREEN - UAN Gated Content - Embedded Petition")</f>
        <v>EVERGREEN - UAN Gated Content - Embedded Petition</v>
      </c>
      <c r="D1757" s="10">
        <f ca="1">IFERROR(__xludf.DUMMYFUNCTION("""COMPUTED_VALUE"""),45677)</f>
        <v>45677</v>
      </c>
      <c r="E1757" s="1" t="str">
        <f ca="1">IFERROR(__xludf.DUMMYFUNCTION("""COMPUTED_VALUE"""),"Niger")</f>
        <v>Niger</v>
      </c>
      <c r="F1757" s="1" t="str">
        <f ca="1">IFERROR(__xludf.DUMMYFUNCTION("""COMPUTED_VALUE"""),"103.24 Niger")</f>
        <v>103.24 Niger</v>
      </c>
      <c r="G1757" s="1" t="str">
        <f ca="1">IFERROR(__xludf.DUMMYFUNCTION("""COMPUTED_VALUE"""),"Freedom of Expression, Human Rights Defenders")</f>
        <v>Freedom of Expression, Human Rights Defenders</v>
      </c>
      <c r="H1757" s="1" t="str">
        <f ca="1">IFERROR(__xludf.DUMMYFUNCTION("""COMPUTED_VALUE"""),"2024")</f>
        <v>2024</v>
      </c>
      <c r="I1757" s="1" t="str">
        <f ca="1">IFERROR(__xludf.DUMMYFUNCTION("""COMPUTED_VALUE"""),"Email")</f>
        <v>Email</v>
      </c>
    </row>
    <row r="1758" spans="1:9" ht="13" x14ac:dyDescent="0.15">
      <c r="A1758" s="9">
        <f ca="1">IFERROR(__xludf.DUMMYFUNCTION("""COMPUTED_VALUE"""),202305675)</f>
        <v>202305675</v>
      </c>
      <c r="B1758" s="1" t="str">
        <f ca="1">IFERROR(__xludf.DUMMYFUNCTION("""COMPUTED_VALUE"""),"margaretsheeran515@gmail.com")</f>
        <v>margaretsheeran515@gmail.com</v>
      </c>
      <c r="C1758" s="9" t="str">
        <f ca="1">IFERROR(__xludf.DUMMYFUNCTION("""COMPUTED_VALUE"""),"EVERGREEN - UAN Gated Content - Embedded Petition")</f>
        <v>EVERGREEN - UAN Gated Content - Embedded Petition</v>
      </c>
      <c r="D1758" s="10">
        <f ca="1">IFERROR(__xludf.DUMMYFUNCTION("""COMPUTED_VALUE"""),45657)</f>
        <v>45657</v>
      </c>
      <c r="E1758" s="1" t="str">
        <f ca="1">IFERROR(__xludf.DUMMYFUNCTION("""COMPUTED_VALUE"""),"Iran")</f>
        <v>Iran</v>
      </c>
      <c r="F1758" s="1" t="str">
        <f ca="1">IFERROR(__xludf.DUMMYFUNCTION("""COMPUTED_VALUE"""),"Seventh 103.22 Iran")</f>
        <v>Seventh 103.22 Iran</v>
      </c>
      <c r="G1758" s="1" t="str">
        <f ca="1">IFERROR(__xludf.DUMMYFUNCTION("""COMPUTED_VALUE"""),"Death Penalty, Freedom of Expression, Individuals At Risk")</f>
        <v>Death Penalty, Freedom of Expression, Individuals At Risk</v>
      </c>
      <c r="H1758" s="1" t="str">
        <f ca="1">IFERROR(__xludf.DUMMYFUNCTION("""COMPUTED_VALUE"""),"2024")</f>
        <v>2024</v>
      </c>
      <c r="I1758" s="1" t="str">
        <f ca="1">IFERROR(__xludf.DUMMYFUNCTION("""COMPUTED_VALUE"""),"Email")</f>
        <v>Email</v>
      </c>
    </row>
    <row r="1759" spans="1:9" ht="13" x14ac:dyDescent="0.15">
      <c r="A1759" s="9">
        <f ca="1">IFERROR(__xludf.DUMMYFUNCTION("""COMPUTED_VALUE"""),202305675)</f>
        <v>202305675</v>
      </c>
      <c r="B1759" s="1" t="str">
        <f ca="1">IFERROR(__xludf.DUMMYFUNCTION("""COMPUTED_VALUE"""),"margaretsheeran515@gmail.com")</f>
        <v>margaretsheeran515@gmail.com</v>
      </c>
      <c r="C1759" s="9" t="str">
        <f ca="1">IFERROR(__xludf.DUMMYFUNCTION("""COMPUTED_VALUE"""),"EVERGREEN - UAN Gated Content - Embedded Petition")</f>
        <v>EVERGREEN - UAN Gated Content - Embedded Petition</v>
      </c>
      <c r="D1759" s="10">
        <f ca="1">IFERROR(__xludf.DUMMYFUNCTION("""COMPUTED_VALUE"""),45657)</f>
        <v>45657</v>
      </c>
      <c r="E1759" s="1" t="str">
        <f ca="1">IFERROR(__xludf.DUMMYFUNCTION("""COMPUTED_VALUE"""),"USA")</f>
        <v>USA</v>
      </c>
      <c r="F1759" s="1" t="str">
        <f ca="1">IFERROR(__xludf.DUMMYFUNCTION("""COMPUTED_VALUE"""),"96.24 USA")</f>
        <v>96.24 USA</v>
      </c>
      <c r="G1759" s="1" t="str">
        <f ca="1">IFERROR(__xludf.DUMMYFUNCTION("""COMPUTED_VALUE"""),"Death Penalty")</f>
        <v>Death Penalty</v>
      </c>
      <c r="H1759" s="1" t="str">
        <f ca="1">IFERROR(__xludf.DUMMYFUNCTION("""COMPUTED_VALUE"""),"2024")</f>
        <v>2024</v>
      </c>
      <c r="I1759" s="1" t="str">
        <f ca="1">IFERROR(__xludf.DUMMYFUNCTION("""COMPUTED_VALUE"""),"Email")</f>
        <v>Email</v>
      </c>
    </row>
    <row r="1760" spans="1:9" ht="13" x14ac:dyDescent="0.15">
      <c r="A1760" s="9">
        <f ca="1">IFERROR(__xludf.DUMMYFUNCTION("""COMPUTED_VALUE"""),202305675)</f>
        <v>202305675</v>
      </c>
      <c r="B1760" s="1" t="str">
        <f ca="1">IFERROR(__xludf.DUMMYFUNCTION("""COMPUTED_VALUE"""),"margaretsheeran515@gmail.com")</f>
        <v>margaretsheeran515@gmail.com</v>
      </c>
      <c r="C1760" s="9" t="str">
        <f ca="1">IFERROR(__xludf.DUMMYFUNCTION("""COMPUTED_VALUE"""),"EVERGREEN - UAN Gated Content - Embedded Petition")</f>
        <v>EVERGREEN - UAN Gated Content - Embedded Petition</v>
      </c>
      <c r="D1760" s="10">
        <f ca="1">IFERROR(__xludf.DUMMYFUNCTION("""COMPUTED_VALUE"""),45635)</f>
        <v>45635</v>
      </c>
      <c r="E1760" s="1" t="str">
        <f ca="1">IFERROR(__xludf.DUMMYFUNCTION("""COMPUTED_VALUE"""),"Tunisia")</f>
        <v>Tunisia</v>
      </c>
      <c r="F1760" s="1" t="str">
        <f ca="1">IFERROR(__xludf.DUMMYFUNCTION("""COMPUTED_VALUE"""),"Second 76.24 Tunisia")</f>
        <v>Second 76.24 Tunisia</v>
      </c>
      <c r="G1760" s="1" t="str">
        <f ca="1">IFERROR(__xludf.DUMMYFUNCTION("""COMPUTED_VALUE"""),"Freedom of Expression, Human Rights Defenders")</f>
        <v>Freedom of Expression, Human Rights Defenders</v>
      </c>
      <c r="H1760" s="1" t="str">
        <f ca="1">IFERROR(__xludf.DUMMYFUNCTION("""COMPUTED_VALUE"""),"2025")</f>
        <v>2025</v>
      </c>
      <c r="I1760" s="1" t="str">
        <f ca="1">IFERROR(__xludf.DUMMYFUNCTION("""COMPUTED_VALUE"""),"Email")</f>
        <v>Email</v>
      </c>
    </row>
    <row r="1761" spans="1:9" ht="13" x14ac:dyDescent="0.15">
      <c r="A1761" s="9">
        <f ca="1">IFERROR(__xludf.DUMMYFUNCTION("""COMPUTED_VALUE"""),202305675)</f>
        <v>202305675</v>
      </c>
      <c r="B1761" s="1" t="str">
        <f ca="1">IFERROR(__xludf.DUMMYFUNCTION("""COMPUTED_VALUE"""),"margaretsheeran515@gmail.com")</f>
        <v>margaretsheeran515@gmail.com</v>
      </c>
      <c r="C1761" s="9" t="str">
        <f ca="1">IFERROR(__xludf.DUMMYFUNCTION("""COMPUTED_VALUE"""),"EVERGREEN - UAN Gated Content - Embedded Petition")</f>
        <v>EVERGREEN - UAN Gated Content - Embedded Petition</v>
      </c>
      <c r="D1761" s="10">
        <f ca="1">IFERROR(__xludf.DUMMYFUNCTION("""COMPUTED_VALUE"""),45663)</f>
        <v>45663</v>
      </c>
      <c r="E1761" s="1" t="str">
        <f ca="1">IFERROR(__xludf.DUMMYFUNCTION("""COMPUTED_VALUE"""),"USA")</f>
        <v>USA</v>
      </c>
      <c r="F1761" s="1" t="str">
        <f ca="1">IFERROR(__xludf.DUMMYFUNCTION("""COMPUTED_VALUE"""),"4.25 USA")</f>
        <v>4.25 USA</v>
      </c>
      <c r="G1761" s="1" t="str">
        <f ca="1">IFERROR(__xludf.DUMMYFUNCTION("""COMPUTED_VALUE"""),"Individuals At Risk, Refugee and Migrant Rights")</f>
        <v>Individuals At Risk, Refugee and Migrant Rights</v>
      </c>
      <c r="H1761" s="1" t="str">
        <f ca="1">IFERROR(__xludf.DUMMYFUNCTION("""COMPUTED_VALUE"""),"2025")</f>
        <v>2025</v>
      </c>
      <c r="I1761" s="1" t="str">
        <f ca="1">IFERROR(__xludf.DUMMYFUNCTION("""COMPUTED_VALUE"""),"Letter")</f>
        <v>Letter</v>
      </c>
    </row>
    <row r="1762" spans="1:9" ht="13" x14ac:dyDescent="0.15">
      <c r="A1762" s="9">
        <f ca="1">IFERROR(__xludf.DUMMYFUNCTION("""COMPUTED_VALUE"""),202305675)</f>
        <v>202305675</v>
      </c>
      <c r="B1762" s="1" t="str">
        <f ca="1">IFERROR(__xludf.DUMMYFUNCTION("""COMPUTED_VALUE"""),"margaretsheeran515@gmail.com")</f>
        <v>margaretsheeran515@gmail.com</v>
      </c>
      <c r="C1762" s="9" t="str">
        <f ca="1">IFERROR(__xludf.DUMMYFUNCTION("""COMPUTED_VALUE"""),"EVERGREEN - Website Email Capture Form - UAN Pre-Footer")</f>
        <v>EVERGREEN - Website Email Capture Form - UAN Pre-Footer</v>
      </c>
      <c r="D1762" s="10">
        <f ca="1">IFERROR(__xludf.DUMMYFUNCTION("""COMPUTED_VALUE"""),45635)</f>
        <v>45635</v>
      </c>
      <c r="E1762" s="1" t="str">
        <f ca="1">IFERROR(__xludf.DUMMYFUNCTION("""COMPUTED_VALUE"""),"Israel and Occupied Palestinian Territories")</f>
        <v>Israel and Occupied Palestinian Territories</v>
      </c>
      <c r="F1762" s="1" t="str">
        <f ca="1">IFERROR(__xludf.DUMMYFUNCTION("""COMPUTED_VALUE"""),"3.25 IOPT")</f>
        <v>3.25 IOPT</v>
      </c>
      <c r="G1762" s="1" t="str">
        <f ca="1">IFERROR(__xludf.DUMMYFUNCTION("""COMPUTED_VALUE"""),"Freedom of Expression, Individuals At Risk")</f>
        <v>Freedom of Expression, Individuals At Risk</v>
      </c>
      <c r="H1762" s="1" t="str">
        <f ca="1">IFERROR(__xludf.DUMMYFUNCTION("""COMPUTED_VALUE"""),"2025")</f>
        <v>2025</v>
      </c>
      <c r="I1762" s="1" t="str">
        <f ca="1">IFERROR(__xludf.DUMMYFUNCTION("""COMPUTED_VALUE"""),"Email")</f>
        <v>Email</v>
      </c>
    </row>
    <row r="1763" spans="1:9" ht="13" x14ac:dyDescent="0.15">
      <c r="A1763" s="9">
        <f ca="1">IFERROR(__xludf.DUMMYFUNCTION("""COMPUTED_VALUE"""),202543547)</f>
        <v>202543547</v>
      </c>
      <c r="B1763" s="1" t="str">
        <f ca="1">IFERROR(__xludf.DUMMYFUNCTION("""COMPUTED_VALUE"""),"josephzefran@gmail.com")</f>
        <v>josephzefran@gmail.com</v>
      </c>
      <c r="C1763" s="9" t="str">
        <f ca="1">IFERROR(__xludf.DUMMYFUNCTION("""COMPUTED_VALUE"""),"EVERGREEN - UAN Gated Content - Embedded Petition")</f>
        <v>EVERGREEN - UAN Gated Content - Embedded Petition</v>
      </c>
      <c r="D1763" s="10">
        <f ca="1">IFERROR(__xludf.DUMMYFUNCTION("""COMPUTED_VALUE"""),45677)</f>
        <v>45677</v>
      </c>
      <c r="E1763" s="1" t="str">
        <f ca="1">IFERROR(__xludf.DUMMYFUNCTION("""COMPUTED_VALUE"""),"Tunisia")</f>
        <v>Tunisia</v>
      </c>
      <c r="F1763" s="1" t="str">
        <f ca="1">IFERROR(__xludf.DUMMYFUNCTION("""COMPUTED_VALUE"""),"Second 76.24 Tunisia")</f>
        <v>Second 76.24 Tunisia</v>
      </c>
      <c r="G1763" s="1" t="str">
        <f ca="1">IFERROR(__xludf.DUMMYFUNCTION("""COMPUTED_VALUE"""),"Freedom of Expression, Human Rights Defenders")</f>
        <v>Freedom of Expression, Human Rights Defenders</v>
      </c>
      <c r="H1763" s="1" t="str">
        <f ca="1">IFERROR(__xludf.DUMMYFUNCTION("""COMPUTED_VALUE"""),"2025")</f>
        <v>2025</v>
      </c>
      <c r="I1763" s="1" t="str">
        <f ca="1">IFERROR(__xludf.DUMMYFUNCTION("""COMPUTED_VALUE"""),"Email")</f>
        <v>Email</v>
      </c>
    </row>
    <row r="1764" spans="1:9" ht="13" x14ac:dyDescent="0.15">
      <c r="A1764" s="9">
        <f ca="1">IFERROR(__xludf.DUMMYFUNCTION("""COMPUTED_VALUE"""),202543547)</f>
        <v>202543547</v>
      </c>
      <c r="B1764" s="1" t="str">
        <f ca="1">IFERROR(__xludf.DUMMYFUNCTION("""COMPUTED_VALUE"""),"josephzefran@gmail.com")</f>
        <v>josephzefran@gmail.com</v>
      </c>
      <c r="C1764" s="9" t="str">
        <f ca="1">IFERROR(__xludf.DUMMYFUNCTION("""COMPUTED_VALUE"""),"EVERGREEN - UAN Gated Content - Embedded Petition")</f>
        <v>EVERGREEN - UAN Gated Content - Embedded Petition</v>
      </c>
      <c r="D1764" s="10">
        <f ca="1">IFERROR(__xludf.DUMMYFUNCTION("""COMPUTED_VALUE"""),45636)</f>
        <v>45636</v>
      </c>
      <c r="E1764" s="1" t="str">
        <f ca="1">IFERROR(__xludf.DUMMYFUNCTION("""COMPUTED_VALUE"""),"USA")</f>
        <v>USA</v>
      </c>
      <c r="F1764" s="1" t="str">
        <f ca="1">IFERROR(__xludf.DUMMYFUNCTION("""COMPUTED_VALUE"""),"4.25 USA")</f>
        <v>4.25 USA</v>
      </c>
      <c r="G1764" s="1" t="str">
        <f ca="1">IFERROR(__xludf.DUMMYFUNCTION("""COMPUTED_VALUE"""),"Individuals At Risk, Refugee and Migrant Rights")</f>
        <v>Individuals At Risk, Refugee and Migrant Rights</v>
      </c>
      <c r="H1764" s="1" t="str">
        <f ca="1">IFERROR(__xludf.DUMMYFUNCTION("""COMPUTED_VALUE"""),"2025")</f>
        <v>2025</v>
      </c>
      <c r="I1764" s="1" t="str">
        <f ca="1">IFERROR(__xludf.DUMMYFUNCTION("""COMPUTED_VALUE"""),"Letter")</f>
        <v>Letter</v>
      </c>
    </row>
    <row r="1765" spans="1:9" ht="13" x14ac:dyDescent="0.15">
      <c r="A1765" s="9">
        <f ca="1">IFERROR(__xludf.DUMMYFUNCTION("""COMPUTED_VALUE"""),202543547)</f>
        <v>202543547</v>
      </c>
      <c r="B1765" s="1" t="str">
        <f ca="1">IFERROR(__xludf.DUMMYFUNCTION("""COMPUTED_VALUE"""),"josephzefran@gmail.com")</f>
        <v>josephzefran@gmail.com</v>
      </c>
      <c r="C1765" s="9" t="str">
        <f ca="1">IFERROR(__xludf.DUMMYFUNCTION("""COMPUTED_VALUE"""),"EVERGREEN - UAN Gated Content - Embedded Petition")</f>
        <v>EVERGREEN - UAN Gated Content - Embedded Petition</v>
      </c>
      <c r="D1765" s="10">
        <f ca="1">IFERROR(__xludf.DUMMYFUNCTION("""COMPUTED_VALUE"""),45636)</f>
        <v>45636</v>
      </c>
      <c r="E1765" s="1" t="str">
        <f ca="1">IFERROR(__xludf.DUMMYFUNCTION("""COMPUTED_VALUE"""),"Egypt")</f>
        <v>Egypt</v>
      </c>
      <c r="F1765" s="1" t="str">
        <f ca="1">IFERROR(__xludf.DUMMYFUNCTION("""COMPUTED_VALUE"""),"Ninth 190.18 Egypt")</f>
        <v>Ninth 190.18 Egypt</v>
      </c>
      <c r="G1765" s="1" t="str">
        <f ca="1">IFERROR(__xludf.DUMMYFUNCTION("""COMPUTED_VALUE"""),"Freedom of Expression, Individuals At Risk")</f>
        <v>Freedom of Expression, Individuals At Risk</v>
      </c>
      <c r="H1765" s="1" t="str">
        <f ca="1">IFERROR(__xludf.DUMMYFUNCTION("""COMPUTED_VALUE"""),"2024")</f>
        <v>2024</v>
      </c>
      <c r="I1765" s="1" t="str">
        <f ca="1">IFERROR(__xludf.DUMMYFUNCTION("""COMPUTED_VALUE"""),"Letter")</f>
        <v>Letter</v>
      </c>
    </row>
    <row r="1766" spans="1:9" ht="13" x14ac:dyDescent="0.15">
      <c r="A1766" s="9">
        <f ca="1">IFERROR(__xludf.DUMMYFUNCTION("""COMPUTED_VALUE"""),203554051)</f>
        <v>203554051</v>
      </c>
      <c r="B1766" s="1" t="str">
        <f ca="1">IFERROR(__xludf.DUMMYFUNCTION("""COMPUTED_VALUE"""),"rgrooms321@gmail.com")</f>
        <v>rgrooms321@gmail.com</v>
      </c>
      <c r="C1766" s="9" t="str">
        <f ca="1">IFERROR(__xludf.DUMMYFUNCTION("""COMPUTED_VALUE"""),"EVERGREEN - UAN Gated Content - Embedded Petition")</f>
        <v>EVERGREEN - UAN Gated Content - Embedded Petition</v>
      </c>
      <c r="D1766" s="10">
        <f ca="1">IFERROR(__xludf.DUMMYFUNCTION("""COMPUTED_VALUE"""),45653)</f>
        <v>45653</v>
      </c>
      <c r="E1766" s="1" t="str">
        <f ca="1">IFERROR(__xludf.DUMMYFUNCTION("""COMPUTED_VALUE"""),"USA")</f>
        <v>USA</v>
      </c>
      <c r="F1766" s="1" t="str">
        <f ca="1">IFERROR(__xludf.DUMMYFUNCTION("""COMPUTED_VALUE"""),"4.25 USA")</f>
        <v>4.25 USA</v>
      </c>
      <c r="G1766" s="1" t="str">
        <f ca="1">IFERROR(__xludf.DUMMYFUNCTION("""COMPUTED_VALUE"""),"Individuals At Risk, Refugee and Migrant Rights")</f>
        <v>Individuals At Risk, Refugee and Migrant Rights</v>
      </c>
      <c r="H1766" s="1" t="str">
        <f ca="1">IFERROR(__xludf.DUMMYFUNCTION("""COMPUTED_VALUE"""),"2025")</f>
        <v>2025</v>
      </c>
      <c r="I1766" s="1" t="str">
        <f ca="1">IFERROR(__xludf.DUMMYFUNCTION("""COMPUTED_VALUE"""),"Letter")</f>
        <v>Letter</v>
      </c>
    </row>
    <row r="1767" spans="1:9" ht="13" x14ac:dyDescent="0.15">
      <c r="A1767" s="9">
        <f ca="1">IFERROR(__xludf.DUMMYFUNCTION("""COMPUTED_VALUE"""),203554051)</f>
        <v>203554051</v>
      </c>
      <c r="B1767" s="1" t="str">
        <f ca="1">IFERROR(__xludf.DUMMYFUNCTION("""COMPUTED_VALUE"""),"rgrooms321@gmail.com")</f>
        <v>rgrooms321@gmail.com</v>
      </c>
      <c r="C1767" s="9" t="str">
        <f ca="1">IFERROR(__xludf.DUMMYFUNCTION("""COMPUTED_VALUE"""),"EVERGREEN - UAN Gated Content - Embedded Petition")</f>
        <v>EVERGREEN - UAN Gated Content - Embedded Petition</v>
      </c>
      <c r="D1767" s="10">
        <f ca="1">IFERROR(__xludf.DUMMYFUNCTION("""COMPUTED_VALUE"""),45653)</f>
        <v>45653</v>
      </c>
      <c r="E1767" s="1" t="str">
        <f ca="1">IFERROR(__xludf.DUMMYFUNCTION("""COMPUTED_VALUE"""),"Israel and Occupied Palestinian Territories")</f>
        <v>Israel and Occupied Palestinian Territories</v>
      </c>
      <c r="F1767" s="1" t="str">
        <f ca="1">IFERROR(__xludf.DUMMYFUNCTION("""COMPUTED_VALUE"""),"3.25 IOPT")</f>
        <v>3.25 IOPT</v>
      </c>
      <c r="G1767" s="1" t="str">
        <f ca="1">IFERROR(__xludf.DUMMYFUNCTION("""COMPUTED_VALUE"""),"Freedom of Expression, Individuals At Risk")</f>
        <v>Freedom of Expression, Individuals At Risk</v>
      </c>
      <c r="H1767" s="1" t="str">
        <f ca="1">IFERROR(__xludf.DUMMYFUNCTION("""COMPUTED_VALUE"""),"2025")</f>
        <v>2025</v>
      </c>
      <c r="I1767" s="1" t="str">
        <f ca="1">IFERROR(__xludf.DUMMYFUNCTION("""COMPUTED_VALUE"""),"Email")</f>
        <v>Email</v>
      </c>
    </row>
    <row r="1768" spans="1:9" ht="13" x14ac:dyDescent="0.15">
      <c r="A1768" s="9">
        <f ca="1">IFERROR(__xludf.DUMMYFUNCTION("""COMPUTED_VALUE"""),203554051)</f>
        <v>203554051</v>
      </c>
      <c r="B1768" s="1" t="str">
        <f ca="1">IFERROR(__xludf.DUMMYFUNCTION("""COMPUTED_VALUE"""),"rgrooms321@gmail.com")</f>
        <v>rgrooms321@gmail.com</v>
      </c>
      <c r="C1768" s="9" t="str">
        <f ca="1">IFERROR(__xludf.DUMMYFUNCTION("""COMPUTED_VALUE"""),"EVERGREEN - UAN Gated Content - Embedded Petition")</f>
        <v>EVERGREEN - UAN Gated Content - Embedded Petition</v>
      </c>
      <c r="D1768" s="10">
        <f ca="1">IFERROR(__xludf.DUMMYFUNCTION("""COMPUTED_VALUE"""),45618)</f>
        <v>45618</v>
      </c>
      <c r="E1768" s="1" t="str">
        <f ca="1">IFERROR(__xludf.DUMMYFUNCTION("""COMPUTED_VALUE"""),"Venezuela")</f>
        <v>Venezuela</v>
      </c>
      <c r="F1768" s="1" t="str">
        <f ca="1">IFERROR(__xludf.DUMMYFUNCTION("""COMPUTED_VALUE"""),"97.24 Venezuela")</f>
        <v>97.24 Venezuela</v>
      </c>
      <c r="G1768" s="1" t="str">
        <f ca="1">IFERROR(__xludf.DUMMYFUNCTION("""COMPUTED_VALUE"""),"Freedom of Expression")</f>
        <v>Freedom of Expression</v>
      </c>
      <c r="H1768" s="1" t="str">
        <f ca="1">IFERROR(__xludf.DUMMYFUNCTION("""COMPUTED_VALUE"""),"2024")</f>
        <v>2024</v>
      </c>
      <c r="I1768" s="1" t="str">
        <f ca="1">IFERROR(__xludf.DUMMYFUNCTION("""COMPUTED_VALUE"""),"Letter")</f>
        <v>Letter</v>
      </c>
    </row>
    <row r="1769" spans="1:9" ht="13" x14ac:dyDescent="0.15">
      <c r="A1769" s="9">
        <f ca="1">IFERROR(__xludf.DUMMYFUNCTION("""COMPUTED_VALUE"""),203555183)</f>
        <v>203555183</v>
      </c>
      <c r="B1769" s="1" t="str">
        <f ca="1">IFERROR(__xludf.DUMMYFUNCTION("""COMPUTED_VALUE"""),"gramdot91@gmail.com")</f>
        <v>gramdot91@gmail.com</v>
      </c>
      <c r="C1769" s="9" t="str">
        <f ca="1">IFERROR(__xludf.DUMMYFUNCTION("""COMPUTED_VALUE"""),"EVERGREEN - UAN Gated Content - Embedded Petition")</f>
        <v>EVERGREEN - UAN Gated Content - Embedded Petition</v>
      </c>
      <c r="D1769" s="10">
        <f ca="1">IFERROR(__xludf.DUMMYFUNCTION("""COMPUTED_VALUE"""),45694)</f>
        <v>45694</v>
      </c>
      <c r="E1769" s="1" t="str">
        <f ca="1">IFERROR(__xludf.DUMMYFUNCTION("""COMPUTED_VALUE"""),"Venezuela")</f>
        <v>Venezuela</v>
      </c>
      <c r="F1769" s="1" t="str">
        <f ca="1">IFERROR(__xludf.DUMMYFUNCTION("""COMPUTED_VALUE"""),"97.24 Venezuela")</f>
        <v>97.24 Venezuela</v>
      </c>
      <c r="G1769" s="1" t="str">
        <f ca="1">IFERROR(__xludf.DUMMYFUNCTION("""COMPUTED_VALUE"""),"Freedom of Expression")</f>
        <v>Freedom of Expression</v>
      </c>
      <c r="H1769" s="1" t="str">
        <f ca="1">IFERROR(__xludf.DUMMYFUNCTION("""COMPUTED_VALUE"""),"2024")</f>
        <v>2024</v>
      </c>
      <c r="I1769" s="1" t="str">
        <f ca="1">IFERROR(__xludf.DUMMYFUNCTION("""COMPUTED_VALUE"""),"Letter")</f>
        <v>Letter</v>
      </c>
    </row>
    <row r="1770" spans="1:9" ht="13" x14ac:dyDescent="0.15">
      <c r="A1770" s="9">
        <f ca="1">IFERROR(__xludf.DUMMYFUNCTION("""COMPUTED_VALUE"""),203555183)</f>
        <v>203555183</v>
      </c>
      <c r="B1770" s="1" t="str">
        <f ca="1">IFERROR(__xludf.DUMMYFUNCTION("""COMPUTED_VALUE"""),"gramdot91@gmail.com")</f>
        <v>gramdot91@gmail.com</v>
      </c>
      <c r="C1770" s="9" t="str">
        <f ca="1">IFERROR(__xludf.DUMMYFUNCTION("""COMPUTED_VALUE"""),"EVERGREEN - UAN Gated Content - Embedded Petition")</f>
        <v>EVERGREEN - UAN Gated Content - Embedded Petition</v>
      </c>
      <c r="D1770" s="10">
        <f ca="1">IFERROR(__xludf.DUMMYFUNCTION("""COMPUTED_VALUE"""),45700)</f>
        <v>45700</v>
      </c>
      <c r="E1770" s="1" t="str">
        <f ca="1">IFERROR(__xludf.DUMMYFUNCTION("""COMPUTED_VALUE"""),"USA")</f>
        <v>USA</v>
      </c>
      <c r="F1770" s="1" t="str">
        <f ca="1">IFERROR(__xludf.DUMMYFUNCTION("""COMPUTED_VALUE"""),"4.25 USA")</f>
        <v>4.25 USA</v>
      </c>
      <c r="G1770" s="1" t="str">
        <f ca="1">IFERROR(__xludf.DUMMYFUNCTION("""COMPUTED_VALUE"""),"Individuals At Risk, Refugee and Migrant Rights")</f>
        <v>Individuals At Risk, Refugee and Migrant Rights</v>
      </c>
      <c r="H1770" s="1" t="str">
        <f ca="1">IFERROR(__xludf.DUMMYFUNCTION("""COMPUTED_VALUE"""),"2025")</f>
        <v>2025</v>
      </c>
      <c r="I1770" s="1" t="str">
        <f ca="1">IFERROR(__xludf.DUMMYFUNCTION("""COMPUTED_VALUE"""),"Letter")</f>
        <v>Letter</v>
      </c>
    </row>
    <row r="1771" spans="1:9" ht="13" x14ac:dyDescent="0.15">
      <c r="A1771" s="9">
        <f ca="1">IFERROR(__xludf.DUMMYFUNCTION("""COMPUTED_VALUE"""),203555549)</f>
        <v>203555549</v>
      </c>
      <c r="B1771" s="1" t="str">
        <f ca="1">IFERROR(__xludf.DUMMYFUNCTION("""COMPUTED_VALUE"""),"clellyd@bigpond.com")</f>
        <v>clellyd@bigpond.com</v>
      </c>
      <c r="C1771" s="9" t="str">
        <f ca="1">IFERROR(__xludf.DUMMYFUNCTION("""COMPUTED_VALUE"""),"EVERGREEN - Website Email Capture Form - UAN Pre-Footer")</f>
        <v>EVERGREEN - Website Email Capture Form - UAN Pre-Footer</v>
      </c>
      <c r="D1771" s="10">
        <f ca="1">IFERROR(__xludf.DUMMYFUNCTION("""COMPUTED_VALUE"""),45660)</f>
        <v>45660</v>
      </c>
      <c r="E1771" s="1" t="str">
        <f ca="1">IFERROR(__xludf.DUMMYFUNCTION("""COMPUTED_VALUE"""),"Tunisia")</f>
        <v>Tunisia</v>
      </c>
      <c r="F1771" s="1" t="str">
        <f ca="1">IFERROR(__xludf.DUMMYFUNCTION("""COMPUTED_VALUE"""),"Second 76.24 Tunisia")</f>
        <v>Second 76.24 Tunisia</v>
      </c>
      <c r="G1771" s="1" t="str">
        <f ca="1">IFERROR(__xludf.DUMMYFUNCTION("""COMPUTED_VALUE"""),"Freedom of Expression, Human Rights Defenders")</f>
        <v>Freedom of Expression, Human Rights Defenders</v>
      </c>
      <c r="H1771" s="1" t="str">
        <f ca="1">IFERROR(__xludf.DUMMYFUNCTION("""COMPUTED_VALUE"""),"2025")</f>
        <v>2025</v>
      </c>
      <c r="I1771" s="1" t="str">
        <f ca="1">IFERROR(__xludf.DUMMYFUNCTION("""COMPUTED_VALUE"""),"Email")</f>
        <v>Email</v>
      </c>
    </row>
    <row r="1772" spans="1:9" ht="13" x14ac:dyDescent="0.15">
      <c r="A1772" s="9">
        <f ca="1">IFERROR(__xludf.DUMMYFUNCTION("""COMPUTED_VALUE"""),203601947)</f>
        <v>203601947</v>
      </c>
      <c r="B1772" s="1" t="str">
        <f ca="1">IFERROR(__xludf.DUMMYFUNCTION("""COMPUTED_VALUE"""),"pobriensubscribe@gmail.com")</f>
        <v>pobriensubscribe@gmail.com</v>
      </c>
      <c r="C1772" s="9" t="str">
        <f ca="1">IFERROR(__xludf.DUMMYFUNCTION("""COMPUTED_VALUE"""),"EVERGREEN - UAN Gated Content - Embedded Petition")</f>
        <v>EVERGREEN - UAN Gated Content - Embedded Petition</v>
      </c>
      <c r="D1772" s="10">
        <f ca="1">IFERROR(__xludf.DUMMYFUNCTION("""COMPUTED_VALUE"""),45616)</f>
        <v>45616</v>
      </c>
      <c r="E1772" s="1" t="str">
        <f ca="1">IFERROR(__xludf.DUMMYFUNCTION("""COMPUTED_VALUE"""),"Dominican Republic")</f>
        <v>Dominican Republic</v>
      </c>
      <c r="F1772" s="1" t="str">
        <f ca="1">IFERROR(__xludf.DUMMYFUNCTION("""COMPUTED_VALUE"""),"88.24 Dominican Republic")</f>
        <v>88.24 Dominican Republic</v>
      </c>
      <c r="G1772" s="1" t="str">
        <f ca="1">IFERROR(__xludf.DUMMYFUNCTION("""COMPUTED_VALUE"""),"Individuals At Risk, Refugee and Migrant Rights")</f>
        <v>Individuals At Risk, Refugee and Migrant Rights</v>
      </c>
      <c r="H1772" s="1" t="str">
        <f ca="1">IFERROR(__xludf.DUMMYFUNCTION("""COMPUTED_VALUE"""),"2024")</f>
        <v>2024</v>
      </c>
      <c r="I1772" s="1" t="str">
        <f ca="1">IFERROR(__xludf.DUMMYFUNCTION("""COMPUTED_VALUE"""),"Letter")</f>
        <v>Letter</v>
      </c>
    </row>
    <row r="1773" spans="1:9" ht="13" x14ac:dyDescent="0.15">
      <c r="A1773" s="9">
        <f ca="1">IFERROR(__xludf.DUMMYFUNCTION("""COMPUTED_VALUE"""),203720807)</f>
        <v>203720807</v>
      </c>
      <c r="B1773" s="1" t="str">
        <f ca="1">IFERROR(__xludf.DUMMYFUNCTION("""COMPUTED_VALUE"""),"colleranbarbara@gmail.com")</f>
        <v>colleranbarbara@gmail.com</v>
      </c>
      <c r="C1773" s="9" t="str">
        <f ca="1">IFERROR(__xludf.DUMMYFUNCTION("""COMPUTED_VALUE"""),"EVERGREEN - UAN Gated Content - Embedded Petition")</f>
        <v>EVERGREEN - UAN Gated Content - Embedded Petition</v>
      </c>
      <c r="D1773" s="10">
        <f ca="1">IFERROR(__xludf.DUMMYFUNCTION("""COMPUTED_VALUE"""),45636)</f>
        <v>45636</v>
      </c>
      <c r="E1773" s="1" t="str">
        <f ca="1">IFERROR(__xludf.DUMMYFUNCTION("""COMPUTED_VALUE"""),"Egypt")</f>
        <v>Egypt</v>
      </c>
      <c r="F1773" s="1" t="str">
        <f ca="1">IFERROR(__xludf.DUMMYFUNCTION("""COMPUTED_VALUE"""),"Ninth 190.18 Egypt")</f>
        <v>Ninth 190.18 Egypt</v>
      </c>
      <c r="G1773" s="1" t="str">
        <f ca="1">IFERROR(__xludf.DUMMYFUNCTION("""COMPUTED_VALUE"""),"Freedom of Expression, Individuals At Risk")</f>
        <v>Freedom of Expression, Individuals At Risk</v>
      </c>
      <c r="H1773" s="1" t="str">
        <f ca="1">IFERROR(__xludf.DUMMYFUNCTION("""COMPUTED_VALUE"""),"2024")</f>
        <v>2024</v>
      </c>
      <c r="I1773" s="1" t="str">
        <f ca="1">IFERROR(__xludf.DUMMYFUNCTION("""COMPUTED_VALUE"""),"Letter")</f>
        <v>Letter</v>
      </c>
    </row>
    <row r="1774" spans="1:9" ht="13" x14ac:dyDescent="0.15">
      <c r="A1774" s="9">
        <f ca="1">IFERROR(__xludf.DUMMYFUNCTION("""COMPUTED_VALUE"""),204186197)</f>
        <v>204186197</v>
      </c>
      <c r="B1774" s="1" t="str">
        <f ca="1">IFERROR(__xludf.DUMMYFUNCTION("""COMPUTED_VALUE"""),"richalbert@comcast.net")</f>
        <v>richalbert@comcast.net</v>
      </c>
      <c r="C1774" s="9" t="str">
        <f ca="1">IFERROR(__xludf.DUMMYFUNCTION("""COMPUTED_VALUE"""),"EVERGREEN - UAN Gated Content - Embedded Petition")</f>
        <v>EVERGREEN - UAN Gated Content - Embedded Petition</v>
      </c>
      <c r="D1774" s="10">
        <f ca="1">IFERROR(__xludf.DUMMYFUNCTION("""COMPUTED_VALUE"""),45694)</f>
        <v>45694</v>
      </c>
      <c r="E1774" s="1" t="str">
        <f ca="1">IFERROR(__xludf.DUMMYFUNCTION("""COMPUTED_VALUE"""),"USA")</f>
        <v>USA</v>
      </c>
      <c r="F1774" s="1" t="str">
        <f ca="1">IFERROR(__xludf.DUMMYFUNCTION("""COMPUTED_VALUE"""),"Fourth 55.24 USA")</f>
        <v>Fourth 55.24 USA</v>
      </c>
      <c r="G1774" s="1" t="str">
        <f ca="1">IFERROR(__xludf.DUMMYFUNCTION("""COMPUTED_VALUE"""),"Climate Justice, Individuals At Risk")</f>
        <v>Climate Justice, Individuals At Risk</v>
      </c>
      <c r="H1774" s="1" t="str">
        <f ca="1">IFERROR(__xludf.DUMMYFUNCTION("""COMPUTED_VALUE"""),"2025")</f>
        <v>2025</v>
      </c>
      <c r="I1774" s="1" t="str">
        <f ca="1">IFERROR(__xludf.DUMMYFUNCTION("""COMPUTED_VALUE"""),"Email")</f>
        <v>Email</v>
      </c>
    </row>
    <row r="1775" spans="1:9" ht="13" x14ac:dyDescent="0.15">
      <c r="A1775" s="9">
        <f ca="1">IFERROR(__xludf.DUMMYFUNCTION("""COMPUTED_VALUE"""),204186197)</f>
        <v>204186197</v>
      </c>
      <c r="B1775" s="1" t="str">
        <f ca="1">IFERROR(__xludf.DUMMYFUNCTION("""COMPUTED_VALUE"""),"richalbert@comcast.net")</f>
        <v>richalbert@comcast.net</v>
      </c>
      <c r="C1775" s="9" t="str">
        <f ca="1">IFERROR(__xludf.DUMMYFUNCTION("""COMPUTED_VALUE"""),"EVERGREEN - UAN Gated Content - Embedded Petition")</f>
        <v>EVERGREEN - UAN Gated Content - Embedded Petition</v>
      </c>
      <c r="D1775" s="10">
        <f ca="1">IFERROR(__xludf.DUMMYFUNCTION("""COMPUTED_VALUE"""),45669)</f>
        <v>45669</v>
      </c>
      <c r="E1775" s="1" t="str">
        <f ca="1">IFERROR(__xludf.DUMMYFUNCTION("""COMPUTED_VALUE"""),"USA")</f>
        <v>USA</v>
      </c>
      <c r="F1775" s="1" t="str">
        <f ca="1">IFERROR(__xludf.DUMMYFUNCTION("""COMPUTED_VALUE"""),"Fourth 55.24 USA")</f>
        <v>Fourth 55.24 USA</v>
      </c>
      <c r="G1775" s="1" t="str">
        <f ca="1">IFERROR(__xludf.DUMMYFUNCTION("""COMPUTED_VALUE"""),"Climate Justice, Individuals At Risk")</f>
        <v>Climate Justice, Individuals At Risk</v>
      </c>
      <c r="H1775" s="1" t="str">
        <f ca="1">IFERROR(__xludf.DUMMYFUNCTION("""COMPUTED_VALUE"""),"2025")</f>
        <v>2025</v>
      </c>
      <c r="I1775" s="1" t="str">
        <f ca="1">IFERROR(__xludf.DUMMYFUNCTION("""COMPUTED_VALUE"""),"Email")</f>
        <v>Email</v>
      </c>
    </row>
    <row r="1776" spans="1:9" ht="13" x14ac:dyDescent="0.15">
      <c r="A1776" s="9">
        <f ca="1">IFERROR(__xludf.DUMMYFUNCTION("""COMPUTED_VALUE"""),204964218)</f>
        <v>204964218</v>
      </c>
      <c r="B1776" s="1" t="str">
        <f ca="1">IFERROR(__xludf.DUMMYFUNCTION("""COMPUTED_VALUE"""),"masood.ahmad.sheikh@gmail.com")</f>
        <v>masood.ahmad.sheikh@gmail.com</v>
      </c>
      <c r="C1776" s="9" t="str">
        <f ca="1">IFERROR(__xludf.DUMMYFUNCTION("""COMPUTED_VALUE"""),"EVERGREEN - UAN Gated Content - Embedded Petition")</f>
        <v>EVERGREEN - UAN Gated Content - Embedded Petition</v>
      </c>
      <c r="D1776" s="10">
        <f ca="1">IFERROR(__xludf.DUMMYFUNCTION("""COMPUTED_VALUE"""),45684)</f>
        <v>45684</v>
      </c>
      <c r="E1776" s="1" t="str">
        <f ca="1">IFERROR(__xludf.DUMMYFUNCTION("""COMPUTED_VALUE"""),"Tunisia")</f>
        <v>Tunisia</v>
      </c>
      <c r="F1776" s="1" t="str">
        <f ca="1">IFERROR(__xludf.DUMMYFUNCTION("""COMPUTED_VALUE"""),"Second 76.24 Tunisia")</f>
        <v>Second 76.24 Tunisia</v>
      </c>
      <c r="G1776" s="1" t="str">
        <f ca="1">IFERROR(__xludf.DUMMYFUNCTION("""COMPUTED_VALUE"""),"Freedom of Expression, Human Rights Defenders")</f>
        <v>Freedom of Expression, Human Rights Defenders</v>
      </c>
      <c r="H1776" s="1" t="str">
        <f ca="1">IFERROR(__xludf.DUMMYFUNCTION("""COMPUTED_VALUE"""),"2025")</f>
        <v>2025</v>
      </c>
      <c r="I1776" s="1" t="str">
        <f ca="1">IFERROR(__xludf.DUMMYFUNCTION("""COMPUTED_VALUE"""),"Email")</f>
        <v>Email</v>
      </c>
    </row>
    <row r="1777" spans="1:9" ht="13" x14ac:dyDescent="0.15">
      <c r="A1777" s="9">
        <f ca="1">IFERROR(__xludf.DUMMYFUNCTION("""COMPUTED_VALUE"""),204964671)</f>
        <v>204964671</v>
      </c>
      <c r="B1777" s="1" t="str">
        <f ca="1">IFERROR(__xludf.DUMMYFUNCTION("""COMPUTED_VALUE"""),"sherry_g_b@hotmail.com")</f>
        <v>sherry_g_b@hotmail.com</v>
      </c>
      <c r="C1777" s="9" t="str">
        <f ca="1">IFERROR(__xludf.DUMMYFUNCTION("""COMPUTED_VALUE"""),"EVERGREEN - UAN Gated Content - Embedded Petition")</f>
        <v>EVERGREEN - UAN Gated Content - Embedded Petition</v>
      </c>
      <c r="D1777" s="10">
        <f ca="1">IFERROR(__xludf.DUMMYFUNCTION("""COMPUTED_VALUE"""),45674)</f>
        <v>45674</v>
      </c>
      <c r="E1777" s="1" t="str">
        <f ca="1">IFERROR(__xludf.DUMMYFUNCTION("""COMPUTED_VALUE"""),"USA")</f>
        <v>USA</v>
      </c>
      <c r="F1777" s="1" t="str">
        <f ca="1">IFERROR(__xludf.DUMMYFUNCTION("""COMPUTED_VALUE"""),"4.25 USA")</f>
        <v>4.25 USA</v>
      </c>
      <c r="G1777" s="1" t="str">
        <f ca="1">IFERROR(__xludf.DUMMYFUNCTION("""COMPUTED_VALUE"""),"Individuals At Risk, Refugee and Migrant Rights")</f>
        <v>Individuals At Risk, Refugee and Migrant Rights</v>
      </c>
      <c r="H1777" s="1" t="str">
        <f ca="1">IFERROR(__xludf.DUMMYFUNCTION("""COMPUTED_VALUE"""),"2025")</f>
        <v>2025</v>
      </c>
      <c r="I1777" s="1" t="str">
        <f ca="1">IFERROR(__xludf.DUMMYFUNCTION("""COMPUTED_VALUE"""),"Letter")</f>
        <v>Letter</v>
      </c>
    </row>
    <row r="1778" spans="1:9" ht="13" x14ac:dyDescent="0.15">
      <c r="A1778" s="9">
        <f ca="1">IFERROR(__xludf.DUMMYFUNCTION("""COMPUTED_VALUE"""),205038505)</f>
        <v>205038505</v>
      </c>
      <c r="B1778" s="1" t="str">
        <f ca="1">IFERROR(__xludf.DUMMYFUNCTION("""COMPUTED_VALUE"""),"jthomas581@aol.com")</f>
        <v>jthomas581@aol.com</v>
      </c>
      <c r="C1778" s="9" t="str">
        <f ca="1">IFERROR(__xludf.DUMMYFUNCTION("""COMPUTED_VALUE"""),"UAN mid-page Lightbox - Step 1 of 4 - Landing Page")</f>
        <v>UAN mid-page Lightbox - Step 1 of 4 - Landing Page</v>
      </c>
      <c r="D1778" s="10">
        <f ca="1">IFERROR(__xludf.DUMMYFUNCTION("""COMPUTED_VALUE"""),45639)</f>
        <v>45639</v>
      </c>
      <c r="E1778" s="1" t="str">
        <f ca="1">IFERROR(__xludf.DUMMYFUNCTION("""COMPUTED_VALUE"""),"USA")</f>
        <v>USA</v>
      </c>
      <c r="F1778" s="1" t="str">
        <f ca="1">IFERROR(__xludf.DUMMYFUNCTION("""COMPUTED_VALUE"""),"4.25 USA")</f>
        <v>4.25 USA</v>
      </c>
      <c r="G1778" s="1" t="str">
        <f ca="1">IFERROR(__xludf.DUMMYFUNCTION("""COMPUTED_VALUE"""),"Individuals At Risk, Refugee and Migrant Rights")</f>
        <v>Individuals At Risk, Refugee and Migrant Rights</v>
      </c>
      <c r="H1778" s="1" t="str">
        <f ca="1">IFERROR(__xludf.DUMMYFUNCTION("""COMPUTED_VALUE"""),"2025")</f>
        <v>2025</v>
      </c>
      <c r="I1778" s="1" t="str">
        <f ca="1">IFERROR(__xludf.DUMMYFUNCTION("""COMPUTED_VALUE"""),"Letter")</f>
        <v>Letter</v>
      </c>
    </row>
    <row r="1779" spans="1:9" ht="13" x14ac:dyDescent="0.15">
      <c r="A1779" s="9">
        <f ca="1">IFERROR(__xludf.DUMMYFUNCTION("""COMPUTED_VALUE"""),205038505)</f>
        <v>205038505</v>
      </c>
      <c r="B1779" s="1" t="str">
        <f ca="1">IFERROR(__xludf.DUMMYFUNCTION("""COMPUTED_VALUE"""),"jthomas581@aol.com")</f>
        <v>jthomas581@aol.com</v>
      </c>
      <c r="C1779" s="9" t="str">
        <f ca="1">IFERROR(__xludf.DUMMYFUNCTION("""COMPUTED_VALUE"""),"UAN mid-page Lightbox - Step 2 of 4 - More personal info fields")</f>
        <v>UAN mid-page Lightbox - Step 2 of 4 - More personal info fields</v>
      </c>
      <c r="D1779" s="10">
        <f ca="1">IFERROR(__xludf.DUMMYFUNCTION("""COMPUTED_VALUE"""),45639)</f>
        <v>45639</v>
      </c>
      <c r="E1779" s="1" t="str">
        <f ca="1">IFERROR(__xludf.DUMMYFUNCTION("""COMPUTED_VALUE"""),"USA")</f>
        <v>USA</v>
      </c>
      <c r="F1779" s="1" t="str">
        <f ca="1">IFERROR(__xludf.DUMMYFUNCTION("""COMPUTED_VALUE"""),"105.24 USA")</f>
        <v>105.24 USA</v>
      </c>
      <c r="G1779" s="1" t="str">
        <f ca="1">IFERROR(__xludf.DUMMYFUNCTION("""COMPUTED_VALUE"""),"Death Penalty")</f>
        <v>Death Penalty</v>
      </c>
      <c r="H1779" s="1" t="str">
        <f ca="1">IFERROR(__xludf.DUMMYFUNCTION("""COMPUTED_VALUE"""),"2024")</f>
        <v>2024</v>
      </c>
      <c r="I1779" s="1" t="str">
        <f ca="1">IFERROR(__xludf.DUMMYFUNCTION("""COMPUTED_VALUE"""),"Email")</f>
        <v>Email</v>
      </c>
    </row>
    <row r="1780" spans="1:9" ht="13" x14ac:dyDescent="0.15">
      <c r="A1780" s="9">
        <f ca="1">IFERROR(__xludf.DUMMYFUNCTION("""COMPUTED_VALUE"""),205038505)</f>
        <v>205038505</v>
      </c>
      <c r="B1780" s="1" t="str">
        <f ca="1">IFERROR(__xludf.DUMMYFUNCTION("""COMPUTED_VALUE"""),"jthomas581@aol.com")</f>
        <v>jthomas581@aol.com</v>
      </c>
      <c r="C1780" s="9" t="str">
        <f ca="1">IFERROR(__xludf.DUMMYFUNCTION("""COMPUTED_VALUE"""),"UAN mid-page Lightbox - Step 3 of 4 - More opt-ins")</f>
        <v>UAN mid-page Lightbox - Step 3 of 4 - More opt-ins</v>
      </c>
      <c r="D1780" s="10">
        <f ca="1">IFERROR(__xludf.DUMMYFUNCTION("""COMPUTED_VALUE"""),45639)</f>
        <v>45639</v>
      </c>
      <c r="E1780" s="1" t="str">
        <f ca="1">IFERROR(__xludf.DUMMYFUNCTION("""COMPUTED_VALUE"""),"Azerbaijan")</f>
        <v>Azerbaijan</v>
      </c>
      <c r="F1780" s="1" t="str">
        <f ca="1">IFERROR(__xludf.DUMMYFUNCTION("""COMPUTED_VALUE"""),"2.25 Azerbaijan")</f>
        <v>2.25 Azerbaijan</v>
      </c>
      <c r="G1780" s="1" t="str">
        <f ca="1">IFERROR(__xludf.DUMMYFUNCTION("""COMPUTED_VALUE"""),"Freedom of Expression, Human Rights Defenders")</f>
        <v>Freedom of Expression, Human Rights Defenders</v>
      </c>
      <c r="H1780" s="1" t="str">
        <f ca="1">IFERROR(__xludf.DUMMYFUNCTION("""COMPUTED_VALUE"""),"2025")</f>
        <v>2025</v>
      </c>
      <c r="I1780" s="1" t="str">
        <f ca="1">IFERROR(__xludf.DUMMYFUNCTION("""COMPUTED_VALUE"""),"Email")</f>
        <v>Email</v>
      </c>
    </row>
    <row r="1781" spans="1:9" ht="13" x14ac:dyDescent="0.15">
      <c r="A1781" s="9">
        <f ca="1">IFERROR(__xludf.DUMMYFUNCTION("""COMPUTED_VALUE"""),206851367)</f>
        <v>206851367</v>
      </c>
      <c r="B1781" s="1" t="str">
        <f ca="1">IFERROR(__xludf.DUMMYFUNCTION("""COMPUTED_VALUE"""),"rebekahcolours@gmail.com")</f>
        <v>rebekahcolours@gmail.com</v>
      </c>
      <c r="C1781" s="9" t="str">
        <f ca="1">IFERROR(__xludf.DUMMYFUNCTION("""COMPUTED_VALUE"""),"EVERGREEN - UAN Gated Content - Embedded Petition")</f>
        <v>EVERGREEN - UAN Gated Content - Embedded Petition</v>
      </c>
      <c r="D1781" s="10">
        <f ca="1">IFERROR(__xludf.DUMMYFUNCTION("""COMPUTED_VALUE"""),45694)</f>
        <v>45694</v>
      </c>
      <c r="E1781" s="1" t="str">
        <f ca="1">IFERROR(__xludf.DUMMYFUNCTION("""COMPUTED_VALUE"""),"Egypt")</f>
        <v>Egypt</v>
      </c>
      <c r="F1781" s="1" t="str">
        <f ca="1">IFERROR(__xludf.DUMMYFUNCTION("""COMPUTED_VALUE"""),"Ninth 190.18 Egypt")</f>
        <v>Ninth 190.18 Egypt</v>
      </c>
      <c r="G1781" s="1" t="str">
        <f ca="1">IFERROR(__xludf.DUMMYFUNCTION("""COMPUTED_VALUE"""),"Freedom of Expression, Individuals At Risk")</f>
        <v>Freedom of Expression, Individuals At Risk</v>
      </c>
      <c r="H1781" s="1" t="str">
        <f ca="1">IFERROR(__xludf.DUMMYFUNCTION("""COMPUTED_VALUE"""),"2024")</f>
        <v>2024</v>
      </c>
      <c r="I1781" s="1" t="str">
        <f ca="1">IFERROR(__xludf.DUMMYFUNCTION("""COMPUTED_VALUE"""),"Letter")</f>
        <v>Letter</v>
      </c>
    </row>
    <row r="1782" spans="1:9" ht="13" x14ac:dyDescent="0.15">
      <c r="A1782" s="9">
        <f ca="1">IFERROR(__xludf.DUMMYFUNCTION("""COMPUTED_VALUE"""),206851367)</f>
        <v>206851367</v>
      </c>
      <c r="B1782" s="1" t="str">
        <f ca="1">IFERROR(__xludf.DUMMYFUNCTION("""COMPUTED_VALUE"""),"rebekahcolours@gmail.com")</f>
        <v>rebekahcolours@gmail.com</v>
      </c>
      <c r="C1782" s="9" t="str">
        <f ca="1">IFERROR(__xludf.DUMMYFUNCTION("""COMPUTED_VALUE"""),"EVERGREEN - UAN Gated Content - Embedded Petition")</f>
        <v>EVERGREEN - UAN Gated Content - Embedded Petition</v>
      </c>
      <c r="D1782" s="10">
        <f ca="1">IFERROR(__xludf.DUMMYFUNCTION("""COMPUTED_VALUE"""),45694)</f>
        <v>45694</v>
      </c>
      <c r="E1782" s="1" t="str">
        <f ca="1">IFERROR(__xludf.DUMMYFUNCTION("""COMPUTED_VALUE"""),"USA")</f>
        <v>USA</v>
      </c>
      <c r="F1782" s="1" t="str">
        <f ca="1">IFERROR(__xludf.DUMMYFUNCTION("""COMPUTED_VALUE"""),"4.25 USA")</f>
        <v>4.25 USA</v>
      </c>
      <c r="G1782" s="1" t="str">
        <f ca="1">IFERROR(__xludf.DUMMYFUNCTION("""COMPUTED_VALUE"""),"Individuals At Risk, Refugee and Migrant Rights")</f>
        <v>Individuals At Risk, Refugee and Migrant Rights</v>
      </c>
      <c r="H1782" s="1" t="str">
        <f ca="1">IFERROR(__xludf.DUMMYFUNCTION("""COMPUTED_VALUE"""),"2025")</f>
        <v>2025</v>
      </c>
      <c r="I1782" s="1" t="str">
        <f ca="1">IFERROR(__xludf.DUMMYFUNCTION("""COMPUTED_VALUE"""),"Letter")</f>
        <v>Letter</v>
      </c>
    </row>
    <row r="1783" spans="1:9" ht="13" x14ac:dyDescent="0.15">
      <c r="A1783" s="9">
        <f ca="1">IFERROR(__xludf.DUMMYFUNCTION("""COMPUTED_VALUE"""),211234238)</f>
        <v>211234238</v>
      </c>
      <c r="B1783" s="1" t="str">
        <f ca="1">IFERROR(__xludf.DUMMYFUNCTION("""COMPUTED_VALUE"""),"kaylustig7@gmail.com")</f>
        <v>kaylustig7@gmail.com</v>
      </c>
      <c r="C1783" s="9" t="str">
        <f ca="1">IFERROR(__xludf.DUMMYFUNCTION("""COMPUTED_VALUE"""),"EVERGREEN - UAN Gated Content - Embedded Petition")</f>
        <v>EVERGREEN - UAN Gated Content - Embedded Petition</v>
      </c>
      <c r="D1783" s="10">
        <f ca="1">IFERROR(__xludf.DUMMYFUNCTION("""COMPUTED_VALUE"""),45670)</f>
        <v>45670</v>
      </c>
      <c r="E1783" s="1" t="str">
        <f ca="1">IFERROR(__xludf.DUMMYFUNCTION("""COMPUTED_VALUE"""),"USA")</f>
        <v>USA</v>
      </c>
      <c r="F1783" s="1" t="str">
        <f ca="1">IFERROR(__xludf.DUMMYFUNCTION("""COMPUTED_VALUE"""),"96.24 USA")</f>
        <v>96.24 USA</v>
      </c>
      <c r="G1783" s="1" t="str">
        <f ca="1">IFERROR(__xludf.DUMMYFUNCTION("""COMPUTED_VALUE"""),"Death Penalty")</f>
        <v>Death Penalty</v>
      </c>
      <c r="H1783" s="1" t="str">
        <f ca="1">IFERROR(__xludf.DUMMYFUNCTION("""COMPUTED_VALUE"""),"2024")</f>
        <v>2024</v>
      </c>
      <c r="I1783" s="1" t="str">
        <f ca="1">IFERROR(__xludf.DUMMYFUNCTION("""COMPUTED_VALUE"""),"Email")</f>
        <v>Email</v>
      </c>
    </row>
    <row r="1784" spans="1:9" ht="13" x14ac:dyDescent="0.15">
      <c r="A1784" s="9">
        <f ca="1">IFERROR(__xludf.DUMMYFUNCTION("""COMPUTED_VALUE"""),211234238)</f>
        <v>211234238</v>
      </c>
      <c r="B1784" s="1" t="str">
        <f ca="1">IFERROR(__xludf.DUMMYFUNCTION("""COMPUTED_VALUE"""),"kaylustig7@gmail.com")</f>
        <v>kaylustig7@gmail.com</v>
      </c>
      <c r="C1784" s="9" t="str">
        <f ca="1">IFERROR(__xludf.DUMMYFUNCTION("""COMPUTED_VALUE"""),"EVERGREEN - UAN Gated Content - Embedded Petition")</f>
        <v>EVERGREEN - UAN Gated Content - Embedded Petition</v>
      </c>
      <c r="D1784" s="10">
        <f ca="1">IFERROR(__xludf.DUMMYFUNCTION("""COMPUTED_VALUE"""),45671)</f>
        <v>45671</v>
      </c>
      <c r="E1784" s="1" t="str">
        <f ca="1">IFERROR(__xludf.DUMMYFUNCTION("""COMPUTED_VALUE"""),"USA")</f>
        <v>USA</v>
      </c>
      <c r="F1784" s="1" t="str">
        <f ca="1">IFERROR(__xludf.DUMMYFUNCTION("""COMPUTED_VALUE"""),"4.25 USA")</f>
        <v>4.25 USA</v>
      </c>
      <c r="G1784" s="1" t="str">
        <f ca="1">IFERROR(__xludf.DUMMYFUNCTION("""COMPUTED_VALUE"""),"Individuals At Risk, Refugee and Migrant Rights")</f>
        <v>Individuals At Risk, Refugee and Migrant Rights</v>
      </c>
      <c r="H1784" s="1" t="str">
        <f ca="1">IFERROR(__xludf.DUMMYFUNCTION("""COMPUTED_VALUE"""),"2025")</f>
        <v>2025</v>
      </c>
      <c r="I1784" s="1" t="str">
        <f ca="1">IFERROR(__xludf.DUMMYFUNCTION("""COMPUTED_VALUE"""),"Letter")</f>
        <v>Letter</v>
      </c>
    </row>
    <row r="1785" spans="1:9" ht="13" x14ac:dyDescent="0.15">
      <c r="A1785" s="9">
        <f ca="1">IFERROR(__xludf.DUMMYFUNCTION("""COMPUTED_VALUE"""),214260881)</f>
        <v>214260881</v>
      </c>
      <c r="B1785" s="1" t="str">
        <f ca="1">IFERROR(__xludf.DUMMYFUNCTION("""COMPUTED_VALUE"""),"alacossct@gmail.com")</f>
        <v>alacossct@gmail.com</v>
      </c>
      <c r="C1785" s="9" t="str">
        <f ca="1">IFERROR(__xludf.DUMMYFUNCTION("""COMPUTED_VALUE"""),"EVERGREEN - UAN Gated Content - Embedded Petition")</f>
        <v>EVERGREEN - UAN Gated Content - Embedded Petition</v>
      </c>
      <c r="D1785" s="10">
        <f ca="1">IFERROR(__xludf.DUMMYFUNCTION("""COMPUTED_VALUE"""),45694)</f>
        <v>45694</v>
      </c>
      <c r="E1785" s="1" t="str">
        <f ca="1">IFERROR(__xludf.DUMMYFUNCTION("""COMPUTED_VALUE"""),"USA")</f>
        <v>USA</v>
      </c>
      <c r="F1785" s="1" t="str">
        <f ca="1">IFERROR(__xludf.DUMMYFUNCTION("""COMPUTED_VALUE"""),"105.24 USA")</f>
        <v>105.24 USA</v>
      </c>
      <c r="G1785" s="1" t="str">
        <f ca="1">IFERROR(__xludf.DUMMYFUNCTION("""COMPUTED_VALUE"""),"Death Penalty")</f>
        <v>Death Penalty</v>
      </c>
      <c r="H1785" s="1" t="str">
        <f ca="1">IFERROR(__xludf.DUMMYFUNCTION("""COMPUTED_VALUE"""),"2024")</f>
        <v>2024</v>
      </c>
      <c r="I1785" s="1" t="str">
        <f ca="1">IFERROR(__xludf.DUMMYFUNCTION("""COMPUTED_VALUE"""),"Email")</f>
        <v>Email</v>
      </c>
    </row>
    <row r="1786" spans="1:9" ht="13" x14ac:dyDescent="0.15">
      <c r="A1786" s="9">
        <f ca="1">IFERROR(__xludf.DUMMYFUNCTION("""COMPUTED_VALUE"""),215996578)</f>
        <v>215996578</v>
      </c>
      <c r="B1786" s="1" t="str">
        <f ca="1">IFERROR(__xludf.DUMMYFUNCTION("""COMPUTED_VALUE"""),"sarahholehouse@gmail.com")</f>
        <v>sarahholehouse@gmail.com</v>
      </c>
      <c r="C1786" s="9" t="str">
        <f ca="1">IFERROR(__xludf.DUMMYFUNCTION("""COMPUTED_VALUE"""),"EVERGREEN - UAN Gated Content - Embedded Petition")</f>
        <v>EVERGREEN - UAN Gated Content - Embedded Petition</v>
      </c>
      <c r="D1786" s="10">
        <f ca="1">IFERROR(__xludf.DUMMYFUNCTION("""COMPUTED_VALUE"""),45686)</f>
        <v>45686</v>
      </c>
      <c r="E1786" s="1" t="str">
        <f ca="1">IFERROR(__xludf.DUMMYFUNCTION("""COMPUTED_VALUE"""),"Israel and Occupied Palestinian Territories")</f>
        <v>Israel and Occupied Palestinian Territories</v>
      </c>
      <c r="F1786" s="1" t="str">
        <f ca="1">IFERROR(__xludf.DUMMYFUNCTION("""COMPUTED_VALUE"""),"3.25 IOPT")</f>
        <v>3.25 IOPT</v>
      </c>
      <c r="G1786" s="1" t="str">
        <f ca="1">IFERROR(__xludf.DUMMYFUNCTION("""COMPUTED_VALUE"""),"Freedom of Expression, Individuals At Risk")</f>
        <v>Freedom of Expression, Individuals At Risk</v>
      </c>
      <c r="H1786" s="1" t="str">
        <f ca="1">IFERROR(__xludf.DUMMYFUNCTION("""COMPUTED_VALUE"""),"2025")</f>
        <v>2025</v>
      </c>
      <c r="I1786" s="1" t="str">
        <f ca="1">IFERROR(__xludf.DUMMYFUNCTION("""COMPUTED_VALUE"""),"Email")</f>
        <v>Email</v>
      </c>
    </row>
    <row r="1787" spans="1:9" ht="13" x14ac:dyDescent="0.15">
      <c r="A1787" s="9">
        <f ca="1">IFERROR(__xludf.DUMMYFUNCTION("""COMPUTED_VALUE"""),216276753)</f>
        <v>216276753</v>
      </c>
      <c r="B1787" s="1" t="str">
        <f ca="1">IFERROR(__xludf.DUMMYFUNCTION("""COMPUTED_VALUE"""),"louisewhipple1@gmail.com")</f>
        <v>louisewhipple1@gmail.com</v>
      </c>
      <c r="C1787" s="9" t="str">
        <f ca="1">IFERROR(__xludf.DUMMYFUNCTION("""COMPUTED_VALUE"""),"EVERGREEN - Website Email Capture Form - UAN Pre-Footer")</f>
        <v>EVERGREEN - Website Email Capture Form - UAN Pre-Footer</v>
      </c>
      <c r="D1787" s="10">
        <f ca="1">IFERROR(__xludf.DUMMYFUNCTION("""COMPUTED_VALUE"""),45694)</f>
        <v>45694</v>
      </c>
      <c r="E1787" s="1" t="str">
        <f ca="1">IFERROR(__xludf.DUMMYFUNCTION("""COMPUTED_VALUE"""),"Israel and Occupied Palestinian Territories")</f>
        <v>Israel and Occupied Palestinian Territories</v>
      </c>
      <c r="F1787" s="1" t="str">
        <f ca="1">IFERROR(__xludf.DUMMYFUNCTION("""COMPUTED_VALUE"""),"3.25 IOPT")</f>
        <v>3.25 IOPT</v>
      </c>
      <c r="G1787" s="1" t="str">
        <f ca="1">IFERROR(__xludf.DUMMYFUNCTION("""COMPUTED_VALUE"""),"Freedom of Expression, Individuals At Risk")</f>
        <v>Freedom of Expression, Individuals At Risk</v>
      </c>
      <c r="H1787" s="1" t="str">
        <f ca="1">IFERROR(__xludf.DUMMYFUNCTION("""COMPUTED_VALUE"""),"2025")</f>
        <v>2025</v>
      </c>
      <c r="I1787" s="1" t="str">
        <f ca="1">IFERROR(__xludf.DUMMYFUNCTION("""COMPUTED_VALUE"""),"Email")</f>
        <v>Email</v>
      </c>
    </row>
    <row r="1788" spans="1:9" ht="13" x14ac:dyDescent="0.15">
      <c r="A1788" s="9">
        <f ca="1">IFERROR(__xludf.DUMMYFUNCTION("""COMPUTED_VALUE"""),216340190)</f>
        <v>216340190</v>
      </c>
      <c r="B1788" s="1" t="str">
        <f ca="1">IFERROR(__xludf.DUMMYFUNCTION("""COMPUTED_VALUE"""),"fportesine@yahoo.it")</f>
        <v>fportesine@yahoo.it</v>
      </c>
      <c r="C1788" s="9" t="str">
        <f ca="1">IFERROR(__xludf.DUMMYFUNCTION("""COMPUTED_VALUE"""),"EVERGREEN - UAN Gated Content - Embedded Petition")</f>
        <v>EVERGREEN - UAN Gated Content - Embedded Petition</v>
      </c>
      <c r="D1788" s="10">
        <f ca="1">IFERROR(__xludf.DUMMYFUNCTION("""COMPUTED_VALUE"""),45672)</f>
        <v>45672</v>
      </c>
      <c r="E1788" s="1" t="str">
        <f ca="1">IFERROR(__xludf.DUMMYFUNCTION("""COMPUTED_VALUE"""),"Tunisia")</f>
        <v>Tunisia</v>
      </c>
      <c r="F1788" s="1" t="str">
        <f ca="1">IFERROR(__xludf.DUMMYFUNCTION("""COMPUTED_VALUE"""),"Second 76.24 Tunisia")</f>
        <v>Second 76.24 Tunisia</v>
      </c>
      <c r="G1788" s="1" t="str">
        <f ca="1">IFERROR(__xludf.DUMMYFUNCTION("""COMPUTED_VALUE"""),"Freedom of Expression, Human Rights Defenders")</f>
        <v>Freedom of Expression, Human Rights Defenders</v>
      </c>
      <c r="H1788" s="1" t="str">
        <f ca="1">IFERROR(__xludf.DUMMYFUNCTION("""COMPUTED_VALUE"""),"2025")</f>
        <v>2025</v>
      </c>
      <c r="I1788" s="1" t="str">
        <f ca="1">IFERROR(__xludf.DUMMYFUNCTION("""COMPUTED_VALUE"""),"Email")</f>
        <v>Email</v>
      </c>
    </row>
    <row r="1789" spans="1:9" ht="13" x14ac:dyDescent="0.15">
      <c r="A1789" s="9">
        <f ca="1">IFERROR(__xludf.DUMMYFUNCTION("""COMPUTED_VALUE"""),219658761)</f>
        <v>219658761</v>
      </c>
      <c r="B1789" s="1" t="str">
        <f ca="1">IFERROR(__xludf.DUMMYFUNCTION("""COMPUTED_VALUE"""),"stemendell@gmail.com")</f>
        <v>stemendell@gmail.com</v>
      </c>
      <c r="C1789" s="9" t="str">
        <f ca="1">IFERROR(__xludf.DUMMYFUNCTION("""COMPUTED_VALUE"""),"EVERGREEN - UAN Gated Content - Embedded Petition")</f>
        <v>EVERGREEN - UAN Gated Content - Embedded Petition</v>
      </c>
      <c r="D1789" s="10">
        <f ca="1">IFERROR(__xludf.DUMMYFUNCTION("""COMPUTED_VALUE"""),45695)</f>
        <v>45695</v>
      </c>
      <c r="E1789" s="1" t="str">
        <f ca="1">IFERROR(__xludf.DUMMYFUNCTION("""COMPUTED_VALUE"""),"Tunisia")</f>
        <v>Tunisia</v>
      </c>
      <c r="F1789" s="1" t="str">
        <f ca="1">IFERROR(__xludf.DUMMYFUNCTION("""COMPUTED_VALUE"""),"Second 76.24 Tunisia")</f>
        <v>Second 76.24 Tunisia</v>
      </c>
      <c r="G1789" s="1" t="str">
        <f ca="1">IFERROR(__xludf.DUMMYFUNCTION("""COMPUTED_VALUE"""),"Freedom of Expression, Human Rights Defenders")</f>
        <v>Freedom of Expression, Human Rights Defenders</v>
      </c>
      <c r="H1789" s="1" t="str">
        <f ca="1">IFERROR(__xludf.DUMMYFUNCTION("""COMPUTED_VALUE"""),"2025")</f>
        <v>2025</v>
      </c>
      <c r="I1789" s="1" t="str">
        <f ca="1">IFERROR(__xludf.DUMMYFUNCTION("""COMPUTED_VALUE"""),"Email")</f>
        <v>Email</v>
      </c>
    </row>
    <row r="1790" spans="1:9" ht="13" x14ac:dyDescent="0.15">
      <c r="A1790" s="9">
        <f ca="1">IFERROR(__xludf.DUMMYFUNCTION("""COMPUTED_VALUE"""),219658761)</f>
        <v>219658761</v>
      </c>
      <c r="B1790" s="1" t="str">
        <f ca="1">IFERROR(__xludf.DUMMYFUNCTION("""COMPUTED_VALUE"""),"stemendell@gmail.com")</f>
        <v>stemendell@gmail.com</v>
      </c>
      <c r="C1790" s="9" t="str">
        <f ca="1">IFERROR(__xludf.DUMMYFUNCTION("""COMPUTED_VALUE"""),"EVERGREEN - UAN Gated Content - Embedded Petition")</f>
        <v>EVERGREEN - UAN Gated Content - Embedded Petition</v>
      </c>
      <c r="D1790" s="10">
        <f ca="1">IFERROR(__xludf.DUMMYFUNCTION("""COMPUTED_VALUE"""),45690)</f>
        <v>45690</v>
      </c>
      <c r="E1790" s="1" t="str">
        <f ca="1">IFERROR(__xludf.DUMMYFUNCTION("""COMPUTED_VALUE"""),"Egypt")</f>
        <v>Egypt</v>
      </c>
      <c r="F1790" s="1" t="str">
        <f ca="1">IFERROR(__xludf.DUMMYFUNCTION("""COMPUTED_VALUE"""),"Ninth 190.18 Egypt")</f>
        <v>Ninth 190.18 Egypt</v>
      </c>
      <c r="G1790" s="1" t="str">
        <f ca="1">IFERROR(__xludf.DUMMYFUNCTION("""COMPUTED_VALUE"""),"Freedom of Expression, Individuals At Risk")</f>
        <v>Freedom of Expression, Individuals At Risk</v>
      </c>
      <c r="H1790" s="1" t="str">
        <f ca="1">IFERROR(__xludf.DUMMYFUNCTION("""COMPUTED_VALUE"""),"2024")</f>
        <v>2024</v>
      </c>
      <c r="I1790" s="1" t="str">
        <f ca="1">IFERROR(__xludf.DUMMYFUNCTION("""COMPUTED_VALUE"""),"Letter")</f>
        <v>Letter</v>
      </c>
    </row>
    <row r="1791" spans="1:9" ht="13" x14ac:dyDescent="0.15">
      <c r="A1791" s="9">
        <f ca="1">IFERROR(__xludf.DUMMYFUNCTION("""COMPUTED_VALUE"""),219993136)</f>
        <v>219993136</v>
      </c>
      <c r="B1791" s="1" t="str">
        <f ca="1">IFERROR(__xludf.DUMMYFUNCTION("""COMPUTED_VALUE"""),"stephroz@gmail.com")</f>
        <v>stephroz@gmail.com</v>
      </c>
      <c r="C1791" s="9" t="str">
        <f ca="1">IFERROR(__xludf.DUMMYFUNCTION("""COMPUTED_VALUE"""),"EVERGREEN - UAN Gated Content - Embedded Petition")</f>
        <v>EVERGREEN - UAN Gated Content - Embedded Petition</v>
      </c>
      <c r="D1791" s="10">
        <f ca="1">IFERROR(__xludf.DUMMYFUNCTION("""COMPUTED_VALUE"""),45672)</f>
        <v>45672</v>
      </c>
      <c r="E1791" s="1" t="str">
        <f ca="1">IFERROR(__xludf.DUMMYFUNCTION("""COMPUTED_VALUE"""),"Tunisia")</f>
        <v>Tunisia</v>
      </c>
      <c r="F1791" s="1" t="str">
        <f ca="1">IFERROR(__xludf.DUMMYFUNCTION("""COMPUTED_VALUE"""),"Second 76.24 Tunisia")</f>
        <v>Second 76.24 Tunisia</v>
      </c>
      <c r="G1791" s="1" t="str">
        <f ca="1">IFERROR(__xludf.DUMMYFUNCTION("""COMPUTED_VALUE"""),"Freedom of Expression, Human Rights Defenders")</f>
        <v>Freedom of Expression, Human Rights Defenders</v>
      </c>
      <c r="H1791" s="1" t="str">
        <f ca="1">IFERROR(__xludf.DUMMYFUNCTION("""COMPUTED_VALUE"""),"2025")</f>
        <v>2025</v>
      </c>
      <c r="I1791" s="1" t="str">
        <f ca="1">IFERROR(__xludf.DUMMYFUNCTION("""COMPUTED_VALUE"""),"Email")</f>
        <v>Email</v>
      </c>
    </row>
    <row r="1792" spans="1:9" ht="13" x14ac:dyDescent="0.15">
      <c r="A1792" s="9">
        <f ca="1">IFERROR(__xludf.DUMMYFUNCTION("""COMPUTED_VALUE"""),219993136)</f>
        <v>219993136</v>
      </c>
      <c r="B1792" s="1" t="str">
        <f ca="1">IFERROR(__xludf.DUMMYFUNCTION("""COMPUTED_VALUE"""),"stephroz@gmail.com")</f>
        <v>stephroz@gmail.com</v>
      </c>
      <c r="C1792" s="9" t="str">
        <f ca="1">IFERROR(__xludf.DUMMYFUNCTION("""COMPUTED_VALUE"""),"EVERGREEN - UAN Gated Content - Embedded Petition")</f>
        <v>EVERGREEN - UAN Gated Content - Embedded Petition</v>
      </c>
      <c r="D1792" s="10">
        <f ca="1">IFERROR(__xludf.DUMMYFUNCTION("""COMPUTED_VALUE"""),45672)</f>
        <v>45672</v>
      </c>
      <c r="E1792" s="1" t="str">
        <f ca="1">IFERROR(__xludf.DUMMYFUNCTION("""COMPUTED_VALUE"""),"Tunisia")</f>
        <v>Tunisia</v>
      </c>
      <c r="F1792" s="1" t="str">
        <f ca="1">IFERROR(__xludf.DUMMYFUNCTION("""COMPUTED_VALUE"""),"Second 76.24 Tunisia")</f>
        <v>Second 76.24 Tunisia</v>
      </c>
      <c r="G1792" s="1" t="str">
        <f ca="1">IFERROR(__xludf.DUMMYFUNCTION("""COMPUTED_VALUE"""),"Freedom of Expression, Human Rights Defenders")</f>
        <v>Freedom of Expression, Human Rights Defenders</v>
      </c>
      <c r="H1792" s="1" t="str">
        <f ca="1">IFERROR(__xludf.DUMMYFUNCTION("""COMPUTED_VALUE"""),"2025")</f>
        <v>2025</v>
      </c>
      <c r="I1792" s="1" t="str">
        <f ca="1">IFERROR(__xludf.DUMMYFUNCTION("""COMPUTED_VALUE"""),"Email")</f>
        <v>Email</v>
      </c>
    </row>
    <row r="1793" spans="1:9" ht="13" x14ac:dyDescent="0.15">
      <c r="A1793" s="9">
        <f ca="1">IFERROR(__xludf.DUMMYFUNCTION("""COMPUTED_VALUE"""),223412125)</f>
        <v>223412125</v>
      </c>
      <c r="B1793" s="1" t="str">
        <f ca="1">IFERROR(__xludf.DUMMYFUNCTION("""COMPUTED_VALUE"""),"joe@thevaughnclarks.com")</f>
        <v>joe@thevaughnclarks.com</v>
      </c>
      <c r="C1793" s="9" t="str">
        <f ca="1">IFERROR(__xludf.DUMMYFUNCTION("""COMPUTED_VALUE"""),"EVERGREEN - UAN Gated Content - Embedded Petition")</f>
        <v>EVERGREEN - UAN Gated Content - Embedded Petition</v>
      </c>
      <c r="D1793" s="10">
        <f ca="1">IFERROR(__xludf.DUMMYFUNCTION("""COMPUTED_VALUE"""),45680)</f>
        <v>45680</v>
      </c>
      <c r="E1793" s="1" t="str">
        <f ca="1">IFERROR(__xludf.DUMMYFUNCTION("""COMPUTED_VALUE"""),"Tunisia")</f>
        <v>Tunisia</v>
      </c>
      <c r="F1793" s="1" t="str">
        <f ca="1">IFERROR(__xludf.DUMMYFUNCTION("""COMPUTED_VALUE"""),"Second 76.24 Tunisia")</f>
        <v>Second 76.24 Tunisia</v>
      </c>
      <c r="G1793" s="1" t="str">
        <f ca="1">IFERROR(__xludf.DUMMYFUNCTION("""COMPUTED_VALUE"""),"Freedom of Expression, Human Rights Defenders")</f>
        <v>Freedom of Expression, Human Rights Defenders</v>
      </c>
      <c r="H1793" s="1" t="str">
        <f ca="1">IFERROR(__xludf.DUMMYFUNCTION("""COMPUTED_VALUE"""),"2025")</f>
        <v>2025</v>
      </c>
      <c r="I1793" s="1" t="str">
        <f ca="1">IFERROR(__xludf.DUMMYFUNCTION("""COMPUTED_VALUE"""),"Email")</f>
        <v>Email</v>
      </c>
    </row>
    <row r="1794" spans="1:9" ht="13" x14ac:dyDescent="0.15">
      <c r="A1794" s="9">
        <f ca="1">IFERROR(__xludf.DUMMYFUNCTION("""COMPUTED_VALUE"""),223412125)</f>
        <v>223412125</v>
      </c>
      <c r="B1794" s="1" t="str">
        <f ca="1">IFERROR(__xludf.DUMMYFUNCTION("""COMPUTED_VALUE"""),"joe@thevaughnclarks.com")</f>
        <v>joe@thevaughnclarks.com</v>
      </c>
      <c r="C1794" s="9" t="str">
        <f ca="1">IFERROR(__xludf.DUMMYFUNCTION("""COMPUTED_VALUE"""),"UAN mid-page Lightbox - Step 1 of 4 - Landing Page")</f>
        <v>UAN mid-page Lightbox - Step 1 of 4 - Landing Page</v>
      </c>
      <c r="D1794" s="10">
        <f ca="1">IFERROR(__xludf.DUMMYFUNCTION("""COMPUTED_VALUE"""),45687)</f>
        <v>45687</v>
      </c>
      <c r="E1794" s="1" t="str">
        <f ca="1">IFERROR(__xludf.DUMMYFUNCTION("""COMPUTED_VALUE"""),"Dominican Republic")</f>
        <v>Dominican Republic</v>
      </c>
      <c r="F1794" s="1" t="str">
        <f ca="1">IFERROR(__xludf.DUMMYFUNCTION("""COMPUTED_VALUE"""),"88.24 Dominican Republic")</f>
        <v>88.24 Dominican Republic</v>
      </c>
      <c r="G1794" s="1" t="str">
        <f ca="1">IFERROR(__xludf.DUMMYFUNCTION("""COMPUTED_VALUE"""),"Individuals At Risk, Refugee and Migrant Rights")</f>
        <v>Individuals At Risk, Refugee and Migrant Rights</v>
      </c>
      <c r="H1794" s="1" t="str">
        <f ca="1">IFERROR(__xludf.DUMMYFUNCTION("""COMPUTED_VALUE"""),"2024")</f>
        <v>2024</v>
      </c>
      <c r="I1794" s="1" t="str">
        <f ca="1">IFERROR(__xludf.DUMMYFUNCTION("""COMPUTED_VALUE"""),"Letter")</f>
        <v>Letter</v>
      </c>
    </row>
    <row r="1795" spans="1:9" ht="13" x14ac:dyDescent="0.15">
      <c r="A1795" s="9">
        <f ca="1">IFERROR(__xludf.DUMMYFUNCTION("""COMPUTED_VALUE"""),223412125)</f>
        <v>223412125</v>
      </c>
      <c r="B1795" s="1" t="str">
        <f ca="1">IFERROR(__xludf.DUMMYFUNCTION("""COMPUTED_VALUE"""),"joe@thevaughnclarks.com")</f>
        <v>joe@thevaughnclarks.com</v>
      </c>
      <c r="C1795" s="9" t="str">
        <f ca="1">IFERROR(__xludf.DUMMYFUNCTION("""COMPUTED_VALUE"""),"UAN mid-page Lightbox - Step 2 of 4 - More personal info fields")</f>
        <v>UAN mid-page Lightbox - Step 2 of 4 - More personal info fields</v>
      </c>
      <c r="D1795" s="10">
        <f ca="1">IFERROR(__xludf.DUMMYFUNCTION("""COMPUTED_VALUE"""),45687)</f>
        <v>45687</v>
      </c>
      <c r="E1795" s="1" t="str">
        <f ca="1">IFERROR(__xludf.DUMMYFUNCTION("""COMPUTED_VALUE"""),"USA")</f>
        <v>USA</v>
      </c>
      <c r="F1795" s="1" t="str">
        <f ca="1">IFERROR(__xludf.DUMMYFUNCTION("""COMPUTED_VALUE"""),"96.24 USA")</f>
        <v>96.24 USA</v>
      </c>
      <c r="G1795" s="1" t="str">
        <f ca="1">IFERROR(__xludf.DUMMYFUNCTION("""COMPUTED_VALUE"""),"Death Penalty")</f>
        <v>Death Penalty</v>
      </c>
      <c r="H1795" s="1" t="str">
        <f ca="1">IFERROR(__xludf.DUMMYFUNCTION("""COMPUTED_VALUE"""),"2024")</f>
        <v>2024</v>
      </c>
      <c r="I1795" s="1" t="str">
        <f ca="1">IFERROR(__xludf.DUMMYFUNCTION("""COMPUTED_VALUE"""),"Email")</f>
        <v>Email</v>
      </c>
    </row>
    <row r="1796" spans="1:9" ht="13" x14ac:dyDescent="0.15">
      <c r="A1796" s="9">
        <f ca="1">IFERROR(__xludf.DUMMYFUNCTION("""COMPUTED_VALUE"""),223412125)</f>
        <v>223412125</v>
      </c>
      <c r="B1796" s="1" t="str">
        <f ca="1">IFERROR(__xludf.DUMMYFUNCTION("""COMPUTED_VALUE"""),"joe@thevaughnclarks.com")</f>
        <v>joe@thevaughnclarks.com</v>
      </c>
      <c r="C1796" s="9" t="str">
        <f ca="1">IFERROR(__xludf.DUMMYFUNCTION("""COMPUTED_VALUE"""),"UAN mid-page Lightbox - Step 3 of 4 - More opt-ins")</f>
        <v>UAN mid-page Lightbox - Step 3 of 4 - More opt-ins</v>
      </c>
      <c r="D1796" s="10">
        <f ca="1">IFERROR(__xludf.DUMMYFUNCTION("""COMPUTED_VALUE"""),45687)</f>
        <v>45687</v>
      </c>
      <c r="E1796" s="1" t="str">
        <f ca="1">IFERROR(__xludf.DUMMYFUNCTION("""COMPUTED_VALUE"""),"Niger")</f>
        <v>Niger</v>
      </c>
      <c r="F1796" s="1" t="str">
        <f ca="1">IFERROR(__xludf.DUMMYFUNCTION("""COMPUTED_VALUE"""),"103.24 Niger")</f>
        <v>103.24 Niger</v>
      </c>
      <c r="G1796" s="1" t="str">
        <f ca="1">IFERROR(__xludf.DUMMYFUNCTION("""COMPUTED_VALUE"""),"Freedom of Expression, Human Rights Defenders")</f>
        <v>Freedom of Expression, Human Rights Defenders</v>
      </c>
      <c r="H1796" s="1" t="str">
        <f ca="1">IFERROR(__xludf.DUMMYFUNCTION("""COMPUTED_VALUE"""),"2024")</f>
        <v>2024</v>
      </c>
      <c r="I1796" s="1" t="str">
        <f ca="1">IFERROR(__xludf.DUMMYFUNCTION("""COMPUTED_VALUE"""),"Email")</f>
        <v>Email</v>
      </c>
    </row>
    <row r="1797" spans="1:9" ht="13" x14ac:dyDescent="0.15">
      <c r="A1797" s="9">
        <f ca="1">IFERROR(__xludf.DUMMYFUNCTION("""COMPUTED_VALUE"""),223859370)</f>
        <v>223859370</v>
      </c>
      <c r="B1797" s="1" t="str">
        <f ca="1">IFERROR(__xludf.DUMMYFUNCTION("""COMPUTED_VALUE"""),"bertbarryoakland@gmail.com")</f>
        <v>bertbarryoakland@gmail.com</v>
      </c>
      <c r="C1797" s="9" t="str">
        <f ca="1">IFERROR(__xludf.DUMMYFUNCTION("""COMPUTED_VALUE"""),"EVERGREEN - UAN Gated Content - Embedded Petition")</f>
        <v>EVERGREEN - UAN Gated Content - Embedded Petition</v>
      </c>
      <c r="D1797" s="10">
        <f ca="1">IFERROR(__xludf.DUMMYFUNCTION("""COMPUTED_VALUE"""),45636)</f>
        <v>45636</v>
      </c>
      <c r="E1797" s="1" t="str">
        <f ca="1">IFERROR(__xludf.DUMMYFUNCTION("""COMPUTED_VALUE"""),"Niger")</f>
        <v>Niger</v>
      </c>
      <c r="F1797" s="1" t="str">
        <f ca="1">IFERROR(__xludf.DUMMYFUNCTION("""COMPUTED_VALUE"""),"103.24 Niger")</f>
        <v>103.24 Niger</v>
      </c>
      <c r="G1797" s="1" t="str">
        <f ca="1">IFERROR(__xludf.DUMMYFUNCTION("""COMPUTED_VALUE"""),"Freedom of Expression, Human Rights Defenders")</f>
        <v>Freedom of Expression, Human Rights Defenders</v>
      </c>
      <c r="H1797" s="1" t="str">
        <f ca="1">IFERROR(__xludf.DUMMYFUNCTION("""COMPUTED_VALUE"""),"2024")</f>
        <v>2024</v>
      </c>
      <c r="I1797" s="1" t="str">
        <f ca="1">IFERROR(__xludf.DUMMYFUNCTION("""COMPUTED_VALUE"""),"Email")</f>
        <v>Email</v>
      </c>
    </row>
    <row r="1798" spans="1:9" ht="13" x14ac:dyDescent="0.15">
      <c r="A1798" s="9">
        <f ca="1">IFERROR(__xludf.DUMMYFUNCTION("""COMPUTED_VALUE"""),223859370)</f>
        <v>223859370</v>
      </c>
      <c r="B1798" s="1" t="str">
        <f ca="1">IFERROR(__xludf.DUMMYFUNCTION("""COMPUTED_VALUE"""),"bertbarryoakland@gmail.com")</f>
        <v>bertbarryoakland@gmail.com</v>
      </c>
      <c r="C1798" s="9" t="str">
        <f ca="1">IFERROR(__xludf.DUMMYFUNCTION("""COMPUTED_VALUE"""),"EVERGREEN - UAN Gated Content - Embedded Petition")</f>
        <v>EVERGREEN - UAN Gated Content - Embedded Petition</v>
      </c>
      <c r="D1798" s="10">
        <f ca="1">IFERROR(__xludf.DUMMYFUNCTION("""COMPUTED_VALUE"""),45636)</f>
        <v>45636</v>
      </c>
      <c r="E1798" s="1" t="str">
        <f ca="1">IFERROR(__xludf.DUMMYFUNCTION("""COMPUTED_VALUE"""),"Iran")</f>
        <v>Iran</v>
      </c>
      <c r="F1798" s="1" t="str">
        <f ca="1">IFERROR(__xludf.DUMMYFUNCTION("""COMPUTED_VALUE"""),"Seventh 103.22 Iran")</f>
        <v>Seventh 103.22 Iran</v>
      </c>
      <c r="G1798" s="1" t="str">
        <f ca="1">IFERROR(__xludf.DUMMYFUNCTION("""COMPUTED_VALUE"""),"Death Penalty, Freedom of Expression, Individuals At Risk")</f>
        <v>Death Penalty, Freedom of Expression, Individuals At Risk</v>
      </c>
      <c r="H1798" s="1" t="str">
        <f ca="1">IFERROR(__xludf.DUMMYFUNCTION("""COMPUTED_VALUE"""),"2024")</f>
        <v>2024</v>
      </c>
      <c r="I1798" s="1" t="str">
        <f ca="1">IFERROR(__xludf.DUMMYFUNCTION("""COMPUTED_VALUE"""),"Email")</f>
        <v>Email</v>
      </c>
    </row>
    <row r="1799" spans="1:9" ht="13" x14ac:dyDescent="0.15">
      <c r="A1799" s="9">
        <f ca="1">IFERROR(__xludf.DUMMYFUNCTION("""COMPUTED_VALUE"""),223859370)</f>
        <v>223859370</v>
      </c>
      <c r="B1799" s="1" t="str">
        <f ca="1">IFERROR(__xludf.DUMMYFUNCTION("""COMPUTED_VALUE"""),"bertbarryoakland@gmail.com")</f>
        <v>bertbarryoakland@gmail.com</v>
      </c>
      <c r="C1799" s="9" t="str">
        <f ca="1">IFERROR(__xludf.DUMMYFUNCTION("""COMPUTED_VALUE"""),"EVERGREEN - UAN Gated Content - Embedded Petition")</f>
        <v>EVERGREEN - UAN Gated Content - Embedded Petition</v>
      </c>
      <c r="D1799" s="10">
        <f ca="1">IFERROR(__xludf.DUMMYFUNCTION("""COMPUTED_VALUE"""),45636)</f>
        <v>45636</v>
      </c>
      <c r="E1799" s="1" t="str">
        <f ca="1">IFERROR(__xludf.DUMMYFUNCTION("""COMPUTED_VALUE"""),"Iran")</f>
        <v>Iran</v>
      </c>
      <c r="F1799" s="1" t="str">
        <f ca="1">IFERROR(__xludf.DUMMYFUNCTION("""COMPUTED_VALUE"""),"Seventh 103.22 Iran")</f>
        <v>Seventh 103.22 Iran</v>
      </c>
      <c r="G1799" s="1" t="str">
        <f ca="1">IFERROR(__xludf.DUMMYFUNCTION("""COMPUTED_VALUE"""),"Death Penalty, Freedom of Expression, Individuals At Risk")</f>
        <v>Death Penalty, Freedom of Expression, Individuals At Risk</v>
      </c>
      <c r="H1799" s="1" t="str">
        <f ca="1">IFERROR(__xludf.DUMMYFUNCTION("""COMPUTED_VALUE"""),"2024")</f>
        <v>2024</v>
      </c>
      <c r="I1799" s="1" t="str">
        <f ca="1">IFERROR(__xludf.DUMMYFUNCTION("""COMPUTED_VALUE"""),"Email")</f>
        <v>Email</v>
      </c>
    </row>
    <row r="1800" spans="1:9" ht="13" x14ac:dyDescent="0.15">
      <c r="A1800" s="9">
        <f ca="1">IFERROR(__xludf.DUMMYFUNCTION("""COMPUTED_VALUE"""),223859370)</f>
        <v>223859370</v>
      </c>
      <c r="B1800" s="1" t="str">
        <f ca="1">IFERROR(__xludf.DUMMYFUNCTION("""COMPUTED_VALUE"""),"bertbarryoakland@gmail.com")</f>
        <v>bertbarryoakland@gmail.com</v>
      </c>
      <c r="C1800" s="9" t="str">
        <f ca="1">IFERROR(__xludf.DUMMYFUNCTION("""COMPUTED_VALUE"""),"EVERGREEN - UAN Gated Content - Embedded Petition")</f>
        <v>EVERGREEN - UAN Gated Content - Embedded Petition</v>
      </c>
      <c r="D1800" s="10">
        <f ca="1">IFERROR(__xludf.DUMMYFUNCTION("""COMPUTED_VALUE"""),45636)</f>
        <v>45636</v>
      </c>
      <c r="E1800" s="1" t="str">
        <f ca="1">IFERROR(__xludf.DUMMYFUNCTION("""COMPUTED_VALUE"""),"China")</f>
        <v>China</v>
      </c>
      <c r="F1800" s="1" t="str">
        <f ca="1">IFERROR(__xludf.DUMMYFUNCTION("""COMPUTED_VALUE"""),"106.24 China")</f>
        <v>106.24 China</v>
      </c>
      <c r="G1800" s="1" t="str">
        <f ca="1">IFERROR(__xludf.DUMMYFUNCTION("""COMPUTED_VALUE"""),"Freedom of Expression, Individuals At Risk")</f>
        <v>Freedom of Expression, Individuals At Risk</v>
      </c>
      <c r="H1800" s="1" t="str">
        <f ca="1">IFERROR(__xludf.DUMMYFUNCTION("""COMPUTED_VALUE"""),"2024")</f>
        <v>2024</v>
      </c>
      <c r="I1800" s="1" t="str">
        <f ca="1">IFERROR(__xludf.DUMMYFUNCTION("""COMPUTED_VALUE"""),"Email")</f>
        <v>Email</v>
      </c>
    </row>
    <row r="1801" spans="1:9" ht="13" x14ac:dyDescent="0.15">
      <c r="A1801" s="9">
        <f ca="1">IFERROR(__xludf.DUMMYFUNCTION("""COMPUTED_VALUE"""),223859370)</f>
        <v>223859370</v>
      </c>
      <c r="B1801" s="1" t="str">
        <f ca="1">IFERROR(__xludf.DUMMYFUNCTION("""COMPUTED_VALUE"""),"bertbarryoakland@gmail.com")</f>
        <v>bertbarryoakland@gmail.com</v>
      </c>
      <c r="C1801" s="9" t="str">
        <f ca="1">IFERROR(__xludf.DUMMYFUNCTION("""COMPUTED_VALUE"""),"EVERGREEN - UAN Gated Content - Embedded Petition")</f>
        <v>EVERGREEN - UAN Gated Content - Embedded Petition</v>
      </c>
      <c r="D1801" s="10">
        <f ca="1">IFERROR(__xludf.DUMMYFUNCTION("""COMPUTED_VALUE"""),45676)</f>
        <v>45676</v>
      </c>
      <c r="E1801" s="1" t="str">
        <f ca="1">IFERROR(__xludf.DUMMYFUNCTION("""COMPUTED_VALUE"""),"Venezuela")</f>
        <v>Venezuela</v>
      </c>
      <c r="F1801" s="1" t="str">
        <f ca="1">IFERROR(__xludf.DUMMYFUNCTION("""COMPUTED_VALUE"""),"1.25 Venezuela")</f>
        <v>1.25 Venezuela</v>
      </c>
      <c r="G1801" s="1" t="str">
        <f ca="1">IFERROR(__xludf.DUMMYFUNCTION("""COMPUTED_VALUE"""),"Human Rights Defenders, Individuals At Risk")</f>
        <v>Human Rights Defenders, Individuals At Risk</v>
      </c>
      <c r="H1801" s="1" t="str">
        <f ca="1">IFERROR(__xludf.DUMMYFUNCTION("""COMPUTED_VALUE"""),"2025")</f>
        <v>2025</v>
      </c>
      <c r="I1801" s="1" t="str">
        <f ca="1">IFERROR(__xludf.DUMMYFUNCTION("""COMPUTED_VALUE"""),"Letter")</f>
        <v>Letter</v>
      </c>
    </row>
    <row r="1802" spans="1:9" ht="13" x14ac:dyDescent="0.15">
      <c r="A1802" s="9">
        <f ca="1">IFERROR(__xludf.DUMMYFUNCTION("""COMPUTED_VALUE"""),223859370)</f>
        <v>223859370</v>
      </c>
      <c r="B1802" s="1" t="str">
        <f ca="1">IFERROR(__xludf.DUMMYFUNCTION("""COMPUTED_VALUE"""),"bertbarryoakland@gmail.com")</f>
        <v>bertbarryoakland@gmail.com</v>
      </c>
      <c r="C1802" s="9" t="str">
        <f ca="1">IFERROR(__xludf.DUMMYFUNCTION("""COMPUTED_VALUE"""),"EVERGREEN - UAN Gated Content - Embedded Petition")</f>
        <v>EVERGREEN - UAN Gated Content - Embedded Petition</v>
      </c>
      <c r="D1802" s="10">
        <f ca="1">IFERROR(__xludf.DUMMYFUNCTION("""COMPUTED_VALUE"""),45694)</f>
        <v>45694</v>
      </c>
      <c r="E1802" s="1" t="str">
        <f ca="1">IFERROR(__xludf.DUMMYFUNCTION("""COMPUTED_VALUE"""),"Iran")</f>
        <v>Iran</v>
      </c>
      <c r="F1802" s="1" t="str">
        <f ca="1">IFERROR(__xludf.DUMMYFUNCTION("""COMPUTED_VALUE"""),"Seventh 103.22 Iran")</f>
        <v>Seventh 103.22 Iran</v>
      </c>
      <c r="G1802" s="1" t="str">
        <f ca="1">IFERROR(__xludf.DUMMYFUNCTION("""COMPUTED_VALUE"""),"Death Penalty, Freedom of Expression, Individuals At Risk")</f>
        <v>Death Penalty, Freedom of Expression, Individuals At Risk</v>
      </c>
      <c r="H1802" s="1" t="str">
        <f ca="1">IFERROR(__xludf.DUMMYFUNCTION("""COMPUTED_VALUE"""),"2024")</f>
        <v>2024</v>
      </c>
      <c r="I1802" s="1" t="str">
        <f ca="1">IFERROR(__xludf.DUMMYFUNCTION("""COMPUTED_VALUE"""),"Email")</f>
        <v>Email</v>
      </c>
    </row>
    <row r="1803" spans="1:9" ht="13" x14ac:dyDescent="0.15">
      <c r="A1803" s="9">
        <f ca="1">IFERROR(__xludf.DUMMYFUNCTION("""COMPUTED_VALUE"""),223859370)</f>
        <v>223859370</v>
      </c>
      <c r="B1803" s="1" t="str">
        <f ca="1">IFERROR(__xludf.DUMMYFUNCTION("""COMPUTED_VALUE"""),"bertbarryoakland@gmail.com")</f>
        <v>bertbarryoakland@gmail.com</v>
      </c>
      <c r="C1803" s="9" t="str">
        <f ca="1">IFERROR(__xludf.DUMMYFUNCTION("""COMPUTED_VALUE"""),"EVERGREEN - UAN Gated Content - Embedded Petition")</f>
        <v>EVERGREEN - UAN Gated Content - Embedded Petition</v>
      </c>
      <c r="D1803" s="10">
        <f ca="1">IFERROR(__xludf.DUMMYFUNCTION("""COMPUTED_VALUE"""),45676)</f>
        <v>45676</v>
      </c>
      <c r="E1803" s="1" t="str">
        <f ca="1">IFERROR(__xludf.DUMMYFUNCTION("""COMPUTED_VALUE"""),"China")</f>
        <v>China</v>
      </c>
      <c r="F1803" s="1" t="str">
        <f ca="1">IFERROR(__xludf.DUMMYFUNCTION("""COMPUTED_VALUE"""),"106.24 China")</f>
        <v>106.24 China</v>
      </c>
      <c r="G1803" s="1" t="str">
        <f ca="1">IFERROR(__xludf.DUMMYFUNCTION("""COMPUTED_VALUE"""),"Freedom of Expression, Individuals At Risk")</f>
        <v>Freedom of Expression, Individuals At Risk</v>
      </c>
      <c r="H1803" s="1" t="str">
        <f ca="1">IFERROR(__xludf.DUMMYFUNCTION("""COMPUTED_VALUE"""),"2024")</f>
        <v>2024</v>
      </c>
      <c r="I1803" s="1" t="str">
        <f ca="1">IFERROR(__xludf.DUMMYFUNCTION("""COMPUTED_VALUE"""),"Email")</f>
        <v>Email</v>
      </c>
    </row>
    <row r="1804" spans="1:9" ht="13" x14ac:dyDescent="0.15">
      <c r="A1804" s="9">
        <f ca="1">IFERROR(__xludf.DUMMYFUNCTION("""COMPUTED_VALUE"""),224783140)</f>
        <v>224783140</v>
      </c>
      <c r="B1804" s="1" t="str">
        <f ca="1">IFERROR(__xludf.DUMMYFUNCTION("""COMPUTED_VALUE"""),"andigherard@gmail.com")</f>
        <v>andigherard@gmail.com</v>
      </c>
      <c r="C1804" s="9" t="str">
        <f ca="1">IFERROR(__xludf.DUMMYFUNCTION("""COMPUTED_VALUE"""),"EVERGREEN - UAN Gated Content - Embedded Petition")</f>
        <v>EVERGREEN - UAN Gated Content - Embedded Petition</v>
      </c>
      <c r="D1804" s="10">
        <f ca="1">IFERROR(__xludf.DUMMYFUNCTION("""COMPUTED_VALUE"""),45616)</f>
        <v>45616</v>
      </c>
      <c r="E1804" s="1" t="str">
        <f ca="1">IFERROR(__xludf.DUMMYFUNCTION("""COMPUTED_VALUE"""),"Israel and ")</f>
        <v xml:space="preserve">Israel and </v>
      </c>
      <c r="F1804" s="1" t="str">
        <f ca="1">IFERROR(__xludf.DUMMYFUNCTION("""COMPUTED_VALUE"""),"3.25 IOPT")</f>
        <v>3.25 IOPT</v>
      </c>
      <c r="G1804" s="1" t="str">
        <f ca="1">IFERROR(__xludf.DUMMYFUNCTION("""COMPUTED_VALUE"""),"Freedom of Expression, Individuals At Risk")</f>
        <v>Freedom of Expression, Individuals At Risk</v>
      </c>
      <c r="H1804" s="1" t="str">
        <f ca="1">IFERROR(__xludf.DUMMYFUNCTION("""COMPUTED_VALUE"""),"2025")</f>
        <v>2025</v>
      </c>
      <c r="I1804" s="1" t="str">
        <f ca="1">IFERROR(__xludf.DUMMYFUNCTION("""COMPUTED_VALUE"""),"Email")</f>
        <v>Email</v>
      </c>
    </row>
    <row r="1805" spans="1:9" ht="13" x14ac:dyDescent="0.15">
      <c r="A1805" s="9">
        <f ca="1">IFERROR(__xludf.DUMMYFUNCTION("""COMPUTED_VALUE"""),225071142)</f>
        <v>225071142</v>
      </c>
      <c r="B1805" s="1" t="str">
        <f ca="1">IFERROR(__xludf.DUMMYFUNCTION("""COMPUTED_VALUE"""),"hanna_bruns@hotmail.com")</f>
        <v>hanna_bruns@hotmail.com</v>
      </c>
      <c r="C1805" s="9" t="str">
        <f ca="1">IFERROR(__xludf.DUMMYFUNCTION("""COMPUTED_VALUE"""),"EVERGREEN - UAN Gated Content - Embedded Petition")</f>
        <v>EVERGREEN - UAN Gated Content - Embedded Petition</v>
      </c>
      <c r="D1805" s="10">
        <f ca="1">IFERROR(__xludf.DUMMYFUNCTION("""COMPUTED_VALUE"""),45664)</f>
        <v>45664</v>
      </c>
      <c r="E1805" s="1" t="str">
        <f ca="1">IFERROR(__xludf.DUMMYFUNCTION("""COMPUTED_VALUE"""),"Israel and Occupied Palestinian Territories")</f>
        <v>Israel and Occupied Palestinian Territories</v>
      </c>
      <c r="F1805" s="1" t="str">
        <f ca="1">IFERROR(__xludf.DUMMYFUNCTION("""COMPUTED_VALUE"""),"Second 76.24 Tunisia")</f>
        <v>Second 76.24 Tunisia</v>
      </c>
      <c r="G1805" s="1" t="str">
        <f ca="1">IFERROR(__xludf.DUMMYFUNCTION("""COMPUTED_VALUE"""),"Freedom of Expression, Human Rights Defenders")</f>
        <v>Freedom of Expression, Human Rights Defenders</v>
      </c>
      <c r="H1805" s="1" t="str">
        <f ca="1">IFERROR(__xludf.DUMMYFUNCTION("""COMPUTED_VALUE"""),"2025")</f>
        <v>2025</v>
      </c>
      <c r="I1805" s="1" t="str">
        <f ca="1">IFERROR(__xludf.DUMMYFUNCTION("""COMPUTED_VALUE"""),"Email")</f>
        <v>Email</v>
      </c>
    </row>
    <row r="1806" spans="1:9" ht="13" x14ac:dyDescent="0.15">
      <c r="A1806" s="9">
        <f ca="1">IFERROR(__xludf.DUMMYFUNCTION("""COMPUTED_VALUE"""),225723238)</f>
        <v>225723238</v>
      </c>
      <c r="B1806" s="1" t="str">
        <f ca="1">IFERROR(__xludf.DUMMYFUNCTION("""COMPUTED_VALUE"""),"mveve7@gmail.com")</f>
        <v>mveve7@gmail.com</v>
      </c>
      <c r="C1806" s="9" t="str">
        <f ca="1">IFERROR(__xludf.DUMMYFUNCTION("""COMPUTED_VALUE"""),"EVERGREEN - Website Email Capture Form - UAN Pre-Footer")</f>
        <v>EVERGREEN - Website Email Capture Form - UAN Pre-Footer</v>
      </c>
      <c r="D1806" s="10">
        <f ca="1">IFERROR(__xludf.DUMMYFUNCTION("""COMPUTED_VALUE"""),45662)</f>
        <v>45662</v>
      </c>
      <c r="E1806" s="1" t="str">
        <f ca="1">IFERROR(__xludf.DUMMYFUNCTION("""COMPUTED_VALUE"""),"Tunisia")</f>
        <v>Tunisia</v>
      </c>
      <c r="F1806" s="1" t="str">
        <f ca="1">IFERROR(__xludf.DUMMYFUNCTION("""COMPUTED_VALUE"""),"105.24 USA")</f>
        <v>105.24 USA</v>
      </c>
      <c r="G1806" s="1" t="str">
        <f ca="1">IFERROR(__xludf.DUMMYFUNCTION("""COMPUTED_VALUE"""),"Death Penalty")</f>
        <v>Death Penalty</v>
      </c>
      <c r="H1806" s="1" t="str">
        <f ca="1">IFERROR(__xludf.DUMMYFUNCTION("""COMPUTED_VALUE"""),"2024")</f>
        <v>2024</v>
      </c>
      <c r="I1806" s="1" t="str">
        <f ca="1">IFERROR(__xludf.DUMMYFUNCTION("""COMPUTED_VALUE"""),"Email")</f>
        <v>Email</v>
      </c>
    </row>
    <row r="1807" spans="1:9" ht="13" x14ac:dyDescent="0.15">
      <c r="A1807" s="9">
        <f ca="1">IFERROR(__xludf.DUMMYFUNCTION("""COMPUTED_VALUE"""),227294005)</f>
        <v>227294005</v>
      </c>
      <c r="B1807" s="1" t="str">
        <f ca="1">IFERROR(__xludf.DUMMYFUNCTION("""COMPUTED_VALUE"""),"kramere1@go.stockton.edu")</f>
        <v>kramere1@go.stockton.edu</v>
      </c>
      <c r="C1807" s="9" t="str">
        <f ca="1">IFERROR(__xludf.DUMMYFUNCTION("""COMPUTED_VALUE"""),"EVERGREEN - UAN Gated Content - Embedded Petition")</f>
        <v>EVERGREEN - UAN Gated Content - Embedded Petition</v>
      </c>
      <c r="D1807" s="10">
        <f ca="1">IFERROR(__xludf.DUMMYFUNCTION("""COMPUTED_VALUE"""),45636)</f>
        <v>45636</v>
      </c>
      <c r="E1807" s="1" t="str">
        <f ca="1">IFERROR(__xludf.DUMMYFUNCTION("""COMPUTED_VALUE"""),"USA")</f>
        <v>USA</v>
      </c>
      <c r="F1807" s="1" t="str">
        <f ca="1">IFERROR(__xludf.DUMMYFUNCTION("""COMPUTED_VALUE"""),"100.24 Uganda")</f>
        <v>100.24 Uganda</v>
      </c>
      <c r="G1807" s="1" t="str">
        <f ca="1">IFERROR(__xludf.DUMMYFUNCTION("""COMPUTED_VALUE"""),"Freedom of Expression")</f>
        <v>Freedom of Expression</v>
      </c>
      <c r="H1807" s="1" t="str">
        <f ca="1">IFERROR(__xludf.DUMMYFUNCTION("""COMPUTED_VALUE"""),"2024")</f>
        <v>2024</v>
      </c>
      <c r="I1807" s="1" t="str">
        <f ca="1">IFERROR(__xludf.DUMMYFUNCTION("""COMPUTED_VALUE"""),"Email")</f>
        <v>Email</v>
      </c>
    </row>
    <row r="1808" spans="1:9" ht="13" x14ac:dyDescent="0.15">
      <c r="A1808" s="9">
        <f ca="1">IFERROR(__xludf.DUMMYFUNCTION("""COMPUTED_VALUE"""),227831021)</f>
        <v>227831021</v>
      </c>
      <c r="B1808" s="1" t="str">
        <f ca="1">IFERROR(__xludf.DUMMYFUNCTION("""COMPUTED_VALUE"""),"soe705353@gmail.com")</f>
        <v>soe705353@gmail.com</v>
      </c>
      <c r="C1808" s="9" t="str">
        <f ca="1">IFERROR(__xludf.DUMMYFUNCTION("""COMPUTED_VALUE"""),"EVERGREEN - UAN Gated Content - Embedded Petition")</f>
        <v>EVERGREEN - UAN Gated Content - Embedded Petition</v>
      </c>
      <c r="D1808" s="10">
        <f ca="1">IFERROR(__xludf.DUMMYFUNCTION("""COMPUTED_VALUE"""),45677)</f>
        <v>45677</v>
      </c>
      <c r="E1808" s="1" t="str">
        <f ca="1">IFERROR(__xludf.DUMMYFUNCTION("""COMPUTED_VALUE"""),"Uganda")</f>
        <v>Uganda</v>
      </c>
      <c r="F1808" s="1" t="str">
        <f ca="1">IFERROR(__xludf.DUMMYFUNCTION("""COMPUTED_VALUE"""),"100.24 Uganda")</f>
        <v>100.24 Uganda</v>
      </c>
      <c r="G1808" s="1" t="str">
        <f ca="1">IFERROR(__xludf.DUMMYFUNCTION("""COMPUTED_VALUE"""),"Freedom of Expression")</f>
        <v>Freedom of Expression</v>
      </c>
      <c r="H1808" s="1" t="str">
        <f ca="1">IFERROR(__xludf.DUMMYFUNCTION("""COMPUTED_VALUE"""),"2024")</f>
        <v>2024</v>
      </c>
      <c r="I1808" s="1" t="str">
        <f ca="1">IFERROR(__xludf.DUMMYFUNCTION("""COMPUTED_VALUE"""),"Email")</f>
        <v>Email</v>
      </c>
    </row>
    <row r="1809" spans="1:9" ht="13" x14ac:dyDescent="0.15">
      <c r="A1809" s="9">
        <f ca="1">IFERROR(__xludf.DUMMYFUNCTION("""COMPUTED_VALUE"""),228169912)</f>
        <v>228169912</v>
      </c>
      <c r="B1809" s="1" t="str">
        <f ca="1">IFERROR(__xludf.DUMMYFUNCTION("""COMPUTED_VALUE"""),"lovis.teg@gmail.com")</f>
        <v>lovis.teg@gmail.com</v>
      </c>
      <c r="C1809" s="9" t="str">
        <f ca="1">IFERROR(__xludf.DUMMYFUNCTION("""COMPUTED_VALUE"""),"EVERGREEN - UAN Gated Content - Embedded Petition")</f>
        <v>EVERGREEN - UAN Gated Content - Embedded Petition</v>
      </c>
      <c r="D1809" s="10">
        <f ca="1">IFERROR(__xludf.DUMMYFUNCTION("""COMPUTED_VALUE"""),45706)</f>
        <v>45706</v>
      </c>
      <c r="E1809" s="1" t="str">
        <f ca="1">IFERROR(__xludf.DUMMYFUNCTION("""COMPUTED_VALUE"""),"Uganda")</f>
        <v>Uganda</v>
      </c>
      <c r="F1809" s="1" t="str">
        <f ca="1">IFERROR(__xludf.DUMMYFUNCTION("""COMPUTED_VALUE"""),"Ninth 190.18 Egypt")</f>
        <v>Ninth 190.18 Egypt</v>
      </c>
      <c r="G1809" s="1" t="str">
        <f ca="1">IFERROR(__xludf.DUMMYFUNCTION("""COMPUTED_VALUE"""),"Freedom of Expression, Individuals At Risk")</f>
        <v>Freedom of Expression, Individuals At Risk</v>
      </c>
      <c r="H1809" s="1" t="str">
        <f ca="1">IFERROR(__xludf.DUMMYFUNCTION("""COMPUTED_VALUE"""),"2024")</f>
        <v>2024</v>
      </c>
      <c r="I1809" s="1" t="str">
        <f ca="1">IFERROR(__xludf.DUMMYFUNCTION("""COMPUTED_VALUE"""),"Letter")</f>
        <v>Letter</v>
      </c>
    </row>
    <row r="1810" spans="1:9" ht="13" x14ac:dyDescent="0.15">
      <c r="A1810" s="9">
        <f ca="1">IFERROR(__xludf.DUMMYFUNCTION("""COMPUTED_VALUE"""),228249725)</f>
        <v>228249725</v>
      </c>
      <c r="B1810" s="1" t="str">
        <f ca="1">IFERROR(__xludf.DUMMYFUNCTION("""COMPUTED_VALUE"""),"emailyjohnson@gmail.com")</f>
        <v>emailyjohnson@gmail.com</v>
      </c>
      <c r="C1810" s="9" t="str">
        <f ca="1">IFERROR(__xludf.DUMMYFUNCTION("""COMPUTED_VALUE"""),"EVERGREEN - Website Email Capture Form - UAN Pre-Footer")</f>
        <v>EVERGREEN - Website Email Capture Form - UAN Pre-Footer</v>
      </c>
      <c r="D1810" s="10">
        <f ca="1">IFERROR(__xludf.DUMMYFUNCTION("""COMPUTED_VALUE"""),45670)</f>
        <v>45670</v>
      </c>
      <c r="E1810" s="1" t="str">
        <f ca="1">IFERROR(__xludf.DUMMYFUNCTION("""COMPUTED_VALUE"""),"Egypt")</f>
        <v>Egypt</v>
      </c>
      <c r="F1810" s="1" t="str">
        <f ca="1">IFERROR(__xludf.DUMMYFUNCTION("""COMPUTED_VALUE"""),"105.24 USA")</f>
        <v>105.24 USA</v>
      </c>
      <c r="G1810" s="1" t="str">
        <f ca="1">IFERROR(__xludf.DUMMYFUNCTION("""COMPUTED_VALUE"""),"Death Penalty")</f>
        <v>Death Penalty</v>
      </c>
      <c r="H1810" s="1" t="str">
        <f ca="1">IFERROR(__xludf.DUMMYFUNCTION("""COMPUTED_VALUE"""),"2024")</f>
        <v>2024</v>
      </c>
      <c r="I1810" s="1" t="str">
        <f ca="1">IFERROR(__xludf.DUMMYFUNCTION("""COMPUTED_VALUE"""),"Email")</f>
        <v>Email</v>
      </c>
    </row>
    <row r="1811" spans="1:9" ht="13" x14ac:dyDescent="0.15">
      <c r="A1811" s="9">
        <f ca="1">IFERROR(__xludf.DUMMYFUNCTION("""COMPUTED_VALUE"""),228250677)</f>
        <v>228250677</v>
      </c>
      <c r="B1811" s="1" t="str">
        <f ca="1">IFERROR(__xludf.DUMMYFUNCTION("""COMPUTED_VALUE"""),"bjh55@sbcglobal.net")</f>
        <v>bjh55@sbcglobal.net</v>
      </c>
      <c r="C1811" s="9" t="str">
        <f ca="1">IFERROR(__xludf.DUMMYFUNCTION("""COMPUTED_VALUE"""),"EVERGREEN - UAN Gated Content - Embedded Petition")</f>
        <v>EVERGREEN - UAN Gated Content - Embedded Petition</v>
      </c>
      <c r="D1811" s="10">
        <f ca="1">IFERROR(__xludf.DUMMYFUNCTION("""COMPUTED_VALUE"""),45693)</f>
        <v>45693</v>
      </c>
      <c r="E1811" s="1" t="str">
        <f ca="1">IFERROR(__xludf.DUMMYFUNCTION("""COMPUTED_VALUE"""),"USA")</f>
        <v>USA</v>
      </c>
      <c r="F1811" s="1" t="str">
        <f ca="1">IFERROR(__xludf.DUMMYFUNCTION("""COMPUTED_VALUE"""),"Second 76.24 Tunisia")</f>
        <v>Second 76.24 Tunisia</v>
      </c>
      <c r="G1811" s="1" t="str">
        <f ca="1">IFERROR(__xludf.DUMMYFUNCTION("""COMPUTED_VALUE"""),"Freedom of Expression, Human Rights Defenders")</f>
        <v>Freedom of Expression, Human Rights Defenders</v>
      </c>
      <c r="H1811" s="1" t="str">
        <f ca="1">IFERROR(__xludf.DUMMYFUNCTION("""COMPUTED_VALUE"""),"2025")</f>
        <v>2025</v>
      </c>
      <c r="I1811" s="1" t="str">
        <f ca="1">IFERROR(__xludf.DUMMYFUNCTION("""COMPUTED_VALUE"""),"Email")</f>
        <v>Email</v>
      </c>
    </row>
    <row r="1812" spans="1:9" ht="13" x14ac:dyDescent="0.15">
      <c r="A1812" s="9">
        <f ca="1">IFERROR(__xludf.DUMMYFUNCTION("""COMPUTED_VALUE"""),228273661)</f>
        <v>228273661</v>
      </c>
      <c r="B1812" s="1" t="str">
        <f ca="1">IFERROR(__xludf.DUMMYFUNCTION("""COMPUTED_VALUE"""),"shastalassen1@gmail.com")</f>
        <v>shastalassen1@gmail.com</v>
      </c>
      <c r="C1812" s="9" t="str">
        <f ca="1">IFERROR(__xludf.DUMMYFUNCTION("""COMPUTED_VALUE"""),"EVERGREEN - UAN Gated Content - Embedded Petition")</f>
        <v>EVERGREEN - UAN Gated Content - Embedded Petition</v>
      </c>
      <c r="D1812" s="10">
        <f ca="1">IFERROR(__xludf.DUMMYFUNCTION("""COMPUTED_VALUE"""),45694)</f>
        <v>45694</v>
      </c>
      <c r="E1812" s="1" t="str">
        <f ca="1">IFERROR(__xludf.DUMMYFUNCTION("""COMPUTED_VALUE"""),"Tunisia")</f>
        <v>Tunisia</v>
      </c>
      <c r="F1812" s="1" t="str">
        <f ca="1">IFERROR(__xludf.DUMMYFUNCTION("""COMPUTED_VALUE"""),"Seventh 103.22 Iran")</f>
        <v>Seventh 103.22 Iran</v>
      </c>
      <c r="G1812" s="1" t="str">
        <f ca="1">IFERROR(__xludf.DUMMYFUNCTION("""COMPUTED_VALUE"""),"Death Penalty, Freedom of Expression, Individuals At Risk")</f>
        <v>Death Penalty, Freedom of Expression, Individuals At Risk</v>
      </c>
      <c r="H1812" s="1" t="str">
        <f ca="1">IFERROR(__xludf.DUMMYFUNCTION("""COMPUTED_VALUE"""),"2024")</f>
        <v>2024</v>
      </c>
      <c r="I1812" s="1" t="str">
        <f ca="1">IFERROR(__xludf.DUMMYFUNCTION("""COMPUTED_VALUE"""),"Email")</f>
        <v>Email</v>
      </c>
    </row>
    <row r="1813" spans="1:9" ht="13" x14ac:dyDescent="0.15">
      <c r="A1813" s="9">
        <f ca="1">IFERROR(__xludf.DUMMYFUNCTION("""COMPUTED_VALUE"""),228273661)</f>
        <v>228273661</v>
      </c>
      <c r="B1813" s="1" t="str">
        <f ca="1">IFERROR(__xludf.DUMMYFUNCTION("""COMPUTED_VALUE"""),"shastalassen1@gmail.com")</f>
        <v>shastalassen1@gmail.com</v>
      </c>
      <c r="C1813" s="9" t="str">
        <f ca="1">IFERROR(__xludf.DUMMYFUNCTION("""COMPUTED_VALUE"""),"EVERGREEN - UAN Gated Content - Embedded Petition")</f>
        <v>EVERGREEN - UAN Gated Content - Embedded Petition</v>
      </c>
      <c r="D1813" s="10">
        <f ca="1">IFERROR(__xludf.DUMMYFUNCTION("""COMPUTED_VALUE"""),45694)</f>
        <v>45694</v>
      </c>
      <c r="E1813" s="1" t="str">
        <f ca="1">IFERROR(__xludf.DUMMYFUNCTION("""COMPUTED_VALUE"""),"Iran")</f>
        <v>Iran</v>
      </c>
      <c r="F1813" s="1" t="str">
        <f ca="1">IFERROR(__xludf.DUMMYFUNCTION("""COMPUTED_VALUE"""),"103.24 Niger")</f>
        <v>103.24 Niger</v>
      </c>
      <c r="G1813" s="1" t="str">
        <f ca="1">IFERROR(__xludf.DUMMYFUNCTION("""COMPUTED_VALUE"""),"Freedom of Expression, Human Rights Defenders")</f>
        <v>Freedom of Expression, Human Rights Defenders</v>
      </c>
      <c r="H1813" s="1" t="str">
        <f ca="1">IFERROR(__xludf.DUMMYFUNCTION("""COMPUTED_VALUE"""),"2024")</f>
        <v>2024</v>
      </c>
      <c r="I1813" s="1" t="str">
        <f ca="1">IFERROR(__xludf.DUMMYFUNCTION("""COMPUTED_VALUE"""),"Email")</f>
        <v>Email</v>
      </c>
    </row>
    <row r="1814" spans="1:9" ht="13" x14ac:dyDescent="0.15">
      <c r="A1814" s="9">
        <f ca="1">IFERROR(__xludf.DUMMYFUNCTION("""COMPUTED_VALUE"""),228273661)</f>
        <v>228273661</v>
      </c>
      <c r="B1814" s="1" t="str">
        <f ca="1">IFERROR(__xludf.DUMMYFUNCTION("""COMPUTED_VALUE"""),"shastalassen1@gmail.com")</f>
        <v>shastalassen1@gmail.com</v>
      </c>
      <c r="C1814" s="9" t="str">
        <f ca="1">IFERROR(__xludf.DUMMYFUNCTION("""COMPUTED_VALUE"""),"EVERGREEN - UAN Gated Content - Embedded Petition")</f>
        <v>EVERGREEN - UAN Gated Content - Embedded Petition</v>
      </c>
      <c r="D1814" s="10">
        <f ca="1">IFERROR(__xludf.DUMMYFUNCTION("""COMPUTED_VALUE"""),45694)</f>
        <v>45694</v>
      </c>
      <c r="E1814" s="1" t="str">
        <f ca="1">IFERROR(__xludf.DUMMYFUNCTION("""COMPUTED_VALUE"""),"Niger")</f>
        <v>Niger</v>
      </c>
      <c r="F1814" s="1" t="str">
        <f ca="1">IFERROR(__xludf.DUMMYFUNCTION("""COMPUTED_VALUE"""),"103.24 Niger")</f>
        <v>103.24 Niger</v>
      </c>
      <c r="G1814" s="1" t="str">
        <f ca="1">IFERROR(__xludf.DUMMYFUNCTION("""COMPUTED_VALUE"""),"Freedom of Expression, Human Rights Defenders")</f>
        <v>Freedom of Expression, Human Rights Defenders</v>
      </c>
      <c r="H1814" s="1" t="str">
        <f ca="1">IFERROR(__xludf.DUMMYFUNCTION("""COMPUTED_VALUE"""),"2024")</f>
        <v>2024</v>
      </c>
      <c r="I1814" s="1" t="str">
        <f ca="1">IFERROR(__xludf.DUMMYFUNCTION("""COMPUTED_VALUE"""),"Email")</f>
        <v>Email</v>
      </c>
    </row>
    <row r="1815" spans="1:9" ht="13" x14ac:dyDescent="0.15">
      <c r="A1815" s="9">
        <f ca="1">IFERROR(__xludf.DUMMYFUNCTION("""COMPUTED_VALUE"""),228273661)</f>
        <v>228273661</v>
      </c>
      <c r="B1815" s="1" t="str">
        <f ca="1">IFERROR(__xludf.DUMMYFUNCTION("""COMPUTED_VALUE"""),"shastalassen1@gmail.com")</f>
        <v>shastalassen1@gmail.com</v>
      </c>
      <c r="C1815" s="9" t="str">
        <f ca="1">IFERROR(__xludf.DUMMYFUNCTION("""COMPUTED_VALUE"""),"EVERGREEN - UAN Gated Content - Embedded Petition")</f>
        <v>EVERGREEN - UAN Gated Content - Embedded Petition</v>
      </c>
      <c r="D1815" s="10">
        <f ca="1">IFERROR(__xludf.DUMMYFUNCTION("""COMPUTED_VALUE"""),45694)</f>
        <v>45694</v>
      </c>
      <c r="E1815" s="1" t="str">
        <f ca="1">IFERROR(__xludf.DUMMYFUNCTION("""COMPUTED_VALUE"""),"Niger")</f>
        <v>Niger</v>
      </c>
      <c r="F1815" s="1" t="str">
        <f ca="1">IFERROR(__xludf.DUMMYFUNCTION("""COMPUTED_VALUE"""),"Seventh 103.22 Iran")</f>
        <v>Seventh 103.22 Iran</v>
      </c>
      <c r="G1815" s="1" t="str">
        <f ca="1">IFERROR(__xludf.DUMMYFUNCTION("""COMPUTED_VALUE"""),"Death Penalty, Freedom of Expression, Individuals At Risk")</f>
        <v>Death Penalty, Freedom of Expression, Individuals At Risk</v>
      </c>
      <c r="H1815" s="1" t="str">
        <f ca="1">IFERROR(__xludf.DUMMYFUNCTION("""COMPUTED_VALUE"""),"2024")</f>
        <v>2024</v>
      </c>
      <c r="I1815" s="1" t="str">
        <f ca="1">IFERROR(__xludf.DUMMYFUNCTION("""COMPUTED_VALUE"""),"Email")</f>
        <v>Email</v>
      </c>
    </row>
    <row r="1816" spans="1:9" ht="13" x14ac:dyDescent="0.15">
      <c r="A1816" s="9">
        <f ca="1">IFERROR(__xludf.DUMMYFUNCTION("""COMPUTED_VALUE"""),228273661)</f>
        <v>228273661</v>
      </c>
      <c r="B1816" s="1" t="str">
        <f ca="1">IFERROR(__xludf.DUMMYFUNCTION("""COMPUTED_VALUE"""),"shastalassen1@gmail.com")</f>
        <v>shastalassen1@gmail.com</v>
      </c>
      <c r="C1816" s="9" t="str">
        <f ca="1">IFERROR(__xludf.DUMMYFUNCTION("""COMPUTED_VALUE"""),"EVERGREEN - UAN Gated Content - Embedded Petition")</f>
        <v>EVERGREEN - UAN Gated Content - Embedded Petition</v>
      </c>
      <c r="D1816" s="10">
        <f ca="1">IFERROR(__xludf.DUMMYFUNCTION("""COMPUTED_VALUE"""),45694)</f>
        <v>45694</v>
      </c>
      <c r="E1816" s="1" t="str">
        <f ca="1">IFERROR(__xludf.DUMMYFUNCTION("""COMPUTED_VALUE"""),"Iran")</f>
        <v>Iran</v>
      </c>
      <c r="F1816" s="1" t="str">
        <f ca="1">IFERROR(__xludf.DUMMYFUNCTION("""COMPUTED_VALUE"""),"Second 76.24 Tunisia")</f>
        <v>Second 76.24 Tunisia</v>
      </c>
      <c r="G1816" s="1" t="str">
        <f ca="1">IFERROR(__xludf.DUMMYFUNCTION("""COMPUTED_VALUE"""),"Freedom of Expression, Human Rights Defenders")</f>
        <v>Freedom of Expression, Human Rights Defenders</v>
      </c>
      <c r="H1816" s="1" t="str">
        <f ca="1">IFERROR(__xludf.DUMMYFUNCTION("""COMPUTED_VALUE"""),"2025")</f>
        <v>2025</v>
      </c>
      <c r="I1816" s="1" t="str">
        <f ca="1">IFERROR(__xludf.DUMMYFUNCTION("""COMPUTED_VALUE"""),"Email")</f>
        <v>Email</v>
      </c>
    </row>
    <row r="1817" spans="1:9" ht="13" x14ac:dyDescent="0.15">
      <c r="A1817" s="9">
        <f ca="1">IFERROR(__xludf.DUMMYFUNCTION("""COMPUTED_VALUE"""),228273661)</f>
        <v>228273661</v>
      </c>
      <c r="B1817" s="1" t="str">
        <f ca="1">IFERROR(__xludf.DUMMYFUNCTION("""COMPUTED_VALUE"""),"shastalassen1@gmail.com")</f>
        <v>shastalassen1@gmail.com</v>
      </c>
      <c r="C1817" s="9" t="str">
        <f ca="1">IFERROR(__xludf.DUMMYFUNCTION("""COMPUTED_VALUE"""),"EVERGREEN - UAN Gated Content - Embedded Petition")</f>
        <v>EVERGREEN - UAN Gated Content - Embedded Petition</v>
      </c>
      <c r="D1817" s="10">
        <f ca="1">IFERROR(__xludf.DUMMYFUNCTION("""COMPUTED_VALUE"""),45694)</f>
        <v>45694</v>
      </c>
      <c r="E1817" s="1" t="str">
        <f ca="1">IFERROR(__xludf.DUMMYFUNCTION("""COMPUTED_VALUE"""),"Tunisia")</f>
        <v>Tunisia</v>
      </c>
      <c r="F1817" s="1" t="str">
        <f ca="1">IFERROR(__xludf.DUMMYFUNCTION("""COMPUTED_VALUE"""),"101.24 Iran")</f>
        <v>101.24 Iran</v>
      </c>
      <c r="G1817" s="1" t="str">
        <f ca="1">IFERROR(__xludf.DUMMYFUNCTION("""COMPUTED_VALUE"""),"Death Penalty, Freedom of Expression, Individuals At Risk, Right to Protest")</f>
        <v>Death Penalty, Freedom of Expression, Individuals At Risk, Right to Protest</v>
      </c>
      <c r="H1817" s="1" t="str">
        <f ca="1">IFERROR(__xludf.DUMMYFUNCTION("""COMPUTED_VALUE"""),"2024")</f>
        <v>2024</v>
      </c>
      <c r="I1817" s="1" t="str">
        <f ca="1">IFERROR(__xludf.DUMMYFUNCTION("""COMPUTED_VALUE"""),"Email")</f>
        <v>Email</v>
      </c>
    </row>
    <row r="1818" spans="1:9" ht="13" x14ac:dyDescent="0.15">
      <c r="A1818" s="9">
        <f ca="1">IFERROR(__xludf.DUMMYFUNCTION("""COMPUTED_VALUE"""),228273661)</f>
        <v>228273661</v>
      </c>
      <c r="B1818" s="1" t="str">
        <f ca="1">IFERROR(__xludf.DUMMYFUNCTION("""COMPUTED_VALUE"""),"shastalassen1@gmail.com")</f>
        <v>shastalassen1@gmail.com</v>
      </c>
      <c r="C1818" s="9" t="str">
        <f ca="1">IFERROR(__xludf.DUMMYFUNCTION("""COMPUTED_VALUE"""),"EVERGREEN - UAN Gated Content - Embedded Petition")</f>
        <v>EVERGREEN - UAN Gated Content - Embedded Petition</v>
      </c>
      <c r="D1818" s="10">
        <f ca="1">IFERROR(__xludf.DUMMYFUNCTION("""COMPUTED_VALUE"""),45694)</f>
        <v>45694</v>
      </c>
      <c r="E1818" s="1" t="str">
        <f ca="1">IFERROR(__xludf.DUMMYFUNCTION("""COMPUTED_VALUE"""),"Iran")</f>
        <v>Iran</v>
      </c>
      <c r="F1818" s="1" t="str">
        <f ca="1">IFERROR(__xludf.DUMMYFUNCTION("""COMPUTED_VALUE"""),"1.25 Venezuela")</f>
        <v>1.25 Venezuela</v>
      </c>
      <c r="G1818" s="1" t="str">
        <f ca="1">IFERROR(__xludf.DUMMYFUNCTION("""COMPUTED_VALUE"""),"Human Rights Defenders, Individuals At Risk")</f>
        <v>Human Rights Defenders, Individuals At Risk</v>
      </c>
      <c r="H1818" s="1" t="str">
        <f ca="1">IFERROR(__xludf.DUMMYFUNCTION("""COMPUTED_VALUE"""),"2025")</f>
        <v>2025</v>
      </c>
      <c r="I1818" s="1" t="str">
        <f ca="1">IFERROR(__xludf.DUMMYFUNCTION("""COMPUTED_VALUE"""),"Letter")</f>
        <v>Letter</v>
      </c>
    </row>
    <row r="1819" spans="1:9" ht="13" x14ac:dyDescent="0.15">
      <c r="A1819" s="9">
        <f ca="1">IFERROR(__xludf.DUMMYFUNCTION("""COMPUTED_VALUE"""),228273661)</f>
        <v>228273661</v>
      </c>
      <c r="B1819" s="1" t="str">
        <f ca="1">IFERROR(__xludf.DUMMYFUNCTION("""COMPUTED_VALUE"""),"shastalassen1@gmail.com")</f>
        <v>shastalassen1@gmail.com</v>
      </c>
      <c r="C1819" s="9" t="str">
        <f ca="1">IFERROR(__xludf.DUMMYFUNCTION("""COMPUTED_VALUE"""),"EVERGREEN - UAN Gated Content - Embedded Petition")</f>
        <v>EVERGREEN - UAN Gated Content - Embedded Petition</v>
      </c>
      <c r="D1819" s="10">
        <f ca="1">IFERROR(__xludf.DUMMYFUNCTION("""COMPUTED_VALUE"""),45694)</f>
        <v>45694</v>
      </c>
      <c r="E1819" s="1" t="str">
        <f ca="1">IFERROR(__xludf.DUMMYFUNCTION("""COMPUTED_VALUE"""),"Venezuela")</f>
        <v>Venezuela</v>
      </c>
      <c r="F1819" s="1" t="str">
        <f ca="1">IFERROR(__xludf.DUMMYFUNCTION("""COMPUTED_VALUE"""),"Second 76.24 Tunisia")</f>
        <v>Second 76.24 Tunisia</v>
      </c>
      <c r="G1819" s="1" t="str">
        <f ca="1">IFERROR(__xludf.DUMMYFUNCTION("""COMPUTED_VALUE"""),"Freedom of Expression, Human Rights Defenders")</f>
        <v>Freedom of Expression, Human Rights Defenders</v>
      </c>
      <c r="H1819" s="1" t="str">
        <f ca="1">IFERROR(__xludf.DUMMYFUNCTION("""COMPUTED_VALUE"""),"2025")</f>
        <v>2025</v>
      </c>
      <c r="I1819" s="1" t="str">
        <f ca="1">IFERROR(__xludf.DUMMYFUNCTION("""COMPUTED_VALUE"""),"Email")</f>
        <v>Email</v>
      </c>
    </row>
    <row r="1820" spans="1:9" ht="13" x14ac:dyDescent="0.15">
      <c r="A1820" s="9">
        <f ca="1">IFERROR(__xludf.DUMMYFUNCTION("""COMPUTED_VALUE"""),228273661)</f>
        <v>228273661</v>
      </c>
      <c r="B1820" s="1" t="str">
        <f ca="1">IFERROR(__xludf.DUMMYFUNCTION("""COMPUTED_VALUE"""),"shastalassen1@gmail.com")</f>
        <v>shastalassen1@gmail.com</v>
      </c>
      <c r="C1820" s="9" t="str">
        <f ca="1">IFERROR(__xludf.DUMMYFUNCTION("""COMPUTED_VALUE"""),"EVERGREEN - UAN Gated Content - Embedded Petition")</f>
        <v>EVERGREEN - UAN Gated Content - Embedded Petition</v>
      </c>
      <c r="D1820" s="10">
        <f ca="1">IFERROR(__xludf.DUMMYFUNCTION("""COMPUTED_VALUE"""),45694)</f>
        <v>45694</v>
      </c>
      <c r="E1820" s="1" t="str">
        <f ca="1">IFERROR(__xludf.DUMMYFUNCTION("""COMPUTED_VALUE"""),"Tunisia")</f>
        <v>Tunisia</v>
      </c>
      <c r="F1820" s="1" t="str">
        <f ca="1">IFERROR(__xludf.DUMMYFUNCTION("""COMPUTED_VALUE"""),"1.25 Venezuela")</f>
        <v>1.25 Venezuela</v>
      </c>
      <c r="G1820" s="1" t="str">
        <f ca="1">IFERROR(__xludf.DUMMYFUNCTION("""COMPUTED_VALUE"""),"Human Rights Defenders, Individuals At Risk")</f>
        <v>Human Rights Defenders, Individuals At Risk</v>
      </c>
      <c r="H1820" s="1" t="str">
        <f ca="1">IFERROR(__xludf.DUMMYFUNCTION("""COMPUTED_VALUE"""),"2025")</f>
        <v>2025</v>
      </c>
      <c r="I1820" s="1" t="str">
        <f ca="1">IFERROR(__xludf.DUMMYFUNCTION("""COMPUTED_VALUE"""),"Letter")</f>
        <v>Letter</v>
      </c>
    </row>
    <row r="1821" spans="1:9" ht="13" x14ac:dyDescent="0.15">
      <c r="A1821" s="9">
        <f ca="1">IFERROR(__xludf.DUMMYFUNCTION("""COMPUTED_VALUE"""),228273661)</f>
        <v>228273661</v>
      </c>
      <c r="B1821" s="1" t="str">
        <f ca="1">IFERROR(__xludf.DUMMYFUNCTION("""COMPUTED_VALUE"""),"shastalassen1@gmail.com")</f>
        <v>shastalassen1@gmail.com</v>
      </c>
      <c r="C1821" s="9" t="str">
        <f ca="1">IFERROR(__xludf.DUMMYFUNCTION("""COMPUTED_VALUE"""),"EVERGREEN - UAN Gated Content - Embedded Petition")</f>
        <v>EVERGREEN - UAN Gated Content - Embedded Petition</v>
      </c>
      <c r="D1821" s="10">
        <f ca="1">IFERROR(__xludf.DUMMYFUNCTION("""COMPUTED_VALUE"""),45694)</f>
        <v>45694</v>
      </c>
      <c r="E1821" s="1" t="str">
        <f ca="1">IFERROR(__xludf.DUMMYFUNCTION("""COMPUTED_VALUE"""),"Venezuela")</f>
        <v>Venezuela</v>
      </c>
      <c r="F1821" s="1" t="str">
        <f ca="1">IFERROR(__xludf.DUMMYFUNCTION("""COMPUTED_VALUE"""),"2.25 Azerbaijan")</f>
        <v>2.25 Azerbaijan</v>
      </c>
      <c r="G1821" s="1" t="str">
        <f ca="1">IFERROR(__xludf.DUMMYFUNCTION("""COMPUTED_VALUE"""),"Freedom of Expression, Human Rights Defenders")</f>
        <v>Freedom of Expression, Human Rights Defenders</v>
      </c>
      <c r="H1821" s="1" t="str">
        <f ca="1">IFERROR(__xludf.DUMMYFUNCTION("""COMPUTED_VALUE"""),"2025")</f>
        <v>2025</v>
      </c>
      <c r="I1821" s="1" t="str">
        <f ca="1">IFERROR(__xludf.DUMMYFUNCTION("""COMPUTED_VALUE"""),"Email")</f>
        <v>Email</v>
      </c>
    </row>
    <row r="1822" spans="1:9" ht="13" x14ac:dyDescent="0.15">
      <c r="A1822" s="9">
        <f ca="1">IFERROR(__xludf.DUMMYFUNCTION("""COMPUTED_VALUE"""),228273661)</f>
        <v>228273661</v>
      </c>
      <c r="B1822" s="1" t="str">
        <f ca="1">IFERROR(__xludf.DUMMYFUNCTION("""COMPUTED_VALUE"""),"shastalassen1@gmail.com")</f>
        <v>shastalassen1@gmail.com</v>
      </c>
      <c r="C1822" s="9" t="str">
        <f ca="1">IFERROR(__xludf.DUMMYFUNCTION("""COMPUTED_VALUE"""),"EVERGREEN - UAN Gated Content - Embedded Petition")</f>
        <v>EVERGREEN - UAN Gated Content - Embedded Petition</v>
      </c>
      <c r="D1822" s="10">
        <f ca="1">IFERROR(__xludf.DUMMYFUNCTION("""COMPUTED_VALUE"""),45694)</f>
        <v>45694</v>
      </c>
      <c r="E1822" s="1" t="str">
        <f ca="1">IFERROR(__xludf.DUMMYFUNCTION("""COMPUTED_VALUE"""),"Azerbaijan")</f>
        <v>Azerbaijan</v>
      </c>
      <c r="F1822" s="1" t="str">
        <f ca="1">IFERROR(__xludf.DUMMYFUNCTION("""COMPUTED_VALUE"""),"Seventh 103.22 Iran")</f>
        <v>Seventh 103.22 Iran</v>
      </c>
      <c r="G1822" s="1" t="str">
        <f ca="1">IFERROR(__xludf.DUMMYFUNCTION("""COMPUTED_VALUE"""),"Death Penalty, Freedom of Expression, Individuals At Risk")</f>
        <v>Death Penalty, Freedom of Expression, Individuals At Risk</v>
      </c>
      <c r="H1822" s="1" t="str">
        <f ca="1">IFERROR(__xludf.DUMMYFUNCTION("""COMPUTED_VALUE"""),"2024")</f>
        <v>2024</v>
      </c>
      <c r="I1822" s="1" t="str">
        <f ca="1">IFERROR(__xludf.DUMMYFUNCTION("""COMPUTED_VALUE"""),"Email")</f>
        <v>Email</v>
      </c>
    </row>
    <row r="1823" spans="1:9" ht="13" x14ac:dyDescent="0.15">
      <c r="A1823" s="9">
        <f ca="1">IFERROR(__xludf.DUMMYFUNCTION("""COMPUTED_VALUE"""),228273661)</f>
        <v>228273661</v>
      </c>
      <c r="B1823" s="1" t="str">
        <f ca="1">IFERROR(__xludf.DUMMYFUNCTION("""COMPUTED_VALUE"""),"shastalassen1@gmail.com")</f>
        <v>shastalassen1@gmail.com</v>
      </c>
      <c r="C1823" s="9" t="str">
        <f ca="1">IFERROR(__xludf.DUMMYFUNCTION("""COMPUTED_VALUE"""),"EVERGREEN - UAN Gated Content - Embedded Petition")</f>
        <v>EVERGREEN - UAN Gated Content - Embedded Petition</v>
      </c>
      <c r="D1823" s="10">
        <f ca="1">IFERROR(__xludf.DUMMYFUNCTION("""COMPUTED_VALUE"""),45694)</f>
        <v>45694</v>
      </c>
      <c r="E1823" s="1" t="str">
        <f ca="1">IFERROR(__xludf.DUMMYFUNCTION("""COMPUTED_VALUE"""),"Iran")</f>
        <v>Iran</v>
      </c>
      <c r="F1823" s="1" t="str">
        <f ca="1">IFERROR(__xludf.DUMMYFUNCTION("""COMPUTED_VALUE"""),"103.24 Niger")</f>
        <v>103.24 Niger</v>
      </c>
      <c r="G1823" s="1" t="str">
        <f ca="1">IFERROR(__xludf.DUMMYFUNCTION("""COMPUTED_VALUE"""),"Freedom of Expression, Human Rights Defenders")</f>
        <v>Freedom of Expression, Human Rights Defenders</v>
      </c>
      <c r="H1823" s="1" t="str">
        <f ca="1">IFERROR(__xludf.DUMMYFUNCTION("""COMPUTED_VALUE"""),"2024")</f>
        <v>2024</v>
      </c>
      <c r="I1823" s="1" t="str">
        <f ca="1">IFERROR(__xludf.DUMMYFUNCTION("""COMPUTED_VALUE"""),"Email")</f>
        <v>Email</v>
      </c>
    </row>
    <row r="1824" spans="1:9" ht="13" x14ac:dyDescent="0.15">
      <c r="A1824" s="9">
        <f ca="1">IFERROR(__xludf.DUMMYFUNCTION("""COMPUTED_VALUE"""),228273661)</f>
        <v>228273661</v>
      </c>
      <c r="B1824" s="1" t="str">
        <f ca="1">IFERROR(__xludf.DUMMYFUNCTION("""COMPUTED_VALUE"""),"shastalassen1@gmail.com")</f>
        <v>shastalassen1@gmail.com</v>
      </c>
      <c r="C1824" s="9" t="str">
        <f ca="1">IFERROR(__xludf.DUMMYFUNCTION("""COMPUTED_VALUE"""),"EVERGREEN - UAN Gated Content - Embedded Petition")</f>
        <v>EVERGREEN - UAN Gated Content - Embedded Petition</v>
      </c>
      <c r="D1824" s="10">
        <f ca="1">IFERROR(__xludf.DUMMYFUNCTION("""COMPUTED_VALUE"""),45694)</f>
        <v>45694</v>
      </c>
      <c r="E1824" s="1" t="str">
        <f ca="1">IFERROR(__xludf.DUMMYFUNCTION("""COMPUTED_VALUE"""),"Niger")</f>
        <v>Niger</v>
      </c>
      <c r="F1824" s="1" t="str">
        <f ca="1">IFERROR(__xludf.DUMMYFUNCTION("""COMPUTED_VALUE"""),"100.24 Uganda")</f>
        <v>100.24 Uganda</v>
      </c>
      <c r="G1824" s="1" t="str">
        <f ca="1">IFERROR(__xludf.DUMMYFUNCTION("""COMPUTED_VALUE"""),"Freedom of Expression")</f>
        <v>Freedom of Expression</v>
      </c>
      <c r="H1824" s="1" t="str">
        <f ca="1">IFERROR(__xludf.DUMMYFUNCTION("""COMPUTED_VALUE"""),"2024")</f>
        <v>2024</v>
      </c>
      <c r="I1824" s="1" t="str">
        <f ca="1">IFERROR(__xludf.DUMMYFUNCTION("""COMPUTED_VALUE"""),"Email")</f>
        <v>Email</v>
      </c>
    </row>
    <row r="1825" spans="1:9" ht="13" x14ac:dyDescent="0.15">
      <c r="A1825" s="9">
        <f ca="1">IFERROR(__xludf.DUMMYFUNCTION("""COMPUTED_VALUE"""),228318861)</f>
        <v>228318861</v>
      </c>
      <c r="B1825" s="1" t="str">
        <f ca="1">IFERROR(__xludf.DUMMYFUNCTION("""COMPUTED_VALUE"""),"kmayers@sfc.edu")</f>
        <v>kmayers@sfc.edu</v>
      </c>
      <c r="C1825" s="9" t="str">
        <f ca="1">IFERROR(__xludf.DUMMYFUNCTION("""COMPUTED_VALUE"""),"EVERGREEN - UAN Gated Content - Embedded Petition")</f>
        <v>EVERGREEN - UAN Gated Content - Embedded Petition</v>
      </c>
      <c r="D1825" s="10">
        <f ca="1">IFERROR(__xludf.DUMMYFUNCTION("""COMPUTED_VALUE"""),45616)</f>
        <v>45616</v>
      </c>
      <c r="E1825" s="1" t="str">
        <f ca="1">IFERROR(__xludf.DUMMYFUNCTION("""COMPUTED_VALUE"""),"Uganda")</f>
        <v>Uganda</v>
      </c>
      <c r="F1825" s="1" t="str">
        <f ca="1">IFERROR(__xludf.DUMMYFUNCTION("""COMPUTED_VALUE"""),"Third 73.23 Egypt")</f>
        <v>Third 73.23 Egypt</v>
      </c>
      <c r="G1825" s="1" t="str">
        <f ca="1">IFERROR(__xludf.DUMMYFUNCTION("""COMPUTED_VALUE"""),"Individuals At Risk")</f>
        <v>Individuals At Risk</v>
      </c>
      <c r="H1825" s="1" t="str">
        <f ca="1">IFERROR(__xludf.DUMMYFUNCTION("""COMPUTED_VALUE"""),"2024")</f>
        <v>2024</v>
      </c>
      <c r="I1825" s="1" t="str">
        <f ca="1">IFERROR(__xludf.DUMMYFUNCTION("""COMPUTED_VALUE"""),"Email")</f>
        <v>Email</v>
      </c>
    </row>
    <row r="1826" spans="1:9" ht="13" x14ac:dyDescent="0.15">
      <c r="A1826" s="9">
        <f ca="1">IFERROR(__xludf.DUMMYFUNCTION("""COMPUTED_VALUE"""),228421997)</f>
        <v>228421997</v>
      </c>
      <c r="B1826" s="1" t="str">
        <f ca="1">IFERROR(__xludf.DUMMYFUNCTION("""COMPUTED_VALUE"""),"neillh53@westriv.com")</f>
        <v>neillh53@westriv.com</v>
      </c>
      <c r="C1826" s="9" t="str">
        <f ca="1">IFERROR(__xludf.DUMMYFUNCTION("""COMPUTED_VALUE"""),"EVERGREEN - UAN Gated Content - Embedded Petition")</f>
        <v>EVERGREEN - UAN Gated Content - Embedded Petition</v>
      </c>
      <c r="D1826" s="10">
        <f ca="1">IFERROR(__xludf.DUMMYFUNCTION("""COMPUTED_VALUE"""),45618)</f>
        <v>45618</v>
      </c>
      <c r="E1826" s="1" t="str">
        <f ca="1">IFERROR(__xludf.DUMMYFUNCTION("""COMPUTED_VALUE"""),"Egypt")</f>
        <v>Egypt</v>
      </c>
      <c r="F1826" s="1" t="str">
        <f ca="1">IFERROR(__xludf.DUMMYFUNCTION("""COMPUTED_VALUE"""),"109.24 Türkiye")</f>
        <v>109.24 Türkiye</v>
      </c>
      <c r="G1826" s="1" t="str">
        <f ca="1">IFERROR(__xludf.DUMMYFUNCTION("""COMPUTED_VALUE"""),"Human Rights Defenders, Individuals At Risk")</f>
        <v>Human Rights Defenders, Individuals At Risk</v>
      </c>
      <c r="H1826" s="1" t="str">
        <f ca="1">IFERROR(__xludf.DUMMYFUNCTION("""COMPUTED_VALUE"""),"2024")</f>
        <v>2024</v>
      </c>
      <c r="I1826" s="1" t="str">
        <f ca="1">IFERROR(__xludf.DUMMYFUNCTION("""COMPUTED_VALUE"""),"Email")</f>
        <v>Email</v>
      </c>
    </row>
    <row r="1827" spans="1:9" ht="13" x14ac:dyDescent="0.15">
      <c r="A1827" s="9">
        <f ca="1">IFERROR(__xludf.DUMMYFUNCTION("""COMPUTED_VALUE"""),228421997)</f>
        <v>228421997</v>
      </c>
      <c r="B1827" s="1" t="str">
        <f ca="1">IFERROR(__xludf.DUMMYFUNCTION("""COMPUTED_VALUE"""),"neillh53@westriv.com")</f>
        <v>neillh53@westriv.com</v>
      </c>
      <c r="C1827" s="9" t="str">
        <f ca="1">IFERROR(__xludf.DUMMYFUNCTION("""COMPUTED_VALUE"""),"EVERGREEN - UAN Gated Content - Embedded Petition")</f>
        <v>EVERGREEN - UAN Gated Content - Embedded Petition</v>
      </c>
      <c r="D1827" s="10">
        <f ca="1">IFERROR(__xludf.DUMMYFUNCTION("""COMPUTED_VALUE"""),45618)</f>
        <v>45618</v>
      </c>
      <c r="E1827" s="1" t="str">
        <f ca="1">IFERROR(__xludf.DUMMYFUNCTION("""COMPUTED_VALUE"""),"Turkiye")</f>
        <v>Turkiye</v>
      </c>
      <c r="F1827" s="1" t="str">
        <f ca="1">IFERROR(__xludf.DUMMYFUNCTION("""COMPUTED_VALUE"""),"Second 43.24 Tunisia")</f>
        <v>Second 43.24 Tunisia</v>
      </c>
      <c r="G1827" s="1" t="str">
        <f ca="1">IFERROR(__xludf.DUMMYFUNCTION("""COMPUTED_VALUE"""),"Freedom of Expression, Individuals At Risk")</f>
        <v>Freedom of Expression, Individuals At Risk</v>
      </c>
      <c r="H1827" s="1" t="str">
        <f ca="1">IFERROR(__xludf.DUMMYFUNCTION("""COMPUTED_VALUE"""),"2024")</f>
        <v>2024</v>
      </c>
      <c r="I1827" s="1" t="str">
        <f ca="1">IFERROR(__xludf.DUMMYFUNCTION("""COMPUTED_VALUE"""),"Email")</f>
        <v>Email</v>
      </c>
    </row>
    <row r="1828" spans="1:9" ht="13" x14ac:dyDescent="0.15">
      <c r="A1828" s="9">
        <f ca="1">IFERROR(__xludf.DUMMYFUNCTION("""COMPUTED_VALUE"""),229658415)</f>
        <v>229658415</v>
      </c>
      <c r="B1828" s="1" t="str">
        <f ca="1">IFERROR(__xludf.DUMMYFUNCTION("""COMPUTED_VALUE"""),"jessntd@gmail.com")</f>
        <v>jessntd@gmail.com</v>
      </c>
      <c r="C1828" s="9" t="str">
        <f ca="1">IFERROR(__xludf.DUMMYFUNCTION("""COMPUTED_VALUE"""),"EVERGREEN - UAN Gated Content - Embedded Petition")</f>
        <v>EVERGREEN - UAN Gated Content - Embedded Petition</v>
      </c>
      <c r="D1828" s="10">
        <f ca="1">IFERROR(__xludf.DUMMYFUNCTION("""COMPUTED_VALUE"""),45680)</f>
        <v>45680</v>
      </c>
      <c r="E1828" s="1" t="str">
        <f ca="1">IFERROR(__xludf.DUMMYFUNCTION("""COMPUTED_VALUE"""),"Tunisia")</f>
        <v>Tunisia</v>
      </c>
      <c r="F1828" s="1" t="str">
        <f ca="1">IFERROR(__xludf.DUMMYFUNCTION("""COMPUTED_VALUE"""),"106.24 China")</f>
        <v>106.24 China</v>
      </c>
      <c r="G1828" s="1" t="str">
        <f ca="1">IFERROR(__xludf.DUMMYFUNCTION("""COMPUTED_VALUE"""),"Freedom of Expression, Individuals At Risk")</f>
        <v>Freedom of Expression, Individuals At Risk</v>
      </c>
      <c r="H1828" s="1" t="str">
        <f ca="1">IFERROR(__xludf.DUMMYFUNCTION("""COMPUTED_VALUE"""),"2024")</f>
        <v>2024</v>
      </c>
      <c r="I1828" s="1" t="str">
        <f ca="1">IFERROR(__xludf.DUMMYFUNCTION("""COMPUTED_VALUE"""),"Email")</f>
        <v>Email</v>
      </c>
    </row>
    <row r="1829" spans="1:9" ht="13" x14ac:dyDescent="0.15">
      <c r="A1829" s="9">
        <f ca="1">IFERROR(__xludf.DUMMYFUNCTION("""COMPUTED_VALUE"""),231261132)</f>
        <v>231261132</v>
      </c>
      <c r="B1829" s="1" t="str">
        <f ca="1">IFERROR(__xludf.DUMMYFUNCTION("""COMPUTED_VALUE"""),"kar.harris77@gmail.com")</f>
        <v>kar.harris77@gmail.com</v>
      </c>
      <c r="C1829" s="9" t="str">
        <f ca="1">IFERROR(__xludf.DUMMYFUNCTION("""COMPUTED_VALUE"""),"EVERGREEN - UAN Gated Content - Embedded Petition")</f>
        <v>EVERGREEN - UAN Gated Content - Embedded Petition</v>
      </c>
      <c r="D1829" s="10">
        <f ca="1">IFERROR(__xludf.DUMMYFUNCTION("""COMPUTED_VALUE"""),45674)</f>
        <v>45674</v>
      </c>
      <c r="E1829" s="1" t="str">
        <f ca="1">IFERROR(__xludf.DUMMYFUNCTION("""COMPUTED_VALUE"""),"China")</f>
        <v>China</v>
      </c>
      <c r="F1829" s="1" t="str">
        <f ca="1">IFERROR(__xludf.DUMMYFUNCTION("""COMPUTED_VALUE"""),"107.24 Singapore")</f>
        <v>107.24 Singapore</v>
      </c>
      <c r="G1829" s="1" t="str">
        <f ca="1">IFERROR(__xludf.DUMMYFUNCTION("""COMPUTED_VALUE"""),"Death Penalty")</f>
        <v>Death Penalty</v>
      </c>
      <c r="H1829" s="1" t="str">
        <f ca="1">IFERROR(__xludf.DUMMYFUNCTION("""COMPUTED_VALUE"""),"2024")</f>
        <v>2024</v>
      </c>
      <c r="I1829" s="1" t="str">
        <f ca="1">IFERROR(__xludf.DUMMYFUNCTION("""COMPUTED_VALUE"""),"Email")</f>
        <v>Email</v>
      </c>
    </row>
    <row r="1830" spans="1:9" ht="13" x14ac:dyDescent="0.15">
      <c r="A1830" s="9">
        <f ca="1">IFERROR(__xludf.DUMMYFUNCTION("""COMPUTED_VALUE"""),231574805)</f>
        <v>231574805</v>
      </c>
      <c r="B1830" s="1" t="str">
        <f ca="1">IFERROR(__xludf.DUMMYFUNCTION("""COMPUTED_VALUE"""),"alchemistkat@gmail.com")</f>
        <v>alchemistkat@gmail.com</v>
      </c>
      <c r="C1830" s="9" t="str">
        <f ca="1">IFERROR(__xludf.DUMMYFUNCTION("""COMPUTED_VALUE"""),"EVERGREEN - UAN Gated Content - Embedded Petition")</f>
        <v>EVERGREEN - UAN Gated Content - Embedded Petition</v>
      </c>
      <c r="D1830" s="10">
        <f ca="1">IFERROR(__xludf.DUMMYFUNCTION("""COMPUTED_VALUE"""),45634)</f>
        <v>45634</v>
      </c>
      <c r="E1830" s="1" t="str">
        <f ca="1">IFERROR(__xludf.DUMMYFUNCTION("""COMPUTED_VALUE"""),"Singapore")</f>
        <v>Singapore</v>
      </c>
      <c r="F1830" s="1" t="str">
        <f ca="1">IFERROR(__xludf.DUMMYFUNCTION("""COMPUTED_VALUE"""),"104.24 Saudi Arabia")</f>
        <v>104.24 Saudi Arabia</v>
      </c>
      <c r="G1830" s="1" t="str">
        <f ca="1">IFERROR(__xludf.DUMMYFUNCTION("""COMPUTED_VALUE"""),"Individuals At Risk, Refugee and Migrant Rights")</f>
        <v>Individuals At Risk, Refugee and Migrant Rights</v>
      </c>
      <c r="H1830" s="1" t="str">
        <f ca="1">IFERROR(__xludf.DUMMYFUNCTION("""COMPUTED_VALUE"""),"2024")</f>
        <v>2024</v>
      </c>
      <c r="I1830" s="1" t="str">
        <f ca="1">IFERROR(__xludf.DUMMYFUNCTION("""COMPUTED_VALUE"""),"Email")</f>
        <v>Email</v>
      </c>
    </row>
    <row r="1831" spans="1:9" ht="13" x14ac:dyDescent="0.15">
      <c r="A1831" s="9">
        <f ca="1">IFERROR(__xludf.DUMMYFUNCTION("""COMPUTED_VALUE"""),231575038)</f>
        <v>231575038</v>
      </c>
      <c r="B1831" s="1" t="str">
        <f ca="1">IFERROR(__xludf.DUMMYFUNCTION("""COMPUTED_VALUE"""),"djbaconbits@outlook.com")</f>
        <v>djbaconbits@outlook.com</v>
      </c>
      <c r="C1831" s="9" t="str">
        <f ca="1">IFERROR(__xludf.DUMMYFUNCTION("""COMPUTED_VALUE"""),"EVERGREEN - UAN Gated Content - Embedded Petition")</f>
        <v>EVERGREEN - UAN Gated Content - Embedded Petition</v>
      </c>
      <c r="D1831" s="10">
        <f ca="1">IFERROR(__xludf.DUMMYFUNCTION("""COMPUTED_VALUE"""),45691)</f>
        <v>45691</v>
      </c>
      <c r="E1831" s="1" t="str">
        <f ca="1">IFERROR(__xludf.DUMMYFUNCTION("""COMPUTED_VALUE"""),"Saudi Arabia")</f>
        <v>Saudi Arabia</v>
      </c>
      <c r="F1831" s="1" t="str">
        <f ca="1">IFERROR(__xludf.DUMMYFUNCTION("""COMPUTED_VALUE"""),"Fourth 29.23 Egypt")</f>
        <v>Fourth 29.23 Egypt</v>
      </c>
      <c r="G1831" s="1" t="str">
        <f ca="1">IFERROR(__xludf.DUMMYFUNCTION("""COMPUTED_VALUE"""),"Freedom of Expression, Individuals At Risk, Right to Protest")</f>
        <v>Freedom of Expression, Individuals At Risk, Right to Protest</v>
      </c>
      <c r="H1831" s="1" t="str">
        <f ca="1">IFERROR(__xludf.DUMMYFUNCTION("""COMPUTED_VALUE"""),"2024")</f>
        <v>2024</v>
      </c>
      <c r="I1831" s="1" t="str">
        <f ca="1">IFERROR(__xludf.DUMMYFUNCTION("""COMPUTED_VALUE"""),"Email")</f>
        <v>Email</v>
      </c>
    </row>
    <row r="1832" spans="1:9" ht="13" x14ac:dyDescent="0.15">
      <c r="A1832" s="9">
        <f ca="1">IFERROR(__xludf.DUMMYFUNCTION("""COMPUTED_VALUE"""),232199827)</f>
        <v>232199827</v>
      </c>
      <c r="B1832" s="1" t="str">
        <f ca="1">IFERROR(__xludf.DUMMYFUNCTION("""COMPUTED_VALUE"""),"whitefoxsocialmedia@gmail.com")</f>
        <v>whitefoxsocialmedia@gmail.com</v>
      </c>
      <c r="C1832" s="9" t="str">
        <f ca="1">IFERROR(__xludf.DUMMYFUNCTION("""COMPUTED_VALUE"""),"EVERGREEN - UAN Gated Content - Embedded Petition")</f>
        <v>EVERGREEN - UAN Gated Content - Embedded Petition</v>
      </c>
      <c r="D1832" s="10">
        <f ca="1">IFERROR(__xludf.DUMMYFUNCTION("""COMPUTED_VALUE"""),45678)</f>
        <v>45678</v>
      </c>
      <c r="E1832" s="1" t="str">
        <f ca="1">IFERROR(__xludf.DUMMYFUNCTION("""COMPUTED_VALUE"""),"Egypt")</f>
        <v>Egypt</v>
      </c>
      <c r="F1832" s="1" t="str">
        <f ca="1">IFERROR(__xludf.DUMMYFUNCTION("""COMPUTED_VALUE"""),"102.24 Russia")</f>
        <v>102.24 Russia</v>
      </c>
      <c r="G1832" s="1" t="str">
        <f ca="1">IFERROR(__xludf.DUMMYFUNCTION("""COMPUTED_VALUE"""),"Freedom of Expression, Individuals At Risk, Right to Protest")</f>
        <v>Freedom of Expression, Individuals At Risk, Right to Protest</v>
      </c>
      <c r="H1832" s="1" t="str">
        <f ca="1">IFERROR(__xludf.DUMMYFUNCTION("""COMPUTED_VALUE"""),"2024")</f>
        <v>2024</v>
      </c>
      <c r="I1832" s="1" t="str">
        <f ca="1">IFERROR(__xludf.DUMMYFUNCTION("""COMPUTED_VALUE"""),"Email")</f>
        <v>Email</v>
      </c>
    </row>
    <row r="1833" spans="1:9" ht="13" x14ac:dyDescent="0.15">
      <c r="A1833" s="9">
        <f ca="1">IFERROR(__xludf.DUMMYFUNCTION("""COMPUTED_VALUE"""),232199827)</f>
        <v>232199827</v>
      </c>
      <c r="B1833" s="1" t="str">
        <f ca="1">IFERROR(__xludf.DUMMYFUNCTION("""COMPUTED_VALUE"""),"whitefoxsocialmedia@gmail.com")</f>
        <v>whitefoxsocialmedia@gmail.com</v>
      </c>
      <c r="C1833" s="9" t="str">
        <f ca="1">IFERROR(__xludf.DUMMYFUNCTION("""COMPUTED_VALUE"""),"EVERGREEN - UAN Gated Content - Embedded Petition")</f>
        <v>EVERGREEN - UAN Gated Content - Embedded Petition</v>
      </c>
      <c r="D1833" s="10">
        <f ca="1">IFERROR(__xludf.DUMMYFUNCTION("""COMPUTED_VALUE"""),45678)</f>
        <v>45678</v>
      </c>
      <c r="E1833" s="1" t="str">
        <f ca="1">IFERROR(__xludf.DUMMYFUNCTION("""COMPUTED_VALUE"""),"Russian Federation")</f>
        <v>Russian Federation</v>
      </c>
      <c r="F1833" s="1" t="str">
        <f ca="1">IFERROR(__xludf.DUMMYFUNCTION("""COMPUTED_VALUE"""),"11.25 Afghanistan")</f>
        <v>11.25 Afghanistan</v>
      </c>
      <c r="G1833" s="1" t="str">
        <f ca="1">IFERROR(__xludf.DUMMYFUNCTION("""COMPUTED_VALUE"""),"Freedom of Expression, Health, Individuals At Risk")</f>
        <v>Freedom of Expression, Health, Individuals At Risk</v>
      </c>
      <c r="H1833" s="1" t="str">
        <f ca="1">IFERROR(__xludf.DUMMYFUNCTION("""COMPUTED_VALUE"""),"2025")</f>
        <v>2025</v>
      </c>
      <c r="I1833" s="1" t="str">
        <f ca="1">IFERROR(__xludf.DUMMYFUNCTION("""COMPUTED_VALUE"""),"Email")</f>
        <v>Email</v>
      </c>
    </row>
    <row r="1834" spans="1:9" ht="13" x14ac:dyDescent="0.15">
      <c r="A1834" s="9">
        <f ca="1">IFERROR(__xludf.DUMMYFUNCTION("""COMPUTED_VALUE"""),232199827)</f>
        <v>232199827</v>
      </c>
      <c r="B1834" s="1" t="str">
        <f ca="1">IFERROR(__xludf.DUMMYFUNCTION("""COMPUTED_VALUE"""),"whitefoxsocialmedia@gmail.com")</f>
        <v>whitefoxsocialmedia@gmail.com</v>
      </c>
      <c r="C1834" s="9" t="str">
        <f ca="1">IFERROR(__xludf.DUMMYFUNCTION("""COMPUTED_VALUE"""),"EVERGREEN - UAN Gated Content - Embedded Petition")</f>
        <v>EVERGREEN - UAN Gated Content - Embedded Petition</v>
      </c>
      <c r="D1834" s="10">
        <f ca="1">IFERROR(__xludf.DUMMYFUNCTION("""COMPUTED_VALUE"""),45694)</f>
        <v>45694</v>
      </c>
      <c r="E1834" s="1" t="str">
        <f ca="1">IFERROR(__xludf.DUMMYFUNCTION("""COMPUTED_VALUE"""),"Afghanistan")</f>
        <v>Afghanistan</v>
      </c>
      <c r="F1834" s="1" t="str">
        <f ca="1">IFERROR(__xludf.DUMMYFUNCTION("""COMPUTED_VALUE"""),"Fourth 55.24 USA")</f>
        <v>Fourth 55.24 USA</v>
      </c>
      <c r="G1834" s="1" t="str">
        <f ca="1">IFERROR(__xludf.DUMMYFUNCTION("""COMPUTED_VALUE"""),"Climate Justice, Individuals At Risk")</f>
        <v>Climate Justice, Individuals At Risk</v>
      </c>
      <c r="H1834" s="1" t="str">
        <f ca="1">IFERROR(__xludf.DUMMYFUNCTION("""COMPUTED_VALUE"""),"2025")</f>
        <v>2025</v>
      </c>
      <c r="I1834" s="1" t="str">
        <f ca="1">IFERROR(__xludf.DUMMYFUNCTION("""COMPUTED_VALUE"""),"Email")</f>
        <v>Email</v>
      </c>
    </row>
    <row r="1835" spans="1:9" ht="13" x14ac:dyDescent="0.15">
      <c r="A1835" s="9">
        <f ca="1">IFERROR(__xludf.DUMMYFUNCTION("""COMPUTED_VALUE"""),232199827)</f>
        <v>232199827</v>
      </c>
      <c r="B1835" s="1" t="str">
        <f ca="1">IFERROR(__xludf.DUMMYFUNCTION("""COMPUTED_VALUE"""),"whitefoxsocialmedia@gmail.com")</f>
        <v>whitefoxsocialmedia@gmail.com</v>
      </c>
      <c r="C1835" s="9" t="str">
        <f ca="1">IFERROR(__xludf.DUMMYFUNCTION("""COMPUTED_VALUE"""),"EVERGREEN - UAN Gated Content - Embedded Petition")</f>
        <v>EVERGREEN - UAN Gated Content - Embedded Petition</v>
      </c>
      <c r="D1835" s="10">
        <f ca="1">IFERROR(__xludf.DUMMYFUNCTION("""COMPUTED_VALUE"""),45678)</f>
        <v>45678</v>
      </c>
      <c r="E1835" s="1" t="str">
        <f ca="1">IFERROR(__xludf.DUMMYFUNCTION("""COMPUTED_VALUE"""),"USA")</f>
        <v>USA</v>
      </c>
      <c r="F1835" s="1" t="str">
        <f ca="1">IFERROR(__xludf.DUMMYFUNCTION("""COMPUTED_VALUE"""),"97.24 Venezuela")</f>
        <v>97.24 Venezuela</v>
      </c>
      <c r="G1835" s="1" t="str">
        <f ca="1">IFERROR(__xludf.DUMMYFUNCTION("""COMPUTED_VALUE"""),"Freedom of Expression")</f>
        <v>Freedom of Expression</v>
      </c>
      <c r="H1835" s="1" t="str">
        <f ca="1">IFERROR(__xludf.DUMMYFUNCTION("""COMPUTED_VALUE"""),"2024")</f>
        <v>2024</v>
      </c>
      <c r="I1835" s="1" t="str">
        <f ca="1">IFERROR(__xludf.DUMMYFUNCTION("""COMPUTED_VALUE"""),"Letter")</f>
        <v>Letter</v>
      </c>
    </row>
    <row r="1836" spans="1:9" ht="13" x14ac:dyDescent="0.15">
      <c r="A1836" s="9">
        <f ca="1">IFERROR(__xludf.DUMMYFUNCTION("""COMPUTED_VALUE"""),232199827)</f>
        <v>232199827</v>
      </c>
      <c r="B1836" s="1" t="str">
        <f ca="1">IFERROR(__xludf.DUMMYFUNCTION("""COMPUTED_VALUE"""),"whitefoxsocialmedia@gmail.com")</f>
        <v>whitefoxsocialmedia@gmail.com</v>
      </c>
      <c r="C1836" s="9" t="str">
        <f ca="1">IFERROR(__xludf.DUMMYFUNCTION("""COMPUTED_VALUE"""),"EVERGREEN - Website Email Capture Form - UAN Pre-Footer")</f>
        <v>EVERGREEN - Website Email Capture Form - UAN Pre-Footer</v>
      </c>
      <c r="D1836" s="10">
        <f ca="1">IFERROR(__xludf.DUMMYFUNCTION("""COMPUTED_VALUE"""),45678)</f>
        <v>45678</v>
      </c>
      <c r="E1836" s="1" t="str">
        <f ca="1">IFERROR(__xludf.DUMMYFUNCTION("""COMPUTED_VALUE"""),"Venezuela")</f>
        <v>Venezuela</v>
      </c>
      <c r="F1836" s="1" t="str">
        <f ca="1">IFERROR(__xludf.DUMMYFUNCTION("""COMPUTED_VALUE"""),"97.24 Venezuela")</f>
        <v>97.24 Venezuela</v>
      </c>
      <c r="G1836" s="1" t="str">
        <f ca="1">IFERROR(__xludf.DUMMYFUNCTION("""COMPUTED_VALUE"""),"Freedom of Expression")</f>
        <v>Freedom of Expression</v>
      </c>
      <c r="H1836" s="1" t="str">
        <f ca="1">IFERROR(__xludf.DUMMYFUNCTION("""COMPUTED_VALUE"""),"2024")</f>
        <v>2024</v>
      </c>
      <c r="I1836" s="1" t="str">
        <f ca="1">IFERROR(__xludf.DUMMYFUNCTION("""COMPUTED_VALUE"""),"Letter")</f>
        <v>Letter</v>
      </c>
    </row>
    <row r="1837" spans="1:9" ht="13" x14ac:dyDescent="0.15">
      <c r="A1837" s="9">
        <f ca="1">IFERROR(__xludf.DUMMYFUNCTION("""COMPUTED_VALUE"""),232199827)</f>
        <v>232199827</v>
      </c>
      <c r="B1837" s="1" t="str">
        <f ca="1">IFERROR(__xludf.DUMMYFUNCTION("""COMPUTED_VALUE"""),"whitefoxsocialmedia@gmail.com")</f>
        <v>whitefoxsocialmedia@gmail.com</v>
      </c>
      <c r="C1837" s="9" t="str">
        <f ca="1">IFERROR(__xludf.DUMMYFUNCTION("""COMPUTED_VALUE"""),"UAN mid-page Lightbox - Step 1 of 4 - Landing Page")</f>
        <v>UAN mid-page Lightbox - Step 1 of 4 - Landing Page</v>
      </c>
      <c r="D1837" s="10">
        <f ca="1">IFERROR(__xludf.DUMMYFUNCTION("""COMPUTED_VALUE"""),45678)</f>
        <v>45678</v>
      </c>
      <c r="E1837" s="1" t="str">
        <f ca="1">IFERROR(__xludf.DUMMYFUNCTION("""COMPUTED_VALUE"""),"Venezuela")</f>
        <v>Venezuela</v>
      </c>
      <c r="F1837" s="1" t="str">
        <f ca="1">IFERROR(__xludf.DUMMYFUNCTION("""COMPUTED_VALUE"""),"3.25 IOPT")</f>
        <v>3.25 IOPT</v>
      </c>
      <c r="G1837" s="1" t="str">
        <f ca="1">IFERROR(__xludf.DUMMYFUNCTION("""COMPUTED_VALUE"""),"Freedom of Expression, Individuals At Risk")</f>
        <v>Freedom of Expression, Individuals At Risk</v>
      </c>
      <c r="H1837" s="1" t="str">
        <f ca="1">IFERROR(__xludf.DUMMYFUNCTION("""COMPUTED_VALUE"""),"2025")</f>
        <v>2025</v>
      </c>
      <c r="I1837" s="1" t="str">
        <f ca="1">IFERROR(__xludf.DUMMYFUNCTION("""COMPUTED_VALUE"""),"Email")</f>
        <v>Email</v>
      </c>
    </row>
    <row r="1838" spans="1:9" ht="13" x14ac:dyDescent="0.15">
      <c r="A1838" s="9">
        <f ca="1">IFERROR(__xludf.DUMMYFUNCTION("""COMPUTED_VALUE"""),232199827)</f>
        <v>232199827</v>
      </c>
      <c r="B1838" s="1" t="str">
        <f ca="1">IFERROR(__xludf.DUMMYFUNCTION("""COMPUTED_VALUE"""),"whitefoxsocialmedia@gmail.com")</f>
        <v>whitefoxsocialmedia@gmail.com</v>
      </c>
      <c r="C1838" s="9" t="str">
        <f ca="1">IFERROR(__xludf.DUMMYFUNCTION("""COMPUTED_VALUE"""),"UAN mid-page Lightbox - Step 2 of 4 - More personal info fields")</f>
        <v>UAN mid-page Lightbox - Step 2 of 4 - More personal info fields</v>
      </c>
      <c r="D1838" s="10">
        <f ca="1">IFERROR(__xludf.DUMMYFUNCTION("""COMPUTED_VALUE"""),45678)</f>
        <v>45678</v>
      </c>
      <c r="E1838" s="1" t="str">
        <f ca="1">IFERROR(__xludf.DUMMYFUNCTION("""COMPUTED_VALUE"""),"Israel and Occupied Palestinian Territories")</f>
        <v>Israel and Occupied Palestinian Territories</v>
      </c>
      <c r="F1838" s="1" t="str">
        <f ca="1">IFERROR(__xludf.DUMMYFUNCTION("""COMPUTED_VALUE"""),"6.25 Iran")</f>
        <v>6.25 Iran</v>
      </c>
      <c r="G1838" s="1" t="str">
        <f ca="1">IFERROR(__xludf.DUMMYFUNCTION("""COMPUTED_VALUE"""),"Death Penalty, Freedom of Expression, Individuals At Risk")</f>
        <v>Death Penalty, Freedom of Expression, Individuals At Risk</v>
      </c>
      <c r="H1838" s="1" t="str">
        <f ca="1">IFERROR(__xludf.DUMMYFUNCTION("""COMPUTED_VALUE"""),"2025")</f>
        <v>2025</v>
      </c>
      <c r="I1838" s="1" t="str">
        <f ca="1">IFERROR(__xludf.DUMMYFUNCTION("""COMPUTED_VALUE"""),"Email")</f>
        <v>Email</v>
      </c>
    </row>
    <row r="1839" spans="1:9" ht="13" x14ac:dyDescent="0.15">
      <c r="A1839" s="9">
        <f ca="1">IFERROR(__xludf.DUMMYFUNCTION("""COMPUTED_VALUE"""),232199827)</f>
        <v>232199827</v>
      </c>
      <c r="B1839" s="1" t="str">
        <f ca="1">IFERROR(__xludf.DUMMYFUNCTION("""COMPUTED_VALUE"""),"whitefoxsocialmedia@gmail.com")</f>
        <v>whitefoxsocialmedia@gmail.com</v>
      </c>
      <c r="C1839" s="9" t="str">
        <f ca="1">IFERROR(__xludf.DUMMYFUNCTION("""COMPUTED_VALUE"""),"UAN mid-page Lightbox - Step 3 of 4 - More opt-ins")</f>
        <v>UAN mid-page Lightbox - Step 3 of 4 - More opt-ins</v>
      </c>
      <c r="D1839" s="10">
        <f ca="1">IFERROR(__xludf.DUMMYFUNCTION("""COMPUTED_VALUE"""),45678)</f>
        <v>45678</v>
      </c>
      <c r="E1839" s="1" t="str">
        <f ca="1">IFERROR(__xludf.DUMMYFUNCTION("""COMPUTED_VALUE"""),"Iran")</f>
        <v>Iran</v>
      </c>
      <c r="F1839" s="1" t="str">
        <f ca="1">IFERROR(__xludf.DUMMYFUNCTION("""COMPUTED_VALUE"""),"Second 76.24 Tunisia")</f>
        <v>Second 76.24 Tunisia</v>
      </c>
      <c r="G1839" s="1" t="str">
        <f ca="1">IFERROR(__xludf.DUMMYFUNCTION("""COMPUTED_VALUE"""),"Freedom of Expression, Human Rights Defenders")</f>
        <v>Freedom of Expression, Human Rights Defenders</v>
      </c>
      <c r="H1839" s="1" t="str">
        <f ca="1">IFERROR(__xludf.DUMMYFUNCTION("""COMPUTED_VALUE"""),"2025")</f>
        <v>2025</v>
      </c>
      <c r="I1839" s="1" t="str">
        <f ca="1">IFERROR(__xludf.DUMMYFUNCTION("""COMPUTED_VALUE"""),"Email")</f>
        <v>Email</v>
      </c>
    </row>
    <row r="1840" spans="1:9" ht="13" x14ac:dyDescent="0.15">
      <c r="A1840" s="9">
        <f ca="1">IFERROR(__xludf.DUMMYFUNCTION("""COMPUTED_VALUE"""),233803762)</f>
        <v>233803762</v>
      </c>
      <c r="B1840" s="1" t="str">
        <f ca="1">IFERROR(__xludf.DUMMYFUNCTION("""COMPUTED_VALUE"""),"dmontgomery9812@gmail.com")</f>
        <v>dmontgomery9812@gmail.com</v>
      </c>
      <c r="C1840" s="9" t="str">
        <f ca="1">IFERROR(__xludf.DUMMYFUNCTION("""COMPUTED_VALUE"""),"EVERGREEN - UAN Gated Content - Embedded Petition")</f>
        <v>EVERGREEN - UAN Gated Content - Embedded Petition</v>
      </c>
      <c r="D1840" s="10">
        <f ca="1">IFERROR(__xludf.DUMMYFUNCTION("""COMPUTED_VALUE"""),45648)</f>
        <v>45648</v>
      </c>
      <c r="E1840" s="1" t="str">
        <f ca="1">IFERROR(__xludf.DUMMYFUNCTION("""COMPUTED_VALUE"""),"Tunisia")</f>
        <v>Tunisia</v>
      </c>
      <c r="F1840" s="1" t="str">
        <f ca="1">IFERROR(__xludf.DUMMYFUNCTION("""COMPUTED_VALUE"""),"7.25 Afghanistan")</f>
        <v>7.25 Afghanistan</v>
      </c>
      <c r="G1840" s="1" t="str">
        <f ca="1">IFERROR(__xludf.DUMMYFUNCTION("""COMPUTED_VALUE"""),"Freedom of Expression, Individuals At Risk, Women's Rights")</f>
        <v>Freedom of Expression, Individuals At Risk, Women's Rights</v>
      </c>
      <c r="H1840" s="1" t="str">
        <f ca="1">IFERROR(__xludf.DUMMYFUNCTION("""COMPUTED_VALUE"""),"2025")</f>
        <v>2025</v>
      </c>
      <c r="I1840" s="1" t="str">
        <f ca="1">IFERROR(__xludf.DUMMYFUNCTION("""COMPUTED_VALUE"""),"Email")</f>
        <v>Email</v>
      </c>
    </row>
    <row r="1841" spans="1:9" ht="13" x14ac:dyDescent="0.15">
      <c r="A1841" s="9">
        <f ca="1">IFERROR(__xludf.DUMMYFUNCTION("""COMPUTED_VALUE"""),233803762)</f>
        <v>233803762</v>
      </c>
      <c r="B1841" s="1" t="str">
        <f ca="1">IFERROR(__xludf.DUMMYFUNCTION("""COMPUTED_VALUE"""),"dmontgomery9812@gmail.com")</f>
        <v>dmontgomery9812@gmail.com</v>
      </c>
      <c r="C1841" s="9" t="str">
        <f ca="1">IFERROR(__xludf.DUMMYFUNCTION("""COMPUTED_VALUE"""),"EVERGREEN - UAN Gated Content - Embedded Petition")</f>
        <v>EVERGREEN - UAN Gated Content - Embedded Petition</v>
      </c>
      <c r="D1841" s="10">
        <f ca="1">IFERROR(__xludf.DUMMYFUNCTION("""COMPUTED_VALUE"""),45648)</f>
        <v>45648</v>
      </c>
      <c r="E1841" s="1" t="str">
        <f ca="1">IFERROR(__xludf.DUMMYFUNCTION("""COMPUTED_VALUE"""),"Afghanistan")</f>
        <v>Afghanistan</v>
      </c>
      <c r="F1841" s="1" t="str">
        <f ca="1">IFERROR(__xludf.DUMMYFUNCTION("""COMPUTED_VALUE"""),"8.25 Tunisia")</f>
        <v>8.25 Tunisia</v>
      </c>
      <c r="G1841" s="1" t="str">
        <f ca="1">IFERROR(__xludf.DUMMYFUNCTION("""COMPUTED_VALUE"""),"Freedom of Expression")</f>
        <v>Freedom of Expression</v>
      </c>
      <c r="H1841" s="1" t="str">
        <f ca="1">IFERROR(__xludf.DUMMYFUNCTION("""COMPUTED_VALUE"""),"2025")</f>
        <v>2025</v>
      </c>
      <c r="I1841" s="1" t="str">
        <f ca="1">IFERROR(__xludf.DUMMYFUNCTION("""COMPUTED_VALUE"""),"Email")</f>
        <v>Email</v>
      </c>
    </row>
    <row r="1842" spans="1:9" ht="13" x14ac:dyDescent="0.15">
      <c r="A1842" s="9">
        <f ca="1">IFERROR(__xludf.DUMMYFUNCTION("""COMPUTED_VALUE"""),235037417)</f>
        <v>235037417</v>
      </c>
      <c r="B1842" s="1" t="str">
        <f ca="1">IFERROR(__xludf.DUMMYFUNCTION("""COMPUTED_VALUE"""),"kmayers@aiusacs.org")</f>
        <v>kmayers@aiusacs.org</v>
      </c>
      <c r="C1842" s="9" t="str">
        <f ca="1">IFERROR(__xludf.DUMMYFUNCTION("""COMPUTED_VALUE"""),"EVERGREEN - UAN Gated Content - Embedded Petition")</f>
        <v>EVERGREEN - UAN Gated Content - Embedded Petition</v>
      </c>
      <c r="D1842" s="10">
        <f ca="1">IFERROR(__xludf.DUMMYFUNCTION("""COMPUTED_VALUE"""),45666)</f>
        <v>45666</v>
      </c>
      <c r="E1842" s="1" t="str">
        <f ca="1">IFERROR(__xludf.DUMMYFUNCTION("""COMPUTED_VALUE"""),"Tunisia")</f>
        <v>Tunisia</v>
      </c>
      <c r="F1842" s="1" t="str">
        <f ca="1">IFERROR(__xludf.DUMMYFUNCTION("""COMPUTED_VALUE"""),"9.25 Uganda")</f>
        <v>9.25 Uganda</v>
      </c>
      <c r="G1842" s="1" t="str">
        <f ca="1">IFERROR(__xludf.DUMMYFUNCTION("""COMPUTED_VALUE"""),"Freedom of Expression, Human Rights Defenders")</f>
        <v>Freedom of Expression, Human Rights Defenders</v>
      </c>
      <c r="H1842" s="1" t="str">
        <f ca="1">IFERROR(__xludf.DUMMYFUNCTION("""COMPUTED_VALUE"""),"2025")</f>
        <v>2025</v>
      </c>
      <c r="I1842" s="1" t="str">
        <f ca="1">IFERROR(__xludf.DUMMYFUNCTION("""COMPUTED_VALUE"""),"Email")</f>
        <v>Email</v>
      </c>
    </row>
    <row r="1843" spans="1:9" ht="13" x14ac:dyDescent="0.15">
      <c r="A1843" s="9">
        <f ca="1">IFERROR(__xludf.DUMMYFUNCTION("""COMPUTED_VALUE"""),235537998)</f>
        <v>235537998</v>
      </c>
      <c r="B1843" s="1" t="str">
        <f ca="1">IFERROR(__xludf.DUMMYFUNCTION("""COMPUTED_VALUE"""),"garberart@gmail.com")</f>
        <v>garberart@gmail.com</v>
      </c>
      <c r="C1843" s="9" t="str">
        <f ca="1">IFERROR(__xludf.DUMMYFUNCTION("""COMPUTED_VALUE"""),"EVERGREEN - UAN Gated Content - Embedded Petition")</f>
        <v>EVERGREEN - UAN Gated Content - Embedded Petition</v>
      </c>
      <c r="D1843" s="10">
        <f ca="1">IFERROR(__xludf.DUMMYFUNCTION("""COMPUTED_VALUE"""),45705)</f>
        <v>45705</v>
      </c>
      <c r="E1843" s="1" t="str">
        <f ca="1">IFERROR(__xludf.DUMMYFUNCTION("""COMPUTED_VALUE"""),"Uganda")</f>
        <v>Uganda</v>
      </c>
      <c r="F1843" s="1" t="str">
        <f ca="1">IFERROR(__xludf.DUMMYFUNCTION("""COMPUTED_VALUE"""),"10.25 Iran")</f>
        <v>10.25 Iran</v>
      </c>
      <c r="G1843" s="1" t="str">
        <f ca="1">IFERROR(__xludf.DUMMYFUNCTION("""COMPUTED_VALUE"""),"Death Penalty, Individuals At Risk")</f>
        <v>Death Penalty, Individuals At Risk</v>
      </c>
      <c r="H1843" s="1" t="str">
        <f ca="1">IFERROR(__xludf.DUMMYFUNCTION("""COMPUTED_VALUE"""),"2025")</f>
        <v>2025</v>
      </c>
      <c r="I1843" s="1" t="str">
        <f ca="1">IFERROR(__xludf.DUMMYFUNCTION("""COMPUTED_VALUE"""),"Email")</f>
        <v>Email</v>
      </c>
    </row>
    <row r="1844" spans="1:9" ht="13" x14ac:dyDescent="0.15">
      <c r="A1844" s="9">
        <f ca="1">IFERROR(__xludf.DUMMYFUNCTION("""COMPUTED_VALUE"""),236211638)</f>
        <v>236211638</v>
      </c>
      <c r="B1844" s="1" t="str">
        <f ca="1">IFERROR(__xludf.DUMMYFUNCTION("""COMPUTED_VALUE"""),"setapartforservice@yahoo.com")</f>
        <v>setapartforservice@yahoo.com</v>
      </c>
      <c r="C1844" s="9" t="str">
        <f ca="1">IFERROR(__xludf.DUMMYFUNCTION("""COMPUTED_VALUE"""),"EVERGREEN - UAN Gated Content - Embedded Petition")</f>
        <v>EVERGREEN - UAN Gated Content - Embedded Petition</v>
      </c>
      <c r="D1844" s="10">
        <f ca="1">IFERROR(__xludf.DUMMYFUNCTION("""COMPUTED_VALUE"""),45680)</f>
        <v>45680</v>
      </c>
      <c r="E1844" s="1" t="str">
        <f ca="1">IFERROR(__xludf.DUMMYFUNCTION("""COMPUTED_VALUE"""),"Iran")</f>
        <v>Iran</v>
      </c>
      <c r="F1844" s="1" t="str">
        <f ca="1">IFERROR(__xludf.DUMMYFUNCTION("""COMPUTED_VALUE"""),"3.25 IOPT")</f>
        <v>3.25 IOPT</v>
      </c>
      <c r="G1844" s="1" t="str">
        <f ca="1">IFERROR(__xludf.DUMMYFUNCTION("""COMPUTED_VALUE"""),"Freedom of Expression, Individuals At Risk")</f>
        <v>Freedom of Expression, Individuals At Risk</v>
      </c>
      <c r="H1844" s="1" t="str">
        <f ca="1">IFERROR(__xludf.DUMMYFUNCTION("""COMPUTED_VALUE"""),"2025")</f>
        <v>2025</v>
      </c>
      <c r="I1844" s="1" t="str">
        <f ca="1">IFERROR(__xludf.DUMMYFUNCTION("""COMPUTED_VALUE"""),"Email")</f>
        <v>Email</v>
      </c>
    </row>
    <row r="1845" spans="1:9" ht="13" x14ac:dyDescent="0.15">
      <c r="A1845" s="9">
        <f ca="1">IFERROR(__xludf.DUMMYFUNCTION("""COMPUTED_VALUE"""),236854515)</f>
        <v>236854515</v>
      </c>
      <c r="B1845" s="1" t="str">
        <f ca="1">IFERROR(__xludf.DUMMYFUNCTION("""COMPUTED_VALUE"""),"maria17katt@hotmail.com")</f>
        <v>maria17katt@hotmail.com</v>
      </c>
      <c r="C1845" s="9" t="str">
        <f ca="1">IFERROR(__xludf.DUMMYFUNCTION("""COMPUTED_VALUE"""),"EVERGREEN - UAN Gated Content - Embedded Petition")</f>
        <v>EVERGREEN - UAN Gated Content - Embedded Petition</v>
      </c>
      <c r="D1845" s="10">
        <f ca="1">IFERROR(__xludf.DUMMYFUNCTION("""COMPUTED_VALUE"""),45691)</f>
        <v>45691</v>
      </c>
      <c r="E1845" s="1" t="str">
        <f ca="1">IFERROR(__xludf.DUMMYFUNCTION("""COMPUTED_VALUE"""),"Israel and Occupied Palestinian Territories")</f>
        <v>Israel and Occupied Palestinian Territories</v>
      </c>
      <c r="F1845" s="1" t="str">
        <f ca="1">IFERROR(__xludf.DUMMYFUNCTION("""COMPUTED_VALUE"""),"4.25 USA")</f>
        <v>4.25 USA</v>
      </c>
      <c r="G1845" s="1" t="str">
        <f ca="1">IFERROR(__xludf.DUMMYFUNCTION("""COMPUTED_VALUE"""),"Individuals At Risk, Refugee and Migrant Rights")</f>
        <v>Individuals At Risk, Refugee and Migrant Rights</v>
      </c>
      <c r="H1845" s="1" t="str">
        <f ca="1">IFERROR(__xludf.DUMMYFUNCTION("""COMPUTED_VALUE"""),"2025")</f>
        <v>2025</v>
      </c>
      <c r="I1845" s="1" t="str">
        <f ca="1">IFERROR(__xludf.DUMMYFUNCTION("""COMPUTED_VALUE"""),"Letter")</f>
        <v>Letter</v>
      </c>
    </row>
    <row r="1846" spans="1:9" ht="13" x14ac:dyDescent="0.15">
      <c r="A1846" s="9">
        <f ca="1">IFERROR(__xludf.DUMMYFUNCTION("""COMPUTED_VALUE"""),237110521)</f>
        <v>237110521</v>
      </c>
      <c r="B1846" s="1" t="str">
        <f ca="1">IFERROR(__xludf.DUMMYFUNCTION("""COMPUTED_VALUE"""),"franjunejo@gmail.com")</f>
        <v>franjunejo@gmail.com</v>
      </c>
      <c r="C1846" s="9" t="str">
        <f ca="1">IFERROR(__xludf.DUMMYFUNCTION("""COMPUTED_VALUE"""),"EVERGREEN - UAN Gated Content - Embedded Petition")</f>
        <v>EVERGREEN - UAN Gated Content - Embedded Petition</v>
      </c>
      <c r="D1846" s="10">
        <f ca="1">IFERROR(__xludf.DUMMYFUNCTION("""COMPUTED_VALUE"""),45694)</f>
        <v>45694</v>
      </c>
      <c r="E1846" s="1" t="str">
        <f ca="1">IFERROR(__xludf.DUMMYFUNCTION("""COMPUTED_VALUE"""),"USA")</f>
        <v>USA</v>
      </c>
      <c r="F1846" s="1" t="str">
        <f ca="1">IFERROR(__xludf.DUMMYFUNCTION("""COMPUTED_VALUE"""),"Third 12.24 Colombia")</f>
        <v>Third 12.24 Colombia</v>
      </c>
      <c r="G1846" s="1" t="str">
        <f ca="1">IFERROR(__xludf.DUMMYFUNCTION("""COMPUTED_VALUE"""),"Human Rights Defenders, Individuals At Risk")</f>
        <v>Human Rights Defenders, Individuals At Risk</v>
      </c>
      <c r="H1846" s="1" t="str">
        <f ca="1">IFERROR(__xludf.DUMMYFUNCTION("""COMPUTED_VALUE"""),"2025")</f>
        <v>2025</v>
      </c>
      <c r="I1846" s="1" t="str">
        <f ca="1">IFERROR(__xludf.DUMMYFUNCTION("""COMPUTED_VALUE"""),"Email")</f>
        <v>Email</v>
      </c>
    </row>
    <row r="1847" spans="1:9" ht="13" x14ac:dyDescent="0.15">
      <c r="A1847" s="9">
        <f ca="1">IFERROR(__xludf.DUMMYFUNCTION("""COMPUTED_VALUE"""),237110521)</f>
        <v>237110521</v>
      </c>
      <c r="B1847" s="1" t="str">
        <f ca="1">IFERROR(__xludf.DUMMYFUNCTION("""COMPUTED_VALUE"""),"franjunejo@gmail.com")</f>
        <v>franjunejo@gmail.com</v>
      </c>
      <c r="C1847" s="9" t="str">
        <f ca="1">IFERROR(__xludf.DUMMYFUNCTION("""COMPUTED_VALUE"""),"EVERGREEN - UAN Gated Content - Embedded Petition")</f>
        <v>EVERGREEN - UAN Gated Content - Embedded Petition</v>
      </c>
      <c r="D1847" s="10">
        <f ca="1">IFERROR(__xludf.DUMMYFUNCTION("""COMPUTED_VALUE"""),45694)</f>
        <v>45694</v>
      </c>
      <c r="E1847" s="1" t="str">
        <f ca="1">IFERROR(__xludf.DUMMYFUNCTION("""COMPUTED_VALUE"""),"Colombia")</f>
        <v>Colombia</v>
      </c>
      <c r="F1847" s="1" t="str">
        <f ca="1">IFERROR(__xludf.DUMMYFUNCTION("""COMPUTED_VALUE"""),"5.25 Colombia")</f>
        <v>5.25 Colombia</v>
      </c>
      <c r="G1847" s="1" t="str">
        <f ca="1">IFERROR(__xludf.DUMMYFUNCTION("""COMPUTED_VALUE"""),"Human Rights Defenders, Individuals At Risk")</f>
        <v>Human Rights Defenders, Individuals At Risk</v>
      </c>
      <c r="H1847" s="1" t="str">
        <f ca="1">IFERROR(__xludf.DUMMYFUNCTION("""COMPUTED_VALUE"""),"2025")</f>
        <v>2025</v>
      </c>
      <c r="I1847" s="1" t="str">
        <f ca="1">IFERROR(__xludf.DUMMYFUNCTION("""COMPUTED_VALUE"""),"Email")</f>
        <v>Email</v>
      </c>
    </row>
    <row r="1848" spans="1:9" ht="13" x14ac:dyDescent="0.15">
      <c r="A1848" s="9">
        <f ca="1">IFERROR(__xludf.DUMMYFUNCTION("""COMPUTED_VALUE"""),237110521)</f>
        <v>237110521</v>
      </c>
      <c r="B1848" s="1" t="str">
        <f ca="1">IFERROR(__xludf.DUMMYFUNCTION("""COMPUTED_VALUE"""),"franjunejo@gmail.com")</f>
        <v>franjunejo@gmail.com</v>
      </c>
      <c r="C1848" s="9" t="str">
        <f ca="1">IFERROR(__xludf.DUMMYFUNCTION("""COMPUTED_VALUE"""),"EVERGREEN - UAN Gated Content - Embedded Petition")</f>
        <v>EVERGREEN - UAN Gated Content - Embedded Petition</v>
      </c>
      <c r="D1848" s="10">
        <f ca="1">IFERROR(__xludf.DUMMYFUNCTION("""COMPUTED_VALUE"""),45694)</f>
        <v>45694</v>
      </c>
      <c r="E1848" s="1" t="str">
        <f ca="1">IFERROR(__xludf.DUMMYFUNCTION("""COMPUTED_VALUE"""),"Colombia")</f>
        <v>Colombia</v>
      </c>
      <c r="F1848" s="1" t="str">
        <f ca="1">IFERROR(__xludf.DUMMYFUNCTION("""COMPUTED_VALUE"""),"Second 109.24 Türkiye")</f>
        <v>Second 109.24 Türkiye</v>
      </c>
      <c r="G1848" s="1" t="str">
        <f ca="1">IFERROR(__xludf.DUMMYFUNCTION("""COMPUTED_VALUE"""),"Human Rights Defenders")</f>
        <v>Human Rights Defenders</v>
      </c>
      <c r="H1848" s="1" t="str">
        <f ca="1">IFERROR(__xludf.DUMMYFUNCTION("""COMPUTED_VALUE"""),"2025")</f>
        <v>2025</v>
      </c>
      <c r="I1848" s="1" t="str">
        <f ca="1">IFERROR(__xludf.DUMMYFUNCTION("""COMPUTED_VALUE"""),"Email")</f>
        <v>Email</v>
      </c>
    </row>
    <row r="1849" spans="1:9" ht="13" x14ac:dyDescent="0.15">
      <c r="A1849" s="9">
        <f ca="1">IFERROR(__xludf.DUMMYFUNCTION("""COMPUTED_VALUE"""),237643629)</f>
        <v>237643629</v>
      </c>
      <c r="B1849" s="1" t="str">
        <f ca="1">IFERROR(__xludf.DUMMYFUNCTION("""COMPUTED_VALUE"""),"dodimelnicoff@gmail.com")</f>
        <v>dodimelnicoff@gmail.com</v>
      </c>
      <c r="C1849" s="9" t="str">
        <f ca="1">IFERROR(__xludf.DUMMYFUNCTION("""COMPUTED_VALUE"""),"EVERGREEN - UAN Gated Content - Embedded Petition")</f>
        <v>EVERGREEN - UAN Gated Content - Embedded Petition</v>
      </c>
      <c r="D1849" s="10">
        <f ca="1">IFERROR(__xludf.DUMMYFUNCTION("""COMPUTED_VALUE"""),45672)</f>
        <v>45672</v>
      </c>
      <c r="E1849" s="1" t="str">
        <f ca="1">IFERROR(__xludf.DUMMYFUNCTION("""COMPUTED_VALUE"""),"Turkiye")</f>
        <v>Turkiye</v>
      </c>
      <c r="F1849" s="1" t="str">
        <f ca="1">IFERROR(__xludf.DUMMYFUNCTION("""COMPUTED_VALUE"""),"6.25 Iran")</f>
        <v>6.25 Iran</v>
      </c>
      <c r="G1849" s="1" t="str">
        <f ca="1">IFERROR(__xludf.DUMMYFUNCTION("""COMPUTED_VALUE"""),"Death Penalty, Freedom of Expression, Individuals At Risk")</f>
        <v>Death Penalty, Freedom of Expression, Individuals At Risk</v>
      </c>
      <c r="H1849" s="1" t="str">
        <f ca="1">IFERROR(__xludf.DUMMYFUNCTION("""COMPUTED_VALUE"""),"2025")</f>
        <v>2025</v>
      </c>
      <c r="I1849" s="1" t="str">
        <f ca="1">IFERROR(__xludf.DUMMYFUNCTION("""COMPUTED_VALUE"""),"Email")</f>
        <v>Email</v>
      </c>
    </row>
    <row r="1850" spans="1:9" ht="13" x14ac:dyDescent="0.15">
      <c r="A1850" s="9">
        <f ca="1">IFERROR(__xludf.DUMMYFUNCTION("""COMPUTED_VALUE"""),237643947)</f>
        <v>237643947</v>
      </c>
      <c r="B1850" s="1" t="str">
        <f ca="1">IFERROR(__xludf.DUMMYFUNCTION("""COMPUTED_VALUE"""),"casey86@protonmail.com")</f>
        <v>casey86@protonmail.com</v>
      </c>
      <c r="C1850" s="9" t="str">
        <f ca="1">IFERROR(__xludf.DUMMYFUNCTION("""COMPUTED_VALUE"""),"EVERGREEN - UAN Gated Content - Embedded Petition")</f>
        <v>EVERGREEN - UAN Gated Content - Embedded Petition</v>
      </c>
      <c r="D1850" s="10">
        <f ca="1">IFERROR(__xludf.DUMMYFUNCTION("""COMPUTED_VALUE"""),45636)</f>
        <v>45636</v>
      </c>
      <c r="E1850" s="1" t="str">
        <f ca="1">IFERROR(__xludf.DUMMYFUNCTION("""COMPUTED_VALUE"""),"Iran")</f>
        <v>Iran</v>
      </c>
      <c r="F1850" s="1" t="str">
        <f ca="1">IFERROR(__xludf.DUMMYFUNCTION("""COMPUTED_VALUE"""),"4.25 USA")</f>
        <v>4.25 USA</v>
      </c>
      <c r="G1850" s="1" t="str">
        <f ca="1">IFERROR(__xludf.DUMMYFUNCTION("""COMPUTED_VALUE"""),"Individuals At Risk, Refugee and Migrant Rights")</f>
        <v>Individuals At Risk, Refugee and Migrant Rights</v>
      </c>
      <c r="H1850" s="1" t="str">
        <f ca="1">IFERROR(__xludf.DUMMYFUNCTION("""COMPUTED_VALUE"""),"2025")</f>
        <v>2025</v>
      </c>
      <c r="I1850" s="1" t="str">
        <f ca="1">IFERROR(__xludf.DUMMYFUNCTION("""COMPUTED_VALUE"""),"Letter")</f>
        <v>Letter</v>
      </c>
    </row>
    <row r="1851" spans="1:9" ht="13" x14ac:dyDescent="0.15">
      <c r="A1851" s="9">
        <f ca="1">IFERROR(__xludf.DUMMYFUNCTION("""COMPUTED_VALUE"""),237643947)</f>
        <v>237643947</v>
      </c>
      <c r="B1851" s="1" t="str">
        <f ca="1">IFERROR(__xludf.DUMMYFUNCTION("""COMPUTED_VALUE"""),"casey86@protonmail.com")</f>
        <v>casey86@protonmail.com</v>
      </c>
      <c r="C1851" s="9" t="str">
        <f ca="1">IFERROR(__xludf.DUMMYFUNCTION("""COMPUTED_VALUE"""),"EVERGREEN - UAN Gated Content - Embedded Petition")</f>
        <v>EVERGREEN - UAN Gated Content - Embedded Petition</v>
      </c>
      <c r="D1851" s="10">
        <f ca="1">IFERROR(__xludf.DUMMYFUNCTION("""COMPUTED_VALUE"""),45636)</f>
        <v>45636</v>
      </c>
      <c r="E1851" s="1" t="str">
        <f ca="1">IFERROR(__xludf.DUMMYFUNCTION("""COMPUTED_VALUE"""),"USA")</f>
        <v>USA</v>
      </c>
      <c r="F1851" s="1" t="str">
        <f ca="1">IFERROR(__xludf.DUMMYFUNCTION("""COMPUTED_VALUE"""),"4.25 USA")</f>
        <v>4.25 USA</v>
      </c>
      <c r="G1851" s="1" t="str">
        <f ca="1">IFERROR(__xludf.DUMMYFUNCTION("""COMPUTED_VALUE"""),"Individuals At Risk, Refugee and Migrant Rights")</f>
        <v>Individuals At Risk, Refugee and Migrant Rights</v>
      </c>
      <c r="H1851" s="1" t="str">
        <f ca="1">IFERROR(__xludf.DUMMYFUNCTION("""COMPUTED_VALUE"""),"2025")</f>
        <v>2025</v>
      </c>
      <c r="I1851" s="1" t="str">
        <f ca="1">IFERROR(__xludf.DUMMYFUNCTION("""COMPUTED_VALUE"""),"Letter")</f>
        <v>Letter</v>
      </c>
    </row>
    <row r="1852" spans="1:9" ht="13" x14ac:dyDescent="0.15">
      <c r="A1852" s="9">
        <f ca="1">IFERROR(__xludf.DUMMYFUNCTION("""COMPUTED_VALUE"""),237643947)</f>
        <v>237643947</v>
      </c>
      <c r="B1852" s="1" t="str">
        <f ca="1">IFERROR(__xludf.DUMMYFUNCTION("""COMPUTED_VALUE"""),"casey86@protonmail.com")</f>
        <v>casey86@protonmail.com</v>
      </c>
      <c r="C1852" s="9" t="str">
        <f ca="1">IFERROR(__xludf.DUMMYFUNCTION("""COMPUTED_VALUE"""),"EVERGREEN - UAN Gated Content - Embedded Petition")</f>
        <v>EVERGREEN - UAN Gated Content - Embedded Petition</v>
      </c>
      <c r="D1852" s="10">
        <f ca="1">IFERROR(__xludf.DUMMYFUNCTION("""COMPUTED_VALUE"""),45636)</f>
        <v>45636</v>
      </c>
      <c r="E1852" s="1" t="str">
        <f ca="1">IFERROR(__xludf.DUMMYFUNCTION("""COMPUTED_VALUE"""),"USA")</f>
        <v>USA</v>
      </c>
      <c r="F1852" s="1" t="str">
        <f ca="1">IFERROR(__xludf.DUMMYFUNCTION("""COMPUTED_VALUE"""),"4.25 USA")</f>
        <v>4.25 USA</v>
      </c>
      <c r="G1852" s="1" t="str">
        <f ca="1">IFERROR(__xludf.DUMMYFUNCTION("""COMPUTED_VALUE"""),"Individuals At Risk, Refugee and Migrant Rights")</f>
        <v>Individuals At Risk, Refugee and Migrant Rights</v>
      </c>
      <c r="H1852" s="1" t="str">
        <f ca="1">IFERROR(__xludf.DUMMYFUNCTION("""COMPUTED_VALUE"""),"2025")</f>
        <v>2025</v>
      </c>
      <c r="I1852" s="1" t="str">
        <f ca="1">IFERROR(__xludf.DUMMYFUNCTION("""COMPUTED_VALUE"""),"Letter")</f>
        <v>Letter</v>
      </c>
    </row>
    <row r="1853" spans="1:9" ht="13" x14ac:dyDescent="0.15">
      <c r="A1853" s="9">
        <f ca="1">IFERROR(__xludf.DUMMYFUNCTION("""COMPUTED_VALUE"""),237644270)</f>
        <v>237644270</v>
      </c>
      <c r="B1853" s="1" t="str">
        <f ca="1">IFERROR(__xludf.DUMMYFUNCTION("""COMPUTED_VALUE"""),"ebonyqueenvocalist@yahoo.com")</f>
        <v>ebonyqueenvocalist@yahoo.com</v>
      </c>
      <c r="C1853" s="9" t="str">
        <f ca="1">IFERROR(__xludf.DUMMYFUNCTION("""COMPUTED_VALUE"""),"EVERGREEN - UAN Gated Content - Embedded Petition")</f>
        <v>EVERGREEN - UAN Gated Content - Embedded Petition</v>
      </c>
      <c r="D1853" s="10">
        <f ca="1">IFERROR(__xludf.DUMMYFUNCTION("""COMPUTED_VALUE"""),45615)</f>
        <v>45615</v>
      </c>
      <c r="E1853" s="1" t="str">
        <f ca="1">IFERROR(__xludf.DUMMYFUNCTION("""COMPUTED_VALUE"""),"USA")</f>
        <v>USA</v>
      </c>
      <c r="F1853" s="1" t="str">
        <f ca="1">IFERROR(__xludf.DUMMYFUNCTION("""COMPUTED_VALUE"""),"4.25 USA")</f>
        <v>4.25 USA</v>
      </c>
      <c r="G1853" s="1" t="str">
        <f ca="1">IFERROR(__xludf.DUMMYFUNCTION("""COMPUTED_VALUE"""),"Individuals At Risk, Refugee and Migrant Rights")</f>
        <v>Individuals At Risk, Refugee and Migrant Rights</v>
      </c>
      <c r="H1853" s="1" t="str">
        <f ca="1">IFERROR(__xludf.DUMMYFUNCTION("""COMPUTED_VALUE"""),"2025")</f>
        <v>2025</v>
      </c>
      <c r="I1853" s="1" t="str">
        <f ca="1">IFERROR(__xludf.DUMMYFUNCTION("""COMPUTED_VALUE"""),"Letter")</f>
        <v>Letter</v>
      </c>
    </row>
    <row r="1854" spans="1:9" ht="13" x14ac:dyDescent="0.15">
      <c r="A1854" s="9">
        <f ca="1">IFERROR(__xludf.DUMMYFUNCTION("""COMPUTED_VALUE"""),239402362)</f>
        <v>239402362</v>
      </c>
      <c r="B1854" s="1" t="str">
        <f ca="1">IFERROR(__xludf.DUMMYFUNCTION("""COMPUTED_VALUE"""),"bdomoff@gmail.com")</f>
        <v>bdomoff@gmail.com</v>
      </c>
      <c r="C1854" s="9" t="str">
        <f ca="1">IFERROR(__xludf.DUMMYFUNCTION("""COMPUTED_VALUE"""),"EVERGREEN - UAN Gated Content - Embedded Petition")</f>
        <v>EVERGREEN - UAN Gated Content - Embedded Petition</v>
      </c>
      <c r="D1854" s="10">
        <f ca="1">IFERROR(__xludf.DUMMYFUNCTION("""COMPUTED_VALUE"""),45668)</f>
        <v>45668</v>
      </c>
      <c r="E1854" s="1" t="str">
        <f ca="1">IFERROR(__xludf.DUMMYFUNCTION("""COMPUTED_VALUE"""),"USA")</f>
        <v>USA</v>
      </c>
      <c r="F1854" s="1" t="str">
        <f ca="1">IFERROR(__xludf.DUMMYFUNCTION("""COMPUTED_VALUE"""),"4.25 USA")</f>
        <v>4.25 USA</v>
      </c>
      <c r="G1854" s="1" t="str">
        <f ca="1">IFERROR(__xludf.DUMMYFUNCTION("""COMPUTED_VALUE"""),"Individuals At Risk, Refugee and Migrant Rights")</f>
        <v>Individuals At Risk, Refugee and Migrant Rights</v>
      </c>
      <c r="H1854" s="1" t="str">
        <f ca="1">IFERROR(__xludf.DUMMYFUNCTION("""COMPUTED_VALUE"""),"2025")</f>
        <v>2025</v>
      </c>
      <c r="I1854" s="1" t="str">
        <f ca="1">IFERROR(__xludf.DUMMYFUNCTION("""COMPUTED_VALUE"""),"Letter")</f>
        <v>Letter</v>
      </c>
    </row>
    <row r="1855" spans="1:9" ht="13" x14ac:dyDescent="0.15">
      <c r="A1855" s="9">
        <f ca="1">IFERROR(__xludf.DUMMYFUNCTION("""COMPUTED_VALUE"""),239402362)</f>
        <v>239402362</v>
      </c>
      <c r="B1855" s="1" t="str">
        <f ca="1">IFERROR(__xludf.DUMMYFUNCTION("""COMPUTED_VALUE"""),"bdomoff@gmail.com")</f>
        <v>bdomoff@gmail.com</v>
      </c>
      <c r="C1855" s="9" t="str">
        <f ca="1">IFERROR(__xludf.DUMMYFUNCTION("""COMPUTED_VALUE"""),"EVERGREEN - UAN Gated Content - Embedded Petition")</f>
        <v>EVERGREEN - UAN Gated Content - Embedded Petition</v>
      </c>
      <c r="D1855" s="10">
        <f ca="1">IFERROR(__xludf.DUMMYFUNCTION("""COMPUTED_VALUE"""),45702)</f>
        <v>45702</v>
      </c>
      <c r="E1855" s="1" t="str">
        <f ca="1">IFERROR(__xludf.DUMMYFUNCTION("""COMPUTED_VALUE"""),"USA")</f>
        <v>USA</v>
      </c>
      <c r="F1855" s="1" t="str">
        <f ca="1">IFERROR(__xludf.DUMMYFUNCTION("""COMPUTED_VALUE"""),"4.25 USA")</f>
        <v>4.25 USA</v>
      </c>
      <c r="G1855" s="1" t="str">
        <f ca="1">IFERROR(__xludf.DUMMYFUNCTION("""COMPUTED_VALUE"""),"Individuals At Risk, Refugee and Migrant Rights")</f>
        <v>Individuals At Risk, Refugee and Migrant Rights</v>
      </c>
      <c r="H1855" s="1" t="str">
        <f ca="1">IFERROR(__xludf.DUMMYFUNCTION("""COMPUTED_VALUE"""),"2025")</f>
        <v>2025</v>
      </c>
      <c r="I1855" s="1" t="str">
        <f ca="1">IFERROR(__xludf.DUMMYFUNCTION("""COMPUTED_VALUE"""),"Letter")</f>
        <v>Letter</v>
      </c>
    </row>
    <row r="1856" spans="1:9" ht="13" x14ac:dyDescent="0.15">
      <c r="A1856" s="9">
        <f ca="1">IFERROR(__xludf.DUMMYFUNCTION("""COMPUTED_VALUE"""),239402362)</f>
        <v>239402362</v>
      </c>
      <c r="B1856" s="1" t="str">
        <f ca="1">IFERROR(__xludf.DUMMYFUNCTION("""COMPUTED_VALUE"""),"bdomoff@gmail.com")</f>
        <v>bdomoff@gmail.com</v>
      </c>
      <c r="C1856" s="9" t="str">
        <f ca="1">IFERROR(__xludf.DUMMYFUNCTION("""COMPUTED_VALUE"""),"EVERGREEN - UAN Gated Content - Embedded Petition")</f>
        <v>EVERGREEN - UAN Gated Content - Embedded Petition</v>
      </c>
      <c r="D1856" s="10">
        <f ca="1">IFERROR(__xludf.DUMMYFUNCTION("""COMPUTED_VALUE"""),45702)</f>
        <v>45702</v>
      </c>
      <c r="E1856" s="1" t="str">
        <f ca="1">IFERROR(__xludf.DUMMYFUNCTION("""COMPUTED_VALUE"""),"USA")</f>
        <v>USA</v>
      </c>
      <c r="F1856" s="1" t="str">
        <f ca="1">IFERROR(__xludf.DUMMYFUNCTION("""COMPUTED_VALUE"""),"3.25 IOPT")</f>
        <v>3.25 IOPT</v>
      </c>
      <c r="G1856" s="1" t="str">
        <f ca="1">IFERROR(__xludf.DUMMYFUNCTION("""COMPUTED_VALUE"""),"Freedom of Expression, Individuals At Risk")</f>
        <v>Freedom of Expression, Individuals At Risk</v>
      </c>
      <c r="H1856" s="1" t="str">
        <f ca="1">IFERROR(__xludf.DUMMYFUNCTION("""COMPUTED_VALUE"""),"2025")</f>
        <v>2025</v>
      </c>
      <c r="I1856" s="1" t="str">
        <f ca="1">IFERROR(__xludf.DUMMYFUNCTION("""COMPUTED_VALUE"""),"Email")</f>
        <v>Email</v>
      </c>
    </row>
    <row r="1857" spans="1:9" ht="13" x14ac:dyDescent="0.15">
      <c r="A1857" s="9">
        <f ca="1">IFERROR(__xludf.DUMMYFUNCTION("""COMPUTED_VALUE"""),239402362)</f>
        <v>239402362</v>
      </c>
      <c r="B1857" s="1" t="str">
        <f ca="1">IFERROR(__xludf.DUMMYFUNCTION("""COMPUTED_VALUE"""),"bdomoff@gmail.com")</f>
        <v>bdomoff@gmail.com</v>
      </c>
      <c r="C1857" s="9" t="str">
        <f ca="1">IFERROR(__xludf.DUMMYFUNCTION("""COMPUTED_VALUE"""),"EVERGREEN - UAN Gated Content - Embedded Petition")</f>
        <v>EVERGREEN - UAN Gated Content - Embedded Petition</v>
      </c>
      <c r="D1857" s="10">
        <f ca="1">IFERROR(__xludf.DUMMYFUNCTION("""COMPUTED_VALUE"""),45702)</f>
        <v>45702</v>
      </c>
      <c r="E1857" s="1" t="str">
        <f ca="1">IFERROR(__xludf.DUMMYFUNCTION("""COMPUTED_VALUE"""),"Israel and Occupied Palestinian Territories")</f>
        <v>Israel and Occupied Palestinian Territories</v>
      </c>
      <c r="F1857" s="1" t="str">
        <f ca="1">IFERROR(__xludf.DUMMYFUNCTION("""COMPUTED_VALUE"""),"Seventh 103.22 Iran")</f>
        <v>Seventh 103.22 Iran</v>
      </c>
      <c r="G1857" s="1" t="str">
        <f ca="1">IFERROR(__xludf.DUMMYFUNCTION("""COMPUTED_VALUE"""),"Death Penalty, Freedom of Expression, Individuals At Risk")</f>
        <v>Death Penalty, Freedom of Expression, Individuals At Risk</v>
      </c>
      <c r="H1857" s="1" t="str">
        <f ca="1">IFERROR(__xludf.DUMMYFUNCTION("""COMPUTED_VALUE"""),"2024")</f>
        <v>2024</v>
      </c>
      <c r="I1857" s="1" t="str">
        <f ca="1">IFERROR(__xludf.DUMMYFUNCTION("""COMPUTED_VALUE"""),"Email")</f>
        <v>Email</v>
      </c>
    </row>
    <row r="1858" spans="1:9" ht="13" x14ac:dyDescent="0.15">
      <c r="A1858" s="9">
        <f ca="1">IFERROR(__xludf.DUMMYFUNCTION("""COMPUTED_VALUE"""),239593555)</f>
        <v>239593555</v>
      </c>
      <c r="B1858" s="1" t="str">
        <f ca="1">IFERROR(__xludf.DUMMYFUNCTION("""COMPUTED_VALUE"""),"franceline.villasenor@gmail.com")</f>
        <v>franceline.villasenor@gmail.com</v>
      </c>
      <c r="C1858" s="9" t="str">
        <f ca="1">IFERROR(__xludf.DUMMYFUNCTION("""COMPUTED_VALUE"""),"EVERGREEN - UAN Gated Content - Embedded Petition")</f>
        <v>EVERGREEN - UAN Gated Content - Embedded Petition</v>
      </c>
      <c r="D1858" s="10">
        <f ca="1">IFERROR(__xludf.DUMMYFUNCTION("""COMPUTED_VALUE"""),45672)</f>
        <v>45672</v>
      </c>
      <c r="E1858" s="1" t="str">
        <f ca="1">IFERROR(__xludf.DUMMYFUNCTION("""COMPUTED_VALUE"""),"Iran")</f>
        <v>Iran</v>
      </c>
      <c r="F1858" s="1" t="str">
        <f ca="1">IFERROR(__xludf.DUMMYFUNCTION("""COMPUTED_VALUE"""),"3.25 IOPT")</f>
        <v>3.25 IOPT</v>
      </c>
      <c r="G1858" s="1" t="str">
        <f ca="1">IFERROR(__xludf.DUMMYFUNCTION("""COMPUTED_VALUE"""),"Freedom of Expression, Individuals At Risk")</f>
        <v>Freedom of Expression, Individuals At Risk</v>
      </c>
      <c r="H1858" s="1" t="str">
        <f ca="1">IFERROR(__xludf.DUMMYFUNCTION("""COMPUTED_VALUE"""),"2025")</f>
        <v>2025</v>
      </c>
      <c r="I1858" s="1" t="str">
        <f ca="1">IFERROR(__xludf.DUMMYFUNCTION("""COMPUTED_VALUE"""),"Email")</f>
        <v>Email</v>
      </c>
    </row>
    <row r="1859" spans="1:9" ht="13" x14ac:dyDescent="0.15">
      <c r="A1859" s="9">
        <f ca="1">IFERROR(__xludf.DUMMYFUNCTION("""COMPUTED_VALUE"""),239593555)</f>
        <v>239593555</v>
      </c>
      <c r="B1859" s="1" t="str">
        <f ca="1">IFERROR(__xludf.DUMMYFUNCTION("""COMPUTED_VALUE"""),"franceline.villasenor@gmail.com")</f>
        <v>franceline.villasenor@gmail.com</v>
      </c>
      <c r="C1859" s="9" t="str">
        <f ca="1">IFERROR(__xludf.DUMMYFUNCTION("""COMPUTED_VALUE"""),"EVERGREEN - UAN Gated Content - Embedded Petition")</f>
        <v>EVERGREEN - UAN Gated Content - Embedded Petition</v>
      </c>
      <c r="D1859" s="10">
        <f ca="1">IFERROR(__xludf.DUMMYFUNCTION("""COMPUTED_VALUE"""),45694)</f>
        <v>45694</v>
      </c>
      <c r="E1859" s="1" t="str">
        <f ca="1">IFERROR(__xludf.DUMMYFUNCTION("""COMPUTED_VALUE"""),"Israel and Occupied Palestinian Territories")</f>
        <v>Israel and Occupied Palestinian Territories</v>
      </c>
      <c r="F1859" s="1" t="str">
        <f ca="1">IFERROR(__xludf.DUMMYFUNCTION("""COMPUTED_VALUE"""),"4.25 USA")</f>
        <v>4.25 USA</v>
      </c>
      <c r="G1859" s="1" t="str">
        <f ca="1">IFERROR(__xludf.DUMMYFUNCTION("""COMPUTED_VALUE"""),"Individuals At Risk, Refugee and Migrant Rights")</f>
        <v>Individuals At Risk, Refugee and Migrant Rights</v>
      </c>
      <c r="H1859" s="1" t="str">
        <f ca="1">IFERROR(__xludf.DUMMYFUNCTION("""COMPUTED_VALUE"""),"2025")</f>
        <v>2025</v>
      </c>
      <c r="I1859" s="1" t="str">
        <f ca="1">IFERROR(__xludf.DUMMYFUNCTION("""COMPUTED_VALUE"""),"Letter")</f>
        <v>Letter</v>
      </c>
    </row>
    <row r="1860" spans="1:9" ht="13" x14ac:dyDescent="0.15">
      <c r="A1860" s="9">
        <f ca="1">IFERROR(__xludf.DUMMYFUNCTION("""COMPUTED_VALUE"""),239917487)</f>
        <v>239917487</v>
      </c>
      <c r="B1860" s="1" t="str">
        <f ca="1">IFERROR(__xludf.DUMMYFUNCTION("""COMPUTED_VALUE"""),"terri.falbo@gmail.com")</f>
        <v>terri.falbo@gmail.com</v>
      </c>
      <c r="C1860" s="9" t="str">
        <f ca="1">IFERROR(__xludf.DUMMYFUNCTION("""COMPUTED_VALUE"""),"EVERGREEN - UAN Gated Content - Embedded Petition")</f>
        <v>EVERGREEN - UAN Gated Content - Embedded Petition</v>
      </c>
      <c r="D1860" s="10">
        <f ca="1">IFERROR(__xludf.DUMMYFUNCTION("""COMPUTED_VALUE"""),45672)</f>
        <v>45672</v>
      </c>
      <c r="E1860" s="1" t="str">
        <f ca="1">IFERROR(__xludf.DUMMYFUNCTION("""COMPUTED_VALUE"""),"USA")</f>
        <v>USA</v>
      </c>
      <c r="F1860" s="1" t="str">
        <f ca="1">IFERROR(__xludf.DUMMYFUNCTION("""COMPUTED_VALUE"""),"4.25 USA")</f>
        <v>4.25 USA</v>
      </c>
      <c r="G1860" s="1" t="str">
        <f ca="1">IFERROR(__xludf.DUMMYFUNCTION("""COMPUTED_VALUE"""),"Individuals At Risk, Refugee and Migrant Rights")</f>
        <v>Individuals At Risk, Refugee and Migrant Rights</v>
      </c>
      <c r="H1860" s="1" t="str">
        <f ca="1">IFERROR(__xludf.DUMMYFUNCTION("""COMPUTED_VALUE"""),"2025")</f>
        <v>2025</v>
      </c>
      <c r="I1860" s="1" t="str">
        <f ca="1">IFERROR(__xludf.DUMMYFUNCTION("""COMPUTED_VALUE"""),"Letter")</f>
        <v>Letter</v>
      </c>
    </row>
    <row r="1861" spans="1:9" ht="13" x14ac:dyDescent="0.15">
      <c r="A1861" s="9">
        <f ca="1">IFERROR(__xludf.DUMMYFUNCTION("""COMPUTED_VALUE"""),240044767)</f>
        <v>240044767</v>
      </c>
      <c r="B1861" s="1" t="str">
        <f ca="1">IFERROR(__xludf.DUMMYFUNCTION("""COMPUTED_VALUE"""),"amanda.fanniff@gmail.com")</f>
        <v>amanda.fanniff@gmail.com</v>
      </c>
      <c r="C1861" s="9" t="str">
        <f ca="1">IFERROR(__xludf.DUMMYFUNCTION("""COMPUTED_VALUE"""),"EVERGREEN - UAN Gated Content - Embedded Petition")</f>
        <v>EVERGREEN - UAN Gated Content - Embedded Petition</v>
      </c>
      <c r="D1861" s="10">
        <f ca="1">IFERROR(__xludf.DUMMYFUNCTION("""COMPUTED_VALUE"""),45694)</f>
        <v>45694</v>
      </c>
      <c r="E1861" s="1" t="str">
        <f ca="1">IFERROR(__xludf.DUMMYFUNCTION("""COMPUTED_VALUE"""),"USA")</f>
        <v>USA</v>
      </c>
      <c r="F1861" s="1" t="str">
        <f ca="1">IFERROR(__xludf.DUMMYFUNCTION("""COMPUTED_VALUE"""),"Third 73.23 Egypt")</f>
        <v>Third 73.23 Egypt</v>
      </c>
      <c r="G1861" s="1" t="str">
        <f ca="1">IFERROR(__xludf.DUMMYFUNCTION("""COMPUTED_VALUE"""),"Individuals At Risk")</f>
        <v>Individuals At Risk</v>
      </c>
      <c r="H1861" s="1" t="str">
        <f ca="1">IFERROR(__xludf.DUMMYFUNCTION("""COMPUTED_VALUE"""),"2024")</f>
        <v>2024</v>
      </c>
      <c r="I1861" s="1" t="str">
        <f ca="1">IFERROR(__xludf.DUMMYFUNCTION("""COMPUTED_VALUE"""),"Email")</f>
        <v>Email</v>
      </c>
    </row>
    <row r="1862" spans="1:9" ht="13" x14ac:dyDescent="0.15">
      <c r="A1862" s="9">
        <f ca="1">IFERROR(__xludf.DUMMYFUNCTION("""COMPUTED_VALUE"""),240072178)</f>
        <v>240072178</v>
      </c>
      <c r="B1862" s="1" t="str">
        <f ca="1">IFERROR(__xludf.DUMMYFUNCTION("""COMPUTED_VALUE"""),"mario.alvarado@amnesty.org")</f>
        <v>mario.alvarado@amnesty.org</v>
      </c>
      <c r="C1862" s="9" t="str">
        <f ca="1">IFERROR(__xludf.DUMMYFUNCTION("""COMPUTED_VALUE"""),"EVERGREEN - UAN Gated Content - Embedded Petition")</f>
        <v>EVERGREEN - UAN Gated Content - Embedded Petition</v>
      </c>
      <c r="D1862" s="10">
        <f ca="1">IFERROR(__xludf.DUMMYFUNCTION("""COMPUTED_VALUE"""),45708)</f>
        <v>45708</v>
      </c>
      <c r="E1862" s="1" t="str">
        <f ca="1">IFERROR(__xludf.DUMMYFUNCTION("""COMPUTED_VALUE"""),"Egypt")</f>
        <v>Egypt</v>
      </c>
      <c r="F1862" s="1" t="str">
        <f ca="1">IFERROR(__xludf.DUMMYFUNCTION("""COMPUTED_VALUE"""),"3.25 IOPT")</f>
        <v>3.25 IOPT</v>
      </c>
      <c r="G1862" s="1" t="str">
        <f ca="1">IFERROR(__xludf.DUMMYFUNCTION("""COMPUTED_VALUE"""),"Freedom of Expression, Individuals At Risk")</f>
        <v>Freedom of Expression, Individuals At Risk</v>
      </c>
      <c r="H1862" s="1" t="str">
        <f ca="1">IFERROR(__xludf.DUMMYFUNCTION("""COMPUTED_VALUE"""),"2025")</f>
        <v>2025</v>
      </c>
      <c r="I1862" s="1" t="str">
        <f ca="1">IFERROR(__xludf.DUMMYFUNCTION("""COMPUTED_VALUE"""),"Email")</f>
        <v>Email</v>
      </c>
    </row>
    <row r="1863" spans="1:9" ht="13" x14ac:dyDescent="0.15">
      <c r="A1863" s="9">
        <f ca="1">IFERROR(__xludf.DUMMYFUNCTION("""COMPUTED_VALUE"""),240837955)</f>
        <v>240837955</v>
      </c>
      <c r="B1863" s="1" t="str">
        <f ca="1">IFERROR(__xludf.DUMMYFUNCTION("""COMPUTED_VALUE"""),"rklein1964@hotmail.com")</f>
        <v>rklein1964@hotmail.com</v>
      </c>
      <c r="C1863" s="9" t="str">
        <f ca="1">IFERROR(__xludf.DUMMYFUNCTION("""COMPUTED_VALUE"""),"EVERGREEN - Website Email Capture Form - UAN Pre-Footer")</f>
        <v>EVERGREEN - Website Email Capture Form - UAN Pre-Footer</v>
      </c>
      <c r="D1863" s="10">
        <f ca="1">IFERROR(__xludf.DUMMYFUNCTION("""COMPUTED_VALUE"""),45659)</f>
        <v>45659</v>
      </c>
      <c r="E1863" s="1" t="str">
        <f ca="1">IFERROR(__xludf.DUMMYFUNCTION("""COMPUTED_VALUE"""),"Israel and Occupied Palestinian Territories")</f>
        <v>Israel and Occupied Palestinian Territories</v>
      </c>
      <c r="F1863" s="1" t="str">
        <f ca="1">IFERROR(__xludf.DUMMYFUNCTION("""COMPUTED_VALUE"""),"3.25 IOPT")</f>
        <v>3.25 IOPT</v>
      </c>
      <c r="G1863" s="1" t="str">
        <f ca="1">IFERROR(__xludf.DUMMYFUNCTION("""COMPUTED_VALUE"""),"Freedom of Expression, Individuals At Risk")</f>
        <v>Freedom of Expression, Individuals At Risk</v>
      </c>
      <c r="H1863" s="1" t="str">
        <f ca="1">IFERROR(__xludf.DUMMYFUNCTION("""COMPUTED_VALUE"""),"2025")</f>
        <v>2025</v>
      </c>
      <c r="I1863" s="1" t="str">
        <f ca="1">IFERROR(__xludf.DUMMYFUNCTION("""COMPUTED_VALUE"""),"Email")</f>
        <v>Email</v>
      </c>
    </row>
    <row r="1864" spans="1:9" ht="13" x14ac:dyDescent="0.15">
      <c r="A1864" s="9">
        <f ca="1">IFERROR(__xludf.DUMMYFUNCTION("""COMPUTED_VALUE"""),241658676)</f>
        <v>241658676</v>
      </c>
      <c r="B1864" s="1" t="str">
        <f ca="1">IFERROR(__xludf.DUMMYFUNCTION("""COMPUTED_VALUE"""),"safetyisabasicneed@gmail.com")</f>
        <v>safetyisabasicneed@gmail.com</v>
      </c>
      <c r="C1864" s="9" t="str">
        <f ca="1">IFERROR(__xludf.DUMMYFUNCTION("""COMPUTED_VALUE"""),"EVERGREEN - UAN Gated Content - Embedded Petition")</f>
        <v>EVERGREEN - UAN Gated Content - Embedded Petition</v>
      </c>
      <c r="D1864" s="10">
        <f ca="1">IFERROR(__xludf.DUMMYFUNCTION("""COMPUTED_VALUE"""),45636)</f>
        <v>45636</v>
      </c>
      <c r="E1864" s="1" t="str">
        <f ca="1">IFERROR(__xludf.DUMMYFUNCTION("""COMPUTED_VALUE"""),"Israel and Occupied Palestinian Territories")</f>
        <v>Israel and Occupied Palestinian Territories</v>
      </c>
      <c r="F1864" s="1" t="str">
        <f ca="1">IFERROR(__xludf.DUMMYFUNCTION("""COMPUTED_VALUE"""),"3.25 IOPT")</f>
        <v>3.25 IOPT</v>
      </c>
      <c r="G1864" s="1" t="str">
        <f ca="1">IFERROR(__xludf.DUMMYFUNCTION("""COMPUTED_VALUE"""),"Freedom of Expression, Individuals At Risk")</f>
        <v>Freedom of Expression, Individuals At Risk</v>
      </c>
      <c r="H1864" s="1" t="str">
        <f ca="1">IFERROR(__xludf.DUMMYFUNCTION("""COMPUTED_VALUE"""),"2025")</f>
        <v>2025</v>
      </c>
      <c r="I1864" s="1" t="str">
        <f ca="1">IFERROR(__xludf.DUMMYFUNCTION("""COMPUTED_VALUE"""),"Email")</f>
        <v>Email</v>
      </c>
    </row>
    <row r="1865" spans="1:9" ht="13" x14ac:dyDescent="0.15">
      <c r="A1865" s="9">
        <f ca="1">IFERROR(__xludf.DUMMYFUNCTION("""COMPUTED_VALUE"""),241658676)</f>
        <v>241658676</v>
      </c>
      <c r="B1865" s="1" t="str">
        <f ca="1">IFERROR(__xludf.DUMMYFUNCTION("""COMPUTED_VALUE"""),"safetyisabasicneed@gmail.com")</f>
        <v>safetyisabasicneed@gmail.com</v>
      </c>
      <c r="C1865" s="9" t="str">
        <f ca="1">IFERROR(__xludf.DUMMYFUNCTION("""COMPUTED_VALUE"""),"EVERGREEN - UAN Gated Content - Embedded Petition")</f>
        <v>EVERGREEN - UAN Gated Content - Embedded Petition</v>
      </c>
      <c r="D1865" s="10">
        <f ca="1">IFERROR(__xludf.DUMMYFUNCTION("""COMPUTED_VALUE"""),45694)</f>
        <v>45694</v>
      </c>
      <c r="E1865" s="1" t="str">
        <f ca="1">IFERROR(__xludf.DUMMYFUNCTION("""COMPUTED_VALUE"""),"Israel and Occupied Palestinian Territories")</f>
        <v>Israel and Occupied Palestinian Territories</v>
      </c>
      <c r="F1865" s="1" t="str">
        <f ca="1">IFERROR(__xludf.DUMMYFUNCTION("""COMPUTED_VALUE"""),"3.25 IOPT")</f>
        <v>3.25 IOPT</v>
      </c>
      <c r="G1865" s="1" t="str">
        <f ca="1">IFERROR(__xludf.DUMMYFUNCTION("""COMPUTED_VALUE"""),"Freedom of Expression, Individuals At Risk")</f>
        <v>Freedom of Expression, Individuals At Risk</v>
      </c>
      <c r="H1865" s="1" t="str">
        <f ca="1">IFERROR(__xludf.DUMMYFUNCTION("""COMPUTED_VALUE"""),"2025")</f>
        <v>2025</v>
      </c>
      <c r="I1865" s="1" t="str">
        <f ca="1">IFERROR(__xludf.DUMMYFUNCTION("""COMPUTED_VALUE"""),"Email")</f>
        <v>Email</v>
      </c>
    </row>
    <row r="1866" spans="1:9" ht="13" x14ac:dyDescent="0.15">
      <c r="A1866" s="9">
        <f ca="1">IFERROR(__xludf.DUMMYFUNCTION("""COMPUTED_VALUE"""),241658676)</f>
        <v>241658676</v>
      </c>
      <c r="B1866" s="1" t="str">
        <f ca="1">IFERROR(__xludf.DUMMYFUNCTION("""COMPUTED_VALUE"""),"safetyisabasicneed@gmail.com")</f>
        <v>safetyisabasicneed@gmail.com</v>
      </c>
      <c r="C1866" s="9" t="str">
        <f ca="1">IFERROR(__xludf.DUMMYFUNCTION("""COMPUTED_VALUE"""),"EVERGREEN - UAN Gated Content - Embedded Petition")</f>
        <v>EVERGREEN - UAN Gated Content - Embedded Petition</v>
      </c>
      <c r="D1866" s="10">
        <f ca="1">IFERROR(__xludf.DUMMYFUNCTION("""COMPUTED_VALUE"""),45616)</f>
        <v>45616</v>
      </c>
      <c r="E1866" s="1" t="str">
        <f ca="1">IFERROR(__xludf.DUMMYFUNCTION("""COMPUTED_VALUE"""),"Israel and Occupied Palestinian Territories")</f>
        <v>Israel and Occupied Palestinian Territories</v>
      </c>
      <c r="F1866" s="1" t="str">
        <f ca="1">IFERROR(__xludf.DUMMYFUNCTION("""COMPUTED_VALUE"""),"Fourth 29.23 Egypt")</f>
        <v>Fourth 29.23 Egypt</v>
      </c>
      <c r="G1866" s="1" t="str">
        <f ca="1">IFERROR(__xludf.DUMMYFUNCTION("""COMPUTED_VALUE"""),"Freedom of Expression, Individuals At Risk, Right to Protest")</f>
        <v>Freedom of Expression, Individuals At Risk, Right to Protest</v>
      </c>
      <c r="H1866" s="1" t="str">
        <f ca="1">IFERROR(__xludf.DUMMYFUNCTION("""COMPUTED_VALUE"""),"2024")</f>
        <v>2024</v>
      </c>
      <c r="I1866" s="1" t="str">
        <f ca="1">IFERROR(__xludf.DUMMYFUNCTION("""COMPUTED_VALUE"""),"Email")</f>
        <v>Email</v>
      </c>
    </row>
    <row r="1867" spans="1:9" ht="13" x14ac:dyDescent="0.15">
      <c r="A1867" s="9">
        <f ca="1">IFERROR(__xludf.DUMMYFUNCTION("""COMPUTED_VALUE"""),241712020)</f>
        <v>241712020</v>
      </c>
      <c r="B1867" s="1" t="str">
        <f ca="1">IFERROR(__xludf.DUMMYFUNCTION("""COMPUTED_VALUE"""),"bronwen.edw.kubiak@gmail.com")</f>
        <v>bronwen.edw.kubiak@gmail.com</v>
      </c>
      <c r="C1867" s="9" t="str">
        <f ca="1">IFERROR(__xludf.DUMMYFUNCTION("""COMPUTED_VALUE"""),"EVERGREEN - UAN Gated Content - Embedded Petition")</f>
        <v>EVERGREEN - UAN Gated Content - Embedded Petition</v>
      </c>
      <c r="D1867" s="10">
        <f ca="1">IFERROR(__xludf.DUMMYFUNCTION("""COMPUTED_VALUE"""),45664)</f>
        <v>45664</v>
      </c>
      <c r="E1867" s="1" t="str">
        <f ca="1">IFERROR(__xludf.DUMMYFUNCTION("""COMPUTED_VALUE"""),"Egypt")</f>
        <v>Egypt</v>
      </c>
      <c r="F1867" s="1" t="str">
        <f ca="1">IFERROR(__xludf.DUMMYFUNCTION("""COMPUTED_VALUE"""),"104.24 Saudi Arabia")</f>
        <v>104.24 Saudi Arabia</v>
      </c>
      <c r="G1867" s="1" t="str">
        <f ca="1">IFERROR(__xludf.DUMMYFUNCTION("""COMPUTED_VALUE"""),"Individuals At Risk, Refugee and Migrant Rights")</f>
        <v>Individuals At Risk, Refugee and Migrant Rights</v>
      </c>
      <c r="H1867" s="1" t="str">
        <f ca="1">IFERROR(__xludf.DUMMYFUNCTION("""COMPUTED_VALUE"""),"2024")</f>
        <v>2024</v>
      </c>
      <c r="I1867" s="1" t="str">
        <f ca="1">IFERROR(__xludf.DUMMYFUNCTION("""COMPUTED_VALUE"""),"Email")</f>
        <v>Email</v>
      </c>
    </row>
    <row r="1868" spans="1:9" ht="13" x14ac:dyDescent="0.15">
      <c r="A1868" s="9">
        <f ca="1">IFERROR(__xludf.DUMMYFUNCTION("""COMPUTED_VALUE"""),241712020)</f>
        <v>241712020</v>
      </c>
      <c r="B1868" s="1" t="str">
        <f ca="1">IFERROR(__xludf.DUMMYFUNCTION("""COMPUTED_VALUE"""),"bronwen.edw.kubiak@gmail.com")</f>
        <v>bronwen.edw.kubiak@gmail.com</v>
      </c>
      <c r="C1868" s="9" t="str">
        <f ca="1">IFERROR(__xludf.DUMMYFUNCTION("""COMPUTED_VALUE"""),"EVERGREEN - UAN Gated Content - Embedded Petition")</f>
        <v>EVERGREEN - UAN Gated Content - Embedded Petition</v>
      </c>
      <c r="D1868" s="10">
        <f ca="1">IFERROR(__xludf.DUMMYFUNCTION("""COMPUTED_VALUE"""),45668)</f>
        <v>45668</v>
      </c>
      <c r="E1868" s="1" t="str">
        <f ca="1">IFERROR(__xludf.DUMMYFUNCTION("""COMPUTED_VALUE"""),"Saudi Arabia")</f>
        <v>Saudi Arabia</v>
      </c>
      <c r="F1868" s="1" t="str">
        <f ca="1">IFERROR(__xludf.DUMMYFUNCTION("""COMPUTED_VALUE"""),"107.24 Singapore")</f>
        <v>107.24 Singapore</v>
      </c>
      <c r="G1868" s="1" t="str">
        <f ca="1">IFERROR(__xludf.DUMMYFUNCTION("""COMPUTED_VALUE"""),"Death Penalty")</f>
        <v>Death Penalty</v>
      </c>
      <c r="H1868" s="1" t="str">
        <f ca="1">IFERROR(__xludf.DUMMYFUNCTION("""COMPUTED_VALUE"""),"2024")</f>
        <v>2024</v>
      </c>
      <c r="I1868" s="1" t="str">
        <f ca="1">IFERROR(__xludf.DUMMYFUNCTION("""COMPUTED_VALUE"""),"Email")</f>
        <v>Email</v>
      </c>
    </row>
    <row r="1869" spans="1:9" ht="13" x14ac:dyDescent="0.15">
      <c r="A1869" s="9">
        <f ca="1">IFERROR(__xludf.DUMMYFUNCTION("""COMPUTED_VALUE"""),241712020)</f>
        <v>241712020</v>
      </c>
      <c r="B1869" s="1" t="str">
        <f ca="1">IFERROR(__xludf.DUMMYFUNCTION("""COMPUTED_VALUE"""),"bronwen.edw.kubiak@gmail.com")</f>
        <v>bronwen.edw.kubiak@gmail.com</v>
      </c>
      <c r="C1869" s="9" t="str">
        <f ca="1">IFERROR(__xludf.DUMMYFUNCTION("""COMPUTED_VALUE"""),"EVERGREEN - UAN Gated Content - Embedded Petition")</f>
        <v>EVERGREEN - UAN Gated Content - Embedded Petition</v>
      </c>
      <c r="D1869" s="10">
        <f ca="1">IFERROR(__xludf.DUMMYFUNCTION("""COMPUTED_VALUE"""),45673)</f>
        <v>45673</v>
      </c>
      <c r="E1869" s="1" t="str">
        <f ca="1">IFERROR(__xludf.DUMMYFUNCTION("""COMPUTED_VALUE"""),"Singapore")</f>
        <v>Singapore</v>
      </c>
      <c r="F1869" s="1" t="str">
        <f ca="1">IFERROR(__xludf.DUMMYFUNCTION("""COMPUTED_VALUE"""),"106.24 China")</f>
        <v>106.24 China</v>
      </c>
      <c r="G1869" s="1" t="str">
        <f ca="1">IFERROR(__xludf.DUMMYFUNCTION("""COMPUTED_VALUE"""),"Freedom of Expression, Individuals At Risk")</f>
        <v>Freedom of Expression, Individuals At Risk</v>
      </c>
      <c r="H1869" s="1" t="str">
        <f ca="1">IFERROR(__xludf.DUMMYFUNCTION("""COMPUTED_VALUE"""),"2024")</f>
        <v>2024</v>
      </c>
      <c r="I1869" s="1" t="str">
        <f ca="1">IFERROR(__xludf.DUMMYFUNCTION("""COMPUTED_VALUE"""),"Email")</f>
        <v>Email</v>
      </c>
    </row>
    <row r="1870" spans="1:9" ht="13" x14ac:dyDescent="0.15">
      <c r="A1870" s="9">
        <f ca="1">IFERROR(__xludf.DUMMYFUNCTION("""COMPUTED_VALUE"""),241712020)</f>
        <v>241712020</v>
      </c>
      <c r="B1870" s="1" t="str">
        <f ca="1">IFERROR(__xludf.DUMMYFUNCTION("""COMPUTED_VALUE"""),"bronwen.edw.kubiak@gmail.com")</f>
        <v>bronwen.edw.kubiak@gmail.com</v>
      </c>
      <c r="C1870" s="9" t="str">
        <f ca="1">IFERROR(__xludf.DUMMYFUNCTION("""COMPUTED_VALUE"""),"EVERGREEN - UAN Gated Content - Embedded Petition")</f>
        <v>EVERGREEN - UAN Gated Content - Embedded Petition</v>
      </c>
      <c r="D1870" s="10">
        <f ca="1">IFERROR(__xludf.DUMMYFUNCTION("""COMPUTED_VALUE"""),45670)</f>
        <v>45670</v>
      </c>
      <c r="E1870" s="1" t="str">
        <f ca="1">IFERROR(__xludf.DUMMYFUNCTION("""COMPUTED_VALUE"""),"China")</f>
        <v>China</v>
      </c>
      <c r="F1870" s="1" t="str">
        <f ca="1">IFERROR(__xludf.DUMMYFUNCTION("""COMPUTED_VALUE"""),"105.24 USA")</f>
        <v>105.24 USA</v>
      </c>
      <c r="G1870" s="1" t="str">
        <f ca="1">IFERROR(__xludf.DUMMYFUNCTION("""COMPUTED_VALUE"""),"Death Penalty")</f>
        <v>Death Penalty</v>
      </c>
      <c r="H1870" s="1" t="str">
        <f ca="1">IFERROR(__xludf.DUMMYFUNCTION("""COMPUTED_VALUE"""),"2024")</f>
        <v>2024</v>
      </c>
      <c r="I1870" s="1" t="str">
        <f ca="1">IFERROR(__xludf.DUMMYFUNCTION("""COMPUTED_VALUE"""),"Email")</f>
        <v>Email</v>
      </c>
    </row>
    <row r="1871" spans="1:9" ht="13" x14ac:dyDescent="0.15">
      <c r="A1871" s="9">
        <f ca="1">IFERROR(__xludf.DUMMYFUNCTION("""COMPUTED_VALUE"""),242389446)</f>
        <v>242389446</v>
      </c>
      <c r="B1871" s="1" t="str">
        <f ca="1">IFERROR(__xludf.DUMMYFUNCTION("""COMPUTED_VALUE"""),"qadrimohsin35@gmail.com")</f>
        <v>qadrimohsin35@gmail.com</v>
      </c>
      <c r="C1871" s="9" t="str">
        <f ca="1">IFERROR(__xludf.DUMMYFUNCTION("""COMPUTED_VALUE"""),"EVERGREEN - UAN Gated Content - Embedded Petition")</f>
        <v>EVERGREEN - UAN Gated Content - Embedded Petition</v>
      </c>
      <c r="D1871" s="10">
        <f ca="1">IFERROR(__xludf.DUMMYFUNCTION("""COMPUTED_VALUE"""),45695)</f>
        <v>45695</v>
      </c>
      <c r="E1871" s="1" t="str">
        <f ca="1">IFERROR(__xludf.DUMMYFUNCTION("""COMPUTED_VALUE"""),"USA")</f>
        <v>USA</v>
      </c>
      <c r="F1871" s="1" t="str">
        <f ca="1">IFERROR(__xludf.DUMMYFUNCTION("""COMPUTED_VALUE"""),"100.24 Uganda")</f>
        <v>100.24 Uganda</v>
      </c>
      <c r="G1871" s="1" t="str">
        <f ca="1">IFERROR(__xludf.DUMMYFUNCTION("""COMPUTED_VALUE"""),"Freedom of Expression")</f>
        <v>Freedom of Expression</v>
      </c>
      <c r="H1871" s="1" t="str">
        <f ca="1">IFERROR(__xludf.DUMMYFUNCTION("""COMPUTED_VALUE"""),"2024")</f>
        <v>2024</v>
      </c>
      <c r="I1871" s="1" t="str">
        <f ca="1">IFERROR(__xludf.DUMMYFUNCTION("""COMPUTED_VALUE"""),"Email")</f>
        <v>Email</v>
      </c>
    </row>
    <row r="1872" spans="1:9" ht="13" x14ac:dyDescent="0.15">
      <c r="A1872" s="9">
        <f ca="1">IFERROR(__xludf.DUMMYFUNCTION("""COMPUTED_VALUE"""),242389446)</f>
        <v>242389446</v>
      </c>
      <c r="B1872" s="1" t="str">
        <f ca="1">IFERROR(__xludf.DUMMYFUNCTION("""COMPUTED_VALUE"""),"qadrimohsin35@gmail.com")</f>
        <v>qadrimohsin35@gmail.com</v>
      </c>
      <c r="C1872" s="9" t="str">
        <f ca="1">IFERROR(__xludf.DUMMYFUNCTION("""COMPUTED_VALUE"""),"EVERGREEN - UAN Gated Content - Embedded Petition")</f>
        <v>EVERGREEN - UAN Gated Content - Embedded Petition</v>
      </c>
      <c r="D1872" s="10">
        <f ca="1">IFERROR(__xludf.DUMMYFUNCTION("""COMPUTED_VALUE"""),45694)</f>
        <v>45694</v>
      </c>
      <c r="E1872" s="1" t="str">
        <f ca="1">IFERROR(__xludf.DUMMYFUNCTION("""COMPUTED_VALUE"""),"Uganda")</f>
        <v>Uganda</v>
      </c>
      <c r="F1872" s="1" t="str">
        <f ca="1">IFERROR(__xludf.DUMMYFUNCTION("""COMPUTED_VALUE"""),"Second 23.24 Russia")</f>
        <v>Second 23.24 Russia</v>
      </c>
      <c r="G1872" s="1" t="str">
        <f ca="1">IFERROR(__xludf.DUMMYFUNCTION("""COMPUTED_VALUE"""),"Freedom of Expression")</f>
        <v>Freedom of Expression</v>
      </c>
      <c r="H1872" s="1" t="str">
        <f ca="1">IFERROR(__xludf.DUMMYFUNCTION("""COMPUTED_VALUE"""),"2024")</f>
        <v>2024</v>
      </c>
      <c r="I1872" s="1" t="str">
        <f ca="1">IFERROR(__xludf.DUMMYFUNCTION("""COMPUTED_VALUE"""),"Letter")</f>
        <v>Letter</v>
      </c>
    </row>
    <row r="1873" spans="1:9" ht="13" x14ac:dyDescent="0.15">
      <c r="A1873" s="9">
        <f ca="1">IFERROR(__xludf.DUMMYFUNCTION("""COMPUTED_VALUE"""),242389446)</f>
        <v>242389446</v>
      </c>
      <c r="B1873" s="1" t="str">
        <f ca="1">IFERROR(__xludf.DUMMYFUNCTION("""COMPUTED_VALUE"""),"qadrimohsin35@gmail.com")</f>
        <v>qadrimohsin35@gmail.com</v>
      </c>
      <c r="C1873" s="9" t="str">
        <f ca="1">IFERROR(__xludf.DUMMYFUNCTION("""COMPUTED_VALUE"""),"EVERGREEN - UAN Gated Content - Embedded Petition")</f>
        <v>EVERGREEN - UAN Gated Content - Embedded Petition</v>
      </c>
      <c r="D1873" s="10">
        <f ca="1">IFERROR(__xludf.DUMMYFUNCTION("""COMPUTED_VALUE"""),45694)</f>
        <v>45694</v>
      </c>
      <c r="E1873" s="1" t="str">
        <f ca="1">IFERROR(__xludf.DUMMYFUNCTION("""COMPUTED_VALUE"""),"Russian Federation")</f>
        <v>Russian Federation</v>
      </c>
      <c r="F1873" s="1" t="str">
        <f ca="1">IFERROR(__xludf.DUMMYFUNCTION("""COMPUTED_VALUE"""),"105.24 USA")</f>
        <v>105.24 USA</v>
      </c>
      <c r="G1873" s="1" t="str">
        <f ca="1">IFERROR(__xludf.DUMMYFUNCTION("""COMPUTED_VALUE"""),"Death Penalty")</f>
        <v>Death Penalty</v>
      </c>
      <c r="H1873" s="1" t="str">
        <f ca="1">IFERROR(__xludf.DUMMYFUNCTION("""COMPUTED_VALUE"""),"2024")</f>
        <v>2024</v>
      </c>
      <c r="I1873" s="1" t="str">
        <f ca="1">IFERROR(__xludf.DUMMYFUNCTION("""COMPUTED_VALUE"""),"Email")</f>
        <v>Email</v>
      </c>
    </row>
    <row r="1874" spans="1:9" ht="13" x14ac:dyDescent="0.15">
      <c r="A1874" s="9">
        <f ca="1">IFERROR(__xludf.DUMMYFUNCTION("""COMPUTED_VALUE"""),242389446)</f>
        <v>242389446</v>
      </c>
      <c r="B1874" s="1" t="str">
        <f ca="1">IFERROR(__xludf.DUMMYFUNCTION("""COMPUTED_VALUE"""),"qadrimohsin35@gmail.com")</f>
        <v>qadrimohsin35@gmail.com</v>
      </c>
      <c r="C1874" s="9" t="str">
        <f ca="1">IFERROR(__xludf.DUMMYFUNCTION("""COMPUTED_VALUE"""),"EVERGREEN - UAN Gated Content - Embedded Petition")</f>
        <v>EVERGREEN - UAN Gated Content - Embedded Petition</v>
      </c>
      <c r="D1874" s="10">
        <f ca="1">IFERROR(__xludf.DUMMYFUNCTION("""COMPUTED_VALUE"""),45695)</f>
        <v>45695</v>
      </c>
      <c r="E1874" s="1" t="str">
        <f ca="1">IFERROR(__xludf.DUMMYFUNCTION("""COMPUTED_VALUE"""),"USA")</f>
        <v>USA</v>
      </c>
      <c r="F1874" s="1" t="str">
        <f ca="1">IFERROR(__xludf.DUMMYFUNCTION("""COMPUTED_VALUE"""),"105.24 USA")</f>
        <v>105.24 USA</v>
      </c>
      <c r="G1874" s="1" t="str">
        <f ca="1">IFERROR(__xludf.DUMMYFUNCTION("""COMPUTED_VALUE"""),"Death Penalty")</f>
        <v>Death Penalty</v>
      </c>
      <c r="H1874" s="1" t="str">
        <f ca="1">IFERROR(__xludf.DUMMYFUNCTION("""COMPUTED_VALUE"""),"2024")</f>
        <v>2024</v>
      </c>
      <c r="I1874" s="1" t="str">
        <f ca="1">IFERROR(__xludf.DUMMYFUNCTION("""COMPUTED_VALUE"""),"Email")</f>
        <v>Email</v>
      </c>
    </row>
    <row r="1875" spans="1:9" ht="13" x14ac:dyDescent="0.15">
      <c r="A1875" s="9">
        <f ca="1">IFERROR(__xludf.DUMMYFUNCTION("""COMPUTED_VALUE"""),245476419)</f>
        <v>245476419</v>
      </c>
      <c r="B1875" s="1" t="str">
        <f ca="1">IFERROR(__xludf.DUMMYFUNCTION("""COMPUTED_VALUE"""),"heshaochun1989@gmail.com")</f>
        <v>heshaochun1989@gmail.com</v>
      </c>
      <c r="C1875" s="9" t="str">
        <f ca="1">IFERROR(__xludf.DUMMYFUNCTION("""COMPUTED_VALUE"""),"EVERGREEN - UAN Gated Content - Embedded Petition")</f>
        <v>EVERGREEN - UAN Gated Content - Embedded Petition</v>
      </c>
      <c r="D1875" s="10">
        <f ca="1">IFERROR(__xludf.DUMMYFUNCTION("""COMPUTED_VALUE"""),45683)</f>
        <v>45683</v>
      </c>
      <c r="E1875" s="1" t="str">
        <f ca="1">IFERROR(__xludf.DUMMYFUNCTION("""COMPUTED_VALUE"""),"USA")</f>
        <v>USA</v>
      </c>
      <c r="F1875" s="1" t="str">
        <f ca="1">IFERROR(__xludf.DUMMYFUNCTION("""COMPUTED_VALUE"""),"105.24 USA")</f>
        <v>105.24 USA</v>
      </c>
      <c r="G1875" s="1" t="str">
        <f ca="1">IFERROR(__xludf.DUMMYFUNCTION("""COMPUTED_VALUE"""),"Death Penalty")</f>
        <v>Death Penalty</v>
      </c>
      <c r="H1875" s="1" t="str">
        <f ca="1">IFERROR(__xludf.DUMMYFUNCTION("""COMPUTED_VALUE"""),"2024")</f>
        <v>2024</v>
      </c>
      <c r="I1875" s="1" t="str">
        <f ca="1">IFERROR(__xludf.DUMMYFUNCTION("""COMPUTED_VALUE"""),"Email")</f>
        <v>Email</v>
      </c>
    </row>
    <row r="1876" spans="1:9" ht="13" x14ac:dyDescent="0.15">
      <c r="A1876" s="9">
        <f ca="1">IFERROR(__xludf.DUMMYFUNCTION("""COMPUTED_VALUE"""),245476419)</f>
        <v>245476419</v>
      </c>
      <c r="B1876" s="1" t="str">
        <f ca="1">IFERROR(__xludf.DUMMYFUNCTION("""COMPUTED_VALUE"""),"heshaochun1989@gmail.com")</f>
        <v>heshaochun1989@gmail.com</v>
      </c>
      <c r="C1876" s="9" t="str">
        <f ca="1">IFERROR(__xludf.DUMMYFUNCTION("""COMPUTED_VALUE"""),"EVERGREEN - UAN Gated Content - Embedded Petition")</f>
        <v>EVERGREEN - UAN Gated Content - Embedded Petition</v>
      </c>
      <c r="D1876" s="10">
        <f ca="1">IFERROR(__xludf.DUMMYFUNCTION("""COMPUTED_VALUE"""),45683)</f>
        <v>45683</v>
      </c>
      <c r="E1876" s="1" t="str">
        <f ca="1">IFERROR(__xludf.DUMMYFUNCTION("""COMPUTED_VALUE"""),"USA")</f>
        <v>USA</v>
      </c>
      <c r="F1876" s="1" t="str">
        <f ca="1">IFERROR(__xludf.DUMMYFUNCTION("""COMPUTED_VALUE"""),"98.24 China")</f>
        <v>98.24 China</v>
      </c>
      <c r="G1876" s="1" t="str">
        <f ca="1">IFERROR(__xludf.DUMMYFUNCTION("""COMPUTED_VALUE"""),"Freedom of Expression, Individuals At Risk")</f>
        <v>Freedom of Expression, Individuals At Risk</v>
      </c>
      <c r="H1876" s="1" t="str">
        <f ca="1">IFERROR(__xludf.DUMMYFUNCTION("""COMPUTED_VALUE"""),"2024")</f>
        <v>2024</v>
      </c>
      <c r="I1876" s="1" t="str">
        <f ca="1">IFERROR(__xludf.DUMMYFUNCTION("""COMPUTED_VALUE"""),"Letter")</f>
        <v>Letter</v>
      </c>
    </row>
    <row r="1877" spans="1:9" ht="13" x14ac:dyDescent="0.15">
      <c r="A1877" s="9">
        <f ca="1">IFERROR(__xludf.DUMMYFUNCTION("""COMPUTED_VALUE"""),245476419)</f>
        <v>245476419</v>
      </c>
      <c r="B1877" s="1" t="str">
        <f ca="1">IFERROR(__xludf.DUMMYFUNCTION("""COMPUTED_VALUE"""),"heshaochun1989@gmail.com")</f>
        <v>heshaochun1989@gmail.com</v>
      </c>
      <c r="C1877" s="9" t="str">
        <f ca="1">IFERROR(__xludf.DUMMYFUNCTION("""COMPUTED_VALUE"""),"EVERGREEN - UAN Gated Content - Embedded Petition")</f>
        <v>EVERGREEN - UAN Gated Content - Embedded Petition</v>
      </c>
      <c r="D1877" s="10">
        <f ca="1">IFERROR(__xludf.DUMMYFUNCTION("""COMPUTED_VALUE"""),45683)</f>
        <v>45683</v>
      </c>
      <c r="E1877" s="1" t="str">
        <f ca="1">IFERROR(__xludf.DUMMYFUNCTION("""COMPUTED_VALUE"""),"China")</f>
        <v>China</v>
      </c>
      <c r="F1877" s="1" t="str">
        <f ca="1">IFERROR(__xludf.DUMMYFUNCTION("""COMPUTED_VALUE"""),"99.24 Canada")</f>
        <v>99.24 Canada</v>
      </c>
      <c r="G1877" s="1" t="str">
        <f ca="1">IFERROR(__xludf.DUMMYFUNCTION("""COMPUTED_VALUE"""),"Climate Justice, Indigenous Rights, Right to Protest")</f>
        <v>Climate Justice, Indigenous Rights, Right to Protest</v>
      </c>
      <c r="H1877" s="1" t="str">
        <f ca="1">IFERROR(__xludf.DUMMYFUNCTION("""COMPUTED_VALUE"""),"2024")</f>
        <v>2024</v>
      </c>
      <c r="I1877" s="1" t="str">
        <f ca="1">IFERROR(__xludf.DUMMYFUNCTION("""COMPUTED_VALUE"""),"Letter")</f>
        <v>Letter</v>
      </c>
    </row>
    <row r="1878" spans="1:9" ht="13" x14ac:dyDescent="0.15">
      <c r="A1878" s="9">
        <f ca="1">IFERROR(__xludf.DUMMYFUNCTION("""COMPUTED_VALUE"""),245947538)</f>
        <v>245947538</v>
      </c>
      <c r="B1878" s="1" t="str">
        <f ca="1">IFERROR(__xludf.DUMMYFUNCTION("""COMPUTED_VALUE"""),"jwalsh2611@gmail.com")</f>
        <v>jwalsh2611@gmail.com</v>
      </c>
      <c r="C1878" s="9" t="str">
        <f ca="1">IFERROR(__xludf.DUMMYFUNCTION("""COMPUTED_VALUE"""),"EVERGREEN - UAN Gated Content - Embedded Petition")</f>
        <v>EVERGREEN - UAN Gated Content - Embedded Petition</v>
      </c>
      <c r="D1878" s="10">
        <f ca="1">IFERROR(__xludf.DUMMYFUNCTION("""COMPUTED_VALUE"""),45636)</f>
        <v>45636</v>
      </c>
      <c r="E1878" s="1" t="str">
        <f ca="1">IFERROR(__xludf.DUMMYFUNCTION("""COMPUTED_VALUE"""),"Canada")</f>
        <v>Canada</v>
      </c>
      <c r="F1878" s="1" t="str">
        <f ca="1">IFERROR(__xludf.DUMMYFUNCTION("""COMPUTED_VALUE"""),"100.24 Uganda")</f>
        <v>100.24 Uganda</v>
      </c>
      <c r="G1878" s="1" t="str">
        <f ca="1">IFERROR(__xludf.DUMMYFUNCTION("""COMPUTED_VALUE"""),"Freedom of Expression")</f>
        <v>Freedom of Expression</v>
      </c>
      <c r="H1878" s="1" t="str">
        <f ca="1">IFERROR(__xludf.DUMMYFUNCTION("""COMPUTED_VALUE"""),"2024")</f>
        <v>2024</v>
      </c>
      <c r="I1878" s="1" t="str">
        <f ca="1">IFERROR(__xludf.DUMMYFUNCTION("""COMPUTED_VALUE"""),"Email")</f>
        <v>Email</v>
      </c>
    </row>
    <row r="1879" spans="1:9" ht="13" x14ac:dyDescent="0.15">
      <c r="A1879" s="9">
        <f ca="1">IFERROR(__xludf.DUMMYFUNCTION("""COMPUTED_VALUE"""),245947538)</f>
        <v>245947538</v>
      </c>
      <c r="B1879" s="1" t="str">
        <f ca="1">IFERROR(__xludf.DUMMYFUNCTION("""COMPUTED_VALUE"""),"jwalsh2611@gmail.com")</f>
        <v>jwalsh2611@gmail.com</v>
      </c>
      <c r="C1879" s="9" t="str">
        <f ca="1">IFERROR(__xludf.DUMMYFUNCTION("""COMPUTED_VALUE"""),"EVERGREEN - UAN Gated Content - Embedded Petition")</f>
        <v>EVERGREEN - UAN Gated Content - Embedded Petition</v>
      </c>
      <c r="D1879" s="10">
        <f ca="1">IFERROR(__xludf.DUMMYFUNCTION("""COMPUTED_VALUE"""),45636)</f>
        <v>45636</v>
      </c>
      <c r="E1879" s="1" t="str">
        <f ca="1">IFERROR(__xludf.DUMMYFUNCTION("""COMPUTED_VALUE"""),"Uganda")</f>
        <v>Uganda</v>
      </c>
      <c r="F1879" s="1" t="str">
        <f ca="1">IFERROR(__xludf.DUMMYFUNCTION("""COMPUTED_VALUE"""),"101.24 Iran")</f>
        <v>101.24 Iran</v>
      </c>
      <c r="G1879" s="1" t="str">
        <f ca="1">IFERROR(__xludf.DUMMYFUNCTION("""COMPUTED_VALUE"""),"Death Penalty, Freedom of Expression, Individuals At Risk, Right to Protest")</f>
        <v>Death Penalty, Freedom of Expression, Individuals At Risk, Right to Protest</v>
      </c>
      <c r="H1879" s="1" t="str">
        <f ca="1">IFERROR(__xludf.DUMMYFUNCTION("""COMPUTED_VALUE"""),"2024")</f>
        <v>2024</v>
      </c>
      <c r="I1879" s="1" t="str">
        <f ca="1">IFERROR(__xludf.DUMMYFUNCTION("""COMPUTED_VALUE"""),"Email")</f>
        <v>Email</v>
      </c>
    </row>
    <row r="1880" spans="1:9" ht="13" x14ac:dyDescent="0.15">
      <c r="A1880" s="9">
        <f ca="1">IFERROR(__xludf.DUMMYFUNCTION("""COMPUTED_VALUE"""),245975180)</f>
        <v>245975180</v>
      </c>
      <c r="B1880" s="1" t="str">
        <f ca="1">IFERROR(__xludf.DUMMYFUNCTION("""COMPUTED_VALUE"""),"busraasici25@gmail.com")</f>
        <v>busraasici25@gmail.com</v>
      </c>
      <c r="C1880" s="9" t="str">
        <f ca="1">IFERROR(__xludf.DUMMYFUNCTION("""COMPUTED_VALUE"""),"EVERGREEN - UAN Gated Content - Embedded Petition")</f>
        <v>EVERGREEN - UAN Gated Content - Embedded Petition</v>
      </c>
      <c r="D1880" s="10">
        <f ca="1">IFERROR(__xludf.DUMMYFUNCTION("""COMPUTED_VALUE"""),45698)</f>
        <v>45698</v>
      </c>
      <c r="E1880" s="1" t="str">
        <f ca="1">IFERROR(__xludf.DUMMYFUNCTION("""COMPUTED_VALUE"""),"Iran")</f>
        <v>Iran</v>
      </c>
      <c r="F1880" s="1" t="str">
        <f ca="1">IFERROR(__xludf.DUMMYFUNCTION("""COMPUTED_VALUE"""),"102.24 Russia")</f>
        <v>102.24 Russia</v>
      </c>
      <c r="G1880" s="1" t="str">
        <f ca="1">IFERROR(__xludf.DUMMYFUNCTION("""COMPUTED_VALUE"""),"Freedom of Expression, Individuals At Risk, Right to Protest")</f>
        <v>Freedom of Expression, Individuals At Risk, Right to Protest</v>
      </c>
      <c r="H1880" s="1" t="str">
        <f ca="1">IFERROR(__xludf.DUMMYFUNCTION("""COMPUTED_VALUE"""),"2024")</f>
        <v>2024</v>
      </c>
      <c r="I1880" s="1" t="str">
        <f ca="1">IFERROR(__xludf.DUMMYFUNCTION("""COMPUTED_VALUE"""),"Email")</f>
        <v>Email</v>
      </c>
    </row>
    <row r="1881" spans="1:9" ht="13" x14ac:dyDescent="0.15">
      <c r="A1881" s="9">
        <f ca="1">IFERROR(__xludf.DUMMYFUNCTION("""COMPUTED_VALUE"""),246745135)</f>
        <v>246745135</v>
      </c>
      <c r="B1881" s="1" t="str">
        <f ca="1">IFERROR(__xludf.DUMMYFUNCTION("""COMPUTED_VALUE"""),"26tegsum@student.mcpsmt.org")</f>
        <v>26tegsum@student.mcpsmt.org</v>
      </c>
      <c r="C1881" s="9" t="str">
        <f ca="1">IFERROR(__xludf.DUMMYFUNCTION("""COMPUTED_VALUE"""),"EVERGREEN - UAN Gated Content - Embedded Petition")</f>
        <v>EVERGREEN - UAN Gated Content - Embedded Petition</v>
      </c>
      <c r="D1881" s="10">
        <f ca="1">IFERROR(__xludf.DUMMYFUNCTION("""COMPUTED_VALUE"""),45678)</f>
        <v>45678</v>
      </c>
      <c r="E1881" s="1" t="str">
        <f ca="1">IFERROR(__xludf.DUMMYFUNCTION("""COMPUTED_VALUE"""),"Russian Federation")</f>
        <v>Russian Federation</v>
      </c>
      <c r="F1881" s="1" t="str">
        <f ca="1">IFERROR(__xludf.DUMMYFUNCTION("""COMPUTED_VALUE"""),"88.24 Dominican Republic")</f>
        <v>88.24 Dominican Republic</v>
      </c>
      <c r="G1881" s="1" t="str">
        <f ca="1">IFERROR(__xludf.DUMMYFUNCTION("""COMPUTED_VALUE"""),"Individuals At Risk, Refugee and Migrant Rights")</f>
        <v>Individuals At Risk, Refugee and Migrant Rights</v>
      </c>
      <c r="H1881" s="1" t="str">
        <f ca="1">IFERROR(__xludf.DUMMYFUNCTION("""COMPUTED_VALUE"""),"2024")</f>
        <v>2024</v>
      </c>
      <c r="I1881" s="1" t="str">
        <f ca="1">IFERROR(__xludf.DUMMYFUNCTION("""COMPUTED_VALUE"""),"Letter")</f>
        <v>Letter</v>
      </c>
    </row>
    <row r="1882" spans="1:9" ht="13" x14ac:dyDescent="0.15">
      <c r="A1882" s="9">
        <f ca="1">IFERROR(__xludf.DUMMYFUNCTION("""COMPUTED_VALUE"""),247426735)</f>
        <v>247426735</v>
      </c>
      <c r="B1882" s="1" t="str">
        <f ca="1">IFERROR(__xludf.DUMMYFUNCTION("""COMPUTED_VALUE"""),"annamakelapdx@gmail.com")</f>
        <v>annamakelapdx@gmail.com</v>
      </c>
      <c r="C1882" s="9" t="str">
        <f ca="1">IFERROR(__xludf.DUMMYFUNCTION("""COMPUTED_VALUE"""),"EVERGREEN - UAN Gated Content - Embedded Petition")</f>
        <v>EVERGREEN - UAN Gated Content - Embedded Petition</v>
      </c>
      <c r="D1882" s="10">
        <f ca="1">IFERROR(__xludf.DUMMYFUNCTION("""COMPUTED_VALUE"""),45694)</f>
        <v>45694</v>
      </c>
      <c r="E1882" s="1" t="str">
        <f ca="1">IFERROR(__xludf.DUMMYFUNCTION("""COMPUTED_VALUE"""),"Dominican Republic")</f>
        <v>Dominican Republic</v>
      </c>
      <c r="F1882" s="1" t="str">
        <f ca="1">IFERROR(__xludf.DUMMYFUNCTION("""COMPUTED_VALUE"""),"96.24 USA")</f>
        <v>96.24 USA</v>
      </c>
      <c r="G1882" s="1" t="str">
        <f ca="1">IFERROR(__xludf.DUMMYFUNCTION("""COMPUTED_VALUE"""),"Death Penalty")</f>
        <v>Death Penalty</v>
      </c>
      <c r="H1882" s="1" t="str">
        <f ca="1">IFERROR(__xludf.DUMMYFUNCTION("""COMPUTED_VALUE"""),"2024")</f>
        <v>2024</v>
      </c>
      <c r="I1882" s="1" t="str">
        <f ca="1">IFERROR(__xludf.DUMMYFUNCTION("""COMPUTED_VALUE"""),"Email")</f>
        <v>Email</v>
      </c>
    </row>
    <row r="1883" spans="1:9" ht="13" x14ac:dyDescent="0.15">
      <c r="A1883" s="9">
        <f ca="1">IFERROR(__xludf.DUMMYFUNCTION("""COMPUTED_VALUE"""),248386359)</f>
        <v>248386359</v>
      </c>
      <c r="B1883" s="1" t="str">
        <f ca="1">IFERROR(__xludf.DUMMYFUNCTION("""COMPUTED_VALUE"""),"kimk554830@gmail.com")</f>
        <v>kimk554830@gmail.com</v>
      </c>
      <c r="C1883" s="9" t="str">
        <f ca="1">IFERROR(__xludf.DUMMYFUNCTION("""COMPUTED_VALUE"""),"EVERGREEN - UAN Gated Content - Embedded Petition")</f>
        <v>EVERGREEN - UAN Gated Content - Embedded Petition</v>
      </c>
      <c r="D1883" s="10">
        <f ca="1">IFERROR(__xludf.DUMMYFUNCTION("""COMPUTED_VALUE"""),45694)</f>
        <v>45694</v>
      </c>
      <c r="E1883" s="1" t="str">
        <f ca="1">IFERROR(__xludf.DUMMYFUNCTION("""COMPUTED_VALUE"""),"USA")</f>
        <v>USA</v>
      </c>
      <c r="F1883" s="1" t="str">
        <f ca="1">IFERROR(__xludf.DUMMYFUNCTION("""COMPUTED_VALUE"""),"96.24 USA")</f>
        <v>96.24 USA</v>
      </c>
      <c r="G1883" s="1" t="str">
        <f ca="1">IFERROR(__xludf.DUMMYFUNCTION("""COMPUTED_VALUE"""),"Death Penalty")</f>
        <v>Death Penalty</v>
      </c>
      <c r="H1883" s="1" t="str">
        <f ca="1">IFERROR(__xludf.DUMMYFUNCTION("""COMPUTED_VALUE"""),"2024")</f>
        <v>2024</v>
      </c>
      <c r="I1883" s="1" t="str">
        <f ca="1">IFERROR(__xludf.DUMMYFUNCTION("""COMPUTED_VALUE"""),"Email")</f>
        <v>Email</v>
      </c>
    </row>
    <row r="1884" spans="1:9" ht="13" x14ac:dyDescent="0.15">
      <c r="A1884" s="9">
        <f ca="1">IFERROR(__xludf.DUMMYFUNCTION("""COMPUTED_VALUE"""),248386359)</f>
        <v>248386359</v>
      </c>
      <c r="B1884" s="1" t="str">
        <f ca="1">IFERROR(__xludf.DUMMYFUNCTION("""COMPUTED_VALUE"""),"kimk554830@gmail.com")</f>
        <v>kimk554830@gmail.com</v>
      </c>
      <c r="C1884" s="9" t="str">
        <f ca="1">IFERROR(__xludf.DUMMYFUNCTION("""COMPUTED_VALUE"""),"EVERGREEN - UAN Gated Content - Embedded Petition")</f>
        <v>EVERGREEN - UAN Gated Content - Embedded Petition</v>
      </c>
      <c r="D1884" s="10">
        <f ca="1">IFERROR(__xludf.DUMMYFUNCTION("""COMPUTED_VALUE"""),45636)</f>
        <v>45636</v>
      </c>
      <c r="E1884" s="1" t="str">
        <f ca="1">IFERROR(__xludf.DUMMYFUNCTION("""COMPUTED_VALUE"""),"USA")</f>
        <v>USA</v>
      </c>
      <c r="F1884" s="1" t="str">
        <f ca="1">IFERROR(__xludf.DUMMYFUNCTION("""COMPUTED_VALUE"""),"97.24 Venezuela")</f>
        <v>97.24 Venezuela</v>
      </c>
      <c r="G1884" s="1" t="str">
        <f ca="1">IFERROR(__xludf.DUMMYFUNCTION("""COMPUTED_VALUE"""),"Freedom of Expression")</f>
        <v>Freedom of Expression</v>
      </c>
      <c r="H1884" s="1" t="str">
        <f ca="1">IFERROR(__xludf.DUMMYFUNCTION("""COMPUTED_VALUE"""),"2024")</f>
        <v>2024</v>
      </c>
      <c r="I1884" s="1" t="str">
        <f ca="1">IFERROR(__xludf.DUMMYFUNCTION("""COMPUTED_VALUE"""),"Letter")</f>
        <v>Letter</v>
      </c>
    </row>
    <row r="1885" spans="1:9" ht="13" x14ac:dyDescent="0.15">
      <c r="A1885" s="9">
        <f ca="1">IFERROR(__xludf.DUMMYFUNCTION("""COMPUTED_VALUE"""),248386359)</f>
        <v>248386359</v>
      </c>
      <c r="B1885" s="1" t="str">
        <f ca="1">IFERROR(__xludf.DUMMYFUNCTION("""COMPUTED_VALUE"""),"kimk554830@gmail.com")</f>
        <v>kimk554830@gmail.com</v>
      </c>
      <c r="C1885" s="9" t="str">
        <f ca="1">IFERROR(__xludf.DUMMYFUNCTION("""COMPUTED_VALUE"""),"EVERGREEN - UAN Gated Content - Embedded Petition")</f>
        <v>EVERGREEN - UAN Gated Content - Embedded Petition</v>
      </c>
      <c r="D1885" s="10">
        <f ca="1">IFERROR(__xludf.DUMMYFUNCTION("""COMPUTED_VALUE"""),45636)</f>
        <v>45636</v>
      </c>
      <c r="E1885" s="1" t="str">
        <f ca="1">IFERROR(__xludf.DUMMYFUNCTION("""COMPUTED_VALUE"""),"Venezuela")</f>
        <v>Venezuela</v>
      </c>
      <c r="F1885" s="1" t="str">
        <f ca="1">IFERROR(__xludf.DUMMYFUNCTION("""COMPUTED_VALUE"""),"4.25 USA")</f>
        <v>4.25 USA</v>
      </c>
      <c r="G1885" s="1" t="str">
        <f ca="1">IFERROR(__xludf.DUMMYFUNCTION("""COMPUTED_VALUE"""),"Individuals At Risk, Refugee and Migrant Rights")</f>
        <v>Individuals At Risk, Refugee and Migrant Rights</v>
      </c>
      <c r="H1885" s="1" t="str">
        <f ca="1">IFERROR(__xludf.DUMMYFUNCTION("""COMPUTED_VALUE"""),"2025")</f>
        <v>2025</v>
      </c>
      <c r="I1885" s="1" t="str">
        <f ca="1">IFERROR(__xludf.DUMMYFUNCTION("""COMPUTED_VALUE"""),"Letter")</f>
        <v>Letter</v>
      </c>
    </row>
    <row r="1886" spans="1:9" ht="13" x14ac:dyDescent="0.15">
      <c r="A1886" s="9">
        <f ca="1">IFERROR(__xludf.DUMMYFUNCTION("""COMPUTED_VALUE"""),248392274)</f>
        <v>248392274</v>
      </c>
      <c r="B1886" s="1" t="str">
        <f ca="1">IFERROR(__xludf.DUMMYFUNCTION("""COMPUTED_VALUE"""),"jedbellzim@gmail.com")</f>
        <v>jedbellzim@gmail.com</v>
      </c>
      <c r="C1886" s="9" t="str">
        <f ca="1">IFERROR(__xludf.DUMMYFUNCTION("""COMPUTED_VALUE"""),"EVERGREEN - UAN Gated Content - Embedded Petition")</f>
        <v>EVERGREEN - UAN Gated Content - Embedded Petition</v>
      </c>
      <c r="D1886" s="10">
        <f ca="1">IFERROR(__xludf.DUMMYFUNCTION("""COMPUTED_VALUE"""),45672)</f>
        <v>45672</v>
      </c>
      <c r="E1886" s="1" t="str">
        <f ca="1">IFERROR(__xludf.DUMMYFUNCTION("""COMPUTED_VALUE"""),"USA")</f>
        <v>USA</v>
      </c>
      <c r="F1886" s="1" t="str">
        <f ca="1">IFERROR(__xludf.DUMMYFUNCTION("""COMPUTED_VALUE"""),"4.25 USA")</f>
        <v>4.25 USA</v>
      </c>
      <c r="G1886" s="1" t="str">
        <f ca="1">IFERROR(__xludf.DUMMYFUNCTION("""COMPUTED_VALUE"""),"Individuals At Risk, Refugee and Migrant Rights")</f>
        <v>Individuals At Risk, Refugee and Migrant Rights</v>
      </c>
      <c r="H1886" s="1" t="str">
        <f ca="1">IFERROR(__xludf.DUMMYFUNCTION("""COMPUTED_VALUE"""),"2025")</f>
        <v>2025</v>
      </c>
      <c r="I1886" s="1" t="str">
        <f ca="1">IFERROR(__xludf.DUMMYFUNCTION("""COMPUTED_VALUE"""),"Letter")</f>
        <v>Letter</v>
      </c>
    </row>
    <row r="1887" spans="1:9" ht="13" x14ac:dyDescent="0.15">
      <c r="A1887" s="9">
        <f ca="1">IFERROR(__xludf.DUMMYFUNCTION("""COMPUTED_VALUE"""),249194217)</f>
        <v>249194217</v>
      </c>
      <c r="B1887" s="1" t="str">
        <f ca="1">IFERROR(__xludf.DUMMYFUNCTION("""COMPUTED_VALUE"""),"bryancolombo@gmail.com")</f>
        <v>bryancolombo@gmail.com</v>
      </c>
      <c r="C1887" s="9" t="str">
        <f ca="1">IFERROR(__xludf.DUMMYFUNCTION("""COMPUTED_VALUE"""),"EVERGREEN - UAN Gated Content - Embedded Petition")</f>
        <v>EVERGREEN - UAN Gated Content - Embedded Petition</v>
      </c>
      <c r="D1887" s="10">
        <f ca="1">IFERROR(__xludf.DUMMYFUNCTION("""COMPUTED_VALUE"""),45614)</f>
        <v>45614</v>
      </c>
      <c r="E1887" s="1" t="str">
        <f ca="1">IFERROR(__xludf.DUMMYFUNCTION("""COMPUTED_VALUE"""),"USA")</f>
        <v>USA</v>
      </c>
      <c r="F1887" s="1" t="str">
        <f ca="1">IFERROR(__xludf.DUMMYFUNCTION("""COMPUTED_VALUE"""),"4.25 USA")</f>
        <v>4.25 USA</v>
      </c>
      <c r="G1887" s="1" t="str">
        <f ca="1">IFERROR(__xludf.DUMMYFUNCTION("""COMPUTED_VALUE"""),"Individuals At Risk, Refugee and Migrant Rights")</f>
        <v>Individuals At Risk, Refugee and Migrant Rights</v>
      </c>
      <c r="H1887" s="1" t="str">
        <f ca="1">IFERROR(__xludf.DUMMYFUNCTION("""COMPUTED_VALUE"""),"2025")</f>
        <v>2025</v>
      </c>
      <c r="I1887" s="1" t="str">
        <f ca="1">IFERROR(__xludf.DUMMYFUNCTION("""COMPUTED_VALUE"""),"Letter")</f>
        <v>Letter</v>
      </c>
    </row>
    <row r="1888" spans="1:9" ht="13" x14ac:dyDescent="0.15">
      <c r="A1888" s="9">
        <f ca="1">IFERROR(__xludf.DUMMYFUNCTION("""COMPUTED_VALUE"""),249598428)</f>
        <v>249598428</v>
      </c>
      <c r="B1888" s="1" t="str">
        <f ca="1">IFERROR(__xludf.DUMMYFUNCTION("""COMPUTED_VALUE"""),"bonniegorman1@gmail.com")</f>
        <v>bonniegorman1@gmail.com</v>
      </c>
      <c r="C1888" s="9" t="str">
        <f ca="1">IFERROR(__xludf.DUMMYFUNCTION("""COMPUTED_VALUE"""),"EVERGREEN - UAN Gated Content - Embedded Petition")</f>
        <v>EVERGREEN - UAN Gated Content - Embedded Petition</v>
      </c>
      <c r="D1888" s="10">
        <f ca="1">IFERROR(__xludf.DUMMYFUNCTION("""COMPUTED_VALUE"""),45694)</f>
        <v>45694</v>
      </c>
      <c r="E1888" s="1" t="str">
        <f ca="1">IFERROR(__xludf.DUMMYFUNCTION("""COMPUTED_VALUE"""),"USA")</f>
        <v>USA</v>
      </c>
      <c r="F1888" s="1" t="str">
        <f ca="1">IFERROR(__xludf.DUMMYFUNCTION("""COMPUTED_VALUE"""),"3.25 IOPT")</f>
        <v>3.25 IOPT</v>
      </c>
      <c r="G1888" s="1" t="str">
        <f ca="1">IFERROR(__xludf.DUMMYFUNCTION("""COMPUTED_VALUE"""),"Freedom of Expression, Individuals At Risk")</f>
        <v>Freedom of Expression, Individuals At Risk</v>
      </c>
      <c r="H1888" s="1" t="str">
        <f ca="1">IFERROR(__xludf.DUMMYFUNCTION("""COMPUTED_VALUE"""),"2025")</f>
        <v>2025</v>
      </c>
      <c r="I1888" s="1" t="str">
        <f ca="1">IFERROR(__xludf.DUMMYFUNCTION("""COMPUTED_VALUE"""),"Email")</f>
        <v>Email</v>
      </c>
    </row>
    <row r="1889" spans="1:9" ht="13" x14ac:dyDescent="0.15">
      <c r="A1889" s="9">
        <f ca="1">IFERROR(__xludf.DUMMYFUNCTION("""COMPUTED_VALUE"""),249598428)</f>
        <v>249598428</v>
      </c>
      <c r="B1889" s="1" t="str">
        <f ca="1">IFERROR(__xludf.DUMMYFUNCTION("""COMPUTED_VALUE"""),"bonniegorman1@gmail.com")</f>
        <v>bonniegorman1@gmail.com</v>
      </c>
      <c r="C1889" s="9" t="str">
        <f ca="1">IFERROR(__xludf.DUMMYFUNCTION("""COMPUTED_VALUE"""),"EVERGREEN - UAN Gated Content - Embedded Petition")</f>
        <v>EVERGREEN - UAN Gated Content - Embedded Petition</v>
      </c>
      <c r="D1889" s="10">
        <f ca="1">IFERROR(__xludf.DUMMYFUNCTION("""COMPUTED_VALUE"""),45673)</f>
        <v>45673</v>
      </c>
      <c r="E1889" s="1" t="str">
        <f ca="1">IFERROR(__xludf.DUMMYFUNCTION("""COMPUTED_VALUE"""),"Israel and Occupied Palestinian Territories")</f>
        <v>Israel and Occupied Palestinian Territories</v>
      </c>
      <c r="F1889" s="1" t="str">
        <f ca="1">IFERROR(__xludf.DUMMYFUNCTION("""COMPUTED_VALUE"""),"105.24 USA")</f>
        <v>105.24 USA</v>
      </c>
      <c r="G1889" s="1" t="str">
        <f ca="1">IFERROR(__xludf.DUMMYFUNCTION("""COMPUTED_VALUE"""),"Death Penalty")</f>
        <v>Death Penalty</v>
      </c>
      <c r="H1889" s="1" t="str">
        <f ca="1">IFERROR(__xludf.DUMMYFUNCTION("""COMPUTED_VALUE"""),"2024")</f>
        <v>2024</v>
      </c>
      <c r="I1889" s="1" t="str">
        <f ca="1">IFERROR(__xludf.DUMMYFUNCTION("""COMPUTED_VALUE"""),"Email")</f>
        <v>Email</v>
      </c>
    </row>
    <row r="1890" spans="1:9" ht="13" x14ac:dyDescent="0.15">
      <c r="A1890" s="9">
        <f ca="1">IFERROR(__xludf.DUMMYFUNCTION("""COMPUTED_VALUE"""),250287615)</f>
        <v>250287615</v>
      </c>
      <c r="B1890" s="1" t="str">
        <f ca="1">IFERROR(__xludf.DUMMYFUNCTION("""COMPUTED_VALUE"""),"raffi.merino@gmail.com")</f>
        <v>raffi.merino@gmail.com</v>
      </c>
      <c r="C1890" s="9" t="str">
        <f ca="1">IFERROR(__xludf.DUMMYFUNCTION("""COMPUTED_VALUE"""),"EVERGREEN - UAN Gated Content - Embedded Petition")</f>
        <v>EVERGREEN - UAN Gated Content - Embedded Petition</v>
      </c>
      <c r="D1890" s="10">
        <f ca="1">IFERROR(__xludf.DUMMYFUNCTION("""COMPUTED_VALUE"""),45690)</f>
        <v>45690</v>
      </c>
      <c r="E1890" s="1" t="str">
        <f ca="1">IFERROR(__xludf.DUMMYFUNCTION("""COMPUTED_VALUE"""),"USA")</f>
        <v>USA</v>
      </c>
      <c r="F1890" s="1" t="str">
        <f ca="1">IFERROR(__xludf.DUMMYFUNCTION("""COMPUTED_VALUE"""),"105.24 USA")</f>
        <v>105.24 USA</v>
      </c>
      <c r="G1890" s="1" t="str">
        <f ca="1">IFERROR(__xludf.DUMMYFUNCTION("""COMPUTED_VALUE"""),"Death Penalty")</f>
        <v>Death Penalty</v>
      </c>
      <c r="H1890" s="1" t="str">
        <f ca="1">IFERROR(__xludf.DUMMYFUNCTION("""COMPUTED_VALUE"""),"2024")</f>
        <v>2024</v>
      </c>
      <c r="I1890" s="1" t="str">
        <f ca="1">IFERROR(__xludf.DUMMYFUNCTION("""COMPUTED_VALUE"""),"Email")</f>
        <v>Email</v>
      </c>
    </row>
    <row r="1891" spans="1:9" ht="13" x14ac:dyDescent="0.15">
      <c r="A1891" s="9">
        <f ca="1">IFERROR(__xludf.DUMMYFUNCTION("""COMPUTED_VALUE"""),250685646)</f>
        <v>250685646</v>
      </c>
      <c r="B1891" s="1" t="str">
        <f ca="1">IFERROR(__xludf.DUMMYFUNCTION("""COMPUTED_VALUE"""),"junebsc@gmail.com")</f>
        <v>junebsc@gmail.com</v>
      </c>
      <c r="C1891" s="9" t="str">
        <f ca="1">IFERROR(__xludf.DUMMYFUNCTION("""COMPUTED_VALUE"""),"EVERGREEN - UAN Gated Content - Embedded Petition")</f>
        <v>EVERGREEN - UAN Gated Content - Embedded Petition</v>
      </c>
      <c r="D1891" s="10">
        <f ca="1">IFERROR(__xludf.DUMMYFUNCTION("""COMPUTED_VALUE"""),45657)</f>
        <v>45657</v>
      </c>
      <c r="E1891" s="1" t="str">
        <f ca="1">IFERROR(__xludf.DUMMYFUNCTION("""COMPUTED_VALUE"""),"USA")</f>
        <v>USA</v>
      </c>
      <c r="F1891" s="1" t="str">
        <f ca="1">IFERROR(__xludf.DUMMYFUNCTION("""COMPUTED_VALUE"""),"3.25 IOPT")</f>
        <v>3.25 IOPT</v>
      </c>
      <c r="G1891" s="1" t="str">
        <f ca="1">IFERROR(__xludf.DUMMYFUNCTION("""COMPUTED_VALUE"""),"Freedom of Expression, Individuals At Risk")</f>
        <v>Freedom of Expression, Individuals At Risk</v>
      </c>
      <c r="H1891" s="1" t="str">
        <f ca="1">IFERROR(__xludf.DUMMYFUNCTION("""COMPUTED_VALUE"""),"2025")</f>
        <v>2025</v>
      </c>
      <c r="I1891" s="1" t="str">
        <f ca="1">IFERROR(__xludf.DUMMYFUNCTION("""COMPUTED_VALUE"""),"Email")</f>
        <v>Email</v>
      </c>
    </row>
    <row r="1892" spans="1:9" ht="13" x14ac:dyDescent="0.15">
      <c r="A1892" s="9">
        <f ca="1">IFERROR(__xludf.DUMMYFUNCTION("""COMPUTED_VALUE"""),250685646)</f>
        <v>250685646</v>
      </c>
      <c r="B1892" s="1" t="str">
        <f ca="1">IFERROR(__xludf.DUMMYFUNCTION("""COMPUTED_VALUE"""),"junebsc@gmail.com")</f>
        <v>junebsc@gmail.com</v>
      </c>
      <c r="C1892" s="9" t="str">
        <f ca="1">IFERROR(__xludf.DUMMYFUNCTION("""COMPUTED_VALUE"""),"EVERGREEN - UAN Gated Content - Embedded Petition")</f>
        <v>EVERGREEN - UAN Gated Content - Embedded Petition</v>
      </c>
      <c r="D1892" s="10">
        <f ca="1">IFERROR(__xludf.DUMMYFUNCTION("""COMPUTED_VALUE"""),45657)</f>
        <v>45657</v>
      </c>
      <c r="E1892" s="1" t="str">
        <f ca="1">IFERROR(__xludf.DUMMYFUNCTION("""COMPUTED_VALUE"""),"Israel and Occupied Palestinian Territories")</f>
        <v>Israel and Occupied Palestinian Territories</v>
      </c>
      <c r="F1892" s="1" t="str">
        <f ca="1">IFERROR(__xludf.DUMMYFUNCTION("""COMPUTED_VALUE"""),"Second 76.24 Tunisia")</f>
        <v>Second 76.24 Tunisia</v>
      </c>
      <c r="G1892" s="1" t="str">
        <f ca="1">IFERROR(__xludf.DUMMYFUNCTION("""COMPUTED_VALUE"""),"Freedom of Expression, Human Rights Defenders")</f>
        <v>Freedom of Expression, Human Rights Defenders</v>
      </c>
      <c r="H1892" s="1" t="str">
        <f ca="1">IFERROR(__xludf.DUMMYFUNCTION("""COMPUTED_VALUE"""),"2025")</f>
        <v>2025</v>
      </c>
      <c r="I1892" s="1" t="str">
        <f ca="1">IFERROR(__xludf.DUMMYFUNCTION("""COMPUTED_VALUE"""),"Email")</f>
        <v>Email</v>
      </c>
    </row>
    <row r="1893" spans="1:9" ht="13" x14ac:dyDescent="0.15">
      <c r="A1893" s="9">
        <f ca="1">IFERROR(__xludf.DUMMYFUNCTION("""COMPUTED_VALUE"""),250885776)</f>
        <v>250885776</v>
      </c>
      <c r="B1893" s="1" t="str">
        <f ca="1">IFERROR(__xludf.DUMMYFUNCTION("""COMPUTED_VALUE"""),"shirley@burmaoaks.com")</f>
        <v>shirley@burmaoaks.com</v>
      </c>
      <c r="C1893" s="9" t="str">
        <f ca="1">IFERROR(__xludf.DUMMYFUNCTION("""COMPUTED_VALUE"""),"EVERGREEN - UAN Gated Content - Embedded Petition")</f>
        <v>EVERGREEN - UAN Gated Content - Embedded Petition</v>
      </c>
      <c r="D1893" s="10">
        <f ca="1">IFERROR(__xludf.DUMMYFUNCTION("""COMPUTED_VALUE"""),45616)</f>
        <v>45616</v>
      </c>
      <c r="E1893" s="1" t="str">
        <f ca="1">IFERROR(__xludf.DUMMYFUNCTION("""COMPUTED_VALUE"""),"Tunisia")</f>
        <v>Tunisia</v>
      </c>
      <c r="F1893" s="1" t="str">
        <f ca="1">IFERROR(__xludf.DUMMYFUNCTION("""COMPUTED_VALUE"""),"3.25 IOPT")</f>
        <v>3.25 IOPT</v>
      </c>
      <c r="G1893" s="1" t="str">
        <f ca="1">IFERROR(__xludf.DUMMYFUNCTION("""COMPUTED_VALUE"""),"Freedom of Expression, Individuals At Risk")</f>
        <v>Freedom of Expression, Individuals At Risk</v>
      </c>
      <c r="H1893" s="1" t="str">
        <f ca="1">IFERROR(__xludf.DUMMYFUNCTION("""COMPUTED_VALUE"""),"2025")</f>
        <v>2025</v>
      </c>
      <c r="I1893" s="1" t="str">
        <f ca="1">IFERROR(__xludf.DUMMYFUNCTION("""COMPUTED_VALUE"""),"Email")</f>
        <v>Email</v>
      </c>
    </row>
    <row r="1894" spans="1:9" ht="13" x14ac:dyDescent="0.15">
      <c r="A1894" s="9">
        <f ca="1">IFERROR(__xludf.DUMMYFUNCTION("""COMPUTED_VALUE"""),250885776)</f>
        <v>250885776</v>
      </c>
      <c r="B1894" s="1" t="str">
        <f ca="1">IFERROR(__xludf.DUMMYFUNCTION("""COMPUTED_VALUE"""),"shirley@burmaoaks.com")</f>
        <v>shirley@burmaoaks.com</v>
      </c>
      <c r="C1894" s="9" t="str">
        <f ca="1">IFERROR(__xludf.DUMMYFUNCTION("""COMPUTED_VALUE"""),"EVERGREEN - UAN Gated Content - Embedded Petition")</f>
        <v>EVERGREEN - UAN Gated Content - Embedded Petition</v>
      </c>
      <c r="D1894" s="10">
        <f ca="1">IFERROR(__xludf.DUMMYFUNCTION("""COMPUTED_VALUE"""),45694)</f>
        <v>45694</v>
      </c>
      <c r="E1894" s="1" t="str">
        <f ca="1">IFERROR(__xludf.DUMMYFUNCTION("""COMPUTED_VALUE"""),"Israel and Occupied Palestinian Territories")</f>
        <v>Israel and Occupied Palestinian Territories</v>
      </c>
      <c r="F1894" s="1" t="str">
        <f ca="1">IFERROR(__xludf.DUMMYFUNCTION("""COMPUTED_VALUE"""),"9.25 Uganda")</f>
        <v>9.25 Uganda</v>
      </c>
      <c r="G1894" s="1" t="str">
        <f ca="1">IFERROR(__xludf.DUMMYFUNCTION("""COMPUTED_VALUE"""),"Freedom of Expression, Human Rights Defenders")</f>
        <v>Freedom of Expression, Human Rights Defenders</v>
      </c>
      <c r="H1894" s="1" t="str">
        <f ca="1">IFERROR(__xludf.DUMMYFUNCTION("""COMPUTED_VALUE"""),"2025")</f>
        <v>2025</v>
      </c>
      <c r="I1894" s="1" t="str">
        <f ca="1">IFERROR(__xludf.DUMMYFUNCTION("""COMPUTED_VALUE"""),"Email")</f>
        <v>Email</v>
      </c>
    </row>
    <row r="1895" spans="1:9" ht="13" x14ac:dyDescent="0.15">
      <c r="A1895" s="9">
        <f ca="1">IFERROR(__xludf.DUMMYFUNCTION("""COMPUTED_VALUE"""),251369290)</f>
        <v>251369290</v>
      </c>
      <c r="B1895" s="1" t="str">
        <f ca="1">IFERROR(__xludf.DUMMYFUNCTION("""COMPUTED_VALUE"""),"amylstromme@gmail.com")</f>
        <v>amylstromme@gmail.com</v>
      </c>
      <c r="C1895" s="9" t="str">
        <f ca="1">IFERROR(__xludf.DUMMYFUNCTION("""COMPUTED_VALUE"""),"EVERGREEN - Website Email Capture Form - UAN Pre-Footer")</f>
        <v>EVERGREEN - Website Email Capture Form - UAN Pre-Footer</v>
      </c>
      <c r="D1895" s="10">
        <f ca="1">IFERROR(__xludf.DUMMYFUNCTION("""COMPUTED_VALUE"""),45661)</f>
        <v>45661</v>
      </c>
      <c r="E1895" s="1" t="str">
        <f ca="1">IFERROR(__xludf.DUMMYFUNCTION("""COMPUTED_VALUE"""),"Uganda")</f>
        <v>Uganda</v>
      </c>
      <c r="F1895" s="1" t="str">
        <f ca="1">IFERROR(__xludf.DUMMYFUNCTION("""COMPUTED_VALUE"""),"Second 85.23 Saudi Arabia")</f>
        <v>Second 85.23 Saudi Arabia</v>
      </c>
      <c r="G1895" s="1" t="str">
        <f ca="1">IFERROR(__xludf.DUMMYFUNCTION("""COMPUTED_VALUE"""),"Freedom of Expression")</f>
        <v>Freedom of Expression</v>
      </c>
      <c r="H1895" s="1" t="str">
        <f ca="1">IFERROR(__xludf.DUMMYFUNCTION("""COMPUTED_VALUE"""),"2024")</f>
        <v>2024</v>
      </c>
      <c r="I1895" s="1" t="str">
        <f ca="1">IFERROR(__xludf.DUMMYFUNCTION("""COMPUTED_VALUE"""),"Letter")</f>
        <v>Letter</v>
      </c>
    </row>
    <row r="1896" spans="1:9" ht="13" x14ac:dyDescent="0.15">
      <c r="A1896" s="9">
        <f ca="1">IFERROR(__xludf.DUMMYFUNCTION("""COMPUTED_VALUE"""),251570742)</f>
        <v>251570742</v>
      </c>
      <c r="B1896" s="1" t="str">
        <f ca="1">IFERROR(__xludf.DUMMYFUNCTION("""COMPUTED_VALUE"""),"abijlefeld@yahoo.com")</f>
        <v>abijlefeld@yahoo.com</v>
      </c>
      <c r="C1896" s="9" t="str">
        <f ca="1">IFERROR(__xludf.DUMMYFUNCTION("""COMPUTED_VALUE"""),"EVERGREEN - UAN Gated Content - Embedded Petition")</f>
        <v>EVERGREEN - UAN Gated Content - Embedded Petition</v>
      </c>
      <c r="D1896" s="10">
        <f ca="1">IFERROR(__xludf.DUMMYFUNCTION("""COMPUTED_VALUE"""),45678)</f>
        <v>45678</v>
      </c>
      <c r="E1896" s="1" t="str">
        <f ca="1">IFERROR(__xludf.DUMMYFUNCTION("""COMPUTED_VALUE"""),"Saudi Arabia")</f>
        <v>Saudi Arabia</v>
      </c>
      <c r="F1896" s="1" t="str">
        <f ca="1">IFERROR(__xludf.DUMMYFUNCTION("""COMPUTED_VALUE"""),"Ninth 190.18 Egypt")</f>
        <v>Ninth 190.18 Egypt</v>
      </c>
      <c r="G1896" s="1" t="str">
        <f ca="1">IFERROR(__xludf.DUMMYFUNCTION("""COMPUTED_VALUE"""),"Freedom of Expression, Individuals At Risk")</f>
        <v>Freedom of Expression, Individuals At Risk</v>
      </c>
      <c r="H1896" s="1" t="str">
        <f ca="1">IFERROR(__xludf.DUMMYFUNCTION("""COMPUTED_VALUE"""),"2024")</f>
        <v>2024</v>
      </c>
      <c r="I1896" s="1" t="str">
        <f ca="1">IFERROR(__xludf.DUMMYFUNCTION("""COMPUTED_VALUE"""),"Letter")</f>
        <v>Letter</v>
      </c>
    </row>
    <row r="1897" spans="1:9" ht="13" x14ac:dyDescent="0.15">
      <c r="A1897" s="9">
        <f ca="1">IFERROR(__xludf.DUMMYFUNCTION("""COMPUTED_VALUE"""),251570742)</f>
        <v>251570742</v>
      </c>
      <c r="B1897" s="1" t="str">
        <f ca="1">IFERROR(__xludf.DUMMYFUNCTION("""COMPUTED_VALUE"""),"abijlefeld@yahoo.com")</f>
        <v>abijlefeld@yahoo.com</v>
      </c>
      <c r="C1897" s="9" t="str">
        <f ca="1">IFERROR(__xludf.DUMMYFUNCTION("""COMPUTED_VALUE"""),"EVERGREEN - UAN Gated Content - Embedded Petition")</f>
        <v>EVERGREEN - UAN Gated Content - Embedded Petition</v>
      </c>
      <c r="D1897" s="10">
        <f ca="1">IFERROR(__xludf.DUMMYFUNCTION("""COMPUTED_VALUE"""),45678)</f>
        <v>45678</v>
      </c>
      <c r="E1897" s="1" t="str">
        <f ca="1">IFERROR(__xludf.DUMMYFUNCTION("""COMPUTED_VALUE"""),"Egypt")</f>
        <v>Egypt</v>
      </c>
      <c r="F1897" s="1" t="str">
        <f ca="1">IFERROR(__xludf.DUMMYFUNCTION("""COMPUTED_VALUE"""),"106.24 China")</f>
        <v>106.24 China</v>
      </c>
      <c r="G1897" s="1" t="str">
        <f ca="1">IFERROR(__xludf.DUMMYFUNCTION("""COMPUTED_VALUE"""),"Freedom of Expression, Individuals At Risk")</f>
        <v>Freedom of Expression, Individuals At Risk</v>
      </c>
      <c r="H1897" s="1" t="str">
        <f ca="1">IFERROR(__xludf.DUMMYFUNCTION("""COMPUTED_VALUE"""),"2024")</f>
        <v>2024</v>
      </c>
      <c r="I1897" s="1" t="str">
        <f ca="1">IFERROR(__xludf.DUMMYFUNCTION("""COMPUTED_VALUE"""),"Email")</f>
        <v>Email</v>
      </c>
    </row>
    <row r="1898" spans="1:9" ht="13" x14ac:dyDescent="0.15">
      <c r="A1898" s="9">
        <f ca="1">IFERROR(__xludf.DUMMYFUNCTION("""COMPUTED_VALUE"""),251757231)</f>
        <v>251757231</v>
      </c>
      <c r="B1898" s="1" t="str">
        <f ca="1">IFERROR(__xludf.DUMMYFUNCTION("""COMPUTED_VALUE"""),"edkatz_adelphia1@comcast.net")</f>
        <v>edkatz_adelphia1@comcast.net</v>
      </c>
      <c r="C1898" s="9" t="str">
        <f ca="1">IFERROR(__xludf.DUMMYFUNCTION("""COMPUTED_VALUE"""),"EVERGREEN - UAN Gated Content - Embedded Petition")</f>
        <v>EVERGREEN - UAN Gated Content - Embedded Petition</v>
      </c>
      <c r="D1898" s="10">
        <f ca="1">IFERROR(__xludf.DUMMYFUNCTION("""COMPUTED_VALUE"""),45694)</f>
        <v>45694</v>
      </c>
      <c r="E1898" s="1" t="str">
        <f ca="1">IFERROR(__xludf.DUMMYFUNCTION("""COMPUTED_VALUE"""),"China")</f>
        <v>China</v>
      </c>
      <c r="F1898" s="1" t="str">
        <f ca="1">IFERROR(__xludf.DUMMYFUNCTION("""COMPUTED_VALUE"""),"2.25 Azerbaijan")</f>
        <v>2.25 Azerbaijan</v>
      </c>
      <c r="G1898" s="1" t="str">
        <f ca="1">IFERROR(__xludf.DUMMYFUNCTION("""COMPUTED_VALUE"""),"Freedom of Expression, Human Rights Defenders")</f>
        <v>Freedom of Expression, Human Rights Defenders</v>
      </c>
      <c r="H1898" s="1" t="str">
        <f ca="1">IFERROR(__xludf.DUMMYFUNCTION("""COMPUTED_VALUE"""),"2025")</f>
        <v>2025</v>
      </c>
      <c r="I1898" s="1" t="str">
        <f ca="1">IFERROR(__xludf.DUMMYFUNCTION("""COMPUTED_VALUE"""),"Email")</f>
        <v>Email</v>
      </c>
    </row>
    <row r="1899" spans="1:9" ht="13" x14ac:dyDescent="0.15">
      <c r="A1899" s="9">
        <f ca="1">IFERROR(__xludf.DUMMYFUNCTION("""COMPUTED_VALUE"""),251960036)</f>
        <v>251960036</v>
      </c>
      <c r="B1899" s="1" t="str">
        <f ca="1">IFERROR(__xludf.DUMMYFUNCTION("""COMPUTED_VALUE"""),"fishjoyner2@hotmail.com")</f>
        <v>fishjoyner2@hotmail.com</v>
      </c>
      <c r="C1899" s="9" t="str">
        <f ca="1">IFERROR(__xludf.DUMMYFUNCTION("""COMPUTED_VALUE"""),"EVERGREEN - UAN Gated Content - Embedded Petition")</f>
        <v>EVERGREEN - UAN Gated Content - Embedded Petition</v>
      </c>
      <c r="D1899" s="10">
        <f ca="1">IFERROR(__xludf.DUMMYFUNCTION("""COMPUTED_VALUE"""),45700)</f>
        <v>45700</v>
      </c>
      <c r="E1899" s="1" t="str">
        <f ca="1">IFERROR(__xludf.DUMMYFUNCTION("""COMPUTED_VALUE"""),"Azerbaijan")</f>
        <v>Azerbaijan</v>
      </c>
      <c r="F1899" s="1" t="str">
        <f ca="1">IFERROR(__xludf.DUMMYFUNCTION("""COMPUTED_VALUE"""),"1.25 Venezuela")</f>
        <v>1.25 Venezuela</v>
      </c>
      <c r="G1899" s="1" t="str">
        <f ca="1">IFERROR(__xludf.DUMMYFUNCTION("""COMPUTED_VALUE"""),"Human Rights Defenders, Individuals At Risk")</f>
        <v>Human Rights Defenders, Individuals At Risk</v>
      </c>
      <c r="H1899" s="1" t="str">
        <f ca="1">IFERROR(__xludf.DUMMYFUNCTION("""COMPUTED_VALUE"""),"2025")</f>
        <v>2025</v>
      </c>
      <c r="I1899" s="1" t="str">
        <f ca="1">IFERROR(__xludf.DUMMYFUNCTION("""COMPUTED_VALUE"""),"Letter")</f>
        <v>Letter</v>
      </c>
    </row>
    <row r="1900" spans="1:9" ht="13" x14ac:dyDescent="0.15">
      <c r="A1900" s="9">
        <f ca="1">IFERROR(__xludf.DUMMYFUNCTION("""COMPUTED_VALUE"""),251983731)</f>
        <v>251983731</v>
      </c>
      <c r="B1900" s="1" t="str">
        <f ca="1">IFERROR(__xludf.DUMMYFUNCTION("""COMPUTED_VALUE"""),"slbazarian@comcast.net")</f>
        <v>slbazarian@comcast.net</v>
      </c>
      <c r="C1900" s="9" t="str">
        <f ca="1">IFERROR(__xludf.DUMMYFUNCTION("""COMPUTED_VALUE"""),"EVERGREEN - UAN Gated Content - Embedded Petition")</f>
        <v>EVERGREEN - UAN Gated Content - Embedded Petition</v>
      </c>
      <c r="D1900" s="10">
        <f ca="1">IFERROR(__xludf.DUMMYFUNCTION("""COMPUTED_VALUE"""),45677)</f>
        <v>45677</v>
      </c>
      <c r="E1900" s="1" t="str">
        <f ca="1">IFERROR(__xludf.DUMMYFUNCTION("""COMPUTED_VALUE"""),"Venezuela")</f>
        <v>Venezuela</v>
      </c>
      <c r="F1900" s="1" t="str">
        <f ca="1">IFERROR(__xludf.DUMMYFUNCTION("""COMPUTED_VALUE"""),"4.25 USA")</f>
        <v>4.25 USA</v>
      </c>
      <c r="G1900" s="1" t="str">
        <f ca="1">IFERROR(__xludf.DUMMYFUNCTION("""COMPUTED_VALUE"""),"Individuals At Risk, Refugee and Migrant Rights")</f>
        <v>Individuals At Risk, Refugee and Migrant Rights</v>
      </c>
      <c r="H1900" s="1" t="str">
        <f ca="1">IFERROR(__xludf.DUMMYFUNCTION("""COMPUTED_VALUE"""),"2025")</f>
        <v>2025</v>
      </c>
      <c r="I1900" s="1" t="str">
        <f ca="1">IFERROR(__xludf.DUMMYFUNCTION("""COMPUTED_VALUE"""),"Letter")</f>
        <v>Letter</v>
      </c>
    </row>
    <row r="1901" spans="1:9" ht="13" x14ac:dyDescent="0.15">
      <c r="A1901" s="9">
        <f ca="1">IFERROR(__xludf.DUMMYFUNCTION("""COMPUTED_VALUE"""),252208031)</f>
        <v>252208031</v>
      </c>
      <c r="B1901" s="1" t="str">
        <f ca="1">IFERROR(__xludf.DUMMYFUNCTION("""COMPUTED_VALUE"""),"brmarkwardt@dolgeville.org")</f>
        <v>brmarkwardt@dolgeville.org</v>
      </c>
      <c r="C1901" s="9" t="str">
        <f ca="1">IFERROR(__xludf.DUMMYFUNCTION("""COMPUTED_VALUE"""),"EVERGREEN - UAN Gated Content - Embedded Petition")</f>
        <v>EVERGREEN - UAN Gated Content - Embedded Petition</v>
      </c>
      <c r="D1901" s="10">
        <f ca="1">IFERROR(__xludf.DUMMYFUNCTION("""COMPUTED_VALUE"""),45687)</f>
        <v>45687</v>
      </c>
      <c r="E1901" s="1" t="str">
        <f ca="1">IFERROR(__xludf.DUMMYFUNCTION("""COMPUTED_VALUE"""),"USA")</f>
        <v>USA</v>
      </c>
      <c r="F1901" s="1" t="str">
        <f ca="1">IFERROR(__xludf.DUMMYFUNCTION("""COMPUTED_VALUE"""),"Third 12.24 Colombia")</f>
        <v>Third 12.24 Colombia</v>
      </c>
      <c r="G1901" s="1" t="str">
        <f ca="1">IFERROR(__xludf.DUMMYFUNCTION("""COMPUTED_VALUE"""),"Human Rights Defenders, Individuals At Risk")</f>
        <v>Human Rights Defenders, Individuals At Risk</v>
      </c>
      <c r="H1901" s="1" t="str">
        <f ca="1">IFERROR(__xludf.DUMMYFUNCTION("""COMPUTED_VALUE"""),"2025")</f>
        <v>2025</v>
      </c>
      <c r="I1901" s="1" t="str">
        <f ca="1">IFERROR(__xludf.DUMMYFUNCTION("""COMPUTED_VALUE"""),"Email")</f>
        <v>Email</v>
      </c>
    </row>
    <row r="1902" spans="1:9" ht="13" x14ac:dyDescent="0.15">
      <c r="A1902" s="9">
        <f ca="1">IFERROR(__xludf.DUMMYFUNCTION("""COMPUTED_VALUE"""),252221595)</f>
        <v>252221595</v>
      </c>
      <c r="B1902" s="1" t="str">
        <f ca="1">IFERROR(__xludf.DUMMYFUNCTION("""COMPUTED_VALUE"""),"mrubin111@gmail.com")</f>
        <v>mrubin111@gmail.com</v>
      </c>
      <c r="C1902" s="9" t="str">
        <f ca="1">IFERROR(__xludf.DUMMYFUNCTION("""COMPUTED_VALUE"""),"EVERGREEN - UAN Gated Content - Embedded Petition")</f>
        <v>EVERGREEN - UAN Gated Content - Embedded Petition</v>
      </c>
      <c r="D1902" s="10">
        <f ca="1">IFERROR(__xludf.DUMMYFUNCTION("""COMPUTED_VALUE"""),45672)</f>
        <v>45672</v>
      </c>
      <c r="E1902" s="1" t="str">
        <f ca="1">IFERROR(__xludf.DUMMYFUNCTION("""COMPUTED_VALUE"""),"Colombia")</f>
        <v>Colombia</v>
      </c>
      <c r="F1902" s="1" t="str">
        <f ca="1">IFERROR(__xludf.DUMMYFUNCTION("""COMPUTED_VALUE"""),"Second 109.24 Türkiye")</f>
        <v>Second 109.24 Türkiye</v>
      </c>
      <c r="G1902" s="1" t="str">
        <f ca="1">IFERROR(__xludf.DUMMYFUNCTION("""COMPUTED_VALUE"""),"Human Rights Defenders")</f>
        <v>Human Rights Defenders</v>
      </c>
      <c r="H1902" s="1" t="str">
        <f ca="1">IFERROR(__xludf.DUMMYFUNCTION("""COMPUTED_VALUE"""),"2025")</f>
        <v>2025</v>
      </c>
      <c r="I1902" s="1" t="str">
        <f ca="1">IFERROR(__xludf.DUMMYFUNCTION("""COMPUTED_VALUE"""),"Email")</f>
        <v>Email</v>
      </c>
    </row>
    <row r="1903" spans="1:9" ht="13" x14ac:dyDescent="0.15">
      <c r="A1903" s="9">
        <f ca="1">IFERROR(__xludf.DUMMYFUNCTION("""COMPUTED_VALUE"""),252647783)</f>
        <v>252647783</v>
      </c>
      <c r="B1903" s="1" t="str">
        <f ca="1">IFERROR(__xludf.DUMMYFUNCTION("""COMPUTED_VALUE"""),"cubalake1222@gmail.com")</f>
        <v>cubalake1222@gmail.com</v>
      </c>
      <c r="C1903" s="9" t="str">
        <f ca="1">IFERROR(__xludf.DUMMYFUNCTION("""COMPUTED_VALUE"""),"EVERGREEN - UAN Gated Content - Embedded Petition")</f>
        <v>EVERGREEN - UAN Gated Content - Embedded Petition</v>
      </c>
      <c r="D1903" s="10">
        <f ca="1">IFERROR(__xludf.DUMMYFUNCTION("""COMPUTED_VALUE"""),45635)</f>
        <v>45635</v>
      </c>
      <c r="E1903" s="1" t="str">
        <f ca="1">IFERROR(__xludf.DUMMYFUNCTION("""COMPUTED_VALUE"""),"Turkiye")</f>
        <v>Turkiye</v>
      </c>
      <c r="F1903" s="1" t="str">
        <f ca="1">IFERROR(__xludf.DUMMYFUNCTION("""COMPUTED_VALUE"""),"6.25 Iran")</f>
        <v>6.25 Iran</v>
      </c>
      <c r="G1903" s="1" t="str">
        <f ca="1">IFERROR(__xludf.DUMMYFUNCTION("""COMPUTED_VALUE"""),"Death Penalty, Freedom of Expression, Individuals At Risk")</f>
        <v>Death Penalty, Freedom of Expression, Individuals At Risk</v>
      </c>
      <c r="H1903" s="1" t="str">
        <f ca="1">IFERROR(__xludf.DUMMYFUNCTION("""COMPUTED_VALUE"""),"2025")</f>
        <v>2025</v>
      </c>
      <c r="I1903" s="1" t="str">
        <f ca="1">IFERROR(__xludf.DUMMYFUNCTION("""COMPUTED_VALUE"""),"Email")</f>
        <v>Email</v>
      </c>
    </row>
    <row r="1904" spans="1:9" ht="13" x14ac:dyDescent="0.15">
      <c r="A1904" s="9">
        <f ca="1">IFERROR(__xludf.DUMMYFUNCTION("""COMPUTED_VALUE"""),252647783)</f>
        <v>252647783</v>
      </c>
      <c r="B1904" s="1" t="str">
        <f ca="1">IFERROR(__xludf.DUMMYFUNCTION("""COMPUTED_VALUE"""),"cubalake1222@gmail.com")</f>
        <v>cubalake1222@gmail.com</v>
      </c>
      <c r="C1904" s="9" t="str">
        <f ca="1">IFERROR(__xludf.DUMMYFUNCTION("""COMPUTED_VALUE"""),"EVERGREEN - UAN Gated Content - Embedded Petition")</f>
        <v>EVERGREEN - UAN Gated Content - Embedded Petition</v>
      </c>
      <c r="D1904" s="10">
        <f ca="1">IFERROR(__xludf.DUMMYFUNCTION("""COMPUTED_VALUE"""),45642)</f>
        <v>45642</v>
      </c>
      <c r="E1904" s="1" t="str">
        <f ca="1">IFERROR(__xludf.DUMMYFUNCTION("""COMPUTED_VALUE"""),"Iran")</f>
        <v>Iran</v>
      </c>
      <c r="F1904" s="1" t="str">
        <f ca="1">IFERROR(__xludf.DUMMYFUNCTION("""COMPUTED_VALUE"""),"Second 76.24 Tunisia")</f>
        <v>Second 76.24 Tunisia</v>
      </c>
      <c r="G1904" s="1" t="str">
        <f ca="1">IFERROR(__xludf.DUMMYFUNCTION("""COMPUTED_VALUE"""),"Freedom of Expression, Human Rights Defenders")</f>
        <v>Freedom of Expression, Human Rights Defenders</v>
      </c>
      <c r="H1904" s="1" t="str">
        <f ca="1">IFERROR(__xludf.DUMMYFUNCTION("""COMPUTED_VALUE"""),"2025")</f>
        <v>2025</v>
      </c>
      <c r="I1904" s="1" t="str">
        <f ca="1">IFERROR(__xludf.DUMMYFUNCTION("""COMPUTED_VALUE"""),"Email")</f>
        <v>Email</v>
      </c>
    </row>
    <row r="1905" spans="1:9" ht="13" x14ac:dyDescent="0.15">
      <c r="A1905" s="9">
        <f ca="1">IFERROR(__xludf.DUMMYFUNCTION("""COMPUTED_VALUE"""),252756498)</f>
        <v>252756498</v>
      </c>
      <c r="B1905" s="1" t="str">
        <f ca="1">IFERROR(__xludf.DUMMYFUNCTION("""COMPUTED_VALUE"""),"debbieam@charter.net")</f>
        <v>debbieam@charter.net</v>
      </c>
      <c r="C1905" s="9" t="str">
        <f ca="1">IFERROR(__xludf.DUMMYFUNCTION("""COMPUTED_VALUE"""),"EVERGREEN - UAN Gated Content - Embedded Petition")</f>
        <v>EVERGREEN - UAN Gated Content - Embedded Petition</v>
      </c>
      <c r="D1905" s="10">
        <f ca="1">IFERROR(__xludf.DUMMYFUNCTION("""COMPUTED_VALUE"""),45700)</f>
        <v>45700</v>
      </c>
      <c r="E1905" s="1" t="str">
        <f ca="1">IFERROR(__xludf.DUMMYFUNCTION("""COMPUTED_VALUE"""),"Tunisia")</f>
        <v>Tunisia</v>
      </c>
      <c r="F1905" s="1" t="str">
        <f ca="1">IFERROR(__xludf.DUMMYFUNCTION("""COMPUTED_VALUE"""),"Seventh 103.22 Iran")</f>
        <v>Seventh 103.22 Iran</v>
      </c>
      <c r="G1905" s="1" t="str">
        <f ca="1">IFERROR(__xludf.DUMMYFUNCTION("""COMPUTED_VALUE"""),"Death Penalty, Freedom of Expression, Individuals At Risk")</f>
        <v>Death Penalty, Freedom of Expression, Individuals At Risk</v>
      </c>
      <c r="H1905" s="1" t="str">
        <f ca="1">IFERROR(__xludf.DUMMYFUNCTION("""COMPUTED_VALUE"""),"2024")</f>
        <v>2024</v>
      </c>
      <c r="I1905" s="1" t="str">
        <f ca="1">IFERROR(__xludf.DUMMYFUNCTION("""COMPUTED_VALUE"""),"Email")</f>
        <v>Email</v>
      </c>
    </row>
    <row r="1906" spans="1:9" ht="13" x14ac:dyDescent="0.15">
      <c r="A1906" s="9">
        <f ca="1">IFERROR(__xludf.DUMMYFUNCTION("""COMPUTED_VALUE"""),253032817)</f>
        <v>253032817</v>
      </c>
      <c r="B1906" s="1" t="str">
        <f ca="1">IFERROR(__xludf.DUMMYFUNCTION("""COMPUTED_VALUE"""),"felixmosesmakola@gmail.com")</f>
        <v>felixmosesmakola@gmail.com</v>
      </c>
      <c r="C1906" s="9" t="str">
        <f ca="1">IFERROR(__xludf.DUMMYFUNCTION("""COMPUTED_VALUE"""),"EVERGREEN - UAN Gated Content - Embedded Petition")</f>
        <v>EVERGREEN - UAN Gated Content - Embedded Petition</v>
      </c>
      <c r="D1906" s="10">
        <f ca="1">IFERROR(__xludf.DUMMYFUNCTION("""COMPUTED_VALUE"""),45699)</f>
        <v>45699</v>
      </c>
      <c r="E1906" s="1" t="str">
        <f ca="1">IFERROR(__xludf.DUMMYFUNCTION("""COMPUTED_VALUE"""),"Iran")</f>
        <v>Iran</v>
      </c>
      <c r="F1906" s="1" t="str">
        <f ca="1">IFERROR(__xludf.DUMMYFUNCTION("""COMPUTED_VALUE"""),"Third 73.23 Egypt")</f>
        <v>Third 73.23 Egypt</v>
      </c>
      <c r="G1906" s="1" t="str">
        <f ca="1">IFERROR(__xludf.DUMMYFUNCTION("""COMPUTED_VALUE"""),"Individuals At Risk")</f>
        <v>Individuals At Risk</v>
      </c>
      <c r="H1906" s="1" t="str">
        <f ca="1">IFERROR(__xludf.DUMMYFUNCTION("""COMPUTED_VALUE"""),"2024")</f>
        <v>2024</v>
      </c>
      <c r="I1906" s="1" t="str">
        <f ca="1">IFERROR(__xludf.DUMMYFUNCTION("""COMPUTED_VALUE"""),"Email")</f>
        <v>Email</v>
      </c>
    </row>
    <row r="1907" spans="1:9" ht="13" x14ac:dyDescent="0.15">
      <c r="A1907" s="9">
        <f ca="1">IFERROR(__xludf.DUMMYFUNCTION("""COMPUTED_VALUE"""),253032817)</f>
        <v>253032817</v>
      </c>
      <c r="B1907" s="1" t="str">
        <f ca="1">IFERROR(__xludf.DUMMYFUNCTION("""COMPUTED_VALUE"""),"felixmosesmakola@gmail.com")</f>
        <v>felixmosesmakola@gmail.com</v>
      </c>
      <c r="C1907" s="9" t="str">
        <f ca="1">IFERROR(__xludf.DUMMYFUNCTION("""COMPUTED_VALUE"""),"EVERGREEN - UAN Gated Content - Embedded Petition")</f>
        <v>EVERGREEN - UAN Gated Content - Embedded Petition</v>
      </c>
      <c r="D1907" s="10">
        <f ca="1">IFERROR(__xludf.DUMMYFUNCTION("""COMPUTED_VALUE"""),45624)</f>
        <v>45624</v>
      </c>
      <c r="E1907" s="1" t="str">
        <f ca="1">IFERROR(__xludf.DUMMYFUNCTION("""COMPUTED_VALUE"""),"Egypt")</f>
        <v>Egypt</v>
      </c>
      <c r="F1907" s="1" t="str">
        <f ca="1">IFERROR(__xludf.DUMMYFUNCTION("""COMPUTED_VALUE"""),"109.24 Türkiye")</f>
        <v>109.24 Türkiye</v>
      </c>
      <c r="G1907" s="1" t="str">
        <f ca="1">IFERROR(__xludf.DUMMYFUNCTION("""COMPUTED_VALUE"""),"Human Rights Defenders, Individuals At Risk")</f>
        <v>Human Rights Defenders, Individuals At Risk</v>
      </c>
      <c r="H1907" s="1" t="str">
        <f ca="1">IFERROR(__xludf.DUMMYFUNCTION("""COMPUTED_VALUE"""),"2024")</f>
        <v>2024</v>
      </c>
      <c r="I1907" s="1" t="str">
        <f ca="1">IFERROR(__xludf.DUMMYFUNCTION("""COMPUTED_VALUE"""),"Email")</f>
        <v>Email</v>
      </c>
    </row>
    <row r="1908" spans="1:9" ht="13" x14ac:dyDescent="0.15">
      <c r="A1908" s="9">
        <f ca="1">IFERROR(__xludf.DUMMYFUNCTION("""COMPUTED_VALUE"""),253032817)</f>
        <v>253032817</v>
      </c>
      <c r="B1908" s="1" t="str">
        <f ca="1">IFERROR(__xludf.DUMMYFUNCTION("""COMPUTED_VALUE"""),"felixmosesmakola@gmail.com")</f>
        <v>felixmosesmakola@gmail.com</v>
      </c>
      <c r="C1908" s="9" t="str">
        <f ca="1">IFERROR(__xludf.DUMMYFUNCTION("""COMPUTED_VALUE"""),"EVERGREEN - UAN Gated Content - Embedded Petition")</f>
        <v>EVERGREEN - UAN Gated Content - Embedded Petition</v>
      </c>
      <c r="D1908" s="10">
        <f ca="1">IFERROR(__xludf.DUMMYFUNCTION("""COMPUTED_VALUE"""),45624)</f>
        <v>45624</v>
      </c>
      <c r="E1908" s="1" t="str">
        <f ca="1">IFERROR(__xludf.DUMMYFUNCTION("""COMPUTED_VALUE"""),"Turkiye")</f>
        <v>Turkiye</v>
      </c>
      <c r="F1908" s="1" t="str">
        <f ca="1">IFERROR(__xludf.DUMMYFUNCTION("""COMPUTED_VALUE"""),"103.24 Niger")</f>
        <v>103.24 Niger</v>
      </c>
      <c r="G1908" s="1" t="str">
        <f ca="1">IFERROR(__xludf.DUMMYFUNCTION("""COMPUTED_VALUE"""),"Freedom of Expression, Human Rights Defenders")</f>
        <v>Freedom of Expression, Human Rights Defenders</v>
      </c>
      <c r="H1908" s="1" t="str">
        <f ca="1">IFERROR(__xludf.DUMMYFUNCTION("""COMPUTED_VALUE"""),"2024")</f>
        <v>2024</v>
      </c>
      <c r="I1908" s="1" t="str">
        <f ca="1">IFERROR(__xludf.DUMMYFUNCTION("""COMPUTED_VALUE"""),"Email")</f>
        <v>Email</v>
      </c>
    </row>
    <row r="1909" spans="1:9" ht="13" x14ac:dyDescent="0.15">
      <c r="A1909" s="9">
        <f ca="1">IFERROR(__xludf.DUMMYFUNCTION("""COMPUTED_VALUE"""),253032817)</f>
        <v>253032817</v>
      </c>
      <c r="B1909" s="1" t="str">
        <f ca="1">IFERROR(__xludf.DUMMYFUNCTION("""COMPUTED_VALUE"""),"felixmosesmakola@gmail.com")</f>
        <v>felixmosesmakola@gmail.com</v>
      </c>
      <c r="C1909" s="9" t="str">
        <f ca="1">IFERROR(__xludf.DUMMYFUNCTION("""COMPUTED_VALUE"""),"EVERGREEN - Website Email Capture Form - UAN Pre-Footer")</f>
        <v>EVERGREEN - Website Email Capture Form - UAN Pre-Footer</v>
      </c>
      <c r="D1909" s="10">
        <f ca="1">IFERROR(__xludf.DUMMYFUNCTION("""COMPUTED_VALUE"""),45699)</f>
        <v>45699</v>
      </c>
      <c r="E1909" s="1" t="str">
        <f ca="1">IFERROR(__xludf.DUMMYFUNCTION("""COMPUTED_VALUE"""),"Niger")</f>
        <v>Niger</v>
      </c>
      <c r="F1909" s="1" t="str">
        <f ca="1">IFERROR(__xludf.DUMMYFUNCTION("""COMPUTED_VALUE"""),"Second 43.24 Tunisia")</f>
        <v>Second 43.24 Tunisia</v>
      </c>
      <c r="G1909" s="1" t="str">
        <f ca="1">IFERROR(__xludf.DUMMYFUNCTION("""COMPUTED_VALUE"""),"Freedom of Expression, Individuals At Risk")</f>
        <v>Freedom of Expression, Individuals At Risk</v>
      </c>
      <c r="H1909" s="1" t="str">
        <f ca="1">IFERROR(__xludf.DUMMYFUNCTION("""COMPUTED_VALUE"""),"2024")</f>
        <v>2024</v>
      </c>
      <c r="I1909" s="1" t="str">
        <f ca="1">IFERROR(__xludf.DUMMYFUNCTION("""COMPUTED_VALUE"""),"Email")</f>
        <v>Email</v>
      </c>
    </row>
    <row r="1910" spans="1:9" ht="13" x14ac:dyDescent="0.15">
      <c r="A1910" s="9">
        <f ca="1">IFERROR(__xludf.DUMMYFUNCTION("""COMPUTED_VALUE"""),253032817)</f>
        <v>253032817</v>
      </c>
      <c r="B1910" s="1" t="str">
        <f ca="1">IFERROR(__xludf.DUMMYFUNCTION("""COMPUTED_VALUE"""),"felixmosesmakola@gmail.com")</f>
        <v>felixmosesmakola@gmail.com</v>
      </c>
      <c r="C1910" s="9" t="str">
        <f ca="1">IFERROR(__xludf.DUMMYFUNCTION("""COMPUTED_VALUE"""),"EVERGREEN - Website Email Capture Form - UAN Pre-Footer")</f>
        <v>EVERGREEN - Website Email Capture Form - UAN Pre-Footer</v>
      </c>
      <c r="D1910" s="10">
        <f ca="1">IFERROR(__xludf.DUMMYFUNCTION("""COMPUTED_VALUE"""),45678)</f>
        <v>45678</v>
      </c>
      <c r="E1910" s="1" t="str">
        <f ca="1">IFERROR(__xludf.DUMMYFUNCTION("""COMPUTED_VALUE"""),"Tunisia")</f>
        <v>Tunisia</v>
      </c>
      <c r="F1910" s="1" t="str">
        <f ca="1">IFERROR(__xludf.DUMMYFUNCTION("""COMPUTED_VALUE"""),"106.24 China")</f>
        <v>106.24 China</v>
      </c>
      <c r="G1910" s="1" t="str">
        <f ca="1">IFERROR(__xludf.DUMMYFUNCTION("""COMPUTED_VALUE"""),"Freedom of Expression, Individuals At Risk")</f>
        <v>Freedom of Expression, Individuals At Risk</v>
      </c>
      <c r="H1910" s="1" t="str">
        <f ca="1">IFERROR(__xludf.DUMMYFUNCTION("""COMPUTED_VALUE"""),"2024")</f>
        <v>2024</v>
      </c>
      <c r="I1910" s="1" t="str">
        <f ca="1">IFERROR(__xludf.DUMMYFUNCTION("""COMPUTED_VALUE"""),"Email")</f>
        <v>Email</v>
      </c>
    </row>
    <row r="1911" spans="1:9" ht="13" x14ac:dyDescent="0.15">
      <c r="A1911" s="9">
        <f ca="1">IFERROR(__xludf.DUMMYFUNCTION("""COMPUTED_VALUE"""),254345406)</f>
        <v>254345406</v>
      </c>
      <c r="B1911" s="1" t="str">
        <f ca="1">IFERROR(__xludf.DUMMYFUNCTION("""COMPUTED_VALUE"""),"davidabrunetti1@gmail.com")</f>
        <v>davidabrunetti1@gmail.com</v>
      </c>
      <c r="C1911" s="9" t="str">
        <f ca="1">IFERROR(__xludf.DUMMYFUNCTION("""COMPUTED_VALUE"""),"EVERGREEN - UAN Gated Content - Embedded Petition")</f>
        <v>EVERGREEN - UAN Gated Content - Embedded Petition</v>
      </c>
      <c r="D1911" s="10">
        <f ca="1">IFERROR(__xludf.DUMMYFUNCTION("""COMPUTED_VALUE"""),45672)</f>
        <v>45672</v>
      </c>
      <c r="E1911" s="1" t="str">
        <f ca="1">IFERROR(__xludf.DUMMYFUNCTION("""COMPUTED_VALUE"""),"China")</f>
        <v>China</v>
      </c>
      <c r="F1911" s="1" t="str">
        <f ca="1">IFERROR(__xludf.DUMMYFUNCTION("""COMPUTED_VALUE"""),"107.24 Singapore")</f>
        <v>107.24 Singapore</v>
      </c>
      <c r="G1911" s="1" t="str">
        <f ca="1">IFERROR(__xludf.DUMMYFUNCTION("""COMPUTED_VALUE"""),"Death Penalty")</f>
        <v>Death Penalty</v>
      </c>
      <c r="H1911" s="1" t="str">
        <f ca="1">IFERROR(__xludf.DUMMYFUNCTION("""COMPUTED_VALUE"""),"2024")</f>
        <v>2024</v>
      </c>
      <c r="I1911" s="1" t="str">
        <f ca="1">IFERROR(__xludf.DUMMYFUNCTION("""COMPUTED_VALUE"""),"Email")</f>
        <v>Email</v>
      </c>
    </row>
    <row r="1912" spans="1:9" ht="13" x14ac:dyDescent="0.15">
      <c r="A1912" s="9">
        <f ca="1">IFERROR(__xludf.DUMMYFUNCTION("""COMPUTED_VALUE"""),254345406)</f>
        <v>254345406</v>
      </c>
      <c r="B1912" s="1" t="str">
        <f ca="1">IFERROR(__xludf.DUMMYFUNCTION("""COMPUTED_VALUE"""),"davidabrunetti1@gmail.com")</f>
        <v>davidabrunetti1@gmail.com</v>
      </c>
      <c r="C1912" s="9" t="str">
        <f ca="1">IFERROR(__xludf.DUMMYFUNCTION("""COMPUTED_VALUE"""),"EVERGREEN - UAN Gated Content - Embedded Petition")</f>
        <v>EVERGREEN - UAN Gated Content - Embedded Petition</v>
      </c>
      <c r="D1912" s="10">
        <f ca="1">IFERROR(__xludf.DUMMYFUNCTION("""COMPUTED_VALUE"""),45672)</f>
        <v>45672</v>
      </c>
      <c r="E1912" s="1" t="str">
        <f ca="1">IFERROR(__xludf.DUMMYFUNCTION("""COMPUTED_VALUE"""),"Singapore")</f>
        <v>Singapore</v>
      </c>
      <c r="F1912" s="1" t="str">
        <f ca="1">IFERROR(__xludf.DUMMYFUNCTION("""COMPUTED_VALUE"""),"Fourth 29.23 Egypt")</f>
        <v>Fourth 29.23 Egypt</v>
      </c>
      <c r="G1912" s="1" t="str">
        <f ca="1">IFERROR(__xludf.DUMMYFUNCTION("""COMPUTED_VALUE"""),"Freedom of Expression, Individuals At Risk, Right to Protest")</f>
        <v>Freedom of Expression, Individuals At Risk, Right to Protest</v>
      </c>
      <c r="H1912" s="1" t="str">
        <f ca="1">IFERROR(__xludf.DUMMYFUNCTION("""COMPUTED_VALUE"""),"2024")</f>
        <v>2024</v>
      </c>
      <c r="I1912" s="1" t="str">
        <f ca="1">IFERROR(__xludf.DUMMYFUNCTION("""COMPUTED_VALUE"""),"Email")</f>
        <v>Email</v>
      </c>
    </row>
    <row r="1913" spans="1:9" ht="13" x14ac:dyDescent="0.15">
      <c r="A1913" s="9">
        <f ca="1">IFERROR(__xludf.DUMMYFUNCTION("""COMPUTED_VALUE"""),254475090)</f>
        <v>254475090</v>
      </c>
      <c r="B1913" s="1" t="str">
        <f ca="1">IFERROR(__xludf.DUMMYFUNCTION("""COMPUTED_VALUE"""),"leesds1984@gmail.com")</f>
        <v>leesds1984@gmail.com</v>
      </c>
      <c r="C1913" s="9" t="str">
        <f ca="1">IFERROR(__xludf.DUMMYFUNCTION("""COMPUTED_VALUE"""),"EVERGREEN - UAN Gated Content - Embedded Petition")</f>
        <v>EVERGREEN - UAN Gated Content - Embedded Petition</v>
      </c>
      <c r="D1913" s="10">
        <f ca="1">IFERROR(__xludf.DUMMYFUNCTION("""COMPUTED_VALUE"""),45694)</f>
        <v>45694</v>
      </c>
      <c r="E1913" s="1" t="str">
        <f ca="1">IFERROR(__xludf.DUMMYFUNCTION("""COMPUTED_VALUE"""),"Egypt")</f>
        <v>Egypt</v>
      </c>
      <c r="F1913" s="1" t="str">
        <f ca="1">IFERROR(__xludf.DUMMYFUNCTION("""COMPUTED_VALUE"""),"100.24 Uganda")</f>
        <v>100.24 Uganda</v>
      </c>
      <c r="G1913" s="1" t="str">
        <f ca="1">IFERROR(__xludf.DUMMYFUNCTION("""COMPUTED_VALUE"""),"Freedom of Expression")</f>
        <v>Freedom of Expression</v>
      </c>
      <c r="H1913" s="1" t="str">
        <f ca="1">IFERROR(__xludf.DUMMYFUNCTION("""COMPUTED_VALUE"""),"2024")</f>
        <v>2024</v>
      </c>
      <c r="I1913" s="1" t="str">
        <f ca="1">IFERROR(__xludf.DUMMYFUNCTION("""COMPUTED_VALUE"""),"Email")</f>
        <v>Email</v>
      </c>
    </row>
    <row r="1914" spans="1:9" ht="13" x14ac:dyDescent="0.15">
      <c r="A1914" s="9">
        <f ca="1">IFERROR(__xludf.DUMMYFUNCTION("""COMPUTED_VALUE"""),254561071)</f>
        <v>254561071</v>
      </c>
      <c r="B1914" s="1" t="str">
        <f ca="1">IFERROR(__xludf.DUMMYFUNCTION("""COMPUTED_VALUE"""),"annafrogacki@gmail.com")</f>
        <v>annafrogacki@gmail.com</v>
      </c>
      <c r="C1914" s="9" t="str">
        <f ca="1">IFERROR(__xludf.DUMMYFUNCTION("""COMPUTED_VALUE"""),"EVERGREEN - UAN Gated Content - Embedded Petition")</f>
        <v>EVERGREEN - UAN Gated Content - Embedded Petition</v>
      </c>
      <c r="D1914" s="10">
        <f ca="1">IFERROR(__xludf.DUMMYFUNCTION("""COMPUTED_VALUE"""),45680)</f>
        <v>45680</v>
      </c>
      <c r="E1914" s="1" t="str">
        <f ca="1">IFERROR(__xludf.DUMMYFUNCTION("""COMPUTED_VALUE"""),"Uganda")</f>
        <v>Uganda</v>
      </c>
      <c r="F1914" s="1" t="str">
        <f ca="1">IFERROR(__xludf.DUMMYFUNCTION("""COMPUTED_VALUE"""),"101.24 Iran")</f>
        <v>101.24 Iran</v>
      </c>
      <c r="G1914" s="1" t="str">
        <f ca="1">IFERROR(__xludf.DUMMYFUNCTION("""COMPUTED_VALUE"""),"Death Penalty, Freedom of Expression, Individuals At Risk, Right to Protest")</f>
        <v>Death Penalty, Freedom of Expression, Individuals At Risk, Right to Protest</v>
      </c>
      <c r="H1914" s="1" t="str">
        <f ca="1">IFERROR(__xludf.DUMMYFUNCTION("""COMPUTED_VALUE"""),"2024")</f>
        <v>2024</v>
      </c>
      <c r="I1914" s="1" t="str">
        <f ca="1">IFERROR(__xludf.DUMMYFUNCTION("""COMPUTED_VALUE"""),"Email")</f>
        <v>Email</v>
      </c>
    </row>
    <row r="1915" spans="1:9" ht="13" x14ac:dyDescent="0.15">
      <c r="A1915" s="9">
        <f ca="1">IFERROR(__xludf.DUMMYFUNCTION("""COMPUTED_VALUE"""),255094705)</f>
        <v>255094705</v>
      </c>
      <c r="B1915" s="1" t="str">
        <f ca="1">IFERROR(__xludf.DUMMYFUNCTION("""COMPUTED_VALUE"""),"karen@cielo-clan.com")</f>
        <v>karen@cielo-clan.com</v>
      </c>
      <c r="C1915" s="9" t="str">
        <f ca="1">IFERROR(__xludf.DUMMYFUNCTION("""COMPUTED_VALUE"""),"EVERGREEN - UAN Gated Content - Embedded Petition")</f>
        <v>EVERGREEN - UAN Gated Content - Embedded Petition</v>
      </c>
      <c r="D1915" s="10">
        <f ca="1">IFERROR(__xludf.DUMMYFUNCTION("""COMPUTED_VALUE"""),45689)</f>
        <v>45689</v>
      </c>
      <c r="E1915" s="1" t="str">
        <f ca="1">IFERROR(__xludf.DUMMYFUNCTION("""COMPUTED_VALUE"""),"Iran")</f>
        <v>Iran</v>
      </c>
      <c r="F1915" s="1" t="str">
        <f ca="1">IFERROR(__xludf.DUMMYFUNCTION("""COMPUTED_VALUE"""),"98.24 China")</f>
        <v>98.24 China</v>
      </c>
      <c r="G1915" s="1" t="str">
        <f ca="1">IFERROR(__xludf.DUMMYFUNCTION("""COMPUTED_VALUE"""),"Freedom of Expression, Individuals At Risk")</f>
        <v>Freedom of Expression, Individuals At Risk</v>
      </c>
      <c r="H1915" s="1" t="str">
        <f ca="1">IFERROR(__xludf.DUMMYFUNCTION("""COMPUTED_VALUE"""),"2024")</f>
        <v>2024</v>
      </c>
      <c r="I1915" s="1" t="str">
        <f ca="1">IFERROR(__xludf.DUMMYFUNCTION("""COMPUTED_VALUE"""),"Letter")</f>
        <v>Letter</v>
      </c>
    </row>
    <row r="1916" spans="1:9" ht="13" x14ac:dyDescent="0.15">
      <c r="A1916" s="9">
        <f ca="1">IFERROR(__xludf.DUMMYFUNCTION("""COMPUTED_VALUE"""),255480793)</f>
        <v>255480793</v>
      </c>
      <c r="B1916" s="1" t="str">
        <f ca="1">IFERROR(__xludf.DUMMYFUNCTION("""COMPUTED_VALUE"""),"dianepaul475@gmail.com")</f>
        <v>dianepaul475@gmail.com</v>
      </c>
      <c r="C1916" s="9" t="str">
        <f ca="1">IFERROR(__xludf.DUMMYFUNCTION("""COMPUTED_VALUE"""),"EVERGREEN - UAN Gated Content - Embedded Petition")</f>
        <v>EVERGREEN - UAN Gated Content - Embedded Petition</v>
      </c>
      <c r="D1916" s="10">
        <f ca="1">IFERROR(__xludf.DUMMYFUNCTION("""COMPUTED_VALUE"""),45638)</f>
        <v>45638</v>
      </c>
      <c r="E1916" s="1" t="str">
        <f ca="1">IFERROR(__xludf.DUMMYFUNCTION("""COMPUTED_VALUE"""),"China")</f>
        <v>China</v>
      </c>
      <c r="F1916" s="1" t="str">
        <f ca="1">IFERROR(__xludf.DUMMYFUNCTION("""COMPUTED_VALUE"""),"Ninth 190.18 Egypt")</f>
        <v>Ninth 190.18 Egypt</v>
      </c>
      <c r="G1916" s="1" t="str">
        <f ca="1">IFERROR(__xludf.DUMMYFUNCTION("""COMPUTED_VALUE"""),"Freedom of Expression, Individuals At Risk")</f>
        <v>Freedom of Expression, Individuals At Risk</v>
      </c>
      <c r="H1916" s="1" t="str">
        <f ca="1">IFERROR(__xludf.DUMMYFUNCTION("""COMPUTED_VALUE"""),"2024")</f>
        <v>2024</v>
      </c>
      <c r="I1916" s="1" t="str">
        <f ca="1">IFERROR(__xludf.DUMMYFUNCTION("""COMPUTED_VALUE"""),"Letter")</f>
        <v>Letter</v>
      </c>
    </row>
    <row r="1917" spans="1:9" ht="13" x14ac:dyDescent="0.15">
      <c r="A1917" s="9">
        <f ca="1">IFERROR(__xludf.DUMMYFUNCTION("""COMPUTED_VALUE"""),255647411)</f>
        <v>255647411</v>
      </c>
      <c r="B1917" s="1" t="str">
        <f ca="1">IFERROR(__xludf.DUMMYFUNCTION("""COMPUTED_VALUE"""),"bryan@4sitestudios.com")</f>
        <v>bryan@4sitestudios.com</v>
      </c>
      <c r="C1917" s="9" t="str">
        <f ca="1">IFERROR(__xludf.DUMMYFUNCTION("""COMPUTED_VALUE"""),"EVERGREEN - UAN Gated Content - Embedded Petition")</f>
        <v>EVERGREEN - UAN Gated Content - Embedded Petition</v>
      </c>
      <c r="D1917" s="10">
        <f ca="1">IFERROR(__xludf.DUMMYFUNCTION("""COMPUTED_VALUE"""),45497)</f>
        <v>45497</v>
      </c>
      <c r="E1917" s="1" t="str">
        <f ca="1">IFERROR(__xludf.DUMMYFUNCTION("""COMPUTED_VALUE"""),"Egypt")</f>
        <v>Egypt</v>
      </c>
      <c r="F1917" s="1" t="str">
        <f ca="1">IFERROR(__xludf.DUMMYFUNCTION("""COMPUTED_VALUE"""),"Second 85.23 Saudi Arabia")</f>
        <v>Second 85.23 Saudi Arabia</v>
      </c>
      <c r="G1917" s="1" t="str">
        <f ca="1">IFERROR(__xludf.DUMMYFUNCTION("""COMPUTED_VALUE"""),"Freedom of Expression")</f>
        <v>Freedom of Expression</v>
      </c>
      <c r="H1917" s="1" t="str">
        <f ca="1">IFERROR(__xludf.DUMMYFUNCTION("""COMPUTED_VALUE"""),"2024")</f>
        <v>2024</v>
      </c>
      <c r="I1917" s="1" t="str">
        <f ca="1">IFERROR(__xludf.DUMMYFUNCTION("""COMPUTED_VALUE"""),"Letter")</f>
        <v>Letter</v>
      </c>
    </row>
    <row r="1918" spans="1:9" ht="13" x14ac:dyDescent="0.15">
      <c r="A1918" s="9">
        <f ca="1">IFERROR(__xludf.DUMMYFUNCTION("""COMPUTED_VALUE"""),255647411)</f>
        <v>255647411</v>
      </c>
      <c r="B1918" s="1" t="str">
        <f ca="1">IFERROR(__xludf.DUMMYFUNCTION("""COMPUTED_VALUE"""),"bryan@4sitestudios.com")</f>
        <v>bryan@4sitestudios.com</v>
      </c>
      <c r="C1918" s="9" t="str">
        <f ca="1">IFERROR(__xludf.DUMMYFUNCTION("""COMPUTED_VALUE"""),"EVERGREEN - UAN Gated Content - Embedded Petition")</f>
        <v>EVERGREEN - UAN Gated Content - Embedded Petition</v>
      </c>
      <c r="D1918" s="10">
        <f ca="1">IFERROR(__xludf.DUMMYFUNCTION("""COMPUTED_VALUE"""),45497)</f>
        <v>45497</v>
      </c>
      <c r="E1918" s="1" t="str">
        <f ca="1">IFERROR(__xludf.DUMMYFUNCTION("""COMPUTED_VALUE"""),"Saudi Arabia")</f>
        <v>Saudi Arabia</v>
      </c>
      <c r="F1918" s="1" t="str">
        <f ca="1">IFERROR(__xludf.DUMMYFUNCTION("""COMPUTED_VALUE"""),"Second 85.24 Honduras")</f>
        <v>Second 85.24 Honduras</v>
      </c>
      <c r="G1918" s="1" t="str">
        <f ca="1">IFERROR(__xludf.DUMMYFUNCTION("""COMPUTED_VALUE"""),"Climate Justice, Human Rights Defenders, Right to Protest")</f>
        <v>Climate Justice, Human Rights Defenders, Right to Protest</v>
      </c>
      <c r="H1918" s="1" t="str">
        <f ca="1">IFERROR(__xludf.DUMMYFUNCTION("""COMPUTED_VALUE"""),"2024")</f>
        <v>2024</v>
      </c>
      <c r="I1918" s="1" t="str">
        <f ca="1">IFERROR(__xludf.DUMMYFUNCTION("""COMPUTED_VALUE"""),"Email")</f>
        <v>Email</v>
      </c>
    </row>
    <row r="1919" spans="1:9" ht="13" x14ac:dyDescent="0.15">
      <c r="A1919" s="9">
        <f ca="1">IFERROR(__xludf.DUMMYFUNCTION("""COMPUTED_VALUE"""),255647411)</f>
        <v>255647411</v>
      </c>
      <c r="B1919" s="1" t="str">
        <f ca="1">IFERROR(__xludf.DUMMYFUNCTION("""COMPUTED_VALUE"""),"bryan@4sitestudios.com")</f>
        <v>bryan@4sitestudios.com</v>
      </c>
      <c r="C1919" s="9" t="str">
        <f ca="1">IFERROR(__xludf.DUMMYFUNCTION("""COMPUTED_VALUE"""),"EVERGREEN - UAN Gated Content - Embedded Petition")</f>
        <v>EVERGREEN - UAN Gated Content - Embedded Petition</v>
      </c>
      <c r="D1919" s="10">
        <f ca="1">IFERROR(__xludf.DUMMYFUNCTION("""COMPUTED_VALUE"""),45497)</f>
        <v>45497</v>
      </c>
      <c r="E1919" s="1" t="str">
        <f ca="1">IFERROR(__xludf.DUMMYFUNCTION("""COMPUTED_VALUE"""),"Honduras")</f>
        <v>Honduras</v>
      </c>
      <c r="F1919" s="1" t="str">
        <f ca="1">IFERROR(__xludf.DUMMYFUNCTION("""COMPUTED_VALUE"""),"92.24 Mexico")</f>
        <v>92.24 Mexico</v>
      </c>
      <c r="G1919" s="1" t="str">
        <f ca="1">IFERROR(__xludf.DUMMYFUNCTION("""COMPUTED_VALUE"""),"Human Rights Defenders")</f>
        <v>Human Rights Defenders</v>
      </c>
      <c r="H1919" s="1" t="str">
        <f ca="1">IFERROR(__xludf.DUMMYFUNCTION("""COMPUTED_VALUE"""),"2024")</f>
        <v>2024</v>
      </c>
      <c r="I1919" s="1" t="str">
        <f ca="1">IFERROR(__xludf.DUMMYFUNCTION("""COMPUTED_VALUE"""),"Email")</f>
        <v>Email</v>
      </c>
    </row>
    <row r="1920" spans="1:9" ht="13" x14ac:dyDescent="0.15">
      <c r="A1920" s="9">
        <f ca="1">IFERROR(__xludf.DUMMYFUNCTION("""COMPUTED_VALUE"""),255647411)</f>
        <v>255647411</v>
      </c>
      <c r="B1920" s="1" t="str">
        <f ca="1">IFERROR(__xludf.DUMMYFUNCTION("""COMPUTED_VALUE"""),"bryan@4sitestudios.com")</f>
        <v>bryan@4sitestudios.com</v>
      </c>
      <c r="C1920" s="9" t="str">
        <f ca="1">IFERROR(__xludf.DUMMYFUNCTION("""COMPUTED_VALUE"""),"EVERGREEN - UAN Gated Content - Embedded Petition")</f>
        <v>EVERGREEN - UAN Gated Content - Embedded Petition</v>
      </c>
      <c r="D1920" s="10">
        <f ca="1">IFERROR(__xludf.DUMMYFUNCTION("""COMPUTED_VALUE"""),45497)</f>
        <v>45497</v>
      </c>
      <c r="E1920" s="1" t="str">
        <f ca="1">IFERROR(__xludf.DUMMYFUNCTION("""COMPUTED_VALUE"""),"Mexico")</f>
        <v>Mexico</v>
      </c>
      <c r="F1920" s="1" t="str">
        <f ca="1">IFERROR(__xludf.DUMMYFUNCTION("""COMPUTED_VALUE"""),"Fifth 257.12")</f>
        <v>Fifth 257.12</v>
      </c>
      <c r="G1920" s="1" t="str">
        <f ca="1">IFERROR(__xludf.DUMMYFUNCTION("""COMPUTED_VALUE"""),"Freedom of Expression, Human Rights Defenders")</f>
        <v>Freedom of Expression, Human Rights Defenders</v>
      </c>
      <c r="H1920" s="1" t="str">
        <f ca="1">IFERROR(__xludf.DUMMYFUNCTION("""COMPUTED_VALUE"""),"2025")</f>
        <v>2025</v>
      </c>
      <c r="I1920" s="1" t="str">
        <f ca="1">IFERROR(__xludf.DUMMYFUNCTION("""COMPUTED_VALUE"""),"Email")</f>
        <v>Email</v>
      </c>
    </row>
    <row r="1921" spans="1:9" ht="13" x14ac:dyDescent="0.15">
      <c r="A1921" s="9">
        <f ca="1">IFERROR(__xludf.DUMMYFUNCTION("""COMPUTED_VALUE"""),255647411)</f>
        <v>255647411</v>
      </c>
      <c r="B1921" s="1" t="str">
        <f ca="1">IFERROR(__xludf.DUMMYFUNCTION("""COMPUTED_VALUE"""),"bryan@4sitestudios.com")</f>
        <v>bryan@4sitestudios.com</v>
      </c>
      <c r="C1921" s="9" t="str">
        <f ca="1">IFERROR(__xludf.DUMMYFUNCTION("""COMPUTED_VALUE"""),"EVERGREEN - UAN Gated Content - Embedded Petition")</f>
        <v>EVERGREEN - UAN Gated Content - Embedded Petition</v>
      </c>
      <c r="D1921" s="10">
        <f ca="1">IFERROR(__xludf.DUMMYFUNCTION("""COMPUTED_VALUE"""),45495)</f>
        <v>45495</v>
      </c>
      <c r="E1921" s="1" t="str">
        <f ca="1">IFERROR(__xludf.DUMMYFUNCTION("""COMPUTED_VALUE"""),"Saudi Arabia")</f>
        <v>Saudi Arabia</v>
      </c>
      <c r="F1921" s="1" t="str">
        <f ca="1">IFERROR(__xludf.DUMMYFUNCTION("""COMPUTED_VALUE"""),"11.25 Afghanistan")</f>
        <v>11.25 Afghanistan</v>
      </c>
      <c r="G1921" s="1" t="str">
        <f ca="1">IFERROR(__xludf.DUMMYFUNCTION("""COMPUTED_VALUE"""),"Freedom of Expression, Health, Individuals At Risk")</f>
        <v>Freedom of Expression, Health, Individuals At Risk</v>
      </c>
      <c r="H1921" s="1" t="str">
        <f ca="1">IFERROR(__xludf.DUMMYFUNCTION("""COMPUTED_VALUE"""),"2025")</f>
        <v>2025</v>
      </c>
      <c r="I1921" s="1" t="str">
        <f ca="1">IFERROR(__xludf.DUMMYFUNCTION("""COMPUTED_VALUE"""),"Email")</f>
        <v>Email</v>
      </c>
    </row>
    <row r="1922" spans="1:9" ht="13" x14ac:dyDescent="0.15">
      <c r="A1922" s="9">
        <f ca="1">IFERROR(__xludf.DUMMYFUNCTION("""COMPUTED_VALUE"""),255647411)</f>
        <v>255647411</v>
      </c>
      <c r="B1922" s="1" t="str">
        <f ca="1">IFERROR(__xludf.DUMMYFUNCTION("""COMPUTED_VALUE"""),"bryan@4sitestudios.com")</f>
        <v>bryan@4sitestudios.com</v>
      </c>
      <c r="C1922" s="9" t="str">
        <f ca="1">IFERROR(__xludf.DUMMYFUNCTION("""COMPUTED_VALUE"""),"EVERGREEN - UAN Gated Content - Embedded Petition")</f>
        <v>EVERGREEN - UAN Gated Content - Embedded Petition</v>
      </c>
      <c r="D1922" s="10">
        <f ca="1">IFERROR(__xludf.DUMMYFUNCTION("""COMPUTED_VALUE"""),45497)</f>
        <v>45497</v>
      </c>
      <c r="E1922" s="1" t="str">
        <f ca="1">IFERROR(__xludf.DUMMYFUNCTION("""COMPUTED_VALUE"""),"Afghanistan")</f>
        <v>Afghanistan</v>
      </c>
      <c r="F1922" s="1" t="str">
        <f ca="1">IFERROR(__xludf.DUMMYFUNCTION("""COMPUTED_VALUE"""),"12.25 Libya")</f>
        <v>12.25 Libya</v>
      </c>
      <c r="G1922" s="1" t="str">
        <f ca="1">IFERROR(__xludf.DUMMYFUNCTION("""COMPUTED_VALUE"""),"Freedom of Expression, Health, Individuals At Risk")</f>
        <v>Freedom of Expression, Health, Individuals At Risk</v>
      </c>
      <c r="H1922" s="1" t="str">
        <f ca="1">IFERROR(__xludf.DUMMYFUNCTION("""COMPUTED_VALUE"""),"2025")</f>
        <v>2025</v>
      </c>
      <c r="I1922" s="1" t="str">
        <f ca="1">IFERROR(__xludf.DUMMYFUNCTION("""COMPUTED_VALUE"""),"Email")</f>
        <v>Email</v>
      </c>
    </row>
    <row r="1923" spans="1:9" ht="13" x14ac:dyDescent="0.15">
      <c r="A1923" s="9">
        <f ca="1">IFERROR(__xludf.DUMMYFUNCTION("""COMPUTED_VALUE"""),255647411)</f>
        <v>255647411</v>
      </c>
      <c r="B1923" s="1" t="str">
        <f ca="1">IFERROR(__xludf.DUMMYFUNCTION("""COMPUTED_VALUE"""),"bryan@4sitestudios.com")</f>
        <v>bryan@4sitestudios.com</v>
      </c>
      <c r="C1923" s="9" t="str">
        <f ca="1">IFERROR(__xludf.DUMMYFUNCTION("""COMPUTED_VALUE"""),"EVERGREEN - UAN Gated Content - Embedded Petition")</f>
        <v>EVERGREEN - UAN Gated Content - Embedded Petition</v>
      </c>
      <c r="D1923" s="10">
        <f ca="1">IFERROR(__xludf.DUMMYFUNCTION("""COMPUTED_VALUE"""),45495)</f>
        <v>45495</v>
      </c>
      <c r="E1923" s="1" t="str">
        <f ca="1">IFERROR(__xludf.DUMMYFUNCTION("""COMPUTED_VALUE"""),"Libya")</f>
        <v>Libya</v>
      </c>
      <c r="F1923" s="1" t="str">
        <f ca="1">IFERROR(__xludf.DUMMYFUNCTION("""COMPUTED_VALUE"""),"Second 80.23 Egypt")</f>
        <v>Second 80.23 Egypt</v>
      </c>
      <c r="G1923" s="1" t="str">
        <f ca="1">IFERROR(__xludf.DUMMYFUNCTION("""COMPUTED_VALUE"""),"Health, Individuals At Risk")</f>
        <v>Health, Individuals At Risk</v>
      </c>
      <c r="H1923" s="1" t="str">
        <f ca="1">IFERROR(__xludf.DUMMYFUNCTION("""COMPUTED_VALUE"""),"2025")</f>
        <v>2025</v>
      </c>
      <c r="I1923" s="1" t="str">
        <f ca="1">IFERROR(__xludf.DUMMYFUNCTION("""COMPUTED_VALUE"""),"Email")</f>
        <v>Email</v>
      </c>
    </row>
    <row r="1924" spans="1:9" ht="13" x14ac:dyDescent="0.15">
      <c r="A1924" s="9">
        <f ca="1">IFERROR(__xludf.DUMMYFUNCTION("""COMPUTED_VALUE"""),255647411)</f>
        <v>255647411</v>
      </c>
      <c r="B1924" s="1" t="str">
        <f ca="1">IFERROR(__xludf.DUMMYFUNCTION("""COMPUTED_VALUE"""),"bryan@4sitestudios.com")</f>
        <v>bryan@4sitestudios.com</v>
      </c>
      <c r="C1924" s="9" t="str">
        <f ca="1">IFERROR(__xludf.DUMMYFUNCTION("""COMPUTED_VALUE"""),"EVERGREEN - UAN Gated Content - Embedded Petition")</f>
        <v>EVERGREEN - UAN Gated Content - Embedded Petition</v>
      </c>
      <c r="D1924" s="10">
        <f ca="1">IFERROR(__xludf.DUMMYFUNCTION("""COMPUTED_VALUE"""),45496)</f>
        <v>45496</v>
      </c>
      <c r="E1924" s="1" t="str">
        <f ca="1">IFERROR(__xludf.DUMMYFUNCTION("""COMPUTED_VALUE"""),"Egypt")</f>
        <v>Egypt</v>
      </c>
      <c r="F1924" s="1" t="str">
        <f ca="1">IFERROR(__xludf.DUMMYFUNCTION("""COMPUTED_VALUE"""),"10.25 Iran")</f>
        <v>10.25 Iran</v>
      </c>
      <c r="G1924" s="1" t="str">
        <f ca="1">IFERROR(__xludf.DUMMYFUNCTION("""COMPUTED_VALUE"""),"Death Penalty, Individuals At Risk")</f>
        <v>Death Penalty, Individuals At Risk</v>
      </c>
      <c r="H1924" s="1" t="str">
        <f ca="1">IFERROR(__xludf.DUMMYFUNCTION("""COMPUTED_VALUE"""),"2025")</f>
        <v>2025</v>
      </c>
      <c r="I1924" s="1" t="str">
        <f ca="1">IFERROR(__xludf.DUMMYFUNCTION("""COMPUTED_VALUE"""),"Email")</f>
        <v>Email</v>
      </c>
    </row>
    <row r="1925" spans="1:9" ht="13" x14ac:dyDescent="0.15">
      <c r="A1925" s="9">
        <f ca="1">IFERROR(__xludf.DUMMYFUNCTION("""COMPUTED_VALUE"""),255647411)</f>
        <v>255647411</v>
      </c>
      <c r="B1925" s="1" t="str">
        <f ca="1">IFERROR(__xludf.DUMMYFUNCTION("""COMPUTED_VALUE"""),"bryan@4sitestudios.com")</f>
        <v>bryan@4sitestudios.com</v>
      </c>
      <c r="C1925" s="9" t="str">
        <f ca="1">IFERROR(__xludf.DUMMYFUNCTION("""COMPUTED_VALUE"""),"EVERGREEN - UAN Gated Content - Embedded Petition")</f>
        <v>EVERGREEN - UAN Gated Content - Embedded Petition</v>
      </c>
      <c r="D1925" s="10">
        <f ca="1">IFERROR(__xludf.DUMMYFUNCTION("""COMPUTED_VALUE"""),45567)</f>
        <v>45567</v>
      </c>
      <c r="E1925" s="1" t="str">
        <f ca="1">IFERROR(__xludf.DUMMYFUNCTION("""COMPUTED_VALUE"""),"Iran")</f>
        <v>Iran</v>
      </c>
      <c r="F1925" s="1" t="str">
        <f ca="1">IFERROR(__xludf.DUMMYFUNCTION("""COMPUTED_VALUE"""),"88.24 Dominican Republic")</f>
        <v>88.24 Dominican Republic</v>
      </c>
      <c r="G1925" s="1" t="str">
        <f ca="1">IFERROR(__xludf.DUMMYFUNCTION("""COMPUTED_VALUE"""),"Individuals At Risk, Refugee and Migrant Rights")</f>
        <v>Individuals At Risk, Refugee and Migrant Rights</v>
      </c>
      <c r="H1925" s="1" t="str">
        <f ca="1">IFERROR(__xludf.DUMMYFUNCTION("""COMPUTED_VALUE"""),"2024")</f>
        <v>2024</v>
      </c>
      <c r="I1925" s="1" t="str">
        <f ca="1">IFERROR(__xludf.DUMMYFUNCTION("""COMPUTED_VALUE"""),"Letter")</f>
        <v>Letter</v>
      </c>
    </row>
    <row r="1926" spans="1:9" ht="13" x14ac:dyDescent="0.15">
      <c r="A1926" s="9">
        <f ca="1">IFERROR(__xludf.DUMMYFUNCTION("""COMPUTED_VALUE"""),255647411)</f>
        <v>255647411</v>
      </c>
      <c r="B1926" s="1" t="str">
        <f ca="1">IFERROR(__xludf.DUMMYFUNCTION("""COMPUTED_VALUE"""),"bryan@4sitestudios.com")</f>
        <v>bryan@4sitestudios.com</v>
      </c>
      <c r="C1926" s="9" t="str">
        <f ca="1">IFERROR(__xludf.DUMMYFUNCTION("""COMPUTED_VALUE"""),"EVERGREEN - UAN Gated Content - Embedded Petition")</f>
        <v>EVERGREEN - UAN Gated Content - Embedded Petition</v>
      </c>
      <c r="D1926" s="10">
        <f ca="1">IFERROR(__xludf.DUMMYFUNCTION("""COMPUTED_VALUE"""),45496)</f>
        <v>45496</v>
      </c>
      <c r="E1926" s="1" t="str">
        <f ca="1">IFERROR(__xludf.DUMMYFUNCTION("""COMPUTED_VALUE"""),"Dominican Republic")</f>
        <v>Dominican Republic</v>
      </c>
      <c r="F1926" s="1" t="str">
        <f ca="1">IFERROR(__xludf.DUMMYFUNCTION("""COMPUTED_VALUE"""),"4.25 USA")</f>
        <v>4.25 USA</v>
      </c>
      <c r="G1926" s="1" t="str">
        <f ca="1">IFERROR(__xludf.DUMMYFUNCTION("""COMPUTED_VALUE"""),"Individuals At Risk, Refugee and Migrant Rights")</f>
        <v>Individuals At Risk, Refugee and Migrant Rights</v>
      </c>
      <c r="H1926" s="1" t="str">
        <f ca="1">IFERROR(__xludf.DUMMYFUNCTION("""COMPUTED_VALUE"""),"2025")</f>
        <v>2025</v>
      </c>
      <c r="I1926" s="1" t="str">
        <f ca="1">IFERROR(__xludf.DUMMYFUNCTION("""COMPUTED_VALUE"""),"Letter")</f>
        <v>Letter</v>
      </c>
    </row>
    <row r="1927" spans="1:9" ht="13" x14ac:dyDescent="0.15">
      <c r="A1927" s="9">
        <f ca="1">IFERROR(__xludf.DUMMYFUNCTION("""COMPUTED_VALUE"""),255647411)</f>
        <v>255647411</v>
      </c>
      <c r="B1927" s="1" t="str">
        <f ca="1">IFERROR(__xludf.DUMMYFUNCTION("""COMPUTED_VALUE"""),"bryan@4sitestudios.com")</f>
        <v>bryan@4sitestudios.com</v>
      </c>
      <c r="C1927" s="9" t="str">
        <f ca="1">IFERROR(__xludf.DUMMYFUNCTION("""COMPUTED_VALUE"""),"EVERGREEN - UAN Gated Content - Embedded Petition")</f>
        <v>EVERGREEN - UAN Gated Content - Embedded Petition</v>
      </c>
      <c r="D1927" s="10">
        <f ca="1">IFERROR(__xludf.DUMMYFUNCTION("""COMPUTED_VALUE"""),45496)</f>
        <v>45496</v>
      </c>
      <c r="E1927" s="1" t="str">
        <f ca="1">IFERROR(__xludf.DUMMYFUNCTION("""COMPUTED_VALUE"""),"USA")</f>
        <v>USA</v>
      </c>
      <c r="F1927" s="1" t="str">
        <f ca="1">IFERROR(__xludf.DUMMYFUNCTION("""COMPUTED_VALUE"""),"3.25 IOPT")</f>
        <v>3.25 IOPT</v>
      </c>
      <c r="G1927" s="1" t="str">
        <f ca="1">IFERROR(__xludf.DUMMYFUNCTION("""COMPUTED_VALUE"""),"Freedom of Expression, Individuals At Risk")</f>
        <v>Freedom of Expression, Individuals At Risk</v>
      </c>
      <c r="H1927" s="1" t="str">
        <f ca="1">IFERROR(__xludf.DUMMYFUNCTION("""COMPUTED_VALUE"""),"2025")</f>
        <v>2025</v>
      </c>
      <c r="I1927" s="1" t="str">
        <f ca="1">IFERROR(__xludf.DUMMYFUNCTION("""COMPUTED_VALUE"""),"Email")</f>
        <v>Email</v>
      </c>
    </row>
    <row r="1928" spans="1:9" ht="13" x14ac:dyDescent="0.15">
      <c r="A1928" s="9">
        <f ca="1">IFERROR(__xludf.DUMMYFUNCTION("""COMPUTED_VALUE"""),255647411)</f>
        <v>255647411</v>
      </c>
      <c r="B1928" s="1" t="str">
        <f ca="1">IFERROR(__xludf.DUMMYFUNCTION("""COMPUTED_VALUE"""),"bryan@4sitestudios.com")</f>
        <v>bryan@4sitestudios.com</v>
      </c>
      <c r="C1928" s="9" t="str">
        <f ca="1">IFERROR(__xludf.DUMMYFUNCTION("""COMPUTED_VALUE"""),"EVERGREEN - UAN Gated Content - Embedded Petition")</f>
        <v>EVERGREEN - UAN Gated Content - Embedded Petition</v>
      </c>
      <c r="D1928" s="10">
        <f ca="1">IFERROR(__xludf.DUMMYFUNCTION("""COMPUTED_VALUE"""),45497)</f>
        <v>45497</v>
      </c>
      <c r="E1928" s="1" t="str">
        <f ca="1">IFERROR(__xludf.DUMMYFUNCTION("""COMPUTED_VALUE"""),"Israel and Occupied Palestinian Territories")</f>
        <v>Israel and Occupied Palestinian Territories</v>
      </c>
      <c r="F1928" s="1" t="str">
        <f ca="1">IFERROR(__xludf.DUMMYFUNCTION("""COMPUTED_VALUE"""),"8.25 Tunisia")</f>
        <v>8.25 Tunisia</v>
      </c>
      <c r="G1928" s="1" t="str">
        <f ca="1">IFERROR(__xludf.DUMMYFUNCTION("""COMPUTED_VALUE"""),"Freedom of Expression")</f>
        <v>Freedom of Expression</v>
      </c>
      <c r="H1928" s="1" t="str">
        <f ca="1">IFERROR(__xludf.DUMMYFUNCTION("""COMPUTED_VALUE"""),"2025")</f>
        <v>2025</v>
      </c>
      <c r="I1928" s="1" t="str">
        <f ca="1">IFERROR(__xludf.DUMMYFUNCTION("""COMPUTED_VALUE"""),"Email")</f>
        <v>Email</v>
      </c>
    </row>
    <row r="1929" spans="1:9" ht="13" x14ac:dyDescent="0.15">
      <c r="A1929" s="9">
        <f ca="1">IFERROR(__xludf.DUMMYFUNCTION("""COMPUTED_VALUE"""),255647411)</f>
        <v>255647411</v>
      </c>
      <c r="B1929" s="1" t="str">
        <f ca="1">IFERROR(__xludf.DUMMYFUNCTION("""COMPUTED_VALUE"""),"bryan@4sitestudios.com")</f>
        <v>bryan@4sitestudios.com</v>
      </c>
      <c r="C1929" s="9" t="str">
        <f ca="1">IFERROR(__xludf.DUMMYFUNCTION("""COMPUTED_VALUE"""),"EVERGREEN - UAN Gated Content - Embedded Petition")</f>
        <v>EVERGREEN - UAN Gated Content - Embedded Petition</v>
      </c>
      <c r="D1929" s="10">
        <f ca="1">IFERROR(__xludf.DUMMYFUNCTION("""COMPUTED_VALUE"""),45497)</f>
        <v>45497</v>
      </c>
      <c r="E1929" s="1" t="str">
        <f ca="1">IFERROR(__xludf.DUMMYFUNCTION("""COMPUTED_VALUE"""),"Tunisia")</f>
        <v>Tunisia</v>
      </c>
      <c r="F1929" s="1" t="str">
        <f ca="1">IFERROR(__xludf.DUMMYFUNCTION("""COMPUTED_VALUE"""),"7.25 Afghanistan")</f>
        <v>7.25 Afghanistan</v>
      </c>
      <c r="G1929" s="1" t="str">
        <f ca="1">IFERROR(__xludf.DUMMYFUNCTION("""COMPUTED_VALUE"""),"Freedom of Expression, Individuals At Risk, Women's Rights")</f>
        <v>Freedom of Expression, Individuals At Risk, Women's Rights</v>
      </c>
      <c r="H1929" s="1" t="str">
        <f ca="1">IFERROR(__xludf.DUMMYFUNCTION("""COMPUTED_VALUE"""),"2025")</f>
        <v>2025</v>
      </c>
      <c r="I1929" s="1" t="str">
        <f ca="1">IFERROR(__xludf.DUMMYFUNCTION("""COMPUTED_VALUE"""),"Email")</f>
        <v>Email</v>
      </c>
    </row>
    <row r="1930" spans="1:9" ht="13" x14ac:dyDescent="0.15">
      <c r="A1930" s="9">
        <f ca="1">IFERROR(__xludf.DUMMYFUNCTION("""COMPUTED_VALUE"""),255647411)</f>
        <v>255647411</v>
      </c>
      <c r="B1930" s="1" t="str">
        <f ca="1">IFERROR(__xludf.DUMMYFUNCTION("""COMPUTED_VALUE"""),"bryan@4sitestudios.com")</f>
        <v>bryan@4sitestudios.com</v>
      </c>
      <c r="C1930" s="9" t="str">
        <f ca="1">IFERROR(__xludf.DUMMYFUNCTION("""COMPUTED_VALUE"""),"EVERGREEN - UAN Gated Content - Embedded Petition")</f>
        <v>EVERGREEN - UAN Gated Content - Embedded Petition</v>
      </c>
      <c r="D1930" s="10">
        <f ca="1">IFERROR(__xludf.DUMMYFUNCTION("""COMPUTED_VALUE"""),45497)</f>
        <v>45497</v>
      </c>
      <c r="E1930" s="1" t="str">
        <f ca="1">IFERROR(__xludf.DUMMYFUNCTION("""COMPUTED_VALUE"""),"Afghanistan")</f>
        <v>Afghanistan</v>
      </c>
      <c r="F1930" s="1" t="str">
        <f ca="1">IFERROR(__xludf.DUMMYFUNCTION("""COMPUTED_VALUE"""),"105.24 USA")</f>
        <v>105.24 USA</v>
      </c>
      <c r="G1930" s="1" t="str">
        <f ca="1">IFERROR(__xludf.DUMMYFUNCTION("""COMPUTED_VALUE"""),"Death Penalty")</f>
        <v>Death Penalty</v>
      </c>
      <c r="H1930" s="1" t="str">
        <f ca="1">IFERROR(__xludf.DUMMYFUNCTION("""COMPUTED_VALUE"""),"2024")</f>
        <v>2024</v>
      </c>
      <c r="I1930" s="1" t="str">
        <f ca="1">IFERROR(__xludf.DUMMYFUNCTION("""COMPUTED_VALUE"""),"Email")</f>
        <v>Email</v>
      </c>
    </row>
    <row r="1931" spans="1:9" ht="13" x14ac:dyDescent="0.15">
      <c r="A1931" s="9">
        <f ca="1">IFERROR(__xludf.DUMMYFUNCTION("""COMPUTED_VALUE"""),255647411)</f>
        <v>255647411</v>
      </c>
      <c r="B1931" s="1" t="str">
        <f ca="1">IFERROR(__xludf.DUMMYFUNCTION("""COMPUTED_VALUE"""),"bryan@4sitestudios.com")</f>
        <v>bryan@4sitestudios.com</v>
      </c>
      <c r="C1931" s="9" t="str">
        <f ca="1">IFERROR(__xludf.DUMMYFUNCTION("""COMPUTED_VALUE"""),"EVERGREEN - UAN Gated Content - Embedded Petition")</f>
        <v>EVERGREEN - UAN Gated Content - Embedded Petition</v>
      </c>
      <c r="D1931" s="10">
        <f ca="1">IFERROR(__xludf.DUMMYFUNCTION("""COMPUTED_VALUE"""),45497)</f>
        <v>45497</v>
      </c>
      <c r="E1931" s="1" t="str">
        <f ca="1">IFERROR(__xludf.DUMMYFUNCTION("""COMPUTED_VALUE"""),"USA")</f>
        <v>USA</v>
      </c>
      <c r="F1931" s="1" t="str">
        <f ca="1">IFERROR(__xludf.DUMMYFUNCTION("""COMPUTED_VALUE"""),"Ninth 190.18 Egypt")</f>
        <v>Ninth 190.18 Egypt</v>
      </c>
      <c r="G1931" s="1" t="str">
        <f ca="1">IFERROR(__xludf.DUMMYFUNCTION("""COMPUTED_VALUE"""),"Freedom of Expression, Individuals At Risk")</f>
        <v>Freedom of Expression, Individuals At Risk</v>
      </c>
      <c r="H1931" s="1" t="str">
        <f ca="1">IFERROR(__xludf.DUMMYFUNCTION("""COMPUTED_VALUE"""),"2024")</f>
        <v>2024</v>
      </c>
      <c r="I1931" s="1" t="str">
        <f ca="1">IFERROR(__xludf.DUMMYFUNCTION("""COMPUTED_VALUE"""),"Letter")</f>
        <v>Letter</v>
      </c>
    </row>
    <row r="1932" spans="1:9" ht="13" x14ac:dyDescent="0.15">
      <c r="A1932" s="9">
        <f ca="1">IFERROR(__xludf.DUMMYFUNCTION("""COMPUTED_VALUE"""),255647411)</f>
        <v>255647411</v>
      </c>
      <c r="B1932" s="1" t="str">
        <f ca="1">IFERROR(__xludf.DUMMYFUNCTION("""COMPUTED_VALUE"""),"bryan@4sitestudios.com")</f>
        <v>bryan@4sitestudios.com</v>
      </c>
      <c r="C1932" s="9" t="str">
        <f ca="1">IFERROR(__xludf.DUMMYFUNCTION("""COMPUTED_VALUE"""),"EVERGREEN - UAN Gated Content - Embedded Petition")</f>
        <v>EVERGREEN - UAN Gated Content - Embedded Petition</v>
      </c>
      <c r="D1932" s="10">
        <f ca="1">IFERROR(__xludf.DUMMYFUNCTION("""COMPUTED_VALUE"""),45497)</f>
        <v>45497</v>
      </c>
      <c r="E1932" s="1" t="str">
        <f ca="1">IFERROR(__xludf.DUMMYFUNCTION("""COMPUTED_VALUE"""),"Egypt")</f>
        <v>Egypt</v>
      </c>
      <c r="F1932" s="1" t="str">
        <f ca="1">IFERROR(__xludf.DUMMYFUNCTION("""COMPUTED_VALUE"""),"97.24 Venezuela")</f>
        <v>97.24 Venezuela</v>
      </c>
      <c r="G1932" s="1" t="str">
        <f ca="1">IFERROR(__xludf.DUMMYFUNCTION("""COMPUTED_VALUE"""),"Freedom of Expression")</f>
        <v>Freedom of Expression</v>
      </c>
      <c r="H1932" s="1" t="str">
        <f ca="1">IFERROR(__xludf.DUMMYFUNCTION("""COMPUTED_VALUE"""),"2024")</f>
        <v>2024</v>
      </c>
      <c r="I1932" s="1" t="str">
        <f ca="1">IFERROR(__xludf.DUMMYFUNCTION("""COMPUTED_VALUE"""),"Letter")</f>
        <v>Letter</v>
      </c>
    </row>
    <row r="1933" spans="1:9" ht="13" x14ac:dyDescent="0.15">
      <c r="A1933" s="9">
        <f ca="1">IFERROR(__xludf.DUMMYFUNCTION("""COMPUTED_VALUE"""),255647411)</f>
        <v>255647411</v>
      </c>
      <c r="B1933" s="1" t="str">
        <f ca="1">IFERROR(__xludf.DUMMYFUNCTION("""COMPUTED_VALUE"""),"bryan@4sitestudios.com")</f>
        <v>bryan@4sitestudios.com</v>
      </c>
      <c r="C1933" s="9" t="str">
        <f ca="1">IFERROR(__xludf.DUMMYFUNCTION("""COMPUTED_VALUE"""),"EVERGREEN - UAN Gated Content - Embedded Petition")</f>
        <v>EVERGREEN - UAN Gated Content - Embedded Petition</v>
      </c>
      <c r="D1933" s="10">
        <f ca="1">IFERROR(__xludf.DUMMYFUNCTION("""COMPUTED_VALUE"""),45615)</f>
        <v>45615</v>
      </c>
      <c r="E1933" s="1" t="str">
        <f ca="1">IFERROR(__xludf.DUMMYFUNCTION("""COMPUTED_VALUE"""),"Venezuela")</f>
        <v>Venezuela</v>
      </c>
      <c r="F1933" s="1" t="str">
        <f ca="1">IFERROR(__xludf.DUMMYFUNCTION("""COMPUTED_VALUE"""),"98.24 China")</f>
        <v>98.24 China</v>
      </c>
      <c r="G1933" s="1" t="str">
        <f ca="1">IFERROR(__xludf.DUMMYFUNCTION("""COMPUTED_VALUE"""),"Freedom of Expression, Individuals At Risk")</f>
        <v>Freedom of Expression, Individuals At Risk</v>
      </c>
      <c r="H1933" s="1" t="str">
        <f ca="1">IFERROR(__xludf.DUMMYFUNCTION("""COMPUTED_VALUE"""),"2024")</f>
        <v>2024</v>
      </c>
      <c r="I1933" s="1" t="str">
        <f ca="1">IFERROR(__xludf.DUMMYFUNCTION("""COMPUTED_VALUE"""),"Letter")</f>
        <v>Letter</v>
      </c>
    </row>
    <row r="1934" spans="1:9" ht="13" x14ac:dyDescent="0.15">
      <c r="A1934" s="9">
        <f ca="1">IFERROR(__xludf.DUMMYFUNCTION("""COMPUTED_VALUE"""),255647411)</f>
        <v>255647411</v>
      </c>
      <c r="B1934" s="1" t="str">
        <f ca="1">IFERROR(__xludf.DUMMYFUNCTION("""COMPUTED_VALUE"""),"bryan@4sitestudios.com")</f>
        <v>bryan@4sitestudios.com</v>
      </c>
      <c r="C1934" s="9" t="str">
        <f ca="1">IFERROR(__xludf.DUMMYFUNCTION("""COMPUTED_VALUE"""),"EVERGREEN - UAN Gated Content - Embedded Petition")</f>
        <v>EVERGREEN - UAN Gated Content - Embedded Petition</v>
      </c>
      <c r="D1934" s="10">
        <f ca="1">IFERROR(__xludf.DUMMYFUNCTION("""COMPUTED_VALUE"""),45495)</f>
        <v>45495</v>
      </c>
      <c r="E1934" s="1" t="str">
        <f ca="1">IFERROR(__xludf.DUMMYFUNCTION("""COMPUTED_VALUE"""),"China")</f>
        <v>China</v>
      </c>
      <c r="F1934" s="1" t="str">
        <f ca="1">IFERROR(__xludf.DUMMYFUNCTION("""COMPUTED_VALUE"""),"Second 76.24 Tunisia")</f>
        <v>Second 76.24 Tunisia</v>
      </c>
      <c r="G1934" s="1" t="str">
        <f ca="1">IFERROR(__xludf.DUMMYFUNCTION("""COMPUTED_VALUE"""),"Freedom of Expression, Human Rights Defenders")</f>
        <v>Freedom of Expression, Human Rights Defenders</v>
      </c>
      <c r="H1934" s="1" t="str">
        <f ca="1">IFERROR(__xludf.DUMMYFUNCTION("""COMPUTED_VALUE"""),"2025")</f>
        <v>2025</v>
      </c>
      <c r="I1934" s="1" t="str">
        <f ca="1">IFERROR(__xludf.DUMMYFUNCTION("""COMPUTED_VALUE"""),"Email")</f>
        <v>Email</v>
      </c>
    </row>
    <row r="1935" spans="1:9" ht="13" x14ac:dyDescent="0.15">
      <c r="A1935" s="9">
        <f ca="1">IFERROR(__xludf.DUMMYFUNCTION("""COMPUTED_VALUE"""),255647411)</f>
        <v>255647411</v>
      </c>
      <c r="B1935" s="1" t="str">
        <f ca="1">IFERROR(__xludf.DUMMYFUNCTION("""COMPUTED_VALUE"""),"bryan@4sitestudios.com")</f>
        <v>bryan@4sitestudios.com</v>
      </c>
      <c r="C1935" s="9" t="str">
        <f ca="1">IFERROR(__xludf.DUMMYFUNCTION("""COMPUTED_VALUE"""),"UAN mid-page Lightbox - Step 1 of 4 - Landing Page")</f>
        <v>UAN mid-page Lightbox - Step 1 of 4 - Landing Page</v>
      </c>
      <c r="D1935" s="10">
        <f ca="1">IFERROR(__xludf.DUMMYFUNCTION("""COMPUTED_VALUE"""),45588)</f>
        <v>45588</v>
      </c>
      <c r="E1935" s="1" t="str">
        <f ca="1">IFERROR(__xludf.DUMMYFUNCTION("""COMPUTED_VALUE"""),"Tunisia")</f>
        <v>Tunisia</v>
      </c>
      <c r="F1935" s="1" t="str">
        <f ca="1">IFERROR(__xludf.DUMMYFUNCTION("""COMPUTED_VALUE"""),"Second 76.24 Tunisia")</f>
        <v>Second 76.24 Tunisia</v>
      </c>
      <c r="G1935" s="1" t="str">
        <f ca="1">IFERROR(__xludf.DUMMYFUNCTION("""COMPUTED_VALUE"""),"Freedom of Expression, Human Rights Defenders")</f>
        <v>Freedom of Expression, Human Rights Defenders</v>
      </c>
      <c r="H1935" s="1" t="str">
        <f ca="1">IFERROR(__xludf.DUMMYFUNCTION("""COMPUTED_VALUE"""),"2025")</f>
        <v>2025</v>
      </c>
      <c r="I1935" s="1" t="str">
        <f ca="1">IFERROR(__xludf.DUMMYFUNCTION("""COMPUTED_VALUE"""),"Email")</f>
        <v>Email</v>
      </c>
    </row>
    <row r="1936" spans="1:9" ht="13" x14ac:dyDescent="0.15">
      <c r="A1936" s="9">
        <f ca="1">IFERROR(__xludf.DUMMYFUNCTION("""COMPUTED_VALUE"""),255647411)</f>
        <v>255647411</v>
      </c>
      <c r="B1936" s="1" t="str">
        <f ca="1">IFERROR(__xludf.DUMMYFUNCTION("""COMPUTED_VALUE"""),"bryan@4sitestudios.com")</f>
        <v>bryan@4sitestudios.com</v>
      </c>
      <c r="C1936" s="9" t="str">
        <f ca="1">IFERROR(__xludf.DUMMYFUNCTION("""COMPUTED_VALUE"""),"UAN mid-page Lightbox - Step 1 of 4 - Landing Page")</f>
        <v>UAN mid-page Lightbox - Step 1 of 4 - Landing Page</v>
      </c>
      <c r="D1936" s="10">
        <f ca="1">IFERROR(__xludf.DUMMYFUNCTION("""COMPUTED_VALUE"""),45567)</f>
        <v>45567</v>
      </c>
      <c r="E1936" s="1" t="str">
        <f ca="1">IFERROR(__xludf.DUMMYFUNCTION("""COMPUTED_VALUE"""),"Tunisia")</f>
        <v>Tunisia</v>
      </c>
      <c r="F1936" s="1" t="str">
        <f ca="1">IFERROR(__xludf.DUMMYFUNCTION("""COMPUTED_VALUE"""),"3.25 IOPT")</f>
        <v>3.25 IOPT</v>
      </c>
      <c r="G1936" s="1" t="str">
        <f ca="1">IFERROR(__xludf.DUMMYFUNCTION("""COMPUTED_VALUE"""),"Freedom of Expression, Individuals At Risk")</f>
        <v>Freedom of Expression, Individuals At Risk</v>
      </c>
      <c r="H1936" s="1" t="str">
        <f ca="1">IFERROR(__xludf.DUMMYFUNCTION("""COMPUTED_VALUE"""),"2025")</f>
        <v>2025</v>
      </c>
      <c r="I1936" s="1" t="str">
        <f ca="1">IFERROR(__xludf.DUMMYFUNCTION("""COMPUTED_VALUE"""),"Email")</f>
        <v>Email</v>
      </c>
    </row>
    <row r="1937" spans="1:9" ht="13" x14ac:dyDescent="0.15">
      <c r="A1937" s="9">
        <f ca="1">IFERROR(__xludf.DUMMYFUNCTION("""COMPUTED_VALUE"""),255647411)</f>
        <v>255647411</v>
      </c>
      <c r="B1937" s="1" t="str">
        <f ca="1">IFERROR(__xludf.DUMMYFUNCTION("""COMPUTED_VALUE"""),"bryan@4sitestudios.com")</f>
        <v>bryan@4sitestudios.com</v>
      </c>
      <c r="C1937" s="9" t="str">
        <f ca="1">IFERROR(__xludf.DUMMYFUNCTION("""COMPUTED_VALUE"""),"UAN mid-page Lightbox - Step 1 of 4 - Landing Page")</f>
        <v>UAN mid-page Lightbox - Step 1 of 4 - Landing Page</v>
      </c>
      <c r="D1937" s="10">
        <f ca="1">IFERROR(__xludf.DUMMYFUNCTION("""COMPUTED_VALUE"""),45567)</f>
        <v>45567</v>
      </c>
      <c r="E1937" s="1" t="str">
        <f ca="1">IFERROR(__xludf.DUMMYFUNCTION("""COMPUTED_VALUE"""),"Israel and Occupied Palestinian Territories")</f>
        <v>Israel and Occupied Palestinian Territories</v>
      </c>
      <c r="F1937" s="1" t="str">
        <f ca="1">IFERROR(__xludf.DUMMYFUNCTION("""COMPUTED_VALUE"""),"4.25 USA")</f>
        <v>4.25 USA</v>
      </c>
      <c r="G1937" s="1" t="str">
        <f ca="1">IFERROR(__xludf.DUMMYFUNCTION("""COMPUTED_VALUE"""),"Individuals At Risk, Refugee and Migrant Rights")</f>
        <v>Individuals At Risk, Refugee and Migrant Rights</v>
      </c>
      <c r="H1937" s="1" t="str">
        <f ca="1">IFERROR(__xludf.DUMMYFUNCTION("""COMPUTED_VALUE"""),"2025")</f>
        <v>2025</v>
      </c>
      <c r="I1937" s="1" t="str">
        <f ca="1">IFERROR(__xludf.DUMMYFUNCTION("""COMPUTED_VALUE"""),"Letter")</f>
        <v>Letter</v>
      </c>
    </row>
    <row r="1938" spans="1:9" ht="13" x14ac:dyDescent="0.15">
      <c r="A1938" s="9">
        <f ca="1">IFERROR(__xludf.DUMMYFUNCTION("""COMPUTED_VALUE"""),255647411)</f>
        <v>255647411</v>
      </c>
      <c r="B1938" s="1" t="str">
        <f ca="1">IFERROR(__xludf.DUMMYFUNCTION("""COMPUTED_VALUE"""),"bryan@4sitestudios.com")</f>
        <v>bryan@4sitestudios.com</v>
      </c>
      <c r="C1938" s="9" t="str">
        <f ca="1">IFERROR(__xludf.DUMMYFUNCTION("""COMPUTED_VALUE"""),"UAN mid-page Lightbox - Step 1 of 4 - Landing Page")</f>
        <v>UAN mid-page Lightbox - Step 1 of 4 - Landing Page</v>
      </c>
      <c r="D1938" s="10">
        <f ca="1">IFERROR(__xludf.DUMMYFUNCTION("""COMPUTED_VALUE"""),45561)</f>
        <v>45561</v>
      </c>
      <c r="E1938" s="1" t="str">
        <f ca="1">IFERROR(__xludf.DUMMYFUNCTION("""COMPUTED_VALUE"""),"USA")</f>
        <v>USA</v>
      </c>
      <c r="F1938" s="1" t="str">
        <f ca="1">IFERROR(__xludf.DUMMYFUNCTION("""COMPUTED_VALUE"""),"6.25 Iran")</f>
        <v>6.25 Iran</v>
      </c>
      <c r="G1938" s="1" t="str">
        <f ca="1">IFERROR(__xludf.DUMMYFUNCTION("""COMPUTED_VALUE"""),"Death Penalty, Freedom of Expression, Individuals At Risk")</f>
        <v>Death Penalty, Freedom of Expression, Individuals At Risk</v>
      </c>
      <c r="H1938" s="1" t="str">
        <f ca="1">IFERROR(__xludf.DUMMYFUNCTION("""COMPUTED_VALUE"""),"2025")</f>
        <v>2025</v>
      </c>
      <c r="I1938" s="1" t="str">
        <f ca="1">IFERROR(__xludf.DUMMYFUNCTION("""COMPUTED_VALUE"""),"Email")</f>
        <v>Email</v>
      </c>
    </row>
    <row r="1939" spans="1:9" ht="13" x14ac:dyDescent="0.15">
      <c r="A1939" s="9">
        <f ca="1">IFERROR(__xludf.DUMMYFUNCTION("""COMPUTED_VALUE"""),255647411)</f>
        <v>255647411</v>
      </c>
      <c r="B1939" s="1" t="str">
        <f ca="1">IFERROR(__xludf.DUMMYFUNCTION("""COMPUTED_VALUE"""),"bryan@4sitestudios.com")</f>
        <v>bryan@4sitestudios.com</v>
      </c>
      <c r="C1939" s="9" t="str">
        <f ca="1">IFERROR(__xludf.DUMMYFUNCTION("""COMPUTED_VALUE"""),"UAN mid-page Lightbox - Step 1 of 4 - Landing Page")</f>
        <v>UAN mid-page Lightbox - Step 1 of 4 - Landing Page</v>
      </c>
      <c r="D1939" s="10">
        <f ca="1">IFERROR(__xludf.DUMMYFUNCTION("""COMPUTED_VALUE"""),45561)</f>
        <v>45561</v>
      </c>
      <c r="E1939" s="1" t="str">
        <f ca="1">IFERROR(__xludf.DUMMYFUNCTION("""COMPUTED_VALUE"""),"Iran")</f>
        <v>Iran</v>
      </c>
      <c r="F1939" s="1" t="str">
        <f ca="1">IFERROR(__xludf.DUMMYFUNCTION("""COMPUTED_VALUE"""),"Second 76.24 Tunisia")</f>
        <v>Second 76.24 Tunisia</v>
      </c>
      <c r="G1939" s="1" t="str">
        <f ca="1">IFERROR(__xludf.DUMMYFUNCTION("""COMPUTED_VALUE"""),"Freedom of Expression, Human Rights Defenders")</f>
        <v>Freedom of Expression, Human Rights Defenders</v>
      </c>
      <c r="H1939" s="1" t="str">
        <f ca="1">IFERROR(__xludf.DUMMYFUNCTION("""COMPUTED_VALUE"""),"2025")</f>
        <v>2025</v>
      </c>
      <c r="I1939" s="1" t="str">
        <f ca="1">IFERROR(__xludf.DUMMYFUNCTION("""COMPUTED_VALUE"""),"Email")</f>
        <v>Email</v>
      </c>
    </row>
    <row r="1940" spans="1:9" ht="13" x14ac:dyDescent="0.15">
      <c r="A1940" s="9">
        <f ca="1">IFERROR(__xludf.DUMMYFUNCTION("""COMPUTED_VALUE"""),255647411)</f>
        <v>255647411</v>
      </c>
      <c r="B1940" s="1" t="str">
        <f ca="1">IFERROR(__xludf.DUMMYFUNCTION("""COMPUTED_VALUE"""),"bryan@4sitestudios.com")</f>
        <v>bryan@4sitestudios.com</v>
      </c>
      <c r="C1940" s="9" t="str">
        <f ca="1">IFERROR(__xludf.DUMMYFUNCTION("""COMPUTED_VALUE"""),"UAN mid-page Lightbox - Step 1 of 4 - Landing Page")</f>
        <v>UAN mid-page Lightbox - Step 1 of 4 - Landing Page</v>
      </c>
      <c r="D1940" s="10">
        <f ca="1">IFERROR(__xludf.DUMMYFUNCTION("""COMPUTED_VALUE"""),45561)</f>
        <v>45561</v>
      </c>
      <c r="E1940" s="1" t="str">
        <f ca="1">IFERROR(__xludf.DUMMYFUNCTION("""COMPUTED_VALUE"""),"Tunisia")</f>
        <v>Tunisia</v>
      </c>
      <c r="F1940" s="1" t="str">
        <f ca="1">IFERROR(__xludf.DUMMYFUNCTION("""COMPUTED_VALUE"""),"5.25 Colombia")</f>
        <v>5.25 Colombia</v>
      </c>
      <c r="G1940" s="1" t="str">
        <f ca="1">IFERROR(__xludf.DUMMYFUNCTION("""COMPUTED_VALUE"""),"Human Rights Defenders, Individuals At Risk")</f>
        <v>Human Rights Defenders, Individuals At Risk</v>
      </c>
      <c r="H1940" s="1" t="str">
        <f ca="1">IFERROR(__xludf.DUMMYFUNCTION("""COMPUTED_VALUE"""),"2025")</f>
        <v>2025</v>
      </c>
      <c r="I1940" s="1" t="str">
        <f ca="1">IFERROR(__xludf.DUMMYFUNCTION("""COMPUTED_VALUE"""),"Email")</f>
        <v>Email</v>
      </c>
    </row>
    <row r="1941" spans="1:9" ht="13" x14ac:dyDescent="0.15">
      <c r="A1941" s="9">
        <f ca="1">IFERROR(__xludf.DUMMYFUNCTION("""COMPUTED_VALUE"""),255647411)</f>
        <v>255647411</v>
      </c>
      <c r="B1941" s="1" t="str">
        <f ca="1">IFERROR(__xludf.DUMMYFUNCTION("""COMPUTED_VALUE"""),"bryan@4sitestudios.com")</f>
        <v>bryan@4sitestudios.com</v>
      </c>
      <c r="C1941" s="9" t="str">
        <f ca="1">IFERROR(__xludf.DUMMYFUNCTION("""COMPUTED_VALUE"""),"UAN mid-page Lightbox - Step 1 of 4 - Landing Page")</f>
        <v>UAN mid-page Lightbox - Step 1 of 4 - Landing Page</v>
      </c>
      <c r="D1941" s="10">
        <f ca="1">IFERROR(__xludf.DUMMYFUNCTION("""COMPUTED_VALUE"""),45561)</f>
        <v>45561</v>
      </c>
      <c r="E1941" s="1" t="str">
        <f ca="1">IFERROR(__xludf.DUMMYFUNCTION("""COMPUTED_VALUE"""),"Colombia")</f>
        <v>Colombia</v>
      </c>
      <c r="F1941" s="1" t="str">
        <f ca="1">IFERROR(__xludf.DUMMYFUNCTION("""COMPUTED_VALUE"""),"97.24 Venezuela")</f>
        <v>97.24 Venezuela</v>
      </c>
      <c r="G1941" s="1" t="str">
        <f ca="1">IFERROR(__xludf.DUMMYFUNCTION("""COMPUTED_VALUE"""),"Freedom of Expression")</f>
        <v>Freedom of Expression</v>
      </c>
      <c r="H1941" s="1" t="str">
        <f ca="1">IFERROR(__xludf.DUMMYFUNCTION("""COMPUTED_VALUE"""),"2024")</f>
        <v>2024</v>
      </c>
      <c r="I1941" s="1" t="str">
        <f ca="1">IFERROR(__xludf.DUMMYFUNCTION("""COMPUTED_VALUE"""),"Letter")</f>
        <v>Letter</v>
      </c>
    </row>
    <row r="1942" spans="1:9" ht="13" x14ac:dyDescent="0.15">
      <c r="A1942" s="9">
        <f ca="1">IFERROR(__xludf.DUMMYFUNCTION("""COMPUTED_VALUE"""),255647411)</f>
        <v>255647411</v>
      </c>
      <c r="B1942" s="1" t="str">
        <f ca="1">IFERROR(__xludf.DUMMYFUNCTION("""COMPUTED_VALUE"""),"bryan@4sitestudios.com")</f>
        <v>bryan@4sitestudios.com</v>
      </c>
      <c r="C1942" s="9" t="str">
        <f ca="1">IFERROR(__xludf.DUMMYFUNCTION("""COMPUTED_VALUE"""),"UAN mid-page Lightbox - Step 1 of 4 - Landing Page")</f>
        <v>UAN mid-page Lightbox - Step 1 of 4 - Landing Page</v>
      </c>
      <c r="D1942" s="10">
        <f ca="1">IFERROR(__xludf.DUMMYFUNCTION("""COMPUTED_VALUE"""),45561)</f>
        <v>45561</v>
      </c>
      <c r="E1942" s="1" t="str">
        <f ca="1">IFERROR(__xludf.DUMMYFUNCTION("""COMPUTED_VALUE"""),"Venezuela")</f>
        <v>Venezuela</v>
      </c>
      <c r="F1942" s="1" t="str">
        <f ca="1">IFERROR(__xludf.DUMMYFUNCTION("""COMPUTED_VALUE"""),"Second 23.24 Russia")</f>
        <v>Second 23.24 Russia</v>
      </c>
      <c r="G1942" s="1" t="str">
        <f ca="1">IFERROR(__xludf.DUMMYFUNCTION("""COMPUTED_VALUE"""),"Freedom of Expression")</f>
        <v>Freedom of Expression</v>
      </c>
      <c r="H1942" s="1" t="str">
        <f ca="1">IFERROR(__xludf.DUMMYFUNCTION("""COMPUTED_VALUE"""),"2024")</f>
        <v>2024</v>
      </c>
      <c r="I1942" s="1" t="str">
        <f ca="1">IFERROR(__xludf.DUMMYFUNCTION("""COMPUTED_VALUE"""),"Letter")</f>
        <v>Letter</v>
      </c>
    </row>
    <row r="1943" spans="1:9" ht="13" x14ac:dyDescent="0.15">
      <c r="A1943" s="9">
        <f ca="1">IFERROR(__xludf.DUMMYFUNCTION("""COMPUTED_VALUE"""),255647411)</f>
        <v>255647411</v>
      </c>
      <c r="B1943" s="1" t="str">
        <f ca="1">IFERROR(__xludf.DUMMYFUNCTION("""COMPUTED_VALUE"""),"bryan@4sitestudios.com")</f>
        <v>bryan@4sitestudios.com</v>
      </c>
      <c r="C1943" s="9" t="str">
        <f ca="1">IFERROR(__xludf.DUMMYFUNCTION("""COMPUTED_VALUE"""),"UAN mid-page Lightbox - Step 1 of 4 - Landing Page")</f>
        <v>UAN mid-page Lightbox - Step 1 of 4 - Landing Page</v>
      </c>
      <c r="D1943" s="10">
        <f ca="1">IFERROR(__xludf.DUMMYFUNCTION("""COMPUTED_VALUE"""),45561)</f>
        <v>45561</v>
      </c>
      <c r="E1943" s="1" t="str">
        <f ca="1">IFERROR(__xludf.DUMMYFUNCTION("""COMPUTED_VALUE"""),"Russian Federation")</f>
        <v>Russian Federation</v>
      </c>
      <c r="F1943" s="1" t="str">
        <f ca="1">IFERROR(__xludf.DUMMYFUNCTION("""COMPUTED_VALUE"""),"107.24 Singapore")</f>
        <v>107.24 Singapore</v>
      </c>
      <c r="G1943" s="1" t="str">
        <f ca="1">IFERROR(__xludf.DUMMYFUNCTION("""COMPUTED_VALUE"""),"Death Penalty")</f>
        <v>Death Penalty</v>
      </c>
      <c r="H1943" s="1" t="str">
        <f ca="1">IFERROR(__xludf.DUMMYFUNCTION("""COMPUTED_VALUE"""),"2024")</f>
        <v>2024</v>
      </c>
      <c r="I1943" s="1" t="str">
        <f ca="1">IFERROR(__xludf.DUMMYFUNCTION("""COMPUTED_VALUE"""),"Email")</f>
        <v>Email</v>
      </c>
    </row>
    <row r="1944" spans="1:9" ht="13" x14ac:dyDescent="0.15">
      <c r="A1944" s="9">
        <f ca="1">IFERROR(__xludf.DUMMYFUNCTION("""COMPUTED_VALUE"""),255647411)</f>
        <v>255647411</v>
      </c>
      <c r="B1944" s="1" t="str">
        <f ca="1">IFERROR(__xludf.DUMMYFUNCTION("""COMPUTED_VALUE"""),"bryan@4sitestudios.com")</f>
        <v>bryan@4sitestudios.com</v>
      </c>
      <c r="C1944" s="9" t="str">
        <f ca="1">IFERROR(__xludf.DUMMYFUNCTION("""COMPUTED_VALUE"""),"UAN mid-page Lightbox - Step 1 of 4 - Landing Page")</f>
        <v>UAN mid-page Lightbox - Step 1 of 4 - Landing Page</v>
      </c>
      <c r="D1944" s="10">
        <f ca="1">IFERROR(__xludf.DUMMYFUNCTION("""COMPUTED_VALUE"""),45561)</f>
        <v>45561</v>
      </c>
      <c r="E1944" s="1" t="str">
        <f ca="1">IFERROR(__xludf.DUMMYFUNCTION("""COMPUTED_VALUE"""),"Singapore")</f>
        <v>Singapore</v>
      </c>
      <c r="F1944" s="1" t="str">
        <f ca="1">IFERROR(__xludf.DUMMYFUNCTION("""COMPUTED_VALUE"""),"107.24 Singapore")</f>
        <v>107.24 Singapore</v>
      </c>
      <c r="G1944" s="1" t="str">
        <f ca="1">IFERROR(__xludf.DUMMYFUNCTION("""COMPUTED_VALUE"""),"Death Penalty")</f>
        <v>Death Penalty</v>
      </c>
      <c r="H1944" s="1" t="str">
        <f ca="1">IFERROR(__xludf.DUMMYFUNCTION("""COMPUTED_VALUE"""),"2024")</f>
        <v>2024</v>
      </c>
      <c r="I1944" s="1" t="str">
        <f ca="1">IFERROR(__xludf.DUMMYFUNCTION("""COMPUTED_VALUE"""),"Email")</f>
        <v>Email</v>
      </c>
    </row>
    <row r="1945" spans="1:9" ht="13" x14ac:dyDescent="0.15">
      <c r="A1945" s="9">
        <f ca="1">IFERROR(__xludf.DUMMYFUNCTION("""COMPUTED_VALUE"""),255647411)</f>
        <v>255647411</v>
      </c>
      <c r="B1945" s="1" t="str">
        <f ca="1">IFERROR(__xludf.DUMMYFUNCTION("""COMPUTED_VALUE"""),"bryan@4sitestudios.com")</f>
        <v>bryan@4sitestudios.com</v>
      </c>
      <c r="C1945" s="9" t="str">
        <f ca="1">IFERROR(__xludf.DUMMYFUNCTION("""COMPUTED_VALUE"""),"UAN mid-page Lightbox - Step 1 of 4 - Landing Page")</f>
        <v>UAN mid-page Lightbox - Step 1 of 4 - Landing Page</v>
      </c>
      <c r="D1945" s="10">
        <f ca="1">IFERROR(__xludf.DUMMYFUNCTION("""COMPUTED_VALUE"""),45561)</f>
        <v>45561</v>
      </c>
      <c r="E1945" s="1" t="str">
        <f ca="1">IFERROR(__xludf.DUMMYFUNCTION("""COMPUTED_VALUE"""),"Singapore")</f>
        <v>Singapore</v>
      </c>
      <c r="F1945" s="1" t="str">
        <f ca="1">IFERROR(__xludf.DUMMYFUNCTION("""COMPUTED_VALUE"""),"3.25 IOPT")</f>
        <v>3.25 IOPT</v>
      </c>
      <c r="G1945" s="1" t="str">
        <f ca="1">IFERROR(__xludf.DUMMYFUNCTION("""COMPUTED_VALUE"""),"Freedom of Expression, Individuals At Risk")</f>
        <v>Freedom of Expression, Individuals At Risk</v>
      </c>
      <c r="H1945" s="1" t="str">
        <f ca="1">IFERROR(__xludf.DUMMYFUNCTION("""COMPUTED_VALUE"""),"2025")</f>
        <v>2025</v>
      </c>
      <c r="I1945" s="1" t="str">
        <f ca="1">IFERROR(__xludf.DUMMYFUNCTION("""COMPUTED_VALUE"""),"Email")</f>
        <v>Email</v>
      </c>
    </row>
    <row r="1946" spans="1:9" ht="13" x14ac:dyDescent="0.15">
      <c r="A1946" s="9">
        <f ca="1">IFERROR(__xludf.DUMMYFUNCTION("""COMPUTED_VALUE"""),255647411)</f>
        <v>255647411</v>
      </c>
      <c r="B1946" s="1" t="str">
        <f ca="1">IFERROR(__xludf.DUMMYFUNCTION("""COMPUTED_VALUE"""),"bryan@4sitestudios.com")</f>
        <v>bryan@4sitestudios.com</v>
      </c>
      <c r="C1946" s="9" t="str">
        <f ca="1">IFERROR(__xludf.DUMMYFUNCTION("""COMPUTED_VALUE"""),"UAN mid-page Lightbox - Step 1 of 4 - Landing Page")</f>
        <v>UAN mid-page Lightbox - Step 1 of 4 - Landing Page</v>
      </c>
      <c r="D1946" s="10">
        <f ca="1">IFERROR(__xludf.DUMMYFUNCTION("""COMPUTED_VALUE"""),45561)</f>
        <v>45561</v>
      </c>
      <c r="E1946" s="1" t="str">
        <f ca="1">IFERROR(__xludf.DUMMYFUNCTION("""COMPUTED_VALUE"""),"Israel and Occupied Palestinian Territories")</f>
        <v>Israel and Occupied Palestinian Territories</v>
      </c>
      <c r="F1946" s="1" t="str">
        <f ca="1">IFERROR(__xludf.DUMMYFUNCTION("""COMPUTED_VALUE"""),"3.25 IOPT")</f>
        <v>3.25 IOPT</v>
      </c>
      <c r="G1946" s="1" t="str">
        <f ca="1">IFERROR(__xludf.DUMMYFUNCTION("""COMPUTED_VALUE"""),"Freedom of Expression, Individuals At Risk")</f>
        <v>Freedom of Expression, Individuals At Risk</v>
      </c>
      <c r="H1946" s="1" t="str">
        <f ca="1">IFERROR(__xludf.DUMMYFUNCTION("""COMPUTED_VALUE"""),"2025")</f>
        <v>2025</v>
      </c>
      <c r="I1946" s="1" t="str">
        <f ca="1">IFERROR(__xludf.DUMMYFUNCTION("""COMPUTED_VALUE"""),"Email")</f>
        <v>Email</v>
      </c>
    </row>
    <row r="1947" spans="1:9" ht="13" x14ac:dyDescent="0.15">
      <c r="A1947" s="9">
        <f ca="1">IFERROR(__xludf.DUMMYFUNCTION("""COMPUTED_VALUE"""),255647411)</f>
        <v>255647411</v>
      </c>
      <c r="B1947" s="1" t="str">
        <f ca="1">IFERROR(__xludf.DUMMYFUNCTION("""COMPUTED_VALUE"""),"bryan@4sitestudios.com")</f>
        <v>bryan@4sitestudios.com</v>
      </c>
      <c r="C1947" s="9" t="str">
        <f ca="1">IFERROR(__xludf.DUMMYFUNCTION("""COMPUTED_VALUE"""),"UAN mid-page Lightbox - Step 1 of 4 - Landing Page")</f>
        <v>UAN mid-page Lightbox - Step 1 of 4 - Landing Page</v>
      </c>
      <c r="D1947" s="10">
        <f ca="1">IFERROR(__xludf.DUMMYFUNCTION("""COMPUTED_VALUE"""),45561)</f>
        <v>45561</v>
      </c>
      <c r="E1947" s="1" t="str">
        <f ca="1">IFERROR(__xludf.DUMMYFUNCTION("""COMPUTED_VALUE"""),"Israel and Occupied Palestinian Territories")</f>
        <v>Israel and Occupied Palestinian Territories</v>
      </c>
      <c r="F1947" s="1" t="str">
        <f ca="1">IFERROR(__xludf.DUMMYFUNCTION("""COMPUTED_VALUE"""),"3.25 IOPT")</f>
        <v>3.25 IOPT</v>
      </c>
      <c r="G1947" s="1" t="str">
        <f ca="1">IFERROR(__xludf.DUMMYFUNCTION("""COMPUTED_VALUE"""),"Freedom of Expression, Individuals At Risk")</f>
        <v>Freedom of Expression, Individuals At Risk</v>
      </c>
      <c r="H1947" s="1" t="str">
        <f ca="1">IFERROR(__xludf.DUMMYFUNCTION("""COMPUTED_VALUE"""),"2025")</f>
        <v>2025</v>
      </c>
      <c r="I1947" s="1" t="str">
        <f ca="1">IFERROR(__xludf.DUMMYFUNCTION("""COMPUTED_VALUE"""),"Email")</f>
        <v>Email</v>
      </c>
    </row>
    <row r="1948" spans="1:9" ht="13" x14ac:dyDescent="0.15">
      <c r="A1948" s="9">
        <f ca="1">IFERROR(__xludf.DUMMYFUNCTION("""COMPUTED_VALUE"""),255647411)</f>
        <v>255647411</v>
      </c>
      <c r="B1948" s="1" t="str">
        <f ca="1">IFERROR(__xludf.DUMMYFUNCTION("""COMPUTED_VALUE"""),"bryan@4sitestudios.com")</f>
        <v>bryan@4sitestudios.com</v>
      </c>
      <c r="C1948" s="9" t="str">
        <f ca="1">IFERROR(__xludf.DUMMYFUNCTION("""COMPUTED_VALUE"""),"UAN mid-page Lightbox - Step 1 of 4 - Landing Page")</f>
        <v>UAN mid-page Lightbox - Step 1 of 4 - Landing Page</v>
      </c>
      <c r="D1948" s="10">
        <f ca="1">IFERROR(__xludf.DUMMYFUNCTION("""COMPUTED_VALUE"""),45561)</f>
        <v>45561</v>
      </c>
      <c r="E1948" s="1" t="str">
        <f ca="1">IFERROR(__xludf.DUMMYFUNCTION("""COMPUTED_VALUE"""),"Israel and Occupied Palestinian Territories")</f>
        <v>Israel and Occupied Palestinian Territories</v>
      </c>
      <c r="F1948" s="1" t="str">
        <f ca="1">IFERROR(__xludf.DUMMYFUNCTION("""COMPUTED_VALUE"""),"4.25 USA")</f>
        <v>4.25 USA</v>
      </c>
      <c r="G1948" s="1" t="str">
        <f ca="1">IFERROR(__xludf.DUMMYFUNCTION("""COMPUTED_VALUE"""),"Individuals At Risk, Refugee and Migrant Rights")</f>
        <v>Individuals At Risk, Refugee and Migrant Rights</v>
      </c>
      <c r="H1948" s="1" t="str">
        <f ca="1">IFERROR(__xludf.DUMMYFUNCTION("""COMPUTED_VALUE"""),"2025")</f>
        <v>2025</v>
      </c>
      <c r="I1948" s="1" t="str">
        <f ca="1">IFERROR(__xludf.DUMMYFUNCTION("""COMPUTED_VALUE"""),"Letter")</f>
        <v>Letter</v>
      </c>
    </row>
    <row r="1949" spans="1:9" ht="13" x14ac:dyDescent="0.15">
      <c r="A1949" s="9">
        <f ca="1">IFERROR(__xludf.DUMMYFUNCTION("""COMPUTED_VALUE"""),255647411)</f>
        <v>255647411</v>
      </c>
      <c r="B1949" s="1" t="str">
        <f ca="1">IFERROR(__xludf.DUMMYFUNCTION("""COMPUTED_VALUE"""),"bryan@4sitestudios.com")</f>
        <v>bryan@4sitestudios.com</v>
      </c>
      <c r="C1949" s="9" t="str">
        <f ca="1">IFERROR(__xludf.DUMMYFUNCTION("""COMPUTED_VALUE"""),"UAN mid-page Lightbox - Step 1 of 4 - Landing Page")</f>
        <v>UAN mid-page Lightbox - Step 1 of 4 - Landing Page</v>
      </c>
      <c r="D1949" s="10">
        <f ca="1">IFERROR(__xludf.DUMMYFUNCTION("""COMPUTED_VALUE"""),45559)</f>
        <v>45559</v>
      </c>
      <c r="E1949" s="1" t="str">
        <f ca="1">IFERROR(__xludf.DUMMYFUNCTION("""COMPUTED_VALUE"""),"USA")</f>
        <v>USA</v>
      </c>
      <c r="F1949" s="1" t="str">
        <f ca="1">IFERROR(__xludf.DUMMYFUNCTION("""COMPUTED_VALUE"""),"Second 76.24 Tunisia")</f>
        <v>Second 76.24 Tunisia</v>
      </c>
      <c r="G1949" s="1" t="str">
        <f ca="1">IFERROR(__xludf.DUMMYFUNCTION("""COMPUTED_VALUE"""),"Freedom of Expression, Human Rights Defenders")</f>
        <v>Freedom of Expression, Human Rights Defenders</v>
      </c>
      <c r="H1949" s="1" t="str">
        <f ca="1">IFERROR(__xludf.DUMMYFUNCTION("""COMPUTED_VALUE"""),"2025")</f>
        <v>2025</v>
      </c>
      <c r="I1949" s="1" t="str">
        <f ca="1">IFERROR(__xludf.DUMMYFUNCTION("""COMPUTED_VALUE"""),"Email")</f>
        <v>Email</v>
      </c>
    </row>
    <row r="1950" spans="1:9" ht="13" x14ac:dyDescent="0.15">
      <c r="A1950" s="9">
        <f ca="1">IFERROR(__xludf.DUMMYFUNCTION("""COMPUTED_VALUE"""),255647411)</f>
        <v>255647411</v>
      </c>
      <c r="B1950" s="1" t="str">
        <f ca="1">IFERROR(__xludf.DUMMYFUNCTION("""COMPUTED_VALUE"""),"bryan@4sitestudios.com")</f>
        <v>bryan@4sitestudios.com</v>
      </c>
      <c r="C1950" s="9" t="str">
        <f ca="1">IFERROR(__xludf.DUMMYFUNCTION("""COMPUTED_VALUE"""),"UAN mid-page Lightbox - Step 1 of 4 - Landing Page")</f>
        <v>UAN mid-page Lightbox - Step 1 of 4 - Landing Page</v>
      </c>
      <c r="D1950" s="10">
        <f ca="1">IFERROR(__xludf.DUMMYFUNCTION("""COMPUTED_VALUE"""),45559)</f>
        <v>45559</v>
      </c>
      <c r="E1950" s="1" t="str">
        <f ca="1">IFERROR(__xludf.DUMMYFUNCTION("""COMPUTED_VALUE"""),"Tunisia")</f>
        <v>Tunisia</v>
      </c>
      <c r="F1950" s="1" t="str">
        <f ca="1">IFERROR(__xludf.DUMMYFUNCTION("""COMPUTED_VALUE"""),"Second 76.24 Tunisia")</f>
        <v>Second 76.24 Tunisia</v>
      </c>
      <c r="G1950" s="1" t="str">
        <f ca="1">IFERROR(__xludf.DUMMYFUNCTION("""COMPUTED_VALUE"""),"Freedom of Expression, Human Rights Defenders")</f>
        <v>Freedom of Expression, Human Rights Defenders</v>
      </c>
      <c r="H1950" s="1" t="str">
        <f ca="1">IFERROR(__xludf.DUMMYFUNCTION("""COMPUTED_VALUE"""),"2025")</f>
        <v>2025</v>
      </c>
      <c r="I1950" s="1" t="str">
        <f ca="1">IFERROR(__xludf.DUMMYFUNCTION("""COMPUTED_VALUE"""),"Email")</f>
        <v>Email</v>
      </c>
    </row>
    <row r="1951" spans="1:9" ht="13" x14ac:dyDescent="0.15">
      <c r="A1951" s="9">
        <f ca="1">IFERROR(__xludf.DUMMYFUNCTION("""COMPUTED_VALUE"""),255647411)</f>
        <v>255647411</v>
      </c>
      <c r="B1951" s="1" t="str">
        <f ca="1">IFERROR(__xludf.DUMMYFUNCTION("""COMPUTED_VALUE"""),"bryan@4sitestudios.com")</f>
        <v>bryan@4sitestudios.com</v>
      </c>
      <c r="C1951" s="9" t="str">
        <f ca="1">IFERROR(__xludf.DUMMYFUNCTION("""COMPUTED_VALUE"""),"UAN mid-page Lightbox - Step 1 of 4 - Landing Page")</f>
        <v>UAN mid-page Lightbox - Step 1 of 4 - Landing Page</v>
      </c>
      <c r="D1951" s="10">
        <f ca="1">IFERROR(__xludf.DUMMYFUNCTION("""COMPUTED_VALUE"""),45559)</f>
        <v>45559</v>
      </c>
      <c r="E1951" s="1" t="str">
        <f ca="1">IFERROR(__xludf.DUMMYFUNCTION("""COMPUTED_VALUE"""),"Tunisia")</f>
        <v>Tunisia</v>
      </c>
      <c r="F1951" s="1" t="str">
        <f ca="1">IFERROR(__xludf.DUMMYFUNCTION("""COMPUTED_VALUE"""),"Second 76.24 Tunisia")</f>
        <v>Second 76.24 Tunisia</v>
      </c>
      <c r="G1951" s="1" t="str">
        <f ca="1">IFERROR(__xludf.DUMMYFUNCTION("""COMPUTED_VALUE"""),"Freedom of Expression, Human Rights Defenders")</f>
        <v>Freedom of Expression, Human Rights Defenders</v>
      </c>
      <c r="H1951" s="1" t="str">
        <f ca="1">IFERROR(__xludf.DUMMYFUNCTION("""COMPUTED_VALUE"""),"2025")</f>
        <v>2025</v>
      </c>
      <c r="I1951" s="1" t="str">
        <f ca="1">IFERROR(__xludf.DUMMYFUNCTION("""COMPUTED_VALUE"""),"Email")</f>
        <v>Email</v>
      </c>
    </row>
    <row r="1952" spans="1:9" ht="13" x14ac:dyDescent="0.15">
      <c r="A1952" s="9">
        <f ca="1">IFERROR(__xludf.DUMMYFUNCTION("""COMPUTED_VALUE"""),255647411)</f>
        <v>255647411</v>
      </c>
      <c r="B1952" s="1" t="str">
        <f ca="1">IFERROR(__xludf.DUMMYFUNCTION("""COMPUTED_VALUE"""),"bryan@4sitestudios.com")</f>
        <v>bryan@4sitestudios.com</v>
      </c>
      <c r="C1952" s="9" t="str">
        <f ca="1">IFERROR(__xludf.DUMMYFUNCTION("""COMPUTED_VALUE"""),"UAN mid-page Lightbox - Step 1 of 4 - Landing Page")</f>
        <v>UAN mid-page Lightbox - Step 1 of 4 - Landing Page</v>
      </c>
      <c r="D1952" s="10">
        <f ca="1">IFERROR(__xludf.DUMMYFUNCTION("""COMPUTED_VALUE"""),45559)</f>
        <v>45559</v>
      </c>
      <c r="E1952" s="1" t="str">
        <f ca="1">IFERROR(__xludf.DUMMYFUNCTION("""COMPUTED_VALUE"""),"Tunisia")</f>
        <v>Tunisia</v>
      </c>
      <c r="F1952" s="1" t="str">
        <f ca="1">IFERROR(__xludf.DUMMYFUNCTION("""COMPUTED_VALUE"""),"Second 76.24 Tunisia")</f>
        <v>Second 76.24 Tunisia</v>
      </c>
      <c r="G1952" s="1" t="str">
        <f ca="1">IFERROR(__xludf.DUMMYFUNCTION("""COMPUTED_VALUE"""),"Freedom of Expression, Human Rights Defenders")</f>
        <v>Freedom of Expression, Human Rights Defenders</v>
      </c>
      <c r="H1952" s="1" t="str">
        <f ca="1">IFERROR(__xludf.DUMMYFUNCTION("""COMPUTED_VALUE"""),"2025")</f>
        <v>2025</v>
      </c>
      <c r="I1952" s="1" t="str">
        <f ca="1">IFERROR(__xludf.DUMMYFUNCTION("""COMPUTED_VALUE"""),"Email")</f>
        <v>Email</v>
      </c>
    </row>
    <row r="1953" spans="1:9" ht="13" x14ac:dyDescent="0.15">
      <c r="A1953" s="9">
        <f ca="1">IFERROR(__xludf.DUMMYFUNCTION("""COMPUTED_VALUE"""),255647411)</f>
        <v>255647411</v>
      </c>
      <c r="B1953" s="1" t="str">
        <f ca="1">IFERROR(__xludf.DUMMYFUNCTION("""COMPUTED_VALUE"""),"bryan@4sitestudios.com")</f>
        <v>bryan@4sitestudios.com</v>
      </c>
      <c r="C1953" s="9" t="str">
        <f ca="1">IFERROR(__xludf.DUMMYFUNCTION("""COMPUTED_VALUE"""),"UAN mid-page Lightbox - Step 1 of 4 - Landing Page")</f>
        <v>UAN mid-page Lightbox - Step 1 of 4 - Landing Page</v>
      </c>
      <c r="D1953" s="10">
        <f ca="1">IFERROR(__xludf.DUMMYFUNCTION("""COMPUTED_VALUE"""),45559)</f>
        <v>45559</v>
      </c>
      <c r="E1953" s="1" t="str">
        <f ca="1">IFERROR(__xludf.DUMMYFUNCTION("""COMPUTED_VALUE"""),"Tunisia")</f>
        <v>Tunisia</v>
      </c>
      <c r="F1953" s="1" t="str">
        <f ca="1">IFERROR(__xludf.DUMMYFUNCTION("""COMPUTED_VALUE"""),"Seventh 103.22 Iran")</f>
        <v>Seventh 103.22 Iran</v>
      </c>
      <c r="G1953" s="1" t="str">
        <f ca="1">IFERROR(__xludf.DUMMYFUNCTION("""COMPUTED_VALUE"""),"Death Penalty, Freedom of Expression, Individuals At Risk")</f>
        <v>Death Penalty, Freedom of Expression, Individuals At Risk</v>
      </c>
      <c r="H1953" s="1" t="str">
        <f ca="1">IFERROR(__xludf.DUMMYFUNCTION("""COMPUTED_VALUE"""),"2024")</f>
        <v>2024</v>
      </c>
      <c r="I1953" s="1" t="str">
        <f ca="1">IFERROR(__xludf.DUMMYFUNCTION("""COMPUTED_VALUE"""),"Email")</f>
        <v>Email</v>
      </c>
    </row>
    <row r="1954" spans="1:9" ht="13" x14ac:dyDescent="0.15">
      <c r="A1954" s="9">
        <f ca="1">IFERROR(__xludf.DUMMYFUNCTION("""COMPUTED_VALUE"""),255647411)</f>
        <v>255647411</v>
      </c>
      <c r="B1954" s="1" t="str">
        <f ca="1">IFERROR(__xludf.DUMMYFUNCTION("""COMPUTED_VALUE"""),"bryan@4sitestudios.com")</f>
        <v>bryan@4sitestudios.com</v>
      </c>
      <c r="C1954" s="9" t="str">
        <f ca="1">IFERROR(__xludf.DUMMYFUNCTION("""COMPUTED_VALUE"""),"UAN mid-page Lightbox - Step 1 of 4 - Landing Page")</f>
        <v>UAN mid-page Lightbox - Step 1 of 4 - Landing Page</v>
      </c>
      <c r="D1954" s="10">
        <f ca="1">IFERROR(__xludf.DUMMYFUNCTION("""COMPUTED_VALUE"""),45559)</f>
        <v>45559</v>
      </c>
      <c r="E1954" s="1" t="str">
        <f ca="1">IFERROR(__xludf.DUMMYFUNCTION("""COMPUTED_VALUE"""),"Iran")</f>
        <v>Iran</v>
      </c>
      <c r="F1954" s="1" t="str">
        <f ca="1">IFERROR(__xludf.DUMMYFUNCTION("""COMPUTED_VALUE"""),"3.25 IOPT")</f>
        <v>3.25 IOPT</v>
      </c>
      <c r="G1954" s="1" t="str">
        <f ca="1">IFERROR(__xludf.DUMMYFUNCTION("""COMPUTED_VALUE"""),"Freedom of Expression, Individuals At Risk")</f>
        <v>Freedom of Expression, Individuals At Risk</v>
      </c>
      <c r="H1954" s="1" t="str">
        <f ca="1">IFERROR(__xludf.DUMMYFUNCTION("""COMPUTED_VALUE"""),"2025")</f>
        <v>2025</v>
      </c>
      <c r="I1954" s="1" t="str">
        <f ca="1">IFERROR(__xludf.DUMMYFUNCTION("""COMPUTED_VALUE"""),"Email")</f>
        <v>Email</v>
      </c>
    </row>
    <row r="1955" spans="1:9" ht="13" x14ac:dyDescent="0.15">
      <c r="A1955" s="9">
        <f ca="1">IFERROR(__xludf.DUMMYFUNCTION("""COMPUTED_VALUE"""),255647411)</f>
        <v>255647411</v>
      </c>
      <c r="B1955" s="1" t="str">
        <f ca="1">IFERROR(__xludf.DUMMYFUNCTION("""COMPUTED_VALUE"""),"bryan@4sitestudios.com")</f>
        <v>bryan@4sitestudios.com</v>
      </c>
      <c r="C1955" s="9" t="str">
        <f ca="1">IFERROR(__xludf.DUMMYFUNCTION("""COMPUTED_VALUE"""),"UAN mid-page Lightbox - Step 1 of 4 - Landing Page")</f>
        <v>UAN mid-page Lightbox - Step 1 of 4 - Landing Page</v>
      </c>
      <c r="D1955" s="10">
        <f ca="1">IFERROR(__xludf.DUMMYFUNCTION("""COMPUTED_VALUE"""),45559)</f>
        <v>45559</v>
      </c>
      <c r="E1955" s="1" t="str">
        <f ca="1">IFERROR(__xludf.DUMMYFUNCTION("""COMPUTED_VALUE"""),"Israel and Occupied Palestinian Territories")</f>
        <v>Israel and Occupied Palestinian Territories</v>
      </c>
      <c r="F1955" s="1" t="str">
        <f ca="1">IFERROR(__xludf.DUMMYFUNCTION("""COMPUTED_VALUE"""),"Fourth 55.24 USA")</f>
        <v>Fourth 55.24 USA</v>
      </c>
      <c r="G1955" s="1" t="str">
        <f ca="1">IFERROR(__xludf.DUMMYFUNCTION("""COMPUTED_VALUE"""),"Climate Justice, Individuals At Risk")</f>
        <v>Climate Justice, Individuals At Risk</v>
      </c>
      <c r="H1955" s="1" t="str">
        <f ca="1">IFERROR(__xludf.DUMMYFUNCTION("""COMPUTED_VALUE"""),"2025")</f>
        <v>2025</v>
      </c>
      <c r="I1955" s="1" t="str">
        <f ca="1">IFERROR(__xludf.DUMMYFUNCTION("""COMPUTED_VALUE"""),"Email")</f>
        <v>Email</v>
      </c>
    </row>
    <row r="1956" spans="1:9" ht="13" x14ac:dyDescent="0.15">
      <c r="A1956" s="9">
        <f ca="1">IFERROR(__xludf.DUMMYFUNCTION("""COMPUTED_VALUE"""),255647411)</f>
        <v>255647411</v>
      </c>
      <c r="B1956" s="1" t="str">
        <f ca="1">IFERROR(__xludf.DUMMYFUNCTION("""COMPUTED_VALUE"""),"bryan@4sitestudios.com")</f>
        <v>bryan@4sitestudios.com</v>
      </c>
      <c r="C1956" s="9" t="str">
        <f ca="1">IFERROR(__xludf.DUMMYFUNCTION("""COMPUTED_VALUE"""),"UAN mid-page Lightbox - Step 1 of 4 - Landing Page")</f>
        <v>UAN mid-page Lightbox - Step 1 of 4 - Landing Page</v>
      </c>
      <c r="D1956" s="10">
        <f ca="1">IFERROR(__xludf.DUMMYFUNCTION("""COMPUTED_VALUE"""),45561)</f>
        <v>45561</v>
      </c>
      <c r="E1956" s="1" t="str">
        <f ca="1">IFERROR(__xludf.DUMMYFUNCTION("""COMPUTED_VALUE"""),"USA")</f>
        <v>USA</v>
      </c>
      <c r="F1956" s="1" t="str">
        <f ca="1">IFERROR(__xludf.DUMMYFUNCTION("""COMPUTED_VALUE"""),"4.25 USA")</f>
        <v>4.25 USA</v>
      </c>
      <c r="G1956" s="1" t="str">
        <f ca="1">IFERROR(__xludf.DUMMYFUNCTION("""COMPUTED_VALUE"""),"Individuals At Risk, Refugee and Migrant Rights")</f>
        <v>Individuals At Risk, Refugee and Migrant Rights</v>
      </c>
      <c r="H1956" s="1" t="str">
        <f ca="1">IFERROR(__xludf.DUMMYFUNCTION("""COMPUTED_VALUE"""),"2025")</f>
        <v>2025</v>
      </c>
      <c r="I1956" s="1" t="str">
        <f ca="1">IFERROR(__xludf.DUMMYFUNCTION("""COMPUTED_VALUE"""),"Letter")</f>
        <v>Letter</v>
      </c>
    </row>
    <row r="1957" spans="1:9" ht="13" x14ac:dyDescent="0.15">
      <c r="A1957" s="9">
        <f ca="1">IFERROR(__xludf.DUMMYFUNCTION("""COMPUTED_VALUE"""),255647411)</f>
        <v>255647411</v>
      </c>
      <c r="B1957" s="1" t="str">
        <f ca="1">IFERROR(__xludf.DUMMYFUNCTION("""COMPUTED_VALUE"""),"bryan@4sitestudios.com")</f>
        <v>bryan@4sitestudios.com</v>
      </c>
      <c r="C1957" s="9" t="str">
        <f ca="1">IFERROR(__xludf.DUMMYFUNCTION("""COMPUTED_VALUE"""),"UAN mid-page Lightbox - Step 2 of 4 - More personal info fields")</f>
        <v>UAN mid-page Lightbox - Step 2 of 4 - More personal info fields</v>
      </c>
      <c r="D1957" s="10">
        <f ca="1">IFERROR(__xludf.DUMMYFUNCTION("""COMPUTED_VALUE"""),45561)</f>
        <v>45561</v>
      </c>
      <c r="E1957" s="1" t="str">
        <f ca="1">IFERROR(__xludf.DUMMYFUNCTION("""COMPUTED_VALUE"""),"USA")</f>
        <v>USA</v>
      </c>
      <c r="F1957" s="1" t="str">
        <f ca="1">IFERROR(__xludf.DUMMYFUNCTION("""COMPUTED_VALUE"""),"4.25 USA")</f>
        <v>4.25 USA</v>
      </c>
      <c r="G1957" s="1" t="str">
        <f ca="1">IFERROR(__xludf.DUMMYFUNCTION("""COMPUTED_VALUE"""),"Individuals At Risk, Refugee and Migrant Rights")</f>
        <v>Individuals At Risk, Refugee and Migrant Rights</v>
      </c>
      <c r="H1957" s="1" t="str">
        <f ca="1">IFERROR(__xludf.DUMMYFUNCTION("""COMPUTED_VALUE"""),"2025")</f>
        <v>2025</v>
      </c>
      <c r="I1957" s="1" t="str">
        <f ca="1">IFERROR(__xludf.DUMMYFUNCTION("""COMPUTED_VALUE"""),"Letter")</f>
        <v>Letter</v>
      </c>
    </row>
    <row r="1958" spans="1:9" ht="13" x14ac:dyDescent="0.15">
      <c r="A1958" s="9">
        <f ca="1">IFERROR(__xludf.DUMMYFUNCTION("""COMPUTED_VALUE"""),255647411)</f>
        <v>255647411</v>
      </c>
      <c r="B1958" s="1" t="str">
        <f ca="1">IFERROR(__xludf.DUMMYFUNCTION("""COMPUTED_VALUE"""),"bryan@4sitestudios.com")</f>
        <v>bryan@4sitestudios.com</v>
      </c>
      <c r="C1958" s="9" t="str">
        <f ca="1">IFERROR(__xludf.DUMMYFUNCTION("""COMPUTED_VALUE"""),"UAN mid-page Lightbox - Step 2 of 4 - More personal info fields")</f>
        <v>UAN mid-page Lightbox - Step 2 of 4 - More personal info fields</v>
      </c>
      <c r="D1958" s="10">
        <f ca="1">IFERROR(__xludf.DUMMYFUNCTION("""COMPUTED_VALUE"""),45561)</f>
        <v>45561</v>
      </c>
      <c r="E1958" s="1" t="str">
        <f ca="1">IFERROR(__xludf.DUMMYFUNCTION("""COMPUTED_VALUE"""),"USA")</f>
        <v>USA</v>
      </c>
      <c r="F1958" s="1" t="str">
        <f ca="1">IFERROR(__xludf.DUMMYFUNCTION("""COMPUTED_VALUE"""),"98.24 China")</f>
        <v>98.24 China</v>
      </c>
      <c r="G1958" s="1" t="str">
        <f ca="1">IFERROR(__xludf.DUMMYFUNCTION("""COMPUTED_VALUE"""),"Freedom of Expression, Individuals At Risk")</f>
        <v>Freedom of Expression, Individuals At Risk</v>
      </c>
      <c r="H1958" s="1" t="str">
        <f ca="1">IFERROR(__xludf.DUMMYFUNCTION("""COMPUTED_VALUE"""),"2024")</f>
        <v>2024</v>
      </c>
      <c r="I1958" s="1" t="str">
        <f ca="1">IFERROR(__xludf.DUMMYFUNCTION("""COMPUTED_VALUE"""),"Letter")</f>
        <v>Letter</v>
      </c>
    </row>
    <row r="1959" spans="1:9" ht="13" x14ac:dyDescent="0.15">
      <c r="A1959" s="9">
        <f ca="1">IFERROR(__xludf.DUMMYFUNCTION("""COMPUTED_VALUE"""),255647411)</f>
        <v>255647411</v>
      </c>
      <c r="B1959" s="1" t="str">
        <f ca="1">IFERROR(__xludf.DUMMYFUNCTION("""COMPUTED_VALUE"""),"bryan@4sitestudios.com")</f>
        <v>bryan@4sitestudios.com</v>
      </c>
      <c r="C1959" s="9" t="str">
        <f ca="1">IFERROR(__xludf.DUMMYFUNCTION("""COMPUTED_VALUE"""),"UAN mid-page Lightbox - Step 2 of 4 - More personal info fields")</f>
        <v>UAN mid-page Lightbox - Step 2 of 4 - More personal info fields</v>
      </c>
      <c r="D1959" s="10">
        <f ca="1">IFERROR(__xludf.DUMMYFUNCTION("""COMPUTED_VALUE"""),45559)</f>
        <v>45559</v>
      </c>
      <c r="E1959" s="1" t="str">
        <f ca="1">IFERROR(__xludf.DUMMYFUNCTION("""COMPUTED_VALUE"""),"China")</f>
        <v>China</v>
      </c>
      <c r="F1959" s="1" t="str">
        <f ca="1">IFERROR(__xludf.DUMMYFUNCTION("""COMPUTED_VALUE"""),"105.24 USA")</f>
        <v>105.24 USA</v>
      </c>
      <c r="G1959" s="1" t="str">
        <f ca="1">IFERROR(__xludf.DUMMYFUNCTION("""COMPUTED_VALUE"""),"Death Penalty")</f>
        <v>Death Penalty</v>
      </c>
      <c r="H1959" s="1" t="str">
        <f ca="1">IFERROR(__xludf.DUMMYFUNCTION("""COMPUTED_VALUE"""),"2024")</f>
        <v>2024</v>
      </c>
      <c r="I1959" s="1" t="str">
        <f ca="1">IFERROR(__xludf.DUMMYFUNCTION("""COMPUTED_VALUE"""),"Email")</f>
        <v>Email</v>
      </c>
    </row>
    <row r="1960" spans="1:9" ht="13" x14ac:dyDescent="0.15">
      <c r="A1960" s="9">
        <f ca="1">IFERROR(__xludf.DUMMYFUNCTION("""COMPUTED_VALUE"""),255647411)</f>
        <v>255647411</v>
      </c>
      <c r="B1960" s="1" t="str">
        <f ca="1">IFERROR(__xludf.DUMMYFUNCTION("""COMPUTED_VALUE"""),"bryan@4sitestudios.com")</f>
        <v>bryan@4sitestudios.com</v>
      </c>
      <c r="C1960" s="9" t="str">
        <f ca="1">IFERROR(__xludf.DUMMYFUNCTION("""COMPUTED_VALUE"""),"UAN mid-page Lightbox - Step 2 of 4 - More personal info fields")</f>
        <v>UAN mid-page Lightbox - Step 2 of 4 - More personal info fields</v>
      </c>
      <c r="D1960" s="10">
        <f ca="1">IFERROR(__xludf.DUMMYFUNCTION("""COMPUTED_VALUE"""),45559)</f>
        <v>45559</v>
      </c>
      <c r="E1960" s="1" t="str">
        <f ca="1">IFERROR(__xludf.DUMMYFUNCTION("""COMPUTED_VALUE"""),"USA")</f>
        <v>USA</v>
      </c>
      <c r="F1960" s="1" t="str">
        <f ca="1">IFERROR(__xludf.DUMMYFUNCTION("""COMPUTED_VALUE"""),"Ninth 190.18 Egypt")</f>
        <v>Ninth 190.18 Egypt</v>
      </c>
      <c r="G1960" s="1" t="str">
        <f ca="1">IFERROR(__xludf.DUMMYFUNCTION("""COMPUTED_VALUE"""),"Freedom of Expression, Individuals At Risk")</f>
        <v>Freedom of Expression, Individuals At Risk</v>
      </c>
      <c r="H1960" s="1" t="str">
        <f ca="1">IFERROR(__xludf.DUMMYFUNCTION("""COMPUTED_VALUE"""),"2024")</f>
        <v>2024</v>
      </c>
      <c r="I1960" s="1" t="str">
        <f ca="1">IFERROR(__xludf.DUMMYFUNCTION("""COMPUTED_VALUE"""),"Letter")</f>
        <v>Letter</v>
      </c>
    </row>
    <row r="1961" spans="1:9" ht="13" x14ac:dyDescent="0.15">
      <c r="A1961" s="9">
        <f ca="1">IFERROR(__xludf.DUMMYFUNCTION("""COMPUTED_VALUE"""),255647411)</f>
        <v>255647411</v>
      </c>
      <c r="B1961" s="1" t="str">
        <f ca="1">IFERROR(__xludf.DUMMYFUNCTION("""COMPUTED_VALUE"""),"bryan@4sitestudios.com")</f>
        <v>bryan@4sitestudios.com</v>
      </c>
      <c r="C1961" s="9" t="str">
        <f ca="1">IFERROR(__xludf.DUMMYFUNCTION("""COMPUTED_VALUE"""),"UAN mid-page Lightbox - Step 2 of 4 - More personal info fields")</f>
        <v>UAN mid-page Lightbox - Step 2 of 4 - More personal info fields</v>
      </c>
      <c r="D1961" s="10">
        <f ca="1">IFERROR(__xludf.DUMMYFUNCTION("""COMPUTED_VALUE"""),45559)</f>
        <v>45559</v>
      </c>
      <c r="E1961" s="1" t="str">
        <f ca="1">IFERROR(__xludf.DUMMYFUNCTION("""COMPUTED_VALUE"""),"Egypt")</f>
        <v>Egypt</v>
      </c>
      <c r="F1961" s="1" t="str">
        <f ca="1">IFERROR(__xludf.DUMMYFUNCTION("""COMPUTED_VALUE"""),"11.25 Afghanistan")</f>
        <v>11.25 Afghanistan</v>
      </c>
      <c r="G1961" s="1" t="str">
        <f ca="1">IFERROR(__xludf.DUMMYFUNCTION("""COMPUTED_VALUE"""),"Freedom of Expression, Health, Individuals At Risk")</f>
        <v>Freedom of Expression, Health, Individuals At Risk</v>
      </c>
      <c r="H1961" s="1" t="str">
        <f ca="1">IFERROR(__xludf.DUMMYFUNCTION("""COMPUTED_VALUE"""),"2025")</f>
        <v>2025</v>
      </c>
      <c r="I1961" s="1" t="str">
        <f ca="1">IFERROR(__xludf.DUMMYFUNCTION("""COMPUTED_VALUE"""),"Email")</f>
        <v>Email</v>
      </c>
    </row>
    <row r="1962" spans="1:9" ht="13" x14ac:dyDescent="0.15">
      <c r="A1962" s="9">
        <f ca="1">IFERROR(__xludf.DUMMYFUNCTION("""COMPUTED_VALUE"""),255647411)</f>
        <v>255647411</v>
      </c>
      <c r="B1962" s="1" t="str">
        <f ca="1">IFERROR(__xludf.DUMMYFUNCTION("""COMPUTED_VALUE"""),"bryan@4sitestudios.com")</f>
        <v>bryan@4sitestudios.com</v>
      </c>
      <c r="C1962" s="9" t="str">
        <f ca="1">IFERROR(__xludf.DUMMYFUNCTION("""COMPUTED_VALUE"""),"UAN mid-page Lightbox - Step 2 of 4 - More personal info fields")</f>
        <v>UAN mid-page Lightbox - Step 2 of 4 - More personal info fields</v>
      </c>
      <c r="D1962" s="10">
        <f ca="1">IFERROR(__xludf.DUMMYFUNCTION("""COMPUTED_VALUE"""),45588)</f>
        <v>45588</v>
      </c>
      <c r="E1962" s="1" t="str">
        <f ca="1">IFERROR(__xludf.DUMMYFUNCTION("""COMPUTED_VALUE"""),"Afghanistan")</f>
        <v>Afghanistan</v>
      </c>
      <c r="F1962" s="1" t="str">
        <f ca="1">IFERROR(__xludf.DUMMYFUNCTION("""COMPUTED_VALUE"""),"97.24 Venezuela")</f>
        <v>97.24 Venezuela</v>
      </c>
      <c r="G1962" s="1" t="str">
        <f ca="1">IFERROR(__xludf.DUMMYFUNCTION("""COMPUTED_VALUE"""),"Freedom of Expression")</f>
        <v>Freedom of Expression</v>
      </c>
      <c r="H1962" s="1" t="str">
        <f ca="1">IFERROR(__xludf.DUMMYFUNCTION("""COMPUTED_VALUE"""),"2024")</f>
        <v>2024</v>
      </c>
      <c r="I1962" s="1" t="str">
        <f ca="1">IFERROR(__xludf.DUMMYFUNCTION("""COMPUTED_VALUE"""),"Letter")</f>
        <v>Letter</v>
      </c>
    </row>
    <row r="1963" spans="1:9" ht="13" x14ac:dyDescent="0.15">
      <c r="A1963" s="9">
        <f ca="1">IFERROR(__xludf.DUMMYFUNCTION("""COMPUTED_VALUE"""),255647411)</f>
        <v>255647411</v>
      </c>
      <c r="B1963" s="1" t="str">
        <f ca="1">IFERROR(__xludf.DUMMYFUNCTION("""COMPUTED_VALUE"""),"bryan@4sitestudios.com")</f>
        <v>bryan@4sitestudios.com</v>
      </c>
      <c r="C1963" s="9" t="str">
        <f ca="1">IFERROR(__xludf.DUMMYFUNCTION("""COMPUTED_VALUE"""),"UAN mid-page Lightbox - Step 2 of 4 - More personal info fields")</f>
        <v>UAN mid-page Lightbox - Step 2 of 4 - More personal info fields</v>
      </c>
      <c r="D1963" s="10">
        <f ca="1">IFERROR(__xludf.DUMMYFUNCTION("""COMPUTED_VALUE"""),45567)</f>
        <v>45567</v>
      </c>
      <c r="E1963" s="1" t="str">
        <f ca="1">IFERROR(__xludf.DUMMYFUNCTION("""COMPUTED_VALUE"""),"Venezuela")</f>
        <v>Venezuela</v>
      </c>
      <c r="F1963" s="1" t="str">
        <f ca="1">IFERROR(__xludf.DUMMYFUNCTION("""COMPUTED_VALUE"""),"Fifth 257.12")</f>
        <v>Fifth 257.12</v>
      </c>
      <c r="G1963" s="1" t="str">
        <f ca="1">IFERROR(__xludf.DUMMYFUNCTION("""COMPUTED_VALUE"""),"Freedom of Expression, Human Rights Defenders")</f>
        <v>Freedom of Expression, Human Rights Defenders</v>
      </c>
      <c r="H1963" s="1" t="str">
        <f ca="1">IFERROR(__xludf.DUMMYFUNCTION("""COMPUTED_VALUE"""),"2025")</f>
        <v>2025</v>
      </c>
      <c r="I1963" s="1" t="str">
        <f ca="1">IFERROR(__xludf.DUMMYFUNCTION("""COMPUTED_VALUE"""),"Email")</f>
        <v>Email</v>
      </c>
    </row>
    <row r="1964" spans="1:9" ht="13" x14ac:dyDescent="0.15">
      <c r="A1964" s="9">
        <f ca="1">IFERROR(__xludf.DUMMYFUNCTION("""COMPUTED_VALUE"""),255647411)</f>
        <v>255647411</v>
      </c>
      <c r="B1964" s="1" t="str">
        <f ca="1">IFERROR(__xludf.DUMMYFUNCTION("""COMPUTED_VALUE"""),"bryan@4sitestudios.com")</f>
        <v>bryan@4sitestudios.com</v>
      </c>
      <c r="C1964" s="9" t="str">
        <f ca="1">IFERROR(__xludf.DUMMYFUNCTION("""COMPUTED_VALUE"""),"UAN mid-page Lightbox - Step 2 of 4 - More personal info fields")</f>
        <v>UAN mid-page Lightbox - Step 2 of 4 - More personal info fields</v>
      </c>
      <c r="D1964" s="10">
        <f ca="1">IFERROR(__xludf.DUMMYFUNCTION("""COMPUTED_VALUE"""),45567)</f>
        <v>45567</v>
      </c>
      <c r="E1964" s="1" t="str">
        <f ca="1">IFERROR(__xludf.DUMMYFUNCTION("""COMPUTED_VALUE"""),"Saudi Arabia")</f>
        <v>Saudi Arabia</v>
      </c>
      <c r="F1964" s="1" t="str">
        <f ca="1">IFERROR(__xludf.DUMMYFUNCTION("""COMPUTED_VALUE"""),"9.25 Uganda")</f>
        <v>9.25 Uganda</v>
      </c>
      <c r="G1964" s="1" t="str">
        <f ca="1">IFERROR(__xludf.DUMMYFUNCTION("""COMPUTED_VALUE"""),"Freedom of Expression, Human Rights Defenders")</f>
        <v>Freedom of Expression, Human Rights Defenders</v>
      </c>
      <c r="H1964" s="1" t="str">
        <f ca="1">IFERROR(__xludf.DUMMYFUNCTION("""COMPUTED_VALUE"""),"2025")</f>
        <v>2025</v>
      </c>
      <c r="I1964" s="1" t="str">
        <f ca="1">IFERROR(__xludf.DUMMYFUNCTION("""COMPUTED_VALUE"""),"Email")</f>
        <v>Email</v>
      </c>
    </row>
    <row r="1965" spans="1:9" ht="13" x14ac:dyDescent="0.15">
      <c r="A1965" s="9">
        <f ca="1">IFERROR(__xludf.DUMMYFUNCTION("""COMPUTED_VALUE"""),255647411)</f>
        <v>255647411</v>
      </c>
      <c r="B1965" s="1" t="str">
        <f ca="1">IFERROR(__xludf.DUMMYFUNCTION("""COMPUTED_VALUE"""),"bryan@4sitestudios.com")</f>
        <v>bryan@4sitestudios.com</v>
      </c>
      <c r="C1965" s="9" t="str">
        <f ca="1">IFERROR(__xludf.DUMMYFUNCTION("""COMPUTED_VALUE"""),"UAN mid-page Lightbox - Step 2 of 4 - More personal info fields")</f>
        <v>UAN mid-page Lightbox - Step 2 of 4 - More personal info fields</v>
      </c>
      <c r="D1965" s="10">
        <f ca="1">IFERROR(__xludf.DUMMYFUNCTION("""COMPUTED_VALUE"""),45561)</f>
        <v>45561</v>
      </c>
      <c r="E1965" s="1" t="str">
        <f ca="1">IFERROR(__xludf.DUMMYFUNCTION("""COMPUTED_VALUE"""),"Uganda")</f>
        <v>Uganda</v>
      </c>
      <c r="F1965" s="1" t="str">
        <f ca="1">IFERROR(__xludf.DUMMYFUNCTION("""COMPUTED_VALUE"""),"12.25 Libya")</f>
        <v>12.25 Libya</v>
      </c>
      <c r="G1965" s="1" t="str">
        <f ca="1">IFERROR(__xludf.DUMMYFUNCTION("""COMPUTED_VALUE"""),"Freedom of Expression, Health, Individuals At Risk")</f>
        <v>Freedom of Expression, Health, Individuals At Risk</v>
      </c>
      <c r="H1965" s="1" t="str">
        <f ca="1">IFERROR(__xludf.DUMMYFUNCTION("""COMPUTED_VALUE"""),"2025")</f>
        <v>2025</v>
      </c>
      <c r="I1965" s="1" t="str">
        <f ca="1">IFERROR(__xludf.DUMMYFUNCTION("""COMPUTED_VALUE"""),"Email")</f>
        <v>Email</v>
      </c>
    </row>
    <row r="1966" spans="1:9" ht="13" x14ac:dyDescent="0.15">
      <c r="A1966" s="9">
        <f ca="1">IFERROR(__xludf.DUMMYFUNCTION("""COMPUTED_VALUE"""),255647411)</f>
        <v>255647411</v>
      </c>
      <c r="B1966" s="1" t="str">
        <f ca="1">IFERROR(__xludf.DUMMYFUNCTION("""COMPUTED_VALUE"""),"bryan@4sitestudios.com")</f>
        <v>bryan@4sitestudios.com</v>
      </c>
      <c r="C1966" s="9" t="str">
        <f ca="1">IFERROR(__xludf.DUMMYFUNCTION("""COMPUTED_VALUE"""),"UAN mid-page Lightbox - Step 2 of 4 - More personal info fields")</f>
        <v>UAN mid-page Lightbox - Step 2 of 4 - More personal info fields</v>
      </c>
      <c r="D1966" s="10">
        <f ca="1">IFERROR(__xludf.DUMMYFUNCTION("""COMPUTED_VALUE"""),45561)</f>
        <v>45561</v>
      </c>
      <c r="E1966" s="1" t="str">
        <f ca="1">IFERROR(__xludf.DUMMYFUNCTION("""COMPUTED_VALUE"""),"Libya")</f>
        <v>Libya</v>
      </c>
      <c r="F1966" s="1" t="str">
        <f ca="1">IFERROR(__xludf.DUMMYFUNCTION("""COMPUTED_VALUE"""),"10.25 Iran")</f>
        <v>10.25 Iran</v>
      </c>
      <c r="G1966" s="1" t="str">
        <f ca="1">IFERROR(__xludf.DUMMYFUNCTION("""COMPUTED_VALUE"""),"Death Penalty, Individuals At Risk")</f>
        <v>Death Penalty, Individuals At Risk</v>
      </c>
      <c r="H1966" s="1" t="str">
        <f ca="1">IFERROR(__xludf.DUMMYFUNCTION("""COMPUTED_VALUE"""),"2025")</f>
        <v>2025</v>
      </c>
      <c r="I1966" s="1" t="str">
        <f ca="1">IFERROR(__xludf.DUMMYFUNCTION("""COMPUTED_VALUE"""),"Email")</f>
        <v>Email</v>
      </c>
    </row>
    <row r="1967" spans="1:9" ht="13" x14ac:dyDescent="0.15">
      <c r="A1967" s="9">
        <f ca="1">IFERROR(__xludf.DUMMYFUNCTION("""COMPUTED_VALUE"""),255647411)</f>
        <v>255647411</v>
      </c>
      <c r="B1967" s="1" t="str">
        <f ca="1">IFERROR(__xludf.DUMMYFUNCTION("""COMPUTED_VALUE"""),"bryan@4sitestudios.com")</f>
        <v>bryan@4sitestudios.com</v>
      </c>
      <c r="C1967" s="9" t="str">
        <f ca="1">IFERROR(__xludf.DUMMYFUNCTION("""COMPUTED_VALUE"""),"UAN mid-page Lightbox - Step 2 of 4 - More personal info fields")</f>
        <v>UAN mid-page Lightbox - Step 2 of 4 - More personal info fields</v>
      </c>
      <c r="D1967" s="10">
        <f ca="1">IFERROR(__xludf.DUMMYFUNCTION("""COMPUTED_VALUE"""),45561)</f>
        <v>45561</v>
      </c>
      <c r="E1967" s="1" t="str">
        <f ca="1">IFERROR(__xludf.DUMMYFUNCTION("""COMPUTED_VALUE"""),"Iran")</f>
        <v>Iran</v>
      </c>
      <c r="F1967" s="1" t="str">
        <f ca="1">IFERROR(__xludf.DUMMYFUNCTION("""COMPUTED_VALUE"""),"Second 80.23 Egypt")</f>
        <v>Second 80.23 Egypt</v>
      </c>
      <c r="G1967" s="1" t="str">
        <f ca="1">IFERROR(__xludf.DUMMYFUNCTION("""COMPUTED_VALUE"""),"Health, Individuals At Risk")</f>
        <v>Health, Individuals At Risk</v>
      </c>
      <c r="H1967" s="1" t="str">
        <f ca="1">IFERROR(__xludf.DUMMYFUNCTION("""COMPUTED_VALUE"""),"2025")</f>
        <v>2025</v>
      </c>
      <c r="I1967" s="1" t="str">
        <f ca="1">IFERROR(__xludf.DUMMYFUNCTION("""COMPUTED_VALUE"""),"Email")</f>
        <v>Email</v>
      </c>
    </row>
    <row r="1968" spans="1:9" ht="13" x14ac:dyDescent="0.15">
      <c r="A1968" s="9">
        <f ca="1">IFERROR(__xludf.DUMMYFUNCTION("""COMPUTED_VALUE"""),255647411)</f>
        <v>255647411</v>
      </c>
      <c r="B1968" s="1" t="str">
        <f ca="1">IFERROR(__xludf.DUMMYFUNCTION("""COMPUTED_VALUE"""),"bryan@4sitestudios.com")</f>
        <v>bryan@4sitestudios.com</v>
      </c>
      <c r="C1968" s="9" t="str">
        <f ca="1">IFERROR(__xludf.DUMMYFUNCTION("""COMPUTED_VALUE"""),"UAN mid-page Lightbox - Step 3 of 4 - More opt-ins")</f>
        <v>UAN mid-page Lightbox - Step 3 of 4 - More opt-ins</v>
      </c>
      <c r="D1968" s="10">
        <f ca="1">IFERROR(__xludf.DUMMYFUNCTION("""COMPUTED_VALUE"""),45588)</f>
        <v>45588</v>
      </c>
      <c r="E1968" s="1" t="str">
        <f ca="1">IFERROR(__xludf.DUMMYFUNCTION("""COMPUTED_VALUE"""),"Egypt")</f>
        <v>Egypt</v>
      </c>
      <c r="F1968" s="1" t="str">
        <f ca="1">IFERROR(__xludf.DUMMYFUNCTION("""COMPUTED_VALUE"""),"Third 12.24 Colombia")</f>
        <v>Third 12.24 Colombia</v>
      </c>
      <c r="G1968" s="1" t="str">
        <f ca="1">IFERROR(__xludf.DUMMYFUNCTION("""COMPUTED_VALUE"""),"Human Rights Defenders, Individuals At Risk")</f>
        <v>Human Rights Defenders, Individuals At Risk</v>
      </c>
      <c r="H1968" s="1" t="str">
        <f ca="1">IFERROR(__xludf.DUMMYFUNCTION("""COMPUTED_VALUE"""),"2025")</f>
        <v>2025</v>
      </c>
      <c r="I1968" s="1" t="str">
        <f ca="1">IFERROR(__xludf.DUMMYFUNCTION("""COMPUTED_VALUE"""),"Email")</f>
        <v>Email</v>
      </c>
    </row>
    <row r="1969" spans="1:9" ht="13" x14ac:dyDescent="0.15">
      <c r="A1969" s="9">
        <f ca="1">IFERROR(__xludf.DUMMYFUNCTION("""COMPUTED_VALUE"""),255647411)</f>
        <v>255647411</v>
      </c>
      <c r="B1969" s="1" t="str">
        <f ca="1">IFERROR(__xludf.DUMMYFUNCTION("""COMPUTED_VALUE"""),"bryan@4sitestudios.com")</f>
        <v>bryan@4sitestudios.com</v>
      </c>
      <c r="C1969" s="9" t="str">
        <f ca="1">IFERROR(__xludf.DUMMYFUNCTION("""COMPUTED_VALUE"""),"UAN mid-page Lightbox - Step 3 of 4 - More opt-ins")</f>
        <v>UAN mid-page Lightbox - Step 3 of 4 - More opt-ins</v>
      </c>
      <c r="D1969" s="10">
        <f ca="1">IFERROR(__xludf.DUMMYFUNCTION("""COMPUTED_VALUE"""),45561)</f>
        <v>45561</v>
      </c>
      <c r="E1969" s="1" t="str">
        <f ca="1">IFERROR(__xludf.DUMMYFUNCTION("""COMPUTED_VALUE"""),"Colombia")</f>
        <v>Colombia</v>
      </c>
      <c r="F1969" s="1" t="str">
        <f ca="1">IFERROR(__xludf.DUMMYFUNCTION("""COMPUTED_VALUE"""),"Second 109.24 Türkiye")</f>
        <v>Second 109.24 Türkiye</v>
      </c>
      <c r="G1969" s="1" t="str">
        <f ca="1">IFERROR(__xludf.DUMMYFUNCTION("""COMPUTED_VALUE"""),"Human Rights Defenders")</f>
        <v>Human Rights Defenders</v>
      </c>
      <c r="H1969" s="1" t="str">
        <f ca="1">IFERROR(__xludf.DUMMYFUNCTION("""COMPUTED_VALUE"""),"2025")</f>
        <v>2025</v>
      </c>
      <c r="I1969" s="1" t="str">
        <f ca="1">IFERROR(__xludf.DUMMYFUNCTION("""COMPUTED_VALUE"""),"Email")</f>
        <v>Email</v>
      </c>
    </row>
    <row r="1970" spans="1:9" ht="13" x14ac:dyDescent="0.15">
      <c r="A1970" s="9">
        <f ca="1">IFERROR(__xludf.DUMMYFUNCTION("""COMPUTED_VALUE"""),255647411)</f>
        <v>255647411</v>
      </c>
      <c r="B1970" s="1" t="str">
        <f ca="1">IFERROR(__xludf.DUMMYFUNCTION("""COMPUTED_VALUE"""),"bryan@4sitestudios.com")</f>
        <v>bryan@4sitestudios.com</v>
      </c>
      <c r="C1970" s="9" t="str">
        <f ca="1">IFERROR(__xludf.DUMMYFUNCTION("""COMPUTED_VALUE"""),"UAN mid-page Lightbox - Step 3 of 4 - More opt-ins")</f>
        <v>UAN mid-page Lightbox - Step 3 of 4 - More opt-ins</v>
      </c>
      <c r="D1970" s="10">
        <f ca="1">IFERROR(__xludf.DUMMYFUNCTION("""COMPUTED_VALUE"""),45561)</f>
        <v>45561</v>
      </c>
      <c r="E1970" s="1" t="str">
        <f ca="1">IFERROR(__xludf.DUMMYFUNCTION("""COMPUTED_VALUE"""),"Turkiye")</f>
        <v>Turkiye</v>
      </c>
      <c r="F1970" s="1" t="str">
        <f ca="1">IFERROR(__xludf.DUMMYFUNCTION("""COMPUTED_VALUE"""),"Fourth 55.24 USA")</f>
        <v>Fourth 55.24 USA</v>
      </c>
      <c r="G1970" s="1" t="str">
        <f ca="1">IFERROR(__xludf.DUMMYFUNCTION("""COMPUTED_VALUE"""),"Climate Justice, Individuals At Risk")</f>
        <v>Climate Justice, Individuals At Risk</v>
      </c>
      <c r="H1970" s="1" t="str">
        <f ca="1">IFERROR(__xludf.DUMMYFUNCTION("""COMPUTED_VALUE"""),"2025")</f>
        <v>2025</v>
      </c>
      <c r="I1970" s="1" t="str">
        <f ca="1">IFERROR(__xludf.DUMMYFUNCTION("""COMPUTED_VALUE"""),"Email")</f>
        <v>Email</v>
      </c>
    </row>
    <row r="1971" spans="1:9" ht="13" x14ac:dyDescent="0.15">
      <c r="A1971" s="9">
        <f ca="1">IFERROR(__xludf.DUMMYFUNCTION("""COMPUTED_VALUE"""),255647411)</f>
        <v>255647411</v>
      </c>
      <c r="B1971" s="1" t="str">
        <f ca="1">IFERROR(__xludf.DUMMYFUNCTION("""COMPUTED_VALUE"""),"bryan@4sitestudios.com")</f>
        <v>bryan@4sitestudios.com</v>
      </c>
      <c r="C1971" s="9" t="str">
        <f ca="1">IFERROR(__xludf.DUMMYFUNCTION("""COMPUTED_VALUE"""),"UAN mid-page Lightbox - Step 3 of 4 - More opt-ins")</f>
        <v>UAN mid-page Lightbox - Step 3 of 4 - More opt-ins</v>
      </c>
      <c r="D1971" s="10">
        <f ca="1">IFERROR(__xludf.DUMMYFUNCTION("""COMPUTED_VALUE"""),45561)</f>
        <v>45561</v>
      </c>
      <c r="E1971" s="1" t="str">
        <f ca="1">IFERROR(__xludf.DUMMYFUNCTION("""COMPUTED_VALUE"""),"USA")</f>
        <v>USA</v>
      </c>
      <c r="F1971" s="1" t="str">
        <f ca="1">IFERROR(__xludf.DUMMYFUNCTION("""COMPUTED_VALUE"""),"Fourth 55.24 USA")</f>
        <v>Fourth 55.24 USA</v>
      </c>
      <c r="G1971" s="1" t="str">
        <f ca="1">IFERROR(__xludf.DUMMYFUNCTION("""COMPUTED_VALUE"""),"Climate Justice, Individuals At Risk")</f>
        <v>Climate Justice, Individuals At Risk</v>
      </c>
      <c r="H1971" s="1" t="str">
        <f ca="1">IFERROR(__xludf.DUMMYFUNCTION("""COMPUTED_VALUE"""),"2025")</f>
        <v>2025</v>
      </c>
      <c r="I1971" s="1" t="str">
        <f ca="1">IFERROR(__xludf.DUMMYFUNCTION("""COMPUTED_VALUE"""),"Email")</f>
        <v>Email</v>
      </c>
    </row>
    <row r="1972" spans="1:9" ht="13" x14ac:dyDescent="0.15">
      <c r="A1972" s="9">
        <f ca="1">IFERROR(__xludf.DUMMYFUNCTION("""COMPUTED_VALUE"""),255647411)</f>
        <v>255647411</v>
      </c>
      <c r="B1972" s="1" t="str">
        <f ca="1">IFERROR(__xludf.DUMMYFUNCTION("""COMPUTED_VALUE"""),"bryan@4sitestudios.com")</f>
        <v>bryan@4sitestudios.com</v>
      </c>
      <c r="C1972" s="9" t="str">
        <f ca="1">IFERROR(__xludf.DUMMYFUNCTION("""COMPUTED_VALUE"""),"UAN mid-page Lightbox - Step 3 of 4 - More opt-ins")</f>
        <v>UAN mid-page Lightbox - Step 3 of 4 - More opt-ins</v>
      </c>
      <c r="D1972" s="10">
        <f ca="1">IFERROR(__xludf.DUMMYFUNCTION("""COMPUTED_VALUE"""),45561)</f>
        <v>45561</v>
      </c>
      <c r="E1972" s="1" t="str">
        <f ca="1">IFERROR(__xludf.DUMMYFUNCTION("""COMPUTED_VALUE"""),"USA")</f>
        <v>USA</v>
      </c>
      <c r="F1972" s="1" t="str">
        <f ca="1">IFERROR(__xludf.DUMMYFUNCTION("""COMPUTED_VALUE"""),"1.25 Venezuela")</f>
        <v>1.25 Venezuela</v>
      </c>
      <c r="G1972" s="1" t="str">
        <f ca="1">IFERROR(__xludf.DUMMYFUNCTION("""COMPUTED_VALUE"""),"Human Rights Defenders, Individuals At Risk")</f>
        <v>Human Rights Defenders, Individuals At Risk</v>
      </c>
      <c r="H1972" s="1" t="str">
        <f ca="1">IFERROR(__xludf.DUMMYFUNCTION("""COMPUTED_VALUE"""),"2025")</f>
        <v>2025</v>
      </c>
      <c r="I1972" s="1" t="str">
        <f ca="1">IFERROR(__xludf.DUMMYFUNCTION("""COMPUTED_VALUE"""),"Letter")</f>
        <v>Letter</v>
      </c>
    </row>
    <row r="1973" spans="1:9" ht="13" x14ac:dyDescent="0.15">
      <c r="A1973" s="9">
        <f ca="1">IFERROR(__xludf.DUMMYFUNCTION("""COMPUTED_VALUE"""),257952563)</f>
        <v>257952563</v>
      </c>
      <c r="B1973" s="1" t="str">
        <f ca="1">IFERROR(__xludf.DUMMYFUNCTION("""COMPUTED_VALUE"""),"gwampfler2@earthlink.net")</f>
        <v>gwampfler2@earthlink.net</v>
      </c>
      <c r="C1973" s="9" t="str">
        <f ca="1">IFERROR(__xludf.DUMMYFUNCTION("""COMPUTED_VALUE"""),"EVERGREEN - UAN Gated Content - Embedded Petition")</f>
        <v>EVERGREEN - UAN Gated Content - Embedded Petition</v>
      </c>
      <c r="D1973" s="10">
        <f ca="1">IFERROR(__xludf.DUMMYFUNCTION("""COMPUTED_VALUE"""),45695)</f>
        <v>45695</v>
      </c>
      <c r="E1973" s="1" t="str">
        <f ca="1">IFERROR(__xludf.DUMMYFUNCTION("""COMPUTED_VALUE"""),"Venezuela")</f>
        <v>Venezuela</v>
      </c>
      <c r="F1973" s="1" t="str">
        <f ca="1">IFERROR(__xludf.DUMMYFUNCTION("""COMPUTED_VALUE"""),"11.25 Afghanistan")</f>
        <v>11.25 Afghanistan</v>
      </c>
      <c r="G1973" s="1" t="str">
        <f ca="1">IFERROR(__xludf.DUMMYFUNCTION("""COMPUTED_VALUE"""),"Freedom of Expression, Health, Individuals At Risk")</f>
        <v>Freedom of Expression, Health, Individuals At Risk</v>
      </c>
      <c r="H1973" s="1" t="str">
        <f ca="1">IFERROR(__xludf.DUMMYFUNCTION("""COMPUTED_VALUE"""),"2025")</f>
        <v>2025</v>
      </c>
      <c r="I1973" s="1" t="str">
        <f ca="1">IFERROR(__xludf.DUMMYFUNCTION("""COMPUTED_VALUE"""),"Email")</f>
        <v>Email</v>
      </c>
    </row>
    <row r="1974" spans="1:9" ht="13" x14ac:dyDescent="0.15">
      <c r="A1974" s="9">
        <f ca="1">IFERROR(__xludf.DUMMYFUNCTION("""COMPUTED_VALUE"""),257952563)</f>
        <v>257952563</v>
      </c>
      <c r="B1974" s="1" t="str">
        <f ca="1">IFERROR(__xludf.DUMMYFUNCTION("""COMPUTED_VALUE"""),"gwampfler2@earthlink.net")</f>
        <v>gwampfler2@earthlink.net</v>
      </c>
      <c r="C1974" s="9" t="str">
        <f ca="1">IFERROR(__xludf.DUMMYFUNCTION("""COMPUTED_VALUE"""),"EVERGREEN - UAN Gated Content - Embedded Petition")</f>
        <v>EVERGREEN - UAN Gated Content - Embedded Petition</v>
      </c>
      <c r="D1974" s="10">
        <f ca="1">IFERROR(__xludf.DUMMYFUNCTION("""COMPUTED_VALUE"""),45638)</f>
        <v>45638</v>
      </c>
      <c r="E1974" s="1" t="str">
        <f ca="1">IFERROR(__xludf.DUMMYFUNCTION("""COMPUTED_VALUE"""),"Afghanistan")</f>
        <v>Afghanistan</v>
      </c>
      <c r="F1974" s="1" t="str">
        <f ca="1">IFERROR(__xludf.DUMMYFUNCTION("""COMPUTED_VALUE"""),"97.24 Venezuela")</f>
        <v>97.24 Venezuela</v>
      </c>
      <c r="G1974" s="1" t="str">
        <f ca="1">IFERROR(__xludf.DUMMYFUNCTION("""COMPUTED_VALUE"""),"Freedom of Expression")</f>
        <v>Freedom of Expression</v>
      </c>
      <c r="H1974" s="1" t="str">
        <f ca="1">IFERROR(__xludf.DUMMYFUNCTION("""COMPUTED_VALUE"""),"2024")</f>
        <v>2024</v>
      </c>
      <c r="I1974" s="1" t="str">
        <f ca="1">IFERROR(__xludf.DUMMYFUNCTION("""COMPUTED_VALUE"""),"Letter")</f>
        <v>Letter</v>
      </c>
    </row>
    <row r="1975" spans="1:9" ht="13" x14ac:dyDescent="0.15">
      <c r="A1975" s="9">
        <f ca="1">IFERROR(__xludf.DUMMYFUNCTION("""COMPUTED_VALUE"""),257952563)</f>
        <v>257952563</v>
      </c>
      <c r="B1975" s="1" t="str">
        <f ca="1">IFERROR(__xludf.DUMMYFUNCTION("""COMPUTED_VALUE"""),"gwampfler2@earthlink.net")</f>
        <v>gwampfler2@earthlink.net</v>
      </c>
      <c r="C1975" s="9" t="str">
        <f ca="1">IFERROR(__xludf.DUMMYFUNCTION("""COMPUTED_VALUE"""),"EVERGREEN - UAN Gated Content - Embedded Petition")</f>
        <v>EVERGREEN - UAN Gated Content - Embedded Petition</v>
      </c>
      <c r="D1975" s="10">
        <f ca="1">IFERROR(__xludf.DUMMYFUNCTION("""COMPUTED_VALUE"""),45695)</f>
        <v>45695</v>
      </c>
      <c r="E1975" s="1" t="str">
        <f ca="1">IFERROR(__xludf.DUMMYFUNCTION("""COMPUTED_VALUE"""),"Venezuela")</f>
        <v>Venezuela</v>
      </c>
      <c r="F1975" s="1" t="str">
        <f ca="1">IFERROR(__xludf.DUMMYFUNCTION("""COMPUTED_VALUE"""),"Fourth 55.24 USA")</f>
        <v>Fourth 55.24 USA</v>
      </c>
      <c r="G1975" s="1" t="str">
        <f ca="1">IFERROR(__xludf.DUMMYFUNCTION("""COMPUTED_VALUE"""),"Climate Justice, Individuals At Risk")</f>
        <v>Climate Justice, Individuals At Risk</v>
      </c>
      <c r="H1975" s="1" t="str">
        <f ca="1">IFERROR(__xludf.DUMMYFUNCTION("""COMPUTED_VALUE"""),"2025")</f>
        <v>2025</v>
      </c>
      <c r="I1975" s="1" t="str">
        <f ca="1">IFERROR(__xludf.DUMMYFUNCTION("""COMPUTED_VALUE"""),"Email")</f>
        <v>Email</v>
      </c>
    </row>
    <row r="1976" spans="1:9" ht="13" x14ac:dyDescent="0.15">
      <c r="A1976" s="9">
        <f ca="1">IFERROR(__xludf.DUMMYFUNCTION("""COMPUTED_VALUE"""),257952563)</f>
        <v>257952563</v>
      </c>
      <c r="B1976" s="1" t="str">
        <f ca="1">IFERROR(__xludf.DUMMYFUNCTION("""COMPUTED_VALUE"""),"gwampfler2@earthlink.net")</f>
        <v>gwampfler2@earthlink.net</v>
      </c>
      <c r="C1976" s="9" t="str">
        <f ca="1">IFERROR(__xludf.DUMMYFUNCTION("""COMPUTED_VALUE"""),"EVERGREEN - UAN Gated Content - Embedded Petition")</f>
        <v>EVERGREEN - UAN Gated Content - Embedded Petition</v>
      </c>
      <c r="D1976" s="10">
        <f ca="1">IFERROR(__xludf.DUMMYFUNCTION("""COMPUTED_VALUE"""),45616)</f>
        <v>45616</v>
      </c>
      <c r="E1976" s="1" t="str">
        <f ca="1">IFERROR(__xludf.DUMMYFUNCTION("""COMPUTED_VALUE"""),"USA")</f>
        <v>USA</v>
      </c>
      <c r="F1976" s="1" t="str">
        <f ca="1">IFERROR(__xludf.DUMMYFUNCTION("""COMPUTED_VALUE"""),"Fourth 55.24 USA")</f>
        <v>Fourth 55.24 USA</v>
      </c>
      <c r="G1976" s="1" t="str">
        <f ca="1">IFERROR(__xludf.DUMMYFUNCTION("""COMPUTED_VALUE"""),"Climate Justice, Individuals At Risk")</f>
        <v>Climate Justice, Individuals At Risk</v>
      </c>
      <c r="H1976" s="1" t="str">
        <f ca="1">IFERROR(__xludf.DUMMYFUNCTION("""COMPUTED_VALUE"""),"2025")</f>
        <v>2025</v>
      </c>
      <c r="I1976" s="1" t="str">
        <f ca="1">IFERROR(__xludf.DUMMYFUNCTION("""COMPUTED_VALUE"""),"Email")</f>
        <v>Email</v>
      </c>
    </row>
    <row r="1977" spans="1:9" ht="13" x14ac:dyDescent="0.15">
      <c r="A1977" s="9">
        <f ca="1">IFERROR(__xludf.DUMMYFUNCTION("""COMPUTED_VALUE"""),257952563)</f>
        <v>257952563</v>
      </c>
      <c r="B1977" s="1" t="str">
        <f ca="1">IFERROR(__xludf.DUMMYFUNCTION("""COMPUTED_VALUE"""),"gwampfler2@earthlink.net")</f>
        <v>gwampfler2@earthlink.net</v>
      </c>
      <c r="C1977" s="9" t="str">
        <f ca="1">IFERROR(__xludf.DUMMYFUNCTION("""COMPUTED_VALUE"""),"EVERGREEN - UAN Gated Content - Embedded Petition")</f>
        <v>EVERGREEN - UAN Gated Content - Embedded Petition</v>
      </c>
      <c r="D1977" s="10">
        <f ca="1">IFERROR(__xludf.DUMMYFUNCTION("""COMPUTED_VALUE"""),45691)</f>
        <v>45691</v>
      </c>
      <c r="E1977" s="1" t="str">
        <f ca="1">IFERROR(__xludf.DUMMYFUNCTION("""COMPUTED_VALUE"""),"USA")</f>
        <v>USA</v>
      </c>
      <c r="F1977" s="1" t="str">
        <f ca="1">IFERROR(__xludf.DUMMYFUNCTION("""COMPUTED_VALUE"""),"Fourth 55.24 USA")</f>
        <v>Fourth 55.24 USA</v>
      </c>
      <c r="G1977" s="1" t="str">
        <f ca="1">IFERROR(__xludf.DUMMYFUNCTION("""COMPUTED_VALUE"""),"Climate Justice, Individuals At Risk")</f>
        <v>Climate Justice, Individuals At Risk</v>
      </c>
      <c r="H1977" s="1" t="str">
        <f ca="1">IFERROR(__xludf.DUMMYFUNCTION("""COMPUTED_VALUE"""),"2025")</f>
        <v>2025</v>
      </c>
      <c r="I1977" s="1" t="str">
        <f ca="1">IFERROR(__xludf.DUMMYFUNCTION("""COMPUTED_VALUE"""),"Email")</f>
        <v>Email</v>
      </c>
    </row>
    <row r="1978" spans="1:9" ht="13" x14ac:dyDescent="0.15">
      <c r="A1978" s="9">
        <f ca="1">IFERROR(__xludf.DUMMYFUNCTION("""COMPUTED_VALUE"""),257952563)</f>
        <v>257952563</v>
      </c>
      <c r="B1978" s="1" t="str">
        <f ca="1">IFERROR(__xludf.DUMMYFUNCTION("""COMPUTED_VALUE"""),"gwampfler2@earthlink.net")</f>
        <v>gwampfler2@earthlink.net</v>
      </c>
      <c r="C1978" s="9" t="str">
        <f ca="1">IFERROR(__xludf.DUMMYFUNCTION("""COMPUTED_VALUE"""),"EVERGREEN - UAN Gated Content - Embedded Petition")</f>
        <v>EVERGREEN - UAN Gated Content - Embedded Petition</v>
      </c>
      <c r="D1978" s="10">
        <f ca="1">IFERROR(__xludf.DUMMYFUNCTION("""COMPUTED_VALUE"""),45638)</f>
        <v>45638</v>
      </c>
      <c r="E1978" s="1" t="str">
        <f ca="1">IFERROR(__xludf.DUMMYFUNCTION("""COMPUTED_VALUE"""),"USA")</f>
        <v>USA</v>
      </c>
      <c r="F1978" s="1" t="str">
        <f ca="1">IFERROR(__xludf.DUMMYFUNCTION("""COMPUTED_VALUE"""),"107.24 Singapore")</f>
        <v>107.24 Singapore</v>
      </c>
      <c r="G1978" s="1" t="str">
        <f ca="1">IFERROR(__xludf.DUMMYFUNCTION("""COMPUTED_VALUE"""),"Death Penalty")</f>
        <v>Death Penalty</v>
      </c>
      <c r="H1978" s="1" t="str">
        <f ca="1">IFERROR(__xludf.DUMMYFUNCTION("""COMPUTED_VALUE"""),"2024")</f>
        <v>2024</v>
      </c>
      <c r="I1978" s="1" t="str">
        <f ca="1">IFERROR(__xludf.DUMMYFUNCTION("""COMPUTED_VALUE"""),"Email")</f>
        <v>Email</v>
      </c>
    </row>
    <row r="1979" spans="1:9" ht="13" x14ac:dyDescent="0.15">
      <c r="A1979" s="9">
        <f ca="1">IFERROR(__xludf.DUMMYFUNCTION("""COMPUTED_VALUE"""),257952563)</f>
        <v>257952563</v>
      </c>
      <c r="B1979" s="1" t="str">
        <f ca="1">IFERROR(__xludf.DUMMYFUNCTION("""COMPUTED_VALUE"""),"gwampfler2@earthlink.net")</f>
        <v>gwampfler2@earthlink.net</v>
      </c>
      <c r="C1979" s="9" t="str">
        <f ca="1">IFERROR(__xludf.DUMMYFUNCTION("""COMPUTED_VALUE"""),"EVERGREEN - Website Email Capture Form - UAN Pre-Footer")</f>
        <v>EVERGREEN - Website Email Capture Form - UAN Pre-Footer</v>
      </c>
      <c r="D1979" s="10">
        <f ca="1">IFERROR(__xludf.DUMMYFUNCTION("""COMPUTED_VALUE"""),45695)</f>
        <v>45695</v>
      </c>
      <c r="E1979" s="1" t="str">
        <f ca="1">IFERROR(__xludf.DUMMYFUNCTION("""COMPUTED_VALUE"""),"Singapore")</f>
        <v>Singapore</v>
      </c>
      <c r="F1979" s="1" t="str">
        <f ca="1">IFERROR(__xludf.DUMMYFUNCTION("""COMPUTED_VALUE"""),"Second 43.24 Tunisia")</f>
        <v>Second 43.24 Tunisia</v>
      </c>
      <c r="G1979" s="1" t="str">
        <f ca="1">IFERROR(__xludf.DUMMYFUNCTION("""COMPUTED_VALUE"""),"Freedom of Expression, Individuals At Risk")</f>
        <v>Freedom of Expression, Individuals At Risk</v>
      </c>
      <c r="H1979" s="1" t="str">
        <f ca="1">IFERROR(__xludf.DUMMYFUNCTION("""COMPUTED_VALUE"""),"2024")</f>
        <v>2024</v>
      </c>
      <c r="I1979" s="1" t="str">
        <f ca="1">IFERROR(__xludf.DUMMYFUNCTION("""COMPUTED_VALUE"""),"Email")</f>
        <v>Email</v>
      </c>
    </row>
    <row r="1980" spans="1:9" ht="13" x14ac:dyDescent="0.15">
      <c r="A1980" s="9">
        <f ca="1">IFERROR(__xludf.DUMMYFUNCTION("""COMPUTED_VALUE"""),257952563)</f>
        <v>257952563</v>
      </c>
      <c r="B1980" s="1" t="str">
        <f ca="1">IFERROR(__xludf.DUMMYFUNCTION("""COMPUTED_VALUE"""),"gwampfler2@earthlink.net")</f>
        <v>gwampfler2@earthlink.net</v>
      </c>
      <c r="C1980" s="9" t="str">
        <f ca="1">IFERROR(__xludf.DUMMYFUNCTION("""COMPUTED_VALUE"""),"EVERGREEN - Website Email Capture Form - UAN Pre-Footer")</f>
        <v>EVERGREEN - Website Email Capture Form - UAN Pre-Footer</v>
      </c>
      <c r="D1980" s="10">
        <f ca="1">IFERROR(__xludf.DUMMYFUNCTION("""COMPUTED_VALUE"""),45675)</f>
        <v>45675</v>
      </c>
      <c r="E1980" s="1" t="str">
        <f ca="1">IFERROR(__xludf.DUMMYFUNCTION("""COMPUTED_VALUE"""),"Tunisia")</f>
        <v>Tunisia</v>
      </c>
      <c r="F1980" s="1" t="str">
        <f ca="1">IFERROR(__xludf.DUMMYFUNCTION("""COMPUTED_VALUE"""),"103.24 Niger")</f>
        <v>103.24 Niger</v>
      </c>
      <c r="G1980" s="1" t="str">
        <f ca="1">IFERROR(__xludf.DUMMYFUNCTION("""COMPUTED_VALUE"""),"Freedom of Expression, Human Rights Defenders")</f>
        <v>Freedom of Expression, Human Rights Defenders</v>
      </c>
      <c r="H1980" s="1" t="str">
        <f ca="1">IFERROR(__xludf.DUMMYFUNCTION("""COMPUTED_VALUE"""),"2024")</f>
        <v>2024</v>
      </c>
      <c r="I1980" s="1" t="str">
        <f ca="1">IFERROR(__xludf.DUMMYFUNCTION("""COMPUTED_VALUE"""),"Email")</f>
        <v>Email</v>
      </c>
    </row>
    <row r="1981" spans="1:9" ht="13" x14ac:dyDescent="0.15">
      <c r="A1981" s="9">
        <f ca="1">IFERROR(__xludf.DUMMYFUNCTION("""COMPUTED_VALUE"""),258879313)</f>
        <v>258879313</v>
      </c>
      <c r="B1981" s="1" t="str">
        <f ca="1">IFERROR(__xludf.DUMMYFUNCTION("""COMPUTED_VALUE"""),"mhardy@ara.com")</f>
        <v>mhardy@ara.com</v>
      </c>
      <c r="C1981" s="9" t="str">
        <f ca="1">IFERROR(__xludf.DUMMYFUNCTION("""COMPUTED_VALUE"""),"EVERGREEN - UAN Gated Content - Embedded Petition")</f>
        <v>EVERGREEN - UAN Gated Content - Embedded Petition</v>
      </c>
      <c r="D1981" s="10">
        <f ca="1">IFERROR(__xludf.DUMMYFUNCTION("""COMPUTED_VALUE"""),45674)</f>
        <v>45674</v>
      </c>
      <c r="E1981" s="1" t="str">
        <f ca="1">IFERROR(__xludf.DUMMYFUNCTION("""COMPUTED_VALUE"""),"Niger")</f>
        <v>Niger</v>
      </c>
      <c r="F1981" s="1" t="str">
        <f ca="1">IFERROR(__xludf.DUMMYFUNCTION("""COMPUTED_VALUE"""),"109.24 Türkiye")</f>
        <v>109.24 Türkiye</v>
      </c>
      <c r="G1981" s="1" t="str">
        <f ca="1">IFERROR(__xludf.DUMMYFUNCTION("""COMPUTED_VALUE"""),"Human Rights Defenders, Individuals At Risk")</f>
        <v>Human Rights Defenders, Individuals At Risk</v>
      </c>
      <c r="H1981" s="1" t="str">
        <f ca="1">IFERROR(__xludf.DUMMYFUNCTION("""COMPUTED_VALUE"""),"2024")</f>
        <v>2024</v>
      </c>
      <c r="I1981" s="1" t="str">
        <f ca="1">IFERROR(__xludf.DUMMYFUNCTION("""COMPUTED_VALUE"""),"Email")</f>
        <v>Email</v>
      </c>
    </row>
    <row r="1982" spans="1:9" ht="13" x14ac:dyDescent="0.15">
      <c r="A1982" s="9">
        <f ca="1">IFERROR(__xludf.DUMMYFUNCTION("""COMPUTED_VALUE"""),258879313)</f>
        <v>258879313</v>
      </c>
      <c r="B1982" s="1" t="str">
        <f ca="1">IFERROR(__xludf.DUMMYFUNCTION("""COMPUTED_VALUE"""),"mhardy@ara.com")</f>
        <v>mhardy@ara.com</v>
      </c>
      <c r="C1982" s="9" t="str">
        <f ca="1">IFERROR(__xludf.DUMMYFUNCTION("""COMPUTED_VALUE"""),"EVERGREEN - UAN Gated Content - Embedded Petition")</f>
        <v>EVERGREEN - UAN Gated Content - Embedded Petition</v>
      </c>
      <c r="D1982" s="10">
        <f ca="1">IFERROR(__xludf.DUMMYFUNCTION("""COMPUTED_VALUE"""),45674)</f>
        <v>45674</v>
      </c>
      <c r="E1982" s="1" t="str">
        <f ca="1">IFERROR(__xludf.DUMMYFUNCTION("""COMPUTED_VALUE"""),"Turkiye")</f>
        <v>Turkiye</v>
      </c>
      <c r="F1982" s="1" t="str">
        <f ca="1">IFERROR(__xludf.DUMMYFUNCTION("""COMPUTED_VALUE"""),"Third 73.23 Egypt")</f>
        <v>Third 73.23 Egypt</v>
      </c>
      <c r="G1982" s="1" t="str">
        <f ca="1">IFERROR(__xludf.DUMMYFUNCTION("""COMPUTED_VALUE"""),"Individuals At Risk")</f>
        <v>Individuals At Risk</v>
      </c>
      <c r="H1982" s="1" t="str">
        <f ca="1">IFERROR(__xludf.DUMMYFUNCTION("""COMPUTED_VALUE"""),"2024")</f>
        <v>2024</v>
      </c>
      <c r="I1982" s="1" t="str">
        <f ca="1">IFERROR(__xludf.DUMMYFUNCTION("""COMPUTED_VALUE"""),"Email")</f>
        <v>Email</v>
      </c>
    </row>
    <row r="1983" spans="1:9" ht="13" x14ac:dyDescent="0.15">
      <c r="A1983" s="9">
        <f ca="1">IFERROR(__xludf.DUMMYFUNCTION("""COMPUTED_VALUE"""),258879455)</f>
        <v>258879455</v>
      </c>
      <c r="B1983" s="1" t="str">
        <f ca="1">IFERROR(__xludf.DUMMYFUNCTION("""COMPUTED_VALUE"""),"jkelsberg@gmail.com")</f>
        <v>jkelsberg@gmail.com</v>
      </c>
      <c r="C1983" s="9" t="str">
        <f ca="1">IFERROR(__xludf.DUMMYFUNCTION("""COMPUTED_VALUE"""),"EVERGREEN - UAN Gated Content - Embedded Petition")</f>
        <v>EVERGREEN - UAN Gated Content - Embedded Petition</v>
      </c>
      <c r="D1983" s="10">
        <f ca="1">IFERROR(__xludf.DUMMYFUNCTION("""COMPUTED_VALUE"""),45694)</f>
        <v>45694</v>
      </c>
      <c r="E1983" s="1" t="str">
        <f ca="1">IFERROR(__xludf.DUMMYFUNCTION("""COMPUTED_VALUE"""),"Egypt")</f>
        <v>Egypt</v>
      </c>
      <c r="F1983" s="1" t="str">
        <f ca="1">IFERROR(__xludf.DUMMYFUNCTION("""COMPUTED_VALUE"""),"Third 73.23 Egypt")</f>
        <v>Third 73.23 Egypt</v>
      </c>
      <c r="G1983" s="1" t="str">
        <f ca="1">IFERROR(__xludf.DUMMYFUNCTION("""COMPUTED_VALUE"""),"Individuals At Risk")</f>
        <v>Individuals At Risk</v>
      </c>
      <c r="H1983" s="1" t="str">
        <f ca="1">IFERROR(__xludf.DUMMYFUNCTION("""COMPUTED_VALUE"""),"2024")</f>
        <v>2024</v>
      </c>
      <c r="I1983" s="1" t="str">
        <f ca="1">IFERROR(__xludf.DUMMYFUNCTION("""COMPUTED_VALUE"""),"Email")</f>
        <v>Email</v>
      </c>
    </row>
    <row r="1984" spans="1:9" ht="13" x14ac:dyDescent="0.15">
      <c r="A1984" s="9">
        <f ca="1">IFERROR(__xludf.DUMMYFUNCTION("""COMPUTED_VALUE"""),258882406)</f>
        <v>258882406</v>
      </c>
      <c r="B1984" s="1" t="str">
        <f ca="1">IFERROR(__xludf.DUMMYFUNCTION("""COMPUTED_VALUE"""),"political.lsdp@gmail.com")</f>
        <v>political.lsdp@gmail.com</v>
      </c>
      <c r="C1984" s="9" t="str">
        <f ca="1">IFERROR(__xludf.DUMMYFUNCTION("""COMPUTED_VALUE"""),"EVERGREEN - UAN Gated Content - Embedded Petition")</f>
        <v>EVERGREEN - UAN Gated Content - Embedded Petition</v>
      </c>
      <c r="D1984" s="10">
        <f ca="1">IFERROR(__xludf.DUMMYFUNCTION("""COMPUTED_VALUE"""),45694)</f>
        <v>45694</v>
      </c>
      <c r="E1984" s="1" t="str">
        <f ca="1">IFERROR(__xludf.DUMMYFUNCTION("""COMPUTED_VALUE"""),"Egypt")</f>
        <v>Egypt</v>
      </c>
      <c r="F1984" s="1" t="str">
        <f ca="1">IFERROR(__xludf.DUMMYFUNCTION("""COMPUTED_VALUE"""),"Third 73.23 Egypt")</f>
        <v>Third 73.23 Egypt</v>
      </c>
      <c r="G1984" s="1" t="str">
        <f ca="1">IFERROR(__xludf.DUMMYFUNCTION("""COMPUTED_VALUE"""),"Individuals At Risk")</f>
        <v>Individuals At Risk</v>
      </c>
      <c r="H1984" s="1" t="str">
        <f ca="1">IFERROR(__xludf.DUMMYFUNCTION("""COMPUTED_VALUE"""),"2024")</f>
        <v>2024</v>
      </c>
      <c r="I1984" s="1" t="str">
        <f ca="1">IFERROR(__xludf.DUMMYFUNCTION("""COMPUTED_VALUE"""),"Email")</f>
        <v>Email</v>
      </c>
    </row>
    <row r="1985" spans="1:9" ht="13" x14ac:dyDescent="0.15">
      <c r="A1985" s="9">
        <f ca="1">IFERROR(__xludf.DUMMYFUNCTION("""COMPUTED_VALUE"""),259067769)</f>
        <v>259067769</v>
      </c>
      <c r="B1985" s="1" t="str">
        <f ca="1">IFERROR(__xludf.DUMMYFUNCTION("""COMPUTED_VALUE"""),"mabdelsatar@aiusacs.org")</f>
        <v>mabdelsatar@aiusacs.org</v>
      </c>
      <c r="C1985" s="9" t="str">
        <f ca="1">IFERROR(__xludf.DUMMYFUNCTION("""COMPUTED_VALUE"""),"EVERGREEN - UAN Gated Content - Embedded Petition")</f>
        <v>EVERGREEN - UAN Gated Content - Embedded Petition</v>
      </c>
      <c r="D1985" s="10">
        <f ca="1">IFERROR(__xludf.DUMMYFUNCTION("""COMPUTED_VALUE"""),45629)</f>
        <v>45629</v>
      </c>
      <c r="E1985" s="1" t="str">
        <f ca="1">IFERROR(__xludf.DUMMYFUNCTION("""COMPUTED_VALUE"""),"Egypt")</f>
        <v>Egypt</v>
      </c>
      <c r="F1985" s="1" t="str">
        <f ca="1">IFERROR(__xludf.DUMMYFUNCTION("""COMPUTED_VALUE"""),"Seventh 103.22 Iran")</f>
        <v>Seventh 103.22 Iran</v>
      </c>
      <c r="G1985" s="1" t="str">
        <f ca="1">IFERROR(__xludf.DUMMYFUNCTION("""COMPUTED_VALUE"""),"Death Penalty, Freedom of Expression, Individuals At Risk")</f>
        <v>Death Penalty, Freedom of Expression, Individuals At Risk</v>
      </c>
      <c r="H1985" s="1" t="str">
        <f ca="1">IFERROR(__xludf.DUMMYFUNCTION("""COMPUTED_VALUE"""),"2024")</f>
        <v>2024</v>
      </c>
      <c r="I1985" s="1" t="str">
        <f ca="1">IFERROR(__xludf.DUMMYFUNCTION("""COMPUTED_VALUE"""),"Email")</f>
        <v>Email</v>
      </c>
    </row>
    <row r="1986" spans="1:9" ht="13" x14ac:dyDescent="0.15">
      <c r="A1986" s="9">
        <f ca="1">IFERROR(__xludf.DUMMYFUNCTION("""COMPUTED_VALUE"""),259260280)</f>
        <v>259260280</v>
      </c>
      <c r="B1986" s="1" t="str">
        <f ca="1">IFERROR(__xludf.DUMMYFUNCTION("""COMPUTED_VALUE"""),"rosenberg.carl@yahoo.ca")</f>
        <v>rosenberg.carl@yahoo.ca</v>
      </c>
      <c r="C1986" s="9" t="str">
        <f ca="1">IFERROR(__xludf.DUMMYFUNCTION("""COMPUTED_VALUE"""),"EVERGREEN - UAN Gated Content - Embedded Petition")</f>
        <v>EVERGREEN - UAN Gated Content - Embedded Petition</v>
      </c>
      <c r="D1986" s="10">
        <f ca="1">IFERROR(__xludf.DUMMYFUNCTION("""COMPUTED_VALUE"""),45694)</f>
        <v>45694</v>
      </c>
      <c r="E1986" s="1" t="str">
        <f ca="1">IFERROR(__xludf.DUMMYFUNCTION("""COMPUTED_VALUE"""),"Iran")</f>
        <v>Iran</v>
      </c>
      <c r="F1986" s="1" t="str">
        <f ca="1">IFERROR(__xludf.DUMMYFUNCTION("""COMPUTED_VALUE"""),"101.24 Iran")</f>
        <v>101.24 Iran</v>
      </c>
      <c r="G1986" s="1" t="str">
        <f ca="1">IFERROR(__xludf.DUMMYFUNCTION("""COMPUTED_VALUE"""),"Death Penalty, Freedom of Expression, Individuals At Risk, Right to Protest")</f>
        <v>Death Penalty, Freedom of Expression, Individuals At Risk, Right to Protest</v>
      </c>
      <c r="H1986" s="1" t="str">
        <f ca="1">IFERROR(__xludf.DUMMYFUNCTION("""COMPUTED_VALUE"""),"2024")</f>
        <v>2024</v>
      </c>
      <c r="I1986" s="1" t="str">
        <f ca="1">IFERROR(__xludf.DUMMYFUNCTION("""COMPUTED_VALUE"""),"Email")</f>
        <v>Email</v>
      </c>
    </row>
    <row r="1987" spans="1:9" ht="13" x14ac:dyDescent="0.15">
      <c r="A1987" s="9">
        <f ca="1">IFERROR(__xludf.DUMMYFUNCTION("""COMPUTED_VALUE"""),259271029)</f>
        <v>259271029</v>
      </c>
      <c r="B1987" s="1" t="str">
        <f ca="1">IFERROR(__xludf.DUMMYFUNCTION("""COMPUTED_VALUE"""),"ppleuss@hotmail.com")</f>
        <v>ppleuss@hotmail.com</v>
      </c>
      <c r="C1987" s="9" t="str">
        <f ca="1">IFERROR(__xludf.DUMMYFUNCTION("""COMPUTED_VALUE"""),"EVERGREEN - UAN Gated Content - Embedded Petition")</f>
        <v>EVERGREEN - UAN Gated Content - Embedded Petition</v>
      </c>
      <c r="D1987" s="10">
        <f ca="1">IFERROR(__xludf.DUMMYFUNCTION("""COMPUTED_VALUE"""),45703)</f>
        <v>45703</v>
      </c>
      <c r="E1987" s="1" t="str">
        <f ca="1">IFERROR(__xludf.DUMMYFUNCTION("""COMPUTED_VALUE"""),"Iran")</f>
        <v>Iran</v>
      </c>
      <c r="F1987" s="1" t="str">
        <f ca="1">IFERROR(__xludf.DUMMYFUNCTION("""COMPUTED_VALUE"""),"88.24 Dominican Republic")</f>
        <v>88.24 Dominican Republic</v>
      </c>
      <c r="G1987" s="1" t="str">
        <f ca="1">IFERROR(__xludf.DUMMYFUNCTION("""COMPUTED_VALUE"""),"Individuals At Risk, Refugee and Migrant Rights")</f>
        <v>Individuals At Risk, Refugee and Migrant Rights</v>
      </c>
      <c r="H1987" s="1" t="str">
        <f ca="1">IFERROR(__xludf.DUMMYFUNCTION("""COMPUTED_VALUE"""),"2024")</f>
        <v>2024</v>
      </c>
      <c r="I1987" s="1" t="str">
        <f ca="1">IFERROR(__xludf.DUMMYFUNCTION("""COMPUTED_VALUE"""),"Letter")</f>
        <v>Letter</v>
      </c>
    </row>
    <row r="1988" spans="1:9" ht="13" x14ac:dyDescent="0.15">
      <c r="A1988" s="9">
        <f ca="1">IFERROR(__xludf.DUMMYFUNCTION("""COMPUTED_VALUE"""),259271029)</f>
        <v>259271029</v>
      </c>
      <c r="B1988" s="1" t="str">
        <f ca="1">IFERROR(__xludf.DUMMYFUNCTION("""COMPUTED_VALUE"""),"ppleuss@hotmail.com")</f>
        <v>ppleuss@hotmail.com</v>
      </c>
      <c r="C1988" s="9" t="str">
        <f ca="1">IFERROR(__xludf.DUMMYFUNCTION("""COMPUTED_VALUE"""),"EVERGREEN - UAN Gated Content - Embedded Petition")</f>
        <v>EVERGREEN - UAN Gated Content - Embedded Petition</v>
      </c>
      <c r="D1988" s="10">
        <f ca="1">IFERROR(__xludf.DUMMYFUNCTION("""COMPUTED_VALUE"""),45703)</f>
        <v>45703</v>
      </c>
      <c r="E1988" s="1" t="str">
        <f ca="1">IFERROR(__xludf.DUMMYFUNCTION("""COMPUTED_VALUE"""),"Dominican Republic")</f>
        <v>Dominican Republic</v>
      </c>
      <c r="F1988" s="1" t="str">
        <f ca="1">IFERROR(__xludf.DUMMYFUNCTION("""COMPUTED_VALUE"""),"Ninth 190.18 Egypt")</f>
        <v>Ninth 190.18 Egypt</v>
      </c>
      <c r="G1988" s="1" t="str">
        <f ca="1">IFERROR(__xludf.DUMMYFUNCTION("""COMPUTED_VALUE"""),"Freedom of Expression, Individuals At Risk")</f>
        <v>Freedom of Expression, Individuals At Risk</v>
      </c>
      <c r="H1988" s="1" t="str">
        <f ca="1">IFERROR(__xludf.DUMMYFUNCTION("""COMPUTED_VALUE"""),"2024")</f>
        <v>2024</v>
      </c>
      <c r="I1988" s="1" t="str">
        <f ca="1">IFERROR(__xludf.DUMMYFUNCTION("""COMPUTED_VALUE"""),"Letter")</f>
        <v>Letter</v>
      </c>
    </row>
    <row r="1989" spans="1:9" ht="13" x14ac:dyDescent="0.15">
      <c r="A1989" s="9">
        <f ca="1">IFERROR(__xludf.DUMMYFUNCTION("""COMPUTED_VALUE"""),259271029)</f>
        <v>259271029</v>
      </c>
      <c r="B1989" s="1" t="str">
        <f ca="1">IFERROR(__xludf.DUMMYFUNCTION("""COMPUTED_VALUE"""),"ppleuss@hotmail.com")</f>
        <v>ppleuss@hotmail.com</v>
      </c>
      <c r="C1989" s="9" t="str">
        <f ca="1">IFERROR(__xludf.DUMMYFUNCTION("""COMPUTED_VALUE"""),"EVERGREEN - UAN Gated Content - Embedded Petition")</f>
        <v>EVERGREEN - UAN Gated Content - Embedded Petition</v>
      </c>
      <c r="D1989" s="10">
        <f ca="1">IFERROR(__xludf.DUMMYFUNCTION("""COMPUTED_VALUE"""),45616)</f>
        <v>45616</v>
      </c>
      <c r="E1989" s="1" t="str">
        <f ca="1">IFERROR(__xludf.DUMMYFUNCTION("""COMPUTED_VALUE"""),"Egypt")</f>
        <v>Egypt</v>
      </c>
      <c r="F1989" s="1" t="str">
        <f ca="1">IFERROR(__xludf.DUMMYFUNCTION("""COMPUTED_VALUE"""),"Second 85.23 Saudi Arabia")</f>
        <v>Second 85.23 Saudi Arabia</v>
      </c>
      <c r="G1989" s="1" t="str">
        <f ca="1">IFERROR(__xludf.DUMMYFUNCTION("""COMPUTED_VALUE"""),"Freedom of Expression")</f>
        <v>Freedom of Expression</v>
      </c>
      <c r="H1989" s="1" t="str">
        <f ca="1">IFERROR(__xludf.DUMMYFUNCTION("""COMPUTED_VALUE"""),"2024")</f>
        <v>2024</v>
      </c>
      <c r="I1989" s="1" t="str">
        <f ca="1">IFERROR(__xludf.DUMMYFUNCTION("""COMPUTED_VALUE"""),"Letter")</f>
        <v>Letter</v>
      </c>
    </row>
    <row r="1990" spans="1:9" ht="13" x14ac:dyDescent="0.15">
      <c r="A1990" s="9">
        <f ca="1">IFERROR(__xludf.DUMMYFUNCTION("""COMPUTED_VALUE"""),259271029)</f>
        <v>259271029</v>
      </c>
      <c r="B1990" s="1" t="str">
        <f ca="1">IFERROR(__xludf.DUMMYFUNCTION("""COMPUTED_VALUE"""),"ppleuss@hotmail.com")</f>
        <v>ppleuss@hotmail.com</v>
      </c>
      <c r="C1990" s="9" t="str">
        <f ca="1">IFERROR(__xludf.DUMMYFUNCTION("""COMPUTED_VALUE"""),"EVERGREEN - UAN Gated Content - Embedded Petition")</f>
        <v>EVERGREEN - UAN Gated Content - Embedded Petition</v>
      </c>
      <c r="D1990" s="10">
        <f ca="1">IFERROR(__xludf.DUMMYFUNCTION("""COMPUTED_VALUE"""),45616)</f>
        <v>45616</v>
      </c>
      <c r="E1990" s="1" t="str">
        <f ca="1">IFERROR(__xludf.DUMMYFUNCTION("""COMPUTED_VALUE"""),"Saudi Arabia")</f>
        <v>Saudi Arabia</v>
      </c>
      <c r="F1990" s="1" t="str">
        <f ca="1">IFERROR(__xludf.DUMMYFUNCTION("""COMPUTED_VALUE"""),"Second 23.24 Russia")</f>
        <v>Second 23.24 Russia</v>
      </c>
      <c r="G1990" s="1" t="str">
        <f ca="1">IFERROR(__xludf.DUMMYFUNCTION("""COMPUTED_VALUE"""),"Freedom of Expression")</f>
        <v>Freedom of Expression</v>
      </c>
      <c r="H1990" s="1" t="str">
        <f ca="1">IFERROR(__xludf.DUMMYFUNCTION("""COMPUTED_VALUE"""),"2024")</f>
        <v>2024</v>
      </c>
      <c r="I1990" s="1" t="str">
        <f ca="1">IFERROR(__xludf.DUMMYFUNCTION("""COMPUTED_VALUE"""),"Letter")</f>
        <v>Letter</v>
      </c>
    </row>
    <row r="1991" spans="1:9" ht="13" x14ac:dyDescent="0.15">
      <c r="A1991" s="9">
        <f ca="1">IFERROR(__xludf.DUMMYFUNCTION("""COMPUTED_VALUE"""),259271029)</f>
        <v>259271029</v>
      </c>
      <c r="B1991" s="1" t="str">
        <f ca="1">IFERROR(__xludf.DUMMYFUNCTION("""COMPUTED_VALUE"""),"ppleuss@hotmail.com")</f>
        <v>ppleuss@hotmail.com</v>
      </c>
      <c r="C1991" s="9" t="str">
        <f ca="1">IFERROR(__xludf.DUMMYFUNCTION("""COMPUTED_VALUE"""),"EVERGREEN - UAN Gated Content - Embedded Petition")</f>
        <v>EVERGREEN - UAN Gated Content - Embedded Petition</v>
      </c>
      <c r="D1991" s="10">
        <f ca="1">IFERROR(__xludf.DUMMYFUNCTION("""COMPUTED_VALUE"""),45678)</f>
        <v>45678</v>
      </c>
      <c r="E1991" s="1" t="str">
        <f ca="1">IFERROR(__xludf.DUMMYFUNCTION("""COMPUTED_VALUE"""),"Russian Federation")</f>
        <v>Russian Federation</v>
      </c>
      <c r="F1991" s="1" t="str">
        <f ca="1">IFERROR(__xludf.DUMMYFUNCTION("""COMPUTED_VALUE"""),"Second 43.24 Tunisia")</f>
        <v>Second 43.24 Tunisia</v>
      </c>
      <c r="G1991" s="1" t="str">
        <f ca="1">IFERROR(__xludf.DUMMYFUNCTION("""COMPUTED_VALUE"""),"Freedom of Expression, Individuals At Risk")</f>
        <v>Freedom of Expression, Individuals At Risk</v>
      </c>
      <c r="H1991" s="1" t="str">
        <f ca="1">IFERROR(__xludf.DUMMYFUNCTION("""COMPUTED_VALUE"""),"2024")</f>
        <v>2024</v>
      </c>
      <c r="I1991" s="1" t="str">
        <f ca="1">IFERROR(__xludf.DUMMYFUNCTION("""COMPUTED_VALUE"""),"Email")</f>
        <v>Email</v>
      </c>
    </row>
    <row r="1992" spans="1:9" ht="13" x14ac:dyDescent="0.15">
      <c r="A1992" s="9">
        <f ca="1">IFERROR(__xludf.DUMMYFUNCTION("""COMPUTED_VALUE"""),259271029)</f>
        <v>259271029</v>
      </c>
      <c r="B1992" s="1" t="str">
        <f ca="1">IFERROR(__xludf.DUMMYFUNCTION("""COMPUTED_VALUE"""),"ppleuss@hotmail.com")</f>
        <v>ppleuss@hotmail.com</v>
      </c>
      <c r="C1992" s="9" t="str">
        <f ca="1">IFERROR(__xludf.DUMMYFUNCTION("""COMPUTED_VALUE"""),"EVERGREEN - UAN Gated Content - Embedded Petition")</f>
        <v>EVERGREEN - UAN Gated Content - Embedded Petition</v>
      </c>
      <c r="D1992" s="10">
        <f ca="1">IFERROR(__xludf.DUMMYFUNCTION("""COMPUTED_VALUE"""),45676)</f>
        <v>45676</v>
      </c>
      <c r="E1992" s="1" t="str">
        <f ca="1">IFERROR(__xludf.DUMMYFUNCTION("""COMPUTED_VALUE"""),"Tunisia")</f>
        <v>Tunisia</v>
      </c>
      <c r="F1992" s="1" t="str">
        <f ca="1">IFERROR(__xludf.DUMMYFUNCTION("""COMPUTED_VALUE"""),"3.25 IOPT")</f>
        <v>3.25 IOPT</v>
      </c>
      <c r="G1992" s="1" t="str">
        <f ca="1">IFERROR(__xludf.DUMMYFUNCTION("""COMPUTED_VALUE"""),"Freedom of Expression, Individuals At Risk")</f>
        <v>Freedom of Expression, Individuals At Risk</v>
      </c>
      <c r="H1992" s="1" t="str">
        <f ca="1">IFERROR(__xludf.DUMMYFUNCTION("""COMPUTED_VALUE"""),"2025")</f>
        <v>2025</v>
      </c>
      <c r="I1992" s="1" t="str">
        <f ca="1">IFERROR(__xludf.DUMMYFUNCTION("""COMPUTED_VALUE"""),"Email")</f>
        <v>Email</v>
      </c>
    </row>
    <row r="1993" spans="1:9" ht="13" x14ac:dyDescent="0.15">
      <c r="A1993" s="9">
        <f ca="1">IFERROR(__xludf.DUMMYFUNCTION("""COMPUTED_VALUE"""),259271029)</f>
        <v>259271029</v>
      </c>
      <c r="B1993" s="1" t="str">
        <f ca="1">IFERROR(__xludf.DUMMYFUNCTION("""COMPUTED_VALUE"""),"ppleuss@hotmail.com")</f>
        <v>ppleuss@hotmail.com</v>
      </c>
      <c r="C1993" s="9" t="str">
        <f ca="1">IFERROR(__xludf.DUMMYFUNCTION("""COMPUTED_VALUE"""),"EVERGREEN - UAN Gated Content - Embedded Petition")</f>
        <v>EVERGREEN - UAN Gated Content - Embedded Petition</v>
      </c>
      <c r="D1993" s="10">
        <f ca="1">IFERROR(__xludf.DUMMYFUNCTION("""COMPUTED_VALUE"""),45680)</f>
        <v>45680</v>
      </c>
      <c r="E1993" s="1" t="str">
        <f ca="1">IFERROR(__xludf.DUMMYFUNCTION("""COMPUTED_VALUE"""),"Israel and Occupied Palestinian Territories")</f>
        <v>Israel and Occupied Palestinian Territories</v>
      </c>
      <c r="F1993" s="1" t="str">
        <f ca="1">IFERROR(__xludf.DUMMYFUNCTION("""COMPUTED_VALUE"""),"11.25 Afghanistan")</f>
        <v>11.25 Afghanistan</v>
      </c>
      <c r="G1993" s="1" t="str">
        <f ca="1">IFERROR(__xludf.DUMMYFUNCTION("""COMPUTED_VALUE"""),"Freedom of Expression, Health, Individuals At Risk")</f>
        <v>Freedom of Expression, Health, Individuals At Risk</v>
      </c>
      <c r="H1993" s="1" t="str">
        <f ca="1">IFERROR(__xludf.DUMMYFUNCTION("""COMPUTED_VALUE"""),"2025")</f>
        <v>2025</v>
      </c>
      <c r="I1993" s="1" t="str">
        <f ca="1">IFERROR(__xludf.DUMMYFUNCTION("""COMPUTED_VALUE"""),"Email")</f>
        <v>Email</v>
      </c>
    </row>
    <row r="1994" spans="1:9" ht="13" x14ac:dyDescent="0.15">
      <c r="A1994" s="9">
        <f ca="1">IFERROR(__xludf.DUMMYFUNCTION("""COMPUTED_VALUE"""),259271029)</f>
        <v>259271029</v>
      </c>
      <c r="B1994" s="1" t="str">
        <f ca="1">IFERROR(__xludf.DUMMYFUNCTION("""COMPUTED_VALUE"""),"ppleuss@hotmail.com")</f>
        <v>ppleuss@hotmail.com</v>
      </c>
      <c r="C1994" s="9" t="str">
        <f ca="1">IFERROR(__xludf.DUMMYFUNCTION("""COMPUTED_VALUE"""),"EVERGREEN - UAN Gated Content - Embedded Petition")</f>
        <v>EVERGREEN - UAN Gated Content - Embedded Petition</v>
      </c>
      <c r="D1994" s="10">
        <f ca="1">IFERROR(__xludf.DUMMYFUNCTION("""COMPUTED_VALUE"""),45676)</f>
        <v>45676</v>
      </c>
      <c r="E1994" s="1" t="str">
        <f ca="1">IFERROR(__xludf.DUMMYFUNCTION("""COMPUTED_VALUE"""),"Afghanistan")</f>
        <v>Afghanistan</v>
      </c>
      <c r="F1994" s="1" t="str">
        <f ca="1">IFERROR(__xludf.DUMMYFUNCTION("""COMPUTED_VALUE"""),"3.25 IOPT")</f>
        <v>3.25 IOPT</v>
      </c>
      <c r="G1994" s="1" t="str">
        <f ca="1">IFERROR(__xludf.DUMMYFUNCTION("""COMPUTED_VALUE"""),"Freedom of Expression, Individuals At Risk")</f>
        <v>Freedom of Expression, Individuals At Risk</v>
      </c>
      <c r="H1994" s="1" t="str">
        <f ca="1">IFERROR(__xludf.DUMMYFUNCTION("""COMPUTED_VALUE"""),"2025")</f>
        <v>2025</v>
      </c>
      <c r="I1994" s="1" t="str">
        <f ca="1">IFERROR(__xludf.DUMMYFUNCTION("""COMPUTED_VALUE"""),"Email")</f>
        <v>Email</v>
      </c>
    </row>
    <row r="1995" spans="1:9" ht="13" x14ac:dyDescent="0.15">
      <c r="A1995" s="9">
        <f ca="1">IFERROR(__xludf.DUMMYFUNCTION("""COMPUTED_VALUE"""),259681307)</f>
        <v>259681307</v>
      </c>
      <c r="B1995" s="1" t="str">
        <f ca="1">IFERROR(__xludf.DUMMYFUNCTION("""COMPUTED_VALUE"""),"hurryback635@gmail.com")</f>
        <v>hurryback635@gmail.com</v>
      </c>
      <c r="C1995" s="9" t="str">
        <f ca="1">IFERROR(__xludf.DUMMYFUNCTION("""COMPUTED_VALUE"""),"EVERGREEN - Website Email Capture Form - UAN Pre-Footer")</f>
        <v>EVERGREEN - Website Email Capture Form - UAN Pre-Footer</v>
      </c>
      <c r="D1995" s="10">
        <f ca="1">IFERROR(__xludf.DUMMYFUNCTION("""COMPUTED_VALUE"""),45668)</f>
        <v>45668</v>
      </c>
      <c r="E1995" s="1" t="str">
        <f ca="1">IFERROR(__xludf.DUMMYFUNCTION("""COMPUTED_VALUE"""),"Israel and Occupied Palestinian Territories")</f>
        <v>Israel and Occupied Palestinian Territories</v>
      </c>
      <c r="F1995" s="1" t="str">
        <f ca="1">IFERROR(__xludf.DUMMYFUNCTION("""COMPUTED_VALUE"""),"4.25 USA")</f>
        <v>4.25 USA</v>
      </c>
      <c r="G1995" s="1" t="str">
        <f ca="1">IFERROR(__xludf.DUMMYFUNCTION("""COMPUTED_VALUE"""),"Individuals At Risk, Refugee and Migrant Rights")</f>
        <v>Individuals At Risk, Refugee and Migrant Rights</v>
      </c>
      <c r="H1995" s="1" t="str">
        <f ca="1">IFERROR(__xludf.DUMMYFUNCTION("""COMPUTED_VALUE"""),"2025")</f>
        <v>2025</v>
      </c>
      <c r="I1995" s="1" t="str">
        <f ca="1">IFERROR(__xludf.DUMMYFUNCTION("""COMPUTED_VALUE"""),"Letter")</f>
        <v>Letter</v>
      </c>
    </row>
    <row r="1996" spans="1:9" ht="13" x14ac:dyDescent="0.15">
      <c r="A1996" s="9">
        <f ca="1">IFERROR(__xludf.DUMMYFUNCTION("""COMPUTED_VALUE"""),259939220)</f>
        <v>259939220</v>
      </c>
      <c r="B1996" s="1" t="str">
        <f ca="1">IFERROR(__xludf.DUMMYFUNCTION("""COMPUTED_VALUE"""),"mjlsr02@comcast.net")</f>
        <v>mjlsr02@comcast.net</v>
      </c>
      <c r="C1996" s="9" t="str">
        <f ca="1">IFERROR(__xludf.DUMMYFUNCTION("""COMPUTED_VALUE"""),"EVERGREEN - UAN Gated Content - Embedded Petition")</f>
        <v>EVERGREEN - UAN Gated Content - Embedded Petition</v>
      </c>
      <c r="D1996" s="10">
        <f ca="1">IFERROR(__xludf.DUMMYFUNCTION("""COMPUTED_VALUE"""),45641)</f>
        <v>45641</v>
      </c>
      <c r="E1996" s="1" t="str">
        <f ca="1">IFERROR(__xludf.DUMMYFUNCTION("""COMPUTED_VALUE"""),"USA")</f>
        <v>USA</v>
      </c>
      <c r="F1996" s="1" t="str">
        <f ca="1">IFERROR(__xludf.DUMMYFUNCTION("""COMPUTED_VALUE"""),"4.25 USA")</f>
        <v>4.25 USA</v>
      </c>
      <c r="G1996" s="1" t="str">
        <f ca="1">IFERROR(__xludf.DUMMYFUNCTION("""COMPUTED_VALUE"""),"Individuals At Risk, Refugee and Migrant Rights")</f>
        <v>Individuals At Risk, Refugee and Migrant Rights</v>
      </c>
      <c r="H1996" s="1" t="str">
        <f ca="1">IFERROR(__xludf.DUMMYFUNCTION("""COMPUTED_VALUE"""),"2025")</f>
        <v>2025</v>
      </c>
      <c r="I1996" s="1" t="str">
        <f ca="1">IFERROR(__xludf.DUMMYFUNCTION("""COMPUTED_VALUE"""),"Letter")</f>
        <v>Letter</v>
      </c>
    </row>
    <row r="1997" spans="1:9" ht="13" x14ac:dyDescent="0.15">
      <c r="A1997" s="9">
        <f ca="1">IFERROR(__xludf.DUMMYFUNCTION("""COMPUTED_VALUE"""),259939220)</f>
        <v>259939220</v>
      </c>
      <c r="B1997" s="1" t="str">
        <f ca="1">IFERROR(__xludf.DUMMYFUNCTION("""COMPUTED_VALUE"""),"mjlsr02@comcast.net")</f>
        <v>mjlsr02@comcast.net</v>
      </c>
      <c r="C1997" s="9" t="str">
        <f ca="1">IFERROR(__xludf.DUMMYFUNCTION("""COMPUTED_VALUE"""),"EVERGREEN - UAN Gated Content - Embedded Petition")</f>
        <v>EVERGREEN - UAN Gated Content - Embedded Petition</v>
      </c>
      <c r="D1997" s="10">
        <f ca="1">IFERROR(__xludf.DUMMYFUNCTION("""COMPUTED_VALUE"""),45676)</f>
        <v>45676</v>
      </c>
      <c r="E1997" s="1" t="str">
        <f ca="1">IFERROR(__xludf.DUMMYFUNCTION("""COMPUTED_VALUE"""),"USA")</f>
        <v>USA</v>
      </c>
      <c r="F1997" s="1" t="str">
        <f ca="1">IFERROR(__xludf.DUMMYFUNCTION("""COMPUTED_VALUE"""),"88.24 Dominican Republic")</f>
        <v>88.24 Dominican Republic</v>
      </c>
      <c r="G1997" s="1" t="str">
        <f ca="1">IFERROR(__xludf.DUMMYFUNCTION("""COMPUTED_VALUE"""),"Individuals At Risk, Refugee and Migrant Rights")</f>
        <v>Individuals At Risk, Refugee and Migrant Rights</v>
      </c>
      <c r="H1997" s="1" t="str">
        <f ca="1">IFERROR(__xludf.DUMMYFUNCTION("""COMPUTED_VALUE"""),"2024")</f>
        <v>2024</v>
      </c>
      <c r="I1997" s="1" t="str">
        <f ca="1">IFERROR(__xludf.DUMMYFUNCTION("""COMPUTED_VALUE"""),"Letter")</f>
        <v>Letter</v>
      </c>
    </row>
    <row r="1998" spans="1:9" ht="13" x14ac:dyDescent="0.15">
      <c r="A1998" s="9">
        <f ca="1">IFERROR(__xludf.DUMMYFUNCTION("""COMPUTED_VALUE"""),259939220)</f>
        <v>259939220</v>
      </c>
      <c r="B1998" s="1" t="str">
        <f ca="1">IFERROR(__xludf.DUMMYFUNCTION("""COMPUTED_VALUE"""),"mjlsr02@comcast.net")</f>
        <v>mjlsr02@comcast.net</v>
      </c>
      <c r="C1998" s="9" t="str">
        <f ca="1">IFERROR(__xludf.DUMMYFUNCTION("""COMPUTED_VALUE"""),"EVERGREEN - UAN Gated Content - Embedded Petition")</f>
        <v>EVERGREEN - UAN Gated Content - Embedded Petition</v>
      </c>
      <c r="D1998" s="10">
        <f ca="1">IFERROR(__xludf.DUMMYFUNCTION("""COMPUTED_VALUE"""),45676)</f>
        <v>45676</v>
      </c>
      <c r="E1998" s="1" t="str">
        <f ca="1">IFERROR(__xludf.DUMMYFUNCTION("""COMPUTED_VALUE"""),"Dominican Republic")</f>
        <v>Dominican Republic</v>
      </c>
      <c r="F1998" s="1" t="str">
        <f ca="1">IFERROR(__xludf.DUMMYFUNCTION("""COMPUTED_VALUE"""),"4.25 USA")</f>
        <v>4.25 USA</v>
      </c>
      <c r="G1998" s="1" t="str">
        <f ca="1">IFERROR(__xludf.DUMMYFUNCTION("""COMPUTED_VALUE"""),"Individuals At Risk, Refugee and Migrant Rights")</f>
        <v>Individuals At Risk, Refugee and Migrant Rights</v>
      </c>
      <c r="H1998" s="1" t="str">
        <f ca="1">IFERROR(__xludf.DUMMYFUNCTION("""COMPUTED_VALUE"""),"2025")</f>
        <v>2025</v>
      </c>
      <c r="I1998" s="1" t="str">
        <f ca="1">IFERROR(__xludf.DUMMYFUNCTION("""COMPUTED_VALUE"""),"Letter")</f>
        <v>Letter</v>
      </c>
    </row>
    <row r="1999" spans="1:9" ht="13" x14ac:dyDescent="0.15">
      <c r="A1999" s="9">
        <f ca="1">IFERROR(__xludf.DUMMYFUNCTION("""COMPUTED_VALUE"""),259939220)</f>
        <v>259939220</v>
      </c>
      <c r="B1999" s="1" t="str">
        <f ca="1">IFERROR(__xludf.DUMMYFUNCTION("""COMPUTED_VALUE"""),"mjlsr02@comcast.net")</f>
        <v>mjlsr02@comcast.net</v>
      </c>
      <c r="C1999" s="9" t="str">
        <f ca="1">IFERROR(__xludf.DUMMYFUNCTION("""COMPUTED_VALUE"""),"EVERGREEN - UAN Gated Content - Embedded Petition")</f>
        <v>EVERGREEN - UAN Gated Content - Embedded Petition</v>
      </c>
      <c r="D1999" s="10">
        <f ca="1">IFERROR(__xludf.DUMMYFUNCTION("""COMPUTED_VALUE"""),45641)</f>
        <v>45641</v>
      </c>
      <c r="E1999" s="1" t="str">
        <f ca="1">IFERROR(__xludf.DUMMYFUNCTION("""COMPUTED_VALUE"""),"USA")</f>
        <v>USA</v>
      </c>
      <c r="F1999" s="1" t="str">
        <f ca="1">IFERROR(__xludf.DUMMYFUNCTION("""COMPUTED_VALUE"""),"Fifth 257.12")</f>
        <v>Fifth 257.12</v>
      </c>
      <c r="G1999" s="1" t="str">
        <f ca="1">IFERROR(__xludf.DUMMYFUNCTION("""COMPUTED_VALUE"""),"Freedom of Expression, Human Rights Defenders")</f>
        <v>Freedom of Expression, Human Rights Defenders</v>
      </c>
      <c r="H1999" s="1" t="str">
        <f ca="1">IFERROR(__xludf.DUMMYFUNCTION("""COMPUTED_VALUE"""),"2025")</f>
        <v>2025</v>
      </c>
      <c r="I1999" s="1" t="str">
        <f ca="1">IFERROR(__xludf.DUMMYFUNCTION("""COMPUTED_VALUE"""),"Email")</f>
        <v>Email</v>
      </c>
    </row>
    <row r="2000" spans="1:9" ht="13" x14ac:dyDescent="0.15">
      <c r="A2000" s="9">
        <f ca="1">IFERROR(__xludf.DUMMYFUNCTION("""COMPUTED_VALUE"""),260089977)</f>
        <v>260089977</v>
      </c>
      <c r="B2000" s="1" t="str">
        <f ca="1">IFERROR(__xludf.DUMMYFUNCTION("""COMPUTED_VALUE"""),"jake.bill@hughes.net")</f>
        <v>jake.bill@hughes.net</v>
      </c>
      <c r="C2000" s="9" t="str">
        <f ca="1">IFERROR(__xludf.DUMMYFUNCTION("""COMPUTED_VALUE"""),"EVERGREEN - UAN Gated Content - Embedded Petition")</f>
        <v>EVERGREEN - UAN Gated Content - Embedded Petition</v>
      </c>
      <c r="D2000" s="10">
        <f ca="1">IFERROR(__xludf.DUMMYFUNCTION("""COMPUTED_VALUE"""),45672)</f>
        <v>45672</v>
      </c>
      <c r="E2000" s="1" t="str">
        <f ca="1">IFERROR(__xludf.DUMMYFUNCTION("""COMPUTED_VALUE"""),"Saudi Arabia")</f>
        <v>Saudi Arabia</v>
      </c>
      <c r="F2000" s="1" t="str">
        <f ca="1">IFERROR(__xludf.DUMMYFUNCTION("""COMPUTED_VALUE"""),"Fifth 257.12")</f>
        <v>Fifth 257.12</v>
      </c>
      <c r="G2000" s="1" t="str">
        <f ca="1">IFERROR(__xludf.DUMMYFUNCTION("""COMPUTED_VALUE"""),"Freedom of Expression, Human Rights Defenders")</f>
        <v>Freedom of Expression, Human Rights Defenders</v>
      </c>
      <c r="H2000" s="1" t="str">
        <f ca="1">IFERROR(__xludf.DUMMYFUNCTION("""COMPUTED_VALUE"""),"2025")</f>
        <v>2025</v>
      </c>
      <c r="I2000" s="1" t="str">
        <f ca="1">IFERROR(__xludf.DUMMYFUNCTION("""COMPUTED_VALUE"""),"Email")</f>
        <v>Email</v>
      </c>
    </row>
    <row r="2001" spans="1:9" ht="13" x14ac:dyDescent="0.15">
      <c r="A2001" s="9">
        <f ca="1">IFERROR(__xludf.DUMMYFUNCTION("""COMPUTED_VALUE"""),260680669)</f>
        <v>260680669</v>
      </c>
      <c r="B2001" s="1" t="str">
        <f ca="1">IFERROR(__xludf.DUMMYFUNCTION("""COMPUTED_VALUE"""),"210296@students.avhsd.org")</f>
        <v>210296@students.avhsd.org</v>
      </c>
      <c r="C2001" s="9" t="str">
        <f ca="1">IFERROR(__xludf.DUMMYFUNCTION("""COMPUTED_VALUE"""),"EVERGREEN - UAN Gated Content - Embedded Petition")</f>
        <v>EVERGREEN - UAN Gated Content - Embedded Petition</v>
      </c>
      <c r="D2001" s="10">
        <f ca="1">IFERROR(__xludf.DUMMYFUNCTION("""COMPUTED_VALUE"""),45702)</f>
        <v>45702</v>
      </c>
      <c r="E2001" s="1" t="str">
        <f ca="1">IFERROR(__xludf.DUMMYFUNCTION("""COMPUTED_VALUE"""),"Saudi Arabia")</f>
        <v>Saudi Arabia</v>
      </c>
      <c r="F2001" s="1" t="str">
        <f ca="1">IFERROR(__xludf.DUMMYFUNCTION("""COMPUTED_VALUE"""),"10.25 Iran")</f>
        <v>10.25 Iran</v>
      </c>
      <c r="G2001" s="1" t="str">
        <f ca="1">IFERROR(__xludf.DUMMYFUNCTION("""COMPUTED_VALUE"""),"Death Penalty, Individuals At Risk")</f>
        <v>Death Penalty, Individuals At Risk</v>
      </c>
      <c r="H2001" s="1" t="str">
        <f ca="1">IFERROR(__xludf.DUMMYFUNCTION("""COMPUTED_VALUE"""),"2025")</f>
        <v>2025</v>
      </c>
      <c r="I2001" s="1" t="str">
        <f ca="1">IFERROR(__xludf.DUMMYFUNCTION("""COMPUTED_VALUE"""),"Email")</f>
        <v>Email</v>
      </c>
    </row>
    <row r="2002" spans="1:9" ht="13" x14ac:dyDescent="0.15">
      <c r="A2002" s="9">
        <f ca="1">IFERROR(__xludf.DUMMYFUNCTION("""COMPUTED_VALUE"""),260752974)</f>
        <v>260752974</v>
      </c>
      <c r="B2002" s="1" t="str">
        <f ca="1">IFERROR(__xludf.DUMMYFUNCTION("""COMPUTED_VALUE"""),"mimunmos@gmail.com")</f>
        <v>mimunmos@gmail.com</v>
      </c>
      <c r="C2002" s="9" t="str">
        <f ca="1">IFERROR(__xludf.DUMMYFUNCTION("""COMPUTED_VALUE"""),"EVERGREEN - UAN Gated Content - Embedded Petition")</f>
        <v>EVERGREEN - UAN Gated Content - Embedded Petition</v>
      </c>
      <c r="D2002" s="10">
        <f ca="1">IFERROR(__xludf.DUMMYFUNCTION("""COMPUTED_VALUE"""),45694)</f>
        <v>45694</v>
      </c>
      <c r="E2002" s="1" t="str">
        <f ca="1">IFERROR(__xludf.DUMMYFUNCTION("""COMPUTED_VALUE"""),"Iran")</f>
        <v>Iran</v>
      </c>
      <c r="F2002" s="1" t="str">
        <f ca="1">IFERROR(__xludf.DUMMYFUNCTION("""COMPUTED_VALUE"""),"Second 76.24 Tunisia")</f>
        <v>Second 76.24 Tunisia</v>
      </c>
      <c r="G2002" s="1" t="str">
        <f ca="1">IFERROR(__xludf.DUMMYFUNCTION("""COMPUTED_VALUE"""),"Freedom of Expression, Human Rights Defenders")</f>
        <v>Freedom of Expression, Human Rights Defenders</v>
      </c>
      <c r="H2002" s="1" t="str">
        <f ca="1">IFERROR(__xludf.DUMMYFUNCTION("""COMPUTED_VALUE"""),"2025")</f>
        <v>2025</v>
      </c>
      <c r="I2002" s="1" t="str">
        <f ca="1">IFERROR(__xludf.DUMMYFUNCTION("""COMPUTED_VALUE"""),"Email")</f>
        <v>Email</v>
      </c>
    </row>
    <row r="2003" spans="1:9" ht="13" x14ac:dyDescent="0.15">
      <c r="A2003" s="9">
        <f ca="1">IFERROR(__xludf.DUMMYFUNCTION("""COMPUTED_VALUE"""),260770353)</f>
        <v>260770353</v>
      </c>
      <c r="B2003" s="1" t="str">
        <f ca="1">IFERROR(__xludf.DUMMYFUNCTION("""COMPUTED_VALUE"""),"hannigan.terry@yahoo.com")</f>
        <v>hannigan.terry@yahoo.com</v>
      </c>
      <c r="C2003" s="9" t="str">
        <f ca="1">IFERROR(__xludf.DUMMYFUNCTION("""COMPUTED_VALUE"""),"EVERGREEN - UAN Gated Content - Embedded Petition")</f>
        <v>EVERGREEN - UAN Gated Content - Embedded Petition</v>
      </c>
      <c r="D2003" s="10">
        <f ca="1">IFERROR(__xludf.DUMMYFUNCTION("""COMPUTED_VALUE"""),45636)</f>
        <v>45636</v>
      </c>
      <c r="E2003" s="1" t="str">
        <f ca="1">IFERROR(__xludf.DUMMYFUNCTION("""COMPUTED_VALUE"""),"Tunisia")</f>
        <v>Tunisia</v>
      </c>
      <c r="F2003" s="1" t="str">
        <f ca="1">IFERROR(__xludf.DUMMYFUNCTION("""COMPUTED_VALUE"""),"4.25 USA")</f>
        <v>4.25 USA</v>
      </c>
      <c r="G2003" s="1" t="str">
        <f ca="1">IFERROR(__xludf.DUMMYFUNCTION("""COMPUTED_VALUE"""),"Individuals At Risk, Refugee and Migrant Rights")</f>
        <v>Individuals At Risk, Refugee and Migrant Rights</v>
      </c>
      <c r="H2003" s="1" t="str">
        <f ca="1">IFERROR(__xludf.DUMMYFUNCTION("""COMPUTED_VALUE"""),"2025")</f>
        <v>2025</v>
      </c>
      <c r="I2003" s="1" t="str">
        <f ca="1">IFERROR(__xludf.DUMMYFUNCTION("""COMPUTED_VALUE"""),"Letter")</f>
        <v>Letter</v>
      </c>
    </row>
    <row r="2004" spans="1:9" ht="13" x14ac:dyDescent="0.15">
      <c r="A2004" s="9">
        <f ca="1">IFERROR(__xludf.DUMMYFUNCTION("""COMPUTED_VALUE"""),261502293)</f>
        <v>261502293</v>
      </c>
      <c r="B2004" s="1" t="str">
        <f ca="1">IFERROR(__xludf.DUMMYFUNCTION("""COMPUTED_VALUE"""),"emilykramer02@yahoo.com")</f>
        <v>emilykramer02@yahoo.com</v>
      </c>
      <c r="C2004" s="9" t="str">
        <f ca="1">IFERROR(__xludf.DUMMYFUNCTION("""COMPUTED_VALUE"""),"EVERGREEN - UAN Gated Content - Embedded Petition")</f>
        <v>EVERGREEN - UAN Gated Content - Embedded Petition</v>
      </c>
      <c r="D2004" s="10">
        <f ca="1">IFERROR(__xludf.DUMMYFUNCTION("""COMPUTED_VALUE"""),45637)</f>
        <v>45637</v>
      </c>
      <c r="E2004" s="1" t="str">
        <f ca="1">IFERROR(__xludf.DUMMYFUNCTION("""COMPUTED_VALUE"""),"USA")</f>
        <v>USA</v>
      </c>
      <c r="F2004" s="1" t="str">
        <f ca="1">IFERROR(__xludf.DUMMYFUNCTION("""COMPUTED_VALUE"""),"Fifth 257.12")</f>
        <v>Fifth 257.12</v>
      </c>
      <c r="G2004" s="1" t="str">
        <f ca="1">IFERROR(__xludf.DUMMYFUNCTION("""COMPUTED_VALUE"""),"Freedom of Expression, Human Rights Defenders")</f>
        <v>Freedom of Expression, Human Rights Defenders</v>
      </c>
      <c r="H2004" s="1" t="str">
        <f ca="1">IFERROR(__xludf.DUMMYFUNCTION("""COMPUTED_VALUE"""),"2025")</f>
        <v>2025</v>
      </c>
      <c r="I2004" s="1" t="str">
        <f ca="1">IFERROR(__xludf.DUMMYFUNCTION("""COMPUTED_VALUE"""),"Email")</f>
        <v>Email</v>
      </c>
    </row>
    <row r="2005" spans="1:9" ht="13" x14ac:dyDescent="0.15">
      <c r="A2005" s="9">
        <f ca="1">IFERROR(__xludf.DUMMYFUNCTION("""COMPUTED_VALUE"""),261792891)</f>
        <v>261792891</v>
      </c>
      <c r="B2005" s="1" t="str">
        <f ca="1">IFERROR(__xludf.DUMMYFUNCTION("""COMPUTED_VALUE"""),"barcat609@gmail.com")</f>
        <v>barcat609@gmail.com</v>
      </c>
      <c r="C2005" s="9" t="str">
        <f ca="1">IFERROR(__xludf.DUMMYFUNCTION("""COMPUTED_VALUE"""),"EVERGREEN - Website Email Capture Form - UAN Pre-Footer")</f>
        <v>EVERGREEN - Website Email Capture Form - UAN Pre-Footer</v>
      </c>
      <c r="D2005" s="10">
        <f ca="1">IFERROR(__xludf.DUMMYFUNCTION("""COMPUTED_VALUE"""),45664)</f>
        <v>45664</v>
      </c>
      <c r="E2005" s="1" t="str">
        <f ca="1">IFERROR(__xludf.DUMMYFUNCTION("""COMPUTED_VALUE"""),"Saudi Arabia")</f>
        <v>Saudi Arabia</v>
      </c>
      <c r="F2005" s="1" t="str">
        <f ca="1">IFERROR(__xludf.DUMMYFUNCTION("""COMPUTED_VALUE"""),"11.25 Afghanistan")</f>
        <v>11.25 Afghanistan</v>
      </c>
      <c r="G2005" s="1" t="str">
        <f ca="1">IFERROR(__xludf.DUMMYFUNCTION("""COMPUTED_VALUE"""),"Freedom of Expression, Health, Individuals At Risk")</f>
        <v>Freedom of Expression, Health, Individuals At Risk</v>
      </c>
      <c r="H2005" s="1" t="str">
        <f ca="1">IFERROR(__xludf.DUMMYFUNCTION("""COMPUTED_VALUE"""),"2025")</f>
        <v>2025</v>
      </c>
      <c r="I2005" s="1" t="str">
        <f ca="1">IFERROR(__xludf.DUMMYFUNCTION("""COMPUTED_VALUE"""),"Email")</f>
        <v>Email</v>
      </c>
    </row>
    <row r="2006" spans="1:9" ht="13" x14ac:dyDescent="0.15">
      <c r="A2006" s="9">
        <f ca="1">IFERROR(__xludf.DUMMYFUNCTION("""COMPUTED_VALUE"""),262072154)</f>
        <v>262072154</v>
      </c>
      <c r="B2006" s="1" t="str">
        <f ca="1">IFERROR(__xludf.DUMMYFUNCTION("""COMPUTED_VALUE"""),"nugraha@indietechsolutions.com")</f>
        <v>nugraha@indietechsolutions.com</v>
      </c>
      <c r="C2006" s="9" t="str">
        <f ca="1">IFERROR(__xludf.DUMMYFUNCTION("""COMPUTED_VALUE"""),"EVERGREEN - UAN Gated Content - Embedded Petition")</f>
        <v>EVERGREEN - UAN Gated Content - Embedded Petition</v>
      </c>
      <c r="D2006" s="10">
        <f ca="1">IFERROR(__xludf.DUMMYFUNCTION("""COMPUTED_VALUE"""),45567)</f>
        <v>45567</v>
      </c>
      <c r="E2006" s="1" t="str">
        <f ca="1">IFERROR(__xludf.DUMMYFUNCTION("""COMPUTED_VALUE"""),"Afghanistan")</f>
        <v>Afghanistan</v>
      </c>
      <c r="F2006" s="1" t="str">
        <f ca="1">IFERROR(__xludf.DUMMYFUNCTION("""COMPUTED_VALUE"""),"9.25 Uganda")</f>
        <v>9.25 Uganda</v>
      </c>
      <c r="G2006" s="1" t="str">
        <f ca="1">IFERROR(__xludf.DUMMYFUNCTION("""COMPUTED_VALUE"""),"Freedom of Expression, Human Rights Defenders")</f>
        <v>Freedom of Expression, Human Rights Defenders</v>
      </c>
      <c r="H2006" s="1" t="str">
        <f ca="1">IFERROR(__xludf.DUMMYFUNCTION("""COMPUTED_VALUE"""),"2025")</f>
        <v>2025</v>
      </c>
      <c r="I2006" s="1" t="str">
        <f ca="1">IFERROR(__xludf.DUMMYFUNCTION("""COMPUTED_VALUE"""),"Email")</f>
        <v>Email</v>
      </c>
    </row>
    <row r="2007" spans="1:9" ht="13" x14ac:dyDescent="0.15">
      <c r="A2007" s="9">
        <f ca="1">IFERROR(__xludf.DUMMYFUNCTION("""COMPUTED_VALUE"""),262072154)</f>
        <v>262072154</v>
      </c>
      <c r="B2007" s="1" t="str">
        <f ca="1">IFERROR(__xludf.DUMMYFUNCTION("""COMPUTED_VALUE"""),"nugraha@indietechsolutions.com")</f>
        <v>nugraha@indietechsolutions.com</v>
      </c>
      <c r="C2007" s="9" t="str">
        <f ca="1">IFERROR(__xludf.DUMMYFUNCTION("""COMPUTED_VALUE"""),"EVERGREEN - UAN Gated Content - Embedded Petition")</f>
        <v>EVERGREEN - UAN Gated Content - Embedded Petition</v>
      </c>
      <c r="D2007" s="10">
        <f ca="1">IFERROR(__xludf.DUMMYFUNCTION("""COMPUTED_VALUE"""),45576)</f>
        <v>45576</v>
      </c>
      <c r="E2007" s="1" t="str">
        <f ca="1">IFERROR(__xludf.DUMMYFUNCTION("""COMPUTED_VALUE"""),"Uganda")</f>
        <v>Uganda</v>
      </c>
      <c r="F2007" s="1" t="str">
        <f ca="1">IFERROR(__xludf.DUMMYFUNCTION("""COMPUTED_VALUE"""),"10.25 Iran")</f>
        <v>10.25 Iran</v>
      </c>
      <c r="G2007" s="1" t="str">
        <f ca="1">IFERROR(__xludf.DUMMYFUNCTION("""COMPUTED_VALUE"""),"Death Penalty, Individuals At Risk")</f>
        <v>Death Penalty, Individuals At Risk</v>
      </c>
      <c r="H2007" s="1" t="str">
        <f ca="1">IFERROR(__xludf.DUMMYFUNCTION("""COMPUTED_VALUE"""),"2025")</f>
        <v>2025</v>
      </c>
      <c r="I2007" s="1" t="str">
        <f ca="1">IFERROR(__xludf.DUMMYFUNCTION("""COMPUTED_VALUE"""),"Email")</f>
        <v>Email</v>
      </c>
    </row>
    <row r="2008" spans="1:9" ht="13" x14ac:dyDescent="0.15">
      <c r="A2008" s="9">
        <f ca="1">IFERROR(__xludf.DUMMYFUNCTION("""COMPUTED_VALUE"""),262072154)</f>
        <v>262072154</v>
      </c>
      <c r="B2008" s="1" t="str">
        <f ca="1">IFERROR(__xludf.DUMMYFUNCTION("""COMPUTED_VALUE"""),"nugraha@indietechsolutions.com")</f>
        <v>nugraha@indietechsolutions.com</v>
      </c>
      <c r="C2008" s="9" t="str">
        <f ca="1">IFERROR(__xludf.DUMMYFUNCTION("""COMPUTED_VALUE"""),"EVERGREEN - UAN Gated Content - Embedded Petition")</f>
        <v>EVERGREEN - UAN Gated Content - Embedded Petition</v>
      </c>
      <c r="D2008" s="10">
        <f ca="1">IFERROR(__xludf.DUMMYFUNCTION("""COMPUTED_VALUE"""),45568)</f>
        <v>45568</v>
      </c>
      <c r="E2008" s="1" t="str">
        <f ca="1">IFERROR(__xludf.DUMMYFUNCTION("""COMPUTED_VALUE"""),"Iran")</f>
        <v>Iran</v>
      </c>
      <c r="F2008" s="1" t="str">
        <f ca="1">IFERROR(__xludf.DUMMYFUNCTION("""COMPUTED_VALUE"""),"Second 80.23 Egypt")</f>
        <v>Second 80.23 Egypt</v>
      </c>
      <c r="G2008" s="1" t="str">
        <f ca="1">IFERROR(__xludf.DUMMYFUNCTION("""COMPUTED_VALUE"""),"Health, Individuals At Risk")</f>
        <v>Health, Individuals At Risk</v>
      </c>
      <c r="H2008" s="1" t="str">
        <f ca="1">IFERROR(__xludf.DUMMYFUNCTION("""COMPUTED_VALUE"""),"2025")</f>
        <v>2025</v>
      </c>
      <c r="I2008" s="1" t="str">
        <f ca="1">IFERROR(__xludf.DUMMYFUNCTION("""COMPUTED_VALUE"""),"Email")</f>
        <v>Email</v>
      </c>
    </row>
    <row r="2009" spans="1:9" ht="13" x14ac:dyDescent="0.15">
      <c r="A2009" s="9">
        <f ca="1">IFERROR(__xludf.DUMMYFUNCTION("""COMPUTED_VALUE"""),262072154)</f>
        <v>262072154</v>
      </c>
      <c r="B2009" s="1" t="str">
        <f ca="1">IFERROR(__xludf.DUMMYFUNCTION("""COMPUTED_VALUE"""),"nugraha@indietechsolutions.com")</f>
        <v>nugraha@indietechsolutions.com</v>
      </c>
      <c r="C2009" s="9" t="str">
        <f ca="1">IFERROR(__xludf.DUMMYFUNCTION("""COMPUTED_VALUE"""),"EVERGREEN - UAN Gated Content - Embedded Petition")</f>
        <v>EVERGREEN - UAN Gated Content - Embedded Petition</v>
      </c>
      <c r="D2009" s="10">
        <f ca="1">IFERROR(__xludf.DUMMYFUNCTION("""COMPUTED_VALUE"""),45568)</f>
        <v>45568</v>
      </c>
      <c r="E2009" s="1" t="str">
        <f ca="1">IFERROR(__xludf.DUMMYFUNCTION("""COMPUTED_VALUE"""),"Egypt")</f>
        <v>Egypt</v>
      </c>
      <c r="F2009" s="1" t="str">
        <f ca="1">IFERROR(__xludf.DUMMYFUNCTION("""COMPUTED_VALUE"""),"12.25 Libya")</f>
        <v>12.25 Libya</v>
      </c>
      <c r="G2009" s="1" t="str">
        <f ca="1">IFERROR(__xludf.DUMMYFUNCTION("""COMPUTED_VALUE"""),"Freedom of Expression, Health, Individuals At Risk")</f>
        <v>Freedom of Expression, Health, Individuals At Risk</v>
      </c>
      <c r="H2009" s="1" t="str">
        <f ca="1">IFERROR(__xludf.DUMMYFUNCTION("""COMPUTED_VALUE"""),"2025")</f>
        <v>2025</v>
      </c>
      <c r="I2009" s="1" t="str">
        <f ca="1">IFERROR(__xludf.DUMMYFUNCTION("""COMPUTED_VALUE"""),"Email")</f>
        <v>Email</v>
      </c>
    </row>
    <row r="2010" spans="1:9" ht="13" x14ac:dyDescent="0.15">
      <c r="A2010" s="9">
        <f ca="1">IFERROR(__xludf.DUMMYFUNCTION("""COMPUTED_VALUE"""),262072154)</f>
        <v>262072154</v>
      </c>
      <c r="B2010" s="1" t="str">
        <f ca="1">IFERROR(__xludf.DUMMYFUNCTION("""COMPUTED_VALUE"""),"nugraha@indietechsolutions.com")</f>
        <v>nugraha@indietechsolutions.com</v>
      </c>
      <c r="C2010" s="9" t="str">
        <f ca="1">IFERROR(__xludf.DUMMYFUNCTION("""COMPUTED_VALUE"""),"EVERGREEN - UAN Gated Content - Embedded Petition")</f>
        <v>EVERGREEN - UAN Gated Content - Embedded Petition</v>
      </c>
      <c r="D2010" s="10">
        <f ca="1">IFERROR(__xludf.DUMMYFUNCTION("""COMPUTED_VALUE"""),45567)</f>
        <v>45567</v>
      </c>
      <c r="E2010" s="1" t="str">
        <f ca="1">IFERROR(__xludf.DUMMYFUNCTION("""COMPUTED_VALUE"""),"Libya")</f>
        <v>Libya</v>
      </c>
      <c r="F2010" s="1" t="str">
        <f ca="1">IFERROR(__xludf.DUMMYFUNCTION("""COMPUTED_VALUE"""),"11.25 Afghanistan")</f>
        <v>11.25 Afghanistan</v>
      </c>
      <c r="G2010" s="1" t="str">
        <f ca="1">IFERROR(__xludf.DUMMYFUNCTION("""COMPUTED_VALUE"""),"Freedom of Expression, Health, Individuals At Risk")</f>
        <v>Freedom of Expression, Health, Individuals At Risk</v>
      </c>
      <c r="H2010" s="1" t="str">
        <f ca="1">IFERROR(__xludf.DUMMYFUNCTION("""COMPUTED_VALUE"""),"2025")</f>
        <v>2025</v>
      </c>
      <c r="I2010" s="1" t="str">
        <f ca="1">IFERROR(__xludf.DUMMYFUNCTION("""COMPUTED_VALUE"""),"Email")</f>
        <v>Email</v>
      </c>
    </row>
    <row r="2011" spans="1:9" ht="13" x14ac:dyDescent="0.15">
      <c r="A2011" s="9">
        <f ca="1">IFERROR(__xludf.DUMMYFUNCTION("""COMPUTED_VALUE"""),262072154)</f>
        <v>262072154</v>
      </c>
      <c r="B2011" s="1" t="str">
        <f ca="1">IFERROR(__xludf.DUMMYFUNCTION("""COMPUTED_VALUE"""),"nugraha@indietechsolutions.com")</f>
        <v>nugraha@indietechsolutions.com</v>
      </c>
      <c r="C2011" s="9" t="str">
        <f ca="1">IFERROR(__xludf.DUMMYFUNCTION("""COMPUTED_VALUE"""),"EVERGREEN - UAN Gated Content - Embedded Petition")</f>
        <v>EVERGREEN - UAN Gated Content - Embedded Petition</v>
      </c>
      <c r="D2011" s="10">
        <f ca="1">IFERROR(__xludf.DUMMYFUNCTION("""COMPUTED_VALUE"""),45611)</f>
        <v>45611</v>
      </c>
      <c r="E2011" s="1" t="str">
        <f ca="1">IFERROR(__xludf.DUMMYFUNCTION("""COMPUTED_VALUE"""),"Afghanistan")</f>
        <v>Afghanistan</v>
      </c>
      <c r="F2011" s="1" t="str">
        <f ca="1">IFERROR(__xludf.DUMMYFUNCTION("""COMPUTED_VALUE"""),"12.25 Libya")</f>
        <v>12.25 Libya</v>
      </c>
      <c r="G2011" s="1" t="str">
        <f ca="1">IFERROR(__xludf.DUMMYFUNCTION("""COMPUTED_VALUE"""),"Freedom of Expression, Health, Individuals At Risk")</f>
        <v>Freedom of Expression, Health, Individuals At Risk</v>
      </c>
      <c r="H2011" s="1" t="str">
        <f ca="1">IFERROR(__xludf.DUMMYFUNCTION("""COMPUTED_VALUE"""),"2025")</f>
        <v>2025</v>
      </c>
      <c r="I2011" s="1" t="str">
        <f ca="1">IFERROR(__xludf.DUMMYFUNCTION("""COMPUTED_VALUE"""),"Email")</f>
        <v>Email</v>
      </c>
    </row>
    <row r="2012" spans="1:9" ht="13" x14ac:dyDescent="0.15">
      <c r="A2012" s="9">
        <f ca="1">IFERROR(__xludf.DUMMYFUNCTION("""COMPUTED_VALUE"""),262072154)</f>
        <v>262072154</v>
      </c>
      <c r="B2012" s="1" t="str">
        <f ca="1">IFERROR(__xludf.DUMMYFUNCTION("""COMPUTED_VALUE"""),"nugraha@indietechsolutions.com")</f>
        <v>nugraha@indietechsolutions.com</v>
      </c>
      <c r="C2012" s="9" t="str">
        <f ca="1">IFERROR(__xludf.DUMMYFUNCTION("""COMPUTED_VALUE"""),"EVERGREEN - UAN Gated Content - Embedded Petition")</f>
        <v>EVERGREEN - UAN Gated Content - Embedded Petition</v>
      </c>
      <c r="D2012" s="10">
        <f ca="1">IFERROR(__xludf.DUMMYFUNCTION("""COMPUTED_VALUE"""),45568)</f>
        <v>45568</v>
      </c>
      <c r="E2012" s="1" t="str">
        <f ca="1">IFERROR(__xludf.DUMMYFUNCTION("""COMPUTED_VALUE"""),"Libya")</f>
        <v>Libya</v>
      </c>
      <c r="F2012" s="1" t="str">
        <f ca="1">IFERROR(__xludf.DUMMYFUNCTION("""COMPUTED_VALUE"""),"2.25 Azerbaijan")</f>
        <v>2.25 Azerbaijan</v>
      </c>
      <c r="G2012" s="1" t="str">
        <f ca="1">IFERROR(__xludf.DUMMYFUNCTION("""COMPUTED_VALUE"""),"Freedom of Expression, Human Rights Defenders")</f>
        <v>Freedom of Expression, Human Rights Defenders</v>
      </c>
      <c r="H2012" s="1" t="str">
        <f ca="1">IFERROR(__xludf.DUMMYFUNCTION("""COMPUTED_VALUE"""),"2025")</f>
        <v>2025</v>
      </c>
      <c r="I2012" s="1" t="str">
        <f ca="1">IFERROR(__xludf.DUMMYFUNCTION("""COMPUTED_VALUE"""),"Email")</f>
        <v>Email</v>
      </c>
    </row>
    <row r="2013" spans="1:9" ht="13" x14ac:dyDescent="0.15">
      <c r="A2013" s="9">
        <f ca="1">IFERROR(__xludf.DUMMYFUNCTION("""COMPUTED_VALUE"""),262072154)</f>
        <v>262072154</v>
      </c>
      <c r="B2013" s="1" t="str">
        <f ca="1">IFERROR(__xludf.DUMMYFUNCTION("""COMPUTED_VALUE"""),"nugraha@indietechsolutions.com")</f>
        <v>nugraha@indietechsolutions.com</v>
      </c>
      <c r="C2013" s="9" t="str">
        <f ca="1">IFERROR(__xludf.DUMMYFUNCTION("""COMPUTED_VALUE"""),"EVERGREEN - UAN Gated Content - Embedded Petition")</f>
        <v>EVERGREEN - UAN Gated Content - Embedded Petition</v>
      </c>
      <c r="D2013" s="10">
        <f ca="1">IFERROR(__xludf.DUMMYFUNCTION("""COMPUTED_VALUE"""),45568)</f>
        <v>45568</v>
      </c>
      <c r="E2013" s="1" t="str">
        <f ca="1">IFERROR(__xludf.DUMMYFUNCTION("""COMPUTED_VALUE"""),"Azerbaijan")</f>
        <v>Azerbaijan</v>
      </c>
      <c r="F2013" s="1" t="str">
        <f ca="1">IFERROR(__xludf.DUMMYFUNCTION("""COMPUTED_VALUE"""),"1.25 Venezuela")</f>
        <v>1.25 Venezuela</v>
      </c>
      <c r="G2013" s="1" t="str">
        <f ca="1">IFERROR(__xludf.DUMMYFUNCTION("""COMPUTED_VALUE"""),"Human Rights Defenders, Individuals At Risk")</f>
        <v>Human Rights Defenders, Individuals At Risk</v>
      </c>
      <c r="H2013" s="1" t="str">
        <f ca="1">IFERROR(__xludf.DUMMYFUNCTION("""COMPUTED_VALUE"""),"2025")</f>
        <v>2025</v>
      </c>
      <c r="I2013" s="1" t="str">
        <f ca="1">IFERROR(__xludf.DUMMYFUNCTION("""COMPUTED_VALUE"""),"Letter")</f>
        <v>Letter</v>
      </c>
    </row>
    <row r="2014" spans="1:9" ht="13" x14ac:dyDescent="0.15">
      <c r="A2014" s="9">
        <f ca="1">IFERROR(__xludf.DUMMYFUNCTION("""COMPUTED_VALUE"""),262072154)</f>
        <v>262072154</v>
      </c>
      <c r="B2014" s="1" t="str">
        <f ca="1">IFERROR(__xludf.DUMMYFUNCTION("""COMPUTED_VALUE"""),"nugraha@indietechsolutions.com")</f>
        <v>nugraha@indietechsolutions.com</v>
      </c>
      <c r="C2014" s="9" t="str">
        <f ca="1">IFERROR(__xludf.DUMMYFUNCTION("""COMPUTED_VALUE"""),"EVERGREEN - Website Email Capture Form - UAN Pre-Footer")</f>
        <v>EVERGREEN - Website Email Capture Form - UAN Pre-Footer</v>
      </c>
      <c r="D2014" s="10">
        <f ca="1">IFERROR(__xludf.DUMMYFUNCTION("""COMPUTED_VALUE"""),45614)</f>
        <v>45614</v>
      </c>
      <c r="E2014" s="1" t="str">
        <f ca="1">IFERROR(__xludf.DUMMYFUNCTION("""COMPUTED_VALUE"""),"Venezuela")</f>
        <v>Venezuela</v>
      </c>
      <c r="F2014" s="1" t="str">
        <f ca="1">IFERROR(__xludf.DUMMYFUNCTION("""COMPUTED_VALUE"""),"1.25 Venezuela")</f>
        <v>1.25 Venezuela</v>
      </c>
      <c r="G2014" s="1" t="str">
        <f ca="1">IFERROR(__xludf.DUMMYFUNCTION("""COMPUTED_VALUE"""),"Human Rights Defenders, Individuals At Risk")</f>
        <v>Human Rights Defenders, Individuals At Risk</v>
      </c>
      <c r="H2014" s="1" t="str">
        <f ca="1">IFERROR(__xludf.DUMMYFUNCTION("""COMPUTED_VALUE"""),"2025")</f>
        <v>2025</v>
      </c>
      <c r="I2014" s="1" t="str">
        <f ca="1">IFERROR(__xludf.DUMMYFUNCTION("""COMPUTED_VALUE"""),"Letter")</f>
        <v>Letter</v>
      </c>
    </row>
    <row r="2015" spans="1:9" ht="13" x14ac:dyDescent="0.15">
      <c r="A2015" s="9">
        <f ca="1">IFERROR(__xludf.DUMMYFUNCTION("""COMPUTED_VALUE"""),262080547)</f>
        <v>262080547</v>
      </c>
      <c r="B2015" s="1" t="str">
        <f ca="1">IFERROR(__xludf.DUMMYFUNCTION("""COMPUTED_VALUE"""),"wjced.dunedin@verizon.net")</f>
        <v>wjced.dunedin@verizon.net</v>
      </c>
      <c r="C2015" s="9" t="str">
        <f ca="1">IFERROR(__xludf.DUMMYFUNCTION("""COMPUTED_VALUE"""),"EVERGREEN - UAN Gated Content - Embedded Petition")</f>
        <v>EVERGREEN - UAN Gated Content - Embedded Petition</v>
      </c>
      <c r="D2015" s="10">
        <f ca="1">IFERROR(__xludf.DUMMYFUNCTION("""COMPUTED_VALUE"""),45636)</f>
        <v>45636</v>
      </c>
      <c r="E2015" s="1" t="str">
        <f ca="1">IFERROR(__xludf.DUMMYFUNCTION("""COMPUTED_VALUE"""),"Venezuela")</f>
        <v>Venezuela</v>
      </c>
      <c r="F2015" s="1" t="str">
        <f ca="1">IFERROR(__xludf.DUMMYFUNCTION("""COMPUTED_VALUE"""),"4.25 USA")</f>
        <v>4.25 USA</v>
      </c>
      <c r="G2015" s="1" t="str">
        <f ca="1">IFERROR(__xludf.DUMMYFUNCTION("""COMPUTED_VALUE"""),"Individuals At Risk, Refugee and Migrant Rights")</f>
        <v>Individuals At Risk, Refugee and Migrant Rights</v>
      </c>
      <c r="H2015" s="1" t="str">
        <f ca="1">IFERROR(__xludf.DUMMYFUNCTION("""COMPUTED_VALUE"""),"2025")</f>
        <v>2025</v>
      </c>
      <c r="I2015" s="1" t="str">
        <f ca="1">IFERROR(__xludf.DUMMYFUNCTION("""COMPUTED_VALUE"""),"Letter")</f>
        <v>Letter</v>
      </c>
    </row>
    <row r="2016" spans="1:9" ht="13" x14ac:dyDescent="0.15">
      <c r="A2016" s="9">
        <f ca="1">IFERROR(__xludf.DUMMYFUNCTION("""COMPUTED_VALUE"""),262080547)</f>
        <v>262080547</v>
      </c>
      <c r="B2016" s="1" t="str">
        <f ca="1">IFERROR(__xludf.DUMMYFUNCTION("""COMPUTED_VALUE"""),"wjced.dunedin@verizon.net")</f>
        <v>wjced.dunedin@verizon.net</v>
      </c>
      <c r="C2016" s="9" t="str">
        <f ca="1">IFERROR(__xludf.DUMMYFUNCTION("""COMPUTED_VALUE"""),"EVERGREEN - UAN Gated Content - Embedded Petition")</f>
        <v>EVERGREEN - UAN Gated Content - Embedded Petition</v>
      </c>
      <c r="D2016" s="10">
        <f ca="1">IFERROR(__xludf.DUMMYFUNCTION("""COMPUTED_VALUE"""),45636)</f>
        <v>45636</v>
      </c>
      <c r="E2016" s="1" t="str">
        <f ca="1">IFERROR(__xludf.DUMMYFUNCTION("""COMPUTED_VALUE"""),"USA")</f>
        <v>USA</v>
      </c>
      <c r="F2016" s="1" t="str">
        <f ca="1">IFERROR(__xludf.DUMMYFUNCTION("""COMPUTED_VALUE"""),"105.24 USA")</f>
        <v>105.24 USA</v>
      </c>
      <c r="G2016" s="1" t="str">
        <f ca="1">IFERROR(__xludf.DUMMYFUNCTION("""COMPUTED_VALUE"""),"Death Penalty")</f>
        <v>Death Penalty</v>
      </c>
      <c r="H2016" s="1" t="str">
        <f ca="1">IFERROR(__xludf.DUMMYFUNCTION("""COMPUTED_VALUE"""),"2024")</f>
        <v>2024</v>
      </c>
      <c r="I2016" s="1" t="str">
        <f ca="1">IFERROR(__xludf.DUMMYFUNCTION("""COMPUTED_VALUE"""),"Email")</f>
        <v>Email</v>
      </c>
    </row>
    <row r="2017" spans="1:9" ht="13" x14ac:dyDescent="0.15">
      <c r="A2017" s="9">
        <f ca="1">IFERROR(__xludf.DUMMYFUNCTION("""COMPUTED_VALUE"""),262080547)</f>
        <v>262080547</v>
      </c>
      <c r="B2017" s="1" t="str">
        <f ca="1">IFERROR(__xludf.DUMMYFUNCTION("""COMPUTED_VALUE"""),"wjced.dunedin@verizon.net")</f>
        <v>wjced.dunedin@verizon.net</v>
      </c>
      <c r="C2017" s="9" t="str">
        <f ca="1">IFERROR(__xludf.DUMMYFUNCTION("""COMPUTED_VALUE"""),"EVERGREEN - UAN Gated Content - Embedded Petition")</f>
        <v>EVERGREEN - UAN Gated Content - Embedded Petition</v>
      </c>
      <c r="D2017" s="10">
        <f ca="1">IFERROR(__xludf.DUMMYFUNCTION("""COMPUTED_VALUE"""),45636)</f>
        <v>45636</v>
      </c>
      <c r="E2017" s="1" t="str">
        <f ca="1">IFERROR(__xludf.DUMMYFUNCTION("""COMPUTED_VALUE"""),"USA")</f>
        <v>USA</v>
      </c>
      <c r="F2017" s="1" t="str">
        <f ca="1">IFERROR(__xludf.DUMMYFUNCTION("""COMPUTED_VALUE"""),"4.25 USA")</f>
        <v>4.25 USA</v>
      </c>
      <c r="G2017" s="1" t="str">
        <f ca="1">IFERROR(__xludf.DUMMYFUNCTION("""COMPUTED_VALUE"""),"Individuals At Risk, Refugee and Migrant Rights")</f>
        <v>Individuals At Risk, Refugee and Migrant Rights</v>
      </c>
      <c r="H2017" s="1" t="str">
        <f ca="1">IFERROR(__xludf.DUMMYFUNCTION("""COMPUTED_VALUE"""),"2025")</f>
        <v>2025</v>
      </c>
      <c r="I2017" s="1" t="str">
        <f ca="1">IFERROR(__xludf.DUMMYFUNCTION("""COMPUTED_VALUE"""),"Letter")</f>
        <v>Letter</v>
      </c>
    </row>
    <row r="2018" spans="1:9" ht="13" x14ac:dyDescent="0.15">
      <c r="A2018" s="9">
        <f ca="1">IFERROR(__xludf.DUMMYFUNCTION("""COMPUTED_VALUE"""),263648361)</f>
        <v>263648361</v>
      </c>
      <c r="B2018" s="1" t="str">
        <f ca="1">IFERROR(__xludf.DUMMYFUNCTION("""COMPUTED_VALUE"""),"new1rachel@gmail.com")</f>
        <v>new1rachel@gmail.com</v>
      </c>
      <c r="C2018" s="9" t="str">
        <f ca="1">IFERROR(__xludf.DUMMYFUNCTION("""COMPUTED_VALUE"""),"EVERGREEN - UAN Gated Content - Embedded Petition")</f>
        <v>EVERGREEN - UAN Gated Content - Embedded Petition</v>
      </c>
      <c r="D2018" s="10">
        <f ca="1">IFERROR(__xludf.DUMMYFUNCTION("""COMPUTED_VALUE"""),45694)</f>
        <v>45694</v>
      </c>
      <c r="E2018" s="1" t="str">
        <f ca="1">IFERROR(__xludf.DUMMYFUNCTION("""COMPUTED_VALUE"""),"USA")</f>
        <v>USA</v>
      </c>
      <c r="F2018" s="1" t="str">
        <f ca="1">IFERROR(__xludf.DUMMYFUNCTION("""COMPUTED_VALUE"""),"4.25 USA")</f>
        <v>4.25 USA</v>
      </c>
      <c r="G2018" s="1" t="str">
        <f ca="1">IFERROR(__xludf.DUMMYFUNCTION("""COMPUTED_VALUE"""),"Individuals At Risk, Refugee and Migrant Rights")</f>
        <v>Individuals At Risk, Refugee and Migrant Rights</v>
      </c>
      <c r="H2018" s="1" t="str">
        <f ca="1">IFERROR(__xludf.DUMMYFUNCTION("""COMPUTED_VALUE"""),"2025")</f>
        <v>2025</v>
      </c>
      <c r="I2018" s="1" t="str">
        <f ca="1">IFERROR(__xludf.DUMMYFUNCTION("""COMPUTED_VALUE"""),"Letter")</f>
        <v>Letter</v>
      </c>
    </row>
    <row r="2019" spans="1:9" ht="13" x14ac:dyDescent="0.15">
      <c r="A2019" s="9">
        <f ca="1">IFERROR(__xludf.DUMMYFUNCTION("""COMPUTED_VALUE"""),263815204)</f>
        <v>263815204</v>
      </c>
      <c r="B2019" s="1" t="str">
        <f ca="1">IFERROR(__xludf.DUMMYFUNCTION("""COMPUTED_VALUE"""),"sameenau@yahoo.com")</f>
        <v>sameenau@yahoo.com</v>
      </c>
      <c r="C2019" s="9" t="str">
        <f ca="1">IFERROR(__xludf.DUMMYFUNCTION("""COMPUTED_VALUE"""),"EVERGREEN - Website Email Capture Form - UAN Pre-Footer")</f>
        <v>EVERGREEN - Website Email Capture Form - UAN Pre-Footer</v>
      </c>
      <c r="D2019" s="10">
        <f ca="1">IFERROR(__xludf.DUMMYFUNCTION("""COMPUTED_VALUE"""),45614)</f>
        <v>45614</v>
      </c>
      <c r="E2019" s="1" t="str">
        <f ca="1">IFERROR(__xludf.DUMMYFUNCTION("""COMPUTED_VALUE"""),"USA")</f>
        <v>USA</v>
      </c>
      <c r="F2019" s="1" t="str">
        <f ca="1">IFERROR(__xludf.DUMMYFUNCTION("""COMPUTED_VALUE"""),"1.25 Venezuela")</f>
        <v>1.25 Venezuela</v>
      </c>
      <c r="G2019" s="1" t="str">
        <f ca="1">IFERROR(__xludf.DUMMYFUNCTION("""COMPUTED_VALUE"""),"Human Rights Defenders, Individuals At Risk")</f>
        <v>Human Rights Defenders, Individuals At Risk</v>
      </c>
      <c r="H2019" s="1" t="str">
        <f ca="1">IFERROR(__xludf.DUMMYFUNCTION("""COMPUTED_VALUE"""),"2025")</f>
        <v>2025</v>
      </c>
      <c r="I2019" s="1" t="str">
        <f ca="1">IFERROR(__xludf.DUMMYFUNCTION("""COMPUTED_VALUE"""),"Letter")</f>
        <v>Letter</v>
      </c>
    </row>
    <row r="2020" spans="1:9" ht="13" x14ac:dyDescent="0.15">
      <c r="A2020" s="9">
        <f ca="1">IFERROR(__xludf.DUMMYFUNCTION("""COMPUTED_VALUE"""),263842418)</f>
        <v>263842418</v>
      </c>
      <c r="B2020" s="1" t="str">
        <f ca="1">IFERROR(__xludf.DUMMYFUNCTION("""COMPUTED_VALUE"""),"parkers14454@gmail.com")</f>
        <v>parkers14454@gmail.com</v>
      </c>
      <c r="C2020" s="9" t="str">
        <f ca="1">IFERROR(__xludf.DUMMYFUNCTION("""COMPUTED_VALUE"""),"EVERGREEN - UAN Gated Content - Embedded Petition")</f>
        <v>EVERGREEN - UAN Gated Content - Embedded Petition</v>
      </c>
      <c r="D2020" s="10">
        <f ca="1">IFERROR(__xludf.DUMMYFUNCTION("""COMPUTED_VALUE"""),45708)</f>
        <v>45708</v>
      </c>
      <c r="E2020" s="1" t="str">
        <f ca="1">IFERROR(__xludf.DUMMYFUNCTION("""COMPUTED_VALUE"""),"Venezuela")</f>
        <v>Venezuela</v>
      </c>
      <c r="F2020" s="1" t="str">
        <f ca="1">IFERROR(__xludf.DUMMYFUNCTION("""COMPUTED_VALUE"""),"1.25 Venezuela")</f>
        <v>1.25 Venezuela</v>
      </c>
      <c r="G2020" s="1" t="str">
        <f ca="1">IFERROR(__xludf.DUMMYFUNCTION("""COMPUTED_VALUE"""),"Human Rights Defenders, Individuals At Risk")</f>
        <v>Human Rights Defenders, Individuals At Risk</v>
      </c>
      <c r="H2020" s="1" t="str">
        <f ca="1">IFERROR(__xludf.DUMMYFUNCTION("""COMPUTED_VALUE"""),"2025")</f>
        <v>2025</v>
      </c>
      <c r="I2020" s="1" t="str">
        <f ca="1">IFERROR(__xludf.DUMMYFUNCTION("""COMPUTED_VALUE"""),"Letter")</f>
        <v>Letter</v>
      </c>
    </row>
    <row r="2021" spans="1:9" ht="13" x14ac:dyDescent="0.15">
      <c r="A2021" s="9">
        <f ca="1">IFERROR(__xludf.DUMMYFUNCTION("""COMPUTED_VALUE"""),263842418)</f>
        <v>263842418</v>
      </c>
      <c r="B2021" s="1" t="str">
        <f ca="1">IFERROR(__xludf.DUMMYFUNCTION("""COMPUTED_VALUE"""),"parkers14454@gmail.com")</f>
        <v>parkers14454@gmail.com</v>
      </c>
      <c r="C2021" s="9" t="str">
        <f ca="1">IFERROR(__xludf.DUMMYFUNCTION("""COMPUTED_VALUE"""),"EVERGREEN - UAN Gated Content - Embedded Petition")</f>
        <v>EVERGREEN - UAN Gated Content - Embedded Petition</v>
      </c>
      <c r="D2021" s="10">
        <f ca="1">IFERROR(__xludf.DUMMYFUNCTION("""COMPUTED_VALUE"""),45677)</f>
        <v>45677</v>
      </c>
      <c r="E2021" s="1" t="str">
        <f ca="1">IFERROR(__xludf.DUMMYFUNCTION("""COMPUTED_VALUE"""),"Venezuela")</f>
        <v>Venezuela</v>
      </c>
      <c r="F2021" s="1" t="str">
        <f ca="1">IFERROR(__xludf.DUMMYFUNCTION("""COMPUTED_VALUE"""),"1.25 Venezuela")</f>
        <v>1.25 Venezuela</v>
      </c>
      <c r="G2021" s="1" t="str">
        <f ca="1">IFERROR(__xludf.DUMMYFUNCTION("""COMPUTED_VALUE"""),"Human Rights Defenders, Individuals At Risk")</f>
        <v>Human Rights Defenders, Individuals At Risk</v>
      </c>
      <c r="H2021" s="1" t="str">
        <f ca="1">IFERROR(__xludf.DUMMYFUNCTION("""COMPUTED_VALUE"""),"2025")</f>
        <v>2025</v>
      </c>
      <c r="I2021" s="1" t="str">
        <f ca="1">IFERROR(__xludf.DUMMYFUNCTION("""COMPUTED_VALUE"""),"Letter")</f>
        <v>Letter</v>
      </c>
    </row>
    <row r="2022" spans="1:9" ht="13" x14ac:dyDescent="0.15">
      <c r="A2022" s="9">
        <f ca="1">IFERROR(__xludf.DUMMYFUNCTION("""COMPUTED_VALUE"""),263842418)</f>
        <v>263842418</v>
      </c>
      <c r="B2022" s="1" t="str">
        <f ca="1">IFERROR(__xludf.DUMMYFUNCTION("""COMPUTED_VALUE"""),"parkers14454@gmail.com")</f>
        <v>parkers14454@gmail.com</v>
      </c>
      <c r="C2022" s="9" t="str">
        <f ca="1">IFERROR(__xludf.DUMMYFUNCTION("""COMPUTED_VALUE"""),"EVERGREEN - UAN Gated Content - Embedded Petition")</f>
        <v>EVERGREEN - UAN Gated Content - Embedded Petition</v>
      </c>
      <c r="D2022" s="10">
        <f ca="1">IFERROR(__xludf.DUMMYFUNCTION("""COMPUTED_VALUE"""),45695)</f>
        <v>45695</v>
      </c>
      <c r="E2022" s="1" t="str">
        <f ca="1">IFERROR(__xludf.DUMMYFUNCTION("""COMPUTED_VALUE"""),"Venezuela")</f>
        <v>Venezuela</v>
      </c>
      <c r="F2022" s="1" t="str">
        <f ca="1">IFERROR(__xludf.DUMMYFUNCTION("""COMPUTED_VALUE"""),"3.25 IOPT")</f>
        <v>3.25 IOPT</v>
      </c>
      <c r="G2022" s="1" t="str">
        <f ca="1">IFERROR(__xludf.DUMMYFUNCTION("""COMPUTED_VALUE"""),"Freedom of Expression, Individuals At Risk")</f>
        <v>Freedom of Expression, Individuals At Risk</v>
      </c>
      <c r="H2022" s="1" t="str">
        <f ca="1">IFERROR(__xludf.DUMMYFUNCTION("""COMPUTED_VALUE"""),"2025")</f>
        <v>2025</v>
      </c>
      <c r="I2022" s="1" t="str">
        <f ca="1">IFERROR(__xludf.DUMMYFUNCTION("""COMPUTED_VALUE"""),"Email")</f>
        <v>Email</v>
      </c>
    </row>
    <row r="2023" spans="1:9" ht="13" x14ac:dyDescent="0.15">
      <c r="A2023" s="9">
        <f ca="1">IFERROR(__xludf.DUMMYFUNCTION("""COMPUTED_VALUE"""),263842418)</f>
        <v>263842418</v>
      </c>
      <c r="B2023" s="1" t="str">
        <f ca="1">IFERROR(__xludf.DUMMYFUNCTION("""COMPUTED_VALUE"""),"parkers14454@gmail.com")</f>
        <v>parkers14454@gmail.com</v>
      </c>
      <c r="C2023" s="9" t="str">
        <f ca="1">IFERROR(__xludf.DUMMYFUNCTION("""COMPUTED_VALUE"""),"EVERGREEN - UAN Gated Content - Embedded Petition")</f>
        <v>EVERGREEN - UAN Gated Content - Embedded Petition</v>
      </c>
      <c r="D2023" s="10">
        <f ca="1">IFERROR(__xludf.DUMMYFUNCTION("""COMPUTED_VALUE"""),45705)</f>
        <v>45705</v>
      </c>
      <c r="E2023" s="1" t="str">
        <f ca="1">IFERROR(__xludf.DUMMYFUNCTION("""COMPUTED_VALUE"""),"Israel and Occupied Palestinian Territories")</f>
        <v>Israel and Occupied Palestinian Territories</v>
      </c>
      <c r="F2023" s="1" t="str">
        <f ca="1">IFERROR(__xludf.DUMMYFUNCTION("""COMPUTED_VALUE"""),"105.24 USA")</f>
        <v>105.24 USA</v>
      </c>
      <c r="G2023" s="1" t="str">
        <f ca="1">IFERROR(__xludf.DUMMYFUNCTION("""COMPUTED_VALUE"""),"Death Penalty")</f>
        <v>Death Penalty</v>
      </c>
      <c r="H2023" s="1" t="str">
        <f ca="1">IFERROR(__xludf.DUMMYFUNCTION("""COMPUTED_VALUE"""),"2024")</f>
        <v>2024</v>
      </c>
      <c r="I2023" s="1" t="str">
        <f ca="1">IFERROR(__xludf.DUMMYFUNCTION("""COMPUTED_VALUE"""),"Email")</f>
        <v>Email</v>
      </c>
    </row>
    <row r="2024" spans="1:9" ht="13" x14ac:dyDescent="0.15">
      <c r="A2024" s="9">
        <f ca="1">IFERROR(__xludf.DUMMYFUNCTION("""COMPUTED_VALUE"""),263842418)</f>
        <v>263842418</v>
      </c>
      <c r="B2024" s="1" t="str">
        <f ca="1">IFERROR(__xludf.DUMMYFUNCTION("""COMPUTED_VALUE"""),"parkers14454@gmail.com")</f>
        <v>parkers14454@gmail.com</v>
      </c>
      <c r="C2024" s="9" t="str">
        <f ca="1">IFERROR(__xludf.DUMMYFUNCTION("""COMPUTED_VALUE"""),"EVERGREEN - UAN Gated Content - Embedded Petition")</f>
        <v>EVERGREEN - UAN Gated Content - Embedded Petition</v>
      </c>
      <c r="D2024" s="10">
        <f ca="1">IFERROR(__xludf.DUMMYFUNCTION("""COMPUTED_VALUE"""),45707)</f>
        <v>45707</v>
      </c>
      <c r="E2024" s="1" t="str">
        <f ca="1">IFERROR(__xludf.DUMMYFUNCTION("""COMPUTED_VALUE"""),"USA")</f>
        <v>USA</v>
      </c>
      <c r="F2024" s="1" t="str">
        <f ca="1">IFERROR(__xludf.DUMMYFUNCTION("""COMPUTED_VALUE"""),"Second 76.24 Tunisia")</f>
        <v>Second 76.24 Tunisia</v>
      </c>
      <c r="G2024" s="1" t="str">
        <f ca="1">IFERROR(__xludf.DUMMYFUNCTION("""COMPUTED_VALUE"""),"Freedom of Expression, Human Rights Defenders")</f>
        <v>Freedom of Expression, Human Rights Defenders</v>
      </c>
      <c r="H2024" s="1" t="str">
        <f ca="1">IFERROR(__xludf.DUMMYFUNCTION("""COMPUTED_VALUE"""),"2025")</f>
        <v>2025</v>
      </c>
      <c r="I2024" s="1" t="str">
        <f ca="1">IFERROR(__xludf.DUMMYFUNCTION("""COMPUTED_VALUE"""),"Email")</f>
        <v>Email</v>
      </c>
    </row>
    <row r="2025" spans="1:9" ht="13" x14ac:dyDescent="0.15">
      <c r="A2025" s="9">
        <f ca="1">IFERROR(__xludf.DUMMYFUNCTION("""COMPUTED_VALUE"""),264092849)</f>
        <v>264092849</v>
      </c>
      <c r="B2025" s="1" t="str">
        <f ca="1">IFERROR(__xludf.DUMMYFUNCTION("""COMPUTED_VALUE"""),"meganjrader@gmail.com")</f>
        <v>meganjrader@gmail.com</v>
      </c>
      <c r="C2025" s="9" t="str">
        <f ca="1">IFERROR(__xludf.DUMMYFUNCTION("""COMPUTED_VALUE"""),"EVERGREEN - UAN Gated Content - Embedded Petition")</f>
        <v>EVERGREEN - UAN Gated Content - Embedded Petition</v>
      </c>
      <c r="D2025" s="10">
        <f ca="1">IFERROR(__xludf.DUMMYFUNCTION("""COMPUTED_VALUE"""),45584)</f>
        <v>45584</v>
      </c>
      <c r="E2025" s="1" t="str">
        <f ca="1">IFERROR(__xludf.DUMMYFUNCTION("""COMPUTED_VALUE"""),"Tunisia")</f>
        <v>Tunisia</v>
      </c>
      <c r="F2025" s="1" t="str">
        <f ca="1">IFERROR(__xludf.DUMMYFUNCTION("""COMPUTED_VALUE"""),"Second 76.24 Tunisia")</f>
        <v>Second 76.24 Tunisia</v>
      </c>
      <c r="G2025" s="1" t="str">
        <f ca="1">IFERROR(__xludf.DUMMYFUNCTION("""COMPUTED_VALUE"""),"Freedom of Expression, Human Rights Defenders")</f>
        <v>Freedom of Expression, Human Rights Defenders</v>
      </c>
      <c r="H2025" s="1" t="str">
        <f ca="1">IFERROR(__xludf.DUMMYFUNCTION("""COMPUTED_VALUE"""),"2025")</f>
        <v>2025</v>
      </c>
      <c r="I2025" s="1" t="str">
        <f ca="1">IFERROR(__xludf.DUMMYFUNCTION("""COMPUTED_VALUE"""),"Email")</f>
        <v>Email</v>
      </c>
    </row>
    <row r="2026" spans="1:9" ht="13" x14ac:dyDescent="0.15">
      <c r="A2026" s="9">
        <f ca="1">IFERROR(__xludf.DUMMYFUNCTION("""COMPUTED_VALUE"""),264092849)</f>
        <v>264092849</v>
      </c>
      <c r="B2026" s="1" t="str">
        <f ca="1">IFERROR(__xludf.DUMMYFUNCTION("""COMPUTED_VALUE"""),"meganjrader@gmail.com")</f>
        <v>meganjrader@gmail.com</v>
      </c>
      <c r="C2026" s="9" t="str">
        <f ca="1">IFERROR(__xludf.DUMMYFUNCTION("""COMPUTED_VALUE"""),"EVERGREEN - UAN Gated Content - Embedded Petition")</f>
        <v>EVERGREEN - UAN Gated Content - Embedded Petition</v>
      </c>
      <c r="D2026" s="10">
        <f ca="1">IFERROR(__xludf.DUMMYFUNCTION("""COMPUTED_VALUE"""),45584)</f>
        <v>45584</v>
      </c>
      <c r="E2026" s="1" t="str">
        <f ca="1">IFERROR(__xludf.DUMMYFUNCTION("""COMPUTED_VALUE"""),"Tunisia")</f>
        <v>Tunisia</v>
      </c>
      <c r="F2026" s="1" t="str">
        <f ca="1">IFERROR(__xludf.DUMMYFUNCTION("""COMPUTED_VALUE"""),"2.25 Azerbaijan")</f>
        <v>2.25 Azerbaijan</v>
      </c>
      <c r="G2026" s="1" t="str">
        <f ca="1">IFERROR(__xludf.DUMMYFUNCTION("""COMPUTED_VALUE"""),"Freedom of Expression, Human Rights Defenders")</f>
        <v>Freedom of Expression, Human Rights Defenders</v>
      </c>
      <c r="H2026" s="1" t="str">
        <f ca="1">IFERROR(__xludf.DUMMYFUNCTION("""COMPUTED_VALUE"""),"2025")</f>
        <v>2025</v>
      </c>
      <c r="I2026" s="1" t="str">
        <f ca="1">IFERROR(__xludf.DUMMYFUNCTION("""COMPUTED_VALUE"""),"Email")</f>
        <v>Email</v>
      </c>
    </row>
    <row r="2027" spans="1:9" ht="13" x14ac:dyDescent="0.15">
      <c r="A2027" s="9">
        <f ca="1">IFERROR(__xludf.DUMMYFUNCTION("""COMPUTED_VALUE"""),264390375)</f>
        <v>264390375</v>
      </c>
      <c r="B2027" s="1" t="str">
        <f ca="1">IFERROR(__xludf.DUMMYFUNCTION("""COMPUTED_VALUE"""),"bigmoneyoutofpolitics@gmail.com")</f>
        <v>bigmoneyoutofpolitics@gmail.com</v>
      </c>
      <c r="C2027" s="9" t="str">
        <f ca="1">IFERROR(__xludf.DUMMYFUNCTION("""COMPUTED_VALUE"""),"EVERGREEN - UAN Gated Content - Embedded Petition")</f>
        <v>EVERGREEN - UAN Gated Content - Embedded Petition</v>
      </c>
      <c r="D2027" s="10">
        <f ca="1">IFERROR(__xludf.DUMMYFUNCTION("""COMPUTED_VALUE"""),45675)</f>
        <v>45675</v>
      </c>
      <c r="E2027" s="1" t="str">
        <f ca="1">IFERROR(__xludf.DUMMYFUNCTION("""COMPUTED_VALUE"""),"Azerbaijan")</f>
        <v>Azerbaijan</v>
      </c>
      <c r="F2027" s="1" t="str">
        <f ca="1">IFERROR(__xludf.DUMMYFUNCTION("""COMPUTED_VALUE"""),"Fourth 55.24 USA")</f>
        <v>Fourth 55.24 USA</v>
      </c>
      <c r="G2027" s="1" t="str">
        <f ca="1">IFERROR(__xludf.DUMMYFUNCTION("""COMPUTED_VALUE"""),"Climate Justice, Individuals At Risk")</f>
        <v>Climate Justice, Individuals At Risk</v>
      </c>
      <c r="H2027" s="1" t="str">
        <f ca="1">IFERROR(__xludf.DUMMYFUNCTION("""COMPUTED_VALUE"""),"2025")</f>
        <v>2025</v>
      </c>
      <c r="I2027" s="1" t="str">
        <f ca="1">IFERROR(__xludf.DUMMYFUNCTION("""COMPUTED_VALUE"""),"Email")</f>
        <v>Email</v>
      </c>
    </row>
    <row r="2028" spans="1:9" ht="13" x14ac:dyDescent="0.15">
      <c r="A2028" s="9">
        <f ca="1">IFERROR(__xludf.DUMMYFUNCTION("""COMPUTED_VALUE"""),264390375)</f>
        <v>264390375</v>
      </c>
      <c r="B2028" s="1" t="str">
        <f ca="1">IFERROR(__xludf.DUMMYFUNCTION("""COMPUTED_VALUE"""),"bigmoneyoutofpolitics@gmail.com")</f>
        <v>bigmoneyoutofpolitics@gmail.com</v>
      </c>
      <c r="C2028" s="9" t="str">
        <f ca="1">IFERROR(__xludf.DUMMYFUNCTION("""COMPUTED_VALUE"""),"EVERGREEN - UAN Gated Content - Embedded Petition")</f>
        <v>EVERGREEN - UAN Gated Content - Embedded Petition</v>
      </c>
      <c r="D2028" s="10">
        <f ca="1">IFERROR(__xludf.DUMMYFUNCTION("""COMPUTED_VALUE"""),45675)</f>
        <v>45675</v>
      </c>
      <c r="E2028" s="1" t="str">
        <f ca="1">IFERROR(__xludf.DUMMYFUNCTION("""COMPUTED_VALUE"""),"USA")</f>
        <v>USA</v>
      </c>
      <c r="F2028" s="1" t="str">
        <f ca="1">IFERROR(__xludf.DUMMYFUNCTION("""COMPUTED_VALUE"""),"Seventh 103.22 Iran")</f>
        <v>Seventh 103.22 Iran</v>
      </c>
      <c r="G2028" s="1" t="str">
        <f ca="1">IFERROR(__xludf.DUMMYFUNCTION("""COMPUTED_VALUE"""),"Death Penalty, Freedom of Expression, Individuals At Risk")</f>
        <v>Death Penalty, Freedom of Expression, Individuals At Risk</v>
      </c>
      <c r="H2028" s="1" t="str">
        <f ca="1">IFERROR(__xludf.DUMMYFUNCTION("""COMPUTED_VALUE"""),"2024")</f>
        <v>2024</v>
      </c>
      <c r="I2028" s="1" t="str">
        <f ca="1">IFERROR(__xludf.DUMMYFUNCTION("""COMPUTED_VALUE"""),"Email")</f>
        <v>Email</v>
      </c>
    </row>
    <row r="2029" spans="1:9" ht="13" x14ac:dyDescent="0.15">
      <c r="A2029" s="9">
        <f ca="1">IFERROR(__xludf.DUMMYFUNCTION("""COMPUTED_VALUE"""),264390375)</f>
        <v>264390375</v>
      </c>
      <c r="B2029" s="1" t="str">
        <f ca="1">IFERROR(__xludf.DUMMYFUNCTION("""COMPUTED_VALUE"""),"bigmoneyoutofpolitics@gmail.com")</f>
        <v>bigmoneyoutofpolitics@gmail.com</v>
      </c>
      <c r="C2029" s="9" t="str">
        <f ca="1">IFERROR(__xludf.DUMMYFUNCTION("""COMPUTED_VALUE"""),"EVERGREEN - UAN Gated Content - Embedded Petition")</f>
        <v>EVERGREEN - UAN Gated Content - Embedded Petition</v>
      </c>
      <c r="D2029" s="10">
        <f ca="1">IFERROR(__xludf.DUMMYFUNCTION("""COMPUTED_VALUE"""),45694)</f>
        <v>45694</v>
      </c>
      <c r="E2029" s="1" t="str">
        <f ca="1">IFERROR(__xludf.DUMMYFUNCTION("""COMPUTED_VALUE"""),"Iran")</f>
        <v>Iran</v>
      </c>
      <c r="F2029" s="1" t="str">
        <f ca="1">IFERROR(__xludf.DUMMYFUNCTION("""COMPUTED_VALUE"""),"Second 76.24 Tunisia")</f>
        <v>Second 76.24 Tunisia</v>
      </c>
      <c r="G2029" s="1" t="str">
        <f ca="1">IFERROR(__xludf.DUMMYFUNCTION("""COMPUTED_VALUE"""),"Freedom of Expression, Human Rights Defenders")</f>
        <v>Freedom of Expression, Human Rights Defenders</v>
      </c>
      <c r="H2029" s="1" t="str">
        <f ca="1">IFERROR(__xludf.DUMMYFUNCTION("""COMPUTED_VALUE"""),"2025")</f>
        <v>2025</v>
      </c>
      <c r="I2029" s="1" t="str">
        <f ca="1">IFERROR(__xludf.DUMMYFUNCTION("""COMPUTED_VALUE"""),"Email")</f>
        <v>Email</v>
      </c>
    </row>
    <row r="2030" spans="1:9" ht="13" x14ac:dyDescent="0.15">
      <c r="A2030" s="9">
        <f ca="1">IFERROR(__xludf.DUMMYFUNCTION("""COMPUTED_VALUE"""),264390375)</f>
        <v>264390375</v>
      </c>
      <c r="B2030" s="1" t="str">
        <f ca="1">IFERROR(__xludf.DUMMYFUNCTION("""COMPUTED_VALUE"""),"bigmoneyoutofpolitics@gmail.com")</f>
        <v>bigmoneyoutofpolitics@gmail.com</v>
      </c>
      <c r="C2030" s="9" t="str">
        <f ca="1">IFERROR(__xludf.DUMMYFUNCTION("""COMPUTED_VALUE"""),"EVERGREEN - UAN Gated Content - Embedded Petition")</f>
        <v>EVERGREEN - UAN Gated Content - Embedded Petition</v>
      </c>
      <c r="D2030" s="10">
        <f ca="1">IFERROR(__xludf.DUMMYFUNCTION("""COMPUTED_VALUE"""),45675)</f>
        <v>45675</v>
      </c>
      <c r="E2030" s="1" t="str">
        <f ca="1">IFERROR(__xludf.DUMMYFUNCTION("""COMPUTED_VALUE"""),"Tunisia")</f>
        <v>Tunisia</v>
      </c>
      <c r="F2030" s="1" t="str">
        <f ca="1">IFERROR(__xludf.DUMMYFUNCTION("""COMPUTED_VALUE"""),"4.25 USA")</f>
        <v>4.25 USA</v>
      </c>
      <c r="G2030" s="1" t="str">
        <f ca="1">IFERROR(__xludf.DUMMYFUNCTION("""COMPUTED_VALUE"""),"Individuals At Risk, Refugee and Migrant Rights")</f>
        <v>Individuals At Risk, Refugee and Migrant Rights</v>
      </c>
      <c r="H2030" s="1" t="str">
        <f ca="1">IFERROR(__xludf.DUMMYFUNCTION("""COMPUTED_VALUE"""),"2025")</f>
        <v>2025</v>
      </c>
      <c r="I2030" s="1" t="str">
        <f ca="1">IFERROR(__xludf.DUMMYFUNCTION("""COMPUTED_VALUE"""),"Letter")</f>
        <v>Letter</v>
      </c>
    </row>
    <row r="2031" spans="1:9" ht="13" x14ac:dyDescent="0.15">
      <c r="A2031" s="9">
        <f ca="1">IFERROR(__xludf.DUMMYFUNCTION("""COMPUTED_VALUE"""),264390375)</f>
        <v>264390375</v>
      </c>
      <c r="B2031" s="1" t="str">
        <f ca="1">IFERROR(__xludf.DUMMYFUNCTION("""COMPUTED_VALUE"""),"bigmoneyoutofpolitics@gmail.com")</f>
        <v>bigmoneyoutofpolitics@gmail.com</v>
      </c>
      <c r="C2031" s="9" t="str">
        <f ca="1">IFERROR(__xludf.DUMMYFUNCTION("""COMPUTED_VALUE"""),"EVERGREEN - UAN Gated Content - Embedded Petition")</f>
        <v>EVERGREEN - UAN Gated Content - Embedded Petition</v>
      </c>
      <c r="D2031" s="10">
        <f ca="1">IFERROR(__xludf.DUMMYFUNCTION("""COMPUTED_VALUE"""),45675)</f>
        <v>45675</v>
      </c>
      <c r="E2031" s="1" t="str">
        <f ca="1">IFERROR(__xludf.DUMMYFUNCTION("""COMPUTED_VALUE"""),"USA")</f>
        <v>USA</v>
      </c>
      <c r="F2031" s="1" t="str">
        <f ca="1">IFERROR(__xludf.DUMMYFUNCTION("""COMPUTED_VALUE"""),"Second 76.24 Tunisia")</f>
        <v>Second 76.24 Tunisia</v>
      </c>
      <c r="G2031" s="1" t="str">
        <f ca="1">IFERROR(__xludf.DUMMYFUNCTION("""COMPUTED_VALUE"""),"Freedom of Expression, Human Rights Defenders")</f>
        <v>Freedom of Expression, Human Rights Defenders</v>
      </c>
      <c r="H2031" s="1" t="str">
        <f ca="1">IFERROR(__xludf.DUMMYFUNCTION("""COMPUTED_VALUE"""),"2025")</f>
        <v>2025</v>
      </c>
      <c r="I2031" s="1" t="str">
        <f ca="1">IFERROR(__xludf.DUMMYFUNCTION("""COMPUTED_VALUE"""),"Email")</f>
        <v>Email</v>
      </c>
    </row>
    <row r="2032" spans="1:9" ht="13" x14ac:dyDescent="0.15">
      <c r="A2032" s="9">
        <f ca="1">IFERROR(__xludf.DUMMYFUNCTION("""COMPUTED_VALUE"""),264390375)</f>
        <v>264390375</v>
      </c>
      <c r="B2032" s="1" t="str">
        <f ca="1">IFERROR(__xludf.DUMMYFUNCTION("""COMPUTED_VALUE"""),"bigmoneyoutofpolitics@gmail.com")</f>
        <v>bigmoneyoutofpolitics@gmail.com</v>
      </c>
      <c r="C2032" s="9" t="str">
        <f ca="1">IFERROR(__xludf.DUMMYFUNCTION("""COMPUTED_VALUE"""),"EVERGREEN - UAN Gated Content - Embedded Petition")</f>
        <v>EVERGREEN - UAN Gated Content - Embedded Petition</v>
      </c>
      <c r="D2032" s="10">
        <f ca="1">IFERROR(__xludf.DUMMYFUNCTION("""COMPUTED_VALUE"""),45675)</f>
        <v>45675</v>
      </c>
      <c r="E2032" s="1" t="str">
        <f ca="1">IFERROR(__xludf.DUMMYFUNCTION("""COMPUTED_VALUE"""),"Tunisia")</f>
        <v>Tunisia</v>
      </c>
      <c r="F2032" s="1" t="str">
        <f ca="1">IFERROR(__xludf.DUMMYFUNCTION("""COMPUTED_VALUE"""),"Second 76.24 Tunisia")</f>
        <v>Second 76.24 Tunisia</v>
      </c>
      <c r="G2032" s="1" t="str">
        <f ca="1">IFERROR(__xludf.DUMMYFUNCTION("""COMPUTED_VALUE"""),"Freedom of Expression, Human Rights Defenders")</f>
        <v>Freedom of Expression, Human Rights Defenders</v>
      </c>
      <c r="H2032" s="1" t="str">
        <f ca="1">IFERROR(__xludf.DUMMYFUNCTION("""COMPUTED_VALUE"""),"2025")</f>
        <v>2025</v>
      </c>
      <c r="I2032" s="1" t="str">
        <f ca="1">IFERROR(__xludf.DUMMYFUNCTION("""COMPUTED_VALUE"""),"Email")</f>
        <v>Email</v>
      </c>
    </row>
    <row r="2033" spans="1:9" ht="13" x14ac:dyDescent="0.15">
      <c r="A2033" s="9">
        <f ca="1">IFERROR(__xludf.DUMMYFUNCTION("""COMPUTED_VALUE"""),264390375)</f>
        <v>264390375</v>
      </c>
      <c r="B2033" s="1" t="str">
        <f ca="1">IFERROR(__xludf.DUMMYFUNCTION("""COMPUTED_VALUE"""),"bigmoneyoutofpolitics@gmail.com")</f>
        <v>bigmoneyoutofpolitics@gmail.com</v>
      </c>
      <c r="C2033" s="9" t="str">
        <f ca="1">IFERROR(__xludf.DUMMYFUNCTION("""COMPUTED_VALUE"""),"EVERGREEN - UAN Gated Content - Embedded Petition")</f>
        <v>EVERGREEN - UAN Gated Content - Embedded Petition</v>
      </c>
      <c r="D2033" s="10">
        <f ca="1">IFERROR(__xludf.DUMMYFUNCTION("""COMPUTED_VALUE"""),45675)</f>
        <v>45675</v>
      </c>
      <c r="E2033" s="1" t="str">
        <f ca="1">IFERROR(__xludf.DUMMYFUNCTION("""COMPUTED_VALUE"""),"Tunisia")</f>
        <v>Tunisia</v>
      </c>
      <c r="F2033" s="1" t="str">
        <f ca="1">IFERROR(__xludf.DUMMYFUNCTION("""COMPUTED_VALUE"""),"Second 76.24 Tunisia")</f>
        <v>Second 76.24 Tunisia</v>
      </c>
      <c r="G2033" s="1" t="str">
        <f ca="1">IFERROR(__xludf.DUMMYFUNCTION("""COMPUTED_VALUE"""),"Freedom of Expression, Human Rights Defenders")</f>
        <v>Freedom of Expression, Human Rights Defenders</v>
      </c>
      <c r="H2033" s="1" t="str">
        <f ca="1">IFERROR(__xludf.DUMMYFUNCTION("""COMPUTED_VALUE"""),"2025")</f>
        <v>2025</v>
      </c>
      <c r="I2033" s="1" t="str">
        <f ca="1">IFERROR(__xludf.DUMMYFUNCTION("""COMPUTED_VALUE"""),"Email")</f>
        <v>Email</v>
      </c>
    </row>
    <row r="2034" spans="1:9" ht="13" x14ac:dyDescent="0.15">
      <c r="A2034" s="9">
        <f ca="1">IFERROR(__xludf.DUMMYFUNCTION("""COMPUTED_VALUE"""),264390375)</f>
        <v>264390375</v>
      </c>
      <c r="B2034" s="1" t="str">
        <f ca="1">IFERROR(__xludf.DUMMYFUNCTION("""COMPUTED_VALUE"""),"bigmoneyoutofpolitics@gmail.com")</f>
        <v>bigmoneyoutofpolitics@gmail.com</v>
      </c>
      <c r="C2034" s="9" t="str">
        <f ca="1">IFERROR(__xludf.DUMMYFUNCTION("""COMPUTED_VALUE"""),"EVERGREEN - UAN Gated Content - Embedded Petition")</f>
        <v>EVERGREEN - UAN Gated Content - Embedded Petition</v>
      </c>
      <c r="D2034" s="10">
        <f ca="1">IFERROR(__xludf.DUMMYFUNCTION("""COMPUTED_VALUE"""),45675)</f>
        <v>45675</v>
      </c>
      <c r="E2034" s="1" t="str">
        <f ca="1">IFERROR(__xludf.DUMMYFUNCTION("""COMPUTED_VALUE"""),"Tunisia")</f>
        <v>Tunisia</v>
      </c>
      <c r="F2034" s="1" t="str">
        <f ca="1">IFERROR(__xludf.DUMMYFUNCTION("""COMPUTED_VALUE"""),"Second 76.24 Tunisia")</f>
        <v>Second 76.24 Tunisia</v>
      </c>
      <c r="G2034" s="1" t="str">
        <f ca="1">IFERROR(__xludf.DUMMYFUNCTION("""COMPUTED_VALUE"""),"Freedom of Expression, Human Rights Defenders")</f>
        <v>Freedom of Expression, Human Rights Defenders</v>
      </c>
      <c r="H2034" s="1" t="str">
        <f ca="1">IFERROR(__xludf.DUMMYFUNCTION("""COMPUTED_VALUE"""),"2025")</f>
        <v>2025</v>
      </c>
      <c r="I2034" s="1" t="str">
        <f ca="1">IFERROR(__xludf.DUMMYFUNCTION("""COMPUTED_VALUE"""),"Email")</f>
        <v>Email</v>
      </c>
    </row>
    <row r="2035" spans="1:9" ht="13" x14ac:dyDescent="0.15">
      <c r="A2035" s="9">
        <f ca="1">IFERROR(__xludf.DUMMYFUNCTION("""COMPUTED_VALUE"""),264390375)</f>
        <v>264390375</v>
      </c>
      <c r="B2035" s="1" t="str">
        <f ca="1">IFERROR(__xludf.DUMMYFUNCTION("""COMPUTED_VALUE"""),"bigmoneyoutofpolitics@gmail.com")</f>
        <v>bigmoneyoutofpolitics@gmail.com</v>
      </c>
      <c r="C2035" s="9" t="str">
        <f ca="1">IFERROR(__xludf.DUMMYFUNCTION("""COMPUTED_VALUE"""),"EVERGREEN - UAN Gated Content - Embedded Petition")</f>
        <v>EVERGREEN - UAN Gated Content - Embedded Petition</v>
      </c>
      <c r="D2035" s="10">
        <f ca="1">IFERROR(__xludf.DUMMYFUNCTION("""COMPUTED_VALUE"""),45675)</f>
        <v>45675</v>
      </c>
      <c r="E2035" s="1" t="str">
        <f ca="1">IFERROR(__xludf.DUMMYFUNCTION("""COMPUTED_VALUE"""),"Tunisia")</f>
        <v>Tunisia</v>
      </c>
      <c r="F2035" s="1" t="str">
        <f ca="1">IFERROR(__xludf.DUMMYFUNCTION("""COMPUTED_VALUE"""),"3.25 IOPT")</f>
        <v>3.25 IOPT</v>
      </c>
      <c r="G2035" s="1" t="str">
        <f ca="1">IFERROR(__xludf.DUMMYFUNCTION("""COMPUTED_VALUE"""),"Freedom of Expression, Individuals At Risk")</f>
        <v>Freedom of Expression, Individuals At Risk</v>
      </c>
      <c r="H2035" s="1" t="str">
        <f ca="1">IFERROR(__xludf.DUMMYFUNCTION("""COMPUTED_VALUE"""),"2025")</f>
        <v>2025</v>
      </c>
      <c r="I2035" s="1" t="str">
        <f ca="1">IFERROR(__xludf.DUMMYFUNCTION("""COMPUTED_VALUE"""),"Email")</f>
        <v>Email</v>
      </c>
    </row>
    <row r="2036" spans="1:9" ht="13" x14ac:dyDescent="0.15">
      <c r="A2036" s="9">
        <f ca="1">IFERROR(__xludf.DUMMYFUNCTION("""COMPUTED_VALUE"""),264390375)</f>
        <v>264390375</v>
      </c>
      <c r="B2036" s="1" t="str">
        <f ca="1">IFERROR(__xludf.DUMMYFUNCTION("""COMPUTED_VALUE"""),"bigmoneyoutofpolitics@gmail.com")</f>
        <v>bigmoneyoutofpolitics@gmail.com</v>
      </c>
      <c r="C2036" s="9" t="str">
        <f ca="1">IFERROR(__xludf.DUMMYFUNCTION("""COMPUTED_VALUE"""),"EVERGREEN - UAN Gated Content - Embedded Petition")</f>
        <v>EVERGREEN - UAN Gated Content - Embedded Petition</v>
      </c>
      <c r="D2036" s="10">
        <f ca="1">IFERROR(__xludf.DUMMYFUNCTION("""COMPUTED_VALUE"""),45675)</f>
        <v>45675</v>
      </c>
      <c r="E2036" s="1" t="str">
        <f ca="1">IFERROR(__xludf.DUMMYFUNCTION("""COMPUTED_VALUE"""),"Israel and Occupied Palestinian Territories")</f>
        <v>Israel and Occupied Palestinian Territories</v>
      </c>
      <c r="F2036" s="1" t="str">
        <f ca="1">IFERROR(__xludf.DUMMYFUNCTION("""COMPUTED_VALUE"""),"4.25 USA")</f>
        <v>4.25 USA</v>
      </c>
      <c r="G2036" s="1" t="str">
        <f ca="1">IFERROR(__xludf.DUMMYFUNCTION("""COMPUTED_VALUE"""),"Individuals At Risk, Refugee and Migrant Rights")</f>
        <v>Individuals At Risk, Refugee and Migrant Rights</v>
      </c>
      <c r="H2036" s="1" t="str">
        <f ca="1">IFERROR(__xludf.DUMMYFUNCTION("""COMPUTED_VALUE"""),"2025")</f>
        <v>2025</v>
      </c>
      <c r="I2036" s="1" t="str">
        <f ca="1">IFERROR(__xludf.DUMMYFUNCTION("""COMPUTED_VALUE"""),"Letter")</f>
        <v>Letter</v>
      </c>
    </row>
    <row r="2037" spans="1:9" ht="13" x14ac:dyDescent="0.15">
      <c r="A2037" s="9">
        <f ca="1">IFERROR(__xludf.DUMMYFUNCTION("""COMPUTED_VALUE"""),264390375)</f>
        <v>264390375</v>
      </c>
      <c r="B2037" s="1" t="str">
        <f ca="1">IFERROR(__xludf.DUMMYFUNCTION("""COMPUTED_VALUE"""),"bigmoneyoutofpolitics@gmail.com")</f>
        <v>bigmoneyoutofpolitics@gmail.com</v>
      </c>
      <c r="C2037" s="9" t="str">
        <f ca="1">IFERROR(__xludf.DUMMYFUNCTION("""COMPUTED_VALUE"""),"EVERGREEN - UAN Gated Content - Embedded Petition")</f>
        <v>EVERGREEN - UAN Gated Content - Embedded Petition</v>
      </c>
      <c r="D2037" s="10">
        <f ca="1">IFERROR(__xludf.DUMMYFUNCTION("""COMPUTED_VALUE"""),45675)</f>
        <v>45675</v>
      </c>
      <c r="E2037" s="1" t="str">
        <f ca="1">IFERROR(__xludf.DUMMYFUNCTION("""COMPUTED_VALUE"""),"USA")</f>
        <v>USA</v>
      </c>
      <c r="F2037" s="1" t="str">
        <f ca="1">IFERROR(__xludf.DUMMYFUNCTION("""COMPUTED_VALUE"""),"3.25 IOPT")</f>
        <v>3.25 IOPT</v>
      </c>
      <c r="G2037" s="1" t="str">
        <f ca="1">IFERROR(__xludf.DUMMYFUNCTION("""COMPUTED_VALUE"""),"Freedom of Expression, Individuals At Risk")</f>
        <v>Freedom of Expression, Individuals At Risk</v>
      </c>
      <c r="H2037" s="1" t="str">
        <f ca="1">IFERROR(__xludf.DUMMYFUNCTION("""COMPUTED_VALUE"""),"2025")</f>
        <v>2025</v>
      </c>
      <c r="I2037" s="1" t="str">
        <f ca="1">IFERROR(__xludf.DUMMYFUNCTION("""COMPUTED_VALUE"""),"Email")</f>
        <v>Email</v>
      </c>
    </row>
    <row r="2038" spans="1:9" ht="13" x14ac:dyDescent="0.15">
      <c r="A2038" s="9">
        <f ca="1">IFERROR(__xludf.DUMMYFUNCTION("""COMPUTED_VALUE"""),264390375)</f>
        <v>264390375</v>
      </c>
      <c r="B2038" s="1" t="str">
        <f ca="1">IFERROR(__xludf.DUMMYFUNCTION("""COMPUTED_VALUE"""),"bigmoneyoutofpolitics@gmail.com")</f>
        <v>bigmoneyoutofpolitics@gmail.com</v>
      </c>
      <c r="C2038" s="9" t="str">
        <f ca="1">IFERROR(__xludf.DUMMYFUNCTION("""COMPUTED_VALUE"""),"EVERGREEN - UAN Gated Content - Embedded Petition")</f>
        <v>EVERGREEN - UAN Gated Content - Embedded Petition</v>
      </c>
      <c r="D2038" s="10">
        <f ca="1">IFERROR(__xludf.DUMMYFUNCTION("""COMPUTED_VALUE"""),45675)</f>
        <v>45675</v>
      </c>
      <c r="E2038" s="1" t="str">
        <f ca="1">IFERROR(__xludf.DUMMYFUNCTION("""COMPUTED_VALUE"""),"Israel and Occupied Palestinian Territories")</f>
        <v>Israel and Occupied Palestinian Territories</v>
      </c>
      <c r="F2038" s="1" t="str">
        <f ca="1">IFERROR(__xludf.DUMMYFUNCTION("""COMPUTED_VALUE"""),"1.25 Venezuela")</f>
        <v>1.25 Venezuela</v>
      </c>
      <c r="G2038" s="1" t="str">
        <f ca="1">IFERROR(__xludf.DUMMYFUNCTION("""COMPUTED_VALUE"""),"Human Rights Defenders, Individuals At Risk")</f>
        <v>Human Rights Defenders, Individuals At Risk</v>
      </c>
      <c r="H2038" s="1" t="str">
        <f ca="1">IFERROR(__xludf.DUMMYFUNCTION("""COMPUTED_VALUE"""),"2025")</f>
        <v>2025</v>
      </c>
      <c r="I2038" s="1" t="str">
        <f ca="1">IFERROR(__xludf.DUMMYFUNCTION("""COMPUTED_VALUE"""),"Letter")</f>
        <v>Letter</v>
      </c>
    </row>
    <row r="2039" spans="1:9" ht="13" x14ac:dyDescent="0.15">
      <c r="A2039" s="9">
        <f ca="1">IFERROR(__xludf.DUMMYFUNCTION("""COMPUTED_VALUE"""),264390375)</f>
        <v>264390375</v>
      </c>
      <c r="B2039" s="1" t="str">
        <f ca="1">IFERROR(__xludf.DUMMYFUNCTION("""COMPUTED_VALUE"""),"bigmoneyoutofpolitics@gmail.com")</f>
        <v>bigmoneyoutofpolitics@gmail.com</v>
      </c>
      <c r="C2039" s="9" t="str">
        <f ca="1">IFERROR(__xludf.DUMMYFUNCTION("""COMPUTED_VALUE"""),"EVERGREEN - UAN Gated Content - Embedded Petition")</f>
        <v>EVERGREEN - UAN Gated Content - Embedded Petition</v>
      </c>
      <c r="D2039" s="10">
        <f ca="1">IFERROR(__xludf.DUMMYFUNCTION("""COMPUTED_VALUE"""),45675)</f>
        <v>45675</v>
      </c>
      <c r="E2039" s="1" t="str">
        <f ca="1">IFERROR(__xludf.DUMMYFUNCTION("""COMPUTED_VALUE"""),"Venezuela")</f>
        <v>Venezuela</v>
      </c>
      <c r="F2039" s="1" t="str">
        <f ca="1">IFERROR(__xludf.DUMMYFUNCTION("""COMPUTED_VALUE"""),"4.25 USA")</f>
        <v>4.25 USA</v>
      </c>
      <c r="G2039" s="1" t="str">
        <f ca="1">IFERROR(__xludf.DUMMYFUNCTION("""COMPUTED_VALUE"""),"Individuals At Risk, Refugee and Migrant Rights")</f>
        <v>Individuals At Risk, Refugee and Migrant Rights</v>
      </c>
      <c r="H2039" s="1" t="str">
        <f ca="1">IFERROR(__xludf.DUMMYFUNCTION("""COMPUTED_VALUE"""),"2025")</f>
        <v>2025</v>
      </c>
      <c r="I2039" s="1" t="str">
        <f ca="1">IFERROR(__xludf.DUMMYFUNCTION("""COMPUTED_VALUE"""),"Letter")</f>
        <v>Letter</v>
      </c>
    </row>
    <row r="2040" spans="1:9" ht="13" x14ac:dyDescent="0.15">
      <c r="A2040" s="9">
        <f ca="1">IFERROR(__xludf.DUMMYFUNCTION("""COMPUTED_VALUE"""),264390375)</f>
        <v>264390375</v>
      </c>
      <c r="B2040" s="1" t="str">
        <f ca="1">IFERROR(__xludf.DUMMYFUNCTION("""COMPUTED_VALUE"""),"bigmoneyoutofpolitics@gmail.com")</f>
        <v>bigmoneyoutofpolitics@gmail.com</v>
      </c>
      <c r="C2040" s="9" t="str">
        <f ca="1">IFERROR(__xludf.DUMMYFUNCTION("""COMPUTED_VALUE"""),"EVERGREEN - UAN Gated Content - Embedded Petition")</f>
        <v>EVERGREEN - UAN Gated Content - Embedded Petition</v>
      </c>
      <c r="D2040" s="10">
        <f ca="1">IFERROR(__xludf.DUMMYFUNCTION("""COMPUTED_VALUE"""),45675)</f>
        <v>45675</v>
      </c>
      <c r="E2040" s="1" t="str">
        <f ca="1">IFERROR(__xludf.DUMMYFUNCTION("""COMPUTED_VALUE"""),"USA")</f>
        <v>USA</v>
      </c>
      <c r="F2040" s="1" t="str">
        <f ca="1">IFERROR(__xludf.DUMMYFUNCTION("""COMPUTED_VALUE"""),"4.25 USA")</f>
        <v>4.25 USA</v>
      </c>
      <c r="G2040" s="1" t="str">
        <f ca="1">IFERROR(__xludf.DUMMYFUNCTION("""COMPUTED_VALUE"""),"Individuals At Risk, Refugee and Migrant Rights")</f>
        <v>Individuals At Risk, Refugee and Migrant Rights</v>
      </c>
      <c r="H2040" s="1" t="str">
        <f ca="1">IFERROR(__xludf.DUMMYFUNCTION("""COMPUTED_VALUE"""),"2025")</f>
        <v>2025</v>
      </c>
      <c r="I2040" s="1" t="str">
        <f ca="1">IFERROR(__xludf.DUMMYFUNCTION("""COMPUTED_VALUE"""),"Letter")</f>
        <v>Letter</v>
      </c>
    </row>
    <row r="2041" spans="1:9" ht="13" x14ac:dyDescent="0.15">
      <c r="A2041" s="9">
        <f ca="1">IFERROR(__xludf.DUMMYFUNCTION("""COMPUTED_VALUE"""),264390375)</f>
        <v>264390375</v>
      </c>
      <c r="B2041" s="1" t="str">
        <f ca="1">IFERROR(__xludf.DUMMYFUNCTION("""COMPUTED_VALUE"""),"bigmoneyoutofpolitics@gmail.com")</f>
        <v>bigmoneyoutofpolitics@gmail.com</v>
      </c>
      <c r="C2041" s="9" t="str">
        <f ca="1">IFERROR(__xludf.DUMMYFUNCTION("""COMPUTED_VALUE"""),"EVERGREEN - UAN Gated Content - Embedded Petition")</f>
        <v>EVERGREEN - UAN Gated Content - Embedded Petition</v>
      </c>
      <c r="D2041" s="10">
        <f ca="1">IFERROR(__xludf.DUMMYFUNCTION("""COMPUTED_VALUE"""),45675)</f>
        <v>45675</v>
      </c>
      <c r="E2041" s="1" t="str">
        <f ca="1">IFERROR(__xludf.DUMMYFUNCTION("""COMPUTED_VALUE"""),"USA")</f>
        <v>USA</v>
      </c>
      <c r="F2041" s="1" t="str">
        <f ca="1">IFERROR(__xludf.DUMMYFUNCTION("""COMPUTED_VALUE"""),"4.25 USA")</f>
        <v>4.25 USA</v>
      </c>
      <c r="G2041" s="1" t="str">
        <f ca="1">IFERROR(__xludf.DUMMYFUNCTION("""COMPUTED_VALUE"""),"Individuals At Risk, Refugee and Migrant Rights")</f>
        <v>Individuals At Risk, Refugee and Migrant Rights</v>
      </c>
      <c r="H2041" s="1" t="str">
        <f ca="1">IFERROR(__xludf.DUMMYFUNCTION("""COMPUTED_VALUE"""),"2025")</f>
        <v>2025</v>
      </c>
      <c r="I2041" s="1" t="str">
        <f ca="1">IFERROR(__xludf.DUMMYFUNCTION("""COMPUTED_VALUE"""),"Letter")</f>
        <v>Letter</v>
      </c>
    </row>
    <row r="2042" spans="1:9" ht="13" x14ac:dyDescent="0.15">
      <c r="A2042" s="9">
        <f ca="1">IFERROR(__xludf.DUMMYFUNCTION("""COMPUTED_VALUE"""),264390375)</f>
        <v>264390375</v>
      </c>
      <c r="B2042" s="1" t="str">
        <f ca="1">IFERROR(__xludf.DUMMYFUNCTION("""COMPUTED_VALUE"""),"bigmoneyoutofpolitics@gmail.com")</f>
        <v>bigmoneyoutofpolitics@gmail.com</v>
      </c>
      <c r="C2042" s="9" t="str">
        <f ca="1">IFERROR(__xludf.DUMMYFUNCTION("""COMPUTED_VALUE"""),"EVERGREEN - UAN Gated Content - Embedded Petition")</f>
        <v>EVERGREEN - UAN Gated Content - Embedded Petition</v>
      </c>
      <c r="D2042" s="10">
        <f ca="1">IFERROR(__xludf.DUMMYFUNCTION("""COMPUTED_VALUE"""),45675)</f>
        <v>45675</v>
      </c>
      <c r="E2042" s="1" t="str">
        <f ca="1">IFERROR(__xludf.DUMMYFUNCTION("""COMPUTED_VALUE"""),"USA")</f>
        <v>USA</v>
      </c>
      <c r="F2042" s="1" t="str">
        <f ca="1">IFERROR(__xludf.DUMMYFUNCTION("""COMPUTED_VALUE"""),"3.25 IOPT")</f>
        <v>3.25 IOPT</v>
      </c>
      <c r="G2042" s="1" t="str">
        <f ca="1">IFERROR(__xludf.DUMMYFUNCTION("""COMPUTED_VALUE"""),"Freedom of Expression, Individuals At Risk")</f>
        <v>Freedom of Expression, Individuals At Risk</v>
      </c>
      <c r="H2042" s="1" t="str">
        <f ca="1">IFERROR(__xludf.DUMMYFUNCTION("""COMPUTED_VALUE"""),"2025")</f>
        <v>2025</v>
      </c>
      <c r="I2042" s="1" t="str">
        <f ca="1">IFERROR(__xludf.DUMMYFUNCTION("""COMPUTED_VALUE"""),"Email")</f>
        <v>Email</v>
      </c>
    </row>
    <row r="2043" spans="1:9" ht="13" x14ac:dyDescent="0.15">
      <c r="A2043" s="9">
        <f ca="1">IFERROR(__xludf.DUMMYFUNCTION("""COMPUTED_VALUE"""),264915254)</f>
        <v>264915254</v>
      </c>
      <c r="B2043" s="1" t="str">
        <f ca="1">IFERROR(__xludf.DUMMYFUNCTION("""COMPUTED_VALUE"""),"saltzhealley@gmail.com")</f>
        <v>saltzhealley@gmail.com</v>
      </c>
      <c r="C2043" s="9" t="str">
        <f ca="1">IFERROR(__xludf.DUMMYFUNCTION("""COMPUTED_VALUE"""),"EVERGREEN - UAN Gated Content - Embedded Petition")</f>
        <v>EVERGREEN - UAN Gated Content - Embedded Petition</v>
      </c>
      <c r="D2043" s="10">
        <f ca="1">IFERROR(__xludf.DUMMYFUNCTION("""COMPUTED_VALUE"""),45707)</f>
        <v>45707</v>
      </c>
      <c r="E2043" s="1" t="str">
        <f ca="1">IFERROR(__xludf.DUMMYFUNCTION("""COMPUTED_VALUE"""),"Israel and Occupied Palestinian Territories")</f>
        <v>Israel and Occupied Palestinian Territories</v>
      </c>
      <c r="F2043" s="1" t="str">
        <f ca="1">IFERROR(__xludf.DUMMYFUNCTION("""COMPUTED_VALUE"""),"Second 76.24 Tunisia")</f>
        <v>Second 76.24 Tunisia</v>
      </c>
      <c r="G2043" s="1" t="str">
        <f ca="1">IFERROR(__xludf.DUMMYFUNCTION("""COMPUTED_VALUE"""),"Freedom of Expression, Human Rights Defenders")</f>
        <v>Freedom of Expression, Human Rights Defenders</v>
      </c>
      <c r="H2043" s="1" t="str">
        <f ca="1">IFERROR(__xludf.DUMMYFUNCTION("""COMPUTED_VALUE"""),"2025")</f>
        <v>2025</v>
      </c>
      <c r="I2043" s="1" t="str">
        <f ca="1">IFERROR(__xludf.DUMMYFUNCTION("""COMPUTED_VALUE"""),"Email")</f>
        <v>Email</v>
      </c>
    </row>
    <row r="2044" spans="1:9" ht="13" x14ac:dyDescent="0.15">
      <c r="A2044" s="9">
        <f ca="1">IFERROR(__xludf.DUMMYFUNCTION("""COMPUTED_VALUE"""),264924177)</f>
        <v>264924177</v>
      </c>
      <c r="B2044" s="1" t="str">
        <f ca="1">IFERROR(__xludf.DUMMYFUNCTION("""COMPUTED_VALUE"""),"megan@indietechsolutions.com")</f>
        <v>megan@indietechsolutions.com</v>
      </c>
      <c r="C2044" s="9" t="str">
        <f ca="1">IFERROR(__xludf.DUMMYFUNCTION("""COMPUTED_VALUE"""),"EVERGREEN - UAN Gated Content - Embedded Petition")</f>
        <v>EVERGREEN - UAN Gated Content - Embedded Petition</v>
      </c>
      <c r="D2044" s="10">
        <f ca="1">IFERROR(__xludf.DUMMYFUNCTION("""COMPUTED_VALUE"""),45611)</f>
        <v>45611</v>
      </c>
      <c r="E2044" s="1" t="str">
        <f ca="1">IFERROR(__xludf.DUMMYFUNCTION("""COMPUTED_VALUE"""),"Tunisia")</f>
        <v>Tunisia</v>
      </c>
      <c r="F2044" s="1" t="str">
        <f ca="1">IFERROR(__xludf.DUMMYFUNCTION("""COMPUTED_VALUE"""),"Second 80.23 Egypt")</f>
        <v>Second 80.23 Egypt</v>
      </c>
      <c r="G2044" s="1" t="str">
        <f ca="1">IFERROR(__xludf.DUMMYFUNCTION("""COMPUTED_VALUE"""),"Health, Individuals At Risk")</f>
        <v>Health, Individuals At Risk</v>
      </c>
      <c r="H2044" s="1" t="str">
        <f ca="1">IFERROR(__xludf.DUMMYFUNCTION("""COMPUTED_VALUE"""),"2025")</f>
        <v>2025</v>
      </c>
      <c r="I2044" s="1" t="str">
        <f ca="1">IFERROR(__xludf.DUMMYFUNCTION("""COMPUTED_VALUE"""),"Email")</f>
        <v>Email</v>
      </c>
    </row>
    <row r="2045" spans="1:9" ht="13" x14ac:dyDescent="0.15">
      <c r="A2045" s="9">
        <f ca="1">IFERROR(__xludf.DUMMYFUNCTION("""COMPUTED_VALUE"""),264924177)</f>
        <v>264924177</v>
      </c>
      <c r="B2045" s="1" t="str">
        <f ca="1">IFERROR(__xludf.DUMMYFUNCTION("""COMPUTED_VALUE"""),"megan@indietechsolutions.com")</f>
        <v>megan@indietechsolutions.com</v>
      </c>
      <c r="C2045" s="9" t="str">
        <f ca="1">IFERROR(__xludf.DUMMYFUNCTION("""COMPUTED_VALUE"""),"EVERGREEN - UAN Gated Content - Embedded Petition")</f>
        <v>EVERGREEN - UAN Gated Content - Embedded Petition</v>
      </c>
      <c r="D2045" s="10">
        <f ca="1">IFERROR(__xludf.DUMMYFUNCTION("""COMPUTED_VALUE"""),45613)</f>
        <v>45613</v>
      </c>
      <c r="E2045" s="1" t="str">
        <f ca="1">IFERROR(__xludf.DUMMYFUNCTION("""COMPUTED_VALUE"""),"Egypt")</f>
        <v>Egypt</v>
      </c>
      <c r="F2045" s="1" t="str">
        <f ca="1">IFERROR(__xludf.DUMMYFUNCTION("""COMPUTED_VALUE"""),"Ninth 190.18 Egypt")</f>
        <v>Ninth 190.18 Egypt</v>
      </c>
      <c r="G2045" s="1" t="str">
        <f ca="1">IFERROR(__xludf.DUMMYFUNCTION("""COMPUTED_VALUE"""),"Freedom of Expression, Individuals At Risk")</f>
        <v>Freedom of Expression, Individuals At Risk</v>
      </c>
      <c r="H2045" s="1" t="str">
        <f ca="1">IFERROR(__xludf.DUMMYFUNCTION("""COMPUTED_VALUE"""),"2024")</f>
        <v>2024</v>
      </c>
      <c r="I2045" s="1" t="str">
        <f ca="1">IFERROR(__xludf.DUMMYFUNCTION("""COMPUTED_VALUE"""),"Letter")</f>
        <v>Letter</v>
      </c>
    </row>
    <row r="2046" spans="1:9" ht="13" x14ac:dyDescent="0.15">
      <c r="A2046" s="9">
        <f ca="1">IFERROR(__xludf.DUMMYFUNCTION("""COMPUTED_VALUE"""),264924177)</f>
        <v>264924177</v>
      </c>
      <c r="B2046" s="1" t="str">
        <f ca="1">IFERROR(__xludf.DUMMYFUNCTION("""COMPUTED_VALUE"""),"megan@indietechsolutions.com")</f>
        <v>megan@indietechsolutions.com</v>
      </c>
      <c r="C2046" s="9" t="str">
        <f ca="1">IFERROR(__xludf.DUMMYFUNCTION("""COMPUTED_VALUE"""),"EVERGREEN - UAN Gated Content - Embedded Petition")</f>
        <v>EVERGREEN - UAN Gated Content - Embedded Petition</v>
      </c>
      <c r="D2046" s="10">
        <f ca="1">IFERROR(__xludf.DUMMYFUNCTION("""COMPUTED_VALUE"""),45603)</f>
        <v>45603</v>
      </c>
      <c r="E2046" s="1" t="str">
        <f ca="1">IFERROR(__xludf.DUMMYFUNCTION("""COMPUTED_VALUE"""),"Egypt")</f>
        <v>Egypt</v>
      </c>
      <c r="F2046" s="1" t="str">
        <f ca="1">IFERROR(__xludf.DUMMYFUNCTION("""COMPUTED_VALUE"""),"11.25 Afghanistan")</f>
        <v>11.25 Afghanistan</v>
      </c>
      <c r="G2046" s="1" t="str">
        <f ca="1">IFERROR(__xludf.DUMMYFUNCTION("""COMPUTED_VALUE"""),"Freedom of Expression, Health, Individuals At Risk")</f>
        <v>Freedom of Expression, Health, Individuals At Risk</v>
      </c>
      <c r="H2046" s="1" t="str">
        <f ca="1">IFERROR(__xludf.DUMMYFUNCTION("""COMPUTED_VALUE"""),"2025")</f>
        <v>2025</v>
      </c>
      <c r="I2046" s="1" t="str">
        <f ca="1">IFERROR(__xludf.DUMMYFUNCTION("""COMPUTED_VALUE"""),"Email")</f>
        <v>Email</v>
      </c>
    </row>
    <row r="2047" spans="1:9" ht="13" x14ac:dyDescent="0.15">
      <c r="A2047" s="9">
        <f ca="1">IFERROR(__xludf.DUMMYFUNCTION("""COMPUTED_VALUE"""),264924177)</f>
        <v>264924177</v>
      </c>
      <c r="B2047" s="1" t="str">
        <f ca="1">IFERROR(__xludf.DUMMYFUNCTION("""COMPUTED_VALUE"""),"megan@indietechsolutions.com")</f>
        <v>megan@indietechsolutions.com</v>
      </c>
      <c r="C2047" s="9" t="str">
        <f ca="1">IFERROR(__xludf.DUMMYFUNCTION("""COMPUTED_VALUE"""),"EVERGREEN - UAN Gated Content - Embedded Petition")</f>
        <v>EVERGREEN - UAN Gated Content - Embedded Petition</v>
      </c>
      <c r="D2047" s="10">
        <f ca="1">IFERROR(__xludf.DUMMYFUNCTION("""COMPUTED_VALUE"""),45615)</f>
        <v>45615</v>
      </c>
      <c r="E2047" s="1" t="str">
        <f ca="1">IFERROR(__xludf.DUMMYFUNCTION("""COMPUTED_VALUE"""),"Afghanistan")</f>
        <v>Afghanistan</v>
      </c>
      <c r="F2047" s="1" t="str">
        <f ca="1">IFERROR(__xludf.DUMMYFUNCTION("""COMPUTED_VALUE"""),"Fifth 257.12")</f>
        <v>Fifth 257.12</v>
      </c>
      <c r="G2047" s="1" t="str">
        <f ca="1">IFERROR(__xludf.DUMMYFUNCTION("""COMPUTED_VALUE"""),"Freedom of Expression, Human Rights Defenders")</f>
        <v>Freedom of Expression, Human Rights Defenders</v>
      </c>
      <c r="H2047" s="1" t="str">
        <f ca="1">IFERROR(__xludf.DUMMYFUNCTION("""COMPUTED_VALUE"""),"2025")</f>
        <v>2025</v>
      </c>
      <c r="I2047" s="1" t="str">
        <f ca="1">IFERROR(__xludf.DUMMYFUNCTION("""COMPUTED_VALUE"""),"Email")</f>
        <v>Email</v>
      </c>
    </row>
    <row r="2048" spans="1:9" ht="13" x14ac:dyDescent="0.15">
      <c r="A2048" s="9">
        <f ca="1">IFERROR(__xludf.DUMMYFUNCTION("""COMPUTED_VALUE"""),264924177)</f>
        <v>264924177</v>
      </c>
      <c r="B2048" s="1" t="str">
        <f ca="1">IFERROR(__xludf.DUMMYFUNCTION("""COMPUTED_VALUE"""),"megan@indietechsolutions.com")</f>
        <v>megan@indietechsolutions.com</v>
      </c>
      <c r="C2048" s="9" t="str">
        <f ca="1">IFERROR(__xludf.DUMMYFUNCTION("""COMPUTED_VALUE"""),"EVERGREEN - UAN Gated Content - Embedded Petition")</f>
        <v>EVERGREEN - UAN Gated Content - Embedded Petition</v>
      </c>
      <c r="D2048" s="10">
        <f ca="1">IFERROR(__xludf.DUMMYFUNCTION("""COMPUTED_VALUE"""),45616)</f>
        <v>45616</v>
      </c>
      <c r="E2048" s="1" t="str">
        <f ca="1">IFERROR(__xludf.DUMMYFUNCTION("""COMPUTED_VALUE"""),"Saudi Arabia")</f>
        <v>Saudi Arabia</v>
      </c>
      <c r="F2048" s="1" t="str">
        <f ca="1">IFERROR(__xludf.DUMMYFUNCTION("""COMPUTED_VALUE"""),"Third 12.24 Colombia")</f>
        <v>Third 12.24 Colombia</v>
      </c>
      <c r="G2048" s="1" t="str">
        <f ca="1">IFERROR(__xludf.DUMMYFUNCTION("""COMPUTED_VALUE"""),"Human Rights Defenders, Individuals At Risk")</f>
        <v>Human Rights Defenders, Individuals At Risk</v>
      </c>
      <c r="H2048" s="1" t="str">
        <f ca="1">IFERROR(__xludf.DUMMYFUNCTION("""COMPUTED_VALUE"""),"2025")</f>
        <v>2025</v>
      </c>
      <c r="I2048" s="1" t="str">
        <f ca="1">IFERROR(__xludf.DUMMYFUNCTION("""COMPUTED_VALUE"""),"Email")</f>
        <v>Email</v>
      </c>
    </row>
    <row r="2049" spans="1:9" ht="13" x14ac:dyDescent="0.15">
      <c r="A2049" s="9">
        <f ca="1">IFERROR(__xludf.DUMMYFUNCTION("""COMPUTED_VALUE"""),264924177)</f>
        <v>264924177</v>
      </c>
      <c r="B2049" s="1" t="str">
        <f ca="1">IFERROR(__xludf.DUMMYFUNCTION("""COMPUTED_VALUE"""),"megan@indietechsolutions.com")</f>
        <v>megan@indietechsolutions.com</v>
      </c>
      <c r="C2049" s="9" t="str">
        <f ca="1">IFERROR(__xludf.DUMMYFUNCTION("""COMPUTED_VALUE"""),"EVERGREEN - UAN Gated Content - Embedded Petition")</f>
        <v>EVERGREEN - UAN Gated Content - Embedded Petition</v>
      </c>
      <c r="D2049" s="10">
        <f ca="1">IFERROR(__xludf.DUMMYFUNCTION("""COMPUTED_VALUE"""),45551)</f>
        <v>45551</v>
      </c>
      <c r="E2049" s="1" t="str">
        <f ca="1">IFERROR(__xludf.DUMMYFUNCTION("""COMPUTED_VALUE"""),"Colombia")</f>
        <v>Colombia</v>
      </c>
      <c r="F2049" s="1" t="str">
        <f ca="1">IFERROR(__xludf.DUMMYFUNCTION("""COMPUTED_VALUE"""),"Second 109.24 Türkiye")</f>
        <v>Second 109.24 Türkiye</v>
      </c>
      <c r="G2049" s="1" t="str">
        <f ca="1">IFERROR(__xludf.DUMMYFUNCTION("""COMPUTED_VALUE"""),"Human Rights Defenders")</f>
        <v>Human Rights Defenders</v>
      </c>
      <c r="H2049" s="1" t="str">
        <f ca="1">IFERROR(__xludf.DUMMYFUNCTION("""COMPUTED_VALUE"""),"2025")</f>
        <v>2025</v>
      </c>
      <c r="I2049" s="1" t="str">
        <f ca="1">IFERROR(__xludf.DUMMYFUNCTION("""COMPUTED_VALUE"""),"Email")</f>
        <v>Email</v>
      </c>
    </row>
    <row r="2050" spans="1:9" ht="13" x14ac:dyDescent="0.15">
      <c r="A2050" s="9">
        <f ca="1">IFERROR(__xludf.DUMMYFUNCTION("""COMPUTED_VALUE"""),264924177)</f>
        <v>264924177</v>
      </c>
      <c r="B2050" s="1" t="str">
        <f ca="1">IFERROR(__xludf.DUMMYFUNCTION("""COMPUTED_VALUE"""),"megan@indietechsolutions.com")</f>
        <v>megan@indietechsolutions.com</v>
      </c>
      <c r="C2050" s="9" t="str">
        <f ca="1">IFERROR(__xludf.DUMMYFUNCTION("""COMPUTED_VALUE"""),"EVERGREEN - UAN Gated Content - Embedded Petition")</f>
        <v>EVERGREEN - UAN Gated Content - Embedded Petition</v>
      </c>
      <c r="D2050" s="10">
        <f ca="1">IFERROR(__xludf.DUMMYFUNCTION("""COMPUTED_VALUE"""),45569)</f>
        <v>45569</v>
      </c>
      <c r="E2050" s="1" t="str">
        <f ca="1">IFERROR(__xludf.DUMMYFUNCTION("""COMPUTED_VALUE"""),"Turkiye")</f>
        <v>Turkiye</v>
      </c>
      <c r="F2050" s="1" t="str">
        <f ca="1">IFERROR(__xludf.DUMMYFUNCTION("""COMPUTED_VALUE"""),"6.25 Iran")</f>
        <v>6.25 Iran</v>
      </c>
      <c r="G2050" s="1" t="str">
        <f ca="1">IFERROR(__xludf.DUMMYFUNCTION("""COMPUTED_VALUE"""),"Death Penalty, Freedom of Expression, Individuals At Risk")</f>
        <v>Death Penalty, Freedom of Expression, Individuals At Risk</v>
      </c>
      <c r="H2050" s="1" t="str">
        <f ca="1">IFERROR(__xludf.DUMMYFUNCTION("""COMPUTED_VALUE"""),"2025")</f>
        <v>2025</v>
      </c>
      <c r="I2050" s="1" t="str">
        <f ca="1">IFERROR(__xludf.DUMMYFUNCTION("""COMPUTED_VALUE"""),"Email")</f>
        <v>Email</v>
      </c>
    </row>
    <row r="2051" spans="1:9" ht="13" x14ac:dyDescent="0.15">
      <c r="A2051" s="9">
        <f ca="1">IFERROR(__xludf.DUMMYFUNCTION("""COMPUTED_VALUE"""),264924177)</f>
        <v>264924177</v>
      </c>
      <c r="B2051" s="1" t="str">
        <f ca="1">IFERROR(__xludf.DUMMYFUNCTION("""COMPUTED_VALUE"""),"megan@indietechsolutions.com")</f>
        <v>megan@indietechsolutions.com</v>
      </c>
      <c r="C2051" s="9" t="str">
        <f ca="1">IFERROR(__xludf.DUMMYFUNCTION("""COMPUTED_VALUE"""),"EVERGREEN - UAN Gated Content - Embedded Petition")</f>
        <v>EVERGREEN - UAN Gated Content - Embedded Petition</v>
      </c>
      <c r="D2051" s="10">
        <f ca="1">IFERROR(__xludf.DUMMYFUNCTION("""COMPUTED_VALUE"""),45572)</f>
        <v>45572</v>
      </c>
      <c r="E2051" s="1" t="str">
        <f ca="1">IFERROR(__xludf.DUMMYFUNCTION("""COMPUTED_VALUE"""),"Iran")</f>
        <v>Iran</v>
      </c>
      <c r="F2051" s="1" t="str">
        <f ca="1">IFERROR(__xludf.DUMMYFUNCTION("""COMPUTED_VALUE"""),"Second 76.24 Tunisia")</f>
        <v>Second 76.24 Tunisia</v>
      </c>
      <c r="G2051" s="1" t="str">
        <f ca="1">IFERROR(__xludf.DUMMYFUNCTION("""COMPUTED_VALUE"""),"Freedom of Expression, Human Rights Defenders")</f>
        <v>Freedom of Expression, Human Rights Defenders</v>
      </c>
      <c r="H2051" s="1" t="str">
        <f ca="1">IFERROR(__xludf.DUMMYFUNCTION("""COMPUTED_VALUE"""),"2025")</f>
        <v>2025</v>
      </c>
      <c r="I2051" s="1" t="str">
        <f ca="1">IFERROR(__xludf.DUMMYFUNCTION("""COMPUTED_VALUE"""),"Email")</f>
        <v>Email</v>
      </c>
    </row>
    <row r="2052" spans="1:9" ht="13" x14ac:dyDescent="0.15">
      <c r="A2052" s="9">
        <f ca="1">IFERROR(__xludf.DUMMYFUNCTION("""COMPUTED_VALUE"""),264924177)</f>
        <v>264924177</v>
      </c>
      <c r="B2052" s="1" t="str">
        <f ca="1">IFERROR(__xludf.DUMMYFUNCTION("""COMPUTED_VALUE"""),"megan@indietechsolutions.com")</f>
        <v>megan@indietechsolutions.com</v>
      </c>
      <c r="C2052" s="9" t="str">
        <f ca="1">IFERROR(__xludf.DUMMYFUNCTION("""COMPUTED_VALUE"""),"EVERGREEN - UAN Gated Content - Embedded Petition")</f>
        <v>EVERGREEN - UAN Gated Content - Embedded Petition</v>
      </c>
      <c r="D2052" s="10">
        <f ca="1">IFERROR(__xludf.DUMMYFUNCTION("""COMPUTED_VALUE"""),45576)</f>
        <v>45576</v>
      </c>
      <c r="E2052" s="1" t="str">
        <f ca="1">IFERROR(__xludf.DUMMYFUNCTION("""COMPUTED_VALUE"""),"Tunisia")</f>
        <v>Tunisia</v>
      </c>
      <c r="F2052" s="1" t="str">
        <f ca="1">IFERROR(__xludf.DUMMYFUNCTION("""COMPUTED_VALUE"""),"8.25 Tunisia")</f>
        <v>8.25 Tunisia</v>
      </c>
      <c r="G2052" s="1" t="str">
        <f ca="1">IFERROR(__xludf.DUMMYFUNCTION("""COMPUTED_VALUE"""),"Freedom of Expression")</f>
        <v>Freedom of Expression</v>
      </c>
      <c r="H2052" s="1" t="str">
        <f ca="1">IFERROR(__xludf.DUMMYFUNCTION("""COMPUTED_VALUE"""),"2025")</f>
        <v>2025</v>
      </c>
      <c r="I2052" s="1" t="str">
        <f ca="1">IFERROR(__xludf.DUMMYFUNCTION("""COMPUTED_VALUE"""),"Email")</f>
        <v>Email</v>
      </c>
    </row>
    <row r="2053" spans="1:9" ht="13" x14ac:dyDescent="0.15">
      <c r="A2053" s="9">
        <f ca="1">IFERROR(__xludf.DUMMYFUNCTION("""COMPUTED_VALUE"""),264924177)</f>
        <v>264924177</v>
      </c>
      <c r="B2053" s="1" t="str">
        <f ca="1">IFERROR(__xludf.DUMMYFUNCTION("""COMPUTED_VALUE"""),"megan@indietechsolutions.com")</f>
        <v>megan@indietechsolutions.com</v>
      </c>
      <c r="C2053" s="9" t="str">
        <f ca="1">IFERROR(__xludf.DUMMYFUNCTION("""COMPUTED_VALUE"""),"EVERGREEN - UAN Gated Content - Embedded Petition")</f>
        <v>EVERGREEN - UAN Gated Content - Embedded Petition</v>
      </c>
      <c r="D2053" s="10">
        <f ca="1">IFERROR(__xludf.DUMMYFUNCTION("""COMPUTED_VALUE"""),45576)</f>
        <v>45576</v>
      </c>
      <c r="E2053" s="1" t="str">
        <f ca="1">IFERROR(__xludf.DUMMYFUNCTION("""COMPUTED_VALUE"""),"Tunisia")</f>
        <v>Tunisia</v>
      </c>
      <c r="F2053" s="1" t="str">
        <f ca="1">IFERROR(__xludf.DUMMYFUNCTION("""COMPUTED_VALUE"""),"9.25 Uganda")</f>
        <v>9.25 Uganda</v>
      </c>
      <c r="G2053" s="1" t="str">
        <f ca="1">IFERROR(__xludf.DUMMYFUNCTION("""COMPUTED_VALUE"""),"Freedom of Expression, Human Rights Defenders")</f>
        <v>Freedom of Expression, Human Rights Defenders</v>
      </c>
      <c r="H2053" s="1" t="str">
        <f ca="1">IFERROR(__xludf.DUMMYFUNCTION("""COMPUTED_VALUE"""),"2025")</f>
        <v>2025</v>
      </c>
      <c r="I2053" s="1" t="str">
        <f ca="1">IFERROR(__xludf.DUMMYFUNCTION("""COMPUTED_VALUE"""),"Email")</f>
        <v>Email</v>
      </c>
    </row>
    <row r="2054" spans="1:9" ht="13" x14ac:dyDescent="0.15">
      <c r="A2054" s="9">
        <f ca="1">IFERROR(__xludf.DUMMYFUNCTION("""COMPUTED_VALUE"""),264924177)</f>
        <v>264924177</v>
      </c>
      <c r="B2054" s="1" t="str">
        <f ca="1">IFERROR(__xludf.DUMMYFUNCTION("""COMPUTED_VALUE"""),"megan@indietechsolutions.com")</f>
        <v>megan@indietechsolutions.com</v>
      </c>
      <c r="C2054" s="9" t="str">
        <f ca="1">IFERROR(__xludf.DUMMYFUNCTION("""COMPUTED_VALUE"""),"EVERGREEN - UAN Gated Content - Embedded Petition")</f>
        <v>EVERGREEN - UAN Gated Content - Embedded Petition</v>
      </c>
      <c r="D2054" s="10">
        <f ca="1">IFERROR(__xludf.DUMMYFUNCTION("""COMPUTED_VALUE"""),45588)</f>
        <v>45588</v>
      </c>
      <c r="E2054" s="1" t="str">
        <f ca="1">IFERROR(__xludf.DUMMYFUNCTION("""COMPUTED_VALUE"""),"Uganda")</f>
        <v>Uganda</v>
      </c>
      <c r="F2054" s="1" t="str">
        <f ca="1">IFERROR(__xludf.DUMMYFUNCTION("""COMPUTED_VALUE"""),"10.25 Iran")</f>
        <v>10.25 Iran</v>
      </c>
      <c r="G2054" s="1" t="str">
        <f ca="1">IFERROR(__xludf.DUMMYFUNCTION("""COMPUTED_VALUE"""),"Death Penalty, Individuals At Risk")</f>
        <v>Death Penalty, Individuals At Risk</v>
      </c>
      <c r="H2054" s="1" t="str">
        <f ca="1">IFERROR(__xludf.DUMMYFUNCTION("""COMPUTED_VALUE"""),"2025")</f>
        <v>2025</v>
      </c>
      <c r="I2054" s="1" t="str">
        <f ca="1">IFERROR(__xludf.DUMMYFUNCTION("""COMPUTED_VALUE"""),"Email")</f>
        <v>Email</v>
      </c>
    </row>
    <row r="2055" spans="1:9" ht="13" x14ac:dyDescent="0.15">
      <c r="A2055" s="9">
        <f ca="1">IFERROR(__xludf.DUMMYFUNCTION("""COMPUTED_VALUE"""),264924177)</f>
        <v>264924177</v>
      </c>
      <c r="B2055" s="1" t="str">
        <f ca="1">IFERROR(__xludf.DUMMYFUNCTION("""COMPUTED_VALUE"""),"megan@indietechsolutions.com")</f>
        <v>megan@indietechsolutions.com</v>
      </c>
      <c r="C2055" s="9" t="str">
        <f ca="1">IFERROR(__xludf.DUMMYFUNCTION("""COMPUTED_VALUE"""),"EVERGREEN - UAN Gated Content - Embedded Petition")</f>
        <v>EVERGREEN - UAN Gated Content - Embedded Petition</v>
      </c>
      <c r="D2055" s="10">
        <f ca="1">IFERROR(__xludf.DUMMYFUNCTION("""COMPUTED_VALUE"""),45589)</f>
        <v>45589</v>
      </c>
      <c r="E2055" s="1" t="str">
        <f ca="1">IFERROR(__xludf.DUMMYFUNCTION("""COMPUTED_VALUE"""),"Iran")</f>
        <v>Iran</v>
      </c>
      <c r="F2055" s="1" t="str">
        <f ca="1">IFERROR(__xludf.DUMMYFUNCTION("""COMPUTED_VALUE"""),"12.25 Libya")</f>
        <v>12.25 Libya</v>
      </c>
      <c r="G2055" s="1" t="str">
        <f ca="1">IFERROR(__xludf.DUMMYFUNCTION("""COMPUTED_VALUE"""),"Freedom of Expression, Health, Individuals At Risk")</f>
        <v>Freedom of Expression, Health, Individuals At Risk</v>
      </c>
      <c r="H2055" s="1" t="str">
        <f ca="1">IFERROR(__xludf.DUMMYFUNCTION("""COMPUTED_VALUE"""),"2025")</f>
        <v>2025</v>
      </c>
      <c r="I2055" s="1" t="str">
        <f ca="1">IFERROR(__xludf.DUMMYFUNCTION("""COMPUTED_VALUE"""),"Email")</f>
        <v>Email</v>
      </c>
    </row>
    <row r="2056" spans="1:9" ht="13" x14ac:dyDescent="0.15">
      <c r="A2056" s="9">
        <f ca="1">IFERROR(__xludf.DUMMYFUNCTION("""COMPUTED_VALUE"""),264924177)</f>
        <v>264924177</v>
      </c>
      <c r="B2056" s="1" t="str">
        <f ca="1">IFERROR(__xludf.DUMMYFUNCTION("""COMPUTED_VALUE"""),"megan@indietechsolutions.com")</f>
        <v>megan@indietechsolutions.com</v>
      </c>
      <c r="C2056" s="9" t="str">
        <f ca="1">IFERROR(__xludf.DUMMYFUNCTION("""COMPUTED_VALUE"""),"EVERGREEN - UAN Gated Content - Embedded Petition")</f>
        <v>EVERGREEN - UAN Gated Content - Embedded Petition</v>
      </c>
      <c r="D2056" s="10">
        <f ca="1">IFERROR(__xludf.DUMMYFUNCTION("""COMPUTED_VALUE"""),45589)</f>
        <v>45589</v>
      </c>
      <c r="E2056" s="1" t="str">
        <f ca="1">IFERROR(__xludf.DUMMYFUNCTION("""COMPUTED_VALUE"""),"Libya")</f>
        <v>Libya</v>
      </c>
      <c r="F2056" s="1" t="str">
        <f ca="1">IFERROR(__xludf.DUMMYFUNCTION("""COMPUTED_VALUE"""),"105.24 USA")</f>
        <v>105.24 USA</v>
      </c>
      <c r="G2056" s="1" t="str">
        <f ca="1">IFERROR(__xludf.DUMMYFUNCTION("""COMPUTED_VALUE"""),"Death Penalty")</f>
        <v>Death Penalty</v>
      </c>
      <c r="H2056" s="1" t="str">
        <f ca="1">IFERROR(__xludf.DUMMYFUNCTION("""COMPUTED_VALUE"""),"2024")</f>
        <v>2024</v>
      </c>
      <c r="I2056" s="1" t="str">
        <f ca="1">IFERROR(__xludf.DUMMYFUNCTION("""COMPUTED_VALUE"""),"Email")</f>
        <v>Email</v>
      </c>
    </row>
    <row r="2057" spans="1:9" ht="13" x14ac:dyDescent="0.15">
      <c r="A2057" s="9">
        <f ca="1">IFERROR(__xludf.DUMMYFUNCTION("""COMPUTED_VALUE"""),264924177)</f>
        <v>264924177</v>
      </c>
      <c r="B2057" s="1" t="str">
        <f ca="1">IFERROR(__xludf.DUMMYFUNCTION("""COMPUTED_VALUE"""),"megan@indietechsolutions.com")</f>
        <v>megan@indietechsolutions.com</v>
      </c>
      <c r="C2057" s="9" t="str">
        <f ca="1">IFERROR(__xludf.DUMMYFUNCTION("""COMPUTED_VALUE"""),"EVERGREEN - UAN Gated Content - Embedded Petition")</f>
        <v>EVERGREEN - UAN Gated Content - Embedded Petition</v>
      </c>
      <c r="D2057" s="10">
        <f ca="1">IFERROR(__xludf.DUMMYFUNCTION("""COMPUTED_VALUE"""),45590)</f>
        <v>45590</v>
      </c>
      <c r="E2057" s="1" t="str">
        <f ca="1">IFERROR(__xludf.DUMMYFUNCTION("""COMPUTED_VALUE"""),"USA")</f>
        <v>USA</v>
      </c>
      <c r="F2057" s="1" t="str">
        <f ca="1">IFERROR(__xludf.DUMMYFUNCTION("""COMPUTED_VALUE"""),"Seventh 103.22 Iran")</f>
        <v>Seventh 103.22 Iran</v>
      </c>
      <c r="G2057" s="1" t="str">
        <f ca="1">IFERROR(__xludf.DUMMYFUNCTION("""COMPUTED_VALUE"""),"Death Penalty, Freedom of Expression, Individuals At Risk")</f>
        <v>Death Penalty, Freedom of Expression, Individuals At Risk</v>
      </c>
      <c r="H2057" s="1" t="str">
        <f ca="1">IFERROR(__xludf.DUMMYFUNCTION("""COMPUTED_VALUE"""),"2024")</f>
        <v>2024</v>
      </c>
      <c r="I2057" s="1" t="str">
        <f ca="1">IFERROR(__xludf.DUMMYFUNCTION("""COMPUTED_VALUE"""),"Email")</f>
        <v>Email</v>
      </c>
    </row>
    <row r="2058" spans="1:9" ht="13" x14ac:dyDescent="0.15">
      <c r="A2058" s="9">
        <f ca="1">IFERROR(__xludf.DUMMYFUNCTION("""COMPUTED_VALUE"""),264924177)</f>
        <v>264924177</v>
      </c>
      <c r="B2058" s="1" t="str">
        <f ca="1">IFERROR(__xludf.DUMMYFUNCTION("""COMPUTED_VALUE"""),"megan@indietechsolutions.com")</f>
        <v>megan@indietechsolutions.com</v>
      </c>
      <c r="C2058" s="9" t="str">
        <f ca="1">IFERROR(__xludf.DUMMYFUNCTION("""COMPUTED_VALUE"""),"EVERGREEN - UAN Gated Content - Embedded Petition")</f>
        <v>EVERGREEN - UAN Gated Content - Embedded Petition</v>
      </c>
      <c r="D2058" s="10">
        <f ca="1">IFERROR(__xludf.DUMMYFUNCTION("""COMPUTED_VALUE"""),45593)</f>
        <v>45593</v>
      </c>
      <c r="E2058" s="1" t="str">
        <f ca="1">IFERROR(__xludf.DUMMYFUNCTION("""COMPUTED_VALUE"""),"Iran")</f>
        <v>Iran</v>
      </c>
      <c r="F2058" s="1" t="str">
        <f ca="1">IFERROR(__xludf.DUMMYFUNCTION("""COMPUTED_VALUE"""),"Third 12.24 Colombia")</f>
        <v>Third 12.24 Colombia</v>
      </c>
      <c r="G2058" s="1" t="str">
        <f ca="1">IFERROR(__xludf.DUMMYFUNCTION("""COMPUTED_VALUE"""),"Human Rights Defenders, Individuals At Risk")</f>
        <v>Human Rights Defenders, Individuals At Risk</v>
      </c>
      <c r="H2058" s="1" t="str">
        <f ca="1">IFERROR(__xludf.DUMMYFUNCTION("""COMPUTED_VALUE"""),"2025")</f>
        <v>2025</v>
      </c>
      <c r="I2058" s="1" t="str">
        <f ca="1">IFERROR(__xludf.DUMMYFUNCTION("""COMPUTED_VALUE"""),"Email")</f>
        <v>Email</v>
      </c>
    </row>
    <row r="2059" spans="1:9" ht="13" x14ac:dyDescent="0.15">
      <c r="A2059" s="9">
        <f ca="1">IFERROR(__xludf.DUMMYFUNCTION("""COMPUTED_VALUE"""),264924177)</f>
        <v>264924177</v>
      </c>
      <c r="B2059" s="1" t="str">
        <f ca="1">IFERROR(__xludf.DUMMYFUNCTION("""COMPUTED_VALUE"""),"megan@indietechsolutions.com")</f>
        <v>megan@indietechsolutions.com</v>
      </c>
      <c r="C2059" s="9" t="str">
        <f ca="1">IFERROR(__xludf.DUMMYFUNCTION("""COMPUTED_VALUE"""),"UAN mid-page Lightbox - Step 1 of 4 - Landing Page")</f>
        <v>UAN mid-page Lightbox - Step 1 of 4 - Landing Page</v>
      </c>
      <c r="D2059" s="10">
        <f ca="1">IFERROR(__xludf.DUMMYFUNCTION("""COMPUTED_VALUE"""),45561)</f>
        <v>45561</v>
      </c>
      <c r="E2059" s="1" t="str">
        <f ca="1">IFERROR(__xludf.DUMMYFUNCTION("""COMPUTED_VALUE"""),"Colombia")</f>
        <v>Colombia</v>
      </c>
      <c r="F2059" s="1" t="str">
        <f ca="1">IFERROR(__xludf.DUMMYFUNCTION("""COMPUTED_VALUE"""),"5.25 Colombia")</f>
        <v>5.25 Colombia</v>
      </c>
      <c r="G2059" s="1" t="str">
        <f ca="1">IFERROR(__xludf.DUMMYFUNCTION("""COMPUTED_VALUE"""),"Human Rights Defenders, Individuals At Risk")</f>
        <v>Human Rights Defenders, Individuals At Risk</v>
      </c>
      <c r="H2059" s="1" t="str">
        <f ca="1">IFERROR(__xludf.DUMMYFUNCTION("""COMPUTED_VALUE"""),"2025")</f>
        <v>2025</v>
      </c>
      <c r="I2059" s="1" t="str">
        <f ca="1">IFERROR(__xludf.DUMMYFUNCTION("""COMPUTED_VALUE"""),"Email")</f>
        <v>Email</v>
      </c>
    </row>
    <row r="2060" spans="1:9" ht="13" x14ac:dyDescent="0.15">
      <c r="A2060" s="9">
        <f ca="1">IFERROR(__xludf.DUMMYFUNCTION("""COMPUTED_VALUE"""),264924177)</f>
        <v>264924177</v>
      </c>
      <c r="B2060" s="1" t="str">
        <f ca="1">IFERROR(__xludf.DUMMYFUNCTION("""COMPUTED_VALUE"""),"megan@indietechsolutions.com")</f>
        <v>megan@indietechsolutions.com</v>
      </c>
      <c r="C2060" s="9" t="str">
        <f ca="1">IFERROR(__xludf.DUMMYFUNCTION("""COMPUTED_VALUE"""),"UAN mid-page Lightbox - Step 1 of 4 - Landing Page")</f>
        <v>UAN mid-page Lightbox - Step 1 of 4 - Landing Page</v>
      </c>
      <c r="D2060" s="10">
        <f ca="1">IFERROR(__xludf.DUMMYFUNCTION("""COMPUTED_VALUE"""),45569)</f>
        <v>45569</v>
      </c>
      <c r="E2060" s="1" t="str">
        <f ca="1">IFERROR(__xludf.DUMMYFUNCTION("""COMPUTED_VALUE"""),"Colombia")</f>
        <v>Colombia</v>
      </c>
      <c r="F2060" s="1" t="str">
        <f ca="1">IFERROR(__xludf.DUMMYFUNCTION("""COMPUTED_VALUE"""),"Second 109.24 Türkiye")</f>
        <v>Second 109.24 Türkiye</v>
      </c>
      <c r="G2060" s="1" t="str">
        <f ca="1">IFERROR(__xludf.DUMMYFUNCTION("""COMPUTED_VALUE"""),"Human Rights Defenders")</f>
        <v>Human Rights Defenders</v>
      </c>
      <c r="H2060" s="1" t="str">
        <f ca="1">IFERROR(__xludf.DUMMYFUNCTION("""COMPUTED_VALUE"""),"2025")</f>
        <v>2025</v>
      </c>
      <c r="I2060" s="1" t="str">
        <f ca="1">IFERROR(__xludf.DUMMYFUNCTION("""COMPUTED_VALUE"""),"Email")</f>
        <v>Email</v>
      </c>
    </row>
    <row r="2061" spans="1:9" ht="13" x14ac:dyDescent="0.15">
      <c r="A2061" s="9">
        <f ca="1">IFERROR(__xludf.DUMMYFUNCTION("""COMPUTED_VALUE"""),264924177)</f>
        <v>264924177</v>
      </c>
      <c r="B2061" s="1" t="str">
        <f ca="1">IFERROR(__xludf.DUMMYFUNCTION("""COMPUTED_VALUE"""),"megan@indietechsolutions.com")</f>
        <v>megan@indietechsolutions.com</v>
      </c>
      <c r="C2061" s="9" t="str">
        <f ca="1">IFERROR(__xludf.DUMMYFUNCTION("""COMPUTED_VALUE"""),"UAN mid-page Lightbox - Step 2 of 4 - More personal info fields")</f>
        <v>UAN mid-page Lightbox - Step 2 of 4 - More personal info fields</v>
      </c>
      <c r="D2061" s="10">
        <f ca="1">IFERROR(__xludf.DUMMYFUNCTION("""COMPUTED_VALUE"""),45561)</f>
        <v>45561</v>
      </c>
      <c r="E2061" s="1" t="str">
        <f ca="1">IFERROR(__xludf.DUMMYFUNCTION("""COMPUTED_VALUE"""),"Turkiye")</f>
        <v>Turkiye</v>
      </c>
      <c r="F2061" s="1" t="str">
        <f ca="1">IFERROR(__xludf.DUMMYFUNCTION("""COMPUTED_VALUE"""),"109.24 Türkiye")</f>
        <v>109.24 Türkiye</v>
      </c>
      <c r="G2061" s="1" t="str">
        <f ca="1">IFERROR(__xludf.DUMMYFUNCTION("""COMPUTED_VALUE"""),"Human Rights Defenders, Individuals At Risk")</f>
        <v>Human Rights Defenders, Individuals At Risk</v>
      </c>
      <c r="H2061" s="1" t="str">
        <f ca="1">IFERROR(__xludf.DUMMYFUNCTION("""COMPUTED_VALUE"""),"2024")</f>
        <v>2024</v>
      </c>
      <c r="I2061" s="1" t="str">
        <f ca="1">IFERROR(__xludf.DUMMYFUNCTION("""COMPUTED_VALUE"""),"Email")</f>
        <v>Email</v>
      </c>
    </row>
    <row r="2062" spans="1:9" ht="13" x14ac:dyDescent="0.15">
      <c r="A2062" s="9">
        <f ca="1">IFERROR(__xludf.DUMMYFUNCTION("""COMPUTED_VALUE"""),265472149)</f>
        <v>265472149</v>
      </c>
      <c r="B2062" s="1" t="str">
        <f ca="1">IFERROR(__xludf.DUMMYFUNCTION("""COMPUTED_VALUE"""),"rlema1284@gmail.com")</f>
        <v>rlema1284@gmail.com</v>
      </c>
      <c r="C2062" s="9" t="str">
        <f ca="1">IFERROR(__xludf.DUMMYFUNCTION("""COMPUTED_VALUE"""),"EVERGREEN - UAN Gated Content - Embedded Petition")</f>
        <v>EVERGREEN - UAN Gated Content - Embedded Petition</v>
      </c>
      <c r="D2062" s="10">
        <f ca="1">IFERROR(__xludf.DUMMYFUNCTION("""COMPUTED_VALUE"""),45672)</f>
        <v>45672</v>
      </c>
      <c r="E2062" s="1" t="str">
        <f ca="1">IFERROR(__xludf.DUMMYFUNCTION("""COMPUTED_VALUE"""),"Turkiye")</f>
        <v>Turkiye</v>
      </c>
      <c r="F2062" s="1" t="str">
        <f ca="1">IFERROR(__xludf.DUMMYFUNCTION("""COMPUTED_VALUE"""),"Third 73.23 Egypt")</f>
        <v>Third 73.23 Egypt</v>
      </c>
      <c r="G2062" s="1" t="str">
        <f ca="1">IFERROR(__xludf.DUMMYFUNCTION("""COMPUTED_VALUE"""),"Individuals At Risk")</f>
        <v>Individuals At Risk</v>
      </c>
      <c r="H2062" s="1" t="str">
        <f ca="1">IFERROR(__xludf.DUMMYFUNCTION("""COMPUTED_VALUE"""),"2024")</f>
        <v>2024</v>
      </c>
      <c r="I2062" s="1" t="str">
        <f ca="1">IFERROR(__xludf.DUMMYFUNCTION("""COMPUTED_VALUE"""),"Email")</f>
        <v>Email</v>
      </c>
    </row>
    <row r="2063" spans="1:9" ht="13" x14ac:dyDescent="0.15">
      <c r="A2063" s="9">
        <f ca="1">IFERROR(__xludf.DUMMYFUNCTION("""COMPUTED_VALUE"""),266972729)</f>
        <v>266972729</v>
      </c>
      <c r="B2063" s="1" t="str">
        <f ca="1">IFERROR(__xludf.DUMMYFUNCTION("""COMPUTED_VALUE"""),"25shulla72@manheimcentral.org")</f>
        <v>25shulla72@manheimcentral.org</v>
      </c>
      <c r="C2063" s="9" t="str">
        <f ca="1">IFERROR(__xludf.DUMMYFUNCTION("""COMPUTED_VALUE"""),"EVERGREEN - UAN Gated Content - Embedded Petition")</f>
        <v>EVERGREEN - UAN Gated Content - Embedded Petition</v>
      </c>
      <c r="D2063" s="10">
        <f ca="1">IFERROR(__xludf.DUMMYFUNCTION("""COMPUTED_VALUE"""),45667)</f>
        <v>45667</v>
      </c>
      <c r="E2063" s="1" t="str">
        <f ca="1">IFERROR(__xludf.DUMMYFUNCTION("""COMPUTED_VALUE"""),"Egypt")</f>
        <v>Egypt</v>
      </c>
      <c r="F2063" s="1" t="str">
        <f ca="1">IFERROR(__xludf.DUMMYFUNCTION("""COMPUTED_VALUE"""),"Seventh 103.22 Iran")</f>
        <v>Seventh 103.22 Iran</v>
      </c>
      <c r="G2063" s="1" t="str">
        <f ca="1">IFERROR(__xludf.DUMMYFUNCTION("""COMPUTED_VALUE"""),"Death Penalty, Freedom of Expression, Individuals At Risk")</f>
        <v>Death Penalty, Freedom of Expression, Individuals At Risk</v>
      </c>
      <c r="H2063" s="1" t="str">
        <f ca="1">IFERROR(__xludf.DUMMYFUNCTION("""COMPUTED_VALUE"""),"2024")</f>
        <v>2024</v>
      </c>
      <c r="I2063" s="1" t="str">
        <f ca="1">IFERROR(__xludf.DUMMYFUNCTION("""COMPUTED_VALUE"""),"Email")</f>
        <v>Email</v>
      </c>
    </row>
    <row r="2064" spans="1:9" ht="13" x14ac:dyDescent="0.15">
      <c r="A2064" s="9">
        <f ca="1">IFERROR(__xludf.DUMMYFUNCTION("""COMPUTED_VALUE"""),266972729)</f>
        <v>266972729</v>
      </c>
      <c r="B2064" s="1" t="str">
        <f ca="1">IFERROR(__xludf.DUMMYFUNCTION("""COMPUTED_VALUE"""),"25shulla72@manheimcentral.org")</f>
        <v>25shulla72@manheimcentral.org</v>
      </c>
      <c r="C2064" s="9" t="str">
        <f ca="1">IFERROR(__xludf.DUMMYFUNCTION("""COMPUTED_VALUE"""),"EVERGREEN - UAN Gated Content - Embedded Petition")</f>
        <v>EVERGREEN - UAN Gated Content - Embedded Petition</v>
      </c>
      <c r="D2064" s="10">
        <f ca="1">IFERROR(__xludf.DUMMYFUNCTION("""COMPUTED_VALUE"""),45666)</f>
        <v>45666</v>
      </c>
      <c r="E2064" s="1" t="str">
        <f ca="1">IFERROR(__xludf.DUMMYFUNCTION("""COMPUTED_VALUE"""),"Iran")</f>
        <v>Iran</v>
      </c>
      <c r="F2064" s="1" t="str">
        <f ca="1">IFERROR(__xludf.DUMMYFUNCTION("""COMPUTED_VALUE"""),"2.25 Azerbaijan")</f>
        <v>2.25 Azerbaijan</v>
      </c>
      <c r="G2064" s="1" t="str">
        <f ca="1">IFERROR(__xludf.DUMMYFUNCTION("""COMPUTED_VALUE"""),"Freedom of Expression, Human Rights Defenders")</f>
        <v>Freedom of Expression, Human Rights Defenders</v>
      </c>
      <c r="H2064" s="1" t="str">
        <f ca="1">IFERROR(__xludf.DUMMYFUNCTION("""COMPUTED_VALUE"""),"2025")</f>
        <v>2025</v>
      </c>
      <c r="I2064" s="1" t="str">
        <f ca="1">IFERROR(__xludf.DUMMYFUNCTION("""COMPUTED_VALUE"""),"Email")</f>
        <v>Email</v>
      </c>
    </row>
    <row r="2065" spans="1:9" ht="13" x14ac:dyDescent="0.15">
      <c r="A2065" s="9">
        <f ca="1">IFERROR(__xludf.DUMMYFUNCTION("""COMPUTED_VALUE"""),267343847)</f>
        <v>267343847</v>
      </c>
      <c r="B2065" s="1" t="str">
        <f ca="1">IFERROR(__xludf.DUMMYFUNCTION("""COMPUTED_VALUE"""),"ekramer@aiusa.org")</f>
        <v>ekramer@aiusa.org</v>
      </c>
      <c r="C2065" s="9" t="str">
        <f ca="1">IFERROR(__xludf.DUMMYFUNCTION("""COMPUTED_VALUE"""),"EVERGREEN - UAN Gated Content - Embedded Petition")</f>
        <v>EVERGREEN - UAN Gated Content - Embedded Petition</v>
      </c>
      <c r="D2065" s="10">
        <f ca="1">IFERROR(__xludf.DUMMYFUNCTION("""COMPUTED_VALUE"""),45699)</f>
        <v>45699</v>
      </c>
      <c r="E2065" s="1" t="str">
        <f ca="1">IFERROR(__xludf.DUMMYFUNCTION("""COMPUTED_VALUE"""),"Azerbaijan")</f>
        <v>Azerbaijan</v>
      </c>
      <c r="F2065" s="1" t="str">
        <f ca="1">IFERROR(__xludf.DUMMYFUNCTION("""COMPUTED_VALUE"""),"2.25 Azerbaijan")</f>
        <v>2.25 Azerbaijan</v>
      </c>
      <c r="G2065" s="1" t="str">
        <f ca="1">IFERROR(__xludf.DUMMYFUNCTION("""COMPUTED_VALUE"""),"Freedom of Expression, Human Rights Defenders")</f>
        <v>Freedom of Expression, Human Rights Defenders</v>
      </c>
      <c r="H2065" s="1" t="str">
        <f ca="1">IFERROR(__xludf.DUMMYFUNCTION("""COMPUTED_VALUE"""),"2025")</f>
        <v>2025</v>
      </c>
      <c r="I2065" s="1" t="str">
        <f ca="1">IFERROR(__xludf.DUMMYFUNCTION("""COMPUTED_VALUE"""),"Email")</f>
        <v>Email</v>
      </c>
    </row>
    <row r="2066" spans="1:9" ht="13" x14ac:dyDescent="0.15">
      <c r="A2066" s="9">
        <f ca="1">IFERROR(__xludf.DUMMYFUNCTION("""COMPUTED_VALUE"""),267343847)</f>
        <v>267343847</v>
      </c>
      <c r="B2066" s="1" t="str">
        <f ca="1">IFERROR(__xludf.DUMMYFUNCTION("""COMPUTED_VALUE"""),"ekramer@aiusa.org")</f>
        <v>ekramer@aiusa.org</v>
      </c>
      <c r="C2066" s="9" t="str">
        <f ca="1">IFERROR(__xludf.DUMMYFUNCTION("""COMPUTED_VALUE"""),"EVERGREEN - UAN Gated Content - Embedded Petition")</f>
        <v>EVERGREEN - UAN Gated Content - Embedded Petition</v>
      </c>
      <c r="D2066" s="10">
        <f ca="1">IFERROR(__xludf.DUMMYFUNCTION("""COMPUTED_VALUE"""),45694)</f>
        <v>45694</v>
      </c>
      <c r="E2066" s="1" t="str">
        <f ca="1">IFERROR(__xludf.DUMMYFUNCTION("""COMPUTED_VALUE"""),"Azerbaijan")</f>
        <v>Azerbaijan</v>
      </c>
      <c r="F2066" s="1" t="str">
        <f ca="1">IFERROR(__xludf.DUMMYFUNCTION("""COMPUTED_VALUE"""),"3.25 IOPT")</f>
        <v>3.25 IOPT</v>
      </c>
      <c r="G2066" s="1" t="str">
        <f ca="1">IFERROR(__xludf.DUMMYFUNCTION("""COMPUTED_VALUE"""),"Freedom of Expression, Individuals At Risk")</f>
        <v>Freedom of Expression, Individuals At Risk</v>
      </c>
      <c r="H2066" s="1" t="str">
        <f ca="1">IFERROR(__xludf.DUMMYFUNCTION("""COMPUTED_VALUE"""),"2025")</f>
        <v>2025</v>
      </c>
      <c r="I2066" s="1" t="str">
        <f ca="1">IFERROR(__xludf.DUMMYFUNCTION("""COMPUTED_VALUE"""),"Email")</f>
        <v>Email</v>
      </c>
    </row>
    <row r="2067" spans="1:9" ht="13" x14ac:dyDescent="0.15">
      <c r="A2067" s="9">
        <f ca="1">IFERROR(__xludf.DUMMYFUNCTION("""COMPUTED_VALUE"""),267343847)</f>
        <v>267343847</v>
      </c>
      <c r="B2067" s="1" t="str">
        <f ca="1">IFERROR(__xludf.DUMMYFUNCTION("""COMPUTED_VALUE"""),"ekramer@aiusa.org")</f>
        <v>ekramer@aiusa.org</v>
      </c>
      <c r="C2067" s="9" t="str">
        <f ca="1">IFERROR(__xludf.DUMMYFUNCTION("""COMPUTED_VALUE"""),"EVERGREEN - UAN Gated Content - Embedded Petition")</f>
        <v>EVERGREEN - UAN Gated Content - Embedded Petition</v>
      </c>
      <c r="D2067" s="10">
        <f ca="1">IFERROR(__xludf.DUMMYFUNCTION("""COMPUTED_VALUE"""),45694)</f>
        <v>45694</v>
      </c>
      <c r="E2067" s="1" t="str">
        <f ca="1">IFERROR(__xludf.DUMMYFUNCTION("""COMPUTED_VALUE"""),"Israel and Occupied Palestinian Territories")</f>
        <v>Israel and Occupied Palestinian Territories</v>
      </c>
      <c r="F2067" s="1" t="str">
        <f ca="1">IFERROR(__xludf.DUMMYFUNCTION("""COMPUTED_VALUE"""),"106.24 China")</f>
        <v>106.24 China</v>
      </c>
      <c r="G2067" s="1" t="str">
        <f ca="1">IFERROR(__xludf.DUMMYFUNCTION("""COMPUTED_VALUE"""),"Freedom of Expression, Individuals At Risk")</f>
        <v>Freedom of Expression, Individuals At Risk</v>
      </c>
      <c r="H2067" s="1" t="str">
        <f ca="1">IFERROR(__xludf.DUMMYFUNCTION("""COMPUTED_VALUE"""),"2024")</f>
        <v>2024</v>
      </c>
      <c r="I2067" s="1" t="str">
        <f ca="1">IFERROR(__xludf.DUMMYFUNCTION("""COMPUTED_VALUE"""),"Email")</f>
        <v>Email</v>
      </c>
    </row>
    <row r="2068" spans="1:9" ht="13" x14ac:dyDescent="0.15">
      <c r="A2068" s="9">
        <f ca="1">IFERROR(__xludf.DUMMYFUNCTION("""COMPUTED_VALUE"""),267343847)</f>
        <v>267343847</v>
      </c>
      <c r="B2068" s="1" t="str">
        <f ca="1">IFERROR(__xludf.DUMMYFUNCTION("""COMPUTED_VALUE"""),"ekramer@aiusa.org")</f>
        <v>ekramer@aiusa.org</v>
      </c>
      <c r="C2068" s="9" t="str">
        <f ca="1">IFERROR(__xludf.DUMMYFUNCTION("""COMPUTED_VALUE"""),"EVERGREEN - UAN Gated Content - Embedded Petition")</f>
        <v>EVERGREEN - UAN Gated Content - Embedded Petition</v>
      </c>
      <c r="D2068" s="10">
        <f ca="1">IFERROR(__xludf.DUMMYFUNCTION("""COMPUTED_VALUE"""),45694)</f>
        <v>45694</v>
      </c>
      <c r="E2068" s="1" t="str">
        <f ca="1">IFERROR(__xludf.DUMMYFUNCTION("""COMPUTED_VALUE"""),"China")</f>
        <v>China</v>
      </c>
      <c r="F2068" s="1" t="str">
        <f ca="1">IFERROR(__xludf.DUMMYFUNCTION("""COMPUTED_VALUE"""),"106.24 China")</f>
        <v>106.24 China</v>
      </c>
      <c r="G2068" s="1" t="str">
        <f ca="1">IFERROR(__xludf.DUMMYFUNCTION("""COMPUTED_VALUE"""),"Freedom of Expression, Individuals At Risk")</f>
        <v>Freedom of Expression, Individuals At Risk</v>
      </c>
      <c r="H2068" s="1" t="str">
        <f ca="1">IFERROR(__xludf.DUMMYFUNCTION("""COMPUTED_VALUE"""),"2024")</f>
        <v>2024</v>
      </c>
      <c r="I2068" s="1" t="str">
        <f ca="1">IFERROR(__xludf.DUMMYFUNCTION("""COMPUTED_VALUE"""),"Email")</f>
        <v>Email</v>
      </c>
    </row>
    <row r="2069" spans="1:9" ht="13" x14ac:dyDescent="0.15">
      <c r="A2069" s="9">
        <f ca="1">IFERROR(__xludf.DUMMYFUNCTION("""COMPUTED_VALUE"""),267343847)</f>
        <v>267343847</v>
      </c>
      <c r="B2069" s="1" t="str">
        <f ca="1">IFERROR(__xludf.DUMMYFUNCTION("""COMPUTED_VALUE"""),"ekramer@aiusa.org")</f>
        <v>ekramer@aiusa.org</v>
      </c>
      <c r="C2069" s="9" t="str">
        <f ca="1">IFERROR(__xludf.DUMMYFUNCTION("""COMPUTED_VALUE"""),"EVERGREEN - UAN Gated Content - Embedded Petition")</f>
        <v>EVERGREEN - UAN Gated Content - Embedded Petition</v>
      </c>
      <c r="D2069" s="10">
        <f ca="1">IFERROR(__xludf.DUMMYFUNCTION("""COMPUTED_VALUE"""),45694)</f>
        <v>45694</v>
      </c>
      <c r="E2069" s="1" t="str">
        <f ca="1">IFERROR(__xludf.DUMMYFUNCTION("""COMPUTED_VALUE"""),"China")</f>
        <v>China</v>
      </c>
      <c r="F2069" s="1" t="str">
        <f ca="1">IFERROR(__xludf.DUMMYFUNCTION("""COMPUTED_VALUE"""),"Second 43.24 Tunisia")</f>
        <v>Second 43.24 Tunisia</v>
      </c>
      <c r="G2069" s="1" t="str">
        <f ca="1">IFERROR(__xludf.DUMMYFUNCTION("""COMPUTED_VALUE"""),"Freedom of Expression, Individuals At Risk")</f>
        <v>Freedom of Expression, Individuals At Risk</v>
      </c>
      <c r="H2069" s="1" t="str">
        <f ca="1">IFERROR(__xludf.DUMMYFUNCTION("""COMPUTED_VALUE"""),"2024")</f>
        <v>2024</v>
      </c>
      <c r="I2069" s="1" t="str">
        <f ca="1">IFERROR(__xludf.DUMMYFUNCTION("""COMPUTED_VALUE"""),"Email")</f>
        <v>Email</v>
      </c>
    </row>
    <row r="2070" spans="1:9" ht="13" x14ac:dyDescent="0.15">
      <c r="A2070" s="9">
        <f ca="1">IFERROR(__xludf.DUMMYFUNCTION("""COMPUTED_VALUE"""),267343847)</f>
        <v>267343847</v>
      </c>
      <c r="B2070" s="1" t="str">
        <f ca="1">IFERROR(__xludf.DUMMYFUNCTION("""COMPUTED_VALUE"""),"ekramer@aiusa.org")</f>
        <v>ekramer@aiusa.org</v>
      </c>
      <c r="C2070" s="9" t="str">
        <f ca="1">IFERROR(__xludf.DUMMYFUNCTION("""COMPUTED_VALUE"""),"EVERGREEN - UAN Gated Content - Embedded Petition")</f>
        <v>EVERGREEN - UAN Gated Content - Embedded Petition</v>
      </c>
      <c r="D2070" s="10">
        <f ca="1">IFERROR(__xludf.DUMMYFUNCTION("""COMPUTED_VALUE"""),45694)</f>
        <v>45694</v>
      </c>
      <c r="E2070" s="1" t="str">
        <f ca="1">IFERROR(__xludf.DUMMYFUNCTION("""COMPUTED_VALUE"""),"Tunisia")</f>
        <v>Tunisia</v>
      </c>
      <c r="F2070" s="1" t="str">
        <f ca="1">IFERROR(__xludf.DUMMYFUNCTION("""COMPUTED_VALUE"""),"103.24 Niger")</f>
        <v>103.24 Niger</v>
      </c>
      <c r="G2070" s="1" t="str">
        <f ca="1">IFERROR(__xludf.DUMMYFUNCTION("""COMPUTED_VALUE"""),"Freedom of Expression, Human Rights Defenders")</f>
        <v>Freedom of Expression, Human Rights Defenders</v>
      </c>
      <c r="H2070" s="1" t="str">
        <f ca="1">IFERROR(__xludf.DUMMYFUNCTION("""COMPUTED_VALUE"""),"2024")</f>
        <v>2024</v>
      </c>
      <c r="I2070" s="1" t="str">
        <f ca="1">IFERROR(__xludf.DUMMYFUNCTION("""COMPUTED_VALUE"""),"Email")</f>
        <v>Email</v>
      </c>
    </row>
    <row r="2071" spans="1:9" ht="13" x14ac:dyDescent="0.15">
      <c r="A2071" s="9">
        <f ca="1">IFERROR(__xludf.DUMMYFUNCTION("""COMPUTED_VALUE"""),267343847)</f>
        <v>267343847</v>
      </c>
      <c r="B2071" s="1" t="str">
        <f ca="1">IFERROR(__xludf.DUMMYFUNCTION("""COMPUTED_VALUE"""),"ekramer@aiusa.org")</f>
        <v>ekramer@aiusa.org</v>
      </c>
      <c r="C2071" s="9" t="str">
        <f ca="1">IFERROR(__xludf.DUMMYFUNCTION("""COMPUTED_VALUE"""),"EVERGREEN - UAN Gated Content - Embedded Petition")</f>
        <v>EVERGREEN - UAN Gated Content - Embedded Petition</v>
      </c>
      <c r="D2071" s="10">
        <f ca="1">IFERROR(__xludf.DUMMYFUNCTION("""COMPUTED_VALUE"""),45694)</f>
        <v>45694</v>
      </c>
      <c r="E2071" s="1" t="str">
        <f ca="1">IFERROR(__xludf.DUMMYFUNCTION("""COMPUTED_VALUE"""),"Niger")</f>
        <v>Niger</v>
      </c>
      <c r="F2071" s="1" t="str">
        <f ca="1">IFERROR(__xludf.DUMMYFUNCTION("""COMPUTED_VALUE"""),"109.24 Türkiye")</f>
        <v>109.24 Türkiye</v>
      </c>
      <c r="G2071" s="1" t="str">
        <f ca="1">IFERROR(__xludf.DUMMYFUNCTION("""COMPUTED_VALUE"""),"Human Rights Defenders, Individuals At Risk")</f>
        <v>Human Rights Defenders, Individuals At Risk</v>
      </c>
      <c r="H2071" s="1" t="str">
        <f ca="1">IFERROR(__xludf.DUMMYFUNCTION("""COMPUTED_VALUE"""),"2024")</f>
        <v>2024</v>
      </c>
      <c r="I2071" s="1" t="str">
        <f ca="1">IFERROR(__xludf.DUMMYFUNCTION("""COMPUTED_VALUE"""),"Email")</f>
        <v>Email</v>
      </c>
    </row>
    <row r="2072" spans="1:9" ht="13" x14ac:dyDescent="0.15">
      <c r="A2072" s="9">
        <f ca="1">IFERROR(__xludf.DUMMYFUNCTION("""COMPUTED_VALUE"""),267343847)</f>
        <v>267343847</v>
      </c>
      <c r="B2072" s="1" t="str">
        <f ca="1">IFERROR(__xludf.DUMMYFUNCTION("""COMPUTED_VALUE"""),"ekramer@aiusa.org")</f>
        <v>ekramer@aiusa.org</v>
      </c>
      <c r="C2072" s="9" t="str">
        <f ca="1">IFERROR(__xludf.DUMMYFUNCTION("""COMPUTED_VALUE"""),"EVERGREEN - UAN Gated Content - Embedded Petition")</f>
        <v>EVERGREEN - UAN Gated Content - Embedded Petition</v>
      </c>
      <c r="D2072" s="10">
        <f ca="1">IFERROR(__xludf.DUMMYFUNCTION("""COMPUTED_VALUE"""),45680)</f>
        <v>45680</v>
      </c>
      <c r="E2072" s="1" t="str">
        <f ca="1">IFERROR(__xludf.DUMMYFUNCTION("""COMPUTED_VALUE"""),"Turkiye")</f>
        <v>Turkiye</v>
      </c>
      <c r="F2072" s="1" t="str">
        <f ca="1">IFERROR(__xludf.DUMMYFUNCTION("""COMPUTED_VALUE"""),"Third 73.23 Egypt")</f>
        <v>Third 73.23 Egypt</v>
      </c>
      <c r="G2072" s="1" t="str">
        <f ca="1">IFERROR(__xludf.DUMMYFUNCTION("""COMPUTED_VALUE"""),"Individuals At Risk")</f>
        <v>Individuals At Risk</v>
      </c>
      <c r="H2072" s="1" t="str">
        <f ca="1">IFERROR(__xludf.DUMMYFUNCTION("""COMPUTED_VALUE"""),"2024")</f>
        <v>2024</v>
      </c>
      <c r="I2072" s="1" t="str">
        <f ca="1">IFERROR(__xludf.DUMMYFUNCTION("""COMPUTED_VALUE"""),"Email")</f>
        <v>Email</v>
      </c>
    </row>
    <row r="2073" spans="1:9" ht="13" x14ac:dyDescent="0.15">
      <c r="A2073" s="9">
        <f ca="1">IFERROR(__xludf.DUMMYFUNCTION("""COMPUTED_VALUE"""),267343847)</f>
        <v>267343847</v>
      </c>
      <c r="B2073" s="1" t="str">
        <f ca="1">IFERROR(__xludf.DUMMYFUNCTION("""COMPUTED_VALUE"""),"ekramer@aiusa.org")</f>
        <v>ekramer@aiusa.org</v>
      </c>
      <c r="C2073" s="9" t="str">
        <f ca="1">IFERROR(__xludf.DUMMYFUNCTION("""COMPUTED_VALUE"""),"EVERGREEN - UAN Gated Content - Embedded Petition")</f>
        <v>EVERGREEN - UAN Gated Content - Embedded Petition</v>
      </c>
      <c r="D2073" s="10">
        <f ca="1">IFERROR(__xludf.DUMMYFUNCTION("""COMPUTED_VALUE"""),45685)</f>
        <v>45685</v>
      </c>
      <c r="E2073" s="1" t="str">
        <f ca="1">IFERROR(__xludf.DUMMYFUNCTION("""COMPUTED_VALUE"""),"Egypt")</f>
        <v>Egypt</v>
      </c>
      <c r="F2073" s="1" t="str">
        <f ca="1">IFERROR(__xludf.DUMMYFUNCTION("""COMPUTED_VALUE"""),"3.25 IOPT")</f>
        <v>3.25 IOPT</v>
      </c>
      <c r="G2073" s="1" t="str">
        <f ca="1">IFERROR(__xludf.DUMMYFUNCTION("""COMPUTED_VALUE"""),"Freedom of Expression, Individuals At Risk")</f>
        <v>Freedom of Expression, Individuals At Risk</v>
      </c>
      <c r="H2073" s="1" t="str">
        <f ca="1">IFERROR(__xludf.DUMMYFUNCTION("""COMPUTED_VALUE"""),"2025")</f>
        <v>2025</v>
      </c>
      <c r="I2073" s="1" t="str">
        <f ca="1">IFERROR(__xludf.DUMMYFUNCTION("""COMPUTED_VALUE"""),"Email")</f>
        <v>Email</v>
      </c>
    </row>
    <row r="2074" spans="1:9" ht="13" x14ac:dyDescent="0.15">
      <c r="A2074" s="9">
        <f ca="1">IFERROR(__xludf.DUMMYFUNCTION("""COMPUTED_VALUE"""),267343847)</f>
        <v>267343847</v>
      </c>
      <c r="B2074" s="1" t="str">
        <f ca="1">IFERROR(__xludf.DUMMYFUNCTION("""COMPUTED_VALUE"""),"ekramer@aiusa.org")</f>
        <v>ekramer@aiusa.org</v>
      </c>
      <c r="C2074" s="9" t="str">
        <f ca="1">IFERROR(__xludf.DUMMYFUNCTION("""COMPUTED_VALUE"""),"EVERGREEN - UAN Gated Content - Embedded Petition")</f>
        <v>EVERGREEN - UAN Gated Content - Embedded Petition</v>
      </c>
      <c r="D2074" s="10">
        <f ca="1">IFERROR(__xludf.DUMMYFUNCTION("""COMPUTED_VALUE"""),45686)</f>
        <v>45686</v>
      </c>
      <c r="E2074" s="1" t="str">
        <f ca="1">IFERROR(__xludf.DUMMYFUNCTION("""COMPUTED_VALUE"""),"Israel and Occupied Palestinian Territories")</f>
        <v>Israel and Occupied Palestinian Territories</v>
      </c>
      <c r="F2074" s="1" t="str">
        <f ca="1">IFERROR(__xludf.DUMMYFUNCTION("""COMPUTED_VALUE"""),"4.25 USA")</f>
        <v>4.25 USA</v>
      </c>
      <c r="G2074" s="1" t="str">
        <f ca="1">IFERROR(__xludf.DUMMYFUNCTION("""COMPUTED_VALUE"""),"Individuals At Risk, Refugee and Migrant Rights")</f>
        <v>Individuals At Risk, Refugee and Migrant Rights</v>
      </c>
      <c r="H2074" s="1" t="str">
        <f ca="1">IFERROR(__xludf.DUMMYFUNCTION("""COMPUTED_VALUE"""),"2025")</f>
        <v>2025</v>
      </c>
      <c r="I2074" s="1" t="str">
        <f ca="1">IFERROR(__xludf.DUMMYFUNCTION("""COMPUTED_VALUE"""),"Letter")</f>
        <v>Letter</v>
      </c>
    </row>
    <row r="2075" spans="1:9" ht="13" x14ac:dyDescent="0.15">
      <c r="A2075" s="9">
        <f ca="1">IFERROR(__xludf.DUMMYFUNCTION("""COMPUTED_VALUE"""),267343847)</f>
        <v>267343847</v>
      </c>
      <c r="B2075" s="1" t="str">
        <f ca="1">IFERROR(__xludf.DUMMYFUNCTION("""COMPUTED_VALUE"""),"ekramer@aiusa.org")</f>
        <v>ekramer@aiusa.org</v>
      </c>
      <c r="C2075" s="9" t="str">
        <f ca="1">IFERROR(__xludf.DUMMYFUNCTION("""COMPUTED_VALUE"""),"EVERGREEN - UAN Gated Content - Embedded Petition")</f>
        <v>EVERGREEN - UAN Gated Content - Embedded Petition</v>
      </c>
      <c r="D2075" s="10">
        <f ca="1">IFERROR(__xludf.DUMMYFUNCTION("""COMPUTED_VALUE"""),45686)</f>
        <v>45686</v>
      </c>
      <c r="E2075" s="1" t="str">
        <f ca="1">IFERROR(__xludf.DUMMYFUNCTION("""COMPUTED_VALUE"""),"USA")</f>
        <v>USA</v>
      </c>
      <c r="F2075" s="1" t="str">
        <f ca="1">IFERROR(__xludf.DUMMYFUNCTION("""COMPUTED_VALUE"""),"Seventh 103.22 Iran")</f>
        <v>Seventh 103.22 Iran</v>
      </c>
      <c r="G2075" s="1" t="str">
        <f ca="1">IFERROR(__xludf.DUMMYFUNCTION("""COMPUTED_VALUE"""),"Death Penalty, Freedom of Expression, Individuals At Risk")</f>
        <v>Death Penalty, Freedom of Expression, Individuals At Risk</v>
      </c>
      <c r="H2075" s="1" t="str">
        <f ca="1">IFERROR(__xludf.DUMMYFUNCTION("""COMPUTED_VALUE"""),"2024")</f>
        <v>2024</v>
      </c>
      <c r="I2075" s="1" t="str">
        <f ca="1">IFERROR(__xludf.DUMMYFUNCTION("""COMPUTED_VALUE"""),"Email")</f>
        <v>Email</v>
      </c>
    </row>
    <row r="2076" spans="1:9" ht="13" x14ac:dyDescent="0.15">
      <c r="A2076" s="9">
        <f ca="1">IFERROR(__xludf.DUMMYFUNCTION("""COMPUTED_VALUE"""),267343847)</f>
        <v>267343847</v>
      </c>
      <c r="B2076" s="1" t="str">
        <f ca="1">IFERROR(__xludf.DUMMYFUNCTION("""COMPUTED_VALUE"""),"ekramer@aiusa.org")</f>
        <v>ekramer@aiusa.org</v>
      </c>
      <c r="C2076" s="9" t="str">
        <f ca="1">IFERROR(__xludf.DUMMYFUNCTION("""COMPUTED_VALUE"""),"EVERGREEN - UAN Gated Content - Embedded Petition")</f>
        <v>EVERGREEN - UAN Gated Content - Embedded Petition</v>
      </c>
      <c r="D2076" s="10">
        <f ca="1">IFERROR(__xludf.DUMMYFUNCTION("""COMPUTED_VALUE"""),45686)</f>
        <v>45686</v>
      </c>
      <c r="E2076" s="1" t="str">
        <f ca="1">IFERROR(__xludf.DUMMYFUNCTION("""COMPUTED_VALUE"""),"Iran")</f>
        <v>Iran</v>
      </c>
      <c r="F2076" s="1" t="str">
        <f ca="1">IFERROR(__xludf.DUMMYFUNCTION("""COMPUTED_VALUE"""),"106.24 China")</f>
        <v>106.24 China</v>
      </c>
      <c r="G2076" s="1" t="str">
        <f ca="1">IFERROR(__xludf.DUMMYFUNCTION("""COMPUTED_VALUE"""),"Freedom of Expression, Individuals At Risk")</f>
        <v>Freedom of Expression, Individuals At Risk</v>
      </c>
      <c r="H2076" s="1" t="str">
        <f ca="1">IFERROR(__xludf.DUMMYFUNCTION("""COMPUTED_VALUE"""),"2024")</f>
        <v>2024</v>
      </c>
      <c r="I2076" s="1" t="str">
        <f ca="1">IFERROR(__xludf.DUMMYFUNCTION("""COMPUTED_VALUE"""),"Email")</f>
        <v>Email</v>
      </c>
    </row>
    <row r="2077" spans="1:9" ht="13" x14ac:dyDescent="0.15">
      <c r="A2077" s="9">
        <f ca="1">IFERROR(__xludf.DUMMYFUNCTION("""COMPUTED_VALUE"""),267343847)</f>
        <v>267343847</v>
      </c>
      <c r="B2077" s="1" t="str">
        <f ca="1">IFERROR(__xludf.DUMMYFUNCTION("""COMPUTED_VALUE"""),"ekramer@aiusa.org")</f>
        <v>ekramer@aiusa.org</v>
      </c>
      <c r="C2077" s="9" t="str">
        <f ca="1">IFERROR(__xludf.DUMMYFUNCTION("""COMPUTED_VALUE"""),"EVERGREEN - UAN Gated Content - Embedded Petition")</f>
        <v>EVERGREEN - UAN Gated Content - Embedded Petition</v>
      </c>
      <c r="D2077" s="10">
        <f ca="1">IFERROR(__xludf.DUMMYFUNCTION("""COMPUTED_VALUE"""),45686)</f>
        <v>45686</v>
      </c>
      <c r="E2077" s="1" t="str">
        <f ca="1">IFERROR(__xludf.DUMMYFUNCTION("""COMPUTED_VALUE"""),"China")</f>
        <v>China</v>
      </c>
      <c r="F2077" s="1" t="str">
        <f ca="1">IFERROR(__xludf.DUMMYFUNCTION("""COMPUTED_VALUE"""),"3.25 IOPT")</f>
        <v>3.25 IOPT</v>
      </c>
      <c r="G2077" s="1" t="str">
        <f ca="1">IFERROR(__xludf.DUMMYFUNCTION("""COMPUTED_VALUE"""),"Freedom of Expression, Individuals At Risk")</f>
        <v>Freedom of Expression, Individuals At Risk</v>
      </c>
      <c r="H2077" s="1" t="str">
        <f ca="1">IFERROR(__xludf.DUMMYFUNCTION("""COMPUTED_VALUE"""),"2025")</f>
        <v>2025</v>
      </c>
      <c r="I2077" s="1" t="str">
        <f ca="1">IFERROR(__xludf.DUMMYFUNCTION("""COMPUTED_VALUE"""),"Email")</f>
        <v>Email</v>
      </c>
    </row>
    <row r="2078" spans="1:9" ht="13" x14ac:dyDescent="0.15">
      <c r="A2078" s="9">
        <f ca="1">IFERROR(__xludf.DUMMYFUNCTION("""COMPUTED_VALUE"""),267343847)</f>
        <v>267343847</v>
      </c>
      <c r="B2078" s="1" t="str">
        <f ca="1">IFERROR(__xludf.DUMMYFUNCTION("""COMPUTED_VALUE"""),"ekramer@aiusa.org")</f>
        <v>ekramer@aiusa.org</v>
      </c>
      <c r="C2078" s="9" t="str">
        <f ca="1">IFERROR(__xludf.DUMMYFUNCTION("""COMPUTED_VALUE"""),"EVERGREEN - UAN Gated Content - Embedded Petition")</f>
        <v>EVERGREEN - UAN Gated Content - Embedded Petition</v>
      </c>
      <c r="D2078" s="10">
        <f ca="1">IFERROR(__xludf.DUMMYFUNCTION("""COMPUTED_VALUE"""),45677)</f>
        <v>45677</v>
      </c>
      <c r="E2078" s="1" t="str">
        <f ca="1">IFERROR(__xludf.DUMMYFUNCTION("""COMPUTED_VALUE"""),"Israel and Occupied Palestinian Territories")</f>
        <v>Israel and Occupied Palestinian Territories</v>
      </c>
      <c r="F2078" s="1" t="str">
        <f ca="1">IFERROR(__xludf.DUMMYFUNCTION("""COMPUTED_VALUE"""),"88.24 Dominican Republic")</f>
        <v>88.24 Dominican Republic</v>
      </c>
      <c r="G2078" s="1" t="str">
        <f ca="1">IFERROR(__xludf.DUMMYFUNCTION("""COMPUTED_VALUE"""),"Individuals At Risk, Refugee and Migrant Rights")</f>
        <v>Individuals At Risk, Refugee and Migrant Rights</v>
      </c>
      <c r="H2078" s="1" t="str">
        <f ca="1">IFERROR(__xludf.DUMMYFUNCTION("""COMPUTED_VALUE"""),"2024")</f>
        <v>2024</v>
      </c>
      <c r="I2078" s="1" t="str">
        <f ca="1">IFERROR(__xludf.DUMMYFUNCTION("""COMPUTED_VALUE"""),"Letter")</f>
        <v>Letter</v>
      </c>
    </row>
    <row r="2079" spans="1:9" ht="13" x14ac:dyDescent="0.15">
      <c r="A2079" s="9">
        <f ca="1">IFERROR(__xludf.DUMMYFUNCTION("""COMPUTED_VALUE"""),267343847)</f>
        <v>267343847</v>
      </c>
      <c r="B2079" s="1" t="str">
        <f ca="1">IFERROR(__xludf.DUMMYFUNCTION("""COMPUTED_VALUE"""),"ekramer@aiusa.org")</f>
        <v>ekramer@aiusa.org</v>
      </c>
      <c r="C2079" s="9" t="str">
        <f ca="1">IFERROR(__xludf.DUMMYFUNCTION("""COMPUTED_VALUE"""),"EVERGREEN - UAN Gated Content - Embedded Petition")</f>
        <v>EVERGREEN - UAN Gated Content - Embedded Petition</v>
      </c>
      <c r="D2079" s="10">
        <f ca="1">IFERROR(__xludf.DUMMYFUNCTION("""COMPUTED_VALUE"""),45679)</f>
        <v>45679</v>
      </c>
      <c r="E2079" s="1" t="str">
        <f ca="1">IFERROR(__xludf.DUMMYFUNCTION("""COMPUTED_VALUE"""),"Dominican Republic")</f>
        <v>Dominican Republic</v>
      </c>
      <c r="F2079" s="1" t="str">
        <f ca="1">IFERROR(__xludf.DUMMYFUNCTION("""COMPUTED_VALUE"""),"96.24 USA")</f>
        <v>96.24 USA</v>
      </c>
      <c r="G2079" s="1" t="str">
        <f ca="1">IFERROR(__xludf.DUMMYFUNCTION("""COMPUTED_VALUE"""),"Death Penalty")</f>
        <v>Death Penalty</v>
      </c>
      <c r="H2079" s="1" t="str">
        <f ca="1">IFERROR(__xludf.DUMMYFUNCTION("""COMPUTED_VALUE"""),"2024")</f>
        <v>2024</v>
      </c>
      <c r="I2079" s="1" t="str">
        <f ca="1">IFERROR(__xludf.DUMMYFUNCTION("""COMPUTED_VALUE"""),"Email")</f>
        <v>Email</v>
      </c>
    </row>
    <row r="2080" spans="1:9" ht="13" x14ac:dyDescent="0.15">
      <c r="A2080" s="9">
        <f ca="1">IFERROR(__xludf.DUMMYFUNCTION("""COMPUTED_VALUE"""),267343847)</f>
        <v>267343847</v>
      </c>
      <c r="B2080" s="1" t="str">
        <f ca="1">IFERROR(__xludf.DUMMYFUNCTION("""COMPUTED_VALUE"""),"ekramer@aiusa.org")</f>
        <v>ekramer@aiusa.org</v>
      </c>
      <c r="C2080" s="9" t="str">
        <f ca="1">IFERROR(__xludf.DUMMYFUNCTION("""COMPUTED_VALUE"""),"EVERGREEN - UAN Gated Content - Embedded Petition")</f>
        <v>EVERGREEN - UAN Gated Content - Embedded Petition</v>
      </c>
      <c r="D2080" s="10">
        <f ca="1">IFERROR(__xludf.DUMMYFUNCTION("""COMPUTED_VALUE"""),45679)</f>
        <v>45679</v>
      </c>
      <c r="E2080" s="1" t="str">
        <f ca="1">IFERROR(__xludf.DUMMYFUNCTION("""COMPUTED_VALUE"""),"USA")</f>
        <v>USA</v>
      </c>
      <c r="F2080" s="1" t="str">
        <f ca="1">IFERROR(__xludf.DUMMYFUNCTION("""COMPUTED_VALUE"""),"98.24 China")</f>
        <v>98.24 China</v>
      </c>
      <c r="G2080" s="1" t="str">
        <f ca="1">IFERROR(__xludf.DUMMYFUNCTION("""COMPUTED_VALUE"""),"Freedom of Expression, Individuals At Risk")</f>
        <v>Freedom of Expression, Individuals At Risk</v>
      </c>
      <c r="H2080" s="1" t="str">
        <f ca="1">IFERROR(__xludf.DUMMYFUNCTION("""COMPUTED_VALUE"""),"2024")</f>
        <v>2024</v>
      </c>
      <c r="I2080" s="1" t="str">
        <f ca="1">IFERROR(__xludf.DUMMYFUNCTION("""COMPUTED_VALUE"""),"Letter")</f>
        <v>Letter</v>
      </c>
    </row>
    <row r="2081" spans="1:9" ht="13" x14ac:dyDescent="0.15">
      <c r="A2081" s="9">
        <f ca="1">IFERROR(__xludf.DUMMYFUNCTION("""COMPUTED_VALUE"""),267343847)</f>
        <v>267343847</v>
      </c>
      <c r="B2081" s="1" t="str">
        <f ca="1">IFERROR(__xludf.DUMMYFUNCTION("""COMPUTED_VALUE"""),"ekramer@aiusa.org")</f>
        <v>ekramer@aiusa.org</v>
      </c>
      <c r="C2081" s="9" t="str">
        <f ca="1">IFERROR(__xludf.DUMMYFUNCTION("""COMPUTED_VALUE"""),"EVERGREEN - UAN Gated Content - Embedded Petition")</f>
        <v>EVERGREEN - UAN Gated Content - Embedded Petition</v>
      </c>
      <c r="D2081" s="10">
        <f ca="1">IFERROR(__xludf.DUMMYFUNCTION("""COMPUTED_VALUE"""),45679)</f>
        <v>45679</v>
      </c>
      <c r="E2081" s="1" t="str">
        <f ca="1">IFERROR(__xludf.DUMMYFUNCTION("""COMPUTED_VALUE"""),"China")</f>
        <v>China</v>
      </c>
      <c r="F2081" s="1" t="str">
        <f ca="1">IFERROR(__xludf.DUMMYFUNCTION("""COMPUTED_VALUE"""),"97.24 Venezuela")</f>
        <v>97.24 Venezuela</v>
      </c>
      <c r="G2081" s="1" t="str">
        <f ca="1">IFERROR(__xludf.DUMMYFUNCTION("""COMPUTED_VALUE"""),"Freedom of Expression")</f>
        <v>Freedom of Expression</v>
      </c>
      <c r="H2081" s="1" t="str">
        <f ca="1">IFERROR(__xludf.DUMMYFUNCTION("""COMPUTED_VALUE"""),"2024")</f>
        <v>2024</v>
      </c>
      <c r="I2081" s="1" t="str">
        <f ca="1">IFERROR(__xludf.DUMMYFUNCTION("""COMPUTED_VALUE"""),"Letter")</f>
        <v>Letter</v>
      </c>
    </row>
    <row r="2082" spans="1:9" ht="13" x14ac:dyDescent="0.15">
      <c r="A2082" s="9">
        <f ca="1">IFERROR(__xludf.DUMMYFUNCTION("""COMPUTED_VALUE"""),267343847)</f>
        <v>267343847</v>
      </c>
      <c r="B2082" s="1" t="str">
        <f ca="1">IFERROR(__xludf.DUMMYFUNCTION("""COMPUTED_VALUE"""),"ekramer@aiusa.org")</f>
        <v>ekramer@aiusa.org</v>
      </c>
      <c r="C2082" s="9" t="str">
        <f ca="1">IFERROR(__xludf.DUMMYFUNCTION("""COMPUTED_VALUE"""),"EVERGREEN - UAN Gated Content - Embedded Petition")</f>
        <v>EVERGREEN - UAN Gated Content - Embedded Petition</v>
      </c>
      <c r="D2082" s="10">
        <f ca="1">IFERROR(__xludf.DUMMYFUNCTION("""COMPUTED_VALUE"""),45679)</f>
        <v>45679</v>
      </c>
      <c r="E2082" s="1" t="str">
        <f ca="1">IFERROR(__xludf.DUMMYFUNCTION("""COMPUTED_VALUE"""),"Venezuela")</f>
        <v>Venezuela</v>
      </c>
      <c r="F2082" s="1" t="str">
        <f ca="1">IFERROR(__xludf.DUMMYFUNCTION("""COMPUTED_VALUE"""),"Ninth 190.18 Egypt")</f>
        <v>Ninth 190.18 Egypt</v>
      </c>
      <c r="G2082" s="1" t="str">
        <f ca="1">IFERROR(__xludf.DUMMYFUNCTION("""COMPUTED_VALUE"""),"Freedom of Expression, Individuals At Risk")</f>
        <v>Freedom of Expression, Individuals At Risk</v>
      </c>
      <c r="H2082" s="1" t="str">
        <f ca="1">IFERROR(__xludf.DUMMYFUNCTION("""COMPUTED_VALUE"""),"2024")</f>
        <v>2024</v>
      </c>
      <c r="I2082" s="1" t="str">
        <f ca="1">IFERROR(__xludf.DUMMYFUNCTION("""COMPUTED_VALUE"""),"Letter")</f>
        <v>Letter</v>
      </c>
    </row>
    <row r="2083" spans="1:9" ht="13" x14ac:dyDescent="0.15">
      <c r="A2083" s="9">
        <f ca="1">IFERROR(__xludf.DUMMYFUNCTION("""COMPUTED_VALUE"""),267343847)</f>
        <v>267343847</v>
      </c>
      <c r="B2083" s="1" t="str">
        <f ca="1">IFERROR(__xludf.DUMMYFUNCTION("""COMPUTED_VALUE"""),"ekramer@aiusa.org")</f>
        <v>ekramer@aiusa.org</v>
      </c>
      <c r="C2083" s="9" t="str">
        <f ca="1">IFERROR(__xludf.DUMMYFUNCTION("""COMPUTED_VALUE"""),"EVERGREEN - UAN Gated Content - Embedded Petition")</f>
        <v>EVERGREEN - UAN Gated Content - Embedded Petition</v>
      </c>
      <c r="D2083" s="10">
        <f ca="1">IFERROR(__xludf.DUMMYFUNCTION("""COMPUTED_VALUE"""),45679)</f>
        <v>45679</v>
      </c>
      <c r="E2083" s="1" t="str">
        <f ca="1">IFERROR(__xludf.DUMMYFUNCTION("""COMPUTED_VALUE"""),"Egypt")</f>
        <v>Egypt</v>
      </c>
      <c r="F2083" s="1" t="str">
        <f ca="1">IFERROR(__xludf.DUMMYFUNCTION("""COMPUTED_VALUE"""),"105.24 USA")</f>
        <v>105.24 USA</v>
      </c>
      <c r="G2083" s="1" t="str">
        <f ca="1">IFERROR(__xludf.DUMMYFUNCTION("""COMPUTED_VALUE"""),"Death Penalty")</f>
        <v>Death Penalty</v>
      </c>
      <c r="H2083" s="1" t="str">
        <f ca="1">IFERROR(__xludf.DUMMYFUNCTION("""COMPUTED_VALUE"""),"2024")</f>
        <v>2024</v>
      </c>
      <c r="I2083" s="1" t="str">
        <f ca="1">IFERROR(__xludf.DUMMYFUNCTION("""COMPUTED_VALUE"""),"Email")</f>
        <v>Email</v>
      </c>
    </row>
    <row r="2084" spans="1:9" ht="13" x14ac:dyDescent="0.15">
      <c r="A2084" s="9">
        <f ca="1">IFERROR(__xludf.DUMMYFUNCTION("""COMPUTED_VALUE"""),267343847)</f>
        <v>267343847</v>
      </c>
      <c r="B2084" s="1" t="str">
        <f ca="1">IFERROR(__xludf.DUMMYFUNCTION("""COMPUTED_VALUE"""),"ekramer@aiusa.org")</f>
        <v>ekramer@aiusa.org</v>
      </c>
      <c r="C2084" s="9" t="str">
        <f ca="1">IFERROR(__xludf.DUMMYFUNCTION("""COMPUTED_VALUE"""),"EVERGREEN - UAN Gated Content - Embedded Petition")</f>
        <v>EVERGREEN - UAN Gated Content - Embedded Petition</v>
      </c>
      <c r="D2084" s="10">
        <f ca="1">IFERROR(__xludf.DUMMYFUNCTION("""COMPUTED_VALUE"""),45673)</f>
        <v>45673</v>
      </c>
      <c r="E2084" s="1" t="str">
        <f ca="1">IFERROR(__xludf.DUMMYFUNCTION("""COMPUTED_VALUE"""),"USA")</f>
        <v>USA</v>
      </c>
      <c r="F2084" s="1" t="str">
        <f ca="1">IFERROR(__xludf.DUMMYFUNCTION("""COMPUTED_VALUE"""),"Third 73.23 Egypt")</f>
        <v>Third 73.23 Egypt</v>
      </c>
      <c r="G2084" s="1" t="str">
        <f ca="1">IFERROR(__xludf.DUMMYFUNCTION("""COMPUTED_VALUE"""),"Individuals At Risk")</f>
        <v>Individuals At Risk</v>
      </c>
      <c r="H2084" s="1" t="str">
        <f ca="1">IFERROR(__xludf.DUMMYFUNCTION("""COMPUTED_VALUE"""),"2024")</f>
        <v>2024</v>
      </c>
      <c r="I2084" s="1" t="str">
        <f ca="1">IFERROR(__xludf.DUMMYFUNCTION("""COMPUTED_VALUE"""),"Email")</f>
        <v>Email</v>
      </c>
    </row>
    <row r="2085" spans="1:9" ht="13" x14ac:dyDescent="0.15">
      <c r="A2085" s="9">
        <f ca="1">IFERROR(__xludf.DUMMYFUNCTION("""COMPUTED_VALUE"""),267343847)</f>
        <v>267343847</v>
      </c>
      <c r="B2085" s="1" t="str">
        <f ca="1">IFERROR(__xludf.DUMMYFUNCTION("""COMPUTED_VALUE"""),"ekramer@aiusa.org")</f>
        <v>ekramer@aiusa.org</v>
      </c>
      <c r="C2085" s="9" t="str">
        <f ca="1">IFERROR(__xludf.DUMMYFUNCTION("""COMPUTED_VALUE"""),"EVERGREEN - UAN Gated Content - Embedded Petition")</f>
        <v>EVERGREEN - UAN Gated Content - Embedded Petition</v>
      </c>
      <c r="D2085" s="10">
        <f ca="1">IFERROR(__xludf.DUMMYFUNCTION("""COMPUTED_VALUE"""),45673)</f>
        <v>45673</v>
      </c>
      <c r="E2085" s="1" t="str">
        <f ca="1">IFERROR(__xludf.DUMMYFUNCTION("""COMPUTED_VALUE"""),"Egypt")</f>
        <v>Egypt</v>
      </c>
      <c r="F2085" s="1" t="str">
        <f ca="1">IFERROR(__xludf.DUMMYFUNCTION("""COMPUTED_VALUE"""),"9.25 Uganda")</f>
        <v>9.25 Uganda</v>
      </c>
      <c r="G2085" s="1" t="str">
        <f ca="1">IFERROR(__xludf.DUMMYFUNCTION("""COMPUTED_VALUE"""),"Freedom of Expression, Human Rights Defenders")</f>
        <v>Freedom of Expression, Human Rights Defenders</v>
      </c>
      <c r="H2085" s="1" t="str">
        <f ca="1">IFERROR(__xludf.DUMMYFUNCTION("""COMPUTED_VALUE"""),"2025")</f>
        <v>2025</v>
      </c>
      <c r="I2085" s="1" t="str">
        <f ca="1">IFERROR(__xludf.DUMMYFUNCTION("""COMPUTED_VALUE"""),"Email")</f>
        <v>Email</v>
      </c>
    </row>
    <row r="2086" spans="1:9" ht="13" x14ac:dyDescent="0.15">
      <c r="A2086" s="9">
        <f ca="1">IFERROR(__xludf.DUMMYFUNCTION("""COMPUTED_VALUE"""),267343847)</f>
        <v>267343847</v>
      </c>
      <c r="B2086" s="1" t="str">
        <f ca="1">IFERROR(__xludf.DUMMYFUNCTION("""COMPUTED_VALUE"""),"ekramer@aiusa.org")</f>
        <v>ekramer@aiusa.org</v>
      </c>
      <c r="C2086" s="9" t="str">
        <f ca="1">IFERROR(__xludf.DUMMYFUNCTION("""COMPUTED_VALUE"""),"EVERGREEN - UAN Gated Content - Embedded Petition")</f>
        <v>EVERGREEN - UAN Gated Content - Embedded Petition</v>
      </c>
      <c r="D2086" s="10">
        <f ca="1">IFERROR(__xludf.DUMMYFUNCTION("""COMPUTED_VALUE"""),45674)</f>
        <v>45674</v>
      </c>
      <c r="E2086" s="1" t="str">
        <f ca="1">IFERROR(__xludf.DUMMYFUNCTION("""COMPUTED_VALUE"""),"Uganda")</f>
        <v>Uganda</v>
      </c>
      <c r="F2086" s="1" t="str">
        <f ca="1">IFERROR(__xludf.DUMMYFUNCTION("""COMPUTED_VALUE"""),"Second 76.24 Tunisia")</f>
        <v>Second 76.24 Tunisia</v>
      </c>
      <c r="G2086" s="1" t="str">
        <f ca="1">IFERROR(__xludf.DUMMYFUNCTION("""COMPUTED_VALUE"""),"Freedom of Expression, Human Rights Defenders")</f>
        <v>Freedom of Expression, Human Rights Defenders</v>
      </c>
      <c r="H2086" s="1" t="str">
        <f ca="1">IFERROR(__xludf.DUMMYFUNCTION("""COMPUTED_VALUE"""),"2025")</f>
        <v>2025</v>
      </c>
      <c r="I2086" s="1" t="str">
        <f ca="1">IFERROR(__xludf.DUMMYFUNCTION("""COMPUTED_VALUE"""),"Email")</f>
        <v>Email</v>
      </c>
    </row>
    <row r="2087" spans="1:9" ht="13" x14ac:dyDescent="0.15">
      <c r="A2087" s="9">
        <f ca="1">IFERROR(__xludf.DUMMYFUNCTION("""COMPUTED_VALUE"""),267343847)</f>
        <v>267343847</v>
      </c>
      <c r="B2087" s="1" t="str">
        <f ca="1">IFERROR(__xludf.DUMMYFUNCTION("""COMPUTED_VALUE"""),"ekramer@aiusa.org")</f>
        <v>ekramer@aiusa.org</v>
      </c>
      <c r="C2087" s="9" t="str">
        <f ca="1">IFERROR(__xludf.DUMMYFUNCTION("""COMPUTED_VALUE"""),"EVERGREEN - UAN Gated Content - Embedded Petition")</f>
        <v>EVERGREEN - UAN Gated Content - Embedded Petition</v>
      </c>
      <c r="D2087" s="10">
        <f ca="1">IFERROR(__xludf.DUMMYFUNCTION("""COMPUTED_VALUE"""),45674)</f>
        <v>45674</v>
      </c>
      <c r="E2087" s="1" t="str">
        <f ca="1">IFERROR(__xludf.DUMMYFUNCTION("""COMPUTED_VALUE"""),"Tunisia")</f>
        <v>Tunisia</v>
      </c>
      <c r="F2087" s="1" t="str">
        <f ca="1">IFERROR(__xludf.DUMMYFUNCTION("""COMPUTED_VALUE"""),"5.25 Colombia")</f>
        <v>5.25 Colombia</v>
      </c>
      <c r="G2087" s="1" t="str">
        <f ca="1">IFERROR(__xludf.DUMMYFUNCTION("""COMPUTED_VALUE"""),"Human Rights Defenders, Individuals At Risk")</f>
        <v>Human Rights Defenders, Individuals At Risk</v>
      </c>
      <c r="H2087" s="1" t="str">
        <f ca="1">IFERROR(__xludf.DUMMYFUNCTION("""COMPUTED_VALUE"""),"2025")</f>
        <v>2025</v>
      </c>
      <c r="I2087" s="1" t="str">
        <f ca="1">IFERROR(__xludf.DUMMYFUNCTION("""COMPUTED_VALUE"""),"Email")</f>
        <v>Email</v>
      </c>
    </row>
    <row r="2088" spans="1:9" ht="13" x14ac:dyDescent="0.15">
      <c r="A2088" s="9">
        <f ca="1">IFERROR(__xludf.DUMMYFUNCTION("""COMPUTED_VALUE"""),267343847)</f>
        <v>267343847</v>
      </c>
      <c r="B2088" s="1" t="str">
        <f ca="1">IFERROR(__xludf.DUMMYFUNCTION("""COMPUTED_VALUE"""),"ekramer@aiusa.org")</f>
        <v>ekramer@aiusa.org</v>
      </c>
      <c r="C2088" s="9" t="str">
        <f ca="1">IFERROR(__xludf.DUMMYFUNCTION("""COMPUTED_VALUE"""),"EVERGREEN - UAN Gated Content - Embedded Petition")</f>
        <v>EVERGREEN - UAN Gated Content - Embedded Petition</v>
      </c>
      <c r="D2088" s="10">
        <f ca="1">IFERROR(__xludf.DUMMYFUNCTION("""COMPUTED_VALUE"""),45674)</f>
        <v>45674</v>
      </c>
      <c r="E2088" s="1" t="str">
        <f ca="1">IFERROR(__xludf.DUMMYFUNCTION("""COMPUTED_VALUE"""),"Colombia")</f>
        <v>Colombia</v>
      </c>
      <c r="F2088" s="1" t="str">
        <f ca="1">IFERROR(__xludf.DUMMYFUNCTION("""COMPUTED_VALUE"""),"1.25 Venezuela")</f>
        <v>1.25 Venezuela</v>
      </c>
      <c r="G2088" s="1" t="str">
        <f ca="1">IFERROR(__xludf.DUMMYFUNCTION("""COMPUTED_VALUE"""),"Human Rights Defenders, Individuals At Risk")</f>
        <v>Human Rights Defenders, Individuals At Risk</v>
      </c>
      <c r="H2088" s="1" t="str">
        <f ca="1">IFERROR(__xludf.DUMMYFUNCTION("""COMPUTED_VALUE"""),"2025")</f>
        <v>2025</v>
      </c>
      <c r="I2088" s="1" t="str">
        <f ca="1">IFERROR(__xludf.DUMMYFUNCTION("""COMPUTED_VALUE"""),"Letter")</f>
        <v>Letter</v>
      </c>
    </row>
    <row r="2089" spans="1:9" ht="13" x14ac:dyDescent="0.15">
      <c r="A2089" s="9">
        <f ca="1">IFERROR(__xludf.DUMMYFUNCTION("""COMPUTED_VALUE"""),267343847)</f>
        <v>267343847</v>
      </c>
      <c r="B2089" s="1" t="str">
        <f ca="1">IFERROR(__xludf.DUMMYFUNCTION("""COMPUTED_VALUE"""),"ekramer@aiusa.org")</f>
        <v>ekramer@aiusa.org</v>
      </c>
      <c r="C2089" s="9" t="str">
        <f ca="1">IFERROR(__xludf.DUMMYFUNCTION("""COMPUTED_VALUE"""),"EVERGREEN - UAN Gated Content - Embedded Petition")</f>
        <v>EVERGREEN - UAN Gated Content - Embedded Petition</v>
      </c>
      <c r="D2089" s="10">
        <f ca="1">IFERROR(__xludf.DUMMYFUNCTION("""COMPUTED_VALUE"""),45673)</f>
        <v>45673</v>
      </c>
      <c r="E2089" s="1" t="str">
        <f ca="1">IFERROR(__xludf.DUMMYFUNCTION("""COMPUTED_VALUE"""),"Venezuela")</f>
        <v>Venezuela</v>
      </c>
      <c r="F2089" s="1" t="str">
        <f ca="1">IFERROR(__xludf.DUMMYFUNCTION("""COMPUTED_VALUE"""),"11.25 Afghanistan")</f>
        <v>11.25 Afghanistan</v>
      </c>
      <c r="G2089" s="1" t="str">
        <f ca="1">IFERROR(__xludf.DUMMYFUNCTION("""COMPUTED_VALUE"""),"Freedom of Expression, Health, Individuals At Risk")</f>
        <v>Freedom of Expression, Health, Individuals At Risk</v>
      </c>
      <c r="H2089" s="1" t="str">
        <f ca="1">IFERROR(__xludf.DUMMYFUNCTION("""COMPUTED_VALUE"""),"2025")</f>
        <v>2025</v>
      </c>
      <c r="I2089" s="1" t="str">
        <f ca="1">IFERROR(__xludf.DUMMYFUNCTION("""COMPUTED_VALUE"""),"Email")</f>
        <v>Email</v>
      </c>
    </row>
    <row r="2090" spans="1:9" ht="13" x14ac:dyDescent="0.15">
      <c r="A2090" s="9">
        <f ca="1">IFERROR(__xludf.DUMMYFUNCTION("""COMPUTED_VALUE"""),267343847)</f>
        <v>267343847</v>
      </c>
      <c r="B2090" s="1" t="str">
        <f ca="1">IFERROR(__xludf.DUMMYFUNCTION("""COMPUTED_VALUE"""),"ekramer@aiusa.org")</f>
        <v>ekramer@aiusa.org</v>
      </c>
      <c r="C2090" s="9" t="str">
        <f ca="1">IFERROR(__xludf.DUMMYFUNCTION("""COMPUTED_VALUE"""),"EVERGREEN - UAN Gated Content - Embedded Petition")</f>
        <v>EVERGREEN - UAN Gated Content - Embedded Petition</v>
      </c>
      <c r="D2090" s="10">
        <f ca="1">IFERROR(__xludf.DUMMYFUNCTION("""COMPUTED_VALUE"""),45671)</f>
        <v>45671</v>
      </c>
      <c r="E2090" s="1" t="str">
        <f ca="1">IFERROR(__xludf.DUMMYFUNCTION("""COMPUTED_VALUE"""),"Afghanistan")</f>
        <v>Afghanistan</v>
      </c>
      <c r="F2090" s="1" t="str">
        <f ca="1">IFERROR(__xludf.DUMMYFUNCTION("""COMPUTED_VALUE"""),"3.25 IOPT")</f>
        <v>3.25 IOPT</v>
      </c>
      <c r="G2090" s="1" t="str">
        <f ca="1">IFERROR(__xludf.DUMMYFUNCTION("""COMPUTED_VALUE"""),"Freedom of Expression, Individuals At Risk")</f>
        <v>Freedom of Expression, Individuals At Risk</v>
      </c>
      <c r="H2090" s="1" t="str">
        <f ca="1">IFERROR(__xludf.DUMMYFUNCTION("""COMPUTED_VALUE"""),"2025")</f>
        <v>2025</v>
      </c>
      <c r="I2090" s="1" t="str">
        <f ca="1">IFERROR(__xludf.DUMMYFUNCTION("""COMPUTED_VALUE"""),"Email")</f>
        <v>Email</v>
      </c>
    </row>
    <row r="2091" spans="1:9" ht="13" x14ac:dyDescent="0.15">
      <c r="A2091" s="9">
        <f ca="1">IFERROR(__xludf.DUMMYFUNCTION("""COMPUTED_VALUE"""),267343847)</f>
        <v>267343847</v>
      </c>
      <c r="B2091" s="1" t="str">
        <f ca="1">IFERROR(__xludf.DUMMYFUNCTION("""COMPUTED_VALUE"""),"ekramer@aiusa.org")</f>
        <v>ekramer@aiusa.org</v>
      </c>
      <c r="C2091" s="9" t="str">
        <f ca="1">IFERROR(__xludf.DUMMYFUNCTION("""COMPUTED_VALUE"""),"EVERGREEN - UAN Gated Content - Embedded Petition")</f>
        <v>EVERGREEN - UAN Gated Content - Embedded Petition</v>
      </c>
      <c r="D2091" s="10">
        <f ca="1">IFERROR(__xludf.DUMMYFUNCTION("""COMPUTED_VALUE"""),45671)</f>
        <v>45671</v>
      </c>
      <c r="E2091" s="1" t="str">
        <f ca="1">IFERROR(__xludf.DUMMYFUNCTION("""COMPUTED_VALUE"""),"Israel and Occupied Palestinian Territories")</f>
        <v>Israel and Occupied Palestinian Territories</v>
      </c>
      <c r="F2091" s="1" t="str">
        <f ca="1">IFERROR(__xludf.DUMMYFUNCTION("""COMPUTED_VALUE"""),"98.24 China")</f>
        <v>98.24 China</v>
      </c>
      <c r="G2091" s="1" t="str">
        <f ca="1">IFERROR(__xludf.DUMMYFUNCTION("""COMPUTED_VALUE"""),"Freedom of Expression, Individuals At Risk")</f>
        <v>Freedom of Expression, Individuals At Risk</v>
      </c>
      <c r="H2091" s="1" t="str">
        <f ca="1">IFERROR(__xludf.DUMMYFUNCTION("""COMPUTED_VALUE"""),"2024")</f>
        <v>2024</v>
      </c>
      <c r="I2091" s="1" t="str">
        <f ca="1">IFERROR(__xludf.DUMMYFUNCTION("""COMPUTED_VALUE"""),"Letter")</f>
        <v>Letter</v>
      </c>
    </row>
    <row r="2092" spans="1:9" ht="13" x14ac:dyDescent="0.15">
      <c r="A2092" s="9">
        <f ca="1">IFERROR(__xludf.DUMMYFUNCTION("""COMPUTED_VALUE"""),267343847)</f>
        <v>267343847</v>
      </c>
      <c r="B2092" s="1" t="str">
        <f ca="1">IFERROR(__xludf.DUMMYFUNCTION("""COMPUTED_VALUE"""),"ekramer@aiusa.org")</f>
        <v>ekramer@aiusa.org</v>
      </c>
      <c r="C2092" s="9" t="str">
        <f ca="1">IFERROR(__xludf.DUMMYFUNCTION("""COMPUTED_VALUE"""),"EVERGREEN - UAN Gated Content - Embedded Petition")</f>
        <v>EVERGREEN - UAN Gated Content - Embedded Petition</v>
      </c>
      <c r="D2092" s="10">
        <f ca="1">IFERROR(__xludf.DUMMYFUNCTION("""COMPUTED_VALUE"""),45671)</f>
        <v>45671</v>
      </c>
      <c r="E2092" s="1" t="str">
        <f ca="1">IFERROR(__xludf.DUMMYFUNCTION("""COMPUTED_VALUE"""),"China")</f>
        <v>China</v>
      </c>
      <c r="F2092" s="1" t="str">
        <f ca="1">IFERROR(__xludf.DUMMYFUNCTION("""COMPUTED_VALUE"""),"4.25 USA")</f>
        <v>4.25 USA</v>
      </c>
      <c r="G2092" s="1" t="str">
        <f ca="1">IFERROR(__xludf.DUMMYFUNCTION("""COMPUTED_VALUE"""),"Individuals At Risk, Refugee and Migrant Rights")</f>
        <v>Individuals At Risk, Refugee and Migrant Rights</v>
      </c>
      <c r="H2092" s="1" t="str">
        <f ca="1">IFERROR(__xludf.DUMMYFUNCTION("""COMPUTED_VALUE"""),"2025")</f>
        <v>2025</v>
      </c>
      <c r="I2092" s="1" t="str">
        <f ca="1">IFERROR(__xludf.DUMMYFUNCTION("""COMPUTED_VALUE"""),"Letter")</f>
        <v>Letter</v>
      </c>
    </row>
    <row r="2093" spans="1:9" ht="13" x14ac:dyDescent="0.15">
      <c r="A2093" s="9">
        <f ca="1">IFERROR(__xludf.DUMMYFUNCTION("""COMPUTED_VALUE"""),267343847)</f>
        <v>267343847</v>
      </c>
      <c r="B2093" s="1" t="str">
        <f ca="1">IFERROR(__xludf.DUMMYFUNCTION("""COMPUTED_VALUE"""),"ekramer@aiusa.org")</f>
        <v>ekramer@aiusa.org</v>
      </c>
      <c r="C2093" s="9" t="str">
        <f ca="1">IFERROR(__xludf.DUMMYFUNCTION("""COMPUTED_VALUE"""),"EVERGREEN - UAN Gated Content - Embedded Petition")</f>
        <v>EVERGREEN - UAN Gated Content - Embedded Petition</v>
      </c>
      <c r="D2093" s="10">
        <f ca="1">IFERROR(__xludf.DUMMYFUNCTION("""COMPUTED_VALUE"""),45671)</f>
        <v>45671</v>
      </c>
      <c r="E2093" s="1" t="str">
        <f ca="1">IFERROR(__xludf.DUMMYFUNCTION("""COMPUTED_VALUE"""),"USA")</f>
        <v>USA</v>
      </c>
      <c r="F2093" s="1" t="str">
        <f ca="1">IFERROR(__xludf.DUMMYFUNCTION("""COMPUTED_VALUE"""),"3.25 IOPT")</f>
        <v>3.25 IOPT</v>
      </c>
      <c r="G2093" s="1" t="str">
        <f ca="1">IFERROR(__xludf.DUMMYFUNCTION("""COMPUTED_VALUE"""),"Freedom of Expression, Individuals At Risk")</f>
        <v>Freedom of Expression, Individuals At Risk</v>
      </c>
      <c r="H2093" s="1" t="str">
        <f ca="1">IFERROR(__xludf.DUMMYFUNCTION("""COMPUTED_VALUE"""),"2025")</f>
        <v>2025</v>
      </c>
      <c r="I2093" s="1" t="str">
        <f ca="1">IFERROR(__xludf.DUMMYFUNCTION("""COMPUTED_VALUE"""),"Email")</f>
        <v>Email</v>
      </c>
    </row>
    <row r="2094" spans="1:9" ht="13" x14ac:dyDescent="0.15">
      <c r="A2094" s="9">
        <f ca="1">IFERROR(__xludf.DUMMYFUNCTION("""COMPUTED_VALUE"""),267343847)</f>
        <v>267343847</v>
      </c>
      <c r="B2094" s="1" t="str">
        <f ca="1">IFERROR(__xludf.DUMMYFUNCTION("""COMPUTED_VALUE"""),"ekramer@aiusa.org")</f>
        <v>ekramer@aiusa.org</v>
      </c>
      <c r="C2094" s="9" t="str">
        <f ca="1">IFERROR(__xludf.DUMMYFUNCTION("""COMPUTED_VALUE"""),"EVERGREEN - UAN Gated Content - Embedded Petition")</f>
        <v>EVERGREEN - UAN Gated Content - Embedded Petition</v>
      </c>
      <c r="D2094" s="10">
        <f ca="1">IFERROR(__xludf.DUMMYFUNCTION("""COMPUTED_VALUE"""),45671)</f>
        <v>45671</v>
      </c>
      <c r="E2094" s="1" t="str">
        <f ca="1">IFERROR(__xludf.DUMMYFUNCTION("""COMPUTED_VALUE"""),"Israel and Occupied Palestinian Territories")</f>
        <v>Israel and Occupied Palestinian Territories</v>
      </c>
      <c r="F2094" s="1" t="str">
        <f ca="1">IFERROR(__xludf.DUMMYFUNCTION("""COMPUTED_VALUE"""),"3.25 IOPT")</f>
        <v>3.25 IOPT</v>
      </c>
      <c r="G2094" s="1" t="str">
        <f ca="1">IFERROR(__xludf.DUMMYFUNCTION("""COMPUTED_VALUE"""),"Freedom of Expression, Individuals At Risk")</f>
        <v>Freedom of Expression, Individuals At Risk</v>
      </c>
      <c r="H2094" s="1" t="str">
        <f ca="1">IFERROR(__xludf.DUMMYFUNCTION("""COMPUTED_VALUE"""),"2025")</f>
        <v>2025</v>
      </c>
      <c r="I2094" s="1" t="str">
        <f ca="1">IFERROR(__xludf.DUMMYFUNCTION("""COMPUTED_VALUE"""),"Email")</f>
        <v>Email</v>
      </c>
    </row>
    <row r="2095" spans="1:9" ht="13" x14ac:dyDescent="0.15">
      <c r="A2095" s="9">
        <f ca="1">IFERROR(__xludf.DUMMYFUNCTION("""COMPUTED_VALUE"""),267343847)</f>
        <v>267343847</v>
      </c>
      <c r="B2095" s="1" t="str">
        <f ca="1">IFERROR(__xludf.DUMMYFUNCTION("""COMPUTED_VALUE"""),"ekramer@aiusa.org")</f>
        <v>ekramer@aiusa.org</v>
      </c>
      <c r="C2095" s="9" t="str">
        <f ca="1">IFERROR(__xludf.DUMMYFUNCTION("""COMPUTED_VALUE"""),"EVERGREEN - UAN Gated Content - Embedded Petition")</f>
        <v>EVERGREEN - UAN Gated Content - Embedded Petition</v>
      </c>
      <c r="D2095" s="10">
        <f ca="1">IFERROR(__xludf.DUMMYFUNCTION("""COMPUTED_VALUE"""),45638)</f>
        <v>45638</v>
      </c>
      <c r="E2095" s="1" t="str">
        <f ca="1">IFERROR(__xludf.DUMMYFUNCTION("""COMPUTED_VALUE"""),"Israel and Occupied Palestinian Territories")</f>
        <v>Israel and Occupied Palestinian Territories</v>
      </c>
      <c r="F2095" s="1" t="str">
        <f ca="1">IFERROR(__xludf.DUMMYFUNCTION("""COMPUTED_VALUE"""),"2.25 Azerbaijan")</f>
        <v>2.25 Azerbaijan</v>
      </c>
      <c r="G2095" s="1" t="str">
        <f ca="1">IFERROR(__xludf.DUMMYFUNCTION("""COMPUTED_VALUE"""),"Freedom of Expression, Human Rights Defenders")</f>
        <v>Freedom of Expression, Human Rights Defenders</v>
      </c>
      <c r="H2095" s="1" t="str">
        <f ca="1">IFERROR(__xludf.DUMMYFUNCTION("""COMPUTED_VALUE"""),"2025")</f>
        <v>2025</v>
      </c>
      <c r="I2095" s="1" t="str">
        <f ca="1">IFERROR(__xludf.DUMMYFUNCTION("""COMPUTED_VALUE"""),"Email")</f>
        <v>Email</v>
      </c>
    </row>
    <row r="2096" spans="1:9" ht="13" x14ac:dyDescent="0.15">
      <c r="A2096" s="9">
        <f ca="1">IFERROR(__xludf.DUMMYFUNCTION("""COMPUTED_VALUE"""),267343847)</f>
        <v>267343847</v>
      </c>
      <c r="B2096" s="1" t="str">
        <f ca="1">IFERROR(__xludf.DUMMYFUNCTION("""COMPUTED_VALUE"""),"ekramer@aiusa.org")</f>
        <v>ekramer@aiusa.org</v>
      </c>
      <c r="C2096" s="9" t="str">
        <f ca="1">IFERROR(__xludf.DUMMYFUNCTION("""COMPUTED_VALUE"""),"EVERGREEN - UAN Gated Content - Embedded Petition")</f>
        <v>EVERGREEN - UAN Gated Content - Embedded Petition</v>
      </c>
      <c r="D2096" s="10">
        <f ca="1">IFERROR(__xludf.DUMMYFUNCTION("""COMPUTED_VALUE"""),45638)</f>
        <v>45638</v>
      </c>
      <c r="E2096" s="1" t="str">
        <f ca="1">IFERROR(__xludf.DUMMYFUNCTION("""COMPUTED_VALUE"""),"Azerbaijan")</f>
        <v>Azerbaijan</v>
      </c>
      <c r="F2096" s="1" t="str">
        <f ca="1">IFERROR(__xludf.DUMMYFUNCTION("""COMPUTED_VALUE"""),"4.25 USA")</f>
        <v>4.25 USA</v>
      </c>
      <c r="G2096" s="1" t="str">
        <f ca="1">IFERROR(__xludf.DUMMYFUNCTION("""COMPUTED_VALUE"""),"Individuals At Risk, Refugee and Migrant Rights")</f>
        <v>Individuals At Risk, Refugee and Migrant Rights</v>
      </c>
      <c r="H2096" s="1" t="str">
        <f ca="1">IFERROR(__xludf.DUMMYFUNCTION("""COMPUTED_VALUE"""),"2025")</f>
        <v>2025</v>
      </c>
      <c r="I2096" s="1" t="str">
        <f ca="1">IFERROR(__xludf.DUMMYFUNCTION("""COMPUTED_VALUE"""),"Letter")</f>
        <v>Letter</v>
      </c>
    </row>
    <row r="2097" spans="1:9" ht="13" x14ac:dyDescent="0.15">
      <c r="A2097" s="9">
        <f ca="1">IFERROR(__xludf.DUMMYFUNCTION("""COMPUTED_VALUE"""),267343847)</f>
        <v>267343847</v>
      </c>
      <c r="B2097" s="1" t="str">
        <f ca="1">IFERROR(__xludf.DUMMYFUNCTION("""COMPUTED_VALUE"""),"ekramer@aiusa.org")</f>
        <v>ekramer@aiusa.org</v>
      </c>
      <c r="C2097" s="9" t="str">
        <f ca="1">IFERROR(__xludf.DUMMYFUNCTION("""COMPUTED_VALUE"""),"EVERGREEN - UAN Gated Content - Embedded Petition")</f>
        <v>EVERGREEN - UAN Gated Content - Embedded Petition</v>
      </c>
      <c r="D2097" s="10">
        <f ca="1">IFERROR(__xludf.DUMMYFUNCTION("""COMPUTED_VALUE"""),45638)</f>
        <v>45638</v>
      </c>
      <c r="E2097" s="1" t="str">
        <f ca="1">IFERROR(__xludf.DUMMYFUNCTION("""COMPUTED_VALUE"""),"USA")</f>
        <v>USA</v>
      </c>
      <c r="F2097" s="1" t="str">
        <f ca="1">IFERROR(__xludf.DUMMYFUNCTION("""COMPUTED_VALUE"""),"4.25 USA")</f>
        <v>4.25 USA</v>
      </c>
      <c r="G2097" s="1" t="str">
        <f ca="1">IFERROR(__xludf.DUMMYFUNCTION("""COMPUTED_VALUE"""),"Individuals At Risk, Refugee and Migrant Rights")</f>
        <v>Individuals At Risk, Refugee and Migrant Rights</v>
      </c>
      <c r="H2097" s="1" t="str">
        <f ca="1">IFERROR(__xludf.DUMMYFUNCTION("""COMPUTED_VALUE"""),"2025")</f>
        <v>2025</v>
      </c>
      <c r="I2097" s="1" t="str">
        <f ca="1">IFERROR(__xludf.DUMMYFUNCTION("""COMPUTED_VALUE"""),"Letter")</f>
        <v>Letter</v>
      </c>
    </row>
    <row r="2098" spans="1:9" ht="13" x14ac:dyDescent="0.15">
      <c r="A2098" s="9">
        <f ca="1">IFERROR(__xludf.DUMMYFUNCTION("""COMPUTED_VALUE"""),267343847)</f>
        <v>267343847</v>
      </c>
      <c r="B2098" s="1" t="str">
        <f ca="1">IFERROR(__xludf.DUMMYFUNCTION("""COMPUTED_VALUE"""),"ekramer@aiusa.org")</f>
        <v>ekramer@aiusa.org</v>
      </c>
      <c r="C2098" s="9" t="str">
        <f ca="1">IFERROR(__xludf.DUMMYFUNCTION("""COMPUTED_VALUE"""),"EVERGREEN - UAN Gated Content - Embedded Petition")</f>
        <v>EVERGREEN - UAN Gated Content - Embedded Petition</v>
      </c>
      <c r="D2098" s="10">
        <f ca="1">IFERROR(__xludf.DUMMYFUNCTION("""COMPUTED_VALUE"""),45638)</f>
        <v>45638</v>
      </c>
      <c r="E2098" s="1" t="str">
        <f ca="1">IFERROR(__xludf.DUMMYFUNCTION("""COMPUTED_VALUE"""),"USA")</f>
        <v>USA</v>
      </c>
      <c r="F2098" s="1" t="str">
        <f ca="1">IFERROR(__xludf.DUMMYFUNCTION("""COMPUTED_VALUE"""),"3.25 IOPT")</f>
        <v>3.25 IOPT</v>
      </c>
      <c r="G2098" s="1" t="str">
        <f ca="1">IFERROR(__xludf.DUMMYFUNCTION("""COMPUTED_VALUE"""),"Freedom of Expression, Individuals At Risk")</f>
        <v>Freedom of Expression, Individuals At Risk</v>
      </c>
      <c r="H2098" s="1" t="str">
        <f ca="1">IFERROR(__xludf.DUMMYFUNCTION("""COMPUTED_VALUE"""),"2025")</f>
        <v>2025</v>
      </c>
      <c r="I2098" s="1" t="str">
        <f ca="1">IFERROR(__xludf.DUMMYFUNCTION("""COMPUTED_VALUE"""),"Email")</f>
        <v>Email</v>
      </c>
    </row>
    <row r="2099" spans="1:9" ht="13" x14ac:dyDescent="0.15">
      <c r="A2099" s="9">
        <f ca="1">IFERROR(__xludf.DUMMYFUNCTION("""COMPUTED_VALUE"""),267343847)</f>
        <v>267343847</v>
      </c>
      <c r="B2099" s="1" t="str">
        <f ca="1">IFERROR(__xludf.DUMMYFUNCTION("""COMPUTED_VALUE"""),"ekramer@aiusa.org")</f>
        <v>ekramer@aiusa.org</v>
      </c>
      <c r="C2099" s="9" t="str">
        <f ca="1">IFERROR(__xludf.DUMMYFUNCTION("""COMPUTED_VALUE"""),"EVERGREEN - UAN Gated Content - Embedded Petition")</f>
        <v>EVERGREEN - UAN Gated Content - Embedded Petition</v>
      </c>
      <c r="D2099" s="10">
        <f ca="1">IFERROR(__xludf.DUMMYFUNCTION("""COMPUTED_VALUE"""),45643)</f>
        <v>45643</v>
      </c>
      <c r="E2099" s="1" t="str">
        <f ca="1">IFERROR(__xludf.DUMMYFUNCTION("""COMPUTED_VALUE"""),"Israel and Occupied Palestinian Territories")</f>
        <v>Israel and Occupied Palestinian Territories</v>
      </c>
      <c r="F2099" s="1" t="str">
        <f ca="1">IFERROR(__xludf.DUMMYFUNCTION("""COMPUTED_VALUE"""),"3.25 IOPT")</f>
        <v>3.25 IOPT</v>
      </c>
      <c r="G2099" s="1" t="str">
        <f ca="1">IFERROR(__xludf.DUMMYFUNCTION("""COMPUTED_VALUE"""),"Freedom of Expression, Individuals At Risk")</f>
        <v>Freedom of Expression, Individuals At Risk</v>
      </c>
      <c r="H2099" s="1" t="str">
        <f ca="1">IFERROR(__xludf.DUMMYFUNCTION("""COMPUTED_VALUE"""),"2025")</f>
        <v>2025</v>
      </c>
      <c r="I2099" s="1" t="str">
        <f ca="1">IFERROR(__xludf.DUMMYFUNCTION("""COMPUTED_VALUE"""),"Email")</f>
        <v>Email</v>
      </c>
    </row>
    <row r="2100" spans="1:9" ht="13" x14ac:dyDescent="0.15">
      <c r="A2100" s="9">
        <f ca="1">IFERROR(__xludf.DUMMYFUNCTION("""COMPUTED_VALUE"""),267343847)</f>
        <v>267343847</v>
      </c>
      <c r="B2100" s="1" t="str">
        <f ca="1">IFERROR(__xludf.DUMMYFUNCTION("""COMPUTED_VALUE"""),"ekramer@aiusa.org")</f>
        <v>ekramer@aiusa.org</v>
      </c>
      <c r="C2100" s="9" t="str">
        <f ca="1">IFERROR(__xludf.DUMMYFUNCTION("""COMPUTED_VALUE"""),"EVERGREEN - UAN Gated Content - Embedded Petition")</f>
        <v>EVERGREEN - UAN Gated Content - Embedded Petition</v>
      </c>
      <c r="D2100" s="10">
        <f ca="1">IFERROR(__xludf.DUMMYFUNCTION("""COMPUTED_VALUE"""),45635)</f>
        <v>45635</v>
      </c>
      <c r="E2100" s="1" t="str">
        <f ca="1">IFERROR(__xludf.DUMMYFUNCTION("""COMPUTED_VALUE"""),"Israel and Occupied Palestinian Territories")</f>
        <v>Israel and Occupied Palestinian Territories</v>
      </c>
      <c r="F2100" s="1" t="str">
        <f ca="1">IFERROR(__xludf.DUMMYFUNCTION("""COMPUTED_VALUE"""),"3.25 IOPT")</f>
        <v>3.25 IOPT</v>
      </c>
      <c r="G2100" s="1" t="str">
        <f ca="1">IFERROR(__xludf.DUMMYFUNCTION("""COMPUTED_VALUE"""),"Freedom of Expression, Individuals At Risk")</f>
        <v>Freedom of Expression, Individuals At Risk</v>
      </c>
      <c r="H2100" s="1" t="str">
        <f ca="1">IFERROR(__xludf.DUMMYFUNCTION("""COMPUTED_VALUE"""),"2025")</f>
        <v>2025</v>
      </c>
      <c r="I2100" s="1" t="str">
        <f ca="1">IFERROR(__xludf.DUMMYFUNCTION("""COMPUTED_VALUE"""),"Email")</f>
        <v>Email</v>
      </c>
    </row>
    <row r="2101" spans="1:9" ht="13" x14ac:dyDescent="0.15">
      <c r="A2101" s="9">
        <f ca="1">IFERROR(__xludf.DUMMYFUNCTION("""COMPUTED_VALUE"""),267343847)</f>
        <v>267343847</v>
      </c>
      <c r="B2101" s="1" t="str">
        <f ca="1">IFERROR(__xludf.DUMMYFUNCTION("""COMPUTED_VALUE"""),"ekramer@aiusa.org")</f>
        <v>ekramer@aiusa.org</v>
      </c>
      <c r="C2101" s="9" t="str">
        <f ca="1">IFERROR(__xludf.DUMMYFUNCTION("""COMPUTED_VALUE"""),"EVERGREEN - UAN Gated Content - Embedded Petition")</f>
        <v>EVERGREEN - UAN Gated Content - Embedded Petition</v>
      </c>
      <c r="D2101" s="10">
        <f ca="1">IFERROR(__xludf.DUMMYFUNCTION("""COMPUTED_VALUE"""),45638)</f>
        <v>45638</v>
      </c>
      <c r="E2101" s="1" t="str">
        <f ca="1">IFERROR(__xludf.DUMMYFUNCTION("""COMPUTED_VALUE"""),"Israel and Occupied Palestinian Territories")</f>
        <v>Israel and Occupied Palestinian Territories</v>
      </c>
      <c r="F2101" s="1" t="str">
        <f ca="1">IFERROR(__xludf.DUMMYFUNCTION("""COMPUTED_VALUE"""),"Second 76.24 Tunisia")</f>
        <v>Second 76.24 Tunisia</v>
      </c>
      <c r="G2101" s="1" t="str">
        <f ca="1">IFERROR(__xludf.DUMMYFUNCTION("""COMPUTED_VALUE"""),"Freedom of Expression, Human Rights Defenders")</f>
        <v>Freedom of Expression, Human Rights Defenders</v>
      </c>
      <c r="H2101" s="1" t="str">
        <f ca="1">IFERROR(__xludf.DUMMYFUNCTION("""COMPUTED_VALUE"""),"2025")</f>
        <v>2025</v>
      </c>
      <c r="I2101" s="1" t="str">
        <f ca="1">IFERROR(__xludf.DUMMYFUNCTION("""COMPUTED_VALUE"""),"Email")</f>
        <v>Email</v>
      </c>
    </row>
    <row r="2102" spans="1:9" ht="13" x14ac:dyDescent="0.15">
      <c r="A2102" s="9">
        <f ca="1">IFERROR(__xludf.DUMMYFUNCTION("""COMPUTED_VALUE"""),267343847)</f>
        <v>267343847</v>
      </c>
      <c r="B2102" s="1" t="str">
        <f ca="1">IFERROR(__xludf.DUMMYFUNCTION("""COMPUTED_VALUE"""),"ekramer@aiusa.org")</f>
        <v>ekramer@aiusa.org</v>
      </c>
      <c r="C2102" s="9" t="str">
        <f ca="1">IFERROR(__xludf.DUMMYFUNCTION("""COMPUTED_VALUE"""),"EVERGREEN - UAN Gated Content - Embedded Petition")</f>
        <v>EVERGREEN - UAN Gated Content - Embedded Petition</v>
      </c>
      <c r="D2102" s="10">
        <f ca="1">IFERROR(__xludf.DUMMYFUNCTION("""COMPUTED_VALUE"""),45638)</f>
        <v>45638</v>
      </c>
      <c r="E2102" s="1" t="str">
        <f ca="1">IFERROR(__xludf.DUMMYFUNCTION("""COMPUTED_VALUE"""),"Tunisia")</f>
        <v>Tunisia</v>
      </c>
      <c r="F2102" s="1" t="str">
        <f ca="1">IFERROR(__xludf.DUMMYFUNCTION("""COMPUTED_VALUE"""),"88.24 Dominican Republic")</f>
        <v>88.24 Dominican Republic</v>
      </c>
      <c r="G2102" s="1" t="str">
        <f ca="1">IFERROR(__xludf.DUMMYFUNCTION("""COMPUTED_VALUE"""),"Individuals At Risk, Refugee and Migrant Rights")</f>
        <v>Individuals At Risk, Refugee and Migrant Rights</v>
      </c>
      <c r="H2102" s="1" t="str">
        <f ca="1">IFERROR(__xludf.DUMMYFUNCTION("""COMPUTED_VALUE"""),"2024")</f>
        <v>2024</v>
      </c>
      <c r="I2102" s="1" t="str">
        <f ca="1">IFERROR(__xludf.DUMMYFUNCTION("""COMPUTED_VALUE"""),"Letter")</f>
        <v>Letter</v>
      </c>
    </row>
    <row r="2103" spans="1:9" ht="13" x14ac:dyDescent="0.15">
      <c r="A2103" s="9">
        <f ca="1">IFERROR(__xludf.DUMMYFUNCTION("""COMPUTED_VALUE"""),267343847)</f>
        <v>267343847</v>
      </c>
      <c r="B2103" s="1" t="str">
        <f ca="1">IFERROR(__xludf.DUMMYFUNCTION("""COMPUTED_VALUE"""),"ekramer@aiusa.org")</f>
        <v>ekramer@aiusa.org</v>
      </c>
      <c r="C2103" s="9" t="str">
        <f ca="1">IFERROR(__xludf.DUMMYFUNCTION("""COMPUTED_VALUE"""),"EVERGREEN - UAN Gated Content - Embedded Petition")</f>
        <v>EVERGREEN - UAN Gated Content - Embedded Petition</v>
      </c>
      <c r="D2103" s="10">
        <f ca="1">IFERROR(__xludf.DUMMYFUNCTION("""COMPUTED_VALUE"""),45637)</f>
        <v>45637</v>
      </c>
      <c r="E2103" s="1" t="str">
        <f ca="1">IFERROR(__xludf.DUMMYFUNCTION("""COMPUTED_VALUE"""),"Dominican Republic")</f>
        <v>Dominican Republic</v>
      </c>
      <c r="F2103" s="1" t="str">
        <f ca="1">IFERROR(__xludf.DUMMYFUNCTION("""COMPUTED_VALUE"""),"Second 76.24 Tunisia")</f>
        <v>Second 76.24 Tunisia</v>
      </c>
      <c r="G2103" s="1" t="str">
        <f ca="1">IFERROR(__xludf.DUMMYFUNCTION("""COMPUTED_VALUE"""),"Freedom of Expression, Human Rights Defenders")</f>
        <v>Freedom of Expression, Human Rights Defenders</v>
      </c>
      <c r="H2103" s="1" t="str">
        <f ca="1">IFERROR(__xludf.DUMMYFUNCTION("""COMPUTED_VALUE"""),"2025")</f>
        <v>2025</v>
      </c>
      <c r="I2103" s="1" t="str">
        <f ca="1">IFERROR(__xludf.DUMMYFUNCTION("""COMPUTED_VALUE"""),"Email")</f>
        <v>Email</v>
      </c>
    </row>
    <row r="2104" spans="1:9" ht="13" x14ac:dyDescent="0.15">
      <c r="A2104" s="9">
        <f ca="1">IFERROR(__xludf.DUMMYFUNCTION("""COMPUTED_VALUE"""),267343847)</f>
        <v>267343847</v>
      </c>
      <c r="B2104" s="1" t="str">
        <f ca="1">IFERROR(__xludf.DUMMYFUNCTION("""COMPUTED_VALUE"""),"ekramer@aiusa.org")</f>
        <v>ekramer@aiusa.org</v>
      </c>
      <c r="C2104" s="9" t="str">
        <f ca="1">IFERROR(__xludf.DUMMYFUNCTION("""COMPUTED_VALUE"""),"EVERGREEN - UAN Gated Content - Embedded Petition")</f>
        <v>EVERGREEN - UAN Gated Content - Embedded Petition</v>
      </c>
      <c r="D2104" s="10">
        <f ca="1">IFERROR(__xludf.DUMMYFUNCTION("""COMPUTED_VALUE"""),45637)</f>
        <v>45637</v>
      </c>
      <c r="E2104" s="1" t="str">
        <f ca="1">IFERROR(__xludf.DUMMYFUNCTION("""COMPUTED_VALUE"""),"Tunisia")</f>
        <v>Tunisia</v>
      </c>
      <c r="F2104" s="1" t="str">
        <f ca="1">IFERROR(__xludf.DUMMYFUNCTION("""COMPUTED_VALUE"""),"Second 76.24 Tunisia")</f>
        <v>Second 76.24 Tunisia</v>
      </c>
      <c r="G2104" s="1" t="str">
        <f ca="1">IFERROR(__xludf.DUMMYFUNCTION("""COMPUTED_VALUE"""),"Freedom of Expression, Human Rights Defenders")</f>
        <v>Freedom of Expression, Human Rights Defenders</v>
      </c>
      <c r="H2104" s="1" t="str">
        <f ca="1">IFERROR(__xludf.DUMMYFUNCTION("""COMPUTED_VALUE"""),"2025")</f>
        <v>2025</v>
      </c>
      <c r="I2104" s="1" t="str">
        <f ca="1">IFERROR(__xludf.DUMMYFUNCTION("""COMPUTED_VALUE"""),"Email")</f>
        <v>Email</v>
      </c>
    </row>
    <row r="2105" spans="1:9" ht="13" x14ac:dyDescent="0.15">
      <c r="A2105" s="9">
        <f ca="1">IFERROR(__xludf.DUMMYFUNCTION("""COMPUTED_VALUE"""),267343847)</f>
        <v>267343847</v>
      </c>
      <c r="B2105" s="1" t="str">
        <f ca="1">IFERROR(__xludf.DUMMYFUNCTION("""COMPUTED_VALUE"""),"ekramer@aiusa.org")</f>
        <v>ekramer@aiusa.org</v>
      </c>
      <c r="C2105" s="9" t="str">
        <f ca="1">IFERROR(__xludf.DUMMYFUNCTION("""COMPUTED_VALUE"""),"EVERGREEN - UAN Gated Content - Embedded Petition")</f>
        <v>EVERGREEN - UAN Gated Content - Embedded Petition</v>
      </c>
      <c r="D2105" s="10">
        <f ca="1">IFERROR(__xludf.DUMMYFUNCTION("""COMPUTED_VALUE"""),45638)</f>
        <v>45638</v>
      </c>
      <c r="E2105" s="1" t="str">
        <f ca="1">IFERROR(__xludf.DUMMYFUNCTION("""COMPUTED_VALUE"""),"Tunisia")</f>
        <v>Tunisia</v>
      </c>
      <c r="F2105" s="1" t="str">
        <f ca="1">IFERROR(__xludf.DUMMYFUNCTION("""COMPUTED_VALUE"""),"88.24 Dominican Republic")</f>
        <v>88.24 Dominican Republic</v>
      </c>
      <c r="G2105" s="1" t="str">
        <f ca="1">IFERROR(__xludf.DUMMYFUNCTION("""COMPUTED_VALUE"""),"Individuals At Risk, Refugee and Migrant Rights")</f>
        <v>Individuals At Risk, Refugee and Migrant Rights</v>
      </c>
      <c r="H2105" s="1" t="str">
        <f ca="1">IFERROR(__xludf.DUMMYFUNCTION("""COMPUTED_VALUE"""),"2024")</f>
        <v>2024</v>
      </c>
      <c r="I2105" s="1" t="str">
        <f ca="1">IFERROR(__xludf.DUMMYFUNCTION("""COMPUTED_VALUE"""),"Letter")</f>
        <v>Letter</v>
      </c>
    </row>
    <row r="2106" spans="1:9" ht="13" x14ac:dyDescent="0.15">
      <c r="A2106" s="9">
        <f ca="1">IFERROR(__xludf.DUMMYFUNCTION("""COMPUTED_VALUE"""),267343847)</f>
        <v>267343847</v>
      </c>
      <c r="B2106" s="1" t="str">
        <f ca="1">IFERROR(__xludf.DUMMYFUNCTION("""COMPUTED_VALUE"""),"ekramer@aiusa.org")</f>
        <v>ekramer@aiusa.org</v>
      </c>
      <c r="C2106" s="9" t="str">
        <f ca="1">IFERROR(__xludf.DUMMYFUNCTION("""COMPUTED_VALUE"""),"EVERGREEN - UAN Gated Content - Embedded Petition")</f>
        <v>EVERGREEN - UAN Gated Content - Embedded Petition</v>
      </c>
      <c r="D2106" s="10">
        <f ca="1">IFERROR(__xludf.DUMMYFUNCTION("""COMPUTED_VALUE"""),45638)</f>
        <v>45638</v>
      </c>
      <c r="E2106" s="1" t="str">
        <f ca="1">IFERROR(__xludf.DUMMYFUNCTION("""COMPUTED_VALUE"""),"Dominican Republic")</f>
        <v>Dominican Republic</v>
      </c>
      <c r="F2106" s="1" t="str">
        <f ca="1">IFERROR(__xludf.DUMMYFUNCTION("""COMPUTED_VALUE"""),"105.24 USA")</f>
        <v>105.24 USA</v>
      </c>
      <c r="G2106" s="1" t="str">
        <f ca="1">IFERROR(__xludf.DUMMYFUNCTION("""COMPUTED_VALUE"""),"Death Penalty")</f>
        <v>Death Penalty</v>
      </c>
      <c r="H2106" s="1" t="str">
        <f ca="1">IFERROR(__xludf.DUMMYFUNCTION("""COMPUTED_VALUE"""),"2024")</f>
        <v>2024</v>
      </c>
      <c r="I2106" s="1" t="str">
        <f ca="1">IFERROR(__xludf.DUMMYFUNCTION("""COMPUTED_VALUE"""),"Email")</f>
        <v>Email</v>
      </c>
    </row>
    <row r="2107" spans="1:9" ht="13" x14ac:dyDescent="0.15">
      <c r="A2107" s="9">
        <f ca="1">IFERROR(__xludf.DUMMYFUNCTION("""COMPUTED_VALUE"""),267343847)</f>
        <v>267343847</v>
      </c>
      <c r="B2107" s="1" t="str">
        <f ca="1">IFERROR(__xludf.DUMMYFUNCTION("""COMPUTED_VALUE"""),"ekramer@aiusa.org")</f>
        <v>ekramer@aiusa.org</v>
      </c>
      <c r="C2107" s="9" t="str">
        <f ca="1">IFERROR(__xludf.DUMMYFUNCTION("""COMPUTED_VALUE"""),"EVERGREEN - UAN Gated Content - Embedded Petition")</f>
        <v>EVERGREEN - UAN Gated Content - Embedded Petition</v>
      </c>
      <c r="D2107" s="10">
        <f ca="1">IFERROR(__xludf.DUMMYFUNCTION("""COMPUTED_VALUE"""),45638)</f>
        <v>45638</v>
      </c>
      <c r="E2107" s="1" t="str">
        <f ca="1">IFERROR(__xludf.DUMMYFUNCTION("""COMPUTED_VALUE"""),"USA")</f>
        <v>USA</v>
      </c>
      <c r="F2107" s="1" t="str">
        <f ca="1">IFERROR(__xludf.DUMMYFUNCTION("""COMPUTED_VALUE"""),"88.24 Dominican Republic")</f>
        <v>88.24 Dominican Republic</v>
      </c>
      <c r="G2107" s="1" t="str">
        <f ca="1">IFERROR(__xludf.DUMMYFUNCTION("""COMPUTED_VALUE"""),"Individuals At Risk, Refugee and Migrant Rights")</f>
        <v>Individuals At Risk, Refugee and Migrant Rights</v>
      </c>
      <c r="H2107" s="1" t="str">
        <f ca="1">IFERROR(__xludf.DUMMYFUNCTION("""COMPUTED_VALUE"""),"2024")</f>
        <v>2024</v>
      </c>
      <c r="I2107" s="1" t="str">
        <f ca="1">IFERROR(__xludf.DUMMYFUNCTION("""COMPUTED_VALUE"""),"Letter")</f>
        <v>Letter</v>
      </c>
    </row>
    <row r="2108" spans="1:9" ht="13" x14ac:dyDescent="0.15">
      <c r="A2108" s="9">
        <f ca="1">IFERROR(__xludf.DUMMYFUNCTION("""COMPUTED_VALUE"""),267343847)</f>
        <v>267343847</v>
      </c>
      <c r="B2108" s="1" t="str">
        <f ca="1">IFERROR(__xludf.DUMMYFUNCTION("""COMPUTED_VALUE"""),"ekramer@aiusa.org")</f>
        <v>ekramer@aiusa.org</v>
      </c>
      <c r="C2108" s="9" t="str">
        <f ca="1">IFERROR(__xludf.DUMMYFUNCTION("""COMPUTED_VALUE"""),"EVERGREEN - UAN Gated Content - Embedded Petition")</f>
        <v>EVERGREEN - UAN Gated Content - Embedded Petition</v>
      </c>
      <c r="D2108" s="10">
        <f ca="1">IFERROR(__xludf.DUMMYFUNCTION("""COMPUTED_VALUE"""),45638)</f>
        <v>45638</v>
      </c>
      <c r="E2108" s="1" t="str">
        <f ca="1">IFERROR(__xludf.DUMMYFUNCTION("""COMPUTED_VALUE"""),"Dominican Republic")</f>
        <v>Dominican Republic</v>
      </c>
      <c r="F2108" s="1" t="str">
        <f ca="1">IFERROR(__xludf.DUMMYFUNCTION("""COMPUTED_VALUE"""),"103.24 Niger")</f>
        <v>103.24 Niger</v>
      </c>
      <c r="G2108" s="1" t="str">
        <f ca="1">IFERROR(__xludf.DUMMYFUNCTION("""COMPUTED_VALUE"""),"Freedom of Expression, Human Rights Defenders")</f>
        <v>Freedom of Expression, Human Rights Defenders</v>
      </c>
      <c r="H2108" s="1" t="str">
        <f ca="1">IFERROR(__xludf.DUMMYFUNCTION("""COMPUTED_VALUE"""),"2024")</f>
        <v>2024</v>
      </c>
      <c r="I2108" s="1" t="str">
        <f ca="1">IFERROR(__xludf.DUMMYFUNCTION("""COMPUTED_VALUE"""),"Email")</f>
        <v>Email</v>
      </c>
    </row>
    <row r="2109" spans="1:9" ht="13" x14ac:dyDescent="0.15">
      <c r="A2109" s="9">
        <f ca="1">IFERROR(__xludf.DUMMYFUNCTION("""COMPUTED_VALUE"""),267343847)</f>
        <v>267343847</v>
      </c>
      <c r="B2109" s="1" t="str">
        <f ca="1">IFERROR(__xludf.DUMMYFUNCTION("""COMPUTED_VALUE"""),"ekramer@aiusa.org")</f>
        <v>ekramer@aiusa.org</v>
      </c>
      <c r="C2109" s="9" t="str">
        <f ca="1">IFERROR(__xludf.DUMMYFUNCTION("""COMPUTED_VALUE"""),"EVERGREEN - UAN Gated Content - Embedded Petition")</f>
        <v>EVERGREEN - UAN Gated Content - Embedded Petition</v>
      </c>
      <c r="D2109" s="10">
        <f ca="1">IFERROR(__xludf.DUMMYFUNCTION("""COMPUTED_VALUE"""),45638)</f>
        <v>45638</v>
      </c>
      <c r="E2109" s="1" t="str">
        <f ca="1">IFERROR(__xludf.DUMMYFUNCTION("""COMPUTED_VALUE"""),"Niger")</f>
        <v>Niger</v>
      </c>
      <c r="F2109" s="1" t="str">
        <f ca="1">IFERROR(__xludf.DUMMYFUNCTION("""COMPUTED_VALUE"""),"Seventh 103.22 Iran")</f>
        <v>Seventh 103.22 Iran</v>
      </c>
      <c r="G2109" s="1" t="str">
        <f ca="1">IFERROR(__xludf.DUMMYFUNCTION("""COMPUTED_VALUE"""),"Death Penalty, Freedom of Expression, Individuals At Risk")</f>
        <v>Death Penalty, Freedom of Expression, Individuals At Risk</v>
      </c>
      <c r="H2109" s="1" t="str">
        <f ca="1">IFERROR(__xludf.DUMMYFUNCTION("""COMPUTED_VALUE"""),"2024")</f>
        <v>2024</v>
      </c>
      <c r="I2109" s="1" t="str">
        <f ca="1">IFERROR(__xludf.DUMMYFUNCTION("""COMPUTED_VALUE"""),"Email")</f>
        <v>Email</v>
      </c>
    </row>
    <row r="2110" spans="1:9" ht="13" x14ac:dyDescent="0.15">
      <c r="A2110" s="9">
        <f ca="1">IFERROR(__xludf.DUMMYFUNCTION("""COMPUTED_VALUE"""),267343847)</f>
        <v>267343847</v>
      </c>
      <c r="B2110" s="1" t="str">
        <f ca="1">IFERROR(__xludf.DUMMYFUNCTION("""COMPUTED_VALUE"""),"ekramer@aiusa.org")</f>
        <v>ekramer@aiusa.org</v>
      </c>
      <c r="C2110" s="9" t="str">
        <f ca="1">IFERROR(__xludf.DUMMYFUNCTION("""COMPUTED_VALUE"""),"EVERGREEN - UAN Gated Content - Embedded Petition")</f>
        <v>EVERGREEN - UAN Gated Content - Embedded Petition</v>
      </c>
      <c r="D2110" s="10">
        <f ca="1">IFERROR(__xludf.DUMMYFUNCTION("""COMPUTED_VALUE"""),45616)</f>
        <v>45616</v>
      </c>
      <c r="E2110" s="1" t="str">
        <f ca="1">IFERROR(__xludf.DUMMYFUNCTION("""COMPUTED_VALUE"""),"Iran")</f>
        <v>Iran</v>
      </c>
      <c r="F2110" s="1" t="str">
        <f ca="1">IFERROR(__xludf.DUMMYFUNCTION("""COMPUTED_VALUE"""),"Second 76.24 Tunisia")</f>
        <v>Second 76.24 Tunisia</v>
      </c>
      <c r="G2110" s="1" t="str">
        <f ca="1">IFERROR(__xludf.DUMMYFUNCTION("""COMPUTED_VALUE"""),"Freedom of Expression, Human Rights Defenders")</f>
        <v>Freedom of Expression, Human Rights Defenders</v>
      </c>
      <c r="H2110" s="1" t="str">
        <f ca="1">IFERROR(__xludf.DUMMYFUNCTION("""COMPUTED_VALUE"""),"2025")</f>
        <v>2025</v>
      </c>
      <c r="I2110" s="1" t="str">
        <f ca="1">IFERROR(__xludf.DUMMYFUNCTION("""COMPUTED_VALUE"""),"Email")</f>
        <v>Email</v>
      </c>
    </row>
    <row r="2111" spans="1:9" ht="13" x14ac:dyDescent="0.15">
      <c r="A2111" s="9">
        <f ca="1">IFERROR(__xludf.DUMMYFUNCTION("""COMPUTED_VALUE"""),267343847)</f>
        <v>267343847</v>
      </c>
      <c r="B2111" s="1" t="str">
        <f ca="1">IFERROR(__xludf.DUMMYFUNCTION("""COMPUTED_VALUE"""),"ekramer@aiusa.org")</f>
        <v>ekramer@aiusa.org</v>
      </c>
      <c r="C2111" s="9" t="str">
        <f ca="1">IFERROR(__xludf.DUMMYFUNCTION("""COMPUTED_VALUE"""),"EVERGREEN - UAN Gated Content - Embedded Petition")</f>
        <v>EVERGREEN - UAN Gated Content - Embedded Petition</v>
      </c>
      <c r="D2111" s="10">
        <f ca="1">IFERROR(__xludf.DUMMYFUNCTION("""COMPUTED_VALUE"""),45616)</f>
        <v>45616</v>
      </c>
      <c r="E2111" s="1" t="str">
        <f ca="1">IFERROR(__xludf.DUMMYFUNCTION("""COMPUTED_VALUE"""),"Tunisia")</f>
        <v>Tunisia</v>
      </c>
      <c r="F2111" s="1" t="str">
        <f ca="1">IFERROR(__xludf.DUMMYFUNCTION("""COMPUTED_VALUE"""),"Second 85.23 Saudi Arabia")</f>
        <v>Second 85.23 Saudi Arabia</v>
      </c>
      <c r="G2111" s="1" t="str">
        <f ca="1">IFERROR(__xludf.DUMMYFUNCTION("""COMPUTED_VALUE"""),"Freedom of Expression")</f>
        <v>Freedom of Expression</v>
      </c>
      <c r="H2111" s="1" t="str">
        <f ca="1">IFERROR(__xludf.DUMMYFUNCTION("""COMPUTED_VALUE"""),"2024")</f>
        <v>2024</v>
      </c>
      <c r="I2111" s="1" t="str">
        <f ca="1">IFERROR(__xludf.DUMMYFUNCTION("""COMPUTED_VALUE"""),"Letter")</f>
        <v>Letter</v>
      </c>
    </row>
    <row r="2112" spans="1:9" ht="13" x14ac:dyDescent="0.15">
      <c r="A2112" s="9">
        <f ca="1">IFERROR(__xludf.DUMMYFUNCTION("""COMPUTED_VALUE"""),267343847)</f>
        <v>267343847</v>
      </c>
      <c r="B2112" s="1" t="str">
        <f ca="1">IFERROR(__xludf.DUMMYFUNCTION("""COMPUTED_VALUE"""),"ekramer@aiusa.org")</f>
        <v>ekramer@aiusa.org</v>
      </c>
      <c r="C2112" s="9" t="str">
        <f ca="1">IFERROR(__xludf.DUMMYFUNCTION("""COMPUTED_VALUE"""),"EVERGREEN - UAN Gated Content - Embedded Petition")</f>
        <v>EVERGREEN - UAN Gated Content - Embedded Petition</v>
      </c>
      <c r="D2112" s="10">
        <f ca="1">IFERROR(__xludf.DUMMYFUNCTION("""COMPUTED_VALUE"""),45616)</f>
        <v>45616</v>
      </c>
      <c r="E2112" s="1" t="str">
        <f ca="1">IFERROR(__xludf.DUMMYFUNCTION("""COMPUTED_VALUE"""),"Saudi Arabia")</f>
        <v>Saudi Arabia</v>
      </c>
      <c r="F2112" s="1" t="str">
        <f ca="1">IFERROR(__xludf.DUMMYFUNCTION("""COMPUTED_VALUE"""),"3.25 IOPT")</f>
        <v>3.25 IOPT</v>
      </c>
      <c r="G2112" s="1" t="str">
        <f ca="1">IFERROR(__xludf.DUMMYFUNCTION("""COMPUTED_VALUE"""),"Freedom of Expression, Individuals At Risk")</f>
        <v>Freedom of Expression, Individuals At Risk</v>
      </c>
      <c r="H2112" s="1" t="str">
        <f ca="1">IFERROR(__xludf.DUMMYFUNCTION("""COMPUTED_VALUE"""),"2025")</f>
        <v>2025</v>
      </c>
      <c r="I2112" s="1" t="str">
        <f ca="1">IFERROR(__xludf.DUMMYFUNCTION("""COMPUTED_VALUE"""),"Email")</f>
        <v>Email</v>
      </c>
    </row>
    <row r="2113" spans="1:9" ht="13" x14ac:dyDescent="0.15">
      <c r="A2113" s="9">
        <f ca="1">IFERROR(__xludf.DUMMYFUNCTION("""COMPUTED_VALUE"""),267343847)</f>
        <v>267343847</v>
      </c>
      <c r="B2113" s="1" t="str">
        <f ca="1">IFERROR(__xludf.DUMMYFUNCTION("""COMPUTED_VALUE"""),"ekramer@aiusa.org")</f>
        <v>ekramer@aiusa.org</v>
      </c>
      <c r="C2113" s="9" t="str">
        <f ca="1">IFERROR(__xludf.DUMMYFUNCTION("""COMPUTED_VALUE"""),"EVERGREEN - UAN Gated Content - Embedded Petition")</f>
        <v>EVERGREEN - UAN Gated Content - Embedded Petition</v>
      </c>
      <c r="D2113" s="10">
        <f ca="1">IFERROR(__xludf.DUMMYFUNCTION("""COMPUTED_VALUE"""),45631)</f>
        <v>45631</v>
      </c>
      <c r="E2113" s="1" t="str">
        <f ca="1">IFERROR(__xludf.DUMMYFUNCTION("""COMPUTED_VALUE"""),"Israel and Occupied Palestinian Territories")</f>
        <v>Israel and Occupied Palestinian Territories</v>
      </c>
      <c r="F2113" s="1" t="str">
        <f ca="1">IFERROR(__xludf.DUMMYFUNCTION("""COMPUTED_VALUE"""),"3.25 IOPT")</f>
        <v>3.25 IOPT</v>
      </c>
      <c r="G2113" s="1" t="str">
        <f ca="1">IFERROR(__xludf.DUMMYFUNCTION("""COMPUTED_VALUE"""),"Freedom of Expression, Individuals At Risk")</f>
        <v>Freedom of Expression, Individuals At Risk</v>
      </c>
      <c r="H2113" s="1" t="str">
        <f ca="1">IFERROR(__xludf.DUMMYFUNCTION("""COMPUTED_VALUE"""),"2025")</f>
        <v>2025</v>
      </c>
      <c r="I2113" s="1" t="str">
        <f ca="1">IFERROR(__xludf.DUMMYFUNCTION("""COMPUTED_VALUE"""),"Email")</f>
        <v>Email</v>
      </c>
    </row>
    <row r="2114" spans="1:9" ht="13" x14ac:dyDescent="0.15">
      <c r="A2114" s="9">
        <f ca="1">IFERROR(__xludf.DUMMYFUNCTION("""COMPUTED_VALUE"""),267343847)</f>
        <v>267343847</v>
      </c>
      <c r="B2114" s="1" t="str">
        <f ca="1">IFERROR(__xludf.DUMMYFUNCTION("""COMPUTED_VALUE"""),"ekramer@aiusa.org")</f>
        <v>ekramer@aiusa.org</v>
      </c>
      <c r="C2114" s="9" t="str">
        <f ca="1">IFERROR(__xludf.DUMMYFUNCTION("""COMPUTED_VALUE"""),"EVERGREEN - UAN Gated Content - Embedded Petition")</f>
        <v>EVERGREEN - UAN Gated Content - Embedded Petition</v>
      </c>
      <c r="D2114" s="10">
        <f ca="1">IFERROR(__xludf.DUMMYFUNCTION("""COMPUTED_VALUE"""),45610)</f>
        <v>45610</v>
      </c>
      <c r="E2114" s="1" t="str">
        <f ca="1">IFERROR(__xludf.DUMMYFUNCTION("""COMPUTED_VALUE"""),"Israel and Occupied Palestinian Territories")</f>
        <v>Israel and Occupied Palestinian Territories</v>
      </c>
      <c r="F2114" s="1" t="str">
        <f ca="1">IFERROR(__xludf.DUMMYFUNCTION("""COMPUTED_VALUE"""),"2.25 Azerbaijan")</f>
        <v>2.25 Azerbaijan</v>
      </c>
      <c r="G2114" s="1" t="str">
        <f ca="1">IFERROR(__xludf.DUMMYFUNCTION("""COMPUTED_VALUE"""),"Freedom of Expression, Human Rights Defenders")</f>
        <v>Freedom of Expression, Human Rights Defenders</v>
      </c>
      <c r="H2114" s="1" t="str">
        <f ca="1">IFERROR(__xludf.DUMMYFUNCTION("""COMPUTED_VALUE"""),"2025")</f>
        <v>2025</v>
      </c>
      <c r="I2114" s="1" t="str">
        <f ca="1">IFERROR(__xludf.DUMMYFUNCTION("""COMPUTED_VALUE"""),"Email")</f>
        <v>Email</v>
      </c>
    </row>
    <row r="2115" spans="1:9" ht="13" x14ac:dyDescent="0.15">
      <c r="A2115" s="9">
        <f ca="1">IFERROR(__xludf.DUMMYFUNCTION("""COMPUTED_VALUE"""),267343847)</f>
        <v>267343847</v>
      </c>
      <c r="B2115" s="1" t="str">
        <f ca="1">IFERROR(__xludf.DUMMYFUNCTION("""COMPUTED_VALUE"""),"ekramer@aiusa.org")</f>
        <v>ekramer@aiusa.org</v>
      </c>
      <c r="C2115" s="9" t="str">
        <f ca="1">IFERROR(__xludf.DUMMYFUNCTION("""COMPUTED_VALUE"""),"EVERGREEN - UAN Gated Content - Embedded Petition")</f>
        <v>EVERGREEN - UAN Gated Content - Embedded Petition</v>
      </c>
      <c r="D2115" s="10">
        <f ca="1">IFERROR(__xludf.DUMMYFUNCTION("""COMPUTED_VALUE"""),45610)</f>
        <v>45610</v>
      </c>
      <c r="E2115" s="1" t="str">
        <f ca="1">IFERROR(__xludf.DUMMYFUNCTION("""COMPUTED_VALUE"""),"Azerbaijan")</f>
        <v>Azerbaijan</v>
      </c>
      <c r="F2115" s="1" t="str">
        <f ca="1">IFERROR(__xludf.DUMMYFUNCTION("""COMPUTED_VALUE"""),"11.25 Afghanistan")</f>
        <v>11.25 Afghanistan</v>
      </c>
      <c r="G2115" s="1" t="str">
        <f ca="1">IFERROR(__xludf.DUMMYFUNCTION("""COMPUTED_VALUE"""),"Freedom of Expression, Health, Individuals At Risk")</f>
        <v>Freedom of Expression, Health, Individuals At Risk</v>
      </c>
      <c r="H2115" s="1" t="str">
        <f ca="1">IFERROR(__xludf.DUMMYFUNCTION("""COMPUTED_VALUE"""),"2025")</f>
        <v>2025</v>
      </c>
      <c r="I2115" s="1" t="str">
        <f ca="1">IFERROR(__xludf.DUMMYFUNCTION("""COMPUTED_VALUE"""),"Email")</f>
        <v>Email</v>
      </c>
    </row>
    <row r="2116" spans="1:9" ht="13" x14ac:dyDescent="0.15">
      <c r="A2116" s="9">
        <f ca="1">IFERROR(__xludf.DUMMYFUNCTION("""COMPUTED_VALUE"""),267343847)</f>
        <v>267343847</v>
      </c>
      <c r="B2116" s="1" t="str">
        <f ca="1">IFERROR(__xludf.DUMMYFUNCTION("""COMPUTED_VALUE"""),"ekramer@aiusa.org")</f>
        <v>ekramer@aiusa.org</v>
      </c>
      <c r="C2116" s="9" t="str">
        <f ca="1">IFERROR(__xludf.DUMMYFUNCTION("""COMPUTED_VALUE"""),"EVERGREEN - UAN Gated Content - Embedded Petition")</f>
        <v>EVERGREEN - UAN Gated Content - Embedded Petition</v>
      </c>
      <c r="D2116" s="10">
        <f ca="1">IFERROR(__xludf.DUMMYFUNCTION("""COMPUTED_VALUE"""),45611)</f>
        <v>45611</v>
      </c>
      <c r="E2116" s="1" t="str">
        <f ca="1">IFERROR(__xludf.DUMMYFUNCTION("""COMPUTED_VALUE"""),"Afghanistan")</f>
        <v>Afghanistan</v>
      </c>
      <c r="F2116" s="1" t="str">
        <f ca="1">IFERROR(__xludf.DUMMYFUNCTION("""COMPUTED_VALUE"""),"Fifth 257.12")</f>
        <v>Fifth 257.12</v>
      </c>
      <c r="G2116" s="1" t="str">
        <f ca="1">IFERROR(__xludf.DUMMYFUNCTION("""COMPUTED_VALUE"""),"Freedom of Expression, Human Rights Defenders")</f>
        <v>Freedom of Expression, Human Rights Defenders</v>
      </c>
      <c r="H2116" s="1" t="str">
        <f ca="1">IFERROR(__xludf.DUMMYFUNCTION("""COMPUTED_VALUE"""),"2025")</f>
        <v>2025</v>
      </c>
      <c r="I2116" s="1" t="str">
        <f ca="1">IFERROR(__xludf.DUMMYFUNCTION("""COMPUTED_VALUE"""),"Email")</f>
        <v>Email</v>
      </c>
    </row>
    <row r="2117" spans="1:9" ht="13" x14ac:dyDescent="0.15">
      <c r="A2117" s="9">
        <f ca="1">IFERROR(__xludf.DUMMYFUNCTION("""COMPUTED_VALUE"""),267343847)</f>
        <v>267343847</v>
      </c>
      <c r="B2117" s="1" t="str">
        <f ca="1">IFERROR(__xludf.DUMMYFUNCTION("""COMPUTED_VALUE"""),"ekramer@aiusa.org")</f>
        <v>ekramer@aiusa.org</v>
      </c>
      <c r="C2117" s="9" t="str">
        <f ca="1">IFERROR(__xludf.DUMMYFUNCTION("""COMPUTED_VALUE"""),"EVERGREEN - UAN Gated Content - Embedded Petition")</f>
        <v>EVERGREEN - UAN Gated Content - Embedded Petition</v>
      </c>
      <c r="D2117" s="10">
        <f ca="1">IFERROR(__xludf.DUMMYFUNCTION("""COMPUTED_VALUE"""),45611)</f>
        <v>45611</v>
      </c>
      <c r="E2117" s="1" t="str">
        <f ca="1">IFERROR(__xludf.DUMMYFUNCTION("""COMPUTED_VALUE"""),"Saudi Arabia")</f>
        <v>Saudi Arabia</v>
      </c>
      <c r="F2117" s="1" t="str">
        <f ca="1">IFERROR(__xludf.DUMMYFUNCTION("""COMPUTED_VALUE"""),"12.25 Libya")</f>
        <v>12.25 Libya</v>
      </c>
      <c r="G2117" s="1" t="str">
        <f ca="1">IFERROR(__xludf.DUMMYFUNCTION("""COMPUTED_VALUE"""),"Freedom of Expression, Health, Individuals At Risk")</f>
        <v>Freedom of Expression, Health, Individuals At Risk</v>
      </c>
      <c r="H2117" s="1" t="str">
        <f ca="1">IFERROR(__xludf.DUMMYFUNCTION("""COMPUTED_VALUE"""),"2025")</f>
        <v>2025</v>
      </c>
      <c r="I2117" s="1" t="str">
        <f ca="1">IFERROR(__xludf.DUMMYFUNCTION("""COMPUTED_VALUE"""),"Email")</f>
        <v>Email</v>
      </c>
    </row>
    <row r="2118" spans="1:9" ht="13" x14ac:dyDescent="0.15">
      <c r="A2118" s="9">
        <f ca="1">IFERROR(__xludf.DUMMYFUNCTION("""COMPUTED_VALUE"""),267343847)</f>
        <v>267343847</v>
      </c>
      <c r="B2118" s="1" t="str">
        <f ca="1">IFERROR(__xludf.DUMMYFUNCTION("""COMPUTED_VALUE"""),"ekramer@aiusa.org")</f>
        <v>ekramer@aiusa.org</v>
      </c>
      <c r="C2118" s="9" t="str">
        <f ca="1">IFERROR(__xludf.DUMMYFUNCTION("""COMPUTED_VALUE"""),"EVERGREEN - UAN Gated Content - Embedded Petition")</f>
        <v>EVERGREEN - UAN Gated Content - Embedded Petition</v>
      </c>
      <c r="D2118" s="10">
        <f ca="1">IFERROR(__xludf.DUMMYFUNCTION("""COMPUTED_VALUE"""),45614)</f>
        <v>45614</v>
      </c>
      <c r="E2118" s="1" t="str">
        <f ca="1">IFERROR(__xludf.DUMMYFUNCTION("""COMPUTED_VALUE"""),"Libya")</f>
        <v>Libya</v>
      </c>
      <c r="F2118" s="1" t="str">
        <f ca="1">IFERROR(__xludf.DUMMYFUNCTION("""COMPUTED_VALUE"""),"Second 80.23 Egypt")</f>
        <v>Second 80.23 Egypt</v>
      </c>
      <c r="G2118" s="1" t="str">
        <f ca="1">IFERROR(__xludf.DUMMYFUNCTION("""COMPUTED_VALUE"""),"Health, Individuals At Risk")</f>
        <v>Health, Individuals At Risk</v>
      </c>
      <c r="H2118" s="1" t="str">
        <f ca="1">IFERROR(__xludf.DUMMYFUNCTION("""COMPUTED_VALUE"""),"2025")</f>
        <v>2025</v>
      </c>
      <c r="I2118" s="1" t="str">
        <f ca="1">IFERROR(__xludf.DUMMYFUNCTION("""COMPUTED_VALUE"""),"Email")</f>
        <v>Email</v>
      </c>
    </row>
    <row r="2119" spans="1:9" ht="13" x14ac:dyDescent="0.15">
      <c r="A2119" s="9">
        <f ca="1">IFERROR(__xludf.DUMMYFUNCTION("""COMPUTED_VALUE"""),267343847)</f>
        <v>267343847</v>
      </c>
      <c r="B2119" s="1" t="str">
        <f ca="1">IFERROR(__xludf.DUMMYFUNCTION("""COMPUTED_VALUE"""),"ekramer@aiusa.org")</f>
        <v>ekramer@aiusa.org</v>
      </c>
      <c r="C2119" s="9" t="str">
        <f ca="1">IFERROR(__xludf.DUMMYFUNCTION("""COMPUTED_VALUE"""),"EVERGREEN - UAN Gated Content - Embedded Petition")</f>
        <v>EVERGREEN - UAN Gated Content - Embedded Petition</v>
      </c>
      <c r="D2119" s="10">
        <f ca="1">IFERROR(__xludf.DUMMYFUNCTION("""COMPUTED_VALUE"""),45614)</f>
        <v>45614</v>
      </c>
      <c r="E2119" s="1" t="str">
        <f ca="1">IFERROR(__xludf.DUMMYFUNCTION("""COMPUTED_VALUE"""),"Egypt")</f>
        <v>Egypt</v>
      </c>
      <c r="F2119" s="1" t="str">
        <f ca="1">IFERROR(__xludf.DUMMYFUNCTION("""COMPUTED_VALUE"""),"9.25 Uganda")</f>
        <v>9.25 Uganda</v>
      </c>
      <c r="G2119" s="1" t="str">
        <f ca="1">IFERROR(__xludf.DUMMYFUNCTION("""COMPUTED_VALUE"""),"Freedom of Expression, Human Rights Defenders")</f>
        <v>Freedom of Expression, Human Rights Defenders</v>
      </c>
      <c r="H2119" s="1" t="str">
        <f ca="1">IFERROR(__xludf.DUMMYFUNCTION("""COMPUTED_VALUE"""),"2025")</f>
        <v>2025</v>
      </c>
      <c r="I2119" s="1" t="str">
        <f ca="1">IFERROR(__xludf.DUMMYFUNCTION("""COMPUTED_VALUE"""),"Email")</f>
        <v>Email</v>
      </c>
    </row>
    <row r="2120" spans="1:9" ht="13" x14ac:dyDescent="0.15">
      <c r="A2120" s="9">
        <f ca="1">IFERROR(__xludf.DUMMYFUNCTION("""COMPUTED_VALUE"""),267999976)</f>
        <v>267999976</v>
      </c>
      <c r="B2120" s="1" t="str">
        <f ca="1">IFERROR(__xludf.DUMMYFUNCTION("""COMPUTED_VALUE"""),"jsperian01@bvsd.org")</f>
        <v>jsperian01@bvsd.org</v>
      </c>
      <c r="C2120" s="9" t="str">
        <f ca="1">IFERROR(__xludf.DUMMYFUNCTION("""COMPUTED_VALUE"""),"EVERGREEN - UAN Gated Content - Embedded Petition")</f>
        <v>EVERGREEN - UAN Gated Content - Embedded Petition</v>
      </c>
      <c r="D2120" s="10">
        <f ca="1">IFERROR(__xludf.DUMMYFUNCTION("""COMPUTED_VALUE"""),45707)</f>
        <v>45707</v>
      </c>
      <c r="E2120" s="1" t="str">
        <f ca="1">IFERROR(__xludf.DUMMYFUNCTION("""COMPUTED_VALUE"""),"Uganda")</f>
        <v>Uganda</v>
      </c>
      <c r="F2120" s="1" t="str">
        <f ca="1">IFERROR(__xludf.DUMMYFUNCTION("""COMPUTED_VALUE"""),"9.25 Uganda")</f>
        <v>9.25 Uganda</v>
      </c>
      <c r="G2120" s="1" t="str">
        <f ca="1">IFERROR(__xludf.DUMMYFUNCTION("""COMPUTED_VALUE"""),"Freedom of Expression, Human Rights Defenders")</f>
        <v>Freedom of Expression, Human Rights Defenders</v>
      </c>
      <c r="H2120" s="1" t="str">
        <f ca="1">IFERROR(__xludf.DUMMYFUNCTION("""COMPUTED_VALUE"""),"2025")</f>
        <v>2025</v>
      </c>
      <c r="I2120" s="1" t="str">
        <f ca="1">IFERROR(__xludf.DUMMYFUNCTION("""COMPUTED_VALUE"""),"Email")</f>
        <v>Email</v>
      </c>
    </row>
    <row r="2121" spans="1:9" ht="13" x14ac:dyDescent="0.15">
      <c r="A2121" s="9">
        <f ca="1">IFERROR(__xludf.DUMMYFUNCTION("""COMPUTED_VALUE"""),267999987)</f>
        <v>267999987</v>
      </c>
      <c r="B2121" s="1" t="str">
        <f ca="1">IFERROR(__xludf.DUMMYFUNCTION("""COMPUTED_VALUE"""),"amargalit01@bvsd.org")</f>
        <v>amargalit01@bvsd.org</v>
      </c>
      <c r="C2121" s="9" t="str">
        <f ca="1">IFERROR(__xludf.DUMMYFUNCTION("""COMPUTED_VALUE"""),"EVERGREEN - UAN Gated Content - Embedded Petition")</f>
        <v>EVERGREEN - UAN Gated Content - Embedded Petition</v>
      </c>
      <c r="D2121" s="10">
        <f ca="1">IFERROR(__xludf.DUMMYFUNCTION("""COMPUTED_VALUE"""),45707)</f>
        <v>45707</v>
      </c>
      <c r="E2121" s="1" t="str">
        <f ca="1">IFERROR(__xludf.DUMMYFUNCTION("""COMPUTED_VALUE"""),"Uganda")</f>
        <v>Uganda</v>
      </c>
      <c r="F2121" s="1" t="str">
        <f ca="1">IFERROR(__xludf.DUMMYFUNCTION("""COMPUTED_VALUE"""),"Second 76.24 Tunisia")</f>
        <v>Second 76.24 Tunisia</v>
      </c>
      <c r="G2121" s="1" t="str">
        <f ca="1">IFERROR(__xludf.DUMMYFUNCTION("""COMPUTED_VALUE"""),"Freedom of Expression, Human Rights Defenders")</f>
        <v>Freedom of Expression, Human Rights Defenders</v>
      </c>
      <c r="H2121" s="1" t="str">
        <f ca="1">IFERROR(__xludf.DUMMYFUNCTION("""COMPUTED_VALUE"""),"2025")</f>
        <v>2025</v>
      </c>
      <c r="I2121" s="1" t="str">
        <f ca="1">IFERROR(__xludf.DUMMYFUNCTION("""COMPUTED_VALUE"""),"Email")</f>
        <v>Email</v>
      </c>
    </row>
    <row r="2122" spans="1:9" ht="13" x14ac:dyDescent="0.15">
      <c r="A2122" s="9">
        <f ca="1">IFERROR(__xludf.DUMMYFUNCTION("""COMPUTED_VALUE"""),268530320)</f>
        <v>268530320</v>
      </c>
      <c r="B2122" s="1" t="str">
        <f ca="1">IFERROR(__xludf.DUMMYFUNCTION("""COMPUTED_VALUE"""),"cmuldowney@aiusa.org")</f>
        <v>cmuldowney@aiusa.org</v>
      </c>
      <c r="C2122" s="9" t="str">
        <f ca="1">IFERROR(__xludf.DUMMYFUNCTION("""COMPUTED_VALUE"""),"UAN mid-page Lightbox - Step 1 of 4 - Landing Page")</f>
        <v>UAN mid-page Lightbox - Step 1 of 4 - Landing Page</v>
      </c>
      <c r="D2122" s="10">
        <f ca="1">IFERROR(__xludf.DUMMYFUNCTION("""COMPUTED_VALUE"""),45678)</f>
        <v>45678</v>
      </c>
      <c r="E2122" s="1" t="str">
        <f ca="1">IFERROR(__xludf.DUMMYFUNCTION("""COMPUTED_VALUE"""),"Tunisia")</f>
        <v>Tunisia</v>
      </c>
      <c r="F2122" s="1" t="str">
        <f ca="1">IFERROR(__xludf.DUMMYFUNCTION("""COMPUTED_VALUE"""),"4.25 USA")</f>
        <v>4.25 USA</v>
      </c>
      <c r="G2122" s="1" t="str">
        <f ca="1">IFERROR(__xludf.DUMMYFUNCTION("""COMPUTED_VALUE"""),"Individuals At Risk, Refugee and Migrant Rights")</f>
        <v>Individuals At Risk, Refugee and Migrant Rights</v>
      </c>
      <c r="H2122" s="1" t="str">
        <f ca="1">IFERROR(__xludf.DUMMYFUNCTION("""COMPUTED_VALUE"""),"2025")</f>
        <v>2025</v>
      </c>
      <c r="I2122" s="1" t="str">
        <f ca="1">IFERROR(__xludf.DUMMYFUNCTION("""COMPUTED_VALUE"""),"Letter")</f>
        <v>Letter</v>
      </c>
    </row>
    <row r="2123" spans="1:9" ht="13" x14ac:dyDescent="0.15">
      <c r="A2123" s="9">
        <f ca="1">IFERROR(__xludf.DUMMYFUNCTION("""COMPUTED_VALUE"""),268530320)</f>
        <v>268530320</v>
      </c>
      <c r="B2123" s="1" t="str">
        <f ca="1">IFERROR(__xludf.DUMMYFUNCTION("""COMPUTED_VALUE"""),"cmuldowney@aiusa.org")</f>
        <v>cmuldowney@aiusa.org</v>
      </c>
      <c r="C2123" s="9" t="str">
        <f ca="1">IFERROR(__xludf.DUMMYFUNCTION("""COMPUTED_VALUE"""),"UAN mid-page Lightbox - Step 2 of 4 - More personal info fields")</f>
        <v>UAN mid-page Lightbox - Step 2 of 4 - More personal info fields</v>
      </c>
      <c r="D2123" s="10">
        <f ca="1">IFERROR(__xludf.DUMMYFUNCTION("""COMPUTED_VALUE"""),45678)</f>
        <v>45678</v>
      </c>
      <c r="E2123" s="1" t="str">
        <f ca="1">IFERROR(__xludf.DUMMYFUNCTION("""COMPUTED_VALUE"""),"USA")</f>
        <v>USA</v>
      </c>
      <c r="F2123" s="1" t="str">
        <f ca="1">IFERROR(__xludf.DUMMYFUNCTION("""COMPUTED_VALUE"""),"Second 109.24 Türkiye")</f>
        <v>Second 109.24 Türkiye</v>
      </c>
      <c r="G2123" s="1" t="str">
        <f ca="1">IFERROR(__xludf.DUMMYFUNCTION("""COMPUTED_VALUE"""),"Human Rights Defenders")</f>
        <v>Human Rights Defenders</v>
      </c>
      <c r="H2123" s="1" t="str">
        <f ca="1">IFERROR(__xludf.DUMMYFUNCTION("""COMPUTED_VALUE"""),"2025")</f>
        <v>2025</v>
      </c>
      <c r="I2123" s="1" t="str">
        <f ca="1">IFERROR(__xludf.DUMMYFUNCTION("""COMPUTED_VALUE"""),"Email")</f>
        <v>Email</v>
      </c>
    </row>
    <row r="2124" spans="1:9" ht="13" x14ac:dyDescent="0.15">
      <c r="A2124" s="9">
        <f ca="1">IFERROR(__xludf.DUMMYFUNCTION("""COMPUTED_VALUE"""),268530320)</f>
        <v>268530320</v>
      </c>
      <c r="B2124" s="1" t="str">
        <f ca="1">IFERROR(__xludf.DUMMYFUNCTION("""COMPUTED_VALUE"""),"cmuldowney@aiusa.org")</f>
        <v>cmuldowney@aiusa.org</v>
      </c>
      <c r="C2124" s="9" t="str">
        <f ca="1">IFERROR(__xludf.DUMMYFUNCTION("""COMPUTED_VALUE"""),"UAN mid-page Lightbox - Step 3 of 4 - More opt-ins")</f>
        <v>UAN mid-page Lightbox - Step 3 of 4 - More opt-ins</v>
      </c>
      <c r="D2124" s="10">
        <f ca="1">IFERROR(__xludf.DUMMYFUNCTION("""COMPUTED_VALUE"""),45678)</f>
        <v>45678</v>
      </c>
      <c r="E2124" s="1" t="str">
        <f ca="1">IFERROR(__xludf.DUMMYFUNCTION("""COMPUTED_VALUE"""),"Turkiye")</f>
        <v>Turkiye</v>
      </c>
      <c r="F2124" s="1" t="str">
        <f ca="1">IFERROR(__xludf.DUMMYFUNCTION("""COMPUTED_VALUE"""),"Seventh 103.22 Iran")</f>
        <v>Seventh 103.22 Iran</v>
      </c>
      <c r="G2124" s="1" t="str">
        <f ca="1">IFERROR(__xludf.DUMMYFUNCTION("""COMPUTED_VALUE"""),"Death Penalty, Freedom of Expression, Individuals At Risk")</f>
        <v>Death Penalty, Freedom of Expression, Individuals At Risk</v>
      </c>
      <c r="H2124" s="1" t="str">
        <f ca="1">IFERROR(__xludf.DUMMYFUNCTION("""COMPUTED_VALUE"""),"2024")</f>
        <v>2024</v>
      </c>
      <c r="I2124" s="1" t="str">
        <f ca="1">IFERROR(__xludf.DUMMYFUNCTION("""COMPUTED_VALUE"""),"Email")</f>
        <v>Email</v>
      </c>
    </row>
    <row r="2125" spans="1:9" ht="13" x14ac:dyDescent="0.15">
      <c r="A2125" s="9">
        <f ca="1">IFERROR(__xludf.DUMMYFUNCTION("""COMPUTED_VALUE"""),269292860)</f>
        <v>269292860</v>
      </c>
      <c r="B2125" s="1" t="str">
        <f ca="1">IFERROR(__xludf.DUMMYFUNCTION("""COMPUTED_VALUE"""),"casselupe@gmail.com")</f>
        <v>casselupe@gmail.com</v>
      </c>
      <c r="C2125" s="9" t="str">
        <f ca="1">IFERROR(__xludf.DUMMYFUNCTION("""COMPUTED_VALUE"""),"EVERGREEN - UAN Gated Content - Embedded Petition")</f>
        <v>EVERGREEN - UAN Gated Content - Embedded Petition</v>
      </c>
      <c r="D2125" s="10">
        <f ca="1">IFERROR(__xludf.DUMMYFUNCTION("""COMPUTED_VALUE"""),45614)</f>
        <v>45614</v>
      </c>
      <c r="E2125" s="1" t="str">
        <f ca="1">IFERROR(__xludf.DUMMYFUNCTION("""COMPUTED_VALUE"""),"Iran")</f>
        <v>Iran</v>
      </c>
      <c r="F2125" s="1" t="str">
        <f ca="1">IFERROR(__xludf.DUMMYFUNCTION("""COMPUTED_VALUE"""),"Third 73.23 Egypt")</f>
        <v>Third 73.23 Egypt</v>
      </c>
      <c r="G2125" s="1" t="str">
        <f ca="1">IFERROR(__xludf.DUMMYFUNCTION("""COMPUTED_VALUE"""),"Individuals At Risk")</f>
        <v>Individuals At Risk</v>
      </c>
      <c r="H2125" s="1" t="str">
        <f ca="1">IFERROR(__xludf.DUMMYFUNCTION("""COMPUTED_VALUE"""),"2024")</f>
        <v>2024</v>
      </c>
      <c r="I2125" s="1" t="str">
        <f ca="1">IFERROR(__xludf.DUMMYFUNCTION("""COMPUTED_VALUE"""),"Email")</f>
        <v>Email</v>
      </c>
    </row>
    <row r="2126" spans="1:9" ht="13" x14ac:dyDescent="0.15">
      <c r="A2126" s="9">
        <f ca="1">IFERROR(__xludf.DUMMYFUNCTION("""COMPUTED_VALUE"""),269292860)</f>
        <v>269292860</v>
      </c>
      <c r="B2126" s="1" t="str">
        <f ca="1">IFERROR(__xludf.DUMMYFUNCTION("""COMPUTED_VALUE"""),"casselupe@gmail.com")</f>
        <v>casselupe@gmail.com</v>
      </c>
      <c r="C2126" s="9" t="str">
        <f ca="1">IFERROR(__xludf.DUMMYFUNCTION("""COMPUTED_VALUE"""),"EVERGREEN - UAN Gated Content - Embedded Petition")</f>
        <v>EVERGREEN - UAN Gated Content - Embedded Petition</v>
      </c>
      <c r="D2126" s="10">
        <f ca="1">IFERROR(__xludf.DUMMYFUNCTION("""COMPUTED_VALUE"""),45681)</f>
        <v>45681</v>
      </c>
      <c r="E2126" s="1" t="str">
        <f ca="1">IFERROR(__xludf.DUMMYFUNCTION("""COMPUTED_VALUE"""),"Egypt")</f>
        <v>Egypt</v>
      </c>
      <c r="F2126" s="1" t="str">
        <f ca="1">IFERROR(__xludf.DUMMYFUNCTION("""COMPUTED_VALUE"""),"Fifth 257.12")</f>
        <v>Fifth 257.12</v>
      </c>
      <c r="G2126" s="1" t="str">
        <f ca="1">IFERROR(__xludf.DUMMYFUNCTION("""COMPUTED_VALUE"""),"Freedom of Expression, Human Rights Defenders")</f>
        <v>Freedom of Expression, Human Rights Defenders</v>
      </c>
      <c r="H2126" s="1" t="str">
        <f ca="1">IFERROR(__xludf.DUMMYFUNCTION("""COMPUTED_VALUE"""),"2025")</f>
        <v>2025</v>
      </c>
      <c r="I2126" s="1" t="str">
        <f ca="1">IFERROR(__xludf.DUMMYFUNCTION("""COMPUTED_VALUE"""),"Email")</f>
        <v>Email</v>
      </c>
    </row>
    <row r="2127" spans="1:9" ht="13" x14ac:dyDescent="0.15">
      <c r="A2127" s="9">
        <f ca="1">IFERROR(__xludf.DUMMYFUNCTION("""COMPUTED_VALUE"""),269604702)</f>
        <v>269604702</v>
      </c>
      <c r="B2127" s="1" t="str">
        <f ca="1">IFERROR(__xludf.DUMMYFUNCTION("""COMPUTED_VALUE"""),"mdiaz@bluestate.co")</f>
        <v>mdiaz@bluestate.co</v>
      </c>
      <c r="C2127" s="9" t="str">
        <f ca="1">IFERROR(__xludf.DUMMYFUNCTION("""COMPUTED_VALUE"""),"EVERGREEN - UAN Gated Content - Embedded Petition")</f>
        <v>EVERGREEN - UAN Gated Content - Embedded Petition</v>
      </c>
      <c r="D2127" s="10">
        <f ca="1">IFERROR(__xludf.DUMMYFUNCTION("""COMPUTED_VALUE"""),45614)</f>
        <v>45614</v>
      </c>
      <c r="E2127" s="1" t="str">
        <f ca="1">IFERROR(__xludf.DUMMYFUNCTION("""COMPUTED_VALUE"""),"Saudi Arabia")</f>
        <v>Saudi Arabia</v>
      </c>
      <c r="F2127" s="1" t="str">
        <f ca="1">IFERROR(__xludf.DUMMYFUNCTION("""COMPUTED_VALUE"""),"Second 85.24 Honduras")</f>
        <v>Second 85.24 Honduras</v>
      </c>
      <c r="G2127" s="1" t="str">
        <f ca="1">IFERROR(__xludf.DUMMYFUNCTION("""COMPUTED_VALUE"""),"Climate Justice, Human Rights Defenders, Right to Protest")</f>
        <v>Climate Justice, Human Rights Defenders, Right to Protest</v>
      </c>
      <c r="H2127" s="1" t="str">
        <f ca="1">IFERROR(__xludf.DUMMYFUNCTION("""COMPUTED_VALUE"""),"2024")</f>
        <v>2024</v>
      </c>
      <c r="I2127" s="1" t="str">
        <f ca="1">IFERROR(__xludf.DUMMYFUNCTION("""COMPUTED_VALUE"""),"Email")</f>
        <v>Email</v>
      </c>
    </row>
    <row r="2128" spans="1:9" ht="13" x14ac:dyDescent="0.15">
      <c r="A2128" s="9">
        <f ca="1">IFERROR(__xludf.DUMMYFUNCTION("""COMPUTED_VALUE"""),269604702)</f>
        <v>269604702</v>
      </c>
      <c r="B2128" s="1" t="str">
        <f ca="1">IFERROR(__xludf.DUMMYFUNCTION("""COMPUTED_VALUE"""),"mdiaz@bluestate.co")</f>
        <v>mdiaz@bluestate.co</v>
      </c>
      <c r="C2128" s="9" t="str">
        <f ca="1">IFERROR(__xludf.DUMMYFUNCTION("""COMPUTED_VALUE"""),"EVERGREEN - UAN Gated Content - Embedded Petition")</f>
        <v>EVERGREEN - UAN Gated Content - Embedded Petition</v>
      </c>
      <c r="D2128" s="10">
        <f ca="1">IFERROR(__xludf.DUMMYFUNCTION("""COMPUTED_VALUE"""),45614)</f>
        <v>45614</v>
      </c>
      <c r="E2128" s="1" t="str">
        <f ca="1">IFERROR(__xludf.DUMMYFUNCTION("""COMPUTED_VALUE"""),"Honduras")</f>
        <v>Honduras</v>
      </c>
      <c r="F2128" s="1" t="str">
        <f ca="1">IFERROR(__xludf.DUMMYFUNCTION("""COMPUTED_VALUE"""),"4.25 USA")</f>
        <v>4.25 USA</v>
      </c>
      <c r="G2128" s="1" t="str">
        <f ca="1">IFERROR(__xludf.DUMMYFUNCTION("""COMPUTED_VALUE"""),"Individuals At Risk, Refugee and Migrant Rights")</f>
        <v>Individuals At Risk, Refugee and Migrant Rights</v>
      </c>
      <c r="H2128" s="1" t="str">
        <f ca="1">IFERROR(__xludf.DUMMYFUNCTION("""COMPUTED_VALUE"""),"2025")</f>
        <v>2025</v>
      </c>
      <c r="I2128" s="1" t="str">
        <f ca="1">IFERROR(__xludf.DUMMYFUNCTION("""COMPUTED_VALUE"""),"Letter")</f>
        <v>Letter</v>
      </c>
    </row>
    <row r="2129" spans="1:9" ht="13" x14ac:dyDescent="0.15">
      <c r="A2129" s="9">
        <f ca="1">IFERROR(__xludf.DUMMYFUNCTION("""COMPUTED_VALUE"""),269604702)</f>
        <v>269604702</v>
      </c>
      <c r="B2129" s="1" t="str">
        <f ca="1">IFERROR(__xludf.DUMMYFUNCTION("""COMPUTED_VALUE"""),"mdiaz@bluestate.co")</f>
        <v>mdiaz@bluestate.co</v>
      </c>
      <c r="C2129" s="9" t="str">
        <f ca="1">IFERROR(__xludf.DUMMYFUNCTION("""COMPUTED_VALUE"""),"EVERGREEN - UAN Gated Content - Embedded Petition")</f>
        <v>EVERGREEN - UAN Gated Content - Embedded Petition</v>
      </c>
      <c r="D2129" s="10">
        <f ca="1">IFERROR(__xludf.DUMMYFUNCTION("""COMPUTED_VALUE"""),45680)</f>
        <v>45680</v>
      </c>
      <c r="E2129" s="1" t="str">
        <f ca="1">IFERROR(__xludf.DUMMYFUNCTION("""COMPUTED_VALUE"""),"USA")</f>
        <v>USA</v>
      </c>
      <c r="F2129" s="1" t="str">
        <f ca="1">IFERROR(__xludf.DUMMYFUNCTION("""COMPUTED_VALUE"""),"3.25 IOPT")</f>
        <v>3.25 IOPT</v>
      </c>
      <c r="G2129" s="1" t="str">
        <f ca="1">IFERROR(__xludf.DUMMYFUNCTION("""COMPUTED_VALUE"""),"Freedom of Expression, Individuals At Risk")</f>
        <v>Freedom of Expression, Individuals At Risk</v>
      </c>
      <c r="H2129" s="1" t="str">
        <f ca="1">IFERROR(__xludf.DUMMYFUNCTION("""COMPUTED_VALUE"""),"2025")</f>
        <v>2025</v>
      </c>
      <c r="I2129" s="1" t="str">
        <f ca="1">IFERROR(__xludf.DUMMYFUNCTION("""COMPUTED_VALUE"""),"Email")</f>
        <v>Email</v>
      </c>
    </row>
    <row r="2130" spans="1:9" ht="13" x14ac:dyDescent="0.15">
      <c r="A2130" s="9">
        <f ca="1">IFERROR(__xludf.DUMMYFUNCTION("""COMPUTED_VALUE"""),269604702)</f>
        <v>269604702</v>
      </c>
      <c r="B2130" s="1" t="str">
        <f ca="1">IFERROR(__xludf.DUMMYFUNCTION("""COMPUTED_VALUE"""),"mdiaz@bluestate.co")</f>
        <v>mdiaz@bluestate.co</v>
      </c>
      <c r="C2130" s="9" t="str">
        <f ca="1">IFERROR(__xludf.DUMMYFUNCTION("""COMPUTED_VALUE"""),"EVERGREEN - UAN Gated Content - Embedded Petition")</f>
        <v>EVERGREEN - UAN Gated Content - Embedded Petition</v>
      </c>
      <c r="D2130" s="10">
        <f ca="1">IFERROR(__xludf.DUMMYFUNCTION("""COMPUTED_VALUE"""),45614)</f>
        <v>45614</v>
      </c>
      <c r="E2130" s="1" t="str">
        <f ca="1">IFERROR(__xludf.DUMMYFUNCTION("""COMPUTED_VALUE"""),"Israel and Occupied Palestinian Territories")</f>
        <v>Israel and Occupied Palestinian Territories</v>
      </c>
      <c r="F2130" s="1" t="str">
        <f ca="1">IFERROR(__xludf.DUMMYFUNCTION("""COMPUTED_VALUE"""),"4.25 USA")</f>
        <v>4.25 USA</v>
      </c>
      <c r="G2130" s="1" t="str">
        <f ca="1">IFERROR(__xludf.DUMMYFUNCTION("""COMPUTED_VALUE"""),"Individuals At Risk, Refugee and Migrant Rights")</f>
        <v>Individuals At Risk, Refugee and Migrant Rights</v>
      </c>
      <c r="H2130" s="1" t="str">
        <f ca="1">IFERROR(__xludf.DUMMYFUNCTION("""COMPUTED_VALUE"""),"2025")</f>
        <v>2025</v>
      </c>
      <c r="I2130" s="1" t="str">
        <f ca="1">IFERROR(__xludf.DUMMYFUNCTION("""COMPUTED_VALUE"""),"Letter")</f>
        <v>Letter</v>
      </c>
    </row>
    <row r="2131" spans="1:9" ht="13" x14ac:dyDescent="0.15">
      <c r="A2131" s="9">
        <f ca="1">IFERROR(__xludf.DUMMYFUNCTION("""COMPUTED_VALUE"""),270449197)</f>
        <v>270449197</v>
      </c>
      <c r="B2131" s="1" t="str">
        <f ca="1">IFERROR(__xludf.DUMMYFUNCTION("""COMPUTED_VALUE"""),"michaelhartt@hotmail.com")</f>
        <v>michaelhartt@hotmail.com</v>
      </c>
      <c r="C2131" s="9" t="str">
        <f ca="1">IFERROR(__xludf.DUMMYFUNCTION("""COMPUTED_VALUE"""),"EVERGREEN - UAN Gated Content - Embedded Petition")</f>
        <v>EVERGREEN - UAN Gated Content - Embedded Petition</v>
      </c>
      <c r="D2131" s="10">
        <f ca="1">IFERROR(__xludf.DUMMYFUNCTION("""COMPUTED_VALUE"""),45679)</f>
        <v>45679</v>
      </c>
      <c r="E2131" s="1" t="str">
        <f ca="1">IFERROR(__xludf.DUMMYFUNCTION("""COMPUTED_VALUE"""),"USA")</f>
        <v>USA</v>
      </c>
      <c r="F2131" s="1" t="str">
        <f ca="1">IFERROR(__xludf.DUMMYFUNCTION("""COMPUTED_VALUE"""),"7.25 Afghanistan")</f>
        <v>7.25 Afghanistan</v>
      </c>
      <c r="G2131" s="1" t="str">
        <f ca="1">IFERROR(__xludf.DUMMYFUNCTION("""COMPUTED_VALUE"""),"Freedom of Expression, Individuals At Risk, Women's Rights")</f>
        <v>Freedom of Expression, Individuals At Risk, Women's Rights</v>
      </c>
      <c r="H2131" s="1" t="str">
        <f ca="1">IFERROR(__xludf.DUMMYFUNCTION("""COMPUTED_VALUE"""),"2025")</f>
        <v>2025</v>
      </c>
      <c r="I2131" s="1" t="str">
        <f ca="1">IFERROR(__xludf.DUMMYFUNCTION("""COMPUTED_VALUE"""),"Email")</f>
        <v>Email</v>
      </c>
    </row>
    <row r="2132" spans="1:9" ht="13" x14ac:dyDescent="0.15">
      <c r="A2132" s="9">
        <f ca="1">IFERROR(__xludf.DUMMYFUNCTION("""COMPUTED_VALUE"""),270449197)</f>
        <v>270449197</v>
      </c>
      <c r="B2132" s="1" t="str">
        <f ca="1">IFERROR(__xludf.DUMMYFUNCTION("""COMPUTED_VALUE"""),"michaelhartt@hotmail.com")</f>
        <v>michaelhartt@hotmail.com</v>
      </c>
      <c r="C2132" s="9" t="str">
        <f ca="1">IFERROR(__xludf.DUMMYFUNCTION("""COMPUTED_VALUE"""),"EVERGREEN - UAN Gated Content - Embedded Petition")</f>
        <v>EVERGREEN - UAN Gated Content - Embedded Petition</v>
      </c>
      <c r="D2132" s="10">
        <f ca="1">IFERROR(__xludf.DUMMYFUNCTION("""COMPUTED_VALUE"""),45683)</f>
        <v>45683</v>
      </c>
      <c r="E2132" s="1" t="str">
        <f ca="1">IFERROR(__xludf.DUMMYFUNCTION("""COMPUTED_VALUE"""),"Afghanistan")</f>
        <v>Afghanistan</v>
      </c>
      <c r="F2132" s="1" t="str">
        <f ca="1">IFERROR(__xludf.DUMMYFUNCTION("""COMPUTED_VALUE"""),"88.24 Dominican Republic")</f>
        <v>88.24 Dominican Republic</v>
      </c>
      <c r="G2132" s="1" t="str">
        <f ca="1">IFERROR(__xludf.DUMMYFUNCTION("""COMPUTED_VALUE"""),"Individuals At Risk, Refugee and Migrant Rights")</f>
        <v>Individuals At Risk, Refugee and Migrant Rights</v>
      </c>
      <c r="H2132" s="1" t="str">
        <f ca="1">IFERROR(__xludf.DUMMYFUNCTION("""COMPUTED_VALUE"""),"2024")</f>
        <v>2024</v>
      </c>
      <c r="I2132" s="1" t="str">
        <f ca="1">IFERROR(__xludf.DUMMYFUNCTION("""COMPUTED_VALUE"""),"Letter")</f>
        <v>Letter</v>
      </c>
    </row>
    <row r="2133" spans="1:9" ht="13" x14ac:dyDescent="0.15">
      <c r="A2133" s="9">
        <f ca="1">IFERROR(__xludf.DUMMYFUNCTION("""COMPUTED_VALUE"""),270449197)</f>
        <v>270449197</v>
      </c>
      <c r="B2133" s="1" t="str">
        <f ca="1">IFERROR(__xludf.DUMMYFUNCTION("""COMPUTED_VALUE"""),"michaelhartt@hotmail.com")</f>
        <v>michaelhartt@hotmail.com</v>
      </c>
      <c r="C2133" s="9" t="str">
        <f ca="1">IFERROR(__xludf.DUMMYFUNCTION("""COMPUTED_VALUE"""),"EVERGREEN - UAN Gated Content - Embedded Petition")</f>
        <v>EVERGREEN - UAN Gated Content - Embedded Petition</v>
      </c>
      <c r="D2133" s="10">
        <f ca="1">IFERROR(__xludf.DUMMYFUNCTION("""COMPUTED_VALUE"""),45644)</f>
        <v>45644</v>
      </c>
      <c r="E2133" s="1" t="str">
        <f ca="1">IFERROR(__xludf.DUMMYFUNCTION("""COMPUTED_VALUE"""),"Dominican Republic")</f>
        <v>Dominican Republic</v>
      </c>
      <c r="F2133" s="1" t="str">
        <f ca="1">IFERROR(__xludf.DUMMYFUNCTION("""COMPUTED_VALUE"""),"96.24 USA")</f>
        <v>96.24 USA</v>
      </c>
      <c r="G2133" s="1" t="str">
        <f ca="1">IFERROR(__xludf.DUMMYFUNCTION("""COMPUTED_VALUE"""),"Death Penalty")</f>
        <v>Death Penalty</v>
      </c>
      <c r="H2133" s="1" t="str">
        <f ca="1">IFERROR(__xludf.DUMMYFUNCTION("""COMPUTED_VALUE"""),"2024")</f>
        <v>2024</v>
      </c>
      <c r="I2133" s="1" t="str">
        <f ca="1">IFERROR(__xludf.DUMMYFUNCTION("""COMPUTED_VALUE"""),"Email")</f>
        <v>Email</v>
      </c>
    </row>
    <row r="2134" spans="1:9" ht="13" x14ac:dyDescent="0.15">
      <c r="A2134" s="9">
        <f ca="1">IFERROR(__xludf.DUMMYFUNCTION("""COMPUTED_VALUE"""),270449197)</f>
        <v>270449197</v>
      </c>
      <c r="B2134" s="1" t="str">
        <f ca="1">IFERROR(__xludf.DUMMYFUNCTION("""COMPUTED_VALUE"""),"michaelhartt@hotmail.com")</f>
        <v>michaelhartt@hotmail.com</v>
      </c>
      <c r="C2134" s="9" t="str">
        <f ca="1">IFERROR(__xludf.DUMMYFUNCTION("""COMPUTED_VALUE"""),"EVERGREEN - UAN Gated Content - Embedded Petition")</f>
        <v>EVERGREEN - UAN Gated Content - Embedded Petition</v>
      </c>
      <c r="D2134" s="10">
        <f ca="1">IFERROR(__xludf.DUMMYFUNCTION("""COMPUTED_VALUE"""),45644)</f>
        <v>45644</v>
      </c>
      <c r="E2134" s="1" t="str">
        <f ca="1">IFERROR(__xludf.DUMMYFUNCTION("""COMPUTED_VALUE"""),"USA")</f>
        <v>USA</v>
      </c>
      <c r="F2134" s="1" t="str">
        <f ca="1">IFERROR(__xludf.DUMMYFUNCTION("""COMPUTED_VALUE"""),"96.24 USA")</f>
        <v>96.24 USA</v>
      </c>
      <c r="G2134" s="1" t="str">
        <f ca="1">IFERROR(__xludf.DUMMYFUNCTION("""COMPUTED_VALUE"""),"Death Penalty")</f>
        <v>Death Penalty</v>
      </c>
      <c r="H2134" s="1" t="str">
        <f ca="1">IFERROR(__xludf.DUMMYFUNCTION("""COMPUTED_VALUE"""),"2024")</f>
        <v>2024</v>
      </c>
      <c r="I2134" s="1" t="str">
        <f ca="1">IFERROR(__xludf.DUMMYFUNCTION("""COMPUTED_VALUE"""),"Email")</f>
        <v>Email</v>
      </c>
    </row>
    <row r="2135" spans="1:9" ht="13" x14ac:dyDescent="0.15">
      <c r="A2135" s="9">
        <f ca="1">IFERROR(__xludf.DUMMYFUNCTION("""COMPUTED_VALUE"""),270557219)</f>
        <v>270557219</v>
      </c>
      <c r="B2135" s="1" t="str">
        <f ca="1">IFERROR(__xludf.DUMMYFUNCTION("""COMPUTED_VALUE"""),"eileen.ridge@gmail.com")</f>
        <v>eileen.ridge@gmail.com</v>
      </c>
      <c r="C2135" s="9" t="str">
        <f ca="1">IFERROR(__xludf.DUMMYFUNCTION("""COMPUTED_VALUE"""),"EVERGREEN - UAN Gated Content - Embedded Petition")</f>
        <v>EVERGREEN - UAN Gated Content - Embedded Petition</v>
      </c>
      <c r="D2135" s="10">
        <f ca="1">IFERROR(__xludf.DUMMYFUNCTION("""COMPUTED_VALUE"""),45673)</f>
        <v>45673</v>
      </c>
      <c r="E2135" s="1" t="str">
        <f ca="1">IFERROR(__xludf.DUMMYFUNCTION("""COMPUTED_VALUE"""),"USA")</f>
        <v>USA</v>
      </c>
      <c r="F2135" s="1" t="str">
        <f ca="1">IFERROR(__xludf.DUMMYFUNCTION("""COMPUTED_VALUE"""),"88.24 Dominican Republic")</f>
        <v>88.24 Dominican Republic</v>
      </c>
      <c r="G2135" s="1" t="str">
        <f ca="1">IFERROR(__xludf.DUMMYFUNCTION("""COMPUTED_VALUE"""),"Individuals At Risk, Refugee and Migrant Rights")</f>
        <v>Individuals At Risk, Refugee and Migrant Rights</v>
      </c>
      <c r="H2135" s="1" t="str">
        <f ca="1">IFERROR(__xludf.DUMMYFUNCTION("""COMPUTED_VALUE"""),"2024")</f>
        <v>2024</v>
      </c>
      <c r="I2135" s="1" t="str">
        <f ca="1">IFERROR(__xludf.DUMMYFUNCTION("""COMPUTED_VALUE"""),"Letter")</f>
        <v>Letter</v>
      </c>
    </row>
    <row r="2136" spans="1:9" ht="13" x14ac:dyDescent="0.15">
      <c r="A2136" s="9">
        <f ca="1">IFERROR(__xludf.DUMMYFUNCTION("""COMPUTED_VALUE"""),270559112)</f>
        <v>270559112</v>
      </c>
      <c r="B2136" s="1" t="str">
        <f ca="1">IFERROR(__xludf.DUMMYFUNCTION("""COMPUTED_VALUE"""),"amnesty.6lmhe@passfwd.com")</f>
        <v>amnesty.6lmhe@passfwd.com</v>
      </c>
      <c r="C2136" s="9" t="str">
        <f ca="1">IFERROR(__xludf.DUMMYFUNCTION("""COMPUTED_VALUE"""),"EVERGREEN - UAN Gated Content - Embedded Petition")</f>
        <v>EVERGREEN - UAN Gated Content - Embedded Petition</v>
      </c>
      <c r="D2136" s="10">
        <f ca="1">IFERROR(__xludf.DUMMYFUNCTION("""COMPUTED_VALUE"""),45695)</f>
        <v>45695</v>
      </c>
      <c r="E2136" s="1" t="str">
        <f ca="1">IFERROR(__xludf.DUMMYFUNCTION("""COMPUTED_VALUE"""),"Dominican Republic")</f>
        <v>Dominican Republic</v>
      </c>
      <c r="F2136" s="1" t="str">
        <f ca="1">IFERROR(__xludf.DUMMYFUNCTION("""COMPUTED_VALUE"""),"96.24 USA")</f>
        <v>96.24 USA</v>
      </c>
      <c r="G2136" s="1" t="str">
        <f ca="1">IFERROR(__xludf.DUMMYFUNCTION("""COMPUTED_VALUE"""),"Death Penalty")</f>
        <v>Death Penalty</v>
      </c>
      <c r="H2136" s="1" t="str">
        <f ca="1">IFERROR(__xludf.DUMMYFUNCTION("""COMPUTED_VALUE"""),"2024")</f>
        <v>2024</v>
      </c>
      <c r="I2136" s="1" t="str">
        <f ca="1">IFERROR(__xludf.DUMMYFUNCTION("""COMPUTED_VALUE"""),"Email")</f>
        <v>Email</v>
      </c>
    </row>
    <row r="2137" spans="1:9" ht="13" x14ac:dyDescent="0.15">
      <c r="A2137" s="9">
        <f ca="1">IFERROR(__xludf.DUMMYFUNCTION("""COMPUTED_VALUE"""),270755311)</f>
        <v>270755311</v>
      </c>
      <c r="B2137" s="1" t="str">
        <f ca="1">IFERROR(__xludf.DUMMYFUNCTION("""COMPUTED_VALUE"""),"bryan.casler@gmail.com")</f>
        <v>bryan.casler@gmail.com</v>
      </c>
      <c r="C2137" s="9" t="str">
        <f ca="1">IFERROR(__xludf.DUMMYFUNCTION("""COMPUTED_VALUE"""),"UAN mid-page Lightbox - Step 1 of 4 - Landing Page")</f>
        <v>UAN mid-page Lightbox - Step 1 of 4 - Landing Page</v>
      </c>
      <c r="D2137" s="10">
        <f ca="1">IFERROR(__xludf.DUMMYFUNCTION("""COMPUTED_VALUE"""),45561)</f>
        <v>45561</v>
      </c>
      <c r="E2137" s="1" t="str">
        <f ca="1">IFERROR(__xludf.DUMMYFUNCTION("""COMPUTED_VALUE"""),"USA")</f>
        <v>USA</v>
      </c>
      <c r="F2137" s="1" t="str">
        <f ca="1">IFERROR(__xludf.DUMMYFUNCTION("""COMPUTED_VALUE"""),"88.24 Dominican Republic")</f>
        <v>88.24 Dominican Republic</v>
      </c>
      <c r="G2137" s="1" t="str">
        <f ca="1">IFERROR(__xludf.DUMMYFUNCTION("""COMPUTED_VALUE"""),"Individuals At Risk, Refugee and Migrant Rights")</f>
        <v>Individuals At Risk, Refugee and Migrant Rights</v>
      </c>
      <c r="H2137" s="1" t="str">
        <f ca="1">IFERROR(__xludf.DUMMYFUNCTION("""COMPUTED_VALUE"""),"2024")</f>
        <v>2024</v>
      </c>
      <c r="I2137" s="1" t="str">
        <f ca="1">IFERROR(__xludf.DUMMYFUNCTION("""COMPUTED_VALUE"""),"Letter")</f>
        <v>Letter</v>
      </c>
    </row>
    <row r="2138" spans="1:9" ht="13" x14ac:dyDescent="0.15">
      <c r="A2138" s="9">
        <f ca="1">IFERROR(__xludf.DUMMYFUNCTION("""COMPUTED_VALUE"""),270755311)</f>
        <v>270755311</v>
      </c>
      <c r="B2138" s="1" t="str">
        <f ca="1">IFERROR(__xludf.DUMMYFUNCTION("""COMPUTED_VALUE"""),"bryan.casler@gmail.com")</f>
        <v>bryan.casler@gmail.com</v>
      </c>
      <c r="C2138" s="9" t="str">
        <f ca="1">IFERROR(__xludf.DUMMYFUNCTION("""COMPUTED_VALUE"""),"UAN mid-page Lightbox - Step 1 of 4 - Landing Page")</f>
        <v>UAN mid-page Lightbox - Step 1 of 4 - Landing Page</v>
      </c>
      <c r="D2138" s="10">
        <f ca="1">IFERROR(__xludf.DUMMYFUNCTION("""COMPUTED_VALUE"""),45561)</f>
        <v>45561</v>
      </c>
      <c r="E2138" s="1" t="str">
        <f ca="1">IFERROR(__xludf.DUMMYFUNCTION("""COMPUTED_VALUE"""),"Dominican Republic")</f>
        <v>Dominican Republic</v>
      </c>
      <c r="F2138" s="1" t="str">
        <f ca="1">IFERROR(__xludf.DUMMYFUNCTION("""COMPUTED_VALUE"""),"Second 85.23 Saudi Arabia")</f>
        <v>Second 85.23 Saudi Arabia</v>
      </c>
      <c r="G2138" s="1" t="str">
        <f ca="1">IFERROR(__xludf.DUMMYFUNCTION("""COMPUTED_VALUE"""),"Freedom of Expression")</f>
        <v>Freedom of Expression</v>
      </c>
      <c r="H2138" s="1" t="str">
        <f ca="1">IFERROR(__xludf.DUMMYFUNCTION("""COMPUTED_VALUE"""),"2024")</f>
        <v>2024</v>
      </c>
      <c r="I2138" s="1" t="str">
        <f ca="1">IFERROR(__xludf.DUMMYFUNCTION("""COMPUTED_VALUE"""),"Letter")</f>
        <v>Letter</v>
      </c>
    </row>
    <row r="2139" spans="1:9" ht="13" x14ac:dyDescent="0.15">
      <c r="A2139" s="9">
        <f ca="1">IFERROR(__xludf.DUMMYFUNCTION("""COMPUTED_VALUE"""),270755311)</f>
        <v>270755311</v>
      </c>
      <c r="B2139" s="1" t="str">
        <f ca="1">IFERROR(__xludf.DUMMYFUNCTION("""COMPUTED_VALUE"""),"bryan.casler@gmail.com")</f>
        <v>bryan.casler@gmail.com</v>
      </c>
      <c r="C2139" s="9" t="str">
        <f ca="1">IFERROR(__xludf.DUMMYFUNCTION("""COMPUTED_VALUE"""),"UAN mid-page Lightbox - Step 1 of 4 - Landing Page")</f>
        <v>UAN mid-page Lightbox - Step 1 of 4 - Landing Page</v>
      </c>
      <c r="D2139" s="10">
        <f ca="1">IFERROR(__xludf.DUMMYFUNCTION("""COMPUTED_VALUE"""),45561)</f>
        <v>45561</v>
      </c>
      <c r="E2139" s="1" t="str">
        <f ca="1">IFERROR(__xludf.DUMMYFUNCTION("""COMPUTED_VALUE"""),"Saudi Arabia")</f>
        <v>Saudi Arabia</v>
      </c>
      <c r="F2139" s="1" t="str">
        <f ca="1">IFERROR(__xludf.DUMMYFUNCTION("""COMPUTED_VALUE"""),"88.24 Dominican Republic")</f>
        <v>88.24 Dominican Republic</v>
      </c>
      <c r="G2139" s="1" t="str">
        <f ca="1">IFERROR(__xludf.DUMMYFUNCTION("""COMPUTED_VALUE"""),"Individuals At Risk, Refugee and Migrant Rights")</f>
        <v>Individuals At Risk, Refugee and Migrant Rights</v>
      </c>
      <c r="H2139" s="1" t="str">
        <f ca="1">IFERROR(__xludf.DUMMYFUNCTION("""COMPUTED_VALUE"""),"2024")</f>
        <v>2024</v>
      </c>
      <c r="I2139" s="1" t="str">
        <f ca="1">IFERROR(__xludf.DUMMYFUNCTION("""COMPUTED_VALUE"""),"Letter")</f>
        <v>Letter</v>
      </c>
    </row>
    <row r="2140" spans="1:9" ht="13" x14ac:dyDescent="0.15">
      <c r="A2140" s="9">
        <f ca="1">IFERROR(__xludf.DUMMYFUNCTION("""COMPUTED_VALUE"""),270755311)</f>
        <v>270755311</v>
      </c>
      <c r="B2140" s="1" t="str">
        <f ca="1">IFERROR(__xludf.DUMMYFUNCTION("""COMPUTED_VALUE"""),"bryan.casler@gmail.com")</f>
        <v>bryan.casler@gmail.com</v>
      </c>
      <c r="C2140" s="9" t="str">
        <f ca="1">IFERROR(__xludf.DUMMYFUNCTION("""COMPUTED_VALUE"""),"UAN mid-page Lightbox - Step 1 of 4 - Landing Page")</f>
        <v>UAN mid-page Lightbox - Step 1 of 4 - Landing Page</v>
      </c>
      <c r="D2140" s="10">
        <f ca="1">IFERROR(__xludf.DUMMYFUNCTION("""COMPUTED_VALUE"""),45708)</f>
        <v>45708</v>
      </c>
      <c r="E2140" s="1" t="str">
        <f ca="1">IFERROR(__xludf.DUMMYFUNCTION("""COMPUTED_VALUE"""),"Dominican Republic")</f>
        <v>Dominican Republic</v>
      </c>
      <c r="F2140" s="1" t="str">
        <f ca="1">IFERROR(__xludf.DUMMYFUNCTION("""COMPUTED_VALUE"""),"3.25 IOPT")</f>
        <v>3.25 IOPT</v>
      </c>
      <c r="G2140" s="1" t="str">
        <f ca="1">IFERROR(__xludf.DUMMYFUNCTION("""COMPUTED_VALUE"""),"Freedom of Expression, Individuals At Risk")</f>
        <v>Freedom of Expression, Individuals At Risk</v>
      </c>
      <c r="H2140" s="1" t="str">
        <f ca="1">IFERROR(__xludf.DUMMYFUNCTION("""COMPUTED_VALUE"""),"2025")</f>
        <v>2025</v>
      </c>
      <c r="I2140" s="1" t="str">
        <f ca="1">IFERROR(__xludf.DUMMYFUNCTION("""COMPUTED_VALUE"""),"Email")</f>
        <v>Email</v>
      </c>
    </row>
    <row r="2141" spans="1:9" ht="13" x14ac:dyDescent="0.15">
      <c r="A2141" s="9">
        <f ca="1">IFERROR(__xludf.DUMMYFUNCTION("""COMPUTED_VALUE"""),270755311)</f>
        <v>270755311</v>
      </c>
      <c r="B2141" s="1" t="str">
        <f ca="1">IFERROR(__xludf.DUMMYFUNCTION("""COMPUTED_VALUE"""),"bryan.casler@gmail.com")</f>
        <v>bryan.casler@gmail.com</v>
      </c>
      <c r="C2141" s="9" t="str">
        <f ca="1">IFERROR(__xludf.DUMMYFUNCTION("""COMPUTED_VALUE"""),"UAN mid-page Lightbox - Step 1 of 4 - Landing Page")</f>
        <v>UAN mid-page Lightbox - Step 1 of 4 - Landing Page</v>
      </c>
      <c r="D2141" s="10">
        <f ca="1">IFERROR(__xludf.DUMMYFUNCTION("""COMPUTED_VALUE"""),45561)</f>
        <v>45561</v>
      </c>
      <c r="E2141" s="1" t="str">
        <f ca="1">IFERROR(__xludf.DUMMYFUNCTION("""COMPUTED_VALUE"""),"Israel and Occupied Palestinian Territories")</f>
        <v>Israel and Occupied Palestinian Territories</v>
      </c>
      <c r="F2141" s="1" t="str">
        <f ca="1">IFERROR(__xludf.DUMMYFUNCTION("""COMPUTED_VALUE"""),"88.24 Dominican Republic")</f>
        <v>88.24 Dominican Republic</v>
      </c>
      <c r="G2141" s="1" t="str">
        <f ca="1">IFERROR(__xludf.DUMMYFUNCTION("""COMPUTED_VALUE"""),"Individuals At Risk, Refugee and Migrant Rights")</f>
        <v>Individuals At Risk, Refugee and Migrant Rights</v>
      </c>
      <c r="H2141" s="1" t="str">
        <f ca="1">IFERROR(__xludf.DUMMYFUNCTION("""COMPUTED_VALUE"""),"2024")</f>
        <v>2024</v>
      </c>
      <c r="I2141" s="1" t="str">
        <f ca="1">IFERROR(__xludf.DUMMYFUNCTION("""COMPUTED_VALUE"""),"Letter")</f>
        <v>Letter</v>
      </c>
    </row>
    <row r="2142" spans="1:9" ht="13" x14ac:dyDescent="0.15">
      <c r="A2142" s="9">
        <f ca="1">IFERROR(__xludf.DUMMYFUNCTION("""COMPUTED_VALUE"""),270755311)</f>
        <v>270755311</v>
      </c>
      <c r="B2142" s="1" t="str">
        <f ca="1">IFERROR(__xludf.DUMMYFUNCTION("""COMPUTED_VALUE"""),"bryan.casler@gmail.com")</f>
        <v>bryan.casler@gmail.com</v>
      </c>
      <c r="C2142" s="9" t="str">
        <f ca="1">IFERROR(__xludf.DUMMYFUNCTION("""COMPUTED_VALUE"""),"UAN mid-page Lightbox - Step 2 of 4 - More personal info fields")</f>
        <v>UAN mid-page Lightbox - Step 2 of 4 - More personal info fields</v>
      </c>
      <c r="D2142" s="10">
        <f ca="1">IFERROR(__xludf.DUMMYFUNCTION("""COMPUTED_VALUE"""),45561)</f>
        <v>45561</v>
      </c>
      <c r="E2142" s="1" t="str">
        <f ca="1">IFERROR(__xludf.DUMMYFUNCTION("""COMPUTED_VALUE"""),"Dominican Republic")</f>
        <v>Dominican Republic</v>
      </c>
      <c r="F2142" s="1" t="str">
        <f ca="1">IFERROR(__xludf.DUMMYFUNCTION("""COMPUTED_VALUE"""),"88.24 Dominican Republic")</f>
        <v>88.24 Dominican Republic</v>
      </c>
      <c r="G2142" s="1" t="str">
        <f ca="1">IFERROR(__xludf.DUMMYFUNCTION("""COMPUTED_VALUE"""),"Individuals At Risk, Refugee and Migrant Rights")</f>
        <v>Individuals At Risk, Refugee and Migrant Rights</v>
      </c>
      <c r="H2142" s="1" t="str">
        <f ca="1">IFERROR(__xludf.DUMMYFUNCTION("""COMPUTED_VALUE"""),"2024")</f>
        <v>2024</v>
      </c>
      <c r="I2142" s="1" t="str">
        <f ca="1">IFERROR(__xludf.DUMMYFUNCTION("""COMPUTED_VALUE"""),"Letter")</f>
        <v>Letter</v>
      </c>
    </row>
    <row r="2143" spans="1:9" ht="13" x14ac:dyDescent="0.15">
      <c r="A2143" s="9">
        <f ca="1">IFERROR(__xludf.DUMMYFUNCTION("""COMPUTED_VALUE"""),270755311)</f>
        <v>270755311</v>
      </c>
      <c r="B2143" s="1" t="str">
        <f ca="1">IFERROR(__xludf.DUMMYFUNCTION("""COMPUTED_VALUE"""),"bryan.casler@gmail.com")</f>
        <v>bryan.casler@gmail.com</v>
      </c>
      <c r="C2143" s="9" t="str">
        <f ca="1">IFERROR(__xludf.DUMMYFUNCTION("""COMPUTED_VALUE"""),"UAN mid-page Lightbox - Step 3 of 4 - More opt-ins")</f>
        <v>UAN mid-page Lightbox - Step 3 of 4 - More opt-ins</v>
      </c>
      <c r="D2143" s="10">
        <f ca="1">IFERROR(__xludf.DUMMYFUNCTION("""COMPUTED_VALUE"""),45561)</f>
        <v>45561</v>
      </c>
      <c r="E2143" s="1" t="str">
        <f ca="1">IFERROR(__xludf.DUMMYFUNCTION("""COMPUTED_VALUE"""),"Dominican Republic")</f>
        <v>Dominican Republic</v>
      </c>
      <c r="F2143" s="1" t="str">
        <f ca="1">IFERROR(__xludf.DUMMYFUNCTION("""COMPUTED_VALUE"""),"3.25 IOPT")</f>
        <v>3.25 IOPT</v>
      </c>
      <c r="G2143" s="1" t="str">
        <f ca="1">IFERROR(__xludf.DUMMYFUNCTION("""COMPUTED_VALUE"""),"Freedom of Expression, Individuals At Risk")</f>
        <v>Freedom of Expression, Individuals At Risk</v>
      </c>
      <c r="H2143" s="1" t="str">
        <f ca="1">IFERROR(__xludf.DUMMYFUNCTION("""COMPUTED_VALUE"""),"2025")</f>
        <v>2025</v>
      </c>
      <c r="I2143" s="1" t="str">
        <f ca="1">IFERROR(__xludf.DUMMYFUNCTION("""COMPUTED_VALUE"""),"Email")</f>
        <v>Email</v>
      </c>
    </row>
    <row r="2144" spans="1:9" ht="13" x14ac:dyDescent="0.15">
      <c r="A2144" s="9">
        <f ca="1">IFERROR(__xludf.DUMMYFUNCTION("""COMPUTED_VALUE"""),271055544)</f>
        <v>271055544</v>
      </c>
      <c r="B2144" s="1" t="str">
        <f ca="1">IFERROR(__xludf.DUMMYFUNCTION("""COMPUTED_VALUE"""),"amnestyinternational519@gmail.com")</f>
        <v>amnestyinternational519@gmail.com</v>
      </c>
      <c r="C2144" s="9" t="str">
        <f ca="1">IFERROR(__xludf.DUMMYFUNCTION("""COMPUTED_VALUE"""),"EVERGREEN - UAN Gated Content - Embedded Petition")</f>
        <v>EVERGREEN - UAN Gated Content - Embedded Petition</v>
      </c>
      <c r="D2144" s="10">
        <f ca="1">IFERROR(__xludf.DUMMYFUNCTION("""COMPUTED_VALUE"""),45682)</f>
        <v>45682</v>
      </c>
      <c r="E2144" s="1" t="str">
        <f ca="1">IFERROR(__xludf.DUMMYFUNCTION("""COMPUTED_VALUE"""),"Israel and Occupied Palestinian Territories")</f>
        <v>Israel and Occupied Palestinian Territories</v>
      </c>
      <c r="F2144" s="1" t="str">
        <f ca="1">IFERROR(__xludf.DUMMYFUNCTION("""COMPUTED_VALUE"""),"1.25 Venezuela")</f>
        <v>1.25 Venezuela</v>
      </c>
      <c r="G2144" s="1" t="str">
        <f ca="1">IFERROR(__xludf.DUMMYFUNCTION("""COMPUTED_VALUE"""),"Human Rights Defenders, Individuals At Risk")</f>
        <v>Human Rights Defenders, Individuals At Risk</v>
      </c>
      <c r="H2144" s="1" t="str">
        <f ca="1">IFERROR(__xludf.DUMMYFUNCTION("""COMPUTED_VALUE"""),"2025")</f>
        <v>2025</v>
      </c>
      <c r="I2144" s="1" t="str">
        <f ca="1">IFERROR(__xludf.DUMMYFUNCTION("""COMPUTED_VALUE"""),"Letter")</f>
        <v>Letter</v>
      </c>
    </row>
    <row r="2145" spans="1:9" ht="13" x14ac:dyDescent="0.15">
      <c r="A2145" s="9">
        <f ca="1">IFERROR(__xludf.DUMMYFUNCTION("""COMPUTED_VALUE"""),271110070)</f>
        <v>271110070</v>
      </c>
      <c r="B2145" s="1" t="str">
        <f ca="1">IFERROR(__xludf.DUMMYFUNCTION("""COMPUTED_VALUE"""),"w-schramm@chello.at")</f>
        <v>w-schramm@chello.at</v>
      </c>
      <c r="C2145" s="9" t="str">
        <f ca="1">IFERROR(__xludf.DUMMYFUNCTION("""COMPUTED_VALUE"""),"EVERGREEN - UAN Gated Content - Embedded Petition")</f>
        <v>EVERGREEN - UAN Gated Content - Embedded Petition</v>
      </c>
      <c r="D2145" s="10">
        <f ca="1">IFERROR(__xludf.DUMMYFUNCTION("""COMPUTED_VALUE"""),45696)</f>
        <v>45696</v>
      </c>
      <c r="E2145" s="1" t="str">
        <f ca="1">IFERROR(__xludf.DUMMYFUNCTION("""COMPUTED_VALUE"""),"Venezuela")</f>
        <v>Venezuela</v>
      </c>
      <c r="F2145" s="1" t="str">
        <f ca="1">IFERROR(__xludf.DUMMYFUNCTION("""COMPUTED_VALUE"""),"Fourth 55.24 USA")</f>
        <v>Fourth 55.24 USA</v>
      </c>
      <c r="G2145" s="1" t="str">
        <f ca="1">IFERROR(__xludf.DUMMYFUNCTION("""COMPUTED_VALUE"""),"Climate Justice, Individuals At Risk")</f>
        <v>Climate Justice, Individuals At Risk</v>
      </c>
      <c r="H2145" s="1" t="str">
        <f ca="1">IFERROR(__xludf.DUMMYFUNCTION("""COMPUTED_VALUE"""),"2025")</f>
        <v>2025</v>
      </c>
      <c r="I2145" s="1" t="str">
        <f ca="1">IFERROR(__xludf.DUMMYFUNCTION("""COMPUTED_VALUE"""),"Email")</f>
        <v>Email</v>
      </c>
    </row>
    <row r="2146" spans="1:9" ht="13" x14ac:dyDescent="0.15">
      <c r="A2146" s="9">
        <f ca="1">IFERROR(__xludf.DUMMYFUNCTION("""COMPUTED_VALUE"""),271110070)</f>
        <v>271110070</v>
      </c>
      <c r="B2146" s="1" t="str">
        <f ca="1">IFERROR(__xludf.DUMMYFUNCTION("""COMPUTED_VALUE"""),"w-schramm@chello.at")</f>
        <v>w-schramm@chello.at</v>
      </c>
      <c r="C2146" s="9" t="str">
        <f ca="1">IFERROR(__xludf.DUMMYFUNCTION("""COMPUTED_VALUE"""),"EVERGREEN - UAN Gated Content - Embedded Petition")</f>
        <v>EVERGREEN - UAN Gated Content - Embedded Petition</v>
      </c>
      <c r="D2146" s="10">
        <f ca="1">IFERROR(__xludf.DUMMYFUNCTION("""COMPUTED_VALUE"""),45626)</f>
        <v>45626</v>
      </c>
      <c r="E2146" s="1" t="str">
        <f ca="1">IFERROR(__xludf.DUMMYFUNCTION("""COMPUTED_VALUE"""),"USA")</f>
        <v>USA</v>
      </c>
      <c r="F2146" s="1" t="str">
        <f ca="1">IFERROR(__xludf.DUMMYFUNCTION("""COMPUTED_VALUE"""),"Second 23.24 Russia")</f>
        <v>Second 23.24 Russia</v>
      </c>
      <c r="G2146" s="1" t="str">
        <f ca="1">IFERROR(__xludf.DUMMYFUNCTION("""COMPUTED_VALUE"""),"Freedom of Expression")</f>
        <v>Freedom of Expression</v>
      </c>
      <c r="H2146" s="1" t="str">
        <f ca="1">IFERROR(__xludf.DUMMYFUNCTION("""COMPUTED_VALUE"""),"2024")</f>
        <v>2024</v>
      </c>
      <c r="I2146" s="1" t="str">
        <f ca="1">IFERROR(__xludf.DUMMYFUNCTION("""COMPUTED_VALUE"""),"Letter")</f>
        <v>Letter</v>
      </c>
    </row>
    <row r="2147" spans="1:9" ht="13" x14ac:dyDescent="0.15">
      <c r="A2147" s="9">
        <f ca="1">IFERROR(__xludf.DUMMYFUNCTION("""COMPUTED_VALUE"""),271110070)</f>
        <v>271110070</v>
      </c>
      <c r="B2147" s="1" t="str">
        <f ca="1">IFERROR(__xludf.DUMMYFUNCTION("""COMPUTED_VALUE"""),"w-schramm@chello.at")</f>
        <v>w-schramm@chello.at</v>
      </c>
      <c r="C2147" s="9" t="str">
        <f ca="1">IFERROR(__xludf.DUMMYFUNCTION("""COMPUTED_VALUE"""),"EVERGREEN - UAN Gated Content - Embedded Petition")</f>
        <v>EVERGREEN - UAN Gated Content - Embedded Petition</v>
      </c>
      <c r="D2147" s="10">
        <f ca="1">IFERROR(__xludf.DUMMYFUNCTION("""COMPUTED_VALUE"""),45626)</f>
        <v>45626</v>
      </c>
      <c r="E2147" s="1" t="str">
        <f ca="1">IFERROR(__xludf.DUMMYFUNCTION("""COMPUTED_VALUE"""),"Russian Federation")</f>
        <v>Russian Federation</v>
      </c>
      <c r="F2147" s="1" t="str">
        <f ca="1">IFERROR(__xludf.DUMMYFUNCTION("""COMPUTED_VALUE"""),"2.25 Azerbaijan")</f>
        <v>2.25 Azerbaijan</v>
      </c>
      <c r="G2147" s="1" t="str">
        <f ca="1">IFERROR(__xludf.DUMMYFUNCTION("""COMPUTED_VALUE"""),"Freedom of Expression, Human Rights Defenders")</f>
        <v>Freedom of Expression, Human Rights Defenders</v>
      </c>
      <c r="H2147" s="1" t="str">
        <f ca="1">IFERROR(__xludf.DUMMYFUNCTION("""COMPUTED_VALUE"""),"2025")</f>
        <v>2025</v>
      </c>
      <c r="I2147" s="1" t="str">
        <f ca="1">IFERROR(__xludf.DUMMYFUNCTION("""COMPUTED_VALUE"""),"Email")</f>
        <v>Email</v>
      </c>
    </row>
    <row r="2148" spans="1:9" ht="13" x14ac:dyDescent="0.15">
      <c r="A2148" s="9">
        <f ca="1">IFERROR(__xludf.DUMMYFUNCTION("""COMPUTED_VALUE"""),271110070)</f>
        <v>271110070</v>
      </c>
      <c r="B2148" s="1" t="str">
        <f ca="1">IFERROR(__xludf.DUMMYFUNCTION("""COMPUTED_VALUE"""),"w-schramm@chello.at")</f>
        <v>w-schramm@chello.at</v>
      </c>
      <c r="C2148" s="9" t="str">
        <f ca="1">IFERROR(__xludf.DUMMYFUNCTION("""COMPUTED_VALUE"""),"EVERGREEN - UAN Gated Content - Embedded Petition")</f>
        <v>EVERGREEN - UAN Gated Content - Embedded Petition</v>
      </c>
      <c r="D2148" s="10">
        <f ca="1">IFERROR(__xludf.DUMMYFUNCTION("""COMPUTED_VALUE"""),45638)</f>
        <v>45638</v>
      </c>
      <c r="E2148" s="1" t="str">
        <f ca="1">IFERROR(__xludf.DUMMYFUNCTION("""COMPUTED_VALUE"""),"Azerbaijan")</f>
        <v>Azerbaijan</v>
      </c>
      <c r="F2148" s="1" t="str">
        <f ca="1">IFERROR(__xludf.DUMMYFUNCTION("""COMPUTED_VALUE"""),"103.24 Niger")</f>
        <v>103.24 Niger</v>
      </c>
      <c r="G2148" s="1" t="str">
        <f ca="1">IFERROR(__xludf.DUMMYFUNCTION("""COMPUTED_VALUE"""),"Freedom of Expression, Human Rights Defenders")</f>
        <v>Freedom of Expression, Human Rights Defenders</v>
      </c>
      <c r="H2148" s="1" t="str">
        <f ca="1">IFERROR(__xludf.DUMMYFUNCTION("""COMPUTED_VALUE"""),"2024")</f>
        <v>2024</v>
      </c>
      <c r="I2148" s="1" t="str">
        <f ca="1">IFERROR(__xludf.DUMMYFUNCTION("""COMPUTED_VALUE"""),"Email")</f>
        <v>Email</v>
      </c>
    </row>
    <row r="2149" spans="1:9" ht="13" x14ac:dyDescent="0.15">
      <c r="A2149" s="9">
        <f ca="1">IFERROR(__xludf.DUMMYFUNCTION("""COMPUTED_VALUE"""),271110070)</f>
        <v>271110070</v>
      </c>
      <c r="B2149" s="1" t="str">
        <f ca="1">IFERROR(__xludf.DUMMYFUNCTION("""COMPUTED_VALUE"""),"w-schramm@chello.at")</f>
        <v>w-schramm@chello.at</v>
      </c>
      <c r="C2149" s="9" t="str">
        <f ca="1">IFERROR(__xludf.DUMMYFUNCTION("""COMPUTED_VALUE"""),"EVERGREEN - UAN Gated Content - Embedded Petition")</f>
        <v>EVERGREEN - UAN Gated Content - Embedded Petition</v>
      </c>
      <c r="D2149" s="10">
        <f ca="1">IFERROR(__xludf.DUMMYFUNCTION("""COMPUTED_VALUE"""),45697)</f>
        <v>45697</v>
      </c>
      <c r="E2149" s="1" t="str">
        <f ca="1">IFERROR(__xludf.DUMMYFUNCTION("""COMPUTED_VALUE"""),"Niger")</f>
        <v>Niger</v>
      </c>
      <c r="F2149" s="1" t="str">
        <f ca="1">IFERROR(__xludf.DUMMYFUNCTION("""COMPUTED_VALUE"""),"98.24 China")</f>
        <v>98.24 China</v>
      </c>
      <c r="G2149" s="1" t="str">
        <f ca="1">IFERROR(__xludf.DUMMYFUNCTION("""COMPUTED_VALUE"""),"Freedom of Expression, Individuals At Risk")</f>
        <v>Freedom of Expression, Individuals At Risk</v>
      </c>
      <c r="H2149" s="1" t="str">
        <f ca="1">IFERROR(__xludf.DUMMYFUNCTION("""COMPUTED_VALUE"""),"2024")</f>
        <v>2024</v>
      </c>
      <c r="I2149" s="1" t="str">
        <f ca="1">IFERROR(__xludf.DUMMYFUNCTION("""COMPUTED_VALUE"""),"Letter")</f>
        <v>Letter</v>
      </c>
    </row>
    <row r="2150" spans="1:9" ht="13" x14ac:dyDescent="0.15">
      <c r="A2150" s="9">
        <f ca="1">IFERROR(__xludf.DUMMYFUNCTION("""COMPUTED_VALUE"""),271110070)</f>
        <v>271110070</v>
      </c>
      <c r="B2150" s="1" t="str">
        <f ca="1">IFERROR(__xludf.DUMMYFUNCTION("""COMPUTED_VALUE"""),"w-schramm@chello.at")</f>
        <v>w-schramm@chello.at</v>
      </c>
      <c r="C2150" s="9" t="str">
        <f ca="1">IFERROR(__xludf.DUMMYFUNCTION("""COMPUTED_VALUE"""),"EVERGREEN - UAN Gated Content - Embedded Petition")</f>
        <v>EVERGREEN - UAN Gated Content - Embedded Petition</v>
      </c>
      <c r="D2150" s="10">
        <f ca="1">IFERROR(__xludf.DUMMYFUNCTION("""COMPUTED_VALUE"""),45697)</f>
        <v>45697</v>
      </c>
      <c r="E2150" s="1" t="str">
        <f ca="1">IFERROR(__xludf.DUMMYFUNCTION("""COMPUTED_VALUE"""),"China")</f>
        <v>China</v>
      </c>
      <c r="F2150" s="1" t="str">
        <f ca="1">IFERROR(__xludf.DUMMYFUNCTION("""COMPUTED_VALUE"""),"4.25 USA")</f>
        <v>4.25 USA</v>
      </c>
      <c r="G2150" s="1" t="str">
        <f ca="1">IFERROR(__xludf.DUMMYFUNCTION("""COMPUTED_VALUE"""),"Individuals At Risk, Refugee and Migrant Rights")</f>
        <v>Individuals At Risk, Refugee and Migrant Rights</v>
      </c>
      <c r="H2150" s="1" t="str">
        <f ca="1">IFERROR(__xludf.DUMMYFUNCTION("""COMPUTED_VALUE"""),"2025")</f>
        <v>2025</v>
      </c>
      <c r="I2150" s="1" t="str">
        <f ca="1">IFERROR(__xludf.DUMMYFUNCTION("""COMPUTED_VALUE"""),"Letter")</f>
        <v>Letter</v>
      </c>
    </row>
    <row r="2151" spans="1:9" ht="13" x14ac:dyDescent="0.15">
      <c r="A2151" s="9">
        <f ca="1">IFERROR(__xludf.DUMMYFUNCTION("""COMPUTED_VALUE"""),271110070)</f>
        <v>271110070</v>
      </c>
      <c r="B2151" s="1" t="str">
        <f ca="1">IFERROR(__xludf.DUMMYFUNCTION("""COMPUTED_VALUE"""),"w-schramm@chello.at")</f>
        <v>w-schramm@chello.at</v>
      </c>
      <c r="C2151" s="9" t="str">
        <f ca="1">IFERROR(__xludf.DUMMYFUNCTION("""COMPUTED_VALUE"""),"EVERGREEN - UAN Gated Content - Embedded Petition")</f>
        <v>EVERGREEN - UAN Gated Content - Embedded Petition</v>
      </c>
      <c r="D2151" s="10">
        <f ca="1">IFERROR(__xludf.DUMMYFUNCTION("""COMPUTED_VALUE"""),45697)</f>
        <v>45697</v>
      </c>
      <c r="E2151" s="1" t="str">
        <f ca="1">IFERROR(__xludf.DUMMYFUNCTION("""COMPUTED_VALUE"""),"USA")</f>
        <v>USA</v>
      </c>
      <c r="F2151" s="1" t="str">
        <f ca="1">IFERROR(__xludf.DUMMYFUNCTION("""COMPUTED_VALUE"""),"Second 85.23 Saudi Arabia")</f>
        <v>Second 85.23 Saudi Arabia</v>
      </c>
      <c r="G2151" s="1" t="str">
        <f ca="1">IFERROR(__xludf.DUMMYFUNCTION("""COMPUTED_VALUE"""),"Freedom of Expression")</f>
        <v>Freedom of Expression</v>
      </c>
      <c r="H2151" s="1" t="str">
        <f ca="1">IFERROR(__xludf.DUMMYFUNCTION("""COMPUTED_VALUE"""),"2024")</f>
        <v>2024</v>
      </c>
      <c r="I2151" s="1" t="str">
        <f ca="1">IFERROR(__xludf.DUMMYFUNCTION("""COMPUTED_VALUE"""),"Letter")</f>
        <v>Letter</v>
      </c>
    </row>
    <row r="2152" spans="1:9" ht="13" x14ac:dyDescent="0.15">
      <c r="A2152" s="9">
        <f ca="1">IFERROR(__xludf.DUMMYFUNCTION("""COMPUTED_VALUE"""),271110070)</f>
        <v>271110070</v>
      </c>
      <c r="B2152" s="1" t="str">
        <f ca="1">IFERROR(__xludf.DUMMYFUNCTION("""COMPUTED_VALUE"""),"w-schramm@chello.at")</f>
        <v>w-schramm@chello.at</v>
      </c>
      <c r="C2152" s="9" t="str">
        <f ca="1">IFERROR(__xludf.DUMMYFUNCTION("""COMPUTED_VALUE"""),"EVERGREEN - UAN Gated Content - Embedded Petition")</f>
        <v>EVERGREEN - UAN Gated Content - Embedded Petition</v>
      </c>
      <c r="D2152" s="10">
        <f ca="1">IFERROR(__xludf.DUMMYFUNCTION("""COMPUTED_VALUE"""),45697)</f>
        <v>45697</v>
      </c>
      <c r="E2152" s="1" t="str">
        <f ca="1">IFERROR(__xludf.DUMMYFUNCTION("""COMPUTED_VALUE"""),"Saudi Arabia")</f>
        <v>Saudi Arabia</v>
      </c>
      <c r="F2152" s="1" t="str">
        <f ca="1">IFERROR(__xludf.DUMMYFUNCTION("""COMPUTED_VALUE"""),"4.25 USA")</f>
        <v>4.25 USA</v>
      </c>
      <c r="G2152" s="1" t="str">
        <f ca="1">IFERROR(__xludf.DUMMYFUNCTION("""COMPUTED_VALUE"""),"Individuals At Risk, Refugee and Migrant Rights")</f>
        <v>Individuals At Risk, Refugee and Migrant Rights</v>
      </c>
      <c r="H2152" s="1" t="str">
        <f ca="1">IFERROR(__xludf.DUMMYFUNCTION("""COMPUTED_VALUE"""),"2025")</f>
        <v>2025</v>
      </c>
      <c r="I2152" s="1" t="str">
        <f ca="1">IFERROR(__xludf.DUMMYFUNCTION("""COMPUTED_VALUE"""),"Letter")</f>
        <v>Letter</v>
      </c>
    </row>
    <row r="2153" spans="1:9" ht="13" x14ac:dyDescent="0.15">
      <c r="A2153" s="9">
        <f ca="1">IFERROR(__xludf.DUMMYFUNCTION("""COMPUTED_VALUE"""),271110070)</f>
        <v>271110070</v>
      </c>
      <c r="B2153" s="1" t="str">
        <f ca="1">IFERROR(__xludf.DUMMYFUNCTION("""COMPUTED_VALUE"""),"w-schramm@chello.at")</f>
        <v>w-schramm@chello.at</v>
      </c>
      <c r="C2153" s="9" t="str">
        <f ca="1">IFERROR(__xludf.DUMMYFUNCTION("""COMPUTED_VALUE"""),"EVERGREEN - UAN Gated Content - Embedded Petition")</f>
        <v>EVERGREEN - UAN Gated Content - Embedded Petition</v>
      </c>
      <c r="D2153" s="10">
        <f ca="1">IFERROR(__xludf.DUMMYFUNCTION("""COMPUTED_VALUE"""),45697)</f>
        <v>45697</v>
      </c>
      <c r="E2153" s="1" t="str">
        <f ca="1">IFERROR(__xludf.DUMMYFUNCTION("""COMPUTED_VALUE"""),"USA")</f>
        <v>USA</v>
      </c>
      <c r="F2153" s="1" t="str">
        <f ca="1">IFERROR(__xludf.DUMMYFUNCTION("""COMPUTED_VALUE"""),"Second 76.24 Tunisia")</f>
        <v>Second 76.24 Tunisia</v>
      </c>
      <c r="G2153" s="1" t="str">
        <f ca="1">IFERROR(__xludf.DUMMYFUNCTION("""COMPUTED_VALUE"""),"Freedom of Expression, Human Rights Defenders")</f>
        <v>Freedom of Expression, Human Rights Defenders</v>
      </c>
      <c r="H2153" s="1" t="str">
        <f ca="1">IFERROR(__xludf.DUMMYFUNCTION("""COMPUTED_VALUE"""),"2025")</f>
        <v>2025</v>
      </c>
      <c r="I2153" s="1" t="str">
        <f ca="1">IFERROR(__xludf.DUMMYFUNCTION("""COMPUTED_VALUE"""),"Email")</f>
        <v>Email</v>
      </c>
    </row>
    <row r="2154" spans="1:9" ht="13" x14ac:dyDescent="0.15">
      <c r="A2154" s="9">
        <f ca="1">IFERROR(__xludf.DUMMYFUNCTION("""COMPUTED_VALUE"""),271110070)</f>
        <v>271110070</v>
      </c>
      <c r="B2154" s="1" t="str">
        <f ca="1">IFERROR(__xludf.DUMMYFUNCTION("""COMPUTED_VALUE"""),"w-schramm@chello.at")</f>
        <v>w-schramm@chello.at</v>
      </c>
      <c r="C2154" s="9" t="str">
        <f ca="1">IFERROR(__xludf.DUMMYFUNCTION("""COMPUTED_VALUE"""),"EVERGREEN - UAN Gated Content - Embedded Petition")</f>
        <v>EVERGREEN - UAN Gated Content - Embedded Petition</v>
      </c>
      <c r="D2154" s="10">
        <f ca="1">IFERROR(__xludf.DUMMYFUNCTION("""COMPUTED_VALUE"""),45697)</f>
        <v>45697</v>
      </c>
      <c r="E2154" s="1" t="str">
        <f ca="1">IFERROR(__xludf.DUMMYFUNCTION("""COMPUTED_VALUE"""),"Tunisia")</f>
        <v>Tunisia</v>
      </c>
      <c r="F2154" s="1" t="str">
        <f ca="1">IFERROR(__xludf.DUMMYFUNCTION("""COMPUTED_VALUE"""),"10.25 Iran")</f>
        <v>10.25 Iran</v>
      </c>
      <c r="G2154" s="1" t="str">
        <f ca="1">IFERROR(__xludf.DUMMYFUNCTION("""COMPUTED_VALUE"""),"Death Penalty, Individuals At Risk")</f>
        <v>Death Penalty, Individuals At Risk</v>
      </c>
      <c r="H2154" s="1" t="str">
        <f ca="1">IFERROR(__xludf.DUMMYFUNCTION("""COMPUTED_VALUE"""),"2025")</f>
        <v>2025</v>
      </c>
      <c r="I2154" s="1" t="str">
        <f ca="1">IFERROR(__xludf.DUMMYFUNCTION("""COMPUTED_VALUE"""),"Email")</f>
        <v>Email</v>
      </c>
    </row>
    <row r="2155" spans="1:9" ht="13" x14ac:dyDescent="0.15">
      <c r="A2155" s="9">
        <f ca="1">IFERROR(__xludf.DUMMYFUNCTION("""COMPUTED_VALUE"""),271110070)</f>
        <v>271110070</v>
      </c>
      <c r="B2155" s="1" t="str">
        <f ca="1">IFERROR(__xludf.DUMMYFUNCTION("""COMPUTED_VALUE"""),"w-schramm@chello.at")</f>
        <v>w-schramm@chello.at</v>
      </c>
      <c r="C2155" s="9" t="str">
        <f ca="1">IFERROR(__xludf.DUMMYFUNCTION("""COMPUTED_VALUE"""),"EVERGREEN - UAN Gated Content - Embedded Petition")</f>
        <v>EVERGREEN - UAN Gated Content - Embedded Petition</v>
      </c>
      <c r="D2155" s="10">
        <f ca="1">IFERROR(__xludf.DUMMYFUNCTION("""COMPUTED_VALUE"""),45696)</f>
        <v>45696</v>
      </c>
      <c r="E2155" s="1" t="str">
        <f ca="1">IFERROR(__xludf.DUMMYFUNCTION("""COMPUTED_VALUE"""),"Iran")</f>
        <v>Iran</v>
      </c>
      <c r="F2155" s="1" t="str">
        <f ca="1">IFERROR(__xludf.DUMMYFUNCTION("""COMPUTED_VALUE"""),"105.24 USA")</f>
        <v>105.24 USA</v>
      </c>
      <c r="G2155" s="1" t="str">
        <f ca="1">IFERROR(__xludf.DUMMYFUNCTION("""COMPUTED_VALUE"""),"Death Penalty")</f>
        <v>Death Penalty</v>
      </c>
      <c r="H2155" s="1" t="str">
        <f ca="1">IFERROR(__xludf.DUMMYFUNCTION("""COMPUTED_VALUE"""),"2024")</f>
        <v>2024</v>
      </c>
      <c r="I2155" s="1" t="str">
        <f ca="1">IFERROR(__xludf.DUMMYFUNCTION("""COMPUTED_VALUE"""),"Email")</f>
        <v>Email</v>
      </c>
    </row>
    <row r="2156" spans="1:9" ht="13" x14ac:dyDescent="0.15">
      <c r="A2156" s="9">
        <f ca="1">IFERROR(__xludf.DUMMYFUNCTION("""COMPUTED_VALUE"""),271110070)</f>
        <v>271110070</v>
      </c>
      <c r="B2156" s="1" t="str">
        <f ca="1">IFERROR(__xludf.DUMMYFUNCTION("""COMPUTED_VALUE"""),"w-schramm@chello.at")</f>
        <v>w-schramm@chello.at</v>
      </c>
      <c r="C2156" s="9" t="str">
        <f ca="1">IFERROR(__xludf.DUMMYFUNCTION("""COMPUTED_VALUE"""),"EVERGREEN - UAN Gated Content - Embedded Petition")</f>
        <v>EVERGREEN - UAN Gated Content - Embedded Petition</v>
      </c>
      <c r="D2156" s="10">
        <f ca="1">IFERROR(__xludf.DUMMYFUNCTION("""COMPUTED_VALUE"""),45697)</f>
        <v>45697</v>
      </c>
      <c r="E2156" s="1" t="str">
        <f ca="1">IFERROR(__xludf.DUMMYFUNCTION("""COMPUTED_VALUE"""),"USA")</f>
        <v>USA</v>
      </c>
      <c r="F2156" s="1" t="str">
        <f ca="1">IFERROR(__xludf.DUMMYFUNCTION("""COMPUTED_VALUE"""),"Second 23.24 Russia")</f>
        <v>Second 23.24 Russia</v>
      </c>
      <c r="G2156" s="1" t="str">
        <f ca="1">IFERROR(__xludf.DUMMYFUNCTION("""COMPUTED_VALUE"""),"Freedom of Expression")</f>
        <v>Freedom of Expression</v>
      </c>
      <c r="H2156" s="1" t="str">
        <f ca="1">IFERROR(__xludf.DUMMYFUNCTION("""COMPUTED_VALUE"""),"2024")</f>
        <v>2024</v>
      </c>
      <c r="I2156" s="1" t="str">
        <f ca="1">IFERROR(__xludf.DUMMYFUNCTION("""COMPUTED_VALUE"""),"Letter")</f>
        <v>Letter</v>
      </c>
    </row>
    <row r="2157" spans="1:9" ht="13" x14ac:dyDescent="0.15">
      <c r="A2157" s="9">
        <f ca="1">IFERROR(__xludf.DUMMYFUNCTION("""COMPUTED_VALUE"""),271110070)</f>
        <v>271110070</v>
      </c>
      <c r="B2157" s="1" t="str">
        <f ca="1">IFERROR(__xludf.DUMMYFUNCTION("""COMPUTED_VALUE"""),"w-schramm@chello.at")</f>
        <v>w-schramm@chello.at</v>
      </c>
      <c r="C2157" s="9" t="str">
        <f ca="1">IFERROR(__xludf.DUMMYFUNCTION("""COMPUTED_VALUE"""),"EVERGREEN - UAN Gated Content - Embedded Petition")</f>
        <v>EVERGREEN - UAN Gated Content - Embedded Petition</v>
      </c>
      <c r="D2157" s="10">
        <f ca="1">IFERROR(__xludf.DUMMYFUNCTION("""COMPUTED_VALUE"""),45697)</f>
        <v>45697</v>
      </c>
      <c r="E2157" s="1" t="str">
        <f ca="1">IFERROR(__xludf.DUMMYFUNCTION("""COMPUTED_VALUE"""),"Russian Federation")</f>
        <v>Russian Federation</v>
      </c>
      <c r="F2157" s="1" t="str">
        <f ca="1">IFERROR(__xludf.DUMMYFUNCTION("""COMPUTED_VALUE"""),"105.24 USA")</f>
        <v>105.24 USA</v>
      </c>
      <c r="G2157" s="1" t="str">
        <f ca="1">IFERROR(__xludf.DUMMYFUNCTION("""COMPUTED_VALUE"""),"Death Penalty")</f>
        <v>Death Penalty</v>
      </c>
      <c r="H2157" s="1" t="str">
        <f ca="1">IFERROR(__xludf.DUMMYFUNCTION("""COMPUTED_VALUE"""),"2024")</f>
        <v>2024</v>
      </c>
      <c r="I2157" s="1" t="str">
        <f ca="1">IFERROR(__xludf.DUMMYFUNCTION("""COMPUTED_VALUE"""),"Email")</f>
        <v>Email</v>
      </c>
    </row>
    <row r="2158" spans="1:9" ht="13" x14ac:dyDescent="0.15">
      <c r="A2158" s="9">
        <f ca="1">IFERROR(__xludf.DUMMYFUNCTION("""COMPUTED_VALUE"""),271110070)</f>
        <v>271110070</v>
      </c>
      <c r="B2158" s="1" t="str">
        <f ca="1">IFERROR(__xludf.DUMMYFUNCTION("""COMPUTED_VALUE"""),"w-schramm@chello.at")</f>
        <v>w-schramm@chello.at</v>
      </c>
      <c r="C2158" s="9" t="str">
        <f ca="1">IFERROR(__xludf.DUMMYFUNCTION("""COMPUTED_VALUE"""),"EVERGREEN - UAN Gated Content - Embedded Petition")</f>
        <v>EVERGREEN - UAN Gated Content - Embedded Petition</v>
      </c>
      <c r="D2158" s="10">
        <f ca="1">IFERROR(__xludf.DUMMYFUNCTION("""COMPUTED_VALUE"""),45697)</f>
        <v>45697</v>
      </c>
      <c r="E2158" s="1" t="str">
        <f ca="1">IFERROR(__xludf.DUMMYFUNCTION("""COMPUTED_VALUE"""),"USA")</f>
        <v>USA</v>
      </c>
      <c r="F2158" s="1" t="str">
        <f ca="1">IFERROR(__xludf.DUMMYFUNCTION("""COMPUTED_VALUE"""),"105.24 USA")</f>
        <v>105.24 USA</v>
      </c>
      <c r="G2158" s="1" t="str">
        <f ca="1">IFERROR(__xludf.DUMMYFUNCTION("""COMPUTED_VALUE"""),"Death Penalty")</f>
        <v>Death Penalty</v>
      </c>
      <c r="H2158" s="1" t="str">
        <f ca="1">IFERROR(__xludf.DUMMYFUNCTION("""COMPUTED_VALUE"""),"2024")</f>
        <v>2024</v>
      </c>
      <c r="I2158" s="1" t="str">
        <f ca="1">IFERROR(__xludf.DUMMYFUNCTION("""COMPUTED_VALUE"""),"Email")</f>
        <v>Email</v>
      </c>
    </row>
    <row r="2159" spans="1:9" ht="13" x14ac:dyDescent="0.15">
      <c r="A2159" s="9">
        <f ca="1">IFERROR(__xludf.DUMMYFUNCTION("""COMPUTED_VALUE"""),271110070)</f>
        <v>271110070</v>
      </c>
      <c r="B2159" s="1" t="str">
        <f ca="1">IFERROR(__xludf.DUMMYFUNCTION("""COMPUTED_VALUE"""),"w-schramm@chello.at")</f>
        <v>w-schramm@chello.at</v>
      </c>
      <c r="C2159" s="9" t="str">
        <f ca="1">IFERROR(__xludf.DUMMYFUNCTION("""COMPUTED_VALUE"""),"EVERGREEN - UAN Gated Content - Embedded Petition")</f>
        <v>EVERGREEN - UAN Gated Content - Embedded Petition</v>
      </c>
      <c r="D2159" s="10">
        <f ca="1">IFERROR(__xludf.DUMMYFUNCTION("""COMPUTED_VALUE"""),45697)</f>
        <v>45697</v>
      </c>
      <c r="E2159" s="1" t="str">
        <f ca="1">IFERROR(__xludf.DUMMYFUNCTION("""COMPUTED_VALUE"""),"USA")</f>
        <v>USA</v>
      </c>
      <c r="F2159" s="1" t="str">
        <f ca="1">IFERROR(__xludf.DUMMYFUNCTION("""COMPUTED_VALUE"""),"Second 76.24 Tunisia")</f>
        <v>Second 76.24 Tunisia</v>
      </c>
      <c r="G2159" s="1" t="str">
        <f ca="1">IFERROR(__xludf.DUMMYFUNCTION("""COMPUTED_VALUE"""),"Freedom of Expression, Human Rights Defenders")</f>
        <v>Freedom of Expression, Human Rights Defenders</v>
      </c>
      <c r="H2159" s="1" t="str">
        <f ca="1">IFERROR(__xludf.DUMMYFUNCTION("""COMPUTED_VALUE"""),"2025")</f>
        <v>2025</v>
      </c>
      <c r="I2159" s="1" t="str">
        <f ca="1">IFERROR(__xludf.DUMMYFUNCTION("""COMPUTED_VALUE"""),"Email")</f>
        <v>Email</v>
      </c>
    </row>
    <row r="2160" spans="1:9" ht="13" x14ac:dyDescent="0.15">
      <c r="A2160" s="9">
        <f ca="1">IFERROR(__xludf.DUMMYFUNCTION("""COMPUTED_VALUE"""),271110070)</f>
        <v>271110070</v>
      </c>
      <c r="B2160" s="1" t="str">
        <f ca="1">IFERROR(__xludf.DUMMYFUNCTION("""COMPUTED_VALUE"""),"w-schramm@chello.at")</f>
        <v>w-schramm@chello.at</v>
      </c>
      <c r="C2160" s="9" t="str">
        <f ca="1">IFERROR(__xludf.DUMMYFUNCTION("""COMPUTED_VALUE"""),"EVERGREEN - UAN Gated Content - Embedded Petition")</f>
        <v>EVERGREEN - UAN Gated Content - Embedded Petition</v>
      </c>
      <c r="D2160" s="10">
        <f ca="1">IFERROR(__xludf.DUMMYFUNCTION("""COMPUTED_VALUE"""),45697)</f>
        <v>45697</v>
      </c>
      <c r="E2160" s="1" t="str">
        <f ca="1">IFERROR(__xludf.DUMMYFUNCTION("""COMPUTED_VALUE"""),"Tunisia")</f>
        <v>Tunisia</v>
      </c>
      <c r="F2160" s="1" t="str">
        <f ca="1">IFERROR(__xludf.DUMMYFUNCTION("""COMPUTED_VALUE"""),"Ninth 190.18 Egypt")</f>
        <v>Ninth 190.18 Egypt</v>
      </c>
      <c r="G2160" s="1" t="str">
        <f ca="1">IFERROR(__xludf.DUMMYFUNCTION("""COMPUTED_VALUE"""),"Freedom of Expression, Individuals At Risk")</f>
        <v>Freedom of Expression, Individuals At Risk</v>
      </c>
      <c r="H2160" s="1" t="str">
        <f ca="1">IFERROR(__xludf.DUMMYFUNCTION("""COMPUTED_VALUE"""),"2024")</f>
        <v>2024</v>
      </c>
      <c r="I2160" s="1" t="str">
        <f ca="1">IFERROR(__xludf.DUMMYFUNCTION("""COMPUTED_VALUE"""),"Letter")</f>
        <v>Letter</v>
      </c>
    </row>
    <row r="2161" spans="1:9" ht="13" x14ac:dyDescent="0.15">
      <c r="A2161" s="9">
        <f ca="1">IFERROR(__xludf.DUMMYFUNCTION("""COMPUTED_VALUE"""),271110070)</f>
        <v>271110070</v>
      </c>
      <c r="B2161" s="1" t="str">
        <f ca="1">IFERROR(__xludf.DUMMYFUNCTION("""COMPUTED_VALUE"""),"w-schramm@chello.at")</f>
        <v>w-schramm@chello.at</v>
      </c>
      <c r="C2161" s="9" t="str">
        <f ca="1">IFERROR(__xludf.DUMMYFUNCTION("""COMPUTED_VALUE"""),"EVERGREEN - UAN Gated Content - Embedded Petition")</f>
        <v>EVERGREEN - UAN Gated Content - Embedded Petition</v>
      </c>
      <c r="D2161" s="10">
        <f ca="1">IFERROR(__xludf.DUMMYFUNCTION("""COMPUTED_VALUE"""),45697)</f>
        <v>45697</v>
      </c>
      <c r="E2161" s="1" t="str">
        <f ca="1">IFERROR(__xludf.DUMMYFUNCTION("""COMPUTED_VALUE"""),"Egypt")</f>
        <v>Egypt</v>
      </c>
      <c r="F2161" s="1" t="str">
        <f ca="1">IFERROR(__xludf.DUMMYFUNCTION("""COMPUTED_VALUE"""),"98.24 China")</f>
        <v>98.24 China</v>
      </c>
      <c r="G2161" s="1" t="str">
        <f ca="1">IFERROR(__xludf.DUMMYFUNCTION("""COMPUTED_VALUE"""),"Freedom of Expression, Individuals At Risk")</f>
        <v>Freedom of Expression, Individuals At Risk</v>
      </c>
      <c r="H2161" s="1" t="str">
        <f ca="1">IFERROR(__xludf.DUMMYFUNCTION("""COMPUTED_VALUE"""),"2024")</f>
        <v>2024</v>
      </c>
      <c r="I2161" s="1" t="str">
        <f ca="1">IFERROR(__xludf.DUMMYFUNCTION("""COMPUTED_VALUE"""),"Letter")</f>
        <v>Letter</v>
      </c>
    </row>
    <row r="2162" spans="1:9" ht="13" x14ac:dyDescent="0.15">
      <c r="A2162" s="9">
        <f ca="1">IFERROR(__xludf.DUMMYFUNCTION("""COMPUTED_VALUE"""),271110070)</f>
        <v>271110070</v>
      </c>
      <c r="B2162" s="1" t="str">
        <f ca="1">IFERROR(__xludf.DUMMYFUNCTION("""COMPUTED_VALUE"""),"w-schramm@chello.at")</f>
        <v>w-schramm@chello.at</v>
      </c>
      <c r="C2162" s="9" t="str">
        <f ca="1">IFERROR(__xludf.DUMMYFUNCTION("""COMPUTED_VALUE"""),"EVERGREEN - UAN Gated Content - Embedded Petition")</f>
        <v>EVERGREEN - UAN Gated Content - Embedded Petition</v>
      </c>
      <c r="D2162" s="10">
        <f ca="1">IFERROR(__xludf.DUMMYFUNCTION("""COMPUTED_VALUE"""),45697)</f>
        <v>45697</v>
      </c>
      <c r="E2162" s="1" t="str">
        <f ca="1">IFERROR(__xludf.DUMMYFUNCTION("""COMPUTED_VALUE"""),"China")</f>
        <v>China</v>
      </c>
      <c r="F2162" s="1" t="str">
        <f ca="1">IFERROR(__xludf.DUMMYFUNCTION("""COMPUTED_VALUE"""),"97.24 Venezuela")</f>
        <v>97.24 Venezuela</v>
      </c>
      <c r="G2162" s="1" t="str">
        <f ca="1">IFERROR(__xludf.DUMMYFUNCTION("""COMPUTED_VALUE"""),"Freedom of Expression")</f>
        <v>Freedom of Expression</v>
      </c>
      <c r="H2162" s="1" t="str">
        <f ca="1">IFERROR(__xludf.DUMMYFUNCTION("""COMPUTED_VALUE"""),"2024")</f>
        <v>2024</v>
      </c>
      <c r="I2162" s="1" t="str">
        <f ca="1">IFERROR(__xludf.DUMMYFUNCTION("""COMPUTED_VALUE"""),"Letter")</f>
        <v>Letter</v>
      </c>
    </row>
    <row r="2163" spans="1:9" ht="13" x14ac:dyDescent="0.15">
      <c r="A2163" s="9">
        <f ca="1">IFERROR(__xludf.DUMMYFUNCTION("""COMPUTED_VALUE"""),271110070)</f>
        <v>271110070</v>
      </c>
      <c r="B2163" s="1" t="str">
        <f ca="1">IFERROR(__xludf.DUMMYFUNCTION("""COMPUTED_VALUE"""),"w-schramm@chello.at")</f>
        <v>w-schramm@chello.at</v>
      </c>
      <c r="C2163" s="9" t="str">
        <f ca="1">IFERROR(__xludf.DUMMYFUNCTION("""COMPUTED_VALUE"""),"EVERGREEN - UAN Gated Content - Embedded Petition")</f>
        <v>EVERGREEN - UAN Gated Content - Embedded Petition</v>
      </c>
      <c r="D2163" s="10">
        <f ca="1">IFERROR(__xludf.DUMMYFUNCTION("""COMPUTED_VALUE"""),45697)</f>
        <v>45697</v>
      </c>
      <c r="E2163" s="1" t="str">
        <f ca="1">IFERROR(__xludf.DUMMYFUNCTION("""COMPUTED_VALUE"""),"Venezuela")</f>
        <v>Venezuela</v>
      </c>
      <c r="F2163" s="1" t="str">
        <f ca="1">IFERROR(__xludf.DUMMYFUNCTION("""COMPUTED_VALUE"""),"105.24 USA")</f>
        <v>105.24 USA</v>
      </c>
      <c r="G2163" s="1" t="str">
        <f ca="1">IFERROR(__xludf.DUMMYFUNCTION("""COMPUTED_VALUE"""),"Death Penalty")</f>
        <v>Death Penalty</v>
      </c>
      <c r="H2163" s="1" t="str">
        <f ca="1">IFERROR(__xludf.DUMMYFUNCTION("""COMPUTED_VALUE"""),"2024")</f>
        <v>2024</v>
      </c>
      <c r="I2163" s="1" t="str">
        <f ca="1">IFERROR(__xludf.DUMMYFUNCTION("""COMPUTED_VALUE"""),"Email")</f>
        <v>Email</v>
      </c>
    </row>
    <row r="2164" spans="1:9" ht="13" x14ac:dyDescent="0.15">
      <c r="A2164" s="9">
        <f ca="1">IFERROR(__xludf.DUMMYFUNCTION("""COMPUTED_VALUE"""),271110070)</f>
        <v>271110070</v>
      </c>
      <c r="B2164" s="1" t="str">
        <f ca="1">IFERROR(__xludf.DUMMYFUNCTION("""COMPUTED_VALUE"""),"w-schramm@chello.at")</f>
        <v>w-schramm@chello.at</v>
      </c>
      <c r="C2164" s="9" t="str">
        <f ca="1">IFERROR(__xludf.DUMMYFUNCTION("""COMPUTED_VALUE"""),"EVERGREEN - UAN Gated Content - Embedded Petition")</f>
        <v>EVERGREEN - UAN Gated Content - Embedded Petition</v>
      </c>
      <c r="D2164" s="10">
        <f ca="1">IFERROR(__xludf.DUMMYFUNCTION("""COMPUTED_VALUE"""),45697)</f>
        <v>45697</v>
      </c>
      <c r="E2164" s="1" t="str">
        <f ca="1">IFERROR(__xludf.DUMMYFUNCTION("""COMPUTED_VALUE"""),"USA")</f>
        <v>USA</v>
      </c>
      <c r="F2164" s="1" t="str">
        <f ca="1">IFERROR(__xludf.DUMMYFUNCTION("""COMPUTED_VALUE"""),"106.24 China")</f>
        <v>106.24 China</v>
      </c>
      <c r="G2164" s="1" t="str">
        <f ca="1">IFERROR(__xludf.DUMMYFUNCTION("""COMPUTED_VALUE"""),"Freedom of Expression, Individuals At Risk")</f>
        <v>Freedom of Expression, Individuals At Risk</v>
      </c>
      <c r="H2164" s="1" t="str">
        <f ca="1">IFERROR(__xludf.DUMMYFUNCTION("""COMPUTED_VALUE"""),"2024")</f>
        <v>2024</v>
      </c>
      <c r="I2164" s="1" t="str">
        <f ca="1">IFERROR(__xludf.DUMMYFUNCTION("""COMPUTED_VALUE"""),"Email")</f>
        <v>Email</v>
      </c>
    </row>
    <row r="2165" spans="1:9" ht="13" x14ac:dyDescent="0.15">
      <c r="A2165" s="9">
        <f ca="1">IFERROR(__xludf.DUMMYFUNCTION("""COMPUTED_VALUE"""),271110070)</f>
        <v>271110070</v>
      </c>
      <c r="B2165" s="1" t="str">
        <f ca="1">IFERROR(__xludf.DUMMYFUNCTION("""COMPUTED_VALUE"""),"w-schramm@chello.at")</f>
        <v>w-schramm@chello.at</v>
      </c>
      <c r="C2165" s="9" t="str">
        <f ca="1">IFERROR(__xludf.DUMMYFUNCTION("""COMPUTED_VALUE"""),"EVERGREEN - UAN Gated Content - Embedded Petition")</f>
        <v>EVERGREEN - UAN Gated Content - Embedded Petition</v>
      </c>
      <c r="D2165" s="10">
        <f ca="1">IFERROR(__xludf.DUMMYFUNCTION("""COMPUTED_VALUE"""),45697)</f>
        <v>45697</v>
      </c>
      <c r="E2165" s="1" t="str">
        <f ca="1">IFERROR(__xludf.DUMMYFUNCTION("""COMPUTED_VALUE"""),"China")</f>
        <v>China</v>
      </c>
      <c r="F2165" s="1" t="str">
        <f ca="1">IFERROR(__xludf.DUMMYFUNCTION("""COMPUTED_VALUE"""),"Ninth 190.18 Egypt")</f>
        <v>Ninth 190.18 Egypt</v>
      </c>
      <c r="G2165" s="1" t="str">
        <f ca="1">IFERROR(__xludf.DUMMYFUNCTION("""COMPUTED_VALUE"""),"Freedom of Expression, Individuals At Risk")</f>
        <v>Freedom of Expression, Individuals At Risk</v>
      </c>
      <c r="H2165" s="1" t="str">
        <f ca="1">IFERROR(__xludf.DUMMYFUNCTION("""COMPUTED_VALUE"""),"2024")</f>
        <v>2024</v>
      </c>
      <c r="I2165" s="1" t="str">
        <f ca="1">IFERROR(__xludf.DUMMYFUNCTION("""COMPUTED_VALUE"""),"Letter")</f>
        <v>Letter</v>
      </c>
    </row>
    <row r="2166" spans="1:9" ht="13" x14ac:dyDescent="0.15">
      <c r="A2166" s="9">
        <f ca="1">IFERROR(__xludf.DUMMYFUNCTION("""COMPUTED_VALUE"""),271110070)</f>
        <v>271110070</v>
      </c>
      <c r="B2166" s="1" t="str">
        <f ca="1">IFERROR(__xludf.DUMMYFUNCTION("""COMPUTED_VALUE"""),"w-schramm@chello.at")</f>
        <v>w-schramm@chello.at</v>
      </c>
      <c r="C2166" s="9" t="str">
        <f ca="1">IFERROR(__xludf.DUMMYFUNCTION("""COMPUTED_VALUE"""),"EVERGREEN - UAN Gated Content - Embedded Petition")</f>
        <v>EVERGREEN - UAN Gated Content - Embedded Petition</v>
      </c>
      <c r="D2166" s="10">
        <f ca="1">IFERROR(__xludf.DUMMYFUNCTION("""COMPUTED_VALUE"""),45697)</f>
        <v>45697</v>
      </c>
      <c r="E2166" s="1" t="str">
        <f ca="1">IFERROR(__xludf.DUMMYFUNCTION("""COMPUTED_VALUE"""),"Egypt")</f>
        <v>Egypt</v>
      </c>
      <c r="F2166" s="1" t="str">
        <f ca="1">IFERROR(__xludf.DUMMYFUNCTION("""COMPUTED_VALUE"""),"105.24 USA")</f>
        <v>105.24 USA</v>
      </c>
      <c r="G2166" s="1" t="str">
        <f ca="1">IFERROR(__xludf.DUMMYFUNCTION("""COMPUTED_VALUE"""),"Death Penalty")</f>
        <v>Death Penalty</v>
      </c>
      <c r="H2166" s="1" t="str">
        <f ca="1">IFERROR(__xludf.DUMMYFUNCTION("""COMPUTED_VALUE"""),"2024")</f>
        <v>2024</v>
      </c>
      <c r="I2166" s="1" t="str">
        <f ca="1">IFERROR(__xludf.DUMMYFUNCTION("""COMPUTED_VALUE"""),"Email")</f>
        <v>Email</v>
      </c>
    </row>
    <row r="2167" spans="1:9" ht="13" x14ac:dyDescent="0.15">
      <c r="A2167" s="9">
        <f ca="1">IFERROR(__xludf.DUMMYFUNCTION("""COMPUTED_VALUE"""),271110070)</f>
        <v>271110070</v>
      </c>
      <c r="B2167" s="1" t="str">
        <f ca="1">IFERROR(__xludf.DUMMYFUNCTION("""COMPUTED_VALUE"""),"w-schramm@chello.at")</f>
        <v>w-schramm@chello.at</v>
      </c>
      <c r="C2167" s="9" t="str">
        <f ca="1">IFERROR(__xludf.DUMMYFUNCTION("""COMPUTED_VALUE"""),"EVERGREEN - UAN Gated Content - Embedded Petition")</f>
        <v>EVERGREEN - UAN Gated Content - Embedded Petition</v>
      </c>
      <c r="D2167" s="10">
        <f ca="1">IFERROR(__xludf.DUMMYFUNCTION("""COMPUTED_VALUE"""),45697)</f>
        <v>45697</v>
      </c>
      <c r="E2167" s="1" t="str">
        <f ca="1">IFERROR(__xludf.DUMMYFUNCTION("""COMPUTED_VALUE"""),"USA")</f>
        <v>USA</v>
      </c>
      <c r="F2167" s="1" t="str">
        <f ca="1">IFERROR(__xludf.DUMMYFUNCTION("""COMPUTED_VALUE"""),"99.24 Canada")</f>
        <v>99.24 Canada</v>
      </c>
      <c r="G2167" s="1" t="str">
        <f ca="1">IFERROR(__xludf.DUMMYFUNCTION("""COMPUTED_VALUE"""),"Climate Justice, Indigenous Rights, Right to Protest")</f>
        <v>Climate Justice, Indigenous Rights, Right to Protest</v>
      </c>
      <c r="H2167" s="1" t="str">
        <f ca="1">IFERROR(__xludf.DUMMYFUNCTION("""COMPUTED_VALUE"""),"2024")</f>
        <v>2024</v>
      </c>
      <c r="I2167" s="1" t="str">
        <f ca="1">IFERROR(__xludf.DUMMYFUNCTION("""COMPUTED_VALUE"""),"Letter")</f>
        <v>Letter</v>
      </c>
    </row>
    <row r="2168" spans="1:9" ht="13" x14ac:dyDescent="0.15">
      <c r="A2168" s="9">
        <f ca="1">IFERROR(__xludf.DUMMYFUNCTION("""COMPUTED_VALUE"""),271110070)</f>
        <v>271110070</v>
      </c>
      <c r="B2168" s="1" t="str">
        <f ca="1">IFERROR(__xludf.DUMMYFUNCTION("""COMPUTED_VALUE"""),"w-schramm@chello.at")</f>
        <v>w-schramm@chello.at</v>
      </c>
      <c r="C2168" s="9" t="str">
        <f ca="1">IFERROR(__xludf.DUMMYFUNCTION("""COMPUTED_VALUE"""),"EVERGREEN - UAN Gated Content - Embedded Petition")</f>
        <v>EVERGREEN - UAN Gated Content - Embedded Petition</v>
      </c>
      <c r="D2168" s="10">
        <f ca="1">IFERROR(__xludf.DUMMYFUNCTION("""COMPUTED_VALUE"""),45697)</f>
        <v>45697</v>
      </c>
      <c r="E2168" s="1" t="str">
        <f ca="1">IFERROR(__xludf.DUMMYFUNCTION("""COMPUTED_VALUE"""),"Canada")</f>
        <v>Canada</v>
      </c>
      <c r="F2168" s="1" t="str">
        <f ca="1">IFERROR(__xludf.DUMMYFUNCTION("""COMPUTED_VALUE"""),"97.24 Venezuela")</f>
        <v>97.24 Venezuela</v>
      </c>
      <c r="G2168" s="1" t="str">
        <f ca="1">IFERROR(__xludf.DUMMYFUNCTION("""COMPUTED_VALUE"""),"Freedom of Expression")</f>
        <v>Freedom of Expression</v>
      </c>
      <c r="H2168" s="1" t="str">
        <f ca="1">IFERROR(__xludf.DUMMYFUNCTION("""COMPUTED_VALUE"""),"2024")</f>
        <v>2024</v>
      </c>
      <c r="I2168" s="1" t="str">
        <f ca="1">IFERROR(__xludf.DUMMYFUNCTION("""COMPUTED_VALUE"""),"Letter")</f>
        <v>Letter</v>
      </c>
    </row>
    <row r="2169" spans="1:9" ht="13" x14ac:dyDescent="0.15">
      <c r="A2169" s="9">
        <f ca="1">IFERROR(__xludf.DUMMYFUNCTION("""COMPUTED_VALUE"""),271110070)</f>
        <v>271110070</v>
      </c>
      <c r="B2169" s="1" t="str">
        <f ca="1">IFERROR(__xludf.DUMMYFUNCTION("""COMPUTED_VALUE"""),"w-schramm@chello.at")</f>
        <v>w-schramm@chello.at</v>
      </c>
      <c r="C2169" s="9" t="str">
        <f ca="1">IFERROR(__xludf.DUMMYFUNCTION("""COMPUTED_VALUE"""),"EVERGREEN - UAN Gated Content - Embedded Petition")</f>
        <v>EVERGREEN - UAN Gated Content - Embedded Petition</v>
      </c>
      <c r="D2169" s="10">
        <f ca="1">IFERROR(__xludf.DUMMYFUNCTION("""COMPUTED_VALUE"""),45697)</f>
        <v>45697</v>
      </c>
      <c r="E2169" s="1" t="str">
        <f ca="1">IFERROR(__xludf.DUMMYFUNCTION("""COMPUTED_VALUE"""),"Venezuela")</f>
        <v>Venezuela</v>
      </c>
      <c r="F2169" s="1" t="str">
        <f ca="1">IFERROR(__xludf.DUMMYFUNCTION("""COMPUTED_VALUE"""),"6.25 Iran")</f>
        <v>6.25 Iran</v>
      </c>
      <c r="G2169" s="1" t="str">
        <f ca="1">IFERROR(__xludf.DUMMYFUNCTION("""COMPUTED_VALUE"""),"Death Penalty, Freedom of Expression, Individuals At Risk")</f>
        <v>Death Penalty, Freedom of Expression, Individuals At Risk</v>
      </c>
      <c r="H2169" s="1" t="str">
        <f ca="1">IFERROR(__xludf.DUMMYFUNCTION("""COMPUTED_VALUE"""),"2025")</f>
        <v>2025</v>
      </c>
      <c r="I2169" s="1" t="str">
        <f ca="1">IFERROR(__xludf.DUMMYFUNCTION("""COMPUTED_VALUE"""),"Email")</f>
        <v>Email</v>
      </c>
    </row>
    <row r="2170" spans="1:9" ht="13" x14ac:dyDescent="0.15">
      <c r="A2170" s="9">
        <f ca="1">IFERROR(__xludf.DUMMYFUNCTION("""COMPUTED_VALUE"""),271110070)</f>
        <v>271110070</v>
      </c>
      <c r="B2170" s="1" t="str">
        <f ca="1">IFERROR(__xludf.DUMMYFUNCTION("""COMPUTED_VALUE"""),"w-schramm@chello.at")</f>
        <v>w-schramm@chello.at</v>
      </c>
      <c r="C2170" s="9" t="str">
        <f ca="1">IFERROR(__xludf.DUMMYFUNCTION("""COMPUTED_VALUE"""),"EVERGREEN - UAN Gated Content - Embedded Petition")</f>
        <v>EVERGREEN - UAN Gated Content - Embedded Petition</v>
      </c>
      <c r="D2170" s="10">
        <f ca="1">IFERROR(__xludf.DUMMYFUNCTION("""COMPUTED_VALUE"""),45697)</f>
        <v>45697</v>
      </c>
      <c r="E2170" s="1" t="str">
        <f ca="1">IFERROR(__xludf.DUMMYFUNCTION("""COMPUTED_VALUE"""),"Iran")</f>
        <v>Iran</v>
      </c>
      <c r="F2170" s="1" t="str">
        <f ca="1">IFERROR(__xludf.DUMMYFUNCTION("""COMPUTED_VALUE"""),"11.25 Afghanistan")</f>
        <v>11.25 Afghanistan</v>
      </c>
      <c r="G2170" s="1" t="str">
        <f ca="1">IFERROR(__xludf.DUMMYFUNCTION("""COMPUTED_VALUE"""),"Freedom of Expression, Health, Individuals At Risk")</f>
        <v>Freedom of Expression, Health, Individuals At Risk</v>
      </c>
      <c r="H2170" s="1" t="str">
        <f ca="1">IFERROR(__xludf.DUMMYFUNCTION("""COMPUTED_VALUE"""),"2025")</f>
        <v>2025</v>
      </c>
      <c r="I2170" s="1" t="str">
        <f ca="1">IFERROR(__xludf.DUMMYFUNCTION("""COMPUTED_VALUE"""),"Email")</f>
        <v>Email</v>
      </c>
    </row>
    <row r="2171" spans="1:9" ht="13" x14ac:dyDescent="0.15">
      <c r="A2171" s="9">
        <f ca="1">IFERROR(__xludf.DUMMYFUNCTION("""COMPUTED_VALUE"""),271110070)</f>
        <v>271110070</v>
      </c>
      <c r="B2171" s="1" t="str">
        <f ca="1">IFERROR(__xludf.DUMMYFUNCTION("""COMPUTED_VALUE"""),"w-schramm@chello.at")</f>
        <v>w-schramm@chello.at</v>
      </c>
      <c r="C2171" s="9" t="str">
        <f ca="1">IFERROR(__xludf.DUMMYFUNCTION("""COMPUTED_VALUE"""),"EVERGREEN - UAN Gated Content - Embedded Petition")</f>
        <v>EVERGREEN - UAN Gated Content - Embedded Petition</v>
      </c>
      <c r="D2171" s="10">
        <f ca="1">IFERROR(__xludf.DUMMYFUNCTION("""COMPUTED_VALUE"""),45696)</f>
        <v>45696</v>
      </c>
      <c r="E2171" s="1" t="str">
        <f ca="1">IFERROR(__xludf.DUMMYFUNCTION("""COMPUTED_VALUE"""),"Afghanistan")</f>
        <v>Afghanistan</v>
      </c>
      <c r="F2171" s="1" t="str">
        <f ca="1">IFERROR(__xludf.DUMMYFUNCTION("""COMPUTED_VALUE"""),"7.25 Afghanistan")</f>
        <v>7.25 Afghanistan</v>
      </c>
      <c r="G2171" s="1" t="str">
        <f ca="1">IFERROR(__xludf.DUMMYFUNCTION("""COMPUTED_VALUE"""),"Freedom of Expression, Individuals At Risk, Women's Rights")</f>
        <v>Freedom of Expression, Individuals At Risk, Women's Rights</v>
      </c>
      <c r="H2171" s="1" t="str">
        <f ca="1">IFERROR(__xludf.DUMMYFUNCTION("""COMPUTED_VALUE"""),"2025")</f>
        <v>2025</v>
      </c>
      <c r="I2171" s="1" t="str">
        <f ca="1">IFERROR(__xludf.DUMMYFUNCTION("""COMPUTED_VALUE"""),"Email")</f>
        <v>Email</v>
      </c>
    </row>
    <row r="2172" spans="1:9" ht="13" x14ac:dyDescent="0.15">
      <c r="A2172" s="9">
        <f ca="1">IFERROR(__xludf.DUMMYFUNCTION("""COMPUTED_VALUE"""),271110070)</f>
        <v>271110070</v>
      </c>
      <c r="B2172" s="1" t="str">
        <f ca="1">IFERROR(__xludf.DUMMYFUNCTION("""COMPUTED_VALUE"""),"w-schramm@chello.at")</f>
        <v>w-schramm@chello.at</v>
      </c>
      <c r="C2172" s="9" t="str">
        <f ca="1">IFERROR(__xludf.DUMMYFUNCTION("""COMPUTED_VALUE"""),"EVERGREEN - UAN Gated Content - Embedded Petition")</f>
        <v>EVERGREEN - UAN Gated Content - Embedded Petition</v>
      </c>
      <c r="D2172" s="10">
        <f ca="1">IFERROR(__xludf.DUMMYFUNCTION("""COMPUTED_VALUE"""),45696)</f>
        <v>45696</v>
      </c>
      <c r="E2172" s="1" t="str">
        <f ca="1">IFERROR(__xludf.DUMMYFUNCTION("""COMPUTED_VALUE"""),"Afghanistan")</f>
        <v>Afghanistan</v>
      </c>
      <c r="F2172" s="1" t="str">
        <f ca="1">IFERROR(__xludf.DUMMYFUNCTION("""COMPUTED_VALUE"""),"10.25 Iran")</f>
        <v>10.25 Iran</v>
      </c>
      <c r="G2172" s="1" t="str">
        <f ca="1">IFERROR(__xludf.DUMMYFUNCTION("""COMPUTED_VALUE"""),"Death Penalty, Individuals At Risk")</f>
        <v>Death Penalty, Individuals At Risk</v>
      </c>
      <c r="H2172" s="1" t="str">
        <f ca="1">IFERROR(__xludf.DUMMYFUNCTION("""COMPUTED_VALUE"""),"2025")</f>
        <v>2025</v>
      </c>
      <c r="I2172" s="1" t="str">
        <f ca="1">IFERROR(__xludf.DUMMYFUNCTION("""COMPUTED_VALUE"""),"Email")</f>
        <v>Email</v>
      </c>
    </row>
    <row r="2173" spans="1:9" ht="13" x14ac:dyDescent="0.15">
      <c r="A2173" s="9">
        <f ca="1">IFERROR(__xludf.DUMMYFUNCTION("""COMPUTED_VALUE"""),271110070)</f>
        <v>271110070</v>
      </c>
      <c r="B2173" s="1" t="str">
        <f ca="1">IFERROR(__xludf.DUMMYFUNCTION("""COMPUTED_VALUE"""),"w-schramm@chello.at")</f>
        <v>w-schramm@chello.at</v>
      </c>
      <c r="C2173" s="9" t="str">
        <f ca="1">IFERROR(__xludf.DUMMYFUNCTION("""COMPUTED_VALUE"""),"EVERGREEN - UAN Gated Content - Embedded Petition")</f>
        <v>EVERGREEN - UAN Gated Content - Embedded Petition</v>
      </c>
      <c r="D2173" s="10">
        <f ca="1">IFERROR(__xludf.DUMMYFUNCTION("""COMPUTED_VALUE"""),45696)</f>
        <v>45696</v>
      </c>
      <c r="E2173" s="1" t="str">
        <f ca="1">IFERROR(__xludf.DUMMYFUNCTION("""COMPUTED_VALUE"""),"Iran")</f>
        <v>Iran</v>
      </c>
      <c r="F2173" s="1" t="str">
        <f ca="1">IFERROR(__xludf.DUMMYFUNCTION("""COMPUTED_VALUE"""),"Seventh 103.22 Iran")</f>
        <v>Seventh 103.22 Iran</v>
      </c>
      <c r="G2173" s="1" t="str">
        <f ca="1">IFERROR(__xludf.DUMMYFUNCTION("""COMPUTED_VALUE"""),"Death Penalty, Freedom of Expression, Individuals At Risk")</f>
        <v>Death Penalty, Freedom of Expression, Individuals At Risk</v>
      </c>
      <c r="H2173" s="1" t="str">
        <f ca="1">IFERROR(__xludf.DUMMYFUNCTION("""COMPUTED_VALUE"""),"2024")</f>
        <v>2024</v>
      </c>
      <c r="I2173" s="1" t="str">
        <f ca="1">IFERROR(__xludf.DUMMYFUNCTION("""COMPUTED_VALUE"""),"Email")</f>
        <v>Email</v>
      </c>
    </row>
    <row r="2174" spans="1:9" ht="13" x14ac:dyDescent="0.15">
      <c r="A2174" s="9">
        <f ca="1">IFERROR(__xludf.DUMMYFUNCTION("""COMPUTED_VALUE"""),271110070)</f>
        <v>271110070</v>
      </c>
      <c r="B2174" s="1" t="str">
        <f ca="1">IFERROR(__xludf.DUMMYFUNCTION("""COMPUTED_VALUE"""),"w-schramm@chello.at")</f>
        <v>w-schramm@chello.at</v>
      </c>
      <c r="C2174" s="9" t="str">
        <f ca="1">IFERROR(__xludf.DUMMYFUNCTION("""COMPUTED_VALUE"""),"EVERGREEN - UAN Gated Content - Embedded Petition")</f>
        <v>EVERGREEN - UAN Gated Content - Embedded Petition</v>
      </c>
      <c r="D2174" s="10">
        <f ca="1">IFERROR(__xludf.DUMMYFUNCTION("""COMPUTED_VALUE"""),45696)</f>
        <v>45696</v>
      </c>
      <c r="E2174" s="1" t="str">
        <f ca="1">IFERROR(__xludf.DUMMYFUNCTION("""COMPUTED_VALUE"""),"Iran")</f>
        <v>Iran</v>
      </c>
      <c r="F2174" s="1" t="str">
        <f ca="1">IFERROR(__xludf.DUMMYFUNCTION("""COMPUTED_VALUE"""),"107.24 Singapore")</f>
        <v>107.24 Singapore</v>
      </c>
      <c r="G2174" s="1" t="str">
        <f ca="1">IFERROR(__xludf.DUMMYFUNCTION("""COMPUTED_VALUE"""),"Death Penalty")</f>
        <v>Death Penalty</v>
      </c>
      <c r="H2174" s="1" t="str">
        <f ca="1">IFERROR(__xludf.DUMMYFUNCTION("""COMPUTED_VALUE"""),"2024")</f>
        <v>2024</v>
      </c>
      <c r="I2174" s="1" t="str">
        <f ca="1">IFERROR(__xludf.DUMMYFUNCTION("""COMPUTED_VALUE"""),"Email")</f>
        <v>Email</v>
      </c>
    </row>
    <row r="2175" spans="1:9" ht="13" x14ac:dyDescent="0.15">
      <c r="A2175" s="9">
        <f ca="1">IFERROR(__xludf.DUMMYFUNCTION("""COMPUTED_VALUE"""),271110070)</f>
        <v>271110070</v>
      </c>
      <c r="B2175" s="1" t="str">
        <f ca="1">IFERROR(__xludf.DUMMYFUNCTION("""COMPUTED_VALUE"""),"w-schramm@chello.at")</f>
        <v>w-schramm@chello.at</v>
      </c>
      <c r="C2175" s="9" t="str">
        <f ca="1">IFERROR(__xludf.DUMMYFUNCTION("""COMPUTED_VALUE"""),"EVERGREEN - UAN Gated Content - Embedded Petition")</f>
        <v>EVERGREEN - UAN Gated Content - Embedded Petition</v>
      </c>
      <c r="D2175" s="10">
        <f ca="1">IFERROR(__xludf.DUMMYFUNCTION("""COMPUTED_VALUE"""),45696)</f>
        <v>45696</v>
      </c>
      <c r="E2175" s="1" t="str">
        <f ca="1">IFERROR(__xludf.DUMMYFUNCTION("""COMPUTED_VALUE"""),"Singapore")</f>
        <v>Singapore</v>
      </c>
      <c r="F2175" s="1" t="str">
        <f ca="1">IFERROR(__xludf.DUMMYFUNCTION("""COMPUTED_VALUE"""),"101.24 Iran")</f>
        <v>101.24 Iran</v>
      </c>
      <c r="G2175" s="1" t="str">
        <f ca="1">IFERROR(__xludf.DUMMYFUNCTION("""COMPUTED_VALUE"""),"Death Penalty, Freedom of Expression, Individuals At Risk, Right to Protest")</f>
        <v>Death Penalty, Freedom of Expression, Individuals At Risk, Right to Protest</v>
      </c>
      <c r="H2175" s="1" t="str">
        <f ca="1">IFERROR(__xludf.DUMMYFUNCTION("""COMPUTED_VALUE"""),"2024")</f>
        <v>2024</v>
      </c>
      <c r="I2175" s="1" t="str">
        <f ca="1">IFERROR(__xludf.DUMMYFUNCTION("""COMPUTED_VALUE"""),"Email")</f>
        <v>Email</v>
      </c>
    </row>
    <row r="2176" spans="1:9" ht="13" x14ac:dyDescent="0.15">
      <c r="A2176" s="9">
        <f ca="1">IFERROR(__xludf.DUMMYFUNCTION("""COMPUTED_VALUE"""),271110070)</f>
        <v>271110070</v>
      </c>
      <c r="B2176" s="1" t="str">
        <f ca="1">IFERROR(__xludf.DUMMYFUNCTION("""COMPUTED_VALUE"""),"w-schramm@chello.at")</f>
        <v>w-schramm@chello.at</v>
      </c>
      <c r="C2176" s="9" t="str">
        <f ca="1">IFERROR(__xludf.DUMMYFUNCTION("""COMPUTED_VALUE"""),"EVERGREEN - UAN Gated Content - Embedded Petition")</f>
        <v>EVERGREEN - UAN Gated Content - Embedded Petition</v>
      </c>
      <c r="D2176" s="10">
        <f ca="1">IFERROR(__xludf.DUMMYFUNCTION("""COMPUTED_VALUE"""),45626)</f>
        <v>45626</v>
      </c>
      <c r="E2176" s="1" t="str">
        <f ca="1">IFERROR(__xludf.DUMMYFUNCTION("""COMPUTED_VALUE"""),"Iran")</f>
        <v>Iran</v>
      </c>
      <c r="F2176" s="1" t="str">
        <f ca="1">IFERROR(__xludf.DUMMYFUNCTION("""COMPUTED_VALUE"""),"101.24 Iran")</f>
        <v>101.24 Iran</v>
      </c>
      <c r="G2176" s="1" t="str">
        <f ca="1">IFERROR(__xludf.DUMMYFUNCTION("""COMPUTED_VALUE"""),"Death Penalty, Freedom of Expression, Individuals At Risk, Right to Protest")</f>
        <v>Death Penalty, Freedom of Expression, Individuals At Risk, Right to Protest</v>
      </c>
      <c r="H2176" s="1" t="str">
        <f ca="1">IFERROR(__xludf.DUMMYFUNCTION("""COMPUTED_VALUE"""),"2024")</f>
        <v>2024</v>
      </c>
      <c r="I2176" s="1" t="str">
        <f ca="1">IFERROR(__xludf.DUMMYFUNCTION("""COMPUTED_VALUE"""),"Email")</f>
        <v>Email</v>
      </c>
    </row>
    <row r="2177" spans="1:9" ht="13" x14ac:dyDescent="0.15">
      <c r="A2177" s="9">
        <f ca="1">IFERROR(__xludf.DUMMYFUNCTION("""COMPUTED_VALUE"""),271110070)</f>
        <v>271110070</v>
      </c>
      <c r="B2177" s="1" t="str">
        <f ca="1">IFERROR(__xludf.DUMMYFUNCTION("""COMPUTED_VALUE"""),"w-schramm@chello.at")</f>
        <v>w-schramm@chello.at</v>
      </c>
      <c r="C2177" s="9" t="str">
        <f ca="1">IFERROR(__xludf.DUMMYFUNCTION("""COMPUTED_VALUE"""),"EVERGREEN - UAN Gated Content - Embedded Petition")</f>
        <v>EVERGREEN - UAN Gated Content - Embedded Petition</v>
      </c>
      <c r="D2177" s="10">
        <f ca="1">IFERROR(__xludf.DUMMYFUNCTION("""COMPUTED_VALUE"""),45696)</f>
        <v>45696</v>
      </c>
      <c r="E2177" s="1" t="str">
        <f ca="1">IFERROR(__xludf.DUMMYFUNCTION("""COMPUTED_VALUE"""),"Iran")</f>
        <v>Iran</v>
      </c>
      <c r="F2177" s="1" t="str">
        <f ca="1">IFERROR(__xludf.DUMMYFUNCTION("""COMPUTED_VALUE"""),"3.25 IOPT")</f>
        <v>3.25 IOPT</v>
      </c>
      <c r="G2177" s="1" t="str">
        <f ca="1">IFERROR(__xludf.DUMMYFUNCTION("""COMPUTED_VALUE"""),"Freedom of Expression, Individuals At Risk")</f>
        <v>Freedom of Expression, Individuals At Risk</v>
      </c>
      <c r="H2177" s="1" t="str">
        <f ca="1">IFERROR(__xludf.DUMMYFUNCTION("""COMPUTED_VALUE"""),"2025")</f>
        <v>2025</v>
      </c>
      <c r="I2177" s="1" t="str">
        <f ca="1">IFERROR(__xludf.DUMMYFUNCTION("""COMPUTED_VALUE"""),"Email")</f>
        <v>Email</v>
      </c>
    </row>
    <row r="2178" spans="1:9" ht="13" x14ac:dyDescent="0.15">
      <c r="A2178" s="9">
        <f ca="1">IFERROR(__xludf.DUMMYFUNCTION("""COMPUTED_VALUE"""),271110070)</f>
        <v>271110070</v>
      </c>
      <c r="B2178" s="1" t="str">
        <f ca="1">IFERROR(__xludf.DUMMYFUNCTION("""COMPUTED_VALUE"""),"w-schramm@chello.at")</f>
        <v>w-schramm@chello.at</v>
      </c>
      <c r="C2178" s="9" t="str">
        <f ca="1">IFERROR(__xludf.DUMMYFUNCTION("""COMPUTED_VALUE"""),"EVERGREEN - UAN Gated Content - Embedded Petition")</f>
        <v>EVERGREEN - UAN Gated Content - Embedded Petition</v>
      </c>
      <c r="D2178" s="10">
        <f ca="1">IFERROR(__xludf.DUMMYFUNCTION("""COMPUTED_VALUE"""),45696)</f>
        <v>45696</v>
      </c>
      <c r="E2178" s="1" t="str">
        <f ca="1">IFERROR(__xludf.DUMMYFUNCTION("""COMPUTED_VALUE"""),"Israel and Occupied Palestinian Territories")</f>
        <v>Israel and Occupied Palestinian Territories</v>
      </c>
      <c r="F2178" s="1" t="str">
        <f ca="1">IFERROR(__xludf.DUMMYFUNCTION("""COMPUTED_VALUE"""),"4.25 USA")</f>
        <v>4.25 USA</v>
      </c>
      <c r="G2178" s="1" t="str">
        <f ca="1">IFERROR(__xludf.DUMMYFUNCTION("""COMPUTED_VALUE"""),"Individuals At Risk, Refugee and Migrant Rights")</f>
        <v>Individuals At Risk, Refugee and Migrant Rights</v>
      </c>
      <c r="H2178" s="1" t="str">
        <f ca="1">IFERROR(__xludf.DUMMYFUNCTION("""COMPUTED_VALUE"""),"2025")</f>
        <v>2025</v>
      </c>
      <c r="I2178" s="1" t="str">
        <f ca="1">IFERROR(__xludf.DUMMYFUNCTION("""COMPUTED_VALUE"""),"Letter")</f>
        <v>Letter</v>
      </c>
    </row>
    <row r="2179" spans="1:9" ht="13" x14ac:dyDescent="0.15">
      <c r="A2179" s="9">
        <f ca="1">IFERROR(__xludf.DUMMYFUNCTION("""COMPUTED_VALUE"""),271110070)</f>
        <v>271110070</v>
      </c>
      <c r="B2179" s="1" t="str">
        <f ca="1">IFERROR(__xludf.DUMMYFUNCTION("""COMPUTED_VALUE"""),"w-schramm@chello.at")</f>
        <v>w-schramm@chello.at</v>
      </c>
      <c r="C2179" s="9" t="str">
        <f ca="1">IFERROR(__xludf.DUMMYFUNCTION("""COMPUTED_VALUE"""),"EVERGREEN - UAN Gated Content - Embedded Petition")</f>
        <v>EVERGREEN - UAN Gated Content - Embedded Petition</v>
      </c>
      <c r="D2179" s="10">
        <f ca="1">IFERROR(__xludf.DUMMYFUNCTION("""COMPUTED_VALUE"""),45696)</f>
        <v>45696</v>
      </c>
      <c r="E2179" s="1" t="str">
        <f ca="1">IFERROR(__xludf.DUMMYFUNCTION("""COMPUTED_VALUE"""),"USA")</f>
        <v>USA</v>
      </c>
      <c r="F2179" s="1" t="str">
        <f ca="1">IFERROR(__xludf.DUMMYFUNCTION("""COMPUTED_VALUE"""),"1.25 Venezuela")</f>
        <v>1.25 Venezuela</v>
      </c>
      <c r="G2179" s="1" t="str">
        <f ca="1">IFERROR(__xludf.DUMMYFUNCTION("""COMPUTED_VALUE"""),"Human Rights Defenders, Individuals At Risk")</f>
        <v>Human Rights Defenders, Individuals At Risk</v>
      </c>
      <c r="H2179" s="1" t="str">
        <f ca="1">IFERROR(__xludf.DUMMYFUNCTION("""COMPUTED_VALUE"""),"2025")</f>
        <v>2025</v>
      </c>
      <c r="I2179" s="1" t="str">
        <f ca="1">IFERROR(__xludf.DUMMYFUNCTION("""COMPUTED_VALUE"""),"Letter")</f>
        <v>Letter</v>
      </c>
    </row>
    <row r="2180" spans="1:9" ht="13" x14ac:dyDescent="0.15">
      <c r="A2180" s="9">
        <f ca="1">IFERROR(__xludf.DUMMYFUNCTION("""COMPUTED_VALUE"""),271110070)</f>
        <v>271110070</v>
      </c>
      <c r="B2180" s="1" t="str">
        <f ca="1">IFERROR(__xludf.DUMMYFUNCTION("""COMPUTED_VALUE"""),"w-schramm@chello.at")</f>
        <v>w-schramm@chello.at</v>
      </c>
      <c r="C2180" s="9" t="str">
        <f ca="1">IFERROR(__xludf.DUMMYFUNCTION("""COMPUTED_VALUE"""),"EVERGREEN - UAN Gated Content - Embedded Petition")</f>
        <v>EVERGREEN - UAN Gated Content - Embedded Petition</v>
      </c>
      <c r="D2180" s="10">
        <f ca="1">IFERROR(__xludf.DUMMYFUNCTION("""COMPUTED_VALUE"""),45696)</f>
        <v>45696</v>
      </c>
      <c r="E2180" s="1" t="str">
        <f ca="1">IFERROR(__xludf.DUMMYFUNCTION("""COMPUTED_VALUE"""),"Venezuela")</f>
        <v>Venezuela</v>
      </c>
      <c r="F2180" s="1" t="str">
        <f ca="1">IFERROR(__xludf.DUMMYFUNCTION("""COMPUTED_VALUE"""),"4.25 USA")</f>
        <v>4.25 USA</v>
      </c>
      <c r="G2180" s="1" t="str">
        <f ca="1">IFERROR(__xludf.DUMMYFUNCTION("""COMPUTED_VALUE"""),"Individuals At Risk, Refugee and Migrant Rights")</f>
        <v>Individuals At Risk, Refugee and Migrant Rights</v>
      </c>
      <c r="H2180" s="1" t="str">
        <f ca="1">IFERROR(__xludf.DUMMYFUNCTION("""COMPUTED_VALUE"""),"2025")</f>
        <v>2025</v>
      </c>
      <c r="I2180" s="1" t="str">
        <f ca="1">IFERROR(__xludf.DUMMYFUNCTION("""COMPUTED_VALUE"""),"Letter")</f>
        <v>Letter</v>
      </c>
    </row>
    <row r="2181" spans="1:9" ht="13" x14ac:dyDescent="0.15">
      <c r="A2181" s="9">
        <f ca="1">IFERROR(__xludf.DUMMYFUNCTION("""COMPUTED_VALUE"""),271125362)</f>
        <v>271125362</v>
      </c>
      <c r="B2181" s="1" t="str">
        <f ca="1">IFERROR(__xludf.DUMMYFUNCTION("""COMPUTED_VALUE"""),"susmani@aiusa.org")</f>
        <v>susmani@aiusa.org</v>
      </c>
      <c r="C2181" s="9" t="str">
        <f ca="1">IFERROR(__xludf.DUMMYFUNCTION("""COMPUTED_VALUE"""),"EVERGREEN - Website Email Capture Form - UAN Pre-Footer")</f>
        <v>EVERGREEN - Website Email Capture Form - UAN Pre-Footer</v>
      </c>
      <c r="D2181" s="10">
        <f ca="1">IFERROR(__xludf.DUMMYFUNCTION("""COMPUTED_VALUE"""),45614)</f>
        <v>45614</v>
      </c>
      <c r="E2181" s="1" t="str">
        <f ca="1">IFERROR(__xludf.DUMMYFUNCTION("""COMPUTED_VALUE"""),"USA")</f>
        <v>USA</v>
      </c>
      <c r="F2181" s="1" t="str">
        <f ca="1">IFERROR(__xludf.DUMMYFUNCTION("""COMPUTED_VALUE"""),"Seventh 103.22 Iran")</f>
        <v>Seventh 103.22 Iran</v>
      </c>
      <c r="G2181" s="1" t="str">
        <f ca="1">IFERROR(__xludf.DUMMYFUNCTION("""COMPUTED_VALUE"""),"Death Penalty, Freedom of Expression, Individuals At Risk")</f>
        <v>Death Penalty, Freedom of Expression, Individuals At Risk</v>
      </c>
      <c r="H2181" s="1" t="str">
        <f ca="1">IFERROR(__xludf.DUMMYFUNCTION("""COMPUTED_VALUE"""),"2024")</f>
        <v>2024</v>
      </c>
      <c r="I2181" s="1" t="str">
        <f ca="1">IFERROR(__xludf.DUMMYFUNCTION("""COMPUTED_VALUE"""),"Email")</f>
        <v>Email</v>
      </c>
    </row>
    <row r="2182" spans="1:9" ht="13" x14ac:dyDescent="0.15">
      <c r="A2182" s="9">
        <f ca="1">IFERROR(__xludf.DUMMYFUNCTION("""COMPUTED_VALUE"""),271157700)</f>
        <v>271157700</v>
      </c>
      <c r="B2182" s="1" t="str">
        <f ca="1">IFERROR(__xludf.DUMMYFUNCTION("""COMPUTED_VALUE"""),"neil.heyden@gmail.com")</f>
        <v>neil.heyden@gmail.com</v>
      </c>
      <c r="C2182" s="9" t="str">
        <f ca="1">IFERROR(__xludf.DUMMYFUNCTION("""COMPUTED_VALUE"""),"EVERGREEN - UAN Gated Content - Embedded Petition")</f>
        <v>EVERGREEN - UAN Gated Content - Embedded Petition</v>
      </c>
      <c r="D2182" s="10">
        <f ca="1">IFERROR(__xludf.DUMMYFUNCTION("""COMPUTED_VALUE"""),45636)</f>
        <v>45636</v>
      </c>
      <c r="E2182" s="1" t="str">
        <f ca="1">IFERROR(__xludf.DUMMYFUNCTION("""COMPUTED_VALUE"""),"Iran")</f>
        <v>Iran</v>
      </c>
      <c r="F2182" s="1" t="str">
        <f ca="1">IFERROR(__xludf.DUMMYFUNCTION("""COMPUTED_VALUE"""),"106.24 China")</f>
        <v>106.24 China</v>
      </c>
      <c r="G2182" s="1" t="str">
        <f ca="1">IFERROR(__xludf.DUMMYFUNCTION("""COMPUTED_VALUE"""),"Freedom of Expression, Individuals At Risk")</f>
        <v>Freedom of Expression, Individuals At Risk</v>
      </c>
      <c r="H2182" s="1" t="str">
        <f ca="1">IFERROR(__xludf.DUMMYFUNCTION("""COMPUTED_VALUE"""),"2024")</f>
        <v>2024</v>
      </c>
      <c r="I2182" s="1" t="str">
        <f ca="1">IFERROR(__xludf.DUMMYFUNCTION("""COMPUTED_VALUE"""),"Email")</f>
        <v>Email</v>
      </c>
    </row>
    <row r="2183" spans="1:9" ht="13" x14ac:dyDescent="0.15">
      <c r="A2183" s="9">
        <f ca="1">IFERROR(__xludf.DUMMYFUNCTION("""COMPUTED_VALUE"""),271157700)</f>
        <v>271157700</v>
      </c>
      <c r="B2183" s="1" t="str">
        <f ca="1">IFERROR(__xludf.DUMMYFUNCTION("""COMPUTED_VALUE"""),"neil.heyden@gmail.com")</f>
        <v>neil.heyden@gmail.com</v>
      </c>
      <c r="C2183" s="9" t="str">
        <f ca="1">IFERROR(__xludf.DUMMYFUNCTION("""COMPUTED_VALUE"""),"EVERGREEN - UAN Gated Content - Embedded Petition")</f>
        <v>EVERGREEN - UAN Gated Content - Embedded Petition</v>
      </c>
      <c r="D2183" s="10">
        <f ca="1">IFERROR(__xludf.DUMMYFUNCTION("""COMPUTED_VALUE"""),45636)</f>
        <v>45636</v>
      </c>
      <c r="E2183" s="1" t="str">
        <f ca="1">IFERROR(__xludf.DUMMYFUNCTION("""COMPUTED_VALUE"""),"China")</f>
        <v>China</v>
      </c>
      <c r="F2183" s="1" t="str">
        <f ca="1">IFERROR(__xludf.DUMMYFUNCTION("""COMPUTED_VALUE"""),"103.24 Niger")</f>
        <v>103.24 Niger</v>
      </c>
      <c r="G2183" s="1" t="str">
        <f ca="1">IFERROR(__xludf.DUMMYFUNCTION("""COMPUTED_VALUE"""),"Freedom of Expression, Human Rights Defenders")</f>
        <v>Freedom of Expression, Human Rights Defenders</v>
      </c>
      <c r="H2183" s="1" t="str">
        <f ca="1">IFERROR(__xludf.DUMMYFUNCTION("""COMPUTED_VALUE"""),"2024")</f>
        <v>2024</v>
      </c>
      <c r="I2183" s="1" t="str">
        <f ca="1">IFERROR(__xludf.DUMMYFUNCTION("""COMPUTED_VALUE"""),"Email")</f>
        <v>Email</v>
      </c>
    </row>
    <row r="2184" spans="1:9" ht="13" x14ac:dyDescent="0.15">
      <c r="A2184" s="9">
        <f ca="1">IFERROR(__xludf.DUMMYFUNCTION("""COMPUTED_VALUE"""),271157700)</f>
        <v>271157700</v>
      </c>
      <c r="B2184" s="1" t="str">
        <f ca="1">IFERROR(__xludf.DUMMYFUNCTION("""COMPUTED_VALUE"""),"neil.heyden@gmail.com")</f>
        <v>neil.heyden@gmail.com</v>
      </c>
      <c r="C2184" s="9" t="str">
        <f ca="1">IFERROR(__xludf.DUMMYFUNCTION("""COMPUTED_VALUE"""),"EVERGREEN - UAN Gated Content - Embedded Petition")</f>
        <v>EVERGREEN - UAN Gated Content - Embedded Petition</v>
      </c>
      <c r="D2184" s="10">
        <f ca="1">IFERROR(__xludf.DUMMYFUNCTION("""COMPUTED_VALUE"""),45636)</f>
        <v>45636</v>
      </c>
      <c r="E2184" s="1" t="str">
        <f ca="1">IFERROR(__xludf.DUMMYFUNCTION("""COMPUTED_VALUE"""),"Niger")</f>
        <v>Niger</v>
      </c>
      <c r="F2184" s="1" t="str">
        <f ca="1">IFERROR(__xludf.DUMMYFUNCTION("""COMPUTED_VALUE"""),"88.24 Dominican Republic")</f>
        <v>88.24 Dominican Republic</v>
      </c>
      <c r="G2184" s="1" t="str">
        <f ca="1">IFERROR(__xludf.DUMMYFUNCTION("""COMPUTED_VALUE"""),"Individuals At Risk, Refugee and Migrant Rights")</f>
        <v>Individuals At Risk, Refugee and Migrant Rights</v>
      </c>
      <c r="H2184" s="1" t="str">
        <f ca="1">IFERROR(__xludf.DUMMYFUNCTION("""COMPUTED_VALUE"""),"2024")</f>
        <v>2024</v>
      </c>
      <c r="I2184" s="1" t="str">
        <f ca="1">IFERROR(__xludf.DUMMYFUNCTION("""COMPUTED_VALUE"""),"Letter")</f>
        <v>Letter</v>
      </c>
    </row>
    <row r="2185" spans="1:9" ht="13" x14ac:dyDescent="0.15">
      <c r="A2185" s="9">
        <f ca="1">IFERROR(__xludf.DUMMYFUNCTION("""COMPUTED_VALUE"""),271157700)</f>
        <v>271157700</v>
      </c>
      <c r="B2185" s="1" t="str">
        <f ca="1">IFERROR(__xludf.DUMMYFUNCTION("""COMPUTED_VALUE"""),"neil.heyden@gmail.com")</f>
        <v>neil.heyden@gmail.com</v>
      </c>
      <c r="C2185" s="9" t="str">
        <f ca="1">IFERROR(__xludf.DUMMYFUNCTION("""COMPUTED_VALUE"""),"EVERGREEN - UAN Gated Content - Embedded Petition")</f>
        <v>EVERGREEN - UAN Gated Content - Embedded Petition</v>
      </c>
      <c r="D2185" s="10">
        <f ca="1">IFERROR(__xludf.DUMMYFUNCTION("""COMPUTED_VALUE"""),45636)</f>
        <v>45636</v>
      </c>
      <c r="E2185" s="1" t="str">
        <f ca="1">IFERROR(__xludf.DUMMYFUNCTION("""COMPUTED_VALUE"""),"Dominican Republic")</f>
        <v>Dominican Republic</v>
      </c>
      <c r="F2185" s="1" t="str">
        <f ca="1">IFERROR(__xludf.DUMMYFUNCTION("""COMPUTED_VALUE"""),"11.25 Afghanistan")</f>
        <v>11.25 Afghanistan</v>
      </c>
      <c r="G2185" s="1" t="str">
        <f ca="1">IFERROR(__xludf.DUMMYFUNCTION("""COMPUTED_VALUE"""),"Freedom of Expression, Health, Individuals At Risk")</f>
        <v>Freedom of Expression, Health, Individuals At Risk</v>
      </c>
      <c r="H2185" s="1" t="str">
        <f ca="1">IFERROR(__xludf.DUMMYFUNCTION("""COMPUTED_VALUE"""),"2025")</f>
        <v>2025</v>
      </c>
      <c r="I2185" s="1" t="str">
        <f ca="1">IFERROR(__xludf.DUMMYFUNCTION("""COMPUTED_VALUE"""),"Email")</f>
        <v>Email</v>
      </c>
    </row>
    <row r="2186" spans="1:9" ht="13" x14ac:dyDescent="0.15">
      <c r="A2186" s="9">
        <f ca="1">IFERROR(__xludf.DUMMYFUNCTION("""COMPUTED_VALUE"""),271157700)</f>
        <v>271157700</v>
      </c>
      <c r="B2186" s="1" t="str">
        <f ca="1">IFERROR(__xludf.DUMMYFUNCTION("""COMPUTED_VALUE"""),"neil.heyden@gmail.com")</f>
        <v>neil.heyden@gmail.com</v>
      </c>
      <c r="C2186" s="9" t="str">
        <f ca="1">IFERROR(__xludf.DUMMYFUNCTION("""COMPUTED_VALUE"""),"EVERGREEN - UAN Gated Content - Embedded Petition")</f>
        <v>EVERGREEN - UAN Gated Content - Embedded Petition</v>
      </c>
      <c r="D2186" s="10">
        <f ca="1">IFERROR(__xludf.DUMMYFUNCTION("""COMPUTED_VALUE"""),45698)</f>
        <v>45698</v>
      </c>
      <c r="E2186" s="1" t="str">
        <f ca="1">IFERROR(__xludf.DUMMYFUNCTION("""COMPUTED_VALUE"""),"Afghanistan")</f>
        <v>Afghanistan</v>
      </c>
      <c r="F2186" s="1" t="str">
        <f ca="1">IFERROR(__xludf.DUMMYFUNCTION("""COMPUTED_VALUE"""),"10.25 Iran")</f>
        <v>10.25 Iran</v>
      </c>
      <c r="G2186" s="1" t="str">
        <f ca="1">IFERROR(__xludf.DUMMYFUNCTION("""COMPUTED_VALUE"""),"Death Penalty, Individuals At Risk")</f>
        <v>Death Penalty, Individuals At Risk</v>
      </c>
      <c r="H2186" s="1" t="str">
        <f ca="1">IFERROR(__xludf.DUMMYFUNCTION("""COMPUTED_VALUE"""),"2025")</f>
        <v>2025</v>
      </c>
      <c r="I2186" s="1" t="str">
        <f ca="1">IFERROR(__xludf.DUMMYFUNCTION("""COMPUTED_VALUE"""),"Email")</f>
        <v>Email</v>
      </c>
    </row>
    <row r="2187" spans="1:9" ht="13" x14ac:dyDescent="0.15">
      <c r="A2187" s="9">
        <f ca="1">IFERROR(__xludf.DUMMYFUNCTION("""COMPUTED_VALUE"""),271344927)</f>
        <v>271344927</v>
      </c>
      <c r="B2187" s="1" t="str">
        <f ca="1">IFERROR(__xludf.DUMMYFUNCTION("""COMPUTED_VALUE"""),"emilypodwoiska27@gmail.com")</f>
        <v>emilypodwoiska27@gmail.com</v>
      </c>
      <c r="C2187" s="9" t="str">
        <f ca="1">IFERROR(__xludf.DUMMYFUNCTION("""COMPUTED_VALUE"""),"EVERGREEN - UAN Gated Content - Embedded Petition")</f>
        <v>EVERGREEN - UAN Gated Content - Embedded Petition</v>
      </c>
      <c r="D2187" s="10">
        <f ca="1">IFERROR(__xludf.DUMMYFUNCTION("""COMPUTED_VALUE"""),45694)</f>
        <v>45694</v>
      </c>
      <c r="E2187" s="1" t="str">
        <f ca="1">IFERROR(__xludf.DUMMYFUNCTION("""COMPUTED_VALUE"""),"Iran")</f>
        <v>Iran</v>
      </c>
      <c r="F2187" s="1" t="str">
        <f ca="1">IFERROR(__xludf.DUMMYFUNCTION("""COMPUTED_VALUE"""),"92.24 Mexico")</f>
        <v>92.24 Mexico</v>
      </c>
      <c r="G2187" s="1" t="str">
        <f ca="1">IFERROR(__xludf.DUMMYFUNCTION("""COMPUTED_VALUE"""),"Human Rights Defenders")</f>
        <v>Human Rights Defenders</v>
      </c>
      <c r="H2187" s="1" t="str">
        <f ca="1">IFERROR(__xludf.DUMMYFUNCTION("""COMPUTED_VALUE"""),"2024")</f>
        <v>2024</v>
      </c>
      <c r="I2187" s="1" t="str">
        <f ca="1">IFERROR(__xludf.DUMMYFUNCTION("""COMPUTED_VALUE"""),"Email")</f>
        <v>Email</v>
      </c>
    </row>
    <row r="2188" spans="1:9" ht="13" x14ac:dyDescent="0.15">
      <c r="A2188" s="9">
        <f ca="1">IFERROR(__xludf.DUMMYFUNCTION("""COMPUTED_VALUE"""),271494066)</f>
        <v>271494066</v>
      </c>
      <c r="B2188" s="1" t="str">
        <f ca="1">IFERROR(__xludf.DUMMYFUNCTION("""COMPUTED_VALUE"""),"jgorton25@pacificridge.org")</f>
        <v>jgorton25@pacificridge.org</v>
      </c>
      <c r="C2188" s="9" t="str">
        <f ca="1">IFERROR(__xludf.DUMMYFUNCTION("""COMPUTED_VALUE"""),"EVERGREEN - UAN Gated Content - Embedded Petition")</f>
        <v>EVERGREEN - UAN Gated Content - Embedded Petition</v>
      </c>
      <c r="D2188" s="10">
        <f ca="1">IFERROR(__xludf.DUMMYFUNCTION("""COMPUTED_VALUE"""),45685)</f>
        <v>45685</v>
      </c>
      <c r="E2188" s="1" t="str">
        <f ca="1">IFERROR(__xludf.DUMMYFUNCTION("""COMPUTED_VALUE"""),"Mexico")</f>
        <v>Mexico</v>
      </c>
      <c r="F2188" s="1" t="str">
        <f ca="1">IFERROR(__xludf.DUMMYFUNCTION("""COMPUTED_VALUE"""),"4.25 USA")</f>
        <v>4.25 USA</v>
      </c>
      <c r="G2188" s="1" t="str">
        <f ca="1">IFERROR(__xludf.DUMMYFUNCTION("""COMPUTED_VALUE"""),"Individuals At Risk, Refugee and Migrant Rights")</f>
        <v>Individuals At Risk, Refugee and Migrant Rights</v>
      </c>
      <c r="H2188" s="1" t="str">
        <f ca="1">IFERROR(__xludf.DUMMYFUNCTION("""COMPUTED_VALUE"""),"2025")</f>
        <v>2025</v>
      </c>
      <c r="I2188" s="1" t="str">
        <f ca="1">IFERROR(__xludf.DUMMYFUNCTION("""COMPUTED_VALUE"""),"Letter")</f>
        <v>Letter</v>
      </c>
    </row>
    <row r="2189" spans="1:9" ht="13" x14ac:dyDescent="0.15">
      <c r="A2189" s="9">
        <f ca="1">IFERROR(__xludf.DUMMYFUNCTION("""COMPUTED_VALUE"""),271494116)</f>
        <v>271494116</v>
      </c>
      <c r="B2189" s="1" t="str">
        <f ca="1">IFERROR(__xludf.DUMMYFUNCTION("""COMPUTED_VALUE"""),"ogriffis26@pacificridge.org")</f>
        <v>ogriffis26@pacificridge.org</v>
      </c>
      <c r="C2189" s="9" t="str">
        <f ca="1">IFERROR(__xludf.DUMMYFUNCTION("""COMPUTED_VALUE"""),"EVERGREEN - UAN Gated Content - Embedded Petition")</f>
        <v>EVERGREEN - UAN Gated Content - Embedded Petition</v>
      </c>
      <c r="D2189" s="10">
        <f ca="1">IFERROR(__xludf.DUMMYFUNCTION("""COMPUTED_VALUE"""),45693)</f>
        <v>45693</v>
      </c>
      <c r="E2189" s="1" t="str">
        <f ca="1">IFERROR(__xludf.DUMMYFUNCTION("""COMPUTED_VALUE"""),"USA")</f>
        <v>USA</v>
      </c>
      <c r="F2189" s="1" t="str">
        <f ca="1">IFERROR(__xludf.DUMMYFUNCTION("""COMPUTED_VALUE"""),"3.25 IOPT")</f>
        <v>3.25 IOPT</v>
      </c>
      <c r="G2189" s="1" t="str">
        <f ca="1">IFERROR(__xludf.DUMMYFUNCTION("""COMPUTED_VALUE"""),"Freedom of Expression, Individuals At Risk")</f>
        <v>Freedom of Expression, Individuals At Risk</v>
      </c>
      <c r="H2189" s="1" t="str">
        <f ca="1">IFERROR(__xludf.DUMMYFUNCTION("""COMPUTED_VALUE"""),"2025")</f>
        <v>2025</v>
      </c>
      <c r="I2189" s="1" t="str">
        <f ca="1">IFERROR(__xludf.DUMMYFUNCTION("""COMPUTED_VALUE"""),"Email")</f>
        <v>Email</v>
      </c>
    </row>
    <row r="2190" spans="1:9" ht="13" x14ac:dyDescent="0.15">
      <c r="A2190" s="9">
        <f ca="1">IFERROR(__xludf.DUMMYFUNCTION("""COMPUTED_VALUE"""),271529394)</f>
        <v>271529394</v>
      </c>
      <c r="B2190" s="1" t="str">
        <f ca="1">IFERROR(__xludf.DUMMYFUNCTION("""COMPUTED_VALUE"""),"samertallauze@yahoo.com")</f>
        <v>samertallauze@yahoo.com</v>
      </c>
      <c r="C2190" s="9" t="str">
        <f ca="1">IFERROR(__xludf.DUMMYFUNCTION("""COMPUTED_VALUE"""),"EVERGREEN - UAN Gated Content - Embedded Petition")</f>
        <v>EVERGREEN - UAN Gated Content - Embedded Petition</v>
      </c>
      <c r="D2190" s="10">
        <f ca="1">IFERROR(__xludf.DUMMYFUNCTION("""COMPUTED_VALUE"""),45673)</f>
        <v>45673</v>
      </c>
      <c r="E2190" s="1" t="str">
        <f ca="1">IFERROR(__xludf.DUMMYFUNCTION("""COMPUTED_VALUE"""),"Israel and Occupied Palestinian Territories")</f>
        <v>Israel and Occupied Palestinian Territories</v>
      </c>
      <c r="F2190" s="1" t="str">
        <f ca="1">IFERROR(__xludf.DUMMYFUNCTION("""COMPUTED_VALUE"""),"103.24 Niger")</f>
        <v>103.24 Niger</v>
      </c>
      <c r="G2190" s="1" t="str">
        <f ca="1">IFERROR(__xludf.DUMMYFUNCTION("""COMPUTED_VALUE"""),"Freedom of Expression, Human Rights Defenders")</f>
        <v>Freedom of Expression, Human Rights Defenders</v>
      </c>
      <c r="H2190" s="1" t="str">
        <f ca="1">IFERROR(__xludf.DUMMYFUNCTION("""COMPUTED_VALUE"""),"2024")</f>
        <v>2024</v>
      </c>
      <c r="I2190" s="1" t="str">
        <f ca="1">IFERROR(__xludf.DUMMYFUNCTION("""COMPUTED_VALUE"""),"Email")</f>
        <v>Email</v>
      </c>
    </row>
    <row r="2191" spans="1:9" ht="13" x14ac:dyDescent="0.15">
      <c r="A2191" s="9">
        <f ca="1">IFERROR(__xludf.DUMMYFUNCTION("""COMPUTED_VALUE"""),271666438)</f>
        <v>271666438</v>
      </c>
      <c r="B2191" s="1" t="str">
        <f ca="1">IFERROR(__xludf.DUMMYFUNCTION("""COMPUTED_VALUE"""),"mvheesewijk@icloud.com")</f>
        <v>mvheesewijk@icloud.com</v>
      </c>
      <c r="C2191" s="9" t="str">
        <f ca="1">IFERROR(__xludf.DUMMYFUNCTION("""COMPUTED_VALUE"""),"EVERGREEN - UAN Gated Content - Embedded Petition")</f>
        <v>EVERGREEN - UAN Gated Content - Embedded Petition</v>
      </c>
      <c r="D2191" s="10">
        <f ca="1">IFERROR(__xludf.DUMMYFUNCTION("""COMPUTED_VALUE"""),45703)</f>
        <v>45703</v>
      </c>
      <c r="E2191" s="1" t="str">
        <f ca="1">IFERROR(__xludf.DUMMYFUNCTION("""COMPUTED_VALUE"""),"Niger")</f>
        <v>Niger</v>
      </c>
      <c r="F2191" s="1" t="str">
        <f ca="1">IFERROR(__xludf.DUMMYFUNCTION("""COMPUTED_VALUE"""),"Third 73.23 Egypt")</f>
        <v>Third 73.23 Egypt</v>
      </c>
      <c r="G2191" s="1" t="str">
        <f ca="1">IFERROR(__xludf.DUMMYFUNCTION("""COMPUTED_VALUE"""),"Individuals At Risk")</f>
        <v>Individuals At Risk</v>
      </c>
      <c r="H2191" s="1" t="str">
        <f ca="1">IFERROR(__xludf.DUMMYFUNCTION("""COMPUTED_VALUE"""),"2024")</f>
        <v>2024</v>
      </c>
      <c r="I2191" s="1" t="str">
        <f ca="1">IFERROR(__xludf.DUMMYFUNCTION("""COMPUTED_VALUE"""),"Email")</f>
        <v>Email</v>
      </c>
    </row>
    <row r="2192" spans="1:9" ht="13" x14ac:dyDescent="0.15">
      <c r="A2192" s="9">
        <f ca="1">IFERROR(__xludf.DUMMYFUNCTION("""COMPUTED_VALUE"""),272212710)</f>
        <v>272212710</v>
      </c>
      <c r="B2192" s="1" t="str">
        <f ca="1">IFERROR(__xludf.DUMMYFUNCTION("""COMPUTED_VALUE"""),"medonohue@outlook.com")</f>
        <v>medonohue@outlook.com</v>
      </c>
      <c r="C2192" s="9" t="str">
        <f ca="1">IFERROR(__xludf.DUMMYFUNCTION("""COMPUTED_VALUE"""),"EVERGREEN - UAN Gated Content - Embedded Petition")</f>
        <v>EVERGREEN - UAN Gated Content - Embedded Petition</v>
      </c>
      <c r="D2192" s="10">
        <f ca="1">IFERROR(__xludf.DUMMYFUNCTION("""COMPUTED_VALUE"""),45695)</f>
        <v>45695</v>
      </c>
      <c r="E2192" s="1" t="str">
        <f ca="1">IFERROR(__xludf.DUMMYFUNCTION("""COMPUTED_VALUE"""),"Egypt")</f>
        <v>Egypt</v>
      </c>
      <c r="F2192" s="1" t="str">
        <f ca="1">IFERROR(__xludf.DUMMYFUNCTION("""COMPUTED_VALUE"""),"103.24 Niger")</f>
        <v>103.24 Niger</v>
      </c>
      <c r="G2192" s="1" t="str">
        <f ca="1">IFERROR(__xludf.DUMMYFUNCTION("""COMPUTED_VALUE"""),"Freedom of Expression, Human Rights Defenders")</f>
        <v>Freedom of Expression, Human Rights Defenders</v>
      </c>
      <c r="H2192" s="1" t="str">
        <f ca="1">IFERROR(__xludf.DUMMYFUNCTION("""COMPUTED_VALUE"""),"2024")</f>
        <v>2024</v>
      </c>
      <c r="I2192" s="1" t="str">
        <f ca="1">IFERROR(__xludf.DUMMYFUNCTION("""COMPUTED_VALUE"""),"Email")</f>
        <v>Email</v>
      </c>
    </row>
    <row r="2193" spans="1:9" ht="13" x14ac:dyDescent="0.15">
      <c r="A2193" s="9">
        <f ca="1">IFERROR(__xludf.DUMMYFUNCTION("""COMPUTED_VALUE"""),272324914)</f>
        <v>272324914</v>
      </c>
      <c r="B2193" s="1" t="str">
        <f ca="1">IFERROR(__xludf.DUMMYFUNCTION("""COMPUTED_VALUE"""),"deirdreoreilly2005@yahoo.co.uk")</f>
        <v>deirdreoreilly2005@yahoo.co.uk</v>
      </c>
      <c r="C2193" s="9" t="str">
        <f ca="1">IFERROR(__xludf.DUMMYFUNCTION("""COMPUTED_VALUE"""),"EVERGREEN - UAN Gated Content - Embedded Petition")</f>
        <v>EVERGREEN - UAN Gated Content - Embedded Petition</v>
      </c>
      <c r="D2193" s="10">
        <f ca="1">IFERROR(__xludf.DUMMYFUNCTION("""COMPUTED_VALUE"""),45691)</f>
        <v>45691</v>
      </c>
      <c r="E2193" s="1" t="str">
        <f ca="1">IFERROR(__xludf.DUMMYFUNCTION("""COMPUTED_VALUE"""),"Niger")</f>
        <v>Niger</v>
      </c>
      <c r="F2193" s="1" t="str">
        <f ca="1">IFERROR(__xludf.DUMMYFUNCTION("""COMPUTED_VALUE"""),"Second 76.24 Tunisia")</f>
        <v>Second 76.24 Tunisia</v>
      </c>
      <c r="G2193" s="1" t="str">
        <f ca="1">IFERROR(__xludf.DUMMYFUNCTION("""COMPUTED_VALUE"""),"Freedom of Expression, Human Rights Defenders")</f>
        <v>Freedom of Expression, Human Rights Defenders</v>
      </c>
      <c r="H2193" s="1" t="str">
        <f ca="1">IFERROR(__xludf.DUMMYFUNCTION("""COMPUTED_VALUE"""),"2025")</f>
        <v>2025</v>
      </c>
      <c r="I2193" s="1" t="str">
        <f ca="1">IFERROR(__xludf.DUMMYFUNCTION("""COMPUTED_VALUE"""),"Email")</f>
        <v>Email</v>
      </c>
    </row>
    <row r="2194" spans="1:9" ht="13" x14ac:dyDescent="0.15">
      <c r="A2194" s="9">
        <f ca="1">IFERROR(__xludf.DUMMYFUNCTION("""COMPUTED_VALUE"""),272324914)</f>
        <v>272324914</v>
      </c>
      <c r="B2194" s="1" t="str">
        <f ca="1">IFERROR(__xludf.DUMMYFUNCTION("""COMPUTED_VALUE"""),"deirdreoreilly2005@yahoo.co.uk")</f>
        <v>deirdreoreilly2005@yahoo.co.uk</v>
      </c>
      <c r="C2194" s="9" t="str">
        <f ca="1">IFERROR(__xludf.DUMMYFUNCTION("""COMPUTED_VALUE"""),"EVERGREEN - UAN Gated Content - Embedded Petition")</f>
        <v>EVERGREEN - UAN Gated Content - Embedded Petition</v>
      </c>
      <c r="D2194" s="10">
        <f ca="1">IFERROR(__xludf.DUMMYFUNCTION("""COMPUTED_VALUE"""),45686)</f>
        <v>45686</v>
      </c>
      <c r="E2194" s="1" t="str">
        <f ca="1">IFERROR(__xludf.DUMMYFUNCTION("""COMPUTED_VALUE"""),"Tunisia")</f>
        <v>Tunisia</v>
      </c>
      <c r="F2194" s="1" t="str">
        <f ca="1">IFERROR(__xludf.DUMMYFUNCTION("""COMPUTED_VALUE"""),"Second 76.24 Tunisia")</f>
        <v>Second 76.24 Tunisia</v>
      </c>
      <c r="G2194" s="1" t="str">
        <f ca="1">IFERROR(__xludf.DUMMYFUNCTION("""COMPUTED_VALUE"""),"Freedom of Expression, Human Rights Defenders")</f>
        <v>Freedom of Expression, Human Rights Defenders</v>
      </c>
      <c r="H2194" s="1" t="str">
        <f ca="1">IFERROR(__xludf.DUMMYFUNCTION("""COMPUTED_VALUE"""),"2025")</f>
        <v>2025</v>
      </c>
      <c r="I2194" s="1" t="str">
        <f ca="1">IFERROR(__xludf.DUMMYFUNCTION("""COMPUTED_VALUE"""),"Email")</f>
        <v>Email</v>
      </c>
    </row>
    <row r="2195" spans="1:9" ht="13" x14ac:dyDescent="0.15">
      <c r="A2195" s="9">
        <f ca="1">IFERROR(__xludf.DUMMYFUNCTION("""COMPUTED_VALUE"""),272324914)</f>
        <v>272324914</v>
      </c>
      <c r="B2195" s="1" t="str">
        <f ca="1">IFERROR(__xludf.DUMMYFUNCTION("""COMPUTED_VALUE"""),"deirdreoreilly2005@yahoo.co.uk")</f>
        <v>deirdreoreilly2005@yahoo.co.uk</v>
      </c>
      <c r="C2195" s="9" t="str">
        <f ca="1">IFERROR(__xludf.DUMMYFUNCTION("""COMPUTED_VALUE"""),"EVERGREEN - UAN Gated Content - Embedded Petition")</f>
        <v>EVERGREEN - UAN Gated Content - Embedded Petition</v>
      </c>
      <c r="D2195" s="10">
        <f ca="1">IFERROR(__xludf.DUMMYFUNCTION("""COMPUTED_VALUE"""),45692)</f>
        <v>45692</v>
      </c>
      <c r="E2195" s="1" t="str">
        <f ca="1">IFERROR(__xludf.DUMMYFUNCTION("""COMPUTED_VALUE"""),"Tunisia")</f>
        <v>Tunisia</v>
      </c>
      <c r="F2195" s="1" t="str">
        <f ca="1">IFERROR(__xludf.DUMMYFUNCTION("""COMPUTED_VALUE"""),"Second 43.24 Tunisia")</f>
        <v>Second 43.24 Tunisia</v>
      </c>
      <c r="G2195" s="1" t="str">
        <f ca="1">IFERROR(__xludf.DUMMYFUNCTION("""COMPUTED_VALUE"""),"Freedom of Expression, Individuals At Risk")</f>
        <v>Freedom of Expression, Individuals At Risk</v>
      </c>
      <c r="H2195" s="1" t="str">
        <f ca="1">IFERROR(__xludf.DUMMYFUNCTION("""COMPUTED_VALUE"""),"2024")</f>
        <v>2024</v>
      </c>
      <c r="I2195" s="1" t="str">
        <f ca="1">IFERROR(__xludf.DUMMYFUNCTION("""COMPUTED_VALUE"""),"Email")</f>
        <v>Email</v>
      </c>
    </row>
    <row r="2196" spans="1:9" ht="13" x14ac:dyDescent="0.15">
      <c r="A2196" s="9">
        <f ca="1">IFERROR(__xludf.DUMMYFUNCTION("""COMPUTED_VALUE"""),272324914)</f>
        <v>272324914</v>
      </c>
      <c r="B2196" s="1" t="str">
        <f ca="1">IFERROR(__xludf.DUMMYFUNCTION("""COMPUTED_VALUE"""),"deirdreoreilly2005@yahoo.co.uk")</f>
        <v>deirdreoreilly2005@yahoo.co.uk</v>
      </c>
      <c r="C2196" s="9" t="str">
        <f ca="1">IFERROR(__xludf.DUMMYFUNCTION("""COMPUTED_VALUE"""),"EVERGREEN - UAN Gated Content - Embedded Petition")</f>
        <v>EVERGREEN - UAN Gated Content - Embedded Petition</v>
      </c>
      <c r="D2196" s="10">
        <f ca="1">IFERROR(__xludf.DUMMYFUNCTION("""COMPUTED_VALUE"""),45653)</f>
        <v>45653</v>
      </c>
      <c r="E2196" s="1" t="str">
        <f ca="1">IFERROR(__xludf.DUMMYFUNCTION("""COMPUTED_VALUE"""),"Tunisia")</f>
        <v>Tunisia</v>
      </c>
      <c r="F2196" s="1" t="str">
        <f ca="1">IFERROR(__xludf.DUMMYFUNCTION("""COMPUTED_VALUE"""),"1.25 Venezuela")</f>
        <v>1.25 Venezuela</v>
      </c>
      <c r="G2196" s="1" t="str">
        <f ca="1">IFERROR(__xludf.DUMMYFUNCTION("""COMPUTED_VALUE"""),"Human Rights Defenders, Individuals At Risk")</f>
        <v>Human Rights Defenders, Individuals At Risk</v>
      </c>
      <c r="H2196" s="1" t="str">
        <f ca="1">IFERROR(__xludf.DUMMYFUNCTION("""COMPUTED_VALUE"""),"2025")</f>
        <v>2025</v>
      </c>
      <c r="I2196" s="1" t="str">
        <f ca="1">IFERROR(__xludf.DUMMYFUNCTION("""COMPUTED_VALUE"""),"Letter")</f>
        <v>Letter</v>
      </c>
    </row>
    <row r="2197" spans="1:9" ht="13" x14ac:dyDescent="0.15">
      <c r="A2197" s="9">
        <f ca="1">IFERROR(__xludf.DUMMYFUNCTION("""COMPUTED_VALUE"""),272324914)</f>
        <v>272324914</v>
      </c>
      <c r="B2197" s="1" t="str">
        <f ca="1">IFERROR(__xludf.DUMMYFUNCTION("""COMPUTED_VALUE"""),"deirdreoreilly2005@yahoo.co.uk")</f>
        <v>deirdreoreilly2005@yahoo.co.uk</v>
      </c>
      <c r="C2197" s="9" t="str">
        <f ca="1">IFERROR(__xludf.DUMMYFUNCTION("""COMPUTED_VALUE"""),"EVERGREEN - UAN Gated Content - Embedded Petition")</f>
        <v>EVERGREEN - UAN Gated Content - Embedded Petition</v>
      </c>
      <c r="D2197" s="10">
        <f ca="1">IFERROR(__xludf.DUMMYFUNCTION("""COMPUTED_VALUE"""),45705)</f>
        <v>45705</v>
      </c>
      <c r="E2197" s="1" t="str">
        <f ca="1">IFERROR(__xludf.DUMMYFUNCTION("""COMPUTED_VALUE"""),"Venezuela")</f>
        <v>Venezuela</v>
      </c>
      <c r="F2197" s="1" t="str">
        <f ca="1">IFERROR(__xludf.DUMMYFUNCTION("""COMPUTED_VALUE"""),"Third 73.23 Egypt")</f>
        <v>Third 73.23 Egypt</v>
      </c>
      <c r="G2197" s="1" t="str">
        <f ca="1">IFERROR(__xludf.DUMMYFUNCTION("""COMPUTED_VALUE"""),"Individuals At Risk")</f>
        <v>Individuals At Risk</v>
      </c>
      <c r="H2197" s="1" t="str">
        <f ca="1">IFERROR(__xludf.DUMMYFUNCTION("""COMPUTED_VALUE"""),"2024")</f>
        <v>2024</v>
      </c>
      <c r="I2197" s="1" t="str">
        <f ca="1">IFERROR(__xludf.DUMMYFUNCTION("""COMPUTED_VALUE"""),"Email")</f>
        <v>Email</v>
      </c>
    </row>
    <row r="2198" spans="1:9" ht="13" x14ac:dyDescent="0.15">
      <c r="A2198" s="9">
        <f ca="1">IFERROR(__xludf.DUMMYFUNCTION("""COMPUTED_VALUE"""),272324914)</f>
        <v>272324914</v>
      </c>
      <c r="B2198" s="1" t="str">
        <f ca="1">IFERROR(__xludf.DUMMYFUNCTION("""COMPUTED_VALUE"""),"deirdreoreilly2005@yahoo.co.uk")</f>
        <v>deirdreoreilly2005@yahoo.co.uk</v>
      </c>
      <c r="C2198" s="9" t="str">
        <f ca="1">IFERROR(__xludf.DUMMYFUNCTION("""COMPUTED_VALUE"""),"EVERGREEN - UAN Gated Content - Embedded Petition")</f>
        <v>EVERGREEN - UAN Gated Content - Embedded Petition</v>
      </c>
      <c r="D2198" s="10">
        <f ca="1">IFERROR(__xludf.DUMMYFUNCTION("""COMPUTED_VALUE"""),45706)</f>
        <v>45706</v>
      </c>
      <c r="E2198" s="1" t="str">
        <f ca="1">IFERROR(__xludf.DUMMYFUNCTION("""COMPUTED_VALUE"""),"Egypt")</f>
        <v>Egypt</v>
      </c>
      <c r="F2198" s="1" t="str">
        <f ca="1">IFERROR(__xludf.DUMMYFUNCTION("""COMPUTED_VALUE"""),"Second 76.24 Tunisia")</f>
        <v>Second 76.24 Tunisia</v>
      </c>
      <c r="G2198" s="1" t="str">
        <f ca="1">IFERROR(__xludf.DUMMYFUNCTION("""COMPUTED_VALUE"""),"Freedom of Expression, Human Rights Defenders")</f>
        <v>Freedom of Expression, Human Rights Defenders</v>
      </c>
      <c r="H2198" s="1" t="str">
        <f ca="1">IFERROR(__xludf.DUMMYFUNCTION("""COMPUTED_VALUE"""),"2025")</f>
        <v>2025</v>
      </c>
      <c r="I2198" s="1" t="str">
        <f ca="1">IFERROR(__xludf.DUMMYFUNCTION("""COMPUTED_VALUE"""),"Email")</f>
        <v>Email</v>
      </c>
    </row>
    <row r="2199" spans="1:9" ht="13" x14ac:dyDescent="0.15">
      <c r="A2199" s="9">
        <f ca="1">IFERROR(__xludf.DUMMYFUNCTION("""COMPUTED_VALUE"""),272324914)</f>
        <v>272324914</v>
      </c>
      <c r="B2199" s="1" t="str">
        <f ca="1">IFERROR(__xludf.DUMMYFUNCTION("""COMPUTED_VALUE"""),"deirdreoreilly2005@yahoo.co.uk")</f>
        <v>deirdreoreilly2005@yahoo.co.uk</v>
      </c>
      <c r="C2199" s="9" t="str">
        <f ca="1">IFERROR(__xludf.DUMMYFUNCTION("""COMPUTED_VALUE"""),"EVERGREEN - Website Email Capture Form - UAN Pre-Footer")</f>
        <v>EVERGREEN - Website Email Capture Form - UAN Pre-Footer</v>
      </c>
      <c r="D2199" s="10">
        <f ca="1">IFERROR(__xludf.DUMMYFUNCTION("""COMPUTED_VALUE"""),45699)</f>
        <v>45699</v>
      </c>
      <c r="E2199" s="1" t="str">
        <f ca="1">IFERROR(__xludf.DUMMYFUNCTION("""COMPUTED_VALUE"""),"Tunisia")</f>
        <v>Tunisia</v>
      </c>
      <c r="F2199" s="1" t="str">
        <f ca="1">IFERROR(__xludf.DUMMYFUNCTION("""COMPUTED_VALUE"""),"Second 76.24 Tunisia")</f>
        <v>Second 76.24 Tunisia</v>
      </c>
      <c r="G2199" s="1" t="str">
        <f ca="1">IFERROR(__xludf.DUMMYFUNCTION("""COMPUTED_VALUE"""),"Freedom of Expression, Human Rights Defenders")</f>
        <v>Freedom of Expression, Human Rights Defenders</v>
      </c>
      <c r="H2199" s="1" t="str">
        <f ca="1">IFERROR(__xludf.DUMMYFUNCTION("""COMPUTED_VALUE"""),"2025")</f>
        <v>2025</v>
      </c>
      <c r="I2199" s="1" t="str">
        <f ca="1">IFERROR(__xludf.DUMMYFUNCTION("""COMPUTED_VALUE"""),"Email")</f>
        <v>Email</v>
      </c>
    </row>
    <row r="2200" spans="1:9" ht="13" x14ac:dyDescent="0.15">
      <c r="A2200" s="9">
        <f ca="1">IFERROR(__xludf.DUMMYFUNCTION("""COMPUTED_VALUE"""),272729444)</f>
        <v>272729444</v>
      </c>
      <c r="B2200" s="1" t="str">
        <f ca="1">IFERROR(__xludf.DUMMYFUNCTION("""COMPUTED_VALUE"""),"kaitlyncoppola@gmail.com")</f>
        <v>kaitlyncoppola@gmail.com</v>
      </c>
      <c r="C2200" s="9" t="str">
        <f ca="1">IFERROR(__xludf.DUMMYFUNCTION("""COMPUTED_VALUE"""),"EVERGREEN - UAN Gated Content - Embedded Petition")</f>
        <v>EVERGREEN - UAN Gated Content - Embedded Petition</v>
      </c>
      <c r="D2200" s="10">
        <f ca="1">IFERROR(__xludf.DUMMYFUNCTION("""COMPUTED_VALUE"""),45672)</f>
        <v>45672</v>
      </c>
      <c r="E2200" s="1" t="str">
        <f ca="1">IFERROR(__xludf.DUMMYFUNCTION("""COMPUTED_VALUE"""),"Tunisia")</f>
        <v>Tunisia</v>
      </c>
      <c r="F2200" s="1" t="str">
        <f ca="1">IFERROR(__xludf.DUMMYFUNCTION("""COMPUTED_VALUE"""),"Seventh 103.22 Iran")</f>
        <v>Seventh 103.22 Iran</v>
      </c>
      <c r="G2200" s="1" t="str">
        <f ca="1">IFERROR(__xludf.DUMMYFUNCTION("""COMPUTED_VALUE"""),"Death Penalty, Freedom of Expression, Individuals At Risk")</f>
        <v>Death Penalty, Freedom of Expression, Individuals At Risk</v>
      </c>
      <c r="H2200" s="1" t="str">
        <f ca="1">IFERROR(__xludf.DUMMYFUNCTION("""COMPUTED_VALUE"""),"2024")</f>
        <v>2024</v>
      </c>
      <c r="I2200" s="1" t="str">
        <f ca="1">IFERROR(__xludf.DUMMYFUNCTION("""COMPUTED_VALUE"""),"Email")</f>
        <v>Email</v>
      </c>
    </row>
    <row r="2201" spans="1:9" ht="13" x14ac:dyDescent="0.15">
      <c r="A2201" s="9">
        <f ca="1">IFERROR(__xludf.DUMMYFUNCTION("""COMPUTED_VALUE"""),272729482)</f>
        <v>272729482</v>
      </c>
      <c r="B2201" s="1" t="str">
        <f ca="1">IFERROR(__xludf.DUMMYFUNCTION("""COMPUTED_VALUE"""),"omama.marzuq@gmail.com")</f>
        <v>omama.marzuq@gmail.com</v>
      </c>
      <c r="C2201" s="9" t="str">
        <f ca="1">IFERROR(__xludf.DUMMYFUNCTION("""COMPUTED_VALUE"""),"EVERGREEN - UAN Gated Content - Embedded Petition")</f>
        <v>EVERGREEN - UAN Gated Content - Embedded Petition</v>
      </c>
      <c r="D2201" s="10">
        <f ca="1">IFERROR(__xludf.DUMMYFUNCTION("""COMPUTED_VALUE"""),45672)</f>
        <v>45672</v>
      </c>
      <c r="E2201" s="1" t="str">
        <f ca="1">IFERROR(__xludf.DUMMYFUNCTION("""COMPUTED_VALUE"""),"Iran")</f>
        <v>Iran</v>
      </c>
      <c r="F2201" s="1" t="str">
        <f ca="1">IFERROR(__xludf.DUMMYFUNCTION("""COMPUTED_VALUE"""),"3.25 IOPT")</f>
        <v>3.25 IOPT</v>
      </c>
      <c r="G2201" s="1" t="str">
        <f ca="1">IFERROR(__xludf.DUMMYFUNCTION("""COMPUTED_VALUE"""),"Freedom of Expression, Individuals At Risk")</f>
        <v>Freedom of Expression, Individuals At Risk</v>
      </c>
      <c r="H2201" s="1" t="str">
        <f ca="1">IFERROR(__xludf.DUMMYFUNCTION("""COMPUTED_VALUE"""),"2025")</f>
        <v>2025</v>
      </c>
      <c r="I2201" s="1" t="str">
        <f ca="1">IFERROR(__xludf.DUMMYFUNCTION("""COMPUTED_VALUE"""),"Email")</f>
        <v>Email</v>
      </c>
    </row>
    <row r="2202" spans="1:9" ht="13" x14ac:dyDescent="0.15">
      <c r="A2202" s="9">
        <f ca="1">IFERROR(__xludf.DUMMYFUNCTION("""COMPUTED_VALUE"""),272976613)</f>
        <v>272976613</v>
      </c>
      <c r="B2202" s="1" t="str">
        <f ca="1">IFERROR(__xludf.DUMMYFUNCTION("""COMPUTED_VALUE"""),"venla.annukka@gmail.com")</f>
        <v>venla.annukka@gmail.com</v>
      </c>
      <c r="C2202" s="9" t="str">
        <f ca="1">IFERROR(__xludf.DUMMYFUNCTION("""COMPUTED_VALUE"""),"EVERGREEN - UAN Gated Content - Embedded Petition")</f>
        <v>EVERGREEN - UAN Gated Content - Embedded Petition</v>
      </c>
      <c r="D2202" s="10">
        <f ca="1">IFERROR(__xludf.DUMMYFUNCTION("""COMPUTED_VALUE"""),45704)</f>
        <v>45704</v>
      </c>
      <c r="E2202" s="1" t="str">
        <f ca="1">IFERROR(__xludf.DUMMYFUNCTION("""COMPUTED_VALUE"""),"Israel and Occupied Palestinian Territories")</f>
        <v>Israel and Occupied Palestinian Territories</v>
      </c>
      <c r="F2202" s="1" t="str">
        <f ca="1">IFERROR(__xludf.DUMMYFUNCTION("""COMPUTED_VALUE"""),"4.25 USA")</f>
        <v>4.25 USA</v>
      </c>
      <c r="G2202" s="1" t="str">
        <f ca="1">IFERROR(__xludf.DUMMYFUNCTION("""COMPUTED_VALUE"""),"Individuals At Risk, Refugee and Migrant Rights")</f>
        <v>Individuals At Risk, Refugee and Migrant Rights</v>
      </c>
      <c r="H2202" s="1" t="str">
        <f ca="1">IFERROR(__xludf.DUMMYFUNCTION("""COMPUTED_VALUE"""),"2025")</f>
        <v>2025</v>
      </c>
      <c r="I2202" s="1" t="str">
        <f ca="1">IFERROR(__xludf.DUMMYFUNCTION("""COMPUTED_VALUE"""),"Letter")</f>
        <v>Letter</v>
      </c>
    </row>
    <row r="2203" spans="1:9" ht="13" x14ac:dyDescent="0.15">
      <c r="A2203" s="9">
        <f ca="1">IFERROR(__xludf.DUMMYFUNCTION("""COMPUTED_VALUE"""),273007733)</f>
        <v>273007733</v>
      </c>
      <c r="B2203" s="1" t="str">
        <f ca="1">IFERROR(__xludf.DUMMYFUNCTION("""COMPUTED_VALUE"""),"cassandratorrico@yahoo.com")</f>
        <v>cassandratorrico@yahoo.com</v>
      </c>
      <c r="C2203" s="9" t="str">
        <f ca="1">IFERROR(__xludf.DUMMYFUNCTION("""COMPUTED_VALUE"""),"EVERGREEN - UAN Gated Content - Embedded Petition")</f>
        <v>EVERGREEN - UAN Gated Content - Embedded Petition</v>
      </c>
      <c r="D2203" s="10">
        <f ca="1">IFERROR(__xludf.DUMMYFUNCTION("""COMPUTED_VALUE"""),45672)</f>
        <v>45672</v>
      </c>
      <c r="E2203" s="1" t="str">
        <f ca="1">IFERROR(__xludf.DUMMYFUNCTION("""COMPUTED_VALUE"""),"USA")</f>
        <v>USA</v>
      </c>
      <c r="F2203" s="1" t="str">
        <f ca="1">IFERROR(__xludf.DUMMYFUNCTION("""COMPUTED_VALUE"""),"Seventh 103.22 Iran")</f>
        <v>Seventh 103.22 Iran</v>
      </c>
      <c r="G2203" s="1" t="str">
        <f ca="1">IFERROR(__xludf.DUMMYFUNCTION("""COMPUTED_VALUE"""),"Death Penalty, Freedom of Expression, Individuals At Risk")</f>
        <v>Death Penalty, Freedom of Expression, Individuals At Risk</v>
      </c>
      <c r="H2203" s="1" t="str">
        <f ca="1">IFERROR(__xludf.DUMMYFUNCTION("""COMPUTED_VALUE"""),"2024")</f>
        <v>2024</v>
      </c>
      <c r="I2203" s="1" t="str">
        <f ca="1">IFERROR(__xludf.DUMMYFUNCTION("""COMPUTED_VALUE"""),"Email")</f>
        <v>Email</v>
      </c>
    </row>
    <row r="2204" spans="1:9" ht="13" x14ac:dyDescent="0.15">
      <c r="A2204" s="9">
        <f ca="1">IFERROR(__xludf.DUMMYFUNCTION("""COMPUTED_VALUE"""),273008441)</f>
        <v>273008441</v>
      </c>
      <c r="B2204" s="1" t="str">
        <f ca="1">IFERROR(__xludf.DUMMYFUNCTION("""COMPUTED_VALUE"""),"happpymomoften@gmail.com")</f>
        <v>happpymomoften@gmail.com</v>
      </c>
      <c r="C2204" s="9" t="str">
        <f ca="1">IFERROR(__xludf.DUMMYFUNCTION("""COMPUTED_VALUE"""),"EVERGREEN - Website Email Capture Form - UAN Pre-Footer")</f>
        <v>EVERGREEN - Website Email Capture Form - UAN Pre-Footer</v>
      </c>
      <c r="D2204" s="10">
        <f ca="1">IFERROR(__xludf.DUMMYFUNCTION("""COMPUTED_VALUE"""),45670)</f>
        <v>45670</v>
      </c>
      <c r="E2204" s="1" t="str">
        <f ca="1">IFERROR(__xludf.DUMMYFUNCTION("""COMPUTED_VALUE"""),"Iran")</f>
        <v>Iran</v>
      </c>
      <c r="F2204" s="1" t="str">
        <f ca="1">IFERROR(__xludf.DUMMYFUNCTION("""COMPUTED_VALUE"""),"107.24 Singapore")</f>
        <v>107.24 Singapore</v>
      </c>
      <c r="G2204" s="1" t="str">
        <f ca="1">IFERROR(__xludf.DUMMYFUNCTION("""COMPUTED_VALUE"""),"Death Penalty")</f>
        <v>Death Penalty</v>
      </c>
      <c r="H2204" s="1" t="str">
        <f ca="1">IFERROR(__xludf.DUMMYFUNCTION("""COMPUTED_VALUE"""),"2024")</f>
        <v>2024</v>
      </c>
      <c r="I2204" s="1" t="str">
        <f ca="1">IFERROR(__xludf.DUMMYFUNCTION("""COMPUTED_VALUE"""),"Email")</f>
        <v>Email</v>
      </c>
    </row>
    <row r="2205" spans="1:9" ht="13" x14ac:dyDescent="0.15">
      <c r="A2205" s="9">
        <f ca="1">IFERROR(__xludf.DUMMYFUNCTION("""COMPUTED_VALUE"""),273406380)</f>
        <v>273406380</v>
      </c>
      <c r="B2205" s="1" t="str">
        <f ca="1">IFERROR(__xludf.DUMMYFUNCTION("""COMPUTED_VALUE"""),"rzhang0326@berkeley.edu")</f>
        <v>rzhang0326@berkeley.edu</v>
      </c>
      <c r="C2205" s="9" t="str">
        <f ca="1">IFERROR(__xludf.DUMMYFUNCTION("""COMPUTED_VALUE"""),"EVERGREEN - UAN Gated Content - Embedded Petition")</f>
        <v>EVERGREEN - UAN Gated Content - Embedded Petition</v>
      </c>
      <c r="D2205" s="10">
        <f ca="1">IFERROR(__xludf.DUMMYFUNCTION("""COMPUTED_VALUE"""),45691)</f>
        <v>45691</v>
      </c>
      <c r="E2205" s="1" t="str">
        <f ca="1">IFERROR(__xludf.DUMMYFUNCTION("""COMPUTED_VALUE"""),"Singapore")</f>
        <v>Singapore</v>
      </c>
      <c r="F2205" s="1" t="str">
        <f ca="1">IFERROR(__xludf.DUMMYFUNCTION("""COMPUTED_VALUE"""),"101.24 Iran")</f>
        <v>101.24 Iran</v>
      </c>
      <c r="G2205" s="1" t="str">
        <f ca="1">IFERROR(__xludf.DUMMYFUNCTION("""COMPUTED_VALUE"""),"Death Penalty, Freedom of Expression, Individuals At Risk, Right to Protest")</f>
        <v>Death Penalty, Freedom of Expression, Individuals At Risk, Right to Protest</v>
      </c>
      <c r="H2205" s="1" t="str">
        <f ca="1">IFERROR(__xludf.DUMMYFUNCTION("""COMPUTED_VALUE"""),"2024")</f>
        <v>2024</v>
      </c>
      <c r="I2205" s="1" t="str">
        <f ca="1">IFERROR(__xludf.DUMMYFUNCTION("""COMPUTED_VALUE"""),"Email")</f>
        <v>Email</v>
      </c>
    </row>
    <row r="2206" spans="1:9" ht="13" x14ac:dyDescent="0.15">
      <c r="A2206" s="9">
        <f ca="1">IFERROR(__xludf.DUMMYFUNCTION("""COMPUTED_VALUE"""),273429702)</f>
        <v>273429702</v>
      </c>
      <c r="B2206" s="1" t="str">
        <f ca="1">IFERROR(__xludf.DUMMYFUNCTION("""COMPUTED_VALUE"""),"david92rm@gmail.com")</f>
        <v>david92rm@gmail.com</v>
      </c>
      <c r="C2206" s="9" t="str">
        <f ca="1">IFERROR(__xludf.DUMMYFUNCTION("""COMPUTED_VALUE"""),"EVERGREEN - UAN Gated Content - Embedded Petition")</f>
        <v>EVERGREEN - UAN Gated Content - Embedded Petition</v>
      </c>
      <c r="D2206" s="10">
        <f ca="1">IFERROR(__xludf.DUMMYFUNCTION("""COMPUTED_VALUE"""),45697)</f>
        <v>45697</v>
      </c>
      <c r="E2206" s="1" t="str">
        <f ca="1">IFERROR(__xludf.DUMMYFUNCTION("""COMPUTED_VALUE"""),"Iran")</f>
        <v>Iran</v>
      </c>
      <c r="F2206" s="1" t="str">
        <f ca="1">IFERROR(__xludf.DUMMYFUNCTION("""COMPUTED_VALUE"""),"107.24 Singapore")</f>
        <v>107.24 Singapore</v>
      </c>
      <c r="G2206" s="1" t="str">
        <f ca="1">IFERROR(__xludf.DUMMYFUNCTION("""COMPUTED_VALUE"""),"Death Penalty")</f>
        <v>Death Penalty</v>
      </c>
      <c r="H2206" s="1" t="str">
        <f ca="1">IFERROR(__xludf.DUMMYFUNCTION("""COMPUTED_VALUE"""),"2024")</f>
        <v>2024</v>
      </c>
      <c r="I2206" s="1" t="str">
        <f ca="1">IFERROR(__xludf.DUMMYFUNCTION("""COMPUTED_VALUE"""),"Email")</f>
        <v>Email</v>
      </c>
    </row>
    <row r="2207" spans="1:9" ht="13" x14ac:dyDescent="0.15">
      <c r="A2207" s="9">
        <f ca="1">IFERROR(__xludf.DUMMYFUNCTION("""COMPUTED_VALUE"""),273580132)</f>
        <v>273580132</v>
      </c>
      <c r="B2207" s="1" t="str">
        <f ca="1">IFERROR(__xludf.DUMMYFUNCTION("""COMPUTED_VALUE"""),"swambo6@gmail.com")</f>
        <v>swambo6@gmail.com</v>
      </c>
      <c r="C2207" s="9" t="str">
        <f ca="1">IFERROR(__xludf.DUMMYFUNCTION("""COMPUTED_VALUE"""),"EVERGREEN - UAN Gated Content - Embedded Petition")</f>
        <v>EVERGREEN - UAN Gated Content - Embedded Petition</v>
      </c>
      <c r="D2207" s="10">
        <f ca="1">IFERROR(__xludf.DUMMYFUNCTION("""COMPUTED_VALUE"""),45697)</f>
        <v>45697</v>
      </c>
      <c r="E2207" s="1" t="str">
        <f ca="1">IFERROR(__xludf.DUMMYFUNCTION("""COMPUTED_VALUE"""),"Singapore")</f>
        <v>Singapore</v>
      </c>
      <c r="F2207" s="1" t="str">
        <f ca="1">IFERROR(__xludf.DUMMYFUNCTION("""COMPUTED_VALUE"""),"Second 76.24 Tunisia")</f>
        <v>Second 76.24 Tunisia</v>
      </c>
      <c r="G2207" s="1" t="str">
        <f ca="1">IFERROR(__xludf.DUMMYFUNCTION("""COMPUTED_VALUE"""),"Freedom of Expression, Human Rights Defenders")</f>
        <v>Freedom of Expression, Human Rights Defenders</v>
      </c>
      <c r="H2207" s="1" t="str">
        <f ca="1">IFERROR(__xludf.DUMMYFUNCTION("""COMPUTED_VALUE"""),"2025")</f>
        <v>2025</v>
      </c>
      <c r="I2207" s="1" t="str">
        <f ca="1">IFERROR(__xludf.DUMMYFUNCTION("""COMPUTED_VALUE"""),"Email")</f>
        <v>Email</v>
      </c>
    </row>
    <row r="2208" spans="1:9" ht="13" x14ac:dyDescent="0.15">
      <c r="A2208" s="9">
        <f ca="1">IFERROR(__xludf.DUMMYFUNCTION("""COMPUTED_VALUE"""),273644162)</f>
        <v>273644162</v>
      </c>
      <c r="B2208" s="1" t="str">
        <f ca="1">IFERROR(__xludf.DUMMYFUNCTION("""COMPUTED_VALUE"""),"cheryl.greenberg@trincoll.edu")</f>
        <v>cheryl.greenberg@trincoll.edu</v>
      </c>
      <c r="C2208" s="9" t="str">
        <f ca="1">IFERROR(__xludf.DUMMYFUNCTION("""COMPUTED_VALUE"""),"EVERGREEN - UAN Gated Content - Embedded Petition")</f>
        <v>EVERGREEN - UAN Gated Content - Embedded Petition</v>
      </c>
      <c r="D2208" s="10">
        <f ca="1">IFERROR(__xludf.DUMMYFUNCTION("""COMPUTED_VALUE"""),45700)</f>
        <v>45700</v>
      </c>
      <c r="E2208" s="1" t="str">
        <f ca="1">IFERROR(__xludf.DUMMYFUNCTION("""COMPUTED_VALUE"""),"Tunisia")</f>
        <v>Tunisia</v>
      </c>
      <c r="F2208" s="1" t="str">
        <f ca="1">IFERROR(__xludf.DUMMYFUNCTION("""COMPUTED_VALUE"""),"3.25 IOPT")</f>
        <v>3.25 IOPT</v>
      </c>
      <c r="G2208" s="1" t="str">
        <f ca="1">IFERROR(__xludf.DUMMYFUNCTION("""COMPUTED_VALUE"""),"Freedom of Expression, Individuals At Risk")</f>
        <v>Freedom of Expression, Individuals At Risk</v>
      </c>
      <c r="H2208" s="1" t="str">
        <f ca="1">IFERROR(__xludf.DUMMYFUNCTION("""COMPUTED_VALUE"""),"2025")</f>
        <v>2025</v>
      </c>
      <c r="I2208" s="1" t="str">
        <f ca="1">IFERROR(__xludf.DUMMYFUNCTION("""COMPUTED_VALUE"""),"Email")</f>
        <v>Email</v>
      </c>
    </row>
    <row r="2209" spans="1:9" ht="13" x14ac:dyDescent="0.15">
      <c r="A2209" s="9">
        <f ca="1">IFERROR(__xludf.DUMMYFUNCTION("""COMPUTED_VALUE"""),273644162)</f>
        <v>273644162</v>
      </c>
      <c r="B2209" s="1" t="str">
        <f ca="1">IFERROR(__xludf.DUMMYFUNCTION("""COMPUTED_VALUE"""),"cheryl.greenberg@trincoll.edu")</f>
        <v>cheryl.greenberg@trincoll.edu</v>
      </c>
      <c r="C2209" s="9" t="str">
        <f ca="1">IFERROR(__xludf.DUMMYFUNCTION("""COMPUTED_VALUE"""),"UAN mid-page Lightbox - Step 1 of 4 - Landing Page")</f>
        <v>UAN mid-page Lightbox - Step 1 of 4 - Landing Page</v>
      </c>
      <c r="D2209" s="10">
        <f ca="1">IFERROR(__xludf.DUMMYFUNCTION("""COMPUTED_VALUE"""),45679)</f>
        <v>45679</v>
      </c>
      <c r="E2209" s="1" t="str">
        <f ca="1">IFERROR(__xludf.DUMMYFUNCTION("""COMPUTED_VALUE"""),"Israel and Occupied Palestinian Territories")</f>
        <v>Israel and Occupied Palestinian Territories</v>
      </c>
      <c r="F2209" s="1" t="str">
        <f ca="1">IFERROR(__xludf.DUMMYFUNCTION("""COMPUTED_VALUE"""),"3.25 IOPT")</f>
        <v>3.25 IOPT</v>
      </c>
      <c r="G2209" s="1" t="str">
        <f ca="1">IFERROR(__xludf.DUMMYFUNCTION("""COMPUTED_VALUE"""),"Freedom of Expression, Individuals At Risk")</f>
        <v>Freedom of Expression, Individuals At Risk</v>
      </c>
      <c r="H2209" s="1" t="str">
        <f ca="1">IFERROR(__xludf.DUMMYFUNCTION("""COMPUTED_VALUE"""),"2025")</f>
        <v>2025</v>
      </c>
      <c r="I2209" s="1" t="str">
        <f ca="1">IFERROR(__xludf.DUMMYFUNCTION("""COMPUTED_VALUE"""),"Email")</f>
        <v>Email</v>
      </c>
    </row>
    <row r="2210" spans="1:9" ht="13" x14ac:dyDescent="0.15">
      <c r="A2210" s="9">
        <f ca="1">IFERROR(__xludf.DUMMYFUNCTION("""COMPUTED_VALUE"""),273644162)</f>
        <v>273644162</v>
      </c>
      <c r="B2210" s="1" t="str">
        <f ca="1">IFERROR(__xludf.DUMMYFUNCTION("""COMPUTED_VALUE"""),"cheryl.greenberg@trincoll.edu")</f>
        <v>cheryl.greenberg@trincoll.edu</v>
      </c>
      <c r="C2210" s="9" t="str">
        <f ca="1">IFERROR(__xludf.DUMMYFUNCTION("""COMPUTED_VALUE"""),"UAN mid-page Lightbox - Step 2 of 4 - More personal info fields")</f>
        <v>UAN mid-page Lightbox - Step 2 of 4 - More personal info fields</v>
      </c>
      <c r="D2210" s="10">
        <f ca="1">IFERROR(__xludf.DUMMYFUNCTION("""COMPUTED_VALUE"""),45679)</f>
        <v>45679</v>
      </c>
      <c r="E2210" s="1" t="str">
        <f ca="1">IFERROR(__xludf.DUMMYFUNCTION("""COMPUTED_VALUE"""),"Israel and Occupied Palestinian Territories")</f>
        <v>Israel and Occupied Palestinian Territories</v>
      </c>
      <c r="F2210" s="1" t="str">
        <f ca="1">IFERROR(__xludf.DUMMYFUNCTION("""COMPUTED_VALUE"""),"Second 76.24 Tunisia")</f>
        <v>Second 76.24 Tunisia</v>
      </c>
      <c r="G2210" s="1" t="str">
        <f ca="1">IFERROR(__xludf.DUMMYFUNCTION("""COMPUTED_VALUE"""),"Freedom of Expression, Human Rights Defenders")</f>
        <v>Freedom of Expression, Human Rights Defenders</v>
      </c>
      <c r="H2210" s="1" t="str">
        <f ca="1">IFERROR(__xludf.DUMMYFUNCTION("""COMPUTED_VALUE"""),"2025")</f>
        <v>2025</v>
      </c>
      <c r="I2210" s="1" t="str">
        <f ca="1">IFERROR(__xludf.DUMMYFUNCTION("""COMPUTED_VALUE"""),"Email")</f>
        <v>Email</v>
      </c>
    </row>
    <row r="2211" spans="1:9" ht="13" x14ac:dyDescent="0.15">
      <c r="A2211" s="9">
        <f ca="1">IFERROR(__xludf.DUMMYFUNCTION("""COMPUTED_VALUE"""),273644162)</f>
        <v>273644162</v>
      </c>
      <c r="B2211" s="1" t="str">
        <f ca="1">IFERROR(__xludf.DUMMYFUNCTION("""COMPUTED_VALUE"""),"cheryl.greenberg@trincoll.edu")</f>
        <v>cheryl.greenberg@trincoll.edu</v>
      </c>
      <c r="C2211" s="9" t="str">
        <f ca="1">IFERROR(__xludf.DUMMYFUNCTION("""COMPUTED_VALUE"""),"UAN mid-page Lightbox - Step 3 of 4 - More opt-ins")</f>
        <v>UAN mid-page Lightbox - Step 3 of 4 - More opt-ins</v>
      </c>
      <c r="D2211" s="10">
        <f ca="1">IFERROR(__xludf.DUMMYFUNCTION("""COMPUTED_VALUE"""),45679)</f>
        <v>45679</v>
      </c>
      <c r="E2211" s="1" t="str">
        <f ca="1">IFERROR(__xludf.DUMMYFUNCTION("""COMPUTED_VALUE"""),"Tunisia")</f>
        <v>Tunisia</v>
      </c>
      <c r="F2211" s="1" t="str">
        <f ca="1">IFERROR(__xludf.DUMMYFUNCTION("""COMPUTED_VALUE"""),"3.25 IOPT")</f>
        <v>3.25 IOPT</v>
      </c>
      <c r="G2211" s="1" t="str">
        <f ca="1">IFERROR(__xludf.DUMMYFUNCTION("""COMPUTED_VALUE"""),"Freedom of Expression, Individuals At Risk")</f>
        <v>Freedom of Expression, Individuals At Risk</v>
      </c>
      <c r="H2211" s="1" t="str">
        <f ca="1">IFERROR(__xludf.DUMMYFUNCTION("""COMPUTED_VALUE"""),"2025")</f>
        <v>2025</v>
      </c>
      <c r="I2211" s="1" t="str">
        <f ca="1">IFERROR(__xludf.DUMMYFUNCTION("""COMPUTED_VALUE"""),"Email")</f>
        <v>Email</v>
      </c>
    </row>
    <row r="2212" spans="1:9" ht="13" x14ac:dyDescent="0.15">
      <c r="A2212" s="9">
        <f ca="1">IFERROR(__xludf.DUMMYFUNCTION("""COMPUTED_VALUE"""),273720848)</f>
        <v>273720848</v>
      </c>
      <c r="B2212" s="1" t="str">
        <f ca="1">IFERROR(__xludf.DUMMYFUNCTION("""COMPUTED_VALUE"""),"mizdclark@gmail.com")</f>
        <v>mizdclark@gmail.com</v>
      </c>
      <c r="C2212" s="9" t="str">
        <f ca="1">IFERROR(__xludf.DUMMYFUNCTION("""COMPUTED_VALUE"""),"EVERGREEN - UAN Gated Content - Embedded Petition")</f>
        <v>EVERGREEN - UAN Gated Content - Embedded Petition</v>
      </c>
      <c r="D2212" s="10">
        <f ca="1">IFERROR(__xludf.DUMMYFUNCTION("""COMPUTED_VALUE"""),45702)</f>
        <v>45702</v>
      </c>
      <c r="E2212" s="1" t="str">
        <f ca="1">IFERROR(__xludf.DUMMYFUNCTION("""COMPUTED_VALUE"""),"Israel and Occupied Palestinian Territories")</f>
        <v>Israel and Occupied Palestinian Territories</v>
      </c>
      <c r="F2212" s="1" t="str">
        <f ca="1">IFERROR(__xludf.DUMMYFUNCTION("""COMPUTED_VALUE"""),"3.25 IOPT")</f>
        <v>3.25 IOPT</v>
      </c>
      <c r="G2212" s="1" t="str">
        <f ca="1">IFERROR(__xludf.DUMMYFUNCTION("""COMPUTED_VALUE"""),"Freedom of Expression, Individuals At Risk")</f>
        <v>Freedom of Expression, Individuals At Risk</v>
      </c>
      <c r="H2212" s="1" t="str">
        <f ca="1">IFERROR(__xludf.DUMMYFUNCTION("""COMPUTED_VALUE"""),"2025")</f>
        <v>2025</v>
      </c>
      <c r="I2212" s="1" t="str">
        <f ca="1">IFERROR(__xludf.DUMMYFUNCTION("""COMPUTED_VALUE"""),"Email")</f>
        <v>Email</v>
      </c>
    </row>
    <row r="2213" spans="1:9" ht="13" x14ac:dyDescent="0.15">
      <c r="A2213" s="9">
        <f ca="1">IFERROR(__xludf.DUMMYFUNCTION("""COMPUTED_VALUE"""),273720848)</f>
        <v>273720848</v>
      </c>
      <c r="B2213" s="1" t="str">
        <f ca="1">IFERROR(__xludf.DUMMYFUNCTION("""COMPUTED_VALUE"""),"mizdclark@gmail.com")</f>
        <v>mizdclark@gmail.com</v>
      </c>
      <c r="C2213" s="9" t="str">
        <f ca="1">IFERROR(__xludf.DUMMYFUNCTION("""COMPUTED_VALUE"""),"EVERGREEN - UAN Gated Content - Embedded Petition")</f>
        <v>EVERGREEN - UAN Gated Content - Embedded Petition</v>
      </c>
      <c r="D2213" s="10">
        <f ca="1">IFERROR(__xludf.DUMMYFUNCTION("""COMPUTED_VALUE"""),45674)</f>
        <v>45674</v>
      </c>
      <c r="E2213" s="1" t="str">
        <f ca="1">IFERROR(__xludf.DUMMYFUNCTION("""COMPUTED_VALUE"""),"Israel and Occupied Palestinian Territories")</f>
        <v>Israel and Occupied Palestinian Territories</v>
      </c>
      <c r="F2213" s="1" t="str">
        <f ca="1">IFERROR(__xludf.DUMMYFUNCTION("""COMPUTED_VALUE"""),"3.25 IOPT")</f>
        <v>3.25 IOPT</v>
      </c>
      <c r="G2213" s="1" t="str">
        <f ca="1">IFERROR(__xludf.DUMMYFUNCTION("""COMPUTED_VALUE"""),"Freedom of Expression, Individuals At Risk")</f>
        <v>Freedom of Expression, Individuals At Risk</v>
      </c>
      <c r="H2213" s="1" t="str">
        <f ca="1">IFERROR(__xludf.DUMMYFUNCTION("""COMPUTED_VALUE"""),"2025")</f>
        <v>2025</v>
      </c>
      <c r="I2213" s="1" t="str">
        <f ca="1">IFERROR(__xludf.DUMMYFUNCTION("""COMPUTED_VALUE"""),"Email")</f>
        <v>Email</v>
      </c>
    </row>
    <row r="2214" spans="1:9" ht="13" x14ac:dyDescent="0.15">
      <c r="A2214" s="9">
        <f ca="1">IFERROR(__xludf.DUMMYFUNCTION("""COMPUTED_VALUE"""),273747046)</f>
        <v>273747046</v>
      </c>
      <c r="B2214" s="1" t="str">
        <f ca="1">IFERROR(__xludf.DUMMYFUNCTION("""COMPUTED_VALUE"""),"nbehizadeh@gmail.com")</f>
        <v>nbehizadeh@gmail.com</v>
      </c>
      <c r="C2214" s="9" t="str">
        <f ca="1">IFERROR(__xludf.DUMMYFUNCTION("""COMPUTED_VALUE"""),"EVERGREEN - UAN Gated Content - Embedded Petition")</f>
        <v>EVERGREEN - UAN Gated Content - Embedded Petition</v>
      </c>
      <c r="D2214" s="10">
        <f ca="1">IFERROR(__xludf.DUMMYFUNCTION("""COMPUTED_VALUE"""),45672)</f>
        <v>45672</v>
      </c>
      <c r="E2214" s="1" t="str">
        <f ca="1">IFERROR(__xludf.DUMMYFUNCTION("""COMPUTED_VALUE"""),"Israel and Occupied Palestinian Territories")</f>
        <v>Israel and Occupied Palestinian Territories</v>
      </c>
      <c r="F2214" s="1" t="str">
        <f ca="1">IFERROR(__xludf.DUMMYFUNCTION("""COMPUTED_VALUE"""),"3.25 IOPT")</f>
        <v>3.25 IOPT</v>
      </c>
      <c r="G2214" s="1" t="str">
        <f ca="1">IFERROR(__xludf.DUMMYFUNCTION("""COMPUTED_VALUE"""),"Freedom of Expression, Individuals At Risk")</f>
        <v>Freedom of Expression, Individuals At Risk</v>
      </c>
      <c r="H2214" s="1" t="str">
        <f ca="1">IFERROR(__xludf.DUMMYFUNCTION("""COMPUTED_VALUE"""),"2025")</f>
        <v>2025</v>
      </c>
      <c r="I2214" s="1" t="str">
        <f ca="1">IFERROR(__xludf.DUMMYFUNCTION("""COMPUTED_VALUE"""),"Email")</f>
        <v>Email</v>
      </c>
    </row>
    <row r="2215" spans="1:9" ht="13" x14ac:dyDescent="0.15">
      <c r="A2215" s="9">
        <f ca="1">IFERROR(__xludf.DUMMYFUNCTION("""COMPUTED_VALUE"""),273748751)</f>
        <v>273748751</v>
      </c>
      <c r="B2215" s="1" t="str">
        <f ca="1">IFERROR(__xludf.DUMMYFUNCTION("""COMPUTED_VALUE"""),"beamralph3@gmail.com")</f>
        <v>beamralph3@gmail.com</v>
      </c>
      <c r="C2215" s="9" t="str">
        <f ca="1">IFERROR(__xludf.DUMMYFUNCTION("""COMPUTED_VALUE"""),"EVERGREEN - UAN Gated Content - Embedded Petition")</f>
        <v>EVERGREEN - UAN Gated Content - Embedded Petition</v>
      </c>
      <c r="D2215" s="10">
        <f ca="1">IFERROR(__xludf.DUMMYFUNCTION("""COMPUTED_VALUE"""),45675)</f>
        <v>45675</v>
      </c>
      <c r="E2215" s="1" t="str">
        <f ca="1">IFERROR(__xludf.DUMMYFUNCTION("""COMPUTED_VALUE"""),"Israel and Occupied Palestinian Territories")</f>
        <v>Israel and Occupied Palestinian Territories</v>
      </c>
      <c r="F2215" s="1" t="str">
        <f ca="1">IFERROR(__xludf.DUMMYFUNCTION("""COMPUTED_VALUE"""),"3.25 IOPT")</f>
        <v>3.25 IOPT</v>
      </c>
      <c r="G2215" s="1" t="str">
        <f ca="1">IFERROR(__xludf.DUMMYFUNCTION("""COMPUTED_VALUE"""),"Freedom of Expression, Individuals At Risk")</f>
        <v>Freedom of Expression, Individuals At Risk</v>
      </c>
      <c r="H2215" s="1" t="str">
        <f ca="1">IFERROR(__xludf.DUMMYFUNCTION("""COMPUTED_VALUE"""),"2025")</f>
        <v>2025</v>
      </c>
      <c r="I2215" s="1" t="str">
        <f ca="1">IFERROR(__xludf.DUMMYFUNCTION("""COMPUTED_VALUE"""),"Email")</f>
        <v>Email</v>
      </c>
    </row>
    <row r="2216" spans="1:9" ht="13" x14ac:dyDescent="0.15">
      <c r="A2216" s="9">
        <f ca="1">IFERROR(__xludf.DUMMYFUNCTION("""COMPUTED_VALUE"""),273881535)</f>
        <v>273881535</v>
      </c>
      <c r="B2216" s="1" t="str">
        <f ca="1">IFERROR(__xludf.DUMMYFUNCTION("""COMPUTED_VALUE"""),"lvr1258@gmail.com")</f>
        <v>lvr1258@gmail.com</v>
      </c>
      <c r="C2216" s="9" t="str">
        <f ca="1">IFERROR(__xludf.DUMMYFUNCTION("""COMPUTED_VALUE"""),"EVERGREEN - UAN Gated Content - Embedded Petition")</f>
        <v>EVERGREEN - UAN Gated Content - Embedded Petition</v>
      </c>
      <c r="D2216" s="10">
        <f ca="1">IFERROR(__xludf.DUMMYFUNCTION("""COMPUTED_VALUE"""),45700)</f>
        <v>45700</v>
      </c>
      <c r="E2216" s="1" t="str">
        <f ca="1">IFERROR(__xludf.DUMMYFUNCTION("""COMPUTED_VALUE"""),"Israel and Occupied Palestinian Territories")</f>
        <v>Israel and Occupied Palestinian Territories</v>
      </c>
      <c r="F2216" s="1" t="str">
        <f ca="1">IFERROR(__xludf.DUMMYFUNCTION("""COMPUTED_VALUE"""),"3.25 IOPT")</f>
        <v>3.25 IOPT</v>
      </c>
      <c r="G2216" s="1" t="str">
        <f ca="1">IFERROR(__xludf.DUMMYFUNCTION("""COMPUTED_VALUE"""),"Freedom of Expression, Individuals At Risk")</f>
        <v>Freedom of Expression, Individuals At Risk</v>
      </c>
      <c r="H2216" s="1" t="str">
        <f ca="1">IFERROR(__xludf.DUMMYFUNCTION("""COMPUTED_VALUE"""),"2025")</f>
        <v>2025</v>
      </c>
      <c r="I2216" s="1" t="str">
        <f ca="1">IFERROR(__xludf.DUMMYFUNCTION("""COMPUTED_VALUE"""),"Email")</f>
        <v>Email</v>
      </c>
    </row>
    <row r="2217" spans="1:9" ht="13" x14ac:dyDescent="0.15">
      <c r="A2217" s="9">
        <f ca="1">IFERROR(__xludf.DUMMYFUNCTION("""COMPUTED_VALUE"""),273881535)</f>
        <v>273881535</v>
      </c>
      <c r="B2217" s="1" t="str">
        <f ca="1">IFERROR(__xludf.DUMMYFUNCTION("""COMPUTED_VALUE"""),"lvr1258@gmail.com")</f>
        <v>lvr1258@gmail.com</v>
      </c>
      <c r="C2217" s="9" t="str">
        <f ca="1">IFERROR(__xludf.DUMMYFUNCTION("""COMPUTED_VALUE"""),"EVERGREEN - UAN Gated Content - Embedded Petition")</f>
        <v>EVERGREEN - UAN Gated Content - Embedded Petition</v>
      </c>
      <c r="D2217" s="10">
        <f ca="1">IFERROR(__xludf.DUMMYFUNCTION("""COMPUTED_VALUE"""),45691)</f>
        <v>45691</v>
      </c>
      <c r="E2217" s="1" t="str">
        <f ca="1">IFERROR(__xludf.DUMMYFUNCTION("""COMPUTED_VALUE"""),"Israel and Occupied Palestinian Territories")</f>
        <v>Israel and Occupied Palestinian Territories</v>
      </c>
      <c r="F2217" s="1" t="str">
        <f ca="1">IFERROR(__xludf.DUMMYFUNCTION("""COMPUTED_VALUE"""),"3.25 IOPT")</f>
        <v>3.25 IOPT</v>
      </c>
      <c r="G2217" s="1" t="str">
        <f ca="1">IFERROR(__xludf.DUMMYFUNCTION("""COMPUTED_VALUE"""),"Freedom of Expression, Individuals At Risk")</f>
        <v>Freedom of Expression, Individuals At Risk</v>
      </c>
      <c r="H2217" s="1" t="str">
        <f ca="1">IFERROR(__xludf.DUMMYFUNCTION("""COMPUTED_VALUE"""),"2025")</f>
        <v>2025</v>
      </c>
      <c r="I2217" s="1" t="str">
        <f ca="1">IFERROR(__xludf.DUMMYFUNCTION("""COMPUTED_VALUE"""),"Email")</f>
        <v>Email</v>
      </c>
    </row>
    <row r="2218" spans="1:9" ht="13" x14ac:dyDescent="0.15">
      <c r="A2218" s="9">
        <f ca="1">IFERROR(__xludf.DUMMYFUNCTION("""COMPUTED_VALUE"""),273899709)</f>
        <v>273899709</v>
      </c>
      <c r="B2218" s="1" t="str">
        <f ca="1">IFERROR(__xludf.DUMMYFUNCTION("""COMPUTED_VALUE"""),"peacetechie@proton.me")</f>
        <v>peacetechie@proton.me</v>
      </c>
      <c r="C2218" s="9" t="str">
        <f ca="1">IFERROR(__xludf.DUMMYFUNCTION("""COMPUTED_VALUE"""),"EVERGREEN - UAN Gated Content - Embedded Petition")</f>
        <v>EVERGREEN - UAN Gated Content - Embedded Petition</v>
      </c>
      <c r="D2218" s="10">
        <f ca="1">IFERROR(__xludf.DUMMYFUNCTION("""COMPUTED_VALUE"""),45639)</f>
        <v>45639</v>
      </c>
      <c r="E2218" s="1" t="str">
        <f ca="1">IFERROR(__xludf.DUMMYFUNCTION("""COMPUTED_VALUE"""),"Israel and Occupied Palestinian Territories")</f>
        <v>Israel and Occupied Palestinian Territories</v>
      </c>
      <c r="F2218" s="1" t="str">
        <f ca="1">IFERROR(__xludf.DUMMYFUNCTION("""COMPUTED_VALUE"""),"3.25 IOPT")</f>
        <v>3.25 IOPT</v>
      </c>
      <c r="G2218" s="1" t="str">
        <f ca="1">IFERROR(__xludf.DUMMYFUNCTION("""COMPUTED_VALUE"""),"Freedom of Expression, Individuals At Risk")</f>
        <v>Freedom of Expression, Individuals At Risk</v>
      </c>
      <c r="H2218" s="1" t="str">
        <f ca="1">IFERROR(__xludf.DUMMYFUNCTION("""COMPUTED_VALUE"""),"2025")</f>
        <v>2025</v>
      </c>
      <c r="I2218" s="1" t="str">
        <f ca="1">IFERROR(__xludf.DUMMYFUNCTION("""COMPUTED_VALUE"""),"Email")</f>
        <v>Email</v>
      </c>
    </row>
    <row r="2219" spans="1:9" ht="13" x14ac:dyDescent="0.15">
      <c r="A2219" s="9">
        <f ca="1">IFERROR(__xludf.DUMMYFUNCTION("""COMPUTED_VALUE"""),273899709)</f>
        <v>273899709</v>
      </c>
      <c r="B2219" s="1" t="str">
        <f ca="1">IFERROR(__xludf.DUMMYFUNCTION("""COMPUTED_VALUE"""),"peacetechie@proton.me")</f>
        <v>peacetechie@proton.me</v>
      </c>
      <c r="C2219" s="9" t="str">
        <f ca="1">IFERROR(__xludf.DUMMYFUNCTION("""COMPUTED_VALUE"""),"EVERGREEN - UAN Gated Content - Embedded Petition")</f>
        <v>EVERGREEN - UAN Gated Content - Embedded Petition</v>
      </c>
      <c r="D2219" s="10">
        <f ca="1">IFERROR(__xludf.DUMMYFUNCTION("""COMPUTED_VALUE"""),45639)</f>
        <v>45639</v>
      </c>
      <c r="E2219" s="1" t="str">
        <f ca="1">IFERROR(__xludf.DUMMYFUNCTION("""COMPUTED_VALUE"""),"Israel and Occupied Palestinian Territories")</f>
        <v>Israel and Occupied Palestinian Territories</v>
      </c>
      <c r="F2219" s="1" t="str">
        <f ca="1">IFERROR(__xludf.DUMMYFUNCTION("""COMPUTED_VALUE"""),"3.25 IOPT")</f>
        <v>3.25 IOPT</v>
      </c>
      <c r="G2219" s="1" t="str">
        <f ca="1">IFERROR(__xludf.DUMMYFUNCTION("""COMPUTED_VALUE"""),"Freedom of Expression, Individuals At Risk")</f>
        <v>Freedom of Expression, Individuals At Risk</v>
      </c>
      <c r="H2219" s="1" t="str">
        <f ca="1">IFERROR(__xludf.DUMMYFUNCTION("""COMPUTED_VALUE"""),"2025")</f>
        <v>2025</v>
      </c>
      <c r="I2219" s="1" t="str">
        <f ca="1">IFERROR(__xludf.DUMMYFUNCTION("""COMPUTED_VALUE"""),"Email")</f>
        <v>Email</v>
      </c>
    </row>
    <row r="2220" spans="1:9" ht="13" x14ac:dyDescent="0.15">
      <c r="A2220" s="9">
        <f ca="1">IFERROR(__xludf.DUMMYFUNCTION("""COMPUTED_VALUE"""),273899709)</f>
        <v>273899709</v>
      </c>
      <c r="B2220" s="1" t="str">
        <f ca="1">IFERROR(__xludf.DUMMYFUNCTION("""COMPUTED_VALUE"""),"peacetechie@proton.me")</f>
        <v>peacetechie@proton.me</v>
      </c>
      <c r="C2220" s="9" t="str">
        <f ca="1">IFERROR(__xludf.DUMMYFUNCTION("""COMPUTED_VALUE"""),"EVERGREEN - UAN Gated Content - Embedded Petition")</f>
        <v>EVERGREEN - UAN Gated Content - Embedded Petition</v>
      </c>
      <c r="D2220" s="10">
        <f ca="1">IFERROR(__xludf.DUMMYFUNCTION("""COMPUTED_VALUE"""),45639)</f>
        <v>45639</v>
      </c>
      <c r="E2220" s="1" t="str">
        <f ca="1">IFERROR(__xludf.DUMMYFUNCTION("""COMPUTED_VALUE"""),"Israel and Occupied Palestinian Territories")</f>
        <v>Israel and Occupied Palestinian Territories</v>
      </c>
      <c r="F2220" s="1" t="str">
        <f ca="1">IFERROR(__xludf.DUMMYFUNCTION("""COMPUTED_VALUE"""),"3.25 IOPT")</f>
        <v>3.25 IOPT</v>
      </c>
      <c r="G2220" s="1" t="str">
        <f ca="1">IFERROR(__xludf.DUMMYFUNCTION("""COMPUTED_VALUE"""),"Freedom of Expression, Individuals At Risk")</f>
        <v>Freedom of Expression, Individuals At Risk</v>
      </c>
      <c r="H2220" s="1" t="str">
        <f ca="1">IFERROR(__xludf.DUMMYFUNCTION("""COMPUTED_VALUE"""),"2025")</f>
        <v>2025</v>
      </c>
      <c r="I2220" s="1" t="str">
        <f ca="1">IFERROR(__xludf.DUMMYFUNCTION("""COMPUTED_VALUE"""),"Email")</f>
        <v>Email</v>
      </c>
    </row>
    <row r="2221" spans="1:9" ht="13" x14ac:dyDescent="0.15">
      <c r="A2221" s="9">
        <f ca="1">IFERROR(__xludf.DUMMYFUNCTION("""COMPUTED_VALUE"""),274476222)</f>
        <v>274476222</v>
      </c>
      <c r="B2221" s="1" t="str">
        <f ca="1">IFERROR(__xludf.DUMMYFUNCTION("""COMPUTED_VALUE"""),"dbktw2005@gmail.com")</f>
        <v>dbktw2005@gmail.com</v>
      </c>
      <c r="C2221" s="9" t="str">
        <f ca="1">IFERROR(__xludf.DUMMYFUNCTION("""COMPUTED_VALUE"""),"EVERGREEN - UAN Gated Content - Embedded Petition")</f>
        <v>EVERGREEN - UAN Gated Content - Embedded Petition</v>
      </c>
      <c r="D2221" s="10">
        <f ca="1">IFERROR(__xludf.DUMMYFUNCTION("""COMPUTED_VALUE"""),45702)</f>
        <v>45702</v>
      </c>
      <c r="E2221" s="1" t="str">
        <f ca="1">IFERROR(__xludf.DUMMYFUNCTION("""COMPUTED_VALUE"""),"Israel and Occupied Palestinian Territories")</f>
        <v>Israel and Occupied Palestinian Territories</v>
      </c>
      <c r="F2221" s="1" t="str">
        <f ca="1">IFERROR(__xludf.DUMMYFUNCTION("""COMPUTED_VALUE"""),"3.25 IOPT")</f>
        <v>3.25 IOPT</v>
      </c>
      <c r="G2221" s="1" t="str">
        <f ca="1">IFERROR(__xludf.DUMMYFUNCTION("""COMPUTED_VALUE"""),"Freedom of Expression, Individuals At Risk")</f>
        <v>Freedom of Expression, Individuals At Risk</v>
      </c>
      <c r="H2221" s="1" t="str">
        <f ca="1">IFERROR(__xludf.DUMMYFUNCTION("""COMPUTED_VALUE"""),"2025")</f>
        <v>2025</v>
      </c>
      <c r="I2221" s="1" t="str">
        <f ca="1">IFERROR(__xludf.DUMMYFUNCTION("""COMPUTED_VALUE"""),"Email")</f>
        <v>Email</v>
      </c>
    </row>
    <row r="2222" spans="1:9" ht="13" x14ac:dyDescent="0.15">
      <c r="A2222" s="9">
        <f ca="1">IFERROR(__xludf.DUMMYFUNCTION("""COMPUTED_VALUE"""),274476222)</f>
        <v>274476222</v>
      </c>
      <c r="B2222" s="1" t="str">
        <f ca="1">IFERROR(__xludf.DUMMYFUNCTION("""COMPUTED_VALUE"""),"dbktw2005@gmail.com")</f>
        <v>dbktw2005@gmail.com</v>
      </c>
      <c r="C2222" s="9" t="str">
        <f ca="1">IFERROR(__xludf.DUMMYFUNCTION("""COMPUTED_VALUE"""),"EVERGREEN - UAN Gated Content - Embedded Petition")</f>
        <v>EVERGREEN - UAN Gated Content - Embedded Petition</v>
      </c>
      <c r="D2222" s="10">
        <f ca="1">IFERROR(__xludf.DUMMYFUNCTION("""COMPUTED_VALUE"""),45633)</f>
        <v>45633</v>
      </c>
      <c r="E2222" s="1" t="str">
        <f ca="1">IFERROR(__xludf.DUMMYFUNCTION("""COMPUTED_VALUE"""),"Israel and Occupied Palestinian Territories")</f>
        <v>Israel and Occupied Palestinian Territories</v>
      </c>
      <c r="F2222" s="1" t="str">
        <f ca="1">IFERROR(__xludf.DUMMYFUNCTION("""COMPUTED_VALUE"""),"3.25 IOPT")</f>
        <v>3.25 IOPT</v>
      </c>
      <c r="G2222" s="1" t="str">
        <f ca="1">IFERROR(__xludf.DUMMYFUNCTION("""COMPUTED_VALUE"""),"Freedom of Expression, Individuals At Risk")</f>
        <v>Freedom of Expression, Individuals At Risk</v>
      </c>
      <c r="H2222" s="1" t="str">
        <f ca="1">IFERROR(__xludf.DUMMYFUNCTION("""COMPUTED_VALUE"""),"2025")</f>
        <v>2025</v>
      </c>
      <c r="I2222" s="1" t="str">
        <f ca="1">IFERROR(__xludf.DUMMYFUNCTION("""COMPUTED_VALUE"""),"Email")</f>
        <v>Email</v>
      </c>
    </row>
    <row r="2223" spans="1:9" ht="13" x14ac:dyDescent="0.15">
      <c r="A2223" s="9">
        <f ca="1">IFERROR(__xludf.DUMMYFUNCTION("""COMPUTED_VALUE"""),274476222)</f>
        <v>274476222</v>
      </c>
      <c r="B2223" s="1" t="str">
        <f ca="1">IFERROR(__xludf.DUMMYFUNCTION("""COMPUTED_VALUE"""),"dbktw2005@gmail.com")</f>
        <v>dbktw2005@gmail.com</v>
      </c>
      <c r="C2223" s="9" t="str">
        <f ca="1">IFERROR(__xludf.DUMMYFUNCTION("""COMPUTED_VALUE"""),"EVERGREEN - UAN Gated Content - Embedded Petition")</f>
        <v>EVERGREEN - UAN Gated Content - Embedded Petition</v>
      </c>
      <c r="D2223" s="10">
        <f ca="1">IFERROR(__xludf.DUMMYFUNCTION("""COMPUTED_VALUE"""),45706)</f>
        <v>45706</v>
      </c>
      <c r="E2223" s="1" t="str">
        <f ca="1">IFERROR(__xludf.DUMMYFUNCTION("""COMPUTED_VALUE"""),"Israel and Occupied Palestinian Territories")</f>
        <v>Israel and Occupied Palestinian Territories</v>
      </c>
      <c r="F2223" s="1" t="str">
        <f ca="1">IFERROR(__xludf.DUMMYFUNCTION("""COMPUTED_VALUE"""),"3.25 IOPT")</f>
        <v>3.25 IOPT</v>
      </c>
      <c r="G2223" s="1" t="str">
        <f ca="1">IFERROR(__xludf.DUMMYFUNCTION("""COMPUTED_VALUE"""),"Freedom of Expression, Individuals At Risk")</f>
        <v>Freedom of Expression, Individuals At Risk</v>
      </c>
      <c r="H2223" s="1" t="str">
        <f ca="1">IFERROR(__xludf.DUMMYFUNCTION("""COMPUTED_VALUE"""),"2025")</f>
        <v>2025</v>
      </c>
      <c r="I2223" s="1" t="str">
        <f ca="1">IFERROR(__xludf.DUMMYFUNCTION("""COMPUTED_VALUE"""),"Email")</f>
        <v>Email</v>
      </c>
    </row>
    <row r="2224" spans="1:9" ht="13" x14ac:dyDescent="0.15">
      <c r="A2224" s="9">
        <f ca="1">IFERROR(__xludf.DUMMYFUNCTION("""COMPUTED_VALUE"""),274476222)</f>
        <v>274476222</v>
      </c>
      <c r="B2224" s="1" t="str">
        <f ca="1">IFERROR(__xludf.DUMMYFUNCTION("""COMPUTED_VALUE"""),"dbktw2005@gmail.com")</f>
        <v>dbktw2005@gmail.com</v>
      </c>
      <c r="C2224" s="9" t="str">
        <f ca="1">IFERROR(__xludf.DUMMYFUNCTION("""COMPUTED_VALUE"""),"EVERGREEN - UAN Gated Content - Embedded Petition")</f>
        <v>EVERGREEN - UAN Gated Content - Embedded Petition</v>
      </c>
      <c r="D2224" s="10">
        <f ca="1">IFERROR(__xludf.DUMMYFUNCTION("""COMPUTED_VALUE"""),45699)</f>
        <v>45699</v>
      </c>
      <c r="E2224" s="1" t="str">
        <f ca="1">IFERROR(__xludf.DUMMYFUNCTION("""COMPUTED_VALUE"""),"Israel and Occupied Palestinian Territories")</f>
        <v>Israel and Occupied Palestinian Territories</v>
      </c>
      <c r="F2224" s="1" t="str">
        <f ca="1">IFERROR(__xludf.DUMMYFUNCTION("""COMPUTED_VALUE"""),"Fourth 55.24 USA")</f>
        <v>Fourth 55.24 USA</v>
      </c>
      <c r="G2224" s="1" t="str">
        <f ca="1">IFERROR(__xludf.DUMMYFUNCTION("""COMPUTED_VALUE"""),"Climate Justice, Individuals At Risk")</f>
        <v>Climate Justice, Individuals At Risk</v>
      </c>
      <c r="H2224" s="1" t="str">
        <f ca="1">IFERROR(__xludf.DUMMYFUNCTION("""COMPUTED_VALUE"""),"2025")</f>
        <v>2025</v>
      </c>
      <c r="I2224" s="1" t="str">
        <f ca="1">IFERROR(__xludf.DUMMYFUNCTION("""COMPUTED_VALUE"""),"Email")</f>
        <v>Email</v>
      </c>
    </row>
    <row r="2225" spans="1:9" ht="13" x14ac:dyDescent="0.15">
      <c r="A2225" s="9">
        <f ca="1">IFERROR(__xludf.DUMMYFUNCTION("""COMPUTED_VALUE"""),274476222)</f>
        <v>274476222</v>
      </c>
      <c r="B2225" s="1" t="str">
        <f ca="1">IFERROR(__xludf.DUMMYFUNCTION("""COMPUTED_VALUE"""),"dbktw2005@gmail.com")</f>
        <v>dbktw2005@gmail.com</v>
      </c>
      <c r="C2225" s="9" t="str">
        <f ca="1">IFERROR(__xludf.DUMMYFUNCTION("""COMPUTED_VALUE"""),"EVERGREEN - UAN Gated Content - Embedded Petition")</f>
        <v>EVERGREEN - UAN Gated Content - Embedded Petition</v>
      </c>
      <c r="D2225" s="10">
        <f ca="1">IFERROR(__xludf.DUMMYFUNCTION("""COMPUTED_VALUE"""),45701)</f>
        <v>45701</v>
      </c>
      <c r="E2225" s="1" t="str">
        <f ca="1">IFERROR(__xludf.DUMMYFUNCTION("""COMPUTED_VALUE"""),"USA")</f>
        <v>USA</v>
      </c>
      <c r="F2225" s="1" t="str">
        <f ca="1">IFERROR(__xludf.DUMMYFUNCTION("""COMPUTED_VALUE"""),"3.25 IOPT")</f>
        <v>3.25 IOPT</v>
      </c>
      <c r="G2225" s="1" t="str">
        <f ca="1">IFERROR(__xludf.DUMMYFUNCTION("""COMPUTED_VALUE"""),"Freedom of Expression, Individuals At Risk")</f>
        <v>Freedom of Expression, Individuals At Risk</v>
      </c>
      <c r="H2225" s="1" t="str">
        <f ca="1">IFERROR(__xludf.DUMMYFUNCTION("""COMPUTED_VALUE"""),"2025")</f>
        <v>2025</v>
      </c>
      <c r="I2225" s="1" t="str">
        <f ca="1">IFERROR(__xludf.DUMMYFUNCTION("""COMPUTED_VALUE"""),"Email")</f>
        <v>Email</v>
      </c>
    </row>
    <row r="2226" spans="1:9" ht="13" x14ac:dyDescent="0.15">
      <c r="A2226" s="9">
        <f ca="1">IFERROR(__xludf.DUMMYFUNCTION("""COMPUTED_VALUE"""),274476222)</f>
        <v>274476222</v>
      </c>
      <c r="B2226" s="1" t="str">
        <f ca="1">IFERROR(__xludf.DUMMYFUNCTION("""COMPUTED_VALUE"""),"dbktw2005@gmail.com")</f>
        <v>dbktw2005@gmail.com</v>
      </c>
      <c r="C2226" s="9" t="str">
        <f ca="1">IFERROR(__xludf.DUMMYFUNCTION("""COMPUTED_VALUE"""),"EVERGREEN - UAN Gated Content - Embedded Petition")</f>
        <v>EVERGREEN - UAN Gated Content - Embedded Petition</v>
      </c>
      <c r="D2226" s="10">
        <f ca="1">IFERROR(__xludf.DUMMYFUNCTION("""COMPUTED_VALUE"""),45694)</f>
        <v>45694</v>
      </c>
      <c r="E2226" s="1" t="str">
        <f ca="1">IFERROR(__xludf.DUMMYFUNCTION("""COMPUTED_VALUE"""),"Israel and Occupied Palestinian Territories")</f>
        <v>Israel and Occupied Palestinian Territories</v>
      </c>
      <c r="F2226" s="1" t="str">
        <f ca="1">IFERROR(__xludf.DUMMYFUNCTION("""COMPUTED_VALUE"""),"3.25 IOPT")</f>
        <v>3.25 IOPT</v>
      </c>
      <c r="G2226" s="1" t="str">
        <f ca="1">IFERROR(__xludf.DUMMYFUNCTION("""COMPUTED_VALUE"""),"Freedom of Expression, Individuals At Risk")</f>
        <v>Freedom of Expression, Individuals At Risk</v>
      </c>
      <c r="H2226" s="1" t="str">
        <f ca="1">IFERROR(__xludf.DUMMYFUNCTION("""COMPUTED_VALUE"""),"2025")</f>
        <v>2025</v>
      </c>
      <c r="I2226" s="1" t="str">
        <f ca="1">IFERROR(__xludf.DUMMYFUNCTION("""COMPUTED_VALUE"""),"Email")</f>
        <v>Email</v>
      </c>
    </row>
    <row r="2227" spans="1:9" ht="13" x14ac:dyDescent="0.15">
      <c r="A2227" s="9">
        <f ca="1">IFERROR(__xludf.DUMMYFUNCTION("""COMPUTED_VALUE"""),274476222)</f>
        <v>274476222</v>
      </c>
      <c r="B2227" s="1" t="str">
        <f ca="1">IFERROR(__xludf.DUMMYFUNCTION("""COMPUTED_VALUE"""),"dbktw2005@gmail.com")</f>
        <v>dbktw2005@gmail.com</v>
      </c>
      <c r="C2227" s="9" t="str">
        <f ca="1">IFERROR(__xludf.DUMMYFUNCTION("""COMPUTED_VALUE"""),"EVERGREEN - UAN Gated Content - Embedded Petition")</f>
        <v>EVERGREEN - UAN Gated Content - Embedded Petition</v>
      </c>
      <c r="D2227" s="10">
        <f ca="1">IFERROR(__xludf.DUMMYFUNCTION("""COMPUTED_VALUE"""),45695)</f>
        <v>45695</v>
      </c>
      <c r="E2227" s="1" t="str">
        <f ca="1">IFERROR(__xludf.DUMMYFUNCTION("""COMPUTED_VALUE"""),"Israel and Occupied Palestinian Territories")</f>
        <v>Israel and Occupied Palestinian Territories</v>
      </c>
      <c r="F2227" s="1" t="str">
        <f ca="1">IFERROR(__xludf.DUMMYFUNCTION("""COMPUTED_VALUE"""),"3.25 IOPT")</f>
        <v>3.25 IOPT</v>
      </c>
      <c r="G2227" s="1" t="str">
        <f ca="1">IFERROR(__xludf.DUMMYFUNCTION("""COMPUTED_VALUE"""),"Freedom of Expression, Individuals At Risk")</f>
        <v>Freedom of Expression, Individuals At Risk</v>
      </c>
      <c r="H2227" s="1" t="str">
        <f ca="1">IFERROR(__xludf.DUMMYFUNCTION("""COMPUTED_VALUE"""),"2025")</f>
        <v>2025</v>
      </c>
      <c r="I2227" s="1" t="str">
        <f ca="1">IFERROR(__xludf.DUMMYFUNCTION("""COMPUTED_VALUE"""),"Email")</f>
        <v>Email</v>
      </c>
    </row>
    <row r="2228" spans="1:9" ht="13" x14ac:dyDescent="0.15">
      <c r="A2228" s="9">
        <f ca="1">IFERROR(__xludf.DUMMYFUNCTION("""COMPUTED_VALUE"""),274476222)</f>
        <v>274476222</v>
      </c>
      <c r="B2228" s="1" t="str">
        <f ca="1">IFERROR(__xludf.DUMMYFUNCTION("""COMPUTED_VALUE"""),"dbktw2005@gmail.com")</f>
        <v>dbktw2005@gmail.com</v>
      </c>
      <c r="C2228" s="9" t="str">
        <f ca="1">IFERROR(__xludf.DUMMYFUNCTION("""COMPUTED_VALUE"""),"EVERGREEN - UAN Gated Content - Embedded Petition")</f>
        <v>EVERGREEN - UAN Gated Content - Embedded Petition</v>
      </c>
      <c r="D2228" s="10">
        <f ca="1">IFERROR(__xludf.DUMMYFUNCTION("""COMPUTED_VALUE"""),45691)</f>
        <v>45691</v>
      </c>
      <c r="E2228" s="1" t="str">
        <f ca="1">IFERROR(__xludf.DUMMYFUNCTION("""COMPUTED_VALUE"""),"Israel and Occupied Palestinian Territories")</f>
        <v>Israel and Occupied Palestinian Territories</v>
      </c>
      <c r="F2228" s="1" t="str">
        <f ca="1">IFERROR(__xludf.DUMMYFUNCTION("""COMPUTED_VALUE"""),"3.25 IOPT")</f>
        <v>3.25 IOPT</v>
      </c>
      <c r="G2228" s="1" t="str">
        <f ca="1">IFERROR(__xludf.DUMMYFUNCTION("""COMPUTED_VALUE"""),"Freedom of Expression, Individuals At Risk")</f>
        <v>Freedom of Expression, Individuals At Risk</v>
      </c>
      <c r="H2228" s="1" t="str">
        <f ca="1">IFERROR(__xludf.DUMMYFUNCTION("""COMPUTED_VALUE"""),"2025")</f>
        <v>2025</v>
      </c>
      <c r="I2228" s="1" t="str">
        <f ca="1">IFERROR(__xludf.DUMMYFUNCTION("""COMPUTED_VALUE"""),"Email")</f>
        <v>Email</v>
      </c>
    </row>
    <row r="2229" spans="1:9" ht="13" x14ac:dyDescent="0.15">
      <c r="A2229" s="9">
        <f ca="1">IFERROR(__xludf.DUMMYFUNCTION("""COMPUTED_VALUE"""),274476222)</f>
        <v>274476222</v>
      </c>
      <c r="B2229" s="1" t="str">
        <f ca="1">IFERROR(__xludf.DUMMYFUNCTION("""COMPUTED_VALUE"""),"dbktw2005@gmail.com")</f>
        <v>dbktw2005@gmail.com</v>
      </c>
      <c r="C2229" s="9" t="str">
        <f ca="1">IFERROR(__xludf.DUMMYFUNCTION("""COMPUTED_VALUE"""),"EVERGREEN - UAN Gated Content - Embedded Petition")</f>
        <v>EVERGREEN - UAN Gated Content - Embedded Petition</v>
      </c>
      <c r="D2229" s="10">
        <f ca="1">IFERROR(__xludf.DUMMYFUNCTION("""COMPUTED_VALUE"""),45693)</f>
        <v>45693</v>
      </c>
      <c r="E2229" s="1" t="str">
        <f ca="1">IFERROR(__xludf.DUMMYFUNCTION("""COMPUTED_VALUE"""),"Israel and Occupied Palestinian Territories")</f>
        <v>Israel and Occupied Palestinian Territories</v>
      </c>
      <c r="F2229" s="1" t="str">
        <f ca="1">IFERROR(__xludf.DUMMYFUNCTION("""COMPUTED_VALUE"""),"Second 76.24 Tunisia")</f>
        <v>Second 76.24 Tunisia</v>
      </c>
      <c r="G2229" s="1" t="str">
        <f ca="1">IFERROR(__xludf.DUMMYFUNCTION("""COMPUTED_VALUE"""),"Freedom of Expression, Human Rights Defenders")</f>
        <v>Freedom of Expression, Human Rights Defenders</v>
      </c>
      <c r="H2229" s="1" t="str">
        <f ca="1">IFERROR(__xludf.DUMMYFUNCTION("""COMPUTED_VALUE"""),"2025")</f>
        <v>2025</v>
      </c>
      <c r="I2229" s="1" t="str">
        <f ca="1">IFERROR(__xludf.DUMMYFUNCTION("""COMPUTED_VALUE"""),"Email")</f>
        <v>Email</v>
      </c>
    </row>
    <row r="2230" spans="1:9" ht="13" x14ac:dyDescent="0.15">
      <c r="A2230" s="9">
        <f ca="1">IFERROR(__xludf.DUMMYFUNCTION("""COMPUTED_VALUE"""),274476222)</f>
        <v>274476222</v>
      </c>
      <c r="B2230" s="1" t="str">
        <f ca="1">IFERROR(__xludf.DUMMYFUNCTION("""COMPUTED_VALUE"""),"dbktw2005@gmail.com")</f>
        <v>dbktw2005@gmail.com</v>
      </c>
      <c r="C2230" s="9" t="str">
        <f ca="1">IFERROR(__xludf.DUMMYFUNCTION("""COMPUTED_VALUE"""),"EVERGREEN - UAN Gated Content - Embedded Petition")</f>
        <v>EVERGREEN - UAN Gated Content - Embedded Petition</v>
      </c>
      <c r="D2230" s="10">
        <f ca="1">IFERROR(__xludf.DUMMYFUNCTION("""COMPUTED_VALUE"""),45674)</f>
        <v>45674</v>
      </c>
      <c r="E2230" s="1" t="str">
        <f ca="1">IFERROR(__xludf.DUMMYFUNCTION("""COMPUTED_VALUE"""),"Tunisia")</f>
        <v>Tunisia</v>
      </c>
      <c r="F2230" s="1" t="str">
        <f ca="1">IFERROR(__xludf.DUMMYFUNCTION("""COMPUTED_VALUE"""),"3.25 IOPT")</f>
        <v>3.25 IOPT</v>
      </c>
      <c r="G2230" s="1" t="str">
        <f ca="1">IFERROR(__xludf.DUMMYFUNCTION("""COMPUTED_VALUE"""),"Freedom of Expression, Individuals At Risk")</f>
        <v>Freedom of Expression, Individuals At Risk</v>
      </c>
      <c r="H2230" s="1" t="str">
        <f ca="1">IFERROR(__xludf.DUMMYFUNCTION("""COMPUTED_VALUE"""),"2025")</f>
        <v>2025</v>
      </c>
      <c r="I2230" s="1" t="str">
        <f ca="1">IFERROR(__xludf.DUMMYFUNCTION("""COMPUTED_VALUE"""),"Email")</f>
        <v>Email</v>
      </c>
    </row>
    <row r="2231" spans="1:9" ht="13" x14ac:dyDescent="0.15">
      <c r="A2231" s="9">
        <f ca="1">IFERROR(__xludf.DUMMYFUNCTION("""COMPUTED_VALUE"""),274476222)</f>
        <v>274476222</v>
      </c>
      <c r="B2231" s="1" t="str">
        <f ca="1">IFERROR(__xludf.DUMMYFUNCTION("""COMPUTED_VALUE"""),"dbktw2005@gmail.com")</f>
        <v>dbktw2005@gmail.com</v>
      </c>
      <c r="C2231" s="9" t="str">
        <f ca="1">IFERROR(__xludf.DUMMYFUNCTION("""COMPUTED_VALUE"""),"EVERGREEN - UAN Gated Content - Embedded Petition")</f>
        <v>EVERGREEN - UAN Gated Content - Embedded Petition</v>
      </c>
      <c r="D2231" s="10">
        <f ca="1">IFERROR(__xludf.DUMMYFUNCTION("""COMPUTED_VALUE"""),45674)</f>
        <v>45674</v>
      </c>
      <c r="E2231" s="1" t="str">
        <f ca="1">IFERROR(__xludf.DUMMYFUNCTION("""COMPUTED_VALUE"""),"Israel and Occupied Palestinian Territories")</f>
        <v>Israel and Occupied Palestinian Territories</v>
      </c>
      <c r="F2231" s="1" t="str">
        <f ca="1">IFERROR(__xludf.DUMMYFUNCTION("""COMPUTED_VALUE"""),"3.25 IOPT")</f>
        <v>3.25 IOPT</v>
      </c>
      <c r="G2231" s="1" t="str">
        <f ca="1">IFERROR(__xludf.DUMMYFUNCTION("""COMPUTED_VALUE"""),"Freedom of Expression, Individuals At Risk")</f>
        <v>Freedom of Expression, Individuals At Risk</v>
      </c>
      <c r="H2231" s="1" t="str">
        <f ca="1">IFERROR(__xludf.DUMMYFUNCTION("""COMPUTED_VALUE"""),"2025")</f>
        <v>2025</v>
      </c>
      <c r="I2231" s="1" t="str">
        <f ca="1">IFERROR(__xludf.DUMMYFUNCTION("""COMPUTED_VALUE"""),"Email")</f>
        <v>Email</v>
      </c>
    </row>
    <row r="2232" spans="1:9" ht="13" x14ac:dyDescent="0.15">
      <c r="A2232" s="9">
        <f ca="1">IFERROR(__xludf.DUMMYFUNCTION("""COMPUTED_VALUE"""),274476222)</f>
        <v>274476222</v>
      </c>
      <c r="B2232" s="1" t="str">
        <f ca="1">IFERROR(__xludf.DUMMYFUNCTION("""COMPUTED_VALUE"""),"dbktw2005@gmail.com")</f>
        <v>dbktw2005@gmail.com</v>
      </c>
      <c r="C2232" s="9" t="str">
        <f ca="1">IFERROR(__xludf.DUMMYFUNCTION("""COMPUTED_VALUE"""),"EVERGREEN - UAN Gated Content - Embedded Petition")</f>
        <v>EVERGREEN - UAN Gated Content - Embedded Petition</v>
      </c>
      <c r="D2232" s="10">
        <f ca="1">IFERROR(__xludf.DUMMYFUNCTION("""COMPUTED_VALUE"""),45674)</f>
        <v>45674</v>
      </c>
      <c r="E2232" s="1" t="str">
        <f ca="1">IFERROR(__xludf.DUMMYFUNCTION("""COMPUTED_VALUE"""),"Israel and Occupied Palestinian Territories")</f>
        <v>Israel and Occupied Palestinian Territories</v>
      </c>
      <c r="F2232" s="1" t="str">
        <f ca="1">IFERROR(__xludf.DUMMYFUNCTION("""COMPUTED_VALUE"""),"4.25 USA")</f>
        <v>4.25 USA</v>
      </c>
      <c r="G2232" s="1" t="str">
        <f ca="1">IFERROR(__xludf.DUMMYFUNCTION("""COMPUTED_VALUE"""),"Individuals At Risk, Refugee and Migrant Rights")</f>
        <v>Individuals At Risk, Refugee and Migrant Rights</v>
      </c>
      <c r="H2232" s="1" t="str">
        <f ca="1">IFERROR(__xludf.DUMMYFUNCTION("""COMPUTED_VALUE"""),"2025")</f>
        <v>2025</v>
      </c>
      <c r="I2232" s="1" t="str">
        <f ca="1">IFERROR(__xludf.DUMMYFUNCTION("""COMPUTED_VALUE"""),"Letter")</f>
        <v>Letter</v>
      </c>
    </row>
    <row r="2233" spans="1:9" ht="13" x14ac:dyDescent="0.15">
      <c r="A2233" s="9">
        <f ca="1">IFERROR(__xludf.DUMMYFUNCTION("""COMPUTED_VALUE"""),274476222)</f>
        <v>274476222</v>
      </c>
      <c r="B2233" s="1" t="str">
        <f ca="1">IFERROR(__xludf.DUMMYFUNCTION("""COMPUTED_VALUE"""),"dbktw2005@gmail.com")</f>
        <v>dbktw2005@gmail.com</v>
      </c>
      <c r="C2233" s="9" t="str">
        <f ca="1">IFERROR(__xludf.DUMMYFUNCTION("""COMPUTED_VALUE"""),"EVERGREEN - UAN Gated Content - Embedded Petition")</f>
        <v>EVERGREEN - UAN Gated Content - Embedded Petition</v>
      </c>
      <c r="D2233" s="10">
        <f ca="1">IFERROR(__xludf.DUMMYFUNCTION("""COMPUTED_VALUE"""),45702)</f>
        <v>45702</v>
      </c>
      <c r="E2233" s="1" t="str">
        <f ca="1">IFERROR(__xludf.DUMMYFUNCTION("""COMPUTED_VALUE"""),"USA")</f>
        <v>USA</v>
      </c>
      <c r="F2233" s="1" t="str">
        <f ca="1">IFERROR(__xludf.DUMMYFUNCTION("""COMPUTED_VALUE"""),"3.25 IOPT")</f>
        <v>3.25 IOPT</v>
      </c>
      <c r="G2233" s="1" t="str">
        <f ca="1">IFERROR(__xludf.DUMMYFUNCTION("""COMPUTED_VALUE"""),"Freedom of Expression, Individuals At Risk")</f>
        <v>Freedom of Expression, Individuals At Risk</v>
      </c>
      <c r="H2233" s="1" t="str">
        <f ca="1">IFERROR(__xludf.DUMMYFUNCTION("""COMPUTED_VALUE"""),"2025")</f>
        <v>2025</v>
      </c>
      <c r="I2233" s="1" t="str">
        <f ca="1">IFERROR(__xludf.DUMMYFUNCTION("""COMPUTED_VALUE"""),"Email")</f>
        <v>Email</v>
      </c>
    </row>
    <row r="2234" spans="1:9" ht="13" x14ac:dyDescent="0.15">
      <c r="A2234" s="9">
        <f ca="1">IFERROR(__xludf.DUMMYFUNCTION("""COMPUTED_VALUE"""),274476222)</f>
        <v>274476222</v>
      </c>
      <c r="B2234" s="1" t="str">
        <f ca="1">IFERROR(__xludf.DUMMYFUNCTION("""COMPUTED_VALUE"""),"dbktw2005@gmail.com")</f>
        <v>dbktw2005@gmail.com</v>
      </c>
      <c r="C2234" s="9" t="str">
        <f ca="1">IFERROR(__xludf.DUMMYFUNCTION("""COMPUTED_VALUE"""),"EVERGREEN - UAN Gated Content - Embedded Petition")</f>
        <v>EVERGREEN - UAN Gated Content - Embedded Petition</v>
      </c>
      <c r="D2234" s="10">
        <f ca="1">IFERROR(__xludf.DUMMYFUNCTION("""COMPUTED_VALUE"""),45632)</f>
        <v>45632</v>
      </c>
      <c r="E2234" s="1" t="str">
        <f ca="1">IFERROR(__xludf.DUMMYFUNCTION("""COMPUTED_VALUE"""),"Israel and Occupied Palestinian Territories")</f>
        <v>Israel and Occupied Palestinian Territories</v>
      </c>
      <c r="F2234" s="1" t="str">
        <f ca="1">IFERROR(__xludf.DUMMYFUNCTION("""COMPUTED_VALUE"""),"3.25 IOPT")</f>
        <v>3.25 IOPT</v>
      </c>
      <c r="G2234" s="1" t="str">
        <f ca="1">IFERROR(__xludf.DUMMYFUNCTION("""COMPUTED_VALUE"""),"Freedom of Expression, Individuals At Risk")</f>
        <v>Freedom of Expression, Individuals At Risk</v>
      </c>
      <c r="H2234" s="1" t="str">
        <f ca="1">IFERROR(__xludf.DUMMYFUNCTION("""COMPUTED_VALUE"""),"2025")</f>
        <v>2025</v>
      </c>
      <c r="I2234" s="1" t="str">
        <f ca="1">IFERROR(__xludf.DUMMYFUNCTION("""COMPUTED_VALUE"""),"Email")</f>
        <v>Email</v>
      </c>
    </row>
    <row r="2235" spans="1:9" ht="13" x14ac:dyDescent="0.15">
      <c r="A2235" s="9">
        <f ca="1">IFERROR(__xludf.DUMMYFUNCTION("""COMPUTED_VALUE"""),274476222)</f>
        <v>274476222</v>
      </c>
      <c r="B2235" s="1" t="str">
        <f ca="1">IFERROR(__xludf.DUMMYFUNCTION("""COMPUTED_VALUE"""),"dbktw2005@gmail.com")</f>
        <v>dbktw2005@gmail.com</v>
      </c>
      <c r="C2235" s="9" t="str">
        <f ca="1">IFERROR(__xludf.DUMMYFUNCTION("""COMPUTED_VALUE"""),"EVERGREEN - UAN Gated Content - Embedded Petition")</f>
        <v>EVERGREEN - UAN Gated Content - Embedded Petition</v>
      </c>
      <c r="D2235" s="10">
        <f ca="1">IFERROR(__xludf.DUMMYFUNCTION("""COMPUTED_VALUE"""),45665)</f>
        <v>45665</v>
      </c>
      <c r="E2235" s="1" t="str">
        <f ca="1">IFERROR(__xludf.DUMMYFUNCTION("""COMPUTED_VALUE"""),"Israel and Occupied Palestinian Territories")</f>
        <v>Israel and Occupied Palestinian Territories</v>
      </c>
      <c r="F2235" s="1" t="str">
        <f ca="1">IFERROR(__xludf.DUMMYFUNCTION("""COMPUTED_VALUE"""),"3.25 IOPT")</f>
        <v>3.25 IOPT</v>
      </c>
      <c r="G2235" s="1" t="str">
        <f ca="1">IFERROR(__xludf.DUMMYFUNCTION("""COMPUTED_VALUE"""),"Freedom of Expression, Individuals At Risk")</f>
        <v>Freedom of Expression, Individuals At Risk</v>
      </c>
      <c r="H2235" s="1" t="str">
        <f ca="1">IFERROR(__xludf.DUMMYFUNCTION("""COMPUTED_VALUE"""),"2025")</f>
        <v>2025</v>
      </c>
      <c r="I2235" s="1" t="str">
        <f ca="1">IFERROR(__xludf.DUMMYFUNCTION("""COMPUTED_VALUE"""),"Email")</f>
        <v>Email</v>
      </c>
    </row>
    <row r="2236" spans="1:9" ht="13" x14ac:dyDescent="0.15">
      <c r="A2236" s="9">
        <f ca="1">IFERROR(__xludf.DUMMYFUNCTION("""COMPUTED_VALUE"""),274476222)</f>
        <v>274476222</v>
      </c>
      <c r="B2236" s="1" t="str">
        <f ca="1">IFERROR(__xludf.DUMMYFUNCTION("""COMPUTED_VALUE"""),"dbktw2005@gmail.com")</f>
        <v>dbktw2005@gmail.com</v>
      </c>
      <c r="C2236" s="9" t="str">
        <f ca="1">IFERROR(__xludf.DUMMYFUNCTION("""COMPUTED_VALUE"""),"EVERGREEN - UAN Gated Content - Embedded Petition")</f>
        <v>EVERGREEN - UAN Gated Content - Embedded Petition</v>
      </c>
      <c r="D2236" s="10">
        <f ca="1">IFERROR(__xludf.DUMMYFUNCTION("""COMPUTED_VALUE"""),45666)</f>
        <v>45666</v>
      </c>
      <c r="E2236" s="1" t="str">
        <f ca="1">IFERROR(__xludf.DUMMYFUNCTION("""COMPUTED_VALUE"""),"Israel and Occupied Palestinian Territories")</f>
        <v>Israel and Occupied Palestinian Territories</v>
      </c>
      <c r="F2236" s="1" t="str">
        <f ca="1">IFERROR(__xludf.DUMMYFUNCTION("""COMPUTED_VALUE"""),"3.25 IOPT")</f>
        <v>3.25 IOPT</v>
      </c>
      <c r="G2236" s="1" t="str">
        <f ca="1">IFERROR(__xludf.DUMMYFUNCTION("""COMPUTED_VALUE"""),"Freedom of Expression, Individuals At Risk")</f>
        <v>Freedom of Expression, Individuals At Risk</v>
      </c>
      <c r="H2236" s="1" t="str">
        <f ca="1">IFERROR(__xludf.DUMMYFUNCTION("""COMPUTED_VALUE"""),"2025")</f>
        <v>2025</v>
      </c>
      <c r="I2236" s="1" t="str">
        <f ca="1">IFERROR(__xludf.DUMMYFUNCTION("""COMPUTED_VALUE"""),"Email")</f>
        <v>Email</v>
      </c>
    </row>
    <row r="2237" spans="1:9" ht="13" x14ac:dyDescent="0.15">
      <c r="A2237" s="9">
        <f ca="1">IFERROR(__xludf.DUMMYFUNCTION("""COMPUTED_VALUE"""),274476222)</f>
        <v>274476222</v>
      </c>
      <c r="B2237" s="1" t="str">
        <f ca="1">IFERROR(__xludf.DUMMYFUNCTION("""COMPUTED_VALUE"""),"dbktw2005@gmail.com")</f>
        <v>dbktw2005@gmail.com</v>
      </c>
      <c r="C2237" s="9" t="str">
        <f ca="1">IFERROR(__xludf.DUMMYFUNCTION("""COMPUTED_VALUE"""),"EVERGREEN - UAN Gated Content - Embedded Petition")</f>
        <v>EVERGREEN - UAN Gated Content - Embedded Petition</v>
      </c>
      <c r="D2237" s="10">
        <f ca="1">IFERROR(__xludf.DUMMYFUNCTION("""COMPUTED_VALUE"""),45671)</f>
        <v>45671</v>
      </c>
      <c r="E2237" s="1" t="str">
        <f ca="1">IFERROR(__xludf.DUMMYFUNCTION("""COMPUTED_VALUE"""),"Israel and Occupied Palestinian Territories")</f>
        <v>Israel and Occupied Palestinian Territories</v>
      </c>
      <c r="F2237" s="1" t="str">
        <f ca="1">IFERROR(__xludf.DUMMYFUNCTION("""COMPUTED_VALUE"""),"3.25 IOPT")</f>
        <v>3.25 IOPT</v>
      </c>
      <c r="G2237" s="1" t="str">
        <f ca="1">IFERROR(__xludf.DUMMYFUNCTION("""COMPUTED_VALUE"""),"Freedom of Expression, Individuals At Risk")</f>
        <v>Freedom of Expression, Individuals At Risk</v>
      </c>
      <c r="H2237" s="1" t="str">
        <f ca="1">IFERROR(__xludf.DUMMYFUNCTION("""COMPUTED_VALUE"""),"2025")</f>
        <v>2025</v>
      </c>
      <c r="I2237" s="1" t="str">
        <f ca="1">IFERROR(__xludf.DUMMYFUNCTION("""COMPUTED_VALUE"""),"Email")</f>
        <v>Email</v>
      </c>
    </row>
    <row r="2238" spans="1:9" ht="13" x14ac:dyDescent="0.15">
      <c r="A2238" s="9">
        <f ca="1">IFERROR(__xludf.DUMMYFUNCTION("""COMPUTED_VALUE"""),274476222)</f>
        <v>274476222</v>
      </c>
      <c r="B2238" s="1" t="str">
        <f ca="1">IFERROR(__xludf.DUMMYFUNCTION("""COMPUTED_VALUE"""),"dbktw2005@gmail.com")</f>
        <v>dbktw2005@gmail.com</v>
      </c>
      <c r="C2238" s="9" t="str">
        <f ca="1">IFERROR(__xludf.DUMMYFUNCTION("""COMPUTED_VALUE"""),"EVERGREEN - UAN Gated Content - Embedded Petition")</f>
        <v>EVERGREEN - UAN Gated Content - Embedded Petition</v>
      </c>
      <c r="D2238" s="10">
        <f ca="1">IFERROR(__xludf.DUMMYFUNCTION("""COMPUTED_VALUE"""),45650)</f>
        <v>45650</v>
      </c>
      <c r="E2238" s="1" t="str">
        <f ca="1">IFERROR(__xludf.DUMMYFUNCTION("""COMPUTED_VALUE"""),"Israel and Occupied Palestinian Territories")</f>
        <v>Israel and Occupied Palestinian Territories</v>
      </c>
      <c r="F2238" s="1" t="str">
        <f ca="1">IFERROR(__xludf.DUMMYFUNCTION("""COMPUTED_VALUE"""),"3.25 IOPT")</f>
        <v>3.25 IOPT</v>
      </c>
      <c r="G2238" s="1" t="str">
        <f ca="1">IFERROR(__xludf.DUMMYFUNCTION("""COMPUTED_VALUE"""),"Freedom of Expression, Individuals At Risk")</f>
        <v>Freedom of Expression, Individuals At Risk</v>
      </c>
      <c r="H2238" s="1" t="str">
        <f ca="1">IFERROR(__xludf.DUMMYFUNCTION("""COMPUTED_VALUE"""),"2025")</f>
        <v>2025</v>
      </c>
      <c r="I2238" s="1" t="str">
        <f ca="1">IFERROR(__xludf.DUMMYFUNCTION("""COMPUTED_VALUE"""),"Email")</f>
        <v>Email</v>
      </c>
    </row>
    <row r="2239" spans="1:9" ht="13" x14ac:dyDescent="0.15">
      <c r="A2239" s="9">
        <f ca="1">IFERROR(__xludf.DUMMYFUNCTION("""COMPUTED_VALUE"""),274476222)</f>
        <v>274476222</v>
      </c>
      <c r="B2239" s="1" t="str">
        <f ca="1">IFERROR(__xludf.DUMMYFUNCTION("""COMPUTED_VALUE"""),"dbktw2005@gmail.com")</f>
        <v>dbktw2005@gmail.com</v>
      </c>
      <c r="C2239" s="9" t="str">
        <f ca="1">IFERROR(__xludf.DUMMYFUNCTION("""COMPUTED_VALUE"""),"EVERGREEN - UAN Gated Content - Embedded Petition")</f>
        <v>EVERGREEN - UAN Gated Content - Embedded Petition</v>
      </c>
      <c r="D2239" s="10">
        <f ca="1">IFERROR(__xludf.DUMMYFUNCTION("""COMPUTED_VALUE"""),45652)</f>
        <v>45652</v>
      </c>
      <c r="E2239" s="1" t="str">
        <f ca="1">IFERROR(__xludf.DUMMYFUNCTION("""COMPUTED_VALUE"""),"Israel and Occupied Palestinian Territories")</f>
        <v>Israel and Occupied Palestinian Territories</v>
      </c>
      <c r="F2239" s="1" t="str">
        <f ca="1">IFERROR(__xludf.DUMMYFUNCTION("""COMPUTED_VALUE"""),"3.25 IOPT")</f>
        <v>3.25 IOPT</v>
      </c>
      <c r="G2239" s="1" t="str">
        <f ca="1">IFERROR(__xludf.DUMMYFUNCTION("""COMPUTED_VALUE"""),"Freedom of Expression, Individuals At Risk")</f>
        <v>Freedom of Expression, Individuals At Risk</v>
      </c>
      <c r="H2239" s="1" t="str">
        <f ca="1">IFERROR(__xludf.DUMMYFUNCTION("""COMPUTED_VALUE"""),"2025")</f>
        <v>2025</v>
      </c>
      <c r="I2239" s="1" t="str">
        <f ca="1">IFERROR(__xludf.DUMMYFUNCTION("""COMPUTED_VALUE"""),"Email")</f>
        <v>Email</v>
      </c>
    </row>
    <row r="2240" spans="1:9" ht="13" x14ac:dyDescent="0.15">
      <c r="A2240" s="9">
        <f ca="1">IFERROR(__xludf.DUMMYFUNCTION("""COMPUTED_VALUE"""),274476222)</f>
        <v>274476222</v>
      </c>
      <c r="B2240" s="1" t="str">
        <f ca="1">IFERROR(__xludf.DUMMYFUNCTION("""COMPUTED_VALUE"""),"dbktw2005@gmail.com")</f>
        <v>dbktw2005@gmail.com</v>
      </c>
      <c r="C2240" s="9" t="str">
        <f ca="1">IFERROR(__xludf.DUMMYFUNCTION("""COMPUTED_VALUE"""),"EVERGREEN - UAN Gated Content - Embedded Petition")</f>
        <v>EVERGREEN - UAN Gated Content - Embedded Petition</v>
      </c>
      <c r="D2240" s="10">
        <f ca="1">IFERROR(__xludf.DUMMYFUNCTION("""COMPUTED_VALUE"""),45654)</f>
        <v>45654</v>
      </c>
      <c r="E2240" s="1" t="str">
        <f ca="1">IFERROR(__xludf.DUMMYFUNCTION("""COMPUTED_VALUE"""),"Israel and Occupied Palestinian Territories")</f>
        <v>Israel and Occupied Palestinian Territories</v>
      </c>
      <c r="F2240" s="1" t="str">
        <f ca="1">IFERROR(__xludf.DUMMYFUNCTION("""COMPUTED_VALUE"""),"3.25 IOPT")</f>
        <v>3.25 IOPT</v>
      </c>
      <c r="G2240" s="1" t="str">
        <f ca="1">IFERROR(__xludf.DUMMYFUNCTION("""COMPUTED_VALUE"""),"Freedom of Expression, Individuals At Risk")</f>
        <v>Freedom of Expression, Individuals At Risk</v>
      </c>
      <c r="H2240" s="1" t="str">
        <f ca="1">IFERROR(__xludf.DUMMYFUNCTION("""COMPUTED_VALUE"""),"2025")</f>
        <v>2025</v>
      </c>
      <c r="I2240" s="1" t="str">
        <f ca="1">IFERROR(__xludf.DUMMYFUNCTION("""COMPUTED_VALUE"""),"Email")</f>
        <v>Email</v>
      </c>
    </row>
    <row r="2241" spans="1:9" ht="13" x14ac:dyDescent="0.15">
      <c r="A2241" s="9">
        <f ca="1">IFERROR(__xludf.DUMMYFUNCTION("""COMPUTED_VALUE"""),274476222)</f>
        <v>274476222</v>
      </c>
      <c r="B2241" s="1" t="str">
        <f ca="1">IFERROR(__xludf.DUMMYFUNCTION("""COMPUTED_VALUE"""),"dbktw2005@gmail.com")</f>
        <v>dbktw2005@gmail.com</v>
      </c>
      <c r="C2241" s="9" t="str">
        <f ca="1">IFERROR(__xludf.DUMMYFUNCTION("""COMPUTED_VALUE"""),"EVERGREEN - UAN Gated Content - Embedded Petition")</f>
        <v>EVERGREEN - UAN Gated Content - Embedded Petition</v>
      </c>
      <c r="D2241" s="10">
        <f ca="1">IFERROR(__xludf.DUMMYFUNCTION("""COMPUTED_VALUE"""),45658)</f>
        <v>45658</v>
      </c>
      <c r="E2241" s="1" t="str">
        <f ca="1">IFERROR(__xludf.DUMMYFUNCTION("""COMPUTED_VALUE"""),"Israel and Occupied Palestinian Territories")</f>
        <v>Israel and Occupied Palestinian Territories</v>
      </c>
      <c r="F2241" s="1" t="str">
        <f ca="1">IFERROR(__xludf.DUMMYFUNCTION("""COMPUTED_VALUE"""),"3.25 IOPT")</f>
        <v>3.25 IOPT</v>
      </c>
      <c r="G2241" s="1" t="str">
        <f ca="1">IFERROR(__xludf.DUMMYFUNCTION("""COMPUTED_VALUE"""),"Freedom of Expression, Individuals At Risk")</f>
        <v>Freedom of Expression, Individuals At Risk</v>
      </c>
      <c r="H2241" s="1" t="str">
        <f ca="1">IFERROR(__xludf.DUMMYFUNCTION("""COMPUTED_VALUE"""),"2025")</f>
        <v>2025</v>
      </c>
      <c r="I2241" s="1" t="str">
        <f ca="1">IFERROR(__xludf.DUMMYFUNCTION("""COMPUTED_VALUE"""),"Email")</f>
        <v>Email</v>
      </c>
    </row>
    <row r="2242" spans="1:9" ht="13" x14ac:dyDescent="0.15">
      <c r="A2242" s="9">
        <f ca="1">IFERROR(__xludf.DUMMYFUNCTION("""COMPUTED_VALUE"""),274476222)</f>
        <v>274476222</v>
      </c>
      <c r="B2242" s="1" t="str">
        <f ca="1">IFERROR(__xludf.DUMMYFUNCTION("""COMPUTED_VALUE"""),"dbktw2005@gmail.com")</f>
        <v>dbktw2005@gmail.com</v>
      </c>
      <c r="C2242" s="9" t="str">
        <f ca="1">IFERROR(__xludf.DUMMYFUNCTION("""COMPUTED_VALUE"""),"EVERGREEN - UAN Gated Content - Embedded Petition")</f>
        <v>EVERGREEN - UAN Gated Content - Embedded Petition</v>
      </c>
      <c r="D2242" s="10">
        <f ca="1">IFERROR(__xludf.DUMMYFUNCTION("""COMPUTED_VALUE"""),45659)</f>
        <v>45659</v>
      </c>
      <c r="E2242" s="1" t="str">
        <f ca="1">IFERROR(__xludf.DUMMYFUNCTION("""COMPUTED_VALUE"""),"Israel and Occupied Palestinian Territories")</f>
        <v>Israel and Occupied Palestinian Territories</v>
      </c>
      <c r="F2242" s="1" t="str">
        <f ca="1">IFERROR(__xludf.DUMMYFUNCTION("""COMPUTED_VALUE"""),"3.25 IOPT")</f>
        <v>3.25 IOPT</v>
      </c>
      <c r="G2242" s="1" t="str">
        <f ca="1">IFERROR(__xludf.DUMMYFUNCTION("""COMPUTED_VALUE"""),"Freedom of Expression, Individuals At Risk")</f>
        <v>Freedom of Expression, Individuals At Risk</v>
      </c>
      <c r="H2242" s="1" t="str">
        <f ca="1">IFERROR(__xludf.DUMMYFUNCTION("""COMPUTED_VALUE"""),"2025")</f>
        <v>2025</v>
      </c>
      <c r="I2242" s="1" t="str">
        <f ca="1">IFERROR(__xludf.DUMMYFUNCTION("""COMPUTED_VALUE"""),"Email")</f>
        <v>Email</v>
      </c>
    </row>
    <row r="2243" spans="1:9" ht="13" x14ac:dyDescent="0.15">
      <c r="A2243" s="9">
        <f ca="1">IFERROR(__xludf.DUMMYFUNCTION("""COMPUTED_VALUE"""),274476222)</f>
        <v>274476222</v>
      </c>
      <c r="B2243" s="1" t="str">
        <f ca="1">IFERROR(__xludf.DUMMYFUNCTION("""COMPUTED_VALUE"""),"dbktw2005@gmail.com")</f>
        <v>dbktw2005@gmail.com</v>
      </c>
      <c r="C2243" s="9" t="str">
        <f ca="1">IFERROR(__xludf.DUMMYFUNCTION("""COMPUTED_VALUE"""),"EVERGREEN - UAN Gated Content - Embedded Petition")</f>
        <v>EVERGREEN - UAN Gated Content - Embedded Petition</v>
      </c>
      <c r="D2243" s="10">
        <f ca="1">IFERROR(__xludf.DUMMYFUNCTION("""COMPUTED_VALUE"""),45663)</f>
        <v>45663</v>
      </c>
      <c r="E2243" s="1" t="str">
        <f ca="1">IFERROR(__xludf.DUMMYFUNCTION("""COMPUTED_VALUE"""),"Israel and Occupied Palestinian Territories")</f>
        <v>Israel and Occupied Palestinian Territories</v>
      </c>
      <c r="F2243" s="1" t="str">
        <f ca="1">IFERROR(__xludf.DUMMYFUNCTION("""COMPUTED_VALUE"""),"3.25 IOPT")</f>
        <v>3.25 IOPT</v>
      </c>
      <c r="G2243" s="1" t="str">
        <f ca="1">IFERROR(__xludf.DUMMYFUNCTION("""COMPUTED_VALUE"""),"Freedom of Expression, Individuals At Risk")</f>
        <v>Freedom of Expression, Individuals At Risk</v>
      </c>
      <c r="H2243" s="1" t="str">
        <f ca="1">IFERROR(__xludf.DUMMYFUNCTION("""COMPUTED_VALUE"""),"2025")</f>
        <v>2025</v>
      </c>
      <c r="I2243" s="1" t="str">
        <f ca="1">IFERROR(__xludf.DUMMYFUNCTION("""COMPUTED_VALUE"""),"Email")</f>
        <v>Email</v>
      </c>
    </row>
    <row r="2244" spans="1:9" ht="13" x14ac:dyDescent="0.15">
      <c r="A2244" s="9">
        <f ca="1">IFERROR(__xludf.DUMMYFUNCTION("""COMPUTED_VALUE"""),274476222)</f>
        <v>274476222</v>
      </c>
      <c r="B2244" s="1" t="str">
        <f ca="1">IFERROR(__xludf.DUMMYFUNCTION("""COMPUTED_VALUE"""),"dbktw2005@gmail.com")</f>
        <v>dbktw2005@gmail.com</v>
      </c>
      <c r="C2244" s="9" t="str">
        <f ca="1">IFERROR(__xludf.DUMMYFUNCTION("""COMPUTED_VALUE"""),"EVERGREEN - UAN Gated Content - Embedded Petition")</f>
        <v>EVERGREEN - UAN Gated Content - Embedded Petition</v>
      </c>
      <c r="D2244" s="10">
        <f ca="1">IFERROR(__xludf.DUMMYFUNCTION("""COMPUTED_VALUE"""),45663)</f>
        <v>45663</v>
      </c>
      <c r="E2244" s="1" t="str">
        <f ca="1">IFERROR(__xludf.DUMMYFUNCTION("""COMPUTED_VALUE"""),"Israel and Occupied Palestinian Territories")</f>
        <v>Israel and Occupied Palestinian Territories</v>
      </c>
      <c r="F2244" s="1" t="str">
        <f ca="1">IFERROR(__xludf.DUMMYFUNCTION("""COMPUTED_VALUE"""),"3.25 IOPT")</f>
        <v>3.25 IOPT</v>
      </c>
      <c r="G2244" s="1" t="str">
        <f ca="1">IFERROR(__xludf.DUMMYFUNCTION("""COMPUTED_VALUE"""),"Freedom of Expression, Individuals At Risk")</f>
        <v>Freedom of Expression, Individuals At Risk</v>
      </c>
      <c r="H2244" s="1" t="str">
        <f ca="1">IFERROR(__xludf.DUMMYFUNCTION("""COMPUTED_VALUE"""),"2025")</f>
        <v>2025</v>
      </c>
      <c r="I2244" s="1" t="str">
        <f ca="1">IFERROR(__xludf.DUMMYFUNCTION("""COMPUTED_VALUE"""),"Email")</f>
        <v>Email</v>
      </c>
    </row>
    <row r="2245" spans="1:9" ht="13" x14ac:dyDescent="0.15">
      <c r="A2245" s="9">
        <f ca="1">IFERROR(__xludf.DUMMYFUNCTION("""COMPUTED_VALUE"""),274476222)</f>
        <v>274476222</v>
      </c>
      <c r="B2245" s="1" t="str">
        <f ca="1">IFERROR(__xludf.DUMMYFUNCTION("""COMPUTED_VALUE"""),"dbktw2005@gmail.com")</f>
        <v>dbktw2005@gmail.com</v>
      </c>
      <c r="C2245" s="9" t="str">
        <f ca="1">IFERROR(__xludf.DUMMYFUNCTION("""COMPUTED_VALUE"""),"EVERGREEN - UAN Gated Content - Embedded Petition")</f>
        <v>EVERGREEN - UAN Gated Content - Embedded Petition</v>
      </c>
      <c r="D2245" s="10">
        <f ca="1">IFERROR(__xludf.DUMMYFUNCTION("""COMPUTED_VALUE"""),45663)</f>
        <v>45663</v>
      </c>
      <c r="E2245" s="1" t="str">
        <f ca="1">IFERROR(__xludf.DUMMYFUNCTION("""COMPUTED_VALUE"""),"Israel and Occupied Palestinian Territories")</f>
        <v>Israel and Occupied Palestinian Territories</v>
      </c>
      <c r="F2245" s="1" t="str">
        <f ca="1">IFERROR(__xludf.DUMMYFUNCTION("""COMPUTED_VALUE"""),"3.25 IOPT")</f>
        <v>3.25 IOPT</v>
      </c>
      <c r="G2245" s="1" t="str">
        <f ca="1">IFERROR(__xludf.DUMMYFUNCTION("""COMPUTED_VALUE"""),"Freedom of Expression, Individuals At Risk")</f>
        <v>Freedom of Expression, Individuals At Risk</v>
      </c>
      <c r="H2245" s="1" t="str">
        <f ca="1">IFERROR(__xludf.DUMMYFUNCTION("""COMPUTED_VALUE"""),"2025")</f>
        <v>2025</v>
      </c>
      <c r="I2245" s="1" t="str">
        <f ca="1">IFERROR(__xludf.DUMMYFUNCTION("""COMPUTED_VALUE"""),"Email")</f>
        <v>Email</v>
      </c>
    </row>
    <row r="2246" spans="1:9" ht="13" x14ac:dyDescent="0.15">
      <c r="A2246" s="9">
        <f ca="1">IFERROR(__xludf.DUMMYFUNCTION("""COMPUTED_VALUE"""),274476222)</f>
        <v>274476222</v>
      </c>
      <c r="B2246" s="1" t="str">
        <f ca="1">IFERROR(__xludf.DUMMYFUNCTION("""COMPUTED_VALUE"""),"dbktw2005@gmail.com")</f>
        <v>dbktw2005@gmail.com</v>
      </c>
      <c r="C2246" s="9" t="str">
        <f ca="1">IFERROR(__xludf.DUMMYFUNCTION("""COMPUTED_VALUE"""),"EVERGREEN - UAN Gated Content - Embedded Petition")</f>
        <v>EVERGREEN - UAN Gated Content - Embedded Petition</v>
      </c>
      <c r="D2246" s="10">
        <f ca="1">IFERROR(__xludf.DUMMYFUNCTION("""COMPUTED_VALUE"""),45636)</f>
        <v>45636</v>
      </c>
      <c r="E2246" s="1" t="str">
        <f ca="1">IFERROR(__xludf.DUMMYFUNCTION("""COMPUTED_VALUE"""),"Israel and Occupied Palestinian Territories")</f>
        <v>Israel and Occupied Palestinian Territories</v>
      </c>
      <c r="F2246" s="1" t="str">
        <f ca="1">IFERROR(__xludf.DUMMYFUNCTION("""COMPUTED_VALUE"""),"3.25 IOPT")</f>
        <v>3.25 IOPT</v>
      </c>
      <c r="G2246" s="1" t="str">
        <f ca="1">IFERROR(__xludf.DUMMYFUNCTION("""COMPUTED_VALUE"""),"Freedom of Expression, Individuals At Risk")</f>
        <v>Freedom of Expression, Individuals At Risk</v>
      </c>
      <c r="H2246" s="1" t="str">
        <f ca="1">IFERROR(__xludf.DUMMYFUNCTION("""COMPUTED_VALUE"""),"2025")</f>
        <v>2025</v>
      </c>
      <c r="I2246" s="1" t="str">
        <f ca="1">IFERROR(__xludf.DUMMYFUNCTION("""COMPUTED_VALUE"""),"Email")</f>
        <v>Email</v>
      </c>
    </row>
    <row r="2247" spans="1:9" ht="13" x14ac:dyDescent="0.15">
      <c r="A2247" s="9">
        <f ca="1">IFERROR(__xludf.DUMMYFUNCTION("""COMPUTED_VALUE"""),274476222)</f>
        <v>274476222</v>
      </c>
      <c r="B2247" s="1" t="str">
        <f ca="1">IFERROR(__xludf.DUMMYFUNCTION("""COMPUTED_VALUE"""),"dbktw2005@gmail.com")</f>
        <v>dbktw2005@gmail.com</v>
      </c>
      <c r="C2247" s="9" t="str">
        <f ca="1">IFERROR(__xludf.DUMMYFUNCTION("""COMPUTED_VALUE"""),"EVERGREEN - UAN Gated Content - Embedded Petition")</f>
        <v>EVERGREEN - UAN Gated Content - Embedded Petition</v>
      </c>
      <c r="D2247" s="10">
        <f ca="1">IFERROR(__xludf.DUMMYFUNCTION("""COMPUTED_VALUE"""),45623)</f>
        <v>45623</v>
      </c>
      <c r="E2247" s="1" t="str">
        <f ca="1">IFERROR(__xludf.DUMMYFUNCTION("""COMPUTED_VALUE"""),"Israel and Occupied Palestinian Territories")</f>
        <v>Israel and Occupied Palestinian Territories</v>
      </c>
      <c r="F2247" s="1" t="str">
        <f ca="1">IFERROR(__xludf.DUMMYFUNCTION("""COMPUTED_VALUE"""),"3.25 IOPT")</f>
        <v>3.25 IOPT</v>
      </c>
      <c r="G2247" s="1" t="str">
        <f ca="1">IFERROR(__xludf.DUMMYFUNCTION("""COMPUTED_VALUE"""),"Freedom of Expression, Individuals At Risk")</f>
        <v>Freedom of Expression, Individuals At Risk</v>
      </c>
      <c r="H2247" s="1" t="str">
        <f ca="1">IFERROR(__xludf.DUMMYFUNCTION("""COMPUTED_VALUE"""),"2025")</f>
        <v>2025</v>
      </c>
      <c r="I2247" s="1" t="str">
        <f ca="1">IFERROR(__xludf.DUMMYFUNCTION("""COMPUTED_VALUE"""),"Email")</f>
        <v>Email</v>
      </c>
    </row>
    <row r="2248" spans="1:9" ht="13" x14ac:dyDescent="0.15">
      <c r="A2248" s="9">
        <f ca="1">IFERROR(__xludf.DUMMYFUNCTION("""COMPUTED_VALUE"""),274476222)</f>
        <v>274476222</v>
      </c>
      <c r="B2248" s="1" t="str">
        <f ca="1">IFERROR(__xludf.DUMMYFUNCTION("""COMPUTED_VALUE"""),"dbktw2005@gmail.com")</f>
        <v>dbktw2005@gmail.com</v>
      </c>
      <c r="C2248" s="9" t="str">
        <f ca="1">IFERROR(__xludf.DUMMYFUNCTION("""COMPUTED_VALUE"""),"EVERGREEN - UAN Gated Content - Embedded Petition")</f>
        <v>EVERGREEN - UAN Gated Content - Embedded Petition</v>
      </c>
      <c r="D2248" s="10">
        <f ca="1">IFERROR(__xludf.DUMMYFUNCTION("""COMPUTED_VALUE"""),45624)</f>
        <v>45624</v>
      </c>
      <c r="E2248" s="1" t="str">
        <f ca="1">IFERROR(__xludf.DUMMYFUNCTION("""COMPUTED_VALUE"""),"Israel and Occupied Palestinian Territories")</f>
        <v>Israel and Occupied Palestinian Territories</v>
      </c>
      <c r="F2248" s="1" t="str">
        <f ca="1">IFERROR(__xludf.DUMMYFUNCTION("""COMPUTED_VALUE"""),"3.25 IOPT")</f>
        <v>3.25 IOPT</v>
      </c>
      <c r="G2248" s="1" t="str">
        <f ca="1">IFERROR(__xludf.DUMMYFUNCTION("""COMPUTED_VALUE"""),"Freedom of Expression, Individuals At Risk")</f>
        <v>Freedom of Expression, Individuals At Risk</v>
      </c>
      <c r="H2248" s="1" t="str">
        <f ca="1">IFERROR(__xludf.DUMMYFUNCTION("""COMPUTED_VALUE"""),"2025")</f>
        <v>2025</v>
      </c>
      <c r="I2248" s="1" t="str">
        <f ca="1">IFERROR(__xludf.DUMMYFUNCTION("""COMPUTED_VALUE"""),"Email")</f>
        <v>Email</v>
      </c>
    </row>
    <row r="2249" spans="1:9" ht="13" x14ac:dyDescent="0.15">
      <c r="A2249" s="9">
        <f ca="1">IFERROR(__xludf.DUMMYFUNCTION("""COMPUTED_VALUE"""),274476222)</f>
        <v>274476222</v>
      </c>
      <c r="B2249" s="1" t="str">
        <f ca="1">IFERROR(__xludf.DUMMYFUNCTION("""COMPUTED_VALUE"""),"dbktw2005@gmail.com")</f>
        <v>dbktw2005@gmail.com</v>
      </c>
      <c r="C2249" s="9" t="str">
        <f ca="1">IFERROR(__xludf.DUMMYFUNCTION("""COMPUTED_VALUE"""),"EVERGREEN - UAN Gated Content - Embedded Petition")</f>
        <v>EVERGREEN - UAN Gated Content - Embedded Petition</v>
      </c>
      <c r="D2249" s="10">
        <f ca="1">IFERROR(__xludf.DUMMYFUNCTION("""COMPUTED_VALUE"""),45628)</f>
        <v>45628</v>
      </c>
      <c r="E2249" s="1" t="str">
        <f ca="1">IFERROR(__xludf.DUMMYFUNCTION("""COMPUTED_VALUE"""),"Israel and Occupied Palestinian Territories")</f>
        <v>Israel and Occupied Palestinian Territories</v>
      </c>
      <c r="F2249" s="1" t="str">
        <f ca="1">IFERROR(__xludf.DUMMYFUNCTION("""COMPUTED_VALUE"""),"3.25 IOPT")</f>
        <v>3.25 IOPT</v>
      </c>
      <c r="G2249" s="1" t="str">
        <f ca="1">IFERROR(__xludf.DUMMYFUNCTION("""COMPUTED_VALUE"""),"Freedom of Expression, Individuals At Risk")</f>
        <v>Freedom of Expression, Individuals At Risk</v>
      </c>
      <c r="H2249" s="1" t="str">
        <f ca="1">IFERROR(__xludf.DUMMYFUNCTION("""COMPUTED_VALUE"""),"2025")</f>
        <v>2025</v>
      </c>
      <c r="I2249" s="1" t="str">
        <f ca="1">IFERROR(__xludf.DUMMYFUNCTION("""COMPUTED_VALUE"""),"Email")</f>
        <v>Email</v>
      </c>
    </row>
    <row r="2250" spans="1:9" ht="13" x14ac:dyDescent="0.15">
      <c r="A2250" s="9">
        <f ca="1">IFERROR(__xludf.DUMMYFUNCTION("""COMPUTED_VALUE"""),274476222)</f>
        <v>274476222</v>
      </c>
      <c r="B2250" s="1" t="str">
        <f ca="1">IFERROR(__xludf.DUMMYFUNCTION("""COMPUTED_VALUE"""),"dbktw2005@gmail.com")</f>
        <v>dbktw2005@gmail.com</v>
      </c>
      <c r="C2250" s="9" t="str">
        <f ca="1">IFERROR(__xludf.DUMMYFUNCTION("""COMPUTED_VALUE"""),"EVERGREEN - UAN Gated Content - Embedded Petition")</f>
        <v>EVERGREEN - UAN Gated Content - Embedded Petition</v>
      </c>
      <c r="D2250" s="10">
        <f ca="1">IFERROR(__xludf.DUMMYFUNCTION("""COMPUTED_VALUE"""),45631)</f>
        <v>45631</v>
      </c>
      <c r="E2250" s="1" t="str">
        <f ca="1">IFERROR(__xludf.DUMMYFUNCTION("""COMPUTED_VALUE"""),"Israel and Occupied Palestinian Territories")</f>
        <v>Israel and Occupied Palestinian Territories</v>
      </c>
      <c r="F2250" s="1" t="str">
        <f ca="1">IFERROR(__xludf.DUMMYFUNCTION("""COMPUTED_VALUE"""),"3.25 IOPT")</f>
        <v>3.25 IOPT</v>
      </c>
      <c r="G2250" s="1" t="str">
        <f ca="1">IFERROR(__xludf.DUMMYFUNCTION("""COMPUTED_VALUE"""),"Freedom of Expression, Individuals At Risk")</f>
        <v>Freedom of Expression, Individuals At Risk</v>
      </c>
      <c r="H2250" s="1" t="str">
        <f ca="1">IFERROR(__xludf.DUMMYFUNCTION("""COMPUTED_VALUE"""),"2025")</f>
        <v>2025</v>
      </c>
      <c r="I2250" s="1" t="str">
        <f ca="1">IFERROR(__xludf.DUMMYFUNCTION("""COMPUTED_VALUE"""),"Email")</f>
        <v>Email</v>
      </c>
    </row>
    <row r="2251" spans="1:9" ht="13" x14ac:dyDescent="0.15">
      <c r="A2251" s="9">
        <f ca="1">IFERROR(__xludf.DUMMYFUNCTION("""COMPUTED_VALUE"""),274534751)</f>
        <v>274534751</v>
      </c>
      <c r="B2251" s="1" t="str">
        <f ca="1">IFERROR(__xludf.DUMMYFUNCTION("""COMPUTED_VALUE"""),"rodneyneill@hotmail.com")</f>
        <v>rodneyneill@hotmail.com</v>
      </c>
      <c r="C2251" s="9" t="str">
        <f ca="1">IFERROR(__xludf.DUMMYFUNCTION("""COMPUTED_VALUE"""),"EVERGREEN - UAN Gated Content - Embedded Petition")</f>
        <v>EVERGREEN - UAN Gated Content - Embedded Petition</v>
      </c>
      <c r="D2251" s="10">
        <f ca="1">IFERROR(__xludf.DUMMYFUNCTION("""COMPUTED_VALUE"""),45647)</f>
        <v>45647</v>
      </c>
      <c r="E2251" s="1" t="str">
        <f ca="1">IFERROR(__xludf.DUMMYFUNCTION("""COMPUTED_VALUE"""),"Israel and Occupied Palestinian Territories")</f>
        <v>Israel and Occupied Palestinian Territories</v>
      </c>
      <c r="F2251" s="1" t="str">
        <f ca="1">IFERROR(__xludf.DUMMYFUNCTION("""COMPUTED_VALUE"""),"3.25 IOPT")</f>
        <v>3.25 IOPT</v>
      </c>
      <c r="G2251" s="1" t="str">
        <f ca="1">IFERROR(__xludf.DUMMYFUNCTION("""COMPUTED_VALUE"""),"Freedom of Expression, Individuals At Risk")</f>
        <v>Freedom of Expression, Individuals At Risk</v>
      </c>
      <c r="H2251" s="1" t="str">
        <f ca="1">IFERROR(__xludf.DUMMYFUNCTION("""COMPUTED_VALUE"""),"2025")</f>
        <v>2025</v>
      </c>
      <c r="I2251" s="1" t="str">
        <f ca="1">IFERROR(__xludf.DUMMYFUNCTION("""COMPUTED_VALUE"""),"Email")</f>
        <v>Email</v>
      </c>
    </row>
    <row r="2252" spans="1:9" ht="13" x14ac:dyDescent="0.15">
      <c r="A2252" s="9">
        <f ca="1">IFERROR(__xludf.DUMMYFUNCTION("""COMPUTED_VALUE"""),274545128)</f>
        <v>274545128</v>
      </c>
      <c r="B2252" s="1" t="str">
        <f ca="1">IFERROR(__xludf.DUMMYFUNCTION("""COMPUTED_VALUE"""),"naznin975@gmail.com")</f>
        <v>naznin975@gmail.com</v>
      </c>
      <c r="C2252" s="9" t="str">
        <f ca="1">IFERROR(__xludf.DUMMYFUNCTION("""COMPUTED_VALUE"""),"EVERGREEN - UAN Gated Content - Embedded Petition")</f>
        <v>EVERGREEN - UAN Gated Content - Embedded Petition</v>
      </c>
      <c r="D2252" s="10">
        <f ca="1">IFERROR(__xludf.DUMMYFUNCTION("""COMPUTED_VALUE"""),45672)</f>
        <v>45672</v>
      </c>
      <c r="E2252" s="1" t="str">
        <f ca="1">IFERROR(__xludf.DUMMYFUNCTION("""COMPUTED_VALUE"""),"Israel and Occupied Palestinian Territories")</f>
        <v>Israel and Occupied Palestinian Territories</v>
      </c>
      <c r="F2252" s="1" t="str">
        <f ca="1">IFERROR(__xludf.DUMMYFUNCTION("""COMPUTED_VALUE"""),"3.25 IOPT")</f>
        <v>3.25 IOPT</v>
      </c>
      <c r="G2252" s="1" t="str">
        <f ca="1">IFERROR(__xludf.DUMMYFUNCTION("""COMPUTED_VALUE"""),"Freedom of Expression, Individuals At Risk")</f>
        <v>Freedom of Expression, Individuals At Risk</v>
      </c>
      <c r="H2252" s="1" t="str">
        <f ca="1">IFERROR(__xludf.DUMMYFUNCTION("""COMPUTED_VALUE"""),"2025")</f>
        <v>2025</v>
      </c>
      <c r="I2252" s="1" t="str">
        <f ca="1">IFERROR(__xludf.DUMMYFUNCTION("""COMPUTED_VALUE"""),"Email")</f>
        <v>Email</v>
      </c>
    </row>
    <row r="2253" spans="1:9" ht="13" x14ac:dyDescent="0.15">
      <c r="A2253" s="9">
        <f ca="1">IFERROR(__xludf.DUMMYFUNCTION("""COMPUTED_VALUE"""),275024224)</f>
        <v>275024224</v>
      </c>
      <c r="B2253" s="1" t="str">
        <f ca="1">IFERROR(__xludf.DUMMYFUNCTION("""COMPUTED_VALUE"""),"catwhisker72@gmail.com")</f>
        <v>catwhisker72@gmail.com</v>
      </c>
      <c r="C2253" s="9" t="str">
        <f ca="1">IFERROR(__xludf.DUMMYFUNCTION("""COMPUTED_VALUE"""),"EVERGREEN - UAN Gated Content - Embedded Petition")</f>
        <v>EVERGREEN - UAN Gated Content - Embedded Petition</v>
      </c>
      <c r="D2253" s="10">
        <f ca="1">IFERROR(__xludf.DUMMYFUNCTION("""COMPUTED_VALUE"""),45700)</f>
        <v>45700</v>
      </c>
      <c r="E2253" s="1" t="str">
        <f ca="1">IFERROR(__xludf.DUMMYFUNCTION("""COMPUTED_VALUE"""),"Israel and Occupied Palestinian Territories")</f>
        <v>Israel and Occupied Palestinian Territories</v>
      </c>
      <c r="F2253" s="1" t="str">
        <f ca="1">IFERROR(__xludf.DUMMYFUNCTION("""COMPUTED_VALUE"""),"3.25 IOPT")</f>
        <v>3.25 IOPT</v>
      </c>
      <c r="G2253" s="1" t="str">
        <f ca="1">IFERROR(__xludf.DUMMYFUNCTION("""COMPUTED_VALUE"""),"Freedom of Expression, Individuals At Risk")</f>
        <v>Freedom of Expression, Individuals At Risk</v>
      </c>
      <c r="H2253" s="1" t="str">
        <f ca="1">IFERROR(__xludf.DUMMYFUNCTION("""COMPUTED_VALUE"""),"2025")</f>
        <v>2025</v>
      </c>
      <c r="I2253" s="1" t="str">
        <f ca="1">IFERROR(__xludf.DUMMYFUNCTION("""COMPUTED_VALUE"""),"Email")</f>
        <v>Email</v>
      </c>
    </row>
    <row r="2254" spans="1:9" ht="13" x14ac:dyDescent="0.15">
      <c r="A2254" s="9">
        <f ca="1">IFERROR(__xludf.DUMMYFUNCTION("""COMPUTED_VALUE"""),275092733)</f>
        <v>275092733</v>
      </c>
      <c r="B2254" s="1" t="str">
        <f ca="1">IFERROR(__xludf.DUMMYFUNCTION("""COMPUTED_VALUE"""),"ulf.c.berg@outlook.com")</f>
        <v>ulf.c.berg@outlook.com</v>
      </c>
      <c r="C2254" s="9" t="str">
        <f ca="1">IFERROR(__xludf.DUMMYFUNCTION("""COMPUTED_VALUE"""),"UAN mid-page Lightbox - Step 1 of 4 - Landing Page")</f>
        <v>UAN mid-page Lightbox - Step 1 of 4 - Landing Page</v>
      </c>
      <c r="D2254" s="10">
        <f ca="1">IFERROR(__xludf.DUMMYFUNCTION("""COMPUTED_VALUE"""),45620)</f>
        <v>45620</v>
      </c>
      <c r="E2254" s="1" t="str">
        <f ca="1">IFERROR(__xludf.DUMMYFUNCTION("""COMPUTED_VALUE"""),"Israel and Occupied Palestinian Territories")</f>
        <v>Israel and Occupied Palestinian Territories</v>
      </c>
      <c r="F2254" s="1" t="str">
        <f ca="1">IFERROR(__xludf.DUMMYFUNCTION("""COMPUTED_VALUE"""),"3.25 IOPT")</f>
        <v>3.25 IOPT</v>
      </c>
      <c r="G2254" s="1" t="str">
        <f ca="1">IFERROR(__xludf.DUMMYFUNCTION("""COMPUTED_VALUE"""),"Freedom of Expression, Individuals At Risk")</f>
        <v>Freedom of Expression, Individuals At Risk</v>
      </c>
      <c r="H2254" s="1" t="str">
        <f ca="1">IFERROR(__xludf.DUMMYFUNCTION("""COMPUTED_VALUE"""),"2025")</f>
        <v>2025</v>
      </c>
      <c r="I2254" s="1" t="str">
        <f ca="1">IFERROR(__xludf.DUMMYFUNCTION("""COMPUTED_VALUE"""),"Email")</f>
        <v>Email</v>
      </c>
    </row>
    <row r="2255" spans="1:9" ht="13" x14ac:dyDescent="0.15">
      <c r="A2255" s="9">
        <f ca="1">IFERROR(__xludf.DUMMYFUNCTION("""COMPUTED_VALUE"""),275092733)</f>
        <v>275092733</v>
      </c>
      <c r="B2255" s="1" t="str">
        <f ca="1">IFERROR(__xludf.DUMMYFUNCTION("""COMPUTED_VALUE"""),"ulf.c.berg@outlook.com")</f>
        <v>ulf.c.berg@outlook.com</v>
      </c>
      <c r="C2255" s="9" t="str">
        <f ca="1">IFERROR(__xludf.DUMMYFUNCTION("""COMPUTED_VALUE"""),"UAN mid-page Lightbox - Step 2 of 4 - More personal info fields")</f>
        <v>UAN mid-page Lightbox - Step 2 of 4 - More personal info fields</v>
      </c>
      <c r="D2255" s="10">
        <f ca="1">IFERROR(__xludf.DUMMYFUNCTION("""COMPUTED_VALUE"""),45620)</f>
        <v>45620</v>
      </c>
      <c r="E2255" s="1" t="str">
        <f ca="1">IFERROR(__xludf.DUMMYFUNCTION("""COMPUTED_VALUE"""),"Israel and Occupied Palestinian Territories")</f>
        <v>Israel and Occupied Palestinian Territories</v>
      </c>
      <c r="F2255" s="1" t="str">
        <f ca="1">IFERROR(__xludf.DUMMYFUNCTION("""COMPUTED_VALUE"""),"3.25 IOPT")</f>
        <v>3.25 IOPT</v>
      </c>
      <c r="G2255" s="1" t="str">
        <f ca="1">IFERROR(__xludf.DUMMYFUNCTION("""COMPUTED_VALUE"""),"Freedom of Expression, Individuals At Risk")</f>
        <v>Freedom of Expression, Individuals At Risk</v>
      </c>
      <c r="H2255" s="1" t="str">
        <f ca="1">IFERROR(__xludf.DUMMYFUNCTION("""COMPUTED_VALUE"""),"2025")</f>
        <v>2025</v>
      </c>
      <c r="I2255" s="1" t="str">
        <f ca="1">IFERROR(__xludf.DUMMYFUNCTION("""COMPUTED_VALUE"""),"Email")</f>
        <v>Email</v>
      </c>
    </row>
    <row r="2256" spans="1:9" ht="13" x14ac:dyDescent="0.15">
      <c r="A2256" s="9">
        <f ca="1">IFERROR(__xludf.DUMMYFUNCTION("""COMPUTED_VALUE"""),275092733)</f>
        <v>275092733</v>
      </c>
      <c r="B2256" s="1" t="str">
        <f ca="1">IFERROR(__xludf.DUMMYFUNCTION("""COMPUTED_VALUE"""),"ulf.c.berg@outlook.com")</f>
        <v>ulf.c.berg@outlook.com</v>
      </c>
      <c r="C2256" s="9" t="str">
        <f ca="1">IFERROR(__xludf.DUMMYFUNCTION("""COMPUTED_VALUE"""),"UAN mid-page Lightbox - Step 3 of 4 - More opt-ins")</f>
        <v>UAN mid-page Lightbox - Step 3 of 4 - More opt-ins</v>
      </c>
      <c r="D2256" s="10">
        <f ca="1">IFERROR(__xludf.DUMMYFUNCTION("""COMPUTED_VALUE"""),45620)</f>
        <v>45620</v>
      </c>
      <c r="E2256" s="1" t="str">
        <f ca="1">IFERROR(__xludf.DUMMYFUNCTION("""COMPUTED_VALUE"""),"Israel and Occupied Palestinian Territories")</f>
        <v>Israel and Occupied Palestinian Territories</v>
      </c>
      <c r="F2256" s="1" t="str">
        <f ca="1">IFERROR(__xludf.DUMMYFUNCTION("""COMPUTED_VALUE"""),"3.25 IOPT")</f>
        <v>3.25 IOPT</v>
      </c>
      <c r="G2256" s="1" t="str">
        <f ca="1">IFERROR(__xludf.DUMMYFUNCTION("""COMPUTED_VALUE"""),"Freedom of Expression, Individuals At Risk")</f>
        <v>Freedom of Expression, Individuals At Risk</v>
      </c>
      <c r="H2256" s="1" t="str">
        <f ca="1">IFERROR(__xludf.DUMMYFUNCTION("""COMPUTED_VALUE"""),"2025")</f>
        <v>2025</v>
      </c>
      <c r="I2256" s="1" t="str">
        <f ca="1">IFERROR(__xludf.DUMMYFUNCTION("""COMPUTED_VALUE"""),"Email")</f>
        <v>Email</v>
      </c>
    </row>
    <row r="2257" spans="1:9" ht="13" x14ac:dyDescent="0.15">
      <c r="A2257" s="9">
        <f ca="1">IFERROR(__xludf.DUMMYFUNCTION("""COMPUTED_VALUE"""),275118408)</f>
        <v>275118408</v>
      </c>
      <c r="B2257" s="1" t="str">
        <f ca="1">IFERROR(__xludf.DUMMYFUNCTION("""COMPUTED_VALUE"""),"jonathan.flerra@mail.com")</f>
        <v>jonathan.flerra@mail.com</v>
      </c>
      <c r="C2257" s="9" t="str">
        <f ca="1">IFERROR(__xludf.DUMMYFUNCTION("""COMPUTED_VALUE"""),"EVERGREEN - UAN Gated Content - Embedded Petition")</f>
        <v>EVERGREEN - UAN Gated Content - Embedded Petition</v>
      </c>
      <c r="D2257" s="10">
        <f ca="1">IFERROR(__xludf.DUMMYFUNCTION("""COMPUTED_VALUE"""),45674)</f>
        <v>45674</v>
      </c>
      <c r="E2257" s="1" t="str">
        <f ca="1">IFERROR(__xludf.DUMMYFUNCTION("""COMPUTED_VALUE"""),"Israel and Occupied Palestinian Territories")</f>
        <v>Israel and Occupied Palestinian Territories</v>
      </c>
      <c r="F2257" s="1" t="str">
        <f ca="1">IFERROR(__xludf.DUMMYFUNCTION("""COMPUTED_VALUE"""),"3.25 IOPT")</f>
        <v>3.25 IOPT</v>
      </c>
      <c r="G2257" s="1" t="str">
        <f ca="1">IFERROR(__xludf.DUMMYFUNCTION("""COMPUTED_VALUE"""),"Freedom of Expression, Individuals At Risk")</f>
        <v>Freedom of Expression, Individuals At Risk</v>
      </c>
      <c r="H2257" s="1" t="str">
        <f ca="1">IFERROR(__xludf.DUMMYFUNCTION("""COMPUTED_VALUE"""),"2025")</f>
        <v>2025</v>
      </c>
      <c r="I2257" s="1" t="str">
        <f ca="1">IFERROR(__xludf.DUMMYFUNCTION("""COMPUTED_VALUE"""),"Email")</f>
        <v>Email</v>
      </c>
    </row>
    <row r="2258" spans="1:9" ht="13" x14ac:dyDescent="0.15">
      <c r="A2258" s="9">
        <f ca="1">IFERROR(__xludf.DUMMYFUNCTION("""COMPUTED_VALUE"""),275261344)</f>
        <v>275261344</v>
      </c>
      <c r="B2258" s="1" t="str">
        <f ca="1">IFERROR(__xludf.DUMMYFUNCTION("""COMPUTED_VALUE"""),"emeryflatt03@gmail.com")</f>
        <v>emeryflatt03@gmail.com</v>
      </c>
      <c r="C2258" s="9" t="str">
        <f ca="1">IFERROR(__xludf.DUMMYFUNCTION("""COMPUTED_VALUE"""),"EVERGREEN - UAN Gated Content - Embedded Petition")</f>
        <v>EVERGREEN - UAN Gated Content - Embedded Petition</v>
      </c>
      <c r="D2258" s="10">
        <f ca="1">IFERROR(__xludf.DUMMYFUNCTION("""COMPUTED_VALUE"""),45683)</f>
        <v>45683</v>
      </c>
      <c r="E2258" s="1" t="str">
        <f ca="1">IFERROR(__xludf.DUMMYFUNCTION("""COMPUTED_VALUE"""),"Israel and Occupied Palestinian Territories")</f>
        <v>Israel and Occupied Palestinian Territories</v>
      </c>
      <c r="F2258" s="1" t="str">
        <f ca="1">IFERROR(__xludf.DUMMYFUNCTION("""COMPUTED_VALUE"""),"3.25 IOPT")</f>
        <v>3.25 IOPT</v>
      </c>
      <c r="G2258" s="1" t="str">
        <f ca="1">IFERROR(__xludf.DUMMYFUNCTION("""COMPUTED_VALUE"""),"Freedom of Expression, Individuals At Risk")</f>
        <v>Freedom of Expression, Individuals At Risk</v>
      </c>
      <c r="H2258" s="1" t="str">
        <f ca="1">IFERROR(__xludf.DUMMYFUNCTION("""COMPUTED_VALUE"""),"2025")</f>
        <v>2025</v>
      </c>
      <c r="I2258" s="1" t="str">
        <f ca="1">IFERROR(__xludf.DUMMYFUNCTION("""COMPUTED_VALUE"""),"Email")</f>
        <v>Email</v>
      </c>
    </row>
    <row r="2259" spans="1:9" ht="13" x14ac:dyDescent="0.15">
      <c r="A2259" s="9">
        <f ca="1">IFERROR(__xludf.DUMMYFUNCTION("""COMPUTED_VALUE"""),275353891)</f>
        <v>275353891</v>
      </c>
      <c r="B2259" s="1" t="str">
        <f ca="1">IFERROR(__xludf.DUMMYFUNCTION("""COMPUTED_VALUE"""),"harrieteliz@gmail.com")</f>
        <v>harrieteliz@gmail.com</v>
      </c>
      <c r="C2259" s="9" t="str">
        <f ca="1">IFERROR(__xludf.DUMMYFUNCTION("""COMPUTED_VALUE"""),"EVERGREEN - UAN Gated Content - Embedded Petition")</f>
        <v>EVERGREEN - UAN Gated Content - Embedded Petition</v>
      </c>
      <c r="D2259" s="10">
        <f ca="1">IFERROR(__xludf.DUMMYFUNCTION("""COMPUTED_VALUE"""),45677)</f>
        <v>45677</v>
      </c>
      <c r="E2259" s="1" t="str">
        <f ca="1">IFERROR(__xludf.DUMMYFUNCTION("""COMPUTED_VALUE"""),"Israel and Occupied Palestinian Territories")</f>
        <v>Israel and Occupied Palestinian Territories</v>
      </c>
      <c r="F2259" s="1" t="str">
        <f ca="1">IFERROR(__xludf.DUMMYFUNCTION("""COMPUTED_VALUE"""),"3.25 IOPT")</f>
        <v>3.25 IOPT</v>
      </c>
      <c r="G2259" s="1" t="str">
        <f ca="1">IFERROR(__xludf.DUMMYFUNCTION("""COMPUTED_VALUE"""),"Freedom of Expression, Individuals At Risk")</f>
        <v>Freedom of Expression, Individuals At Risk</v>
      </c>
      <c r="H2259" s="1" t="str">
        <f ca="1">IFERROR(__xludf.DUMMYFUNCTION("""COMPUTED_VALUE"""),"2025")</f>
        <v>2025</v>
      </c>
      <c r="I2259" s="1" t="str">
        <f ca="1">IFERROR(__xludf.DUMMYFUNCTION("""COMPUTED_VALUE"""),"Email")</f>
        <v>Email</v>
      </c>
    </row>
    <row r="2260" spans="1:9" ht="13" x14ac:dyDescent="0.15">
      <c r="A2260" s="9">
        <f ca="1">IFERROR(__xludf.DUMMYFUNCTION("""COMPUTED_VALUE"""),275408425)</f>
        <v>275408425</v>
      </c>
      <c r="B2260" s="1" t="str">
        <f ca="1">IFERROR(__xludf.DUMMYFUNCTION("""COMPUTED_VALUE"""),"cloveless782@gmail.com")</f>
        <v>cloveless782@gmail.com</v>
      </c>
      <c r="C2260" s="9" t="str">
        <f ca="1">IFERROR(__xludf.DUMMYFUNCTION("""COMPUTED_VALUE"""),"EVERGREEN - UAN Gated Content - Embedded Petition")</f>
        <v>EVERGREEN - UAN Gated Content - Embedded Petition</v>
      </c>
      <c r="D2260" s="10">
        <f ca="1">IFERROR(__xludf.DUMMYFUNCTION("""COMPUTED_VALUE"""),45620)</f>
        <v>45620</v>
      </c>
      <c r="E2260" s="1" t="str">
        <f ca="1">IFERROR(__xludf.DUMMYFUNCTION("""COMPUTED_VALUE"""),"Israel and Occupied Palestinian Territories")</f>
        <v>Israel and Occupied Palestinian Territories</v>
      </c>
      <c r="F2260" s="1" t="str">
        <f ca="1">IFERROR(__xludf.DUMMYFUNCTION("""COMPUTED_VALUE"""),"3.25 IOPT")</f>
        <v>3.25 IOPT</v>
      </c>
      <c r="G2260" s="1" t="str">
        <f ca="1">IFERROR(__xludf.DUMMYFUNCTION("""COMPUTED_VALUE"""),"Freedom of Expression, Individuals At Risk")</f>
        <v>Freedom of Expression, Individuals At Risk</v>
      </c>
      <c r="H2260" s="1" t="str">
        <f ca="1">IFERROR(__xludf.DUMMYFUNCTION("""COMPUTED_VALUE"""),"2025")</f>
        <v>2025</v>
      </c>
      <c r="I2260" s="1" t="str">
        <f ca="1">IFERROR(__xludf.DUMMYFUNCTION("""COMPUTED_VALUE"""),"Email")</f>
        <v>Email</v>
      </c>
    </row>
    <row r="2261" spans="1:9" ht="13" x14ac:dyDescent="0.15">
      <c r="A2261" s="9">
        <f ca="1">IFERROR(__xludf.DUMMYFUNCTION("""COMPUTED_VALUE"""),275539081)</f>
        <v>275539081</v>
      </c>
      <c r="B2261" s="1" t="str">
        <f ca="1">IFERROR(__xludf.DUMMYFUNCTION("""COMPUTED_VALUE"""),"robbie9576@gmail.com")</f>
        <v>robbie9576@gmail.com</v>
      </c>
      <c r="C2261" s="9" t="str">
        <f ca="1">IFERROR(__xludf.DUMMYFUNCTION("""COMPUTED_VALUE"""),"EVERGREEN - UAN Gated Content - Embedded Petition")</f>
        <v>EVERGREEN - UAN Gated Content - Embedded Petition</v>
      </c>
      <c r="D2261" s="10">
        <f ca="1">IFERROR(__xludf.DUMMYFUNCTION("""COMPUTED_VALUE"""),45691)</f>
        <v>45691</v>
      </c>
      <c r="E2261" s="1" t="str">
        <f ca="1">IFERROR(__xludf.DUMMYFUNCTION("""COMPUTED_VALUE"""),"Israel and Occupied Palestinian Territories")</f>
        <v>Israel and Occupied Palestinian Territories</v>
      </c>
      <c r="F2261" s="1" t="str">
        <f ca="1">IFERROR(__xludf.DUMMYFUNCTION("""COMPUTED_VALUE"""),"3.25 IOPT")</f>
        <v>3.25 IOPT</v>
      </c>
      <c r="G2261" s="1" t="str">
        <f ca="1">IFERROR(__xludf.DUMMYFUNCTION("""COMPUTED_VALUE"""),"Freedom of Expression, Individuals At Risk")</f>
        <v>Freedom of Expression, Individuals At Risk</v>
      </c>
      <c r="H2261" s="1" t="str">
        <f ca="1">IFERROR(__xludf.DUMMYFUNCTION("""COMPUTED_VALUE"""),"2025")</f>
        <v>2025</v>
      </c>
      <c r="I2261" s="1" t="str">
        <f ca="1">IFERROR(__xludf.DUMMYFUNCTION("""COMPUTED_VALUE"""),"Email")</f>
        <v>Email</v>
      </c>
    </row>
    <row r="2262" spans="1:9" ht="13" x14ac:dyDescent="0.15">
      <c r="A2262" s="9">
        <f ca="1">IFERROR(__xludf.DUMMYFUNCTION("""COMPUTED_VALUE"""),275950473)</f>
        <v>275950473</v>
      </c>
      <c r="B2262" s="1" t="str">
        <f ca="1">IFERROR(__xludf.DUMMYFUNCTION("""COMPUTED_VALUE"""),"gab162@pitt.edu")</f>
        <v>gab162@pitt.edu</v>
      </c>
      <c r="C2262" s="9" t="str">
        <f ca="1">IFERROR(__xludf.DUMMYFUNCTION("""COMPUTED_VALUE"""),"EVERGREEN - UAN Gated Content - Embedded Petition")</f>
        <v>EVERGREEN - UAN Gated Content - Embedded Petition</v>
      </c>
      <c r="D2262" s="10">
        <f ca="1">IFERROR(__xludf.DUMMYFUNCTION("""COMPUTED_VALUE"""),45699)</f>
        <v>45699</v>
      </c>
      <c r="E2262" s="1" t="str">
        <f ca="1">IFERROR(__xludf.DUMMYFUNCTION("""COMPUTED_VALUE"""),"Israel and Occupied Palestinian Territories")</f>
        <v>Israel and Occupied Palestinian Territories</v>
      </c>
      <c r="F2262" s="1" t="str">
        <f ca="1">IFERROR(__xludf.DUMMYFUNCTION("""COMPUTED_VALUE"""),"3.25 IOPT")</f>
        <v>3.25 IOPT</v>
      </c>
      <c r="G2262" s="1" t="str">
        <f ca="1">IFERROR(__xludf.DUMMYFUNCTION("""COMPUTED_VALUE"""),"Freedom of Expression, Individuals At Risk")</f>
        <v>Freedom of Expression, Individuals At Risk</v>
      </c>
      <c r="H2262" s="1" t="str">
        <f ca="1">IFERROR(__xludf.DUMMYFUNCTION("""COMPUTED_VALUE"""),"2025")</f>
        <v>2025</v>
      </c>
      <c r="I2262" s="1" t="str">
        <f ca="1">IFERROR(__xludf.DUMMYFUNCTION("""COMPUTED_VALUE"""),"Email")</f>
        <v>Email</v>
      </c>
    </row>
    <row r="2263" spans="1:9" ht="13" x14ac:dyDescent="0.15">
      <c r="A2263" s="9">
        <f ca="1">IFERROR(__xludf.DUMMYFUNCTION("""COMPUTED_VALUE"""),275950473)</f>
        <v>275950473</v>
      </c>
      <c r="B2263" s="1" t="str">
        <f ca="1">IFERROR(__xludf.DUMMYFUNCTION("""COMPUTED_VALUE"""),"gab162@pitt.edu")</f>
        <v>gab162@pitt.edu</v>
      </c>
      <c r="C2263" s="9" t="str">
        <f ca="1">IFERROR(__xludf.DUMMYFUNCTION("""COMPUTED_VALUE"""),"EVERGREEN - UAN Gated Content - Embedded Petition")</f>
        <v>EVERGREEN - UAN Gated Content - Embedded Petition</v>
      </c>
      <c r="D2263" s="10">
        <f ca="1">IFERROR(__xludf.DUMMYFUNCTION("""COMPUTED_VALUE"""),45699)</f>
        <v>45699</v>
      </c>
      <c r="E2263" s="1" t="str">
        <f ca="1">IFERROR(__xludf.DUMMYFUNCTION("""COMPUTED_VALUE"""),"Israel and Occupied Palestinian Territories")</f>
        <v>Israel and Occupied Palestinian Territories</v>
      </c>
      <c r="F2263" s="1" t="str">
        <f ca="1">IFERROR(__xludf.DUMMYFUNCTION("""COMPUTED_VALUE"""),"3.25 IOPT")</f>
        <v>3.25 IOPT</v>
      </c>
      <c r="G2263" s="1" t="str">
        <f ca="1">IFERROR(__xludf.DUMMYFUNCTION("""COMPUTED_VALUE"""),"Freedom of Expression, Individuals At Risk")</f>
        <v>Freedom of Expression, Individuals At Risk</v>
      </c>
      <c r="H2263" s="1" t="str">
        <f ca="1">IFERROR(__xludf.DUMMYFUNCTION("""COMPUTED_VALUE"""),"2025")</f>
        <v>2025</v>
      </c>
      <c r="I2263" s="1" t="str">
        <f ca="1">IFERROR(__xludf.DUMMYFUNCTION("""COMPUTED_VALUE"""),"Email")</f>
        <v>Email</v>
      </c>
    </row>
    <row r="2264" spans="1:9" ht="13" x14ac:dyDescent="0.15">
      <c r="A2264" s="9">
        <f ca="1">IFERROR(__xludf.DUMMYFUNCTION("""COMPUTED_VALUE"""),275950473)</f>
        <v>275950473</v>
      </c>
      <c r="B2264" s="1" t="str">
        <f ca="1">IFERROR(__xludf.DUMMYFUNCTION("""COMPUTED_VALUE"""),"gab162@pitt.edu")</f>
        <v>gab162@pitt.edu</v>
      </c>
      <c r="C2264" s="9" t="str">
        <f ca="1">IFERROR(__xludf.DUMMYFUNCTION("""COMPUTED_VALUE"""),"EVERGREEN - UAN Gated Content - Embedded Petition")</f>
        <v>EVERGREEN - UAN Gated Content - Embedded Petition</v>
      </c>
      <c r="D2264" s="10">
        <f ca="1">IFERROR(__xludf.DUMMYFUNCTION("""COMPUTED_VALUE"""),45699)</f>
        <v>45699</v>
      </c>
      <c r="E2264" s="1" t="str">
        <f ca="1">IFERROR(__xludf.DUMMYFUNCTION("""COMPUTED_VALUE"""),"Israel and Occupied Palestinian Territories")</f>
        <v>Israel and Occupied Palestinian Territories</v>
      </c>
      <c r="F2264" s="1" t="str">
        <f ca="1">IFERROR(__xludf.DUMMYFUNCTION("""COMPUTED_VALUE"""),"3.25 IOPT")</f>
        <v>3.25 IOPT</v>
      </c>
      <c r="G2264" s="1" t="str">
        <f ca="1">IFERROR(__xludf.DUMMYFUNCTION("""COMPUTED_VALUE"""),"Freedom of Expression, Individuals At Risk")</f>
        <v>Freedom of Expression, Individuals At Risk</v>
      </c>
      <c r="H2264" s="1" t="str">
        <f ca="1">IFERROR(__xludf.DUMMYFUNCTION("""COMPUTED_VALUE"""),"2025")</f>
        <v>2025</v>
      </c>
      <c r="I2264" s="1" t="str">
        <f ca="1">IFERROR(__xludf.DUMMYFUNCTION("""COMPUTED_VALUE"""),"Email")</f>
        <v>Email</v>
      </c>
    </row>
    <row r="2265" spans="1:9" ht="13" x14ac:dyDescent="0.15">
      <c r="A2265" s="9">
        <f ca="1">IFERROR(__xludf.DUMMYFUNCTION("""COMPUTED_VALUE"""),276005807)</f>
        <v>276005807</v>
      </c>
      <c r="B2265" s="1" t="str">
        <f ca="1">IFERROR(__xludf.DUMMYFUNCTION("""COMPUTED_VALUE"""),"sharon458@hotmail.com")</f>
        <v>sharon458@hotmail.com</v>
      </c>
      <c r="C2265" s="9" t="str">
        <f ca="1">IFERROR(__xludf.DUMMYFUNCTION("""COMPUTED_VALUE"""),"EVERGREEN - UAN Gated Content - Embedded Petition")</f>
        <v>EVERGREEN - UAN Gated Content - Embedded Petition</v>
      </c>
      <c r="D2265" s="10">
        <f ca="1">IFERROR(__xludf.DUMMYFUNCTION("""COMPUTED_VALUE"""),45694)</f>
        <v>45694</v>
      </c>
      <c r="E2265" s="1" t="str">
        <f ca="1">IFERROR(__xludf.DUMMYFUNCTION("""COMPUTED_VALUE"""),"Israel and Occupied Palestinian Territories")</f>
        <v>Israel and Occupied Palestinian Territories</v>
      </c>
      <c r="F2265" s="1" t="str">
        <f ca="1">IFERROR(__xludf.DUMMYFUNCTION("""COMPUTED_VALUE"""),"3.25 IOPT")</f>
        <v>3.25 IOPT</v>
      </c>
      <c r="G2265" s="1" t="str">
        <f ca="1">IFERROR(__xludf.DUMMYFUNCTION("""COMPUTED_VALUE"""),"Freedom of Expression, Individuals At Risk")</f>
        <v>Freedom of Expression, Individuals At Risk</v>
      </c>
      <c r="H2265" s="1" t="str">
        <f ca="1">IFERROR(__xludf.DUMMYFUNCTION("""COMPUTED_VALUE"""),"2025")</f>
        <v>2025</v>
      </c>
      <c r="I2265" s="1" t="str">
        <f ca="1">IFERROR(__xludf.DUMMYFUNCTION("""COMPUTED_VALUE"""),"Email")</f>
        <v>Email</v>
      </c>
    </row>
    <row r="2266" spans="1:9" ht="13" x14ac:dyDescent="0.15">
      <c r="A2266" s="9">
        <f ca="1">IFERROR(__xludf.DUMMYFUNCTION("""COMPUTED_VALUE"""),276102839)</f>
        <v>276102839</v>
      </c>
      <c r="B2266" s="1" t="str">
        <f ca="1">IFERROR(__xludf.DUMMYFUNCTION("""COMPUTED_VALUE"""),"bhuvana.betini@gmail.com")</f>
        <v>bhuvana.betini@gmail.com</v>
      </c>
      <c r="C2266" s="9" t="str">
        <f ca="1">IFERROR(__xludf.DUMMYFUNCTION("""COMPUTED_VALUE"""),"EVERGREEN - UAN Gated Content - Embedded Petition")</f>
        <v>EVERGREEN - UAN Gated Content - Embedded Petition</v>
      </c>
      <c r="D2266" s="10">
        <f ca="1">IFERROR(__xludf.DUMMYFUNCTION("""COMPUTED_VALUE"""),45680)</f>
        <v>45680</v>
      </c>
      <c r="E2266" s="1" t="str">
        <f ca="1">IFERROR(__xludf.DUMMYFUNCTION("""COMPUTED_VALUE"""),"Israel and Occupied Palestinian Territories")</f>
        <v>Israel and Occupied Palestinian Territories</v>
      </c>
      <c r="F2266" s="1" t="str">
        <f ca="1">IFERROR(__xludf.DUMMYFUNCTION("""COMPUTED_VALUE"""),"3.25 IOPT")</f>
        <v>3.25 IOPT</v>
      </c>
      <c r="G2266" s="1" t="str">
        <f ca="1">IFERROR(__xludf.DUMMYFUNCTION("""COMPUTED_VALUE"""),"Freedom of Expression, Individuals At Risk")</f>
        <v>Freedom of Expression, Individuals At Risk</v>
      </c>
      <c r="H2266" s="1" t="str">
        <f ca="1">IFERROR(__xludf.DUMMYFUNCTION("""COMPUTED_VALUE"""),"2025")</f>
        <v>2025</v>
      </c>
      <c r="I2266" s="1" t="str">
        <f ca="1">IFERROR(__xludf.DUMMYFUNCTION("""COMPUTED_VALUE"""),"Email")</f>
        <v>Email</v>
      </c>
    </row>
    <row r="2267" spans="1:9" ht="13" x14ac:dyDescent="0.15">
      <c r="A2267" s="9">
        <f ca="1">IFERROR(__xludf.DUMMYFUNCTION("""COMPUTED_VALUE"""),276102839)</f>
        <v>276102839</v>
      </c>
      <c r="B2267" s="1" t="str">
        <f ca="1">IFERROR(__xludf.DUMMYFUNCTION("""COMPUTED_VALUE"""),"bhuvana.betini@gmail.com")</f>
        <v>bhuvana.betini@gmail.com</v>
      </c>
      <c r="C2267" s="9" t="str">
        <f ca="1">IFERROR(__xludf.DUMMYFUNCTION("""COMPUTED_VALUE"""),"EVERGREEN - Website Email Capture Form - UAN Pre-Footer")</f>
        <v>EVERGREEN - Website Email Capture Form - UAN Pre-Footer</v>
      </c>
      <c r="D2267" s="10">
        <f ca="1">IFERROR(__xludf.DUMMYFUNCTION("""COMPUTED_VALUE"""),45694)</f>
        <v>45694</v>
      </c>
      <c r="E2267" s="1" t="str">
        <f ca="1">IFERROR(__xludf.DUMMYFUNCTION("""COMPUTED_VALUE"""),"Israel and Occupied Palestinian Territories")</f>
        <v>Israel and Occupied Palestinian Territories</v>
      </c>
      <c r="F2267" s="1" t="str">
        <f ca="1">IFERROR(__xludf.DUMMYFUNCTION("""COMPUTED_VALUE"""),"3.25 IOPT")</f>
        <v>3.25 IOPT</v>
      </c>
      <c r="G2267" s="1" t="str">
        <f ca="1">IFERROR(__xludf.DUMMYFUNCTION("""COMPUTED_VALUE"""),"Freedom of Expression, Individuals At Risk")</f>
        <v>Freedom of Expression, Individuals At Risk</v>
      </c>
      <c r="H2267" s="1" t="str">
        <f ca="1">IFERROR(__xludf.DUMMYFUNCTION("""COMPUTED_VALUE"""),"2025")</f>
        <v>2025</v>
      </c>
      <c r="I2267" s="1" t="str">
        <f ca="1">IFERROR(__xludf.DUMMYFUNCTION("""COMPUTED_VALUE"""),"Email")</f>
        <v>Email</v>
      </c>
    </row>
    <row r="2268" spans="1:9" ht="13" x14ac:dyDescent="0.15">
      <c r="A2268" s="9">
        <f ca="1">IFERROR(__xludf.DUMMYFUNCTION("""COMPUTED_VALUE"""),276143544)</f>
        <v>276143544</v>
      </c>
      <c r="B2268" s="1" t="str">
        <f ca="1">IFERROR(__xludf.DUMMYFUNCTION("""COMPUTED_VALUE"""),"dfhspam@gmail.com")</f>
        <v>dfhspam@gmail.com</v>
      </c>
      <c r="C2268" s="9" t="str">
        <f ca="1">IFERROR(__xludf.DUMMYFUNCTION("""COMPUTED_VALUE"""),"EVERGREEN - UAN Gated Content - Embedded Petition")</f>
        <v>EVERGREEN - UAN Gated Content - Embedded Petition</v>
      </c>
      <c r="D2268" s="10">
        <f ca="1">IFERROR(__xludf.DUMMYFUNCTION("""COMPUTED_VALUE"""),45581)</f>
        <v>45581</v>
      </c>
      <c r="E2268" s="1" t="str">
        <f ca="1">IFERROR(__xludf.DUMMYFUNCTION("""COMPUTED_VALUE"""),"Israel and Occupied Palestinian Territories")</f>
        <v>Israel and Occupied Palestinian Territories</v>
      </c>
      <c r="F2268" s="1" t="str">
        <f ca="1">IFERROR(__xludf.DUMMYFUNCTION("""COMPUTED_VALUE"""),"4.25 USA")</f>
        <v>4.25 USA</v>
      </c>
      <c r="G2268" s="1" t="str">
        <f ca="1">IFERROR(__xludf.DUMMYFUNCTION("""COMPUTED_VALUE"""),"Individuals At Risk, Refugee and Migrant Rights")</f>
        <v>Individuals At Risk, Refugee and Migrant Rights</v>
      </c>
      <c r="H2268" s="1" t="str">
        <f ca="1">IFERROR(__xludf.DUMMYFUNCTION("""COMPUTED_VALUE"""),"2025")</f>
        <v>2025</v>
      </c>
      <c r="I2268" s="1" t="str">
        <f ca="1">IFERROR(__xludf.DUMMYFUNCTION("""COMPUTED_VALUE"""),"Letter")</f>
        <v>Letter</v>
      </c>
    </row>
    <row r="2269" spans="1:9" ht="13" x14ac:dyDescent="0.15">
      <c r="A2269" s="9">
        <f ca="1">IFERROR(__xludf.DUMMYFUNCTION("""COMPUTED_VALUE"""),276143544)</f>
        <v>276143544</v>
      </c>
      <c r="B2269" s="1" t="str">
        <f ca="1">IFERROR(__xludf.DUMMYFUNCTION("""COMPUTED_VALUE"""),"dfhspam@gmail.com")</f>
        <v>dfhspam@gmail.com</v>
      </c>
      <c r="C2269" s="9" t="str">
        <f ca="1">IFERROR(__xludf.DUMMYFUNCTION("""COMPUTED_VALUE"""),"EVERGREEN - UAN Gated Content - Embedded Petition")</f>
        <v>EVERGREEN - UAN Gated Content - Embedded Petition</v>
      </c>
      <c r="D2269" s="10">
        <f ca="1">IFERROR(__xludf.DUMMYFUNCTION("""COMPUTED_VALUE"""),45680)</f>
        <v>45680</v>
      </c>
      <c r="E2269" s="1" t="str">
        <f ca="1">IFERROR(__xludf.DUMMYFUNCTION("""COMPUTED_VALUE"""),"USA")</f>
        <v>USA</v>
      </c>
      <c r="F2269" s="1" t="str">
        <f ca="1">IFERROR(__xludf.DUMMYFUNCTION("""COMPUTED_VALUE"""),"3.25 IOPT")</f>
        <v>3.25 IOPT</v>
      </c>
      <c r="G2269" s="1" t="str">
        <f ca="1">IFERROR(__xludf.DUMMYFUNCTION("""COMPUTED_VALUE"""),"Freedom of Expression, Individuals At Risk")</f>
        <v>Freedom of Expression, Individuals At Risk</v>
      </c>
      <c r="H2269" s="1" t="str">
        <f ca="1">IFERROR(__xludf.DUMMYFUNCTION("""COMPUTED_VALUE"""),"2025")</f>
        <v>2025</v>
      </c>
      <c r="I2269" s="1" t="str">
        <f ca="1">IFERROR(__xludf.DUMMYFUNCTION("""COMPUTED_VALUE"""),"Email")</f>
        <v>Email</v>
      </c>
    </row>
    <row r="2270" spans="1:9" ht="13" x14ac:dyDescent="0.15">
      <c r="A2270" s="9">
        <f ca="1">IFERROR(__xludf.DUMMYFUNCTION("""COMPUTED_VALUE"""),276170359)</f>
        <v>276170359</v>
      </c>
      <c r="B2270" s="1" t="str">
        <f ca="1">IFERROR(__xludf.DUMMYFUNCTION("""COMPUTED_VALUE"""),"yckim2180@gmail.com")</f>
        <v>yckim2180@gmail.com</v>
      </c>
      <c r="C2270" s="9" t="str">
        <f ca="1">IFERROR(__xludf.DUMMYFUNCTION("""COMPUTED_VALUE"""),"EVERGREEN - UAN Gated Content - Embedded Petition")</f>
        <v>EVERGREEN - UAN Gated Content - Embedded Petition</v>
      </c>
      <c r="D2270" s="10">
        <f ca="1">IFERROR(__xludf.DUMMYFUNCTION("""COMPUTED_VALUE"""),45696)</f>
        <v>45696</v>
      </c>
      <c r="E2270" s="1" t="str">
        <f ca="1">IFERROR(__xludf.DUMMYFUNCTION("""COMPUTED_VALUE"""),"Israel and Occupied Palestinian Territories")</f>
        <v>Israel and Occupied Palestinian Territories</v>
      </c>
      <c r="F2270" s="1" t="str">
        <f ca="1">IFERROR(__xludf.DUMMYFUNCTION("""COMPUTED_VALUE"""),"3.25 IOPT")</f>
        <v>3.25 IOPT</v>
      </c>
      <c r="G2270" s="1" t="str">
        <f ca="1">IFERROR(__xludf.DUMMYFUNCTION("""COMPUTED_VALUE"""),"Freedom of Expression, Individuals At Risk")</f>
        <v>Freedom of Expression, Individuals At Risk</v>
      </c>
      <c r="H2270" s="1" t="str">
        <f ca="1">IFERROR(__xludf.DUMMYFUNCTION("""COMPUTED_VALUE"""),"2025")</f>
        <v>2025</v>
      </c>
      <c r="I2270" s="1" t="str">
        <f ca="1">IFERROR(__xludf.DUMMYFUNCTION("""COMPUTED_VALUE"""),"Email")</f>
        <v>Email</v>
      </c>
    </row>
    <row r="2271" spans="1:9" ht="13" x14ac:dyDescent="0.15">
      <c r="A2271" s="9">
        <f ca="1">IFERROR(__xludf.DUMMYFUNCTION("""COMPUTED_VALUE"""),276170359)</f>
        <v>276170359</v>
      </c>
      <c r="B2271" s="1" t="str">
        <f ca="1">IFERROR(__xludf.DUMMYFUNCTION("""COMPUTED_VALUE"""),"yckim2180@gmail.com")</f>
        <v>yckim2180@gmail.com</v>
      </c>
      <c r="C2271" s="9" t="str">
        <f ca="1">IFERROR(__xludf.DUMMYFUNCTION("""COMPUTED_VALUE"""),"EVERGREEN - UAN Gated Content - Embedded Petition")</f>
        <v>EVERGREEN - UAN Gated Content - Embedded Petition</v>
      </c>
      <c r="D2271" s="10">
        <f ca="1">IFERROR(__xludf.DUMMYFUNCTION("""COMPUTED_VALUE"""),45696)</f>
        <v>45696</v>
      </c>
      <c r="E2271" s="1" t="str">
        <f ca="1">IFERROR(__xludf.DUMMYFUNCTION("""COMPUTED_VALUE"""),"Israel and Occupied Palestinian Territories")</f>
        <v>Israel and Occupied Palestinian Territories</v>
      </c>
      <c r="F2271" s="1" t="str">
        <f ca="1">IFERROR(__xludf.DUMMYFUNCTION("""COMPUTED_VALUE"""),"3.25 IOPT")</f>
        <v>3.25 IOPT</v>
      </c>
      <c r="G2271" s="1" t="str">
        <f ca="1">IFERROR(__xludf.DUMMYFUNCTION("""COMPUTED_VALUE"""),"Freedom of Expression, Individuals At Risk")</f>
        <v>Freedom of Expression, Individuals At Risk</v>
      </c>
      <c r="H2271" s="1" t="str">
        <f ca="1">IFERROR(__xludf.DUMMYFUNCTION("""COMPUTED_VALUE"""),"2025")</f>
        <v>2025</v>
      </c>
      <c r="I2271" s="1" t="str">
        <f ca="1">IFERROR(__xludf.DUMMYFUNCTION("""COMPUTED_VALUE"""),"Email")</f>
        <v>Email</v>
      </c>
    </row>
    <row r="2272" spans="1:9" ht="13" x14ac:dyDescent="0.15">
      <c r="A2272" s="9">
        <f ca="1">IFERROR(__xludf.DUMMYFUNCTION("""COMPUTED_VALUE"""),276170359)</f>
        <v>276170359</v>
      </c>
      <c r="B2272" s="1" t="str">
        <f ca="1">IFERROR(__xludf.DUMMYFUNCTION("""COMPUTED_VALUE"""),"yckim2180@gmail.com")</f>
        <v>yckim2180@gmail.com</v>
      </c>
      <c r="C2272" s="9" t="str">
        <f ca="1">IFERROR(__xludf.DUMMYFUNCTION("""COMPUTED_VALUE"""),"EVERGREEN - UAN Gated Content - Embedded Petition")</f>
        <v>EVERGREEN - UAN Gated Content - Embedded Petition</v>
      </c>
      <c r="D2272" s="10">
        <f ca="1">IFERROR(__xludf.DUMMYFUNCTION("""COMPUTED_VALUE"""),45696)</f>
        <v>45696</v>
      </c>
      <c r="E2272" s="1" t="str">
        <f ca="1">IFERROR(__xludf.DUMMYFUNCTION("""COMPUTED_VALUE"""),"Israel and Occupied Palestinian Territories")</f>
        <v>Israel and Occupied Palestinian Territories</v>
      </c>
      <c r="F2272" s="1" t="str">
        <f ca="1">IFERROR(__xludf.DUMMYFUNCTION("""COMPUTED_VALUE"""),"3.25 IOPT")</f>
        <v>3.25 IOPT</v>
      </c>
      <c r="G2272" s="1" t="str">
        <f ca="1">IFERROR(__xludf.DUMMYFUNCTION("""COMPUTED_VALUE"""),"Freedom of Expression, Individuals At Risk")</f>
        <v>Freedom of Expression, Individuals At Risk</v>
      </c>
      <c r="H2272" s="1" t="str">
        <f ca="1">IFERROR(__xludf.DUMMYFUNCTION("""COMPUTED_VALUE"""),"2025")</f>
        <v>2025</v>
      </c>
      <c r="I2272" s="1" t="str">
        <f ca="1">IFERROR(__xludf.DUMMYFUNCTION("""COMPUTED_VALUE"""),"Email")</f>
        <v>Email</v>
      </c>
    </row>
    <row r="2273" spans="1:9" ht="13" x14ac:dyDescent="0.15">
      <c r="A2273" s="9">
        <f ca="1">IFERROR(__xludf.DUMMYFUNCTION("""COMPUTED_VALUE"""),276170359)</f>
        <v>276170359</v>
      </c>
      <c r="B2273" s="1" t="str">
        <f ca="1">IFERROR(__xludf.DUMMYFUNCTION("""COMPUTED_VALUE"""),"yckim2180@gmail.com")</f>
        <v>yckim2180@gmail.com</v>
      </c>
      <c r="C2273" s="9" t="str">
        <f ca="1">IFERROR(__xludf.DUMMYFUNCTION("""COMPUTED_VALUE"""),"EVERGREEN - UAN Gated Content - Embedded Petition")</f>
        <v>EVERGREEN - UAN Gated Content - Embedded Petition</v>
      </c>
      <c r="D2273" s="10">
        <f ca="1">IFERROR(__xludf.DUMMYFUNCTION("""COMPUTED_VALUE"""),45696)</f>
        <v>45696</v>
      </c>
      <c r="E2273" s="1" t="str">
        <f ca="1">IFERROR(__xludf.DUMMYFUNCTION("""COMPUTED_VALUE"""),"Israel and Occupied Palestinian Territories")</f>
        <v>Israel and Occupied Palestinian Territories</v>
      </c>
      <c r="F2273" s="1" t="str">
        <f ca="1">IFERROR(__xludf.DUMMYFUNCTION("""COMPUTED_VALUE"""),"3.25 IOPT")</f>
        <v>3.25 IOPT</v>
      </c>
      <c r="G2273" s="1" t="str">
        <f ca="1">IFERROR(__xludf.DUMMYFUNCTION("""COMPUTED_VALUE"""),"Freedom of Expression, Individuals At Risk")</f>
        <v>Freedom of Expression, Individuals At Risk</v>
      </c>
      <c r="H2273" s="1" t="str">
        <f ca="1">IFERROR(__xludf.DUMMYFUNCTION("""COMPUTED_VALUE"""),"2025")</f>
        <v>2025</v>
      </c>
      <c r="I2273" s="1" t="str">
        <f ca="1">IFERROR(__xludf.DUMMYFUNCTION("""COMPUTED_VALUE"""),"Email")</f>
        <v>Email</v>
      </c>
    </row>
    <row r="2274" spans="1:9" ht="13" x14ac:dyDescent="0.15">
      <c r="A2274" s="9">
        <f ca="1">IFERROR(__xludf.DUMMYFUNCTION("""COMPUTED_VALUE"""),276170359)</f>
        <v>276170359</v>
      </c>
      <c r="B2274" s="1" t="str">
        <f ca="1">IFERROR(__xludf.DUMMYFUNCTION("""COMPUTED_VALUE"""),"yckim2180@gmail.com")</f>
        <v>yckim2180@gmail.com</v>
      </c>
      <c r="C2274" s="9" t="str">
        <f ca="1">IFERROR(__xludf.DUMMYFUNCTION("""COMPUTED_VALUE"""),"EVERGREEN - UAN Gated Content - Embedded Petition")</f>
        <v>EVERGREEN - UAN Gated Content - Embedded Petition</v>
      </c>
      <c r="D2274" s="10">
        <f ca="1">IFERROR(__xludf.DUMMYFUNCTION("""COMPUTED_VALUE"""),45696)</f>
        <v>45696</v>
      </c>
      <c r="E2274" s="1" t="str">
        <f ca="1">IFERROR(__xludf.DUMMYFUNCTION("""COMPUTED_VALUE"""),"Israel and Occupied Palestinian Territories")</f>
        <v>Israel and Occupied Palestinian Territories</v>
      </c>
      <c r="F2274" s="1" t="str">
        <f ca="1">IFERROR(__xludf.DUMMYFUNCTION("""COMPUTED_VALUE"""),"3.25 IOPT")</f>
        <v>3.25 IOPT</v>
      </c>
      <c r="G2274" s="1" t="str">
        <f ca="1">IFERROR(__xludf.DUMMYFUNCTION("""COMPUTED_VALUE"""),"Freedom of Expression, Individuals At Risk")</f>
        <v>Freedom of Expression, Individuals At Risk</v>
      </c>
      <c r="H2274" s="1" t="str">
        <f ca="1">IFERROR(__xludf.DUMMYFUNCTION("""COMPUTED_VALUE"""),"2025")</f>
        <v>2025</v>
      </c>
      <c r="I2274" s="1" t="str">
        <f ca="1">IFERROR(__xludf.DUMMYFUNCTION("""COMPUTED_VALUE"""),"Email")</f>
        <v>Email</v>
      </c>
    </row>
    <row r="2275" spans="1:9" ht="13" x14ac:dyDescent="0.15">
      <c r="A2275" s="9">
        <f ca="1">IFERROR(__xludf.DUMMYFUNCTION("""COMPUTED_VALUE"""),276170359)</f>
        <v>276170359</v>
      </c>
      <c r="B2275" s="1" t="str">
        <f ca="1">IFERROR(__xludf.DUMMYFUNCTION("""COMPUTED_VALUE"""),"yckim2180@gmail.com")</f>
        <v>yckim2180@gmail.com</v>
      </c>
      <c r="C2275" s="9" t="str">
        <f ca="1">IFERROR(__xludf.DUMMYFUNCTION("""COMPUTED_VALUE"""),"EVERGREEN - UAN Gated Content - Embedded Petition")</f>
        <v>EVERGREEN - UAN Gated Content - Embedded Petition</v>
      </c>
      <c r="D2275" s="10">
        <f ca="1">IFERROR(__xludf.DUMMYFUNCTION("""COMPUTED_VALUE"""),45696)</f>
        <v>45696</v>
      </c>
      <c r="E2275" s="1" t="str">
        <f ca="1">IFERROR(__xludf.DUMMYFUNCTION("""COMPUTED_VALUE"""),"Israel and Occupied Palestinian Territories")</f>
        <v>Israel and Occupied Palestinian Territories</v>
      </c>
      <c r="F2275" s="1" t="str">
        <f ca="1">IFERROR(__xludf.DUMMYFUNCTION("""COMPUTED_VALUE"""),"3.25 IOPT")</f>
        <v>3.25 IOPT</v>
      </c>
      <c r="G2275" s="1" t="str">
        <f ca="1">IFERROR(__xludf.DUMMYFUNCTION("""COMPUTED_VALUE"""),"Freedom of Expression, Individuals At Risk")</f>
        <v>Freedom of Expression, Individuals At Risk</v>
      </c>
      <c r="H2275" s="1" t="str">
        <f ca="1">IFERROR(__xludf.DUMMYFUNCTION("""COMPUTED_VALUE"""),"2025")</f>
        <v>2025</v>
      </c>
      <c r="I2275" s="1" t="str">
        <f ca="1">IFERROR(__xludf.DUMMYFUNCTION("""COMPUTED_VALUE"""),"Email")</f>
        <v>Email</v>
      </c>
    </row>
    <row r="2276" spans="1:9" ht="13" x14ac:dyDescent="0.15">
      <c r="A2276" s="9">
        <f ca="1">IFERROR(__xludf.DUMMYFUNCTION("""COMPUTED_VALUE"""),276170359)</f>
        <v>276170359</v>
      </c>
      <c r="B2276" s="1" t="str">
        <f ca="1">IFERROR(__xludf.DUMMYFUNCTION("""COMPUTED_VALUE"""),"yckim2180@gmail.com")</f>
        <v>yckim2180@gmail.com</v>
      </c>
      <c r="C2276" s="9" t="str">
        <f ca="1">IFERROR(__xludf.DUMMYFUNCTION("""COMPUTED_VALUE"""),"EVERGREEN - UAN Gated Content - Embedded Petition")</f>
        <v>EVERGREEN - UAN Gated Content - Embedded Petition</v>
      </c>
      <c r="D2276" s="10">
        <f ca="1">IFERROR(__xludf.DUMMYFUNCTION("""COMPUTED_VALUE"""),45696)</f>
        <v>45696</v>
      </c>
      <c r="E2276" s="1" t="str">
        <f ca="1">IFERROR(__xludf.DUMMYFUNCTION("""COMPUTED_VALUE"""),"Israel and Occupied Palestinian Territories")</f>
        <v>Israel and Occupied Palestinian Territories</v>
      </c>
      <c r="F2276" s="1" t="str">
        <f ca="1">IFERROR(__xludf.DUMMYFUNCTION("""COMPUTED_VALUE"""),"3.25 IOPT")</f>
        <v>3.25 IOPT</v>
      </c>
      <c r="G2276" s="1" t="str">
        <f ca="1">IFERROR(__xludf.DUMMYFUNCTION("""COMPUTED_VALUE"""),"Freedom of Expression, Individuals At Risk")</f>
        <v>Freedom of Expression, Individuals At Risk</v>
      </c>
      <c r="H2276" s="1" t="str">
        <f ca="1">IFERROR(__xludf.DUMMYFUNCTION("""COMPUTED_VALUE"""),"2025")</f>
        <v>2025</v>
      </c>
      <c r="I2276" s="1" t="str">
        <f ca="1">IFERROR(__xludf.DUMMYFUNCTION("""COMPUTED_VALUE"""),"Email")</f>
        <v>Email</v>
      </c>
    </row>
    <row r="2277" spans="1:9" ht="13" x14ac:dyDescent="0.15">
      <c r="A2277" s="9">
        <f ca="1">IFERROR(__xludf.DUMMYFUNCTION("""COMPUTED_VALUE"""),276170359)</f>
        <v>276170359</v>
      </c>
      <c r="B2277" s="1" t="str">
        <f ca="1">IFERROR(__xludf.DUMMYFUNCTION("""COMPUTED_VALUE"""),"yckim2180@gmail.com")</f>
        <v>yckim2180@gmail.com</v>
      </c>
      <c r="C2277" s="9" t="str">
        <f ca="1">IFERROR(__xludf.DUMMYFUNCTION("""COMPUTED_VALUE"""),"EVERGREEN - UAN Gated Content - Embedded Petition")</f>
        <v>EVERGREEN - UAN Gated Content - Embedded Petition</v>
      </c>
      <c r="D2277" s="10">
        <f ca="1">IFERROR(__xludf.DUMMYFUNCTION("""COMPUTED_VALUE"""),45707)</f>
        <v>45707</v>
      </c>
      <c r="E2277" s="1" t="str">
        <f ca="1">IFERROR(__xludf.DUMMYFUNCTION("""COMPUTED_VALUE"""),"Israel and Occupied Palestinian Territories")</f>
        <v>Israel and Occupied Palestinian Territories</v>
      </c>
      <c r="F2277" s="1" t="str">
        <f ca="1">IFERROR(__xludf.DUMMYFUNCTION("""COMPUTED_VALUE"""),"3.25 IOPT")</f>
        <v>3.25 IOPT</v>
      </c>
      <c r="G2277" s="1" t="str">
        <f ca="1">IFERROR(__xludf.DUMMYFUNCTION("""COMPUTED_VALUE"""),"Freedom of Expression, Individuals At Risk")</f>
        <v>Freedom of Expression, Individuals At Risk</v>
      </c>
      <c r="H2277" s="1" t="str">
        <f ca="1">IFERROR(__xludf.DUMMYFUNCTION("""COMPUTED_VALUE"""),"2025")</f>
        <v>2025</v>
      </c>
      <c r="I2277" s="1" t="str">
        <f ca="1">IFERROR(__xludf.DUMMYFUNCTION("""COMPUTED_VALUE"""),"Email")</f>
        <v>Email</v>
      </c>
    </row>
    <row r="2278" spans="1:9" ht="13" x14ac:dyDescent="0.15">
      <c r="A2278" s="9">
        <f ca="1">IFERROR(__xludf.DUMMYFUNCTION("""COMPUTED_VALUE"""),276180131)</f>
        <v>276180131</v>
      </c>
      <c r="B2278" s="1" t="str">
        <f ca="1">IFERROR(__xludf.DUMMYFUNCTION("""COMPUTED_VALUE"""),"estherlermanmft@gmail.com")</f>
        <v>estherlermanmft@gmail.com</v>
      </c>
      <c r="C2278" s="9" t="str">
        <f ca="1">IFERROR(__xludf.DUMMYFUNCTION("""COMPUTED_VALUE"""),"EVERGREEN - UAN Gated Content - Embedded Petition")</f>
        <v>EVERGREEN - UAN Gated Content - Embedded Petition</v>
      </c>
      <c r="D2278" s="10">
        <f ca="1">IFERROR(__xludf.DUMMYFUNCTION("""COMPUTED_VALUE"""),45676)</f>
        <v>45676</v>
      </c>
      <c r="E2278" s="1" t="str">
        <f ca="1">IFERROR(__xludf.DUMMYFUNCTION("""COMPUTED_VALUE"""),"Israel and Occupied Palestinian Territories")</f>
        <v>Israel and Occupied Palestinian Territories</v>
      </c>
      <c r="F2278" s="1" t="str">
        <f ca="1">IFERROR(__xludf.DUMMYFUNCTION("""COMPUTED_VALUE"""),"3.25 IOPT")</f>
        <v>3.25 IOPT</v>
      </c>
      <c r="G2278" s="1" t="str">
        <f ca="1">IFERROR(__xludf.DUMMYFUNCTION("""COMPUTED_VALUE"""),"Freedom of Expression, Individuals At Risk")</f>
        <v>Freedom of Expression, Individuals At Risk</v>
      </c>
      <c r="H2278" s="1" t="str">
        <f ca="1">IFERROR(__xludf.DUMMYFUNCTION("""COMPUTED_VALUE"""),"2025")</f>
        <v>2025</v>
      </c>
      <c r="I2278" s="1" t="str">
        <f ca="1">IFERROR(__xludf.DUMMYFUNCTION("""COMPUTED_VALUE"""),"Email")</f>
        <v>Email</v>
      </c>
    </row>
    <row r="2279" spans="1:9" ht="13" x14ac:dyDescent="0.15">
      <c r="A2279" s="9">
        <f ca="1">IFERROR(__xludf.DUMMYFUNCTION("""COMPUTED_VALUE"""),276180131)</f>
        <v>276180131</v>
      </c>
      <c r="B2279" s="1" t="str">
        <f ca="1">IFERROR(__xludf.DUMMYFUNCTION("""COMPUTED_VALUE"""),"estherlermanmft@gmail.com")</f>
        <v>estherlermanmft@gmail.com</v>
      </c>
      <c r="C2279" s="9" t="str">
        <f ca="1">IFERROR(__xludf.DUMMYFUNCTION("""COMPUTED_VALUE"""),"EVERGREEN - UAN Gated Content - Embedded Petition")</f>
        <v>EVERGREEN - UAN Gated Content - Embedded Petition</v>
      </c>
      <c r="D2279" s="10">
        <f ca="1">IFERROR(__xludf.DUMMYFUNCTION("""COMPUTED_VALUE"""),45674)</f>
        <v>45674</v>
      </c>
      <c r="E2279" s="1" t="str">
        <f ca="1">IFERROR(__xludf.DUMMYFUNCTION("""COMPUTED_VALUE"""),"Israel and Occupied Palestinian Territories")</f>
        <v>Israel and Occupied Palestinian Territories</v>
      </c>
      <c r="F2279" s="1" t="str">
        <f ca="1">IFERROR(__xludf.DUMMYFUNCTION("""COMPUTED_VALUE"""),"3.25 IOPT")</f>
        <v>3.25 IOPT</v>
      </c>
      <c r="G2279" s="1" t="str">
        <f ca="1">IFERROR(__xludf.DUMMYFUNCTION("""COMPUTED_VALUE"""),"Freedom of Expression, Individuals At Risk")</f>
        <v>Freedom of Expression, Individuals At Risk</v>
      </c>
      <c r="H2279" s="1" t="str">
        <f ca="1">IFERROR(__xludf.DUMMYFUNCTION("""COMPUTED_VALUE"""),"2025")</f>
        <v>2025</v>
      </c>
      <c r="I2279" s="1" t="str">
        <f ca="1">IFERROR(__xludf.DUMMYFUNCTION("""COMPUTED_VALUE"""),"Email")</f>
        <v>Email</v>
      </c>
    </row>
    <row r="2280" spans="1:9" ht="13" x14ac:dyDescent="0.15">
      <c r="A2280" s="9">
        <f ca="1">IFERROR(__xludf.DUMMYFUNCTION("""COMPUTED_VALUE"""),276180131)</f>
        <v>276180131</v>
      </c>
      <c r="B2280" s="1" t="str">
        <f ca="1">IFERROR(__xludf.DUMMYFUNCTION("""COMPUTED_VALUE"""),"estherlermanmft@gmail.com")</f>
        <v>estherlermanmft@gmail.com</v>
      </c>
      <c r="C2280" s="9" t="str">
        <f ca="1">IFERROR(__xludf.DUMMYFUNCTION("""COMPUTED_VALUE"""),"EVERGREEN - UAN Gated Content - Embedded Petition")</f>
        <v>EVERGREEN - UAN Gated Content - Embedded Petition</v>
      </c>
      <c r="D2280" s="10">
        <f ca="1">IFERROR(__xludf.DUMMYFUNCTION("""COMPUTED_VALUE"""),45676)</f>
        <v>45676</v>
      </c>
      <c r="E2280" s="1" t="str">
        <f ca="1">IFERROR(__xludf.DUMMYFUNCTION("""COMPUTED_VALUE"""),"Israel and Occupied Palestinian Territories")</f>
        <v>Israel and Occupied Palestinian Territories</v>
      </c>
      <c r="F2280" s="1" t="str">
        <f ca="1">IFERROR(__xludf.DUMMYFUNCTION("""COMPUTED_VALUE"""),"3.25 IOPT")</f>
        <v>3.25 IOPT</v>
      </c>
      <c r="G2280" s="1" t="str">
        <f ca="1">IFERROR(__xludf.DUMMYFUNCTION("""COMPUTED_VALUE"""),"Freedom of Expression, Individuals At Risk")</f>
        <v>Freedom of Expression, Individuals At Risk</v>
      </c>
      <c r="H2280" s="1" t="str">
        <f ca="1">IFERROR(__xludf.DUMMYFUNCTION("""COMPUTED_VALUE"""),"2025")</f>
        <v>2025</v>
      </c>
      <c r="I2280" s="1" t="str">
        <f ca="1">IFERROR(__xludf.DUMMYFUNCTION("""COMPUTED_VALUE"""),"Email")</f>
        <v>Email</v>
      </c>
    </row>
    <row r="2281" spans="1:9" ht="13" x14ac:dyDescent="0.15">
      <c r="A2281" s="9">
        <f ca="1">IFERROR(__xludf.DUMMYFUNCTION("""COMPUTED_VALUE"""),276180294)</f>
        <v>276180294</v>
      </c>
      <c r="B2281" s="1" t="str">
        <f ca="1">IFERROR(__xludf.DUMMYFUNCTION("""COMPUTED_VALUE"""),"amkwdmll@aol.com")</f>
        <v>amkwdmll@aol.com</v>
      </c>
      <c r="C2281" s="9" t="str">
        <f ca="1">IFERROR(__xludf.DUMMYFUNCTION("""COMPUTED_VALUE"""),"EVERGREEN - UAN Gated Content - Embedded Petition")</f>
        <v>EVERGREEN - UAN Gated Content - Embedded Petition</v>
      </c>
      <c r="D2281" s="10">
        <f ca="1">IFERROR(__xludf.DUMMYFUNCTION("""COMPUTED_VALUE"""),45691)</f>
        <v>45691</v>
      </c>
      <c r="E2281" s="1" t="str">
        <f ca="1">IFERROR(__xludf.DUMMYFUNCTION("""COMPUTED_VALUE"""),"Israel and Occupied Palestinian Territories")</f>
        <v>Israel and Occupied Palestinian Territories</v>
      </c>
      <c r="F2281" s="1" t="str">
        <f ca="1">IFERROR(__xludf.DUMMYFUNCTION("""COMPUTED_VALUE"""),"3.25 IOPT")</f>
        <v>3.25 IOPT</v>
      </c>
      <c r="G2281" s="1" t="str">
        <f ca="1">IFERROR(__xludf.DUMMYFUNCTION("""COMPUTED_VALUE"""),"Freedom of Expression, Individuals At Risk")</f>
        <v>Freedom of Expression, Individuals At Risk</v>
      </c>
      <c r="H2281" s="1" t="str">
        <f ca="1">IFERROR(__xludf.DUMMYFUNCTION("""COMPUTED_VALUE"""),"2025")</f>
        <v>2025</v>
      </c>
      <c r="I2281" s="1" t="str">
        <f ca="1">IFERROR(__xludf.DUMMYFUNCTION("""COMPUTED_VALUE"""),"Email")</f>
        <v>Email</v>
      </c>
    </row>
    <row r="2282" spans="1:9" ht="13" x14ac:dyDescent="0.15">
      <c r="A2282" s="9">
        <f ca="1">IFERROR(__xludf.DUMMYFUNCTION("""COMPUTED_VALUE"""),276351131)</f>
        <v>276351131</v>
      </c>
      <c r="B2282" s="1" t="str">
        <f ca="1">IFERROR(__xludf.DUMMYFUNCTION("""COMPUTED_VALUE"""),"kam2367@columbia.edu")</f>
        <v>kam2367@columbia.edu</v>
      </c>
      <c r="C2282" s="9" t="str">
        <f ca="1">IFERROR(__xludf.DUMMYFUNCTION("""COMPUTED_VALUE"""),"EVERGREEN - UAN Gated Content - Embedded Petition")</f>
        <v>EVERGREEN - UAN Gated Content - Embedded Petition</v>
      </c>
      <c r="D2282" s="10">
        <f ca="1">IFERROR(__xludf.DUMMYFUNCTION("""COMPUTED_VALUE"""),45636)</f>
        <v>45636</v>
      </c>
      <c r="E2282" s="1" t="str">
        <f ca="1">IFERROR(__xludf.DUMMYFUNCTION("""COMPUTED_VALUE"""),"Israel and Occupied Palestinian Territories")</f>
        <v>Israel and Occupied Palestinian Territories</v>
      </c>
      <c r="F2282" s="1" t="str">
        <f ca="1">IFERROR(__xludf.DUMMYFUNCTION("""COMPUTED_VALUE"""),"3.25 IOPT")</f>
        <v>3.25 IOPT</v>
      </c>
      <c r="G2282" s="1" t="str">
        <f ca="1">IFERROR(__xludf.DUMMYFUNCTION("""COMPUTED_VALUE"""),"Freedom of Expression, Individuals At Risk")</f>
        <v>Freedom of Expression, Individuals At Risk</v>
      </c>
      <c r="H2282" s="1" t="str">
        <f ca="1">IFERROR(__xludf.DUMMYFUNCTION("""COMPUTED_VALUE"""),"2025")</f>
        <v>2025</v>
      </c>
      <c r="I2282" s="1" t="str">
        <f ca="1">IFERROR(__xludf.DUMMYFUNCTION("""COMPUTED_VALUE"""),"Email")</f>
        <v>Email</v>
      </c>
    </row>
    <row r="2283" spans="1:9" ht="13" x14ac:dyDescent="0.15">
      <c r="A2283" s="9">
        <f ca="1">IFERROR(__xludf.DUMMYFUNCTION("""COMPUTED_VALUE"""),276713496)</f>
        <v>276713496</v>
      </c>
      <c r="B2283" s="1" t="str">
        <f ca="1">IFERROR(__xludf.DUMMYFUNCTION("""COMPUTED_VALUE"""),"annalisewood@cvsdvt.org")</f>
        <v>annalisewood@cvsdvt.org</v>
      </c>
      <c r="C2283" s="9" t="str">
        <f ca="1">IFERROR(__xludf.DUMMYFUNCTION("""COMPUTED_VALUE"""),"EVERGREEN - UAN Gated Content - Embedded Petition")</f>
        <v>EVERGREEN - UAN Gated Content - Embedded Petition</v>
      </c>
      <c r="D2283" s="10">
        <f ca="1">IFERROR(__xludf.DUMMYFUNCTION("""COMPUTED_VALUE"""),45691)</f>
        <v>45691</v>
      </c>
      <c r="E2283" s="1" t="str">
        <f ca="1">IFERROR(__xludf.DUMMYFUNCTION("""COMPUTED_VALUE"""),"Israel and Occupied Palestinian Territories")</f>
        <v>Israel and Occupied Palestinian Territories</v>
      </c>
      <c r="F2283" s="1" t="str">
        <f ca="1">IFERROR(__xludf.DUMMYFUNCTION("""COMPUTED_VALUE"""),"3.25 IOPT")</f>
        <v>3.25 IOPT</v>
      </c>
      <c r="G2283" s="1" t="str">
        <f ca="1">IFERROR(__xludf.DUMMYFUNCTION("""COMPUTED_VALUE"""),"Freedom of Expression, Individuals At Risk")</f>
        <v>Freedom of Expression, Individuals At Risk</v>
      </c>
      <c r="H2283" s="1" t="str">
        <f ca="1">IFERROR(__xludf.DUMMYFUNCTION("""COMPUTED_VALUE"""),"2025")</f>
        <v>2025</v>
      </c>
      <c r="I2283" s="1" t="str">
        <f ca="1">IFERROR(__xludf.DUMMYFUNCTION("""COMPUTED_VALUE"""),"Email")</f>
        <v>Email</v>
      </c>
    </row>
    <row r="2284" spans="1:9" ht="13" x14ac:dyDescent="0.15">
      <c r="A2284" s="9">
        <f ca="1">IFERROR(__xludf.DUMMYFUNCTION("""COMPUTED_VALUE"""),276713496)</f>
        <v>276713496</v>
      </c>
      <c r="B2284" s="1" t="str">
        <f ca="1">IFERROR(__xludf.DUMMYFUNCTION("""COMPUTED_VALUE"""),"annalisewood@cvsdvt.org")</f>
        <v>annalisewood@cvsdvt.org</v>
      </c>
      <c r="C2284" s="9" t="str">
        <f ca="1">IFERROR(__xludf.DUMMYFUNCTION("""COMPUTED_VALUE"""),"EVERGREEN - UAN Gated Content - Embedded Petition")</f>
        <v>EVERGREEN - UAN Gated Content - Embedded Petition</v>
      </c>
      <c r="D2284" s="10">
        <f ca="1">IFERROR(__xludf.DUMMYFUNCTION("""COMPUTED_VALUE"""),45685)</f>
        <v>45685</v>
      </c>
      <c r="E2284" s="1" t="str">
        <f ca="1">IFERROR(__xludf.DUMMYFUNCTION("""COMPUTED_VALUE"""),"Israel and Occupied Palestinian Territories")</f>
        <v>Israel and Occupied Palestinian Territories</v>
      </c>
      <c r="F2284" s="1" t="str">
        <f ca="1">IFERROR(__xludf.DUMMYFUNCTION("""COMPUTED_VALUE"""),"3.25 IOPT")</f>
        <v>3.25 IOPT</v>
      </c>
      <c r="G2284" s="1" t="str">
        <f ca="1">IFERROR(__xludf.DUMMYFUNCTION("""COMPUTED_VALUE"""),"Freedom of Expression, Individuals At Risk")</f>
        <v>Freedom of Expression, Individuals At Risk</v>
      </c>
      <c r="H2284" s="1" t="str">
        <f ca="1">IFERROR(__xludf.DUMMYFUNCTION("""COMPUTED_VALUE"""),"2025")</f>
        <v>2025</v>
      </c>
      <c r="I2284" s="1" t="str">
        <f ca="1">IFERROR(__xludf.DUMMYFUNCTION("""COMPUTED_VALUE"""),"Email")</f>
        <v>Email</v>
      </c>
    </row>
    <row r="2285" spans="1:9" ht="13" x14ac:dyDescent="0.15">
      <c r="A2285" s="9">
        <f ca="1">IFERROR(__xludf.DUMMYFUNCTION("""COMPUTED_VALUE"""),276757412)</f>
        <v>276757412</v>
      </c>
      <c r="B2285" s="1" t="str">
        <f ca="1">IFERROR(__xludf.DUMMYFUNCTION("""COMPUTED_VALUE"""),"maitri.dubey@yahoo.com")</f>
        <v>maitri.dubey@yahoo.com</v>
      </c>
      <c r="C2285" s="9" t="str">
        <f ca="1">IFERROR(__xludf.DUMMYFUNCTION("""COMPUTED_VALUE"""),"EVERGREEN - UAN Gated Content - Embedded Petition")</f>
        <v>EVERGREEN - UAN Gated Content - Embedded Petition</v>
      </c>
      <c r="D2285" s="10">
        <f ca="1">IFERROR(__xludf.DUMMYFUNCTION("""COMPUTED_VALUE"""),45686)</f>
        <v>45686</v>
      </c>
      <c r="E2285" s="1" t="str">
        <f ca="1">IFERROR(__xludf.DUMMYFUNCTION("""COMPUTED_VALUE"""),"Israel and Occupied Palestinian Territories")</f>
        <v>Israel and Occupied Palestinian Territories</v>
      </c>
      <c r="F2285" s="1" t="str">
        <f ca="1">IFERROR(__xludf.DUMMYFUNCTION("""COMPUTED_VALUE"""),"Seventh 103.22 Iran")</f>
        <v>Seventh 103.22 Iran</v>
      </c>
      <c r="G2285" s="1" t="str">
        <f ca="1">IFERROR(__xludf.DUMMYFUNCTION("""COMPUTED_VALUE"""),"Death Penalty, Freedom of Expression, Individuals At Risk")</f>
        <v>Death Penalty, Freedom of Expression, Individuals At Risk</v>
      </c>
      <c r="H2285" s="1" t="str">
        <f ca="1">IFERROR(__xludf.DUMMYFUNCTION("""COMPUTED_VALUE"""),"2024")</f>
        <v>2024</v>
      </c>
      <c r="I2285" s="1" t="str">
        <f ca="1">IFERROR(__xludf.DUMMYFUNCTION("""COMPUTED_VALUE"""),"Email")</f>
        <v>Email</v>
      </c>
    </row>
    <row r="2286" spans="1:9" ht="13" x14ac:dyDescent="0.15">
      <c r="A2286" s="9">
        <f ca="1">IFERROR(__xludf.DUMMYFUNCTION("""COMPUTED_VALUE"""),276880572)</f>
        <v>276880572</v>
      </c>
      <c r="B2286" s="1" t="str">
        <f ca="1">IFERROR(__xludf.DUMMYFUNCTION("""COMPUTED_VALUE"""),"64amberh@gmail.com")</f>
        <v>64amberh@gmail.com</v>
      </c>
      <c r="C2286" s="9" t="str">
        <f ca="1">IFERROR(__xludf.DUMMYFUNCTION("""COMPUTED_VALUE"""),"EVERGREEN - UAN Gated Content - Embedded Petition")</f>
        <v>EVERGREEN - UAN Gated Content - Embedded Petition</v>
      </c>
      <c r="D2286" s="10">
        <f ca="1">IFERROR(__xludf.DUMMYFUNCTION("""COMPUTED_VALUE"""),45694)</f>
        <v>45694</v>
      </c>
      <c r="E2286" s="1" t="str">
        <f ca="1">IFERROR(__xludf.DUMMYFUNCTION("""COMPUTED_VALUE"""),"Iran")</f>
        <v>Iran</v>
      </c>
      <c r="F2286" s="1" t="str">
        <f ca="1">IFERROR(__xludf.DUMMYFUNCTION("""COMPUTED_VALUE"""),"2.25 Azerbaijan")</f>
        <v>2.25 Azerbaijan</v>
      </c>
      <c r="G2286" s="1" t="str">
        <f ca="1">IFERROR(__xludf.DUMMYFUNCTION("""COMPUTED_VALUE"""),"Freedom of Expression, Human Rights Defenders")</f>
        <v>Freedom of Expression, Human Rights Defenders</v>
      </c>
      <c r="H2286" s="1" t="str">
        <f ca="1">IFERROR(__xludf.DUMMYFUNCTION("""COMPUTED_VALUE"""),"2025")</f>
        <v>2025</v>
      </c>
      <c r="I2286" s="1" t="str">
        <f ca="1">IFERROR(__xludf.DUMMYFUNCTION("""COMPUTED_VALUE"""),"Email")</f>
        <v>Email</v>
      </c>
    </row>
    <row r="2287" spans="1:9" ht="13" x14ac:dyDescent="0.15">
      <c r="A2287" s="9">
        <f ca="1">IFERROR(__xludf.DUMMYFUNCTION("""COMPUTED_VALUE"""),276880572)</f>
        <v>276880572</v>
      </c>
      <c r="B2287" s="1" t="str">
        <f ca="1">IFERROR(__xludf.DUMMYFUNCTION("""COMPUTED_VALUE"""),"64amberh@gmail.com")</f>
        <v>64amberh@gmail.com</v>
      </c>
      <c r="C2287" s="9" t="str">
        <f ca="1">IFERROR(__xludf.DUMMYFUNCTION("""COMPUTED_VALUE"""),"EVERGREEN - UAN Gated Content - Embedded Petition")</f>
        <v>EVERGREEN - UAN Gated Content - Embedded Petition</v>
      </c>
      <c r="D2287" s="10">
        <f ca="1">IFERROR(__xludf.DUMMYFUNCTION("""COMPUTED_VALUE"""),45694)</f>
        <v>45694</v>
      </c>
      <c r="E2287" s="1" t="str">
        <f ca="1">IFERROR(__xludf.DUMMYFUNCTION("""COMPUTED_VALUE"""),"Azerbaijan")</f>
        <v>Azerbaijan</v>
      </c>
      <c r="F2287" s="1" t="str">
        <f ca="1">IFERROR(__xludf.DUMMYFUNCTION("""COMPUTED_VALUE"""),"2.25 Azerbaijan")</f>
        <v>2.25 Azerbaijan</v>
      </c>
      <c r="G2287" s="1" t="str">
        <f ca="1">IFERROR(__xludf.DUMMYFUNCTION("""COMPUTED_VALUE"""),"Freedom of Expression, Human Rights Defenders")</f>
        <v>Freedom of Expression, Human Rights Defenders</v>
      </c>
      <c r="H2287" s="1" t="str">
        <f ca="1">IFERROR(__xludf.DUMMYFUNCTION("""COMPUTED_VALUE"""),"2025")</f>
        <v>2025</v>
      </c>
      <c r="I2287" s="1" t="str">
        <f ca="1">IFERROR(__xludf.DUMMYFUNCTION("""COMPUTED_VALUE"""),"Email")</f>
        <v>Email</v>
      </c>
    </row>
    <row r="2288" spans="1:9" ht="13" x14ac:dyDescent="0.15">
      <c r="A2288" s="9">
        <f ca="1">IFERROR(__xludf.DUMMYFUNCTION("""COMPUTED_VALUE"""),276902753)</f>
        <v>276902753</v>
      </c>
      <c r="B2288" s="1" t="str">
        <f ca="1">IFERROR(__xludf.DUMMYFUNCTION("""COMPUTED_VALUE"""),"mclaughlin.rochelle@gmail.com")</f>
        <v>mclaughlin.rochelle@gmail.com</v>
      </c>
      <c r="C2288" s="9" t="str">
        <f ca="1">IFERROR(__xludf.DUMMYFUNCTION("""COMPUTED_VALUE"""),"EVERGREEN - UAN Gated Content - Embedded Petition")</f>
        <v>EVERGREEN - UAN Gated Content - Embedded Petition</v>
      </c>
      <c r="D2288" s="10">
        <f ca="1">IFERROR(__xludf.DUMMYFUNCTION("""COMPUTED_VALUE"""),45673)</f>
        <v>45673</v>
      </c>
      <c r="E2288" s="1" t="str">
        <f ca="1">IFERROR(__xludf.DUMMYFUNCTION("""COMPUTED_VALUE"""),"Azerbaijan")</f>
        <v>Azerbaijan</v>
      </c>
      <c r="F2288" s="1" t="str">
        <f ca="1">IFERROR(__xludf.DUMMYFUNCTION("""COMPUTED_VALUE"""),"Seventh 103.22 Iran")</f>
        <v>Seventh 103.22 Iran</v>
      </c>
      <c r="G2288" s="1" t="str">
        <f ca="1">IFERROR(__xludf.DUMMYFUNCTION("""COMPUTED_VALUE"""),"Death Penalty, Freedom of Expression, Individuals At Risk")</f>
        <v>Death Penalty, Freedom of Expression, Individuals At Risk</v>
      </c>
      <c r="H2288" s="1" t="str">
        <f ca="1">IFERROR(__xludf.DUMMYFUNCTION("""COMPUTED_VALUE"""),"2024")</f>
        <v>2024</v>
      </c>
      <c r="I2288" s="1" t="str">
        <f ca="1">IFERROR(__xludf.DUMMYFUNCTION("""COMPUTED_VALUE"""),"Email")</f>
        <v>Email</v>
      </c>
    </row>
    <row r="2289" spans="1:9" ht="13" x14ac:dyDescent="0.15">
      <c r="A2289" s="9">
        <f ca="1">IFERROR(__xludf.DUMMYFUNCTION("""COMPUTED_VALUE"""),277210957)</f>
        <v>277210957</v>
      </c>
      <c r="B2289" s="1" t="str">
        <f ca="1">IFERROR(__xludf.DUMMYFUNCTION("""COMPUTED_VALUE"""),"michaelt@4sitestudios.com")</f>
        <v>michaelt@4sitestudios.com</v>
      </c>
      <c r="C2289" s="9" t="str">
        <f ca="1">IFERROR(__xludf.DUMMYFUNCTION("""COMPUTED_VALUE"""),"EVERGREEN - UAN Gated Content - Embedded Petition")</f>
        <v>EVERGREEN - UAN Gated Content - Embedded Petition</v>
      </c>
      <c r="D2289" s="10">
        <f ca="1">IFERROR(__xludf.DUMMYFUNCTION("""COMPUTED_VALUE"""),45497)</f>
        <v>45497</v>
      </c>
      <c r="E2289" s="1" t="str">
        <f ca="1">IFERROR(__xludf.DUMMYFUNCTION("""COMPUTED_VALUE"""),"Iran")</f>
        <v>Iran</v>
      </c>
      <c r="F2289" s="1" t="str">
        <f ca="1">IFERROR(__xludf.DUMMYFUNCTION("""COMPUTED_VALUE"""),"109.24 Türkiye")</f>
        <v>109.24 Türkiye</v>
      </c>
      <c r="G2289" s="1" t="str">
        <f ca="1">IFERROR(__xludf.DUMMYFUNCTION("""COMPUTED_VALUE"""),"Human Rights Defenders, Individuals At Risk")</f>
        <v>Human Rights Defenders, Individuals At Risk</v>
      </c>
      <c r="H2289" s="1" t="str">
        <f ca="1">IFERROR(__xludf.DUMMYFUNCTION("""COMPUTED_VALUE"""),"2024")</f>
        <v>2024</v>
      </c>
      <c r="I2289" s="1" t="str">
        <f ca="1">IFERROR(__xludf.DUMMYFUNCTION("""COMPUTED_VALUE"""),"Email")</f>
        <v>Email</v>
      </c>
    </row>
    <row r="2290" spans="1:9" ht="13" x14ac:dyDescent="0.15">
      <c r="A2290" s="9">
        <f ca="1">IFERROR(__xludf.DUMMYFUNCTION("""COMPUTED_VALUE"""),277210957)</f>
        <v>277210957</v>
      </c>
      <c r="B2290" s="1" t="str">
        <f ca="1">IFERROR(__xludf.DUMMYFUNCTION("""COMPUTED_VALUE"""),"michaelt@4sitestudios.com")</f>
        <v>michaelt@4sitestudios.com</v>
      </c>
      <c r="C2290" s="9" t="str">
        <f ca="1">IFERROR(__xludf.DUMMYFUNCTION("""COMPUTED_VALUE"""),"EVERGREEN - UAN Gated Content - Embedded Petition")</f>
        <v>EVERGREEN - UAN Gated Content - Embedded Petition</v>
      </c>
      <c r="D2290" s="10">
        <f ca="1">IFERROR(__xludf.DUMMYFUNCTION("""COMPUTED_VALUE"""),45495)</f>
        <v>45495</v>
      </c>
      <c r="E2290" s="1" t="str">
        <f ca="1">IFERROR(__xludf.DUMMYFUNCTION("""COMPUTED_VALUE"""),"Turkiye")</f>
        <v>Turkiye</v>
      </c>
      <c r="F2290" s="1" t="str">
        <f ca="1">IFERROR(__xludf.DUMMYFUNCTION("""COMPUTED_VALUE"""),"103.24 Niger")</f>
        <v>103.24 Niger</v>
      </c>
      <c r="G2290" s="1" t="str">
        <f ca="1">IFERROR(__xludf.DUMMYFUNCTION("""COMPUTED_VALUE"""),"Freedom of Expression, Human Rights Defenders")</f>
        <v>Freedom of Expression, Human Rights Defenders</v>
      </c>
      <c r="H2290" s="1" t="str">
        <f ca="1">IFERROR(__xludf.DUMMYFUNCTION("""COMPUTED_VALUE"""),"2024")</f>
        <v>2024</v>
      </c>
      <c r="I2290" s="1" t="str">
        <f ca="1">IFERROR(__xludf.DUMMYFUNCTION("""COMPUTED_VALUE"""),"Email")</f>
        <v>Email</v>
      </c>
    </row>
    <row r="2291" spans="1:9" ht="13" x14ac:dyDescent="0.15">
      <c r="A2291" s="9">
        <f ca="1">IFERROR(__xludf.DUMMYFUNCTION("""COMPUTED_VALUE"""),277210957)</f>
        <v>277210957</v>
      </c>
      <c r="B2291" s="1" t="str">
        <f ca="1">IFERROR(__xludf.DUMMYFUNCTION("""COMPUTED_VALUE"""),"michaelt@4sitestudios.com")</f>
        <v>michaelt@4sitestudios.com</v>
      </c>
      <c r="C2291" s="9" t="str">
        <f ca="1">IFERROR(__xludf.DUMMYFUNCTION("""COMPUTED_VALUE"""),"EVERGREEN - UAN Gated Content - Embedded Petition")</f>
        <v>EVERGREEN - UAN Gated Content - Embedded Petition</v>
      </c>
      <c r="D2291" s="10">
        <f ca="1">IFERROR(__xludf.DUMMYFUNCTION("""COMPUTED_VALUE"""),45496)</f>
        <v>45496</v>
      </c>
      <c r="E2291" s="1" t="str">
        <f ca="1">IFERROR(__xludf.DUMMYFUNCTION("""COMPUTED_VALUE"""),"Niger")</f>
        <v>Niger</v>
      </c>
      <c r="F2291" s="1" t="str">
        <f ca="1">IFERROR(__xludf.DUMMYFUNCTION("""COMPUTED_VALUE"""),"97.24 Venezuela")</f>
        <v>97.24 Venezuela</v>
      </c>
      <c r="G2291" s="1" t="str">
        <f ca="1">IFERROR(__xludf.DUMMYFUNCTION("""COMPUTED_VALUE"""),"Freedom of Expression")</f>
        <v>Freedom of Expression</v>
      </c>
      <c r="H2291" s="1" t="str">
        <f ca="1">IFERROR(__xludf.DUMMYFUNCTION("""COMPUTED_VALUE"""),"2024")</f>
        <v>2024</v>
      </c>
      <c r="I2291" s="1" t="str">
        <f ca="1">IFERROR(__xludf.DUMMYFUNCTION("""COMPUTED_VALUE"""),"Letter")</f>
        <v>Letter</v>
      </c>
    </row>
    <row r="2292" spans="1:9" ht="13" x14ac:dyDescent="0.15">
      <c r="A2292" s="9">
        <f ca="1">IFERROR(__xludf.DUMMYFUNCTION("""COMPUTED_VALUE"""),277210957)</f>
        <v>277210957</v>
      </c>
      <c r="B2292" s="1" t="str">
        <f ca="1">IFERROR(__xludf.DUMMYFUNCTION("""COMPUTED_VALUE"""),"michaelt@4sitestudios.com")</f>
        <v>michaelt@4sitestudios.com</v>
      </c>
      <c r="C2292" s="9" t="str">
        <f ca="1">IFERROR(__xludf.DUMMYFUNCTION("""COMPUTED_VALUE"""),"EVERGREEN - UAN Gated Content - Embedded Petition")</f>
        <v>EVERGREEN - UAN Gated Content - Embedded Petition</v>
      </c>
      <c r="D2292" s="10">
        <f ca="1">IFERROR(__xludf.DUMMYFUNCTION("""COMPUTED_VALUE"""),45496)</f>
        <v>45496</v>
      </c>
      <c r="E2292" s="1" t="str">
        <f ca="1">IFERROR(__xludf.DUMMYFUNCTION("""COMPUTED_VALUE"""),"Venezuela")</f>
        <v>Venezuela</v>
      </c>
      <c r="F2292" s="1" t="str">
        <f ca="1">IFERROR(__xludf.DUMMYFUNCTION("""COMPUTED_VALUE"""),"4.25 USA")</f>
        <v>4.25 USA</v>
      </c>
      <c r="G2292" s="1" t="str">
        <f ca="1">IFERROR(__xludf.DUMMYFUNCTION("""COMPUTED_VALUE"""),"Individuals At Risk, Refugee and Migrant Rights")</f>
        <v>Individuals At Risk, Refugee and Migrant Rights</v>
      </c>
      <c r="H2292" s="1" t="str">
        <f ca="1">IFERROR(__xludf.DUMMYFUNCTION("""COMPUTED_VALUE"""),"2025")</f>
        <v>2025</v>
      </c>
      <c r="I2292" s="1" t="str">
        <f ca="1">IFERROR(__xludf.DUMMYFUNCTION("""COMPUTED_VALUE"""),"Letter")</f>
        <v>Letter</v>
      </c>
    </row>
    <row r="2293" spans="1:9" ht="13" x14ac:dyDescent="0.15">
      <c r="A2293" s="9">
        <f ca="1">IFERROR(__xludf.DUMMYFUNCTION("""COMPUTED_VALUE"""),277210957)</f>
        <v>277210957</v>
      </c>
      <c r="B2293" s="1" t="str">
        <f ca="1">IFERROR(__xludf.DUMMYFUNCTION("""COMPUTED_VALUE"""),"michaelt@4sitestudios.com")</f>
        <v>michaelt@4sitestudios.com</v>
      </c>
      <c r="C2293" s="9" t="str">
        <f ca="1">IFERROR(__xludf.DUMMYFUNCTION("""COMPUTED_VALUE"""),"EVERGREEN - UAN Gated Content - Embedded Petition")</f>
        <v>EVERGREEN - UAN Gated Content - Embedded Petition</v>
      </c>
      <c r="D2293" s="10">
        <f ca="1">IFERROR(__xludf.DUMMYFUNCTION("""COMPUTED_VALUE"""),45495)</f>
        <v>45495</v>
      </c>
      <c r="E2293" s="1" t="str">
        <f ca="1">IFERROR(__xludf.DUMMYFUNCTION("""COMPUTED_VALUE"""),"USA")</f>
        <v>USA</v>
      </c>
      <c r="F2293" s="1" t="str">
        <f ca="1">IFERROR(__xludf.DUMMYFUNCTION("""COMPUTED_VALUE"""),"98.24 China")</f>
        <v>98.24 China</v>
      </c>
      <c r="G2293" s="1" t="str">
        <f ca="1">IFERROR(__xludf.DUMMYFUNCTION("""COMPUTED_VALUE"""),"Freedom of Expression, Individuals At Risk")</f>
        <v>Freedom of Expression, Individuals At Risk</v>
      </c>
      <c r="H2293" s="1" t="str">
        <f ca="1">IFERROR(__xludf.DUMMYFUNCTION("""COMPUTED_VALUE"""),"2024")</f>
        <v>2024</v>
      </c>
      <c r="I2293" s="1" t="str">
        <f ca="1">IFERROR(__xludf.DUMMYFUNCTION("""COMPUTED_VALUE"""),"Letter")</f>
        <v>Letter</v>
      </c>
    </row>
    <row r="2294" spans="1:9" ht="13" x14ac:dyDescent="0.15">
      <c r="A2294" s="9">
        <f ca="1">IFERROR(__xludf.DUMMYFUNCTION("""COMPUTED_VALUE"""),277210957)</f>
        <v>277210957</v>
      </c>
      <c r="B2294" s="1" t="str">
        <f ca="1">IFERROR(__xludf.DUMMYFUNCTION("""COMPUTED_VALUE"""),"michaelt@4sitestudios.com")</f>
        <v>michaelt@4sitestudios.com</v>
      </c>
      <c r="C2294" s="9" t="str">
        <f ca="1">IFERROR(__xludf.DUMMYFUNCTION("""COMPUTED_VALUE"""),"EVERGREEN - UAN Gated Content - Embedded Petition")</f>
        <v>EVERGREEN - UAN Gated Content - Embedded Petition</v>
      </c>
      <c r="D2294" s="10">
        <f ca="1">IFERROR(__xludf.DUMMYFUNCTION("""COMPUTED_VALUE"""),45495)</f>
        <v>45495</v>
      </c>
      <c r="E2294" s="1" t="str">
        <f ca="1">IFERROR(__xludf.DUMMYFUNCTION("""COMPUTED_VALUE"""),"China")</f>
        <v>China</v>
      </c>
      <c r="F2294" s="1" t="str">
        <f ca="1">IFERROR(__xludf.DUMMYFUNCTION("""COMPUTED_VALUE"""),"1.25 Venezuela")</f>
        <v>1.25 Venezuela</v>
      </c>
      <c r="G2294" s="1" t="str">
        <f ca="1">IFERROR(__xludf.DUMMYFUNCTION("""COMPUTED_VALUE"""),"Human Rights Defenders, Individuals At Risk")</f>
        <v>Human Rights Defenders, Individuals At Risk</v>
      </c>
      <c r="H2294" s="1" t="str">
        <f ca="1">IFERROR(__xludf.DUMMYFUNCTION("""COMPUTED_VALUE"""),"2025")</f>
        <v>2025</v>
      </c>
      <c r="I2294" s="1" t="str">
        <f ca="1">IFERROR(__xludf.DUMMYFUNCTION("""COMPUTED_VALUE"""),"Letter")</f>
        <v>Letter</v>
      </c>
    </row>
    <row r="2295" spans="1:9" ht="13" x14ac:dyDescent="0.15">
      <c r="A2295" s="9">
        <f ca="1">IFERROR(__xludf.DUMMYFUNCTION("""COMPUTED_VALUE"""),277210957)</f>
        <v>277210957</v>
      </c>
      <c r="B2295" s="1" t="str">
        <f ca="1">IFERROR(__xludf.DUMMYFUNCTION("""COMPUTED_VALUE"""),"michaelt@4sitestudios.com")</f>
        <v>michaelt@4sitestudios.com</v>
      </c>
      <c r="C2295" s="9" t="str">
        <f ca="1">IFERROR(__xludf.DUMMYFUNCTION("""COMPUTED_VALUE"""),"EVERGREEN - UAN Gated Content - Embedded Petition")</f>
        <v>EVERGREEN - UAN Gated Content - Embedded Petition</v>
      </c>
      <c r="D2295" s="10">
        <f ca="1">IFERROR(__xludf.DUMMYFUNCTION("""COMPUTED_VALUE"""),45491)</f>
        <v>45491</v>
      </c>
      <c r="E2295" s="1" t="str">
        <f ca="1">IFERROR(__xludf.DUMMYFUNCTION("""COMPUTED_VALUE"""),"Venezuela")</f>
        <v>Venezuela</v>
      </c>
      <c r="F2295" s="1" t="str">
        <f ca="1">IFERROR(__xludf.DUMMYFUNCTION("""COMPUTED_VALUE"""),"98.24 China")</f>
        <v>98.24 China</v>
      </c>
      <c r="G2295" s="1" t="str">
        <f ca="1">IFERROR(__xludf.DUMMYFUNCTION("""COMPUTED_VALUE"""),"Freedom of Expression, Individuals At Risk")</f>
        <v>Freedom of Expression, Individuals At Risk</v>
      </c>
      <c r="H2295" s="1" t="str">
        <f ca="1">IFERROR(__xludf.DUMMYFUNCTION("""COMPUTED_VALUE"""),"2024")</f>
        <v>2024</v>
      </c>
      <c r="I2295" s="1" t="str">
        <f ca="1">IFERROR(__xludf.DUMMYFUNCTION("""COMPUTED_VALUE"""),"Letter")</f>
        <v>Letter</v>
      </c>
    </row>
    <row r="2296" spans="1:9" ht="13" x14ac:dyDescent="0.15">
      <c r="A2296" s="9">
        <f ca="1">IFERROR(__xludf.DUMMYFUNCTION("""COMPUTED_VALUE"""),277210957)</f>
        <v>277210957</v>
      </c>
      <c r="B2296" s="1" t="str">
        <f ca="1">IFERROR(__xludf.DUMMYFUNCTION("""COMPUTED_VALUE"""),"michaelt@4sitestudios.com")</f>
        <v>michaelt@4sitestudios.com</v>
      </c>
      <c r="C2296" s="9" t="str">
        <f ca="1">IFERROR(__xludf.DUMMYFUNCTION("""COMPUTED_VALUE"""),"EVERGREEN - UAN Gated Content - Embedded Petition")</f>
        <v>EVERGREEN - UAN Gated Content - Embedded Petition</v>
      </c>
      <c r="D2296" s="10">
        <f ca="1">IFERROR(__xludf.DUMMYFUNCTION("""COMPUTED_VALUE"""),45497)</f>
        <v>45497</v>
      </c>
      <c r="E2296" s="1" t="str">
        <f ca="1">IFERROR(__xludf.DUMMYFUNCTION("""COMPUTED_VALUE"""),"China")</f>
        <v>China</v>
      </c>
      <c r="F2296" s="1" t="str">
        <f ca="1">IFERROR(__xludf.DUMMYFUNCTION("""COMPUTED_VALUE"""),"2.25 Azerbaijan")</f>
        <v>2.25 Azerbaijan</v>
      </c>
      <c r="G2296" s="1" t="str">
        <f ca="1">IFERROR(__xludf.DUMMYFUNCTION("""COMPUTED_VALUE"""),"Freedom of Expression, Human Rights Defenders")</f>
        <v>Freedom of Expression, Human Rights Defenders</v>
      </c>
      <c r="H2296" s="1" t="str">
        <f ca="1">IFERROR(__xludf.DUMMYFUNCTION("""COMPUTED_VALUE"""),"2025")</f>
        <v>2025</v>
      </c>
      <c r="I2296" s="1" t="str">
        <f ca="1">IFERROR(__xludf.DUMMYFUNCTION("""COMPUTED_VALUE"""),"Email")</f>
        <v>Email</v>
      </c>
    </row>
    <row r="2297" spans="1:9" ht="13" x14ac:dyDescent="0.15">
      <c r="A2297" s="9">
        <f ca="1">IFERROR(__xludf.DUMMYFUNCTION("""COMPUTED_VALUE"""),277501453)</f>
        <v>277501453</v>
      </c>
      <c r="B2297" s="1" t="str">
        <f ca="1">IFERROR(__xludf.DUMMYFUNCTION("""COMPUTED_VALUE"""),"dances.w.words@gmail.com")</f>
        <v>dances.w.words@gmail.com</v>
      </c>
      <c r="C2297" s="9" t="str">
        <f ca="1">IFERROR(__xludf.DUMMYFUNCTION("""COMPUTED_VALUE"""),"EVERGREEN - UAN Gated Content - Embedded Petition")</f>
        <v>EVERGREEN - UAN Gated Content - Embedded Petition</v>
      </c>
      <c r="D2297" s="10">
        <f ca="1">IFERROR(__xludf.DUMMYFUNCTION("""COMPUTED_VALUE"""),45636)</f>
        <v>45636</v>
      </c>
      <c r="E2297" s="1" t="str">
        <f ca="1">IFERROR(__xludf.DUMMYFUNCTION("""COMPUTED_VALUE"""),"Azerbaijan")</f>
        <v>Azerbaijan</v>
      </c>
      <c r="F2297" s="1" t="str">
        <f ca="1">IFERROR(__xludf.DUMMYFUNCTION("""COMPUTED_VALUE"""),"4.25 USA")</f>
        <v>4.25 USA</v>
      </c>
      <c r="G2297" s="1" t="str">
        <f ca="1">IFERROR(__xludf.DUMMYFUNCTION("""COMPUTED_VALUE"""),"Individuals At Risk, Refugee and Migrant Rights")</f>
        <v>Individuals At Risk, Refugee and Migrant Rights</v>
      </c>
      <c r="H2297" s="1" t="str">
        <f ca="1">IFERROR(__xludf.DUMMYFUNCTION("""COMPUTED_VALUE"""),"2025")</f>
        <v>2025</v>
      </c>
      <c r="I2297" s="1" t="str">
        <f ca="1">IFERROR(__xludf.DUMMYFUNCTION("""COMPUTED_VALUE"""),"Letter")</f>
        <v>Letter</v>
      </c>
    </row>
    <row r="2298" spans="1:9" ht="13" x14ac:dyDescent="0.15">
      <c r="A2298" s="9">
        <f ca="1">IFERROR(__xludf.DUMMYFUNCTION("""COMPUTED_VALUE"""),277501453)</f>
        <v>277501453</v>
      </c>
      <c r="B2298" s="1" t="str">
        <f ca="1">IFERROR(__xludf.DUMMYFUNCTION("""COMPUTED_VALUE"""),"dances.w.words@gmail.com")</f>
        <v>dances.w.words@gmail.com</v>
      </c>
      <c r="C2298" s="9" t="str">
        <f ca="1">IFERROR(__xludf.DUMMYFUNCTION("""COMPUTED_VALUE"""),"EVERGREEN - UAN Gated Content - Embedded Petition")</f>
        <v>EVERGREEN - UAN Gated Content - Embedded Petition</v>
      </c>
      <c r="D2298" s="10">
        <f ca="1">IFERROR(__xludf.DUMMYFUNCTION("""COMPUTED_VALUE"""),45694)</f>
        <v>45694</v>
      </c>
      <c r="E2298" s="1" t="str">
        <f ca="1">IFERROR(__xludf.DUMMYFUNCTION("""COMPUTED_VALUE"""),"USA")</f>
        <v>USA</v>
      </c>
      <c r="F2298" s="1" t="str">
        <f ca="1">IFERROR(__xludf.DUMMYFUNCTION("""COMPUTED_VALUE"""),"Fourth 55.24 USA")</f>
        <v>Fourth 55.24 USA</v>
      </c>
      <c r="G2298" s="1" t="str">
        <f ca="1">IFERROR(__xludf.DUMMYFUNCTION("""COMPUTED_VALUE"""),"Climate Justice, Individuals At Risk")</f>
        <v>Climate Justice, Individuals At Risk</v>
      </c>
      <c r="H2298" s="1" t="str">
        <f ca="1">IFERROR(__xludf.DUMMYFUNCTION("""COMPUTED_VALUE"""),"2025")</f>
        <v>2025</v>
      </c>
      <c r="I2298" s="1" t="str">
        <f ca="1">IFERROR(__xludf.DUMMYFUNCTION("""COMPUTED_VALUE"""),"Email")</f>
        <v>Email</v>
      </c>
    </row>
    <row r="2299" spans="1:9" ht="13" x14ac:dyDescent="0.15">
      <c r="A2299" s="9">
        <f ca="1">IFERROR(__xludf.DUMMYFUNCTION("""COMPUTED_VALUE"""),277501453)</f>
        <v>277501453</v>
      </c>
      <c r="B2299" s="1" t="str">
        <f ca="1">IFERROR(__xludf.DUMMYFUNCTION("""COMPUTED_VALUE"""),"dances.w.words@gmail.com")</f>
        <v>dances.w.words@gmail.com</v>
      </c>
      <c r="C2299" s="9" t="str">
        <f ca="1">IFERROR(__xludf.DUMMYFUNCTION("""COMPUTED_VALUE"""),"EVERGREEN - UAN Gated Content - Embedded Petition")</f>
        <v>EVERGREEN - UAN Gated Content - Embedded Petition</v>
      </c>
      <c r="D2299" s="10">
        <f ca="1">IFERROR(__xludf.DUMMYFUNCTION("""COMPUTED_VALUE"""),45694)</f>
        <v>45694</v>
      </c>
      <c r="E2299" s="1" t="str">
        <f ca="1">IFERROR(__xludf.DUMMYFUNCTION("""COMPUTED_VALUE"""),"USA")</f>
        <v>USA</v>
      </c>
      <c r="F2299" s="1" t="str">
        <f ca="1">IFERROR(__xludf.DUMMYFUNCTION("""COMPUTED_VALUE"""),"Third 73.23 Egypt")</f>
        <v>Third 73.23 Egypt</v>
      </c>
      <c r="G2299" s="1" t="str">
        <f ca="1">IFERROR(__xludf.DUMMYFUNCTION("""COMPUTED_VALUE"""),"Individuals At Risk")</f>
        <v>Individuals At Risk</v>
      </c>
      <c r="H2299" s="1" t="str">
        <f ca="1">IFERROR(__xludf.DUMMYFUNCTION("""COMPUTED_VALUE"""),"2024")</f>
        <v>2024</v>
      </c>
      <c r="I2299" s="1" t="str">
        <f ca="1">IFERROR(__xludf.DUMMYFUNCTION("""COMPUTED_VALUE"""),"Email")</f>
        <v>Email</v>
      </c>
    </row>
    <row r="2300" spans="1:9" ht="13" x14ac:dyDescent="0.15">
      <c r="A2300" s="9">
        <f ca="1">IFERROR(__xludf.DUMMYFUNCTION("""COMPUTED_VALUE"""),277642282)</f>
        <v>277642282</v>
      </c>
      <c r="B2300" s="1" t="str">
        <f ca="1">IFERROR(__xludf.DUMMYFUNCTION("""COMPUTED_VALUE"""),"gormsby@ooip.net")</f>
        <v>gormsby@ooip.net</v>
      </c>
      <c r="C2300" s="9" t="str">
        <f ca="1">IFERROR(__xludf.DUMMYFUNCTION("""COMPUTED_VALUE"""),"EVERGREEN - UAN Gated Content - Embedded Petition")</f>
        <v>EVERGREEN - UAN Gated Content - Embedded Petition</v>
      </c>
      <c r="D2300" s="10">
        <f ca="1">IFERROR(__xludf.DUMMYFUNCTION("""COMPUTED_VALUE"""),45676)</f>
        <v>45676</v>
      </c>
      <c r="E2300" s="1" t="str">
        <f ca="1">IFERROR(__xludf.DUMMYFUNCTION("""COMPUTED_VALUE"""),"Egypt")</f>
        <v>Egypt</v>
      </c>
      <c r="F2300" s="1" t="str">
        <f ca="1">IFERROR(__xludf.DUMMYFUNCTION("""COMPUTED_VALUE"""),"4.25 USA")</f>
        <v>4.25 USA</v>
      </c>
      <c r="G2300" s="1" t="str">
        <f ca="1">IFERROR(__xludf.DUMMYFUNCTION("""COMPUTED_VALUE"""),"Individuals At Risk, Refugee and Migrant Rights")</f>
        <v>Individuals At Risk, Refugee and Migrant Rights</v>
      </c>
      <c r="H2300" s="1" t="str">
        <f ca="1">IFERROR(__xludf.DUMMYFUNCTION("""COMPUTED_VALUE"""),"2025")</f>
        <v>2025</v>
      </c>
      <c r="I2300" s="1" t="str">
        <f ca="1">IFERROR(__xludf.DUMMYFUNCTION("""COMPUTED_VALUE"""),"Letter")</f>
        <v>Letter</v>
      </c>
    </row>
    <row r="2301" spans="1:9" ht="13" x14ac:dyDescent="0.15">
      <c r="A2301" s="9">
        <f ca="1">IFERROR(__xludf.DUMMYFUNCTION("""COMPUTED_VALUE"""),277642282)</f>
        <v>277642282</v>
      </c>
      <c r="B2301" s="1" t="str">
        <f ca="1">IFERROR(__xludf.DUMMYFUNCTION("""COMPUTED_VALUE"""),"gormsby@ooip.net")</f>
        <v>gormsby@ooip.net</v>
      </c>
      <c r="C2301" s="9" t="str">
        <f ca="1">IFERROR(__xludf.DUMMYFUNCTION("""COMPUTED_VALUE"""),"EVERGREEN - UAN Gated Content - Embedded Petition")</f>
        <v>EVERGREEN - UAN Gated Content - Embedded Petition</v>
      </c>
      <c r="D2301" s="10">
        <f ca="1">IFERROR(__xludf.DUMMYFUNCTION("""COMPUTED_VALUE"""),45676)</f>
        <v>45676</v>
      </c>
      <c r="E2301" s="1" t="str">
        <f ca="1">IFERROR(__xludf.DUMMYFUNCTION("""COMPUTED_VALUE"""),"USA")</f>
        <v>USA</v>
      </c>
      <c r="F2301" s="1" t="str">
        <f ca="1">IFERROR(__xludf.DUMMYFUNCTION("""COMPUTED_VALUE"""),"1.25 Venezuela")</f>
        <v>1.25 Venezuela</v>
      </c>
      <c r="G2301" s="1" t="str">
        <f ca="1">IFERROR(__xludf.DUMMYFUNCTION("""COMPUTED_VALUE"""),"Human Rights Defenders, Individuals At Risk")</f>
        <v>Human Rights Defenders, Individuals At Risk</v>
      </c>
      <c r="H2301" s="1" t="str">
        <f ca="1">IFERROR(__xludf.DUMMYFUNCTION("""COMPUTED_VALUE"""),"2025")</f>
        <v>2025</v>
      </c>
      <c r="I2301" s="1" t="str">
        <f ca="1">IFERROR(__xludf.DUMMYFUNCTION("""COMPUTED_VALUE"""),"Letter")</f>
        <v>Letter</v>
      </c>
    </row>
    <row r="2302" spans="1:9" ht="13" x14ac:dyDescent="0.15">
      <c r="A2302" s="9">
        <f ca="1">IFERROR(__xludf.DUMMYFUNCTION("""COMPUTED_VALUE"""),277642282)</f>
        <v>277642282</v>
      </c>
      <c r="B2302" s="1" t="str">
        <f ca="1">IFERROR(__xludf.DUMMYFUNCTION("""COMPUTED_VALUE"""),"gormsby@ooip.net")</f>
        <v>gormsby@ooip.net</v>
      </c>
      <c r="C2302" s="9" t="str">
        <f ca="1">IFERROR(__xludf.DUMMYFUNCTION("""COMPUTED_VALUE"""),"EVERGREEN - UAN Gated Content - Embedded Petition")</f>
        <v>EVERGREEN - UAN Gated Content - Embedded Petition</v>
      </c>
      <c r="D2302" s="10">
        <f ca="1">IFERROR(__xludf.DUMMYFUNCTION("""COMPUTED_VALUE"""),45676)</f>
        <v>45676</v>
      </c>
      <c r="E2302" s="1" t="str">
        <f ca="1">IFERROR(__xludf.DUMMYFUNCTION("""COMPUTED_VALUE"""),"Venezuela")</f>
        <v>Venezuela</v>
      </c>
      <c r="F2302" s="1" t="str">
        <f ca="1">IFERROR(__xludf.DUMMYFUNCTION("""COMPUTED_VALUE"""),"4.25 USA")</f>
        <v>4.25 USA</v>
      </c>
      <c r="G2302" s="1" t="str">
        <f ca="1">IFERROR(__xludf.DUMMYFUNCTION("""COMPUTED_VALUE"""),"Individuals At Risk, Refugee and Migrant Rights")</f>
        <v>Individuals At Risk, Refugee and Migrant Rights</v>
      </c>
      <c r="H2302" s="1" t="str">
        <f ca="1">IFERROR(__xludf.DUMMYFUNCTION("""COMPUTED_VALUE"""),"2025")</f>
        <v>2025</v>
      </c>
      <c r="I2302" s="1" t="str">
        <f ca="1">IFERROR(__xludf.DUMMYFUNCTION("""COMPUTED_VALUE"""),"Letter")</f>
        <v>Letter</v>
      </c>
    </row>
    <row r="2303" spans="1:9" ht="13" x14ac:dyDescent="0.15">
      <c r="A2303" s="9">
        <f ca="1">IFERROR(__xludf.DUMMYFUNCTION("""COMPUTED_VALUE"""),277642282)</f>
        <v>277642282</v>
      </c>
      <c r="B2303" s="1" t="str">
        <f ca="1">IFERROR(__xludf.DUMMYFUNCTION("""COMPUTED_VALUE"""),"gormsby@ooip.net")</f>
        <v>gormsby@ooip.net</v>
      </c>
      <c r="C2303" s="9" t="str">
        <f ca="1">IFERROR(__xludf.DUMMYFUNCTION("""COMPUTED_VALUE"""),"EVERGREEN - UAN Gated Content - Embedded Petition")</f>
        <v>EVERGREEN - UAN Gated Content - Embedded Petition</v>
      </c>
      <c r="D2303" s="10">
        <f ca="1">IFERROR(__xludf.DUMMYFUNCTION("""COMPUTED_VALUE"""),45696)</f>
        <v>45696</v>
      </c>
      <c r="E2303" s="1" t="str">
        <f ca="1">IFERROR(__xludf.DUMMYFUNCTION("""COMPUTED_VALUE"""),"USA")</f>
        <v>USA</v>
      </c>
      <c r="F2303" s="1" t="str">
        <f ca="1">IFERROR(__xludf.DUMMYFUNCTION("""COMPUTED_VALUE"""),"4.25 USA")</f>
        <v>4.25 USA</v>
      </c>
      <c r="G2303" s="1" t="str">
        <f ca="1">IFERROR(__xludf.DUMMYFUNCTION("""COMPUTED_VALUE"""),"Individuals At Risk, Refugee and Migrant Rights")</f>
        <v>Individuals At Risk, Refugee and Migrant Rights</v>
      </c>
      <c r="H2303" s="1" t="str">
        <f ca="1">IFERROR(__xludf.DUMMYFUNCTION("""COMPUTED_VALUE"""),"2025")</f>
        <v>2025</v>
      </c>
      <c r="I2303" s="1" t="str">
        <f ca="1">IFERROR(__xludf.DUMMYFUNCTION("""COMPUTED_VALUE"""),"Letter")</f>
        <v>Letter</v>
      </c>
    </row>
    <row r="2304" spans="1:9" ht="13" x14ac:dyDescent="0.15">
      <c r="A2304" s="9">
        <f ca="1">IFERROR(__xludf.DUMMYFUNCTION("""COMPUTED_VALUE"""),277717328)</f>
        <v>277717328</v>
      </c>
      <c r="B2304" s="1" t="str">
        <f ca="1">IFERROR(__xludf.DUMMYFUNCTION("""COMPUTED_VALUE"""),"mggrunow@gmail.com")</f>
        <v>mggrunow@gmail.com</v>
      </c>
      <c r="C2304" s="9" t="str">
        <f ca="1">IFERROR(__xludf.DUMMYFUNCTION("""COMPUTED_VALUE"""),"EVERGREEN - UAN Gated Content - Embedded Petition")</f>
        <v>EVERGREEN - UAN Gated Content - Embedded Petition</v>
      </c>
      <c r="D2304" s="10">
        <f ca="1">IFERROR(__xludf.DUMMYFUNCTION("""COMPUTED_VALUE"""),45679)</f>
        <v>45679</v>
      </c>
      <c r="E2304" s="1" t="str">
        <f ca="1">IFERROR(__xludf.DUMMYFUNCTION("""COMPUTED_VALUE"""),"USA")</f>
        <v>USA</v>
      </c>
      <c r="F2304" s="1" t="str">
        <f ca="1">IFERROR(__xludf.DUMMYFUNCTION("""COMPUTED_VALUE"""),"Third 12.24 Colombia")</f>
        <v>Third 12.24 Colombia</v>
      </c>
      <c r="G2304" s="1" t="str">
        <f ca="1">IFERROR(__xludf.DUMMYFUNCTION("""COMPUTED_VALUE"""),"Human Rights Defenders, Individuals At Risk")</f>
        <v>Human Rights Defenders, Individuals At Risk</v>
      </c>
      <c r="H2304" s="1" t="str">
        <f ca="1">IFERROR(__xludf.DUMMYFUNCTION("""COMPUTED_VALUE"""),"2025")</f>
        <v>2025</v>
      </c>
      <c r="I2304" s="1" t="str">
        <f ca="1">IFERROR(__xludf.DUMMYFUNCTION("""COMPUTED_VALUE"""),"Email")</f>
        <v>Email</v>
      </c>
    </row>
    <row r="2305" spans="1:9" ht="13" x14ac:dyDescent="0.15">
      <c r="A2305" s="9">
        <f ca="1">IFERROR(__xludf.DUMMYFUNCTION("""COMPUTED_VALUE"""),277721360)</f>
        <v>277721360</v>
      </c>
      <c r="B2305" s="1" t="str">
        <f ca="1">IFERROR(__xludf.DUMMYFUNCTION("""COMPUTED_VALUE"""),"michaelthomas372@gmail.com")</f>
        <v>michaelthomas372@gmail.com</v>
      </c>
      <c r="C2305" s="9" t="str">
        <f ca="1">IFERROR(__xludf.DUMMYFUNCTION("""COMPUTED_VALUE"""),"EVERGREEN - UAN Gated Content - Embedded Petition")</f>
        <v>EVERGREEN - UAN Gated Content - Embedded Petition</v>
      </c>
      <c r="D2305" s="10">
        <f ca="1">IFERROR(__xludf.DUMMYFUNCTION("""COMPUTED_VALUE"""),45495)</f>
        <v>45495</v>
      </c>
      <c r="E2305" s="1" t="str">
        <f ca="1">IFERROR(__xludf.DUMMYFUNCTION("""COMPUTED_VALUE"""),"Colombia")</f>
        <v>Colombia</v>
      </c>
      <c r="F2305" s="1" t="str">
        <f ca="1">IFERROR(__xludf.DUMMYFUNCTION("""COMPUTED_VALUE"""),"4.25 USA")</f>
        <v>4.25 USA</v>
      </c>
      <c r="G2305" s="1" t="str">
        <f ca="1">IFERROR(__xludf.DUMMYFUNCTION("""COMPUTED_VALUE"""),"Individuals At Risk, Refugee and Migrant Rights")</f>
        <v>Individuals At Risk, Refugee and Migrant Rights</v>
      </c>
      <c r="H2305" s="1" t="str">
        <f ca="1">IFERROR(__xludf.DUMMYFUNCTION("""COMPUTED_VALUE"""),"2025")</f>
        <v>2025</v>
      </c>
      <c r="I2305" s="1" t="str">
        <f ca="1">IFERROR(__xludf.DUMMYFUNCTION("""COMPUTED_VALUE"""),"Letter")</f>
        <v>Letter</v>
      </c>
    </row>
    <row r="2306" spans="1:9" ht="13" x14ac:dyDescent="0.15">
      <c r="A2306" s="9">
        <f ca="1">IFERROR(__xludf.DUMMYFUNCTION("""COMPUTED_VALUE"""),277779457)</f>
        <v>277779457</v>
      </c>
      <c r="B2306" s="1" t="str">
        <f ca="1">IFERROR(__xludf.DUMMYFUNCTION("""COMPUTED_VALUE"""),"hgarrett@nkc.org")</f>
        <v>hgarrett@nkc.org</v>
      </c>
      <c r="C2306" s="9" t="str">
        <f ca="1">IFERROR(__xludf.DUMMYFUNCTION("""COMPUTED_VALUE"""),"EVERGREEN - UAN Gated Content - Embedded Petition")</f>
        <v>EVERGREEN - UAN Gated Content - Embedded Petition</v>
      </c>
      <c r="D2306" s="10">
        <f ca="1">IFERROR(__xludf.DUMMYFUNCTION("""COMPUTED_VALUE"""),45700)</f>
        <v>45700</v>
      </c>
      <c r="E2306" s="1" t="str">
        <f ca="1">IFERROR(__xludf.DUMMYFUNCTION("""COMPUTED_VALUE"""),"USA")</f>
        <v>USA</v>
      </c>
      <c r="F2306" s="1" t="str">
        <f ca="1">IFERROR(__xludf.DUMMYFUNCTION("""COMPUTED_VALUE"""),"3.25 IOPT")</f>
        <v>3.25 IOPT</v>
      </c>
      <c r="G2306" s="1" t="str">
        <f ca="1">IFERROR(__xludf.DUMMYFUNCTION("""COMPUTED_VALUE"""),"Freedom of Expression, Individuals At Risk")</f>
        <v>Freedom of Expression, Individuals At Risk</v>
      </c>
      <c r="H2306" s="1" t="str">
        <f ca="1">IFERROR(__xludf.DUMMYFUNCTION("""COMPUTED_VALUE"""),"2025")</f>
        <v>2025</v>
      </c>
      <c r="I2306" s="1" t="str">
        <f ca="1">IFERROR(__xludf.DUMMYFUNCTION("""COMPUTED_VALUE"""),"Email")</f>
        <v>Email</v>
      </c>
    </row>
    <row r="2307" spans="1:9" ht="13" x14ac:dyDescent="0.15">
      <c r="A2307" s="9">
        <f ca="1">IFERROR(__xludf.DUMMYFUNCTION("""COMPUTED_VALUE"""),277856377)</f>
        <v>277856377</v>
      </c>
      <c r="B2307" s="1" t="str">
        <f ca="1">IFERROR(__xludf.DUMMYFUNCTION("""COMPUTED_VALUE"""),"mpalowoda@yahoo.com")</f>
        <v>mpalowoda@yahoo.com</v>
      </c>
      <c r="C2307" s="9" t="str">
        <f ca="1">IFERROR(__xludf.DUMMYFUNCTION("""COMPUTED_VALUE"""),"EVERGREEN - UAN Gated Content - Embedded Petition")</f>
        <v>EVERGREEN - UAN Gated Content - Embedded Petition</v>
      </c>
      <c r="D2307" s="10">
        <f ca="1">IFERROR(__xludf.DUMMYFUNCTION("""COMPUTED_VALUE"""),45695)</f>
        <v>45695</v>
      </c>
      <c r="E2307" s="1" t="str">
        <f ca="1">IFERROR(__xludf.DUMMYFUNCTION("""COMPUTED_VALUE"""),"Israel and Occupied Palestinian Territories")</f>
        <v>Israel and Occupied Palestinian Territories</v>
      </c>
      <c r="F2307" s="1" t="str">
        <f ca="1">IFERROR(__xludf.DUMMYFUNCTION("""COMPUTED_VALUE"""),"2.25 Azerbaijan")</f>
        <v>2.25 Azerbaijan</v>
      </c>
      <c r="G2307" s="1" t="str">
        <f ca="1">IFERROR(__xludf.DUMMYFUNCTION("""COMPUTED_VALUE"""),"Freedom of Expression, Human Rights Defenders")</f>
        <v>Freedom of Expression, Human Rights Defenders</v>
      </c>
      <c r="H2307" s="1" t="str">
        <f ca="1">IFERROR(__xludf.DUMMYFUNCTION("""COMPUTED_VALUE"""),"2025")</f>
        <v>2025</v>
      </c>
      <c r="I2307" s="1" t="str">
        <f ca="1">IFERROR(__xludf.DUMMYFUNCTION("""COMPUTED_VALUE"""),"Email")</f>
        <v>Email</v>
      </c>
    </row>
    <row r="2308" spans="1:9" ht="13" x14ac:dyDescent="0.15">
      <c r="A2308" s="9">
        <f ca="1">IFERROR(__xludf.DUMMYFUNCTION("""COMPUTED_VALUE"""),277856377)</f>
        <v>277856377</v>
      </c>
      <c r="B2308" s="1" t="str">
        <f ca="1">IFERROR(__xludf.DUMMYFUNCTION("""COMPUTED_VALUE"""),"mpalowoda@yahoo.com")</f>
        <v>mpalowoda@yahoo.com</v>
      </c>
      <c r="C2308" s="9" t="str">
        <f ca="1">IFERROR(__xludf.DUMMYFUNCTION("""COMPUTED_VALUE"""),"EVERGREEN - UAN Gated Content - Embedded Petition")</f>
        <v>EVERGREEN - UAN Gated Content - Embedded Petition</v>
      </c>
      <c r="D2308" s="10">
        <f ca="1">IFERROR(__xludf.DUMMYFUNCTION("""COMPUTED_VALUE"""),45702)</f>
        <v>45702</v>
      </c>
      <c r="E2308" s="1" t="str">
        <f ca="1">IFERROR(__xludf.DUMMYFUNCTION("""COMPUTED_VALUE"""),"Azerbaijan")</f>
        <v>Azerbaijan</v>
      </c>
      <c r="F2308" s="1" t="str">
        <f ca="1">IFERROR(__xludf.DUMMYFUNCTION("""COMPUTED_VALUE"""),"4.25 USA")</f>
        <v>4.25 USA</v>
      </c>
      <c r="G2308" s="1" t="str">
        <f ca="1">IFERROR(__xludf.DUMMYFUNCTION("""COMPUTED_VALUE"""),"Individuals At Risk, Refugee and Migrant Rights")</f>
        <v>Individuals At Risk, Refugee and Migrant Rights</v>
      </c>
      <c r="H2308" s="1" t="str">
        <f ca="1">IFERROR(__xludf.DUMMYFUNCTION("""COMPUTED_VALUE"""),"2025")</f>
        <v>2025</v>
      </c>
      <c r="I2308" s="1" t="str">
        <f ca="1">IFERROR(__xludf.DUMMYFUNCTION("""COMPUTED_VALUE"""),"Letter")</f>
        <v>Letter</v>
      </c>
    </row>
    <row r="2309" spans="1:9" ht="13" x14ac:dyDescent="0.15">
      <c r="A2309" s="9">
        <f ca="1">IFERROR(__xludf.DUMMYFUNCTION("""COMPUTED_VALUE"""),278450157)</f>
        <v>278450157</v>
      </c>
      <c r="B2309" s="1" t="str">
        <f ca="1">IFERROR(__xludf.DUMMYFUNCTION("""COMPUTED_VALUE"""),"jasirisjd@gmail.com")</f>
        <v>jasirisjd@gmail.com</v>
      </c>
      <c r="C2309" s="9" t="str">
        <f ca="1">IFERROR(__xludf.DUMMYFUNCTION("""COMPUTED_VALUE"""),"EVERGREEN - UAN Gated Content - Embedded Petition")</f>
        <v>EVERGREEN - UAN Gated Content - Embedded Petition</v>
      </c>
      <c r="D2309" s="10">
        <f ca="1">IFERROR(__xludf.DUMMYFUNCTION("""COMPUTED_VALUE"""),45701)</f>
        <v>45701</v>
      </c>
      <c r="E2309" s="1" t="str">
        <f ca="1">IFERROR(__xludf.DUMMYFUNCTION("""COMPUTED_VALUE"""),"USA")</f>
        <v>USA</v>
      </c>
      <c r="F2309" s="1" t="str">
        <f ca="1">IFERROR(__xludf.DUMMYFUNCTION("""COMPUTED_VALUE"""),"2.25 Azerbaijan")</f>
        <v>2.25 Azerbaijan</v>
      </c>
      <c r="G2309" s="1" t="str">
        <f ca="1">IFERROR(__xludf.DUMMYFUNCTION("""COMPUTED_VALUE"""),"Freedom of Expression, Human Rights Defenders")</f>
        <v>Freedom of Expression, Human Rights Defenders</v>
      </c>
      <c r="H2309" s="1" t="str">
        <f ca="1">IFERROR(__xludf.DUMMYFUNCTION("""COMPUTED_VALUE"""),"2025")</f>
        <v>2025</v>
      </c>
      <c r="I2309" s="1" t="str">
        <f ca="1">IFERROR(__xludf.DUMMYFUNCTION("""COMPUTED_VALUE"""),"Email")</f>
        <v>Email</v>
      </c>
    </row>
    <row r="2310" spans="1:9" ht="13" x14ac:dyDescent="0.15">
      <c r="A2310" s="9">
        <f ca="1">IFERROR(__xludf.DUMMYFUNCTION("""COMPUTED_VALUE"""),279024728)</f>
        <v>279024728</v>
      </c>
      <c r="B2310" s="1" t="str">
        <f ca="1">IFERROR(__xludf.DUMMYFUNCTION("""COMPUTED_VALUE"""),"elsavoelcker1@gmail.com")</f>
        <v>elsavoelcker1@gmail.com</v>
      </c>
      <c r="C2310" s="9" t="str">
        <f ca="1">IFERROR(__xludf.DUMMYFUNCTION("""COMPUTED_VALUE"""),"EVERGREEN - UAN Gated Content - Embedded Petition")</f>
        <v>EVERGREEN - UAN Gated Content - Embedded Petition</v>
      </c>
      <c r="D2310" s="10">
        <f ca="1">IFERROR(__xludf.DUMMYFUNCTION("""COMPUTED_VALUE"""),45697)</f>
        <v>45697</v>
      </c>
      <c r="E2310" s="1" t="str">
        <f ca="1">IFERROR(__xludf.DUMMYFUNCTION("""COMPUTED_VALUE"""),"Azerbaijan")</f>
        <v>Azerbaijan</v>
      </c>
      <c r="F2310" s="1" t="str">
        <f ca="1">IFERROR(__xludf.DUMMYFUNCTION("""COMPUTED_VALUE"""),"4.25 USA")</f>
        <v>4.25 USA</v>
      </c>
      <c r="G2310" s="1" t="str">
        <f ca="1">IFERROR(__xludf.DUMMYFUNCTION("""COMPUTED_VALUE"""),"Individuals At Risk, Refugee and Migrant Rights")</f>
        <v>Individuals At Risk, Refugee and Migrant Rights</v>
      </c>
      <c r="H2310" s="1" t="str">
        <f ca="1">IFERROR(__xludf.DUMMYFUNCTION("""COMPUTED_VALUE"""),"2025")</f>
        <v>2025</v>
      </c>
      <c r="I2310" s="1" t="str">
        <f ca="1">IFERROR(__xludf.DUMMYFUNCTION("""COMPUTED_VALUE"""),"Letter")</f>
        <v>Letter</v>
      </c>
    </row>
    <row r="2311" spans="1:9" ht="13" x14ac:dyDescent="0.15">
      <c r="A2311" s="9">
        <f ca="1">IFERROR(__xludf.DUMMYFUNCTION("""COMPUTED_VALUE"""),279156421)</f>
        <v>279156421</v>
      </c>
      <c r="B2311" s="1" t="str">
        <f ca="1">IFERROR(__xludf.DUMMYFUNCTION("""COMPUTED_VALUE"""),"bryan@4sitestuidos.com")</f>
        <v>bryan@4sitestuidos.com</v>
      </c>
      <c r="C2311" s="9" t="str">
        <f ca="1">IFERROR(__xludf.DUMMYFUNCTION("""COMPUTED_VALUE"""),"EVERGREEN - UAN Gated Content - Embedded Petition")</f>
        <v>EVERGREEN - UAN Gated Content - Embedded Petition</v>
      </c>
      <c r="D2311" s="10">
        <f ca="1">IFERROR(__xludf.DUMMYFUNCTION("""COMPUTED_VALUE"""),45496)</f>
        <v>45496</v>
      </c>
      <c r="E2311" s="1" t="str">
        <f ca="1">IFERROR(__xludf.DUMMYFUNCTION("""COMPUTED_VALUE"""),"USA")</f>
        <v>USA</v>
      </c>
      <c r="F2311" s="1" t="str">
        <f ca="1">IFERROR(__xludf.DUMMYFUNCTION("""COMPUTED_VALUE"""),"4.25 USA")</f>
        <v>4.25 USA</v>
      </c>
      <c r="G2311" s="1" t="str">
        <f ca="1">IFERROR(__xludf.DUMMYFUNCTION("""COMPUTED_VALUE"""),"Individuals At Risk, Refugee and Migrant Rights")</f>
        <v>Individuals At Risk, Refugee and Migrant Rights</v>
      </c>
      <c r="H2311" s="1" t="str">
        <f ca="1">IFERROR(__xludf.DUMMYFUNCTION("""COMPUTED_VALUE"""),"2025")</f>
        <v>2025</v>
      </c>
      <c r="I2311" s="1" t="str">
        <f ca="1">IFERROR(__xludf.DUMMYFUNCTION("""COMPUTED_VALUE"""),"Letter")</f>
        <v>Letter</v>
      </c>
    </row>
    <row r="2312" spans="1:9" ht="13" x14ac:dyDescent="0.15">
      <c r="A2312" s="9">
        <f ca="1">IFERROR(__xludf.DUMMYFUNCTION("""COMPUTED_VALUE"""),279190366)</f>
        <v>279190366</v>
      </c>
      <c r="B2312" s="1" t="str">
        <f ca="1">IFERROR(__xludf.DUMMYFUNCTION("""COMPUTED_VALUE"""),"tara.bott@gmail.com")</f>
        <v>tara.bott@gmail.com</v>
      </c>
      <c r="C2312" s="9" t="str">
        <f ca="1">IFERROR(__xludf.DUMMYFUNCTION("""COMPUTED_VALUE"""),"EVERGREEN - UAN Gated Content - Embedded Petition")</f>
        <v>EVERGREEN - UAN Gated Content - Embedded Petition</v>
      </c>
      <c r="D2312" s="10">
        <f ca="1">IFERROR(__xludf.DUMMYFUNCTION("""COMPUTED_VALUE"""),45700)</f>
        <v>45700</v>
      </c>
      <c r="E2312" s="1" t="str">
        <f ca="1">IFERROR(__xludf.DUMMYFUNCTION("""COMPUTED_VALUE"""),"USA")</f>
        <v>USA</v>
      </c>
      <c r="F2312" s="1" t="str">
        <f ca="1">IFERROR(__xludf.DUMMYFUNCTION("""COMPUTED_VALUE"""),"Second 76.24 Tunisia")</f>
        <v>Second 76.24 Tunisia</v>
      </c>
      <c r="G2312" s="1" t="str">
        <f ca="1">IFERROR(__xludf.DUMMYFUNCTION("""COMPUTED_VALUE"""),"Freedom of Expression, Human Rights Defenders")</f>
        <v>Freedom of Expression, Human Rights Defenders</v>
      </c>
      <c r="H2312" s="1" t="str">
        <f ca="1">IFERROR(__xludf.DUMMYFUNCTION("""COMPUTED_VALUE"""),"2025")</f>
        <v>2025</v>
      </c>
      <c r="I2312" s="1" t="str">
        <f ca="1">IFERROR(__xludf.DUMMYFUNCTION("""COMPUTED_VALUE"""),"Email")</f>
        <v>Email</v>
      </c>
    </row>
    <row r="2313" spans="1:9" ht="13" x14ac:dyDescent="0.15">
      <c r="A2313" s="9">
        <f ca="1">IFERROR(__xludf.DUMMYFUNCTION("""COMPUTED_VALUE"""),279190366)</f>
        <v>279190366</v>
      </c>
      <c r="B2313" s="1" t="str">
        <f ca="1">IFERROR(__xludf.DUMMYFUNCTION("""COMPUTED_VALUE"""),"tara.bott@gmail.com")</f>
        <v>tara.bott@gmail.com</v>
      </c>
      <c r="C2313" s="9" t="str">
        <f ca="1">IFERROR(__xludf.DUMMYFUNCTION("""COMPUTED_VALUE"""),"EVERGREEN - UAN Gated Content - Embedded Petition")</f>
        <v>EVERGREEN - UAN Gated Content - Embedded Petition</v>
      </c>
      <c r="D2313" s="10">
        <f ca="1">IFERROR(__xludf.DUMMYFUNCTION("""COMPUTED_VALUE"""),45683)</f>
        <v>45683</v>
      </c>
      <c r="E2313" s="1" t="str">
        <f ca="1">IFERROR(__xludf.DUMMYFUNCTION("""COMPUTED_VALUE"""),"Tunisia")</f>
        <v>Tunisia</v>
      </c>
      <c r="F2313" s="1" t="str">
        <f ca="1">IFERROR(__xludf.DUMMYFUNCTION("""COMPUTED_VALUE"""),"Second 76.24 Tunisia")</f>
        <v>Second 76.24 Tunisia</v>
      </c>
      <c r="G2313" s="1" t="str">
        <f ca="1">IFERROR(__xludf.DUMMYFUNCTION("""COMPUTED_VALUE"""),"Freedom of Expression, Human Rights Defenders")</f>
        <v>Freedom of Expression, Human Rights Defenders</v>
      </c>
      <c r="H2313" s="1" t="str">
        <f ca="1">IFERROR(__xludf.DUMMYFUNCTION("""COMPUTED_VALUE"""),"2025")</f>
        <v>2025</v>
      </c>
      <c r="I2313" s="1" t="str">
        <f ca="1">IFERROR(__xludf.DUMMYFUNCTION("""COMPUTED_VALUE"""),"Email")</f>
        <v>Email</v>
      </c>
    </row>
    <row r="2314" spans="1:9" ht="13" x14ac:dyDescent="0.15">
      <c r="A2314" s="9">
        <f ca="1">IFERROR(__xludf.DUMMYFUNCTION("""COMPUTED_VALUE"""),279190366)</f>
        <v>279190366</v>
      </c>
      <c r="B2314" s="1" t="str">
        <f ca="1">IFERROR(__xludf.DUMMYFUNCTION("""COMPUTED_VALUE"""),"tara.bott@gmail.com")</f>
        <v>tara.bott@gmail.com</v>
      </c>
      <c r="C2314" s="9" t="str">
        <f ca="1">IFERROR(__xludf.DUMMYFUNCTION("""COMPUTED_VALUE"""),"EVERGREEN - UAN Gated Content - Embedded Petition")</f>
        <v>EVERGREEN - UAN Gated Content - Embedded Petition</v>
      </c>
      <c r="D2314" s="10">
        <f ca="1">IFERROR(__xludf.DUMMYFUNCTION("""COMPUTED_VALUE"""),45683)</f>
        <v>45683</v>
      </c>
      <c r="E2314" s="1" t="str">
        <f ca="1">IFERROR(__xludf.DUMMYFUNCTION("""COMPUTED_VALUE"""),"Tunisia")</f>
        <v>Tunisia</v>
      </c>
      <c r="F2314" s="1" t="str">
        <f ca="1">IFERROR(__xludf.DUMMYFUNCTION("""COMPUTED_VALUE"""),"4.25 USA")</f>
        <v>4.25 USA</v>
      </c>
      <c r="G2314" s="1" t="str">
        <f ca="1">IFERROR(__xludf.DUMMYFUNCTION("""COMPUTED_VALUE"""),"Individuals At Risk, Refugee and Migrant Rights")</f>
        <v>Individuals At Risk, Refugee and Migrant Rights</v>
      </c>
      <c r="H2314" s="1" t="str">
        <f ca="1">IFERROR(__xludf.DUMMYFUNCTION("""COMPUTED_VALUE"""),"2025")</f>
        <v>2025</v>
      </c>
      <c r="I2314" s="1" t="str">
        <f ca="1">IFERROR(__xludf.DUMMYFUNCTION("""COMPUTED_VALUE"""),"Letter")</f>
        <v>Letter</v>
      </c>
    </row>
    <row r="2315" spans="1:9" ht="13" x14ac:dyDescent="0.15">
      <c r="A2315" s="9">
        <f ca="1">IFERROR(__xludf.DUMMYFUNCTION("""COMPUTED_VALUE"""),279218940)</f>
        <v>279218940</v>
      </c>
      <c r="B2315" s="1" t="str">
        <f ca="1">IFERROR(__xludf.DUMMYFUNCTION("""COMPUTED_VALUE"""),"lgoldman@aiusacs.org")</f>
        <v>lgoldman@aiusacs.org</v>
      </c>
      <c r="C2315" s="9" t="str">
        <f ca="1">IFERROR(__xludf.DUMMYFUNCTION("""COMPUTED_VALUE"""),"EVERGREEN - Website Email Capture Form - UAN Pre-Footer")</f>
        <v>EVERGREEN - Website Email Capture Form - UAN Pre-Footer</v>
      </c>
      <c r="D2315" s="10">
        <f ca="1">IFERROR(__xludf.DUMMYFUNCTION("""COMPUTED_VALUE"""),45643)</f>
        <v>45643</v>
      </c>
      <c r="E2315" s="1" t="str">
        <f ca="1">IFERROR(__xludf.DUMMYFUNCTION("""COMPUTED_VALUE"""),"USA")</f>
        <v>USA</v>
      </c>
      <c r="F2315" s="1" t="str">
        <f ca="1">IFERROR(__xludf.DUMMYFUNCTION("""COMPUTED_VALUE"""),"4.25 USA")</f>
        <v>4.25 USA</v>
      </c>
      <c r="G2315" s="1" t="str">
        <f ca="1">IFERROR(__xludf.DUMMYFUNCTION("""COMPUTED_VALUE"""),"Individuals At Risk, Refugee and Migrant Rights")</f>
        <v>Individuals At Risk, Refugee and Migrant Rights</v>
      </c>
      <c r="H2315" s="1" t="str">
        <f ca="1">IFERROR(__xludf.DUMMYFUNCTION("""COMPUTED_VALUE"""),"2025")</f>
        <v>2025</v>
      </c>
      <c r="I2315" s="1" t="str">
        <f ca="1">IFERROR(__xludf.DUMMYFUNCTION("""COMPUTED_VALUE"""),"Letter")</f>
        <v>Letter</v>
      </c>
    </row>
    <row r="2316" spans="1:9" ht="13" x14ac:dyDescent="0.15">
      <c r="A2316" s="9">
        <f ca="1">IFERROR(__xludf.DUMMYFUNCTION("""COMPUTED_VALUE"""),279256437)</f>
        <v>279256437</v>
      </c>
      <c r="B2316" s="1" t="str">
        <f ca="1">IFERROR(__xludf.DUMMYFUNCTION("""COMPUTED_VALUE"""),"tcalina@aiusacs.org")</f>
        <v>tcalina@aiusacs.org</v>
      </c>
      <c r="C2316" s="9" t="str">
        <f ca="1">IFERROR(__xludf.DUMMYFUNCTION("""COMPUTED_VALUE"""),"EVERGREEN - UAN Gated Content - Embedded Petition")</f>
        <v>EVERGREEN - UAN Gated Content - Embedded Petition</v>
      </c>
      <c r="D2316" s="10">
        <f ca="1">IFERROR(__xludf.DUMMYFUNCTION("""COMPUTED_VALUE"""),45696)</f>
        <v>45696</v>
      </c>
      <c r="E2316" s="1" t="str">
        <f ca="1">IFERROR(__xludf.DUMMYFUNCTION("""COMPUTED_VALUE"""),"USA")</f>
        <v>USA</v>
      </c>
      <c r="F2316" s="1" t="str">
        <f ca="1">IFERROR(__xludf.DUMMYFUNCTION("""COMPUTED_VALUE"""),"4.25 USA")</f>
        <v>4.25 USA</v>
      </c>
      <c r="G2316" s="1" t="str">
        <f ca="1">IFERROR(__xludf.DUMMYFUNCTION("""COMPUTED_VALUE"""),"Individuals At Risk, Refugee and Migrant Rights")</f>
        <v>Individuals At Risk, Refugee and Migrant Rights</v>
      </c>
      <c r="H2316" s="1" t="str">
        <f ca="1">IFERROR(__xludf.DUMMYFUNCTION("""COMPUTED_VALUE"""),"2025")</f>
        <v>2025</v>
      </c>
      <c r="I2316" s="1" t="str">
        <f ca="1">IFERROR(__xludf.DUMMYFUNCTION("""COMPUTED_VALUE"""),"Letter")</f>
        <v>Letter</v>
      </c>
    </row>
    <row r="2317" spans="1:9" ht="13" x14ac:dyDescent="0.15">
      <c r="A2317" s="9">
        <f ca="1">IFERROR(__xludf.DUMMYFUNCTION("""COMPUTED_VALUE"""),280840488)</f>
        <v>280840488</v>
      </c>
      <c r="B2317" s="1" t="str">
        <f ca="1">IFERROR(__xludf.DUMMYFUNCTION("""COMPUTED_VALUE"""),"deettdbuttimer@gmail.com")</f>
        <v>deettdbuttimer@gmail.com</v>
      </c>
      <c r="C2317" s="9" t="str">
        <f ca="1">IFERROR(__xludf.DUMMYFUNCTION("""COMPUTED_VALUE"""),"EVERGREEN - UAN Gated Content - Embedded Petition")</f>
        <v>EVERGREEN - UAN Gated Content - Embedded Petition</v>
      </c>
      <c r="D2317" s="10">
        <f ca="1">IFERROR(__xludf.DUMMYFUNCTION("""COMPUTED_VALUE"""),45691)</f>
        <v>45691</v>
      </c>
      <c r="E2317" s="1" t="str">
        <f ca="1">IFERROR(__xludf.DUMMYFUNCTION("""COMPUTED_VALUE"""),"USA")</f>
        <v>USA</v>
      </c>
      <c r="F2317" s="1" t="str">
        <f ca="1">IFERROR(__xludf.DUMMYFUNCTION("""COMPUTED_VALUE"""),"4.25 USA")</f>
        <v>4.25 USA</v>
      </c>
      <c r="G2317" s="1" t="str">
        <f ca="1">IFERROR(__xludf.DUMMYFUNCTION("""COMPUTED_VALUE"""),"Individuals At Risk, Refugee and Migrant Rights")</f>
        <v>Individuals At Risk, Refugee and Migrant Rights</v>
      </c>
      <c r="H2317" s="1" t="str">
        <f ca="1">IFERROR(__xludf.DUMMYFUNCTION("""COMPUTED_VALUE"""),"2025")</f>
        <v>2025</v>
      </c>
      <c r="I2317" s="1" t="str">
        <f ca="1">IFERROR(__xludf.DUMMYFUNCTION("""COMPUTED_VALUE"""),"Letter")</f>
        <v>Letter</v>
      </c>
    </row>
    <row r="2318" spans="1:9" ht="13" x14ac:dyDescent="0.15">
      <c r="A2318" s="9">
        <f ca="1">IFERROR(__xludf.DUMMYFUNCTION("""COMPUTED_VALUE"""),280913203)</f>
        <v>280913203</v>
      </c>
      <c r="B2318" s="1" t="str">
        <f ca="1">IFERROR(__xludf.DUMMYFUNCTION("""COMPUTED_VALUE"""),"ahennessey010@gmail.com")</f>
        <v>ahennessey010@gmail.com</v>
      </c>
      <c r="C2318" s="9" t="str">
        <f ca="1">IFERROR(__xludf.DUMMYFUNCTION("""COMPUTED_VALUE"""),"EVERGREEN - UAN Gated Content - Embedded Petition")</f>
        <v>EVERGREEN - UAN Gated Content - Embedded Petition</v>
      </c>
      <c r="D2318" s="10">
        <f ca="1">IFERROR(__xludf.DUMMYFUNCTION("""COMPUTED_VALUE"""),45680)</f>
        <v>45680</v>
      </c>
      <c r="E2318" s="1" t="str">
        <f ca="1">IFERROR(__xludf.DUMMYFUNCTION("""COMPUTED_VALUE"""),"USA")</f>
        <v>USA</v>
      </c>
      <c r="F2318" s="1" t="str">
        <f ca="1">IFERROR(__xludf.DUMMYFUNCTION("""COMPUTED_VALUE"""),"5.25 Colombia")</f>
        <v>5.25 Colombia</v>
      </c>
      <c r="G2318" s="1" t="str">
        <f ca="1">IFERROR(__xludf.DUMMYFUNCTION("""COMPUTED_VALUE"""),"Human Rights Defenders, Individuals At Risk")</f>
        <v>Human Rights Defenders, Individuals At Risk</v>
      </c>
      <c r="H2318" s="1" t="str">
        <f ca="1">IFERROR(__xludf.DUMMYFUNCTION("""COMPUTED_VALUE"""),"2025")</f>
        <v>2025</v>
      </c>
      <c r="I2318" s="1" t="str">
        <f ca="1">IFERROR(__xludf.DUMMYFUNCTION("""COMPUTED_VALUE"""),"Email")</f>
        <v>Email</v>
      </c>
    </row>
    <row r="2319" spans="1:9" ht="13" x14ac:dyDescent="0.15">
      <c r="A2319" s="9">
        <f ca="1">IFERROR(__xludf.DUMMYFUNCTION("""COMPUTED_VALUE"""),280964679)</f>
        <v>280964679</v>
      </c>
      <c r="B2319" s="1" t="str">
        <f ca="1">IFERROR(__xludf.DUMMYFUNCTION("""COMPUTED_VALUE"""),"areilly@aiusa.org")</f>
        <v>areilly@aiusa.org</v>
      </c>
      <c r="C2319" s="9" t="str">
        <f ca="1">IFERROR(__xludf.DUMMYFUNCTION("""COMPUTED_VALUE"""),"EVERGREEN - UAN Gated Content - Embedded Petition")</f>
        <v>EVERGREEN - UAN Gated Content - Embedded Petition</v>
      </c>
      <c r="D2319" s="10">
        <f ca="1">IFERROR(__xludf.DUMMYFUNCTION("""COMPUTED_VALUE"""),45686)</f>
        <v>45686</v>
      </c>
      <c r="E2319" s="1" t="str">
        <f ca="1">IFERROR(__xludf.DUMMYFUNCTION("""COMPUTED_VALUE"""),"Colombia")</f>
        <v>Colombia</v>
      </c>
      <c r="F2319" s="1" t="str">
        <f ca="1">IFERROR(__xludf.DUMMYFUNCTION("""COMPUTED_VALUE"""),"4.25 USA")</f>
        <v>4.25 USA</v>
      </c>
      <c r="G2319" s="1" t="str">
        <f ca="1">IFERROR(__xludf.DUMMYFUNCTION("""COMPUTED_VALUE"""),"Individuals At Risk, Refugee and Migrant Rights")</f>
        <v>Individuals At Risk, Refugee and Migrant Rights</v>
      </c>
      <c r="H2319" s="1" t="str">
        <f ca="1">IFERROR(__xludf.DUMMYFUNCTION("""COMPUTED_VALUE"""),"2025")</f>
        <v>2025</v>
      </c>
      <c r="I2319" s="1" t="str">
        <f ca="1">IFERROR(__xludf.DUMMYFUNCTION("""COMPUTED_VALUE"""),"Letter")</f>
        <v>Letter</v>
      </c>
    </row>
    <row r="2320" spans="1:9" ht="13" x14ac:dyDescent="0.15">
      <c r="A2320" s="9">
        <f ca="1">IFERROR(__xludf.DUMMYFUNCTION("""COMPUTED_VALUE"""),281267381)</f>
        <v>281267381</v>
      </c>
      <c r="B2320" s="1" t="str">
        <f ca="1">IFERROR(__xludf.DUMMYFUNCTION("""COMPUTED_VALUE"""),"tasleyma@yahoo.com")</f>
        <v>tasleyma@yahoo.com</v>
      </c>
      <c r="C2320" s="9" t="str">
        <f ca="1">IFERROR(__xludf.DUMMYFUNCTION("""COMPUTED_VALUE"""),"EVERGREEN - UAN Gated Content - Embedded Petition")</f>
        <v>EVERGREEN - UAN Gated Content - Embedded Petition</v>
      </c>
      <c r="D2320" s="10">
        <f ca="1">IFERROR(__xludf.DUMMYFUNCTION("""COMPUTED_VALUE"""),45673)</f>
        <v>45673</v>
      </c>
      <c r="E2320" s="1" t="str">
        <f ca="1">IFERROR(__xludf.DUMMYFUNCTION("""COMPUTED_VALUE"""),"USA")</f>
        <v>USA</v>
      </c>
      <c r="F2320" s="1" t="str">
        <f ca="1">IFERROR(__xludf.DUMMYFUNCTION("""COMPUTED_VALUE"""),"4.25 USA")</f>
        <v>4.25 USA</v>
      </c>
      <c r="G2320" s="1" t="str">
        <f ca="1">IFERROR(__xludf.DUMMYFUNCTION("""COMPUTED_VALUE"""),"Individuals At Risk, Refugee and Migrant Rights")</f>
        <v>Individuals At Risk, Refugee and Migrant Rights</v>
      </c>
      <c r="H2320" s="1" t="str">
        <f ca="1">IFERROR(__xludf.DUMMYFUNCTION("""COMPUTED_VALUE"""),"2025")</f>
        <v>2025</v>
      </c>
      <c r="I2320" s="1" t="str">
        <f ca="1">IFERROR(__xludf.DUMMYFUNCTION("""COMPUTED_VALUE"""),"Letter")</f>
        <v>Letter</v>
      </c>
    </row>
    <row r="2321" spans="1:9" ht="13" x14ac:dyDescent="0.15">
      <c r="A2321" s="9">
        <f ca="1">IFERROR(__xludf.DUMMYFUNCTION("""COMPUTED_VALUE"""),281607345)</f>
        <v>281607345</v>
      </c>
      <c r="B2321" s="1" t="str">
        <f ca="1">IFERROR(__xludf.DUMMYFUNCTION("""COMPUTED_VALUE"""),"kkhb22@gmail.com")</f>
        <v>kkhb22@gmail.com</v>
      </c>
      <c r="C2321" s="9" t="str">
        <f ca="1">IFERROR(__xludf.DUMMYFUNCTION("""COMPUTED_VALUE"""),"EVERGREEN - UAN Gated Content - Embedded Petition")</f>
        <v>EVERGREEN - UAN Gated Content - Embedded Petition</v>
      </c>
      <c r="D2321" s="10">
        <f ca="1">IFERROR(__xludf.DUMMYFUNCTION("""COMPUTED_VALUE"""),45694)</f>
        <v>45694</v>
      </c>
      <c r="E2321" s="1" t="str">
        <f ca="1">IFERROR(__xludf.DUMMYFUNCTION("""COMPUTED_VALUE"""),"USA")</f>
        <v>USA</v>
      </c>
      <c r="F2321" s="1" t="str">
        <f ca="1">IFERROR(__xludf.DUMMYFUNCTION("""COMPUTED_VALUE"""),"4.25 USA")</f>
        <v>4.25 USA</v>
      </c>
      <c r="G2321" s="1" t="str">
        <f ca="1">IFERROR(__xludf.DUMMYFUNCTION("""COMPUTED_VALUE"""),"Individuals At Risk, Refugee and Migrant Rights")</f>
        <v>Individuals At Risk, Refugee and Migrant Rights</v>
      </c>
      <c r="H2321" s="1" t="str">
        <f ca="1">IFERROR(__xludf.DUMMYFUNCTION("""COMPUTED_VALUE"""),"2025")</f>
        <v>2025</v>
      </c>
      <c r="I2321" s="1" t="str">
        <f ca="1">IFERROR(__xludf.DUMMYFUNCTION("""COMPUTED_VALUE"""),"Letter")</f>
        <v>Letter</v>
      </c>
    </row>
    <row r="2322" spans="1:9" ht="13" x14ac:dyDescent="0.15">
      <c r="A2322" s="9">
        <f ca="1">IFERROR(__xludf.DUMMYFUNCTION("""COMPUTED_VALUE"""),282035070)</f>
        <v>282035070</v>
      </c>
      <c r="B2322" s="1" t="str">
        <f ca="1">IFERROR(__xludf.DUMMYFUNCTION("""COMPUTED_VALUE"""),"h.masazumi7017@outlook.jp")</f>
        <v>h.masazumi7017@outlook.jp</v>
      </c>
      <c r="C2322" s="9" t="str">
        <f ca="1">IFERROR(__xludf.DUMMYFUNCTION("""COMPUTED_VALUE"""),"EVERGREEN - UAN Gated Content - Embedded Petition")</f>
        <v>EVERGREEN - UAN Gated Content - Embedded Petition</v>
      </c>
      <c r="D2322" s="10">
        <f ca="1">IFERROR(__xludf.DUMMYFUNCTION("""COMPUTED_VALUE"""),45698)</f>
        <v>45698</v>
      </c>
      <c r="E2322" s="1" t="str">
        <f ca="1">IFERROR(__xludf.DUMMYFUNCTION("""COMPUTED_VALUE"""),"USA")</f>
        <v>USA</v>
      </c>
      <c r="F2322" s="1" t="str">
        <f ca="1">IFERROR(__xludf.DUMMYFUNCTION("""COMPUTED_VALUE"""),"4.25 USA")</f>
        <v>4.25 USA</v>
      </c>
      <c r="G2322" s="1" t="str">
        <f ca="1">IFERROR(__xludf.DUMMYFUNCTION("""COMPUTED_VALUE"""),"Individuals At Risk, Refugee and Migrant Rights")</f>
        <v>Individuals At Risk, Refugee and Migrant Rights</v>
      </c>
      <c r="H2322" s="1" t="str">
        <f ca="1">IFERROR(__xludf.DUMMYFUNCTION("""COMPUTED_VALUE"""),"2025")</f>
        <v>2025</v>
      </c>
      <c r="I2322" s="1" t="str">
        <f ca="1">IFERROR(__xludf.DUMMYFUNCTION("""COMPUTED_VALUE"""),"Letter")</f>
        <v>Letter</v>
      </c>
    </row>
    <row r="2323" spans="1:9" ht="13" x14ac:dyDescent="0.15">
      <c r="A2323" s="9">
        <f ca="1">IFERROR(__xludf.DUMMYFUNCTION("""COMPUTED_VALUE"""),282035070)</f>
        <v>282035070</v>
      </c>
      <c r="B2323" s="1" t="str">
        <f ca="1">IFERROR(__xludf.DUMMYFUNCTION("""COMPUTED_VALUE"""),"h.masazumi7017@outlook.jp")</f>
        <v>h.masazumi7017@outlook.jp</v>
      </c>
      <c r="C2323" s="9" t="str">
        <f ca="1">IFERROR(__xludf.DUMMYFUNCTION("""COMPUTED_VALUE"""),"EVERGREEN - UAN Gated Content - Embedded Petition")</f>
        <v>EVERGREEN - UAN Gated Content - Embedded Petition</v>
      </c>
      <c r="D2323" s="10">
        <f ca="1">IFERROR(__xludf.DUMMYFUNCTION("""COMPUTED_VALUE"""),45637)</f>
        <v>45637</v>
      </c>
      <c r="E2323" s="1" t="str">
        <f ca="1">IFERROR(__xludf.DUMMYFUNCTION("""COMPUTED_VALUE"""),"USA")</f>
        <v>USA</v>
      </c>
      <c r="F2323" s="1" t="str">
        <f ca="1">IFERROR(__xludf.DUMMYFUNCTION("""COMPUTED_VALUE"""),"4.25 USA")</f>
        <v>4.25 USA</v>
      </c>
      <c r="G2323" s="1" t="str">
        <f ca="1">IFERROR(__xludf.DUMMYFUNCTION("""COMPUTED_VALUE"""),"Individuals At Risk, Refugee and Migrant Rights")</f>
        <v>Individuals At Risk, Refugee and Migrant Rights</v>
      </c>
      <c r="H2323" s="1" t="str">
        <f ca="1">IFERROR(__xludf.DUMMYFUNCTION("""COMPUTED_VALUE"""),"2025")</f>
        <v>2025</v>
      </c>
      <c r="I2323" s="1" t="str">
        <f ca="1">IFERROR(__xludf.DUMMYFUNCTION("""COMPUTED_VALUE"""),"Letter")</f>
        <v>Letter</v>
      </c>
    </row>
    <row r="2324" spans="1:9" ht="13" x14ac:dyDescent="0.15">
      <c r="A2324" s="9">
        <f ca="1">IFERROR(__xludf.DUMMYFUNCTION("""COMPUTED_VALUE"""),282035070)</f>
        <v>282035070</v>
      </c>
      <c r="B2324" s="1" t="str">
        <f ca="1">IFERROR(__xludf.DUMMYFUNCTION("""COMPUTED_VALUE"""),"h.masazumi7017@outlook.jp")</f>
        <v>h.masazumi7017@outlook.jp</v>
      </c>
      <c r="C2324" s="9" t="str">
        <f ca="1">IFERROR(__xludf.DUMMYFUNCTION("""COMPUTED_VALUE"""),"EVERGREEN - UAN Gated Content - Embedded Petition")</f>
        <v>EVERGREEN - UAN Gated Content - Embedded Petition</v>
      </c>
      <c r="D2324" s="10">
        <f ca="1">IFERROR(__xludf.DUMMYFUNCTION("""COMPUTED_VALUE"""),45698)</f>
        <v>45698</v>
      </c>
      <c r="E2324" s="1" t="str">
        <f ca="1">IFERROR(__xludf.DUMMYFUNCTION("""COMPUTED_VALUE"""),"USA")</f>
        <v>USA</v>
      </c>
      <c r="F2324" s="1" t="str">
        <f ca="1">IFERROR(__xludf.DUMMYFUNCTION("""COMPUTED_VALUE"""),"4.25 USA")</f>
        <v>4.25 USA</v>
      </c>
      <c r="G2324" s="1" t="str">
        <f ca="1">IFERROR(__xludf.DUMMYFUNCTION("""COMPUTED_VALUE"""),"Individuals At Risk, Refugee and Migrant Rights")</f>
        <v>Individuals At Risk, Refugee and Migrant Rights</v>
      </c>
      <c r="H2324" s="1" t="str">
        <f ca="1">IFERROR(__xludf.DUMMYFUNCTION("""COMPUTED_VALUE"""),"2025")</f>
        <v>2025</v>
      </c>
      <c r="I2324" s="1" t="str">
        <f ca="1">IFERROR(__xludf.DUMMYFUNCTION("""COMPUTED_VALUE"""),"Letter")</f>
        <v>Letter</v>
      </c>
    </row>
    <row r="2325" spans="1:9" ht="13" x14ac:dyDescent="0.15">
      <c r="A2325" s="9">
        <f ca="1">IFERROR(__xludf.DUMMYFUNCTION("""COMPUTED_VALUE"""),282035070)</f>
        <v>282035070</v>
      </c>
      <c r="B2325" s="1" t="str">
        <f ca="1">IFERROR(__xludf.DUMMYFUNCTION("""COMPUTED_VALUE"""),"h.masazumi7017@outlook.jp")</f>
        <v>h.masazumi7017@outlook.jp</v>
      </c>
      <c r="C2325" s="9" t="str">
        <f ca="1">IFERROR(__xludf.DUMMYFUNCTION("""COMPUTED_VALUE"""),"EVERGREEN - UAN Gated Content - Embedded Petition")</f>
        <v>EVERGREEN - UAN Gated Content - Embedded Petition</v>
      </c>
      <c r="D2325" s="10">
        <f ca="1">IFERROR(__xludf.DUMMYFUNCTION("""COMPUTED_VALUE"""),45698)</f>
        <v>45698</v>
      </c>
      <c r="E2325" s="1" t="str">
        <f ca="1">IFERROR(__xludf.DUMMYFUNCTION("""COMPUTED_VALUE"""),"USA")</f>
        <v>USA</v>
      </c>
      <c r="F2325" s="1" t="str">
        <f ca="1">IFERROR(__xludf.DUMMYFUNCTION("""COMPUTED_VALUE"""),"4.25 USA")</f>
        <v>4.25 USA</v>
      </c>
      <c r="G2325" s="1" t="str">
        <f ca="1">IFERROR(__xludf.DUMMYFUNCTION("""COMPUTED_VALUE"""),"Individuals At Risk, Refugee and Migrant Rights")</f>
        <v>Individuals At Risk, Refugee and Migrant Rights</v>
      </c>
      <c r="H2325" s="1" t="str">
        <f ca="1">IFERROR(__xludf.DUMMYFUNCTION("""COMPUTED_VALUE"""),"2025")</f>
        <v>2025</v>
      </c>
      <c r="I2325" s="1" t="str">
        <f ca="1">IFERROR(__xludf.DUMMYFUNCTION("""COMPUTED_VALUE"""),"Letter")</f>
        <v>Letter</v>
      </c>
    </row>
    <row r="2326" spans="1:9" ht="13" x14ac:dyDescent="0.15">
      <c r="A2326" s="9">
        <f ca="1">IFERROR(__xludf.DUMMYFUNCTION("""COMPUTED_VALUE"""),282035070)</f>
        <v>282035070</v>
      </c>
      <c r="B2326" s="1" t="str">
        <f ca="1">IFERROR(__xludf.DUMMYFUNCTION("""COMPUTED_VALUE"""),"h.masazumi7017@outlook.jp")</f>
        <v>h.masazumi7017@outlook.jp</v>
      </c>
      <c r="C2326" s="9" t="str">
        <f ca="1">IFERROR(__xludf.DUMMYFUNCTION("""COMPUTED_VALUE"""),"EVERGREEN - UAN Gated Content - Embedded Petition")</f>
        <v>EVERGREEN - UAN Gated Content - Embedded Petition</v>
      </c>
      <c r="D2326" s="10">
        <f ca="1">IFERROR(__xludf.DUMMYFUNCTION("""COMPUTED_VALUE"""),45692)</f>
        <v>45692</v>
      </c>
      <c r="E2326" s="1" t="str">
        <f ca="1">IFERROR(__xludf.DUMMYFUNCTION("""COMPUTED_VALUE"""),"USA")</f>
        <v>USA</v>
      </c>
      <c r="F2326" s="1" t="str">
        <f ca="1">IFERROR(__xludf.DUMMYFUNCTION("""COMPUTED_VALUE"""),"4.25 USA")</f>
        <v>4.25 USA</v>
      </c>
      <c r="G2326" s="1" t="str">
        <f ca="1">IFERROR(__xludf.DUMMYFUNCTION("""COMPUTED_VALUE"""),"Individuals At Risk, Refugee and Migrant Rights")</f>
        <v>Individuals At Risk, Refugee and Migrant Rights</v>
      </c>
      <c r="H2326" s="1" t="str">
        <f ca="1">IFERROR(__xludf.DUMMYFUNCTION("""COMPUTED_VALUE"""),"2025")</f>
        <v>2025</v>
      </c>
      <c r="I2326" s="1" t="str">
        <f ca="1">IFERROR(__xludf.DUMMYFUNCTION("""COMPUTED_VALUE"""),"Letter")</f>
        <v>Letter</v>
      </c>
    </row>
    <row r="2327" spans="1:9" ht="13" x14ac:dyDescent="0.15">
      <c r="A2327" s="9">
        <f ca="1">IFERROR(__xludf.DUMMYFUNCTION("""COMPUTED_VALUE"""),282035070)</f>
        <v>282035070</v>
      </c>
      <c r="B2327" s="1" t="str">
        <f ca="1">IFERROR(__xludf.DUMMYFUNCTION("""COMPUTED_VALUE"""),"h.masazumi7017@outlook.jp")</f>
        <v>h.masazumi7017@outlook.jp</v>
      </c>
      <c r="C2327" s="9" t="str">
        <f ca="1">IFERROR(__xludf.DUMMYFUNCTION("""COMPUTED_VALUE"""),"EVERGREEN - UAN Gated Content - Embedded Petition")</f>
        <v>EVERGREEN - UAN Gated Content - Embedded Petition</v>
      </c>
      <c r="D2327" s="10">
        <f ca="1">IFERROR(__xludf.DUMMYFUNCTION("""COMPUTED_VALUE"""),45692)</f>
        <v>45692</v>
      </c>
      <c r="E2327" s="1" t="str">
        <f ca="1">IFERROR(__xludf.DUMMYFUNCTION("""COMPUTED_VALUE"""),"USA")</f>
        <v>USA</v>
      </c>
      <c r="F2327" s="1" t="str">
        <f ca="1">IFERROR(__xludf.DUMMYFUNCTION("""COMPUTED_VALUE"""),"4.25 USA")</f>
        <v>4.25 USA</v>
      </c>
      <c r="G2327" s="1" t="str">
        <f ca="1">IFERROR(__xludf.DUMMYFUNCTION("""COMPUTED_VALUE"""),"Individuals At Risk, Refugee and Migrant Rights")</f>
        <v>Individuals At Risk, Refugee and Migrant Rights</v>
      </c>
      <c r="H2327" s="1" t="str">
        <f ca="1">IFERROR(__xludf.DUMMYFUNCTION("""COMPUTED_VALUE"""),"2025")</f>
        <v>2025</v>
      </c>
      <c r="I2327" s="1" t="str">
        <f ca="1">IFERROR(__xludf.DUMMYFUNCTION("""COMPUTED_VALUE"""),"Letter")</f>
        <v>Letter</v>
      </c>
    </row>
    <row r="2328" spans="1:9" ht="13" x14ac:dyDescent="0.15">
      <c r="A2328" s="9">
        <f ca="1">IFERROR(__xludf.DUMMYFUNCTION("""COMPUTED_VALUE"""),282035070)</f>
        <v>282035070</v>
      </c>
      <c r="B2328" s="1" t="str">
        <f ca="1">IFERROR(__xludf.DUMMYFUNCTION("""COMPUTED_VALUE"""),"h.masazumi7017@outlook.jp")</f>
        <v>h.masazumi7017@outlook.jp</v>
      </c>
      <c r="C2328" s="9" t="str">
        <f ca="1">IFERROR(__xludf.DUMMYFUNCTION("""COMPUTED_VALUE"""),"EVERGREEN - UAN Gated Content - Embedded Petition")</f>
        <v>EVERGREEN - UAN Gated Content - Embedded Petition</v>
      </c>
      <c r="D2328" s="10">
        <f ca="1">IFERROR(__xludf.DUMMYFUNCTION("""COMPUTED_VALUE"""),45692)</f>
        <v>45692</v>
      </c>
      <c r="E2328" s="1" t="str">
        <f ca="1">IFERROR(__xludf.DUMMYFUNCTION("""COMPUTED_VALUE"""),"USA")</f>
        <v>USA</v>
      </c>
      <c r="F2328" s="1" t="str">
        <f ca="1">IFERROR(__xludf.DUMMYFUNCTION("""COMPUTED_VALUE"""),"Second 80.23 Egypt")</f>
        <v>Second 80.23 Egypt</v>
      </c>
      <c r="G2328" s="1" t="str">
        <f ca="1">IFERROR(__xludf.DUMMYFUNCTION("""COMPUTED_VALUE"""),"Health, Individuals At Risk")</f>
        <v>Health, Individuals At Risk</v>
      </c>
      <c r="H2328" s="1" t="str">
        <f ca="1">IFERROR(__xludf.DUMMYFUNCTION("""COMPUTED_VALUE"""),"2025")</f>
        <v>2025</v>
      </c>
      <c r="I2328" s="1" t="str">
        <f ca="1">IFERROR(__xludf.DUMMYFUNCTION("""COMPUTED_VALUE"""),"Email")</f>
        <v>Email</v>
      </c>
    </row>
    <row r="2329" spans="1:9" ht="13" x14ac:dyDescent="0.15">
      <c r="A2329" s="9">
        <f ca="1">IFERROR(__xludf.DUMMYFUNCTION("""COMPUTED_VALUE"""),282035070)</f>
        <v>282035070</v>
      </c>
      <c r="B2329" s="1" t="str">
        <f ca="1">IFERROR(__xludf.DUMMYFUNCTION("""COMPUTED_VALUE"""),"h.masazumi7017@outlook.jp")</f>
        <v>h.masazumi7017@outlook.jp</v>
      </c>
      <c r="C2329" s="9" t="str">
        <f ca="1">IFERROR(__xludf.DUMMYFUNCTION("""COMPUTED_VALUE"""),"EVERGREEN - UAN Gated Content - Embedded Petition")</f>
        <v>EVERGREEN - UAN Gated Content - Embedded Petition</v>
      </c>
      <c r="D2329" s="10">
        <f ca="1">IFERROR(__xludf.DUMMYFUNCTION("""COMPUTED_VALUE"""),45692)</f>
        <v>45692</v>
      </c>
      <c r="E2329" s="1" t="str">
        <f ca="1">IFERROR(__xludf.DUMMYFUNCTION("""COMPUTED_VALUE"""),"Egypt")</f>
        <v>Egypt</v>
      </c>
      <c r="F2329" s="1" t="str">
        <f ca="1">IFERROR(__xludf.DUMMYFUNCTION("""COMPUTED_VALUE"""),"4.25 USA")</f>
        <v>4.25 USA</v>
      </c>
      <c r="G2329" s="1" t="str">
        <f ca="1">IFERROR(__xludf.DUMMYFUNCTION("""COMPUTED_VALUE"""),"Individuals At Risk, Refugee and Migrant Rights")</f>
        <v>Individuals At Risk, Refugee and Migrant Rights</v>
      </c>
      <c r="H2329" s="1" t="str">
        <f ca="1">IFERROR(__xludf.DUMMYFUNCTION("""COMPUTED_VALUE"""),"2025")</f>
        <v>2025</v>
      </c>
      <c r="I2329" s="1" t="str">
        <f ca="1">IFERROR(__xludf.DUMMYFUNCTION("""COMPUTED_VALUE"""),"Letter")</f>
        <v>Letter</v>
      </c>
    </row>
    <row r="2330" spans="1:9" ht="13" x14ac:dyDescent="0.15">
      <c r="A2330" s="9">
        <f ca="1">IFERROR(__xludf.DUMMYFUNCTION("""COMPUTED_VALUE"""),282035070)</f>
        <v>282035070</v>
      </c>
      <c r="B2330" s="1" t="str">
        <f ca="1">IFERROR(__xludf.DUMMYFUNCTION("""COMPUTED_VALUE"""),"h.masazumi7017@outlook.jp")</f>
        <v>h.masazumi7017@outlook.jp</v>
      </c>
      <c r="C2330" s="9" t="str">
        <f ca="1">IFERROR(__xludf.DUMMYFUNCTION("""COMPUTED_VALUE"""),"EVERGREEN - UAN Gated Content - Embedded Petition")</f>
        <v>EVERGREEN - UAN Gated Content - Embedded Petition</v>
      </c>
      <c r="D2330" s="10">
        <f ca="1">IFERROR(__xludf.DUMMYFUNCTION("""COMPUTED_VALUE"""),45694)</f>
        <v>45694</v>
      </c>
      <c r="E2330" s="1" t="str">
        <f ca="1">IFERROR(__xludf.DUMMYFUNCTION("""COMPUTED_VALUE"""),"USA")</f>
        <v>USA</v>
      </c>
      <c r="F2330" s="1" t="str">
        <f ca="1">IFERROR(__xludf.DUMMYFUNCTION("""COMPUTED_VALUE"""),"4.25 USA")</f>
        <v>4.25 USA</v>
      </c>
      <c r="G2330" s="1" t="str">
        <f ca="1">IFERROR(__xludf.DUMMYFUNCTION("""COMPUTED_VALUE"""),"Individuals At Risk, Refugee and Migrant Rights")</f>
        <v>Individuals At Risk, Refugee and Migrant Rights</v>
      </c>
      <c r="H2330" s="1" t="str">
        <f ca="1">IFERROR(__xludf.DUMMYFUNCTION("""COMPUTED_VALUE"""),"2025")</f>
        <v>2025</v>
      </c>
      <c r="I2330" s="1" t="str">
        <f ca="1">IFERROR(__xludf.DUMMYFUNCTION("""COMPUTED_VALUE"""),"Letter")</f>
        <v>Letter</v>
      </c>
    </row>
    <row r="2331" spans="1:9" ht="13" x14ac:dyDescent="0.15">
      <c r="A2331" s="9">
        <f ca="1">IFERROR(__xludf.DUMMYFUNCTION("""COMPUTED_VALUE"""),282035070)</f>
        <v>282035070</v>
      </c>
      <c r="B2331" s="1" t="str">
        <f ca="1">IFERROR(__xludf.DUMMYFUNCTION("""COMPUTED_VALUE"""),"h.masazumi7017@outlook.jp")</f>
        <v>h.masazumi7017@outlook.jp</v>
      </c>
      <c r="C2331" s="9" t="str">
        <f ca="1">IFERROR(__xludf.DUMMYFUNCTION("""COMPUTED_VALUE"""),"EVERGREEN - UAN Gated Content - Embedded Petition")</f>
        <v>EVERGREEN - UAN Gated Content - Embedded Petition</v>
      </c>
      <c r="D2331" s="10">
        <f ca="1">IFERROR(__xludf.DUMMYFUNCTION("""COMPUTED_VALUE"""),45694)</f>
        <v>45694</v>
      </c>
      <c r="E2331" s="1" t="str">
        <f ca="1">IFERROR(__xludf.DUMMYFUNCTION("""COMPUTED_VALUE"""),"USA")</f>
        <v>USA</v>
      </c>
      <c r="F2331" s="1" t="str">
        <f ca="1">IFERROR(__xludf.DUMMYFUNCTION("""COMPUTED_VALUE"""),"4.25 USA")</f>
        <v>4.25 USA</v>
      </c>
      <c r="G2331" s="1" t="str">
        <f ca="1">IFERROR(__xludf.DUMMYFUNCTION("""COMPUTED_VALUE"""),"Individuals At Risk, Refugee and Migrant Rights")</f>
        <v>Individuals At Risk, Refugee and Migrant Rights</v>
      </c>
      <c r="H2331" s="1" t="str">
        <f ca="1">IFERROR(__xludf.DUMMYFUNCTION("""COMPUTED_VALUE"""),"2025")</f>
        <v>2025</v>
      </c>
      <c r="I2331" s="1" t="str">
        <f ca="1">IFERROR(__xludf.DUMMYFUNCTION("""COMPUTED_VALUE"""),"Letter")</f>
        <v>Letter</v>
      </c>
    </row>
    <row r="2332" spans="1:9" ht="13" x14ac:dyDescent="0.15">
      <c r="A2332" s="9">
        <f ca="1">IFERROR(__xludf.DUMMYFUNCTION("""COMPUTED_VALUE"""),282035070)</f>
        <v>282035070</v>
      </c>
      <c r="B2332" s="1" t="str">
        <f ca="1">IFERROR(__xludf.DUMMYFUNCTION("""COMPUTED_VALUE"""),"h.masazumi7017@outlook.jp")</f>
        <v>h.masazumi7017@outlook.jp</v>
      </c>
      <c r="C2332" s="9" t="str">
        <f ca="1">IFERROR(__xludf.DUMMYFUNCTION("""COMPUTED_VALUE"""),"EVERGREEN - UAN Gated Content - Embedded Petition")</f>
        <v>EVERGREEN - UAN Gated Content - Embedded Petition</v>
      </c>
      <c r="D2332" s="10">
        <f ca="1">IFERROR(__xludf.DUMMYFUNCTION("""COMPUTED_VALUE"""),45694)</f>
        <v>45694</v>
      </c>
      <c r="E2332" s="1" t="str">
        <f ca="1">IFERROR(__xludf.DUMMYFUNCTION("""COMPUTED_VALUE"""),"USA")</f>
        <v>USA</v>
      </c>
      <c r="F2332" s="1" t="str">
        <f ca="1">IFERROR(__xludf.DUMMYFUNCTION("""COMPUTED_VALUE"""),"4.25 USA")</f>
        <v>4.25 USA</v>
      </c>
      <c r="G2332" s="1" t="str">
        <f ca="1">IFERROR(__xludf.DUMMYFUNCTION("""COMPUTED_VALUE"""),"Individuals At Risk, Refugee and Migrant Rights")</f>
        <v>Individuals At Risk, Refugee and Migrant Rights</v>
      </c>
      <c r="H2332" s="1" t="str">
        <f ca="1">IFERROR(__xludf.DUMMYFUNCTION("""COMPUTED_VALUE"""),"2025")</f>
        <v>2025</v>
      </c>
      <c r="I2332" s="1" t="str">
        <f ca="1">IFERROR(__xludf.DUMMYFUNCTION("""COMPUTED_VALUE"""),"Letter")</f>
        <v>Letter</v>
      </c>
    </row>
    <row r="2333" spans="1:9" ht="13" x14ac:dyDescent="0.15">
      <c r="A2333" s="9">
        <f ca="1">IFERROR(__xludf.DUMMYFUNCTION("""COMPUTED_VALUE"""),282035070)</f>
        <v>282035070</v>
      </c>
      <c r="B2333" s="1" t="str">
        <f ca="1">IFERROR(__xludf.DUMMYFUNCTION("""COMPUTED_VALUE"""),"h.masazumi7017@outlook.jp")</f>
        <v>h.masazumi7017@outlook.jp</v>
      </c>
      <c r="C2333" s="9" t="str">
        <f ca="1">IFERROR(__xludf.DUMMYFUNCTION("""COMPUTED_VALUE"""),"EVERGREEN - UAN Gated Content - Embedded Petition")</f>
        <v>EVERGREEN - UAN Gated Content - Embedded Petition</v>
      </c>
      <c r="D2333" s="10">
        <f ca="1">IFERROR(__xludf.DUMMYFUNCTION("""COMPUTED_VALUE"""),45698)</f>
        <v>45698</v>
      </c>
      <c r="E2333" s="1" t="str">
        <f ca="1">IFERROR(__xludf.DUMMYFUNCTION("""COMPUTED_VALUE"""),"USA")</f>
        <v>USA</v>
      </c>
      <c r="F2333" s="1" t="str">
        <f ca="1">IFERROR(__xludf.DUMMYFUNCTION("""COMPUTED_VALUE"""),"4.25 USA")</f>
        <v>4.25 USA</v>
      </c>
      <c r="G2333" s="1" t="str">
        <f ca="1">IFERROR(__xludf.DUMMYFUNCTION("""COMPUTED_VALUE"""),"Individuals At Risk, Refugee and Migrant Rights")</f>
        <v>Individuals At Risk, Refugee and Migrant Rights</v>
      </c>
      <c r="H2333" s="1" t="str">
        <f ca="1">IFERROR(__xludf.DUMMYFUNCTION("""COMPUTED_VALUE"""),"2025")</f>
        <v>2025</v>
      </c>
      <c r="I2333" s="1" t="str">
        <f ca="1">IFERROR(__xludf.DUMMYFUNCTION("""COMPUTED_VALUE"""),"Letter")</f>
        <v>Letter</v>
      </c>
    </row>
    <row r="2334" spans="1:9" ht="13" x14ac:dyDescent="0.15">
      <c r="A2334" s="9">
        <f ca="1">IFERROR(__xludf.DUMMYFUNCTION("""COMPUTED_VALUE"""),282035070)</f>
        <v>282035070</v>
      </c>
      <c r="B2334" s="1" t="str">
        <f ca="1">IFERROR(__xludf.DUMMYFUNCTION("""COMPUTED_VALUE"""),"h.masazumi7017@outlook.jp")</f>
        <v>h.masazumi7017@outlook.jp</v>
      </c>
      <c r="C2334" s="9" t="str">
        <f ca="1">IFERROR(__xludf.DUMMYFUNCTION("""COMPUTED_VALUE"""),"EVERGREEN - UAN Gated Content - Embedded Petition")</f>
        <v>EVERGREEN - UAN Gated Content - Embedded Petition</v>
      </c>
      <c r="D2334" s="10">
        <f ca="1">IFERROR(__xludf.DUMMYFUNCTION("""COMPUTED_VALUE"""),45637)</f>
        <v>45637</v>
      </c>
      <c r="E2334" s="1" t="str">
        <f ca="1">IFERROR(__xludf.DUMMYFUNCTION("""COMPUTED_VALUE"""),"USA")</f>
        <v>USA</v>
      </c>
      <c r="F2334" s="1" t="str">
        <f ca="1">IFERROR(__xludf.DUMMYFUNCTION("""COMPUTED_VALUE"""),"4.25 USA")</f>
        <v>4.25 USA</v>
      </c>
      <c r="G2334" s="1" t="str">
        <f ca="1">IFERROR(__xludf.DUMMYFUNCTION("""COMPUTED_VALUE"""),"Individuals At Risk, Refugee and Migrant Rights")</f>
        <v>Individuals At Risk, Refugee and Migrant Rights</v>
      </c>
      <c r="H2334" s="1" t="str">
        <f ca="1">IFERROR(__xludf.DUMMYFUNCTION("""COMPUTED_VALUE"""),"2025")</f>
        <v>2025</v>
      </c>
      <c r="I2334" s="1" t="str">
        <f ca="1">IFERROR(__xludf.DUMMYFUNCTION("""COMPUTED_VALUE"""),"Letter")</f>
        <v>Letter</v>
      </c>
    </row>
    <row r="2335" spans="1:9" ht="13" x14ac:dyDescent="0.15">
      <c r="A2335" s="9">
        <f ca="1">IFERROR(__xludf.DUMMYFUNCTION("""COMPUTED_VALUE"""),282035070)</f>
        <v>282035070</v>
      </c>
      <c r="B2335" s="1" t="str">
        <f ca="1">IFERROR(__xludf.DUMMYFUNCTION("""COMPUTED_VALUE"""),"h.masazumi7017@outlook.jp")</f>
        <v>h.masazumi7017@outlook.jp</v>
      </c>
      <c r="C2335" s="9" t="str">
        <f ca="1">IFERROR(__xludf.DUMMYFUNCTION("""COMPUTED_VALUE"""),"EVERGREEN - UAN Gated Content - Embedded Petition")</f>
        <v>EVERGREEN - UAN Gated Content - Embedded Petition</v>
      </c>
      <c r="D2335" s="10">
        <f ca="1">IFERROR(__xludf.DUMMYFUNCTION("""COMPUTED_VALUE"""),45663)</f>
        <v>45663</v>
      </c>
      <c r="E2335" s="1" t="str">
        <f ca="1">IFERROR(__xludf.DUMMYFUNCTION("""COMPUTED_VALUE"""),"USA")</f>
        <v>USA</v>
      </c>
      <c r="F2335" s="1" t="str">
        <f ca="1">IFERROR(__xludf.DUMMYFUNCTION("""COMPUTED_VALUE"""),"4.25 USA")</f>
        <v>4.25 USA</v>
      </c>
      <c r="G2335" s="1" t="str">
        <f ca="1">IFERROR(__xludf.DUMMYFUNCTION("""COMPUTED_VALUE"""),"Individuals At Risk, Refugee and Migrant Rights")</f>
        <v>Individuals At Risk, Refugee and Migrant Rights</v>
      </c>
      <c r="H2335" s="1" t="str">
        <f ca="1">IFERROR(__xludf.DUMMYFUNCTION("""COMPUTED_VALUE"""),"2025")</f>
        <v>2025</v>
      </c>
      <c r="I2335" s="1" t="str">
        <f ca="1">IFERROR(__xludf.DUMMYFUNCTION("""COMPUTED_VALUE"""),"Letter")</f>
        <v>Letter</v>
      </c>
    </row>
    <row r="2336" spans="1:9" ht="13" x14ac:dyDescent="0.15">
      <c r="A2336" s="9">
        <f ca="1">IFERROR(__xludf.DUMMYFUNCTION("""COMPUTED_VALUE"""),282035070)</f>
        <v>282035070</v>
      </c>
      <c r="B2336" s="1" t="str">
        <f ca="1">IFERROR(__xludf.DUMMYFUNCTION("""COMPUTED_VALUE"""),"h.masazumi7017@outlook.jp")</f>
        <v>h.masazumi7017@outlook.jp</v>
      </c>
      <c r="C2336" s="9" t="str">
        <f ca="1">IFERROR(__xludf.DUMMYFUNCTION("""COMPUTED_VALUE"""),"EVERGREEN - UAN Gated Content - Embedded Petition")</f>
        <v>EVERGREEN - UAN Gated Content - Embedded Petition</v>
      </c>
      <c r="D2336" s="10">
        <f ca="1">IFERROR(__xludf.DUMMYFUNCTION("""COMPUTED_VALUE"""),45685)</f>
        <v>45685</v>
      </c>
      <c r="E2336" s="1" t="str">
        <f ca="1">IFERROR(__xludf.DUMMYFUNCTION("""COMPUTED_VALUE"""),"USA")</f>
        <v>USA</v>
      </c>
      <c r="F2336" s="1" t="str">
        <f ca="1">IFERROR(__xludf.DUMMYFUNCTION("""COMPUTED_VALUE"""),"4.25 USA")</f>
        <v>4.25 USA</v>
      </c>
      <c r="G2336" s="1" t="str">
        <f ca="1">IFERROR(__xludf.DUMMYFUNCTION("""COMPUTED_VALUE"""),"Individuals At Risk, Refugee and Migrant Rights")</f>
        <v>Individuals At Risk, Refugee and Migrant Rights</v>
      </c>
      <c r="H2336" s="1" t="str">
        <f ca="1">IFERROR(__xludf.DUMMYFUNCTION("""COMPUTED_VALUE"""),"2025")</f>
        <v>2025</v>
      </c>
      <c r="I2336" s="1" t="str">
        <f ca="1">IFERROR(__xludf.DUMMYFUNCTION("""COMPUTED_VALUE"""),"Letter")</f>
        <v>Letter</v>
      </c>
    </row>
    <row r="2337" spans="1:9" ht="13" x14ac:dyDescent="0.15">
      <c r="A2337" s="9">
        <f ca="1">IFERROR(__xludf.DUMMYFUNCTION("""COMPUTED_VALUE"""),282035070)</f>
        <v>282035070</v>
      </c>
      <c r="B2337" s="1" t="str">
        <f ca="1">IFERROR(__xludf.DUMMYFUNCTION("""COMPUTED_VALUE"""),"h.masazumi7017@outlook.jp")</f>
        <v>h.masazumi7017@outlook.jp</v>
      </c>
      <c r="C2337" s="9" t="str">
        <f ca="1">IFERROR(__xludf.DUMMYFUNCTION("""COMPUTED_VALUE"""),"EVERGREEN - UAN Gated Content - Embedded Petition")</f>
        <v>EVERGREEN - UAN Gated Content - Embedded Petition</v>
      </c>
      <c r="D2337" s="10">
        <f ca="1">IFERROR(__xludf.DUMMYFUNCTION("""COMPUTED_VALUE"""),45685)</f>
        <v>45685</v>
      </c>
      <c r="E2337" s="1" t="str">
        <f ca="1">IFERROR(__xludf.DUMMYFUNCTION("""COMPUTED_VALUE"""),"USA")</f>
        <v>USA</v>
      </c>
      <c r="F2337" s="1" t="str">
        <f ca="1">IFERROR(__xludf.DUMMYFUNCTION("""COMPUTED_VALUE"""),"4.25 USA")</f>
        <v>4.25 USA</v>
      </c>
      <c r="G2337" s="1" t="str">
        <f ca="1">IFERROR(__xludf.DUMMYFUNCTION("""COMPUTED_VALUE"""),"Individuals At Risk, Refugee and Migrant Rights")</f>
        <v>Individuals At Risk, Refugee and Migrant Rights</v>
      </c>
      <c r="H2337" s="1" t="str">
        <f ca="1">IFERROR(__xludf.DUMMYFUNCTION("""COMPUTED_VALUE"""),"2025")</f>
        <v>2025</v>
      </c>
      <c r="I2337" s="1" t="str">
        <f ca="1">IFERROR(__xludf.DUMMYFUNCTION("""COMPUTED_VALUE"""),"Letter")</f>
        <v>Letter</v>
      </c>
    </row>
    <row r="2338" spans="1:9" ht="13" x14ac:dyDescent="0.15">
      <c r="A2338" s="9">
        <f ca="1">IFERROR(__xludf.DUMMYFUNCTION("""COMPUTED_VALUE"""),282035070)</f>
        <v>282035070</v>
      </c>
      <c r="B2338" s="1" t="str">
        <f ca="1">IFERROR(__xludf.DUMMYFUNCTION("""COMPUTED_VALUE"""),"h.masazumi7017@outlook.jp")</f>
        <v>h.masazumi7017@outlook.jp</v>
      </c>
      <c r="C2338" s="9" t="str">
        <f ca="1">IFERROR(__xludf.DUMMYFUNCTION("""COMPUTED_VALUE"""),"EVERGREEN - UAN Gated Content - Embedded Petition")</f>
        <v>EVERGREEN - UAN Gated Content - Embedded Petition</v>
      </c>
      <c r="D2338" s="10">
        <f ca="1">IFERROR(__xludf.DUMMYFUNCTION("""COMPUTED_VALUE"""),45685)</f>
        <v>45685</v>
      </c>
      <c r="E2338" s="1" t="str">
        <f ca="1">IFERROR(__xludf.DUMMYFUNCTION("""COMPUTED_VALUE"""),"USA")</f>
        <v>USA</v>
      </c>
      <c r="F2338" s="1" t="str">
        <f ca="1">IFERROR(__xludf.DUMMYFUNCTION("""COMPUTED_VALUE"""),"4.25 USA")</f>
        <v>4.25 USA</v>
      </c>
      <c r="G2338" s="1" t="str">
        <f ca="1">IFERROR(__xludf.DUMMYFUNCTION("""COMPUTED_VALUE"""),"Individuals At Risk, Refugee and Migrant Rights")</f>
        <v>Individuals At Risk, Refugee and Migrant Rights</v>
      </c>
      <c r="H2338" s="1" t="str">
        <f ca="1">IFERROR(__xludf.DUMMYFUNCTION("""COMPUTED_VALUE"""),"2025")</f>
        <v>2025</v>
      </c>
      <c r="I2338" s="1" t="str">
        <f ca="1">IFERROR(__xludf.DUMMYFUNCTION("""COMPUTED_VALUE"""),"Letter")</f>
        <v>Letter</v>
      </c>
    </row>
    <row r="2339" spans="1:9" ht="13" x14ac:dyDescent="0.15">
      <c r="A2339" s="9">
        <f ca="1">IFERROR(__xludf.DUMMYFUNCTION("""COMPUTED_VALUE"""),282035070)</f>
        <v>282035070</v>
      </c>
      <c r="B2339" s="1" t="str">
        <f ca="1">IFERROR(__xludf.DUMMYFUNCTION("""COMPUTED_VALUE"""),"h.masazumi7017@outlook.jp")</f>
        <v>h.masazumi7017@outlook.jp</v>
      </c>
      <c r="C2339" s="9" t="str">
        <f ca="1">IFERROR(__xludf.DUMMYFUNCTION("""COMPUTED_VALUE"""),"EVERGREEN - UAN Gated Content - Embedded Petition")</f>
        <v>EVERGREEN - UAN Gated Content - Embedded Petition</v>
      </c>
      <c r="D2339" s="10">
        <f ca="1">IFERROR(__xludf.DUMMYFUNCTION("""COMPUTED_VALUE"""),45671)</f>
        <v>45671</v>
      </c>
      <c r="E2339" s="1" t="str">
        <f ca="1">IFERROR(__xludf.DUMMYFUNCTION("""COMPUTED_VALUE"""),"USA")</f>
        <v>USA</v>
      </c>
      <c r="F2339" s="1" t="str">
        <f ca="1">IFERROR(__xludf.DUMMYFUNCTION("""COMPUTED_VALUE"""),"4.25 USA")</f>
        <v>4.25 USA</v>
      </c>
      <c r="G2339" s="1" t="str">
        <f ca="1">IFERROR(__xludf.DUMMYFUNCTION("""COMPUTED_VALUE"""),"Individuals At Risk, Refugee and Migrant Rights")</f>
        <v>Individuals At Risk, Refugee and Migrant Rights</v>
      </c>
      <c r="H2339" s="1" t="str">
        <f ca="1">IFERROR(__xludf.DUMMYFUNCTION("""COMPUTED_VALUE"""),"2025")</f>
        <v>2025</v>
      </c>
      <c r="I2339" s="1" t="str">
        <f ca="1">IFERROR(__xludf.DUMMYFUNCTION("""COMPUTED_VALUE"""),"Letter")</f>
        <v>Letter</v>
      </c>
    </row>
    <row r="2340" spans="1:9" ht="13" x14ac:dyDescent="0.15">
      <c r="A2340" s="9">
        <f ca="1">IFERROR(__xludf.DUMMYFUNCTION("""COMPUTED_VALUE"""),282035070)</f>
        <v>282035070</v>
      </c>
      <c r="B2340" s="1" t="str">
        <f ca="1">IFERROR(__xludf.DUMMYFUNCTION("""COMPUTED_VALUE"""),"h.masazumi7017@outlook.jp")</f>
        <v>h.masazumi7017@outlook.jp</v>
      </c>
      <c r="C2340" s="9" t="str">
        <f ca="1">IFERROR(__xludf.DUMMYFUNCTION("""COMPUTED_VALUE"""),"EVERGREEN - UAN Gated Content - Embedded Petition")</f>
        <v>EVERGREEN - UAN Gated Content - Embedded Petition</v>
      </c>
      <c r="D2340" s="10">
        <f ca="1">IFERROR(__xludf.DUMMYFUNCTION("""COMPUTED_VALUE"""),45671)</f>
        <v>45671</v>
      </c>
      <c r="E2340" s="1" t="str">
        <f ca="1">IFERROR(__xludf.DUMMYFUNCTION("""COMPUTED_VALUE"""),"USA")</f>
        <v>USA</v>
      </c>
      <c r="F2340" s="1" t="str">
        <f ca="1">IFERROR(__xludf.DUMMYFUNCTION("""COMPUTED_VALUE"""),"4.25 USA")</f>
        <v>4.25 USA</v>
      </c>
      <c r="G2340" s="1" t="str">
        <f ca="1">IFERROR(__xludf.DUMMYFUNCTION("""COMPUTED_VALUE"""),"Individuals At Risk, Refugee and Migrant Rights")</f>
        <v>Individuals At Risk, Refugee and Migrant Rights</v>
      </c>
      <c r="H2340" s="1" t="str">
        <f ca="1">IFERROR(__xludf.DUMMYFUNCTION("""COMPUTED_VALUE"""),"2025")</f>
        <v>2025</v>
      </c>
      <c r="I2340" s="1" t="str">
        <f ca="1">IFERROR(__xludf.DUMMYFUNCTION("""COMPUTED_VALUE"""),"Letter")</f>
        <v>Letter</v>
      </c>
    </row>
    <row r="2341" spans="1:9" ht="13" x14ac:dyDescent="0.15">
      <c r="A2341" s="9">
        <f ca="1">IFERROR(__xludf.DUMMYFUNCTION("""COMPUTED_VALUE"""),282035070)</f>
        <v>282035070</v>
      </c>
      <c r="B2341" s="1" t="str">
        <f ca="1">IFERROR(__xludf.DUMMYFUNCTION("""COMPUTED_VALUE"""),"h.masazumi7017@outlook.jp")</f>
        <v>h.masazumi7017@outlook.jp</v>
      </c>
      <c r="C2341" s="9" t="str">
        <f ca="1">IFERROR(__xludf.DUMMYFUNCTION("""COMPUTED_VALUE"""),"EVERGREEN - UAN Gated Content - Embedded Petition")</f>
        <v>EVERGREEN - UAN Gated Content - Embedded Petition</v>
      </c>
      <c r="D2341" s="10">
        <f ca="1">IFERROR(__xludf.DUMMYFUNCTION("""COMPUTED_VALUE"""),45671)</f>
        <v>45671</v>
      </c>
      <c r="E2341" s="1" t="str">
        <f ca="1">IFERROR(__xludf.DUMMYFUNCTION("""COMPUTED_VALUE"""),"USA")</f>
        <v>USA</v>
      </c>
      <c r="F2341" s="1" t="str">
        <f ca="1">IFERROR(__xludf.DUMMYFUNCTION("""COMPUTED_VALUE"""),"4.25 USA")</f>
        <v>4.25 USA</v>
      </c>
      <c r="G2341" s="1" t="str">
        <f ca="1">IFERROR(__xludf.DUMMYFUNCTION("""COMPUTED_VALUE"""),"Individuals At Risk, Refugee and Migrant Rights")</f>
        <v>Individuals At Risk, Refugee and Migrant Rights</v>
      </c>
      <c r="H2341" s="1" t="str">
        <f ca="1">IFERROR(__xludf.DUMMYFUNCTION("""COMPUTED_VALUE"""),"2025")</f>
        <v>2025</v>
      </c>
      <c r="I2341" s="1" t="str">
        <f ca="1">IFERROR(__xludf.DUMMYFUNCTION("""COMPUTED_VALUE"""),"Letter")</f>
        <v>Letter</v>
      </c>
    </row>
    <row r="2342" spans="1:9" ht="13" x14ac:dyDescent="0.15">
      <c r="A2342" s="9">
        <f ca="1">IFERROR(__xludf.DUMMYFUNCTION("""COMPUTED_VALUE"""),282035070)</f>
        <v>282035070</v>
      </c>
      <c r="B2342" s="1" t="str">
        <f ca="1">IFERROR(__xludf.DUMMYFUNCTION("""COMPUTED_VALUE"""),"h.masazumi7017@outlook.jp")</f>
        <v>h.masazumi7017@outlook.jp</v>
      </c>
      <c r="C2342" s="9" t="str">
        <f ca="1">IFERROR(__xludf.DUMMYFUNCTION("""COMPUTED_VALUE"""),"EVERGREEN - UAN Gated Content - Embedded Petition")</f>
        <v>EVERGREEN - UAN Gated Content - Embedded Petition</v>
      </c>
      <c r="D2342" s="10">
        <f ca="1">IFERROR(__xludf.DUMMYFUNCTION("""COMPUTED_VALUE"""),45671)</f>
        <v>45671</v>
      </c>
      <c r="E2342" s="1" t="str">
        <f ca="1">IFERROR(__xludf.DUMMYFUNCTION("""COMPUTED_VALUE"""),"USA")</f>
        <v>USA</v>
      </c>
      <c r="F2342" s="1" t="str">
        <f ca="1">IFERROR(__xludf.DUMMYFUNCTION("""COMPUTED_VALUE"""),"4.25 USA")</f>
        <v>4.25 USA</v>
      </c>
      <c r="G2342" s="1" t="str">
        <f ca="1">IFERROR(__xludf.DUMMYFUNCTION("""COMPUTED_VALUE"""),"Individuals At Risk, Refugee and Migrant Rights")</f>
        <v>Individuals At Risk, Refugee and Migrant Rights</v>
      </c>
      <c r="H2342" s="1" t="str">
        <f ca="1">IFERROR(__xludf.DUMMYFUNCTION("""COMPUTED_VALUE"""),"2025")</f>
        <v>2025</v>
      </c>
      <c r="I2342" s="1" t="str">
        <f ca="1">IFERROR(__xludf.DUMMYFUNCTION("""COMPUTED_VALUE"""),"Letter")</f>
        <v>Letter</v>
      </c>
    </row>
    <row r="2343" spans="1:9" ht="13" x14ac:dyDescent="0.15">
      <c r="A2343" s="9">
        <f ca="1">IFERROR(__xludf.DUMMYFUNCTION("""COMPUTED_VALUE"""),282035070)</f>
        <v>282035070</v>
      </c>
      <c r="B2343" s="1" t="str">
        <f ca="1">IFERROR(__xludf.DUMMYFUNCTION("""COMPUTED_VALUE"""),"h.masazumi7017@outlook.jp")</f>
        <v>h.masazumi7017@outlook.jp</v>
      </c>
      <c r="C2343" s="9" t="str">
        <f ca="1">IFERROR(__xludf.DUMMYFUNCTION("""COMPUTED_VALUE"""),"EVERGREEN - UAN Gated Content - Embedded Petition")</f>
        <v>EVERGREEN - UAN Gated Content - Embedded Petition</v>
      </c>
      <c r="D2343" s="10">
        <f ca="1">IFERROR(__xludf.DUMMYFUNCTION("""COMPUTED_VALUE"""),45671)</f>
        <v>45671</v>
      </c>
      <c r="E2343" s="1" t="str">
        <f ca="1">IFERROR(__xludf.DUMMYFUNCTION("""COMPUTED_VALUE"""),"USA")</f>
        <v>USA</v>
      </c>
      <c r="F2343" s="1" t="str">
        <f ca="1">IFERROR(__xludf.DUMMYFUNCTION("""COMPUTED_VALUE"""),"3.25 IOPT")</f>
        <v>3.25 IOPT</v>
      </c>
      <c r="G2343" s="1" t="str">
        <f ca="1">IFERROR(__xludf.DUMMYFUNCTION("""COMPUTED_VALUE"""),"Freedom of Expression, Individuals At Risk")</f>
        <v>Freedom of Expression, Individuals At Risk</v>
      </c>
      <c r="H2343" s="1" t="str">
        <f ca="1">IFERROR(__xludf.DUMMYFUNCTION("""COMPUTED_VALUE"""),"2025")</f>
        <v>2025</v>
      </c>
      <c r="I2343" s="1" t="str">
        <f ca="1">IFERROR(__xludf.DUMMYFUNCTION("""COMPUTED_VALUE"""),"Email")</f>
        <v>Email</v>
      </c>
    </row>
    <row r="2344" spans="1:9" ht="13" x14ac:dyDescent="0.15">
      <c r="A2344" s="9">
        <f ca="1">IFERROR(__xludf.DUMMYFUNCTION("""COMPUTED_VALUE"""),282035070)</f>
        <v>282035070</v>
      </c>
      <c r="B2344" s="1" t="str">
        <f ca="1">IFERROR(__xludf.DUMMYFUNCTION("""COMPUTED_VALUE"""),"h.masazumi7017@outlook.jp")</f>
        <v>h.masazumi7017@outlook.jp</v>
      </c>
      <c r="C2344" s="9" t="str">
        <f ca="1">IFERROR(__xludf.DUMMYFUNCTION("""COMPUTED_VALUE"""),"EVERGREEN - UAN Gated Content - Embedded Petition")</f>
        <v>EVERGREEN - UAN Gated Content - Embedded Petition</v>
      </c>
      <c r="D2344" s="10">
        <f ca="1">IFERROR(__xludf.DUMMYFUNCTION("""COMPUTED_VALUE"""),45672)</f>
        <v>45672</v>
      </c>
      <c r="E2344" s="1" t="str">
        <f ca="1">IFERROR(__xludf.DUMMYFUNCTION("""COMPUTED_VALUE"""),"Israel and Occupied Palestinian Territories")</f>
        <v>Israel and Occupied Palestinian Territories</v>
      </c>
      <c r="F2344" s="1" t="str">
        <f ca="1">IFERROR(__xludf.DUMMYFUNCTION("""COMPUTED_VALUE"""),"4.25 USA")</f>
        <v>4.25 USA</v>
      </c>
      <c r="G2344" s="1" t="str">
        <f ca="1">IFERROR(__xludf.DUMMYFUNCTION("""COMPUTED_VALUE"""),"Individuals At Risk, Refugee and Migrant Rights")</f>
        <v>Individuals At Risk, Refugee and Migrant Rights</v>
      </c>
      <c r="H2344" s="1" t="str">
        <f ca="1">IFERROR(__xludf.DUMMYFUNCTION("""COMPUTED_VALUE"""),"2025")</f>
        <v>2025</v>
      </c>
      <c r="I2344" s="1" t="str">
        <f ca="1">IFERROR(__xludf.DUMMYFUNCTION("""COMPUTED_VALUE"""),"Letter")</f>
        <v>Letter</v>
      </c>
    </row>
    <row r="2345" spans="1:9" ht="13" x14ac:dyDescent="0.15">
      <c r="A2345" s="9">
        <f ca="1">IFERROR(__xludf.DUMMYFUNCTION("""COMPUTED_VALUE"""),282035070)</f>
        <v>282035070</v>
      </c>
      <c r="B2345" s="1" t="str">
        <f ca="1">IFERROR(__xludf.DUMMYFUNCTION("""COMPUTED_VALUE"""),"h.masazumi7017@outlook.jp")</f>
        <v>h.masazumi7017@outlook.jp</v>
      </c>
      <c r="C2345" s="9" t="str">
        <f ca="1">IFERROR(__xludf.DUMMYFUNCTION("""COMPUTED_VALUE"""),"EVERGREEN - UAN Gated Content - Embedded Petition")</f>
        <v>EVERGREEN - UAN Gated Content - Embedded Petition</v>
      </c>
      <c r="D2345" s="10">
        <f ca="1">IFERROR(__xludf.DUMMYFUNCTION("""COMPUTED_VALUE"""),45663)</f>
        <v>45663</v>
      </c>
      <c r="E2345" s="1" t="str">
        <f ca="1">IFERROR(__xludf.DUMMYFUNCTION("""COMPUTED_VALUE"""),"USA")</f>
        <v>USA</v>
      </c>
      <c r="F2345" s="1" t="str">
        <f ca="1">IFERROR(__xludf.DUMMYFUNCTION("""COMPUTED_VALUE"""),"2.25 Azerbaijan")</f>
        <v>2.25 Azerbaijan</v>
      </c>
      <c r="G2345" s="1" t="str">
        <f ca="1">IFERROR(__xludf.DUMMYFUNCTION("""COMPUTED_VALUE"""),"Freedom of Expression, Human Rights Defenders")</f>
        <v>Freedom of Expression, Human Rights Defenders</v>
      </c>
      <c r="H2345" s="1" t="str">
        <f ca="1">IFERROR(__xludf.DUMMYFUNCTION("""COMPUTED_VALUE"""),"2025")</f>
        <v>2025</v>
      </c>
      <c r="I2345" s="1" t="str">
        <f ca="1">IFERROR(__xludf.DUMMYFUNCTION("""COMPUTED_VALUE"""),"Email")</f>
        <v>Email</v>
      </c>
    </row>
    <row r="2346" spans="1:9" ht="13" x14ac:dyDescent="0.15">
      <c r="A2346" s="9">
        <f ca="1">IFERROR(__xludf.DUMMYFUNCTION("""COMPUTED_VALUE"""),282035070)</f>
        <v>282035070</v>
      </c>
      <c r="B2346" s="1" t="str">
        <f ca="1">IFERROR(__xludf.DUMMYFUNCTION("""COMPUTED_VALUE"""),"h.masazumi7017@outlook.jp")</f>
        <v>h.masazumi7017@outlook.jp</v>
      </c>
      <c r="C2346" s="9" t="str">
        <f ca="1">IFERROR(__xludf.DUMMYFUNCTION("""COMPUTED_VALUE"""),"EVERGREEN - UAN Gated Content - Embedded Petition")</f>
        <v>EVERGREEN - UAN Gated Content - Embedded Petition</v>
      </c>
      <c r="D2346" s="10">
        <f ca="1">IFERROR(__xludf.DUMMYFUNCTION("""COMPUTED_VALUE"""),45663)</f>
        <v>45663</v>
      </c>
      <c r="E2346" s="1" t="str">
        <f ca="1">IFERROR(__xludf.DUMMYFUNCTION("""COMPUTED_VALUE"""),"Azerbaijan")</f>
        <v>Azerbaijan</v>
      </c>
      <c r="F2346" s="1" t="str">
        <f ca="1">IFERROR(__xludf.DUMMYFUNCTION("""COMPUTED_VALUE"""),"2.25 Azerbaijan")</f>
        <v>2.25 Azerbaijan</v>
      </c>
      <c r="G2346" s="1" t="str">
        <f ca="1">IFERROR(__xludf.DUMMYFUNCTION("""COMPUTED_VALUE"""),"Freedom of Expression, Human Rights Defenders")</f>
        <v>Freedom of Expression, Human Rights Defenders</v>
      </c>
      <c r="H2346" s="1" t="str">
        <f ca="1">IFERROR(__xludf.DUMMYFUNCTION("""COMPUTED_VALUE"""),"2025")</f>
        <v>2025</v>
      </c>
      <c r="I2346" s="1" t="str">
        <f ca="1">IFERROR(__xludf.DUMMYFUNCTION("""COMPUTED_VALUE"""),"Email")</f>
        <v>Email</v>
      </c>
    </row>
    <row r="2347" spans="1:9" ht="13" x14ac:dyDescent="0.15">
      <c r="A2347" s="9">
        <f ca="1">IFERROR(__xludf.DUMMYFUNCTION("""COMPUTED_VALUE"""),282035070)</f>
        <v>282035070</v>
      </c>
      <c r="B2347" s="1" t="str">
        <f ca="1">IFERROR(__xludf.DUMMYFUNCTION("""COMPUTED_VALUE"""),"h.masazumi7017@outlook.jp")</f>
        <v>h.masazumi7017@outlook.jp</v>
      </c>
      <c r="C2347" s="9" t="str">
        <f ca="1">IFERROR(__xludf.DUMMYFUNCTION("""COMPUTED_VALUE"""),"EVERGREEN - UAN Gated Content - Embedded Petition")</f>
        <v>EVERGREEN - UAN Gated Content - Embedded Petition</v>
      </c>
      <c r="D2347" s="10">
        <f ca="1">IFERROR(__xludf.DUMMYFUNCTION("""COMPUTED_VALUE"""),45663)</f>
        <v>45663</v>
      </c>
      <c r="E2347" s="1" t="str">
        <f ca="1">IFERROR(__xludf.DUMMYFUNCTION("""COMPUTED_VALUE"""),"Azerbaijan")</f>
        <v>Azerbaijan</v>
      </c>
      <c r="F2347" s="1" t="str">
        <f ca="1">IFERROR(__xludf.DUMMYFUNCTION("""COMPUTED_VALUE"""),"4.25 USA")</f>
        <v>4.25 USA</v>
      </c>
      <c r="G2347" s="1" t="str">
        <f ca="1">IFERROR(__xludf.DUMMYFUNCTION("""COMPUTED_VALUE"""),"Individuals At Risk, Refugee and Migrant Rights")</f>
        <v>Individuals At Risk, Refugee and Migrant Rights</v>
      </c>
      <c r="H2347" s="1" t="str">
        <f ca="1">IFERROR(__xludf.DUMMYFUNCTION("""COMPUTED_VALUE"""),"2025")</f>
        <v>2025</v>
      </c>
      <c r="I2347" s="1" t="str">
        <f ca="1">IFERROR(__xludf.DUMMYFUNCTION("""COMPUTED_VALUE"""),"Letter")</f>
        <v>Letter</v>
      </c>
    </row>
    <row r="2348" spans="1:9" ht="13" x14ac:dyDescent="0.15">
      <c r="A2348" s="9">
        <f ca="1">IFERROR(__xludf.DUMMYFUNCTION("""COMPUTED_VALUE"""),282035070)</f>
        <v>282035070</v>
      </c>
      <c r="B2348" s="1" t="str">
        <f ca="1">IFERROR(__xludf.DUMMYFUNCTION("""COMPUTED_VALUE"""),"h.masazumi7017@outlook.jp")</f>
        <v>h.masazumi7017@outlook.jp</v>
      </c>
      <c r="C2348" s="9" t="str">
        <f ca="1">IFERROR(__xludf.DUMMYFUNCTION("""COMPUTED_VALUE"""),"EVERGREEN - UAN Gated Content - Embedded Petition")</f>
        <v>EVERGREEN - UAN Gated Content - Embedded Petition</v>
      </c>
      <c r="D2348" s="10">
        <f ca="1">IFERROR(__xludf.DUMMYFUNCTION("""COMPUTED_VALUE"""),45663)</f>
        <v>45663</v>
      </c>
      <c r="E2348" s="1" t="str">
        <f ca="1">IFERROR(__xludf.DUMMYFUNCTION("""COMPUTED_VALUE"""),"USA")</f>
        <v>USA</v>
      </c>
      <c r="F2348" s="1" t="str">
        <f ca="1">IFERROR(__xludf.DUMMYFUNCTION("""COMPUTED_VALUE"""),"Second 76.24 Tunisia")</f>
        <v>Second 76.24 Tunisia</v>
      </c>
      <c r="G2348" s="1" t="str">
        <f ca="1">IFERROR(__xludf.DUMMYFUNCTION("""COMPUTED_VALUE"""),"Freedom of Expression, Human Rights Defenders")</f>
        <v>Freedom of Expression, Human Rights Defenders</v>
      </c>
      <c r="H2348" s="1" t="str">
        <f ca="1">IFERROR(__xludf.DUMMYFUNCTION("""COMPUTED_VALUE"""),"2025")</f>
        <v>2025</v>
      </c>
      <c r="I2348" s="1" t="str">
        <f ca="1">IFERROR(__xludf.DUMMYFUNCTION("""COMPUTED_VALUE"""),"Email")</f>
        <v>Email</v>
      </c>
    </row>
    <row r="2349" spans="1:9" ht="13" x14ac:dyDescent="0.15">
      <c r="A2349" s="9">
        <f ca="1">IFERROR(__xludf.DUMMYFUNCTION("""COMPUTED_VALUE"""),282035070)</f>
        <v>282035070</v>
      </c>
      <c r="B2349" s="1" t="str">
        <f ca="1">IFERROR(__xludf.DUMMYFUNCTION("""COMPUTED_VALUE"""),"h.masazumi7017@outlook.jp")</f>
        <v>h.masazumi7017@outlook.jp</v>
      </c>
      <c r="C2349" s="9" t="str">
        <f ca="1">IFERROR(__xludf.DUMMYFUNCTION("""COMPUTED_VALUE"""),"EVERGREEN - UAN Gated Content - Embedded Petition")</f>
        <v>EVERGREEN - UAN Gated Content - Embedded Petition</v>
      </c>
      <c r="D2349" s="10">
        <f ca="1">IFERROR(__xludf.DUMMYFUNCTION("""COMPUTED_VALUE"""),45663)</f>
        <v>45663</v>
      </c>
      <c r="E2349" s="1" t="str">
        <f ca="1">IFERROR(__xludf.DUMMYFUNCTION("""COMPUTED_VALUE"""),"Tunisia")</f>
        <v>Tunisia</v>
      </c>
      <c r="F2349" s="1" t="str">
        <f ca="1">IFERROR(__xludf.DUMMYFUNCTION("""COMPUTED_VALUE"""),"4.25 USA")</f>
        <v>4.25 USA</v>
      </c>
      <c r="G2349" s="1" t="str">
        <f ca="1">IFERROR(__xludf.DUMMYFUNCTION("""COMPUTED_VALUE"""),"Individuals At Risk, Refugee and Migrant Rights")</f>
        <v>Individuals At Risk, Refugee and Migrant Rights</v>
      </c>
      <c r="H2349" s="1" t="str">
        <f ca="1">IFERROR(__xludf.DUMMYFUNCTION("""COMPUTED_VALUE"""),"2025")</f>
        <v>2025</v>
      </c>
      <c r="I2349" s="1" t="str">
        <f ca="1">IFERROR(__xludf.DUMMYFUNCTION("""COMPUTED_VALUE"""),"Letter")</f>
        <v>Letter</v>
      </c>
    </row>
    <row r="2350" spans="1:9" ht="13" x14ac:dyDescent="0.15">
      <c r="A2350" s="9">
        <f ca="1">IFERROR(__xludf.DUMMYFUNCTION("""COMPUTED_VALUE"""),282035070)</f>
        <v>282035070</v>
      </c>
      <c r="B2350" s="1" t="str">
        <f ca="1">IFERROR(__xludf.DUMMYFUNCTION("""COMPUTED_VALUE"""),"h.masazumi7017@outlook.jp")</f>
        <v>h.masazumi7017@outlook.jp</v>
      </c>
      <c r="C2350" s="9" t="str">
        <f ca="1">IFERROR(__xludf.DUMMYFUNCTION("""COMPUTED_VALUE"""),"EVERGREEN - UAN Gated Content - Embedded Petition")</f>
        <v>EVERGREEN - UAN Gated Content - Embedded Petition</v>
      </c>
      <c r="D2350" s="10">
        <f ca="1">IFERROR(__xludf.DUMMYFUNCTION("""COMPUTED_VALUE"""),45663)</f>
        <v>45663</v>
      </c>
      <c r="E2350" s="1" t="str">
        <f ca="1">IFERROR(__xludf.DUMMYFUNCTION("""COMPUTED_VALUE"""),"USA")</f>
        <v>USA</v>
      </c>
      <c r="F2350" s="1" t="str">
        <f ca="1">IFERROR(__xludf.DUMMYFUNCTION("""COMPUTED_VALUE"""),"Second 76.24 Tunisia")</f>
        <v>Second 76.24 Tunisia</v>
      </c>
      <c r="G2350" s="1" t="str">
        <f ca="1">IFERROR(__xludf.DUMMYFUNCTION("""COMPUTED_VALUE"""),"Freedom of Expression, Human Rights Defenders")</f>
        <v>Freedom of Expression, Human Rights Defenders</v>
      </c>
      <c r="H2350" s="1" t="str">
        <f ca="1">IFERROR(__xludf.DUMMYFUNCTION("""COMPUTED_VALUE"""),"2025")</f>
        <v>2025</v>
      </c>
      <c r="I2350" s="1" t="str">
        <f ca="1">IFERROR(__xludf.DUMMYFUNCTION("""COMPUTED_VALUE"""),"Email")</f>
        <v>Email</v>
      </c>
    </row>
    <row r="2351" spans="1:9" ht="13" x14ac:dyDescent="0.15">
      <c r="A2351" s="9">
        <f ca="1">IFERROR(__xludf.DUMMYFUNCTION("""COMPUTED_VALUE"""),282434602)</f>
        <v>282434602</v>
      </c>
      <c r="B2351" s="1" t="str">
        <f ca="1">IFERROR(__xludf.DUMMYFUNCTION("""COMPUTED_VALUE"""),"timothy.g.caron@gmail.com")</f>
        <v>timothy.g.caron@gmail.com</v>
      </c>
      <c r="C2351" s="9" t="str">
        <f ca="1">IFERROR(__xludf.DUMMYFUNCTION("""COMPUTED_VALUE"""),"EVERGREEN - UAN Gated Content - Embedded Petition")</f>
        <v>EVERGREEN - UAN Gated Content - Embedded Petition</v>
      </c>
      <c r="D2351" s="10">
        <f ca="1">IFERROR(__xludf.DUMMYFUNCTION("""COMPUTED_VALUE"""),45673)</f>
        <v>45673</v>
      </c>
      <c r="E2351" s="1" t="str">
        <f ca="1">IFERROR(__xludf.DUMMYFUNCTION("""COMPUTED_VALUE"""),"Tunisia")</f>
        <v>Tunisia</v>
      </c>
      <c r="F2351" s="1" t="str">
        <f ca="1">IFERROR(__xludf.DUMMYFUNCTION("""COMPUTED_VALUE"""),"Second 76.24 Tunisia")</f>
        <v>Second 76.24 Tunisia</v>
      </c>
      <c r="G2351" s="1" t="str">
        <f ca="1">IFERROR(__xludf.DUMMYFUNCTION("""COMPUTED_VALUE"""),"Freedom of Expression, Human Rights Defenders")</f>
        <v>Freedom of Expression, Human Rights Defenders</v>
      </c>
      <c r="H2351" s="1" t="str">
        <f ca="1">IFERROR(__xludf.DUMMYFUNCTION("""COMPUTED_VALUE"""),"2025")</f>
        <v>2025</v>
      </c>
      <c r="I2351" s="1" t="str">
        <f ca="1">IFERROR(__xludf.DUMMYFUNCTION("""COMPUTED_VALUE"""),"Email")</f>
        <v>Email</v>
      </c>
    </row>
    <row r="2352" spans="1:9" ht="13" x14ac:dyDescent="0.15">
      <c r="A2352" s="9">
        <f ca="1">IFERROR(__xludf.DUMMYFUNCTION("""COMPUTED_VALUE"""),282509387)</f>
        <v>282509387</v>
      </c>
      <c r="B2352" s="1" t="str">
        <f ca="1">IFERROR(__xludf.DUMMYFUNCTION("""COMPUTED_VALUE"""),"hollyknouff@gmail.com")</f>
        <v>hollyknouff@gmail.com</v>
      </c>
      <c r="C2352" s="9" t="str">
        <f ca="1">IFERROR(__xludf.DUMMYFUNCTION("""COMPUTED_VALUE"""),"EVERGREEN - UAN Gated Content - Embedded Petition")</f>
        <v>EVERGREEN - UAN Gated Content - Embedded Petition</v>
      </c>
      <c r="D2352" s="10">
        <f ca="1">IFERROR(__xludf.DUMMYFUNCTION("""COMPUTED_VALUE"""),45680)</f>
        <v>45680</v>
      </c>
      <c r="E2352" s="1" t="str">
        <f ca="1">IFERROR(__xludf.DUMMYFUNCTION("""COMPUTED_VALUE"""),"Tunisia")</f>
        <v>Tunisia</v>
      </c>
      <c r="F2352" s="1" t="str">
        <f ca="1">IFERROR(__xludf.DUMMYFUNCTION("""COMPUTED_VALUE"""),"Second 76.24 Tunisia")</f>
        <v>Second 76.24 Tunisia</v>
      </c>
      <c r="G2352" s="1" t="str">
        <f ca="1">IFERROR(__xludf.DUMMYFUNCTION("""COMPUTED_VALUE"""),"Freedom of Expression, Human Rights Defenders")</f>
        <v>Freedom of Expression, Human Rights Defenders</v>
      </c>
      <c r="H2352" s="1" t="str">
        <f ca="1">IFERROR(__xludf.DUMMYFUNCTION("""COMPUTED_VALUE"""),"2025")</f>
        <v>2025</v>
      </c>
      <c r="I2352" s="1" t="str">
        <f ca="1">IFERROR(__xludf.DUMMYFUNCTION("""COMPUTED_VALUE"""),"Email")</f>
        <v>Email</v>
      </c>
    </row>
    <row r="2353" spans="1:9" ht="13" x14ac:dyDescent="0.15">
      <c r="A2353" s="9">
        <f ca="1">IFERROR(__xludf.DUMMYFUNCTION("""COMPUTED_VALUE"""),282718957)</f>
        <v>282718957</v>
      </c>
      <c r="B2353" s="1" t="str">
        <f ca="1">IFERROR(__xludf.DUMMYFUNCTION("""COMPUTED_VALUE"""),"lju.doutreleau@gmail.com")</f>
        <v>lju.doutreleau@gmail.com</v>
      </c>
      <c r="C2353" s="9" t="str">
        <f ca="1">IFERROR(__xludf.DUMMYFUNCTION("""COMPUTED_VALUE"""),"EVERGREEN - UAN Gated Content - Embedded Petition")</f>
        <v>EVERGREEN - UAN Gated Content - Embedded Petition</v>
      </c>
      <c r="D2353" s="10">
        <f ca="1">IFERROR(__xludf.DUMMYFUNCTION("""COMPUTED_VALUE"""),45678)</f>
        <v>45678</v>
      </c>
      <c r="E2353" s="1" t="str">
        <f ca="1">IFERROR(__xludf.DUMMYFUNCTION("""COMPUTED_VALUE"""),"Tunisia")</f>
        <v>Tunisia</v>
      </c>
      <c r="F2353" s="1" t="str">
        <f ca="1">IFERROR(__xludf.DUMMYFUNCTION("""COMPUTED_VALUE"""),"Second 76.24 Tunisia")</f>
        <v>Second 76.24 Tunisia</v>
      </c>
      <c r="G2353" s="1" t="str">
        <f ca="1">IFERROR(__xludf.DUMMYFUNCTION("""COMPUTED_VALUE"""),"Freedom of Expression, Human Rights Defenders")</f>
        <v>Freedom of Expression, Human Rights Defenders</v>
      </c>
      <c r="H2353" s="1" t="str">
        <f ca="1">IFERROR(__xludf.DUMMYFUNCTION("""COMPUTED_VALUE"""),"2025")</f>
        <v>2025</v>
      </c>
      <c r="I2353" s="1" t="str">
        <f ca="1">IFERROR(__xludf.DUMMYFUNCTION("""COMPUTED_VALUE"""),"Email")</f>
        <v>Email</v>
      </c>
    </row>
    <row r="2354" spans="1:9" ht="13" x14ac:dyDescent="0.15">
      <c r="A2354" s="9">
        <f ca="1">IFERROR(__xludf.DUMMYFUNCTION("""COMPUTED_VALUE"""),283125007)</f>
        <v>283125007</v>
      </c>
      <c r="B2354" s="1" t="str">
        <f ca="1">IFERROR(__xludf.DUMMYFUNCTION("""COMPUTED_VALUE"""),"kenngabcar@icloud.com")</f>
        <v>kenngabcar@icloud.com</v>
      </c>
      <c r="C2354" s="9" t="str">
        <f ca="1">IFERROR(__xludf.DUMMYFUNCTION("""COMPUTED_VALUE"""),"EVERGREEN - UAN Gated Content - Embedded Petition")</f>
        <v>EVERGREEN - UAN Gated Content - Embedded Petition</v>
      </c>
      <c r="D2354" s="10">
        <f ca="1">IFERROR(__xludf.DUMMYFUNCTION("""COMPUTED_VALUE"""),45665)</f>
        <v>45665</v>
      </c>
      <c r="E2354" s="1" t="str">
        <f ca="1">IFERROR(__xludf.DUMMYFUNCTION("""COMPUTED_VALUE"""),"Tunisia")</f>
        <v>Tunisia</v>
      </c>
      <c r="F2354" s="1" t="str">
        <f ca="1">IFERROR(__xludf.DUMMYFUNCTION("""COMPUTED_VALUE"""),"Second 76.24 Tunisia")</f>
        <v>Second 76.24 Tunisia</v>
      </c>
      <c r="G2354" s="1" t="str">
        <f ca="1">IFERROR(__xludf.DUMMYFUNCTION("""COMPUTED_VALUE"""),"Freedom of Expression, Human Rights Defenders")</f>
        <v>Freedom of Expression, Human Rights Defenders</v>
      </c>
      <c r="H2354" s="1" t="str">
        <f ca="1">IFERROR(__xludf.DUMMYFUNCTION("""COMPUTED_VALUE"""),"2025")</f>
        <v>2025</v>
      </c>
      <c r="I2354" s="1" t="str">
        <f ca="1">IFERROR(__xludf.DUMMYFUNCTION("""COMPUTED_VALUE"""),"Email")</f>
        <v>Email</v>
      </c>
    </row>
    <row r="2355" spans="1:9" ht="13" x14ac:dyDescent="0.15">
      <c r="A2355" s="9">
        <f ca="1">IFERROR(__xludf.DUMMYFUNCTION("""COMPUTED_VALUE"""),283183623)</f>
        <v>283183623</v>
      </c>
      <c r="B2355" s="1" t="str">
        <f ca="1">IFERROR(__xludf.DUMMYFUNCTION("""COMPUTED_VALUE"""),"sahiba.lal@gmail.com")</f>
        <v>sahiba.lal@gmail.com</v>
      </c>
      <c r="C2355" s="9" t="str">
        <f ca="1">IFERROR(__xludf.DUMMYFUNCTION("""COMPUTED_VALUE"""),"EVERGREEN - UAN Gated Content - Embedded Petition")</f>
        <v>EVERGREEN - UAN Gated Content - Embedded Petition</v>
      </c>
      <c r="D2355" s="10">
        <f ca="1">IFERROR(__xludf.DUMMYFUNCTION("""COMPUTED_VALUE"""),45671)</f>
        <v>45671</v>
      </c>
      <c r="E2355" s="1" t="str">
        <f ca="1">IFERROR(__xludf.DUMMYFUNCTION("""COMPUTED_VALUE"""),"Tunisia")</f>
        <v>Tunisia</v>
      </c>
      <c r="F2355" s="1" t="str">
        <f ca="1">IFERROR(__xludf.DUMMYFUNCTION("""COMPUTED_VALUE"""),"4.25 USA")</f>
        <v>4.25 USA</v>
      </c>
      <c r="G2355" s="1" t="str">
        <f ca="1">IFERROR(__xludf.DUMMYFUNCTION("""COMPUTED_VALUE"""),"Individuals At Risk, Refugee and Migrant Rights")</f>
        <v>Individuals At Risk, Refugee and Migrant Rights</v>
      </c>
      <c r="H2355" s="1" t="str">
        <f ca="1">IFERROR(__xludf.DUMMYFUNCTION("""COMPUTED_VALUE"""),"2025")</f>
        <v>2025</v>
      </c>
      <c r="I2355" s="1" t="str">
        <f ca="1">IFERROR(__xludf.DUMMYFUNCTION("""COMPUTED_VALUE"""),"Letter")</f>
        <v>Letter</v>
      </c>
    </row>
    <row r="2356" spans="1:9" ht="13" x14ac:dyDescent="0.15">
      <c r="A2356" s="9">
        <f ca="1">IFERROR(__xludf.DUMMYFUNCTION("""COMPUTED_VALUE"""),283238167)</f>
        <v>283238167</v>
      </c>
      <c r="B2356" s="1" t="str">
        <f ca="1">IFERROR(__xludf.DUMMYFUNCTION("""COMPUTED_VALUE"""),"rcadmaven@gmail.com")</f>
        <v>rcadmaven@gmail.com</v>
      </c>
      <c r="C2356" s="9" t="str">
        <f ca="1">IFERROR(__xludf.DUMMYFUNCTION("""COMPUTED_VALUE"""),"EVERGREEN - UAN Gated Content - Embedded Petition")</f>
        <v>EVERGREEN - UAN Gated Content - Embedded Petition</v>
      </c>
      <c r="D2356" s="10">
        <f ca="1">IFERROR(__xludf.DUMMYFUNCTION("""COMPUTED_VALUE"""),45616)</f>
        <v>45616</v>
      </c>
      <c r="E2356" s="1" t="str">
        <f ca="1">IFERROR(__xludf.DUMMYFUNCTION("""COMPUTED_VALUE"""),"USA")</f>
        <v>USA</v>
      </c>
      <c r="F2356" s="1" t="str">
        <f ca="1">IFERROR(__xludf.DUMMYFUNCTION("""COMPUTED_VALUE"""),"Second 76.24 Tunisia")</f>
        <v>Second 76.24 Tunisia</v>
      </c>
      <c r="G2356" s="1" t="str">
        <f ca="1">IFERROR(__xludf.DUMMYFUNCTION("""COMPUTED_VALUE"""),"Freedom of Expression, Human Rights Defenders")</f>
        <v>Freedom of Expression, Human Rights Defenders</v>
      </c>
      <c r="H2356" s="1" t="str">
        <f ca="1">IFERROR(__xludf.DUMMYFUNCTION("""COMPUTED_VALUE"""),"2025")</f>
        <v>2025</v>
      </c>
      <c r="I2356" s="1" t="str">
        <f ca="1">IFERROR(__xludf.DUMMYFUNCTION("""COMPUTED_VALUE"""),"Email")</f>
        <v>Email</v>
      </c>
    </row>
    <row r="2357" spans="1:9" ht="13" x14ac:dyDescent="0.15">
      <c r="A2357" s="9">
        <f ca="1">IFERROR(__xludf.DUMMYFUNCTION("""COMPUTED_VALUE"""),283238167)</f>
        <v>283238167</v>
      </c>
      <c r="B2357" s="1" t="str">
        <f ca="1">IFERROR(__xludf.DUMMYFUNCTION("""COMPUTED_VALUE"""),"rcadmaven@gmail.com")</f>
        <v>rcadmaven@gmail.com</v>
      </c>
      <c r="C2357" s="9" t="str">
        <f ca="1">IFERROR(__xludf.DUMMYFUNCTION("""COMPUTED_VALUE"""),"EVERGREEN - UAN Gated Content - Embedded Petition")</f>
        <v>EVERGREEN - UAN Gated Content - Embedded Petition</v>
      </c>
      <c r="D2357" s="10">
        <f ca="1">IFERROR(__xludf.DUMMYFUNCTION("""COMPUTED_VALUE"""),45616)</f>
        <v>45616</v>
      </c>
      <c r="E2357" s="1" t="str">
        <f ca="1">IFERROR(__xludf.DUMMYFUNCTION("""COMPUTED_VALUE"""),"Tunisia")</f>
        <v>Tunisia</v>
      </c>
      <c r="F2357" s="1" t="str">
        <f ca="1">IFERROR(__xludf.DUMMYFUNCTION("""COMPUTED_VALUE"""),"Third 73.23 Egypt")</f>
        <v>Third 73.23 Egypt</v>
      </c>
      <c r="G2357" s="1" t="str">
        <f ca="1">IFERROR(__xludf.DUMMYFUNCTION("""COMPUTED_VALUE"""),"Individuals At Risk")</f>
        <v>Individuals At Risk</v>
      </c>
      <c r="H2357" s="1" t="str">
        <f ca="1">IFERROR(__xludf.DUMMYFUNCTION("""COMPUTED_VALUE"""),"2024")</f>
        <v>2024</v>
      </c>
      <c r="I2357" s="1" t="str">
        <f ca="1">IFERROR(__xludf.DUMMYFUNCTION("""COMPUTED_VALUE"""),"Email")</f>
        <v>Email</v>
      </c>
    </row>
    <row r="2358" spans="1:9" ht="13" x14ac:dyDescent="0.15">
      <c r="A2358" s="9">
        <f ca="1">IFERROR(__xludf.DUMMYFUNCTION("""COMPUTED_VALUE"""),283238167)</f>
        <v>283238167</v>
      </c>
      <c r="B2358" s="1" t="str">
        <f ca="1">IFERROR(__xludf.DUMMYFUNCTION("""COMPUTED_VALUE"""),"rcadmaven@gmail.com")</f>
        <v>rcadmaven@gmail.com</v>
      </c>
      <c r="C2358" s="9" t="str">
        <f ca="1">IFERROR(__xludf.DUMMYFUNCTION("""COMPUTED_VALUE"""),"EVERGREEN - UAN Gated Content - Embedded Petition")</f>
        <v>EVERGREEN - UAN Gated Content - Embedded Petition</v>
      </c>
      <c r="D2358" s="10">
        <f ca="1">IFERROR(__xludf.DUMMYFUNCTION("""COMPUTED_VALUE"""),45636)</f>
        <v>45636</v>
      </c>
      <c r="E2358" s="1" t="str">
        <f ca="1">IFERROR(__xludf.DUMMYFUNCTION("""COMPUTED_VALUE"""),"Egypt")</f>
        <v>Egypt</v>
      </c>
      <c r="F2358" s="1" t="str">
        <f ca="1">IFERROR(__xludf.DUMMYFUNCTION("""COMPUTED_VALUE"""),"Second 76.24 Tunisia")</f>
        <v>Second 76.24 Tunisia</v>
      </c>
      <c r="G2358" s="1" t="str">
        <f ca="1">IFERROR(__xludf.DUMMYFUNCTION("""COMPUTED_VALUE"""),"Freedom of Expression, Human Rights Defenders")</f>
        <v>Freedom of Expression, Human Rights Defenders</v>
      </c>
      <c r="H2358" s="1" t="str">
        <f ca="1">IFERROR(__xludf.DUMMYFUNCTION("""COMPUTED_VALUE"""),"2025")</f>
        <v>2025</v>
      </c>
      <c r="I2358" s="1" t="str">
        <f ca="1">IFERROR(__xludf.DUMMYFUNCTION("""COMPUTED_VALUE"""),"Email")</f>
        <v>Email</v>
      </c>
    </row>
    <row r="2359" spans="1:9" ht="13" x14ac:dyDescent="0.15">
      <c r="A2359" s="9">
        <f ca="1">IFERROR(__xludf.DUMMYFUNCTION("""COMPUTED_VALUE"""),283238167)</f>
        <v>283238167</v>
      </c>
      <c r="B2359" s="1" t="str">
        <f ca="1">IFERROR(__xludf.DUMMYFUNCTION("""COMPUTED_VALUE"""),"rcadmaven@gmail.com")</f>
        <v>rcadmaven@gmail.com</v>
      </c>
      <c r="C2359" s="9" t="str">
        <f ca="1">IFERROR(__xludf.DUMMYFUNCTION("""COMPUTED_VALUE"""),"EVERGREEN - UAN Gated Content - Embedded Petition")</f>
        <v>EVERGREEN - UAN Gated Content - Embedded Petition</v>
      </c>
      <c r="D2359" s="10">
        <f ca="1">IFERROR(__xludf.DUMMYFUNCTION("""COMPUTED_VALUE"""),45636)</f>
        <v>45636</v>
      </c>
      <c r="E2359" s="1" t="str">
        <f ca="1">IFERROR(__xludf.DUMMYFUNCTION("""COMPUTED_VALUE"""),"Tunisia")</f>
        <v>Tunisia</v>
      </c>
      <c r="F2359" s="1" t="str">
        <f ca="1">IFERROR(__xludf.DUMMYFUNCTION("""COMPUTED_VALUE"""),"Second 76.24 Tunisia")</f>
        <v>Second 76.24 Tunisia</v>
      </c>
      <c r="G2359" s="1" t="str">
        <f ca="1">IFERROR(__xludf.DUMMYFUNCTION("""COMPUTED_VALUE"""),"Freedom of Expression, Human Rights Defenders")</f>
        <v>Freedom of Expression, Human Rights Defenders</v>
      </c>
      <c r="H2359" s="1" t="str">
        <f ca="1">IFERROR(__xludf.DUMMYFUNCTION("""COMPUTED_VALUE"""),"2025")</f>
        <v>2025</v>
      </c>
      <c r="I2359" s="1" t="str">
        <f ca="1">IFERROR(__xludf.DUMMYFUNCTION("""COMPUTED_VALUE"""),"Email")</f>
        <v>Email</v>
      </c>
    </row>
    <row r="2360" spans="1:9" ht="13" x14ac:dyDescent="0.15">
      <c r="A2360" s="9">
        <f ca="1">IFERROR(__xludf.DUMMYFUNCTION("""COMPUTED_VALUE"""),283238167)</f>
        <v>283238167</v>
      </c>
      <c r="B2360" s="1" t="str">
        <f ca="1">IFERROR(__xludf.DUMMYFUNCTION("""COMPUTED_VALUE"""),"rcadmaven@gmail.com")</f>
        <v>rcadmaven@gmail.com</v>
      </c>
      <c r="C2360" s="9" t="str">
        <f ca="1">IFERROR(__xludf.DUMMYFUNCTION("""COMPUTED_VALUE"""),"EVERGREEN - UAN Gated Content - Embedded Petition")</f>
        <v>EVERGREEN - UAN Gated Content - Embedded Petition</v>
      </c>
      <c r="D2360" s="10">
        <f ca="1">IFERROR(__xludf.DUMMYFUNCTION("""COMPUTED_VALUE"""),45636)</f>
        <v>45636</v>
      </c>
      <c r="E2360" s="1" t="str">
        <f ca="1">IFERROR(__xludf.DUMMYFUNCTION("""COMPUTED_VALUE"""),"Tunisia")</f>
        <v>Tunisia</v>
      </c>
      <c r="F2360" s="1" t="str">
        <f ca="1">IFERROR(__xludf.DUMMYFUNCTION("""COMPUTED_VALUE"""),"Second 76.24 Tunisia")</f>
        <v>Second 76.24 Tunisia</v>
      </c>
      <c r="G2360" s="1" t="str">
        <f ca="1">IFERROR(__xludf.DUMMYFUNCTION("""COMPUTED_VALUE"""),"Freedom of Expression, Human Rights Defenders")</f>
        <v>Freedom of Expression, Human Rights Defenders</v>
      </c>
      <c r="H2360" s="1" t="str">
        <f ca="1">IFERROR(__xludf.DUMMYFUNCTION("""COMPUTED_VALUE"""),"2025")</f>
        <v>2025</v>
      </c>
      <c r="I2360" s="1" t="str">
        <f ca="1">IFERROR(__xludf.DUMMYFUNCTION("""COMPUTED_VALUE"""),"Email")</f>
        <v>Email</v>
      </c>
    </row>
    <row r="2361" spans="1:9" ht="13" x14ac:dyDescent="0.15">
      <c r="A2361" s="9">
        <f ca="1">IFERROR(__xludf.DUMMYFUNCTION("""COMPUTED_VALUE"""),283238167)</f>
        <v>283238167</v>
      </c>
      <c r="B2361" s="1" t="str">
        <f ca="1">IFERROR(__xludf.DUMMYFUNCTION("""COMPUTED_VALUE"""),"rcadmaven@gmail.com")</f>
        <v>rcadmaven@gmail.com</v>
      </c>
      <c r="C2361" s="9" t="str">
        <f ca="1">IFERROR(__xludf.DUMMYFUNCTION("""COMPUTED_VALUE"""),"EVERGREEN - UAN Gated Content - Embedded Petition")</f>
        <v>EVERGREEN - UAN Gated Content - Embedded Petition</v>
      </c>
      <c r="D2361" s="10">
        <f ca="1">IFERROR(__xludf.DUMMYFUNCTION("""COMPUTED_VALUE"""),45636)</f>
        <v>45636</v>
      </c>
      <c r="E2361" s="1" t="str">
        <f ca="1">IFERROR(__xludf.DUMMYFUNCTION("""COMPUTED_VALUE"""),"Tunisia")</f>
        <v>Tunisia</v>
      </c>
      <c r="F2361" s="1" t="str">
        <f ca="1">IFERROR(__xludf.DUMMYFUNCTION("""COMPUTED_VALUE"""),"4.25 USA")</f>
        <v>4.25 USA</v>
      </c>
      <c r="G2361" s="1" t="str">
        <f ca="1">IFERROR(__xludf.DUMMYFUNCTION("""COMPUTED_VALUE"""),"Individuals At Risk, Refugee and Migrant Rights")</f>
        <v>Individuals At Risk, Refugee and Migrant Rights</v>
      </c>
      <c r="H2361" s="1" t="str">
        <f ca="1">IFERROR(__xludf.DUMMYFUNCTION("""COMPUTED_VALUE"""),"2025")</f>
        <v>2025</v>
      </c>
      <c r="I2361" s="1" t="str">
        <f ca="1">IFERROR(__xludf.DUMMYFUNCTION("""COMPUTED_VALUE"""),"Letter")</f>
        <v>Letter</v>
      </c>
    </row>
    <row r="2362" spans="1:9" ht="13" x14ac:dyDescent="0.15">
      <c r="A2362" s="9">
        <f ca="1">IFERROR(__xludf.DUMMYFUNCTION("""COMPUTED_VALUE"""),283484324)</f>
        <v>283484324</v>
      </c>
      <c r="B2362" s="1" t="str">
        <f ca="1">IFERROR(__xludf.DUMMYFUNCTION("""COMPUTED_VALUE"""),"67733@sunprairieschools.org")</f>
        <v>67733@sunprairieschools.org</v>
      </c>
      <c r="C2362" s="9" t="str">
        <f ca="1">IFERROR(__xludf.DUMMYFUNCTION("""COMPUTED_VALUE"""),"EVERGREEN - UAN Gated Content - Embedded Petition")</f>
        <v>EVERGREEN - UAN Gated Content - Embedded Petition</v>
      </c>
      <c r="D2362" s="10">
        <f ca="1">IFERROR(__xludf.DUMMYFUNCTION("""COMPUTED_VALUE"""),45663)</f>
        <v>45663</v>
      </c>
      <c r="E2362" s="1" t="str">
        <f ca="1">IFERROR(__xludf.DUMMYFUNCTION("""COMPUTED_VALUE"""),"USA")</f>
        <v>USA</v>
      </c>
      <c r="F2362" s="1" t="str">
        <f ca="1">IFERROR(__xludf.DUMMYFUNCTION("""COMPUTED_VALUE"""),"4.25 USA")</f>
        <v>4.25 USA</v>
      </c>
      <c r="G2362" s="1" t="str">
        <f ca="1">IFERROR(__xludf.DUMMYFUNCTION("""COMPUTED_VALUE"""),"Individuals At Risk, Refugee and Migrant Rights")</f>
        <v>Individuals At Risk, Refugee and Migrant Rights</v>
      </c>
      <c r="H2362" s="1" t="str">
        <f ca="1">IFERROR(__xludf.DUMMYFUNCTION("""COMPUTED_VALUE"""),"2025")</f>
        <v>2025</v>
      </c>
      <c r="I2362" s="1" t="str">
        <f ca="1">IFERROR(__xludf.DUMMYFUNCTION("""COMPUTED_VALUE"""),"Letter")</f>
        <v>Letter</v>
      </c>
    </row>
    <row r="2363" spans="1:9" ht="13" x14ac:dyDescent="0.15">
      <c r="A2363" s="9">
        <f ca="1">IFERROR(__xludf.DUMMYFUNCTION("""COMPUTED_VALUE"""),283484324)</f>
        <v>283484324</v>
      </c>
      <c r="B2363" s="1" t="str">
        <f ca="1">IFERROR(__xludf.DUMMYFUNCTION("""COMPUTED_VALUE"""),"67733@sunprairieschools.org")</f>
        <v>67733@sunprairieschools.org</v>
      </c>
      <c r="C2363" s="9" t="str">
        <f ca="1">IFERROR(__xludf.DUMMYFUNCTION("""COMPUTED_VALUE"""),"EVERGREEN - UAN Gated Content - Embedded Petition")</f>
        <v>EVERGREEN - UAN Gated Content - Embedded Petition</v>
      </c>
      <c r="D2363" s="10">
        <f ca="1">IFERROR(__xludf.DUMMYFUNCTION("""COMPUTED_VALUE"""),45706)</f>
        <v>45706</v>
      </c>
      <c r="E2363" s="1" t="str">
        <f ca="1">IFERROR(__xludf.DUMMYFUNCTION("""COMPUTED_VALUE"""),"USA")</f>
        <v>USA</v>
      </c>
      <c r="F2363" s="1" t="str">
        <f ca="1">IFERROR(__xludf.DUMMYFUNCTION("""COMPUTED_VALUE"""),"Second 80.23 Egypt")</f>
        <v>Second 80.23 Egypt</v>
      </c>
      <c r="G2363" s="1" t="str">
        <f ca="1">IFERROR(__xludf.DUMMYFUNCTION("""COMPUTED_VALUE"""),"Health, Individuals At Risk")</f>
        <v>Health, Individuals At Risk</v>
      </c>
      <c r="H2363" s="1" t="str">
        <f ca="1">IFERROR(__xludf.DUMMYFUNCTION("""COMPUTED_VALUE"""),"2025")</f>
        <v>2025</v>
      </c>
      <c r="I2363" s="1" t="str">
        <f ca="1">IFERROR(__xludf.DUMMYFUNCTION("""COMPUTED_VALUE"""),"Email")</f>
        <v>Email</v>
      </c>
    </row>
    <row r="2364" spans="1:9" ht="13" x14ac:dyDescent="0.15">
      <c r="A2364" s="9">
        <f ca="1">IFERROR(__xludf.DUMMYFUNCTION("""COMPUTED_VALUE"""),283484324)</f>
        <v>283484324</v>
      </c>
      <c r="B2364" s="1" t="str">
        <f ca="1">IFERROR(__xludf.DUMMYFUNCTION("""COMPUTED_VALUE"""),"67733@sunprairieschools.org")</f>
        <v>67733@sunprairieschools.org</v>
      </c>
      <c r="C2364" s="9" t="str">
        <f ca="1">IFERROR(__xludf.DUMMYFUNCTION("""COMPUTED_VALUE"""),"EVERGREEN - UAN Gated Content - Embedded Petition")</f>
        <v>EVERGREEN - UAN Gated Content - Embedded Petition</v>
      </c>
      <c r="D2364" s="10">
        <f ca="1">IFERROR(__xludf.DUMMYFUNCTION("""COMPUTED_VALUE"""),45699)</f>
        <v>45699</v>
      </c>
      <c r="E2364" s="1" t="str">
        <f ca="1">IFERROR(__xludf.DUMMYFUNCTION("""COMPUTED_VALUE"""),"Egypt")</f>
        <v>Egypt</v>
      </c>
      <c r="F2364" s="1" t="str">
        <f ca="1">IFERROR(__xludf.DUMMYFUNCTION("""COMPUTED_VALUE"""),"10.25 Iran")</f>
        <v>10.25 Iran</v>
      </c>
      <c r="G2364" s="1" t="str">
        <f ca="1">IFERROR(__xludf.DUMMYFUNCTION("""COMPUTED_VALUE"""),"Death Penalty, Individuals At Risk")</f>
        <v>Death Penalty, Individuals At Risk</v>
      </c>
      <c r="H2364" s="1" t="str">
        <f ca="1">IFERROR(__xludf.DUMMYFUNCTION("""COMPUTED_VALUE"""),"2025")</f>
        <v>2025</v>
      </c>
      <c r="I2364" s="1" t="str">
        <f ca="1">IFERROR(__xludf.DUMMYFUNCTION("""COMPUTED_VALUE"""),"Email")</f>
        <v>Email</v>
      </c>
    </row>
    <row r="2365" spans="1:9" ht="13" x14ac:dyDescent="0.15">
      <c r="A2365" s="9">
        <f ca="1">IFERROR(__xludf.DUMMYFUNCTION("""COMPUTED_VALUE"""),283484324)</f>
        <v>283484324</v>
      </c>
      <c r="B2365" s="1" t="str">
        <f ca="1">IFERROR(__xludf.DUMMYFUNCTION("""COMPUTED_VALUE"""),"67733@sunprairieschools.org")</f>
        <v>67733@sunprairieschools.org</v>
      </c>
      <c r="C2365" s="9" t="str">
        <f ca="1">IFERROR(__xludf.DUMMYFUNCTION("""COMPUTED_VALUE"""),"EVERGREEN - UAN Gated Content - Embedded Petition")</f>
        <v>EVERGREEN - UAN Gated Content - Embedded Petition</v>
      </c>
      <c r="D2365" s="10">
        <f ca="1">IFERROR(__xludf.DUMMYFUNCTION("""COMPUTED_VALUE"""),45691)</f>
        <v>45691</v>
      </c>
      <c r="E2365" s="1" t="str">
        <f ca="1">IFERROR(__xludf.DUMMYFUNCTION("""COMPUTED_VALUE"""),"Iran")</f>
        <v>Iran</v>
      </c>
      <c r="F2365" s="1" t="str">
        <f ca="1">IFERROR(__xludf.DUMMYFUNCTION("""COMPUTED_VALUE"""),"10.25 Iran")</f>
        <v>10.25 Iran</v>
      </c>
      <c r="G2365" s="1" t="str">
        <f ca="1">IFERROR(__xludf.DUMMYFUNCTION("""COMPUTED_VALUE"""),"Death Penalty, Individuals At Risk")</f>
        <v>Death Penalty, Individuals At Risk</v>
      </c>
      <c r="H2365" s="1" t="str">
        <f ca="1">IFERROR(__xludf.DUMMYFUNCTION("""COMPUTED_VALUE"""),"2025")</f>
        <v>2025</v>
      </c>
      <c r="I2365" s="1" t="str">
        <f ca="1">IFERROR(__xludf.DUMMYFUNCTION("""COMPUTED_VALUE"""),"Email")</f>
        <v>Email</v>
      </c>
    </row>
    <row r="2366" spans="1:9" ht="13" x14ac:dyDescent="0.15">
      <c r="A2366" s="9">
        <f ca="1">IFERROR(__xludf.DUMMYFUNCTION("""COMPUTED_VALUE"""),283484324)</f>
        <v>283484324</v>
      </c>
      <c r="B2366" s="1" t="str">
        <f ca="1">IFERROR(__xludf.DUMMYFUNCTION("""COMPUTED_VALUE"""),"67733@sunprairieschools.org")</f>
        <v>67733@sunprairieschools.org</v>
      </c>
      <c r="C2366" s="9" t="str">
        <f ca="1">IFERROR(__xludf.DUMMYFUNCTION("""COMPUTED_VALUE"""),"EVERGREEN - UAN Gated Content - Embedded Petition")</f>
        <v>EVERGREEN - UAN Gated Content - Embedded Petition</v>
      </c>
      <c r="D2366" s="10">
        <f ca="1">IFERROR(__xludf.DUMMYFUNCTION("""COMPUTED_VALUE"""),45678)</f>
        <v>45678</v>
      </c>
      <c r="E2366" s="1" t="str">
        <f ca="1">IFERROR(__xludf.DUMMYFUNCTION("""COMPUTED_VALUE"""),"Iran")</f>
        <v>Iran</v>
      </c>
      <c r="F2366" s="1" t="str">
        <f ca="1">IFERROR(__xludf.DUMMYFUNCTION("""COMPUTED_VALUE"""),"Second 80.23 Egypt")</f>
        <v>Second 80.23 Egypt</v>
      </c>
      <c r="G2366" s="1" t="str">
        <f ca="1">IFERROR(__xludf.DUMMYFUNCTION("""COMPUTED_VALUE"""),"Health, Individuals At Risk")</f>
        <v>Health, Individuals At Risk</v>
      </c>
      <c r="H2366" s="1" t="str">
        <f ca="1">IFERROR(__xludf.DUMMYFUNCTION("""COMPUTED_VALUE"""),"2025")</f>
        <v>2025</v>
      </c>
      <c r="I2366" s="1" t="str">
        <f ca="1">IFERROR(__xludf.DUMMYFUNCTION("""COMPUTED_VALUE"""),"Email")</f>
        <v>Email</v>
      </c>
    </row>
    <row r="2367" spans="1:9" ht="13" x14ac:dyDescent="0.15">
      <c r="A2367" s="9">
        <f ca="1">IFERROR(__xludf.DUMMYFUNCTION("""COMPUTED_VALUE"""),283484324)</f>
        <v>283484324</v>
      </c>
      <c r="B2367" s="1" t="str">
        <f ca="1">IFERROR(__xludf.DUMMYFUNCTION("""COMPUTED_VALUE"""),"67733@sunprairieschools.org")</f>
        <v>67733@sunprairieschools.org</v>
      </c>
      <c r="C2367" s="9" t="str">
        <f ca="1">IFERROR(__xludf.DUMMYFUNCTION("""COMPUTED_VALUE"""),"EVERGREEN - UAN Gated Content - Embedded Petition")</f>
        <v>EVERGREEN - UAN Gated Content - Embedded Petition</v>
      </c>
      <c r="D2367" s="10">
        <f ca="1">IFERROR(__xludf.DUMMYFUNCTION("""COMPUTED_VALUE"""),45615)</f>
        <v>45615</v>
      </c>
      <c r="E2367" s="1" t="str">
        <f ca="1">IFERROR(__xludf.DUMMYFUNCTION("""COMPUTED_VALUE"""),"Egypt")</f>
        <v>Egypt</v>
      </c>
      <c r="F2367" s="1" t="str">
        <f ca="1">IFERROR(__xludf.DUMMYFUNCTION("""COMPUTED_VALUE"""),"Second 80.23 Egypt")</f>
        <v>Second 80.23 Egypt</v>
      </c>
      <c r="G2367" s="1" t="str">
        <f ca="1">IFERROR(__xludf.DUMMYFUNCTION("""COMPUTED_VALUE"""),"Health, Individuals At Risk")</f>
        <v>Health, Individuals At Risk</v>
      </c>
      <c r="H2367" s="1" t="str">
        <f ca="1">IFERROR(__xludf.DUMMYFUNCTION("""COMPUTED_VALUE"""),"2025")</f>
        <v>2025</v>
      </c>
      <c r="I2367" s="1" t="str">
        <f ca="1">IFERROR(__xludf.DUMMYFUNCTION("""COMPUTED_VALUE"""),"Email")</f>
        <v>Email</v>
      </c>
    </row>
    <row r="2368" spans="1:9" ht="13" x14ac:dyDescent="0.15">
      <c r="A2368" s="9">
        <f ca="1">IFERROR(__xludf.DUMMYFUNCTION("""COMPUTED_VALUE"""),283484324)</f>
        <v>283484324</v>
      </c>
      <c r="B2368" s="1" t="str">
        <f ca="1">IFERROR(__xludf.DUMMYFUNCTION("""COMPUTED_VALUE"""),"67733@sunprairieschools.org")</f>
        <v>67733@sunprairieschools.org</v>
      </c>
      <c r="C2368" s="9" t="str">
        <f ca="1">IFERROR(__xludf.DUMMYFUNCTION("""COMPUTED_VALUE"""),"EVERGREEN - UAN Gated Content - Embedded Petition")</f>
        <v>EVERGREEN - UAN Gated Content - Embedded Petition</v>
      </c>
      <c r="D2368" s="10">
        <f ca="1">IFERROR(__xludf.DUMMYFUNCTION("""COMPUTED_VALUE"""),45706)</f>
        <v>45706</v>
      </c>
      <c r="E2368" s="1" t="str">
        <f ca="1">IFERROR(__xludf.DUMMYFUNCTION("""COMPUTED_VALUE"""),"Egypt")</f>
        <v>Egypt</v>
      </c>
      <c r="F2368" s="1" t="str">
        <f ca="1">IFERROR(__xludf.DUMMYFUNCTION("""COMPUTED_VALUE"""),"10.25 Iran")</f>
        <v>10.25 Iran</v>
      </c>
      <c r="G2368" s="1" t="str">
        <f ca="1">IFERROR(__xludf.DUMMYFUNCTION("""COMPUTED_VALUE"""),"Death Penalty, Individuals At Risk")</f>
        <v>Death Penalty, Individuals At Risk</v>
      </c>
      <c r="H2368" s="1" t="str">
        <f ca="1">IFERROR(__xludf.DUMMYFUNCTION("""COMPUTED_VALUE"""),"2025")</f>
        <v>2025</v>
      </c>
      <c r="I2368" s="1" t="str">
        <f ca="1">IFERROR(__xludf.DUMMYFUNCTION("""COMPUTED_VALUE"""),"Email")</f>
        <v>Email</v>
      </c>
    </row>
    <row r="2369" spans="1:9" ht="13" x14ac:dyDescent="0.15">
      <c r="A2369" s="9">
        <f ca="1">IFERROR(__xludf.DUMMYFUNCTION("""COMPUTED_VALUE"""),283484324)</f>
        <v>283484324</v>
      </c>
      <c r="B2369" s="1" t="str">
        <f ca="1">IFERROR(__xludf.DUMMYFUNCTION("""COMPUTED_VALUE"""),"67733@sunprairieschools.org")</f>
        <v>67733@sunprairieschools.org</v>
      </c>
      <c r="C2369" s="9" t="str">
        <f ca="1">IFERROR(__xludf.DUMMYFUNCTION("""COMPUTED_VALUE"""),"EVERGREEN - UAN Gated Content - Embedded Petition")</f>
        <v>EVERGREEN - UAN Gated Content - Embedded Petition</v>
      </c>
      <c r="D2369" s="10">
        <f ca="1">IFERROR(__xludf.DUMMYFUNCTION("""COMPUTED_VALUE"""),45671)</f>
        <v>45671</v>
      </c>
      <c r="E2369" s="1" t="str">
        <f ca="1">IFERROR(__xludf.DUMMYFUNCTION("""COMPUTED_VALUE"""),"Iran")</f>
        <v>Iran</v>
      </c>
      <c r="F2369" s="1" t="str">
        <f ca="1">IFERROR(__xludf.DUMMYFUNCTION("""COMPUTED_VALUE"""),"10.25 Iran")</f>
        <v>10.25 Iran</v>
      </c>
      <c r="G2369" s="1" t="str">
        <f ca="1">IFERROR(__xludf.DUMMYFUNCTION("""COMPUTED_VALUE"""),"Death Penalty, Individuals At Risk")</f>
        <v>Death Penalty, Individuals At Risk</v>
      </c>
      <c r="H2369" s="1" t="str">
        <f ca="1">IFERROR(__xludf.DUMMYFUNCTION("""COMPUTED_VALUE"""),"2025")</f>
        <v>2025</v>
      </c>
      <c r="I2369" s="1" t="str">
        <f ca="1">IFERROR(__xludf.DUMMYFUNCTION("""COMPUTED_VALUE"""),"Email")</f>
        <v>Email</v>
      </c>
    </row>
    <row r="2370" spans="1:9" ht="13" x14ac:dyDescent="0.15">
      <c r="A2370" s="9">
        <f ca="1">IFERROR(__xludf.DUMMYFUNCTION("""COMPUTED_VALUE"""),283484324)</f>
        <v>283484324</v>
      </c>
      <c r="B2370" s="1" t="str">
        <f ca="1">IFERROR(__xludf.DUMMYFUNCTION("""COMPUTED_VALUE"""),"67733@sunprairieschools.org")</f>
        <v>67733@sunprairieschools.org</v>
      </c>
      <c r="C2370" s="9" t="str">
        <f ca="1">IFERROR(__xludf.DUMMYFUNCTION("""COMPUTED_VALUE"""),"EVERGREEN - UAN Gated Content - Embedded Petition")</f>
        <v>EVERGREEN - UAN Gated Content - Embedded Petition</v>
      </c>
      <c r="D2370" s="10">
        <f ca="1">IFERROR(__xludf.DUMMYFUNCTION("""COMPUTED_VALUE"""),45642)</f>
        <v>45642</v>
      </c>
      <c r="E2370" s="1" t="str">
        <f ca="1">IFERROR(__xludf.DUMMYFUNCTION("""COMPUTED_VALUE"""),"Iran")</f>
        <v>Iran</v>
      </c>
      <c r="F2370" s="1" t="str">
        <f ca="1">IFERROR(__xludf.DUMMYFUNCTION("""COMPUTED_VALUE"""),"Second 80.23 Egypt")</f>
        <v>Second 80.23 Egypt</v>
      </c>
      <c r="G2370" s="1" t="str">
        <f ca="1">IFERROR(__xludf.DUMMYFUNCTION("""COMPUTED_VALUE"""),"Health, Individuals At Risk")</f>
        <v>Health, Individuals At Risk</v>
      </c>
      <c r="H2370" s="1" t="str">
        <f ca="1">IFERROR(__xludf.DUMMYFUNCTION("""COMPUTED_VALUE"""),"2025")</f>
        <v>2025</v>
      </c>
      <c r="I2370" s="1" t="str">
        <f ca="1">IFERROR(__xludf.DUMMYFUNCTION("""COMPUTED_VALUE"""),"Email")</f>
        <v>Email</v>
      </c>
    </row>
    <row r="2371" spans="1:9" ht="13" x14ac:dyDescent="0.15">
      <c r="A2371" s="9">
        <f ca="1">IFERROR(__xludf.DUMMYFUNCTION("""COMPUTED_VALUE"""),283484324)</f>
        <v>283484324</v>
      </c>
      <c r="B2371" s="1" t="str">
        <f ca="1">IFERROR(__xludf.DUMMYFUNCTION("""COMPUTED_VALUE"""),"67733@sunprairieschools.org")</f>
        <v>67733@sunprairieschools.org</v>
      </c>
      <c r="C2371" s="9" t="str">
        <f ca="1">IFERROR(__xludf.DUMMYFUNCTION("""COMPUTED_VALUE"""),"EVERGREEN - UAN Gated Content - Embedded Petition")</f>
        <v>EVERGREEN - UAN Gated Content - Embedded Petition</v>
      </c>
      <c r="D2371" s="10">
        <f ca="1">IFERROR(__xludf.DUMMYFUNCTION("""COMPUTED_VALUE"""),45706)</f>
        <v>45706</v>
      </c>
      <c r="E2371" s="1" t="str">
        <f ca="1">IFERROR(__xludf.DUMMYFUNCTION("""COMPUTED_VALUE"""),"Egypt")</f>
        <v>Egypt</v>
      </c>
      <c r="F2371" s="1" t="str">
        <f ca="1">IFERROR(__xludf.DUMMYFUNCTION("""COMPUTED_VALUE"""),"Second 80.23 Egypt")</f>
        <v>Second 80.23 Egypt</v>
      </c>
      <c r="G2371" s="1" t="str">
        <f ca="1">IFERROR(__xludf.DUMMYFUNCTION("""COMPUTED_VALUE"""),"Health, Individuals At Risk")</f>
        <v>Health, Individuals At Risk</v>
      </c>
      <c r="H2371" s="1" t="str">
        <f ca="1">IFERROR(__xludf.DUMMYFUNCTION("""COMPUTED_VALUE"""),"2025")</f>
        <v>2025</v>
      </c>
      <c r="I2371" s="1" t="str">
        <f ca="1">IFERROR(__xludf.DUMMYFUNCTION("""COMPUTED_VALUE"""),"Email")</f>
        <v>Email</v>
      </c>
    </row>
    <row r="2372" spans="1:9" ht="13" x14ac:dyDescent="0.15">
      <c r="A2372" s="9">
        <f ca="1">IFERROR(__xludf.DUMMYFUNCTION("""COMPUTED_VALUE"""),283520340)</f>
        <v>283520340</v>
      </c>
      <c r="B2372" s="1" t="str">
        <f ca="1">IFERROR(__xludf.DUMMYFUNCTION("""COMPUTED_VALUE"""),"stephintolove@gmail.com")</f>
        <v>stephintolove@gmail.com</v>
      </c>
      <c r="C2372" s="9" t="str">
        <f ca="1">IFERROR(__xludf.DUMMYFUNCTION("""COMPUTED_VALUE"""),"EVERGREEN - UAN Gated Content - Embedded Petition")</f>
        <v>EVERGREEN - UAN Gated Content - Embedded Petition</v>
      </c>
      <c r="D2372" s="10">
        <f ca="1">IFERROR(__xludf.DUMMYFUNCTION("""COMPUTED_VALUE"""),45673)</f>
        <v>45673</v>
      </c>
      <c r="E2372" s="1" t="str">
        <f ca="1">IFERROR(__xludf.DUMMYFUNCTION("""COMPUTED_VALUE"""),"Egypt")</f>
        <v>Egypt</v>
      </c>
      <c r="F2372" s="1" t="str">
        <f ca="1">IFERROR(__xludf.DUMMYFUNCTION("""COMPUTED_VALUE"""),"Second 76.24 Tunisia")</f>
        <v>Second 76.24 Tunisia</v>
      </c>
      <c r="G2372" s="1" t="str">
        <f ca="1">IFERROR(__xludf.DUMMYFUNCTION("""COMPUTED_VALUE"""),"Freedom of Expression, Human Rights Defenders")</f>
        <v>Freedom of Expression, Human Rights Defenders</v>
      </c>
      <c r="H2372" s="1" t="str">
        <f ca="1">IFERROR(__xludf.DUMMYFUNCTION("""COMPUTED_VALUE"""),"2025")</f>
        <v>2025</v>
      </c>
      <c r="I2372" s="1" t="str">
        <f ca="1">IFERROR(__xludf.DUMMYFUNCTION("""COMPUTED_VALUE"""),"Email")</f>
        <v>Email</v>
      </c>
    </row>
    <row r="2373" spans="1:9" ht="13" x14ac:dyDescent="0.15">
      <c r="A2373" s="9">
        <f ca="1">IFERROR(__xludf.DUMMYFUNCTION("""COMPUTED_VALUE"""),283595323)</f>
        <v>283595323</v>
      </c>
      <c r="B2373" s="1" t="str">
        <f ca="1">IFERROR(__xludf.DUMMYFUNCTION("""COMPUTED_VALUE"""),"ebrahif@gmail.com")</f>
        <v>ebrahif@gmail.com</v>
      </c>
      <c r="C2373" s="9" t="str">
        <f ca="1">IFERROR(__xludf.DUMMYFUNCTION("""COMPUTED_VALUE"""),"EVERGREEN - UAN Gated Content - Embedded Petition")</f>
        <v>EVERGREEN - UAN Gated Content - Embedded Petition</v>
      </c>
      <c r="D2373" s="10">
        <f ca="1">IFERROR(__xludf.DUMMYFUNCTION("""COMPUTED_VALUE"""),45673)</f>
        <v>45673</v>
      </c>
      <c r="E2373" s="1" t="str">
        <f ca="1">IFERROR(__xludf.DUMMYFUNCTION("""COMPUTED_VALUE"""),"Tunisia")</f>
        <v>Tunisia</v>
      </c>
      <c r="F2373" s="1" t="str">
        <f ca="1">IFERROR(__xludf.DUMMYFUNCTION("""COMPUTED_VALUE"""),"Second 76.24 Tunisia")</f>
        <v>Second 76.24 Tunisia</v>
      </c>
      <c r="G2373" s="1" t="str">
        <f ca="1">IFERROR(__xludf.DUMMYFUNCTION("""COMPUTED_VALUE"""),"Freedom of Expression, Human Rights Defenders")</f>
        <v>Freedom of Expression, Human Rights Defenders</v>
      </c>
      <c r="H2373" s="1" t="str">
        <f ca="1">IFERROR(__xludf.DUMMYFUNCTION("""COMPUTED_VALUE"""),"2025")</f>
        <v>2025</v>
      </c>
      <c r="I2373" s="1" t="str">
        <f ca="1">IFERROR(__xludf.DUMMYFUNCTION("""COMPUTED_VALUE"""),"Email")</f>
        <v>Email</v>
      </c>
    </row>
    <row r="2374" spans="1:9" ht="13" x14ac:dyDescent="0.15">
      <c r="A2374" s="9">
        <f ca="1">IFERROR(__xludf.DUMMYFUNCTION("""COMPUTED_VALUE"""),283602933)</f>
        <v>283602933</v>
      </c>
      <c r="B2374" s="1" t="str">
        <f ca="1">IFERROR(__xludf.DUMMYFUNCTION("""COMPUTED_VALUE"""),"26cootay@student.mcpsmt.org")</f>
        <v>26cootay@student.mcpsmt.org</v>
      </c>
      <c r="C2374" s="9" t="str">
        <f ca="1">IFERROR(__xludf.DUMMYFUNCTION("""COMPUTED_VALUE"""),"EVERGREEN - UAN Gated Content - Embedded Petition")</f>
        <v>EVERGREEN - UAN Gated Content - Embedded Petition</v>
      </c>
      <c r="D2374" s="10">
        <f ca="1">IFERROR(__xludf.DUMMYFUNCTION("""COMPUTED_VALUE"""),45678)</f>
        <v>45678</v>
      </c>
      <c r="E2374" s="1" t="str">
        <f ca="1">IFERROR(__xludf.DUMMYFUNCTION("""COMPUTED_VALUE"""),"Tunisia")</f>
        <v>Tunisia</v>
      </c>
      <c r="F2374" s="1" t="str">
        <f ca="1">IFERROR(__xludf.DUMMYFUNCTION("""COMPUTED_VALUE"""),"10.25 Iran")</f>
        <v>10.25 Iran</v>
      </c>
      <c r="G2374" s="1" t="str">
        <f ca="1">IFERROR(__xludf.DUMMYFUNCTION("""COMPUTED_VALUE"""),"Death Penalty, Individuals At Risk")</f>
        <v>Death Penalty, Individuals At Risk</v>
      </c>
      <c r="H2374" s="1" t="str">
        <f ca="1">IFERROR(__xludf.DUMMYFUNCTION("""COMPUTED_VALUE"""),"2025")</f>
        <v>2025</v>
      </c>
      <c r="I2374" s="1" t="str">
        <f ca="1">IFERROR(__xludf.DUMMYFUNCTION("""COMPUTED_VALUE"""),"Email")</f>
        <v>Email</v>
      </c>
    </row>
    <row r="2375" spans="1:9" ht="13" x14ac:dyDescent="0.15">
      <c r="A2375" s="9">
        <f ca="1">IFERROR(__xludf.DUMMYFUNCTION("""COMPUTED_VALUE"""),283639340)</f>
        <v>283639340</v>
      </c>
      <c r="B2375" s="1" t="str">
        <f ca="1">IFERROR(__xludf.DUMMYFUNCTION("""COMPUTED_VALUE"""),"ouassim@its.com")</f>
        <v>ouassim@its.com</v>
      </c>
      <c r="C2375" s="9" t="str">
        <f ca="1">IFERROR(__xludf.DUMMYFUNCTION("""COMPUTED_VALUE"""),"UAN mid-page Lightbox - Step 1 of 4 - Landing Page")</f>
        <v>UAN mid-page Lightbox - Step 1 of 4 - Landing Page</v>
      </c>
      <c r="D2375" s="10">
        <f ca="1">IFERROR(__xludf.DUMMYFUNCTION("""COMPUTED_VALUE"""),45560)</f>
        <v>45560</v>
      </c>
      <c r="E2375" s="1" t="str">
        <f ca="1">IFERROR(__xludf.DUMMYFUNCTION("""COMPUTED_VALUE"""),"Iran")</f>
        <v>Iran</v>
      </c>
      <c r="F2375" s="1" t="str">
        <f ca="1">IFERROR(__xludf.DUMMYFUNCTION("""COMPUTED_VALUE"""),"4.25 USA")</f>
        <v>4.25 USA</v>
      </c>
      <c r="G2375" s="1" t="str">
        <f ca="1">IFERROR(__xludf.DUMMYFUNCTION("""COMPUTED_VALUE"""),"Individuals At Risk, Refugee and Migrant Rights")</f>
        <v>Individuals At Risk, Refugee and Migrant Rights</v>
      </c>
      <c r="H2375" s="1" t="str">
        <f ca="1">IFERROR(__xludf.DUMMYFUNCTION("""COMPUTED_VALUE"""),"2025")</f>
        <v>2025</v>
      </c>
      <c r="I2375" s="1" t="str">
        <f ca="1">IFERROR(__xludf.DUMMYFUNCTION("""COMPUTED_VALUE"""),"Letter")</f>
        <v>Letter</v>
      </c>
    </row>
    <row r="2376" spans="1:9" ht="13" x14ac:dyDescent="0.15">
      <c r="A2376" s="9">
        <f ca="1">IFERROR(__xludf.DUMMYFUNCTION("""COMPUTED_VALUE"""),283824079)</f>
        <v>283824079</v>
      </c>
      <c r="B2376" s="1" t="str">
        <f ca="1">IFERROR(__xludf.DUMMYFUNCTION("""COMPUTED_VALUE"""),"gonzalezalexistori33@gmail.com")</f>
        <v>gonzalezalexistori33@gmail.com</v>
      </c>
      <c r="C2376" s="9" t="str">
        <f ca="1">IFERROR(__xludf.DUMMYFUNCTION("""COMPUTED_VALUE"""),"EVERGREEN - UAN Gated Content - Embedded Petition")</f>
        <v>EVERGREEN - UAN Gated Content - Embedded Petition</v>
      </c>
      <c r="D2376" s="10">
        <f ca="1">IFERROR(__xludf.DUMMYFUNCTION("""COMPUTED_VALUE"""),45694)</f>
        <v>45694</v>
      </c>
      <c r="E2376" s="1" t="str">
        <f ca="1">IFERROR(__xludf.DUMMYFUNCTION("""COMPUTED_VALUE"""),"USA")</f>
        <v>USA</v>
      </c>
      <c r="F2376" s="1" t="str">
        <f ca="1">IFERROR(__xludf.DUMMYFUNCTION("""COMPUTED_VALUE"""),"Second 43.24 Tunisia")</f>
        <v>Second 43.24 Tunisia</v>
      </c>
      <c r="G2376" s="1" t="str">
        <f ca="1">IFERROR(__xludf.DUMMYFUNCTION("""COMPUTED_VALUE"""),"Freedom of Expression, Individuals At Risk")</f>
        <v>Freedom of Expression, Individuals At Risk</v>
      </c>
      <c r="H2376" s="1" t="str">
        <f ca="1">IFERROR(__xludf.DUMMYFUNCTION("""COMPUTED_VALUE"""),"2024")</f>
        <v>2024</v>
      </c>
      <c r="I2376" s="1" t="str">
        <f ca="1">IFERROR(__xludf.DUMMYFUNCTION("""COMPUTED_VALUE"""),"Email")</f>
        <v>Email</v>
      </c>
    </row>
    <row r="2377" spans="1:9" ht="13" x14ac:dyDescent="0.15">
      <c r="A2377" s="9">
        <f ca="1">IFERROR(__xludf.DUMMYFUNCTION("""COMPUTED_VALUE"""),283834572)</f>
        <v>283834572</v>
      </c>
      <c r="B2377" s="1" t="str">
        <f ca="1">IFERROR(__xludf.DUMMYFUNCTION("""COMPUTED_VALUE"""),"oo@test.com")</f>
        <v>oo@test.com</v>
      </c>
      <c r="C2377" s="9" t="str">
        <f ca="1">IFERROR(__xludf.DUMMYFUNCTION("""COMPUTED_VALUE"""),"EVERGREEN - UAN Gated Content - Embedded Petition")</f>
        <v>EVERGREEN - UAN Gated Content - Embedded Petition</v>
      </c>
      <c r="D2377" s="10">
        <f ca="1">IFERROR(__xludf.DUMMYFUNCTION("""COMPUTED_VALUE"""),45565)</f>
        <v>45565</v>
      </c>
      <c r="E2377" s="1" t="str">
        <f ca="1">IFERROR(__xludf.DUMMYFUNCTION("""COMPUTED_VALUE"""),"Tunisia")</f>
        <v>Tunisia</v>
      </c>
      <c r="F2377" s="1" t="str">
        <f ca="1">IFERROR(__xludf.DUMMYFUNCTION("""COMPUTED_VALUE"""),"107.24 Singapore")</f>
        <v>107.24 Singapore</v>
      </c>
      <c r="G2377" s="1" t="str">
        <f ca="1">IFERROR(__xludf.DUMMYFUNCTION("""COMPUTED_VALUE"""),"Death Penalty")</f>
        <v>Death Penalty</v>
      </c>
      <c r="H2377" s="1" t="str">
        <f ca="1">IFERROR(__xludf.DUMMYFUNCTION("""COMPUTED_VALUE"""),"2024")</f>
        <v>2024</v>
      </c>
      <c r="I2377" s="1" t="str">
        <f ca="1">IFERROR(__xludf.DUMMYFUNCTION("""COMPUTED_VALUE"""),"Email")</f>
        <v>Email</v>
      </c>
    </row>
    <row r="2378" spans="1:9" ht="13" x14ac:dyDescent="0.15">
      <c r="A2378" s="9">
        <f ca="1">IFERROR(__xludf.DUMMYFUNCTION("""COMPUTED_VALUE"""),284041268)</f>
        <v>284041268</v>
      </c>
      <c r="B2378" s="1" t="str">
        <f ca="1">IFERROR(__xludf.DUMMYFUNCTION("""COMPUTED_VALUE"""),"cchen26@episcopalhighschool.org")</f>
        <v>cchen26@episcopalhighschool.org</v>
      </c>
      <c r="C2378" s="9" t="str">
        <f ca="1">IFERROR(__xludf.DUMMYFUNCTION("""COMPUTED_VALUE"""),"EVERGREEN - UAN Gated Content - Embedded Petition")</f>
        <v>EVERGREEN - UAN Gated Content - Embedded Petition</v>
      </c>
      <c r="D2378" s="10">
        <f ca="1">IFERROR(__xludf.DUMMYFUNCTION("""COMPUTED_VALUE"""),45700)</f>
        <v>45700</v>
      </c>
      <c r="E2378" s="1" t="str">
        <f ca="1">IFERROR(__xludf.DUMMYFUNCTION("""COMPUTED_VALUE"""),"Singapore")</f>
        <v>Singapore</v>
      </c>
      <c r="F2378" s="1" t="str">
        <f ca="1">IFERROR(__xludf.DUMMYFUNCTION("""COMPUTED_VALUE"""),"Fourth 29.23 Egypt")</f>
        <v>Fourth 29.23 Egypt</v>
      </c>
      <c r="G2378" s="1" t="str">
        <f ca="1">IFERROR(__xludf.DUMMYFUNCTION("""COMPUTED_VALUE"""),"Freedom of Expression, Individuals At Risk, Right to Protest")</f>
        <v>Freedom of Expression, Individuals At Risk, Right to Protest</v>
      </c>
      <c r="H2378" s="1" t="str">
        <f ca="1">IFERROR(__xludf.DUMMYFUNCTION("""COMPUTED_VALUE"""),"2024")</f>
        <v>2024</v>
      </c>
      <c r="I2378" s="1" t="str">
        <f ca="1">IFERROR(__xludf.DUMMYFUNCTION("""COMPUTED_VALUE"""),"Email")</f>
        <v>Email</v>
      </c>
    </row>
    <row r="2379" spans="1:9" ht="13" x14ac:dyDescent="0.15">
      <c r="A2379" s="9">
        <f ca="1">IFERROR(__xludf.DUMMYFUNCTION("""COMPUTED_VALUE"""),284076252)</f>
        <v>284076252</v>
      </c>
      <c r="B2379" s="1" t="str">
        <f ca="1">IFERROR(__xludf.DUMMYFUNCTION("""COMPUTED_VALUE"""),"peacenik1972@gmail.com")</f>
        <v>peacenik1972@gmail.com</v>
      </c>
      <c r="C2379" s="9" t="str">
        <f ca="1">IFERROR(__xludf.DUMMYFUNCTION("""COMPUTED_VALUE"""),"EVERGREEN - Website Email Capture Form - UAN Pre-Footer")</f>
        <v>EVERGREEN - Website Email Capture Form - UAN Pre-Footer</v>
      </c>
      <c r="D2379" s="10">
        <f ca="1">IFERROR(__xludf.DUMMYFUNCTION("""COMPUTED_VALUE"""),45646)</f>
        <v>45646</v>
      </c>
      <c r="E2379" s="1" t="str">
        <f ca="1">IFERROR(__xludf.DUMMYFUNCTION("""COMPUTED_VALUE"""),"Egypt")</f>
        <v>Egypt</v>
      </c>
      <c r="F2379" s="1" t="str">
        <f ca="1">IFERROR(__xludf.DUMMYFUNCTION("""COMPUTED_VALUE"""),"4.25 USA")</f>
        <v>4.25 USA</v>
      </c>
      <c r="G2379" s="1" t="str">
        <f ca="1">IFERROR(__xludf.DUMMYFUNCTION("""COMPUTED_VALUE"""),"Individuals At Risk, Refugee and Migrant Rights")</f>
        <v>Individuals At Risk, Refugee and Migrant Rights</v>
      </c>
      <c r="H2379" s="1" t="str">
        <f ca="1">IFERROR(__xludf.DUMMYFUNCTION("""COMPUTED_VALUE"""),"2025")</f>
        <v>2025</v>
      </c>
      <c r="I2379" s="1" t="str">
        <f ca="1">IFERROR(__xludf.DUMMYFUNCTION("""COMPUTED_VALUE"""),"Letter")</f>
        <v>Letter</v>
      </c>
    </row>
    <row r="2380" spans="1:9" ht="13" x14ac:dyDescent="0.15">
      <c r="A2380" s="9">
        <f ca="1">IFERROR(__xludf.DUMMYFUNCTION("""COMPUTED_VALUE"""),284155605)</f>
        <v>284155605</v>
      </c>
      <c r="B2380" s="1" t="str">
        <f ca="1">IFERROR(__xludf.DUMMYFUNCTION("""COMPUTED_VALUE"""),"v.mayan@amnistia.pt")</f>
        <v>v.mayan@amnistia.pt</v>
      </c>
      <c r="C2380" s="9" t="str">
        <f ca="1">IFERROR(__xludf.DUMMYFUNCTION("""COMPUTED_VALUE"""),"UAN mid-page Lightbox - Step 1 of 4 - Landing Page")</f>
        <v>UAN mid-page Lightbox - Step 1 of 4 - Landing Page</v>
      </c>
      <c r="D2380" s="10">
        <f ca="1">IFERROR(__xludf.DUMMYFUNCTION("""COMPUTED_VALUE"""),45693)</f>
        <v>45693</v>
      </c>
      <c r="E2380" s="1" t="str">
        <f ca="1">IFERROR(__xludf.DUMMYFUNCTION("""COMPUTED_VALUE"""),"USA")</f>
        <v>USA</v>
      </c>
      <c r="F2380" s="1" t="str">
        <f ca="1">IFERROR(__xludf.DUMMYFUNCTION("""COMPUTED_VALUE"""),"4.25 USA")</f>
        <v>4.25 USA</v>
      </c>
      <c r="G2380" s="1" t="str">
        <f ca="1">IFERROR(__xludf.DUMMYFUNCTION("""COMPUTED_VALUE"""),"Individuals At Risk, Refugee and Migrant Rights")</f>
        <v>Individuals At Risk, Refugee and Migrant Rights</v>
      </c>
      <c r="H2380" s="1" t="str">
        <f ca="1">IFERROR(__xludf.DUMMYFUNCTION("""COMPUTED_VALUE"""),"2025")</f>
        <v>2025</v>
      </c>
      <c r="I2380" s="1" t="str">
        <f ca="1">IFERROR(__xludf.DUMMYFUNCTION("""COMPUTED_VALUE"""),"Letter")</f>
        <v>Letter</v>
      </c>
    </row>
    <row r="2381" spans="1:9" ht="13" x14ac:dyDescent="0.15">
      <c r="A2381" s="9">
        <f ca="1">IFERROR(__xludf.DUMMYFUNCTION("""COMPUTED_VALUE"""),284230552)</f>
        <v>284230552</v>
      </c>
      <c r="B2381" s="1" t="str">
        <f ca="1">IFERROR(__xludf.DUMMYFUNCTION("""COMPUTED_VALUE"""),"rossiannette@gmail.com")</f>
        <v>rossiannette@gmail.com</v>
      </c>
      <c r="C2381" s="9" t="str">
        <f ca="1">IFERROR(__xludf.DUMMYFUNCTION("""COMPUTED_VALUE"""),"EVERGREEN - UAN Gated Content - Embedded Petition")</f>
        <v>EVERGREEN - UAN Gated Content - Embedded Petition</v>
      </c>
      <c r="D2381" s="10">
        <f ca="1">IFERROR(__xludf.DUMMYFUNCTION("""COMPUTED_VALUE"""),45672)</f>
        <v>45672</v>
      </c>
      <c r="E2381" s="1" t="str">
        <f ca="1">IFERROR(__xludf.DUMMYFUNCTION("""COMPUTED_VALUE"""),"USA")</f>
        <v>USA</v>
      </c>
      <c r="F2381" s="1" t="str">
        <f ca="1">IFERROR(__xludf.DUMMYFUNCTION("""COMPUTED_VALUE"""),"4.25 USA")</f>
        <v>4.25 USA</v>
      </c>
      <c r="G2381" s="1" t="str">
        <f ca="1">IFERROR(__xludf.DUMMYFUNCTION("""COMPUTED_VALUE"""),"Individuals At Risk, Refugee and Migrant Rights")</f>
        <v>Individuals At Risk, Refugee and Migrant Rights</v>
      </c>
      <c r="H2381" s="1" t="str">
        <f ca="1">IFERROR(__xludf.DUMMYFUNCTION("""COMPUTED_VALUE"""),"2025")</f>
        <v>2025</v>
      </c>
      <c r="I2381" s="1" t="str">
        <f ca="1">IFERROR(__xludf.DUMMYFUNCTION("""COMPUTED_VALUE"""),"Letter")</f>
        <v>Letter</v>
      </c>
    </row>
    <row r="2382" spans="1:9" ht="13" x14ac:dyDescent="0.15">
      <c r="A2382" s="9">
        <f ca="1">IFERROR(__xludf.DUMMYFUNCTION("""COMPUTED_VALUE"""),284271655)</f>
        <v>284271655</v>
      </c>
      <c r="B2382" s="1" t="str">
        <f ca="1">IFERROR(__xludf.DUMMYFUNCTION("""COMPUTED_VALUE"""),"aynz@yahoo.com")</f>
        <v>aynz@yahoo.com</v>
      </c>
      <c r="C2382" s="9" t="str">
        <f ca="1">IFERROR(__xludf.DUMMYFUNCTION("""COMPUTED_VALUE"""),"EVERGREEN - UAN Gated Content - Embedded Petition")</f>
        <v>EVERGREEN - UAN Gated Content - Embedded Petition</v>
      </c>
      <c r="D2382" s="10">
        <f ca="1">IFERROR(__xludf.DUMMYFUNCTION("""COMPUTED_VALUE"""),45672)</f>
        <v>45672</v>
      </c>
      <c r="E2382" s="1" t="str">
        <f ca="1">IFERROR(__xludf.DUMMYFUNCTION("""COMPUTED_VALUE"""),"USA")</f>
        <v>USA</v>
      </c>
      <c r="F2382" s="1" t="str">
        <f ca="1">IFERROR(__xludf.DUMMYFUNCTION("""COMPUTED_VALUE"""),"11.25 Afghanistan")</f>
        <v>11.25 Afghanistan</v>
      </c>
      <c r="G2382" s="1" t="str">
        <f ca="1">IFERROR(__xludf.DUMMYFUNCTION("""COMPUTED_VALUE"""),"Freedom of Expression, Health, Individuals At Risk")</f>
        <v>Freedom of Expression, Health, Individuals At Risk</v>
      </c>
      <c r="H2382" s="1" t="str">
        <f ca="1">IFERROR(__xludf.DUMMYFUNCTION("""COMPUTED_VALUE"""),"2025")</f>
        <v>2025</v>
      </c>
      <c r="I2382" s="1" t="str">
        <f ca="1">IFERROR(__xludf.DUMMYFUNCTION("""COMPUTED_VALUE"""),"Email")</f>
        <v>Email</v>
      </c>
    </row>
    <row r="2383" spans="1:9" ht="13" x14ac:dyDescent="0.15">
      <c r="A2383" s="9">
        <f ca="1">IFERROR(__xludf.DUMMYFUNCTION("""COMPUTED_VALUE"""),284284630)</f>
        <v>284284630</v>
      </c>
      <c r="B2383" s="1" t="str">
        <f ca="1">IFERROR(__xludf.DUMMYFUNCTION("""COMPUTED_VALUE"""),"sheilamusaji@aol.com")</f>
        <v>sheilamusaji@aol.com</v>
      </c>
      <c r="C2383" s="9" t="str">
        <f ca="1">IFERROR(__xludf.DUMMYFUNCTION("""COMPUTED_VALUE"""),"EVERGREEN - UAN Gated Content - Embedded Petition")</f>
        <v>EVERGREEN - UAN Gated Content - Embedded Petition</v>
      </c>
      <c r="D2383" s="10">
        <f ca="1">IFERROR(__xludf.DUMMYFUNCTION("""COMPUTED_VALUE"""),45689)</f>
        <v>45689</v>
      </c>
      <c r="E2383" s="1" t="str">
        <f ca="1">IFERROR(__xludf.DUMMYFUNCTION("""COMPUTED_VALUE"""),"Afghanistan")</f>
        <v>Afghanistan</v>
      </c>
      <c r="F2383" s="1" t="str">
        <f ca="1">IFERROR(__xludf.DUMMYFUNCTION("""COMPUTED_VALUE"""),"4.25 USA")</f>
        <v>4.25 USA</v>
      </c>
      <c r="G2383" s="1" t="str">
        <f ca="1">IFERROR(__xludf.DUMMYFUNCTION("""COMPUTED_VALUE"""),"Individuals At Risk, Refugee and Migrant Rights")</f>
        <v>Individuals At Risk, Refugee and Migrant Rights</v>
      </c>
      <c r="H2383" s="1" t="str">
        <f ca="1">IFERROR(__xludf.DUMMYFUNCTION("""COMPUTED_VALUE"""),"2025")</f>
        <v>2025</v>
      </c>
      <c r="I2383" s="1" t="str">
        <f ca="1">IFERROR(__xludf.DUMMYFUNCTION("""COMPUTED_VALUE"""),"Letter")</f>
        <v>Letter</v>
      </c>
    </row>
    <row r="2384" spans="1:9" ht="13" x14ac:dyDescent="0.15">
      <c r="A2384" s="9">
        <f ca="1">IFERROR(__xludf.DUMMYFUNCTION("""COMPUTED_VALUE"""),284317624)</f>
        <v>284317624</v>
      </c>
      <c r="B2384" s="1" t="str">
        <f ca="1">IFERROR(__xludf.DUMMYFUNCTION("""COMPUTED_VALUE"""),"alexmechanic@gmail.com")</f>
        <v>alexmechanic@gmail.com</v>
      </c>
      <c r="C2384" s="9" t="str">
        <f ca="1">IFERROR(__xludf.DUMMYFUNCTION("""COMPUTED_VALUE"""),"EVERGREEN - UAN Gated Content - Embedded Petition")</f>
        <v>EVERGREEN - UAN Gated Content - Embedded Petition</v>
      </c>
      <c r="D2384" s="10">
        <f ca="1">IFERROR(__xludf.DUMMYFUNCTION("""COMPUTED_VALUE"""),45694)</f>
        <v>45694</v>
      </c>
      <c r="E2384" s="1" t="str">
        <f ca="1">IFERROR(__xludf.DUMMYFUNCTION("""COMPUTED_VALUE"""),"USA")</f>
        <v>USA</v>
      </c>
      <c r="F2384" s="1" t="str">
        <f ca="1">IFERROR(__xludf.DUMMYFUNCTION("""COMPUTED_VALUE"""),"4.25 USA")</f>
        <v>4.25 USA</v>
      </c>
      <c r="G2384" s="1" t="str">
        <f ca="1">IFERROR(__xludf.DUMMYFUNCTION("""COMPUTED_VALUE"""),"Individuals At Risk, Refugee and Migrant Rights")</f>
        <v>Individuals At Risk, Refugee and Migrant Rights</v>
      </c>
      <c r="H2384" s="1" t="str">
        <f ca="1">IFERROR(__xludf.DUMMYFUNCTION("""COMPUTED_VALUE"""),"2025")</f>
        <v>2025</v>
      </c>
      <c r="I2384" s="1" t="str">
        <f ca="1">IFERROR(__xludf.DUMMYFUNCTION("""COMPUTED_VALUE"""),"Letter")</f>
        <v>Letter</v>
      </c>
    </row>
    <row r="2385" spans="1:9" ht="13" x14ac:dyDescent="0.15">
      <c r="A2385" s="9">
        <f ca="1">IFERROR(__xludf.DUMMYFUNCTION("""COMPUTED_VALUE"""),284480741)</f>
        <v>284480741</v>
      </c>
      <c r="B2385" s="1" t="str">
        <f ca="1">IFERROR(__xludf.DUMMYFUNCTION("""COMPUTED_VALUE"""),"leo.nollet@telenet.be")</f>
        <v>leo.nollet@telenet.be</v>
      </c>
      <c r="C2385" s="9" t="str">
        <f ca="1">IFERROR(__xludf.DUMMYFUNCTION("""COMPUTED_VALUE"""),"EVERGREEN - UAN Gated Content - Embedded Petition")</f>
        <v>EVERGREEN - UAN Gated Content - Embedded Petition</v>
      </c>
      <c r="D2385" s="10">
        <f ca="1">IFERROR(__xludf.DUMMYFUNCTION("""COMPUTED_VALUE"""),45617)</f>
        <v>45617</v>
      </c>
      <c r="E2385" s="1" t="str">
        <f ca="1">IFERROR(__xludf.DUMMYFUNCTION("""COMPUTED_VALUE"""),"USA")</f>
        <v>USA</v>
      </c>
      <c r="F2385" s="1" t="str">
        <f ca="1">IFERROR(__xludf.DUMMYFUNCTION("""COMPUTED_VALUE"""),"Second 85.24 Honduras")</f>
        <v>Second 85.24 Honduras</v>
      </c>
      <c r="G2385" s="1" t="str">
        <f ca="1">IFERROR(__xludf.DUMMYFUNCTION("""COMPUTED_VALUE"""),"Climate Justice, Human Rights Defenders, Right to Protest")</f>
        <v>Climate Justice, Human Rights Defenders, Right to Protest</v>
      </c>
      <c r="H2385" s="1" t="str">
        <f ca="1">IFERROR(__xludf.DUMMYFUNCTION("""COMPUTED_VALUE"""),"2024")</f>
        <v>2024</v>
      </c>
      <c r="I2385" s="1" t="str">
        <f ca="1">IFERROR(__xludf.DUMMYFUNCTION("""COMPUTED_VALUE"""),"Email")</f>
        <v>Email</v>
      </c>
    </row>
    <row r="2386" spans="1:9" ht="13" x14ac:dyDescent="0.15">
      <c r="A2386" s="9">
        <f ca="1">IFERROR(__xludf.DUMMYFUNCTION("""COMPUTED_VALUE"""),284480995)</f>
        <v>284480995</v>
      </c>
      <c r="B2386" s="1" t="str">
        <f ca="1">IFERROR(__xludf.DUMMYFUNCTION("""COMPUTED_VALUE"""),"veroviala@hotmail.com")</f>
        <v>veroviala@hotmail.com</v>
      </c>
      <c r="C2386" s="9" t="str">
        <f ca="1">IFERROR(__xludf.DUMMYFUNCTION("""COMPUTED_VALUE"""),"EVERGREEN - UAN Gated Content - Embedded Petition")</f>
        <v>EVERGREEN - UAN Gated Content - Embedded Petition</v>
      </c>
      <c r="D2386" s="10">
        <f ca="1">IFERROR(__xludf.DUMMYFUNCTION("""COMPUTED_VALUE"""),45697)</f>
        <v>45697</v>
      </c>
      <c r="E2386" s="1" t="str">
        <f ca="1">IFERROR(__xludf.DUMMYFUNCTION("""COMPUTED_VALUE"""),"Honduras")</f>
        <v>Honduras</v>
      </c>
      <c r="F2386" s="1" t="str">
        <f ca="1">IFERROR(__xludf.DUMMYFUNCTION("""COMPUTED_VALUE"""),"4.25 USA")</f>
        <v>4.25 USA</v>
      </c>
      <c r="G2386" s="1" t="str">
        <f ca="1">IFERROR(__xludf.DUMMYFUNCTION("""COMPUTED_VALUE"""),"Individuals At Risk, Refugee and Migrant Rights")</f>
        <v>Individuals At Risk, Refugee and Migrant Rights</v>
      </c>
      <c r="H2386" s="1" t="str">
        <f ca="1">IFERROR(__xludf.DUMMYFUNCTION("""COMPUTED_VALUE"""),"2025")</f>
        <v>2025</v>
      </c>
      <c r="I2386" s="1" t="str">
        <f ca="1">IFERROR(__xludf.DUMMYFUNCTION("""COMPUTED_VALUE"""),"Letter")</f>
        <v>Letter</v>
      </c>
    </row>
    <row r="2387" spans="1:9" ht="13" x14ac:dyDescent="0.15">
      <c r="A2387" s="9">
        <f ca="1">IFERROR(__xludf.DUMMYFUNCTION("""COMPUTED_VALUE"""),284481051)</f>
        <v>284481051</v>
      </c>
      <c r="B2387" s="1" t="str">
        <f ca="1">IFERROR(__xludf.DUMMYFUNCTION("""COMPUTED_VALUE"""),"tozein@gmx.de")</f>
        <v>tozein@gmx.de</v>
      </c>
      <c r="C2387" s="9" t="str">
        <f ca="1">IFERROR(__xludf.DUMMYFUNCTION("""COMPUTED_VALUE"""),"EVERGREEN - UAN Gated Content - Embedded Petition")</f>
        <v>EVERGREEN - UAN Gated Content - Embedded Petition</v>
      </c>
      <c r="D2387" s="10">
        <f ca="1">IFERROR(__xludf.DUMMYFUNCTION("""COMPUTED_VALUE"""),45701)</f>
        <v>45701</v>
      </c>
      <c r="E2387" s="1" t="str">
        <f ca="1">IFERROR(__xludf.DUMMYFUNCTION("""COMPUTED_VALUE"""),"USA")</f>
        <v>USA</v>
      </c>
      <c r="F2387" s="1" t="str">
        <f ca="1">IFERROR(__xludf.DUMMYFUNCTION("""COMPUTED_VALUE"""),"4.25 USA")</f>
        <v>4.25 USA</v>
      </c>
      <c r="G2387" s="1" t="str">
        <f ca="1">IFERROR(__xludf.DUMMYFUNCTION("""COMPUTED_VALUE"""),"Individuals At Risk, Refugee and Migrant Rights")</f>
        <v>Individuals At Risk, Refugee and Migrant Rights</v>
      </c>
      <c r="H2387" s="1" t="str">
        <f ca="1">IFERROR(__xludf.DUMMYFUNCTION("""COMPUTED_VALUE"""),"2025")</f>
        <v>2025</v>
      </c>
      <c r="I2387" s="1" t="str">
        <f ca="1">IFERROR(__xludf.DUMMYFUNCTION("""COMPUTED_VALUE"""),"Letter")</f>
        <v>Letter</v>
      </c>
    </row>
    <row r="2388" spans="1:9" ht="13" x14ac:dyDescent="0.15">
      <c r="A2388" s="9">
        <f ca="1">IFERROR(__xludf.DUMMYFUNCTION("""COMPUTED_VALUE"""),284481166)</f>
        <v>284481166</v>
      </c>
      <c r="B2388" s="1" t="str">
        <f ca="1">IFERROR(__xludf.DUMMYFUNCTION("""COMPUTED_VALUE"""),"paul_allard@hotmail.com")</f>
        <v>paul_allard@hotmail.com</v>
      </c>
      <c r="C2388" s="9" t="str">
        <f ca="1">IFERROR(__xludf.DUMMYFUNCTION("""COMPUTED_VALUE"""),"EVERGREEN - UAN Gated Content - Embedded Petition")</f>
        <v>EVERGREEN - UAN Gated Content - Embedded Petition</v>
      </c>
      <c r="D2388" s="10">
        <f ca="1">IFERROR(__xludf.DUMMYFUNCTION("""COMPUTED_VALUE"""),45616)</f>
        <v>45616</v>
      </c>
      <c r="E2388" s="1" t="str">
        <f ca="1">IFERROR(__xludf.DUMMYFUNCTION("""COMPUTED_VALUE"""),"USA")</f>
        <v>USA</v>
      </c>
      <c r="F2388" s="1" t="str">
        <f ca="1">IFERROR(__xludf.DUMMYFUNCTION("""COMPUTED_VALUE"""),"12.25 Libya")</f>
        <v>12.25 Libya</v>
      </c>
      <c r="G2388" s="1" t="str">
        <f ca="1">IFERROR(__xludf.DUMMYFUNCTION("""COMPUTED_VALUE"""),"Freedom of Expression, Health, Individuals At Risk")</f>
        <v>Freedom of Expression, Health, Individuals At Risk</v>
      </c>
      <c r="H2388" s="1" t="str">
        <f ca="1">IFERROR(__xludf.DUMMYFUNCTION("""COMPUTED_VALUE"""),"2025")</f>
        <v>2025</v>
      </c>
      <c r="I2388" s="1" t="str">
        <f ca="1">IFERROR(__xludf.DUMMYFUNCTION("""COMPUTED_VALUE"""),"Email")</f>
        <v>Email</v>
      </c>
    </row>
    <row r="2389" spans="1:9" ht="13" x14ac:dyDescent="0.15">
      <c r="A2389" s="9">
        <f ca="1">IFERROR(__xludf.DUMMYFUNCTION("""COMPUTED_VALUE"""),284481387)</f>
        <v>284481387</v>
      </c>
      <c r="B2389" s="1" t="str">
        <f ca="1">IFERROR(__xludf.DUMMYFUNCTION("""COMPUTED_VALUE"""),"jean-marc.bruneel@orange.fr")</f>
        <v>jean-marc.bruneel@orange.fr</v>
      </c>
      <c r="C2389" s="9" t="str">
        <f ca="1">IFERROR(__xludf.DUMMYFUNCTION("""COMPUTED_VALUE"""),"EVERGREEN - UAN Gated Content - Embedded Petition")</f>
        <v>EVERGREEN - UAN Gated Content - Embedded Petition</v>
      </c>
      <c r="D2389" s="10">
        <f ca="1">IFERROR(__xludf.DUMMYFUNCTION("""COMPUTED_VALUE"""),45637)</f>
        <v>45637</v>
      </c>
      <c r="E2389" s="1" t="str">
        <f ca="1">IFERROR(__xludf.DUMMYFUNCTION("""COMPUTED_VALUE"""),"Libya")</f>
        <v>Libya</v>
      </c>
      <c r="F2389" s="1" t="str">
        <f ca="1">IFERROR(__xludf.DUMMYFUNCTION("""COMPUTED_VALUE"""),"4.25 USA")</f>
        <v>4.25 USA</v>
      </c>
      <c r="G2389" s="1" t="str">
        <f ca="1">IFERROR(__xludf.DUMMYFUNCTION("""COMPUTED_VALUE"""),"Individuals At Risk, Refugee and Migrant Rights")</f>
        <v>Individuals At Risk, Refugee and Migrant Rights</v>
      </c>
      <c r="H2389" s="1" t="str">
        <f ca="1">IFERROR(__xludf.DUMMYFUNCTION("""COMPUTED_VALUE"""),"2025")</f>
        <v>2025</v>
      </c>
      <c r="I2389" s="1" t="str">
        <f ca="1">IFERROR(__xludf.DUMMYFUNCTION("""COMPUTED_VALUE"""),"Letter")</f>
        <v>Letter</v>
      </c>
    </row>
    <row r="2390" spans="1:9" ht="13" x14ac:dyDescent="0.15">
      <c r="A2390" s="9">
        <f ca="1">IFERROR(__xludf.DUMMYFUNCTION("""COMPUTED_VALUE"""),284481637)</f>
        <v>284481637</v>
      </c>
      <c r="B2390" s="1" t="str">
        <f ca="1">IFERROR(__xludf.DUMMYFUNCTION("""COMPUTED_VALUE"""),"ritadeswaef2@yahoo.be")</f>
        <v>ritadeswaef2@yahoo.be</v>
      </c>
      <c r="C2390" s="9" t="str">
        <f ca="1">IFERROR(__xludf.DUMMYFUNCTION("""COMPUTED_VALUE"""),"EVERGREEN - UAN Gated Content - Embedded Petition")</f>
        <v>EVERGREEN - UAN Gated Content - Embedded Petition</v>
      </c>
      <c r="D2390" s="10">
        <f ca="1">IFERROR(__xludf.DUMMYFUNCTION("""COMPUTED_VALUE"""),45617)</f>
        <v>45617</v>
      </c>
      <c r="E2390" s="1" t="str">
        <f ca="1">IFERROR(__xludf.DUMMYFUNCTION("""COMPUTED_VALUE"""),"USA")</f>
        <v>USA</v>
      </c>
      <c r="F2390" s="1" t="str">
        <f ca="1">IFERROR(__xludf.DUMMYFUNCTION("""COMPUTED_VALUE"""),"101.24 Iran")</f>
        <v>101.24 Iran</v>
      </c>
      <c r="G2390" s="1" t="str">
        <f ca="1">IFERROR(__xludf.DUMMYFUNCTION("""COMPUTED_VALUE"""),"Death Penalty, Freedom of Expression, Individuals At Risk, Right to Protest")</f>
        <v>Death Penalty, Freedom of Expression, Individuals At Risk, Right to Protest</v>
      </c>
      <c r="H2390" s="1" t="str">
        <f ca="1">IFERROR(__xludf.DUMMYFUNCTION("""COMPUTED_VALUE"""),"2024")</f>
        <v>2024</v>
      </c>
      <c r="I2390" s="1" t="str">
        <f ca="1">IFERROR(__xludf.DUMMYFUNCTION("""COMPUTED_VALUE"""),"Email")</f>
        <v>Email</v>
      </c>
    </row>
    <row r="2391" spans="1:9" ht="13" x14ac:dyDescent="0.15">
      <c r="A2391" s="9">
        <f ca="1">IFERROR(__xludf.DUMMYFUNCTION("""COMPUTED_VALUE"""),284482502)</f>
        <v>284482502</v>
      </c>
      <c r="B2391" s="1" t="str">
        <f ca="1">IFERROR(__xludf.DUMMYFUNCTION("""COMPUTED_VALUE"""),"aidanmck@yahoo.com")</f>
        <v>aidanmck@yahoo.com</v>
      </c>
      <c r="C2391" s="9" t="str">
        <f ca="1">IFERROR(__xludf.DUMMYFUNCTION("""COMPUTED_VALUE"""),"EVERGREEN - UAN Gated Content - Embedded Petition")</f>
        <v>EVERGREEN - UAN Gated Content - Embedded Petition</v>
      </c>
      <c r="D2391" s="10">
        <f ca="1">IFERROR(__xludf.DUMMYFUNCTION("""COMPUTED_VALUE"""),45674)</f>
        <v>45674</v>
      </c>
      <c r="E2391" s="1" t="str">
        <f ca="1">IFERROR(__xludf.DUMMYFUNCTION("""COMPUTED_VALUE"""),"Iran")</f>
        <v>Iran</v>
      </c>
      <c r="F2391" s="1" t="str">
        <f ca="1">IFERROR(__xludf.DUMMYFUNCTION("""COMPUTED_VALUE"""),"9.25 Uganda")</f>
        <v>9.25 Uganda</v>
      </c>
      <c r="G2391" s="1" t="str">
        <f ca="1">IFERROR(__xludf.DUMMYFUNCTION("""COMPUTED_VALUE"""),"Freedom of Expression, Human Rights Defenders")</f>
        <v>Freedom of Expression, Human Rights Defenders</v>
      </c>
      <c r="H2391" s="1" t="str">
        <f ca="1">IFERROR(__xludf.DUMMYFUNCTION("""COMPUTED_VALUE"""),"2025")</f>
        <v>2025</v>
      </c>
      <c r="I2391" s="1" t="str">
        <f ca="1">IFERROR(__xludf.DUMMYFUNCTION("""COMPUTED_VALUE"""),"Email")</f>
        <v>Email</v>
      </c>
    </row>
    <row r="2392" spans="1:9" ht="13" x14ac:dyDescent="0.15">
      <c r="A2392" s="9">
        <f ca="1">IFERROR(__xludf.DUMMYFUNCTION("""COMPUTED_VALUE"""),284482502)</f>
        <v>284482502</v>
      </c>
      <c r="B2392" s="1" t="str">
        <f ca="1">IFERROR(__xludf.DUMMYFUNCTION("""COMPUTED_VALUE"""),"aidanmck@yahoo.com")</f>
        <v>aidanmck@yahoo.com</v>
      </c>
      <c r="C2392" s="9" t="str">
        <f ca="1">IFERROR(__xludf.DUMMYFUNCTION("""COMPUTED_VALUE"""),"EVERGREEN - UAN Gated Content - Embedded Petition")</f>
        <v>EVERGREEN - UAN Gated Content - Embedded Petition</v>
      </c>
      <c r="D2392" s="10">
        <f ca="1">IFERROR(__xludf.DUMMYFUNCTION("""COMPUTED_VALUE"""),45674)</f>
        <v>45674</v>
      </c>
      <c r="E2392" s="1" t="str">
        <f ca="1">IFERROR(__xludf.DUMMYFUNCTION("""COMPUTED_VALUE"""),"Uganda")</f>
        <v>Uganda</v>
      </c>
      <c r="F2392" s="1" t="str">
        <f ca="1">IFERROR(__xludf.DUMMYFUNCTION("""COMPUTED_VALUE"""),"10.25 Iran")</f>
        <v>10.25 Iran</v>
      </c>
      <c r="G2392" s="1" t="str">
        <f ca="1">IFERROR(__xludf.DUMMYFUNCTION("""COMPUTED_VALUE"""),"Death Penalty, Individuals At Risk")</f>
        <v>Death Penalty, Individuals At Risk</v>
      </c>
      <c r="H2392" s="1" t="str">
        <f ca="1">IFERROR(__xludf.DUMMYFUNCTION("""COMPUTED_VALUE"""),"2025")</f>
        <v>2025</v>
      </c>
      <c r="I2392" s="1" t="str">
        <f ca="1">IFERROR(__xludf.DUMMYFUNCTION("""COMPUTED_VALUE"""),"Email")</f>
        <v>Email</v>
      </c>
    </row>
    <row r="2393" spans="1:9" ht="13" x14ac:dyDescent="0.15">
      <c r="A2393" s="9">
        <f ca="1">IFERROR(__xludf.DUMMYFUNCTION("""COMPUTED_VALUE"""),284482682)</f>
        <v>284482682</v>
      </c>
      <c r="B2393" s="1" t="str">
        <f ca="1">IFERROR(__xludf.DUMMYFUNCTION("""COMPUTED_VALUE"""),"oleyer@snet.net")</f>
        <v>oleyer@snet.net</v>
      </c>
      <c r="C2393" s="9" t="str">
        <f ca="1">IFERROR(__xludf.DUMMYFUNCTION("""COMPUTED_VALUE"""),"EVERGREEN - UAN Gated Content - Embedded Petition")</f>
        <v>EVERGREEN - UAN Gated Content - Embedded Petition</v>
      </c>
      <c r="D2393" s="10">
        <f ca="1">IFERROR(__xludf.DUMMYFUNCTION("""COMPUTED_VALUE"""),45694)</f>
        <v>45694</v>
      </c>
      <c r="E2393" s="1" t="str">
        <f ca="1">IFERROR(__xludf.DUMMYFUNCTION("""COMPUTED_VALUE"""),"Iran")</f>
        <v>Iran</v>
      </c>
      <c r="F2393" s="1" t="str">
        <f ca="1">IFERROR(__xludf.DUMMYFUNCTION("""COMPUTED_VALUE"""),"12.25 Libya")</f>
        <v>12.25 Libya</v>
      </c>
      <c r="G2393" s="1" t="str">
        <f ca="1">IFERROR(__xludf.DUMMYFUNCTION("""COMPUTED_VALUE"""),"Freedom of Expression, Health, Individuals At Risk")</f>
        <v>Freedom of Expression, Health, Individuals At Risk</v>
      </c>
      <c r="H2393" s="1" t="str">
        <f ca="1">IFERROR(__xludf.DUMMYFUNCTION("""COMPUTED_VALUE"""),"2025")</f>
        <v>2025</v>
      </c>
      <c r="I2393" s="1" t="str">
        <f ca="1">IFERROR(__xludf.DUMMYFUNCTION("""COMPUTED_VALUE"""),"Email")</f>
        <v>Email</v>
      </c>
    </row>
    <row r="2394" spans="1:9" ht="13" x14ac:dyDescent="0.15">
      <c r="A2394" s="9">
        <f ca="1">IFERROR(__xludf.DUMMYFUNCTION("""COMPUTED_VALUE"""),284483247)</f>
        <v>284483247</v>
      </c>
      <c r="B2394" s="1" t="str">
        <f ca="1">IFERROR(__xludf.DUMMYFUNCTION("""COMPUTED_VALUE"""),"erik.van.broeck@telenet.be")</f>
        <v>erik.van.broeck@telenet.be</v>
      </c>
      <c r="C2394" s="9" t="str">
        <f ca="1">IFERROR(__xludf.DUMMYFUNCTION("""COMPUTED_VALUE"""),"EVERGREEN - UAN Gated Content - Embedded Petition")</f>
        <v>EVERGREEN - UAN Gated Content - Embedded Petition</v>
      </c>
      <c r="D2394" s="10">
        <f ca="1">IFERROR(__xludf.DUMMYFUNCTION("""COMPUTED_VALUE"""),45621)</f>
        <v>45621</v>
      </c>
      <c r="E2394" s="1" t="str">
        <f ca="1">IFERROR(__xludf.DUMMYFUNCTION("""COMPUTED_VALUE"""),"Libya")</f>
        <v>Libya</v>
      </c>
      <c r="F2394" s="1" t="str">
        <f ca="1">IFERROR(__xludf.DUMMYFUNCTION("""COMPUTED_VALUE"""),"11.25 Afghanistan")</f>
        <v>11.25 Afghanistan</v>
      </c>
      <c r="G2394" s="1" t="str">
        <f ca="1">IFERROR(__xludf.DUMMYFUNCTION("""COMPUTED_VALUE"""),"Freedom of Expression, Health, Individuals At Risk")</f>
        <v>Freedom of Expression, Health, Individuals At Risk</v>
      </c>
      <c r="H2394" s="1" t="str">
        <f ca="1">IFERROR(__xludf.DUMMYFUNCTION("""COMPUTED_VALUE"""),"2025")</f>
        <v>2025</v>
      </c>
      <c r="I2394" s="1" t="str">
        <f ca="1">IFERROR(__xludf.DUMMYFUNCTION("""COMPUTED_VALUE"""),"Email")</f>
        <v>Email</v>
      </c>
    </row>
    <row r="2395" spans="1:9" ht="13" x14ac:dyDescent="0.15">
      <c r="A2395" s="9">
        <f ca="1">IFERROR(__xludf.DUMMYFUNCTION("""COMPUTED_VALUE"""),284531924)</f>
        <v>284531924</v>
      </c>
      <c r="B2395" s="1" t="str">
        <f ca="1">IFERROR(__xludf.DUMMYFUNCTION("""COMPUTED_VALUE"""),"akshayam6762@gmail.com")</f>
        <v>akshayam6762@gmail.com</v>
      </c>
      <c r="C2395" s="9" t="str">
        <f ca="1">IFERROR(__xludf.DUMMYFUNCTION("""COMPUTED_VALUE"""),"EVERGREEN - UAN Gated Content - Embedded Petition")</f>
        <v>EVERGREEN - UAN Gated Content - Embedded Petition</v>
      </c>
      <c r="D2395" s="10">
        <f ca="1">IFERROR(__xludf.DUMMYFUNCTION("""COMPUTED_VALUE"""),45692)</f>
        <v>45692</v>
      </c>
      <c r="E2395" s="1" t="str">
        <f ca="1">IFERROR(__xludf.DUMMYFUNCTION("""COMPUTED_VALUE"""),"Afghanistan")</f>
        <v>Afghanistan</v>
      </c>
      <c r="F2395" s="1" t="str">
        <f ca="1">IFERROR(__xludf.DUMMYFUNCTION("""COMPUTED_VALUE"""),"11.25 Afghanistan")</f>
        <v>11.25 Afghanistan</v>
      </c>
      <c r="G2395" s="1" t="str">
        <f ca="1">IFERROR(__xludf.DUMMYFUNCTION("""COMPUTED_VALUE"""),"Freedom of Expression, Health, Individuals At Risk")</f>
        <v>Freedom of Expression, Health, Individuals At Risk</v>
      </c>
      <c r="H2395" s="1" t="str">
        <f ca="1">IFERROR(__xludf.DUMMYFUNCTION("""COMPUTED_VALUE"""),"2025")</f>
        <v>2025</v>
      </c>
      <c r="I2395" s="1" t="str">
        <f ca="1">IFERROR(__xludf.DUMMYFUNCTION("""COMPUTED_VALUE"""),"Email")</f>
        <v>Email</v>
      </c>
    </row>
    <row r="2396" spans="1:9" ht="13" x14ac:dyDescent="0.15">
      <c r="A2396" s="9">
        <f ca="1">IFERROR(__xludf.DUMMYFUNCTION("""COMPUTED_VALUE"""),284533329)</f>
        <v>284533329</v>
      </c>
      <c r="B2396" s="1" t="str">
        <f ca="1">IFERROR(__xludf.DUMMYFUNCTION("""COMPUTED_VALUE"""),"drsoadkh@yahoo.com")</f>
        <v>drsoadkh@yahoo.com</v>
      </c>
      <c r="C2396" s="9" t="str">
        <f ca="1">IFERROR(__xludf.DUMMYFUNCTION("""COMPUTED_VALUE"""),"EVERGREEN - UAN Gated Content - Embedded Petition")</f>
        <v>EVERGREEN - UAN Gated Content - Embedded Petition</v>
      </c>
      <c r="D2396" s="10">
        <f ca="1">IFERROR(__xludf.DUMMYFUNCTION("""COMPUTED_VALUE"""),45672)</f>
        <v>45672</v>
      </c>
      <c r="E2396" s="1" t="str">
        <f ca="1">IFERROR(__xludf.DUMMYFUNCTION("""COMPUTED_VALUE"""),"Afghanistan")</f>
        <v>Afghanistan</v>
      </c>
      <c r="F2396" s="1" t="str">
        <f ca="1">IFERROR(__xludf.DUMMYFUNCTION("""COMPUTED_VALUE"""),"11.25 Afghanistan")</f>
        <v>11.25 Afghanistan</v>
      </c>
      <c r="G2396" s="1" t="str">
        <f ca="1">IFERROR(__xludf.DUMMYFUNCTION("""COMPUTED_VALUE"""),"Freedom of Expression, Health, Individuals At Risk")</f>
        <v>Freedom of Expression, Health, Individuals At Risk</v>
      </c>
      <c r="H2396" s="1" t="str">
        <f ca="1">IFERROR(__xludf.DUMMYFUNCTION("""COMPUTED_VALUE"""),"2025")</f>
        <v>2025</v>
      </c>
      <c r="I2396" s="1" t="str">
        <f ca="1">IFERROR(__xludf.DUMMYFUNCTION("""COMPUTED_VALUE"""),"Email")</f>
        <v>Email</v>
      </c>
    </row>
    <row r="2397" spans="1:9" ht="13" x14ac:dyDescent="0.15">
      <c r="A2397" s="9">
        <f ca="1">IFERROR(__xludf.DUMMYFUNCTION("""COMPUTED_VALUE"""),284551516)</f>
        <v>284551516</v>
      </c>
      <c r="B2397" s="1" t="str">
        <f ca="1">IFERROR(__xludf.DUMMYFUNCTION("""COMPUTED_VALUE"""),"test@test.net")</f>
        <v>test@test.net</v>
      </c>
      <c r="C2397" s="9" t="str">
        <f ca="1">IFERROR(__xludf.DUMMYFUNCTION("""COMPUTED_VALUE"""),"EVERGREEN - UAN Gated Content - Embedded Petition")</f>
        <v>EVERGREEN - UAN Gated Content - Embedded Petition</v>
      </c>
      <c r="D2397" s="10">
        <f ca="1">IFERROR(__xludf.DUMMYFUNCTION("""COMPUTED_VALUE"""),45586)</f>
        <v>45586</v>
      </c>
      <c r="E2397" s="1" t="str">
        <f ca="1">IFERROR(__xludf.DUMMYFUNCTION("""COMPUTED_VALUE"""),"Afghanistan")</f>
        <v>Afghanistan</v>
      </c>
      <c r="F2397" s="1" t="str">
        <f ca="1">IFERROR(__xludf.DUMMYFUNCTION("""COMPUTED_VALUE"""),"Second 80.23 Egypt")</f>
        <v>Second 80.23 Egypt</v>
      </c>
      <c r="G2397" s="1" t="str">
        <f ca="1">IFERROR(__xludf.DUMMYFUNCTION("""COMPUTED_VALUE"""),"Health, Individuals At Risk")</f>
        <v>Health, Individuals At Risk</v>
      </c>
      <c r="H2397" s="1" t="str">
        <f ca="1">IFERROR(__xludf.DUMMYFUNCTION("""COMPUTED_VALUE"""),"2025")</f>
        <v>2025</v>
      </c>
      <c r="I2397" s="1" t="str">
        <f ca="1">IFERROR(__xludf.DUMMYFUNCTION("""COMPUTED_VALUE"""),"Email")</f>
        <v>Email</v>
      </c>
    </row>
    <row r="2398" spans="1:9" ht="13" x14ac:dyDescent="0.15">
      <c r="A2398" s="9">
        <f ca="1">IFERROR(__xludf.DUMMYFUNCTION("""COMPUTED_VALUE"""),285509458)</f>
        <v>285509458</v>
      </c>
      <c r="B2398" s="1" t="str">
        <f ca="1">IFERROR(__xludf.DUMMYFUNCTION("""COMPUTED_VALUE"""),"withkathrynlee@gmail.com")</f>
        <v>withkathrynlee@gmail.com</v>
      </c>
      <c r="C2398" s="9" t="str">
        <f ca="1">IFERROR(__xludf.DUMMYFUNCTION("""COMPUTED_VALUE"""),"EVERGREEN - UAN Gated Content - Embedded Petition")</f>
        <v>EVERGREEN - UAN Gated Content - Embedded Petition</v>
      </c>
      <c r="D2398" s="10">
        <f ca="1">IFERROR(__xludf.DUMMYFUNCTION("""COMPUTED_VALUE"""),45706)</f>
        <v>45706</v>
      </c>
      <c r="E2398" s="1" t="str">
        <f ca="1">IFERROR(__xludf.DUMMYFUNCTION("""COMPUTED_VALUE"""),"Egypt")</f>
        <v>Egypt</v>
      </c>
      <c r="F2398" s="1" t="str">
        <f ca="1">IFERROR(__xludf.DUMMYFUNCTION("""COMPUTED_VALUE"""),"12.25 Libya")</f>
        <v>12.25 Libya</v>
      </c>
      <c r="G2398" s="1" t="str">
        <f ca="1">IFERROR(__xludf.DUMMYFUNCTION("""COMPUTED_VALUE"""),"Freedom of Expression, Health, Individuals At Risk")</f>
        <v>Freedom of Expression, Health, Individuals At Risk</v>
      </c>
      <c r="H2398" s="1" t="str">
        <f ca="1">IFERROR(__xludf.DUMMYFUNCTION("""COMPUTED_VALUE"""),"2025")</f>
        <v>2025</v>
      </c>
      <c r="I2398" s="1" t="str">
        <f ca="1">IFERROR(__xludf.DUMMYFUNCTION("""COMPUTED_VALUE"""),"Email")</f>
        <v>Email</v>
      </c>
    </row>
    <row r="2399" spans="1:9" ht="13" x14ac:dyDescent="0.15">
      <c r="A2399" s="9">
        <f ca="1">IFERROR(__xludf.DUMMYFUNCTION("""COMPUTED_VALUE"""),285509458)</f>
        <v>285509458</v>
      </c>
      <c r="B2399" s="1" t="str">
        <f ca="1">IFERROR(__xludf.DUMMYFUNCTION("""COMPUTED_VALUE"""),"withkathrynlee@gmail.com")</f>
        <v>withkathrynlee@gmail.com</v>
      </c>
      <c r="C2399" s="9" t="str">
        <f ca="1">IFERROR(__xludf.DUMMYFUNCTION("""COMPUTED_VALUE"""),"EVERGREEN - UAN Gated Content - Embedded Petition")</f>
        <v>EVERGREEN - UAN Gated Content - Embedded Petition</v>
      </c>
      <c r="D2399" s="10">
        <f ca="1">IFERROR(__xludf.DUMMYFUNCTION("""COMPUTED_VALUE"""),45702)</f>
        <v>45702</v>
      </c>
      <c r="E2399" s="1" t="str">
        <f ca="1">IFERROR(__xludf.DUMMYFUNCTION("""COMPUTED_VALUE"""),"Libya")</f>
        <v>Libya</v>
      </c>
      <c r="F2399" s="1" t="str">
        <f ca="1">IFERROR(__xludf.DUMMYFUNCTION("""COMPUTED_VALUE"""),"4.25 USA")</f>
        <v>4.25 USA</v>
      </c>
      <c r="G2399" s="1" t="str">
        <f ca="1">IFERROR(__xludf.DUMMYFUNCTION("""COMPUTED_VALUE"""),"Individuals At Risk, Refugee and Migrant Rights")</f>
        <v>Individuals At Risk, Refugee and Migrant Rights</v>
      </c>
      <c r="H2399" s="1" t="str">
        <f ca="1">IFERROR(__xludf.DUMMYFUNCTION("""COMPUTED_VALUE"""),"2025")</f>
        <v>2025</v>
      </c>
      <c r="I2399" s="1" t="str">
        <f ca="1">IFERROR(__xludf.DUMMYFUNCTION("""COMPUTED_VALUE"""),"Letter")</f>
        <v>Letter</v>
      </c>
    </row>
    <row r="2400" spans="1:9" ht="13" x14ac:dyDescent="0.15">
      <c r="A2400" s="9">
        <f ca="1">IFERROR(__xludf.DUMMYFUNCTION("""COMPUTED_VALUE"""),285509458)</f>
        <v>285509458</v>
      </c>
      <c r="B2400" s="1" t="str">
        <f ca="1">IFERROR(__xludf.DUMMYFUNCTION("""COMPUTED_VALUE"""),"withkathrynlee@gmail.com")</f>
        <v>withkathrynlee@gmail.com</v>
      </c>
      <c r="C2400" s="9" t="str">
        <f ca="1">IFERROR(__xludf.DUMMYFUNCTION("""COMPUTED_VALUE"""),"EVERGREEN - UAN Gated Content - Embedded Petition")</f>
        <v>EVERGREEN - UAN Gated Content - Embedded Petition</v>
      </c>
      <c r="D2400" s="10">
        <f ca="1">IFERROR(__xludf.DUMMYFUNCTION("""COMPUTED_VALUE"""),45702)</f>
        <v>45702</v>
      </c>
      <c r="E2400" s="1" t="str">
        <f ca="1">IFERROR(__xludf.DUMMYFUNCTION("""COMPUTED_VALUE"""),"USA")</f>
        <v>USA</v>
      </c>
      <c r="F2400" s="1" t="str">
        <f ca="1">IFERROR(__xludf.DUMMYFUNCTION("""COMPUTED_VALUE"""),"4.25 USA")</f>
        <v>4.25 USA</v>
      </c>
      <c r="G2400" s="1" t="str">
        <f ca="1">IFERROR(__xludf.DUMMYFUNCTION("""COMPUTED_VALUE"""),"Individuals At Risk, Refugee and Migrant Rights")</f>
        <v>Individuals At Risk, Refugee and Migrant Rights</v>
      </c>
      <c r="H2400" s="1" t="str">
        <f ca="1">IFERROR(__xludf.DUMMYFUNCTION("""COMPUTED_VALUE"""),"2025")</f>
        <v>2025</v>
      </c>
      <c r="I2400" s="1" t="str">
        <f ca="1">IFERROR(__xludf.DUMMYFUNCTION("""COMPUTED_VALUE"""),"Letter")</f>
        <v>Letter</v>
      </c>
    </row>
    <row r="2401" spans="1:9" ht="13" x14ac:dyDescent="0.15">
      <c r="A2401" s="9">
        <f ca="1">IFERROR(__xludf.DUMMYFUNCTION("""COMPUTED_VALUE"""),285509458)</f>
        <v>285509458</v>
      </c>
      <c r="B2401" s="1" t="str">
        <f ca="1">IFERROR(__xludf.DUMMYFUNCTION("""COMPUTED_VALUE"""),"withkathrynlee@gmail.com")</f>
        <v>withkathrynlee@gmail.com</v>
      </c>
      <c r="C2401" s="9" t="str">
        <f ca="1">IFERROR(__xludf.DUMMYFUNCTION("""COMPUTED_VALUE"""),"EVERGREEN - UAN Gated Content - Embedded Petition")</f>
        <v>EVERGREEN - UAN Gated Content - Embedded Petition</v>
      </c>
      <c r="D2401" s="10">
        <f ca="1">IFERROR(__xludf.DUMMYFUNCTION("""COMPUTED_VALUE"""),45699)</f>
        <v>45699</v>
      </c>
      <c r="E2401" s="1" t="str">
        <f ca="1">IFERROR(__xludf.DUMMYFUNCTION("""COMPUTED_VALUE"""),"USA")</f>
        <v>USA</v>
      </c>
      <c r="F2401" s="1" t="str">
        <f ca="1">IFERROR(__xludf.DUMMYFUNCTION("""COMPUTED_VALUE"""),"Second 43.24 Tunisia")</f>
        <v>Second 43.24 Tunisia</v>
      </c>
      <c r="G2401" s="1" t="str">
        <f ca="1">IFERROR(__xludf.DUMMYFUNCTION("""COMPUTED_VALUE"""),"Freedom of Expression, Individuals At Risk")</f>
        <v>Freedom of Expression, Individuals At Risk</v>
      </c>
      <c r="H2401" s="1" t="str">
        <f ca="1">IFERROR(__xludf.DUMMYFUNCTION("""COMPUTED_VALUE"""),"2024")</f>
        <v>2024</v>
      </c>
      <c r="I2401" s="1" t="str">
        <f ca="1">IFERROR(__xludf.DUMMYFUNCTION("""COMPUTED_VALUE"""),"Email")</f>
        <v>Email</v>
      </c>
    </row>
    <row r="2402" spans="1:9" ht="13" x14ac:dyDescent="0.15">
      <c r="A2402" s="9">
        <f ca="1">IFERROR(__xludf.DUMMYFUNCTION("""COMPUTED_VALUE"""),285509458)</f>
        <v>285509458</v>
      </c>
      <c r="B2402" s="1" t="str">
        <f ca="1">IFERROR(__xludf.DUMMYFUNCTION("""COMPUTED_VALUE"""),"withkathrynlee@gmail.com")</f>
        <v>withkathrynlee@gmail.com</v>
      </c>
      <c r="C2402" s="9" t="str">
        <f ca="1">IFERROR(__xludf.DUMMYFUNCTION("""COMPUTED_VALUE"""),"EVERGREEN - UAN Gated Content - Embedded Petition")</f>
        <v>EVERGREEN - UAN Gated Content - Embedded Petition</v>
      </c>
      <c r="D2402" s="10">
        <f ca="1">IFERROR(__xludf.DUMMYFUNCTION("""COMPUTED_VALUE"""),45702)</f>
        <v>45702</v>
      </c>
      <c r="E2402" s="1" t="str">
        <f ca="1">IFERROR(__xludf.DUMMYFUNCTION("""COMPUTED_VALUE"""),"Tunisia")</f>
        <v>Tunisia</v>
      </c>
      <c r="F2402" s="1" t="str">
        <f ca="1">IFERROR(__xludf.DUMMYFUNCTION("""COMPUTED_VALUE"""),"4.25 USA")</f>
        <v>4.25 USA</v>
      </c>
      <c r="G2402" s="1" t="str">
        <f ca="1">IFERROR(__xludf.DUMMYFUNCTION("""COMPUTED_VALUE"""),"Individuals At Risk, Refugee and Migrant Rights")</f>
        <v>Individuals At Risk, Refugee and Migrant Rights</v>
      </c>
      <c r="H2402" s="1" t="str">
        <f ca="1">IFERROR(__xludf.DUMMYFUNCTION("""COMPUTED_VALUE"""),"2025")</f>
        <v>2025</v>
      </c>
      <c r="I2402" s="1" t="str">
        <f ca="1">IFERROR(__xludf.DUMMYFUNCTION("""COMPUTED_VALUE"""),"Letter")</f>
        <v>Letter</v>
      </c>
    </row>
    <row r="2403" spans="1:9" ht="13" x14ac:dyDescent="0.15">
      <c r="A2403" s="9">
        <f ca="1">IFERROR(__xludf.DUMMYFUNCTION("""COMPUTED_VALUE"""),285509458)</f>
        <v>285509458</v>
      </c>
      <c r="B2403" s="1" t="str">
        <f ca="1">IFERROR(__xludf.DUMMYFUNCTION("""COMPUTED_VALUE"""),"withkathrynlee@gmail.com")</f>
        <v>withkathrynlee@gmail.com</v>
      </c>
      <c r="C2403" s="9" t="str">
        <f ca="1">IFERROR(__xludf.DUMMYFUNCTION("""COMPUTED_VALUE"""),"EVERGREEN - UAN Gated Content - Embedded Petition")</f>
        <v>EVERGREEN - UAN Gated Content - Embedded Petition</v>
      </c>
      <c r="D2403" s="10">
        <f ca="1">IFERROR(__xludf.DUMMYFUNCTION("""COMPUTED_VALUE"""),45702)</f>
        <v>45702</v>
      </c>
      <c r="E2403" s="1" t="str">
        <f ca="1">IFERROR(__xludf.DUMMYFUNCTION("""COMPUTED_VALUE"""),"USA")</f>
        <v>USA</v>
      </c>
      <c r="F2403" s="1" t="str">
        <f ca="1">IFERROR(__xludf.DUMMYFUNCTION("""COMPUTED_VALUE"""),"4.25 USA")</f>
        <v>4.25 USA</v>
      </c>
      <c r="G2403" s="1" t="str">
        <f ca="1">IFERROR(__xludf.DUMMYFUNCTION("""COMPUTED_VALUE"""),"Individuals At Risk, Refugee and Migrant Rights")</f>
        <v>Individuals At Risk, Refugee and Migrant Rights</v>
      </c>
      <c r="H2403" s="1" t="str">
        <f ca="1">IFERROR(__xludf.DUMMYFUNCTION("""COMPUTED_VALUE"""),"2025")</f>
        <v>2025</v>
      </c>
      <c r="I2403" s="1" t="str">
        <f ca="1">IFERROR(__xludf.DUMMYFUNCTION("""COMPUTED_VALUE"""),"Letter")</f>
        <v>Letter</v>
      </c>
    </row>
    <row r="2404" spans="1:9" ht="13" x14ac:dyDescent="0.15">
      <c r="A2404" s="9">
        <f ca="1">IFERROR(__xludf.DUMMYFUNCTION("""COMPUTED_VALUE"""),285509458)</f>
        <v>285509458</v>
      </c>
      <c r="B2404" s="1" t="str">
        <f ca="1">IFERROR(__xludf.DUMMYFUNCTION("""COMPUTED_VALUE"""),"withkathrynlee@gmail.com")</f>
        <v>withkathrynlee@gmail.com</v>
      </c>
      <c r="C2404" s="9" t="str">
        <f ca="1">IFERROR(__xludf.DUMMYFUNCTION("""COMPUTED_VALUE"""),"EVERGREEN - UAN Gated Content - Embedded Petition")</f>
        <v>EVERGREEN - UAN Gated Content - Embedded Petition</v>
      </c>
      <c r="D2404" s="10">
        <f ca="1">IFERROR(__xludf.DUMMYFUNCTION("""COMPUTED_VALUE"""),45702)</f>
        <v>45702</v>
      </c>
      <c r="E2404" s="1" t="str">
        <f ca="1">IFERROR(__xludf.DUMMYFUNCTION("""COMPUTED_VALUE"""),"USA")</f>
        <v>USA</v>
      </c>
      <c r="F2404" s="1" t="str">
        <f ca="1">IFERROR(__xludf.DUMMYFUNCTION("""COMPUTED_VALUE"""),"Second 80.23 Egypt")</f>
        <v>Second 80.23 Egypt</v>
      </c>
      <c r="G2404" s="1" t="str">
        <f ca="1">IFERROR(__xludf.DUMMYFUNCTION("""COMPUTED_VALUE"""),"Health, Individuals At Risk")</f>
        <v>Health, Individuals At Risk</v>
      </c>
      <c r="H2404" s="1" t="str">
        <f ca="1">IFERROR(__xludf.DUMMYFUNCTION("""COMPUTED_VALUE"""),"2025")</f>
        <v>2025</v>
      </c>
      <c r="I2404" s="1" t="str">
        <f ca="1">IFERROR(__xludf.DUMMYFUNCTION("""COMPUTED_VALUE"""),"Email")</f>
        <v>Email</v>
      </c>
    </row>
    <row r="2405" spans="1:9" ht="13" x14ac:dyDescent="0.15">
      <c r="A2405" s="9">
        <f ca="1">IFERROR(__xludf.DUMMYFUNCTION("""COMPUTED_VALUE"""),285509458)</f>
        <v>285509458</v>
      </c>
      <c r="B2405" s="1" t="str">
        <f ca="1">IFERROR(__xludf.DUMMYFUNCTION("""COMPUTED_VALUE"""),"withkathrynlee@gmail.com")</f>
        <v>withkathrynlee@gmail.com</v>
      </c>
      <c r="C2405" s="9" t="str">
        <f ca="1">IFERROR(__xludf.DUMMYFUNCTION("""COMPUTED_VALUE"""),"EVERGREEN - UAN Gated Content - Embedded Petition")</f>
        <v>EVERGREEN - UAN Gated Content - Embedded Petition</v>
      </c>
      <c r="D2405" s="10">
        <f ca="1">IFERROR(__xludf.DUMMYFUNCTION("""COMPUTED_VALUE"""),45702)</f>
        <v>45702</v>
      </c>
      <c r="E2405" s="1" t="str">
        <f ca="1">IFERROR(__xludf.DUMMYFUNCTION("""COMPUTED_VALUE"""),"Egypt")</f>
        <v>Egypt</v>
      </c>
      <c r="F2405" s="1" t="str">
        <f ca="1">IFERROR(__xludf.DUMMYFUNCTION("""COMPUTED_VALUE"""),"Second 80.23 Egypt")</f>
        <v>Second 80.23 Egypt</v>
      </c>
      <c r="G2405" s="1" t="str">
        <f ca="1">IFERROR(__xludf.DUMMYFUNCTION("""COMPUTED_VALUE"""),"Health, Individuals At Risk")</f>
        <v>Health, Individuals At Risk</v>
      </c>
      <c r="H2405" s="1" t="str">
        <f ca="1">IFERROR(__xludf.DUMMYFUNCTION("""COMPUTED_VALUE"""),"2025")</f>
        <v>2025</v>
      </c>
      <c r="I2405" s="1" t="str">
        <f ca="1">IFERROR(__xludf.DUMMYFUNCTION("""COMPUTED_VALUE"""),"Email")</f>
        <v>Email</v>
      </c>
    </row>
    <row r="2406" spans="1:9" ht="13" x14ac:dyDescent="0.15">
      <c r="A2406" s="9">
        <f ca="1">IFERROR(__xludf.DUMMYFUNCTION("""COMPUTED_VALUE"""),285509458)</f>
        <v>285509458</v>
      </c>
      <c r="B2406" s="1" t="str">
        <f ca="1">IFERROR(__xludf.DUMMYFUNCTION("""COMPUTED_VALUE"""),"withkathrynlee@gmail.com")</f>
        <v>withkathrynlee@gmail.com</v>
      </c>
      <c r="C2406" s="9" t="str">
        <f ca="1">IFERROR(__xludf.DUMMYFUNCTION("""COMPUTED_VALUE"""),"EVERGREEN - UAN Gated Content - Embedded Petition")</f>
        <v>EVERGREEN - UAN Gated Content - Embedded Petition</v>
      </c>
      <c r="D2406" s="10">
        <f ca="1">IFERROR(__xludf.DUMMYFUNCTION("""COMPUTED_VALUE"""),45706)</f>
        <v>45706</v>
      </c>
      <c r="E2406" s="1" t="str">
        <f ca="1">IFERROR(__xludf.DUMMYFUNCTION("""COMPUTED_VALUE"""),"Egypt")</f>
        <v>Egypt</v>
      </c>
    </row>
    <row r="2407" spans="1:9" ht="13" x14ac:dyDescent="0.15">
      <c r="A2407" s="9">
        <f ca="1">IFERROR(__xludf.DUMMYFUNCTION("""COMPUTED_VALUE"""),285509458)</f>
        <v>285509458</v>
      </c>
      <c r="B2407" s="1" t="str">
        <f ca="1">IFERROR(__xludf.DUMMYFUNCTION("""COMPUTED_VALUE"""),"withkathrynlee@gmail.com")</f>
        <v>withkathrynlee@gmail.com</v>
      </c>
      <c r="C2407" s="9" t="str">
        <f ca="1">IFERROR(__xludf.DUMMYFUNCTION("""COMPUTED_VALUE"""),"EVERGREEN - UAN Gated Content - Embedded Petition")</f>
        <v>EVERGREEN - UAN Gated Content - Embedded Petition</v>
      </c>
      <c r="D2407" s="10">
        <f ca="1">IFERROR(__xludf.DUMMYFUNCTION("""COMPUTED_VALUE"""),45706)</f>
        <v>45706</v>
      </c>
    </row>
    <row r="2408" spans="1:9" ht="13" x14ac:dyDescent="0.15">
      <c r="A2408" s="9">
        <f ca="1">IFERROR(__xludf.DUMMYFUNCTION("""COMPUTED_VALUE"""),285509458)</f>
        <v>285509458</v>
      </c>
      <c r="B2408" s="1" t="str">
        <f ca="1">IFERROR(__xludf.DUMMYFUNCTION("""COMPUTED_VALUE"""),"withkathrynlee@gmail.com")</f>
        <v>withkathrynlee@gmail.com</v>
      </c>
      <c r="C2408" s="9" t="str">
        <f ca="1">IFERROR(__xludf.DUMMYFUNCTION("""COMPUTED_VALUE"""),"EVERGREEN - UAN Gated Content - Embedded Petition")</f>
        <v>EVERGREEN - UAN Gated Content - Embedded Petition</v>
      </c>
      <c r="D2408" s="10">
        <f ca="1">IFERROR(__xludf.DUMMYFUNCTION("""COMPUTED_VALUE"""),45706)</f>
        <v>45706</v>
      </c>
    </row>
    <row r="2409" spans="1:9" ht="13" x14ac:dyDescent="0.15">
      <c r="A2409" s="9">
        <f ca="1">IFERROR(__xludf.DUMMYFUNCTION("""COMPUTED_VALUE"""),285509458)</f>
        <v>285509458</v>
      </c>
      <c r="B2409" s="1" t="str">
        <f ca="1">IFERROR(__xludf.DUMMYFUNCTION("""COMPUTED_VALUE"""),"withkathrynlee@gmail.com")</f>
        <v>withkathrynlee@gmail.com</v>
      </c>
      <c r="C2409" s="9" t="str">
        <f ca="1">IFERROR(__xludf.DUMMYFUNCTION("""COMPUTED_VALUE"""),"EVERGREEN - UAN Gated Content - Embedded Petition")</f>
        <v>EVERGREEN - UAN Gated Content - Embedded Petition</v>
      </c>
      <c r="D2409" s="10">
        <f ca="1">IFERROR(__xludf.DUMMYFUNCTION("""COMPUTED_VALUE"""),45706)</f>
        <v>45706</v>
      </c>
    </row>
    <row r="2410" spans="1:9" ht="13" x14ac:dyDescent="0.15">
      <c r="A2410" s="9">
        <f ca="1">IFERROR(__xludf.DUMMYFUNCTION("""COMPUTED_VALUE"""),285509458)</f>
        <v>285509458</v>
      </c>
      <c r="B2410" s="1" t="str">
        <f ca="1">IFERROR(__xludf.DUMMYFUNCTION("""COMPUTED_VALUE"""),"withkathrynlee@gmail.com")</f>
        <v>withkathrynlee@gmail.com</v>
      </c>
      <c r="C2410" s="9" t="str">
        <f ca="1">IFERROR(__xludf.DUMMYFUNCTION("""COMPUTED_VALUE"""),"EVERGREEN - UAN Gated Content - Embedded Petition")</f>
        <v>EVERGREEN - UAN Gated Content - Embedded Petition</v>
      </c>
      <c r="D2410" s="10">
        <f ca="1">IFERROR(__xludf.DUMMYFUNCTION("""COMPUTED_VALUE"""),45706)</f>
        <v>45706</v>
      </c>
    </row>
    <row r="2411" spans="1:9" ht="13" x14ac:dyDescent="0.15">
      <c r="A2411" s="9">
        <f ca="1">IFERROR(__xludf.DUMMYFUNCTION("""COMPUTED_VALUE"""),285509458)</f>
        <v>285509458</v>
      </c>
      <c r="B2411" s="1" t="str">
        <f ca="1">IFERROR(__xludf.DUMMYFUNCTION("""COMPUTED_VALUE"""),"withkathrynlee@gmail.com")</f>
        <v>withkathrynlee@gmail.com</v>
      </c>
      <c r="C2411" s="9" t="str">
        <f ca="1">IFERROR(__xludf.DUMMYFUNCTION("""COMPUTED_VALUE"""),"EVERGREEN - UAN Gated Content - Embedded Petition")</f>
        <v>EVERGREEN - UAN Gated Content - Embedded Petition</v>
      </c>
      <c r="D2411" s="10">
        <f ca="1">IFERROR(__xludf.DUMMYFUNCTION("""COMPUTED_VALUE"""),45617)</f>
        <v>45617</v>
      </c>
    </row>
    <row r="2412" spans="1:9" ht="13" x14ac:dyDescent="0.15">
      <c r="A2412" s="9">
        <f ca="1">IFERROR(__xludf.DUMMYFUNCTION("""COMPUTED_VALUE"""),285509458)</f>
        <v>285509458</v>
      </c>
      <c r="B2412" s="1" t="str">
        <f ca="1">IFERROR(__xludf.DUMMYFUNCTION("""COMPUTED_VALUE"""),"withkathrynlee@gmail.com")</f>
        <v>withkathrynlee@gmail.com</v>
      </c>
      <c r="C2412" s="9" t="str">
        <f ca="1">IFERROR(__xludf.DUMMYFUNCTION("""COMPUTED_VALUE"""),"EVERGREEN - UAN Gated Content - Embedded Petition")</f>
        <v>EVERGREEN - UAN Gated Content - Embedded Petition</v>
      </c>
      <c r="D2412" s="10">
        <f ca="1">IFERROR(__xludf.DUMMYFUNCTION("""COMPUTED_VALUE"""),45708)</f>
        <v>45708</v>
      </c>
    </row>
    <row r="2413" spans="1:9" ht="13" x14ac:dyDescent="0.15">
      <c r="A2413" s="9">
        <f ca="1">IFERROR(__xludf.DUMMYFUNCTION("""COMPUTED_VALUE"""),285509458)</f>
        <v>285509458</v>
      </c>
      <c r="B2413" s="1" t="str">
        <f ca="1">IFERROR(__xludf.DUMMYFUNCTION("""COMPUTED_VALUE"""),"withkathrynlee@gmail.com")</f>
        <v>withkathrynlee@gmail.com</v>
      </c>
      <c r="C2413" s="9" t="str">
        <f ca="1">IFERROR(__xludf.DUMMYFUNCTION("""COMPUTED_VALUE"""),"EVERGREEN - UAN Gated Content - Embedded Petition")</f>
        <v>EVERGREEN - UAN Gated Content - Embedded Petition</v>
      </c>
      <c r="D2413" s="10">
        <f ca="1">IFERROR(__xludf.DUMMYFUNCTION("""COMPUTED_VALUE"""),45708)</f>
        <v>45708</v>
      </c>
    </row>
    <row r="2414" spans="1:9" ht="13" x14ac:dyDescent="0.15">
      <c r="A2414" s="9">
        <f ca="1">IFERROR(__xludf.DUMMYFUNCTION("""COMPUTED_VALUE"""),285532559)</f>
        <v>285532559</v>
      </c>
      <c r="B2414" s="1" t="str">
        <f ca="1">IFERROR(__xludf.DUMMYFUNCTION("""COMPUTED_VALUE"""),"carolina@indietechsolutions.com")</f>
        <v>carolina@indietechsolutions.com</v>
      </c>
      <c r="C2414" s="9" t="str">
        <f ca="1">IFERROR(__xludf.DUMMYFUNCTION("""COMPUTED_VALUE"""),"EVERGREEN - UAN Gated Content - Embedded Petition")</f>
        <v>EVERGREEN - UAN Gated Content - Embedded Petition</v>
      </c>
      <c r="D2414" s="10">
        <f ca="1">IFERROR(__xludf.DUMMYFUNCTION("""COMPUTED_VALUE"""),45677)</f>
        <v>45677</v>
      </c>
    </row>
    <row r="2415" spans="1:9" ht="13" x14ac:dyDescent="0.15">
      <c r="A2415" s="9">
        <f ca="1">IFERROR(__xludf.DUMMYFUNCTION("""COMPUTED_VALUE"""),285532559)</f>
        <v>285532559</v>
      </c>
      <c r="B2415" s="1" t="str">
        <f ca="1">IFERROR(__xludf.DUMMYFUNCTION("""COMPUTED_VALUE"""),"carolina@indietechsolutions.com")</f>
        <v>carolina@indietechsolutions.com</v>
      </c>
      <c r="C2415" s="9" t="str">
        <f ca="1">IFERROR(__xludf.DUMMYFUNCTION("""COMPUTED_VALUE"""),"EVERGREEN - UAN Gated Content - Embedded Petition")</f>
        <v>EVERGREEN - UAN Gated Content - Embedded Petition</v>
      </c>
      <c r="D2415" s="10">
        <f ca="1">IFERROR(__xludf.DUMMYFUNCTION("""COMPUTED_VALUE"""),45678)</f>
        <v>45678</v>
      </c>
    </row>
    <row r="2416" spans="1:9" ht="13" x14ac:dyDescent="0.15">
      <c r="A2416" s="9">
        <f ca="1">IFERROR(__xludf.DUMMYFUNCTION("""COMPUTED_VALUE"""),285532559)</f>
        <v>285532559</v>
      </c>
      <c r="B2416" s="1" t="str">
        <f ca="1">IFERROR(__xludf.DUMMYFUNCTION("""COMPUTED_VALUE"""),"carolina@indietechsolutions.com")</f>
        <v>carolina@indietechsolutions.com</v>
      </c>
      <c r="C2416" s="9" t="str">
        <f ca="1">IFERROR(__xludf.DUMMYFUNCTION("""COMPUTED_VALUE"""),"EVERGREEN - UAN Gated Content - Embedded Petition")</f>
        <v>EVERGREEN - UAN Gated Content - Embedded Petition</v>
      </c>
      <c r="D2416" s="10">
        <f ca="1">IFERROR(__xludf.DUMMYFUNCTION("""COMPUTED_VALUE"""),45678)</f>
        <v>45678</v>
      </c>
    </row>
    <row r="2417" spans="1:4" ht="13" x14ac:dyDescent="0.15">
      <c r="A2417" s="9">
        <f ca="1">IFERROR(__xludf.DUMMYFUNCTION("""COMPUTED_VALUE"""),285532559)</f>
        <v>285532559</v>
      </c>
      <c r="B2417" s="1" t="str">
        <f ca="1">IFERROR(__xludf.DUMMYFUNCTION("""COMPUTED_VALUE"""),"carolina@indietechsolutions.com")</f>
        <v>carolina@indietechsolutions.com</v>
      </c>
      <c r="C2417" s="9" t="str">
        <f ca="1">IFERROR(__xludf.DUMMYFUNCTION("""COMPUTED_VALUE"""),"EVERGREEN - Website Email Capture Form - UAN Pre-Footer")</f>
        <v>EVERGREEN - Website Email Capture Form - UAN Pre-Footer</v>
      </c>
      <c r="D2417" s="10">
        <f ca="1">IFERROR(__xludf.DUMMYFUNCTION("""COMPUTED_VALUE"""),45614)</f>
        <v>45614</v>
      </c>
    </row>
    <row r="2418" spans="1:4" ht="13" x14ac:dyDescent="0.15">
      <c r="A2418" s="9">
        <f ca="1">IFERROR(__xludf.DUMMYFUNCTION("""COMPUTED_VALUE"""),285603762)</f>
        <v>285603762</v>
      </c>
      <c r="B2418" s="1" t="str">
        <f ca="1">IFERROR(__xludf.DUMMYFUNCTION("""COMPUTED_VALUE"""),"echristina202@gmail.com")</f>
        <v>echristina202@gmail.com</v>
      </c>
      <c r="C2418" s="9" t="str">
        <f ca="1">IFERROR(__xludf.DUMMYFUNCTION("""COMPUTED_VALUE"""),"EVERGREEN - UAN Gated Content - Embedded Petition")</f>
        <v>EVERGREEN - UAN Gated Content - Embedded Petition</v>
      </c>
      <c r="D2418" s="10">
        <f ca="1">IFERROR(__xludf.DUMMYFUNCTION("""COMPUTED_VALUE"""),45614)</f>
        <v>45614</v>
      </c>
    </row>
    <row r="2419" spans="1:4" ht="13" x14ac:dyDescent="0.15">
      <c r="A2419" s="9">
        <f ca="1">IFERROR(__xludf.DUMMYFUNCTION("""COMPUTED_VALUE"""),285606116)</f>
        <v>285606116</v>
      </c>
      <c r="B2419" s="1" t="str">
        <f ca="1">IFERROR(__xludf.DUMMYFUNCTION("""COMPUTED_VALUE"""),"kev.bryant1@gmail.com")</f>
        <v>kev.bryant1@gmail.com</v>
      </c>
      <c r="C2419" s="9" t="str">
        <f ca="1">IFERROR(__xludf.DUMMYFUNCTION("""COMPUTED_VALUE"""),"EVERGREEN - UAN Gated Content - Embedded Petition")</f>
        <v>EVERGREEN - UAN Gated Content - Embedded Petition</v>
      </c>
      <c r="D2419" s="10">
        <f ca="1">IFERROR(__xludf.DUMMYFUNCTION("""COMPUTED_VALUE"""),45614)</f>
        <v>45614</v>
      </c>
    </row>
    <row r="2420" spans="1:4" ht="13" x14ac:dyDescent="0.15">
      <c r="A2420" s="9">
        <f ca="1">IFERROR(__xludf.DUMMYFUNCTION("""COMPUTED_VALUE"""),285609761)</f>
        <v>285609761</v>
      </c>
      <c r="B2420" s="1" t="str">
        <f ca="1">IFERROR(__xludf.DUMMYFUNCTION("""COMPUTED_VALUE"""),"jhughson75@gmail.com")</f>
        <v>jhughson75@gmail.com</v>
      </c>
      <c r="C2420" s="9" t="str">
        <f ca="1">IFERROR(__xludf.DUMMYFUNCTION("""COMPUTED_VALUE"""),"EVERGREEN - UAN Gated Content - Embedded Petition")</f>
        <v>EVERGREEN - UAN Gated Content - Embedded Petition</v>
      </c>
      <c r="D2420" s="10">
        <f ca="1">IFERROR(__xludf.DUMMYFUNCTION("""COMPUTED_VALUE"""),45614)</f>
        <v>45614</v>
      </c>
    </row>
    <row r="2421" spans="1:4" ht="13" x14ac:dyDescent="0.15">
      <c r="A2421" s="9">
        <f ca="1">IFERROR(__xludf.DUMMYFUNCTION("""COMPUTED_VALUE"""),285616298)</f>
        <v>285616298</v>
      </c>
      <c r="B2421" s="1" t="str">
        <f ca="1">IFERROR(__xludf.DUMMYFUNCTION("""COMPUTED_VALUE"""),"daveskr@aol.com")</f>
        <v>daveskr@aol.com</v>
      </c>
      <c r="C2421" s="9" t="str">
        <f ca="1">IFERROR(__xludf.DUMMYFUNCTION("""COMPUTED_VALUE"""),"EVERGREEN - UAN Gated Content - Embedded Petition")</f>
        <v>EVERGREEN - UAN Gated Content - Embedded Petition</v>
      </c>
      <c r="D2421" s="10">
        <f ca="1">IFERROR(__xludf.DUMMYFUNCTION("""COMPUTED_VALUE"""),45615)</f>
        <v>45615</v>
      </c>
    </row>
    <row r="2422" spans="1:4" ht="13" x14ac:dyDescent="0.15">
      <c r="A2422" s="9">
        <f ca="1">IFERROR(__xludf.DUMMYFUNCTION("""COMPUTED_VALUE"""),285638713)</f>
        <v>285638713</v>
      </c>
      <c r="B2422" s="1" t="str">
        <f ca="1">IFERROR(__xludf.DUMMYFUNCTION("""COMPUTED_VALUE"""),"caroline.mazurek25@montville.net")</f>
        <v>caroline.mazurek25@montville.net</v>
      </c>
      <c r="C2422" s="9" t="str">
        <f ca="1">IFERROR(__xludf.DUMMYFUNCTION("""COMPUTED_VALUE"""),"EVERGREEN - UAN Gated Content - Embedded Petition")</f>
        <v>EVERGREEN - UAN Gated Content - Embedded Petition</v>
      </c>
      <c r="D2422" s="10">
        <f ca="1">IFERROR(__xludf.DUMMYFUNCTION("""COMPUTED_VALUE"""),45706)</f>
        <v>45706</v>
      </c>
    </row>
    <row r="2423" spans="1:4" ht="13" x14ac:dyDescent="0.15">
      <c r="A2423" s="9">
        <f ca="1">IFERROR(__xludf.DUMMYFUNCTION("""COMPUTED_VALUE"""),285638713)</f>
        <v>285638713</v>
      </c>
      <c r="B2423" s="1" t="str">
        <f ca="1">IFERROR(__xludf.DUMMYFUNCTION("""COMPUTED_VALUE"""),"caroline.mazurek25@montville.net")</f>
        <v>caroline.mazurek25@montville.net</v>
      </c>
      <c r="C2423" s="9" t="str">
        <f ca="1">IFERROR(__xludf.DUMMYFUNCTION("""COMPUTED_VALUE"""),"EVERGREEN - UAN Gated Content - Embedded Petition")</f>
        <v>EVERGREEN - UAN Gated Content - Embedded Petition</v>
      </c>
      <c r="D2423" s="10">
        <f ca="1">IFERROR(__xludf.DUMMYFUNCTION("""COMPUTED_VALUE"""),45615)</f>
        <v>45615</v>
      </c>
    </row>
    <row r="2424" spans="1:4" ht="13" x14ac:dyDescent="0.15">
      <c r="A2424" s="9">
        <f ca="1">IFERROR(__xludf.DUMMYFUNCTION("""COMPUTED_VALUE"""),285650023)</f>
        <v>285650023</v>
      </c>
      <c r="B2424" s="1" t="str">
        <f ca="1">IFERROR(__xludf.DUMMYFUNCTION("""COMPUTED_VALUE"""),"drewstu0@gmail.com")</f>
        <v>drewstu0@gmail.com</v>
      </c>
      <c r="C2424" s="9" t="str">
        <f ca="1">IFERROR(__xludf.DUMMYFUNCTION("""COMPUTED_VALUE"""),"EVERGREEN - UAN Gated Content - Embedded Petition")</f>
        <v>EVERGREEN - UAN Gated Content - Embedded Petition</v>
      </c>
      <c r="D2424" s="10">
        <f ca="1">IFERROR(__xludf.DUMMYFUNCTION("""COMPUTED_VALUE"""),45615)</f>
        <v>45615</v>
      </c>
    </row>
    <row r="2425" spans="1:4" ht="13" x14ac:dyDescent="0.15">
      <c r="A2425" s="9">
        <f ca="1">IFERROR(__xludf.DUMMYFUNCTION("""COMPUTED_VALUE"""),285661888)</f>
        <v>285661888</v>
      </c>
      <c r="B2425" s="1" t="str">
        <f ca="1">IFERROR(__xludf.DUMMYFUNCTION("""COMPUTED_VALUE"""),"agoldberg167@nyc.rr.com")</f>
        <v>agoldberg167@nyc.rr.com</v>
      </c>
      <c r="C2425" s="9" t="str">
        <f ca="1">IFERROR(__xludf.DUMMYFUNCTION("""COMPUTED_VALUE"""),"EVERGREEN - UAN Gated Content - Embedded Petition")</f>
        <v>EVERGREEN - UAN Gated Content - Embedded Petition</v>
      </c>
      <c r="D2425" s="10">
        <f ca="1">IFERROR(__xludf.DUMMYFUNCTION("""COMPUTED_VALUE"""),45615)</f>
        <v>45615</v>
      </c>
    </row>
    <row r="2426" spans="1:4" ht="13" x14ac:dyDescent="0.15">
      <c r="A2426" s="9">
        <f ca="1">IFERROR(__xludf.DUMMYFUNCTION("""COMPUTED_VALUE"""),285675964)</f>
        <v>285675964</v>
      </c>
      <c r="B2426" s="1" t="str">
        <f ca="1">IFERROR(__xludf.DUMMYFUNCTION("""COMPUTED_VALUE"""),"luckbigk@gmail.com")</f>
        <v>luckbigk@gmail.com</v>
      </c>
      <c r="C2426" s="9" t="str">
        <f ca="1">IFERROR(__xludf.DUMMYFUNCTION("""COMPUTED_VALUE"""),"EVERGREEN - UAN Gated Content - Embedded Petition")</f>
        <v>EVERGREEN - UAN Gated Content - Embedded Petition</v>
      </c>
      <c r="D2426" s="10">
        <f ca="1">IFERROR(__xludf.DUMMYFUNCTION("""COMPUTED_VALUE"""),45616)</f>
        <v>45616</v>
      </c>
    </row>
    <row r="2427" spans="1:4" ht="13" x14ac:dyDescent="0.15">
      <c r="A2427" s="9">
        <f ca="1">IFERROR(__xludf.DUMMYFUNCTION("""COMPUTED_VALUE"""),285686940)</f>
        <v>285686940</v>
      </c>
      <c r="B2427" s="1" t="str">
        <f ca="1">IFERROR(__xludf.DUMMYFUNCTION("""COMPUTED_VALUE"""),"bryan+20251120v3@4sitstudios.com")</f>
        <v>bryan+20251120v3@4sitstudios.com</v>
      </c>
      <c r="C2427" s="9" t="str">
        <f ca="1">IFERROR(__xludf.DUMMYFUNCTION("""COMPUTED_VALUE"""),"EVERGREEN - UAN Gated Content - Embedded Petition")</f>
        <v>EVERGREEN - UAN Gated Content - Embedded Petition</v>
      </c>
      <c r="D2427" s="10">
        <f ca="1">IFERROR(__xludf.DUMMYFUNCTION("""COMPUTED_VALUE"""),45616)</f>
        <v>45616</v>
      </c>
    </row>
    <row r="2428" spans="1:4" ht="13" x14ac:dyDescent="0.15">
      <c r="A2428" s="9">
        <f ca="1">IFERROR(__xludf.DUMMYFUNCTION("""COMPUTED_VALUE"""),285689763)</f>
        <v>285689763</v>
      </c>
      <c r="B2428" s="1" t="str">
        <f ca="1">IFERROR(__xludf.DUMMYFUNCTION("""COMPUTED_VALUE"""),"katie_grierson@redlands.edu")</f>
        <v>katie_grierson@redlands.edu</v>
      </c>
      <c r="C2428" s="9" t="str">
        <f ca="1">IFERROR(__xludf.DUMMYFUNCTION("""COMPUTED_VALUE"""),"EVERGREEN - UAN Gated Content - Embedded Petition")</f>
        <v>EVERGREEN - UAN Gated Content - Embedded Petition</v>
      </c>
      <c r="D2428" s="10">
        <f ca="1">IFERROR(__xludf.DUMMYFUNCTION("""COMPUTED_VALUE"""),45616)</f>
        <v>45616</v>
      </c>
    </row>
    <row r="2429" spans="1:4" ht="13" x14ac:dyDescent="0.15">
      <c r="A2429" s="9">
        <f ca="1">IFERROR(__xludf.DUMMYFUNCTION("""COMPUTED_VALUE"""),285697960)</f>
        <v>285697960</v>
      </c>
      <c r="B2429" s="1" t="str">
        <f ca="1">IFERROR(__xludf.DUMMYFUNCTION("""COMPUTED_VALUE"""),"kleidich@jrclosaltos.org")</f>
        <v>kleidich@jrclosaltos.org</v>
      </c>
      <c r="C2429" s="9" t="str">
        <f ca="1">IFERROR(__xludf.DUMMYFUNCTION("""COMPUTED_VALUE"""),"EVERGREEN - UAN Gated Content - Embedded Petition")</f>
        <v>EVERGREEN - UAN Gated Content - Embedded Petition</v>
      </c>
      <c r="D2429" s="10">
        <f ca="1">IFERROR(__xludf.DUMMYFUNCTION("""COMPUTED_VALUE"""),45616)</f>
        <v>45616</v>
      </c>
    </row>
    <row r="2430" spans="1:4" ht="13" x14ac:dyDescent="0.15">
      <c r="A2430" s="9">
        <f ca="1">IFERROR(__xludf.DUMMYFUNCTION("""COMPUTED_VALUE"""),285697960)</f>
        <v>285697960</v>
      </c>
      <c r="B2430" s="1" t="str">
        <f ca="1">IFERROR(__xludf.DUMMYFUNCTION("""COMPUTED_VALUE"""),"kleidich@jrclosaltos.org")</f>
        <v>kleidich@jrclosaltos.org</v>
      </c>
      <c r="C2430" s="9" t="str">
        <f ca="1">IFERROR(__xludf.DUMMYFUNCTION("""COMPUTED_VALUE"""),"EVERGREEN - UAN Gated Content - Embedded Petition")</f>
        <v>EVERGREEN - UAN Gated Content - Embedded Petition</v>
      </c>
      <c r="D2430" s="10">
        <f ca="1">IFERROR(__xludf.DUMMYFUNCTION("""COMPUTED_VALUE"""),45616)</f>
        <v>45616</v>
      </c>
    </row>
    <row r="2431" spans="1:4" ht="13" x14ac:dyDescent="0.15">
      <c r="A2431" s="9">
        <f ca="1">IFERROR(__xludf.DUMMYFUNCTION("""COMPUTED_VALUE"""),285727986)</f>
        <v>285727986</v>
      </c>
      <c r="B2431" s="1" t="str">
        <f ca="1">IFERROR(__xludf.DUMMYFUNCTION("""COMPUTED_VALUE"""),"k9ofkaos@gmail.com")</f>
        <v>k9ofkaos@gmail.com</v>
      </c>
      <c r="C2431" s="9" t="str">
        <f ca="1">IFERROR(__xludf.DUMMYFUNCTION("""COMPUTED_VALUE"""),"EVERGREEN - UAN Gated Content - Embedded Petition")</f>
        <v>EVERGREEN - UAN Gated Content - Embedded Petition</v>
      </c>
      <c r="D2431" s="10">
        <f ca="1">IFERROR(__xludf.DUMMYFUNCTION("""COMPUTED_VALUE"""),45617)</f>
        <v>45617</v>
      </c>
    </row>
    <row r="2432" spans="1:4" ht="13" x14ac:dyDescent="0.15">
      <c r="A2432" s="9">
        <f ca="1">IFERROR(__xludf.DUMMYFUNCTION("""COMPUTED_VALUE"""),285733043)</f>
        <v>285733043</v>
      </c>
      <c r="B2432" s="1" t="str">
        <f ca="1">IFERROR(__xludf.DUMMYFUNCTION("""COMPUTED_VALUE"""),"merelis.ortiz@gmail.com")</f>
        <v>merelis.ortiz@gmail.com</v>
      </c>
      <c r="C2432" s="9" t="str">
        <f ca="1">IFERROR(__xludf.DUMMYFUNCTION("""COMPUTED_VALUE"""),"EVERGREEN - UAN Gated Content - Embedded Petition")</f>
        <v>EVERGREEN - UAN Gated Content - Embedded Petition</v>
      </c>
      <c r="D2432" s="10">
        <f ca="1">IFERROR(__xludf.DUMMYFUNCTION("""COMPUTED_VALUE"""),45617)</f>
        <v>45617</v>
      </c>
    </row>
    <row r="2433" spans="1:4" ht="13" x14ac:dyDescent="0.15">
      <c r="A2433" s="9">
        <f ca="1">IFERROR(__xludf.DUMMYFUNCTION("""COMPUTED_VALUE"""),285845523)</f>
        <v>285845523</v>
      </c>
      <c r="B2433" s="1" t="str">
        <f ca="1">IFERROR(__xludf.DUMMYFUNCTION("""COMPUTED_VALUE"""),"mybubs336@gmail.com")</f>
        <v>mybubs336@gmail.com</v>
      </c>
      <c r="C2433" s="9" t="str">
        <f ca="1">IFERROR(__xludf.DUMMYFUNCTION("""COMPUTED_VALUE"""),"EVERGREEN - UAN Gated Content - Embedded Petition")</f>
        <v>EVERGREEN - UAN Gated Content - Embedded Petition</v>
      </c>
      <c r="D2433" s="10">
        <f ca="1">IFERROR(__xludf.DUMMYFUNCTION("""COMPUTED_VALUE"""),45622)</f>
        <v>45622</v>
      </c>
    </row>
    <row r="2434" spans="1:4" ht="13" x14ac:dyDescent="0.15">
      <c r="A2434" s="9">
        <f ca="1">IFERROR(__xludf.DUMMYFUNCTION("""COMPUTED_VALUE"""),285883933)</f>
        <v>285883933</v>
      </c>
      <c r="B2434" s="1" t="str">
        <f ca="1">IFERROR(__xludf.DUMMYFUNCTION("""COMPUTED_VALUE"""),"natachablankenship@icloud.com")</f>
        <v>natachablankenship@icloud.com</v>
      </c>
      <c r="C2434" s="9" t="str">
        <f ca="1">IFERROR(__xludf.DUMMYFUNCTION("""COMPUTED_VALUE"""),"EVERGREEN - UAN Gated Content - Embedded Petition")</f>
        <v>EVERGREEN - UAN Gated Content - Embedded Petition</v>
      </c>
      <c r="D2434" s="10">
        <f ca="1">IFERROR(__xludf.DUMMYFUNCTION("""COMPUTED_VALUE"""),45623)</f>
        <v>45623</v>
      </c>
    </row>
    <row r="2435" spans="1:4" ht="13" x14ac:dyDescent="0.15">
      <c r="A2435" s="9">
        <f ca="1">IFERROR(__xludf.DUMMYFUNCTION("""COMPUTED_VALUE"""),285902820)</f>
        <v>285902820</v>
      </c>
      <c r="B2435" s="1" t="str">
        <f ca="1">IFERROR(__xludf.DUMMYFUNCTION("""COMPUTED_VALUE"""),"jennifer.brody@gmail.com")</f>
        <v>jennifer.brody@gmail.com</v>
      </c>
      <c r="C2435" s="9" t="str">
        <f ca="1">IFERROR(__xludf.DUMMYFUNCTION("""COMPUTED_VALUE"""),"EVERGREEN - UAN Gated Content - Embedded Petition")</f>
        <v>EVERGREEN - UAN Gated Content - Embedded Petition</v>
      </c>
      <c r="D2435" s="10">
        <f ca="1">IFERROR(__xludf.DUMMYFUNCTION("""COMPUTED_VALUE"""),45672)</f>
        <v>45672</v>
      </c>
    </row>
    <row r="2436" spans="1:4" ht="13" x14ac:dyDescent="0.15">
      <c r="A2436" s="9">
        <f ca="1">IFERROR(__xludf.DUMMYFUNCTION("""COMPUTED_VALUE"""),285918347)</f>
        <v>285918347</v>
      </c>
      <c r="B2436" s="1" t="str">
        <f ca="1">IFERROR(__xludf.DUMMYFUNCTION("""COMPUTED_VALUE"""),"maaya.demenocal@gmailc.om")</f>
        <v>maaya.demenocal@gmailc.om</v>
      </c>
      <c r="C2436" s="9" t="str">
        <f ca="1">IFERROR(__xludf.DUMMYFUNCTION("""COMPUTED_VALUE"""),"EVERGREEN - UAN Gated Content - Embedded Petition")</f>
        <v>EVERGREEN - UAN Gated Content - Embedded Petition</v>
      </c>
      <c r="D2436" s="10">
        <f ca="1">IFERROR(__xludf.DUMMYFUNCTION("""COMPUTED_VALUE"""),45625)</f>
        <v>45625</v>
      </c>
    </row>
    <row r="2437" spans="1:4" ht="13" x14ac:dyDescent="0.15">
      <c r="A2437" s="9">
        <f ca="1">IFERROR(__xludf.DUMMYFUNCTION("""COMPUTED_VALUE"""),285918347)</f>
        <v>285918347</v>
      </c>
      <c r="B2437" s="1" t="str">
        <f ca="1">IFERROR(__xludf.DUMMYFUNCTION("""COMPUTED_VALUE"""),"maaya.demenocal@gmailc.om")</f>
        <v>maaya.demenocal@gmailc.om</v>
      </c>
      <c r="C2437" s="9" t="str">
        <f ca="1">IFERROR(__xludf.DUMMYFUNCTION("""COMPUTED_VALUE"""),"EVERGREEN - UAN Gated Content - Embedded Petition")</f>
        <v>EVERGREEN - UAN Gated Content - Embedded Petition</v>
      </c>
      <c r="D2437" s="10">
        <f ca="1">IFERROR(__xludf.DUMMYFUNCTION("""COMPUTED_VALUE"""),45625)</f>
        <v>45625</v>
      </c>
    </row>
    <row r="2438" spans="1:4" ht="13" x14ac:dyDescent="0.15">
      <c r="A2438" s="9">
        <f ca="1">IFERROR(__xludf.DUMMYFUNCTION("""COMPUTED_VALUE"""),285964476)</f>
        <v>285964476</v>
      </c>
      <c r="B2438" s="1" t="str">
        <f ca="1">IFERROR(__xludf.DUMMYFUNCTION("""COMPUTED_VALUE"""),"michael.espelin@gmail.com")</f>
        <v>michael.espelin@gmail.com</v>
      </c>
      <c r="C2438" s="9" t="str">
        <f ca="1">IFERROR(__xludf.DUMMYFUNCTION("""COMPUTED_VALUE"""),"EVERGREEN - UAN Gated Content - Embedded Petition")</f>
        <v>EVERGREEN - UAN Gated Content - Embedded Petition</v>
      </c>
      <c r="D2438" s="10">
        <f ca="1">IFERROR(__xludf.DUMMYFUNCTION("""COMPUTED_VALUE"""),45672)</f>
        <v>45672</v>
      </c>
    </row>
    <row r="2439" spans="1:4" ht="13" x14ac:dyDescent="0.15">
      <c r="A2439" s="9">
        <f ca="1">IFERROR(__xludf.DUMMYFUNCTION("""COMPUTED_VALUE"""),285989990)</f>
        <v>285989990</v>
      </c>
      <c r="B2439" s="1" t="str">
        <f ca="1">IFERROR(__xludf.DUMMYFUNCTION("""COMPUTED_VALUE"""),"aina30119@gmail.com")</f>
        <v>aina30119@gmail.com</v>
      </c>
      <c r="C2439" s="9" t="str">
        <f ca="1">IFERROR(__xludf.DUMMYFUNCTION("""COMPUTED_VALUE"""),"EVERGREEN - UAN Gated Content - Embedded Petition")</f>
        <v>EVERGREEN - UAN Gated Content - Embedded Petition</v>
      </c>
      <c r="D2439" s="10">
        <f ca="1">IFERROR(__xludf.DUMMYFUNCTION("""COMPUTED_VALUE"""),45675)</f>
        <v>45675</v>
      </c>
    </row>
    <row r="2440" spans="1:4" ht="13" x14ac:dyDescent="0.15">
      <c r="A2440" s="9">
        <f ca="1">IFERROR(__xludf.DUMMYFUNCTION("""COMPUTED_VALUE"""),285989990)</f>
        <v>285989990</v>
      </c>
      <c r="B2440" s="1" t="str">
        <f ca="1">IFERROR(__xludf.DUMMYFUNCTION("""COMPUTED_VALUE"""),"aina30119@gmail.com")</f>
        <v>aina30119@gmail.com</v>
      </c>
      <c r="C2440" s="9" t="str">
        <f ca="1">IFERROR(__xludf.DUMMYFUNCTION("""COMPUTED_VALUE"""),"EVERGREEN - UAN Gated Content - Embedded Petition")</f>
        <v>EVERGREEN - UAN Gated Content - Embedded Petition</v>
      </c>
      <c r="D2440" s="10">
        <f ca="1">IFERROR(__xludf.DUMMYFUNCTION("""COMPUTED_VALUE"""),45675)</f>
        <v>45675</v>
      </c>
    </row>
    <row r="2441" spans="1:4" ht="13" x14ac:dyDescent="0.15">
      <c r="A2441" s="9">
        <f ca="1">IFERROR(__xludf.DUMMYFUNCTION("""COMPUTED_VALUE"""),285989990)</f>
        <v>285989990</v>
      </c>
      <c r="B2441" s="1" t="str">
        <f ca="1">IFERROR(__xludf.DUMMYFUNCTION("""COMPUTED_VALUE"""),"aina30119@gmail.com")</f>
        <v>aina30119@gmail.com</v>
      </c>
      <c r="C2441" s="9" t="str">
        <f ca="1">IFERROR(__xludf.DUMMYFUNCTION("""COMPUTED_VALUE"""),"EVERGREEN - Website Email Capture Form - UAN Pre-Footer")</f>
        <v>EVERGREEN - Website Email Capture Form - UAN Pre-Footer</v>
      </c>
      <c r="D2441" s="10">
        <f ca="1">IFERROR(__xludf.DUMMYFUNCTION("""COMPUTED_VALUE"""),45647)</f>
        <v>45647</v>
      </c>
    </row>
    <row r="2442" spans="1:4" ht="13" x14ac:dyDescent="0.15">
      <c r="A2442" s="9">
        <f ca="1">IFERROR(__xludf.DUMMYFUNCTION("""COMPUTED_VALUE"""),285989990)</f>
        <v>285989990</v>
      </c>
      <c r="B2442" s="1" t="str">
        <f ca="1">IFERROR(__xludf.DUMMYFUNCTION("""COMPUTED_VALUE"""),"aina30119@gmail.com")</f>
        <v>aina30119@gmail.com</v>
      </c>
      <c r="C2442" s="9" t="str">
        <f ca="1">IFERROR(__xludf.DUMMYFUNCTION("""COMPUTED_VALUE"""),"EVERGREEN - Website Email Capture Form - UAN Pre-Footer")</f>
        <v>EVERGREEN - Website Email Capture Form - UAN Pre-Footer</v>
      </c>
      <c r="D2442" s="10">
        <f ca="1">IFERROR(__xludf.DUMMYFUNCTION("""COMPUTED_VALUE"""),45675)</f>
        <v>45675</v>
      </c>
    </row>
    <row r="2443" spans="1:4" ht="13" x14ac:dyDescent="0.15">
      <c r="A2443" s="9">
        <f ca="1">IFERROR(__xludf.DUMMYFUNCTION("""COMPUTED_VALUE"""),286030236)</f>
        <v>286030236</v>
      </c>
      <c r="B2443" s="1" t="str">
        <f ca="1">IFERROR(__xludf.DUMMYFUNCTION("""COMPUTED_VALUE"""),"bethany@criss.pro")</f>
        <v>bethany@criss.pro</v>
      </c>
      <c r="C2443" s="9" t="str">
        <f ca="1">IFERROR(__xludf.DUMMYFUNCTION("""COMPUTED_VALUE"""),"EVERGREEN - Website Email Capture Form - UAN Pre-Footer")</f>
        <v>EVERGREEN - Website Email Capture Form - UAN Pre-Footer</v>
      </c>
      <c r="D2443" s="10">
        <f ca="1">IFERROR(__xludf.DUMMYFUNCTION("""COMPUTED_VALUE"""),45629)</f>
        <v>45629</v>
      </c>
    </row>
    <row r="2444" spans="1:4" ht="13" x14ac:dyDescent="0.15">
      <c r="A2444" s="9">
        <f ca="1">IFERROR(__xludf.DUMMYFUNCTION("""COMPUTED_VALUE"""),286070851)</f>
        <v>286070851</v>
      </c>
      <c r="B2444" s="1" t="str">
        <f ca="1">IFERROR(__xludf.DUMMYFUNCTION("""COMPUTED_VALUE"""),"michelle.mcaffee@signiaworks.com")</f>
        <v>michelle.mcaffee@signiaworks.com</v>
      </c>
      <c r="C2444" s="9" t="str">
        <f ca="1">IFERROR(__xludf.DUMMYFUNCTION("""COMPUTED_VALUE"""),"EVERGREEN - UAN Gated Content - Embedded Petition")</f>
        <v>EVERGREEN - UAN Gated Content - Embedded Petition</v>
      </c>
      <c r="D2444" s="10">
        <f ca="1">IFERROR(__xludf.DUMMYFUNCTION("""COMPUTED_VALUE"""),45630)</f>
        <v>45630</v>
      </c>
    </row>
    <row r="2445" spans="1:4" ht="13" x14ac:dyDescent="0.15">
      <c r="A2445" s="9">
        <f ca="1">IFERROR(__xludf.DUMMYFUNCTION("""COMPUTED_VALUE"""),286088675)</f>
        <v>286088675</v>
      </c>
      <c r="B2445" s="1" t="str">
        <f ca="1">IFERROR(__xludf.DUMMYFUNCTION("""COMPUTED_VALUE"""),"akshaya.mohan@duke.edu")</f>
        <v>akshaya.mohan@duke.edu</v>
      </c>
      <c r="C2445" s="9" t="str">
        <f ca="1">IFERROR(__xludf.DUMMYFUNCTION("""COMPUTED_VALUE"""),"EVERGREEN - UAN Gated Content - Embedded Petition")</f>
        <v>EVERGREEN - UAN Gated Content - Embedded Petition</v>
      </c>
      <c r="D2445" s="10">
        <f ca="1">IFERROR(__xludf.DUMMYFUNCTION("""COMPUTED_VALUE"""),45671)</f>
        <v>45671</v>
      </c>
    </row>
    <row r="2446" spans="1:4" ht="13" x14ac:dyDescent="0.15">
      <c r="A2446" s="9">
        <f ca="1">IFERROR(__xludf.DUMMYFUNCTION("""COMPUTED_VALUE"""),286088802)</f>
        <v>286088802</v>
      </c>
      <c r="B2446" s="1" t="str">
        <f ca="1">IFERROR(__xludf.DUMMYFUNCTION("""COMPUTED_VALUE"""),"clairehelmsley@gmail.com")</f>
        <v>clairehelmsley@gmail.com</v>
      </c>
      <c r="C2446" s="9" t="str">
        <f ca="1">IFERROR(__xludf.DUMMYFUNCTION("""COMPUTED_VALUE"""),"EVERGREEN - UAN Gated Content - Embedded Petition")</f>
        <v>EVERGREEN - UAN Gated Content - Embedded Petition</v>
      </c>
      <c r="D2446" s="10">
        <f ca="1">IFERROR(__xludf.DUMMYFUNCTION("""COMPUTED_VALUE"""),45663)</f>
        <v>45663</v>
      </c>
    </row>
    <row r="2447" spans="1:4" ht="13" x14ac:dyDescent="0.15">
      <c r="A2447" s="9">
        <f ca="1">IFERROR(__xludf.DUMMYFUNCTION("""COMPUTED_VALUE"""),286112808)</f>
        <v>286112808</v>
      </c>
      <c r="B2447" s="1" t="str">
        <f ca="1">IFERROR(__xludf.DUMMYFUNCTION("""COMPUTED_VALUE"""),"eperryire@glail.com")</f>
        <v>eperryire@glail.com</v>
      </c>
      <c r="C2447" s="9" t="str">
        <f ca="1">IFERROR(__xludf.DUMMYFUNCTION("""COMPUTED_VALUE"""),"EVERGREEN - UAN Gated Content - Embedded Petition")</f>
        <v>EVERGREEN - UAN Gated Content - Embedded Petition</v>
      </c>
      <c r="D2447" s="10">
        <f ca="1">IFERROR(__xludf.DUMMYFUNCTION("""COMPUTED_VALUE"""),45631)</f>
        <v>45631</v>
      </c>
    </row>
    <row r="2448" spans="1:4" ht="13" x14ac:dyDescent="0.15">
      <c r="A2448" s="9">
        <f ca="1">IFERROR(__xludf.DUMMYFUNCTION("""COMPUTED_VALUE"""),286135841)</f>
        <v>286135841</v>
      </c>
      <c r="B2448" s="1" t="str">
        <f ca="1">IFERROR(__xludf.DUMMYFUNCTION("""COMPUTED_VALUE"""),"pasisz@gmail.com")</f>
        <v>pasisz@gmail.com</v>
      </c>
      <c r="C2448" s="9" t="str">
        <f ca="1">IFERROR(__xludf.DUMMYFUNCTION("""COMPUTED_VALUE"""),"EVERGREEN - UAN Gated Content - Embedded Petition")</f>
        <v>EVERGREEN - UAN Gated Content - Embedded Petition</v>
      </c>
      <c r="D2448" s="10">
        <f ca="1">IFERROR(__xludf.DUMMYFUNCTION("""COMPUTED_VALUE"""),45685)</f>
        <v>45685</v>
      </c>
    </row>
    <row r="2449" spans="1:4" ht="13" x14ac:dyDescent="0.15">
      <c r="A2449" s="9">
        <f ca="1">IFERROR(__xludf.DUMMYFUNCTION("""COMPUTED_VALUE"""),286157489)</f>
        <v>286157489</v>
      </c>
      <c r="B2449" s="1" t="str">
        <f ca="1">IFERROR(__xludf.DUMMYFUNCTION("""COMPUTED_VALUE"""),"jnb66897@gmail.com")</f>
        <v>jnb66897@gmail.com</v>
      </c>
      <c r="C2449" s="9" t="str">
        <f ca="1">IFERROR(__xludf.DUMMYFUNCTION("""COMPUTED_VALUE"""),"EVERGREEN - UAN Gated Content - Embedded Petition")</f>
        <v>EVERGREEN - UAN Gated Content - Embedded Petition</v>
      </c>
      <c r="D2449" s="10">
        <f ca="1">IFERROR(__xludf.DUMMYFUNCTION("""COMPUTED_VALUE"""),45632)</f>
        <v>45632</v>
      </c>
    </row>
    <row r="2450" spans="1:4" ht="13" x14ac:dyDescent="0.15">
      <c r="A2450" s="9">
        <f ca="1">IFERROR(__xludf.DUMMYFUNCTION("""COMPUTED_VALUE"""),286161014)</f>
        <v>286161014</v>
      </c>
      <c r="B2450" s="1" t="str">
        <f ca="1">IFERROR(__xludf.DUMMYFUNCTION("""COMPUTED_VALUE"""),"dungnguyen15046@gmail.com")</f>
        <v>dungnguyen15046@gmail.com</v>
      </c>
      <c r="C2450" s="9" t="str">
        <f ca="1">IFERROR(__xludf.DUMMYFUNCTION("""COMPUTED_VALUE"""),"EVERGREEN - UAN Gated Content - Embedded Petition")</f>
        <v>EVERGREEN - UAN Gated Content - Embedded Petition</v>
      </c>
      <c r="D2450" s="10">
        <f ca="1">IFERROR(__xludf.DUMMYFUNCTION("""COMPUTED_VALUE"""),45696)</f>
        <v>45696</v>
      </c>
    </row>
    <row r="2451" spans="1:4" ht="13" x14ac:dyDescent="0.15">
      <c r="A2451" s="9">
        <f ca="1">IFERROR(__xludf.DUMMYFUNCTION("""COMPUTED_VALUE"""),286199864)</f>
        <v>286199864</v>
      </c>
      <c r="B2451" s="1" t="str">
        <f ca="1">IFERROR(__xludf.DUMMYFUNCTION("""COMPUTED_VALUE"""),"katherynmselby@gmail.com")</f>
        <v>katherynmselby@gmail.com</v>
      </c>
      <c r="C2451" s="9" t="str">
        <f ca="1">IFERROR(__xludf.DUMMYFUNCTION("""COMPUTED_VALUE"""),"EVERGREEN - UAN Gated Content - Embedded Petition")</f>
        <v>EVERGREEN - UAN Gated Content - Embedded Petition</v>
      </c>
      <c r="D2451" s="10">
        <f ca="1">IFERROR(__xludf.DUMMYFUNCTION("""COMPUTED_VALUE"""),45694)</f>
        <v>45694</v>
      </c>
    </row>
    <row r="2452" spans="1:4" ht="13" x14ac:dyDescent="0.15">
      <c r="A2452" s="9">
        <f ca="1">IFERROR(__xludf.DUMMYFUNCTION("""COMPUTED_VALUE"""),286209181)</f>
        <v>286209181</v>
      </c>
      <c r="B2452" s="1" t="str">
        <f ca="1">IFERROR(__xludf.DUMMYFUNCTION("""COMPUTED_VALUE"""),"loz_iswayout@hotmail.com")</f>
        <v>loz_iswayout@hotmail.com</v>
      </c>
      <c r="C2452" s="9" t="str">
        <f ca="1">IFERROR(__xludf.DUMMYFUNCTION("""COMPUTED_VALUE"""),"EVERGREEN - UAN Gated Content - Embedded Petition")</f>
        <v>EVERGREEN - UAN Gated Content - Embedded Petition</v>
      </c>
      <c r="D2452" s="10">
        <f ca="1">IFERROR(__xludf.DUMMYFUNCTION("""COMPUTED_VALUE"""),45695)</f>
        <v>45695</v>
      </c>
    </row>
    <row r="2453" spans="1:4" ht="13" x14ac:dyDescent="0.15">
      <c r="A2453" s="9">
        <f ca="1">IFERROR(__xludf.DUMMYFUNCTION("""COMPUTED_VALUE"""),286216484)</f>
        <v>286216484</v>
      </c>
      <c r="B2453" s="1" t="str">
        <f ca="1">IFERROR(__xludf.DUMMYFUNCTION("""COMPUTED_VALUE"""),"julialiuzzi@hotmail.com")</f>
        <v>julialiuzzi@hotmail.com</v>
      </c>
      <c r="C2453" s="9" t="str">
        <f ca="1">IFERROR(__xludf.DUMMYFUNCTION("""COMPUTED_VALUE"""),"EVERGREEN - UAN Gated Content - Embedded Petition")</f>
        <v>EVERGREEN - UAN Gated Content - Embedded Petition</v>
      </c>
      <c r="D2453" s="10">
        <f ca="1">IFERROR(__xludf.DUMMYFUNCTION("""COMPUTED_VALUE"""),45635)</f>
        <v>45635</v>
      </c>
    </row>
    <row r="2454" spans="1:4" ht="13" x14ac:dyDescent="0.15">
      <c r="A2454" s="9">
        <f ca="1">IFERROR(__xludf.DUMMYFUNCTION("""COMPUTED_VALUE"""),286234021)</f>
        <v>286234021</v>
      </c>
      <c r="B2454" s="1" t="str">
        <f ca="1">IFERROR(__xludf.DUMMYFUNCTION("""COMPUTED_VALUE"""),"cassy@puntney.com")</f>
        <v>cassy@puntney.com</v>
      </c>
      <c r="C2454" s="9" t="str">
        <f ca="1">IFERROR(__xludf.DUMMYFUNCTION("""COMPUTED_VALUE"""),"EVERGREEN - UAN Gated Content - Embedded Petition")</f>
        <v>EVERGREEN - UAN Gated Content - Embedded Petition</v>
      </c>
      <c r="D2454" s="10">
        <f ca="1">IFERROR(__xludf.DUMMYFUNCTION("""COMPUTED_VALUE"""),45636)</f>
        <v>45636</v>
      </c>
    </row>
    <row r="2455" spans="1:4" ht="13" x14ac:dyDescent="0.15">
      <c r="A2455" s="9">
        <f ca="1">IFERROR(__xludf.DUMMYFUNCTION("""COMPUTED_VALUE"""),286236106)</f>
        <v>286236106</v>
      </c>
      <c r="B2455" s="1" t="str">
        <f ca="1">IFERROR(__xludf.DUMMYFUNCTION("""COMPUTED_VALUE"""),"ray.flynn@outlook.com")</f>
        <v>ray.flynn@outlook.com</v>
      </c>
      <c r="C2455" s="9" t="str">
        <f ca="1">IFERROR(__xludf.DUMMYFUNCTION("""COMPUTED_VALUE"""),"EVERGREEN - UAN Gated Content - Embedded Petition")</f>
        <v>EVERGREEN - UAN Gated Content - Embedded Petition</v>
      </c>
      <c r="D2455" s="10">
        <f ca="1">IFERROR(__xludf.DUMMYFUNCTION("""COMPUTED_VALUE"""),45636)</f>
        <v>45636</v>
      </c>
    </row>
    <row r="2456" spans="1:4" ht="13" x14ac:dyDescent="0.15">
      <c r="A2456" s="9">
        <f ca="1">IFERROR(__xludf.DUMMYFUNCTION("""COMPUTED_VALUE"""),286237451)</f>
        <v>286237451</v>
      </c>
      <c r="B2456" s="1" t="str">
        <f ca="1">IFERROR(__xludf.DUMMYFUNCTION("""COMPUTED_VALUE"""),"rcmaven@gmail.com")</f>
        <v>rcmaven@gmail.com</v>
      </c>
      <c r="C2456" s="9" t="str">
        <f ca="1">IFERROR(__xludf.DUMMYFUNCTION("""COMPUTED_VALUE"""),"EVERGREEN - Website Email Capture Form - UAN Pre-Footer")</f>
        <v>EVERGREEN - Website Email Capture Form - UAN Pre-Footer</v>
      </c>
      <c r="D2456" s="10">
        <f ca="1">IFERROR(__xludf.DUMMYFUNCTION("""COMPUTED_VALUE"""),45636)</f>
        <v>45636</v>
      </c>
    </row>
    <row r="2457" spans="1:4" ht="13" x14ac:dyDescent="0.15">
      <c r="A2457" s="9">
        <f ca="1">IFERROR(__xludf.DUMMYFUNCTION("""COMPUTED_VALUE"""),286237952)</f>
        <v>286237952</v>
      </c>
      <c r="B2457" s="1" t="str">
        <f ca="1">IFERROR(__xludf.DUMMYFUNCTION("""COMPUTED_VALUE"""),"douglas.kent.barry@gmail.com")</f>
        <v>douglas.kent.barry@gmail.com</v>
      </c>
      <c r="C2457" s="9" t="str">
        <f ca="1">IFERROR(__xludf.DUMMYFUNCTION("""COMPUTED_VALUE"""),"EVERGREEN - UAN Gated Content - Embedded Petition")</f>
        <v>EVERGREEN - UAN Gated Content - Embedded Petition</v>
      </c>
      <c r="D2457" s="10">
        <f ca="1">IFERROR(__xludf.DUMMYFUNCTION("""COMPUTED_VALUE"""),45636)</f>
        <v>45636</v>
      </c>
    </row>
    <row r="2458" spans="1:4" ht="13" x14ac:dyDescent="0.15">
      <c r="A2458" s="9">
        <f ca="1">IFERROR(__xludf.DUMMYFUNCTION("""COMPUTED_VALUE"""),286241321)</f>
        <v>286241321</v>
      </c>
      <c r="B2458" s="1" t="str">
        <f ca="1">IFERROR(__xludf.DUMMYFUNCTION("""COMPUTED_VALUE"""),"robertkurnick@gmail.com")</f>
        <v>robertkurnick@gmail.com</v>
      </c>
      <c r="C2458" s="9" t="str">
        <f ca="1">IFERROR(__xludf.DUMMYFUNCTION("""COMPUTED_VALUE"""),"EVERGREEN - UAN Gated Content - Embedded Petition")</f>
        <v>EVERGREEN - UAN Gated Content - Embedded Petition</v>
      </c>
      <c r="D2458" s="10">
        <f ca="1">IFERROR(__xludf.DUMMYFUNCTION("""COMPUTED_VALUE"""),45694)</f>
        <v>45694</v>
      </c>
    </row>
    <row r="2459" spans="1:4" ht="13" x14ac:dyDescent="0.15">
      <c r="A2459" s="9">
        <f ca="1">IFERROR(__xludf.DUMMYFUNCTION("""COMPUTED_VALUE"""),286244761)</f>
        <v>286244761</v>
      </c>
      <c r="B2459" s="1" t="str">
        <f ca="1">IFERROR(__xludf.DUMMYFUNCTION("""COMPUTED_VALUE"""),"mgadsden04@gmail.com")</f>
        <v>mgadsden04@gmail.com</v>
      </c>
      <c r="C2459" s="9" t="str">
        <f ca="1">IFERROR(__xludf.DUMMYFUNCTION("""COMPUTED_VALUE"""),"UAN mid-page Lightbox - Step 1 of 4 - Landing Page")</f>
        <v>UAN mid-page Lightbox - Step 1 of 4 - Landing Page</v>
      </c>
      <c r="D2459" s="10">
        <f ca="1">IFERROR(__xludf.DUMMYFUNCTION("""COMPUTED_VALUE"""),45636)</f>
        <v>45636</v>
      </c>
    </row>
    <row r="2460" spans="1:4" ht="13" x14ac:dyDescent="0.15">
      <c r="A2460" s="9">
        <f ca="1">IFERROR(__xludf.DUMMYFUNCTION("""COMPUTED_VALUE"""),286244761)</f>
        <v>286244761</v>
      </c>
      <c r="B2460" s="1" t="str">
        <f ca="1">IFERROR(__xludf.DUMMYFUNCTION("""COMPUTED_VALUE"""),"mgadsden04@gmail.com")</f>
        <v>mgadsden04@gmail.com</v>
      </c>
      <c r="C2460" s="9" t="str">
        <f ca="1">IFERROR(__xludf.DUMMYFUNCTION("""COMPUTED_VALUE"""),"UAN mid-page Lightbox - Step 2 of 4 - More personal info fields")</f>
        <v>UAN mid-page Lightbox - Step 2 of 4 - More personal info fields</v>
      </c>
      <c r="D2460" s="10">
        <f ca="1">IFERROR(__xludf.DUMMYFUNCTION("""COMPUTED_VALUE"""),45636)</f>
        <v>45636</v>
      </c>
    </row>
    <row r="2461" spans="1:4" ht="13" x14ac:dyDescent="0.15">
      <c r="A2461" s="9">
        <f ca="1">IFERROR(__xludf.DUMMYFUNCTION("""COMPUTED_VALUE"""),286244761)</f>
        <v>286244761</v>
      </c>
      <c r="B2461" s="1" t="str">
        <f ca="1">IFERROR(__xludf.DUMMYFUNCTION("""COMPUTED_VALUE"""),"mgadsden04@gmail.com")</f>
        <v>mgadsden04@gmail.com</v>
      </c>
      <c r="C2461" s="9" t="str">
        <f ca="1">IFERROR(__xludf.DUMMYFUNCTION("""COMPUTED_VALUE"""),"UAN mid-page Lightbox - Step 3 of 4 - More opt-ins")</f>
        <v>UAN mid-page Lightbox - Step 3 of 4 - More opt-ins</v>
      </c>
      <c r="D2461" s="10">
        <f ca="1">IFERROR(__xludf.DUMMYFUNCTION("""COMPUTED_VALUE"""),45636)</f>
        <v>45636</v>
      </c>
    </row>
    <row r="2462" spans="1:4" ht="13" x14ac:dyDescent="0.15">
      <c r="A2462" s="9">
        <f ca="1">IFERROR(__xludf.DUMMYFUNCTION("""COMPUTED_VALUE"""),286247086)</f>
        <v>286247086</v>
      </c>
      <c r="B2462" s="1" t="str">
        <f ca="1">IFERROR(__xludf.DUMMYFUNCTION("""COMPUTED_VALUE"""),"beirutmppres@gmail.com")</f>
        <v>beirutmppres@gmail.com</v>
      </c>
      <c r="C2462" s="9" t="str">
        <f ca="1">IFERROR(__xludf.DUMMYFUNCTION("""COMPUTED_VALUE"""),"EVERGREEN - UAN Gated Content - Embedded Petition")</f>
        <v>EVERGREEN - UAN Gated Content - Embedded Petition</v>
      </c>
      <c r="D2462" s="10">
        <f ca="1">IFERROR(__xludf.DUMMYFUNCTION("""COMPUTED_VALUE"""),45636)</f>
        <v>45636</v>
      </c>
    </row>
    <row r="2463" spans="1:4" ht="13" x14ac:dyDescent="0.15">
      <c r="A2463" s="9">
        <f ca="1">IFERROR(__xludf.DUMMYFUNCTION("""COMPUTED_VALUE"""),286248956)</f>
        <v>286248956</v>
      </c>
      <c r="B2463" s="1" t="str">
        <f ca="1">IFERROR(__xludf.DUMMYFUNCTION("""COMPUTED_VALUE"""),"socjsticeadvocate@verizon.net")</f>
        <v>socjsticeadvocate@verizon.net</v>
      </c>
      <c r="C2463" s="9" t="str">
        <f ca="1">IFERROR(__xludf.DUMMYFUNCTION("""COMPUTED_VALUE"""),"EVERGREEN - UAN Gated Content - Embedded Petition")</f>
        <v>EVERGREEN - UAN Gated Content - Embedded Petition</v>
      </c>
      <c r="D2463" s="10">
        <f ca="1">IFERROR(__xludf.DUMMYFUNCTION("""COMPUTED_VALUE"""),45636)</f>
        <v>45636</v>
      </c>
    </row>
    <row r="2464" spans="1:4" ht="13" x14ac:dyDescent="0.15">
      <c r="A2464" s="9">
        <f ca="1">IFERROR(__xludf.DUMMYFUNCTION("""COMPUTED_VALUE"""),286279658)</f>
        <v>286279658</v>
      </c>
      <c r="B2464" s="1" t="str">
        <f ca="1">IFERROR(__xludf.DUMMYFUNCTION("""COMPUTED_VALUE"""),"js.mcgrath@ntlworld.com")</f>
        <v>js.mcgrath@ntlworld.com</v>
      </c>
      <c r="C2464" s="9" t="str">
        <f ca="1">IFERROR(__xludf.DUMMYFUNCTION("""COMPUTED_VALUE"""),"EVERGREEN - UAN Gated Content - Embedded Petition")</f>
        <v>EVERGREEN - UAN Gated Content - Embedded Petition</v>
      </c>
      <c r="D2464" s="10">
        <f ca="1">IFERROR(__xludf.DUMMYFUNCTION("""COMPUTED_VALUE"""),45638)</f>
        <v>45638</v>
      </c>
    </row>
    <row r="2465" spans="1:4" ht="13" x14ac:dyDescent="0.15">
      <c r="A2465" s="9">
        <f ca="1">IFERROR(__xludf.DUMMYFUNCTION("""COMPUTED_VALUE"""),286300811)</f>
        <v>286300811</v>
      </c>
      <c r="B2465" s="1" t="str">
        <f ca="1">IFERROR(__xludf.DUMMYFUNCTION("""COMPUTED_VALUE"""),"cgvenegas91@gmail.com")</f>
        <v>cgvenegas91@gmail.com</v>
      </c>
      <c r="C2465" s="9" t="str">
        <f ca="1">IFERROR(__xludf.DUMMYFUNCTION("""COMPUTED_VALUE"""),"UAN mid-page Lightbox - Step 1 of 4 - Landing Page")</f>
        <v>UAN mid-page Lightbox - Step 1 of 4 - Landing Page</v>
      </c>
      <c r="D2465" s="10">
        <f ca="1">IFERROR(__xludf.DUMMYFUNCTION("""COMPUTED_VALUE"""),45638)</f>
        <v>45638</v>
      </c>
    </row>
    <row r="2466" spans="1:4" ht="13" x14ac:dyDescent="0.15">
      <c r="A2466" s="9">
        <f ca="1">IFERROR(__xludf.DUMMYFUNCTION("""COMPUTED_VALUE"""),286300811)</f>
        <v>286300811</v>
      </c>
      <c r="B2466" s="1" t="str">
        <f ca="1">IFERROR(__xludf.DUMMYFUNCTION("""COMPUTED_VALUE"""),"cgvenegas91@gmail.com")</f>
        <v>cgvenegas91@gmail.com</v>
      </c>
      <c r="C2466" s="9" t="str">
        <f ca="1">IFERROR(__xludf.DUMMYFUNCTION("""COMPUTED_VALUE"""),"UAN mid-page Lightbox - Step 2 of 4 - More personal info fields")</f>
        <v>UAN mid-page Lightbox - Step 2 of 4 - More personal info fields</v>
      </c>
      <c r="D2466" s="10">
        <f ca="1">IFERROR(__xludf.DUMMYFUNCTION("""COMPUTED_VALUE"""),45638)</f>
        <v>45638</v>
      </c>
    </row>
    <row r="2467" spans="1:4" ht="13" x14ac:dyDescent="0.15">
      <c r="A2467" s="9">
        <f ca="1">IFERROR(__xludf.DUMMYFUNCTION("""COMPUTED_VALUE"""),286300811)</f>
        <v>286300811</v>
      </c>
      <c r="B2467" s="1" t="str">
        <f ca="1">IFERROR(__xludf.DUMMYFUNCTION("""COMPUTED_VALUE"""),"cgvenegas91@gmail.com")</f>
        <v>cgvenegas91@gmail.com</v>
      </c>
      <c r="C2467" s="9" t="str">
        <f ca="1">IFERROR(__xludf.DUMMYFUNCTION("""COMPUTED_VALUE"""),"UAN mid-page Lightbox - Step 3 of 4 - More opt-ins")</f>
        <v>UAN mid-page Lightbox - Step 3 of 4 - More opt-ins</v>
      </c>
      <c r="D2467" s="10">
        <f ca="1">IFERROR(__xludf.DUMMYFUNCTION("""COMPUTED_VALUE"""),45638)</f>
        <v>45638</v>
      </c>
    </row>
    <row r="2468" spans="1:4" ht="13" x14ac:dyDescent="0.15">
      <c r="A2468" s="9">
        <f ca="1">IFERROR(__xludf.DUMMYFUNCTION("""COMPUTED_VALUE"""),286305117)</f>
        <v>286305117</v>
      </c>
      <c r="B2468" s="1" t="str">
        <f ca="1">IFERROR(__xludf.DUMMYFUNCTION("""COMPUTED_VALUE"""),"cchmbers06@icloud.com")</f>
        <v>cchmbers06@icloud.com</v>
      </c>
      <c r="C2468" s="9" t="str">
        <f ca="1">IFERROR(__xludf.DUMMYFUNCTION("""COMPUTED_VALUE"""),"EVERGREEN - UAN Gated Content - Embedded Petition")</f>
        <v>EVERGREEN - UAN Gated Content - Embedded Petition</v>
      </c>
      <c r="D2468" s="10">
        <f ca="1">IFERROR(__xludf.DUMMYFUNCTION("""COMPUTED_VALUE"""),45638)</f>
        <v>45638</v>
      </c>
    </row>
    <row r="2469" spans="1:4" ht="13" x14ac:dyDescent="0.15">
      <c r="A2469" s="9">
        <f ca="1">IFERROR(__xludf.DUMMYFUNCTION("""COMPUTED_VALUE"""),286305282)</f>
        <v>286305282</v>
      </c>
      <c r="B2469" s="1" t="str">
        <f ca="1">IFERROR(__xludf.DUMMYFUNCTION("""COMPUTED_VALUE"""),"n.maylewis@fmail.com")</f>
        <v>n.maylewis@fmail.com</v>
      </c>
      <c r="C2469" s="9" t="str">
        <f ca="1">IFERROR(__xludf.DUMMYFUNCTION("""COMPUTED_VALUE"""),"EVERGREEN - Website Email Capture Form - UAN Pre-Footer")</f>
        <v>EVERGREEN - Website Email Capture Form - UAN Pre-Footer</v>
      </c>
      <c r="D2469" s="10">
        <f ca="1">IFERROR(__xludf.DUMMYFUNCTION("""COMPUTED_VALUE"""),45638)</f>
        <v>45638</v>
      </c>
    </row>
    <row r="2470" spans="1:4" ht="13" x14ac:dyDescent="0.15">
      <c r="A2470" s="9">
        <f ca="1">IFERROR(__xludf.DUMMYFUNCTION("""COMPUTED_VALUE"""),286349764)</f>
        <v>286349764</v>
      </c>
      <c r="B2470" s="1" t="str">
        <f ca="1">IFERROR(__xludf.DUMMYFUNCTION("""COMPUTED_VALUE"""),"anthony.tuemler@dyahoo.com")</f>
        <v>anthony.tuemler@dyahoo.com</v>
      </c>
      <c r="C2470" s="9" t="str">
        <f ca="1">IFERROR(__xludf.DUMMYFUNCTION("""COMPUTED_VALUE"""),"EVERGREEN - UAN Gated Content - Embedded Petition")</f>
        <v>EVERGREEN - UAN Gated Content - Embedded Petition</v>
      </c>
      <c r="D2470" s="10">
        <f ca="1">IFERROR(__xludf.DUMMYFUNCTION("""COMPUTED_VALUE"""),45639)</f>
        <v>45639</v>
      </c>
    </row>
    <row r="2471" spans="1:4" ht="13" x14ac:dyDescent="0.15">
      <c r="A2471" s="9">
        <f ca="1">IFERROR(__xludf.DUMMYFUNCTION("""COMPUTED_VALUE"""),286352508)</f>
        <v>286352508</v>
      </c>
      <c r="B2471" s="1" t="str">
        <f ca="1">IFERROR(__xludf.DUMMYFUNCTION("""COMPUTED_VALUE"""),"catetono@yahoo.it")</f>
        <v>catetono@yahoo.it</v>
      </c>
      <c r="C2471" s="9" t="str">
        <f ca="1">IFERROR(__xludf.DUMMYFUNCTION("""COMPUTED_VALUE"""),"EVERGREEN - UAN Gated Content - Embedded Petition")</f>
        <v>EVERGREEN - UAN Gated Content - Embedded Petition</v>
      </c>
      <c r="D2471" s="10">
        <f ca="1">IFERROR(__xludf.DUMMYFUNCTION("""COMPUTED_VALUE"""),45651)</f>
        <v>45651</v>
      </c>
    </row>
    <row r="2472" spans="1:4" ht="13" x14ac:dyDescent="0.15">
      <c r="A2472" s="9">
        <f ca="1">IFERROR(__xludf.DUMMYFUNCTION("""COMPUTED_VALUE"""),286364112)</f>
        <v>286364112</v>
      </c>
      <c r="B2472" s="1" t="str">
        <f ca="1">IFERROR(__xludf.DUMMYFUNCTION("""COMPUTED_VALUE"""),"denisestepp60@gmail.com")</f>
        <v>denisestepp60@gmail.com</v>
      </c>
      <c r="C2472" s="9" t="str">
        <f ca="1">IFERROR(__xludf.DUMMYFUNCTION("""COMPUTED_VALUE"""),"EVERGREEN - Website Email Capture Form - UAN Pre-Footer")</f>
        <v>EVERGREEN - Website Email Capture Form - UAN Pre-Footer</v>
      </c>
      <c r="D2472" s="10">
        <f ca="1">IFERROR(__xludf.DUMMYFUNCTION("""COMPUTED_VALUE"""),45640)</f>
        <v>45640</v>
      </c>
    </row>
    <row r="2473" spans="1:4" ht="13" x14ac:dyDescent="0.15">
      <c r="A2473" s="9">
        <f ca="1">IFERROR(__xludf.DUMMYFUNCTION("""COMPUTED_VALUE"""),286373377)</f>
        <v>286373377</v>
      </c>
      <c r="B2473" s="1" t="str">
        <f ca="1">IFERROR(__xludf.DUMMYFUNCTION("""COMPUTED_VALUE"""),"govholcomb@gov.in.gov")</f>
        <v>govholcomb@gov.in.gov</v>
      </c>
      <c r="C2473" s="9" t="str">
        <f ca="1">IFERROR(__xludf.DUMMYFUNCTION("""COMPUTED_VALUE"""),"EVERGREEN - UAN Gated Content - Embedded Petition")</f>
        <v>EVERGREEN - UAN Gated Content - Embedded Petition</v>
      </c>
      <c r="D2473" s="10">
        <f ca="1">IFERROR(__xludf.DUMMYFUNCTION("""COMPUTED_VALUE"""),45640)</f>
        <v>45640</v>
      </c>
    </row>
    <row r="2474" spans="1:4" ht="13" x14ac:dyDescent="0.15">
      <c r="A2474" s="9">
        <f ca="1">IFERROR(__xludf.DUMMYFUNCTION("""COMPUTED_VALUE"""),286387278)</f>
        <v>286387278</v>
      </c>
      <c r="B2474" s="1" t="str">
        <f ca="1">IFERROR(__xludf.DUMMYFUNCTION("""COMPUTED_VALUE"""),"mjlsr02@comcadt.net")</f>
        <v>mjlsr02@comcadt.net</v>
      </c>
      <c r="C2474" s="9" t="str">
        <f ca="1">IFERROR(__xludf.DUMMYFUNCTION("""COMPUTED_VALUE"""),"EVERGREEN - UAN Gated Content - Embedded Petition")</f>
        <v>EVERGREEN - UAN Gated Content - Embedded Petition</v>
      </c>
      <c r="D2474" s="10">
        <f ca="1">IFERROR(__xludf.DUMMYFUNCTION("""COMPUTED_VALUE"""),45641)</f>
        <v>45641</v>
      </c>
    </row>
    <row r="2475" spans="1:4" ht="13" x14ac:dyDescent="0.15">
      <c r="A2475" s="9">
        <f ca="1">IFERROR(__xludf.DUMMYFUNCTION("""COMPUTED_VALUE"""),286398206)</f>
        <v>286398206</v>
      </c>
      <c r="B2475" s="1" t="str">
        <f ca="1">IFERROR(__xludf.DUMMYFUNCTION("""COMPUTED_VALUE"""),"nhehry72@gmail.com")</f>
        <v>nhehry72@gmail.com</v>
      </c>
      <c r="C2475" s="9" t="str">
        <f ca="1">IFERROR(__xludf.DUMMYFUNCTION("""COMPUTED_VALUE"""),"EVERGREEN - UAN Gated Content - Embedded Petition")</f>
        <v>EVERGREEN - UAN Gated Content - Embedded Petition</v>
      </c>
      <c r="D2475" s="10">
        <f ca="1">IFERROR(__xludf.DUMMYFUNCTION("""COMPUTED_VALUE"""),45641)</f>
        <v>45641</v>
      </c>
    </row>
    <row r="2476" spans="1:4" ht="13" x14ac:dyDescent="0.15">
      <c r="A2476" s="9">
        <f ca="1">IFERROR(__xludf.DUMMYFUNCTION("""COMPUTED_VALUE"""),286402974)</f>
        <v>286402974</v>
      </c>
      <c r="B2476" s="1" t="str">
        <f ca="1">IFERROR(__xludf.DUMMYFUNCTION("""COMPUTED_VALUE"""),"ellinoora.riutta@outlook.com")</f>
        <v>ellinoora.riutta@outlook.com</v>
      </c>
      <c r="C2476" s="9" t="str">
        <f ca="1">IFERROR(__xludf.DUMMYFUNCTION("""COMPUTED_VALUE"""),"EVERGREEN - UAN Gated Content - Embedded Petition")</f>
        <v>EVERGREEN - UAN Gated Content - Embedded Petition</v>
      </c>
      <c r="D2476" s="10">
        <f ca="1">IFERROR(__xludf.DUMMYFUNCTION("""COMPUTED_VALUE"""),45703)</f>
        <v>45703</v>
      </c>
    </row>
    <row r="2477" spans="1:4" ht="13" x14ac:dyDescent="0.15">
      <c r="A2477" s="9">
        <f ca="1">IFERROR(__xludf.DUMMYFUNCTION("""COMPUTED_VALUE"""),286402974)</f>
        <v>286402974</v>
      </c>
      <c r="B2477" s="1" t="str">
        <f ca="1">IFERROR(__xludf.DUMMYFUNCTION("""COMPUTED_VALUE"""),"ellinoora.riutta@outlook.com")</f>
        <v>ellinoora.riutta@outlook.com</v>
      </c>
      <c r="C2477" s="9" t="str">
        <f ca="1">IFERROR(__xludf.DUMMYFUNCTION("""COMPUTED_VALUE"""),"EVERGREEN - UAN Gated Content - Embedded Petition")</f>
        <v>EVERGREEN - UAN Gated Content - Embedded Petition</v>
      </c>
      <c r="D2477" s="10">
        <f ca="1">IFERROR(__xludf.DUMMYFUNCTION("""COMPUTED_VALUE"""),45703)</f>
        <v>45703</v>
      </c>
    </row>
    <row r="2478" spans="1:4" ht="13" x14ac:dyDescent="0.15">
      <c r="A2478" s="9">
        <f ca="1">IFERROR(__xludf.DUMMYFUNCTION("""COMPUTED_VALUE"""),286402974)</f>
        <v>286402974</v>
      </c>
      <c r="B2478" s="1" t="str">
        <f ca="1">IFERROR(__xludf.DUMMYFUNCTION("""COMPUTED_VALUE"""),"ellinoora.riutta@outlook.com")</f>
        <v>ellinoora.riutta@outlook.com</v>
      </c>
      <c r="C2478" s="9" t="str">
        <f ca="1">IFERROR(__xludf.DUMMYFUNCTION("""COMPUTED_VALUE"""),"EVERGREEN - UAN Gated Content - Embedded Petition")</f>
        <v>EVERGREEN - UAN Gated Content - Embedded Petition</v>
      </c>
      <c r="D2478" s="10">
        <f ca="1">IFERROR(__xludf.DUMMYFUNCTION("""COMPUTED_VALUE"""),45694)</f>
        <v>45694</v>
      </c>
    </row>
    <row r="2479" spans="1:4" ht="13" x14ac:dyDescent="0.15">
      <c r="A2479" s="9">
        <f ca="1">IFERROR(__xludf.DUMMYFUNCTION("""COMPUTED_VALUE"""),286402974)</f>
        <v>286402974</v>
      </c>
      <c r="B2479" s="1" t="str">
        <f ca="1">IFERROR(__xludf.DUMMYFUNCTION("""COMPUTED_VALUE"""),"ellinoora.riutta@outlook.com")</f>
        <v>ellinoora.riutta@outlook.com</v>
      </c>
      <c r="C2479" s="9" t="str">
        <f ca="1">IFERROR(__xludf.DUMMYFUNCTION("""COMPUTED_VALUE"""),"EVERGREEN - UAN Gated Content - Embedded Petition")</f>
        <v>EVERGREEN - UAN Gated Content - Embedded Petition</v>
      </c>
      <c r="D2479" s="10">
        <f ca="1">IFERROR(__xludf.DUMMYFUNCTION("""COMPUTED_VALUE"""),45695)</f>
        <v>45695</v>
      </c>
    </row>
    <row r="2480" spans="1:4" ht="13" x14ac:dyDescent="0.15">
      <c r="A2480" s="9">
        <f ca="1">IFERROR(__xludf.DUMMYFUNCTION("""COMPUTED_VALUE"""),286402974)</f>
        <v>286402974</v>
      </c>
      <c r="B2480" s="1" t="str">
        <f ca="1">IFERROR(__xludf.DUMMYFUNCTION("""COMPUTED_VALUE"""),"ellinoora.riutta@outlook.com")</f>
        <v>ellinoora.riutta@outlook.com</v>
      </c>
      <c r="C2480" s="9" t="str">
        <f ca="1">IFERROR(__xludf.DUMMYFUNCTION("""COMPUTED_VALUE"""),"EVERGREEN - UAN Gated Content - Embedded Petition")</f>
        <v>EVERGREEN - UAN Gated Content - Embedded Petition</v>
      </c>
      <c r="D2480" s="10">
        <f ca="1">IFERROR(__xludf.DUMMYFUNCTION("""COMPUTED_VALUE"""),45655)</f>
        <v>45655</v>
      </c>
    </row>
    <row r="2481" spans="1:4" ht="13" x14ac:dyDescent="0.15">
      <c r="A2481" s="9">
        <f ca="1">IFERROR(__xludf.DUMMYFUNCTION("""COMPUTED_VALUE"""),286402974)</f>
        <v>286402974</v>
      </c>
      <c r="B2481" s="1" t="str">
        <f ca="1">IFERROR(__xludf.DUMMYFUNCTION("""COMPUTED_VALUE"""),"ellinoora.riutta@outlook.com")</f>
        <v>ellinoora.riutta@outlook.com</v>
      </c>
      <c r="C2481" s="9" t="str">
        <f ca="1">IFERROR(__xludf.DUMMYFUNCTION("""COMPUTED_VALUE"""),"EVERGREEN - UAN Gated Content - Embedded Petition")</f>
        <v>EVERGREEN - UAN Gated Content - Embedded Petition</v>
      </c>
      <c r="D2481" s="10">
        <f ca="1">IFERROR(__xludf.DUMMYFUNCTION("""COMPUTED_VALUE"""),45679)</f>
        <v>45679</v>
      </c>
    </row>
    <row r="2482" spans="1:4" ht="13" x14ac:dyDescent="0.15">
      <c r="A2482" s="9">
        <f ca="1">IFERROR(__xludf.DUMMYFUNCTION("""COMPUTED_VALUE"""),286402974)</f>
        <v>286402974</v>
      </c>
      <c r="B2482" s="1" t="str">
        <f ca="1">IFERROR(__xludf.DUMMYFUNCTION("""COMPUTED_VALUE"""),"ellinoora.riutta@outlook.com")</f>
        <v>ellinoora.riutta@outlook.com</v>
      </c>
      <c r="C2482" s="9" t="str">
        <f ca="1">IFERROR(__xludf.DUMMYFUNCTION("""COMPUTED_VALUE"""),"EVERGREEN - UAN Gated Content - Embedded Petition")</f>
        <v>EVERGREEN - UAN Gated Content - Embedded Petition</v>
      </c>
      <c r="D2482" s="10">
        <f ca="1">IFERROR(__xludf.DUMMYFUNCTION("""COMPUTED_VALUE"""),45679)</f>
        <v>45679</v>
      </c>
    </row>
    <row r="2483" spans="1:4" ht="13" x14ac:dyDescent="0.15">
      <c r="A2483" s="9">
        <f ca="1">IFERROR(__xludf.DUMMYFUNCTION("""COMPUTED_VALUE"""),286402974)</f>
        <v>286402974</v>
      </c>
      <c r="B2483" s="1" t="str">
        <f ca="1">IFERROR(__xludf.DUMMYFUNCTION("""COMPUTED_VALUE"""),"ellinoora.riutta@outlook.com")</f>
        <v>ellinoora.riutta@outlook.com</v>
      </c>
      <c r="C2483" s="9" t="str">
        <f ca="1">IFERROR(__xludf.DUMMYFUNCTION("""COMPUTED_VALUE"""),"EVERGREEN - UAN Gated Content - Embedded Petition")</f>
        <v>EVERGREEN - UAN Gated Content - Embedded Petition</v>
      </c>
      <c r="D2483" s="10">
        <f ca="1">IFERROR(__xludf.DUMMYFUNCTION("""COMPUTED_VALUE"""),45642)</f>
        <v>45642</v>
      </c>
    </row>
    <row r="2484" spans="1:4" ht="13" x14ac:dyDescent="0.15">
      <c r="A2484" s="9">
        <f ca="1">IFERROR(__xludf.DUMMYFUNCTION("""COMPUTED_VALUE"""),286402974)</f>
        <v>286402974</v>
      </c>
      <c r="B2484" s="1" t="str">
        <f ca="1">IFERROR(__xludf.DUMMYFUNCTION("""COMPUTED_VALUE"""),"ellinoora.riutta@outlook.com")</f>
        <v>ellinoora.riutta@outlook.com</v>
      </c>
      <c r="C2484" s="9" t="str">
        <f ca="1">IFERROR(__xludf.DUMMYFUNCTION("""COMPUTED_VALUE"""),"EVERGREEN - UAN Gated Content - Embedded Petition")</f>
        <v>EVERGREEN - UAN Gated Content - Embedded Petition</v>
      </c>
      <c r="D2484" s="10">
        <f ca="1">IFERROR(__xludf.DUMMYFUNCTION("""COMPUTED_VALUE"""),45642)</f>
        <v>45642</v>
      </c>
    </row>
    <row r="2485" spans="1:4" ht="13" x14ac:dyDescent="0.15">
      <c r="A2485" s="9">
        <f ca="1">IFERROR(__xludf.DUMMYFUNCTION("""COMPUTED_VALUE"""),286402974)</f>
        <v>286402974</v>
      </c>
      <c r="B2485" s="1" t="str">
        <f ca="1">IFERROR(__xludf.DUMMYFUNCTION("""COMPUTED_VALUE"""),"ellinoora.riutta@outlook.com")</f>
        <v>ellinoora.riutta@outlook.com</v>
      </c>
      <c r="C2485" s="9" t="str">
        <f ca="1">IFERROR(__xludf.DUMMYFUNCTION("""COMPUTED_VALUE"""),"EVERGREEN - UAN Gated Content - Embedded Petition")</f>
        <v>EVERGREEN - UAN Gated Content - Embedded Petition</v>
      </c>
      <c r="D2485" s="10">
        <f ca="1">IFERROR(__xludf.DUMMYFUNCTION("""COMPUTED_VALUE"""),45684)</f>
        <v>45684</v>
      </c>
    </row>
    <row r="2486" spans="1:4" ht="13" x14ac:dyDescent="0.15">
      <c r="A2486" s="9">
        <f ca="1">IFERROR(__xludf.DUMMYFUNCTION("""COMPUTED_VALUE"""),286554886)</f>
        <v>286554886</v>
      </c>
      <c r="B2486" s="1" t="str">
        <f ca="1">IFERROR(__xludf.DUMMYFUNCTION("""COMPUTED_VALUE"""),"anam.shah2012@gmail.com")</f>
        <v>anam.shah2012@gmail.com</v>
      </c>
      <c r="C2486" s="9" t="str">
        <f ca="1">IFERROR(__xludf.DUMMYFUNCTION("""COMPUTED_VALUE"""),"EVERGREEN - UAN Gated Content - Embedded Petition")</f>
        <v>EVERGREEN - UAN Gated Content - Embedded Petition</v>
      </c>
      <c r="D2486" s="10">
        <f ca="1">IFERROR(__xludf.DUMMYFUNCTION("""COMPUTED_VALUE"""),45674)</f>
        <v>45674</v>
      </c>
    </row>
    <row r="2487" spans="1:4" ht="13" x14ac:dyDescent="0.15">
      <c r="A2487" s="9">
        <f ca="1">IFERROR(__xludf.DUMMYFUNCTION("""COMPUTED_VALUE"""),286560951)</f>
        <v>286560951</v>
      </c>
      <c r="B2487" s="1" t="str">
        <f ca="1">IFERROR(__xludf.DUMMYFUNCTION("""COMPUTED_VALUE"""),"al123477gonz@gmail.com")</f>
        <v>al123477gonz@gmail.com</v>
      </c>
      <c r="C2487" s="9" t="str">
        <f ca="1">IFERROR(__xludf.DUMMYFUNCTION("""COMPUTED_VALUE"""),"EVERGREEN - UAN Gated Content - Embedded Petition")</f>
        <v>EVERGREEN - UAN Gated Content - Embedded Petition</v>
      </c>
      <c r="D2487" s="10">
        <f ca="1">IFERROR(__xludf.DUMMYFUNCTION("""COMPUTED_VALUE"""),45694)</f>
        <v>45694</v>
      </c>
    </row>
    <row r="2488" spans="1:4" ht="13" x14ac:dyDescent="0.15">
      <c r="A2488" s="9">
        <f ca="1">IFERROR(__xludf.DUMMYFUNCTION("""COMPUTED_VALUE"""),286560951)</f>
        <v>286560951</v>
      </c>
      <c r="B2488" s="1" t="str">
        <f ca="1">IFERROR(__xludf.DUMMYFUNCTION("""COMPUTED_VALUE"""),"al123477gonz@gmail.com")</f>
        <v>al123477gonz@gmail.com</v>
      </c>
      <c r="C2488" s="9" t="str">
        <f ca="1">IFERROR(__xludf.DUMMYFUNCTION("""COMPUTED_VALUE"""),"EVERGREEN - UAN Gated Content - Embedded Petition")</f>
        <v>EVERGREEN - UAN Gated Content - Embedded Petition</v>
      </c>
      <c r="D2488" s="10">
        <f ca="1">IFERROR(__xludf.DUMMYFUNCTION("""COMPUTED_VALUE"""),45685)</f>
        <v>45685</v>
      </c>
    </row>
    <row r="2489" spans="1:4" ht="13" x14ac:dyDescent="0.15">
      <c r="A2489" s="9">
        <f ca="1">IFERROR(__xludf.DUMMYFUNCTION("""COMPUTED_VALUE"""),286560951)</f>
        <v>286560951</v>
      </c>
      <c r="B2489" s="1" t="str">
        <f ca="1">IFERROR(__xludf.DUMMYFUNCTION("""COMPUTED_VALUE"""),"al123477gonz@gmail.com")</f>
        <v>al123477gonz@gmail.com</v>
      </c>
      <c r="C2489" s="9" t="str">
        <f ca="1">IFERROR(__xludf.DUMMYFUNCTION("""COMPUTED_VALUE"""),"EVERGREEN - UAN Gated Content - Embedded Petition")</f>
        <v>EVERGREEN - UAN Gated Content - Embedded Petition</v>
      </c>
      <c r="D2489" s="10">
        <f ca="1">IFERROR(__xludf.DUMMYFUNCTION("""COMPUTED_VALUE"""),45688)</f>
        <v>45688</v>
      </c>
    </row>
    <row r="2490" spans="1:4" ht="13" x14ac:dyDescent="0.15">
      <c r="A2490" s="9">
        <f ca="1">IFERROR(__xludf.DUMMYFUNCTION("""COMPUTED_VALUE"""),286560951)</f>
        <v>286560951</v>
      </c>
      <c r="B2490" s="1" t="str">
        <f ca="1">IFERROR(__xludf.DUMMYFUNCTION("""COMPUTED_VALUE"""),"al123477gonz@gmail.com")</f>
        <v>al123477gonz@gmail.com</v>
      </c>
      <c r="C2490" s="9" t="str">
        <f ca="1">IFERROR(__xludf.DUMMYFUNCTION("""COMPUTED_VALUE"""),"EVERGREEN - UAN Gated Content - Embedded Petition")</f>
        <v>EVERGREEN - UAN Gated Content - Embedded Petition</v>
      </c>
      <c r="D2490" s="10">
        <f ca="1">IFERROR(__xludf.DUMMYFUNCTION("""COMPUTED_VALUE"""),45655)</f>
        <v>45655</v>
      </c>
    </row>
    <row r="2491" spans="1:4" ht="13" x14ac:dyDescent="0.15">
      <c r="A2491" s="9">
        <f ca="1">IFERROR(__xludf.DUMMYFUNCTION("""COMPUTED_VALUE"""),286560951)</f>
        <v>286560951</v>
      </c>
      <c r="B2491" s="1" t="str">
        <f ca="1">IFERROR(__xludf.DUMMYFUNCTION("""COMPUTED_VALUE"""),"al123477gonz@gmail.com")</f>
        <v>al123477gonz@gmail.com</v>
      </c>
      <c r="C2491" s="9" t="str">
        <f ca="1">IFERROR(__xludf.DUMMYFUNCTION("""COMPUTED_VALUE"""),"EVERGREEN - UAN Gated Content - Embedded Petition")</f>
        <v>EVERGREEN - UAN Gated Content - Embedded Petition</v>
      </c>
      <c r="D2491" s="10">
        <f ca="1">IFERROR(__xludf.DUMMYFUNCTION("""COMPUTED_VALUE"""),45643)</f>
        <v>45643</v>
      </c>
    </row>
    <row r="2492" spans="1:4" ht="13" x14ac:dyDescent="0.15">
      <c r="A2492" s="9">
        <f ca="1">IFERROR(__xludf.DUMMYFUNCTION("""COMPUTED_VALUE"""),286560951)</f>
        <v>286560951</v>
      </c>
      <c r="B2492" s="1" t="str">
        <f ca="1">IFERROR(__xludf.DUMMYFUNCTION("""COMPUTED_VALUE"""),"al123477gonz@gmail.com")</f>
        <v>al123477gonz@gmail.com</v>
      </c>
      <c r="C2492" s="9" t="str">
        <f ca="1">IFERROR(__xludf.DUMMYFUNCTION("""COMPUTED_VALUE"""),"EVERGREEN - UAN Gated Content - Embedded Petition")</f>
        <v>EVERGREEN - UAN Gated Content - Embedded Petition</v>
      </c>
      <c r="D2492" s="10">
        <f ca="1">IFERROR(__xludf.DUMMYFUNCTION("""COMPUTED_VALUE"""),45655)</f>
        <v>45655</v>
      </c>
    </row>
    <row r="2493" spans="1:4" ht="13" x14ac:dyDescent="0.15">
      <c r="A2493" s="9">
        <f ca="1">IFERROR(__xludf.DUMMYFUNCTION("""COMPUTED_VALUE"""),286561946)</f>
        <v>286561946</v>
      </c>
      <c r="B2493" s="1" t="str">
        <f ca="1">IFERROR(__xludf.DUMMYFUNCTION("""COMPUTED_VALUE"""),"lisa_boerboom@hotmail.com")</f>
        <v>lisa_boerboom@hotmail.com</v>
      </c>
      <c r="C2493" s="9" t="str">
        <f ca="1">IFERROR(__xludf.DUMMYFUNCTION("""COMPUTED_VALUE"""),"EVERGREEN - UAN Gated Content - Embedded Petition")</f>
        <v>EVERGREEN - UAN Gated Content - Embedded Petition</v>
      </c>
      <c r="D2493" s="10">
        <f ca="1">IFERROR(__xludf.DUMMYFUNCTION("""COMPUTED_VALUE"""),45643)</f>
        <v>45643</v>
      </c>
    </row>
    <row r="2494" spans="1:4" ht="13" x14ac:dyDescent="0.15">
      <c r="A2494" s="9">
        <f ca="1">IFERROR(__xludf.DUMMYFUNCTION("""COMPUTED_VALUE"""),286570395)</f>
        <v>286570395</v>
      </c>
      <c r="B2494" s="1" t="str">
        <f ca="1">IFERROR(__xludf.DUMMYFUNCTION("""COMPUTED_VALUE"""),"anisarashad11@gmail.com")</f>
        <v>anisarashad11@gmail.com</v>
      </c>
      <c r="C2494" s="9" t="str">
        <f ca="1">IFERROR(__xludf.DUMMYFUNCTION("""COMPUTED_VALUE"""),"UAN mid-page Lightbox - Step 1 of 4 - Landing Page")</f>
        <v>UAN mid-page Lightbox - Step 1 of 4 - Landing Page</v>
      </c>
      <c r="D2494" s="10">
        <f ca="1">IFERROR(__xludf.DUMMYFUNCTION("""COMPUTED_VALUE"""),45643)</f>
        <v>45643</v>
      </c>
    </row>
    <row r="2495" spans="1:4" ht="13" x14ac:dyDescent="0.15">
      <c r="A2495" s="9">
        <f ca="1">IFERROR(__xludf.DUMMYFUNCTION("""COMPUTED_VALUE"""),286570395)</f>
        <v>286570395</v>
      </c>
      <c r="B2495" s="1" t="str">
        <f ca="1">IFERROR(__xludf.DUMMYFUNCTION("""COMPUTED_VALUE"""),"anisarashad11@gmail.com")</f>
        <v>anisarashad11@gmail.com</v>
      </c>
      <c r="C2495" s="9" t="str">
        <f ca="1">IFERROR(__xludf.DUMMYFUNCTION("""COMPUTED_VALUE"""),"UAN mid-page Lightbox - Step 2 of 4 - More personal info fields")</f>
        <v>UAN mid-page Lightbox - Step 2 of 4 - More personal info fields</v>
      </c>
      <c r="D2495" s="10">
        <f ca="1">IFERROR(__xludf.DUMMYFUNCTION("""COMPUTED_VALUE"""),45643)</f>
        <v>45643</v>
      </c>
    </row>
    <row r="2496" spans="1:4" ht="13" x14ac:dyDescent="0.15">
      <c r="A2496" s="9">
        <f ca="1">IFERROR(__xludf.DUMMYFUNCTION("""COMPUTED_VALUE"""),286570395)</f>
        <v>286570395</v>
      </c>
      <c r="B2496" s="1" t="str">
        <f ca="1">IFERROR(__xludf.DUMMYFUNCTION("""COMPUTED_VALUE"""),"anisarashad11@gmail.com")</f>
        <v>anisarashad11@gmail.com</v>
      </c>
      <c r="C2496" s="9" t="str">
        <f ca="1">IFERROR(__xludf.DUMMYFUNCTION("""COMPUTED_VALUE"""),"UAN mid-page Lightbox - Step 3 of 4 - More opt-ins")</f>
        <v>UAN mid-page Lightbox - Step 3 of 4 - More opt-ins</v>
      </c>
      <c r="D2496" s="10">
        <f ca="1">IFERROR(__xludf.DUMMYFUNCTION("""COMPUTED_VALUE"""),45643)</f>
        <v>45643</v>
      </c>
    </row>
    <row r="2497" spans="1:4" ht="13" x14ac:dyDescent="0.15">
      <c r="A2497" s="9">
        <f ca="1">IFERROR(__xludf.DUMMYFUNCTION("""COMPUTED_VALUE"""),286577082)</f>
        <v>286577082</v>
      </c>
      <c r="B2497" s="1" t="str">
        <f ca="1">IFERROR(__xludf.DUMMYFUNCTION("""COMPUTED_VALUE"""),"nimairene@gmail.com")</f>
        <v>nimairene@gmail.com</v>
      </c>
      <c r="C2497" s="9" t="str">
        <f ca="1">IFERROR(__xludf.DUMMYFUNCTION("""COMPUTED_VALUE"""),"EVERGREEN - UAN Gated Content - Embedded Petition")</f>
        <v>EVERGREEN - UAN Gated Content - Embedded Petition</v>
      </c>
      <c r="D2497" s="10">
        <f ca="1">IFERROR(__xludf.DUMMYFUNCTION("""COMPUTED_VALUE"""),45698)</f>
        <v>45698</v>
      </c>
    </row>
    <row r="2498" spans="1:4" ht="13" x14ac:dyDescent="0.15">
      <c r="A2498" s="9">
        <f ca="1">IFERROR(__xludf.DUMMYFUNCTION("""COMPUTED_VALUE"""),286577174)</f>
        <v>286577174</v>
      </c>
      <c r="B2498" s="1" t="str">
        <f ca="1">IFERROR(__xludf.DUMMYFUNCTION("""COMPUTED_VALUE"""),"kbokenkamp@aiusa.org")</f>
        <v>kbokenkamp@aiusa.org</v>
      </c>
      <c r="C2498" s="9" t="str">
        <f ca="1">IFERROR(__xludf.DUMMYFUNCTION("""COMPUTED_VALUE"""),"EVERGREEN - UAN Gated Content - Embedded Petition")</f>
        <v>EVERGREEN - UAN Gated Content - Embedded Petition</v>
      </c>
      <c r="D2498" s="10">
        <f ca="1">IFERROR(__xludf.DUMMYFUNCTION("""COMPUTED_VALUE"""),45694)</f>
        <v>45694</v>
      </c>
    </row>
    <row r="2499" spans="1:4" ht="13" x14ac:dyDescent="0.15">
      <c r="A2499" s="9">
        <f ca="1">IFERROR(__xludf.DUMMYFUNCTION("""COMPUTED_VALUE"""),286636723)</f>
        <v>286636723</v>
      </c>
      <c r="B2499" s="1" t="str">
        <f ca="1">IFERROR(__xludf.DUMMYFUNCTION("""COMPUTED_VALUE"""),"rocco153@hotmail.com")</f>
        <v>rocco153@hotmail.com</v>
      </c>
      <c r="C2499" s="9" t="str">
        <f ca="1">IFERROR(__xludf.DUMMYFUNCTION("""COMPUTED_VALUE"""),"EVERGREEN - UAN Gated Content - Embedded Petition")</f>
        <v>EVERGREEN - UAN Gated Content - Embedded Petition</v>
      </c>
      <c r="D2499" s="10">
        <f ca="1">IFERROR(__xludf.DUMMYFUNCTION("""COMPUTED_VALUE"""),45646)</f>
        <v>45646</v>
      </c>
    </row>
    <row r="2500" spans="1:4" ht="13" x14ac:dyDescent="0.15">
      <c r="A2500" s="9">
        <f ca="1">IFERROR(__xludf.DUMMYFUNCTION("""COMPUTED_VALUE"""),286737312)</f>
        <v>286737312</v>
      </c>
      <c r="B2500" s="1" t="str">
        <f ca="1">IFERROR(__xludf.DUMMYFUNCTION("""COMPUTED_VALUE"""),"maryfyeager@gmail.com")</f>
        <v>maryfyeager@gmail.com</v>
      </c>
      <c r="C2500" s="9" t="str">
        <f ca="1">IFERROR(__xludf.DUMMYFUNCTION("""COMPUTED_VALUE"""),"EVERGREEN - UAN Gated Content - Embedded Petition")</f>
        <v>EVERGREEN - UAN Gated Content - Embedded Petition</v>
      </c>
      <c r="D2500" s="10">
        <f ca="1">IFERROR(__xludf.DUMMYFUNCTION("""COMPUTED_VALUE"""),45678)</f>
        <v>45678</v>
      </c>
    </row>
    <row r="2501" spans="1:4" ht="13" x14ac:dyDescent="0.15">
      <c r="A2501" s="9">
        <f ca="1">IFERROR(__xludf.DUMMYFUNCTION("""COMPUTED_VALUE"""),286737650)</f>
        <v>286737650</v>
      </c>
      <c r="B2501" s="1" t="str">
        <f ca="1">IFERROR(__xludf.DUMMYFUNCTION("""COMPUTED_VALUE"""),"tayaba.azher@gmail.com")</f>
        <v>tayaba.azher@gmail.com</v>
      </c>
      <c r="C2501" s="9" t="str">
        <f ca="1">IFERROR(__xludf.DUMMYFUNCTION("""COMPUTED_VALUE"""),"EVERGREEN - UAN Gated Content - Embedded Petition")</f>
        <v>EVERGREEN - UAN Gated Content - Embedded Petition</v>
      </c>
      <c r="D2501" s="10">
        <f ca="1">IFERROR(__xludf.DUMMYFUNCTION("""COMPUTED_VALUE"""),45690)</f>
        <v>45690</v>
      </c>
    </row>
    <row r="2502" spans="1:4" ht="13" x14ac:dyDescent="0.15">
      <c r="A2502" s="9">
        <f ca="1">IFERROR(__xludf.DUMMYFUNCTION("""COMPUTED_VALUE"""),286767136)</f>
        <v>286767136</v>
      </c>
      <c r="B2502" s="1" t="str">
        <f ca="1">IFERROR(__xludf.DUMMYFUNCTION("""COMPUTED_VALUE"""),"martynandian@icloud.com")</f>
        <v>martynandian@icloud.com</v>
      </c>
      <c r="C2502" s="9" t="str">
        <f ca="1">IFERROR(__xludf.DUMMYFUNCTION("""COMPUTED_VALUE"""),"EVERGREEN - UAN Gated Content - Embedded Petition")</f>
        <v>EVERGREEN - UAN Gated Content - Embedded Petition</v>
      </c>
      <c r="D2502" s="10">
        <f ca="1">IFERROR(__xludf.DUMMYFUNCTION("""COMPUTED_VALUE"""),45648)</f>
        <v>45648</v>
      </c>
    </row>
    <row r="2503" spans="1:4" ht="13" x14ac:dyDescent="0.15">
      <c r="A2503" s="9">
        <f ca="1">IFERROR(__xludf.DUMMYFUNCTION("""COMPUTED_VALUE"""),286767136)</f>
        <v>286767136</v>
      </c>
      <c r="B2503" s="1" t="str">
        <f ca="1">IFERROR(__xludf.DUMMYFUNCTION("""COMPUTED_VALUE"""),"martynandian@icloud.com")</f>
        <v>martynandian@icloud.com</v>
      </c>
      <c r="C2503" s="9" t="str">
        <f ca="1">IFERROR(__xludf.DUMMYFUNCTION("""COMPUTED_VALUE"""),"EVERGREEN - UAN Gated Content - Embedded Petition")</f>
        <v>EVERGREEN - UAN Gated Content - Embedded Petition</v>
      </c>
      <c r="D2503" s="10">
        <f ca="1">IFERROR(__xludf.DUMMYFUNCTION("""COMPUTED_VALUE"""),45648)</f>
        <v>45648</v>
      </c>
    </row>
    <row r="2504" spans="1:4" ht="13" x14ac:dyDescent="0.15">
      <c r="A2504" s="9">
        <f ca="1">IFERROR(__xludf.DUMMYFUNCTION("""COMPUTED_VALUE"""),286869748)</f>
        <v>286869748</v>
      </c>
      <c r="B2504" s="1" t="str">
        <f ca="1">IFERROR(__xludf.DUMMYFUNCTION("""COMPUTED_VALUE"""),"rahimiahmadwais@gmail.com")</f>
        <v>rahimiahmadwais@gmail.com</v>
      </c>
      <c r="C2504" s="9" t="str">
        <f ca="1">IFERROR(__xludf.DUMMYFUNCTION("""COMPUTED_VALUE"""),"EVERGREEN - UAN Gated Content - Embedded Petition")</f>
        <v>EVERGREEN - UAN Gated Content - Embedded Petition</v>
      </c>
      <c r="D2504" s="10">
        <f ca="1">IFERROR(__xludf.DUMMYFUNCTION("""COMPUTED_VALUE"""),45651)</f>
        <v>45651</v>
      </c>
    </row>
    <row r="2505" spans="1:4" ht="13" x14ac:dyDescent="0.15">
      <c r="A2505" s="9">
        <f ca="1">IFERROR(__xludf.DUMMYFUNCTION("""COMPUTED_VALUE"""),286890592)</f>
        <v>286890592</v>
      </c>
      <c r="B2505" s="1" t="str">
        <f ca="1">IFERROR(__xludf.DUMMYFUNCTION("""COMPUTED_VALUE"""),"memcgilligan53@gmail.com")</f>
        <v>memcgilligan53@gmail.com</v>
      </c>
      <c r="C2505" s="9" t="str">
        <f ca="1">IFERROR(__xludf.DUMMYFUNCTION("""COMPUTED_VALUE"""),"EVERGREEN - UAN Gated Content - Embedded Petition")</f>
        <v>EVERGREEN - UAN Gated Content - Embedded Petition</v>
      </c>
      <c r="D2505" s="10">
        <f ca="1">IFERROR(__xludf.DUMMYFUNCTION("""COMPUTED_VALUE"""),45694)</f>
        <v>45694</v>
      </c>
    </row>
    <row r="2506" spans="1:4" ht="13" x14ac:dyDescent="0.15">
      <c r="A2506" s="9">
        <f ca="1">IFERROR(__xludf.DUMMYFUNCTION("""COMPUTED_VALUE"""),286890592)</f>
        <v>286890592</v>
      </c>
      <c r="B2506" s="1" t="str">
        <f ca="1">IFERROR(__xludf.DUMMYFUNCTION("""COMPUTED_VALUE"""),"memcgilligan53@gmail.com")</f>
        <v>memcgilligan53@gmail.com</v>
      </c>
      <c r="C2506" s="9" t="str">
        <f ca="1">IFERROR(__xludf.DUMMYFUNCTION("""COMPUTED_VALUE"""),"EVERGREEN - UAN Gated Content - Embedded Petition")</f>
        <v>EVERGREEN - UAN Gated Content - Embedded Petition</v>
      </c>
      <c r="D2506" s="10">
        <f ca="1">IFERROR(__xludf.DUMMYFUNCTION("""COMPUTED_VALUE"""),45694)</f>
        <v>45694</v>
      </c>
    </row>
    <row r="2507" spans="1:4" ht="13" x14ac:dyDescent="0.15">
      <c r="A2507" s="9">
        <f ca="1">IFERROR(__xludf.DUMMYFUNCTION("""COMPUTED_VALUE"""),286893516)</f>
        <v>286893516</v>
      </c>
      <c r="B2507" s="1" t="str">
        <f ca="1">IFERROR(__xludf.DUMMYFUNCTION("""COMPUTED_VALUE"""),"zghalsadok1@gmail.com")</f>
        <v>zghalsadok1@gmail.com</v>
      </c>
      <c r="C2507" s="9" t="str">
        <f ca="1">IFERROR(__xludf.DUMMYFUNCTION("""COMPUTED_VALUE"""),"EVERGREEN - UAN Gated Content - Embedded Petition")</f>
        <v>EVERGREEN - UAN Gated Content - Embedded Petition</v>
      </c>
      <c r="D2507" s="10">
        <f ca="1">IFERROR(__xludf.DUMMYFUNCTION("""COMPUTED_VALUE"""),45652)</f>
        <v>45652</v>
      </c>
    </row>
    <row r="2508" spans="1:4" ht="13" x14ac:dyDescent="0.15">
      <c r="A2508" s="9">
        <f ca="1">IFERROR(__xludf.DUMMYFUNCTION("""COMPUTED_VALUE"""),286915103)</f>
        <v>286915103</v>
      </c>
      <c r="B2508" s="1" t="str">
        <f ca="1">IFERROR(__xludf.DUMMYFUNCTION("""COMPUTED_VALUE"""),"784241@pdsb.net")</f>
        <v>784241@pdsb.net</v>
      </c>
      <c r="C2508" s="9" t="str">
        <f ca="1">IFERROR(__xludf.DUMMYFUNCTION("""COMPUTED_VALUE"""),"UAN mid-page Lightbox - Step 1 of 4 - Landing Page")</f>
        <v>UAN mid-page Lightbox - Step 1 of 4 - Landing Page</v>
      </c>
      <c r="D2508" s="10">
        <f ca="1">IFERROR(__xludf.DUMMYFUNCTION("""COMPUTED_VALUE"""),45654)</f>
        <v>45654</v>
      </c>
    </row>
    <row r="2509" spans="1:4" ht="13" x14ac:dyDescent="0.15">
      <c r="A2509" s="9">
        <f ca="1">IFERROR(__xludf.DUMMYFUNCTION("""COMPUTED_VALUE"""),286915103)</f>
        <v>286915103</v>
      </c>
      <c r="B2509" s="1" t="str">
        <f ca="1">IFERROR(__xludf.DUMMYFUNCTION("""COMPUTED_VALUE"""),"784241@pdsb.net")</f>
        <v>784241@pdsb.net</v>
      </c>
      <c r="C2509" s="9" t="str">
        <f ca="1">IFERROR(__xludf.DUMMYFUNCTION("""COMPUTED_VALUE"""),"UAN mid-page Lightbox - Step 2 of 4 - More personal info fields")</f>
        <v>UAN mid-page Lightbox - Step 2 of 4 - More personal info fields</v>
      </c>
      <c r="D2509" s="10">
        <f ca="1">IFERROR(__xludf.DUMMYFUNCTION("""COMPUTED_VALUE"""),45654)</f>
        <v>45654</v>
      </c>
    </row>
    <row r="2510" spans="1:4" ht="13" x14ac:dyDescent="0.15">
      <c r="A2510" s="9">
        <f ca="1">IFERROR(__xludf.DUMMYFUNCTION("""COMPUTED_VALUE"""),286915103)</f>
        <v>286915103</v>
      </c>
      <c r="B2510" s="1" t="str">
        <f ca="1">IFERROR(__xludf.DUMMYFUNCTION("""COMPUTED_VALUE"""),"784241@pdsb.net")</f>
        <v>784241@pdsb.net</v>
      </c>
      <c r="C2510" s="9" t="str">
        <f ca="1">IFERROR(__xludf.DUMMYFUNCTION("""COMPUTED_VALUE"""),"UAN mid-page Lightbox - Step 3 of 4 - More opt-ins")</f>
        <v>UAN mid-page Lightbox - Step 3 of 4 - More opt-ins</v>
      </c>
      <c r="D2510" s="10">
        <f ca="1">IFERROR(__xludf.DUMMYFUNCTION("""COMPUTED_VALUE"""),45654)</f>
        <v>45654</v>
      </c>
    </row>
    <row r="2511" spans="1:4" ht="13" x14ac:dyDescent="0.15">
      <c r="A2511" s="9">
        <f ca="1">IFERROR(__xludf.DUMMYFUNCTION("""COMPUTED_VALUE"""),286920889)</f>
        <v>286920889</v>
      </c>
      <c r="B2511" s="1" t="str">
        <f ca="1">IFERROR(__xludf.DUMMYFUNCTION("""COMPUTED_VALUE"""),"jimnute69@gmail.com")</f>
        <v>jimnute69@gmail.com</v>
      </c>
      <c r="C2511" s="9" t="str">
        <f ca="1">IFERROR(__xludf.DUMMYFUNCTION("""COMPUTED_VALUE"""),"EVERGREEN - UAN Gated Content - Embedded Petition")</f>
        <v>EVERGREEN - UAN Gated Content - Embedded Petition</v>
      </c>
      <c r="D2511" s="10">
        <f ca="1">IFERROR(__xludf.DUMMYFUNCTION("""COMPUTED_VALUE"""),45680)</f>
        <v>45680</v>
      </c>
    </row>
    <row r="2512" spans="1:4" ht="13" x14ac:dyDescent="0.15">
      <c r="A2512" s="9">
        <f ca="1">IFERROR(__xludf.DUMMYFUNCTION("""COMPUTED_VALUE"""),286920889)</f>
        <v>286920889</v>
      </c>
      <c r="B2512" s="1" t="str">
        <f ca="1">IFERROR(__xludf.DUMMYFUNCTION("""COMPUTED_VALUE"""),"jimnute69@gmail.com")</f>
        <v>jimnute69@gmail.com</v>
      </c>
      <c r="C2512" s="9" t="str">
        <f ca="1">IFERROR(__xludf.DUMMYFUNCTION("""COMPUTED_VALUE"""),"EVERGREEN - UAN Gated Content - Embedded Petition")</f>
        <v>EVERGREEN - UAN Gated Content - Embedded Petition</v>
      </c>
      <c r="D2512" s="10">
        <f ca="1">IFERROR(__xludf.DUMMYFUNCTION("""COMPUTED_VALUE"""),45654)</f>
        <v>45654</v>
      </c>
    </row>
    <row r="2513" spans="1:4" ht="13" x14ac:dyDescent="0.15">
      <c r="A2513" s="9">
        <f ca="1">IFERROR(__xludf.DUMMYFUNCTION("""COMPUTED_VALUE"""),286928091)</f>
        <v>286928091</v>
      </c>
      <c r="B2513" s="1" t="str">
        <f ca="1">IFERROR(__xludf.DUMMYFUNCTION("""COMPUTED_VALUE"""),"thompsonlamonte@gmail.com")</f>
        <v>thompsonlamonte@gmail.com</v>
      </c>
      <c r="C2513" s="9" t="str">
        <f ca="1">IFERROR(__xludf.DUMMYFUNCTION("""COMPUTED_VALUE"""),"UAN mid-page Lightbox - Step 1 of 4 - Landing Page")</f>
        <v>UAN mid-page Lightbox - Step 1 of 4 - Landing Page</v>
      </c>
      <c r="D2513" s="10">
        <f ca="1">IFERROR(__xludf.DUMMYFUNCTION("""COMPUTED_VALUE"""),45654)</f>
        <v>45654</v>
      </c>
    </row>
    <row r="2514" spans="1:4" ht="13" x14ac:dyDescent="0.15">
      <c r="A2514" s="9">
        <f ca="1">IFERROR(__xludf.DUMMYFUNCTION("""COMPUTED_VALUE"""),286928091)</f>
        <v>286928091</v>
      </c>
      <c r="B2514" s="1" t="str">
        <f ca="1">IFERROR(__xludf.DUMMYFUNCTION("""COMPUTED_VALUE"""),"thompsonlamonte@gmail.com")</f>
        <v>thompsonlamonte@gmail.com</v>
      </c>
      <c r="C2514" s="9" t="str">
        <f ca="1">IFERROR(__xludf.DUMMYFUNCTION("""COMPUTED_VALUE"""),"UAN mid-page Lightbox - Step 2 of 4 - More personal info fields")</f>
        <v>UAN mid-page Lightbox - Step 2 of 4 - More personal info fields</v>
      </c>
      <c r="D2514" s="10">
        <f ca="1">IFERROR(__xludf.DUMMYFUNCTION("""COMPUTED_VALUE"""),45654)</f>
        <v>45654</v>
      </c>
    </row>
    <row r="2515" spans="1:4" ht="13" x14ac:dyDescent="0.15">
      <c r="A2515" s="9">
        <f ca="1">IFERROR(__xludf.DUMMYFUNCTION("""COMPUTED_VALUE"""),286928091)</f>
        <v>286928091</v>
      </c>
      <c r="B2515" s="1" t="str">
        <f ca="1">IFERROR(__xludf.DUMMYFUNCTION("""COMPUTED_VALUE"""),"thompsonlamonte@gmail.com")</f>
        <v>thompsonlamonte@gmail.com</v>
      </c>
      <c r="C2515" s="9" t="str">
        <f ca="1">IFERROR(__xludf.DUMMYFUNCTION("""COMPUTED_VALUE"""),"UAN mid-page Lightbox - Step 3 of 4 - More opt-ins")</f>
        <v>UAN mid-page Lightbox - Step 3 of 4 - More opt-ins</v>
      </c>
      <c r="D2515" s="10">
        <f ca="1">IFERROR(__xludf.DUMMYFUNCTION("""COMPUTED_VALUE"""),45654)</f>
        <v>45654</v>
      </c>
    </row>
    <row r="2516" spans="1:4" ht="13" x14ac:dyDescent="0.15">
      <c r="A2516" s="9">
        <f ca="1">IFERROR(__xludf.DUMMYFUNCTION("""COMPUTED_VALUE"""),286928091)</f>
        <v>286928091</v>
      </c>
      <c r="B2516" s="1" t="str">
        <f ca="1">IFERROR(__xludf.DUMMYFUNCTION("""COMPUTED_VALUE"""),"thompsonlamonte@gmail.com")</f>
        <v>thompsonlamonte@gmail.com</v>
      </c>
      <c r="C2516" s="9" t="str">
        <f ca="1">IFERROR(__xludf.DUMMYFUNCTION("""COMPUTED_VALUE"""),"UAN mid-page Lightbox - Step 3 of 4 - More opt-ins")</f>
        <v>UAN mid-page Lightbox - Step 3 of 4 - More opt-ins</v>
      </c>
      <c r="D2516" s="10">
        <f ca="1">IFERROR(__xludf.DUMMYFUNCTION("""COMPUTED_VALUE"""),45654)</f>
        <v>45654</v>
      </c>
    </row>
    <row r="2517" spans="1:4" ht="13" x14ac:dyDescent="0.15">
      <c r="A2517" s="9">
        <f ca="1">IFERROR(__xludf.DUMMYFUNCTION("""COMPUTED_VALUE"""),286978010)</f>
        <v>286978010</v>
      </c>
      <c r="B2517" s="1" t="str">
        <f ca="1">IFERROR(__xludf.DUMMYFUNCTION("""COMPUTED_VALUE"""),"lazlkay69@gmail.com")</f>
        <v>lazlkay69@gmail.com</v>
      </c>
      <c r="C2517" s="9" t="str">
        <f ca="1">IFERROR(__xludf.DUMMYFUNCTION("""COMPUTED_VALUE"""),"EVERGREEN - UAN Gated Content - Embedded Petition")</f>
        <v>EVERGREEN - UAN Gated Content - Embedded Petition</v>
      </c>
      <c r="D2517" s="10">
        <f ca="1">IFERROR(__xludf.DUMMYFUNCTION("""COMPUTED_VALUE"""),45694)</f>
        <v>45694</v>
      </c>
    </row>
    <row r="2518" spans="1:4" ht="13" x14ac:dyDescent="0.15">
      <c r="A2518" s="9">
        <f ca="1">IFERROR(__xludf.DUMMYFUNCTION("""COMPUTED_VALUE"""),286978010)</f>
        <v>286978010</v>
      </c>
      <c r="B2518" s="1" t="str">
        <f ca="1">IFERROR(__xludf.DUMMYFUNCTION("""COMPUTED_VALUE"""),"lazlkay69@gmail.com")</f>
        <v>lazlkay69@gmail.com</v>
      </c>
      <c r="C2518" s="9" t="str">
        <f ca="1">IFERROR(__xludf.DUMMYFUNCTION("""COMPUTED_VALUE"""),"EVERGREEN - UAN Gated Content - Embedded Petition")</f>
        <v>EVERGREEN - UAN Gated Content - Embedded Petition</v>
      </c>
      <c r="D2518" s="10">
        <f ca="1">IFERROR(__xludf.DUMMYFUNCTION("""COMPUTED_VALUE"""),45694)</f>
        <v>45694</v>
      </c>
    </row>
    <row r="2519" spans="1:4" ht="13" x14ac:dyDescent="0.15">
      <c r="A2519" s="9">
        <f ca="1">IFERROR(__xludf.DUMMYFUNCTION("""COMPUTED_VALUE"""),287050098)</f>
        <v>287050098</v>
      </c>
      <c r="B2519" s="1" t="str">
        <f ca="1">IFERROR(__xludf.DUMMYFUNCTION("""COMPUTED_VALUE"""),"michelleamaris13@gmail.com")</f>
        <v>michelleamaris13@gmail.com</v>
      </c>
      <c r="C2519" s="9" t="str">
        <f ca="1">IFERROR(__xludf.DUMMYFUNCTION("""COMPUTED_VALUE"""),"EVERGREEN - UAN Gated Content - Embedded Petition")</f>
        <v>EVERGREEN - UAN Gated Content - Embedded Petition</v>
      </c>
      <c r="D2519" s="10">
        <f ca="1">IFERROR(__xludf.DUMMYFUNCTION("""COMPUTED_VALUE"""),45659)</f>
        <v>45659</v>
      </c>
    </row>
    <row r="2520" spans="1:4" ht="13" x14ac:dyDescent="0.15">
      <c r="A2520" s="9">
        <f ca="1">IFERROR(__xludf.DUMMYFUNCTION("""COMPUTED_VALUE"""),287096340)</f>
        <v>287096340</v>
      </c>
      <c r="B2520" s="1" t="str">
        <f ca="1">IFERROR(__xludf.DUMMYFUNCTION("""COMPUTED_VALUE"""),"ronaldowens8585@gmail.com")</f>
        <v>ronaldowens8585@gmail.com</v>
      </c>
      <c r="C2520" s="9" t="str">
        <f ca="1">IFERROR(__xludf.DUMMYFUNCTION("""COMPUTED_VALUE"""),"EVERGREEN - Website Email Capture Form - UAN Pre-Footer")</f>
        <v>EVERGREEN - Website Email Capture Form - UAN Pre-Footer</v>
      </c>
      <c r="D2520" s="10">
        <f ca="1">IFERROR(__xludf.DUMMYFUNCTION("""COMPUTED_VALUE"""),45662)</f>
        <v>45662</v>
      </c>
    </row>
    <row r="2521" spans="1:4" ht="13" x14ac:dyDescent="0.15">
      <c r="A2521" s="9">
        <f ca="1">IFERROR(__xludf.DUMMYFUNCTION("""COMPUTED_VALUE"""),287106956)</f>
        <v>287106956</v>
      </c>
      <c r="B2521" s="1" t="str">
        <f ca="1">IFERROR(__xludf.DUMMYFUNCTION("""COMPUTED_VALUE"""),"jaznit28@yahoo.com")</f>
        <v>jaznit28@yahoo.com</v>
      </c>
      <c r="C2521" s="9" t="str">
        <f ca="1">IFERROR(__xludf.DUMMYFUNCTION("""COMPUTED_VALUE"""),"EVERGREEN - Website Email Capture Form - UAN Pre-Footer")</f>
        <v>EVERGREEN - Website Email Capture Form - UAN Pre-Footer</v>
      </c>
      <c r="D2521" s="10">
        <f ca="1">IFERROR(__xludf.DUMMYFUNCTION("""COMPUTED_VALUE"""),45663)</f>
        <v>45663</v>
      </c>
    </row>
    <row r="2522" spans="1:4" ht="13" x14ac:dyDescent="0.15">
      <c r="A2522" s="9">
        <f ca="1">IFERROR(__xludf.DUMMYFUNCTION("""COMPUTED_VALUE"""),287231334)</f>
        <v>287231334</v>
      </c>
      <c r="B2522" s="1" t="str">
        <f ca="1">IFERROR(__xludf.DUMMYFUNCTION("""COMPUTED_VALUE"""),"nextlevel4blessing@mail.fresnostate.edu")</f>
        <v>nextlevel4blessing@mail.fresnostate.edu</v>
      </c>
      <c r="C2522" s="9" t="str">
        <f ca="1">IFERROR(__xludf.DUMMYFUNCTION("""COMPUTED_VALUE"""),"EVERGREEN - UAN Gated Content - Embedded Petition")</f>
        <v>EVERGREEN - UAN Gated Content - Embedded Petition</v>
      </c>
      <c r="D2522" s="10">
        <f ca="1">IFERROR(__xludf.DUMMYFUNCTION("""COMPUTED_VALUE"""),45686)</f>
        <v>45686</v>
      </c>
    </row>
    <row r="2523" spans="1:4" ht="13" x14ac:dyDescent="0.15">
      <c r="A2523" s="9">
        <f ca="1">IFERROR(__xludf.DUMMYFUNCTION("""COMPUTED_VALUE"""),287291465)</f>
        <v>287291465</v>
      </c>
      <c r="B2523" s="1" t="str">
        <f ca="1">IFERROR(__xludf.DUMMYFUNCTION("""COMPUTED_VALUE"""),"christismith56@global.net")</f>
        <v>christismith56@global.net</v>
      </c>
      <c r="C2523" s="9" t="str">
        <f ca="1">IFERROR(__xludf.DUMMYFUNCTION("""COMPUTED_VALUE"""),"EVERGREEN - Website Email Capture Form - UAN Pre-Footer")</f>
        <v>EVERGREEN - Website Email Capture Form - UAN Pre-Footer</v>
      </c>
      <c r="D2523" s="10">
        <f ca="1">IFERROR(__xludf.DUMMYFUNCTION("""COMPUTED_VALUE"""),45667)</f>
        <v>45667</v>
      </c>
    </row>
    <row r="2524" spans="1:4" ht="13" x14ac:dyDescent="0.15">
      <c r="A2524" s="9">
        <f ca="1">IFERROR(__xludf.DUMMYFUNCTION("""COMPUTED_VALUE"""),287299767)</f>
        <v>287299767</v>
      </c>
      <c r="B2524" s="1" t="str">
        <f ca="1">IFERROR(__xludf.DUMMYFUNCTION("""COMPUTED_VALUE"""),"milpitasamnestu@gmail.com")</f>
        <v>milpitasamnestu@gmail.com</v>
      </c>
      <c r="C2524" s="9" t="str">
        <f ca="1">IFERROR(__xludf.DUMMYFUNCTION("""COMPUTED_VALUE"""),"EVERGREEN - Website Email Capture Form - UAN Pre-Footer")</f>
        <v>EVERGREEN - Website Email Capture Form - UAN Pre-Footer</v>
      </c>
      <c r="D2524" s="10">
        <f ca="1">IFERROR(__xludf.DUMMYFUNCTION("""COMPUTED_VALUE"""),45668)</f>
        <v>45668</v>
      </c>
    </row>
    <row r="2525" spans="1:4" ht="13" x14ac:dyDescent="0.15">
      <c r="A2525" s="9">
        <f ca="1">IFERROR(__xludf.DUMMYFUNCTION("""COMPUTED_VALUE"""),287299771)</f>
        <v>287299771</v>
      </c>
      <c r="B2525" s="1" t="str">
        <f ca="1">IFERROR(__xludf.DUMMYFUNCTION("""COMPUTED_VALUE"""),"milpitasamnesty@gmail.com")</f>
        <v>milpitasamnesty@gmail.com</v>
      </c>
      <c r="C2525" s="9" t="str">
        <f ca="1">IFERROR(__xludf.DUMMYFUNCTION("""COMPUTED_VALUE"""),"EVERGREEN - UAN Gated Content - Embedded Petition")</f>
        <v>EVERGREEN - UAN Gated Content - Embedded Petition</v>
      </c>
      <c r="D2525" s="10">
        <f ca="1">IFERROR(__xludf.DUMMYFUNCTION("""COMPUTED_VALUE"""),45685)</f>
        <v>45685</v>
      </c>
    </row>
    <row r="2526" spans="1:4" ht="13" x14ac:dyDescent="0.15">
      <c r="A2526" s="9">
        <f ca="1">IFERROR(__xludf.DUMMYFUNCTION("""COMPUTED_VALUE"""),287299771)</f>
        <v>287299771</v>
      </c>
      <c r="B2526" s="1" t="str">
        <f ca="1">IFERROR(__xludf.DUMMYFUNCTION("""COMPUTED_VALUE"""),"milpitasamnesty@gmail.com")</f>
        <v>milpitasamnesty@gmail.com</v>
      </c>
      <c r="C2526" s="9" t="str">
        <f ca="1">IFERROR(__xludf.DUMMYFUNCTION("""COMPUTED_VALUE"""),"EVERGREEN - UAN Gated Content - Embedded Petition")</f>
        <v>EVERGREEN - UAN Gated Content - Embedded Petition</v>
      </c>
      <c r="D2526" s="10">
        <f ca="1">IFERROR(__xludf.DUMMYFUNCTION("""COMPUTED_VALUE"""),45670)</f>
        <v>45670</v>
      </c>
    </row>
    <row r="2527" spans="1:4" ht="13" x14ac:dyDescent="0.15">
      <c r="A2527" s="9">
        <f ca="1">IFERROR(__xludf.DUMMYFUNCTION("""COMPUTED_VALUE"""),287299771)</f>
        <v>287299771</v>
      </c>
      <c r="B2527" s="1" t="str">
        <f ca="1">IFERROR(__xludf.DUMMYFUNCTION("""COMPUTED_VALUE"""),"milpitasamnesty@gmail.com")</f>
        <v>milpitasamnesty@gmail.com</v>
      </c>
      <c r="C2527" s="9" t="str">
        <f ca="1">IFERROR(__xludf.DUMMYFUNCTION("""COMPUTED_VALUE"""),"EVERGREEN - Website Email Capture Form - UAN Pre-Footer")</f>
        <v>EVERGREEN - Website Email Capture Form - UAN Pre-Footer</v>
      </c>
      <c r="D2527" s="10">
        <f ca="1">IFERROR(__xludf.DUMMYFUNCTION("""COMPUTED_VALUE"""),45668)</f>
        <v>45668</v>
      </c>
    </row>
    <row r="2528" spans="1:4" ht="13" x14ac:dyDescent="0.15">
      <c r="A2528" s="9">
        <f ca="1">IFERROR(__xludf.DUMMYFUNCTION("""COMPUTED_VALUE"""),287337759)</f>
        <v>287337759</v>
      </c>
      <c r="B2528" s="1" t="str">
        <f ca="1">IFERROR(__xludf.DUMMYFUNCTION("""COMPUTED_VALUE"""),"sisbo064@gmail.com")</f>
        <v>sisbo064@gmail.com</v>
      </c>
      <c r="C2528" s="9" t="str">
        <f ca="1">IFERROR(__xludf.DUMMYFUNCTION("""COMPUTED_VALUE"""),"EVERGREEN - UAN Gated Content - Embedded Petition")</f>
        <v>EVERGREEN - UAN Gated Content - Embedded Petition</v>
      </c>
      <c r="D2528" s="10">
        <f ca="1">IFERROR(__xludf.DUMMYFUNCTION("""COMPUTED_VALUE"""),45670)</f>
        <v>45670</v>
      </c>
    </row>
    <row r="2529" spans="1:4" ht="13" x14ac:dyDescent="0.15">
      <c r="A2529" s="9">
        <f ca="1">IFERROR(__xludf.DUMMYFUNCTION("""COMPUTED_VALUE"""),287337759)</f>
        <v>287337759</v>
      </c>
      <c r="B2529" s="1" t="str">
        <f ca="1">IFERROR(__xludf.DUMMYFUNCTION("""COMPUTED_VALUE"""),"sisbo064@gmail.com")</f>
        <v>sisbo064@gmail.com</v>
      </c>
      <c r="C2529" s="9" t="str">
        <f ca="1">IFERROR(__xludf.DUMMYFUNCTION("""COMPUTED_VALUE"""),"EVERGREEN - UAN Gated Content - Embedded Petition")</f>
        <v>EVERGREEN - UAN Gated Content - Embedded Petition</v>
      </c>
      <c r="D2529" s="10">
        <f ca="1">IFERROR(__xludf.DUMMYFUNCTION("""COMPUTED_VALUE"""),45670)</f>
        <v>45670</v>
      </c>
    </row>
    <row r="2530" spans="1:4" ht="13" x14ac:dyDescent="0.15">
      <c r="A2530" s="9">
        <f ca="1">IFERROR(__xludf.DUMMYFUNCTION("""COMPUTED_VALUE"""),287337759)</f>
        <v>287337759</v>
      </c>
      <c r="B2530" s="1" t="str">
        <f ca="1">IFERROR(__xludf.DUMMYFUNCTION("""COMPUTED_VALUE"""),"sisbo064@gmail.com")</f>
        <v>sisbo064@gmail.com</v>
      </c>
      <c r="C2530" s="9" t="str">
        <f ca="1">IFERROR(__xludf.DUMMYFUNCTION("""COMPUTED_VALUE"""),"EVERGREEN - UAN Gated Content - Embedded Petition")</f>
        <v>EVERGREEN - UAN Gated Content - Embedded Petition</v>
      </c>
      <c r="D2530" s="10">
        <f ca="1">IFERROR(__xludf.DUMMYFUNCTION("""COMPUTED_VALUE"""),45670)</f>
        <v>45670</v>
      </c>
    </row>
    <row r="2531" spans="1:4" ht="13" x14ac:dyDescent="0.15">
      <c r="A2531" s="9">
        <f ca="1">IFERROR(__xludf.DUMMYFUNCTION("""COMPUTED_VALUE"""),287342614)</f>
        <v>287342614</v>
      </c>
      <c r="B2531" s="1" t="str">
        <f ca="1">IFERROR(__xludf.DUMMYFUNCTION("""COMPUTED_VALUE"""),"pedroacastillo446@gmail.com")</f>
        <v>pedroacastillo446@gmail.com</v>
      </c>
      <c r="C2531" s="9" t="str">
        <f ca="1">IFERROR(__xludf.DUMMYFUNCTION("""COMPUTED_VALUE"""),"EVERGREEN - UAN Gated Content - Embedded Petition")</f>
        <v>EVERGREEN - UAN Gated Content - Embedded Petition</v>
      </c>
      <c r="D2531" s="10">
        <f ca="1">IFERROR(__xludf.DUMMYFUNCTION("""COMPUTED_VALUE"""),45694)</f>
        <v>45694</v>
      </c>
    </row>
    <row r="2532" spans="1:4" ht="13" x14ac:dyDescent="0.15">
      <c r="A2532" s="9">
        <f ca="1">IFERROR(__xludf.DUMMYFUNCTION("""COMPUTED_VALUE"""),287342614)</f>
        <v>287342614</v>
      </c>
      <c r="B2532" s="1" t="str">
        <f ca="1">IFERROR(__xludf.DUMMYFUNCTION("""COMPUTED_VALUE"""),"pedroacastillo446@gmail.com")</f>
        <v>pedroacastillo446@gmail.com</v>
      </c>
      <c r="C2532" s="9" t="str">
        <f ca="1">IFERROR(__xludf.DUMMYFUNCTION("""COMPUTED_VALUE"""),"EVERGREEN - UAN Gated Content - Embedded Petition")</f>
        <v>EVERGREEN - UAN Gated Content - Embedded Petition</v>
      </c>
      <c r="D2532" s="10">
        <f ca="1">IFERROR(__xludf.DUMMYFUNCTION("""COMPUTED_VALUE"""),45689)</f>
        <v>45689</v>
      </c>
    </row>
    <row r="2533" spans="1:4" ht="13" x14ac:dyDescent="0.15">
      <c r="A2533" s="9">
        <f ca="1">IFERROR(__xludf.DUMMYFUNCTION("""COMPUTED_VALUE"""),287342614)</f>
        <v>287342614</v>
      </c>
      <c r="B2533" s="1" t="str">
        <f ca="1">IFERROR(__xludf.DUMMYFUNCTION("""COMPUTED_VALUE"""),"pedroacastillo446@gmail.com")</f>
        <v>pedroacastillo446@gmail.com</v>
      </c>
      <c r="C2533" s="9" t="str">
        <f ca="1">IFERROR(__xludf.DUMMYFUNCTION("""COMPUTED_VALUE"""),"EVERGREEN - Website Email Capture Form - UAN Pre-Footer")</f>
        <v>EVERGREEN - Website Email Capture Form - UAN Pre-Footer</v>
      </c>
      <c r="D2533" s="10">
        <f ca="1">IFERROR(__xludf.DUMMYFUNCTION("""COMPUTED_VALUE"""),45684)</f>
        <v>45684</v>
      </c>
    </row>
    <row r="2534" spans="1:4" ht="13" x14ac:dyDescent="0.15">
      <c r="A2534" s="9">
        <f ca="1">IFERROR(__xludf.DUMMYFUNCTION("""COMPUTED_VALUE"""),287342614)</f>
        <v>287342614</v>
      </c>
      <c r="B2534" s="1" t="str">
        <f ca="1">IFERROR(__xludf.DUMMYFUNCTION("""COMPUTED_VALUE"""),"pedroacastillo446@gmail.com")</f>
        <v>pedroacastillo446@gmail.com</v>
      </c>
      <c r="C2534" s="9" t="str">
        <f ca="1">IFERROR(__xludf.DUMMYFUNCTION("""COMPUTED_VALUE"""),"EVERGREEN - Website Email Capture Form - UAN Pre-Footer")</f>
        <v>EVERGREEN - Website Email Capture Form - UAN Pre-Footer</v>
      </c>
      <c r="D2534" s="10">
        <f ca="1">IFERROR(__xludf.DUMMYFUNCTION("""COMPUTED_VALUE"""),45694)</f>
        <v>45694</v>
      </c>
    </row>
    <row r="2535" spans="1:4" ht="13" x14ac:dyDescent="0.15">
      <c r="A2535" s="9">
        <f ca="1">IFERROR(__xludf.DUMMYFUNCTION("""COMPUTED_VALUE"""),287363158)</f>
        <v>287363158</v>
      </c>
      <c r="B2535" s="1" t="str">
        <f ca="1">IFERROR(__xludf.DUMMYFUNCTION("""COMPUTED_VALUE"""),"yountandrea9@gmail.com")</f>
        <v>yountandrea9@gmail.com</v>
      </c>
      <c r="C2535" s="9" t="str">
        <f ca="1">IFERROR(__xludf.DUMMYFUNCTION("""COMPUTED_VALUE"""),"EVERGREEN - Website Email Capture Form - UAN Pre-Footer")</f>
        <v>EVERGREEN - Website Email Capture Form - UAN Pre-Footer</v>
      </c>
      <c r="D2535" s="10">
        <f ca="1">IFERROR(__xludf.DUMMYFUNCTION("""COMPUTED_VALUE"""),45671)</f>
        <v>45671</v>
      </c>
    </row>
    <row r="2536" spans="1:4" ht="13" x14ac:dyDescent="0.15">
      <c r="A2536" s="9">
        <f ca="1">IFERROR(__xludf.DUMMYFUNCTION("""COMPUTED_VALUE"""),287368356)</f>
        <v>287368356</v>
      </c>
      <c r="B2536" s="1" t="str">
        <f ca="1">IFERROR(__xludf.DUMMYFUNCTION("""COMPUTED_VALUE"""),"veldkampleida@gmail.com")</f>
        <v>veldkampleida@gmail.com</v>
      </c>
      <c r="C2536" s="9" t="str">
        <f ca="1">IFERROR(__xludf.DUMMYFUNCTION("""COMPUTED_VALUE"""),"EVERGREEN - UAN Gated Content - Embedded Petition")</f>
        <v>EVERGREEN - UAN Gated Content - Embedded Petition</v>
      </c>
      <c r="D2536" s="10">
        <f ca="1">IFERROR(__xludf.DUMMYFUNCTION("""COMPUTED_VALUE"""),45671)</f>
        <v>45671</v>
      </c>
    </row>
    <row r="2537" spans="1:4" ht="13" x14ac:dyDescent="0.15">
      <c r="A2537" s="9">
        <f ca="1">IFERROR(__xludf.DUMMYFUNCTION("""COMPUTED_VALUE"""),287372158)</f>
        <v>287372158</v>
      </c>
      <c r="B2537" s="1" t="str">
        <f ca="1">IFERROR(__xludf.DUMMYFUNCTION("""COMPUTED_VALUE"""),"burkesean53@gmail.com")</f>
        <v>burkesean53@gmail.com</v>
      </c>
      <c r="C2537" s="9" t="str">
        <f ca="1">IFERROR(__xludf.DUMMYFUNCTION("""COMPUTED_VALUE"""),"EVERGREEN - UAN Gated Content - Embedded Petition")</f>
        <v>EVERGREEN - UAN Gated Content - Embedded Petition</v>
      </c>
      <c r="D2537" s="10">
        <f ca="1">IFERROR(__xludf.DUMMYFUNCTION("""COMPUTED_VALUE"""),45672)</f>
        <v>45672</v>
      </c>
    </row>
    <row r="2538" spans="1:4" ht="13" x14ac:dyDescent="0.15">
      <c r="A2538" s="9">
        <f ca="1">IFERROR(__xludf.DUMMYFUNCTION("""COMPUTED_VALUE"""),287372158)</f>
        <v>287372158</v>
      </c>
      <c r="B2538" s="1" t="str">
        <f ca="1">IFERROR(__xludf.DUMMYFUNCTION("""COMPUTED_VALUE"""),"burkesean53@gmail.com")</f>
        <v>burkesean53@gmail.com</v>
      </c>
      <c r="C2538" s="9" t="str">
        <f ca="1">IFERROR(__xludf.DUMMYFUNCTION("""COMPUTED_VALUE"""),"EVERGREEN - UAN Gated Content - Embedded Petition")</f>
        <v>EVERGREEN - UAN Gated Content - Embedded Petition</v>
      </c>
      <c r="D2538" s="10">
        <f ca="1">IFERROR(__xludf.DUMMYFUNCTION("""COMPUTED_VALUE"""),45694)</f>
        <v>45694</v>
      </c>
    </row>
    <row r="2539" spans="1:4" ht="13" x14ac:dyDescent="0.15">
      <c r="A2539" s="9">
        <f ca="1">IFERROR(__xludf.DUMMYFUNCTION("""COMPUTED_VALUE"""),287372229)</f>
        <v>287372229</v>
      </c>
      <c r="B2539" s="1" t="str">
        <f ca="1">IFERROR(__xludf.DUMMYFUNCTION("""COMPUTED_VALUE"""),"mandykabbey@gmail.com")</f>
        <v>mandykabbey@gmail.com</v>
      </c>
      <c r="C2539" s="9" t="str">
        <f ca="1">IFERROR(__xludf.DUMMYFUNCTION("""COMPUTED_VALUE"""),"EVERGREEN - UAN Gated Content - Embedded Petition")</f>
        <v>EVERGREEN - UAN Gated Content - Embedded Petition</v>
      </c>
      <c r="D2539" s="10">
        <f ca="1">IFERROR(__xludf.DUMMYFUNCTION("""COMPUTED_VALUE"""),45672)</f>
        <v>45672</v>
      </c>
    </row>
    <row r="2540" spans="1:4" ht="13" x14ac:dyDescent="0.15">
      <c r="A2540" s="9">
        <f ca="1">IFERROR(__xludf.DUMMYFUNCTION("""COMPUTED_VALUE"""),287372244)</f>
        <v>287372244</v>
      </c>
      <c r="B2540" s="1" t="str">
        <f ca="1">IFERROR(__xludf.DUMMYFUNCTION("""COMPUTED_VALUE"""),"hades_jungle@yahoo.com")</f>
        <v>hades_jungle@yahoo.com</v>
      </c>
      <c r="C2540" s="9" t="str">
        <f ca="1">IFERROR(__xludf.DUMMYFUNCTION("""COMPUTED_VALUE"""),"EVERGREEN - UAN Gated Content - Embedded Petition")</f>
        <v>EVERGREEN - UAN Gated Content - Embedded Petition</v>
      </c>
      <c r="D2540" s="10">
        <f ca="1">IFERROR(__xludf.DUMMYFUNCTION("""COMPUTED_VALUE"""),45672)</f>
        <v>45672</v>
      </c>
    </row>
    <row r="2541" spans="1:4" ht="13" x14ac:dyDescent="0.15">
      <c r="A2541" s="9">
        <f ca="1">IFERROR(__xludf.DUMMYFUNCTION("""COMPUTED_VALUE"""),287372776)</f>
        <v>287372776</v>
      </c>
      <c r="B2541" s="1" t="str">
        <f ca="1">IFERROR(__xludf.DUMMYFUNCTION("""COMPUTED_VALUE"""),"geralyned@gmail.com")</f>
        <v>geralyned@gmail.com</v>
      </c>
      <c r="C2541" s="9" t="str">
        <f ca="1">IFERROR(__xludf.DUMMYFUNCTION("""COMPUTED_VALUE"""),"EVERGREEN - UAN Gated Content - Embedded Petition")</f>
        <v>EVERGREEN - UAN Gated Content - Embedded Petition</v>
      </c>
      <c r="D2541" s="10">
        <f ca="1">IFERROR(__xludf.DUMMYFUNCTION("""COMPUTED_VALUE"""),45672)</f>
        <v>45672</v>
      </c>
    </row>
    <row r="2542" spans="1:4" ht="13" x14ac:dyDescent="0.15">
      <c r="A2542" s="9">
        <f ca="1">IFERROR(__xludf.DUMMYFUNCTION("""COMPUTED_VALUE"""),287372805)</f>
        <v>287372805</v>
      </c>
      <c r="B2542" s="1" t="str">
        <f ca="1">IFERROR(__xludf.DUMMYFUNCTION("""COMPUTED_VALUE"""),"nikaucafe@gmail.com")</f>
        <v>nikaucafe@gmail.com</v>
      </c>
      <c r="C2542" s="9" t="str">
        <f ca="1">IFERROR(__xludf.DUMMYFUNCTION("""COMPUTED_VALUE"""),"EVERGREEN - UAN Gated Content - Embedded Petition")</f>
        <v>EVERGREEN - UAN Gated Content - Embedded Petition</v>
      </c>
      <c r="D2542" s="10">
        <f ca="1">IFERROR(__xludf.DUMMYFUNCTION("""COMPUTED_VALUE"""),45672)</f>
        <v>45672</v>
      </c>
    </row>
    <row r="2543" spans="1:4" ht="13" x14ac:dyDescent="0.15">
      <c r="A2543" s="9">
        <f ca="1">IFERROR(__xludf.DUMMYFUNCTION("""COMPUTED_VALUE"""),287373577)</f>
        <v>287373577</v>
      </c>
      <c r="B2543" s="1" t="str">
        <f ca="1">IFERROR(__xludf.DUMMYFUNCTION("""COMPUTED_VALUE"""),"annfarr46@gmail.com")</f>
        <v>annfarr46@gmail.com</v>
      </c>
      <c r="C2543" s="9" t="str">
        <f ca="1">IFERROR(__xludf.DUMMYFUNCTION("""COMPUTED_VALUE"""),"EVERGREEN - UAN Gated Content - Embedded Petition")</f>
        <v>EVERGREEN - UAN Gated Content - Embedded Petition</v>
      </c>
      <c r="D2543" s="10">
        <f ca="1">IFERROR(__xludf.DUMMYFUNCTION("""COMPUTED_VALUE"""),45672)</f>
        <v>45672</v>
      </c>
    </row>
    <row r="2544" spans="1:4" ht="13" x14ac:dyDescent="0.15">
      <c r="A2544" s="9">
        <f ca="1">IFERROR(__xludf.DUMMYFUNCTION("""COMPUTED_VALUE"""),287373899)</f>
        <v>287373899</v>
      </c>
      <c r="B2544" s="1" t="str">
        <f ca="1">IFERROR(__xludf.DUMMYFUNCTION("""COMPUTED_VALUE"""),"razia.haniff.rh@gmail.com")</f>
        <v>razia.haniff.rh@gmail.com</v>
      </c>
      <c r="C2544" s="9" t="str">
        <f ca="1">IFERROR(__xludf.DUMMYFUNCTION("""COMPUTED_VALUE"""),"EVERGREEN - UAN Gated Content - Embedded Petition")</f>
        <v>EVERGREEN - UAN Gated Content - Embedded Petition</v>
      </c>
      <c r="D2544" s="10">
        <f ca="1">IFERROR(__xludf.DUMMYFUNCTION("""COMPUTED_VALUE"""),45672)</f>
        <v>45672</v>
      </c>
    </row>
    <row r="2545" spans="1:4" ht="13" x14ac:dyDescent="0.15">
      <c r="A2545" s="9">
        <f ca="1">IFERROR(__xludf.DUMMYFUNCTION("""COMPUTED_VALUE"""),287374037)</f>
        <v>287374037</v>
      </c>
      <c r="B2545" s="1" t="str">
        <f ca="1">IFERROR(__xludf.DUMMYFUNCTION("""COMPUTED_VALUE"""),"keim.joe@gmail.com")</f>
        <v>keim.joe@gmail.com</v>
      </c>
      <c r="C2545" s="9" t="str">
        <f ca="1">IFERROR(__xludf.DUMMYFUNCTION("""COMPUTED_VALUE"""),"EVERGREEN - UAN Gated Content - Embedded Petition")</f>
        <v>EVERGREEN - UAN Gated Content - Embedded Petition</v>
      </c>
      <c r="D2545" s="10">
        <f ca="1">IFERROR(__xludf.DUMMYFUNCTION("""COMPUTED_VALUE"""),45672)</f>
        <v>45672</v>
      </c>
    </row>
    <row r="2546" spans="1:4" ht="13" x14ac:dyDescent="0.15">
      <c r="A2546" s="9">
        <f ca="1">IFERROR(__xludf.DUMMYFUNCTION("""COMPUTED_VALUE"""),287374099)</f>
        <v>287374099</v>
      </c>
      <c r="B2546" s="1" t="str">
        <f ca="1">IFERROR(__xludf.DUMMYFUNCTION("""COMPUTED_VALUE"""),"ellenbruijs@live.nl")</f>
        <v>ellenbruijs@live.nl</v>
      </c>
      <c r="C2546" s="9" t="str">
        <f ca="1">IFERROR(__xludf.DUMMYFUNCTION("""COMPUTED_VALUE"""),"EVERGREEN - UAN Gated Content - Embedded Petition")</f>
        <v>EVERGREEN - UAN Gated Content - Embedded Petition</v>
      </c>
      <c r="D2546" s="10">
        <f ca="1">IFERROR(__xludf.DUMMYFUNCTION("""COMPUTED_VALUE"""),45672)</f>
        <v>45672</v>
      </c>
    </row>
    <row r="2547" spans="1:4" ht="13" x14ac:dyDescent="0.15">
      <c r="A2547" s="9">
        <f ca="1">IFERROR(__xludf.DUMMYFUNCTION("""COMPUTED_VALUE"""),287374868)</f>
        <v>287374868</v>
      </c>
      <c r="B2547" s="1" t="str">
        <f ca="1">IFERROR(__xludf.DUMMYFUNCTION("""COMPUTED_VALUE"""),"jeanferrol@hotmail.co.uk")</f>
        <v>jeanferrol@hotmail.co.uk</v>
      </c>
      <c r="C2547" s="9" t="str">
        <f ca="1">IFERROR(__xludf.DUMMYFUNCTION("""COMPUTED_VALUE"""),"EVERGREEN - UAN Gated Content - Embedded Petition")</f>
        <v>EVERGREEN - UAN Gated Content - Embedded Petition</v>
      </c>
      <c r="D2547" s="10">
        <f ca="1">IFERROR(__xludf.DUMMYFUNCTION("""COMPUTED_VALUE"""),45672)</f>
        <v>45672</v>
      </c>
    </row>
    <row r="2548" spans="1:4" ht="13" x14ac:dyDescent="0.15">
      <c r="A2548" s="9">
        <f ca="1">IFERROR(__xludf.DUMMYFUNCTION("""COMPUTED_VALUE"""),287375755)</f>
        <v>287375755</v>
      </c>
      <c r="B2548" s="1" t="str">
        <f ca="1">IFERROR(__xludf.DUMMYFUNCTION("""COMPUTED_VALUE"""),"usamah82@gmail.com")</f>
        <v>usamah82@gmail.com</v>
      </c>
      <c r="C2548" s="9" t="str">
        <f ca="1">IFERROR(__xludf.DUMMYFUNCTION("""COMPUTED_VALUE"""),"EVERGREEN - UAN Gated Content - Embedded Petition")</f>
        <v>EVERGREEN - UAN Gated Content - Embedded Petition</v>
      </c>
      <c r="D2548" s="10">
        <f ca="1">IFERROR(__xludf.DUMMYFUNCTION("""COMPUTED_VALUE"""),45672)</f>
        <v>45672</v>
      </c>
    </row>
    <row r="2549" spans="1:4" ht="13" x14ac:dyDescent="0.15">
      <c r="A2549" s="9">
        <f ca="1">IFERROR(__xludf.DUMMYFUNCTION("""COMPUTED_VALUE"""),287377037)</f>
        <v>287377037</v>
      </c>
      <c r="B2549" s="1" t="str">
        <f ca="1">IFERROR(__xludf.DUMMYFUNCTION("""COMPUTED_VALUE"""),"rm.minns@btinternet.com")</f>
        <v>rm.minns@btinternet.com</v>
      </c>
      <c r="C2549" s="9" t="str">
        <f ca="1">IFERROR(__xludf.DUMMYFUNCTION("""COMPUTED_VALUE"""),"EVERGREEN - UAN Gated Content - Embedded Petition")</f>
        <v>EVERGREEN - UAN Gated Content - Embedded Petition</v>
      </c>
      <c r="D2549" s="10">
        <f ca="1">IFERROR(__xludf.DUMMYFUNCTION("""COMPUTED_VALUE"""),45672)</f>
        <v>45672</v>
      </c>
    </row>
    <row r="2550" spans="1:4" ht="13" x14ac:dyDescent="0.15">
      <c r="A2550" s="9">
        <f ca="1">IFERROR(__xludf.DUMMYFUNCTION("""COMPUTED_VALUE"""),287377391)</f>
        <v>287377391</v>
      </c>
      <c r="B2550" s="1" t="str">
        <f ca="1">IFERROR(__xludf.DUMMYFUNCTION("""COMPUTED_VALUE"""),"sync_raisin5f@icloud.com")</f>
        <v>sync_raisin5f@icloud.com</v>
      </c>
      <c r="C2550" s="9" t="str">
        <f ca="1">IFERROR(__xludf.DUMMYFUNCTION("""COMPUTED_VALUE"""),"EVERGREEN - UAN Gated Content - Embedded Petition")</f>
        <v>EVERGREEN - UAN Gated Content - Embedded Petition</v>
      </c>
      <c r="D2550" s="10">
        <f ca="1">IFERROR(__xludf.DUMMYFUNCTION("""COMPUTED_VALUE"""),45672)</f>
        <v>45672</v>
      </c>
    </row>
    <row r="2551" spans="1:4" ht="13" x14ac:dyDescent="0.15">
      <c r="A2551" s="9">
        <f ca="1">IFERROR(__xludf.DUMMYFUNCTION("""COMPUTED_VALUE"""),287380456)</f>
        <v>287380456</v>
      </c>
      <c r="B2551" s="1" t="str">
        <f ca="1">IFERROR(__xludf.DUMMYFUNCTION("""COMPUTED_VALUE"""),"ri@adslhome.dk")</f>
        <v>ri@adslhome.dk</v>
      </c>
      <c r="C2551" s="9" t="str">
        <f ca="1">IFERROR(__xludf.DUMMYFUNCTION("""COMPUTED_VALUE"""),"EVERGREEN - UAN Gated Content - Embedded Petition")</f>
        <v>EVERGREEN - UAN Gated Content - Embedded Petition</v>
      </c>
      <c r="D2551" s="10">
        <f ca="1">IFERROR(__xludf.DUMMYFUNCTION("""COMPUTED_VALUE"""),45672)</f>
        <v>45672</v>
      </c>
    </row>
    <row r="2552" spans="1:4" ht="13" x14ac:dyDescent="0.15">
      <c r="A2552" s="9">
        <f ca="1">IFERROR(__xludf.DUMMYFUNCTION("""COMPUTED_VALUE"""),287380686)</f>
        <v>287380686</v>
      </c>
      <c r="B2552" s="1" t="str">
        <f ca="1">IFERROR(__xludf.DUMMYFUNCTION("""COMPUTED_VALUE"""),"carolemarz@icloud.com")</f>
        <v>carolemarz@icloud.com</v>
      </c>
      <c r="C2552" s="9" t="str">
        <f ca="1">IFERROR(__xludf.DUMMYFUNCTION("""COMPUTED_VALUE"""),"EVERGREEN - UAN Gated Content - Embedded Petition")</f>
        <v>EVERGREEN - UAN Gated Content - Embedded Petition</v>
      </c>
      <c r="D2552" s="10">
        <f ca="1">IFERROR(__xludf.DUMMYFUNCTION("""COMPUTED_VALUE"""),45672)</f>
        <v>45672</v>
      </c>
    </row>
    <row r="2553" spans="1:4" ht="13" x14ac:dyDescent="0.15">
      <c r="A2553" s="9">
        <f ca="1">IFERROR(__xludf.DUMMYFUNCTION("""COMPUTED_VALUE"""),287381002)</f>
        <v>287381002</v>
      </c>
      <c r="B2553" s="1" t="str">
        <f ca="1">IFERROR(__xludf.DUMMYFUNCTION("""COMPUTED_VALUE"""),"raquel44raquel@gmail.com")</f>
        <v>raquel44raquel@gmail.com</v>
      </c>
      <c r="C2553" s="9" t="str">
        <f ca="1">IFERROR(__xludf.DUMMYFUNCTION("""COMPUTED_VALUE"""),"EVERGREEN - UAN Gated Content - Embedded Petition")</f>
        <v>EVERGREEN - UAN Gated Content - Embedded Petition</v>
      </c>
      <c r="D2553" s="10">
        <f ca="1">IFERROR(__xludf.DUMMYFUNCTION("""COMPUTED_VALUE"""),45672)</f>
        <v>45672</v>
      </c>
    </row>
    <row r="2554" spans="1:4" ht="13" x14ac:dyDescent="0.15">
      <c r="A2554" s="9">
        <f ca="1">IFERROR(__xludf.DUMMYFUNCTION("""COMPUTED_VALUE"""),287381171)</f>
        <v>287381171</v>
      </c>
      <c r="B2554" s="1" t="str">
        <f ca="1">IFERROR(__xludf.DUMMYFUNCTION("""COMPUTED_VALUE"""),"annekenealy2@icloud.com")</f>
        <v>annekenealy2@icloud.com</v>
      </c>
      <c r="C2554" s="9" t="str">
        <f ca="1">IFERROR(__xludf.DUMMYFUNCTION("""COMPUTED_VALUE"""),"EVERGREEN - UAN Gated Content - Embedded Petition")</f>
        <v>EVERGREEN - UAN Gated Content - Embedded Petition</v>
      </c>
      <c r="D2554" s="10">
        <f ca="1">IFERROR(__xludf.DUMMYFUNCTION("""COMPUTED_VALUE"""),45672)</f>
        <v>45672</v>
      </c>
    </row>
    <row r="2555" spans="1:4" ht="13" x14ac:dyDescent="0.15">
      <c r="A2555" s="9">
        <f ca="1">IFERROR(__xludf.DUMMYFUNCTION("""COMPUTED_VALUE"""),287381222)</f>
        <v>287381222</v>
      </c>
      <c r="B2555" s="1" t="str">
        <f ca="1">IFERROR(__xludf.DUMMYFUNCTION("""COMPUTED_VALUE"""),"denisemacquire@phonecoop.coop")</f>
        <v>denisemacquire@phonecoop.coop</v>
      </c>
      <c r="C2555" s="9" t="str">
        <f ca="1">IFERROR(__xludf.DUMMYFUNCTION("""COMPUTED_VALUE"""),"EVERGREEN - UAN Gated Content - Embedded Petition")</f>
        <v>EVERGREEN - UAN Gated Content - Embedded Petition</v>
      </c>
      <c r="D2555" s="10">
        <f ca="1">IFERROR(__xludf.DUMMYFUNCTION("""COMPUTED_VALUE"""),45672)</f>
        <v>45672</v>
      </c>
    </row>
    <row r="2556" spans="1:4" ht="13" x14ac:dyDescent="0.15">
      <c r="A2556" s="9">
        <f ca="1">IFERROR(__xludf.DUMMYFUNCTION("""COMPUTED_VALUE"""),287381889)</f>
        <v>287381889</v>
      </c>
      <c r="B2556" s="1" t="str">
        <f ca="1">IFERROR(__xludf.DUMMYFUNCTION("""COMPUTED_VALUE"""),"dpaoletti@sympatico.ca")</f>
        <v>dpaoletti@sympatico.ca</v>
      </c>
      <c r="C2556" s="9" t="str">
        <f ca="1">IFERROR(__xludf.DUMMYFUNCTION("""COMPUTED_VALUE"""),"EVERGREEN - UAN Gated Content - Embedded Petition")</f>
        <v>EVERGREEN - UAN Gated Content - Embedded Petition</v>
      </c>
      <c r="D2556" s="10">
        <f ca="1">IFERROR(__xludf.DUMMYFUNCTION("""COMPUTED_VALUE"""),45672)</f>
        <v>45672</v>
      </c>
    </row>
    <row r="2557" spans="1:4" ht="13" x14ac:dyDescent="0.15">
      <c r="A2557" s="9">
        <f ca="1">IFERROR(__xludf.DUMMYFUNCTION("""COMPUTED_VALUE"""),287381889)</f>
        <v>287381889</v>
      </c>
      <c r="B2557" s="1" t="str">
        <f ca="1">IFERROR(__xludf.DUMMYFUNCTION("""COMPUTED_VALUE"""),"dpaoletti@sympatico.ca")</f>
        <v>dpaoletti@sympatico.ca</v>
      </c>
      <c r="C2557" s="9" t="str">
        <f ca="1">IFERROR(__xludf.DUMMYFUNCTION("""COMPUTED_VALUE"""),"EVERGREEN - UAN Gated Content - Embedded Petition")</f>
        <v>EVERGREEN - UAN Gated Content - Embedded Petition</v>
      </c>
      <c r="D2557" s="10">
        <f ca="1">IFERROR(__xludf.DUMMYFUNCTION("""COMPUTED_VALUE"""),45694)</f>
        <v>45694</v>
      </c>
    </row>
    <row r="2558" spans="1:4" ht="13" x14ac:dyDescent="0.15">
      <c r="A2558" s="9">
        <f ca="1">IFERROR(__xludf.DUMMYFUNCTION("""COMPUTED_VALUE"""),287382361)</f>
        <v>287382361</v>
      </c>
      <c r="B2558" s="1" t="str">
        <f ca="1">IFERROR(__xludf.DUMMYFUNCTION("""COMPUTED_VALUE"""),"idunha@gmail.com")</f>
        <v>idunha@gmail.com</v>
      </c>
      <c r="C2558" s="9" t="str">
        <f ca="1">IFERROR(__xludf.DUMMYFUNCTION("""COMPUTED_VALUE"""),"EVERGREEN - UAN Gated Content - Embedded Petition")</f>
        <v>EVERGREEN - UAN Gated Content - Embedded Petition</v>
      </c>
      <c r="D2558" s="10">
        <f ca="1">IFERROR(__xludf.DUMMYFUNCTION("""COMPUTED_VALUE"""),45672)</f>
        <v>45672</v>
      </c>
    </row>
    <row r="2559" spans="1:4" ht="13" x14ac:dyDescent="0.15">
      <c r="A2559" s="9">
        <f ca="1">IFERROR(__xludf.DUMMYFUNCTION("""COMPUTED_VALUE"""),287384410)</f>
        <v>287384410</v>
      </c>
      <c r="B2559" s="1" t="str">
        <f ca="1">IFERROR(__xludf.DUMMYFUNCTION("""COMPUTED_VALUE"""),"rayatkins@hotmail.co.uk")</f>
        <v>rayatkins@hotmail.co.uk</v>
      </c>
      <c r="C2559" s="9" t="str">
        <f ca="1">IFERROR(__xludf.DUMMYFUNCTION("""COMPUTED_VALUE"""),"EVERGREEN - UAN Gated Content - Embedded Petition")</f>
        <v>EVERGREEN - UAN Gated Content - Embedded Petition</v>
      </c>
      <c r="D2559" s="10">
        <f ca="1">IFERROR(__xludf.DUMMYFUNCTION("""COMPUTED_VALUE"""),45672)</f>
        <v>45672</v>
      </c>
    </row>
    <row r="2560" spans="1:4" ht="13" x14ac:dyDescent="0.15">
      <c r="A2560" s="9">
        <f ca="1">IFERROR(__xludf.DUMMYFUNCTION("""COMPUTED_VALUE"""),287384881)</f>
        <v>287384881</v>
      </c>
      <c r="B2560" s="1" t="str">
        <f ca="1">IFERROR(__xludf.DUMMYFUNCTION("""COMPUTED_VALUE"""),"qoe4baskets@gmail.com")</f>
        <v>qoe4baskets@gmail.com</v>
      </c>
      <c r="C2560" s="9" t="str">
        <f ca="1">IFERROR(__xludf.DUMMYFUNCTION("""COMPUTED_VALUE"""),"EVERGREEN - UAN Gated Content - Embedded Petition")</f>
        <v>EVERGREEN - UAN Gated Content - Embedded Petition</v>
      </c>
      <c r="D2560" s="10">
        <f ca="1">IFERROR(__xludf.DUMMYFUNCTION("""COMPUTED_VALUE"""),45693)</f>
        <v>45693</v>
      </c>
    </row>
    <row r="2561" spans="1:4" ht="13" x14ac:dyDescent="0.15">
      <c r="A2561" s="9">
        <f ca="1">IFERROR(__xludf.DUMMYFUNCTION("""COMPUTED_VALUE"""),287386448)</f>
        <v>287386448</v>
      </c>
      <c r="B2561" s="1" t="str">
        <f ca="1">IFERROR(__xludf.DUMMYFUNCTION("""COMPUTED_VALUE"""),"p.mercurio@outlook.com")</f>
        <v>p.mercurio@outlook.com</v>
      </c>
      <c r="C2561" s="9" t="str">
        <f ca="1">IFERROR(__xludf.DUMMYFUNCTION("""COMPUTED_VALUE"""),"EVERGREEN - UAN Gated Content - Embedded Petition")</f>
        <v>EVERGREEN - UAN Gated Content - Embedded Petition</v>
      </c>
      <c r="D2561" s="10">
        <f ca="1">IFERROR(__xludf.DUMMYFUNCTION("""COMPUTED_VALUE"""),45672)</f>
        <v>45672</v>
      </c>
    </row>
    <row r="2562" spans="1:4" ht="13" x14ac:dyDescent="0.15">
      <c r="A2562" s="9">
        <f ca="1">IFERROR(__xludf.DUMMYFUNCTION("""COMPUTED_VALUE"""),287389904)</f>
        <v>287389904</v>
      </c>
      <c r="B2562" s="1" t="str">
        <f ca="1">IFERROR(__xludf.DUMMYFUNCTION("""COMPUTED_VALUE"""),"snonline@athayoga.info")</f>
        <v>snonline@athayoga.info</v>
      </c>
      <c r="C2562" s="9" t="str">
        <f ca="1">IFERROR(__xludf.DUMMYFUNCTION("""COMPUTED_VALUE"""),"EVERGREEN - UAN Gated Content - Embedded Petition")</f>
        <v>EVERGREEN - UAN Gated Content - Embedded Petition</v>
      </c>
      <c r="D2562" s="10">
        <f ca="1">IFERROR(__xludf.DUMMYFUNCTION("""COMPUTED_VALUE"""),45672)</f>
        <v>45672</v>
      </c>
    </row>
    <row r="2563" spans="1:4" ht="13" x14ac:dyDescent="0.15">
      <c r="A2563" s="9">
        <f ca="1">IFERROR(__xludf.DUMMYFUNCTION("""COMPUTED_VALUE"""),287394583)</f>
        <v>287394583</v>
      </c>
      <c r="B2563" s="1" t="str">
        <f ca="1">IFERROR(__xludf.DUMMYFUNCTION("""COMPUTED_VALUE"""),"adriana_nedeva@yahoo.com")</f>
        <v>adriana_nedeva@yahoo.com</v>
      </c>
      <c r="C2563" s="9" t="str">
        <f ca="1">IFERROR(__xludf.DUMMYFUNCTION("""COMPUTED_VALUE"""),"EVERGREEN - UAN Gated Content - Embedded Petition")</f>
        <v>EVERGREEN - UAN Gated Content - Embedded Petition</v>
      </c>
      <c r="D2563" s="10">
        <f ca="1">IFERROR(__xludf.DUMMYFUNCTION("""COMPUTED_VALUE"""),45672)</f>
        <v>45672</v>
      </c>
    </row>
    <row r="2564" spans="1:4" ht="13" x14ac:dyDescent="0.15">
      <c r="A2564" s="9">
        <f ca="1">IFERROR(__xludf.DUMMYFUNCTION("""COMPUTED_VALUE"""),287395667)</f>
        <v>287395667</v>
      </c>
      <c r="B2564" s="1" t="str">
        <f ca="1">IFERROR(__xludf.DUMMYFUNCTION("""COMPUTED_VALUE"""),"mariamiguelr@gmail.com")</f>
        <v>mariamiguelr@gmail.com</v>
      </c>
      <c r="C2564" s="9" t="str">
        <f ca="1">IFERROR(__xludf.DUMMYFUNCTION("""COMPUTED_VALUE"""),"EVERGREEN - UAN Gated Content - Embedded Petition")</f>
        <v>EVERGREEN - UAN Gated Content - Embedded Petition</v>
      </c>
      <c r="D2564" s="10">
        <f ca="1">IFERROR(__xludf.DUMMYFUNCTION("""COMPUTED_VALUE"""),45672)</f>
        <v>45672</v>
      </c>
    </row>
    <row r="2565" spans="1:4" ht="13" x14ac:dyDescent="0.15">
      <c r="A2565" s="9">
        <f ca="1">IFERROR(__xludf.DUMMYFUNCTION("""COMPUTED_VALUE"""),287395815)</f>
        <v>287395815</v>
      </c>
      <c r="B2565" s="1" t="str">
        <f ca="1">IFERROR(__xludf.DUMMYFUNCTION("""COMPUTED_VALUE"""),"ulrichherbeck@gmx.net")</f>
        <v>ulrichherbeck@gmx.net</v>
      </c>
      <c r="C2565" s="9" t="str">
        <f ca="1">IFERROR(__xludf.DUMMYFUNCTION("""COMPUTED_VALUE"""),"EVERGREEN - UAN Gated Content - Embedded Petition")</f>
        <v>EVERGREEN - UAN Gated Content - Embedded Petition</v>
      </c>
      <c r="D2565" s="10">
        <f ca="1">IFERROR(__xludf.DUMMYFUNCTION("""COMPUTED_VALUE"""),45672)</f>
        <v>45672</v>
      </c>
    </row>
    <row r="2566" spans="1:4" ht="13" x14ac:dyDescent="0.15">
      <c r="A2566" s="9">
        <f ca="1">IFERROR(__xludf.DUMMYFUNCTION("""COMPUTED_VALUE"""),287396541)</f>
        <v>287396541</v>
      </c>
      <c r="B2566" s="1" t="str">
        <f ca="1">IFERROR(__xludf.DUMMYFUNCTION("""COMPUTED_VALUE"""),"dsec@tutamail.com")</f>
        <v>dsec@tutamail.com</v>
      </c>
      <c r="C2566" s="9" t="str">
        <f ca="1">IFERROR(__xludf.DUMMYFUNCTION("""COMPUTED_VALUE"""),"EVERGREEN - UAN Gated Content - Embedded Petition")</f>
        <v>EVERGREEN - UAN Gated Content - Embedded Petition</v>
      </c>
      <c r="D2566" s="10">
        <f ca="1">IFERROR(__xludf.DUMMYFUNCTION("""COMPUTED_VALUE"""),45672)</f>
        <v>45672</v>
      </c>
    </row>
    <row r="2567" spans="1:4" ht="13" x14ac:dyDescent="0.15">
      <c r="A2567" s="9">
        <f ca="1">IFERROR(__xludf.DUMMYFUNCTION("""COMPUTED_VALUE"""),287396541)</f>
        <v>287396541</v>
      </c>
      <c r="B2567" s="1" t="str">
        <f ca="1">IFERROR(__xludf.DUMMYFUNCTION("""COMPUTED_VALUE"""),"dsec@tutamail.com")</f>
        <v>dsec@tutamail.com</v>
      </c>
      <c r="C2567" s="9" t="str">
        <f ca="1">IFERROR(__xludf.DUMMYFUNCTION("""COMPUTED_VALUE"""),"EVERGREEN - UAN Gated Content - Embedded Petition")</f>
        <v>EVERGREEN - UAN Gated Content - Embedded Petition</v>
      </c>
      <c r="D2567" s="10">
        <f ca="1">IFERROR(__xludf.DUMMYFUNCTION("""COMPUTED_VALUE"""),45672)</f>
        <v>45672</v>
      </c>
    </row>
    <row r="2568" spans="1:4" ht="13" x14ac:dyDescent="0.15">
      <c r="A2568" s="9">
        <f ca="1">IFERROR(__xludf.DUMMYFUNCTION("""COMPUTED_VALUE"""),287396541)</f>
        <v>287396541</v>
      </c>
      <c r="B2568" s="1" t="str">
        <f ca="1">IFERROR(__xludf.DUMMYFUNCTION("""COMPUTED_VALUE"""),"dsec@tutamail.com")</f>
        <v>dsec@tutamail.com</v>
      </c>
      <c r="C2568" s="9" t="str">
        <f ca="1">IFERROR(__xludf.DUMMYFUNCTION("""COMPUTED_VALUE"""),"EVERGREEN - UAN Gated Content - Embedded Petition")</f>
        <v>EVERGREEN - UAN Gated Content - Embedded Petition</v>
      </c>
      <c r="D2568" s="10">
        <f ca="1">IFERROR(__xludf.DUMMYFUNCTION("""COMPUTED_VALUE"""),45672)</f>
        <v>45672</v>
      </c>
    </row>
    <row r="2569" spans="1:4" ht="13" x14ac:dyDescent="0.15">
      <c r="A2569" s="9">
        <f ca="1">IFERROR(__xludf.DUMMYFUNCTION("""COMPUTED_VALUE"""),287396541)</f>
        <v>287396541</v>
      </c>
      <c r="B2569" s="1" t="str">
        <f ca="1">IFERROR(__xludf.DUMMYFUNCTION("""COMPUTED_VALUE"""),"dsec@tutamail.com")</f>
        <v>dsec@tutamail.com</v>
      </c>
      <c r="C2569" s="9" t="str">
        <f ca="1">IFERROR(__xludf.DUMMYFUNCTION("""COMPUTED_VALUE"""),"EVERGREEN - UAN Gated Content - Embedded Petition")</f>
        <v>EVERGREEN - UAN Gated Content - Embedded Petition</v>
      </c>
      <c r="D2569" s="10">
        <f ca="1">IFERROR(__xludf.DUMMYFUNCTION("""COMPUTED_VALUE"""),45672)</f>
        <v>45672</v>
      </c>
    </row>
    <row r="2570" spans="1:4" ht="13" x14ac:dyDescent="0.15">
      <c r="A2570" s="9">
        <f ca="1">IFERROR(__xludf.DUMMYFUNCTION("""COMPUTED_VALUE"""),287396541)</f>
        <v>287396541</v>
      </c>
      <c r="B2570" s="1" t="str">
        <f ca="1">IFERROR(__xludf.DUMMYFUNCTION("""COMPUTED_VALUE"""),"dsec@tutamail.com")</f>
        <v>dsec@tutamail.com</v>
      </c>
      <c r="C2570" s="9" t="str">
        <f ca="1">IFERROR(__xludf.DUMMYFUNCTION("""COMPUTED_VALUE"""),"EVERGREEN - UAN Gated Content - Embedded Petition")</f>
        <v>EVERGREEN - UAN Gated Content - Embedded Petition</v>
      </c>
      <c r="D2570" s="10">
        <f ca="1">IFERROR(__xludf.DUMMYFUNCTION("""COMPUTED_VALUE"""),45672)</f>
        <v>45672</v>
      </c>
    </row>
    <row r="2571" spans="1:4" ht="13" x14ac:dyDescent="0.15">
      <c r="A2571" s="9">
        <f ca="1">IFERROR(__xludf.DUMMYFUNCTION("""COMPUTED_VALUE"""),287396541)</f>
        <v>287396541</v>
      </c>
      <c r="B2571" s="1" t="str">
        <f ca="1">IFERROR(__xludf.DUMMYFUNCTION("""COMPUTED_VALUE"""),"dsec@tutamail.com")</f>
        <v>dsec@tutamail.com</v>
      </c>
      <c r="C2571" s="9" t="str">
        <f ca="1">IFERROR(__xludf.DUMMYFUNCTION("""COMPUTED_VALUE"""),"EVERGREEN - UAN Gated Content - Embedded Petition")</f>
        <v>EVERGREEN - UAN Gated Content - Embedded Petition</v>
      </c>
      <c r="D2571" s="10">
        <f ca="1">IFERROR(__xludf.DUMMYFUNCTION("""COMPUTED_VALUE"""),45672)</f>
        <v>45672</v>
      </c>
    </row>
    <row r="2572" spans="1:4" ht="13" x14ac:dyDescent="0.15">
      <c r="A2572" s="9">
        <f ca="1">IFERROR(__xludf.DUMMYFUNCTION("""COMPUTED_VALUE"""),287396541)</f>
        <v>287396541</v>
      </c>
      <c r="B2572" s="1" t="str">
        <f ca="1">IFERROR(__xludf.DUMMYFUNCTION("""COMPUTED_VALUE"""),"dsec@tutamail.com")</f>
        <v>dsec@tutamail.com</v>
      </c>
      <c r="C2572" s="9" t="str">
        <f ca="1">IFERROR(__xludf.DUMMYFUNCTION("""COMPUTED_VALUE"""),"EVERGREEN - UAN Gated Content - Embedded Petition")</f>
        <v>EVERGREEN - UAN Gated Content - Embedded Petition</v>
      </c>
      <c r="D2572" s="10">
        <f ca="1">IFERROR(__xludf.DUMMYFUNCTION("""COMPUTED_VALUE"""),45672)</f>
        <v>45672</v>
      </c>
    </row>
    <row r="2573" spans="1:4" ht="13" x14ac:dyDescent="0.15">
      <c r="A2573" s="9">
        <f ca="1">IFERROR(__xludf.DUMMYFUNCTION("""COMPUTED_VALUE"""),287396668)</f>
        <v>287396668</v>
      </c>
      <c r="B2573" s="1" t="str">
        <f ca="1">IFERROR(__xludf.DUMMYFUNCTION("""COMPUTED_VALUE"""),"seczkowskidominik05@gmail.com")</f>
        <v>seczkowskidominik05@gmail.com</v>
      </c>
      <c r="C2573" s="9" t="str">
        <f ca="1">IFERROR(__xludf.DUMMYFUNCTION("""COMPUTED_VALUE"""),"EVERGREEN - UAN Gated Content - Embedded Petition")</f>
        <v>EVERGREEN - UAN Gated Content - Embedded Petition</v>
      </c>
      <c r="D2573" s="10">
        <f ca="1">IFERROR(__xludf.DUMMYFUNCTION("""COMPUTED_VALUE"""),45672)</f>
        <v>45672</v>
      </c>
    </row>
    <row r="2574" spans="1:4" ht="13" x14ac:dyDescent="0.15">
      <c r="A2574" s="9">
        <f ca="1">IFERROR(__xludf.DUMMYFUNCTION("""COMPUTED_VALUE"""),287398176)</f>
        <v>287398176</v>
      </c>
      <c r="B2574" s="1" t="str">
        <f ca="1">IFERROR(__xludf.DUMMYFUNCTION("""COMPUTED_VALUE"""),"rhodleri11@gmail.com")</f>
        <v>rhodleri11@gmail.com</v>
      </c>
      <c r="C2574" s="9" t="str">
        <f ca="1">IFERROR(__xludf.DUMMYFUNCTION("""COMPUTED_VALUE"""),"EVERGREEN - UAN Gated Content - Embedded Petition")</f>
        <v>EVERGREEN - UAN Gated Content - Embedded Petition</v>
      </c>
      <c r="D2574" s="10">
        <f ca="1">IFERROR(__xludf.DUMMYFUNCTION("""COMPUTED_VALUE"""),45672)</f>
        <v>45672</v>
      </c>
    </row>
    <row r="2575" spans="1:4" ht="13" x14ac:dyDescent="0.15">
      <c r="A2575" s="9">
        <f ca="1">IFERROR(__xludf.DUMMYFUNCTION("""COMPUTED_VALUE"""),287398785)</f>
        <v>287398785</v>
      </c>
      <c r="B2575" s="1" t="str">
        <f ca="1">IFERROR(__xludf.DUMMYFUNCTION("""COMPUTED_VALUE"""),"dandypark5@hotmail.com")</f>
        <v>dandypark5@hotmail.com</v>
      </c>
      <c r="C2575" s="9" t="str">
        <f ca="1">IFERROR(__xludf.DUMMYFUNCTION("""COMPUTED_VALUE"""),"EVERGREEN - UAN Gated Content - Embedded Petition")</f>
        <v>EVERGREEN - UAN Gated Content - Embedded Petition</v>
      </c>
      <c r="D2575" s="10">
        <f ca="1">IFERROR(__xludf.DUMMYFUNCTION("""COMPUTED_VALUE"""),45672)</f>
        <v>45672</v>
      </c>
    </row>
    <row r="2576" spans="1:4" ht="13" x14ac:dyDescent="0.15">
      <c r="A2576" s="9">
        <f ca="1">IFERROR(__xludf.DUMMYFUNCTION("""COMPUTED_VALUE"""),287399041)</f>
        <v>287399041</v>
      </c>
      <c r="B2576" s="1" t="str">
        <f ca="1">IFERROR(__xludf.DUMMYFUNCTION("""COMPUTED_VALUE"""),"johncheshire@btinternet.com")</f>
        <v>johncheshire@btinternet.com</v>
      </c>
      <c r="C2576" s="9" t="str">
        <f ca="1">IFERROR(__xludf.DUMMYFUNCTION("""COMPUTED_VALUE"""),"EVERGREEN - UAN Gated Content - Embedded Petition")</f>
        <v>EVERGREEN - UAN Gated Content - Embedded Petition</v>
      </c>
      <c r="D2576" s="10">
        <f ca="1">IFERROR(__xludf.DUMMYFUNCTION("""COMPUTED_VALUE"""),45672)</f>
        <v>45672</v>
      </c>
    </row>
    <row r="2577" spans="1:4" ht="13" x14ac:dyDescent="0.15">
      <c r="A2577" s="9">
        <f ca="1">IFERROR(__xludf.DUMMYFUNCTION("""COMPUTED_VALUE"""),287399238)</f>
        <v>287399238</v>
      </c>
      <c r="B2577" s="1" t="str">
        <f ca="1">IFERROR(__xludf.DUMMYFUNCTION("""COMPUTED_VALUE"""),"tajsings4peace@gmail.com")</f>
        <v>tajsings4peace@gmail.com</v>
      </c>
      <c r="C2577" s="9" t="str">
        <f ca="1">IFERROR(__xludf.DUMMYFUNCTION("""COMPUTED_VALUE"""),"EVERGREEN - UAN Gated Content - Embedded Petition")</f>
        <v>EVERGREEN - UAN Gated Content - Embedded Petition</v>
      </c>
      <c r="D2577" s="10">
        <f ca="1">IFERROR(__xludf.DUMMYFUNCTION("""COMPUTED_VALUE"""),45672)</f>
        <v>45672</v>
      </c>
    </row>
    <row r="2578" spans="1:4" ht="13" x14ac:dyDescent="0.15">
      <c r="A2578" s="9">
        <f ca="1">IFERROR(__xludf.DUMMYFUNCTION("""COMPUTED_VALUE"""),287401106)</f>
        <v>287401106</v>
      </c>
      <c r="B2578" s="1" t="str">
        <f ca="1">IFERROR(__xludf.DUMMYFUNCTION("""COMPUTED_VALUE"""),"flealcott@yahoo.com")</f>
        <v>flealcott@yahoo.com</v>
      </c>
      <c r="C2578" s="9" t="str">
        <f ca="1">IFERROR(__xludf.DUMMYFUNCTION("""COMPUTED_VALUE"""),"EVERGREEN - UAN Gated Content - Embedded Petition")</f>
        <v>EVERGREEN - UAN Gated Content - Embedded Petition</v>
      </c>
      <c r="D2578" s="10">
        <f ca="1">IFERROR(__xludf.DUMMYFUNCTION("""COMPUTED_VALUE"""),45672)</f>
        <v>45672</v>
      </c>
    </row>
    <row r="2579" spans="1:4" ht="13" x14ac:dyDescent="0.15">
      <c r="A2579" s="9">
        <f ca="1">IFERROR(__xludf.DUMMYFUNCTION("""COMPUTED_VALUE"""),287401365)</f>
        <v>287401365</v>
      </c>
      <c r="B2579" s="1" t="str">
        <f ca="1">IFERROR(__xludf.DUMMYFUNCTION("""COMPUTED_VALUE"""),"suemcgavin.sm@gmail.com")</f>
        <v>suemcgavin.sm@gmail.com</v>
      </c>
      <c r="C2579" s="9" t="str">
        <f ca="1">IFERROR(__xludf.DUMMYFUNCTION("""COMPUTED_VALUE"""),"EVERGREEN - UAN Gated Content - Embedded Petition")</f>
        <v>EVERGREEN - UAN Gated Content - Embedded Petition</v>
      </c>
      <c r="D2579" s="10">
        <f ca="1">IFERROR(__xludf.DUMMYFUNCTION("""COMPUTED_VALUE"""),45672)</f>
        <v>45672</v>
      </c>
    </row>
    <row r="2580" spans="1:4" ht="13" x14ac:dyDescent="0.15">
      <c r="A2580" s="9">
        <f ca="1">IFERROR(__xludf.DUMMYFUNCTION("""COMPUTED_VALUE"""),287401951)</f>
        <v>287401951</v>
      </c>
      <c r="B2580" s="1" t="str">
        <f ca="1">IFERROR(__xludf.DUMMYFUNCTION("""COMPUTED_VALUE"""),"marthachristinemiller@gmail.com")</f>
        <v>marthachristinemiller@gmail.com</v>
      </c>
      <c r="C2580" s="9" t="str">
        <f ca="1">IFERROR(__xludf.DUMMYFUNCTION("""COMPUTED_VALUE"""),"EVERGREEN - UAN Gated Content - Embedded Petition")</f>
        <v>EVERGREEN - UAN Gated Content - Embedded Petition</v>
      </c>
      <c r="D2580" s="10">
        <f ca="1">IFERROR(__xludf.DUMMYFUNCTION("""COMPUTED_VALUE"""),45672)</f>
        <v>45672</v>
      </c>
    </row>
    <row r="2581" spans="1:4" ht="13" x14ac:dyDescent="0.15">
      <c r="A2581" s="9">
        <f ca="1">IFERROR(__xludf.DUMMYFUNCTION("""COMPUTED_VALUE"""),287402033)</f>
        <v>287402033</v>
      </c>
      <c r="B2581" s="1" t="str">
        <f ca="1">IFERROR(__xludf.DUMMYFUNCTION("""COMPUTED_VALUE"""),"terisatu@uoguelph.ca")</f>
        <v>terisatu@uoguelph.ca</v>
      </c>
      <c r="C2581" s="9" t="str">
        <f ca="1">IFERROR(__xludf.DUMMYFUNCTION("""COMPUTED_VALUE"""),"EVERGREEN - UAN Gated Content - Embedded Petition")</f>
        <v>EVERGREEN - UAN Gated Content - Embedded Petition</v>
      </c>
      <c r="D2581" s="10">
        <f ca="1">IFERROR(__xludf.DUMMYFUNCTION("""COMPUTED_VALUE"""),45672)</f>
        <v>45672</v>
      </c>
    </row>
    <row r="2582" spans="1:4" ht="13" x14ac:dyDescent="0.15">
      <c r="A2582" s="9">
        <f ca="1">IFERROR(__xludf.DUMMYFUNCTION("""COMPUTED_VALUE"""),287402258)</f>
        <v>287402258</v>
      </c>
      <c r="B2582" s="1" t="str">
        <f ca="1">IFERROR(__xludf.DUMMYFUNCTION("""COMPUTED_VALUE"""),"melhagrassy.neuromod@gmail.com")</f>
        <v>melhagrassy.neuromod@gmail.com</v>
      </c>
      <c r="C2582" s="9" t="str">
        <f ca="1">IFERROR(__xludf.DUMMYFUNCTION("""COMPUTED_VALUE"""),"EVERGREEN - UAN Gated Content - Embedded Petition")</f>
        <v>EVERGREEN - UAN Gated Content - Embedded Petition</v>
      </c>
      <c r="D2582" s="10">
        <f ca="1">IFERROR(__xludf.DUMMYFUNCTION("""COMPUTED_VALUE"""),45672)</f>
        <v>45672</v>
      </c>
    </row>
    <row r="2583" spans="1:4" ht="13" x14ac:dyDescent="0.15">
      <c r="A2583" s="9">
        <f ca="1">IFERROR(__xludf.DUMMYFUNCTION("""COMPUTED_VALUE"""),287402258)</f>
        <v>287402258</v>
      </c>
      <c r="B2583" s="1" t="str">
        <f ca="1">IFERROR(__xludf.DUMMYFUNCTION("""COMPUTED_VALUE"""),"melhagrassy.neuromod@gmail.com")</f>
        <v>melhagrassy.neuromod@gmail.com</v>
      </c>
      <c r="C2583" s="9" t="str">
        <f ca="1">IFERROR(__xludf.DUMMYFUNCTION("""COMPUTED_VALUE"""),"EVERGREEN - UAN Gated Content - Embedded Petition")</f>
        <v>EVERGREEN - UAN Gated Content - Embedded Petition</v>
      </c>
      <c r="D2583" s="10">
        <f ca="1">IFERROR(__xludf.DUMMYFUNCTION("""COMPUTED_VALUE"""),45673)</f>
        <v>45673</v>
      </c>
    </row>
    <row r="2584" spans="1:4" ht="13" x14ac:dyDescent="0.15">
      <c r="A2584" s="9">
        <f ca="1">IFERROR(__xludf.DUMMYFUNCTION("""COMPUTED_VALUE"""),287402416)</f>
        <v>287402416</v>
      </c>
      <c r="B2584" s="1" t="str">
        <f ca="1">IFERROR(__xludf.DUMMYFUNCTION("""COMPUTED_VALUE"""),"manateeeee@gmail.com")</f>
        <v>manateeeee@gmail.com</v>
      </c>
      <c r="C2584" s="9" t="str">
        <f ca="1">IFERROR(__xludf.DUMMYFUNCTION("""COMPUTED_VALUE"""),"EVERGREEN - UAN Gated Content - Embedded Petition")</f>
        <v>EVERGREEN - UAN Gated Content - Embedded Petition</v>
      </c>
      <c r="D2584" s="10">
        <f ca="1">IFERROR(__xludf.DUMMYFUNCTION("""COMPUTED_VALUE"""),45672)</f>
        <v>45672</v>
      </c>
    </row>
    <row r="2585" spans="1:4" ht="13" x14ac:dyDescent="0.15">
      <c r="A2585" s="9">
        <f ca="1">IFERROR(__xludf.DUMMYFUNCTION("""COMPUTED_VALUE"""),287402863)</f>
        <v>287402863</v>
      </c>
      <c r="B2585" s="1" t="str">
        <f ca="1">IFERROR(__xludf.DUMMYFUNCTION("""COMPUTED_VALUE"""),"hibachi-lode.8a@icloud.com")</f>
        <v>hibachi-lode.8a@icloud.com</v>
      </c>
      <c r="C2585" s="9" t="str">
        <f ca="1">IFERROR(__xludf.DUMMYFUNCTION("""COMPUTED_VALUE"""),"EVERGREEN - UAN Gated Content - Embedded Petition")</f>
        <v>EVERGREEN - UAN Gated Content - Embedded Petition</v>
      </c>
      <c r="D2585" s="10">
        <f ca="1">IFERROR(__xludf.DUMMYFUNCTION("""COMPUTED_VALUE"""),45672)</f>
        <v>45672</v>
      </c>
    </row>
    <row r="2586" spans="1:4" ht="13" x14ac:dyDescent="0.15">
      <c r="A2586" s="9">
        <f ca="1">IFERROR(__xludf.DUMMYFUNCTION("""COMPUTED_VALUE"""),287402995)</f>
        <v>287402995</v>
      </c>
      <c r="B2586" s="1" t="str">
        <f ca="1">IFERROR(__xludf.DUMMYFUNCTION("""COMPUTED_VALUE"""),"jlgbsn@gmail.com")</f>
        <v>jlgbsn@gmail.com</v>
      </c>
      <c r="C2586" s="9" t="str">
        <f ca="1">IFERROR(__xludf.DUMMYFUNCTION("""COMPUTED_VALUE"""),"EVERGREEN - UAN Gated Content - Embedded Petition")</f>
        <v>EVERGREEN - UAN Gated Content - Embedded Petition</v>
      </c>
      <c r="D2586" s="10">
        <f ca="1">IFERROR(__xludf.DUMMYFUNCTION("""COMPUTED_VALUE"""),45672)</f>
        <v>45672</v>
      </c>
    </row>
    <row r="2587" spans="1:4" ht="13" x14ac:dyDescent="0.15">
      <c r="A2587" s="9">
        <f ca="1">IFERROR(__xludf.DUMMYFUNCTION("""COMPUTED_VALUE"""),287404083)</f>
        <v>287404083</v>
      </c>
      <c r="B2587" s="1" t="str">
        <f ca="1">IFERROR(__xludf.DUMMYFUNCTION("""COMPUTED_VALUE"""),"lynstmail@gmail.com")</f>
        <v>lynstmail@gmail.com</v>
      </c>
      <c r="C2587" s="9" t="str">
        <f ca="1">IFERROR(__xludf.DUMMYFUNCTION("""COMPUTED_VALUE"""),"EVERGREEN - UAN Gated Content - Embedded Petition")</f>
        <v>EVERGREEN - UAN Gated Content - Embedded Petition</v>
      </c>
      <c r="D2587" s="10">
        <f ca="1">IFERROR(__xludf.DUMMYFUNCTION("""COMPUTED_VALUE"""),45673)</f>
        <v>45673</v>
      </c>
    </row>
    <row r="2588" spans="1:4" ht="13" x14ac:dyDescent="0.15">
      <c r="A2588" s="9">
        <f ca="1">IFERROR(__xludf.DUMMYFUNCTION("""COMPUTED_VALUE"""),287404235)</f>
        <v>287404235</v>
      </c>
      <c r="B2588" s="1" t="str">
        <f ca="1">IFERROR(__xludf.DUMMYFUNCTION("""COMPUTED_VALUE"""),"alexandra.ibrahim13@gmail.com")</f>
        <v>alexandra.ibrahim13@gmail.com</v>
      </c>
      <c r="C2588" s="9" t="str">
        <f ca="1">IFERROR(__xludf.DUMMYFUNCTION("""COMPUTED_VALUE"""),"EVERGREEN - UAN Gated Content - Embedded Petition")</f>
        <v>EVERGREEN - UAN Gated Content - Embedded Petition</v>
      </c>
      <c r="D2588" s="10">
        <f ca="1">IFERROR(__xludf.DUMMYFUNCTION("""COMPUTED_VALUE"""),45673)</f>
        <v>45673</v>
      </c>
    </row>
    <row r="2589" spans="1:4" ht="13" x14ac:dyDescent="0.15">
      <c r="A2589" s="9">
        <f ca="1">IFERROR(__xludf.DUMMYFUNCTION("""COMPUTED_VALUE"""),287404293)</f>
        <v>287404293</v>
      </c>
      <c r="B2589" s="1" t="str">
        <f ca="1">IFERROR(__xludf.DUMMYFUNCTION("""COMPUTED_VALUE"""),"kezialewins237@gmail.com")</f>
        <v>kezialewins237@gmail.com</v>
      </c>
      <c r="C2589" s="9" t="str">
        <f ca="1">IFERROR(__xludf.DUMMYFUNCTION("""COMPUTED_VALUE"""),"EVERGREEN - UAN Gated Content - Embedded Petition")</f>
        <v>EVERGREEN - UAN Gated Content - Embedded Petition</v>
      </c>
      <c r="D2589" s="10">
        <f ca="1">IFERROR(__xludf.DUMMYFUNCTION("""COMPUTED_VALUE"""),45673)</f>
        <v>45673</v>
      </c>
    </row>
    <row r="2590" spans="1:4" ht="13" x14ac:dyDescent="0.15">
      <c r="A2590" s="9">
        <f ca="1">IFERROR(__xludf.DUMMYFUNCTION("""COMPUTED_VALUE"""),287404507)</f>
        <v>287404507</v>
      </c>
      <c r="B2590" s="1" t="str">
        <f ca="1">IFERROR(__xludf.DUMMYFUNCTION("""COMPUTED_VALUE"""),"jrgrant127@gmail.com")</f>
        <v>jrgrant127@gmail.com</v>
      </c>
      <c r="C2590" s="9" t="str">
        <f ca="1">IFERROR(__xludf.DUMMYFUNCTION("""COMPUTED_VALUE"""),"EVERGREEN - UAN Gated Content - Embedded Petition")</f>
        <v>EVERGREEN - UAN Gated Content - Embedded Petition</v>
      </c>
      <c r="D2590" s="10">
        <f ca="1">IFERROR(__xludf.DUMMYFUNCTION("""COMPUTED_VALUE"""),45673)</f>
        <v>45673</v>
      </c>
    </row>
    <row r="2591" spans="1:4" ht="13" x14ac:dyDescent="0.15">
      <c r="A2591" s="9">
        <f ca="1">IFERROR(__xludf.DUMMYFUNCTION("""COMPUTED_VALUE"""),287404846)</f>
        <v>287404846</v>
      </c>
      <c r="B2591" s="1" t="str">
        <f ca="1">IFERROR(__xludf.DUMMYFUNCTION("""COMPUTED_VALUE"""),"gkitani@hotmail.com")</f>
        <v>gkitani@hotmail.com</v>
      </c>
      <c r="C2591" s="9" t="str">
        <f ca="1">IFERROR(__xludf.DUMMYFUNCTION("""COMPUTED_VALUE"""),"EVERGREEN - UAN Gated Content - Embedded Petition")</f>
        <v>EVERGREEN - UAN Gated Content - Embedded Petition</v>
      </c>
      <c r="D2591" s="10">
        <f ca="1">IFERROR(__xludf.DUMMYFUNCTION("""COMPUTED_VALUE"""),45673)</f>
        <v>45673</v>
      </c>
    </row>
    <row r="2592" spans="1:4" ht="13" x14ac:dyDescent="0.15">
      <c r="A2592" s="9">
        <f ca="1">IFERROR(__xludf.DUMMYFUNCTION("""COMPUTED_VALUE"""),287405915)</f>
        <v>287405915</v>
      </c>
      <c r="B2592" s="1" t="str">
        <f ca="1">IFERROR(__xludf.DUMMYFUNCTION("""COMPUTED_VALUE"""),"david.dennisnz@gmail.com")</f>
        <v>david.dennisnz@gmail.com</v>
      </c>
      <c r="C2592" s="9" t="str">
        <f ca="1">IFERROR(__xludf.DUMMYFUNCTION("""COMPUTED_VALUE"""),"EVERGREEN - UAN Gated Content - Embedded Petition")</f>
        <v>EVERGREEN - UAN Gated Content - Embedded Petition</v>
      </c>
      <c r="D2592" s="10">
        <f ca="1">IFERROR(__xludf.DUMMYFUNCTION("""COMPUTED_VALUE"""),45673)</f>
        <v>45673</v>
      </c>
    </row>
    <row r="2593" spans="1:4" ht="13" x14ac:dyDescent="0.15">
      <c r="A2593" s="9">
        <f ca="1">IFERROR(__xludf.DUMMYFUNCTION("""COMPUTED_VALUE"""),287405947)</f>
        <v>287405947</v>
      </c>
      <c r="B2593" s="1" t="str">
        <f ca="1">IFERROR(__xludf.DUMMYFUNCTION("""COMPUTED_VALUE"""),"kmfitani@hotmail.com")</f>
        <v>kmfitani@hotmail.com</v>
      </c>
      <c r="C2593" s="9" t="str">
        <f ca="1">IFERROR(__xludf.DUMMYFUNCTION("""COMPUTED_VALUE"""),"EVERGREEN - UAN Gated Content - Embedded Petition")</f>
        <v>EVERGREEN - UAN Gated Content - Embedded Petition</v>
      </c>
      <c r="D2593" s="10">
        <f ca="1">IFERROR(__xludf.DUMMYFUNCTION("""COMPUTED_VALUE"""),45673)</f>
        <v>45673</v>
      </c>
    </row>
    <row r="2594" spans="1:4" ht="13" x14ac:dyDescent="0.15">
      <c r="A2594" s="9">
        <f ca="1">IFERROR(__xludf.DUMMYFUNCTION("""COMPUTED_VALUE"""),287406924)</f>
        <v>287406924</v>
      </c>
      <c r="B2594" s="1" t="str">
        <f ca="1">IFERROR(__xludf.DUMMYFUNCTION("""COMPUTED_VALUE"""),"lsimpson_5@hotmail.com")</f>
        <v>lsimpson_5@hotmail.com</v>
      </c>
      <c r="C2594" s="9" t="str">
        <f ca="1">IFERROR(__xludf.DUMMYFUNCTION("""COMPUTED_VALUE"""),"EVERGREEN - UAN Gated Content - Embedded Petition")</f>
        <v>EVERGREEN - UAN Gated Content - Embedded Petition</v>
      </c>
      <c r="D2594" s="10">
        <f ca="1">IFERROR(__xludf.DUMMYFUNCTION("""COMPUTED_VALUE"""),45673)</f>
        <v>45673</v>
      </c>
    </row>
    <row r="2595" spans="1:4" ht="13" x14ac:dyDescent="0.15">
      <c r="A2595" s="9">
        <f ca="1">IFERROR(__xludf.DUMMYFUNCTION("""COMPUTED_VALUE"""),287407486)</f>
        <v>287407486</v>
      </c>
      <c r="B2595" s="1" t="str">
        <f ca="1">IFERROR(__xludf.DUMMYFUNCTION("""COMPUTED_VALUE"""),"saranialazar@gmail.com")</f>
        <v>saranialazar@gmail.com</v>
      </c>
      <c r="C2595" s="9" t="str">
        <f ca="1">IFERROR(__xludf.DUMMYFUNCTION("""COMPUTED_VALUE"""),"EVERGREEN - UAN Gated Content - Embedded Petition")</f>
        <v>EVERGREEN - UAN Gated Content - Embedded Petition</v>
      </c>
      <c r="D2595" s="10">
        <f ca="1">IFERROR(__xludf.DUMMYFUNCTION("""COMPUTED_VALUE"""),45673)</f>
        <v>45673</v>
      </c>
    </row>
    <row r="2596" spans="1:4" ht="13" x14ac:dyDescent="0.15">
      <c r="A2596" s="9">
        <f ca="1">IFERROR(__xludf.DUMMYFUNCTION("""COMPUTED_VALUE"""),287408072)</f>
        <v>287408072</v>
      </c>
      <c r="B2596" s="1" t="str">
        <f ca="1">IFERROR(__xludf.DUMMYFUNCTION("""COMPUTED_VALUE"""),"painbren@yahoo.com")</f>
        <v>painbren@yahoo.com</v>
      </c>
      <c r="C2596" s="9" t="str">
        <f ca="1">IFERROR(__xludf.DUMMYFUNCTION("""COMPUTED_VALUE"""),"EVERGREEN - UAN Gated Content - Embedded Petition")</f>
        <v>EVERGREEN - UAN Gated Content - Embedded Petition</v>
      </c>
      <c r="D2596" s="10">
        <f ca="1">IFERROR(__xludf.DUMMYFUNCTION("""COMPUTED_VALUE"""),45693)</f>
        <v>45693</v>
      </c>
    </row>
    <row r="2597" spans="1:4" ht="13" x14ac:dyDescent="0.15">
      <c r="A2597" s="9">
        <f ca="1">IFERROR(__xludf.DUMMYFUNCTION("""COMPUTED_VALUE"""),287409424)</f>
        <v>287409424</v>
      </c>
      <c r="B2597" s="1" t="str">
        <f ca="1">IFERROR(__xludf.DUMMYFUNCTION("""COMPUTED_VALUE"""),"salzahed84@gmail.com")</f>
        <v>salzahed84@gmail.com</v>
      </c>
      <c r="C2597" s="9" t="str">
        <f ca="1">IFERROR(__xludf.DUMMYFUNCTION("""COMPUTED_VALUE"""),"EVERGREEN - UAN Gated Content - Embedded Petition")</f>
        <v>EVERGREEN - UAN Gated Content - Embedded Petition</v>
      </c>
      <c r="D2597" s="10">
        <f ca="1">IFERROR(__xludf.DUMMYFUNCTION("""COMPUTED_VALUE"""),45673)</f>
        <v>45673</v>
      </c>
    </row>
    <row r="2598" spans="1:4" ht="13" x14ac:dyDescent="0.15">
      <c r="A2598" s="9">
        <f ca="1">IFERROR(__xludf.DUMMYFUNCTION("""COMPUTED_VALUE"""),287409567)</f>
        <v>287409567</v>
      </c>
      <c r="B2598" s="1" t="str">
        <f ca="1">IFERROR(__xludf.DUMMYFUNCTION("""COMPUTED_VALUE"""),"mghalib@msn.com")</f>
        <v>mghalib@msn.com</v>
      </c>
      <c r="C2598" s="9" t="str">
        <f ca="1">IFERROR(__xludf.DUMMYFUNCTION("""COMPUTED_VALUE"""),"EVERGREEN - UAN Gated Content - Embedded Petition")</f>
        <v>EVERGREEN - UAN Gated Content - Embedded Petition</v>
      </c>
      <c r="D2598" s="10">
        <f ca="1">IFERROR(__xludf.DUMMYFUNCTION("""COMPUTED_VALUE"""),45673)</f>
        <v>45673</v>
      </c>
    </row>
    <row r="2599" spans="1:4" ht="13" x14ac:dyDescent="0.15">
      <c r="A2599" s="9">
        <f ca="1">IFERROR(__xludf.DUMMYFUNCTION("""COMPUTED_VALUE"""),287412372)</f>
        <v>287412372</v>
      </c>
      <c r="B2599" s="1" t="str">
        <f ca="1">IFERROR(__xludf.DUMMYFUNCTION("""COMPUTED_VALUE"""),"sebastiendodedjiadounsa@gmail.com")</f>
        <v>sebastiendodedjiadounsa@gmail.com</v>
      </c>
      <c r="C2599" s="9" t="str">
        <f ca="1">IFERROR(__xludf.DUMMYFUNCTION("""COMPUTED_VALUE"""),"EVERGREEN - UAN Gated Content - Embedded Petition")</f>
        <v>EVERGREEN - UAN Gated Content - Embedded Petition</v>
      </c>
      <c r="D2599" s="10">
        <f ca="1">IFERROR(__xludf.DUMMYFUNCTION("""COMPUTED_VALUE"""),45673)</f>
        <v>45673</v>
      </c>
    </row>
    <row r="2600" spans="1:4" ht="13" x14ac:dyDescent="0.15">
      <c r="A2600" s="9">
        <f ca="1">IFERROR(__xludf.DUMMYFUNCTION("""COMPUTED_VALUE"""),287412995)</f>
        <v>287412995</v>
      </c>
      <c r="B2600" s="1" t="str">
        <f ca="1">IFERROR(__xludf.DUMMYFUNCTION("""COMPUTED_VALUE"""),"sabah2002@gmail.com")</f>
        <v>sabah2002@gmail.com</v>
      </c>
      <c r="C2600" s="9" t="str">
        <f ca="1">IFERROR(__xludf.DUMMYFUNCTION("""COMPUTED_VALUE"""),"EVERGREEN - UAN Gated Content - Embedded Petition")</f>
        <v>EVERGREEN - UAN Gated Content - Embedded Petition</v>
      </c>
      <c r="D2600" s="10">
        <f ca="1">IFERROR(__xludf.DUMMYFUNCTION("""COMPUTED_VALUE"""),45673)</f>
        <v>45673</v>
      </c>
    </row>
    <row r="2601" spans="1:4" ht="13" x14ac:dyDescent="0.15">
      <c r="A2601" s="9">
        <f ca="1">IFERROR(__xludf.DUMMYFUNCTION("""COMPUTED_VALUE"""),287413139)</f>
        <v>287413139</v>
      </c>
      <c r="B2601" s="1" t="str">
        <f ca="1">IFERROR(__xludf.DUMMYFUNCTION("""COMPUTED_VALUE"""),"margaakerboom@gmail.com")</f>
        <v>margaakerboom@gmail.com</v>
      </c>
      <c r="C2601" s="9" t="str">
        <f ca="1">IFERROR(__xludf.DUMMYFUNCTION("""COMPUTED_VALUE"""),"EVERGREEN - UAN Gated Content - Embedded Petition")</f>
        <v>EVERGREEN - UAN Gated Content - Embedded Petition</v>
      </c>
      <c r="D2601" s="10">
        <f ca="1">IFERROR(__xludf.DUMMYFUNCTION("""COMPUTED_VALUE"""),45673)</f>
        <v>45673</v>
      </c>
    </row>
    <row r="2602" spans="1:4" ht="13" x14ac:dyDescent="0.15">
      <c r="A2602" s="9">
        <f ca="1">IFERROR(__xludf.DUMMYFUNCTION("""COMPUTED_VALUE"""),287413457)</f>
        <v>287413457</v>
      </c>
      <c r="B2602" s="1" t="str">
        <f ca="1">IFERROR(__xludf.DUMMYFUNCTION("""COMPUTED_VALUE"""),"r_jose17@icloud.com")</f>
        <v>r_jose17@icloud.com</v>
      </c>
      <c r="C2602" s="9" t="str">
        <f ca="1">IFERROR(__xludf.DUMMYFUNCTION("""COMPUTED_VALUE"""),"EVERGREEN - UAN Gated Content - Embedded Petition")</f>
        <v>EVERGREEN - UAN Gated Content - Embedded Petition</v>
      </c>
      <c r="D2602" s="10">
        <f ca="1">IFERROR(__xludf.DUMMYFUNCTION("""COMPUTED_VALUE"""),45673)</f>
        <v>45673</v>
      </c>
    </row>
    <row r="2603" spans="1:4" ht="13" x14ac:dyDescent="0.15">
      <c r="A2603" s="9">
        <f ca="1">IFERROR(__xludf.DUMMYFUNCTION("""COMPUTED_VALUE"""),287413627)</f>
        <v>287413627</v>
      </c>
      <c r="B2603" s="1" t="str">
        <f ca="1">IFERROR(__xludf.DUMMYFUNCTION("""COMPUTED_VALUE"""),"zaha@elbosily.com")</f>
        <v>zaha@elbosily.com</v>
      </c>
      <c r="C2603" s="9" t="str">
        <f ca="1">IFERROR(__xludf.DUMMYFUNCTION("""COMPUTED_VALUE"""),"EVERGREEN - UAN Gated Content - Embedded Petition")</f>
        <v>EVERGREEN - UAN Gated Content - Embedded Petition</v>
      </c>
      <c r="D2603" s="10">
        <f ca="1">IFERROR(__xludf.DUMMYFUNCTION("""COMPUTED_VALUE"""),45673)</f>
        <v>45673</v>
      </c>
    </row>
    <row r="2604" spans="1:4" ht="13" x14ac:dyDescent="0.15">
      <c r="A2604" s="9">
        <f ca="1">IFERROR(__xludf.DUMMYFUNCTION("""COMPUTED_VALUE"""),287414102)</f>
        <v>287414102</v>
      </c>
      <c r="B2604" s="1" t="str">
        <f ca="1">IFERROR(__xludf.DUMMYFUNCTION("""COMPUTED_VALUE"""),"carmen.depaz@gmail.com")</f>
        <v>carmen.depaz@gmail.com</v>
      </c>
      <c r="C2604" s="9" t="str">
        <f ca="1">IFERROR(__xludf.DUMMYFUNCTION("""COMPUTED_VALUE"""),"EVERGREEN - UAN Gated Content - Embedded Petition")</f>
        <v>EVERGREEN - UAN Gated Content - Embedded Petition</v>
      </c>
      <c r="D2604" s="10">
        <f ca="1">IFERROR(__xludf.DUMMYFUNCTION("""COMPUTED_VALUE"""),45673)</f>
        <v>45673</v>
      </c>
    </row>
    <row r="2605" spans="1:4" ht="13" x14ac:dyDescent="0.15">
      <c r="A2605" s="9">
        <f ca="1">IFERROR(__xludf.DUMMYFUNCTION("""COMPUTED_VALUE"""),287414102)</f>
        <v>287414102</v>
      </c>
      <c r="B2605" s="1" t="str">
        <f ca="1">IFERROR(__xludf.DUMMYFUNCTION("""COMPUTED_VALUE"""),"carmen.depaz@gmail.com")</f>
        <v>carmen.depaz@gmail.com</v>
      </c>
      <c r="C2605" s="9" t="str">
        <f ca="1">IFERROR(__xludf.DUMMYFUNCTION("""COMPUTED_VALUE"""),"EVERGREEN - UAN Gated Content - Embedded Petition")</f>
        <v>EVERGREEN - UAN Gated Content - Embedded Petition</v>
      </c>
      <c r="D2605" s="10">
        <f ca="1">IFERROR(__xludf.DUMMYFUNCTION("""COMPUTED_VALUE"""),45673)</f>
        <v>45673</v>
      </c>
    </row>
    <row r="2606" spans="1:4" ht="13" x14ac:dyDescent="0.15">
      <c r="A2606" s="9">
        <f ca="1">IFERROR(__xludf.DUMMYFUNCTION("""COMPUTED_VALUE"""),287414262)</f>
        <v>287414262</v>
      </c>
      <c r="B2606" s="1" t="str">
        <f ca="1">IFERROR(__xludf.DUMMYFUNCTION("""COMPUTED_VALUE"""),"joyhofer@shaw.ca")</f>
        <v>joyhofer@shaw.ca</v>
      </c>
      <c r="C2606" s="9" t="str">
        <f ca="1">IFERROR(__xludf.DUMMYFUNCTION("""COMPUTED_VALUE"""),"EVERGREEN - UAN Gated Content - Embedded Petition")</f>
        <v>EVERGREEN - UAN Gated Content - Embedded Petition</v>
      </c>
      <c r="D2606" s="10">
        <f ca="1">IFERROR(__xludf.DUMMYFUNCTION("""COMPUTED_VALUE"""),45673)</f>
        <v>45673</v>
      </c>
    </row>
    <row r="2607" spans="1:4" ht="13" x14ac:dyDescent="0.15">
      <c r="A2607" s="9">
        <f ca="1">IFERROR(__xludf.DUMMYFUNCTION("""COMPUTED_VALUE"""),287418247)</f>
        <v>287418247</v>
      </c>
      <c r="B2607" s="1" t="str">
        <f ca="1">IFERROR(__xludf.DUMMYFUNCTION("""COMPUTED_VALUE"""),"rght65@hotmail.com")</f>
        <v>rght65@hotmail.com</v>
      </c>
      <c r="C2607" s="9" t="str">
        <f ca="1">IFERROR(__xludf.DUMMYFUNCTION("""COMPUTED_VALUE"""),"EVERGREEN - UAN Gated Content - Embedded Petition")</f>
        <v>EVERGREEN - UAN Gated Content - Embedded Petition</v>
      </c>
      <c r="D2607" s="10">
        <f ca="1">IFERROR(__xludf.DUMMYFUNCTION("""COMPUTED_VALUE"""),45673)</f>
        <v>45673</v>
      </c>
    </row>
    <row r="2608" spans="1:4" ht="13" x14ac:dyDescent="0.15">
      <c r="A2608" s="9">
        <f ca="1">IFERROR(__xludf.DUMMYFUNCTION("""COMPUTED_VALUE"""),287421211)</f>
        <v>287421211</v>
      </c>
      <c r="B2608" s="1" t="str">
        <f ca="1">IFERROR(__xludf.DUMMYFUNCTION("""COMPUTED_VALUE"""),"borbollaraquel85@gmail.com")</f>
        <v>borbollaraquel85@gmail.com</v>
      </c>
      <c r="C2608" s="9" t="str">
        <f ca="1">IFERROR(__xludf.DUMMYFUNCTION("""COMPUTED_VALUE"""),"EVERGREEN - UAN Gated Content - Embedded Petition")</f>
        <v>EVERGREEN - UAN Gated Content - Embedded Petition</v>
      </c>
      <c r="D2608" s="10">
        <f ca="1">IFERROR(__xludf.DUMMYFUNCTION("""COMPUTED_VALUE"""),45673)</f>
        <v>45673</v>
      </c>
    </row>
    <row r="2609" spans="1:4" ht="13" x14ac:dyDescent="0.15">
      <c r="A2609" s="9">
        <f ca="1">IFERROR(__xludf.DUMMYFUNCTION("""COMPUTED_VALUE"""),287424256)</f>
        <v>287424256</v>
      </c>
      <c r="B2609" s="1" t="str">
        <f ca="1">IFERROR(__xludf.DUMMYFUNCTION("""COMPUTED_VALUE"""),"intofrench@frenchlink.com")</f>
        <v>intofrench@frenchlink.com</v>
      </c>
      <c r="C2609" s="9" t="str">
        <f ca="1">IFERROR(__xludf.DUMMYFUNCTION("""COMPUTED_VALUE"""),"EVERGREEN - UAN Gated Content - Embedded Petition")</f>
        <v>EVERGREEN - UAN Gated Content - Embedded Petition</v>
      </c>
      <c r="D2609" s="10">
        <f ca="1">IFERROR(__xludf.DUMMYFUNCTION("""COMPUTED_VALUE"""),45673)</f>
        <v>45673</v>
      </c>
    </row>
    <row r="2610" spans="1:4" ht="13" x14ac:dyDescent="0.15">
      <c r="A2610" s="9">
        <f ca="1">IFERROR(__xludf.DUMMYFUNCTION("""COMPUTED_VALUE"""),287427322)</f>
        <v>287427322</v>
      </c>
      <c r="B2610" s="1" t="str">
        <f ca="1">IFERROR(__xludf.DUMMYFUNCTION("""COMPUTED_VALUE"""),"lailahigazi@hotmail.com")</f>
        <v>lailahigazi@hotmail.com</v>
      </c>
      <c r="C2610" s="9" t="str">
        <f ca="1">IFERROR(__xludf.DUMMYFUNCTION("""COMPUTED_VALUE"""),"EVERGREEN - UAN Gated Content - Embedded Petition")</f>
        <v>EVERGREEN - UAN Gated Content - Embedded Petition</v>
      </c>
      <c r="D2610" s="10">
        <f ca="1">IFERROR(__xludf.DUMMYFUNCTION("""COMPUTED_VALUE"""),45674)</f>
        <v>45674</v>
      </c>
    </row>
    <row r="2611" spans="1:4" ht="13" x14ac:dyDescent="0.15">
      <c r="A2611" s="9">
        <f ca="1">IFERROR(__xludf.DUMMYFUNCTION("""COMPUTED_VALUE"""),287429944)</f>
        <v>287429944</v>
      </c>
      <c r="B2611" s="1" t="str">
        <f ca="1">IFERROR(__xludf.DUMMYFUNCTION("""COMPUTED_VALUE"""),"goodalldaisy96@gmail.com")</f>
        <v>goodalldaisy96@gmail.com</v>
      </c>
      <c r="C2611" s="9" t="str">
        <f ca="1">IFERROR(__xludf.DUMMYFUNCTION("""COMPUTED_VALUE"""),"EVERGREEN - UAN Gated Content - Embedded Petition")</f>
        <v>EVERGREEN - UAN Gated Content - Embedded Petition</v>
      </c>
      <c r="D2611" s="10">
        <f ca="1">IFERROR(__xludf.DUMMYFUNCTION("""COMPUTED_VALUE"""),45674)</f>
        <v>45674</v>
      </c>
    </row>
    <row r="2612" spans="1:4" ht="13" x14ac:dyDescent="0.15">
      <c r="A2612" s="9">
        <f ca="1">IFERROR(__xludf.DUMMYFUNCTION("""COMPUTED_VALUE"""),287437210)</f>
        <v>287437210</v>
      </c>
      <c r="B2612" s="1" t="str">
        <f ca="1">IFERROR(__xludf.DUMMYFUNCTION("""COMPUTED_VALUE"""),"melindiboschsnyman@gmail.com")</f>
        <v>melindiboschsnyman@gmail.com</v>
      </c>
      <c r="C2612" s="9" t="str">
        <f ca="1">IFERROR(__xludf.DUMMYFUNCTION("""COMPUTED_VALUE"""),"UAN mid-page Lightbox - Step 1 of 4 - Landing Page")</f>
        <v>UAN mid-page Lightbox - Step 1 of 4 - Landing Page</v>
      </c>
      <c r="D2612" s="10">
        <f ca="1">IFERROR(__xludf.DUMMYFUNCTION("""COMPUTED_VALUE"""),45674)</f>
        <v>45674</v>
      </c>
    </row>
    <row r="2613" spans="1:4" ht="13" x14ac:dyDescent="0.15">
      <c r="A2613" s="9">
        <f ca="1">IFERROR(__xludf.DUMMYFUNCTION("""COMPUTED_VALUE"""),287437210)</f>
        <v>287437210</v>
      </c>
      <c r="B2613" s="1" t="str">
        <f ca="1">IFERROR(__xludf.DUMMYFUNCTION("""COMPUTED_VALUE"""),"melindiboschsnyman@gmail.com")</f>
        <v>melindiboschsnyman@gmail.com</v>
      </c>
      <c r="C2613" s="9" t="str">
        <f ca="1">IFERROR(__xludf.DUMMYFUNCTION("""COMPUTED_VALUE"""),"UAN mid-page Lightbox - Step 2 of 4 - More personal info fields")</f>
        <v>UAN mid-page Lightbox - Step 2 of 4 - More personal info fields</v>
      </c>
      <c r="D2613" s="10">
        <f ca="1">IFERROR(__xludf.DUMMYFUNCTION("""COMPUTED_VALUE"""),45674)</f>
        <v>45674</v>
      </c>
    </row>
    <row r="2614" spans="1:4" ht="13" x14ac:dyDescent="0.15">
      <c r="A2614" s="9">
        <f ca="1">IFERROR(__xludf.DUMMYFUNCTION("""COMPUTED_VALUE"""),287437210)</f>
        <v>287437210</v>
      </c>
      <c r="B2614" s="1" t="str">
        <f ca="1">IFERROR(__xludf.DUMMYFUNCTION("""COMPUTED_VALUE"""),"melindiboschsnyman@gmail.com")</f>
        <v>melindiboschsnyman@gmail.com</v>
      </c>
      <c r="C2614" s="9" t="str">
        <f ca="1">IFERROR(__xludf.DUMMYFUNCTION("""COMPUTED_VALUE"""),"UAN mid-page Lightbox - Step 3 of 4 - More opt-ins")</f>
        <v>UAN mid-page Lightbox - Step 3 of 4 - More opt-ins</v>
      </c>
      <c r="D2614" s="10">
        <f ca="1">IFERROR(__xludf.DUMMYFUNCTION("""COMPUTED_VALUE"""),45674)</f>
        <v>45674</v>
      </c>
    </row>
    <row r="2615" spans="1:4" ht="13" x14ac:dyDescent="0.15">
      <c r="A2615" s="9">
        <f ca="1">IFERROR(__xludf.DUMMYFUNCTION("""COMPUTED_VALUE"""),287438386)</f>
        <v>287438386</v>
      </c>
      <c r="B2615" s="1" t="str">
        <f ca="1">IFERROR(__xludf.DUMMYFUNCTION("""COMPUTED_VALUE"""),"jonesbria97@gmail.com")</f>
        <v>jonesbria97@gmail.com</v>
      </c>
      <c r="C2615" s="9" t="str">
        <f ca="1">IFERROR(__xludf.DUMMYFUNCTION("""COMPUTED_VALUE"""),"EVERGREEN - UAN Gated Content - Embedded Petition")</f>
        <v>EVERGREEN - UAN Gated Content - Embedded Petition</v>
      </c>
      <c r="D2615" s="10">
        <f ca="1">IFERROR(__xludf.DUMMYFUNCTION("""COMPUTED_VALUE"""),45674)</f>
        <v>45674</v>
      </c>
    </row>
    <row r="2616" spans="1:4" ht="13" x14ac:dyDescent="0.15">
      <c r="A2616" s="9">
        <f ca="1">IFERROR(__xludf.DUMMYFUNCTION("""COMPUTED_VALUE"""),287447139)</f>
        <v>287447139</v>
      </c>
      <c r="B2616" s="1" t="str">
        <f ca="1">IFERROR(__xludf.DUMMYFUNCTION("""COMPUTED_VALUE"""),"bignmoneyoutofpolitics@gmail.com")</f>
        <v>bignmoneyoutofpolitics@gmail.com</v>
      </c>
      <c r="C2616" s="9" t="str">
        <f ca="1">IFERROR(__xludf.DUMMYFUNCTION("""COMPUTED_VALUE"""),"EVERGREEN - UAN Gated Content - Embedded Petition")</f>
        <v>EVERGREEN - UAN Gated Content - Embedded Petition</v>
      </c>
      <c r="D2616" s="10">
        <f ca="1">IFERROR(__xludf.DUMMYFUNCTION("""COMPUTED_VALUE"""),45675)</f>
        <v>45675</v>
      </c>
    </row>
    <row r="2617" spans="1:4" ht="13" x14ac:dyDescent="0.15">
      <c r="A2617" s="9">
        <f ca="1">IFERROR(__xludf.DUMMYFUNCTION("""COMPUTED_VALUE"""),287447139)</f>
        <v>287447139</v>
      </c>
      <c r="B2617" s="1" t="str">
        <f ca="1">IFERROR(__xludf.DUMMYFUNCTION("""COMPUTED_VALUE"""),"bignmoneyoutofpolitics@gmail.com")</f>
        <v>bignmoneyoutofpolitics@gmail.com</v>
      </c>
      <c r="C2617" s="9" t="str">
        <f ca="1">IFERROR(__xludf.DUMMYFUNCTION("""COMPUTED_VALUE"""),"EVERGREEN - UAN Gated Content - Embedded Petition")</f>
        <v>EVERGREEN - UAN Gated Content - Embedded Petition</v>
      </c>
      <c r="D2617" s="10">
        <f ca="1">IFERROR(__xludf.DUMMYFUNCTION("""COMPUTED_VALUE"""),45675)</f>
        <v>45675</v>
      </c>
    </row>
    <row r="2618" spans="1:4" ht="13" x14ac:dyDescent="0.15">
      <c r="A2618" s="9">
        <f ca="1">IFERROR(__xludf.DUMMYFUNCTION("""COMPUTED_VALUE"""),287452560)</f>
        <v>287452560</v>
      </c>
      <c r="B2618" s="1" t="str">
        <f ca="1">IFERROR(__xludf.DUMMYFUNCTION("""COMPUTED_VALUE"""),"cmlawrence@protonmail.com")</f>
        <v>cmlawrence@protonmail.com</v>
      </c>
      <c r="C2618" s="9" t="str">
        <f ca="1">IFERROR(__xludf.DUMMYFUNCTION("""COMPUTED_VALUE"""),"EVERGREEN - UAN Gated Content - Embedded Petition")</f>
        <v>EVERGREEN - UAN Gated Content - Embedded Petition</v>
      </c>
      <c r="D2618" s="10">
        <f ca="1">IFERROR(__xludf.DUMMYFUNCTION("""COMPUTED_VALUE"""),45675)</f>
        <v>45675</v>
      </c>
    </row>
    <row r="2619" spans="1:4" ht="13" x14ac:dyDescent="0.15">
      <c r="A2619" s="9">
        <f ca="1">IFERROR(__xludf.DUMMYFUNCTION("""COMPUTED_VALUE"""),287452560)</f>
        <v>287452560</v>
      </c>
      <c r="B2619" s="1" t="str">
        <f ca="1">IFERROR(__xludf.DUMMYFUNCTION("""COMPUTED_VALUE"""),"cmlawrence@protonmail.com")</f>
        <v>cmlawrence@protonmail.com</v>
      </c>
      <c r="C2619" s="9" t="str">
        <f ca="1">IFERROR(__xludf.DUMMYFUNCTION("""COMPUTED_VALUE"""),"EVERGREEN - UAN Gated Content - Embedded Petition")</f>
        <v>EVERGREEN - UAN Gated Content - Embedded Petition</v>
      </c>
      <c r="D2619" s="10">
        <f ca="1">IFERROR(__xludf.DUMMYFUNCTION("""COMPUTED_VALUE"""),45675)</f>
        <v>45675</v>
      </c>
    </row>
    <row r="2620" spans="1:4" ht="13" x14ac:dyDescent="0.15">
      <c r="A2620" s="9">
        <f ca="1">IFERROR(__xludf.DUMMYFUNCTION("""COMPUTED_VALUE"""),287452560)</f>
        <v>287452560</v>
      </c>
      <c r="B2620" s="1" t="str">
        <f ca="1">IFERROR(__xludf.DUMMYFUNCTION("""COMPUTED_VALUE"""),"cmlawrence@protonmail.com")</f>
        <v>cmlawrence@protonmail.com</v>
      </c>
      <c r="C2620" s="9" t="str">
        <f ca="1">IFERROR(__xludf.DUMMYFUNCTION("""COMPUTED_VALUE"""),"EVERGREEN - UAN Gated Content - Embedded Petition")</f>
        <v>EVERGREEN - UAN Gated Content - Embedded Petition</v>
      </c>
      <c r="D2620" s="10">
        <f ca="1">IFERROR(__xludf.DUMMYFUNCTION("""COMPUTED_VALUE"""),45675)</f>
        <v>45675</v>
      </c>
    </row>
    <row r="2621" spans="1:4" ht="13" x14ac:dyDescent="0.15">
      <c r="A2621" s="9">
        <f ca="1">IFERROR(__xludf.DUMMYFUNCTION("""COMPUTED_VALUE"""),287452560)</f>
        <v>287452560</v>
      </c>
      <c r="B2621" s="1" t="str">
        <f ca="1">IFERROR(__xludf.DUMMYFUNCTION("""COMPUTED_VALUE"""),"cmlawrence@protonmail.com")</f>
        <v>cmlawrence@protonmail.com</v>
      </c>
      <c r="C2621" s="9" t="str">
        <f ca="1">IFERROR(__xludf.DUMMYFUNCTION("""COMPUTED_VALUE"""),"EVERGREEN - UAN Gated Content - Embedded Petition")</f>
        <v>EVERGREEN - UAN Gated Content - Embedded Petition</v>
      </c>
      <c r="D2621" s="10">
        <f ca="1">IFERROR(__xludf.DUMMYFUNCTION("""COMPUTED_VALUE"""),45675)</f>
        <v>45675</v>
      </c>
    </row>
    <row r="2622" spans="1:4" ht="13" x14ac:dyDescent="0.15">
      <c r="A2622" s="9">
        <f ca="1">IFERROR(__xludf.DUMMYFUNCTION("""COMPUTED_VALUE"""),287452560)</f>
        <v>287452560</v>
      </c>
      <c r="B2622" s="1" t="str">
        <f ca="1">IFERROR(__xludf.DUMMYFUNCTION("""COMPUTED_VALUE"""),"cmlawrence@protonmail.com")</f>
        <v>cmlawrence@protonmail.com</v>
      </c>
      <c r="C2622" s="9" t="str">
        <f ca="1">IFERROR(__xludf.DUMMYFUNCTION("""COMPUTED_VALUE"""),"EVERGREEN - UAN Gated Content - Embedded Petition")</f>
        <v>EVERGREEN - UAN Gated Content - Embedded Petition</v>
      </c>
      <c r="D2622" s="10">
        <f ca="1">IFERROR(__xludf.DUMMYFUNCTION("""COMPUTED_VALUE"""),45675)</f>
        <v>45675</v>
      </c>
    </row>
    <row r="2623" spans="1:4" ht="13" x14ac:dyDescent="0.15">
      <c r="A2623" s="9">
        <f ca="1">IFERROR(__xludf.DUMMYFUNCTION("""COMPUTED_VALUE"""),287452560)</f>
        <v>287452560</v>
      </c>
      <c r="B2623" s="1" t="str">
        <f ca="1">IFERROR(__xludf.DUMMYFUNCTION("""COMPUTED_VALUE"""),"cmlawrence@protonmail.com")</f>
        <v>cmlawrence@protonmail.com</v>
      </c>
      <c r="C2623" s="9" t="str">
        <f ca="1">IFERROR(__xludf.DUMMYFUNCTION("""COMPUTED_VALUE"""),"EVERGREEN - UAN Gated Content - Embedded Petition")</f>
        <v>EVERGREEN - UAN Gated Content - Embedded Petition</v>
      </c>
      <c r="D2623" s="10">
        <f ca="1">IFERROR(__xludf.DUMMYFUNCTION("""COMPUTED_VALUE"""),45694)</f>
        <v>45694</v>
      </c>
    </row>
    <row r="2624" spans="1:4" ht="13" x14ac:dyDescent="0.15">
      <c r="A2624" s="9">
        <f ca="1">IFERROR(__xludf.DUMMYFUNCTION("""COMPUTED_VALUE"""),287452560)</f>
        <v>287452560</v>
      </c>
      <c r="B2624" s="1" t="str">
        <f ca="1">IFERROR(__xludf.DUMMYFUNCTION("""COMPUTED_VALUE"""),"cmlawrence@protonmail.com")</f>
        <v>cmlawrence@protonmail.com</v>
      </c>
      <c r="C2624" s="9" t="str">
        <f ca="1">IFERROR(__xludf.DUMMYFUNCTION("""COMPUTED_VALUE"""),"EVERGREEN - UAN Gated Content - Embedded Petition")</f>
        <v>EVERGREEN - UAN Gated Content - Embedded Petition</v>
      </c>
      <c r="D2624" s="10">
        <f ca="1">IFERROR(__xludf.DUMMYFUNCTION("""COMPUTED_VALUE"""),45675)</f>
        <v>45675</v>
      </c>
    </row>
    <row r="2625" spans="1:4" ht="13" x14ac:dyDescent="0.15">
      <c r="A2625" s="9">
        <f ca="1">IFERROR(__xludf.DUMMYFUNCTION("""COMPUTED_VALUE"""),287452560)</f>
        <v>287452560</v>
      </c>
      <c r="B2625" s="1" t="str">
        <f ca="1">IFERROR(__xludf.DUMMYFUNCTION("""COMPUTED_VALUE"""),"cmlawrence@protonmail.com")</f>
        <v>cmlawrence@protonmail.com</v>
      </c>
      <c r="C2625" s="9" t="str">
        <f ca="1">IFERROR(__xludf.DUMMYFUNCTION("""COMPUTED_VALUE"""),"EVERGREEN - UAN Gated Content - Embedded Petition")</f>
        <v>EVERGREEN - UAN Gated Content - Embedded Petition</v>
      </c>
      <c r="D2625" s="10">
        <f ca="1">IFERROR(__xludf.DUMMYFUNCTION("""COMPUTED_VALUE"""),45675)</f>
        <v>45675</v>
      </c>
    </row>
    <row r="2626" spans="1:4" ht="13" x14ac:dyDescent="0.15">
      <c r="A2626" s="9">
        <f ca="1">IFERROR(__xludf.DUMMYFUNCTION("""COMPUTED_VALUE"""),287452560)</f>
        <v>287452560</v>
      </c>
      <c r="B2626" s="1" t="str">
        <f ca="1">IFERROR(__xludf.DUMMYFUNCTION("""COMPUTED_VALUE"""),"cmlawrence@protonmail.com")</f>
        <v>cmlawrence@protonmail.com</v>
      </c>
      <c r="C2626" s="9" t="str">
        <f ca="1">IFERROR(__xludf.DUMMYFUNCTION("""COMPUTED_VALUE"""),"EVERGREEN - UAN Gated Content - Embedded Petition")</f>
        <v>EVERGREEN - UAN Gated Content - Embedded Petition</v>
      </c>
      <c r="D2626" s="10">
        <f ca="1">IFERROR(__xludf.DUMMYFUNCTION("""COMPUTED_VALUE"""),45675)</f>
        <v>45675</v>
      </c>
    </row>
    <row r="2627" spans="1:4" ht="13" x14ac:dyDescent="0.15">
      <c r="A2627" s="9">
        <f ca="1">IFERROR(__xludf.DUMMYFUNCTION("""COMPUTED_VALUE"""),287453934)</f>
        <v>287453934</v>
      </c>
      <c r="B2627" s="1" t="str">
        <f ca="1">IFERROR(__xludf.DUMMYFUNCTION("""COMPUTED_VALUE"""),"dunya@gmail.com")</f>
        <v>dunya@gmail.com</v>
      </c>
      <c r="C2627" s="9" t="str">
        <f ca="1">IFERROR(__xludf.DUMMYFUNCTION("""COMPUTED_VALUE"""),"EVERGREEN - UAN Gated Content - Embedded Petition")</f>
        <v>EVERGREEN - UAN Gated Content - Embedded Petition</v>
      </c>
      <c r="D2627" s="10">
        <f ca="1">IFERROR(__xludf.DUMMYFUNCTION("""COMPUTED_VALUE"""),45675)</f>
        <v>45675</v>
      </c>
    </row>
    <row r="2628" spans="1:4" ht="13" x14ac:dyDescent="0.15">
      <c r="A2628" s="9">
        <f ca="1">IFERROR(__xludf.DUMMYFUNCTION("""COMPUTED_VALUE"""),287454170)</f>
        <v>287454170</v>
      </c>
      <c r="B2628" s="1" t="str">
        <f ca="1">IFERROR(__xludf.DUMMYFUNCTION("""COMPUTED_VALUE"""),"snub.legatos-2d@icloud.com")</f>
        <v>snub.legatos-2d@icloud.com</v>
      </c>
      <c r="C2628" s="9" t="str">
        <f ca="1">IFERROR(__xludf.DUMMYFUNCTION("""COMPUTED_VALUE"""),"EVERGREEN - UAN Gated Content - Embedded Petition")</f>
        <v>EVERGREEN - UAN Gated Content - Embedded Petition</v>
      </c>
      <c r="D2628" s="10">
        <f ca="1">IFERROR(__xludf.DUMMYFUNCTION("""COMPUTED_VALUE"""),45680)</f>
        <v>45680</v>
      </c>
    </row>
    <row r="2629" spans="1:4" ht="13" x14ac:dyDescent="0.15">
      <c r="A2629" s="9">
        <f ca="1">IFERROR(__xludf.DUMMYFUNCTION("""COMPUTED_VALUE"""),287456644)</f>
        <v>287456644</v>
      </c>
      <c r="B2629" s="1" t="str">
        <f ca="1">IFERROR(__xludf.DUMMYFUNCTION("""COMPUTED_VALUE"""),"hspontak@yahoo.com")</f>
        <v>hspontak@yahoo.com</v>
      </c>
      <c r="C2629" s="9" t="str">
        <f ca="1">IFERROR(__xludf.DUMMYFUNCTION("""COMPUTED_VALUE"""),"EVERGREEN - UAN Gated Content - Embedded Petition")</f>
        <v>EVERGREEN - UAN Gated Content - Embedded Petition</v>
      </c>
      <c r="D2629" s="10">
        <f ca="1">IFERROR(__xludf.DUMMYFUNCTION("""COMPUTED_VALUE"""),45675)</f>
        <v>45675</v>
      </c>
    </row>
    <row r="2630" spans="1:4" ht="13" x14ac:dyDescent="0.15">
      <c r="A2630" s="9">
        <f ca="1">IFERROR(__xludf.DUMMYFUNCTION("""COMPUTED_VALUE"""),287502358)</f>
        <v>287502358</v>
      </c>
      <c r="B2630" s="1" t="str">
        <f ca="1">IFERROR(__xludf.DUMMYFUNCTION("""COMPUTED_VALUE"""),"kirymurray@gmail.com")</f>
        <v>kirymurray@gmail.com</v>
      </c>
      <c r="C2630" s="9" t="str">
        <f ca="1">IFERROR(__xludf.DUMMYFUNCTION("""COMPUTED_VALUE"""),"UAN mid-page Lightbox - Step 1 of 4 - Landing Page")</f>
        <v>UAN mid-page Lightbox - Step 1 of 4 - Landing Page</v>
      </c>
      <c r="D2630" s="10">
        <f ca="1">IFERROR(__xludf.DUMMYFUNCTION("""COMPUTED_VALUE"""),45676)</f>
        <v>45676</v>
      </c>
    </row>
    <row r="2631" spans="1:4" ht="13" x14ac:dyDescent="0.15">
      <c r="A2631" s="9">
        <f ca="1">IFERROR(__xludf.DUMMYFUNCTION("""COMPUTED_VALUE"""),287502358)</f>
        <v>287502358</v>
      </c>
      <c r="B2631" s="1" t="str">
        <f ca="1">IFERROR(__xludf.DUMMYFUNCTION("""COMPUTED_VALUE"""),"kirymurray@gmail.com")</f>
        <v>kirymurray@gmail.com</v>
      </c>
      <c r="C2631" s="9" t="str">
        <f ca="1">IFERROR(__xludf.DUMMYFUNCTION("""COMPUTED_VALUE"""),"UAN mid-page Lightbox - Step 2 of 4 - More personal info fields")</f>
        <v>UAN mid-page Lightbox - Step 2 of 4 - More personal info fields</v>
      </c>
      <c r="D2631" s="10">
        <f ca="1">IFERROR(__xludf.DUMMYFUNCTION("""COMPUTED_VALUE"""),45676)</f>
        <v>45676</v>
      </c>
    </row>
    <row r="2632" spans="1:4" ht="13" x14ac:dyDescent="0.15">
      <c r="A2632" s="9">
        <f ca="1">IFERROR(__xludf.DUMMYFUNCTION("""COMPUTED_VALUE"""),287502358)</f>
        <v>287502358</v>
      </c>
      <c r="B2632" s="1" t="str">
        <f ca="1">IFERROR(__xludf.DUMMYFUNCTION("""COMPUTED_VALUE"""),"kirymurray@gmail.com")</f>
        <v>kirymurray@gmail.com</v>
      </c>
      <c r="C2632" s="9" t="str">
        <f ca="1">IFERROR(__xludf.DUMMYFUNCTION("""COMPUTED_VALUE"""),"UAN mid-page Lightbox - Step 3 of 4 - More opt-ins")</f>
        <v>UAN mid-page Lightbox - Step 3 of 4 - More opt-ins</v>
      </c>
      <c r="D2632" s="10">
        <f ca="1">IFERROR(__xludf.DUMMYFUNCTION("""COMPUTED_VALUE"""),45676)</f>
        <v>45676</v>
      </c>
    </row>
    <row r="2633" spans="1:4" ht="13" x14ac:dyDescent="0.15">
      <c r="A2633" s="9">
        <f ca="1">IFERROR(__xludf.DUMMYFUNCTION("""COMPUTED_VALUE"""),287516414)</f>
        <v>287516414</v>
      </c>
      <c r="B2633" s="1" t="str">
        <f ca="1">IFERROR(__xludf.DUMMYFUNCTION("""COMPUTED_VALUE"""),"rinconmezangelica@gmail.com")</f>
        <v>rinconmezangelica@gmail.com</v>
      </c>
      <c r="C2633" s="9" t="str">
        <f ca="1">IFERROR(__xludf.DUMMYFUNCTION("""COMPUTED_VALUE"""),"EVERGREEN - UAN Gated Content - Embedded Petition")</f>
        <v>EVERGREEN - UAN Gated Content - Embedded Petition</v>
      </c>
      <c r="D2633" s="10">
        <f ca="1">IFERROR(__xludf.DUMMYFUNCTION("""COMPUTED_VALUE"""),45676)</f>
        <v>45676</v>
      </c>
    </row>
    <row r="2634" spans="1:4" ht="13" x14ac:dyDescent="0.15">
      <c r="A2634" s="9">
        <f ca="1">IFERROR(__xludf.DUMMYFUNCTION("""COMPUTED_VALUE"""),287532846)</f>
        <v>287532846</v>
      </c>
      <c r="B2634" s="1" t="str">
        <f ca="1">IFERROR(__xludf.DUMMYFUNCTION("""COMPUTED_VALUE"""),"rafaelvolpi@gmail.com")</f>
        <v>rafaelvolpi@gmail.com</v>
      </c>
      <c r="C2634" s="9" t="str">
        <f ca="1">IFERROR(__xludf.DUMMYFUNCTION("""COMPUTED_VALUE"""),"EVERGREEN - UAN Gated Content - Embedded Petition")</f>
        <v>EVERGREEN - UAN Gated Content - Embedded Petition</v>
      </c>
      <c r="D2634" s="10">
        <f ca="1">IFERROR(__xludf.DUMMYFUNCTION("""COMPUTED_VALUE"""),45677)</f>
        <v>45677</v>
      </c>
    </row>
    <row r="2635" spans="1:4" ht="13" x14ac:dyDescent="0.15">
      <c r="A2635" s="9">
        <f ca="1">IFERROR(__xludf.DUMMYFUNCTION("""COMPUTED_VALUE"""),287532846)</f>
        <v>287532846</v>
      </c>
      <c r="B2635" s="1" t="str">
        <f ca="1">IFERROR(__xludf.DUMMYFUNCTION("""COMPUTED_VALUE"""),"rafaelvolpi@gmail.com")</f>
        <v>rafaelvolpi@gmail.com</v>
      </c>
      <c r="C2635" s="9" t="str">
        <f ca="1">IFERROR(__xludf.DUMMYFUNCTION("""COMPUTED_VALUE"""),"EVERGREEN - UAN Gated Content - Embedded Petition")</f>
        <v>EVERGREEN - UAN Gated Content - Embedded Petition</v>
      </c>
      <c r="D2635" s="10">
        <f ca="1">IFERROR(__xludf.DUMMYFUNCTION("""COMPUTED_VALUE"""),45677)</f>
        <v>45677</v>
      </c>
    </row>
    <row r="2636" spans="1:4" ht="13" x14ac:dyDescent="0.15">
      <c r="A2636" s="9">
        <f ca="1">IFERROR(__xludf.DUMMYFUNCTION("""COMPUTED_VALUE"""),287535440)</f>
        <v>287535440</v>
      </c>
      <c r="B2636" s="1" t="str">
        <f ca="1">IFERROR(__xludf.DUMMYFUNCTION("""COMPUTED_VALUE"""),"kfeifer@gmail.com")</f>
        <v>kfeifer@gmail.com</v>
      </c>
      <c r="C2636" s="9" t="str">
        <f ca="1">IFERROR(__xludf.DUMMYFUNCTION("""COMPUTED_VALUE"""),"EVERGREEN - UAN Gated Content - Embedded Petition")</f>
        <v>EVERGREEN - UAN Gated Content - Embedded Petition</v>
      </c>
      <c r="D2636" s="10">
        <f ca="1">IFERROR(__xludf.DUMMYFUNCTION("""COMPUTED_VALUE"""),45677)</f>
        <v>45677</v>
      </c>
    </row>
    <row r="2637" spans="1:4" ht="13" x14ac:dyDescent="0.15">
      <c r="A2637" s="9">
        <f ca="1">IFERROR(__xludf.DUMMYFUNCTION("""COMPUTED_VALUE"""),287535440)</f>
        <v>287535440</v>
      </c>
      <c r="B2637" s="1" t="str">
        <f ca="1">IFERROR(__xludf.DUMMYFUNCTION("""COMPUTED_VALUE"""),"kfeifer@gmail.com")</f>
        <v>kfeifer@gmail.com</v>
      </c>
      <c r="C2637" s="9" t="str">
        <f ca="1">IFERROR(__xludf.DUMMYFUNCTION("""COMPUTED_VALUE"""),"EVERGREEN - UAN Gated Content - Embedded Petition")</f>
        <v>EVERGREEN - UAN Gated Content - Embedded Petition</v>
      </c>
      <c r="D2637" s="10">
        <f ca="1">IFERROR(__xludf.DUMMYFUNCTION("""COMPUTED_VALUE"""),45681)</f>
        <v>45681</v>
      </c>
    </row>
    <row r="2638" spans="1:4" ht="13" x14ac:dyDescent="0.15">
      <c r="A2638" s="9">
        <f ca="1">IFERROR(__xludf.DUMMYFUNCTION("""COMPUTED_VALUE"""),287535440)</f>
        <v>287535440</v>
      </c>
      <c r="B2638" s="1" t="str">
        <f ca="1">IFERROR(__xludf.DUMMYFUNCTION("""COMPUTED_VALUE"""),"kfeifer@gmail.com")</f>
        <v>kfeifer@gmail.com</v>
      </c>
      <c r="C2638" s="9" t="str">
        <f ca="1">IFERROR(__xludf.DUMMYFUNCTION("""COMPUTED_VALUE"""),"EVERGREEN - UAN Gated Content - Embedded Petition")</f>
        <v>EVERGREEN - UAN Gated Content - Embedded Petition</v>
      </c>
      <c r="D2638" s="10">
        <f ca="1">IFERROR(__xludf.DUMMYFUNCTION("""COMPUTED_VALUE"""),45682)</f>
        <v>45682</v>
      </c>
    </row>
    <row r="2639" spans="1:4" ht="13" x14ac:dyDescent="0.15">
      <c r="A2639" s="9">
        <f ca="1">IFERROR(__xludf.DUMMYFUNCTION("""COMPUTED_VALUE"""),287535757)</f>
        <v>287535757</v>
      </c>
      <c r="B2639" s="1" t="str">
        <f ca="1">IFERROR(__xludf.DUMMYFUNCTION("""COMPUTED_VALUE"""),"laurenlkowalis@gmail.com")</f>
        <v>laurenlkowalis@gmail.com</v>
      </c>
      <c r="C2639" s="9" t="str">
        <f ca="1">IFERROR(__xludf.DUMMYFUNCTION("""COMPUTED_VALUE"""),"EVERGREEN - UAN Gated Content - Embedded Petition")</f>
        <v>EVERGREEN - UAN Gated Content - Embedded Petition</v>
      </c>
      <c r="D2639" s="10">
        <f ca="1">IFERROR(__xludf.DUMMYFUNCTION("""COMPUTED_VALUE"""),45693)</f>
        <v>45693</v>
      </c>
    </row>
    <row r="2640" spans="1:4" ht="13" x14ac:dyDescent="0.15">
      <c r="A2640" s="9">
        <f ca="1">IFERROR(__xludf.DUMMYFUNCTION("""COMPUTED_VALUE"""),287535757)</f>
        <v>287535757</v>
      </c>
      <c r="B2640" s="1" t="str">
        <f ca="1">IFERROR(__xludf.DUMMYFUNCTION("""COMPUTED_VALUE"""),"laurenlkowalis@gmail.com")</f>
        <v>laurenlkowalis@gmail.com</v>
      </c>
      <c r="C2640" s="9" t="str">
        <f ca="1">IFERROR(__xludf.DUMMYFUNCTION("""COMPUTED_VALUE"""),"EVERGREEN - Website Email Capture Form - UAN Pre-Footer")</f>
        <v>EVERGREEN - Website Email Capture Form - UAN Pre-Footer</v>
      </c>
      <c r="D2640" s="10">
        <f ca="1">IFERROR(__xludf.DUMMYFUNCTION("""COMPUTED_VALUE"""),45693)</f>
        <v>45693</v>
      </c>
    </row>
    <row r="2641" spans="1:4" ht="13" x14ac:dyDescent="0.15">
      <c r="A2641" s="9">
        <f ca="1">IFERROR(__xludf.DUMMYFUNCTION("""COMPUTED_VALUE"""),287537353)</f>
        <v>287537353</v>
      </c>
      <c r="B2641" s="1" t="str">
        <f ca="1">IFERROR(__xludf.DUMMYFUNCTION("""COMPUTED_VALUE"""),"amyenoyes@gmail.com")</f>
        <v>amyenoyes@gmail.com</v>
      </c>
      <c r="C2641" s="9" t="str">
        <f ca="1">IFERROR(__xludf.DUMMYFUNCTION("""COMPUTED_VALUE"""),"UAN mid-page Lightbox - Step 1 of 4 - Landing Page")</f>
        <v>UAN mid-page Lightbox - Step 1 of 4 - Landing Page</v>
      </c>
      <c r="D2641" s="10">
        <f ca="1">IFERROR(__xludf.DUMMYFUNCTION("""COMPUTED_VALUE"""),45677)</f>
        <v>45677</v>
      </c>
    </row>
    <row r="2642" spans="1:4" ht="13" x14ac:dyDescent="0.15">
      <c r="A2642" s="9">
        <f ca="1">IFERROR(__xludf.DUMMYFUNCTION("""COMPUTED_VALUE"""),287537353)</f>
        <v>287537353</v>
      </c>
      <c r="B2642" s="1" t="str">
        <f ca="1">IFERROR(__xludf.DUMMYFUNCTION("""COMPUTED_VALUE"""),"amyenoyes@gmail.com")</f>
        <v>amyenoyes@gmail.com</v>
      </c>
      <c r="C2642" s="9" t="str">
        <f ca="1">IFERROR(__xludf.DUMMYFUNCTION("""COMPUTED_VALUE"""),"UAN mid-page Lightbox - Step 2 of 4 - More personal info fields")</f>
        <v>UAN mid-page Lightbox - Step 2 of 4 - More personal info fields</v>
      </c>
      <c r="D2642" s="10">
        <f ca="1">IFERROR(__xludf.DUMMYFUNCTION("""COMPUTED_VALUE"""),45677)</f>
        <v>45677</v>
      </c>
    </row>
    <row r="2643" spans="1:4" ht="13" x14ac:dyDescent="0.15">
      <c r="A2643" s="9">
        <f ca="1">IFERROR(__xludf.DUMMYFUNCTION("""COMPUTED_VALUE"""),287537353)</f>
        <v>287537353</v>
      </c>
      <c r="B2643" s="1" t="str">
        <f ca="1">IFERROR(__xludf.DUMMYFUNCTION("""COMPUTED_VALUE"""),"amyenoyes@gmail.com")</f>
        <v>amyenoyes@gmail.com</v>
      </c>
      <c r="C2643" s="9" t="str">
        <f ca="1">IFERROR(__xludf.DUMMYFUNCTION("""COMPUTED_VALUE"""),"UAN mid-page Lightbox - Step 3 of 4 - More opt-ins")</f>
        <v>UAN mid-page Lightbox - Step 3 of 4 - More opt-ins</v>
      </c>
      <c r="D2643" s="10">
        <f ca="1">IFERROR(__xludf.DUMMYFUNCTION("""COMPUTED_VALUE"""),45677)</f>
        <v>45677</v>
      </c>
    </row>
    <row r="2644" spans="1:4" ht="13" x14ac:dyDescent="0.15">
      <c r="A2644" s="9">
        <f ca="1">IFERROR(__xludf.DUMMYFUNCTION("""COMPUTED_VALUE"""),287552333)</f>
        <v>287552333</v>
      </c>
      <c r="B2644" s="1" t="str">
        <f ca="1">IFERROR(__xludf.DUMMYFUNCTION("""COMPUTED_VALUE"""),"aibannedbooksweekaction@gmail.com")</f>
        <v>aibannedbooksweekaction@gmail.com</v>
      </c>
      <c r="C2644" s="9" t="str">
        <f ca="1">IFERROR(__xludf.DUMMYFUNCTION("""COMPUTED_VALUE"""),"EVERGREEN - UAN Gated Content - Embedded Petition")</f>
        <v>EVERGREEN - UAN Gated Content - Embedded Petition</v>
      </c>
      <c r="D2644" s="10">
        <f ca="1">IFERROR(__xludf.DUMMYFUNCTION("""COMPUTED_VALUE"""),45678)</f>
        <v>45678</v>
      </c>
    </row>
    <row r="2645" spans="1:4" ht="13" x14ac:dyDescent="0.15">
      <c r="A2645" s="9">
        <f ca="1">IFERROR(__xludf.DUMMYFUNCTION("""COMPUTED_VALUE"""),287563319)</f>
        <v>287563319</v>
      </c>
      <c r="B2645" s="1" t="str">
        <f ca="1">IFERROR(__xludf.DUMMYFUNCTION("""COMPUTED_VALUE"""),"nswords1817@gmail.com")</f>
        <v>nswords1817@gmail.com</v>
      </c>
      <c r="C2645" s="9" t="str">
        <f ca="1">IFERROR(__xludf.DUMMYFUNCTION("""COMPUTED_VALUE"""),"EVERGREEN - UAN Gated Content - Embedded Petition")</f>
        <v>EVERGREEN - UAN Gated Content - Embedded Petition</v>
      </c>
      <c r="D2645" s="10">
        <f ca="1">IFERROR(__xludf.DUMMYFUNCTION("""COMPUTED_VALUE"""),45678)</f>
        <v>45678</v>
      </c>
    </row>
    <row r="2646" spans="1:4" ht="13" x14ac:dyDescent="0.15">
      <c r="A2646" s="9">
        <f ca="1">IFERROR(__xludf.DUMMYFUNCTION("""COMPUTED_VALUE"""),287563721)</f>
        <v>287563721</v>
      </c>
      <c r="B2646" s="1" t="str">
        <f ca="1">IFERROR(__xludf.DUMMYFUNCTION("""COMPUTED_VALUE"""),"whitefoxsociamedia@gmail.com")</f>
        <v>whitefoxsociamedia@gmail.com</v>
      </c>
      <c r="C2646" s="9" t="str">
        <f ca="1">IFERROR(__xludf.DUMMYFUNCTION("""COMPUTED_VALUE"""),"EVERGREEN - UAN Gated Content - Embedded Petition")</f>
        <v>EVERGREEN - UAN Gated Content - Embedded Petition</v>
      </c>
      <c r="D2646" s="10">
        <f ca="1">IFERROR(__xludf.DUMMYFUNCTION("""COMPUTED_VALUE"""),45678)</f>
        <v>45678</v>
      </c>
    </row>
    <row r="2647" spans="1:4" ht="13" x14ac:dyDescent="0.15">
      <c r="A2647" s="9">
        <f ca="1">IFERROR(__xludf.DUMMYFUNCTION("""COMPUTED_VALUE"""),287590138)</f>
        <v>287590138</v>
      </c>
      <c r="B2647" s="1" t="str">
        <f ca="1">IFERROR(__xludf.DUMMYFUNCTION("""COMPUTED_VALUE"""),"valerieosagie92@gmail.com")</f>
        <v>valerieosagie92@gmail.com</v>
      </c>
      <c r="C2647" s="9" t="str">
        <f ca="1">IFERROR(__xludf.DUMMYFUNCTION("""COMPUTED_VALUE"""),"EVERGREEN - UAN Gated Content - Embedded Petition")</f>
        <v>EVERGREEN - UAN Gated Content - Embedded Petition</v>
      </c>
      <c r="D2647" s="10">
        <f ca="1">IFERROR(__xludf.DUMMYFUNCTION("""COMPUTED_VALUE"""),45680)</f>
        <v>45680</v>
      </c>
    </row>
    <row r="2648" spans="1:4" ht="13" x14ac:dyDescent="0.15">
      <c r="A2648" s="9">
        <f ca="1">IFERROR(__xludf.DUMMYFUNCTION("""COMPUTED_VALUE"""),287602904)</f>
        <v>287602904</v>
      </c>
      <c r="B2648" s="1" t="str">
        <f ca="1">IFERROR(__xludf.DUMMYFUNCTION("""COMPUTED_VALUE"""),"nidra.ellis@gmail.com")</f>
        <v>nidra.ellis@gmail.com</v>
      </c>
      <c r="C2648" s="9" t="str">
        <f ca="1">IFERROR(__xludf.DUMMYFUNCTION("""COMPUTED_VALUE"""),"EVERGREEN - UAN Gated Content - Embedded Petition")</f>
        <v>EVERGREEN - UAN Gated Content - Embedded Petition</v>
      </c>
      <c r="D2648" s="10">
        <f ca="1">IFERROR(__xludf.DUMMYFUNCTION("""COMPUTED_VALUE"""),45680)</f>
        <v>45680</v>
      </c>
    </row>
    <row r="2649" spans="1:4" ht="13" x14ac:dyDescent="0.15">
      <c r="A2649" s="9">
        <f ca="1">IFERROR(__xludf.DUMMYFUNCTION("""COMPUTED_VALUE"""),287623413)</f>
        <v>287623413</v>
      </c>
      <c r="B2649" s="1" t="str">
        <f ca="1">IFERROR(__xludf.DUMMYFUNCTION("""COMPUTED_VALUE"""),"klcolaric@gmail.com")</f>
        <v>klcolaric@gmail.com</v>
      </c>
      <c r="C2649" s="9" t="str">
        <f ca="1">IFERROR(__xludf.DUMMYFUNCTION("""COMPUTED_VALUE"""),"EVERGREEN - UAN Gated Content - Embedded Petition")</f>
        <v>EVERGREEN - UAN Gated Content - Embedded Petition</v>
      </c>
      <c r="D2649" s="10">
        <f ca="1">IFERROR(__xludf.DUMMYFUNCTION("""COMPUTED_VALUE"""),45683)</f>
        <v>45683</v>
      </c>
    </row>
    <row r="2650" spans="1:4" ht="13" x14ac:dyDescent="0.15">
      <c r="A2650" s="9">
        <f ca="1">IFERROR(__xludf.DUMMYFUNCTION("""COMPUTED_VALUE"""),287623670)</f>
        <v>287623670</v>
      </c>
      <c r="B2650" s="1" t="str">
        <f ca="1">IFERROR(__xludf.DUMMYFUNCTION("""COMPUTED_VALUE"""),"amandakatherine79@gmail.com")</f>
        <v>amandakatherine79@gmail.com</v>
      </c>
      <c r="C2650" s="9" t="str">
        <f ca="1">IFERROR(__xludf.DUMMYFUNCTION("""COMPUTED_VALUE"""),"EVERGREEN - UAN Gated Content - Embedded Petition")</f>
        <v>EVERGREEN - UAN Gated Content - Embedded Petition</v>
      </c>
      <c r="D2650" s="10">
        <f ca="1">IFERROR(__xludf.DUMMYFUNCTION("""COMPUTED_VALUE"""),45683)</f>
        <v>45683</v>
      </c>
    </row>
    <row r="2651" spans="1:4" ht="13" x14ac:dyDescent="0.15">
      <c r="A2651" s="9">
        <f ca="1">IFERROR(__xludf.DUMMYFUNCTION("""COMPUTED_VALUE"""),287628311)</f>
        <v>287628311</v>
      </c>
      <c r="B2651" s="1" t="str">
        <f ca="1">IFERROR(__xludf.DUMMYFUNCTION("""COMPUTED_VALUE"""),"kathleenboone21@gmail.com")</f>
        <v>kathleenboone21@gmail.com</v>
      </c>
      <c r="C2651" s="9" t="str">
        <f ca="1">IFERROR(__xludf.DUMMYFUNCTION("""COMPUTED_VALUE"""),"EVERGREEN - UAN Gated Content - Embedded Petition")</f>
        <v>EVERGREEN - UAN Gated Content - Embedded Petition</v>
      </c>
      <c r="D2651" s="10">
        <f ca="1">IFERROR(__xludf.DUMMYFUNCTION("""COMPUTED_VALUE"""),45694)</f>
        <v>45694</v>
      </c>
    </row>
    <row r="2652" spans="1:4" ht="13" x14ac:dyDescent="0.15">
      <c r="A2652" s="9">
        <f ca="1">IFERROR(__xludf.DUMMYFUNCTION("""COMPUTED_VALUE"""),287628311)</f>
        <v>287628311</v>
      </c>
      <c r="B2652" s="1" t="str">
        <f ca="1">IFERROR(__xludf.DUMMYFUNCTION("""COMPUTED_VALUE"""),"kathleenboone21@gmail.com")</f>
        <v>kathleenboone21@gmail.com</v>
      </c>
      <c r="C2652" s="9" t="str">
        <f ca="1">IFERROR(__xludf.DUMMYFUNCTION("""COMPUTED_VALUE"""),"EVERGREEN - UAN Gated Content - Embedded Petition")</f>
        <v>EVERGREEN - UAN Gated Content - Embedded Petition</v>
      </c>
      <c r="D2652" s="10">
        <f ca="1">IFERROR(__xludf.DUMMYFUNCTION("""COMPUTED_VALUE"""),45694)</f>
        <v>45694</v>
      </c>
    </row>
    <row r="2653" spans="1:4" ht="13" x14ac:dyDescent="0.15">
      <c r="A2653" s="9">
        <f ca="1">IFERROR(__xludf.DUMMYFUNCTION("""COMPUTED_VALUE"""),287628311)</f>
        <v>287628311</v>
      </c>
      <c r="B2653" s="1" t="str">
        <f ca="1">IFERROR(__xludf.DUMMYFUNCTION("""COMPUTED_VALUE"""),"kathleenboone21@gmail.com")</f>
        <v>kathleenboone21@gmail.com</v>
      </c>
      <c r="C2653" s="9" t="str">
        <f ca="1">IFERROR(__xludf.DUMMYFUNCTION("""COMPUTED_VALUE"""),"EVERGREEN - UAN Gated Content - Embedded Petition")</f>
        <v>EVERGREEN - UAN Gated Content - Embedded Petition</v>
      </c>
      <c r="D2653" s="10">
        <f ca="1">IFERROR(__xludf.DUMMYFUNCTION("""COMPUTED_VALUE"""),45681)</f>
        <v>45681</v>
      </c>
    </row>
    <row r="2654" spans="1:4" ht="13" x14ac:dyDescent="0.15">
      <c r="A2654" s="9">
        <f ca="1">IFERROR(__xludf.DUMMYFUNCTION("""COMPUTED_VALUE"""),287631644)</f>
        <v>287631644</v>
      </c>
      <c r="B2654" s="1" t="str">
        <f ca="1">IFERROR(__xludf.DUMMYFUNCTION("""COMPUTED_VALUE"""),"99058664@my.hartdistrict.org")</f>
        <v>99058664@my.hartdistrict.org</v>
      </c>
      <c r="C2654" s="9" t="str">
        <f ca="1">IFERROR(__xludf.DUMMYFUNCTION("""COMPUTED_VALUE"""),"EVERGREEN - UAN Gated Content - Embedded Petition")</f>
        <v>EVERGREEN - UAN Gated Content - Embedded Petition</v>
      </c>
      <c r="D2654" s="10">
        <f ca="1">IFERROR(__xludf.DUMMYFUNCTION("""COMPUTED_VALUE"""),45681)</f>
        <v>45681</v>
      </c>
    </row>
    <row r="2655" spans="1:4" ht="13" x14ac:dyDescent="0.15">
      <c r="A2655" s="9">
        <f ca="1">IFERROR(__xludf.DUMMYFUNCTION("""COMPUTED_VALUE"""),287631644)</f>
        <v>287631644</v>
      </c>
      <c r="B2655" s="1" t="str">
        <f ca="1">IFERROR(__xludf.DUMMYFUNCTION("""COMPUTED_VALUE"""),"99058664@my.hartdistrict.org")</f>
        <v>99058664@my.hartdistrict.org</v>
      </c>
      <c r="C2655" s="9" t="str">
        <f ca="1">IFERROR(__xludf.DUMMYFUNCTION("""COMPUTED_VALUE"""),"EVERGREEN - UAN Gated Content - Embedded Petition")</f>
        <v>EVERGREEN - UAN Gated Content - Embedded Petition</v>
      </c>
      <c r="D2655" s="10">
        <f ca="1">IFERROR(__xludf.DUMMYFUNCTION("""COMPUTED_VALUE"""),45681)</f>
        <v>45681</v>
      </c>
    </row>
    <row r="2656" spans="1:4" ht="13" x14ac:dyDescent="0.15">
      <c r="A2656" s="9">
        <f ca="1">IFERROR(__xludf.DUMMYFUNCTION("""COMPUTED_VALUE"""),287694837)</f>
        <v>287694837</v>
      </c>
      <c r="B2656" s="1" t="str">
        <f ca="1">IFERROR(__xludf.DUMMYFUNCTION("""COMPUTED_VALUE"""),"11@gmail.com")</f>
        <v>11@gmail.com</v>
      </c>
      <c r="C2656" s="9" t="str">
        <f ca="1">IFERROR(__xludf.DUMMYFUNCTION("""COMPUTED_VALUE"""),"EVERGREEN - UAN Gated Content - Embedded Petition")</f>
        <v>EVERGREEN - UAN Gated Content - Embedded Petition</v>
      </c>
      <c r="D2656" s="10">
        <f ca="1">IFERROR(__xludf.DUMMYFUNCTION("""COMPUTED_VALUE"""),45684)</f>
        <v>45684</v>
      </c>
    </row>
    <row r="2657" spans="1:4" ht="13" x14ac:dyDescent="0.15">
      <c r="A2657" s="9">
        <f ca="1">IFERROR(__xludf.DUMMYFUNCTION("""COMPUTED_VALUE"""),287710952)</f>
        <v>287710952</v>
      </c>
      <c r="B2657" s="1" t="str">
        <f ca="1">IFERROR(__xludf.DUMMYFUNCTION("""COMPUTED_VALUE"""),"btb.uk.president@gmail.com")</f>
        <v>btb.uk.president@gmail.com</v>
      </c>
      <c r="C2657" s="9" t="str">
        <f ca="1">IFERROR(__xludf.DUMMYFUNCTION("""COMPUTED_VALUE"""),"EVERGREEN - Website Email Capture Form - UAN Pre-Footer")</f>
        <v>EVERGREEN - Website Email Capture Form - UAN Pre-Footer</v>
      </c>
      <c r="D2657" s="10">
        <f ca="1">IFERROR(__xludf.DUMMYFUNCTION("""COMPUTED_VALUE"""),45685)</f>
        <v>45685</v>
      </c>
    </row>
    <row r="2658" spans="1:4" ht="13" x14ac:dyDescent="0.15">
      <c r="A2658" s="9">
        <f ca="1">IFERROR(__xludf.DUMMYFUNCTION("""COMPUTED_VALUE"""),287723042)</f>
        <v>287723042</v>
      </c>
      <c r="B2658" s="1" t="str">
        <f ca="1">IFERROR(__xludf.DUMMYFUNCTION("""COMPUTED_VALUE"""),"aduran01@yahoo.com")</f>
        <v>aduran01@yahoo.com</v>
      </c>
      <c r="C2658" s="9" t="str">
        <f ca="1">IFERROR(__xludf.DUMMYFUNCTION("""COMPUTED_VALUE"""),"EVERGREEN - UAN Gated Content - Embedded Petition")</f>
        <v>EVERGREEN - UAN Gated Content - Embedded Petition</v>
      </c>
      <c r="D2658" s="10">
        <f ca="1">IFERROR(__xludf.DUMMYFUNCTION("""COMPUTED_VALUE"""),45685)</f>
        <v>45685</v>
      </c>
    </row>
    <row r="2659" spans="1:4" ht="13" x14ac:dyDescent="0.15">
      <c r="A2659" s="9">
        <f ca="1">IFERROR(__xludf.DUMMYFUNCTION("""COMPUTED_VALUE"""),287728356)</f>
        <v>287728356</v>
      </c>
      <c r="B2659" s="1" t="str">
        <f ca="1">IFERROR(__xludf.DUMMYFUNCTION("""COMPUTED_VALUE"""),"chaos1sk@gmail.com")</f>
        <v>chaos1sk@gmail.com</v>
      </c>
      <c r="C2659" s="9" t="str">
        <f ca="1">IFERROR(__xludf.DUMMYFUNCTION("""COMPUTED_VALUE"""),"EVERGREEN - UAN Gated Content - Embedded Petition")</f>
        <v>EVERGREEN - UAN Gated Content - Embedded Petition</v>
      </c>
      <c r="D2659" s="10">
        <f ca="1">IFERROR(__xludf.DUMMYFUNCTION("""COMPUTED_VALUE"""),45685)</f>
        <v>45685</v>
      </c>
    </row>
    <row r="2660" spans="1:4" ht="13" x14ac:dyDescent="0.15">
      <c r="A2660" s="9">
        <f ca="1">IFERROR(__xludf.DUMMYFUNCTION("""COMPUTED_VALUE"""),287729649)</f>
        <v>287729649</v>
      </c>
      <c r="B2660" s="1" t="str">
        <f ca="1">IFERROR(__xludf.DUMMYFUNCTION("""COMPUTED_VALUE"""),"bryan+20250128v1@4sitestudios.com")</f>
        <v>bryan+20250128v1@4sitestudios.com</v>
      </c>
      <c r="C2660" s="9" t="str">
        <f ca="1">IFERROR(__xludf.DUMMYFUNCTION("""COMPUTED_VALUE"""),"EVERGREEN - UAN Gated Content - Embedded Petition")</f>
        <v>EVERGREEN - UAN Gated Content - Embedded Petition</v>
      </c>
      <c r="D2660" s="10">
        <f ca="1">IFERROR(__xludf.DUMMYFUNCTION("""COMPUTED_VALUE"""),45685)</f>
        <v>45685</v>
      </c>
    </row>
    <row r="2661" spans="1:4" ht="13" x14ac:dyDescent="0.15">
      <c r="A2661" s="9">
        <f ca="1">IFERROR(__xludf.DUMMYFUNCTION("""COMPUTED_VALUE"""),287764710)</f>
        <v>287764710</v>
      </c>
      <c r="B2661" s="1" t="str">
        <f ca="1">IFERROR(__xludf.DUMMYFUNCTION("""COMPUTED_VALUE"""),"sarah.ross425@gmail.com")</f>
        <v>sarah.ross425@gmail.com</v>
      </c>
      <c r="C2661" s="9" t="str">
        <f ca="1">IFERROR(__xludf.DUMMYFUNCTION("""COMPUTED_VALUE"""),"EVERGREEN - UAN Gated Content - Embedded Petition")</f>
        <v>EVERGREEN - UAN Gated Content - Embedded Petition</v>
      </c>
      <c r="D2661" s="10">
        <f ca="1">IFERROR(__xludf.DUMMYFUNCTION("""COMPUTED_VALUE"""),45685)</f>
        <v>45685</v>
      </c>
    </row>
    <row r="2662" spans="1:4" ht="13" x14ac:dyDescent="0.15">
      <c r="A2662" s="9">
        <f ca="1">IFERROR(__xludf.DUMMYFUNCTION("""COMPUTED_VALUE"""),287783169)</f>
        <v>287783169</v>
      </c>
      <c r="B2662" s="1" t="str">
        <f ca="1">IFERROR(__xludf.DUMMYFUNCTION("""COMPUTED_VALUE"""),"37.traps.chanter@icloud.com")</f>
        <v>37.traps.chanter@icloud.com</v>
      </c>
      <c r="C2662" s="9" t="str">
        <f ca="1">IFERROR(__xludf.DUMMYFUNCTION("""COMPUTED_VALUE"""),"EVERGREEN - UAN Gated Content - Embedded Petition")</f>
        <v>EVERGREEN - UAN Gated Content - Embedded Petition</v>
      </c>
      <c r="D2662" s="10">
        <f ca="1">IFERROR(__xludf.DUMMYFUNCTION("""COMPUTED_VALUE"""),45686)</f>
        <v>45686</v>
      </c>
    </row>
    <row r="2663" spans="1:4" ht="13" x14ac:dyDescent="0.15">
      <c r="A2663" s="9">
        <f ca="1">IFERROR(__xludf.DUMMYFUNCTION("""COMPUTED_VALUE"""),287794623)</f>
        <v>287794623</v>
      </c>
      <c r="B2663" s="1" t="str">
        <f ca="1">IFERROR(__xludf.DUMMYFUNCTION("""COMPUTED_VALUE"""),"captbethe@gmail.com")</f>
        <v>captbethe@gmail.com</v>
      </c>
      <c r="C2663" s="9" t="str">
        <f ca="1">IFERROR(__xludf.DUMMYFUNCTION("""COMPUTED_VALUE"""),"EVERGREEN - UAN Gated Content - Embedded Petition")</f>
        <v>EVERGREEN - UAN Gated Content - Embedded Petition</v>
      </c>
      <c r="D2663" s="10">
        <f ca="1">IFERROR(__xludf.DUMMYFUNCTION("""COMPUTED_VALUE"""),45686)</f>
        <v>45686</v>
      </c>
    </row>
    <row r="2664" spans="1:4" ht="13" x14ac:dyDescent="0.15">
      <c r="A2664" s="9">
        <f ca="1">IFERROR(__xludf.DUMMYFUNCTION("""COMPUTED_VALUE"""),287833543)</f>
        <v>287833543</v>
      </c>
      <c r="B2664" s="1" t="str">
        <f ca="1">IFERROR(__xludf.DUMMYFUNCTION("""COMPUTED_VALUE"""),"slayingmantis555@gmail.com")</f>
        <v>slayingmantis555@gmail.com</v>
      </c>
      <c r="C2664" s="9" t="str">
        <f ca="1">IFERROR(__xludf.DUMMYFUNCTION("""COMPUTED_VALUE"""),"EVERGREEN - UAN Gated Content - Embedded Petition")</f>
        <v>EVERGREEN - UAN Gated Content - Embedded Petition</v>
      </c>
      <c r="D2664" s="10">
        <f ca="1">IFERROR(__xludf.DUMMYFUNCTION("""COMPUTED_VALUE"""),45687)</f>
        <v>45687</v>
      </c>
    </row>
    <row r="2665" spans="1:4" ht="13" x14ac:dyDescent="0.15">
      <c r="A2665" s="9">
        <f ca="1">IFERROR(__xludf.DUMMYFUNCTION("""COMPUTED_VALUE"""),287836355)</f>
        <v>287836355</v>
      </c>
      <c r="B2665" s="1" t="str">
        <f ca="1">IFERROR(__xludf.DUMMYFUNCTION("""COMPUTED_VALUE"""),"flkells@gmail.com")</f>
        <v>flkells@gmail.com</v>
      </c>
      <c r="C2665" s="9" t="str">
        <f ca="1">IFERROR(__xludf.DUMMYFUNCTION("""COMPUTED_VALUE"""),"EVERGREEN - UAN Gated Content - Embedded Petition")</f>
        <v>EVERGREEN - UAN Gated Content - Embedded Petition</v>
      </c>
      <c r="D2665" s="10">
        <f ca="1">IFERROR(__xludf.DUMMYFUNCTION("""COMPUTED_VALUE"""),45687)</f>
        <v>45687</v>
      </c>
    </row>
    <row r="2666" spans="1:4" ht="13" x14ac:dyDescent="0.15">
      <c r="A2666" s="9">
        <f ca="1">IFERROR(__xludf.DUMMYFUNCTION("""COMPUTED_VALUE"""),287841414)</f>
        <v>287841414</v>
      </c>
      <c r="B2666" s="1" t="str">
        <f ca="1">IFERROR(__xludf.DUMMYFUNCTION("""COMPUTED_VALUE"""),"andrealcrowell@gmail.com")</f>
        <v>andrealcrowell@gmail.com</v>
      </c>
      <c r="C2666" s="9" t="str">
        <f ca="1">IFERROR(__xludf.DUMMYFUNCTION("""COMPUTED_VALUE"""),"EVERGREEN - UAN Gated Content - Embedded Petition")</f>
        <v>EVERGREEN - UAN Gated Content - Embedded Petition</v>
      </c>
      <c r="D2666" s="10">
        <f ca="1">IFERROR(__xludf.DUMMYFUNCTION("""COMPUTED_VALUE"""),45687)</f>
        <v>45687</v>
      </c>
    </row>
    <row r="2667" spans="1:4" ht="13" x14ac:dyDescent="0.15">
      <c r="A2667" s="9">
        <f ca="1">IFERROR(__xludf.DUMMYFUNCTION("""COMPUTED_VALUE"""),287841664)</f>
        <v>287841664</v>
      </c>
      <c r="B2667" s="1" t="str">
        <f ca="1">IFERROR(__xludf.DUMMYFUNCTION("""COMPUTED_VALUE"""),"americahope64@gmail.com")</f>
        <v>americahope64@gmail.com</v>
      </c>
      <c r="C2667" s="9" t="str">
        <f ca="1">IFERROR(__xludf.DUMMYFUNCTION("""COMPUTED_VALUE"""),"EVERGREEN - UAN Gated Content - Embedded Petition")</f>
        <v>EVERGREEN - UAN Gated Content - Embedded Petition</v>
      </c>
      <c r="D2667" s="10">
        <f ca="1">IFERROR(__xludf.DUMMYFUNCTION("""COMPUTED_VALUE"""),45687)</f>
        <v>45687</v>
      </c>
    </row>
    <row r="2668" spans="1:4" ht="13" x14ac:dyDescent="0.15">
      <c r="A2668" s="9">
        <f ca="1">IFERROR(__xludf.DUMMYFUNCTION("""COMPUTED_VALUE"""),287842406)</f>
        <v>287842406</v>
      </c>
      <c r="B2668" s="1" t="str">
        <f ca="1">IFERROR(__xludf.DUMMYFUNCTION("""COMPUTED_VALUE"""),"25ciccaral1@egcsd.org")</f>
        <v>25ciccaral1@egcsd.org</v>
      </c>
      <c r="C2668" s="9" t="str">
        <f ca="1">IFERROR(__xludf.DUMMYFUNCTION("""COMPUTED_VALUE"""),"EVERGREEN - UAN Gated Content - Embedded Petition")</f>
        <v>EVERGREEN - UAN Gated Content - Embedded Petition</v>
      </c>
      <c r="D2668" s="10">
        <f ca="1">IFERROR(__xludf.DUMMYFUNCTION("""COMPUTED_VALUE"""),45701)</f>
        <v>45701</v>
      </c>
    </row>
    <row r="2669" spans="1:4" ht="13" x14ac:dyDescent="0.15">
      <c r="A2669" s="9">
        <f ca="1">IFERROR(__xludf.DUMMYFUNCTION("""COMPUTED_VALUE"""),287842406)</f>
        <v>287842406</v>
      </c>
      <c r="B2669" s="1" t="str">
        <f ca="1">IFERROR(__xludf.DUMMYFUNCTION("""COMPUTED_VALUE"""),"25ciccaral1@egcsd.org")</f>
        <v>25ciccaral1@egcsd.org</v>
      </c>
      <c r="C2669" s="9" t="str">
        <f ca="1">IFERROR(__xludf.DUMMYFUNCTION("""COMPUTED_VALUE"""),"EVERGREEN - UAN Gated Content - Embedded Petition")</f>
        <v>EVERGREEN - UAN Gated Content - Embedded Petition</v>
      </c>
      <c r="D2669" s="10">
        <f ca="1">IFERROR(__xludf.DUMMYFUNCTION("""COMPUTED_VALUE"""),45687)</f>
        <v>45687</v>
      </c>
    </row>
    <row r="2670" spans="1:4" ht="13" x14ac:dyDescent="0.15">
      <c r="A2670" s="9">
        <f ca="1">IFERROR(__xludf.DUMMYFUNCTION("""COMPUTED_VALUE"""),287843899)</f>
        <v>287843899</v>
      </c>
      <c r="B2670" s="1" t="str">
        <f ca="1">IFERROR(__xludf.DUMMYFUNCTION("""COMPUTED_VALUE"""),"jmdaubin@me.com")</f>
        <v>jmdaubin@me.com</v>
      </c>
      <c r="C2670" s="9" t="str">
        <f ca="1">IFERROR(__xludf.DUMMYFUNCTION("""COMPUTED_VALUE"""),"EVERGREEN - UAN Gated Content - Embedded Petition")</f>
        <v>EVERGREEN - UAN Gated Content - Embedded Petition</v>
      </c>
      <c r="D2670" s="10">
        <f ca="1">IFERROR(__xludf.DUMMYFUNCTION("""COMPUTED_VALUE"""),45687)</f>
        <v>45687</v>
      </c>
    </row>
    <row r="2671" spans="1:4" ht="13" x14ac:dyDescent="0.15">
      <c r="A2671" s="9">
        <f ca="1">IFERROR(__xludf.DUMMYFUNCTION("""COMPUTED_VALUE"""),287917298)</f>
        <v>287917298</v>
      </c>
      <c r="B2671" s="1" t="str">
        <f ca="1">IFERROR(__xludf.DUMMYFUNCTION("""COMPUTED_VALUE"""),"ronaldham477@gmail.com")</f>
        <v>ronaldham477@gmail.com</v>
      </c>
      <c r="C2671" s="9" t="str">
        <f ca="1">IFERROR(__xludf.DUMMYFUNCTION("""COMPUTED_VALUE"""),"EVERGREEN - UAN Gated Content - Embedded Petition")</f>
        <v>EVERGREEN - UAN Gated Content - Embedded Petition</v>
      </c>
      <c r="D2671" s="10">
        <f ca="1">IFERROR(__xludf.DUMMYFUNCTION("""COMPUTED_VALUE"""),45698)</f>
        <v>45698</v>
      </c>
    </row>
    <row r="2672" spans="1:4" ht="13" x14ac:dyDescent="0.15">
      <c r="A2672" s="9">
        <f ca="1">IFERROR(__xludf.DUMMYFUNCTION("""COMPUTED_VALUE"""),287921091)</f>
        <v>287921091</v>
      </c>
      <c r="B2672" s="1" t="str">
        <f ca="1">IFERROR(__xludf.DUMMYFUNCTION("""COMPUTED_VALUE"""),"lightning.blitz@hotmail.com")</f>
        <v>lightning.blitz@hotmail.com</v>
      </c>
      <c r="C2672" s="9" t="str">
        <f ca="1">IFERROR(__xludf.DUMMYFUNCTION("""COMPUTED_VALUE"""),"EVERGREEN - UAN Gated Content - Embedded Petition")</f>
        <v>EVERGREEN - UAN Gated Content - Embedded Petition</v>
      </c>
      <c r="D2672" s="10">
        <f ca="1">IFERROR(__xludf.DUMMYFUNCTION("""COMPUTED_VALUE"""),45688)</f>
        <v>45688</v>
      </c>
    </row>
    <row r="2673" spans="1:4" ht="13" x14ac:dyDescent="0.15">
      <c r="A2673" s="9">
        <f ca="1">IFERROR(__xludf.DUMMYFUNCTION("""COMPUTED_VALUE"""),287933586)</f>
        <v>287933586</v>
      </c>
      <c r="B2673" s="1" t="str">
        <f ca="1">IFERROR(__xludf.DUMMYFUNCTION("""COMPUTED_VALUE"""),"edgarphotographz104@gmail.com")</f>
        <v>edgarphotographz104@gmail.com</v>
      </c>
      <c r="C2673" s="9" t="str">
        <f ca="1">IFERROR(__xludf.DUMMYFUNCTION("""COMPUTED_VALUE"""),"EVERGREEN - UAN Gated Content - Embedded Petition")</f>
        <v>EVERGREEN - UAN Gated Content - Embedded Petition</v>
      </c>
      <c r="D2673" s="10">
        <f ca="1">IFERROR(__xludf.DUMMYFUNCTION("""COMPUTED_VALUE"""),45689)</f>
        <v>45689</v>
      </c>
    </row>
    <row r="2674" spans="1:4" ht="13" x14ac:dyDescent="0.15">
      <c r="A2674" s="9">
        <f ca="1">IFERROR(__xludf.DUMMYFUNCTION("""COMPUTED_VALUE"""),287934770)</f>
        <v>287934770</v>
      </c>
      <c r="B2674" s="1" t="str">
        <f ca="1">IFERROR(__xludf.DUMMYFUNCTION("""COMPUTED_VALUE"""),"greywolf14@duck.com")</f>
        <v>greywolf14@duck.com</v>
      </c>
      <c r="C2674" s="9" t="str">
        <f ca="1">IFERROR(__xludf.DUMMYFUNCTION("""COMPUTED_VALUE"""),"EVERGREEN - UAN Gated Content - Embedded Petition")</f>
        <v>EVERGREEN - UAN Gated Content - Embedded Petition</v>
      </c>
      <c r="D2674" s="10">
        <f ca="1">IFERROR(__xludf.DUMMYFUNCTION("""COMPUTED_VALUE"""),45689)</f>
        <v>45689</v>
      </c>
    </row>
    <row r="2675" spans="1:4" ht="13" x14ac:dyDescent="0.15">
      <c r="A2675" s="9">
        <f ca="1">IFERROR(__xludf.DUMMYFUNCTION("""COMPUTED_VALUE"""),287936075)</f>
        <v>287936075</v>
      </c>
      <c r="B2675" s="1" t="str">
        <f ca="1">IFERROR(__xludf.DUMMYFUNCTION("""COMPUTED_VALUE"""),"pedroacastllo446@gmail.com")</f>
        <v>pedroacastllo446@gmail.com</v>
      </c>
      <c r="C2675" s="9" t="str">
        <f ca="1">IFERROR(__xludf.DUMMYFUNCTION("""COMPUTED_VALUE"""),"EVERGREEN - UAN Gated Content - Embedded Petition")</f>
        <v>EVERGREEN - UAN Gated Content - Embedded Petition</v>
      </c>
      <c r="D2675" s="10">
        <f ca="1">IFERROR(__xludf.DUMMYFUNCTION("""COMPUTED_VALUE"""),45689)</f>
        <v>45689</v>
      </c>
    </row>
    <row r="2676" spans="1:4" ht="13" x14ac:dyDescent="0.15">
      <c r="A2676" s="9">
        <f ca="1">IFERROR(__xludf.DUMMYFUNCTION("""COMPUTED_VALUE"""),287948258)</f>
        <v>287948258</v>
      </c>
      <c r="B2676" s="1" t="str">
        <f ca="1">IFERROR(__xludf.DUMMYFUNCTION("""COMPUTED_VALUE"""),"russnriss@yahoo.com")</f>
        <v>russnriss@yahoo.com</v>
      </c>
      <c r="C2676" s="9" t="str">
        <f ca="1">IFERROR(__xludf.DUMMYFUNCTION("""COMPUTED_VALUE"""),"EVERGREEN - UAN Gated Content - Embedded Petition")</f>
        <v>EVERGREEN - UAN Gated Content - Embedded Petition</v>
      </c>
      <c r="D2676" s="10">
        <f ca="1">IFERROR(__xludf.DUMMYFUNCTION("""COMPUTED_VALUE"""),45694)</f>
        <v>45694</v>
      </c>
    </row>
    <row r="2677" spans="1:4" ht="13" x14ac:dyDescent="0.15">
      <c r="A2677" s="9">
        <f ca="1">IFERROR(__xludf.DUMMYFUNCTION("""COMPUTED_VALUE"""),287949657)</f>
        <v>287949657</v>
      </c>
      <c r="B2677" s="1" t="str">
        <f ca="1">IFERROR(__xludf.DUMMYFUNCTION("""COMPUTED_VALUE"""),"dolce.perez@yahoo.com")</f>
        <v>dolce.perez@yahoo.com</v>
      </c>
      <c r="C2677" s="9" t="str">
        <f ca="1">IFERROR(__xludf.DUMMYFUNCTION("""COMPUTED_VALUE"""),"EVERGREEN - UAN Gated Content - Embedded Petition")</f>
        <v>EVERGREEN - UAN Gated Content - Embedded Petition</v>
      </c>
      <c r="D2677" s="10">
        <f ca="1">IFERROR(__xludf.DUMMYFUNCTION("""COMPUTED_VALUE"""),45692)</f>
        <v>45692</v>
      </c>
    </row>
    <row r="2678" spans="1:4" ht="13" x14ac:dyDescent="0.15">
      <c r="A2678" s="9">
        <f ca="1">IFERROR(__xludf.DUMMYFUNCTION("""COMPUTED_VALUE"""),287958036)</f>
        <v>287958036</v>
      </c>
      <c r="B2678" s="1" t="str">
        <f ca="1">IFERROR(__xludf.DUMMYFUNCTION("""COMPUTED_VALUE"""),"carrie@lasmanis.com")</f>
        <v>carrie@lasmanis.com</v>
      </c>
      <c r="C2678" s="9" t="str">
        <f ca="1">IFERROR(__xludf.DUMMYFUNCTION("""COMPUTED_VALUE"""),"EVERGREEN - UAN Gated Content - Embedded Petition")</f>
        <v>EVERGREEN - UAN Gated Content - Embedded Petition</v>
      </c>
      <c r="D2678" s="10">
        <f ca="1">IFERROR(__xludf.DUMMYFUNCTION("""COMPUTED_VALUE"""),45690)</f>
        <v>45690</v>
      </c>
    </row>
    <row r="2679" spans="1:4" ht="13" x14ac:dyDescent="0.15">
      <c r="A2679" s="9">
        <f ca="1">IFERROR(__xludf.DUMMYFUNCTION("""COMPUTED_VALUE"""),287959593)</f>
        <v>287959593</v>
      </c>
      <c r="B2679" s="1" t="str">
        <f ca="1">IFERROR(__xludf.DUMMYFUNCTION("""COMPUTED_VALUE"""),"namishintl2@gmail.com")</f>
        <v>namishintl2@gmail.com</v>
      </c>
      <c r="C2679" s="9" t="str">
        <f ca="1">IFERROR(__xludf.DUMMYFUNCTION("""COMPUTED_VALUE"""),"EVERGREEN - Website Email Capture Form - UAN Pre-Footer")</f>
        <v>EVERGREEN - Website Email Capture Form - UAN Pre-Footer</v>
      </c>
      <c r="D2679" s="10">
        <f ca="1">IFERROR(__xludf.DUMMYFUNCTION("""COMPUTED_VALUE"""),45690)</f>
        <v>45690</v>
      </c>
    </row>
    <row r="2680" spans="1:4" ht="13" x14ac:dyDescent="0.15">
      <c r="A2680" s="9">
        <f ca="1">IFERROR(__xludf.DUMMYFUNCTION("""COMPUTED_VALUE"""),287987038)</f>
        <v>287987038</v>
      </c>
      <c r="B2680" s="1" t="str">
        <f ca="1">IFERROR(__xludf.DUMMYFUNCTION("""COMPUTED_VALUE"""),"pennyanddordy@gmail.com")</f>
        <v>pennyanddordy@gmail.com</v>
      </c>
      <c r="C2680" s="9" t="str">
        <f ca="1">IFERROR(__xludf.DUMMYFUNCTION("""COMPUTED_VALUE"""),"EVERGREEN - UAN Gated Content - Embedded Petition")</f>
        <v>EVERGREEN - UAN Gated Content - Embedded Petition</v>
      </c>
      <c r="D2680" s="10">
        <f ca="1">IFERROR(__xludf.DUMMYFUNCTION("""COMPUTED_VALUE"""),45691)</f>
        <v>45691</v>
      </c>
    </row>
    <row r="2681" spans="1:4" ht="13" x14ac:dyDescent="0.15">
      <c r="A2681" s="9">
        <f ca="1">IFERROR(__xludf.DUMMYFUNCTION("""COMPUTED_VALUE"""),288001521)</f>
        <v>288001521</v>
      </c>
      <c r="B2681" s="1" t="str">
        <f ca="1">IFERROR(__xludf.DUMMYFUNCTION("""COMPUTED_VALUE"""),"ktbigsky@yahoo.com")</f>
        <v>ktbigsky@yahoo.com</v>
      </c>
      <c r="C2681" s="9" t="str">
        <f ca="1">IFERROR(__xludf.DUMMYFUNCTION("""COMPUTED_VALUE"""),"EVERGREEN - UAN Gated Content - Embedded Petition")</f>
        <v>EVERGREEN - UAN Gated Content - Embedded Petition</v>
      </c>
      <c r="D2681" s="10">
        <f ca="1">IFERROR(__xludf.DUMMYFUNCTION("""COMPUTED_VALUE"""),45692)</f>
        <v>45692</v>
      </c>
    </row>
    <row r="2682" spans="1:4" ht="13" x14ac:dyDescent="0.15">
      <c r="A2682" s="9">
        <f ca="1">IFERROR(__xludf.DUMMYFUNCTION("""COMPUTED_VALUE"""),288005801)</f>
        <v>288005801</v>
      </c>
      <c r="B2682" s="1" t="str">
        <f ca="1">IFERROR(__xludf.DUMMYFUNCTION("""COMPUTED_VALUE"""),"clnnewton@hotmail.com")</f>
        <v>clnnewton@hotmail.com</v>
      </c>
      <c r="C2682" s="9" t="str">
        <f ca="1">IFERROR(__xludf.DUMMYFUNCTION("""COMPUTED_VALUE"""),"EVERGREEN - UAN Gated Content - Embedded Petition")</f>
        <v>EVERGREEN - UAN Gated Content - Embedded Petition</v>
      </c>
      <c r="D2682" s="10">
        <f ca="1">IFERROR(__xludf.DUMMYFUNCTION("""COMPUTED_VALUE"""),45692)</f>
        <v>45692</v>
      </c>
    </row>
    <row r="2683" spans="1:4" ht="13" x14ac:dyDescent="0.15">
      <c r="A2683" s="9">
        <f ca="1">IFERROR(__xludf.DUMMYFUNCTION("""COMPUTED_VALUE"""),288012983)</f>
        <v>288012983</v>
      </c>
      <c r="B2683" s="1" t="str">
        <f ca="1">IFERROR(__xludf.DUMMYFUNCTION("""COMPUTED_VALUE"""),"karen.allred@gmail.com")</f>
        <v>karen.allred@gmail.com</v>
      </c>
      <c r="C2683" s="9" t="str">
        <f ca="1">IFERROR(__xludf.DUMMYFUNCTION("""COMPUTED_VALUE"""),"EVERGREEN - UAN Gated Content - Embedded Petition")</f>
        <v>EVERGREEN - UAN Gated Content - Embedded Petition</v>
      </c>
      <c r="D2683" s="10">
        <f ca="1">IFERROR(__xludf.DUMMYFUNCTION("""COMPUTED_VALUE"""),45692)</f>
        <v>45692</v>
      </c>
    </row>
    <row r="2684" spans="1:4" ht="13" x14ac:dyDescent="0.15">
      <c r="A2684" s="9">
        <f ca="1">IFERROR(__xludf.DUMMYFUNCTION("""COMPUTED_VALUE"""),288018266)</f>
        <v>288018266</v>
      </c>
      <c r="B2684" s="1" t="str">
        <f ca="1">IFERROR(__xludf.DUMMYFUNCTION("""COMPUTED_VALUE"""),"vdmayan@gmail.com")</f>
        <v>vdmayan@gmail.com</v>
      </c>
      <c r="C2684" s="9" t="str">
        <f ca="1">IFERROR(__xludf.DUMMYFUNCTION("""COMPUTED_VALUE"""),"EVERGREEN - UAN Gated Content - Embedded Petition")</f>
        <v>EVERGREEN - UAN Gated Content - Embedded Petition</v>
      </c>
      <c r="D2684" s="10">
        <f ca="1">IFERROR(__xludf.DUMMYFUNCTION("""COMPUTED_VALUE"""),45701)</f>
        <v>45701</v>
      </c>
    </row>
    <row r="2685" spans="1:4" ht="13" x14ac:dyDescent="0.15">
      <c r="A2685" s="9">
        <f ca="1">IFERROR(__xludf.DUMMYFUNCTION("""COMPUTED_VALUE"""),288018266)</f>
        <v>288018266</v>
      </c>
      <c r="B2685" s="1" t="str">
        <f ca="1">IFERROR(__xludf.DUMMYFUNCTION("""COMPUTED_VALUE"""),"vdmayan@gmail.com")</f>
        <v>vdmayan@gmail.com</v>
      </c>
      <c r="C2685" s="9" t="str">
        <f ca="1">IFERROR(__xludf.DUMMYFUNCTION("""COMPUTED_VALUE"""),"EVERGREEN - UAN Gated Content - Embedded Petition")</f>
        <v>EVERGREEN - UAN Gated Content - Embedded Petition</v>
      </c>
      <c r="D2685" s="10">
        <f ca="1">IFERROR(__xludf.DUMMYFUNCTION("""COMPUTED_VALUE"""),45693)</f>
        <v>45693</v>
      </c>
    </row>
    <row r="2686" spans="1:4" ht="13" x14ac:dyDescent="0.15">
      <c r="A2686" s="9">
        <f ca="1">IFERROR(__xludf.DUMMYFUNCTION("""COMPUTED_VALUE"""),288032964)</f>
        <v>288032964</v>
      </c>
      <c r="B2686" s="1" t="str">
        <f ca="1">IFERROR(__xludf.DUMMYFUNCTION("""COMPUTED_VALUE"""),"alynn15@4j.lane.edu")</f>
        <v>alynn15@4j.lane.edu</v>
      </c>
      <c r="C2686" s="9" t="str">
        <f ca="1">IFERROR(__xludf.DUMMYFUNCTION("""COMPUTED_VALUE"""),"EVERGREEN - UAN Gated Content - Embedded Petition")</f>
        <v>EVERGREEN - UAN Gated Content - Embedded Petition</v>
      </c>
      <c r="D2686" s="10">
        <f ca="1">IFERROR(__xludf.DUMMYFUNCTION("""COMPUTED_VALUE"""),45693)</f>
        <v>45693</v>
      </c>
    </row>
    <row r="2687" spans="1:4" ht="13" x14ac:dyDescent="0.15">
      <c r="A2687" s="9">
        <f ca="1">IFERROR(__xludf.DUMMYFUNCTION("""COMPUTED_VALUE"""),288034018)</f>
        <v>288034018</v>
      </c>
      <c r="B2687" s="1" t="str">
        <f ca="1">IFERROR(__xludf.DUMMYFUNCTION("""COMPUTED_VALUE"""),"mzemper27@gmal.com")</f>
        <v>mzemper27@gmal.com</v>
      </c>
      <c r="C2687" s="9" t="str">
        <f ca="1">IFERROR(__xludf.DUMMYFUNCTION("""COMPUTED_VALUE"""),"EVERGREEN - UAN Gated Content - Embedded Petition")</f>
        <v>EVERGREEN - UAN Gated Content - Embedded Petition</v>
      </c>
      <c r="D2687" s="10">
        <f ca="1">IFERROR(__xludf.DUMMYFUNCTION("""COMPUTED_VALUE"""),45693)</f>
        <v>45693</v>
      </c>
    </row>
    <row r="2688" spans="1:4" ht="13" x14ac:dyDescent="0.15">
      <c r="A2688" s="9">
        <f ca="1">IFERROR(__xludf.DUMMYFUNCTION("""COMPUTED_VALUE"""),288035498)</f>
        <v>288035498</v>
      </c>
      <c r="B2688" s="1" t="str">
        <f ca="1">IFERROR(__xludf.DUMMYFUNCTION("""COMPUTED_VALUE"""),"heathermcveigh7@gmail.com")</f>
        <v>heathermcveigh7@gmail.com</v>
      </c>
      <c r="C2688" s="9" t="str">
        <f ca="1">IFERROR(__xludf.DUMMYFUNCTION("""COMPUTED_VALUE"""),"EVERGREEN - UAN Gated Content - Embedded Petition")</f>
        <v>EVERGREEN - UAN Gated Content - Embedded Petition</v>
      </c>
      <c r="D2688" s="10">
        <f ca="1">IFERROR(__xludf.DUMMYFUNCTION("""COMPUTED_VALUE"""),45693)</f>
        <v>45693</v>
      </c>
    </row>
    <row r="2689" spans="1:4" ht="13" x14ac:dyDescent="0.15">
      <c r="A2689" s="9">
        <f ca="1">IFERROR(__xludf.DUMMYFUNCTION("""COMPUTED_VALUE"""),288052398)</f>
        <v>288052398</v>
      </c>
      <c r="B2689" s="1" t="str">
        <f ca="1">IFERROR(__xludf.DUMMYFUNCTION("""COMPUTED_VALUE"""),"kevinmac2@gmail.vom")</f>
        <v>kevinmac2@gmail.vom</v>
      </c>
      <c r="C2689" s="9" t="str">
        <f ca="1">IFERROR(__xludf.DUMMYFUNCTION("""COMPUTED_VALUE"""),"EVERGREEN - UAN Gated Content - Embedded Petition")</f>
        <v>EVERGREEN - UAN Gated Content - Embedded Petition</v>
      </c>
      <c r="D2689" s="10">
        <f ca="1">IFERROR(__xludf.DUMMYFUNCTION("""COMPUTED_VALUE"""),45694)</f>
        <v>45694</v>
      </c>
    </row>
    <row r="2690" spans="1:4" ht="13" x14ac:dyDescent="0.15">
      <c r="A2690" s="9">
        <f ca="1">IFERROR(__xludf.DUMMYFUNCTION("""COMPUTED_VALUE"""),288053737)</f>
        <v>288053737</v>
      </c>
      <c r="B2690" s="1" t="str">
        <f ca="1">IFERROR(__xludf.DUMMYFUNCTION("""COMPUTED_VALUE"""),"gvpachomes@gmail.com")</f>
        <v>gvpachomes@gmail.com</v>
      </c>
      <c r="C2690" s="9" t="str">
        <f ca="1">IFERROR(__xludf.DUMMYFUNCTION("""COMPUTED_VALUE"""),"EVERGREEN - UAN Gated Content - Embedded Petition")</f>
        <v>EVERGREEN - UAN Gated Content - Embedded Petition</v>
      </c>
      <c r="D2690" s="10">
        <f ca="1">IFERROR(__xludf.DUMMYFUNCTION("""COMPUTED_VALUE"""),45694)</f>
        <v>45694</v>
      </c>
    </row>
    <row r="2691" spans="1:4" ht="13" x14ac:dyDescent="0.15">
      <c r="A2691" s="9">
        <f ca="1">IFERROR(__xludf.DUMMYFUNCTION("""COMPUTED_VALUE"""),288053839)</f>
        <v>288053839</v>
      </c>
      <c r="B2691" s="1" t="str">
        <f ca="1">IFERROR(__xludf.DUMMYFUNCTION("""COMPUTED_VALUE"""),"galethecook@gmail.com")</f>
        <v>galethecook@gmail.com</v>
      </c>
      <c r="C2691" s="9" t="str">
        <f ca="1">IFERROR(__xludf.DUMMYFUNCTION("""COMPUTED_VALUE"""),"EVERGREEN - UAN Gated Content - Embedded Petition")</f>
        <v>EVERGREEN - UAN Gated Content - Embedded Petition</v>
      </c>
      <c r="D2691" s="10">
        <f ca="1">IFERROR(__xludf.DUMMYFUNCTION("""COMPUTED_VALUE"""),45694)</f>
        <v>45694</v>
      </c>
    </row>
    <row r="2692" spans="1:4" ht="13" x14ac:dyDescent="0.15">
      <c r="A2692" s="9">
        <f ca="1">IFERROR(__xludf.DUMMYFUNCTION("""COMPUTED_VALUE"""),288054315)</f>
        <v>288054315</v>
      </c>
      <c r="B2692" s="1" t="str">
        <f ca="1">IFERROR(__xludf.DUMMYFUNCTION("""COMPUTED_VALUE"""),"marsha@brofkaberends.com")</f>
        <v>marsha@brofkaberends.com</v>
      </c>
      <c r="C2692" s="9" t="str">
        <f ca="1">IFERROR(__xludf.DUMMYFUNCTION("""COMPUTED_VALUE"""),"EVERGREEN - UAN Gated Content - Embedded Petition")</f>
        <v>EVERGREEN - UAN Gated Content - Embedded Petition</v>
      </c>
      <c r="D2692" s="10">
        <f ca="1">IFERROR(__xludf.DUMMYFUNCTION("""COMPUTED_VALUE"""),45694)</f>
        <v>45694</v>
      </c>
    </row>
    <row r="2693" spans="1:4" ht="13" x14ac:dyDescent="0.15">
      <c r="A2693" s="9">
        <f ca="1">IFERROR(__xludf.DUMMYFUNCTION("""COMPUTED_VALUE"""),288054608)</f>
        <v>288054608</v>
      </c>
      <c r="B2693" s="1" t="str">
        <f ca="1">IFERROR(__xludf.DUMMYFUNCTION("""COMPUTED_VALUE"""),"repairs.winder.9i@icloud.com")</f>
        <v>repairs.winder.9i@icloud.com</v>
      </c>
      <c r="C2693" s="9" t="str">
        <f ca="1">IFERROR(__xludf.DUMMYFUNCTION("""COMPUTED_VALUE"""),"EVERGREEN - UAN Gated Content - Embedded Petition")</f>
        <v>EVERGREEN - UAN Gated Content - Embedded Petition</v>
      </c>
      <c r="D2693" s="10">
        <f ca="1">IFERROR(__xludf.DUMMYFUNCTION("""COMPUTED_VALUE"""),45694)</f>
        <v>45694</v>
      </c>
    </row>
    <row r="2694" spans="1:4" ht="13" x14ac:dyDescent="0.15">
      <c r="A2694" s="9">
        <f ca="1">IFERROR(__xludf.DUMMYFUNCTION("""COMPUTED_VALUE"""),288055481)</f>
        <v>288055481</v>
      </c>
      <c r="B2694" s="1" t="str">
        <f ca="1">IFERROR(__xludf.DUMMYFUNCTION("""COMPUTED_VALUE"""),"adbowesxdmd@gmail.com")</f>
        <v>adbowesxdmd@gmail.com</v>
      </c>
      <c r="C2694" s="9" t="str">
        <f ca="1">IFERROR(__xludf.DUMMYFUNCTION("""COMPUTED_VALUE"""),"EVERGREEN - UAN Gated Content - Embedded Petition")</f>
        <v>EVERGREEN - UAN Gated Content - Embedded Petition</v>
      </c>
      <c r="D2694" s="10">
        <f ca="1">IFERROR(__xludf.DUMMYFUNCTION("""COMPUTED_VALUE"""),45694)</f>
        <v>45694</v>
      </c>
    </row>
    <row r="2695" spans="1:4" ht="13" x14ac:dyDescent="0.15">
      <c r="A2695" s="9">
        <f ca="1">IFERROR(__xludf.DUMMYFUNCTION("""COMPUTED_VALUE"""),288055632)</f>
        <v>288055632</v>
      </c>
      <c r="B2695" s="1" t="str">
        <f ca="1">IFERROR(__xludf.DUMMYFUNCTION("""COMPUTED_VALUE"""),"stellasingsloud@gmail.com")</f>
        <v>stellasingsloud@gmail.com</v>
      </c>
      <c r="C2695" s="9" t="str">
        <f ca="1">IFERROR(__xludf.DUMMYFUNCTION("""COMPUTED_VALUE"""),"EVERGREEN - UAN Gated Content - Embedded Petition")</f>
        <v>EVERGREEN - UAN Gated Content - Embedded Petition</v>
      </c>
      <c r="D2695" s="10">
        <f ca="1">IFERROR(__xludf.DUMMYFUNCTION("""COMPUTED_VALUE"""),45694)</f>
        <v>45694</v>
      </c>
    </row>
    <row r="2696" spans="1:4" ht="13" x14ac:dyDescent="0.15">
      <c r="A2696" s="9">
        <f ca="1">IFERROR(__xludf.DUMMYFUNCTION("""COMPUTED_VALUE"""),288055919)</f>
        <v>288055919</v>
      </c>
      <c r="B2696" s="1" t="str">
        <f ca="1">IFERROR(__xludf.DUMMYFUNCTION("""COMPUTED_VALUE"""),"theresa.knopf.morgan@gmail.com")</f>
        <v>theresa.knopf.morgan@gmail.com</v>
      </c>
      <c r="C2696" s="9" t="str">
        <f ca="1">IFERROR(__xludf.DUMMYFUNCTION("""COMPUTED_VALUE"""),"EVERGREEN - UAN Gated Content - Embedded Petition")</f>
        <v>EVERGREEN - UAN Gated Content - Embedded Petition</v>
      </c>
      <c r="D2696" s="10">
        <f ca="1">IFERROR(__xludf.DUMMYFUNCTION("""COMPUTED_VALUE"""),45694)</f>
        <v>45694</v>
      </c>
    </row>
    <row r="2697" spans="1:4" ht="13" x14ac:dyDescent="0.15">
      <c r="A2697" s="9">
        <f ca="1">IFERROR(__xludf.DUMMYFUNCTION("""COMPUTED_VALUE"""),288058055)</f>
        <v>288058055</v>
      </c>
      <c r="B2697" s="1" t="str">
        <f ca="1">IFERROR(__xludf.DUMMYFUNCTION("""COMPUTED_VALUE"""),"socialjusticeadvocate@verizon.net")</f>
        <v>socialjusticeadvocate@verizon.net</v>
      </c>
      <c r="C2697" s="9" t="str">
        <f ca="1">IFERROR(__xludf.DUMMYFUNCTION("""COMPUTED_VALUE"""),"EVERGREEN - UAN Gated Content - Embedded Petition")</f>
        <v>EVERGREEN - UAN Gated Content - Embedded Petition</v>
      </c>
      <c r="D2697" s="10">
        <f ca="1">IFERROR(__xludf.DUMMYFUNCTION("""COMPUTED_VALUE"""),45694)</f>
        <v>45694</v>
      </c>
    </row>
    <row r="2698" spans="1:4" ht="13" x14ac:dyDescent="0.15">
      <c r="A2698" s="9">
        <f ca="1">IFERROR(__xludf.DUMMYFUNCTION("""COMPUTED_VALUE"""),288058947)</f>
        <v>288058947</v>
      </c>
      <c r="B2698" s="1" t="str">
        <f ca="1">IFERROR(__xludf.DUMMYFUNCTION("""COMPUTED_VALUE"""),"daniellelanden@arizona.edu")</f>
        <v>daniellelanden@arizona.edu</v>
      </c>
      <c r="C2698" s="9" t="str">
        <f ca="1">IFERROR(__xludf.DUMMYFUNCTION("""COMPUTED_VALUE"""),"UAN mid-page Lightbox - Step 1 of 4 - Landing Page")</f>
        <v>UAN mid-page Lightbox - Step 1 of 4 - Landing Page</v>
      </c>
      <c r="D2698" s="10">
        <f ca="1">IFERROR(__xludf.DUMMYFUNCTION("""COMPUTED_VALUE"""),45694)</f>
        <v>45694</v>
      </c>
    </row>
    <row r="2699" spans="1:4" ht="13" x14ac:dyDescent="0.15">
      <c r="A2699" s="9">
        <f ca="1">IFERROR(__xludf.DUMMYFUNCTION("""COMPUTED_VALUE"""),288061591)</f>
        <v>288061591</v>
      </c>
      <c r="B2699" s="1" t="str">
        <f ca="1">IFERROR(__xludf.DUMMYFUNCTION("""COMPUTED_VALUE"""),"shastalassen@gmail.com")</f>
        <v>shastalassen@gmail.com</v>
      </c>
      <c r="C2699" s="9" t="str">
        <f ca="1">IFERROR(__xludf.DUMMYFUNCTION("""COMPUTED_VALUE"""),"EVERGREEN - UAN Gated Content - Embedded Petition")</f>
        <v>EVERGREEN - UAN Gated Content - Embedded Petition</v>
      </c>
      <c r="D2699" s="10">
        <f ca="1">IFERROR(__xludf.DUMMYFUNCTION("""COMPUTED_VALUE"""),45694)</f>
        <v>45694</v>
      </c>
    </row>
    <row r="2700" spans="1:4" ht="13" x14ac:dyDescent="0.15">
      <c r="A2700" s="9">
        <f ca="1">IFERROR(__xludf.DUMMYFUNCTION("""COMPUTED_VALUE"""),288062179)</f>
        <v>288062179</v>
      </c>
      <c r="B2700" s="1" t="str">
        <f ca="1">IFERROR(__xludf.DUMMYFUNCTION("""COMPUTED_VALUE"""),"rbraslau@chemistry.ucsc.edu")</f>
        <v>rbraslau@chemistry.ucsc.edu</v>
      </c>
      <c r="C2700" s="9" t="str">
        <f ca="1">IFERROR(__xludf.DUMMYFUNCTION("""COMPUTED_VALUE"""),"EVERGREEN - UAN Gated Content - Embedded Petition")</f>
        <v>EVERGREEN - UAN Gated Content - Embedded Petition</v>
      </c>
      <c r="D2700" s="10">
        <f ca="1">IFERROR(__xludf.DUMMYFUNCTION("""COMPUTED_VALUE"""),45694)</f>
        <v>45694</v>
      </c>
    </row>
    <row r="2701" spans="1:4" ht="13" x14ac:dyDescent="0.15">
      <c r="A2701" s="9">
        <f ca="1">IFERROR(__xludf.DUMMYFUNCTION("""COMPUTED_VALUE"""),288062455)</f>
        <v>288062455</v>
      </c>
      <c r="B2701" s="1" t="str">
        <f ca="1">IFERROR(__xludf.DUMMYFUNCTION("""COMPUTED_VALUE"""),"edgren59@gmail.com")</f>
        <v>edgren59@gmail.com</v>
      </c>
      <c r="C2701" s="9" t="str">
        <f ca="1">IFERROR(__xludf.DUMMYFUNCTION("""COMPUTED_VALUE"""),"EVERGREEN - UAN Gated Content - Embedded Petition")</f>
        <v>EVERGREEN - UAN Gated Content - Embedded Petition</v>
      </c>
      <c r="D2701" s="10">
        <f ca="1">IFERROR(__xludf.DUMMYFUNCTION("""COMPUTED_VALUE"""),45694)</f>
        <v>45694</v>
      </c>
    </row>
    <row r="2702" spans="1:4" ht="13" x14ac:dyDescent="0.15">
      <c r="A2702" s="9">
        <f ca="1">IFERROR(__xludf.DUMMYFUNCTION("""COMPUTED_VALUE"""),288064905)</f>
        <v>288064905</v>
      </c>
      <c r="B2702" s="1" t="str">
        <f ca="1">IFERROR(__xludf.DUMMYFUNCTION("""COMPUTED_VALUE"""),"koellhofferc@sistersofihm.org")</f>
        <v>koellhofferc@sistersofihm.org</v>
      </c>
      <c r="C2702" s="9" t="str">
        <f ca="1">IFERROR(__xludf.DUMMYFUNCTION("""COMPUTED_VALUE"""),"EVERGREEN - UAN Gated Content - Embedded Petition")</f>
        <v>EVERGREEN - UAN Gated Content - Embedded Petition</v>
      </c>
      <c r="D2702" s="10">
        <f ca="1">IFERROR(__xludf.DUMMYFUNCTION("""COMPUTED_VALUE"""),45694)</f>
        <v>45694</v>
      </c>
    </row>
    <row r="2703" spans="1:4" ht="13" x14ac:dyDescent="0.15">
      <c r="A2703" s="9">
        <f ca="1">IFERROR(__xludf.DUMMYFUNCTION("""COMPUTED_VALUE"""),288065568)</f>
        <v>288065568</v>
      </c>
      <c r="B2703" s="1" t="str">
        <f ca="1">IFERROR(__xludf.DUMMYFUNCTION("""COMPUTED_VALUE"""),"christina2108@yahoo.com")</f>
        <v>christina2108@yahoo.com</v>
      </c>
      <c r="C2703" s="9" t="str">
        <f ca="1">IFERROR(__xludf.DUMMYFUNCTION("""COMPUTED_VALUE"""),"EVERGREEN - UAN Gated Content - Embedded Petition")</f>
        <v>EVERGREEN - UAN Gated Content - Embedded Petition</v>
      </c>
      <c r="D2703" s="10">
        <f ca="1">IFERROR(__xludf.DUMMYFUNCTION("""COMPUTED_VALUE"""),45694)</f>
        <v>45694</v>
      </c>
    </row>
    <row r="2704" spans="1:4" ht="13" x14ac:dyDescent="0.15">
      <c r="A2704" s="9">
        <f ca="1">IFERROR(__xludf.DUMMYFUNCTION("""COMPUTED_VALUE"""),288073094)</f>
        <v>288073094</v>
      </c>
      <c r="B2704" s="1" t="str">
        <f ca="1">IFERROR(__xludf.DUMMYFUNCTION("""COMPUTED_VALUE"""),"victoriaroan+action@gmail.com")</f>
        <v>victoriaroan+action@gmail.com</v>
      </c>
      <c r="C2704" s="9" t="str">
        <f ca="1">IFERROR(__xludf.DUMMYFUNCTION("""COMPUTED_VALUE"""),"EVERGREEN - UAN Gated Content - Embedded Petition")</f>
        <v>EVERGREEN - UAN Gated Content - Embedded Petition</v>
      </c>
      <c r="D2704" s="10">
        <f ca="1">IFERROR(__xludf.DUMMYFUNCTION("""COMPUTED_VALUE"""),45695)</f>
        <v>45695</v>
      </c>
    </row>
    <row r="2705" spans="1:4" ht="13" x14ac:dyDescent="0.15">
      <c r="A2705" s="9">
        <f ca="1">IFERROR(__xludf.DUMMYFUNCTION("""COMPUTED_VALUE"""),288076762)</f>
        <v>288076762</v>
      </c>
      <c r="B2705" s="1" t="str">
        <f ca="1">IFERROR(__xludf.DUMMYFUNCTION("""COMPUTED_VALUE"""),"ellingsenjasmine@gmail.com")</f>
        <v>ellingsenjasmine@gmail.com</v>
      </c>
      <c r="C2705" s="9" t="str">
        <f ca="1">IFERROR(__xludf.DUMMYFUNCTION("""COMPUTED_VALUE"""),"EVERGREEN - UAN Gated Content - Embedded Petition")</f>
        <v>EVERGREEN - UAN Gated Content - Embedded Petition</v>
      </c>
      <c r="D2705" s="10">
        <f ca="1">IFERROR(__xludf.DUMMYFUNCTION("""COMPUTED_VALUE"""),45695)</f>
        <v>45695</v>
      </c>
    </row>
    <row r="2706" spans="1:4" ht="13" x14ac:dyDescent="0.15">
      <c r="A2706" s="9">
        <f ca="1">IFERROR(__xludf.DUMMYFUNCTION("""COMPUTED_VALUE"""),288076762)</f>
        <v>288076762</v>
      </c>
      <c r="B2706" s="1" t="str">
        <f ca="1">IFERROR(__xludf.DUMMYFUNCTION("""COMPUTED_VALUE"""),"ellingsenjasmine@gmail.com")</f>
        <v>ellingsenjasmine@gmail.com</v>
      </c>
      <c r="C2706" s="9" t="str">
        <f ca="1">IFERROR(__xludf.DUMMYFUNCTION("""COMPUTED_VALUE"""),"EVERGREEN - UAN Gated Content - Embedded Petition")</f>
        <v>EVERGREEN - UAN Gated Content - Embedded Petition</v>
      </c>
      <c r="D2706" s="10">
        <f ca="1">IFERROR(__xludf.DUMMYFUNCTION("""COMPUTED_VALUE"""),45695)</f>
        <v>45695</v>
      </c>
    </row>
    <row r="2707" spans="1:4" ht="13" x14ac:dyDescent="0.15">
      <c r="A2707" s="9">
        <f ca="1">IFERROR(__xludf.DUMMYFUNCTION("""COMPUTED_VALUE"""),288076771)</f>
        <v>288076771</v>
      </c>
      <c r="B2707" s="1" t="str">
        <f ca="1">IFERROR(__xludf.DUMMYFUNCTION("""COMPUTED_VALUE"""),"tanvi.kamana@gmail.com")</f>
        <v>tanvi.kamana@gmail.com</v>
      </c>
      <c r="C2707" s="9" t="str">
        <f ca="1">IFERROR(__xludf.DUMMYFUNCTION("""COMPUTED_VALUE"""),"EVERGREEN - UAN Gated Content - Embedded Petition")</f>
        <v>EVERGREEN - UAN Gated Content - Embedded Petition</v>
      </c>
      <c r="D2707" s="10">
        <f ca="1">IFERROR(__xludf.DUMMYFUNCTION("""COMPUTED_VALUE"""),45695)</f>
        <v>45695</v>
      </c>
    </row>
    <row r="2708" spans="1:4" ht="13" x14ac:dyDescent="0.15">
      <c r="A2708" s="9">
        <f ca="1">IFERROR(__xludf.DUMMYFUNCTION("""COMPUTED_VALUE"""),288076771)</f>
        <v>288076771</v>
      </c>
      <c r="B2708" s="1" t="str">
        <f ca="1">IFERROR(__xludf.DUMMYFUNCTION("""COMPUTED_VALUE"""),"tanvi.kamana@gmail.com")</f>
        <v>tanvi.kamana@gmail.com</v>
      </c>
      <c r="C2708" s="9" t="str">
        <f ca="1">IFERROR(__xludf.DUMMYFUNCTION("""COMPUTED_VALUE"""),"EVERGREEN - UAN Gated Content - Embedded Petition")</f>
        <v>EVERGREEN - UAN Gated Content - Embedded Petition</v>
      </c>
      <c r="D2708" s="10">
        <f ca="1">IFERROR(__xludf.DUMMYFUNCTION("""COMPUTED_VALUE"""),45695)</f>
        <v>45695</v>
      </c>
    </row>
    <row r="2709" spans="1:4" ht="13" x14ac:dyDescent="0.15">
      <c r="A2709" s="9">
        <f ca="1">IFERROR(__xludf.DUMMYFUNCTION("""COMPUTED_VALUE"""),288076772)</f>
        <v>288076772</v>
      </c>
      <c r="B2709" s="1" t="str">
        <f ca="1">IFERROR(__xludf.DUMMYFUNCTION("""COMPUTED_VALUE"""),"aneshah09@gmail.com")</f>
        <v>aneshah09@gmail.com</v>
      </c>
      <c r="C2709" s="9" t="str">
        <f ca="1">IFERROR(__xludf.DUMMYFUNCTION("""COMPUTED_VALUE"""),"EVERGREEN - UAN Gated Content - Embedded Petition")</f>
        <v>EVERGREEN - UAN Gated Content - Embedded Petition</v>
      </c>
      <c r="D2709" s="10">
        <f ca="1">IFERROR(__xludf.DUMMYFUNCTION("""COMPUTED_VALUE"""),45695)</f>
        <v>45695</v>
      </c>
    </row>
    <row r="2710" spans="1:4" ht="13" x14ac:dyDescent="0.15">
      <c r="A2710" s="9">
        <f ca="1">IFERROR(__xludf.DUMMYFUNCTION("""COMPUTED_VALUE"""),288076772)</f>
        <v>288076772</v>
      </c>
      <c r="B2710" s="1" t="str">
        <f ca="1">IFERROR(__xludf.DUMMYFUNCTION("""COMPUTED_VALUE"""),"aneshah09@gmail.com")</f>
        <v>aneshah09@gmail.com</v>
      </c>
      <c r="C2710" s="9" t="str">
        <f ca="1">IFERROR(__xludf.DUMMYFUNCTION("""COMPUTED_VALUE"""),"EVERGREEN - UAN Gated Content - Embedded Petition")</f>
        <v>EVERGREEN - UAN Gated Content - Embedded Petition</v>
      </c>
      <c r="D2710" s="10">
        <f ca="1">IFERROR(__xludf.DUMMYFUNCTION("""COMPUTED_VALUE"""),45695)</f>
        <v>45695</v>
      </c>
    </row>
    <row r="2711" spans="1:4" ht="13" x14ac:dyDescent="0.15">
      <c r="A2711" s="9">
        <f ca="1">IFERROR(__xludf.DUMMYFUNCTION("""COMPUTED_VALUE"""),288076801)</f>
        <v>288076801</v>
      </c>
      <c r="B2711" s="1" t="str">
        <f ca="1">IFERROR(__xludf.DUMMYFUNCTION("""COMPUTED_VALUE"""),"asullivan01@student.dasd.org")</f>
        <v>asullivan01@student.dasd.org</v>
      </c>
      <c r="C2711" s="9" t="str">
        <f ca="1">IFERROR(__xludf.DUMMYFUNCTION("""COMPUTED_VALUE"""),"EVERGREEN - UAN Gated Content - Embedded Petition")</f>
        <v>EVERGREEN - UAN Gated Content - Embedded Petition</v>
      </c>
      <c r="D2711" s="10">
        <f ca="1">IFERROR(__xludf.DUMMYFUNCTION("""COMPUTED_VALUE"""),45695)</f>
        <v>45695</v>
      </c>
    </row>
    <row r="2712" spans="1:4" ht="13" x14ac:dyDescent="0.15">
      <c r="A2712" s="9">
        <f ca="1">IFERROR(__xludf.DUMMYFUNCTION("""COMPUTED_VALUE"""),288076801)</f>
        <v>288076801</v>
      </c>
      <c r="B2712" s="1" t="str">
        <f ca="1">IFERROR(__xludf.DUMMYFUNCTION("""COMPUTED_VALUE"""),"asullivan01@student.dasd.org")</f>
        <v>asullivan01@student.dasd.org</v>
      </c>
      <c r="C2712" s="9" t="str">
        <f ca="1">IFERROR(__xludf.DUMMYFUNCTION("""COMPUTED_VALUE"""),"EVERGREEN - UAN Gated Content - Embedded Petition")</f>
        <v>EVERGREEN - UAN Gated Content - Embedded Petition</v>
      </c>
      <c r="D2712" s="10">
        <f ca="1">IFERROR(__xludf.DUMMYFUNCTION("""COMPUTED_VALUE"""),45695)</f>
        <v>45695</v>
      </c>
    </row>
    <row r="2713" spans="1:4" ht="13" x14ac:dyDescent="0.15">
      <c r="A2713" s="9">
        <f ca="1">IFERROR(__xludf.DUMMYFUNCTION("""COMPUTED_VALUE"""),288076824)</f>
        <v>288076824</v>
      </c>
      <c r="B2713" s="1" t="str">
        <f ca="1">IFERROR(__xludf.DUMMYFUNCTION("""COMPUTED_VALUE"""),"moonyabouraya@icloud.com")</f>
        <v>moonyabouraya@icloud.com</v>
      </c>
      <c r="C2713" s="9" t="str">
        <f ca="1">IFERROR(__xludf.DUMMYFUNCTION("""COMPUTED_VALUE"""),"EVERGREEN - UAN Gated Content - Embedded Petition")</f>
        <v>EVERGREEN - UAN Gated Content - Embedded Petition</v>
      </c>
      <c r="D2713" s="10">
        <f ca="1">IFERROR(__xludf.DUMMYFUNCTION("""COMPUTED_VALUE"""),45695)</f>
        <v>45695</v>
      </c>
    </row>
    <row r="2714" spans="1:4" ht="13" x14ac:dyDescent="0.15">
      <c r="A2714" s="9">
        <f ca="1">IFERROR(__xludf.DUMMYFUNCTION("""COMPUTED_VALUE"""),288077655)</f>
        <v>288077655</v>
      </c>
      <c r="B2714" s="1" t="str">
        <f ca="1">IFERROR(__xludf.DUMMYFUNCTION("""COMPUTED_VALUE"""),"anna7gremlin@gmail.com")</f>
        <v>anna7gremlin@gmail.com</v>
      </c>
      <c r="C2714" s="9" t="str">
        <f ca="1">IFERROR(__xludf.DUMMYFUNCTION("""COMPUTED_VALUE"""),"EVERGREEN - UAN Gated Content - Embedded Petition")</f>
        <v>EVERGREEN - UAN Gated Content - Embedded Petition</v>
      </c>
      <c r="D2714" s="10">
        <f ca="1">IFERROR(__xludf.DUMMYFUNCTION("""COMPUTED_VALUE"""),45695)</f>
        <v>45695</v>
      </c>
    </row>
    <row r="2715" spans="1:4" ht="13" x14ac:dyDescent="0.15">
      <c r="A2715" s="9">
        <f ca="1">IFERROR(__xludf.DUMMYFUNCTION("""COMPUTED_VALUE"""),288081870)</f>
        <v>288081870</v>
      </c>
      <c r="B2715" s="1" t="str">
        <f ca="1">IFERROR(__xludf.DUMMYFUNCTION("""COMPUTED_VALUE"""),"patariciakates@comcast.net")</f>
        <v>patariciakates@comcast.net</v>
      </c>
      <c r="C2715" s="9" t="str">
        <f ca="1">IFERROR(__xludf.DUMMYFUNCTION("""COMPUTED_VALUE"""),"EVERGREEN - UAN Gated Content - Embedded Petition")</f>
        <v>EVERGREEN - UAN Gated Content - Embedded Petition</v>
      </c>
      <c r="D2715" s="10">
        <f ca="1">IFERROR(__xludf.DUMMYFUNCTION("""COMPUTED_VALUE"""),45695)</f>
        <v>45695</v>
      </c>
    </row>
    <row r="2716" spans="1:4" ht="13" x14ac:dyDescent="0.15">
      <c r="A2716" s="9">
        <f ca="1">IFERROR(__xludf.DUMMYFUNCTION("""COMPUTED_VALUE"""),288082662)</f>
        <v>288082662</v>
      </c>
      <c r="B2716" s="1" t="str">
        <f ca="1">IFERROR(__xludf.DUMMYFUNCTION("""COMPUTED_VALUE"""),"gravjm55@gmaqil.com")</f>
        <v>gravjm55@gmaqil.com</v>
      </c>
      <c r="C2716" s="9" t="str">
        <f ca="1">IFERROR(__xludf.DUMMYFUNCTION("""COMPUTED_VALUE"""),"EVERGREEN - UAN Gated Content - Embedded Petition")</f>
        <v>EVERGREEN - UAN Gated Content - Embedded Petition</v>
      </c>
      <c r="D2716" s="10">
        <f ca="1">IFERROR(__xludf.DUMMYFUNCTION("""COMPUTED_VALUE"""),45695)</f>
        <v>45695</v>
      </c>
    </row>
    <row r="2717" spans="1:4" ht="13" x14ac:dyDescent="0.15">
      <c r="A2717" s="9">
        <f ca="1">IFERROR(__xludf.DUMMYFUNCTION("""COMPUTED_VALUE"""),288085581)</f>
        <v>288085581</v>
      </c>
      <c r="B2717" s="1" t="str">
        <f ca="1">IFERROR(__xludf.DUMMYFUNCTION("""COMPUTED_VALUE"""),"kloss_william@yahoo.com")</f>
        <v>kloss_william@yahoo.com</v>
      </c>
      <c r="C2717" s="9" t="str">
        <f ca="1">IFERROR(__xludf.DUMMYFUNCTION("""COMPUTED_VALUE"""),"EVERGREEN - UAN Gated Content - Embedded Petition")</f>
        <v>EVERGREEN - UAN Gated Content - Embedded Petition</v>
      </c>
      <c r="D2717" s="10">
        <f ca="1">IFERROR(__xludf.DUMMYFUNCTION("""COMPUTED_VALUE"""),45695)</f>
        <v>45695</v>
      </c>
    </row>
    <row r="2718" spans="1:4" ht="13" x14ac:dyDescent="0.15">
      <c r="A2718" s="9">
        <f ca="1">IFERROR(__xludf.DUMMYFUNCTION("""COMPUTED_VALUE"""),288089832)</f>
        <v>288089832</v>
      </c>
      <c r="B2718" s="1" t="str">
        <f ca="1">IFERROR(__xludf.DUMMYFUNCTION("""COMPUTED_VALUE"""),"pokapoor@umich.edu")</f>
        <v>pokapoor@umich.edu</v>
      </c>
      <c r="C2718" s="9" t="str">
        <f ca="1">IFERROR(__xludf.DUMMYFUNCTION("""COMPUTED_VALUE"""),"EVERGREEN - UAN Gated Content - Embedded Petition")</f>
        <v>EVERGREEN - UAN Gated Content - Embedded Petition</v>
      </c>
      <c r="D2718" s="10">
        <f ca="1">IFERROR(__xludf.DUMMYFUNCTION("""COMPUTED_VALUE"""),45705)</f>
        <v>45705</v>
      </c>
    </row>
    <row r="2719" spans="1:4" ht="13" x14ac:dyDescent="0.15">
      <c r="A2719" s="9">
        <f ca="1">IFERROR(__xludf.DUMMYFUNCTION("""COMPUTED_VALUE"""),288089832)</f>
        <v>288089832</v>
      </c>
      <c r="B2719" s="1" t="str">
        <f ca="1">IFERROR(__xludf.DUMMYFUNCTION("""COMPUTED_VALUE"""),"pokapoor@umich.edu")</f>
        <v>pokapoor@umich.edu</v>
      </c>
      <c r="C2719" s="9" t="str">
        <f ca="1">IFERROR(__xludf.DUMMYFUNCTION("""COMPUTED_VALUE"""),"EVERGREEN - UAN Gated Content - Embedded Petition")</f>
        <v>EVERGREEN - UAN Gated Content - Embedded Petition</v>
      </c>
      <c r="D2719" s="10">
        <f ca="1">IFERROR(__xludf.DUMMYFUNCTION("""COMPUTED_VALUE"""),45705)</f>
        <v>45705</v>
      </c>
    </row>
    <row r="2720" spans="1:4" ht="13" x14ac:dyDescent="0.15">
      <c r="A2720" s="9">
        <f ca="1">IFERROR(__xludf.DUMMYFUNCTION("""COMPUTED_VALUE"""),288089832)</f>
        <v>288089832</v>
      </c>
      <c r="B2720" s="1" t="str">
        <f ca="1">IFERROR(__xludf.DUMMYFUNCTION("""COMPUTED_VALUE"""),"pokapoor@umich.edu")</f>
        <v>pokapoor@umich.edu</v>
      </c>
      <c r="C2720" s="9" t="str">
        <f ca="1">IFERROR(__xludf.DUMMYFUNCTION("""COMPUTED_VALUE"""),"EVERGREEN - UAN Gated Content - Embedded Petition")</f>
        <v>EVERGREEN - UAN Gated Content - Embedded Petition</v>
      </c>
      <c r="D2720" s="10">
        <f ca="1">IFERROR(__xludf.DUMMYFUNCTION("""COMPUTED_VALUE"""),45705)</f>
        <v>45705</v>
      </c>
    </row>
    <row r="2721" spans="1:4" ht="13" x14ac:dyDescent="0.15">
      <c r="A2721" s="9">
        <f ca="1">IFERROR(__xludf.DUMMYFUNCTION("""COMPUTED_VALUE"""),288114604)</f>
        <v>288114604</v>
      </c>
      <c r="B2721" s="1" t="str">
        <f ca="1">IFERROR(__xludf.DUMMYFUNCTION("""COMPUTED_VALUE"""),"dreamchaser1185@gmail.com")</f>
        <v>dreamchaser1185@gmail.com</v>
      </c>
      <c r="C2721" s="9" t="str">
        <f ca="1">IFERROR(__xludf.DUMMYFUNCTION("""COMPUTED_VALUE"""),"EVERGREEN - UAN Gated Content - Embedded Petition")</f>
        <v>EVERGREEN - UAN Gated Content - Embedded Petition</v>
      </c>
      <c r="D2721" s="10">
        <f ca="1">IFERROR(__xludf.DUMMYFUNCTION("""COMPUTED_VALUE"""),45697)</f>
        <v>45697</v>
      </c>
    </row>
    <row r="2722" spans="1:4" ht="13" x14ac:dyDescent="0.15">
      <c r="A2722" s="9">
        <f ca="1">IFERROR(__xludf.DUMMYFUNCTION("""COMPUTED_VALUE"""),288127455)</f>
        <v>288127455</v>
      </c>
      <c r="B2722" s="1" t="str">
        <f ca="1">IFERROR(__xludf.DUMMYFUNCTION("""COMPUTED_VALUE"""),"mayragarcia100@icloud.com")</f>
        <v>mayragarcia100@icloud.com</v>
      </c>
      <c r="C2722" s="9" t="str">
        <f ca="1">IFERROR(__xludf.DUMMYFUNCTION("""COMPUTED_VALUE"""),"EVERGREEN - UAN Gated Content - Embedded Petition")</f>
        <v>EVERGREEN - UAN Gated Content - Embedded Petition</v>
      </c>
      <c r="D2722" s="10">
        <f ca="1">IFERROR(__xludf.DUMMYFUNCTION("""COMPUTED_VALUE"""),45697)</f>
        <v>45697</v>
      </c>
    </row>
    <row r="2723" spans="1:4" ht="13" x14ac:dyDescent="0.15">
      <c r="A2723" s="9">
        <f ca="1">IFERROR(__xludf.DUMMYFUNCTION("""COMPUTED_VALUE"""),288141136)</f>
        <v>288141136</v>
      </c>
      <c r="B2723" s="1" t="str">
        <f ca="1">IFERROR(__xludf.DUMMYFUNCTION("""COMPUTED_VALUE"""),"davidhbarry@me.com")</f>
        <v>davidhbarry@me.com</v>
      </c>
      <c r="C2723" s="9" t="str">
        <f ca="1">IFERROR(__xludf.DUMMYFUNCTION("""COMPUTED_VALUE"""),"EVERGREEN - UAN Gated Content - Embedded Petition")</f>
        <v>EVERGREEN - UAN Gated Content - Embedded Petition</v>
      </c>
      <c r="D2723" s="10">
        <f ca="1">IFERROR(__xludf.DUMMYFUNCTION("""COMPUTED_VALUE"""),45698)</f>
        <v>45698</v>
      </c>
    </row>
    <row r="2724" spans="1:4" ht="13" x14ac:dyDescent="0.15">
      <c r="A2724" s="9">
        <f ca="1">IFERROR(__xludf.DUMMYFUNCTION("""COMPUTED_VALUE"""),288141720)</f>
        <v>288141720</v>
      </c>
      <c r="B2724" s="1" t="str">
        <f ca="1">IFERROR(__xludf.DUMMYFUNCTION("""COMPUTED_VALUE"""),"tewodrosemamo220@gmail.com")</f>
        <v>tewodrosemamo220@gmail.com</v>
      </c>
      <c r="C2724" s="9" t="str">
        <f ca="1">IFERROR(__xludf.DUMMYFUNCTION("""COMPUTED_VALUE"""),"EVERGREEN - Website Email Capture Form - UAN Pre-Footer")</f>
        <v>EVERGREEN - Website Email Capture Form - UAN Pre-Footer</v>
      </c>
      <c r="D2724" s="10">
        <f ca="1">IFERROR(__xludf.DUMMYFUNCTION("""COMPUTED_VALUE"""),45698)</f>
        <v>45698</v>
      </c>
    </row>
    <row r="2725" spans="1:4" ht="13" x14ac:dyDescent="0.15">
      <c r="A2725" s="9">
        <f ca="1">IFERROR(__xludf.DUMMYFUNCTION("""COMPUTED_VALUE"""),288142696)</f>
        <v>288142696</v>
      </c>
      <c r="B2725" s="1" t="str">
        <f ca="1">IFERROR(__xludf.DUMMYFUNCTION("""COMPUTED_VALUE"""),"chavezmaudicel@gmail.com")</f>
        <v>chavezmaudicel@gmail.com</v>
      </c>
      <c r="C2725" s="9" t="str">
        <f ca="1">IFERROR(__xludf.DUMMYFUNCTION("""COMPUTED_VALUE"""),"EVERGREEN - UAN Gated Content - Embedded Petition")</f>
        <v>EVERGREEN - UAN Gated Content - Embedded Petition</v>
      </c>
      <c r="D2725" s="10">
        <f ca="1">IFERROR(__xludf.DUMMYFUNCTION("""COMPUTED_VALUE"""),45698)</f>
        <v>45698</v>
      </c>
    </row>
    <row r="2726" spans="1:4" ht="13" x14ac:dyDescent="0.15">
      <c r="A2726" s="9">
        <f ca="1">IFERROR(__xludf.DUMMYFUNCTION("""COMPUTED_VALUE"""),288143660)</f>
        <v>288143660</v>
      </c>
      <c r="B2726" s="1" t="str">
        <f ca="1">IFERROR(__xludf.DUMMYFUNCTION("""COMPUTED_VALUE"""),"becarre2@orange.fr")</f>
        <v>becarre2@orange.fr</v>
      </c>
      <c r="C2726" s="9" t="str">
        <f ca="1">IFERROR(__xludf.DUMMYFUNCTION("""COMPUTED_VALUE"""),"EVERGREEN - UAN Gated Content - Embedded Petition")</f>
        <v>EVERGREEN - UAN Gated Content - Embedded Petition</v>
      </c>
      <c r="D2726" s="10">
        <f ca="1">IFERROR(__xludf.DUMMYFUNCTION("""COMPUTED_VALUE"""),45698)</f>
        <v>45698</v>
      </c>
    </row>
    <row r="2727" spans="1:4" ht="13" x14ac:dyDescent="0.15">
      <c r="A2727" s="9">
        <f ca="1">IFERROR(__xludf.DUMMYFUNCTION("""COMPUTED_VALUE"""),288145379)</f>
        <v>288145379</v>
      </c>
      <c r="B2727" s="1" t="str">
        <f ca="1">IFERROR(__xludf.DUMMYFUNCTION("""COMPUTED_VALUE"""),"cbzyk@yahoo.com")</f>
        <v>cbzyk@yahoo.com</v>
      </c>
      <c r="C2727" s="9" t="str">
        <f ca="1">IFERROR(__xludf.DUMMYFUNCTION("""COMPUTED_VALUE"""),"EVERGREEN - UAN Gated Content - Embedded Petition")</f>
        <v>EVERGREEN - UAN Gated Content - Embedded Petition</v>
      </c>
      <c r="D2727" s="10">
        <f ca="1">IFERROR(__xludf.DUMMYFUNCTION("""COMPUTED_VALUE"""),45698)</f>
        <v>45698</v>
      </c>
    </row>
    <row r="2728" spans="1:4" ht="13" x14ac:dyDescent="0.15">
      <c r="A2728" s="9">
        <f ca="1">IFERROR(__xludf.DUMMYFUNCTION("""COMPUTED_VALUE"""),288145385)</f>
        <v>288145385</v>
      </c>
      <c r="B2728" s="1" t="str">
        <f ca="1">IFERROR(__xludf.DUMMYFUNCTION("""COMPUTED_VALUE"""),"lindsaypcoyle@gmail.com")</f>
        <v>lindsaypcoyle@gmail.com</v>
      </c>
      <c r="C2728" s="9" t="str">
        <f ca="1">IFERROR(__xludf.DUMMYFUNCTION("""COMPUTED_VALUE"""),"EVERGREEN - UAN Gated Content - Embedded Petition")</f>
        <v>EVERGREEN - UAN Gated Content - Embedded Petition</v>
      </c>
      <c r="D2728" s="10">
        <f ca="1">IFERROR(__xludf.DUMMYFUNCTION("""COMPUTED_VALUE"""),45698)</f>
        <v>45698</v>
      </c>
    </row>
    <row r="2729" spans="1:4" ht="13" x14ac:dyDescent="0.15">
      <c r="A2729" s="9">
        <f ca="1">IFERROR(__xludf.DUMMYFUNCTION("""COMPUTED_VALUE"""),288150586)</f>
        <v>288150586</v>
      </c>
      <c r="B2729" s="1" t="str">
        <f ca="1">IFERROR(__xludf.DUMMYFUNCTION("""COMPUTED_VALUE"""),"marisa.lucero64@gmail.com")</f>
        <v>marisa.lucero64@gmail.com</v>
      </c>
      <c r="C2729" s="9" t="str">
        <f ca="1">IFERROR(__xludf.DUMMYFUNCTION("""COMPUTED_VALUE"""),"EVERGREEN - UAN Gated Content - Embedded Petition")</f>
        <v>EVERGREEN - UAN Gated Content - Embedded Petition</v>
      </c>
      <c r="D2729" s="10">
        <f ca="1">IFERROR(__xludf.DUMMYFUNCTION("""COMPUTED_VALUE"""),45705)</f>
        <v>45705</v>
      </c>
    </row>
    <row r="2730" spans="1:4" ht="13" x14ac:dyDescent="0.15">
      <c r="A2730" s="9">
        <f ca="1">IFERROR(__xludf.DUMMYFUNCTION("""COMPUTED_VALUE"""),288150586)</f>
        <v>288150586</v>
      </c>
      <c r="B2730" s="1" t="str">
        <f ca="1">IFERROR(__xludf.DUMMYFUNCTION("""COMPUTED_VALUE"""),"marisa.lucero64@gmail.com")</f>
        <v>marisa.lucero64@gmail.com</v>
      </c>
      <c r="C2730" s="9" t="str">
        <f ca="1">IFERROR(__xludf.DUMMYFUNCTION("""COMPUTED_VALUE"""),"EVERGREEN - UAN Gated Content - Embedded Petition")</f>
        <v>EVERGREEN - UAN Gated Content - Embedded Petition</v>
      </c>
      <c r="D2730" s="10">
        <f ca="1">IFERROR(__xludf.DUMMYFUNCTION("""COMPUTED_VALUE"""),45698)</f>
        <v>45698</v>
      </c>
    </row>
    <row r="2731" spans="1:4" ht="13" x14ac:dyDescent="0.15">
      <c r="A2731" s="9">
        <f ca="1">IFERROR(__xludf.DUMMYFUNCTION("""COMPUTED_VALUE"""),288153052)</f>
        <v>288153052</v>
      </c>
      <c r="B2731" s="1" t="str">
        <f ca="1">IFERROR(__xludf.DUMMYFUNCTION("""COMPUTED_VALUE"""),"elizabethj2288@gmail.com")</f>
        <v>elizabethj2288@gmail.com</v>
      </c>
      <c r="C2731" s="9" t="str">
        <f ca="1">IFERROR(__xludf.DUMMYFUNCTION("""COMPUTED_VALUE"""),"EVERGREEN - UAN Gated Content - Embedded Petition")</f>
        <v>EVERGREEN - UAN Gated Content - Embedded Petition</v>
      </c>
      <c r="D2731" s="10">
        <f ca="1">IFERROR(__xludf.DUMMYFUNCTION("""COMPUTED_VALUE"""),45699)</f>
        <v>45699</v>
      </c>
    </row>
    <row r="2732" spans="1:4" ht="13" x14ac:dyDescent="0.15">
      <c r="A2732" s="9">
        <f ca="1">IFERROR(__xludf.DUMMYFUNCTION("""COMPUTED_VALUE"""),288177562)</f>
        <v>288177562</v>
      </c>
      <c r="B2732" s="1" t="str">
        <f ca="1">IFERROR(__xludf.DUMMYFUNCTION("""COMPUTED_VALUE"""),"davidwolfson@sbcglobl.net")</f>
        <v>davidwolfson@sbcglobl.net</v>
      </c>
      <c r="C2732" s="9" t="str">
        <f ca="1">IFERROR(__xludf.DUMMYFUNCTION("""COMPUTED_VALUE"""),"EVERGREEN - UAN Gated Content - Embedded Petition")</f>
        <v>EVERGREEN - UAN Gated Content - Embedded Petition</v>
      </c>
      <c r="D2732" s="10">
        <f ca="1">IFERROR(__xludf.DUMMYFUNCTION("""COMPUTED_VALUE"""),45700)</f>
        <v>45700</v>
      </c>
    </row>
    <row r="2733" spans="1:4" ht="13" x14ac:dyDescent="0.15">
      <c r="A2733" s="9">
        <f ca="1">IFERROR(__xludf.DUMMYFUNCTION("""COMPUTED_VALUE"""),288194017)</f>
        <v>288194017</v>
      </c>
      <c r="B2733" s="1" t="str">
        <f ca="1">IFERROR(__xludf.DUMMYFUNCTION("""COMPUTED_VALUE"""),"danzeh01@gmail.com")</f>
        <v>danzeh01@gmail.com</v>
      </c>
      <c r="C2733" s="9" t="str">
        <f ca="1">IFERROR(__xludf.DUMMYFUNCTION("""COMPUTED_VALUE"""),"EVERGREEN - UAN Gated Content - Embedded Petition")</f>
        <v>EVERGREEN - UAN Gated Content - Embedded Petition</v>
      </c>
      <c r="D2733" s="10">
        <f ca="1">IFERROR(__xludf.DUMMYFUNCTION("""COMPUTED_VALUE"""),45702)</f>
        <v>45702</v>
      </c>
    </row>
    <row r="2734" spans="1:4" ht="13" x14ac:dyDescent="0.15">
      <c r="A2734" s="9">
        <f ca="1">IFERROR(__xludf.DUMMYFUNCTION("""COMPUTED_VALUE"""),288196425)</f>
        <v>288196425</v>
      </c>
      <c r="B2734" s="1" t="str">
        <f ca="1">IFERROR(__xludf.DUMMYFUNCTION("""COMPUTED_VALUE"""),"anthony.tuem@yahoo.com")</f>
        <v>anthony.tuem@yahoo.com</v>
      </c>
      <c r="C2734" s="9" t="str">
        <f ca="1">IFERROR(__xludf.DUMMYFUNCTION("""COMPUTED_VALUE"""),"EVERGREEN - UAN Gated Content - Embedded Petition")</f>
        <v>EVERGREEN - UAN Gated Content - Embedded Petition</v>
      </c>
      <c r="D2734" s="10">
        <f ca="1">IFERROR(__xludf.DUMMYFUNCTION("""COMPUTED_VALUE"""),45700)</f>
        <v>45700</v>
      </c>
    </row>
    <row r="2735" spans="1:4" ht="13" x14ac:dyDescent="0.15">
      <c r="A2735" s="9">
        <f ca="1">IFERROR(__xludf.DUMMYFUNCTION("""COMPUTED_VALUE"""),288226565)</f>
        <v>288226565</v>
      </c>
      <c r="B2735" s="1" t="str">
        <f ca="1">IFERROR(__xludf.DUMMYFUNCTION("""COMPUTED_VALUE"""),"aschimpf.aiib@gmail.com")</f>
        <v>aschimpf.aiib@gmail.com</v>
      </c>
      <c r="C2735" s="9" t="str">
        <f ca="1">IFERROR(__xludf.DUMMYFUNCTION("""COMPUTED_VALUE"""),"EVERGREEN - UAN Gated Content - Embedded Petition")</f>
        <v>EVERGREEN - UAN Gated Content - Embedded Petition</v>
      </c>
      <c r="D2735" s="10">
        <f ca="1">IFERROR(__xludf.DUMMYFUNCTION("""COMPUTED_VALUE"""),45701)</f>
        <v>45701</v>
      </c>
    </row>
    <row r="2736" spans="1:4" ht="13" x14ac:dyDescent="0.15">
      <c r="A2736" s="9">
        <f ca="1">IFERROR(__xludf.DUMMYFUNCTION("""COMPUTED_VALUE"""),288265891)</f>
        <v>288265891</v>
      </c>
      <c r="B2736" s="1" t="str">
        <f ca="1">IFERROR(__xludf.DUMMYFUNCTION("""COMPUTED_VALUE"""),"od.weaver23@yahoo.com")</f>
        <v>od.weaver23@yahoo.com</v>
      </c>
      <c r="C2736" s="9" t="str">
        <f ca="1">IFERROR(__xludf.DUMMYFUNCTION("""COMPUTED_VALUE"""),"EVERGREEN - UAN Gated Content - Embedded Petition")</f>
        <v>EVERGREEN - UAN Gated Content - Embedded Petition</v>
      </c>
      <c r="D2736" s="10">
        <f ca="1">IFERROR(__xludf.DUMMYFUNCTION("""COMPUTED_VALUE"""),45703)</f>
        <v>45703</v>
      </c>
    </row>
    <row r="2737" spans="1:4" ht="13" x14ac:dyDescent="0.15">
      <c r="A2737" s="9">
        <f ca="1">IFERROR(__xludf.DUMMYFUNCTION("""COMPUTED_VALUE"""),288303929)</f>
        <v>288303929</v>
      </c>
      <c r="B2737" s="1" t="str">
        <f ca="1">IFERROR(__xludf.DUMMYFUNCTION("""COMPUTED_VALUE"""),"evan.hadingham@icloud.com")</f>
        <v>evan.hadingham@icloud.com</v>
      </c>
      <c r="C2737" s="9" t="str">
        <f ca="1">IFERROR(__xludf.DUMMYFUNCTION("""COMPUTED_VALUE"""),"EVERGREEN - UAN Gated Content - Embedded Petition")</f>
        <v>EVERGREEN - UAN Gated Content - Embedded Petition</v>
      </c>
      <c r="D2737" s="10">
        <f ca="1">IFERROR(__xludf.DUMMYFUNCTION("""COMPUTED_VALUE"""),45705)</f>
        <v>45705</v>
      </c>
    </row>
    <row r="2738" spans="1:4" ht="13" x14ac:dyDescent="0.15">
      <c r="A2738" s="9">
        <f ca="1">IFERROR(__xludf.DUMMYFUNCTION("""COMPUTED_VALUE"""),288303929)</f>
        <v>288303929</v>
      </c>
      <c r="B2738" s="1" t="str">
        <f ca="1">IFERROR(__xludf.DUMMYFUNCTION("""COMPUTED_VALUE"""),"evan.hadingham@icloud.com")</f>
        <v>evan.hadingham@icloud.com</v>
      </c>
      <c r="C2738" s="9" t="str">
        <f ca="1">IFERROR(__xludf.DUMMYFUNCTION("""COMPUTED_VALUE"""),"EVERGREEN - UAN Gated Content - Embedded Petition")</f>
        <v>EVERGREEN - UAN Gated Content - Embedded Petition</v>
      </c>
      <c r="D2738" s="10">
        <f ca="1">IFERROR(__xludf.DUMMYFUNCTION("""COMPUTED_VALUE"""),45705)</f>
        <v>45705</v>
      </c>
    </row>
    <row r="2739" spans="1:4" ht="13" x14ac:dyDescent="0.15">
      <c r="A2739" s="9">
        <f ca="1">IFERROR(__xludf.DUMMYFUNCTION("""COMPUTED_VALUE"""),288303974)</f>
        <v>288303974</v>
      </c>
      <c r="B2739" s="1" t="str">
        <f ca="1">IFERROR(__xludf.DUMMYFUNCTION("""COMPUTED_VALUE"""),"alyssa.k.howard@gmail.com")</f>
        <v>alyssa.k.howard@gmail.com</v>
      </c>
      <c r="C2739" s="9" t="str">
        <f ca="1">IFERROR(__xludf.DUMMYFUNCTION("""COMPUTED_VALUE"""),"EVERGREEN - UAN Gated Content - Embedded Petition")</f>
        <v>EVERGREEN - UAN Gated Content - Embedded Petition</v>
      </c>
      <c r="D2739" s="10">
        <f ca="1">IFERROR(__xludf.DUMMYFUNCTION("""COMPUTED_VALUE"""),45705)</f>
        <v>45705</v>
      </c>
    </row>
    <row r="2740" spans="1:4" ht="13" x14ac:dyDescent="0.15">
      <c r="A2740" s="9">
        <f ca="1">IFERROR(__xludf.DUMMYFUNCTION("""COMPUTED_VALUE"""),288313883)</f>
        <v>288313883</v>
      </c>
      <c r="B2740" s="1" t="str">
        <f ca="1">IFERROR(__xludf.DUMMYFUNCTION("""COMPUTED_VALUE"""),"scott.riotto@montville.net")</f>
        <v>scott.riotto@montville.net</v>
      </c>
      <c r="C2740" s="9" t="str">
        <f ca="1">IFERROR(__xludf.DUMMYFUNCTION("""COMPUTED_VALUE"""),"EVERGREEN - UAN Gated Content - Embedded Petition")</f>
        <v>EVERGREEN - UAN Gated Content - Embedded Petition</v>
      </c>
      <c r="D2740" s="10">
        <f ca="1">IFERROR(__xludf.DUMMYFUNCTION("""COMPUTED_VALUE"""),45706)</f>
        <v>45706</v>
      </c>
    </row>
    <row r="2741" spans="1:4" ht="13" x14ac:dyDescent="0.15">
      <c r="A2741" s="9">
        <f ca="1">IFERROR(__xludf.DUMMYFUNCTION("""COMPUTED_VALUE"""),288313883)</f>
        <v>288313883</v>
      </c>
      <c r="B2741" s="1" t="str">
        <f ca="1">IFERROR(__xludf.DUMMYFUNCTION("""COMPUTED_VALUE"""),"scott.riotto@montville.net")</f>
        <v>scott.riotto@montville.net</v>
      </c>
      <c r="C2741" s="9" t="str">
        <f ca="1">IFERROR(__xludf.DUMMYFUNCTION("""COMPUTED_VALUE"""),"EVERGREEN - UAN Gated Content - Embedded Petition")</f>
        <v>EVERGREEN - UAN Gated Content - Embedded Petition</v>
      </c>
      <c r="D2741" s="10">
        <f ca="1">IFERROR(__xludf.DUMMYFUNCTION("""COMPUTED_VALUE"""),45706)</f>
        <v>45706</v>
      </c>
    </row>
    <row r="2742" spans="1:4" ht="13" x14ac:dyDescent="0.15">
      <c r="A2742" s="9">
        <f ca="1">IFERROR(__xludf.DUMMYFUNCTION("""COMPUTED_VALUE"""),288322539)</f>
        <v>288322539</v>
      </c>
      <c r="B2742" s="1" t="str">
        <f ca="1">IFERROR(__xludf.DUMMYFUNCTION("""COMPUTED_VALUE"""),"26tegsum@studebt.mcpsmt.org")</f>
        <v>26tegsum@studebt.mcpsmt.org</v>
      </c>
      <c r="C2742" s="9" t="str">
        <f ca="1">IFERROR(__xludf.DUMMYFUNCTION("""COMPUTED_VALUE"""),"EVERGREEN - UAN Gated Content - Embedded Petition")</f>
        <v>EVERGREEN - UAN Gated Content - Embedded Petition</v>
      </c>
      <c r="D2742" s="10">
        <f ca="1">IFERROR(__xludf.DUMMYFUNCTION("""COMPUTED_VALUE"""),45706)</f>
        <v>45706</v>
      </c>
    </row>
    <row r="2743" spans="1:4" ht="13" x14ac:dyDescent="0.15">
      <c r="A2743" s="9">
        <f ca="1">IFERROR(__xludf.DUMMYFUNCTION("""COMPUTED_VALUE"""),288417615)</f>
        <v>288417615</v>
      </c>
      <c r="B2743" s="1" t="str">
        <f ca="1">IFERROR(__xludf.DUMMYFUNCTION("""COMPUTED_VALUE"""),"rheliza59@gmail.com")</f>
        <v>rheliza59@gmail.com</v>
      </c>
      <c r="C2743" s="9" t="str">
        <f ca="1">IFERROR(__xludf.DUMMYFUNCTION("""COMPUTED_VALUE"""),"EVERGREEN - UAN Gated Content - Embedded Petition")</f>
        <v>EVERGREEN - UAN Gated Content - Embedded Petition</v>
      </c>
      <c r="D2743" s="10">
        <f ca="1">IFERROR(__xludf.DUMMYFUNCTION("""COMPUTED_VALUE"""),45706)</f>
        <v>45706</v>
      </c>
    </row>
    <row r="2744" spans="1:4" ht="13" x14ac:dyDescent="0.15">
      <c r="A2744" s="9">
        <f ca="1">IFERROR(__xludf.DUMMYFUNCTION("""COMPUTED_VALUE"""),288418652)</f>
        <v>288418652</v>
      </c>
      <c r="B2744" s="1" t="str">
        <f ca="1">IFERROR(__xludf.DUMMYFUNCTION("""COMPUTED_VALUE"""),"mersingerkatie@gmail.com")</f>
        <v>mersingerkatie@gmail.com</v>
      </c>
      <c r="C2744" s="9" t="str">
        <f ca="1">IFERROR(__xludf.DUMMYFUNCTION("""COMPUTED_VALUE"""),"EVERGREEN - UAN Gated Content - Embedded Petition")</f>
        <v>EVERGREEN - UAN Gated Content - Embedded Petition</v>
      </c>
      <c r="D2744" s="10">
        <f ca="1">IFERROR(__xludf.DUMMYFUNCTION("""COMPUTED_VALUE"""),45706)</f>
        <v>45706</v>
      </c>
    </row>
    <row r="2745" spans="1:4" ht="13" x14ac:dyDescent="0.15">
      <c r="A2745" s="9">
        <f ca="1">IFERROR(__xludf.DUMMYFUNCTION("""COMPUTED_VALUE"""),288443490)</f>
        <v>288443490</v>
      </c>
      <c r="B2745" s="1" t="str">
        <f ca="1">IFERROR(__xludf.DUMMYFUNCTION("""COMPUTED_VALUE"""),"kifka@sdf.org")</f>
        <v>kifka@sdf.org</v>
      </c>
      <c r="C2745" s="9" t="str">
        <f ca="1">IFERROR(__xludf.DUMMYFUNCTION("""COMPUTED_VALUE"""),"EVERGREEN - UAN Gated Content - Embedded Petition")</f>
        <v>EVERGREEN - UAN Gated Content - Embedded Petition</v>
      </c>
      <c r="D2745" s="10">
        <f ca="1">IFERROR(__xludf.DUMMYFUNCTION("""COMPUTED_VALUE"""),45707)</f>
        <v>45707</v>
      </c>
    </row>
    <row r="2746" spans="1:4" ht="13" x14ac:dyDescent="0.15">
      <c r="A2746" s="9">
        <f ca="1">IFERROR(__xludf.DUMMYFUNCTION("""COMPUTED_VALUE"""),288448061)</f>
        <v>288448061</v>
      </c>
      <c r="B2746" s="1" t="str">
        <f ca="1">IFERROR(__xludf.DUMMYFUNCTION("""COMPUTED_VALUE"""),"maazshe2010@gmail.com")</f>
        <v>maazshe2010@gmail.com</v>
      </c>
      <c r="C2746" s="9" t="str">
        <f ca="1">IFERROR(__xludf.DUMMYFUNCTION("""COMPUTED_VALUE"""),"EVERGREEN - UAN Gated Content - Embedded Petition")</f>
        <v>EVERGREEN - UAN Gated Content - Embedded Petition</v>
      </c>
      <c r="D2746" s="10">
        <f ca="1">IFERROR(__xludf.DUMMYFUNCTION("""COMPUTED_VALUE"""),45707)</f>
        <v>45707</v>
      </c>
    </row>
    <row r="2747" spans="1:4" ht="13" x14ac:dyDescent="0.15">
      <c r="A2747" s="9">
        <f ca="1">IFERROR(__xludf.DUMMYFUNCTION("""COMPUTED_VALUE"""),288448085)</f>
        <v>288448085</v>
      </c>
      <c r="B2747" s="1" t="str">
        <f ca="1">IFERROR(__xludf.DUMMYFUNCTION("""COMPUTED_VALUE"""),"srk.kaushik2010@gmail.com")</f>
        <v>srk.kaushik2010@gmail.com</v>
      </c>
      <c r="C2747" s="9" t="str">
        <f ca="1">IFERROR(__xludf.DUMMYFUNCTION("""COMPUTED_VALUE"""),"EVERGREEN - UAN Gated Content - Embedded Petition")</f>
        <v>EVERGREEN - UAN Gated Content - Embedded Petition</v>
      </c>
      <c r="D2747" s="10">
        <f ca="1">IFERROR(__xludf.DUMMYFUNCTION("""COMPUTED_VALUE"""),45707)</f>
        <v>45707</v>
      </c>
    </row>
    <row r="2748" spans="1:4" ht="13" x14ac:dyDescent="0.15">
      <c r="A2748" s="9">
        <f ca="1">IFERROR(__xludf.DUMMYFUNCTION("""COMPUTED_VALUE"""),288454055)</f>
        <v>288454055</v>
      </c>
      <c r="B2748" s="1" t="str">
        <f ca="1">IFERROR(__xludf.DUMMYFUNCTION("""COMPUTED_VALUE"""),"raaghavi.kalluri@icloud.com")</f>
        <v>raaghavi.kalluri@icloud.com</v>
      </c>
      <c r="C2748" s="9" t="str">
        <f ca="1">IFERROR(__xludf.DUMMYFUNCTION("""COMPUTED_VALUE"""),"EVERGREEN - UAN Gated Content - Embedded Petition")</f>
        <v>EVERGREEN - UAN Gated Content - Embedded Petition</v>
      </c>
      <c r="D2748" s="10">
        <f ca="1">IFERROR(__xludf.DUMMYFUNCTION("""COMPUTED_VALUE"""),45708)</f>
        <v>45708</v>
      </c>
    </row>
    <row r="2749" spans="1:4" ht="13" x14ac:dyDescent="0.15">
      <c r="A2749" s="9">
        <f ca="1">IFERROR(__xludf.DUMMYFUNCTION("""COMPUTED_VALUE"""),288454055)</f>
        <v>288454055</v>
      </c>
      <c r="B2749" s="1" t="str">
        <f ca="1">IFERROR(__xludf.DUMMYFUNCTION("""COMPUTED_VALUE"""),"raaghavi.kalluri@icloud.com")</f>
        <v>raaghavi.kalluri@icloud.com</v>
      </c>
      <c r="C2749" s="9" t="str">
        <f ca="1">IFERROR(__xludf.DUMMYFUNCTION("""COMPUTED_VALUE"""),"EVERGREEN - UAN Gated Content - Embedded Petition")</f>
        <v>EVERGREEN - UAN Gated Content - Embedded Petition</v>
      </c>
      <c r="D2749" s="10">
        <f ca="1">IFERROR(__xludf.DUMMYFUNCTION("""COMPUTED_VALUE"""),45708)</f>
        <v>45708</v>
      </c>
    </row>
    <row r="2750" spans="1:4" ht="13" x14ac:dyDescent="0.15">
      <c r="A2750" s="9"/>
      <c r="C2750" s="9"/>
      <c r="D2750" s="9"/>
    </row>
    <row r="2751" spans="1:4" ht="13" x14ac:dyDescent="0.15">
      <c r="A2751" s="9"/>
      <c r="C2751" s="9"/>
      <c r="D2751" s="9"/>
    </row>
    <row r="2752" spans="1:4" ht="13" x14ac:dyDescent="0.15">
      <c r="A2752" s="9"/>
      <c r="C2752" s="9"/>
      <c r="D2752" s="9"/>
    </row>
    <row r="2753" spans="1:4" ht="13" x14ac:dyDescent="0.15">
      <c r="A2753" s="9"/>
      <c r="C2753" s="9"/>
      <c r="D2753" s="9"/>
    </row>
    <row r="2754" spans="1:4" ht="13" x14ac:dyDescent="0.15">
      <c r="A2754" s="9"/>
      <c r="C2754" s="9"/>
      <c r="D2754" s="9"/>
    </row>
    <row r="2755" spans="1:4" ht="13" x14ac:dyDescent="0.15">
      <c r="A2755" s="9"/>
      <c r="C2755" s="9"/>
      <c r="D2755" s="9"/>
    </row>
    <row r="2756" spans="1:4" ht="13" x14ac:dyDescent="0.15">
      <c r="A2756" s="9"/>
      <c r="C2756" s="9"/>
      <c r="D2756" s="9"/>
    </row>
    <row r="2757" spans="1:4" ht="13" x14ac:dyDescent="0.15">
      <c r="A2757" s="9"/>
      <c r="C2757" s="9"/>
      <c r="D2757" s="9"/>
    </row>
    <row r="2758" spans="1:4" ht="13" x14ac:dyDescent="0.15">
      <c r="A2758" s="9"/>
      <c r="C2758" s="9"/>
      <c r="D2758" s="9"/>
    </row>
    <row r="2759" spans="1:4" ht="13" x14ac:dyDescent="0.15">
      <c r="A2759" s="9"/>
      <c r="C2759" s="9"/>
      <c r="D2759" s="9"/>
    </row>
    <row r="2760" spans="1:4" ht="13" x14ac:dyDescent="0.15">
      <c r="A2760" s="9"/>
      <c r="C2760" s="9"/>
      <c r="D2760" s="9"/>
    </row>
    <row r="2761" spans="1:4" ht="13" x14ac:dyDescent="0.15">
      <c r="A2761" s="9"/>
      <c r="C2761" s="9"/>
      <c r="D2761" s="9"/>
    </row>
    <row r="2762" spans="1:4" ht="13" x14ac:dyDescent="0.15">
      <c r="A2762" s="9"/>
      <c r="C2762" s="9"/>
      <c r="D2762" s="9"/>
    </row>
    <row r="2763" spans="1:4" ht="13" x14ac:dyDescent="0.15">
      <c r="A2763" s="9"/>
      <c r="C2763" s="9"/>
      <c r="D2763" s="9"/>
    </row>
    <row r="2764" spans="1:4" ht="13" x14ac:dyDescent="0.15">
      <c r="A2764" s="9"/>
      <c r="C2764" s="9"/>
      <c r="D2764" s="9"/>
    </row>
    <row r="2765" spans="1:4" ht="13" x14ac:dyDescent="0.15">
      <c r="A2765" s="9"/>
      <c r="C2765" s="9"/>
      <c r="D2765" s="9"/>
    </row>
    <row r="2766" spans="1:4" ht="13" x14ac:dyDescent="0.15">
      <c r="A2766" s="9"/>
      <c r="C2766" s="9"/>
      <c r="D2766" s="9"/>
    </row>
    <row r="2767" spans="1:4" ht="13" x14ac:dyDescent="0.15">
      <c r="A2767" s="9"/>
      <c r="C2767" s="9"/>
      <c r="D2767" s="9"/>
    </row>
    <row r="2768" spans="1:4" ht="13" x14ac:dyDescent="0.15">
      <c r="A2768" s="9"/>
      <c r="C2768" s="9"/>
      <c r="D2768" s="9"/>
    </row>
    <row r="2769" spans="1:4" ht="13" x14ac:dyDescent="0.15">
      <c r="A2769" s="9"/>
      <c r="C2769" s="9"/>
      <c r="D2769" s="9"/>
    </row>
    <row r="2770" spans="1:4" ht="13" x14ac:dyDescent="0.15">
      <c r="A2770" s="9"/>
      <c r="C2770" s="9"/>
      <c r="D2770" s="9"/>
    </row>
    <row r="2771" spans="1:4" ht="13" x14ac:dyDescent="0.15">
      <c r="A2771" s="9"/>
      <c r="C2771" s="9"/>
      <c r="D2771" s="9"/>
    </row>
    <row r="2772" spans="1:4" ht="13" x14ac:dyDescent="0.15">
      <c r="A2772" s="9"/>
      <c r="C2772" s="9"/>
      <c r="D2772" s="9"/>
    </row>
    <row r="2773" spans="1:4" ht="13" x14ac:dyDescent="0.15">
      <c r="A2773" s="9"/>
      <c r="C2773" s="9"/>
      <c r="D2773" s="9"/>
    </row>
    <row r="2774" spans="1:4" ht="13" x14ac:dyDescent="0.15">
      <c r="A2774" s="9"/>
      <c r="C2774" s="9"/>
      <c r="D2774" s="9"/>
    </row>
    <row r="2775" spans="1:4" ht="13" x14ac:dyDescent="0.15">
      <c r="A2775" s="9"/>
      <c r="C2775" s="9"/>
      <c r="D2775" s="9"/>
    </row>
    <row r="2776" spans="1:4" ht="13" x14ac:dyDescent="0.15">
      <c r="A2776" s="9"/>
      <c r="C2776" s="9"/>
      <c r="D2776" s="9"/>
    </row>
    <row r="2777" spans="1:4" ht="13" x14ac:dyDescent="0.15">
      <c r="A2777" s="9"/>
      <c r="C2777" s="9"/>
      <c r="D2777" s="9"/>
    </row>
    <row r="2778" spans="1:4" ht="13" x14ac:dyDescent="0.15">
      <c r="A2778" s="9"/>
      <c r="C2778" s="9"/>
      <c r="D2778" s="9"/>
    </row>
    <row r="2779" spans="1:4" ht="13" x14ac:dyDescent="0.15">
      <c r="A2779" s="9"/>
      <c r="C2779" s="9"/>
      <c r="D2779" s="9"/>
    </row>
    <row r="2780" spans="1:4" ht="13" x14ac:dyDescent="0.15">
      <c r="A2780" s="9"/>
      <c r="C2780" s="9"/>
      <c r="D2780" s="9"/>
    </row>
    <row r="2781" spans="1:4" ht="13" x14ac:dyDescent="0.15">
      <c r="A2781" s="9"/>
      <c r="C2781" s="9"/>
      <c r="D2781" s="9"/>
    </row>
    <row r="2782" spans="1:4" ht="13" x14ac:dyDescent="0.15">
      <c r="A2782" s="9"/>
      <c r="C2782" s="9"/>
      <c r="D2782" s="9"/>
    </row>
    <row r="2783" spans="1:4" ht="13" x14ac:dyDescent="0.15">
      <c r="A2783" s="9"/>
      <c r="C2783" s="9"/>
      <c r="D2783" s="9"/>
    </row>
    <row r="2784" spans="1:4" ht="13" x14ac:dyDescent="0.15">
      <c r="A2784" s="9"/>
      <c r="C2784" s="9"/>
      <c r="D2784" s="9"/>
    </row>
    <row r="2785" spans="1:4" ht="13" x14ac:dyDescent="0.15">
      <c r="A2785" s="9"/>
      <c r="C2785" s="9"/>
      <c r="D2785" s="9"/>
    </row>
    <row r="2786" spans="1:4" ht="13" x14ac:dyDescent="0.15">
      <c r="A2786" s="9"/>
      <c r="C2786" s="9"/>
      <c r="D2786" s="9"/>
    </row>
    <row r="2787" spans="1:4" ht="13" x14ac:dyDescent="0.15">
      <c r="A2787" s="9"/>
      <c r="C2787" s="9"/>
      <c r="D2787" s="9"/>
    </row>
    <row r="2788" spans="1:4" ht="13" x14ac:dyDescent="0.15">
      <c r="A2788" s="9"/>
      <c r="C2788" s="9"/>
      <c r="D2788" s="9"/>
    </row>
    <row r="2789" spans="1:4" ht="13" x14ac:dyDescent="0.15">
      <c r="A2789" s="9"/>
      <c r="C2789" s="9"/>
      <c r="D2789" s="9"/>
    </row>
    <row r="2790" spans="1:4" ht="13" x14ac:dyDescent="0.15">
      <c r="A2790" s="9"/>
      <c r="C2790" s="9"/>
      <c r="D2790" s="9"/>
    </row>
    <row r="2791" spans="1:4" ht="13" x14ac:dyDescent="0.15">
      <c r="A2791" s="9"/>
      <c r="C2791" s="9"/>
      <c r="D2791" s="9"/>
    </row>
    <row r="2792" spans="1:4" ht="13" x14ac:dyDescent="0.15">
      <c r="A2792" s="9"/>
      <c r="C2792" s="9"/>
      <c r="D2792" s="9"/>
    </row>
    <row r="2793" spans="1:4" ht="13" x14ac:dyDescent="0.15">
      <c r="A2793" s="9"/>
      <c r="C2793" s="9"/>
      <c r="D2793" s="9"/>
    </row>
    <row r="2794" spans="1:4" ht="13" x14ac:dyDescent="0.15">
      <c r="A2794" s="9"/>
      <c r="C2794" s="9"/>
      <c r="D2794" s="9"/>
    </row>
    <row r="2795" spans="1:4" ht="13" x14ac:dyDescent="0.15">
      <c r="A2795" s="9"/>
      <c r="C2795" s="9"/>
      <c r="D2795" s="9"/>
    </row>
    <row r="2796" spans="1:4" ht="13" x14ac:dyDescent="0.15">
      <c r="A2796" s="9"/>
      <c r="C2796" s="9"/>
      <c r="D2796" s="9"/>
    </row>
    <row r="2797" spans="1:4" ht="13" x14ac:dyDescent="0.15">
      <c r="A2797" s="9"/>
      <c r="C2797" s="9"/>
      <c r="D2797" s="9"/>
    </row>
    <row r="2798" spans="1:4" ht="13" x14ac:dyDescent="0.15">
      <c r="A2798" s="9"/>
      <c r="C2798" s="9"/>
      <c r="D2798" s="9"/>
    </row>
    <row r="2799" spans="1:4" ht="13" x14ac:dyDescent="0.15">
      <c r="A2799" s="9"/>
      <c r="C2799" s="9"/>
      <c r="D2799" s="9"/>
    </row>
    <row r="2800" spans="1:4" ht="13" x14ac:dyDescent="0.15">
      <c r="A2800" s="9"/>
      <c r="C2800" s="9"/>
      <c r="D2800" s="9"/>
    </row>
    <row r="2801" spans="1:4" ht="13" x14ac:dyDescent="0.15">
      <c r="A2801" s="9"/>
      <c r="C2801" s="9"/>
      <c r="D2801" s="9"/>
    </row>
    <row r="2802" spans="1:4" ht="13" x14ac:dyDescent="0.15">
      <c r="A2802" s="9"/>
      <c r="C2802" s="9"/>
      <c r="D2802" s="9"/>
    </row>
    <row r="2803" spans="1:4" ht="13" x14ac:dyDescent="0.15">
      <c r="A2803" s="9"/>
      <c r="C2803" s="9"/>
      <c r="D2803" s="9"/>
    </row>
    <row r="2804" spans="1:4" ht="13" x14ac:dyDescent="0.15">
      <c r="A2804" s="9"/>
      <c r="C2804" s="9"/>
      <c r="D2804" s="9"/>
    </row>
    <row r="2805" spans="1:4" ht="13" x14ac:dyDescent="0.15">
      <c r="A2805" s="9"/>
      <c r="C2805" s="9"/>
      <c r="D2805" s="9"/>
    </row>
    <row r="2806" spans="1:4" ht="13" x14ac:dyDescent="0.15">
      <c r="A2806" s="9"/>
      <c r="C2806" s="9"/>
      <c r="D2806" s="9"/>
    </row>
    <row r="2807" spans="1:4" ht="13" x14ac:dyDescent="0.15">
      <c r="A2807" s="9"/>
      <c r="C2807" s="9"/>
      <c r="D2807" s="9"/>
    </row>
    <row r="2808" spans="1:4" ht="13" x14ac:dyDescent="0.15">
      <c r="A2808" s="9"/>
      <c r="C2808" s="9"/>
      <c r="D2808" s="9"/>
    </row>
    <row r="2809" spans="1:4" ht="13" x14ac:dyDescent="0.15">
      <c r="A2809" s="9"/>
      <c r="C2809" s="9"/>
      <c r="D2809" s="9"/>
    </row>
    <row r="2810" spans="1:4" ht="13" x14ac:dyDescent="0.15">
      <c r="A2810" s="9"/>
      <c r="C2810" s="9"/>
      <c r="D2810" s="9"/>
    </row>
    <row r="2811" spans="1:4" ht="13" x14ac:dyDescent="0.15">
      <c r="A2811" s="9"/>
      <c r="C2811" s="9"/>
      <c r="D2811" s="9"/>
    </row>
    <row r="2812" spans="1:4" ht="13" x14ac:dyDescent="0.15">
      <c r="A2812" s="9"/>
      <c r="C2812" s="9"/>
      <c r="D2812" s="9"/>
    </row>
    <row r="2813" spans="1:4" ht="13" x14ac:dyDescent="0.15">
      <c r="A2813" s="9"/>
      <c r="C2813" s="9"/>
      <c r="D2813" s="9"/>
    </row>
    <row r="2814" spans="1:4" ht="13" x14ac:dyDescent="0.15">
      <c r="A2814" s="9"/>
      <c r="C2814" s="9"/>
      <c r="D2814" s="9"/>
    </row>
    <row r="2815" spans="1:4" ht="13" x14ac:dyDescent="0.15">
      <c r="A2815" s="9"/>
      <c r="C2815" s="9"/>
      <c r="D2815" s="9"/>
    </row>
    <row r="2816" spans="1:4" ht="13" x14ac:dyDescent="0.15">
      <c r="A2816" s="9"/>
      <c r="C2816" s="9"/>
      <c r="D2816" s="9"/>
    </row>
    <row r="2817" spans="1:4" ht="13" x14ac:dyDescent="0.15">
      <c r="A2817" s="9"/>
      <c r="C2817" s="9"/>
      <c r="D2817" s="9"/>
    </row>
    <row r="2818" spans="1:4" ht="13" x14ac:dyDescent="0.15">
      <c r="A2818" s="9"/>
      <c r="C2818" s="9"/>
      <c r="D2818" s="9"/>
    </row>
    <row r="2819" spans="1:4" ht="13" x14ac:dyDescent="0.15">
      <c r="A2819" s="9"/>
      <c r="C2819" s="9"/>
      <c r="D2819" s="9"/>
    </row>
    <row r="2820" spans="1:4" ht="13" x14ac:dyDescent="0.15">
      <c r="A2820" s="9"/>
      <c r="C2820" s="9"/>
      <c r="D2820" s="9"/>
    </row>
    <row r="2821" spans="1:4" ht="13" x14ac:dyDescent="0.15">
      <c r="A2821" s="9"/>
      <c r="C2821" s="9"/>
      <c r="D2821" s="9"/>
    </row>
    <row r="2822" spans="1:4" ht="13" x14ac:dyDescent="0.15">
      <c r="A2822" s="9"/>
      <c r="C2822" s="9"/>
      <c r="D2822" s="9"/>
    </row>
    <row r="2823" spans="1:4" ht="13" x14ac:dyDescent="0.15">
      <c r="A2823" s="9"/>
      <c r="C2823" s="9"/>
      <c r="D2823" s="9"/>
    </row>
    <row r="2824" spans="1:4" ht="13" x14ac:dyDescent="0.15">
      <c r="A2824" s="9"/>
      <c r="C2824" s="9"/>
      <c r="D2824" s="9"/>
    </row>
    <row r="2825" spans="1:4" ht="13" x14ac:dyDescent="0.15">
      <c r="A2825" s="9"/>
      <c r="C2825" s="9"/>
      <c r="D2825" s="9"/>
    </row>
    <row r="2826" spans="1:4" ht="13" x14ac:dyDescent="0.15">
      <c r="A2826" s="9"/>
      <c r="C2826" s="9"/>
      <c r="D2826" s="9"/>
    </row>
    <row r="2827" spans="1:4" ht="13" x14ac:dyDescent="0.15">
      <c r="A2827" s="9"/>
      <c r="C2827" s="9"/>
      <c r="D2827" s="9"/>
    </row>
    <row r="2828" spans="1:4" ht="13" x14ac:dyDescent="0.15">
      <c r="A2828" s="9"/>
      <c r="C2828" s="9"/>
      <c r="D2828" s="9"/>
    </row>
    <row r="2829" spans="1:4" ht="13" x14ac:dyDescent="0.15">
      <c r="A2829" s="9"/>
      <c r="C2829" s="9"/>
      <c r="D2829" s="9"/>
    </row>
    <row r="2830" spans="1:4" ht="13" x14ac:dyDescent="0.15">
      <c r="A2830" s="9"/>
      <c r="C2830" s="9"/>
      <c r="D2830" s="9"/>
    </row>
    <row r="2831" spans="1:4" ht="13" x14ac:dyDescent="0.15">
      <c r="A2831" s="9"/>
      <c r="C2831" s="9"/>
      <c r="D2831" s="9"/>
    </row>
    <row r="2832" spans="1:4" ht="13" x14ac:dyDescent="0.15">
      <c r="A2832" s="9"/>
      <c r="C2832" s="9"/>
      <c r="D2832" s="9"/>
    </row>
    <row r="2833" spans="1:4" ht="13" x14ac:dyDescent="0.15">
      <c r="A2833" s="9"/>
      <c r="C2833" s="9"/>
      <c r="D2833" s="9"/>
    </row>
    <row r="2834" spans="1:4" ht="13" x14ac:dyDescent="0.15">
      <c r="A2834" s="9"/>
      <c r="C2834" s="9"/>
      <c r="D2834" s="9"/>
    </row>
    <row r="2835" spans="1:4" ht="13" x14ac:dyDescent="0.15">
      <c r="A2835" s="9"/>
      <c r="C2835" s="9"/>
      <c r="D2835" s="9"/>
    </row>
    <row r="2836" spans="1:4" ht="13" x14ac:dyDescent="0.15">
      <c r="A2836" s="9"/>
      <c r="C2836" s="9"/>
      <c r="D2836" s="9"/>
    </row>
    <row r="2837" spans="1:4" ht="13" x14ac:dyDescent="0.15">
      <c r="A2837" s="9"/>
      <c r="C2837" s="9"/>
      <c r="D2837" s="9"/>
    </row>
    <row r="2838" spans="1:4" ht="13" x14ac:dyDescent="0.15">
      <c r="A2838" s="9"/>
      <c r="C2838" s="9"/>
      <c r="D2838" s="9"/>
    </row>
    <row r="2839" spans="1:4" ht="13" x14ac:dyDescent="0.15">
      <c r="A2839" s="9"/>
      <c r="C2839" s="9"/>
      <c r="D2839" s="9"/>
    </row>
    <row r="2840" spans="1:4" ht="13" x14ac:dyDescent="0.15">
      <c r="A2840" s="9"/>
      <c r="C2840" s="9"/>
      <c r="D2840" s="9"/>
    </row>
    <row r="2841" spans="1:4" ht="13" x14ac:dyDescent="0.15">
      <c r="A2841" s="9"/>
      <c r="C2841" s="9"/>
      <c r="D2841" s="9"/>
    </row>
    <row r="2842" spans="1:4" ht="13" x14ac:dyDescent="0.15">
      <c r="A2842" s="9"/>
      <c r="C2842" s="9"/>
      <c r="D2842" s="9"/>
    </row>
    <row r="2843" spans="1:4" ht="13" x14ac:dyDescent="0.15">
      <c r="A2843" s="9"/>
      <c r="C2843" s="9"/>
      <c r="D2843" s="9"/>
    </row>
    <row r="2844" spans="1:4" ht="13" x14ac:dyDescent="0.15">
      <c r="A2844" s="9"/>
      <c r="C2844" s="9"/>
      <c r="D2844" s="9"/>
    </row>
    <row r="2845" spans="1:4" ht="13" x14ac:dyDescent="0.15">
      <c r="A2845" s="9"/>
      <c r="C2845" s="9"/>
      <c r="D2845" s="9"/>
    </row>
    <row r="2846" spans="1:4" ht="13" x14ac:dyDescent="0.15">
      <c r="A2846" s="9"/>
      <c r="C2846" s="9"/>
      <c r="D2846" s="9"/>
    </row>
    <row r="2847" spans="1:4" ht="13" x14ac:dyDescent="0.15">
      <c r="A2847" s="9"/>
      <c r="C2847" s="9"/>
      <c r="D2847" s="9"/>
    </row>
    <row r="2848" spans="1:4" ht="13" x14ac:dyDescent="0.15">
      <c r="A2848" s="9"/>
      <c r="C2848" s="9"/>
      <c r="D2848" s="9"/>
    </row>
    <row r="2849" spans="1:4" ht="13" x14ac:dyDescent="0.15">
      <c r="A2849" s="9"/>
      <c r="C2849" s="9"/>
      <c r="D2849" s="9"/>
    </row>
    <row r="2850" spans="1:4" ht="13" x14ac:dyDescent="0.15">
      <c r="A2850" s="9"/>
      <c r="C2850" s="9"/>
      <c r="D2850" s="9"/>
    </row>
    <row r="2851" spans="1:4" ht="13" x14ac:dyDescent="0.15">
      <c r="A2851" s="9"/>
      <c r="C2851" s="9"/>
      <c r="D2851" s="9"/>
    </row>
    <row r="2852" spans="1:4" ht="13" x14ac:dyDescent="0.15">
      <c r="A2852" s="9"/>
      <c r="C2852" s="9"/>
      <c r="D2852" s="9"/>
    </row>
    <row r="2853" spans="1:4" ht="13" x14ac:dyDescent="0.15">
      <c r="A2853" s="9"/>
      <c r="C2853" s="9"/>
      <c r="D2853" s="9"/>
    </row>
    <row r="2854" spans="1:4" ht="13" x14ac:dyDescent="0.15">
      <c r="A2854" s="9"/>
      <c r="C2854" s="9"/>
      <c r="D2854" s="9"/>
    </row>
    <row r="2855" spans="1:4" ht="13" x14ac:dyDescent="0.15">
      <c r="A2855" s="9"/>
      <c r="C2855" s="9"/>
      <c r="D2855" s="9"/>
    </row>
    <row r="2856" spans="1:4" ht="13" x14ac:dyDescent="0.15">
      <c r="A2856" s="9"/>
      <c r="C2856" s="9"/>
      <c r="D2856" s="9"/>
    </row>
    <row r="2857" spans="1:4" ht="13" x14ac:dyDescent="0.15">
      <c r="A2857" s="9"/>
      <c r="C2857" s="9"/>
      <c r="D2857" s="9"/>
    </row>
    <row r="2858" spans="1:4" ht="13" x14ac:dyDescent="0.15">
      <c r="A2858" s="9"/>
      <c r="C2858" s="9"/>
      <c r="D2858" s="9"/>
    </row>
    <row r="2859" spans="1:4" ht="13" x14ac:dyDescent="0.15">
      <c r="A2859" s="9"/>
      <c r="C2859" s="9"/>
      <c r="D2859" s="9"/>
    </row>
    <row r="2860" spans="1:4" ht="13" x14ac:dyDescent="0.15">
      <c r="A2860" s="9"/>
      <c r="C2860" s="9"/>
      <c r="D2860" s="9"/>
    </row>
    <row r="2861" spans="1:4" ht="13" x14ac:dyDescent="0.15">
      <c r="A2861" s="9"/>
      <c r="C2861" s="9"/>
      <c r="D2861" s="9"/>
    </row>
    <row r="2862" spans="1:4" ht="13" x14ac:dyDescent="0.15">
      <c r="A2862" s="9"/>
      <c r="C2862" s="9"/>
      <c r="D2862" s="9"/>
    </row>
    <row r="2863" spans="1:4" ht="13" x14ac:dyDescent="0.15">
      <c r="A2863" s="9"/>
      <c r="C2863" s="9"/>
      <c r="D2863" s="9"/>
    </row>
    <row r="2864" spans="1:4" ht="13" x14ac:dyDescent="0.15">
      <c r="A2864" s="9"/>
      <c r="C2864" s="9"/>
      <c r="D2864" s="9"/>
    </row>
    <row r="2865" spans="1:4" ht="13" x14ac:dyDescent="0.15">
      <c r="A2865" s="9"/>
      <c r="C2865" s="9"/>
      <c r="D2865" s="9"/>
    </row>
    <row r="2866" spans="1:4" ht="13" x14ac:dyDescent="0.15">
      <c r="A2866" s="9"/>
      <c r="C2866" s="9"/>
      <c r="D2866" s="9"/>
    </row>
    <row r="2867" spans="1:4" ht="13" x14ac:dyDescent="0.15">
      <c r="A2867" s="9"/>
      <c r="C2867" s="9"/>
      <c r="D2867" s="9"/>
    </row>
    <row r="2868" spans="1:4" ht="13" x14ac:dyDescent="0.15">
      <c r="A2868" s="9"/>
      <c r="C2868" s="9"/>
      <c r="D2868" s="9"/>
    </row>
    <row r="2869" spans="1:4" ht="13" x14ac:dyDescent="0.15">
      <c r="A2869" s="9"/>
      <c r="C2869" s="9"/>
      <c r="D2869" s="9"/>
    </row>
    <row r="2870" spans="1:4" ht="13" x14ac:dyDescent="0.15">
      <c r="A2870" s="9"/>
      <c r="C2870" s="9"/>
      <c r="D2870" s="9"/>
    </row>
    <row r="2871" spans="1:4" ht="13" x14ac:dyDescent="0.15">
      <c r="A2871" s="9"/>
      <c r="C2871" s="9"/>
      <c r="D2871" s="9"/>
    </row>
    <row r="2872" spans="1:4" ht="13" x14ac:dyDescent="0.15">
      <c r="A2872" s="9"/>
      <c r="C2872" s="9"/>
      <c r="D2872" s="9"/>
    </row>
    <row r="2873" spans="1:4" ht="13" x14ac:dyDescent="0.15">
      <c r="A2873" s="9"/>
      <c r="C2873" s="9"/>
      <c r="D2873" s="9"/>
    </row>
    <row r="2874" spans="1:4" ht="13" x14ac:dyDescent="0.15">
      <c r="A2874" s="9"/>
      <c r="C2874" s="9"/>
      <c r="D2874" s="9"/>
    </row>
    <row r="2875" spans="1:4" ht="13" x14ac:dyDescent="0.15">
      <c r="A2875" s="9"/>
      <c r="C2875" s="9"/>
      <c r="D2875" s="9"/>
    </row>
    <row r="2876" spans="1:4" ht="13" x14ac:dyDescent="0.15">
      <c r="A2876" s="9"/>
      <c r="C2876" s="9"/>
      <c r="D2876" s="9"/>
    </row>
    <row r="2877" spans="1:4" ht="13" x14ac:dyDescent="0.15">
      <c r="A2877" s="9"/>
      <c r="C2877" s="9"/>
      <c r="D2877" s="9"/>
    </row>
    <row r="2878" spans="1:4" ht="13" x14ac:dyDescent="0.15">
      <c r="A2878" s="9"/>
      <c r="C2878" s="9"/>
      <c r="D2878" s="9"/>
    </row>
    <row r="2879" spans="1:4" ht="13" x14ac:dyDescent="0.15">
      <c r="A2879" s="9"/>
      <c r="C2879" s="9"/>
      <c r="D2879" s="9"/>
    </row>
    <row r="2880" spans="1:4" ht="13" x14ac:dyDescent="0.15">
      <c r="A2880" s="9"/>
      <c r="C2880" s="9"/>
      <c r="D2880" s="9"/>
    </row>
    <row r="2881" spans="1:4" ht="13" x14ac:dyDescent="0.15">
      <c r="A2881" s="9"/>
      <c r="C2881" s="9"/>
      <c r="D2881" s="9"/>
    </row>
    <row r="2882" spans="1:4" ht="13" x14ac:dyDescent="0.15">
      <c r="A2882" s="9"/>
      <c r="C2882" s="9"/>
      <c r="D2882" s="9"/>
    </row>
    <row r="2883" spans="1:4" ht="13" x14ac:dyDescent="0.15">
      <c r="A2883" s="9"/>
      <c r="C2883" s="9"/>
      <c r="D2883" s="9"/>
    </row>
    <row r="2884" spans="1:4" ht="13" x14ac:dyDescent="0.15">
      <c r="A2884" s="9"/>
      <c r="C2884" s="9"/>
      <c r="D2884" s="9"/>
    </row>
    <row r="2885" spans="1:4" ht="13" x14ac:dyDescent="0.15">
      <c r="A2885" s="9"/>
      <c r="C2885" s="9"/>
      <c r="D2885" s="9"/>
    </row>
    <row r="2886" spans="1:4" ht="13" x14ac:dyDescent="0.15">
      <c r="A2886" s="9"/>
      <c r="C2886" s="9"/>
      <c r="D2886" s="9"/>
    </row>
    <row r="2887" spans="1:4" ht="13" x14ac:dyDescent="0.15">
      <c r="A2887" s="9"/>
      <c r="C2887" s="9"/>
      <c r="D2887" s="9"/>
    </row>
    <row r="2888" spans="1:4" ht="13" x14ac:dyDescent="0.15">
      <c r="A2888" s="9"/>
      <c r="C2888" s="9"/>
      <c r="D2888" s="9"/>
    </row>
    <row r="2889" spans="1:4" ht="13" x14ac:dyDescent="0.15">
      <c r="A2889" s="9"/>
      <c r="C2889" s="9"/>
      <c r="D2889" s="9"/>
    </row>
    <row r="2890" spans="1:4" ht="13" x14ac:dyDescent="0.15">
      <c r="A2890" s="9"/>
      <c r="C2890" s="9"/>
      <c r="D2890" s="9"/>
    </row>
    <row r="2891" spans="1:4" ht="13" x14ac:dyDescent="0.15">
      <c r="A2891" s="9"/>
      <c r="C2891" s="9"/>
      <c r="D2891" s="9"/>
    </row>
    <row r="2892" spans="1:4" ht="13" x14ac:dyDescent="0.15">
      <c r="A2892" s="9"/>
      <c r="C2892" s="9"/>
      <c r="D2892" s="9"/>
    </row>
    <row r="2893" spans="1:4" ht="13" x14ac:dyDescent="0.15">
      <c r="A2893" s="9"/>
      <c r="C2893" s="9"/>
      <c r="D2893" s="9"/>
    </row>
    <row r="2894" spans="1:4" ht="13" x14ac:dyDescent="0.15">
      <c r="A2894" s="9"/>
      <c r="C2894" s="9"/>
      <c r="D2894" s="9"/>
    </row>
    <row r="2895" spans="1:4" ht="13" x14ac:dyDescent="0.15">
      <c r="A2895" s="9"/>
      <c r="C2895" s="9"/>
      <c r="D2895" s="9"/>
    </row>
    <row r="2896" spans="1:4" ht="13" x14ac:dyDescent="0.15">
      <c r="A2896" s="9"/>
      <c r="C2896" s="9"/>
      <c r="D2896" s="9"/>
    </row>
    <row r="2897" spans="1:4" ht="13" x14ac:dyDescent="0.15">
      <c r="A2897" s="9"/>
      <c r="C2897" s="9"/>
      <c r="D2897" s="9"/>
    </row>
    <row r="2898" spans="1:4" ht="13" x14ac:dyDescent="0.15">
      <c r="A2898" s="9"/>
      <c r="C2898" s="9"/>
      <c r="D2898" s="9"/>
    </row>
    <row r="2899" spans="1:4" ht="13" x14ac:dyDescent="0.15">
      <c r="A2899" s="9"/>
      <c r="C2899" s="9"/>
      <c r="D2899" s="9"/>
    </row>
    <row r="2900" spans="1:4" ht="13" x14ac:dyDescent="0.15">
      <c r="A2900" s="9"/>
      <c r="C2900" s="9"/>
      <c r="D2900" s="9"/>
    </row>
    <row r="2901" spans="1:4" ht="13" x14ac:dyDescent="0.15">
      <c r="A2901" s="9"/>
      <c r="C2901" s="9"/>
      <c r="D2901" s="9"/>
    </row>
    <row r="2902" spans="1:4" ht="13" x14ac:dyDescent="0.15">
      <c r="A2902" s="9"/>
      <c r="C2902" s="9"/>
      <c r="D2902" s="9"/>
    </row>
    <row r="2903" spans="1:4" ht="13" x14ac:dyDescent="0.15">
      <c r="A2903" s="9"/>
      <c r="C2903" s="9"/>
      <c r="D2903" s="9"/>
    </row>
    <row r="2904" spans="1:4" ht="13" x14ac:dyDescent="0.15">
      <c r="A2904" s="9"/>
      <c r="C2904" s="9"/>
      <c r="D2904" s="9"/>
    </row>
    <row r="2905" spans="1:4" ht="13" x14ac:dyDescent="0.15">
      <c r="A2905" s="9"/>
      <c r="C2905" s="9"/>
      <c r="D2905" s="9"/>
    </row>
    <row r="2906" spans="1:4" ht="13" x14ac:dyDescent="0.15">
      <c r="A2906" s="9"/>
      <c r="C2906" s="9"/>
      <c r="D2906" s="9"/>
    </row>
    <row r="2907" spans="1:4" ht="13" x14ac:dyDescent="0.15">
      <c r="A2907" s="9"/>
      <c r="C2907" s="9"/>
      <c r="D2907" s="9"/>
    </row>
    <row r="2908" spans="1:4" ht="13" x14ac:dyDescent="0.15">
      <c r="A2908" s="9"/>
      <c r="C2908" s="9"/>
      <c r="D2908" s="9"/>
    </row>
    <row r="2909" spans="1:4" ht="13" x14ac:dyDescent="0.15">
      <c r="A2909" s="9"/>
      <c r="C2909" s="9"/>
      <c r="D2909" s="9"/>
    </row>
    <row r="2910" spans="1:4" ht="13" x14ac:dyDescent="0.15">
      <c r="A2910" s="9"/>
      <c r="C2910" s="9"/>
      <c r="D2910" s="9"/>
    </row>
    <row r="2911" spans="1:4" ht="13" x14ac:dyDescent="0.15">
      <c r="A2911" s="9"/>
      <c r="C2911" s="9"/>
      <c r="D2911" s="9"/>
    </row>
    <row r="2912" spans="1:4" ht="13" x14ac:dyDescent="0.15">
      <c r="A2912" s="9"/>
      <c r="C2912" s="9"/>
      <c r="D2912" s="9"/>
    </row>
    <row r="2913" spans="1:4" ht="13" x14ac:dyDescent="0.15">
      <c r="A2913" s="9"/>
      <c r="C2913" s="9"/>
      <c r="D2913" s="9"/>
    </row>
    <row r="2914" spans="1:4" ht="13" x14ac:dyDescent="0.15">
      <c r="A2914" s="9"/>
      <c r="C2914" s="9"/>
      <c r="D2914" s="9"/>
    </row>
    <row r="2915" spans="1:4" ht="13" x14ac:dyDescent="0.15">
      <c r="A2915" s="9"/>
      <c r="C2915" s="9"/>
      <c r="D2915" s="9"/>
    </row>
    <row r="2916" spans="1:4" ht="13" x14ac:dyDescent="0.15">
      <c r="A2916" s="9"/>
      <c r="C2916" s="9"/>
      <c r="D2916" s="9"/>
    </row>
    <row r="2917" spans="1:4" ht="13" x14ac:dyDescent="0.15">
      <c r="A2917" s="9"/>
      <c r="C2917" s="9"/>
      <c r="D2917" s="9"/>
    </row>
    <row r="2918" spans="1:4" ht="13" x14ac:dyDescent="0.15">
      <c r="A2918" s="9"/>
      <c r="C2918" s="9"/>
      <c r="D2918" s="9"/>
    </row>
    <row r="2919" spans="1:4" ht="13" x14ac:dyDescent="0.15">
      <c r="A2919" s="9"/>
      <c r="C2919" s="9"/>
      <c r="D2919" s="9"/>
    </row>
    <row r="2920" spans="1:4" ht="13" x14ac:dyDescent="0.15">
      <c r="A2920" s="9"/>
      <c r="C2920" s="9"/>
      <c r="D2920" s="9"/>
    </row>
    <row r="2921" spans="1:4" ht="13" x14ac:dyDescent="0.15">
      <c r="A2921" s="9"/>
      <c r="C2921" s="9"/>
      <c r="D2921" s="9"/>
    </row>
    <row r="2922" spans="1:4" ht="13" x14ac:dyDescent="0.15">
      <c r="A2922" s="9"/>
      <c r="C2922" s="9"/>
      <c r="D2922" s="9"/>
    </row>
    <row r="2923" spans="1:4" ht="13" x14ac:dyDescent="0.15">
      <c r="A2923" s="9"/>
      <c r="C2923" s="9"/>
      <c r="D2923" s="9"/>
    </row>
    <row r="2924" spans="1:4" ht="13" x14ac:dyDescent="0.15">
      <c r="A2924" s="9"/>
      <c r="C2924" s="9"/>
      <c r="D2924" s="9"/>
    </row>
    <row r="2925" spans="1:4" ht="13" x14ac:dyDescent="0.15">
      <c r="A2925" s="9"/>
      <c r="C2925" s="9"/>
      <c r="D2925" s="9"/>
    </row>
    <row r="2926" spans="1:4" ht="13" x14ac:dyDescent="0.15">
      <c r="A2926" s="9"/>
      <c r="C2926" s="9"/>
      <c r="D2926" s="9"/>
    </row>
    <row r="2927" spans="1:4" ht="13" x14ac:dyDescent="0.15">
      <c r="A2927" s="9"/>
      <c r="C2927" s="9"/>
      <c r="D2927" s="9"/>
    </row>
    <row r="2928" spans="1:4" ht="13" x14ac:dyDescent="0.15">
      <c r="A2928" s="9"/>
      <c r="C2928" s="9"/>
      <c r="D2928" s="9"/>
    </row>
    <row r="2929" spans="1:4" ht="13" x14ac:dyDescent="0.15">
      <c r="A2929" s="9"/>
      <c r="C2929" s="9"/>
      <c r="D2929" s="9"/>
    </row>
    <row r="2930" spans="1:4" ht="13" x14ac:dyDescent="0.15">
      <c r="A2930" s="9"/>
      <c r="C2930" s="9"/>
      <c r="D2930" s="9"/>
    </row>
    <row r="2931" spans="1:4" ht="13" x14ac:dyDescent="0.15">
      <c r="A2931" s="9"/>
      <c r="C2931" s="9"/>
      <c r="D2931" s="9"/>
    </row>
    <row r="2932" spans="1:4" ht="13" x14ac:dyDescent="0.15">
      <c r="A2932" s="9"/>
      <c r="C2932" s="9"/>
      <c r="D2932" s="9"/>
    </row>
    <row r="2933" spans="1:4" ht="13" x14ac:dyDescent="0.15">
      <c r="A2933" s="9"/>
      <c r="C2933" s="9"/>
      <c r="D2933" s="9"/>
    </row>
    <row r="2934" spans="1:4" ht="13" x14ac:dyDescent="0.15">
      <c r="A2934" s="9"/>
      <c r="C2934" s="9"/>
      <c r="D2934" s="9"/>
    </row>
    <row r="2935" spans="1:4" ht="13" x14ac:dyDescent="0.15">
      <c r="A2935" s="9"/>
      <c r="C2935" s="9"/>
      <c r="D2935" s="9"/>
    </row>
    <row r="2936" spans="1:4" ht="13" x14ac:dyDescent="0.15">
      <c r="A2936" s="9"/>
      <c r="C2936" s="9"/>
      <c r="D2936" s="9"/>
    </row>
    <row r="2937" spans="1:4" ht="13" x14ac:dyDescent="0.15">
      <c r="A2937" s="9"/>
      <c r="C2937" s="9"/>
      <c r="D2937" s="9"/>
    </row>
    <row r="2938" spans="1:4" ht="13" x14ac:dyDescent="0.15">
      <c r="A2938" s="9"/>
      <c r="C2938" s="9"/>
      <c r="D2938" s="9"/>
    </row>
    <row r="2939" spans="1:4" ht="13" x14ac:dyDescent="0.15">
      <c r="A2939" s="9"/>
      <c r="C2939" s="9"/>
      <c r="D2939" s="9"/>
    </row>
    <row r="2940" spans="1:4" ht="13" x14ac:dyDescent="0.15">
      <c r="A2940" s="9"/>
      <c r="C2940" s="9"/>
      <c r="D2940" s="9"/>
    </row>
    <row r="2941" spans="1:4" ht="13" x14ac:dyDescent="0.15">
      <c r="A2941" s="9"/>
      <c r="C2941" s="9"/>
      <c r="D2941" s="9"/>
    </row>
    <row r="2942" spans="1:4" ht="13" x14ac:dyDescent="0.15">
      <c r="A2942" s="9"/>
      <c r="C2942" s="9"/>
      <c r="D2942" s="9"/>
    </row>
    <row r="2943" spans="1:4" ht="13" x14ac:dyDescent="0.15">
      <c r="A2943" s="9"/>
      <c r="C2943" s="9"/>
      <c r="D2943" s="9"/>
    </row>
    <row r="2944" spans="1:4" ht="13" x14ac:dyDescent="0.15">
      <c r="A2944" s="9"/>
      <c r="C2944" s="9"/>
      <c r="D2944" s="9"/>
    </row>
    <row r="2945" spans="1:4" ht="13" x14ac:dyDescent="0.15">
      <c r="A2945" s="9"/>
      <c r="C2945" s="9"/>
      <c r="D2945" s="9"/>
    </row>
    <row r="2946" spans="1:4" ht="13" x14ac:dyDescent="0.15">
      <c r="A2946" s="9"/>
      <c r="C2946" s="9"/>
      <c r="D2946" s="9"/>
    </row>
    <row r="2947" spans="1:4" ht="13" x14ac:dyDescent="0.15">
      <c r="A2947" s="9"/>
      <c r="C2947" s="9"/>
      <c r="D2947" s="9"/>
    </row>
    <row r="2948" spans="1:4" ht="13" x14ac:dyDescent="0.15">
      <c r="A2948" s="9"/>
      <c r="C2948" s="9"/>
      <c r="D2948" s="9"/>
    </row>
    <row r="2949" spans="1:4" ht="13" x14ac:dyDescent="0.15">
      <c r="A2949" s="9"/>
      <c r="C2949" s="9"/>
      <c r="D2949" s="9"/>
    </row>
    <row r="2950" spans="1:4" ht="13" x14ac:dyDescent="0.15">
      <c r="A2950" s="9"/>
      <c r="C2950" s="9"/>
      <c r="D2950" s="9"/>
    </row>
    <row r="2951" spans="1:4" ht="13" x14ac:dyDescent="0.15">
      <c r="A2951" s="9"/>
      <c r="C2951" s="9"/>
      <c r="D2951" s="9"/>
    </row>
    <row r="2952" spans="1:4" ht="13" x14ac:dyDescent="0.15">
      <c r="A2952" s="9"/>
      <c r="C2952" s="9"/>
      <c r="D2952" s="9"/>
    </row>
    <row r="2953" spans="1:4" ht="13" x14ac:dyDescent="0.15">
      <c r="A2953" s="9"/>
      <c r="C2953" s="9"/>
      <c r="D2953" s="9"/>
    </row>
    <row r="2954" spans="1:4" ht="13" x14ac:dyDescent="0.15">
      <c r="A2954" s="9"/>
      <c r="C2954" s="9"/>
      <c r="D2954" s="9"/>
    </row>
    <row r="2955" spans="1:4" ht="13" x14ac:dyDescent="0.15">
      <c r="A2955" s="9"/>
      <c r="C2955" s="9"/>
      <c r="D2955" s="9"/>
    </row>
    <row r="2956" spans="1:4" ht="13" x14ac:dyDescent="0.15">
      <c r="A2956" s="9"/>
      <c r="C2956" s="9"/>
      <c r="D2956" s="9"/>
    </row>
    <row r="2957" spans="1:4" ht="13" x14ac:dyDescent="0.15">
      <c r="A2957" s="9"/>
      <c r="C2957" s="9"/>
      <c r="D2957" s="9"/>
    </row>
    <row r="2958" spans="1:4" ht="13" x14ac:dyDescent="0.15">
      <c r="A2958" s="9"/>
      <c r="C2958" s="9"/>
      <c r="D2958" s="9"/>
    </row>
    <row r="2959" spans="1:4" ht="13" x14ac:dyDescent="0.15">
      <c r="A2959" s="9"/>
      <c r="C2959" s="9"/>
      <c r="D2959" s="9"/>
    </row>
    <row r="2960" spans="1:4" ht="13" x14ac:dyDescent="0.15">
      <c r="A2960" s="9"/>
      <c r="C2960" s="9"/>
      <c r="D2960" s="9"/>
    </row>
    <row r="2961" spans="1:4" ht="13" x14ac:dyDescent="0.15">
      <c r="A2961" s="9"/>
      <c r="C2961" s="9"/>
      <c r="D2961" s="9"/>
    </row>
    <row r="2962" spans="1:4" ht="13" x14ac:dyDescent="0.15">
      <c r="A2962" s="9"/>
      <c r="C2962" s="9"/>
      <c r="D2962" s="9"/>
    </row>
    <row r="2963" spans="1:4" ht="13" x14ac:dyDescent="0.15">
      <c r="A2963" s="9"/>
      <c r="C2963" s="9"/>
      <c r="D2963" s="9"/>
    </row>
    <row r="2964" spans="1:4" ht="13" x14ac:dyDescent="0.15">
      <c r="A2964" s="9"/>
      <c r="C2964" s="9"/>
      <c r="D2964" s="9"/>
    </row>
    <row r="2965" spans="1:4" ht="13" x14ac:dyDescent="0.15">
      <c r="A2965" s="9"/>
      <c r="C2965" s="9"/>
      <c r="D2965" s="9"/>
    </row>
    <row r="2966" spans="1:4" ht="13" x14ac:dyDescent="0.15">
      <c r="A2966" s="9"/>
      <c r="C2966" s="9"/>
      <c r="D2966" s="9"/>
    </row>
    <row r="2967" spans="1:4" ht="13" x14ac:dyDescent="0.15">
      <c r="A2967" s="9"/>
      <c r="C2967" s="9"/>
      <c r="D2967" s="9"/>
    </row>
    <row r="2968" spans="1:4" ht="13" x14ac:dyDescent="0.15">
      <c r="A2968" s="9"/>
      <c r="C2968" s="9"/>
      <c r="D2968" s="9"/>
    </row>
    <row r="2969" spans="1:4" ht="13" x14ac:dyDescent="0.15">
      <c r="A2969" s="9"/>
      <c r="C2969" s="9"/>
      <c r="D2969" s="9"/>
    </row>
    <row r="2970" spans="1:4" ht="13" x14ac:dyDescent="0.15">
      <c r="A2970" s="9"/>
      <c r="C2970" s="9"/>
      <c r="D2970" s="9"/>
    </row>
    <row r="2971" spans="1:4" ht="13" x14ac:dyDescent="0.15">
      <c r="A2971" s="9"/>
      <c r="C2971" s="9"/>
      <c r="D2971" s="9"/>
    </row>
    <row r="2972" spans="1:4" ht="13" x14ac:dyDescent="0.15">
      <c r="A2972" s="9"/>
      <c r="C2972" s="9"/>
      <c r="D2972" s="9"/>
    </row>
    <row r="2973" spans="1:4" ht="13" x14ac:dyDescent="0.15">
      <c r="A2973" s="9"/>
      <c r="C2973" s="9"/>
      <c r="D2973" s="9"/>
    </row>
    <row r="2974" spans="1:4" ht="13" x14ac:dyDescent="0.15">
      <c r="A2974" s="9"/>
      <c r="C2974" s="9"/>
      <c r="D2974" s="9"/>
    </row>
    <row r="2975" spans="1:4" ht="13" x14ac:dyDescent="0.15">
      <c r="A2975" s="9"/>
      <c r="C2975" s="9"/>
      <c r="D2975" s="9"/>
    </row>
    <row r="2976" spans="1:4" ht="13" x14ac:dyDescent="0.15">
      <c r="A2976" s="9"/>
      <c r="C2976" s="9"/>
      <c r="D2976" s="9"/>
    </row>
    <row r="2977" spans="1:4" ht="13" x14ac:dyDescent="0.15">
      <c r="A2977" s="9"/>
      <c r="C2977" s="9"/>
      <c r="D2977" s="9"/>
    </row>
    <row r="2978" spans="1:4" ht="13" x14ac:dyDescent="0.15">
      <c r="A2978" s="9"/>
      <c r="C2978" s="9"/>
      <c r="D2978" s="9"/>
    </row>
    <row r="2979" spans="1:4" ht="13" x14ac:dyDescent="0.15">
      <c r="A2979" s="9"/>
      <c r="C2979" s="9"/>
      <c r="D2979" s="9"/>
    </row>
    <row r="2980" spans="1:4" ht="13" x14ac:dyDescent="0.15">
      <c r="A2980" s="9"/>
      <c r="C2980" s="9"/>
      <c r="D2980" s="9"/>
    </row>
    <row r="2981" spans="1:4" ht="13" x14ac:dyDescent="0.15">
      <c r="A2981" s="9"/>
      <c r="C2981" s="9"/>
      <c r="D2981" s="9"/>
    </row>
    <row r="2982" spans="1:4" ht="13" x14ac:dyDescent="0.15">
      <c r="A2982" s="9"/>
      <c r="C2982" s="9"/>
      <c r="D2982" s="9"/>
    </row>
    <row r="2983" spans="1:4" ht="13" x14ac:dyDescent="0.15">
      <c r="A2983" s="9"/>
      <c r="C2983" s="9"/>
      <c r="D2983" s="9"/>
    </row>
    <row r="2984" spans="1:4" ht="13" x14ac:dyDescent="0.15">
      <c r="A2984" s="9"/>
      <c r="C2984" s="9"/>
      <c r="D2984" s="9"/>
    </row>
    <row r="2985" spans="1:4" ht="13" x14ac:dyDescent="0.15">
      <c r="A2985" s="9"/>
      <c r="C2985" s="9"/>
      <c r="D2985" s="9"/>
    </row>
    <row r="2986" spans="1:4" ht="13" x14ac:dyDescent="0.15">
      <c r="A2986" s="9"/>
      <c r="C2986" s="9"/>
      <c r="D2986" s="9"/>
    </row>
    <row r="2987" spans="1:4" ht="13" x14ac:dyDescent="0.15">
      <c r="A2987" s="9"/>
      <c r="C2987" s="9"/>
      <c r="D2987" s="9"/>
    </row>
    <row r="2988" spans="1:4" ht="13" x14ac:dyDescent="0.15">
      <c r="A2988" s="9"/>
      <c r="C2988" s="9"/>
      <c r="D2988" s="9"/>
    </row>
    <row r="2989" spans="1:4" ht="13" x14ac:dyDescent="0.15">
      <c r="A2989" s="9"/>
      <c r="C2989" s="9"/>
      <c r="D2989" s="9"/>
    </row>
    <row r="2990" spans="1:4" ht="13" x14ac:dyDescent="0.15">
      <c r="A2990" s="9"/>
      <c r="C2990" s="9"/>
      <c r="D2990" s="9"/>
    </row>
    <row r="2991" spans="1:4" ht="13" x14ac:dyDescent="0.15">
      <c r="A2991" s="9"/>
      <c r="C2991" s="9"/>
      <c r="D2991" s="9"/>
    </row>
    <row r="2992" spans="1:4" ht="13" x14ac:dyDescent="0.15">
      <c r="A2992" s="9"/>
      <c r="C2992" s="9"/>
      <c r="D2992" s="9"/>
    </row>
    <row r="2993" spans="1:4" ht="13" x14ac:dyDescent="0.15">
      <c r="A2993" s="9"/>
      <c r="C2993" s="9"/>
      <c r="D2993" s="9"/>
    </row>
    <row r="2994" spans="1:4" ht="13" x14ac:dyDescent="0.15">
      <c r="A2994" s="9"/>
      <c r="C2994" s="9"/>
      <c r="D2994" s="9"/>
    </row>
    <row r="2995" spans="1:4" ht="13" x14ac:dyDescent="0.15">
      <c r="A2995" s="9"/>
      <c r="C2995" s="9"/>
      <c r="D2995" s="9"/>
    </row>
    <row r="2996" spans="1:4" ht="13" x14ac:dyDescent="0.15">
      <c r="A2996" s="9"/>
      <c r="C2996" s="9"/>
      <c r="D2996" s="9"/>
    </row>
    <row r="2997" spans="1:4" ht="13" x14ac:dyDescent="0.15">
      <c r="A2997" s="9"/>
      <c r="C2997" s="9"/>
      <c r="D2997" s="9"/>
    </row>
    <row r="2998" spans="1:4" ht="13" x14ac:dyDescent="0.15">
      <c r="A2998" s="9"/>
      <c r="C2998" s="9"/>
      <c r="D2998" s="9"/>
    </row>
    <row r="2999" spans="1:4" ht="13" x14ac:dyDescent="0.15">
      <c r="A2999" s="9"/>
      <c r="C2999" s="9"/>
      <c r="D2999" s="9"/>
    </row>
    <row r="3000" spans="1:4" ht="13" x14ac:dyDescent="0.15">
      <c r="A3000" s="9"/>
      <c r="C3000" s="9"/>
      <c r="D3000" s="9"/>
    </row>
    <row r="3001" spans="1:4" ht="13" x14ac:dyDescent="0.15">
      <c r="A3001" s="9"/>
      <c r="C3001" s="9"/>
      <c r="D3001" s="9"/>
    </row>
    <row r="3002" spans="1:4" ht="13" x14ac:dyDescent="0.15">
      <c r="A3002" s="9"/>
      <c r="C3002" s="9"/>
      <c r="D3002" s="9"/>
    </row>
    <row r="3003" spans="1:4" ht="13" x14ac:dyDescent="0.15">
      <c r="A3003" s="9"/>
      <c r="C3003" s="9"/>
      <c r="D3003" s="9"/>
    </row>
    <row r="3004" spans="1:4" ht="13" x14ac:dyDescent="0.15">
      <c r="A3004" s="9"/>
      <c r="C3004" s="9"/>
      <c r="D3004" s="9"/>
    </row>
    <row r="3005" spans="1:4" ht="13" x14ac:dyDescent="0.15">
      <c r="A3005" s="9"/>
      <c r="C3005" s="9"/>
      <c r="D3005" s="9"/>
    </row>
    <row r="3006" spans="1:4" ht="13" x14ac:dyDescent="0.15">
      <c r="A3006" s="9"/>
      <c r="C3006" s="9"/>
      <c r="D3006" s="9"/>
    </row>
    <row r="3007" spans="1:4" ht="13" x14ac:dyDescent="0.15">
      <c r="A3007" s="9"/>
      <c r="C3007" s="9"/>
      <c r="D3007" s="9"/>
    </row>
    <row r="3008" spans="1:4" ht="13" x14ac:dyDescent="0.15">
      <c r="A3008" s="9"/>
      <c r="C3008" s="9"/>
      <c r="D3008" s="9"/>
    </row>
    <row r="3009" spans="1:4" ht="13" x14ac:dyDescent="0.15">
      <c r="A3009" s="9"/>
      <c r="C3009" s="9"/>
      <c r="D3009" s="9"/>
    </row>
    <row r="3010" spans="1:4" ht="13" x14ac:dyDescent="0.15">
      <c r="A3010" s="9"/>
      <c r="C3010" s="9"/>
      <c r="D3010" s="9"/>
    </row>
    <row r="3011" spans="1:4" ht="13" x14ac:dyDescent="0.15">
      <c r="A3011" s="9"/>
      <c r="C3011" s="9"/>
      <c r="D3011" s="9"/>
    </row>
    <row r="3012" spans="1:4" ht="13" x14ac:dyDescent="0.15">
      <c r="A3012" s="9"/>
      <c r="C3012" s="9"/>
      <c r="D3012" s="9"/>
    </row>
    <row r="3013" spans="1:4" ht="13" x14ac:dyDescent="0.15">
      <c r="A3013" s="9"/>
      <c r="C3013" s="9"/>
      <c r="D3013" s="9"/>
    </row>
    <row r="3014" spans="1:4" ht="13" x14ac:dyDescent="0.15">
      <c r="A3014" s="9"/>
      <c r="C3014" s="9"/>
      <c r="D3014" s="9"/>
    </row>
    <row r="3015" spans="1:4" ht="13" x14ac:dyDescent="0.15">
      <c r="A3015" s="9"/>
      <c r="C3015" s="9"/>
      <c r="D3015" s="9"/>
    </row>
    <row r="3016" spans="1:4" ht="13" x14ac:dyDescent="0.15">
      <c r="A3016" s="9"/>
      <c r="C3016" s="9"/>
      <c r="D3016" s="9"/>
    </row>
    <row r="3017" spans="1:4" ht="13" x14ac:dyDescent="0.15">
      <c r="A3017" s="9"/>
      <c r="C3017" s="9"/>
      <c r="D3017" s="9"/>
    </row>
    <row r="3018" spans="1:4" ht="13" x14ac:dyDescent="0.15">
      <c r="A3018" s="9"/>
      <c r="C3018" s="9"/>
      <c r="D3018" s="9"/>
    </row>
    <row r="3019" spans="1:4" ht="13" x14ac:dyDescent="0.15">
      <c r="A3019" s="9"/>
      <c r="C3019" s="9"/>
      <c r="D3019" s="9"/>
    </row>
    <row r="3020" spans="1:4" ht="13" x14ac:dyDescent="0.15">
      <c r="A3020" s="9"/>
      <c r="C3020" s="9"/>
      <c r="D3020" s="9"/>
    </row>
    <row r="3021" spans="1:4" ht="13" x14ac:dyDescent="0.15">
      <c r="A3021" s="9"/>
      <c r="C3021" s="9"/>
      <c r="D3021" s="9"/>
    </row>
    <row r="3022" spans="1:4" ht="13" x14ac:dyDescent="0.15">
      <c r="A3022" s="9"/>
      <c r="C3022" s="9"/>
      <c r="D3022" s="9"/>
    </row>
    <row r="3023" spans="1:4" ht="13" x14ac:dyDescent="0.15">
      <c r="A3023" s="9"/>
      <c r="C3023" s="9"/>
      <c r="D3023" s="9"/>
    </row>
    <row r="3024" spans="1:4" ht="13" x14ac:dyDescent="0.15">
      <c r="A3024" s="9"/>
      <c r="C3024" s="9"/>
      <c r="D3024" s="9"/>
    </row>
    <row r="3025" spans="1:4" ht="13" x14ac:dyDescent="0.15">
      <c r="A3025" s="9"/>
      <c r="C3025" s="9"/>
      <c r="D3025" s="9"/>
    </row>
    <row r="3026" spans="1:4" ht="13" x14ac:dyDescent="0.15">
      <c r="A3026" s="9"/>
      <c r="C3026" s="9"/>
      <c r="D3026" s="9"/>
    </row>
    <row r="3027" spans="1:4" ht="13" x14ac:dyDescent="0.15">
      <c r="A3027" s="9"/>
      <c r="C3027" s="9"/>
      <c r="D3027" s="9"/>
    </row>
    <row r="3028" spans="1:4" ht="13" x14ac:dyDescent="0.15">
      <c r="A3028" s="9"/>
      <c r="C3028" s="9"/>
      <c r="D3028" s="9"/>
    </row>
    <row r="3029" spans="1:4" ht="13" x14ac:dyDescent="0.15">
      <c r="A3029" s="9"/>
      <c r="C3029" s="9"/>
      <c r="D3029" s="9"/>
    </row>
    <row r="3030" spans="1:4" ht="13" x14ac:dyDescent="0.15">
      <c r="A3030" s="9"/>
      <c r="C3030" s="9"/>
      <c r="D3030" s="9"/>
    </row>
    <row r="3031" spans="1:4" ht="13" x14ac:dyDescent="0.15">
      <c r="A3031" s="9"/>
      <c r="C3031" s="9"/>
      <c r="D3031" s="9"/>
    </row>
    <row r="3032" spans="1:4" ht="13" x14ac:dyDescent="0.15">
      <c r="A3032" s="9"/>
      <c r="C3032" s="9"/>
      <c r="D3032" s="9"/>
    </row>
    <row r="3033" spans="1:4" ht="13" x14ac:dyDescent="0.15">
      <c r="A3033" s="9"/>
      <c r="C3033" s="9"/>
      <c r="D3033" s="9"/>
    </row>
    <row r="3034" spans="1:4" ht="13" x14ac:dyDescent="0.15">
      <c r="A3034" s="9"/>
      <c r="C3034" s="9"/>
      <c r="D3034" s="9"/>
    </row>
    <row r="3035" spans="1:4" ht="13" x14ac:dyDescent="0.15">
      <c r="A3035" s="9"/>
      <c r="C3035" s="9"/>
      <c r="D3035" s="9"/>
    </row>
    <row r="3036" spans="1:4" ht="13" x14ac:dyDescent="0.15">
      <c r="A3036" s="9"/>
      <c r="C3036" s="9"/>
      <c r="D3036" s="9"/>
    </row>
    <row r="3037" spans="1:4" ht="13" x14ac:dyDescent="0.15">
      <c r="A3037" s="9"/>
      <c r="C3037" s="9"/>
      <c r="D3037" s="9"/>
    </row>
    <row r="3038" spans="1:4" ht="13" x14ac:dyDescent="0.15">
      <c r="A3038" s="9"/>
      <c r="C3038" s="9"/>
      <c r="D3038" s="9"/>
    </row>
    <row r="3039" spans="1:4" ht="13" x14ac:dyDescent="0.15">
      <c r="A3039" s="9"/>
      <c r="C3039" s="9"/>
      <c r="D3039" s="9"/>
    </row>
    <row r="3040" spans="1:4" ht="13" x14ac:dyDescent="0.15">
      <c r="A3040" s="9"/>
      <c r="C3040" s="9"/>
      <c r="D3040" s="9"/>
    </row>
    <row r="3041" spans="1:4" ht="13" x14ac:dyDescent="0.15">
      <c r="A3041" s="9"/>
      <c r="C3041" s="9"/>
      <c r="D3041" s="9"/>
    </row>
    <row r="3042" spans="1:4" ht="13" x14ac:dyDescent="0.15">
      <c r="A3042" s="9"/>
      <c r="C3042" s="9"/>
      <c r="D3042" s="9"/>
    </row>
    <row r="3043" spans="1:4" ht="13" x14ac:dyDescent="0.15">
      <c r="A3043" s="9"/>
      <c r="C3043" s="9"/>
      <c r="D3043" s="9"/>
    </row>
    <row r="3044" spans="1:4" ht="13" x14ac:dyDescent="0.15">
      <c r="A3044" s="9"/>
      <c r="C3044" s="9"/>
      <c r="D3044" s="9"/>
    </row>
    <row r="3045" spans="1:4" ht="13" x14ac:dyDescent="0.15">
      <c r="A3045" s="9"/>
      <c r="C3045" s="9"/>
      <c r="D3045" s="9"/>
    </row>
    <row r="3046" spans="1:4" ht="13" x14ac:dyDescent="0.15">
      <c r="A3046" s="9"/>
      <c r="C3046" s="9"/>
      <c r="D3046" s="9"/>
    </row>
    <row r="3047" spans="1:4" ht="13" x14ac:dyDescent="0.15">
      <c r="A3047" s="9"/>
      <c r="C3047" s="9"/>
      <c r="D3047" s="9"/>
    </row>
    <row r="3048" spans="1:4" ht="13" x14ac:dyDescent="0.15">
      <c r="A3048" s="9"/>
      <c r="C3048" s="9"/>
      <c r="D3048" s="9"/>
    </row>
    <row r="3049" spans="1:4" ht="13" x14ac:dyDescent="0.15">
      <c r="A3049" s="9"/>
      <c r="C3049" s="9"/>
      <c r="D3049" s="9"/>
    </row>
    <row r="3050" spans="1:4" ht="13" x14ac:dyDescent="0.15">
      <c r="A3050" s="9"/>
      <c r="C3050" s="9"/>
      <c r="D3050" s="9"/>
    </row>
    <row r="3051" spans="1:4" ht="13" x14ac:dyDescent="0.15">
      <c r="A3051" s="9"/>
      <c r="C3051" s="9"/>
      <c r="D3051" s="9"/>
    </row>
    <row r="3052" spans="1:4" ht="13" x14ac:dyDescent="0.15">
      <c r="A3052" s="9"/>
      <c r="C3052" s="9"/>
      <c r="D3052" s="9"/>
    </row>
    <row r="3053" spans="1:4" ht="13" x14ac:dyDescent="0.15">
      <c r="A3053" s="9"/>
      <c r="C3053" s="9"/>
      <c r="D3053" s="9"/>
    </row>
    <row r="3054" spans="1:4" ht="13" x14ac:dyDescent="0.15">
      <c r="A3054" s="9"/>
      <c r="C3054" s="9"/>
      <c r="D3054" s="9"/>
    </row>
    <row r="3055" spans="1:4" ht="13" x14ac:dyDescent="0.15">
      <c r="A3055" s="9"/>
      <c r="C3055" s="9"/>
      <c r="D3055" s="9"/>
    </row>
    <row r="3056" spans="1:4" ht="13" x14ac:dyDescent="0.15">
      <c r="A3056" s="9"/>
      <c r="C3056" s="9"/>
      <c r="D3056" s="9"/>
    </row>
    <row r="3057" spans="1:4" ht="13" x14ac:dyDescent="0.15">
      <c r="A3057" s="9"/>
      <c r="C3057" s="9"/>
      <c r="D3057" s="9"/>
    </row>
    <row r="3058" spans="1:4" ht="13" x14ac:dyDescent="0.15">
      <c r="A3058" s="9"/>
      <c r="C3058" s="9"/>
      <c r="D3058" s="9"/>
    </row>
    <row r="3059" spans="1:4" ht="13" x14ac:dyDescent="0.15">
      <c r="A3059" s="9"/>
      <c r="C3059" s="9"/>
      <c r="D3059" s="9"/>
    </row>
    <row r="3060" spans="1:4" ht="13" x14ac:dyDescent="0.15">
      <c r="A3060" s="9"/>
      <c r="C3060" s="9"/>
      <c r="D3060" s="9"/>
    </row>
    <row r="3061" spans="1:4" ht="13" x14ac:dyDescent="0.15">
      <c r="A3061" s="9"/>
      <c r="C3061" s="9"/>
      <c r="D3061" s="9"/>
    </row>
    <row r="3062" spans="1:4" ht="13" x14ac:dyDescent="0.15">
      <c r="A3062" s="9"/>
      <c r="C3062" s="9"/>
      <c r="D3062" s="9"/>
    </row>
    <row r="3063" spans="1:4" ht="13" x14ac:dyDescent="0.15">
      <c r="A3063" s="9"/>
      <c r="C3063" s="9"/>
      <c r="D3063" s="9"/>
    </row>
    <row r="3064" spans="1:4" ht="13" x14ac:dyDescent="0.15">
      <c r="A3064" s="9"/>
      <c r="C3064" s="9"/>
      <c r="D3064" s="9"/>
    </row>
    <row r="3065" spans="1:4" ht="13" x14ac:dyDescent="0.15">
      <c r="A3065" s="9"/>
      <c r="C3065" s="9"/>
      <c r="D3065" s="9"/>
    </row>
    <row r="3066" spans="1:4" ht="13" x14ac:dyDescent="0.15">
      <c r="A3066" s="9"/>
      <c r="C3066" s="9"/>
      <c r="D3066" s="9"/>
    </row>
    <row r="3067" spans="1:4" ht="13" x14ac:dyDescent="0.15">
      <c r="A3067" s="9"/>
      <c r="C3067" s="9"/>
      <c r="D3067" s="9"/>
    </row>
    <row r="3068" spans="1:4" ht="13" x14ac:dyDescent="0.15">
      <c r="A3068" s="9"/>
      <c r="C3068" s="9"/>
      <c r="D3068" s="9"/>
    </row>
    <row r="3069" spans="1:4" ht="13" x14ac:dyDescent="0.15">
      <c r="A3069" s="9"/>
      <c r="C3069" s="9"/>
      <c r="D3069" s="9"/>
    </row>
    <row r="3070" spans="1:4" ht="13" x14ac:dyDescent="0.15">
      <c r="A3070" s="9"/>
      <c r="C3070" s="9"/>
      <c r="D3070" s="9"/>
    </row>
    <row r="3071" spans="1:4" ht="13" x14ac:dyDescent="0.15">
      <c r="A3071" s="9"/>
      <c r="C3071" s="9"/>
      <c r="D3071" s="9"/>
    </row>
    <row r="3072" spans="1:4" ht="13" x14ac:dyDescent="0.15">
      <c r="A3072" s="9"/>
      <c r="C3072" s="9"/>
      <c r="D3072" s="9"/>
    </row>
    <row r="3073" spans="1:4" ht="13" x14ac:dyDescent="0.15">
      <c r="A3073" s="9"/>
      <c r="C3073" s="9"/>
      <c r="D3073" s="9"/>
    </row>
    <row r="3074" spans="1:4" ht="13" x14ac:dyDescent="0.15">
      <c r="A3074" s="9"/>
      <c r="C3074" s="9"/>
      <c r="D3074" s="9"/>
    </row>
    <row r="3075" spans="1:4" ht="13" x14ac:dyDescent="0.15">
      <c r="A3075" s="9"/>
      <c r="C3075" s="9"/>
      <c r="D3075" s="9"/>
    </row>
    <row r="3076" spans="1:4" ht="13" x14ac:dyDescent="0.15">
      <c r="A3076" s="9"/>
      <c r="C3076" s="9"/>
      <c r="D3076" s="9"/>
    </row>
    <row r="3077" spans="1:4" ht="13" x14ac:dyDescent="0.15">
      <c r="A3077" s="9"/>
      <c r="C3077" s="9"/>
      <c r="D3077" s="9"/>
    </row>
    <row r="3078" spans="1:4" ht="13" x14ac:dyDescent="0.15">
      <c r="A3078" s="9"/>
      <c r="C3078" s="9"/>
      <c r="D3078" s="9"/>
    </row>
    <row r="3079" spans="1:4" ht="13" x14ac:dyDescent="0.15">
      <c r="A3079" s="9"/>
      <c r="C3079" s="9"/>
      <c r="D3079" s="9"/>
    </row>
    <row r="3080" spans="1:4" ht="13" x14ac:dyDescent="0.15">
      <c r="A3080" s="9"/>
      <c r="C3080" s="9"/>
      <c r="D3080" s="9"/>
    </row>
    <row r="3081" spans="1:4" ht="13" x14ac:dyDescent="0.15">
      <c r="A3081" s="9"/>
      <c r="C3081" s="9"/>
      <c r="D3081" s="9"/>
    </row>
    <row r="3082" spans="1:4" ht="13" x14ac:dyDescent="0.15">
      <c r="A3082" s="9"/>
      <c r="C3082" s="9"/>
      <c r="D3082" s="9"/>
    </row>
    <row r="3083" spans="1:4" ht="13" x14ac:dyDescent="0.15">
      <c r="A3083" s="9"/>
      <c r="C3083" s="9"/>
      <c r="D3083" s="9"/>
    </row>
    <row r="3084" spans="1:4" ht="13" x14ac:dyDescent="0.15">
      <c r="A3084" s="9"/>
      <c r="C3084" s="9"/>
      <c r="D3084" s="9"/>
    </row>
    <row r="3085" spans="1:4" ht="13" x14ac:dyDescent="0.15">
      <c r="A3085" s="9"/>
      <c r="C3085" s="9"/>
      <c r="D3085" s="9"/>
    </row>
    <row r="3086" spans="1:4" ht="13" x14ac:dyDescent="0.15">
      <c r="A3086" s="9"/>
      <c r="C3086" s="9"/>
      <c r="D3086" s="9"/>
    </row>
    <row r="3087" spans="1:4" ht="13" x14ac:dyDescent="0.15">
      <c r="A3087" s="9"/>
      <c r="C3087" s="9"/>
      <c r="D3087" s="9"/>
    </row>
    <row r="3088" spans="1:4" ht="13" x14ac:dyDescent="0.15">
      <c r="A3088" s="9"/>
      <c r="C3088" s="9"/>
      <c r="D3088" s="9"/>
    </row>
    <row r="3089" spans="1:4" ht="13" x14ac:dyDescent="0.15">
      <c r="A3089" s="9"/>
      <c r="C3089" s="9"/>
      <c r="D3089" s="9"/>
    </row>
    <row r="3090" spans="1:4" ht="13" x14ac:dyDescent="0.15">
      <c r="A3090" s="9"/>
      <c r="C3090" s="9"/>
      <c r="D3090" s="9"/>
    </row>
    <row r="3091" spans="1:4" ht="13" x14ac:dyDescent="0.15">
      <c r="A3091" s="9"/>
      <c r="C3091" s="9"/>
      <c r="D3091" s="9"/>
    </row>
    <row r="3092" spans="1:4" ht="13" x14ac:dyDescent="0.15">
      <c r="A3092" s="9"/>
      <c r="C3092" s="9"/>
      <c r="D3092" s="9"/>
    </row>
    <row r="3093" spans="1:4" ht="13" x14ac:dyDescent="0.15">
      <c r="A3093" s="9"/>
      <c r="C3093" s="9"/>
      <c r="D3093" s="9"/>
    </row>
    <row r="3094" spans="1:4" ht="13" x14ac:dyDescent="0.15">
      <c r="A3094" s="9"/>
      <c r="C3094" s="9"/>
      <c r="D3094" s="9"/>
    </row>
    <row r="3095" spans="1:4" ht="13" x14ac:dyDescent="0.15">
      <c r="A3095" s="9"/>
      <c r="C3095" s="9"/>
      <c r="D3095" s="9"/>
    </row>
    <row r="3096" spans="1:4" ht="13" x14ac:dyDescent="0.15">
      <c r="A3096" s="9"/>
      <c r="C3096" s="9"/>
      <c r="D3096" s="9"/>
    </row>
    <row r="3097" spans="1:4" ht="13" x14ac:dyDescent="0.15">
      <c r="A3097" s="9"/>
      <c r="C3097" s="9"/>
      <c r="D3097" s="9"/>
    </row>
    <row r="3098" spans="1:4" ht="13" x14ac:dyDescent="0.15">
      <c r="A3098" s="9"/>
      <c r="C3098" s="9"/>
      <c r="D3098" s="9"/>
    </row>
    <row r="3099" spans="1:4" ht="13" x14ac:dyDescent="0.15">
      <c r="A3099" s="9"/>
      <c r="C3099" s="9"/>
      <c r="D3099" s="9"/>
    </row>
    <row r="3100" spans="1:4" ht="13" x14ac:dyDescent="0.15">
      <c r="A3100" s="9"/>
      <c r="C3100" s="9"/>
      <c r="D3100" s="9"/>
    </row>
    <row r="3101" spans="1:4" ht="13" x14ac:dyDescent="0.15">
      <c r="A3101" s="9"/>
      <c r="C3101" s="9"/>
      <c r="D3101" s="9"/>
    </row>
    <row r="3102" spans="1:4" ht="13" x14ac:dyDescent="0.15">
      <c r="A3102" s="9"/>
      <c r="C3102" s="9"/>
      <c r="D3102" s="9"/>
    </row>
    <row r="3103" spans="1:4" ht="13" x14ac:dyDescent="0.15">
      <c r="A3103" s="9"/>
      <c r="C3103" s="9"/>
      <c r="D3103" s="9"/>
    </row>
    <row r="3104" spans="1:4" ht="13" x14ac:dyDescent="0.15">
      <c r="A3104" s="9"/>
      <c r="C3104" s="9"/>
      <c r="D3104" s="9"/>
    </row>
    <row r="3105" spans="1:4" ht="13" x14ac:dyDescent="0.15">
      <c r="A3105" s="9"/>
      <c r="C3105" s="9"/>
      <c r="D3105" s="9"/>
    </row>
    <row r="3106" spans="1:4" ht="13" x14ac:dyDescent="0.15">
      <c r="A3106" s="9"/>
      <c r="C3106" s="9"/>
      <c r="D3106" s="9"/>
    </row>
    <row r="3107" spans="1:4" ht="13" x14ac:dyDescent="0.15">
      <c r="A3107" s="9"/>
      <c r="C3107" s="9"/>
      <c r="D3107" s="9"/>
    </row>
    <row r="3108" spans="1:4" ht="13" x14ac:dyDescent="0.15">
      <c r="A3108" s="9"/>
      <c r="C3108" s="9"/>
      <c r="D3108" s="9"/>
    </row>
    <row r="3109" spans="1:4" ht="13" x14ac:dyDescent="0.15">
      <c r="A3109" s="9"/>
      <c r="C3109" s="9"/>
      <c r="D3109" s="9"/>
    </row>
    <row r="3110" spans="1:4" ht="13" x14ac:dyDescent="0.15">
      <c r="A3110" s="9"/>
      <c r="C3110" s="9"/>
      <c r="D3110" s="9"/>
    </row>
    <row r="3111" spans="1:4" ht="13" x14ac:dyDescent="0.15">
      <c r="A3111" s="9"/>
      <c r="C3111" s="9"/>
      <c r="D3111" s="9"/>
    </row>
    <row r="3112" spans="1:4" ht="13" x14ac:dyDescent="0.15">
      <c r="A3112" s="9"/>
      <c r="C3112" s="9"/>
      <c r="D3112" s="9"/>
    </row>
    <row r="3113" spans="1:4" ht="13" x14ac:dyDescent="0.15">
      <c r="A3113" s="9"/>
      <c r="C3113" s="9"/>
      <c r="D3113" s="9"/>
    </row>
    <row r="3114" spans="1:4" ht="13" x14ac:dyDescent="0.15">
      <c r="A3114" s="9"/>
      <c r="C3114" s="9"/>
      <c r="D3114" s="9"/>
    </row>
    <row r="3115" spans="1:4" ht="13" x14ac:dyDescent="0.15">
      <c r="A3115" s="9"/>
      <c r="C3115" s="9"/>
      <c r="D3115" s="9"/>
    </row>
    <row r="3116" spans="1:4" ht="13" x14ac:dyDescent="0.15">
      <c r="A3116" s="9"/>
      <c r="C3116" s="9"/>
      <c r="D3116" s="9"/>
    </row>
    <row r="3117" spans="1:4" ht="13" x14ac:dyDescent="0.15">
      <c r="A3117" s="9"/>
      <c r="C3117" s="9"/>
      <c r="D3117" s="9"/>
    </row>
    <row r="3118" spans="1:4" ht="13" x14ac:dyDescent="0.15">
      <c r="A3118" s="9"/>
      <c r="C3118" s="9"/>
      <c r="D3118" s="9"/>
    </row>
    <row r="3119" spans="1:4" ht="13" x14ac:dyDescent="0.15">
      <c r="A3119" s="9"/>
      <c r="C3119" s="9"/>
      <c r="D3119" s="9"/>
    </row>
    <row r="3120" spans="1:4" ht="13" x14ac:dyDescent="0.15">
      <c r="A3120" s="9"/>
      <c r="C3120" s="9"/>
      <c r="D3120" s="9"/>
    </row>
    <row r="3121" spans="1:4" ht="13" x14ac:dyDescent="0.15">
      <c r="A3121" s="9"/>
      <c r="C3121" s="9"/>
      <c r="D3121" s="9"/>
    </row>
    <row r="3122" spans="1:4" ht="13" x14ac:dyDescent="0.15">
      <c r="A3122" s="9"/>
      <c r="C3122" s="9"/>
      <c r="D3122" s="9"/>
    </row>
    <row r="3123" spans="1:4" ht="13" x14ac:dyDescent="0.15">
      <c r="A3123" s="9"/>
      <c r="C3123" s="9"/>
      <c r="D3123" s="9"/>
    </row>
    <row r="3124" spans="1:4" ht="13" x14ac:dyDescent="0.15">
      <c r="A3124" s="9"/>
      <c r="C3124" s="9"/>
      <c r="D3124" s="9"/>
    </row>
    <row r="3125" spans="1:4" ht="13" x14ac:dyDescent="0.15">
      <c r="A3125" s="9"/>
      <c r="C3125" s="9"/>
      <c r="D3125" s="9"/>
    </row>
    <row r="3126" spans="1:4" ht="13" x14ac:dyDescent="0.15">
      <c r="A3126" s="9"/>
      <c r="C3126" s="9"/>
      <c r="D3126" s="9"/>
    </row>
    <row r="3127" spans="1:4" ht="13" x14ac:dyDescent="0.15">
      <c r="A3127" s="9"/>
      <c r="C3127" s="9"/>
      <c r="D3127" s="9"/>
    </row>
    <row r="3128" spans="1:4" ht="13" x14ac:dyDescent="0.15">
      <c r="A3128" s="9"/>
      <c r="C3128" s="9"/>
      <c r="D3128" s="9"/>
    </row>
    <row r="3129" spans="1:4" ht="13" x14ac:dyDescent="0.15">
      <c r="A3129" s="9"/>
      <c r="C3129" s="9"/>
      <c r="D3129" s="9"/>
    </row>
    <row r="3130" spans="1:4" ht="13" x14ac:dyDescent="0.15">
      <c r="A3130" s="9"/>
      <c r="C3130" s="9"/>
      <c r="D3130" s="9"/>
    </row>
    <row r="3131" spans="1:4" ht="13" x14ac:dyDescent="0.15">
      <c r="A3131" s="9"/>
      <c r="C3131" s="9"/>
      <c r="D3131" s="9"/>
    </row>
    <row r="3132" spans="1:4" ht="13" x14ac:dyDescent="0.15">
      <c r="A3132" s="9"/>
      <c r="C3132" s="9"/>
      <c r="D3132" s="9"/>
    </row>
    <row r="3133" spans="1:4" ht="13" x14ac:dyDescent="0.15">
      <c r="A3133" s="9"/>
      <c r="C3133" s="9"/>
      <c r="D3133" s="9"/>
    </row>
    <row r="3134" spans="1:4" ht="13" x14ac:dyDescent="0.15">
      <c r="A3134" s="9"/>
      <c r="C3134" s="9"/>
      <c r="D3134" s="9"/>
    </row>
    <row r="3135" spans="1:4" ht="13" x14ac:dyDescent="0.15">
      <c r="A3135" s="9"/>
      <c r="C3135" s="9"/>
      <c r="D3135" s="9"/>
    </row>
    <row r="3136" spans="1:4" ht="13" x14ac:dyDescent="0.15">
      <c r="A3136" s="9"/>
      <c r="C3136" s="9"/>
      <c r="D3136" s="9"/>
    </row>
    <row r="3137" spans="1:4" ht="13" x14ac:dyDescent="0.15">
      <c r="A3137" s="9"/>
      <c r="C3137" s="9"/>
      <c r="D3137" s="9"/>
    </row>
    <row r="3138" spans="1:4" ht="13" x14ac:dyDescent="0.15">
      <c r="A3138" s="9"/>
      <c r="C3138" s="9"/>
      <c r="D3138" s="9"/>
    </row>
    <row r="3139" spans="1:4" ht="13" x14ac:dyDescent="0.15">
      <c r="A3139" s="9"/>
      <c r="C3139" s="9"/>
      <c r="D3139" s="9"/>
    </row>
    <row r="3140" spans="1:4" ht="13" x14ac:dyDescent="0.15">
      <c r="A3140" s="9"/>
      <c r="C3140" s="9"/>
      <c r="D3140" s="9"/>
    </row>
    <row r="3141" spans="1:4" ht="13" x14ac:dyDescent="0.15">
      <c r="A3141" s="9"/>
      <c r="C3141" s="9"/>
      <c r="D3141" s="9"/>
    </row>
    <row r="3142" spans="1:4" ht="13" x14ac:dyDescent="0.15">
      <c r="A3142" s="9"/>
      <c r="C3142" s="9"/>
      <c r="D3142" s="9"/>
    </row>
    <row r="3143" spans="1:4" ht="13" x14ac:dyDescent="0.15">
      <c r="A3143" s="9"/>
      <c r="C3143" s="9"/>
      <c r="D3143" s="9"/>
    </row>
    <row r="3144" spans="1:4" ht="13" x14ac:dyDescent="0.15">
      <c r="A3144" s="9"/>
      <c r="C3144" s="9"/>
      <c r="D3144" s="9"/>
    </row>
    <row r="3145" spans="1:4" ht="13" x14ac:dyDescent="0.15">
      <c r="A3145" s="9"/>
      <c r="C3145" s="9"/>
      <c r="D3145" s="9"/>
    </row>
    <row r="3146" spans="1:4" ht="13" x14ac:dyDescent="0.15">
      <c r="A3146" s="9"/>
      <c r="C3146" s="9"/>
      <c r="D3146" s="9"/>
    </row>
    <row r="3147" spans="1:4" ht="13" x14ac:dyDescent="0.15">
      <c r="A3147" s="9"/>
      <c r="C3147" s="9"/>
      <c r="D3147" s="9"/>
    </row>
    <row r="3148" spans="1:4" ht="13" x14ac:dyDescent="0.15">
      <c r="A3148" s="9"/>
      <c r="C3148" s="9"/>
      <c r="D3148" s="9"/>
    </row>
    <row r="3149" spans="1:4" ht="13" x14ac:dyDescent="0.15">
      <c r="A3149" s="9"/>
      <c r="C3149" s="9"/>
      <c r="D3149" s="9"/>
    </row>
    <row r="3150" spans="1:4" ht="13" x14ac:dyDescent="0.15">
      <c r="A3150" s="9"/>
      <c r="C3150" s="9"/>
      <c r="D3150" s="9"/>
    </row>
    <row r="3151" spans="1:4" ht="13" x14ac:dyDescent="0.15">
      <c r="A3151" s="9"/>
      <c r="C3151" s="9"/>
      <c r="D3151" s="9"/>
    </row>
    <row r="3152" spans="1:4" ht="13" x14ac:dyDescent="0.15">
      <c r="A3152" s="9"/>
      <c r="C3152" s="9"/>
      <c r="D3152" s="9"/>
    </row>
    <row r="3153" spans="1:4" ht="13" x14ac:dyDescent="0.15">
      <c r="A3153" s="9"/>
      <c r="C3153" s="9"/>
      <c r="D3153" s="9"/>
    </row>
    <row r="3154" spans="1:4" ht="13" x14ac:dyDescent="0.15">
      <c r="A3154" s="9"/>
      <c r="C3154" s="9"/>
      <c r="D3154" s="9"/>
    </row>
    <row r="3155" spans="1:4" ht="13" x14ac:dyDescent="0.15">
      <c r="A3155" s="9"/>
      <c r="C3155" s="9"/>
      <c r="D3155" s="9"/>
    </row>
    <row r="3156" spans="1:4" ht="13" x14ac:dyDescent="0.15">
      <c r="A3156" s="9"/>
      <c r="C3156" s="9"/>
      <c r="D3156" s="9"/>
    </row>
    <row r="3157" spans="1:4" ht="13" x14ac:dyDescent="0.15">
      <c r="A3157" s="9"/>
      <c r="C3157" s="9"/>
      <c r="D3157" s="9"/>
    </row>
    <row r="3158" spans="1:4" ht="13" x14ac:dyDescent="0.15">
      <c r="A3158" s="9"/>
      <c r="C3158" s="9"/>
      <c r="D3158" s="9"/>
    </row>
    <row r="3159" spans="1:4" ht="13" x14ac:dyDescent="0.15">
      <c r="A3159" s="9"/>
      <c r="C3159" s="9"/>
      <c r="D3159" s="9"/>
    </row>
    <row r="3160" spans="1:4" ht="13" x14ac:dyDescent="0.15">
      <c r="A3160" s="9"/>
      <c r="C3160" s="9"/>
      <c r="D3160" s="9"/>
    </row>
    <row r="3161" spans="1:4" ht="13" x14ac:dyDescent="0.15">
      <c r="A3161" s="9"/>
      <c r="C3161" s="9"/>
      <c r="D3161" s="9"/>
    </row>
    <row r="3162" spans="1:4" ht="13" x14ac:dyDescent="0.15">
      <c r="A3162" s="9"/>
      <c r="C3162" s="9"/>
      <c r="D3162" s="9"/>
    </row>
    <row r="3163" spans="1:4" ht="13" x14ac:dyDescent="0.15">
      <c r="A3163" s="9"/>
      <c r="C3163" s="9"/>
      <c r="D3163" s="9"/>
    </row>
    <row r="3164" spans="1:4" ht="13" x14ac:dyDescent="0.15">
      <c r="A3164" s="9"/>
      <c r="C3164" s="9"/>
      <c r="D3164" s="9"/>
    </row>
    <row r="3165" spans="1:4" ht="13" x14ac:dyDescent="0.15">
      <c r="A3165" s="9"/>
      <c r="C3165" s="9"/>
      <c r="D3165" s="9"/>
    </row>
    <row r="3166" spans="1:4" ht="13" x14ac:dyDescent="0.15">
      <c r="A3166" s="9"/>
      <c r="C3166" s="9"/>
      <c r="D3166" s="9"/>
    </row>
    <row r="3167" spans="1:4" ht="13" x14ac:dyDescent="0.15">
      <c r="A3167" s="9"/>
      <c r="C3167" s="9"/>
      <c r="D3167" s="9"/>
    </row>
    <row r="3168" spans="1:4" ht="13" x14ac:dyDescent="0.15">
      <c r="A3168" s="9"/>
      <c r="C3168" s="9"/>
      <c r="D3168" s="9"/>
    </row>
    <row r="3169" spans="1:4" ht="13" x14ac:dyDescent="0.15">
      <c r="A3169" s="9"/>
      <c r="C3169" s="9"/>
      <c r="D3169" s="9"/>
    </row>
    <row r="3170" spans="1:4" ht="13" x14ac:dyDescent="0.15">
      <c r="A3170" s="9"/>
      <c r="C3170" s="9"/>
      <c r="D3170" s="9"/>
    </row>
    <row r="3171" spans="1:4" ht="13" x14ac:dyDescent="0.15">
      <c r="A3171" s="9"/>
      <c r="C3171" s="9"/>
      <c r="D3171" s="9"/>
    </row>
    <row r="3172" spans="1:4" ht="13" x14ac:dyDescent="0.15">
      <c r="A3172" s="9"/>
      <c r="C3172" s="9"/>
      <c r="D3172" s="9"/>
    </row>
    <row r="3173" spans="1:4" ht="13" x14ac:dyDescent="0.15">
      <c r="A3173" s="9"/>
      <c r="C3173" s="9"/>
      <c r="D3173" s="9"/>
    </row>
    <row r="3174" spans="1:4" ht="13" x14ac:dyDescent="0.15">
      <c r="A3174" s="9"/>
      <c r="C3174" s="9"/>
      <c r="D3174" s="9"/>
    </row>
    <row r="3175" spans="1:4" ht="13" x14ac:dyDescent="0.15">
      <c r="A3175" s="9"/>
      <c r="C3175" s="9"/>
      <c r="D3175" s="9"/>
    </row>
    <row r="3176" spans="1:4" ht="13" x14ac:dyDescent="0.15">
      <c r="A3176" s="9"/>
      <c r="C3176" s="9"/>
      <c r="D3176" s="9"/>
    </row>
    <row r="3177" spans="1:4" ht="13" x14ac:dyDescent="0.15">
      <c r="A3177" s="9"/>
      <c r="C3177" s="9"/>
      <c r="D3177" s="9"/>
    </row>
    <row r="3178" spans="1:4" ht="13" x14ac:dyDescent="0.15">
      <c r="A3178" s="9"/>
      <c r="C3178" s="9"/>
      <c r="D3178" s="9"/>
    </row>
    <row r="3179" spans="1:4" ht="13" x14ac:dyDescent="0.15">
      <c r="A3179" s="9"/>
      <c r="C3179" s="9"/>
      <c r="D3179" s="9"/>
    </row>
    <row r="3180" spans="1:4" ht="13" x14ac:dyDescent="0.15">
      <c r="A3180" s="9"/>
      <c r="C3180" s="9"/>
      <c r="D3180" s="9"/>
    </row>
    <row r="3181" spans="1:4" ht="13" x14ac:dyDescent="0.15">
      <c r="A3181" s="9"/>
      <c r="C3181" s="9"/>
      <c r="D3181" s="9"/>
    </row>
    <row r="3182" spans="1:4" ht="13" x14ac:dyDescent="0.15">
      <c r="A3182" s="9"/>
      <c r="C3182" s="9"/>
      <c r="D3182" s="9"/>
    </row>
    <row r="3183" spans="1:4" ht="13" x14ac:dyDescent="0.15">
      <c r="A3183" s="9"/>
      <c r="C3183" s="9"/>
      <c r="D3183" s="9"/>
    </row>
    <row r="3184" spans="1:4" ht="13" x14ac:dyDescent="0.15">
      <c r="A3184" s="9"/>
      <c r="C3184" s="9"/>
      <c r="D3184" s="9"/>
    </row>
    <row r="3185" spans="1:4" ht="13" x14ac:dyDescent="0.15">
      <c r="A3185" s="9"/>
      <c r="C3185" s="9"/>
      <c r="D3185" s="9"/>
    </row>
    <row r="3186" spans="1:4" ht="13" x14ac:dyDescent="0.15">
      <c r="A3186" s="9"/>
      <c r="C3186" s="9"/>
      <c r="D3186" s="9"/>
    </row>
    <row r="3187" spans="1:4" ht="13" x14ac:dyDescent="0.15">
      <c r="A3187" s="9"/>
      <c r="C3187" s="9"/>
      <c r="D3187" s="9"/>
    </row>
    <row r="3188" spans="1:4" ht="13" x14ac:dyDescent="0.15">
      <c r="A3188" s="9"/>
      <c r="C3188" s="9"/>
      <c r="D3188" s="9"/>
    </row>
    <row r="3189" spans="1:4" ht="13" x14ac:dyDescent="0.15">
      <c r="A3189" s="9"/>
      <c r="C3189" s="9"/>
      <c r="D3189" s="9"/>
    </row>
    <row r="3190" spans="1:4" ht="13" x14ac:dyDescent="0.15">
      <c r="A3190" s="9"/>
      <c r="C3190" s="9"/>
      <c r="D3190" s="9"/>
    </row>
    <row r="3191" spans="1:4" ht="13" x14ac:dyDescent="0.15">
      <c r="A3191" s="9"/>
      <c r="C3191" s="9"/>
      <c r="D3191" s="9"/>
    </row>
    <row r="3192" spans="1:4" ht="13" x14ac:dyDescent="0.15">
      <c r="A3192" s="9"/>
      <c r="C3192" s="9"/>
      <c r="D3192" s="9"/>
    </row>
    <row r="3193" spans="1:4" ht="13" x14ac:dyDescent="0.15">
      <c r="A3193" s="9"/>
      <c r="C3193" s="9"/>
      <c r="D3193" s="9"/>
    </row>
    <row r="3194" spans="1:4" ht="13" x14ac:dyDescent="0.15">
      <c r="A3194" s="9"/>
      <c r="C3194" s="9"/>
      <c r="D3194" s="9"/>
    </row>
    <row r="3195" spans="1:4" ht="13" x14ac:dyDescent="0.15">
      <c r="A3195" s="9"/>
      <c r="C3195" s="9"/>
      <c r="D3195" s="9"/>
    </row>
    <row r="3196" spans="1:4" ht="13" x14ac:dyDescent="0.15">
      <c r="A3196" s="9"/>
      <c r="C3196" s="9"/>
      <c r="D3196" s="9"/>
    </row>
    <row r="3197" spans="1:4" ht="13" x14ac:dyDescent="0.15">
      <c r="A3197" s="9"/>
      <c r="C3197" s="9"/>
      <c r="D3197" s="9"/>
    </row>
    <row r="3198" spans="1:4" ht="13" x14ac:dyDescent="0.15">
      <c r="A3198" s="9"/>
      <c r="C3198" s="9"/>
      <c r="D3198" s="9"/>
    </row>
    <row r="3199" spans="1:4" ht="13" x14ac:dyDescent="0.15">
      <c r="A3199" s="9"/>
      <c r="C3199" s="9"/>
      <c r="D3199" s="9"/>
    </row>
    <row r="3200" spans="1:4" ht="13" x14ac:dyDescent="0.15">
      <c r="A3200" s="9"/>
      <c r="C3200" s="9"/>
      <c r="D3200" s="9"/>
    </row>
    <row r="3201" spans="1:4" ht="13" x14ac:dyDescent="0.15">
      <c r="A3201" s="9"/>
      <c r="C3201" s="9"/>
      <c r="D3201" s="9"/>
    </row>
    <row r="3202" spans="1:4" ht="13" x14ac:dyDescent="0.15">
      <c r="A3202" s="9"/>
      <c r="C3202" s="9"/>
      <c r="D3202" s="9"/>
    </row>
    <row r="3203" spans="1:4" ht="13" x14ac:dyDescent="0.15">
      <c r="A3203" s="9"/>
      <c r="C3203" s="9"/>
      <c r="D3203" s="9"/>
    </row>
    <row r="3204" spans="1:4" ht="13" x14ac:dyDescent="0.15">
      <c r="A3204" s="9"/>
      <c r="C3204" s="9"/>
      <c r="D3204" s="9"/>
    </row>
    <row r="3205" spans="1:4" ht="13" x14ac:dyDescent="0.15">
      <c r="A3205" s="9"/>
      <c r="C3205" s="9"/>
      <c r="D3205" s="9"/>
    </row>
    <row r="3206" spans="1:4" ht="13" x14ac:dyDescent="0.15">
      <c r="A3206" s="9"/>
      <c r="C3206" s="9"/>
      <c r="D3206" s="9"/>
    </row>
    <row r="3207" spans="1:4" ht="13" x14ac:dyDescent="0.15">
      <c r="A3207" s="9"/>
      <c r="C3207" s="9"/>
      <c r="D3207" s="9"/>
    </row>
    <row r="3208" spans="1:4" ht="13" x14ac:dyDescent="0.15">
      <c r="A3208" s="9"/>
      <c r="C3208" s="9"/>
      <c r="D3208" s="9"/>
    </row>
    <row r="3209" spans="1:4" ht="13" x14ac:dyDescent="0.15">
      <c r="A3209" s="9"/>
      <c r="C3209" s="9"/>
      <c r="D3209" s="9"/>
    </row>
    <row r="3210" spans="1:4" ht="13" x14ac:dyDescent="0.15">
      <c r="A3210" s="9"/>
      <c r="C3210" s="9"/>
      <c r="D3210" s="9"/>
    </row>
    <row r="3211" spans="1:4" ht="13" x14ac:dyDescent="0.15">
      <c r="A3211" s="9"/>
      <c r="C3211" s="9"/>
      <c r="D3211" s="9"/>
    </row>
    <row r="3212" spans="1:4" ht="13" x14ac:dyDescent="0.15">
      <c r="A3212" s="9"/>
      <c r="C3212" s="9"/>
      <c r="D3212" s="9"/>
    </row>
    <row r="3213" spans="1:4" ht="13" x14ac:dyDescent="0.15">
      <c r="A3213" s="9"/>
      <c r="C3213" s="9"/>
      <c r="D3213" s="9"/>
    </row>
    <row r="3214" spans="1:4" ht="13" x14ac:dyDescent="0.15">
      <c r="A3214" s="9"/>
      <c r="C3214" s="9"/>
      <c r="D3214" s="9"/>
    </row>
    <row r="3215" spans="1:4" ht="13" x14ac:dyDescent="0.15">
      <c r="A3215" s="9"/>
      <c r="C3215" s="9"/>
      <c r="D3215" s="9"/>
    </row>
    <row r="3216" spans="1:4" ht="13" x14ac:dyDescent="0.15">
      <c r="A3216" s="9"/>
      <c r="C3216" s="9"/>
      <c r="D3216" s="9"/>
    </row>
    <row r="3217" spans="1:4" ht="13" x14ac:dyDescent="0.15">
      <c r="A3217" s="9"/>
      <c r="C3217" s="9"/>
      <c r="D3217" s="9"/>
    </row>
    <row r="3218" spans="1:4" ht="13" x14ac:dyDescent="0.15">
      <c r="A3218" s="9"/>
      <c r="C3218" s="9"/>
      <c r="D3218" s="9"/>
    </row>
    <row r="3219" spans="1:4" ht="13" x14ac:dyDescent="0.15">
      <c r="A3219" s="9"/>
      <c r="C3219" s="9"/>
      <c r="D3219" s="9"/>
    </row>
    <row r="3220" spans="1:4" ht="13" x14ac:dyDescent="0.15">
      <c r="A3220" s="9"/>
      <c r="C3220" s="9"/>
      <c r="D3220" s="9"/>
    </row>
    <row r="3221" spans="1:4" ht="13" x14ac:dyDescent="0.15">
      <c r="A3221" s="9"/>
      <c r="C3221" s="9"/>
      <c r="D3221" s="9"/>
    </row>
    <row r="3222" spans="1:4" ht="13" x14ac:dyDescent="0.15">
      <c r="A3222" s="9"/>
      <c r="C3222" s="9"/>
      <c r="D3222" s="9"/>
    </row>
    <row r="3223" spans="1:4" ht="13" x14ac:dyDescent="0.15">
      <c r="A3223" s="9"/>
      <c r="C3223" s="9"/>
      <c r="D3223" s="9"/>
    </row>
    <row r="3224" spans="1:4" ht="13" x14ac:dyDescent="0.15">
      <c r="A3224" s="9"/>
      <c r="C3224" s="9"/>
      <c r="D3224" s="9"/>
    </row>
    <row r="3225" spans="1:4" ht="13" x14ac:dyDescent="0.15">
      <c r="A3225" s="9"/>
      <c r="C3225" s="9"/>
      <c r="D3225" s="9"/>
    </row>
    <row r="3226" spans="1:4" ht="13" x14ac:dyDescent="0.15">
      <c r="A3226" s="9"/>
      <c r="C3226" s="9"/>
      <c r="D3226" s="9"/>
    </row>
    <row r="3227" spans="1:4" ht="13" x14ac:dyDescent="0.15">
      <c r="A3227" s="9"/>
      <c r="C3227" s="9"/>
      <c r="D3227" s="9"/>
    </row>
    <row r="3228" spans="1:4" ht="13" x14ac:dyDescent="0.15">
      <c r="A3228" s="9"/>
      <c r="C3228" s="9"/>
      <c r="D3228" s="9"/>
    </row>
    <row r="3229" spans="1:4" ht="13" x14ac:dyDescent="0.15">
      <c r="A3229" s="9"/>
      <c r="C3229" s="9"/>
      <c r="D3229" s="9"/>
    </row>
    <row r="3230" spans="1:4" ht="13" x14ac:dyDescent="0.15">
      <c r="A3230" s="9"/>
      <c r="C3230" s="9"/>
      <c r="D3230" s="9"/>
    </row>
    <row r="3231" spans="1:4" ht="13" x14ac:dyDescent="0.15">
      <c r="A3231" s="9"/>
      <c r="C3231" s="9"/>
      <c r="D3231" s="9"/>
    </row>
    <row r="3232" spans="1:4" ht="13" x14ac:dyDescent="0.15">
      <c r="A3232" s="9"/>
      <c r="C3232" s="9"/>
      <c r="D3232" s="9"/>
    </row>
    <row r="3233" spans="1:4" ht="13" x14ac:dyDescent="0.15">
      <c r="A3233" s="9"/>
      <c r="C3233" s="9"/>
      <c r="D3233" s="9"/>
    </row>
    <row r="3234" spans="1:4" ht="13" x14ac:dyDescent="0.15">
      <c r="A3234" s="9"/>
      <c r="C3234" s="9"/>
      <c r="D3234" s="9"/>
    </row>
    <row r="3235" spans="1:4" ht="13" x14ac:dyDescent="0.15">
      <c r="A3235" s="9"/>
      <c r="C3235" s="9"/>
      <c r="D3235" s="9"/>
    </row>
    <row r="3236" spans="1:4" ht="13" x14ac:dyDescent="0.15">
      <c r="A3236" s="9"/>
      <c r="C3236" s="9"/>
      <c r="D3236" s="9"/>
    </row>
    <row r="3237" spans="1:4" ht="13" x14ac:dyDescent="0.15">
      <c r="A3237" s="9"/>
      <c r="C3237" s="9"/>
      <c r="D3237" s="9"/>
    </row>
    <row r="3238" spans="1:4" ht="13" x14ac:dyDescent="0.15">
      <c r="A3238" s="9"/>
      <c r="C3238" s="9"/>
      <c r="D3238" s="9"/>
    </row>
    <row r="3239" spans="1:4" ht="13" x14ac:dyDescent="0.15">
      <c r="A3239" s="9"/>
      <c r="C3239" s="9"/>
      <c r="D3239" s="9"/>
    </row>
    <row r="3240" spans="1:4" ht="13" x14ac:dyDescent="0.15">
      <c r="A3240" s="9"/>
      <c r="C3240" s="9"/>
      <c r="D3240" s="9"/>
    </row>
    <row r="3241" spans="1:4" ht="13" x14ac:dyDescent="0.15">
      <c r="A3241" s="9"/>
      <c r="C3241" s="9"/>
      <c r="D3241" s="9"/>
    </row>
    <row r="3242" spans="1:4" ht="13" x14ac:dyDescent="0.15">
      <c r="A3242" s="9"/>
      <c r="C3242" s="9"/>
      <c r="D3242" s="9"/>
    </row>
    <row r="3243" spans="1:4" ht="13" x14ac:dyDescent="0.15">
      <c r="A3243" s="9"/>
      <c r="C3243" s="9"/>
      <c r="D3243" s="9"/>
    </row>
    <row r="3244" spans="1:4" ht="13" x14ac:dyDescent="0.15">
      <c r="A3244" s="9"/>
      <c r="C3244" s="9"/>
      <c r="D3244" s="9"/>
    </row>
    <row r="3245" spans="1:4" ht="13" x14ac:dyDescent="0.15">
      <c r="A3245" s="9"/>
      <c r="C3245" s="9"/>
      <c r="D3245" s="9"/>
    </row>
    <row r="3246" spans="1:4" ht="13" x14ac:dyDescent="0.15">
      <c r="A3246" s="9"/>
      <c r="C3246" s="9"/>
      <c r="D3246" s="9"/>
    </row>
    <row r="3247" spans="1:4" ht="13" x14ac:dyDescent="0.15">
      <c r="A3247" s="9"/>
      <c r="C3247" s="9"/>
      <c r="D3247" s="9"/>
    </row>
    <row r="3248" spans="1:4" ht="13" x14ac:dyDescent="0.15">
      <c r="A3248" s="9"/>
      <c r="C3248" s="9"/>
      <c r="D3248" s="9"/>
    </row>
    <row r="3249" spans="1:4" ht="13" x14ac:dyDescent="0.15">
      <c r="A3249" s="9" t="e">
        <f>Suppor</f>
        <v>#NAME?</v>
      </c>
      <c r="C3249" s="9"/>
      <c r="D3249" s="9"/>
    </row>
  </sheetData>
  <autoFilter ref="A1:I3249" xr:uid="{00000000-0009-0000-0000-000002000000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 summaryRight="0"/>
  </sheetPr>
  <dimension ref="A1:C6"/>
  <sheetViews>
    <sheetView workbookViewId="0">
      <selection activeCell="A2" sqref="A2:C6"/>
    </sheetView>
  </sheetViews>
  <sheetFormatPr baseColWidth="10" defaultColWidth="12.6640625" defaultRowHeight="15.75" customHeight="1" x14ac:dyDescent="0.15"/>
  <cols>
    <col min="1" max="1" width="51.1640625" bestFit="1" customWidth="1"/>
    <col min="2" max="2" width="5.83203125" bestFit="1" customWidth="1"/>
    <col min="3" max="3" width="16.5" bestFit="1" customWidth="1"/>
  </cols>
  <sheetData>
    <row r="1" spans="1:3" ht="15.75" customHeight="1" x14ac:dyDescent="0.15">
      <c r="A1" s="11" t="s">
        <v>2</v>
      </c>
      <c r="B1" s="11" t="s">
        <v>850</v>
      </c>
      <c r="C1" s="11" t="s">
        <v>851</v>
      </c>
    </row>
    <row r="2" spans="1:3" ht="15.75" customHeight="1" x14ac:dyDescent="0.15">
      <c r="A2" t="s">
        <v>9</v>
      </c>
      <c r="B2">
        <v>1729</v>
      </c>
      <c r="C2">
        <v>801</v>
      </c>
    </row>
    <row r="3" spans="1:3" ht="15.75" customHeight="1" x14ac:dyDescent="0.15">
      <c r="A3" t="s">
        <v>12</v>
      </c>
      <c r="B3">
        <v>37</v>
      </c>
      <c r="C3">
        <v>34</v>
      </c>
    </row>
    <row r="4" spans="1:3" ht="15.75" customHeight="1" x14ac:dyDescent="0.15">
      <c r="A4" t="s">
        <v>26</v>
      </c>
      <c r="B4">
        <v>16</v>
      </c>
      <c r="C4">
        <v>16</v>
      </c>
    </row>
    <row r="5" spans="1:3" ht="15.75" customHeight="1" x14ac:dyDescent="0.15">
      <c r="A5" t="s">
        <v>27</v>
      </c>
      <c r="B5">
        <v>12</v>
      </c>
      <c r="C5">
        <v>12</v>
      </c>
    </row>
    <row r="6" spans="1:3" ht="15.75" customHeight="1" x14ac:dyDescent="0.15">
      <c r="A6" t="s">
        <v>28</v>
      </c>
      <c r="B6">
        <v>11</v>
      </c>
      <c r="C6">
        <v>11</v>
      </c>
    </row>
  </sheetData>
  <sortState xmlns:xlrd2="http://schemas.microsoft.com/office/spreadsheetml/2017/richdata2" ref="A2:C6">
    <sortCondition ref="A2:A6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outlinePr summaryBelow="0" summaryRight="0"/>
  </sheetPr>
  <dimension ref="A1:B80"/>
  <sheetViews>
    <sheetView workbookViewId="0">
      <selection activeCell="A2" sqref="A2:B42"/>
    </sheetView>
  </sheetViews>
  <sheetFormatPr baseColWidth="10" defaultColWidth="12.6640625" defaultRowHeight="15.75" customHeight="1" x14ac:dyDescent="0.15"/>
  <cols>
    <col min="1" max="1" width="23" bestFit="1" customWidth="1"/>
    <col min="2" max="2" width="5.83203125" bestFit="1" customWidth="1"/>
  </cols>
  <sheetData>
    <row r="1" spans="1:2" ht="15.75" customHeight="1" x14ac:dyDescent="0.15">
      <c r="A1" s="11" t="s">
        <v>852</v>
      </c>
      <c r="B1" s="11" t="s">
        <v>850</v>
      </c>
    </row>
    <row r="2" spans="1:2" ht="15.75" customHeight="1" x14ac:dyDescent="0.15">
      <c r="A2" t="s">
        <v>889</v>
      </c>
      <c r="B2">
        <v>42</v>
      </c>
    </row>
    <row r="3" spans="1:2" ht="15.75" customHeight="1" x14ac:dyDescent="0.15">
      <c r="A3" t="s">
        <v>888</v>
      </c>
      <c r="B3">
        <v>27</v>
      </c>
    </row>
    <row r="4" spans="1:2" ht="15.75" customHeight="1" x14ac:dyDescent="0.15">
      <c r="A4" t="s">
        <v>853</v>
      </c>
      <c r="B4">
        <v>29</v>
      </c>
    </row>
    <row r="5" spans="1:2" ht="15.75" customHeight="1" x14ac:dyDescent="0.15">
      <c r="A5" t="s">
        <v>854</v>
      </c>
      <c r="B5">
        <v>32</v>
      </c>
    </row>
    <row r="6" spans="1:2" ht="15.75" customHeight="1" x14ac:dyDescent="0.15">
      <c r="A6" t="s">
        <v>904</v>
      </c>
      <c r="B6">
        <v>9</v>
      </c>
    </row>
    <row r="7" spans="1:2" ht="15.75" customHeight="1" x14ac:dyDescent="0.15">
      <c r="A7" t="s">
        <v>883</v>
      </c>
      <c r="B7">
        <v>49</v>
      </c>
    </row>
    <row r="8" spans="1:2" ht="15.75" customHeight="1" x14ac:dyDescent="0.15">
      <c r="A8" t="s">
        <v>900</v>
      </c>
      <c r="B8">
        <v>10</v>
      </c>
    </row>
    <row r="9" spans="1:2" ht="15.75" customHeight="1" x14ac:dyDescent="0.15">
      <c r="A9" t="s">
        <v>855</v>
      </c>
      <c r="B9">
        <v>84</v>
      </c>
    </row>
    <row r="10" spans="1:2" ht="15.75" customHeight="1" x14ac:dyDescent="0.15">
      <c r="A10" t="s">
        <v>906</v>
      </c>
      <c r="B10">
        <v>21</v>
      </c>
    </row>
    <row r="11" spans="1:2" ht="15.75" customHeight="1" x14ac:dyDescent="0.15">
      <c r="A11" t="s">
        <v>897</v>
      </c>
      <c r="B11">
        <v>17</v>
      </c>
    </row>
    <row r="12" spans="1:2" ht="15.75" customHeight="1" x14ac:dyDescent="0.15">
      <c r="A12" t="s">
        <v>891</v>
      </c>
      <c r="B12">
        <v>19</v>
      </c>
    </row>
    <row r="13" spans="1:2" ht="15.75" customHeight="1" x14ac:dyDescent="0.15">
      <c r="A13" t="s">
        <v>856</v>
      </c>
      <c r="B13">
        <v>20</v>
      </c>
    </row>
    <row r="14" spans="1:2" ht="15.75" customHeight="1" x14ac:dyDescent="0.15">
      <c r="A14" t="s">
        <v>895</v>
      </c>
      <c r="B14">
        <v>18</v>
      </c>
    </row>
    <row r="15" spans="1:2" ht="15.75" customHeight="1" x14ac:dyDescent="0.15">
      <c r="A15" t="s">
        <v>857</v>
      </c>
      <c r="B15">
        <v>43</v>
      </c>
    </row>
    <row r="16" spans="1:2" ht="15.75" customHeight="1" x14ac:dyDescent="0.15">
      <c r="A16" t="s">
        <v>858</v>
      </c>
      <c r="B16">
        <v>131</v>
      </c>
    </row>
    <row r="17" spans="1:2" ht="15.75" customHeight="1" x14ac:dyDescent="0.15">
      <c r="A17" t="s">
        <v>859</v>
      </c>
      <c r="B17">
        <v>169</v>
      </c>
    </row>
    <row r="18" spans="1:2" ht="15.75" customHeight="1" x14ac:dyDescent="0.15">
      <c r="A18" t="s">
        <v>909</v>
      </c>
      <c r="B18">
        <v>5</v>
      </c>
    </row>
    <row r="19" spans="1:2" ht="15.75" customHeight="1" x14ac:dyDescent="0.15">
      <c r="A19" t="s">
        <v>893</v>
      </c>
      <c r="B19">
        <v>11</v>
      </c>
    </row>
    <row r="20" spans="1:2" ht="15.75" customHeight="1" x14ac:dyDescent="0.15">
      <c r="A20" t="s">
        <v>910</v>
      </c>
      <c r="B20">
        <v>5</v>
      </c>
    </row>
    <row r="21" spans="1:2" ht="15.75" customHeight="1" x14ac:dyDescent="0.15">
      <c r="A21" t="s">
        <v>887</v>
      </c>
      <c r="B21">
        <v>3</v>
      </c>
    </row>
    <row r="22" spans="1:2" ht="15.75" customHeight="1" x14ac:dyDescent="0.15">
      <c r="A22" t="s">
        <v>892</v>
      </c>
      <c r="B22">
        <v>49</v>
      </c>
    </row>
    <row r="23" spans="1:2" ht="15.75" customHeight="1" x14ac:dyDescent="0.15">
      <c r="A23" t="s">
        <v>899</v>
      </c>
      <c r="B23">
        <v>19</v>
      </c>
    </row>
    <row r="24" spans="1:2" ht="15.75" customHeight="1" x14ac:dyDescent="0.15">
      <c r="A24" t="s">
        <v>911</v>
      </c>
      <c r="B24">
        <v>5</v>
      </c>
    </row>
    <row r="25" spans="1:2" ht="15.75" customHeight="1" x14ac:dyDescent="0.15">
      <c r="A25" t="s">
        <v>896</v>
      </c>
      <c r="B25">
        <v>34</v>
      </c>
    </row>
    <row r="26" spans="1:2" ht="15.75" customHeight="1" x14ac:dyDescent="0.15">
      <c r="A26" t="s">
        <v>884</v>
      </c>
      <c r="B26">
        <v>45</v>
      </c>
    </row>
    <row r="27" spans="1:2" ht="15.75" customHeight="1" x14ac:dyDescent="0.15">
      <c r="A27" t="s">
        <v>886</v>
      </c>
      <c r="B27">
        <v>47</v>
      </c>
    </row>
    <row r="28" spans="1:2" ht="15.75" customHeight="1" x14ac:dyDescent="0.15">
      <c r="A28" t="s">
        <v>903</v>
      </c>
      <c r="B28">
        <v>6</v>
      </c>
    </row>
    <row r="29" spans="1:2" ht="15.75" customHeight="1" x14ac:dyDescent="0.15">
      <c r="A29" t="s">
        <v>907</v>
      </c>
      <c r="B29">
        <v>20</v>
      </c>
    </row>
    <row r="30" spans="1:2" ht="15.75" customHeight="1" x14ac:dyDescent="0.15">
      <c r="A30" t="s">
        <v>905</v>
      </c>
      <c r="B30">
        <v>8</v>
      </c>
    </row>
    <row r="31" spans="1:2" ht="15.75" customHeight="1" x14ac:dyDescent="0.15">
      <c r="A31" t="s">
        <v>902</v>
      </c>
      <c r="B31">
        <v>21</v>
      </c>
    </row>
    <row r="32" spans="1:2" ht="15.75" customHeight="1" x14ac:dyDescent="0.15">
      <c r="A32" t="s">
        <v>885</v>
      </c>
      <c r="B32">
        <v>63</v>
      </c>
    </row>
    <row r="33" spans="1:2" ht="15.75" customHeight="1" x14ac:dyDescent="0.15">
      <c r="A33" t="s">
        <v>898</v>
      </c>
      <c r="B33">
        <v>9</v>
      </c>
    </row>
    <row r="34" spans="1:2" ht="15.75" customHeight="1" x14ac:dyDescent="0.15">
      <c r="A34" t="s">
        <v>908</v>
      </c>
      <c r="B34">
        <v>12</v>
      </c>
    </row>
    <row r="35" spans="1:2" ht="15.75" customHeight="1" x14ac:dyDescent="0.15">
      <c r="A35" t="s">
        <v>860</v>
      </c>
      <c r="B35">
        <v>21</v>
      </c>
    </row>
    <row r="36" spans="1:2" ht="15.75" customHeight="1" x14ac:dyDescent="0.15">
      <c r="A36" t="s">
        <v>861</v>
      </c>
      <c r="B36">
        <v>269</v>
      </c>
    </row>
    <row r="37" spans="1:2" ht="15.75" customHeight="1" x14ac:dyDescent="0.15">
      <c r="A37" t="s">
        <v>862</v>
      </c>
      <c r="B37">
        <v>14</v>
      </c>
    </row>
    <row r="38" spans="1:2" ht="15.75" customHeight="1" x14ac:dyDescent="0.15">
      <c r="A38" t="s">
        <v>901</v>
      </c>
      <c r="B38">
        <v>17</v>
      </c>
    </row>
    <row r="39" spans="1:2" ht="15.75" customHeight="1" x14ac:dyDescent="0.15">
      <c r="A39" t="s">
        <v>912</v>
      </c>
      <c r="B39">
        <v>2</v>
      </c>
    </row>
    <row r="40" spans="1:2" ht="15.75" customHeight="1" x14ac:dyDescent="0.15">
      <c r="A40" t="s">
        <v>882</v>
      </c>
      <c r="B40">
        <v>88</v>
      </c>
    </row>
    <row r="41" spans="1:2" ht="15.75" customHeight="1" x14ac:dyDescent="0.15">
      <c r="A41" t="s">
        <v>894</v>
      </c>
      <c r="B41">
        <v>11</v>
      </c>
    </row>
    <row r="42" spans="1:2" ht="15.75" customHeight="1" x14ac:dyDescent="0.15">
      <c r="A42" t="s">
        <v>890</v>
      </c>
      <c r="B42">
        <v>27</v>
      </c>
    </row>
    <row r="56" ht="13" x14ac:dyDescent="0.15"/>
    <row r="57" ht="13" x14ac:dyDescent="0.15"/>
    <row r="58" ht="13" x14ac:dyDescent="0.15"/>
    <row r="59" ht="13" x14ac:dyDescent="0.15"/>
    <row r="60" ht="13" x14ac:dyDescent="0.15"/>
    <row r="61" ht="13" x14ac:dyDescent="0.15"/>
    <row r="62" ht="13" x14ac:dyDescent="0.15"/>
    <row r="63" ht="13" x14ac:dyDescent="0.15"/>
    <row r="64" ht="13" x14ac:dyDescent="0.15"/>
    <row r="65" ht="13" x14ac:dyDescent="0.15"/>
    <row r="66" ht="13" x14ac:dyDescent="0.15"/>
    <row r="67" ht="13" x14ac:dyDescent="0.15"/>
    <row r="68" ht="13" x14ac:dyDescent="0.15"/>
    <row r="69" ht="13" x14ac:dyDescent="0.15"/>
    <row r="70" ht="13" x14ac:dyDescent="0.15"/>
    <row r="71" ht="13" x14ac:dyDescent="0.15"/>
    <row r="72" ht="13" x14ac:dyDescent="0.15"/>
    <row r="73" ht="13" x14ac:dyDescent="0.15"/>
    <row r="74" ht="13" x14ac:dyDescent="0.15"/>
    <row r="75" ht="13" x14ac:dyDescent="0.15"/>
    <row r="76" ht="13" x14ac:dyDescent="0.15"/>
    <row r="77" ht="13" x14ac:dyDescent="0.15"/>
    <row r="78" ht="13" x14ac:dyDescent="0.15"/>
    <row r="79" ht="13" x14ac:dyDescent="0.15"/>
    <row r="80" ht="13" x14ac:dyDescent="0.15"/>
  </sheetData>
  <sortState xmlns:xlrd2="http://schemas.microsoft.com/office/spreadsheetml/2017/richdata2" ref="A2:B42">
    <sortCondition ref="A2:A42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outlinePr summaryBelow="0" summaryRight="0"/>
  </sheetPr>
  <dimension ref="A1:B22"/>
  <sheetViews>
    <sheetView workbookViewId="0">
      <selection activeCell="A2" sqref="A2:B22"/>
    </sheetView>
  </sheetViews>
  <sheetFormatPr baseColWidth="10" defaultColWidth="12.6640625" defaultRowHeight="15.75" customHeight="1" x14ac:dyDescent="0.15"/>
  <cols>
    <col min="1" max="1" width="34.33203125" bestFit="1" customWidth="1"/>
    <col min="2" max="2" width="5.83203125" bestFit="1" customWidth="1"/>
  </cols>
  <sheetData>
    <row r="1" spans="1:2" ht="15.75" customHeight="1" x14ac:dyDescent="0.15">
      <c r="A1" s="11" t="s">
        <v>4</v>
      </c>
      <c r="B1" s="11" t="s">
        <v>850</v>
      </c>
    </row>
    <row r="2" spans="1:2" ht="15.75" customHeight="1" x14ac:dyDescent="0.15">
      <c r="A2" t="s">
        <v>863</v>
      </c>
      <c r="B2">
        <v>24</v>
      </c>
    </row>
    <row r="3" spans="1:2" ht="15.75" customHeight="1" x14ac:dyDescent="0.15">
      <c r="A3" t="s">
        <v>864</v>
      </c>
      <c r="B3">
        <v>44</v>
      </c>
    </row>
    <row r="4" spans="1:2" ht="15.75" customHeight="1" x14ac:dyDescent="0.15">
      <c r="A4" t="s">
        <v>922</v>
      </c>
      <c r="B4">
        <v>5</v>
      </c>
    </row>
    <row r="5" spans="1:2" ht="15.75" customHeight="1" x14ac:dyDescent="0.15">
      <c r="A5" t="s">
        <v>915</v>
      </c>
      <c r="B5">
        <v>67</v>
      </c>
    </row>
    <row r="6" spans="1:2" ht="15.75" customHeight="1" x14ac:dyDescent="0.15">
      <c r="A6" t="s">
        <v>918</v>
      </c>
      <c r="B6">
        <v>15</v>
      </c>
    </row>
    <row r="7" spans="1:2" ht="15.75" customHeight="1" x14ac:dyDescent="0.15">
      <c r="A7" t="s">
        <v>917</v>
      </c>
      <c r="B7">
        <v>49</v>
      </c>
    </row>
    <row r="8" spans="1:2" ht="15.75" customHeight="1" x14ac:dyDescent="0.15">
      <c r="A8" t="s">
        <v>865</v>
      </c>
      <c r="B8">
        <v>112</v>
      </c>
    </row>
    <row r="9" spans="1:2" ht="15.75" customHeight="1" x14ac:dyDescent="0.15">
      <c r="A9" t="s">
        <v>925</v>
      </c>
      <c r="B9">
        <v>3</v>
      </c>
    </row>
    <row r="10" spans="1:2" ht="15.75" customHeight="1" x14ac:dyDescent="0.15">
      <c r="A10" t="s">
        <v>866</v>
      </c>
      <c r="B10">
        <v>156</v>
      </c>
    </row>
    <row r="11" spans="1:2" ht="15.75" customHeight="1" x14ac:dyDescent="0.15">
      <c r="A11" t="s">
        <v>867</v>
      </c>
      <c r="B11">
        <v>129</v>
      </c>
    </row>
    <row r="12" spans="1:2" ht="15.75" customHeight="1" x14ac:dyDescent="0.15">
      <c r="A12" t="s">
        <v>919</v>
      </c>
      <c r="B12">
        <v>17</v>
      </c>
    </row>
    <row r="13" spans="1:2" ht="15.75" customHeight="1" x14ac:dyDescent="0.15">
      <c r="A13" t="s">
        <v>924</v>
      </c>
      <c r="B13">
        <v>5</v>
      </c>
    </row>
    <row r="14" spans="1:2" ht="15.75" customHeight="1" x14ac:dyDescent="0.15">
      <c r="A14" t="s">
        <v>913</v>
      </c>
      <c r="B14">
        <v>51</v>
      </c>
    </row>
    <row r="15" spans="1:2" ht="15.75" customHeight="1" x14ac:dyDescent="0.15">
      <c r="A15" t="s">
        <v>923</v>
      </c>
      <c r="B15">
        <v>22</v>
      </c>
    </row>
    <row r="16" spans="1:2" ht="15.75" customHeight="1" x14ac:dyDescent="0.15">
      <c r="A16" t="s">
        <v>921</v>
      </c>
      <c r="B16">
        <v>48</v>
      </c>
    </row>
    <row r="17" spans="1:2" ht="15.75" customHeight="1" x14ac:dyDescent="0.15">
      <c r="A17" t="s">
        <v>920</v>
      </c>
      <c r="B17">
        <v>18</v>
      </c>
    </row>
    <row r="18" spans="1:2" ht="15.75" customHeight="1" x14ac:dyDescent="0.15">
      <c r="A18" t="s">
        <v>868</v>
      </c>
      <c r="B18">
        <v>290</v>
      </c>
    </row>
    <row r="19" spans="1:2" ht="15.75" customHeight="1" x14ac:dyDescent="0.15">
      <c r="A19" t="s">
        <v>916</v>
      </c>
      <c r="B19">
        <v>28</v>
      </c>
    </row>
    <row r="20" spans="1:2" ht="15.75" customHeight="1" x14ac:dyDescent="0.15">
      <c r="A20" t="s">
        <v>869</v>
      </c>
      <c r="B20">
        <v>49</v>
      </c>
    </row>
    <row r="21" spans="1:2" ht="15.75" customHeight="1" x14ac:dyDescent="0.15">
      <c r="A21" t="s">
        <v>870</v>
      </c>
      <c r="B21">
        <v>308</v>
      </c>
    </row>
    <row r="22" spans="1:2" ht="15.75" customHeight="1" x14ac:dyDescent="0.15">
      <c r="A22" t="s">
        <v>914</v>
      </c>
      <c r="B22">
        <v>91</v>
      </c>
    </row>
  </sheetData>
  <sortState xmlns:xlrd2="http://schemas.microsoft.com/office/spreadsheetml/2017/richdata2" ref="A2:B22">
    <sortCondition ref="A2:A22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outlinePr summaryBelow="0" summaryRight="0"/>
  </sheetPr>
  <dimension ref="A1:B11"/>
  <sheetViews>
    <sheetView workbookViewId="0">
      <selection activeCell="A2" sqref="A2:B11"/>
    </sheetView>
  </sheetViews>
  <sheetFormatPr baseColWidth="10" defaultColWidth="12.6640625" defaultRowHeight="15.75" customHeight="1" x14ac:dyDescent="0.15"/>
  <cols>
    <col min="1" max="1" width="23.1640625" bestFit="1" customWidth="1"/>
    <col min="2" max="2" width="5.83203125" bestFit="1" customWidth="1"/>
  </cols>
  <sheetData>
    <row r="1" spans="1:2" ht="15.75" customHeight="1" x14ac:dyDescent="0.15">
      <c r="A1" s="11" t="s">
        <v>871</v>
      </c>
      <c r="B1" s="11" t="s">
        <v>850</v>
      </c>
    </row>
    <row r="2" spans="1:2" ht="15.75" customHeight="1" x14ac:dyDescent="0.15">
      <c r="A2" t="s">
        <v>7</v>
      </c>
      <c r="B2">
        <v>29</v>
      </c>
    </row>
    <row r="3" spans="1:2" ht="15.75" customHeight="1" x14ac:dyDescent="0.15">
      <c r="A3" t="s">
        <v>5</v>
      </c>
      <c r="B3">
        <v>293</v>
      </c>
    </row>
    <row r="4" spans="1:2" ht="15.75" customHeight="1" x14ac:dyDescent="0.15">
      <c r="A4" t="s">
        <v>872</v>
      </c>
      <c r="B4">
        <v>980</v>
      </c>
    </row>
    <row r="5" spans="1:2" ht="15.75" customHeight="1" x14ac:dyDescent="0.15">
      <c r="A5" t="s">
        <v>873</v>
      </c>
      <c r="B5">
        <v>52</v>
      </c>
    </row>
    <row r="6" spans="1:2" ht="15.75" customHeight="1" x14ac:dyDescent="0.15">
      <c r="A6" t="s">
        <v>6</v>
      </c>
      <c r="B6">
        <v>493</v>
      </c>
    </row>
    <row r="7" spans="1:2" ht="15.75" customHeight="1" x14ac:dyDescent="0.15">
      <c r="A7" t="s">
        <v>926</v>
      </c>
      <c r="B7">
        <v>6</v>
      </c>
    </row>
    <row r="8" spans="1:2" ht="15.75" customHeight="1" x14ac:dyDescent="0.15">
      <c r="A8" t="s">
        <v>874</v>
      </c>
      <c r="B8">
        <v>867</v>
      </c>
    </row>
    <row r="9" spans="1:2" ht="15.75" customHeight="1" x14ac:dyDescent="0.15">
      <c r="A9" t="s">
        <v>875</v>
      </c>
      <c r="B9">
        <v>227</v>
      </c>
    </row>
    <row r="10" spans="1:2" ht="15.75" customHeight="1" x14ac:dyDescent="0.15">
      <c r="A10" t="s">
        <v>876</v>
      </c>
      <c r="B10">
        <v>57</v>
      </c>
    </row>
    <row r="11" spans="1:2" ht="15.75" customHeight="1" x14ac:dyDescent="0.15">
      <c r="A11" t="s">
        <v>927</v>
      </c>
      <c r="B11">
        <v>5</v>
      </c>
    </row>
  </sheetData>
  <sortState xmlns:xlrd2="http://schemas.microsoft.com/office/spreadsheetml/2017/richdata2" ref="A2:B11">
    <sortCondition ref="A2:A11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outlinePr summaryBelow="0" summaryRight="0"/>
  </sheetPr>
  <dimension ref="A1:B3"/>
  <sheetViews>
    <sheetView workbookViewId="0">
      <selection activeCell="A2" sqref="A2:B3"/>
    </sheetView>
  </sheetViews>
  <sheetFormatPr baseColWidth="10" defaultColWidth="12.6640625" defaultRowHeight="15.75" customHeight="1" x14ac:dyDescent="0.15"/>
  <cols>
    <col min="1" max="1" width="5.1640625" bestFit="1" customWidth="1"/>
    <col min="2" max="2" width="5.83203125" bestFit="1" customWidth="1"/>
  </cols>
  <sheetData>
    <row r="1" spans="1:2" ht="15.75" customHeight="1" x14ac:dyDescent="0.15">
      <c r="A1" s="11" t="s">
        <v>877</v>
      </c>
      <c r="B1" s="11" t="s">
        <v>850</v>
      </c>
    </row>
    <row r="2" spans="1:2" ht="15.75" customHeight="1" x14ac:dyDescent="0.15">
      <c r="A2">
        <v>2024</v>
      </c>
      <c r="B2">
        <v>694</v>
      </c>
    </row>
    <row r="3" spans="1:2" ht="15.75" customHeight="1" x14ac:dyDescent="0.15">
      <c r="A3">
        <v>2025</v>
      </c>
      <c r="B3">
        <v>837</v>
      </c>
    </row>
  </sheetData>
  <sortState xmlns:xlrd2="http://schemas.microsoft.com/office/spreadsheetml/2017/richdata2" ref="A2:B3">
    <sortCondition ref="A2:A3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outlinePr summaryBelow="0" summaryRight="0"/>
  </sheetPr>
  <dimension ref="A1:B3"/>
  <sheetViews>
    <sheetView workbookViewId="0">
      <selection activeCell="A2" sqref="A2:B3"/>
    </sheetView>
  </sheetViews>
  <sheetFormatPr baseColWidth="10" defaultColWidth="12.6640625" defaultRowHeight="15.75" customHeight="1" x14ac:dyDescent="0.15"/>
  <cols>
    <col min="1" max="1" width="5.6640625" bestFit="1" customWidth="1"/>
    <col min="2" max="2" width="5.83203125" bestFit="1" customWidth="1"/>
  </cols>
  <sheetData>
    <row r="1" spans="1:2" ht="15.75" customHeight="1" x14ac:dyDescent="0.15">
      <c r="A1" s="11" t="s">
        <v>878</v>
      </c>
      <c r="B1" s="11" t="s">
        <v>850</v>
      </c>
    </row>
    <row r="2" spans="1:2" ht="15.75" customHeight="1" x14ac:dyDescent="0.15">
      <c r="A2" t="s">
        <v>879</v>
      </c>
      <c r="B2">
        <v>1080</v>
      </c>
    </row>
    <row r="3" spans="1:2" ht="15.75" customHeight="1" x14ac:dyDescent="0.15">
      <c r="A3" t="s">
        <v>880</v>
      </c>
      <c r="B3">
        <v>451</v>
      </c>
    </row>
  </sheetData>
  <sortState xmlns:xlrd2="http://schemas.microsoft.com/office/spreadsheetml/2017/richdata2" ref="A2:B3">
    <sortCondition ref="A2:A3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outlinePr summaryBelow="0" summaryRight="0"/>
  </sheetPr>
  <dimension ref="A1:B3"/>
  <sheetViews>
    <sheetView workbookViewId="0">
      <selection activeCell="A2" sqref="A2:B3"/>
    </sheetView>
  </sheetViews>
  <sheetFormatPr baseColWidth="10" defaultColWidth="12.6640625" defaultRowHeight="15.75" customHeight="1" x14ac:dyDescent="0.15"/>
  <cols>
    <col min="1" max="1" width="7.6640625" bestFit="1" customWidth="1"/>
    <col min="2" max="2" width="5.83203125" bestFit="1" customWidth="1"/>
  </cols>
  <sheetData>
    <row r="1" spans="1:2" ht="15.75" customHeight="1" x14ac:dyDescent="0.15">
      <c r="A1" s="11" t="s">
        <v>881</v>
      </c>
      <c r="B1" s="11" t="s">
        <v>850</v>
      </c>
    </row>
    <row r="2" spans="1:2" ht="15.75" customHeight="1" x14ac:dyDescent="0.15">
      <c r="A2" t="s">
        <v>929</v>
      </c>
      <c r="B2">
        <v>909</v>
      </c>
    </row>
    <row r="3" spans="1:2" ht="15.75" customHeight="1" x14ac:dyDescent="0.15">
      <c r="A3" t="s">
        <v>928</v>
      </c>
      <c r="B3">
        <v>896</v>
      </c>
    </row>
  </sheetData>
  <sortState xmlns:xlrd2="http://schemas.microsoft.com/office/spreadsheetml/2017/richdata2" ref="A2:B3">
    <sortCondition ref="A2:A3"/>
  </sortState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outlinePr summaryBelow="0" summaryRight="0"/>
  </sheetPr>
  <dimension ref="A1:C1006"/>
  <sheetViews>
    <sheetView workbookViewId="0">
      <selection activeCell="A2" sqref="A2:C833"/>
    </sheetView>
  </sheetViews>
  <sheetFormatPr baseColWidth="10" defaultColWidth="12.6640625" defaultRowHeight="15.75" customHeight="1" x14ac:dyDescent="0.15"/>
  <cols>
    <col min="1" max="1" width="11.33203125" bestFit="1" customWidth="1"/>
    <col min="2" max="2" width="33.33203125" bestFit="1" customWidth="1"/>
    <col min="3" max="3" width="5.83203125" bestFit="1" customWidth="1"/>
  </cols>
  <sheetData>
    <row r="1" spans="1:3" ht="15.75" customHeight="1" x14ac:dyDescent="0.15">
      <c r="A1" s="11" t="s">
        <v>0</v>
      </c>
      <c r="B1" s="11" t="s">
        <v>1</v>
      </c>
      <c r="C1" s="11" t="s">
        <v>850</v>
      </c>
    </row>
    <row r="2" spans="1:3" ht="15.75" customHeight="1" x14ac:dyDescent="0.15">
      <c r="A2">
        <v>27279631</v>
      </c>
      <c r="B2" t="s">
        <v>8</v>
      </c>
      <c r="C2">
        <v>1</v>
      </c>
    </row>
    <row r="3" spans="1:3" ht="15.75" customHeight="1" x14ac:dyDescent="0.15">
      <c r="A3">
        <v>27279678</v>
      </c>
      <c r="B3" t="s">
        <v>10</v>
      </c>
      <c r="C3">
        <v>1</v>
      </c>
    </row>
    <row r="4" spans="1:3" ht="15.75" customHeight="1" x14ac:dyDescent="0.15">
      <c r="A4">
        <v>27280298</v>
      </c>
      <c r="B4" t="s">
        <v>11</v>
      </c>
      <c r="C4">
        <v>4</v>
      </c>
    </row>
    <row r="5" spans="1:3" ht="15.75" customHeight="1" x14ac:dyDescent="0.15">
      <c r="A5">
        <v>28905247</v>
      </c>
      <c r="B5" t="s">
        <v>13</v>
      </c>
      <c r="C5">
        <v>1</v>
      </c>
    </row>
    <row r="6" spans="1:3" ht="15.75" customHeight="1" x14ac:dyDescent="0.15">
      <c r="A6">
        <v>28908236</v>
      </c>
      <c r="B6" t="s">
        <v>14</v>
      </c>
      <c r="C6">
        <v>1</v>
      </c>
    </row>
    <row r="7" spans="1:3" ht="15.75" customHeight="1" x14ac:dyDescent="0.15">
      <c r="A7">
        <v>28908436</v>
      </c>
      <c r="B7" t="s">
        <v>15</v>
      </c>
      <c r="C7">
        <v>3</v>
      </c>
    </row>
    <row r="8" spans="1:3" ht="15.75" customHeight="1" x14ac:dyDescent="0.15">
      <c r="A8">
        <v>28926613</v>
      </c>
      <c r="B8" t="s">
        <v>16</v>
      </c>
      <c r="C8">
        <v>1</v>
      </c>
    </row>
    <row r="9" spans="1:3" ht="15.75" customHeight="1" x14ac:dyDescent="0.15">
      <c r="A9">
        <v>28933368</v>
      </c>
      <c r="B9" t="s">
        <v>17</v>
      </c>
      <c r="C9">
        <v>3</v>
      </c>
    </row>
    <row r="10" spans="1:3" ht="15.75" customHeight="1" x14ac:dyDescent="0.15">
      <c r="A10">
        <v>28963554</v>
      </c>
      <c r="B10" t="s">
        <v>18</v>
      </c>
      <c r="C10">
        <v>1</v>
      </c>
    </row>
    <row r="11" spans="1:3" ht="15.75" customHeight="1" x14ac:dyDescent="0.15">
      <c r="A11">
        <v>28985034</v>
      </c>
      <c r="B11" t="s">
        <v>19</v>
      </c>
      <c r="C11">
        <v>4</v>
      </c>
    </row>
    <row r="12" spans="1:3" ht="15.75" customHeight="1" x14ac:dyDescent="0.15">
      <c r="A12">
        <v>28989864</v>
      </c>
      <c r="B12" t="s">
        <v>20</v>
      </c>
      <c r="C12">
        <v>2</v>
      </c>
    </row>
    <row r="13" spans="1:3" ht="15.75" customHeight="1" x14ac:dyDescent="0.15">
      <c r="A13">
        <v>29001552</v>
      </c>
      <c r="B13" t="s">
        <v>21</v>
      </c>
      <c r="C13">
        <v>4</v>
      </c>
    </row>
    <row r="14" spans="1:3" ht="15.75" customHeight="1" x14ac:dyDescent="0.15">
      <c r="A14">
        <v>29002720</v>
      </c>
      <c r="B14" t="s">
        <v>22</v>
      </c>
      <c r="C14">
        <v>1</v>
      </c>
    </row>
    <row r="15" spans="1:3" ht="15.75" customHeight="1" x14ac:dyDescent="0.15">
      <c r="A15">
        <v>29013507</v>
      </c>
      <c r="B15" t="s">
        <v>23</v>
      </c>
      <c r="C15">
        <v>2</v>
      </c>
    </row>
    <row r="16" spans="1:3" ht="15.75" customHeight="1" x14ac:dyDescent="0.15">
      <c r="A16">
        <v>29022130</v>
      </c>
      <c r="B16" t="s">
        <v>24</v>
      </c>
      <c r="C16">
        <v>1</v>
      </c>
    </row>
    <row r="17" spans="1:3" ht="15.75" customHeight="1" x14ac:dyDescent="0.15">
      <c r="A17">
        <v>29024381</v>
      </c>
      <c r="B17" t="s">
        <v>25</v>
      </c>
      <c r="C17">
        <v>5</v>
      </c>
    </row>
    <row r="18" spans="1:3" ht="15.75" customHeight="1" x14ac:dyDescent="0.15">
      <c r="A18">
        <v>29029887</v>
      </c>
      <c r="B18" t="s">
        <v>29</v>
      </c>
      <c r="C18">
        <v>2</v>
      </c>
    </row>
    <row r="19" spans="1:3" ht="15.75" customHeight="1" x14ac:dyDescent="0.15">
      <c r="A19">
        <v>29109980</v>
      </c>
      <c r="B19" t="s">
        <v>30</v>
      </c>
      <c r="C19">
        <v>1</v>
      </c>
    </row>
    <row r="20" spans="1:3" ht="15.75" customHeight="1" x14ac:dyDescent="0.15">
      <c r="A20">
        <v>29129871</v>
      </c>
      <c r="B20" t="s">
        <v>31</v>
      </c>
      <c r="C20">
        <v>1</v>
      </c>
    </row>
    <row r="21" spans="1:3" ht="15.75" customHeight="1" x14ac:dyDescent="0.15">
      <c r="A21">
        <v>29150877</v>
      </c>
      <c r="B21" t="s">
        <v>32</v>
      </c>
      <c r="C21">
        <v>3</v>
      </c>
    </row>
    <row r="22" spans="1:3" ht="15.75" customHeight="1" x14ac:dyDescent="0.15">
      <c r="A22">
        <v>29153617</v>
      </c>
      <c r="B22" t="s">
        <v>33</v>
      </c>
      <c r="C22">
        <v>1</v>
      </c>
    </row>
    <row r="23" spans="1:3" ht="15.75" customHeight="1" x14ac:dyDescent="0.15">
      <c r="A23">
        <v>29167220</v>
      </c>
      <c r="B23" t="s">
        <v>34</v>
      </c>
      <c r="C23">
        <v>1</v>
      </c>
    </row>
    <row r="24" spans="1:3" ht="15.75" customHeight="1" x14ac:dyDescent="0.15">
      <c r="A24">
        <v>29208194</v>
      </c>
      <c r="B24" t="s">
        <v>35</v>
      </c>
      <c r="C24">
        <v>1</v>
      </c>
    </row>
    <row r="25" spans="1:3" ht="15.75" customHeight="1" x14ac:dyDescent="0.15">
      <c r="A25">
        <v>29423346</v>
      </c>
      <c r="B25" t="s">
        <v>36</v>
      </c>
      <c r="C25">
        <v>2</v>
      </c>
    </row>
    <row r="26" spans="1:3" ht="15.75" customHeight="1" x14ac:dyDescent="0.15">
      <c r="A26">
        <v>29648947</v>
      </c>
      <c r="B26" t="s">
        <v>37</v>
      </c>
      <c r="C26">
        <v>2</v>
      </c>
    </row>
    <row r="27" spans="1:3" ht="15.75" customHeight="1" x14ac:dyDescent="0.15">
      <c r="A27">
        <v>29664907</v>
      </c>
      <c r="B27" t="s">
        <v>38</v>
      </c>
      <c r="C27">
        <v>1</v>
      </c>
    </row>
    <row r="28" spans="1:3" ht="15.75" customHeight="1" x14ac:dyDescent="0.15">
      <c r="A28">
        <v>29668979</v>
      </c>
      <c r="B28" t="s">
        <v>39</v>
      </c>
      <c r="C28">
        <v>1</v>
      </c>
    </row>
    <row r="29" spans="1:3" ht="15.75" customHeight="1" x14ac:dyDescent="0.15">
      <c r="A29">
        <v>30230413</v>
      </c>
      <c r="B29" t="s">
        <v>40</v>
      </c>
      <c r="C29">
        <v>1</v>
      </c>
    </row>
    <row r="30" spans="1:3" ht="15.75" customHeight="1" x14ac:dyDescent="0.15">
      <c r="A30">
        <v>30232575</v>
      </c>
      <c r="B30" t="s">
        <v>41</v>
      </c>
      <c r="C30">
        <v>2</v>
      </c>
    </row>
    <row r="31" spans="1:3" ht="15.75" customHeight="1" x14ac:dyDescent="0.15">
      <c r="A31">
        <v>30236247</v>
      </c>
      <c r="B31" t="s">
        <v>42</v>
      </c>
      <c r="C31">
        <v>1</v>
      </c>
    </row>
    <row r="32" spans="1:3" ht="15.75" customHeight="1" x14ac:dyDescent="0.15">
      <c r="A32">
        <v>30236381</v>
      </c>
      <c r="B32" t="s">
        <v>43</v>
      </c>
      <c r="C32">
        <v>1</v>
      </c>
    </row>
    <row r="33" spans="1:3" ht="15.75" customHeight="1" x14ac:dyDescent="0.15">
      <c r="A33">
        <v>30243874</v>
      </c>
      <c r="B33" t="s">
        <v>44</v>
      </c>
      <c r="C33">
        <v>1</v>
      </c>
    </row>
    <row r="34" spans="1:3" ht="15.75" customHeight="1" x14ac:dyDescent="0.15">
      <c r="A34">
        <v>30246297</v>
      </c>
      <c r="B34" t="s">
        <v>45</v>
      </c>
      <c r="C34">
        <v>1</v>
      </c>
    </row>
    <row r="35" spans="1:3" ht="15.75" customHeight="1" x14ac:dyDescent="0.15">
      <c r="A35">
        <v>30259226</v>
      </c>
      <c r="B35" t="s">
        <v>46</v>
      </c>
      <c r="C35">
        <v>1</v>
      </c>
    </row>
    <row r="36" spans="1:3" ht="15.75" customHeight="1" x14ac:dyDescent="0.15">
      <c r="A36">
        <v>30260574</v>
      </c>
      <c r="B36" t="s">
        <v>47</v>
      </c>
      <c r="C36">
        <v>1</v>
      </c>
    </row>
    <row r="37" spans="1:3" ht="15.75" customHeight="1" x14ac:dyDescent="0.15">
      <c r="A37">
        <v>30272782</v>
      </c>
      <c r="B37" t="s">
        <v>48</v>
      </c>
      <c r="C37">
        <v>1</v>
      </c>
    </row>
    <row r="38" spans="1:3" ht="15.75" customHeight="1" x14ac:dyDescent="0.15">
      <c r="A38">
        <v>30284991</v>
      </c>
      <c r="B38" t="s">
        <v>49</v>
      </c>
      <c r="C38">
        <v>3</v>
      </c>
    </row>
    <row r="39" spans="1:3" ht="15.75" customHeight="1" x14ac:dyDescent="0.15">
      <c r="A39">
        <v>30288116</v>
      </c>
      <c r="B39" t="s">
        <v>50</v>
      </c>
      <c r="C39">
        <v>1</v>
      </c>
    </row>
    <row r="40" spans="1:3" ht="15.75" customHeight="1" x14ac:dyDescent="0.15">
      <c r="A40">
        <v>30297913</v>
      </c>
      <c r="B40" t="s">
        <v>51</v>
      </c>
      <c r="C40">
        <v>2</v>
      </c>
    </row>
    <row r="41" spans="1:3" ht="15.75" customHeight="1" x14ac:dyDescent="0.15">
      <c r="A41">
        <v>30299373</v>
      </c>
      <c r="B41" t="s">
        <v>52</v>
      </c>
      <c r="C41">
        <v>1</v>
      </c>
    </row>
    <row r="42" spans="1:3" ht="15.75" customHeight="1" x14ac:dyDescent="0.15">
      <c r="A42">
        <v>30303449</v>
      </c>
      <c r="B42" t="s">
        <v>53</v>
      </c>
      <c r="C42">
        <v>1</v>
      </c>
    </row>
    <row r="43" spans="1:3" ht="15.75" customHeight="1" x14ac:dyDescent="0.15">
      <c r="A43">
        <v>30318278</v>
      </c>
      <c r="B43" t="s">
        <v>54</v>
      </c>
      <c r="C43">
        <v>5</v>
      </c>
    </row>
    <row r="44" spans="1:3" ht="15.75" customHeight="1" x14ac:dyDescent="0.15">
      <c r="A44">
        <v>30328219</v>
      </c>
      <c r="B44" t="s">
        <v>55</v>
      </c>
      <c r="C44">
        <v>1</v>
      </c>
    </row>
    <row r="45" spans="1:3" ht="15.75" customHeight="1" x14ac:dyDescent="0.15">
      <c r="A45">
        <v>30333900</v>
      </c>
      <c r="B45" t="s">
        <v>56</v>
      </c>
      <c r="C45">
        <v>3</v>
      </c>
    </row>
    <row r="46" spans="1:3" ht="15.75" customHeight="1" x14ac:dyDescent="0.15">
      <c r="A46">
        <v>30347930</v>
      </c>
      <c r="B46" t="s">
        <v>57</v>
      </c>
      <c r="C46">
        <v>1</v>
      </c>
    </row>
    <row r="47" spans="1:3" ht="15.75" customHeight="1" x14ac:dyDescent="0.15">
      <c r="A47">
        <v>30350943</v>
      </c>
      <c r="B47" t="s">
        <v>58</v>
      </c>
      <c r="C47">
        <v>6</v>
      </c>
    </row>
    <row r="48" spans="1:3" ht="15.75" customHeight="1" x14ac:dyDescent="0.15">
      <c r="A48">
        <v>30351065</v>
      </c>
      <c r="B48" t="s">
        <v>59</v>
      </c>
      <c r="C48">
        <v>2</v>
      </c>
    </row>
    <row r="49" spans="1:3" ht="15.75" customHeight="1" x14ac:dyDescent="0.15">
      <c r="A49">
        <v>30353594</v>
      </c>
      <c r="B49" t="s">
        <v>60</v>
      </c>
      <c r="C49">
        <v>2</v>
      </c>
    </row>
    <row r="50" spans="1:3" ht="15.75" customHeight="1" x14ac:dyDescent="0.15">
      <c r="A50">
        <v>30353932</v>
      </c>
      <c r="B50" t="s">
        <v>61</v>
      </c>
      <c r="C50">
        <v>1</v>
      </c>
    </row>
    <row r="51" spans="1:3" ht="15.75" customHeight="1" x14ac:dyDescent="0.15">
      <c r="A51">
        <v>30354096</v>
      </c>
      <c r="B51" t="s">
        <v>62</v>
      </c>
      <c r="C51">
        <v>22</v>
      </c>
    </row>
    <row r="52" spans="1:3" ht="15.75" customHeight="1" x14ac:dyDescent="0.15">
      <c r="A52">
        <v>30367414</v>
      </c>
      <c r="B52" t="s">
        <v>63</v>
      </c>
      <c r="C52">
        <v>7</v>
      </c>
    </row>
    <row r="53" spans="1:3" ht="15.75" customHeight="1" x14ac:dyDescent="0.15">
      <c r="A53">
        <v>30372739</v>
      </c>
      <c r="B53" t="s">
        <v>64</v>
      </c>
      <c r="C53">
        <v>1</v>
      </c>
    </row>
    <row r="54" spans="1:3" ht="15.75" customHeight="1" x14ac:dyDescent="0.15">
      <c r="A54">
        <v>30375955</v>
      </c>
      <c r="B54" t="s">
        <v>65</v>
      </c>
      <c r="C54">
        <v>4</v>
      </c>
    </row>
    <row r="55" spans="1:3" ht="15.75" customHeight="1" x14ac:dyDescent="0.15">
      <c r="A55">
        <v>30516885</v>
      </c>
      <c r="B55" t="s">
        <v>66</v>
      </c>
      <c r="C55">
        <v>1</v>
      </c>
    </row>
    <row r="56" spans="1:3" ht="13" x14ac:dyDescent="0.15">
      <c r="A56">
        <v>30520444</v>
      </c>
      <c r="B56" t="s">
        <v>67</v>
      </c>
      <c r="C56">
        <v>1</v>
      </c>
    </row>
    <row r="57" spans="1:3" ht="13" x14ac:dyDescent="0.15">
      <c r="A57">
        <v>30521340</v>
      </c>
      <c r="B57" t="s">
        <v>68</v>
      </c>
      <c r="C57">
        <v>1</v>
      </c>
    </row>
    <row r="58" spans="1:3" ht="13" x14ac:dyDescent="0.15">
      <c r="A58">
        <v>30524924</v>
      </c>
      <c r="B58" t="s">
        <v>69</v>
      </c>
      <c r="C58">
        <v>2</v>
      </c>
    </row>
    <row r="59" spans="1:3" ht="13" x14ac:dyDescent="0.15">
      <c r="A59">
        <v>30528291</v>
      </c>
      <c r="B59" t="s">
        <v>70</v>
      </c>
      <c r="C59">
        <v>1</v>
      </c>
    </row>
    <row r="60" spans="1:3" ht="13" x14ac:dyDescent="0.15">
      <c r="A60">
        <v>30531435</v>
      </c>
      <c r="B60" t="s">
        <v>71</v>
      </c>
      <c r="C60">
        <v>1</v>
      </c>
    </row>
    <row r="61" spans="1:3" ht="13" x14ac:dyDescent="0.15">
      <c r="A61">
        <v>30535203</v>
      </c>
      <c r="B61" t="s">
        <v>72</v>
      </c>
      <c r="C61">
        <v>21</v>
      </c>
    </row>
    <row r="62" spans="1:3" ht="13" x14ac:dyDescent="0.15">
      <c r="A62">
        <v>30536447</v>
      </c>
      <c r="B62" t="s">
        <v>73</v>
      </c>
      <c r="C62">
        <v>1</v>
      </c>
    </row>
    <row r="63" spans="1:3" ht="13" x14ac:dyDescent="0.15">
      <c r="A63">
        <v>30538014</v>
      </c>
      <c r="B63" t="s">
        <v>74</v>
      </c>
      <c r="C63">
        <v>1</v>
      </c>
    </row>
    <row r="64" spans="1:3" ht="13" x14ac:dyDescent="0.15">
      <c r="A64">
        <v>30542712</v>
      </c>
      <c r="B64" t="s">
        <v>75</v>
      </c>
      <c r="C64">
        <v>2</v>
      </c>
    </row>
    <row r="65" spans="1:3" ht="13" x14ac:dyDescent="0.15">
      <c r="A65">
        <v>30542898</v>
      </c>
      <c r="B65" t="s">
        <v>76</v>
      </c>
      <c r="C65">
        <v>1</v>
      </c>
    </row>
    <row r="66" spans="1:3" ht="13" x14ac:dyDescent="0.15">
      <c r="A66">
        <v>30543128</v>
      </c>
      <c r="B66" t="s">
        <v>77</v>
      </c>
      <c r="C66">
        <v>1</v>
      </c>
    </row>
    <row r="67" spans="1:3" ht="13" x14ac:dyDescent="0.15">
      <c r="A67">
        <v>30551431</v>
      </c>
      <c r="B67" t="s">
        <v>78</v>
      </c>
      <c r="C67">
        <v>2</v>
      </c>
    </row>
    <row r="68" spans="1:3" ht="13" x14ac:dyDescent="0.15">
      <c r="A68">
        <v>30553214</v>
      </c>
      <c r="B68" t="s">
        <v>79</v>
      </c>
      <c r="C68">
        <v>1</v>
      </c>
    </row>
    <row r="69" spans="1:3" ht="13" x14ac:dyDescent="0.15">
      <c r="A69">
        <v>30559409</v>
      </c>
      <c r="B69" t="s">
        <v>80</v>
      </c>
      <c r="C69">
        <v>1</v>
      </c>
    </row>
    <row r="70" spans="1:3" ht="13" x14ac:dyDescent="0.15">
      <c r="A70">
        <v>30563115</v>
      </c>
      <c r="B70" t="s">
        <v>81</v>
      </c>
      <c r="C70">
        <v>1</v>
      </c>
    </row>
    <row r="71" spans="1:3" ht="13" x14ac:dyDescent="0.15">
      <c r="A71">
        <v>30573656</v>
      </c>
      <c r="B71" t="s">
        <v>82</v>
      </c>
      <c r="C71">
        <v>1</v>
      </c>
    </row>
    <row r="72" spans="1:3" ht="13" x14ac:dyDescent="0.15">
      <c r="A72">
        <v>30583112</v>
      </c>
      <c r="B72" t="s">
        <v>83</v>
      </c>
      <c r="C72">
        <v>1</v>
      </c>
    </row>
    <row r="73" spans="1:3" ht="13" x14ac:dyDescent="0.15">
      <c r="A73">
        <v>30607626</v>
      </c>
      <c r="B73" t="s">
        <v>84</v>
      </c>
      <c r="C73">
        <v>1</v>
      </c>
    </row>
    <row r="74" spans="1:3" ht="13" x14ac:dyDescent="0.15">
      <c r="A74">
        <v>30609362</v>
      </c>
      <c r="B74" t="s">
        <v>85</v>
      </c>
      <c r="C74">
        <v>4</v>
      </c>
    </row>
    <row r="75" spans="1:3" ht="13" x14ac:dyDescent="0.15">
      <c r="A75">
        <v>30658978</v>
      </c>
      <c r="B75" t="s">
        <v>86</v>
      </c>
      <c r="C75">
        <v>8</v>
      </c>
    </row>
    <row r="76" spans="1:3" ht="13" x14ac:dyDescent="0.15">
      <c r="A76">
        <v>30671123</v>
      </c>
      <c r="B76" t="s">
        <v>87</v>
      </c>
      <c r="C76">
        <v>1</v>
      </c>
    </row>
    <row r="77" spans="1:3" ht="13" x14ac:dyDescent="0.15">
      <c r="A77">
        <v>30692389</v>
      </c>
      <c r="B77" t="s">
        <v>88</v>
      </c>
      <c r="C77">
        <v>3</v>
      </c>
    </row>
    <row r="78" spans="1:3" ht="13" x14ac:dyDescent="0.15">
      <c r="A78">
        <v>30700325</v>
      </c>
      <c r="B78" t="s">
        <v>89</v>
      </c>
      <c r="C78">
        <v>2</v>
      </c>
    </row>
    <row r="79" spans="1:3" ht="13" x14ac:dyDescent="0.15">
      <c r="A79">
        <v>30700471</v>
      </c>
      <c r="B79" t="s">
        <v>90</v>
      </c>
      <c r="C79">
        <v>3</v>
      </c>
    </row>
    <row r="80" spans="1:3" ht="13" x14ac:dyDescent="0.15">
      <c r="A80">
        <v>30703196</v>
      </c>
      <c r="B80" t="s">
        <v>91</v>
      </c>
      <c r="C80">
        <v>1</v>
      </c>
    </row>
    <row r="81" spans="1:3" ht="13" x14ac:dyDescent="0.15">
      <c r="A81">
        <v>30703334</v>
      </c>
      <c r="B81" t="s">
        <v>92</v>
      </c>
      <c r="C81">
        <v>1</v>
      </c>
    </row>
    <row r="82" spans="1:3" ht="13" x14ac:dyDescent="0.15">
      <c r="A82">
        <v>30708031</v>
      </c>
      <c r="B82" t="s">
        <v>93</v>
      </c>
      <c r="C82">
        <v>1</v>
      </c>
    </row>
    <row r="83" spans="1:3" ht="13" x14ac:dyDescent="0.15">
      <c r="A83">
        <v>30708599</v>
      </c>
      <c r="B83" t="s">
        <v>94</v>
      </c>
      <c r="C83">
        <v>2</v>
      </c>
    </row>
    <row r="84" spans="1:3" ht="13" x14ac:dyDescent="0.15">
      <c r="A84">
        <v>30719469</v>
      </c>
      <c r="B84" t="s">
        <v>95</v>
      </c>
      <c r="C84">
        <v>2</v>
      </c>
    </row>
    <row r="85" spans="1:3" ht="13" x14ac:dyDescent="0.15">
      <c r="A85">
        <v>30721822</v>
      </c>
      <c r="B85" t="s">
        <v>96</v>
      </c>
      <c r="C85">
        <v>1</v>
      </c>
    </row>
    <row r="86" spans="1:3" ht="13" x14ac:dyDescent="0.15">
      <c r="A86">
        <v>30739874</v>
      </c>
      <c r="B86" t="s">
        <v>97</v>
      </c>
      <c r="C86">
        <v>1</v>
      </c>
    </row>
    <row r="87" spans="1:3" ht="13" x14ac:dyDescent="0.15">
      <c r="A87">
        <v>30740678</v>
      </c>
      <c r="B87" t="s">
        <v>98</v>
      </c>
      <c r="C87">
        <v>1</v>
      </c>
    </row>
    <row r="88" spans="1:3" ht="13" x14ac:dyDescent="0.15">
      <c r="A88">
        <v>30745335</v>
      </c>
      <c r="B88" t="s">
        <v>99</v>
      </c>
      <c r="C88">
        <v>2</v>
      </c>
    </row>
    <row r="89" spans="1:3" ht="13" x14ac:dyDescent="0.15">
      <c r="A89">
        <v>30746066</v>
      </c>
      <c r="B89" t="s">
        <v>100</v>
      </c>
      <c r="C89">
        <v>1</v>
      </c>
    </row>
    <row r="90" spans="1:3" ht="13" x14ac:dyDescent="0.15">
      <c r="A90">
        <v>30755843</v>
      </c>
      <c r="B90" t="s">
        <v>101</v>
      </c>
      <c r="C90">
        <v>1</v>
      </c>
    </row>
    <row r="91" spans="1:3" ht="13" x14ac:dyDescent="0.15">
      <c r="A91">
        <v>30757242</v>
      </c>
      <c r="B91" t="s">
        <v>102</v>
      </c>
      <c r="C91">
        <v>1</v>
      </c>
    </row>
    <row r="92" spans="1:3" ht="13" x14ac:dyDescent="0.15">
      <c r="A92">
        <v>30761847</v>
      </c>
      <c r="B92" t="s">
        <v>103</v>
      </c>
      <c r="C92">
        <v>1</v>
      </c>
    </row>
    <row r="93" spans="1:3" ht="13" x14ac:dyDescent="0.15">
      <c r="A93">
        <v>30774757</v>
      </c>
      <c r="B93" t="s">
        <v>104</v>
      </c>
      <c r="C93">
        <v>1</v>
      </c>
    </row>
    <row r="94" spans="1:3" ht="13" x14ac:dyDescent="0.15">
      <c r="A94">
        <v>30778601</v>
      </c>
      <c r="B94" t="s">
        <v>105</v>
      </c>
      <c r="C94">
        <v>1</v>
      </c>
    </row>
    <row r="95" spans="1:3" ht="13" x14ac:dyDescent="0.15">
      <c r="A95">
        <v>30786690</v>
      </c>
      <c r="B95" t="s">
        <v>106</v>
      </c>
      <c r="C95">
        <v>1</v>
      </c>
    </row>
    <row r="96" spans="1:3" ht="13" x14ac:dyDescent="0.15">
      <c r="A96">
        <v>30800952</v>
      </c>
      <c r="B96" t="s">
        <v>107</v>
      </c>
      <c r="C96">
        <v>22</v>
      </c>
    </row>
    <row r="97" spans="1:3" ht="13" x14ac:dyDescent="0.15">
      <c r="A97">
        <v>30809029</v>
      </c>
      <c r="B97" t="s">
        <v>108</v>
      </c>
      <c r="C97">
        <v>2</v>
      </c>
    </row>
    <row r="98" spans="1:3" ht="13" x14ac:dyDescent="0.15">
      <c r="A98">
        <v>30817381</v>
      </c>
      <c r="B98" t="s">
        <v>109</v>
      </c>
      <c r="C98">
        <v>3</v>
      </c>
    </row>
    <row r="99" spans="1:3" ht="13" x14ac:dyDescent="0.15">
      <c r="A99">
        <v>30832722</v>
      </c>
      <c r="B99" t="s">
        <v>110</v>
      </c>
      <c r="C99">
        <v>5</v>
      </c>
    </row>
    <row r="100" spans="1:3" ht="13" x14ac:dyDescent="0.15">
      <c r="A100">
        <v>30840186</v>
      </c>
      <c r="B100" t="s">
        <v>111</v>
      </c>
      <c r="C100">
        <v>1</v>
      </c>
    </row>
    <row r="101" spans="1:3" ht="13" x14ac:dyDescent="0.15">
      <c r="A101">
        <v>30850910</v>
      </c>
      <c r="B101" t="s">
        <v>112</v>
      </c>
      <c r="C101">
        <v>1</v>
      </c>
    </row>
    <row r="102" spans="1:3" ht="13" x14ac:dyDescent="0.15">
      <c r="A102">
        <v>30895647</v>
      </c>
      <c r="B102" t="s">
        <v>113</v>
      </c>
      <c r="C102">
        <v>1</v>
      </c>
    </row>
    <row r="103" spans="1:3" ht="13" x14ac:dyDescent="0.15">
      <c r="A103">
        <v>30895974</v>
      </c>
      <c r="B103" t="s">
        <v>114</v>
      </c>
      <c r="C103">
        <v>1</v>
      </c>
    </row>
    <row r="104" spans="1:3" ht="13" x14ac:dyDescent="0.15">
      <c r="A104">
        <v>30897470</v>
      </c>
      <c r="B104" t="s">
        <v>115</v>
      </c>
      <c r="C104">
        <v>3</v>
      </c>
    </row>
    <row r="105" spans="1:3" ht="13" x14ac:dyDescent="0.15">
      <c r="A105">
        <v>30914661</v>
      </c>
      <c r="B105" t="s">
        <v>116</v>
      </c>
      <c r="C105">
        <v>1</v>
      </c>
    </row>
    <row r="106" spans="1:3" ht="13" x14ac:dyDescent="0.15">
      <c r="A106">
        <v>30934675</v>
      </c>
      <c r="B106" t="s">
        <v>117</v>
      </c>
      <c r="C106">
        <v>2</v>
      </c>
    </row>
    <row r="107" spans="1:3" ht="13" x14ac:dyDescent="0.15">
      <c r="A107">
        <v>30936439</v>
      </c>
      <c r="B107" t="s">
        <v>118</v>
      </c>
      <c r="C107">
        <v>1</v>
      </c>
    </row>
    <row r="108" spans="1:3" ht="13" x14ac:dyDescent="0.15">
      <c r="A108">
        <v>30962455</v>
      </c>
      <c r="B108" t="s">
        <v>119</v>
      </c>
      <c r="C108">
        <v>1</v>
      </c>
    </row>
    <row r="109" spans="1:3" ht="13" x14ac:dyDescent="0.15">
      <c r="A109">
        <v>30964058</v>
      </c>
      <c r="B109" t="s">
        <v>120</v>
      </c>
      <c r="C109">
        <v>1</v>
      </c>
    </row>
    <row r="110" spans="1:3" ht="13" x14ac:dyDescent="0.15">
      <c r="A110">
        <v>30969136</v>
      </c>
      <c r="B110" t="s">
        <v>121</v>
      </c>
      <c r="C110">
        <v>1</v>
      </c>
    </row>
    <row r="111" spans="1:3" ht="13" x14ac:dyDescent="0.15">
      <c r="A111">
        <v>30971170</v>
      </c>
      <c r="B111" t="s">
        <v>122</v>
      </c>
      <c r="C111">
        <v>1</v>
      </c>
    </row>
    <row r="112" spans="1:3" ht="13" x14ac:dyDescent="0.15">
      <c r="A112">
        <v>30971964</v>
      </c>
      <c r="B112" t="s">
        <v>123</v>
      </c>
      <c r="C112">
        <v>1</v>
      </c>
    </row>
    <row r="113" spans="1:3" ht="13" x14ac:dyDescent="0.15">
      <c r="A113">
        <v>30985797</v>
      </c>
      <c r="B113" t="s">
        <v>124</v>
      </c>
      <c r="C113">
        <v>1</v>
      </c>
    </row>
    <row r="114" spans="1:3" ht="13" x14ac:dyDescent="0.15">
      <c r="A114">
        <v>30999696</v>
      </c>
      <c r="B114" t="s">
        <v>125</v>
      </c>
      <c r="C114">
        <v>1</v>
      </c>
    </row>
    <row r="115" spans="1:3" ht="13" x14ac:dyDescent="0.15">
      <c r="A115">
        <v>31000793</v>
      </c>
      <c r="B115" t="s">
        <v>126</v>
      </c>
      <c r="C115">
        <v>4</v>
      </c>
    </row>
    <row r="116" spans="1:3" ht="13" x14ac:dyDescent="0.15">
      <c r="A116">
        <v>31000855</v>
      </c>
      <c r="B116" t="s">
        <v>127</v>
      </c>
      <c r="C116">
        <v>1</v>
      </c>
    </row>
    <row r="117" spans="1:3" ht="13" x14ac:dyDescent="0.15">
      <c r="A117">
        <v>31007687</v>
      </c>
      <c r="B117" t="s">
        <v>128</v>
      </c>
      <c r="C117">
        <v>1</v>
      </c>
    </row>
    <row r="118" spans="1:3" ht="13" x14ac:dyDescent="0.15">
      <c r="A118">
        <v>31038368</v>
      </c>
      <c r="B118" t="s">
        <v>129</v>
      </c>
      <c r="C118">
        <v>1</v>
      </c>
    </row>
    <row r="119" spans="1:3" ht="13" x14ac:dyDescent="0.15">
      <c r="A119">
        <v>31041301</v>
      </c>
      <c r="B119" t="s">
        <v>130</v>
      </c>
      <c r="C119">
        <v>2</v>
      </c>
    </row>
    <row r="120" spans="1:3" ht="13" x14ac:dyDescent="0.15">
      <c r="A120">
        <v>31042575</v>
      </c>
      <c r="B120" t="s">
        <v>131</v>
      </c>
      <c r="C120">
        <v>1</v>
      </c>
    </row>
    <row r="121" spans="1:3" ht="13" x14ac:dyDescent="0.15">
      <c r="A121">
        <v>31043243</v>
      </c>
      <c r="B121" t="s">
        <v>132</v>
      </c>
      <c r="C121">
        <v>2</v>
      </c>
    </row>
    <row r="122" spans="1:3" ht="13" x14ac:dyDescent="0.15">
      <c r="A122">
        <v>31046794</v>
      </c>
      <c r="B122" t="s">
        <v>133</v>
      </c>
      <c r="C122">
        <v>1</v>
      </c>
    </row>
    <row r="123" spans="1:3" ht="13" x14ac:dyDescent="0.15">
      <c r="A123">
        <v>31048891</v>
      </c>
      <c r="B123" t="s">
        <v>134</v>
      </c>
      <c r="C123">
        <v>1</v>
      </c>
    </row>
    <row r="124" spans="1:3" ht="13" x14ac:dyDescent="0.15">
      <c r="A124">
        <v>31059831</v>
      </c>
      <c r="B124" t="s">
        <v>135</v>
      </c>
      <c r="C124">
        <v>1</v>
      </c>
    </row>
    <row r="125" spans="1:3" ht="13" x14ac:dyDescent="0.15">
      <c r="A125">
        <v>31071044</v>
      </c>
      <c r="B125" t="s">
        <v>136</v>
      </c>
      <c r="C125">
        <v>3</v>
      </c>
    </row>
    <row r="126" spans="1:3" ht="13" x14ac:dyDescent="0.15">
      <c r="A126">
        <v>31074691</v>
      </c>
      <c r="B126" t="s">
        <v>137</v>
      </c>
      <c r="C126">
        <v>3</v>
      </c>
    </row>
    <row r="127" spans="1:3" ht="13" x14ac:dyDescent="0.15">
      <c r="A127">
        <v>31112297</v>
      </c>
      <c r="B127" t="s">
        <v>138</v>
      </c>
      <c r="C127">
        <v>2</v>
      </c>
    </row>
    <row r="128" spans="1:3" ht="13" x14ac:dyDescent="0.15">
      <c r="A128">
        <v>31113309</v>
      </c>
      <c r="B128" t="s">
        <v>139</v>
      </c>
      <c r="C128">
        <v>3</v>
      </c>
    </row>
    <row r="129" spans="1:3" ht="13" x14ac:dyDescent="0.15">
      <c r="A129">
        <v>31131145</v>
      </c>
      <c r="B129" t="s">
        <v>140</v>
      </c>
      <c r="C129">
        <v>1</v>
      </c>
    </row>
    <row r="130" spans="1:3" ht="13" x14ac:dyDescent="0.15">
      <c r="A130">
        <v>31133101</v>
      </c>
      <c r="B130" t="s">
        <v>141</v>
      </c>
      <c r="C130">
        <v>1</v>
      </c>
    </row>
    <row r="131" spans="1:3" ht="13" x14ac:dyDescent="0.15">
      <c r="A131">
        <v>31152417</v>
      </c>
      <c r="B131" t="s">
        <v>142</v>
      </c>
      <c r="C131">
        <v>1</v>
      </c>
    </row>
    <row r="132" spans="1:3" ht="13" x14ac:dyDescent="0.15">
      <c r="A132">
        <v>31154677</v>
      </c>
      <c r="B132" t="s">
        <v>143</v>
      </c>
      <c r="C132">
        <v>1</v>
      </c>
    </row>
    <row r="133" spans="1:3" ht="13" x14ac:dyDescent="0.15">
      <c r="A133">
        <v>31156791</v>
      </c>
      <c r="B133" t="s">
        <v>144</v>
      </c>
      <c r="C133">
        <v>1</v>
      </c>
    </row>
    <row r="134" spans="1:3" ht="13" x14ac:dyDescent="0.15">
      <c r="A134">
        <v>31162734</v>
      </c>
      <c r="B134" t="s">
        <v>145</v>
      </c>
      <c r="C134">
        <v>2</v>
      </c>
    </row>
    <row r="135" spans="1:3" ht="13" x14ac:dyDescent="0.15">
      <c r="A135">
        <v>31165016</v>
      </c>
      <c r="B135" t="s">
        <v>146</v>
      </c>
      <c r="C135">
        <v>1</v>
      </c>
    </row>
    <row r="136" spans="1:3" ht="13" x14ac:dyDescent="0.15">
      <c r="A136">
        <v>31171426</v>
      </c>
      <c r="B136" t="s">
        <v>147</v>
      </c>
      <c r="C136">
        <v>1</v>
      </c>
    </row>
    <row r="137" spans="1:3" ht="13" x14ac:dyDescent="0.15">
      <c r="A137">
        <v>31182325</v>
      </c>
      <c r="B137" t="s">
        <v>148</v>
      </c>
      <c r="C137">
        <v>5</v>
      </c>
    </row>
    <row r="138" spans="1:3" ht="13" x14ac:dyDescent="0.15">
      <c r="A138">
        <v>31195178</v>
      </c>
      <c r="B138" t="s">
        <v>149</v>
      </c>
      <c r="C138">
        <v>1</v>
      </c>
    </row>
    <row r="139" spans="1:3" ht="13" x14ac:dyDescent="0.15">
      <c r="A139">
        <v>31203157</v>
      </c>
      <c r="B139" t="s">
        <v>150</v>
      </c>
      <c r="C139">
        <v>1</v>
      </c>
    </row>
    <row r="140" spans="1:3" ht="13" x14ac:dyDescent="0.15">
      <c r="A140">
        <v>31210048</v>
      </c>
      <c r="B140" t="s">
        <v>151</v>
      </c>
      <c r="C140">
        <v>1</v>
      </c>
    </row>
    <row r="141" spans="1:3" ht="13" x14ac:dyDescent="0.15">
      <c r="A141">
        <v>31217970</v>
      </c>
      <c r="B141" t="s">
        <v>152</v>
      </c>
      <c r="C141">
        <v>1</v>
      </c>
    </row>
    <row r="142" spans="1:3" ht="13" x14ac:dyDescent="0.15">
      <c r="A142">
        <v>31221037</v>
      </c>
      <c r="B142" t="s">
        <v>153</v>
      </c>
      <c r="C142">
        <v>2</v>
      </c>
    </row>
    <row r="143" spans="1:3" ht="13" x14ac:dyDescent="0.15">
      <c r="A143">
        <v>31242432</v>
      </c>
      <c r="B143" t="s">
        <v>154</v>
      </c>
      <c r="C143">
        <v>2</v>
      </c>
    </row>
    <row r="144" spans="1:3" ht="13" x14ac:dyDescent="0.15">
      <c r="A144">
        <v>31245723</v>
      </c>
      <c r="B144" t="s">
        <v>155</v>
      </c>
      <c r="C144">
        <v>8</v>
      </c>
    </row>
    <row r="145" spans="1:3" ht="13" x14ac:dyDescent="0.15">
      <c r="A145">
        <v>31249580</v>
      </c>
      <c r="B145" t="s">
        <v>156</v>
      </c>
      <c r="C145">
        <v>1</v>
      </c>
    </row>
    <row r="146" spans="1:3" ht="13" x14ac:dyDescent="0.15">
      <c r="A146">
        <v>31251411</v>
      </c>
      <c r="B146" t="s">
        <v>157</v>
      </c>
      <c r="C146">
        <v>1</v>
      </c>
    </row>
    <row r="147" spans="1:3" ht="13" x14ac:dyDescent="0.15">
      <c r="A147">
        <v>31258362</v>
      </c>
      <c r="B147" t="s">
        <v>158</v>
      </c>
      <c r="C147">
        <v>1</v>
      </c>
    </row>
    <row r="148" spans="1:3" ht="13" x14ac:dyDescent="0.15">
      <c r="A148">
        <v>31263263</v>
      </c>
      <c r="B148" t="s">
        <v>159</v>
      </c>
      <c r="C148">
        <v>4</v>
      </c>
    </row>
    <row r="149" spans="1:3" ht="13" x14ac:dyDescent="0.15">
      <c r="A149">
        <v>31267757</v>
      </c>
      <c r="B149" t="s">
        <v>160</v>
      </c>
      <c r="C149">
        <v>8</v>
      </c>
    </row>
    <row r="150" spans="1:3" ht="13" x14ac:dyDescent="0.15">
      <c r="A150">
        <v>31274883</v>
      </c>
      <c r="B150" t="s">
        <v>161</v>
      </c>
      <c r="C150">
        <v>1</v>
      </c>
    </row>
    <row r="151" spans="1:3" ht="13" x14ac:dyDescent="0.15">
      <c r="A151">
        <v>31291317</v>
      </c>
      <c r="B151" t="s">
        <v>162</v>
      </c>
      <c r="C151">
        <v>1</v>
      </c>
    </row>
    <row r="152" spans="1:3" ht="13" x14ac:dyDescent="0.15">
      <c r="A152">
        <v>31293535</v>
      </c>
      <c r="B152" t="s">
        <v>163</v>
      </c>
      <c r="C152">
        <v>1</v>
      </c>
    </row>
    <row r="153" spans="1:3" ht="13" x14ac:dyDescent="0.15">
      <c r="A153">
        <v>31304779</v>
      </c>
      <c r="B153" t="s">
        <v>164</v>
      </c>
      <c r="C153">
        <v>1</v>
      </c>
    </row>
    <row r="154" spans="1:3" ht="13" x14ac:dyDescent="0.15">
      <c r="A154">
        <v>31306930</v>
      </c>
      <c r="B154" t="s">
        <v>165</v>
      </c>
      <c r="C154">
        <v>1</v>
      </c>
    </row>
    <row r="155" spans="1:3" ht="13" x14ac:dyDescent="0.15">
      <c r="A155">
        <v>31308487</v>
      </c>
      <c r="B155" t="s">
        <v>166</v>
      </c>
      <c r="C155">
        <v>1</v>
      </c>
    </row>
    <row r="156" spans="1:3" ht="13" x14ac:dyDescent="0.15">
      <c r="A156">
        <v>31318010</v>
      </c>
      <c r="B156" t="s">
        <v>167</v>
      </c>
      <c r="C156">
        <v>3</v>
      </c>
    </row>
    <row r="157" spans="1:3" ht="13" x14ac:dyDescent="0.15">
      <c r="A157">
        <v>31320893</v>
      </c>
      <c r="B157" t="s">
        <v>168</v>
      </c>
      <c r="C157">
        <v>1</v>
      </c>
    </row>
    <row r="158" spans="1:3" ht="13" x14ac:dyDescent="0.15">
      <c r="A158">
        <v>31379950</v>
      </c>
      <c r="B158" t="s">
        <v>169</v>
      </c>
      <c r="C158">
        <v>1</v>
      </c>
    </row>
    <row r="159" spans="1:3" ht="13" x14ac:dyDescent="0.15">
      <c r="A159">
        <v>31391919</v>
      </c>
      <c r="B159" t="s">
        <v>170</v>
      </c>
      <c r="C159">
        <v>1</v>
      </c>
    </row>
    <row r="160" spans="1:3" ht="13" x14ac:dyDescent="0.15">
      <c r="A160">
        <v>31398979</v>
      </c>
      <c r="B160" t="s">
        <v>171</v>
      </c>
      <c r="C160">
        <v>1</v>
      </c>
    </row>
    <row r="161" spans="1:3" ht="13" x14ac:dyDescent="0.15">
      <c r="A161">
        <v>31403498</v>
      </c>
      <c r="B161" t="s">
        <v>172</v>
      </c>
      <c r="C161">
        <v>1</v>
      </c>
    </row>
    <row r="162" spans="1:3" ht="13" x14ac:dyDescent="0.15">
      <c r="A162">
        <v>31405098</v>
      </c>
      <c r="B162" t="s">
        <v>173</v>
      </c>
      <c r="C162">
        <v>2</v>
      </c>
    </row>
    <row r="163" spans="1:3" ht="13" x14ac:dyDescent="0.15">
      <c r="A163">
        <v>31408124</v>
      </c>
      <c r="B163" t="s">
        <v>174</v>
      </c>
      <c r="C163">
        <v>2</v>
      </c>
    </row>
    <row r="164" spans="1:3" ht="13" x14ac:dyDescent="0.15">
      <c r="A164">
        <v>31415343</v>
      </c>
      <c r="B164" t="s">
        <v>175</v>
      </c>
      <c r="C164">
        <v>1</v>
      </c>
    </row>
    <row r="165" spans="1:3" ht="13" x14ac:dyDescent="0.15">
      <c r="A165">
        <v>31422173</v>
      </c>
      <c r="B165" t="s">
        <v>176</v>
      </c>
      <c r="C165">
        <v>1</v>
      </c>
    </row>
    <row r="166" spans="1:3" ht="13" x14ac:dyDescent="0.15">
      <c r="A166">
        <v>31425906</v>
      </c>
      <c r="B166" t="s">
        <v>177</v>
      </c>
      <c r="C166">
        <v>1</v>
      </c>
    </row>
    <row r="167" spans="1:3" ht="13" x14ac:dyDescent="0.15">
      <c r="A167">
        <v>31443553</v>
      </c>
      <c r="B167" t="s">
        <v>178</v>
      </c>
      <c r="C167">
        <v>1</v>
      </c>
    </row>
    <row r="168" spans="1:3" ht="13" x14ac:dyDescent="0.15">
      <c r="A168">
        <v>31447225</v>
      </c>
      <c r="B168" t="s">
        <v>179</v>
      </c>
      <c r="C168">
        <v>4</v>
      </c>
    </row>
    <row r="169" spans="1:3" ht="13" x14ac:dyDescent="0.15">
      <c r="A169">
        <v>31450502</v>
      </c>
      <c r="B169" t="s">
        <v>180</v>
      </c>
      <c r="C169">
        <v>1</v>
      </c>
    </row>
    <row r="170" spans="1:3" ht="13" x14ac:dyDescent="0.15">
      <c r="A170">
        <v>31451349</v>
      </c>
      <c r="B170" t="s">
        <v>181</v>
      </c>
      <c r="C170">
        <v>1</v>
      </c>
    </row>
    <row r="171" spans="1:3" ht="13" x14ac:dyDescent="0.15">
      <c r="A171">
        <v>31464748</v>
      </c>
      <c r="B171" t="s">
        <v>182</v>
      </c>
      <c r="C171">
        <v>22</v>
      </c>
    </row>
    <row r="172" spans="1:3" ht="13" x14ac:dyDescent="0.15">
      <c r="A172">
        <v>31490345</v>
      </c>
      <c r="B172" t="s">
        <v>183</v>
      </c>
      <c r="C172">
        <v>5</v>
      </c>
    </row>
    <row r="173" spans="1:3" ht="13" x14ac:dyDescent="0.15">
      <c r="A173">
        <v>31501821</v>
      </c>
      <c r="B173" t="s">
        <v>184</v>
      </c>
      <c r="C173">
        <v>1</v>
      </c>
    </row>
    <row r="174" spans="1:3" ht="13" x14ac:dyDescent="0.15">
      <c r="A174">
        <v>31502296</v>
      </c>
      <c r="B174" t="s">
        <v>185</v>
      </c>
      <c r="C174">
        <v>1</v>
      </c>
    </row>
    <row r="175" spans="1:3" ht="13" x14ac:dyDescent="0.15">
      <c r="A175">
        <v>31538800</v>
      </c>
      <c r="B175" t="s">
        <v>186</v>
      </c>
      <c r="C175">
        <v>3</v>
      </c>
    </row>
    <row r="176" spans="1:3" ht="13" x14ac:dyDescent="0.15">
      <c r="A176">
        <v>31551643</v>
      </c>
      <c r="B176" t="s">
        <v>187</v>
      </c>
      <c r="C176">
        <v>10</v>
      </c>
    </row>
    <row r="177" spans="1:3" ht="13" x14ac:dyDescent="0.15">
      <c r="A177">
        <v>31564195</v>
      </c>
      <c r="B177" t="s">
        <v>188</v>
      </c>
      <c r="C177">
        <v>1</v>
      </c>
    </row>
    <row r="178" spans="1:3" ht="13" x14ac:dyDescent="0.15">
      <c r="A178">
        <v>31565219</v>
      </c>
      <c r="B178" t="s">
        <v>189</v>
      </c>
      <c r="C178">
        <v>3</v>
      </c>
    </row>
    <row r="179" spans="1:3" ht="13" x14ac:dyDescent="0.15">
      <c r="A179">
        <v>31570817</v>
      </c>
      <c r="B179" t="s">
        <v>190</v>
      </c>
      <c r="C179">
        <v>1</v>
      </c>
    </row>
    <row r="180" spans="1:3" ht="13" x14ac:dyDescent="0.15">
      <c r="A180">
        <v>31576011</v>
      </c>
      <c r="B180" t="s">
        <v>191</v>
      </c>
      <c r="C180">
        <v>1</v>
      </c>
    </row>
    <row r="181" spans="1:3" ht="13" x14ac:dyDescent="0.15">
      <c r="A181">
        <v>31578357</v>
      </c>
      <c r="B181" t="s">
        <v>192</v>
      </c>
      <c r="C181">
        <v>1</v>
      </c>
    </row>
    <row r="182" spans="1:3" ht="13" x14ac:dyDescent="0.15">
      <c r="A182">
        <v>31587224</v>
      </c>
      <c r="B182" t="s">
        <v>193</v>
      </c>
      <c r="C182">
        <v>6</v>
      </c>
    </row>
    <row r="183" spans="1:3" ht="13" x14ac:dyDescent="0.15">
      <c r="A183">
        <v>31591080</v>
      </c>
      <c r="B183" t="s">
        <v>194</v>
      </c>
      <c r="C183">
        <v>1</v>
      </c>
    </row>
    <row r="184" spans="1:3" ht="13" x14ac:dyDescent="0.15">
      <c r="A184">
        <v>31599087</v>
      </c>
      <c r="B184" t="s">
        <v>195</v>
      </c>
      <c r="C184">
        <v>1</v>
      </c>
    </row>
    <row r="185" spans="1:3" ht="13" x14ac:dyDescent="0.15">
      <c r="A185">
        <v>31612085</v>
      </c>
      <c r="B185" t="s">
        <v>196</v>
      </c>
      <c r="C185">
        <v>1</v>
      </c>
    </row>
    <row r="186" spans="1:3" ht="13" x14ac:dyDescent="0.15">
      <c r="A186">
        <v>31616227</v>
      </c>
      <c r="B186" t="s">
        <v>197</v>
      </c>
      <c r="C186">
        <v>1</v>
      </c>
    </row>
    <row r="187" spans="1:3" ht="13" x14ac:dyDescent="0.15">
      <c r="A187">
        <v>31619755</v>
      </c>
      <c r="B187" t="s">
        <v>198</v>
      </c>
      <c r="C187">
        <v>5</v>
      </c>
    </row>
    <row r="188" spans="1:3" ht="13" x14ac:dyDescent="0.15">
      <c r="A188">
        <v>31640950</v>
      </c>
      <c r="B188" t="s">
        <v>199</v>
      </c>
      <c r="C188">
        <v>1</v>
      </c>
    </row>
    <row r="189" spans="1:3" ht="13" x14ac:dyDescent="0.15">
      <c r="A189">
        <v>31653143</v>
      </c>
      <c r="B189" t="s">
        <v>200</v>
      </c>
      <c r="C189">
        <v>1</v>
      </c>
    </row>
    <row r="190" spans="1:3" ht="13" x14ac:dyDescent="0.15">
      <c r="A190">
        <v>31654358</v>
      </c>
      <c r="B190" t="s">
        <v>201</v>
      </c>
      <c r="C190">
        <v>1</v>
      </c>
    </row>
    <row r="191" spans="1:3" ht="13" x14ac:dyDescent="0.15">
      <c r="A191">
        <v>31655996</v>
      </c>
      <c r="B191" t="s">
        <v>202</v>
      </c>
      <c r="C191">
        <v>3</v>
      </c>
    </row>
    <row r="192" spans="1:3" ht="13" x14ac:dyDescent="0.15">
      <c r="A192">
        <v>31657594</v>
      </c>
      <c r="B192" t="s">
        <v>203</v>
      </c>
      <c r="C192">
        <v>3</v>
      </c>
    </row>
    <row r="193" spans="1:3" ht="13" x14ac:dyDescent="0.15">
      <c r="A193">
        <v>31662979</v>
      </c>
      <c r="B193" t="s">
        <v>204</v>
      </c>
      <c r="C193">
        <v>1</v>
      </c>
    </row>
    <row r="194" spans="1:3" ht="13" x14ac:dyDescent="0.15">
      <c r="A194">
        <v>31681443</v>
      </c>
      <c r="B194" t="s">
        <v>205</v>
      </c>
      <c r="C194">
        <v>2</v>
      </c>
    </row>
    <row r="195" spans="1:3" ht="13" x14ac:dyDescent="0.15">
      <c r="A195">
        <v>31681687</v>
      </c>
      <c r="B195" t="s">
        <v>206</v>
      </c>
      <c r="C195">
        <v>1</v>
      </c>
    </row>
    <row r="196" spans="1:3" ht="13" x14ac:dyDescent="0.15">
      <c r="A196">
        <v>31686427</v>
      </c>
      <c r="B196" t="s">
        <v>207</v>
      </c>
      <c r="C196">
        <v>2</v>
      </c>
    </row>
    <row r="197" spans="1:3" ht="13" x14ac:dyDescent="0.15">
      <c r="A197">
        <v>31691382</v>
      </c>
      <c r="B197" t="s">
        <v>208</v>
      </c>
      <c r="C197">
        <v>1</v>
      </c>
    </row>
    <row r="198" spans="1:3" ht="13" x14ac:dyDescent="0.15">
      <c r="A198">
        <v>31698048</v>
      </c>
      <c r="B198" t="s">
        <v>209</v>
      </c>
      <c r="C198">
        <v>1</v>
      </c>
    </row>
    <row r="199" spans="1:3" ht="13" x14ac:dyDescent="0.15">
      <c r="A199">
        <v>31699346</v>
      </c>
      <c r="B199" t="s">
        <v>210</v>
      </c>
      <c r="C199">
        <v>1</v>
      </c>
    </row>
    <row r="200" spans="1:3" ht="13" x14ac:dyDescent="0.15">
      <c r="A200">
        <v>31699640</v>
      </c>
      <c r="B200" t="s">
        <v>211</v>
      </c>
      <c r="C200">
        <v>2</v>
      </c>
    </row>
    <row r="201" spans="1:3" ht="13" x14ac:dyDescent="0.15">
      <c r="A201">
        <v>31703207</v>
      </c>
      <c r="B201" t="s">
        <v>212</v>
      </c>
      <c r="C201">
        <v>11</v>
      </c>
    </row>
    <row r="202" spans="1:3" ht="13" x14ac:dyDescent="0.15">
      <c r="A202">
        <v>31705400</v>
      </c>
      <c r="B202" t="s">
        <v>213</v>
      </c>
      <c r="C202">
        <v>1</v>
      </c>
    </row>
    <row r="203" spans="1:3" ht="13" x14ac:dyDescent="0.15">
      <c r="A203">
        <v>31705625</v>
      </c>
      <c r="B203" t="s">
        <v>214</v>
      </c>
      <c r="C203">
        <v>2</v>
      </c>
    </row>
    <row r="204" spans="1:3" ht="13" x14ac:dyDescent="0.15">
      <c r="A204">
        <v>31707012</v>
      </c>
      <c r="B204" t="s">
        <v>215</v>
      </c>
      <c r="C204">
        <v>1</v>
      </c>
    </row>
    <row r="205" spans="1:3" ht="13" x14ac:dyDescent="0.15">
      <c r="A205">
        <v>31707062</v>
      </c>
      <c r="B205" t="s">
        <v>216</v>
      </c>
      <c r="C205">
        <v>1</v>
      </c>
    </row>
    <row r="206" spans="1:3" ht="13" x14ac:dyDescent="0.15">
      <c r="A206">
        <v>31717045</v>
      </c>
      <c r="B206" t="s">
        <v>217</v>
      </c>
      <c r="C206">
        <v>1</v>
      </c>
    </row>
    <row r="207" spans="1:3" ht="13" x14ac:dyDescent="0.15">
      <c r="A207">
        <v>31720199</v>
      </c>
      <c r="B207" t="s">
        <v>218</v>
      </c>
      <c r="C207">
        <v>29</v>
      </c>
    </row>
    <row r="208" spans="1:3" ht="13" x14ac:dyDescent="0.15">
      <c r="A208">
        <v>31720804</v>
      </c>
      <c r="B208" t="s">
        <v>219</v>
      </c>
      <c r="C208">
        <v>2</v>
      </c>
    </row>
    <row r="209" spans="1:3" ht="13" x14ac:dyDescent="0.15">
      <c r="A209">
        <v>31721361</v>
      </c>
      <c r="B209" t="s">
        <v>220</v>
      </c>
      <c r="C209">
        <v>5</v>
      </c>
    </row>
    <row r="210" spans="1:3" ht="13" x14ac:dyDescent="0.15">
      <c r="A210">
        <v>31724896</v>
      </c>
      <c r="B210" t="s">
        <v>221</v>
      </c>
      <c r="C210">
        <v>1</v>
      </c>
    </row>
    <row r="211" spans="1:3" ht="13" x14ac:dyDescent="0.15">
      <c r="A211">
        <v>31725496</v>
      </c>
      <c r="B211" t="s">
        <v>222</v>
      </c>
      <c r="C211">
        <v>1</v>
      </c>
    </row>
    <row r="212" spans="1:3" ht="13" x14ac:dyDescent="0.15">
      <c r="A212">
        <v>31730406</v>
      </c>
      <c r="B212" t="s">
        <v>223</v>
      </c>
      <c r="C212">
        <v>3</v>
      </c>
    </row>
    <row r="213" spans="1:3" ht="13" x14ac:dyDescent="0.15">
      <c r="A213">
        <v>31733360</v>
      </c>
      <c r="B213" t="s">
        <v>224</v>
      </c>
      <c r="C213">
        <v>2</v>
      </c>
    </row>
    <row r="214" spans="1:3" ht="13" x14ac:dyDescent="0.15">
      <c r="A214">
        <v>31750527</v>
      </c>
      <c r="B214" t="s">
        <v>225</v>
      </c>
      <c r="C214">
        <v>4</v>
      </c>
    </row>
    <row r="215" spans="1:3" ht="13" x14ac:dyDescent="0.15">
      <c r="A215">
        <v>31752860</v>
      </c>
      <c r="B215" t="s">
        <v>226</v>
      </c>
      <c r="C215">
        <v>1</v>
      </c>
    </row>
    <row r="216" spans="1:3" ht="13" x14ac:dyDescent="0.15">
      <c r="A216">
        <v>31765916</v>
      </c>
      <c r="B216" t="s">
        <v>227</v>
      </c>
      <c r="C216">
        <v>1</v>
      </c>
    </row>
    <row r="217" spans="1:3" ht="13" x14ac:dyDescent="0.15">
      <c r="A217">
        <v>31771228</v>
      </c>
      <c r="B217" t="s">
        <v>228</v>
      </c>
      <c r="C217">
        <v>1</v>
      </c>
    </row>
    <row r="218" spans="1:3" ht="13" x14ac:dyDescent="0.15">
      <c r="A218">
        <v>31772984</v>
      </c>
      <c r="B218" t="s">
        <v>229</v>
      </c>
      <c r="C218">
        <v>7</v>
      </c>
    </row>
    <row r="219" spans="1:3" ht="13" x14ac:dyDescent="0.15">
      <c r="A219">
        <v>31781883</v>
      </c>
      <c r="B219" t="s">
        <v>230</v>
      </c>
      <c r="C219">
        <v>1</v>
      </c>
    </row>
    <row r="220" spans="1:3" ht="13" x14ac:dyDescent="0.15">
      <c r="A220">
        <v>31785060</v>
      </c>
      <c r="B220" t="s">
        <v>231</v>
      </c>
      <c r="C220">
        <v>3</v>
      </c>
    </row>
    <row r="221" spans="1:3" ht="13" x14ac:dyDescent="0.15">
      <c r="A221">
        <v>31791059</v>
      </c>
      <c r="B221" t="s">
        <v>232</v>
      </c>
      <c r="C221">
        <v>5</v>
      </c>
    </row>
    <row r="222" spans="1:3" ht="13" x14ac:dyDescent="0.15">
      <c r="A222">
        <v>31817200</v>
      </c>
      <c r="B222" t="s">
        <v>233</v>
      </c>
      <c r="C222">
        <v>1</v>
      </c>
    </row>
    <row r="223" spans="1:3" ht="13" x14ac:dyDescent="0.15">
      <c r="A223">
        <v>31838412</v>
      </c>
      <c r="B223" t="s">
        <v>234</v>
      </c>
      <c r="C223">
        <v>4</v>
      </c>
    </row>
    <row r="224" spans="1:3" ht="13" x14ac:dyDescent="0.15">
      <c r="A224">
        <v>31851256</v>
      </c>
      <c r="B224" t="s">
        <v>235</v>
      </c>
      <c r="C224">
        <v>14</v>
      </c>
    </row>
    <row r="225" spans="1:3" ht="13" x14ac:dyDescent="0.15">
      <c r="A225">
        <v>31858435</v>
      </c>
      <c r="B225" t="s">
        <v>236</v>
      </c>
      <c r="C225">
        <v>2</v>
      </c>
    </row>
    <row r="226" spans="1:3" ht="13" x14ac:dyDescent="0.15">
      <c r="A226">
        <v>31858651</v>
      </c>
      <c r="B226" t="s">
        <v>237</v>
      </c>
      <c r="C226">
        <v>1</v>
      </c>
    </row>
    <row r="227" spans="1:3" ht="13" x14ac:dyDescent="0.15">
      <c r="A227">
        <v>31861761</v>
      </c>
      <c r="B227" t="s">
        <v>238</v>
      </c>
      <c r="C227">
        <v>1</v>
      </c>
    </row>
    <row r="228" spans="1:3" ht="13" x14ac:dyDescent="0.15">
      <c r="A228">
        <v>31874041</v>
      </c>
      <c r="B228" t="s">
        <v>239</v>
      </c>
      <c r="C228">
        <v>1</v>
      </c>
    </row>
    <row r="229" spans="1:3" ht="13" x14ac:dyDescent="0.15">
      <c r="A229">
        <v>31899022</v>
      </c>
      <c r="B229" t="s">
        <v>240</v>
      </c>
      <c r="C229">
        <v>1</v>
      </c>
    </row>
    <row r="230" spans="1:3" ht="13" x14ac:dyDescent="0.15">
      <c r="A230">
        <v>31956576</v>
      </c>
      <c r="B230" t="s">
        <v>241</v>
      </c>
      <c r="C230">
        <v>1</v>
      </c>
    </row>
    <row r="231" spans="1:3" ht="13" x14ac:dyDescent="0.15">
      <c r="A231">
        <v>31956742</v>
      </c>
      <c r="B231" t="s">
        <v>242</v>
      </c>
      <c r="C231">
        <v>3</v>
      </c>
    </row>
    <row r="232" spans="1:3" ht="13" x14ac:dyDescent="0.15">
      <c r="A232">
        <v>31976329</v>
      </c>
      <c r="B232" t="s">
        <v>243</v>
      </c>
      <c r="C232">
        <v>1</v>
      </c>
    </row>
    <row r="233" spans="1:3" ht="13" x14ac:dyDescent="0.15">
      <c r="A233">
        <v>31981741</v>
      </c>
      <c r="B233" t="s">
        <v>244</v>
      </c>
      <c r="C233">
        <v>1</v>
      </c>
    </row>
    <row r="234" spans="1:3" ht="13" x14ac:dyDescent="0.15">
      <c r="A234">
        <v>31983682</v>
      </c>
      <c r="B234" t="s">
        <v>245</v>
      </c>
      <c r="C234">
        <v>1</v>
      </c>
    </row>
    <row r="235" spans="1:3" ht="13" x14ac:dyDescent="0.15">
      <c r="A235">
        <v>32092309</v>
      </c>
      <c r="B235" t="s">
        <v>246</v>
      </c>
      <c r="C235">
        <v>1</v>
      </c>
    </row>
    <row r="236" spans="1:3" ht="13" x14ac:dyDescent="0.15">
      <c r="A236">
        <v>32138932</v>
      </c>
      <c r="B236" t="s">
        <v>247</v>
      </c>
      <c r="C236">
        <v>1</v>
      </c>
    </row>
    <row r="237" spans="1:3" ht="13" x14ac:dyDescent="0.15">
      <c r="A237">
        <v>32187680</v>
      </c>
      <c r="B237" t="s">
        <v>248</v>
      </c>
      <c r="C237">
        <v>1</v>
      </c>
    </row>
    <row r="238" spans="1:3" ht="13" x14ac:dyDescent="0.15">
      <c r="A238">
        <v>32222502</v>
      </c>
      <c r="B238" t="s">
        <v>249</v>
      </c>
      <c r="C238">
        <v>9</v>
      </c>
    </row>
    <row r="239" spans="1:3" ht="13" x14ac:dyDescent="0.15">
      <c r="A239">
        <v>32243010</v>
      </c>
      <c r="B239" t="s">
        <v>250</v>
      </c>
      <c r="C239">
        <v>1</v>
      </c>
    </row>
    <row r="240" spans="1:3" ht="13" x14ac:dyDescent="0.15">
      <c r="A240">
        <v>32256742</v>
      </c>
      <c r="B240" t="s">
        <v>251</v>
      </c>
      <c r="C240">
        <v>3</v>
      </c>
    </row>
    <row r="241" spans="1:3" ht="13" x14ac:dyDescent="0.15">
      <c r="A241">
        <v>32260309</v>
      </c>
      <c r="B241" t="s">
        <v>252</v>
      </c>
      <c r="C241">
        <v>4</v>
      </c>
    </row>
    <row r="242" spans="1:3" ht="13" x14ac:dyDescent="0.15">
      <c r="A242">
        <v>32261282</v>
      </c>
      <c r="B242" t="s">
        <v>253</v>
      </c>
      <c r="C242">
        <v>1</v>
      </c>
    </row>
    <row r="243" spans="1:3" ht="13" x14ac:dyDescent="0.15">
      <c r="A243">
        <v>32274250</v>
      </c>
      <c r="B243" t="s">
        <v>254</v>
      </c>
      <c r="C243">
        <v>1</v>
      </c>
    </row>
    <row r="244" spans="1:3" ht="13" x14ac:dyDescent="0.15">
      <c r="A244">
        <v>32296350</v>
      </c>
      <c r="B244" t="s">
        <v>255</v>
      </c>
      <c r="C244">
        <v>1</v>
      </c>
    </row>
    <row r="245" spans="1:3" ht="13" x14ac:dyDescent="0.15">
      <c r="A245">
        <v>32325765</v>
      </c>
      <c r="B245" t="s">
        <v>256</v>
      </c>
      <c r="C245">
        <v>1</v>
      </c>
    </row>
    <row r="246" spans="1:3" ht="13" x14ac:dyDescent="0.15">
      <c r="A246">
        <v>32334706</v>
      </c>
      <c r="B246" t="s">
        <v>257</v>
      </c>
      <c r="C246">
        <v>1</v>
      </c>
    </row>
    <row r="247" spans="1:3" ht="13" x14ac:dyDescent="0.15">
      <c r="A247">
        <v>32341680</v>
      </c>
      <c r="B247" t="s">
        <v>258</v>
      </c>
      <c r="C247">
        <v>2</v>
      </c>
    </row>
    <row r="248" spans="1:3" ht="13" x14ac:dyDescent="0.15">
      <c r="A248">
        <v>32343433</v>
      </c>
      <c r="B248" t="s">
        <v>259</v>
      </c>
      <c r="C248">
        <v>1</v>
      </c>
    </row>
    <row r="249" spans="1:3" ht="13" x14ac:dyDescent="0.15">
      <c r="A249">
        <v>32343648</v>
      </c>
      <c r="B249" t="s">
        <v>260</v>
      </c>
      <c r="C249">
        <v>1</v>
      </c>
    </row>
    <row r="250" spans="1:3" ht="13" x14ac:dyDescent="0.15">
      <c r="A250">
        <v>32350084</v>
      </c>
      <c r="B250" t="s">
        <v>261</v>
      </c>
      <c r="C250">
        <v>1</v>
      </c>
    </row>
    <row r="251" spans="1:3" ht="13" x14ac:dyDescent="0.15">
      <c r="A251">
        <v>32352329</v>
      </c>
      <c r="B251" t="s">
        <v>262</v>
      </c>
      <c r="C251">
        <v>1</v>
      </c>
    </row>
    <row r="252" spans="1:3" ht="13" x14ac:dyDescent="0.15">
      <c r="A252">
        <v>32360532</v>
      </c>
      <c r="B252" t="s">
        <v>263</v>
      </c>
      <c r="C252">
        <v>1</v>
      </c>
    </row>
    <row r="253" spans="1:3" ht="13" x14ac:dyDescent="0.15">
      <c r="A253">
        <v>32371942</v>
      </c>
      <c r="B253" t="s">
        <v>264</v>
      </c>
      <c r="C253">
        <v>2</v>
      </c>
    </row>
    <row r="254" spans="1:3" ht="13" x14ac:dyDescent="0.15">
      <c r="A254">
        <v>32392057</v>
      </c>
      <c r="B254" t="s">
        <v>265</v>
      </c>
      <c r="C254">
        <v>1</v>
      </c>
    </row>
    <row r="255" spans="1:3" ht="13" x14ac:dyDescent="0.15">
      <c r="A255">
        <v>32392062</v>
      </c>
      <c r="B255" t="s">
        <v>266</v>
      </c>
      <c r="C255">
        <v>15</v>
      </c>
    </row>
    <row r="256" spans="1:3" ht="13" x14ac:dyDescent="0.15">
      <c r="A256">
        <v>32423096</v>
      </c>
      <c r="B256" t="s">
        <v>267</v>
      </c>
      <c r="C256">
        <v>1</v>
      </c>
    </row>
    <row r="257" spans="1:3" ht="13" x14ac:dyDescent="0.15">
      <c r="A257">
        <v>32474276</v>
      </c>
      <c r="B257" t="s">
        <v>268</v>
      </c>
      <c r="C257">
        <v>5</v>
      </c>
    </row>
    <row r="258" spans="1:3" ht="13" x14ac:dyDescent="0.15">
      <c r="A258">
        <v>33794365</v>
      </c>
      <c r="B258" t="s">
        <v>269</v>
      </c>
      <c r="C258">
        <v>1</v>
      </c>
    </row>
    <row r="259" spans="1:3" ht="13" x14ac:dyDescent="0.15">
      <c r="A259">
        <v>33801449</v>
      </c>
      <c r="B259" t="s">
        <v>270</v>
      </c>
      <c r="C259">
        <v>1</v>
      </c>
    </row>
    <row r="260" spans="1:3" ht="13" x14ac:dyDescent="0.15">
      <c r="A260">
        <v>33834102</v>
      </c>
      <c r="B260" t="s">
        <v>271</v>
      </c>
      <c r="C260">
        <v>1</v>
      </c>
    </row>
    <row r="261" spans="1:3" ht="13" x14ac:dyDescent="0.15">
      <c r="A261">
        <v>33841601</v>
      </c>
      <c r="B261" t="s">
        <v>272</v>
      </c>
      <c r="C261">
        <v>8</v>
      </c>
    </row>
    <row r="262" spans="1:3" ht="13" x14ac:dyDescent="0.15">
      <c r="A262">
        <v>38695445</v>
      </c>
      <c r="B262" t="s">
        <v>273</v>
      </c>
      <c r="C262">
        <v>1</v>
      </c>
    </row>
    <row r="263" spans="1:3" ht="13" x14ac:dyDescent="0.15">
      <c r="A263">
        <v>38735830</v>
      </c>
      <c r="B263" t="s">
        <v>274</v>
      </c>
      <c r="C263">
        <v>4</v>
      </c>
    </row>
    <row r="264" spans="1:3" ht="13" x14ac:dyDescent="0.15">
      <c r="A264">
        <v>40931334</v>
      </c>
      <c r="B264" t="s">
        <v>275</v>
      </c>
      <c r="C264">
        <v>1</v>
      </c>
    </row>
    <row r="265" spans="1:3" ht="13" x14ac:dyDescent="0.15">
      <c r="A265">
        <v>40985103</v>
      </c>
      <c r="B265" t="s">
        <v>276</v>
      </c>
      <c r="C265">
        <v>1</v>
      </c>
    </row>
    <row r="266" spans="1:3" ht="13" x14ac:dyDescent="0.15">
      <c r="A266">
        <v>40985400</v>
      </c>
      <c r="B266" t="s">
        <v>277</v>
      </c>
      <c r="C266">
        <v>4</v>
      </c>
    </row>
    <row r="267" spans="1:3" ht="13" x14ac:dyDescent="0.15">
      <c r="A267">
        <v>40986110</v>
      </c>
      <c r="B267" t="s">
        <v>278</v>
      </c>
      <c r="C267">
        <v>1</v>
      </c>
    </row>
    <row r="268" spans="1:3" ht="13" x14ac:dyDescent="0.15">
      <c r="A268">
        <v>47173578</v>
      </c>
      <c r="B268" t="s">
        <v>279</v>
      </c>
      <c r="C268">
        <v>1</v>
      </c>
    </row>
    <row r="269" spans="1:3" ht="13" x14ac:dyDescent="0.15">
      <c r="A269">
        <v>49033409</v>
      </c>
      <c r="B269" t="s">
        <v>280</v>
      </c>
      <c r="C269">
        <v>4</v>
      </c>
    </row>
    <row r="270" spans="1:3" ht="13" x14ac:dyDescent="0.15">
      <c r="A270">
        <v>49420957</v>
      </c>
      <c r="B270" t="s">
        <v>281</v>
      </c>
      <c r="C270">
        <v>2</v>
      </c>
    </row>
    <row r="271" spans="1:3" ht="13" x14ac:dyDescent="0.15">
      <c r="A271">
        <v>49481600</v>
      </c>
      <c r="B271" t="s">
        <v>282</v>
      </c>
      <c r="C271">
        <v>1</v>
      </c>
    </row>
    <row r="272" spans="1:3" ht="13" x14ac:dyDescent="0.15">
      <c r="A272">
        <v>50432820</v>
      </c>
      <c r="B272" t="s">
        <v>283</v>
      </c>
      <c r="C272">
        <v>1</v>
      </c>
    </row>
    <row r="273" spans="1:3" ht="13" x14ac:dyDescent="0.15">
      <c r="A273">
        <v>50629549</v>
      </c>
      <c r="B273" t="s">
        <v>284</v>
      </c>
      <c r="C273">
        <v>5</v>
      </c>
    </row>
    <row r="274" spans="1:3" ht="13" x14ac:dyDescent="0.15">
      <c r="A274">
        <v>50633732</v>
      </c>
      <c r="B274" t="s">
        <v>285</v>
      </c>
      <c r="C274">
        <v>2</v>
      </c>
    </row>
    <row r="275" spans="1:3" ht="13" x14ac:dyDescent="0.15">
      <c r="A275">
        <v>54187541</v>
      </c>
      <c r="B275" t="s">
        <v>286</v>
      </c>
      <c r="C275">
        <v>2</v>
      </c>
    </row>
    <row r="276" spans="1:3" ht="13" x14ac:dyDescent="0.15">
      <c r="A276">
        <v>54688730</v>
      </c>
      <c r="B276" t="s">
        <v>287</v>
      </c>
      <c r="C276">
        <v>1</v>
      </c>
    </row>
    <row r="277" spans="1:3" ht="13" x14ac:dyDescent="0.15">
      <c r="A277">
        <v>55289782</v>
      </c>
      <c r="B277" t="s">
        <v>288</v>
      </c>
      <c r="C277">
        <v>3</v>
      </c>
    </row>
    <row r="278" spans="1:3" ht="13" x14ac:dyDescent="0.15">
      <c r="A278">
        <v>55330641</v>
      </c>
      <c r="B278" t="s">
        <v>289</v>
      </c>
      <c r="C278">
        <v>1</v>
      </c>
    </row>
    <row r="279" spans="1:3" ht="13" x14ac:dyDescent="0.15">
      <c r="A279">
        <v>59085832</v>
      </c>
      <c r="B279" t="s">
        <v>290</v>
      </c>
      <c r="C279">
        <v>2</v>
      </c>
    </row>
    <row r="280" spans="1:3" ht="13" x14ac:dyDescent="0.15">
      <c r="A280">
        <v>59225296</v>
      </c>
      <c r="B280" t="s">
        <v>291</v>
      </c>
      <c r="C280">
        <v>2</v>
      </c>
    </row>
    <row r="281" spans="1:3" ht="13" x14ac:dyDescent="0.15">
      <c r="A281">
        <v>60632268</v>
      </c>
      <c r="B281" t="s">
        <v>292</v>
      </c>
      <c r="C281">
        <v>2</v>
      </c>
    </row>
    <row r="282" spans="1:3" ht="13" x14ac:dyDescent="0.15">
      <c r="A282">
        <v>60632771</v>
      </c>
      <c r="B282" t="s">
        <v>293</v>
      </c>
      <c r="C282">
        <v>3</v>
      </c>
    </row>
    <row r="283" spans="1:3" ht="13" x14ac:dyDescent="0.15">
      <c r="A283">
        <v>62665801</v>
      </c>
      <c r="B283" t="s">
        <v>294</v>
      </c>
      <c r="C283">
        <v>1</v>
      </c>
    </row>
    <row r="284" spans="1:3" ht="13" x14ac:dyDescent="0.15">
      <c r="A284">
        <v>63010678</v>
      </c>
      <c r="B284" t="s">
        <v>295</v>
      </c>
      <c r="C284">
        <v>3</v>
      </c>
    </row>
    <row r="285" spans="1:3" ht="13" x14ac:dyDescent="0.15">
      <c r="A285">
        <v>65060325</v>
      </c>
      <c r="B285" t="s">
        <v>296</v>
      </c>
      <c r="C285">
        <v>1</v>
      </c>
    </row>
    <row r="286" spans="1:3" ht="13" x14ac:dyDescent="0.15">
      <c r="A286">
        <v>65199726</v>
      </c>
      <c r="B286" t="s">
        <v>297</v>
      </c>
      <c r="C286">
        <v>1</v>
      </c>
    </row>
    <row r="287" spans="1:3" ht="13" x14ac:dyDescent="0.15">
      <c r="A287">
        <v>65338569</v>
      </c>
      <c r="B287" t="s">
        <v>298</v>
      </c>
      <c r="C287">
        <v>2</v>
      </c>
    </row>
    <row r="288" spans="1:3" ht="13" x14ac:dyDescent="0.15">
      <c r="A288">
        <v>65451739</v>
      </c>
      <c r="B288" t="s">
        <v>299</v>
      </c>
      <c r="C288">
        <v>8</v>
      </c>
    </row>
    <row r="289" spans="1:3" ht="13" x14ac:dyDescent="0.15">
      <c r="A289">
        <v>65616037</v>
      </c>
      <c r="B289" t="s">
        <v>300</v>
      </c>
      <c r="C289">
        <v>1</v>
      </c>
    </row>
    <row r="290" spans="1:3" ht="13" x14ac:dyDescent="0.15">
      <c r="A290">
        <v>68655136</v>
      </c>
      <c r="B290" t="s">
        <v>301</v>
      </c>
      <c r="C290">
        <v>1</v>
      </c>
    </row>
    <row r="291" spans="1:3" ht="13" x14ac:dyDescent="0.15">
      <c r="A291">
        <v>68743017</v>
      </c>
      <c r="B291" t="s">
        <v>302</v>
      </c>
      <c r="C291">
        <v>1</v>
      </c>
    </row>
    <row r="292" spans="1:3" ht="13" x14ac:dyDescent="0.15">
      <c r="A292">
        <v>68883897</v>
      </c>
      <c r="B292" t="s">
        <v>303</v>
      </c>
      <c r="C292">
        <v>1</v>
      </c>
    </row>
    <row r="293" spans="1:3" ht="13" x14ac:dyDescent="0.15">
      <c r="A293">
        <v>69571639</v>
      </c>
      <c r="B293" t="s">
        <v>304</v>
      </c>
      <c r="C293">
        <v>3</v>
      </c>
    </row>
    <row r="294" spans="1:3" ht="13" x14ac:dyDescent="0.15">
      <c r="A294">
        <v>69662633</v>
      </c>
      <c r="B294" t="s">
        <v>305</v>
      </c>
      <c r="C294">
        <v>1</v>
      </c>
    </row>
    <row r="295" spans="1:3" ht="13" x14ac:dyDescent="0.15">
      <c r="A295">
        <v>71159193</v>
      </c>
      <c r="B295" t="s">
        <v>306</v>
      </c>
      <c r="C295">
        <v>2</v>
      </c>
    </row>
    <row r="296" spans="1:3" ht="13" x14ac:dyDescent="0.15">
      <c r="A296">
        <v>74276733</v>
      </c>
      <c r="B296" t="s">
        <v>307</v>
      </c>
      <c r="C296">
        <v>2</v>
      </c>
    </row>
    <row r="297" spans="1:3" ht="13" x14ac:dyDescent="0.15">
      <c r="A297">
        <v>75585287</v>
      </c>
      <c r="B297" t="s">
        <v>308</v>
      </c>
      <c r="C297">
        <v>4</v>
      </c>
    </row>
    <row r="298" spans="1:3" ht="13" x14ac:dyDescent="0.15">
      <c r="A298">
        <v>75650847</v>
      </c>
      <c r="B298" t="s">
        <v>309</v>
      </c>
      <c r="C298">
        <v>17</v>
      </c>
    </row>
    <row r="299" spans="1:3" ht="13" x14ac:dyDescent="0.15">
      <c r="A299">
        <v>78294660</v>
      </c>
      <c r="B299" t="s">
        <v>310</v>
      </c>
      <c r="C299">
        <v>1</v>
      </c>
    </row>
    <row r="300" spans="1:3" ht="13" x14ac:dyDescent="0.15">
      <c r="A300">
        <v>79416109</v>
      </c>
      <c r="B300" t="s">
        <v>311</v>
      </c>
      <c r="C300">
        <v>1</v>
      </c>
    </row>
    <row r="301" spans="1:3" ht="13" x14ac:dyDescent="0.15">
      <c r="A301">
        <v>79646042</v>
      </c>
      <c r="B301" t="s">
        <v>312</v>
      </c>
      <c r="C301">
        <v>1</v>
      </c>
    </row>
    <row r="302" spans="1:3" ht="13" x14ac:dyDescent="0.15">
      <c r="A302">
        <v>79737588</v>
      </c>
      <c r="B302" t="s">
        <v>313</v>
      </c>
      <c r="C302">
        <v>2</v>
      </c>
    </row>
    <row r="303" spans="1:3" ht="13" x14ac:dyDescent="0.15">
      <c r="A303">
        <v>80182176</v>
      </c>
      <c r="B303" t="s">
        <v>314</v>
      </c>
      <c r="C303">
        <v>2</v>
      </c>
    </row>
    <row r="304" spans="1:3" ht="13" x14ac:dyDescent="0.15">
      <c r="A304">
        <v>80267018</v>
      </c>
      <c r="B304" t="s">
        <v>315</v>
      </c>
      <c r="C304">
        <v>1</v>
      </c>
    </row>
    <row r="305" spans="1:3" ht="13" x14ac:dyDescent="0.15">
      <c r="A305">
        <v>80296899</v>
      </c>
      <c r="B305" t="s">
        <v>316</v>
      </c>
      <c r="C305">
        <v>1</v>
      </c>
    </row>
    <row r="306" spans="1:3" ht="13" x14ac:dyDescent="0.15">
      <c r="A306">
        <v>80338976</v>
      </c>
      <c r="B306" t="s">
        <v>317</v>
      </c>
      <c r="C306">
        <v>4</v>
      </c>
    </row>
    <row r="307" spans="1:3" ht="13" x14ac:dyDescent="0.15">
      <c r="A307">
        <v>86825629</v>
      </c>
      <c r="B307" t="s">
        <v>318</v>
      </c>
      <c r="C307">
        <v>3</v>
      </c>
    </row>
    <row r="308" spans="1:3" ht="13" x14ac:dyDescent="0.15">
      <c r="A308">
        <v>88395854</v>
      </c>
      <c r="B308" t="s">
        <v>319</v>
      </c>
      <c r="C308">
        <v>5</v>
      </c>
    </row>
    <row r="309" spans="1:3" ht="13" x14ac:dyDescent="0.15">
      <c r="A309">
        <v>89953352</v>
      </c>
      <c r="B309" t="s">
        <v>320</v>
      </c>
      <c r="C309">
        <v>3</v>
      </c>
    </row>
    <row r="310" spans="1:3" ht="13" x14ac:dyDescent="0.15">
      <c r="A310">
        <v>90641209</v>
      </c>
      <c r="B310" t="s">
        <v>321</v>
      </c>
      <c r="C310">
        <v>1</v>
      </c>
    </row>
    <row r="311" spans="1:3" ht="13" x14ac:dyDescent="0.15">
      <c r="A311">
        <v>97330329</v>
      </c>
      <c r="B311" t="s">
        <v>322</v>
      </c>
      <c r="C311">
        <v>1</v>
      </c>
    </row>
    <row r="312" spans="1:3" ht="13" x14ac:dyDescent="0.15">
      <c r="A312">
        <v>100852661</v>
      </c>
      <c r="B312" t="s">
        <v>323</v>
      </c>
      <c r="C312">
        <v>1</v>
      </c>
    </row>
    <row r="313" spans="1:3" ht="13" x14ac:dyDescent="0.15">
      <c r="A313">
        <v>101796544</v>
      </c>
      <c r="B313" t="s">
        <v>324</v>
      </c>
      <c r="C313">
        <v>1</v>
      </c>
    </row>
    <row r="314" spans="1:3" ht="13" x14ac:dyDescent="0.15">
      <c r="A314">
        <v>103712330</v>
      </c>
      <c r="B314" t="s">
        <v>325</v>
      </c>
      <c r="C314">
        <v>2</v>
      </c>
    </row>
    <row r="315" spans="1:3" ht="13" x14ac:dyDescent="0.15">
      <c r="A315">
        <v>104935454</v>
      </c>
      <c r="B315" t="s">
        <v>326</v>
      </c>
      <c r="C315">
        <v>1</v>
      </c>
    </row>
    <row r="316" spans="1:3" ht="13" x14ac:dyDescent="0.15">
      <c r="A316">
        <v>106012094</v>
      </c>
      <c r="B316" t="s">
        <v>327</v>
      </c>
      <c r="C316">
        <v>1</v>
      </c>
    </row>
    <row r="317" spans="1:3" ht="13" x14ac:dyDescent="0.15">
      <c r="A317">
        <v>108543739</v>
      </c>
      <c r="B317" t="s">
        <v>328</v>
      </c>
      <c r="C317">
        <v>1</v>
      </c>
    </row>
    <row r="318" spans="1:3" ht="13" x14ac:dyDescent="0.15">
      <c r="A318">
        <v>111279340</v>
      </c>
      <c r="B318" t="s">
        <v>329</v>
      </c>
      <c r="C318">
        <v>5</v>
      </c>
    </row>
    <row r="319" spans="1:3" ht="13" x14ac:dyDescent="0.15">
      <c r="A319">
        <v>113364663</v>
      </c>
      <c r="B319" t="s">
        <v>330</v>
      </c>
      <c r="C319">
        <v>2</v>
      </c>
    </row>
    <row r="320" spans="1:3" ht="13" x14ac:dyDescent="0.15">
      <c r="A320">
        <v>113668735</v>
      </c>
      <c r="B320" t="s">
        <v>331</v>
      </c>
      <c r="C320">
        <v>1</v>
      </c>
    </row>
    <row r="321" spans="1:3" ht="13" x14ac:dyDescent="0.15">
      <c r="A321">
        <v>114167972</v>
      </c>
      <c r="B321" t="s">
        <v>332</v>
      </c>
      <c r="C321">
        <v>2</v>
      </c>
    </row>
    <row r="322" spans="1:3" ht="13" x14ac:dyDescent="0.15">
      <c r="A322">
        <v>115371035</v>
      </c>
      <c r="B322" t="s">
        <v>333</v>
      </c>
      <c r="C322">
        <v>6</v>
      </c>
    </row>
    <row r="323" spans="1:3" ht="13" x14ac:dyDescent="0.15">
      <c r="A323">
        <v>117019199</v>
      </c>
      <c r="B323" t="s">
        <v>334</v>
      </c>
      <c r="C323">
        <v>3</v>
      </c>
    </row>
    <row r="324" spans="1:3" ht="13" x14ac:dyDescent="0.15">
      <c r="A324">
        <v>117505282</v>
      </c>
      <c r="B324" t="s">
        <v>335</v>
      </c>
      <c r="C324">
        <v>1</v>
      </c>
    </row>
    <row r="325" spans="1:3" ht="13" x14ac:dyDescent="0.15">
      <c r="A325">
        <v>118274883</v>
      </c>
      <c r="B325" t="s">
        <v>336</v>
      </c>
      <c r="C325">
        <v>1</v>
      </c>
    </row>
    <row r="326" spans="1:3" ht="13" x14ac:dyDescent="0.15">
      <c r="A326">
        <v>118283878</v>
      </c>
      <c r="B326" t="s">
        <v>337</v>
      </c>
      <c r="C326">
        <v>1</v>
      </c>
    </row>
    <row r="327" spans="1:3" ht="13" x14ac:dyDescent="0.15">
      <c r="A327">
        <v>118293070</v>
      </c>
      <c r="B327" t="s">
        <v>338</v>
      </c>
      <c r="C327">
        <v>1</v>
      </c>
    </row>
    <row r="328" spans="1:3" ht="13" x14ac:dyDescent="0.15">
      <c r="A328">
        <v>118295600</v>
      </c>
      <c r="B328" t="s">
        <v>339</v>
      </c>
      <c r="C328">
        <v>1</v>
      </c>
    </row>
    <row r="329" spans="1:3" ht="13" x14ac:dyDescent="0.15">
      <c r="A329">
        <v>118295697</v>
      </c>
      <c r="B329" t="s">
        <v>340</v>
      </c>
      <c r="C329">
        <v>1</v>
      </c>
    </row>
    <row r="330" spans="1:3" ht="13" x14ac:dyDescent="0.15">
      <c r="A330">
        <v>118429002</v>
      </c>
      <c r="B330" t="s">
        <v>341</v>
      </c>
      <c r="C330">
        <v>1</v>
      </c>
    </row>
    <row r="331" spans="1:3" ht="13" x14ac:dyDescent="0.15">
      <c r="A331">
        <v>118779909</v>
      </c>
      <c r="B331" t="s">
        <v>342</v>
      </c>
      <c r="C331">
        <v>1</v>
      </c>
    </row>
    <row r="332" spans="1:3" ht="13" x14ac:dyDescent="0.15">
      <c r="A332">
        <v>118788101</v>
      </c>
      <c r="B332" t="s">
        <v>343</v>
      </c>
      <c r="C332">
        <v>2</v>
      </c>
    </row>
    <row r="333" spans="1:3" ht="13" x14ac:dyDescent="0.15">
      <c r="A333">
        <v>119184246</v>
      </c>
      <c r="B333" t="s">
        <v>344</v>
      </c>
      <c r="C333">
        <v>1</v>
      </c>
    </row>
    <row r="334" spans="1:3" ht="13" x14ac:dyDescent="0.15">
      <c r="A334">
        <v>119568159</v>
      </c>
      <c r="B334" t="s">
        <v>345</v>
      </c>
      <c r="C334">
        <v>1</v>
      </c>
    </row>
    <row r="335" spans="1:3" ht="13" x14ac:dyDescent="0.15">
      <c r="A335">
        <v>119619422</v>
      </c>
      <c r="B335" t="s">
        <v>346</v>
      </c>
      <c r="C335">
        <v>1</v>
      </c>
    </row>
    <row r="336" spans="1:3" ht="13" x14ac:dyDescent="0.15">
      <c r="A336">
        <v>119806655</v>
      </c>
      <c r="B336" t="s">
        <v>347</v>
      </c>
      <c r="C336">
        <v>1</v>
      </c>
    </row>
    <row r="337" spans="1:3" ht="13" x14ac:dyDescent="0.15">
      <c r="A337">
        <v>119808753</v>
      </c>
      <c r="B337" t="s">
        <v>348</v>
      </c>
      <c r="C337">
        <v>1</v>
      </c>
    </row>
    <row r="338" spans="1:3" ht="13" x14ac:dyDescent="0.15">
      <c r="A338">
        <v>119814476</v>
      </c>
      <c r="B338" t="s">
        <v>349</v>
      </c>
      <c r="C338">
        <v>1</v>
      </c>
    </row>
    <row r="339" spans="1:3" ht="13" x14ac:dyDescent="0.15">
      <c r="A339">
        <v>119857509</v>
      </c>
      <c r="B339" t="s">
        <v>350</v>
      </c>
      <c r="C339">
        <v>25</v>
      </c>
    </row>
    <row r="340" spans="1:3" ht="13" x14ac:dyDescent="0.15">
      <c r="A340">
        <v>120113464</v>
      </c>
      <c r="B340" t="s">
        <v>351</v>
      </c>
      <c r="C340">
        <v>10</v>
      </c>
    </row>
    <row r="341" spans="1:3" ht="13" x14ac:dyDescent="0.15">
      <c r="A341">
        <v>120113492</v>
      </c>
      <c r="B341" t="s">
        <v>352</v>
      </c>
      <c r="C341">
        <v>1</v>
      </c>
    </row>
    <row r="342" spans="1:3" ht="13" x14ac:dyDescent="0.15">
      <c r="A342">
        <v>120418912</v>
      </c>
      <c r="B342" t="s">
        <v>353</v>
      </c>
      <c r="C342">
        <v>1</v>
      </c>
    </row>
    <row r="343" spans="1:3" ht="13" x14ac:dyDescent="0.15">
      <c r="A343">
        <v>120578233</v>
      </c>
      <c r="B343" t="s">
        <v>354</v>
      </c>
      <c r="C343">
        <v>1</v>
      </c>
    </row>
    <row r="344" spans="1:3" ht="13" x14ac:dyDescent="0.15">
      <c r="A344">
        <v>120680752</v>
      </c>
      <c r="B344" t="s">
        <v>355</v>
      </c>
      <c r="C344">
        <v>1</v>
      </c>
    </row>
    <row r="345" spans="1:3" ht="13" x14ac:dyDescent="0.15">
      <c r="A345">
        <v>121481416</v>
      </c>
      <c r="B345" t="s">
        <v>356</v>
      </c>
      <c r="C345">
        <v>1</v>
      </c>
    </row>
    <row r="346" spans="1:3" ht="13" x14ac:dyDescent="0.15">
      <c r="A346">
        <v>121714432</v>
      </c>
      <c r="B346" t="s">
        <v>357</v>
      </c>
      <c r="C346">
        <v>1</v>
      </c>
    </row>
    <row r="347" spans="1:3" ht="13" x14ac:dyDescent="0.15">
      <c r="A347">
        <v>122173299</v>
      </c>
      <c r="B347" t="s">
        <v>358</v>
      </c>
      <c r="C347">
        <v>2</v>
      </c>
    </row>
    <row r="348" spans="1:3" ht="13" x14ac:dyDescent="0.15">
      <c r="A348">
        <v>122358189</v>
      </c>
      <c r="B348" t="s">
        <v>359</v>
      </c>
      <c r="C348">
        <v>1</v>
      </c>
    </row>
    <row r="349" spans="1:3" ht="13" x14ac:dyDescent="0.15">
      <c r="A349">
        <v>122524473</v>
      </c>
      <c r="B349" t="s">
        <v>360</v>
      </c>
      <c r="C349">
        <v>1</v>
      </c>
    </row>
    <row r="350" spans="1:3" ht="13" x14ac:dyDescent="0.15">
      <c r="A350">
        <v>122626488</v>
      </c>
      <c r="B350" t="s">
        <v>361</v>
      </c>
      <c r="C350">
        <v>1</v>
      </c>
    </row>
    <row r="351" spans="1:3" ht="13" x14ac:dyDescent="0.15">
      <c r="A351">
        <v>123194952</v>
      </c>
      <c r="B351" t="s">
        <v>362</v>
      </c>
      <c r="C351">
        <v>1</v>
      </c>
    </row>
    <row r="352" spans="1:3" ht="13" x14ac:dyDescent="0.15">
      <c r="A352">
        <v>123215564</v>
      </c>
      <c r="B352" t="s">
        <v>363</v>
      </c>
      <c r="C352">
        <v>1</v>
      </c>
    </row>
    <row r="353" spans="1:3" ht="13" x14ac:dyDescent="0.15">
      <c r="A353">
        <v>124050476</v>
      </c>
      <c r="B353" t="s">
        <v>364</v>
      </c>
      <c r="C353">
        <v>1</v>
      </c>
    </row>
    <row r="354" spans="1:3" ht="13" x14ac:dyDescent="0.15">
      <c r="A354">
        <v>124091599</v>
      </c>
      <c r="B354" t="s">
        <v>365</v>
      </c>
      <c r="C354">
        <v>18</v>
      </c>
    </row>
    <row r="355" spans="1:3" ht="13" x14ac:dyDescent="0.15">
      <c r="A355">
        <v>124197325</v>
      </c>
      <c r="B355" t="s">
        <v>366</v>
      </c>
      <c r="C355">
        <v>2</v>
      </c>
    </row>
    <row r="356" spans="1:3" ht="13" x14ac:dyDescent="0.15">
      <c r="A356">
        <v>124231681</v>
      </c>
      <c r="B356" t="s">
        <v>367</v>
      </c>
      <c r="C356">
        <v>1</v>
      </c>
    </row>
    <row r="357" spans="1:3" ht="13" x14ac:dyDescent="0.15">
      <c r="A357">
        <v>124365896</v>
      </c>
      <c r="B357" t="s">
        <v>368</v>
      </c>
      <c r="C357">
        <v>7</v>
      </c>
    </row>
    <row r="358" spans="1:3" ht="13" x14ac:dyDescent="0.15">
      <c r="A358">
        <v>124432460</v>
      </c>
      <c r="B358" t="s">
        <v>369</v>
      </c>
      <c r="C358">
        <v>1</v>
      </c>
    </row>
    <row r="359" spans="1:3" ht="13" x14ac:dyDescent="0.15">
      <c r="A359">
        <v>124926707</v>
      </c>
      <c r="B359" t="s">
        <v>370</v>
      </c>
      <c r="C359">
        <v>1</v>
      </c>
    </row>
    <row r="360" spans="1:3" ht="13" x14ac:dyDescent="0.15">
      <c r="A360">
        <v>125096057</v>
      </c>
      <c r="B360" t="s">
        <v>371</v>
      </c>
      <c r="C360">
        <v>17</v>
      </c>
    </row>
    <row r="361" spans="1:3" ht="13" x14ac:dyDescent="0.15">
      <c r="A361">
        <v>125152026</v>
      </c>
      <c r="B361" t="s">
        <v>372</v>
      </c>
      <c r="C361">
        <v>1</v>
      </c>
    </row>
    <row r="362" spans="1:3" ht="13" x14ac:dyDescent="0.15">
      <c r="A362">
        <v>125278096</v>
      </c>
      <c r="B362" t="s">
        <v>373</v>
      </c>
      <c r="C362">
        <v>1</v>
      </c>
    </row>
    <row r="363" spans="1:3" ht="13" x14ac:dyDescent="0.15">
      <c r="A363">
        <v>126182769</v>
      </c>
      <c r="B363" t="s">
        <v>374</v>
      </c>
      <c r="C363">
        <v>1</v>
      </c>
    </row>
    <row r="364" spans="1:3" ht="13" x14ac:dyDescent="0.15">
      <c r="A364">
        <v>127660598</v>
      </c>
      <c r="B364" t="s">
        <v>375</v>
      </c>
      <c r="C364">
        <v>1</v>
      </c>
    </row>
    <row r="365" spans="1:3" ht="13" x14ac:dyDescent="0.15">
      <c r="A365">
        <v>127693417</v>
      </c>
      <c r="B365" t="s">
        <v>376</v>
      </c>
      <c r="C365">
        <v>4</v>
      </c>
    </row>
    <row r="366" spans="1:3" ht="13" x14ac:dyDescent="0.15">
      <c r="A366">
        <v>128007191</v>
      </c>
      <c r="B366" t="s">
        <v>377</v>
      </c>
      <c r="C366">
        <v>2</v>
      </c>
    </row>
    <row r="367" spans="1:3" ht="13" x14ac:dyDescent="0.15">
      <c r="A367">
        <v>128077216</v>
      </c>
      <c r="B367" t="s">
        <v>378</v>
      </c>
      <c r="C367">
        <v>1</v>
      </c>
    </row>
    <row r="368" spans="1:3" ht="13" x14ac:dyDescent="0.15">
      <c r="A368">
        <v>128411593</v>
      </c>
      <c r="B368" t="s">
        <v>379</v>
      </c>
      <c r="C368">
        <v>6</v>
      </c>
    </row>
    <row r="369" spans="1:3" ht="13" x14ac:dyDescent="0.15">
      <c r="A369">
        <v>128464291</v>
      </c>
      <c r="B369" t="s">
        <v>380</v>
      </c>
      <c r="C369">
        <v>1</v>
      </c>
    </row>
    <row r="370" spans="1:3" ht="13" x14ac:dyDescent="0.15">
      <c r="A370">
        <v>130466319</v>
      </c>
      <c r="B370" t="s">
        <v>381</v>
      </c>
      <c r="C370">
        <v>1</v>
      </c>
    </row>
    <row r="371" spans="1:3" ht="13" x14ac:dyDescent="0.15">
      <c r="A371">
        <v>130963270</v>
      </c>
      <c r="B371" t="s">
        <v>382</v>
      </c>
      <c r="C371">
        <v>1</v>
      </c>
    </row>
    <row r="372" spans="1:3" ht="13" x14ac:dyDescent="0.15">
      <c r="A372">
        <v>131805566</v>
      </c>
      <c r="B372" t="s">
        <v>383</v>
      </c>
      <c r="C372">
        <v>1</v>
      </c>
    </row>
    <row r="373" spans="1:3" ht="13" x14ac:dyDescent="0.15">
      <c r="A373">
        <v>134510762</v>
      </c>
      <c r="B373" t="s">
        <v>384</v>
      </c>
      <c r="C373">
        <v>1</v>
      </c>
    </row>
    <row r="374" spans="1:3" ht="13" x14ac:dyDescent="0.15">
      <c r="A374">
        <v>135292365</v>
      </c>
      <c r="B374" t="s">
        <v>385</v>
      </c>
      <c r="C374">
        <v>3</v>
      </c>
    </row>
    <row r="375" spans="1:3" ht="13" x14ac:dyDescent="0.15">
      <c r="A375">
        <v>135702714</v>
      </c>
      <c r="B375" t="s">
        <v>386</v>
      </c>
      <c r="C375">
        <v>6</v>
      </c>
    </row>
    <row r="376" spans="1:3" ht="13" x14ac:dyDescent="0.15">
      <c r="A376">
        <v>135727591</v>
      </c>
      <c r="B376" t="s">
        <v>387</v>
      </c>
      <c r="C376">
        <v>1</v>
      </c>
    </row>
    <row r="377" spans="1:3" ht="13" x14ac:dyDescent="0.15">
      <c r="A377">
        <v>135729680</v>
      </c>
      <c r="B377" t="s">
        <v>388</v>
      </c>
      <c r="C377">
        <v>12</v>
      </c>
    </row>
    <row r="378" spans="1:3" ht="13" x14ac:dyDescent="0.15">
      <c r="A378">
        <v>135951287</v>
      </c>
      <c r="B378" t="s">
        <v>389</v>
      </c>
      <c r="C378">
        <v>7</v>
      </c>
    </row>
    <row r="379" spans="1:3" ht="13" x14ac:dyDescent="0.15">
      <c r="A379">
        <v>136012659</v>
      </c>
      <c r="B379" t="s">
        <v>390</v>
      </c>
      <c r="C379">
        <v>1</v>
      </c>
    </row>
    <row r="380" spans="1:3" ht="13" x14ac:dyDescent="0.15">
      <c r="A380">
        <v>136120416</v>
      </c>
      <c r="B380" t="s">
        <v>391</v>
      </c>
      <c r="C380">
        <v>1</v>
      </c>
    </row>
    <row r="381" spans="1:3" ht="13" x14ac:dyDescent="0.15">
      <c r="A381">
        <v>136429130</v>
      </c>
      <c r="B381" t="s">
        <v>392</v>
      </c>
      <c r="C381">
        <v>10</v>
      </c>
    </row>
    <row r="382" spans="1:3" ht="13" x14ac:dyDescent="0.15">
      <c r="A382">
        <v>137224579</v>
      </c>
      <c r="B382" t="s">
        <v>393</v>
      </c>
      <c r="C382">
        <v>1</v>
      </c>
    </row>
    <row r="383" spans="1:3" ht="13" x14ac:dyDescent="0.15">
      <c r="A383">
        <v>137990095</v>
      </c>
      <c r="B383" t="s">
        <v>394</v>
      </c>
      <c r="C383">
        <v>1</v>
      </c>
    </row>
    <row r="384" spans="1:3" ht="13" x14ac:dyDescent="0.15">
      <c r="A384">
        <v>138353222</v>
      </c>
      <c r="B384" t="s">
        <v>395</v>
      </c>
      <c r="C384">
        <v>1</v>
      </c>
    </row>
    <row r="385" spans="1:3" ht="13" x14ac:dyDescent="0.15">
      <c r="A385">
        <v>138418435</v>
      </c>
      <c r="B385" t="s">
        <v>396</v>
      </c>
      <c r="C385">
        <v>1</v>
      </c>
    </row>
    <row r="386" spans="1:3" ht="13" x14ac:dyDescent="0.15">
      <c r="A386">
        <v>139182238</v>
      </c>
      <c r="B386" t="s">
        <v>397</v>
      </c>
      <c r="C386">
        <v>1</v>
      </c>
    </row>
    <row r="387" spans="1:3" ht="13" x14ac:dyDescent="0.15">
      <c r="A387">
        <v>139443425</v>
      </c>
      <c r="B387" t="s">
        <v>398</v>
      </c>
      <c r="C387">
        <v>1</v>
      </c>
    </row>
    <row r="388" spans="1:3" ht="13" x14ac:dyDescent="0.15">
      <c r="A388">
        <v>140043434</v>
      </c>
      <c r="B388" t="s">
        <v>399</v>
      </c>
      <c r="C388">
        <v>1</v>
      </c>
    </row>
    <row r="389" spans="1:3" ht="13" x14ac:dyDescent="0.15">
      <c r="A389">
        <v>140695542</v>
      </c>
      <c r="B389" t="s">
        <v>400</v>
      </c>
      <c r="C389">
        <v>1</v>
      </c>
    </row>
    <row r="390" spans="1:3" ht="13" x14ac:dyDescent="0.15">
      <c r="A390">
        <v>142746541</v>
      </c>
      <c r="B390" t="s">
        <v>401</v>
      </c>
      <c r="C390">
        <v>1</v>
      </c>
    </row>
    <row r="391" spans="1:3" ht="13" x14ac:dyDescent="0.15">
      <c r="A391">
        <v>142753892</v>
      </c>
      <c r="B391" t="s">
        <v>402</v>
      </c>
      <c r="C391">
        <v>1</v>
      </c>
    </row>
    <row r="392" spans="1:3" ht="13" x14ac:dyDescent="0.15">
      <c r="A392">
        <v>143032636</v>
      </c>
      <c r="B392" t="s">
        <v>403</v>
      </c>
      <c r="C392">
        <v>1</v>
      </c>
    </row>
    <row r="393" spans="1:3" ht="13" x14ac:dyDescent="0.15">
      <c r="A393">
        <v>143231423</v>
      </c>
      <c r="B393" t="s">
        <v>404</v>
      </c>
      <c r="C393">
        <v>1</v>
      </c>
    </row>
    <row r="394" spans="1:3" ht="13" x14ac:dyDescent="0.15">
      <c r="A394">
        <v>145083380</v>
      </c>
      <c r="B394" t="s">
        <v>405</v>
      </c>
      <c r="C394">
        <v>1</v>
      </c>
    </row>
    <row r="395" spans="1:3" ht="13" x14ac:dyDescent="0.15">
      <c r="A395">
        <v>147576359</v>
      </c>
      <c r="B395" t="s">
        <v>406</v>
      </c>
      <c r="C395">
        <v>2</v>
      </c>
    </row>
    <row r="396" spans="1:3" ht="13" x14ac:dyDescent="0.15">
      <c r="A396">
        <v>149056573</v>
      </c>
      <c r="B396" t="s">
        <v>407</v>
      </c>
      <c r="C396">
        <v>1</v>
      </c>
    </row>
    <row r="397" spans="1:3" ht="13" x14ac:dyDescent="0.15">
      <c r="A397">
        <v>149802003</v>
      </c>
      <c r="B397" t="s">
        <v>408</v>
      </c>
      <c r="C397">
        <v>1</v>
      </c>
    </row>
    <row r="398" spans="1:3" ht="13" x14ac:dyDescent="0.15">
      <c r="A398">
        <v>149901183</v>
      </c>
      <c r="B398" t="s">
        <v>409</v>
      </c>
      <c r="C398">
        <v>1</v>
      </c>
    </row>
    <row r="399" spans="1:3" ht="13" x14ac:dyDescent="0.15">
      <c r="A399">
        <v>150000962</v>
      </c>
      <c r="B399" t="s">
        <v>410</v>
      </c>
      <c r="C399">
        <v>1</v>
      </c>
    </row>
    <row r="400" spans="1:3" ht="13" x14ac:dyDescent="0.15">
      <c r="A400">
        <v>150070492</v>
      </c>
      <c r="B400" t="s">
        <v>411</v>
      </c>
      <c r="C400">
        <v>1</v>
      </c>
    </row>
    <row r="401" spans="1:3" ht="13" x14ac:dyDescent="0.15">
      <c r="A401">
        <v>151001318</v>
      </c>
      <c r="B401" t="s">
        <v>412</v>
      </c>
      <c r="C401">
        <v>5</v>
      </c>
    </row>
    <row r="402" spans="1:3" ht="13" x14ac:dyDescent="0.15">
      <c r="A402">
        <v>154768599</v>
      </c>
      <c r="B402" t="s">
        <v>413</v>
      </c>
      <c r="C402">
        <v>1</v>
      </c>
    </row>
    <row r="403" spans="1:3" ht="13" x14ac:dyDescent="0.15">
      <c r="A403">
        <v>155580479</v>
      </c>
      <c r="B403" t="s">
        <v>414</v>
      </c>
      <c r="C403">
        <v>2</v>
      </c>
    </row>
    <row r="404" spans="1:3" ht="13" x14ac:dyDescent="0.15">
      <c r="A404">
        <v>155606080</v>
      </c>
      <c r="B404" t="s">
        <v>415</v>
      </c>
      <c r="C404">
        <v>2</v>
      </c>
    </row>
    <row r="405" spans="1:3" ht="13" x14ac:dyDescent="0.15">
      <c r="A405">
        <v>155902891</v>
      </c>
      <c r="B405" t="s">
        <v>416</v>
      </c>
      <c r="C405">
        <v>1</v>
      </c>
    </row>
    <row r="406" spans="1:3" ht="13" x14ac:dyDescent="0.15">
      <c r="A406">
        <v>155905619</v>
      </c>
      <c r="B406" t="s">
        <v>417</v>
      </c>
      <c r="C406">
        <v>4</v>
      </c>
    </row>
    <row r="407" spans="1:3" ht="13" x14ac:dyDescent="0.15">
      <c r="A407">
        <v>156763166</v>
      </c>
      <c r="B407" t="s">
        <v>418</v>
      </c>
      <c r="C407">
        <v>2</v>
      </c>
    </row>
    <row r="408" spans="1:3" ht="13" x14ac:dyDescent="0.15">
      <c r="A408">
        <v>157686459</v>
      </c>
      <c r="B408" t="s">
        <v>419</v>
      </c>
      <c r="C408">
        <v>2</v>
      </c>
    </row>
    <row r="409" spans="1:3" ht="13" x14ac:dyDescent="0.15">
      <c r="A409">
        <v>158993404</v>
      </c>
      <c r="B409" t="s">
        <v>420</v>
      </c>
      <c r="C409">
        <v>1</v>
      </c>
    </row>
    <row r="410" spans="1:3" ht="13" x14ac:dyDescent="0.15">
      <c r="A410">
        <v>160778536</v>
      </c>
      <c r="B410" t="s">
        <v>421</v>
      </c>
      <c r="C410">
        <v>1</v>
      </c>
    </row>
    <row r="411" spans="1:3" ht="13" x14ac:dyDescent="0.15">
      <c r="A411">
        <v>160847928</v>
      </c>
      <c r="B411" t="s">
        <v>422</v>
      </c>
      <c r="C411">
        <v>1</v>
      </c>
    </row>
    <row r="412" spans="1:3" ht="13" x14ac:dyDescent="0.15">
      <c r="A412">
        <v>160851888</v>
      </c>
      <c r="B412" t="s">
        <v>423</v>
      </c>
      <c r="C412">
        <v>1</v>
      </c>
    </row>
    <row r="413" spans="1:3" ht="13" x14ac:dyDescent="0.15">
      <c r="A413">
        <v>160894541</v>
      </c>
      <c r="B413" t="s">
        <v>424</v>
      </c>
      <c r="C413">
        <v>2</v>
      </c>
    </row>
    <row r="414" spans="1:3" ht="13" x14ac:dyDescent="0.15">
      <c r="A414">
        <v>160894542</v>
      </c>
      <c r="B414" t="s">
        <v>425</v>
      </c>
      <c r="C414">
        <v>28</v>
      </c>
    </row>
    <row r="415" spans="1:3" ht="13" x14ac:dyDescent="0.15">
      <c r="A415">
        <v>160894620</v>
      </c>
      <c r="B415" t="s">
        <v>426</v>
      </c>
      <c r="C415">
        <v>3</v>
      </c>
    </row>
    <row r="416" spans="1:3" ht="13" x14ac:dyDescent="0.15">
      <c r="A416">
        <v>160894625</v>
      </c>
      <c r="B416" t="s">
        <v>427</v>
      </c>
      <c r="C416">
        <v>2</v>
      </c>
    </row>
    <row r="417" spans="1:3" ht="13" x14ac:dyDescent="0.15">
      <c r="A417">
        <v>160894732</v>
      </c>
      <c r="B417" t="s">
        <v>428</v>
      </c>
      <c r="C417">
        <v>1</v>
      </c>
    </row>
    <row r="418" spans="1:3" ht="13" x14ac:dyDescent="0.15">
      <c r="A418">
        <v>160934209</v>
      </c>
      <c r="B418" t="s">
        <v>429</v>
      </c>
      <c r="C418">
        <v>1</v>
      </c>
    </row>
    <row r="419" spans="1:3" ht="13" x14ac:dyDescent="0.15">
      <c r="A419">
        <v>160971296</v>
      </c>
      <c r="B419" t="s">
        <v>430</v>
      </c>
      <c r="C419">
        <v>1</v>
      </c>
    </row>
    <row r="420" spans="1:3" ht="13" x14ac:dyDescent="0.15">
      <c r="A420">
        <v>161568213</v>
      </c>
      <c r="B420" t="s">
        <v>431</v>
      </c>
      <c r="C420">
        <v>2</v>
      </c>
    </row>
    <row r="421" spans="1:3" ht="13" x14ac:dyDescent="0.15">
      <c r="A421">
        <v>164998965</v>
      </c>
      <c r="B421" t="s">
        <v>432</v>
      </c>
      <c r="C421">
        <v>1</v>
      </c>
    </row>
    <row r="422" spans="1:3" ht="13" x14ac:dyDescent="0.15">
      <c r="A422">
        <v>165520775</v>
      </c>
      <c r="B422" t="s">
        <v>433</v>
      </c>
      <c r="C422">
        <v>13</v>
      </c>
    </row>
    <row r="423" spans="1:3" ht="13" x14ac:dyDescent="0.15">
      <c r="A423">
        <v>165662256</v>
      </c>
      <c r="B423" t="s">
        <v>434</v>
      </c>
      <c r="C423">
        <v>1</v>
      </c>
    </row>
    <row r="424" spans="1:3" ht="13" x14ac:dyDescent="0.15">
      <c r="A424">
        <v>166897144</v>
      </c>
      <c r="B424" t="s">
        <v>435</v>
      </c>
      <c r="C424">
        <v>1</v>
      </c>
    </row>
    <row r="425" spans="1:3" ht="13" x14ac:dyDescent="0.15">
      <c r="A425">
        <v>166898507</v>
      </c>
      <c r="B425" t="s">
        <v>436</v>
      </c>
      <c r="C425">
        <v>1</v>
      </c>
    </row>
    <row r="426" spans="1:3" ht="13" x14ac:dyDescent="0.15">
      <c r="A426">
        <v>167351100</v>
      </c>
      <c r="B426" t="s">
        <v>437</v>
      </c>
      <c r="C426">
        <v>1</v>
      </c>
    </row>
    <row r="427" spans="1:3" ht="13" x14ac:dyDescent="0.15">
      <c r="A427">
        <v>167745279</v>
      </c>
      <c r="B427" t="s">
        <v>438</v>
      </c>
      <c r="C427">
        <v>1</v>
      </c>
    </row>
    <row r="428" spans="1:3" ht="13" x14ac:dyDescent="0.15">
      <c r="A428">
        <v>171119272</v>
      </c>
      <c r="B428" t="s">
        <v>439</v>
      </c>
      <c r="C428">
        <v>1</v>
      </c>
    </row>
    <row r="429" spans="1:3" ht="13" x14ac:dyDescent="0.15">
      <c r="A429">
        <v>173429159</v>
      </c>
      <c r="B429" t="s">
        <v>440</v>
      </c>
      <c r="C429">
        <v>2</v>
      </c>
    </row>
    <row r="430" spans="1:3" ht="13" x14ac:dyDescent="0.15">
      <c r="A430">
        <v>175751700</v>
      </c>
      <c r="B430" t="s">
        <v>441</v>
      </c>
      <c r="C430">
        <v>1</v>
      </c>
    </row>
    <row r="431" spans="1:3" ht="13" x14ac:dyDescent="0.15">
      <c r="A431">
        <v>178860948</v>
      </c>
      <c r="B431" t="s">
        <v>442</v>
      </c>
      <c r="C431">
        <v>1</v>
      </c>
    </row>
    <row r="432" spans="1:3" ht="13" x14ac:dyDescent="0.15">
      <c r="A432">
        <v>180736750</v>
      </c>
      <c r="B432" t="s">
        <v>443</v>
      </c>
      <c r="C432">
        <v>1</v>
      </c>
    </row>
    <row r="433" spans="1:3" ht="13" x14ac:dyDescent="0.15">
      <c r="A433">
        <v>182001403</v>
      </c>
      <c r="B433" t="s">
        <v>444</v>
      </c>
      <c r="C433">
        <v>1</v>
      </c>
    </row>
    <row r="434" spans="1:3" ht="13" x14ac:dyDescent="0.15">
      <c r="A434">
        <v>183979957</v>
      </c>
      <c r="B434" t="s">
        <v>445</v>
      </c>
      <c r="C434">
        <v>1</v>
      </c>
    </row>
    <row r="435" spans="1:3" ht="13" x14ac:dyDescent="0.15">
      <c r="A435">
        <v>185891764</v>
      </c>
      <c r="B435" t="s">
        <v>446</v>
      </c>
      <c r="C435">
        <v>5</v>
      </c>
    </row>
    <row r="436" spans="1:3" ht="13" x14ac:dyDescent="0.15">
      <c r="A436">
        <v>186657703</v>
      </c>
      <c r="B436" t="s">
        <v>447</v>
      </c>
      <c r="C436">
        <v>4</v>
      </c>
    </row>
    <row r="437" spans="1:3" ht="13" x14ac:dyDescent="0.15">
      <c r="A437">
        <v>186875078</v>
      </c>
      <c r="B437" t="s">
        <v>448</v>
      </c>
      <c r="C437">
        <v>16</v>
      </c>
    </row>
    <row r="438" spans="1:3" ht="13" x14ac:dyDescent="0.15">
      <c r="A438">
        <v>188333836</v>
      </c>
      <c r="B438" t="s">
        <v>449</v>
      </c>
      <c r="C438">
        <v>1</v>
      </c>
    </row>
    <row r="439" spans="1:3" ht="13" x14ac:dyDescent="0.15">
      <c r="A439">
        <v>189531814</v>
      </c>
      <c r="B439" t="s">
        <v>450</v>
      </c>
      <c r="C439">
        <v>2</v>
      </c>
    </row>
    <row r="440" spans="1:3" ht="13" x14ac:dyDescent="0.15">
      <c r="A440">
        <v>189648150</v>
      </c>
      <c r="B440" t="s">
        <v>451</v>
      </c>
      <c r="C440">
        <v>1</v>
      </c>
    </row>
    <row r="441" spans="1:3" ht="13" x14ac:dyDescent="0.15">
      <c r="A441">
        <v>194337839</v>
      </c>
      <c r="B441" t="s">
        <v>452</v>
      </c>
      <c r="C441">
        <v>3</v>
      </c>
    </row>
    <row r="442" spans="1:3" ht="13" x14ac:dyDescent="0.15">
      <c r="A442">
        <v>194397598</v>
      </c>
      <c r="B442" t="s">
        <v>453</v>
      </c>
      <c r="C442">
        <v>1</v>
      </c>
    </row>
    <row r="443" spans="1:3" ht="13" x14ac:dyDescent="0.15">
      <c r="A443">
        <v>194448242</v>
      </c>
      <c r="B443" t="s">
        <v>454</v>
      </c>
      <c r="C443">
        <v>1</v>
      </c>
    </row>
    <row r="444" spans="1:3" ht="13" x14ac:dyDescent="0.15">
      <c r="A444">
        <v>194687454</v>
      </c>
      <c r="B444" t="s">
        <v>455</v>
      </c>
      <c r="C444">
        <v>2</v>
      </c>
    </row>
    <row r="445" spans="1:3" ht="13" x14ac:dyDescent="0.15">
      <c r="A445">
        <v>196580510</v>
      </c>
      <c r="B445" t="s">
        <v>456</v>
      </c>
      <c r="C445">
        <v>1</v>
      </c>
    </row>
    <row r="446" spans="1:3" ht="13" x14ac:dyDescent="0.15">
      <c r="A446">
        <v>197076156</v>
      </c>
      <c r="B446" t="s">
        <v>457</v>
      </c>
      <c r="C446">
        <v>1</v>
      </c>
    </row>
    <row r="447" spans="1:3" ht="13" x14ac:dyDescent="0.15">
      <c r="A447">
        <v>197703120</v>
      </c>
      <c r="B447" t="s">
        <v>458</v>
      </c>
      <c r="C447">
        <v>1</v>
      </c>
    </row>
    <row r="448" spans="1:3" ht="13" x14ac:dyDescent="0.15">
      <c r="A448">
        <v>197877512</v>
      </c>
      <c r="B448" t="s">
        <v>459</v>
      </c>
      <c r="C448">
        <v>1</v>
      </c>
    </row>
    <row r="449" spans="1:3" ht="13" x14ac:dyDescent="0.15">
      <c r="A449">
        <v>197883238</v>
      </c>
      <c r="B449" t="s">
        <v>460</v>
      </c>
      <c r="C449">
        <v>1</v>
      </c>
    </row>
    <row r="450" spans="1:3" ht="13" x14ac:dyDescent="0.15">
      <c r="A450">
        <v>198698033</v>
      </c>
      <c r="B450" t="s">
        <v>461</v>
      </c>
      <c r="C450">
        <v>1</v>
      </c>
    </row>
    <row r="451" spans="1:3" ht="13" x14ac:dyDescent="0.15">
      <c r="A451">
        <v>199224208</v>
      </c>
      <c r="B451" t="s">
        <v>462</v>
      </c>
      <c r="C451">
        <v>1</v>
      </c>
    </row>
    <row r="452" spans="1:3" ht="13" x14ac:dyDescent="0.15">
      <c r="A452">
        <v>200541701</v>
      </c>
      <c r="B452" t="s">
        <v>463</v>
      </c>
      <c r="C452">
        <v>1</v>
      </c>
    </row>
    <row r="453" spans="1:3" ht="13" x14ac:dyDescent="0.15">
      <c r="A453">
        <v>200544077</v>
      </c>
      <c r="B453" t="s">
        <v>464</v>
      </c>
      <c r="C453">
        <v>18</v>
      </c>
    </row>
    <row r="454" spans="1:3" ht="13" x14ac:dyDescent="0.15">
      <c r="A454">
        <v>200545729</v>
      </c>
      <c r="B454" t="s">
        <v>465</v>
      </c>
      <c r="C454">
        <v>1</v>
      </c>
    </row>
    <row r="455" spans="1:3" ht="13" x14ac:dyDescent="0.15">
      <c r="A455">
        <v>200809966</v>
      </c>
      <c r="B455" t="s">
        <v>466</v>
      </c>
      <c r="C455">
        <v>1</v>
      </c>
    </row>
    <row r="456" spans="1:3" ht="13" x14ac:dyDescent="0.15">
      <c r="A456">
        <v>201190809</v>
      </c>
      <c r="B456" t="s">
        <v>467</v>
      </c>
      <c r="C456">
        <v>1</v>
      </c>
    </row>
    <row r="457" spans="1:3" ht="13" x14ac:dyDescent="0.15">
      <c r="A457">
        <v>201561805</v>
      </c>
      <c r="B457" t="s">
        <v>468</v>
      </c>
      <c r="C457">
        <v>2</v>
      </c>
    </row>
    <row r="458" spans="1:3" ht="13" x14ac:dyDescent="0.15">
      <c r="A458">
        <v>201872392</v>
      </c>
      <c r="B458" t="s">
        <v>469</v>
      </c>
      <c r="C458">
        <v>1</v>
      </c>
    </row>
    <row r="459" spans="1:3" ht="13" x14ac:dyDescent="0.15">
      <c r="A459">
        <v>201874257</v>
      </c>
      <c r="B459" t="s">
        <v>470</v>
      </c>
      <c r="C459">
        <v>2</v>
      </c>
    </row>
    <row r="460" spans="1:3" ht="13" x14ac:dyDescent="0.15">
      <c r="A460">
        <v>202305675</v>
      </c>
      <c r="B460" t="s">
        <v>471</v>
      </c>
      <c r="C460">
        <v>5</v>
      </c>
    </row>
    <row r="461" spans="1:3" ht="13" x14ac:dyDescent="0.15">
      <c r="A461">
        <v>202543547</v>
      </c>
      <c r="B461" t="s">
        <v>472</v>
      </c>
      <c r="C461">
        <v>1</v>
      </c>
    </row>
    <row r="462" spans="1:3" ht="13" x14ac:dyDescent="0.15">
      <c r="A462">
        <v>203555183</v>
      </c>
      <c r="B462" t="s">
        <v>473</v>
      </c>
      <c r="C462">
        <v>2</v>
      </c>
    </row>
    <row r="463" spans="1:3" ht="13" x14ac:dyDescent="0.15">
      <c r="A463">
        <v>203555549</v>
      </c>
      <c r="B463" t="s">
        <v>474</v>
      </c>
      <c r="C463">
        <v>1</v>
      </c>
    </row>
    <row r="464" spans="1:3" ht="13" x14ac:dyDescent="0.15">
      <c r="A464">
        <v>204186197</v>
      </c>
      <c r="B464" t="s">
        <v>475</v>
      </c>
      <c r="C464">
        <v>2</v>
      </c>
    </row>
    <row r="465" spans="1:3" ht="13" x14ac:dyDescent="0.15">
      <c r="A465">
        <v>204964218</v>
      </c>
      <c r="B465" t="s">
        <v>476</v>
      </c>
      <c r="C465">
        <v>1</v>
      </c>
    </row>
    <row r="466" spans="1:3" ht="13" x14ac:dyDescent="0.15">
      <c r="A466">
        <v>204964671</v>
      </c>
      <c r="B466" t="s">
        <v>477</v>
      </c>
      <c r="C466">
        <v>1</v>
      </c>
    </row>
    <row r="467" spans="1:3" ht="13" x14ac:dyDescent="0.15">
      <c r="A467">
        <v>206851367</v>
      </c>
      <c r="B467" t="s">
        <v>478</v>
      </c>
      <c r="C467">
        <v>2</v>
      </c>
    </row>
    <row r="468" spans="1:3" ht="13" x14ac:dyDescent="0.15">
      <c r="A468">
        <v>211234238</v>
      </c>
      <c r="B468" t="s">
        <v>479</v>
      </c>
      <c r="C468">
        <v>2</v>
      </c>
    </row>
    <row r="469" spans="1:3" ht="13" x14ac:dyDescent="0.15">
      <c r="A469">
        <v>214260881</v>
      </c>
      <c r="B469" t="s">
        <v>480</v>
      </c>
      <c r="C469">
        <v>1</v>
      </c>
    </row>
    <row r="470" spans="1:3" ht="13" x14ac:dyDescent="0.15">
      <c r="A470">
        <v>215996578</v>
      </c>
      <c r="B470" t="s">
        <v>481</v>
      </c>
      <c r="C470">
        <v>1</v>
      </c>
    </row>
    <row r="471" spans="1:3" ht="13" x14ac:dyDescent="0.15">
      <c r="A471">
        <v>216276753</v>
      </c>
      <c r="B471" t="s">
        <v>482</v>
      </c>
      <c r="C471">
        <v>1</v>
      </c>
    </row>
    <row r="472" spans="1:3" ht="13" x14ac:dyDescent="0.15">
      <c r="A472">
        <v>216340190</v>
      </c>
      <c r="B472" t="s">
        <v>483</v>
      </c>
      <c r="C472">
        <v>1</v>
      </c>
    </row>
    <row r="473" spans="1:3" ht="13" x14ac:dyDescent="0.15">
      <c r="A473">
        <v>219658761</v>
      </c>
      <c r="B473" t="s">
        <v>484</v>
      </c>
      <c r="C473">
        <v>2</v>
      </c>
    </row>
    <row r="474" spans="1:3" ht="13" x14ac:dyDescent="0.15">
      <c r="A474">
        <v>219993136</v>
      </c>
      <c r="B474" t="s">
        <v>485</v>
      </c>
      <c r="C474">
        <v>2</v>
      </c>
    </row>
    <row r="475" spans="1:3" ht="13" x14ac:dyDescent="0.15">
      <c r="A475">
        <v>223412125</v>
      </c>
      <c r="B475" t="s">
        <v>486</v>
      </c>
      <c r="C475">
        <v>4</v>
      </c>
    </row>
    <row r="476" spans="1:3" ht="13" x14ac:dyDescent="0.15">
      <c r="A476">
        <v>223859370</v>
      </c>
      <c r="B476" t="s">
        <v>487</v>
      </c>
      <c r="C476">
        <v>3</v>
      </c>
    </row>
    <row r="477" spans="1:3" ht="13" x14ac:dyDescent="0.15">
      <c r="A477">
        <v>225071142</v>
      </c>
      <c r="B477" t="s">
        <v>488</v>
      </c>
      <c r="C477">
        <v>1</v>
      </c>
    </row>
    <row r="478" spans="1:3" ht="13" x14ac:dyDescent="0.15">
      <c r="A478">
        <v>225723238</v>
      </c>
      <c r="B478" t="s">
        <v>489</v>
      </c>
      <c r="C478">
        <v>1</v>
      </c>
    </row>
    <row r="479" spans="1:3" ht="13" x14ac:dyDescent="0.15">
      <c r="A479">
        <v>227831021</v>
      </c>
      <c r="B479" t="s">
        <v>490</v>
      </c>
      <c r="C479">
        <v>1</v>
      </c>
    </row>
    <row r="480" spans="1:3" ht="13" x14ac:dyDescent="0.15">
      <c r="A480">
        <v>228169912</v>
      </c>
      <c r="B480" t="s">
        <v>491</v>
      </c>
      <c r="C480">
        <v>1</v>
      </c>
    </row>
    <row r="481" spans="1:3" ht="13" x14ac:dyDescent="0.15">
      <c r="A481">
        <v>228249725</v>
      </c>
      <c r="B481" t="s">
        <v>492</v>
      </c>
      <c r="C481">
        <v>1</v>
      </c>
    </row>
    <row r="482" spans="1:3" ht="13" x14ac:dyDescent="0.15">
      <c r="A482">
        <v>228250677</v>
      </c>
      <c r="B482" t="s">
        <v>493</v>
      </c>
      <c r="C482">
        <v>1</v>
      </c>
    </row>
    <row r="483" spans="1:3" ht="13" x14ac:dyDescent="0.15">
      <c r="A483">
        <v>228273661</v>
      </c>
      <c r="B483" t="s">
        <v>494</v>
      </c>
      <c r="C483">
        <v>13</v>
      </c>
    </row>
    <row r="484" spans="1:3" ht="13" x14ac:dyDescent="0.15">
      <c r="A484">
        <v>229658415</v>
      </c>
      <c r="B484" t="s">
        <v>495</v>
      </c>
      <c r="C484">
        <v>1</v>
      </c>
    </row>
    <row r="485" spans="1:3" ht="13" x14ac:dyDescent="0.15">
      <c r="A485">
        <v>231261132</v>
      </c>
      <c r="B485" t="s">
        <v>496</v>
      </c>
      <c r="C485">
        <v>1</v>
      </c>
    </row>
    <row r="486" spans="1:3" ht="13" x14ac:dyDescent="0.15">
      <c r="A486">
        <v>231575038</v>
      </c>
      <c r="B486" t="s">
        <v>497</v>
      </c>
      <c r="C486">
        <v>1</v>
      </c>
    </row>
    <row r="487" spans="1:3" ht="13" x14ac:dyDescent="0.15">
      <c r="A487">
        <v>232199827</v>
      </c>
      <c r="B487" t="s">
        <v>498</v>
      </c>
      <c r="C487">
        <v>8</v>
      </c>
    </row>
    <row r="488" spans="1:3" ht="13" x14ac:dyDescent="0.15">
      <c r="A488">
        <v>235037417</v>
      </c>
      <c r="B488" t="s">
        <v>499</v>
      </c>
      <c r="C488">
        <v>1</v>
      </c>
    </row>
    <row r="489" spans="1:3" ht="13" x14ac:dyDescent="0.15">
      <c r="A489">
        <v>235537998</v>
      </c>
      <c r="B489" t="s">
        <v>500</v>
      </c>
      <c r="C489">
        <v>1</v>
      </c>
    </row>
    <row r="490" spans="1:3" ht="13" x14ac:dyDescent="0.15">
      <c r="A490">
        <v>236211638</v>
      </c>
      <c r="B490" t="s">
        <v>501</v>
      </c>
      <c r="C490">
        <v>1</v>
      </c>
    </row>
    <row r="491" spans="1:3" ht="13" x14ac:dyDescent="0.15">
      <c r="A491">
        <v>236854515</v>
      </c>
      <c r="B491" t="s">
        <v>502</v>
      </c>
      <c r="C491">
        <v>1</v>
      </c>
    </row>
    <row r="492" spans="1:3" ht="13" x14ac:dyDescent="0.15">
      <c r="A492">
        <v>237110521</v>
      </c>
      <c r="B492" t="s">
        <v>503</v>
      </c>
      <c r="C492">
        <v>3</v>
      </c>
    </row>
    <row r="493" spans="1:3" ht="13" x14ac:dyDescent="0.15">
      <c r="A493">
        <v>237643629</v>
      </c>
      <c r="B493" t="s">
        <v>504</v>
      </c>
      <c r="C493">
        <v>1</v>
      </c>
    </row>
    <row r="494" spans="1:3" ht="13" x14ac:dyDescent="0.15">
      <c r="A494">
        <v>239402362</v>
      </c>
      <c r="B494" t="s">
        <v>505</v>
      </c>
      <c r="C494">
        <v>4</v>
      </c>
    </row>
    <row r="495" spans="1:3" ht="13" x14ac:dyDescent="0.15">
      <c r="A495">
        <v>239593555</v>
      </c>
      <c r="B495" t="s">
        <v>506</v>
      </c>
      <c r="C495">
        <v>2</v>
      </c>
    </row>
    <row r="496" spans="1:3" ht="13" x14ac:dyDescent="0.15">
      <c r="A496">
        <v>239917487</v>
      </c>
      <c r="B496" t="s">
        <v>507</v>
      </c>
      <c r="C496">
        <v>1</v>
      </c>
    </row>
    <row r="497" spans="1:3" ht="13" x14ac:dyDescent="0.15">
      <c r="A497">
        <v>240044767</v>
      </c>
      <c r="B497" t="s">
        <v>508</v>
      </c>
      <c r="C497">
        <v>1</v>
      </c>
    </row>
    <row r="498" spans="1:3" ht="13" x14ac:dyDescent="0.15">
      <c r="A498">
        <v>240072178</v>
      </c>
      <c r="B498" t="s">
        <v>509</v>
      </c>
      <c r="C498">
        <v>1</v>
      </c>
    </row>
    <row r="499" spans="1:3" ht="13" x14ac:dyDescent="0.15">
      <c r="A499">
        <v>240837955</v>
      </c>
      <c r="B499" t="s">
        <v>510</v>
      </c>
      <c r="C499">
        <v>1</v>
      </c>
    </row>
    <row r="500" spans="1:3" ht="13" x14ac:dyDescent="0.15">
      <c r="A500">
        <v>241658676</v>
      </c>
      <c r="B500" t="s">
        <v>511</v>
      </c>
      <c r="C500">
        <v>1</v>
      </c>
    </row>
    <row r="501" spans="1:3" ht="13" x14ac:dyDescent="0.15">
      <c r="A501">
        <v>241712020</v>
      </c>
      <c r="B501" t="s">
        <v>512</v>
      </c>
      <c r="C501">
        <v>4</v>
      </c>
    </row>
    <row r="502" spans="1:3" ht="13" x14ac:dyDescent="0.15">
      <c r="A502">
        <v>242389446</v>
      </c>
      <c r="B502" t="s">
        <v>513</v>
      </c>
      <c r="C502">
        <v>4</v>
      </c>
    </row>
    <row r="503" spans="1:3" ht="13" x14ac:dyDescent="0.15">
      <c r="A503">
        <v>245476419</v>
      </c>
      <c r="B503" t="s">
        <v>514</v>
      </c>
      <c r="C503">
        <v>3</v>
      </c>
    </row>
    <row r="504" spans="1:3" ht="13" x14ac:dyDescent="0.15">
      <c r="A504">
        <v>245975180</v>
      </c>
      <c r="B504" t="s">
        <v>515</v>
      </c>
      <c r="C504">
        <v>1</v>
      </c>
    </row>
    <row r="505" spans="1:3" ht="13" x14ac:dyDescent="0.15">
      <c r="A505">
        <v>246745135</v>
      </c>
      <c r="B505" t="s">
        <v>516</v>
      </c>
      <c r="C505">
        <v>1</v>
      </c>
    </row>
    <row r="506" spans="1:3" ht="13" x14ac:dyDescent="0.15">
      <c r="A506">
        <v>247426735</v>
      </c>
      <c r="B506" t="s">
        <v>517</v>
      </c>
      <c r="C506">
        <v>1</v>
      </c>
    </row>
    <row r="507" spans="1:3" ht="13" x14ac:dyDescent="0.15">
      <c r="A507">
        <v>248386359</v>
      </c>
      <c r="B507" t="s">
        <v>518</v>
      </c>
      <c r="C507">
        <v>1</v>
      </c>
    </row>
    <row r="508" spans="1:3" ht="13" x14ac:dyDescent="0.15">
      <c r="A508">
        <v>248392274</v>
      </c>
      <c r="B508" t="s">
        <v>519</v>
      </c>
      <c r="C508">
        <v>1</v>
      </c>
    </row>
    <row r="509" spans="1:3" ht="13" x14ac:dyDescent="0.15">
      <c r="A509">
        <v>249598428</v>
      </c>
      <c r="B509" t="s">
        <v>520</v>
      </c>
      <c r="C509">
        <v>2</v>
      </c>
    </row>
    <row r="510" spans="1:3" ht="13" x14ac:dyDescent="0.15">
      <c r="A510">
        <v>250287615</v>
      </c>
      <c r="B510" t="s">
        <v>521</v>
      </c>
      <c r="C510">
        <v>1</v>
      </c>
    </row>
    <row r="511" spans="1:3" ht="13" x14ac:dyDescent="0.15">
      <c r="A511">
        <v>250885776</v>
      </c>
      <c r="B511" t="s">
        <v>522</v>
      </c>
      <c r="C511">
        <v>1</v>
      </c>
    </row>
    <row r="512" spans="1:3" ht="13" x14ac:dyDescent="0.15">
      <c r="A512">
        <v>251369290</v>
      </c>
      <c r="B512" t="s">
        <v>523</v>
      </c>
      <c r="C512">
        <v>1</v>
      </c>
    </row>
    <row r="513" spans="1:3" ht="13" x14ac:dyDescent="0.15">
      <c r="A513">
        <v>251570742</v>
      </c>
      <c r="B513" t="s">
        <v>524</v>
      </c>
      <c r="C513">
        <v>2</v>
      </c>
    </row>
    <row r="514" spans="1:3" ht="13" x14ac:dyDescent="0.15">
      <c r="A514">
        <v>251757231</v>
      </c>
      <c r="B514" t="s">
        <v>525</v>
      </c>
      <c r="C514">
        <v>1</v>
      </c>
    </row>
    <row r="515" spans="1:3" ht="13" x14ac:dyDescent="0.15">
      <c r="A515">
        <v>251960036</v>
      </c>
      <c r="B515" t="s">
        <v>526</v>
      </c>
      <c r="C515">
        <v>1</v>
      </c>
    </row>
    <row r="516" spans="1:3" ht="13" x14ac:dyDescent="0.15">
      <c r="A516">
        <v>251983731</v>
      </c>
      <c r="B516" t="s">
        <v>527</v>
      </c>
      <c r="C516">
        <v>1</v>
      </c>
    </row>
    <row r="517" spans="1:3" ht="13" x14ac:dyDescent="0.15">
      <c r="A517">
        <v>252208031</v>
      </c>
      <c r="B517" t="s">
        <v>528</v>
      </c>
      <c r="C517">
        <v>1</v>
      </c>
    </row>
    <row r="518" spans="1:3" ht="13" x14ac:dyDescent="0.15">
      <c r="A518">
        <v>252221595</v>
      </c>
      <c r="B518" t="s">
        <v>529</v>
      </c>
      <c r="C518">
        <v>1</v>
      </c>
    </row>
    <row r="519" spans="1:3" ht="13" x14ac:dyDescent="0.15">
      <c r="A519">
        <v>252756498</v>
      </c>
      <c r="B519" t="s">
        <v>530</v>
      </c>
      <c r="C519">
        <v>1</v>
      </c>
    </row>
    <row r="520" spans="1:3" ht="13" x14ac:dyDescent="0.15">
      <c r="A520">
        <v>253032817</v>
      </c>
      <c r="B520" t="s">
        <v>531</v>
      </c>
      <c r="C520">
        <v>3</v>
      </c>
    </row>
    <row r="521" spans="1:3" ht="13" x14ac:dyDescent="0.15">
      <c r="A521">
        <v>254345406</v>
      </c>
      <c r="B521" t="s">
        <v>532</v>
      </c>
      <c r="C521">
        <v>2</v>
      </c>
    </row>
    <row r="522" spans="1:3" ht="13" x14ac:dyDescent="0.15">
      <c r="A522">
        <v>254475090</v>
      </c>
      <c r="B522" t="s">
        <v>533</v>
      </c>
      <c r="C522">
        <v>1</v>
      </c>
    </row>
    <row r="523" spans="1:3" ht="13" x14ac:dyDescent="0.15">
      <c r="A523">
        <v>254561071</v>
      </c>
      <c r="B523" t="s">
        <v>534</v>
      </c>
      <c r="C523">
        <v>1</v>
      </c>
    </row>
    <row r="524" spans="1:3" ht="13" x14ac:dyDescent="0.15">
      <c r="A524">
        <v>255094705</v>
      </c>
      <c r="B524" t="s">
        <v>535</v>
      </c>
      <c r="C524">
        <v>1</v>
      </c>
    </row>
    <row r="525" spans="1:3" ht="13" x14ac:dyDescent="0.15">
      <c r="A525">
        <v>257952563</v>
      </c>
      <c r="B525" t="s">
        <v>536</v>
      </c>
      <c r="C525">
        <v>5</v>
      </c>
    </row>
    <row r="526" spans="1:3" ht="13" x14ac:dyDescent="0.15">
      <c r="A526">
        <v>258879313</v>
      </c>
      <c r="B526" t="s">
        <v>537</v>
      </c>
      <c r="C526">
        <v>2</v>
      </c>
    </row>
    <row r="527" spans="1:3" ht="13" x14ac:dyDescent="0.15">
      <c r="A527">
        <v>258879455</v>
      </c>
      <c r="B527" t="s">
        <v>538</v>
      </c>
      <c r="C527">
        <v>1</v>
      </c>
    </row>
    <row r="528" spans="1:3" ht="13" x14ac:dyDescent="0.15">
      <c r="A528">
        <v>258882406</v>
      </c>
      <c r="B528" t="s">
        <v>539</v>
      </c>
      <c r="C528">
        <v>1</v>
      </c>
    </row>
    <row r="529" spans="1:3" ht="13" x14ac:dyDescent="0.15">
      <c r="A529">
        <v>259260280</v>
      </c>
      <c r="B529" t="s">
        <v>540</v>
      </c>
      <c r="C529">
        <v>1</v>
      </c>
    </row>
    <row r="530" spans="1:3" ht="13" x14ac:dyDescent="0.15">
      <c r="A530">
        <v>259271029</v>
      </c>
      <c r="B530" t="s">
        <v>541</v>
      </c>
      <c r="C530">
        <v>6</v>
      </c>
    </row>
    <row r="531" spans="1:3" ht="13" x14ac:dyDescent="0.15">
      <c r="A531">
        <v>259681307</v>
      </c>
      <c r="B531" t="s">
        <v>542</v>
      </c>
      <c r="C531">
        <v>1</v>
      </c>
    </row>
    <row r="532" spans="1:3" ht="13" x14ac:dyDescent="0.15">
      <c r="A532">
        <v>259939220</v>
      </c>
      <c r="B532" t="s">
        <v>543</v>
      </c>
      <c r="C532">
        <v>2</v>
      </c>
    </row>
    <row r="533" spans="1:3" ht="13" x14ac:dyDescent="0.15">
      <c r="A533">
        <v>260089977</v>
      </c>
      <c r="B533" t="s">
        <v>544</v>
      </c>
      <c r="C533">
        <v>1</v>
      </c>
    </row>
    <row r="534" spans="1:3" ht="13" x14ac:dyDescent="0.15">
      <c r="A534">
        <v>260680669</v>
      </c>
      <c r="B534" t="s">
        <v>545</v>
      </c>
      <c r="C534">
        <v>1</v>
      </c>
    </row>
    <row r="535" spans="1:3" ht="13" x14ac:dyDescent="0.15">
      <c r="A535">
        <v>260752974</v>
      </c>
      <c r="B535" t="s">
        <v>546</v>
      </c>
      <c r="C535">
        <v>1</v>
      </c>
    </row>
    <row r="536" spans="1:3" ht="13" x14ac:dyDescent="0.15">
      <c r="A536">
        <v>261792891</v>
      </c>
      <c r="B536" t="s">
        <v>547</v>
      </c>
      <c r="C536">
        <v>1</v>
      </c>
    </row>
    <row r="537" spans="1:3" ht="13" x14ac:dyDescent="0.15">
      <c r="A537">
        <v>263648361</v>
      </c>
      <c r="B537" t="s">
        <v>548</v>
      </c>
      <c r="C537">
        <v>1</v>
      </c>
    </row>
    <row r="538" spans="1:3" ht="13" x14ac:dyDescent="0.15">
      <c r="A538">
        <v>263842418</v>
      </c>
      <c r="B538" t="s">
        <v>549</v>
      </c>
      <c r="C538">
        <v>5</v>
      </c>
    </row>
    <row r="539" spans="1:3" ht="13" x14ac:dyDescent="0.15">
      <c r="A539">
        <v>264390375</v>
      </c>
      <c r="B539" t="s">
        <v>550</v>
      </c>
      <c r="C539">
        <v>16</v>
      </c>
    </row>
    <row r="540" spans="1:3" ht="13" x14ac:dyDescent="0.15">
      <c r="A540">
        <v>264915254</v>
      </c>
      <c r="B540" t="s">
        <v>551</v>
      </c>
      <c r="C540">
        <v>1</v>
      </c>
    </row>
    <row r="541" spans="1:3" ht="13" x14ac:dyDescent="0.15">
      <c r="A541">
        <v>265472149</v>
      </c>
      <c r="B541" t="s">
        <v>552</v>
      </c>
      <c r="C541">
        <v>1</v>
      </c>
    </row>
    <row r="542" spans="1:3" ht="13" x14ac:dyDescent="0.15">
      <c r="A542">
        <v>266972729</v>
      </c>
      <c r="B542" t="s">
        <v>553</v>
      </c>
      <c r="C542">
        <v>2</v>
      </c>
    </row>
    <row r="543" spans="1:3" ht="13" x14ac:dyDescent="0.15">
      <c r="A543">
        <v>267343847</v>
      </c>
      <c r="B543" t="s">
        <v>554</v>
      </c>
      <c r="C543">
        <v>30</v>
      </c>
    </row>
    <row r="544" spans="1:3" ht="13" x14ac:dyDescent="0.15">
      <c r="A544">
        <v>267999976</v>
      </c>
      <c r="B544" t="s">
        <v>555</v>
      </c>
      <c r="C544">
        <v>1</v>
      </c>
    </row>
    <row r="545" spans="1:3" ht="13" x14ac:dyDescent="0.15">
      <c r="A545">
        <v>267999987</v>
      </c>
      <c r="B545" t="s">
        <v>556</v>
      </c>
      <c r="C545">
        <v>1</v>
      </c>
    </row>
    <row r="546" spans="1:3" ht="13" x14ac:dyDescent="0.15">
      <c r="A546">
        <v>268530320</v>
      </c>
      <c r="B546" t="s">
        <v>557</v>
      </c>
      <c r="C546">
        <v>3</v>
      </c>
    </row>
    <row r="547" spans="1:3" ht="13" x14ac:dyDescent="0.15">
      <c r="A547">
        <v>269292860</v>
      </c>
      <c r="B547" t="s">
        <v>558</v>
      </c>
      <c r="C547">
        <v>1</v>
      </c>
    </row>
    <row r="548" spans="1:3" ht="13" x14ac:dyDescent="0.15">
      <c r="A548">
        <v>269604702</v>
      </c>
      <c r="B548" t="s">
        <v>559</v>
      </c>
      <c r="C548">
        <v>1</v>
      </c>
    </row>
    <row r="549" spans="1:3" ht="13" x14ac:dyDescent="0.15">
      <c r="A549">
        <v>270449197</v>
      </c>
      <c r="B549" t="s">
        <v>560</v>
      </c>
      <c r="C549">
        <v>2</v>
      </c>
    </row>
    <row r="550" spans="1:3" ht="13" x14ac:dyDescent="0.15">
      <c r="A550">
        <v>270557219</v>
      </c>
      <c r="B550" t="s">
        <v>561</v>
      </c>
      <c r="C550">
        <v>1</v>
      </c>
    </row>
    <row r="551" spans="1:3" ht="13" x14ac:dyDescent="0.15">
      <c r="A551">
        <v>270559112</v>
      </c>
      <c r="B551" t="s">
        <v>562</v>
      </c>
      <c r="C551">
        <v>1</v>
      </c>
    </row>
    <row r="552" spans="1:3" ht="13" x14ac:dyDescent="0.15">
      <c r="A552">
        <v>270755311</v>
      </c>
      <c r="B552" t="s">
        <v>563</v>
      </c>
      <c r="C552">
        <v>1</v>
      </c>
    </row>
    <row r="553" spans="1:3" ht="13" x14ac:dyDescent="0.15">
      <c r="A553">
        <v>271055544</v>
      </c>
      <c r="B553" t="s">
        <v>564</v>
      </c>
      <c r="C553">
        <v>1</v>
      </c>
    </row>
    <row r="554" spans="1:3" ht="13" x14ac:dyDescent="0.15">
      <c r="A554">
        <v>271110070</v>
      </c>
      <c r="B554" t="s">
        <v>565</v>
      </c>
      <c r="C554">
        <v>32</v>
      </c>
    </row>
    <row r="555" spans="1:3" ht="13" x14ac:dyDescent="0.15">
      <c r="A555">
        <v>271157700</v>
      </c>
      <c r="B555" t="s">
        <v>566</v>
      </c>
      <c r="C555">
        <v>1</v>
      </c>
    </row>
    <row r="556" spans="1:3" ht="13" x14ac:dyDescent="0.15">
      <c r="A556">
        <v>271344927</v>
      </c>
      <c r="B556" t="s">
        <v>567</v>
      </c>
      <c r="C556">
        <v>1</v>
      </c>
    </row>
    <row r="557" spans="1:3" ht="13" x14ac:dyDescent="0.15">
      <c r="A557">
        <v>271494066</v>
      </c>
      <c r="B557" t="s">
        <v>568</v>
      </c>
      <c r="C557">
        <v>1</v>
      </c>
    </row>
    <row r="558" spans="1:3" ht="13" x14ac:dyDescent="0.15">
      <c r="A558">
        <v>271494116</v>
      </c>
      <c r="B558" t="s">
        <v>569</v>
      </c>
      <c r="C558">
        <v>1</v>
      </c>
    </row>
    <row r="559" spans="1:3" ht="13" x14ac:dyDescent="0.15">
      <c r="A559">
        <v>271529394</v>
      </c>
      <c r="B559" t="s">
        <v>570</v>
      </c>
      <c r="C559">
        <v>1</v>
      </c>
    </row>
    <row r="560" spans="1:3" ht="13" x14ac:dyDescent="0.15">
      <c r="A560">
        <v>271666438</v>
      </c>
      <c r="B560" t="s">
        <v>571</v>
      </c>
      <c r="C560">
        <v>1</v>
      </c>
    </row>
    <row r="561" spans="1:3" ht="13" x14ac:dyDescent="0.15">
      <c r="A561">
        <v>272212710</v>
      </c>
      <c r="B561" t="s">
        <v>572</v>
      </c>
      <c r="C561">
        <v>1</v>
      </c>
    </row>
    <row r="562" spans="1:3" ht="13" x14ac:dyDescent="0.15">
      <c r="A562">
        <v>272324914</v>
      </c>
      <c r="B562" t="s">
        <v>573</v>
      </c>
      <c r="C562">
        <v>6</v>
      </c>
    </row>
    <row r="563" spans="1:3" ht="13" x14ac:dyDescent="0.15">
      <c r="A563">
        <v>272729444</v>
      </c>
      <c r="B563" t="s">
        <v>574</v>
      </c>
      <c r="C563">
        <v>1</v>
      </c>
    </row>
    <row r="564" spans="1:3" ht="13" x14ac:dyDescent="0.15">
      <c r="A564">
        <v>272729482</v>
      </c>
      <c r="B564" t="s">
        <v>575</v>
      </c>
      <c r="C564">
        <v>1</v>
      </c>
    </row>
    <row r="565" spans="1:3" ht="13" x14ac:dyDescent="0.15">
      <c r="A565">
        <v>272976613</v>
      </c>
      <c r="B565" t="s">
        <v>576</v>
      </c>
      <c r="C565">
        <v>1</v>
      </c>
    </row>
    <row r="566" spans="1:3" ht="13" x14ac:dyDescent="0.15">
      <c r="A566">
        <v>273007733</v>
      </c>
      <c r="B566" t="s">
        <v>577</v>
      </c>
      <c r="C566">
        <v>1</v>
      </c>
    </row>
    <row r="567" spans="1:3" ht="13" x14ac:dyDescent="0.15">
      <c r="A567">
        <v>273008441</v>
      </c>
      <c r="B567" t="s">
        <v>578</v>
      </c>
      <c r="C567">
        <v>1</v>
      </c>
    </row>
    <row r="568" spans="1:3" ht="13" x14ac:dyDescent="0.15">
      <c r="A568">
        <v>273406380</v>
      </c>
      <c r="B568" t="s">
        <v>579</v>
      </c>
      <c r="C568">
        <v>1</v>
      </c>
    </row>
    <row r="569" spans="1:3" ht="13" x14ac:dyDescent="0.15">
      <c r="A569">
        <v>273429702</v>
      </c>
      <c r="B569" t="s">
        <v>580</v>
      </c>
      <c r="C569">
        <v>1</v>
      </c>
    </row>
    <row r="570" spans="1:3" ht="13" x14ac:dyDescent="0.15">
      <c r="A570">
        <v>273580132</v>
      </c>
      <c r="B570" t="s">
        <v>581</v>
      </c>
      <c r="C570">
        <v>1</v>
      </c>
    </row>
    <row r="571" spans="1:3" ht="13" x14ac:dyDescent="0.15">
      <c r="A571">
        <v>273644162</v>
      </c>
      <c r="B571" t="s">
        <v>582</v>
      </c>
      <c r="C571">
        <v>4</v>
      </c>
    </row>
    <row r="572" spans="1:3" ht="13" x14ac:dyDescent="0.15">
      <c r="A572">
        <v>273720848</v>
      </c>
      <c r="B572" t="s">
        <v>583</v>
      </c>
      <c r="C572">
        <v>2</v>
      </c>
    </row>
    <row r="573" spans="1:3" ht="13" x14ac:dyDescent="0.15">
      <c r="A573">
        <v>273747046</v>
      </c>
      <c r="B573" t="s">
        <v>584</v>
      </c>
      <c r="C573">
        <v>1</v>
      </c>
    </row>
    <row r="574" spans="1:3" ht="13" x14ac:dyDescent="0.15">
      <c r="A574">
        <v>273748751</v>
      </c>
      <c r="B574" t="s">
        <v>585</v>
      </c>
      <c r="C574">
        <v>1</v>
      </c>
    </row>
    <row r="575" spans="1:3" ht="13" x14ac:dyDescent="0.15">
      <c r="A575">
        <v>273881535</v>
      </c>
      <c r="B575" t="s">
        <v>586</v>
      </c>
      <c r="C575">
        <v>2</v>
      </c>
    </row>
    <row r="576" spans="1:3" ht="13" x14ac:dyDescent="0.15">
      <c r="A576">
        <v>274476222</v>
      </c>
      <c r="B576" t="s">
        <v>587</v>
      </c>
      <c r="C576">
        <v>20</v>
      </c>
    </row>
    <row r="577" spans="1:3" ht="13" x14ac:dyDescent="0.15">
      <c r="A577">
        <v>274545128</v>
      </c>
      <c r="B577" t="s">
        <v>588</v>
      </c>
      <c r="C577">
        <v>1</v>
      </c>
    </row>
    <row r="578" spans="1:3" ht="13" x14ac:dyDescent="0.15">
      <c r="A578">
        <v>275024224</v>
      </c>
      <c r="B578" t="s">
        <v>589</v>
      </c>
      <c r="C578">
        <v>1</v>
      </c>
    </row>
    <row r="579" spans="1:3" ht="13" x14ac:dyDescent="0.15">
      <c r="A579">
        <v>275118408</v>
      </c>
      <c r="B579" t="s">
        <v>590</v>
      </c>
      <c r="C579">
        <v>1</v>
      </c>
    </row>
    <row r="580" spans="1:3" ht="13" x14ac:dyDescent="0.15">
      <c r="A580">
        <v>275261344</v>
      </c>
      <c r="B580" t="s">
        <v>591</v>
      </c>
      <c r="C580">
        <v>1</v>
      </c>
    </row>
    <row r="581" spans="1:3" ht="13" x14ac:dyDescent="0.15">
      <c r="A581">
        <v>275353891</v>
      </c>
      <c r="B581" t="s">
        <v>592</v>
      </c>
      <c r="C581">
        <v>1</v>
      </c>
    </row>
    <row r="582" spans="1:3" ht="13" x14ac:dyDescent="0.15">
      <c r="A582">
        <v>275539081</v>
      </c>
      <c r="B582" t="s">
        <v>593</v>
      </c>
      <c r="C582">
        <v>1</v>
      </c>
    </row>
    <row r="583" spans="1:3" ht="13" x14ac:dyDescent="0.15">
      <c r="A583">
        <v>275950473</v>
      </c>
      <c r="B583" t="s">
        <v>594</v>
      </c>
      <c r="C583">
        <v>3</v>
      </c>
    </row>
    <row r="584" spans="1:3" ht="13" x14ac:dyDescent="0.15">
      <c r="A584">
        <v>276005807</v>
      </c>
      <c r="B584" t="s">
        <v>595</v>
      </c>
      <c r="C584">
        <v>1</v>
      </c>
    </row>
    <row r="585" spans="1:3" ht="13" x14ac:dyDescent="0.15">
      <c r="A585">
        <v>276102839</v>
      </c>
      <c r="B585" t="s">
        <v>596</v>
      </c>
      <c r="C585">
        <v>2</v>
      </c>
    </row>
    <row r="586" spans="1:3" ht="13" x14ac:dyDescent="0.15">
      <c r="A586">
        <v>276143544</v>
      </c>
      <c r="B586" t="s">
        <v>597</v>
      </c>
      <c r="C586">
        <v>1</v>
      </c>
    </row>
    <row r="587" spans="1:3" ht="13" x14ac:dyDescent="0.15">
      <c r="A587">
        <v>276170359</v>
      </c>
      <c r="B587" t="s">
        <v>598</v>
      </c>
      <c r="C587">
        <v>8</v>
      </c>
    </row>
    <row r="588" spans="1:3" ht="13" x14ac:dyDescent="0.15">
      <c r="A588">
        <v>276180131</v>
      </c>
      <c r="B588" t="s">
        <v>599</v>
      </c>
      <c r="C588">
        <v>3</v>
      </c>
    </row>
    <row r="589" spans="1:3" ht="13" x14ac:dyDescent="0.15">
      <c r="A589">
        <v>276180294</v>
      </c>
      <c r="B589" t="s">
        <v>600</v>
      </c>
      <c r="C589">
        <v>1</v>
      </c>
    </row>
    <row r="590" spans="1:3" ht="13" x14ac:dyDescent="0.15">
      <c r="A590">
        <v>276713496</v>
      </c>
      <c r="B590" t="s">
        <v>601</v>
      </c>
      <c r="C590">
        <v>2</v>
      </c>
    </row>
    <row r="591" spans="1:3" ht="13" x14ac:dyDescent="0.15">
      <c r="A591">
        <v>276757412</v>
      </c>
      <c r="B591" t="s">
        <v>602</v>
      </c>
      <c r="C591">
        <v>1</v>
      </c>
    </row>
    <row r="592" spans="1:3" ht="13" x14ac:dyDescent="0.15">
      <c r="A592">
        <v>276880572</v>
      </c>
      <c r="B592" t="s">
        <v>603</v>
      </c>
      <c r="C592">
        <v>2</v>
      </c>
    </row>
    <row r="593" spans="1:3" ht="13" x14ac:dyDescent="0.15">
      <c r="A593">
        <v>276902753</v>
      </c>
      <c r="B593" t="s">
        <v>604</v>
      </c>
      <c r="C593">
        <v>1</v>
      </c>
    </row>
    <row r="594" spans="1:3" ht="13" x14ac:dyDescent="0.15">
      <c r="A594">
        <v>277501453</v>
      </c>
      <c r="B594" t="s">
        <v>605</v>
      </c>
      <c r="C594">
        <v>2</v>
      </c>
    </row>
    <row r="595" spans="1:3" ht="13" x14ac:dyDescent="0.15">
      <c r="A595">
        <v>277642282</v>
      </c>
      <c r="B595" t="s">
        <v>606</v>
      </c>
      <c r="C595">
        <v>4</v>
      </c>
    </row>
    <row r="596" spans="1:3" ht="13" x14ac:dyDescent="0.15">
      <c r="A596">
        <v>277717328</v>
      </c>
      <c r="B596" t="s">
        <v>607</v>
      </c>
      <c r="C596">
        <v>1</v>
      </c>
    </row>
    <row r="597" spans="1:3" ht="13" x14ac:dyDescent="0.15">
      <c r="A597">
        <v>277779457</v>
      </c>
      <c r="B597" t="s">
        <v>608</v>
      </c>
      <c r="C597">
        <v>1</v>
      </c>
    </row>
    <row r="598" spans="1:3" ht="13" x14ac:dyDescent="0.15">
      <c r="A598">
        <v>277856377</v>
      </c>
      <c r="B598" t="s">
        <v>609</v>
      </c>
      <c r="C598">
        <v>2</v>
      </c>
    </row>
    <row r="599" spans="1:3" ht="13" x14ac:dyDescent="0.15">
      <c r="A599">
        <v>278450157</v>
      </c>
      <c r="B599" t="s">
        <v>610</v>
      </c>
      <c r="C599">
        <v>1</v>
      </c>
    </row>
    <row r="600" spans="1:3" ht="13" x14ac:dyDescent="0.15">
      <c r="A600">
        <v>279024728</v>
      </c>
      <c r="B600" t="s">
        <v>611</v>
      </c>
      <c r="C600">
        <v>1</v>
      </c>
    </row>
    <row r="601" spans="1:3" ht="13" x14ac:dyDescent="0.15">
      <c r="A601">
        <v>279190366</v>
      </c>
      <c r="B601" t="s">
        <v>612</v>
      </c>
      <c r="C601">
        <v>3</v>
      </c>
    </row>
    <row r="602" spans="1:3" ht="13" x14ac:dyDescent="0.15">
      <c r="A602">
        <v>279256437</v>
      </c>
      <c r="B602" t="s">
        <v>613</v>
      </c>
      <c r="C602">
        <v>1</v>
      </c>
    </row>
    <row r="603" spans="1:3" ht="13" x14ac:dyDescent="0.15">
      <c r="A603">
        <v>280840488</v>
      </c>
      <c r="B603" t="s">
        <v>614</v>
      </c>
      <c r="C603">
        <v>1</v>
      </c>
    </row>
    <row r="604" spans="1:3" ht="13" x14ac:dyDescent="0.15">
      <c r="A604">
        <v>280913203</v>
      </c>
      <c r="B604" t="s">
        <v>615</v>
      </c>
      <c r="C604">
        <v>1</v>
      </c>
    </row>
    <row r="605" spans="1:3" ht="13" x14ac:dyDescent="0.15">
      <c r="A605">
        <v>280964679</v>
      </c>
      <c r="B605" t="s">
        <v>616</v>
      </c>
      <c r="C605">
        <v>1</v>
      </c>
    </row>
    <row r="606" spans="1:3" ht="13" x14ac:dyDescent="0.15">
      <c r="A606">
        <v>281267381</v>
      </c>
      <c r="B606" t="s">
        <v>617</v>
      </c>
      <c r="C606">
        <v>1</v>
      </c>
    </row>
    <row r="607" spans="1:3" ht="13" x14ac:dyDescent="0.15">
      <c r="A607">
        <v>281607345</v>
      </c>
      <c r="B607" t="s">
        <v>618</v>
      </c>
      <c r="C607">
        <v>1</v>
      </c>
    </row>
    <row r="608" spans="1:3" ht="13" x14ac:dyDescent="0.15">
      <c r="A608">
        <v>282035070</v>
      </c>
      <c r="B608" t="s">
        <v>619</v>
      </c>
      <c r="C608">
        <v>27</v>
      </c>
    </row>
    <row r="609" spans="1:3" ht="13" x14ac:dyDescent="0.15">
      <c r="A609">
        <v>282434602</v>
      </c>
      <c r="B609" t="s">
        <v>620</v>
      </c>
      <c r="C609">
        <v>1</v>
      </c>
    </row>
    <row r="610" spans="1:3" ht="13" x14ac:dyDescent="0.15">
      <c r="A610">
        <v>282509387</v>
      </c>
      <c r="B610" t="s">
        <v>621</v>
      </c>
      <c r="C610">
        <v>1</v>
      </c>
    </row>
    <row r="611" spans="1:3" ht="13" x14ac:dyDescent="0.15">
      <c r="A611">
        <v>282718957</v>
      </c>
      <c r="B611" t="s">
        <v>622</v>
      </c>
      <c r="C611">
        <v>1</v>
      </c>
    </row>
    <row r="612" spans="1:3" ht="13" x14ac:dyDescent="0.15">
      <c r="A612">
        <v>283125007</v>
      </c>
      <c r="B612" t="s">
        <v>623</v>
      </c>
      <c r="C612">
        <v>1</v>
      </c>
    </row>
    <row r="613" spans="1:3" ht="13" x14ac:dyDescent="0.15">
      <c r="A613">
        <v>283183623</v>
      </c>
      <c r="B613" t="s">
        <v>624</v>
      </c>
      <c r="C613">
        <v>1</v>
      </c>
    </row>
    <row r="614" spans="1:3" ht="13" x14ac:dyDescent="0.15">
      <c r="A614">
        <v>283484324</v>
      </c>
      <c r="B614" t="s">
        <v>625</v>
      </c>
      <c r="C614">
        <v>8</v>
      </c>
    </row>
    <row r="615" spans="1:3" ht="13" x14ac:dyDescent="0.15">
      <c r="A615">
        <v>283520340</v>
      </c>
      <c r="B615" t="s">
        <v>626</v>
      </c>
      <c r="C615">
        <v>1</v>
      </c>
    </row>
    <row r="616" spans="1:3" ht="13" x14ac:dyDescent="0.15">
      <c r="A616">
        <v>283595323</v>
      </c>
      <c r="B616" t="s">
        <v>627</v>
      </c>
      <c r="C616">
        <v>1</v>
      </c>
    </row>
    <row r="617" spans="1:3" ht="13" x14ac:dyDescent="0.15">
      <c r="A617">
        <v>283602933</v>
      </c>
      <c r="B617" t="s">
        <v>628</v>
      </c>
      <c r="C617">
        <v>1</v>
      </c>
    </row>
    <row r="618" spans="1:3" ht="13" x14ac:dyDescent="0.15">
      <c r="A618">
        <v>283824079</v>
      </c>
      <c r="B618" t="s">
        <v>629</v>
      </c>
      <c r="C618">
        <v>1</v>
      </c>
    </row>
    <row r="619" spans="1:3" ht="13" x14ac:dyDescent="0.15">
      <c r="A619">
        <v>284041268</v>
      </c>
      <c r="B619" t="s">
        <v>630</v>
      </c>
      <c r="C619">
        <v>1</v>
      </c>
    </row>
    <row r="620" spans="1:3" ht="13" x14ac:dyDescent="0.15">
      <c r="A620">
        <v>284155605</v>
      </c>
      <c r="B620" t="s">
        <v>631</v>
      </c>
      <c r="C620">
        <v>1</v>
      </c>
    </row>
    <row r="621" spans="1:3" ht="13" x14ac:dyDescent="0.15">
      <c r="A621">
        <v>284230552</v>
      </c>
      <c r="B621" t="s">
        <v>632</v>
      </c>
      <c r="C621">
        <v>1</v>
      </c>
    </row>
    <row r="622" spans="1:3" ht="13" x14ac:dyDescent="0.15">
      <c r="A622">
        <v>284271655</v>
      </c>
      <c r="B622" t="s">
        <v>633</v>
      </c>
      <c r="C622">
        <v>1</v>
      </c>
    </row>
    <row r="623" spans="1:3" ht="13" x14ac:dyDescent="0.15">
      <c r="A623">
        <v>284284630</v>
      </c>
      <c r="B623" t="s">
        <v>634</v>
      </c>
      <c r="C623">
        <v>1</v>
      </c>
    </row>
    <row r="624" spans="1:3" ht="13" x14ac:dyDescent="0.15">
      <c r="A624">
        <v>284317624</v>
      </c>
      <c r="B624" t="s">
        <v>635</v>
      </c>
      <c r="C624">
        <v>1</v>
      </c>
    </row>
    <row r="625" spans="1:3" ht="13" x14ac:dyDescent="0.15">
      <c r="A625">
        <v>284480995</v>
      </c>
      <c r="B625" t="s">
        <v>636</v>
      </c>
      <c r="C625">
        <v>1</v>
      </c>
    </row>
    <row r="626" spans="1:3" ht="13" x14ac:dyDescent="0.15">
      <c r="A626">
        <v>284481051</v>
      </c>
      <c r="B626" t="s">
        <v>637</v>
      </c>
      <c r="C626">
        <v>1</v>
      </c>
    </row>
    <row r="627" spans="1:3" ht="13" x14ac:dyDescent="0.15">
      <c r="A627">
        <v>284482502</v>
      </c>
      <c r="B627" t="s">
        <v>638</v>
      </c>
      <c r="C627">
        <v>2</v>
      </c>
    </row>
    <row r="628" spans="1:3" ht="13" x14ac:dyDescent="0.15">
      <c r="A628">
        <v>284482682</v>
      </c>
      <c r="B628" t="s">
        <v>639</v>
      </c>
      <c r="C628">
        <v>1</v>
      </c>
    </row>
    <row r="629" spans="1:3" ht="13" x14ac:dyDescent="0.15">
      <c r="A629">
        <v>284531924</v>
      </c>
      <c r="B629" t="s">
        <v>640</v>
      </c>
      <c r="C629">
        <v>1</v>
      </c>
    </row>
    <row r="630" spans="1:3" ht="13" x14ac:dyDescent="0.15">
      <c r="A630">
        <v>284533329</v>
      </c>
      <c r="B630" t="s">
        <v>641</v>
      </c>
      <c r="C630">
        <v>1</v>
      </c>
    </row>
    <row r="631" spans="1:3" ht="13" x14ac:dyDescent="0.15">
      <c r="A631">
        <v>285509458</v>
      </c>
      <c r="B631" t="s">
        <v>642</v>
      </c>
      <c r="C631">
        <v>15</v>
      </c>
    </row>
    <row r="632" spans="1:3" ht="13" x14ac:dyDescent="0.15">
      <c r="A632">
        <v>285532559</v>
      </c>
      <c r="B632" t="s">
        <v>643</v>
      </c>
      <c r="C632">
        <v>3</v>
      </c>
    </row>
    <row r="633" spans="1:3" ht="13" x14ac:dyDescent="0.15">
      <c r="A633">
        <v>285638713</v>
      </c>
      <c r="B633" t="s">
        <v>644</v>
      </c>
      <c r="C633">
        <v>1</v>
      </c>
    </row>
    <row r="634" spans="1:3" ht="13" x14ac:dyDescent="0.15">
      <c r="A634">
        <v>285902820</v>
      </c>
      <c r="B634" t="s">
        <v>645</v>
      </c>
      <c r="C634">
        <v>1</v>
      </c>
    </row>
    <row r="635" spans="1:3" ht="13" x14ac:dyDescent="0.15">
      <c r="A635">
        <v>285964476</v>
      </c>
      <c r="B635" t="s">
        <v>646</v>
      </c>
      <c r="C635">
        <v>1</v>
      </c>
    </row>
    <row r="636" spans="1:3" ht="13" x14ac:dyDescent="0.15">
      <c r="A636">
        <v>285989990</v>
      </c>
      <c r="B636" t="s">
        <v>647</v>
      </c>
      <c r="C636">
        <v>3</v>
      </c>
    </row>
    <row r="637" spans="1:3" ht="13" x14ac:dyDescent="0.15">
      <c r="A637">
        <v>286088675</v>
      </c>
      <c r="B637" t="s">
        <v>648</v>
      </c>
      <c r="C637">
        <v>1</v>
      </c>
    </row>
    <row r="638" spans="1:3" ht="13" x14ac:dyDescent="0.15">
      <c r="A638">
        <v>286088802</v>
      </c>
      <c r="B638" t="s">
        <v>649</v>
      </c>
      <c r="C638">
        <v>1</v>
      </c>
    </row>
    <row r="639" spans="1:3" ht="13" x14ac:dyDescent="0.15">
      <c r="A639">
        <v>286135841</v>
      </c>
      <c r="B639" t="s">
        <v>650</v>
      </c>
      <c r="C639">
        <v>1</v>
      </c>
    </row>
    <row r="640" spans="1:3" ht="13" x14ac:dyDescent="0.15">
      <c r="A640">
        <v>286161014</v>
      </c>
      <c r="B640" t="s">
        <v>651</v>
      </c>
      <c r="C640">
        <v>1</v>
      </c>
    </row>
    <row r="641" spans="1:3" ht="13" x14ac:dyDescent="0.15">
      <c r="A641">
        <v>286199864</v>
      </c>
      <c r="B641" t="s">
        <v>652</v>
      </c>
      <c r="C641">
        <v>1</v>
      </c>
    </row>
    <row r="642" spans="1:3" ht="13" x14ac:dyDescent="0.15">
      <c r="A642">
        <v>286209181</v>
      </c>
      <c r="B642" t="s">
        <v>653</v>
      </c>
      <c r="C642">
        <v>1</v>
      </c>
    </row>
    <row r="643" spans="1:3" ht="13" x14ac:dyDescent="0.15">
      <c r="A643">
        <v>286241321</v>
      </c>
      <c r="B643" t="s">
        <v>654</v>
      </c>
      <c r="C643">
        <v>1</v>
      </c>
    </row>
    <row r="644" spans="1:3" ht="13" x14ac:dyDescent="0.15">
      <c r="A644">
        <v>286402974</v>
      </c>
      <c r="B644" t="s">
        <v>655</v>
      </c>
      <c r="C644">
        <v>7</v>
      </c>
    </row>
    <row r="645" spans="1:3" ht="13" x14ac:dyDescent="0.15">
      <c r="A645">
        <v>286554886</v>
      </c>
      <c r="B645" t="s">
        <v>656</v>
      </c>
      <c r="C645">
        <v>1</v>
      </c>
    </row>
    <row r="646" spans="1:3" ht="13" x14ac:dyDescent="0.15">
      <c r="A646">
        <v>286560951</v>
      </c>
      <c r="B646" t="s">
        <v>657</v>
      </c>
      <c r="C646">
        <v>3</v>
      </c>
    </row>
    <row r="647" spans="1:3" ht="13" x14ac:dyDescent="0.15">
      <c r="A647">
        <v>286577082</v>
      </c>
      <c r="B647" t="s">
        <v>658</v>
      </c>
      <c r="C647">
        <v>1</v>
      </c>
    </row>
    <row r="648" spans="1:3" ht="13" x14ac:dyDescent="0.15">
      <c r="A648">
        <v>286577174</v>
      </c>
      <c r="B648" t="s">
        <v>659</v>
      </c>
      <c r="C648">
        <v>1</v>
      </c>
    </row>
    <row r="649" spans="1:3" ht="13" x14ac:dyDescent="0.15">
      <c r="A649">
        <v>286737312</v>
      </c>
      <c r="B649" t="s">
        <v>660</v>
      </c>
      <c r="C649">
        <v>1</v>
      </c>
    </row>
    <row r="650" spans="1:3" ht="13" x14ac:dyDescent="0.15">
      <c r="A650">
        <v>286737650</v>
      </c>
      <c r="B650" t="s">
        <v>661</v>
      </c>
      <c r="C650">
        <v>1</v>
      </c>
    </row>
    <row r="651" spans="1:3" ht="13" x14ac:dyDescent="0.15">
      <c r="A651">
        <v>286890592</v>
      </c>
      <c r="B651" t="s">
        <v>662</v>
      </c>
      <c r="C651">
        <v>2</v>
      </c>
    </row>
    <row r="652" spans="1:3" ht="13" x14ac:dyDescent="0.15">
      <c r="A652">
        <v>286920889</v>
      </c>
      <c r="B652" t="s">
        <v>663</v>
      </c>
      <c r="C652">
        <v>1</v>
      </c>
    </row>
    <row r="653" spans="1:3" ht="13" x14ac:dyDescent="0.15">
      <c r="A653">
        <v>286978010</v>
      </c>
      <c r="B653" t="s">
        <v>664</v>
      </c>
      <c r="C653">
        <v>2</v>
      </c>
    </row>
    <row r="654" spans="1:3" ht="13" x14ac:dyDescent="0.15">
      <c r="A654">
        <v>287050098</v>
      </c>
      <c r="B654" t="s">
        <v>665</v>
      </c>
      <c r="C654">
        <v>1</v>
      </c>
    </row>
    <row r="655" spans="1:3" ht="13" x14ac:dyDescent="0.15">
      <c r="A655">
        <v>287096340</v>
      </c>
      <c r="B655" t="s">
        <v>666</v>
      </c>
      <c r="C655">
        <v>1</v>
      </c>
    </row>
    <row r="656" spans="1:3" ht="13" x14ac:dyDescent="0.15">
      <c r="A656">
        <v>287106956</v>
      </c>
      <c r="B656" t="s">
        <v>667</v>
      </c>
      <c r="C656">
        <v>1</v>
      </c>
    </row>
    <row r="657" spans="1:3" ht="13" x14ac:dyDescent="0.15">
      <c r="A657">
        <v>287231334</v>
      </c>
      <c r="B657" t="s">
        <v>668</v>
      </c>
      <c r="C657">
        <v>1</v>
      </c>
    </row>
    <row r="658" spans="1:3" ht="13" x14ac:dyDescent="0.15">
      <c r="A658">
        <v>287291465</v>
      </c>
      <c r="B658" t="s">
        <v>669</v>
      </c>
      <c r="C658">
        <v>1</v>
      </c>
    </row>
    <row r="659" spans="1:3" ht="13" x14ac:dyDescent="0.15">
      <c r="A659">
        <v>287299767</v>
      </c>
      <c r="B659" t="s">
        <v>670</v>
      </c>
      <c r="C659">
        <v>1</v>
      </c>
    </row>
    <row r="660" spans="1:3" ht="13" x14ac:dyDescent="0.15">
      <c r="A660">
        <v>287299771</v>
      </c>
      <c r="B660" t="s">
        <v>671</v>
      </c>
      <c r="C660">
        <v>3</v>
      </c>
    </row>
    <row r="661" spans="1:3" ht="13" x14ac:dyDescent="0.15">
      <c r="A661">
        <v>287337759</v>
      </c>
      <c r="B661" t="s">
        <v>672</v>
      </c>
      <c r="C661">
        <v>3</v>
      </c>
    </row>
    <row r="662" spans="1:3" ht="13" x14ac:dyDescent="0.15">
      <c r="A662">
        <v>287342614</v>
      </c>
      <c r="B662" t="s">
        <v>673</v>
      </c>
      <c r="C662">
        <v>4</v>
      </c>
    </row>
    <row r="663" spans="1:3" ht="13" x14ac:dyDescent="0.15">
      <c r="A663">
        <v>287363158</v>
      </c>
      <c r="B663" t="s">
        <v>674</v>
      </c>
      <c r="C663">
        <v>1</v>
      </c>
    </row>
    <row r="664" spans="1:3" ht="13" x14ac:dyDescent="0.15">
      <c r="A664">
        <v>287368356</v>
      </c>
      <c r="B664" t="s">
        <v>675</v>
      </c>
      <c r="C664">
        <v>1</v>
      </c>
    </row>
    <row r="665" spans="1:3" ht="13" x14ac:dyDescent="0.15">
      <c r="A665">
        <v>287372158</v>
      </c>
      <c r="B665" t="s">
        <v>676</v>
      </c>
      <c r="C665">
        <v>2</v>
      </c>
    </row>
    <row r="666" spans="1:3" ht="13" x14ac:dyDescent="0.15">
      <c r="A666">
        <v>287372229</v>
      </c>
      <c r="B666" t="s">
        <v>677</v>
      </c>
      <c r="C666">
        <v>1</v>
      </c>
    </row>
    <row r="667" spans="1:3" ht="13" x14ac:dyDescent="0.15">
      <c r="A667">
        <v>287372244</v>
      </c>
      <c r="B667" t="s">
        <v>678</v>
      </c>
      <c r="C667">
        <v>1</v>
      </c>
    </row>
    <row r="668" spans="1:3" ht="13" x14ac:dyDescent="0.15">
      <c r="A668">
        <v>287372776</v>
      </c>
      <c r="B668" t="s">
        <v>679</v>
      </c>
      <c r="C668">
        <v>1</v>
      </c>
    </row>
    <row r="669" spans="1:3" ht="13" x14ac:dyDescent="0.15">
      <c r="A669">
        <v>287372805</v>
      </c>
      <c r="B669" t="s">
        <v>680</v>
      </c>
      <c r="C669">
        <v>1</v>
      </c>
    </row>
    <row r="670" spans="1:3" ht="13" x14ac:dyDescent="0.15">
      <c r="A670">
        <v>287373577</v>
      </c>
      <c r="B670" t="s">
        <v>681</v>
      </c>
      <c r="C670">
        <v>1</v>
      </c>
    </row>
    <row r="671" spans="1:3" ht="13" x14ac:dyDescent="0.15">
      <c r="A671">
        <v>287373899</v>
      </c>
      <c r="B671" t="s">
        <v>682</v>
      </c>
      <c r="C671">
        <v>1</v>
      </c>
    </row>
    <row r="672" spans="1:3" ht="13" x14ac:dyDescent="0.15">
      <c r="A672">
        <v>287374037</v>
      </c>
      <c r="B672" t="s">
        <v>683</v>
      </c>
      <c r="C672">
        <v>1</v>
      </c>
    </row>
    <row r="673" spans="1:3" ht="13" x14ac:dyDescent="0.15">
      <c r="A673">
        <v>287374099</v>
      </c>
      <c r="B673" t="s">
        <v>684</v>
      </c>
      <c r="C673">
        <v>1</v>
      </c>
    </row>
    <row r="674" spans="1:3" ht="13" x14ac:dyDescent="0.15">
      <c r="A674">
        <v>287374868</v>
      </c>
      <c r="B674" t="s">
        <v>685</v>
      </c>
      <c r="C674">
        <v>1</v>
      </c>
    </row>
    <row r="675" spans="1:3" ht="13" x14ac:dyDescent="0.15">
      <c r="A675">
        <v>287375755</v>
      </c>
      <c r="B675" t="s">
        <v>686</v>
      </c>
      <c r="C675">
        <v>1</v>
      </c>
    </row>
    <row r="676" spans="1:3" ht="13" x14ac:dyDescent="0.15">
      <c r="A676">
        <v>287377037</v>
      </c>
      <c r="B676" t="s">
        <v>687</v>
      </c>
      <c r="C676">
        <v>1</v>
      </c>
    </row>
    <row r="677" spans="1:3" ht="13" x14ac:dyDescent="0.15">
      <c r="A677">
        <v>287377391</v>
      </c>
      <c r="B677" t="s">
        <v>688</v>
      </c>
      <c r="C677">
        <v>1</v>
      </c>
    </row>
    <row r="678" spans="1:3" ht="13" x14ac:dyDescent="0.15">
      <c r="A678">
        <v>287380456</v>
      </c>
      <c r="B678" t="s">
        <v>689</v>
      </c>
      <c r="C678">
        <v>1</v>
      </c>
    </row>
    <row r="679" spans="1:3" ht="13" x14ac:dyDescent="0.15">
      <c r="A679">
        <v>287380686</v>
      </c>
      <c r="B679" t="s">
        <v>690</v>
      </c>
      <c r="C679">
        <v>1</v>
      </c>
    </row>
    <row r="680" spans="1:3" ht="13" x14ac:dyDescent="0.15">
      <c r="A680">
        <v>287381002</v>
      </c>
      <c r="B680" t="s">
        <v>691</v>
      </c>
      <c r="C680">
        <v>1</v>
      </c>
    </row>
    <row r="681" spans="1:3" ht="13" x14ac:dyDescent="0.15">
      <c r="A681">
        <v>287381171</v>
      </c>
      <c r="B681" t="s">
        <v>692</v>
      </c>
      <c r="C681">
        <v>1</v>
      </c>
    </row>
    <row r="682" spans="1:3" ht="13" x14ac:dyDescent="0.15">
      <c r="A682">
        <v>287381222</v>
      </c>
      <c r="B682" t="s">
        <v>693</v>
      </c>
      <c r="C682">
        <v>1</v>
      </c>
    </row>
    <row r="683" spans="1:3" ht="13" x14ac:dyDescent="0.15">
      <c r="A683">
        <v>287381889</v>
      </c>
      <c r="B683" t="s">
        <v>694</v>
      </c>
      <c r="C683">
        <v>2</v>
      </c>
    </row>
    <row r="684" spans="1:3" ht="13" x14ac:dyDescent="0.15">
      <c r="A684">
        <v>287382361</v>
      </c>
      <c r="B684" t="s">
        <v>695</v>
      </c>
      <c r="C684">
        <v>1</v>
      </c>
    </row>
    <row r="685" spans="1:3" ht="13" x14ac:dyDescent="0.15">
      <c r="A685">
        <v>287384410</v>
      </c>
      <c r="B685" t="s">
        <v>696</v>
      </c>
      <c r="C685">
        <v>1</v>
      </c>
    </row>
    <row r="686" spans="1:3" ht="13" x14ac:dyDescent="0.15">
      <c r="A686">
        <v>287384881</v>
      </c>
      <c r="B686" t="s">
        <v>697</v>
      </c>
      <c r="C686">
        <v>1</v>
      </c>
    </row>
    <row r="687" spans="1:3" ht="13" x14ac:dyDescent="0.15">
      <c r="A687">
        <v>287386448</v>
      </c>
      <c r="B687" t="s">
        <v>698</v>
      </c>
      <c r="C687">
        <v>1</v>
      </c>
    </row>
    <row r="688" spans="1:3" ht="13" x14ac:dyDescent="0.15">
      <c r="A688">
        <v>287389904</v>
      </c>
      <c r="B688" t="s">
        <v>699</v>
      </c>
      <c r="C688">
        <v>1</v>
      </c>
    </row>
    <row r="689" spans="1:3" ht="13" x14ac:dyDescent="0.15">
      <c r="A689">
        <v>287394583</v>
      </c>
      <c r="B689" t="s">
        <v>700</v>
      </c>
      <c r="C689">
        <v>1</v>
      </c>
    </row>
    <row r="690" spans="1:3" ht="13" x14ac:dyDescent="0.15">
      <c r="A690">
        <v>287395667</v>
      </c>
      <c r="B690" t="s">
        <v>701</v>
      </c>
      <c r="C690">
        <v>1</v>
      </c>
    </row>
    <row r="691" spans="1:3" ht="13" x14ac:dyDescent="0.15">
      <c r="A691">
        <v>287395815</v>
      </c>
      <c r="B691" t="s">
        <v>702</v>
      </c>
      <c r="C691">
        <v>1</v>
      </c>
    </row>
    <row r="692" spans="1:3" ht="13" x14ac:dyDescent="0.15">
      <c r="A692">
        <v>287396541</v>
      </c>
      <c r="B692" t="s">
        <v>703</v>
      </c>
      <c r="C692">
        <v>7</v>
      </c>
    </row>
    <row r="693" spans="1:3" ht="13" x14ac:dyDescent="0.15">
      <c r="A693">
        <v>287396668</v>
      </c>
      <c r="B693" t="s">
        <v>704</v>
      </c>
      <c r="C693">
        <v>1</v>
      </c>
    </row>
    <row r="694" spans="1:3" ht="13" x14ac:dyDescent="0.15">
      <c r="A694">
        <v>287398176</v>
      </c>
      <c r="B694" t="s">
        <v>705</v>
      </c>
      <c r="C694">
        <v>1</v>
      </c>
    </row>
    <row r="695" spans="1:3" ht="13" x14ac:dyDescent="0.15">
      <c r="A695">
        <v>287398785</v>
      </c>
      <c r="B695" t="s">
        <v>706</v>
      </c>
      <c r="C695">
        <v>1</v>
      </c>
    </row>
    <row r="696" spans="1:3" ht="13" x14ac:dyDescent="0.15">
      <c r="A696">
        <v>287399041</v>
      </c>
      <c r="B696" t="s">
        <v>707</v>
      </c>
      <c r="C696">
        <v>1</v>
      </c>
    </row>
    <row r="697" spans="1:3" ht="13" x14ac:dyDescent="0.15">
      <c r="A697">
        <v>287399238</v>
      </c>
      <c r="B697" t="s">
        <v>708</v>
      </c>
      <c r="C697">
        <v>1</v>
      </c>
    </row>
    <row r="698" spans="1:3" ht="13" x14ac:dyDescent="0.15">
      <c r="A698">
        <v>287401106</v>
      </c>
      <c r="B698" t="s">
        <v>709</v>
      </c>
      <c r="C698">
        <v>1</v>
      </c>
    </row>
    <row r="699" spans="1:3" ht="13" x14ac:dyDescent="0.15">
      <c r="A699">
        <v>287401365</v>
      </c>
      <c r="B699" t="s">
        <v>710</v>
      </c>
      <c r="C699">
        <v>1</v>
      </c>
    </row>
    <row r="700" spans="1:3" ht="13" x14ac:dyDescent="0.15">
      <c r="A700">
        <v>287401951</v>
      </c>
      <c r="B700" t="s">
        <v>711</v>
      </c>
      <c r="C700">
        <v>1</v>
      </c>
    </row>
    <row r="701" spans="1:3" ht="13" x14ac:dyDescent="0.15">
      <c r="A701">
        <v>287402033</v>
      </c>
      <c r="B701" t="s">
        <v>712</v>
      </c>
      <c r="C701">
        <v>1</v>
      </c>
    </row>
    <row r="702" spans="1:3" ht="13" x14ac:dyDescent="0.15">
      <c r="A702">
        <v>287402258</v>
      </c>
      <c r="B702" t="s">
        <v>713</v>
      </c>
      <c r="C702">
        <v>2</v>
      </c>
    </row>
    <row r="703" spans="1:3" ht="13" x14ac:dyDescent="0.15">
      <c r="A703">
        <v>287402416</v>
      </c>
      <c r="B703" t="s">
        <v>714</v>
      </c>
      <c r="C703">
        <v>1</v>
      </c>
    </row>
    <row r="704" spans="1:3" ht="13" x14ac:dyDescent="0.15">
      <c r="A704">
        <v>287402863</v>
      </c>
      <c r="B704" t="s">
        <v>715</v>
      </c>
      <c r="C704">
        <v>1</v>
      </c>
    </row>
    <row r="705" spans="1:3" ht="13" x14ac:dyDescent="0.15">
      <c r="A705">
        <v>287402995</v>
      </c>
      <c r="B705" t="s">
        <v>716</v>
      </c>
      <c r="C705">
        <v>1</v>
      </c>
    </row>
    <row r="706" spans="1:3" ht="13" x14ac:dyDescent="0.15">
      <c r="A706">
        <v>287404083</v>
      </c>
      <c r="B706" t="s">
        <v>717</v>
      </c>
      <c r="C706">
        <v>1</v>
      </c>
    </row>
    <row r="707" spans="1:3" ht="13" x14ac:dyDescent="0.15">
      <c r="A707">
        <v>287404235</v>
      </c>
      <c r="B707" t="s">
        <v>718</v>
      </c>
      <c r="C707">
        <v>1</v>
      </c>
    </row>
    <row r="708" spans="1:3" ht="13" x14ac:dyDescent="0.15">
      <c r="A708">
        <v>287404293</v>
      </c>
      <c r="B708" t="s">
        <v>719</v>
      </c>
      <c r="C708">
        <v>1</v>
      </c>
    </row>
    <row r="709" spans="1:3" ht="13" x14ac:dyDescent="0.15">
      <c r="A709">
        <v>287404507</v>
      </c>
      <c r="B709" t="s">
        <v>720</v>
      </c>
      <c r="C709">
        <v>1</v>
      </c>
    </row>
    <row r="710" spans="1:3" ht="13" x14ac:dyDescent="0.15">
      <c r="A710">
        <v>287404846</v>
      </c>
      <c r="B710" t="s">
        <v>721</v>
      </c>
      <c r="C710">
        <v>1</v>
      </c>
    </row>
    <row r="711" spans="1:3" ht="13" x14ac:dyDescent="0.15">
      <c r="A711">
        <v>287405915</v>
      </c>
      <c r="B711" t="s">
        <v>722</v>
      </c>
      <c r="C711">
        <v>1</v>
      </c>
    </row>
    <row r="712" spans="1:3" ht="13" x14ac:dyDescent="0.15">
      <c r="A712">
        <v>287405947</v>
      </c>
      <c r="B712" t="s">
        <v>723</v>
      </c>
      <c r="C712">
        <v>1</v>
      </c>
    </row>
    <row r="713" spans="1:3" ht="13" x14ac:dyDescent="0.15">
      <c r="A713">
        <v>287406924</v>
      </c>
      <c r="B713" t="s">
        <v>724</v>
      </c>
      <c r="C713">
        <v>1</v>
      </c>
    </row>
    <row r="714" spans="1:3" ht="13" x14ac:dyDescent="0.15">
      <c r="A714">
        <v>287407486</v>
      </c>
      <c r="B714" t="s">
        <v>725</v>
      </c>
      <c r="C714">
        <v>1</v>
      </c>
    </row>
    <row r="715" spans="1:3" ht="13" x14ac:dyDescent="0.15">
      <c r="A715">
        <v>287408072</v>
      </c>
      <c r="B715" t="s">
        <v>726</v>
      </c>
      <c r="C715">
        <v>1</v>
      </c>
    </row>
    <row r="716" spans="1:3" ht="13" x14ac:dyDescent="0.15">
      <c r="A716">
        <v>287409424</v>
      </c>
      <c r="B716" t="s">
        <v>727</v>
      </c>
      <c r="C716">
        <v>1</v>
      </c>
    </row>
    <row r="717" spans="1:3" ht="13" x14ac:dyDescent="0.15">
      <c r="A717">
        <v>287409567</v>
      </c>
      <c r="B717" t="s">
        <v>728</v>
      </c>
      <c r="C717">
        <v>1</v>
      </c>
    </row>
    <row r="718" spans="1:3" ht="13" x14ac:dyDescent="0.15">
      <c r="A718">
        <v>287412372</v>
      </c>
      <c r="B718" t="s">
        <v>729</v>
      </c>
      <c r="C718">
        <v>1</v>
      </c>
    </row>
    <row r="719" spans="1:3" ht="13" x14ac:dyDescent="0.15">
      <c r="A719">
        <v>287412995</v>
      </c>
      <c r="B719" t="s">
        <v>730</v>
      </c>
      <c r="C719">
        <v>1</v>
      </c>
    </row>
    <row r="720" spans="1:3" ht="13" x14ac:dyDescent="0.15">
      <c r="A720">
        <v>287413139</v>
      </c>
      <c r="B720" t="s">
        <v>731</v>
      </c>
      <c r="C720">
        <v>1</v>
      </c>
    </row>
    <row r="721" spans="1:3" ht="13" x14ac:dyDescent="0.15">
      <c r="A721">
        <v>287413457</v>
      </c>
      <c r="B721" t="s">
        <v>732</v>
      </c>
      <c r="C721">
        <v>1</v>
      </c>
    </row>
    <row r="722" spans="1:3" ht="13" x14ac:dyDescent="0.15">
      <c r="A722">
        <v>287413627</v>
      </c>
      <c r="B722" t="s">
        <v>733</v>
      </c>
      <c r="C722">
        <v>1</v>
      </c>
    </row>
    <row r="723" spans="1:3" ht="13" x14ac:dyDescent="0.15">
      <c r="A723">
        <v>287414102</v>
      </c>
      <c r="B723" t="s">
        <v>734</v>
      </c>
      <c r="C723">
        <v>2</v>
      </c>
    </row>
    <row r="724" spans="1:3" ht="13" x14ac:dyDescent="0.15">
      <c r="A724">
        <v>287414262</v>
      </c>
      <c r="B724" t="s">
        <v>735</v>
      </c>
      <c r="C724">
        <v>1</v>
      </c>
    </row>
    <row r="725" spans="1:3" ht="13" x14ac:dyDescent="0.15">
      <c r="A725">
        <v>287418247</v>
      </c>
      <c r="B725" t="s">
        <v>736</v>
      </c>
      <c r="C725">
        <v>1</v>
      </c>
    </row>
    <row r="726" spans="1:3" ht="13" x14ac:dyDescent="0.15">
      <c r="A726">
        <v>287421211</v>
      </c>
      <c r="B726" t="s">
        <v>737</v>
      </c>
      <c r="C726">
        <v>1</v>
      </c>
    </row>
    <row r="727" spans="1:3" ht="13" x14ac:dyDescent="0.15">
      <c r="A727">
        <v>287424256</v>
      </c>
      <c r="B727" t="s">
        <v>738</v>
      </c>
      <c r="C727">
        <v>1</v>
      </c>
    </row>
    <row r="728" spans="1:3" ht="13" x14ac:dyDescent="0.15">
      <c r="A728">
        <v>287427322</v>
      </c>
      <c r="B728" t="s">
        <v>739</v>
      </c>
      <c r="C728">
        <v>1</v>
      </c>
    </row>
    <row r="729" spans="1:3" ht="13" x14ac:dyDescent="0.15">
      <c r="A729">
        <v>287429944</v>
      </c>
      <c r="B729" t="s">
        <v>740</v>
      </c>
      <c r="C729">
        <v>1</v>
      </c>
    </row>
    <row r="730" spans="1:3" ht="13" x14ac:dyDescent="0.15">
      <c r="A730">
        <v>287437210</v>
      </c>
      <c r="B730" t="s">
        <v>741</v>
      </c>
      <c r="C730">
        <v>3</v>
      </c>
    </row>
    <row r="731" spans="1:3" ht="13" x14ac:dyDescent="0.15">
      <c r="A731">
        <v>287438386</v>
      </c>
      <c r="B731" t="s">
        <v>742</v>
      </c>
      <c r="C731">
        <v>1</v>
      </c>
    </row>
    <row r="732" spans="1:3" ht="13" x14ac:dyDescent="0.15">
      <c r="A732">
        <v>287447139</v>
      </c>
      <c r="B732" t="s">
        <v>743</v>
      </c>
      <c r="C732">
        <v>2</v>
      </c>
    </row>
    <row r="733" spans="1:3" ht="13" x14ac:dyDescent="0.15">
      <c r="A733">
        <v>287452560</v>
      </c>
      <c r="B733" t="s">
        <v>744</v>
      </c>
      <c r="C733">
        <v>9</v>
      </c>
    </row>
    <row r="734" spans="1:3" ht="13" x14ac:dyDescent="0.15">
      <c r="A734">
        <v>287453934</v>
      </c>
      <c r="B734" t="s">
        <v>745</v>
      </c>
      <c r="C734">
        <v>1</v>
      </c>
    </row>
    <row r="735" spans="1:3" ht="13" x14ac:dyDescent="0.15">
      <c r="A735">
        <v>287454170</v>
      </c>
      <c r="B735" t="s">
        <v>746</v>
      </c>
      <c r="C735">
        <v>1</v>
      </c>
    </row>
    <row r="736" spans="1:3" ht="13" x14ac:dyDescent="0.15">
      <c r="A736">
        <v>287456644</v>
      </c>
      <c r="B736" t="s">
        <v>747</v>
      </c>
      <c r="C736">
        <v>1</v>
      </c>
    </row>
    <row r="737" spans="1:3" ht="13" x14ac:dyDescent="0.15">
      <c r="A737">
        <v>287502358</v>
      </c>
      <c r="B737" t="s">
        <v>748</v>
      </c>
      <c r="C737">
        <v>3</v>
      </c>
    </row>
    <row r="738" spans="1:3" ht="13" x14ac:dyDescent="0.15">
      <c r="A738">
        <v>287516414</v>
      </c>
      <c r="B738" t="s">
        <v>749</v>
      </c>
      <c r="C738">
        <v>1</v>
      </c>
    </row>
    <row r="739" spans="1:3" ht="13" x14ac:dyDescent="0.15">
      <c r="A739">
        <v>287532846</v>
      </c>
      <c r="B739" t="s">
        <v>750</v>
      </c>
      <c r="C739">
        <v>2</v>
      </c>
    </row>
    <row r="740" spans="1:3" ht="13" x14ac:dyDescent="0.15">
      <c r="A740">
        <v>287535440</v>
      </c>
      <c r="B740" t="s">
        <v>751</v>
      </c>
      <c r="C740">
        <v>3</v>
      </c>
    </row>
    <row r="741" spans="1:3" ht="13" x14ac:dyDescent="0.15">
      <c r="A741">
        <v>287535757</v>
      </c>
      <c r="B741" t="s">
        <v>752</v>
      </c>
      <c r="C741">
        <v>2</v>
      </c>
    </row>
    <row r="742" spans="1:3" ht="13" x14ac:dyDescent="0.15">
      <c r="A742">
        <v>287537353</v>
      </c>
      <c r="B742" t="s">
        <v>753</v>
      </c>
      <c r="C742">
        <v>3</v>
      </c>
    </row>
    <row r="743" spans="1:3" ht="13" x14ac:dyDescent="0.15">
      <c r="A743">
        <v>287552333</v>
      </c>
      <c r="B743" t="s">
        <v>754</v>
      </c>
      <c r="C743">
        <v>1</v>
      </c>
    </row>
    <row r="744" spans="1:3" ht="13" x14ac:dyDescent="0.15">
      <c r="A744">
        <v>287563319</v>
      </c>
      <c r="B744" t="s">
        <v>755</v>
      </c>
      <c r="C744">
        <v>1</v>
      </c>
    </row>
    <row r="745" spans="1:3" ht="13" x14ac:dyDescent="0.15">
      <c r="A745">
        <v>287563721</v>
      </c>
      <c r="B745" t="s">
        <v>756</v>
      </c>
      <c r="C745">
        <v>1</v>
      </c>
    </row>
    <row r="746" spans="1:3" ht="13" x14ac:dyDescent="0.15">
      <c r="A746">
        <v>287590138</v>
      </c>
      <c r="B746" t="s">
        <v>757</v>
      </c>
      <c r="C746">
        <v>1</v>
      </c>
    </row>
    <row r="747" spans="1:3" ht="13" x14ac:dyDescent="0.15">
      <c r="A747">
        <v>287602904</v>
      </c>
      <c r="B747" t="s">
        <v>758</v>
      </c>
      <c r="C747">
        <v>1</v>
      </c>
    </row>
    <row r="748" spans="1:3" ht="13" x14ac:dyDescent="0.15">
      <c r="A748">
        <v>287623413</v>
      </c>
      <c r="B748" t="s">
        <v>759</v>
      </c>
      <c r="C748">
        <v>1</v>
      </c>
    </row>
    <row r="749" spans="1:3" ht="13" x14ac:dyDescent="0.15">
      <c r="A749">
        <v>287623670</v>
      </c>
      <c r="B749" t="s">
        <v>760</v>
      </c>
      <c r="C749">
        <v>1</v>
      </c>
    </row>
    <row r="750" spans="1:3" ht="13" x14ac:dyDescent="0.15">
      <c r="A750">
        <v>287628311</v>
      </c>
      <c r="B750" t="s">
        <v>761</v>
      </c>
      <c r="C750">
        <v>3</v>
      </c>
    </row>
    <row r="751" spans="1:3" ht="13" x14ac:dyDescent="0.15">
      <c r="A751">
        <v>287631644</v>
      </c>
      <c r="B751" t="s">
        <v>762</v>
      </c>
      <c r="C751">
        <v>2</v>
      </c>
    </row>
    <row r="752" spans="1:3" ht="13" x14ac:dyDescent="0.15">
      <c r="A752">
        <v>287694837</v>
      </c>
      <c r="B752" t="s">
        <v>763</v>
      </c>
      <c r="C752">
        <v>1</v>
      </c>
    </row>
    <row r="753" spans="1:3" ht="13" x14ac:dyDescent="0.15">
      <c r="A753">
        <v>287710952</v>
      </c>
      <c r="B753" t="s">
        <v>764</v>
      </c>
      <c r="C753">
        <v>1</v>
      </c>
    </row>
    <row r="754" spans="1:3" ht="13" x14ac:dyDescent="0.15">
      <c r="A754">
        <v>287723042</v>
      </c>
      <c r="B754" t="s">
        <v>765</v>
      </c>
      <c r="C754">
        <v>1</v>
      </c>
    </row>
    <row r="755" spans="1:3" ht="13" x14ac:dyDescent="0.15">
      <c r="A755">
        <v>287728356</v>
      </c>
      <c r="B755" t="s">
        <v>766</v>
      </c>
      <c r="C755">
        <v>1</v>
      </c>
    </row>
    <row r="756" spans="1:3" ht="13" x14ac:dyDescent="0.15">
      <c r="A756">
        <v>287729649</v>
      </c>
      <c r="B756" t="s">
        <v>767</v>
      </c>
      <c r="C756">
        <v>1</v>
      </c>
    </row>
    <row r="757" spans="1:3" ht="13" x14ac:dyDescent="0.15">
      <c r="A757">
        <v>287764710</v>
      </c>
      <c r="B757" t="s">
        <v>768</v>
      </c>
      <c r="C757">
        <v>1</v>
      </c>
    </row>
    <row r="758" spans="1:3" ht="13" x14ac:dyDescent="0.15">
      <c r="A758">
        <v>287783169</v>
      </c>
      <c r="B758" t="s">
        <v>769</v>
      </c>
      <c r="C758">
        <v>1</v>
      </c>
    </row>
    <row r="759" spans="1:3" ht="13" x14ac:dyDescent="0.15">
      <c r="A759">
        <v>287794623</v>
      </c>
      <c r="B759" t="s">
        <v>770</v>
      </c>
      <c r="C759">
        <v>1</v>
      </c>
    </row>
    <row r="760" spans="1:3" ht="13" x14ac:dyDescent="0.15">
      <c r="A760">
        <v>287833543</v>
      </c>
      <c r="B760" t="s">
        <v>771</v>
      </c>
      <c r="C760">
        <v>1</v>
      </c>
    </row>
    <row r="761" spans="1:3" ht="13" x14ac:dyDescent="0.15">
      <c r="A761">
        <v>287836355</v>
      </c>
      <c r="B761" t="s">
        <v>772</v>
      </c>
      <c r="C761">
        <v>1</v>
      </c>
    </row>
    <row r="762" spans="1:3" ht="13" x14ac:dyDescent="0.15">
      <c r="A762">
        <v>287841414</v>
      </c>
      <c r="B762" t="s">
        <v>773</v>
      </c>
      <c r="C762">
        <v>1</v>
      </c>
    </row>
    <row r="763" spans="1:3" ht="13" x14ac:dyDescent="0.15">
      <c r="A763">
        <v>287841664</v>
      </c>
      <c r="B763" t="s">
        <v>774</v>
      </c>
      <c r="C763">
        <v>1</v>
      </c>
    </row>
    <row r="764" spans="1:3" ht="13" x14ac:dyDescent="0.15">
      <c r="A764">
        <v>287842406</v>
      </c>
      <c r="B764" t="s">
        <v>775</v>
      </c>
      <c r="C764">
        <v>2</v>
      </c>
    </row>
    <row r="765" spans="1:3" ht="13" x14ac:dyDescent="0.15">
      <c r="A765">
        <v>287843899</v>
      </c>
      <c r="B765" t="s">
        <v>776</v>
      </c>
      <c r="C765">
        <v>1</v>
      </c>
    </row>
    <row r="766" spans="1:3" ht="13" x14ac:dyDescent="0.15">
      <c r="A766">
        <v>287917298</v>
      </c>
      <c r="B766" t="s">
        <v>777</v>
      </c>
      <c r="C766">
        <v>1</v>
      </c>
    </row>
    <row r="767" spans="1:3" ht="13" x14ac:dyDescent="0.15">
      <c r="A767">
        <v>287921091</v>
      </c>
      <c r="B767" t="s">
        <v>778</v>
      </c>
      <c r="C767">
        <v>1</v>
      </c>
    </row>
    <row r="768" spans="1:3" ht="13" x14ac:dyDescent="0.15">
      <c r="A768">
        <v>287933586</v>
      </c>
      <c r="B768" t="s">
        <v>779</v>
      </c>
      <c r="C768">
        <v>1</v>
      </c>
    </row>
    <row r="769" spans="1:3" ht="13" x14ac:dyDescent="0.15">
      <c r="A769">
        <v>287934770</v>
      </c>
      <c r="B769" t="s">
        <v>780</v>
      </c>
      <c r="C769">
        <v>1</v>
      </c>
    </row>
    <row r="770" spans="1:3" ht="13" x14ac:dyDescent="0.15">
      <c r="A770">
        <v>287936075</v>
      </c>
      <c r="B770" t="s">
        <v>781</v>
      </c>
      <c r="C770">
        <v>1</v>
      </c>
    </row>
    <row r="771" spans="1:3" ht="13" x14ac:dyDescent="0.15">
      <c r="A771">
        <v>287948258</v>
      </c>
      <c r="B771" t="s">
        <v>782</v>
      </c>
      <c r="C771">
        <v>1</v>
      </c>
    </row>
    <row r="772" spans="1:3" ht="13" x14ac:dyDescent="0.15">
      <c r="A772">
        <v>287949657</v>
      </c>
      <c r="B772" t="s">
        <v>783</v>
      </c>
      <c r="C772">
        <v>1</v>
      </c>
    </row>
    <row r="773" spans="1:3" ht="13" x14ac:dyDescent="0.15">
      <c r="A773">
        <v>287958036</v>
      </c>
      <c r="B773" t="s">
        <v>784</v>
      </c>
      <c r="C773">
        <v>1</v>
      </c>
    </row>
    <row r="774" spans="1:3" ht="13" x14ac:dyDescent="0.15">
      <c r="A774">
        <v>287959593</v>
      </c>
      <c r="B774" t="s">
        <v>785</v>
      </c>
      <c r="C774">
        <v>1</v>
      </c>
    </row>
    <row r="775" spans="1:3" ht="13" x14ac:dyDescent="0.15">
      <c r="A775">
        <v>287987038</v>
      </c>
      <c r="B775" t="s">
        <v>786</v>
      </c>
      <c r="C775">
        <v>1</v>
      </c>
    </row>
    <row r="776" spans="1:3" ht="13" x14ac:dyDescent="0.15">
      <c r="A776">
        <v>288001521</v>
      </c>
      <c r="B776" t="s">
        <v>787</v>
      </c>
      <c r="C776">
        <v>1</v>
      </c>
    </row>
    <row r="777" spans="1:3" ht="13" x14ac:dyDescent="0.15">
      <c r="A777">
        <v>288005801</v>
      </c>
      <c r="B777" t="s">
        <v>788</v>
      </c>
      <c r="C777">
        <v>1</v>
      </c>
    </row>
    <row r="778" spans="1:3" ht="13" x14ac:dyDescent="0.15">
      <c r="A778">
        <v>288012983</v>
      </c>
      <c r="B778" t="s">
        <v>789</v>
      </c>
      <c r="C778">
        <v>1</v>
      </c>
    </row>
    <row r="779" spans="1:3" ht="13" x14ac:dyDescent="0.15">
      <c r="A779">
        <v>288018266</v>
      </c>
      <c r="B779" t="s">
        <v>790</v>
      </c>
      <c r="C779">
        <v>2</v>
      </c>
    </row>
    <row r="780" spans="1:3" ht="13" x14ac:dyDescent="0.15">
      <c r="A780">
        <v>288032964</v>
      </c>
      <c r="B780" t="s">
        <v>791</v>
      </c>
      <c r="C780">
        <v>1</v>
      </c>
    </row>
    <row r="781" spans="1:3" ht="13" x14ac:dyDescent="0.15">
      <c r="A781">
        <v>288034018</v>
      </c>
      <c r="B781" t="s">
        <v>792</v>
      </c>
      <c r="C781">
        <v>1</v>
      </c>
    </row>
    <row r="782" spans="1:3" ht="13" x14ac:dyDescent="0.15">
      <c r="A782">
        <v>288035498</v>
      </c>
      <c r="B782" t="s">
        <v>793</v>
      </c>
      <c r="C782">
        <v>1</v>
      </c>
    </row>
    <row r="783" spans="1:3" ht="13" x14ac:dyDescent="0.15">
      <c r="A783">
        <v>288052398</v>
      </c>
      <c r="B783" t="s">
        <v>794</v>
      </c>
      <c r="C783">
        <v>1</v>
      </c>
    </row>
    <row r="784" spans="1:3" ht="13" x14ac:dyDescent="0.15">
      <c r="A784">
        <v>288053737</v>
      </c>
      <c r="B784" t="s">
        <v>795</v>
      </c>
      <c r="C784">
        <v>1</v>
      </c>
    </row>
    <row r="785" spans="1:3" ht="13" x14ac:dyDescent="0.15">
      <c r="A785">
        <v>288053839</v>
      </c>
      <c r="B785" t="s">
        <v>796</v>
      </c>
      <c r="C785">
        <v>1</v>
      </c>
    </row>
    <row r="786" spans="1:3" ht="13" x14ac:dyDescent="0.15">
      <c r="A786">
        <v>288054315</v>
      </c>
      <c r="B786" t="s">
        <v>797</v>
      </c>
      <c r="C786">
        <v>1</v>
      </c>
    </row>
    <row r="787" spans="1:3" ht="13" x14ac:dyDescent="0.15">
      <c r="A787">
        <v>288054608</v>
      </c>
      <c r="B787" t="s">
        <v>798</v>
      </c>
      <c r="C787">
        <v>1</v>
      </c>
    </row>
    <row r="788" spans="1:3" ht="13" x14ac:dyDescent="0.15">
      <c r="A788">
        <v>288055481</v>
      </c>
      <c r="B788" t="s">
        <v>799</v>
      </c>
      <c r="C788">
        <v>1</v>
      </c>
    </row>
    <row r="789" spans="1:3" ht="13" x14ac:dyDescent="0.15">
      <c r="A789">
        <v>288055632</v>
      </c>
      <c r="B789" t="s">
        <v>800</v>
      </c>
      <c r="C789">
        <v>1</v>
      </c>
    </row>
    <row r="790" spans="1:3" ht="13" x14ac:dyDescent="0.15">
      <c r="A790">
        <v>288055919</v>
      </c>
      <c r="B790" t="s">
        <v>801</v>
      </c>
      <c r="C790">
        <v>1</v>
      </c>
    </row>
    <row r="791" spans="1:3" ht="13" x14ac:dyDescent="0.15">
      <c r="A791">
        <v>288058055</v>
      </c>
      <c r="B791" t="s">
        <v>802</v>
      </c>
      <c r="C791">
        <v>1</v>
      </c>
    </row>
    <row r="792" spans="1:3" ht="13" x14ac:dyDescent="0.15">
      <c r="A792">
        <v>288058947</v>
      </c>
      <c r="B792" t="s">
        <v>803</v>
      </c>
      <c r="C792">
        <v>1</v>
      </c>
    </row>
    <row r="793" spans="1:3" ht="13" x14ac:dyDescent="0.15">
      <c r="A793">
        <v>288061591</v>
      </c>
      <c r="B793" t="s">
        <v>804</v>
      </c>
      <c r="C793">
        <v>1</v>
      </c>
    </row>
    <row r="794" spans="1:3" ht="13" x14ac:dyDescent="0.15">
      <c r="A794">
        <v>288062179</v>
      </c>
      <c r="B794" t="s">
        <v>805</v>
      </c>
      <c r="C794">
        <v>1</v>
      </c>
    </row>
    <row r="795" spans="1:3" ht="13" x14ac:dyDescent="0.15">
      <c r="A795">
        <v>288062455</v>
      </c>
      <c r="B795" t="s">
        <v>806</v>
      </c>
      <c r="C795">
        <v>1</v>
      </c>
    </row>
    <row r="796" spans="1:3" ht="13" x14ac:dyDescent="0.15">
      <c r="A796">
        <v>288064905</v>
      </c>
      <c r="B796" t="s">
        <v>807</v>
      </c>
      <c r="C796">
        <v>1</v>
      </c>
    </row>
    <row r="797" spans="1:3" ht="13" x14ac:dyDescent="0.15">
      <c r="A797">
        <v>288065568</v>
      </c>
      <c r="B797" t="s">
        <v>808</v>
      </c>
      <c r="C797">
        <v>1</v>
      </c>
    </row>
    <row r="798" spans="1:3" ht="13" x14ac:dyDescent="0.15">
      <c r="A798">
        <v>288073094</v>
      </c>
      <c r="B798" t="s">
        <v>809</v>
      </c>
      <c r="C798">
        <v>1</v>
      </c>
    </row>
    <row r="799" spans="1:3" ht="13" x14ac:dyDescent="0.15">
      <c r="A799">
        <v>288076762</v>
      </c>
      <c r="B799" t="s">
        <v>810</v>
      </c>
      <c r="C799">
        <v>2</v>
      </c>
    </row>
    <row r="800" spans="1:3" ht="13" x14ac:dyDescent="0.15">
      <c r="A800">
        <v>288076771</v>
      </c>
      <c r="B800" t="s">
        <v>811</v>
      </c>
      <c r="C800">
        <v>2</v>
      </c>
    </row>
    <row r="801" spans="1:3" ht="13" x14ac:dyDescent="0.15">
      <c r="A801">
        <v>288076772</v>
      </c>
      <c r="B801" t="s">
        <v>812</v>
      </c>
      <c r="C801">
        <v>2</v>
      </c>
    </row>
    <row r="802" spans="1:3" ht="13" x14ac:dyDescent="0.15">
      <c r="A802">
        <v>288076801</v>
      </c>
      <c r="B802" t="s">
        <v>813</v>
      </c>
      <c r="C802">
        <v>2</v>
      </c>
    </row>
    <row r="803" spans="1:3" ht="13" x14ac:dyDescent="0.15">
      <c r="A803">
        <v>288076824</v>
      </c>
      <c r="B803" t="s">
        <v>814</v>
      </c>
      <c r="C803">
        <v>1</v>
      </c>
    </row>
    <row r="804" spans="1:3" ht="13" x14ac:dyDescent="0.15">
      <c r="A804">
        <v>288077655</v>
      </c>
      <c r="B804" t="s">
        <v>815</v>
      </c>
      <c r="C804">
        <v>1</v>
      </c>
    </row>
    <row r="805" spans="1:3" ht="13" x14ac:dyDescent="0.15">
      <c r="A805">
        <v>288081870</v>
      </c>
      <c r="B805" t="s">
        <v>816</v>
      </c>
      <c r="C805">
        <v>1</v>
      </c>
    </row>
    <row r="806" spans="1:3" ht="13" x14ac:dyDescent="0.15">
      <c r="A806">
        <v>288082662</v>
      </c>
      <c r="B806" t="s">
        <v>817</v>
      </c>
      <c r="C806">
        <v>1</v>
      </c>
    </row>
    <row r="807" spans="1:3" ht="13" x14ac:dyDescent="0.15">
      <c r="A807">
        <v>288085581</v>
      </c>
      <c r="B807" t="s">
        <v>818</v>
      </c>
      <c r="C807">
        <v>1</v>
      </c>
    </row>
    <row r="808" spans="1:3" ht="13" x14ac:dyDescent="0.15">
      <c r="A808">
        <v>288089832</v>
      </c>
      <c r="B808" t="s">
        <v>819</v>
      </c>
      <c r="C808">
        <v>3</v>
      </c>
    </row>
    <row r="809" spans="1:3" ht="13" x14ac:dyDescent="0.15">
      <c r="A809">
        <v>288114604</v>
      </c>
      <c r="B809" t="s">
        <v>820</v>
      </c>
      <c r="C809">
        <v>1</v>
      </c>
    </row>
    <row r="810" spans="1:3" ht="13" x14ac:dyDescent="0.15">
      <c r="A810">
        <v>288127455</v>
      </c>
      <c r="B810" t="s">
        <v>821</v>
      </c>
      <c r="C810">
        <v>1</v>
      </c>
    </row>
    <row r="811" spans="1:3" ht="13" x14ac:dyDescent="0.15">
      <c r="A811">
        <v>288141136</v>
      </c>
      <c r="B811" t="s">
        <v>822</v>
      </c>
      <c r="C811">
        <v>1</v>
      </c>
    </row>
    <row r="812" spans="1:3" ht="13" x14ac:dyDescent="0.15">
      <c r="A812">
        <v>288141720</v>
      </c>
      <c r="B812" t="s">
        <v>823</v>
      </c>
      <c r="C812">
        <v>1</v>
      </c>
    </row>
    <row r="813" spans="1:3" ht="13" x14ac:dyDescent="0.15">
      <c r="A813">
        <v>288142696</v>
      </c>
      <c r="B813" t="s">
        <v>824</v>
      </c>
      <c r="C813">
        <v>1</v>
      </c>
    </row>
    <row r="814" spans="1:3" ht="13" x14ac:dyDescent="0.15">
      <c r="A814">
        <v>288143660</v>
      </c>
      <c r="B814" t="s">
        <v>825</v>
      </c>
      <c r="C814">
        <v>1</v>
      </c>
    </row>
    <row r="815" spans="1:3" ht="13" x14ac:dyDescent="0.15">
      <c r="A815">
        <v>288145379</v>
      </c>
      <c r="B815" t="s">
        <v>826</v>
      </c>
      <c r="C815">
        <v>1</v>
      </c>
    </row>
    <row r="816" spans="1:3" ht="13" x14ac:dyDescent="0.15">
      <c r="A816">
        <v>288145385</v>
      </c>
      <c r="B816" t="s">
        <v>827</v>
      </c>
      <c r="C816">
        <v>1</v>
      </c>
    </row>
    <row r="817" spans="1:3" ht="13" x14ac:dyDescent="0.15">
      <c r="A817">
        <v>288150586</v>
      </c>
      <c r="B817" t="s">
        <v>828</v>
      </c>
      <c r="C817">
        <v>2</v>
      </c>
    </row>
    <row r="818" spans="1:3" ht="13" x14ac:dyDescent="0.15">
      <c r="A818">
        <v>288153052</v>
      </c>
      <c r="B818" t="s">
        <v>829</v>
      </c>
      <c r="C818">
        <v>1</v>
      </c>
    </row>
    <row r="819" spans="1:3" ht="13" x14ac:dyDescent="0.15">
      <c r="A819">
        <v>288177562</v>
      </c>
      <c r="B819" t="s">
        <v>830</v>
      </c>
      <c r="C819">
        <v>1</v>
      </c>
    </row>
    <row r="820" spans="1:3" ht="13" x14ac:dyDescent="0.15">
      <c r="A820">
        <v>288194017</v>
      </c>
      <c r="B820" t="s">
        <v>831</v>
      </c>
      <c r="C820">
        <v>1</v>
      </c>
    </row>
    <row r="821" spans="1:3" ht="13" x14ac:dyDescent="0.15">
      <c r="A821">
        <v>288196425</v>
      </c>
      <c r="B821" t="s">
        <v>832</v>
      </c>
      <c r="C821">
        <v>1</v>
      </c>
    </row>
    <row r="822" spans="1:3" ht="13" x14ac:dyDescent="0.15">
      <c r="A822">
        <v>288226565</v>
      </c>
      <c r="B822" t="s">
        <v>833</v>
      </c>
      <c r="C822">
        <v>1</v>
      </c>
    </row>
    <row r="823" spans="1:3" ht="13" x14ac:dyDescent="0.15">
      <c r="A823">
        <v>288265891</v>
      </c>
      <c r="B823" t="s">
        <v>834</v>
      </c>
      <c r="C823">
        <v>1</v>
      </c>
    </row>
    <row r="824" spans="1:3" ht="13" x14ac:dyDescent="0.15">
      <c r="A824">
        <v>288303929</v>
      </c>
      <c r="B824" t="s">
        <v>835</v>
      </c>
      <c r="C824">
        <v>2</v>
      </c>
    </row>
    <row r="825" spans="1:3" ht="13" x14ac:dyDescent="0.15">
      <c r="A825">
        <v>288303974</v>
      </c>
      <c r="B825" t="s">
        <v>836</v>
      </c>
      <c r="C825">
        <v>1</v>
      </c>
    </row>
    <row r="826" spans="1:3" ht="13" x14ac:dyDescent="0.15">
      <c r="A826">
        <v>288313883</v>
      </c>
      <c r="B826" t="s">
        <v>837</v>
      </c>
      <c r="C826">
        <v>2</v>
      </c>
    </row>
    <row r="827" spans="1:3" ht="13" x14ac:dyDescent="0.15">
      <c r="A827">
        <v>288322539</v>
      </c>
      <c r="B827" t="s">
        <v>838</v>
      </c>
      <c r="C827">
        <v>1</v>
      </c>
    </row>
    <row r="828" spans="1:3" ht="13" x14ac:dyDescent="0.15">
      <c r="A828">
        <v>288417615</v>
      </c>
      <c r="B828" t="s">
        <v>839</v>
      </c>
      <c r="C828">
        <v>1</v>
      </c>
    </row>
    <row r="829" spans="1:3" ht="13" x14ac:dyDescent="0.15">
      <c r="A829">
        <v>288418652</v>
      </c>
      <c r="B829" t="s">
        <v>840</v>
      </c>
      <c r="C829">
        <v>1</v>
      </c>
    </row>
    <row r="830" spans="1:3" ht="13" x14ac:dyDescent="0.15">
      <c r="A830">
        <v>288443490</v>
      </c>
      <c r="B830" t="s">
        <v>841</v>
      </c>
      <c r="C830">
        <v>1</v>
      </c>
    </row>
    <row r="831" spans="1:3" ht="13" x14ac:dyDescent="0.15">
      <c r="A831">
        <v>288448061</v>
      </c>
      <c r="B831" t="s">
        <v>842</v>
      </c>
      <c r="C831">
        <v>1</v>
      </c>
    </row>
    <row r="832" spans="1:3" ht="13" x14ac:dyDescent="0.15">
      <c r="A832">
        <v>288448085</v>
      </c>
      <c r="B832" t="s">
        <v>843</v>
      </c>
      <c r="C832">
        <v>1</v>
      </c>
    </row>
    <row r="833" spans="1:3" ht="13" x14ac:dyDescent="0.15">
      <c r="A833">
        <v>288454055</v>
      </c>
      <c r="B833" t="s">
        <v>844</v>
      </c>
      <c r="C833">
        <v>2</v>
      </c>
    </row>
    <row r="834" spans="1:3" ht="13" x14ac:dyDescent="0.15"/>
    <row r="835" spans="1:3" ht="13" x14ac:dyDescent="0.15"/>
    <row r="836" spans="1:3" ht="13" x14ac:dyDescent="0.15"/>
    <row r="837" spans="1:3" ht="13" x14ac:dyDescent="0.15"/>
    <row r="838" spans="1:3" ht="13" x14ac:dyDescent="0.15"/>
    <row r="839" spans="1:3" ht="13" x14ac:dyDescent="0.15"/>
    <row r="840" spans="1:3" ht="13" x14ac:dyDescent="0.15"/>
    <row r="841" spans="1:3" ht="13" x14ac:dyDescent="0.15"/>
    <row r="842" spans="1:3" ht="13" x14ac:dyDescent="0.15"/>
    <row r="843" spans="1:3" ht="13" x14ac:dyDescent="0.15"/>
    <row r="844" spans="1:3" ht="13" x14ac:dyDescent="0.15"/>
    <row r="845" spans="1:3" ht="13" x14ac:dyDescent="0.15"/>
    <row r="846" spans="1:3" ht="13" x14ac:dyDescent="0.15"/>
    <row r="847" spans="1:3" ht="13" x14ac:dyDescent="0.15"/>
    <row r="848" spans="1:3" ht="13" x14ac:dyDescent="0.15"/>
    <row r="849" ht="13" x14ac:dyDescent="0.15"/>
    <row r="850" ht="13" x14ac:dyDescent="0.15"/>
    <row r="851" ht="13" x14ac:dyDescent="0.15"/>
    <row r="852" ht="13" x14ac:dyDescent="0.15"/>
    <row r="853" ht="13" x14ac:dyDescent="0.15"/>
    <row r="854" ht="13" x14ac:dyDescent="0.15"/>
    <row r="855" ht="13" x14ac:dyDescent="0.15"/>
    <row r="856" ht="13" x14ac:dyDescent="0.15"/>
    <row r="857" ht="13" x14ac:dyDescent="0.15"/>
    <row r="858" ht="13" x14ac:dyDescent="0.15"/>
    <row r="859" ht="13" x14ac:dyDescent="0.15"/>
    <row r="860" ht="13" x14ac:dyDescent="0.15"/>
    <row r="861" ht="13" x14ac:dyDescent="0.15"/>
    <row r="862" ht="13" x14ac:dyDescent="0.15"/>
    <row r="863" ht="13" x14ac:dyDescent="0.15"/>
    <row r="864" ht="13" x14ac:dyDescent="0.15"/>
    <row r="865" ht="13" x14ac:dyDescent="0.15"/>
    <row r="866" ht="13" x14ac:dyDescent="0.15"/>
    <row r="867" ht="13" x14ac:dyDescent="0.15"/>
    <row r="868" ht="13" x14ac:dyDescent="0.15"/>
    <row r="869" ht="13" x14ac:dyDescent="0.15"/>
    <row r="870" ht="13" x14ac:dyDescent="0.15"/>
    <row r="871" ht="13" x14ac:dyDescent="0.15"/>
    <row r="872" ht="13" x14ac:dyDescent="0.15"/>
    <row r="873" ht="13" x14ac:dyDescent="0.15"/>
    <row r="874" ht="13" x14ac:dyDescent="0.15"/>
    <row r="875" ht="13" x14ac:dyDescent="0.15"/>
    <row r="876" ht="13" x14ac:dyDescent="0.15"/>
    <row r="877" ht="13" x14ac:dyDescent="0.15"/>
    <row r="878" ht="13" x14ac:dyDescent="0.15"/>
    <row r="879" ht="13" x14ac:dyDescent="0.15"/>
    <row r="880" ht="13" x14ac:dyDescent="0.15"/>
    <row r="881" ht="13" x14ac:dyDescent="0.15"/>
    <row r="882" ht="13" x14ac:dyDescent="0.15"/>
    <row r="883" ht="13" x14ac:dyDescent="0.15"/>
    <row r="884" ht="13" x14ac:dyDescent="0.15"/>
    <row r="885" ht="13" x14ac:dyDescent="0.15"/>
    <row r="886" ht="13" x14ac:dyDescent="0.15"/>
    <row r="887" ht="13" x14ac:dyDescent="0.15"/>
    <row r="888" ht="13" x14ac:dyDescent="0.15"/>
    <row r="889" ht="13" x14ac:dyDescent="0.15"/>
    <row r="890" ht="13" x14ac:dyDescent="0.15"/>
    <row r="891" ht="13" x14ac:dyDescent="0.15"/>
    <row r="892" ht="13" x14ac:dyDescent="0.15"/>
    <row r="893" ht="13" x14ac:dyDescent="0.15"/>
    <row r="894" ht="13" x14ac:dyDescent="0.15"/>
    <row r="895" ht="13" x14ac:dyDescent="0.15"/>
    <row r="896" ht="13" x14ac:dyDescent="0.15"/>
    <row r="897" ht="13" x14ac:dyDescent="0.15"/>
    <row r="898" ht="13" x14ac:dyDescent="0.15"/>
    <row r="899" ht="13" x14ac:dyDescent="0.15"/>
    <row r="900" ht="13" x14ac:dyDescent="0.15"/>
    <row r="901" ht="13" x14ac:dyDescent="0.15"/>
    <row r="902" ht="13" x14ac:dyDescent="0.15"/>
    <row r="903" ht="13" x14ac:dyDescent="0.15"/>
    <row r="904" ht="13" x14ac:dyDescent="0.15"/>
    <row r="905" ht="13" x14ac:dyDescent="0.15"/>
    <row r="906" ht="13" x14ac:dyDescent="0.15"/>
    <row r="907" ht="13" x14ac:dyDescent="0.15"/>
    <row r="908" ht="13" x14ac:dyDescent="0.15"/>
    <row r="909" ht="13" x14ac:dyDescent="0.15"/>
    <row r="910" ht="13" x14ac:dyDescent="0.15"/>
    <row r="911" ht="13" x14ac:dyDescent="0.15"/>
    <row r="912" ht="13" x14ac:dyDescent="0.15"/>
    <row r="913" ht="13" x14ac:dyDescent="0.15"/>
    <row r="914" ht="13" x14ac:dyDescent="0.15"/>
    <row r="915" ht="13" x14ac:dyDescent="0.15"/>
    <row r="916" ht="13" x14ac:dyDescent="0.15"/>
    <row r="917" ht="13" x14ac:dyDescent="0.15"/>
    <row r="918" ht="13" x14ac:dyDescent="0.15"/>
    <row r="919" ht="13" x14ac:dyDescent="0.15"/>
    <row r="920" ht="13" x14ac:dyDescent="0.15"/>
    <row r="921" ht="13" x14ac:dyDescent="0.15"/>
    <row r="922" ht="13" x14ac:dyDescent="0.15"/>
    <row r="923" ht="13" x14ac:dyDescent="0.15"/>
    <row r="924" ht="13" x14ac:dyDescent="0.15"/>
    <row r="925" ht="13" x14ac:dyDescent="0.15"/>
    <row r="926" ht="13" x14ac:dyDescent="0.15"/>
    <row r="927" ht="13" x14ac:dyDescent="0.15"/>
    <row r="928" ht="13" x14ac:dyDescent="0.15"/>
    <row r="929" ht="13" x14ac:dyDescent="0.15"/>
    <row r="930" ht="13" x14ac:dyDescent="0.15"/>
    <row r="931" ht="13" x14ac:dyDescent="0.15"/>
    <row r="932" ht="13" x14ac:dyDescent="0.15"/>
    <row r="933" ht="13" x14ac:dyDescent="0.15"/>
    <row r="934" ht="13" x14ac:dyDescent="0.15"/>
    <row r="935" ht="13" x14ac:dyDescent="0.15"/>
    <row r="936" ht="13" x14ac:dyDescent="0.15"/>
    <row r="937" ht="13" x14ac:dyDescent="0.15"/>
    <row r="938" ht="13" x14ac:dyDescent="0.15"/>
    <row r="939" ht="13" x14ac:dyDescent="0.15"/>
    <row r="940" ht="13" x14ac:dyDescent="0.15"/>
    <row r="941" ht="13" x14ac:dyDescent="0.15"/>
    <row r="942" ht="13" x14ac:dyDescent="0.15"/>
    <row r="943" ht="13" x14ac:dyDescent="0.15"/>
    <row r="944" ht="13" x14ac:dyDescent="0.15"/>
    <row r="945" ht="13" x14ac:dyDescent="0.15"/>
    <row r="946" ht="13" x14ac:dyDescent="0.15"/>
    <row r="947" ht="13" x14ac:dyDescent="0.15"/>
    <row r="948" ht="13" x14ac:dyDescent="0.15"/>
    <row r="949" ht="13" x14ac:dyDescent="0.15"/>
    <row r="950" ht="13" x14ac:dyDescent="0.15"/>
    <row r="951" ht="13" x14ac:dyDescent="0.15"/>
    <row r="952" ht="13" x14ac:dyDescent="0.15"/>
    <row r="953" ht="13" x14ac:dyDescent="0.15"/>
    <row r="954" ht="13" x14ac:dyDescent="0.15"/>
    <row r="955" ht="13" x14ac:dyDescent="0.15"/>
    <row r="956" ht="13" x14ac:dyDescent="0.15"/>
    <row r="957" ht="13" x14ac:dyDescent="0.15"/>
    <row r="958" ht="13" x14ac:dyDescent="0.15"/>
    <row r="959" ht="13" x14ac:dyDescent="0.15"/>
    <row r="960" ht="13" x14ac:dyDescent="0.15"/>
    <row r="961" ht="13" x14ac:dyDescent="0.15"/>
    <row r="962" ht="13" x14ac:dyDescent="0.15"/>
    <row r="963" ht="13" x14ac:dyDescent="0.15"/>
    <row r="964" ht="13" x14ac:dyDescent="0.15"/>
    <row r="965" ht="13" x14ac:dyDescent="0.15"/>
    <row r="966" ht="13" x14ac:dyDescent="0.15"/>
    <row r="967" ht="13" x14ac:dyDescent="0.15"/>
    <row r="968" ht="13" x14ac:dyDescent="0.15"/>
    <row r="969" ht="13" x14ac:dyDescent="0.15"/>
    <row r="970" ht="13" x14ac:dyDescent="0.15"/>
    <row r="971" ht="13" x14ac:dyDescent="0.15"/>
    <row r="972" ht="13" x14ac:dyDescent="0.15"/>
    <row r="973" ht="13" x14ac:dyDescent="0.15"/>
    <row r="974" ht="13" x14ac:dyDescent="0.15"/>
    <row r="975" ht="13" x14ac:dyDescent="0.15"/>
    <row r="976" ht="13" x14ac:dyDescent="0.15"/>
    <row r="977" ht="13" x14ac:dyDescent="0.15"/>
    <row r="978" ht="13" x14ac:dyDescent="0.15"/>
    <row r="979" ht="13" x14ac:dyDescent="0.15"/>
    <row r="980" ht="13" x14ac:dyDescent="0.15"/>
    <row r="981" ht="13" x14ac:dyDescent="0.15"/>
    <row r="982" ht="13" x14ac:dyDescent="0.15"/>
    <row r="983" ht="13" x14ac:dyDescent="0.15"/>
    <row r="984" ht="13" x14ac:dyDescent="0.15"/>
    <row r="985" ht="13" x14ac:dyDescent="0.15"/>
    <row r="986" ht="13" x14ac:dyDescent="0.15"/>
    <row r="987" ht="13" x14ac:dyDescent="0.15"/>
    <row r="988" ht="13" x14ac:dyDescent="0.15"/>
    <row r="989" ht="13" x14ac:dyDescent="0.15"/>
    <row r="990" ht="13" x14ac:dyDescent="0.15"/>
    <row r="991" ht="13" x14ac:dyDescent="0.15"/>
    <row r="992" ht="13" x14ac:dyDescent="0.15"/>
    <row r="993" ht="13" x14ac:dyDescent="0.15"/>
    <row r="994" ht="13" x14ac:dyDescent="0.15"/>
    <row r="995" ht="13" x14ac:dyDescent="0.15"/>
    <row r="996" ht="13" x14ac:dyDescent="0.15"/>
    <row r="997" ht="13" x14ac:dyDescent="0.15"/>
    <row r="998" ht="13" x14ac:dyDescent="0.15"/>
    <row r="999" ht="13" x14ac:dyDescent="0.15"/>
    <row r="1000" ht="13" x14ac:dyDescent="0.15"/>
    <row r="1001" ht="13" x14ac:dyDescent="0.15"/>
    <row r="1002" ht="13" x14ac:dyDescent="0.15"/>
    <row r="1003" ht="13" x14ac:dyDescent="0.15"/>
    <row r="1004" ht="13" x14ac:dyDescent="0.15"/>
    <row r="1005" ht="13" x14ac:dyDescent="0.15"/>
    <row r="1006" ht="13" x14ac:dyDescent="0.15"/>
  </sheetData>
  <sortState xmlns:xlrd2="http://schemas.microsoft.com/office/spreadsheetml/2017/richdata2" ref="A2:C833">
    <sortCondition ref="A2:A83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report</vt:lpstr>
      <vt:lpstr>export</vt:lpstr>
      <vt:lpstr>processed-export</vt:lpstr>
      <vt:lpstr>by-name</vt:lpstr>
      <vt:lpstr>by-case-number</vt:lpstr>
      <vt:lpstr>by-country</vt:lpstr>
      <vt:lpstr>by-topic</vt:lpstr>
      <vt:lpstr>by-year</vt:lpstr>
      <vt:lpstr>by-type</vt:lpstr>
      <vt:lpstr>by-date</vt:lpstr>
      <vt:lpstr>by-supporter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Bryan Casler</cp:lastModifiedBy>
  <dcterms:created xsi:type="dcterms:W3CDTF">2025-02-25T15:54:59Z</dcterms:created>
  <dcterms:modified xsi:type="dcterms:W3CDTF">2025-02-25T17:42:46Z</dcterms:modified>
</cp:coreProperties>
</file>